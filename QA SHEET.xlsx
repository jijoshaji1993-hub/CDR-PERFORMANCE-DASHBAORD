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C:\PYTHON\Performance dashboard MRM\"/>
    </mc:Choice>
  </mc:AlternateContent>
  <xr:revisionPtr revIDLastSave="0" documentId="13_ncr:1_{CA09FE36-E645-4DD5-9181-1B4A39F96DFA}" xr6:coauthVersionLast="47" xr6:coauthVersionMax="47" xr10:uidLastSave="{00000000-0000-0000-0000-000000000000}"/>
  <bookViews>
    <workbookView xWindow="-110" yWindow="-110" windowWidth="19420" windowHeight="10300" activeTab="4" xr2:uid="{00000000-000D-0000-FFFF-FFFF00000000}"/>
  </bookViews>
  <sheets>
    <sheet name="Audit Raw data" sheetId="2" r:id="rId1"/>
    <sheet name="Agent wise" sheetId="3" r:id="rId2"/>
    <sheet name="Day wise agent" sheetId="4" r:id="rId3"/>
    <sheet name="DASHBOARD" sheetId="5" r:id="rId4"/>
    <sheet name="DAY WISE" sheetId="6" r:id="rId5"/>
  </sheets>
  <definedNames>
    <definedName name="_xlnm._FilterDatabase" localSheetId="0" hidden="1">'Audit Raw data'!$A$2:$AU$877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J4" i="2" l="1"/>
  <c r="CK4" i="2"/>
  <c r="CL4" i="2"/>
  <c r="CJ5" i="2"/>
  <c r="CK5" i="2"/>
  <c r="CL5" i="2"/>
  <c r="CJ6" i="2"/>
  <c r="CK6" i="2"/>
  <c r="CL6" i="2"/>
  <c r="CJ7" i="2"/>
  <c r="CK7" i="2"/>
  <c r="CL7" i="2"/>
  <c r="CJ8" i="2"/>
  <c r="CK8" i="2"/>
  <c r="CL8" i="2"/>
  <c r="CJ9" i="2"/>
  <c r="CK9" i="2"/>
  <c r="CL9" i="2"/>
  <c r="CJ10" i="2"/>
  <c r="CK10" i="2"/>
  <c r="CL10" i="2"/>
  <c r="CJ11" i="2"/>
  <c r="CK11" i="2"/>
  <c r="CL11" i="2"/>
  <c r="CJ12" i="2"/>
  <c r="CK12" i="2"/>
  <c r="CL12" i="2"/>
  <c r="CJ13" i="2"/>
  <c r="CK13" i="2"/>
  <c r="CL13" i="2"/>
  <c r="CJ14" i="2"/>
  <c r="CK14" i="2"/>
  <c r="CL14" i="2"/>
  <c r="CJ15" i="2"/>
  <c r="CK15" i="2"/>
  <c r="CL15" i="2"/>
  <c r="CJ16" i="2"/>
  <c r="CK16" i="2"/>
  <c r="CL16" i="2"/>
  <c r="CJ17" i="2"/>
  <c r="CK17" i="2"/>
  <c r="CL17" i="2"/>
  <c r="CJ18" i="2"/>
  <c r="CK18" i="2"/>
  <c r="CL18" i="2"/>
  <c r="CJ19" i="2"/>
  <c r="CK19" i="2"/>
  <c r="CL19" i="2"/>
  <c r="CJ20" i="2"/>
  <c r="CK20" i="2"/>
  <c r="CL20" i="2"/>
  <c r="CJ21" i="2"/>
  <c r="CK21" i="2"/>
  <c r="CL21" i="2"/>
  <c r="CJ22" i="2"/>
  <c r="CK22" i="2"/>
  <c r="CL22" i="2"/>
  <c r="CJ23" i="2"/>
  <c r="CK23" i="2"/>
  <c r="CL23" i="2"/>
  <c r="CJ24" i="2"/>
  <c r="CK24" i="2"/>
  <c r="CL24" i="2"/>
  <c r="CJ25" i="2"/>
  <c r="CK25" i="2"/>
  <c r="CL25" i="2"/>
  <c r="CJ26" i="2"/>
  <c r="CK26" i="2"/>
  <c r="CL26" i="2"/>
  <c r="CJ27" i="2"/>
  <c r="CK27" i="2"/>
  <c r="CL27" i="2"/>
  <c r="CJ28" i="2"/>
  <c r="CK28" i="2"/>
  <c r="CL28" i="2"/>
  <c r="CJ29" i="2"/>
  <c r="CK29" i="2"/>
  <c r="CL29" i="2"/>
  <c r="CJ30" i="2"/>
  <c r="CK30" i="2"/>
  <c r="CL30" i="2"/>
  <c r="CJ31" i="2"/>
  <c r="CK31" i="2"/>
  <c r="CL31" i="2"/>
  <c r="CJ32" i="2"/>
  <c r="CK32" i="2"/>
  <c r="CL32" i="2"/>
  <c r="CJ33" i="2"/>
  <c r="CK33" i="2"/>
  <c r="CL33" i="2"/>
  <c r="CJ34" i="2"/>
  <c r="CK34" i="2"/>
  <c r="CL34" i="2"/>
  <c r="CJ35" i="2"/>
  <c r="CK35" i="2"/>
  <c r="CL35" i="2"/>
  <c r="CJ36" i="2"/>
  <c r="CK36" i="2"/>
  <c r="CL36" i="2"/>
  <c r="CJ37" i="2"/>
  <c r="CK37" i="2"/>
  <c r="CL37" i="2"/>
  <c r="CJ38" i="2"/>
  <c r="CK38" i="2"/>
  <c r="CL38" i="2"/>
  <c r="CJ39" i="2"/>
  <c r="CK39" i="2"/>
  <c r="CL39" i="2"/>
  <c r="CJ40" i="2"/>
  <c r="CK40" i="2"/>
  <c r="CL40" i="2"/>
  <c r="CJ41" i="2"/>
  <c r="CK41" i="2"/>
  <c r="CL41" i="2"/>
  <c r="CJ42" i="2"/>
  <c r="CK42" i="2"/>
  <c r="CL42" i="2"/>
  <c r="CJ43" i="2"/>
  <c r="CK43" i="2"/>
  <c r="CL43" i="2"/>
  <c r="CJ44" i="2"/>
  <c r="CK44" i="2"/>
  <c r="CL44" i="2"/>
  <c r="CJ45" i="2"/>
  <c r="CK45" i="2"/>
  <c r="CL45" i="2"/>
  <c r="CJ46" i="2"/>
  <c r="CK46" i="2"/>
  <c r="CL46" i="2"/>
  <c r="CJ47" i="2"/>
  <c r="CK47" i="2"/>
  <c r="CL47" i="2"/>
  <c r="CJ48" i="2"/>
  <c r="CK48" i="2"/>
  <c r="CL48" i="2"/>
  <c r="CJ49" i="2"/>
  <c r="CK49" i="2"/>
  <c r="CL49" i="2"/>
  <c r="CJ50" i="2"/>
  <c r="CK50" i="2"/>
  <c r="CL50" i="2"/>
  <c r="CJ51" i="2"/>
  <c r="CK51" i="2"/>
  <c r="CL51" i="2"/>
  <c r="CJ52" i="2"/>
  <c r="CK52" i="2"/>
  <c r="CL52" i="2"/>
  <c r="CJ53" i="2"/>
  <c r="CK53" i="2"/>
  <c r="CL53" i="2"/>
  <c r="CJ54" i="2"/>
  <c r="CK54" i="2"/>
  <c r="CL54" i="2"/>
  <c r="CJ55" i="2"/>
  <c r="CK55" i="2"/>
  <c r="CL55" i="2"/>
  <c r="CJ56" i="2"/>
  <c r="CK56" i="2"/>
  <c r="CL56" i="2"/>
  <c r="CJ57" i="2"/>
  <c r="CK57" i="2"/>
  <c r="CL57" i="2"/>
  <c r="CJ58" i="2"/>
  <c r="CK58" i="2"/>
  <c r="CL58" i="2"/>
  <c r="CJ59" i="2"/>
  <c r="CK59" i="2"/>
  <c r="CL59" i="2"/>
  <c r="CJ60" i="2"/>
  <c r="CK60" i="2"/>
  <c r="CL60" i="2"/>
  <c r="CJ61" i="2"/>
  <c r="CK61" i="2"/>
  <c r="CL61" i="2"/>
  <c r="CJ62" i="2"/>
  <c r="CK62" i="2"/>
  <c r="CL62" i="2"/>
  <c r="CJ63" i="2"/>
  <c r="CK63" i="2"/>
  <c r="CL63" i="2"/>
  <c r="CJ64" i="2"/>
  <c r="CK64" i="2"/>
  <c r="CL64" i="2"/>
  <c r="CJ65" i="2"/>
  <c r="CK65" i="2"/>
  <c r="CL65" i="2"/>
  <c r="CJ66" i="2"/>
  <c r="CK66" i="2"/>
  <c r="CL66" i="2"/>
  <c r="CJ67" i="2"/>
  <c r="CK67" i="2"/>
  <c r="CL67" i="2"/>
  <c r="CJ68" i="2"/>
  <c r="CK68" i="2"/>
  <c r="CL68" i="2"/>
  <c r="CJ69" i="2"/>
  <c r="CK69" i="2"/>
  <c r="CL69" i="2"/>
  <c r="CJ70" i="2"/>
  <c r="CK70" i="2"/>
  <c r="CL70" i="2"/>
  <c r="CJ71" i="2"/>
  <c r="CK71" i="2"/>
  <c r="CL71" i="2"/>
  <c r="CJ72" i="2"/>
  <c r="CK72" i="2"/>
  <c r="CL72" i="2"/>
  <c r="CJ73" i="2"/>
  <c r="CK73" i="2"/>
  <c r="CL73" i="2"/>
  <c r="CJ74" i="2"/>
  <c r="CK74" i="2"/>
  <c r="CL74" i="2"/>
  <c r="CJ75" i="2"/>
  <c r="CK75" i="2"/>
  <c r="CL75" i="2"/>
  <c r="CJ76" i="2"/>
  <c r="CK76" i="2"/>
  <c r="CL76" i="2"/>
  <c r="CJ77" i="2"/>
  <c r="CK77" i="2"/>
  <c r="CL77" i="2"/>
  <c r="CJ78" i="2"/>
  <c r="CK78" i="2"/>
  <c r="CL78" i="2"/>
  <c r="CJ79" i="2"/>
  <c r="CK79" i="2"/>
  <c r="CL79" i="2"/>
  <c r="CJ80" i="2"/>
  <c r="CK80" i="2"/>
  <c r="CL80" i="2"/>
  <c r="CJ81" i="2"/>
  <c r="CK81" i="2"/>
  <c r="CL81" i="2"/>
  <c r="CJ82" i="2"/>
  <c r="CK82" i="2"/>
  <c r="CL82" i="2"/>
  <c r="CJ83" i="2"/>
  <c r="CK83" i="2"/>
  <c r="CL83" i="2"/>
  <c r="CJ84" i="2"/>
  <c r="CK84" i="2"/>
  <c r="CL84" i="2"/>
  <c r="CJ85" i="2"/>
  <c r="CK85" i="2"/>
  <c r="CL85" i="2"/>
  <c r="CJ86" i="2"/>
  <c r="CK86" i="2"/>
  <c r="CL86" i="2"/>
  <c r="CJ87" i="2"/>
  <c r="CK87" i="2"/>
  <c r="CL87" i="2"/>
  <c r="CJ88" i="2"/>
  <c r="CK88" i="2"/>
  <c r="CL88" i="2"/>
  <c r="CJ89" i="2"/>
  <c r="CK89" i="2"/>
  <c r="CL89" i="2"/>
  <c r="CJ90" i="2"/>
  <c r="CK90" i="2"/>
  <c r="CL90" i="2"/>
  <c r="CJ91" i="2"/>
  <c r="CK91" i="2"/>
  <c r="CL91" i="2"/>
  <c r="CJ92" i="2"/>
  <c r="CK92" i="2"/>
  <c r="CL92" i="2"/>
  <c r="CJ93" i="2"/>
  <c r="CK93" i="2"/>
  <c r="CL93" i="2"/>
  <c r="CJ94" i="2"/>
  <c r="CK94" i="2"/>
  <c r="CL94" i="2"/>
  <c r="CJ95" i="2"/>
  <c r="CK95" i="2"/>
  <c r="CL95" i="2"/>
  <c r="CJ96" i="2"/>
  <c r="CK96" i="2"/>
  <c r="CL96" i="2"/>
  <c r="CJ97" i="2"/>
  <c r="CK97" i="2"/>
  <c r="CL97" i="2"/>
  <c r="CJ98" i="2"/>
  <c r="CK98" i="2"/>
  <c r="CL98" i="2"/>
  <c r="CJ99" i="2"/>
  <c r="CK99" i="2"/>
  <c r="CL99" i="2"/>
  <c r="CJ100" i="2"/>
  <c r="CK100" i="2"/>
  <c r="CL100" i="2"/>
  <c r="CJ101" i="2"/>
  <c r="CK101" i="2"/>
  <c r="CL101" i="2"/>
  <c r="CJ102" i="2"/>
  <c r="CK102" i="2"/>
  <c r="CL102" i="2"/>
  <c r="CJ103" i="2"/>
  <c r="CK103" i="2"/>
  <c r="CL103" i="2"/>
  <c r="CJ104" i="2"/>
  <c r="CK104" i="2"/>
  <c r="CL104" i="2"/>
  <c r="CJ105" i="2"/>
  <c r="CK105" i="2"/>
  <c r="CL105" i="2"/>
  <c r="CJ106" i="2"/>
  <c r="CK106" i="2"/>
  <c r="CL106" i="2"/>
  <c r="CJ107" i="2"/>
  <c r="CK107" i="2"/>
  <c r="CL107" i="2"/>
  <c r="CJ108" i="2"/>
  <c r="CK108" i="2"/>
  <c r="CL108" i="2"/>
  <c r="CJ109" i="2"/>
  <c r="CK109" i="2"/>
  <c r="CL109" i="2"/>
  <c r="CJ110" i="2"/>
  <c r="CK110" i="2"/>
  <c r="CL110" i="2"/>
  <c r="CJ111" i="2"/>
  <c r="CK111" i="2"/>
  <c r="CL111" i="2"/>
  <c r="CJ112" i="2"/>
  <c r="CK112" i="2"/>
  <c r="CL112" i="2"/>
  <c r="CJ113" i="2"/>
  <c r="CK113" i="2"/>
  <c r="CL113" i="2"/>
  <c r="CJ114" i="2"/>
  <c r="CK114" i="2"/>
  <c r="CL114" i="2"/>
  <c r="CJ115" i="2"/>
  <c r="CK115" i="2"/>
  <c r="CL115" i="2"/>
  <c r="CJ116" i="2"/>
  <c r="CK116" i="2"/>
  <c r="CL116" i="2"/>
  <c r="CJ117" i="2"/>
  <c r="CK117" i="2"/>
  <c r="CL117" i="2"/>
  <c r="CJ118" i="2"/>
  <c r="CK118" i="2"/>
  <c r="CL118" i="2"/>
  <c r="CJ119" i="2"/>
  <c r="CK119" i="2"/>
  <c r="CL119" i="2"/>
  <c r="CJ120" i="2"/>
  <c r="CK120" i="2"/>
  <c r="CL120" i="2"/>
  <c r="CJ121" i="2"/>
  <c r="CK121" i="2"/>
  <c r="CL121" i="2"/>
  <c r="CJ122" i="2"/>
  <c r="CK122" i="2"/>
  <c r="CL122" i="2"/>
  <c r="CJ123" i="2"/>
  <c r="CK123" i="2"/>
  <c r="CL123" i="2"/>
  <c r="CJ124" i="2"/>
  <c r="CK124" i="2"/>
  <c r="CL124" i="2"/>
  <c r="CJ125" i="2"/>
  <c r="CK125" i="2"/>
  <c r="CL125" i="2"/>
  <c r="CJ126" i="2"/>
  <c r="CK126" i="2"/>
  <c r="CL126" i="2"/>
  <c r="CJ127" i="2"/>
  <c r="CK127" i="2"/>
  <c r="CL127" i="2"/>
  <c r="CJ128" i="2"/>
  <c r="CK128" i="2"/>
  <c r="CL128" i="2"/>
  <c r="CJ129" i="2"/>
  <c r="CK129" i="2"/>
  <c r="CL129" i="2"/>
  <c r="CJ130" i="2"/>
  <c r="CK130" i="2"/>
  <c r="CL130" i="2"/>
  <c r="CJ131" i="2"/>
  <c r="CK131" i="2"/>
  <c r="CL131" i="2"/>
  <c r="CJ132" i="2"/>
  <c r="CK132" i="2"/>
  <c r="CL132" i="2"/>
  <c r="CJ133" i="2"/>
  <c r="CK133" i="2"/>
  <c r="CL133" i="2"/>
  <c r="CJ134" i="2"/>
  <c r="CK134" i="2"/>
  <c r="CL134" i="2"/>
  <c r="CJ135" i="2"/>
  <c r="CK135" i="2"/>
  <c r="CL135" i="2"/>
  <c r="CJ136" i="2"/>
  <c r="CK136" i="2"/>
  <c r="CL136" i="2"/>
  <c r="CJ137" i="2"/>
  <c r="CK137" i="2"/>
  <c r="CL137" i="2"/>
  <c r="CJ138" i="2"/>
  <c r="CK138" i="2"/>
  <c r="CL138" i="2"/>
  <c r="CJ139" i="2"/>
  <c r="CK139" i="2"/>
  <c r="CL139" i="2"/>
  <c r="CJ140" i="2"/>
  <c r="CK140" i="2"/>
  <c r="CL140" i="2"/>
  <c r="CJ141" i="2"/>
  <c r="CK141" i="2"/>
  <c r="CL141" i="2"/>
  <c r="CJ142" i="2"/>
  <c r="CK142" i="2"/>
  <c r="CL142" i="2"/>
  <c r="CJ143" i="2"/>
  <c r="CK143" i="2"/>
  <c r="CL143" i="2"/>
  <c r="CJ144" i="2"/>
  <c r="CK144" i="2"/>
  <c r="CL144" i="2"/>
  <c r="CJ145" i="2"/>
  <c r="CK145" i="2"/>
  <c r="CL145" i="2"/>
  <c r="CJ146" i="2"/>
  <c r="CK146" i="2"/>
  <c r="CL146" i="2"/>
  <c r="CJ147" i="2"/>
  <c r="CK147" i="2"/>
  <c r="CL147" i="2"/>
  <c r="CJ148" i="2"/>
  <c r="CK148" i="2"/>
  <c r="CL148" i="2"/>
  <c r="CJ149" i="2"/>
  <c r="CK149" i="2"/>
  <c r="CL149" i="2"/>
  <c r="CJ150" i="2"/>
  <c r="CK150" i="2"/>
  <c r="CL150" i="2"/>
  <c r="CJ151" i="2"/>
  <c r="CK151" i="2"/>
  <c r="CL151" i="2"/>
  <c r="CJ152" i="2"/>
  <c r="CK152" i="2"/>
  <c r="CL152" i="2"/>
  <c r="CJ153" i="2"/>
  <c r="CK153" i="2"/>
  <c r="CL153" i="2"/>
  <c r="CJ154" i="2"/>
  <c r="CK154" i="2"/>
  <c r="CL154" i="2"/>
  <c r="CJ155" i="2"/>
  <c r="CK155" i="2"/>
  <c r="CL155" i="2"/>
  <c r="CJ156" i="2"/>
  <c r="CK156" i="2"/>
  <c r="CL156" i="2"/>
  <c r="CJ157" i="2"/>
  <c r="CK157" i="2"/>
  <c r="CL157" i="2"/>
  <c r="CJ158" i="2"/>
  <c r="CK158" i="2"/>
  <c r="CL158" i="2"/>
  <c r="CJ159" i="2"/>
  <c r="CK159" i="2"/>
  <c r="CL159" i="2"/>
  <c r="CJ160" i="2"/>
  <c r="CK160" i="2"/>
  <c r="CL160" i="2"/>
  <c r="CJ161" i="2"/>
  <c r="CK161" i="2"/>
  <c r="CL161" i="2"/>
  <c r="CJ162" i="2"/>
  <c r="CK162" i="2"/>
  <c r="CL162" i="2"/>
  <c r="CJ163" i="2"/>
  <c r="CK163" i="2"/>
  <c r="CL163" i="2"/>
  <c r="CJ164" i="2"/>
  <c r="CK164" i="2"/>
  <c r="CL164" i="2"/>
  <c r="CJ165" i="2"/>
  <c r="CK165" i="2"/>
  <c r="CL165" i="2"/>
  <c r="CJ166" i="2"/>
  <c r="CK166" i="2"/>
  <c r="CL166" i="2"/>
  <c r="CJ167" i="2"/>
  <c r="CK167" i="2"/>
  <c r="CL167" i="2"/>
  <c r="CJ168" i="2"/>
  <c r="CK168" i="2"/>
  <c r="CL168" i="2"/>
  <c r="CJ169" i="2"/>
  <c r="CK169" i="2"/>
  <c r="CL169" i="2"/>
  <c r="CJ170" i="2"/>
  <c r="CK170" i="2"/>
  <c r="CL170" i="2"/>
  <c r="CJ171" i="2"/>
  <c r="CK171" i="2"/>
  <c r="CL171" i="2"/>
  <c r="CJ172" i="2"/>
  <c r="CK172" i="2"/>
  <c r="CL172" i="2"/>
  <c r="CJ173" i="2"/>
  <c r="CK173" i="2"/>
  <c r="CL173" i="2"/>
  <c r="CJ174" i="2"/>
  <c r="CK174" i="2"/>
  <c r="CL174" i="2"/>
  <c r="CJ175" i="2"/>
  <c r="CK175" i="2"/>
  <c r="CL175" i="2"/>
  <c r="CJ176" i="2"/>
  <c r="CK176" i="2"/>
  <c r="CL176" i="2"/>
  <c r="CJ177" i="2"/>
  <c r="CK177" i="2"/>
  <c r="CL177" i="2"/>
  <c r="CJ178" i="2"/>
  <c r="CK178" i="2"/>
  <c r="CL178" i="2"/>
  <c r="CJ179" i="2"/>
  <c r="CK179" i="2"/>
  <c r="CL179" i="2"/>
  <c r="CJ180" i="2"/>
  <c r="CK180" i="2"/>
  <c r="CL180" i="2"/>
  <c r="CJ181" i="2"/>
  <c r="CK181" i="2"/>
  <c r="CL181" i="2"/>
  <c r="CJ182" i="2"/>
  <c r="CK182" i="2"/>
  <c r="CL182" i="2"/>
  <c r="CJ183" i="2"/>
  <c r="CK183" i="2"/>
  <c r="CL183" i="2"/>
  <c r="CJ184" i="2"/>
  <c r="CK184" i="2"/>
  <c r="CL184" i="2"/>
  <c r="CJ185" i="2"/>
  <c r="CK185" i="2"/>
  <c r="CL185" i="2"/>
  <c r="CJ186" i="2"/>
  <c r="CK186" i="2"/>
  <c r="CL186" i="2"/>
  <c r="CJ187" i="2"/>
  <c r="CK187" i="2"/>
  <c r="CL187" i="2"/>
  <c r="CJ188" i="2"/>
  <c r="CK188" i="2"/>
  <c r="CL188" i="2"/>
  <c r="CJ189" i="2"/>
  <c r="CK189" i="2"/>
  <c r="CL189" i="2"/>
  <c r="CJ190" i="2"/>
  <c r="CK190" i="2"/>
  <c r="CL190" i="2"/>
  <c r="CJ191" i="2"/>
  <c r="CK191" i="2"/>
  <c r="CL191" i="2"/>
  <c r="CJ192" i="2"/>
  <c r="CK192" i="2"/>
  <c r="CL192" i="2"/>
  <c r="CJ193" i="2"/>
  <c r="CK193" i="2"/>
  <c r="CL193" i="2"/>
  <c r="CJ194" i="2"/>
  <c r="CK194" i="2"/>
  <c r="CL194" i="2"/>
  <c r="CJ195" i="2"/>
  <c r="CK195" i="2"/>
  <c r="CL195" i="2"/>
  <c r="CJ196" i="2"/>
  <c r="CK196" i="2"/>
  <c r="CL196" i="2"/>
  <c r="CJ197" i="2"/>
  <c r="CK197" i="2"/>
  <c r="CL197" i="2"/>
  <c r="CJ198" i="2"/>
  <c r="CK198" i="2"/>
  <c r="CL198" i="2"/>
  <c r="CJ199" i="2"/>
  <c r="CK199" i="2"/>
  <c r="CL199" i="2"/>
  <c r="CJ200" i="2"/>
  <c r="CK200" i="2"/>
  <c r="CL200" i="2"/>
  <c r="CJ201" i="2"/>
  <c r="CK201" i="2"/>
  <c r="CL201" i="2"/>
  <c r="CJ202" i="2"/>
  <c r="CK202" i="2"/>
  <c r="CL202" i="2"/>
  <c r="CJ203" i="2"/>
  <c r="CK203" i="2"/>
  <c r="CL203" i="2"/>
  <c r="CJ204" i="2"/>
  <c r="CK204" i="2"/>
  <c r="CL204" i="2"/>
  <c r="CJ205" i="2"/>
  <c r="CK205" i="2"/>
  <c r="CL205" i="2"/>
  <c r="CJ206" i="2"/>
  <c r="CK206" i="2"/>
  <c r="CL206" i="2"/>
  <c r="CJ207" i="2"/>
  <c r="CK207" i="2"/>
  <c r="CL207" i="2"/>
  <c r="CJ208" i="2"/>
  <c r="CK208" i="2"/>
  <c r="CL208" i="2"/>
  <c r="CJ209" i="2"/>
  <c r="CK209" i="2"/>
  <c r="CL209" i="2"/>
  <c r="CJ210" i="2"/>
  <c r="CK210" i="2"/>
  <c r="CL210" i="2"/>
  <c r="CJ211" i="2"/>
  <c r="CK211" i="2"/>
  <c r="CL211" i="2"/>
  <c r="CJ212" i="2"/>
  <c r="CK212" i="2"/>
  <c r="CL212" i="2"/>
  <c r="CJ213" i="2"/>
  <c r="CK213" i="2"/>
  <c r="CL213" i="2"/>
  <c r="CJ214" i="2"/>
  <c r="CK214" i="2"/>
  <c r="CL214" i="2"/>
  <c r="CJ215" i="2"/>
  <c r="CK215" i="2"/>
  <c r="CL215" i="2"/>
  <c r="CJ216" i="2"/>
  <c r="CK216" i="2"/>
  <c r="CL216" i="2"/>
  <c r="CJ217" i="2"/>
  <c r="CK217" i="2"/>
  <c r="CL217" i="2"/>
  <c r="CJ218" i="2"/>
  <c r="CK218" i="2"/>
  <c r="CL218" i="2"/>
  <c r="CJ219" i="2"/>
  <c r="CK219" i="2"/>
  <c r="CL219" i="2"/>
  <c r="CJ220" i="2"/>
  <c r="CK220" i="2"/>
  <c r="CL220" i="2"/>
  <c r="CJ221" i="2"/>
  <c r="CK221" i="2"/>
  <c r="CL221" i="2"/>
  <c r="CJ222" i="2"/>
  <c r="CK222" i="2"/>
  <c r="CL222" i="2"/>
  <c r="CJ223" i="2"/>
  <c r="CK223" i="2"/>
  <c r="CL223" i="2"/>
  <c r="CJ224" i="2"/>
  <c r="CK224" i="2"/>
  <c r="CL224" i="2"/>
  <c r="CJ225" i="2"/>
  <c r="CK225" i="2"/>
  <c r="CL225" i="2"/>
  <c r="CJ226" i="2"/>
  <c r="CK226" i="2"/>
  <c r="CL226" i="2"/>
  <c r="CJ227" i="2"/>
  <c r="CK227" i="2"/>
  <c r="CL227" i="2"/>
  <c r="CJ228" i="2"/>
  <c r="CK228" i="2"/>
  <c r="CL228" i="2"/>
  <c r="CJ229" i="2"/>
  <c r="CK229" i="2"/>
  <c r="CL229" i="2"/>
  <c r="CJ230" i="2"/>
  <c r="CK230" i="2"/>
  <c r="CL230" i="2"/>
  <c r="CJ231" i="2"/>
  <c r="CK231" i="2"/>
  <c r="CL231" i="2"/>
  <c r="CJ232" i="2"/>
  <c r="CK232" i="2"/>
  <c r="CL232" i="2"/>
  <c r="CJ233" i="2"/>
  <c r="CK233" i="2"/>
  <c r="CL233" i="2"/>
  <c r="CJ234" i="2"/>
  <c r="CK234" i="2"/>
  <c r="CL234" i="2"/>
  <c r="CJ235" i="2"/>
  <c r="CK235" i="2"/>
  <c r="CL235" i="2"/>
  <c r="CJ236" i="2"/>
  <c r="CK236" i="2"/>
  <c r="CL236" i="2"/>
  <c r="CJ237" i="2"/>
  <c r="CK237" i="2"/>
  <c r="CL237" i="2"/>
  <c r="CJ238" i="2"/>
  <c r="CK238" i="2"/>
  <c r="CL238" i="2"/>
  <c r="CJ239" i="2"/>
  <c r="CK239" i="2"/>
  <c r="CL239" i="2"/>
  <c r="CJ240" i="2"/>
  <c r="CK240" i="2"/>
  <c r="CL240" i="2"/>
  <c r="CJ241" i="2"/>
  <c r="CK241" i="2"/>
  <c r="CL241" i="2"/>
  <c r="CJ242" i="2"/>
  <c r="CK242" i="2"/>
  <c r="CL242" i="2"/>
  <c r="CJ243" i="2"/>
  <c r="CK243" i="2"/>
  <c r="CL243" i="2"/>
  <c r="CJ244" i="2"/>
  <c r="CK244" i="2"/>
  <c r="CL244" i="2"/>
  <c r="CJ245" i="2"/>
  <c r="CK245" i="2"/>
  <c r="CL245" i="2"/>
  <c r="CJ246" i="2"/>
  <c r="CK246" i="2"/>
  <c r="CL246" i="2"/>
  <c r="CJ247" i="2"/>
  <c r="CK247" i="2"/>
  <c r="CL247" i="2"/>
  <c r="CJ248" i="2"/>
  <c r="CK248" i="2"/>
  <c r="CL248" i="2"/>
  <c r="CJ249" i="2"/>
  <c r="CK249" i="2"/>
  <c r="CL249" i="2"/>
  <c r="CJ250" i="2"/>
  <c r="CK250" i="2"/>
  <c r="CL250" i="2"/>
  <c r="CJ251" i="2"/>
  <c r="CK251" i="2"/>
  <c r="CL251" i="2"/>
  <c r="CJ252" i="2"/>
  <c r="CK252" i="2"/>
  <c r="CL252" i="2"/>
  <c r="CJ253" i="2"/>
  <c r="CK253" i="2"/>
  <c r="CL253" i="2"/>
  <c r="CJ254" i="2"/>
  <c r="CK254" i="2"/>
  <c r="CL254" i="2"/>
  <c r="CJ255" i="2"/>
  <c r="CK255" i="2"/>
  <c r="CL255" i="2"/>
  <c r="CJ256" i="2"/>
  <c r="CK256" i="2"/>
  <c r="CL256" i="2"/>
  <c r="CJ257" i="2"/>
  <c r="CK257" i="2"/>
  <c r="CL257" i="2"/>
  <c r="CJ258" i="2"/>
  <c r="CK258" i="2"/>
  <c r="CL258" i="2"/>
  <c r="CJ259" i="2"/>
  <c r="CK259" i="2"/>
  <c r="CL259" i="2"/>
  <c r="CJ260" i="2"/>
  <c r="CK260" i="2"/>
  <c r="CL260" i="2"/>
  <c r="CJ261" i="2"/>
  <c r="CK261" i="2"/>
  <c r="CL261" i="2"/>
  <c r="CJ262" i="2"/>
  <c r="CK262" i="2"/>
  <c r="CL262" i="2"/>
  <c r="CJ263" i="2"/>
  <c r="CK263" i="2"/>
  <c r="CL263" i="2"/>
  <c r="CJ264" i="2"/>
  <c r="CK264" i="2"/>
  <c r="CL264" i="2"/>
  <c r="CJ265" i="2"/>
  <c r="CK265" i="2"/>
  <c r="CL265" i="2"/>
  <c r="CJ266" i="2"/>
  <c r="CK266" i="2"/>
  <c r="CL266" i="2"/>
  <c r="CJ267" i="2"/>
  <c r="CK267" i="2"/>
  <c r="CL267" i="2"/>
  <c r="CJ268" i="2"/>
  <c r="CK268" i="2"/>
  <c r="CL268" i="2"/>
  <c r="CJ269" i="2"/>
  <c r="CK269" i="2"/>
  <c r="CL269" i="2"/>
  <c r="CJ270" i="2"/>
  <c r="CK270" i="2"/>
  <c r="CL270" i="2"/>
  <c r="CJ271" i="2"/>
  <c r="CK271" i="2"/>
  <c r="CL271" i="2"/>
  <c r="CJ272" i="2"/>
  <c r="CK272" i="2"/>
  <c r="CL272" i="2"/>
  <c r="CJ273" i="2"/>
  <c r="CK273" i="2"/>
  <c r="CL273" i="2"/>
  <c r="CJ274" i="2"/>
  <c r="CK274" i="2"/>
  <c r="CL274" i="2"/>
  <c r="CJ275" i="2"/>
  <c r="CK275" i="2"/>
  <c r="CL275" i="2"/>
  <c r="CJ276" i="2"/>
  <c r="CK276" i="2"/>
  <c r="CL276" i="2"/>
  <c r="CJ277" i="2"/>
  <c r="CK277" i="2"/>
  <c r="CL277" i="2"/>
  <c r="CJ278" i="2"/>
  <c r="CK278" i="2"/>
  <c r="CL278" i="2"/>
  <c r="CJ279" i="2"/>
  <c r="CK279" i="2"/>
  <c r="CL279" i="2"/>
  <c r="CJ280" i="2"/>
  <c r="CK280" i="2"/>
  <c r="CL280" i="2"/>
  <c r="CJ281" i="2"/>
  <c r="CK281" i="2"/>
  <c r="CL281" i="2"/>
  <c r="CJ282" i="2"/>
  <c r="CK282" i="2"/>
  <c r="CL282" i="2"/>
  <c r="CJ283" i="2"/>
  <c r="CK283" i="2"/>
  <c r="CL283" i="2"/>
  <c r="CJ284" i="2"/>
  <c r="CK284" i="2"/>
  <c r="CL284" i="2"/>
  <c r="CJ285" i="2"/>
  <c r="CK285" i="2"/>
  <c r="CL285" i="2"/>
  <c r="CJ286" i="2"/>
  <c r="CK286" i="2"/>
  <c r="CL286" i="2"/>
  <c r="CJ287" i="2"/>
  <c r="CK287" i="2"/>
  <c r="CL287" i="2"/>
  <c r="CJ288" i="2"/>
  <c r="CK288" i="2"/>
  <c r="CL288" i="2"/>
  <c r="CJ289" i="2"/>
  <c r="CK289" i="2"/>
  <c r="CL289" i="2"/>
  <c r="CJ290" i="2"/>
  <c r="CK290" i="2"/>
  <c r="CL290" i="2"/>
  <c r="CJ291" i="2"/>
  <c r="CK291" i="2"/>
  <c r="CL291" i="2"/>
  <c r="CJ292" i="2"/>
  <c r="CK292" i="2"/>
  <c r="CL292" i="2"/>
  <c r="CJ293" i="2"/>
  <c r="CK293" i="2"/>
  <c r="CL293" i="2"/>
  <c r="CJ294" i="2"/>
  <c r="CK294" i="2"/>
  <c r="CL294" i="2"/>
  <c r="CJ295" i="2"/>
  <c r="CK295" i="2"/>
  <c r="CL295" i="2"/>
  <c r="CJ296" i="2"/>
  <c r="CK296" i="2"/>
  <c r="CL296" i="2"/>
  <c r="CJ297" i="2"/>
  <c r="CK297" i="2"/>
  <c r="CL297" i="2"/>
  <c r="CJ298" i="2"/>
  <c r="CK298" i="2"/>
  <c r="CL298" i="2"/>
  <c r="CJ299" i="2"/>
  <c r="CK299" i="2"/>
  <c r="CL299" i="2"/>
  <c r="CJ300" i="2"/>
  <c r="CK300" i="2"/>
  <c r="CL300" i="2"/>
  <c r="CJ301" i="2"/>
  <c r="CK301" i="2"/>
  <c r="CL301" i="2"/>
  <c r="CJ302" i="2"/>
  <c r="CK302" i="2"/>
  <c r="CL302" i="2"/>
  <c r="CJ303" i="2"/>
  <c r="CK303" i="2"/>
  <c r="CL303" i="2"/>
  <c r="CJ304" i="2"/>
  <c r="CK304" i="2"/>
  <c r="CL304" i="2"/>
  <c r="CJ305" i="2"/>
  <c r="CK305" i="2"/>
  <c r="CL305" i="2"/>
  <c r="CJ306" i="2"/>
  <c r="CK306" i="2"/>
  <c r="CL306" i="2"/>
  <c r="CJ307" i="2"/>
  <c r="CK307" i="2"/>
  <c r="CL307" i="2"/>
  <c r="CJ308" i="2"/>
  <c r="CK308" i="2"/>
  <c r="CL308" i="2"/>
  <c r="CJ309" i="2"/>
  <c r="CK309" i="2"/>
  <c r="CL309" i="2"/>
  <c r="CJ310" i="2"/>
  <c r="CK310" i="2"/>
  <c r="CL310" i="2"/>
  <c r="CJ311" i="2"/>
  <c r="CK311" i="2"/>
  <c r="CL311" i="2"/>
  <c r="CJ312" i="2"/>
  <c r="CK312" i="2"/>
  <c r="CL312" i="2"/>
  <c r="CJ313" i="2"/>
  <c r="CK313" i="2"/>
  <c r="CL313" i="2"/>
  <c r="CJ314" i="2"/>
  <c r="CK314" i="2"/>
  <c r="CL314" i="2"/>
  <c r="CJ315" i="2"/>
  <c r="CK315" i="2"/>
  <c r="CL315" i="2"/>
  <c r="CJ316" i="2"/>
  <c r="CK316" i="2"/>
  <c r="CL316" i="2"/>
  <c r="CJ317" i="2"/>
  <c r="CK317" i="2"/>
  <c r="CL317" i="2"/>
  <c r="CJ318" i="2"/>
  <c r="CK318" i="2"/>
  <c r="CL318" i="2"/>
  <c r="CJ319" i="2"/>
  <c r="CK319" i="2"/>
  <c r="CL319" i="2"/>
  <c r="CJ320" i="2"/>
  <c r="CK320" i="2"/>
  <c r="CL320" i="2"/>
  <c r="CJ321" i="2"/>
  <c r="CK321" i="2"/>
  <c r="CL321" i="2"/>
  <c r="CJ322" i="2"/>
  <c r="CK322" i="2"/>
  <c r="CL322" i="2"/>
  <c r="CJ323" i="2"/>
  <c r="CK323" i="2"/>
  <c r="CL323" i="2"/>
  <c r="CJ324" i="2"/>
  <c r="CK324" i="2"/>
  <c r="CL324" i="2"/>
  <c r="CJ325" i="2"/>
  <c r="CK325" i="2"/>
  <c r="CL325" i="2"/>
  <c r="CJ326" i="2"/>
  <c r="CK326" i="2"/>
  <c r="CL326" i="2"/>
  <c r="CJ327" i="2"/>
  <c r="CK327" i="2"/>
  <c r="CL327" i="2"/>
  <c r="CJ328" i="2"/>
  <c r="CK328" i="2"/>
  <c r="CL328" i="2"/>
  <c r="CJ329" i="2"/>
  <c r="CK329" i="2"/>
  <c r="CL329" i="2"/>
  <c r="CJ330" i="2"/>
  <c r="CK330" i="2"/>
  <c r="CL330" i="2"/>
  <c r="CJ331" i="2"/>
  <c r="CK331" i="2"/>
  <c r="CL331" i="2"/>
  <c r="CJ332" i="2"/>
  <c r="CK332" i="2"/>
  <c r="CL332" i="2"/>
  <c r="CJ333" i="2"/>
  <c r="CK333" i="2"/>
  <c r="CL333" i="2"/>
  <c r="CJ334" i="2"/>
  <c r="CK334" i="2"/>
  <c r="CL334" i="2"/>
  <c r="CJ335" i="2"/>
  <c r="CK335" i="2"/>
  <c r="CL335" i="2"/>
  <c r="CJ336" i="2"/>
  <c r="CK336" i="2"/>
  <c r="CL336" i="2"/>
  <c r="CJ337" i="2"/>
  <c r="CK337" i="2"/>
  <c r="CL337" i="2"/>
  <c r="CJ338" i="2"/>
  <c r="CK338" i="2"/>
  <c r="CL338" i="2"/>
  <c r="CJ339" i="2"/>
  <c r="CK339" i="2"/>
  <c r="CL339" i="2"/>
  <c r="CJ340" i="2"/>
  <c r="CK340" i="2"/>
  <c r="CL340" i="2"/>
  <c r="CJ341" i="2"/>
  <c r="CK341" i="2"/>
  <c r="CL341" i="2"/>
  <c r="CJ342" i="2"/>
  <c r="CK342" i="2"/>
  <c r="CL342" i="2"/>
  <c r="CJ343" i="2"/>
  <c r="CK343" i="2"/>
  <c r="CL343" i="2"/>
  <c r="CJ344" i="2"/>
  <c r="CK344" i="2"/>
  <c r="CL344" i="2"/>
  <c r="CJ345" i="2"/>
  <c r="CK345" i="2"/>
  <c r="CL345" i="2"/>
  <c r="CJ346" i="2"/>
  <c r="CK346" i="2"/>
  <c r="CL346" i="2"/>
  <c r="CJ347" i="2"/>
  <c r="CK347" i="2"/>
  <c r="CL347" i="2"/>
  <c r="CJ348" i="2"/>
  <c r="CK348" i="2"/>
  <c r="CL348" i="2"/>
  <c r="CJ349" i="2"/>
  <c r="CK349" i="2"/>
  <c r="CL349" i="2"/>
  <c r="CJ350" i="2"/>
  <c r="CK350" i="2"/>
  <c r="CL350" i="2"/>
  <c r="CJ351" i="2"/>
  <c r="CK351" i="2"/>
  <c r="CL351" i="2"/>
  <c r="CJ352" i="2"/>
  <c r="CK352" i="2"/>
  <c r="CL352" i="2"/>
  <c r="CJ353" i="2"/>
  <c r="CK353" i="2"/>
  <c r="CL353" i="2"/>
  <c r="CJ354" i="2"/>
  <c r="CK354" i="2"/>
  <c r="CL354" i="2"/>
  <c r="CJ355" i="2"/>
  <c r="CK355" i="2"/>
  <c r="CL355" i="2"/>
  <c r="CJ356" i="2"/>
  <c r="CK356" i="2"/>
  <c r="CL356" i="2"/>
  <c r="CJ357" i="2"/>
  <c r="CK357" i="2"/>
  <c r="CL357" i="2"/>
  <c r="CJ358" i="2"/>
  <c r="CK358" i="2"/>
  <c r="CL358" i="2"/>
  <c r="CJ359" i="2"/>
  <c r="CK359" i="2"/>
  <c r="CL359" i="2"/>
  <c r="CJ360" i="2"/>
  <c r="CK360" i="2"/>
  <c r="CL360" i="2"/>
  <c r="CJ361" i="2"/>
  <c r="CK361" i="2"/>
  <c r="CL361" i="2"/>
  <c r="CJ362" i="2"/>
  <c r="CK362" i="2"/>
  <c r="CL362" i="2"/>
  <c r="CJ363" i="2"/>
  <c r="CK363" i="2"/>
  <c r="CL363" i="2"/>
  <c r="CJ364" i="2"/>
  <c r="CK364" i="2"/>
  <c r="CL364" i="2"/>
  <c r="CJ365" i="2"/>
  <c r="CK365" i="2"/>
  <c r="CL365" i="2"/>
  <c r="CJ366" i="2"/>
  <c r="CK366" i="2"/>
  <c r="CL366" i="2"/>
  <c r="CJ367" i="2"/>
  <c r="CK367" i="2"/>
  <c r="CL367" i="2"/>
  <c r="CJ368" i="2"/>
  <c r="CK368" i="2"/>
  <c r="CL368" i="2"/>
  <c r="CJ369" i="2"/>
  <c r="CK369" i="2"/>
  <c r="CL369" i="2"/>
  <c r="CJ370" i="2"/>
  <c r="CK370" i="2"/>
  <c r="CL370" i="2"/>
  <c r="CJ371" i="2"/>
  <c r="CK371" i="2"/>
  <c r="CL371" i="2"/>
  <c r="CJ372" i="2"/>
  <c r="CK372" i="2"/>
  <c r="CL372" i="2"/>
  <c r="CJ373" i="2"/>
  <c r="CK373" i="2"/>
  <c r="CL373" i="2"/>
  <c r="CJ374" i="2"/>
  <c r="CK374" i="2"/>
  <c r="CL374" i="2"/>
  <c r="CJ375" i="2"/>
  <c r="CK375" i="2"/>
  <c r="CL375" i="2"/>
  <c r="CJ376" i="2"/>
  <c r="CK376" i="2"/>
  <c r="CL376" i="2"/>
  <c r="CJ377" i="2"/>
  <c r="CK377" i="2"/>
  <c r="CL377" i="2"/>
  <c r="CJ378" i="2"/>
  <c r="CK378" i="2"/>
  <c r="CL378" i="2"/>
  <c r="CJ379" i="2"/>
  <c r="CK379" i="2"/>
  <c r="CL379" i="2"/>
  <c r="CJ380" i="2"/>
  <c r="CK380" i="2"/>
  <c r="CL380" i="2"/>
  <c r="CJ381" i="2"/>
  <c r="CK381" i="2"/>
  <c r="CL381" i="2"/>
  <c r="CJ382" i="2"/>
  <c r="CK382" i="2"/>
  <c r="CL382" i="2"/>
  <c r="CJ383" i="2"/>
  <c r="CK383" i="2"/>
  <c r="CL383" i="2"/>
  <c r="CJ384" i="2"/>
  <c r="CK384" i="2"/>
  <c r="CL384" i="2"/>
  <c r="CJ385" i="2"/>
  <c r="CK385" i="2"/>
  <c r="CL385" i="2"/>
  <c r="CJ386" i="2"/>
  <c r="CK386" i="2"/>
  <c r="CL386" i="2"/>
  <c r="CJ387" i="2"/>
  <c r="CK387" i="2"/>
  <c r="CL387" i="2"/>
  <c r="CJ388" i="2"/>
  <c r="CK388" i="2"/>
  <c r="CL388" i="2"/>
  <c r="CJ389" i="2"/>
  <c r="CK389" i="2"/>
  <c r="CL389" i="2"/>
  <c r="CJ390" i="2"/>
  <c r="CK390" i="2"/>
  <c r="CL390" i="2"/>
  <c r="CJ391" i="2"/>
  <c r="CK391" i="2"/>
  <c r="CL391" i="2"/>
  <c r="CJ392" i="2"/>
  <c r="CK392" i="2"/>
  <c r="CL392" i="2"/>
  <c r="CJ393" i="2"/>
  <c r="CK393" i="2"/>
  <c r="CL393" i="2"/>
  <c r="CJ394" i="2"/>
  <c r="CK394" i="2"/>
  <c r="CL394" i="2"/>
  <c r="CJ395" i="2"/>
  <c r="CK395" i="2"/>
  <c r="CL395" i="2"/>
  <c r="CJ396" i="2"/>
  <c r="CK396" i="2"/>
  <c r="CL396" i="2"/>
  <c r="CJ397" i="2"/>
  <c r="CK397" i="2"/>
  <c r="CL397" i="2"/>
  <c r="CJ398" i="2"/>
  <c r="CK398" i="2"/>
  <c r="CL398" i="2"/>
  <c r="CJ399" i="2"/>
  <c r="CK399" i="2"/>
  <c r="CL399" i="2"/>
  <c r="CJ400" i="2"/>
  <c r="CK400" i="2"/>
  <c r="CL400" i="2"/>
  <c r="CJ401" i="2"/>
  <c r="CK401" i="2"/>
  <c r="CL401" i="2"/>
  <c r="CJ402" i="2"/>
  <c r="CK402" i="2"/>
  <c r="CL402" i="2"/>
  <c r="CJ403" i="2"/>
  <c r="CK403" i="2"/>
  <c r="CL403" i="2"/>
  <c r="CJ404" i="2"/>
  <c r="CK404" i="2"/>
  <c r="CL404" i="2"/>
  <c r="CJ405" i="2"/>
  <c r="CK405" i="2"/>
  <c r="CL405" i="2"/>
  <c r="CJ406" i="2"/>
  <c r="CK406" i="2"/>
  <c r="CL406" i="2"/>
  <c r="CJ407" i="2"/>
  <c r="CK407" i="2"/>
  <c r="CL407" i="2"/>
  <c r="CJ408" i="2"/>
  <c r="CK408" i="2"/>
  <c r="CL408" i="2"/>
  <c r="CJ409" i="2"/>
  <c r="CK409" i="2"/>
  <c r="CL409" i="2"/>
  <c r="CJ410" i="2"/>
  <c r="CK410" i="2"/>
  <c r="CL410" i="2"/>
  <c r="CJ411" i="2"/>
  <c r="CK411" i="2"/>
  <c r="CL411" i="2"/>
  <c r="CJ412" i="2"/>
  <c r="CK412" i="2"/>
  <c r="CL412" i="2"/>
  <c r="CJ413" i="2"/>
  <c r="CK413" i="2"/>
  <c r="CL413" i="2"/>
  <c r="CJ414" i="2"/>
  <c r="CK414" i="2"/>
  <c r="CL414" i="2"/>
  <c r="CJ415" i="2"/>
  <c r="CK415" i="2"/>
  <c r="CL415" i="2"/>
  <c r="CJ416" i="2"/>
  <c r="CK416" i="2"/>
  <c r="CL416" i="2"/>
  <c r="CJ417" i="2"/>
  <c r="CK417" i="2"/>
  <c r="CL417" i="2"/>
  <c r="CJ418" i="2"/>
  <c r="CK418" i="2"/>
  <c r="CL418" i="2"/>
  <c r="CJ419" i="2"/>
  <c r="CK419" i="2"/>
  <c r="CL419" i="2"/>
  <c r="CJ420" i="2"/>
  <c r="CK420" i="2"/>
  <c r="CL420" i="2"/>
  <c r="CJ421" i="2"/>
  <c r="CK421" i="2"/>
  <c r="CL421" i="2"/>
  <c r="CJ422" i="2"/>
  <c r="CK422" i="2"/>
  <c r="CL422" i="2"/>
  <c r="CJ423" i="2"/>
  <c r="CK423" i="2"/>
  <c r="CL423" i="2"/>
  <c r="CJ424" i="2"/>
  <c r="CK424" i="2"/>
  <c r="CL424" i="2"/>
  <c r="CJ425" i="2"/>
  <c r="CK425" i="2"/>
  <c r="CL425" i="2"/>
  <c r="CJ426" i="2"/>
  <c r="CK426" i="2"/>
  <c r="CL426" i="2"/>
  <c r="CJ427" i="2"/>
  <c r="CK427" i="2"/>
  <c r="CL427" i="2"/>
  <c r="CJ428" i="2"/>
  <c r="CK428" i="2"/>
  <c r="CL428" i="2"/>
  <c r="CJ429" i="2"/>
  <c r="CK429" i="2"/>
  <c r="CL429" i="2"/>
  <c r="CJ430" i="2"/>
  <c r="CK430" i="2"/>
  <c r="CL430" i="2"/>
  <c r="CJ431" i="2"/>
  <c r="CK431" i="2"/>
  <c r="CL431" i="2"/>
  <c r="CJ432" i="2"/>
  <c r="CK432" i="2"/>
  <c r="CL432" i="2"/>
  <c r="CJ433" i="2"/>
  <c r="CK433" i="2"/>
  <c r="CL433" i="2"/>
  <c r="CJ434" i="2"/>
  <c r="CK434" i="2"/>
  <c r="CL434" i="2"/>
  <c r="CJ435" i="2"/>
  <c r="CK435" i="2"/>
  <c r="CL435" i="2"/>
  <c r="CJ436" i="2"/>
  <c r="CK436" i="2"/>
  <c r="CL436" i="2"/>
  <c r="CJ437" i="2"/>
  <c r="CK437" i="2"/>
  <c r="CL437" i="2"/>
  <c r="CJ438" i="2"/>
  <c r="CK438" i="2"/>
  <c r="CL438" i="2"/>
  <c r="CJ439" i="2"/>
  <c r="CK439" i="2"/>
  <c r="CL439" i="2"/>
  <c r="CJ440" i="2"/>
  <c r="CK440" i="2"/>
  <c r="CL440" i="2"/>
  <c r="CJ441" i="2"/>
  <c r="CK441" i="2"/>
  <c r="CL441" i="2"/>
  <c r="CJ442" i="2"/>
  <c r="CK442" i="2"/>
  <c r="CL442" i="2"/>
  <c r="CJ443" i="2"/>
  <c r="CK443" i="2"/>
  <c r="CL443" i="2"/>
  <c r="CJ444" i="2"/>
  <c r="CK444" i="2"/>
  <c r="CL444" i="2"/>
  <c r="CJ445" i="2"/>
  <c r="CK445" i="2"/>
  <c r="CL445" i="2"/>
  <c r="CJ446" i="2"/>
  <c r="CK446" i="2"/>
  <c r="CL446" i="2"/>
  <c r="CJ447" i="2"/>
  <c r="CK447" i="2"/>
  <c r="CL447" i="2"/>
  <c r="CJ448" i="2"/>
  <c r="CK448" i="2"/>
  <c r="CL448" i="2"/>
  <c r="CJ449" i="2"/>
  <c r="CK449" i="2"/>
  <c r="CL449" i="2"/>
  <c r="CJ450" i="2"/>
  <c r="CK450" i="2"/>
  <c r="CL450" i="2"/>
  <c r="CJ451" i="2"/>
  <c r="CK451" i="2"/>
  <c r="CL451" i="2"/>
  <c r="CJ452" i="2"/>
  <c r="CK452" i="2"/>
  <c r="CL452" i="2"/>
  <c r="CJ453" i="2"/>
  <c r="CK453" i="2"/>
  <c r="CL453" i="2"/>
  <c r="CJ454" i="2"/>
  <c r="CK454" i="2"/>
  <c r="CL454" i="2"/>
  <c r="CJ455" i="2"/>
  <c r="CK455" i="2"/>
  <c r="CL455" i="2"/>
  <c r="CJ456" i="2"/>
  <c r="CK456" i="2"/>
  <c r="CL456" i="2"/>
  <c r="CJ457" i="2"/>
  <c r="CK457" i="2"/>
  <c r="CL457" i="2"/>
  <c r="CJ458" i="2"/>
  <c r="CK458" i="2"/>
  <c r="CL458" i="2"/>
  <c r="CJ459" i="2"/>
  <c r="CK459" i="2"/>
  <c r="CL459" i="2"/>
  <c r="CJ460" i="2"/>
  <c r="CK460" i="2"/>
  <c r="CL460" i="2"/>
  <c r="CJ461" i="2"/>
  <c r="CK461" i="2"/>
  <c r="CL461" i="2"/>
  <c r="CJ462" i="2"/>
  <c r="CK462" i="2"/>
  <c r="CL462" i="2"/>
  <c r="CJ463" i="2"/>
  <c r="CK463" i="2"/>
  <c r="CL463" i="2"/>
  <c r="CJ464" i="2"/>
  <c r="CK464" i="2"/>
  <c r="CL464" i="2"/>
  <c r="CJ465" i="2"/>
  <c r="CK465" i="2"/>
  <c r="CL465" i="2"/>
  <c r="CJ466" i="2"/>
  <c r="CK466" i="2"/>
  <c r="CL466" i="2"/>
  <c r="CJ467" i="2"/>
  <c r="CK467" i="2"/>
  <c r="CL467" i="2"/>
  <c r="CJ468" i="2"/>
  <c r="CK468" i="2"/>
  <c r="CL468" i="2"/>
  <c r="CJ469" i="2"/>
  <c r="CK469" i="2"/>
  <c r="CL469" i="2"/>
  <c r="CJ470" i="2"/>
  <c r="CK470" i="2"/>
  <c r="CL470" i="2"/>
  <c r="CJ471" i="2"/>
  <c r="CK471" i="2"/>
  <c r="CL471" i="2"/>
  <c r="CJ472" i="2"/>
  <c r="CK472" i="2"/>
  <c r="CL472" i="2"/>
  <c r="CJ473" i="2"/>
  <c r="CK473" i="2"/>
  <c r="CL473" i="2"/>
  <c r="CJ474" i="2"/>
  <c r="CK474" i="2"/>
  <c r="CL474" i="2"/>
  <c r="CJ475" i="2"/>
  <c r="CK475" i="2"/>
  <c r="CL475" i="2"/>
  <c r="CJ476" i="2"/>
  <c r="CK476" i="2"/>
  <c r="CL476" i="2"/>
  <c r="CJ477" i="2"/>
  <c r="CK477" i="2"/>
  <c r="CL477" i="2"/>
  <c r="CJ478" i="2"/>
  <c r="CK478" i="2"/>
  <c r="CL478" i="2"/>
  <c r="CJ479" i="2"/>
  <c r="CK479" i="2"/>
  <c r="CL479" i="2"/>
  <c r="CJ480" i="2"/>
  <c r="CK480" i="2"/>
  <c r="CL480" i="2"/>
  <c r="CJ481" i="2"/>
  <c r="CK481" i="2"/>
  <c r="CL481" i="2"/>
  <c r="CJ482" i="2"/>
  <c r="CK482" i="2"/>
  <c r="CL482" i="2"/>
  <c r="CJ483" i="2"/>
  <c r="CK483" i="2"/>
  <c r="CL483" i="2"/>
  <c r="CJ484" i="2"/>
  <c r="CK484" i="2"/>
  <c r="CL484" i="2"/>
  <c r="CJ485" i="2"/>
  <c r="CK485" i="2"/>
  <c r="CL485" i="2"/>
  <c r="CJ486" i="2"/>
  <c r="CK486" i="2"/>
  <c r="CL486" i="2"/>
  <c r="CJ487" i="2"/>
  <c r="CK487" i="2"/>
  <c r="CL487" i="2"/>
  <c r="CJ488" i="2"/>
  <c r="CK488" i="2"/>
  <c r="CL488" i="2"/>
  <c r="CJ489" i="2"/>
  <c r="CK489" i="2"/>
  <c r="CL489" i="2"/>
  <c r="CJ490" i="2"/>
  <c r="CK490" i="2"/>
  <c r="CL490" i="2"/>
  <c r="CJ491" i="2"/>
  <c r="CK491" i="2"/>
  <c r="CL491" i="2"/>
  <c r="CJ492" i="2"/>
  <c r="CK492" i="2"/>
  <c r="CL492" i="2"/>
  <c r="CJ493" i="2"/>
  <c r="CK493" i="2"/>
  <c r="CL493" i="2"/>
  <c r="CJ494" i="2"/>
  <c r="CK494" i="2"/>
  <c r="CL494" i="2"/>
  <c r="CJ495" i="2"/>
  <c r="CK495" i="2"/>
  <c r="CL495" i="2"/>
  <c r="CJ496" i="2"/>
  <c r="CK496" i="2"/>
  <c r="CL496" i="2"/>
  <c r="CJ497" i="2"/>
  <c r="CK497" i="2"/>
  <c r="CL497" i="2"/>
  <c r="CJ498" i="2"/>
  <c r="CK498" i="2"/>
  <c r="CL498" i="2"/>
  <c r="CJ499" i="2"/>
  <c r="CK499" i="2"/>
  <c r="CL499" i="2"/>
  <c r="CJ500" i="2"/>
  <c r="CK500" i="2"/>
  <c r="CL500" i="2"/>
  <c r="CJ501" i="2"/>
  <c r="CK501" i="2"/>
  <c r="CL501" i="2"/>
  <c r="CJ502" i="2"/>
  <c r="CK502" i="2"/>
  <c r="CL502" i="2"/>
  <c r="CJ503" i="2"/>
  <c r="CK503" i="2"/>
  <c r="CL503" i="2"/>
  <c r="CJ504" i="2"/>
  <c r="CK504" i="2"/>
  <c r="CL504" i="2"/>
  <c r="CJ505" i="2"/>
  <c r="CK505" i="2"/>
  <c r="CL505" i="2"/>
  <c r="CJ506" i="2"/>
  <c r="CK506" i="2"/>
  <c r="CL506" i="2"/>
  <c r="CJ507" i="2"/>
  <c r="CK507" i="2"/>
  <c r="CL507" i="2"/>
  <c r="CJ508" i="2"/>
  <c r="CK508" i="2"/>
  <c r="CL508" i="2"/>
  <c r="CJ509" i="2"/>
  <c r="CK509" i="2"/>
  <c r="CL509" i="2"/>
  <c r="CJ510" i="2"/>
  <c r="CK510" i="2"/>
  <c r="CL510" i="2"/>
  <c r="CJ511" i="2"/>
  <c r="CK511" i="2"/>
  <c r="CL511" i="2"/>
  <c r="CJ512" i="2"/>
  <c r="CK512" i="2"/>
  <c r="CL512" i="2"/>
  <c r="CJ513" i="2"/>
  <c r="CK513" i="2"/>
  <c r="CL513" i="2"/>
  <c r="CJ514" i="2"/>
  <c r="CK514" i="2"/>
  <c r="CL514" i="2"/>
  <c r="CJ515" i="2"/>
  <c r="CK515" i="2"/>
  <c r="CL515" i="2"/>
  <c r="CJ516" i="2"/>
  <c r="CK516" i="2"/>
  <c r="CL516" i="2"/>
  <c r="CJ517" i="2"/>
  <c r="CK517" i="2"/>
  <c r="CL517" i="2"/>
  <c r="CJ518" i="2"/>
  <c r="CK518" i="2"/>
  <c r="CL518" i="2"/>
  <c r="CJ519" i="2"/>
  <c r="CK519" i="2"/>
  <c r="CL519" i="2"/>
  <c r="CJ520" i="2"/>
  <c r="CK520" i="2"/>
  <c r="CL520" i="2"/>
  <c r="CJ521" i="2"/>
  <c r="CK521" i="2"/>
  <c r="CL521" i="2"/>
  <c r="CJ522" i="2"/>
  <c r="CK522" i="2"/>
  <c r="CL522" i="2"/>
  <c r="CJ523" i="2"/>
  <c r="CK523" i="2"/>
  <c r="CL523" i="2"/>
  <c r="CJ524" i="2"/>
  <c r="CK524" i="2"/>
  <c r="CL524" i="2"/>
  <c r="CJ525" i="2"/>
  <c r="CK525" i="2"/>
  <c r="CL525" i="2"/>
  <c r="CJ526" i="2"/>
  <c r="CK526" i="2"/>
  <c r="CL526" i="2"/>
  <c r="CJ527" i="2"/>
  <c r="CK527" i="2"/>
  <c r="CL527" i="2"/>
  <c r="CJ528" i="2"/>
  <c r="CK528" i="2"/>
  <c r="CL528" i="2"/>
  <c r="CJ529" i="2"/>
  <c r="CK529" i="2"/>
  <c r="CL529" i="2"/>
  <c r="CJ530" i="2"/>
  <c r="CK530" i="2"/>
  <c r="CL530" i="2"/>
  <c r="CJ531" i="2"/>
  <c r="CK531" i="2"/>
  <c r="CL531" i="2"/>
  <c r="CJ532" i="2"/>
  <c r="CK532" i="2"/>
  <c r="CL532" i="2"/>
  <c r="CJ533" i="2"/>
  <c r="CK533" i="2"/>
  <c r="CL533" i="2"/>
  <c r="CJ534" i="2"/>
  <c r="CK534" i="2"/>
  <c r="CL534" i="2"/>
  <c r="CJ535" i="2"/>
  <c r="CK535" i="2"/>
  <c r="CL535" i="2"/>
  <c r="CJ536" i="2"/>
  <c r="CK536" i="2"/>
  <c r="CL536" i="2"/>
  <c r="CJ537" i="2"/>
  <c r="CK537" i="2"/>
  <c r="CL537" i="2"/>
  <c r="CJ538" i="2"/>
  <c r="CK538" i="2"/>
  <c r="CL538" i="2"/>
  <c r="CJ539" i="2"/>
  <c r="CK539" i="2"/>
  <c r="CL539" i="2"/>
  <c r="CJ540" i="2"/>
  <c r="CK540" i="2"/>
  <c r="CL540" i="2"/>
  <c r="CJ541" i="2"/>
  <c r="CK541" i="2"/>
  <c r="CL541" i="2"/>
  <c r="CJ542" i="2"/>
  <c r="CK542" i="2"/>
  <c r="CL542" i="2"/>
  <c r="CJ543" i="2"/>
  <c r="CK543" i="2"/>
  <c r="CL543" i="2"/>
  <c r="CJ544" i="2"/>
  <c r="CK544" i="2"/>
  <c r="CL544" i="2"/>
  <c r="CJ545" i="2"/>
  <c r="CK545" i="2"/>
  <c r="CL545" i="2"/>
  <c r="CJ546" i="2"/>
  <c r="CK546" i="2"/>
  <c r="CL546" i="2"/>
  <c r="CJ547" i="2"/>
  <c r="CK547" i="2"/>
  <c r="CL547" i="2"/>
  <c r="CJ548" i="2"/>
  <c r="CK548" i="2"/>
  <c r="CL548" i="2"/>
  <c r="CJ549" i="2"/>
  <c r="CK549" i="2"/>
  <c r="CL549" i="2"/>
  <c r="CJ550" i="2"/>
  <c r="CK550" i="2"/>
  <c r="CL550" i="2"/>
  <c r="CJ551" i="2"/>
  <c r="CK551" i="2"/>
  <c r="CL551" i="2"/>
  <c r="CJ552" i="2"/>
  <c r="CK552" i="2"/>
  <c r="CL552" i="2"/>
  <c r="CJ553" i="2"/>
  <c r="CK553" i="2"/>
  <c r="CL553" i="2"/>
  <c r="CJ554" i="2"/>
  <c r="CK554" i="2"/>
  <c r="CL554" i="2"/>
  <c r="CJ555" i="2"/>
  <c r="CK555" i="2"/>
  <c r="CL555" i="2"/>
  <c r="CJ556" i="2"/>
  <c r="CK556" i="2"/>
  <c r="CL556" i="2"/>
  <c r="CJ557" i="2"/>
  <c r="CK557" i="2"/>
  <c r="CL557" i="2"/>
  <c r="CJ558" i="2"/>
  <c r="CK558" i="2"/>
  <c r="CL558" i="2"/>
  <c r="CJ559" i="2"/>
  <c r="CK559" i="2"/>
  <c r="CL559" i="2"/>
  <c r="CJ560" i="2"/>
  <c r="CK560" i="2"/>
  <c r="CL560" i="2"/>
  <c r="CJ561" i="2"/>
  <c r="CK561" i="2"/>
  <c r="CL561" i="2"/>
  <c r="CJ562" i="2"/>
  <c r="CK562" i="2"/>
  <c r="CL562" i="2"/>
  <c r="CJ563" i="2"/>
  <c r="CK563" i="2"/>
  <c r="CL563" i="2"/>
  <c r="CJ564" i="2"/>
  <c r="CK564" i="2"/>
  <c r="CL564" i="2"/>
  <c r="CJ565" i="2"/>
  <c r="CK565" i="2"/>
  <c r="CL565" i="2"/>
  <c r="CJ566" i="2"/>
  <c r="CK566" i="2"/>
  <c r="CL566" i="2"/>
  <c r="CJ567" i="2"/>
  <c r="CK567" i="2"/>
  <c r="CL567" i="2"/>
  <c r="CJ568" i="2"/>
  <c r="CK568" i="2"/>
  <c r="CL568" i="2"/>
  <c r="CJ569" i="2"/>
  <c r="CK569" i="2"/>
  <c r="CL569" i="2"/>
  <c r="CJ570" i="2"/>
  <c r="CK570" i="2"/>
  <c r="CL570" i="2"/>
  <c r="CJ571" i="2"/>
  <c r="CK571" i="2"/>
  <c r="CL571" i="2"/>
  <c r="CJ572" i="2"/>
  <c r="CK572" i="2"/>
  <c r="CL572" i="2"/>
  <c r="CJ573" i="2"/>
  <c r="CK573" i="2"/>
  <c r="CL573" i="2"/>
  <c r="CJ574" i="2"/>
  <c r="CK574" i="2"/>
  <c r="CL574" i="2"/>
  <c r="CJ575" i="2"/>
  <c r="CK575" i="2"/>
  <c r="CL575" i="2"/>
  <c r="CJ576" i="2"/>
  <c r="CK576" i="2"/>
  <c r="CL576" i="2"/>
  <c r="CJ577" i="2"/>
  <c r="CK577" i="2"/>
  <c r="CL577" i="2"/>
  <c r="CJ578" i="2"/>
  <c r="CK578" i="2"/>
  <c r="CL578" i="2"/>
  <c r="CJ579" i="2"/>
  <c r="CK579" i="2"/>
  <c r="CL579" i="2"/>
  <c r="CJ580" i="2"/>
  <c r="CK580" i="2"/>
  <c r="CL580" i="2"/>
  <c r="CJ581" i="2"/>
  <c r="CK581" i="2"/>
  <c r="CL581" i="2"/>
  <c r="CJ582" i="2"/>
  <c r="CK582" i="2"/>
  <c r="CL582" i="2"/>
  <c r="CJ583" i="2"/>
  <c r="CK583" i="2"/>
  <c r="CL583" i="2"/>
  <c r="CJ584" i="2"/>
  <c r="CK584" i="2"/>
  <c r="CL584" i="2"/>
  <c r="CJ585" i="2"/>
  <c r="CK585" i="2"/>
  <c r="CL585" i="2"/>
  <c r="CJ586" i="2"/>
  <c r="CK586" i="2"/>
  <c r="CL586" i="2"/>
  <c r="CJ587" i="2"/>
  <c r="CK587" i="2"/>
  <c r="CL587" i="2"/>
  <c r="CJ588" i="2"/>
  <c r="CK588" i="2"/>
  <c r="CL588" i="2"/>
  <c r="CJ589" i="2"/>
  <c r="CK589" i="2"/>
  <c r="CL589" i="2"/>
  <c r="CJ590" i="2"/>
  <c r="CK590" i="2"/>
  <c r="CL590" i="2"/>
  <c r="CJ591" i="2"/>
  <c r="CK591" i="2"/>
  <c r="CL591" i="2"/>
  <c r="CJ592" i="2"/>
  <c r="CK592" i="2"/>
  <c r="CL592" i="2"/>
  <c r="CJ593" i="2"/>
  <c r="CK593" i="2"/>
  <c r="CL593" i="2"/>
  <c r="CJ594" i="2"/>
  <c r="CK594" i="2"/>
  <c r="CL594" i="2"/>
  <c r="CJ595" i="2"/>
  <c r="CK595" i="2"/>
  <c r="CL595" i="2"/>
  <c r="CJ596" i="2"/>
  <c r="CK596" i="2"/>
  <c r="CL596" i="2"/>
  <c r="CJ597" i="2"/>
  <c r="CK597" i="2"/>
  <c r="CL597" i="2"/>
  <c r="CJ598" i="2"/>
  <c r="CK598" i="2"/>
  <c r="CL598" i="2"/>
  <c r="CJ599" i="2"/>
  <c r="CK599" i="2"/>
  <c r="CL599" i="2"/>
  <c r="CJ600" i="2"/>
  <c r="CK600" i="2"/>
  <c r="CL600" i="2"/>
  <c r="CJ601" i="2"/>
  <c r="CK601" i="2"/>
  <c r="CL601" i="2"/>
  <c r="CJ602" i="2"/>
  <c r="CK602" i="2"/>
  <c r="CL602" i="2"/>
  <c r="CJ603" i="2"/>
  <c r="CK603" i="2"/>
  <c r="CL603" i="2"/>
  <c r="CJ604" i="2"/>
  <c r="CK604" i="2"/>
  <c r="CL604" i="2"/>
  <c r="CJ605" i="2"/>
  <c r="CK605" i="2"/>
  <c r="CL605" i="2"/>
  <c r="CJ606" i="2"/>
  <c r="CK606" i="2"/>
  <c r="CL606" i="2"/>
  <c r="CJ607" i="2"/>
  <c r="CK607" i="2"/>
  <c r="CL607" i="2"/>
  <c r="CJ608" i="2"/>
  <c r="CK608" i="2"/>
  <c r="CL608" i="2"/>
  <c r="CJ609" i="2"/>
  <c r="CK609" i="2"/>
  <c r="CL609" i="2"/>
  <c r="CJ610" i="2"/>
  <c r="CK610" i="2"/>
  <c r="CL610" i="2"/>
  <c r="CJ611" i="2"/>
  <c r="CK611" i="2"/>
  <c r="CL611" i="2"/>
  <c r="CJ612" i="2"/>
  <c r="CK612" i="2"/>
  <c r="CL612" i="2"/>
  <c r="CJ613" i="2"/>
  <c r="CK613" i="2"/>
  <c r="CL613" i="2"/>
  <c r="CJ614" i="2"/>
  <c r="CK614" i="2"/>
  <c r="CL614" i="2"/>
  <c r="CJ615" i="2"/>
  <c r="CK615" i="2"/>
  <c r="CL615" i="2"/>
  <c r="CJ616" i="2"/>
  <c r="CK616" i="2"/>
  <c r="CL616" i="2"/>
  <c r="CJ617" i="2"/>
  <c r="CK617" i="2"/>
  <c r="CL617" i="2"/>
  <c r="CJ618" i="2"/>
  <c r="CK618" i="2"/>
  <c r="CL618" i="2"/>
  <c r="CJ619" i="2"/>
  <c r="CK619" i="2"/>
  <c r="CL619" i="2"/>
  <c r="CJ620" i="2"/>
  <c r="CK620" i="2"/>
  <c r="CL620" i="2"/>
  <c r="CJ621" i="2"/>
  <c r="CK621" i="2"/>
  <c r="CL621" i="2"/>
  <c r="CJ622" i="2"/>
  <c r="CK622" i="2"/>
  <c r="CL622" i="2"/>
  <c r="CJ623" i="2"/>
  <c r="CK623" i="2"/>
  <c r="CL623" i="2"/>
  <c r="CJ624" i="2"/>
  <c r="CK624" i="2"/>
  <c r="CL624" i="2"/>
  <c r="CJ625" i="2"/>
  <c r="CK625" i="2"/>
  <c r="CL625" i="2"/>
  <c r="CJ626" i="2"/>
  <c r="CK626" i="2"/>
  <c r="CL626" i="2"/>
  <c r="CJ627" i="2"/>
  <c r="CK627" i="2"/>
  <c r="CL627" i="2"/>
  <c r="CJ628" i="2"/>
  <c r="CK628" i="2"/>
  <c r="CL628" i="2"/>
  <c r="CJ629" i="2"/>
  <c r="CK629" i="2"/>
  <c r="CL629" i="2"/>
  <c r="CJ630" i="2"/>
  <c r="CK630" i="2"/>
  <c r="CL630" i="2"/>
  <c r="CJ631" i="2"/>
  <c r="CK631" i="2"/>
  <c r="CL631" i="2"/>
  <c r="CJ632" i="2"/>
  <c r="CK632" i="2"/>
  <c r="CL632" i="2"/>
  <c r="CJ633" i="2"/>
  <c r="CK633" i="2"/>
  <c r="CL633" i="2"/>
  <c r="CJ634" i="2"/>
  <c r="CK634" i="2"/>
  <c r="CL634" i="2"/>
  <c r="CJ635" i="2"/>
  <c r="CK635" i="2"/>
  <c r="CL635" i="2"/>
  <c r="CJ636" i="2"/>
  <c r="CK636" i="2"/>
  <c r="CL636" i="2"/>
  <c r="CJ637" i="2"/>
  <c r="CK637" i="2"/>
  <c r="CL637" i="2"/>
  <c r="CJ638" i="2"/>
  <c r="CK638" i="2"/>
  <c r="CL638" i="2"/>
  <c r="CJ639" i="2"/>
  <c r="CK639" i="2"/>
  <c r="CL639" i="2"/>
  <c r="CJ640" i="2"/>
  <c r="CK640" i="2"/>
  <c r="CL640" i="2"/>
  <c r="CJ641" i="2"/>
  <c r="CK641" i="2"/>
  <c r="CL641" i="2"/>
  <c r="CJ642" i="2"/>
  <c r="CK642" i="2"/>
  <c r="CL642" i="2"/>
  <c r="CJ643" i="2"/>
  <c r="CK643" i="2"/>
  <c r="CL643" i="2"/>
  <c r="CJ644" i="2"/>
  <c r="CK644" i="2"/>
  <c r="CL644" i="2"/>
  <c r="CJ645" i="2"/>
  <c r="CK645" i="2"/>
  <c r="CL645" i="2"/>
  <c r="CJ646" i="2"/>
  <c r="CK646" i="2"/>
  <c r="CL646" i="2"/>
  <c r="CJ647" i="2"/>
  <c r="CK647" i="2"/>
  <c r="CL647" i="2"/>
  <c r="CJ648" i="2"/>
  <c r="CK648" i="2"/>
  <c r="CL648" i="2"/>
  <c r="CJ649" i="2"/>
  <c r="CK649" i="2"/>
  <c r="CL649" i="2"/>
  <c r="CJ650" i="2"/>
  <c r="CK650" i="2"/>
  <c r="CL650" i="2"/>
  <c r="CJ651" i="2"/>
  <c r="CK651" i="2"/>
  <c r="CL651" i="2"/>
  <c r="CJ652" i="2"/>
  <c r="CK652" i="2"/>
  <c r="CL652" i="2"/>
  <c r="CJ653" i="2"/>
  <c r="CK653" i="2"/>
  <c r="CL653" i="2"/>
  <c r="CJ654" i="2"/>
  <c r="CK654" i="2"/>
  <c r="CL654" i="2"/>
  <c r="CJ655" i="2"/>
  <c r="CK655" i="2"/>
  <c r="CL655" i="2"/>
  <c r="CJ656" i="2"/>
  <c r="CK656" i="2"/>
  <c r="CL656" i="2"/>
  <c r="CJ657" i="2"/>
  <c r="CK657" i="2"/>
  <c r="CL657" i="2"/>
  <c r="CJ658" i="2"/>
  <c r="CK658" i="2"/>
  <c r="CL658" i="2"/>
  <c r="CJ659" i="2"/>
  <c r="CK659" i="2"/>
  <c r="CL659" i="2"/>
  <c r="CJ660" i="2"/>
  <c r="CK660" i="2"/>
  <c r="CL660" i="2"/>
  <c r="CJ661" i="2"/>
  <c r="CK661" i="2"/>
  <c r="CL661" i="2"/>
  <c r="CJ662" i="2"/>
  <c r="CK662" i="2"/>
  <c r="CL662" i="2"/>
  <c r="CJ663" i="2"/>
  <c r="CK663" i="2"/>
  <c r="CL663" i="2"/>
  <c r="CJ664" i="2"/>
  <c r="CK664" i="2"/>
  <c r="CL664" i="2"/>
  <c r="CJ665" i="2"/>
  <c r="CK665" i="2"/>
  <c r="CL665" i="2"/>
  <c r="CJ666" i="2"/>
  <c r="CK666" i="2"/>
  <c r="CL666" i="2"/>
  <c r="CJ667" i="2"/>
  <c r="CK667" i="2"/>
  <c r="CL667" i="2"/>
  <c r="CJ668" i="2"/>
  <c r="CK668" i="2"/>
  <c r="CL668" i="2"/>
  <c r="CJ669" i="2"/>
  <c r="CK669" i="2"/>
  <c r="CL669" i="2"/>
  <c r="CJ670" i="2"/>
  <c r="CK670" i="2"/>
  <c r="CL670" i="2"/>
  <c r="CJ671" i="2"/>
  <c r="CK671" i="2"/>
  <c r="CL671" i="2"/>
  <c r="CJ672" i="2"/>
  <c r="CK672" i="2"/>
  <c r="CL672" i="2"/>
  <c r="CJ673" i="2"/>
  <c r="CK673" i="2"/>
  <c r="CL673" i="2"/>
  <c r="CJ674" i="2"/>
  <c r="CK674" i="2"/>
  <c r="CL674" i="2"/>
  <c r="CJ675" i="2"/>
  <c r="CK675" i="2"/>
  <c r="CL675" i="2"/>
  <c r="CJ676" i="2"/>
  <c r="CK676" i="2"/>
  <c r="CL676" i="2"/>
  <c r="CJ677" i="2"/>
  <c r="CK677" i="2"/>
  <c r="CL677" i="2"/>
  <c r="CJ678" i="2"/>
  <c r="CK678" i="2"/>
  <c r="CL678" i="2"/>
  <c r="CJ679" i="2"/>
  <c r="CK679" i="2"/>
  <c r="CL679" i="2"/>
  <c r="CJ680" i="2"/>
  <c r="CK680" i="2"/>
  <c r="CL680" i="2"/>
  <c r="CJ681" i="2"/>
  <c r="CK681" i="2"/>
  <c r="CL681" i="2"/>
  <c r="CJ682" i="2"/>
  <c r="CK682" i="2"/>
  <c r="CL682" i="2"/>
  <c r="CJ683" i="2"/>
  <c r="CK683" i="2"/>
  <c r="CL683" i="2"/>
  <c r="CJ684" i="2"/>
  <c r="CK684" i="2"/>
  <c r="CL684" i="2"/>
  <c r="CJ685" i="2"/>
  <c r="CK685" i="2"/>
  <c r="CL685" i="2"/>
  <c r="CJ686" i="2"/>
  <c r="CK686" i="2"/>
  <c r="CL686" i="2"/>
  <c r="CJ687" i="2"/>
  <c r="CK687" i="2"/>
  <c r="CL687" i="2"/>
  <c r="CJ688" i="2"/>
  <c r="CK688" i="2"/>
  <c r="CL688" i="2"/>
  <c r="CJ689" i="2"/>
  <c r="CK689" i="2"/>
  <c r="CL689" i="2"/>
  <c r="CJ690" i="2"/>
  <c r="CK690" i="2"/>
  <c r="CL690" i="2"/>
  <c r="CJ691" i="2"/>
  <c r="CK691" i="2"/>
  <c r="CL691" i="2"/>
  <c r="CJ692" i="2"/>
  <c r="CK692" i="2"/>
  <c r="CL692" i="2"/>
  <c r="CJ693" i="2"/>
  <c r="CK693" i="2"/>
  <c r="CL693" i="2"/>
  <c r="CJ694" i="2"/>
  <c r="CK694" i="2"/>
  <c r="CL694" i="2"/>
  <c r="CJ695" i="2"/>
  <c r="CK695" i="2"/>
  <c r="CL695" i="2"/>
  <c r="CJ696" i="2"/>
  <c r="CK696" i="2"/>
  <c r="CL696" i="2"/>
  <c r="CJ697" i="2"/>
  <c r="CK697" i="2"/>
  <c r="CL697" i="2"/>
  <c r="CJ698" i="2"/>
  <c r="CK698" i="2"/>
  <c r="CL698" i="2"/>
  <c r="CJ699" i="2"/>
  <c r="CK699" i="2"/>
  <c r="CL699" i="2"/>
  <c r="CJ700" i="2"/>
  <c r="CK700" i="2"/>
  <c r="CL700" i="2"/>
  <c r="CJ701" i="2"/>
  <c r="CK701" i="2"/>
  <c r="CL701" i="2"/>
  <c r="CJ702" i="2"/>
  <c r="CK702" i="2"/>
  <c r="CL702" i="2"/>
  <c r="CJ703" i="2"/>
  <c r="CK703" i="2"/>
  <c r="CL703" i="2"/>
  <c r="CJ704" i="2"/>
  <c r="CK704" i="2"/>
  <c r="CL704" i="2"/>
  <c r="CJ705" i="2"/>
  <c r="CK705" i="2"/>
  <c r="CL705" i="2"/>
  <c r="CJ706" i="2"/>
  <c r="CK706" i="2"/>
  <c r="CL706" i="2"/>
  <c r="CJ707" i="2"/>
  <c r="CK707" i="2"/>
  <c r="CL707" i="2"/>
  <c r="CJ708" i="2"/>
  <c r="CK708" i="2"/>
  <c r="CL708" i="2"/>
  <c r="CJ709" i="2"/>
  <c r="CK709" i="2"/>
  <c r="CL709" i="2"/>
  <c r="CJ710" i="2"/>
  <c r="CK710" i="2"/>
  <c r="CL710" i="2"/>
  <c r="CJ711" i="2"/>
  <c r="CK711" i="2"/>
  <c r="CL711" i="2"/>
  <c r="CJ712" i="2"/>
  <c r="CK712" i="2"/>
  <c r="CL712" i="2"/>
  <c r="CJ713" i="2"/>
  <c r="CK713" i="2"/>
  <c r="CL713" i="2"/>
  <c r="CJ714" i="2"/>
  <c r="CK714" i="2"/>
  <c r="CL714" i="2"/>
  <c r="CJ715" i="2"/>
  <c r="CK715" i="2"/>
  <c r="CL715" i="2"/>
  <c r="CJ716" i="2"/>
  <c r="CK716" i="2"/>
  <c r="CL716" i="2"/>
  <c r="CJ717" i="2"/>
  <c r="CK717" i="2"/>
  <c r="CL717" i="2"/>
  <c r="CJ718" i="2"/>
  <c r="CK718" i="2"/>
  <c r="CL718" i="2"/>
  <c r="CJ719" i="2"/>
  <c r="CK719" i="2"/>
  <c r="CL719" i="2"/>
  <c r="CJ720" i="2"/>
  <c r="CK720" i="2"/>
  <c r="CL720" i="2"/>
  <c r="CJ721" i="2"/>
  <c r="CK721" i="2"/>
  <c r="CL721" i="2"/>
  <c r="CJ722" i="2"/>
  <c r="CK722" i="2"/>
  <c r="CL722" i="2"/>
  <c r="CJ723" i="2"/>
  <c r="CK723" i="2"/>
  <c r="CL723" i="2"/>
  <c r="CJ724" i="2"/>
  <c r="CK724" i="2"/>
  <c r="CL724" i="2"/>
  <c r="CJ725" i="2"/>
  <c r="CK725" i="2"/>
  <c r="CL725" i="2"/>
  <c r="CJ726" i="2"/>
  <c r="CK726" i="2"/>
  <c r="CL726" i="2"/>
  <c r="CJ727" i="2"/>
  <c r="CK727" i="2"/>
  <c r="CL727" i="2"/>
  <c r="CJ728" i="2"/>
  <c r="CK728" i="2"/>
  <c r="CL728" i="2"/>
  <c r="CJ729" i="2"/>
  <c r="CK729" i="2"/>
  <c r="CL729" i="2"/>
  <c r="CJ730" i="2"/>
  <c r="CK730" i="2"/>
  <c r="CL730" i="2"/>
  <c r="CJ731" i="2"/>
  <c r="CK731" i="2"/>
  <c r="CL731" i="2"/>
  <c r="CJ732" i="2"/>
  <c r="CK732" i="2"/>
  <c r="CL732" i="2"/>
  <c r="CJ733" i="2"/>
  <c r="CK733" i="2"/>
  <c r="CL733" i="2"/>
  <c r="CJ734" i="2"/>
  <c r="CK734" i="2"/>
  <c r="CL734" i="2"/>
  <c r="CJ735" i="2"/>
  <c r="CK735" i="2"/>
  <c r="CL735" i="2"/>
  <c r="CJ736" i="2"/>
  <c r="CK736" i="2"/>
  <c r="CL736" i="2"/>
  <c r="CJ737" i="2"/>
  <c r="CK737" i="2"/>
  <c r="CL737" i="2"/>
  <c r="CJ738" i="2"/>
  <c r="CK738" i="2"/>
  <c r="CL738" i="2"/>
  <c r="CJ739" i="2"/>
  <c r="CK739" i="2"/>
  <c r="CL739" i="2"/>
  <c r="CJ740" i="2"/>
  <c r="CK740" i="2"/>
  <c r="CL740" i="2"/>
  <c r="CJ741" i="2"/>
  <c r="CK741" i="2"/>
  <c r="CL741" i="2"/>
  <c r="CJ742" i="2"/>
  <c r="CK742" i="2"/>
  <c r="CL742" i="2"/>
  <c r="CJ743" i="2"/>
  <c r="CK743" i="2"/>
  <c r="CL743" i="2"/>
  <c r="CJ744" i="2"/>
  <c r="CK744" i="2"/>
  <c r="CL744" i="2"/>
  <c r="CJ745" i="2"/>
  <c r="CK745" i="2"/>
  <c r="CL745" i="2"/>
  <c r="CJ746" i="2"/>
  <c r="CK746" i="2"/>
  <c r="CL746" i="2"/>
  <c r="CJ747" i="2"/>
  <c r="CK747" i="2"/>
  <c r="CL747" i="2"/>
  <c r="CJ748" i="2"/>
  <c r="CK748" i="2"/>
  <c r="CL748" i="2"/>
  <c r="CJ749" i="2"/>
  <c r="CK749" i="2"/>
  <c r="CL749" i="2"/>
  <c r="CJ750" i="2"/>
  <c r="CK750" i="2"/>
  <c r="CL750" i="2"/>
  <c r="CJ751" i="2"/>
  <c r="CK751" i="2"/>
  <c r="CL751" i="2"/>
  <c r="CJ752" i="2"/>
  <c r="CK752" i="2"/>
  <c r="CL752" i="2"/>
  <c r="CJ753" i="2"/>
  <c r="CK753" i="2"/>
  <c r="CL753" i="2"/>
  <c r="CJ754" i="2"/>
  <c r="CK754" i="2"/>
  <c r="CL754" i="2"/>
  <c r="CJ755" i="2"/>
  <c r="CK755" i="2"/>
  <c r="CL755" i="2"/>
  <c r="CJ756" i="2"/>
  <c r="CK756" i="2"/>
  <c r="CL756" i="2"/>
  <c r="CJ757" i="2"/>
  <c r="CK757" i="2"/>
  <c r="CL757" i="2"/>
  <c r="CJ758" i="2"/>
  <c r="CK758" i="2"/>
  <c r="CL758" i="2"/>
  <c r="CJ759" i="2"/>
  <c r="CK759" i="2"/>
  <c r="CL759" i="2"/>
  <c r="CJ760" i="2"/>
  <c r="CK760" i="2"/>
  <c r="CL760" i="2"/>
  <c r="CJ761" i="2"/>
  <c r="CK761" i="2"/>
  <c r="CL761" i="2"/>
  <c r="CJ762" i="2"/>
  <c r="CK762" i="2"/>
  <c r="CL762" i="2"/>
  <c r="CJ763" i="2"/>
  <c r="CK763" i="2"/>
  <c r="CL763" i="2"/>
  <c r="CJ764" i="2"/>
  <c r="CK764" i="2"/>
  <c r="CL764" i="2"/>
  <c r="CJ765" i="2"/>
  <c r="CK765" i="2"/>
  <c r="CL765" i="2"/>
  <c r="CJ766" i="2"/>
  <c r="CK766" i="2"/>
  <c r="CL766" i="2"/>
  <c r="CJ767" i="2"/>
  <c r="CK767" i="2"/>
  <c r="CL767" i="2"/>
  <c r="CJ768" i="2"/>
  <c r="CK768" i="2"/>
  <c r="CL768" i="2"/>
  <c r="CJ769" i="2"/>
  <c r="CK769" i="2"/>
  <c r="CL769" i="2"/>
  <c r="CJ770" i="2"/>
  <c r="CK770" i="2"/>
  <c r="CL770" i="2"/>
  <c r="CJ771" i="2"/>
  <c r="CK771" i="2"/>
  <c r="CL771" i="2"/>
  <c r="CJ772" i="2"/>
  <c r="CK772" i="2"/>
  <c r="CL772" i="2"/>
  <c r="CJ773" i="2"/>
  <c r="CK773" i="2"/>
  <c r="CL773" i="2"/>
  <c r="CJ774" i="2"/>
  <c r="CK774" i="2"/>
  <c r="CL774" i="2"/>
  <c r="CJ775" i="2"/>
  <c r="CK775" i="2"/>
  <c r="CL775" i="2"/>
  <c r="CJ776" i="2"/>
  <c r="CK776" i="2"/>
  <c r="CL776" i="2"/>
  <c r="CJ777" i="2"/>
  <c r="CK777" i="2"/>
  <c r="CL777" i="2"/>
  <c r="CJ778" i="2"/>
  <c r="CK778" i="2"/>
  <c r="CL778" i="2"/>
  <c r="CJ779" i="2"/>
  <c r="CK779" i="2"/>
  <c r="CL779" i="2"/>
  <c r="CJ780" i="2"/>
  <c r="CK780" i="2"/>
  <c r="CL780" i="2"/>
  <c r="CJ781" i="2"/>
  <c r="CK781" i="2"/>
  <c r="CL781" i="2"/>
  <c r="CJ782" i="2"/>
  <c r="CK782" i="2"/>
  <c r="CL782" i="2"/>
  <c r="CJ783" i="2"/>
  <c r="CK783" i="2"/>
  <c r="CL783" i="2"/>
  <c r="CJ784" i="2"/>
  <c r="CK784" i="2"/>
  <c r="CL784" i="2"/>
  <c r="CJ785" i="2"/>
  <c r="CK785" i="2"/>
  <c r="CL785" i="2"/>
  <c r="CJ786" i="2"/>
  <c r="CK786" i="2"/>
  <c r="CL786" i="2"/>
  <c r="CJ787" i="2"/>
  <c r="CK787" i="2"/>
  <c r="CL787" i="2"/>
  <c r="CJ788" i="2"/>
  <c r="CK788" i="2"/>
  <c r="CL788" i="2"/>
  <c r="CJ789" i="2"/>
  <c r="CK789" i="2"/>
  <c r="CL789" i="2"/>
  <c r="CJ790" i="2"/>
  <c r="CK790" i="2"/>
  <c r="CL790" i="2"/>
  <c r="CJ791" i="2"/>
  <c r="CK791" i="2"/>
  <c r="CL791" i="2"/>
  <c r="CJ792" i="2"/>
  <c r="CK792" i="2"/>
  <c r="CL792" i="2"/>
  <c r="CJ793" i="2"/>
  <c r="CK793" i="2"/>
  <c r="CL793" i="2"/>
  <c r="CJ794" i="2"/>
  <c r="CK794" i="2"/>
  <c r="CL794" i="2"/>
  <c r="CJ795" i="2"/>
  <c r="CK795" i="2"/>
  <c r="CL795" i="2"/>
  <c r="CJ796" i="2"/>
  <c r="CK796" i="2"/>
  <c r="CL796" i="2"/>
  <c r="CJ797" i="2"/>
  <c r="CK797" i="2"/>
  <c r="CL797" i="2"/>
  <c r="CJ798" i="2"/>
  <c r="CK798" i="2"/>
  <c r="CL798" i="2"/>
  <c r="CJ799" i="2"/>
  <c r="CK799" i="2"/>
  <c r="CL799" i="2"/>
  <c r="CJ800" i="2"/>
  <c r="CK800" i="2"/>
  <c r="CL800" i="2"/>
  <c r="CJ801" i="2"/>
  <c r="CK801" i="2"/>
  <c r="CL801" i="2"/>
  <c r="CJ802" i="2"/>
  <c r="CK802" i="2"/>
  <c r="CL802" i="2"/>
  <c r="CJ803" i="2"/>
  <c r="CK803" i="2"/>
  <c r="CL803" i="2"/>
  <c r="CJ804" i="2"/>
  <c r="CK804" i="2"/>
  <c r="CL804" i="2"/>
  <c r="CJ805" i="2"/>
  <c r="CK805" i="2"/>
  <c r="CL805" i="2"/>
  <c r="CJ806" i="2"/>
  <c r="CK806" i="2"/>
  <c r="CL806" i="2"/>
  <c r="CJ807" i="2"/>
  <c r="CK807" i="2"/>
  <c r="CL807" i="2"/>
  <c r="CJ808" i="2"/>
  <c r="CK808" i="2"/>
  <c r="CL808" i="2"/>
  <c r="CJ809" i="2"/>
  <c r="CK809" i="2"/>
  <c r="CL809" i="2"/>
  <c r="CJ810" i="2"/>
  <c r="CK810" i="2"/>
  <c r="CL810" i="2"/>
  <c r="CJ811" i="2"/>
  <c r="CK811" i="2"/>
  <c r="CL811" i="2"/>
  <c r="CJ812" i="2"/>
  <c r="CK812" i="2"/>
  <c r="CL812" i="2"/>
  <c r="CJ813" i="2"/>
  <c r="CK813" i="2"/>
  <c r="CL813" i="2"/>
  <c r="CJ814" i="2"/>
  <c r="CK814" i="2"/>
  <c r="CL814" i="2"/>
  <c r="CJ815" i="2"/>
  <c r="CK815" i="2"/>
  <c r="CL815" i="2"/>
  <c r="CJ816" i="2"/>
  <c r="CK816" i="2"/>
  <c r="CL816" i="2"/>
  <c r="CJ817" i="2"/>
  <c r="CK817" i="2"/>
  <c r="CL817" i="2"/>
  <c r="CJ818" i="2"/>
  <c r="CK818" i="2"/>
  <c r="CL818" i="2"/>
  <c r="CJ819" i="2"/>
  <c r="CK819" i="2"/>
  <c r="CL819" i="2"/>
  <c r="CJ820" i="2"/>
  <c r="CK820" i="2"/>
  <c r="CL820" i="2"/>
  <c r="CJ821" i="2"/>
  <c r="CK821" i="2"/>
  <c r="CL821" i="2"/>
  <c r="CJ822" i="2"/>
  <c r="CK822" i="2"/>
  <c r="CL822" i="2"/>
  <c r="CJ823" i="2"/>
  <c r="CK823" i="2"/>
  <c r="CL823" i="2"/>
  <c r="CJ824" i="2"/>
  <c r="CK824" i="2"/>
  <c r="CL824" i="2"/>
  <c r="CJ825" i="2"/>
  <c r="CK825" i="2"/>
  <c r="CL825" i="2"/>
  <c r="CJ826" i="2"/>
  <c r="CK826" i="2"/>
  <c r="CL826" i="2"/>
  <c r="CJ827" i="2"/>
  <c r="CK827" i="2"/>
  <c r="CL827" i="2"/>
  <c r="CJ828" i="2"/>
  <c r="CK828" i="2"/>
  <c r="CL828" i="2"/>
  <c r="CJ829" i="2"/>
  <c r="CK829" i="2"/>
  <c r="CL829" i="2"/>
  <c r="CJ830" i="2"/>
  <c r="CK830" i="2"/>
  <c r="CL830" i="2"/>
  <c r="CJ831" i="2"/>
  <c r="CK831" i="2"/>
  <c r="CL831" i="2"/>
  <c r="CJ832" i="2"/>
  <c r="CK832" i="2"/>
  <c r="CL832" i="2"/>
  <c r="CJ833" i="2"/>
  <c r="CK833" i="2"/>
  <c r="CL833" i="2"/>
  <c r="CJ834" i="2"/>
  <c r="CK834" i="2"/>
  <c r="CL834" i="2"/>
  <c r="CJ835" i="2"/>
  <c r="CK835" i="2"/>
  <c r="CL835" i="2"/>
  <c r="CJ836" i="2"/>
  <c r="CK836" i="2"/>
  <c r="CL836" i="2"/>
  <c r="CJ837" i="2"/>
  <c r="CK837" i="2"/>
  <c r="CL837" i="2"/>
  <c r="CJ838" i="2"/>
  <c r="CK838" i="2"/>
  <c r="CL838" i="2"/>
  <c r="CJ839" i="2"/>
  <c r="CK839" i="2"/>
  <c r="CL839" i="2"/>
  <c r="CJ840" i="2"/>
  <c r="CK840" i="2"/>
  <c r="CL840" i="2"/>
  <c r="CJ841" i="2"/>
  <c r="CK841" i="2"/>
  <c r="CL841" i="2"/>
  <c r="CJ842" i="2"/>
  <c r="CK842" i="2"/>
  <c r="CL842" i="2"/>
  <c r="CJ843" i="2"/>
  <c r="CK843" i="2"/>
  <c r="CL843" i="2"/>
  <c r="CJ844" i="2"/>
  <c r="CK844" i="2"/>
  <c r="CL844" i="2"/>
  <c r="CJ845" i="2"/>
  <c r="CK845" i="2"/>
  <c r="CL845" i="2"/>
  <c r="CJ846" i="2"/>
  <c r="CK846" i="2"/>
  <c r="CL846" i="2"/>
  <c r="CJ847" i="2"/>
  <c r="CK847" i="2"/>
  <c r="CL847" i="2"/>
  <c r="CJ848" i="2"/>
  <c r="CK848" i="2"/>
  <c r="CL848" i="2"/>
  <c r="CJ849" i="2"/>
  <c r="CK849" i="2"/>
  <c r="CL849" i="2"/>
  <c r="CJ850" i="2"/>
  <c r="CK850" i="2"/>
  <c r="CL850" i="2"/>
  <c r="CJ851" i="2"/>
  <c r="CK851" i="2"/>
  <c r="CL851" i="2"/>
  <c r="CJ852" i="2"/>
  <c r="CK852" i="2"/>
  <c r="CL852" i="2"/>
  <c r="CJ853" i="2"/>
  <c r="CK853" i="2"/>
  <c r="CL853" i="2"/>
  <c r="CJ854" i="2"/>
  <c r="CK854" i="2"/>
  <c r="CL854" i="2"/>
  <c r="CJ855" i="2"/>
  <c r="CK855" i="2"/>
  <c r="CL855" i="2"/>
  <c r="CJ856" i="2"/>
  <c r="CK856" i="2"/>
  <c r="CL856" i="2"/>
  <c r="CJ857" i="2"/>
  <c r="CK857" i="2"/>
  <c r="CL857" i="2"/>
  <c r="CJ858" i="2"/>
  <c r="CK858" i="2"/>
  <c r="CL858" i="2"/>
  <c r="CJ859" i="2"/>
  <c r="CK859" i="2"/>
  <c r="CL859" i="2"/>
  <c r="CJ860" i="2"/>
  <c r="CK860" i="2"/>
  <c r="CL860" i="2"/>
  <c r="CJ861" i="2"/>
  <c r="CK861" i="2"/>
  <c r="CL861" i="2"/>
  <c r="CJ862" i="2"/>
  <c r="CK862" i="2"/>
  <c r="CL862" i="2"/>
  <c r="CJ863" i="2"/>
  <c r="CK863" i="2"/>
  <c r="CL863" i="2"/>
  <c r="CJ864" i="2"/>
  <c r="CK864" i="2"/>
  <c r="CL864" i="2"/>
  <c r="CJ865" i="2"/>
  <c r="CK865" i="2"/>
  <c r="CL865" i="2"/>
  <c r="CJ866" i="2"/>
  <c r="CK866" i="2"/>
  <c r="CL866" i="2"/>
  <c r="CJ867" i="2"/>
  <c r="CK867" i="2"/>
  <c r="CL867" i="2"/>
  <c r="CJ868" i="2"/>
  <c r="CK868" i="2"/>
  <c r="CL868" i="2"/>
  <c r="CJ869" i="2"/>
  <c r="CK869" i="2"/>
  <c r="CL869" i="2"/>
  <c r="CJ870" i="2"/>
  <c r="CK870" i="2"/>
  <c r="CL870" i="2"/>
  <c r="CJ871" i="2"/>
  <c r="CK871" i="2"/>
  <c r="CL871" i="2"/>
  <c r="CJ872" i="2"/>
  <c r="CK872" i="2"/>
  <c r="CL872" i="2"/>
  <c r="CJ873" i="2"/>
  <c r="CK873" i="2"/>
  <c r="CL873" i="2"/>
  <c r="CJ874" i="2"/>
  <c r="CK874" i="2"/>
  <c r="CL874" i="2"/>
  <c r="CJ875" i="2"/>
  <c r="CK875" i="2"/>
  <c r="CL875" i="2"/>
  <c r="CJ876" i="2"/>
  <c r="CK876" i="2"/>
  <c r="CL876" i="2"/>
  <c r="CJ877" i="2"/>
  <c r="CK877" i="2"/>
  <c r="CL877" i="2"/>
  <c r="CJ878" i="2"/>
  <c r="CK878" i="2"/>
  <c r="CL878" i="2"/>
  <c r="CJ879" i="2"/>
  <c r="CK879" i="2"/>
  <c r="CL879" i="2"/>
  <c r="CJ880" i="2"/>
  <c r="CK880" i="2"/>
  <c r="CL880" i="2"/>
  <c r="CJ881" i="2"/>
  <c r="CK881" i="2"/>
  <c r="CL881" i="2"/>
  <c r="CJ882" i="2"/>
  <c r="CK882" i="2"/>
  <c r="CL882" i="2"/>
  <c r="CJ883" i="2"/>
  <c r="CK883" i="2"/>
  <c r="CL883" i="2"/>
  <c r="CJ884" i="2"/>
  <c r="CK884" i="2"/>
  <c r="CL884" i="2"/>
  <c r="CJ885" i="2"/>
  <c r="CK885" i="2"/>
  <c r="CL885" i="2"/>
  <c r="CJ886" i="2"/>
  <c r="CK886" i="2"/>
  <c r="CL886" i="2"/>
  <c r="CJ887" i="2"/>
  <c r="CK887" i="2"/>
  <c r="CL887" i="2"/>
  <c r="CJ888" i="2"/>
  <c r="CK888" i="2"/>
  <c r="CL888" i="2"/>
  <c r="CJ889" i="2"/>
  <c r="CK889" i="2"/>
  <c r="CL889" i="2"/>
  <c r="CJ890" i="2"/>
  <c r="CK890" i="2"/>
  <c r="CL890" i="2"/>
  <c r="CJ891" i="2"/>
  <c r="CK891" i="2"/>
  <c r="CL891" i="2"/>
  <c r="CJ892" i="2"/>
  <c r="CK892" i="2"/>
  <c r="CL892" i="2"/>
  <c r="CJ893" i="2"/>
  <c r="CK893" i="2"/>
  <c r="CL893" i="2"/>
  <c r="CJ894" i="2"/>
  <c r="CK894" i="2"/>
  <c r="CL894" i="2"/>
  <c r="CJ895" i="2"/>
  <c r="CK895" i="2"/>
  <c r="CL895" i="2"/>
  <c r="CJ896" i="2"/>
  <c r="CK896" i="2"/>
  <c r="CL896" i="2"/>
  <c r="CJ897" i="2"/>
  <c r="CK897" i="2"/>
  <c r="CL897" i="2"/>
  <c r="CJ898" i="2"/>
  <c r="CK898" i="2"/>
  <c r="CL898" i="2"/>
  <c r="CJ899" i="2"/>
  <c r="CK899" i="2"/>
  <c r="CL899" i="2"/>
  <c r="CJ900" i="2"/>
  <c r="CK900" i="2"/>
  <c r="CL900" i="2"/>
  <c r="CJ901" i="2"/>
  <c r="CK901" i="2"/>
  <c r="CL901" i="2"/>
  <c r="CJ902" i="2"/>
  <c r="CK902" i="2"/>
  <c r="CL902" i="2"/>
  <c r="CJ903" i="2"/>
  <c r="CK903" i="2"/>
  <c r="CL903" i="2"/>
  <c r="CJ904" i="2"/>
  <c r="CK904" i="2"/>
  <c r="CL904" i="2"/>
  <c r="CJ905" i="2"/>
  <c r="CK905" i="2"/>
  <c r="CL905" i="2"/>
  <c r="CJ906" i="2"/>
  <c r="CK906" i="2"/>
  <c r="CL906" i="2"/>
  <c r="CJ907" i="2"/>
  <c r="CK907" i="2"/>
  <c r="CL907" i="2"/>
  <c r="CJ908" i="2"/>
  <c r="CK908" i="2"/>
  <c r="CL908" i="2"/>
  <c r="CJ909" i="2"/>
  <c r="CK909" i="2"/>
  <c r="CL909" i="2"/>
  <c r="CJ910" i="2"/>
  <c r="CK910" i="2"/>
  <c r="CL910" i="2"/>
  <c r="CJ911" i="2"/>
  <c r="CK911" i="2"/>
  <c r="CL911" i="2"/>
  <c r="CJ912" i="2"/>
  <c r="CK912" i="2"/>
  <c r="CL912" i="2"/>
  <c r="CJ913" i="2"/>
  <c r="CK913" i="2"/>
  <c r="CL913" i="2"/>
  <c r="CJ914" i="2"/>
  <c r="CK914" i="2"/>
  <c r="CL914" i="2"/>
  <c r="CJ915" i="2"/>
  <c r="CK915" i="2"/>
  <c r="CL915" i="2"/>
  <c r="CJ916" i="2"/>
  <c r="CK916" i="2"/>
  <c r="CL916" i="2"/>
  <c r="CJ917" i="2"/>
  <c r="CK917" i="2"/>
  <c r="CL917" i="2"/>
  <c r="CJ918" i="2"/>
  <c r="CK918" i="2"/>
  <c r="CL918" i="2"/>
  <c r="CJ919" i="2"/>
  <c r="CK919" i="2"/>
  <c r="CL919" i="2"/>
  <c r="CJ920" i="2"/>
  <c r="CK920" i="2"/>
  <c r="CL920" i="2"/>
  <c r="CJ921" i="2"/>
  <c r="CK921" i="2"/>
  <c r="CL921" i="2"/>
  <c r="CJ922" i="2"/>
  <c r="CK922" i="2"/>
  <c r="CL922" i="2"/>
  <c r="CJ923" i="2"/>
  <c r="CK923" i="2"/>
  <c r="CL923" i="2"/>
  <c r="CJ924" i="2"/>
  <c r="CK924" i="2"/>
  <c r="CL924" i="2"/>
  <c r="CJ925" i="2"/>
  <c r="CK925" i="2"/>
  <c r="CL925" i="2"/>
  <c r="CJ926" i="2"/>
  <c r="CK926" i="2"/>
  <c r="CL926" i="2"/>
  <c r="CJ927" i="2"/>
  <c r="CK927" i="2"/>
  <c r="CL927" i="2"/>
  <c r="CJ928" i="2"/>
  <c r="CK928" i="2"/>
  <c r="CL928" i="2"/>
  <c r="CJ929" i="2"/>
  <c r="CK929" i="2"/>
  <c r="CL929" i="2"/>
  <c r="CJ930" i="2"/>
  <c r="CK930" i="2"/>
  <c r="CL930" i="2"/>
  <c r="CJ931" i="2"/>
  <c r="CK931" i="2"/>
  <c r="CL931" i="2"/>
  <c r="CJ932" i="2"/>
  <c r="CK932" i="2"/>
  <c r="CL932" i="2"/>
  <c r="CJ933" i="2"/>
  <c r="CK933" i="2"/>
  <c r="CL933" i="2"/>
  <c r="CJ934" i="2"/>
  <c r="CK934" i="2"/>
  <c r="CL934" i="2"/>
  <c r="CJ935" i="2"/>
  <c r="CK935" i="2"/>
  <c r="CL935" i="2"/>
  <c r="CJ936" i="2"/>
  <c r="CK936" i="2"/>
  <c r="CL936" i="2"/>
  <c r="CJ937" i="2"/>
  <c r="CK937" i="2"/>
  <c r="CL937" i="2"/>
  <c r="CJ938" i="2"/>
  <c r="CK938" i="2"/>
  <c r="CL938" i="2"/>
  <c r="CJ939" i="2"/>
  <c r="CK939" i="2"/>
  <c r="CL939" i="2"/>
  <c r="CJ940" i="2"/>
  <c r="CK940" i="2"/>
  <c r="CL940" i="2"/>
  <c r="CJ941" i="2"/>
  <c r="CK941" i="2"/>
  <c r="CL941" i="2"/>
  <c r="CJ942" i="2"/>
  <c r="CK942" i="2"/>
  <c r="CL942" i="2"/>
  <c r="CJ943" i="2"/>
  <c r="CK943" i="2"/>
  <c r="CL943" i="2"/>
  <c r="CJ944" i="2"/>
  <c r="CK944" i="2"/>
  <c r="CL944" i="2"/>
  <c r="CJ945" i="2"/>
  <c r="CK945" i="2"/>
  <c r="CL945" i="2"/>
  <c r="CJ946" i="2"/>
  <c r="CK946" i="2"/>
  <c r="CL946" i="2"/>
  <c r="CJ947" i="2"/>
  <c r="CK947" i="2"/>
  <c r="CL947" i="2"/>
  <c r="CJ948" i="2"/>
  <c r="CK948" i="2"/>
  <c r="CL948" i="2"/>
  <c r="CJ949" i="2"/>
  <c r="CK949" i="2"/>
  <c r="CL949" i="2"/>
  <c r="CJ950" i="2"/>
  <c r="CK950" i="2"/>
  <c r="CL950" i="2"/>
  <c r="CJ951" i="2"/>
  <c r="CK951" i="2"/>
  <c r="CL951" i="2"/>
  <c r="CJ952" i="2"/>
  <c r="CK952" i="2"/>
  <c r="CL952" i="2"/>
  <c r="CJ953" i="2"/>
  <c r="CK953" i="2"/>
  <c r="CL953" i="2"/>
  <c r="CJ954" i="2"/>
  <c r="CK954" i="2"/>
  <c r="CL954" i="2"/>
  <c r="CJ955" i="2"/>
  <c r="CK955" i="2"/>
  <c r="CL955" i="2"/>
  <c r="CJ956" i="2"/>
  <c r="CK956" i="2"/>
  <c r="CL956" i="2"/>
  <c r="CJ957" i="2"/>
  <c r="CK957" i="2"/>
  <c r="CL957" i="2"/>
  <c r="CJ958" i="2"/>
  <c r="CK958" i="2"/>
  <c r="CL958" i="2"/>
  <c r="CJ959" i="2"/>
  <c r="CK959" i="2"/>
  <c r="CL959" i="2"/>
  <c r="CJ960" i="2"/>
  <c r="CK960" i="2"/>
  <c r="CL960" i="2"/>
  <c r="CJ961" i="2"/>
  <c r="CK961" i="2"/>
  <c r="CL961" i="2"/>
  <c r="CJ962" i="2"/>
  <c r="CK962" i="2"/>
  <c r="CL962" i="2"/>
  <c r="CJ963" i="2"/>
  <c r="CK963" i="2"/>
  <c r="CL963" i="2"/>
  <c r="CJ964" i="2"/>
  <c r="CK964" i="2"/>
  <c r="CL964" i="2"/>
  <c r="CJ965" i="2"/>
  <c r="CK965" i="2"/>
  <c r="CL965" i="2"/>
  <c r="CJ966" i="2"/>
  <c r="CK966" i="2"/>
  <c r="CL966" i="2"/>
  <c r="CJ967" i="2"/>
  <c r="CK967" i="2"/>
  <c r="CL967" i="2"/>
  <c r="CJ968" i="2"/>
  <c r="CK968" i="2"/>
  <c r="CL968" i="2"/>
  <c r="CJ969" i="2"/>
  <c r="CK969" i="2"/>
  <c r="CL969" i="2"/>
  <c r="CJ970" i="2"/>
  <c r="CK970" i="2"/>
  <c r="CL970" i="2"/>
  <c r="CJ971" i="2"/>
  <c r="CK971" i="2"/>
  <c r="CL971" i="2"/>
  <c r="CJ972" i="2"/>
  <c r="CK972" i="2"/>
  <c r="CL972" i="2"/>
  <c r="CJ973" i="2"/>
  <c r="CK973" i="2"/>
  <c r="CL973" i="2"/>
  <c r="CJ974" i="2"/>
  <c r="CK974" i="2"/>
  <c r="CL974" i="2"/>
  <c r="CJ975" i="2"/>
  <c r="CK975" i="2"/>
  <c r="CL975" i="2"/>
  <c r="CJ976" i="2"/>
  <c r="CK976" i="2"/>
  <c r="CL976" i="2"/>
  <c r="CJ977" i="2"/>
  <c r="CK977" i="2"/>
  <c r="CL977" i="2"/>
  <c r="CJ978" i="2"/>
  <c r="CK978" i="2"/>
  <c r="CL978" i="2"/>
  <c r="CJ979" i="2"/>
  <c r="CK979" i="2"/>
  <c r="CL979" i="2"/>
  <c r="CJ980" i="2"/>
  <c r="CK980" i="2"/>
  <c r="CL980" i="2"/>
  <c r="CJ981" i="2"/>
  <c r="CK981" i="2"/>
  <c r="CL981" i="2"/>
  <c r="CJ982" i="2"/>
  <c r="CK982" i="2"/>
  <c r="CL982" i="2"/>
  <c r="CJ983" i="2"/>
  <c r="CK983" i="2"/>
  <c r="CL983" i="2"/>
  <c r="CJ984" i="2"/>
  <c r="CK984" i="2"/>
  <c r="CL984" i="2"/>
  <c r="CJ985" i="2"/>
  <c r="CK985" i="2"/>
  <c r="CL985" i="2"/>
  <c r="CJ986" i="2"/>
  <c r="CK986" i="2"/>
  <c r="CL986" i="2"/>
  <c r="CJ987" i="2"/>
  <c r="CK987" i="2"/>
  <c r="CL987" i="2"/>
  <c r="CJ988" i="2"/>
  <c r="CK988" i="2"/>
  <c r="CL988" i="2"/>
  <c r="CJ989" i="2"/>
  <c r="CK989" i="2"/>
  <c r="CL989" i="2"/>
  <c r="CJ990" i="2"/>
  <c r="CK990" i="2"/>
  <c r="CL990" i="2"/>
  <c r="CJ991" i="2"/>
  <c r="CK991" i="2"/>
  <c r="CL991" i="2"/>
  <c r="CJ992" i="2"/>
  <c r="CK992" i="2"/>
  <c r="CL992" i="2"/>
  <c r="CJ993" i="2"/>
  <c r="CK993" i="2"/>
  <c r="CL993" i="2"/>
  <c r="CJ994" i="2"/>
  <c r="CK994" i="2"/>
  <c r="CL994" i="2"/>
  <c r="CJ995" i="2"/>
  <c r="CK995" i="2"/>
  <c r="CL995" i="2"/>
  <c r="CJ996" i="2"/>
  <c r="CK996" i="2"/>
  <c r="CL996" i="2"/>
  <c r="CJ997" i="2"/>
  <c r="CK997" i="2"/>
  <c r="CL997" i="2"/>
  <c r="CJ998" i="2"/>
  <c r="CK998" i="2"/>
  <c r="CL998" i="2"/>
  <c r="CJ999" i="2"/>
  <c r="CK999" i="2"/>
  <c r="CL999" i="2"/>
  <c r="CJ1000" i="2"/>
  <c r="CK1000" i="2"/>
  <c r="CL1000" i="2"/>
  <c r="CJ1001" i="2"/>
  <c r="CK1001" i="2"/>
  <c r="CL1001" i="2"/>
  <c r="CJ1002" i="2"/>
  <c r="CK1002" i="2"/>
  <c r="CL1002" i="2"/>
  <c r="CJ1003" i="2"/>
  <c r="CK1003" i="2"/>
  <c r="CL1003" i="2"/>
  <c r="CJ1004" i="2"/>
  <c r="CK1004" i="2"/>
  <c r="CL1004" i="2"/>
  <c r="CJ1005" i="2"/>
  <c r="CK1005" i="2"/>
  <c r="CL1005" i="2"/>
  <c r="CJ1006" i="2"/>
  <c r="CK1006" i="2"/>
  <c r="CL1006" i="2"/>
  <c r="CJ1007" i="2"/>
  <c r="CK1007" i="2"/>
  <c r="CL1007" i="2"/>
  <c r="CJ1008" i="2"/>
  <c r="CK1008" i="2"/>
  <c r="CL1008" i="2"/>
  <c r="CJ1009" i="2"/>
  <c r="CK1009" i="2"/>
  <c r="CL1009" i="2"/>
  <c r="CJ1010" i="2"/>
  <c r="CK1010" i="2"/>
  <c r="CL1010" i="2"/>
  <c r="CJ1011" i="2"/>
  <c r="CK1011" i="2"/>
  <c r="CL1011" i="2"/>
  <c r="CJ1012" i="2"/>
  <c r="CK1012" i="2"/>
  <c r="CL1012" i="2"/>
  <c r="CJ1013" i="2"/>
  <c r="CK1013" i="2"/>
  <c r="CL1013" i="2"/>
  <c r="CJ1014" i="2"/>
  <c r="CK1014" i="2"/>
  <c r="CL1014" i="2"/>
  <c r="CJ1015" i="2"/>
  <c r="CK1015" i="2"/>
  <c r="CL1015" i="2"/>
  <c r="CJ1016" i="2"/>
  <c r="CK1016" i="2"/>
  <c r="CL1016" i="2"/>
  <c r="CJ1017" i="2"/>
  <c r="CK1017" i="2"/>
  <c r="CL1017" i="2"/>
  <c r="CJ1018" i="2"/>
  <c r="CK1018" i="2"/>
  <c r="CL1018" i="2"/>
  <c r="CJ1019" i="2"/>
  <c r="CK1019" i="2"/>
  <c r="CL1019" i="2"/>
  <c r="CJ1020" i="2"/>
  <c r="CK1020" i="2"/>
  <c r="CL1020" i="2"/>
  <c r="CJ1021" i="2"/>
  <c r="CK1021" i="2"/>
  <c r="CL1021" i="2"/>
  <c r="CJ1022" i="2"/>
  <c r="CK1022" i="2"/>
  <c r="CL1022" i="2"/>
  <c r="CJ1023" i="2"/>
  <c r="CK1023" i="2"/>
  <c r="CL1023" i="2"/>
  <c r="CJ1024" i="2"/>
  <c r="CK1024" i="2"/>
  <c r="CL1024" i="2"/>
  <c r="CJ1025" i="2"/>
  <c r="CK1025" i="2"/>
  <c r="CL1025" i="2"/>
  <c r="CJ1026" i="2"/>
  <c r="CK1026" i="2"/>
  <c r="CL1026" i="2"/>
  <c r="CJ1027" i="2"/>
  <c r="CK1027" i="2"/>
  <c r="CL1027" i="2"/>
  <c r="CJ1028" i="2"/>
  <c r="CK1028" i="2"/>
  <c r="CL1028" i="2"/>
  <c r="CJ1029" i="2"/>
  <c r="CK1029" i="2"/>
  <c r="CL1029" i="2"/>
  <c r="CJ1030" i="2"/>
  <c r="CK1030" i="2"/>
  <c r="CL1030" i="2"/>
  <c r="CJ1031" i="2"/>
  <c r="CK1031" i="2"/>
  <c r="CL1031" i="2"/>
  <c r="CJ1032" i="2"/>
  <c r="CK1032" i="2"/>
  <c r="CL1032" i="2"/>
  <c r="CJ1033" i="2"/>
  <c r="CK1033" i="2"/>
  <c r="CL1033" i="2"/>
  <c r="CJ1034" i="2"/>
  <c r="CK1034" i="2"/>
  <c r="CL1034" i="2"/>
  <c r="CJ1035" i="2"/>
  <c r="CK1035" i="2"/>
  <c r="CL1035" i="2"/>
  <c r="CJ1036" i="2"/>
  <c r="CK1036" i="2"/>
  <c r="CL1036" i="2"/>
  <c r="CJ1037" i="2"/>
  <c r="CK1037" i="2"/>
  <c r="CL1037" i="2"/>
  <c r="CJ1038" i="2"/>
  <c r="CK1038" i="2"/>
  <c r="CL1038" i="2"/>
  <c r="CJ1039" i="2"/>
  <c r="CK1039" i="2"/>
  <c r="CL1039" i="2"/>
  <c r="CJ1040" i="2"/>
  <c r="CK1040" i="2"/>
  <c r="CL1040" i="2"/>
  <c r="CJ1041" i="2"/>
  <c r="CK1041" i="2"/>
  <c r="CL1041" i="2"/>
  <c r="CJ1042" i="2"/>
  <c r="CK1042" i="2"/>
  <c r="CL1042" i="2"/>
  <c r="CJ1043" i="2"/>
  <c r="CK1043" i="2"/>
  <c r="CL1043" i="2"/>
  <c r="CJ1044" i="2"/>
  <c r="CK1044" i="2"/>
  <c r="CL1044" i="2"/>
  <c r="CJ1045" i="2"/>
  <c r="CK1045" i="2"/>
  <c r="CL1045" i="2"/>
  <c r="CJ1046" i="2"/>
  <c r="CK1046" i="2"/>
  <c r="CL1046" i="2"/>
  <c r="CJ1047" i="2"/>
  <c r="CK1047" i="2"/>
  <c r="CL1047" i="2"/>
  <c r="CJ1048" i="2"/>
  <c r="CK1048" i="2"/>
  <c r="CL1048" i="2"/>
  <c r="CJ1049" i="2"/>
  <c r="CK1049" i="2"/>
  <c r="CL1049" i="2"/>
  <c r="CJ1050" i="2"/>
  <c r="CK1050" i="2"/>
  <c r="CL1050" i="2"/>
  <c r="CJ1051" i="2"/>
  <c r="CK1051" i="2"/>
  <c r="CL1051" i="2"/>
  <c r="CJ1052" i="2"/>
  <c r="CK1052" i="2"/>
  <c r="CL1052" i="2"/>
  <c r="CJ1053" i="2"/>
  <c r="CK1053" i="2"/>
  <c r="CL1053" i="2"/>
  <c r="CJ1054" i="2"/>
  <c r="CK1054" i="2"/>
  <c r="CL1054" i="2"/>
  <c r="CJ1055" i="2"/>
  <c r="CK1055" i="2"/>
  <c r="CL1055" i="2"/>
  <c r="CJ1056" i="2"/>
  <c r="CK1056" i="2"/>
  <c r="CL1056" i="2"/>
  <c r="CJ1057" i="2"/>
  <c r="CK1057" i="2"/>
  <c r="CL1057" i="2"/>
  <c r="CJ1058" i="2"/>
  <c r="CK1058" i="2"/>
  <c r="CL1058" i="2"/>
  <c r="CJ1059" i="2"/>
  <c r="CK1059" i="2"/>
  <c r="CL1059" i="2"/>
  <c r="CJ1060" i="2"/>
  <c r="CK1060" i="2"/>
  <c r="CL1060" i="2"/>
  <c r="CJ1061" i="2"/>
  <c r="CK1061" i="2"/>
  <c r="CL1061" i="2"/>
  <c r="CJ1062" i="2"/>
  <c r="CK1062" i="2"/>
  <c r="CL1062" i="2"/>
  <c r="CJ1063" i="2"/>
  <c r="CK1063" i="2"/>
  <c r="CL1063" i="2"/>
  <c r="CJ1064" i="2"/>
  <c r="CK1064" i="2"/>
  <c r="CL1064" i="2"/>
  <c r="CJ1065" i="2"/>
  <c r="CK1065" i="2"/>
  <c r="CL1065" i="2"/>
  <c r="CJ1066" i="2"/>
  <c r="CK1066" i="2"/>
  <c r="CL1066" i="2"/>
  <c r="CJ1067" i="2"/>
  <c r="CK1067" i="2"/>
  <c r="CL1067" i="2"/>
  <c r="CJ1068" i="2"/>
  <c r="CK1068" i="2"/>
  <c r="CL1068" i="2"/>
  <c r="CJ1069" i="2"/>
  <c r="CK1069" i="2"/>
  <c r="CL1069" i="2"/>
  <c r="CJ1070" i="2"/>
  <c r="CK1070" i="2"/>
  <c r="CL1070" i="2"/>
  <c r="CJ1071" i="2"/>
  <c r="CK1071" i="2"/>
  <c r="CL1071" i="2"/>
  <c r="CJ1072" i="2"/>
  <c r="CK1072" i="2"/>
  <c r="CL1072" i="2"/>
  <c r="CJ1073" i="2"/>
  <c r="CK1073" i="2"/>
  <c r="CL1073" i="2"/>
  <c r="CJ1074" i="2"/>
  <c r="CK1074" i="2"/>
  <c r="CL1074" i="2"/>
  <c r="CJ1075" i="2"/>
  <c r="CK1075" i="2"/>
  <c r="CL1075" i="2"/>
  <c r="CJ1076" i="2"/>
  <c r="CK1076" i="2"/>
  <c r="CL1076" i="2"/>
  <c r="CJ1077" i="2"/>
  <c r="CK1077" i="2"/>
  <c r="CL1077" i="2"/>
  <c r="CJ1078" i="2"/>
  <c r="CK1078" i="2"/>
  <c r="CL1078" i="2"/>
  <c r="CJ1079" i="2"/>
  <c r="CK1079" i="2"/>
  <c r="CL1079" i="2"/>
  <c r="CJ1080" i="2"/>
  <c r="CK1080" i="2"/>
  <c r="CL1080" i="2"/>
  <c r="CJ1081" i="2"/>
  <c r="CK1081" i="2"/>
  <c r="CL1081" i="2"/>
  <c r="CJ1082" i="2"/>
  <c r="CK1082" i="2"/>
  <c r="CL1082" i="2"/>
  <c r="CJ1083" i="2"/>
  <c r="CK1083" i="2"/>
  <c r="CL1083" i="2"/>
  <c r="CJ1084" i="2"/>
  <c r="CK1084" i="2"/>
  <c r="CL1084" i="2"/>
  <c r="CJ1085" i="2"/>
  <c r="CK1085" i="2"/>
  <c r="CL1085" i="2"/>
  <c r="CJ1086" i="2"/>
  <c r="CK1086" i="2"/>
  <c r="CL1086" i="2"/>
  <c r="CJ1087" i="2"/>
  <c r="CK1087" i="2"/>
  <c r="CL1087" i="2"/>
  <c r="CJ1088" i="2"/>
  <c r="CK1088" i="2"/>
  <c r="CL1088" i="2"/>
  <c r="CJ1089" i="2"/>
  <c r="CK1089" i="2"/>
  <c r="CL1089" i="2"/>
  <c r="CJ1090" i="2"/>
  <c r="CK1090" i="2"/>
  <c r="CL1090" i="2"/>
  <c r="CJ1091" i="2"/>
  <c r="CK1091" i="2"/>
  <c r="CL1091" i="2"/>
  <c r="CJ1092" i="2"/>
  <c r="CK1092" i="2"/>
  <c r="CL1092" i="2"/>
  <c r="CJ1093" i="2"/>
  <c r="CK1093" i="2"/>
  <c r="CL1093" i="2"/>
  <c r="CJ1094" i="2"/>
  <c r="CK1094" i="2"/>
  <c r="CL1094" i="2"/>
  <c r="CJ1095" i="2"/>
  <c r="CK1095" i="2"/>
  <c r="CL1095" i="2"/>
  <c r="CJ1096" i="2"/>
  <c r="CK1096" i="2"/>
  <c r="CL1096" i="2"/>
  <c r="CJ1097" i="2"/>
  <c r="CK1097" i="2"/>
  <c r="CL1097" i="2"/>
  <c r="CJ1098" i="2"/>
  <c r="CK1098" i="2"/>
  <c r="CL1098" i="2"/>
  <c r="CJ1099" i="2"/>
  <c r="CK1099" i="2"/>
  <c r="CL1099" i="2"/>
  <c r="CJ1100" i="2"/>
  <c r="CK1100" i="2"/>
  <c r="CL1100" i="2"/>
  <c r="CJ1101" i="2"/>
  <c r="CK1101" i="2"/>
  <c r="CL1101" i="2"/>
  <c r="CJ1102" i="2"/>
  <c r="CK1102" i="2"/>
  <c r="CL1102" i="2"/>
  <c r="CJ1103" i="2"/>
  <c r="CK1103" i="2"/>
  <c r="CL1103" i="2"/>
  <c r="CJ1104" i="2"/>
  <c r="CK1104" i="2"/>
  <c r="CL1104" i="2"/>
  <c r="CJ1105" i="2"/>
  <c r="CK1105" i="2"/>
  <c r="CL1105" i="2"/>
  <c r="CJ1106" i="2"/>
  <c r="CK1106" i="2"/>
  <c r="CL1106" i="2"/>
  <c r="CJ1107" i="2"/>
  <c r="CK1107" i="2"/>
  <c r="CL1107" i="2"/>
  <c r="CJ1108" i="2"/>
  <c r="CK1108" i="2"/>
  <c r="CL1108" i="2"/>
  <c r="CJ1109" i="2"/>
  <c r="CK1109" i="2"/>
  <c r="CL1109" i="2"/>
  <c r="CJ1110" i="2"/>
  <c r="CK1110" i="2"/>
  <c r="CL1110" i="2"/>
  <c r="CJ1111" i="2"/>
  <c r="CK1111" i="2"/>
  <c r="CL1111" i="2"/>
  <c r="CJ1112" i="2"/>
  <c r="CK1112" i="2"/>
  <c r="CL1112" i="2"/>
  <c r="CJ1113" i="2"/>
  <c r="CK1113" i="2"/>
  <c r="CL1113" i="2"/>
  <c r="CJ1114" i="2"/>
  <c r="CK1114" i="2"/>
  <c r="CL1114" i="2"/>
  <c r="CJ1115" i="2"/>
  <c r="CK1115" i="2"/>
  <c r="CL1115" i="2"/>
  <c r="CJ1116" i="2"/>
  <c r="CK1116" i="2"/>
  <c r="CL1116" i="2"/>
  <c r="CJ1117" i="2"/>
  <c r="CK1117" i="2"/>
  <c r="CL1117" i="2"/>
  <c r="CJ1118" i="2"/>
  <c r="CK1118" i="2"/>
  <c r="CL1118" i="2"/>
  <c r="CJ1119" i="2"/>
  <c r="CK1119" i="2"/>
  <c r="CL1119" i="2"/>
  <c r="CJ1120" i="2"/>
  <c r="CK1120" i="2"/>
  <c r="CL1120" i="2"/>
  <c r="CJ1121" i="2"/>
  <c r="CK1121" i="2"/>
  <c r="CL1121" i="2"/>
  <c r="CJ1122" i="2"/>
  <c r="CK1122" i="2"/>
  <c r="CL1122" i="2"/>
  <c r="CJ1123" i="2"/>
  <c r="CK1123" i="2"/>
  <c r="CL1123" i="2"/>
  <c r="CJ1124" i="2"/>
  <c r="CK1124" i="2"/>
  <c r="CL1124" i="2"/>
  <c r="CJ1125" i="2"/>
  <c r="CK1125" i="2"/>
  <c r="CL1125" i="2"/>
  <c r="CJ1126" i="2"/>
  <c r="CK1126" i="2"/>
  <c r="CL1126" i="2"/>
  <c r="CJ1127" i="2"/>
  <c r="CK1127" i="2"/>
  <c r="CL1127" i="2"/>
  <c r="CJ1128" i="2"/>
  <c r="CK1128" i="2"/>
  <c r="CL1128" i="2"/>
  <c r="CJ1129" i="2"/>
  <c r="CK1129" i="2"/>
  <c r="CL1129" i="2"/>
  <c r="CJ1130" i="2"/>
  <c r="CK1130" i="2"/>
  <c r="CL1130" i="2"/>
  <c r="CJ1131" i="2"/>
  <c r="CK1131" i="2"/>
  <c r="CL1131" i="2"/>
  <c r="CJ1132" i="2"/>
  <c r="CK1132" i="2"/>
  <c r="CL1132" i="2"/>
  <c r="CJ1133" i="2"/>
  <c r="CK1133" i="2"/>
  <c r="CL1133" i="2"/>
  <c r="CJ1134" i="2"/>
  <c r="CK1134" i="2"/>
  <c r="CL1134" i="2"/>
  <c r="CJ1135" i="2"/>
  <c r="CK1135" i="2"/>
  <c r="CL1135" i="2"/>
  <c r="CJ1136" i="2"/>
  <c r="CK1136" i="2"/>
  <c r="CL1136" i="2"/>
  <c r="CJ1137" i="2"/>
  <c r="CK1137" i="2"/>
  <c r="CL1137" i="2"/>
  <c r="CJ1138" i="2"/>
  <c r="CK1138" i="2"/>
  <c r="CL1138" i="2"/>
  <c r="CJ1139" i="2"/>
  <c r="CK1139" i="2"/>
  <c r="CL1139" i="2"/>
  <c r="CJ1140" i="2"/>
  <c r="CK1140" i="2"/>
  <c r="CL1140" i="2"/>
  <c r="CJ1141" i="2"/>
  <c r="CK1141" i="2"/>
  <c r="CL1141" i="2"/>
  <c r="CJ1142" i="2"/>
  <c r="CK1142" i="2"/>
  <c r="CL1142" i="2"/>
  <c r="CJ1143" i="2"/>
  <c r="CK1143" i="2"/>
  <c r="CL1143" i="2"/>
  <c r="CJ1144" i="2"/>
  <c r="CK1144" i="2"/>
  <c r="CL1144" i="2"/>
  <c r="CJ1145" i="2"/>
  <c r="CK1145" i="2"/>
  <c r="CL1145" i="2"/>
  <c r="CJ1146" i="2"/>
  <c r="CK1146" i="2"/>
  <c r="CL1146" i="2"/>
  <c r="CJ1147" i="2"/>
  <c r="CK1147" i="2"/>
  <c r="CL1147" i="2"/>
  <c r="CJ1148" i="2"/>
  <c r="CK1148" i="2"/>
  <c r="CL1148" i="2"/>
  <c r="CJ1149" i="2"/>
  <c r="CK1149" i="2"/>
  <c r="CL1149" i="2"/>
  <c r="CJ1150" i="2"/>
  <c r="CK1150" i="2"/>
  <c r="CL1150" i="2"/>
  <c r="CJ1151" i="2"/>
  <c r="CK1151" i="2"/>
  <c r="CL1151" i="2"/>
  <c r="CJ1152" i="2"/>
  <c r="CK1152" i="2"/>
  <c r="CL1152" i="2"/>
  <c r="CJ1153" i="2"/>
  <c r="CK1153" i="2"/>
  <c r="CL1153" i="2"/>
  <c r="CJ1154" i="2"/>
  <c r="CK1154" i="2"/>
  <c r="CL1154" i="2"/>
  <c r="CJ1155" i="2"/>
  <c r="CK1155" i="2"/>
  <c r="CL1155" i="2"/>
  <c r="CJ1156" i="2"/>
  <c r="CK1156" i="2"/>
  <c r="CL1156" i="2"/>
  <c r="CJ1157" i="2"/>
  <c r="CK1157" i="2"/>
  <c r="CL1157" i="2"/>
  <c r="CJ1158" i="2"/>
  <c r="CK1158" i="2"/>
  <c r="CL1158" i="2"/>
  <c r="CJ1159" i="2"/>
  <c r="CK1159" i="2"/>
  <c r="CL1159" i="2"/>
  <c r="CJ1160" i="2"/>
  <c r="CK1160" i="2"/>
  <c r="CL1160" i="2"/>
  <c r="CJ1161" i="2"/>
  <c r="CK1161" i="2"/>
  <c r="CL1161" i="2"/>
  <c r="CJ1162" i="2"/>
  <c r="CK1162" i="2"/>
  <c r="CL1162" i="2"/>
  <c r="CJ1163" i="2"/>
  <c r="CK1163" i="2"/>
  <c r="CL1163" i="2"/>
  <c r="CJ1164" i="2"/>
  <c r="CK1164" i="2"/>
  <c r="CL1164" i="2"/>
  <c r="CJ1165" i="2"/>
  <c r="CK1165" i="2"/>
  <c r="CL1165" i="2"/>
  <c r="CJ1166" i="2"/>
  <c r="CK1166" i="2"/>
  <c r="CL1166" i="2"/>
  <c r="CJ1167" i="2"/>
  <c r="CK1167" i="2"/>
  <c r="CL1167" i="2"/>
  <c r="CJ1168" i="2"/>
  <c r="CK1168" i="2"/>
  <c r="CL1168" i="2"/>
  <c r="CJ1169" i="2"/>
  <c r="CK1169" i="2"/>
  <c r="CL1169" i="2"/>
  <c r="CJ1170" i="2"/>
  <c r="CK1170" i="2"/>
  <c r="CL1170" i="2"/>
  <c r="CJ1171" i="2"/>
  <c r="CK1171" i="2"/>
  <c r="CL1171" i="2"/>
  <c r="CJ1172" i="2"/>
  <c r="CK1172" i="2"/>
  <c r="CL1172" i="2"/>
  <c r="CJ1173" i="2"/>
  <c r="CK1173" i="2"/>
  <c r="CL1173" i="2"/>
  <c r="CJ1174" i="2"/>
  <c r="CK1174" i="2"/>
  <c r="CL1174" i="2"/>
  <c r="CJ1175" i="2"/>
  <c r="CK1175" i="2"/>
  <c r="CL1175" i="2"/>
  <c r="CJ1176" i="2"/>
  <c r="CK1176" i="2"/>
  <c r="CL1176" i="2"/>
  <c r="CJ1177" i="2"/>
  <c r="CK1177" i="2"/>
  <c r="CL1177" i="2"/>
  <c r="CJ1178" i="2"/>
  <c r="CK1178" i="2"/>
  <c r="CL1178" i="2"/>
  <c r="CJ1179" i="2"/>
  <c r="CK1179" i="2"/>
  <c r="CL1179" i="2"/>
  <c r="CJ1180" i="2"/>
  <c r="CK1180" i="2"/>
  <c r="CL1180" i="2"/>
  <c r="CJ1181" i="2"/>
  <c r="CK1181" i="2"/>
  <c r="CL1181" i="2"/>
  <c r="CJ1182" i="2"/>
  <c r="CK1182" i="2"/>
  <c r="CL1182" i="2"/>
  <c r="CJ1183" i="2"/>
  <c r="CK1183" i="2"/>
  <c r="CL1183" i="2"/>
  <c r="CJ1184" i="2"/>
  <c r="CK1184" i="2"/>
  <c r="CL1184" i="2"/>
  <c r="CJ1185" i="2"/>
  <c r="CK1185" i="2"/>
  <c r="CL1185" i="2"/>
  <c r="CJ1186" i="2"/>
  <c r="CK1186" i="2"/>
  <c r="CL1186" i="2"/>
  <c r="CJ1187" i="2"/>
  <c r="CK1187" i="2"/>
  <c r="CL1187" i="2"/>
  <c r="CJ1188" i="2"/>
  <c r="CK1188" i="2"/>
  <c r="CL1188" i="2"/>
  <c r="CJ1189" i="2"/>
  <c r="CK1189" i="2"/>
  <c r="CL1189" i="2"/>
  <c r="CJ1190" i="2"/>
  <c r="CK1190" i="2"/>
  <c r="CL1190" i="2"/>
  <c r="CJ1191" i="2"/>
  <c r="CK1191" i="2"/>
  <c r="CL1191" i="2"/>
  <c r="CJ1192" i="2"/>
  <c r="CK1192" i="2"/>
  <c r="CL1192" i="2"/>
  <c r="CJ1193" i="2"/>
  <c r="CK1193" i="2"/>
  <c r="CL1193" i="2"/>
  <c r="CJ1194" i="2"/>
  <c r="CK1194" i="2"/>
  <c r="CL1194" i="2"/>
  <c r="CJ1195" i="2"/>
  <c r="CK1195" i="2"/>
  <c r="CL1195" i="2"/>
  <c r="CJ1196" i="2"/>
  <c r="CK1196" i="2"/>
  <c r="CL1196" i="2"/>
  <c r="CJ1197" i="2"/>
  <c r="CK1197" i="2"/>
  <c r="CL1197" i="2"/>
  <c r="CJ1198" i="2"/>
  <c r="CK1198" i="2"/>
  <c r="CL1198" i="2"/>
  <c r="CJ1199" i="2"/>
  <c r="CK1199" i="2"/>
  <c r="CL1199" i="2"/>
  <c r="CJ1200" i="2"/>
  <c r="CK1200" i="2"/>
  <c r="CL1200" i="2"/>
  <c r="CJ1201" i="2"/>
  <c r="CK1201" i="2"/>
  <c r="CL1201" i="2"/>
  <c r="CJ1202" i="2"/>
  <c r="CK1202" i="2"/>
  <c r="CL1202" i="2"/>
  <c r="CJ1203" i="2"/>
  <c r="CK1203" i="2"/>
  <c r="CL1203" i="2"/>
  <c r="CJ1204" i="2"/>
  <c r="CK1204" i="2"/>
  <c r="CL1204" i="2"/>
  <c r="CJ1205" i="2"/>
  <c r="CK1205" i="2"/>
  <c r="CL1205" i="2"/>
  <c r="CJ1206" i="2"/>
  <c r="CK1206" i="2"/>
  <c r="CL1206" i="2"/>
  <c r="CJ1207" i="2"/>
  <c r="CK1207" i="2"/>
  <c r="CL1207" i="2"/>
  <c r="CJ1208" i="2"/>
  <c r="CK1208" i="2"/>
  <c r="CL1208" i="2"/>
  <c r="CJ1209" i="2"/>
  <c r="CK1209" i="2"/>
  <c r="CL1209" i="2"/>
  <c r="CJ1210" i="2"/>
  <c r="CK1210" i="2"/>
  <c r="CL1210" i="2"/>
  <c r="CJ1211" i="2"/>
  <c r="CK1211" i="2"/>
  <c r="CL1211" i="2"/>
  <c r="CJ1212" i="2"/>
  <c r="CK1212" i="2"/>
  <c r="CL1212" i="2"/>
  <c r="CJ1213" i="2"/>
  <c r="CK1213" i="2"/>
  <c r="CL1213" i="2"/>
  <c r="CJ1214" i="2"/>
  <c r="CK1214" i="2"/>
  <c r="CL1214" i="2"/>
  <c r="CJ1215" i="2"/>
  <c r="CK1215" i="2"/>
  <c r="CL1215" i="2"/>
  <c r="CJ1216" i="2"/>
  <c r="CK1216" i="2"/>
  <c r="CL1216" i="2"/>
  <c r="CJ1217" i="2"/>
  <c r="CK1217" i="2"/>
  <c r="CL1217" i="2"/>
  <c r="CJ1218" i="2"/>
  <c r="CK1218" i="2"/>
  <c r="CL1218" i="2"/>
  <c r="CJ1219" i="2"/>
  <c r="CK1219" i="2"/>
  <c r="CL1219" i="2"/>
  <c r="CJ1220" i="2"/>
  <c r="CK1220" i="2"/>
  <c r="CL1220" i="2"/>
  <c r="CJ1221" i="2"/>
  <c r="CK1221" i="2"/>
  <c r="CL1221" i="2"/>
  <c r="CJ1222" i="2"/>
  <c r="CK1222" i="2"/>
  <c r="CL1222" i="2"/>
  <c r="CJ1223" i="2"/>
  <c r="CK1223" i="2"/>
  <c r="CL1223" i="2"/>
  <c r="CJ1224" i="2"/>
  <c r="CK1224" i="2"/>
  <c r="CL1224" i="2"/>
  <c r="CJ1225" i="2"/>
  <c r="CK1225" i="2"/>
  <c r="CL1225" i="2"/>
  <c r="CJ1226" i="2"/>
  <c r="CK1226" i="2"/>
  <c r="CL1226" i="2"/>
  <c r="CJ1227" i="2"/>
  <c r="CK1227" i="2"/>
  <c r="CL1227" i="2"/>
  <c r="CJ1228" i="2"/>
  <c r="CK1228" i="2"/>
  <c r="CL1228" i="2"/>
  <c r="CJ1229" i="2"/>
  <c r="CK1229" i="2"/>
  <c r="CL1229" i="2"/>
  <c r="CJ1230" i="2"/>
  <c r="CK1230" i="2"/>
  <c r="CL1230" i="2"/>
  <c r="CJ1231" i="2"/>
  <c r="CK1231" i="2"/>
  <c r="CL1231" i="2"/>
  <c r="CJ1232" i="2"/>
  <c r="CK1232" i="2"/>
  <c r="CL1232" i="2"/>
  <c r="CJ1233" i="2"/>
  <c r="CK1233" i="2"/>
  <c r="CL1233" i="2"/>
  <c r="CJ1234" i="2"/>
  <c r="CK1234" i="2"/>
  <c r="CL1234" i="2"/>
  <c r="CJ1235" i="2"/>
  <c r="CK1235" i="2"/>
  <c r="CL1235" i="2"/>
  <c r="CJ1236" i="2"/>
  <c r="CK1236" i="2"/>
  <c r="CL1236" i="2"/>
  <c r="CJ1237" i="2"/>
  <c r="CK1237" i="2"/>
  <c r="CL1237" i="2"/>
  <c r="CJ1238" i="2"/>
  <c r="CK1238" i="2"/>
  <c r="CL1238" i="2"/>
  <c r="CJ1239" i="2"/>
  <c r="CK1239" i="2"/>
  <c r="CL1239" i="2"/>
  <c r="CJ1240" i="2"/>
  <c r="CK1240" i="2"/>
  <c r="CL1240" i="2"/>
  <c r="CJ1241" i="2"/>
  <c r="CK1241" i="2"/>
  <c r="CL1241" i="2"/>
  <c r="CJ1242" i="2"/>
  <c r="CK1242" i="2"/>
  <c r="CL1242" i="2"/>
  <c r="CJ1243" i="2"/>
  <c r="CK1243" i="2"/>
  <c r="CL1243" i="2"/>
  <c r="CJ1244" i="2"/>
  <c r="CK1244" i="2"/>
  <c r="CL1244" i="2"/>
  <c r="CJ1245" i="2"/>
  <c r="CK1245" i="2"/>
  <c r="CL1245" i="2"/>
  <c r="CJ1246" i="2"/>
  <c r="CK1246" i="2"/>
  <c r="CL1246" i="2"/>
  <c r="CJ1247" i="2"/>
  <c r="CK1247" i="2"/>
  <c r="CL1247" i="2"/>
  <c r="CJ1248" i="2"/>
  <c r="CK1248" i="2"/>
  <c r="CL1248" i="2"/>
  <c r="CB4" i="2"/>
  <c r="CB5" i="2"/>
  <c r="CB6" i="2"/>
  <c r="CB7" i="2"/>
  <c r="CB8" i="2"/>
  <c r="CB9" i="2"/>
  <c r="CB10" i="2"/>
  <c r="CB11" i="2"/>
  <c r="CB12" i="2"/>
  <c r="CB13" i="2"/>
  <c r="CB14" i="2"/>
  <c r="CB15" i="2"/>
  <c r="CB16" i="2"/>
  <c r="CB17" i="2"/>
  <c r="CB18" i="2"/>
  <c r="CB19" i="2"/>
  <c r="CB20" i="2"/>
  <c r="CB21" i="2"/>
  <c r="CB22" i="2"/>
  <c r="CB23" i="2"/>
  <c r="CB24" i="2"/>
  <c r="CB25" i="2"/>
  <c r="CB26" i="2"/>
  <c r="CB27" i="2"/>
  <c r="CB28" i="2"/>
  <c r="CB29" i="2"/>
  <c r="CB30" i="2"/>
  <c r="CB31" i="2"/>
  <c r="CB32" i="2"/>
  <c r="CB33" i="2"/>
  <c r="CB34" i="2"/>
  <c r="CB35" i="2"/>
  <c r="CB36" i="2"/>
  <c r="CB37" i="2"/>
  <c r="CB38" i="2"/>
  <c r="CB39" i="2"/>
  <c r="CB40" i="2"/>
  <c r="CB41" i="2"/>
  <c r="CB42" i="2"/>
  <c r="CB43" i="2"/>
  <c r="CB44" i="2"/>
  <c r="CB45" i="2"/>
  <c r="CB46" i="2"/>
  <c r="CB47" i="2"/>
  <c r="CB48" i="2"/>
  <c r="CB49" i="2"/>
  <c r="CB50" i="2"/>
  <c r="CB51" i="2"/>
  <c r="CB52" i="2"/>
  <c r="CB53" i="2"/>
  <c r="CB54" i="2"/>
  <c r="CB55" i="2"/>
  <c r="CB56" i="2"/>
  <c r="CB57" i="2"/>
  <c r="CB58" i="2"/>
  <c r="CB59" i="2"/>
  <c r="CB60" i="2"/>
  <c r="CB61" i="2"/>
  <c r="CB62" i="2"/>
  <c r="CB63" i="2"/>
  <c r="CB64" i="2"/>
  <c r="CB65" i="2"/>
  <c r="CB66" i="2"/>
  <c r="CB67" i="2"/>
  <c r="CB68" i="2"/>
  <c r="CB69" i="2"/>
  <c r="CB70" i="2"/>
  <c r="CB71" i="2"/>
  <c r="CB72" i="2"/>
  <c r="CB73" i="2"/>
  <c r="CB74" i="2"/>
  <c r="CB75" i="2"/>
  <c r="CB76" i="2"/>
  <c r="CB77" i="2"/>
  <c r="CB78" i="2"/>
  <c r="CB79" i="2"/>
  <c r="CB80" i="2"/>
  <c r="CB81" i="2"/>
  <c r="CB82" i="2"/>
  <c r="CB83" i="2"/>
  <c r="CB84" i="2"/>
  <c r="CB85" i="2"/>
  <c r="CB86" i="2"/>
  <c r="CB87" i="2"/>
  <c r="CB88" i="2"/>
  <c r="CB89" i="2"/>
  <c r="CB90" i="2"/>
  <c r="CB91" i="2"/>
  <c r="CB92" i="2"/>
  <c r="CB93" i="2"/>
  <c r="CB94" i="2"/>
  <c r="CB95" i="2"/>
  <c r="CB96" i="2"/>
  <c r="CB97" i="2"/>
  <c r="CB98" i="2"/>
  <c r="CB99" i="2"/>
  <c r="CB100" i="2"/>
  <c r="CB101" i="2"/>
  <c r="CB102" i="2"/>
  <c r="CB103" i="2"/>
  <c r="CB104" i="2"/>
  <c r="CB105" i="2"/>
  <c r="CB106" i="2"/>
  <c r="CB107" i="2"/>
  <c r="CB108" i="2"/>
  <c r="CB109" i="2"/>
  <c r="CB110" i="2"/>
  <c r="CB111" i="2"/>
  <c r="CB112" i="2"/>
  <c r="CB113" i="2"/>
  <c r="CB114" i="2"/>
  <c r="CB115" i="2"/>
  <c r="CB116" i="2"/>
  <c r="CB117" i="2"/>
  <c r="CB118" i="2"/>
  <c r="CB119" i="2"/>
  <c r="CB120" i="2"/>
  <c r="CB121" i="2"/>
  <c r="CB122" i="2"/>
  <c r="CB123" i="2"/>
  <c r="CB124" i="2"/>
  <c r="CB125" i="2"/>
  <c r="CB126" i="2"/>
  <c r="CB127" i="2"/>
  <c r="CB128" i="2"/>
  <c r="CB129" i="2"/>
  <c r="CB130" i="2"/>
  <c r="CB131" i="2"/>
  <c r="CB132" i="2"/>
  <c r="CB133" i="2"/>
  <c r="CB134" i="2"/>
  <c r="CB135" i="2"/>
  <c r="CB136" i="2"/>
  <c r="CB137" i="2"/>
  <c r="CB138" i="2"/>
  <c r="CB139" i="2"/>
  <c r="CB140" i="2"/>
  <c r="CB141" i="2"/>
  <c r="CB142" i="2"/>
  <c r="CB143" i="2"/>
  <c r="CB144" i="2"/>
  <c r="CB145" i="2"/>
  <c r="CB146" i="2"/>
  <c r="CB147" i="2"/>
  <c r="CB148" i="2"/>
  <c r="CB149" i="2"/>
  <c r="CB150" i="2"/>
  <c r="CB151" i="2"/>
  <c r="CB152" i="2"/>
  <c r="CB153" i="2"/>
  <c r="CB154" i="2"/>
  <c r="CB155" i="2"/>
  <c r="CB156" i="2"/>
  <c r="CB157" i="2"/>
  <c r="CB158" i="2"/>
  <c r="CB159" i="2"/>
  <c r="CB160" i="2"/>
  <c r="CB161" i="2"/>
  <c r="CB162" i="2"/>
  <c r="CB163" i="2"/>
  <c r="CB164" i="2"/>
  <c r="CB165" i="2"/>
  <c r="CB166" i="2"/>
  <c r="CB167" i="2"/>
  <c r="CB168" i="2"/>
  <c r="CB169" i="2"/>
  <c r="CB170" i="2"/>
  <c r="CB171" i="2"/>
  <c r="CB172" i="2"/>
  <c r="CB173" i="2"/>
  <c r="CB174" i="2"/>
  <c r="CB175" i="2"/>
  <c r="CB176" i="2"/>
  <c r="CB177" i="2"/>
  <c r="CB178" i="2"/>
  <c r="CB179" i="2"/>
  <c r="CB180" i="2"/>
  <c r="CB181" i="2"/>
  <c r="CB182" i="2"/>
  <c r="CB183" i="2"/>
  <c r="CB184" i="2"/>
  <c r="CB185" i="2"/>
  <c r="CB186" i="2"/>
  <c r="CB187" i="2"/>
  <c r="CB188" i="2"/>
  <c r="CB189" i="2"/>
  <c r="CB190" i="2"/>
  <c r="CB191" i="2"/>
  <c r="CB192" i="2"/>
  <c r="CB193" i="2"/>
  <c r="CB194" i="2"/>
  <c r="CB195" i="2"/>
  <c r="CB196" i="2"/>
  <c r="CB197" i="2"/>
  <c r="CB198" i="2"/>
  <c r="CB199" i="2"/>
  <c r="CB200" i="2"/>
  <c r="CB201" i="2"/>
  <c r="CB202" i="2"/>
  <c r="CB203" i="2"/>
  <c r="CB204" i="2"/>
  <c r="CB205" i="2"/>
  <c r="CB206" i="2"/>
  <c r="CB207" i="2"/>
  <c r="CB208" i="2"/>
  <c r="CB209" i="2"/>
  <c r="CB210" i="2"/>
  <c r="CB211" i="2"/>
  <c r="CB212" i="2"/>
  <c r="CB213" i="2"/>
  <c r="CB214" i="2"/>
  <c r="CB215" i="2"/>
  <c r="CB216" i="2"/>
  <c r="CB217" i="2"/>
  <c r="CB218" i="2"/>
  <c r="CB219" i="2"/>
  <c r="CB220" i="2"/>
  <c r="CB221" i="2"/>
  <c r="CB222" i="2"/>
  <c r="CB223" i="2"/>
  <c r="CB224" i="2"/>
  <c r="CB225" i="2"/>
  <c r="CB226" i="2"/>
  <c r="CB227" i="2"/>
  <c r="CB228" i="2"/>
  <c r="CB229" i="2"/>
  <c r="CB230" i="2"/>
  <c r="CB231" i="2"/>
  <c r="CB232" i="2"/>
  <c r="CB233" i="2"/>
  <c r="CB234" i="2"/>
  <c r="CB235" i="2"/>
  <c r="CB236" i="2"/>
  <c r="CB237" i="2"/>
  <c r="CB238" i="2"/>
  <c r="CB239" i="2"/>
  <c r="CB240" i="2"/>
  <c r="CB241" i="2"/>
  <c r="CB242" i="2"/>
  <c r="CB243" i="2"/>
  <c r="CB244" i="2"/>
  <c r="CB245" i="2"/>
  <c r="CB246" i="2"/>
  <c r="CB247" i="2"/>
  <c r="CB248" i="2"/>
  <c r="CB249" i="2"/>
  <c r="CB250" i="2"/>
  <c r="CB251" i="2"/>
  <c r="CB252" i="2"/>
  <c r="CB253" i="2"/>
  <c r="CB254" i="2"/>
  <c r="CB255" i="2"/>
  <c r="CB256" i="2"/>
  <c r="CB257" i="2"/>
  <c r="CB258" i="2"/>
  <c r="CB259" i="2"/>
  <c r="CB260" i="2"/>
  <c r="CB261" i="2"/>
  <c r="CB262" i="2"/>
  <c r="CB263" i="2"/>
  <c r="CB264" i="2"/>
  <c r="CB265" i="2"/>
  <c r="CB266" i="2"/>
  <c r="CB267" i="2"/>
  <c r="CB268" i="2"/>
  <c r="CB269" i="2"/>
  <c r="CB270" i="2"/>
  <c r="CB271" i="2"/>
  <c r="CB272" i="2"/>
  <c r="CB273" i="2"/>
  <c r="CB274" i="2"/>
  <c r="CB275" i="2"/>
  <c r="CB276" i="2"/>
  <c r="CB277" i="2"/>
  <c r="CB278" i="2"/>
  <c r="CB279" i="2"/>
  <c r="CB280" i="2"/>
  <c r="CB281" i="2"/>
  <c r="CB282" i="2"/>
  <c r="CB283" i="2"/>
  <c r="CB284" i="2"/>
  <c r="CB285" i="2"/>
  <c r="CB286" i="2"/>
  <c r="CB287" i="2"/>
  <c r="CB288" i="2"/>
  <c r="CB289" i="2"/>
  <c r="CB290" i="2"/>
  <c r="CB291" i="2"/>
  <c r="CB292" i="2"/>
  <c r="CB293" i="2"/>
  <c r="CB294" i="2"/>
  <c r="CB295" i="2"/>
  <c r="CB296" i="2"/>
  <c r="CB297" i="2"/>
  <c r="CB298" i="2"/>
  <c r="CB299" i="2"/>
  <c r="CB300" i="2"/>
  <c r="CB301" i="2"/>
  <c r="CB302" i="2"/>
  <c r="CB303" i="2"/>
  <c r="CB304" i="2"/>
  <c r="CB305" i="2"/>
  <c r="CB306" i="2"/>
  <c r="CB307" i="2"/>
  <c r="CB308" i="2"/>
  <c r="CB309" i="2"/>
  <c r="CB310" i="2"/>
  <c r="CB311" i="2"/>
  <c r="CB312" i="2"/>
  <c r="CB313" i="2"/>
  <c r="CB314" i="2"/>
  <c r="CB315" i="2"/>
  <c r="CB316" i="2"/>
  <c r="CB317" i="2"/>
  <c r="CB318" i="2"/>
  <c r="CB319" i="2"/>
  <c r="CB320" i="2"/>
  <c r="CB321" i="2"/>
  <c r="CB322" i="2"/>
  <c r="CB323" i="2"/>
  <c r="CB324" i="2"/>
  <c r="CB325" i="2"/>
  <c r="CB326" i="2"/>
  <c r="CB327" i="2"/>
  <c r="CB328" i="2"/>
  <c r="CB329" i="2"/>
  <c r="CB330" i="2"/>
  <c r="CB331" i="2"/>
  <c r="CB332" i="2"/>
  <c r="CB333" i="2"/>
  <c r="CB334" i="2"/>
  <c r="CB335" i="2"/>
  <c r="CB336" i="2"/>
  <c r="CB337" i="2"/>
  <c r="CB338" i="2"/>
  <c r="CB339" i="2"/>
  <c r="CB340" i="2"/>
  <c r="CB341" i="2"/>
  <c r="CB342" i="2"/>
  <c r="CB343" i="2"/>
  <c r="CB344" i="2"/>
  <c r="CB345" i="2"/>
  <c r="CB346" i="2"/>
  <c r="CB347" i="2"/>
  <c r="CB348" i="2"/>
  <c r="CB349" i="2"/>
  <c r="CB350" i="2"/>
  <c r="CB351" i="2"/>
  <c r="CB352" i="2"/>
  <c r="CB353" i="2"/>
  <c r="CB354" i="2"/>
  <c r="CB355" i="2"/>
  <c r="CB356" i="2"/>
  <c r="CB357" i="2"/>
  <c r="CB358" i="2"/>
  <c r="CB359" i="2"/>
  <c r="CB360" i="2"/>
  <c r="CB361" i="2"/>
  <c r="CB362" i="2"/>
  <c r="CB363" i="2"/>
  <c r="CB364" i="2"/>
  <c r="CB365" i="2"/>
  <c r="CB366" i="2"/>
  <c r="CB367" i="2"/>
  <c r="CB368" i="2"/>
  <c r="CB369" i="2"/>
  <c r="CB370" i="2"/>
  <c r="CB371" i="2"/>
  <c r="CB372" i="2"/>
  <c r="CB373" i="2"/>
  <c r="CB374" i="2"/>
  <c r="CB375" i="2"/>
  <c r="CB376" i="2"/>
  <c r="CB377" i="2"/>
  <c r="CB378" i="2"/>
  <c r="CB379" i="2"/>
  <c r="CB380" i="2"/>
  <c r="CB381" i="2"/>
  <c r="CB382" i="2"/>
  <c r="CB383" i="2"/>
  <c r="CB384" i="2"/>
  <c r="CB385" i="2"/>
  <c r="CB386" i="2"/>
  <c r="CB387" i="2"/>
  <c r="CB388" i="2"/>
  <c r="CB389" i="2"/>
  <c r="CB390" i="2"/>
  <c r="CB391" i="2"/>
  <c r="CB392" i="2"/>
  <c r="CB393" i="2"/>
  <c r="CB394" i="2"/>
  <c r="CB395" i="2"/>
  <c r="CB396" i="2"/>
  <c r="CB397" i="2"/>
  <c r="CB398" i="2"/>
  <c r="CB399" i="2"/>
  <c r="CB400" i="2"/>
  <c r="CB401" i="2"/>
  <c r="CB402" i="2"/>
  <c r="CB403" i="2"/>
  <c r="CB404" i="2"/>
  <c r="CB405" i="2"/>
  <c r="CB406" i="2"/>
  <c r="CB407" i="2"/>
  <c r="CB408" i="2"/>
  <c r="CB409" i="2"/>
  <c r="CB410" i="2"/>
  <c r="CB411" i="2"/>
  <c r="CB412" i="2"/>
  <c r="CB413" i="2"/>
  <c r="CB414" i="2"/>
  <c r="CB415" i="2"/>
  <c r="CB416" i="2"/>
  <c r="CB417" i="2"/>
  <c r="CB418" i="2"/>
  <c r="CB419" i="2"/>
  <c r="CB420" i="2"/>
  <c r="CB421" i="2"/>
  <c r="CB422" i="2"/>
  <c r="CB423" i="2"/>
  <c r="CB424" i="2"/>
  <c r="CB425" i="2"/>
  <c r="CB426" i="2"/>
  <c r="CB427" i="2"/>
  <c r="CB428" i="2"/>
  <c r="CB429" i="2"/>
  <c r="CB430" i="2"/>
  <c r="CB431" i="2"/>
  <c r="CB432" i="2"/>
  <c r="CB433" i="2"/>
  <c r="CB434" i="2"/>
  <c r="CB435" i="2"/>
  <c r="CB436" i="2"/>
  <c r="CB437" i="2"/>
  <c r="CB438" i="2"/>
  <c r="CB439" i="2"/>
  <c r="CB440" i="2"/>
  <c r="CB441" i="2"/>
  <c r="CB442" i="2"/>
  <c r="CB443" i="2"/>
  <c r="CB444" i="2"/>
  <c r="CB445" i="2"/>
  <c r="CB446" i="2"/>
  <c r="CB447" i="2"/>
  <c r="CB448" i="2"/>
  <c r="CB449" i="2"/>
  <c r="CB450" i="2"/>
  <c r="CB451" i="2"/>
  <c r="CB452" i="2"/>
  <c r="CB453" i="2"/>
  <c r="CB454" i="2"/>
  <c r="CB455" i="2"/>
  <c r="CB456" i="2"/>
  <c r="CB457" i="2"/>
  <c r="CB458" i="2"/>
  <c r="CB459" i="2"/>
  <c r="CB460" i="2"/>
  <c r="CB461" i="2"/>
  <c r="CB462" i="2"/>
  <c r="CB463" i="2"/>
  <c r="CB464" i="2"/>
  <c r="CB465" i="2"/>
  <c r="CB466" i="2"/>
  <c r="CB467" i="2"/>
  <c r="CB468" i="2"/>
  <c r="CB469" i="2"/>
  <c r="CB470" i="2"/>
  <c r="CB471" i="2"/>
  <c r="CB472" i="2"/>
  <c r="CB473" i="2"/>
  <c r="CB474" i="2"/>
  <c r="CB475" i="2"/>
  <c r="CB476" i="2"/>
  <c r="CB477" i="2"/>
  <c r="CB478" i="2"/>
  <c r="CB479" i="2"/>
  <c r="CB480" i="2"/>
  <c r="CB481" i="2"/>
  <c r="CB482" i="2"/>
  <c r="CB483" i="2"/>
  <c r="CB484" i="2"/>
  <c r="CB485" i="2"/>
  <c r="CB486" i="2"/>
  <c r="CB487" i="2"/>
  <c r="CB488" i="2"/>
  <c r="CB489" i="2"/>
  <c r="CB490" i="2"/>
  <c r="CB491" i="2"/>
  <c r="CB492" i="2"/>
  <c r="CB493" i="2"/>
  <c r="CB494" i="2"/>
  <c r="CB495" i="2"/>
  <c r="CB496" i="2"/>
  <c r="CB497" i="2"/>
  <c r="CB498" i="2"/>
  <c r="CB499" i="2"/>
  <c r="CB500" i="2"/>
  <c r="CB501" i="2"/>
  <c r="CB502" i="2"/>
  <c r="CB503" i="2"/>
  <c r="CB504" i="2"/>
  <c r="CB505" i="2"/>
  <c r="CB506" i="2"/>
  <c r="CB507" i="2"/>
  <c r="CB508" i="2"/>
  <c r="CB509" i="2"/>
  <c r="CB510" i="2"/>
  <c r="CB511" i="2"/>
  <c r="CB512" i="2"/>
  <c r="CB513" i="2"/>
  <c r="CB514" i="2"/>
  <c r="CB515" i="2"/>
  <c r="CB516" i="2"/>
  <c r="CB517" i="2"/>
  <c r="CB518" i="2"/>
  <c r="CB519" i="2"/>
  <c r="CB520" i="2"/>
  <c r="CB521" i="2"/>
  <c r="CB522" i="2"/>
  <c r="CB523" i="2"/>
  <c r="CB524" i="2"/>
  <c r="CB525" i="2"/>
  <c r="CB526" i="2"/>
  <c r="CB527" i="2"/>
  <c r="CB528" i="2"/>
  <c r="CB529" i="2"/>
  <c r="CB530" i="2"/>
  <c r="CB531" i="2"/>
  <c r="CB532" i="2"/>
  <c r="CB533" i="2"/>
  <c r="CB534" i="2"/>
  <c r="CB535" i="2"/>
  <c r="CB536" i="2"/>
  <c r="CB537" i="2"/>
  <c r="CB538" i="2"/>
  <c r="CB539" i="2"/>
  <c r="CB540" i="2"/>
  <c r="CB541" i="2"/>
  <c r="CB542" i="2"/>
  <c r="CB543" i="2"/>
  <c r="CB544" i="2"/>
  <c r="CB545" i="2"/>
  <c r="CB546" i="2"/>
  <c r="CB547" i="2"/>
  <c r="CB548" i="2"/>
  <c r="CB549" i="2"/>
  <c r="CB550" i="2"/>
  <c r="CB551" i="2"/>
  <c r="CB552" i="2"/>
  <c r="CB553" i="2"/>
  <c r="CB554" i="2"/>
  <c r="CB555" i="2"/>
  <c r="CB556" i="2"/>
  <c r="CB557" i="2"/>
  <c r="CB558" i="2"/>
  <c r="CB559" i="2"/>
  <c r="CB560" i="2"/>
  <c r="CB561" i="2"/>
  <c r="CB562" i="2"/>
  <c r="CB563" i="2"/>
  <c r="CB564" i="2"/>
  <c r="CB565" i="2"/>
  <c r="CB566" i="2"/>
  <c r="CB567" i="2"/>
  <c r="CB568" i="2"/>
  <c r="CB569" i="2"/>
  <c r="CB570" i="2"/>
  <c r="CB571" i="2"/>
  <c r="CB572" i="2"/>
  <c r="CB573" i="2"/>
  <c r="CB574" i="2"/>
  <c r="CB575" i="2"/>
  <c r="CB576" i="2"/>
  <c r="CB577" i="2"/>
  <c r="CB578" i="2"/>
  <c r="CB579" i="2"/>
  <c r="CB580" i="2"/>
  <c r="CB581" i="2"/>
  <c r="CB582" i="2"/>
  <c r="CB583" i="2"/>
  <c r="CB584" i="2"/>
  <c r="CB585" i="2"/>
  <c r="CB586" i="2"/>
  <c r="CB587" i="2"/>
  <c r="CB588" i="2"/>
  <c r="CB589" i="2"/>
  <c r="CB590" i="2"/>
  <c r="CB591" i="2"/>
  <c r="CB592" i="2"/>
  <c r="CB593" i="2"/>
  <c r="CB594" i="2"/>
  <c r="CB595" i="2"/>
  <c r="CB596" i="2"/>
  <c r="CB597" i="2"/>
  <c r="CB598" i="2"/>
  <c r="CB599" i="2"/>
  <c r="CB600" i="2"/>
  <c r="CB601" i="2"/>
  <c r="CB602" i="2"/>
  <c r="CB603" i="2"/>
  <c r="CB604" i="2"/>
  <c r="CB605" i="2"/>
  <c r="CB606" i="2"/>
  <c r="CB607" i="2"/>
  <c r="CB608" i="2"/>
  <c r="CB609" i="2"/>
  <c r="CB610" i="2"/>
  <c r="CB611" i="2"/>
  <c r="CB612" i="2"/>
  <c r="CB613" i="2"/>
  <c r="CB614" i="2"/>
  <c r="CB615" i="2"/>
  <c r="CB616" i="2"/>
  <c r="CB617" i="2"/>
  <c r="CB618" i="2"/>
  <c r="CB619" i="2"/>
  <c r="CB620" i="2"/>
  <c r="CB621" i="2"/>
  <c r="CB622" i="2"/>
  <c r="CB623" i="2"/>
  <c r="CB624" i="2"/>
  <c r="CB625" i="2"/>
  <c r="CB626" i="2"/>
  <c r="CB627" i="2"/>
  <c r="CB628" i="2"/>
  <c r="CB629" i="2"/>
  <c r="CB630" i="2"/>
  <c r="CB631" i="2"/>
  <c r="CB632" i="2"/>
  <c r="CB633" i="2"/>
  <c r="CB634" i="2"/>
  <c r="CB635" i="2"/>
  <c r="CB636" i="2"/>
  <c r="CB637" i="2"/>
  <c r="CB638" i="2"/>
  <c r="CB639" i="2"/>
  <c r="CB640" i="2"/>
  <c r="CB641" i="2"/>
  <c r="CB642" i="2"/>
  <c r="CB643" i="2"/>
  <c r="CB644" i="2"/>
  <c r="CB645" i="2"/>
  <c r="CB646" i="2"/>
  <c r="CB647" i="2"/>
  <c r="CB648" i="2"/>
  <c r="CB649" i="2"/>
  <c r="CB650" i="2"/>
  <c r="CB651" i="2"/>
  <c r="CB652" i="2"/>
  <c r="CB653" i="2"/>
  <c r="CB654" i="2"/>
  <c r="CB655" i="2"/>
  <c r="CB656" i="2"/>
  <c r="CB657" i="2"/>
  <c r="CB658" i="2"/>
  <c r="CB659" i="2"/>
  <c r="CB660" i="2"/>
  <c r="CB661" i="2"/>
  <c r="CB662" i="2"/>
  <c r="CB663" i="2"/>
  <c r="CB664" i="2"/>
  <c r="CB665" i="2"/>
  <c r="CB666" i="2"/>
  <c r="CB667" i="2"/>
  <c r="CB668" i="2"/>
  <c r="CB669" i="2"/>
  <c r="CB670" i="2"/>
  <c r="CB671" i="2"/>
  <c r="CB672" i="2"/>
  <c r="CB673" i="2"/>
  <c r="CB674" i="2"/>
  <c r="CB675" i="2"/>
  <c r="CB676" i="2"/>
  <c r="CB677" i="2"/>
  <c r="CB678" i="2"/>
  <c r="CB679" i="2"/>
  <c r="CB680" i="2"/>
  <c r="CB681" i="2"/>
  <c r="CB682" i="2"/>
  <c r="CB683" i="2"/>
  <c r="CB684" i="2"/>
  <c r="CB685" i="2"/>
  <c r="CB686" i="2"/>
  <c r="CB687" i="2"/>
  <c r="CB688" i="2"/>
  <c r="CB689" i="2"/>
  <c r="CB690" i="2"/>
  <c r="CB691" i="2"/>
  <c r="CB692" i="2"/>
  <c r="CB693" i="2"/>
  <c r="CB694" i="2"/>
  <c r="CB695" i="2"/>
  <c r="CB696" i="2"/>
  <c r="CB697" i="2"/>
  <c r="CB698" i="2"/>
  <c r="CB699" i="2"/>
  <c r="CB700" i="2"/>
  <c r="CB701" i="2"/>
  <c r="CB702" i="2"/>
  <c r="CB703" i="2"/>
  <c r="CB704" i="2"/>
  <c r="CB705" i="2"/>
  <c r="CB706" i="2"/>
  <c r="CB707" i="2"/>
  <c r="CB708" i="2"/>
  <c r="CB709" i="2"/>
  <c r="CB710" i="2"/>
  <c r="CB711" i="2"/>
  <c r="CB712" i="2"/>
  <c r="CB713" i="2"/>
  <c r="CB714" i="2"/>
  <c r="CB715" i="2"/>
  <c r="CB716" i="2"/>
  <c r="CB717" i="2"/>
  <c r="CB718" i="2"/>
  <c r="CB719" i="2"/>
  <c r="CB720" i="2"/>
  <c r="CB721" i="2"/>
  <c r="CB722" i="2"/>
  <c r="CB723" i="2"/>
  <c r="CB724" i="2"/>
  <c r="CB725" i="2"/>
  <c r="CB726" i="2"/>
  <c r="CB727" i="2"/>
  <c r="CB728" i="2"/>
  <c r="CB729" i="2"/>
  <c r="CB730" i="2"/>
  <c r="CB731" i="2"/>
  <c r="CB732" i="2"/>
  <c r="CB733" i="2"/>
  <c r="CB734" i="2"/>
  <c r="CB735" i="2"/>
  <c r="CB736" i="2"/>
  <c r="CB737" i="2"/>
  <c r="CB738" i="2"/>
  <c r="CB739" i="2"/>
  <c r="CB740" i="2"/>
  <c r="CB741" i="2"/>
  <c r="CB742" i="2"/>
  <c r="CB743" i="2"/>
  <c r="CB744" i="2"/>
  <c r="CB745" i="2"/>
  <c r="CB746" i="2"/>
  <c r="CB747" i="2"/>
  <c r="CB748" i="2"/>
  <c r="CB749" i="2"/>
  <c r="CB750" i="2"/>
  <c r="CB751" i="2"/>
  <c r="CB752" i="2"/>
  <c r="CB753" i="2"/>
  <c r="CB754" i="2"/>
  <c r="CB755" i="2"/>
  <c r="CB756" i="2"/>
  <c r="CB757" i="2"/>
  <c r="CB758" i="2"/>
  <c r="CB759" i="2"/>
  <c r="CB760" i="2"/>
  <c r="CB761" i="2"/>
  <c r="CB762" i="2"/>
  <c r="CB763" i="2"/>
  <c r="CB764" i="2"/>
  <c r="CB765" i="2"/>
  <c r="CB766" i="2"/>
  <c r="CB767" i="2"/>
  <c r="CB768" i="2"/>
  <c r="CB769" i="2"/>
  <c r="CB770" i="2"/>
  <c r="CB771" i="2"/>
  <c r="CB772" i="2"/>
  <c r="CB773" i="2"/>
  <c r="CB774" i="2"/>
  <c r="CB775" i="2"/>
  <c r="CB776" i="2"/>
  <c r="CB777" i="2"/>
  <c r="CB778" i="2"/>
  <c r="CB779" i="2"/>
  <c r="CB780" i="2"/>
  <c r="CB781" i="2"/>
  <c r="CB782" i="2"/>
  <c r="CB783" i="2"/>
  <c r="CB784" i="2"/>
  <c r="CB785" i="2"/>
  <c r="CB786" i="2"/>
  <c r="CB787" i="2"/>
  <c r="CB788" i="2"/>
  <c r="CB789" i="2"/>
  <c r="CB790" i="2"/>
  <c r="CB791" i="2"/>
  <c r="CB792" i="2"/>
  <c r="CB793" i="2"/>
  <c r="CB794" i="2"/>
  <c r="CB795" i="2"/>
  <c r="CB796" i="2"/>
  <c r="CB797" i="2"/>
  <c r="CB798" i="2"/>
  <c r="CB799" i="2"/>
  <c r="CB800" i="2"/>
  <c r="CB801" i="2"/>
  <c r="CB802" i="2"/>
  <c r="CB803" i="2"/>
  <c r="CB804" i="2"/>
  <c r="CB805" i="2"/>
  <c r="CB806" i="2"/>
  <c r="CB807" i="2"/>
  <c r="CB808" i="2"/>
  <c r="CB809" i="2"/>
  <c r="CB810" i="2"/>
  <c r="CB811" i="2"/>
  <c r="CB812" i="2"/>
  <c r="CB813" i="2"/>
  <c r="CB814" i="2"/>
  <c r="CB815" i="2"/>
  <c r="CB816" i="2"/>
  <c r="CB817" i="2"/>
  <c r="CB818" i="2"/>
  <c r="CB819" i="2"/>
  <c r="CB820" i="2"/>
  <c r="CB821" i="2"/>
  <c r="CB822" i="2"/>
  <c r="CB823" i="2"/>
  <c r="CB824" i="2"/>
  <c r="CB825" i="2"/>
  <c r="CB826" i="2"/>
  <c r="CB827" i="2"/>
  <c r="CB828" i="2"/>
  <c r="CB829" i="2"/>
  <c r="CB830" i="2"/>
  <c r="CB831" i="2"/>
  <c r="CB832" i="2"/>
  <c r="CB833" i="2"/>
  <c r="CB834" i="2"/>
  <c r="CB835" i="2"/>
  <c r="CB836" i="2"/>
  <c r="CB837" i="2"/>
  <c r="CB838" i="2"/>
  <c r="CB839" i="2"/>
  <c r="CB840" i="2"/>
  <c r="CB841" i="2"/>
  <c r="CB842" i="2"/>
  <c r="CB843" i="2"/>
  <c r="CB844" i="2"/>
  <c r="CB845" i="2"/>
  <c r="CB846" i="2"/>
  <c r="CB847" i="2"/>
  <c r="CB848" i="2"/>
  <c r="CB849" i="2"/>
  <c r="CB850" i="2"/>
  <c r="CB851" i="2"/>
  <c r="CB852" i="2"/>
  <c r="CB853" i="2"/>
  <c r="CB854" i="2"/>
  <c r="CB855" i="2"/>
  <c r="CB856" i="2"/>
  <c r="CB857" i="2"/>
  <c r="CB858" i="2"/>
  <c r="CB859" i="2"/>
  <c r="CB860" i="2"/>
  <c r="CB861" i="2"/>
  <c r="CB862" i="2"/>
  <c r="CB863" i="2"/>
  <c r="CB864" i="2"/>
  <c r="CB865" i="2"/>
  <c r="CB866" i="2"/>
  <c r="CB867" i="2"/>
  <c r="CB868" i="2"/>
  <c r="CB869" i="2"/>
  <c r="CB870" i="2"/>
  <c r="CB871" i="2"/>
  <c r="CB872" i="2"/>
  <c r="CB873" i="2"/>
  <c r="CB874" i="2"/>
  <c r="CB875" i="2"/>
  <c r="CB876" i="2"/>
  <c r="CB877" i="2"/>
  <c r="CB878" i="2"/>
  <c r="CB879" i="2"/>
  <c r="CB880" i="2"/>
  <c r="CB881" i="2"/>
  <c r="CB882" i="2"/>
  <c r="CB883" i="2"/>
  <c r="CB884" i="2"/>
  <c r="CB885" i="2"/>
  <c r="CB886" i="2"/>
  <c r="CB887" i="2"/>
  <c r="CB888" i="2"/>
  <c r="CB889" i="2"/>
  <c r="CB890" i="2"/>
  <c r="CB891" i="2"/>
  <c r="CB892" i="2"/>
  <c r="CB893" i="2"/>
  <c r="CB894" i="2"/>
  <c r="CB895" i="2"/>
  <c r="CB896" i="2"/>
  <c r="CB897" i="2"/>
  <c r="CB898" i="2"/>
  <c r="CB899" i="2"/>
  <c r="CB900" i="2"/>
  <c r="CB901" i="2"/>
  <c r="CB902" i="2"/>
  <c r="CB903" i="2"/>
  <c r="CB904" i="2"/>
  <c r="CB905" i="2"/>
  <c r="CB906" i="2"/>
  <c r="CB907" i="2"/>
  <c r="CB908" i="2"/>
  <c r="CB909" i="2"/>
  <c r="CB910" i="2"/>
  <c r="CB911" i="2"/>
  <c r="CB912" i="2"/>
  <c r="CB913" i="2"/>
  <c r="CB914" i="2"/>
  <c r="CB915" i="2"/>
  <c r="CB916" i="2"/>
  <c r="CB917" i="2"/>
  <c r="CB918" i="2"/>
  <c r="CB919" i="2"/>
  <c r="CB920" i="2"/>
  <c r="CB921" i="2"/>
  <c r="CB922" i="2"/>
  <c r="CB923" i="2"/>
  <c r="CB924" i="2"/>
  <c r="CB925" i="2"/>
  <c r="CB926" i="2"/>
  <c r="CB927" i="2"/>
  <c r="CB928" i="2"/>
  <c r="CB929" i="2"/>
  <c r="CB930" i="2"/>
  <c r="CB931" i="2"/>
  <c r="CB932" i="2"/>
  <c r="CB933" i="2"/>
  <c r="CB934" i="2"/>
  <c r="CB935" i="2"/>
  <c r="CB936" i="2"/>
  <c r="CB937" i="2"/>
  <c r="CB938" i="2"/>
  <c r="CB939" i="2"/>
  <c r="CB940" i="2"/>
  <c r="CB941" i="2"/>
  <c r="CB942" i="2"/>
  <c r="CB943" i="2"/>
  <c r="CB944" i="2"/>
  <c r="CB945" i="2"/>
  <c r="CB946" i="2"/>
  <c r="CB947" i="2"/>
  <c r="CB948" i="2"/>
  <c r="CB949" i="2"/>
  <c r="CB950" i="2"/>
  <c r="CB951" i="2"/>
  <c r="CB952" i="2"/>
  <c r="CB953" i="2"/>
  <c r="CB954" i="2"/>
  <c r="CB955" i="2"/>
  <c r="CB956" i="2"/>
  <c r="CB957" i="2"/>
  <c r="CB958" i="2"/>
  <c r="CB959" i="2"/>
  <c r="CB960" i="2"/>
  <c r="CB961" i="2"/>
  <c r="CB962" i="2"/>
  <c r="CB963" i="2"/>
  <c r="CB964" i="2"/>
  <c r="CB965" i="2"/>
  <c r="CB966" i="2"/>
  <c r="CB967" i="2"/>
  <c r="CB968" i="2"/>
  <c r="CB969" i="2"/>
  <c r="CB970" i="2"/>
  <c r="CB971" i="2"/>
  <c r="CB972" i="2"/>
  <c r="CB973" i="2"/>
  <c r="CB974" i="2"/>
  <c r="CB975" i="2"/>
  <c r="CB976" i="2"/>
  <c r="CB977" i="2"/>
  <c r="CB978" i="2"/>
  <c r="CB979" i="2"/>
  <c r="CB980" i="2"/>
  <c r="CB981" i="2"/>
  <c r="CB982" i="2"/>
  <c r="CB983" i="2"/>
  <c r="CB984" i="2"/>
  <c r="CB985" i="2"/>
  <c r="CB986" i="2"/>
  <c r="CB987" i="2"/>
  <c r="CB988" i="2"/>
  <c r="CB989" i="2"/>
  <c r="CB990" i="2"/>
  <c r="CB991" i="2"/>
  <c r="CB992" i="2"/>
  <c r="CB993" i="2"/>
  <c r="CB994" i="2"/>
  <c r="CB995" i="2"/>
  <c r="CB996" i="2"/>
  <c r="CB997" i="2"/>
  <c r="CB998" i="2"/>
  <c r="CB999" i="2"/>
  <c r="CB1000" i="2"/>
  <c r="CB1001" i="2"/>
  <c r="CB1002" i="2"/>
  <c r="CB1003" i="2"/>
  <c r="CB1004" i="2"/>
  <c r="CB1005" i="2"/>
  <c r="CB1006" i="2"/>
  <c r="CB1007" i="2"/>
  <c r="CB1008" i="2"/>
  <c r="CB1009" i="2"/>
  <c r="CB1010" i="2"/>
  <c r="CB1011" i="2"/>
  <c r="CB1012" i="2"/>
  <c r="CB1013" i="2"/>
  <c r="CB1014" i="2"/>
  <c r="CB1015" i="2"/>
  <c r="CB1016" i="2"/>
  <c r="CB1017" i="2"/>
  <c r="CB1018" i="2"/>
  <c r="CB1019" i="2"/>
  <c r="CB1020" i="2"/>
  <c r="CB1021" i="2"/>
  <c r="CB1022" i="2"/>
  <c r="CB1023" i="2"/>
  <c r="CB1024" i="2"/>
  <c r="CB1025" i="2"/>
  <c r="CB1026" i="2"/>
  <c r="CB1027" i="2"/>
  <c r="CB1028" i="2"/>
  <c r="CB1029" i="2"/>
  <c r="CB1030" i="2"/>
  <c r="CB1031" i="2"/>
  <c r="CB1032" i="2"/>
  <c r="CB1033" i="2"/>
  <c r="CB1034" i="2"/>
  <c r="CB1035" i="2"/>
  <c r="CB1036" i="2"/>
  <c r="CB1037" i="2"/>
  <c r="CB1038" i="2"/>
  <c r="CB1039" i="2"/>
  <c r="CB1040" i="2"/>
  <c r="CB1041" i="2"/>
  <c r="CB1042" i="2"/>
  <c r="CB1043" i="2"/>
  <c r="CB1044" i="2"/>
  <c r="CB1045" i="2"/>
  <c r="CB1046" i="2"/>
  <c r="CB1047" i="2"/>
  <c r="CB1048" i="2"/>
  <c r="CB1049" i="2"/>
  <c r="CB1050" i="2"/>
  <c r="CB1051" i="2"/>
  <c r="CB1052" i="2"/>
  <c r="CB1053" i="2"/>
  <c r="CB1054" i="2"/>
  <c r="CB1055" i="2"/>
  <c r="CB1056" i="2"/>
  <c r="CB1057" i="2"/>
  <c r="CB1058" i="2"/>
  <c r="CB1059" i="2"/>
  <c r="CB1060" i="2"/>
  <c r="CB1061" i="2"/>
  <c r="CB1062" i="2"/>
  <c r="CB1063" i="2"/>
  <c r="CB1064" i="2"/>
  <c r="CB1065" i="2"/>
  <c r="CB1066" i="2"/>
  <c r="CB1067" i="2"/>
  <c r="CB1068" i="2"/>
  <c r="CB1069" i="2"/>
  <c r="CB1070" i="2"/>
  <c r="CB1071" i="2"/>
  <c r="CB1072" i="2"/>
  <c r="CB1073" i="2"/>
  <c r="CB1074" i="2"/>
  <c r="CB1075" i="2"/>
  <c r="CB1076" i="2"/>
  <c r="CB1077" i="2"/>
  <c r="CB1078" i="2"/>
  <c r="CB1079" i="2"/>
  <c r="CB1080" i="2"/>
  <c r="CB1081" i="2"/>
  <c r="CB1082" i="2"/>
  <c r="CB1083" i="2"/>
  <c r="CB1084" i="2"/>
  <c r="CB1085" i="2"/>
  <c r="CB1086" i="2"/>
  <c r="CB1087" i="2"/>
  <c r="CB1088" i="2"/>
  <c r="CB1089" i="2"/>
  <c r="CB1090" i="2"/>
  <c r="CB1091" i="2"/>
  <c r="CB1092" i="2"/>
  <c r="CB1093" i="2"/>
  <c r="CB1094" i="2"/>
  <c r="CB1095" i="2"/>
  <c r="CB1096" i="2"/>
  <c r="CB1097" i="2"/>
  <c r="CB1098" i="2"/>
  <c r="CB1099" i="2"/>
  <c r="CB1100" i="2"/>
  <c r="CB1101" i="2"/>
  <c r="CB1102" i="2"/>
  <c r="CB1103" i="2"/>
  <c r="CB1104" i="2"/>
  <c r="CB1105" i="2"/>
  <c r="CB1106" i="2"/>
  <c r="CB1107" i="2"/>
  <c r="CB1108" i="2"/>
  <c r="CB1109" i="2"/>
  <c r="CB1110" i="2"/>
  <c r="CB1111" i="2"/>
  <c r="CB1112" i="2"/>
  <c r="CB1113" i="2"/>
  <c r="CB1114" i="2"/>
  <c r="CB1115" i="2"/>
  <c r="CB1116" i="2"/>
  <c r="CB1117" i="2"/>
  <c r="CB1118" i="2"/>
  <c r="CB1119" i="2"/>
  <c r="CB1120" i="2"/>
  <c r="CB1121" i="2"/>
  <c r="CB1122" i="2"/>
  <c r="CB1123" i="2"/>
  <c r="CB1124" i="2"/>
  <c r="CB1125" i="2"/>
  <c r="CB1126" i="2"/>
  <c r="CB1127" i="2"/>
  <c r="CB1128" i="2"/>
  <c r="CB1129" i="2"/>
  <c r="CB1130" i="2"/>
  <c r="CB1131" i="2"/>
  <c r="CB1132" i="2"/>
  <c r="CB1133" i="2"/>
  <c r="CB1134" i="2"/>
  <c r="CB1135" i="2"/>
  <c r="CB1136" i="2"/>
  <c r="CB1137" i="2"/>
  <c r="CB1138" i="2"/>
  <c r="CB1139" i="2"/>
  <c r="CB1140" i="2"/>
  <c r="CB1141" i="2"/>
  <c r="CB1142" i="2"/>
  <c r="CB1143" i="2"/>
  <c r="CB1144" i="2"/>
  <c r="CB1145" i="2"/>
  <c r="CB1146" i="2"/>
  <c r="CB1147" i="2"/>
  <c r="CB1148" i="2"/>
  <c r="CB1149" i="2"/>
  <c r="CB1150" i="2"/>
  <c r="CB1151" i="2"/>
  <c r="CB1152" i="2"/>
  <c r="CB1153" i="2"/>
  <c r="CB1154" i="2"/>
  <c r="CB1155" i="2"/>
  <c r="CB1156" i="2"/>
  <c r="CB1157" i="2"/>
  <c r="CB1158" i="2"/>
  <c r="CB1159" i="2"/>
  <c r="CB1160" i="2"/>
  <c r="CB1161" i="2"/>
  <c r="CB1162" i="2"/>
  <c r="CB1163" i="2"/>
  <c r="CB1164" i="2"/>
  <c r="CB1165" i="2"/>
  <c r="CB1166" i="2"/>
  <c r="CB1167" i="2"/>
  <c r="CB1168" i="2"/>
  <c r="CB1169" i="2"/>
  <c r="CB1170" i="2"/>
  <c r="CB1171" i="2"/>
  <c r="CB1172" i="2"/>
  <c r="CB1173" i="2"/>
  <c r="CB1174" i="2"/>
  <c r="CB1175" i="2"/>
  <c r="CB1176" i="2"/>
  <c r="CB1177" i="2"/>
  <c r="CB1178" i="2"/>
  <c r="CB1179" i="2"/>
  <c r="CB1180" i="2"/>
  <c r="CB1181" i="2"/>
  <c r="CB1182" i="2"/>
  <c r="CB1183" i="2"/>
  <c r="CB1184" i="2"/>
  <c r="CB1185" i="2"/>
  <c r="CB1186" i="2"/>
  <c r="CB1187" i="2"/>
  <c r="CB1188" i="2"/>
  <c r="CB1189" i="2"/>
  <c r="CB1190" i="2"/>
  <c r="CB1191" i="2"/>
  <c r="CB1192" i="2"/>
  <c r="CB1193" i="2"/>
  <c r="CB1194" i="2"/>
  <c r="CB1195" i="2"/>
  <c r="CB1196" i="2"/>
  <c r="CB1197" i="2"/>
  <c r="CB1198" i="2"/>
  <c r="CB1199" i="2"/>
  <c r="CB1200" i="2"/>
  <c r="CB1201" i="2"/>
  <c r="CB1202" i="2"/>
  <c r="CB1203" i="2"/>
  <c r="CB1204" i="2"/>
  <c r="CB1205" i="2"/>
  <c r="CB1206" i="2"/>
  <c r="CB1207" i="2"/>
  <c r="CB1208" i="2"/>
  <c r="CB1209" i="2"/>
  <c r="CB1210" i="2"/>
  <c r="CB1211" i="2"/>
  <c r="CB1212" i="2"/>
  <c r="CB1213" i="2"/>
  <c r="CB1214" i="2"/>
  <c r="CB1215" i="2"/>
  <c r="CB1216" i="2"/>
  <c r="CB1217" i="2"/>
  <c r="CB1218" i="2"/>
  <c r="CB1219" i="2"/>
  <c r="CB1220" i="2"/>
  <c r="CB1221" i="2"/>
  <c r="CB1222" i="2"/>
  <c r="CB1223" i="2"/>
  <c r="CB1224" i="2"/>
  <c r="CB1225" i="2"/>
  <c r="CB1226" i="2"/>
  <c r="CB1227" i="2"/>
  <c r="CB1228" i="2"/>
  <c r="CB1229" i="2"/>
  <c r="CB1230" i="2"/>
  <c r="CB1231" i="2"/>
  <c r="CB1232" i="2"/>
  <c r="CB1233" i="2"/>
  <c r="CB1234" i="2"/>
  <c r="CB1235" i="2"/>
  <c r="CB1236" i="2"/>
  <c r="CB1237" i="2"/>
  <c r="CB1238" i="2"/>
  <c r="CB1239" i="2"/>
  <c r="CB1240" i="2"/>
  <c r="CB1241" i="2"/>
  <c r="CB1242" i="2"/>
  <c r="CB1243" i="2"/>
  <c r="CB1244" i="2"/>
  <c r="CB1245" i="2"/>
  <c r="CB1246" i="2"/>
  <c r="CB1247" i="2"/>
  <c r="CB1248" i="2"/>
  <c r="AW1186" i="2"/>
  <c r="AX1186" i="2"/>
  <c r="AY1186" i="2"/>
  <c r="AZ1186" i="2"/>
  <c r="BA1186" i="2"/>
  <c r="BB1186" i="2"/>
  <c r="BC1186" i="2"/>
  <c r="BZ1186" i="2" s="1"/>
  <c r="CC1186" i="2" s="1"/>
  <c r="BD1186" i="2"/>
  <c r="BE1186" i="2"/>
  <c r="BF1186" i="2"/>
  <c r="BG1186" i="2"/>
  <c r="BH1186" i="2"/>
  <c r="BI1186" i="2"/>
  <c r="BJ1186" i="2"/>
  <c r="BK1186" i="2"/>
  <c r="BL1186" i="2"/>
  <c r="BM1186" i="2"/>
  <c r="BN1186" i="2"/>
  <c r="BO1186" i="2"/>
  <c r="BP1186" i="2"/>
  <c r="BQ1186" i="2"/>
  <c r="BR1186" i="2"/>
  <c r="BS1186" i="2"/>
  <c r="BT1186" i="2"/>
  <c r="BU1186" i="2"/>
  <c r="BV1186" i="2"/>
  <c r="BW1186" i="2"/>
  <c r="BX1186" i="2"/>
  <c r="BY1186" i="2"/>
  <c r="CA1186" i="2"/>
  <c r="AW1187" i="2"/>
  <c r="AX1187" i="2"/>
  <c r="AY1187" i="2"/>
  <c r="AZ1187" i="2"/>
  <c r="BA1187" i="2"/>
  <c r="BB1187" i="2"/>
  <c r="BC1187" i="2"/>
  <c r="BZ1187" i="2" s="1"/>
  <c r="CC1187" i="2" s="1"/>
  <c r="BD1187" i="2"/>
  <c r="BE1187" i="2"/>
  <c r="BF1187" i="2"/>
  <c r="BG1187" i="2"/>
  <c r="BH1187" i="2"/>
  <c r="BI1187" i="2"/>
  <c r="BJ1187" i="2"/>
  <c r="BK1187" i="2"/>
  <c r="BL1187" i="2"/>
  <c r="BM1187" i="2"/>
  <c r="BN1187" i="2"/>
  <c r="BO1187" i="2"/>
  <c r="BP1187" i="2"/>
  <c r="BQ1187" i="2"/>
  <c r="BR1187" i="2"/>
  <c r="BS1187" i="2"/>
  <c r="BT1187" i="2"/>
  <c r="BU1187" i="2"/>
  <c r="BV1187" i="2"/>
  <c r="BW1187" i="2"/>
  <c r="BX1187" i="2"/>
  <c r="BY1187" i="2"/>
  <c r="CA1187" i="2"/>
  <c r="AW1188" i="2"/>
  <c r="AX1188" i="2"/>
  <c r="AY1188" i="2"/>
  <c r="AZ1188" i="2"/>
  <c r="BA1188" i="2"/>
  <c r="BB1188" i="2"/>
  <c r="BC1188" i="2"/>
  <c r="BZ1188" i="2" s="1"/>
  <c r="CC1188" i="2" s="1"/>
  <c r="BD1188" i="2"/>
  <c r="BE1188" i="2"/>
  <c r="BF1188" i="2"/>
  <c r="BG1188" i="2"/>
  <c r="BH1188" i="2"/>
  <c r="BI1188" i="2"/>
  <c r="BJ1188" i="2"/>
  <c r="BK1188" i="2"/>
  <c r="BL1188" i="2"/>
  <c r="BM1188" i="2"/>
  <c r="BN1188" i="2"/>
  <c r="BO1188" i="2"/>
  <c r="BP1188" i="2"/>
  <c r="BQ1188" i="2"/>
  <c r="BR1188" i="2"/>
  <c r="BS1188" i="2"/>
  <c r="BT1188" i="2"/>
  <c r="BU1188" i="2"/>
  <c r="BV1188" i="2"/>
  <c r="BW1188" i="2"/>
  <c r="BX1188" i="2"/>
  <c r="BY1188" i="2"/>
  <c r="CA1188" i="2"/>
  <c r="AW1189" i="2"/>
  <c r="AX1189" i="2"/>
  <c r="AY1189" i="2"/>
  <c r="AZ1189" i="2"/>
  <c r="BA1189" i="2"/>
  <c r="BB1189" i="2"/>
  <c r="BC1189" i="2"/>
  <c r="BZ1189" i="2" s="1"/>
  <c r="CC1189" i="2" s="1"/>
  <c r="BD1189" i="2"/>
  <c r="BE1189" i="2"/>
  <c r="BF1189" i="2"/>
  <c r="BG1189" i="2"/>
  <c r="BH1189" i="2"/>
  <c r="BI1189" i="2"/>
  <c r="BJ1189" i="2"/>
  <c r="BK1189" i="2"/>
  <c r="BL1189" i="2"/>
  <c r="BM1189" i="2"/>
  <c r="BN1189" i="2"/>
  <c r="BO1189" i="2"/>
  <c r="BP1189" i="2"/>
  <c r="BQ1189" i="2"/>
  <c r="BR1189" i="2"/>
  <c r="BS1189" i="2"/>
  <c r="BT1189" i="2"/>
  <c r="BU1189" i="2"/>
  <c r="BV1189" i="2"/>
  <c r="BW1189" i="2"/>
  <c r="BX1189" i="2"/>
  <c r="BY1189" i="2"/>
  <c r="CA1189" i="2"/>
  <c r="AW1190" i="2"/>
  <c r="AX1190" i="2"/>
  <c r="AY1190" i="2"/>
  <c r="AZ1190" i="2"/>
  <c r="BA1190" i="2"/>
  <c r="BB1190" i="2"/>
  <c r="BC1190" i="2"/>
  <c r="BZ1190" i="2" s="1"/>
  <c r="CC1190" i="2" s="1"/>
  <c r="BD1190" i="2"/>
  <c r="BE1190" i="2"/>
  <c r="BF1190" i="2"/>
  <c r="BG1190" i="2"/>
  <c r="BH1190" i="2"/>
  <c r="BI1190" i="2"/>
  <c r="BJ1190" i="2"/>
  <c r="BK1190" i="2"/>
  <c r="BL1190" i="2"/>
  <c r="BM1190" i="2"/>
  <c r="BN1190" i="2"/>
  <c r="BO1190" i="2"/>
  <c r="BP1190" i="2"/>
  <c r="BQ1190" i="2"/>
  <c r="BR1190" i="2"/>
  <c r="BS1190" i="2"/>
  <c r="BT1190" i="2"/>
  <c r="BU1190" i="2"/>
  <c r="BV1190" i="2"/>
  <c r="BW1190" i="2"/>
  <c r="BX1190" i="2"/>
  <c r="BY1190" i="2"/>
  <c r="CA1190" i="2"/>
  <c r="AW1191" i="2"/>
  <c r="AX1191" i="2"/>
  <c r="AY1191" i="2"/>
  <c r="AZ1191" i="2"/>
  <c r="BA1191" i="2"/>
  <c r="BB1191" i="2"/>
  <c r="BC1191" i="2"/>
  <c r="BZ1191" i="2" s="1"/>
  <c r="CC1191" i="2" s="1"/>
  <c r="BD1191" i="2"/>
  <c r="BE1191" i="2"/>
  <c r="BF1191" i="2"/>
  <c r="BG1191" i="2"/>
  <c r="BH1191" i="2"/>
  <c r="BI1191" i="2"/>
  <c r="BJ1191" i="2"/>
  <c r="BK1191" i="2"/>
  <c r="BL1191" i="2"/>
  <c r="BM1191" i="2"/>
  <c r="BN1191" i="2"/>
  <c r="BO1191" i="2"/>
  <c r="BP1191" i="2"/>
  <c r="BQ1191" i="2"/>
  <c r="BR1191" i="2"/>
  <c r="BS1191" i="2"/>
  <c r="BT1191" i="2"/>
  <c r="BU1191" i="2"/>
  <c r="BV1191" i="2"/>
  <c r="BW1191" i="2"/>
  <c r="BX1191" i="2"/>
  <c r="BY1191" i="2"/>
  <c r="CA1191" i="2"/>
  <c r="AW1192" i="2"/>
  <c r="AX1192" i="2"/>
  <c r="AY1192" i="2"/>
  <c r="AZ1192" i="2"/>
  <c r="BA1192" i="2"/>
  <c r="BB1192" i="2"/>
  <c r="BC1192" i="2"/>
  <c r="BZ1192" i="2" s="1"/>
  <c r="CC1192" i="2" s="1"/>
  <c r="BD1192" i="2"/>
  <c r="BE1192" i="2"/>
  <c r="BF1192" i="2"/>
  <c r="BG1192" i="2"/>
  <c r="BH1192" i="2"/>
  <c r="BI1192" i="2"/>
  <c r="BJ1192" i="2"/>
  <c r="BK1192" i="2"/>
  <c r="BL1192" i="2"/>
  <c r="BM1192" i="2"/>
  <c r="BN1192" i="2"/>
  <c r="BO1192" i="2"/>
  <c r="BP1192" i="2"/>
  <c r="BQ1192" i="2"/>
  <c r="BR1192" i="2"/>
  <c r="BS1192" i="2"/>
  <c r="BT1192" i="2"/>
  <c r="BU1192" i="2"/>
  <c r="BV1192" i="2"/>
  <c r="BW1192" i="2"/>
  <c r="BX1192" i="2"/>
  <c r="BY1192" i="2"/>
  <c r="CA1192" i="2"/>
  <c r="AW1193" i="2"/>
  <c r="AX1193" i="2"/>
  <c r="AY1193" i="2"/>
  <c r="AZ1193" i="2"/>
  <c r="BA1193" i="2"/>
  <c r="BB1193" i="2"/>
  <c r="BC1193" i="2"/>
  <c r="BZ1193" i="2" s="1"/>
  <c r="CC1193" i="2" s="1"/>
  <c r="BD1193" i="2"/>
  <c r="BE1193" i="2"/>
  <c r="BF1193" i="2"/>
  <c r="BG1193" i="2"/>
  <c r="BH1193" i="2"/>
  <c r="BI1193" i="2"/>
  <c r="BJ1193" i="2"/>
  <c r="BK1193" i="2"/>
  <c r="BL1193" i="2"/>
  <c r="BM1193" i="2"/>
  <c r="BN1193" i="2"/>
  <c r="BO1193" i="2"/>
  <c r="BP1193" i="2"/>
  <c r="BQ1193" i="2"/>
  <c r="BR1193" i="2"/>
  <c r="BS1193" i="2"/>
  <c r="BT1193" i="2"/>
  <c r="BU1193" i="2"/>
  <c r="BV1193" i="2"/>
  <c r="BW1193" i="2"/>
  <c r="BX1193" i="2"/>
  <c r="BY1193" i="2"/>
  <c r="CA1193" i="2"/>
  <c r="AW1194" i="2"/>
  <c r="AX1194" i="2"/>
  <c r="AY1194" i="2"/>
  <c r="AZ1194" i="2"/>
  <c r="BA1194" i="2"/>
  <c r="BB1194" i="2"/>
  <c r="BC1194" i="2"/>
  <c r="BZ1194" i="2" s="1"/>
  <c r="CC1194" i="2" s="1"/>
  <c r="BD1194" i="2"/>
  <c r="BE1194" i="2"/>
  <c r="BF1194" i="2"/>
  <c r="BG1194" i="2"/>
  <c r="BH1194" i="2"/>
  <c r="BI1194" i="2"/>
  <c r="BJ1194" i="2"/>
  <c r="BK1194" i="2"/>
  <c r="BL1194" i="2"/>
  <c r="BM1194" i="2"/>
  <c r="BN1194" i="2"/>
  <c r="BO1194" i="2"/>
  <c r="BP1194" i="2"/>
  <c r="BQ1194" i="2"/>
  <c r="BR1194" i="2"/>
  <c r="BS1194" i="2"/>
  <c r="BT1194" i="2"/>
  <c r="BU1194" i="2"/>
  <c r="BV1194" i="2"/>
  <c r="BW1194" i="2"/>
  <c r="BX1194" i="2"/>
  <c r="BY1194" i="2"/>
  <c r="CA1194" i="2"/>
  <c r="AW1195" i="2"/>
  <c r="AX1195" i="2"/>
  <c r="AY1195" i="2"/>
  <c r="AZ1195" i="2"/>
  <c r="BA1195" i="2"/>
  <c r="BB1195" i="2"/>
  <c r="BC1195" i="2"/>
  <c r="BZ1195" i="2" s="1"/>
  <c r="CC1195" i="2" s="1"/>
  <c r="BD1195" i="2"/>
  <c r="BE1195" i="2"/>
  <c r="BF1195" i="2"/>
  <c r="BG1195" i="2"/>
  <c r="BH1195" i="2"/>
  <c r="BI1195" i="2"/>
  <c r="BJ1195" i="2"/>
  <c r="BK1195" i="2"/>
  <c r="BL1195" i="2"/>
  <c r="BM1195" i="2"/>
  <c r="BN1195" i="2"/>
  <c r="BO1195" i="2"/>
  <c r="BP1195" i="2"/>
  <c r="BQ1195" i="2"/>
  <c r="BR1195" i="2"/>
  <c r="BS1195" i="2"/>
  <c r="BT1195" i="2"/>
  <c r="BU1195" i="2"/>
  <c r="BV1195" i="2"/>
  <c r="BW1195" i="2"/>
  <c r="BX1195" i="2"/>
  <c r="BY1195" i="2"/>
  <c r="CA1195" i="2"/>
  <c r="AW1196" i="2"/>
  <c r="AX1196" i="2"/>
  <c r="AY1196" i="2"/>
  <c r="AZ1196" i="2"/>
  <c r="BA1196" i="2"/>
  <c r="BB1196" i="2"/>
  <c r="BC1196" i="2"/>
  <c r="BZ1196" i="2" s="1"/>
  <c r="CC1196" i="2" s="1"/>
  <c r="BD1196" i="2"/>
  <c r="BE1196" i="2"/>
  <c r="BF1196" i="2"/>
  <c r="BG1196" i="2"/>
  <c r="BH1196" i="2"/>
  <c r="BI1196" i="2"/>
  <c r="BJ1196" i="2"/>
  <c r="BK1196" i="2"/>
  <c r="BL1196" i="2"/>
  <c r="BM1196" i="2"/>
  <c r="BN1196" i="2"/>
  <c r="BO1196" i="2"/>
  <c r="BP1196" i="2"/>
  <c r="BQ1196" i="2"/>
  <c r="BR1196" i="2"/>
  <c r="BS1196" i="2"/>
  <c r="BT1196" i="2"/>
  <c r="BU1196" i="2"/>
  <c r="BV1196" i="2"/>
  <c r="BW1196" i="2"/>
  <c r="BX1196" i="2"/>
  <c r="BY1196" i="2"/>
  <c r="CA1196" i="2"/>
  <c r="AW1197" i="2"/>
  <c r="AX1197" i="2"/>
  <c r="AY1197" i="2"/>
  <c r="AZ1197" i="2"/>
  <c r="BA1197" i="2"/>
  <c r="BB1197" i="2"/>
  <c r="BC1197" i="2"/>
  <c r="BZ1197" i="2" s="1"/>
  <c r="CC1197" i="2" s="1"/>
  <c r="BD1197" i="2"/>
  <c r="BE1197" i="2"/>
  <c r="BF1197" i="2"/>
  <c r="BG1197" i="2"/>
  <c r="BH1197" i="2"/>
  <c r="BI1197" i="2"/>
  <c r="BJ1197" i="2"/>
  <c r="BK1197" i="2"/>
  <c r="BL1197" i="2"/>
  <c r="BM1197" i="2"/>
  <c r="BN1197" i="2"/>
  <c r="BO1197" i="2"/>
  <c r="BP1197" i="2"/>
  <c r="BQ1197" i="2"/>
  <c r="BR1197" i="2"/>
  <c r="BS1197" i="2"/>
  <c r="BT1197" i="2"/>
  <c r="BU1197" i="2"/>
  <c r="BV1197" i="2"/>
  <c r="BW1197" i="2"/>
  <c r="BX1197" i="2"/>
  <c r="BY1197" i="2"/>
  <c r="CA1197" i="2"/>
  <c r="AW1198" i="2"/>
  <c r="AX1198" i="2"/>
  <c r="AY1198" i="2"/>
  <c r="AZ1198" i="2"/>
  <c r="BA1198" i="2"/>
  <c r="BB1198" i="2"/>
  <c r="BC1198" i="2"/>
  <c r="BZ1198" i="2" s="1"/>
  <c r="CC1198" i="2" s="1"/>
  <c r="BD1198" i="2"/>
  <c r="BE1198" i="2"/>
  <c r="BF1198" i="2"/>
  <c r="BG1198" i="2"/>
  <c r="BH1198" i="2"/>
  <c r="BI1198" i="2"/>
  <c r="BJ1198" i="2"/>
  <c r="BK1198" i="2"/>
  <c r="BL1198" i="2"/>
  <c r="BM1198" i="2"/>
  <c r="BN1198" i="2"/>
  <c r="BO1198" i="2"/>
  <c r="BP1198" i="2"/>
  <c r="BQ1198" i="2"/>
  <c r="BR1198" i="2"/>
  <c r="BS1198" i="2"/>
  <c r="BT1198" i="2"/>
  <c r="BU1198" i="2"/>
  <c r="BV1198" i="2"/>
  <c r="BW1198" i="2"/>
  <c r="BX1198" i="2"/>
  <c r="BY1198" i="2"/>
  <c r="CA1198" i="2"/>
  <c r="AW1199" i="2"/>
  <c r="AX1199" i="2"/>
  <c r="AY1199" i="2"/>
  <c r="AZ1199" i="2"/>
  <c r="BA1199" i="2"/>
  <c r="BB1199" i="2"/>
  <c r="BC1199" i="2"/>
  <c r="BZ1199" i="2" s="1"/>
  <c r="CC1199" i="2" s="1"/>
  <c r="BD1199" i="2"/>
  <c r="BE1199" i="2"/>
  <c r="BF1199" i="2"/>
  <c r="BG1199" i="2"/>
  <c r="BH1199" i="2"/>
  <c r="BI1199" i="2"/>
  <c r="BJ1199" i="2"/>
  <c r="BK1199" i="2"/>
  <c r="BL1199" i="2"/>
  <c r="BM1199" i="2"/>
  <c r="BN1199" i="2"/>
  <c r="BO1199" i="2"/>
  <c r="BP1199" i="2"/>
  <c r="BQ1199" i="2"/>
  <c r="BR1199" i="2"/>
  <c r="BS1199" i="2"/>
  <c r="BT1199" i="2"/>
  <c r="BU1199" i="2"/>
  <c r="BV1199" i="2"/>
  <c r="BW1199" i="2"/>
  <c r="BX1199" i="2"/>
  <c r="BY1199" i="2"/>
  <c r="CA1199" i="2"/>
  <c r="AW1200" i="2"/>
  <c r="AX1200" i="2"/>
  <c r="AY1200" i="2"/>
  <c r="AZ1200" i="2"/>
  <c r="BA1200" i="2"/>
  <c r="BB1200" i="2"/>
  <c r="BC1200" i="2"/>
  <c r="BZ1200" i="2" s="1"/>
  <c r="CC1200" i="2" s="1"/>
  <c r="BD1200" i="2"/>
  <c r="BE1200" i="2"/>
  <c r="BF1200" i="2"/>
  <c r="BG1200" i="2"/>
  <c r="BH1200" i="2"/>
  <c r="BI1200" i="2"/>
  <c r="BJ1200" i="2"/>
  <c r="BK1200" i="2"/>
  <c r="BL1200" i="2"/>
  <c r="BM1200" i="2"/>
  <c r="BN1200" i="2"/>
  <c r="BO1200" i="2"/>
  <c r="BP1200" i="2"/>
  <c r="BQ1200" i="2"/>
  <c r="BR1200" i="2"/>
  <c r="BS1200" i="2"/>
  <c r="BT1200" i="2"/>
  <c r="BU1200" i="2"/>
  <c r="BV1200" i="2"/>
  <c r="BW1200" i="2"/>
  <c r="BX1200" i="2"/>
  <c r="BY1200" i="2"/>
  <c r="CA1200" i="2"/>
  <c r="AW1201" i="2"/>
  <c r="AX1201" i="2"/>
  <c r="AY1201" i="2"/>
  <c r="AZ1201" i="2"/>
  <c r="BA1201" i="2"/>
  <c r="BB1201" i="2"/>
  <c r="BC1201" i="2"/>
  <c r="BZ1201" i="2" s="1"/>
  <c r="CC1201" i="2" s="1"/>
  <c r="BD1201" i="2"/>
  <c r="BE1201" i="2"/>
  <c r="BF1201" i="2"/>
  <c r="BG1201" i="2"/>
  <c r="BH1201" i="2"/>
  <c r="BI1201" i="2"/>
  <c r="BJ1201" i="2"/>
  <c r="BK1201" i="2"/>
  <c r="BL1201" i="2"/>
  <c r="BM1201" i="2"/>
  <c r="BN1201" i="2"/>
  <c r="BO1201" i="2"/>
  <c r="BP1201" i="2"/>
  <c r="BQ1201" i="2"/>
  <c r="BR1201" i="2"/>
  <c r="BS1201" i="2"/>
  <c r="BT1201" i="2"/>
  <c r="BU1201" i="2"/>
  <c r="BV1201" i="2"/>
  <c r="BW1201" i="2"/>
  <c r="BX1201" i="2"/>
  <c r="BY1201" i="2"/>
  <c r="CA1201" i="2"/>
  <c r="AW1202" i="2"/>
  <c r="AX1202" i="2"/>
  <c r="AY1202" i="2"/>
  <c r="BZ1202" i="2" s="1"/>
  <c r="CC1202" i="2" s="1"/>
  <c r="AZ1202" i="2"/>
  <c r="BA1202" i="2"/>
  <c r="BB1202" i="2"/>
  <c r="BC1202" i="2"/>
  <c r="BD1202" i="2"/>
  <c r="BE1202" i="2"/>
  <c r="BF1202" i="2"/>
  <c r="BG1202" i="2"/>
  <c r="BH1202" i="2"/>
  <c r="BI1202" i="2"/>
  <c r="BJ1202" i="2"/>
  <c r="BK1202" i="2"/>
  <c r="BL1202" i="2"/>
  <c r="BM1202" i="2"/>
  <c r="BN1202" i="2"/>
  <c r="BO1202" i="2"/>
  <c r="BP1202" i="2"/>
  <c r="BQ1202" i="2"/>
  <c r="BR1202" i="2"/>
  <c r="BS1202" i="2"/>
  <c r="BT1202" i="2"/>
  <c r="BU1202" i="2"/>
  <c r="BV1202" i="2"/>
  <c r="BW1202" i="2"/>
  <c r="BX1202" i="2"/>
  <c r="BY1202" i="2"/>
  <c r="CA1202" i="2"/>
  <c r="AW1203" i="2"/>
  <c r="AX1203" i="2"/>
  <c r="AY1203" i="2"/>
  <c r="BZ1203" i="2" s="1"/>
  <c r="CC1203" i="2" s="1"/>
  <c r="AZ1203" i="2"/>
  <c r="BA1203" i="2"/>
  <c r="BB1203" i="2"/>
  <c r="BC1203" i="2"/>
  <c r="BD1203" i="2"/>
  <c r="BE1203" i="2"/>
  <c r="BF1203" i="2"/>
  <c r="BG1203" i="2"/>
  <c r="BH1203" i="2"/>
  <c r="BI1203" i="2"/>
  <c r="BJ1203" i="2"/>
  <c r="BK1203" i="2"/>
  <c r="BL1203" i="2"/>
  <c r="BM1203" i="2"/>
  <c r="BN1203" i="2"/>
  <c r="BO1203" i="2"/>
  <c r="BP1203" i="2"/>
  <c r="BQ1203" i="2"/>
  <c r="BR1203" i="2"/>
  <c r="BS1203" i="2"/>
  <c r="BT1203" i="2"/>
  <c r="BU1203" i="2"/>
  <c r="BV1203" i="2"/>
  <c r="BW1203" i="2"/>
  <c r="BX1203" i="2"/>
  <c r="BY1203" i="2"/>
  <c r="CA1203" i="2"/>
  <c r="AW1204" i="2"/>
  <c r="AX1204" i="2"/>
  <c r="AY1204" i="2"/>
  <c r="BZ1204" i="2" s="1"/>
  <c r="CC1204" i="2" s="1"/>
  <c r="AZ1204" i="2"/>
  <c r="BA1204" i="2"/>
  <c r="BB1204" i="2"/>
  <c r="BC1204" i="2"/>
  <c r="BD1204" i="2"/>
  <c r="BE1204" i="2"/>
  <c r="BF1204" i="2"/>
  <c r="BG1204" i="2"/>
  <c r="BH1204" i="2"/>
  <c r="BI1204" i="2"/>
  <c r="BJ1204" i="2"/>
  <c r="BK1204" i="2"/>
  <c r="BL1204" i="2"/>
  <c r="BM1204" i="2"/>
  <c r="BN1204" i="2"/>
  <c r="BO1204" i="2"/>
  <c r="BP1204" i="2"/>
  <c r="BQ1204" i="2"/>
  <c r="BR1204" i="2"/>
  <c r="BS1204" i="2"/>
  <c r="BT1204" i="2"/>
  <c r="BU1204" i="2"/>
  <c r="BV1204" i="2"/>
  <c r="BW1204" i="2"/>
  <c r="BX1204" i="2"/>
  <c r="BY1204" i="2"/>
  <c r="CA1204" i="2"/>
  <c r="AW1205" i="2"/>
  <c r="AX1205" i="2"/>
  <c r="AY1205" i="2"/>
  <c r="BZ1205" i="2" s="1"/>
  <c r="CC1205" i="2" s="1"/>
  <c r="AZ1205" i="2"/>
  <c r="BA1205" i="2"/>
  <c r="BB1205" i="2"/>
  <c r="BC1205" i="2"/>
  <c r="BD1205" i="2"/>
  <c r="BE1205" i="2"/>
  <c r="BF1205" i="2"/>
  <c r="BG1205" i="2"/>
  <c r="BH1205" i="2"/>
  <c r="BI1205" i="2"/>
  <c r="BJ1205" i="2"/>
  <c r="BK1205" i="2"/>
  <c r="BL1205" i="2"/>
  <c r="BM1205" i="2"/>
  <c r="BN1205" i="2"/>
  <c r="BO1205" i="2"/>
  <c r="BP1205" i="2"/>
  <c r="BQ1205" i="2"/>
  <c r="BR1205" i="2"/>
  <c r="BS1205" i="2"/>
  <c r="BT1205" i="2"/>
  <c r="BU1205" i="2"/>
  <c r="BV1205" i="2"/>
  <c r="BW1205" i="2"/>
  <c r="BX1205" i="2"/>
  <c r="BY1205" i="2"/>
  <c r="CA1205" i="2"/>
  <c r="AW1206" i="2"/>
  <c r="AX1206" i="2"/>
  <c r="AY1206" i="2"/>
  <c r="BZ1206" i="2" s="1"/>
  <c r="CC1206" i="2" s="1"/>
  <c r="AZ1206" i="2"/>
  <c r="BA1206" i="2"/>
  <c r="BB1206" i="2"/>
  <c r="BC1206" i="2"/>
  <c r="BD1206" i="2"/>
  <c r="BE1206" i="2"/>
  <c r="BF1206" i="2"/>
  <c r="BG1206" i="2"/>
  <c r="BH1206" i="2"/>
  <c r="BI1206" i="2"/>
  <c r="BJ1206" i="2"/>
  <c r="BK1206" i="2"/>
  <c r="BL1206" i="2"/>
  <c r="BM1206" i="2"/>
  <c r="BN1206" i="2"/>
  <c r="BO1206" i="2"/>
  <c r="BP1206" i="2"/>
  <c r="BQ1206" i="2"/>
  <c r="BR1206" i="2"/>
  <c r="BS1206" i="2"/>
  <c r="BT1206" i="2"/>
  <c r="BU1206" i="2"/>
  <c r="BV1206" i="2"/>
  <c r="BW1206" i="2"/>
  <c r="BX1206" i="2"/>
  <c r="BY1206" i="2"/>
  <c r="CA1206" i="2"/>
  <c r="AW1207" i="2"/>
  <c r="AX1207" i="2"/>
  <c r="AY1207" i="2"/>
  <c r="BZ1207" i="2" s="1"/>
  <c r="CC1207" i="2" s="1"/>
  <c r="AZ1207" i="2"/>
  <c r="BA1207" i="2"/>
  <c r="BB1207" i="2"/>
  <c r="BC1207" i="2"/>
  <c r="BD1207" i="2"/>
  <c r="BE1207" i="2"/>
  <c r="BF1207" i="2"/>
  <c r="BG1207" i="2"/>
  <c r="BH1207" i="2"/>
  <c r="BI1207" i="2"/>
  <c r="BJ1207" i="2"/>
  <c r="BK1207" i="2"/>
  <c r="BL1207" i="2"/>
  <c r="BM1207" i="2"/>
  <c r="BN1207" i="2"/>
  <c r="BO1207" i="2"/>
  <c r="BP1207" i="2"/>
  <c r="BQ1207" i="2"/>
  <c r="BR1207" i="2"/>
  <c r="BS1207" i="2"/>
  <c r="BT1207" i="2"/>
  <c r="BU1207" i="2"/>
  <c r="BV1207" i="2"/>
  <c r="BW1207" i="2"/>
  <c r="BX1207" i="2"/>
  <c r="BY1207" i="2"/>
  <c r="CA1207" i="2"/>
  <c r="AW1208" i="2"/>
  <c r="AX1208" i="2"/>
  <c r="AY1208" i="2"/>
  <c r="BZ1208" i="2" s="1"/>
  <c r="CC1208" i="2" s="1"/>
  <c r="AZ1208" i="2"/>
  <c r="BA1208" i="2"/>
  <c r="BB1208" i="2"/>
  <c r="BC1208" i="2"/>
  <c r="BD1208" i="2"/>
  <c r="BE1208" i="2"/>
  <c r="BF1208" i="2"/>
  <c r="BG1208" i="2"/>
  <c r="BH1208" i="2"/>
  <c r="BI1208" i="2"/>
  <c r="BJ1208" i="2"/>
  <c r="BK1208" i="2"/>
  <c r="BL1208" i="2"/>
  <c r="BM1208" i="2"/>
  <c r="BN1208" i="2"/>
  <c r="BO1208" i="2"/>
  <c r="BP1208" i="2"/>
  <c r="BQ1208" i="2"/>
  <c r="BR1208" i="2"/>
  <c r="BS1208" i="2"/>
  <c r="BT1208" i="2"/>
  <c r="BU1208" i="2"/>
  <c r="BV1208" i="2"/>
  <c r="BW1208" i="2"/>
  <c r="BX1208" i="2"/>
  <c r="BY1208" i="2"/>
  <c r="CA1208" i="2"/>
  <c r="AW1209" i="2"/>
  <c r="AX1209" i="2"/>
  <c r="AY1209" i="2"/>
  <c r="BZ1209" i="2" s="1"/>
  <c r="CC1209" i="2" s="1"/>
  <c r="AZ1209" i="2"/>
  <c r="BA1209" i="2"/>
  <c r="BB1209" i="2"/>
  <c r="BC1209" i="2"/>
  <c r="BD1209" i="2"/>
  <c r="BE1209" i="2"/>
  <c r="BF1209" i="2"/>
  <c r="BG1209" i="2"/>
  <c r="BH1209" i="2"/>
  <c r="BI1209" i="2"/>
  <c r="BJ1209" i="2"/>
  <c r="BK1209" i="2"/>
  <c r="BL1209" i="2"/>
  <c r="BM1209" i="2"/>
  <c r="BN1209" i="2"/>
  <c r="BO1209" i="2"/>
  <c r="BP1209" i="2"/>
  <c r="BQ1209" i="2"/>
  <c r="BR1209" i="2"/>
  <c r="BS1209" i="2"/>
  <c r="BT1209" i="2"/>
  <c r="BU1209" i="2"/>
  <c r="BV1209" i="2"/>
  <c r="BW1209" i="2"/>
  <c r="BX1209" i="2"/>
  <c r="BY1209" i="2"/>
  <c r="CA1209" i="2"/>
  <c r="AW1210" i="2"/>
  <c r="AX1210" i="2"/>
  <c r="AY1210" i="2"/>
  <c r="BZ1210" i="2" s="1"/>
  <c r="CC1210" i="2" s="1"/>
  <c r="AZ1210" i="2"/>
  <c r="BA1210" i="2"/>
  <c r="BB1210" i="2"/>
  <c r="BC1210" i="2"/>
  <c r="BD1210" i="2"/>
  <c r="BE1210" i="2"/>
  <c r="BF1210" i="2"/>
  <c r="BG1210" i="2"/>
  <c r="BH1210" i="2"/>
  <c r="BI1210" i="2"/>
  <c r="BJ1210" i="2"/>
  <c r="BK1210" i="2"/>
  <c r="BL1210" i="2"/>
  <c r="BM1210" i="2"/>
  <c r="BN1210" i="2"/>
  <c r="BO1210" i="2"/>
  <c r="BP1210" i="2"/>
  <c r="BQ1210" i="2"/>
  <c r="BR1210" i="2"/>
  <c r="BS1210" i="2"/>
  <c r="BT1210" i="2"/>
  <c r="BU1210" i="2"/>
  <c r="BV1210" i="2"/>
  <c r="BW1210" i="2"/>
  <c r="BX1210" i="2"/>
  <c r="BY1210" i="2"/>
  <c r="CA1210" i="2"/>
  <c r="AW1211" i="2"/>
  <c r="AX1211" i="2"/>
  <c r="AY1211" i="2"/>
  <c r="BZ1211" i="2" s="1"/>
  <c r="CC1211" i="2" s="1"/>
  <c r="AZ1211" i="2"/>
  <c r="BA1211" i="2"/>
  <c r="BB1211" i="2"/>
  <c r="BC1211" i="2"/>
  <c r="BD1211" i="2"/>
  <c r="BE1211" i="2"/>
  <c r="BF1211" i="2"/>
  <c r="BG1211" i="2"/>
  <c r="BH1211" i="2"/>
  <c r="BI1211" i="2"/>
  <c r="BJ1211" i="2"/>
  <c r="BK1211" i="2"/>
  <c r="BL1211" i="2"/>
  <c r="BM1211" i="2"/>
  <c r="BN1211" i="2"/>
  <c r="BO1211" i="2"/>
  <c r="BP1211" i="2"/>
  <c r="BQ1211" i="2"/>
  <c r="BR1211" i="2"/>
  <c r="BS1211" i="2"/>
  <c r="BT1211" i="2"/>
  <c r="BU1211" i="2"/>
  <c r="BV1211" i="2"/>
  <c r="BW1211" i="2"/>
  <c r="BX1211" i="2"/>
  <c r="BY1211" i="2"/>
  <c r="CA1211" i="2"/>
  <c r="AW1212" i="2"/>
  <c r="AX1212" i="2"/>
  <c r="AY1212" i="2"/>
  <c r="BZ1212" i="2" s="1"/>
  <c r="CC1212" i="2" s="1"/>
  <c r="AZ1212" i="2"/>
  <c r="BA1212" i="2"/>
  <c r="BB1212" i="2"/>
  <c r="BC1212" i="2"/>
  <c r="BD1212" i="2"/>
  <c r="BE1212" i="2"/>
  <c r="BF1212" i="2"/>
  <c r="BG1212" i="2"/>
  <c r="BH1212" i="2"/>
  <c r="BI1212" i="2"/>
  <c r="BJ1212" i="2"/>
  <c r="BK1212" i="2"/>
  <c r="BL1212" i="2"/>
  <c r="BM1212" i="2"/>
  <c r="BN1212" i="2"/>
  <c r="BO1212" i="2"/>
  <c r="BP1212" i="2"/>
  <c r="BQ1212" i="2"/>
  <c r="BR1212" i="2"/>
  <c r="BS1212" i="2"/>
  <c r="BT1212" i="2"/>
  <c r="BU1212" i="2"/>
  <c r="BV1212" i="2"/>
  <c r="BW1212" i="2"/>
  <c r="BX1212" i="2"/>
  <c r="BY1212" i="2"/>
  <c r="CA1212" i="2"/>
  <c r="AW1213" i="2"/>
  <c r="AX1213" i="2"/>
  <c r="AY1213" i="2"/>
  <c r="BZ1213" i="2" s="1"/>
  <c r="CC1213" i="2" s="1"/>
  <c r="AZ1213" i="2"/>
  <c r="BA1213" i="2"/>
  <c r="BB1213" i="2"/>
  <c r="BC1213" i="2"/>
  <c r="BD1213" i="2"/>
  <c r="BE1213" i="2"/>
  <c r="BF1213" i="2"/>
  <c r="BG1213" i="2"/>
  <c r="BH1213" i="2"/>
  <c r="BI1213" i="2"/>
  <c r="BJ1213" i="2"/>
  <c r="BK1213" i="2"/>
  <c r="BL1213" i="2"/>
  <c r="BM1213" i="2"/>
  <c r="BN1213" i="2"/>
  <c r="BO1213" i="2"/>
  <c r="BP1213" i="2"/>
  <c r="BQ1213" i="2"/>
  <c r="BR1213" i="2"/>
  <c r="BS1213" i="2"/>
  <c r="BT1213" i="2"/>
  <c r="BU1213" i="2"/>
  <c r="BV1213" i="2"/>
  <c r="BW1213" i="2"/>
  <c r="BX1213" i="2"/>
  <c r="BY1213" i="2"/>
  <c r="CA1213" i="2"/>
  <c r="AW1214" i="2"/>
  <c r="AX1214" i="2"/>
  <c r="AY1214" i="2"/>
  <c r="BZ1214" i="2" s="1"/>
  <c r="CC1214" i="2" s="1"/>
  <c r="AZ1214" i="2"/>
  <c r="BA1214" i="2"/>
  <c r="BB1214" i="2"/>
  <c r="BC1214" i="2"/>
  <c r="BD1214" i="2"/>
  <c r="BE1214" i="2"/>
  <c r="BF1214" i="2"/>
  <c r="BG1214" i="2"/>
  <c r="BH1214" i="2"/>
  <c r="BI1214" i="2"/>
  <c r="BJ1214" i="2"/>
  <c r="BK1214" i="2"/>
  <c r="BL1214" i="2"/>
  <c r="BM1214" i="2"/>
  <c r="BN1214" i="2"/>
  <c r="BO1214" i="2"/>
  <c r="BP1214" i="2"/>
  <c r="BQ1214" i="2"/>
  <c r="BR1214" i="2"/>
  <c r="BS1214" i="2"/>
  <c r="BT1214" i="2"/>
  <c r="BU1214" i="2"/>
  <c r="BV1214" i="2"/>
  <c r="BW1214" i="2"/>
  <c r="BX1214" i="2"/>
  <c r="BY1214" i="2"/>
  <c r="CA1214" i="2"/>
  <c r="AW1215" i="2"/>
  <c r="AX1215" i="2"/>
  <c r="AY1215" i="2"/>
  <c r="BZ1215" i="2" s="1"/>
  <c r="CC1215" i="2" s="1"/>
  <c r="AZ1215" i="2"/>
  <c r="BA1215" i="2"/>
  <c r="BB1215" i="2"/>
  <c r="BC1215" i="2"/>
  <c r="BD1215" i="2"/>
  <c r="BE1215" i="2"/>
  <c r="BF1215" i="2"/>
  <c r="BG1215" i="2"/>
  <c r="BH1215" i="2"/>
  <c r="BI1215" i="2"/>
  <c r="BJ1215" i="2"/>
  <c r="BK1215" i="2"/>
  <c r="BL1215" i="2"/>
  <c r="BM1215" i="2"/>
  <c r="BN1215" i="2"/>
  <c r="BO1215" i="2"/>
  <c r="BP1215" i="2"/>
  <c r="BQ1215" i="2"/>
  <c r="BR1215" i="2"/>
  <c r="BS1215" i="2"/>
  <c r="BT1215" i="2"/>
  <c r="BU1215" i="2"/>
  <c r="BV1215" i="2"/>
  <c r="BW1215" i="2"/>
  <c r="BX1215" i="2"/>
  <c r="BY1215" i="2"/>
  <c r="CA1215" i="2"/>
  <c r="AW1216" i="2"/>
  <c r="AX1216" i="2"/>
  <c r="AY1216" i="2"/>
  <c r="BZ1216" i="2" s="1"/>
  <c r="CC1216" i="2" s="1"/>
  <c r="AZ1216" i="2"/>
  <c r="BA1216" i="2"/>
  <c r="BB1216" i="2"/>
  <c r="BC1216" i="2"/>
  <c r="BD1216" i="2"/>
  <c r="BE1216" i="2"/>
  <c r="BF1216" i="2"/>
  <c r="BG1216" i="2"/>
  <c r="BH1216" i="2"/>
  <c r="BI1216" i="2"/>
  <c r="BJ1216" i="2"/>
  <c r="BK1216" i="2"/>
  <c r="BL1216" i="2"/>
  <c r="BM1216" i="2"/>
  <c r="BN1216" i="2"/>
  <c r="BO1216" i="2"/>
  <c r="BP1216" i="2"/>
  <c r="BQ1216" i="2"/>
  <c r="BR1216" i="2"/>
  <c r="BS1216" i="2"/>
  <c r="BT1216" i="2"/>
  <c r="BU1216" i="2"/>
  <c r="BV1216" i="2"/>
  <c r="BW1216" i="2"/>
  <c r="BX1216" i="2"/>
  <c r="BY1216" i="2"/>
  <c r="CA1216" i="2"/>
  <c r="AW1217" i="2"/>
  <c r="AX1217" i="2"/>
  <c r="AY1217" i="2"/>
  <c r="BZ1217" i="2" s="1"/>
  <c r="CC1217" i="2" s="1"/>
  <c r="AZ1217" i="2"/>
  <c r="BA1217" i="2"/>
  <c r="BB1217" i="2"/>
  <c r="BC1217" i="2"/>
  <c r="BD1217" i="2"/>
  <c r="BE1217" i="2"/>
  <c r="BF1217" i="2"/>
  <c r="BG1217" i="2"/>
  <c r="BH1217" i="2"/>
  <c r="BI1217" i="2"/>
  <c r="BJ1217" i="2"/>
  <c r="BK1217" i="2"/>
  <c r="BL1217" i="2"/>
  <c r="BM1217" i="2"/>
  <c r="BN1217" i="2"/>
  <c r="BO1217" i="2"/>
  <c r="BP1217" i="2"/>
  <c r="BQ1217" i="2"/>
  <c r="BR1217" i="2"/>
  <c r="BS1217" i="2"/>
  <c r="BT1217" i="2"/>
  <c r="BU1217" i="2"/>
  <c r="BV1217" i="2"/>
  <c r="BW1217" i="2"/>
  <c r="BX1217" i="2"/>
  <c r="BY1217" i="2"/>
  <c r="CA1217" i="2"/>
  <c r="AW1218" i="2"/>
  <c r="AX1218" i="2"/>
  <c r="AY1218" i="2"/>
  <c r="BZ1218" i="2" s="1"/>
  <c r="CC1218" i="2" s="1"/>
  <c r="AZ1218" i="2"/>
  <c r="BA1218" i="2"/>
  <c r="BB1218" i="2"/>
  <c r="BC1218" i="2"/>
  <c r="BD1218" i="2"/>
  <c r="BE1218" i="2"/>
  <c r="BF1218" i="2"/>
  <c r="BG1218" i="2"/>
  <c r="BH1218" i="2"/>
  <c r="BI1218" i="2"/>
  <c r="BJ1218" i="2"/>
  <c r="BK1218" i="2"/>
  <c r="BL1218" i="2"/>
  <c r="BM1218" i="2"/>
  <c r="BN1218" i="2"/>
  <c r="BO1218" i="2"/>
  <c r="BP1218" i="2"/>
  <c r="BQ1218" i="2"/>
  <c r="BR1218" i="2"/>
  <c r="BS1218" i="2"/>
  <c r="BT1218" i="2"/>
  <c r="BU1218" i="2"/>
  <c r="BV1218" i="2"/>
  <c r="BW1218" i="2"/>
  <c r="BX1218" i="2"/>
  <c r="BY1218" i="2"/>
  <c r="CA1218" i="2"/>
  <c r="AW1219" i="2"/>
  <c r="AX1219" i="2"/>
  <c r="AY1219" i="2"/>
  <c r="BZ1219" i="2" s="1"/>
  <c r="CC1219" i="2" s="1"/>
  <c r="AZ1219" i="2"/>
  <c r="BA1219" i="2"/>
  <c r="BB1219" i="2"/>
  <c r="BC1219" i="2"/>
  <c r="BD1219" i="2"/>
  <c r="BE1219" i="2"/>
  <c r="BF1219" i="2"/>
  <c r="BG1219" i="2"/>
  <c r="BH1219" i="2"/>
  <c r="BI1219" i="2"/>
  <c r="BJ1219" i="2"/>
  <c r="BK1219" i="2"/>
  <c r="BL1219" i="2"/>
  <c r="BM1219" i="2"/>
  <c r="BN1219" i="2"/>
  <c r="BO1219" i="2"/>
  <c r="BP1219" i="2"/>
  <c r="BQ1219" i="2"/>
  <c r="BR1219" i="2"/>
  <c r="BS1219" i="2"/>
  <c r="BT1219" i="2"/>
  <c r="BU1219" i="2"/>
  <c r="BV1219" i="2"/>
  <c r="BW1219" i="2"/>
  <c r="BX1219" i="2"/>
  <c r="BY1219" i="2"/>
  <c r="CA1219" i="2"/>
  <c r="AW1220" i="2"/>
  <c r="AX1220" i="2"/>
  <c r="AY1220" i="2"/>
  <c r="BZ1220" i="2" s="1"/>
  <c r="CC1220" i="2" s="1"/>
  <c r="AZ1220" i="2"/>
  <c r="BA1220" i="2"/>
  <c r="BB1220" i="2"/>
  <c r="BC1220" i="2"/>
  <c r="BD1220" i="2"/>
  <c r="BE1220" i="2"/>
  <c r="BF1220" i="2"/>
  <c r="BG1220" i="2"/>
  <c r="BH1220" i="2"/>
  <c r="BI1220" i="2"/>
  <c r="BJ1220" i="2"/>
  <c r="BK1220" i="2"/>
  <c r="BL1220" i="2"/>
  <c r="BM1220" i="2"/>
  <c r="BN1220" i="2"/>
  <c r="BO1220" i="2"/>
  <c r="BP1220" i="2"/>
  <c r="BQ1220" i="2"/>
  <c r="BR1220" i="2"/>
  <c r="BS1220" i="2"/>
  <c r="BT1220" i="2"/>
  <c r="BU1220" i="2"/>
  <c r="BV1220" i="2"/>
  <c r="BW1220" i="2"/>
  <c r="BX1220" i="2"/>
  <c r="BY1220" i="2"/>
  <c r="CA1220" i="2"/>
  <c r="AW1221" i="2"/>
  <c r="AX1221" i="2"/>
  <c r="AY1221" i="2"/>
  <c r="BZ1221" i="2" s="1"/>
  <c r="CC1221" i="2" s="1"/>
  <c r="AZ1221" i="2"/>
  <c r="BA1221" i="2"/>
  <c r="BB1221" i="2"/>
  <c r="BC1221" i="2"/>
  <c r="BD1221" i="2"/>
  <c r="BE1221" i="2"/>
  <c r="BF1221" i="2"/>
  <c r="BG1221" i="2"/>
  <c r="BH1221" i="2"/>
  <c r="BI1221" i="2"/>
  <c r="BJ1221" i="2"/>
  <c r="BK1221" i="2"/>
  <c r="BL1221" i="2"/>
  <c r="BM1221" i="2"/>
  <c r="BN1221" i="2"/>
  <c r="BO1221" i="2"/>
  <c r="BP1221" i="2"/>
  <c r="BQ1221" i="2"/>
  <c r="BR1221" i="2"/>
  <c r="BS1221" i="2"/>
  <c r="BT1221" i="2"/>
  <c r="BU1221" i="2"/>
  <c r="BV1221" i="2"/>
  <c r="BW1221" i="2"/>
  <c r="BX1221" i="2"/>
  <c r="BY1221" i="2"/>
  <c r="CA1221" i="2"/>
  <c r="AW1222" i="2"/>
  <c r="AX1222" i="2"/>
  <c r="AY1222" i="2"/>
  <c r="BZ1222" i="2" s="1"/>
  <c r="CC1222" i="2" s="1"/>
  <c r="AZ1222" i="2"/>
  <c r="BA1222" i="2"/>
  <c r="BB1222" i="2"/>
  <c r="BC1222" i="2"/>
  <c r="BD1222" i="2"/>
  <c r="BE1222" i="2"/>
  <c r="BF1222" i="2"/>
  <c r="BG1222" i="2"/>
  <c r="BH1222" i="2"/>
  <c r="BI1222" i="2"/>
  <c r="BJ1222" i="2"/>
  <c r="BK1222" i="2"/>
  <c r="BL1222" i="2"/>
  <c r="BM1222" i="2"/>
  <c r="BN1222" i="2"/>
  <c r="BO1222" i="2"/>
  <c r="BP1222" i="2"/>
  <c r="BQ1222" i="2"/>
  <c r="BR1222" i="2"/>
  <c r="BS1222" i="2"/>
  <c r="BT1222" i="2"/>
  <c r="BU1222" i="2"/>
  <c r="BV1222" i="2"/>
  <c r="BW1222" i="2"/>
  <c r="BX1222" i="2"/>
  <c r="BY1222" i="2"/>
  <c r="CA1222" i="2"/>
  <c r="AW1223" i="2"/>
  <c r="AX1223" i="2"/>
  <c r="AY1223" i="2"/>
  <c r="BZ1223" i="2" s="1"/>
  <c r="CC1223" i="2" s="1"/>
  <c r="AZ1223" i="2"/>
  <c r="BA1223" i="2"/>
  <c r="BB1223" i="2"/>
  <c r="BC1223" i="2"/>
  <c r="BD1223" i="2"/>
  <c r="BE1223" i="2"/>
  <c r="BF1223" i="2"/>
  <c r="BG1223" i="2"/>
  <c r="BH1223" i="2"/>
  <c r="BI1223" i="2"/>
  <c r="BJ1223" i="2"/>
  <c r="BK1223" i="2"/>
  <c r="BL1223" i="2"/>
  <c r="BM1223" i="2"/>
  <c r="BN1223" i="2"/>
  <c r="BO1223" i="2"/>
  <c r="BP1223" i="2"/>
  <c r="BQ1223" i="2"/>
  <c r="BR1223" i="2"/>
  <c r="BS1223" i="2"/>
  <c r="BT1223" i="2"/>
  <c r="BU1223" i="2"/>
  <c r="BV1223" i="2"/>
  <c r="BW1223" i="2"/>
  <c r="BX1223" i="2"/>
  <c r="BY1223" i="2"/>
  <c r="CA1223" i="2"/>
  <c r="AW1224" i="2"/>
  <c r="AX1224" i="2"/>
  <c r="AY1224" i="2"/>
  <c r="BZ1224" i="2" s="1"/>
  <c r="CC1224" i="2" s="1"/>
  <c r="AZ1224" i="2"/>
  <c r="BA1224" i="2"/>
  <c r="BB1224" i="2"/>
  <c r="BC1224" i="2"/>
  <c r="BD1224" i="2"/>
  <c r="BE1224" i="2"/>
  <c r="BF1224" i="2"/>
  <c r="BG1224" i="2"/>
  <c r="BH1224" i="2"/>
  <c r="BI1224" i="2"/>
  <c r="BJ1224" i="2"/>
  <c r="BK1224" i="2"/>
  <c r="BL1224" i="2"/>
  <c r="BM1224" i="2"/>
  <c r="BN1224" i="2"/>
  <c r="BO1224" i="2"/>
  <c r="BP1224" i="2"/>
  <c r="BQ1224" i="2"/>
  <c r="BR1224" i="2"/>
  <c r="BS1224" i="2"/>
  <c r="BT1224" i="2"/>
  <c r="BU1224" i="2"/>
  <c r="BV1224" i="2"/>
  <c r="BW1224" i="2"/>
  <c r="BX1224" i="2"/>
  <c r="BY1224" i="2"/>
  <c r="CA1224" i="2"/>
  <c r="AW1225" i="2"/>
  <c r="AX1225" i="2"/>
  <c r="AY1225" i="2"/>
  <c r="BZ1225" i="2" s="1"/>
  <c r="CC1225" i="2" s="1"/>
  <c r="AZ1225" i="2"/>
  <c r="BA1225" i="2"/>
  <c r="BB1225" i="2"/>
  <c r="BC1225" i="2"/>
  <c r="BD1225" i="2"/>
  <c r="BE1225" i="2"/>
  <c r="BF1225" i="2"/>
  <c r="BG1225" i="2"/>
  <c r="BH1225" i="2"/>
  <c r="BI1225" i="2"/>
  <c r="BJ1225" i="2"/>
  <c r="BK1225" i="2"/>
  <c r="BL1225" i="2"/>
  <c r="BM1225" i="2"/>
  <c r="BN1225" i="2"/>
  <c r="BO1225" i="2"/>
  <c r="BP1225" i="2"/>
  <c r="BQ1225" i="2"/>
  <c r="BR1225" i="2"/>
  <c r="BS1225" i="2"/>
  <c r="BT1225" i="2"/>
  <c r="BU1225" i="2"/>
  <c r="BV1225" i="2"/>
  <c r="BW1225" i="2"/>
  <c r="BX1225" i="2"/>
  <c r="BY1225" i="2"/>
  <c r="CA1225" i="2"/>
  <c r="AW1226" i="2"/>
  <c r="AX1226" i="2"/>
  <c r="AY1226" i="2"/>
  <c r="BZ1226" i="2" s="1"/>
  <c r="CC1226" i="2" s="1"/>
  <c r="AZ1226" i="2"/>
  <c r="BA1226" i="2"/>
  <c r="BB1226" i="2"/>
  <c r="BC1226" i="2"/>
  <c r="BD1226" i="2"/>
  <c r="BE1226" i="2"/>
  <c r="BF1226" i="2"/>
  <c r="BG1226" i="2"/>
  <c r="BH1226" i="2"/>
  <c r="BI1226" i="2"/>
  <c r="BJ1226" i="2"/>
  <c r="BK1226" i="2"/>
  <c r="BL1226" i="2"/>
  <c r="BM1226" i="2"/>
  <c r="BN1226" i="2"/>
  <c r="BO1226" i="2"/>
  <c r="BP1226" i="2"/>
  <c r="BQ1226" i="2"/>
  <c r="BR1226" i="2"/>
  <c r="BS1226" i="2"/>
  <c r="BT1226" i="2"/>
  <c r="BU1226" i="2"/>
  <c r="BV1226" i="2"/>
  <c r="BW1226" i="2"/>
  <c r="BX1226" i="2"/>
  <c r="BY1226" i="2"/>
  <c r="CA1226" i="2"/>
  <c r="AW1227" i="2"/>
  <c r="AX1227" i="2"/>
  <c r="AY1227" i="2"/>
  <c r="BZ1227" i="2" s="1"/>
  <c r="CC1227" i="2" s="1"/>
  <c r="AZ1227" i="2"/>
  <c r="BA1227" i="2"/>
  <c r="BB1227" i="2"/>
  <c r="BC1227" i="2"/>
  <c r="BD1227" i="2"/>
  <c r="BE1227" i="2"/>
  <c r="BF1227" i="2"/>
  <c r="BG1227" i="2"/>
  <c r="BH1227" i="2"/>
  <c r="BI1227" i="2"/>
  <c r="BJ1227" i="2"/>
  <c r="BK1227" i="2"/>
  <c r="BL1227" i="2"/>
  <c r="BM1227" i="2"/>
  <c r="BN1227" i="2"/>
  <c r="BO1227" i="2"/>
  <c r="BP1227" i="2"/>
  <c r="BQ1227" i="2"/>
  <c r="BR1227" i="2"/>
  <c r="BS1227" i="2"/>
  <c r="BT1227" i="2"/>
  <c r="BU1227" i="2"/>
  <c r="BV1227" i="2"/>
  <c r="BW1227" i="2"/>
  <c r="BX1227" i="2"/>
  <c r="BY1227" i="2"/>
  <c r="CA1227" i="2"/>
  <c r="AW1228" i="2"/>
  <c r="AX1228" i="2"/>
  <c r="AY1228" i="2"/>
  <c r="BZ1228" i="2" s="1"/>
  <c r="CC1228" i="2" s="1"/>
  <c r="AZ1228" i="2"/>
  <c r="BA1228" i="2"/>
  <c r="BB1228" i="2"/>
  <c r="BC1228" i="2"/>
  <c r="BD1228" i="2"/>
  <c r="BE1228" i="2"/>
  <c r="BF1228" i="2"/>
  <c r="BG1228" i="2"/>
  <c r="BH1228" i="2"/>
  <c r="BI1228" i="2"/>
  <c r="BJ1228" i="2"/>
  <c r="BK1228" i="2"/>
  <c r="BL1228" i="2"/>
  <c r="BM1228" i="2"/>
  <c r="BN1228" i="2"/>
  <c r="BO1228" i="2"/>
  <c r="BP1228" i="2"/>
  <c r="BQ1228" i="2"/>
  <c r="BR1228" i="2"/>
  <c r="BS1228" i="2"/>
  <c r="BT1228" i="2"/>
  <c r="BU1228" i="2"/>
  <c r="BV1228" i="2"/>
  <c r="BW1228" i="2"/>
  <c r="BX1228" i="2"/>
  <c r="BY1228" i="2"/>
  <c r="CA1228" i="2"/>
  <c r="AW1229" i="2"/>
  <c r="AX1229" i="2"/>
  <c r="AY1229" i="2"/>
  <c r="BZ1229" i="2" s="1"/>
  <c r="CC1229" i="2" s="1"/>
  <c r="AZ1229" i="2"/>
  <c r="BA1229" i="2"/>
  <c r="BB1229" i="2"/>
  <c r="BC1229" i="2"/>
  <c r="BD1229" i="2"/>
  <c r="BE1229" i="2"/>
  <c r="BF1229" i="2"/>
  <c r="BG1229" i="2"/>
  <c r="BH1229" i="2"/>
  <c r="BI1229" i="2"/>
  <c r="BJ1229" i="2"/>
  <c r="BK1229" i="2"/>
  <c r="BL1229" i="2"/>
  <c r="BM1229" i="2"/>
  <c r="BN1229" i="2"/>
  <c r="BO1229" i="2"/>
  <c r="BP1229" i="2"/>
  <c r="BQ1229" i="2"/>
  <c r="BR1229" i="2"/>
  <c r="BS1229" i="2"/>
  <c r="BT1229" i="2"/>
  <c r="BU1229" i="2"/>
  <c r="BV1229" i="2"/>
  <c r="BW1229" i="2"/>
  <c r="BX1229" i="2"/>
  <c r="BY1229" i="2"/>
  <c r="CA1229" i="2"/>
  <c r="AW1230" i="2"/>
  <c r="AX1230" i="2"/>
  <c r="AY1230" i="2"/>
  <c r="BZ1230" i="2" s="1"/>
  <c r="CC1230" i="2" s="1"/>
  <c r="AZ1230" i="2"/>
  <c r="BA1230" i="2"/>
  <c r="BB1230" i="2"/>
  <c r="BC1230" i="2"/>
  <c r="BD1230" i="2"/>
  <c r="BE1230" i="2"/>
  <c r="BF1230" i="2"/>
  <c r="BG1230" i="2"/>
  <c r="BH1230" i="2"/>
  <c r="BI1230" i="2"/>
  <c r="BJ1230" i="2"/>
  <c r="BK1230" i="2"/>
  <c r="BL1230" i="2"/>
  <c r="BM1230" i="2"/>
  <c r="BN1230" i="2"/>
  <c r="BO1230" i="2"/>
  <c r="BP1230" i="2"/>
  <c r="BQ1230" i="2"/>
  <c r="BR1230" i="2"/>
  <c r="BS1230" i="2"/>
  <c r="BT1230" i="2"/>
  <c r="BU1230" i="2"/>
  <c r="BV1230" i="2"/>
  <c r="BW1230" i="2"/>
  <c r="BX1230" i="2"/>
  <c r="BY1230" i="2"/>
  <c r="CA1230" i="2"/>
  <c r="AW1231" i="2"/>
  <c r="AX1231" i="2"/>
  <c r="AY1231" i="2"/>
  <c r="BZ1231" i="2" s="1"/>
  <c r="CC1231" i="2" s="1"/>
  <c r="AZ1231" i="2"/>
  <c r="BA1231" i="2"/>
  <c r="BB1231" i="2"/>
  <c r="BC1231" i="2"/>
  <c r="BD1231" i="2"/>
  <c r="BE1231" i="2"/>
  <c r="BF1231" i="2"/>
  <c r="BG1231" i="2"/>
  <c r="BH1231" i="2"/>
  <c r="BI1231" i="2"/>
  <c r="BJ1231" i="2"/>
  <c r="BK1231" i="2"/>
  <c r="BL1231" i="2"/>
  <c r="BM1231" i="2"/>
  <c r="BN1231" i="2"/>
  <c r="BO1231" i="2"/>
  <c r="BP1231" i="2"/>
  <c r="BQ1231" i="2"/>
  <c r="BR1231" i="2"/>
  <c r="BS1231" i="2"/>
  <c r="BT1231" i="2"/>
  <c r="BU1231" i="2"/>
  <c r="BV1231" i="2"/>
  <c r="BW1231" i="2"/>
  <c r="BX1231" i="2"/>
  <c r="BY1231" i="2"/>
  <c r="CA1231" i="2"/>
  <c r="AW1232" i="2"/>
  <c r="AX1232" i="2"/>
  <c r="AY1232" i="2"/>
  <c r="BZ1232" i="2" s="1"/>
  <c r="CC1232" i="2" s="1"/>
  <c r="AZ1232" i="2"/>
  <c r="BA1232" i="2"/>
  <c r="BB1232" i="2"/>
  <c r="BC1232" i="2"/>
  <c r="BD1232" i="2"/>
  <c r="BE1232" i="2"/>
  <c r="BF1232" i="2"/>
  <c r="BG1232" i="2"/>
  <c r="BH1232" i="2"/>
  <c r="BI1232" i="2"/>
  <c r="BJ1232" i="2"/>
  <c r="BK1232" i="2"/>
  <c r="BL1232" i="2"/>
  <c r="BM1232" i="2"/>
  <c r="BN1232" i="2"/>
  <c r="BO1232" i="2"/>
  <c r="BP1232" i="2"/>
  <c r="BQ1232" i="2"/>
  <c r="BR1232" i="2"/>
  <c r="BS1232" i="2"/>
  <c r="BT1232" i="2"/>
  <c r="BU1232" i="2"/>
  <c r="BV1232" i="2"/>
  <c r="BW1232" i="2"/>
  <c r="BX1232" i="2"/>
  <c r="BY1232" i="2"/>
  <c r="CA1232" i="2"/>
  <c r="AW1233" i="2"/>
  <c r="AX1233" i="2"/>
  <c r="AY1233" i="2"/>
  <c r="BZ1233" i="2" s="1"/>
  <c r="CC1233" i="2" s="1"/>
  <c r="AZ1233" i="2"/>
  <c r="BA1233" i="2"/>
  <c r="BB1233" i="2"/>
  <c r="BC1233" i="2"/>
  <c r="BD1233" i="2"/>
  <c r="BE1233" i="2"/>
  <c r="BF1233" i="2"/>
  <c r="BG1233" i="2"/>
  <c r="BH1233" i="2"/>
  <c r="BI1233" i="2"/>
  <c r="BJ1233" i="2"/>
  <c r="BK1233" i="2"/>
  <c r="BL1233" i="2"/>
  <c r="BM1233" i="2"/>
  <c r="BN1233" i="2"/>
  <c r="BO1233" i="2"/>
  <c r="BP1233" i="2"/>
  <c r="BQ1233" i="2"/>
  <c r="BR1233" i="2"/>
  <c r="BS1233" i="2"/>
  <c r="BT1233" i="2"/>
  <c r="BU1233" i="2"/>
  <c r="BV1233" i="2"/>
  <c r="BW1233" i="2"/>
  <c r="BX1233" i="2"/>
  <c r="BY1233" i="2"/>
  <c r="CA1233" i="2"/>
  <c r="AW1234" i="2"/>
  <c r="AX1234" i="2"/>
  <c r="AY1234" i="2"/>
  <c r="BZ1234" i="2" s="1"/>
  <c r="CC1234" i="2" s="1"/>
  <c r="AZ1234" i="2"/>
  <c r="BA1234" i="2"/>
  <c r="BB1234" i="2"/>
  <c r="BC1234" i="2"/>
  <c r="BD1234" i="2"/>
  <c r="BE1234" i="2"/>
  <c r="BF1234" i="2"/>
  <c r="BG1234" i="2"/>
  <c r="BH1234" i="2"/>
  <c r="BI1234" i="2"/>
  <c r="BJ1234" i="2"/>
  <c r="BK1234" i="2"/>
  <c r="BL1234" i="2"/>
  <c r="BM1234" i="2"/>
  <c r="BN1234" i="2"/>
  <c r="BO1234" i="2"/>
  <c r="BP1234" i="2"/>
  <c r="BQ1234" i="2"/>
  <c r="BR1234" i="2"/>
  <c r="BS1234" i="2"/>
  <c r="BT1234" i="2"/>
  <c r="BU1234" i="2"/>
  <c r="BV1234" i="2"/>
  <c r="BW1234" i="2"/>
  <c r="BX1234" i="2"/>
  <c r="BY1234" i="2"/>
  <c r="CA1234" i="2"/>
  <c r="AW1235" i="2"/>
  <c r="AX1235" i="2"/>
  <c r="AY1235" i="2"/>
  <c r="BZ1235" i="2" s="1"/>
  <c r="CC1235" i="2" s="1"/>
  <c r="AZ1235" i="2"/>
  <c r="BA1235" i="2"/>
  <c r="BB1235" i="2"/>
  <c r="BC1235" i="2"/>
  <c r="BD1235" i="2"/>
  <c r="BE1235" i="2"/>
  <c r="BF1235" i="2"/>
  <c r="BG1235" i="2"/>
  <c r="BH1235" i="2"/>
  <c r="BI1235" i="2"/>
  <c r="BJ1235" i="2"/>
  <c r="BK1235" i="2"/>
  <c r="BL1235" i="2"/>
  <c r="BM1235" i="2"/>
  <c r="BN1235" i="2"/>
  <c r="BO1235" i="2"/>
  <c r="BP1235" i="2"/>
  <c r="BQ1235" i="2"/>
  <c r="BR1235" i="2"/>
  <c r="BS1235" i="2"/>
  <c r="BT1235" i="2"/>
  <c r="BU1235" i="2"/>
  <c r="BV1235" i="2"/>
  <c r="BW1235" i="2"/>
  <c r="BX1235" i="2"/>
  <c r="BY1235" i="2"/>
  <c r="CA1235" i="2"/>
  <c r="AW1236" i="2"/>
  <c r="AX1236" i="2"/>
  <c r="AY1236" i="2"/>
  <c r="BZ1236" i="2" s="1"/>
  <c r="CC1236" i="2" s="1"/>
  <c r="AZ1236" i="2"/>
  <c r="BA1236" i="2"/>
  <c r="BB1236" i="2"/>
  <c r="BC1236" i="2"/>
  <c r="BD1236" i="2"/>
  <c r="BE1236" i="2"/>
  <c r="BF1236" i="2"/>
  <c r="BG1236" i="2"/>
  <c r="BH1236" i="2"/>
  <c r="BI1236" i="2"/>
  <c r="BJ1236" i="2"/>
  <c r="BK1236" i="2"/>
  <c r="BL1236" i="2"/>
  <c r="BM1236" i="2"/>
  <c r="BN1236" i="2"/>
  <c r="BO1236" i="2"/>
  <c r="BP1236" i="2"/>
  <c r="BQ1236" i="2"/>
  <c r="BR1236" i="2"/>
  <c r="BS1236" i="2"/>
  <c r="BT1236" i="2"/>
  <c r="BU1236" i="2"/>
  <c r="BV1236" i="2"/>
  <c r="BW1236" i="2"/>
  <c r="BX1236" i="2"/>
  <c r="BY1236" i="2"/>
  <c r="CA1236" i="2"/>
  <c r="AW1237" i="2"/>
  <c r="AX1237" i="2"/>
  <c r="AY1237" i="2"/>
  <c r="BZ1237" i="2" s="1"/>
  <c r="CC1237" i="2" s="1"/>
  <c r="AZ1237" i="2"/>
  <c r="BA1237" i="2"/>
  <c r="BB1237" i="2"/>
  <c r="BC1237" i="2"/>
  <c r="BD1237" i="2"/>
  <c r="BE1237" i="2"/>
  <c r="BF1237" i="2"/>
  <c r="BG1237" i="2"/>
  <c r="BH1237" i="2"/>
  <c r="BI1237" i="2"/>
  <c r="BJ1237" i="2"/>
  <c r="BK1237" i="2"/>
  <c r="BL1237" i="2"/>
  <c r="BM1237" i="2"/>
  <c r="BN1237" i="2"/>
  <c r="BO1237" i="2"/>
  <c r="BP1237" i="2"/>
  <c r="BQ1237" i="2"/>
  <c r="BR1237" i="2"/>
  <c r="BS1237" i="2"/>
  <c r="BT1237" i="2"/>
  <c r="BU1237" i="2"/>
  <c r="BV1237" i="2"/>
  <c r="BW1237" i="2"/>
  <c r="BX1237" i="2"/>
  <c r="BY1237" i="2"/>
  <c r="CA1237" i="2"/>
  <c r="AW1238" i="2"/>
  <c r="AX1238" i="2"/>
  <c r="AY1238" i="2"/>
  <c r="BZ1238" i="2" s="1"/>
  <c r="CC1238" i="2" s="1"/>
  <c r="AZ1238" i="2"/>
  <c r="BA1238" i="2"/>
  <c r="BB1238" i="2"/>
  <c r="BC1238" i="2"/>
  <c r="BD1238" i="2"/>
  <c r="BE1238" i="2"/>
  <c r="BF1238" i="2"/>
  <c r="BG1238" i="2"/>
  <c r="BH1238" i="2"/>
  <c r="BI1238" i="2"/>
  <c r="BJ1238" i="2"/>
  <c r="BK1238" i="2"/>
  <c r="BL1238" i="2"/>
  <c r="BM1238" i="2"/>
  <c r="BN1238" i="2"/>
  <c r="BO1238" i="2"/>
  <c r="BP1238" i="2"/>
  <c r="BQ1238" i="2"/>
  <c r="BR1238" i="2"/>
  <c r="BS1238" i="2"/>
  <c r="BT1238" i="2"/>
  <c r="BU1238" i="2"/>
  <c r="BV1238" i="2"/>
  <c r="BW1238" i="2"/>
  <c r="BX1238" i="2"/>
  <c r="BY1238" i="2"/>
  <c r="CA1238" i="2"/>
  <c r="AW1239" i="2"/>
  <c r="AX1239" i="2"/>
  <c r="AY1239" i="2"/>
  <c r="BZ1239" i="2" s="1"/>
  <c r="CC1239" i="2" s="1"/>
  <c r="AZ1239" i="2"/>
  <c r="BA1239" i="2"/>
  <c r="BB1239" i="2"/>
  <c r="BC1239" i="2"/>
  <c r="BD1239" i="2"/>
  <c r="BE1239" i="2"/>
  <c r="BF1239" i="2"/>
  <c r="BG1239" i="2"/>
  <c r="BH1239" i="2"/>
  <c r="BI1239" i="2"/>
  <c r="BJ1239" i="2"/>
  <c r="BK1239" i="2"/>
  <c r="BL1239" i="2"/>
  <c r="BM1239" i="2"/>
  <c r="BN1239" i="2"/>
  <c r="BO1239" i="2"/>
  <c r="BP1239" i="2"/>
  <c r="BQ1239" i="2"/>
  <c r="BR1239" i="2"/>
  <c r="BS1239" i="2"/>
  <c r="BT1239" i="2"/>
  <c r="BU1239" i="2"/>
  <c r="BV1239" i="2"/>
  <c r="BW1239" i="2"/>
  <c r="BX1239" i="2"/>
  <c r="BY1239" i="2"/>
  <c r="CA1239" i="2"/>
  <c r="AW1240" i="2"/>
  <c r="AX1240" i="2"/>
  <c r="AY1240" i="2"/>
  <c r="BZ1240" i="2" s="1"/>
  <c r="CC1240" i="2" s="1"/>
  <c r="AZ1240" i="2"/>
  <c r="BA1240" i="2"/>
  <c r="BB1240" i="2"/>
  <c r="BC1240" i="2"/>
  <c r="BD1240" i="2"/>
  <c r="BE1240" i="2"/>
  <c r="BF1240" i="2"/>
  <c r="BG1240" i="2"/>
  <c r="BH1240" i="2"/>
  <c r="BI1240" i="2"/>
  <c r="BJ1240" i="2"/>
  <c r="BK1240" i="2"/>
  <c r="BL1240" i="2"/>
  <c r="BM1240" i="2"/>
  <c r="BN1240" i="2"/>
  <c r="BO1240" i="2"/>
  <c r="BP1240" i="2"/>
  <c r="BQ1240" i="2"/>
  <c r="BR1240" i="2"/>
  <c r="BS1240" i="2"/>
  <c r="BT1240" i="2"/>
  <c r="BU1240" i="2"/>
  <c r="BV1240" i="2"/>
  <c r="BW1240" i="2"/>
  <c r="BX1240" i="2"/>
  <c r="BY1240" i="2"/>
  <c r="CA1240" i="2"/>
  <c r="AW1241" i="2"/>
  <c r="AX1241" i="2"/>
  <c r="AY1241" i="2"/>
  <c r="BZ1241" i="2" s="1"/>
  <c r="CC1241" i="2" s="1"/>
  <c r="AZ1241" i="2"/>
  <c r="BA1241" i="2"/>
  <c r="BB1241" i="2"/>
  <c r="BC1241" i="2"/>
  <c r="BD1241" i="2"/>
  <c r="BE1241" i="2"/>
  <c r="BF1241" i="2"/>
  <c r="BG1241" i="2"/>
  <c r="BH1241" i="2"/>
  <c r="BI1241" i="2"/>
  <c r="BJ1241" i="2"/>
  <c r="BK1241" i="2"/>
  <c r="BL1241" i="2"/>
  <c r="BM1241" i="2"/>
  <c r="BN1241" i="2"/>
  <c r="BO1241" i="2"/>
  <c r="BP1241" i="2"/>
  <c r="BQ1241" i="2"/>
  <c r="BR1241" i="2"/>
  <c r="BS1241" i="2"/>
  <c r="BT1241" i="2"/>
  <c r="BU1241" i="2"/>
  <c r="BV1241" i="2"/>
  <c r="BW1241" i="2"/>
  <c r="BX1241" i="2"/>
  <c r="BY1241" i="2"/>
  <c r="CA1241" i="2"/>
  <c r="AW1242" i="2"/>
  <c r="AX1242" i="2"/>
  <c r="AY1242" i="2"/>
  <c r="BZ1242" i="2" s="1"/>
  <c r="CC1242" i="2" s="1"/>
  <c r="AZ1242" i="2"/>
  <c r="BA1242" i="2"/>
  <c r="BB1242" i="2"/>
  <c r="BC1242" i="2"/>
  <c r="BD1242" i="2"/>
  <c r="BE1242" i="2"/>
  <c r="BF1242" i="2"/>
  <c r="BG1242" i="2"/>
  <c r="BH1242" i="2"/>
  <c r="BI1242" i="2"/>
  <c r="BJ1242" i="2"/>
  <c r="BK1242" i="2"/>
  <c r="BL1242" i="2"/>
  <c r="BM1242" i="2"/>
  <c r="BN1242" i="2"/>
  <c r="BO1242" i="2"/>
  <c r="BP1242" i="2"/>
  <c r="BQ1242" i="2"/>
  <c r="BR1242" i="2"/>
  <c r="BS1242" i="2"/>
  <c r="BT1242" i="2"/>
  <c r="BU1242" i="2"/>
  <c r="BV1242" i="2"/>
  <c r="BW1242" i="2"/>
  <c r="BX1242" i="2"/>
  <c r="BY1242" i="2"/>
  <c r="CA1242" i="2"/>
  <c r="AW1243" i="2"/>
  <c r="AX1243" i="2"/>
  <c r="AY1243" i="2"/>
  <c r="BZ1243" i="2" s="1"/>
  <c r="CC1243" i="2" s="1"/>
  <c r="AZ1243" i="2"/>
  <c r="BA1243" i="2"/>
  <c r="BB1243" i="2"/>
  <c r="BC1243" i="2"/>
  <c r="BD1243" i="2"/>
  <c r="BE1243" i="2"/>
  <c r="BF1243" i="2"/>
  <c r="BG1243" i="2"/>
  <c r="BH1243" i="2"/>
  <c r="BI1243" i="2"/>
  <c r="BJ1243" i="2"/>
  <c r="BK1243" i="2"/>
  <c r="BL1243" i="2"/>
  <c r="BM1243" i="2"/>
  <c r="BN1243" i="2"/>
  <c r="BO1243" i="2"/>
  <c r="BP1243" i="2"/>
  <c r="BQ1243" i="2"/>
  <c r="BR1243" i="2"/>
  <c r="BS1243" i="2"/>
  <c r="BT1243" i="2"/>
  <c r="BU1243" i="2"/>
  <c r="BV1243" i="2"/>
  <c r="BW1243" i="2"/>
  <c r="BX1243" i="2"/>
  <c r="BY1243" i="2"/>
  <c r="CA1243" i="2"/>
  <c r="AW1244" i="2"/>
  <c r="AX1244" i="2"/>
  <c r="AY1244" i="2"/>
  <c r="BZ1244" i="2" s="1"/>
  <c r="CC1244" i="2" s="1"/>
  <c r="AZ1244" i="2"/>
  <c r="BA1244" i="2"/>
  <c r="BB1244" i="2"/>
  <c r="BC1244" i="2"/>
  <c r="BD1244" i="2"/>
  <c r="BE1244" i="2"/>
  <c r="BF1244" i="2"/>
  <c r="BG1244" i="2"/>
  <c r="BH1244" i="2"/>
  <c r="BI1244" i="2"/>
  <c r="BJ1244" i="2"/>
  <c r="BK1244" i="2"/>
  <c r="BL1244" i="2"/>
  <c r="BM1244" i="2"/>
  <c r="BN1244" i="2"/>
  <c r="BO1244" i="2"/>
  <c r="BP1244" i="2"/>
  <c r="BQ1244" i="2"/>
  <c r="BR1244" i="2"/>
  <c r="BS1244" i="2"/>
  <c r="BT1244" i="2"/>
  <c r="BU1244" i="2"/>
  <c r="BV1244" i="2"/>
  <c r="BW1244" i="2"/>
  <c r="BX1244" i="2"/>
  <c r="BY1244" i="2"/>
  <c r="CA1244" i="2"/>
  <c r="AW1245" i="2"/>
  <c r="AX1245" i="2"/>
  <c r="AY1245" i="2"/>
  <c r="BZ1245" i="2" s="1"/>
  <c r="CC1245" i="2" s="1"/>
  <c r="AZ1245" i="2"/>
  <c r="BA1245" i="2"/>
  <c r="BB1245" i="2"/>
  <c r="BC1245" i="2"/>
  <c r="BD1245" i="2"/>
  <c r="BE1245" i="2"/>
  <c r="BF1245" i="2"/>
  <c r="BG1245" i="2"/>
  <c r="BH1245" i="2"/>
  <c r="BI1245" i="2"/>
  <c r="BJ1245" i="2"/>
  <c r="BK1245" i="2"/>
  <c r="BL1245" i="2"/>
  <c r="BM1245" i="2"/>
  <c r="BN1245" i="2"/>
  <c r="BO1245" i="2"/>
  <c r="BP1245" i="2"/>
  <c r="BQ1245" i="2"/>
  <c r="BR1245" i="2"/>
  <c r="BS1245" i="2"/>
  <c r="BT1245" i="2"/>
  <c r="BU1245" i="2"/>
  <c r="BV1245" i="2"/>
  <c r="BW1245" i="2"/>
  <c r="BX1245" i="2"/>
  <c r="BY1245" i="2"/>
  <c r="CA1245" i="2"/>
  <c r="AW1246" i="2"/>
  <c r="AX1246" i="2"/>
  <c r="AY1246" i="2"/>
  <c r="BZ1246" i="2" s="1"/>
  <c r="CC1246" i="2" s="1"/>
  <c r="AZ1246" i="2"/>
  <c r="BA1246" i="2"/>
  <c r="BB1246" i="2"/>
  <c r="BC1246" i="2"/>
  <c r="BD1246" i="2"/>
  <c r="BE1246" i="2"/>
  <c r="BF1246" i="2"/>
  <c r="BG1246" i="2"/>
  <c r="BH1246" i="2"/>
  <c r="BI1246" i="2"/>
  <c r="BJ1246" i="2"/>
  <c r="BK1246" i="2"/>
  <c r="BL1246" i="2"/>
  <c r="BM1246" i="2"/>
  <c r="BN1246" i="2"/>
  <c r="BO1246" i="2"/>
  <c r="BP1246" i="2"/>
  <c r="BQ1246" i="2"/>
  <c r="BR1246" i="2"/>
  <c r="BS1246" i="2"/>
  <c r="BT1246" i="2"/>
  <c r="BU1246" i="2"/>
  <c r="BV1246" i="2"/>
  <c r="BW1246" i="2"/>
  <c r="BX1246" i="2"/>
  <c r="BY1246" i="2"/>
  <c r="CA1246" i="2"/>
  <c r="AW1247" i="2"/>
  <c r="AX1247" i="2"/>
  <c r="AY1247" i="2"/>
  <c r="BZ1247" i="2" s="1"/>
  <c r="CC1247" i="2" s="1"/>
  <c r="AZ1247" i="2"/>
  <c r="BA1247" i="2"/>
  <c r="BB1247" i="2"/>
  <c r="BC1247" i="2"/>
  <c r="BD1247" i="2"/>
  <c r="BE1247" i="2"/>
  <c r="BF1247" i="2"/>
  <c r="BG1247" i="2"/>
  <c r="BH1247" i="2"/>
  <c r="BI1247" i="2"/>
  <c r="BJ1247" i="2"/>
  <c r="BK1247" i="2"/>
  <c r="BL1247" i="2"/>
  <c r="BM1247" i="2"/>
  <c r="BN1247" i="2"/>
  <c r="BO1247" i="2"/>
  <c r="BP1247" i="2"/>
  <c r="BQ1247" i="2"/>
  <c r="BR1247" i="2"/>
  <c r="BS1247" i="2"/>
  <c r="BT1247" i="2"/>
  <c r="BU1247" i="2"/>
  <c r="BV1247" i="2"/>
  <c r="BW1247" i="2"/>
  <c r="BX1247" i="2"/>
  <c r="BY1247" i="2"/>
  <c r="CA1247" i="2"/>
  <c r="AW1248" i="2"/>
  <c r="AX1248" i="2"/>
  <c r="AY1248" i="2"/>
  <c r="BZ1248" i="2" s="1"/>
  <c r="CC1248" i="2" s="1"/>
  <c r="AZ1248" i="2"/>
  <c r="BA1248" i="2"/>
  <c r="BB1248" i="2"/>
  <c r="BC1248" i="2"/>
  <c r="BD1248" i="2"/>
  <c r="BE1248" i="2"/>
  <c r="BF1248" i="2"/>
  <c r="BG1248" i="2"/>
  <c r="BH1248" i="2"/>
  <c r="BI1248" i="2"/>
  <c r="BJ1248" i="2"/>
  <c r="BK1248" i="2"/>
  <c r="BL1248" i="2"/>
  <c r="BM1248" i="2"/>
  <c r="BN1248" i="2"/>
  <c r="BO1248" i="2"/>
  <c r="BP1248" i="2"/>
  <c r="BQ1248" i="2"/>
  <c r="BR1248" i="2"/>
  <c r="BS1248" i="2"/>
  <c r="BT1248" i="2"/>
  <c r="BU1248" i="2"/>
  <c r="BV1248" i="2"/>
  <c r="BW1248" i="2"/>
  <c r="BX1248" i="2"/>
  <c r="BY1248" i="2"/>
  <c r="CA1248" i="2"/>
  <c r="A4" i="6"/>
  <c r="D2" i="6"/>
  <c r="A19" i="5"/>
  <c r="A20" i="5" s="1"/>
  <c r="A21" i="5" s="1"/>
  <c r="M5" i="5"/>
  <c r="R1" i="5"/>
  <c r="A1" i="5"/>
  <c r="K3214" i="4"/>
  <c r="J3214" i="4"/>
  <c r="H3214" i="4"/>
  <c r="I3214" i="4" s="1"/>
  <c r="K3213" i="4"/>
  <c r="J3213" i="4"/>
  <c r="H3213" i="4"/>
  <c r="I3213" i="4" s="1"/>
  <c r="K3212" i="4"/>
  <c r="J3212" i="4"/>
  <c r="H3212" i="4"/>
  <c r="I3212" i="4" s="1"/>
  <c r="K3211" i="4"/>
  <c r="J3211" i="4"/>
  <c r="H3211" i="4"/>
  <c r="I3211" i="4" s="1"/>
  <c r="K3210" i="4"/>
  <c r="J3210" i="4"/>
  <c r="H3210" i="4"/>
  <c r="I3210" i="4" s="1"/>
  <c r="K3209" i="4"/>
  <c r="J3209" i="4"/>
  <c r="H3209" i="4"/>
  <c r="K3208" i="4"/>
  <c r="J3208" i="4"/>
  <c r="H3208" i="4"/>
  <c r="I3208" i="4" s="1"/>
  <c r="K3207" i="4"/>
  <c r="J3207" i="4"/>
  <c r="H3207" i="4"/>
  <c r="I3207" i="4" s="1"/>
  <c r="K3206" i="4"/>
  <c r="J3206" i="4"/>
  <c r="H3206" i="4"/>
  <c r="I3206" i="4" s="1"/>
  <c r="K3205" i="4"/>
  <c r="J3205" i="4"/>
  <c r="H3205" i="4"/>
  <c r="I3205" i="4" s="1"/>
  <c r="K3204" i="4"/>
  <c r="J3204" i="4"/>
  <c r="H3204" i="4"/>
  <c r="I3204" i="4" s="1"/>
  <c r="K3203" i="4"/>
  <c r="J3203" i="4"/>
  <c r="H3203" i="4"/>
  <c r="I3203" i="4" s="1"/>
  <c r="K3202" i="4"/>
  <c r="J3202" i="4"/>
  <c r="H3202" i="4"/>
  <c r="K3201" i="4"/>
  <c r="J3201" i="4"/>
  <c r="H3201" i="4"/>
  <c r="I3201" i="4" s="1"/>
  <c r="K3200" i="4"/>
  <c r="J3200" i="4"/>
  <c r="H3200" i="4"/>
  <c r="I3200" i="4" s="1"/>
  <c r="K3199" i="4"/>
  <c r="J3199" i="4"/>
  <c r="H3199" i="4"/>
  <c r="I3199" i="4" s="1"/>
  <c r="K3198" i="4"/>
  <c r="J3198" i="4"/>
  <c r="H3198" i="4"/>
  <c r="I3198" i="4" s="1"/>
  <c r="K3197" i="4"/>
  <c r="J3197" i="4"/>
  <c r="H3197" i="4"/>
  <c r="K3196" i="4"/>
  <c r="J3196" i="4"/>
  <c r="H3196" i="4"/>
  <c r="I3196" i="4" s="1"/>
  <c r="K3195" i="4"/>
  <c r="J3195" i="4"/>
  <c r="H3195" i="4"/>
  <c r="I3195" i="4" s="1"/>
  <c r="K3194" i="4"/>
  <c r="J3194" i="4"/>
  <c r="H3194" i="4"/>
  <c r="I3194" i="4" s="1"/>
  <c r="K3193" i="4"/>
  <c r="J3193" i="4"/>
  <c r="H3193" i="4"/>
  <c r="K3192" i="4"/>
  <c r="J3192" i="4"/>
  <c r="H3192" i="4"/>
  <c r="K3191" i="4"/>
  <c r="J3191" i="4"/>
  <c r="H3191" i="4"/>
  <c r="I3191" i="4" s="1"/>
  <c r="K3190" i="4"/>
  <c r="J3190" i="4"/>
  <c r="H3190" i="4"/>
  <c r="I3190" i="4" s="1"/>
  <c r="K3189" i="4"/>
  <c r="J3189" i="4"/>
  <c r="H3189" i="4"/>
  <c r="I3189" i="4" s="1"/>
  <c r="K3188" i="4"/>
  <c r="J3188" i="4"/>
  <c r="H3188" i="4"/>
  <c r="I3188" i="4" s="1"/>
  <c r="K3187" i="4"/>
  <c r="J3187" i="4"/>
  <c r="H3187" i="4"/>
  <c r="I3187" i="4" s="1"/>
  <c r="K3186" i="4"/>
  <c r="J3186" i="4"/>
  <c r="H3186" i="4"/>
  <c r="I3186" i="4" s="1"/>
  <c r="K3185" i="4"/>
  <c r="J3185" i="4"/>
  <c r="H3185" i="4"/>
  <c r="K3184" i="4"/>
  <c r="J3184" i="4"/>
  <c r="H3184" i="4"/>
  <c r="I3184" i="4" s="1"/>
  <c r="K3183" i="4"/>
  <c r="J3183" i="4"/>
  <c r="H3183" i="4"/>
  <c r="I3183" i="4" s="1"/>
  <c r="K3182" i="4"/>
  <c r="J3182" i="4"/>
  <c r="H3182" i="4"/>
  <c r="I3182" i="4" s="1"/>
  <c r="K3181" i="4"/>
  <c r="J3181" i="4"/>
  <c r="H3181" i="4"/>
  <c r="K3180" i="4"/>
  <c r="J3180" i="4"/>
  <c r="H3180" i="4"/>
  <c r="I3180" i="4" s="1"/>
  <c r="K3179" i="4"/>
  <c r="J3179" i="4"/>
  <c r="H3179" i="4"/>
  <c r="I3179" i="4" s="1"/>
  <c r="K3178" i="4"/>
  <c r="J3178" i="4"/>
  <c r="H3178" i="4"/>
  <c r="I3178" i="4" s="1"/>
  <c r="K3177" i="4"/>
  <c r="J3177" i="4"/>
  <c r="H3177" i="4"/>
  <c r="I3177" i="4" s="1"/>
  <c r="K3176" i="4"/>
  <c r="J3176" i="4"/>
  <c r="H3176" i="4"/>
  <c r="I3176" i="4" s="1"/>
  <c r="K3175" i="4"/>
  <c r="J3175" i="4"/>
  <c r="H3175" i="4"/>
  <c r="I3175" i="4" s="1"/>
  <c r="K3174" i="4"/>
  <c r="J3174" i="4"/>
  <c r="H3174" i="4"/>
  <c r="I3174" i="4" s="1"/>
  <c r="K3173" i="4"/>
  <c r="J3173" i="4"/>
  <c r="H3173" i="4"/>
  <c r="K3172" i="4"/>
  <c r="J3172" i="4"/>
  <c r="H3172" i="4"/>
  <c r="I3172" i="4" s="1"/>
  <c r="K3171" i="4"/>
  <c r="J3171" i="4"/>
  <c r="H3171" i="4"/>
  <c r="I3171" i="4" s="1"/>
  <c r="K3170" i="4"/>
  <c r="J3170" i="4"/>
  <c r="H3170" i="4"/>
  <c r="I3170" i="4" s="1"/>
  <c r="K3169" i="4"/>
  <c r="J3169" i="4"/>
  <c r="H3169" i="4"/>
  <c r="K3168" i="4"/>
  <c r="J3168" i="4"/>
  <c r="H3168" i="4"/>
  <c r="I3168" i="4" s="1"/>
  <c r="K3167" i="4"/>
  <c r="J3167" i="4"/>
  <c r="H3167" i="4"/>
  <c r="I3167" i="4" s="1"/>
  <c r="K3166" i="4"/>
  <c r="J3166" i="4"/>
  <c r="H3166" i="4"/>
  <c r="I3166" i="4" s="1"/>
  <c r="K3165" i="4"/>
  <c r="J3165" i="4"/>
  <c r="H3165" i="4"/>
  <c r="K3164" i="4"/>
  <c r="J3164" i="4"/>
  <c r="H3164" i="4"/>
  <c r="I3164" i="4" s="1"/>
  <c r="K3163" i="4"/>
  <c r="J3163" i="4"/>
  <c r="H3163" i="4"/>
  <c r="I3163" i="4" s="1"/>
  <c r="K3162" i="4"/>
  <c r="J3162" i="4"/>
  <c r="H3162" i="4"/>
  <c r="I3162" i="4" s="1"/>
  <c r="K3161" i="4"/>
  <c r="J3161" i="4"/>
  <c r="H3161" i="4"/>
  <c r="K3160" i="4"/>
  <c r="J3160" i="4"/>
  <c r="H3160" i="4"/>
  <c r="I3160" i="4" s="1"/>
  <c r="K3159" i="4"/>
  <c r="J3159" i="4"/>
  <c r="H3159" i="4"/>
  <c r="I3159" i="4" s="1"/>
  <c r="K3158" i="4"/>
  <c r="J3158" i="4"/>
  <c r="H3158" i="4"/>
  <c r="K3157" i="4"/>
  <c r="J3157" i="4"/>
  <c r="H3157" i="4"/>
  <c r="I3157" i="4" s="1"/>
  <c r="K3156" i="4"/>
  <c r="J3156" i="4"/>
  <c r="H3156" i="4"/>
  <c r="I3156" i="4" s="1"/>
  <c r="K3155" i="4"/>
  <c r="J3155" i="4"/>
  <c r="H3155" i="4"/>
  <c r="I3155" i="4" s="1"/>
  <c r="K3154" i="4"/>
  <c r="J3154" i="4"/>
  <c r="H3154" i="4"/>
  <c r="I3154" i="4" s="1"/>
  <c r="K3153" i="4"/>
  <c r="J3153" i="4"/>
  <c r="H3153" i="4"/>
  <c r="I3153" i="4" s="1"/>
  <c r="K3152" i="4"/>
  <c r="J3152" i="4"/>
  <c r="H3152" i="4"/>
  <c r="I3152" i="4" s="1"/>
  <c r="K3151" i="4"/>
  <c r="J3151" i="4"/>
  <c r="H3151" i="4"/>
  <c r="I3151" i="4" s="1"/>
  <c r="K3150" i="4"/>
  <c r="J3150" i="4"/>
  <c r="H3150" i="4"/>
  <c r="I3150" i="4" s="1"/>
  <c r="K3149" i="4"/>
  <c r="J3149" i="4"/>
  <c r="H3149" i="4"/>
  <c r="K3148" i="4"/>
  <c r="J3148" i="4"/>
  <c r="H3148" i="4"/>
  <c r="I3148" i="4" s="1"/>
  <c r="K3147" i="4"/>
  <c r="J3147" i="4"/>
  <c r="H3147" i="4"/>
  <c r="I3147" i="4" s="1"/>
  <c r="K3146" i="4"/>
  <c r="J3146" i="4"/>
  <c r="H3146" i="4"/>
  <c r="I3146" i="4" s="1"/>
  <c r="K3145" i="4"/>
  <c r="J3145" i="4"/>
  <c r="H3145" i="4"/>
  <c r="K3144" i="4"/>
  <c r="J3144" i="4"/>
  <c r="H3144" i="4"/>
  <c r="I3144" i="4" s="1"/>
  <c r="K3143" i="4"/>
  <c r="J3143" i="4"/>
  <c r="H3143" i="4"/>
  <c r="I3143" i="4" s="1"/>
  <c r="K3142" i="4"/>
  <c r="J3142" i="4"/>
  <c r="H3142" i="4"/>
  <c r="I3142" i="4" s="1"/>
  <c r="K3141" i="4"/>
  <c r="J3141" i="4"/>
  <c r="H3141" i="4"/>
  <c r="I3141" i="4" s="1"/>
  <c r="K3140" i="4"/>
  <c r="J3140" i="4"/>
  <c r="H3140" i="4"/>
  <c r="I3140" i="4" s="1"/>
  <c r="K3139" i="4"/>
  <c r="J3139" i="4"/>
  <c r="H3139" i="4"/>
  <c r="I3139" i="4" s="1"/>
  <c r="K3138" i="4"/>
  <c r="J3138" i="4"/>
  <c r="H3138" i="4"/>
  <c r="I3138" i="4" s="1"/>
  <c r="K3137" i="4"/>
  <c r="J3137" i="4"/>
  <c r="H3137" i="4"/>
  <c r="K3136" i="4"/>
  <c r="J3136" i="4"/>
  <c r="H3136" i="4"/>
  <c r="I3136" i="4" s="1"/>
  <c r="K3135" i="4"/>
  <c r="J3135" i="4"/>
  <c r="H3135" i="4"/>
  <c r="I3135" i="4" s="1"/>
  <c r="K3134" i="4"/>
  <c r="J3134" i="4"/>
  <c r="H3134" i="4"/>
  <c r="K3133" i="4"/>
  <c r="J3133" i="4"/>
  <c r="H3133" i="4"/>
  <c r="K3132" i="4"/>
  <c r="J3132" i="4"/>
  <c r="H3132" i="4"/>
  <c r="I3132" i="4" s="1"/>
  <c r="K3131" i="4"/>
  <c r="J3131" i="4"/>
  <c r="H3131" i="4"/>
  <c r="I3131" i="4" s="1"/>
  <c r="K3130" i="4"/>
  <c r="J3130" i="4"/>
  <c r="H3130" i="4"/>
  <c r="I3130" i="4" s="1"/>
  <c r="K3129" i="4"/>
  <c r="J3129" i="4"/>
  <c r="H3129" i="4"/>
  <c r="I3129" i="4" s="1"/>
  <c r="K3128" i="4"/>
  <c r="J3128" i="4"/>
  <c r="H3128" i="4"/>
  <c r="I3128" i="4" s="1"/>
  <c r="K3127" i="4"/>
  <c r="J3127" i="4"/>
  <c r="H3127" i="4"/>
  <c r="I3127" i="4" s="1"/>
  <c r="K3126" i="4"/>
  <c r="J3126" i="4"/>
  <c r="H3126" i="4"/>
  <c r="I3126" i="4" s="1"/>
  <c r="K3125" i="4"/>
  <c r="J3125" i="4"/>
  <c r="H3125" i="4"/>
  <c r="K3124" i="4"/>
  <c r="J3124" i="4"/>
  <c r="H3124" i="4"/>
  <c r="I3124" i="4" s="1"/>
  <c r="K3123" i="4"/>
  <c r="J3123" i="4"/>
  <c r="H3123" i="4"/>
  <c r="I3123" i="4" s="1"/>
  <c r="K3122" i="4"/>
  <c r="J3122" i="4"/>
  <c r="H3122" i="4"/>
  <c r="K3121" i="4"/>
  <c r="J3121" i="4"/>
  <c r="H3121" i="4"/>
  <c r="K3120" i="4"/>
  <c r="J3120" i="4"/>
  <c r="H3120" i="4"/>
  <c r="I3120" i="4" s="1"/>
  <c r="K3119" i="4"/>
  <c r="J3119" i="4"/>
  <c r="H3119" i="4"/>
  <c r="K3118" i="4"/>
  <c r="J3118" i="4"/>
  <c r="H3118" i="4"/>
  <c r="K3117" i="4"/>
  <c r="J3117" i="4"/>
  <c r="L3117" i="4" s="1"/>
  <c r="H3117" i="4"/>
  <c r="I3117" i="4" s="1"/>
  <c r="K3116" i="4"/>
  <c r="J3116" i="4"/>
  <c r="H3116" i="4"/>
  <c r="I3116" i="4" s="1"/>
  <c r="K3115" i="4"/>
  <c r="J3115" i="4"/>
  <c r="H3115" i="4"/>
  <c r="I3115" i="4" s="1"/>
  <c r="K3114" i="4"/>
  <c r="J3114" i="4"/>
  <c r="H3114" i="4"/>
  <c r="I3114" i="4" s="1"/>
  <c r="K3113" i="4"/>
  <c r="J3113" i="4"/>
  <c r="H3113" i="4"/>
  <c r="K3112" i="4"/>
  <c r="J3112" i="4"/>
  <c r="H3112" i="4"/>
  <c r="I3112" i="4" s="1"/>
  <c r="K3111" i="4"/>
  <c r="J3111" i="4"/>
  <c r="H3111" i="4"/>
  <c r="I3111" i="4" s="1"/>
  <c r="K3110" i="4"/>
  <c r="J3110" i="4"/>
  <c r="H3110" i="4"/>
  <c r="I3110" i="4" s="1"/>
  <c r="K3109" i="4"/>
  <c r="J3109" i="4"/>
  <c r="H3109" i="4"/>
  <c r="I3109" i="4" s="1"/>
  <c r="K3108" i="4"/>
  <c r="J3108" i="4"/>
  <c r="H3108" i="4"/>
  <c r="I3108" i="4" s="1"/>
  <c r="K3107" i="4"/>
  <c r="J3107" i="4"/>
  <c r="H3107" i="4"/>
  <c r="I3107" i="4" s="1"/>
  <c r="K3106" i="4"/>
  <c r="J3106" i="4"/>
  <c r="H3106" i="4"/>
  <c r="K3105" i="4"/>
  <c r="J3105" i="4"/>
  <c r="H3105" i="4"/>
  <c r="I3105" i="4" s="1"/>
  <c r="K3104" i="4"/>
  <c r="J3104" i="4"/>
  <c r="H3104" i="4"/>
  <c r="I3104" i="4" s="1"/>
  <c r="K3103" i="4"/>
  <c r="J3103" i="4"/>
  <c r="H3103" i="4"/>
  <c r="I3103" i="4" s="1"/>
  <c r="K3102" i="4"/>
  <c r="J3102" i="4"/>
  <c r="H3102" i="4"/>
  <c r="I3102" i="4" s="1"/>
  <c r="K3101" i="4"/>
  <c r="J3101" i="4"/>
  <c r="H3101" i="4"/>
  <c r="K3100" i="4"/>
  <c r="J3100" i="4"/>
  <c r="H3100" i="4"/>
  <c r="I3100" i="4" s="1"/>
  <c r="K3099" i="4"/>
  <c r="J3099" i="4"/>
  <c r="H3099" i="4"/>
  <c r="I3099" i="4" s="1"/>
  <c r="K3098" i="4"/>
  <c r="J3098" i="4"/>
  <c r="H3098" i="4"/>
  <c r="K3097" i="4"/>
  <c r="J3097" i="4"/>
  <c r="H3097" i="4"/>
  <c r="K3096" i="4"/>
  <c r="J3096" i="4"/>
  <c r="H3096" i="4"/>
  <c r="K3095" i="4"/>
  <c r="J3095" i="4"/>
  <c r="H3095" i="4"/>
  <c r="K3094" i="4"/>
  <c r="J3094" i="4"/>
  <c r="H3094" i="4"/>
  <c r="I3094" i="4" s="1"/>
  <c r="K3093" i="4"/>
  <c r="J3093" i="4"/>
  <c r="H3093" i="4"/>
  <c r="I3093" i="4" s="1"/>
  <c r="K3092" i="4"/>
  <c r="J3092" i="4"/>
  <c r="H3092" i="4"/>
  <c r="I3092" i="4" s="1"/>
  <c r="K3091" i="4"/>
  <c r="J3091" i="4"/>
  <c r="H3091" i="4"/>
  <c r="I3091" i="4" s="1"/>
  <c r="K3090" i="4"/>
  <c r="J3090" i="4"/>
  <c r="H3090" i="4"/>
  <c r="I3090" i="4" s="1"/>
  <c r="K3089" i="4"/>
  <c r="J3089" i="4"/>
  <c r="H3089" i="4"/>
  <c r="K3088" i="4"/>
  <c r="J3088" i="4"/>
  <c r="H3088" i="4"/>
  <c r="I3088" i="4" s="1"/>
  <c r="K3087" i="4"/>
  <c r="J3087" i="4"/>
  <c r="H3087" i="4"/>
  <c r="I3087" i="4" s="1"/>
  <c r="K3086" i="4"/>
  <c r="J3086" i="4"/>
  <c r="H3086" i="4"/>
  <c r="K3085" i="4"/>
  <c r="J3085" i="4"/>
  <c r="H3085" i="4"/>
  <c r="K3084" i="4"/>
  <c r="J3084" i="4"/>
  <c r="H3084" i="4"/>
  <c r="I3084" i="4" s="1"/>
  <c r="K3083" i="4"/>
  <c r="J3083" i="4"/>
  <c r="H3083" i="4"/>
  <c r="I3083" i="4" s="1"/>
  <c r="K3082" i="4"/>
  <c r="J3082" i="4"/>
  <c r="H3082" i="4"/>
  <c r="I3082" i="4" s="1"/>
  <c r="K3081" i="4"/>
  <c r="J3081" i="4"/>
  <c r="H3081" i="4"/>
  <c r="K3080" i="4"/>
  <c r="J3080" i="4"/>
  <c r="H3080" i="4"/>
  <c r="I3080" i="4" s="1"/>
  <c r="K3079" i="4"/>
  <c r="J3079" i="4"/>
  <c r="H3079" i="4"/>
  <c r="I3079" i="4" s="1"/>
  <c r="K3078" i="4"/>
  <c r="J3078" i="4"/>
  <c r="H3078" i="4"/>
  <c r="I3078" i="4" s="1"/>
  <c r="K3077" i="4"/>
  <c r="J3077" i="4"/>
  <c r="H3077" i="4"/>
  <c r="K3076" i="4"/>
  <c r="J3076" i="4"/>
  <c r="H3076" i="4"/>
  <c r="I3076" i="4" s="1"/>
  <c r="K3075" i="4"/>
  <c r="J3075" i="4"/>
  <c r="H3075" i="4"/>
  <c r="I3075" i="4" s="1"/>
  <c r="K3074" i="4"/>
  <c r="J3074" i="4"/>
  <c r="H3074" i="4"/>
  <c r="K3073" i="4"/>
  <c r="J3073" i="4"/>
  <c r="H3073" i="4"/>
  <c r="I3073" i="4" s="1"/>
  <c r="K3072" i="4"/>
  <c r="J3072" i="4"/>
  <c r="H3072" i="4"/>
  <c r="I3072" i="4" s="1"/>
  <c r="K3071" i="4"/>
  <c r="J3071" i="4"/>
  <c r="H3071" i="4"/>
  <c r="I3071" i="4" s="1"/>
  <c r="K3070" i="4"/>
  <c r="J3070" i="4"/>
  <c r="H3070" i="4"/>
  <c r="I3070" i="4" s="1"/>
  <c r="K3069" i="4"/>
  <c r="J3069" i="4"/>
  <c r="L3069" i="4" s="1"/>
  <c r="H3069" i="4"/>
  <c r="I3069" i="4" s="1"/>
  <c r="K3068" i="4"/>
  <c r="J3068" i="4"/>
  <c r="H3068" i="4"/>
  <c r="I3068" i="4" s="1"/>
  <c r="K3067" i="4"/>
  <c r="J3067" i="4"/>
  <c r="H3067" i="4"/>
  <c r="I3067" i="4" s="1"/>
  <c r="K3066" i="4"/>
  <c r="J3066" i="4"/>
  <c r="H3066" i="4"/>
  <c r="I3066" i="4" s="1"/>
  <c r="K3065" i="4"/>
  <c r="J3065" i="4"/>
  <c r="H3065" i="4"/>
  <c r="K3064" i="4"/>
  <c r="J3064" i="4"/>
  <c r="H3064" i="4"/>
  <c r="I3064" i="4" s="1"/>
  <c r="K3063" i="4"/>
  <c r="J3063" i="4"/>
  <c r="H3063" i="4"/>
  <c r="I3063" i="4" s="1"/>
  <c r="K3062" i="4"/>
  <c r="J3062" i="4"/>
  <c r="H3062" i="4"/>
  <c r="I3062" i="4" s="1"/>
  <c r="K3061" i="4"/>
  <c r="J3061" i="4"/>
  <c r="H3061" i="4"/>
  <c r="K3060" i="4"/>
  <c r="J3060" i="4"/>
  <c r="H3060" i="4"/>
  <c r="K3059" i="4"/>
  <c r="J3059" i="4"/>
  <c r="H3059" i="4"/>
  <c r="I3059" i="4" s="1"/>
  <c r="K3058" i="4"/>
  <c r="J3058" i="4"/>
  <c r="H3058" i="4"/>
  <c r="I3058" i="4" s="1"/>
  <c r="K3057" i="4"/>
  <c r="J3057" i="4"/>
  <c r="H3057" i="4"/>
  <c r="I3057" i="4" s="1"/>
  <c r="K3056" i="4"/>
  <c r="J3056" i="4"/>
  <c r="H3056" i="4"/>
  <c r="I3056" i="4" s="1"/>
  <c r="K3055" i="4"/>
  <c r="J3055" i="4"/>
  <c r="H3055" i="4"/>
  <c r="I3055" i="4" s="1"/>
  <c r="K3054" i="4"/>
  <c r="J3054" i="4"/>
  <c r="H3054" i="4"/>
  <c r="I3054" i="4" s="1"/>
  <c r="K3053" i="4"/>
  <c r="J3053" i="4"/>
  <c r="H3053" i="4"/>
  <c r="K3052" i="4"/>
  <c r="J3052" i="4"/>
  <c r="H3052" i="4"/>
  <c r="I3052" i="4" s="1"/>
  <c r="K3051" i="4"/>
  <c r="J3051" i="4"/>
  <c r="H3051" i="4"/>
  <c r="I3051" i="4" s="1"/>
  <c r="K3050" i="4"/>
  <c r="J3050" i="4"/>
  <c r="H3050" i="4"/>
  <c r="I3050" i="4" s="1"/>
  <c r="K3049" i="4"/>
  <c r="J3049" i="4"/>
  <c r="H3049" i="4"/>
  <c r="K3048" i="4"/>
  <c r="J3048" i="4"/>
  <c r="H3048" i="4"/>
  <c r="I3048" i="4" s="1"/>
  <c r="K3047" i="4"/>
  <c r="J3047" i="4"/>
  <c r="H3047" i="4"/>
  <c r="I3047" i="4" s="1"/>
  <c r="K3046" i="4"/>
  <c r="J3046" i="4"/>
  <c r="H3046" i="4"/>
  <c r="I3046" i="4" s="1"/>
  <c r="K3045" i="4"/>
  <c r="J3045" i="4"/>
  <c r="H3045" i="4"/>
  <c r="I3045" i="4" s="1"/>
  <c r="K3044" i="4"/>
  <c r="J3044" i="4"/>
  <c r="H3044" i="4"/>
  <c r="I3044" i="4" s="1"/>
  <c r="K3043" i="4"/>
  <c r="J3043" i="4"/>
  <c r="H3043" i="4"/>
  <c r="I3043" i="4" s="1"/>
  <c r="K3042" i="4"/>
  <c r="J3042" i="4"/>
  <c r="H3042" i="4"/>
  <c r="I3042" i="4" s="1"/>
  <c r="K3041" i="4"/>
  <c r="J3041" i="4"/>
  <c r="H3041" i="4"/>
  <c r="K3040" i="4"/>
  <c r="J3040" i="4"/>
  <c r="H3040" i="4"/>
  <c r="I3040" i="4" s="1"/>
  <c r="K3039" i="4"/>
  <c r="J3039" i="4"/>
  <c r="H3039" i="4"/>
  <c r="I3039" i="4" s="1"/>
  <c r="K3038" i="4"/>
  <c r="J3038" i="4"/>
  <c r="H3038" i="4"/>
  <c r="K3037" i="4"/>
  <c r="J3037" i="4"/>
  <c r="H3037" i="4"/>
  <c r="I3037" i="4" s="1"/>
  <c r="K3036" i="4"/>
  <c r="J3036" i="4"/>
  <c r="H3036" i="4"/>
  <c r="I3036" i="4" s="1"/>
  <c r="K3035" i="4"/>
  <c r="J3035" i="4"/>
  <c r="H3035" i="4"/>
  <c r="I3035" i="4" s="1"/>
  <c r="K3034" i="4"/>
  <c r="J3034" i="4"/>
  <c r="H3034" i="4"/>
  <c r="I3034" i="4" s="1"/>
  <c r="K3033" i="4"/>
  <c r="J3033" i="4"/>
  <c r="H3033" i="4"/>
  <c r="I3033" i="4" s="1"/>
  <c r="K3032" i="4"/>
  <c r="J3032" i="4"/>
  <c r="H3032" i="4"/>
  <c r="I3032" i="4" s="1"/>
  <c r="K3031" i="4"/>
  <c r="J3031" i="4"/>
  <c r="H3031" i="4"/>
  <c r="I3031" i="4" s="1"/>
  <c r="K3030" i="4"/>
  <c r="J3030" i="4"/>
  <c r="H3030" i="4"/>
  <c r="I3030" i="4" s="1"/>
  <c r="K3029" i="4"/>
  <c r="J3029" i="4"/>
  <c r="H3029" i="4"/>
  <c r="K3028" i="4"/>
  <c r="J3028" i="4"/>
  <c r="H3028" i="4"/>
  <c r="I3028" i="4" s="1"/>
  <c r="K3027" i="4"/>
  <c r="J3027" i="4"/>
  <c r="H3027" i="4"/>
  <c r="I3027" i="4" s="1"/>
  <c r="K3026" i="4"/>
  <c r="J3026" i="4"/>
  <c r="H3026" i="4"/>
  <c r="K3025" i="4"/>
  <c r="J3025" i="4"/>
  <c r="H3025" i="4"/>
  <c r="K3024" i="4"/>
  <c r="J3024" i="4"/>
  <c r="H3024" i="4"/>
  <c r="I3024" i="4" s="1"/>
  <c r="K3023" i="4"/>
  <c r="J3023" i="4"/>
  <c r="H3023" i="4"/>
  <c r="I3023" i="4" s="1"/>
  <c r="K3022" i="4"/>
  <c r="J3022" i="4"/>
  <c r="H3022" i="4"/>
  <c r="K3021" i="4"/>
  <c r="J3021" i="4"/>
  <c r="H3021" i="4"/>
  <c r="I3021" i="4" s="1"/>
  <c r="K3020" i="4"/>
  <c r="J3020" i="4"/>
  <c r="H3020" i="4"/>
  <c r="I3020" i="4" s="1"/>
  <c r="K3019" i="4"/>
  <c r="J3019" i="4"/>
  <c r="H3019" i="4"/>
  <c r="I3019" i="4" s="1"/>
  <c r="K3018" i="4"/>
  <c r="J3018" i="4"/>
  <c r="H3018" i="4"/>
  <c r="I3018" i="4" s="1"/>
  <c r="K3017" i="4"/>
  <c r="J3017" i="4"/>
  <c r="H3017" i="4"/>
  <c r="K3016" i="4"/>
  <c r="J3016" i="4"/>
  <c r="H3016" i="4"/>
  <c r="I3016" i="4" s="1"/>
  <c r="K3015" i="4"/>
  <c r="J3015" i="4"/>
  <c r="H3015" i="4"/>
  <c r="I3015" i="4" s="1"/>
  <c r="K3014" i="4"/>
  <c r="J3014" i="4"/>
  <c r="H3014" i="4"/>
  <c r="I3014" i="4" s="1"/>
  <c r="K3013" i="4"/>
  <c r="J3013" i="4"/>
  <c r="H3013" i="4"/>
  <c r="I3013" i="4" s="1"/>
  <c r="K3012" i="4"/>
  <c r="J3012" i="4"/>
  <c r="H3012" i="4"/>
  <c r="I3012" i="4" s="1"/>
  <c r="K3011" i="4"/>
  <c r="J3011" i="4"/>
  <c r="H3011" i="4"/>
  <c r="I3011" i="4" s="1"/>
  <c r="K3010" i="4"/>
  <c r="J3010" i="4"/>
  <c r="H3010" i="4"/>
  <c r="I3010" i="4" s="1"/>
  <c r="K3009" i="4"/>
  <c r="J3009" i="4"/>
  <c r="H3009" i="4"/>
  <c r="I3009" i="4" s="1"/>
  <c r="K3008" i="4"/>
  <c r="J3008" i="4"/>
  <c r="H3008" i="4"/>
  <c r="I3008" i="4" s="1"/>
  <c r="K3007" i="4"/>
  <c r="J3007" i="4"/>
  <c r="H3007" i="4"/>
  <c r="I3007" i="4" s="1"/>
  <c r="K3006" i="4"/>
  <c r="J3006" i="4"/>
  <c r="H3006" i="4"/>
  <c r="I3006" i="4" s="1"/>
  <c r="K3005" i="4"/>
  <c r="J3005" i="4"/>
  <c r="H3005" i="4"/>
  <c r="K3004" i="4"/>
  <c r="J3004" i="4"/>
  <c r="H3004" i="4"/>
  <c r="I3004" i="4" s="1"/>
  <c r="K3003" i="4"/>
  <c r="J3003" i="4"/>
  <c r="H3003" i="4"/>
  <c r="I3003" i="4" s="1"/>
  <c r="K3002" i="4"/>
  <c r="J3002" i="4"/>
  <c r="H3002" i="4"/>
  <c r="K3001" i="4"/>
  <c r="J3001" i="4"/>
  <c r="H3001" i="4"/>
  <c r="K3000" i="4"/>
  <c r="J3000" i="4"/>
  <c r="H3000" i="4"/>
  <c r="I3000" i="4" s="1"/>
  <c r="K2999" i="4"/>
  <c r="J2999" i="4"/>
  <c r="H2999" i="4"/>
  <c r="I2999" i="4" s="1"/>
  <c r="K2998" i="4"/>
  <c r="J2998" i="4"/>
  <c r="H2998" i="4"/>
  <c r="I2998" i="4" s="1"/>
  <c r="K2997" i="4"/>
  <c r="J2997" i="4"/>
  <c r="H2997" i="4"/>
  <c r="I2997" i="4" s="1"/>
  <c r="K2996" i="4"/>
  <c r="J2996" i="4"/>
  <c r="H2996" i="4"/>
  <c r="I2996" i="4" s="1"/>
  <c r="K2995" i="4"/>
  <c r="J2995" i="4"/>
  <c r="H2995" i="4"/>
  <c r="I2995" i="4" s="1"/>
  <c r="K2994" i="4"/>
  <c r="J2994" i="4"/>
  <c r="H2994" i="4"/>
  <c r="I2994" i="4" s="1"/>
  <c r="K2993" i="4"/>
  <c r="J2993" i="4"/>
  <c r="H2993" i="4"/>
  <c r="K2992" i="4"/>
  <c r="J2992" i="4"/>
  <c r="H2992" i="4"/>
  <c r="I2992" i="4" s="1"/>
  <c r="K2991" i="4"/>
  <c r="J2991" i="4"/>
  <c r="H2991" i="4"/>
  <c r="I2991" i="4" s="1"/>
  <c r="K2990" i="4"/>
  <c r="J2990" i="4"/>
  <c r="H2990" i="4"/>
  <c r="K2989" i="4"/>
  <c r="J2989" i="4"/>
  <c r="I2989" i="4"/>
  <c r="H2989" i="4"/>
  <c r="K2988" i="4"/>
  <c r="J2988" i="4"/>
  <c r="H2988" i="4"/>
  <c r="I2988" i="4" s="1"/>
  <c r="K2987" i="4"/>
  <c r="J2987" i="4"/>
  <c r="H2987" i="4"/>
  <c r="I2987" i="4" s="1"/>
  <c r="K2986" i="4"/>
  <c r="J2986" i="4"/>
  <c r="H2986" i="4"/>
  <c r="K2985" i="4"/>
  <c r="J2985" i="4"/>
  <c r="H2985" i="4"/>
  <c r="I2985" i="4" s="1"/>
  <c r="K2984" i="4"/>
  <c r="J2984" i="4"/>
  <c r="H2984" i="4"/>
  <c r="I2984" i="4" s="1"/>
  <c r="K2983" i="4"/>
  <c r="J2983" i="4"/>
  <c r="H2983" i="4"/>
  <c r="I2983" i="4" s="1"/>
  <c r="K2982" i="4"/>
  <c r="J2982" i="4"/>
  <c r="H2982" i="4"/>
  <c r="I2982" i="4" s="1"/>
  <c r="K2981" i="4"/>
  <c r="J2981" i="4"/>
  <c r="H2981" i="4"/>
  <c r="K2980" i="4"/>
  <c r="J2980" i="4"/>
  <c r="H2980" i="4"/>
  <c r="I2980" i="4" s="1"/>
  <c r="K2979" i="4"/>
  <c r="J2979" i="4"/>
  <c r="H2979" i="4"/>
  <c r="I2979" i="4" s="1"/>
  <c r="K2978" i="4"/>
  <c r="J2978" i="4"/>
  <c r="H2978" i="4"/>
  <c r="I2978" i="4" s="1"/>
  <c r="K2977" i="4"/>
  <c r="J2977" i="4"/>
  <c r="H2977" i="4"/>
  <c r="K2976" i="4"/>
  <c r="J2976" i="4"/>
  <c r="H2976" i="4"/>
  <c r="K2975" i="4"/>
  <c r="J2975" i="4"/>
  <c r="H2975" i="4"/>
  <c r="I2975" i="4" s="1"/>
  <c r="K2974" i="4"/>
  <c r="J2974" i="4"/>
  <c r="H2974" i="4"/>
  <c r="I2974" i="4" s="1"/>
  <c r="K2973" i="4"/>
  <c r="J2973" i="4"/>
  <c r="H2973" i="4"/>
  <c r="I2973" i="4" s="1"/>
  <c r="K2972" i="4"/>
  <c r="J2972" i="4"/>
  <c r="H2972" i="4"/>
  <c r="I2972" i="4" s="1"/>
  <c r="K2971" i="4"/>
  <c r="J2971" i="4"/>
  <c r="H2971" i="4"/>
  <c r="I2971" i="4" s="1"/>
  <c r="K2970" i="4"/>
  <c r="J2970" i="4"/>
  <c r="H2970" i="4"/>
  <c r="I2970" i="4" s="1"/>
  <c r="K2969" i="4"/>
  <c r="J2969" i="4"/>
  <c r="H2969" i="4"/>
  <c r="K2968" i="4"/>
  <c r="J2968" i="4"/>
  <c r="H2968" i="4"/>
  <c r="I2968" i="4" s="1"/>
  <c r="K2967" i="4"/>
  <c r="J2967" i="4"/>
  <c r="H2967" i="4"/>
  <c r="I2967" i="4" s="1"/>
  <c r="K2966" i="4"/>
  <c r="J2966" i="4"/>
  <c r="H2966" i="4"/>
  <c r="K2965" i="4"/>
  <c r="J2965" i="4"/>
  <c r="H2965" i="4"/>
  <c r="K2964" i="4"/>
  <c r="J2964" i="4"/>
  <c r="H2964" i="4"/>
  <c r="K2963" i="4"/>
  <c r="J2963" i="4"/>
  <c r="H2963" i="4"/>
  <c r="I2963" i="4" s="1"/>
  <c r="K2962" i="4"/>
  <c r="J2962" i="4"/>
  <c r="H2962" i="4"/>
  <c r="I2962" i="4" s="1"/>
  <c r="K2961" i="4"/>
  <c r="J2961" i="4"/>
  <c r="H2961" i="4"/>
  <c r="K2960" i="4"/>
  <c r="J2960" i="4"/>
  <c r="H2960" i="4"/>
  <c r="K2959" i="4"/>
  <c r="J2959" i="4"/>
  <c r="H2959" i="4"/>
  <c r="I2959" i="4" s="1"/>
  <c r="K2958" i="4"/>
  <c r="J2958" i="4"/>
  <c r="H2958" i="4"/>
  <c r="I2958" i="4" s="1"/>
  <c r="K2957" i="4"/>
  <c r="J2957" i="4"/>
  <c r="H2957" i="4"/>
  <c r="K2956" i="4"/>
  <c r="J2956" i="4"/>
  <c r="H2956" i="4"/>
  <c r="I2956" i="4" s="1"/>
  <c r="K2955" i="4"/>
  <c r="J2955" i="4"/>
  <c r="H2955" i="4"/>
  <c r="I2955" i="4" s="1"/>
  <c r="K2954" i="4"/>
  <c r="J2954" i="4"/>
  <c r="H2954" i="4"/>
  <c r="K2953" i="4"/>
  <c r="J2953" i="4"/>
  <c r="H2953" i="4"/>
  <c r="K2952" i="4"/>
  <c r="J2952" i="4"/>
  <c r="H2952" i="4"/>
  <c r="I2952" i="4" s="1"/>
  <c r="K2951" i="4"/>
  <c r="J2951" i="4"/>
  <c r="H2951" i="4"/>
  <c r="I2951" i="4" s="1"/>
  <c r="K2950" i="4"/>
  <c r="J2950" i="4"/>
  <c r="H2950" i="4"/>
  <c r="I2950" i="4" s="1"/>
  <c r="K2949" i="4"/>
  <c r="J2949" i="4"/>
  <c r="H2949" i="4"/>
  <c r="I2949" i="4" s="1"/>
  <c r="K2948" i="4"/>
  <c r="J2948" i="4"/>
  <c r="H2948" i="4"/>
  <c r="I2948" i="4" s="1"/>
  <c r="K2947" i="4"/>
  <c r="J2947" i="4"/>
  <c r="H2947" i="4"/>
  <c r="I2947" i="4" s="1"/>
  <c r="K2946" i="4"/>
  <c r="J2946" i="4"/>
  <c r="H2946" i="4"/>
  <c r="I2946" i="4" s="1"/>
  <c r="K2945" i="4"/>
  <c r="J2945" i="4"/>
  <c r="H2945" i="4"/>
  <c r="K2944" i="4"/>
  <c r="J2944" i="4"/>
  <c r="H2944" i="4"/>
  <c r="I2944" i="4" s="1"/>
  <c r="K2943" i="4"/>
  <c r="J2943" i="4"/>
  <c r="H2943" i="4"/>
  <c r="I2943" i="4" s="1"/>
  <c r="K2942" i="4"/>
  <c r="J2942" i="4"/>
  <c r="H2942" i="4"/>
  <c r="K2941" i="4"/>
  <c r="J2941" i="4"/>
  <c r="H2941" i="4"/>
  <c r="K2940" i="4"/>
  <c r="J2940" i="4"/>
  <c r="H2940" i="4"/>
  <c r="I2940" i="4" s="1"/>
  <c r="K2939" i="4"/>
  <c r="J2939" i="4"/>
  <c r="H2939" i="4"/>
  <c r="I2939" i="4" s="1"/>
  <c r="K2938" i="4"/>
  <c r="J2938" i="4"/>
  <c r="H2938" i="4"/>
  <c r="K2937" i="4"/>
  <c r="J2937" i="4"/>
  <c r="H2937" i="4"/>
  <c r="I2937" i="4" s="1"/>
  <c r="K2936" i="4"/>
  <c r="J2936" i="4"/>
  <c r="H2936" i="4"/>
  <c r="I2936" i="4" s="1"/>
  <c r="K2935" i="4"/>
  <c r="J2935" i="4"/>
  <c r="H2935" i="4"/>
  <c r="I2935" i="4" s="1"/>
  <c r="K2934" i="4"/>
  <c r="J2934" i="4"/>
  <c r="H2934" i="4"/>
  <c r="I2934" i="4" s="1"/>
  <c r="K2933" i="4"/>
  <c r="J2933" i="4"/>
  <c r="H2933" i="4"/>
  <c r="K2932" i="4"/>
  <c r="J2932" i="4"/>
  <c r="H2932" i="4"/>
  <c r="I2932" i="4" s="1"/>
  <c r="K2931" i="4"/>
  <c r="J2931" i="4"/>
  <c r="H2931" i="4"/>
  <c r="I2931" i="4" s="1"/>
  <c r="K2930" i="4"/>
  <c r="J2930" i="4"/>
  <c r="H2930" i="4"/>
  <c r="K2929" i="4"/>
  <c r="J2929" i="4"/>
  <c r="H2929" i="4"/>
  <c r="K2928" i="4"/>
  <c r="J2928" i="4"/>
  <c r="H2928" i="4"/>
  <c r="K2927" i="4"/>
  <c r="J2927" i="4"/>
  <c r="H2927" i="4"/>
  <c r="I2927" i="4" s="1"/>
  <c r="K2926" i="4"/>
  <c r="J2926" i="4"/>
  <c r="H2926" i="4"/>
  <c r="I2926" i="4" s="1"/>
  <c r="K2925" i="4"/>
  <c r="J2925" i="4"/>
  <c r="H2925" i="4"/>
  <c r="I2925" i="4" s="1"/>
  <c r="K2924" i="4"/>
  <c r="J2924" i="4"/>
  <c r="H2924" i="4"/>
  <c r="I2924" i="4" s="1"/>
  <c r="K2923" i="4"/>
  <c r="J2923" i="4"/>
  <c r="H2923" i="4"/>
  <c r="I2923" i="4" s="1"/>
  <c r="K2922" i="4"/>
  <c r="J2922" i="4"/>
  <c r="H2922" i="4"/>
  <c r="I2922" i="4" s="1"/>
  <c r="K2921" i="4"/>
  <c r="J2921" i="4"/>
  <c r="H2921" i="4"/>
  <c r="K2920" i="4"/>
  <c r="J2920" i="4"/>
  <c r="H2920" i="4"/>
  <c r="I2920" i="4" s="1"/>
  <c r="K2919" i="4"/>
  <c r="J2919" i="4"/>
  <c r="H2919" i="4"/>
  <c r="I2919" i="4" s="1"/>
  <c r="K2918" i="4"/>
  <c r="J2918" i="4"/>
  <c r="H2918" i="4"/>
  <c r="K2917" i="4"/>
  <c r="J2917" i="4"/>
  <c r="H2917" i="4"/>
  <c r="K2916" i="4"/>
  <c r="J2916" i="4"/>
  <c r="I2916" i="4"/>
  <c r="H2916" i="4"/>
  <c r="K2915" i="4"/>
  <c r="J2915" i="4"/>
  <c r="H2915" i="4"/>
  <c r="I2915" i="4" s="1"/>
  <c r="K2914" i="4"/>
  <c r="J2914" i="4"/>
  <c r="H2914" i="4"/>
  <c r="I2914" i="4" s="1"/>
  <c r="K2913" i="4"/>
  <c r="J2913" i="4"/>
  <c r="H2913" i="4"/>
  <c r="I2913" i="4" s="1"/>
  <c r="K2912" i="4"/>
  <c r="J2912" i="4"/>
  <c r="H2912" i="4"/>
  <c r="I2912" i="4" s="1"/>
  <c r="K2911" i="4"/>
  <c r="J2911" i="4"/>
  <c r="H2911" i="4"/>
  <c r="I2911" i="4" s="1"/>
  <c r="K2910" i="4"/>
  <c r="J2910" i="4"/>
  <c r="H2910" i="4"/>
  <c r="I2910" i="4" s="1"/>
  <c r="K2909" i="4"/>
  <c r="J2909" i="4"/>
  <c r="H2909" i="4"/>
  <c r="K2908" i="4"/>
  <c r="J2908" i="4"/>
  <c r="H2908" i="4"/>
  <c r="I2908" i="4" s="1"/>
  <c r="K2907" i="4"/>
  <c r="J2907" i="4"/>
  <c r="H2907" i="4"/>
  <c r="I2907" i="4" s="1"/>
  <c r="K2906" i="4"/>
  <c r="J2906" i="4"/>
  <c r="H2906" i="4"/>
  <c r="K2905" i="4"/>
  <c r="J2905" i="4"/>
  <c r="H2905" i="4"/>
  <c r="K2904" i="4"/>
  <c r="J2904" i="4"/>
  <c r="H2904" i="4"/>
  <c r="I2904" i="4" s="1"/>
  <c r="K2903" i="4"/>
  <c r="J2903" i="4"/>
  <c r="H2903" i="4"/>
  <c r="K2902" i="4"/>
  <c r="J2902" i="4"/>
  <c r="H2902" i="4"/>
  <c r="I2902" i="4" s="1"/>
  <c r="K2901" i="4"/>
  <c r="J2901" i="4"/>
  <c r="H2901" i="4"/>
  <c r="I2901" i="4" s="1"/>
  <c r="K2900" i="4"/>
  <c r="J2900" i="4"/>
  <c r="H2900" i="4"/>
  <c r="I2900" i="4" s="1"/>
  <c r="K2899" i="4"/>
  <c r="J2899" i="4"/>
  <c r="H2899" i="4"/>
  <c r="I2899" i="4" s="1"/>
  <c r="K2898" i="4"/>
  <c r="J2898" i="4"/>
  <c r="H2898" i="4"/>
  <c r="I2898" i="4" s="1"/>
  <c r="K2897" i="4"/>
  <c r="J2897" i="4"/>
  <c r="H2897" i="4"/>
  <c r="K2896" i="4"/>
  <c r="J2896" i="4"/>
  <c r="H2896" i="4"/>
  <c r="I2896" i="4" s="1"/>
  <c r="K2895" i="4"/>
  <c r="J2895" i="4"/>
  <c r="H2895" i="4"/>
  <c r="I2895" i="4" s="1"/>
  <c r="K2894" i="4"/>
  <c r="J2894" i="4"/>
  <c r="H2894" i="4"/>
  <c r="K2893" i="4"/>
  <c r="J2893" i="4"/>
  <c r="H2893" i="4"/>
  <c r="K2892" i="4"/>
  <c r="J2892" i="4"/>
  <c r="H2892" i="4"/>
  <c r="I2892" i="4" s="1"/>
  <c r="K2891" i="4"/>
  <c r="J2891" i="4"/>
  <c r="H2891" i="4"/>
  <c r="I2891" i="4" s="1"/>
  <c r="K2890" i="4"/>
  <c r="J2890" i="4"/>
  <c r="H2890" i="4"/>
  <c r="K2889" i="4"/>
  <c r="J2889" i="4"/>
  <c r="H2889" i="4"/>
  <c r="I2889" i="4" s="1"/>
  <c r="K2888" i="4"/>
  <c r="J2888" i="4"/>
  <c r="L2888" i="4" s="1"/>
  <c r="H2888" i="4"/>
  <c r="I2888" i="4" s="1"/>
  <c r="K2887" i="4"/>
  <c r="J2887" i="4"/>
  <c r="H2887" i="4"/>
  <c r="I2887" i="4" s="1"/>
  <c r="K2886" i="4"/>
  <c r="J2886" i="4"/>
  <c r="H2886" i="4"/>
  <c r="I2886" i="4" s="1"/>
  <c r="K2885" i="4"/>
  <c r="J2885" i="4"/>
  <c r="H2885" i="4"/>
  <c r="K2884" i="4"/>
  <c r="J2884" i="4"/>
  <c r="H2884" i="4"/>
  <c r="I2884" i="4" s="1"/>
  <c r="K2883" i="4"/>
  <c r="J2883" i="4"/>
  <c r="H2883" i="4"/>
  <c r="I2883" i="4" s="1"/>
  <c r="K2882" i="4"/>
  <c r="J2882" i="4"/>
  <c r="H2882" i="4"/>
  <c r="K2881" i="4"/>
  <c r="J2881" i="4"/>
  <c r="H2881" i="4"/>
  <c r="K2880" i="4"/>
  <c r="J2880" i="4"/>
  <c r="H2880" i="4"/>
  <c r="I2880" i="4" s="1"/>
  <c r="K2879" i="4"/>
  <c r="J2879" i="4"/>
  <c r="H2879" i="4"/>
  <c r="I2879" i="4" s="1"/>
  <c r="K2878" i="4"/>
  <c r="J2878" i="4"/>
  <c r="H2878" i="4"/>
  <c r="I2878" i="4" s="1"/>
  <c r="K2877" i="4"/>
  <c r="J2877" i="4"/>
  <c r="H2877" i="4"/>
  <c r="I2877" i="4" s="1"/>
  <c r="K2876" i="4"/>
  <c r="J2876" i="4"/>
  <c r="L2876" i="4" s="1"/>
  <c r="H2876" i="4"/>
  <c r="I2876" i="4" s="1"/>
  <c r="K2875" i="4"/>
  <c r="J2875" i="4"/>
  <c r="H2875" i="4"/>
  <c r="I2875" i="4" s="1"/>
  <c r="K2874" i="4"/>
  <c r="J2874" i="4"/>
  <c r="H2874" i="4"/>
  <c r="I2874" i="4" s="1"/>
  <c r="K2873" i="4"/>
  <c r="J2873" i="4"/>
  <c r="H2873" i="4"/>
  <c r="K2872" i="4"/>
  <c r="J2872" i="4"/>
  <c r="H2872" i="4"/>
  <c r="I2872" i="4" s="1"/>
  <c r="K2871" i="4"/>
  <c r="J2871" i="4"/>
  <c r="H2871" i="4"/>
  <c r="I2871" i="4" s="1"/>
  <c r="K2870" i="4"/>
  <c r="J2870" i="4"/>
  <c r="H2870" i="4"/>
  <c r="K2869" i="4"/>
  <c r="J2869" i="4"/>
  <c r="H2869" i="4"/>
  <c r="I2869" i="4" s="1"/>
  <c r="K2868" i="4"/>
  <c r="J2868" i="4"/>
  <c r="H2868" i="4"/>
  <c r="K2867" i="4"/>
  <c r="J2867" i="4"/>
  <c r="H2867" i="4"/>
  <c r="K2866" i="4"/>
  <c r="J2866" i="4"/>
  <c r="H2866" i="4"/>
  <c r="I2866" i="4" s="1"/>
  <c r="K2865" i="4"/>
  <c r="J2865" i="4"/>
  <c r="H2865" i="4"/>
  <c r="I2865" i="4" s="1"/>
  <c r="K2864" i="4"/>
  <c r="J2864" i="4"/>
  <c r="H2864" i="4"/>
  <c r="I2864" i="4" s="1"/>
  <c r="K2863" i="4"/>
  <c r="J2863" i="4"/>
  <c r="H2863" i="4"/>
  <c r="I2863" i="4" s="1"/>
  <c r="K2862" i="4"/>
  <c r="J2862" i="4"/>
  <c r="H2862" i="4"/>
  <c r="I2862" i="4" s="1"/>
  <c r="K2861" i="4"/>
  <c r="J2861" i="4"/>
  <c r="H2861" i="4"/>
  <c r="K2860" i="4"/>
  <c r="J2860" i="4"/>
  <c r="H2860" i="4"/>
  <c r="I2860" i="4" s="1"/>
  <c r="K2859" i="4"/>
  <c r="J2859" i="4"/>
  <c r="H2859" i="4"/>
  <c r="I2859" i="4" s="1"/>
  <c r="K2858" i="4"/>
  <c r="J2858" i="4"/>
  <c r="H2858" i="4"/>
  <c r="K2857" i="4"/>
  <c r="J2857" i="4"/>
  <c r="H2857" i="4"/>
  <c r="I2857" i="4" s="1"/>
  <c r="K2856" i="4"/>
  <c r="J2856" i="4"/>
  <c r="H2856" i="4"/>
  <c r="I2856" i="4" s="1"/>
  <c r="K2855" i="4"/>
  <c r="J2855" i="4"/>
  <c r="H2855" i="4"/>
  <c r="I2855" i="4" s="1"/>
  <c r="K2854" i="4"/>
  <c r="J2854" i="4"/>
  <c r="L2854" i="4" s="1"/>
  <c r="H2854" i="4"/>
  <c r="I2854" i="4" s="1"/>
  <c r="K2853" i="4"/>
  <c r="J2853" i="4"/>
  <c r="H2853" i="4"/>
  <c r="I2853" i="4" s="1"/>
  <c r="K2852" i="4"/>
  <c r="J2852" i="4"/>
  <c r="H2852" i="4"/>
  <c r="I2852" i="4" s="1"/>
  <c r="K2851" i="4"/>
  <c r="J2851" i="4"/>
  <c r="H2851" i="4"/>
  <c r="I2851" i="4" s="1"/>
  <c r="K2850" i="4"/>
  <c r="J2850" i="4"/>
  <c r="H2850" i="4"/>
  <c r="I2850" i="4" s="1"/>
  <c r="K2849" i="4"/>
  <c r="J2849" i="4"/>
  <c r="H2849" i="4"/>
  <c r="I2849" i="4" s="1"/>
  <c r="K2848" i="4"/>
  <c r="J2848" i="4"/>
  <c r="H2848" i="4"/>
  <c r="I2848" i="4" s="1"/>
  <c r="K2847" i="4"/>
  <c r="J2847" i="4"/>
  <c r="H2847" i="4"/>
  <c r="I2847" i="4" s="1"/>
  <c r="K2846" i="4"/>
  <c r="J2846" i="4"/>
  <c r="H2846" i="4"/>
  <c r="I2846" i="4" s="1"/>
  <c r="K2845" i="4"/>
  <c r="J2845" i="4"/>
  <c r="H2845" i="4"/>
  <c r="K2844" i="4"/>
  <c r="J2844" i="4"/>
  <c r="H2844" i="4"/>
  <c r="K2843" i="4"/>
  <c r="J2843" i="4"/>
  <c r="H2843" i="4"/>
  <c r="I2843" i="4" s="1"/>
  <c r="K2842" i="4"/>
  <c r="J2842" i="4"/>
  <c r="H2842" i="4"/>
  <c r="I2842" i="4" s="1"/>
  <c r="K2841" i="4"/>
  <c r="J2841" i="4"/>
  <c r="H2841" i="4"/>
  <c r="I2841" i="4" s="1"/>
  <c r="K2840" i="4"/>
  <c r="J2840" i="4"/>
  <c r="H2840" i="4"/>
  <c r="I2840" i="4" s="1"/>
  <c r="K2839" i="4"/>
  <c r="J2839" i="4"/>
  <c r="H2839" i="4"/>
  <c r="K2838" i="4"/>
  <c r="J2838" i="4"/>
  <c r="H2838" i="4"/>
  <c r="I2838" i="4" s="1"/>
  <c r="K2837" i="4"/>
  <c r="J2837" i="4"/>
  <c r="H2837" i="4"/>
  <c r="I2837" i="4" s="1"/>
  <c r="K2836" i="4"/>
  <c r="J2836" i="4"/>
  <c r="H2836" i="4"/>
  <c r="I2836" i="4" s="1"/>
  <c r="K2835" i="4"/>
  <c r="J2835" i="4"/>
  <c r="H2835" i="4"/>
  <c r="I2835" i="4" s="1"/>
  <c r="K2834" i="4"/>
  <c r="J2834" i="4"/>
  <c r="H2834" i="4"/>
  <c r="K2833" i="4"/>
  <c r="J2833" i="4"/>
  <c r="H2833" i="4"/>
  <c r="I2833" i="4" s="1"/>
  <c r="K2832" i="4"/>
  <c r="J2832" i="4"/>
  <c r="H2832" i="4"/>
  <c r="I2832" i="4" s="1"/>
  <c r="K2831" i="4"/>
  <c r="J2831" i="4"/>
  <c r="H2831" i="4"/>
  <c r="I2831" i="4" s="1"/>
  <c r="K2830" i="4"/>
  <c r="J2830" i="4"/>
  <c r="H2830" i="4"/>
  <c r="I2830" i="4" s="1"/>
  <c r="K2829" i="4"/>
  <c r="J2829" i="4"/>
  <c r="H2829" i="4"/>
  <c r="I2829" i="4" s="1"/>
  <c r="K2828" i="4"/>
  <c r="J2828" i="4"/>
  <c r="H2828" i="4"/>
  <c r="I2828" i="4" s="1"/>
  <c r="K2827" i="4"/>
  <c r="J2827" i="4"/>
  <c r="L2827" i="4" s="1"/>
  <c r="H2827" i="4"/>
  <c r="I2827" i="4" s="1"/>
  <c r="K2826" i="4"/>
  <c r="J2826" i="4"/>
  <c r="H2826" i="4"/>
  <c r="I2826" i="4" s="1"/>
  <c r="K2825" i="4"/>
  <c r="J2825" i="4"/>
  <c r="H2825" i="4"/>
  <c r="I2825" i="4" s="1"/>
  <c r="K2824" i="4"/>
  <c r="J2824" i="4"/>
  <c r="H2824" i="4"/>
  <c r="I2824" i="4" s="1"/>
  <c r="K2823" i="4"/>
  <c r="J2823" i="4"/>
  <c r="H2823" i="4"/>
  <c r="I2823" i="4" s="1"/>
  <c r="K2822" i="4"/>
  <c r="J2822" i="4"/>
  <c r="H2822" i="4"/>
  <c r="K2821" i="4"/>
  <c r="J2821" i="4"/>
  <c r="H2821" i="4"/>
  <c r="I2821" i="4" s="1"/>
  <c r="K2820" i="4"/>
  <c r="J2820" i="4"/>
  <c r="H2820" i="4"/>
  <c r="I2820" i="4" s="1"/>
  <c r="K2819" i="4"/>
  <c r="J2819" i="4"/>
  <c r="H2819" i="4"/>
  <c r="I2819" i="4" s="1"/>
  <c r="K2818" i="4"/>
  <c r="J2818" i="4"/>
  <c r="L2818" i="4" s="1"/>
  <c r="H2818" i="4"/>
  <c r="I2818" i="4" s="1"/>
  <c r="K2817" i="4"/>
  <c r="J2817" i="4"/>
  <c r="H2817" i="4"/>
  <c r="I2817" i="4" s="1"/>
  <c r="K2816" i="4"/>
  <c r="J2816" i="4"/>
  <c r="H2816" i="4"/>
  <c r="I2816" i="4" s="1"/>
  <c r="K2815" i="4"/>
  <c r="J2815" i="4"/>
  <c r="H2815" i="4"/>
  <c r="I2815" i="4" s="1"/>
  <c r="K2814" i="4"/>
  <c r="J2814" i="4"/>
  <c r="H2814" i="4"/>
  <c r="I2814" i="4" s="1"/>
  <c r="K2813" i="4"/>
  <c r="J2813" i="4"/>
  <c r="H2813" i="4"/>
  <c r="I2813" i="4" s="1"/>
  <c r="K2812" i="4"/>
  <c r="J2812" i="4"/>
  <c r="H2812" i="4"/>
  <c r="I2812" i="4" s="1"/>
  <c r="K2811" i="4"/>
  <c r="J2811" i="4"/>
  <c r="H2811" i="4"/>
  <c r="I2811" i="4" s="1"/>
  <c r="K2810" i="4"/>
  <c r="J2810" i="4"/>
  <c r="H2810" i="4"/>
  <c r="K2809" i="4"/>
  <c r="J2809" i="4"/>
  <c r="H2809" i="4"/>
  <c r="I2809" i="4" s="1"/>
  <c r="K2808" i="4"/>
  <c r="J2808" i="4"/>
  <c r="H2808" i="4"/>
  <c r="I2808" i="4" s="1"/>
  <c r="K2807" i="4"/>
  <c r="J2807" i="4"/>
  <c r="H2807" i="4"/>
  <c r="I2807" i="4" s="1"/>
  <c r="K2806" i="4"/>
  <c r="J2806" i="4"/>
  <c r="H2806" i="4"/>
  <c r="I2806" i="4" s="1"/>
  <c r="K2805" i="4"/>
  <c r="J2805" i="4"/>
  <c r="H2805" i="4"/>
  <c r="I2805" i="4" s="1"/>
  <c r="K2804" i="4"/>
  <c r="J2804" i="4"/>
  <c r="H2804" i="4"/>
  <c r="I2804" i="4" s="1"/>
  <c r="K2803" i="4"/>
  <c r="J2803" i="4"/>
  <c r="H2803" i="4"/>
  <c r="K2802" i="4"/>
  <c r="J2802" i="4"/>
  <c r="H2802" i="4"/>
  <c r="I2802" i="4" s="1"/>
  <c r="K2801" i="4"/>
  <c r="J2801" i="4"/>
  <c r="H2801" i="4"/>
  <c r="I2801" i="4" s="1"/>
  <c r="K2800" i="4"/>
  <c r="J2800" i="4"/>
  <c r="H2800" i="4"/>
  <c r="I2800" i="4" s="1"/>
  <c r="K2799" i="4"/>
  <c r="J2799" i="4"/>
  <c r="H2799" i="4"/>
  <c r="I2799" i="4" s="1"/>
  <c r="K2798" i="4"/>
  <c r="J2798" i="4"/>
  <c r="H2798" i="4"/>
  <c r="K2797" i="4"/>
  <c r="J2797" i="4"/>
  <c r="H2797" i="4"/>
  <c r="I2797" i="4" s="1"/>
  <c r="K2796" i="4"/>
  <c r="J2796" i="4"/>
  <c r="H2796" i="4"/>
  <c r="K2795" i="4"/>
  <c r="J2795" i="4"/>
  <c r="H2795" i="4"/>
  <c r="I2795" i="4" s="1"/>
  <c r="K2794" i="4"/>
  <c r="J2794" i="4"/>
  <c r="I2794" i="4"/>
  <c r="H2794" i="4"/>
  <c r="K2793" i="4"/>
  <c r="J2793" i="4"/>
  <c r="H2793" i="4"/>
  <c r="I2793" i="4" s="1"/>
  <c r="K2792" i="4"/>
  <c r="J2792" i="4"/>
  <c r="H2792" i="4"/>
  <c r="I2792" i="4" s="1"/>
  <c r="K2791" i="4"/>
  <c r="J2791" i="4"/>
  <c r="H2791" i="4"/>
  <c r="K2790" i="4"/>
  <c r="J2790" i="4"/>
  <c r="L2790" i="4" s="1"/>
  <c r="H2790" i="4"/>
  <c r="I2790" i="4" s="1"/>
  <c r="K2789" i="4"/>
  <c r="J2789" i="4"/>
  <c r="H2789" i="4"/>
  <c r="I2789" i="4" s="1"/>
  <c r="K2788" i="4"/>
  <c r="J2788" i="4"/>
  <c r="H2788" i="4"/>
  <c r="I2788" i="4" s="1"/>
  <c r="K2787" i="4"/>
  <c r="J2787" i="4"/>
  <c r="H2787" i="4"/>
  <c r="I2787" i="4" s="1"/>
  <c r="K2786" i="4"/>
  <c r="J2786" i="4"/>
  <c r="H2786" i="4"/>
  <c r="K2785" i="4"/>
  <c r="J2785" i="4"/>
  <c r="H2785" i="4"/>
  <c r="I2785" i="4" s="1"/>
  <c r="K2784" i="4"/>
  <c r="J2784" i="4"/>
  <c r="H2784" i="4"/>
  <c r="I2784" i="4" s="1"/>
  <c r="K2783" i="4"/>
  <c r="J2783" i="4"/>
  <c r="H2783" i="4"/>
  <c r="I2783" i="4" s="1"/>
  <c r="K2782" i="4"/>
  <c r="J2782" i="4"/>
  <c r="L2782" i="4" s="1"/>
  <c r="H2782" i="4"/>
  <c r="I2782" i="4" s="1"/>
  <c r="K2781" i="4"/>
  <c r="J2781" i="4"/>
  <c r="H2781" i="4"/>
  <c r="I2781" i="4" s="1"/>
  <c r="K2780" i="4"/>
  <c r="J2780" i="4"/>
  <c r="H2780" i="4"/>
  <c r="I2780" i="4" s="1"/>
  <c r="K2779" i="4"/>
  <c r="J2779" i="4"/>
  <c r="H2779" i="4"/>
  <c r="I2779" i="4" s="1"/>
  <c r="K2778" i="4"/>
  <c r="J2778" i="4"/>
  <c r="H2778" i="4"/>
  <c r="I2778" i="4" s="1"/>
  <c r="K2777" i="4"/>
  <c r="J2777" i="4"/>
  <c r="H2777" i="4"/>
  <c r="I2777" i="4" s="1"/>
  <c r="K2776" i="4"/>
  <c r="J2776" i="4"/>
  <c r="H2776" i="4"/>
  <c r="I2776" i="4" s="1"/>
  <c r="K2775" i="4"/>
  <c r="J2775" i="4"/>
  <c r="H2775" i="4"/>
  <c r="I2775" i="4" s="1"/>
  <c r="K2774" i="4"/>
  <c r="J2774" i="4"/>
  <c r="H2774" i="4"/>
  <c r="K2773" i="4"/>
  <c r="J2773" i="4"/>
  <c r="H2773" i="4"/>
  <c r="K2772" i="4"/>
  <c r="J2772" i="4"/>
  <c r="H2772" i="4"/>
  <c r="I2772" i="4" s="1"/>
  <c r="K2771" i="4"/>
  <c r="J2771" i="4"/>
  <c r="H2771" i="4"/>
  <c r="I2771" i="4" s="1"/>
  <c r="K2770" i="4"/>
  <c r="J2770" i="4"/>
  <c r="H2770" i="4"/>
  <c r="I2770" i="4" s="1"/>
  <c r="K2769" i="4"/>
  <c r="J2769" i="4"/>
  <c r="H2769" i="4"/>
  <c r="K2768" i="4"/>
  <c r="J2768" i="4"/>
  <c r="H2768" i="4"/>
  <c r="I2768" i="4" s="1"/>
  <c r="K2767" i="4"/>
  <c r="J2767" i="4"/>
  <c r="H2767" i="4"/>
  <c r="I2767" i="4" s="1"/>
  <c r="K2766" i="4"/>
  <c r="J2766" i="4"/>
  <c r="H2766" i="4"/>
  <c r="I2766" i="4" s="1"/>
  <c r="K2765" i="4"/>
  <c r="J2765" i="4"/>
  <c r="H2765" i="4"/>
  <c r="I2765" i="4" s="1"/>
  <c r="K2764" i="4"/>
  <c r="J2764" i="4"/>
  <c r="H2764" i="4"/>
  <c r="I2764" i="4" s="1"/>
  <c r="K2763" i="4"/>
  <c r="J2763" i="4"/>
  <c r="H2763" i="4"/>
  <c r="I2763" i="4" s="1"/>
  <c r="K2762" i="4"/>
  <c r="J2762" i="4"/>
  <c r="H2762" i="4"/>
  <c r="K2761" i="4"/>
  <c r="J2761" i="4"/>
  <c r="H2761" i="4"/>
  <c r="I2761" i="4" s="1"/>
  <c r="K2760" i="4"/>
  <c r="J2760" i="4"/>
  <c r="H2760" i="4"/>
  <c r="I2760" i="4" s="1"/>
  <c r="K2759" i="4"/>
  <c r="J2759" i="4"/>
  <c r="H2759" i="4"/>
  <c r="I2759" i="4" s="1"/>
  <c r="K2758" i="4"/>
  <c r="J2758" i="4"/>
  <c r="H2758" i="4"/>
  <c r="I2758" i="4" s="1"/>
  <c r="K2757" i="4"/>
  <c r="J2757" i="4"/>
  <c r="H2757" i="4"/>
  <c r="K2756" i="4"/>
  <c r="J2756" i="4"/>
  <c r="H2756" i="4"/>
  <c r="I2756" i="4" s="1"/>
  <c r="K2755" i="4"/>
  <c r="J2755" i="4"/>
  <c r="H2755" i="4"/>
  <c r="I2755" i="4" s="1"/>
  <c r="K2754" i="4"/>
  <c r="J2754" i="4"/>
  <c r="H2754" i="4"/>
  <c r="I2754" i="4" s="1"/>
  <c r="K2753" i="4"/>
  <c r="J2753" i="4"/>
  <c r="H2753" i="4"/>
  <c r="I2753" i="4" s="1"/>
  <c r="K2752" i="4"/>
  <c r="J2752" i="4"/>
  <c r="H2752" i="4"/>
  <c r="I2752" i="4" s="1"/>
  <c r="K2751" i="4"/>
  <c r="J2751" i="4"/>
  <c r="H2751" i="4"/>
  <c r="I2751" i="4" s="1"/>
  <c r="K2750" i="4"/>
  <c r="J2750" i="4"/>
  <c r="H2750" i="4"/>
  <c r="K2749" i="4"/>
  <c r="J2749" i="4"/>
  <c r="H2749" i="4"/>
  <c r="I2749" i="4" s="1"/>
  <c r="K2748" i="4"/>
  <c r="J2748" i="4"/>
  <c r="H2748" i="4"/>
  <c r="I2748" i="4" s="1"/>
  <c r="K2747" i="4"/>
  <c r="J2747" i="4"/>
  <c r="H2747" i="4"/>
  <c r="I2747" i="4" s="1"/>
  <c r="K2746" i="4"/>
  <c r="J2746" i="4"/>
  <c r="H2746" i="4"/>
  <c r="I2746" i="4" s="1"/>
  <c r="K2745" i="4"/>
  <c r="J2745" i="4"/>
  <c r="H2745" i="4"/>
  <c r="K2744" i="4"/>
  <c r="J2744" i="4"/>
  <c r="H2744" i="4"/>
  <c r="K2743" i="4"/>
  <c r="J2743" i="4"/>
  <c r="H2743" i="4"/>
  <c r="I2743" i="4" s="1"/>
  <c r="K2742" i="4"/>
  <c r="J2742" i="4"/>
  <c r="H2742" i="4"/>
  <c r="I2742" i="4" s="1"/>
  <c r="K2741" i="4"/>
  <c r="J2741" i="4"/>
  <c r="H2741" i="4"/>
  <c r="I2741" i="4" s="1"/>
  <c r="K2740" i="4"/>
  <c r="J2740" i="4"/>
  <c r="H2740" i="4"/>
  <c r="I2740" i="4" s="1"/>
  <c r="K2739" i="4"/>
  <c r="J2739" i="4"/>
  <c r="H2739" i="4"/>
  <c r="I2739" i="4" s="1"/>
  <c r="K2738" i="4"/>
  <c r="J2738" i="4"/>
  <c r="H2738" i="4"/>
  <c r="K2737" i="4"/>
  <c r="J2737" i="4"/>
  <c r="H2737" i="4"/>
  <c r="I2737" i="4" s="1"/>
  <c r="K2736" i="4"/>
  <c r="J2736" i="4"/>
  <c r="H2736" i="4"/>
  <c r="I2736" i="4" s="1"/>
  <c r="K2735" i="4"/>
  <c r="J2735" i="4"/>
  <c r="H2735" i="4"/>
  <c r="I2735" i="4" s="1"/>
  <c r="K2734" i="4"/>
  <c r="J2734" i="4"/>
  <c r="H2734" i="4"/>
  <c r="I2734" i="4" s="1"/>
  <c r="K2733" i="4"/>
  <c r="J2733" i="4"/>
  <c r="H2733" i="4"/>
  <c r="K2732" i="4"/>
  <c r="J2732" i="4"/>
  <c r="H2732" i="4"/>
  <c r="I2732" i="4" s="1"/>
  <c r="K2731" i="4"/>
  <c r="J2731" i="4"/>
  <c r="H2731" i="4"/>
  <c r="I2731" i="4" s="1"/>
  <c r="K2730" i="4"/>
  <c r="J2730" i="4"/>
  <c r="H2730" i="4"/>
  <c r="I2730" i="4" s="1"/>
  <c r="K2729" i="4"/>
  <c r="J2729" i="4"/>
  <c r="H2729" i="4"/>
  <c r="I2729" i="4" s="1"/>
  <c r="K2728" i="4"/>
  <c r="J2728" i="4"/>
  <c r="H2728" i="4"/>
  <c r="I2728" i="4" s="1"/>
  <c r="K2727" i="4"/>
  <c r="J2727" i="4"/>
  <c r="H2727" i="4"/>
  <c r="I2727" i="4" s="1"/>
  <c r="K2726" i="4"/>
  <c r="J2726" i="4"/>
  <c r="H2726" i="4"/>
  <c r="K2725" i="4"/>
  <c r="J2725" i="4"/>
  <c r="H2725" i="4"/>
  <c r="I2725" i="4" s="1"/>
  <c r="K2724" i="4"/>
  <c r="J2724" i="4"/>
  <c r="H2724" i="4"/>
  <c r="I2724" i="4" s="1"/>
  <c r="K2723" i="4"/>
  <c r="J2723" i="4"/>
  <c r="H2723" i="4"/>
  <c r="I2723" i="4" s="1"/>
  <c r="K2722" i="4"/>
  <c r="J2722" i="4"/>
  <c r="H2722" i="4"/>
  <c r="I2722" i="4" s="1"/>
  <c r="K2721" i="4"/>
  <c r="J2721" i="4"/>
  <c r="H2721" i="4"/>
  <c r="K2720" i="4"/>
  <c r="J2720" i="4"/>
  <c r="H2720" i="4"/>
  <c r="I2720" i="4" s="1"/>
  <c r="K2719" i="4"/>
  <c r="J2719" i="4"/>
  <c r="H2719" i="4"/>
  <c r="I2719" i="4" s="1"/>
  <c r="K2718" i="4"/>
  <c r="J2718" i="4"/>
  <c r="H2718" i="4"/>
  <c r="I2718" i="4" s="1"/>
  <c r="K2717" i="4"/>
  <c r="J2717" i="4"/>
  <c r="H2717" i="4"/>
  <c r="I2717" i="4" s="1"/>
  <c r="K2716" i="4"/>
  <c r="J2716" i="4"/>
  <c r="H2716" i="4"/>
  <c r="I2716" i="4" s="1"/>
  <c r="K2715" i="4"/>
  <c r="J2715" i="4"/>
  <c r="H2715" i="4"/>
  <c r="I2715" i="4" s="1"/>
  <c r="K2714" i="4"/>
  <c r="J2714" i="4"/>
  <c r="H2714" i="4"/>
  <c r="K2713" i="4"/>
  <c r="J2713" i="4"/>
  <c r="H2713" i="4"/>
  <c r="I2713" i="4" s="1"/>
  <c r="K2712" i="4"/>
  <c r="J2712" i="4"/>
  <c r="H2712" i="4"/>
  <c r="I2712" i="4" s="1"/>
  <c r="K2711" i="4"/>
  <c r="J2711" i="4"/>
  <c r="H2711" i="4"/>
  <c r="I2711" i="4" s="1"/>
  <c r="K2710" i="4"/>
  <c r="J2710" i="4"/>
  <c r="H2710" i="4"/>
  <c r="I2710" i="4" s="1"/>
  <c r="K2709" i="4"/>
  <c r="J2709" i="4"/>
  <c r="H2709" i="4"/>
  <c r="K2708" i="4"/>
  <c r="J2708" i="4"/>
  <c r="H2708" i="4"/>
  <c r="I2708" i="4" s="1"/>
  <c r="K2707" i="4"/>
  <c r="J2707" i="4"/>
  <c r="H2707" i="4"/>
  <c r="I2707" i="4" s="1"/>
  <c r="K2706" i="4"/>
  <c r="J2706" i="4"/>
  <c r="H2706" i="4"/>
  <c r="I2706" i="4" s="1"/>
  <c r="K2705" i="4"/>
  <c r="J2705" i="4"/>
  <c r="H2705" i="4"/>
  <c r="I2705" i="4" s="1"/>
  <c r="K2704" i="4"/>
  <c r="J2704" i="4"/>
  <c r="H2704" i="4"/>
  <c r="I2704" i="4" s="1"/>
  <c r="K2703" i="4"/>
  <c r="J2703" i="4"/>
  <c r="H2703" i="4"/>
  <c r="I2703" i="4" s="1"/>
  <c r="K2702" i="4"/>
  <c r="J2702" i="4"/>
  <c r="H2702" i="4"/>
  <c r="K2701" i="4"/>
  <c r="J2701" i="4"/>
  <c r="H2701" i="4"/>
  <c r="I2701" i="4" s="1"/>
  <c r="K2700" i="4"/>
  <c r="J2700" i="4"/>
  <c r="H2700" i="4"/>
  <c r="I2700" i="4" s="1"/>
  <c r="K2699" i="4"/>
  <c r="J2699" i="4"/>
  <c r="H2699" i="4"/>
  <c r="I2699" i="4" s="1"/>
  <c r="K2698" i="4"/>
  <c r="J2698" i="4"/>
  <c r="H2698" i="4"/>
  <c r="I2698" i="4" s="1"/>
  <c r="K2697" i="4"/>
  <c r="J2697" i="4"/>
  <c r="H2697" i="4"/>
  <c r="K2696" i="4"/>
  <c r="J2696" i="4"/>
  <c r="H2696" i="4"/>
  <c r="I2696" i="4" s="1"/>
  <c r="K2695" i="4"/>
  <c r="J2695" i="4"/>
  <c r="H2695" i="4"/>
  <c r="I2695" i="4" s="1"/>
  <c r="K2694" i="4"/>
  <c r="J2694" i="4"/>
  <c r="H2694" i="4"/>
  <c r="I2694" i="4" s="1"/>
  <c r="K2693" i="4"/>
  <c r="J2693" i="4"/>
  <c r="H2693" i="4"/>
  <c r="I2693" i="4" s="1"/>
  <c r="K2692" i="4"/>
  <c r="J2692" i="4"/>
  <c r="H2692" i="4"/>
  <c r="I2692" i="4" s="1"/>
  <c r="K2691" i="4"/>
  <c r="J2691" i="4"/>
  <c r="H2691" i="4"/>
  <c r="I2691" i="4" s="1"/>
  <c r="K2690" i="4"/>
  <c r="J2690" i="4"/>
  <c r="H2690" i="4"/>
  <c r="K2689" i="4"/>
  <c r="J2689" i="4"/>
  <c r="H2689" i="4"/>
  <c r="I2689" i="4" s="1"/>
  <c r="K2688" i="4"/>
  <c r="J2688" i="4"/>
  <c r="H2688" i="4"/>
  <c r="I2688" i="4" s="1"/>
  <c r="K2687" i="4"/>
  <c r="J2687" i="4"/>
  <c r="H2687" i="4"/>
  <c r="I2687" i="4" s="1"/>
  <c r="K2686" i="4"/>
  <c r="J2686" i="4"/>
  <c r="H2686" i="4"/>
  <c r="I2686" i="4" s="1"/>
  <c r="K2685" i="4"/>
  <c r="J2685" i="4"/>
  <c r="H2685" i="4"/>
  <c r="K2684" i="4"/>
  <c r="J2684" i="4"/>
  <c r="H2684" i="4"/>
  <c r="I2684" i="4" s="1"/>
  <c r="K2683" i="4"/>
  <c r="J2683" i="4"/>
  <c r="H2683" i="4"/>
  <c r="I2683" i="4" s="1"/>
  <c r="K2682" i="4"/>
  <c r="J2682" i="4"/>
  <c r="H2682" i="4"/>
  <c r="I2682" i="4" s="1"/>
  <c r="K2681" i="4"/>
  <c r="J2681" i="4"/>
  <c r="H2681" i="4"/>
  <c r="I2681" i="4" s="1"/>
  <c r="K2680" i="4"/>
  <c r="J2680" i="4"/>
  <c r="H2680" i="4"/>
  <c r="I2680" i="4" s="1"/>
  <c r="K2679" i="4"/>
  <c r="J2679" i="4"/>
  <c r="H2679" i="4"/>
  <c r="I2679" i="4" s="1"/>
  <c r="K2678" i="4"/>
  <c r="J2678" i="4"/>
  <c r="H2678" i="4"/>
  <c r="K2677" i="4"/>
  <c r="J2677" i="4"/>
  <c r="H2677" i="4"/>
  <c r="I2677" i="4" s="1"/>
  <c r="K2676" i="4"/>
  <c r="J2676" i="4"/>
  <c r="H2676" i="4"/>
  <c r="I2676" i="4" s="1"/>
  <c r="K2675" i="4"/>
  <c r="J2675" i="4"/>
  <c r="H2675" i="4"/>
  <c r="I2675" i="4" s="1"/>
  <c r="K2674" i="4"/>
  <c r="J2674" i="4"/>
  <c r="H2674" i="4"/>
  <c r="I2674" i="4" s="1"/>
  <c r="K2673" i="4"/>
  <c r="J2673" i="4"/>
  <c r="H2673" i="4"/>
  <c r="K2672" i="4"/>
  <c r="J2672" i="4"/>
  <c r="H2672" i="4"/>
  <c r="I2672" i="4" s="1"/>
  <c r="K2671" i="4"/>
  <c r="J2671" i="4"/>
  <c r="H2671" i="4"/>
  <c r="I2671" i="4" s="1"/>
  <c r="K2670" i="4"/>
  <c r="J2670" i="4"/>
  <c r="H2670" i="4"/>
  <c r="I2670" i="4" s="1"/>
  <c r="K2669" i="4"/>
  <c r="J2669" i="4"/>
  <c r="H2669" i="4"/>
  <c r="I2669" i="4" s="1"/>
  <c r="K2668" i="4"/>
  <c r="J2668" i="4"/>
  <c r="H2668" i="4"/>
  <c r="I2668" i="4" s="1"/>
  <c r="K2667" i="4"/>
  <c r="J2667" i="4"/>
  <c r="H2667" i="4"/>
  <c r="I2667" i="4" s="1"/>
  <c r="K2666" i="4"/>
  <c r="J2666" i="4"/>
  <c r="H2666" i="4"/>
  <c r="K2665" i="4"/>
  <c r="J2665" i="4"/>
  <c r="H2665" i="4"/>
  <c r="I2665" i="4" s="1"/>
  <c r="K2664" i="4"/>
  <c r="J2664" i="4"/>
  <c r="H2664" i="4"/>
  <c r="I2664" i="4" s="1"/>
  <c r="K2663" i="4"/>
  <c r="J2663" i="4"/>
  <c r="H2663" i="4"/>
  <c r="I2663" i="4" s="1"/>
  <c r="K2662" i="4"/>
  <c r="J2662" i="4"/>
  <c r="H2662" i="4"/>
  <c r="I2662" i="4" s="1"/>
  <c r="K2661" i="4"/>
  <c r="J2661" i="4"/>
  <c r="H2661" i="4"/>
  <c r="K2660" i="4"/>
  <c r="J2660" i="4"/>
  <c r="H2660" i="4"/>
  <c r="I2660" i="4" s="1"/>
  <c r="K2659" i="4"/>
  <c r="J2659" i="4"/>
  <c r="H2659" i="4"/>
  <c r="I2659" i="4" s="1"/>
  <c r="K2658" i="4"/>
  <c r="J2658" i="4"/>
  <c r="H2658" i="4"/>
  <c r="I2658" i="4" s="1"/>
  <c r="K2657" i="4"/>
  <c r="J2657" i="4"/>
  <c r="H2657" i="4"/>
  <c r="I2657" i="4" s="1"/>
  <c r="K2656" i="4"/>
  <c r="J2656" i="4"/>
  <c r="H2656" i="4"/>
  <c r="I2656" i="4" s="1"/>
  <c r="K2655" i="4"/>
  <c r="J2655" i="4"/>
  <c r="H2655" i="4"/>
  <c r="I2655" i="4" s="1"/>
  <c r="K2654" i="4"/>
  <c r="J2654" i="4"/>
  <c r="H2654" i="4"/>
  <c r="K2653" i="4"/>
  <c r="J2653" i="4"/>
  <c r="H2653" i="4"/>
  <c r="K2652" i="4"/>
  <c r="J2652" i="4"/>
  <c r="H2652" i="4"/>
  <c r="I2652" i="4" s="1"/>
  <c r="K2651" i="4"/>
  <c r="J2651" i="4"/>
  <c r="H2651" i="4"/>
  <c r="I2651" i="4" s="1"/>
  <c r="K2650" i="4"/>
  <c r="J2650" i="4"/>
  <c r="H2650" i="4"/>
  <c r="I2650" i="4" s="1"/>
  <c r="K2649" i="4"/>
  <c r="J2649" i="4"/>
  <c r="H2649" i="4"/>
  <c r="K2648" i="4"/>
  <c r="J2648" i="4"/>
  <c r="H2648" i="4"/>
  <c r="I2648" i="4" s="1"/>
  <c r="K2647" i="4"/>
  <c r="J2647" i="4"/>
  <c r="H2647" i="4"/>
  <c r="I2647" i="4" s="1"/>
  <c r="K2646" i="4"/>
  <c r="J2646" i="4"/>
  <c r="H2646" i="4"/>
  <c r="I2646" i="4" s="1"/>
  <c r="K2645" i="4"/>
  <c r="J2645" i="4"/>
  <c r="H2645" i="4"/>
  <c r="I2645" i="4" s="1"/>
  <c r="K2644" i="4"/>
  <c r="J2644" i="4"/>
  <c r="H2644" i="4"/>
  <c r="I2644" i="4" s="1"/>
  <c r="K2643" i="4"/>
  <c r="J2643" i="4"/>
  <c r="H2643" i="4"/>
  <c r="I2643" i="4" s="1"/>
  <c r="K2642" i="4"/>
  <c r="J2642" i="4"/>
  <c r="H2642" i="4"/>
  <c r="K2641" i="4"/>
  <c r="J2641" i="4"/>
  <c r="H2641" i="4"/>
  <c r="I2641" i="4" s="1"/>
  <c r="K2640" i="4"/>
  <c r="J2640" i="4"/>
  <c r="H2640" i="4"/>
  <c r="K2639" i="4"/>
  <c r="J2639" i="4"/>
  <c r="H2639" i="4"/>
  <c r="I2639" i="4" s="1"/>
  <c r="K2638" i="4"/>
  <c r="J2638" i="4"/>
  <c r="H2638" i="4"/>
  <c r="I2638" i="4" s="1"/>
  <c r="K2637" i="4"/>
  <c r="J2637" i="4"/>
  <c r="H2637" i="4"/>
  <c r="K2636" i="4"/>
  <c r="J2636" i="4"/>
  <c r="H2636" i="4"/>
  <c r="I2636" i="4" s="1"/>
  <c r="K2635" i="4"/>
  <c r="J2635" i="4"/>
  <c r="H2635" i="4"/>
  <c r="I2635" i="4" s="1"/>
  <c r="K2634" i="4"/>
  <c r="J2634" i="4"/>
  <c r="H2634" i="4"/>
  <c r="K2633" i="4"/>
  <c r="J2633" i="4"/>
  <c r="H2633" i="4"/>
  <c r="I2633" i="4" s="1"/>
  <c r="K2632" i="4"/>
  <c r="J2632" i="4"/>
  <c r="H2632" i="4"/>
  <c r="I2632" i="4" s="1"/>
  <c r="K2631" i="4"/>
  <c r="J2631" i="4"/>
  <c r="H2631" i="4"/>
  <c r="I2631" i="4" s="1"/>
  <c r="K2630" i="4"/>
  <c r="J2630" i="4"/>
  <c r="H2630" i="4"/>
  <c r="K2629" i="4"/>
  <c r="J2629" i="4"/>
  <c r="H2629" i="4"/>
  <c r="I2629" i="4" s="1"/>
  <c r="K2628" i="4"/>
  <c r="J2628" i="4"/>
  <c r="H2628" i="4"/>
  <c r="K2627" i="4"/>
  <c r="J2627" i="4"/>
  <c r="H2627" i="4"/>
  <c r="I2627" i="4" s="1"/>
  <c r="K2626" i="4"/>
  <c r="J2626" i="4"/>
  <c r="H2626" i="4"/>
  <c r="I2626" i="4" s="1"/>
  <c r="K2625" i="4"/>
  <c r="J2625" i="4"/>
  <c r="H2625" i="4"/>
  <c r="K2624" i="4"/>
  <c r="J2624" i="4"/>
  <c r="H2624" i="4"/>
  <c r="I2624" i="4" s="1"/>
  <c r="K2623" i="4"/>
  <c r="J2623" i="4"/>
  <c r="H2623" i="4"/>
  <c r="I2623" i="4" s="1"/>
  <c r="K2622" i="4"/>
  <c r="J2622" i="4"/>
  <c r="H2622" i="4"/>
  <c r="I2622" i="4" s="1"/>
  <c r="K2621" i="4"/>
  <c r="J2621" i="4"/>
  <c r="H2621" i="4"/>
  <c r="I2621" i="4" s="1"/>
  <c r="K2620" i="4"/>
  <c r="J2620" i="4"/>
  <c r="H2620" i="4"/>
  <c r="I2620" i="4" s="1"/>
  <c r="K2619" i="4"/>
  <c r="J2619" i="4"/>
  <c r="H2619" i="4"/>
  <c r="I2619" i="4" s="1"/>
  <c r="K2618" i="4"/>
  <c r="J2618" i="4"/>
  <c r="H2618" i="4"/>
  <c r="K2617" i="4"/>
  <c r="J2617" i="4"/>
  <c r="H2617" i="4"/>
  <c r="I2617" i="4" s="1"/>
  <c r="K2616" i="4"/>
  <c r="J2616" i="4"/>
  <c r="I2616" i="4"/>
  <c r="H2616" i="4"/>
  <c r="K2615" i="4"/>
  <c r="J2615" i="4"/>
  <c r="H2615" i="4"/>
  <c r="I2615" i="4" s="1"/>
  <c r="K2614" i="4"/>
  <c r="J2614" i="4"/>
  <c r="H2614" i="4"/>
  <c r="I2614" i="4" s="1"/>
  <c r="K2613" i="4"/>
  <c r="J2613" i="4"/>
  <c r="H2613" i="4"/>
  <c r="K2612" i="4"/>
  <c r="J2612" i="4"/>
  <c r="H2612" i="4"/>
  <c r="I2612" i="4" s="1"/>
  <c r="K2611" i="4"/>
  <c r="J2611" i="4"/>
  <c r="H2611" i="4"/>
  <c r="I2611" i="4" s="1"/>
  <c r="K2610" i="4"/>
  <c r="J2610" i="4"/>
  <c r="H2610" i="4"/>
  <c r="I2610" i="4" s="1"/>
  <c r="K2609" i="4"/>
  <c r="J2609" i="4"/>
  <c r="H2609" i="4"/>
  <c r="I2609" i="4" s="1"/>
  <c r="K2608" i="4"/>
  <c r="J2608" i="4"/>
  <c r="H2608" i="4"/>
  <c r="I2608" i="4" s="1"/>
  <c r="K2607" i="4"/>
  <c r="J2607" i="4"/>
  <c r="H2607" i="4"/>
  <c r="I2607" i="4" s="1"/>
  <c r="K2606" i="4"/>
  <c r="J2606" i="4"/>
  <c r="H2606" i="4"/>
  <c r="K2605" i="4"/>
  <c r="J2605" i="4"/>
  <c r="H2605" i="4"/>
  <c r="I2605" i="4" s="1"/>
  <c r="K2604" i="4"/>
  <c r="J2604" i="4"/>
  <c r="H2604" i="4"/>
  <c r="I2604" i="4" s="1"/>
  <c r="K2603" i="4"/>
  <c r="J2603" i="4"/>
  <c r="H2603" i="4"/>
  <c r="I2603" i="4" s="1"/>
  <c r="K2602" i="4"/>
  <c r="J2602" i="4"/>
  <c r="H2602" i="4"/>
  <c r="I2602" i="4" s="1"/>
  <c r="K2601" i="4"/>
  <c r="J2601" i="4"/>
  <c r="H2601" i="4"/>
  <c r="K2600" i="4"/>
  <c r="J2600" i="4"/>
  <c r="H2600" i="4"/>
  <c r="I2600" i="4" s="1"/>
  <c r="K2599" i="4"/>
  <c r="J2599" i="4"/>
  <c r="H2599" i="4"/>
  <c r="I2599" i="4" s="1"/>
  <c r="K2598" i="4"/>
  <c r="J2598" i="4"/>
  <c r="H2598" i="4"/>
  <c r="I2598" i="4" s="1"/>
  <c r="K2597" i="4"/>
  <c r="J2597" i="4"/>
  <c r="H2597" i="4"/>
  <c r="I2597" i="4" s="1"/>
  <c r="K2596" i="4"/>
  <c r="J2596" i="4"/>
  <c r="H2596" i="4"/>
  <c r="I2596" i="4" s="1"/>
  <c r="K2595" i="4"/>
  <c r="J2595" i="4"/>
  <c r="H2595" i="4"/>
  <c r="I2595" i="4" s="1"/>
  <c r="K2594" i="4"/>
  <c r="J2594" i="4"/>
  <c r="H2594" i="4"/>
  <c r="K2593" i="4"/>
  <c r="J2593" i="4"/>
  <c r="H2593" i="4"/>
  <c r="I2593" i="4" s="1"/>
  <c r="K2592" i="4"/>
  <c r="J2592" i="4"/>
  <c r="H2592" i="4"/>
  <c r="K2591" i="4"/>
  <c r="J2591" i="4"/>
  <c r="H2591" i="4"/>
  <c r="I2591" i="4" s="1"/>
  <c r="K2590" i="4"/>
  <c r="J2590" i="4"/>
  <c r="H2590" i="4"/>
  <c r="I2590" i="4" s="1"/>
  <c r="K2589" i="4"/>
  <c r="J2589" i="4"/>
  <c r="H2589" i="4"/>
  <c r="K2588" i="4"/>
  <c r="J2588" i="4"/>
  <c r="H2588" i="4"/>
  <c r="I2588" i="4" s="1"/>
  <c r="K2587" i="4"/>
  <c r="J2587" i="4"/>
  <c r="H2587" i="4"/>
  <c r="I2587" i="4" s="1"/>
  <c r="K2586" i="4"/>
  <c r="J2586" i="4"/>
  <c r="H2586" i="4"/>
  <c r="I2586" i="4" s="1"/>
  <c r="K2585" i="4"/>
  <c r="J2585" i="4"/>
  <c r="H2585" i="4"/>
  <c r="I2585" i="4" s="1"/>
  <c r="K2584" i="4"/>
  <c r="J2584" i="4"/>
  <c r="H2584" i="4"/>
  <c r="I2584" i="4" s="1"/>
  <c r="K2583" i="4"/>
  <c r="J2583" i="4"/>
  <c r="H2583" i="4"/>
  <c r="I2583" i="4" s="1"/>
  <c r="K2582" i="4"/>
  <c r="J2582" i="4"/>
  <c r="H2582" i="4"/>
  <c r="K2581" i="4"/>
  <c r="J2581" i="4"/>
  <c r="H2581" i="4"/>
  <c r="I2581" i="4" s="1"/>
  <c r="K2580" i="4"/>
  <c r="J2580" i="4"/>
  <c r="L2580" i="4" s="1"/>
  <c r="H2580" i="4"/>
  <c r="I2580" i="4" s="1"/>
  <c r="K2579" i="4"/>
  <c r="J2579" i="4"/>
  <c r="H2579" i="4"/>
  <c r="I2579" i="4" s="1"/>
  <c r="K2578" i="4"/>
  <c r="J2578" i="4"/>
  <c r="H2578" i="4"/>
  <c r="I2578" i="4" s="1"/>
  <c r="K2577" i="4"/>
  <c r="J2577" i="4"/>
  <c r="H2577" i="4"/>
  <c r="K2576" i="4"/>
  <c r="J2576" i="4"/>
  <c r="L2576" i="4" s="1"/>
  <c r="H2576" i="4"/>
  <c r="I2576" i="4" s="1"/>
  <c r="K2575" i="4"/>
  <c r="J2575" i="4"/>
  <c r="H2575" i="4"/>
  <c r="I2575" i="4" s="1"/>
  <c r="K2574" i="4"/>
  <c r="J2574" i="4"/>
  <c r="H2574" i="4"/>
  <c r="I2574" i="4" s="1"/>
  <c r="K2573" i="4"/>
  <c r="J2573" i="4"/>
  <c r="H2573" i="4"/>
  <c r="I2573" i="4" s="1"/>
  <c r="K2572" i="4"/>
  <c r="J2572" i="4"/>
  <c r="H2572" i="4"/>
  <c r="I2572" i="4" s="1"/>
  <c r="K2571" i="4"/>
  <c r="J2571" i="4"/>
  <c r="H2571" i="4"/>
  <c r="I2571" i="4" s="1"/>
  <c r="K2570" i="4"/>
  <c r="J2570" i="4"/>
  <c r="H2570" i="4"/>
  <c r="K2569" i="4"/>
  <c r="J2569" i="4"/>
  <c r="H2569" i="4"/>
  <c r="I2569" i="4" s="1"/>
  <c r="K2568" i="4"/>
  <c r="J2568" i="4"/>
  <c r="H2568" i="4"/>
  <c r="K2567" i="4"/>
  <c r="J2567" i="4"/>
  <c r="H2567" i="4"/>
  <c r="I2567" i="4" s="1"/>
  <c r="K2566" i="4"/>
  <c r="J2566" i="4"/>
  <c r="H2566" i="4"/>
  <c r="I2566" i="4" s="1"/>
  <c r="K2565" i="4"/>
  <c r="J2565" i="4"/>
  <c r="H2565" i="4"/>
  <c r="I2565" i="4" s="1"/>
  <c r="K2564" i="4"/>
  <c r="J2564" i="4"/>
  <c r="H2564" i="4"/>
  <c r="I2564" i="4" s="1"/>
  <c r="K2563" i="4"/>
  <c r="J2563" i="4"/>
  <c r="I2563" i="4"/>
  <c r="H2563" i="4"/>
  <c r="K2562" i="4"/>
  <c r="J2562" i="4"/>
  <c r="H2562" i="4"/>
  <c r="I2562" i="4" s="1"/>
  <c r="K2561" i="4"/>
  <c r="J2561" i="4"/>
  <c r="H2561" i="4"/>
  <c r="I2561" i="4" s="1"/>
  <c r="K2560" i="4"/>
  <c r="J2560" i="4"/>
  <c r="H2560" i="4"/>
  <c r="I2560" i="4" s="1"/>
  <c r="K2559" i="4"/>
  <c r="J2559" i="4"/>
  <c r="H2559" i="4"/>
  <c r="I2559" i="4" s="1"/>
  <c r="K2558" i="4"/>
  <c r="J2558" i="4"/>
  <c r="H2558" i="4"/>
  <c r="K2557" i="4"/>
  <c r="J2557" i="4"/>
  <c r="H2557" i="4"/>
  <c r="I2557" i="4" s="1"/>
  <c r="K2556" i="4"/>
  <c r="J2556" i="4"/>
  <c r="H2556" i="4"/>
  <c r="K2555" i="4"/>
  <c r="J2555" i="4"/>
  <c r="H2555" i="4"/>
  <c r="I2555" i="4" s="1"/>
  <c r="K2554" i="4"/>
  <c r="J2554" i="4"/>
  <c r="H2554" i="4"/>
  <c r="I2554" i="4" s="1"/>
  <c r="K2553" i="4"/>
  <c r="J2553" i="4"/>
  <c r="H2553" i="4"/>
  <c r="K2552" i="4"/>
  <c r="J2552" i="4"/>
  <c r="H2552" i="4"/>
  <c r="I2552" i="4" s="1"/>
  <c r="K2551" i="4"/>
  <c r="J2551" i="4"/>
  <c r="H2551" i="4"/>
  <c r="I2551" i="4" s="1"/>
  <c r="K2550" i="4"/>
  <c r="J2550" i="4"/>
  <c r="H2550" i="4"/>
  <c r="I2550" i="4" s="1"/>
  <c r="K2549" i="4"/>
  <c r="J2549" i="4"/>
  <c r="H2549" i="4"/>
  <c r="I2549" i="4" s="1"/>
  <c r="K2548" i="4"/>
  <c r="J2548" i="4"/>
  <c r="H2548" i="4"/>
  <c r="I2548" i="4" s="1"/>
  <c r="K2547" i="4"/>
  <c r="J2547" i="4"/>
  <c r="H2547" i="4"/>
  <c r="I2547" i="4" s="1"/>
  <c r="K2546" i="4"/>
  <c r="J2546" i="4"/>
  <c r="H2546" i="4"/>
  <c r="K2545" i="4"/>
  <c r="J2545" i="4"/>
  <c r="H2545" i="4"/>
  <c r="I2545" i="4" s="1"/>
  <c r="K2544" i="4"/>
  <c r="J2544" i="4"/>
  <c r="H2544" i="4"/>
  <c r="I2544" i="4" s="1"/>
  <c r="K2543" i="4"/>
  <c r="J2543" i="4"/>
  <c r="H2543" i="4"/>
  <c r="I2543" i="4" s="1"/>
  <c r="K2542" i="4"/>
  <c r="J2542" i="4"/>
  <c r="H2542" i="4"/>
  <c r="I2542" i="4" s="1"/>
  <c r="K2541" i="4"/>
  <c r="J2541" i="4"/>
  <c r="H2541" i="4"/>
  <c r="K2540" i="4"/>
  <c r="J2540" i="4"/>
  <c r="H2540" i="4"/>
  <c r="I2540" i="4" s="1"/>
  <c r="K2539" i="4"/>
  <c r="J2539" i="4"/>
  <c r="H2539" i="4"/>
  <c r="I2539" i="4" s="1"/>
  <c r="K2538" i="4"/>
  <c r="J2538" i="4"/>
  <c r="H2538" i="4"/>
  <c r="I2538" i="4" s="1"/>
  <c r="K2537" i="4"/>
  <c r="J2537" i="4"/>
  <c r="H2537" i="4"/>
  <c r="I2537" i="4" s="1"/>
  <c r="K2536" i="4"/>
  <c r="J2536" i="4"/>
  <c r="H2536" i="4"/>
  <c r="I2536" i="4" s="1"/>
  <c r="K2535" i="4"/>
  <c r="J2535" i="4"/>
  <c r="H2535" i="4"/>
  <c r="I2535" i="4" s="1"/>
  <c r="K2534" i="4"/>
  <c r="J2534" i="4"/>
  <c r="H2534" i="4"/>
  <c r="I2534" i="4" s="1"/>
  <c r="K2533" i="4"/>
  <c r="J2533" i="4"/>
  <c r="H2533" i="4"/>
  <c r="I2533" i="4" s="1"/>
  <c r="K2532" i="4"/>
  <c r="J2532" i="4"/>
  <c r="I2532" i="4"/>
  <c r="H2532" i="4"/>
  <c r="K2531" i="4"/>
  <c r="J2531" i="4"/>
  <c r="H2531" i="4"/>
  <c r="I2531" i="4" s="1"/>
  <c r="K2530" i="4"/>
  <c r="J2530" i="4"/>
  <c r="H2530" i="4"/>
  <c r="I2530" i="4" s="1"/>
  <c r="K2529" i="4"/>
  <c r="J2529" i="4"/>
  <c r="H2529" i="4"/>
  <c r="K2528" i="4"/>
  <c r="J2528" i="4"/>
  <c r="L2528" i="4" s="1"/>
  <c r="H2528" i="4"/>
  <c r="I2528" i="4" s="1"/>
  <c r="K2527" i="4"/>
  <c r="J2527" i="4"/>
  <c r="H2527" i="4"/>
  <c r="I2527" i="4" s="1"/>
  <c r="K2526" i="4"/>
  <c r="J2526" i="4"/>
  <c r="H2526" i="4"/>
  <c r="I2526" i="4" s="1"/>
  <c r="K2525" i="4"/>
  <c r="J2525" i="4"/>
  <c r="H2525" i="4"/>
  <c r="I2525" i="4" s="1"/>
  <c r="K2524" i="4"/>
  <c r="J2524" i="4"/>
  <c r="H2524" i="4"/>
  <c r="I2524" i="4" s="1"/>
  <c r="K2523" i="4"/>
  <c r="J2523" i="4"/>
  <c r="H2523" i="4"/>
  <c r="I2523" i="4" s="1"/>
  <c r="K2522" i="4"/>
  <c r="J2522" i="4"/>
  <c r="H2522" i="4"/>
  <c r="I2522" i="4" s="1"/>
  <c r="K2521" i="4"/>
  <c r="J2521" i="4"/>
  <c r="H2521" i="4"/>
  <c r="I2521" i="4" s="1"/>
  <c r="K2520" i="4"/>
  <c r="J2520" i="4"/>
  <c r="H2520" i="4"/>
  <c r="I2520" i="4" s="1"/>
  <c r="K2519" i="4"/>
  <c r="J2519" i="4"/>
  <c r="H2519" i="4"/>
  <c r="I2519" i="4" s="1"/>
  <c r="K2518" i="4"/>
  <c r="J2518" i="4"/>
  <c r="H2518" i="4"/>
  <c r="K2517" i="4"/>
  <c r="J2517" i="4"/>
  <c r="H2517" i="4"/>
  <c r="K2516" i="4"/>
  <c r="J2516" i="4"/>
  <c r="H2516" i="4"/>
  <c r="I2516" i="4" s="1"/>
  <c r="K2515" i="4"/>
  <c r="J2515" i="4"/>
  <c r="H2515" i="4"/>
  <c r="K2514" i="4"/>
  <c r="J2514" i="4"/>
  <c r="H2514" i="4"/>
  <c r="I2514" i="4" s="1"/>
  <c r="K2513" i="4"/>
  <c r="J2513" i="4"/>
  <c r="H2513" i="4"/>
  <c r="I2513" i="4" s="1"/>
  <c r="K2512" i="4"/>
  <c r="J2512" i="4"/>
  <c r="H2512" i="4"/>
  <c r="I2512" i="4" s="1"/>
  <c r="K2511" i="4"/>
  <c r="J2511" i="4"/>
  <c r="H2511" i="4"/>
  <c r="I2511" i="4" s="1"/>
  <c r="K2510" i="4"/>
  <c r="J2510" i="4"/>
  <c r="H2510" i="4"/>
  <c r="I2510" i="4" s="1"/>
  <c r="K2509" i="4"/>
  <c r="J2509" i="4"/>
  <c r="H2509" i="4"/>
  <c r="K2508" i="4"/>
  <c r="J2508" i="4"/>
  <c r="H2508" i="4"/>
  <c r="I2508" i="4" s="1"/>
  <c r="K2507" i="4"/>
  <c r="J2507" i="4"/>
  <c r="H2507" i="4"/>
  <c r="I2507" i="4" s="1"/>
  <c r="K2506" i="4"/>
  <c r="J2506" i="4"/>
  <c r="H2506" i="4"/>
  <c r="I2506" i="4" s="1"/>
  <c r="K2505" i="4"/>
  <c r="J2505" i="4"/>
  <c r="H2505" i="4"/>
  <c r="K2504" i="4"/>
  <c r="J2504" i="4"/>
  <c r="H2504" i="4"/>
  <c r="I2504" i="4" s="1"/>
  <c r="K2503" i="4"/>
  <c r="J2503" i="4"/>
  <c r="H2503" i="4"/>
  <c r="I2503" i="4" s="1"/>
  <c r="K2502" i="4"/>
  <c r="J2502" i="4"/>
  <c r="H2502" i="4"/>
  <c r="I2502" i="4" s="1"/>
  <c r="K2501" i="4"/>
  <c r="J2501" i="4"/>
  <c r="H2501" i="4"/>
  <c r="I2501" i="4" s="1"/>
  <c r="K2500" i="4"/>
  <c r="J2500" i="4"/>
  <c r="H2500" i="4"/>
  <c r="I2500" i="4" s="1"/>
  <c r="K2499" i="4"/>
  <c r="J2499" i="4"/>
  <c r="H2499" i="4"/>
  <c r="I2499" i="4" s="1"/>
  <c r="K2498" i="4"/>
  <c r="J2498" i="4"/>
  <c r="H2498" i="4"/>
  <c r="I2498" i="4" s="1"/>
  <c r="K2497" i="4"/>
  <c r="J2497" i="4"/>
  <c r="H2497" i="4"/>
  <c r="I2497" i="4" s="1"/>
  <c r="K2496" i="4"/>
  <c r="J2496" i="4"/>
  <c r="H2496" i="4"/>
  <c r="I2496" i="4" s="1"/>
  <c r="K2495" i="4"/>
  <c r="J2495" i="4"/>
  <c r="H2495" i="4"/>
  <c r="I2495" i="4" s="1"/>
  <c r="K2494" i="4"/>
  <c r="J2494" i="4"/>
  <c r="H2494" i="4"/>
  <c r="I2494" i="4" s="1"/>
  <c r="K2493" i="4"/>
  <c r="J2493" i="4"/>
  <c r="H2493" i="4"/>
  <c r="K2492" i="4"/>
  <c r="J2492" i="4"/>
  <c r="H2492" i="4"/>
  <c r="I2492" i="4" s="1"/>
  <c r="K2491" i="4"/>
  <c r="J2491" i="4"/>
  <c r="H2491" i="4"/>
  <c r="I2491" i="4" s="1"/>
  <c r="K2490" i="4"/>
  <c r="J2490" i="4"/>
  <c r="H2490" i="4"/>
  <c r="I2490" i="4" s="1"/>
  <c r="K2489" i="4"/>
  <c r="J2489" i="4"/>
  <c r="H2489" i="4"/>
  <c r="I2489" i="4" s="1"/>
  <c r="K2488" i="4"/>
  <c r="J2488" i="4"/>
  <c r="H2488" i="4"/>
  <c r="I2488" i="4" s="1"/>
  <c r="K2487" i="4"/>
  <c r="J2487" i="4"/>
  <c r="H2487" i="4"/>
  <c r="I2487" i="4" s="1"/>
  <c r="K2486" i="4"/>
  <c r="J2486" i="4"/>
  <c r="H2486" i="4"/>
  <c r="I2486" i="4" s="1"/>
  <c r="K2485" i="4"/>
  <c r="J2485" i="4"/>
  <c r="H2485" i="4"/>
  <c r="I2485" i="4" s="1"/>
  <c r="K2484" i="4"/>
  <c r="J2484" i="4"/>
  <c r="H2484" i="4"/>
  <c r="I2484" i="4" s="1"/>
  <c r="K2483" i="4"/>
  <c r="J2483" i="4"/>
  <c r="H2483" i="4"/>
  <c r="I2483" i="4" s="1"/>
  <c r="K2482" i="4"/>
  <c r="J2482" i="4"/>
  <c r="H2482" i="4"/>
  <c r="K2481" i="4"/>
  <c r="J2481" i="4"/>
  <c r="H2481" i="4"/>
  <c r="K2480" i="4"/>
  <c r="J2480" i="4"/>
  <c r="H2480" i="4"/>
  <c r="I2480" i="4" s="1"/>
  <c r="K2479" i="4"/>
  <c r="J2479" i="4"/>
  <c r="H2479" i="4"/>
  <c r="I2479" i="4" s="1"/>
  <c r="K2478" i="4"/>
  <c r="J2478" i="4"/>
  <c r="H2478" i="4"/>
  <c r="I2478" i="4" s="1"/>
  <c r="K2477" i="4"/>
  <c r="J2477" i="4"/>
  <c r="H2477" i="4"/>
  <c r="I2477" i="4" s="1"/>
  <c r="K2476" i="4"/>
  <c r="J2476" i="4"/>
  <c r="H2476" i="4"/>
  <c r="I2476" i="4" s="1"/>
  <c r="K2475" i="4"/>
  <c r="J2475" i="4"/>
  <c r="H2475" i="4"/>
  <c r="I2475" i="4" s="1"/>
  <c r="K2474" i="4"/>
  <c r="J2474" i="4"/>
  <c r="H2474" i="4"/>
  <c r="I2474" i="4" s="1"/>
  <c r="K2473" i="4"/>
  <c r="J2473" i="4"/>
  <c r="H2473" i="4"/>
  <c r="I2473" i="4" s="1"/>
  <c r="K2472" i="4"/>
  <c r="J2472" i="4"/>
  <c r="H2472" i="4"/>
  <c r="K2471" i="4"/>
  <c r="J2471" i="4"/>
  <c r="H2471" i="4"/>
  <c r="I2471" i="4" s="1"/>
  <c r="K2470" i="4"/>
  <c r="J2470" i="4"/>
  <c r="H2470" i="4"/>
  <c r="K2469" i="4"/>
  <c r="J2469" i="4"/>
  <c r="H2469" i="4"/>
  <c r="K2468" i="4"/>
  <c r="J2468" i="4"/>
  <c r="H2468" i="4"/>
  <c r="K2467" i="4"/>
  <c r="J2467" i="4"/>
  <c r="H2467" i="4"/>
  <c r="I2467" i="4" s="1"/>
  <c r="K2466" i="4"/>
  <c r="J2466" i="4"/>
  <c r="H2466" i="4"/>
  <c r="I2466" i="4" s="1"/>
  <c r="K2465" i="4"/>
  <c r="J2465" i="4"/>
  <c r="H2465" i="4"/>
  <c r="I2465" i="4" s="1"/>
  <c r="K2464" i="4"/>
  <c r="J2464" i="4"/>
  <c r="H2464" i="4"/>
  <c r="K2463" i="4"/>
  <c r="J2463" i="4"/>
  <c r="H2463" i="4"/>
  <c r="I2463" i="4" s="1"/>
  <c r="K2462" i="4"/>
  <c r="J2462" i="4"/>
  <c r="H2462" i="4"/>
  <c r="I2462" i="4" s="1"/>
  <c r="K2461" i="4"/>
  <c r="J2461" i="4"/>
  <c r="H2461" i="4"/>
  <c r="K2460" i="4"/>
  <c r="J2460" i="4"/>
  <c r="H2460" i="4"/>
  <c r="I2460" i="4" s="1"/>
  <c r="K2459" i="4"/>
  <c r="J2459" i="4"/>
  <c r="H2459" i="4"/>
  <c r="I2459" i="4" s="1"/>
  <c r="K2458" i="4"/>
  <c r="J2458" i="4"/>
  <c r="H2458" i="4"/>
  <c r="K2457" i="4"/>
  <c r="J2457" i="4"/>
  <c r="H2457" i="4"/>
  <c r="I2457" i="4" s="1"/>
  <c r="K2456" i="4"/>
  <c r="J2456" i="4"/>
  <c r="H2456" i="4"/>
  <c r="I2456" i="4" s="1"/>
  <c r="K2455" i="4"/>
  <c r="J2455" i="4"/>
  <c r="H2455" i="4"/>
  <c r="I2455" i="4" s="1"/>
  <c r="K2454" i="4"/>
  <c r="J2454" i="4"/>
  <c r="H2454" i="4"/>
  <c r="I2454" i="4" s="1"/>
  <c r="K2453" i="4"/>
  <c r="J2453" i="4"/>
  <c r="H2453" i="4"/>
  <c r="I2453" i="4" s="1"/>
  <c r="K2452" i="4"/>
  <c r="J2452" i="4"/>
  <c r="H2452" i="4"/>
  <c r="I2452" i="4" s="1"/>
  <c r="K2451" i="4"/>
  <c r="J2451" i="4"/>
  <c r="H2451" i="4"/>
  <c r="I2451" i="4" s="1"/>
  <c r="K2450" i="4"/>
  <c r="J2450" i="4"/>
  <c r="H2450" i="4"/>
  <c r="I2450" i="4" s="1"/>
  <c r="K2449" i="4"/>
  <c r="J2449" i="4"/>
  <c r="H2449" i="4"/>
  <c r="I2449" i="4" s="1"/>
  <c r="K2448" i="4"/>
  <c r="J2448" i="4"/>
  <c r="H2448" i="4"/>
  <c r="K2447" i="4"/>
  <c r="J2447" i="4"/>
  <c r="H2447" i="4"/>
  <c r="I2447" i="4" s="1"/>
  <c r="K2446" i="4"/>
  <c r="J2446" i="4"/>
  <c r="H2446" i="4"/>
  <c r="K2445" i="4"/>
  <c r="J2445" i="4"/>
  <c r="H2445" i="4"/>
  <c r="K2444" i="4"/>
  <c r="J2444" i="4"/>
  <c r="H2444" i="4"/>
  <c r="I2444" i="4" s="1"/>
  <c r="K2443" i="4"/>
  <c r="J2443" i="4"/>
  <c r="H2443" i="4"/>
  <c r="I2443" i="4" s="1"/>
  <c r="K2442" i="4"/>
  <c r="J2442" i="4"/>
  <c r="H2442" i="4"/>
  <c r="I2442" i="4" s="1"/>
  <c r="K2441" i="4"/>
  <c r="J2441" i="4"/>
  <c r="H2441" i="4"/>
  <c r="I2441" i="4" s="1"/>
  <c r="K2440" i="4"/>
  <c r="J2440" i="4"/>
  <c r="H2440" i="4"/>
  <c r="K2439" i="4"/>
  <c r="J2439" i="4"/>
  <c r="H2439" i="4"/>
  <c r="I2439" i="4" s="1"/>
  <c r="K2438" i="4"/>
  <c r="J2438" i="4"/>
  <c r="H2438" i="4"/>
  <c r="I2438" i="4" s="1"/>
  <c r="K2437" i="4"/>
  <c r="J2437" i="4"/>
  <c r="H2437" i="4"/>
  <c r="I2437" i="4" s="1"/>
  <c r="K2436" i="4"/>
  <c r="J2436" i="4"/>
  <c r="H2436" i="4"/>
  <c r="I2436" i="4" s="1"/>
  <c r="K2435" i="4"/>
  <c r="J2435" i="4"/>
  <c r="H2435" i="4"/>
  <c r="I2435" i="4" s="1"/>
  <c r="K2434" i="4"/>
  <c r="J2434" i="4"/>
  <c r="H2434" i="4"/>
  <c r="K2433" i="4"/>
  <c r="J2433" i="4"/>
  <c r="H2433" i="4"/>
  <c r="I2433" i="4" s="1"/>
  <c r="K2432" i="4"/>
  <c r="J2432" i="4"/>
  <c r="H2432" i="4"/>
  <c r="I2432" i="4" s="1"/>
  <c r="K2431" i="4"/>
  <c r="J2431" i="4"/>
  <c r="H2431" i="4"/>
  <c r="I2431" i="4" s="1"/>
  <c r="K2430" i="4"/>
  <c r="J2430" i="4"/>
  <c r="H2430" i="4"/>
  <c r="I2430" i="4" s="1"/>
  <c r="K2429" i="4"/>
  <c r="J2429" i="4"/>
  <c r="H2429" i="4"/>
  <c r="I2429" i="4" s="1"/>
  <c r="K2428" i="4"/>
  <c r="J2428" i="4"/>
  <c r="H2428" i="4"/>
  <c r="I2428" i="4" s="1"/>
  <c r="K2427" i="4"/>
  <c r="J2427" i="4"/>
  <c r="H2427" i="4"/>
  <c r="I2427" i="4" s="1"/>
  <c r="K2426" i="4"/>
  <c r="J2426" i="4"/>
  <c r="H2426" i="4"/>
  <c r="I2426" i="4" s="1"/>
  <c r="K2425" i="4"/>
  <c r="J2425" i="4"/>
  <c r="H2425" i="4"/>
  <c r="K2424" i="4"/>
  <c r="J2424" i="4"/>
  <c r="H2424" i="4"/>
  <c r="K2423" i="4"/>
  <c r="J2423" i="4"/>
  <c r="H2423" i="4"/>
  <c r="I2423" i="4" s="1"/>
  <c r="K2422" i="4"/>
  <c r="J2422" i="4"/>
  <c r="H2422" i="4"/>
  <c r="I2422" i="4" s="1"/>
  <c r="K2421" i="4"/>
  <c r="J2421" i="4"/>
  <c r="H2421" i="4"/>
  <c r="K2420" i="4"/>
  <c r="J2420" i="4"/>
  <c r="H2420" i="4"/>
  <c r="I2420" i="4" s="1"/>
  <c r="K2419" i="4"/>
  <c r="J2419" i="4"/>
  <c r="H2419" i="4"/>
  <c r="K2418" i="4"/>
  <c r="J2418" i="4"/>
  <c r="H2418" i="4"/>
  <c r="I2418" i="4" s="1"/>
  <c r="K2417" i="4"/>
  <c r="J2417" i="4"/>
  <c r="H2417" i="4"/>
  <c r="I2417" i="4" s="1"/>
  <c r="K2416" i="4"/>
  <c r="J2416" i="4"/>
  <c r="H2416" i="4"/>
  <c r="I2416" i="4" s="1"/>
  <c r="K2415" i="4"/>
  <c r="J2415" i="4"/>
  <c r="H2415" i="4"/>
  <c r="I2415" i="4" s="1"/>
  <c r="K2414" i="4"/>
  <c r="J2414" i="4"/>
  <c r="H2414" i="4"/>
  <c r="I2414" i="4" s="1"/>
  <c r="K2413" i="4"/>
  <c r="J2413" i="4"/>
  <c r="H2413" i="4"/>
  <c r="K2412" i="4"/>
  <c r="J2412" i="4"/>
  <c r="H2412" i="4"/>
  <c r="I2412" i="4" s="1"/>
  <c r="K2411" i="4"/>
  <c r="J2411" i="4"/>
  <c r="H2411" i="4"/>
  <c r="I2411" i="4" s="1"/>
  <c r="K2410" i="4"/>
  <c r="J2410" i="4"/>
  <c r="H2410" i="4"/>
  <c r="I2410" i="4" s="1"/>
  <c r="K2409" i="4"/>
  <c r="J2409" i="4"/>
  <c r="H2409" i="4"/>
  <c r="K2408" i="4"/>
  <c r="J2408" i="4"/>
  <c r="H2408" i="4"/>
  <c r="K2407" i="4"/>
  <c r="J2407" i="4"/>
  <c r="H2407" i="4"/>
  <c r="I2407" i="4" s="1"/>
  <c r="K2406" i="4"/>
  <c r="J2406" i="4"/>
  <c r="H2406" i="4"/>
  <c r="I2406" i="4" s="1"/>
  <c r="K2405" i="4"/>
  <c r="J2405" i="4"/>
  <c r="H2405" i="4"/>
  <c r="I2405" i="4" s="1"/>
  <c r="K2404" i="4"/>
  <c r="J2404" i="4"/>
  <c r="H2404" i="4"/>
  <c r="I2404" i="4" s="1"/>
  <c r="K2403" i="4"/>
  <c r="J2403" i="4"/>
  <c r="H2403" i="4"/>
  <c r="I2403" i="4" s="1"/>
  <c r="K2402" i="4"/>
  <c r="J2402" i="4"/>
  <c r="H2402" i="4"/>
  <c r="K2401" i="4"/>
  <c r="J2401" i="4"/>
  <c r="H2401" i="4"/>
  <c r="K2400" i="4"/>
  <c r="J2400" i="4"/>
  <c r="H2400" i="4"/>
  <c r="K2399" i="4"/>
  <c r="J2399" i="4"/>
  <c r="H2399" i="4"/>
  <c r="I2399" i="4" s="1"/>
  <c r="K2398" i="4"/>
  <c r="J2398" i="4"/>
  <c r="H2398" i="4"/>
  <c r="I2398" i="4" s="1"/>
  <c r="K2397" i="4"/>
  <c r="J2397" i="4"/>
  <c r="I2397" i="4"/>
  <c r="H2397" i="4"/>
  <c r="K2396" i="4"/>
  <c r="J2396" i="4"/>
  <c r="H2396" i="4"/>
  <c r="I2396" i="4" s="1"/>
  <c r="K2395" i="4"/>
  <c r="J2395" i="4"/>
  <c r="H2395" i="4"/>
  <c r="I2395" i="4" s="1"/>
  <c r="K2394" i="4"/>
  <c r="J2394" i="4"/>
  <c r="H2394" i="4"/>
  <c r="I2394" i="4" s="1"/>
  <c r="K2393" i="4"/>
  <c r="J2393" i="4"/>
  <c r="H2393" i="4"/>
  <c r="K2392" i="4"/>
  <c r="J2392" i="4"/>
  <c r="H2392" i="4"/>
  <c r="I2392" i="4" s="1"/>
  <c r="K2391" i="4"/>
  <c r="J2391" i="4"/>
  <c r="L2391" i="4" s="1"/>
  <c r="H2391" i="4"/>
  <c r="I2391" i="4" s="1"/>
  <c r="K2390" i="4"/>
  <c r="J2390" i="4"/>
  <c r="H2390" i="4"/>
  <c r="I2390" i="4" s="1"/>
  <c r="K2389" i="4"/>
  <c r="J2389" i="4"/>
  <c r="H2389" i="4"/>
  <c r="I2389" i="4" s="1"/>
  <c r="K2388" i="4"/>
  <c r="J2388" i="4"/>
  <c r="H2388" i="4"/>
  <c r="K2387" i="4"/>
  <c r="J2387" i="4"/>
  <c r="H2387" i="4"/>
  <c r="I2387" i="4" s="1"/>
  <c r="K2386" i="4"/>
  <c r="J2386" i="4"/>
  <c r="H2386" i="4"/>
  <c r="I2386" i="4" s="1"/>
  <c r="K2385" i="4"/>
  <c r="J2385" i="4"/>
  <c r="H2385" i="4"/>
  <c r="K2384" i="4"/>
  <c r="J2384" i="4"/>
  <c r="H2384" i="4"/>
  <c r="I2384" i="4" s="1"/>
  <c r="K2383" i="4"/>
  <c r="J2383" i="4"/>
  <c r="H2383" i="4"/>
  <c r="I2383" i="4" s="1"/>
  <c r="K2382" i="4"/>
  <c r="J2382" i="4"/>
  <c r="H2382" i="4"/>
  <c r="K2381" i="4"/>
  <c r="J2381" i="4"/>
  <c r="H2381" i="4"/>
  <c r="K2380" i="4"/>
  <c r="J2380" i="4"/>
  <c r="H2380" i="4"/>
  <c r="I2380" i="4" s="1"/>
  <c r="K2379" i="4"/>
  <c r="J2379" i="4"/>
  <c r="H2379" i="4"/>
  <c r="I2379" i="4" s="1"/>
  <c r="K2378" i="4"/>
  <c r="J2378" i="4"/>
  <c r="H2378" i="4"/>
  <c r="I2378" i="4" s="1"/>
  <c r="K2377" i="4"/>
  <c r="J2377" i="4"/>
  <c r="H2377" i="4"/>
  <c r="I2377" i="4" s="1"/>
  <c r="K2376" i="4"/>
  <c r="J2376" i="4"/>
  <c r="H2376" i="4"/>
  <c r="K2375" i="4"/>
  <c r="J2375" i="4"/>
  <c r="H2375" i="4"/>
  <c r="I2375" i="4" s="1"/>
  <c r="K2374" i="4"/>
  <c r="J2374" i="4"/>
  <c r="H2374" i="4"/>
  <c r="I2374" i="4" s="1"/>
  <c r="K2373" i="4"/>
  <c r="J2373" i="4"/>
  <c r="H2373" i="4"/>
  <c r="I2373" i="4" s="1"/>
  <c r="K2372" i="4"/>
  <c r="J2372" i="4"/>
  <c r="H2372" i="4"/>
  <c r="I2372" i="4" s="1"/>
  <c r="K2371" i="4"/>
  <c r="J2371" i="4"/>
  <c r="H2371" i="4"/>
  <c r="I2371" i="4" s="1"/>
  <c r="K2370" i="4"/>
  <c r="J2370" i="4"/>
  <c r="H2370" i="4"/>
  <c r="K2369" i="4"/>
  <c r="J2369" i="4"/>
  <c r="H2369" i="4"/>
  <c r="K2368" i="4"/>
  <c r="J2368" i="4"/>
  <c r="H2368" i="4"/>
  <c r="I2368" i="4" s="1"/>
  <c r="K2367" i="4"/>
  <c r="J2367" i="4"/>
  <c r="H2367" i="4"/>
  <c r="I2367" i="4" s="1"/>
  <c r="K2366" i="4"/>
  <c r="J2366" i="4"/>
  <c r="H2366" i="4"/>
  <c r="I2366" i="4" s="1"/>
  <c r="K2365" i="4"/>
  <c r="J2365" i="4"/>
  <c r="H2365" i="4"/>
  <c r="I2365" i="4" s="1"/>
  <c r="K2364" i="4"/>
  <c r="J2364" i="4"/>
  <c r="H2364" i="4"/>
  <c r="K2363" i="4"/>
  <c r="J2363" i="4"/>
  <c r="H2363" i="4"/>
  <c r="I2363" i="4" s="1"/>
  <c r="K2362" i="4"/>
  <c r="J2362" i="4"/>
  <c r="H2362" i="4"/>
  <c r="K2361" i="4"/>
  <c r="J2361" i="4"/>
  <c r="H2361" i="4"/>
  <c r="I2361" i="4" s="1"/>
  <c r="K2360" i="4"/>
  <c r="J2360" i="4"/>
  <c r="H2360" i="4"/>
  <c r="I2360" i="4" s="1"/>
  <c r="K2359" i="4"/>
  <c r="J2359" i="4"/>
  <c r="H2359" i="4"/>
  <c r="I2359" i="4" s="1"/>
  <c r="K2358" i="4"/>
  <c r="J2358" i="4"/>
  <c r="H2358" i="4"/>
  <c r="K2357" i="4"/>
  <c r="J2357" i="4"/>
  <c r="H2357" i="4"/>
  <c r="K2356" i="4"/>
  <c r="J2356" i="4"/>
  <c r="H2356" i="4"/>
  <c r="I2356" i="4" s="1"/>
  <c r="K2355" i="4"/>
  <c r="J2355" i="4"/>
  <c r="H2355" i="4"/>
  <c r="I2355" i="4" s="1"/>
  <c r="K2354" i="4"/>
  <c r="J2354" i="4"/>
  <c r="H2354" i="4"/>
  <c r="I2354" i="4" s="1"/>
  <c r="K2353" i="4"/>
  <c r="J2353" i="4"/>
  <c r="H2353" i="4"/>
  <c r="I2353" i="4" s="1"/>
  <c r="K2352" i="4"/>
  <c r="J2352" i="4"/>
  <c r="H2352" i="4"/>
  <c r="K2351" i="4"/>
  <c r="J2351" i="4"/>
  <c r="H2351" i="4"/>
  <c r="I2351" i="4" s="1"/>
  <c r="K2350" i="4"/>
  <c r="J2350" i="4"/>
  <c r="H2350" i="4"/>
  <c r="I2350" i="4" s="1"/>
  <c r="K2349" i="4"/>
  <c r="J2349" i="4"/>
  <c r="H2349" i="4"/>
  <c r="I2349" i="4" s="1"/>
  <c r="K2348" i="4"/>
  <c r="J2348" i="4"/>
  <c r="H2348" i="4"/>
  <c r="I2348" i="4" s="1"/>
  <c r="K2347" i="4"/>
  <c r="J2347" i="4"/>
  <c r="H2347" i="4"/>
  <c r="I2347" i="4" s="1"/>
  <c r="K2346" i="4"/>
  <c r="J2346" i="4"/>
  <c r="H2346" i="4"/>
  <c r="K2345" i="4"/>
  <c r="J2345" i="4"/>
  <c r="H2345" i="4"/>
  <c r="K2344" i="4"/>
  <c r="J2344" i="4"/>
  <c r="L2344" i="4" s="1"/>
  <c r="H2344" i="4"/>
  <c r="I2344" i="4" s="1"/>
  <c r="K2343" i="4"/>
  <c r="J2343" i="4"/>
  <c r="H2343" i="4"/>
  <c r="I2343" i="4" s="1"/>
  <c r="K2342" i="4"/>
  <c r="J2342" i="4"/>
  <c r="H2342" i="4"/>
  <c r="I2342" i="4" s="1"/>
  <c r="K2341" i="4"/>
  <c r="J2341" i="4"/>
  <c r="H2341" i="4"/>
  <c r="I2341" i="4" s="1"/>
  <c r="K2340" i="4"/>
  <c r="J2340" i="4"/>
  <c r="H2340" i="4"/>
  <c r="K2339" i="4"/>
  <c r="J2339" i="4"/>
  <c r="H2339" i="4"/>
  <c r="I2339" i="4" s="1"/>
  <c r="K2338" i="4"/>
  <c r="J2338" i="4"/>
  <c r="H2338" i="4"/>
  <c r="I2338" i="4" s="1"/>
  <c r="K2337" i="4"/>
  <c r="J2337" i="4"/>
  <c r="H2337" i="4"/>
  <c r="I2337" i="4" s="1"/>
  <c r="K2336" i="4"/>
  <c r="J2336" i="4"/>
  <c r="H2336" i="4"/>
  <c r="I2336" i="4" s="1"/>
  <c r="K2335" i="4"/>
  <c r="J2335" i="4"/>
  <c r="H2335" i="4"/>
  <c r="I2335" i="4" s="1"/>
  <c r="K2334" i="4"/>
  <c r="J2334" i="4"/>
  <c r="H2334" i="4"/>
  <c r="K2333" i="4"/>
  <c r="J2333" i="4"/>
  <c r="H2333" i="4"/>
  <c r="K2332" i="4"/>
  <c r="J2332" i="4"/>
  <c r="H2332" i="4"/>
  <c r="I2332" i="4" s="1"/>
  <c r="K2331" i="4"/>
  <c r="J2331" i="4"/>
  <c r="H2331" i="4"/>
  <c r="I2331" i="4" s="1"/>
  <c r="K2330" i="4"/>
  <c r="J2330" i="4"/>
  <c r="H2330" i="4"/>
  <c r="I2330" i="4" s="1"/>
  <c r="K2329" i="4"/>
  <c r="J2329" i="4"/>
  <c r="H2329" i="4"/>
  <c r="I2329" i="4" s="1"/>
  <c r="K2328" i="4"/>
  <c r="J2328" i="4"/>
  <c r="H2328" i="4"/>
  <c r="K2327" i="4"/>
  <c r="J2327" i="4"/>
  <c r="H2327" i="4"/>
  <c r="I2327" i="4" s="1"/>
  <c r="K2326" i="4"/>
  <c r="J2326" i="4"/>
  <c r="H2326" i="4"/>
  <c r="I2326" i="4" s="1"/>
  <c r="K2325" i="4"/>
  <c r="J2325" i="4"/>
  <c r="H2325" i="4"/>
  <c r="I2325" i="4" s="1"/>
  <c r="K2324" i="4"/>
  <c r="J2324" i="4"/>
  <c r="H2324" i="4"/>
  <c r="I2324" i="4" s="1"/>
  <c r="K2323" i="4"/>
  <c r="J2323" i="4"/>
  <c r="H2323" i="4"/>
  <c r="I2323" i="4" s="1"/>
  <c r="K2322" i="4"/>
  <c r="J2322" i="4"/>
  <c r="H2322" i="4"/>
  <c r="K2321" i="4"/>
  <c r="J2321" i="4"/>
  <c r="H2321" i="4"/>
  <c r="K2320" i="4"/>
  <c r="J2320" i="4"/>
  <c r="H2320" i="4"/>
  <c r="I2320" i="4" s="1"/>
  <c r="K2319" i="4"/>
  <c r="J2319" i="4"/>
  <c r="H2319" i="4"/>
  <c r="I2319" i="4" s="1"/>
  <c r="K2318" i="4"/>
  <c r="J2318" i="4"/>
  <c r="H2318" i="4"/>
  <c r="I2318" i="4" s="1"/>
  <c r="K2317" i="4"/>
  <c r="J2317" i="4"/>
  <c r="H2317" i="4"/>
  <c r="I2317" i="4" s="1"/>
  <c r="K2316" i="4"/>
  <c r="J2316" i="4"/>
  <c r="H2316" i="4"/>
  <c r="K2315" i="4"/>
  <c r="J2315" i="4"/>
  <c r="H2315" i="4"/>
  <c r="I2315" i="4" s="1"/>
  <c r="K2314" i="4"/>
  <c r="J2314" i="4"/>
  <c r="H2314" i="4"/>
  <c r="I2314" i="4" s="1"/>
  <c r="K2313" i="4"/>
  <c r="J2313" i="4"/>
  <c r="H2313" i="4"/>
  <c r="K2312" i="4"/>
  <c r="J2312" i="4"/>
  <c r="H2312" i="4"/>
  <c r="I2312" i="4" s="1"/>
  <c r="K2311" i="4"/>
  <c r="J2311" i="4"/>
  <c r="H2311" i="4"/>
  <c r="I2311" i="4" s="1"/>
  <c r="K2310" i="4"/>
  <c r="J2310" i="4"/>
  <c r="H2310" i="4"/>
  <c r="K2309" i="4"/>
  <c r="J2309" i="4"/>
  <c r="H2309" i="4"/>
  <c r="K2308" i="4"/>
  <c r="J2308" i="4"/>
  <c r="H2308" i="4"/>
  <c r="I2308" i="4" s="1"/>
  <c r="K2307" i="4"/>
  <c r="J2307" i="4"/>
  <c r="H2307" i="4"/>
  <c r="I2307" i="4" s="1"/>
  <c r="K2306" i="4"/>
  <c r="J2306" i="4"/>
  <c r="H2306" i="4"/>
  <c r="I2306" i="4" s="1"/>
  <c r="K2305" i="4"/>
  <c r="J2305" i="4"/>
  <c r="H2305" i="4"/>
  <c r="I2305" i="4" s="1"/>
  <c r="K2304" i="4"/>
  <c r="J2304" i="4"/>
  <c r="H2304" i="4"/>
  <c r="K2303" i="4"/>
  <c r="J2303" i="4"/>
  <c r="H2303" i="4"/>
  <c r="I2303" i="4" s="1"/>
  <c r="K2302" i="4"/>
  <c r="J2302" i="4"/>
  <c r="H2302" i="4"/>
  <c r="I2302" i="4" s="1"/>
  <c r="K2301" i="4"/>
  <c r="J2301" i="4"/>
  <c r="H2301" i="4"/>
  <c r="I2301" i="4" s="1"/>
  <c r="K2300" i="4"/>
  <c r="J2300" i="4"/>
  <c r="H2300" i="4"/>
  <c r="I2300" i="4" s="1"/>
  <c r="K2299" i="4"/>
  <c r="J2299" i="4"/>
  <c r="H2299" i="4"/>
  <c r="I2299" i="4" s="1"/>
  <c r="K2298" i="4"/>
  <c r="J2298" i="4"/>
  <c r="H2298" i="4"/>
  <c r="K2297" i="4"/>
  <c r="J2297" i="4"/>
  <c r="H2297" i="4"/>
  <c r="K2296" i="4"/>
  <c r="J2296" i="4"/>
  <c r="H2296" i="4"/>
  <c r="I2296" i="4" s="1"/>
  <c r="K2295" i="4"/>
  <c r="J2295" i="4"/>
  <c r="H2295" i="4"/>
  <c r="I2295" i="4" s="1"/>
  <c r="K2294" i="4"/>
  <c r="J2294" i="4"/>
  <c r="H2294" i="4"/>
  <c r="I2294" i="4" s="1"/>
  <c r="K2293" i="4"/>
  <c r="J2293" i="4"/>
  <c r="H2293" i="4"/>
  <c r="I2293" i="4" s="1"/>
  <c r="K2292" i="4"/>
  <c r="J2292" i="4"/>
  <c r="H2292" i="4"/>
  <c r="K2291" i="4"/>
  <c r="J2291" i="4"/>
  <c r="H2291" i="4"/>
  <c r="K2290" i="4"/>
  <c r="J2290" i="4"/>
  <c r="H2290" i="4"/>
  <c r="I2290" i="4" s="1"/>
  <c r="K2289" i="4"/>
  <c r="J2289" i="4"/>
  <c r="H2289" i="4"/>
  <c r="I2289" i="4" s="1"/>
  <c r="K2288" i="4"/>
  <c r="J2288" i="4"/>
  <c r="L2288" i="4" s="1"/>
  <c r="H2288" i="4"/>
  <c r="I2288" i="4" s="1"/>
  <c r="K2287" i="4"/>
  <c r="J2287" i="4"/>
  <c r="H2287" i="4"/>
  <c r="I2287" i="4" s="1"/>
  <c r="K2286" i="4"/>
  <c r="J2286" i="4"/>
  <c r="H2286" i="4"/>
  <c r="K2285" i="4"/>
  <c r="J2285" i="4"/>
  <c r="H2285" i="4"/>
  <c r="K2284" i="4"/>
  <c r="J2284" i="4"/>
  <c r="H2284" i="4"/>
  <c r="I2284" i="4" s="1"/>
  <c r="K2283" i="4"/>
  <c r="J2283" i="4"/>
  <c r="H2283" i="4"/>
  <c r="I2283" i="4" s="1"/>
  <c r="K2282" i="4"/>
  <c r="J2282" i="4"/>
  <c r="H2282" i="4"/>
  <c r="I2282" i="4" s="1"/>
  <c r="K2281" i="4"/>
  <c r="J2281" i="4"/>
  <c r="H2281" i="4"/>
  <c r="I2281" i="4" s="1"/>
  <c r="K2280" i="4"/>
  <c r="J2280" i="4"/>
  <c r="H2280" i="4"/>
  <c r="K2279" i="4"/>
  <c r="J2279" i="4"/>
  <c r="H2279" i="4"/>
  <c r="K2278" i="4"/>
  <c r="J2278" i="4"/>
  <c r="H2278" i="4"/>
  <c r="I2278" i="4" s="1"/>
  <c r="K2277" i="4"/>
  <c r="J2277" i="4"/>
  <c r="H2277" i="4"/>
  <c r="I2277" i="4" s="1"/>
  <c r="K2276" i="4"/>
  <c r="J2276" i="4"/>
  <c r="H2276" i="4"/>
  <c r="I2276" i="4" s="1"/>
  <c r="K2275" i="4"/>
  <c r="J2275" i="4"/>
  <c r="H2275" i="4"/>
  <c r="I2275" i="4" s="1"/>
  <c r="K2274" i="4"/>
  <c r="J2274" i="4"/>
  <c r="H2274" i="4"/>
  <c r="K2273" i="4"/>
  <c r="J2273" i="4"/>
  <c r="H2273" i="4"/>
  <c r="K2272" i="4"/>
  <c r="J2272" i="4"/>
  <c r="L2272" i="4" s="1"/>
  <c r="H2272" i="4"/>
  <c r="I2272" i="4" s="1"/>
  <c r="K2271" i="4"/>
  <c r="J2271" i="4"/>
  <c r="H2271" i="4"/>
  <c r="I2271" i="4" s="1"/>
  <c r="K2270" i="4"/>
  <c r="J2270" i="4"/>
  <c r="H2270" i="4"/>
  <c r="I2270" i="4" s="1"/>
  <c r="K2269" i="4"/>
  <c r="J2269" i="4"/>
  <c r="H2269" i="4"/>
  <c r="I2269" i="4" s="1"/>
  <c r="K2268" i="4"/>
  <c r="J2268" i="4"/>
  <c r="H2268" i="4"/>
  <c r="K2267" i="4"/>
  <c r="J2267" i="4"/>
  <c r="H2267" i="4"/>
  <c r="K2266" i="4"/>
  <c r="J2266" i="4"/>
  <c r="H2266" i="4"/>
  <c r="I2266" i="4" s="1"/>
  <c r="K2265" i="4"/>
  <c r="J2265" i="4"/>
  <c r="H2265" i="4"/>
  <c r="I2265" i="4" s="1"/>
  <c r="K2264" i="4"/>
  <c r="J2264" i="4"/>
  <c r="L2264" i="4" s="1"/>
  <c r="H2264" i="4"/>
  <c r="I2264" i="4" s="1"/>
  <c r="K2263" i="4"/>
  <c r="J2263" i="4"/>
  <c r="H2263" i="4"/>
  <c r="I2263" i="4" s="1"/>
  <c r="K2262" i="4"/>
  <c r="J2262" i="4"/>
  <c r="H2262" i="4"/>
  <c r="K2261" i="4"/>
  <c r="J2261" i="4"/>
  <c r="H2261" i="4"/>
  <c r="K2260" i="4"/>
  <c r="J2260" i="4"/>
  <c r="H2260" i="4"/>
  <c r="I2260" i="4" s="1"/>
  <c r="K2259" i="4"/>
  <c r="J2259" i="4"/>
  <c r="H2259" i="4"/>
  <c r="I2259" i="4" s="1"/>
  <c r="K2258" i="4"/>
  <c r="J2258" i="4"/>
  <c r="H2258" i="4"/>
  <c r="I2258" i="4" s="1"/>
  <c r="K2257" i="4"/>
  <c r="J2257" i="4"/>
  <c r="H2257" i="4"/>
  <c r="I2257" i="4" s="1"/>
  <c r="K2256" i="4"/>
  <c r="J2256" i="4"/>
  <c r="H2256" i="4"/>
  <c r="K2255" i="4"/>
  <c r="J2255" i="4"/>
  <c r="H2255" i="4"/>
  <c r="K2254" i="4"/>
  <c r="J2254" i="4"/>
  <c r="H2254" i="4"/>
  <c r="I2254" i="4" s="1"/>
  <c r="K2253" i="4"/>
  <c r="J2253" i="4"/>
  <c r="H2253" i="4"/>
  <c r="I2253" i="4" s="1"/>
  <c r="K2252" i="4"/>
  <c r="J2252" i="4"/>
  <c r="H2252" i="4"/>
  <c r="I2252" i="4" s="1"/>
  <c r="K2251" i="4"/>
  <c r="J2251" i="4"/>
  <c r="H2251" i="4"/>
  <c r="I2251" i="4" s="1"/>
  <c r="K2250" i="4"/>
  <c r="J2250" i="4"/>
  <c r="H2250" i="4"/>
  <c r="K2249" i="4"/>
  <c r="J2249" i="4"/>
  <c r="H2249" i="4"/>
  <c r="K2248" i="4"/>
  <c r="J2248" i="4"/>
  <c r="H2248" i="4"/>
  <c r="I2248" i="4" s="1"/>
  <c r="K2247" i="4"/>
  <c r="J2247" i="4"/>
  <c r="H2247" i="4"/>
  <c r="I2247" i="4" s="1"/>
  <c r="K2246" i="4"/>
  <c r="J2246" i="4"/>
  <c r="H2246" i="4"/>
  <c r="I2246" i="4" s="1"/>
  <c r="K2245" i="4"/>
  <c r="J2245" i="4"/>
  <c r="H2245" i="4"/>
  <c r="I2245" i="4" s="1"/>
  <c r="K2244" i="4"/>
  <c r="J2244" i="4"/>
  <c r="H2244" i="4"/>
  <c r="K2243" i="4"/>
  <c r="J2243" i="4"/>
  <c r="H2243" i="4"/>
  <c r="K2242" i="4"/>
  <c r="J2242" i="4"/>
  <c r="H2242" i="4"/>
  <c r="I2242" i="4" s="1"/>
  <c r="K2241" i="4"/>
  <c r="J2241" i="4"/>
  <c r="H2241" i="4"/>
  <c r="I2241" i="4" s="1"/>
  <c r="K2240" i="4"/>
  <c r="J2240" i="4"/>
  <c r="H2240" i="4"/>
  <c r="I2240" i="4" s="1"/>
  <c r="K2239" i="4"/>
  <c r="J2239" i="4"/>
  <c r="H2239" i="4"/>
  <c r="I2239" i="4" s="1"/>
  <c r="K2238" i="4"/>
  <c r="J2238" i="4"/>
  <c r="H2238" i="4"/>
  <c r="K2237" i="4"/>
  <c r="J2237" i="4"/>
  <c r="H2237" i="4"/>
  <c r="K2236" i="4"/>
  <c r="J2236" i="4"/>
  <c r="H2236" i="4"/>
  <c r="K2235" i="4"/>
  <c r="J2235" i="4"/>
  <c r="L2235" i="4" s="1"/>
  <c r="H2235" i="4"/>
  <c r="I2235" i="4" s="1"/>
  <c r="K2234" i="4"/>
  <c r="J2234" i="4"/>
  <c r="H2234" i="4"/>
  <c r="I2234" i="4" s="1"/>
  <c r="K2233" i="4"/>
  <c r="J2233" i="4"/>
  <c r="H2233" i="4"/>
  <c r="I2233" i="4" s="1"/>
  <c r="K2232" i="4"/>
  <c r="J2232" i="4"/>
  <c r="H2232" i="4"/>
  <c r="K2231" i="4"/>
  <c r="J2231" i="4"/>
  <c r="H2231" i="4"/>
  <c r="K2230" i="4"/>
  <c r="J2230" i="4"/>
  <c r="H2230" i="4"/>
  <c r="I2230" i="4" s="1"/>
  <c r="K2229" i="4"/>
  <c r="J2229" i="4"/>
  <c r="H2229" i="4"/>
  <c r="I2229" i="4" s="1"/>
  <c r="K2228" i="4"/>
  <c r="J2228" i="4"/>
  <c r="H2228" i="4"/>
  <c r="I2228" i="4" s="1"/>
  <c r="K2227" i="4"/>
  <c r="J2227" i="4"/>
  <c r="H2227" i="4"/>
  <c r="I2227" i="4" s="1"/>
  <c r="K2226" i="4"/>
  <c r="J2226" i="4"/>
  <c r="H2226" i="4"/>
  <c r="K2225" i="4"/>
  <c r="J2225" i="4"/>
  <c r="H2225" i="4"/>
  <c r="K2224" i="4"/>
  <c r="J2224" i="4"/>
  <c r="H2224" i="4"/>
  <c r="I2224" i="4" s="1"/>
  <c r="K2223" i="4"/>
  <c r="J2223" i="4"/>
  <c r="H2223" i="4"/>
  <c r="I2223" i="4" s="1"/>
  <c r="K2222" i="4"/>
  <c r="J2222" i="4"/>
  <c r="H2222" i="4"/>
  <c r="I2222" i="4" s="1"/>
  <c r="K2221" i="4"/>
  <c r="J2221" i="4"/>
  <c r="H2221" i="4"/>
  <c r="I2221" i="4" s="1"/>
  <c r="K2220" i="4"/>
  <c r="J2220" i="4"/>
  <c r="H2220" i="4"/>
  <c r="K2219" i="4"/>
  <c r="J2219" i="4"/>
  <c r="H2219" i="4"/>
  <c r="K2218" i="4"/>
  <c r="J2218" i="4"/>
  <c r="H2218" i="4"/>
  <c r="I2218" i="4" s="1"/>
  <c r="K2217" i="4"/>
  <c r="J2217" i="4"/>
  <c r="H2217" i="4"/>
  <c r="I2217" i="4" s="1"/>
  <c r="K2216" i="4"/>
  <c r="J2216" i="4"/>
  <c r="H2216" i="4"/>
  <c r="I2216" i="4" s="1"/>
  <c r="K2215" i="4"/>
  <c r="J2215" i="4"/>
  <c r="H2215" i="4"/>
  <c r="I2215" i="4" s="1"/>
  <c r="K2214" i="4"/>
  <c r="J2214" i="4"/>
  <c r="H2214" i="4"/>
  <c r="K2213" i="4"/>
  <c r="J2213" i="4"/>
  <c r="H2213" i="4"/>
  <c r="K2212" i="4"/>
  <c r="J2212" i="4"/>
  <c r="H2212" i="4"/>
  <c r="I2212" i="4" s="1"/>
  <c r="K2211" i="4"/>
  <c r="J2211" i="4"/>
  <c r="H2211" i="4"/>
  <c r="I2211" i="4" s="1"/>
  <c r="K2210" i="4"/>
  <c r="J2210" i="4"/>
  <c r="H2210" i="4"/>
  <c r="I2210" i="4" s="1"/>
  <c r="K2209" i="4"/>
  <c r="J2209" i="4"/>
  <c r="H2209" i="4"/>
  <c r="I2209" i="4" s="1"/>
  <c r="K2208" i="4"/>
  <c r="J2208" i="4"/>
  <c r="H2208" i="4"/>
  <c r="K2207" i="4"/>
  <c r="J2207" i="4"/>
  <c r="H2207" i="4"/>
  <c r="K2206" i="4"/>
  <c r="J2206" i="4"/>
  <c r="H2206" i="4"/>
  <c r="I2206" i="4" s="1"/>
  <c r="K2205" i="4"/>
  <c r="J2205" i="4"/>
  <c r="H2205" i="4"/>
  <c r="I2205" i="4" s="1"/>
  <c r="K2204" i="4"/>
  <c r="J2204" i="4"/>
  <c r="H2204" i="4"/>
  <c r="I2204" i="4" s="1"/>
  <c r="K2203" i="4"/>
  <c r="J2203" i="4"/>
  <c r="H2203" i="4"/>
  <c r="I2203" i="4" s="1"/>
  <c r="K2202" i="4"/>
  <c r="J2202" i="4"/>
  <c r="H2202" i="4"/>
  <c r="K2201" i="4"/>
  <c r="J2201" i="4"/>
  <c r="H2201" i="4"/>
  <c r="K2200" i="4"/>
  <c r="J2200" i="4"/>
  <c r="H2200" i="4"/>
  <c r="I2200" i="4" s="1"/>
  <c r="K2199" i="4"/>
  <c r="J2199" i="4"/>
  <c r="H2199" i="4"/>
  <c r="I2199" i="4" s="1"/>
  <c r="K2198" i="4"/>
  <c r="J2198" i="4"/>
  <c r="H2198" i="4"/>
  <c r="I2198" i="4" s="1"/>
  <c r="K2197" i="4"/>
  <c r="J2197" i="4"/>
  <c r="H2197" i="4"/>
  <c r="I2197" i="4" s="1"/>
  <c r="K2196" i="4"/>
  <c r="J2196" i="4"/>
  <c r="H2196" i="4"/>
  <c r="K2195" i="4"/>
  <c r="J2195" i="4"/>
  <c r="H2195" i="4"/>
  <c r="K2194" i="4"/>
  <c r="J2194" i="4"/>
  <c r="H2194" i="4"/>
  <c r="I2194" i="4" s="1"/>
  <c r="K2193" i="4"/>
  <c r="J2193" i="4"/>
  <c r="H2193" i="4"/>
  <c r="I2193" i="4" s="1"/>
  <c r="K2192" i="4"/>
  <c r="J2192" i="4"/>
  <c r="H2192" i="4"/>
  <c r="I2192" i="4" s="1"/>
  <c r="K2191" i="4"/>
  <c r="J2191" i="4"/>
  <c r="H2191" i="4"/>
  <c r="I2191" i="4" s="1"/>
  <c r="K2190" i="4"/>
  <c r="J2190" i="4"/>
  <c r="H2190" i="4"/>
  <c r="K2189" i="4"/>
  <c r="J2189" i="4"/>
  <c r="H2189" i="4"/>
  <c r="K2188" i="4"/>
  <c r="J2188" i="4"/>
  <c r="H2188" i="4"/>
  <c r="I2188" i="4" s="1"/>
  <c r="K2187" i="4"/>
  <c r="J2187" i="4"/>
  <c r="H2187" i="4"/>
  <c r="I2187" i="4" s="1"/>
  <c r="K2186" i="4"/>
  <c r="J2186" i="4"/>
  <c r="L2186" i="4" s="1"/>
  <c r="H2186" i="4"/>
  <c r="I2186" i="4" s="1"/>
  <c r="K2185" i="4"/>
  <c r="J2185" i="4"/>
  <c r="H2185" i="4"/>
  <c r="I2185" i="4" s="1"/>
  <c r="K2184" i="4"/>
  <c r="J2184" i="4"/>
  <c r="H2184" i="4"/>
  <c r="K2183" i="4"/>
  <c r="J2183" i="4"/>
  <c r="H2183" i="4"/>
  <c r="K2182" i="4"/>
  <c r="J2182" i="4"/>
  <c r="L2182" i="4" s="1"/>
  <c r="H2182" i="4"/>
  <c r="I2182" i="4" s="1"/>
  <c r="K2181" i="4"/>
  <c r="J2181" i="4"/>
  <c r="H2181" i="4"/>
  <c r="I2181" i="4" s="1"/>
  <c r="K2180" i="4"/>
  <c r="J2180" i="4"/>
  <c r="H2180" i="4"/>
  <c r="I2180" i="4" s="1"/>
  <c r="K2179" i="4"/>
  <c r="J2179" i="4"/>
  <c r="H2179" i="4"/>
  <c r="I2179" i="4" s="1"/>
  <c r="K2178" i="4"/>
  <c r="J2178" i="4"/>
  <c r="H2178" i="4"/>
  <c r="K2177" i="4"/>
  <c r="J2177" i="4"/>
  <c r="H2177" i="4"/>
  <c r="K2176" i="4"/>
  <c r="J2176" i="4"/>
  <c r="H2176" i="4"/>
  <c r="I2176" i="4" s="1"/>
  <c r="K2175" i="4"/>
  <c r="J2175" i="4"/>
  <c r="H2175" i="4"/>
  <c r="I2175" i="4" s="1"/>
  <c r="K2174" i="4"/>
  <c r="J2174" i="4"/>
  <c r="H2174" i="4"/>
  <c r="I2174" i="4" s="1"/>
  <c r="K2173" i="4"/>
  <c r="J2173" i="4"/>
  <c r="H2173" i="4"/>
  <c r="I2173" i="4" s="1"/>
  <c r="K2172" i="4"/>
  <c r="J2172" i="4"/>
  <c r="H2172" i="4"/>
  <c r="K2171" i="4"/>
  <c r="J2171" i="4"/>
  <c r="H2171" i="4"/>
  <c r="K2170" i="4"/>
  <c r="J2170" i="4"/>
  <c r="H2170" i="4"/>
  <c r="I2170" i="4" s="1"/>
  <c r="K2169" i="4"/>
  <c r="J2169" i="4"/>
  <c r="H2169" i="4"/>
  <c r="I2169" i="4" s="1"/>
  <c r="K2168" i="4"/>
  <c r="J2168" i="4"/>
  <c r="H2168" i="4"/>
  <c r="I2168" i="4" s="1"/>
  <c r="K2167" i="4"/>
  <c r="J2167" i="4"/>
  <c r="H2167" i="4"/>
  <c r="I2167" i="4" s="1"/>
  <c r="K2166" i="4"/>
  <c r="J2166" i="4"/>
  <c r="H2166" i="4"/>
  <c r="K2165" i="4"/>
  <c r="J2165" i="4"/>
  <c r="H2165" i="4"/>
  <c r="K2164" i="4"/>
  <c r="J2164" i="4"/>
  <c r="H2164" i="4"/>
  <c r="I2164" i="4" s="1"/>
  <c r="K2163" i="4"/>
  <c r="J2163" i="4"/>
  <c r="H2163" i="4"/>
  <c r="I2163" i="4" s="1"/>
  <c r="K2162" i="4"/>
  <c r="J2162" i="4"/>
  <c r="H2162" i="4"/>
  <c r="I2162" i="4" s="1"/>
  <c r="K2161" i="4"/>
  <c r="J2161" i="4"/>
  <c r="H2161" i="4"/>
  <c r="I2161" i="4" s="1"/>
  <c r="K2160" i="4"/>
  <c r="J2160" i="4"/>
  <c r="H2160" i="4"/>
  <c r="I2160" i="4" s="1"/>
  <c r="K2159" i="4"/>
  <c r="J2159" i="4"/>
  <c r="H2159" i="4"/>
  <c r="K2158" i="4"/>
  <c r="J2158" i="4"/>
  <c r="H2158" i="4"/>
  <c r="I2158" i="4" s="1"/>
  <c r="K2157" i="4"/>
  <c r="J2157" i="4"/>
  <c r="H2157" i="4"/>
  <c r="I2157" i="4" s="1"/>
  <c r="K2156" i="4"/>
  <c r="J2156" i="4"/>
  <c r="H2156" i="4"/>
  <c r="I2156" i="4" s="1"/>
  <c r="K2155" i="4"/>
  <c r="J2155" i="4"/>
  <c r="H2155" i="4"/>
  <c r="I2155" i="4" s="1"/>
  <c r="K2154" i="4"/>
  <c r="J2154" i="4"/>
  <c r="H2154" i="4"/>
  <c r="K2153" i="4"/>
  <c r="J2153" i="4"/>
  <c r="H2153" i="4"/>
  <c r="K2152" i="4"/>
  <c r="J2152" i="4"/>
  <c r="H2152" i="4"/>
  <c r="I2152" i="4" s="1"/>
  <c r="K2151" i="4"/>
  <c r="J2151" i="4"/>
  <c r="H2151" i="4"/>
  <c r="I2151" i="4" s="1"/>
  <c r="K2150" i="4"/>
  <c r="J2150" i="4"/>
  <c r="H2150" i="4"/>
  <c r="I2150" i="4" s="1"/>
  <c r="K2149" i="4"/>
  <c r="J2149" i="4"/>
  <c r="H2149" i="4"/>
  <c r="I2149" i="4" s="1"/>
  <c r="K2148" i="4"/>
  <c r="J2148" i="4"/>
  <c r="H2148" i="4"/>
  <c r="I2148" i="4" s="1"/>
  <c r="K2147" i="4"/>
  <c r="J2147" i="4"/>
  <c r="H2147" i="4"/>
  <c r="K2146" i="4"/>
  <c r="J2146" i="4"/>
  <c r="H2146" i="4"/>
  <c r="I2146" i="4" s="1"/>
  <c r="K2145" i="4"/>
  <c r="J2145" i="4"/>
  <c r="H2145" i="4"/>
  <c r="I2145" i="4" s="1"/>
  <c r="K2144" i="4"/>
  <c r="J2144" i="4"/>
  <c r="H2144" i="4"/>
  <c r="I2144" i="4" s="1"/>
  <c r="K2143" i="4"/>
  <c r="J2143" i="4"/>
  <c r="H2143" i="4"/>
  <c r="I2143" i="4" s="1"/>
  <c r="K2142" i="4"/>
  <c r="J2142" i="4"/>
  <c r="H2142" i="4"/>
  <c r="K2141" i="4"/>
  <c r="J2141" i="4"/>
  <c r="H2141" i="4"/>
  <c r="K2140" i="4"/>
  <c r="J2140" i="4"/>
  <c r="H2140" i="4"/>
  <c r="I2140" i="4" s="1"/>
  <c r="K2139" i="4"/>
  <c r="J2139" i="4"/>
  <c r="H2139" i="4"/>
  <c r="I2139" i="4" s="1"/>
  <c r="K2138" i="4"/>
  <c r="J2138" i="4"/>
  <c r="H2138" i="4"/>
  <c r="I2138" i="4" s="1"/>
  <c r="K2137" i="4"/>
  <c r="J2137" i="4"/>
  <c r="H2137" i="4"/>
  <c r="I2137" i="4" s="1"/>
  <c r="K2136" i="4"/>
  <c r="J2136" i="4"/>
  <c r="H2136" i="4"/>
  <c r="I2136" i="4" s="1"/>
  <c r="K2135" i="4"/>
  <c r="J2135" i="4"/>
  <c r="H2135" i="4"/>
  <c r="K2134" i="4"/>
  <c r="J2134" i="4"/>
  <c r="H2134" i="4"/>
  <c r="I2134" i="4" s="1"/>
  <c r="K2133" i="4"/>
  <c r="J2133" i="4"/>
  <c r="L2133" i="4" s="1"/>
  <c r="I2133" i="4"/>
  <c r="H2133" i="4"/>
  <c r="K2132" i="4"/>
  <c r="J2132" i="4"/>
  <c r="H2132" i="4"/>
  <c r="I2132" i="4" s="1"/>
  <c r="K2131" i="4"/>
  <c r="J2131" i="4"/>
  <c r="H2131" i="4"/>
  <c r="I2131" i="4" s="1"/>
  <c r="K2130" i="4"/>
  <c r="J2130" i="4"/>
  <c r="H2130" i="4"/>
  <c r="I2130" i="4" s="1"/>
  <c r="K2129" i="4"/>
  <c r="J2129" i="4"/>
  <c r="H2129" i="4"/>
  <c r="K2128" i="4"/>
  <c r="J2128" i="4"/>
  <c r="H2128" i="4"/>
  <c r="I2128" i="4" s="1"/>
  <c r="K2127" i="4"/>
  <c r="J2127" i="4"/>
  <c r="H2127" i="4"/>
  <c r="I2127" i="4" s="1"/>
  <c r="K2126" i="4"/>
  <c r="J2126" i="4"/>
  <c r="H2126" i="4"/>
  <c r="I2126" i="4" s="1"/>
  <c r="K2125" i="4"/>
  <c r="J2125" i="4"/>
  <c r="H2125" i="4"/>
  <c r="I2125" i="4" s="1"/>
  <c r="K2124" i="4"/>
  <c r="J2124" i="4"/>
  <c r="H2124" i="4"/>
  <c r="I2124" i="4" s="1"/>
  <c r="K2123" i="4"/>
  <c r="J2123" i="4"/>
  <c r="H2123" i="4"/>
  <c r="K2122" i="4"/>
  <c r="J2122" i="4"/>
  <c r="H2122" i="4"/>
  <c r="I2122" i="4" s="1"/>
  <c r="K2121" i="4"/>
  <c r="J2121" i="4"/>
  <c r="H2121" i="4"/>
  <c r="I2121" i="4" s="1"/>
  <c r="K2120" i="4"/>
  <c r="J2120" i="4"/>
  <c r="H2120" i="4"/>
  <c r="I2120" i="4" s="1"/>
  <c r="K2119" i="4"/>
  <c r="J2119" i="4"/>
  <c r="H2119" i="4"/>
  <c r="I2119" i="4" s="1"/>
  <c r="K2118" i="4"/>
  <c r="J2118" i="4"/>
  <c r="H2118" i="4"/>
  <c r="I2118" i="4" s="1"/>
  <c r="K2117" i="4"/>
  <c r="J2117" i="4"/>
  <c r="H2117" i="4"/>
  <c r="K2116" i="4"/>
  <c r="J2116" i="4"/>
  <c r="H2116" i="4"/>
  <c r="I2116" i="4" s="1"/>
  <c r="K2115" i="4"/>
  <c r="J2115" i="4"/>
  <c r="H2115" i="4"/>
  <c r="I2115" i="4" s="1"/>
  <c r="K2114" i="4"/>
  <c r="J2114" i="4"/>
  <c r="H2114" i="4"/>
  <c r="I2114" i="4" s="1"/>
  <c r="K2113" i="4"/>
  <c r="J2113" i="4"/>
  <c r="H2113" i="4"/>
  <c r="I2113" i="4" s="1"/>
  <c r="K2112" i="4"/>
  <c r="J2112" i="4"/>
  <c r="H2112" i="4"/>
  <c r="I2112" i="4" s="1"/>
  <c r="K2111" i="4"/>
  <c r="J2111" i="4"/>
  <c r="H2111" i="4"/>
  <c r="K2110" i="4"/>
  <c r="J2110" i="4"/>
  <c r="H2110" i="4"/>
  <c r="I2110" i="4" s="1"/>
  <c r="K2109" i="4"/>
  <c r="J2109" i="4"/>
  <c r="H2109" i="4"/>
  <c r="I2109" i="4" s="1"/>
  <c r="K2108" i="4"/>
  <c r="J2108" i="4"/>
  <c r="H2108" i="4"/>
  <c r="I2108" i="4" s="1"/>
  <c r="K2107" i="4"/>
  <c r="J2107" i="4"/>
  <c r="H2107" i="4"/>
  <c r="I2107" i="4" s="1"/>
  <c r="K2106" i="4"/>
  <c r="J2106" i="4"/>
  <c r="H2106" i="4"/>
  <c r="I2106" i="4" s="1"/>
  <c r="K2105" i="4"/>
  <c r="J2105" i="4"/>
  <c r="H2105" i="4"/>
  <c r="K2104" i="4"/>
  <c r="J2104" i="4"/>
  <c r="H2104" i="4"/>
  <c r="I2104" i="4" s="1"/>
  <c r="K2103" i="4"/>
  <c r="J2103" i="4"/>
  <c r="H2103" i="4"/>
  <c r="I2103" i="4" s="1"/>
  <c r="K2102" i="4"/>
  <c r="J2102" i="4"/>
  <c r="H2102" i="4"/>
  <c r="I2102" i="4" s="1"/>
  <c r="K2101" i="4"/>
  <c r="J2101" i="4"/>
  <c r="H2101" i="4"/>
  <c r="I2101" i="4" s="1"/>
  <c r="K2100" i="4"/>
  <c r="J2100" i="4"/>
  <c r="H2100" i="4"/>
  <c r="I2100" i="4" s="1"/>
  <c r="K2099" i="4"/>
  <c r="J2099" i="4"/>
  <c r="H2099" i="4"/>
  <c r="K2098" i="4"/>
  <c r="J2098" i="4"/>
  <c r="H2098" i="4"/>
  <c r="I2098" i="4" s="1"/>
  <c r="K2097" i="4"/>
  <c r="J2097" i="4"/>
  <c r="H2097" i="4"/>
  <c r="I2097" i="4" s="1"/>
  <c r="K2096" i="4"/>
  <c r="J2096" i="4"/>
  <c r="H2096" i="4"/>
  <c r="I2096" i="4" s="1"/>
  <c r="K2095" i="4"/>
  <c r="J2095" i="4"/>
  <c r="H2095" i="4"/>
  <c r="I2095" i="4" s="1"/>
  <c r="K2094" i="4"/>
  <c r="J2094" i="4"/>
  <c r="H2094" i="4"/>
  <c r="I2094" i="4" s="1"/>
  <c r="K2093" i="4"/>
  <c r="J2093" i="4"/>
  <c r="H2093" i="4"/>
  <c r="K2092" i="4"/>
  <c r="J2092" i="4"/>
  <c r="H2092" i="4"/>
  <c r="I2092" i="4" s="1"/>
  <c r="K2091" i="4"/>
  <c r="J2091" i="4"/>
  <c r="H2091" i="4"/>
  <c r="I2091" i="4" s="1"/>
  <c r="K2090" i="4"/>
  <c r="J2090" i="4"/>
  <c r="H2090" i="4"/>
  <c r="I2090" i="4" s="1"/>
  <c r="K2089" i="4"/>
  <c r="J2089" i="4"/>
  <c r="H2089" i="4"/>
  <c r="I2089" i="4" s="1"/>
  <c r="K2088" i="4"/>
  <c r="J2088" i="4"/>
  <c r="H2088" i="4"/>
  <c r="K2087" i="4"/>
  <c r="J2087" i="4"/>
  <c r="H2087" i="4"/>
  <c r="K2086" i="4"/>
  <c r="J2086" i="4"/>
  <c r="H2086" i="4"/>
  <c r="I2086" i="4" s="1"/>
  <c r="K2085" i="4"/>
  <c r="J2085" i="4"/>
  <c r="H2085" i="4"/>
  <c r="I2085" i="4" s="1"/>
  <c r="K2084" i="4"/>
  <c r="J2084" i="4"/>
  <c r="H2084" i="4"/>
  <c r="I2084" i="4" s="1"/>
  <c r="K2083" i="4"/>
  <c r="J2083" i="4"/>
  <c r="H2083" i="4"/>
  <c r="I2083" i="4" s="1"/>
  <c r="K2082" i="4"/>
  <c r="J2082" i="4"/>
  <c r="H2082" i="4"/>
  <c r="I2082" i="4" s="1"/>
  <c r="K2081" i="4"/>
  <c r="J2081" i="4"/>
  <c r="H2081" i="4"/>
  <c r="K2080" i="4"/>
  <c r="J2080" i="4"/>
  <c r="H2080" i="4"/>
  <c r="I2080" i="4" s="1"/>
  <c r="K2079" i="4"/>
  <c r="J2079" i="4"/>
  <c r="H2079" i="4"/>
  <c r="I2079" i="4" s="1"/>
  <c r="K2078" i="4"/>
  <c r="J2078" i="4"/>
  <c r="H2078" i="4"/>
  <c r="I2078" i="4" s="1"/>
  <c r="K2077" i="4"/>
  <c r="J2077" i="4"/>
  <c r="H2077" i="4"/>
  <c r="I2077" i="4" s="1"/>
  <c r="K2076" i="4"/>
  <c r="J2076" i="4"/>
  <c r="H2076" i="4"/>
  <c r="K2075" i="4"/>
  <c r="J2075" i="4"/>
  <c r="H2075" i="4"/>
  <c r="K2074" i="4"/>
  <c r="J2074" i="4"/>
  <c r="H2074" i="4"/>
  <c r="I2074" i="4" s="1"/>
  <c r="K2073" i="4"/>
  <c r="J2073" i="4"/>
  <c r="H2073" i="4"/>
  <c r="I2073" i="4" s="1"/>
  <c r="K2072" i="4"/>
  <c r="J2072" i="4"/>
  <c r="H2072" i="4"/>
  <c r="I2072" i="4" s="1"/>
  <c r="K2071" i="4"/>
  <c r="J2071" i="4"/>
  <c r="H2071" i="4"/>
  <c r="I2071" i="4" s="1"/>
  <c r="K2070" i="4"/>
  <c r="J2070" i="4"/>
  <c r="H2070" i="4"/>
  <c r="I2070" i="4" s="1"/>
  <c r="K2069" i="4"/>
  <c r="J2069" i="4"/>
  <c r="H2069" i="4"/>
  <c r="K2068" i="4"/>
  <c r="J2068" i="4"/>
  <c r="H2068" i="4"/>
  <c r="I2068" i="4" s="1"/>
  <c r="K2067" i="4"/>
  <c r="J2067" i="4"/>
  <c r="H2067" i="4"/>
  <c r="K2066" i="4"/>
  <c r="J2066" i="4"/>
  <c r="H2066" i="4"/>
  <c r="I2066" i="4" s="1"/>
  <c r="K2065" i="4"/>
  <c r="J2065" i="4"/>
  <c r="H2065" i="4"/>
  <c r="I2065" i="4" s="1"/>
  <c r="K2064" i="4"/>
  <c r="J2064" i="4"/>
  <c r="L2064" i="4" s="1"/>
  <c r="H2064" i="4"/>
  <c r="I2064" i="4" s="1"/>
  <c r="K2063" i="4"/>
  <c r="J2063" i="4"/>
  <c r="H2063" i="4"/>
  <c r="K2062" i="4"/>
  <c r="J2062" i="4"/>
  <c r="H2062" i="4"/>
  <c r="I2062" i="4" s="1"/>
  <c r="K2061" i="4"/>
  <c r="J2061" i="4"/>
  <c r="H2061" i="4"/>
  <c r="I2061" i="4" s="1"/>
  <c r="K2060" i="4"/>
  <c r="J2060" i="4"/>
  <c r="H2060" i="4"/>
  <c r="I2060" i="4" s="1"/>
  <c r="K2059" i="4"/>
  <c r="J2059" i="4"/>
  <c r="H2059" i="4"/>
  <c r="I2059" i="4" s="1"/>
  <c r="K2058" i="4"/>
  <c r="J2058" i="4"/>
  <c r="H2058" i="4"/>
  <c r="I2058" i="4" s="1"/>
  <c r="K2057" i="4"/>
  <c r="J2057" i="4"/>
  <c r="H2057" i="4"/>
  <c r="K2056" i="4"/>
  <c r="J2056" i="4"/>
  <c r="L2056" i="4" s="1"/>
  <c r="H2056" i="4"/>
  <c r="I2056" i="4" s="1"/>
  <c r="K2055" i="4"/>
  <c r="J2055" i="4"/>
  <c r="H2055" i="4"/>
  <c r="I2055" i="4" s="1"/>
  <c r="K2054" i="4"/>
  <c r="J2054" i="4"/>
  <c r="H2054" i="4"/>
  <c r="I2054" i="4" s="1"/>
  <c r="K2053" i="4"/>
  <c r="J2053" i="4"/>
  <c r="H2053" i="4"/>
  <c r="I2053" i="4" s="1"/>
  <c r="K2052" i="4"/>
  <c r="J2052" i="4"/>
  <c r="H2052" i="4"/>
  <c r="I2052" i="4" s="1"/>
  <c r="K2051" i="4"/>
  <c r="J2051" i="4"/>
  <c r="H2051" i="4"/>
  <c r="I2051" i="4" s="1"/>
  <c r="K2050" i="4"/>
  <c r="J2050" i="4"/>
  <c r="H2050" i="4"/>
  <c r="I2050" i="4" s="1"/>
  <c r="K2049" i="4"/>
  <c r="J2049" i="4"/>
  <c r="H2049" i="4"/>
  <c r="I2049" i="4" s="1"/>
  <c r="K2048" i="4"/>
  <c r="J2048" i="4"/>
  <c r="H2048" i="4"/>
  <c r="I2048" i="4" s="1"/>
  <c r="K2047" i="4"/>
  <c r="J2047" i="4"/>
  <c r="H2047" i="4"/>
  <c r="I2047" i="4" s="1"/>
  <c r="K2046" i="4"/>
  <c r="J2046" i="4"/>
  <c r="H2046" i="4"/>
  <c r="I2046" i="4" s="1"/>
  <c r="K2045" i="4"/>
  <c r="J2045" i="4"/>
  <c r="H2045" i="4"/>
  <c r="K2044" i="4"/>
  <c r="J2044" i="4"/>
  <c r="H2044" i="4"/>
  <c r="I2044" i="4" s="1"/>
  <c r="K2043" i="4"/>
  <c r="J2043" i="4"/>
  <c r="H2043" i="4"/>
  <c r="I2043" i="4" s="1"/>
  <c r="K2042" i="4"/>
  <c r="J2042" i="4"/>
  <c r="H2042" i="4"/>
  <c r="I2042" i="4" s="1"/>
  <c r="K2041" i="4"/>
  <c r="J2041" i="4"/>
  <c r="H2041" i="4"/>
  <c r="I2041" i="4" s="1"/>
  <c r="K2040" i="4"/>
  <c r="J2040" i="4"/>
  <c r="H2040" i="4"/>
  <c r="I2040" i="4" s="1"/>
  <c r="K2039" i="4"/>
  <c r="J2039" i="4"/>
  <c r="H2039" i="4"/>
  <c r="I2039" i="4" s="1"/>
  <c r="K2038" i="4"/>
  <c r="J2038" i="4"/>
  <c r="H2038" i="4"/>
  <c r="I2038" i="4" s="1"/>
  <c r="K2037" i="4"/>
  <c r="J2037" i="4"/>
  <c r="H2037" i="4"/>
  <c r="K2036" i="4"/>
  <c r="J2036" i="4"/>
  <c r="L2036" i="4" s="1"/>
  <c r="H2036" i="4"/>
  <c r="I2036" i="4" s="1"/>
  <c r="K2035" i="4"/>
  <c r="J2035" i="4"/>
  <c r="H2035" i="4"/>
  <c r="I2035" i="4" s="1"/>
  <c r="K2034" i="4"/>
  <c r="J2034" i="4"/>
  <c r="H2034" i="4"/>
  <c r="I2034" i="4" s="1"/>
  <c r="K2033" i="4"/>
  <c r="J2033" i="4"/>
  <c r="H2033" i="4"/>
  <c r="I2033" i="4" s="1"/>
  <c r="K2032" i="4"/>
  <c r="J2032" i="4"/>
  <c r="H2032" i="4"/>
  <c r="I2032" i="4" s="1"/>
  <c r="K2031" i="4"/>
  <c r="J2031" i="4"/>
  <c r="H2031" i="4"/>
  <c r="I2031" i="4" s="1"/>
  <c r="K2030" i="4"/>
  <c r="J2030" i="4"/>
  <c r="H2030" i="4"/>
  <c r="I2030" i="4" s="1"/>
  <c r="K2029" i="4"/>
  <c r="J2029" i="4"/>
  <c r="H2029" i="4"/>
  <c r="I2029" i="4" s="1"/>
  <c r="K2028" i="4"/>
  <c r="J2028" i="4"/>
  <c r="H2028" i="4"/>
  <c r="I2028" i="4" s="1"/>
  <c r="K2027" i="4"/>
  <c r="J2027" i="4"/>
  <c r="H2027" i="4"/>
  <c r="I2027" i="4" s="1"/>
  <c r="K2026" i="4"/>
  <c r="J2026" i="4"/>
  <c r="H2026" i="4"/>
  <c r="I2026" i="4" s="1"/>
  <c r="K2025" i="4"/>
  <c r="J2025" i="4"/>
  <c r="H2025" i="4"/>
  <c r="I2025" i="4" s="1"/>
  <c r="K2024" i="4"/>
  <c r="J2024" i="4"/>
  <c r="H2024" i="4"/>
  <c r="I2024" i="4" s="1"/>
  <c r="K2023" i="4"/>
  <c r="J2023" i="4"/>
  <c r="H2023" i="4"/>
  <c r="I2023" i="4" s="1"/>
  <c r="K2022" i="4"/>
  <c r="J2022" i="4"/>
  <c r="H2022" i="4"/>
  <c r="I2022" i="4" s="1"/>
  <c r="K2021" i="4"/>
  <c r="J2021" i="4"/>
  <c r="H2021" i="4"/>
  <c r="K2020" i="4"/>
  <c r="J2020" i="4"/>
  <c r="H2020" i="4"/>
  <c r="I2020" i="4" s="1"/>
  <c r="K2019" i="4"/>
  <c r="J2019" i="4"/>
  <c r="H2019" i="4"/>
  <c r="K2018" i="4"/>
  <c r="J2018" i="4"/>
  <c r="H2018" i="4"/>
  <c r="I2018" i="4" s="1"/>
  <c r="K2017" i="4"/>
  <c r="J2017" i="4"/>
  <c r="H2017" i="4"/>
  <c r="I2017" i="4" s="1"/>
  <c r="K2016" i="4"/>
  <c r="J2016" i="4"/>
  <c r="H2016" i="4"/>
  <c r="I2016" i="4" s="1"/>
  <c r="K2015" i="4"/>
  <c r="J2015" i="4"/>
  <c r="H2015" i="4"/>
  <c r="I2015" i="4" s="1"/>
  <c r="K2014" i="4"/>
  <c r="J2014" i="4"/>
  <c r="H2014" i="4"/>
  <c r="I2014" i="4" s="1"/>
  <c r="K2013" i="4"/>
  <c r="J2013" i="4"/>
  <c r="H2013" i="4"/>
  <c r="I2013" i="4" s="1"/>
  <c r="K2012" i="4"/>
  <c r="J2012" i="4"/>
  <c r="H2012" i="4"/>
  <c r="I2012" i="4" s="1"/>
  <c r="K2011" i="4"/>
  <c r="J2011" i="4"/>
  <c r="H2011" i="4"/>
  <c r="I2011" i="4" s="1"/>
  <c r="K2010" i="4"/>
  <c r="J2010" i="4"/>
  <c r="H2010" i="4"/>
  <c r="I2010" i="4" s="1"/>
  <c r="K2009" i="4"/>
  <c r="J2009" i="4"/>
  <c r="H2009" i="4"/>
  <c r="I2009" i="4" s="1"/>
  <c r="K2008" i="4"/>
  <c r="J2008" i="4"/>
  <c r="H2008" i="4"/>
  <c r="I2008" i="4" s="1"/>
  <c r="K2007" i="4"/>
  <c r="J2007" i="4"/>
  <c r="H2007" i="4"/>
  <c r="I2007" i="4" s="1"/>
  <c r="K2006" i="4"/>
  <c r="J2006" i="4"/>
  <c r="H2006" i="4"/>
  <c r="I2006" i="4" s="1"/>
  <c r="K2005" i="4"/>
  <c r="J2005" i="4"/>
  <c r="H2005" i="4"/>
  <c r="I2005" i="4" s="1"/>
  <c r="K2004" i="4"/>
  <c r="J2004" i="4"/>
  <c r="H2004" i="4"/>
  <c r="I2004" i="4" s="1"/>
  <c r="K2003" i="4"/>
  <c r="J2003" i="4"/>
  <c r="H2003" i="4"/>
  <c r="I2003" i="4" s="1"/>
  <c r="K2002" i="4"/>
  <c r="J2002" i="4"/>
  <c r="H2002" i="4"/>
  <c r="I2002" i="4" s="1"/>
  <c r="K2001" i="4"/>
  <c r="J2001" i="4"/>
  <c r="H2001" i="4"/>
  <c r="I2001" i="4" s="1"/>
  <c r="K2000" i="4"/>
  <c r="J2000" i="4"/>
  <c r="H2000" i="4"/>
  <c r="I2000" i="4" s="1"/>
  <c r="K1999" i="4"/>
  <c r="J1999" i="4"/>
  <c r="H1999" i="4"/>
  <c r="I1999" i="4" s="1"/>
  <c r="K1998" i="4"/>
  <c r="J1998" i="4"/>
  <c r="H1998" i="4"/>
  <c r="I1998" i="4" s="1"/>
  <c r="K1997" i="4"/>
  <c r="J1997" i="4"/>
  <c r="H1997" i="4"/>
  <c r="K1996" i="4"/>
  <c r="J1996" i="4"/>
  <c r="H1996" i="4"/>
  <c r="I1996" i="4" s="1"/>
  <c r="K1995" i="4"/>
  <c r="J1995" i="4"/>
  <c r="H1995" i="4"/>
  <c r="I1995" i="4" s="1"/>
  <c r="K1994" i="4"/>
  <c r="J1994" i="4"/>
  <c r="H1994" i="4"/>
  <c r="I1994" i="4" s="1"/>
  <c r="K1993" i="4"/>
  <c r="J1993" i="4"/>
  <c r="H1993" i="4"/>
  <c r="I1993" i="4" s="1"/>
  <c r="K1992" i="4"/>
  <c r="J1992" i="4"/>
  <c r="H1992" i="4"/>
  <c r="K1991" i="4"/>
  <c r="J1991" i="4"/>
  <c r="H1991" i="4"/>
  <c r="I1991" i="4" s="1"/>
  <c r="K1990" i="4"/>
  <c r="J1990" i="4"/>
  <c r="H1990" i="4"/>
  <c r="I1990" i="4" s="1"/>
  <c r="K1989" i="4"/>
  <c r="J1989" i="4"/>
  <c r="H1989" i="4"/>
  <c r="I1989" i="4" s="1"/>
  <c r="K1988" i="4"/>
  <c r="J1988" i="4"/>
  <c r="H1988" i="4"/>
  <c r="K1987" i="4"/>
  <c r="J1987" i="4"/>
  <c r="H1987" i="4"/>
  <c r="K1986" i="4"/>
  <c r="J1986" i="4"/>
  <c r="H1986" i="4"/>
  <c r="I1986" i="4" s="1"/>
  <c r="K1985" i="4"/>
  <c r="J1985" i="4"/>
  <c r="H1985" i="4"/>
  <c r="I1985" i="4" s="1"/>
  <c r="K1984" i="4"/>
  <c r="J1984" i="4"/>
  <c r="H1984" i="4"/>
  <c r="I1984" i="4" s="1"/>
  <c r="K1983" i="4"/>
  <c r="J1983" i="4"/>
  <c r="H1983" i="4"/>
  <c r="K1982" i="4"/>
  <c r="J1982" i="4"/>
  <c r="H1982" i="4"/>
  <c r="K1981" i="4"/>
  <c r="J1981" i="4"/>
  <c r="H1981" i="4"/>
  <c r="I1981" i="4" s="1"/>
  <c r="K1980" i="4"/>
  <c r="J1980" i="4"/>
  <c r="H1980" i="4"/>
  <c r="I1980" i="4" s="1"/>
  <c r="K1979" i="4"/>
  <c r="J1979" i="4"/>
  <c r="H1979" i="4"/>
  <c r="I1979" i="4" s="1"/>
  <c r="K1978" i="4"/>
  <c r="J1978" i="4"/>
  <c r="H1978" i="4"/>
  <c r="I1978" i="4" s="1"/>
  <c r="K1977" i="4"/>
  <c r="J1977" i="4"/>
  <c r="H1977" i="4"/>
  <c r="I1977" i="4" s="1"/>
  <c r="K1976" i="4"/>
  <c r="J1976" i="4"/>
  <c r="H1976" i="4"/>
  <c r="I1976" i="4" s="1"/>
  <c r="K1975" i="4"/>
  <c r="J1975" i="4"/>
  <c r="H1975" i="4"/>
  <c r="K1974" i="4"/>
  <c r="J1974" i="4"/>
  <c r="H1974" i="4"/>
  <c r="I1974" i="4" s="1"/>
  <c r="K1973" i="4"/>
  <c r="J1973" i="4"/>
  <c r="H1973" i="4"/>
  <c r="I1973" i="4" s="1"/>
  <c r="K1972" i="4"/>
  <c r="J1972" i="4"/>
  <c r="H1972" i="4"/>
  <c r="I1972" i="4" s="1"/>
  <c r="K1971" i="4"/>
  <c r="J1971" i="4"/>
  <c r="H1971" i="4"/>
  <c r="K1970" i="4"/>
  <c r="J1970" i="4"/>
  <c r="H1970" i="4"/>
  <c r="I1970" i="4" s="1"/>
  <c r="K1969" i="4"/>
  <c r="J1969" i="4"/>
  <c r="H1969" i="4"/>
  <c r="I1969" i="4" s="1"/>
  <c r="K1968" i="4"/>
  <c r="J1968" i="4"/>
  <c r="H1968" i="4"/>
  <c r="I1968" i="4" s="1"/>
  <c r="K1967" i="4"/>
  <c r="J1967" i="4"/>
  <c r="H1967" i="4"/>
  <c r="I1967" i="4" s="1"/>
  <c r="K1966" i="4"/>
  <c r="J1966" i="4"/>
  <c r="H1966" i="4"/>
  <c r="I1966" i="4" s="1"/>
  <c r="K1965" i="4"/>
  <c r="J1965" i="4"/>
  <c r="H1965" i="4"/>
  <c r="I1965" i="4" s="1"/>
  <c r="K1964" i="4"/>
  <c r="J1964" i="4"/>
  <c r="H1964" i="4"/>
  <c r="I1964" i="4" s="1"/>
  <c r="K1963" i="4"/>
  <c r="J1963" i="4"/>
  <c r="H1963" i="4"/>
  <c r="K1962" i="4"/>
  <c r="J1962" i="4"/>
  <c r="H1962" i="4"/>
  <c r="I1962" i="4" s="1"/>
  <c r="K1961" i="4"/>
  <c r="J1961" i="4"/>
  <c r="H1961" i="4"/>
  <c r="I1961" i="4" s="1"/>
  <c r="K1960" i="4"/>
  <c r="J1960" i="4"/>
  <c r="H1960" i="4"/>
  <c r="I1960" i="4" s="1"/>
  <c r="K1959" i="4"/>
  <c r="J1959" i="4"/>
  <c r="H1959" i="4"/>
  <c r="I1959" i="4" s="1"/>
  <c r="K1958" i="4"/>
  <c r="J1958" i="4"/>
  <c r="H1958" i="4"/>
  <c r="I1958" i="4" s="1"/>
  <c r="K1957" i="4"/>
  <c r="J1957" i="4"/>
  <c r="H1957" i="4"/>
  <c r="I1957" i="4" s="1"/>
  <c r="K1956" i="4"/>
  <c r="J1956" i="4"/>
  <c r="H1956" i="4"/>
  <c r="I1956" i="4" s="1"/>
  <c r="K1955" i="4"/>
  <c r="J1955" i="4"/>
  <c r="H1955" i="4"/>
  <c r="I1955" i="4" s="1"/>
  <c r="K1954" i="4"/>
  <c r="J1954" i="4"/>
  <c r="H1954" i="4"/>
  <c r="I1954" i="4" s="1"/>
  <c r="K1953" i="4"/>
  <c r="J1953" i="4"/>
  <c r="H1953" i="4"/>
  <c r="I1953" i="4" s="1"/>
  <c r="K1952" i="4"/>
  <c r="J1952" i="4"/>
  <c r="H1952" i="4"/>
  <c r="I1952" i="4" s="1"/>
  <c r="K1951" i="4"/>
  <c r="J1951" i="4"/>
  <c r="H1951" i="4"/>
  <c r="K1950" i="4"/>
  <c r="J1950" i="4"/>
  <c r="H1950" i="4"/>
  <c r="I1950" i="4" s="1"/>
  <c r="K1949" i="4"/>
  <c r="J1949" i="4"/>
  <c r="H1949" i="4"/>
  <c r="I1949" i="4" s="1"/>
  <c r="K1948" i="4"/>
  <c r="J1948" i="4"/>
  <c r="H1948" i="4"/>
  <c r="I1948" i="4" s="1"/>
  <c r="K1947" i="4"/>
  <c r="J1947" i="4"/>
  <c r="H1947" i="4"/>
  <c r="I1947" i="4" s="1"/>
  <c r="K1946" i="4"/>
  <c r="J1946" i="4"/>
  <c r="H1946" i="4"/>
  <c r="I1946" i="4" s="1"/>
  <c r="K1945" i="4"/>
  <c r="J1945" i="4"/>
  <c r="H1945" i="4"/>
  <c r="I1945" i="4" s="1"/>
  <c r="K1944" i="4"/>
  <c r="J1944" i="4"/>
  <c r="H1944" i="4"/>
  <c r="K1943" i="4"/>
  <c r="J1943" i="4"/>
  <c r="H1943" i="4"/>
  <c r="I1943" i="4" s="1"/>
  <c r="K1942" i="4"/>
  <c r="J1942" i="4"/>
  <c r="H1942" i="4"/>
  <c r="I1942" i="4" s="1"/>
  <c r="K1941" i="4"/>
  <c r="J1941" i="4"/>
  <c r="H1941" i="4"/>
  <c r="I1941" i="4" s="1"/>
  <c r="K1940" i="4"/>
  <c r="J1940" i="4"/>
  <c r="H1940" i="4"/>
  <c r="I1940" i="4" s="1"/>
  <c r="K1939" i="4"/>
  <c r="J1939" i="4"/>
  <c r="H1939" i="4"/>
  <c r="K1938" i="4"/>
  <c r="J1938" i="4"/>
  <c r="H1938" i="4"/>
  <c r="I1938" i="4" s="1"/>
  <c r="K1937" i="4"/>
  <c r="J1937" i="4"/>
  <c r="H1937" i="4"/>
  <c r="I1937" i="4" s="1"/>
  <c r="K1936" i="4"/>
  <c r="J1936" i="4"/>
  <c r="H1936" i="4"/>
  <c r="I1936" i="4" s="1"/>
  <c r="K1935" i="4"/>
  <c r="J1935" i="4"/>
  <c r="H1935" i="4"/>
  <c r="K1934" i="4"/>
  <c r="J1934" i="4"/>
  <c r="H1934" i="4"/>
  <c r="I1934" i="4" s="1"/>
  <c r="K1933" i="4"/>
  <c r="J1933" i="4"/>
  <c r="H1933" i="4"/>
  <c r="I1933" i="4" s="1"/>
  <c r="K1932" i="4"/>
  <c r="J1932" i="4"/>
  <c r="H1932" i="4"/>
  <c r="K1931" i="4"/>
  <c r="J1931" i="4"/>
  <c r="H1931" i="4"/>
  <c r="I1931" i="4" s="1"/>
  <c r="K1930" i="4"/>
  <c r="J1930" i="4"/>
  <c r="H1930" i="4"/>
  <c r="I1930" i="4" s="1"/>
  <c r="K1929" i="4"/>
  <c r="J1929" i="4"/>
  <c r="H1929" i="4"/>
  <c r="I1929" i="4" s="1"/>
  <c r="K1928" i="4"/>
  <c r="J1928" i="4"/>
  <c r="H1928" i="4"/>
  <c r="I1928" i="4" s="1"/>
  <c r="K1927" i="4"/>
  <c r="J1927" i="4"/>
  <c r="H1927" i="4"/>
  <c r="K1926" i="4"/>
  <c r="J1926" i="4"/>
  <c r="H1926" i="4"/>
  <c r="I1926" i="4" s="1"/>
  <c r="K1925" i="4"/>
  <c r="J1925" i="4"/>
  <c r="H1925" i="4"/>
  <c r="I1925" i="4" s="1"/>
  <c r="K1924" i="4"/>
  <c r="J1924" i="4"/>
  <c r="H1924" i="4"/>
  <c r="I1924" i="4" s="1"/>
  <c r="K1923" i="4"/>
  <c r="J1923" i="4"/>
  <c r="H1923" i="4"/>
  <c r="I1923" i="4" s="1"/>
  <c r="K1922" i="4"/>
  <c r="J1922" i="4"/>
  <c r="H1922" i="4"/>
  <c r="I1922" i="4" s="1"/>
  <c r="K1921" i="4"/>
  <c r="J1921" i="4"/>
  <c r="H1921" i="4"/>
  <c r="K1920" i="4"/>
  <c r="J1920" i="4"/>
  <c r="H1920" i="4"/>
  <c r="I1920" i="4" s="1"/>
  <c r="K1919" i="4"/>
  <c r="J1919" i="4"/>
  <c r="H1919" i="4"/>
  <c r="I1919" i="4" s="1"/>
  <c r="K1918" i="4"/>
  <c r="J1918" i="4"/>
  <c r="H1918" i="4"/>
  <c r="I1918" i="4" s="1"/>
  <c r="K1917" i="4"/>
  <c r="J1917" i="4"/>
  <c r="H1917" i="4"/>
  <c r="I1917" i="4" s="1"/>
  <c r="K1916" i="4"/>
  <c r="J1916" i="4"/>
  <c r="H1916" i="4"/>
  <c r="I1916" i="4" s="1"/>
  <c r="K1915" i="4"/>
  <c r="J1915" i="4"/>
  <c r="H1915" i="4"/>
  <c r="K1914" i="4"/>
  <c r="J1914" i="4"/>
  <c r="H1914" i="4"/>
  <c r="I1914" i="4" s="1"/>
  <c r="K1913" i="4"/>
  <c r="J1913" i="4"/>
  <c r="H1913" i="4"/>
  <c r="I1913" i="4" s="1"/>
  <c r="K1912" i="4"/>
  <c r="J1912" i="4"/>
  <c r="H1912" i="4"/>
  <c r="I1912" i="4" s="1"/>
  <c r="K1911" i="4"/>
  <c r="J1911" i="4"/>
  <c r="H1911" i="4"/>
  <c r="K1910" i="4"/>
  <c r="J1910" i="4"/>
  <c r="H1910" i="4"/>
  <c r="I1910" i="4" s="1"/>
  <c r="K1909" i="4"/>
  <c r="J1909" i="4"/>
  <c r="H1909" i="4"/>
  <c r="I1909" i="4" s="1"/>
  <c r="K1908" i="4"/>
  <c r="J1908" i="4"/>
  <c r="H1908" i="4"/>
  <c r="I1908" i="4" s="1"/>
  <c r="K1907" i="4"/>
  <c r="J1907" i="4"/>
  <c r="H1907" i="4"/>
  <c r="I1907" i="4" s="1"/>
  <c r="K1906" i="4"/>
  <c r="J1906" i="4"/>
  <c r="H1906" i="4"/>
  <c r="I1906" i="4" s="1"/>
  <c r="K1905" i="4"/>
  <c r="J1905" i="4"/>
  <c r="H1905" i="4"/>
  <c r="I1905" i="4" s="1"/>
  <c r="K1904" i="4"/>
  <c r="J1904" i="4"/>
  <c r="H1904" i="4"/>
  <c r="I1904" i="4" s="1"/>
  <c r="K1903" i="4"/>
  <c r="J1903" i="4"/>
  <c r="H1903" i="4"/>
  <c r="K1902" i="4"/>
  <c r="J1902" i="4"/>
  <c r="H1902" i="4"/>
  <c r="I1902" i="4" s="1"/>
  <c r="K1901" i="4"/>
  <c r="J1901" i="4"/>
  <c r="H1901" i="4"/>
  <c r="I1901" i="4" s="1"/>
  <c r="K1900" i="4"/>
  <c r="J1900" i="4"/>
  <c r="H1900" i="4"/>
  <c r="I1900" i="4" s="1"/>
  <c r="K1899" i="4"/>
  <c r="J1899" i="4"/>
  <c r="I1899" i="4"/>
  <c r="H1899" i="4"/>
  <c r="K1898" i="4"/>
  <c r="J1898" i="4"/>
  <c r="H1898" i="4"/>
  <c r="I1898" i="4" s="1"/>
  <c r="K1897" i="4"/>
  <c r="J1897" i="4"/>
  <c r="H1897" i="4"/>
  <c r="I1897" i="4" s="1"/>
  <c r="K1896" i="4"/>
  <c r="J1896" i="4"/>
  <c r="H1896" i="4"/>
  <c r="I1896" i="4" s="1"/>
  <c r="K1895" i="4"/>
  <c r="J1895" i="4"/>
  <c r="H1895" i="4"/>
  <c r="I1895" i="4" s="1"/>
  <c r="K1894" i="4"/>
  <c r="J1894" i="4"/>
  <c r="H1894" i="4"/>
  <c r="I1894" i="4" s="1"/>
  <c r="K1893" i="4"/>
  <c r="J1893" i="4"/>
  <c r="H1893" i="4"/>
  <c r="I1893" i="4" s="1"/>
  <c r="K1892" i="4"/>
  <c r="J1892" i="4"/>
  <c r="H1892" i="4"/>
  <c r="K1891" i="4"/>
  <c r="J1891" i="4"/>
  <c r="H1891" i="4"/>
  <c r="K1890" i="4"/>
  <c r="J1890" i="4"/>
  <c r="H1890" i="4"/>
  <c r="I1890" i="4" s="1"/>
  <c r="K1889" i="4"/>
  <c r="J1889" i="4"/>
  <c r="H1889" i="4"/>
  <c r="I1889" i="4" s="1"/>
  <c r="K1888" i="4"/>
  <c r="J1888" i="4"/>
  <c r="H1888" i="4"/>
  <c r="I1888" i="4" s="1"/>
  <c r="K1887" i="4"/>
  <c r="J1887" i="4"/>
  <c r="H1887" i="4"/>
  <c r="K1886" i="4"/>
  <c r="J1886" i="4"/>
  <c r="H1886" i="4"/>
  <c r="K1885" i="4"/>
  <c r="J1885" i="4"/>
  <c r="H1885" i="4"/>
  <c r="I1885" i="4" s="1"/>
  <c r="K1884" i="4"/>
  <c r="J1884" i="4"/>
  <c r="H1884" i="4"/>
  <c r="I1884" i="4" s="1"/>
  <c r="K1883" i="4"/>
  <c r="J1883" i="4"/>
  <c r="H1883" i="4"/>
  <c r="I1883" i="4" s="1"/>
  <c r="K1882" i="4"/>
  <c r="J1882" i="4"/>
  <c r="H1882" i="4"/>
  <c r="I1882" i="4" s="1"/>
  <c r="K1881" i="4"/>
  <c r="J1881" i="4"/>
  <c r="H1881" i="4"/>
  <c r="I1881" i="4" s="1"/>
  <c r="K1880" i="4"/>
  <c r="J1880" i="4"/>
  <c r="H1880" i="4"/>
  <c r="I1880" i="4" s="1"/>
  <c r="K1879" i="4"/>
  <c r="J1879" i="4"/>
  <c r="H1879" i="4"/>
  <c r="K1878" i="4"/>
  <c r="J1878" i="4"/>
  <c r="H1878" i="4"/>
  <c r="I1878" i="4" s="1"/>
  <c r="K1877" i="4"/>
  <c r="J1877" i="4"/>
  <c r="H1877" i="4"/>
  <c r="I1877" i="4" s="1"/>
  <c r="K1876" i="4"/>
  <c r="J1876" i="4"/>
  <c r="H1876" i="4"/>
  <c r="I1876" i="4" s="1"/>
  <c r="K1875" i="4"/>
  <c r="J1875" i="4"/>
  <c r="H1875" i="4"/>
  <c r="I1875" i="4" s="1"/>
  <c r="K1874" i="4"/>
  <c r="J1874" i="4"/>
  <c r="H1874" i="4"/>
  <c r="I1874" i="4" s="1"/>
  <c r="K1873" i="4"/>
  <c r="J1873" i="4"/>
  <c r="H1873" i="4"/>
  <c r="I1873" i="4" s="1"/>
  <c r="K1872" i="4"/>
  <c r="J1872" i="4"/>
  <c r="H1872" i="4"/>
  <c r="K1871" i="4"/>
  <c r="J1871" i="4"/>
  <c r="H1871" i="4"/>
  <c r="I1871" i="4" s="1"/>
  <c r="K1870" i="4"/>
  <c r="J1870" i="4"/>
  <c r="H1870" i="4"/>
  <c r="I1870" i="4" s="1"/>
  <c r="K1869" i="4"/>
  <c r="J1869" i="4"/>
  <c r="H1869" i="4"/>
  <c r="I1869" i="4" s="1"/>
  <c r="K1868" i="4"/>
  <c r="J1868" i="4"/>
  <c r="H1868" i="4"/>
  <c r="I1868" i="4" s="1"/>
  <c r="K1867" i="4"/>
  <c r="J1867" i="4"/>
  <c r="H1867" i="4"/>
  <c r="K1866" i="4"/>
  <c r="J1866" i="4"/>
  <c r="H1866" i="4"/>
  <c r="I1866" i="4" s="1"/>
  <c r="K1865" i="4"/>
  <c r="J1865" i="4"/>
  <c r="H1865" i="4"/>
  <c r="I1865" i="4" s="1"/>
  <c r="K1864" i="4"/>
  <c r="J1864" i="4"/>
  <c r="H1864" i="4"/>
  <c r="I1864" i="4" s="1"/>
  <c r="K1863" i="4"/>
  <c r="J1863" i="4"/>
  <c r="H1863" i="4"/>
  <c r="K1862" i="4"/>
  <c r="J1862" i="4"/>
  <c r="H1862" i="4"/>
  <c r="K1861" i="4"/>
  <c r="J1861" i="4"/>
  <c r="H1861" i="4"/>
  <c r="K1860" i="4"/>
  <c r="J1860" i="4"/>
  <c r="H1860" i="4"/>
  <c r="I1860" i="4" s="1"/>
  <c r="K1859" i="4"/>
  <c r="J1859" i="4"/>
  <c r="H1859" i="4"/>
  <c r="I1859" i="4" s="1"/>
  <c r="K1858" i="4"/>
  <c r="J1858" i="4"/>
  <c r="H1858" i="4"/>
  <c r="I1858" i="4" s="1"/>
  <c r="K1857" i="4"/>
  <c r="J1857" i="4"/>
  <c r="H1857" i="4"/>
  <c r="I1857" i="4" s="1"/>
  <c r="K1856" i="4"/>
  <c r="J1856" i="4"/>
  <c r="H1856" i="4"/>
  <c r="I1856" i="4" s="1"/>
  <c r="K1855" i="4"/>
  <c r="J1855" i="4"/>
  <c r="H1855" i="4"/>
  <c r="K1854" i="4"/>
  <c r="J1854" i="4"/>
  <c r="H1854" i="4"/>
  <c r="I1854" i="4" s="1"/>
  <c r="K1853" i="4"/>
  <c r="J1853" i="4"/>
  <c r="H1853" i="4"/>
  <c r="I1853" i="4" s="1"/>
  <c r="K1852" i="4"/>
  <c r="J1852" i="4"/>
  <c r="H1852" i="4"/>
  <c r="I1852" i="4" s="1"/>
  <c r="K1851" i="4"/>
  <c r="J1851" i="4"/>
  <c r="H1851" i="4"/>
  <c r="I1851" i="4" s="1"/>
  <c r="K1850" i="4"/>
  <c r="J1850" i="4"/>
  <c r="H1850" i="4"/>
  <c r="K1849" i="4"/>
  <c r="J1849" i="4"/>
  <c r="H1849" i="4"/>
  <c r="K1848" i="4"/>
  <c r="J1848" i="4"/>
  <c r="H1848" i="4"/>
  <c r="I1848" i="4" s="1"/>
  <c r="K1847" i="4"/>
  <c r="J1847" i="4"/>
  <c r="H1847" i="4"/>
  <c r="I1847" i="4" s="1"/>
  <c r="K1846" i="4"/>
  <c r="J1846" i="4"/>
  <c r="H1846" i="4"/>
  <c r="I1846" i="4" s="1"/>
  <c r="K1845" i="4"/>
  <c r="J1845" i="4"/>
  <c r="H1845" i="4"/>
  <c r="I1845" i="4" s="1"/>
  <c r="K1844" i="4"/>
  <c r="J1844" i="4"/>
  <c r="H1844" i="4"/>
  <c r="I1844" i="4" s="1"/>
  <c r="K1843" i="4"/>
  <c r="J1843" i="4"/>
  <c r="H1843" i="4"/>
  <c r="I1843" i="4" s="1"/>
  <c r="K1842" i="4"/>
  <c r="J1842" i="4"/>
  <c r="H1842" i="4"/>
  <c r="I1842" i="4" s="1"/>
  <c r="K1841" i="4"/>
  <c r="J1841" i="4"/>
  <c r="H1841" i="4"/>
  <c r="I1841" i="4" s="1"/>
  <c r="K1840" i="4"/>
  <c r="J1840" i="4"/>
  <c r="H1840" i="4"/>
  <c r="I1840" i="4" s="1"/>
  <c r="K1839" i="4"/>
  <c r="J1839" i="4"/>
  <c r="H1839" i="4"/>
  <c r="K1838" i="4"/>
  <c r="J1838" i="4"/>
  <c r="H1838" i="4"/>
  <c r="I1838" i="4" s="1"/>
  <c r="K1837" i="4"/>
  <c r="J1837" i="4"/>
  <c r="H1837" i="4"/>
  <c r="I1837" i="4" s="1"/>
  <c r="K1836" i="4"/>
  <c r="J1836" i="4"/>
  <c r="H1836" i="4"/>
  <c r="I1836" i="4" s="1"/>
  <c r="K1835" i="4"/>
  <c r="J1835" i="4"/>
  <c r="H1835" i="4"/>
  <c r="I1835" i="4" s="1"/>
  <c r="K1834" i="4"/>
  <c r="J1834" i="4"/>
  <c r="H1834" i="4"/>
  <c r="I1834" i="4" s="1"/>
  <c r="K1833" i="4"/>
  <c r="J1833" i="4"/>
  <c r="H1833" i="4"/>
  <c r="I1833" i="4" s="1"/>
  <c r="K1832" i="4"/>
  <c r="J1832" i="4"/>
  <c r="H1832" i="4"/>
  <c r="I1832" i="4" s="1"/>
  <c r="K1831" i="4"/>
  <c r="J1831" i="4"/>
  <c r="H1831" i="4"/>
  <c r="I1831" i="4" s="1"/>
  <c r="K1830" i="4"/>
  <c r="J1830" i="4"/>
  <c r="H1830" i="4"/>
  <c r="I1830" i="4" s="1"/>
  <c r="K1829" i="4"/>
  <c r="J1829" i="4"/>
  <c r="H1829" i="4"/>
  <c r="I1829" i="4" s="1"/>
  <c r="K1828" i="4"/>
  <c r="J1828" i="4"/>
  <c r="H1828" i="4"/>
  <c r="I1828" i="4" s="1"/>
  <c r="K1827" i="4"/>
  <c r="J1827" i="4"/>
  <c r="H1827" i="4"/>
  <c r="K1826" i="4"/>
  <c r="J1826" i="4"/>
  <c r="H1826" i="4"/>
  <c r="I1826" i="4" s="1"/>
  <c r="K1825" i="4"/>
  <c r="J1825" i="4"/>
  <c r="H1825" i="4"/>
  <c r="I1825" i="4" s="1"/>
  <c r="K1824" i="4"/>
  <c r="J1824" i="4"/>
  <c r="H1824" i="4"/>
  <c r="I1824" i="4" s="1"/>
  <c r="K1823" i="4"/>
  <c r="J1823" i="4"/>
  <c r="H1823" i="4"/>
  <c r="I1823" i="4" s="1"/>
  <c r="K1822" i="4"/>
  <c r="J1822" i="4"/>
  <c r="H1822" i="4"/>
  <c r="I1822" i="4" s="1"/>
  <c r="K1821" i="4"/>
  <c r="J1821" i="4"/>
  <c r="H1821" i="4"/>
  <c r="I1821" i="4" s="1"/>
  <c r="K1820" i="4"/>
  <c r="J1820" i="4"/>
  <c r="H1820" i="4"/>
  <c r="I1820" i="4" s="1"/>
  <c r="K1819" i="4"/>
  <c r="J1819" i="4"/>
  <c r="H1819" i="4"/>
  <c r="I1819" i="4" s="1"/>
  <c r="K1818" i="4"/>
  <c r="J1818" i="4"/>
  <c r="H1818" i="4"/>
  <c r="I1818" i="4" s="1"/>
  <c r="K1817" i="4"/>
  <c r="J1817" i="4"/>
  <c r="H1817" i="4"/>
  <c r="I1817" i="4" s="1"/>
  <c r="K1816" i="4"/>
  <c r="J1816" i="4"/>
  <c r="H1816" i="4"/>
  <c r="I1816" i="4" s="1"/>
  <c r="K1815" i="4"/>
  <c r="J1815" i="4"/>
  <c r="H1815" i="4"/>
  <c r="K1814" i="4"/>
  <c r="J1814" i="4"/>
  <c r="H1814" i="4"/>
  <c r="I1814" i="4" s="1"/>
  <c r="K1813" i="4"/>
  <c r="J1813" i="4"/>
  <c r="H1813" i="4"/>
  <c r="I1813" i="4" s="1"/>
  <c r="K1812" i="4"/>
  <c r="J1812" i="4"/>
  <c r="H1812" i="4"/>
  <c r="I1812" i="4" s="1"/>
  <c r="K1811" i="4"/>
  <c r="J1811" i="4"/>
  <c r="H1811" i="4"/>
  <c r="I1811" i="4" s="1"/>
  <c r="K1810" i="4"/>
  <c r="J1810" i="4"/>
  <c r="H1810" i="4"/>
  <c r="I1810" i="4" s="1"/>
  <c r="K1809" i="4"/>
  <c r="J1809" i="4"/>
  <c r="H1809" i="4"/>
  <c r="I1809" i="4" s="1"/>
  <c r="K1808" i="4"/>
  <c r="J1808" i="4"/>
  <c r="H1808" i="4"/>
  <c r="I1808" i="4" s="1"/>
  <c r="K1807" i="4"/>
  <c r="J1807" i="4"/>
  <c r="H1807" i="4"/>
  <c r="I1807" i="4" s="1"/>
  <c r="K1806" i="4"/>
  <c r="J1806" i="4"/>
  <c r="H1806" i="4"/>
  <c r="I1806" i="4" s="1"/>
  <c r="K1805" i="4"/>
  <c r="J1805" i="4"/>
  <c r="H1805" i="4"/>
  <c r="I1805" i="4" s="1"/>
  <c r="K1804" i="4"/>
  <c r="J1804" i="4"/>
  <c r="H1804" i="4"/>
  <c r="I1804" i="4" s="1"/>
  <c r="K1803" i="4"/>
  <c r="J1803" i="4"/>
  <c r="H1803" i="4"/>
  <c r="I1803" i="4" s="1"/>
  <c r="K1802" i="4"/>
  <c r="J1802" i="4"/>
  <c r="H1802" i="4"/>
  <c r="I1802" i="4" s="1"/>
  <c r="K1801" i="4"/>
  <c r="J1801" i="4"/>
  <c r="H1801" i="4"/>
  <c r="I1801" i="4" s="1"/>
  <c r="K1800" i="4"/>
  <c r="J1800" i="4"/>
  <c r="H1800" i="4"/>
  <c r="K1799" i="4"/>
  <c r="J1799" i="4"/>
  <c r="H1799" i="4"/>
  <c r="K1798" i="4"/>
  <c r="J1798" i="4"/>
  <c r="H1798" i="4"/>
  <c r="I1798" i="4" s="1"/>
  <c r="K1797" i="4"/>
  <c r="J1797" i="4"/>
  <c r="H1797" i="4"/>
  <c r="I1797" i="4" s="1"/>
  <c r="K1796" i="4"/>
  <c r="J1796" i="4"/>
  <c r="H1796" i="4"/>
  <c r="K1795" i="4"/>
  <c r="J1795" i="4"/>
  <c r="H1795" i="4"/>
  <c r="I1795" i="4" s="1"/>
  <c r="K1794" i="4"/>
  <c r="J1794" i="4"/>
  <c r="H1794" i="4"/>
  <c r="I1794" i="4" s="1"/>
  <c r="K1793" i="4"/>
  <c r="J1793" i="4"/>
  <c r="H1793" i="4"/>
  <c r="I1793" i="4" s="1"/>
  <c r="K1792" i="4"/>
  <c r="J1792" i="4"/>
  <c r="H1792" i="4"/>
  <c r="I1792" i="4" s="1"/>
  <c r="K1791" i="4"/>
  <c r="J1791" i="4"/>
  <c r="H1791" i="4"/>
  <c r="K1790" i="4"/>
  <c r="J1790" i="4"/>
  <c r="H1790" i="4"/>
  <c r="K1789" i="4"/>
  <c r="J1789" i="4"/>
  <c r="I1789" i="4"/>
  <c r="H1789" i="4"/>
  <c r="K1788" i="4"/>
  <c r="J1788" i="4"/>
  <c r="H1788" i="4"/>
  <c r="I1788" i="4" s="1"/>
  <c r="K1787" i="4"/>
  <c r="J1787" i="4"/>
  <c r="H1787" i="4"/>
  <c r="I1787" i="4" s="1"/>
  <c r="K1786" i="4"/>
  <c r="J1786" i="4"/>
  <c r="H1786" i="4"/>
  <c r="I1786" i="4" s="1"/>
  <c r="K1785" i="4"/>
  <c r="J1785" i="4"/>
  <c r="L1785" i="4" s="1"/>
  <c r="H1785" i="4"/>
  <c r="I1785" i="4" s="1"/>
  <c r="K1784" i="4"/>
  <c r="J1784" i="4"/>
  <c r="H1784" i="4"/>
  <c r="I1784" i="4" s="1"/>
  <c r="K1783" i="4"/>
  <c r="J1783" i="4"/>
  <c r="H1783" i="4"/>
  <c r="I1783" i="4" s="1"/>
  <c r="K1782" i="4"/>
  <c r="J1782" i="4"/>
  <c r="H1782" i="4"/>
  <c r="I1782" i="4" s="1"/>
  <c r="K1781" i="4"/>
  <c r="J1781" i="4"/>
  <c r="H1781" i="4"/>
  <c r="I1781" i="4" s="1"/>
  <c r="K1780" i="4"/>
  <c r="J1780" i="4"/>
  <c r="H1780" i="4"/>
  <c r="I1780" i="4" s="1"/>
  <c r="K1779" i="4"/>
  <c r="J1779" i="4"/>
  <c r="H1779" i="4"/>
  <c r="I1779" i="4" s="1"/>
  <c r="K1778" i="4"/>
  <c r="J1778" i="4"/>
  <c r="H1778" i="4"/>
  <c r="I1778" i="4" s="1"/>
  <c r="K1777" i="4"/>
  <c r="J1777" i="4"/>
  <c r="H1777" i="4"/>
  <c r="I1777" i="4" s="1"/>
  <c r="K1776" i="4"/>
  <c r="J1776" i="4"/>
  <c r="H1776" i="4"/>
  <c r="I1776" i="4" s="1"/>
  <c r="K1775" i="4"/>
  <c r="J1775" i="4"/>
  <c r="H1775" i="4"/>
  <c r="K1774" i="4"/>
  <c r="J1774" i="4"/>
  <c r="H1774" i="4"/>
  <c r="I1774" i="4" s="1"/>
  <c r="K1773" i="4"/>
  <c r="J1773" i="4"/>
  <c r="H1773" i="4"/>
  <c r="I1773" i="4" s="1"/>
  <c r="K1772" i="4"/>
  <c r="J1772" i="4"/>
  <c r="H1772" i="4"/>
  <c r="I1772" i="4" s="1"/>
  <c r="K1771" i="4"/>
  <c r="J1771" i="4"/>
  <c r="H1771" i="4"/>
  <c r="I1771" i="4" s="1"/>
  <c r="K1770" i="4"/>
  <c r="J1770" i="4"/>
  <c r="H1770" i="4"/>
  <c r="I1770" i="4" s="1"/>
  <c r="K1769" i="4"/>
  <c r="J1769" i="4"/>
  <c r="L1769" i="4" s="1"/>
  <c r="H1769" i="4"/>
  <c r="I1769" i="4" s="1"/>
  <c r="K1768" i="4"/>
  <c r="J1768" i="4"/>
  <c r="H1768" i="4"/>
  <c r="I1768" i="4" s="1"/>
  <c r="K1767" i="4"/>
  <c r="J1767" i="4"/>
  <c r="H1767" i="4"/>
  <c r="K1766" i="4"/>
  <c r="J1766" i="4"/>
  <c r="H1766" i="4"/>
  <c r="I1766" i="4" s="1"/>
  <c r="K1765" i="4"/>
  <c r="J1765" i="4"/>
  <c r="H1765" i="4"/>
  <c r="I1765" i="4" s="1"/>
  <c r="K1764" i="4"/>
  <c r="J1764" i="4"/>
  <c r="H1764" i="4"/>
  <c r="I1764" i="4" s="1"/>
  <c r="K1763" i="4"/>
  <c r="J1763" i="4"/>
  <c r="H1763" i="4"/>
  <c r="K1762" i="4"/>
  <c r="J1762" i="4"/>
  <c r="H1762" i="4"/>
  <c r="I1762" i="4" s="1"/>
  <c r="K1761" i="4"/>
  <c r="J1761" i="4"/>
  <c r="H1761" i="4"/>
  <c r="I1761" i="4" s="1"/>
  <c r="K1760" i="4"/>
  <c r="J1760" i="4"/>
  <c r="H1760" i="4"/>
  <c r="I1760" i="4" s="1"/>
  <c r="K1759" i="4"/>
  <c r="J1759" i="4"/>
  <c r="H1759" i="4"/>
  <c r="I1759" i="4" s="1"/>
  <c r="K1758" i="4"/>
  <c r="J1758" i="4"/>
  <c r="H1758" i="4"/>
  <c r="I1758" i="4" s="1"/>
  <c r="K1757" i="4"/>
  <c r="J1757" i="4"/>
  <c r="H1757" i="4"/>
  <c r="I1757" i="4" s="1"/>
  <c r="K1756" i="4"/>
  <c r="J1756" i="4"/>
  <c r="H1756" i="4"/>
  <c r="I1756" i="4" s="1"/>
  <c r="K1755" i="4"/>
  <c r="J1755" i="4"/>
  <c r="H1755" i="4"/>
  <c r="K1754" i="4"/>
  <c r="J1754" i="4"/>
  <c r="H1754" i="4"/>
  <c r="I1754" i="4" s="1"/>
  <c r="K1753" i="4"/>
  <c r="J1753" i="4"/>
  <c r="H1753" i="4"/>
  <c r="I1753" i="4" s="1"/>
  <c r="K1752" i="4"/>
  <c r="J1752" i="4"/>
  <c r="H1752" i="4"/>
  <c r="I1752" i="4" s="1"/>
  <c r="K1751" i="4"/>
  <c r="J1751" i="4"/>
  <c r="H1751" i="4"/>
  <c r="I1751" i="4" s="1"/>
  <c r="K1750" i="4"/>
  <c r="J1750" i="4"/>
  <c r="H1750" i="4"/>
  <c r="I1750" i="4" s="1"/>
  <c r="K1749" i="4"/>
  <c r="J1749" i="4"/>
  <c r="H1749" i="4"/>
  <c r="I1749" i="4" s="1"/>
  <c r="K1748" i="4"/>
  <c r="J1748" i="4"/>
  <c r="H1748" i="4"/>
  <c r="I1748" i="4" s="1"/>
  <c r="K1747" i="4"/>
  <c r="J1747" i="4"/>
  <c r="H1747" i="4"/>
  <c r="I1747" i="4" s="1"/>
  <c r="K1746" i="4"/>
  <c r="J1746" i="4"/>
  <c r="H1746" i="4"/>
  <c r="I1746" i="4" s="1"/>
  <c r="K1745" i="4"/>
  <c r="J1745" i="4"/>
  <c r="H1745" i="4"/>
  <c r="I1745" i="4" s="1"/>
  <c r="K1744" i="4"/>
  <c r="J1744" i="4"/>
  <c r="H1744" i="4"/>
  <c r="I1744" i="4" s="1"/>
  <c r="K1743" i="4"/>
  <c r="J1743" i="4"/>
  <c r="H1743" i="4"/>
  <c r="I1743" i="4" s="1"/>
  <c r="K1742" i="4"/>
  <c r="J1742" i="4"/>
  <c r="L1742" i="4" s="1"/>
  <c r="H1742" i="4"/>
  <c r="I1742" i="4" s="1"/>
  <c r="K1741" i="4"/>
  <c r="J1741" i="4"/>
  <c r="H1741" i="4"/>
  <c r="I1741" i="4" s="1"/>
  <c r="K1740" i="4"/>
  <c r="J1740" i="4"/>
  <c r="H1740" i="4"/>
  <c r="I1740" i="4" s="1"/>
  <c r="K1739" i="4"/>
  <c r="J1739" i="4"/>
  <c r="H1739" i="4"/>
  <c r="I1739" i="4" s="1"/>
  <c r="K1738" i="4"/>
  <c r="J1738" i="4"/>
  <c r="H1738" i="4"/>
  <c r="I1738" i="4" s="1"/>
  <c r="K1737" i="4"/>
  <c r="J1737" i="4"/>
  <c r="H1737" i="4"/>
  <c r="I1737" i="4" s="1"/>
  <c r="K1736" i="4"/>
  <c r="J1736" i="4"/>
  <c r="H1736" i="4"/>
  <c r="I1736" i="4" s="1"/>
  <c r="K1735" i="4"/>
  <c r="J1735" i="4"/>
  <c r="H1735" i="4"/>
  <c r="I1735" i="4" s="1"/>
  <c r="K1734" i="4"/>
  <c r="J1734" i="4"/>
  <c r="H1734" i="4"/>
  <c r="I1734" i="4" s="1"/>
  <c r="K1733" i="4"/>
  <c r="J1733" i="4"/>
  <c r="H1733" i="4"/>
  <c r="I1733" i="4" s="1"/>
  <c r="K1732" i="4"/>
  <c r="J1732" i="4"/>
  <c r="H1732" i="4"/>
  <c r="I1732" i="4" s="1"/>
  <c r="K1731" i="4"/>
  <c r="J1731" i="4"/>
  <c r="H1731" i="4"/>
  <c r="I1731" i="4" s="1"/>
  <c r="K1730" i="4"/>
  <c r="J1730" i="4"/>
  <c r="H1730" i="4"/>
  <c r="I1730" i="4" s="1"/>
  <c r="K1729" i="4"/>
  <c r="J1729" i="4"/>
  <c r="H1729" i="4"/>
  <c r="I1729" i="4" s="1"/>
  <c r="K1728" i="4"/>
  <c r="J1728" i="4"/>
  <c r="H1728" i="4"/>
  <c r="I1728" i="4" s="1"/>
  <c r="K1727" i="4"/>
  <c r="J1727" i="4"/>
  <c r="H1727" i="4"/>
  <c r="I1727" i="4" s="1"/>
  <c r="K1726" i="4"/>
  <c r="J1726" i="4"/>
  <c r="H1726" i="4"/>
  <c r="I1726" i="4" s="1"/>
  <c r="K1725" i="4"/>
  <c r="J1725" i="4"/>
  <c r="H1725" i="4"/>
  <c r="I1725" i="4" s="1"/>
  <c r="K1724" i="4"/>
  <c r="J1724" i="4"/>
  <c r="H1724" i="4"/>
  <c r="I1724" i="4" s="1"/>
  <c r="K1723" i="4"/>
  <c r="J1723" i="4"/>
  <c r="H1723" i="4"/>
  <c r="I1723" i="4" s="1"/>
  <c r="K1722" i="4"/>
  <c r="J1722" i="4"/>
  <c r="H1722" i="4"/>
  <c r="I1722" i="4" s="1"/>
  <c r="K1721" i="4"/>
  <c r="J1721" i="4"/>
  <c r="H1721" i="4"/>
  <c r="I1721" i="4" s="1"/>
  <c r="K1720" i="4"/>
  <c r="J1720" i="4"/>
  <c r="H1720" i="4"/>
  <c r="I1720" i="4" s="1"/>
  <c r="K1719" i="4"/>
  <c r="J1719" i="4"/>
  <c r="H1719" i="4"/>
  <c r="K1718" i="4"/>
  <c r="J1718" i="4"/>
  <c r="H1718" i="4"/>
  <c r="K1717" i="4"/>
  <c r="J1717" i="4"/>
  <c r="H1717" i="4"/>
  <c r="I1717" i="4" s="1"/>
  <c r="K1716" i="4"/>
  <c r="J1716" i="4"/>
  <c r="H1716" i="4"/>
  <c r="I1716" i="4" s="1"/>
  <c r="K1715" i="4"/>
  <c r="J1715" i="4"/>
  <c r="H1715" i="4"/>
  <c r="I1715" i="4" s="1"/>
  <c r="K1714" i="4"/>
  <c r="J1714" i="4"/>
  <c r="H1714" i="4"/>
  <c r="I1714" i="4" s="1"/>
  <c r="K1713" i="4"/>
  <c r="J1713" i="4"/>
  <c r="H1713" i="4"/>
  <c r="I1713" i="4" s="1"/>
  <c r="K1712" i="4"/>
  <c r="J1712" i="4"/>
  <c r="H1712" i="4"/>
  <c r="I1712" i="4" s="1"/>
  <c r="K1711" i="4"/>
  <c r="J1711" i="4"/>
  <c r="H1711" i="4"/>
  <c r="I1711" i="4" s="1"/>
  <c r="K1710" i="4"/>
  <c r="J1710" i="4"/>
  <c r="H1710" i="4"/>
  <c r="I1710" i="4" s="1"/>
  <c r="K1709" i="4"/>
  <c r="J1709" i="4"/>
  <c r="H1709" i="4"/>
  <c r="I1709" i="4" s="1"/>
  <c r="K1708" i="4"/>
  <c r="J1708" i="4"/>
  <c r="H1708" i="4"/>
  <c r="I1708" i="4" s="1"/>
  <c r="K1707" i="4"/>
  <c r="J1707" i="4"/>
  <c r="H1707" i="4"/>
  <c r="K1706" i="4"/>
  <c r="J1706" i="4"/>
  <c r="H1706" i="4"/>
  <c r="K1705" i="4"/>
  <c r="J1705" i="4"/>
  <c r="H1705" i="4"/>
  <c r="I1705" i="4" s="1"/>
  <c r="K1704" i="4"/>
  <c r="J1704" i="4"/>
  <c r="H1704" i="4"/>
  <c r="I1704" i="4" s="1"/>
  <c r="K1703" i="4"/>
  <c r="J1703" i="4"/>
  <c r="H1703" i="4"/>
  <c r="K1702" i="4"/>
  <c r="J1702" i="4"/>
  <c r="H1702" i="4"/>
  <c r="I1702" i="4" s="1"/>
  <c r="K1701" i="4"/>
  <c r="J1701" i="4"/>
  <c r="H1701" i="4"/>
  <c r="I1701" i="4" s="1"/>
  <c r="K1700" i="4"/>
  <c r="J1700" i="4"/>
  <c r="H1700" i="4"/>
  <c r="I1700" i="4" s="1"/>
  <c r="K1699" i="4"/>
  <c r="J1699" i="4"/>
  <c r="H1699" i="4"/>
  <c r="I1699" i="4" s="1"/>
  <c r="K1698" i="4"/>
  <c r="J1698" i="4"/>
  <c r="H1698" i="4"/>
  <c r="I1698" i="4" s="1"/>
  <c r="K1697" i="4"/>
  <c r="J1697" i="4"/>
  <c r="H1697" i="4"/>
  <c r="I1697" i="4" s="1"/>
  <c r="K1696" i="4"/>
  <c r="J1696" i="4"/>
  <c r="H1696" i="4"/>
  <c r="I1696" i="4" s="1"/>
  <c r="K1695" i="4"/>
  <c r="J1695" i="4"/>
  <c r="H1695" i="4"/>
  <c r="K1694" i="4"/>
  <c r="J1694" i="4"/>
  <c r="H1694" i="4"/>
  <c r="I1694" i="4" s="1"/>
  <c r="K1693" i="4"/>
  <c r="J1693" i="4"/>
  <c r="H1693" i="4"/>
  <c r="I1693" i="4" s="1"/>
  <c r="K1692" i="4"/>
  <c r="J1692" i="4"/>
  <c r="H1692" i="4"/>
  <c r="I1692" i="4" s="1"/>
  <c r="K1691" i="4"/>
  <c r="J1691" i="4"/>
  <c r="H1691" i="4"/>
  <c r="I1691" i="4" s="1"/>
  <c r="K1690" i="4"/>
  <c r="J1690" i="4"/>
  <c r="H1690" i="4"/>
  <c r="I1690" i="4" s="1"/>
  <c r="K1689" i="4"/>
  <c r="J1689" i="4"/>
  <c r="H1689" i="4"/>
  <c r="I1689" i="4" s="1"/>
  <c r="K1688" i="4"/>
  <c r="J1688" i="4"/>
  <c r="H1688" i="4"/>
  <c r="I1688" i="4" s="1"/>
  <c r="K1687" i="4"/>
  <c r="J1687" i="4"/>
  <c r="H1687" i="4"/>
  <c r="I1687" i="4" s="1"/>
  <c r="K1686" i="4"/>
  <c r="J1686" i="4"/>
  <c r="H1686" i="4"/>
  <c r="I1686" i="4" s="1"/>
  <c r="K1685" i="4"/>
  <c r="J1685" i="4"/>
  <c r="H1685" i="4"/>
  <c r="I1685" i="4" s="1"/>
  <c r="K1684" i="4"/>
  <c r="J1684" i="4"/>
  <c r="H1684" i="4"/>
  <c r="I1684" i="4" s="1"/>
  <c r="K1683" i="4"/>
  <c r="J1683" i="4"/>
  <c r="H1683" i="4"/>
  <c r="K1682" i="4"/>
  <c r="J1682" i="4"/>
  <c r="H1682" i="4"/>
  <c r="I1682" i="4" s="1"/>
  <c r="K1681" i="4"/>
  <c r="J1681" i="4"/>
  <c r="H1681" i="4"/>
  <c r="I1681" i="4" s="1"/>
  <c r="K1680" i="4"/>
  <c r="J1680" i="4"/>
  <c r="H1680" i="4"/>
  <c r="I1680" i="4" s="1"/>
  <c r="K1679" i="4"/>
  <c r="J1679" i="4"/>
  <c r="H1679" i="4"/>
  <c r="I1679" i="4" s="1"/>
  <c r="K1678" i="4"/>
  <c r="J1678" i="4"/>
  <c r="H1678" i="4"/>
  <c r="I1678" i="4" s="1"/>
  <c r="K1677" i="4"/>
  <c r="J1677" i="4"/>
  <c r="H1677" i="4"/>
  <c r="I1677" i="4" s="1"/>
  <c r="K1676" i="4"/>
  <c r="J1676" i="4"/>
  <c r="H1676" i="4"/>
  <c r="I1676" i="4" s="1"/>
  <c r="K1675" i="4"/>
  <c r="J1675" i="4"/>
  <c r="H1675" i="4"/>
  <c r="I1675" i="4" s="1"/>
  <c r="K1674" i="4"/>
  <c r="J1674" i="4"/>
  <c r="H1674" i="4"/>
  <c r="I1674" i="4" s="1"/>
  <c r="K1673" i="4"/>
  <c r="J1673" i="4"/>
  <c r="H1673" i="4"/>
  <c r="I1673" i="4" s="1"/>
  <c r="K1672" i="4"/>
  <c r="J1672" i="4"/>
  <c r="H1672" i="4"/>
  <c r="I1672" i="4" s="1"/>
  <c r="K1671" i="4"/>
  <c r="J1671" i="4"/>
  <c r="H1671" i="4"/>
  <c r="K1670" i="4"/>
  <c r="J1670" i="4"/>
  <c r="H1670" i="4"/>
  <c r="I1670" i="4" s="1"/>
  <c r="K1669" i="4"/>
  <c r="J1669" i="4"/>
  <c r="I1669" i="4"/>
  <c r="H1669" i="4"/>
  <c r="K1668" i="4"/>
  <c r="J1668" i="4"/>
  <c r="H1668" i="4"/>
  <c r="I1668" i="4" s="1"/>
  <c r="K1667" i="4"/>
  <c r="J1667" i="4"/>
  <c r="H1667" i="4"/>
  <c r="I1667" i="4" s="1"/>
  <c r="K1666" i="4"/>
  <c r="J1666" i="4"/>
  <c r="H1666" i="4"/>
  <c r="I1666" i="4" s="1"/>
  <c r="K1665" i="4"/>
  <c r="J1665" i="4"/>
  <c r="L1665" i="4" s="1"/>
  <c r="H1665" i="4"/>
  <c r="I1665" i="4" s="1"/>
  <c r="K1664" i="4"/>
  <c r="J1664" i="4"/>
  <c r="H1664" i="4"/>
  <c r="I1664" i="4" s="1"/>
  <c r="K1663" i="4"/>
  <c r="J1663" i="4"/>
  <c r="H1663" i="4"/>
  <c r="I1663" i="4" s="1"/>
  <c r="K1662" i="4"/>
  <c r="J1662" i="4"/>
  <c r="H1662" i="4"/>
  <c r="I1662" i="4" s="1"/>
  <c r="K1661" i="4"/>
  <c r="J1661" i="4"/>
  <c r="H1661" i="4"/>
  <c r="I1661" i="4" s="1"/>
  <c r="K1660" i="4"/>
  <c r="J1660" i="4"/>
  <c r="H1660" i="4"/>
  <c r="I1660" i="4" s="1"/>
  <c r="K1659" i="4"/>
  <c r="J1659" i="4"/>
  <c r="H1659" i="4"/>
  <c r="K1658" i="4"/>
  <c r="J1658" i="4"/>
  <c r="H1658" i="4"/>
  <c r="I1658" i="4" s="1"/>
  <c r="K1657" i="4"/>
  <c r="J1657" i="4"/>
  <c r="H1657" i="4"/>
  <c r="I1657" i="4" s="1"/>
  <c r="K1656" i="4"/>
  <c r="J1656" i="4"/>
  <c r="I1656" i="4"/>
  <c r="H1656" i="4"/>
  <c r="K1655" i="4"/>
  <c r="J1655" i="4"/>
  <c r="H1655" i="4"/>
  <c r="I1655" i="4" s="1"/>
  <c r="K1654" i="4"/>
  <c r="J1654" i="4"/>
  <c r="H1654" i="4"/>
  <c r="I1654" i="4" s="1"/>
  <c r="K1653" i="4"/>
  <c r="J1653" i="4"/>
  <c r="H1653" i="4"/>
  <c r="I1653" i="4" s="1"/>
  <c r="K1652" i="4"/>
  <c r="J1652" i="4"/>
  <c r="H1652" i="4"/>
  <c r="I1652" i="4" s="1"/>
  <c r="K1651" i="4"/>
  <c r="J1651" i="4"/>
  <c r="H1651" i="4"/>
  <c r="I1651" i="4" s="1"/>
  <c r="K1650" i="4"/>
  <c r="J1650" i="4"/>
  <c r="H1650" i="4"/>
  <c r="I1650" i="4" s="1"/>
  <c r="K1649" i="4"/>
  <c r="J1649" i="4"/>
  <c r="H1649" i="4"/>
  <c r="I1649" i="4" s="1"/>
  <c r="K1648" i="4"/>
  <c r="J1648" i="4"/>
  <c r="H1648" i="4"/>
  <c r="I1648" i="4" s="1"/>
  <c r="K1647" i="4"/>
  <c r="J1647" i="4"/>
  <c r="I1647" i="4"/>
  <c r="H1647" i="4"/>
  <c r="K1646" i="4"/>
  <c r="J1646" i="4"/>
  <c r="H1646" i="4"/>
  <c r="I1646" i="4" s="1"/>
  <c r="K1645" i="4"/>
  <c r="J1645" i="4"/>
  <c r="H1645" i="4"/>
  <c r="I1645" i="4" s="1"/>
  <c r="K1644" i="4"/>
  <c r="J1644" i="4"/>
  <c r="H1644" i="4"/>
  <c r="I1644" i="4" s="1"/>
  <c r="K1643" i="4"/>
  <c r="J1643" i="4"/>
  <c r="H1643" i="4"/>
  <c r="I1643" i="4" s="1"/>
  <c r="K1642" i="4"/>
  <c r="J1642" i="4"/>
  <c r="H1642" i="4"/>
  <c r="I1642" i="4" s="1"/>
  <c r="K1641" i="4"/>
  <c r="J1641" i="4"/>
  <c r="H1641" i="4"/>
  <c r="I1641" i="4" s="1"/>
  <c r="K1640" i="4"/>
  <c r="J1640" i="4"/>
  <c r="H1640" i="4"/>
  <c r="I1640" i="4" s="1"/>
  <c r="K1639" i="4"/>
  <c r="J1639" i="4"/>
  <c r="H1639" i="4"/>
  <c r="I1639" i="4" s="1"/>
  <c r="K1638" i="4"/>
  <c r="J1638" i="4"/>
  <c r="H1638" i="4"/>
  <c r="I1638" i="4" s="1"/>
  <c r="K1637" i="4"/>
  <c r="J1637" i="4"/>
  <c r="H1637" i="4"/>
  <c r="I1637" i="4" s="1"/>
  <c r="K1636" i="4"/>
  <c r="J1636" i="4"/>
  <c r="H1636" i="4"/>
  <c r="I1636" i="4" s="1"/>
  <c r="K1635" i="4"/>
  <c r="J1635" i="4"/>
  <c r="H1635" i="4"/>
  <c r="I1635" i="4" s="1"/>
  <c r="K1634" i="4"/>
  <c r="J1634" i="4"/>
  <c r="H1634" i="4"/>
  <c r="I1634" i="4" s="1"/>
  <c r="K1633" i="4"/>
  <c r="J1633" i="4"/>
  <c r="H1633" i="4"/>
  <c r="I1633" i="4" s="1"/>
  <c r="K1632" i="4"/>
  <c r="J1632" i="4"/>
  <c r="H1632" i="4"/>
  <c r="I1632" i="4" s="1"/>
  <c r="K1631" i="4"/>
  <c r="J1631" i="4"/>
  <c r="H1631" i="4"/>
  <c r="I1631" i="4" s="1"/>
  <c r="K1630" i="4"/>
  <c r="J1630" i="4"/>
  <c r="H1630" i="4"/>
  <c r="I1630" i="4" s="1"/>
  <c r="K1629" i="4"/>
  <c r="J1629" i="4"/>
  <c r="H1629" i="4"/>
  <c r="I1629" i="4" s="1"/>
  <c r="K1628" i="4"/>
  <c r="J1628" i="4"/>
  <c r="H1628" i="4"/>
  <c r="I1628" i="4" s="1"/>
  <c r="K1627" i="4"/>
  <c r="J1627" i="4"/>
  <c r="H1627" i="4"/>
  <c r="I1627" i="4" s="1"/>
  <c r="K1626" i="4"/>
  <c r="J1626" i="4"/>
  <c r="H1626" i="4"/>
  <c r="I1626" i="4" s="1"/>
  <c r="K1625" i="4"/>
  <c r="J1625" i="4"/>
  <c r="H1625" i="4"/>
  <c r="I1625" i="4" s="1"/>
  <c r="K1624" i="4"/>
  <c r="J1624" i="4"/>
  <c r="H1624" i="4"/>
  <c r="I1624" i="4" s="1"/>
  <c r="K1623" i="4"/>
  <c r="J1623" i="4"/>
  <c r="H1623" i="4"/>
  <c r="K1622" i="4"/>
  <c r="J1622" i="4"/>
  <c r="L1622" i="4" s="1"/>
  <c r="I1622" i="4"/>
  <c r="H1622" i="4"/>
  <c r="K1621" i="4"/>
  <c r="J1621" i="4"/>
  <c r="H1621" i="4"/>
  <c r="I1621" i="4" s="1"/>
  <c r="K1620" i="4"/>
  <c r="J1620" i="4"/>
  <c r="H1620" i="4"/>
  <c r="I1620" i="4" s="1"/>
  <c r="K1619" i="4"/>
  <c r="J1619" i="4"/>
  <c r="H1619" i="4"/>
  <c r="I1619" i="4" s="1"/>
  <c r="K1618" i="4"/>
  <c r="J1618" i="4"/>
  <c r="L1618" i="4" s="1"/>
  <c r="H1618" i="4"/>
  <c r="I1618" i="4" s="1"/>
  <c r="K1617" i="4"/>
  <c r="J1617" i="4"/>
  <c r="H1617" i="4"/>
  <c r="I1617" i="4" s="1"/>
  <c r="K1616" i="4"/>
  <c r="J1616" i="4"/>
  <c r="H1616" i="4"/>
  <c r="I1616" i="4" s="1"/>
  <c r="K1615" i="4"/>
  <c r="J1615" i="4"/>
  <c r="H1615" i="4"/>
  <c r="I1615" i="4" s="1"/>
  <c r="K1614" i="4"/>
  <c r="J1614" i="4"/>
  <c r="H1614" i="4"/>
  <c r="I1614" i="4" s="1"/>
  <c r="K1613" i="4"/>
  <c r="J1613" i="4"/>
  <c r="H1613" i="4"/>
  <c r="I1613" i="4" s="1"/>
  <c r="K1612" i="4"/>
  <c r="J1612" i="4"/>
  <c r="H1612" i="4"/>
  <c r="I1612" i="4" s="1"/>
  <c r="K1611" i="4"/>
  <c r="J1611" i="4"/>
  <c r="H1611" i="4"/>
  <c r="K1610" i="4"/>
  <c r="J1610" i="4"/>
  <c r="H1610" i="4"/>
  <c r="I1610" i="4" s="1"/>
  <c r="K1609" i="4"/>
  <c r="J1609" i="4"/>
  <c r="H1609" i="4"/>
  <c r="I1609" i="4" s="1"/>
  <c r="K1608" i="4"/>
  <c r="J1608" i="4"/>
  <c r="H1608" i="4"/>
  <c r="I1608" i="4" s="1"/>
  <c r="K1607" i="4"/>
  <c r="J1607" i="4"/>
  <c r="H1607" i="4"/>
  <c r="I1607" i="4" s="1"/>
  <c r="K1606" i="4"/>
  <c r="J1606" i="4"/>
  <c r="H1606" i="4"/>
  <c r="I1606" i="4" s="1"/>
  <c r="K1605" i="4"/>
  <c r="J1605" i="4"/>
  <c r="H1605" i="4"/>
  <c r="I1605" i="4" s="1"/>
  <c r="K1604" i="4"/>
  <c r="J1604" i="4"/>
  <c r="H1604" i="4"/>
  <c r="I1604" i="4" s="1"/>
  <c r="K1603" i="4"/>
  <c r="J1603" i="4"/>
  <c r="H1603" i="4"/>
  <c r="I1603" i="4" s="1"/>
  <c r="K1602" i="4"/>
  <c r="J1602" i="4"/>
  <c r="H1602" i="4"/>
  <c r="I1602" i="4" s="1"/>
  <c r="K1601" i="4"/>
  <c r="J1601" i="4"/>
  <c r="H1601" i="4"/>
  <c r="I1601" i="4" s="1"/>
  <c r="K1600" i="4"/>
  <c r="J1600" i="4"/>
  <c r="H1600" i="4"/>
  <c r="I1600" i="4" s="1"/>
  <c r="K1599" i="4"/>
  <c r="J1599" i="4"/>
  <c r="H1599" i="4"/>
  <c r="L1599" i="4" s="1"/>
  <c r="L1598" i="4"/>
  <c r="K1598" i="4"/>
  <c r="J1598" i="4"/>
  <c r="H1598" i="4"/>
  <c r="I1598" i="4" s="1"/>
  <c r="K1597" i="4"/>
  <c r="J1597" i="4"/>
  <c r="H1597" i="4"/>
  <c r="I1597" i="4" s="1"/>
  <c r="K1596" i="4"/>
  <c r="J1596" i="4"/>
  <c r="H1596" i="4"/>
  <c r="I1596" i="4" s="1"/>
  <c r="K1595" i="4"/>
  <c r="J1595" i="4"/>
  <c r="H1595" i="4"/>
  <c r="K1594" i="4"/>
  <c r="J1594" i="4"/>
  <c r="H1594" i="4"/>
  <c r="I1594" i="4" s="1"/>
  <c r="K1593" i="4"/>
  <c r="J1593" i="4"/>
  <c r="H1593" i="4"/>
  <c r="I1593" i="4" s="1"/>
  <c r="K1592" i="4"/>
  <c r="J1592" i="4"/>
  <c r="H1592" i="4"/>
  <c r="I1592" i="4" s="1"/>
  <c r="K1591" i="4"/>
  <c r="J1591" i="4"/>
  <c r="H1591" i="4"/>
  <c r="I1591" i="4" s="1"/>
  <c r="K1590" i="4"/>
  <c r="J1590" i="4"/>
  <c r="H1590" i="4"/>
  <c r="I1590" i="4" s="1"/>
  <c r="K1589" i="4"/>
  <c r="J1589" i="4"/>
  <c r="H1589" i="4"/>
  <c r="I1589" i="4" s="1"/>
  <c r="K1588" i="4"/>
  <c r="J1588" i="4"/>
  <c r="H1588" i="4"/>
  <c r="I1588" i="4" s="1"/>
  <c r="K1587" i="4"/>
  <c r="J1587" i="4"/>
  <c r="H1587" i="4"/>
  <c r="I1587" i="4" s="1"/>
  <c r="K1586" i="4"/>
  <c r="J1586" i="4"/>
  <c r="H1586" i="4"/>
  <c r="I1586" i="4" s="1"/>
  <c r="K1585" i="4"/>
  <c r="J1585" i="4"/>
  <c r="H1585" i="4"/>
  <c r="I1585" i="4" s="1"/>
  <c r="K1584" i="4"/>
  <c r="J1584" i="4"/>
  <c r="H1584" i="4"/>
  <c r="I1584" i="4" s="1"/>
  <c r="K1583" i="4"/>
  <c r="J1583" i="4"/>
  <c r="H1583" i="4"/>
  <c r="I1583" i="4" s="1"/>
  <c r="K1582" i="4"/>
  <c r="J1582" i="4"/>
  <c r="H1582" i="4"/>
  <c r="I1582" i="4" s="1"/>
  <c r="K1581" i="4"/>
  <c r="J1581" i="4"/>
  <c r="H1581" i="4"/>
  <c r="K1580" i="4"/>
  <c r="J1580" i="4"/>
  <c r="H1580" i="4"/>
  <c r="I1580" i="4" s="1"/>
  <c r="K1579" i="4"/>
  <c r="J1579" i="4"/>
  <c r="H1579" i="4"/>
  <c r="I1579" i="4" s="1"/>
  <c r="K1578" i="4"/>
  <c r="J1578" i="4"/>
  <c r="H1578" i="4"/>
  <c r="I1578" i="4" s="1"/>
  <c r="K1577" i="4"/>
  <c r="J1577" i="4"/>
  <c r="H1577" i="4"/>
  <c r="I1577" i="4" s="1"/>
  <c r="K1576" i="4"/>
  <c r="J1576" i="4"/>
  <c r="H1576" i="4"/>
  <c r="I1576" i="4" s="1"/>
  <c r="K1575" i="4"/>
  <c r="J1575" i="4"/>
  <c r="H1575" i="4"/>
  <c r="K1574" i="4"/>
  <c r="J1574" i="4"/>
  <c r="H1574" i="4"/>
  <c r="I1574" i="4" s="1"/>
  <c r="K1573" i="4"/>
  <c r="J1573" i="4"/>
  <c r="H1573" i="4"/>
  <c r="I1573" i="4" s="1"/>
  <c r="K1572" i="4"/>
  <c r="J1572" i="4"/>
  <c r="H1572" i="4"/>
  <c r="I1572" i="4" s="1"/>
  <c r="K1571" i="4"/>
  <c r="J1571" i="4"/>
  <c r="H1571" i="4"/>
  <c r="I1571" i="4" s="1"/>
  <c r="K1570" i="4"/>
  <c r="J1570" i="4"/>
  <c r="H1570" i="4"/>
  <c r="I1570" i="4" s="1"/>
  <c r="K1569" i="4"/>
  <c r="J1569" i="4"/>
  <c r="H1569" i="4"/>
  <c r="I1569" i="4" s="1"/>
  <c r="K1568" i="4"/>
  <c r="J1568" i="4"/>
  <c r="H1568" i="4"/>
  <c r="I1568" i="4" s="1"/>
  <c r="K1567" i="4"/>
  <c r="J1567" i="4"/>
  <c r="H1567" i="4"/>
  <c r="I1567" i="4" s="1"/>
  <c r="K1566" i="4"/>
  <c r="J1566" i="4"/>
  <c r="H1566" i="4"/>
  <c r="I1566" i="4" s="1"/>
  <c r="K1565" i="4"/>
  <c r="J1565" i="4"/>
  <c r="H1565" i="4"/>
  <c r="I1565" i="4" s="1"/>
  <c r="K1564" i="4"/>
  <c r="J1564" i="4"/>
  <c r="H1564" i="4"/>
  <c r="I1564" i="4" s="1"/>
  <c r="K1563" i="4"/>
  <c r="J1563" i="4"/>
  <c r="H1563" i="4"/>
  <c r="I1563" i="4" s="1"/>
  <c r="K1562" i="4"/>
  <c r="J1562" i="4"/>
  <c r="H1562" i="4"/>
  <c r="K1561" i="4"/>
  <c r="J1561" i="4"/>
  <c r="H1561" i="4"/>
  <c r="I1561" i="4" s="1"/>
  <c r="K1560" i="4"/>
  <c r="J1560" i="4"/>
  <c r="H1560" i="4"/>
  <c r="I1560" i="4" s="1"/>
  <c r="K1559" i="4"/>
  <c r="J1559" i="4"/>
  <c r="H1559" i="4"/>
  <c r="I1559" i="4" s="1"/>
  <c r="K1558" i="4"/>
  <c r="J1558" i="4"/>
  <c r="H1558" i="4"/>
  <c r="I1558" i="4" s="1"/>
  <c r="K1557" i="4"/>
  <c r="J1557" i="4"/>
  <c r="H1557" i="4"/>
  <c r="I1557" i="4" s="1"/>
  <c r="K1556" i="4"/>
  <c r="J1556" i="4"/>
  <c r="H1556" i="4"/>
  <c r="I1556" i="4" s="1"/>
  <c r="K1555" i="4"/>
  <c r="J1555" i="4"/>
  <c r="H1555" i="4"/>
  <c r="I1555" i="4" s="1"/>
  <c r="K1554" i="4"/>
  <c r="J1554" i="4"/>
  <c r="H1554" i="4"/>
  <c r="I1554" i="4" s="1"/>
  <c r="K1553" i="4"/>
  <c r="J1553" i="4"/>
  <c r="H1553" i="4"/>
  <c r="I1553" i="4" s="1"/>
  <c r="K1552" i="4"/>
  <c r="J1552" i="4"/>
  <c r="H1552" i="4"/>
  <c r="I1552" i="4" s="1"/>
  <c r="K1551" i="4"/>
  <c r="J1551" i="4"/>
  <c r="H1551" i="4"/>
  <c r="I1551" i="4" s="1"/>
  <c r="K1550" i="4"/>
  <c r="J1550" i="4"/>
  <c r="H1550" i="4"/>
  <c r="I1550" i="4" s="1"/>
  <c r="K1549" i="4"/>
  <c r="J1549" i="4"/>
  <c r="H1549" i="4"/>
  <c r="K1548" i="4"/>
  <c r="J1548" i="4"/>
  <c r="H1548" i="4"/>
  <c r="I1548" i="4" s="1"/>
  <c r="K1547" i="4"/>
  <c r="J1547" i="4"/>
  <c r="H1547" i="4"/>
  <c r="I1547" i="4" s="1"/>
  <c r="K1546" i="4"/>
  <c r="J1546" i="4"/>
  <c r="H1546" i="4"/>
  <c r="I1546" i="4" s="1"/>
  <c r="K1545" i="4"/>
  <c r="J1545" i="4"/>
  <c r="H1545" i="4"/>
  <c r="I1545" i="4" s="1"/>
  <c r="K1544" i="4"/>
  <c r="J1544" i="4"/>
  <c r="H1544" i="4"/>
  <c r="I1544" i="4" s="1"/>
  <c r="K1543" i="4"/>
  <c r="J1543" i="4"/>
  <c r="H1543" i="4"/>
  <c r="K1542" i="4"/>
  <c r="J1542" i="4"/>
  <c r="H1542" i="4"/>
  <c r="I1542" i="4" s="1"/>
  <c r="K1541" i="4"/>
  <c r="J1541" i="4"/>
  <c r="H1541" i="4"/>
  <c r="I1541" i="4" s="1"/>
  <c r="K1540" i="4"/>
  <c r="J1540" i="4"/>
  <c r="H1540" i="4"/>
  <c r="I1540" i="4" s="1"/>
  <c r="K1539" i="4"/>
  <c r="J1539" i="4"/>
  <c r="H1539" i="4"/>
  <c r="I1539" i="4" s="1"/>
  <c r="K1538" i="4"/>
  <c r="J1538" i="4"/>
  <c r="H1538" i="4"/>
  <c r="I1538" i="4" s="1"/>
  <c r="K1537" i="4"/>
  <c r="J1537" i="4"/>
  <c r="H1537" i="4"/>
  <c r="I1537" i="4" s="1"/>
  <c r="K1536" i="4"/>
  <c r="J1536" i="4"/>
  <c r="H1536" i="4"/>
  <c r="I1536" i="4" s="1"/>
  <c r="K1535" i="4"/>
  <c r="J1535" i="4"/>
  <c r="I1535" i="4"/>
  <c r="H1535" i="4"/>
  <c r="K1534" i="4"/>
  <c r="J1534" i="4"/>
  <c r="H1534" i="4"/>
  <c r="I1534" i="4" s="1"/>
  <c r="K1533" i="4"/>
  <c r="J1533" i="4"/>
  <c r="H1533" i="4"/>
  <c r="I1533" i="4" s="1"/>
  <c r="K1532" i="4"/>
  <c r="J1532" i="4"/>
  <c r="H1532" i="4"/>
  <c r="I1532" i="4" s="1"/>
  <c r="K1531" i="4"/>
  <c r="J1531" i="4"/>
  <c r="H1531" i="4"/>
  <c r="K1530" i="4"/>
  <c r="J1530" i="4"/>
  <c r="H1530" i="4"/>
  <c r="I1530" i="4" s="1"/>
  <c r="K1529" i="4"/>
  <c r="J1529" i="4"/>
  <c r="H1529" i="4"/>
  <c r="I1529" i="4" s="1"/>
  <c r="K1528" i="4"/>
  <c r="J1528" i="4"/>
  <c r="H1528" i="4"/>
  <c r="I1528" i="4" s="1"/>
  <c r="K1527" i="4"/>
  <c r="J1527" i="4"/>
  <c r="H1527" i="4"/>
  <c r="I1527" i="4" s="1"/>
  <c r="K1526" i="4"/>
  <c r="J1526" i="4"/>
  <c r="H1526" i="4"/>
  <c r="I1526" i="4" s="1"/>
  <c r="K1525" i="4"/>
  <c r="J1525" i="4"/>
  <c r="H1525" i="4"/>
  <c r="I1525" i="4" s="1"/>
  <c r="K1524" i="4"/>
  <c r="J1524" i="4"/>
  <c r="H1524" i="4"/>
  <c r="I1524" i="4" s="1"/>
  <c r="K1523" i="4"/>
  <c r="J1523" i="4"/>
  <c r="H1523" i="4"/>
  <c r="I1523" i="4" s="1"/>
  <c r="K1522" i="4"/>
  <c r="J1522" i="4"/>
  <c r="H1522" i="4"/>
  <c r="I1522" i="4" s="1"/>
  <c r="K1521" i="4"/>
  <c r="J1521" i="4"/>
  <c r="H1521" i="4"/>
  <c r="I1521" i="4" s="1"/>
  <c r="K1520" i="4"/>
  <c r="J1520" i="4"/>
  <c r="H1520" i="4"/>
  <c r="I1520" i="4" s="1"/>
  <c r="K1519" i="4"/>
  <c r="J1519" i="4"/>
  <c r="H1519" i="4"/>
  <c r="I1519" i="4" s="1"/>
  <c r="K1518" i="4"/>
  <c r="J1518" i="4"/>
  <c r="H1518" i="4"/>
  <c r="I1518" i="4" s="1"/>
  <c r="K1517" i="4"/>
  <c r="J1517" i="4"/>
  <c r="H1517" i="4"/>
  <c r="I1517" i="4" s="1"/>
  <c r="K1516" i="4"/>
  <c r="J1516" i="4"/>
  <c r="H1516" i="4"/>
  <c r="I1516" i="4" s="1"/>
  <c r="K1515" i="4"/>
  <c r="J1515" i="4"/>
  <c r="H1515" i="4"/>
  <c r="I1515" i="4" s="1"/>
  <c r="K1514" i="4"/>
  <c r="J1514" i="4"/>
  <c r="H1514" i="4"/>
  <c r="I1514" i="4" s="1"/>
  <c r="K1513" i="4"/>
  <c r="J1513" i="4"/>
  <c r="H1513" i="4"/>
  <c r="I1513" i="4" s="1"/>
  <c r="K1512" i="4"/>
  <c r="J1512" i="4"/>
  <c r="H1512" i="4"/>
  <c r="I1512" i="4" s="1"/>
  <c r="K1511" i="4"/>
  <c r="J1511" i="4"/>
  <c r="H1511" i="4"/>
  <c r="I1511" i="4" s="1"/>
  <c r="K1510" i="4"/>
  <c r="J1510" i="4"/>
  <c r="H1510" i="4"/>
  <c r="I1510" i="4" s="1"/>
  <c r="K1509" i="4"/>
  <c r="J1509" i="4"/>
  <c r="H1509" i="4"/>
  <c r="I1509" i="4" s="1"/>
  <c r="K1508" i="4"/>
  <c r="J1508" i="4"/>
  <c r="H1508" i="4"/>
  <c r="I1508" i="4" s="1"/>
  <c r="K1507" i="4"/>
  <c r="J1507" i="4"/>
  <c r="H1507" i="4"/>
  <c r="K1506" i="4"/>
  <c r="J1506" i="4"/>
  <c r="H1506" i="4"/>
  <c r="I1506" i="4" s="1"/>
  <c r="K1505" i="4"/>
  <c r="J1505" i="4"/>
  <c r="H1505" i="4"/>
  <c r="I1505" i="4" s="1"/>
  <c r="K1504" i="4"/>
  <c r="J1504" i="4"/>
  <c r="H1504" i="4"/>
  <c r="I1504" i="4" s="1"/>
  <c r="K1503" i="4"/>
  <c r="J1503" i="4"/>
  <c r="H1503" i="4"/>
  <c r="I1503" i="4" s="1"/>
  <c r="K1502" i="4"/>
  <c r="J1502" i="4"/>
  <c r="H1502" i="4"/>
  <c r="I1502" i="4" s="1"/>
  <c r="K1501" i="4"/>
  <c r="J1501" i="4"/>
  <c r="H1501" i="4"/>
  <c r="I1501" i="4" s="1"/>
  <c r="K1500" i="4"/>
  <c r="J1500" i="4"/>
  <c r="H1500" i="4"/>
  <c r="K1499" i="4"/>
  <c r="J1499" i="4"/>
  <c r="H1499" i="4"/>
  <c r="I1499" i="4" s="1"/>
  <c r="K1498" i="4"/>
  <c r="J1498" i="4"/>
  <c r="H1498" i="4"/>
  <c r="I1498" i="4" s="1"/>
  <c r="K1497" i="4"/>
  <c r="J1497" i="4"/>
  <c r="H1497" i="4"/>
  <c r="I1497" i="4" s="1"/>
  <c r="K1496" i="4"/>
  <c r="J1496" i="4"/>
  <c r="H1496" i="4"/>
  <c r="I1496" i="4" s="1"/>
  <c r="K1495" i="4"/>
  <c r="J1495" i="4"/>
  <c r="H1495" i="4"/>
  <c r="K1494" i="4"/>
  <c r="J1494" i="4"/>
  <c r="H1494" i="4"/>
  <c r="I1494" i="4" s="1"/>
  <c r="K1493" i="4"/>
  <c r="J1493" i="4"/>
  <c r="H1493" i="4"/>
  <c r="I1493" i="4" s="1"/>
  <c r="K1492" i="4"/>
  <c r="J1492" i="4"/>
  <c r="H1492" i="4"/>
  <c r="I1492" i="4" s="1"/>
  <c r="K1491" i="4"/>
  <c r="J1491" i="4"/>
  <c r="H1491" i="4"/>
  <c r="I1491" i="4" s="1"/>
  <c r="K1490" i="4"/>
  <c r="J1490" i="4"/>
  <c r="H1490" i="4"/>
  <c r="I1490" i="4" s="1"/>
  <c r="K1489" i="4"/>
  <c r="J1489" i="4"/>
  <c r="H1489" i="4"/>
  <c r="I1489" i="4" s="1"/>
  <c r="K1488" i="4"/>
  <c r="J1488" i="4"/>
  <c r="H1488" i="4"/>
  <c r="I1488" i="4" s="1"/>
  <c r="K1487" i="4"/>
  <c r="J1487" i="4"/>
  <c r="H1487" i="4"/>
  <c r="I1487" i="4" s="1"/>
  <c r="K1486" i="4"/>
  <c r="J1486" i="4"/>
  <c r="H1486" i="4"/>
  <c r="I1486" i="4" s="1"/>
  <c r="K1485" i="4"/>
  <c r="J1485" i="4"/>
  <c r="H1485" i="4"/>
  <c r="I1485" i="4" s="1"/>
  <c r="K1484" i="4"/>
  <c r="J1484" i="4"/>
  <c r="H1484" i="4"/>
  <c r="I1484" i="4" s="1"/>
  <c r="K1483" i="4"/>
  <c r="J1483" i="4"/>
  <c r="H1483" i="4"/>
  <c r="I1483" i="4" s="1"/>
  <c r="K1482" i="4"/>
  <c r="J1482" i="4"/>
  <c r="H1482" i="4"/>
  <c r="I1482" i="4" s="1"/>
  <c r="K1481" i="4"/>
  <c r="J1481" i="4"/>
  <c r="H1481" i="4"/>
  <c r="I1481" i="4" s="1"/>
  <c r="K1480" i="4"/>
  <c r="J1480" i="4"/>
  <c r="H1480" i="4"/>
  <c r="I1480" i="4" s="1"/>
  <c r="K1479" i="4"/>
  <c r="J1479" i="4"/>
  <c r="H1479" i="4"/>
  <c r="I1479" i="4" s="1"/>
  <c r="K1478" i="4"/>
  <c r="J1478" i="4"/>
  <c r="H1478" i="4"/>
  <c r="I1478" i="4" s="1"/>
  <c r="K1477" i="4"/>
  <c r="J1477" i="4"/>
  <c r="H1477" i="4"/>
  <c r="K1476" i="4"/>
  <c r="J1476" i="4"/>
  <c r="H1476" i="4"/>
  <c r="I1476" i="4" s="1"/>
  <c r="K1475" i="4"/>
  <c r="J1475" i="4"/>
  <c r="H1475" i="4"/>
  <c r="I1475" i="4" s="1"/>
  <c r="K1474" i="4"/>
  <c r="J1474" i="4"/>
  <c r="H1474" i="4"/>
  <c r="K1473" i="4"/>
  <c r="J1473" i="4"/>
  <c r="H1473" i="4"/>
  <c r="I1473" i="4" s="1"/>
  <c r="K1472" i="4"/>
  <c r="J1472" i="4"/>
  <c r="H1472" i="4"/>
  <c r="I1472" i="4" s="1"/>
  <c r="K1471" i="4"/>
  <c r="J1471" i="4"/>
  <c r="H1471" i="4"/>
  <c r="I1471" i="4" s="1"/>
  <c r="K1470" i="4"/>
  <c r="J1470" i="4"/>
  <c r="H1470" i="4"/>
  <c r="I1470" i="4" s="1"/>
  <c r="K1469" i="4"/>
  <c r="J1469" i="4"/>
  <c r="H1469" i="4"/>
  <c r="I1469" i="4" s="1"/>
  <c r="K1468" i="4"/>
  <c r="J1468" i="4"/>
  <c r="H1468" i="4"/>
  <c r="I1468" i="4" s="1"/>
  <c r="K1467" i="4"/>
  <c r="J1467" i="4"/>
  <c r="H1467" i="4"/>
  <c r="I1467" i="4" s="1"/>
  <c r="K1466" i="4"/>
  <c r="J1466" i="4"/>
  <c r="H1466" i="4"/>
  <c r="I1466" i="4" s="1"/>
  <c r="K1465" i="4"/>
  <c r="J1465" i="4"/>
  <c r="H1465" i="4"/>
  <c r="K1464" i="4"/>
  <c r="J1464" i="4"/>
  <c r="H1464" i="4"/>
  <c r="I1464" i="4" s="1"/>
  <c r="K1463" i="4"/>
  <c r="J1463" i="4"/>
  <c r="H1463" i="4"/>
  <c r="I1463" i="4" s="1"/>
  <c r="K1462" i="4"/>
  <c r="J1462" i="4"/>
  <c r="H1462" i="4"/>
  <c r="I1462" i="4" s="1"/>
  <c r="K1461" i="4"/>
  <c r="J1461" i="4"/>
  <c r="H1461" i="4"/>
  <c r="I1461" i="4" s="1"/>
  <c r="K1460" i="4"/>
  <c r="J1460" i="4"/>
  <c r="H1460" i="4"/>
  <c r="I1460" i="4" s="1"/>
  <c r="K1459" i="4"/>
  <c r="J1459" i="4"/>
  <c r="H1459" i="4"/>
  <c r="I1459" i="4" s="1"/>
  <c r="K1458" i="4"/>
  <c r="J1458" i="4"/>
  <c r="H1458" i="4"/>
  <c r="I1458" i="4" s="1"/>
  <c r="K1457" i="4"/>
  <c r="J1457" i="4"/>
  <c r="H1457" i="4"/>
  <c r="K1456" i="4"/>
  <c r="J1456" i="4"/>
  <c r="L1456" i="4" s="1"/>
  <c r="H1456" i="4"/>
  <c r="I1456" i="4" s="1"/>
  <c r="K1455" i="4"/>
  <c r="J1455" i="4"/>
  <c r="H1455" i="4"/>
  <c r="I1455" i="4" s="1"/>
  <c r="K1454" i="4"/>
  <c r="J1454" i="4"/>
  <c r="H1454" i="4"/>
  <c r="I1454" i="4" s="1"/>
  <c r="K1453" i="4"/>
  <c r="J1453" i="4"/>
  <c r="H1453" i="4"/>
  <c r="K1452" i="4"/>
  <c r="J1452" i="4"/>
  <c r="H1452" i="4"/>
  <c r="I1452" i="4" s="1"/>
  <c r="K1451" i="4"/>
  <c r="J1451" i="4"/>
  <c r="H1451" i="4"/>
  <c r="I1451" i="4" s="1"/>
  <c r="K1450" i="4"/>
  <c r="J1450" i="4"/>
  <c r="H1450" i="4"/>
  <c r="I1450" i="4" s="1"/>
  <c r="K1449" i="4"/>
  <c r="J1449" i="4"/>
  <c r="H1449" i="4"/>
  <c r="I1449" i="4" s="1"/>
  <c r="K1448" i="4"/>
  <c r="J1448" i="4"/>
  <c r="L1448" i="4" s="1"/>
  <c r="H1448" i="4"/>
  <c r="I1448" i="4" s="1"/>
  <c r="K1447" i="4"/>
  <c r="J1447" i="4"/>
  <c r="H1447" i="4"/>
  <c r="K1446" i="4"/>
  <c r="J1446" i="4"/>
  <c r="H1446" i="4"/>
  <c r="I1446" i="4" s="1"/>
  <c r="K1445" i="4"/>
  <c r="J1445" i="4"/>
  <c r="H1445" i="4"/>
  <c r="I1445" i="4" s="1"/>
  <c r="K1444" i="4"/>
  <c r="J1444" i="4"/>
  <c r="H1444" i="4"/>
  <c r="I1444" i="4" s="1"/>
  <c r="K1443" i="4"/>
  <c r="J1443" i="4"/>
  <c r="H1443" i="4"/>
  <c r="I1443" i="4" s="1"/>
  <c r="K1442" i="4"/>
  <c r="J1442" i="4"/>
  <c r="H1442" i="4"/>
  <c r="I1442" i="4" s="1"/>
  <c r="K1441" i="4"/>
  <c r="J1441" i="4"/>
  <c r="H1441" i="4"/>
  <c r="K1440" i="4"/>
  <c r="J1440" i="4"/>
  <c r="H1440" i="4"/>
  <c r="I1440" i="4" s="1"/>
  <c r="K1439" i="4"/>
  <c r="J1439" i="4"/>
  <c r="H1439" i="4"/>
  <c r="I1439" i="4" s="1"/>
  <c r="K1438" i="4"/>
  <c r="J1438" i="4"/>
  <c r="H1438" i="4"/>
  <c r="I1438" i="4" s="1"/>
  <c r="K1437" i="4"/>
  <c r="J1437" i="4"/>
  <c r="H1437" i="4"/>
  <c r="I1437" i="4" s="1"/>
  <c r="K1436" i="4"/>
  <c r="J1436" i="4"/>
  <c r="H1436" i="4"/>
  <c r="I1436" i="4" s="1"/>
  <c r="K1435" i="4"/>
  <c r="J1435" i="4"/>
  <c r="H1435" i="4"/>
  <c r="I1435" i="4" s="1"/>
  <c r="K1434" i="4"/>
  <c r="J1434" i="4"/>
  <c r="H1434" i="4"/>
  <c r="I1434" i="4" s="1"/>
  <c r="K1433" i="4"/>
  <c r="J1433" i="4"/>
  <c r="H1433" i="4"/>
  <c r="K1432" i="4"/>
  <c r="J1432" i="4"/>
  <c r="H1432" i="4"/>
  <c r="I1432" i="4" s="1"/>
  <c r="K1431" i="4"/>
  <c r="J1431" i="4"/>
  <c r="H1431" i="4"/>
  <c r="I1431" i="4" s="1"/>
  <c r="K1430" i="4"/>
  <c r="J1430" i="4"/>
  <c r="H1430" i="4"/>
  <c r="I1430" i="4" s="1"/>
  <c r="K1429" i="4"/>
  <c r="J1429" i="4"/>
  <c r="H1429" i="4"/>
  <c r="K1428" i="4"/>
  <c r="J1428" i="4"/>
  <c r="H1428" i="4"/>
  <c r="I1428" i="4" s="1"/>
  <c r="K1427" i="4"/>
  <c r="J1427" i="4"/>
  <c r="H1427" i="4"/>
  <c r="I1427" i="4" s="1"/>
  <c r="K1426" i="4"/>
  <c r="J1426" i="4"/>
  <c r="H1426" i="4"/>
  <c r="K1425" i="4"/>
  <c r="J1425" i="4"/>
  <c r="H1425" i="4"/>
  <c r="I1425" i="4" s="1"/>
  <c r="K1424" i="4"/>
  <c r="J1424" i="4"/>
  <c r="H1424" i="4"/>
  <c r="I1424" i="4" s="1"/>
  <c r="K1423" i="4"/>
  <c r="J1423" i="4"/>
  <c r="H1423" i="4"/>
  <c r="I1423" i="4" s="1"/>
  <c r="K1422" i="4"/>
  <c r="J1422" i="4"/>
  <c r="H1422" i="4"/>
  <c r="I1422" i="4" s="1"/>
  <c r="K1421" i="4"/>
  <c r="J1421" i="4"/>
  <c r="H1421" i="4"/>
  <c r="I1421" i="4" s="1"/>
  <c r="K1420" i="4"/>
  <c r="J1420" i="4"/>
  <c r="H1420" i="4"/>
  <c r="I1420" i="4" s="1"/>
  <c r="K1419" i="4"/>
  <c r="J1419" i="4"/>
  <c r="H1419" i="4"/>
  <c r="I1419" i="4" s="1"/>
  <c r="K1418" i="4"/>
  <c r="J1418" i="4"/>
  <c r="H1418" i="4"/>
  <c r="I1418" i="4" s="1"/>
  <c r="K1417" i="4"/>
  <c r="J1417" i="4"/>
  <c r="H1417" i="4"/>
  <c r="K1416" i="4"/>
  <c r="J1416" i="4"/>
  <c r="H1416" i="4"/>
  <c r="I1416" i="4" s="1"/>
  <c r="K1415" i="4"/>
  <c r="J1415" i="4"/>
  <c r="H1415" i="4"/>
  <c r="I1415" i="4" s="1"/>
  <c r="K1414" i="4"/>
  <c r="J1414" i="4"/>
  <c r="H1414" i="4"/>
  <c r="I1414" i="4" s="1"/>
  <c r="K1413" i="4"/>
  <c r="J1413" i="4"/>
  <c r="H1413" i="4"/>
  <c r="I1413" i="4" s="1"/>
  <c r="K1412" i="4"/>
  <c r="J1412" i="4"/>
  <c r="H1412" i="4"/>
  <c r="I1412" i="4" s="1"/>
  <c r="K1411" i="4"/>
  <c r="J1411" i="4"/>
  <c r="H1411" i="4"/>
  <c r="I1411" i="4" s="1"/>
  <c r="K1410" i="4"/>
  <c r="J1410" i="4"/>
  <c r="H1410" i="4"/>
  <c r="I1410" i="4" s="1"/>
  <c r="K1409" i="4"/>
  <c r="J1409" i="4"/>
  <c r="H1409" i="4"/>
  <c r="I1409" i="4" s="1"/>
  <c r="K1408" i="4"/>
  <c r="J1408" i="4"/>
  <c r="H1408" i="4"/>
  <c r="I1408" i="4" s="1"/>
  <c r="K1407" i="4"/>
  <c r="J1407" i="4"/>
  <c r="H1407" i="4"/>
  <c r="I1407" i="4" s="1"/>
  <c r="K1406" i="4"/>
  <c r="J1406" i="4"/>
  <c r="H1406" i="4"/>
  <c r="I1406" i="4" s="1"/>
  <c r="K1405" i="4"/>
  <c r="J1405" i="4"/>
  <c r="H1405" i="4"/>
  <c r="K1404" i="4"/>
  <c r="J1404" i="4"/>
  <c r="H1404" i="4"/>
  <c r="I1404" i="4" s="1"/>
  <c r="K1403" i="4"/>
  <c r="J1403" i="4"/>
  <c r="H1403" i="4"/>
  <c r="I1403" i="4" s="1"/>
  <c r="K1402" i="4"/>
  <c r="J1402" i="4"/>
  <c r="H1402" i="4"/>
  <c r="I1402" i="4" s="1"/>
  <c r="K1401" i="4"/>
  <c r="J1401" i="4"/>
  <c r="H1401" i="4"/>
  <c r="I1401" i="4" s="1"/>
  <c r="K1400" i="4"/>
  <c r="J1400" i="4"/>
  <c r="H1400" i="4"/>
  <c r="I1400" i="4" s="1"/>
  <c r="K1399" i="4"/>
  <c r="J1399" i="4"/>
  <c r="H1399" i="4"/>
  <c r="K1398" i="4"/>
  <c r="J1398" i="4"/>
  <c r="H1398" i="4"/>
  <c r="I1398" i="4" s="1"/>
  <c r="K1397" i="4"/>
  <c r="J1397" i="4"/>
  <c r="H1397" i="4"/>
  <c r="I1397" i="4" s="1"/>
  <c r="K1396" i="4"/>
  <c r="J1396" i="4"/>
  <c r="H1396" i="4"/>
  <c r="I1396" i="4" s="1"/>
  <c r="K1395" i="4"/>
  <c r="J1395" i="4"/>
  <c r="H1395" i="4"/>
  <c r="I1395" i="4" s="1"/>
  <c r="K1394" i="4"/>
  <c r="J1394" i="4"/>
  <c r="H1394" i="4"/>
  <c r="I1394" i="4" s="1"/>
  <c r="K1393" i="4"/>
  <c r="J1393" i="4"/>
  <c r="H1393" i="4"/>
  <c r="K1392" i="4"/>
  <c r="J1392" i="4"/>
  <c r="H1392" i="4"/>
  <c r="I1392" i="4" s="1"/>
  <c r="K1391" i="4"/>
  <c r="J1391" i="4"/>
  <c r="H1391" i="4"/>
  <c r="I1391" i="4" s="1"/>
  <c r="K1390" i="4"/>
  <c r="J1390" i="4"/>
  <c r="H1390" i="4"/>
  <c r="K1389" i="4"/>
  <c r="J1389" i="4"/>
  <c r="H1389" i="4"/>
  <c r="I1389" i="4" s="1"/>
  <c r="K1388" i="4"/>
  <c r="J1388" i="4"/>
  <c r="H1388" i="4"/>
  <c r="I1388" i="4" s="1"/>
  <c r="K1387" i="4"/>
  <c r="J1387" i="4"/>
  <c r="H1387" i="4"/>
  <c r="I1387" i="4" s="1"/>
  <c r="K1386" i="4"/>
  <c r="J1386" i="4"/>
  <c r="H1386" i="4"/>
  <c r="I1386" i="4" s="1"/>
  <c r="K1385" i="4"/>
  <c r="J1385" i="4"/>
  <c r="H1385" i="4"/>
  <c r="I1385" i="4" s="1"/>
  <c r="K1384" i="4"/>
  <c r="J1384" i="4"/>
  <c r="H1384" i="4"/>
  <c r="I1384" i="4" s="1"/>
  <c r="K1383" i="4"/>
  <c r="J1383" i="4"/>
  <c r="I1383" i="4"/>
  <c r="H1383" i="4"/>
  <c r="K1382" i="4"/>
  <c r="J1382" i="4"/>
  <c r="H1382" i="4"/>
  <c r="K1381" i="4"/>
  <c r="J1381" i="4"/>
  <c r="H1381" i="4"/>
  <c r="K1380" i="4"/>
  <c r="J1380" i="4"/>
  <c r="H1380" i="4"/>
  <c r="I1380" i="4" s="1"/>
  <c r="K1379" i="4"/>
  <c r="J1379" i="4"/>
  <c r="H1379" i="4"/>
  <c r="I1379" i="4" s="1"/>
  <c r="K1378" i="4"/>
  <c r="J1378" i="4"/>
  <c r="H1378" i="4"/>
  <c r="I1378" i="4" s="1"/>
  <c r="K1377" i="4"/>
  <c r="J1377" i="4"/>
  <c r="H1377" i="4"/>
  <c r="I1377" i="4" s="1"/>
  <c r="K1376" i="4"/>
  <c r="J1376" i="4"/>
  <c r="H1376" i="4"/>
  <c r="I1376" i="4" s="1"/>
  <c r="K1375" i="4"/>
  <c r="J1375" i="4"/>
  <c r="H1375" i="4"/>
  <c r="I1375" i="4" s="1"/>
  <c r="K1374" i="4"/>
  <c r="J1374" i="4"/>
  <c r="H1374" i="4"/>
  <c r="I1374" i="4" s="1"/>
  <c r="K1373" i="4"/>
  <c r="J1373" i="4"/>
  <c r="H1373" i="4"/>
  <c r="I1373" i="4" s="1"/>
  <c r="K1372" i="4"/>
  <c r="J1372" i="4"/>
  <c r="H1372" i="4"/>
  <c r="I1372" i="4" s="1"/>
  <c r="K1371" i="4"/>
  <c r="J1371" i="4"/>
  <c r="H1371" i="4"/>
  <c r="I1371" i="4" s="1"/>
  <c r="K1370" i="4"/>
  <c r="J1370" i="4"/>
  <c r="H1370" i="4"/>
  <c r="K1369" i="4"/>
  <c r="J1369" i="4"/>
  <c r="H1369" i="4"/>
  <c r="K1368" i="4"/>
  <c r="J1368" i="4"/>
  <c r="H1368" i="4"/>
  <c r="I1368" i="4" s="1"/>
  <c r="K1367" i="4"/>
  <c r="J1367" i="4"/>
  <c r="H1367" i="4"/>
  <c r="I1367" i="4" s="1"/>
  <c r="K1366" i="4"/>
  <c r="J1366" i="4"/>
  <c r="H1366" i="4"/>
  <c r="I1366" i="4" s="1"/>
  <c r="K1365" i="4"/>
  <c r="J1365" i="4"/>
  <c r="H1365" i="4"/>
  <c r="I1365" i="4" s="1"/>
  <c r="K1364" i="4"/>
  <c r="J1364" i="4"/>
  <c r="H1364" i="4"/>
  <c r="I1364" i="4" s="1"/>
  <c r="K1363" i="4"/>
  <c r="J1363" i="4"/>
  <c r="H1363" i="4"/>
  <c r="I1363" i="4" s="1"/>
  <c r="K1362" i="4"/>
  <c r="J1362" i="4"/>
  <c r="H1362" i="4"/>
  <c r="I1362" i="4" s="1"/>
  <c r="K1361" i="4"/>
  <c r="J1361" i="4"/>
  <c r="H1361" i="4"/>
  <c r="I1361" i="4" s="1"/>
  <c r="K1360" i="4"/>
  <c r="J1360" i="4"/>
  <c r="H1360" i="4"/>
  <c r="I1360" i="4" s="1"/>
  <c r="K1359" i="4"/>
  <c r="J1359" i="4"/>
  <c r="H1359" i="4"/>
  <c r="I1359" i="4" s="1"/>
  <c r="K1358" i="4"/>
  <c r="J1358" i="4"/>
  <c r="H1358" i="4"/>
  <c r="K1357" i="4"/>
  <c r="J1357" i="4"/>
  <c r="H1357" i="4"/>
  <c r="K1356" i="4"/>
  <c r="J1356" i="4"/>
  <c r="H1356" i="4"/>
  <c r="I1356" i="4" s="1"/>
  <c r="K1355" i="4"/>
  <c r="J1355" i="4"/>
  <c r="H1355" i="4"/>
  <c r="I1355" i="4" s="1"/>
  <c r="K1354" i="4"/>
  <c r="J1354" i="4"/>
  <c r="H1354" i="4"/>
  <c r="I1354" i="4" s="1"/>
  <c r="K1353" i="4"/>
  <c r="J1353" i="4"/>
  <c r="H1353" i="4"/>
  <c r="I1353" i="4" s="1"/>
  <c r="K1352" i="4"/>
  <c r="J1352" i="4"/>
  <c r="H1352" i="4"/>
  <c r="I1352" i="4" s="1"/>
  <c r="K1351" i="4"/>
  <c r="J1351" i="4"/>
  <c r="H1351" i="4"/>
  <c r="K1350" i="4"/>
  <c r="J1350" i="4"/>
  <c r="H1350" i="4"/>
  <c r="I1350" i="4" s="1"/>
  <c r="K1349" i="4"/>
  <c r="J1349" i="4"/>
  <c r="H1349" i="4"/>
  <c r="K1348" i="4"/>
  <c r="J1348" i="4"/>
  <c r="H1348" i="4"/>
  <c r="I1348" i="4" s="1"/>
  <c r="K1347" i="4"/>
  <c r="J1347" i="4"/>
  <c r="H1347" i="4"/>
  <c r="I1347" i="4" s="1"/>
  <c r="K1346" i="4"/>
  <c r="J1346" i="4"/>
  <c r="H1346" i="4"/>
  <c r="K1345" i="4"/>
  <c r="J1345" i="4"/>
  <c r="H1345" i="4"/>
  <c r="K1344" i="4"/>
  <c r="J1344" i="4"/>
  <c r="H1344" i="4"/>
  <c r="I1344" i="4" s="1"/>
  <c r="K1343" i="4"/>
  <c r="J1343" i="4"/>
  <c r="H1343" i="4"/>
  <c r="I1343" i="4" s="1"/>
  <c r="K1342" i="4"/>
  <c r="J1342" i="4"/>
  <c r="H1342" i="4"/>
  <c r="K1341" i="4"/>
  <c r="J1341" i="4"/>
  <c r="H1341" i="4"/>
  <c r="I1341" i="4" s="1"/>
  <c r="K1340" i="4"/>
  <c r="J1340" i="4"/>
  <c r="H1340" i="4"/>
  <c r="I1340" i="4" s="1"/>
  <c r="K1339" i="4"/>
  <c r="J1339" i="4"/>
  <c r="H1339" i="4"/>
  <c r="I1339" i="4" s="1"/>
  <c r="K1338" i="4"/>
  <c r="J1338" i="4"/>
  <c r="H1338" i="4"/>
  <c r="I1338" i="4" s="1"/>
  <c r="K1337" i="4"/>
  <c r="J1337" i="4"/>
  <c r="H1337" i="4"/>
  <c r="I1337" i="4" s="1"/>
  <c r="K1336" i="4"/>
  <c r="J1336" i="4"/>
  <c r="H1336" i="4"/>
  <c r="I1336" i="4" s="1"/>
  <c r="K1335" i="4"/>
  <c r="J1335" i="4"/>
  <c r="H1335" i="4"/>
  <c r="I1335" i="4" s="1"/>
  <c r="K1334" i="4"/>
  <c r="J1334" i="4"/>
  <c r="H1334" i="4"/>
  <c r="K1333" i="4"/>
  <c r="J1333" i="4"/>
  <c r="H1333" i="4"/>
  <c r="K1332" i="4"/>
  <c r="J1332" i="4"/>
  <c r="H1332" i="4"/>
  <c r="I1332" i="4" s="1"/>
  <c r="K1331" i="4"/>
  <c r="J1331" i="4"/>
  <c r="H1331" i="4"/>
  <c r="I1331" i="4" s="1"/>
  <c r="K1330" i="4"/>
  <c r="J1330" i="4"/>
  <c r="H1330" i="4"/>
  <c r="I1330" i="4" s="1"/>
  <c r="K1329" i="4"/>
  <c r="J1329" i="4"/>
  <c r="H1329" i="4"/>
  <c r="I1329" i="4" s="1"/>
  <c r="K1328" i="4"/>
  <c r="J1328" i="4"/>
  <c r="H1328" i="4"/>
  <c r="I1328" i="4" s="1"/>
  <c r="K1327" i="4"/>
  <c r="J1327" i="4"/>
  <c r="H1327" i="4"/>
  <c r="I1327" i="4" s="1"/>
  <c r="K1326" i="4"/>
  <c r="J1326" i="4"/>
  <c r="H1326" i="4"/>
  <c r="I1326" i="4" s="1"/>
  <c r="K1325" i="4"/>
  <c r="J1325" i="4"/>
  <c r="H1325" i="4"/>
  <c r="I1325" i="4" s="1"/>
  <c r="K1324" i="4"/>
  <c r="J1324" i="4"/>
  <c r="H1324" i="4"/>
  <c r="I1324" i="4" s="1"/>
  <c r="K1323" i="4"/>
  <c r="J1323" i="4"/>
  <c r="H1323" i="4"/>
  <c r="I1323" i="4" s="1"/>
  <c r="K1322" i="4"/>
  <c r="J1322" i="4"/>
  <c r="H1322" i="4"/>
  <c r="K1321" i="4"/>
  <c r="J1321" i="4"/>
  <c r="H1321" i="4"/>
  <c r="I1321" i="4" s="1"/>
  <c r="K1320" i="4"/>
  <c r="J1320" i="4"/>
  <c r="H1320" i="4"/>
  <c r="I1320" i="4" s="1"/>
  <c r="K1319" i="4"/>
  <c r="J1319" i="4"/>
  <c r="H1319" i="4"/>
  <c r="I1319" i="4" s="1"/>
  <c r="K1318" i="4"/>
  <c r="J1318" i="4"/>
  <c r="H1318" i="4"/>
  <c r="I1318" i="4" s="1"/>
  <c r="K1317" i="4"/>
  <c r="J1317" i="4"/>
  <c r="H1317" i="4"/>
  <c r="I1317" i="4" s="1"/>
  <c r="K1316" i="4"/>
  <c r="J1316" i="4"/>
  <c r="H1316" i="4"/>
  <c r="I1316" i="4" s="1"/>
  <c r="K1315" i="4"/>
  <c r="J1315" i="4"/>
  <c r="H1315" i="4"/>
  <c r="K1314" i="4"/>
  <c r="J1314" i="4"/>
  <c r="H1314" i="4"/>
  <c r="I1314" i="4" s="1"/>
  <c r="K1313" i="4"/>
  <c r="J1313" i="4"/>
  <c r="H1313" i="4"/>
  <c r="K1312" i="4"/>
  <c r="J1312" i="4"/>
  <c r="H1312" i="4"/>
  <c r="I1312" i="4" s="1"/>
  <c r="K1311" i="4"/>
  <c r="J1311" i="4"/>
  <c r="H1311" i="4"/>
  <c r="I1311" i="4" s="1"/>
  <c r="K1310" i="4"/>
  <c r="J1310" i="4"/>
  <c r="H1310" i="4"/>
  <c r="K1309" i="4"/>
  <c r="J1309" i="4"/>
  <c r="H1309" i="4"/>
  <c r="K1308" i="4"/>
  <c r="J1308" i="4"/>
  <c r="H1308" i="4"/>
  <c r="I1308" i="4" s="1"/>
  <c r="K1307" i="4"/>
  <c r="J1307" i="4"/>
  <c r="H1307" i="4"/>
  <c r="I1307" i="4" s="1"/>
  <c r="K1306" i="4"/>
  <c r="J1306" i="4"/>
  <c r="H1306" i="4"/>
  <c r="I1306" i="4" s="1"/>
  <c r="K1305" i="4"/>
  <c r="J1305" i="4"/>
  <c r="H1305" i="4"/>
  <c r="I1305" i="4" s="1"/>
  <c r="K1304" i="4"/>
  <c r="J1304" i="4"/>
  <c r="H1304" i="4"/>
  <c r="I1304" i="4" s="1"/>
  <c r="K1303" i="4"/>
  <c r="J1303" i="4"/>
  <c r="H1303" i="4"/>
  <c r="K1302" i="4"/>
  <c r="J1302" i="4"/>
  <c r="H1302" i="4"/>
  <c r="I1302" i="4" s="1"/>
  <c r="K1301" i="4"/>
  <c r="J1301" i="4"/>
  <c r="H1301" i="4"/>
  <c r="I1301" i="4" s="1"/>
  <c r="K1300" i="4"/>
  <c r="J1300" i="4"/>
  <c r="H1300" i="4"/>
  <c r="I1300" i="4" s="1"/>
  <c r="K1299" i="4"/>
  <c r="J1299" i="4"/>
  <c r="H1299" i="4"/>
  <c r="I1299" i="4" s="1"/>
  <c r="K1298" i="4"/>
  <c r="J1298" i="4"/>
  <c r="H1298" i="4"/>
  <c r="K1297" i="4"/>
  <c r="J1297" i="4"/>
  <c r="H1297" i="4"/>
  <c r="I1297" i="4" s="1"/>
  <c r="K1296" i="4"/>
  <c r="J1296" i="4"/>
  <c r="H1296" i="4"/>
  <c r="I1296" i="4" s="1"/>
  <c r="F1296" i="4"/>
  <c r="A1296" i="4"/>
  <c r="K1295" i="4"/>
  <c r="J1295" i="4"/>
  <c r="H1295" i="4"/>
  <c r="F1295" i="4"/>
  <c r="A1295" i="4"/>
  <c r="K1294" i="4"/>
  <c r="J1294" i="4"/>
  <c r="H1294" i="4"/>
  <c r="F1294" i="4"/>
  <c r="A1294" i="4"/>
  <c r="K1293" i="4"/>
  <c r="J1293" i="4"/>
  <c r="H1293" i="4"/>
  <c r="I1293" i="4" s="1"/>
  <c r="F1293" i="4"/>
  <c r="A1293" i="4"/>
  <c r="K1292" i="4"/>
  <c r="J1292" i="4"/>
  <c r="H1292" i="4"/>
  <c r="I1292" i="4" s="1"/>
  <c r="F1292" i="4"/>
  <c r="A1292" i="4"/>
  <c r="K1291" i="4"/>
  <c r="J1291" i="4"/>
  <c r="H1291" i="4"/>
  <c r="I1291" i="4" s="1"/>
  <c r="F1291" i="4"/>
  <c r="A1291" i="4"/>
  <c r="K1290" i="4"/>
  <c r="J1290" i="4"/>
  <c r="H1290" i="4"/>
  <c r="I1290" i="4" s="1"/>
  <c r="F1290" i="4"/>
  <c r="A1290" i="4"/>
  <c r="K1289" i="4"/>
  <c r="J1289" i="4"/>
  <c r="H1289" i="4"/>
  <c r="I1289" i="4" s="1"/>
  <c r="F1289" i="4"/>
  <c r="A1289" i="4"/>
  <c r="K1288" i="4"/>
  <c r="J1288" i="4"/>
  <c r="H1288" i="4"/>
  <c r="I1288" i="4" s="1"/>
  <c r="F1288" i="4"/>
  <c r="A1288" i="4"/>
  <c r="K1287" i="4"/>
  <c r="J1287" i="4"/>
  <c r="H1287" i="4"/>
  <c r="F1287" i="4"/>
  <c r="A1287" i="4"/>
  <c r="K1286" i="4"/>
  <c r="J1286" i="4"/>
  <c r="H1286" i="4"/>
  <c r="I1286" i="4" s="1"/>
  <c r="F1286" i="4"/>
  <c r="A1286" i="4"/>
  <c r="K1285" i="4"/>
  <c r="J1285" i="4"/>
  <c r="H1285" i="4"/>
  <c r="I1285" i="4" s="1"/>
  <c r="F1285" i="4"/>
  <c r="A1285" i="4"/>
  <c r="K1284" i="4"/>
  <c r="J1284" i="4"/>
  <c r="H1284" i="4"/>
  <c r="F1284" i="4"/>
  <c r="A1284" i="4"/>
  <c r="K1283" i="4"/>
  <c r="J1283" i="4"/>
  <c r="H1283" i="4"/>
  <c r="F1283" i="4"/>
  <c r="A1283" i="4"/>
  <c r="K1282" i="4"/>
  <c r="J1282" i="4"/>
  <c r="H1282" i="4"/>
  <c r="F1282" i="4"/>
  <c r="A1282" i="4"/>
  <c r="K1281" i="4"/>
  <c r="J1281" i="4"/>
  <c r="H1281" i="4"/>
  <c r="I1281" i="4" s="1"/>
  <c r="F1281" i="4"/>
  <c r="A1281" i="4"/>
  <c r="K1280" i="4"/>
  <c r="J1280" i="4"/>
  <c r="H1280" i="4"/>
  <c r="I1280" i="4" s="1"/>
  <c r="F1280" i="4"/>
  <c r="A1280" i="4"/>
  <c r="K1279" i="4"/>
  <c r="J1279" i="4"/>
  <c r="H1279" i="4"/>
  <c r="I1279" i="4" s="1"/>
  <c r="F1279" i="4"/>
  <c r="A1279" i="4"/>
  <c r="K1278" i="4"/>
  <c r="J1278" i="4"/>
  <c r="H1278" i="4"/>
  <c r="F1278" i="4"/>
  <c r="A1278" i="4"/>
  <c r="K1277" i="4"/>
  <c r="J1277" i="4"/>
  <c r="H1277" i="4"/>
  <c r="I1277" i="4" s="1"/>
  <c r="F1277" i="4"/>
  <c r="A1277" i="4"/>
  <c r="K1276" i="4"/>
  <c r="J1276" i="4"/>
  <c r="H1276" i="4"/>
  <c r="F1276" i="4"/>
  <c r="A1276" i="4"/>
  <c r="K1275" i="4"/>
  <c r="J1275" i="4"/>
  <c r="H1275" i="4"/>
  <c r="I1275" i="4" s="1"/>
  <c r="F1275" i="4"/>
  <c r="A1275" i="4"/>
  <c r="K1274" i="4"/>
  <c r="J1274" i="4"/>
  <c r="H1274" i="4"/>
  <c r="I1274" i="4" s="1"/>
  <c r="F1274" i="4"/>
  <c r="A1274" i="4"/>
  <c r="K1273" i="4"/>
  <c r="J1273" i="4"/>
  <c r="H1273" i="4"/>
  <c r="I1273" i="4" s="1"/>
  <c r="F1273" i="4"/>
  <c r="A1273" i="4"/>
  <c r="K1272" i="4"/>
  <c r="J1272" i="4"/>
  <c r="H1272" i="4"/>
  <c r="I1272" i="4" s="1"/>
  <c r="F1272" i="4"/>
  <c r="A1272" i="4"/>
  <c r="K1271" i="4"/>
  <c r="J1271" i="4"/>
  <c r="H1271" i="4"/>
  <c r="I1271" i="4" s="1"/>
  <c r="F1271" i="4"/>
  <c r="A1271" i="4"/>
  <c r="K1270" i="4"/>
  <c r="J1270" i="4"/>
  <c r="H1270" i="4"/>
  <c r="F1270" i="4"/>
  <c r="A1270" i="4"/>
  <c r="K1269" i="4"/>
  <c r="J1269" i="4"/>
  <c r="H1269" i="4"/>
  <c r="F1269" i="4"/>
  <c r="A1269" i="4"/>
  <c r="K1268" i="4"/>
  <c r="J1268" i="4"/>
  <c r="H1268" i="4"/>
  <c r="F1268" i="4"/>
  <c r="A1268" i="4"/>
  <c r="K1267" i="4"/>
  <c r="J1267" i="4"/>
  <c r="H1267" i="4"/>
  <c r="F1267" i="4"/>
  <c r="A1267" i="4"/>
  <c r="K1266" i="4"/>
  <c r="J1266" i="4"/>
  <c r="H1266" i="4"/>
  <c r="F1266" i="4"/>
  <c r="A1266" i="4"/>
  <c r="K1265" i="4"/>
  <c r="J1265" i="4"/>
  <c r="H1265" i="4"/>
  <c r="I1265" i="4" s="1"/>
  <c r="F1265" i="4"/>
  <c r="A1265" i="4"/>
  <c r="K1264" i="4"/>
  <c r="J1264" i="4"/>
  <c r="H1264" i="4"/>
  <c r="I1264" i="4" s="1"/>
  <c r="F1264" i="4"/>
  <c r="A1264" i="4"/>
  <c r="K1263" i="4"/>
  <c r="J1263" i="4"/>
  <c r="H1263" i="4"/>
  <c r="I1263" i="4" s="1"/>
  <c r="F1263" i="4"/>
  <c r="A1263" i="4"/>
  <c r="K1262" i="4"/>
  <c r="J1262" i="4"/>
  <c r="H1262" i="4"/>
  <c r="I1262" i="4" s="1"/>
  <c r="F1262" i="4"/>
  <c r="A1262" i="4"/>
  <c r="K1261" i="4"/>
  <c r="J1261" i="4"/>
  <c r="H1261" i="4"/>
  <c r="I1261" i="4" s="1"/>
  <c r="F1261" i="4"/>
  <c r="A1261" i="4"/>
  <c r="K1260" i="4"/>
  <c r="J1260" i="4"/>
  <c r="H1260" i="4"/>
  <c r="I1260" i="4" s="1"/>
  <c r="F1260" i="4"/>
  <c r="A1260" i="4"/>
  <c r="K1259" i="4"/>
  <c r="J1259" i="4"/>
  <c r="H1259" i="4"/>
  <c r="F1259" i="4"/>
  <c r="A1259" i="4"/>
  <c r="K1258" i="4"/>
  <c r="J1258" i="4"/>
  <c r="H1258" i="4"/>
  <c r="F1258" i="4"/>
  <c r="A1258" i="4"/>
  <c r="K1257" i="4"/>
  <c r="J1257" i="4"/>
  <c r="H1257" i="4"/>
  <c r="I1257" i="4" s="1"/>
  <c r="F1257" i="4"/>
  <c r="A1257" i="4"/>
  <c r="K1256" i="4"/>
  <c r="J1256" i="4"/>
  <c r="H1256" i="4"/>
  <c r="I1256" i="4" s="1"/>
  <c r="F1256" i="4"/>
  <c r="A1256" i="4"/>
  <c r="K1255" i="4"/>
  <c r="J1255" i="4"/>
  <c r="H1255" i="4"/>
  <c r="F1255" i="4"/>
  <c r="A1255" i="4"/>
  <c r="K1254" i="4"/>
  <c r="J1254" i="4"/>
  <c r="H1254" i="4"/>
  <c r="F1254" i="4"/>
  <c r="A1254" i="4"/>
  <c r="K1253" i="4"/>
  <c r="J1253" i="4"/>
  <c r="H1253" i="4"/>
  <c r="I1253" i="4" s="1"/>
  <c r="F1253" i="4"/>
  <c r="A1253" i="4"/>
  <c r="K1252" i="4"/>
  <c r="J1252" i="4"/>
  <c r="H1252" i="4"/>
  <c r="I1252" i="4" s="1"/>
  <c r="F1252" i="4"/>
  <c r="A1252" i="4"/>
  <c r="K1251" i="4"/>
  <c r="J1251" i="4"/>
  <c r="H1251" i="4"/>
  <c r="I1251" i="4" s="1"/>
  <c r="F1251" i="4"/>
  <c r="A1251" i="4"/>
  <c r="K1250" i="4"/>
  <c r="J1250" i="4"/>
  <c r="H1250" i="4"/>
  <c r="I1250" i="4" s="1"/>
  <c r="F1250" i="4"/>
  <c r="A1250" i="4"/>
  <c r="K1249" i="4"/>
  <c r="J1249" i="4"/>
  <c r="H1249" i="4"/>
  <c r="I1249" i="4" s="1"/>
  <c r="F1249" i="4"/>
  <c r="A1249" i="4"/>
  <c r="K1248" i="4"/>
  <c r="J1248" i="4"/>
  <c r="H1248" i="4"/>
  <c r="I1248" i="4" s="1"/>
  <c r="F1248" i="4"/>
  <c r="A1248" i="4"/>
  <c r="K1247" i="4"/>
  <c r="J1247" i="4"/>
  <c r="H1247" i="4"/>
  <c r="F1247" i="4"/>
  <c r="A1247" i="4"/>
  <c r="K1246" i="4"/>
  <c r="J1246" i="4"/>
  <c r="H1246" i="4"/>
  <c r="F1246" i="4"/>
  <c r="A1246" i="4"/>
  <c r="K1245" i="4"/>
  <c r="J1245" i="4"/>
  <c r="H1245" i="4"/>
  <c r="I1245" i="4" s="1"/>
  <c r="F1245" i="4"/>
  <c r="A1245" i="4"/>
  <c r="K1244" i="4"/>
  <c r="J1244" i="4"/>
  <c r="H1244" i="4"/>
  <c r="I1244" i="4" s="1"/>
  <c r="F1244" i="4"/>
  <c r="A1244" i="4"/>
  <c r="K1243" i="4"/>
  <c r="J1243" i="4"/>
  <c r="H1243" i="4"/>
  <c r="I1243" i="4" s="1"/>
  <c r="F1243" i="4"/>
  <c r="A1243" i="4"/>
  <c r="K1242" i="4"/>
  <c r="J1242" i="4"/>
  <c r="H1242" i="4"/>
  <c r="F1242" i="4"/>
  <c r="A1242" i="4"/>
  <c r="K1241" i="4"/>
  <c r="J1241" i="4"/>
  <c r="H1241" i="4"/>
  <c r="I1241" i="4" s="1"/>
  <c r="F1241" i="4"/>
  <c r="A1241" i="4"/>
  <c r="K1240" i="4"/>
  <c r="J1240" i="4"/>
  <c r="H1240" i="4"/>
  <c r="I1240" i="4" s="1"/>
  <c r="F1240" i="4"/>
  <c r="A1240" i="4"/>
  <c r="K1239" i="4"/>
  <c r="J1239" i="4"/>
  <c r="H1239" i="4"/>
  <c r="I1239" i="4" s="1"/>
  <c r="F1239" i="4"/>
  <c r="A1239" i="4"/>
  <c r="K1238" i="4"/>
  <c r="J1238" i="4"/>
  <c r="H1238" i="4"/>
  <c r="I1238" i="4" s="1"/>
  <c r="F1238" i="4"/>
  <c r="A1238" i="4"/>
  <c r="K1237" i="4"/>
  <c r="J1237" i="4"/>
  <c r="H1237" i="4"/>
  <c r="I1237" i="4" s="1"/>
  <c r="F1237" i="4"/>
  <c r="A1237" i="4"/>
  <c r="K1236" i="4"/>
  <c r="J1236" i="4"/>
  <c r="H1236" i="4"/>
  <c r="I1236" i="4" s="1"/>
  <c r="F1236" i="4"/>
  <c r="A1236" i="4"/>
  <c r="K1235" i="4"/>
  <c r="J1235" i="4"/>
  <c r="H1235" i="4"/>
  <c r="I1235" i="4" s="1"/>
  <c r="F1235" i="4"/>
  <c r="A1235" i="4"/>
  <c r="K1234" i="4"/>
  <c r="J1234" i="4"/>
  <c r="H1234" i="4"/>
  <c r="F1234" i="4"/>
  <c r="A1234" i="4"/>
  <c r="K1233" i="4"/>
  <c r="J1233" i="4"/>
  <c r="H1233" i="4"/>
  <c r="I1233" i="4" s="1"/>
  <c r="F1233" i="4"/>
  <c r="A1233" i="4"/>
  <c r="K1232" i="4"/>
  <c r="J1232" i="4"/>
  <c r="H1232" i="4"/>
  <c r="F1232" i="4"/>
  <c r="A1232" i="4"/>
  <c r="K1231" i="4"/>
  <c r="J1231" i="4"/>
  <c r="H1231" i="4"/>
  <c r="F1231" i="4"/>
  <c r="A1231" i="4"/>
  <c r="K1230" i="4"/>
  <c r="J1230" i="4"/>
  <c r="H1230" i="4"/>
  <c r="F1230" i="4"/>
  <c r="A1230" i="4"/>
  <c r="K1229" i="4"/>
  <c r="J1229" i="4"/>
  <c r="H1229" i="4"/>
  <c r="I1229" i="4" s="1"/>
  <c r="F1229" i="4"/>
  <c r="A1229" i="4"/>
  <c r="K1228" i="4"/>
  <c r="J1228" i="4"/>
  <c r="H1228" i="4"/>
  <c r="I1228" i="4" s="1"/>
  <c r="F1228" i="4"/>
  <c r="A1228" i="4"/>
  <c r="K1227" i="4"/>
  <c r="J1227" i="4"/>
  <c r="H1227" i="4"/>
  <c r="I1227" i="4" s="1"/>
  <c r="F1227" i="4"/>
  <c r="A1227" i="4"/>
  <c r="K1226" i="4"/>
  <c r="J1226" i="4"/>
  <c r="H1226" i="4"/>
  <c r="I1226" i="4" s="1"/>
  <c r="F1226" i="4"/>
  <c r="A1226" i="4"/>
  <c r="K1225" i="4"/>
  <c r="J1225" i="4"/>
  <c r="H1225" i="4"/>
  <c r="I1225" i="4" s="1"/>
  <c r="F1225" i="4"/>
  <c r="A1225" i="4"/>
  <c r="K1224" i="4"/>
  <c r="J1224" i="4"/>
  <c r="H1224" i="4"/>
  <c r="I1224" i="4" s="1"/>
  <c r="F1224" i="4"/>
  <c r="A1224" i="4"/>
  <c r="K1223" i="4"/>
  <c r="J1223" i="4"/>
  <c r="H1223" i="4"/>
  <c r="F1223" i="4"/>
  <c r="A1223" i="4"/>
  <c r="K1222" i="4"/>
  <c r="J1222" i="4"/>
  <c r="H1222" i="4"/>
  <c r="F1222" i="4"/>
  <c r="A1222" i="4"/>
  <c r="K1221" i="4"/>
  <c r="J1221" i="4"/>
  <c r="H1221" i="4"/>
  <c r="F1221" i="4"/>
  <c r="A1221" i="4"/>
  <c r="K1220" i="4"/>
  <c r="J1220" i="4"/>
  <c r="H1220" i="4"/>
  <c r="I1220" i="4" s="1"/>
  <c r="F1220" i="4"/>
  <c r="A1220" i="4"/>
  <c r="K1219" i="4"/>
  <c r="J1219" i="4"/>
  <c r="H1219" i="4"/>
  <c r="F1219" i="4"/>
  <c r="A1219" i="4"/>
  <c r="K1218" i="4"/>
  <c r="J1218" i="4"/>
  <c r="H1218" i="4"/>
  <c r="F1218" i="4"/>
  <c r="A1218" i="4"/>
  <c r="K1217" i="4"/>
  <c r="J1217" i="4"/>
  <c r="H1217" i="4"/>
  <c r="I1217" i="4" s="1"/>
  <c r="F1217" i="4"/>
  <c r="A1217" i="4"/>
  <c r="K1216" i="4"/>
  <c r="J1216" i="4"/>
  <c r="H1216" i="4"/>
  <c r="I1216" i="4" s="1"/>
  <c r="F1216" i="4"/>
  <c r="A1216" i="4"/>
  <c r="K1215" i="4"/>
  <c r="J1215" i="4"/>
  <c r="H1215" i="4"/>
  <c r="F1215" i="4"/>
  <c r="A1215" i="4"/>
  <c r="K1214" i="4"/>
  <c r="J1214" i="4"/>
  <c r="H1214" i="4"/>
  <c r="I1214" i="4" s="1"/>
  <c r="F1214" i="4"/>
  <c r="A1214" i="4"/>
  <c r="K1213" i="4"/>
  <c r="J1213" i="4"/>
  <c r="H1213" i="4"/>
  <c r="F1213" i="4"/>
  <c r="A1213" i="4"/>
  <c r="K1212" i="4"/>
  <c r="J1212" i="4"/>
  <c r="H1212" i="4"/>
  <c r="F1212" i="4"/>
  <c r="A1212" i="4"/>
  <c r="K1211" i="4"/>
  <c r="J1211" i="4"/>
  <c r="H1211" i="4"/>
  <c r="F1211" i="4"/>
  <c r="A1211" i="4"/>
  <c r="K1210" i="4"/>
  <c r="J1210" i="4"/>
  <c r="H1210" i="4"/>
  <c r="F1210" i="4"/>
  <c r="A1210" i="4"/>
  <c r="K1209" i="4"/>
  <c r="J1209" i="4"/>
  <c r="H1209" i="4"/>
  <c r="F1209" i="4"/>
  <c r="A1209" i="4"/>
  <c r="K1208" i="4"/>
  <c r="J1208" i="4"/>
  <c r="H1208" i="4"/>
  <c r="F1208" i="4"/>
  <c r="A1208" i="4"/>
  <c r="K1207" i="4"/>
  <c r="J1207" i="4"/>
  <c r="H1207" i="4"/>
  <c r="I1207" i="4" s="1"/>
  <c r="F1207" i="4"/>
  <c r="A1207" i="4"/>
  <c r="K1206" i="4"/>
  <c r="J1206" i="4"/>
  <c r="H1206" i="4"/>
  <c r="I1206" i="4" s="1"/>
  <c r="F1206" i="4"/>
  <c r="A1206" i="4"/>
  <c r="K1205" i="4"/>
  <c r="J1205" i="4"/>
  <c r="H1205" i="4"/>
  <c r="I1205" i="4" s="1"/>
  <c r="F1205" i="4"/>
  <c r="A1205" i="4"/>
  <c r="K1204" i="4"/>
  <c r="J1204" i="4"/>
  <c r="H1204" i="4"/>
  <c r="I1204" i="4" s="1"/>
  <c r="F1204" i="4"/>
  <c r="A1204" i="4"/>
  <c r="K1203" i="4"/>
  <c r="J1203" i="4"/>
  <c r="H1203" i="4"/>
  <c r="F1203" i="4"/>
  <c r="A1203" i="4"/>
  <c r="K1202" i="4"/>
  <c r="J1202" i="4"/>
  <c r="H1202" i="4"/>
  <c r="F1202" i="4"/>
  <c r="A1202" i="4"/>
  <c r="K1201" i="4"/>
  <c r="J1201" i="4"/>
  <c r="H1201" i="4"/>
  <c r="I1201" i="4" s="1"/>
  <c r="F1201" i="4"/>
  <c r="A1201" i="4"/>
  <c r="K1200" i="4"/>
  <c r="J1200" i="4"/>
  <c r="H1200" i="4"/>
  <c r="F1200" i="4"/>
  <c r="A1200" i="4"/>
  <c r="K1199" i="4"/>
  <c r="J1199" i="4"/>
  <c r="H1199" i="4"/>
  <c r="F1199" i="4"/>
  <c r="A1199" i="4"/>
  <c r="K1198" i="4"/>
  <c r="J1198" i="4"/>
  <c r="H1198" i="4"/>
  <c r="I1198" i="4" s="1"/>
  <c r="F1198" i="4"/>
  <c r="A1198" i="4"/>
  <c r="K1197" i="4"/>
  <c r="J1197" i="4"/>
  <c r="H1197" i="4"/>
  <c r="I1197" i="4" s="1"/>
  <c r="F1197" i="4"/>
  <c r="A1197" i="4"/>
  <c r="K1196" i="4"/>
  <c r="J1196" i="4"/>
  <c r="H1196" i="4"/>
  <c r="I1196" i="4" s="1"/>
  <c r="F1196" i="4"/>
  <c r="A1196" i="4"/>
  <c r="K1195" i="4"/>
  <c r="J1195" i="4"/>
  <c r="H1195" i="4"/>
  <c r="I1195" i="4" s="1"/>
  <c r="F1195" i="4"/>
  <c r="A1195" i="4"/>
  <c r="K1194" i="4"/>
  <c r="J1194" i="4"/>
  <c r="H1194" i="4"/>
  <c r="I1194" i="4" s="1"/>
  <c r="F1194" i="4"/>
  <c r="A1194" i="4"/>
  <c r="K1193" i="4"/>
  <c r="J1193" i="4"/>
  <c r="H1193" i="4"/>
  <c r="I1193" i="4" s="1"/>
  <c r="F1193" i="4"/>
  <c r="A1193" i="4"/>
  <c r="K1192" i="4"/>
  <c r="J1192" i="4"/>
  <c r="H1192" i="4"/>
  <c r="F1192" i="4"/>
  <c r="A1192" i="4"/>
  <c r="K1191" i="4"/>
  <c r="J1191" i="4"/>
  <c r="H1191" i="4"/>
  <c r="I1191" i="4" s="1"/>
  <c r="F1191" i="4"/>
  <c r="A1191" i="4"/>
  <c r="K1190" i="4"/>
  <c r="J1190" i="4"/>
  <c r="H1190" i="4"/>
  <c r="I1190" i="4" s="1"/>
  <c r="F1190" i="4"/>
  <c r="A1190" i="4"/>
  <c r="K1189" i="4"/>
  <c r="J1189" i="4"/>
  <c r="H1189" i="4"/>
  <c r="I1189" i="4" s="1"/>
  <c r="F1189" i="4"/>
  <c r="A1189" i="4"/>
  <c r="K1188" i="4"/>
  <c r="J1188" i="4"/>
  <c r="H1188" i="4"/>
  <c r="I1188" i="4" s="1"/>
  <c r="F1188" i="4"/>
  <c r="A1188" i="4"/>
  <c r="K1187" i="4"/>
  <c r="J1187" i="4"/>
  <c r="H1187" i="4"/>
  <c r="I1187" i="4" s="1"/>
  <c r="F1187" i="4"/>
  <c r="A1187" i="4"/>
  <c r="K1186" i="4"/>
  <c r="J1186" i="4"/>
  <c r="H1186" i="4"/>
  <c r="I1186" i="4" s="1"/>
  <c r="F1186" i="4"/>
  <c r="A1186" i="4"/>
  <c r="K1185" i="4"/>
  <c r="J1185" i="4"/>
  <c r="H1185" i="4"/>
  <c r="I1185" i="4" s="1"/>
  <c r="F1185" i="4"/>
  <c r="A1185" i="4"/>
  <c r="K1184" i="4"/>
  <c r="J1184" i="4"/>
  <c r="H1184" i="4"/>
  <c r="I1184" i="4" s="1"/>
  <c r="F1184" i="4"/>
  <c r="A1184" i="4"/>
  <c r="K1183" i="4"/>
  <c r="J1183" i="4"/>
  <c r="H1183" i="4"/>
  <c r="F1183" i="4"/>
  <c r="A1183" i="4"/>
  <c r="K1182" i="4"/>
  <c r="J1182" i="4"/>
  <c r="H1182" i="4"/>
  <c r="I1182" i="4" s="1"/>
  <c r="F1182" i="4"/>
  <c r="A1182" i="4"/>
  <c r="K1181" i="4"/>
  <c r="J1181" i="4"/>
  <c r="H1181" i="4"/>
  <c r="I1181" i="4" s="1"/>
  <c r="F1181" i="4"/>
  <c r="A1181" i="4"/>
  <c r="K1180" i="4"/>
  <c r="J1180" i="4"/>
  <c r="H1180" i="4"/>
  <c r="I1180" i="4" s="1"/>
  <c r="F1180" i="4"/>
  <c r="A1180" i="4"/>
  <c r="K1179" i="4"/>
  <c r="J1179" i="4"/>
  <c r="H1179" i="4"/>
  <c r="I1179" i="4" s="1"/>
  <c r="F1179" i="4"/>
  <c r="A1179" i="4"/>
  <c r="K1178" i="4"/>
  <c r="J1178" i="4"/>
  <c r="L1178" i="4" s="1"/>
  <c r="H1178" i="4"/>
  <c r="I1178" i="4" s="1"/>
  <c r="F1178" i="4"/>
  <c r="A1178" i="4"/>
  <c r="K1177" i="4"/>
  <c r="J1177" i="4"/>
  <c r="H1177" i="4"/>
  <c r="I1177" i="4" s="1"/>
  <c r="F1177" i="4"/>
  <c r="A1177" i="4"/>
  <c r="K1176" i="4"/>
  <c r="J1176" i="4"/>
  <c r="H1176" i="4"/>
  <c r="I1176" i="4" s="1"/>
  <c r="F1176" i="4"/>
  <c r="A1176" i="4"/>
  <c r="K1175" i="4"/>
  <c r="J1175" i="4"/>
  <c r="H1175" i="4"/>
  <c r="F1175" i="4"/>
  <c r="A1175" i="4"/>
  <c r="K1174" i="4"/>
  <c r="J1174" i="4"/>
  <c r="H1174" i="4"/>
  <c r="I1174" i="4" s="1"/>
  <c r="F1174" i="4"/>
  <c r="A1174" i="4"/>
  <c r="K1173" i="4"/>
  <c r="J1173" i="4"/>
  <c r="H1173" i="4"/>
  <c r="I1173" i="4" s="1"/>
  <c r="F1173" i="4"/>
  <c r="A1173" i="4"/>
  <c r="K1172" i="4"/>
  <c r="J1172" i="4"/>
  <c r="H1172" i="4"/>
  <c r="I1172" i="4" s="1"/>
  <c r="F1172" i="4"/>
  <c r="A1172" i="4"/>
  <c r="K1171" i="4"/>
  <c r="J1171" i="4"/>
  <c r="H1171" i="4"/>
  <c r="F1171" i="4"/>
  <c r="A1171" i="4"/>
  <c r="K1170" i="4"/>
  <c r="J1170" i="4"/>
  <c r="H1170" i="4"/>
  <c r="I1170" i="4" s="1"/>
  <c r="F1170" i="4"/>
  <c r="A1170" i="4"/>
  <c r="K1169" i="4"/>
  <c r="J1169" i="4"/>
  <c r="H1169" i="4"/>
  <c r="I1169" i="4" s="1"/>
  <c r="F1169" i="4"/>
  <c r="A1169" i="4"/>
  <c r="K1168" i="4"/>
  <c r="J1168" i="4"/>
  <c r="H1168" i="4"/>
  <c r="I1168" i="4" s="1"/>
  <c r="F1168" i="4"/>
  <c r="A1168" i="4"/>
  <c r="K1167" i="4"/>
  <c r="J1167" i="4"/>
  <c r="H1167" i="4"/>
  <c r="I1167" i="4" s="1"/>
  <c r="F1167" i="4"/>
  <c r="A1167" i="4"/>
  <c r="K1166" i="4"/>
  <c r="J1166" i="4"/>
  <c r="L1166" i="4" s="1"/>
  <c r="H1166" i="4"/>
  <c r="F1166" i="4"/>
  <c r="A1166" i="4"/>
  <c r="K1165" i="4"/>
  <c r="J1165" i="4"/>
  <c r="H1165" i="4"/>
  <c r="F1165" i="4"/>
  <c r="A1165" i="4"/>
  <c r="K1164" i="4"/>
  <c r="J1164" i="4"/>
  <c r="H1164" i="4"/>
  <c r="I1164" i="4" s="1"/>
  <c r="F1164" i="4"/>
  <c r="A1164" i="4"/>
  <c r="K1163" i="4"/>
  <c r="J1163" i="4"/>
  <c r="H1163" i="4"/>
  <c r="F1163" i="4"/>
  <c r="A1163" i="4"/>
  <c r="K1162" i="4"/>
  <c r="J1162" i="4"/>
  <c r="H1162" i="4"/>
  <c r="F1162" i="4"/>
  <c r="A1162" i="4"/>
  <c r="K1161" i="4"/>
  <c r="J1161" i="4"/>
  <c r="H1161" i="4"/>
  <c r="I1161" i="4" s="1"/>
  <c r="F1161" i="4"/>
  <c r="A1161" i="4"/>
  <c r="K1160" i="4"/>
  <c r="J1160" i="4"/>
  <c r="H1160" i="4"/>
  <c r="I1160" i="4" s="1"/>
  <c r="F1160" i="4"/>
  <c r="A1160" i="4"/>
  <c r="K1159" i="4"/>
  <c r="J1159" i="4"/>
  <c r="H1159" i="4"/>
  <c r="F1159" i="4"/>
  <c r="A1159" i="4"/>
  <c r="K1158" i="4"/>
  <c r="J1158" i="4"/>
  <c r="H1158" i="4"/>
  <c r="I1158" i="4" s="1"/>
  <c r="F1158" i="4"/>
  <c r="A1158" i="4"/>
  <c r="K1157" i="4"/>
  <c r="J1157" i="4"/>
  <c r="H1157" i="4"/>
  <c r="I1157" i="4" s="1"/>
  <c r="F1157" i="4"/>
  <c r="A1157" i="4"/>
  <c r="K1156" i="4"/>
  <c r="J1156" i="4"/>
  <c r="H1156" i="4"/>
  <c r="I1156" i="4" s="1"/>
  <c r="F1156" i="4"/>
  <c r="A1156" i="4"/>
  <c r="K1155" i="4"/>
  <c r="J1155" i="4"/>
  <c r="H1155" i="4"/>
  <c r="F1155" i="4"/>
  <c r="A1155" i="4"/>
  <c r="K1154" i="4"/>
  <c r="J1154" i="4"/>
  <c r="H1154" i="4"/>
  <c r="I1154" i="4" s="1"/>
  <c r="F1154" i="4"/>
  <c r="A1154" i="4"/>
  <c r="K1153" i="4"/>
  <c r="J1153" i="4"/>
  <c r="H1153" i="4"/>
  <c r="I1153" i="4" s="1"/>
  <c r="F1153" i="4"/>
  <c r="A1153" i="4"/>
  <c r="K1152" i="4"/>
  <c r="J1152" i="4"/>
  <c r="H1152" i="4"/>
  <c r="I1152" i="4" s="1"/>
  <c r="F1152" i="4"/>
  <c r="A1152" i="4"/>
  <c r="K1151" i="4"/>
  <c r="J1151" i="4"/>
  <c r="H1151" i="4"/>
  <c r="F1151" i="4"/>
  <c r="A1151" i="4"/>
  <c r="K1150" i="4"/>
  <c r="J1150" i="4"/>
  <c r="H1150" i="4"/>
  <c r="F1150" i="4"/>
  <c r="A1150" i="4"/>
  <c r="K1149" i="4"/>
  <c r="J1149" i="4"/>
  <c r="H1149" i="4"/>
  <c r="F1149" i="4"/>
  <c r="A1149" i="4"/>
  <c r="K1148" i="4"/>
  <c r="J1148" i="4"/>
  <c r="H1148" i="4"/>
  <c r="I1148" i="4" s="1"/>
  <c r="F1148" i="4"/>
  <c r="A1148" i="4"/>
  <c r="K1147" i="4"/>
  <c r="J1147" i="4"/>
  <c r="H1147" i="4"/>
  <c r="I1147" i="4" s="1"/>
  <c r="F1147" i="4"/>
  <c r="A1147" i="4"/>
  <c r="K1146" i="4"/>
  <c r="J1146" i="4"/>
  <c r="H1146" i="4"/>
  <c r="I1146" i="4" s="1"/>
  <c r="F1146" i="4"/>
  <c r="A1146" i="4"/>
  <c r="K1145" i="4"/>
  <c r="J1145" i="4"/>
  <c r="H1145" i="4"/>
  <c r="I1145" i="4" s="1"/>
  <c r="F1145" i="4"/>
  <c r="A1145" i="4"/>
  <c r="K1144" i="4"/>
  <c r="J1144" i="4"/>
  <c r="H1144" i="4"/>
  <c r="F1144" i="4"/>
  <c r="A1144" i="4"/>
  <c r="K1143" i="4"/>
  <c r="J1143" i="4"/>
  <c r="H1143" i="4"/>
  <c r="I1143" i="4" s="1"/>
  <c r="F1143" i="4"/>
  <c r="A1143" i="4"/>
  <c r="K1142" i="4"/>
  <c r="J1142" i="4"/>
  <c r="H1142" i="4"/>
  <c r="F1142" i="4"/>
  <c r="A1142" i="4"/>
  <c r="K1141" i="4"/>
  <c r="J1141" i="4"/>
  <c r="H1141" i="4"/>
  <c r="I1141" i="4" s="1"/>
  <c r="F1141" i="4"/>
  <c r="A1141" i="4"/>
  <c r="K1140" i="4"/>
  <c r="J1140" i="4"/>
  <c r="H1140" i="4"/>
  <c r="F1140" i="4"/>
  <c r="A1140" i="4"/>
  <c r="K1139" i="4"/>
  <c r="J1139" i="4"/>
  <c r="H1139" i="4"/>
  <c r="I1139" i="4" s="1"/>
  <c r="F1139" i="4"/>
  <c r="A1139" i="4"/>
  <c r="K1138" i="4"/>
  <c r="J1138" i="4"/>
  <c r="H1138" i="4"/>
  <c r="I1138" i="4" s="1"/>
  <c r="F1138" i="4"/>
  <c r="A1138" i="4"/>
  <c r="K1137" i="4"/>
  <c r="J1137" i="4"/>
  <c r="H1137" i="4"/>
  <c r="I1137" i="4" s="1"/>
  <c r="F1137" i="4"/>
  <c r="A1137" i="4"/>
  <c r="K1136" i="4"/>
  <c r="J1136" i="4"/>
  <c r="H1136" i="4"/>
  <c r="I1136" i="4" s="1"/>
  <c r="F1136" i="4"/>
  <c r="A1136" i="4"/>
  <c r="K1135" i="4"/>
  <c r="J1135" i="4"/>
  <c r="H1135" i="4"/>
  <c r="I1135" i="4" s="1"/>
  <c r="F1135" i="4"/>
  <c r="A1135" i="4"/>
  <c r="K1134" i="4"/>
  <c r="J1134" i="4"/>
  <c r="H1134" i="4"/>
  <c r="F1134" i="4"/>
  <c r="A1134" i="4"/>
  <c r="K1133" i="4"/>
  <c r="J1133" i="4"/>
  <c r="H1133" i="4"/>
  <c r="I1133" i="4" s="1"/>
  <c r="F1133" i="4"/>
  <c r="A1133" i="4"/>
  <c r="K1132" i="4"/>
  <c r="J1132" i="4"/>
  <c r="H1132" i="4"/>
  <c r="I1132" i="4" s="1"/>
  <c r="F1132" i="4"/>
  <c r="A1132" i="4"/>
  <c r="K1131" i="4"/>
  <c r="J1131" i="4"/>
  <c r="H1131" i="4"/>
  <c r="I1131" i="4" s="1"/>
  <c r="F1131" i="4"/>
  <c r="A1131" i="4"/>
  <c r="K1130" i="4"/>
  <c r="J1130" i="4"/>
  <c r="H1130" i="4"/>
  <c r="I1130" i="4" s="1"/>
  <c r="F1130" i="4"/>
  <c r="A1130" i="4"/>
  <c r="K1129" i="4"/>
  <c r="J1129" i="4"/>
  <c r="H1129" i="4"/>
  <c r="I1129" i="4" s="1"/>
  <c r="F1129" i="4"/>
  <c r="A1129" i="4"/>
  <c r="K1128" i="4"/>
  <c r="J1128" i="4"/>
  <c r="H1128" i="4"/>
  <c r="I1128" i="4" s="1"/>
  <c r="F1128" i="4"/>
  <c r="A1128" i="4"/>
  <c r="K1127" i="4"/>
  <c r="J1127" i="4"/>
  <c r="H1127" i="4"/>
  <c r="F1127" i="4"/>
  <c r="A1127" i="4"/>
  <c r="K1126" i="4"/>
  <c r="J1126" i="4"/>
  <c r="H1126" i="4"/>
  <c r="I1126" i="4" s="1"/>
  <c r="F1126" i="4"/>
  <c r="A1126" i="4"/>
  <c r="K1125" i="4"/>
  <c r="J1125" i="4"/>
  <c r="H1125" i="4"/>
  <c r="I1125" i="4" s="1"/>
  <c r="F1125" i="4"/>
  <c r="A1125" i="4"/>
  <c r="K1124" i="4"/>
  <c r="J1124" i="4"/>
  <c r="H1124" i="4"/>
  <c r="I1124" i="4" s="1"/>
  <c r="F1124" i="4"/>
  <c r="A1124" i="4"/>
  <c r="K1123" i="4"/>
  <c r="J1123" i="4"/>
  <c r="H1123" i="4"/>
  <c r="I1123" i="4" s="1"/>
  <c r="F1123" i="4"/>
  <c r="A1123" i="4"/>
  <c r="K1122" i="4"/>
  <c r="J1122" i="4"/>
  <c r="H1122" i="4"/>
  <c r="F1122" i="4"/>
  <c r="A1122" i="4"/>
  <c r="K1121" i="4"/>
  <c r="J1121" i="4"/>
  <c r="H1121" i="4"/>
  <c r="I1121" i="4" s="1"/>
  <c r="F1121" i="4"/>
  <c r="A1121" i="4"/>
  <c r="K1120" i="4"/>
  <c r="J1120" i="4"/>
  <c r="H1120" i="4"/>
  <c r="F1120" i="4"/>
  <c r="A1120" i="4"/>
  <c r="K1119" i="4"/>
  <c r="J1119" i="4"/>
  <c r="H1119" i="4"/>
  <c r="F1119" i="4"/>
  <c r="A1119" i="4"/>
  <c r="K1118" i="4"/>
  <c r="J1118" i="4"/>
  <c r="H1118" i="4"/>
  <c r="I1118" i="4" s="1"/>
  <c r="F1118" i="4"/>
  <c r="A1118" i="4"/>
  <c r="K1117" i="4"/>
  <c r="J1117" i="4"/>
  <c r="H1117" i="4"/>
  <c r="I1117" i="4" s="1"/>
  <c r="F1117" i="4"/>
  <c r="A1117" i="4"/>
  <c r="K1116" i="4"/>
  <c r="J1116" i="4"/>
  <c r="H1116" i="4"/>
  <c r="I1116" i="4" s="1"/>
  <c r="F1116" i="4"/>
  <c r="A1116" i="4"/>
  <c r="K1115" i="4"/>
  <c r="J1115" i="4"/>
  <c r="H1115" i="4"/>
  <c r="F1115" i="4"/>
  <c r="A1115" i="4"/>
  <c r="K1114" i="4"/>
  <c r="J1114" i="4"/>
  <c r="H1114" i="4"/>
  <c r="I1114" i="4" s="1"/>
  <c r="F1114" i="4"/>
  <c r="A1114" i="4"/>
  <c r="K1113" i="4"/>
  <c r="J1113" i="4"/>
  <c r="H1113" i="4"/>
  <c r="F1113" i="4"/>
  <c r="A1113" i="4"/>
  <c r="K1112" i="4"/>
  <c r="J1112" i="4"/>
  <c r="H1112" i="4"/>
  <c r="F1112" i="4"/>
  <c r="A1112" i="4"/>
  <c r="K1111" i="4"/>
  <c r="J1111" i="4"/>
  <c r="H1111" i="4"/>
  <c r="I1111" i="4" s="1"/>
  <c r="F1111" i="4"/>
  <c r="A1111" i="4"/>
  <c r="K1110" i="4"/>
  <c r="J1110" i="4"/>
  <c r="H1110" i="4"/>
  <c r="I1110" i="4" s="1"/>
  <c r="F1110" i="4"/>
  <c r="A1110" i="4"/>
  <c r="K1109" i="4"/>
  <c r="J1109" i="4"/>
  <c r="H1109" i="4"/>
  <c r="F1109" i="4"/>
  <c r="A1109" i="4"/>
  <c r="K1108" i="4"/>
  <c r="J1108" i="4"/>
  <c r="H1108" i="4"/>
  <c r="F1108" i="4"/>
  <c r="A1108" i="4"/>
  <c r="K1107" i="4"/>
  <c r="J1107" i="4"/>
  <c r="I1107" i="4"/>
  <c r="H1107" i="4"/>
  <c r="F1107" i="4"/>
  <c r="A1107" i="4"/>
  <c r="K1106" i="4"/>
  <c r="J1106" i="4"/>
  <c r="H1106" i="4"/>
  <c r="I1106" i="4" s="1"/>
  <c r="F1106" i="4"/>
  <c r="A1106" i="4"/>
  <c r="K1105" i="4"/>
  <c r="J1105" i="4"/>
  <c r="H1105" i="4"/>
  <c r="I1105" i="4" s="1"/>
  <c r="F1105" i="4"/>
  <c r="A1105" i="4"/>
  <c r="K1104" i="4"/>
  <c r="J1104" i="4"/>
  <c r="H1104" i="4"/>
  <c r="F1104" i="4"/>
  <c r="A1104" i="4"/>
  <c r="K1103" i="4"/>
  <c r="J1103" i="4"/>
  <c r="H1103" i="4"/>
  <c r="I1103" i="4" s="1"/>
  <c r="F1103" i="4"/>
  <c r="A1103" i="4"/>
  <c r="K1102" i="4"/>
  <c r="J1102" i="4"/>
  <c r="H1102" i="4"/>
  <c r="F1102" i="4"/>
  <c r="A1102" i="4"/>
  <c r="K1101" i="4"/>
  <c r="J1101" i="4"/>
  <c r="H1101" i="4"/>
  <c r="I1101" i="4" s="1"/>
  <c r="F1101" i="4"/>
  <c r="A1101" i="4"/>
  <c r="K1100" i="4"/>
  <c r="J1100" i="4"/>
  <c r="H1100" i="4"/>
  <c r="I1100" i="4" s="1"/>
  <c r="F1100" i="4"/>
  <c r="A1100" i="4"/>
  <c r="K1099" i="4"/>
  <c r="J1099" i="4"/>
  <c r="H1099" i="4"/>
  <c r="I1099" i="4" s="1"/>
  <c r="F1099" i="4"/>
  <c r="A1099" i="4"/>
  <c r="K1098" i="4"/>
  <c r="J1098" i="4"/>
  <c r="H1098" i="4"/>
  <c r="F1098" i="4"/>
  <c r="A1098" i="4"/>
  <c r="K1097" i="4"/>
  <c r="J1097" i="4"/>
  <c r="H1097" i="4"/>
  <c r="F1097" i="4"/>
  <c r="A1097" i="4"/>
  <c r="K1096" i="4"/>
  <c r="J1096" i="4"/>
  <c r="H1096" i="4"/>
  <c r="F1096" i="4"/>
  <c r="A1096" i="4"/>
  <c r="K1095" i="4"/>
  <c r="J1095" i="4"/>
  <c r="L1095" i="4" s="1"/>
  <c r="H1095" i="4"/>
  <c r="F1095" i="4"/>
  <c r="A1095" i="4"/>
  <c r="K1094" i="4"/>
  <c r="J1094" i="4"/>
  <c r="H1094" i="4"/>
  <c r="I1094" i="4" s="1"/>
  <c r="F1094" i="4"/>
  <c r="A1094" i="4"/>
  <c r="K1093" i="4"/>
  <c r="J1093" i="4"/>
  <c r="H1093" i="4"/>
  <c r="I1093" i="4" s="1"/>
  <c r="F1093" i="4"/>
  <c r="A1093" i="4"/>
  <c r="K1092" i="4"/>
  <c r="J1092" i="4"/>
  <c r="H1092" i="4"/>
  <c r="I1092" i="4" s="1"/>
  <c r="F1092" i="4"/>
  <c r="A1092" i="4"/>
  <c r="K1091" i="4"/>
  <c r="J1091" i="4"/>
  <c r="H1091" i="4"/>
  <c r="F1091" i="4"/>
  <c r="A1091" i="4"/>
  <c r="K1090" i="4"/>
  <c r="J1090" i="4"/>
  <c r="H1090" i="4"/>
  <c r="F1090" i="4"/>
  <c r="A1090" i="4"/>
  <c r="K1089" i="4"/>
  <c r="J1089" i="4"/>
  <c r="H1089" i="4"/>
  <c r="F1089" i="4"/>
  <c r="A1089" i="4"/>
  <c r="K1088" i="4"/>
  <c r="J1088" i="4"/>
  <c r="H1088" i="4"/>
  <c r="I1088" i="4" s="1"/>
  <c r="F1088" i="4"/>
  <c r="A1088" i="4"/>
  <c r="K1087" i="4"/>
  <c r="J1087" i="4"/>
  <c r="H1087" i="4"/>
  <c r="F1087" i="4"/>
  <c r="A1087" i="4"/>
  <c r="K1086" i="4"/>
  <c r="J1086" i="4"/>
  <c r="H1086" i="4"/>
  <c r="F1086" i="4"/>
  <c r="A1086" i="4"/>
  <c r="K1085" i="4"/>
  <c r="J1085" i="4"/>
  <c r="H1085" i="4"/>
  <c r="F1085" i="4"/>
  <c r="A1085" i="4"/>
  <c r="K1084" i="4"/>
  <c r="J1084" i="4"/>
  <c r="H1084" i="4"/>
  <c r="I1084" i="4" s="1"/>
  <c r="F1084" i="4"/>
  <c r="A1084" i="4"/>
  <c r="K1083" i="4"/>
  <c r="J1083" i="4"/>
  <c r="H1083" i="4"/>
  <c r="I1083" i="4" s="1"/>
  <c r="F1083" i="4"/>
  <c r="A1083" i="4"/>
  <c r="K1082" i="4"/>
  <c r="J1082" i="4"/>
  <c r="H1082" i="4"/>
  <c r="F1082" i="4"/>
  <c r="A1082" i="4"/>
  <c r="K1081" i="4"/>
  <c r="J1081" i="4"/>
  <c r="H1081" i="4"/>
  <c r="F1081" i="4"/>
  <c r="A1081" i="4"/>
  <c r="K1080" i="4"/>
  <c r="J1080" i="4"/>
  <c r="H1080" i="4"/>
  <c r="I1080" i="4" s="1"/>
  <c r="F1080" i="4"/>
  <c r="A1080" i="4"/>
  <c r="K1079" i="4"/>
  <c r="J1079" i="4"/>
  <c r="H1079" i="4"/>
  <c r="F1079" i="4"/>
  <c r="A1079" i="4"/>
  <c r="K1078" i="4"/>
  <c r="J1078" i="4"/>
  <c r="H1078" i="4"/>
  <c r="F1078" i="4"/>
  <c r="A1078" i="4"/>
  <c r="K1077" i="4"/>
  <c r="J1077" i="4"/>
  <c r="H1077" i="4"/>
  <c r="F1077" i="4"/>
  <c r="A1077" i="4"/>
  <c r="K1076" i="4"/>
  <c r="J1076" i="4"/>
  <c r="H1076" i="4"/>
  <c r="I1076" i="4" s="1"/>
  <c r="F1076" i="4"/>
  <c r="A1076" i="4"/>
  <c r="K1075" i="4"/>
  <c r="J1075" i="4"/>
  <c r="H1075" i="4"/>
  <c r="I1075" i="4" s="1"/>
  <c r="F1075" i="4"/>
  <c r="A1075" i="4"/>
  <c r="K1074" i="4"/>
  <c r="J1074" i="4"/>
  <c r="H1074" i="4"/>
  <c r="I1074" i="4" s="1"/>
  <c r="F1074" i="4"/>
  <c r="A1074" i="4"/>
  <c r="K1073" i="4"/>
  <c r="J1073" i="4"/>
  <c r="H1073" i="4"/>
  <c r="I1073" i="4" s="1"/>
  <c r="F1073" i="4"/>
  <c r="A1073" i="4"/>
  <c r="K1072" i="4"/>
  <c r="J1072" i="4"/>
  <c r="H1072" i="4"/>
  <c r="I1072" i="4" s="1"/>
  <c r="F1072" i="4"/>
  <c r="A1072" i="4"/>
  <c r="K1071" i="4"/>
  <c r="J1071" i="4"/>
  <c r="H1071" i="4"/>
  <c r="I1071" i="4" s="1"/>
  <c r="F1071" i="4"/>
  <c r="A1071" i="4"/>
  <c r="K1070" i="4"/>
  <c r="J1070" i="4"/>
  <c r="H1070" i="4"/>
  <c r="I1070" i="4" s="1"/>
  <c r="F1070" i="4"/>
  <c r="A1070" i="4"/>
  <c r="K1069" i="4"/>
  <c r="J1069" i="4"/>
  <c r="H1069" i="4"/>
  <c r="I1069" i="4" s="1"/>
  <c r="F1069" i="4"/>
  <c r="A1069" i="4"/>
  <c r="K1068" i="4"/>
  <c r="J1068" i="4"/>
  <c r="H1068" i="4"/>
  <c r="I1068" i="4" s="1"/>
  <c r="F1068" i="4"/>
  <c r="A1068" i="4"/>
  <c r="K1067" i="4"/>
  <c r="J1067" i="4"/>
  <c r="H1067" i="4"/>
  <c r="F1067" i="4"/>
  <c r="A1067" i="4"/>
  <c r="K1066" i="4"/>
  <c r="J1066" i="4"/>
  <c r="H1066" i="4"/>
  <c r="F1066" i="4"/>
  <c r="A1066" i="4"/>
  <c r="K1065" i="4"/>
  <c r="J1065" i="4"/>
  <c r="H1065" i="4"/>
  <c r="I1065" i="4" s="1"/>
  <c r="F1065" i="4"/>
  <c r="A1065" i="4"/>
  <c r="K1064" i="4"/>
  <c r="J1064" i="4"/>
  <c r="H1064" i="4"/>
  <c r="I1064" i="4" s="1"/>
  <c r="F1064" i="4"/>
  <c r="A1064" i="4"/>
  <c r="K1063" i="4"/>
  <c r="J1063" i="4"/>
  <c r="H1063" i="4"/>
  <c r="F1063" i="4"/>
  <c r="A1063" i="4"/>
  <c r="K1062" i="4"/>
  <c r="J1062" i="4"/>
  <c r="H1062" i="4"/>
  <c r="F1062" i="4"/>
  <c r="A1062" i="4"/>
  <c r="K1061" i="4"/>
  <c r="J1061" i="4"/>
  <c r="H1061" i="4"/>
  <c r="F1061" i="4"/>
  <c r="A1061" i="4"/>
  <c r="K1060" i="4"/>
  <c r="J1060" i="4"/>
  <c r="H1060" i="4"/>
  <c r="I1060" i="4" s="1"/>
  <c r="F1060" i="4"/>
  <c r="A1060" i="4"/>
  <c r="K1059" i="4"/>
  <c r="J1059" i="4"/>
  <c r="H1059" i="4"/>
  <c r="I1059" i="4" s="1"/>
  <c r="F1059" i="4"/>
  <c r="A1059" i="4"/>
  <c r="K1058" i="4"/>
  <c r="J1058" i="4"/>
  <c r="H1058" i="4"/>
  <c r="I1058" i="4" s="1"/>
  <c r="F1058" i="4"/>
  <c r="A1058" i="4"/>
  <c r="K1057" i="4"/>
  <c r="J1057" i="4"/>
  <c r="H1057" i="4"/>
  <c r="F1057" i="4"/>
  <c r="A1057" i="4"/>
  <c r="K1056" i="4"/>
  <c r="J1056" i="4"/>
  <c r="H1056" i="4"/>
  <c r="I1056" i="4" s="1"/>
  <c r="F1056" i="4"/>
  <c r="A1056" i="4"/>
  <c r="K1055" i="4"/>
  <c r="J1055" i="4"/>
  <c r="H1055" i="4"/>
  <c r="I1055" i="4" s="1"/>
  <c r="F1055" i="4"/>
  <c r="A1055" i="4"/>
  <c r="K1054" i="4"/>
  <c r="J1054" i="4"/>
  <c r="H1054" i="4"/>
  <c r="I1054" i="4" s="1"/>
  <c r="F1054" i="4"/>
  <c r="A1054" i="4"/>
  <c r="K1053" i="4"/>
  <c r="J1053" i="4"/>
  <c r="H1053" i="4"/>
  <c r="F1053" i="4"/>
  <c r="A1053" i="4"/>
  <c r="K1052" i="4"/>
  <c r="J1052" i="4"/>
  <c r="H1052" i="4"/>
  <c r="I1052" i="4" s="1"/>
  <c r="F1052" i="4"/>
  <c r="A1052" i="4"/>
  <c r="K1051" i="4"/>
  <c r="J1051" i="4"/>
  <c r="H1051" i="4"/>
  <c r="F1051" i="4"/>
  <c r="A1051" i="4"/>
  <c r="K1050" i="4"/>
  <c r="J1050" i="4"/>
  <c r="H1050" i="4"/>
  <c r="I1050" i="4" s="1"/>
  <c r="F1050" i="4"/>
  <c r="A1050" i="4"/>
  <c r="K1049" i="4"/>
  <c r="J1049" i="4"/>
  <c r="H1049" i="4"/>
  <c r="I1049" i="4" s="1"/>
  <c r="F1049" i="4"/>
  <c r="A1049" i="4"/>
  <c r="K1048" i="4"/>
  <c r="J1048" i="4"/>
  <c r="H1048" i="4"/>
  <c r="I1048" i="4" s="1"/>
  <c r="F1048" i="4"/>
  <c r="A1048" i="4"/>
  <c r="K1047" i="4"/>
  <c r="J1047" i="4"/>
  <c r="H1047" i="4"/>
  <c r="I1047" i="4" s="1"/>
  <c r="F1047" i="4"/>
  <c r="A1047" i="4"/>
  <c r="K1046" i="4"/>
  <c r="J1046" i="4"/>
  <c r="H1046" i="4"/>
  <c r="I1046" i="4" s="1"/>
  <c r="F1046" i="4"/>
  <c r="A1046" i="4"/>
  <c r="K1045" i="4"/>
  <c r="J1045" i="4"/>
  <c r="H1045" i="4"/>
  <c r="I1045" i="4" s="1"/>
  <c r="F1045" i="4"/>
  <c r="A1045" i="4"/>
  <c r="K1044" i="4"/>
  <c r="J1044" i="4"/>
  <c r="H1044" i="4"/>
  <c r="I1044" i="4" s="1"/>
  <c r="F1044" i="4"/>
  <c r="A1044" i="4"/>
  <c r="K1043" i="4"/>
  <c r="J1043" i="4"/>
  <c r="H1043" i="4"/>
  <c r="I1043" i="4" s="1"/>
  <c r="F1043" i="4"/>
  <c r="A1043" i="4"/>
  <c r="K1042" i="4"/>
  <c r="J1042" i="4"/>
  <c r="H1042" i="4"/>
  <c r="I1042" i="4" s="1"/>
  <c r="F1042" i="4"/>
  <c r="A1042" i="4"/>
  <c r="K1041" i="4"/>
  <c r="J1041" i="4"/>
  <c r="H1041" i="4"/>
  <c r="I1041" i="4" s="1"/>
  <c r="F1041" i="4"/>
  <c r="A1041" i="4"/>
  <c r="K1040" i="4"/>
  <c r="J1040" i="4"/>
  <c r="H1040" i="4"/>
  <c r="I1040" i="4" s="1"/>
  <c r="F1040" i="4"/>
  <c r="A1040" i="4"/>
  <c r="K1039" i="4"/>
  <c r="J1039" i="4"/>
  <c r="H1039" i="4"/>
  <c r="F1039" i="4"/>
  <c r="A1039" i="4"/>
  <c r="K1038" i="4"/>
  <c r="J1038" i="4"/>
  <c r="H1038" i="4"/>
  <c r="I1038" i="4" s="1"/>
  <c r="F1038" i="4"/>
  <c r="A1038" i="4"/>
  <c r="K1037" i="4"/>
  <c r="J1037" i="4"/>
  <c r="H1037" i="4"/>
  <c r="I1037" i="4" s="1"/>
  <c r="F1037" i="4"/>
  <c r="A1037" i="4"/>
  <c r="K1036" i="4"/>
  <c r="J1036" i="4"/>
  <c r="H1036" i="4"/>
  <c r="I1036" i="4" s="1"/>
  <c r="F1036" i="4"/>
  <c r="A1036" i="4"/>
  <c r="K1035" i="4"/>
  <c r="J1035" i="4"/>
  <c r="H1035" i="4"/>
  <c r="I1035" i="4" s="1"/>
  <c r="F1035" i="4"/>
  <c r="A1035" i="4"/>
  <c r="K1034" i="4"/>
  <c r="J1034" i="4"/>
  <c r="H1034" i="4"/>
  <c r="I1034" i="4" s="1"/>
  <c r="F1034" i="4"/>
  <c r="A1034" i="4"/>
  <c r="K1033" i="4"/>
  <c r="J1033" i="4"/>
  <c r="H1033" i="4"/>
  <c r="I1033" i="4" s="1"/>
  <c r="F1033" i="4"/>
  <c r="A1033" i="4"/>
  <c r="K1032" i="4"/>
  <c r="J1032" i="4"/>
  <c r="H1032" i="4"/>
  <c r="F1032" i="4"/>
  <c r="A1032" i="4"/>
  <c r="K1031" i="4"/>
  <c r="J1031" i="4"/>
  <c r="H1031" i="4"/>
  <c r="F1031" i="4"/>
  <c r="A1031" i="4"/>
  <c r="K1030" i="4"/>
  <c r="J1030" i="4"/>
  <c r="H1030" i="4"/>
  <c r="I1030" i="4" s="1"/>
  <c r="F1030" i="4"/>
  <c r="A1030" i="4"/>
  <c r="K1029" i="4"/>
  <c r="J1029" i="4"/>
  <c r="H1029" i="4"/>
  <c r="F1029" i="4"/>
  <c r="A1029" i="4"/>
  <c r="K1028" i="4"/>
  <c r="J1028" i="4"/>
  <c r="H1028" i="4"/>
  <c r="F1028" i="4"/>
  <c r="A1028" i="4"/>
  <c r="K1027" i="4"/>
  <c r="J1027" i="4"/>
  <c r="H1027" i="4"/>
  <c r="F1027" i="4"/>
  <c r="A1027" i="4"/>
  <c r="K1026" i="4"/>
  <c r="J1026" i="4"/>
  <c r="H1026" i="4"/>
  <c r="I1026" i="4" s="1"/>
  <c r="F1026" i="4"/>
  <c r="A1026" i="4"/>
  <c r="K1025" i="4"/>
  <c r="J1025" i="4"/>
  <c r="H1025" i="4"/>
  <c r="I1025" i="4" s="1"/>
  <c r="F1025" i="4"/>
  <c r="A1025" i="4"/>
  <c r="K1024" i="4"/>
  <c r="J1024" i="4"/>
  <c r="H1024" i="4"/>
  <c r="I1024" i="4" s="1"/>
  <c r="F1024" i="4"/>
  <c r="A1024" i="4"/>
  <c r="K1023" i="4"/>
  <c r="J1023" i="4"/>
  <c r="H1023" i="4"/>
  <c r="I1023" i="4" s="1"/>
  <c r="F1023" i="4"/>
  <c r="A1023" i="4"/>
  <c r="K1022" i="4"/>
  <c r="J1022" i="4"/>
  <c r="H1022" i="4"/>
  <c r="I1022" i="4" s="1"/>
  <c r="F1022" i="4"/>
  <c r="A1022" i="4"/>
  <c r="K1021" i="4"/>
  <c r="J1021" i="4"/>
  <c r="H1021" i="4"/>
  <c r="I1021" i="4" s="1"/>
  <c r="F1021" i="4"/>
  <c r="A1021" i="4"/>
  <c r="K1020" i="4"/>
  <c r="J1020" i="4"/>
  <c r="H1020" i="4"/>
  <c r="I1020" i="4" s="1"/>
  <c r="F1020" i="4"/>
  <c r="A1020" i="4"/>
  <c r="K1019" i="4"/>
  <c r="J1019" i="4"/>
  <c r="H1019" i="4"/>
  <c r="F1019" i="4"/>
  <c r="A1019" i="4"/>
  <c r="K1018" i="4"/>
  <c r="J1018" i="4"/>
  <c r="H1018" i="4"/>
  <c r="I1018" i="4" s="1"/>
  <c r="F1018" i="4"/>
  <c r="A1018" i="4"/>
  <c r="K1017" i="4"/>
  <c r="J1017" i="4"/>
  <c r="H1017" i="4"/>
  <c r="I1017" i="4" s="1"/>
  <c r="F1017" i="4"/>
  <c r="A1017" i="4"/>
  <c r="K1016" i="4"/>
  <c r="J1016" i="4"/>
  <c r="H1016" i="4"/>
  <c r="I1016" i="4" s="1"/>
  <c r="F1016" i="4"/>
  <c r="A1016" i="4"/>
  <c r="K1015" i="4"/>
  <c r="J1015" i="4"/>
  <c r="H1015" i="4"/>
  <c r="F1015" i="4"/>
  <c r="A1015" i="4"/>
  <c r="K1014" i="4"/>
  <c r="J1014" i="4"/>
  <c r="H1014" i="4"/>
  <c r="I1014" i="4" s="1"/>
  <c r="F1014" i="4"/>
  <c r="A1014" i="4"/>
  <c r="K1013" i="4"/>
  <c r="J1013" i="4"/>
  <c r="H1013" i="4"/>
  <c r="F1013" i="4"/>
  <c r="A1013" i="4"/>
  <c r="K1012" i="4"/>
  <c r="J1012" i="4"/>
  <c r="H1012" i="4"/>
  <c r="I1012" i="4" s="1"/>
  <c r="F1012" i="4"/>
  <c r="A1012" i="4"/>
  <c r="K1011" i="4"/>
  <c r="J1011" i="4"/>
  <c r="H1011" i="4"/>
  <c r="I1011" i="4" s="1"/>
  <c r="F1011" i="4"/>
  <c r="A1011" i="4"/>
  <c r="K1010" i="4"/>
  <c r="J1010" i="4"/>
  <c r="H1010" i="4"/>
  <c r="I1010" i="4" s="1"/>
  <c r="F1010" i="4"/>
  <c r="A1010" i="4"/>
  <c r="K1009" i="4"/>
  <c r="J1009" i="4"/>
  <c r="H1009" i="4"/>
  <c r="I1009" i="4" s="1"/>
  <c r="F1009" i="4"/>
  <c r="A1009" i="4"/>
  <c r="K1008" i="4"/>
  <c r="J1008" i="4"/>
  <c r="H1008" i="4"/>
  <c r="I1008" i="4" s="1"/>
  <c r="F1008" i="4"/>
  <c r="A1008" i="4"/>
  <c r="K1007" i="4"/>
  <c r="J1007" i="4"/>
  <c r="H1007" i="4"/>
  <c r="F1007" i="4"/>
  <c r="A1007" i="4"/>
  <c r="K1006" i="4"/>
  <c r="J1006" i="4"/>
  <c r="H1006" i="4"/>
  <c r="I1006" i="4" s="1"/>
  <c r="F1006" i="4"/>
  <c r="A1006" i="4"/>
  <c r="K1005" i="4"/>
  <c r="J1005" i="4"/>
  <c r="H1005" i="4"/>
  <c r="I1005" i="4" s="1"/>
  <c r="F1005" i="4"/>
  <c r="A1005" i="4"/>
  <c r="K1004" i="4"/>
  <c r="J1004" i="4"/>
  <c r="H1004" i="4"/>
  <c r="I1004" i="4" s="1"/>
  <c r="F1004" i="4"/>
  <c r="A1004" i="4"/>
  <c r="K1003" i="4"/>
  <c r="J1003" i="4"/>
  <c r="H1003" i="4"/>
  <c r="F1003" i="4"/>
  <c r="A1003" i="4"/>
  <c r="K1002" i="4"/>
  <c r="J1002" i="4"/>
  <c r="H1002" i="4"/>
  <c r="I1002" i="4" s="1"/>
  <c r="F1002" i="4"/>
  <c r="A1002" i="4"/>
  <c r="K1001" i="4"/>
  <c r="J1001" i="4"/>
  <c r="H1001" i="4"/>
  <c r="F1001" i="4"/>
  <c r="A1001" i="4"/>
  <c r="K1000" i="4"/>
  <c r="J1000" i="4"/>
  <c r="H1000" i="4"/>
  <c r="I1000" i="4" s="1"/>
  <c r="F1000" i="4"/>
  <c r="A1000" i="4"/>
  <c r="K999" i="4"/>
  <c r="J999" i="4"/>
  <c r="L999" i="4" s="1"/>
  <c r="H999" i="4"/>
  <c r="I999" i="4" s="1"/>
  <c r="F999" i="4"/>
  <c r="A999" i="4"/>
  <c r="K998" i="4"/>
  <c r="J998" i="4"/>
  <c r="H998" i="4"/>
  <c r="I998" i="4" s="1"/>
  <c r="F998" i="4"/>
  <c r="A998" i="4"/>
  <c r="K997" i="4"/>
  <c r="J997" i="4"/>
  <c r="H997" i="4"/>
  <c r="I997" i="4" s="1"/>
  <c r="F997" i="4"/>
  <c r="A997" i="4"/>
  <c r="K996" i="4"/>
  <c r="J996" i="4"/>
  <c r="H996" i="4"/>
  <c r="I996" i="4" s="1"/>
  <c r="F996" i="4"/>
  <c r="A996" i="4"/>
  <c r="K995" i="4"/>
  <c r="J995" i="4"/>
  <c r="H995" i="4"/>
  <c r="F995" i="4"/>
  <c r="A995" i="4"/>
  <c r="K994" i="4"/>
  <c r="J994" i="4"/>
  <c r="H994" i="4"/>
  <c r="F994" i="4"/>
  <c r="A994" i="4"/>
  <c r="K993" i="4"/>
  <c r="J993" i="4"/>
  <c r="H993" i="4"/>
  <c r="F993" i="4"/>
  <c r="A993" i="4"/>
  <c r="K992" i="4"/>
  <c r="J992" i="4"/>
  <c r="H992" i="4"/>
  <c r="I992" i="4" s="1"/>
  <c r="F992" i="4"/>
  <c r="A992" i="4"/>
  <c r="K991" i="4"/>
  <c r="J991" i="4"/>
  <c r="H991" i="4"/>
  <c r="F991" i="4"/>
  <c r="A991" i="4"/>
  <c r="K990" i="4"/>
  <c r="J990" i="4"/>
  <c r="H990" i="4"/>
  <c r="I990" i="4" s="1"/>
  <c r="F990" i="4"/>
  <c r="A990" i="4"/>
  <c r="K989" i="4"/>
  <c r="J989" i="4"/>
  <c r="H989" i="4"/>
  <c r="I989" i="4" s="1"/>
  <c r="F989" i="4"/>
  <c r="A989" i="4"/>
  <c r="K988" i="4"/>
  <c r="J988" i="4"/>
  <c r="H988" i="4"/>
  <c r="I988" i="4" s="1"/>
  <c r="F988" i="4"/>
  <c r="A988" i="4"/>
  <c r="K987" i="4"/>
  <c r="J987" i="4"/>
  <c r="H987" i="4"/>
  <c r="F987" i="4"/>
  <c r="A987" i="4"/>
  <c r="K986" i="4"/>
  <c r="J986" i="4"/>
  <c r="H986" i="4"/>
  <c r="I986" i="4" s="1"/>
  <c r="F986" i="4"/>
  <c r="A986" i="4"/>
  <c r="K985" i="4"/>
  <c r="J985" i="4"/>
  <c r="H985" i="4"/>
  <c r="F985" i="4"/>
  <c r="A985" i="4"/>
  <c r="K984" i="4"/>
  <c r="J984" i="4"/>
  <c r="H984" i="4"/>
  <c r="F984" i="4"/>
  <c r="A984" i="4"/>
  <c r="K983" i="4"/>
  <c r="J983" i="4"/>
  <c r="H983" i="4"/>
  <c r="F983" i="4"/>
  <c r="A983" i="4"/>
  <c r="K982" i="4"/>
  <c r="J982" i="4"/>
  <c r="H982" i="4"/>
  <c r="F982" i="4"/>
  <c r="A982" i="4"/>
  <c r="K981" i="4"/>
  <c r="J981" i="4"/>
  <c r="H981" i="4"/>
  <c r="F981" i="4"/>
  <c r="A981" i="4"/>
  <c r="K980" i="4"/>
  <c r="J980" i="4"/>
  <c r="H980" i="4"/>
  <c r="F980" i="4"/>
  <c r="A980" i="4"/>
  <c r="K979" i="4"/>
  <c r="J979" i="4"/>
  <c r="H979" i="4"/>
  <c r="F979" i="4"/>
  <c r="A979" i="4"/>
  <c r="K978" i="4"/>
  <c r="J978" i="4"/>
  <c r="H978" i="4"/>
  <c r="I978" i="4" s="1"/>
  <c r="F978" i="4"/>
  <c r="A978" i="4"/>
  <c r="K977" i="4"/>
  <c r="J977" i="4"/>
  <c r="H977" i="4"/>
  <c r="I977" i="4" s="1"/>
  <c r="F977" i="4"/>
  <c r="A977" i="4"/>
  <c r="K976" i="4"/>
  <c r="J976" i="4"/>
  <c r="H976" i="4"/>
  <c r="I976" i="4" s="1"/>
  <c r="F976" i="4"/>
  <c r="A976" i="4"/>
  <c r="K975" i="4"/>
  <c r="J975" i="4"/>
  <c r="H975" i="4"/>
  <c r="F975" i="4"/>
  <c r="A975" i="4"/>
  <c r="K974" i="4"/>
  <c r="J974" i="4"/>
  <c r="H974" i="4"/>
  <c r="I974" i="4" s="1"/>
  <c r="F974" i="4"/>
  <c r="A974" i="4"/>
  <c r="K973" i="4"/>
  <c r="J973" i="4"/>
  <c r="H973" i="4"/>
  <c r="F973" i="4"/>
  <c r="A973" i="4"/>
  <c r="K972" i="4"/>
  <c r="J972" i="4"/>
  <c r="H972" i="4"/>
  <c r="I972" i="4" s="1"/>
  <c r="F972" i="4"/>
  <c r="A972" i="4"/>
  <c r="K971" i="4"/>
  <c r="J971" i="4"/>
  <c r="H971" i="4"/>
  <c r="I971" i="4" s="1"/>
  <c r="F971" i="4"/>
  <c r="A971" i="4"/>
  <c r="K970" i="4"/>
  <c r="J970" i="4"/>
  <c r="H970" i="4"/>
  <c r="I970" i="4" s="1"/>
  <c r="F970" i="4"/>
  <c r="A970" i="4"/>
  <c r="K969" i="4"/>
  <c r="J969" i="4"/>
  <c r="H969" i="4"/>
  <c r="I969" i="4" s="1"/>
  <c r="F969" i="4"/>
  <c r="A969" i="4"/>
  <c r="K968" i="4"/>
  <c r="J968" i="4"/>
  <c r="H968" i="4"/>
  <c r="I968" i="4" s="1"/>
  <c r="F968" i="4"/>
  <c r="A968" i="4"/>
  <c r="K967" i="4"/>
  <c r="J967" i="4"/>
  <c r="H967" i="4"/>
  <c r="F967" i="4"/>
  <c r="A967" i="4"/>
  <c r="K966" i="4"/>
  <c r="J966" i="4"/>
  <c r="H966" i="4"/>
  <c r="I966" i="4" s="1"/>
  <c r="F966" i="4"/>
  <c r="A966" i="4"/>
  <c r="K965" i="4"/>
  <c r="J965" i="4"/>
  <c r="H965" i="4"/>
  <c r="I965" i="4" s="1"/>
  <c r="F965" i="4"/>
  <c r="A965" i="4"/>
  <c r="K964" i="4"/>
  <c r="J964" i="4"/>
  <c r="H964" i="4"/>
  <c r="I964" i="4" s="1"/>
  <c r="F964" i="4"/>
  <c r="A964" i="4"/>
  <c r="K963" i="4"/>
  <c r="J963" i="4"/>
  <c r="H963" i="4"/>
  <c r="I963" i="4" s="1"/>
  <c r="F963" i="4"/>
  <c r="A963" i="4"/>
  <c r="K962" i="4"/>
  <c r="J962" i="4"/>
  <c r="H962" i="4"/>
  <c r="I962" i="4" s="1"/>
  <c r="F962" i="4"/>
  <c r="A962" i="4"/>
  <c r="K961" i="4"/>
  <c r="J961" i="4"/>
  <c r="H961" i="4"/>
  <c r="F961" i="4"/>
  <c r="A961" i="4"/>
  <c r="K960" i="4"/>
  <c r="J960" i="4"/>
  <c r="H960" i="4"/>
  <c r="F960" i="4"/>
  <c r="A960" i="4"/>
  <c r="K959" i="4"/>
  <c r="J959" i="4"/>
  <c r="H959" i="4"/>
  <c r="I959" i="4" s="1"/>
  <c r="F959" i="4"/>
  <c r="A959" i="4"/>
  <c r="K958" i="4"/>
  <c r="J958" i="4"/>
  <c r="H958" i="4"/>
  <c r="I958" i="4" s="1"/>
  <c r="F958" i="4"/>
  <c r="A958" i="4"/>
  <c r="K957" i="4"/>
  <c r="J957" i="4"/>
  <c r="H957" i="4"/>
  <c r="F957" i="4"/>
  <c r="A957" i="4"/>
  <c r="K956" i="4"/>
  <c r="J956" i="4"/>
  <c r="H956" i="4"/>
  <c r="I956" i="4" s="1"/>
  <c r="F956" i="4"/>
  <c r="A956" i="4"/>
  <c r="K955" i="4"/>
  <c r="J955" i="4"/>
  <c r="H955" i="4"/>
  <c r="F955" i="4"/>
  <c r="A955" i="4"/>
  <c r="K954" i="4"/>
  <c r="J954" i="4"/>
  <c r="H954" i="4"/>
  <c r="I954" i="4" s="1"/>
  <c r="F954" i="4"/>
  <c r="A954" i="4"/>
  <c r="K953" i="4"/>
  <c r="J953" i="4"/>
  <c r="H953" i="4"/>
  <c r="I953" i="4" s="1"/>
  <c r="F953" i="4"/>
  <c r="A953" i="4"/>
  <c r="K952" i="4"/>
  <c r="J952" i="4"/>
  <c r="H952" i="4"/>
  <c r="F952" i="4"/>
  <c r="A952" i="4"/>
  <c r="K951" i="4"/>
  <c r="J951" i="4"/>
  <c r="L951" i="4" s="1"/>
  <c r="H951" i="4"/>
  <c r="F951" i="4"/>
  <c r="A951" i="4"/>
  <c r="K950" i="4"/>
  <c r="J950" i="4"/>
  <c r="H950" i="4"/>
  <c r="I950" i="4" s="1"/>
  <c r="F950" i="4"/>
  <c r="A950" i="4"/>
  <c r="K949" i="4"/>
  <c r="J949" i="4"/>
  <c r="H949" i="4"/>
  <c r="I949" i="4" s="1"/>
  <c r="F949" i="4"/>
  <c r="A949" i="4"/>
  <c r="K948" i="4"/>
  <c r="J948" i="4"/>
  <c r="H948" i="4"/>
  <c r="I948" i="4" s="1"/>
  <c r="F948" i="4"/>
  <c r="A948" i="4"/>
  <c r="K947" i="4"/>
  <c r="J947" i="4"/>
  <c r="H947" i="4"/>
  <c r="F947" i="4"/>
  <c r="A947" i="4"/>
  <c r="K946" i="4"/>
  <c r="J946" i="4"/>
  <c r="H946" i="4"/>
  <c r="F946" i="4"/>
  <c r="A946" i="4"/>
  <c r="K945" i="4"/>
  <c r="J945" i="4"/>
  <c r="H945" i="4"/>
  <c r="F945" i="4"/>
  <c r="A945" i="4"/>
  <c r="K944" i="4"/>
  <c r="J944" i="4"/>
  <c r="H944" i="4"/>
  <c r="I944" i="4" s="1"/>
  <c r="F944" i="4"/>
  <c r="A944" i="4"/>
  <c r="K943" i="4"/>
  <c r="J943" i="4"/>
  <c r="H943" i="4"/>
  <c r="F943" i="4"/>
  <c r="A943" i="4"/>
  <c r="K942" i="4"/>
  <c r="J942" i="4"/>
  <c r="H942" i="4"/>
  <c r="I942" i="4" s="1"/>
  <c r="F942" i="4"/>
  <c r="A942" i="4"/>
  <c r="K941" i="4"/>
  <c r="J941" i="4"/>
  <c r="H941" i="4"/>
  <c r="F941" i="4"/>
  <c r="A941" i="4"/>
  <c r="K940" i="4"/>
  <c r="J940" i="4"/>
  <c r="H940" i="4"/>
  <c r="I940" i="4" s="1"/>
  <c r="F940" i="4"/>
  <c r="A940" i="4"/>
  <c r="K939" i="4"/>
  <c r="J939" i="4"/>
  <c r="L939" i="4" s="1"/>
  <c r="H939" i="4"/>
  <c r="I939" i="4" s="1"/>
  <c r="F939" i="4"/>
  <c r="A939" i="4"/>
  <c r="K938" i="4"/>
  <c r="J938" i="4"/>
  <c r="H938" i="4"/>
  <c r="I938" i="4" s="1"/>
  <c r="F938" i="4"/>
  <c r="A938" i="4"/>
  <c r="K937" i="4"/>
  <c r="J937" i="4"/>
  <c r="H937" i="4"/>
  <c r="I937" i="4" s="1"/>
  <c r="F937" i="4"/>
  <c r="A937" i="4"/>
  <c r="K936" i="4"/>
  <c r="J936" i="4"/>
  <c r="H936" i="4"/>
  <c r="F936" i="4"/>
  <c r="A936" i="4"/>
  <c r="K935" i="4"/>
  <c r="J935" i="4"/>
  <c r="H935" i="4"/>
  <c r="I935" i="4" s="1"/>
  <c r="F935" i="4"/>
  <c r="A935" i="4"/>
  <c r="K934" i="4"/>
  <c r="J934" i="4"/>
  <c r="H934" i="4"/>
  <c r="I934" i="4" s="1"/>
  <c r="F934" i="4"/>
  <c r="A934" i="4"/>
  <c r="K933" i="4"/>
  <c r="J933" i="4"/>
  <c r="H933" i="4"/>
  <c r="I933" i="4" s="1"/>
  <c r="F933" i="4"/>
  <c r="A933" i="4"/>
  <c r="K932" i="4"/>
  <c r="J932" i="4"/>
  <c r="H932" i="4"/>
  <c r="I932" i="4" s="1"/>
  <c r="F932" i="4"/>
  <c r="A932" i="4"/>
  <c r="K931" i="4"/>
  <c r="J931" i="4"/>
  <c r="H931" i="4"/>
  <c r="F931" i="4"/>
  <c r="A931" i="4"/>
  <c r="K930" i="4"/>
  <c r="J930" i="4"/>
  <c r="H930" i="4"/>
  <c r="F930" i="4"/>
  <c r="A930" i="4"/>
  <c r="K929" i="4"/>
  <c r="J929" i="4"/>
  <c r="H929" i="4"/>
  <c r="I929" i="4" s="1"/>
  <c r="F929" i="4"/>
  <c r="A929" i="4"/>
  <c r="K928" i="4"/>
  <c r="J928" i="4"/>
  <c r="H928" i="4"/>
  <c r="I928" i="4" s="1"/>
  <c r="F928" i="4"/>
  <c r="A928" i="4"/>
  <c r="K927" i="4"/>
  <c r="J927" i="4"/>
  <c r="H927" i="4"/>
  <c r="F927" i="4"/>
  <c r="A927" i="4"/>
  <c r="K926" i="4"/>
  <c r="J926" i="4"/>
  <c r="H926" i="4"/>
  <c r="I926" i="4" s="1"/>
  <c r="F926" i="4"/>
  <c r="A926" i="4"/>
  <c r="K925" i="4"/>
  <c r="J925" i="4"/>
  <c r="H925" i="4"/>
  <c r="I925" i="4" s="1"/>
  <c r="F925" i="4"/>
  <c r="A925" i="4"/>
  <c r="K924" i="4"/>
  <c r="J924" i="4"/>
  <c r="H924" i="4"/>
  <c r="I924" i="4" s="1"/>
  <c r="F924" i="4"/>
  <c r="A924" i="4"/>
  <c r="K923" i="4"/>
  <c r="J923" i="4"/>
  <c r="H923" i="4"/>
  <c r="I923" i="4" s="1"/>
  <c r="F923" i="4"/>
  <c r="A923" i="4"/>
  <c r="K922" i="4"/>
  <c r="J922" i="4"/>
  <c r="H922" i="4"/>
  <c r="I922" i="4" s="1"/>
  <c r="F922" i="4"/>
  <c r="A922" i="4"/>
  <c r="K921" i="4"/>
  <c r="J921" i="4"/>
  <c r="H921" i="4"/>
  <c r="I921" i="4" s="1"/>
  <c r="F921" i="4"/>
  <c r="A921" i="4"/>
  <c r="K920" i="4"/>
  <c r="J920" i="4"/>
  <c r="H920" i="4"/>
  <c r="I920" i="4" s="1"/>
  <c r="F920" i="4"/>
  <c r="A920" i="4"/>
  <c r="K919" i="4"/>
  <c r="J919" i="4"/>
  <c r="H919" i="4"/>
  <c r="F919" i="4"/>
  <c r="A919" i="4"/>
  <c r="K918" i="4"/>
  <c r="J918" i="4"/>
  <c r="H918" i="4"/>
  <c r="I918" i="4" s="1"/>
  <c r="F918" i="4"/>
  <c r="A918" i="4"/>
  <c r="K917" i="4"/>
  <c r="J917" i="4"/>
  <c r="H917" i="4"/>
  <c r="I917" i="4" s="1"/>
  <c r="F917" i="4"/>
  <c r="A917" i="4"/>
  <c r="K916" i="4"/>
  <c r="J916" i="4"/>
  <c r="H916" i="4"/>
  <c r="F916" i="4"/>
  <c r="A916" i="4"/>
  <c r="K915" i="4"/>
  <c r="J915" i="4"/>
  <c r="H915" i="4"/>
  <c r="F915" i="4"/>
  <c r="A915" i="4"/>
  <c r="K914" i="4"/>
  <c r="J914" i="4"/>
  <c r="H914" i="4"/>
  <c r="I914" i="4" s="1"/>
  <c r="F914" i="4"/>
  <c r="A914" i="4"/>
  <c r="K913" i="4"/>
  <c r="J913" i="4"/>
  <c r="H913" i="4"/>
  <c r="I913" i="4" s="1"/>
  <c r="F913" i="4"/>
  <c r="A913" i="4"/>
  <c r="K912" i="4"/>
  <c r="J912" i="4"/>
  <c r="H912" i="4"/>
  <c r="I912" i="4" s="1"/>
  <c r="F912" i="4"/>
  <c r="A912" i="4"/>
  <c r="K911" i="4"/>
  <c r="J911" i="4"/>
  <c r="H911" i="4"/>
  <c r="I911" i="4" s="1"/>
  <c r="F911" i="4"/>
  <c r="A911" i="4"/>
  <c r="K910" i="4"/>
  <c r="J910" i="4"/>
  <c r="H910" i="4"/>
  <c r="I910" i="4" s="1"/>
  <c r="F910" i="4"/>
  <c r="A910" i="4"/>
  <c r="K909" i="4"/>
  <c r="J909" i="4"/>
  <c r="H909" i="4"/>
  <c r="I909" i="4" s="1"/>
  <c r="F909" i="4"/>
  <c r="A909" i="4"/>
  <c r="K908" i="4"/>
  <c r="J908" i="4"/>
  <c r="H908" i="4"/>
  <c r="F908" i="4"/>
  <c r="A908" i="4"/>
  <c r="K907" i="4"/>
  <c r="J907" i="4"/>
  <c r="H907" i="4"/>
  <c r="I907" i="4" s="1"/>
  <c r="F907" i="4"/>
  <c r="A907" i="4"/>
  <c r="K906" i="4"/>
  <c r="J906" i="4"/>
  <c r="H906" i="4"/>
  <c r="F906" i="4"/>
  <c r="A906" i="4"/>
  <c r="K905" i="4"/>
  <c r="J905" i="4"/>
  <c r="H905" i="4"/>
  <c r="I905" i="4" s="1"/>
  <c r="F905" i="4"/>
  <c r="A905" i="4"/>
  <c r="K904" i="4"/>
  <c r="J904" i="4"/>
  <c r="H904" i="4"/>
  <c r="F904" i="4"/>
  <c r="A904" i="4"/>
  <c r="K903" i="4"/>
  <c r="J903" i="4"/>
  <c r="H903" i="4"/>
  <c r="I903" i="4" s="1"/>
  <c r="F903" i="4"/>
  <c r="A903" i="4"/>
  <c r="K902" i="4"/>
  <c r="J902" i="4"/>
  <c r="H902" i="4"/>
  <c r="I902" i="4" s="1"/>
  <c r="F902" i="4"/>
  <c r="A902" i="4"/>
  <c r="K901" i="4"/>
  <c r="J901" i="4"/>
  <c r="H901" i="4"/>
  <c r="I901" i="4" s="1"/>
  <c r="F901" i="4"/>
  <c r="A901" i="4"/>
  <c r="K900" i="4"/>
  <c r="J900" i="4"/>
  <c r="H900" i="4"/>
  <c r="I900" i="4" s="1"/>
  <c r="F900" i="4"/>
  <c r="A900" i="4"/>
  <c r="K899" i="4"/>
  <c r="J899" i="4"/>
  <c r="L899" i="4" s="1"/>
  <c r="H899" i="4"/>
  <c r="I899" i="4" s="1"/>
  <c r="F899" i="4"/>
  <c r="A899" i="4"/>
  <c r="K898" i="4"/>
  <c r="J898" i="4"/>
  <c r="H898" i="4"/>
  <c r="I898" i="4" s="1"/>
  <c r="F898" i="4"/>
  <c r="A898" i="4"/>
  <c r="K897" i="4"/>
  <c r="J897" i="4"/>
  <c r="H897" i="4"/>
  <c r="I897" i="4" s="1"/>
  <c r="F897" i="4"/>
  <c r="A897" i="4"/>
  <c r="K896" i="4"/>
  <c r="J896" i="4"/>
  <c r="H896" i="4"/>
  <c r="F896" i="4"/>
  <c r="A896" i="4"/>
  <c r="K895" i="4"/>
  <c r="J895" i="4"/>
  <c r="H895" i="4"/>
  <c r="I895" i="4" s="1"/>
  <c r="F895" i="4"/>
  <c r="A895" i="4"/>
  <c r="K894" i="4"/>
  <c r="J894" i="4"/>
  <c r="H894" i="4"/>
  <c r="I894" i="4" s="1"/>
  <c r="F894" i="4"/>
  <c r="A894" i="4"/>
  <c r="K893" i="4"/>
  <c r="J893" i="4"/>
  <c r="H893" i="4"/>
  <c r="I893" i="4" s="1"/>
  <c r="F893" i="4"/>
  <c r="A893" i="4"/>
  <c r="K892" i="4"/>
  <c r="J892" i="4"/>
  <c r="H892" i="4"/>
  <c r="F892" i="4"/>
  <c r="A892" i="4"/>
  <c r="K891" i="4"/>
  <c r="J891" i="4"/>
  <c r="H891" i="4"/>
  <c r="I891" i="4" s="1"/>
  <c r="F891" i="4"/>
  <c r="A891" i="4"/>
  <c r="K890" i="4"/>
  <c r="J890" i="4"/>
  <c r="H890" i="4"/>
  <c r="I890" i="4" s="1"/>
  <c r="F890" i="4"/>
  <c r="A890" i="4"/>
  <c r="K889" i="4"/>
  <c r="J889" i="4"/>
  <c r="H889" i="4"/>
  <c r="F889" i="4"/>
  <c r="A889" i="4"/>
  <c r="K888" i="4"/>
  <c r="J888" i="4"/>
  <c r="H888" i="4"/>
  <c r="F888" i="4"/>
  <c r="A888" i="4"/>
  <c r="K887" i="4"/>
  <c r="J887" i="4"/>
  <c r="H887" i="4"/>
  <c r="F887" i="4"/>
  <c r="A887" i="4"/>
  <c r="K886" i="4"/>
  <c r="J886" i="4"/>
  <c r="H886" i="4"/>
  <c r="I886" i="4" s="1"/>
  <c r="F886" i="4"/>
  <c r="A886" i="4"/>
  <c r="K885" i="4"/>
  <c r="J885" i="4"/>
  <c r="H885" i="4"/>
  <c r="F885" i="4"/>
  <c r="A885" i="4"/>
  <c r="K884" i="4"/>
  <c r="J884" i="4"/>
  <c r="H884" i="4"/>
  <c r="F884" i="4"/>
  <c r="A884" i="4"/>
  <c r="K883" i="4"/>
  <c r="J883" i="4"/>
  <c r="H883" i="4"/>
  <c r="F883" i="4"/>
  <c r="A883" i="4"/>
  <c r="K882" i="4"/>
  <c r="J882" i="4"/>
  <c r="H882" i="4"/>
  <c r="F882" i="4"/>
  <c r="A882" i="4"/>
  <c r="K881" i="4"/>
  <c r="J881" i="4"/>
  <c r="H881" i="4"/>
  <c r="F881" i="4"/>
  <c r="A881" i="4"/>
  <c r="K880" i="4"/>
  <c r="J880" i="4"/>
  <c r="H880" i="4"/>
  <c r="F880" i="4"/>
  <c r="A880" i="4"/>
  <c r="K879" i="4"/>
  <c r="J879" i="4"/>
  <c r="H879" i="4"/>
  <c r="I879" i="4" s="1"/>
  <c r="F879" i="4"/>
  <c r="A879" i="4"/>
  <c r="K878" i="4"/>
  <c r="J878" i="4"/>
  <c r="H878" i="4"/>
  <c r="I878" i="4" s="1"/>
  <c r="F878" i="4"/>
  <c r="A878" i="4"/>
  <c r="K877" i="4"/>
  <c r="J877" i="4"/>
  <c r="H877" i="4"/>
  <c r="F877" i="4"/>
  <c r="A877" i="4"/>
  <c r="K876" i="4"/>
  <c r="J876" i="4"/>
  <c r="H876" i="4"/>
  <c r="I876" i="4" s="1"/>
  <c r="F876" i="4"/>
  <c r="A876" i="4"/>
  <c r="K875" i="4"/>
  <c r="J875" i="4"/>
  <c r="H875" i="4"/>
  <c r="I875" i="4" s="1"/>
  <c r="F875" i="4"/>
  <c r="A875" i="4"/>
  <c r="K874" i="4"/>
  <c r="J874" i="4"/>
  <c r="H874" i="4"/>
  <c r="F874" i="4"/>
  <c r="A874" i="4"/>
  <c r="K873" i="4"/>
  <c r="J873" i="4"/>
  <c r="H873" i="4"/>
  <c r="F873" i="4"/>
  <c r="A873" i="4"/>
  <c r="K872" i="4"/>
  <c r="J872" i="4"/>
  <c r="H872" i="4"/>
  <c r="I872" i="4" s="1"/>
  <c r="F872" i="4"/>
  <c r="A872" i="4"/>
  <c r="K871" i="4"/>
  <c r="J871" i="4"/>
  <c r="H871" i="4"/>
  <c r="F871" i="4"/>
  <c r="A871" i="4"/>
  <c r="K870" i="4"/>
  <c r="J870" i="4"/>
  <c r="H870" i="4"/>
  <c r="F870" i="4"/>
  <c r="A870" i="4"/>
  <c r="K869" i="4"/>
  <c r="J869" i="4"/>
  <c r="H869" i="4"/>
  <c r="F869" i="4"/>
  <c r="A869" i="4"/>
  <c r="K868" i="4"/>
  <c r="J868" i="4"/>
  <c r="H868" i="4"/>
  <c r="I868" i="4" s="1"/>
  <c r="F868" i="4"/>
  <c r="A868" i="4"/>
  <c r="K867" i="4"/>
  <c r="J867" i="4"/>
  <c r="H867" i="4"/>
  <c r="F867" i="4"/>
  <c r="A867" i="4"/>
  <c r="K866" i="4"/>
  <c r="J866" i="4"/>
  <c r="H866" i="4"/>
  <c r="F866" i="4"/>
  <c r="A866" i="4"/>
  <c r="K865" i="4"/>
  <c r="J865" i="4"/>
  <c r="H865" i="4"/>
  <c r="F865" i="4"/>
  <c r="A865" i="4"/>
  <c r="K864" i="4"/>
  <c r="J864" i="4"/>
  <c r="H864" i="4"/>
  <c r="I864" i="4" s="1"/>
  <c r="F864" i="4"/>
  <c r="A864" i="4"/>
  <c r="K863" i="4"/>
  <c r="J863" i="4"/>
  <c r="H863" i="4"/>
  <c r="I863" i="4" s="1"/>
  <c r="F863" i="4"/>
  <c r="A863" i="4"/>
  <c r="K862" i="4"/>
  <c r="J862" i="4"/>
  <c r="H862" i="4"/>
  <c r="F862" i="4"/>
  <c r="A862" i="4"/>
  <c r="K861" i="4"/>
  <c r="J861" i="4"/>
  <c r="H861" i="4"/>
  <c r="I861" i="4" s="1"/>
  <c r="F861" i="4"/>
  <c r="A861" i="4"/>
  <c r="K860" i="4"/>
  <c r="J860" i="4"/>
  <c r="H860" i="4"/>
  <c r="F860" i="4"/>
  <c r="A860" i="4"/>
  <c r="K859" i="4"/>
  <c r="J859" i="4"/>
  <c r="H859" i="4"/>
  <c r="F859" i="4"/>
  <c r="A859" i="4"/>
  <c r="K858" i="4"/>
  <c r="J858" i="4"/>
  <c r="H858" i="4"/>
  <c r="I858" i="4" s="1"/>
  <c r="F858" i="4"/>
  <c r="A858" i="4"/>
  <c r="K857" i="4"/>
  <c r="J857" i="4"/>
  <c r="H857" i="4"/>
  <c r="I857" i="4" s="1"/>
  <c r="F857" i="4"/>
  <c r="A857" i="4"/>
  <c r="K856" i="4"/>
  <c r="J856" i="4"/>
  <c r="H856" i="4"/>
  <c r="F856" i="4"/>
  <c r="A856" i="4"/>
  <c r="K855" i="4"/>
  <c r="J855" i="4"/>
  <c r="H855" i="4"/>
  <c r="F855" i="4"/>
  <c r="A855" i="4"/>
  <c r="K854" i="4"/>
  <c r="J854" i="4"/>
  <c r="H854" i="4"/>
  <c r="F854" i="4"/>
  <c r="A854" i="4"/>
  <c r="K853" i="4"/>
  <c r="J853" i="4"/>
  <c r="H853" i="4"/>
  <c r="F853" i="4"/>
  <c r="A853" i="4"/>
  <c r="K852" i="4"/>
  <c r="J852" i="4"/>
  <c r="H852" i="4"/>
  <c r="F852" i="4"/>
  <c r="A852" i="4"/>
  <c r="K851" i="4"/>
  <c r="J851" i="4"/>
  <c r="H851" i="4"/>
  <c r="I851" i="4" s="1"/>
  <c r="F851" i="4"/>
  <c r="A851" i="4"/>
  <c r="K850" i="4"/>
  <c r="J850" i="4"/>
  <c r="H850" i="4"/>
  <c r="F850" i="4"/>
  <c r="A850" i="4"/>
  <c r="K849" i="4"/>
  <c r="J849" i="4"/>
  <c r="H849" i="4"/>
  <c r="F849" i="4"/>
  <c r="A849" i="4"/>
  <c r="K848" i="4"/>
  <c r="J848" i="4"/>
  <c r="H848" i="4"/>
  <c r="F848" i="4"/>
  <c r="A848" i="4"/>
  <c r="K847" i="4"/>
  <c r="J847" i="4"/>
  <c r="H847" i="4"/>
  <c r="I847" i="4" s="1"/>
  <c r="F847" i="4"/>
  <c r="A847" i="4"/>
  <c r="K846" i="4"/>
  <c r="J846" i="4"/>
  <c r="H846" i="4"/>
  <c r="I846" i="4" s="1"/>
  <c r="F846" i="4"/>
  <c r="A846" i="4"/>
  <c r="K845" i="4"/>
  <c r="J845" i="4"/>
  <c r="H845" i="4"/>
  <c r="I845" i="4" s="1"/>
  <c r="F845" i="4"/>
  <c r="A845" i="4"/>
  <c r="K844" i="4"/>
  <c r="J844" i="4"/>
  <c r="H844" i="4"/>
  <c r="I844" i="4" s="1"/>
  <c r="F844" i="4"/>
  <c r="A844" i="4"/>
  <c r="K843" i="4"/>
  <c r="J843" i="4"/>
  <c r="H843" i="4"/>
  <c r="I843" i="4" s="1"/>
  <c r="F843" i="4"/>
  <c r="A843" i="4"/>
  <c r="K842" i="4"/>
  <c r="J842" i="4"/>
  <c r="H842" i="4"/>
  <c r="F842" i="4"/>
  <c r="A842" i="4"/>
  <c r="K841" i="4"/>
  <c r="J841" i="4"/>
  <c r="H841" i="4"/>
  <c r="I841" i="4" s="1"/>
  <c r="F841" i="4"/>
  <c r="A841" i="4"/>
  <c r="K840" i="4"/>
  <c r="J840" i="4"/>
  <c r="H840" i="4"/>
  <c r="I840" i="4" s="1"/>
  <c r="F840" i="4"/>
  <c r="A840" i="4"/>
  <c r="K839" i="4"/>
  <c r="J839" i="4"/>
  <c r="H839" i="4"/>
  <c r="I839" i="4" s="1"/>
  <c r="F839" i="4"/>
  <c r="A839" i="4"/>
  <c r="K838" i="4"/>
  <c r="J838" i="4"/>
  <c r="H838" i="4"/>
  <c r="F838" i="4"/>
  <c r="A838" i="4"/>
  <c r="K837" i="4"/>
  <c r="J837" i="4"/>
  <c r="H837" i="4"/>
  <c r="F837" i="4"/>
  <c r="A837" i="4"/>
  <c r="K836" i="4"/>
  <c r="J836" i="4"/>
  <c r="H836" i="4"/>
  <c r="L836" i="4" s="1"/>
  <c r="F836" i="4"/>
  <c r="A836" i="4"/>
  <c r="K835" i="4"/>
  <c r="J835" i="4"/>
  <c r="H835" i="4"/>
  <c r="I835" i="4" s="1"/>
  <c r="F835" i="4"/>
  <c r="A835" i="4"/>
  <c r="K834" i="4"/>
  <c r="J834" i="4"/>
  <c r="H834" i="4"/>
  <c r="F834" i="4"/>
  <c r="A834" i="4"/>
  <c r="K833" i="4"/>
  <c r="J833" i="4"/>
  <c r="H833" i="4"/>
  <c r="I833" i="4" s="1"/>
  <c r="F833" i="4"/>
  <c r="A833" i="4"/>
  <c r="K832" i="4"/>
  <c r="J832" i="4"/>
  <c r="H832" i="4"/>
  <c r="I832" i="4" s="1"/>
  <c r="F832" i="4"/>
  <c r="A832" i="4"/>
  <c r="K831" i="4"/>
  <c r="J831" i="4"/>
  <c r="H831" i="4"/>
  <c r="I831" i="4" s="1"/>
  <c r="F831" i="4"/>
  <c r="A831" i="4"/>
  <c r="K830" i="4"/>
  <c r="J830" i="4"/>
  <c r="H830" i="4"/>
  <c r="I830" i="4" s="1"/>
  <c r="F830" i="4"/>
  <c r="A830" i="4"/>
  <c r="K829" i="4"/>
  <c r="J829" i="4"/>
  <c r="H829" i="4"/>
  <c r="F829" i="4"/>
  <c r="A829" i="4"/>
  <c r="K828" i="4"/>
  <c r="J828" i="4"/>
  <c r="H828" i="4"/>
  <c r="I828" i="4" s="1"/>
  <c r="F828" i="4"/>
  <c r="A828" i="4"/>
  <c r="K827" i="4"/>
  <c r="J827" i="4"/>
  <c r="H827" i="4"/>
  <c r="I827" i="4" s="1"/>
  <c r="F827" i="4"/>
  <c r="A827" i="4"/>
  <c r="K826" i="4"/>
  <c r="J826" i="4"/>
  <c r="H826" i="4"/>
  <c r="I826" i="4" s="1"/>
  <c r="F826" i="4"/>
  <c r="A826" i="4"/>
  <c r="K825" i="4"/>
  <c r="J825" i="4"/>
  <c r="H825" i="4"/>
  <c r="F825" i="4"/>
  <c r="A825" i="4"/>
  <c r="K824" i="4"/>
  <c r="J824" i="4"/>
  <c r="H824" i="4"/>
  <c r="F824" i="4"/>
  <c r="A824" i="4"/>
  <c r="K823" i="4"/>
  <c r="J823" i="4"/>
  <c r="H823" i="4"/>
  <c r="F823" i="4"/>
  <c r="A823" i="4"/>
  <c r="K822" i="4"/>
  <c r="J822" i="4"/>
  <c r="H822" i="4"/>
  <c r="F822" i="4"/>
  <c r="A822" i="4"/>
  <c r="K821" i="4"/>
  <c r="J821" i="4"/>
  <c r="H821" i="4"/>
  <c r="I821" i="4" s="1"/>
  <c r="F821" i="4"/>
  <c r="A821" i="4"/>
  <c r="K820" i="4"/>
  <c r="J820" i="4"/>
  <c r="H820" i="4"/>
  <c r="I820" i="4" s="1"/>
  <c r="F820" i="4"/>
  <c r="A820" i="4"/>
  <c r="K819" i="4"/>
  <c r="J819" i="4"/>
  <c r="H819" i="4"/>
  <c r="I819" i="4" s="1"/>
  <c r="F819" i="4"/>
  <c r="A819" i="4"/>
  <c r="K818" i="4"/>
  <c r="J818" i="4"/>
  <c r="H818" i="4"/>
  <c r="F818" i="4"/>
  <c r="A818" i="4"/>
  <c r="K817" i="4"/>
  <c r="J817" i="4"/>
  <c r="H817" i="4"/>
  <c r="F817" i="4"/>
  <c r="A817" i="4"/>
  <c r="K816" i="4"/>
  <c r="J816" i="4"/>
  <c r="H816" i="4"/>
  <c r="I816" i="4" s="1"/>
  <c r="F816" i="4"/>
  <c r="A816" i="4"/>
  <c r="K815" i="4"/>
  <c r="J815" i="4"/>
  <c r="H815" i="4"/>
  <c r="I815" i="4" s="1"/>
  <c r="F815" i="4"/>
  <c r="A815" i="4"/>
  <c r="K814" i="4"/>
  <c r="J814" i="4"/>
  <c r="H814" i="4"/>
  <c r="F814" i="4"/>
  <c r="A814" i="4"/>
  <c r="K813" i="4"/>
  <c r="J813" i="4"/>
  <c r="H813" i="4"/>
  <c r="F813" i="4"/>
  <c r="A813" i="4"/>
  <c r="K812" i="4"/>
  <c r="J812" i="4"/>
  <c r="H812" i="4"/>
  <c r="F812" i="4"/>
  <c r="A812" i="4"/>
  <c r="K811" i="4"/>
  <c r="J811" i="4"/>
  <c r="H811" i="4"/>
  <c r="F811" i="4"/>
  <c r="A811" i="4"/>
  <c r="K810" i="4"/>
  <c r="J810" i="4"/>
  <c r="H810" i="4"/>
  <c r="I810" i="4" s="1"/>
  <c r="F810" i="4"/>
  <c r="A810" i="4"/>
  <c r="K809" i="4"/>
  <c r="J809" i="4"/>
  <c r="H809" i="4"/>
  <c r="I809" i="4" s="1"/>
  <c r="F809" i="4"/>
  <c r="A809" i="4"/>
  <c r="K808" i="4"/>
  <c r="J808" i="4"/>
  <c r="H808" i="4"/>
  <c r="I808" i="4" s="1"/>
  <c r="F808" i="4"/>
  <c r="A808" i="4"/>
  <c r="K807" i="4"/>
  <c r="J807" i="4"/>
  <c r="L807" i="4" s="1"/>
  <c r="H807" i="4"/>
  <c r="I807" i="4" s="1"/>
  <c r="F807" i="4"/>
  <c r="A807" i="4"/>
  <c r="K806" i="4"/>
  <c r="J806" i="4"/>
  <c r="H806" i="4"/>
  <c r="I806" i="4" s="1"/>
  <c r="F806" i="4"/>
  <c r="A806" i="4"/>
  <c r="K805" i="4"/>
  <c r="J805" i="4"/>
  <c r="H805" i="4"/>
  <c r="I805" i="4" s="1"/>
  <c r="F805" i="4"/>
  <c r="A805" i="4"/>
  <c r="K804" i="4"/>
  <c r="J804" i="4"/>
  <c r="H804" i="4"/>
  <c r="I804" i="4" s="1"/>
  <c r="F804" i="4"/>
  <c r="A804" i="4"/>
  <c r="K803" i="4"/>
  <c r="J803" i="4"/>
  <c r="H803" i="4"/>
  <c r="I803" i="4" s="1"/>
  <c r="F803" i="4"/>
  <c r="A803" i="4"/>
  <c r="K802" i="4"/>
  <c r="J802" i="4"/>
  <c r="H802" i="4"/>
  <c r="F802" i="4"/>
  <c r="A802" i="4"/>
  <c r="K801" i="4"/>
  <c r="J801" i="4"/>
  <c r="H801" i="4"/>
  <c r="F801" i="4"/>
  <c r="A801" i="4"/>
  <c r="K800" i="4"/>
  <c r="J800" i="4"/>
  <c r="H800" i="4"/>
  <c r="F800" i="4"/>
  <c r="A800" i="4"/>
  <c r="K799" i="4"/>
  <c r="J799" i="4"/>
  <c r="H799" i="4"/>
  <c r="I799" i="4" s="1"/>
  <c r="F799" i="4"/>
  <c r="A799" i="4"/>
  <c r="K798" i="4"/>
  <c r="J798" i="4"/>
  <c r="H798" i="4"/>
  <c r="I798" i="4" s="1"/>
  <c r="F798" i="4"/>
  <c r="A798" i="4"/>
  <c r="K797" i="4"/>
  <c r="J797" i="4"/>
  <c r="H797" i="4"/>
  <c r="I797" i="4" s="1"/>
  <c r="F797" i="4"/>
  <c r="A797" i="4"/>
  <c r="K796" i="4"/>
  <c r="J796" i="4"/>
  <c r="H796" i="4"/>
  <c r="I796" i="4" s="1"/>
  <c r="F796" i="4"/>
  <c r="A796" i="4"/>
  <c r="K795" i="4"/>
  <c r="J795" i="4"/>
  <c r="H795" i="4"/>
  <c r="I795" i="4" s="1"/>
  <c r="F795" i="4"/>
  <c r="A795" i="4"/>
  <c r="K794" i="4"/>
  <c r="J794" i="4"/>
  <c r="H794" i="4"/>
  <c r="I794" i="4" s="1"/>
  <c r="F794" i="4"/>
  <c r="A794" i="4"/>
  <c r="K793" i="4"/>
  <c r="J793" i="4"/>
  <c r="H793" i="4"/>
  <c r="I793" i="4" s="1"/>
  <c r="F793" i="4"/>
  <c r="A793" i="4"/>
  <c r="K792" i="4"/>
  <c r="J792" i="4"/>
  <c r="H792" i="4"/>
  <c r="I792" i="4" s="1"/>
  <c r="F792" i="4"/>
  <c r="A792" i="4"/>
  <c r="K791" i="4"/>
  <c r="J791" i="4"/>
  <c r="H791" i="4"/>
  <c r="F791" i="4"/>
  <c r="A791" i="4"/>
  <c r="K790" i="4"/>
  <c r="J790" i="4"/>
  <c r="H790" i="4"/>
  <c r="I790" i="4" s="1"/>
  <c r="F790" i="4"/>
  <c r="A790" i="4"/>
  <c r="K789" i="4"/>
  <c r="J789" i="4"/>
  <c r="H789" i="4"/>
  <c r="F789" i="4"/>
  <c r="A789" i="4"/>
  <c r="K788" i="4"/>
  <c r="J788" i="4"/>
  <c r="H788" i="4"/>
  <c r="F788" i="4"/>
  <c r="A788" i="4"/>
  <c r="K787" i="4"/>
  <c r="J787" i="4"/>
  <c r="H787" i="4"/>
  <c r="F787" i="4"/>
  <c r="A787" i="4"/>
  <c r="K786" i="4"/>
  <c r="J786" i="4"/>
  <c r="H786" i="4"/>
  <c r="I786" i="4" s="1"/>
  <c r="F786" i="4"/>
  <c r="A786" i="4"/>
  <c r="K785" i="4"/>
  <c r="J785" i="4"/>
  <c r="H785" i="4"/>
  <c r="I785" i="4" s="1"/>
  <c r="F785" i="4"/>
  <c r="A785" i="4"/>
  <c r="K784" i="4"/>
  <c r="J784" i="4"/>
  <c r="H784" i="4"/>
  <c r="I784" i="4" s="1"/>
  <c r="F784" i="4"/>
  <c r="A784" i="4"/>
  <c r="K783" i="4"/>
  <c r="J783" i="4"/>
  <c r="H783" i="4"/>
  <c r="F783" i="4"/>
  <c r="A783" i="4"/>
  <c r="K782" i="4"/>
  <c r="J782" i="4"/>
  <c r="H782" i="4"/>
  <c r="F782" i="4"/>
  <c r="A782" i="4"/>
  <c r="K781" i="4"/>
  <c r="J781" i="4"/>
  <c r="H781" i="4"/>
  <c r="I781" i="4" s="1"/>
  <c r="F781" i="4"/>
  <c r="A781" i="4"/>
  <c r="K780" i="4"/>
  <c r="J780" i="4"/>
  <c r="H780" i="4"/>
  <c r="I780" i="4" s="1"/>
  <c r="F780" i="4"/>
  <c r="A780" i="4"/>
  <c r="K779" i="4"/>
  <c r="J779" i="4"/>
  <c r="H779" i="4"/>
  <c r="I779" i="4" s="1"/>
  <c r="F779" i="4"/>
  <c r="A779" i="4"/>
  <c r="K778" i="4"/>
  <c r="J778" i="4"/>
  <c r="H778" i="4"/>
  <c r="L778" i="4" s="1"/>
  <c r="F778" i="4"/>
  <c r="A778" i="4"/>
  <c r="K777" i="4"/>
  <c r="J777" i="4"/>
  <c r="H777" i="4"/>
  <c r="F777" i="4"/>
  <c r="A777" i="4"/>
  <c r="K776" i="4"/>
  <c r="J776" i="4"/>
  <c r="H776" i="4"/>
  <c r="F776" i="4"/>
  <c r="A776" i="4"/>
  <c r="K775" i="4"/>
  <c r="J775" i="4"/>
  <c r="H775" i="4"/>
  <c r="I775" i="4" s="1"/>
  <c r="F775" i="4"/>
  <c r="A775" i="4"/>
  <c r="K774" i="4"/>
  <c r="J774" i="4"/>
  <c r="H774" i="4"/>
  <c r="I774" i="4" s="1"/>
  <c r="F774" i="4"/>
  <c r="A774" i="4"/>
  <c r="K773" i="4"/>
  <c r="J773" i="4"/>
  <c r="H773" i="4"/>
  <c r="I773" i="4" s="1"/>
  <c r="F773" i="4"/>
  <c r="A773" i="4"/>
  <c r="K772" i="4"/>
  <c r="J772" i="4"/>
  <c r="H772" i="4"/>
  <c r="I772" i="4" s="1"/>
  <c r="F772" i="4"/>
  <c r="A772" i="4"/>
  <c r="K771" i="4"/>
  <c r="J771" i="4"/>
  <c r="H771" i="4"/>
  <c r="I771" i="4" s="1"/>
  <c r="F771" i="4"/>
  <c r="A771" i="4"/>
  <c r="K770" i="4"/>
  <c r="J770" i="4"/>
  <c r="H770" i="4"/>
  <c r="I770" i="4" s="1"/>
  <c r="F770" i="4"/>
  <c r="A770" i="4"/>
  <c r="K769" i="4"/>
  <c r="J769" i="4"/>
  <c r="H769" i="4"/>
  <c r="I769" i="4" s="1"/>
  <c r="F769" i="4"/>
  <c r="A769" i="4"/>
  <c r="K768" i="4"/>
  <c r="J768" i="4"/>
  <c r="H768" i="4"/>
  <c r="I768" i="4" s="1"/>
  <c r="F768" i="4"/>
  <c r="A768" i="4"/>
  <c r="K767" i="4"/>
  <c r="J767" i="4"/>
  <c r="H767" i="4"/>
  <c r="F767" i="4"/>
  <c r="A767" i="4"/>
  <c r="K766" i="4"/>
  <c r="J766" i="4"/>
  <c r="H766" i="4"/>
  <c r="F766" i="4"/>
  <c r="A766" i="4"/>
  <c r="K765" i="4"/>
  <c r="J765" i="4"/>
  <c r="H765" i="4"/>
  <c r="F765" i="4"/>
  <c r="A765" i="4"/>
  <c r="K764" i="4"/>
  <c r="J764" i="4"/>
  <c r="H764" i="4"/>
  <c r="F764" i="4"/>
  <c r="A764" i="4"/>
  <c r="K763" i="4"/>
  <c r="J763" i="4"/>
  <c r="H763" i="4"/>
  <c r="I763" i="4" s="1"/>
  <c r="F763" i="4"/>
  <c r="A763" i="4"/>
  <c r="K762" i="4"/>
  <c r="J762" i="4"/>
  <c r="H762" i="4"/>
  <c r="I762" i="4" s="1"/>
  <c r="F762" i="4"/>
  <c r="A762" i="4"/>
  <c r="K761" i="4"/>
  <c r="J761" i="4"/>
  <c r="H761" i="4"/>
  <c r="F761" i="4"/>
  <c r="A761" i="4"/>
  <c r="K760" i="4"/>
  <c r="J760" i="4"/>
  <c r="H760" i="4"/>
  <c r="F760" i="4"/>
  <c r="A760" i="4"/>
  <c r="K759" i="4"/>
  <c r="J759" i="4"/>
  <c r="H759" i="4"/>
  <c r="I759" i="4" s="1"/>
  <c r="F759" i="4"/>
  <c r="A759" i="4"/>
  <c r="K758" i="4"/>
  <c r="J758" i="4"/>
  <c r="H758" i="4"/>
  <c r="I758" i="4" s="1"/>
  <c r="F758" i="4"/>
  <c r="A758" i="4"/>
  <c r="K757" i="4"/>
  <c r="J757" i="4"/>
  <c r="H757" i="4"/>
  <c r="I757" i="4" s="1"/>
  <c r="F757" i="4"/>
  <c r="A757" i="4"/>
  <c r="K756" i="4"/>
  <c r="J756" i="4"/>
  <c r="H756" i="4"/>
  <c r="F756" i="4"/>
  <c r="A756" i="4"/>
  <c r="K755" i="4"/>
  <c r="J755" i="4"/>
  <c r="H755" i="4"/>
  <c r="I755" i="4" s="1"/>
  <c r="F755" i="4"/>
  <c r="A755" i="4"/>
  <c r="K754" i="4"/>
  <c r="J754" i="4"/>
  <c r="H754" i="4"/>
  <c r="I754" i="4" s="1"/>
  <c r="F754" i="4"/>
  <c r="A754" i="4"/>
  <c r="K753" i="4"/>
  <c r="J753" i="4"/>
  <c r="H753" i="4"/>
  <c r="F753" i="4"/>
  <c r="A753" i="4"/>
  <c r="K752" i="4"/>
  <c r="J752" i="4"/>
  <c r="H752" i="4"/>
  <c r="F752" i="4"/>
  <c r="A752" i="4"/>
  <c r="K751" i="4"/>
  <c r="J751" i="4"/>
  <c r="H751" i="4"/>
  <c r="F751" i="4"/>
  <c r="A751" i="4"/>
  <c r="K750" i="4"/>
  <c r="J750" i="4"/>
  <c r="H750" i="4"/>
  <c r="I750" i="4" s="1"/>
  <c r="F750" i="4"/>
  <c r="A750" i="4"/>
  <c r="K749" i="4"/>
  <c r="J749" i="4"/>
  <c r="H749" i="4"/>
  <c r="I749" i="4" s="1"/>
  <c r="F749" i="4"/>
  <c r="A749" i="4"/>
  <c r="K748" i="4"/>
  <c r="J748" i="4"/>
  <c r="H748" i="4"/>
  <c r="I748" i="4" s="1"/>
  <c r="F748" i="4"/>
  <c r="A748" i="4"/>
  <c r="K747" i="4"/>
  <c r="J747" i="4"/>
  <c r="H747" i="4"/>
  <c r="I747" i="4" s="1"/>
  <c r="F747" i="4"/>
  <c r="A747" i="4"/>
  <c r="K746" i="4"/>
  <c r="J746" i="4"/>
  <c r="H746" i="4"/>
  <c r="F746" i="4"/>
  <c r="A746" i="4"/>
  <c r="K745" i="4"/>
  <c r="J745" i="4"/>
  <c r="H745" i="4"/>
  <c r="F745" i="4"/>
  <c r="A745" i="4"/>
  <c r="K744" i="4"/>
  <c r="J744" i="4"/>
  <c r="H744" i="4"/>
  <c r="F744" i="4"/>
  <c r="A744" i="4"/>
  <c r="K743" i="4"/>
  <c r="J743" i="4"/>
  <c r="H743" i="4"/>
  <c r="F743" i="4"/>
  <c r="A743" i="4"/>
  <c r="K742" i="4"/>
  <c r="J742" i="4"/>
  <c r="H742" i="4"/>
  <c r="F742" i="4"/>
  <c r="A742" i="4"/>
  <c r="K741" i="4"/>
  <c r="J741" i="4"/>
  <c r="H741" i="4"/>
  <c r="F741" i="4"/>
  <c r="A741" i="4"/>
  <c r="K740" i="4"/>
  <c r="J740" i="4"/>
  <c r="H740" i="4"/>
  <c r="F740" i="4"/>
  <c r="A740" i="4"/>
  <c r="K739" i="4"/>
  <c r="J739" i="4"/>
  <c r="H739" i="4"/>
  <c r="F739" i="4"/>
  <c r="A739" i="4"/>
  <c r="K738" i="4"/>
  <c r="J738" i="4"/>
  <c r="H738" i="4"/>
  <c r="F738" i="4"/>
  <c r="A738" i="4"/>
  <c r="K737" i="4"/>
  <c r="J737" i="4"/>
  <c r="H737" i="4"/>
  <c r="F737" i="4"/>
  <c r="A737" i="4"/>
  <c r="K736" i="4"/>
  <c r="J736" i="4"/>
  <c r="H736" i="4"/>
  <c r="I736" i="4" s="1"/>
  <c r="F736" i="4"/>
  <c r="A736" i="4"/>
  <c r="K735" i="4"/>
  <c r="J735" i="4"/>
  <c r="H735" i="4"/>
  <c r="I735" i="4" s="1"/>
  <c r="F735" i="4"/>
  <c r="A735" i="4"/>
  <c r="K734" i="4"/>
  <c r="J734" i="4"/>
  <c r="H734" i="4"/>
  <c r="I734" i="4" s="1"/>
  <c r="F734" i="4"/>
  <c r="A734" i="4"/>
  <c r="K733" i="4"/>
  <c r="J733" i="4"/>
  <c r="H733" i="4"/>
  <c r="I733" i="4" s="1"/>
  <c r="F733" i="4"/>
  <c r="A733" i="4"/>
  <c r="K732" i="4"/>
  <c r="J732" i="4"/>
  <c r="H732" i="4"/>
  <c r="I732" i="4" s="1"/>
  <c r="F732" i="4"/>
  <c r="A732" i="4"/>
  <c r="K731" i="4"/>
  <c r="J731" i="4"/>
  <c r="H731" i="4"/>
  <c r="F731" i="4"/>
  <c r="A731" i="4"/>
  <c r="K730" i="4"/>
  <c r="J730" i="4"/>
  <c r="H730" i="4"/>
  <c r="I730" i="4" s="1"/>
  <c r="F730" i="4"/>
  <c r="A730" i="4"/>
  <c r="K729" i="4"/>
  <c r="J729" i="4"/>
  <c r="H729" i="4"/>
  <c r="F729" i="4"/>
  <c r="A729" i="4"/>
  <c r="K728" i="4"/>
  <c r="J728" i="4"/>
  <c r="H728" i="4"/>
  <c r="I728" i="4" s="1"/>
  <c r="F728" i="4"/>
  <c r="A728" i="4"/>
  <c r="K727" i="4"/>
  <c r="J727" i="4"/>
  <c r="H727" i="4"/>
  <c r="I727" i="4" s="1"/>
  <c r="F727" i="4"/>
  <c r="A727" i="4"/>
  <c r="K726" i="4"/>
  <c r="J726" i="4"/>
  <c r="H726" i="4"/>
  <c r="F726" i="4"/>
  <c r="A726" i="4"/>
  <c r="K725" i="4"/>
  <c r="J725" i="4"/>
  <c r="H725" i="4"/>
  <c r="I725" i="4" s="1"/>
  <c r="F725" i="4"/>
  <c r="A725" i="4"/>
  <c r="K724" i="4"/>
  <c r="J724" i="4"/>
  <c r="H724" i="4"/>
  <c r="I724" i="4" s="1"/>
  <c r="F724" i="4"/>
  <c r="A724" i="4"/>
  <c r="K723" i="4"/>
  <c r="J723" i="4"/>
  <c r="H723" i="4"/>
  <c r="I723" i="4" s="1"/>
  <c r="F723" i="4"/>
  <c r="A723" i="4"/>
  <c r="K722" i="4"/>
  <c r="J722" i="4"/>
  <c r="H722" i="4"/>
  <c r="I722" i="4" s="1"/>
  <c r="F722" i="4"/>
  <c r="A722" i="4"/>
  <c r="K721" i="4"/>
  <c r="J721" i="4"/>
  <c r="H721" i="4"/>
  <c r="I721" i="4" s="1"/>
  <c r="F721" i="4"/>
  <c r="A721" i="4"/>
  <c r="K720" i="4"/>
  <c r="J720" i="4"/>
  <c r="H720" i="4"/>
  <c r="I720" i="4" s="1"/>
  <c r="F720" i="4"/>
  <c r="A720" i="4"/>
  <c r="K719" i="4"/>
  <c r="J719" i="4"/>
  <c r="H719" i="4"/>
  <c r="I719" i="4" s="1"/>
  <c r="F719" i="4"/>
  <c r="A719" i="4"/>
  <c r="K718" i="4"/>
  <c r="J718" i="4"/>
  <c r="H718" i="4"/>
  <c r="I718" i="4" s="1"/>
  <c r="F718" i="4"/>
  <c r="A718" i="4"/>
  <c r="K717" i="4"/>
  <c r="J717" i="4"/>
  <c r="H717" i="4"/>
  <c r="F717" i="4"/>
  <c r="A717" i="4"/>
  <c r="K716" i="4"/>
  <c r="J716" i="4"/>
  <c r="H716" i="4"/>
  <c r="F716" i="4"/>
  <c r="A716" i="4"/>
  <c r="K715" i="4"/>
  <c r="J715" i="4"/>
  <c r="H715" i="4"/>
  <c r="I715" i="4" s="1"/>
  <c r="F715" i="4"/>
  <c r="A715" i="4"/>
  <c r="K714" i="4"/>
  <c r="J714" i="4"/>
  <c r="H714" i="4"/>
  <c r="I714" i="4" s="1"/>
  <c r="F714" i="4"/>
  <c r="A714" i="4"/>
  <c r="K713" i="4"/>
  <c r="J713" i="4"/>
  <c r="H713" i="4"/>
  <c r="I713" i="4" s="1"/>
  <c r="F713" i="4"/>
  <c r="A713" i="4"/>
  <c r="K712" i="4"/>
  <c r="J712" i="4"/>
  <c r="H712" i="4"/>
  <c r="F712" i="4"/>
  <c r="A712" i="4"/>
  <c r="K711" i="4"/>
  <c r="J711" i="4"/>
  <c r="H711" i="4"/>
  <c r="I711" i="4" s="1"/>
  <c r="F711" i="4"/>
  <c r="A711" i="4"/>
  <c r="K710" i="4"/>
  <c r="J710" i="4"/>
  <c r="H710" i="4"/>
  <c r="F710" i="4"/>
  <c r="A710" i="4"/>
  <c r="K709" i="4"/>
  <c r="J709" i="4"/>
  <c r="H709" i="4"/>
  <c r="I709" i="4" s="1"/>
  <c r="F709" i="4"/>
  <c r="A709" i="4"/>
  <c r="K708" i="4"/>
  <c r="J708" i="4"/>
  <c r="H708" i="4"/>
  <c r="I708" i="4" s="1"/>
  <c r="F708" i="4"/>
  <c r="A708" i="4"/>
  <c r="K707" i="4"/>
  <c r="J707" i="4"/>
  <c r="H707" i="4"/>
  <c r="F707" i="4"/>
  <c r="A707" i="4"/>
  <c r="K706" i="4"/>
  <c r="J706" i="4"/>
  <c r="H706" i="4"/>
  <c r="I706" i="4" s="1"/>
  <c r="F706" i="4"/>
  <c r="A706" i="4"/>
  <c r="K705" i="4"/>
  <c r="J705" i="4"/>
  <c r="H705" i="4"/>
  <c r="F705" i="4"/>
  <c r="A705" i="4"/>
  <c r="K704" i="4"/>
  <c r="J704" i="4"/>
  <c r="H704" i="4"/>
  <c r="I704" i="4" s="1"/>
  <c r="F704" i="4"/>
  <c r="A704" i="4"/>
  <c r="K703" i="4"/>
  <c r="J703" i="4"/>
  <c r="H703" i="4"/>
  <c r="F703" i="4"/>
  <c r="A703" i="4"/>
  <c r="K702" i="4"/>
  <c r="J702" i="4"/>
  <c r="H702" i="4"/>
  <c r="F702" i="4"/>
  <c r="A702" i="4"/>
  <c r="K701" i="4"/>
  <c r="J701" i="4"/>
  <c r="H701" i="4"/>
  <c r="I701" i="4" s="1"/>
  <c r="F701" i="4"/>
  <c r="A701" i="4"/>
  <c r="K700" i="4"/>
  <c r="J700" i="4"/>
  <c r="H700" i="4"/>
  <c r="F700" i="4"/>
  <c r="A700" i="4"/>
  <c r="K699" i="4"/>
  <c r="J699" i="4"/>
  <c r="H699" i="4"/>
  <c r="I699" i="4" s="1"/>
  <c r="F699" i="4"/>
  <c r="A699" i="4"/>
  <c r="K698" i="4"/>
  <c r="J698" i="4"/>
  <c r="H698" i="4"/>
  <c r="F698" i="4"/>
  <c r="A698" i="4"/>
  <c r="K697" i="4"/>
  <c r="J697" i="4"/>
  <c r="H697" i="4"/>
  <c r="F697" i="4"/>
  <c r="A697" i="4"/>
  <c r="K696" i="4"/>
  <c r="J696" i="4"/>
  <c r="H696" i="4"/>
  <c r="I696" i="4" s="1"/>
  <c r="F696" i="4"/>
  <c r="A696" i="4"/>
  <c r="K695" i="4"/>
  <c r="J695" i="4"/>
  <c r="H695" i="4"/>
  <c r="I695" i="4" s="1"/>
  <c r="F695" i="4"/>
  <c r="A695" i="4"/>
  <c r="K694" i="4"/>
  <c r="J694" i="4"/>
  <c r="H694" i="4"/>
  <c r="I694" i="4" s="1"/>
  <c r="F694" i="4"/>
  <c r="A694" i="4"/>
  <c r="K693" i="4"/>
  <c r="J693" i="4"/>
  <c r="H693" i="4"/>
  <c r="F693" i="4"/>
  <c r="A693" i="4"/>
  <c r="K692" i="4"/>
  <c r="J692" i="4"/>
  <c r="H692" i="4"/>
  <c r="F692" i="4"/>
  <c r="A692" i="4"/>
  <c r="K691" i="4"/>
  <c r="J691" i="4"/>
  <c r="H691" i="4"/>
  <c r="I691" i="4" s="1"/>
  <c r="F691" i="4"/>
  <c r="A691" i="4"/>
  <c r="K690" i="4"/>
  <c r="J690" i="4"/>
  <c r="H690" i="4"/>
  <c r="F690" i="4"/>
  <c r="A690" i="4"/>
  <c r="K689" i="4"/>
  <c r="J689" i="4"/>
  <c r="H689" i="4"/>
  <c r="F689" i="4"/>
  <c r="A689" i="4"/>
  <c r="K688" i="4"/>
  <c r="J688" i="4"/>
  <c r="H688" i="4"/>
  <c r="I688" i="4" s="1"/>
  <c r="F688" i="4"/>
  <c r="A688" i="4"/>
  <c r="K687" i="4"/>
  <c r="J687" i="4"/>
  <c r="H687" i="4"/>
  <c r="I687" i="4" s="1"/>
  <c r="F687" i="4"/>
  <c r="A687" i="4"/>
  <c r="K686" i="4"/>
  <c r="J686" i="4"/>
  <c r="H686" i="4"/>
  <c r="F686" i="4"/>
  <c r="A686" i="4"/>
  <c r="K685" i="4"/>
  <c r="J685" i="4"/>
  <c r="H685" i="4"/>
  <c r="I685" i="4" s="1"/>
  <c r="F685" i="4"/>
  <c r="A685" i="4"/>
  <c r="K684" i="4"/>
  <c r="J684" i="4"/>
  <c r="H684" i="4"/>
  <c r="F684" i="4"/>
  <c r="A684" i="4"/>
  <c r="K683" i="4"/>
  <c r="J683" i="4"/>
  <c r="H683" i="4"/>
  <c r="F683" i="4"/>
  <c r="A683" i="4"/>
  <c r="K682" i="4"/>
  <c r="J682" i="4"/>
  <c r="H682" i="4"/>
  <c r="F682" i="4"/>
  <c r="A682" i="4"/>
  <c r="K681" i="4"/>
  <c r="J681" i="4"/>
  <c r="H681" i="4"/>
  <c r="F681" i="4"/>
  <c r="A681" i="4"/>
  <c r="K680" i="4"/>
  <c r="J680" i="4"/>
  <c r="H680" i="4"/>
  <c r="I680" i="4" s="1"/>
  <c r="F680" i="4"/>
  <c r="A680" i="4"/>
  <c r="K679" i="4"/>
  <c r="J679" i="4"/>
  <c r="H679" i="4"/>
  <c r="F679" i="4"/>
  <c r="A679" i="4"/>
  <c r="K678" i="4"/>
  <c r="J678" i="4"/>
  <c r="H678" i="4"/>
  <c r="I678" i="4" s="1"/>
  <c r="F678" i="4"/>
  <c r="A678" i="4"/>
  <c r="K677" i="4"/>
  <c r="J677" i="4"/>
  <c r="H677" i="4"/>
  <c r="F677" i="4"/>
  <c r="A677" i="4"/>
  <c r="K676" i="4"/>
  <c r="J676" i="4"/>
  <c r="L676" i="4" s="1"/>
  <c r="H676" i="4"/>
  <c r="I676" i="4" s="1"/>
  <c r="F676" i="4"/>
  <c r="A676" i="4"/>
  <c r="K675" i="4"/>
  <c r="J675" i="4"/>
  <c r="H675" i="4"/>
  <c r="I675" i="4" s="1"/>
  <c r="F675" i="4"/>
  <c r="A675" i="4"/>
  <c r="K674" i="4"/>
  <c r="J674" i="4"/>
  <c r="H674" i="4"/>
  <c r="F674" i="4"/>
  <c r="A674" i="4"/>
  <c r="K673" i="4"/>
  <c r="J673" i="4"/>
  <c r="H673" i="4"/>
  <c r="F673" i="4"/>
  <c r="A673" i="4"/>
  <c r="K672" i="4"/>
  <c r="J672" i="4"/>
  <c r="H672" i="4"/>
  <c r="I672" i="4" s="1"/>
  <c r="F672" i="4"/>
  <c r="A672" i="4"/>
  <c r="K671" i="4"/>
  <c r="J671" i="4"/>
  <c r="H671" i="4"/>
  <c r="F671" i="4"/>
  <c r="A671" i="4"/>
  <c r="K670" i="4"/>
  <c r="J670" i="4"/>
  <c r="H670" i="4"/>
  <c r="I670" i="4" s="1"/>
  <c r="F670" i="4"/>
  <c r="A670" i="4"/>
  <c r="K669" i="4"/>
  <c r="J669" i="4"/>
  <c r="H669" i="4"/>
  <c r="F669" i="4"/>
  <c r="A669" i="4"/>
  <c r="K668" i="4"/>
  <c r="J668" i="4"/>
  <c r="H668" i="4"/>
  <c r="F668" i="4"/>
  <c r="A668" i="4"/>
  <c r="K667" i="4"/>
  <c r="J667" i="4"/>
  <c r="H667" i="4"/>
  <c r="I667" i="4" s="1"/>
  <c r="F667" i="4"/>
  <c r="A667" i="4"/>
  <c r="K666" i="4"/>
  <c r="J666" i="4"/>
  <c r="H666" i="4"/>
  <c r="F666" i="4"/>
  <c r="A666" i="4"/>
  <c r="K665" i="4"/>
  <c r="J665" i="4"/>
  <c r="H665" i="4"/>
  <c r="I665" i="4" s="1"/>
  <c r="F665" i="4"/>
  <c r="A665" i="4"/>
  <c r="K664" i="4"/>
  <c r="J664" i="4"/>
  <c r="H664" i="4"/>
  <c r="F664" i="4"/>
  <c r="A664" i="4"/>
  <c r="K663" i="4"/>
  <c r="J663" i="4"/>
  <c r="H663" i="4"/>
  <c r="F663" i="4"/>
  <c r="A663" i="4"/>
  <c r="K662" i="4"/>
  <c r="J662" i="4"/>
  <c r="H662" i="4"/>
  <c r="I662" i="4" s="1"/>
  <c r="F662" i="4"/>
  <c r="A662" i="4"/>
  <c r="K661" i="4"/>
  <c r="J661" i="4"/>
  <c r="H661" i="4"/>
  <c r="I661" i="4" s="1"/>
  <c r="F661" i="4"/>
  <c r="A661" i="4"/>
  <c r="K660" i="4"/>
  <c r="J660" i="4"/>
  <c r="H660" i="4"/>
  <c r="I660" i="4" s="1"/>
  <c r="F660" i="4"/>
  <c r="A660" i="4"/>
  <c r="K659" i="4"/>
  <c r="J659" i="4"/>
  <c r="H659" i="4"/>
  <c r="I659" i="4" s="1"/>
  <c r="F659" i="4"/>
  <c r="A659" i="4"/>
  <c r="K658" i="4"/>
  <c r="J658" i="4"/>
  <c r="H658" i="4"/>
  <c r="L658" i="4" s="1"/>
  <c r="F658" i="4"/>
  <c r="A658" i="4"/>
  <c r="K657" i="4"/>
  <c r="J657" i="4"/>
  <c r="H657" i="4"/>
  <c r="F657" i="4"/>
  <c r="A657" i="4"/>
  <c r="K656" i="4"/>
  <c r="J656" i="4"/>
  <c r="H656" i="4"/>
  <c r="F656" i="4"/>
  <c r="A656" i="4"/>
  <c r="K655" i="4"/>
  <c r="J655" i="4"/>
  <c r="H655" i="4"/>
  <c r="F655" i="4"/>
  <c r="A655" i="4"/>
  <c r="K654" i="4"/>
  <c r="J654" i="4"/>
  <c r="H654" i="4"/>
  <c r="F654" i="4"/>
  <c r="A654" i="4"/>
  <c r="K653" i="4"/>
  <c r="J653" i="4"/>
  <c r="H653" i="4"/>
  <c r="F653" i="4"/>
  <c r="A653" i="4"/>
  <c r="K652" i="4"/>
  <c r="J652" i="4"/>
  <c r="H652" i="4"/>
  <c r="F652" i="4"/>
  <c r="A652" i="4"/>
  <c r="K651" i="4"/>
  <c r="J651" i="4"/>
  <c r="H651" i="4"/>
  <c r="F651" i="4"/>
  <c r="A651" i="4"/>
  <c r="K650" i="4"/>
  <c r="J650" i="4"/>
  <c r="H650" i="4"/>
  <c r="F650" i="4"/>
  <c r="A650" i="4"/>
  <c r="K649" i="4"/>
  <c r="J649" i="4"/>
  <c r="H649" i="4"/>
  <c r="F649" i="4"/>
  <c r="A649" i="4"/>
  <c r="K648" i="4"/>
  <c r="J648" i="4"/>
  <c r="H648" i="4"/>
  <c r="I648" i="4" s="1"/>
  <c r="F648" i="4"/>
  <c r="A648" i="4"/>
  <c r="K647" i="4"/>
  <c r="J647" i="4"/>
  <c r="L647" i="4" s="1"/>
  <c r="H647" i="4"/>
  <c r="F647" i="4"/>
  <c r="A647" i="4"/>
  <c r="K646" i="4"/>
  <c r="J646" i="4"/>
  <c r="H646" i="4"/>
  <c r="I646" i="4" s="1"/>
  <c r="F646" i="4"/>
  <c r="A646" i="4"/>
  <c r="K645" i="4"/>
  <c r="J645" i="4"/>
  <c r="H645" i="4"/>
  <c r="F645" i="4"/>
  <c r="A645" i="4"/>
  <c r="K644" i="4"/>
  <c r="J644" i="4"/>
  <c r="H644" i="4"/>
  <c r="F644" i="4"/>
  <c r="A644" i="4"/>
  <c r="K643" i="4"/>
  <c r="J643" i="4"/>
  <c r="H643" i="4"/>
  <c r="F643" i="4"/>
  <c r="A643" i="4"/>
  <c r="K642" i="4"/>
  <c r="J642" i="4"/>
  <c r="H642" i="4"/>
  <c r="F642" i="4"/>
  <c r="A642" i="4"/>
  <c r="K641" i="4"/>
  <c r="J641" i="4"/>
  <c r="H641" i="4"/>
  <c r="I641" i="4" s="1"/>
  <c r="F641" i="4"/>
  <c r="A641" i="4"/>
  <c r="K640" i="4"/>
  <c r="J640" i="4"/>
  <c r="H640" i="4"/>
  <c r="I640" i="4" s="1"/>
  <c r="F640" i="4"/>
  <c r="A640" i="4"/>
  <c r="K639" i="4"/>
  <c r="J639" i="4"/>
  <c r="H639" i="4"/>
  <c r="I639" i="4" s="1"/>
  <c r="F639" i="4"/>
  <c r="A639" i="4"/>
  <c r="K638" i="4"/>
  <c r="J638" i="4"/>
  <c r="H638" i="4"/>
  <c r="F638" i="4"/>
  <c r="A638" i="4"/>
  <c r="K637" i="4"/>
  <c r="J637" i="4"/>
  <c r="H637" i="4"/>
  <c r="F637" i="4"/>
  <c r="A637" i="4"/>
  <c r="K636" i="4"/>
  <c r="J636" i="4"/>
  <c r="H636" i="4"/>
  <c r="I636" i="4" s="1"/>
  <c r="F636" i="4"/>
  <c r="A636" i="4"/>
  <c r="K635" i="4"/>
  <c r="J635" i="4"/>
  <c r="H635" i="4"/>
  <c r="I635" i="4" s="1"/>
  <c r="F635" i="4"/>
  <c r="A635" i="4"/>
  <c r="K634" i="4"/>
  <c r="J634" i="4"/>
  <c r="H634" i="4"/>
  <c r="I634" i="4" s="1"/>
  <c r="F634" i="4"/>
  <c r="A634" i="4"/>
  <c r="K633" i="4"/>
  <c r="J633" i="4"/>
  <c r="H633" i="4"/>
  <c r="F633" i="4"/>
  <c r="A633" i="4"/>
  <c r="K632" i="4"/>
  <c r="J632" i="4"/>
  <c r="H632" i="4"/>
  <c r="I632" i="4" s="1"/>
  <c r="F632" i="4"/>
  <c r="A632" i="4"/>
  <c r="K631" i="4"/>
  <c r="J631" i="4"/>
  <c r="H631" i="4"/>
  <c r="I631" i="4" s="1"/>
  <c r="F631" i="4"/>
  <c r="A631" i="4"/>
  <c r="K630" i="4"/>
  <c r="J630" i="4"/>
  <c r="H630" i="4"/>
  <c r="F630" i="4"/>
  <c r="A630" i="4"/>
  <c r="K629" i="4"/>
  <c r="J629" i="4"/>
  <c r="H629" i="4"/>
  <c r="I629" i="4" s="1"/>
  <c r="F629" i="4"/>
  <c r="A629" i="4"/>
  <c r="K628" i="4"/>
  <c r="J628" i="4"/>
  <c r="H628" i="4"/>
  <c r="I628" i="4" s="1"/>
  <c r="F628" i="4"/>
  <c r="A628" i="4"/>
  <c r="K627" i="4"/>
  <c r="J627" i="4"/>
  <c r="H627" i="4"/>
  <c r="F627" i="4"/>
  <c r="A627" i="4"/>
  <c r="K626" i="4"/>
  <c r="J626" i="4"/>
  <c r="H626" i="4"/>
  <c r="F626" i="4"/>
  <c r="A626" i="4"/>
  <c r="K625" i="4"/>
  <c r="J625" i="4"/>
  <c r="H625" i="4"/>
  <c r="I625" i="4" s="1"/>
  <c r="F625" i="4"/>
  <c r="A625" i="4"/>
  <c r="K624" i="4"/>
  <c r="J624" i="4"/>
  <c r="H624" i="4"/>
  <c r="I624" i="4" s="1"/>
  <c r="F624" i="4"/>
  <c r="A624" i="4"/>
  <c r="K623" i="4"/>
  <c r="J623" i="4"/>
  <c r="H623" i="4"/>
  <c r="I623" i="4" s="1"/>
  <c r="F623" i="4"/>
  <c r="A623" i="4"/>
  <c r="K622" i="4"/>
  <c r="J622" i="4"/>
  <c r="H622" i="4"/>
  <c r="F622" i="4"/>
  <c r="A622" i="4"/>
  <c r="K621" i="4"/>
  <c r="J621" i="4"/>
  <c r="H621" i="4"/>
  <c r="F621" i="4"/>
  <c r="A621" i="4"/>
  <c r="K620" i="4"/>
  <c r="J620" i="4"/>
  <c r="H620" i="4"/>
  <c r="I620" i="4" s="1"/>
  <c r="F620" i="4"/>
  <c r="A620" i="4"/>
  <c r="K619" i="4"/>
  <c r="J619" i="4"/>
  <c r="H619" i="4"/>
  <c r="F619" i="4"/>
  <c r="A619" i="4"/>
  <c r="K618" i="4"/>
  <c r="J618" i="4"/>
  <c r="H618" i="4"/>
  <c r="I618" i="4" s="1"/>
  <c r="F618" i="4"/>
  <c r="A618" i="4"/>
  <c r="K617" i="4"/>
  <c r="J617" i="4"/>
  <c r="H617" i="4"/>
  <c r="F617" i="4"/>
  <c r="A617" i="4"/>
  <c r="K616" i="4"/>
  <c r="J616" i="4"/>
  <c r="L616" i="4" s="1"/>
  <c r="H616" i="4"/>
  <c r="I616" i="4" s="1"/>
  <c r="F616" i="4"/>
  <c r="A616" i="4"/>
  <c r="K615" i="4"/>
  <c r="J615" i="4"/>
  <c r="H615" i="4"/>
  <c r="I615" i="4" s="1"/>
  <c r="F615" i="4"/>
  <c r="A615" i="4"/>
  <c r="K614" i="4"/>
  <c r="J614" i="4"/>
  <c r="H614" i="4"/>
  <c r="F614" i="4"/>
  <c r="A614" i="4"/>
  <c r="K613" i="4"/>
  <c r="J613" i="4"/>
  <c r="H613" i="4"/>
  <c r="I613" i="4" s="1"/>
  <c r="F613" i="4"/>
  <c r="A613" i="4"/>
  <c r="K612" i="4"/>
  <c r="J612" i="4"/>
  <c r="H612" i="4"/>
  <c r="F612" i="4"/>
  <c r="A612" i="4"/>
  <c r="K611" i="4"/>
  <c r="J611" i="4"/>
  <c r="H611" i="4"/>
  <c r="I611" i="4" s="1"/>
  <c r="F611" i="4"/>
  <c r="A611" i="4"/>
  <c r="K610" i="4"/>
  <c r="J610" i="4"/>
  <c r="H610" i="4"/>
  <c r="F610" i="4"/>
  <c r="A610" i="4"/>
  <c r="K609" i="4"/>
  <c r="J609" i="4"/>
  <c r="H609" i="4"/>
  <c r="I609" i="4" s="1"/>
  <c r="F609" i="4"/>
  <c r="A609" i="4"/>
  <c r="K608" i="4"/>
  <c r="J608" i="4"/>
  <c r="H608" i="4"/>
  <c r="F608" i="4"/>
  <c r="A608" i="4"/>
  <c r="K607" i="4"/>
  <c r="J607" i="4"/>
  <c r="H607" i="4"/>
  <c r="I607" i="4" s="1"/>
  <c r="F607" i="4"/>
  <c r="A607" i="4"/>
  <c r="K606" i="4"/>
  <c r="J606" i="4"/>
  <c r="H606" i="4"/>
  <c r="I606" i="4" s="1"/>
  <c r="F606" i="4"/>
  <c r="A606" i="4"/>
  <c r="K605" i="4"/>
  <c r="J605" i="4"/>
  <c r="H605" i="4"/>
  <c r="F605" i="4"/>
  <c r="A605" i="4"/>
  <c r="K604" i="4"/>
  <c r="J604" i="4"/>
  <c r="H604" i="4"/>
  <c r="F604" i="4"/>
  <c r="A604" i="4"/>
  <c r="K603" i="4"/>
  <c r="J603" i="4"/>
  <c r="H603" i="4"/>
  <c r="I603" i="4" s="1"/>
  <c r="F603" i="4"/>
  <c r="A603" i="4"/>
  <c r="K602" i="4"/>
  <c r="J602" i="4"/>
  <c r="H602" i="4"/>
  <c r="F602" i="4"/>
  <c r="A602" i="4"/>
  <c r="K601" i="4"/>
  <c r="J601" i="4"/>
  <c r="H601" i="4"/>
  <c r="F601" i="4"/>
  <c r="A601" i="4"/>
  <c r="K600" i="4"/>
  <c r="J600" i="4"/>
  <c r="H600" i="4"/>
  <c r="F600" i="4"/>
  <c r="A600" i="4"/>
  <c r="K599" i="4"/>
  <c r="J599" i="4"/>
  <c r="H599" i="4"/>
  <c r="F599" i="4"/>
  <c r="A599" i="4"/>
  <c r="K598" i="4"/>
  <c r="J598" i="4"/>
  <c r="H598" i="4"/>
  <c r="I598" i="4" s="1"/>
  <c r="F598" i="4"/>
  <c r="A598" i="4"/>
  <c r="K597" i="4"/>
  <c r="J597" i="4"/>
  <c r="H597" i="4"/>
  <c r="I597" i="4" s="1"/>
  <c r="F597" i="4"/>
  <c r="A597" i="4"/>
  <c r="K596" i="4"/>
  <c r="J596" i="4"/>
  <c r="H596" i="4"/>
  <c r="F596" i="4"/>
  <c r="A596" i="4"/>
  <c r="K595" i="4"/>
  <c r="J595" i="4"/>
  <c r="H595" i="4"/>
  <c r="F595" i="4"/>
  <c r="A595" i="4"/>
  <c r="K594" i="4"/>
  <c r="J594" i="4"/>
  <c r="H594" i="4"/>
  <c r="F594" i="4"/>
  <c r="A594" i="4"/>
  <c r="K593" i="4"/>
  <c r="J593" i="4"/>
  <c r="H593" i="4"/>
  <c r="F593" i="4"/>
  <c r="A593" i="4"/>
  <c r="K592" i="4"/>
  <c r="J592" i="4"/>
  <c r="H592" i="4"/>
  <c r="F592" i="4"/>
  <c r="A592" i="4"/>
  <c r="K591" i="4"/>
  <c r="J591" i="4"/>
  <c r="H591" i="4"/>
  <c r="I591" i="4" s="1"/>
  <c r="F591" i="4"/>
  <c r="A591" i="4"/>
  <c r="K590" i="4"/>
  <c r="J590" i="4"/>
  <c r="H590" i="4"/>
  <c r="F590" i="4"/>
  <c r="A590" i="4"/>
  <c r="K589" i="4"/>
  <c r="J589" i="4"/>
  <c r="H589" i="4"/>
  <c r="I589" i="4" s="1"/>
  <c r="F589" i="4"/>
  <c r="A589" i="4"/>
  <c r="K588" i="4"/>
  <c r="J588" i="4"/>
  <c r="H588" i="4"/>
  <c r="I588" i="4" s="1"/>
  <c r="F588" i="4"/>
  <c r="A588" i="4"/>
  <c r="K587" i="4"/>
  <c r="J587" i="4"/>
  <c r="H587" i="4"/>
  <c r="F587" i="4"/>
  <c r="A587" i="4"/>
  <c r="K586" i="4"/>
  <c r="J586" i="4"/>
  <c r="H586" i="4"/>
  <c r="I586" i="4" s="1"/>
  <c r="F586" i="4"/>
  <c r="A586" i="4"/>
  <c r="K585" i="4"/>
  <c r="J585" i="4"/>
  <c r="H585" i="4"/>
  <c r="I585" i="4" s="1"/>
  <c r="F585" i="4"/>
  <c r="A585" i="4"/>
  <c r="K584" i="4"/>
  <c r="J584" i="4"/>
  <c r="H584" i="4"/>
  <c r="F584" i="4"/>
  <c r="A584" i="4"/>
  <c r="K583" i="4"/>
  <c r="J583" i="4"/>
  <c r="H583" i="4"/>
  <c r="I583" i="4" s="1"/>
  <c r="F583" i="4"/>
  <c r="A583" i="4"/>
  <c r="K582" i="4"/>
  <c r="J582" i="4"/>
  <c r="H582" i="4"/>
  <c r="I582" i="4" s="1"/>
  <c r="F582" i="4"/>
  <c r="A582" i="4"/>
  <c r="K581" i="4"/>
  <c r="J581" i="4"/>
  <c r="H581" i="4"/>
  <c r="I581" i="4" s="1"/>
  <c r="F581" i="4"/>
  <c r="A581" i="4"/>
  <c r="K580" i="4"/>
  <c r="J580" i="4"/>
  <c r="L580" i="4" s="1"/>
  <c r="H580" i="4"/>
  <c r="I580" i="4" s="1"/>
  <c r="F580" i="4"/>
  <c r="A580" i="4"/>
  <c r="K579" i="4"/>
  <c r="J579" i="4"/>
  <c r="H579" i="4"/>
  <c r="F579" i="4"/>
  <c r="A579" i="4"/>
  <c r="K578" i="4"/>
  <c r="J578" i="4"/>
  <c r="H578" i="4"/>
  <c r="F578" i="4"/>
  <c r="A578" i="4"/>
  <c r="K577" i="4"/>
  <c r="J577" i="4"/>
  <c r="H577" i="4"/>
  <c r="F577" i="4"/>
  <c r="A577" i="4"/>
  <c r="K576" i="4"/>
  <c r="J576" i="4"/>
  <c r="H576" i="4"/>
  <c r="I576" i="4" s="1"/>
  <c r="F576" i="4"/>
  <c r="A576" i="4"/>
  <c r="K575" i="4"/>
  <c r="J575" i="4"/>
  <c r="H575" i="4"/>
  <c r="I575" i="4" s="1"/>
  <c r="F575" i="4"/>
  <c r="A575" i="4"/>
  <c r="K574" i="4"/>
  <c r="J574" i="4"/>
  <c r="H574" i="4"/>
  <c r="F574" i="4"/>
  <c r="A574" i="4"/>
  <c r="K573" i="4"/>
  <c r="J573" i="4"/>
  <c r="H573" i="4"/>
  <c r="I573" i="4" s="1"/>
  <c r="F573" i="4"/>
  <c r="A573" i="4"/>
  <c r="K572" i="4"/>
  <c r="J572" i="4"/>
  <c r="H572" i="4"/>
  <c r="F572" i="4"/>
  <c r="A572" i="4"/>
  <c r="K571" i="4"/>
  <c r="J571" i="4"/>
  <c r="H571" i="4"/>
  <c r="I571" i="4" s="1"/>
  <c r="F571" i="4"/>
  <c r="A571" i="4"/>
  <c r="K570" i="4"/>
  <c r="J570" i="4"/>
  <c r="H570" i="4"/>
  <c r="F570" i="4"/>
  <c r="A570" i="4"/>
  <c r="K569" i="4"/>
  <c r="J569" i="4"/>
  <c r="H569" i="4"/>
  <c r="F569" i="4"/>
  <c r="A569" i="4"/>
  <c r="K568" i="4"/>
  <c r="J568" i="4"/>
  <c r="H568" i="4"/>
  <c r="F568" i="4"/>
  <c r="A568" i="4"/>
  <c r="K567" i="4"/>
  <c r="J567" i="4"/>
  <c r="H567" i="4"/>
  <c r="F567" i="4"/>
  <c r="A567" i="4"/>
  <c r="K566" i="4"/>
  <c r="J566" i="4"/>
  <c r="H566" i="4"/>
  <c r="F566" i="4"/>
  <c r="A566" i="4"/>
  <c r="K565" i="4"/>
  <c r="J565" i="4"/>
  <c r="H565" i="4"/>
  <c r="F565" i="4"/>
  <c r="A565" i="4"/>
  <c r="K564" i="4"/>
  <c r="J564" i="4"/>
  <c r="H564" i="4"/>
  <c r="F564" i="4"/>
  <c r="A564" i="4"/>
  <c r="K563" i="4"/>
  <c r="J563" i="4"/>
  <c r="H563" i="4"/>
  <c r="F563" i="4"/>
  <c r="A563" i="4"/>
  <c r="K562" i="4"/>
  <c r="J562" i="4"/>
  <c r="H562" i="4"/>
  <c r="I562" i="4" s="1"/>
  <c r="F562" i="4"/>
  <c r="A562" i="4"/>
  <c r="K561" i="4"/>
  <c r="J561" i="4"/>
  <c r="H561" i="4"/>
  <c r="I561" i="4" s="1"/>
  <c r="F561" i="4"/>
  <c r="A561" i="4"/>
  <c r="K560" i="4"/>
  <c r="J560" i="4"/>
  <c r="H560" i="4"/>
  <c r="F560" i="4"/>
  <c r="A560" i="4"/>
  <c r="K559" i="4"/>
  <c r="J559" i="4"/>
  <c r="H559" i="4"/>
  <c r="F559" i="4"/>
  <c r="A559" i="4"/>
  <c r="K558" i="4"/>
  <c r="J558" i="4"/>
  <c r="H558" i="4"/>
  <c r="F558" i="4"/>
  <c r="A558" i="4"/>
  <c r="K557" i="4"/>
  <c r="J557" i="4"/>
  <c r="H557" i="4"/>
  <c r="I557" i="4" s="1"/>
  <c r="F557" i="4"/>
  <c r="A557" i="4"/>
  <c r="K556" i="4"/>
  <c r="J556" i="4"/>
  <c r="H556" i="4"/>
  <c r="F556" i="4"/>
  <c r="A556" i="4"/>
  <c r="K555" i="4"/>
  <c r="J555" i="4"/>
  <c r="H555" i="4"/>
  <c r="I555" i="4" s="1"/>
  <c r="F555" i="4"/>
  <c r="A555" i="4"/>
  <c r="K554" i="4"/>
  <c r="J554" i="4"/>
  <c r="H554" i="4"/>
  <c r="F554" i="4"/>
  <c r="A554" i="4"/>
  <c r="K553" i="4"/>
  <c r="J553" i="4"/>
  <c r="H553" i="4"/>
  <c r="F553" i="4"/>
  <c r="A553" i="4"/>
  <c r="K552" i="4"/>
  <c r="J552" i="4"/>
  <c r="H552" i="4"/>
  <c r="F552" i="4"/>
  <c r="A552" i="4"/>
  <c r="K551" i="4"/>
  <c r="J551" i="4"/>
  <c r="H551" i="4"/>
  <c r="I551" i="4" s="1"/>
  <c r="F551" i="4"/>
  <c r="A551" i="4"/>
  <c r="K550" i="4"/>
  <c r="J550" i="4"/>
  <c r="H550" i="4"/>
  <c r="F550" i="4"/>
  <c r="A550" i="4"/>
  <c r="K549" i="4"/>
  <c r="J549" i="4"/>
  <c r="H549" i="4"/>
  <c r="F549" i="4"/>
  <c r="A549" i="4"/>
  <c r="K548" i="4"/>
  <c r="J548" i="4"/>
  <c r="H548" i="4"/>
  <c r="F548" i="4"/>
  <c r="A548" i="4"/>
  <c r="K547" i="4"/>
  <c r="J547" i="4"/>
  <c r="H547" i="4"/>
  <c r="I547" i="4" s="1"/>
  <c r="F547" i="4"/>
  <c r="A547" i="4"/>
  <c r="K546" i="4"/>
  <c r="J546" i="4"/>
  <c r="H546" i="4"/>
  <c r="I546" i="4" s="1"/>
  <c r="F546" i="4"/>
  <c r="A546" i="4"/>
  <c r="K545" i="4"/>
  <c r="J545" i="4"/>
  <c r="H545" i="4"/>
  <c r="I545" i="4" s="1"/>
  <c r="F545" i="4"/>
  <c r="A545" i="4"/>
  <c r="K544" i="4"/>
  <c r="J544" i="4"/>
  <c r="H544" i="4"/>
  <c r="F544" i="4"/>
  <c r="A544" i="4"/>
  <c r="K543" i="4"/>
  <c r="J543" i="4"/>
  <c r="H543" i="4"/>
  <c r="F543" i="4"/>
  <c r="A543" i="4"/>
  <c r="K542" i="4"/>
  <c r="J542" i="4"/>
  <c r="H542" i="4"/>
  <c r="I542" i="4" s="1"/>
  <c r="F542" i="4"/>
  <c r="A542" i="4"/>
  <c r="K541" i="4"/>
  <c r="J541" i="4"/>
  <c r="H541" i="4"/>
  <c r="F541" i="4"/>
  <c r="A541" i="4"/>
  <c r="K540" i="4"/>
  <c r="J540" i="4"/>
  <c r="H540" i="4"/>
  <c r="I540" i="4" s="1"/>
  <c r="F540" i="4"/>
  <c r="A540" i="4"/>
  <c r="K539" i="4"/>
  <c r="J539" i="4"/>
  <c r="H539" i="4"/>
  <c r="F539" i="4"/>
  <c r="A539" i="4"/>
  <c r="K538" i="4"/>
  <c r="J538" i="4"/>
  <c r="H538" i="4"/>
  <c r="F538" i="4"/>
  <c r="A538" i="4"/>
  <c r="K537" i="4"/>
  <c r="J537" i="4"/>
  <c r="H537" i="4"/>
  <c r="I537" i="4" s="1"/>
  <c r="F537" i="4"/>
  <c r="A537" i="4"/>
  <c r="K536" i="4"/>
  <c r="J536" i="4"/>
  <c r="H536" i="4"/>
  <c r="F536" i="4"/>
  <c r="A536" i="4"/>
  <c r="K535" i="4"/>
  <c r="J535" i="4"/>
  <c r="H535" i="4"/>
  <c r="I535" i="4" s="1"/>
  <c r="F535" i="4"/>
  <c r="A535" i="4"/>
  <c r="K534" i="4"/>
  <c r="J534" i="4"/>
  <c r="H534" i="4"/>
  <c r="I534" i="4" s="1"/>
  <c r="F534" i="4"/>
  <c r="A534" i="4"/>
  <c r="K533" i="4"/>
  <c r="J533" i="4"/>
  <c r="H533" i="4"/>
  <c r="I533" i="4" s="1"/>
  <c r="F533" i="4"/>
  <c r="A533" i="4"/>
  <c r="K532" i="4"/>
  <c r="J532" i="4"/>
  <c r="H532" i="4"/>
  <c r="F532" i="4"/>
  <c r="A532" i="4"/>
  <c r="K531" i="4"/>
  <c r="J531" i="4"/>
  <c r="H531" i="4"/>
  <c r="F531" i="4"/>
  <c r="A531" i="4"/>
  <c r="K530" i="4"/>
  <c r="J530" i="4"/>
  <c r="H530" i="4"/>
  <c r="F530" i="4"/>
  <c r="A530" i="4"/>
  <c r="K529" i="4"/>
  <c r="J529" i="4"/>
  <c r="H529" i="4"/>
  <c r="I529" i="4" s="1"/>
  <c r="F529" i="4"/>
  <c r="A529" i="4"/>
  <c r="K528" i="4"/>
  <c r="J528" i="4"/>
  <c r="H528" i="4"/>
  <c r="I528" i="4" s="1"/>
  <c r="F528" i="4"/>
  <c r="A528" i="4"/>
  <c r="K527" i="4"/>
  <c r="J527" i="4"/>
  <c r="H527" i="4"/>
  <c r="F527" i="4"/>
  <c r="A527" i="4"/>
  <c r="K526" i="4"/>
  <c r="J526" i="4"/>
  <c r="H526" i="4"/>
  <c r="F526" i="4"/>
  <c r="A526" i="4"/>
  <c r="K525" i="4"/>
  <c r="J525" i="4"/>
  <c r="H525" i="4"/>
  <c r="I525" i="4" s="1"/>
  <c r="F525" i="4"/>
  <c r="A525" i="4"/>
  <c r="K524" i="4"/>
  <c r="J524" i="4"/>
  <c r="H524" i="4"/>
  <c r="F524" i="4"/>
  <c r="A524" i="4"/>
  <c r="K523" i="4"/>
  <c r="J523" i="4"/>
  <c r="H523" i="4"/>
  <c r="F523" i="4"/>
  <c r="A523" i="4"/>
  <c r="K522" i="4"/>
  <c r="J522" i="4"/>
  <c r="H522" i="4"/>
  <c r="F522" i="4"/>
  <c r="A522" i="4"/>
  <c r="K521" i="4"/>
  <c r="J521" i="4"/>
  <c r="H521" i="4"/>
  <c r="F521" i="4"/>
  <c r="A521" i="4"/>
  <c r="K520" i="4"/>
  <c r="J520" i="4"/>
  <c r="L520" i="4" s="1"/>
  <c r="H520" i="4"/>
  <c r="F520" i="4"/>
  <c r="A520" i="4"/>
  <c r="K519" i="4"/>
  <c r="J519" i="4"/>
  <c r="H519" i="4"/>
  <c r="F519" i="4"/>
  <c r="A519" i="4"/>
  <c r="K518" i="4"/>
  <c r="J518" i="4"/>
  <c r="H518" i="4"/>
  <c r="F518" i="4"/>
  <c r="A518" i="4"/>
  <c r="K517" i="4"/>
  <c r="J517" i="4"/>
  <c r="H517" i="4"/>
  <c r="I517" i="4" s="1"/>
  <c r="F517" i="4"/>
  <c r="A517" i="4"/>
  <c r="K516" i="4"/>
  <c r="J516" i="4"/>
  <c r="H516" i="4"/>
  <c r="I516" i="4" s="1"/>
  <c r="F516" i="4"/>
  <c r="A516" i="4"/>
  <c r="K515" i="4"/>
  <c r="J515" i="4"/>
  <c r="H515" i="4"/>
  <c r="I515" i="4" s="1"/>
  <c r="F515" i="4"/>
  <c r="A515" i="4"/>
  <c r="K514" i="4"/>
  <c r="J514" i="4"/>
  <c r="H514" i="4"/>
  <c r="F514" i="4"/>
  <c r="A514" i="4"/>
  <c r="K513" i="4"/>
  <c r="J513" i="4"/>
  <c r="H513" i="4"/>
  <c r="F513" i="4"/>
  <c r="A513" i="4"/>
  <c r="K512" i="4"/>
  <c r="J512" i="4"/>
  <c r="H512" i="4"/>
  <c r="F512" i="4"/>
  <c r="A512" i="4"/>
  <c r="K511" i="4"/>
  <c r="J511" i="4"/>
  <c r="H511" i="4"/>
  <c r="I511" i="4" s="1"/>
  <c r="F511" i="4"/>
  <c r="A511" i="4"/>
  <c r="K510" i="4"/>
  <c r="J510" i="4"/>
  <c r="H510" i="4"/>
  <c r="I510" i="4" s="1"/>
  <c r="F510" i="4"/>
  <c r="A510" i="4"/>
  <c r="K509" i="4"/>
  <c r="J509" i="4"/>
  <c r="H509" i="4"/>
  <c r="F509" i="4"/>
  <c r="A509" i="4"/>
  <c r="K508" i="4"/>
  <c r="J508" i="4"/>
  <c r="L508" i="4" s="1"/>
  <c r="H508" i="4"/>
  <c r="I508" i="4" s="1"/>
  <c r="F508" i="4"/>
  <c r="A508" i="4"/>
  <c r="K507" i="4"/>
  <c r="J507" i="4"/>
  <c r="H507" i="4"/>
  <c r="I507" i="4" s="1"/>
  <c r="F507" i="4"/>
  <c r="A507" i="4"/>
  <c r="K506" i="4"/>
  <c r="J506" i="4"/>
  <c r="H506" i="4"/>
  <c r="F506" i="4"/>
  <c r="A506" i="4"/>
  <c r="K505" i="4"/>
  <c r="J505" i="4"/>
  <c r="H505" i="4"/>
  <c r="I505" i="4" s="1"/>
  <c r="F505" i="4"/>
  <c r="A505" i="4"/>
  <c r="K504" i="4"/>
  <c r="J504" i="4"/>
  <c r="H504" i="4"/>
  <c r="I504" i="4" s="1"/>
  <c r="F504" i="4"/>
  <c r="A504" i="4"/>
  <c r="K503" i="4"/>
  <c r="J503" i="4"/>
  <c r="H503" i="4"/>
  <c r="I503" i="4" s="1"/>
  <c r="F503" i="4"/>
  <c r="A503" i="4"/>
  <c r="K502" i="4"/>
  <c r="J502" i="4"/>
  <c r="H502" i="4"/>
  <c r="I502" i="4" s="1"/>
  <c r="F502" i="4"/>
  <c r="A502" i="4"/>
  <c r="K501" i="4"/>
  <c r="J501" i="4"/>
  <c r="H501" i="4"/>
  <c r="I501" i="4" s="1"/>
  <c r="F501" i="4"/>
  <c r="A501" i="4"/>
  <c r="K500" i="4"/>
  <c r="J500" i="4"/>
  <c r="H500" i="4"/>
  <c r="F500" i="4"/>
  <c r="A500" i="4"/>
  <c r="K499" i="4"/>
  <c r="J499" i="4"/>
  <c r="H499" i="4"/>
  <c r="I499" i="4" s="1"/>
  <c r="F499" i="4"/>
  <c r="A499" i="4"/>
  <c r="K498" i="4"/>
  <c r="J498" i="4"/>
  <c r="H498" i="4"/>
  <c r="I498" i="4" s="1"/>
  <c r="F498" i="4"/>
  <c r="A498" i="4"/>
  <c r="K497" i="4"/>
  <c r="J497" i="4"/>
  <c r="H497" i="4"/>
  <c r="I497" i="4" s="1"/>
  <c r="F497" i="4"/>
  <c r="A497" i="4"/>
  <c r="K496" i="4"/>
  <c r="J496" i="4"/>
  <c r="H496" i="4"/>
  <c r="I496" i="4" s="1"/>
  <c r="F496" i="4"/>
  <c r="A496" i="4"/>
  <c r="K495" i="4"/>
  <c r="J495" i="4"/>
  <c r="H495" i="4"/>
  <c r="F495" i="4"/>
  <c r="A495" i="4"/>
  <c r="K494" i="4"/>
  <c r="J494" i="4"/>
  <c r="H494" i="4"/>
  <c r="F494" i="4"/>
  <c r="A494" i="4"/>
  <c r="K493" i="4"/>
  <c r="J493" i="4"/>
  <c r="H493" i="4"/>
  <c r="I493" i="4" s="1"/>
  <c r="F493" i="4"/>
  <c r="A493" i="4"/>
  <c r="K492" i="4"/>
  <c r="J492" i="4"/>
  <c r="H492" i="4"/>
  <c r="I492" i="4" s="1"/>
  <c r="F492" i="4"/>
  <c r="A492" i="4"/>
  <c r="K491" i="4"/>
  <c r="J491" i="4"/>
  <c r="H491" i="4"/>
  <c r="I491" i="4" s="1"/>
  <c r="F491" i="4"/>
  <c r="A491" i="4"/>
  <c r="K490" i="4"/>
  <c r="J490" i="4"/>
  <c r="H490" i="4"/>
  <c r="I490" i="4" s="1"/>
  <c r="F490" i="4"/>
  <c r="A490" i="4"/>
  <c r="K489" i="4"/>
  <c r="J489" i="4"/>
  <c r="H489" i="4"/>
  <c r="F489" i="4"/>
  <c r="A489" i="4"/>
  <c r="K488" i="4"/>
  <c r="J488" i="4"/>
  <c r="H488" i="4"/>
  <c r="I488" i="4" s="1"/>
  <c r="F488" i="4"/>
  <c r="A488" i="4"/>
  <c r="K487" i="4"/>
  <c r="J487" i="4"/>
  <c r="H487" i="4"/>
  <c r="F487" i="4"/>
  <c r="A487" i="4"/>
  <c r="K486" i="4"/>
  <c r="J486" i="4"/>
  <c r="H486" i="4"/>
  <c r="I486" i="4" s="1"/>
  <c r="F486" i="4"/>
  <c r="A486" i="4"/>
  <c r="K485" i="4"/>
  <c r="J485" i="4"/>
  <c r="H485" i="4"/>
  <c r="F485" i="4"/>
  <c r="A485" i="4"/>
  <c r="K484" i="4"/>
  <c r="J484" i="4"/>
  <c r="H484" i="4"/>
  <c r="F484" i="4"/>
  <c r="A484" i="4"/>
  <c r="K483" i="4"/>
  <c r="J483" i="4"/>
  <c r="H483" i="4"/>
  <c r="I483" i="4" s="1"/>
  <c r="F483" i="4"/>
  <c r="A483" i="4"/>
  <c r="K482" i="4"/>
  <c r="J482" i="4"/>
  <c r="H482" i="4"/>
  <c r="F482" i="4"/>
  <c r="A482" i="4"/>
  <c r="K481" i="4"/>
  <c r="J481" i="4"/>
  <c r="H481" i="4"/>
  <c r="F481" i="4"/>
  <c r="A481" i="4"/>
  <c r="K480" i="4"/>
  <c r="J480" i="4"/>
  <c r="H480" i="4"/>
  <c r="I480" i="4" s="1"/>
  <c r="F480" i="4"/>
  <c r="A480" i="4"/>
  <c r="K479" i="4"/>
  <c r="J479" i="4"/>
  <c r="H479" i="4"/>
  <c r="F479" i="4"/>
  <c r="A479" i="4"/>
  <c r="K478" i="4"/>
  <c r="J478" i="4"/>
  <c r="H478" i="4"/>
  <c r="F478" i="4"/>
  <c r="A478" i="4"/>
  <c r="K477" i="4"/>
  <c r="J477" i="4"/>
  <c r="H477" i="4"/>
  <c r="I477" i="4" s="1"/>
  <c r="F477" i="4"/>
  <c r="A477" i="4"/>
  <c r="K476" i="4"/>
  <c r="J476" i="4"/>
  <c r="H476" i="4"/>
  <c r="F476" i="4"/>
  <c r="A476" i="4"/>
  <c r="K475" i="4"/>
  <c r="J475" i="4"/>
  <c r="H475" i="4"/>
  <c r="F475" i="4"/>
  <c r="A475" i="4"/>
  <c r="K474" i="4"/>
  <c r="J474" i="4"/>
  <c r="H474" i="4"/>
  <c r="F474" i="4"/>
  <c r="A474" i="4"/>
  <c r="K473" i="4"/>
  <c r="J473" i="4"/>
  <c r="H473" i="4"/>
  <c r="I473" i="4" s="1"/>
  <c r="F473" i="4"/>
  <c r="A473" i="4"/>
  <c r="K472" i="4"/>
  <c r="J472" i="4"/>
  <c r="H472" i="4"/>
  <c r="I472" i="4" s="1"/>
  <c r="F472" i="4"/>
  <c r="A472" i="4"/>
  <c r="K471" i="4"/>
  <c r="J471" i="4"/>
  <c r="H471" i="4"/>
  <c r="I471" i="4" s="1"/>
  <c r="F471" i="4"/>
  <c r="A471" i="4"/>
  <c r="K470" i="4"/>
  <c r="J470" i="4"/>
  <c r="H470" i="4"/>
  <c r="I470" i="4" s="1"/>
  <c r="F470" i="4"/>
  <c r="A470" i="4"/>
  <c r="K469" i="4"/>
  <c r="J469" i="4"/>
  <c r="H469" i="4"/>
  <c r="F469" i="4"/>
  <c r="A469" i="4"/>
  <c r="K468" i="4"/>
  <c r="J468" i="4"/>
  <c r="H468" i="4"/>
  <c r="I468" i="4" s="1"/>
  <c r="F468" i="4"/>
  <c r="A468" i="4"/>
  <c r="K467" i="4"/>
  <c r="J467" i="4"/>
  <c r="H467" i="4"/>
  <c r="F467" i="4"/>
  <c r="A467" i="4"/>
  <c r="K466" i="4"/>
  <c r="J466" i="4"/>
  <c r="H466" i="4"/>
  <c r="I466" i="4" s="1"/>
  <c r="F466" i="4"/>
  <c r="A466" i="4"/>
  <c r="K465" i="4"/>
  <c r="J465" i="4"/>
  <c r="H465" i="4"/>
  <c r="I465" i="4" s="1"/>
  <c r="F465" i="4"/>
  <c r="A465" i="4"/>
  <c r="K464" i="4"/>
  <c r="J464" i="4"/>
  <c r="H464" i="4"/>
  <c r="F464" i="4"/>
  <c r="A464" i="4"/>
  <c r="K463" i="4"/>
  <c r="J463" i="4"/>
  <c r="H463" i="4"/>
  <c r="I463" i="4" s="1"/>
  <c r="F463" i="4"/>
  <c r="A463" i="4"/>
  <c r="K462" i="4"/>
  <c r="J462" i="4"/>
  <c r="H462" i="4"/>
  <c r="I462" i="4" s="1"/>
  <c r="F462" i="4"/>
  <c r="A462" i="4"/>
  <c r="K461" i="4"/>
  <c r="J461" i="4"/>
  <c r="H461" i="4"/>
  <c r="I461" i="4" s="1"/>
  <c r="F461" i="4"/>
  <c r="A461" i="4"/>
  <c r="K460" i="4"/>
  <c r="J460" i="4"/>
  <c r="H460" i="4"/>
  <c r="F460" i="4"/>
  <c r="A460" i="4"/>
  <c r="K459" i="4"/>
  <c r="J459" i="4"/>
  <c r="H459" i="4"/>
  <c r="F459" i="4"/>
  <c r="A459" i="4"/>
  <c r="K458" i="4"/>
  <c r="J458" i="4"/>
  <c r="H458" i="4"/>
  <c r="F458" i="4"/>
  <c r="A458" i="4"/>
  <c r="K457" i="4"/>
  <c r="J457" i="4"/>
  <c r="H457" i="4"/>
  <c r="F457" i="4"/>
  <c r="A457" i="4"/>
  <c r="K456" i="4"/>
  <c r="J456" i="4"/>
  <c r="H456" i="4"/>
  <c r="I456" i="4" s="1"/>
  <c r="F456" i="4"/>
  <c r="A456" i="4"/>
  <c r="K455" i="4"/>
  <c r="J455" i="4"/>
  <c r="H455" i="4"/>
  <c r="F455" i="4"/>
  <c r="A455" i="4"/>
  <c r="K454" i="4"/>
  <c r="J454" i="4"/>
  <c r="H454" i="4"/>
  <c r="F454" i="4"/>
  <c r="A454" i="4"/>
  <c r="K453" i="4"/>
  <c r="J453" i="4"/>
  <c r="H453" i="4"/>
  <c r="F453" i="4"/>
  <c r="A453" i="4"/>
  <c r="K452" i="4"/>
  <c r="J452" i="4"/>
  <c r="H452" i="4"/>
  <c r="F452" i="4"/>
  <c r="A452" i="4"/>
  <c r="K451" i="4"/>
  <c r="J451" i="4"/>
  <c r="H451" i="4"/>
  <c r="I451" i="4" s="1"/>
  <c r="F451" i="4"/>
  <c r="A451" i="4"/>
  <c r="K450" i="4"/>
  <c r="J450" i="4"/>
  <c r="H450" i="4"/>
  <c r="F450" i="4"/>
  <c r="A450" i="4"/>
  <c r="K449" i="4"/>
  <c r="J449" i="4"/>
  <c r="H449" i="4"/>
  <c r="F449" i="4"/>
  <c r="A449" i="4"/>
  <c r="K448" i="4"/>
  <c r="J448" i="4"/>
  <c r="H448" i="4"/>
  <c r="F448" i="4"/>
  <c r="A448" i="4"/>
  <c r="K447" i="4"/>
  <c r="J447" i="4"/>
  <c r="H447" i="4"/>
  <c r="I447" i="4" s="1"/>
  <c r="F447" i="4"/>
  <c r="A447" i="4"/>
  <c r="K446" i="4"/>
  <c r="J446" i="4"/>
  <c r="H446" i="4"/>
  <c r="F446" i="4"/>
  <c r="A446" i="4"/>
  <c r="K445" i="4"/>
  <c r="J445" i="4"/>
  <c r="H445" i="4"/>
  <c r="I445" i="4" s="1"/>
  <c r="F445" i="4"/>
  <c r="A445" i="4"/>
  <c r="K444" i="4"/>
  <c r="J444" i="4"/>
  <c r="H444" i="4"/>
  <c r="F444" i="4"/>
  <c r="A444" i="4"/>
  <c r="K443" i="4"/>
  <c r="J443" i="4"/>
  <c r="H443" i="4"/>
  <c r="F443" i="4"/>
  <c r="A443" i="4"/>
  <c r="K442" i="4"/>
  <c r="J442" i="4"/>
  <c r="H442" i="4"/>
  <c r="F442" i="4"/>
  <c r="A442" i="4"/>
  <c r="K441" i="4"/>
  <c r="J441" i="4"/>
  <c r="H441" i="4"/>
  <c r="F441" i="4"/>
  <c r="A441" i="4"/>
  <c r="K440" i="4"/>
  <c r="J440" i="4"/>
  <c r="H440" i="4"/>
  <c r="F440" i="4"/>
  <c r="A440" i="4"/>
  <c r="K439" i="4"/>
  <c r="J439" i="4"/>
  <c r="H439" i="4"/>
  <c r="F439" i="4"/>
  <c r="A439" i="4"/>
  <c r="K438" i="4"/>
  <c r="J438" i="4"/>
  <c r="H438" i="4"/>
  <c r="F438" i="4"/>
  <c r="A438" i="4"/>
  <c r="K437" i="4"/>
  <c r="J437" i="4"/>
  <c r="H437" i="4"/>
  <c r="I437" i="4" s="1"/>
  <c r="F437" i="4"/>
  <c r="A437" i="4"/>
  <c r="K436" i="4"/>
  <c r="J436" i="4"/>
  <c r="H436" i="4"/>
  <c r="I436" i="4" s="1"/>
  <c r="F436" i="4"/>
  <c r="A436" i="4"/>
  <c r="K435" i="4"/>
  <c r="J435" i="4"/>
  <c r="H435" i="4"/>
  <c r="F435" i="4"/>
  <c r="A435" i="4"/>
  <c r="K434" i="4"/>
  <c r="J434" i="4"/>
  <c r="H434" i="4"/>
  <c r="F434" i="4"/>
  <c r="A434" i="4"/>
  <c r="K433" i="4"/>
  <c r="J433" i="4"/>
  <c r="H433" i="4"/>
  <c r="I433" i="4" s="1"/>
  <c r="F433" i="4"/>
  <c r="A433" i="4"/>
  <c r="K432" i="4"/>
  <c r="J432" i="4"/>
  <c r="H432" i="4"/>
  <c r="F432" i="4"/>
  <c r="A432" i="4"/>
  <c r="K431" i="4"/>
  <c r="J431" i="4"/>
  <c r="H431" i="4"/>
  <c r="F431" i="4"/>
  <c r="A431" i="4"/>
  <c r="K430" i="4"/>
  <c r="J430" i="4"/>
  <c r="H430" i="4"/>
  <c r="F430" i="4"/>
  <c r="A430" i="4"/>
  <c r="K429" i="4"/>
  <c r="J429" i="4"/>
  <c r="H429" i="4"/>
  <c r="F429" i="4"/>
  <c r="A429" i="4"/>
  <c r="K428" i="4"/>
  <c r="J428" i="4"/>
  <c r="H428" i="4"/>
  <c r="F428" i="4"/>
  <c r="A428" i="4"/>
  <c r="K427" i="4"/>
  <c r="J427" i="4"/>
  <c r="H427" i="4"/>
  <c r="F427" i="4"/>
  <c r="A427" i="4"/>
  <c r="K426" i="4"/>
  <c r="J426" i="4"/>
  <c r="H426" i="4"/>
  <c r="F426" i="4"/>
  <c r="A426" i="4"/>
  <c r="K425" i="4"/>
  <c r="J425" i="4"/>
  <c r="H425" i="4"/>
  <c r="F425" i="4"/>
  <c r="A425" i="4"/>
  <c r="K424" i="4"/>
  <c r="J424" i="4"/>
  <c r="H424" i="4"/>
  <c r="I424" i="4" s="1"/>
  <c r="F424" i="4"/>
  <c r="A424" i="4"/>
  <c r="K423" i="4"/>
  <c r="J423" i="4"/>
  <c r="H423" i="4"/>
  <c r="F423" i="4"/>
  <c r="A423" i="4"/>
  <c r="K422" i="4"/>
  <c r="J422" i="4"/>
  <c r="H422" i="4"/>
  <c r="F422" i="4"/>
  <c r="A422" i="4"/>
  <c r="K421" i="4"/>
  <c r="J421" i="4"/>
  <c r="H421" i="4"/>
  <c r="F421" i="4"/>
  <c r="A421" i="4"/>
  <c r="K420" i="4"/>
  <c r="J420" i="4"/>
  <c r="H420" i="4"/>
  <c r="F420" i="4"/>
  <c r="A420" i="4"/>
  <c r="K419" i="4"/>
  <c r="J419" i="4"/>
  <c r="H419" i="4"/>
  <c r="F419" i="4"/>
  <c r="A419" i="4"/>
  <c r="K418" i="4"/>
  <c r="J418" i="4"/>
  <c r="H418" i="4"/>
  <c r="F418" i="4"/>
  <c r="A418" i="4"/>
  <c r="K417" i="4"/>
  <c r="J417" i="4"/>
  <c r="H417" i="4"/>
  <c r="I417" i="4" s="1"/>
  <c r="F417" i="4"/>
  <c r="A417" i="4"/>
  <c r="K416" i="4"/>
  <c r="J416" i="4"/>
  <c r="H416" i="4"/>
  <c r="F416" i="4"/>
  <c r="A416" i="4"/>
  <c r="K415" i="4"/>
  <c r="J415" i="4"/>
  <c r="H415" i="4"/>
  <c r="F415" i="4"/>
  <c r="A415" i="4"/>
  <c r="K414" i="4"/>
  <c r="J414" i="4"/>
  <c r="H414" i="4"/>
  <c r="I414" i="4" s="1"/>
  <c r="F414" i="4"/>
  <c r="A414" i="4"/>
  <c r="K413" i="4"/>
  <c r="J413" i="4"/>
  <c r="H413" i="4"/>
  <c r="I413" i="4" s="1"/>
  <c r="F413" i="4"/>
  <c r="A413" i="4"/>
  <c r="K412" i="4"/>
  <c r="J412" i="4"/>
  <c r="H412" i="4"/>
  <c r="F412" i="4"/>
  <c r="A412" i="4"/>
  <c r="K411" i="4"/>
  <c r="J411" i="4"/>
  <c r="H411" i="4"/>
  <c r="I411" i="4" s="1"/>
  <c r="F411" i="4"/>
  <c r="A411" i="4"/>
  <c r="K410" i="4"/>
  <c r="J410" i="4"/>
  <c r="H410" i="4"/>
  <c r="I410" i="4" s="1"/>
  <c r="F410" i="4"/>
  <c r="A410" i="4"/>
  <c r="K409" i="4"/>
  <c r="J409" i="4"/>
  <c r="H409" i="4"/>
  <c r="F409" i="4"/>
  <c r="A409" i="4"/>
  <c r="K408" i="4"/>
  <c r="J408" i="4"/>
  <c r="H408" i="4"/>
  <c r="I408" i="4" s="1"/>
  <c r="F408" i="4"/>
  <c r="A408" i="4"/>
  <c r="K407" i="4"/>
  <c r="J407" i="4"/>
  <c r="H407" i="4"/>
  <c r="I407" i="4" s="1"/>
  <c r="F407" i="4"/>
  <c r="A407" i="4"/>
  <c r="K406" i="4"/>
  <c r="J406" i="4"/>
  <c r="H406" i="4"/>
  <c r="I406" i="4" s="1"/>
  <c r="F406" i="4"/>
  <c r="A406" i="4"/>
  <c r="K405" i="4"/>
  <c r="J405" i="4"/>
  <c r="H405" i="4"/>
  <c r="F405" i="4"/>
  <c r="A405" i="4"/>
  <c r="K404" i="4"/>
  <c r="J404" i="4"/>
  <c r="H404" i="4"/>
  <c r="I404" i="4" s="1"/>
  <c r="F404" i="4"/>
  <c r="A404" i="4"/>
  <c r="K403" i="4"/>
  <c r="J403" i="4"/>
  <c r="H403" i="4"/>
  <c r="I403" i="4" s="1"/>
  <c r="F403" i="4"/>
  <c r="A403" i="4"/>
  <c r="K402" i="4"/>
  <c r="J402" i="4"/>
  <c r="H402" i="4"/>
  <c r="I402" i="4" s="1"/>
  <c r="F402" i="4"/>
  <c r="A402" i="4"/>
  <c r="K401" i="4"/>
  <c r="J401" i="4"/>
  <c r="H401" i="4"/>
  <c r="I401" i="4" s="1"/>
  <c r="F401" i="4"/>
  <c r="A401" i="4"/>
  <c r="K400" i="4"/>
  <c r="J400" i="4"/>
  <c r="H400" i="4"/>
  <c r="F400" i="4"/>
  <c r="A400" i="4"/>
  <c r="K399" i="4"/>
  <c r="J399" i="4"/>
  <c r="H399" i="4"/>
  <c r="I399" i="4" s="1"/>
  <c r="F399" i="4"/>
  <c r="A399" i="4"/>
  <c r="K398" i="4"/>
  <c r="J398" i="4"/>
  <c r="H398" i="4"/>
  <c r="F398" i="4"/>
  <c r="A398" i="4"/>
  <c r="K397" i="4"/>
  <c r="J397" i="4"/>
  <c r="H397" i="4"/>
  <c r="I397" i="4" s="1"/>
  <c r="F397" i="4"/>
  <c r="A397" i="4"/>
  <c r="K396" i="4"/>
  <c r="J396" i="4"/>
  <c r="H396" i="4"/>
  <c r="F396" i="4"/>
  <c r="A396" i="4"/>
  <c r="K395" i="4"/>
  <c r="J395" i="4"/>
  <c r="H395" i="4"/>
  <c r="F395" i="4"/>
  <c r="A395" i="4"/>
  <c r="K394" i="4"/>
  <c r="J394" i="4"/>
  <c r="H394" i="4"/>
  <c r="I394" i="4" s="1"/>
  <c r="F394" i="4"/>
  <c r="A394" i="4"/>
  <c r="K393" i="4"/>
  <c r="J393" i="4"/>
  <c r="H393" i="4"/>
  <c r="F393" i="4"/>
  <c r="A393" i="4"/>
  <c r="K392" i="4"/>
  <c r="J392" i="4"/>
  <c r="H392" i="4"/>
  <c r="I392" i="4" s="1"/>
  <c r="F392" i="4"/>
  <c r="A392" i="4"/>
  <c r="K391" i="4"/>
  <c r="J391" i="4"/>
  <c r="H391" i="4"/>
  <c r="F391" i="4"/>
  <c r="A391" i="4"/>
  <c r="K390" i="4"/>
  <c r="J390" i="4"/>
  <c r="H390" i="4"/>
  <c r="I390" i="4" s="1"/>
  <c r="F390" i="4"/>
  <c r="A390" i="4"/>
  <c r="K389" i="4"/>
  <c r="J389" i="4"/>
  <c r="H389" i="4"/>
  <c r="I389" i="4" s="1"/>
  <c r="F389" i="4"/>
  <c r="A389" i="4"/>
  <c r="K388" i="4"/>
  <c r="J388" i="4"/>
  <c r="H388" i="4"/>
  <c r="F388" i="4"/>
  <c r="A388" i="4"/>
  <c r="K387" i="4"/>
  <c r="J387" i="4"/>
  <c r="H387" i="4"/>
  <c r="I387" i="4" s="1"/>
  <c r="F387" i="4"/>
  <c r="A387" i="4"/>
  <c r="K386" i="4"/>
  <c r="J386" i="4"/>
  <c r="H386" i="4"/>
  <c r="F386" i="4"/>
  <c r="A386" i="4"/>
  <c r="K385" i="4"/>
  <c r="J385" i="4"/>
  <c r="H385" i="4"/>
  <c r="F385" i="4"/>
  <c r="A385" i="4"/>
  <c r="K384" i="4"/>
  <c r="J384" i="4"/>
  <c r="H384" i="4"/>
  <c r="I384" i="4" s="1"/>
  <c r="F384" i="4"/>
  <c r="A384" i="4"/>
  <c r="K383" i="4"/>
  <c r="J383" i="4"/>
  <c r="H383" i="4"/>
  <c r="I383" i="4" s="1"/>
  <c r="F383" i="4"/>
  <c r="A383" i="4"/>
  <c r="K382" i="4"/>
  <c r="J382" i="4"/>
  <c r="H382" i="4"/>
  <c r="I382" i="4" s="1"/>
  <c r="F382" i="4"/>
  <c r="A382" i="4"/>
  <c r="K381" i="4"/>
  <c r="J381" i="4"/>
  <c r="H381" i="4"/>
  <c r="I381" i="4" s="1"/>
  <c r="F381" i="4"/>
  <c r="A381" i="4"/>
  <c r="K380" i="4"/>
  <c r="J380" i="4"/>
  <c r="H380" i="4"/>
  <c r="F380" i="4"/>
  <c r="A380" i="4"/>
  <c r="K379" i="4"/>
  <c r="J379" i="4"/>
  <c r="H379" i="4"/>
  <c r="I379" i="4" s="1"/>
  <c r="F379" i="4"/>
  <c r="A379" i="4"/>
  <c r="K378" i="4"/>
  <c r="J378" i="4"/>
  <c r="H378" i="4"/>
  <c r="F378" i="4"/>
  <c r="A378" i="4"/>
  <c r="K377" i="4"/>
  <c r="J377" i="4"/>
  <c r="H377" i="4"/>
  <c r="I377" i="4" s="1"/>
  <c r="F377" i="4"/>
  <c r="A377" i="4"/>
  <c r="K376" i="4"/>
  <c r="J376" i="4"/>
  <c r="H376" i="4"/>
  <c r="I376" i="4" s="1"/>
  <c r="F376" i="4"/>
  <c r="A376" i="4"/>
  <c r="K375" i="4"/>
  <c r="J375" i="4"/>
  <c r="H375" i="4"/>
  <c r="I375" i="4" s="1"/>
  <c r="F375" i="4"/>
  <c r="A375" i="4"/>
  <c r="K374" i="4"/>
  <c r="J374" i="4"/>
  <c r="H374" i="4"/>
  <c r="I374" i="4" s="1"/>
  <c r="F374" i="4"/>
  <c r="A374" i="4"/>
  <c r="K373" i="4"/>
  <c r="J373" i="4"/>
  <c r="H373" i="4"/>
  <c r="I373" i="4" s="1"/>
  <c r="F373" i="4"/>
  <c r="A373" i="4"/>
  <c r="K372" i="4"/>
  <c r="J372" i="4"/>
  <c r="H372" i="4"/>
  <c r="I372" i="4" s="1"/>
  <c r="F372" i="4"/>
  <c r="A372" i="4"/>
  <c r="K371" i="4"/>
  <c r="J371" i="4"/>
  <c r="H371" i="4"/>
  <c r="F371" i="4"/>
  <c r="A371" i="4"/>
  <c r="K370" i="4"/>
  <c r="J370" i="4"/>
  <c r="H370" i="4"/>
  <c r="I370" i="4" s="1"/>
  <c r="F370" i="4"/>
  <c r="A370" i="4"/>
  <c r="K369" i="4"/>
  <c r="J369" i="4"/>
  <c r="H369" i="4"/>
  <c r="F369" i="4"/>
  <c r="A369" i="4"/>
  <c r="K368" i="4"/>
  <c r="J368" i="4"/>
  <c r="H368" i="4"/>
  <c r="I368" i="4" s="1"/>
  <c r="F368" i="4"/>
  <c r="A368" i="4"/>
  <c r="K367" i="4"/>
  <c r="J367" i="4"/>
  <c r="H367" i="4"/>
  <c r="F367" i="4"/>
  <c r="A367" i="4"/>
  <c r="K366" i="4"/>
  <c r="J366" i="4"/>
  <c r="H366" i="4"/>
  <c r="I366" i="4" s="1"/>
  <c r="F366" i="4"/>
  <c r="A366" i="4"/>
  <c r="K365" i="4"/>
  <c r="J365" i="4"/>
  <c r="H365" i="4"/>
  <c r="F365" i="4"/>
  <c r="A365" i="4"/>
  <c r="K364" i="4"/>
  <c r="J364" i="4"/>
  <c r="H364" i="4"/>
  <c r="F364" i="4"/>
  <c r="A364" i="4"/>
  <c r="K363" i="4"/>
  <c r="J363" i="4"/>
  <c r="H363" i="4"/>
  <c r="F363" i="4"/>
  <c r="A363" i="4"/>
  <c r="K362" i="4"/>
  <c r="J362" i="4"/>
  <c r="H362" i="4"/>
  <c r="F362" i="4"/>
  <c r="A362" i="4"/>
  <c r="K361" i="4"/>
  <c r="J361" i="4"/>
  <c r="H361" i="4"/>
  <c r="F361" i="4"/>
  <c r="A361" i="4"/>
  <c r="K360" i="4"/>
  <c r="J360" i="4"/>
  <c r="H360" i="4"/>
  <c r="F360" i="4"/>
  <c r="A360" i="4"/>
  <c r="K359" i="4"/>
  <c r="J359" i="4"/>
  <c r="H359" i="4"/>
  <c r="I359" i="4" s="1"/>
  <c r="F359" i="4"/>
  <c r="A359" i="4"/>
  <c r="K358" i="4"/>
  <c r="J358" i="4"/>
  <c r="H358" i="4"/>
  <c r="F358" i="4"/>
  <c r="A358" i="4"/>
  <c r="K357" i="4"/>
  <c r="J357" i="4"/>
  <c r="H357" i="4"/>
  <c r="F357" i="4"/>
  <c r="A357" i="4"/>
  <c r="K356" i="4"/>
  <c r="J356" i="4"/>
  <c r="H356" i="4"/>
  <c r="F356" i="4"/>
  <c r="A356" i="4"/>
  <c r="K355" i="4"/>
  <c r="J355" i="4"/>
  <c r="H355" i="4"/>
  <c r="F355" i="4"/>
  <c r="A355" i="4"/>
  <c r="K354" i="4"/>
  <c r="J354" i="4"/>
  <c r="H354" i="4"/>
  <c r="I354" i="4" s="1"/>
  <c r="F354" i="4"/>
  <c r="A354" i="4"/>
  <c r="K353" i="4"/>
  <c r="J353" i="4"/>
  <c r="H353" i="4"/>
  <c r="I353" i="4" s="1"/>
  <c r="F353" i="4"/>
  <c r="A353" i="4"/>
  <c r="K352" i="4"/>
  <c r="J352" i="4"/>
  <c r="H352" i="4"/>
  <c r="I352" i="4" s="1"/>
  <c r="F352" i="4"/>
  <c r="A352" i="4"/>
  <c r="K351" i="4"/>
  <c r="J351" i="4"/>
  <c r="H351" i="4"/>
  <c r="F351" i="4"/>
  <c r="A351" i="4"/>
  <c r="K350" i="4"/>
  <c r="J350" i="4"/>
  <c r="H350" i="4"/>
  <c r="I350" i="4" s="1"/>
  <c r="F350" i="4"/>
  <c r="A350" i="4"/>
  <c r="K349" i="4"/>
  <c r="J349" i="4"/>
  <c r="H349" i="4"/>
  <c r="I349" i="4" s="1"/>
  <c r="F349" i="4"/>
  <c r="A349" i="4"/>
  <c r="K348" i="4"/>
  <c r="J348" i="4"/>
  <c r="H348" i="4"/>
  <c r="I348" i="4" s="1"/>
  <c r="F348" i="4"/>
  <c r="A348" i="4"/>
  <c r="K347" i="4"/>
  <c r="J347" i="4"/>
  <c r="H347" i="4"/>
  <c r="F347" i="4"/>
  <c r="A347" i="4"/>
  <c r="K346" i="4"/>
  <c r="J346" i="4"/>
  <c r="H346" i="4"/>
  <c r="I346" i="4" s="1"/>
  <c r="F346" i="4"/>
  <c r="A346" i="4"/>
  <c r="K345" i="4"/>
  <c r="J345" i="4"/>
  <c r="H345" i="4"/>
  <c r="I345" i="4" s="1"/>
  <c r="F345" i="4"/>
  <c r="A345" i="4"/>
  <c r="K344" i="4"/>
  <c r="J344" i="4"/>
  <c r="H344" i="4"/>
  <c r="F344" i="4"/>
  <c r="A344" i="4"/>
  <c r="K343" i="4"/>
  <c r="J343" i="4"/>
  <c r="H343" i="4"/>
  <c r="F343" i="4"/>
  <c r="A343" i="4"/>
  <c r="K342" i="4"/>
  <c r="J342" i="4"/>
  <c r="H342" i="4"/>
  <c r="I342" i="4" s="1"/>
  <c r="F342" i="4"/>
  <c r="A342" i="4"/>
  <c r="K341" i="4"/>
  <c r="J341" i="4"/>
  <c r="H341" i="4"/>
  <c r="F341" i="4"/>
  <c r="A341" i="4"/>
  <c r="K340" i="4"/>
  <c r="J340" i="4"/>
  <c r="H340" i="4"/>
  <c r="F340" i="4"/>
  <c r="A340" i="4"/>
  <c r="K339" i="4"/>
  <c r="J339" i="4"/>
  <c r="H339" i="4"/>
  <c r="I339" i="4" s="1"/>
  <c r="F339" i="4"/>
  <c r="A339" i="4"/>
  <c r="K338" i="4"/>
  <c r="J338" i="4"/>
  <c r="H338" i="4"/>
  <c r="F338" i="4"/>
  <c r="A338" i="4"/>
  <c r="K337" i="4"/>
  <c r="J337" i="4"/>
  <c r="H337" i="4"/>
  <c r="F337" i="4"/>
  <c r="A337" i="4"/>
  <c r="K336" i="4"/>
  <c r="J336" i="4"/>
  <c r="H336" i="4"/>
  <c r="I336" i="4" s="1"/>
  <c r="F336" i="4"/>
  <c r="A336" i="4"/>
  <c r="K335" i="4"/>
  <c r="J335" i="4"/>
  <c r="H335" i="4"/>
  <c r="I335" i="4" s="1"/>
  <c r="F335" i="4"/>
  <c r="A335" i="4"/>
  <c r="K334" i="4"/>
  <c r="J334" i="4"/>
  <c r="H334" i="4"/>
  <c r="F334" i="4"/>
  <c r="A334" i="4"/>
  <c r="K333" i="4"/>
  <c r="J333" i="4"/>
  <c r="H333" i="4"/>
  <c r="F333" i="4"/>
  <c r="A333" i="4"/>
  <c r="K332" i="4"/>
  <c r="J332" i="4"/>
  <c r="H332" i="4"/>
  <c r="F332" i="4"/>
  <c r="A332" i="4"/>
  <c r="K331" i="4"/>
  <c r="J331" i="4"/>
  <c r="H331" i="4"/>
  <c r="I331" i="4" s="1"/>
  <c r="F331" i="4"/>
  <c r="A331" i="4"/>
  <c r="K330" i="4"/>
  <c r="J330" i="4"/>
  <c r="H330" i="4"/>
  <c r="I330" i="4" s="1"/>
  <c r="F330" i="4"/>
  <c r="A330" i="4"/>
  <c r="K329" i="4"/>
  <c r="J329" i="4"/>
  <c r="H329" i="4"/>
  <c r="F329" i="4"/>
  <c r="A329" i="4"/>
  <c r="K328" i="4"/>
  <c r="J328" i="4"/>
  <c r="H328" i="4"/>
  <c r="I328" i="4" s="1"/>
  <c r="F328" i="4"/>
  <c r="A328" i="4"/>
  <c r="K327" i="4"/>
  <c r="J327" i="4"/>
  <c r="H327" i="4"/>
  <c r="F327" i="4"/>
  <c r="A327" i="4"/>
  <c r="K326" i="4"/>
  <c r="J326" i="4"/>
  <c r="H326" i="4"/>
  <c r="F326" i="4"/>
  <c r="A326" i="4"/>
  <c r="K325" i="4"/>
  <c r="J325" i="4"/>
  <c r="H325" i="4"/>
  <c r="I325" i="4" s="1"/>
  <c r="F325" i="4"/>
  <c r="A325" i="4"/>
  <c r="K324" i="4"/>
  <c r="J324" i="4"/>
  <c r="H324" i="4"/>
  <c r="F324" i="4"/>
  <c r="A324" i="4"/>
  <c r="K323" i="4"/>
  <c r="J323" i="4"/>
  <c r="H323" i="4"/>
  <c r="F323" i="4"/>
  <c r="A323" i="4"/>
  <c r="K322" i="4"/>
  <c r="J322" i="4"/>
  <c r="H322" i="4"/>
  <c r="I322" i="4" s="1"/>
  <c r="F322" i="4"/>
  <c r="A322" i="4"/>
  <c r="K321" i="4"/>
  <c r="J321" i="4"/>
  <c r="H321" i="4"/>
  <c r="F321" i="4"/>
  <c r="A321" i="4"/>
  <c r="K320" i="4"/>
  <c r="J320" i="4"/>
  <c r="H320" i="4"/>
  <c r="I320" i="4" s="1"/>
  <c r="F320" i="4"/>
  <c r="A320" i="4"/>
  <c r="K319" i="4"/>
  <c r="J319" i="4"/>
  <c r="H319" i="4"/>
  <c r="I319" i="4" s="1"/>
  <c r="F319" i="4"/>
  <c r="A319" i="4"/>
  <c r="K318" i="4"/>
  <c r="J318" i="4"/>
  <c r="H318" i="4"/>
  <c r="F318" i="4"/>
  <c r="A318" i="4"/>
  <c r="K317" i="4"/>
  <c r="J317" i="4"/>
  <c r="H317" i="4"/>
  <c r="I317" i="4" s="1"/>
  <c r="F317" i="4"/>
  <c r="A317" i="4"/>
  <c r="K316" i="4"/>
  <c r="J316" i="4"/>
  <c r="H316" i="4"/>
  <c r="I316" i="4" s="1"/>
  <c r="F316" i="4"/>
  <c r="A316" i="4"/>
  <c r="K315" i="4"/>
  <c r="J315" i="4"/>
  <c r="H315" i="4"/>
  <c r="I315" i="4" s="1"/>
  <c r="F315" i="4"/>
  <c r="A315" i="4"/>
  <c r="K314" i="4"/>
  <c r="J314" i="4"/>
  <c r="H314" i="4"/>
  <c r="I314" i="4" s="1"/>
  <c r="F314" i="4"/>
  <c r="A314" i="4"/>
  <c r="K313" i="4"/>
  <c r="J313" i="4"/>
  <c r="H313" i="4"/>
  <c r="I313" i="4" s="1"/>
  <c r="F313" i="4"/>
  <c r="A313" i="4"/>
  <c r="K312" i="4"/>
  <c r="J312" i="4"/>
  <c r="H312" i="4"/>
  <c r="I312" i="4" s="1"/>
  <c r="F312" i="4"/>
  <c r="A312" i="4"/>
  <c r="K311" i="4"/>
  <c r="J311" i="4"/>
  <c r="H311" i="4"/>
  <c r="F311" i="4"/>
  <c r="A311" i="4"/>
  <c r="K310" i="4"/>
  <c r="J310" i="4"/>
  <c r="H310" i="4"/>
  <c r="I310" i="4" s="1"/>
  <c r="F310" i="4"/>
  <c r="A310" i="4"/>
  <c r="K309" i="4"/>
  <c r="J309" i="4"/>
  <c r="H309" i="4"/>
  <c r="F309" i="4"/>
  <c r="A309" i="4"/>
  <c r="K308" i="4"/>
  <c r="J308" i="4"/>
  <c r="H308" i="4"/>
  <c r="I308" i="4" s="1"/>
  <c r="F308" i="4"/>
  <c r="A308" i="4"/>
  <c r="K307" i="4"/>
  <c r="J307" i="4"/>
  <c r="H307" i="4"/>
  <c r="I307" i="4" s="1"/>
  <c r="F307" i="4"/>
  <c r="A307" i="4"/>
  <c r="K306" i="4"/>
  <c r="J306" i="4"/>
  <c r="H306" i="4"/>
  <c r="I306" i="4" s="1"/>
  <c r="F306" i="4"/>
  <c r="A306" i="4"/>
  <c r="K305" i="4"/>
  <c r="J305" i="4"/>
  <c r="H305" i="4"/>
  <c r="F305" i="4"/>
  <c r="A305" i="4"/>
  <c r="K304" i="4"/>
  <c r="J304" i="4"/>
  <c r="H304" i="4"/>
  <c r="I304" i="4" s="1"/>
  <c r="F304" i="4"/>
  <c r="A304" i="4"/>
  <c r="K303" i="4"/>
  <c r="J303" i="4"/>
  <c r="H303" i="4"/>
  <c r="I303" i="4" s="1"/>
  <c r="F303" i="4"/>
  <c r="A303" i="4"/>
  <c r="K302" i="4"/>
  <c r="J302" i="4"/>
  <c r="H302" i="4"/>
  <c r="F302" i="4"/>
  <c r="A302" i="4"/>
  <c r="K301" i="4"/>
  <c r="J301" i="4"/>
  <c r="H301" i="4"/>
  <c r="F301" i="4"/>
  <c r="A301" i="4"/>
  <c r="K300" i="4"/>
  <c r="J300" i="4"/>
  <c r="H300" i="4"/>
  <c r="I300" i="4" s="1"/>
  <c r="F300" i="4"/>
  <c r="A300" i="4"/>
  <c r="K299" i="4"/>
  <c r="J299" i="4"/>
  <c r="H299" i="4"/>
  <c r="I299" i="4" s="1"/>
  <c r="F299" i="4"/>
  <c r="A299" i="4"/>
  <c r="K298" i="4"/>
  <c r="J298" i="4"/>
  <c r="H298" i="4"/>
  <c r="F298" i="4"/>
  <c r="A298" i="4"/>
  <c r="K297" i="4"/>
  <c r="J297" i="4"/>
  <c r="H297" i="4"/>
  <c r="F297" i="4"/>
  <c r="A297" i="4"/>
  <c r="K296" i="4"/>
  <c r="J296" i="4"/>
  <c r="H296" i="4"/>
  <c r="I296" i="4" s="1"/>
  <c r="F296" i="4"/>
  <c r="A296" i="4"/>
  <c r="K295" i="4"/>
  <c r="J295" i="4"/>
  <c r="H295" i="4"/>
  <c r="F295" i="4"/>
  <c r="A295" i="4"/>
  <c r="K294" i="4"/>
  <c r="J294" i="4"/>
  <c r="H294" i="4"/>
  <c r="F294" i="4"/>
  <c r="A294" i="4"/>
  <c r="K293" i="4"/>
  <c r="J293" i="4"/>
  <c r="H293" i="4"/>
  <c r="I293" i="4" s="1"/>
  <c r="F293" i="4"/>
  <c r="A293" i="4"/>
  <c r="K292" i="4"/>
  <c r="J292" i="4"/>
  <c r="H292" i="4"/>
  <c r="F292" i="4"/>
  <c r="A292" i="4"/>
  <c r="K291" i="4"/>
  <c r="J291" i="4"/>
  <c r="H291" i="4"/>
  <c r="I291" i="4" s="1"/>
  <c r="F291" i="4"/>
  <c r="A291" i="4"/>
  <c r="K290" i="4"/>
  <c r="J290" i="4"/>
  <c r="H290" i="4"/>
  <c r="F290" i="4"/>
  <c r="A290" i="4"/>
  <c r="K289" i="4"/>
  <c r="J289" i="4"/>
  <c r="H289" i="4"/>
  <c r="I289" i="4" s="1"/>
  <c r="F289" i="4"/>
  <c r="A289" i="4"/>
  <c r="K288" i="4"/>
  <c r="J288" i="4"/>
  <c r="H288" i="4"/>
  <c r="I288" i="4" s="1"/>
  <c r="F288" i="4"/>
  <c r="A288" i="4"/>
  <c r="K287" i="4"/>
  <c r="J287" i="4"/>
  <c r="H287" i="4"/>
  <c r="F287" i="4"/>
  <c r="A287" i="4"/>
  <c r="K286" i="4"/>
  <c r="J286" i="4"/>
  <c r="H286" i="4"/>
  <c r="I286" i="4" s="1"/>
  <c r="F286" i="4"/>
  <c r="A286" i="4"/>
  <c r="K285" i="4"/>
  <c r="J285" i="4"/>
  <c r="H285" i="4"/>
  <c r="F285" i="4"/>
  <c r="A285" i="4"/>
  <c r="K284" i="4"/>
  <c r="J284" i="4"/>
  <c r="H284" i="4"/>
  <c r="F284" i="4"/>
  <c r="A284" i="4"/>
  <c r="K283" i="4"/>
  <c r="J283" i="4"/>
  <c r="H283" i="4"/>
  <c r="I283" i="4" s="1"/>
  <c r="F283" i="4"/>
  <c r="A283" i="4"/>
  <c r="K282" i="4"/>
  <c r="J282" i="4"/>
  <c r="H282" i="4"/>
  <c r="I282" i="4" s="1"/>
  <c r="F282" i="4"/>
  <c r="A282" i="4"/>
  <c r="K281" i="4"/>
  <c r="J281" i="4"/>
  <c r="H281" i="4"/>
  <c r="F281" i="4"/>
  <c r="A281" i="4"/>
  <c r="K280" i="4"/>
  <c r="J280" i="4"/>
  <c r="H280" i="4"/>
  <c r="I280" i="4" s="1"/>
  <c r="F280" i="4"/>
  <c r="A280" i="4"/>
  <c r="K279" i="4"/>
  <c r="J279" i="4"/>
  <c r="H279" i="4"/>
  <c r="F279" i="4"/>
  <c r="A279" i="4"/>
  <c r="K278" i="4"/>
  <c r="J278" i="4"/>
  <c r="H278" i="4"/>
  <c r="F278" i="4"/>
  <c r="A278" i="4"/>
  <c r="K277" i="4"/>
  <c r="J277" i="4"/>
  <c r="H277" i="4"/>
  <c r="F277" i="4"/>
  <c r="A277" i="4"/>
  <c r="K276" i="4"/>
  <c r="J276" i="4"/>
  <c r="H276" i="4"/>
  <c r="I276" i="4" s="1"/>
  <c r="F276" i="4"/>
  <c r="A276" i="4"/>
  <c r="K275" i="4"/>
  <c r="J275" i="4"/>
  <c r="H275" i="4"/>
  <c r="F275" i="4"/>
  <c r="A275" i="4"/>
  <c r="K274" i="4"/>
  <c r="J274" i="4"/>
  <c r="H274" i="4"/>
  <c r="I274" i="4" s="1"/>
  <c r="F274" i="4"/>
  <c r="A274" i="4"/>
  <c r="K273" i="4"/>
  <c r="J273" i="4"/>
  <c r="H273" i="4"/>
  <c r="F273" i="4"/>
  <c r="A273" i="4"/>
  <c r="K272" i="4"/>
  <c r="J272" i="4"/>
  <c r="H272" i="4"/>
  <c r="I272" i="4" s="1"/>
  <c r="F272" i="4"/>
  <c r="A272" i="4"/>
  <c r="K271" i="4"/>
  <c r="J271" i="4"/>
  <c r="H271" i="4"/>
  <c r="I271" i="4" s="1"/>
  <c r="F271" i="4"/>
  <c r="A271" i="4"/>
  <c r="K270" i="4"/>
  <c r="J270" i="4"/>
  <c r="H270" i="4"/>
  <c r="I270" i="4" s="1"/>
  <c r="F270" i="4"/>
  <c r="A270" i="4"/>
  <c r="K269" i="4"/>
  <c r="J269" i="4"/>
  <c r="H269" i="4"/>
  <c r="F269" i="4"/>
  <c r="A269" i="4"/>
  <c r="K268" i="4"/>
  <c r="J268" i="4"/>
  <c r="H268" i="4"/>
  <c r="I268" i="4" s="1"/>
  <c r="F268" i="4"/>
  <c r="A268" i="4"/>
  <c r="K267" i="4"/>
  <c r="J267" i="4"/>
  <c r="H267" i="4"/>
  <c r="I267" i="4" s="1"/>
  <c r="F267" i="4"/>
  <c r="A267" i="4"/>
  <c r="K266" i="4"/>
  <c r="J266" i="4"/>
  <c r="H266" i="4"/>
  <c r="I266" i="4" s="1"/>
  <c r="F266" i="4"/>
  <c r="A266" i="4"/>
  <c r="K265" i="4"/>
  <c r="J265" i="4"/>
  <c r="H265" i="4"/>
  <c r="I265" i="4" s="1"/>
  <c r="F265" i="4"/>
  <c r="A265" i="4"/>
  <c r="K264" i="4"/>
  <c r="J264" i="4"/>
  <c r="H264" i="4"/>
  <c r="I264" i="4" s="1"/>
  <c r="F264" i="4"/>
  <c r="A264" i="4"/>
  <c r="K263" i="4"/>
  <c r="J263" i="4"/>
  <c r="H263" i="4"/>
  <c r="I263" i="4" s="1"/>
  <c r="F263" i="4"/>
  <c r="A263" i="4"/>
  <c r="K262" i="4"/>
  <c r="J262" i="4"/>
  <c r="H262" i="4"/>
  <c r="I262" i="4" s="1"/>
  <c r="F262" i="4"/>
  <c r="A262" i="4"/>
  <c r="K261" i="4"/>
  <c r="J261" i="4"/>
  <c r="H261" i="4"/>
  <c r="I261" i="4" s="1"/>
  <c r="F261" i="4"/>
  <c r="A261" i="4"/>
  <c r="K260" i="4"/>
  <c r="J260" i="4"/>
  <c r="H260" i="4"/>
  <c r="I260" i="4" s="1"/>
  <c r="F260" i="4"/>
  <c r="A260" i="4"/>
  <c r="K259" i="4"/>
  <c r="J259" i="4"/>
  <c r="H259" i="4"/>
  <c r="I259" i="4" s="1"/>
  <c r="F259" i="4"/>
  <c r="A259" i="4"/>
  <c r="K258" i="4"/>
  <c r="J258" i="4"/>
  <c r="H258" i="4"/>
  <c r="I258" i="4" s="1"/>
  <c r="F258" i="4"/>
  <c r="A258" i="4"/>
  <c r="K257" i="4"/>
  <c r="J257" i="4"/>
  <c r="H257" i="4"/>
  <c r="F257" i="4"/>
  <c r="A257" i="4"/>
  <c r="K256" i="4"/>
  <c r="J256" i="4"/>
  <c r="H256" i="4"/>
  <c r="I256" i="4" s="1"/>
  <c r="F256" i="4"/>
  <c r="A256" i="4"/>
  <c r="K255" i="4"/>
  <c r="J255" i="4"/>
  <c r="H255" i="4"/>
  <c r="I255" i="4" s="1"/>
  <c r="F255" i="4"/>
  <c r="A255" i="4"/>
  <c r="K254" i="4"/>
  <c r="J254" i="4"/>
  <c r="H254" i="4"/>
  <c r="F254" i="4"/>
  <c r="A254" i="4"/>
  <c r="K253" i="4"/>
  <c r="J253" i="4"/>
  <c r="H253" i="4"/>
  <c r="I253" i="4" s="1"/>
  <c r="F253" i="4"/>
  <c r="A253" i="4"/>
  <c r="K252" i="4"/>
  <c r="J252" i="4"/>
  <c r="H252" i="4"/>
  <c r="I252" i="4" s="1"/>
  <c r="F252" i="4"/>
  <c r="A252" i="4"/>
  <c r="K251" i="4"/>
  <c r="J251" i="4"/>
  <c r="H251" i="4"/>
  <c r="I251" i="4" s="1"/>
  <c r="F251" i="4"/>
  <c r="A251" i="4"/>
  <c r="K250" i="4"/>
  <c r="J250" i="4"/>
  <c r="H250" i="4"/>
  <c r="I250" i="4" s="1"/>
  <c r="F250" i="4"/>
  <c r="A250" i="4"/>
  <c r="K249" i="4"/>
  <c r="J249" i="4"/>
  <c r="H249" i="4"/>
  <c r="I249" i="4" s="1"/>
  <c r="F249" i="4"/>
  <c r="A249" i="4"/>
  <c r="K248" i="4"/>
  <c r="J248" i="4"/>
  <c r="H248" i="4"/>
  <c r="F248" i="4"/>
  <c r="A248" i="4"/>
  <c r="K247" i="4"/>
  <c r="J247" i="4"/>
  <c r="H247" i="4"/>
  <c r="I247" i="4" s="1"/>
  <c r="F247" i="4"/>
  <c r="A247" i="4"/>
  <c r="K246" i="4"/>
  <c r="J246" i="4"/>
  <c r="H246" i="4"/>
  <c r="F246" i="4"/>
  <c r="A246" i="4"/>
  <c r="K245" i="4"/>
  <c r="J245" i="4"/>
  <c r="H245" i="4"/>
  <c r="F245" i="4"/>
  <c r="A245" i="4"/>
  <c r="K244" i="4"/>
  <c r="J244" i="4"/>
  <c r="H244" i="4"/>
  <c r="F244" i="4"/>
  <c r="A244" i="4"/>
  <c r="K243" i="4"/>
  <c r="J243" i="4"/>
  <c r="H243" i="4"/>
  <c r="F243" i="4"/>
  <c r="A243" i="4"/>
  <c r="K242" i="4"/>
  <c r="J242" i="4"/>
  <c r="H242" i="4"/>
  <c r="I242" i="4" s="1"/>
  <c r="F242" i="4"/>
  <c r="A242" i="4"/>
  <c r="K241" i="4"/>
  <c r="J241" i="4"/>
  <c r="H241" i="4"/>
  <c r="F241" i="4"/>
  <c r="A241" i="4"/>
  <c r="K240" i="4"/>
  <c r="J240" i="4"/>
  <c r="H240" i="4"/>
  <c r="F240" i="4"/>
  <c r="A240" i="4"/>
  <c r="K239" i="4"/>
  <c r="J239" i="4"/>
  <c r="H239" i="4"/>
  <c r="F239" i="4"/>
  <c r="A239" i="4"/>
  <c r="K238" i="4"/>
  <c r="J238" i="4"/>
  <c r="H238" i="4"/>
  <c r="F238" i="4"/>
  <c r="A238" i="4"/>
  <c r="K237" i="4"/>
  <c r="J237" i="4"/>
  <c r="H237" i="4"/>
  <c r="I237" i="4" s="1"/>
  <c r="F237" i="4"/>
  <c r="A237" i="4"/>
  <c r="K236" i="4"/>
  <c r="J236" i="4"/>
  <c r="H236" i="4"/>
  <c r="F236" i="4"/>
  <c r="A236" i="4"/>
  <c r="K235" i="4"/>
  <c r="J235" i="4"/>
  <c r="H235" i="4"/>
  <c r="F235" i="4"/>
  <c r="A235" i="4"/>
  <c r="K234" i="4"/>
  <c r="J234" i="4"/>
  <c r="H234" i="4"/>
  <c r="F234" i="4"/>
  <c r="A234" i="4"/>
  <c r="K233" i="4"/>
  <c r="J233" i="4"/>
  <c r="H233" i="4"/>
  <c r="F233" i="4"/>
  <c r="A233" i="4"/>
  <c r="K232" i="4"/>
  <c r="J232" i="4"/>
  <c r="H232" i="4"/>
  <c r="I232" i="4" s="1"/>
  <c r="F232" i="4"/>
  <c r="A232" i="4"/>
  <c r="K231" i="4"/>
  <c r="J231" i="4"/>
  <c r="H231" i="4"/>
  <c r="F231" i="4"/>
  <c r="A231" i="4"/>
  <c r="K230" i="4"/>
  <c r="J230" i="4"/>
  <c r="H230" i="4"/>
  <c r="F230" i="4"/>
  <c r="A230" i="4"/>
  <c r="K229" i="4"/>
  <c r="J229" i="4"/>
  <c r="H229" i="4"/>
  <c r="F229" i="4"/>
  <c r="A229" i="4"/>
  <c r="K228" i="4"/>
  <c r="J228" i="4"/>
  <c r="H228" i="4"/>
  <c r="F228" i="4"/>
  <c r="A228" i="4"/>
  <c r="K227" i="4"/>
  <c r="J227" i="4"/>
  <c r="H227" i="4"/>
  <c r="F227" i="4"/>
  <c r="A227" i="4"/>
  <c r="K226" i="4"/>
  <c r="J226" i="4"/>
  <c r="H226" i="4"/>
  <c r="F226" i="4"/>
  <c r="A226" i="4"/>
  <c r="K225" i="4"/>
  <c r="J225" i="4"/>
  <c r="H225" i="4"/>
  <c r="F225" i="4"/>
  <c r="A225" i="4"/>
  <c r="K224" i="4"/>
  <c r="J224" i="4"/>
  <c r="H224" i="4"/>
  <c r="I224" i="4" s="1"/>
  <c r="F224" i="4"/>
  <c r="A224" i="4"/>
  <c r="K223" i="4"/>
  <c r="J223" i="4"/>
  <c r="H223" i="4"/>
  <c r="I223" i="4" s="1"/>
  <c r="F223" i="4"/>
  <c r="A223" i="4"/>
  <c r="K222" i="4"/>
  <c r="J222" i="4"/>
  <c r="H222" i="4"/>
  <c r="F222" i="4"/>
  <c r="A222" i="4"/>
  <c r="K221" i="4"/>
  <c r="J221" i="4"/>
  <c r="H221" i="4"/>
  <c r="F221" i="4"/>
  <c r="A221" i="4"/>
  <c r="K220" i="4"/>
  <c r="J220" i="4"/>
  <c r="H220" i="4"/>
  <c r="I220" i="4" s="1"/>
  <c r="F220" i="4"/>
  <c r="A220" i="4"/>
  <c r="K219" i="4"/>
  <c r="J219" i="4"/>
  <c r="H219" i="4"/>
  <c r="F219" i="4"/>
  <c r="A219" i="4"/>
  <c r="K218" i="4"/>
  <c r="J218" i="4"/>
  <c r="H218" i="4"/>
  <c r="F218" i="4"/>
  <c r="A218" i="4"/>
  <c r="K217" i="4"/>
  <c r="J217" i="4"/>
  <c r="H217" i="4"/>
  <c r="F217" i="4"/>
  <c r="A217" i="4"/>
  <c r="K216" i="4"/>
  <c r="J216" i="4"/>
  <c r="H216" i="4"/>
  <c r="F216" i="4"/>
  <c r="A216" i="4"/>
  <c r="K215" i="4"/>
  <c r="J215" i="4"/>
  <c r="H215" i="4"/>
  <c r="F215" i="4"/>
  <c r="A215" i="4"/>
  <c r="K214" i="4"/>
  <c r="J214" i="4"/>
  <c r="H214" i="4"/>
  <c r="I214" i="4" s="1"/>
  <c r="F214" i="4"/>
  <c r="A214" i="4"/>
  <c r="K213" i="4"/>
  <c r="J213" i="4"/>
  <c r="H213" i="4"/>
  <c r="F213" i="4"/>
  <c r="A213" i="4"/>
  <c r="K212" i="4"/>
  <c r="J212" i="4"/>
  <c r="H212" i="4"/>
  <c r="F212" i="4"/>
  <c r="A212" i="4"/>
  <c r="K211" i="4"/>
  <c r="J211" i="4"/>
  <c r="H211" i="4"/>
  <c r="I211" i="4" s="1"/>
  <c r="F211" i="4"/>
  <c r="A211" i="4"/>
  <c r="K210" i="4"/>
  <c r="J210" i="4"/>
  <c r="H210" i="4"/>
  <c r="F210" i="4"/>
  <c r="A210" i="4"/>
  <c r="K209" i="4"/>
  <c r="J209" i="4"/>
  <c r="H209" i="4"/>
  <c r="F209" i="4"/>
  <c r="A209" i="4"/>
  <c r="K208" i="4"/>
  <c r="J208" i="4"/>
  <c r="H208" i="4"/>
  <c r="F208" i="4"/>
  <c r="A208" i="4"/>
  <c r="K207" i="4"/>
  <c r="J207" i="4"/>
  <c r="H207" i="4"/>
  <c r="F207" i="4"/>
  <c r="A207" i="4"/>
  <c r="K206" i="4"/>
  <c r="J206" i="4"/>
  <c r="H206" i="4"/>
  <c r="F206" i="4"/>
  <c r="A206" i="4"/>
  <c r="K205" i="4"/>
  <c r="J205" i="4"/>
  <c r="H205" i="4"/>
  <c r="F205" i="4"/>
  <c r="A205" i="4"/>
  <c r="K204" i="4"/>
  <c r="J204" i="4"/>
  <c r="H204" i="4"/>
  <c r="F204" i="4"/>
  <c r="A204" i="4"/>
  <c r="K203" i="4"/>
  <c r="J203" i="4"/>
  <c r="H203" i="4"/>
  <c r="F203" i="4"/>
  <c r="A203" i="4"/>
  <c r="K202" i="4"/>
  <c r="J202" i="4"/>
  <c r="H202" i="4"/>
  <c r="F202" i="4"/>
  <c r="A202" i="4"/>
  <c r="K201" i="4"/>
  <c r="J201" i="4"/>
  <c r="H201" i="4"/>
  <c r="I201" i="4" s="1"/>
  <c r="F201" i="4"/>
  <c r="A201" i="4"/>
  <c r="K200" i="4"/>
  <c r="J200" i="4"/>
  <c r="H200" i="4"/>
  <c r="F200" i="4"/>
  <c r="A200" i="4"/>
  <c r="K199" i="4"/>
  <c r="J199" i="4"/>
  <c r="H199" i="4"/>
  <c r="F199" i="4"/>
  <c r="A199" i="4"/>
  <c r="K198" i="4"/>
  <c r="J198" i="4"/>
  <c r="H198" i="4"/>
  <c r="F198" i="4"/>
  <c r="A198" i="4"/>
  <c r="K197" i="4"/>
  <c r="J197" i="4"/>
  <c r="H197" i="4"/>
  <c r="F197" i="4"/>
  <c r="A197" i="4"/>
  <c r="K196" i="4"/>
  <c r="J196" i="4"/>
  <c r="H196" i="4"/>
  <c r="I196" i="4" s="1"/>
  <c r="F196" i="4"/>
  <c r="A196" i="4"/>
  <c r="K195" i="4"/>
  <c r="J195" i="4"/>
  <c r="H195" i="4"/>
  <c r="F195" i="4"/>
  <c r="A195" i="4"/>
  <c r="K194" i="4"/>
  <c r="J194" i="4"/>
  <c r="H194" i="4"/>
  <c r="F194" i="4"/>
  <c r="A194" i="4"/>
  <c r="K193" i="4"/>
  <c r="J193" i="4"/>
  <c r="H193" i="4"/>
  <c r="F193" i="4"/>
  <c r="A193" i="4"/>
  <c r="K192" i="4"/>
  <c r="J192" i="4"/>
  <c r="H192" i="4"/>
  <c r="F192" i="4"/>
  <c r="A192" i="4"/>
  <c r="K191" i="4"/>
  <c r="J191" i="4"/>
  <c r="H191" i="4"/>
  <c r="F191" i="4"/>
  <c r="A191" i="4"/>
  <c r="K190" i="4"/>
  <c r="J190" i="4"/>
  <c r="H190" i="4"/>
  <c r="F190" i="4"/>
  <c r="A190" i="4"/>
  <c r="K189" i="4"/>
  <c r="J189" i="4"/>
  <c r="H189" i="4"/>
  <c r="I189" i="4" s="1"/>
  <c r="F189" i="4"/>
  <c r="A189" i="4"/>
  <c r="K188" i="4"/>
  <c r="J188" i="4"/>
  <c r="H188" i="4"/>
  <c r="I188" i="4" s="1"/>
  <c r="F188" i="4"/>
  <c r="A188" i="4"/>
  <c r="K187" i="4"/>
  <c r="J187" i="4"/>
  <c r="H187" i="4"/>
  <c r="I187" i="4" s="1"/>
  <c r="F187" i="4"/>
  <c r="A187" i="4"/>
  <c r="K186" i="4"/>
  <c r="J186" i="4"/>
  <c r="H186" i="4"/>
  <c r="F186" i="4"/>
  <c r="A186" i="4"/>
  <c r="K185" i="4"/>
  <c r="J185" i="4"/>
  <c r="H185" i="4"/>
  <c r="I185" i="4" s="1"/>
  <c r="F185" i="4"/>
  <c r="A185" i="4"/>
  <c r="K184" i="4"/>
  <c r="J184" i="4"/>
  <c r="H184" i="4"/>
  <c r="F184" i="4"/>
  <c r="A184" i="4"/>
  <c r="K183" i="4"/>
  <c r="J183" i="4"/>
  <c r="H183" i="4"/>
  <c r="I183" i="4" s="1"/>
  <c r="F183" i="4"/>
  <c r="A183" i="4"/>
  <c r="K182" i="4"/>
  <c r="J182" i="4"/>
  <c r="H182" i="4"/>
  <c r="I182" i="4" s="1"/>
  <c r="F182" i="4"/>
  <c r="A182" i="4"/>
  <c r="K181" i="4"/>
  <c r="J181" i="4"/>
  <c r="H181" i="4"/>
  <c r="F181" i="4"/>
  <c r="A181" i="4"/>
  <c r="K180" i="4"/>
  <c r="J180" i="4"/>
  <c r="H180" i="4"/>
  <c r="I180" i="4" s="1"/>
  <c r="F180" i="4"/>
  <c r="A180" i="4"/>
  <c r="K179" i="4"/>
  <c r="J179" i="4"/>
  <c r="H179" i="4"/>
  <c r="I179" i="4" s="1"/>
  <c r="F179" i="4"/>
  <c r="A179" i="4"/>
  <c r="K178" i="4"/>
  <c r="J178" i="4"/>
  <c r="H178" i="4"/>
  <c r="F178" i="4"/>
  <c r="A178" i="4"/>
  <c r="K177" i="4"/>
  <c r="J177" i="4"/>
  <c r="H177" i="4"/>
  <c r="F177" i="4"/>
  <c r="A177" i="4"/>
  <c r="K176" i="4"/>
  <c r="J176" i="4"/>
  <c r="H176" i="4"/>
  <c r="F176" i="4"/>
  <c r="A176" i="4"/>
  <c r="K175" i="4"/>
  <c r="J175" i="4"/>
  <c r="H175" i="4"/>
  <c r="F175" i="4"/>
  <c r="A175" i="4"/>
  <c r="K174" i="4"/>
  <c r="J174" i="4"/>
  <c r="H174" i="4"/>
  <c r="F174" i="4"/>
  <c r="A174" i="4"/>
  <c r="K173" i="4"/>
  <c r="J173" i="4"/>
  <c r="H173" i="4"/>
  <c r="I173" i="4" s="1"/>
  <c r="F173" i="4"/>
  <c r="A173" i="4"/>
  <c r="K172" i="4"/>
  <c r="J172" i="4"/>
  <c r="H172" i="4"/>
  <c r="F172" i="4"/>
  <c r="A172" i="4"/>
  <c r="K171" i="4"/>
  <c r="J171" i="4"/>
  <c r="H171" i="4"/>
  <c r="F171" i="4"/>
  <c r="A171" i="4"/>
  <c r="K170" i="4"/>
  <c r="J170" i="4"/>
  <c r="H170" i="4"/>
  <c r="F170" i="4"/>
  <c r="A170" i="4"/>
  <c r="K169" i="4"/>
  <c r="J169" i="4"/>
  <c r="H169" i="4"/>
  <c r="F169" i="4"/>
  <c r="A169" i="4"/>
  <c r="K168" i="4"/>
  <c r="J168" i="4"/>
  <c r="H168" i="4"/>
  <c r="F168" i="4"/>
  <c r="A168" i="4"/>
  <c r="K167" i="4"/>
  <c r="J167" i="4"/>
  <c r="H167" i="4"/>
  <c r="F167" i="4"/>
  <c r="A167" i="4"/>
  <c r="K166" i="4"/>
  <c r="J166" i="4"/>
  <c r="H166" i="4"/>
  <c r="I166" i="4" s="1"/>
  <c r="F166" i="4"/>
  <c r="A166" i="4"/>
  <c r="K165" i="4"/>
  <c r="J165" i="4"/>
  <c r="H165" i="4"/>
  <c r="I165" i="4" s="1"/>
  <c r="F165" i="4"/>
  <c r="A165" i="4"/>
  <c r="K164" i="4"/>
  <c r="J164" i="4"/>
  <c r="H164" i="4"/>
  <c r="I164" i="4" s="1"/>
  <c r="F164" i="4"/>
  <c r="A164" i="4"/>
  <c r="K163" i="4"/>
  <c r="J163" i="4"/>
  <c r="H163" i="4"/>
  <c r="I163" i="4" s="1"/>
  <c r="F163" i="4"/>
  <c r="A163" i="4"/>
  <c r="K162" i="4"/>
  <c r="J162" i="4"/>
  <c r="H162" i="4"/>
  <c r="F162" i="4"/>
  <c r="A162" i="4"/>
  <c r="K161" i="4"/>
  <c r="J161" i="4"/>
  <c r="H161" i="4"/>
  <c r="F161" i="4"/>
  <c r="A161" i="4"/>
  <c r="K160" i="4"/>
  <c r="J160" i="4"/>
  <c r="H160" i="4"/>
  <c r="F160" i="4"/>
  <c r="A160" i="4"/>
  <c r="K159" i="4"/>
  <c r="J159" i="4"/>
  <c r="H159" i="4"/>
  <c r="F159" i="4"/>
  <c r="A159" i="4"/>
  <c r="K158" i="4"/>
  <c r="J158" i="4"/>
  <c r="H158" i="4"/>
  <c r="F158" i="4"/>
  <c r="A158" i="4"/>
  <c r="K157" i="4"/>
  <c r="J157" i="4"/>
  <c r="H157" i="4"/>
  <c r="I157" i="4" s="1"/>
  <c r="F157" i="4"/>
  <c r="A157" i="4"/>
  <c r="K156" i="4"/>
  <c r="J156" i="4"/>
  <c r="H156" i="4"/>
  <c r="I156" i="4" s="1"/>
  <c r="F156" i="4"/>
  <c r="A156" i="4"/>
  <c r="K155" i="4"/>
  <c r="J155" i="4"/>
  <c r="H155" i="4"/>
  <c r="I155" i="4" s="1"/>
  <c r="F155" i="4"/>
  <c r="A155" i="4"/>
  <c r="K154" i="4"/>
  <c r="J154" i="4"/>
  <c r="H154" i="4"/>
  <c r="F154" i="4"/>
  <c r="A154" i="4"/>
  <c r="K153" i="4"/>
  <c r="J153" i="4"/>
  <c r="H153" i="4"/>
  <c r="F153" i="4"/>
  <c r="A153" i="4"/>
  <c r="K152" i="4"/>
  <c r="J152" i="4"/>
  <c r="H152" i="4"/>
  <c r="I152" i="4" s="1"/>
  <c r="F152" i="4"/>
  <c r="A152" i="4"/>
  <c r="K151" i="4"/>
  <c r="J151" i="4"/>
  <c r="H151" i="4"/>
  <c r="I151" i="4" s="1"/>
  <c r="F151" i="4"/>
  <c r="A151" i="4"/>
  <c r="K150" i="4"/>
  <c r="J150" i="4"/>
  <c r="H150" i="4"/>
  <c r="F150" i="4"/>
  <c r="A150" i="4"/>
  <c r="K149" i="4"/>
  <c r="J149" i="4"/>
  <c r="H149" i="4"/>
  <c r="F149" i="4"/>
  <c r="A149" i="4"/>
  <c r="K148" i="4"/>
  <c r="J148" i="4"/>
  <c r="H148" i="4"/>
  <c r="I148" i="4" s="1"/>
  <c r="F148" i="4"/>
  <c r="A148" i="4"/>
  <c r="K147" i="4"/>
  <c r="J147" i="4"/>
  <c r="H147" i="4"/>
  <c r="I147" i="4" s="1"/>
  <c r="F147" i="4"/>
  <c r="A147" i="4"/>
  <c r="K146" i="4"/>
  <c r="J146" i="4"/>
  <c r="H146" i="4"/>
  <c r="F146" i="4"/>
  <c r="A146" i="4"/>
  <c r="K145" i="4"/>
  <c r="J145" i="4"/>
  <c r="H145" i="4"/>
  <c r="I145" i="4" s="1"/>
  <c r="F145" i="4"/>
  <c r="A145" i="4"/>
  <c r="K144" i="4"/>
  <c r="J144" i="4"/>
  <c r="H144" i="4"/>
  <c r="I144" i="4" s="1"/>
  <c r="F144" i="4"/>
  <c r="A144" i="4"/>
  <c r="K143" i="4"/>
  <c r="J143" i="4"/>
  <c r="H143" i="4"/>
  <c r="F143" i="4"/>
  <c r="A143" i="4"/>
  <c r="K142" i="4"/>
  <c r="J142" i="4"/>
  <c r="H142" i="4"/>
  <c r="F142" i="4"/>
  <c r="A142" i="4"/>
  <c r="K141" i="4"/>
  <c r="J141" i="4"/>
  <c r="H141" i="4"/>
  <c r="I141" i="4" s="1"/>
  <c r="F141" i="4"/>
  <c r="A141" i="4"/>
  <c r="K140" i="4"/>
  <c r="J140" i="4"/>
  <c r="H140" i="4"/>
  <c r="L140" i="4" s="1"/>
  <c r="F140" i="4"/>
  <c r="A140" i="4"/>
  <c r="K139" i="4"/>
  <c r="J139" i="4"/>
  <c r="H139" i="4"/>
  <c r="I139" i="4" s="1"/>
  <c r="F139" i="4"/>
  <c r="A139" i="4"/>
  <c r="K138" i="4"/>
  <c r="J138" i="4"/>
  <c r="H138" i="4"/>
  <c r="F138" i="4"/>
  <c r="A138" i="4"/>
  <c r="K137" i="4"/>
  <c r="J137" i="4"/>
  <c r="H137" i="4"/>
  <c r="I137" i="4" s="1"/>
  <c r="F137" i="4"/>
  <c r="A137" i="4"/>
  <c r="K136" i="4"/>
  <c r="J136" i="4"/>
  <c r="H136" i="4"/>
  <c r="I136" i="4" s="1"/>
  <c r="F136" i="4"/>
  <c r="A136" i="4"/>
  <c r="K135" i="4"/>
  <c r="J135" i="4"/>
  <c r="H135" i="4"/>
  <c r="F135" i="4"/>
  <c r="A135" i="4"/>
  <c r="K134" i="4"/>
  <c r="J134" i="4"/>
  <c r="H134" i="4"/>
  <c r="I134" i="4" s="1"/>
  <c r="F134" i="4"/>
  <c r="A134" i="4"/>
  <c r="K133" i="4"/>
  <c r="J133" i="4"/>
  <c r="H133" i="4"/>
  <c r="I133" i="4" s="1"/>
  <c r="F133" i="4"/>
  <c r="A133" i="4"/>
  <c r="K132" i="4"/>
  <c r="J132" i="4"/>
  <c r="H132" i="4"/>
  <c r="F132" i="4"/>
  <c r="A132" i="4"/>
  <c r="K131" i="4"/>
  <c r="J131" i="4"/>
  <c r="H131" i="4"/>
  <c r="F131" i="4"/>
  <c r="A131" i="4"/>
  <c r="K130" i="4"/>
  <c r="J130" i="4"/>
  <c r="H130" i="4"/>
  <c r="F130" i="4"/>
  <c r="A130" i="4"/>
  <c r="K129" i="4"/>
  <c r="J129" i="4"/>
  <c r="H129" i="4"/>
  <c r="F129" i="4"/>
  <c r="A129" i="4"/>
  <c r="K128" i="4"/>
  <c r="J128" i="4"/>
  <c r="H128" i="4"/>
  <c r="F128" i="4"/>
  <c r="A128" i="4"/>
  <c r="K127" i="4"/>
  <c r="J127" i="4"/>
  <c r="H127" i="4"/>
  <c r="F127" i="4"/>
  <c r="A127" i="4"/>
  <c r="K126" i="4"/>
  <c r="J126" i="4"/>
  <c r="H126" i="4"/>
  <c r="F126" i="4"/>
  <c r="A126" i="4"/>
  <c r="K125" i="4"/>
  <c r="J125" i="4"/>
  <c r="H125" i="4"/>
  <c r="F125" i="4"/>
  <c r="A125" i="4"/>
  <c r="K124" i="4"/>
  <c r="J124" i="4"/>
  <c r="H124" i="4"/>
  <c r="I124" i="4" s="1"/>
  <c r="F124" i="4"/>
  <c r="A124" i="4"/>
  <c r="K123" i="4"/>
  <c r="J123" i="4"/>
  <c r="H123" i="4"/>
  <c r="F123" i="4"/>
  <c r="A123" i="4"/>
  <c r="K122" i="4"/>
  <c r="J122" i="4"/>
  <c r="H122" i="4"/>
  <c r="F122" i="4"/>
  <c r="A122" i="4"/>
  <c r="K121" i="4"/>
  <c r="J121" i="4"/>
  <c r="H121" i="4"/>
  <c r="I121" i="4" s="1"/>
  <c r="F121" i="4"/>
  <c r="A121" i="4"/>
  <c r="K120" i="4"/>
  <c r="J120" i="4"/>
  <c r="H120" i="4"/>
  <c r="I120" i="4" s="1"/>
  <c r="F120" i="4"/>
  <c r="A120" i="4"/>
  <c r="K119" i="4"/>
  <c r="J119" i="4"/>
  <c r="H119" i="4"/>
  <c r="I119" i="4" s="1"/>
  <c r="F119" i="4"/>
  <c r="A119" i="4"/>
  <c r="K118" i="4"/>
  <c r="J118" i="4"/>
  <c r="H118" i="4"/>
  <c r="F118" i="4"/>
  <c r="A118" i="4"/>
  <c r="K117" i="4"/>
  <c r="J117" i="4"/>
  <c r="H117" i="4"/>
  <c r="I117" i="4" s="1"/>
  <c r="F117" i="4"/>
  <c r="A117" i="4"/>
  <c r="K116" i="4"/>
  <c r="J116" i="4"/>
  <c r="H116" i="4"/>
  <c r="I116" i="4" s="1"/>
  <c r="F116" i="4"/>
  <c r="A116" i="4"/>
  <c r="K115" i="4"/>
  <c r="J115" i="4"/>
  <c r="H115" i="4"/>
  <c r="I115" i="4" s="1"/>
  <c r="F115" i="4"/>
  <c r="A115" i="4"/>
  <c r="K114" i="4"/>
  <c r="J114" i="4"/>
  <c r="H114" i="4"/>
  <c r="F114" i="4"/>
  <c r="A114" i="4"/>
  <c r="K113" i="4"/>
  <c r="J113" i="4"/>
  <c r="H113" i="4"/>
  <c r="F113" i="4"/>
  <c r="A113" i="4"/>
  <c r="K112" i="4"/>
  <c r="J112" i="4"/>
  <c r="H112" i="4"/>
  <c r="I112" i="4" s="1"/>
  <c r="F112" i="4"/>
  <c r="A112" i="4"/>
  <c r="K111" i="4"/>
  <c r="J111" i="4"/>
  <c r="H111" i="4"/>
  <c r="I111" i="4" s="1"/>
  <c r="F111" i="4"/>
  <c r="A111" i="4"/>
  <c r="K110" i="4"/>
  <c r="J110" i="4"/>
  <c r="H110" i="4"/>
  <c r="I110" i="4" s="1"/>
  <c r="F110" i="4"/>
  <c r="A110" i="4"/>
  <c r="K109" i="4"/>
  <c r="J109" i="4"/>
  <c r="H109" i="4"/>
  <c r="I109" i="4" s="1"/>
  <c r="F109" i="4"/>
  <c r="A109" i="4"/>
  <c r="K108" i="4"/>
  <c r="J108" i="4"/>
  <c r="H108" i="4"/>
  <c r="F108" i="4"/>
  <c r="A108" i="4"/>
  <c r="K107" i="4"/>
  <c r="J107" i="4"/>
  <c r="H107" i="4"/>
  <c r="F107" i="4"/>
  <c r="A107" i="4"/>
  <c r="K106" i="4"/>
  <c r="J106" i="4"/>
  <c r="H106" i="4"/>
  <c r="F106" i="4"/>
  <c r="A106" i="4"/>
  <c r="K105" i="4"/>
  <c r="J105" i="4"/>
  <c r="H105" i="4"/>
  <c r="I105" i="4" s="1"/>
  <c r="F105" i="4"/>
  <c r="A105" i="4"/>
  <c r="K104" i="4"/>
  <c r="J104" i="4"/>
  <c r="H104" i="4"/>
  <c r="I104" i="4" s="1"/>
  <c r="F104" i="4"/>
  <c r="A104" i="4"/>
  <c r="K103" i="4"/>
  <c r="J103" i="4"/>
  <c r="H103" i="4"/>
  <c r="F103" i="4"/>
  <c r="A103" i="4"/>
  <c r="K102" i="4"/>
  <c r="J102" i="4"/>
  <c r="H102" i="4"/>
  <c r="I102" i="4" s="1"/>
  <c r="F102" i="4"/>
  <c r="A102" i="4"/>
  <c r="K101" i="4"/>
  <c r="J101" i="4"/>
  <c r="H101" i="4"/>
  <c r="F101" i="4"/>
  <c r="A101" i="4"/>
  <c r="K100" i="4"/>
  <c r="J100" i="4"/>
  <c r="H100" i="4"/>
  <c r="F100" i="4"/>
  <c r="A100" i="4"/>
  <c r="K99" i="4"/>
  <c r="J99" i="4"/>
  <c r="H99" i="4"/>
  <c r="F99" i="4"/>
  <c r="A99" i="4"/>
  <c r="K98" i="4"/>
  <c r="J98" i="4"/>
  <c r="H98" i="4"/>
  <c r="I98" i="4" s="1"/>
  <c r="F98" i="4"/>
  <c r="A98" i="4"/>
  <c r="K97" i="4"/>
  <c r="J97" i="4"/>
  <c r="H97" i="4"/>
  <c r="I97" i="4" s="1"/>
  <c r="F97" i="4"/>
  <c r="A97" i="4"/>
  <c r="K96" i="4"/>
  <c r="J96" i="4"/>
  <c r="H96" i="4"/>
  <c r="I96" i="4" s="1"/>
  <c r="F96" i="4"/>
  <c r="A96" i="4"/>
  <c r="K95" i="4"/>
  <c r="J95" i="4"/>
  <c r="H95" i="4"/>
  <c r="F95" i="4"/>
  <c r="A95" i="4"/>
  <c r="K94" i="4"/>
  <c r="J94" i="4"/>
  <c r="H94" i="4"/>
  <c r="F94" i="4"/>
  <c r="A94" i="4"/>
  <c r="K93" i="4"/>
  <c r="J93" i="4"/>
  <c r="H93" i="4"/>
  <c r="I93" i="4" s="1"/>
  <c r="F93" i="4"/>
  <c r="A93" i="4"/>
  <c r="K92" i="4"/>
  <c r="J92" i="4"/>
  <c r="H92" i="4"/>
  <c r="I92" i="4" s="1"/>
  <c r="F92" i="4"/>
  <c r="A92" i="4"/>
  <c r="K91" i="4"/>
  <c r="J91" i="4"/>
  <c r="H91" i="4"/>
  <c r="I91" i="4" s="1"/>
  <c r="F91" i="4"/>
  <c r="A91" i="4"/>
  <c r="K90" i="4"/>
  <c r="J90" i="4"/>
  <c r="H90" i="4"/>
  <c r="L90" i="4" s="1"/>
  <c r="F90" i="4"/>
  <c r="A90" i="4"/>
  <c r="K89" i="4"/>
  <c r="J89" i="4"/>
  <c r="H89" i="4"/>
  <c r="F89" i="4"/>
  <c r="A89" i="4"/>
  <c r="K88" i="4"/>
  <c r="J88" i="4"/>
  <c r="H88" i="4"/>
  <c r="I88" i="4" s="1"/>
  <c r="F88" i="4"/>
  <c r="A88" i="4"/>
  <c r="K87" i="4"/>
  <c r="J87" i="4"/>
  <c r="H87" i="4"/>
  <c r="I87" i="4" s="1"/>
  <c r="F87" i="4"/>
  <c r="A87" i="4"/>
  <c r="K86" i="4"/>
  <c r="J86" i="4"/>
  <c r="H86" i="4"/>
  <c r="F86" i="4"/>
  <c r="A86" i="4"/>
  <c r="K85" i="4"/>
  <c r="J85" i="4"/>
  <c r="H85" i="4"/>
  <c r="I85" i="4" s="1"/>
  <c r="F85" i="4"/>
  <c r="A85" i="4"/>
  <c r="K84" i="4"/>
  <c r="J84" i="4"/>
  <c r="H84" i="4"/>
  <c r="I84" i="4" s="1"/>
  <c r="F84" i="4"/>
  <c r="A84" i="4"/>
  <c r="K83" i="4"/>
  <c r="J83" i="4"/>
  <c r="H83" i="4"/>
  <c r="F83" i="4"/>
  <c r="A83" i="4"/>
  <c r="K82" i="4"/>
  <c r="J82" i="4"/>
  <c r="H82" i="4"/>
  <c r="F82" i="4"/>
  <c r="A82" i="4"/>
  <c r="K81" i="4"/>
  <c r="J81" i="4"/>
  <c r="H81" i="4"/>
  <c r="I81" i="4" s="1"/>
  <c r="F81" i="4"/>
  <c r="A81" i="4"/>
  <c r="K80" i="4"/>
  <c r="J80" i="4"/>
  <c r="H80" i="4"/>
  <c r="I80" i="4" s="1"/>
  <c r="F80" i="4"/>
  <c r="A80" i="4"/>
  <c r="K79" i="4"/>
  <c r="J79" i="4"/>
  <c r="H79" i="4"/>
  <c r="I79" i="4" s="1"/>
  <c r="F79" i="4"/>
  <c r="A79" i="4"/>
  <c r="K78" i="4"/>
  <c r="J78" i="4"/>
  <c r="H78" i="4"/>
  <c r="I78" i="4" s="1"/>
  <c r="F78" i="4"/>
  <c r="A78" i="4"/>
  <c r="K77" i="4"/>
  <c r="J77" i="4"/>
  <c r="H77" i="4"/>
  <c r="I77" i="4" s="1"/>
  <c r="F77" i="4"/>
  <c r="A77" i="4"/>
  <c r="K76" i="4"/>
  <c r="J76" i="4"/>
  <c r="H76" i="4"/>
  <c r="I76" i="4" s="1"/>
  <c r="F76" i="4"/>
  <c r="A76" i="4"/>
  <c r="K75" i="4"/>
  <c r="J75" i="4"/>
  <c r="H75" i="4"/>
  <c r="L75" i="4" s="1"/>
  <c r="F75" i="4"/>
  <c r="A75" i="4"/>
  <c r="K74" i="4"/>
  <c r="J74" i="4"/>
  <c r="H74" i="4"/>
  <c r="I74" i="4" s="1"/>
  <c r="F74" i="4"/>
  <c r="A74" i="4"/>
  <c r="K73" i="4"/>
  <c r="J73" i="4"/>
  <c r="H73" i="4"/>
  <c r="I73" i="4" s="1"/>
  <c r="F73" i="4"/>
  <c r="A73" i="4"/>
  <c r="K72" i="4"/>
  <c r="J72" i="4"/>
  <c r="H72" i="4"/>
  <c r="F72" i="4"/>
  <c r="A72" i="4"/>
  <c r="K71" i="4"/>
  <c r="J71" i="4"/>
  <c r="H71" i="4"/>
  <c r="F71" i="4"/>
  <c r="A71" i="4"/>
  <c r="K70" i="4"/>
  <c r="J70" i="4"/>
  <c r="H70" i="4"/>
  <c r="F70" i="4"/>
  <c r="A70" i="4"/>
  <c r="K69" i="4"/>
  <c r="J69" i="4"/>
  <c r="H69" i="4"/>
  <c r="I69" i="4" s="1"/>
  <c r="F69" i="4"/>
  <c r="A69" i="4"/>
  <c r="K68" i="4"/>
  <c r="J68" i="4"/>
  <c r="H68" i="4"/>
  <c r="I68" i="4" s="1"/>
  <c r="F68" i="4"/>
  <c r="A68" i="4"/>
  <c r="K67" i="4"/>
  <c r="J67" i="4"/>
  <c r="H67" i="4"/>
  <c r="I67" i="4" s="1"/>
  <c r="F67" i="4"/>
  <c r="A67" i="4"/>
  <c r="K66" i="4"/>
  <c r="J66" i="4"/>
  <c r="H66" i="4"/>
  <c r="I66" i="4" s="1"/>
  <c r="F66" i="4"/>
  <c r="A66" i="4"/>
  <c r="K65" i="4"/>
  <c r="J65" i="4"/>
  <c r="H65" i="4"/>
  <c r="I65" i="4" s="1"/>
  <c r="F65" i="4"/>
  <c r="A65" i="4"/>
  <c r="K64" i="4"/>
  <c r="J64" i="4"/>
  <c r="H64" i="4"/>
  <c r="I64" i="4" s="1"/>
  <c r="F64" i="4"/>
  <c r="A64" i="4"/>
  <c r="K63" i="4"/>
  <c r="J63" i="4"/>
  <c r="H63" i="4"/>
  <c r="L63" i="4" s="1"/>
  <c r="F63" i="4"/>
  <c r="A63" i="4"/>
  <c r="K62" i="4"/>
  <c r="J62" i="4"/>
  <c r="H62" i="4"/>
  <c r="I62" i="4" s="1"/>
  <c r="F62" i="4"/>
  <c r="A62" i="4"/>
  <c r="K61" i="4"/>
  <c r="J61" i="4"/>
  <c r="H61" i="4"/>
  <c r="I61" i="4" s="1"/>
  <c r="F61" i="4"/>
  <c r="A61" i="4"/>
  <c r="K60" i="4"/>
  <c r="J60" i="4"/>
  <c r="H60" i="4"/>
  <c r="I60" i="4" s="1"/>
  <c r="F60" i="4"/>
  <c r="A60" i="4"/>
  <c r="K59" i="4"/>
  <c r="J59" i="4"/>
  <c r="H59" i="4"/>
  <c r="F59" i="4"/>
  <c r="A59" i="4"/>
  <c r="K58" i="4"/>
  <c r="J58" i="4"/>
  <c r="H58" i="4"/>
  <c r="F58" i="4"/>
  <c r="A58" i="4"/>
  <c r="K57" i="4"/>
  <c r="J57" i="4"/>
  <c r="H57" i="4"/>
  <c r="I57" i="4" s="1"/>
  <c r="F57" i="4"/>
  <c r="A57" i="4"/>
  <c r="K56" i="4"/>
  <c r="J56" i="4"/>
  <c r="H56" i="4"/>
  <c r="I56" i="4" s="1"/>
  <c r="F56" i="4"/>
  <c r="A56" i="4"/>
  <c r="K55" i="4"/>
  <c r="J55" i="4"/>
  <c r="H55" i="4"/>
  <c r="I55" i="4" s="1"/>
  <c r="F55" i="4"/>
  <c r="A55" i="4"/>
  <c r="K54" i="4"/>
  <c r="J54" i="4"/>
  <c r="H54" i="4"/>
  <c r="F54" i="4"/>
  <c r="A54" i="4"/>
  <c r="K53" i="4"/>
  <c r="J53" i="4"/>
  <c r="H53" i="4"/>
  <c r="I53" i="4" s="1"/>
  <c r="F53" i="4"/>
  <c r="A53" i="4"/>
  <c r="K52" i="4"/>
  <c r="J52" i="4"/>
  <c r="H52" i="4"/>
  <c r="I52" i="4" s="1"/>
  <c r="F52" i="4"/>
  <c r="A52" i="4"/>
  <c r="K51" i="4"/>
  <c r="J51" i="4"/>
  <c r="H51" i="4"/>
  <c r="I51" i="4" s="1"/>
  <c r="F51" i="4"/>
  <c r="A51" i="4"/>
  <c r="K50" i="4"/>
  <c r="J50" i="4"/>
  <c r="H50" i="4"/>
  <c r="I50" i="4" s="1"/>
  <c r="F50" i="4"/>
  <c r="A50" i="4"/>
  <c r="K49" i="4"/>
  <c r="J49" i="4"/>
  <c r="H49" i="4"/>
  <c r="F49" i="4"/>
  <c r="A49" i="4"/>
  <c r="K48" i="4"/>
  <c r="J48" i="4"/>
  <c r="H48" i="4"/>
  <c r="F48" i="4"/>
  <c r="A48" i="4"/>
  <c r="K47" i="4"/>
  <c r="J47" i="4"/>
  <c r="H47" i="4"/>
  <c r="F47" i="4"/>
  <c r="A47" i="4"/>
  <c r="K46" i="4"/>
  <c r="J46" i="4"/>
  <c r="H46" i="4"/>
  <c r="F46" i="4"/>
  <c r="A46" i="4"/>
  <c r="K45" i="4"/>
  <c r="J45" i="4"/>
  <c r="H45" i="4"/>
  <c r="I45" i="4" s="1"/>
  <c r="F45" i="4"/>
  <c r="A45" i="4"/>
  <c r="K44" i="4"/>
  <c r="J44" i="4"/>
  <c r="H44" i="4"/>
  <c r="I44" i="4" s="1"/>
  <c r="F44" i="4"/>
  <c r="A44" i="4"/>
  <c r="K43" i="4"/>
  <c r="J43" i="4"/>
  <c r="H43" i="4"/>
  <c r="F43" i="4"/>
  <c r="A43" i="4"/>
  <c r="K42" i="4"/>
  <c r="J42" i="4"/>
  <c r="H42" i="4"/>
  <c r="I42" i="4" s="1"/>
  <c r="F42" i="4"/>
  <c r="A42" i="4"/>
  <c r="K41" i="4"/>
  <c r="J41" i="4"/>
  <c r="H41" i="4"/>
  <c r="F41" i="4"/>
  <c r="A41" i="4"/>
  <c r="K40" i="4"/>
  <c r="J40" i="4"/>
  <c r="H40" i="4"/>
  <c r="I40" i="4" s="1"/>
  <c r="F40" i="4"/>
  <c r="A40" i="4"/>
  <c r="K39" i="4"/>
  <c r="J39" i="4"/>
  <c r="H39" i="4"/>
  <c r="F39" i="4"/>
  <c r="A39" i="4"/>
  <c r="K38" i="4"/>
  <c r="J38" i="4"/>
  <c r="H38" i="4"/>
  <c r="I38" i="4" s="1"/>
  <c r="F38" i="4"/>
  <c r="A38" i="4"/>
  <c r="K37" i="4"/>
  <c r="J37" i="4"/>
  <c r="H37" i="4"/>
  <c r="I37" i="4" s="1"/>
  <c r="F37" i="4"/>
  <c r="A37" i="4"/>
  <c r="K36" i="4"/>
  <c r="J36" i="4"/>
  <c r="H36" i="4"/>
  <c r="F36" i="4"/>
  <c r="A36" i="4"/>
  <c r="K35" i="4"/>
  <c r="J35" i="4"/>
  <c r="H35" i="4"/>
  <c r="F35" i="4"/>
  <c r="A35" i="4"/>
  <c r="K34" i="4"/>
  <c r="J34" i="4"/>
  <c r="H34" i="4"/>
  <c r="F34" i="4"/>
  <c r="A34" i="4"/>
  <c r="K33" i="4"/>
  <c r="J33" i="4"/>
  <c r="H33" i="4"/>
  <c r="I33" i="4" s="1"/>
  <c r="F33" i="4"/>
  <c r="A33" i="4"/>
  <c r="K32" i="4"/>
  <c r="J32" i="4"/>
  <c r="H32" i="4"/>
  <c r="F32" i="4"/>
  <c r="A32" i="4"/>
  <c r="K31" i="4"/>
  <c r="J31" i="4"/>
  <c r="H31" i="4"/>
  <c r="I31" i="4" s="1"/>
  <c r="F31" i="4"/>
  <c r="A31" i="4"/>
  <c r="K30" i="4"/>
  <c r="J30" i="4"/>
  <c r="H30" i="4"/>
  <c r="I30" i="4" s="1"/>
  <c r="F30" i="4"/>
  <c r="A30" i="4"/>
  <c r="K29" i="4"/>
  <c r="J29" i="4"/>
  <c r="H29" i="4"/>
  <c r="I29" i="4" s="1"/>
  <c r="F29" i="4"/>
  <c r="A29" i="4"/>
  <c r="K28" i="4"/>
  <c r="J28" i="4"/>
  <c r="H28" i="4"/>
  <c r="I28" i="4" s="1"/>
  <c r="F28" i="4"/>
  <c r="A28" i="4"/>
  <c r="K27" i="4"/>
  <c r="J27" i="4"/>
  <c r="H27" i="4"/>
  <c r="F27" i="4"/>
  <c r="A27" i="4"/>
  <c r="K26" i="4"/>
  <c r="J26" i="4"/>
  <c r="H26" i="4"/>
  <c r="F26" i="4"/>
  <c r="A26" i="4"/>
  <c r="K25" i="4"/>
  <c r="J25" i="4"/>
  <c r="H25" i="4"/>
  <c r="I25" i="4" s="1"/>
  <c r="F25" i="4"/>
  <c r="A25" i="4"/>
  <c r="K24" i="4"/>
  <c r="J24" i="4"/>
  <c r="H24" i="4"/>
  <c r="I24" i="4" s="1"/>
  <c r="F24" i="4"/>
  <c r="A24" i="4"/>
  <c r="K23" i="4"/>
  <c r="J23" i="4"/>
  <c r="H23" i="4"/>
  <c r="F23" i="4"/>
  <c r="A23" i="4"/>
  <c r="K22" i="4"/>
  <c r="J22" i="4"/>
  <c r="H22" i="4"/>
  <c r="F22" i="4"/>
  <c r="A22" i="4"/>
  <c r="K21" i="4"/>
  <c r="J21" i="4"/>
  <c r="H21" i="4"/>
  <c r="I21" i="4" s="1"/>
  <c r="F21" i="4"/>
  <c r="A21" i="4"/>
  <c r="K20" i="4"/>
  <c r="J20" i="4"/>
  <c r="H20" i="4"/>
  <c r="I20" i="4" s="1"/>
  <c r="F20" i="4"/>
  <c r="A20" i="4"/>
  <c r="K19" i="4"/>
  <c r="J19" i="4"/>
  <c r="H19" i="4"/>
  <c r="I19" i="4" s="1"/>
  <c r="F19" i="4"/>
  <c r="A19" i="4"/>
  <c r="K18" i="4"/>
  <c r="J18" i="4"/>
  <c r="H18" i="4"/>
  <c r="F18" i="4"/>
  <c r="A18" i="4"/>
  <c r="K17" i="4"/>
  <c r="J17" i="4"/>
  <c r="H17" i="4"/>
  <c r="F17" i="4"/>
  <c r="A17" i="4"/>
  <c r="K16" i="4"/>
  <c r="J16" i="4"/>
  <c r="H16" i="4"/>
  <c r="I16" i="4" s="1"/>
  <c r="F16" i="4"/>
  <c r="A16" i="4"/>
  <c r="K15" i="4"/>
  <c r="J15" i="4"/>
  <c r="H15" i="4"/>
  <c r="F15" i="4"/>
  <c r="A15" i="4"/>
  <c r="K14" i="4"/>
  <c r="J14" i="4"/>
  <c r="H14" i="4"/>
  <c r="I14" i="4" s="1"/>
  <c r="F14" i="4"/>
  <c r="A14" i="4"/>
  <c r="K13" i="4"/>
  <c r="J13" i="4"/>
  <c r="H13" i="4"/>
  <c r="I13" i="4" s="1"/>
  <c r="F13" i="4"/>
  <c r="A13" i="4"/>
  <c r="K12" i="4"/>
  <c r="J12" i="4"/>
  <c r="H12" i="4"/>
  <c r="F12" i="4"/>
  <c r="A12" i="4"/>
  <c r="K11" i="4"/>
  <c r="J11" i="4"/>
  <c r="H11" i="4"/>
  <c r="F11" i="4"/>
  <c r="A11" i="4"/>
  <c r="K10" i="4"/>
  <c r="J10" i="4"/>
  <c r="H10" i="4"/>
  <c r="F10" i="4"/>
  <c r="A10" i="4"/>
  <c r="K9" i="4"/>
  <c r="J9" i="4"/>
  <c r="H9" i="4"/>
  <c r="F9" i="4"/>
  <c r="A9" i="4"/>
  <c r="K8" i="4"/>
  <c r="J8" i="4"/>
  <c r="H8" i="4"/>
  <c r="F8" i="4"/>
  <c r="A8" i="4"/>
  <c r="K7" i="4"/>
  <c r="J7" i="4"/>
  <c r="H7" i="4"/>
  <c r="I7" i="4" s="1"/>
  <c r="F7" i="4"/>
  <c r="A7" i="4"/>
  <c r="K6" i="4"/>
  <c r="J6" i="4"/>
  <c r="H6" i="4"/>
  <c r="I6" i="4" s="1"/>
  <c r="F6" i="4"/>
  <c r="A6" i="4"/>
  <c r="K5" i="4"/>
  <c r="J5" i="4"/>
  <c r="H5" i="4"/>
  <c r="F5" i="4"/>
  <c r="A5" i="4"/>
  <c r="K4" i="4"/>
  <c r="J4" i="4"/>
  <c r="H4" i="4"/>
  <c r="I4" i="4" s="1"/>
  <c r="F4" i="4"/>
  <c r="A4" i="4"/>
  <c r="K3" i="4"/>
  <c r="J3" i="4"/>
  <c r="H3" i="4"/>
  <c r="F3" i="4"/>
  <c r="A3" i="4"/>
  <c r="K2" i="4"/>
  <c r="J2" i="4"/>
  <c r="H2" i="4"/>
  <c r="I2" i="4" s="1"/>
  <c r="F2" i="4"/>
  <c r="A2" i="4"/>
  <c r="I111" i="3"/>
  <c r="G111" i="3"/>
  <c r="I110" i="3"/>
  <c r="G110" i="3"/>
  <c r="I109" i="3"/>
  <c r="G109" i="3"/>
  <c r="I108" i="3"/>
  <c r="G108" i="3"/>
  <c r="I107" i="3"/>
  <c r="G107" i="3"/>
  <c r="I106" i="3"/>
  <c r="G106" i="3"/>
  <c r="I105" i="3"/>
  <c r="G105" i="3"/>
  <c r="I104" i="3"/>
  <c r="G104" i="3"/>
  <c r="I103" i="3"/>
  <c r="G103" i="3"/>
  <c r="I102" i="3"/>
  <c r="G102" i="3"/>
  <c r="I101" i="3"/>
  <c r="G101" i="3"/>
  <c r="I100" i="3"/>
  <c r="G100" i="3"/>
  <c r="I99" i="3"/>
  <c r="G99" i="3"/>
  <c r="J99" i="3" s="1"/>
  <c r="I98" i="3"/>
  <c r="G98" i="3"/>
  <c r="I97" i="3"/>
  <c r="G97" i="3"/>
  <c r="I96" i="3"/>
  <c r="G96" i="3"/>
  <c r="I95" i="3"/>
  <c r="G95" i="3"/>
  <c r="I94" i="3"/>
  <c r="G94" i="3"/>
  <c r="I93" i="3"/>
  <c r="G93" i="3"/>
  <c r="I92" i="3"/>
  <c r="G92" i="3"/>
  <c r="I91" i="3"/>
  <c r="G91" i="3"/>
  <c r="I90" i="3"/>
  <c r="G90" i="3"/>
  <c r="I89" i="3"/>
  <c r="G89" i="3"/>
  <c r="I88" i="3"/>
  <c r="G88" i="3"/>
  <c r="I87" i="3"/>
  <c r="G87" i="3"/>
  <c r="I86" i="3"/>
  <c r="G86" i="3"/>
  <c r="K85" i="3"/>
  <c r="I85" i="3"/>
  <c r="G85" i="3"/>
  <c r="I84" i="3"/>
  <c r="G84" i="3"/>
  <c r="I83" i="3"/>
  <c r="G83" i="3"/>
  <c r="I82" i="3"/>
  <c r="G82" i="3"/>
  <c r="J82" i="3" s="1"/>
  <c r="I81" i="3"/>
  <c r="G81" i="3"/>
  <c r="I80" i="3"/>
  <c r="G80" i="3"/>
  <c r="I79" i="3"/>
  <c r="G79" i="3"/>
  <c r="I78" i="3"/>
  <c r="G78" i="3"/>
  <c r="I77" i="3"/>
  <c r="G77" i="3"/>
  <c r="I76" i="3"/>
  <c r="G76" i="3"/>
  <c r="I75" i="3"/>
  <c r="G75" i="3"/>
  <c r="J75" i="3" s="1"/>
  <c r="I74" i="3"/>
  <c r="G74" i="3"/>
  <c r="I73" i="3"/>
  <c r="G73" i="3"/>
  <c r="I72" i="3"/>
  <c r="G72" i="3"/>
  <c r="I71" i="3"/>
  <c r="G71" i="3"/>
  <c r="I70" i="3"/>
  <c r="G70" i="3"/>
  <c r="I69" i="3"/>
  <c r="G69" i="3"/>
  <c r="J69" i="3" s="1"/>
  <c r="I68" i="3"/>
  <c r="G68" i="3"/>
  <c r="I67" i="3"/>
  <c r="G67" i="3"/>
  <c r="I66" i="3"/>
  <c r="G66" i="3"/>
  <c r="I65" i="3"/>
  <c r="G65" i="3"/>
  <c r="I64" i="3"/>
  <c r="G64" i="3"/>
  <c r="I63" i="3"/>
  <c r="G63" i="3"/>
  <c r="J63" i="3" s="1"/>
  <c r="I62" i="3"/>
  <c r="H62" i="3"/>
  <c r="G62" i="3"/>
  <c r="I61" i="3"/>
  <c r="G61" i="3"/>
  <c r="I60" i="3"/>
  <c r="G60" i="3"/>
  <c r="I59" i="3"/>
  <c r="G59" i="3"/>
  <c r="I58" i="3"/>
  <c r="G58" i="3"/>
  <c r="H58" i="3" s="1"/>
  <c r="I57" i="3"/>
  <c r="G57" i="3"/>
  <c r="I56" i="3"/>
  <c r="G56" i="3"/>
  <c r="I55" i="3"/>
  <c r="G55" i="3"/>
  <c r="I54" i="3"/>
  <c r="G54" i="3"/>
  <c r="I53" i="3"/>
  <c r="G53" i="3"/>
  <c r="I52" i="3"/>
  <c r="G52" i="3"/>
  <c r="I51" i="3"/>
  <c r="G51" i="3"/>
  <c r="I50" i="3"/>
  <c r="G50" i="3"/>
  <c r="I49" i="3"/>
  <c r="G49" i="3"/>
  <c r="I48" i="3"/>
  <c r="G48" i="3"/>
  <c r="I47" i="3"/>
  <c r="G47" i="3"/>
  <c r="J47" i="3" s="1"/>
  <c r="I46" i="3"/>
  <c r="G46" i="3"/>
  <c r="J46" i="3" s="1"/>
  <c r="I45" i="3"/>
  <c r="G45" i="3"/>
  <c r="J45" i="3" s="1"/>
  <c r="I44" i="3"/>
  <c r="G44" i="3"/>
  <c r="I43" i="3"/>
  <c r="G43" i="3"/>
  <c r="I42" i="3"/>
  <c r="G42" i="3"/>
  <c r="I41" i="3"/>
  <c r="G41" i="3"/>
  <c r="I40" i="3"/>
  <c r="G40" i="3"/>
  <c r="I39" i="3"/>
  <c r="G39" i="3"/>
  <c r="J39" i="3" s="1"/>
  <c r="I38" i="3"/>
  <c r="G38" i="3"/>
  <c r="K37" i="3"/>
  <c r="I37" i="3"/>
  <c r="G37" i="3"/>
  <c r="I36" i="3"/>
  <c r="G36" i="3"/>
  <c r="J36" i="3" s="1"/>
  <c r="I35" i="3"/>
  <c r="G35" i="3"/>
  <c r="I34" i="3"/>
  <c r="G34" i="3"/>
  <c r="J34" i="3" s="1"/>
  <c r="I33" i="3"/>
  <c r="G33" i="3"/>
  <c r="I32" i="3"/>
  <c r="G32" i="3"/>
  <c r="I31" i="3"/>
  <c r="G31" i="3"/>
  <c r="I30" i="3"/>
  <c r="G30" i="3"/>
  <c r="I29" i="3"/>
  <c r="G29" i="3"/>
  <c r="I28" i="3"/>
  <c r="G28" i="3"/>
  <c r="I27" i="3"/>
  <c r="G27" i="3"/>
  <c r="I26" i="3"/>
  <c r="G26" i="3"/>
  <c r="I25" i="3"/>
  <c r="G25" i="3"/>
  <c r="I24" i="3"/>
  <c r="G24" i="3"/>
  <c r="I23" i="3"/>
  <c r="G23" i="3"/>
  <c r="I22" i="3"/>
  <c r="G22" i="3"/>
  <c r="I21" i="3"/>
  <c r="G21" i="3"/>
  <c r="I20" i="3"/>
  <c r="G20" i="3"/>
  <c r="H20" i="3" s="1"/>
  <c r="I19" i="3"/>
  <c r="G19" i="3"/>
  <c r="I18" i="3"/>
  <c r="G18" i="3"/>
  <c r="I17" i="3"/>
  <c r="G17" i="3"/>
  <c r="I16" i="3"/>
  <c r="G16" i="3"/>
  <c r="I15" i="3"/>
  <c r="G15" i="3"/>
  <c r="I14" i="3"/>
  <c r="G14" i="3"/>
  <c r="I13" i="3"/>
  <c r="G13" i="3"/>
  <c r="I12" i="3"/>
  <c r="G12" i="3"/>
  <c r="I11" i="3"/>
  <c r="G11" i="3"/>
  <c r="I10" i="3"/>
  <c r="G10" i="3"/>
  <c r="I9" i="3"/>
  <c r="G9" i="3"/>
  <c r="I8" i="3"/>
  <c r="G8" i="3"/>
  <c r="I7" i="3"/>
  <c r="G7" i="3"/>
  <c r="I6" i="3"/>
  <c r="G6" i="3"/>
  <c r="I5" i="3"/>
  <c r="G5" i="3"/>
  <c r="I4" i="3"/>
  <c r="G4" i="3"/>
  <c r="H4" i="3" s="1"/>
  <c r="I3" i="3"/>
  <c r="G3" i="3"/>
  <c r="I2" i="3"/>
  <c r="K2" i="3" s="1"/>
  <c r="G2" i="3"/>
  <c r="CA1185" i="2"/>
  <c r="BY1185" i="2"/>
  <c r="BX1185" i="2"/>
  <c r="BW1185" i="2"/>
  <c r="BV1185" i="2"/>
  <c r="BU1185" i="2"/>
  <c r="BT1185" i="2"/>
  <c r="BS1185" i="2"/>
  <c r="BR1185" i="2"/>
  <c r="BQ1185" i="2"/>
  <c r="BP1185" i="2"/>
  <c r="BO1185" i="2"/>
  <c r="BN1185" i="2"/>
  <c r="BM1185" i="2"/>
  <c r="BL1185" i="2"/>
  <c r="BK1185" i="2"/>
  <c r="BJ1185" i="2"/>
  <c r="BI1185" i="2"/>
  <c r="BH1185" i="2"/>
  <c r="BG1185" i="2"/>
  <c r="BF1185" i="2"/>
  <c r="BE1185" i="2"/>
  <c r="BD1185" i="2"/>
  <c r="BC1185" i="2"/>
  <c r="BB1185" i="2"/>
  <c r="BA1185" i="2"/>
  <c r="AZ1185" i="2"/>
  <c r="AY1185" i="2"/>
  <c r="AX1185" i="2"/>
  <c r="AW1185" i="2"/>
  <c r="CA1184" i="2"/>
  <c r="BY1184" i="2"/>
  <c r="BX1184" i="2"/>
  <c r="BW1184" i="2"/>
  <c r="BV1184" i="2"/>
  <c r="BU1184" i="2"/>
  <c r="BT1184" i="2"/>
  <c r="BS1184" i="2"/>
  <c r="BR1184" i="2"/>
  <c r="BQ1184" i="2"/>
  <c r="BP1184" i="2"/>
  <c r="BO1184" i="2"/>
  <c r="BN1184" i="2"/>
  <c r="BM1184" i="2"/>
  <c r="BL1184" i="2"/>
  <c r="BK1184" i="2"/>
  <c r="BJ1184" i="2"/>
  <c r="BI1184" i="2"/>
  <c r="BH1184" i="2"/>
  <c r="BG1184" i="2"/>
  <c r="BF1184" i="2"/>
  <c r="BE1184" i="2"/>
  <c r="BD1184" i="2"/>
  <c r="BC1184" i="2"/>
  <c r="BB1184" i="2"/>
  <c r="BA1184" i="2"/>
  <c r="AZ1184" i="2"/>
  <c r="AY1184" i="2"/>
  <c r="AX1184" i="2"/>
  <c r="AW1184" i="2"/>
  <c r="CA1183" i="2"/>
  <c r="BY1183" i="2"/>
  <c r="BX1183" i="2"/>
  <c r="BW1183" i="2"/>
  <c r="BV1183" i="2"/>
  <c r="BU1183" i="2"/>
  <c r="BT1183" i="2"/>
  <c r="BS1183" i="2"/>
  <c r="BR1183" i="2"/>
  <c r="BQ1183" i="2"/>
  <c r="BP1183" i="2"/>
  <c r="BO1183" i="2"/>
  <c r="BN1183" i="2"/>
  <c r="BM1183" i="2"/>
  <c r="BL1183" i="2"/>
  <c r="BK1183" i="2"/>
  <c r="BJ1183" i="2"/>
  <c r="BI1183" i="2"/>
  <c r="BH1183" i="2"/>
  <c r="BG1183" i="2"/>
  <c r="BF1183" i="2"/>
  <c r="BE1183" i="2"/>
  <c r="BD1183" i="2"/>
  <c r="BC1183" i="2"/>
  <c r="BB1183" i="2"/>
  <c r="BA1183" i="2"/>
  <c r="AZ1183" i="2"/>
  <c r="AY1183" i="2"/>
  <c r="AX1183" i="2"/>
  <c r="AW1183" i="2"/>
  <c r="CA1182" i="2"/>
  <c r="BY1182" i="2"/>
  <c r="BX1182" i="2"/>
  <c r="BW1182" i="2"/>
  <c r="BV1182" i="2"/>
  <c r="BU1182" i="2"/>
  <c r="BT1182" i="2"/>
  <c r="BS1182" i="2"/>
  <c r="BR1182" i="2"/>
  <c r="BQ1182" i="2"/>
  <c r="BP1182" i="2"/>
  <c r="BO1182" i="2"/>
  <c r="BN1182" i="2"/>
  <c r="BM1182" i="2"/>
  <c r="BL1182" i="2"/>
  <c r="BK1182" i="2"/>
  <c r="BJ1182" i="2"/>
  <c r="BI1182" i="2"/>
  <c r="BH1182" i="2"/>
  <c r="BG1182" i="2"/>
  <c r="BF1182" i="2"/>
  <c r="BE1182" i="2"/>
  <c r="BD1182" i="2"/>
  <c r="BC1182" i="2"/>
  <c r="BB1182" i="2"/>
  <c r="BA1182" i="2"/>
  <c r="AZ1182" i="2"/>
  <c r="AY1182" i="2"/>
  <c r="AX1182" i="2"/>
  <c r="AW1182" i="2"/>
  <c r="CA1181" i="2"/>
  <c r="BY1181" i="2"/>
  <c r="BX1181" i="2"/>
  <c r="BW1181" i="2"/>
  <c r="BV1181" i="2"/>
  <c r="BU1181" i="2"/>
  <c r="BT1181" i="2"/>
  <c r="BS1181" i="2"/>
  <c r="BR1181" i="2"/>
  <c r="BQ1181" i="2"/>
  <c r="BP1181" i="2"/>
  <c r="BO1181" i="2"/>
  <c r="BN1181" i="2"/>
  <c r="BM1181" i="2"/>
  <c r="BL1181" i="2"/>
  <c r="BK1181" i="2"/>
  <c r="BJ1181" i="2"/>
  <c r="BI1181" i="2"/>
  <c r="BH1181" i="2"/>
  <c r="BG1181" i="2"/>
  <c r="BF1181" i="2"/>
  <c r="BE1181" i="2"/>
  <c r="BD1181" i="2"/>
  <c r="BC1181" i="2"/>
  <c r="BB1181" i="2"/>
  <c r="BA1181" i="2"/>
  <c r="AZ1181" i="2"/>
  <c r="AY1181" i="2"/>
  <c r="AX1181" i="2"/>
  <c r="AW1181" i="2"/>
  <c r="CA1180" i="2"/>
  <c r="BY1180" i="2"/>
  <c r="BX1180" i="2"/>
  <c r="BW1180" i="2"/>
  <c r="BV1180" i="2"/>
  <c r="BU1180" i="2"/>
  <c r="BT1180" i="2"/>
  <c r="BS1180" i="2"/>
  <c r="BR1180" i="2"/>
  <c r="BQ1180" i="2"/>
  <c r="BP1180" i="2"/>
  <c r="BO1180" i="2"/>
  <c r="BN1180" i="2"/>
  <c r="BM1180" i="2"/>
  <c r="BL1180" i="2"/>
  <c r="BK1180" i="2"/>
  <c r="BJ1180" i="2"/>
  <c r="BI1180" i="2"/>
  <c r="BH1180" i="2"/>
  <c r="BG1180" i="2"/>
  <c r="BF1180" i="2"/>
  <c r="BE1180" i="2"/>
  <c r="BD1180" i="2"/>
  <c r="BC1180" i="2"/>
  <c r="BB1180" i="2"/>
  <c r="BA1180" i="2"/>
  <c r="AZ1180" i="2"/>
  <c r="AY1180" i="2"/>
  <c r="AX1180" i="2"/>
  <c r="AW1180" i="2"/>
  <c r="CA1179" i="2"/>
  <c r="BY1179" i="2"/>
  <c r="BX1179" i="2"/>
  <c r="BW1179" i="2"/>
  <c r="BV1179" i="2"/>
  <c r="BU1179" i="2"/>
  <c r="BT1179" i="2"/>
  <c r="BS1179" i="2"/>
  <c r="BR1179" i="2"/>
  <c r="BQ1179" i="2"/>
  <c r="BP1179" i="2"/>
  <c r="BO1179" i="2"/>
  <c r="BN1179" i="2"/>
  <c r="BM1179" i="2"/>
  <c r="BL1179" i="2"/>
  <c r="BK1179" i="2"/>
  <c r="BJ1179" i="2"/>
  <c r="BI1179" i="2"/>
  <c r="BH1179" i="2"/>
  <c r="BG1179" i="2"/>
  <c r="BF1179" i="2"/>
  <c r="BE1179" i="2"/>
  <c r="BD1179" i="2"/>
  <c r="BC1179" i="2"/>
  <c r="BB1179" i="2"/>
  <c r="BA1179" i="2"/>
  <c r="AZ1179" i="2"/>
  <c r="AY1179" i="2"/>
  <c r="AX1179" i="2"/>
  <c r="AW1179" i="2"/>
  <c r="CA1178" i="2"/>
  <c r="BY1178" i="2"/>
  <c r="BX1178" i="2"/>
  <c r="BW1178" i="2"/>
  <c r="BV1178" i="2"/>
  <c r="BU1178" i="2"/>
  <c r="BT1178" i="2"/>
  <c r="BS1178" i="2"/>
  <c r="BR1178" i="2"/>
  <c r="BQ1178" i="2"/>
  <c r="BP1178" i="2"/>
  <c r="BO1178" i="2"/>
  <c r="BN1178" i="2"/>
  <c r="BM1178" i="2"/>
  <c r="BL1178" i="2"/>
  <c r="BK1178" i="2"/>
  <c r="BJ1178" i="2"/>
  <c r="BI1178" i="2"/>
  <c r="BH1178" i="2"/>
  <c r="BG1178" i="2"/>
  <c r="BF1178" i="2"/>
  <c r="BE1178" i="2"/>
  <c r="BD1178" i="2"/>
  <c r="BC1178" i="2"/>
  <c r="BB1178" i="2"/>
  <c r="BA1178" i="2"/>
  <c r="AZ1178" i="2"/>
  <c r="AY1178" i="2"/>
  <c r="AX1178" i="2"/>
  <c r="AW1178" i="2"/>
  <c r="CA1177" i="2"/>
  <c r="BY1177" i="2"/>
  <c r="BX1177" i="2"/>
  <c r="BW1177" i="2"/>
  <c r="BV1177" i="2"/>
  <c r="BU1177" i="2"/>
  <c r="BT1177" i="2"/>
  <c r="BS1177" i="2"/>
  <c r="BR1177" i="2"/>
  <c r="BQ1177" i="2"/>
  <c r="BP1177" i="2"/>
  <c r="BO1177" i="2"/>
  <c r="BN1177" i="2"/>
  <c r="BM1177" i="2"/>
  <c r="BL1177" i="2"/>
  <c r="BK1177" i="2"/>
  <c r="BJ1177" i="2"/>
  <c r="BI1177" i="2"/>
  <c r="BH1177" i="2"/>
  <c r="BG1177" i="2"/>
  <c r="BF1177" i="2"/>
  <c r="BE1177" i="2"/>
  <c r="BD1177" i="2"/>
  <c r="BC1177" i="2"/>
  <c r="BB1177" i="2"/>
  <c r="BA1177" i="2"/>
  <c r="AZ1177" i="2"/>
  <c r="AY1177" i="2"/>
  <c r="AX1177" i="2"/>
  <c r="AW1177" i="2"/>
  <c r="CA1176" i="2"/>
  <c r="BY1176" i="2"/>
  <c r="BX1176" i="2"/>
  <c r="BW1176" i="2"/>
  <c r="BV1176" i="2"/>
  <c r="BU1176" i="2"/>
  <c r="BT1176" i="2"/>
  <c r="BS1176" i="2"/>
  <c r="BR1176" i="2"/>
  <c r="BQ1176" i="2"/>
  <c r="BP1176" i="2"/>
  <c r="BO1176" i="2"/>
  <c r="BN1176" i="2"/>
  <c r="BM1176" i="2"/>
  <c r="BL1176" i="2"/>
  <c r="BK1176" i="2"/>
  <c r="BJ1176" i="2"/>
  <c r="BI1176" i="2"/>
  <c r="BH1176" i="2"/>
  <c r="BG1176" i="2"/>
  <c r="BF1176" i="2"/>
  <c r="BE1176" i="2"/>
  <c r="BD1176" i="2"/>
  <c r="BC1176" i="2"/>
  <c r="BB1176" i="2"/>
  <c r="BA1176" i="2"/>
  <c r="AZ1176" i="2"/>
  <c r="AY1176" i="2"/>
  <c r="AX1176" i="2"/>
  <c r="AW1176" i="2"/>
  <c r="CA1175" i="2"/>
  <c r="BY1175" i="2"/>
  <c r="BX1175" i="2"/>
  <c r="BW1175" i="2"/>
  <c r="BV1175" i="2"/>
  <c r="BU1175" i="2"/>
  <c r="BT1175" i="2"/>
  <c r="BS1175" i="2"/>
  <c r="BR1175" i="2"/>
  <c r="BQ1175" i="2"/>
  <c r="BP1175" i="2"/>
  <c r="BO1175" i="2"/>
  <c r="BN1175" i="2"/>
  <c r="BM1175" i="2"/>
  <c r="BL1175" i="2"/>
  <c r="BK1175" i="2"/>
  <c r="BJ1175" i="2"/>
  <c r="BI1175" i="2"/>
  <c r="BH1175" i="2"/>
  <c r="BG1175" i="2"/>
  <c r="BF1175" i="2"/>
  <c r="BE1175" i="2"/>
  <c r="BD1175" i="2"/>
  <c r="BC1175" i="2"/>
  <c r="BB1175" i="2"/>
  <c r="BA1175" i="2"/>
  <c r="AZ1175" i="2"/>
  <c r="AY1175" i="2"/>
  <c r="AX1175" i="2"/>
  <c r="AW1175" i="2"/>
  <c r="CA1174" i="2"/>
  <c r="BY1174" i="2"/>
  <c r="BX1174" i="2"/>
  <c r="BW1174" i="2"/>
  <c r="BV1174" i="2"/>
  <c r="BU1174" i="2"/>
  <c r="BT1174" i="2"/>
  <c r="BS1174" i="2"/>
  <c r="BR1174" i="2"/>
  <c r="BQ1174" i="2"/>
  <c r="BP1174" i="2"/>
  <c r="BO1174" i="2"/>
  <c r="BN1174" i="2"/>
  <c r="BM1174" i="2"/>
  <c r="BL1174" i="2"/>
  <c r="BK1174" i="2"/>
  <c r="BJ1174" i="2"/>
  <c r="BI1174" i="2"/>
  <c r="BH1174" i="2"/>
  <c r="BG1174" i="2"/>
  <c r="BF1174" i="2"/>
  <c r="BE1174" i="2"/>
  <c r="BD1174" i="2"/>
  <c r="BC1174" i="2"/>
  <c r="BB1174" i="2"/>
  <c r="BA1174" i="2"/>
  <c r="AZ1174" i="2"/>
  <c r="AY1174" i="2"/>
  <c r="AX1174" i="2"/>
  <c r="AW1174" i="2"/>
  <c r="CA1173" i="2"/>
  <c r="BY1173" i="2"/>
  <c r="BX1173" i="2"/>
  <c r="BW1173" i="2"/>
  <c r="BV1173" i="2"/>
  <c r="BU1173" i="2"/>
  <c r="BT1173" i="2"/>
  <c r="BS1173" i="2"/>
  <c r="BR1173" i="2"/>
  <c r="BQ1173" i="2"/>
  <c r="BP1173" i="2"/>
  <c r="BO1173" i="2"/>
  <c r="BN1173" i="2"/>
  <c r="BM1173" i="2"/>
  <c r="BL1173" i="2"/>
  <c r="BK1173" i="2"/>
  <c r="BJ1173" i="2"/>
  <c r="BI1173" i="2"/>
  <c r="BH1173" i="2"/>
  <c r="BG1173" i="2"/>
  <c r="BF1173" i="2"/>
  <c r="BE1173" i="2"/>
  <c r="BD1173" i="2"/>
  <c r="BC1173" i="2"/>
  <c r="BB1173" i="2"/>
  <c r="BA1173" i="2"/>
  <c r="AZ1173" i="2"/>
  <c r="AY1173" i="2"/>
  <c r="AX1173" i="2"/>
  <c r="AW1173" i="2"/>
  <c r="CA1172" i="2"/>
  <c r="BY1172" i="2"/>
  <c r="BX1172" i="2"/>
  <c r="BW1172" i="2"/>
  <c r="BV1172" i="2"/>
  <c r="BU1172" i="2"/>
  <c r="BT1172" i="2"/>
  <c r="BS1172" i="2"/>
  <c r="BR1172" i="2"/>
  <c r="BQ1172" i="2"/>
  <c r="BP1172" i="2"/>
  <c r="BO1172" i="2"/>
  <c r="BN1172" i="2"/>
  <c r="BM1172" i="2"/>
  <c r="BL1172" i="2"/>
  <c r="BK1172" i="2"/>
  <c r="BJ1172" i="2"/>
  <c r="BI1172" i="2"/>
  <c r="BH1172" i="2"/>
  <c r="BG1172" i="2"/>
  <c r="BF1172" i="2"/>
  <c r="BE1172" i="2"/>
  <c r="BD1172" i="2"/>
  <c r="BC1172" i="2"/>
  <c r="BB1172" i="2"/>
  <c r="BA1172" i="2"/>
  <c r="AZ1172" i="2"/>
  <c r="AY1172" i="2"/>
  <c r="AX1172" i="2"/>
  <c r="AW1172" i="2"/>
  <c r="CA1171" i="2"/>
  <c r="BY1171" i="2"/>
  <c r="BX1171" i="2"/>
  <c r="BW1171" i="2"/>
  <c r="BV1171" i="2"/>
  <c r="BU1171" i="2"/>
  <c r="BT1171" i="2"/>
  <c r="BS1171" i="2"/>
  <c r="BR1171" i="2"/>
  <c r="BQ1171" i="2"/>
  <c r="BP1171" i="2"/>
  <c r="BO1171" i="2"/>
  <c r="BN1171" i="2"/>
  <c r="BM1171" i="2"/>
  <c r="BL1171" i="2"/>
  <c r="BK1171" i="2"/>
  <c r="BJ1171" i="2"/>
  <c r="BI1171" i="2"/>
  <c r="BH1171" i="2"/>
  <c r="BG1171" i="2"/>
  <c r="BF1171" i="2"/>
  <c r="BE1171" i="2"/>
  <c r="BD1171" i="2"/>
  <c r="BC1171" i="2"/>
  <c r="BB1171" i="2"/>
  <c r="BA1171" i="2"/>
  <c r="AZ1171" i="2"/>
  <c r="AY1171" i="2"/>
  <c r="AX1171" i="2"/>
  <c r="AW1171" i="2"/>
  <c r="CA1170" i="2"/>
  <c r="BY1170" i="2"/>
  <c r="BX1170" i="2"/>
  <c r="BW1170" i="2"/>
  <c r="BV1170" i="2"/>
  <c r="BU1170" i="2"/>
  <c r="BT1170" i="2"/>
  <c r="BS1170" i="2"/>
  <c r="BR1170" i="2"/>
  <c r="BQ1170" i="2"/>
  <c r="BP1170" i="2"/>
  <c r="BO1170" i="2"/>
  <c r="BN1170" i="2"/>
  <c r="BM1170" i="2"/>
  <c r="BL1170" i="2"/>
  <c r="BK1170" i="2"/>
  <c r="BJ1170" i="2"/>
  <c r="BI1170" i="2"/>
  <c r="BH1170" i="2"/>
  <c r="BG1170" i="2"/>
  <c r="BF1170" i="2"/>
  <c r="BE1170" i="2"/>
  <c r="BD1170" i="2"/>
  <c r="BC1170" i="2"/>
  <c r="BB1170" i="2"/>
  <c r="BA1170" i="2"/>
  <c r="AZ1170" i="2"/>
  <c r="AY1170" i="2"/>
  <c r="AX1170" i="2"/>
  <c r="AW1170" i="2"/>
  <c r="CA1169" i="2"/>
  <c r="BY1169" i="2"/>
  <c r="BX1169" i="2"/>
  <c r="BW1169" i="2"/>
  <c r="BV1169" i="2"/>
  <c r="BU1169" i="2"/>
  <c r="BT1169" i="2"/>
  <c r="BS1169" i="2"/>
  <c r="BR1169" i="2"/>
  <c r="BQ1169" i="2"/>
  <c r="BP1169" i="2"/>
  <c r="BO1169" i="2"/>
  <c r="BN1169" i="2"/>
  <c r="BM1169" i="2"/>
  <c r="BL1169" i="2"/>
  <c r="BK1169" i="2"/>
  <c r="BJ1169" i="2"/>
  <c r="BI1169" i="2"/>
  <c r="BH1169" i="2"/>
  <c r="BG1169" i="2"/>
  <c r="BF1169" i="2"/>
  <c r="BE1169" i="2"/>
  <c r="BD1169" i="2"/>
  <c r="BC1169" i="2"/>
  <c r="BB1169" i="2"/>
  <c r="BA1169" i="2"/>
  <c r="AZ1169" i="2"/>
  <c r="AY1169" i="2"/>
  <c r="AX1169" i="2"/>
  <c r="AW1169" i="2"/>
  <c r="CA1168" i="2"/>
  <c r="BY1168" i="2"/>
  <c r="BX1168" i="2"/>
  <c r="BW1168" i="2"/>
  <c r="BV1168" i="2"/>
  <c r="BU1168" i="2"/>
  <c r="BT1168" i="2"/>
  <c r="BS1168" i="2"/>
  <c r="BR1168" i="2"/>
  <c r="BQ1168" i="2"/>
  <c r="BP1168" i="2"/>
  <c r="BO1168" i="2"/>
  <c r="BN1168" i="2"/>
  <c r="BM1168" i="2"/>
  <c r="BL1168" i="2"/>
  <c r="BK1168" i="2"/>
  <c r="BJ1168" i="2"/>
  <c r="BI1168" i="2"/>
  <c r="BH1168" i="2"/>
  <c r="BG1168" i="2"/>
  <c r="BF1168" i="2"/>
  <c r="BE1168" i="2"/>
  <c r="BD1168" i="2"/>
  <c r="BC1168" i="2"/>
  <c r="BB1168" i="2"/>
  <c r="BA1168" i="2"/>
  <c r="AZ1168" i="2"/>
  <c r="AY1168" i="2"/>
  <c r="AX1168" i="2"/>
  <c r="AW1168" i="2"/>
  <c r="CA1167" i="2"/>
  <c r="BY1167" i="2"/>
  <c r="BX1167" i="2"/>
  <c r="BW1167" i="2"/>
  <c r="BV1167" i="2"/>
  <c r="BU1167" i="2"/>
  <c r="BT1167" i="2"/>
  <c r="BS1167" i="2"/>
  <c r="BR1167" i="2"/>
  <c r="BQ1167" i="2"/>
  <c r="BP1167" i="2"/>
  <c r="BO1167" i="2"/>
  <c r="BN1167" i="2"/>
  <c r="BM1167" i="2"/>
  <c r="BL1167" i="2"/>
  <c r="BK1167" i="2"/>
  <c r="BJ1167" i="2"/>
  <c r="BI1167" i="2"/>
  <c r="BH1167" i="2"/>
  <c r="BG1167" i="2"/>
  <c r="BF1167" i="2"/>
  <c r="BE1167" i="2"/>
  <c r="BD1167" i="2"/>
  <c r="BC1167" i="2"/>
  <c r="BB1167" i="2"/>
  <c r="BA1167" i="2"/>
  <c r="AZ1167" i="2"/>
  <c r="AY1167" i="2"/>
  <c r="AX1167" i="2"/>
  <c r="AW1167" i="2"/>
  <c r="CA1166" i="2"/>
  <c r="BY1166" i="2"/>
  <c r="BX1166" i="2"/>
  <c r="BW1166" i="2"/>
  <c r="BV1166" i="2"/>
  <c r="BU1166" i="2"/>
  <c r="BT1166" i="2"/>
  <c r="BS1166" i="2"/>
  <c r="BR1166" i="2"/>
  <c r="BQ1166" i="2"/>
  <c r="BP1166" i="2"/>
  <c r="BO1166" i="2"/>
  <c r="BN1166" i="2"/>
  <c r="BM1166" i="2"/>
  <c r="BL1166" i="2"/>
  <c r="BK1166" i="2"/>
  <c r="BJ1166" i="2"/>
  <c r="BI1166" i="2"/>
  <c r="BH1166" i="2"/>
  <c r="BG1166" i="2"/>
  <c r="BF1166" i="2"/>
  <c r="BE1166" i="2"/>
  <c r="BD1166" i="2"/>
  <c r="BC1166" i="2"/>
  <c r="BB1166" i="2"/>
  <c r="BA1166" i="2"/>
  <c r="AZ1166" i="2"/>
  <c r="AY1166" i="2"/>
  <c r="AX1166" i="2"/>
  <c r="AW1166" i="2"/>
  <c r="CA1165" i="2"/>
  <c r="BY1165" i="2"/>
  <c r="BX1165" i="2"/>
  <c r="BW1165" i="2"/>
  <c r="BV1165" i="2"/>
  <c r="BU1165" i="2"/>
  <c r="BT1165" i="2"/>
  <c r="BS1165" i="2"/>
  <c r="BR1165" i="2"/>
  <c r="BQ1165" i="2"/>
  <c r="BP1165" i="2"/>
  <c r="BO1165" i="2"/>
  <c r="BN1165" i="2"/>
  <c r="BM1165" i="2"/>
  <c r="BL1165" i="2"/>
  <c r="BK1165" i="2"/>
  <c r="BJ1165" i="2"/>
  <c r="BI1165" i="2"/>
  <c r="BH1165" i="2"/>
  <c r="BG1165" i="2"/>
  <c r="BF1165" i="2"/>
  <c r="BE1165" i="2"/>
  <c r="BD1165" i="2"/>
  <c r="BC1165" i="2"/>
  <c r="BB1165" i="2"/>
  <c r="BA1165" i="2"/>
  <c r="AZ1165" i="2"/>
  <c r="AY1165" i="2"/>
  <c r="AX1165" i="2"/>
  <c r="AW1165" i="2"/>
  <c r="CA1164" i="2"/>
  <c r="BY1164" i="2"/>
  <c r="BX1164" i="2"/>
  <c r="BW1164" i="2"/>
  <c r="BV1164" i="2"/>
  <c r="BU1164" i="2"/>
  <c r="BT1164" i="2"/>
  <c r="BS1164" i="2"/>
  <c r="BR1164" i="2"/>
  <c r="BQ1164" i="2"/>
  <c r="BP1164" i="2"/>
  <c r="BO1164" i="2"/>
  <c r="BN1164" i="2"/>
  <c r="BM1164" i="2"/>
  <c r="BL1164" i="2"/>
  <c r="BK1164" i="2"/>
  <c r="BJ1164" i="2"/>
  <c r="BI1164" i="2"/>
  <c r="BH1164" i="2"/>
  <c r="BG1164" i="2"/>
  <c r="BF1164" i="2"/>
  <c r="BE1164" i="2"/>
  <c r="BD1164" i="2"/>
  <c r="BC1164" i="2"/>
  <c r="BB1164" i="2"/>
  <c r="BA1164" i="2"/>
  <c r="AZ1164" i="2"/>
  <c r="AY1164" i="2"/>
  <c r="AX1164" i="2"/>
  <c r="AW1164" i="2"/>
  <c r="CA1163" i="2"/>
  <c r="BY1163" i="2"/>
  <c r="BX1163" i="2"/>
  <c r="BW1163" i="2"/>
  <c r="BV1163" i="2"/>
  <c r="BU1163" i="2"/>
  <c r="BT1163" i="2"/>
  <c r="BS1163" i="2"/>
  <c r="BR1163" i="2"/>
  <c r="BQ1163" i="2"/>
  <c r="BP1163" i="2"/>
  <c r="BO1163" i="2"/>
  <c r="BN1163" i="2"/>
  <c r="BM1163" i="2"/>
  <c r="BL1163" i="2"/>
  <c r="BK1163" i="2"/>
  <c r="BJ1163" i="2"/>
  <c r="BI1163" i="2"/>
  <c r="BH1163" i="2"/>
  <c r="BG1163" i="2"/>
  <c r="BF1163" i="2"/>
  <c r="BE1163" i="2"/>
  <c r="BD1163" i="2"/>
  <c r="BC1163" i="2"/>
  <c r="BB1163" i="2"/>
  <c r="BA1163" i="2"/>
  <c r="AZ1163" i="2"/>
  <c r="AY1163" i="2"/>
  <c r="AX1163" i="2"/>
  <c r="AW1163" i="2"/>
  <c r="CA1162" i="2"/>
  <c r="BY1162" i="2"/>
  <c r="BX1162" i="2"/>
  <c r="BW1162" i="2"/>
  <c r="BV1162" i="2"/>
  <c r="BU1162" i="2"/>
  <c r="BT1162" i="2"/>
  <c r="BS1162" i="2"/>
  <c r="BR1162" i="2"/>
  <c r="BQ1162" i="2"/>
  <c r="BP1162" i="2"/>
  <c r="BO1162" i="2"/>
  <c r="BN1162" i="2"/>
  <c r="BM1162" i="2"/>
  <c r="BL1162" i="2"/>
  <c r="BK1162" i="2"/>
  <c r="BJ1162" i="2"/>
  <c r="BI1162" i="2"/>
  <c r="BH1162" i="2"/>
  <c r="BG1162" i="2"/>
  <c r="BF1162" i="2"/>
  <c r="BE1162" i="2"/>
  <c r="BD1162" i="2"/>
  <c r="BC1162" i="2"/>
  <c r="BB1162" i="2"/>
  <c r="BA1162" i="2"/>
  <c r="AZ1162" i="2"/>
  <c r="AY1162" i="2"/>
  <c r="AX1162" i="2"/>
  <c r="AW1162" i="2"/>
  <c r="CA1161" i="2"/>
  <c r="BY1161" i="2"/>
  <c r="BX1161" i="2"/>
  <c r="BW1161" i="2"/>
  <c r="BV1161" i="2"/>
  <c r="BU1161" i="2"/>
  <c r="BT1161" i="2"/>
  <c r="BS1161" i="2"/>
  <c r="BR1161" i="2"/>
  <c r="BQ1161" i="2"/>
  <c r="BP1161" i="2"/>
  <c r="BO1161" i="2"/>
  <c r="BN1161" i="2"/>
  <c r="BM1161" i="2"/>
  <c r="BL1161" i="2"/>
  <c r="BK1161" i="2"/>
  <c r="BJ1161" i="2"/>
  <c r="BI1161" i="2"/>
  <c r="BH1161" i="2"/>
  <c r="BG1161" i="2"/>
  <c r="BF1161" i="2"/>
  <c r="BE1161" i="2"/>
  <c r="BD1161" i="2"/>
  <c r="BC1161" i="2"/>
  <c r="BB1161" i="2"/>
  <c r="BA1161" i="2"/>
  <c r="AZ1161" i="2"/>
  <c r="AY1161" i="2"/>
  <c r="AX1161" i="2"/>
  <c r="AW1161" i="2"/>
  <c r="CA1160" i="2"/>
  <c r="BY1160" i="2"/>
  <c r="BX1160" i="2"/>
  <c r="BW1160" i="2"/>
  <c r="BV1160" i="2"/>
  <c r="BU1160" i="2"/>
  <c r="BT1160" i="2"/>
  <c r="BS1160" i="2"/>
  <c r="BR1160" i="2"/>
  <c r="BQ1160" i="2"/>
  <c r="BP1160" i="2"/>
  <c r="BO1160" i="2"/>
  <c r="BN1160" i="2"/>
  <c r="BM1160" i="2"/>
  <c r="BL1160" i="2"/>
  <c r="BK1160" i="2"/>
  <c r="BJ1160" i="2"/>
  <c r="BI1160" i="2"/>
  <c r="BH1160" i="2"/>
  <c r="BG1160" i="2"/>
  <c r="BF1160" i="2"/>
  <c r="BE1160" i="2"/>
  <c r="BD1160" i="2"/>
  <c r="BC1160" i="2"/>
  <c r="BB1160" i="2"/>
  <c r="BA1160" i="2"/>
  <c r="AZ1160" i="2"/>
  <c r="AY1160" i="2"/>
  <c r="AX1160" i="2"/>
  <c r="AW1160" i="2"/>
  <c r="CA1159" i="2"/>
  <c r="BY1159" i="2"/>
  <c r="BX1159" i="2"/>
  <c r="BW1159" i="2"/>
  <c r="BV1159" i="2"/>
  <c r="BU1159" i="2"/>
  <c r="BT1159" i="2"/>
  <c r="BS1159" i="2"/>
  <c r="BR1159" i="2"/>
  <c r="BQ1159" i="2"/>
  <c r="BP1159" i="2"/>
  <c r="BO1159" i="2"/>
  <c r="BN1159" i="2"/>
  <c r="BM1159" i="2"/>
  <c r="BL1159" i="2"/>
  <c r="BK1159" i="2"/>
  <c r="BJ1159" i="2"/>
  <c r="BI1159" i="2"/>
  <c r="BH1159" i="2"/>
  <c r="BG1159" i="2"/>
  <c r="BF1159" i="2"/>
  <c r="BE1159" i="2"/>
  <c r="BD1159" i="2"/>
  <c r="BC1159" i="2"/>
  <c r="BB1159" i="2"/>
  <c r="BA1159" i="2"/>
  <c r="AZ1159" i="2"/>
  <c r="AY1159" i="2"/>
  <c r="AX1159" i="2"/>
  <c r="AW1159" i="2"/>
  <c r="CA1158" i="2"/>
  <c r="BY1158" i="2"/>
  <c r="BX1158" i="2"/>
  <c r="BW1158" i="2"/>
  <c r="BV1158" i="2"/>
  <c r="BU1158" i="2"/>
  <c r="BT1158" i="2"/>
  <c r="BS1158" i="2"/>
  <c r="BR1158" i="2"/>
  <c r="BQ1158" i="2"/>
  <c r="BP1158" i="2"/>
  <c r="BO1158" i="2"/>
  <c r="BN1158" i="2"/>
  <c r="BM1158" i="2"/>
  <c r="BL1158" i="2"/>
  <c r="BK1158" i="2"/>
  <c r="BJ1158" i="2"/>
  <c r="BI1158" i="2"/>
  <c r="BH1158" i="2"/>
  <c r="BG1158" i="2"/>
  <c r="BF1158" i="2"/>
  <c r="BE1158" i="2"/>
  <c r="BD1158" i="2"/>
  <c r="BC1158" i="2"/>
  <c r="BB1158" i="2"/>
  <c r="BA1158" i="2"/>
  <c r="AZ1158" i="2"/>
  <c r="AY1158" i="2"/>
  <c r="AX1158" i="2"/>
  <c r="AW1158" i="2"/>
  <c r="CA1157" i="2"/>
  <c r="BY1157" i="2"/>
  <c r="BX1157" i="2"/>
  <c r="BW1157" i="2"/>
  <c r="BV1157" i="2"/>
  <c r="BU1157" i="2"/>
  <c r="BT1157" i="2"/>
  <c r="BS1157" i="2"/>
  <c r="BR1157" i="2"/>
  <c r="BQ1157" i="2"/>
  <c r="BP1157" i="2"/>
  <c r="BO1157" i="2"/>
  <c r="BN1157" i="2"/>
  <c r="BM1157" i="2"/>
  <c r="BL1157" i="2"/>
  <c r="BK1157" i="2"/>
  <c r="BJ1157" i="2"/>
  <c r="BI1157" i="2"/>
  <c r="BH1157" i="2"/>
  <c r="BG1157" i="2"/>
  <c r="BF1157" i="2"/>
  <c r="BE1157" i="2"/>
  <c r="BD1157" i="2"/>
  <c r="BC1157" i="2"/>
  <c r="BB1157" i="2"/>
  <c r="BA1157" i="2"/>
  <c r="AZ1157" i="2"/>
  <c r="AY1157" i="2"/>
  <c r="AX1157" i="2"/>
  <c r="AW1157" i="2"/>
  <c r="CA1156" i="2"/>
  <c r="BY1156" i="2"/>
  <c r="BX1156" i="2"/>
  <c r="BW1156" i="2"/>
  <c r="BV1156" i="2"/>
  <c r="BU1156" i="2"/>
  <c r="BT1156" i="2"/>
  <c r="BS1156" i="2"/>
  <c r="BR1156" i="2"/>
  <c r="BQ1156" i="2"/>
  <c r="BP1156" i="2"/>
  <c r="BO1156" i="2"/>
  <c r="BN1156" i="2"/>
  <c r="BM1156" i="2"/>
  <c r="BL1156" i="2"/>
  <c r="BK1156" i="2"/>
  <c r="BJ1156" i="2"/>
  <c r="BI1156" i="2"/>
  <c r="BH1156" i="2"/>
  <c r="BG1156" i="2"/>
  <c r="BF1156" i="2"/>
  <c r="BE1156" i="2"/>
  <c r="BD1156" i="2"/>
  <c r="BC1156" i="2"/>
  <c r="BB1156" i="2"/>
  <c r="BA1156" i="2"/>
  <c r="AZ1156" i="2"/>
  <c r="AY1156" i="2"/>
  <c r="AX1156" i="2"/>
  <c r="AW1156" i="2"/>
  <c r="CA1155" i="2"/>
  <c r="BY1155" i="2"/>
  <c r="BX1155" i="2"/>
  <c r="BW1155" i="2"/>
  <c r="BV1155" i="2"/>
  <c r="BU1155" i="2"/>
  <c r="BT1155" i="2"/>
  <c r="BS1155" i="2"/>
  <c r="BR1155" i="2"/>
  <c r="BQ1155" i="2"/>
  <c r="BP1155" i="2"/>
  <c r="BO1155" i="2"/>
  <c r="BN1155" i="2"/>
  <c r="BM1155" i="2"/>
  <c r="BL1155" i="2"/>
  <c r="BK1155" i="2"/>
  <c r="BJ1155" i="2"/>
  <c r="BI1155" i="2"/>
  <c r="BH1155" i="2"/>
  <c r="BG1155" i="2"/>
  <c r="BF1155" i="2"/>
  <c r="BE1155" i="2"/>
  <c r="BD1155" i="2"/>
  <c r="BC1155" i="2"/>
  <c r="BB1155" i="2"/>
  <c r="BA1155" i="2"/>
  <c r="AZ1155" i="2"/>
  <c r="AY1155" i="2"/>
  <c r="AX1155" i="2"/>
  <c r="AW1155" i="2"/>
  <c r="CA1154" i="2"/>
  <c r="BY1154" i="2"/>
  <c r="BX1154" i="2"/>
  <c r="BW1154" i="2"/>
  <c r="BV1154" i="2"/>
  <c r="BU1154" i="2"/>
  <c r="BT1154" i="2"/>
  <c r="BS1154" i="2"/>
  <c r="BR1154" i="2"/>
  <c r="BQ1154" i="2"/>
  <c r="BP1154" i="2"/>
  <c r="BO1154" i="2"/>
  <c r="BN1154" i="2"/>
  <c r="BM1154" i="2"/>
  <c r="BL1154" i="2"/>
  <c r="BK1154" i="2"/>
  <c r="BJ1154" i="2"/>
  <c r="BI1154" i="2"/>
  <c r="BH1154" i="2"/>
  <c r="BG1154" i="2"/>
  <c r="BF1154" i="2"/>
  <c r="BE1154" i="2"/>
  <c r="BD1154" i="2"/>
  <c r="BC1154" i="2"/>
  <c r="BB1154" i="2"/>
  <c r="BA1154" i="2"/>
  <c r="AZ1154" i="2"/>
  <c r="AY1154" i="2"/>
  <c r="AX1154" i="2"/>
  <c r="AW1154" i="2"/>
  <c r="CA1153" i="2"/>
  <c r="BY1153" i="2"/>
  <c r="BX1153" i="2"/>
  <c r="BW1153" i="2"/>
  <c r="BV1153" i="2"/>
  <c r="BU1153" i="2"/>
  <c r="BT1153" i="2"/>
  <c r="BS1153" i="2"/>
  <c r="BR1153" i="2"/>
  <c r="BQ1153" i="2"/>
  <c r="BP1153" i="2"/>
  <c r="BO1153" i="2"/>
  <c r="BN1153" i="2"/>
  <c r="BM1153" i="2"/>
  <c r="BL1153" i="2"/>
  <c r="BK1153" i="2"/>
  <c r="BJ1153" i="2"/>
  <c r="BI1153" i="2"/>
  <c r="BH1153" i="2"/>
  <c r="BG1153" i="2"/>
  <c r="BF1153" i="2"/>
  <c r="BE1153" i="2"/>
  <c r="BD1153" i="2"/>
  <c r="BC1153" i="2"/>
  <c r="BB1153" i="2"/>
  <c r="BA1153" i="2"/>
  <c r="AZ1153" i="2"/>
  <c r="AY1153" i="2"/>
  <c r="AX1153" i="2"/>
  <c r="AW1153" i="2"/>
  <c r="CA1152" i="2"/>
  <c r="BY1152" i="2"/>
  <c r="BX1152" i="2"/>
  <c r="BW1152" i="2"/>
  <c r="BV1152" i="2"/>
  <c r="BU1152" i="2"/>
  <c r="BT1152" i="2"/>
  <c r="BS1152" i="2"/>
  <c r="BR1152" i="2"/>
  <c r="BQ1152" i="2"/>
  <c r="BP1152" i="2"/>
  <c r="BO1152" i="2"/>
  <c r="BN1152" i="2"/>
  <c r="BM1152" i="2"/>
  <c r="BL1152" i="2"/>
  <c r="BK1152" i="2"/>
  <c r="BJ1152" i="2"/>
  <c r="BI1152" i="2"/>
  <c r="BH1152" i="2"/>
  <c r="BG1152" i="2"/>
  <c r="BF1152" i="2"/>
  <c r="BE1152" i="2"/>
  <c r="BD1152" i="2"/>
  <c r="BC1152" i="2"/>
  <c r="BB1152" i="2"/>
  <c r="BA1152" i="2"/>
  <c r="AZ1152" i="2"/>
  <c r="AY1152" i="2"/>
  <c r="AX1152" i="2"/>
  <c r="AW1152" i="2"/>
  <c r="CA1151" i="2"/>
  <c r="BY1151" i="2"/>
  <c r="BX1151" i="2"/>
  <c r="BW1151" i="2"/>
  <c r="BV1151" i="2"/>
  <c r="BU1151" i="2"/>
  <c r="BT1151" i="2"/>
  <c r="BS1151" i="2"/>
  <c r="BR1151" i="2"/>
  <c r="BQ1151" i="2"/>
  <c r="BP1151" i="2"/>
  <c r="BO1151" i="2"/>
  <c r="BN1151" i="2"/>
  <c r="BM1151" i="2"/>
  <c r="BL1151" i="2"/>
  <c r="BK1151" i="2"/>
  <c r="BJ1151" i="2"/>
  <c r="BI1151" i="2"/>
  <c r="BH1151" i="2"/>
  <c r="BG1151" i="2"/>
  <c r="BF1151" i="2"/>
  <c r="BE1151" i="2"/>
  <c r="BD1151" i="2"/>
  <c r="BC1151" i="2"/>
  <c r="BB1151" i="2"/>
  <c r="BA1151" i="2"/>
  <c r="AZ1151" i="2"/>
  <c r="AY1151" i="2"/>
  <c r="AX1151" i="2"/>
  <c r="AW1151" i="2"/>
  <c r="CA1150" i="2"/>
  <c r="BY1150" i="2"/>
  <c r="BX1150" i="2"/>
  <c r="BW1150" i="2"/>
  <c r="BV1150" i="2"/>
  <c r="BU1150" i="2"/>
  <c r="BT1150" i="2"/>
  <c r="BS1150" i="2"/>
  <c r="BR1150" i="2"/>
  <c r="BQ1150" i="2"/>
  <c r="BP1150" i="2"/>
  <c r="BO1150" i="2"/>
  <c r="BN1150" i="2"/>
  <c r="BM1150" i="2"/>
  <c r="BL1150" i="2"/>
  <c r="BK1150" i="2"/>
  <c r="BJ1150" i="2"/>
  <c r="BI1150" i="2"/>
  <c r="BH1150" i="2"/>
  <c r="BG1150" i="2"/>
  <c r="BF1150" i="2"/>
  <c r="BE1150" i="2"/>
  <c r="BD1150" i="2"/>
  <c r="BC1150" i="2"/>
  <c r="BB1150" i="2"/>
  <c r="BA1150" i="2"/>
  <c r="AZ1150" i="2"/>
  <c r="AY1150" i="2"/>
  <c r="AX1150" i="2"/>
  <c r="AW1150" i="2"/>
  <c r="CA1149" i="2"/>
  <c r="BY1149" i="2"/>
  <c r="BX1149" i="2"/>
  <c r="BW1149" i="2"/>
  <c r="BV1149" i="2"/>
  <c r="BU1149" i="2"/>
  <c r="BT1149" i="2"/>
  <c r="BS1149" i="2"/>
  <c r="BR1149" i="2"/>
  <c r="BQ1149" i="2"/>
  <c r="BP1149" i="2"/>
  <c r="BO1149" i="2"/>
  <c r="BN1149" i="2"/>
  <c r="BM1149" i="2"/>
  <c r="BL1149" i="2"/>
  <c r="BK1149" i="2"/>
  <c r="BJ1149" i="2"/>
  <c r="BI1149" i="2"/>
  <c r="BH1149" i="2"/>
  <c r="BG1149" i="2"/>
  <c r="BF1149" i="2"/>
  <c r="BE1149" i="2"/>
  <c r="BD1149" i="2"/>
  <c r="BC1149" i="2"/>
  <c r="BB1149" i="2"/>
  <c r="BA1149" i="2"/>
  <c r="AZ1149" i="2"/>
  <c r="AY1149" i="2"/>
  <c r="AX1149" i="2"/>
  <c r="AW1149" i="2"/>
  <c r="CA1148" i="2"/>
  <c r="BY1148" i="2"/>
  <c r="BX1148" i="2"/>
  <c r="BW1148" i="2"/>
  <c r="BV1148" i="2"/>
  <c r="BU1148" i="2"/>
  <c r="BT1148" i="2"/>
  <c r="BS1148" i="2"/>
  <c r="BR1148" i="2"/>
  <c r="BQ1148" i="2"/>
  <c r="BP1148" i="2"/>
  <c r="BO1148" i="2"/>
  <c r="BN1148" i="2"/>
  <c r="BM1148" i="2"/>
  <c r="BL1148" i="2"/>
  <c r="BK1148" i="2"/>
  <c r="BJ1148" i="2"/>
  <c r="BI1148" i="2"/>
  <c r="BH1148" i="2"/>
  <c r="BG1148" i="2"/>
  <c r="BF1148" i="2"/>
  <c r="BE1148" i="2"/>
  <c r="BD1148" i="2"/>
  <c r="BC1148" i="2"/>
  <c r="BB1148" i="2"/>
  <c r="BA1148" i="2"/>
  <c r="AZ1148" i="2"/>
  <c r="AY1148" i="2"/>
  <c r="AX1148" i="2"/>
  <c r="AW1148" i="2"/>
  <c r="CA1147" i="2"/>
  <c r="BY1147" i="2"/>
  <c r="BX1147" i="2"/>
  <c r="BW1147" i="2"/>
  <c r="BV1147" i="2"/>
  <c r="BU1147" i="2"/>
  <c r="BT1147" i="2"/>
  <c r="BS1147" i="2"/>
  <c r="BR1147" i="2"/>
  <c r="BQ1147" i="2"/>
  <c r="BP1147" i="2"/>
  <c r="BO1147" i="2"/>
  <c r="BN1147" i="2"/>
  <c r="BM1147" i="2"/>
  <c r="BL1147" i="2"/>
  <c r="BK1147" i="2"/>
  <c r="BJ1147" i="2"/>
  <c r="BI1147" i="2"/>
  <c r="BH1147" i="2"/>
  <c r="BG1147" i="2"/>
  <c r="BF1147" i="2"/>
  <c r="BE1147" i="2"/>
  <c r="BD1147" i="2"/>
  <c r="BC1147" i="2"/>
  <c r="BB1147" i="2"/>
  <c r="BA1147" i="2"/>
  <c r="AZ1147" i="2"/>
  <c r="AY1147" i="2"/>
  <c r="AX1147" i="2"/>
  <c r="AW1147" i="2"/>
  <c r="CA1146" i="2"/>
  <c r="BY1146" i="2"/>
  <c r="BX1146" i="2"/>
  <c r="BW1146" i="2"/>
  <c r="BV1146" i="2"/>
  <c r="BU1146" i="2"/>
  <c r="BT1146" i="2"/>
  <c r="BS1146" i="2"/>
  <c r="BR1146" i="2"/>
  <c r="BQ1146" i="2"/>
  <c r="BP1146" i="2"/>
  <c r="BO1146" i="2"/>
  <c r="BN1146" i="2"/>
  <c r="BM1146" i="2"/>
  <c r="BL1146" i="2"/>
  <c r="BK1146" i="2"/>
  <c r="BJ1146" i="2"/>
  <c r="BI1146" i="2"/>
  <c r="BH1146" i="2"/>
  <c r="BG1146" i="2"/>
  <c r="BF1146" i="2"/>
  <c r="BE1146" i="2"/>
  <c r="BD1146" i="2"/>
  <c r="BC1146" i="2"/>
  <c r="BB1146" i="2"/>
  <c r="BA1146" i="2"/>
  <c r="AZ1146" i="2"/>
  <c r="AY1146" i="2"/>
  <c r="AX1146" i="2"/>
  <c r="AW1146" i="2"/>
  <c r="CA1145" i="2"/>
  <c r="BY1145" i="2"/>
  <c r="BX1145" i="2"/>
  <c r="BW1145" i="2"/>
  <c r="BV1145" i="2"/>
  <c r="BU1145" i="2"/>
  <c r="BT1145" i="2"/>
  <c r="BS1145" i="2"/>
  <c r="BR1145" i="2"/>
  <c r="BQ1145" i="2"/>
  <c r="BP1145" i="2"/>
  <c r="BO1145" i="2"/>
  <c r="BN1145" i="2"/>
  <c r="BM1145" i="2"/>
  <c r="BL1145" i="2"/>
  <c r="BK1145" i="2"/>
  <c r="BJ1145" i="2"/>
  <c r="BI1145" i="2"/>
  <c r="BH1145" i="2"/>
  <c r="BG1145" i="2"/>
  <c r="BF1145" i="2"/>
  <c r="BE1145" i="2"/>
  <c r="BD1145" i="2"/>
  <c r="BC1145" i="2"/>
  <c r="BB1145" i="2"/>
  <c r="BA1145" i="2"/>
  <c r="AZ1145" i="2"/>
  <c r="AY1145" i="2"/>
  <c r="AX1145" i="2"/>
  <c r="AW1145" i="2"/>
  <c r="CA1144" i="2"/>
  <c r="BY1144" i="2"/>
  <c r="BX1144" i="2"/>
  <c r="BW1144" i="2"/>
  <c r="BV1144" i="2"/>
  <c r="BU1144" i="2"/>
  <c r="BT1144" i="2"/>
  <c r="BS1144" i="2"/>
  <c r="BR1144" i="2"/>
  <c r="BQ1144" i="2"/>
  <c r="BP1144" i="2"/>
  <c r="BO1144" i="2"/>
  <c r="BN1144" i="2"/>
  <c r="BM1144" i="2"/>
  <c r="BL1144" i="2"/>
  <c r="BK1144" i="2"/>
  <c r="BJ1144" i="2"/>
  <c r="BI1144" i="2"/>
  <c r="BH1144" i="2"/>
  <c r="BG1144" i="2"/>
  <c r="BF1144" i="2"/>
  <c r="BE1144" i="2"/>
  <c r="BD1144" i="2"/>
  <c r="BC1144" i="2"/>
  <c r="BB1144" i="2"/>
  <c r="BA1144" i="2"/>
  <c r="AZ1144" i="2"/>
  <c r="AY1144" i="2"/>
  <c r="AX1144" i="2"/>
  <c r="AW1144" i="2"/>
  <c r="CA1143" i="2"/>
  <c r="BY1143" i="2"/>
  <c r="BX1143" i="2"/>
  <c r="BW1143" i="2"/>
  <c r="BV1143" i="2"/>
  <c r="BU1143" i="2"/>
  <c r="BT1143" i="2"/>
  <c r="BS1143" i="2"/>
  <c r="BR1143" i="2"/>
  <c r="BQ1143" i="2"/>
  <c r="BP1143" i="2"/>
  <c r="BO1143" i="2"/>
  <c r="BN1143" i="2"/>
  <c r="BM1143" i="2"/>
  <c r="BL1143" i="2"/>
  <c r="BK1143" i="2"/>
  <c r="BJ1143" i="2"/>
  <c r="BI1143" i="2"/>
  <c r="BH1143" i="2"/>
  <c r="BG1143" i="2"/>
  <c r="BF1143" i="2"/>
  <c r="BE1143" i="2"/>
  <c r="BD1143" i="2"/>
  <c r="BC1143" i="2"/>
  <c r="BB1143" i="2"/>
  <c r="BA1143" i="2"/>
  <c r="AZ1143" i="2"/>
  <c r="AY1143" i="2"/>
  <c r="AX1143" i="2"/>
  <c r="AW1143" i="2"/>
  <c r="CA1142" i="2"/>
  <c r="BY1142" i="2"/>
  <c r="BX1142" i="2"/>
  <c r="BW1142" i="2"/>
  <c r="BV1142" i="2"/>
  <c r="BU1142" i="2"/>
  <c r="BT1142" i="2"/>
  <c r="BS1142" i="2"/>
  <c r="BR1142" i="2"/>
  <c r="BQ1142" i="2"/>
  <c r="BP1142" i="2"/>
  <c r="BO1142" i="2"/>
  <c r="BN1142" i="2"/>
  <c r="BM1142" i="2"/>
  <c r="BL1142" i="2"/>
  <c r="BK1142" i="2"/>
  <c r="BJ1142" i="2"/>
  <c r="BI1142" i="2"/>
  <c r="BH1142" i="2"/>
  <c r="BG1142" i="2"/>
  <c r="BF1142" i="2"/>
  <c r="BE1142" i="2"/>
  <c r="BD1142" i="2"/>
  <c r="BC1142" i="2"/>
  <c r="BB1142" i="2"/>
  <c r="BA1142" i="2"/>
  <c r="AZ1142" i="2"/>
  <c r="AY1142" i="2"/>
  <c r="AX1142" i="2"/>
  <c r="AW1142" i="2"/>
  <c r="CA1141" i="2"/>
  <c r="BY1141" i="2"/>
  <c r="BX1141" i="2"/>
  <c r="BW1141" i="2"/>
  <c r="BV1141" i="2"/>
  <c r="BU1141" i="2"/>
  <c r="BT1141" i="2"/>
  <c r="BS1141" i="2"/>
  <c r="BR1141" i="2"/>
  <c r="BQ1141" i="2"/>
  <c r="BP1141" i="2"/>
  <c r="BO1141" i="2"/>
  <c r="BN1141" i="2"/>
  <c r="BM1141" i="2"/>
  <c r="BL1141" i="2"/>
  <c r="BK1141" i="2"/>
  <c r="BJ1141" i="2"/>
  <c r="BI1141" i="2"/>
  <c r="BH1141" i="2"/>
  <c r="BG1141" i="2"/>
  <c r="BF1141" i="2"/>
  <c r="BE1141" i="2"/>
  <c r="BD1141" i="2"/>
  <c r="BC1141" i="2"/>
  <c r="BB1141" i="2"/>
  <c r="BA1141" i="2"/>
  <c r="AZ1141" i="2"/>
  <c r="AY1141" i="2"/>
  <c r="AX1141" i="2"/>
  <c r="AW1141" i="2"/>
  <c r="CA1140" i="2"/>
  <c r="BY1140" i="2"/>
  <c r="BX1140" i="2"/>
  <c r="BW1140" i="2"/>
  <c r="BV1140" i="2"/>
  <c r="BU1140" i="2"/>
  <c r="BT1140" i="2"/>
  <c r="BS1140" i="2"/>
  <c r="BR1140" i="2"/>
  <c r="BQ1140" i="2"/>
  <c r="BP1140" i="2"/>
  <c r="BO1140" i="2"/>
  <c r="BN1140" i="2"/>
  <c r="BM1140" i="2"/>
  <c r="BL1140" i="2"/>
  <c r="BK1140" i="2"/>
  <c r="BJ1140" i="2"/>
  <c r="BI1140" i="2"/>
  <c r="BH1140" i="2"/>
  <c r="BG1140" i="2"/>
  <c r="BF1140" i="2"/>
  <c r="BE1140" i="2"/>
  <c r="BD1140" i="2"/>
  <c r="BC1140" i="2"/>
  <c r="BB1140" i="2"/>
  <c r="BA1140" i="2"/>
  <c r="AZ1140" i="2"/>
  <c r="AY1140" i="2"/>
  <c r="AX1140" i="2"/>
  <c r="AW1140" i="2"/>
  <c r="CA1139" i="2"/>
  <c r="BY1139" i="2"/>
  <c r="BX1139" i="2"/>
  <c r="BW1139" i="2"/>
  <c r="BV1139" i="2"/>
  <c r="BU1139" i="2"/>
  <c r="BT1139" i="2"/>
  <c r="BS1139" i="2"/>
  <c r="BR1139" i="2"/>
  <c r="BQ1139" i="2"/>
  <c r="BP1139" i="2"/>
  <c r="BO1139" i="2"/>
  <c r="BN1139" i="2"/>
  <c r="BM1139" i="2"/>
  <c r="BL1139" i="2"/>
  <c r="BK1139" i="2"/>
  <c r="BJ1139" i="2"/>
  <c r="BI1139" i="2"/>
  <c r="BH1139" i="2"/>
  <c r="BG1139" i="2"/>
  <c r="BF1139" i="2"/>
  <c r="BE1139" i="2"/>
  <c r="BD1139" i="2"/>
  <c r="BC1139" i="2"/>
  <c r="BB1139" i="2"/>
  <c r="BA1139" i="2"/>
  <c r="AZ1139" i="2"/>
  <c r="AY1139" i="2"/>
  <c r="AX1139" i="2"/>
  <c r="AW1139" i="2"/>
  <c r="CA1138" i="2"/>
  <c r="BY1138" i="2"/>
  <c r="BX1138" i="2"/>
  <c r="BW1138" i="2"/>
  <c r="BV1138" i="2"/>
  <c r="BU1138" i="2"/>
  <c r="BT1138" i="2"/>
  <c r="BS1138" i="2"/>
  <c r="BR1138" i="2"/>
  <c r="BQ1138" i="2"/>
  <c r="BP1138" i="2"/>
  <c r="BO1138" i="2"/>
  <c r="BN1138" i="2"/>
  <c r="BM1138" i="2"/>
  <c r="BL1138" i="2"/>
  <c r="BK1138" i="2"/>
  <c r="BJ1138" i="2"/>
  <c r="BI1138" i="2"/>
  <c r="BH1138" i="2"/>
  <c r="BG1138" i="2"/>
  <c r="BF1138" i="2"/>
  <c r="BE1138" i="2"/>
  <c r="BD1138" i="2"/>
  <c r="BC1138" i="2"/>
  <c r="BB1138" i="2"/>
  <c r="BA1138" i="2"/>
  <c r="AZ1138" i="2"/>
  <c r="AY1138" i="2"/>
  <c r="AX1138" i="2"/>
  <c r="AW1138" i="2"/>
  <c r="CA1137" i="2"/>
  <c r="BY1137" i="2"/>
  <c r="BX1137" i="2"/>
  <c r="BW1137" i="2"/>
  <c r="BV1137" i="2"/>
  <c r="BU1137" i="2"/>
  <c r="BT1137" i="2"/>
  <c r="BS1137" i="2"/>
  <c r="BR1137" i="2"/>
  <c r="BQ1137" i="2"/>
  <c r="BP1137" i="2"/>
  <c r="BO1137" i="2"/>
  <c r="BN1137" i="2"/>
  <c r="BM1137" i="2"/>
  <c r="BL1137" i="2"/>
  <c r="BK1137" i="2"/>
  <c r="BJ1137" i="2"/>
  <c r="BI1137" i="2"/>
  <c r="BH1137" i="2"/>
  <c r="BG1137" i="2"/>
  <c r="BF1137" i="2"/>
  <c r="BE1137" i="2"/>
  <c r="BD1137" i="2"/>
  <c r="BC1137" i="2"/>
  <c r="BB1137" i="2"/>
  <c r="BA1137" i="2"/>
  <c r="AZ1137" i="2"/>
  <c r="AY1137" i="2"/>
  <c r="AX1137" i="2"/>
  <c r="AW1137" i="2"/>
  <c r="CA1136" i="2"/>
  <c r="BY1136" i="2"/>
  <c r="BX1136" i="2"/>
  <c r="BW1136" i="2"/>
  <c r="BV1136" i="2"/>
  <c r="BU1136" i="2"/>
  <c r="BT1136" i="2"/>
  <c r="BS1136" i="2"/>
  <c r="BR1136" i="2"/>
  <c r="BQ1136" i="2"/>
  <c r="BP1136" i="2"/>
  <c r="BO1136" i="2"/>
  <c r="BN1136" i="2"/>
  <c r="BM1136" i="2"/>
  <c r="BL1136" i="2"/>
  <c r="BK1136" i="2"/>
  <c r="BJ1136" i="2"/>
  <c r="BI1136" i="2"/>
  <c r="BH1136" i="2"/>
  <c r="BG1136" i="2"/>
  <c r="BF1136" i="2"/>
  <c r="BE1136" i="2"/>
  <c r="BD1136" i="2"/>
  <c r="BC1136" i="2"/>
  <c r="BB1136" i="2"/>
  <c r="BA1136" i="2"/>
  <c r="AZ1136" i="2"/>
  <c r="AY1136" i="2"/>
  <c r="AX1136" i="2"/>
  <c r="AW1136" i="2"/>
  <c r="CA1135" i="2"/>
  <c r="BY1135" i="2"/>
  <c r="BX1135" i="2"/>
  <c r="BW1135" i="2"/>
  <c r="BV1135" i="2"/>
  <c r="BU1135" i="2"/>
  <c r="BT1135" i="2"/>
  <c r="BS1135" i="2"/>
  <c r="BR1135" i="2"/>
  <c r="BQ1135" i="2"/>
  <c r="BP1135" i="2"/>
  <c r="BO1135" i="2"/>
  <c r="BN1135" i="2"/>
  <c r="BM1135" i="2"/>
  <c r="BL1135" i="2"/>
  <c r="BK1135" i="2"/>
  <c r="BJ1135" i="2"/>
  <c r="BI1135" i="2"/>
  <c r="BH1135" i="2"/>
  <c r="BG1135" i="2"/>
  <c r="BF1135" i="2"/>
  <c r="BE1135" i="2"/>
  <c r="BD1135" i="2"/>
  <c r="BC1135" i="2"/>
  <c r="BB1135" i="2"/>
  <c r="BA1135" i="2"/>
  <c r="AZ1135" i="2"/>
  <c r="AY1135" i="2"/>
  <c r="AX1135" i="2"/>
  <c r="AW1135" i="2"/>
  <c r="CA1134" i="2"/>
  <c r="BY1134" i="2"/>
  <c r="BX1134" i="2"/>
  <c r="BW1134" i="2"/>
  <c r="BV1134" i="2"/>
  <c r="BU1134" i="2"/>
  <c r="BT1134" i="2"/>
  <c r="BS1134" i="2"/>
  <c r="BR1134" i="2"/>
  <c r="BQ1134" i="2"/>
  <c r="BP1134" i="2"/>
  <c r="BO1134" i="2"/>
  <c r="BN1134" i="2"/>
  <c r="BM1134" i="2"/>
  <c r="BL1134" i="2"/>
  <c r="BK1134" i="2"/>
  <c r="BJ1134" i="2"/>
  <c r="BI1134" i="2"/>
  <c r="BH1134" i="2"/>
  <c r="BG1134" i="2"/>
  <c r="BF1134" i="2"/>
  <c r="BE1134" i="2"/>
  <c r="BD1134" i="2"/>
  <c r="BC1134" i="2"/>
  <c r="BB1134" i="2"/>
  <c r="BA1134" i="2"/>
  <c r="AZ1134" i="2"/>
  <c r="AY1134" i="2"/>
  <c r="AX1134" i="2"/>
  <c r="AW1134" i="2"/>
  <c r="CA1133" i="2"/>
  <c r="BY1133" i="2"/>
  <c r="BX1133" i="2"/>
  <c r="BW1133" i="2"/>
  <c r="BV1133" i="2"/>
  <c r="BU1133" i="2"/>
  <c r="BT1133" i="2"/>
  <c r="BS1133" i="2"/>
  <c r="BR1133" i="2"/>
  <c r="BQ1133" i="2"/>
  <c r="BP1133" i="2"/>
  <c r="BO1133" i="2"/>
  <c r="BN1133" i="2"/>
  <c r="BM1133" i="2"/>
  <c r="BL1133" i="2"/>
  <c r="BK1133" i="2"/>
  <c r="BJ1133" i="2"/>
  <c r="BI1133" i="2"/>
  <c r="BH1133" i="2"/>
  <c r="BG1133" i="2"/>
  <c r="BF1133" i="2"/>
  <c r="BE1133" i="2"/>
  <c r="BD1133" i="2"/>
  <c r="BC1133" i="2"/>
  <c r="BB1133" i="2"/>
  <c r="BA1133" i="2"/>
  <c r="AZ1133" i="2"/>
  <c r="AY1133" i="2"/>
  <c r="AX1133" i="2"/>
  <c r="AW1133" i="2"/>
  <c r="CA1132" i="2"/>
  <c r="BY1132" i="2"/>
  <c r="BX1132" i="2"/>
  <c r="BW1132" i="2"/>
  <c r="BV1132" i="2"/>
  <c r="BU1132" i="2"/>
  <c r="BT1132" i="2"/>
  <c r="BS1132" i="2"/>
  <c r="BR1132" i="2"/>
  <c r="BQ1132" i="2"/>
  <c r="BP1132" i="2"/>
  <c r="BO1132" i="2"/>
  <c r="BN1132" i="2"/>
  <c r="BM1132" i="2"/>
  <c r="BL1132" i="2"/>
  <c r="BK1132" i="2"/>
  <c r="BJ1132" i="2"/>
  <c r="BI1132" i="2"/>
  <c r="BH1132" i="2"/>
  <c r="BG1132" i="2"/>
  <c r="BF1132" i="2"/>
  <c r="BE1132" i="2"/>
  <c r="BD1132" i="2"/>
  <c r="BC1132" i="2"/>
  <c r="BB1132" i="2"/>
  <c r="BA1132" i="2"/>
  <c r="AZ1132" i="2"/>
  <c r="AY1132" i="2"/>
  <c r="AX1132" i="2"/>
  <c r="AW1132" i="2"/>
  <c r="CA1131" i="2"/>
  <c r="BY1131" i="2"/>
  <c r="BX1131" i="2"/>
  <c r="BW1131" i="2"/>
  <c r="BV1131" i="2"/>
  <c r="BU1131" i="2"/>
  <c r="BT1131" i="2"/>
  <c r="BS1131" i="2"/>
  <c r="BR1131" i="2"/>
  <c r="BQ1131" i="2"/>
  <c r="BP1131" i="2"/>
  <c r="BO1131" i="2"/>
  <c r="BN1131" i="2"/>
  <c r="BM1131" i="2"/>
  <c r="BL1131" i="2"/>
  <c r="BK1131" i="2"/>
  <c r="BJ1131" i="2"/>
  <c r="BI1131" i="2"/>
  <c r="BH1131" i="2"/>
  <c r="BG1131" i="2"/>
  <c r="BF1131" i="2"/>
  <c r="BE1131" i="2"/>
  <c r="BD1131" i="2"/>
  <c r="BC1131" i="2"/>
  <c r="BB1131" i="2"/>
  <c r="BA1131" i="2"/>
  <c r="AZ1131" i="2"/>
  <c r="AY1131" i="2"/>
  <c r="AX1131" i="2"/>
  <c r="AW1131" i="2"/>
  <c r="CA1130" i="2"/>
  <c r="BY1130" i="2"/>
  <c r="BX1130" i="2"/>
  <c r="BW1130" i="2"/>
  <c r="BV1130" i="2"/>
  <c r="BU1130" i="2"/>
  <c r="BT1130" i="2"/>
  <c r="BS1130" i="2"/>
  <c r="BR1130" i="2"/>
  <c r="BQ1130" i="2"/>
  <c r="BP1130" i="2"/>
  <c r="BO1130" i="2"/>
  <c r="BN1130" i="2"/>
  <c r="BM1130" i="2"/>
  <c r="BL1130" i="2"/>
  <c r="BK1130" i="2"/>
  <c r="BJ1130" i="2"/>
  <c r="BI1130" i="2"/>
  <c r="BH1130" i="2"/>
  <c r="BG1130" i="2"/>
  <c r="BF1130" i="2"/>
  <c r="BE1130" i="2"/>
  <c r="BD1130" i="2"/>
  <c r="BC1130" i="2"/>
  <c r="BB1130" i="2"/>
  <c r="BA1130" i="2"/>
  <c r="AZ1130" i="2"/>
  <c r="AY1130" i="2"/>
  <c r="AX1130" i="2"/>
  <c r="AW1130" i="2"/>
  <c r="CA1129" i="2"/>
  <c r="BY1129" i="2"/>
  <c r="BX1129" i="2"/>
  <c r="BW1129" i="2"/>
  <c r="BV1129" i="2"/>
  <c r="BU1129" i="2"/>
  <c r="BT1129" i="2"/>
  <c r="BS1129" i="2"/>
  <c r="BR1129" i="2"/>
  <c r="BQ1129" i="2"/>
  <c r="BP1129" i="2"/>
  <c r="BO1129" i="2"/>
  <c r="BN1129" i="2"/>
  <c r="BM1129" i="2"/>
  <c r="BL1129" i="2"/>
  <c r="BK1129" i="2"/>
  <c r="BJ1129" i="2"/>
  <c r="BI1129" i="2"/>
  <c r="BH1129" i="2"/>
  <c r="BG1129" i="2"/>
  <c r="BF1129" i="2"/>
  <c r="BE1129" i="2"/>
  <c r="BD1129" i="2"/>
  <c r="BC1129" i="2"/>
  <c r="BB1129" i="2"/>
  <c r="BA1129" i="2"/>
  <c r="AZ1129" i="2"/>
  <c r="AY1129" i="2"/>
  <c r="AX1129" i="2"/>
  <c r="AW1129" i="2"/>
  <c r="CA1128" i="2"/>
  <c r="BY1128" i="2"/>
  <c r="BX1128" i="2"/>
  <c r="BW1128" i="2"/>
  <c r="BV1128" i="2"/>
  <c r="BU1128" i="2"/>
  <c r="BT1128" i="2"/>
  <c r="BS1128" i="2"/>
  <c r="BR1128" i="2"/>
  <c r="BQ1128" i="2"/>
  <c r="BP1128" i="2"/>
  <c r="BO1128" i="2"/>
  <c r="BN1128" i="2"/>
  <c r="BM1128" i="2"/>
  <c r="BL1128" i="2"/>
  <c r="BK1128" i="2"/>
  <c r="BJ1128" i="2"/>
  <c r="BI1128" i="2"/>
  <c r="BH1128" i="2"/>
  <c r="BG1128" i="2"/>
  <c r="BF1128" i="2"/>
  <c r="BE1128" i="2"/>
  <c r="BD1128" i="2"/>
  <c r="BC1128" i="2"/>
  <c r="BB1128" i="2"/>
  <c r="BA1128" i="2"/>
  <c r="AZ1128" i="2"/>
  <c r="AY1128" i="2"/>
  <c r="AX1128" i="2"/>
  <c r="AW1128" i="2"/>
  <c r="CA1127" i="2"/>
  <c r="BY1127" i="2"/>
  <c r="BX1127" i="2"/>
  <c r="BW1127" i="2"/>
  <c r="BV1127" i="2"/>
  <c r="BU1127" i="2"/>
  <c r="BT1127" i="2"/>
  <c r="BS1127" i="2"/>
  <c r="BR1127" i="2"/>
  <c r="BQ1127" i="2"/>
  <c r="BP1127" i="2"/>
  <c r="BO1127" i="2"/>
  <c r="BN1127" i="2"/>
  <c r="BM1127" i="2"/>
  <c r="BL1127" i="2"/>
  <c r="BK1127" i="2"/>
  <c r="BJ1127" i="2"/>
  <c r="BI1127" i="2"/>
  <c r="BH1127" i="2"/>
  <c r="BG1127" i="2"/>
  <c r="BF1127" i="2"/>
  <c r="BE1127" i="2"/>
  <c r="BD1127" i="2"/>
  <c r="BC1127" i="2"/>
  <c r="BB1127" i="2"/>
  <c r="BA1127" i="2"/>
  <c r="AZ1127" i="2"/>
  <c r="AY1127" i="2"/>
  <c r="AX1127" i="2"/>
  <c r="AW1127" i="2"/>
  <c r="CA1126" i="2"/>
  <c r="BY1126" i="2"/>
  <c r="BX1126" i="2"/>
  <c r="BW1126" i="2"/>
  <c r="BV1126" i="2"/>
  <c r="BU1126" i="2"/>
  <c r="BT1126" i="2"/>
  <c r="BS1126" i="2"/>
  <c r="BR1126" i="2"/>
  <c r="BQ1126" i="2"/>
  <c r="BP1126" i="2"/>
  <c r="BO1126" i="2"/>
  <c r="BN1126" i="2"/>
  <c r="BM1126" i="2"/>
  <c r="BL1126" i="2"/>
  <c r="BK1126" i="2"/>
  <c r="BJ1126" i="2"/>
  <c r="BI1126" i="2"/>
  <c r="BH1126" i="2"/>
  <c r="BG1126" i="2"/>
  <c r="BF1126" i="2"/>
  <c r="BE1126" i="2"/>
  <c r="BD1126" i="2"/>
  <c r="BC1126" i="2"/>
  <c r="BB1126" i="2"/>
  <c r="BA1126" i="2"/>
  <c r="AZ1126" i="2"/>
  <c r="AY1126" i="2"/>
  <c r="AX1126" i="2"/>
  <c r="AW1126" i="2"/>
  <c r="CA1125" i="2"/>
  <c r="BY1125" i="2"/>
  <c r="BX1125" i="2"/>
  <c r="BW1125" i="2"/>
  <c r="BV1125" i="2"/>
  <c r="BU1125" i="2"/>
  <c r="BT1125" i="2"/>
  <c r="BS1125" i="2"/>
  <c r="BR1125" i="2"/>
  <c r="BQ1125" i="2"/>
  <c r="BP1125" i="2"/>
  <c r="BO1125" i="2"/>
  <c r="BN1125" i="2"/>
  <c r="BM1125" i="2"/>
  <c r="BL1125" i="2"/>
  <c r="BK1125" i="2"/>
  <c r="BJ1125" i="2"/>
  <c r="BI1125" i="2"/>
  <c r="BH1125" i="2"/>
  <c r="BG1125" i="2"/>
  <c r="BF1125" i="2"/>
  <c r="BE1125" i="2"/>
  <c r="BD1125" i="2"/>
  <c r="BC1125" i="2"/>
  <c r="BB1125" i="2"/>
  <c r="BA1125" i="2"/>
  <c r="AZ1125" i="2"/>
  <c r="AY1125" i="2"/>
  <c r="AX1125" i="2"/>
  <c r="AW1125" i="2"/>
  <c r="CA1124" i="2"/>
  <c r="BY1124" i="2"/>
  <c r="BX1124" i="2"/>
  <c r="BW1124" i="2"/>
  <c r="BV1124" i="2"/>
  <c r="BU1124" i="2"/>
  <c r="BT1124" i="2"/>
  <c r="BS1124" i="2"/>
  <c r="BR1124" i="2"/>
  <c r="BQ1124" i="2"/>
  <c r="BP1124" i="2"/>
  <c r="BO1124" i="2"/>
  <c r="BN1124" i="2"/>
  <c r="BM1124" i="2"/>
  <c r="BL1124" i="2"/>
  <c r="BK1124" i="2"/>
  <c r="BJ1124" i="2"/>
  <c r="BI1124" i="2"/>
  <c r="BH1124" i="2"/>
  <c r="BG1124" i="2"/>
  <c r="BF1124" i="2"/>
  <c r="BE1124" i="2"/>
  <c r="BD1124" i="2"/>
  <c r="BC1124" i="2"/>
  <c r="BB1124" i="2"/>
  <c r="BA1124" i="2"/>
  <c r="AZ1124" i="2"/>
  <c r="AY1124" i="2"/>
  <c r="AX1124" i="2"/>
  <c r="AW1124" i="2"/>
  <c r="CA1123" i="2"/>
  <c r="BY1123" i="2"/>
  <c r="BX1123" i="2"/>
  <c r="BW1123" i="2"/>
  <c r="BV1123" i="2"/>
  <c r="BU1123" i="2"/>
  <c r="BT1123" i="2"/>
  <c r="BS1123" i="2"/>
  <c r="BR1123" i="2"/>
  <c r="BQ1123" i="2"/>
  <c r="BP1123" i="2"/>
  <c r="BO1123" i="2"/>
  <c r="BN1123" i="2"/>
  <c r="BM1123" i="2"/>
  <c r="BL1123" i="2"/>
  <c r="BK1123" i="2"/>
  <c r="BJ1123" i="2"/>
  <c r="BI1123" i="2"/>
  <c r="BH1123" i="2"/>
  <c r="BG1123" i="2"/>
  <c r="BF1123" i="2"/>
  <c r="BE1123" i="2"/>
  <c r="BD1123" i="2"/>
  <c r="BC1123" i="2"/>
  <c r="BB1123" i="2"/>
  <c r="BA1123" i="2"/>
  <c r="AZ1123" i="2"/>
  <c r="AY1123" i="2"/>
  <c r="AX1123" i="2"/>
  <c r="AW1123" i="2"/>
  <c r="CA1122" i="2"/>
  <c r="BY1122" i="2"/>
  <c r="BX1122" i="2"/>
  <c r="BW1122" i="2"/>
  <c r="BV1122" i="2"/>
  <c r="BU1122" i="2"/>
  <c r="BT1122" i="2"/>
  <c r="BS1122" i="2"/>
  <c r="BR1122" i="2"/>
  <c r="BQ1122" i="2"/>
  <c r="BP1122" i="2"/>
  <c r="BO1122" i="2"/>
  <c r="BN1122" i="2"/>
  <c r="BM1122" i="2"/>
  <c r="BL1122" i="2"/>
  <c r="BK1122" i="2"/>
  <c r="BJ1122" i="2"/>
  <c r="BI1122" i="2"/>
  <c r="BH1122" i="2"/>
  <c r="BG1122" i="2"/>
  <c r="BF1122" i="2"/>
  <c r="BE1122" i="2"/>
  <c r="BD1122" i="2"/>
  <c r="BC1122" i="2"/>
  <c r="BB1122" i="2"/>
  <c r="BA1122" i="2"/>
  <c r="AZ1122" i="2"/>
  <c r="AY1122" i="2"/>
  <c r="AX1122" i="2"/>
  <c r="AW1122" i="2"/>
  <c r="CA1121" i="2"/>
  <c r="BY1121" i="2"/>
  <c r="BX1121" i="2"/>
  <c r="BW1121" i="2"/>
  <c r="BV1121" i="2"/>
  <c r="BU1121" i="2"/>
  <c r="BT1121" i="2"/>
  <c r="BS1121" i="2"/>
  <c r="BR1121" i="2"/>
  <c r="BQ1121" i="2"/>
  <c r="BP1121" i="2"/>
  <c r="BO1121" i="2"/>
  <c r="BN1121" i="2"/>
  <c r="BM1121" i="2"/>
  <c r="BL1121" i="2"/>
  <c r="BK1121" i="2"/>
  <c r="BJ1121" i="2"/>
  <c r="BI1121" i="2"/>
  <c r="BH1121" i="2"/>
  <c r="BG1121" i="2"/>
  <c r="BF1121" i="2"/>
  <c r="BE1121" i="2"/>
  <c r="BD1121" i="2"/>
  <c r="BC1121" i="2"/>
  <c r="BB1121" i="2"/>
  <c r="BA1121" i="2"/>
  <c r="AZ1121" i="2"/>
  <c r="AY1121" i="2"/>
  <c r="AX1121" i="2"/>
  <c r="AW1121" i="2"/>
  <c r="CA1120" i="2"/>
  <c r="BY1120" i="2"/>
  <c r="BX1120" i="2"/>
  <c r="BW1120" i="2"/>
  <c r="BV1120" i="2"/>
  <c r="BU1120" i="2"/>
  <c r="BT1120" i="2"/>
  <c r="BS1120" i="2"/>
  <c r="BR1120" i="2"/>
  <c r="BQ1120" i="2"/>
  <c r="BP1120" i="2"/>
  <c r="BO1120" i="2"/>
  <c r="BN1120" i="2"/>
  <c r="BM1120" i="2"/>
  <c r="BL1120" i="2"/>
  <c r="BK1120" i="2"/>
  <c r="BJ1120" i="2"/>
  <c r="BI1120" i="2"/>
  <c r="BH1120" i="2"/>
  <c r="BG1120" i="2"/>
  <c r="BF1120" i="2"/>
  <c r="BE1120" i="2"/>
  <c r="BD1120" i="2"/>
  <c r="BC1120" i="2"/>
  <c r="BB1120" i="2"/>
  <c r="BA1120" i="2"/>
  <c r="AZ1120" i="2"/>
  <c r="AY1120" i="2"/>
  <c r="AX1120" i="2"/>
  <c r="AW1120" i="2"/>
  <c r="CA1119" i="2"/>
  <c r="BY1119" i="2"/>
  <c r="BX1119" i="2"/>
  <c r="BW1119" i="2"/>
  <c r="BV1119" i="2"/>
  <c r="BU1119" i="2"/>
  <c r="BT1119" i="2"/>
  <c r="BS1119" i="2"/>
  <c r="BR1119" i="2"/>
  <c r="BQ1119" i="2"/>
  <c r="BP1119" i="2"/>
  <c r="BO1119" i="2"/>
  <c r="BN1119" i="2"/>
  <c r="BM1119" i="2"/>
  <c r="BL1119" i="2"/>
  <c r="BK1119" i="2"/>
  <c r="BJ1119" i="2"/>
  <c r="BI1119" i="2"/>
  <c r="BH1119" i="2"/>
  <c r="BG1119" i="2"/>
  <c r="BF1119" i="2"/>
  <c r="BE1119" i="2"/>
  <c r="BD1119" i="2"/>
  <c r="BC1119" i="2"/>
  <c r="BB1119" i="2"/>
  <c r="BA1119" i="2"/>
  <c r="AZ1119" i="2"/>
  <c r="AY1119" i="2"/>
  <c r="AX1119" i="2"/>
  <c r="AW1119" i="2"/>
  <c r="CA1118" i="2"/>
  <c r="BY1118" i="2"/>
  <c r="BX1118" i="2"/>
  <c r="BW1118" i="2"/>
  <c r="BV1118" i="2"/>
  <c r="BU1118" i="2"/>
  <c r="BT1118" i="2"/>
  <c r="BS1118" i="2"/>
  <c r="BR1118" i="2"/>
  <c r="BQ1118" i="2"/>
  <c r="BP1118" i="2"/>
  <c r="BO1118" i="2"/>
  <c r="BN1118" i="2"/>
  <c r="BM1118" i="2"/>
  <c r="BL1118" i="2"/>
  <c r="BK1118" i="2"/>
  <c r="BJ1118" i="2"/>
  <c r="BI1118" i="2"/>
  <c r="BH1118" i="2"/>
  <c r="BG1118" i="2"/>
  <c r="BF1118" i="2"/>
  <c r="BE1118" i="2"/>
  <c r="BD1118" i="2"/>
  <c r="BC1118" i="2"/>
  <c r="BB1118" i="2"/>
  <c r="BA1118" i="2"/>
  <c r="AZ1118" i="2"/>
  <c r="AY1118" i="2"/>
  <c r="AX1118" i="2"/>
  <c r="AW1118" i="2"/>
  <c r="CA1117" i="2"/>
  <c r="BY1117" i="2"/>
  <c r="BX1117" i="2"/>
  <c r="BW1117" i="2"/>
  <c r="BV1117" i="2"/>
  <c r="BU1117" i="2"/>
  <c r="BT1117" i="2"/>
  <c r="BS1117" i="2"/>
  <c r="BR1117" i="2"/>
  <c r="BQ1117" i="2"/>
  <c r="BP1117" i="2"/>
  <c r="BO1117" i="2"/>
  <c r="BN1117" i="2"/>
  <c r="BM1117" i="2"/>
  <c r="BL1117" i="2"/>
  <c r="BK1117" i="2"/>
  <c r="BJ1117" i="2"/>
  <c r="BI1117" i="2"/>
  <c r="BH1117" i="2"/>
  <c r="BG1117" i="2"/>
  <c r="BF1117" i="2"/>
  <c r="BE1117" i="2"/>
  <c r="BD1117" i="2"/>
  <c r="BC1117" i="2"/>
  <c r="BB1117" i="2"/>
  <c r="BA1117" i="2"/>
  <c r="AZ1117" i="2"/>
  <c r="AY1117" i="2"/>
  <c r="AX1117" i="2"/>
  <c r="AW1117" i="2"/>
  <c r="CA1116" i="2"/>
  <c r="BY1116" i="2"/>
  <c r="BX1116" i="2"/>
  <c r="BW1116" i="2"/>
  <c r="BV1116" i="2"/>
  <c r="BU1116" i="2"/>
  <c r="BT1116" i="2"/>
  <c r="BS1116" i="2"/>
  <c r="BR1116" i="2"/>
  <c r="BQ1116" i="2"/>
  <c r="BP1116" i="2"/>
  <c r="BO1116" i="2"/>
  <c r="BN1116" i="2"/>
  <c r="BM1116" i="2"/>
  <c r="BL1116" i="2"/>
  <c r="BK1116" i="2"/>
  <c r="BJ1116" i="2"/>
  <c r="BI1116" i="2"/>
  <c r="BH1116" i="2"/>
  <c r="BG1116" i="2"/>
  <c r="BF1116" i="2"/>
  <c r="BE1116" i="2"/>
  <c r="BD1116" i="2"/>
  <c r="BC1116" i="2"/>
  <c r="BB1116" i="2"/>
  <c r="BA1116" i="2"/>
  <c r="AZ1116" i="2"/>
  <c r="AY1116" i="2"/>
  <c r="AX1116" i="2"/>
  <c r="AW1116" i="2"/>
  <c r="CA1115" i="2"/>
  <c r="BY1115" i="2"/>
  <c r="BX1115" i="2"/>
  <c r="BW1115" i="2"/>
  <c r="BV1115" i="2"/>
  <c r="BU1115" i="2"/>
  <c r="BT1115" i="2"/>
  <c r="BS1115" i="2"/>
  <c r="BR1115" i="2"/>
  <c r="BQ1115" i="2"/>
  <c r="BP1115" i="2"/>
  <c r="BO1115" i="2"/>
  <c r="BN1115" i="2"/>
  <c r="BM1115" i="2"/>
  <c r="BL1115" i="2"/>
  <c r="BK1115" i="2"/>
  <c r="BJ1115" i="2"/>
  <c r="BI1115" i="2"/>
  <c r="BH1115" i="2"/>
  <c r="BG1115" i="2"/>
  <c r="BF1115" i="2"/>
  <c r="BE1115" i="2"/>
  <c r="BD1115" i="2"/>
  <c r="BC1115" i="2"/>
  <c r="BB1115" i="2"/>
  <c r="BA1115" i="2"/>
  <c r="AZ1115" i="2"/>
  <c r="AY1115" i="2"/>
  <c r="AX1115" i="2"/>
  <c r="AW1115" i="2"/>
  <c r="CA1114" i="2"/>
  <c r="BY1114" i="2"/>
  <c r="BX1114" i="2"/>
  <c r="BW1114" i="2"/>
  <c r="BV1114" i="2"/>
  <c r="BU1114" i="2"/>
  <c r="BT1114" i="2"/>
  <c r="BS1114" i="2"/>
  <c r="BR1114" i="2"/>
  <c r="BQ1114" i="2"/>
  <c r="BP1114" i="2"/>
  <c r="BO1114" i="2"/>
  <c r="BN1114" i="2"/>
  <c r="BM1114" i="2"/>
  <c r="BL1114" i="2"/>
  <c r="BK1114" i="2"/>
  <c r="BJ1114" i="2"/>
  <c r="BI1114" i="2"/>
  <c r="BH1114" i="2"/>
  <c r="BG1114" i="2"/>
  <c r="BF1114" i="2"/>
  <c r="BE1114" i="2"/>
  <c r="BD1114" i="2"/>
  <c r="BC1114" i="2"/>
  <c r="BB1114" i="2"/>
  <c r="BA1114" i="2"/>
  <c r="AZ1114" i="2"/>
  <c r="AY1114" i="2"/>
  <c r="AX1114" i="2"/>
  <c r="AW1114" i="2"/>
  <c r="CA1113" i="2"/>
  <c r="BY1113" i="2"/>
  <c r="BX1113" i="2"/>
  <c r="BW1113" i="2"/>
  <c r="BV1113" i="2"/>
  <c r="BU1113" i="2"/>
  <c r="BT1113" i="2"/>
  <c r="BS1113" i="2"/>
  <c r="BR1113" i="2"/>
  <c r="BQ1113" i="2"/>
  <c r="BP1113" i="2"/>
  <c r="BO1113" i="2"/>
  <c r="BN1113" i="2"/>
  <c r="BM1113" i="2"/>
  <c r="BL1113" i="2"/>
  <c r="BK1113" i="2"/>
  <c r="BJ1113" i="2"/>
  <c r="BI1113" i="2"/>
  <c r="BH1113" i="2"/>
  <c r="BG1113" i="2"/>
  <c r="BF1113" i="2"/>
  <c r="BE1113" i="2"/>
  <c r="BD1113" i="2"/>
  <c r="BC1113" i="2"/>
  <c r="BB1113" i="2"/>
  <c r="BA1113" i="2"/>
  <c r="AZ1113" i="2"/>
  <c r="AY1113" i="2"/>
  <c r="AX1113" i="2"/>
  <c r="AW1113" i="2"/>
  <c r="CA1112" i="2"/>
  <c r="BY1112" i="2"/>
  <c r="BX1112" i="2"/>
  <c r="BW1112" i="2"/>
  <c r="BV1112" i="2"/>
  <c r="BU1112" i="2"/>
  <c r="BT1112" i="2"/>
  <c r="BS1112" i="2"/>
  <c r="BR1112" i="2"/>
  <c r="BQ1112" i="2"/>
  <c r="BP1112" i="2"/>
  <c r="BO1112" i="2"/>
  <c r="BN1112" i="2"/>
  <c r="BM1112" i="2"/>
  <c r="BL1112" i="2"/>
  <c r="BK1112" i="2"/>
  <c r="BJ1112" i="2"/>
  <c r="BI1112" i="2"/>
  <c r="BH1112" i="2"/>
  <c r="BG1112" i="2"/>
  <c r="BF1112" i="2"/>
  <c r="BE1112" i="2"/>
  <c r="BD1112" i="2"/>
  <c r="BC1112" i="2"/>
  <c r="BB1112" i="2"/>
  <c r="BA1112" i="2"/>
  <c r="AZ1112" i="2"/>
  <c r="AY1112" i="2"/>
  <c r="AX1112" i="2"/>
  <c r="AW1112" i="2"/>
  <c r="CA1111" i="2"/>
  <c r="BY1111" i="2"/>
  <c r="BX1111" i="2"/>
  <c r="BW1111" i="2"/>
  <c r="BV1111" i="2"/>
  <c r="BU1111" i="2"/>
  <c r="BT1111" i="2"/>
  <c r="BS1111" i="2"/>
  <c r="BR1111" i="2"/>
  <c r="BQ1111" i="2"/>
  <c r="BP1111" i="2"/>
  <c r="BO1111" i="2"/>
  <c r="BN1111" i="2"/>
  <c r="BM1111" i="2"/>
  <c r="BL1111" i="2"/>
  <c r="BK1111" i="2"/>
  <c r="BJ1111" i="2"/>
  <c r="BI1111" i="2"/>
  <c r="BH1111" i="2"/>
  <c r="BG1111" i="2"/>
  <c r="BF1111" i="2"/>
  <c r="BE1111" i="2"/>
  <c r="BD1111" i="2"/>
  <c r="BC1111" i="2"/>
  <c r="BB1111" i="2"/>
  <c r="BA1111" i="2"/>
  <c r="AZ1111" i="2"/>
  <c r="AY1111" i="2"/>
  <c r="AX1111" i="2"/>
  <c r="AW1111" i="2"/>
  <c r="CA1110" i="2"/>
  <c r="BY1110" i="2"/>
  <c r="BX1110" i="2"/>
  <c r="BW1110" i="2"/>
  <c r="BV1110" i="2"/>
  <c r="BU1110" i="2"/>
  <c r="BT1110" i="2"/>
  <c r="BS1110" i="2"/>
  <c r="BR1110" i="2"/>
  <c r="BQ1110" i="2"/>
  <c r="BP1110" i="2"/>
  <c r="BO1110" i="2"/>
  <c r="BN1110" i="2"/>
  <c r="BM1110" i="2"/>
  <c r="BL1110" i="2"/>
  <c r="BK1110" i="2"/>
  <c r="BJ1110" i="2"/>
  <c r="BI1110" i="2"/>
  <c r="BH1110" i="2"/>
  <c r="BG1110" i="2"/>
  <c r="BF1110" i="2"/>
  <c r="BE1110" i="2"/>
  <c r="BD1110" i="2"/>
  <c r="BC1110" i="2"/>
  <c r="BB1110" i="2"/>
  <c r="BA1110" i="2"/>
  <c r="AZ1110" i="2"/>
  <c r="AY1110" i="2"/>
  <c r="AX1110" i="2"/>
  <c r="AW1110" i="2"/>
  <c r="CA1109" i="2"/>
  <c r="BY1109" i="2"/>
  <c r="BX1109" i="2"/>
  <c r="BW1109" i="2"/>
  <c r="BV1109" i="2"/>
  <c r="BU1109" i="2"/>
  <c r="BT1109" i="2"/>
  <c r="BS1109" i="2"/>
  <c r="BR1109" i="2"/>
  <c r="BQ1109" i="2"/>
  <c r="BP1109" i="2"/>
  <c r="BO1109" i="2"/>
  <c r="BN1109" i="2"/>
  <c r="BM1109" i="2"/>
  <c r="BL1109" i="2"/>
  <c r="BK1109" i="2"/>
  <c r="BJ1109" i="2"/>
  <c r="BI1109" i="2"/>
  <c r="BH1109" i="2"/>
  <c r="BG1109" i="2"/>
  <c r="BF1109" i="2"/>
  <c r="BE1109" i="2"/>
  <c r="BD1109" i="2"/>
  <c r="BC1109" i="2"/>
  <c r="BB1109" i="2"/>
  <c r="BA1109" i="2"/>
  <c r="AZ1109" i="2"/>
  <c r="AY1109" i="2"/>
  <c r="AX1109" i="2"/>
  <c r="AW1109" i="2"/>
  <c r="CA1108" i="2"/>
  <c r="BY1108" i="2"/>
  <c r="BX1108" i="2"/>
  <c r="BW1108" i="2"/>
  <c r="BV1108" i="2"/>
  <c r="BU1108" i="2"/>
  <c r="BT1108" i="2"/>
  <c r="BS1108" i="2"/>
  <c r="BR1108" i="2"/>
  <c r="BQ1108" i="2"/>
  <c r="BP1108" i="2"/>
  <c r="BO1108" i="2"/>
  <c r="BN1108" i="2"/>
  <c r="BM1108" i="2"/>
  <c r="BL1108" i="2"/>
  <c r="BK1108" i="2"/>
  <c r="BJ1108" i="2"/>
  <c r="BI1108" i="2"/>
  <c r="BH1108" i="2"/>
  <c r="BG1108" i="2"/>
  <c r="BF1108" i="2"/>
  <c r="BE1108" i="2"/>
  <c r="BD1108" i="2"/>
  <c r="BC1108" i="2"/>
  <c r="BB1108" i="2"/>
  <c r="BA1108" i="2"/>
  <c r="AZ1108" i="2"/>
  <c r="AY1108" i="2"/>
  <c r="AX1108" i="2"/>
  <c r="AW1108" i="2"/>
  <c r="CA1107" i="2"/>
  <c r="BY1107" i="2"/>
  <c r="BX1107" i="2"/>
  <c r="BW1107" i="2"/>
  <c r="BV1107" i="2"/>
  <c r="BU1107" i="2"/>
  <c r="BT1107" i="2"/>
  <c r="BS1107" i="2"/>
  <c r="BR1107" i="2"/>
  <c r="BQ1107" i="2"/>
  <c r="BP1107" i="2"/>
  <c r="BO1107" i="2"/>
  <c r="BN1107" i="2"/>
  <c r="BM1107" i="2"/>
  <c r="BL1107" i="2"/>
  <c r="BK1107" i="2"/>
  <c r="BJ1107" i="2"/>
  <c r="BI1107" i="2"/>
  <c r="BH1107" i="2"/>
  <c r="BG1107" i="2"/>
  <c r="BF1107" i="2"/>
  <c r="BE1107" i="2"/>
  <c r="BD1107" i="2"/>
  <c r="BC1107" i="2"/>
  <c r="BB1107" i="2"/>
  <c r="BA1107" i="2"/>
  <c r="AZ1107" i="2"/>
  <c r="AY1107" i="2"/>
  <c r="AX1107" i="2"/>
  <c r="AW1107" i="2"/>
  <c r="CA1106" i="2"/>
  <c r="BY1106" i="2"/>
  <c r="BX1106" i="2"/>
  <c r="BW1106" i="2"/>
  <c r="BV1106" i="2"/>
  <c r="BU1106" i="2"/>
  <c r="BT1106" i="2"/>
  <c r="BS1106" i="2"/>
  <c r="BR1106" i="2"/>
  <c r="BQ1106" i="2"/>
  <c r="BP1106" i="2"/>
  <c r="BO1106" i="2"/>
  <c r="BN1106" i="2"/>
  <c r="BM1106" i="2"/>
  <c r="BL1106" i="2"/>
  <c r="BK1106" i="2"/>
  <c r="BJ1106" i="2"/>
  <c r="BI1106" i="2"/>
  <c r="BH1106" i="2"/>
  <c r="BG1106" i="2"/>
  <c r="BF1106" i="2"/>
  <c r="BE1106" i="2"/>
  <c r="BD1106" i="2"/>
  <c r="BC1106" i="2"/>
  <c r="BB1106" i="2"/>
  <c r="BA1106" i="2"/>
  <c r="AZ1106" i="2"/>
  <c r="AY1106" i="2"/>
  <c r="AX1106" i="2"/>
  <c r="AW1106" i="2"/>
  <c r="CA1105" i="2"/>
  <c r="BY1105" i="2"/>
  <c r="BX1105" i="2"/>
  <c r="BW1105" i="2"/>
  <c r="BV1105" i="2"/>
  <c r="BU1105" i="2"/>
  <c r="BT1105" i="2"/>
  <c r="BS1105" i="2"/>
  <c r="BR1105" i="2"/>
  <c r="BQ1105" i="2"/>
  <c r="BP1105" i="2"/>
  <c r="BO1105" i="2"/>
  <c r="BN1105" i="2"/>
  <c r="BM1105" i="2"/>
  <c r="BL1105" i="2"/>
  <c r="BK1105" i="2"/>
  <c r="BJ1105" i="2"/>
  <c r="BI1105" i="2"/>
  <c r="BH1105" i="2"/>
  <c r="BG1105" i="2"/>
  <c r="BF1105" i="2"/>
  <c r="BE1105" i="2"/>
  <c r="BD1105" i="2"/>
  <c r="BC1105" i="2"/>
  <c r="BB1105" i="2"/>
  <c r="BA1105" i="2"/>
  <c r="AZ1105" i="2"/>
  <c r="AY1105" i="2"/>
  <c r="AX1105" i="2"/>
  <c r="AW1105" i="2"/>
  <c r="CA1104" i="2"/>
  <c r="BY1104" i="2"/>
  <c r="BX1104" i="2"/>
  <c r="BW1104" i="2"/>
  <c r="BV1104" i="2"/>
  <c r="BU1104" i="2"/>
  <c r="BT1104" i="2"/>
  <c r="BS1104" i="2"/>
  <c r="BR1104" i="2"/>
  <c r="BQ1104" i="2"/>
  <c r="BP1104" i="2"/>
  <c r="BO1104" i="2"/>
  <c r="BN1104" i="2"/>
  <c r="BM1104" i="2"/>
  <c r="BL1104" i="2"/>
  <c r="BK1104" i="2"/>
  <c r="BJ1104" i="2"/>
  <c r="BI1104" i="2"/>
  <c r="BH1104" i="2"/>
  <c r="BG1104" i="2"/>
  <c r="BF1104" i="2"/>
  <c r="BE1104" i="2"/>
  <c r="BD1104" i="2"/>
  <c r="BC1104" i="2"/>
  <c r="BB1104" i="2"/>
  <c r="BA1104" i="2"/>
  <c r="AZ1104" i="2"/>
  <c r="AY1104" i="2"/>
  <c r="AX1104" i="2"/>
  <c r="AW1104" i="2"/>
  <c r="CA1103" i="2"/>
  <c r="BY1103" i="2"/>
  <c r="BX1103" i="2"/>
  <c r="BW1103" i="2"/>
  <c r="BV1103" i="2"/>
  <c r="BU1103" i="2"/>
  <c r="BT1103" i="2"/>
  <c r="BS1103" i="2"/>
  <c r="BR1103" i="2"/>
  <c r="BQ1103" i="2"/>
  <c r="BP1103" i="2"/>
  <c r="BO1103" i="2"/>
  <c r="BN1103" i="2"/>
  <c r="BM1103" i="2"/>
  <c r="BL1103" i="2"/>
  <c r="BK1103" i="2"/>
  <c r="BJ1103" i="2"/>
  <c r="BI1103" i="2"/>
  <c r="BH1103" i="2"/>
  <c r="BG1103" i="2"/>
  <c r="BF1103" i="2"/>
  <c r="BE1103" i="2"/>
  <c r="BD1103" i="2"/>
  <c r="BC1103" i="2"/>
  <c r="BB1103" i="2"/>
  <c r="BA1103" i="2"/>
  <c r="AZ1103" i="2"/>
  <c r="AY1103" i="2"/>
  <c r="AX1103" i="2"/>
  <c r="AW1103" i="2"/>
  <c r="CA1102" i="2"/>
  <c r="BY1102" i="2"/>
  <c r="BX1102" i="2"/>
  <c r="BW1102" i="2"/>
  <c r="BV1102" i="2"/>
  <c r="BU1102" i="2"/>
  <c r="BT1102" i="2"/>
  <c r="BS1102" i="2"/>
  <c r="BR1102" i="2"/>
  <c r="BQ1102" i="2"/>
  <c r="BP1102" i="2"/>
  <c r="BO1102" i="2"/>
  <c r="BN1102" i="2"/>
  <c r="BM1102" i="2"/>
  <c r="BL1102" i="2"/>
  <c r="BK1102" i="2"/>
  <c r="BJ1102" i="2"/>
  <c r="BI1102" i="2"/>
  <c r="BH1102" i="2"/>
  <c r="BG1102" i="2"/>
  <c r="BF1102" i="2"/>
  <c r="BE1102" i="2"/>
  <c r="BD1102" i="2"/>
  <c r="BC1102" i="2"/>
  <c r="BB1102" i="2"/>
  <c r="BA1102" i="2"/>
  <c r="AZ1102" i="2"/>
  <c r="AY1102" i="2"/>
  <c r="AX1102" i="2"/>
  <c r="AW1102" i="2"/>
  <c r="CA1101" i="2"/>
  <c r="BY1101" i="2"/>
  <c r="BX1101" i="2"/>
  <c r="BW1101" i="2"/>
  <c r="BV1101" i="2"/>
  <c r="BU1101" i="2"/>
  <c r="BT1101" i="2"/>
  <c r="BS1101" i="2"/>
  <c r="BR1101" i="2"/>
  <c r="BQ1101" i="2"/>
  <c r="BP1101" i="2"/>
  <c r="BO1101" i="2"/>
  <c r="BN1101" i="2"/>
  <c r="BM1101" i="2"/>
  <c r="BL1101" i="2"/>
  <c r="BK1101" i="2"/>
  <c r="BJ1101" i="2"/>
  <c r="BI1101" i="2"/>
  <c r="BH1101" i="2"/>
  <c r="BG1101" i="2"/>
  <c r="BF1101" i="2"/>
  <c r="BE1101" i="2"/>
  <c r="BD1101" i="2"/>
  <c r="BC1101" i="2"/>
  <c r="BB1101" i="2"/>
  <c r="BA1101" i="2"/>
  <c r="AZ1101" i="2"/>
  <c r="AY1101" i="2"/>
  <c r="AX1101" i="2"/>
  <c r="AW1101" i="2"/>
  <c r="CA1100" i="2"/>
  <c r="BY1100" i="2"/>
  <c r="BX1100" i="2"/>
  <c r="BW1100" i="2"/>
  <c r="BV1100" i="2"/>
  <c r="BU1100" i="2"/>
  <c r="BT1100" i="2"/>
  <c r="BS1100" i="2"/>
  <c r="BR1100" i="2"/>
  <c r="BQ1100" i="2"/>
  <c r="BP1100" i="2"/>
  <c r="BO1100" i="2"/>
  <c r="BN1100" i="2"/>
  <c r="BM1100" i="2"/>
  <c r="BL1100" i="2"/>
  <c r="BK1100" i="2"/>
  <c r="BJ1100" i="2"/>
  <c r="BI1100" i="2"/>
  <c r="BH1100" i="2"/>
  <c r="BG1100" i="2"/>
  <c r="BF1100" i="2"/>
  <c r="BE1100" i="2"/>
  <c r="BD1100" i="2"/>
  <c r="BC1100" i="2"/>
  <c r="BB1100" i="2"/>
  <c r="BA1100" i="2"/>
  <c r="AZ1100" i="2"/>
  <c r="AY1100" i="2"/>
  <c r="AX1100" i="2"/>
  <c r="AW1100" i="2"/>
  <c r="CA1099" i="2"/>
  <c r="BY1099" i="2"/>
  <c r="BX1099" i="2"/>
  <c r="BW1099" i="2"/>
  <c r="BV1099" i="2"/>
  <c r="BU1099" i="2"/>
  <c r="BT1099" i="2"/>
  <c r="BS1099" i="2"/>
  <c r="BR1099" i="2"/>
  <c r="BQ1099" i="2"/>
  <c r="BP1099" i="2"/>
  <c r="BO1099" i="2"/>
  <c r="BN1099" i="2"/>
  <c r="BM1099" i="2"/>
  <c r="BL1099" i="2"/>
  <c r="BK1099" i="2"/>
  <c r="BJ1099" i="2"/>
  <c r="BI1099" i="2"/>
  <c r="BH1099" i="2"/>
  <c r="BG1099" i="2"/>
  <c r="BF1099" i="2"/>
  <c r="BE1099" i="2"/>
  <c r="BD1099" i="2"/>
  <c r="BC1099" i="2"/>
  <c r="BB1099" i="2"/>
  <c r="BA1099" i="2"/>
  <c r="AZ1099" i="2"/>
  <c r="AY1099" i="2"/>
  <c r="AX1099" i="2"/>
  <c r="AW1099" i="2"/>
  <c r="CA1098" i="2"/>
  <c r="BY1098" i="2"/>
  <c r="BX1098" i="2"/>
  <c r="BW1098" i="2"/>
  <c r="BV1098" i="2"/>
  <c r="BU1098" i="2"/>
  <c r="BT1098" i="2"/>
  <c r="BS1098" i="2"/>
  <c r="BR1098" i="2"/>
  <c r="BQ1098" i="2"/>
  <c r="BP1098" i="2"/>
  <c r="BO1098" i="2"/>
  <c r="BN1098" i="2"/>
  <c r="BM1098" i="2"/>
  <c r="BL1098" i="2"/>
  <c r="BK1098" i="2"/>
  <c r="BJ1098" i="2"/>
  <c r="BI1098" i="2"/>
  <c r="BH1098" i="2"/>
  <c r="BG1098" i="2"/>
  <c r="BF1098" i="2"/>
  <c r="BE1098" i="2"/>
  <c r="BD1098" i="2"/>
  <c r="BC1098" i="2"/>
  <c r="BB1098" i="2"/>
  <c r="BA1098" i="2"/>
  <c r="AZ1098" i="2"/>
  <c r="AY1098" i="2"/>
  <c r="AX1098" i="2"/>
  <c r="AW1098" i="2"/>
  <c r="CA1097" i="2"/>
  <c r="BY1097" i="2"/>
  <c r="BX1097" i="2"/>
  <c r="BW1097" i="2"/>
  <c r="BV1097" i="2"/>
  <c r="BU1097" i="2"/>
  <c r="BT1097" i="2"/>
  <c r="BS1097" i="2"/>
  <c r="BR1097" i="2"/>
  <c r="BQ1097" i="2"/>
  <c r="BP1097" i="2"/>
  <c r="BO1097" i="2"/>
  <c r="BN1097" i="2"/>
  <c r="BM1097" i="2"/>
  <c r="BL1097" i="2"/>
  <c r="BK1097" i="2"/>
  <c r="BJ1097" i="2"/>
  <c r="BI1097" i="2"/>
  <c r="BH1097" i="2"/>
  <c r="BG1097" i="2"/>
  <c r="BF1097" i="2"/>
  <c r="BE1097" i="2"/>
  <c r="BD1097" i="2"/>
  <c r="BC1097" i="2"/>
  <c r="BB1097" i="2"/>
  <c r="BA1097" i="2"/>
  <c r="AZ1097" i="2"/>
  <c r="AY1097" i="2"/>
  <c r="AX1097" i="2"/>
  <c r="AW1097" i="2"/>
  <c r="CA1096" i="2"/>
  <c r="BY1096" i="2"/>
  <c r="BX1096" i="2"/>
  <c r="BW1096" i="2"/>
  <c r="BV1096" i="2"/>
  <c r="BU1096" i="2"/>
  <c r="BT1096" i="2"/>
  <c r="BS1096" i="2"/>
  <c r="BR1096" i="2"/>
  <c r="BQ1096" i="2"/>
  <c r="BP1096" i="2"/>
  <c r="BO1096" i="2"/>
  <c r="BN1096" i="2"/>
  <c r="BM1096" i="2"/>
  <c r="BL1096" i="2"/>
  <c r="BK1096" i="2"/>
  <c r="BJ1096" i="2"/>
  <c r="BI1096" i="2"/>
  <c r="BH1096" i="2"/>
  <c r="BG1096" i="2"/>
  <c r="BF1096" i="2"/>
  <c r="BE1096" i="2"/>
  <c r="BD1096" i="2"/>
  <c r="BC1096" i="2"/>
  <c r="BB1096" i="2"/>
  <c r="BA1096" i="2"/>
  <c r="AZ1096" i="2"/>
  <c r="AY1096" i="2"/>
  <c r="AX1096" i="2"/>
  <c r="AW1096" i="2"/>
  <c r="CA1095" i="2"/>
  <c r="BY1095" i="2"/>
  <c r="BX1095" i="2"/>
  <c r="BW1095" i="2"/>
  <c r="BV1095" i="2"/>
  <c r="BU1095" i="2"/>
  <c r="BT1095" i="2"/>
  <c r="BS1095" i="2"/>
  <c r="BR1095" i="2"/>
  <c r="BQ1095" i="2"/>
  <c r="BP1095" i="2"/>
  <c r="BO1095" i="2"/>
  <c r="BN1095" i="2"/>
  <c r="BM1095" i="2"/>
  <c r="BL1095" i="2"/>
  <c r="BK1095" i="2"/>
  <c r="BJ1095" i="2"/>
  <c r="BI1095" i="2"/>
  <c r="BH1095" i="2"/>
  <c r="BG1095" i="2"/>
  <c r="BF1095" i="2"/>
  <c r="BE1095" i="2"/>
  <c r="BD1095" i="2"/>
  <c r="BC1095" i="2"/>
  <c r="BB1095" i="2"/>
  <c r="BA1095" i="2"/>
  <c r="AZ1095" i="2"/>
  <c r="AY1095" i="2"/>
  <c r="AX1095" i="2"/>
  <c r="AW1095" i="2"/>
  <c r="CA1094" i="2"/>
  <c r="BY1094" i="2"/>
  <c r="BX1094" i="2"/>
  <c r="BW1094" i="2"/>
  <c r="BV1094" i="2"/>
  <c r="BU1094" i="2"/>
  <c r="BT1094" i="2"/>
  <c r="BS1094" i="2"/>
  <c r="BR1094" i="2"/>
  <c r="BQ1094" i="2"/>
  <c r="BP1094" i="2"/>
  <c r="BO1094" i="2"/>
  <c r="BN1094" i="2"/>
  <c r="BM1094" i="2"/>
  <c r="BL1094" i="2"/>
  <c r="BK1094" i="2"/>
  <c r="BJ1094" i="2"/>
  <c r="BI1094" i="2"/>
  <c r="BH1094" i="2"/>
  <c r="BG1094" i="2"/>
  <c r="BF1094" i="2"/>
  <c r="BE1094" i="2"/>
  <c r="BD1094" i="2"/>
  <c r="BC1094" i="2"/>
  <c r="BB1094" i="2"/>
  <c r="BA1094" i="2"/>
  <c r="AZ1094" i="2"/>
  <c r="AY1094" i="2"/>
  <c r="AX1094" i="2"/>
  <c r="AW1094" i="2"/>
  <c r="CA1093" i="2"/>
  <c r="BY1093" i="2"/>
  <c r="BX1093" i="2"/>
  <c r="BW1093" i="2"/>
  <c r="BV1093" i="2"/>
  <c r="BU1093" i="2"/>
  <c r="BT1093" i="2"/>
  <c r="BS1093" i="2"/>
  <c r="BR1093" i="2"/>
  <c r="BQ1093" i="2"/>
  <c r="BP1093" i="2"/>
  <c r="BO1093" i="2"/>
  <c r="BN1093" i="2"/>
  <c r="BM1093" i="2"/>
  <c r="BL1093" i="2"/>
  <c r="BK1093" i="2"/>
  <c r="BJ1093" i="2"/>
  <c r="BI1093" i="2"/>
  <c r="BH1093" i="2"/>
  <c r="BG1093" i="2"/>
  <c r="BF1093" i="2"/>
  <c r="BE1093" i="2"/>
  <c r="BD1093" i="2"/>
  <c r="BC1093" i="2"/>
  <c r="BB1093" i="2"/>
  <c r="BA1093" i="2"/>
  <c r="AZ1093" i="2"/>
  <c r="AY1093" i="2"/>
  <c r="AX1093" i="2"/>
  <c r="AW1093" i="2"/>
  <c r="CA1092" i="2"/>
  <c r="BY1092" i="2"/>
  <c r="BX1092" i="2"/>
  <c r="BW1092" i="2"/>
  <c r="BV1092" i="2"/>
  <c r="BU1092" i="2"/>
  <c r="BT1092" i="2"/>
  <c r="BS1092" i="2"/>
  <c r="BR1092" i="2"/>
  <c r="BQ1092" i="2"/>
  <c r="BP1092" i="2"/>
  <c r="BO1092" i="2"/>
  <c r="BN1092" i="2"/>
  <c r="BM1092" i="2"/>
  <c r="BL1092" i="2"/>
  <c r="BK1092" i="2"/>
  <c r="BJ1092" i="2"/>
  <c r="BI1092" i="2"/>
  <c r="BH1092" i="2"/>
  <c r="BG1092" i="2"/>
  <c r="BF1092" i="2"/>
  <c r="BE1092" i="2"/>
  <c r="BD1092" i="2"/>
  <c r="BC1092" i="2"/>
  <c r="BB1092" i="2"/>
  <c r="BA1092" i="2"/>
  <c r="AZ1092" i="2"/>
  <c r="AY1092" i="2"/>
  <c r="AX1092" i="2"/>
  <c r="AW1092" i="2"/>
  <c r="CA1091" i="2"/>
  <c r="BY1091" i="2"/>
  <c r="BX1091" i="2"/>
  <c r="BW1091" i="2"/>
  <c r="BV1091" i="2"/>
  <c r="BU1091" i="2"/>
  <c r="BT1091" i="2"/>
  <c r="BS1091" i="2"/>
  <c r="BR1091" i="2"/>
  <c r="BQ1091" i="2"/>
  <c r="BP1091" i="2"/>
  <c r="BO1091" i="2"/>
  <c r="BN1091" i="2"/>
  <c r="BM1091" i="2"/>
  <c r="BL1091" i="2"/>
  <c r="BK1091" i="2"/>
  <c r="BJ1091" i="2"/>
  <c r="BI1091" i="2"/>
  <c r="BH1091" i="2"/>
  <c r="BG1091" i="2"/>
  <c r="BF1091" i="2"/>
  <c r="BE1091" i="2"/>
  <c r="BD1091" i="2"/>
  <c r="BC1091" i="2"/>
  <c r="BB1091" i="2"/>
  <c r="BA1091" i="2"/>
  <c r="AZ1091" i="2"/>
  <c r="AY1091" i="2"/>
  <c r="AX1091" i="2"/>
  <c r="AW1091" i="2"/>
  <c r="CA1090" i="2"/>
  <c r="BY1090" i="2"/>
  <c r="BX1090" i="2"/>
  <c r="BW1090" i="2"/>
  <c r="BV1090" i="2"/>
  <c r="BU1090" i="2"/>
  <c r="BT1090" i="2"/>
  <c r="BS1090" i="2"/>
  <c r="BR1090" i="2"/>
  <c r="BQ1090" i="2"/>
  <c r="BP1090" i="2"/>
  <c r="BO1090" i="2"/>
  <c r="BN1090" i="2"/>
  <c r="BM1090" i="2"/>
  <c r="BL1090" i="2"/>
  <c r="BK1090" i="2"/>
  <c r="BJ1090" i="2"/>
  <c r="BI1090" i="2"/>
  <c r="BH1090" i="2"/>
  <c r="BG1090" i="2"/>
  <c r="BF1090" i="2"/>
  <c r="BE1090" i="2"/>
  <c r="BD1090" i="2"/>
  <c r="BC1090" i="2"/>
  <c r="BB1090" i="2"/>
  <c r="BA1090" i="2"/>
  <c r="AZ1090" i="2"/>
  <c r="AY1090" i="2"/>
  <c r="AX1090" i="2"/>
  <c r="AW1090" i="2"/>
  <c r="CA1089" i="2"/>
  <c r="BY1089" i="2"/>
  <c r="BX1089" i="2"/>
  <c r="BW1089" i="2"/>
  <c r="BV1089" i="2"/>
  <c r="BU1089" i="2"/>
  <c r="BT1089" i="2"/>
  <c r="BS1089" i="2"/>
  <c r="BR1089" i="2"/>
  <c r="BQ1089" i="2"/>
  <c r="BP1089" i="2"/>
  <c r="BO1089" i="2"/>
  <c r="BN1089" i="2"/>
  <c r="BM1089" i="2"/>
  <c r="BL1089" i="2"/>
  <c r="BK1089" i="2"/>
  <c r="BJ1089" i="2"/>
  <c r="BI1089" i="2"/>
  <c r="BH1089" i="2"/>
  <c r="BG1089" i="2"/>
  <c r="BF1089" i="2"/>
  <c r="BE1089" i="2"/>
  <c r="BD1089" i="2"/>
  <c r="BC1089" i="2"/>
  <c r="BB1089" i="2"/>
  <c r="BA1089" i="2"/>
  <c r="AZ1089" i="2"/>
  <c r="AY1089" i="2"/>
  <c r="AX1089" i="2"/>
  <c r="AW1089" i="2"/>
  <c r="CA1088" i="2"/>
  <c r="BY1088" i="2"/>
  <c r="BX1088" i="2"/>
  <c r="BW1088" i="2"/>
  <c r="BV1088" i="2"/>
  <c r="BU1088" i="2"/>
  <c r="BT1088" i="2"/>
  <c r="BS1088" i="2"/>
  <c r="BR1088" i="2"/>
  <c r="BQ1088" i="2"/>
  <c r="BP1088" i="2"/>
  <c r="BO1088" i="2"/>
  <c r="BN1088" i="2"/>
  <c r="BM1088" i="2"/>
  <c r="BL1088" i="2"/>
  <c r="BK1088" i="2"/>
  <c r="BJ1088" i="2"/>
  <c r="BI1088" i="2"/>
  <c r="BH1088" i="2"/>
  <c r="BG1088" i="2"/>
  <c r="BF1088" i="2"/>
  <c r="BE1088" i="2"/>
  <c r="BD1088" i="2"/>
  <c r="BC1088" i="2"/>
  <c r="BB1088" i="2"/>
  <c r="BA1088" i="2"/>
  <c r="AZ1088" i="2"/>
  <c r="AY1088" i="2"/>
  <c r="AX1088" i="2"/>
  <c r="AW1088" i="2"/>
  <c r="CA1087" i="2"/>
  <c r="BY1087" i="2"/>
  <c r="BX1087" i="2"/>
  <c r="BW1087" i="2"/>
  <c r="BV1087" i="2"/>
  <c r="BU1087" i="2"/>
  <c r="BT1087" i="2"/>
  <c r="BS1087" i="2"/>
  <c r="BR1087" i="2"/>
  <c r="BQ1087" i="2"/>
  <c r="BP1087" i="2"/>
  <c r="BO1087" i="2"/>
  <c r="BN1087" i="2"/>
  <c r="BM1087" i="2"/>
  <c r="BL1087" i="2"/>
  <c r="BK1087" i="2"/>
  <c r="BJ1087" i="2"/>
  <c r="BI1087" i="2"/>
  <c r="BH1087" i="2"/>
  <c r="BG1087" i="2"/>
  <c r="BF1087" i="2"/>
  <c r="BE1087" i="2"/>
  <c r="BD1087" i="2"/>
  <c r="BC1087" i="2"/>
  <c r="BB1087" i="2"/>
  <c r="BA1087" i="2"/>
  <c r="AZ1087" i="2"/>
  <c r="AY1087" i="2"/>
  <c r="AX1087" i="2"/>
  <c r="AW1087" i="2"/>
  <c r="CA1086" i="2"/>
  <c r="BY1086" i="2"/>
  <c r="BX1086" i="2"/>
  <c r="BW1086" i="2"/>
  <c r="BV1086" i="2"/>
  <c r="BU1086" i="2"/>
  <c r="BT1086" i="2"/>
  <c r="BS1086" i="2"/>
  <c r="BR1086" i="2"/>
  <c r="BQ1086" i="2"/>
  <c r="BP1086" i="2"/>
  <c r="BO1086" i="2"/>
  <c r="BN1086" i="2"/>
  <c r="BM1086" i="2"/>
  <c r="BL1086" i="2"/>
  <c r="BK1086" i="2"/>
  <c r="BJ1086" i="2"/>
  <c r="BI1086" i="2"/>
  <c r="BH1086" i="2"/>
  <c r="BG1086" i="2"/>
  <c r="BF1086" i="2"/>
  <c r="BE1086" i="2"/>
  <c r="BD1086" i="2"/>
  <c r="BC1086" i="2"/>
  <c r="BB1086" i="2"/>
  <c r="BA1086" i="2"/>
  <c r="AZ1086" i="2"/>
  <c r="AY1086" i="2"/>
  <c r="AX1086" i="2"/>
  <c r="AW1086" i="2"/>
  <c r="CA1085" i="2"/>
  <c r="BY1085" i="2"/>
  <c r="BX1085" i="2"/>
  <c r="BW1085" i="2"/>
  <c r="BV1085" i="2"/>
  <c r="BU1085" i="2"/>
  <c r="BT1085" i="2"/>
  <c r="BS1085" i="2"/>
  <c r="BR1085" i="2"/>
  <c r="BQ1085" i="2"/>
  <c r="BP1085" i="2"/>
  <c r="BO1085" i="2"/>
  <c r="BN1085" i="2"/>
  <c r="BM1085" i="2"/>
  <c r="BL1085" i="2"/>
  <c r="BK1085" i="2"/>
  <c r="BJ1085" i="2"/>
  <c r="BI1085" i="2"/>
  <c r="BH1085" i="2"/>
  <c r="BG1085" i="2"/>
  <c r="BF1085" i="2"/>
  <c r="BE1085" i="2"/>
  <c r="BD1085" i="2"/>
  <c r="BC1085" i="2"/>
  <c r="BB1085" i="2"/>
  <c r="BA1085" i="2"/>
  <c r="AZ1085" i="2"/>
  <c r="AY1085" i="2"/>
  <c r="AX1085" i="2"/>
  <c r="AW1085" i="2"/>
  <c r="CA1084" i="2"/>
  <c r="BY1084" i="2"/>
  <c r="BX1084" i="2"/>
  <c r="BW1084" i="2"/>
  <c r="BV1084" i="2"/>
  <c r="BU1084" i="2"/>
  <c r="BT1084" i="2"/>
  <c r="BS1084" i="2"/>
  <c r="BR1084" i="2"/>
  <c r="BQ1084" i="2"/>
  <c r="BP1084" i="2"/>
  <c r="BO1084" i="2"/>
  <c r="BN1084" i="2"/>
  <c r="BM1084" i="2"/>
  <c r="BL1084" i="2"/>
  <c r="BK1084" i="2"/>
  <c r="BJ1084" i="2"/>
  <c r="BI1084" i="2"/>
  <c r="BH1084" i="2"/>
  <c r="BG1084" i="2"/>
  <c r="BF1084" i="2"/>
  <c r="BE1084" i="2"/>
  <c r="BD1084" i="2"/>
  <c r="BC1084" i="2"/>
  <c r="BB1084" i="2"/>
  <c r="BA1084" i="2"/>
  <c r="AZ1084" i="2"/>
  <c r="AY1084" i="2"/>
  <c r="AX1084" i="2"/>
  <c r="AW1084" i="2"/>
  <c r="CA1083" i="2"/>
  <c r="BY1083" i="2"/>
  <c r="BX1083" i="2"/>
  <c r="BW1083" i="2"/>
  <c r="BV1083" i="2"/>
  <c r="BU1083" i="2"/>
  <c r="BT1083" i="2"/>
  <c r="BS1083" i="2"/>
  <c r="BR1083" i="2"/>
  <c r="BQ1083" i="2"/>
  <c r="BP1083" i="2"/>
  <c r="BO1083" i="2"/>
  <c r="BN1083" i="2"/>
  <c r="BM1083" i="2"/>
  <c r="BL1083" i="2"/>
  <c r="BK1083" i="2"/>
  <c r="BJ1083" i="2"/>
  <c r="BI1083" i="2"/>
  <c r="BH1083" i="2"/>
  <c r="BG1083" i="2"/>
  <c r="BF1083" i="2"/>
  <c r="BE1083" i="2"/>
  <c r="BD1083" i="2"/>
  <c r="BC1083" i="2"/>
  <c r="BB1083" i="2"/>
  <c r="BA1083" i="2"/>
  <c r="AZ1083" i="2"/>
  <c r="AY1083" i="2"/>
  <c r="AX1083" i="2"/>
  <c r="AW1083" i="2"/>
  <c r="CA1082" i="2"/>
  <c r="BY1082" i="2"/>
  <c r="BX1082" i="2"/>
  <c r="BW1082" i="2"/>
  <c r="BV1082" i="2"/>
  <c r="BU1082" i="2"/>
  <c r="BT1082" i="2"/>
  <c r="BS1082" i="2"/>
  <c r="BR1082" i="2"/>
  <c r="BQ1082" i="2"/>
  <c r="BP1082" i="2"/>
  <c r="BO1082" i="2"/>
  <c r="BN1082" i="2"/>
  <c r="BM1082" i="2"/>
  <c r="BL1082" i="2"/>
  <c r="BK1082" i="2"/>
  <c r="BJ1082" i="2"/>
  <c r="BI1082" i="2"/>
  <c r="BH1082" i="2"/>
  <c r="BG1082" i="2"/>
  <c r="BF1082" i="2"/>
  <c r="BE1082" i="2"/>
  <c r="BD1082" i="2"/>
  <c r="BC1082" i="2"/>
  <c r="BB1082" i="2"/>
  <c r="BA1082" i="2"/>
  <c r="AZ1082" i="2"/>
  <c r="AY1082" i="2"/>
  <c r="AX1082" i="2"/>
  <c r="AW1082" i="2"/>
  <c r="CA1081" i="2"/>
  <c r="BY1081" i="2"/>
  <c r="BX1081" i="2"/>
  <c r="BW1081" i="2"/>
  <c r="BV1081" i="2"/>
  <c r="BU1081" i="2"/>
  <c r="BT1081" i="2"/>
  <c r="BS1081" i="2"/>
  <c r="BR1081" i="2"/>
  <c r="BQ1081" i="2"/>
  <c r="BP1081" i="2"/>
  <c r="BO1081" i="2"/>
  <c r="BN1081" i="2"/>
  <c r="BM1081" i="2"/>
  <c r="BL1081" i="2"/>
  <c r="BK1081" i="2"/>
  <c r="BJ1081" i="2"/>
  <c r="BI1081" i="2"/>
  <c r="BH1081" i="2"/>
  <c r="BG1081" i="2"/>
  <c r="BF1081" i="2"/>
  <c r="BE1081" i="2"/>
  <c r="BD1081" i="2"/>
  <c r="BC1081" i="2"/>
  <c r="BB1081" i="2"/>
  <c r="BA1081" i="2"/>
  <c r="AZ1081" i="2"/>
  <c r="AY1081" i="2"/>
  <c r="AX1081" i="2"/>
  <c r="AW1081" i="2"/>
  <c r="CA1080" i="2"/>
  <c r="BY1080" i="2"/>
  <c r="BX1080" i="2"/>
  <c r="BW1080" i="2"/>
  <c r="BV1080" i="2"/>
  <c r="BU1080" i="2"/>
  <c r="BT1080" i="2"/>
  <c r="BS1080" i="2"/>
  <c r="BR1080" i="2"/>
  <c r="BQ1080" i="2"/>
  <c r="BP1080" i="2"/>
  <c r="BO1080" i="2"/>
  <c r="BN1080" i="2"/>
  <c r="BM1080" i="2"/>
  <c r="BL1080" i="2"/>
  <c r="BK1080" i="2"/>
  <c r="BJ1080" i="2"/>
  <c r="BI1080" i="2"/>
  <c r="BH1080" i="2"/>
  <c r="BG1080" i="2"/>
  <c r="BF1080" i="2"/>
  <c r="BE1080" i="2"/>
  <c r="BD1080" i="2"/>
  <c r="BC1080" i="2"/>
  <c r="BB1080" i="2"/>
  <c r="BA1080" i="2"/>
  <c r="AZ1080" i="2"/>
  <c r="AY1080" i="2"/>
  <c r="AX1080" i="2"/>
  <c r="AW1080" i="2"/>
  <c r="CA1079" i="2"/>
  <c r="BY1079" i="2"/>
  <c r="BX1079" i="2"/>
  <c r="BW1079" i="2"/>
  <c r="BV1079" i="2"/>
  <c r="BU1079" i="2"/>
  <c r="BT1079" i="2"/>
  <c r="BS1079" i="2"/>
  <c r="BR1079" i="2"/>
  <c r="BQ1079" i="2"/>
  <c r="BP1079" i="2"/>
  <c r="BO1079" i="2"/>
  <c r="BN1079" i="2"/>
  <c r="BM1079" i="2"/>
  <c r="BL1079" i="2"/>
  <c r="BK1079" i="2"/>
  <c r="BJ1079" i="2"/>
  <c r="BI1079" i="2"/>
  <c r="BH1079" i="2"/>
  <c r="BG1079" i="2"/>
  <c r="BF1079" i="2"/>
  <c r="BE1079" i="2"/>
  <c r="BD1079" i="2"/>
  <c r="BC1079" i="2"/>
  <c r="BB1079" i="2"/>
  <c r="BA1079" i="2"/>
  <c r="AZ1079" i="2"/>
  <c r="AY1079" i="2"/>
  <c r="AX1079" i="2"/>
  <c r="AW1079" i="2"/>
  <c r="CA1078" i="2"/>
  <c r="BY1078" i="2"/>
  <c r="BX1078" i="2"/>
  <c r="BW1078" i="2"/>
  <c r="BV1078" i="2"/>
  <c r="BU1078" i="2"/>
  <c r="BT1078" i="2"/>
  <c r="BS1078" i="2"/>
  <c r="BR1078" i="2"/>
  <c r="BQ1078" i="2"/>
  <c r="BP1078" i="2"/>
  <c r="BO1078" i="2"/>
  <c r="BN1078" i="2"/>
  <c r="BM1078" i="2"/>
  <c r="BL1078" i="2"/>
  <c r="BK1078" i="2"/>
  <c r="BJ1078" i="2"/>
  <c r="BI1078" i="2"/>
  <c r="BH1078" i="2"/>
  <c r="BG1078" i="2"/>
  <c r="BF1078" i="2"/>
  <c r="BE1078" i="2"/>
  <c r="BD1078" i="2"/>
  <c r="BC1078" i="2"/>
  <c r="BB1078" i="2"/>
  <c r="BA1078" i="2"/>
  <c r="AZ1078" i="2"/>
  <c r="AY1078" i="2"/>
  <c r="AX1078" i="2"/>
  <c r="AW1078" i="2"/>
  <c r="CA1077" i="2"/>
  <c r="BY1077" i="2"/>
  <c r="BX1077" i="2"/>
  <c r="BW1077" i="2"/>
  <c r="BV1077" i="2"/>
  <c r="BU1077" i="2"/>
  <c r="BT1077" i="2"/>
  <c r="BS1077" i="2"/>
  <c r="BR1077" i="2"/>
  <c r="BQ1077" i="2"/>
  <c r="BP1077" i="2"/>
  <c r="BO1077" i="2"/>
  <c r="BN1077" i="2"/>
  <c r="BM1077" i="2"/>
  <c r="BL1077" i="2"/>
  <c r="BK1077" i="2"/>
  <c r="BJ1077" i="2"/>
  <c r="BI1077" i="2"/>
  <c r="BH1077" i="2"/>
  <c r="BG1077" i="2"/>
  <c r="BF1077" i="2"/>
  <c r="BE1077" i="2"/>
  <c r="BD1077" i="2"/>
  <c r="BC1077" i="2"/>
  <c r="BB1077" i="2"/>
  <c r="BA1077" i="2"/>
  <c r="AZ1077" i="2"/>
  <c r="AY1077" i="2"/>
  <c r="AX1077" i="2"/>
  <c r="AW1077" i="2"/>
  <c r="CA1076" i="2"/>
  <c r="BY1076" i="2"/>
  <c r="BX1076" i="2"/>
  <c r="BW1076" i="2"/>
  <c r="BV1076" i="2"/>
  <c r="BU1076" i="2"/>
  <c r="BT1076" i="2"/>
  <c r="BS1076" i="2"/>
  <c r="BR1076" i="2"/>
  <c r="BQ1076" i="2"/>
  <c r="BP1076" i="2"/>
  <c r="BO1076" i="2"/>
  <c r="BN1076" i="2"/>
  <c r="BM1076" i="2"/>
  <c r="BL1076" i="2"/>
  <c r="BK1076" i="2"/>
  <c r="BJ1076" i="2"/>
  <c r="BI1076" i="2"/>
  <c r="BH1076" i="2"/>
  <c r="BG1076" i="2"/>
  <c r="BF1076" i="2"/>
  <c r="BE1076" i="2"/>
  <c r="BD1076" i="2"/>
  <c r="BC1076" i="2"/>
  <c r="BB1076" i="2"/>
  <c r="BA1076" i="2"/>
  <c r="AZ1076" i="2"/>
  <c r="AY1076" i="2"/>
  <c r="AX1076" i="2"/>
  <c r="AW1076" i="2"/>
  <c r="CA1075" i="2"/>
  <c r="BY1075" i="2"/>
  <c r="BX1075" i="2"/>
  <c r="BW1075" i="2"/>
  <c r="BV1075" i="2"/>
  <c r="BU1075" i="2"/>
  <c r="BT1075" i="2"/>
  <c r="BS1075" i="2"/>
  <c r="BR1075" i="2"/>
  <c r="BQ1075" i="2"/>
  <c r="BP1075" i="2"/>
  <c r="BO1075" i="2"/>
  <c r="BN1075" i="2"/>
  <c r="BM1075" i="2"/>
  <c r="BL1075" i="2"/>
  <c r="BK1075" i="2"/>
  <c r="BJ1075" i="2"/>
  <c r="BI1075" i="2"/>
  <c r="BH1075" i="2"/>
  <c r="BG1075" i="2"/>
  <c r="BF1075" i="2"/>
  <c r="BE1075" i="2"/>
  <c r="BD1075" i="2"/>
  <c r="BC1075" i="2"/>
  <c r="BB1075" i="2"/>
  <c r="BA1075" i="2"/>
  <c r="AZ1075" i="2"/>
  <c r="AY1075" i="2"/>
  <c r="AX1075" i="2"/>
  <c r="AW1075" i="2"/>
  <c r="CA1074" i="2"/>
  <c r="BY1074" i="2"/>
  <c r="BX1074" i="2"/>
  <c r="BW1074" i="2"/>
  <c r="BV1074" i="2"/>
  <c r="BU1074" i="2"/>
  <c r="BT1074" i="2"/>
  <c r="BS1074" i="2"/>
  <c r="BR1074" i="2"/>
  <c r="BQ1074" i="2"/>
  <c r="BP1074" i="2"/>
  <c r="BO1074" i="2"/>
  <c r="BN1074" i="2"/>
  <c r="BM1074" i="2"/>
  <c r="BL1074" i="2"/>
  <c r="BK1074" i="2"/>
  <c r="BJ1074" i="2"/>
  <c r="BI1074" i="2"/>
  <c r="BH1074" i="2"/>
  <c r="BG1074" i="2"/>
  <c r="BF1074" i="2"/>
  <c r="BE1074" i="2"/>
  <c r="BD1074" i="2"/>
  <c r="BC1074" i="2"/>
  <c r="BB1074" i="2"/>
  <c r="BA1074" i="2"/>
  <c r="AZ1074" i="2"/>
  <c r="AY1074" i="2"/>
  <c r="AX1074" i="2"/>
  <c r="AW1074" i="2"/>
  <c r="CA1073" i="2"/>
  <c r="BY1073" i="2"/>
  <c r="BX1073" i="2"/>
  <c r="BW1073" i="2"/>
  <c r="BV1073" i="2"/>
  <c r="BU1073" i="2"/>
  <c r="BT1073" i="2"/>
  <c r="BS1073" i="2"/>
  <c r="BR1073" i="2"/>
  <c r="BQ1073" i="2"/>
  <c r="BP1073" i="2"/>
  <c r="BO1073" i="2"/>
  <c r="BN1073" i="2"/>
  <c r="BM1073" i="2"/>
  <c r="BL1073" i="2"/>
  <c r="BK1073" i="2"/>
  <c r="BJ1073" i="2"/>
  <c r="BI1073" i="2"/>
  <c r="BH1073" i="2"/>
  <c r="BG1073" i="2"/>
  <c r="BF1073" i="2"/>
  <c r="BE1073" i="2"/>
  <c r="BD1073" i="2"/>
  <c r="BC1073" i="2"/>
  <c r="BB1073" i="2"/>
  <c r="BA1073" i="2"/>
  <c r="AZ1073" i="2"/>
  <c r="AY1073" i="2"/>
  <c r="AX1073" i="2"/>
  <c r="AW1073" i="2"/>
  <c r="CA1072" i="2"/>
  <c r="BY1072" i="2"/>
  <c r="BX1072" i="2"/>
  <c r="BW1072" i="2"/>
  <c r="BV1072" i="2"/>
  <c r="BU1072" i="2"/>
  <c r="BT1072" i="2"/>
  <c r="BS1072" i="2"/>
  <c r="BR1072" i="2"/>
  <c r="BQ1072" i="2"/>
  <c r="BP1072" i="2"/>
  <c r="BO1072" i="2"/>
  <c r="BN1072" i="2"/>
  <c r="BM1072" i="2"/>
  <c r="BL1072" i="2"/>
  <c r="BK1072" i="2"/>
  <c r="BJ1072" i="2"/>
  <c r="BI1072" i="2"/>
  <c r="BH1072" i="2"/>
  <c r="BG1072" i="2"/>
  <c r="BF1072" i="2"/>
  <c r="BE1072" i="2"/>
  <c r="BD1072" i="2"/>
  <c r="BC1072" i="2"/>
  <c r="BB1072" i="2"/>
  <c r="BA1072" i="2"/>
  <c r="AZ1072" i="2"/>
  <c r="AY1072" i="2"/>
  <c r="AX1072" i="2"/>
  <c r="AW1072" i="2"/>
  <c r="CA1071" i="2"/>
  <c r="BY1071" i="2"/>
  <c r="BX1071" i="2"/>
  <c r="BW1071" i="2"/>
  <c r="BV1071" i="2"/>
  <c r="BU1071" i="2"/>
  <c r="BT1071" i="2"/>
  <c r="BS1071" i="2"/>
  <c r="BR1071" i="2"/>
  <c r="BQ1071" i="2"/>
  <c r="BP1071" i="2"/>
  <c r="BO1071" i="2"/>
  <c r="BN1071" i="2"/>
  <c r="BM1071" i="2"/>
  <c r="BL1071" i="2"/>
  <c r="BK1071" i="2"/>
  <c r="BJ1071" i="2"/>
  <c r="BI1071" i="2"/>
  <c r="BH1071" i="2"/>
  <c r="BG1071" i="2"/>
  <c r="BF1071" i="2"/>
  <c r="BE1071" i="2"/>
  <c r="BD1071" i="2"/>
  <c r="BC1071" i="2"/>
  <c r="BB1071" i="2"/>
  <c r="BA1071" i="2"/>
  <c r="AZ1071" i="2"/>
  <c r="AY1071" i="2"/>
  <c r="AX1071" i="2"/>
  <c r="AW1071" i="2"/>
  <c r="BZ1071" i="2" s="1"/>
  <c r="CC1071" i="2" s="1"/>
  <c r="CA1070" i="2"/>
  <c r="BY1070" i="2"/>
  <c r="BX1070" i="2"/>
  <c r="BW1070" i="2"/>
  <c r="BV1070" i="2"/>
  <c r="BU1070" i="2"/>
  <c r="BT1070" i="2"/>
  <c r="BS1070" i="2"/>
  <c r="BR1070" i="2"/>
  <c r="BQ1070" i="2"/>
  <c r="BP1070" i="2"/>
  <c r="BO1070" i="2"/>
  <c r="BN1070" i="2"/>
  <c r="BM1070" i="2"/>
  <c r="BL1070" i="2"/>
  <c r="BK1070" i="2"/>
  <c r="BJ1070" i="2"/>
  <c r="BI1070" i="2"/>
  <c r="BH1070" i="2"/>
  <c r="BG1070" i="2"/>
  <c r="BF1070" i="2"/>
  <c r="BE1070" i="2"/>
  <c r="BD1070" i="2"/>
  <c r="BC1070" i="2"/>
  <c r="BB1070" i="2"/>
  <c r="BA1070" i="2"/>
  <c r="AZ1070" i="2"/>
  <c r="AY1070" i="2"/>
  <c r="AX1070" i="2"/>
  <c r="AW1070" i="2"/>
  <c r="CA1069" i="2"/>
  <c r="BY1069" i="2"/>
  <c r="BX1069" i="2"/>
  <c r="BW1069" i="2"/>
  <c r="BV1069" i="2"/>
  <c r="BU1069" i="2"/>
  <c r="BT1069" i="2"/>
  <c r="BS1069" i="2"/>
  <c r="BR1069" i="2"/>
  <c r="BQ1069" i="2"/>
  <c r="BP1069" i="2"/>
  <c r="BO1069" i="2"/>
  <c r="BN1069" i="2"/>
  <c r="BM1069" i="2"/>
  <c r="BL1069" i="2"/>
  <c r="BK1069" i="2"/>
  <c r="BJ1069" i="2"/>
  <c r="BI1069" i="2"/>
  <c r="BH1069" i="2"/>
  <c r="BG1069" i="2"/>
  <c r="BF1069" i="2"/>
  <c r="BE1069" i="2"/>
  <c r="BD1069" i="2"/>
  <c r="BC1069" i="2"/>
  <c r="BB1069" i="2"/>
  <c r="BA1069" i="2"/>
  <c r="AZ1069" i="2"/>
  <c r="AY1069" i="2"/>
  <c r="AX1069" i="2"/>
  <c r="AW1069" i="2"/>
  <c r="CA1068" i="2"/>
  <c r="BY1068" i="2"/>
  <c r="BX1068" i="2"/>
  <c r="BW1068" i="2"/>
  <c r="BV1068" i="2"/>
  <c r="BU1068" i="2"/>
  <c r="BT1068" i="2"/>
  <c r="BS1068" i="2"/>
  <c r="BR1068" i="2"/>
  <c r="BQ1068" i="2"/>
  <c r="BP1068" i="2"/>
  <c r="BO1068" i="2"/>
  <c r="BN1068" i="2"/>
  <c r="BM1068" i="2"/>
  <c r="BL1068" i="2"/>
  <c r="BK1068" i="2"/>
  <c r="BJ1068" i="2"/>
  <c r="BI1068" i="2"/>
  <c r="BH1068" i="2"/>
  <c r="BG1068" i="2"/>
  <c r="BF1068" i="2"/>
  <c r="BE1068" i="2"/>
  <c r="BD1068" i="2"/>
  <c r="BC1068" i="2"/>
  <c r="BB1068" i="2"/>
  <c r="BA1068" i="2"/>
  <c r="AZ1068" i="2"/>
  <c r="AY1068" i="2"/>
  <c r="AX1068" i="2"/>
  <c r="AW1068" i="2"/>
  <c r="CA1067" i="2"/>
  <c r="BY1067" i="2"/>
  <c r="BX1067" i="2"/>
  <c r="BW1067" i="2"/>
  <c r="BV1067" i="2"/>
  <c r="BU1067" i="2"/>
  <c r="BT1067" i="2"/>
  <c r="BS1067" i="2"/>
  <c r="BR1067" i="2"/>
  <c r="BQ1067" i="2"/>
  <c r="BP1067" i="2"/>
  <c r="BO1067" i="2"/>
  <c r="BN1067" i="2"/>
  <c r="BM1067" i="2"/>
  <c r="BL1067" i="2"/>
  <c r="BK1067" i="2"/>
  <c r="BJ1067" i="2"/>
  <c r="BI1067" i="2"/>
  <c r="BH1067" i="2"/>
  <c r="BG1067" i="2"/>
  <c r="BF1067" i="2"/>
  <c r="BE1067" i="2"/>
  <c r="BD1067" i="2"/>
  <c r="BC1067" i="2"/>
  <c r="BB1067" i="2"/>
  <c r="BA1067" i="2"/>
  <c r="AZ1067" i="2"/>
  <c r="AY1067" i="2"/>
  <c r="AX1067" i="2"/>
  <c r="AW1067" i="2"/>
  <c r="CA1066" i="2"/>
  <c r="BY1066" i="2"/>
  <c r="BX1066" i="2"/>
  <c r="BW1066" i="2"/>
  <c r="BV1066" i="2"/>
  <c r="BU1066" i="2"/>
  <c r="BT1066" i="2"/>
  <c r="BS1066" i="2"/>
  <c r="BR1066" i="2"/>
  <c r="BQ1066" i="2"/>
  <c r="BP1066" i="2"/>
  <c r="BO1066" i="2"/>
  <c r="BN1066" i="2"/>
  <c r="BM1066" i="2"/>
  <c r="BL1066" i="2"/>
  <c r="BK1066" i="2"/>
  <c r="BJ1066" i="2"/>
  <c r="BI1066" i="2"/>
  <c r="BH1066" i="2"/>
  <c r="BG1066" i="2"/>
  <c r="BF1066" i="2"/>
  <c r="BE1066" i="2"/>
  <c r="BD1066" i="2"/>
  <c r="BC1066" i="2"/>
  <c r="BB1066" i="2"/>
  <c r="BA1066" i="2"/>
  <c r="AZ1066" i="2"/>
  <c r="AY1066" i="2"/>
  <c r="AX1066" i="2"/>
  <c r="AW1066" i="2"/>
  <c r="CA1065" i="2"/>
  <c r="BY1065" i="2"/>
  <c r="BX1065" i="2"/>
  <c r="BW1065" i="2"/>
  <c r="BV1065" i="2"/>
  <c r="BU1065" i="2"/>
  <c r="BT1065" i="2"/>
  <c r="BS1065" i="2"/>
  <c r="BR1065" i="2"/>
  <c r="BQ1065" i="2"/>
  <c r="BP1065" i="2"/>
  <c r="BO1065" i="2"/>
  <c r="BN1065" i="2"/>
  <c r="BM1065" i="2"/>
  <c r="BL1065" i="2"/>
  <c r="BK1065" i="2"/>
  <c r="BJ1065" i="2"/>
  <c r="BI1065" i="2"/>
  <c r="BH1065" i="2"/>
  <c r="BG1065" i="2"/>
  <c r="BF1065" i="2"/>
  <c r="BE1065" i="2"/>
  <c r="BD1065" i="2"/>
  <c r="BC1065" i="2"/>
  <c r="BB1065" i="2"/>
  <c r="BA1065" i="2"/>
  <c r="AZ1065" i="2"/>
  <c r="AY1065" i="2"/>
  <c r="AX1065" i="2"/>
  <c r="AW1065" i="2"/>
  <c r="CA1064" i="2"/>
  <c r="BY1064" i="2"/>
  <c r="BX1064" i="2"/>
  <c r="BW1064" i="2"/>
  <c r="BV1064" i="2"/>
  <c r="BU1064" i="2"/>
  <c r="BT1064" i="2"/>
  <c r="BS1064" i="2"/>
  <c r="BR1064" i="2"/>
  <c r="BQ1064" i="2"/>
  <c r="BP1064" i="2"/>
  <c r="BO1064" i="2"/>
  <c r="BN1064" i="2"/>
  <c r="BM1064" i="2"/>
  <c r="BL1064" i="2"/>
  <c r="BK1064" i="2"/>
  <c r="BJ1064" i="2"/>
  <c r="BI1064" i="2"/>
  <c r="BH1064" i="2"/>
  <c r="BG1064" i="2"/>
  <c r="BF1064" i="2"/>
  <c r="BE1064" i="2"/>
  <c r="BD1064" i="2"/>
  <c r="BC1064" i="2"/>
  <c r="BB1064" i="2"/>
  <c r="BA1064" i="2"/>
  <c r="AZ1064" i="2"/>
  <c r="AY1064" i="2"/>
  <c r="AX1064" i="2"/>
  <c r="AW1064" i="2"/>
  <c r="CA1063" i="2"/>
  <c r="BY1063" i="2"/>
  <c r="BX1063" i="2"/>
  <c r="BW1063" i="2"/>
  <c r="BV1063" i="2"/>
  <c r="BU1063" i="2"/>
  <c r="BT1063" i="2"/>
  <c r="BS1063" i="2"/>
  <c r="BR1063" i="2"/>
  <c r="BQ1063" i="2"/>
  <c r="BP1063" i="2"/>
  <c r="BO1063" i="2"/>
  <c r="BN1063" i="2"/>
  <c r="BM1063" i="2"/>
  <c r="BL1063" i="2"/>
  <c r="BK1063" i="2"/>
  <c r="BJ1063" i="2"/>
  <c r="BI1063" i="2"/>
  <c r="BH1063" i="2"/>
  <c r="BG1063" i="2"/>
  <c r="BF1063" i="2"/>
  <c r="BE1063" i="2"/>
  <c r="BD1063" i="2"/>
  <c r="BC1063" i="2"/>
  <c r="BB1063" i="2"/>
  <c r="BA1063" i="2"/>
  <c r="AZ1063" i="2"/>
  <c r="AY1063" i="2"/>
  <c r="AX1063" i="2"/>
  <c r="AW1063" i="2"/>
  <c r="CA1062" i="2"/>
  <c r="BY1062" i="2"/>
  <c r="BX1062" i="2"/>
  <c r="BW1062" i="2"/>
  <c r="BV1062" i="2"/>
  <c r="BU1062" i="2"/>
  <c r="BT1062" i="2"/>
  <c r="BS1062" i="2"/>
  <c r="BR1062" i="2"/>
  <c r="BQ1062" i="2"/>
  <c r="BP1062" i="2"/>
  <c r="BO1062" i="2"/>
  <c r="BN1062" i="2"/>
  <c r="BM1062" i="2"/>
  <c r="BL1062" i="2"/>
  <c r="BK1062" i="2"/>
  <c r="BJ1062" i="2"/>
  <c r="BI1062" i="2"/>
  <c r="BH1062" i="2"/>
  <c r="BG1062" i="2"/>
  <c r="BF1062" i="2"/>
  <c r="BE1062" i="2"/>
  <c r="BD1062" i="2"/>
  <c r="BC1062" i="2"/>
  <c r="BB1062" i="2"/>
  <c r="BA1062" i="2"/>
  <c r="AZ1062" i="2"/>
  <c r="AY1062" i="2"/>
  <c r="AX1062" i="2"/>
  <c r="AW1062" i="2"/>
  <c r="CA1061" i="2"/>
  <c r="BY1061" i="2"/>
  <c r="BX1061" i="2"/>
  <c r="BW1061" i="2"/>
  <c r="BV1061" i="2"/>
  <c r="BU1061" i="2"/>
  <c r="BT1061" i="2"/>
  <c r="BS1061" i="2"/>
  <c r="BR1061" i="2"/>
  <c r="BQ1061" i="2"/>
  <c r="BP1061" i="2"/>
  <c r="BO1061" i="2"/>
  <c r="BN1061" i="2"/>
  <c r="BM1061" i="2"/>
  <c r="BL1061" i="2"/>
  <c r="BK1061" i="2"/>
  <c r="BJ1061" i="2"/>
  <c r="BI1061" i="2"/>
  <c r="BH1061" i="2"/>
  <c r="BG1061" i="2"/>
  <c r="BF1061" i="2"/>
  <c r="BE1061" i="2"/>
  <c r="BD1061" i="2"/>
  <c r="BC1061" i="2"/>
  <c r="BB1061" i="2"/>
  <c r="BA1061" i="2"/>
  <c r="AZ1061" i="2"/>
  <c r="AY1061" i="2"/>
  <c r="AX1061" i="2"/>
  <c r="AW1061" i="2"/>
  <c r="CA1060" i="2"/>
  <c r="BY1060" i="2"/>
  <c r="BX1060" i="2"/>
  <c r="BW1060" i="2"/>
  <c r="BV1060" i="2"/>
  <c r="BU1060" i="2"/>
  <c r="BT1060" i="2"/>
  <c r="BS1060" i="2"/>
  <c r="BR1060" i="2"/>
  <c r="BQ1060" i="2"/>
  <c r="BP1060" i="2"/>
  <c r="BO1060" i="2"/>
  <c r="BN1060" i="2"/>
  <c r="BM1060" i="2"/>
  <c r="BL1060" i="2"/>
  <c r="BK1060" i="2"/>
  <c r="BJ1060" i="2"/>
  <c r="BI1060" i="2"/>
  <c r="BH1060" i="2"/>
  <c r="BG1060" i="2"/>
  <c r="BF1060" i="2"/>
  <c r="BE1060" i="2"/>
  <c r="BD1060" i="2"/>
  <c r="BC1060" i="2"/>
  <c r="BB1060" i="2"/>
  <c r="BA1060" i="2"/>
  <c r="AZ1060" i="2"/>
  <c r="AY1060" i="2"/>
  <c r="AX1060" i="2"/>
  <c r="AW1060" i="2"/>
  <c r="CA1059" i="2"/>
  <c r="BY1059" i="2"/>
  <c r="BX1059" i="2"/>
  <c r="BW1059" i="2"/>
  <c r="BV1059" i="2"/>
  <c r="BU1059" i="2"/>
  <c r="BT1059" i="2"/>
  <c r="BS1059" i="2"/>
  <c r="BR1059" i="2"/>
  <c r="BQ1059" i="2"/>
  <c r="BP1059" i="2"/>
  <c r="BO1059" i="2"/>
  <c r="BN1059" i="2"/>
  <c r="BM1059" i="2"/>
  <c r="BL1059" i="2"/>
  <c r="BK1059" i="2"/>
  <c r="BJ1059" i="2"/>
  <c r="BI1059" i="2"/>
  <c r="BH1059" i="2"/>
  <c r="BG1059" i="2"/>
  <c r="BF1059" i="2"/>
  <c r="BE1059" i="2"/>
  <c r="BD1059" i="2"/>
  <c r="BC1059" i="2"/>
  <c r="BB1059" i="2"/>
  <c r="BA1059" i="2"/>
  <c r="AZ1059" i="2"/>
  <c r="AY1059" i="2"/>
  <c r="AX1059" i="2"/>
  <c r="AW1059" i="2"/>
  <c r="BZ1059" i="2" s="1"/>
  <c r="CC1059" i="2" s="1"/>
  <c r="CA1058" i="2"/>
  <c r="BY1058" i="2"/>
  <c r="BX1058" i="2"/>
  <c r="BW1058" i="2"/>
  <c r="BV1058" i="2"/>
  <c r="BU1058" i="2"/>
  <c r="BT1058" i="2"/>
  <c r="BS1058" i="2"/>
  <c r="BR1058" i="2"/>
  <c r="BQ1058" i="2"/>
  <c r="BP1058" i="2"/>
  <c r="BO1058" i="2"/>
  <c r="BN1058" i="2"/>
  <c r="BM1058" i="2"/>
  <c r="BL1058" i="2"/>
  <c r="BK1058" i="2"/>
  <c r="BJ1058" i="2"/>
  <c r="BI1058" i="2"/>
  <c r="BH1058" i="2"/>
  <c r="BG1058" i="2"/>
  <c r="BF1058" i="2"/>
  <c r="BE1058" i="2"/>
  <c r="BD1058" i="2"/>
  <c r="BC1058" i="2"/>
  <c r="BB1058" i="2"/>
  <c r="BA1058" i="2"/>
  <c r="AZ1058" i="2"/>
  <c r="AY1058" i="2"/>
  <c r="AX1058" i="2"/>
  <c r="AW1058" i="2"/>
  <c r="CA1057" i="2"/>
  <c r="BY1057" i="2"/>
  <c r="BX1057" i="2"/>
  <c r="BW1057" i="2"/>
  <c r="BV1057" i="2"/>
  <c r="BU1057" i="2"/>
  <c r="BT1057" i="2"/>
  <c r="BS1057" i="2"/>
  <c r="BR1057" i="2"/>
  <c r="BQ1057" i="2"/>
  <c r="BP1057" i="2"/>
  <c r="BO1057" i="2"/>
  <c r="BN1057" i="2"/>
  <c r="BM1057" i="2"/>
  <c r="BL1057" i="2"/>
  <c r="BK1057" i="2"/>
  <c r="BJ1057" i="2"/>
  <c r="BI1057" i="2"/>
  <c r="BH1057" i="2"/>
  <c r="BG1057" i="2"/>
  <c r="BF1057" i="2"/>
  <c r="BE1057" i="2"/>
  <c r="BD1057" i="2"/>
  <c r="BC1057" i="2"/>
  <c r="BB1057" i="2"/>
  <c r="BA1057" i="2"/>
  <c r="AZ1057" i="2"/>
  <c r="AY1057" i="2"/>
  <c r="AX1057" i="2"/>
  <c r="AW1057" i="2"/>
  <c r="CA1056" i="2"/>
  <c r="BY1056" i="2"/>
  <c r="BX1056" i="2"/>
  <c r="BW1056" i="2"/>
  <c r="BV1056" i="2"/>
  <c r="BU1056" i="2"/>
  <c r="BT1056" i="2"/>
  <c r="BS1056" i="2"/>
  <c r="BR1056" i="2"/>
  <c r="BQ1056" i="2"/>
  <c r="BP1056" i="2"/>
  <c r="BO1056" i="2"/>
  <c r="BN1056" i="2"/>
  <c r="BM1056" i="2"/>
  <c r="BL1056" i="2"/>
  <c r="BK1056" i="2"/>
  <c r="BJ1056" i="2"/>
  <c r="BI1056" i="2"/>
  <c r="BH1056" i="2"/>
  <c r="BG1056" i="2"/>
  <c r="BF1056" i="2"/>
  <c r="BE1056" i="2"/>
  <c r="BD1056" i="2"/>
  <c r="BC1056" i="2"/>
  <c r="BB1056" i="2"/>
  <c r="BA1056" i="2"/>
  <c r="AZ1056" i="2"/>
  <c r="AY1056" i="2"/>
  <c r="AX1056" i="2"/>
  <c r="AW1056" i="2"/>
  <c r="CA1055" i="2"/>
  <c r="BY1055" i="2"/>
  <c r="BX1055" i="2"/>
  <c r="BW1055" i="2"/>
  <c r="BV1055" i="2"/>
  <c r="BU1055" i="2"/>
  <c r="BT1055" i="2"/>
  <c r="BS1055" i="2"/>
  <c r="BR1055" i="2"/>
  <c r="BQ1055" i="2"/>
  <c r="BP1055" i="2"/>
  <c r="BO1055" i="2"/>
  <c r="BN1055" i="2"/>
  <c r="BM1055" i="2"/>
  <c r="BL1055" i="2"/>
  <c r="BK1055" i="2"/>
  <c r="BJ1055" i="2"/>
  <c r="BI1055" i="2"/>
  <c r="BH1055" i="2"/>
  <c r="BG1055" i="2"/>
  <c r="BF1055" i="2"/>
  <c r="BE1055" i="2"/>
  <c r="BD1055" i="2"/>
  <c r="BC1055" i="2"/>
  <c r="BB1055" i="2"/>
  <c r="BA1055" i="2"/>
  <c r="AZ1055" i="2"/>
  <c r="AY1055" i="2"/>
  <c r="AX1055" i="2"/>
  <c r="AW1055" i="2"/>
  <c r="CA1054" i="2"/>
  <c r="BY1054" i="2"/>
  <c r="BX1054" i="2"/>
  <c r="BW1054" i="2"/>
  <c r="BV1054" i="2"/>
  <c r="BU1054" i="2"/>
  <c r="BT1054" i="2"/>
  <c r="BS1054" i="2"/>
  <c r="BR1054" i="2"/>
  <c r="BQ1054" i="2"/>
  <c r="BP1054" i="2"/>
  <c r="BO1054" i="2"/>
  <c r="BN1054" i="2"/>
  <c r="BM1054" i="2"/>
  <c r="BL1054" i="2"/>
  <c r="BK1054" i="2"/>
  <c r="BJ1054" i="2"/>
  <c r="BI1054" i="2"/>
  <c r="BH1054" i="2"/>
  <c r="BG1054" i="2"/>
  <c r="BF1054" i="2"/>
  <c r="BE1054" i="2"/>
  <c r="BD1054" i="2"/>
  <c r="BC1054" i="2"/>
  <c r="BB1054" i="2"/>
  <c r="BA1054" i="2"/>
  <c r="AZ1054" i="2"/>
  <c r="AY1054" i="2"/>
  <c r="AX1054" i="2"/>
  <c r="AW1054" i="2"/>
  <c r="CA1053" i="2"/>
  <c r="BY1053" i="2"/>
  <c r="BX1053" i="2"/>
  <c r="BW1053" i="2"/>
  <c r="BV1053" i="2"/>
  <c r="BU1053" i="2"/>
  <c r="BT1053" i="2"/>
  <c r="BS1053" i="2"/>
  <c r="BR1053" i="2"/>
  <c r="BQ1053" i="2"/>
  <c r="BP1053" i="2"/>
  <c r="BO1053" i="2"/>
  <c r="BN1053" i="2"/>
  <c r="BM1053" i="2"/>
  <c r="BL1053" i="2"/>
  <c r="BK1053" i="2"/>
  <c r="BJ1053" i="2"/>
  <c r="BI1053" i="2"/>
  <c r="BH1053" i="2"/>
  <c r="BG1053" i="2"/>
  <c r="BF1053" i="2"/>
  <c r="BE1053" i="2"/>
  <c r="BD1053" i="2"/>
  <c r="BC1053" i="2"/>
  <c r="BB1053" i="2"/>
  <c r="BA1053" i="2"/>
  <c r="AZ1053" i="2"/>
  <c r="AY1053" i="2"/>
  <c r="AX1053" i="2"/>
  <c r="AW1053" i="2"/>
  <c r="CA1052" i="2"/>
  <c r="BY1052" i="2"/>
  <c r="BX1052" i="2"/>
  <c r="BW1052" i="2"/>
  <c r="BV1052" i="2"/>
  <c r="BU1052" i="2"/>
  <c r="BT1052" i="2"/>
  <c r="BS1052" i="2"/>
  <c r="BR1052" i="2"/>
  <c r="BQ1052" i="2"/>
  <c r="BP1052" i="2"/>
  <c r="BO1052" i="2"/>
  <c r="BN1052" i="2"/>
  <c r="BM1052" i="2"/>
  <c r="BL1052" i="2"/>
  <c r="BK1052" i="2"/>
  <c r="BJ1052" i="2"/>
  <c r="BI1052" i="2"/>
  <c r="BH1052" i="2"/>
  <c r="BG1052" i="2"/>
  <c r="BF1052" i="2"/>
  <c r="BE1052" i="2"/>
  <c r="BD1052" i="2"/>
  <c r="BC1052" i="2"/>
  <c r="BB1052" i="2"/>
  <c r="BA1052" i="2"/>
  <c r="AZ1052" i="2"/>
  <c r="AY1052" i="2"/>
  <c r="AX1052" i="2"/>
  <c r="AW1052" i="2"/>
  <c r="CA1051" i="2"/>
  <c r="BY1051" i="2"/>
  <c r="BX1051" i="2"/>
  <c r="BW1051" i="2"/>
  <c r="BV1051" i="2"/>
  <c r="BU1051" i="2"/>
  <c r="BT1051" i="2"/>
  <c r="BS1051" i="2"/>
  <c r="BR1051" i="2"/>
  <c r="BQ1051" i="2"/>
  <c r="BP1051" i="2"/>
  <c r="BO1051" i="2"/>
  <c r="BN1051" i="2"/>
  <c r="BM1051" i="2"/>
  <c r="BL1051" i="2"/>
  <c r="BK1051" i="2"/>
  <c r="BJ1051" i="2"/>
  <c r="BI1051" i="2"/>
  <c r="BH1051" i="2"/>
  <c r="BG1051" i="2"/>
  <c r="BF1051" i="2"/>
  <c r="BE1051" i="2"/>
  <c r="BD1051" i="2"/>
  <c r="BC1051" i="2"/>
  <c r="BB1051" i="2"/>
  <c r="BA1051" i="2"/>
  <c r="AZ1051" i="2"/>
  <c r="AY1051" i="2"/>
  <c r="AX1051" i="2"/>
  <c r="AW1051" i="2"/>
  <c r="CA1050" i="2"/>
  <c r="BY1050" i="2"/>
  <c r="BX1050" i="2"/>
  <c r="BW1050" i="2"/>
  <c r="BV1050" i="2"/>
  <c r="BU1050" i="2"/>
  <c r="BT1050" i="2"/>
  <c r="BS1050" i="2"/>
  <c r="BR1050" i="2"/>
  <c r="BQ1050" i="2"/>
  <c r="BP1050" i="2"/>
  <c r="BO1050" i="2"/>
  <c r="BN1050" i="2"/>
  <c r="BM1050" i="2"/>
  <c r="BL1050" i="2"/>
  <c r="BK1050" i="2"/>
  <c r="BJ1050" i="2"/>
  <c r="BI1050" i="2"/>
  <c r="BH1050" i="2"/>
  <c r="BG1050" i="2"/>
  <c r="BF1050" i="2"/>
  <c r="BE1050" i="2"/>
  <c r="BD1050" i="2"/>
  <c r="BC1050" i="2"/>
  <c r="BB1050" i="2"/>
  <c r="BA1050" i="2"/>
  <c r="AZ1050" i="2"/>
  <c r="AY1050" i="2"/>
  <c r="AX1050" i="2"/>
  <c r="AW1050" i="2"/>
  <c r="CA1049" i="2"/>
  <c r="BY1049" i="2"/>
  <c r="BX1049" i="2"/>
  <c r="BW1049" i="2"/>
  <c r="BV1049" i="2"/>
  <c r="BU1049" i="2"/>
  <c r="BT1049" i="2"/>
  <c r="BS1049" i="2"/>
  <c r="BR1049" i="2"/>
  <c r="BQ1049" i="2"/>
  <c r="BP1049" i="2"/>
  <c r="BO1049" i="2"/>
  <c r="BN1049" i="2"/>
  <c r="BM1049" i="2"/>
  <c r="BL1049" i="2"/>
  <c r="BK1049" i="2"/>
  <c r="BJ1049" i="2"/>
  <c r="BI1049" i="2"/>
  <c r="BH1049" i="2"/>
  <c r="BG1049" i="2"/>
  <c r="BF1049" i="2"/>
  <c r="BE1049" i="2"/>
  <c r="BD1049" i="2"/>
  <c r="BC1049" i="2"/>
  <c r="BB1049" i="2"/>
  <c r="BA1049" i="2"/>
  <c r="AZ1049" i="2"/>
  <c r="AY1049" i="2"/>
  <c r="AX1049" i="2"/>
  <c r="AW1049" i="2"/>
  <c r="CA1048" i="2"/>
  <c r="BY1048" i="2"/>
  <c r="BX1048" i="2"/>
  <c r="BW1048" i="2"/>
  <c r="BV1048" i="2"/>
  <c r="BU1048" i="2"/>
  <c r="BT1048" i="2"/>
  <c r="BS1048" i="2"/>
  <c r="BR1048" i="2"/>
  <c r="BQ1048" i="2"/>
  <c r="BP1048" i="2"/>
  <c r="BO1048" i="2"/>
  <c r="BN1048" i="2"/>
  <c r="BM1048" i="2"/>
  <c r="BL1048" i="2"/>
  <c r="BK1048" i="2"/>
  <c r="BJ1048" i="2"/>
  <c r="BI1048" i="2"/>
  <c r="BH1048" i="2"/>
  <c r="BG1048" i="2"/>
  <c r="BF1048" i="2"/>
  <c r="BE1048" i="2"/>
  <c r="BD1048" i="2"/>
  <c r="BC1048" i="2"/>
  <c r="BB1048" i="2"/>
  <c r="BA1048" i="2"/>
  <c r="AZ1048" i="2"/>
  <c r="AY1048" i="2"/>
  <c r="AX1048" i="2"/>
  <c r="AW1048" i="2"/>
  <c r="CA1047" i="2"/>
  <c r="BY1047" i="2"/>
  <c r="BX1047" i="2"/>
  <c r="BW1047" i="2"/>
  <c r="BV1047" i="2"/>
  <c r="BU1047" i="2"/>
  <c r="BT1047" i="2"/>
  <c r="BS1047" i="2"/>
  <c r="BR1047" i="2"/>
  <c r="BQ1047" i="2"/>
  <c r="BP1047" i="2"/>
  <c r="BO1047" i="2"/>
  <c r="BN1047" i="2"/>
  <c r="BM1047" i="2"/>
  <c r="BL1047" i="2"/>
  <c r="BK1047" i="2"/>
  <c r="BJ1047" i="2"/>
  <c r="BI1047" i="2"/>
  <c r="BH1047" i="2"/>
  <c r="BG1047" i="2"/>
  <c r="BF1047" i="2"/>
  <c r="BE1047" i="2"/>
  <c r="BD1047" i="2"/>
  <c r="BC1047" i="2"/>
  <c r="BB1047" i="2"/>
  <c r="BA1047" i="2"/>
  <c r="AZ1047" i="2"/>
  <c r="AY1047" i="2"/>
  <c r="AX1047" i="2"/>
  <c r="AW1047" i="2"/>
  <c r="CA1046" i="2"/>
  <c r="BY1046" i="2"/>
  <c r="BX1046" i="2"/>
  <c r="BW1046" i="2"/>
  <c r="BV1046" i="2"/>
  <c r="BU1046" i="2"/>
  <c r="BT1046" i="2"/>
  <c r="BS1046" i="2"/>
  <c r="BR1046" i="2"/>
  <c r="BQ1046" i="2"/>
  <c r="BP1046" i="2"/>
  <c r="BO1046" i="2"/>
  <c r="BN1046" i="2"/>
  <c r="BM1046" i="2"/>
  <c r="BL1046" i="2"/>
  <c r="BK1046" i="2"/>
  <c r="BJ1046" i="2"/>
  <c r="BI1046" i="2"/>
  <c r="BH1046" i="2"/>
  <c r="BG1046" i="2"/>
  <c r="BF1046" i="2"/>
  <c r="BE1046" i="2"/>
  <c r="BD1046" i="2"/>
  <c r="BC1046" i="2"/>
  <c r="BB1046" i="2"/>
  <c r="BA1046" i="2"/>
  <c r="AZ1046" i="2"/>
  <c r="AY1046" i="2"/>
  <c r="AX1046" i="2"/>
  <c r="AW1046" i="2"/>
  <c r="CA1045" i="2"/>
  <c r="BY1045" i="2"/>
  <c r="BX1045" i="2"/>
  <c r="BW1045" i="2"/>
  <c r="BV1045" i="2"/>
  <c r="BU1045" i="2"/>
  <c r="BT1045" i="2"/>
  <c r="BS1045" i="2"/>
  <c r="BR1045" i="2"/>
  <c r="BQ1045" i="2"/>
  <c r="BP1045" i="2"/>
  <c r="BO1045" i="2"/>
  <c r="BN1045" i="2"/>
  <c r="BM1045" i="2"/>
  <c r="BL1045" i="2"/>
  <c r="BK1045" i="2"/>
  <c r="BJ1045" i="2"/>
  <c r="BI1045" i="2"/>
  <c r="BH1045" i="2"/>
  <c r="BG1045" i="2"/>
  <c r="BF1045" i="2"/>
  <c r="BE1045" i="2"/>
  <c r="BD1045" i="2"/>
  <c r="BC1045" i="2"/>
  <c r="BB1045" i="2"/>
  <c r="BA1045" i="2"/>
  <c r="AZ1045" i="2"/>
  <c r="AY1045" i="2"/>
  <c r="AX1045" i="2"/>
  <c r="AW1045" i="2"/>
  <c r="CA1044" i="2"/>
  <c r="BY1044" i="2"/>
  <c r="BX1044" i="2"/>
  <c r="BW1044" i="2"/>
  <c r="BV1044" i="2"/>
  <c r="BU1044" i="2"/>
  <c r="BT1044" i="2"/>
  <c r="BS1044" i="2"/>
  <c r="BR1044" i="2"/>
  <c r="BQ1044" i="2"/>
  <c r="BP1044" i="2"/>
  <c r="BO1044" i="2"/>
  <c r="BN1044" i="2"/>
  <c r="BM1044" i="2"/>
  <c r="BL1044" i="2"/>
  <c r="BK1044" i="2"/>
  <c r="BJ1044" i="2"/>
  <c r="BI1044" i="2"/>
  <c r="BH1044" i="2"/>
  <c r="BG1044" i="2"/>
  <c r="BF1044" i="2"/>
  <c r="BE1044" i="2"/>
  <c r="BD1044" i="2"/>
  <c r="BC1044" i="2"/>
  <c r="BB1044" i="2"/>
  <c r="BA1044" i="2"/>
  <c r="AZ1044" i="2"/>
  <c r="AY1044" i="2"/>
  <c r="AX1044" i="2"/>
  <c r="AW1044" i="2"/>
  <c r="CA1043" i="2"/>
  <c r="BY1043" i="2"/>
  <c r="BX1043" i="2"/>
  <c r="BW1043" i="2"/>
  <c r="BV1043" i="2"/>
  <c r="BU1043" i="2"/>
  <c r="BT1043" i="2"/>
  <c r="BS1043" i="2"/>
  <c r="BR1043" i="2"/>
  <c r="BQ1043" i="2"/>
  <c r="BP1043" i="2"/>
  <c r="BO1043" i="2"/>
  <c r="BN1043" i="2"/>
  <c r="BM1043" i="2"/>
  <c r="BL1043" i="2"/>
  <c r="BK1043" i="2"/>
  <c r="BJ1043" i="2"/>
  <c r="BI1043" i="2"/>
  <c r="BH1043" i="2"/>
  <c r="BG1043" i="2"/>
  <c r="BF1043" i="2"/>
  <c r="BE1043" i="2"/>
  <c r="BD1043" i="2"/>
  <c r="BC1043" i="2"/>
  <c r="BB1043" i="2"/>
  <c r="BA1043" i="2"/>
  <c r="AZ1043" i="2"/>
  <c r="AY1043" i="2"/>
  <c r="AX1043" i="2"/>
  <c r="AW1043" i="2"/>
  <c r="CA1042" i="2"/>
  <c r="BY1042" i="2"/>
  <c r="BX1042" i="2"/>
  <c r="BW1042" i="2"/>
  <c r="BV1042" i="2"/>
  <c r="BU1042" i="2"/>
  <c r="BT1042" i="2"/>
  <c r="BS1042" i="2"/>
  <c r="BR1042" i="2"/>
  <c r="BQ1042" i="2"/>
  <c r="BP1042" i="2"/>
  <c r="BO1042" i="2"/>
  <c r="BN1042" i="2"/>
  <c r="BM1042" i="2"/>
  <c r="BL1042" i="2"/>
  <c r="BK1042" i="2"/>
  <c r="BJ1042" i="2"/>
  <c r="BI1042" i="2"/>
  <c r="BH1042" i="2"/>
  <c r="BG1042" i="2"/>
  <c r="BF1042" i="2"/>
  <c r="BE1042" i="2"/>
  <c r="BD1042" i="2"/>
  <c r="BC1042" i="2"/>
  <c r="BB1042" i="2"/>
  <c r="BA1042" i="2"/>
  <c r="AZ1042" i="2"/>
  <c r="AY1042" i="2"/>
  <c r="AX1042" i="2"/>
  <c r="AW1042" i="2"/>
  <c r="CA1041" i="2"/>
  <c r="BY1041" i="2"/>
  <c r="BX1041" i="2"/>
  <c r="BW1041" i="2"/>
  <c r="BV1041" i="2"/>
  <c r="BU1041" i="2"/>
  <c r="BT1041" i="2"/>
  <c r="BS1041" i="2"/>
  <c r="BR1041" i="2"/>
  <c r="BQ1041" i="2"/>
  <c r="BP1041" i="2"/>
  <c r="BO1041" i="2"/>
  <c r="BN1041" i="2"/>
  <c r="BM1041" i="2"/>
  <c r="BL1041" i="2"/>
  <c r="BK1041" i="2"/>
  <c r="BJ1041" i="2"/>
  <c r="BI1041" i="2"/>
  <c r="BH1041" i="2"/>
  <c r="BG1041" i="2"/>
  <c r="BF1041" i="2"/>
  <c r="BE1041" i="2"/>
  <c r="BD1041" i="2"/>
  <c r="BC1041" i="2"/>
  <c r="BB1041" i="2"/>
  <c r="BA1041" i="2"/>
  <c r="AZ1041" i="2"/>
  <c r="AY1041" i="2"/>
  <c r="AX1041" i="2"/>
  <c r="AW1041" i="2"/>
  <c r="CA1040" i="2"/>
  <c r="BY1040" i="2"/>
  <c r="BX1040" i="2"/>
  <c r="BW1040" i="2"/>
  <c r="BV1040" i="2"/>
  <c r="BU1040" i="2"/>
  <c r="BT1040" i="2"/>
  <c r="BS1040" i="2"/>
  <c r="BR1040" i="2"/>
  <c r="BQ1040" i="2"/>
  <c r="BP1040" i="2"/>
  <c r="BO1040" i="2"/>
  <c r="BN1040" i="2"/>
  <c r="BM1040" i="2"/>
  <c r="BL1040" i="2"/>
  <c r="BK1040" i="2"/>
  <c r="BJ1040" i="2"/>
  <c r="BI1040" i="2"/>
  <c r="BH1040" i="2"/>
  <c r="BG1040" i="2"/>
  <c r="BF1040" i="2"/>
  <c r="BE1040" i="2"/>
  <c r="BD1040" i="2"/>
  <c r="BC1040" i="2"/>
  <c r="BB1040" i="2"/>
  <c r="BA1040" i="2"/>
  <c r="AZ1040" i="2"/>
  <c r="AY1040" i="2"/>
  <c r="AX1040" i="2"/>
  <c r="AW1040" i="2"/>
  <c r="CA1039" i="2"/>
  <c r="BY1039" i="2"/>
  <c r="BX1039" i="2"/>
  <c r="BW1039" i="2"/>
  <c r="BV1039" i="2"/>
  <c r="BU1039" i="2"/>
  <c r="BT1039" i="2"/>
  <c r="BS1039" i="2"/>
  <c r="BR1039" i="2"/>
  <c r="BQ1039" i="2"/>
  <c r="BP1039" i="2"/>
  <c r="BO1039" i="2"/>
  <c r="BN1039" i="2"/>
  <c r="BM1039" i="2"/>
  <c r="BL1039" i="2"/>
  <c r="BK1039" i="2"/>
  <c r="BJ1039" i="2"/>
  <c r="BI1039" i="2"/>
  <c r="BH1039" i="2"/>
  <c r="BG1039" i="2"/>
  <c r="BF1039" i="2"/>
  <c r="BE1039" i="2"/>
  <c r="BD1039" i="2"/>
  <c r="BC1039" i="2"/>
  <c r="BB1039" i="2"/>
  <c r="BA1039" i="2"/>
  <c r="AZ1039" i="2"/>
  <c r="AY1039" i="2"/>
  <c r="AX1039" i="2"/>
  <c r="AW1039" i="2"/>
  <c r="CA1038" i="2"/>
  <c r="BY1038" i="2"/>
  <c r="BX1038" i="2"/>
  <c r="BW1038" i="2"/>
  <c r="BV1038" i="2"/>
  <c r="BU1038" i="2"/>
  <c r="BT1038" i="2"/>
  <c r="BS1038" i="2"/>
  <c r="BR1038" i="2"/>
  <c r="BQ1038" i="2"/>
  <c r="BP1038" i="2"/>
  <c r="BO1038" i="2"/>
  <c r="BN1038" i="2"/>
  <c r="BM1038" i="2"/>
  <c r="BL1038" i="2"/>
  <c r="BK1038" i="2"/>
  <c r="BJ1038" i="2"/>
  <c r="BI1038" i="2"/>
  <c r="BH1038" i="2"/>
  <c r="BG1038" i="2"/>
  <c r="BF1038" i="2"/>
  <c r="BE1038" i="2"/>
  <c r="BD1038" i="2"/>
  <c r="BC1038" i="2"/>
  <c r="BB1038" i="2"/>
  <c r="BA1038" i="2"/>
  <c r="AZ1038" i="2"/>
  <c r="AY1038" i="2"/>
  <c r="AX1038" i="2"/>
  <c r="AW1038" i="2"/>
  <c r="CA1037" i="2"/>
  <c r="BY1037" i="2"/>
  <c r="BX1037" i="2"/>
  <c r="BW1037" i="2"/>
  <c r="BV1037" i="2"/>
  <c r="BU1037" i="2"/>
  <c r="BT1037" i="2"/>
  <c r="BS1037" i="2"/>
  <c r="BR1037" i="2"/>
  <c r="BQ1037" i="2"/>
  <c r="BP1037" i="2"/>
  <c r="BO1037" i="2"/>
  <c r="BN1037" i="2"/>
  <c r="BM1037" i="2"/>
  <c r="BL1037" i="2"/>
  <c r="BK1037" i="2"/>
  <c r="BJ1037" i="2"/>
  <c r="BI1037" i="2"/>
  <c r="BH1037" i="2"/>
  <c r="BG1037" i="2"/>
  <c r="BF1037" i="2"/>
  <c r="BE1037" i="2"/>
  <c r="BD1037" i="2"/>
  <c r="BC1037" i="2"/>
  <c r="BB1037" i="2"/>
  <c r="BA1037" i="2"/>
  <c r="AZ1037" i="2"/>
  <c r="AY1037" i="2"/>
  <c r="AX1037" i="2"/>
  <c r="AW1037" i="2"/>
  <c r="CA1036" i="2"/>
  <c r="BY1036" i="2"/>
  <c r="BX1036" i="2"/>
  <c r="BW1036" i="2"/>
  <c r="BV1036" i="2"/>
  <c r="BU1036" i="2"/>
  <c r="BT1036" i="2"/>
  <c r="BS1036" i="2"/>
  <c r="BR1036" i="2"/>
  <c r="BQ1036" i="2"/>
  <c r="BP1036" i="2"/>
  <c r="BO1036" i="2"/>
  <c r="BN1036" i="2"/>
  <c r="BM1036" i="2"/>
  <c r="BL1036" i="2"/>
  <c r="BK1036" i="2"/>
  <c r="BJ1036" i="2"/>
  <c r="BI1036" i="2"/>
  <c r="BH1036" i="2"/>
  <c r="BG1036" i="2"/>
  <c r="BF1036" i="2"/>
  <c r="BE1036" i="2"/>
  <c r="BD1036" i="2"/>
  <c r="BC1036" i="2"/>
  <c r="BB1036" i="2"/>
  <c r="BA1036" i="2"/>
  <c r="AZ1036" i="2"/>
  <c r="AY1036" i="2"/>
  <c r="AX1036" i="2"/>
  <c r="AW1036" i="2"/>
  <c r="CA1035" i="2"/>
  <c r="BY1035" i="2"/>
  <c r="BX1035" i="2"/>
  <c r="BW1035" i="2"/>
  <c r="BV1035" i="2"/>
  <c r="BU1035" i="2"/>
  <c r="BT1035" i="2"/>
  <c r="BS1035" i="2"/>
  <c r="BR1035" i="2"/>
  <c r="BQ1035" i="2"/>
  <c r="BP1035" i="2"/>
  <c r="BO1035" i="2"/>
  <c r="BN1035" i="2"/>
  <c r="BM1035" i="2"/>
  <c r="BL1035" i="2"/>
  <c r="BK1035" i="2"/>
  <c r="BJ1035" i="2"/>
  <c r="BI1035" i="2"/>
  <c r="BH1035" i="2"/>
  <c r="BG1035" i="2"/>
  <c r="BF1035" i="2"/>
  <c r="BE1035" i="2"/>
  <c r="BD1035" i="2"/>
  <c r="BC1035" i="2"/>
  <c r="BB1035" i="2"/>
  <c r="BA1035" i="2"/>
  <c r="AZ1035" i="2"/>
  <c r="AY1035" i="2"/>
  <c r="AX1035" i="2"/>
  <c r="AW1035" i="2"/>
  <c r="CA1034" i="2"/>
  <c r="BY1034" i="2"/>
  <c r="BX1034" i="2"/>
  <c r="BW1034" i="2"/>
  <c r="BV1034" i="2"/>
  <c r="BU1034" i="2"/>
  <c r="BT1034" i="2"/>
  <c r="BS1034" i="2"/>
  <c r="BR1034" i="2"/>
  <c r="BQ1034" i="2"/>
  <c r="BP1034" i="2"/>
  <c r="BO1034" i="2"/>
  <c r="BN1034" i="2"/>
  <c r="BM1034" i="2"/>
  <c r="BL1034" i="2"/>
  <c r="BK1034" i="2"/>
  <c r="BJ1034" i="2"/>
  <c r="BI1034" i="2"/>
  <c r="BH1034" i="2"/>
  <c r="BG1034" i="2"/>
  <c r="BF1034" i="2"/>
  <c r="BE1034" i="2"/>
  <c r="BD1034" i="2"/>
  <c r="BC1034" i="2"/>
  <c r="BB1034" i="2"/>
  <c r="BA1034" i="2"/>
  <c r="AZ1034" i="2"/>
  <c r="AY1034" i="2"/>
  <c r="AX1034" i="2"/>
  <c r="AW1034" i="2"/>
  <c r="CA1033" i="2"/>
  <c r="BY1033" i="2"/>
  <c r="BX1033" i="2"/>
  <c r="BW1033" i="2"/>
  <c r="BV1033" i="2"/>
  <c r="BU1033" i="2"/>
  <c r="BT1033" i="2"/>
  <c r="BS1033" i="2"/>
  <c r="BR1033" i="2"/>
  <c r="BQ1033" i="2"/>
  <c r="BP1033" i="2"/>
  <c r="BO1033" i="2"/>
  <c r="BN1033" i="2"/>
  <c r="BM1033" i="2"/>
  <c r="BL1033" i="2"/>
  <c r="BK1033" i="2"/>
  <c r="BJ1033" i="2"/>
  <c r="BI1033" i="2"/>
  <c r="BH1033" i="2"/>
  <c r="BG1033" i="2"/>
  <c r="BF1033" i="2"/>
  <c r="BE1033" i="2"/>
  <c r="BD1033" i="2"/>
  <c r="BC1033" i="2"/>
  <c r="BB1033" i="2"/>
  <c r="BA1033" i="2"/>
  <c r="AZ1033" i="2"/>
  <c r="AY1033" i="2"/>
  <c r="AX1033" i="2"/>
  <c r="AW1033" i="2"/>
  <c r="CA1032" i="2"/>
  <c r="BY1032" i="2"/>
  <c r="BX1032" i="2"/>
  <c r="BW1032" i="2"/>
  <c r="BV1032" i="2"/>
  <c r="BU1032" i="2"/>
  <c r="BT1032" i="2"/>
  <c r="BS1032" i="2"/>
  <c r="BR1032" i="2"/>
  <c r="BQ1032" i="2"/>
  <c r="BP1032" i="2"/>
  <c r="BO1032" i="2"/>
  <c r="BN1032" i="2"/>
  <c r="BM1032" i="2"/>
  <c r="BL1032" i="2"/>
  <c r="BK1032" i="2"/>
  <c r="BJ1032" i="2"/>
  <c r="BI1032" i="2"/>
  <c r="BH1032" i="2"/>
  <c r="BG1032" i="2"/>
  <c r="BF1032" i="2"/>
  <c r="BE1032" i="2"/>
  <c r="BD1032" i="2"/>
  <c r="BC1032" i="2"/>
  <c r="BB1032" i="2"/>
  <c r="BA1032" i="2"/>
  <c r="AZ1032" i="2"/>
  <c r="AY1032" i="2"/>
  <c r="AX1032" i="2"/>
  <c r="AW1032" i="2"/>
  <c r="CA1031" i="2"/>
  <c r="BY1031" i="2"/>
  <c r="BX1031" i="2"/>
  <c r="BW1031" i="2"/>
  <c r="BV1031" i="2"/>
  <c r="BU1031" i="2"/>
  <c r="BT1031" i="2"/>
  <c r="BS1031" i="2"/>
  <c r="BR1031" i="2"/>
  <c r="BQ1031" i="2"/>
  <c r="BP1031" i="2"/>
  <c r="BO1031" i="2"/>
  <c r="BN1031" i="2"/>
  <c r="BM1031" i="2"/>
  <c r="BL1031" i="2"/>
  <c r="BK1031" i="2"/>
  <c r="BJ1031" i="2"/>
  <c r="BI1031" i="2"/>
  <c r="BH1031" i="2"/>
  <c r="BG1031" i="2"/>
  <c r="BF1031" i="2"/>
  <c r="BE1031" i="2"/>
  <c r="BD1031" i="2"/>
  <c r="BC1031" i="2"/>
  <c r="BB1031" i="2"/>
  <c r="BA1031" i="2"/>
  <c r="AZ1031" i="2"/>
  <c r="AY1031" i="2"/>
  <c r="AX1031" i="2"/>
  <c r="AW1031" i="2"/>
  <c r="CA1030" i="2"/>
  <c r="BY1030" i="2"/>
  <c r="BX1030" i="2"/>
  <c r="BW1030" i="2"/>
  <c r="BV1030" i="2"/>
  <c r="BU1030" i="2"/>
  <c r="BT1030" i="2"/>
  <c r="BS1030" i="2"/>
  <c r="BR1030" i="2"/>
  <c r="BQ1030" i="2"/>
  <c r="BP1030" i="2"/>
  <c r="BO1030" i="2"/>
  <c r="BN1030" i="2"/>
  <c r="BM1030" i="2"/>
  <c r="BL1030" i="2"/>
  <c r="BK1030" i="2"/>
  <c r="BJ1030" i="2"/>
  <c r="BI1030" i="2"/>
  <c r="BH1030" i="2"/>
  <c r="BG1030" i="2"/>
  <c r="BF1030" i="2"/>
  <c r="BE1030" i="2"/>
  <c r="BD1030" i="2"/>
  <c r="BC1030" i="2"/>
  <c r="BB1030" i="2"/>
  <c r="BA1030" i="2"/>
  <c r="AZ1030" i="2"/>
  <c r="AY1030" i="2"/>
  <c r="AX1030" i="2"/>
  <c r="AW1030" i="2"/>
  <c r="CA1029" i="2"/>
  <c r="BY1029" i="2"/>
  <c r="BX1029" i="2"/>
  <c r="BW1029" i="2"/>
  <c r="BV1029" i="2"/>
  <c r="BU1029" i="2"/>
  <c r="BT1029" i="2"/>
  <c r="BS1029" i="2"/>
  <c r="BR1029" i="2"/>
  <c r="BQ1029" i="2"/>
  <c r="BP1029" i="2"/>
  <c r="BO1029" i="2"/>
  <c r="BN1029" i="2"/>
  <c r="BM1029" i="2"/>
  <c r="BL1029" i="2"/>
  <c r="BK1029" i="2"/>
  <c r="BJ1029" i="2"/>
  <c r="BI1029" i="2"/>
  <c r="BH1029" i="2"/>
  <c r="BG1029" i="2"/>
  <c r="BF1029" i="2"/>
  <c r="BE1029" i="2"/>
  <c r="BD1029" i="2"/>
  <c r="BC1029" i="2"/>
  <c r="BB1029" i="2"/>
  <c r="BA1029" i="2"/>
  <c r="AZ1029" i="2"/>
  <c r="AY1029" i="2"/>
  <c r="AX1029" i="2"/>
  <c r="AW1029" i="2"/>
  <c r="BZ1029" i="2" s="1"/>
  <c r="CC1029" i="2" s="1"/>
  <c r="CA1028" i="2"/>
  <c r="BY1028" i="2"/>
  <c r="BX1028" i="2"/>
  <c r="BW1028" i="2"/>
  <c r="BV1028" i="2"/>
  <c r="BU1028" i="2"/>
  <c r="BT1028" i="2"/>
  <c r="BS1028" i="2"/>
  <c r="BR1028" i="2"/>
  <c r="BQ1028" i="2"/>
  <c r="BP1028" i="2"/>
  <c r="BO1028" i="2"/>
  <c r="BN1028" i="2"/>
  <c r="BM1028" i="2"/>
  <c r="BL1028" i="2"/>
  <c r="BK1028" i="2"/>
  <c r="BJ1028" i="2"/>
  <c r="BI1028" i="2"/>
  <c r="BH1028" i="2"/>
  <c r="BG1028" i="2"/>
  <c r="BF1028" i="2"/>
  <c r="BE1028" i="2"/>
  <c r="BD1028" i="2"/>
  <c r="BC1028" i="2"/>
  <c r="BB1028" i="2"/>
  <c r="BA1028" i="2"/>
  <c r="AZ1028" i="2"/>
  <c r="AY1028" i="2"/>
  <c r="AX1028" i="2"/>
  <c r="AW1028" i="2"/>
  <c r="CA1027" i="2"/>
  <c r="BY1027" i="2"/>
  <c r="BX1027" i="2"/>
  <c r="BW1027" i="2"/>
  <c r="BV1027" i="2"/>
  <c r="BU1027" i="2"/>
  <c r="BT1027" i="2"/>
  <c r="BS1027" i="2"/>
  <c r="BR1027" i="2"/>
  <c r="BQ1027" i="2"/>
  <c r="BP1027" i="2"/>
  <c r="BO1027" i="2"/>
  <c r="BN1027" i="2"/>
  <c r="BM1027" i="2"/>
  <c r="BL1027" i="2"/>
  <c r="BK1027" i="2"/>
  <c r="BJ1027" i="2"/>
  <c r="BI1027" i="2"/>
  <c r="BH1027" i="2"/>
  <c r="BG1027" i="2"/>
  <c r="BF1027" i="2"/>
  <c r="BE1027" i="2"/>
  <c r="BD1027" i="2"/>
  <c r="BC1027" i="2"/>
  <c r="BB1027" i="2"/>
  <c r="BA1027" i="2"/>
  <c r="AZ1027" i="2"/>
  <c r="AY1027" i="2"/>
  <c r="AX1027" i="2"/>
  <c r="AW1027" i="2"/>
  <c r="CA1026" i="2"/>
  <c r="BY1026" i="2"/>
  <c r="BX1026" i="2"/>
  <c r="BW1026" i="2"/>
  <c r="BV1026" i="2"/>
  <c r="BU1026" i="2"/>
  <c r="BT1026" i="2"/>
  <c r="BS1026" i="2"/>
  <c r="BR1026" i="2"/>
  <c r="BQ1026" i="2"/>
  <c r="BP1026" i="2"/>
  <c r="BO1026" i="2"/>
  <c r="BN1026" i="2"/>
  <c r="BM1026" i="2"/>
  <c r="BL1026" i="2"/>
  <c r="BK1026" i="2"/>
  <c r="BJ1026" i="2"/>
  <c r="BI1026" i="2"/>
  <c r="BH1026" i="2"/>
  <c r="BG1026" i="2"/>
  <c r="BF1026" i="2"/>
  <c r="BE1026" i="2"/>
  <c r="BD1026" i="2"/>
  <c r="BC1026" i="2"/>
  <c r="BB1026" i="2"/>
  <c r="BA1026" i="2"/>
  <c r="AZ1026" i="2"/>
  <c r="AY1026" i="2"/>
  <c r="AX1026" i="2"/>
  <c r="AW1026" i="2"/>
  <c r="CA1025" i="2"/>
  <c r="BY1025" i="2"/>
  <c r="BX1025" i="2"/>
  <c r="BW1025" i="2"/>
  <c r="BV1025" i="2"/>
  <c r="BU1025" i="2"/>
  <c r="BT1025" i="2"/>
  <c r="BS1025" i="2"/>
  <c r="BR1025" i="2"/>
  <c r="BQ1025" i="2"/>
  <c r="BP1025" i="2"/>
  <c r="BO1025" i="2"/>
  <c r="BN1025" i="2"/>
  <c r="BM1025" i="2"/>
  <c r="BL1025" i="2"/>
  <c r="BK1025" i="2"/>
  <c r="BJ1025" i="2"/>
  <c r="BI1025" i="2"/>
  <c r="BH1025" i="2"/>
  <c r="BG1025" i="2"/>
  <c r="BF1025" i="2"/>
  <c r="BE1025" i="2"/>
  <c r="BD1025" i="2"/>
  <c r="BC1025" i="2"/>
  <c r="BB1025" i="2"/>
  <c r="BA1025" i="2"/>
  <c r="AZ1025" i="2"/>
  <c r="AY1025" i="2"/>
  <c r="AX1025" i="2"/>
  <c r="AW1025" i="2"/>
  <c r="CA1024" i="2"/>
  <c r="BY1024" i="2"/>
  <c r="BX1024" i="2"/>
  <c r="BW1024" i="2"/>
  <c r="BV1024" i="2"/>
  <c r="BU1024" i="2"/>
  <c r="BT1024" i="2"/>
  <c r="BS1024" i="2"/>
  <c r="BR1024" i="2"/>
  <c r="BQ1024" i="2"/>
  <c r="BP1024" i="2"/>
  <c r="BO1024" i="2"/>
  <c r="BN1024" i="2"/>
  <c r="BM1024" i="2"/>
  <c r="BL1024" i="2"/>
  <c r="BK1024" i="2"/>
  <c r="BJ1024" i="2"/>
  <c r="BI1024" i="2"/>
  <c r="BH1024" i="2"/>
  <c r="BG1024" i="2"/>
  <c r="BF1024" i="2"/>
  <c r="BE1024" i="2"/>
  <c r="BD1024" i="2"/>
  <c r="BC1024" i="2"/>
  <c r="BB1024" i="2"/>
  <c r="BA1024" i="2"/>
  <c r="AZ1024" i="2"/>
  <c r="AY1024" i="2"/>
  <c r="AX1024" i="2"/>
  <c r="AW1024" i="2"/>
  <c r="CA1023" i="2"/>
  <c r="BY1023" i="2"/>
  <c r="BX1023" i="2"/>
  <c r="BW1023" i="2"/>
  <c r="BV1023" i="2"/>
  <c r="BU1023" i="2"/>
  <c r="BT1023" i="2"/>
  <c r="BS1023" i="2"/>
  <c r="BR1023" i="2"/>
  <c r="BQ1023" i="2"/>
  <c r="BP1023" i="2"/>
  <c r="BO1023" i="2"/>
  <c r="BN1023" i="2"/>
  <c r="BM1023" i="2"/>
  <c r="BL1023" i="2"/>
  <c r="BK1023" i="2"/>
  <c r="BJ1023" i="2"/>
  <c r="BI1023" i="2"/>
  <c r="BH1023" i="2"/>
  <c r="BG1023" i="2"/>
  <c r="BF1023" i="2"/>
  <c r="BE1023" i="2"/>
  <c r="BD1023" i="2"/>
  <c r="BC1023" i="2"/>
  <c r="BB1023" i="2"/>
  <c r="BA1023" i="2"/>
  <c r="AZ1023" i="2"/>
  <c r="AY1023" i="2"/>
  <c r="AX1023" i="2"/>
  <c r="AW1023" i="2"/>
  <c r="CA1022" i="2"/>
  <c r="BY1022" i="2"/>
  <c r="BX1022" i="2"/>
  <c r="BW1022" i="2"/>
  <c r="BV1022" i="2"/>
  <c r="BU1022" i="2"/>
  <c r="BT1022" i="2"/>
  <c r="BS1022" i="2"/>
  <c r="BR1022" i="2"/>
  <c r="BQ1022" i="2"/>
  <c r="BP1022" i="2"/>
  <c r="BO1022" i="2"/>
  <c r="BN1022" i="2"/>
  <c r="BM1022" i="2"/>
  <c r="BL1022" i="2"/>
  <c r="BK1022" i="2"/>
  <c r="BJ1022" i="2"/>
  <c r="BI1022" i="2"/>
  <c r="BH1022" i="2"/>
  <c r="BG1022" i="2"/>
  <c r="BF1022" i="2"/>
  <c r="BE1022" i="2"/>
  <c r="BD1022" i="2"/>
  <c r="BC1022" i="2"/>
  <c r="BB1022" i="2"/>
  <c r="BA1022" i="2"/>
  <c r="AZ1022" i="2"/>
  <c r="AY1022" i="2"/>
  <c r="AX1022" i="2"/>
  <c r="AW1022" i="2"/>
  <c r="CA1021" i="2"/>
  <c r="BY1021" i="2"/>
  <c r="BX1021" i="2"/>
  <c r="BW1021" i="2"/>
  <c r="BV1021" i="2"/>
  <c r="BU1021" i="2"/>
  <c r="BT1021" i="2"/>
  <c r="BS1021" i="2"/>
  <c r="BR1021" i="2"/>
  <c r="BQ1021" i="2"/>
  <c r="BP1021" i="2"/>
  <c r="BO1021" i="2"/>
  <c r="BN1021" i="2"/>
  <c r="BM1021" i="2"/>
  <c r="BL1021" i="2"/>
  <c r="BK1021" i="2"/>
  <c r="BJ1021" i="2"/>
  <c r="BI1021" i="2"/>
  <c r="BH1021" i="2"/>
  <c r="BG1021" i="2"/>
  <c r="BF1021" i="2"/>
  <c r="BE1021" i="2"/>
  <c r="BD1021" i="2"/>
  <c r="BC1021" i="2"/>
  <c r="BB1021" i="2"/>
  <c r="BA1021" i="2"/>
  <c r="AZ1021" i="2"/>
  <c r="AY1021" i="2"/>
  <c r="AX1021" i="2"/>
  <c r="AW1021" i="2"/>
  <c r="CA1020" i="2"/>
  <c r="BY1020" i="2"/>
  <c r="BX1020" i="2"/>
  <c r="BW1020" i="2"/>
  <c r="BV1020" i="2"/>
  <c r="BU1020" i="2"/>
  <c r="BT1020" i="2"/>
  <c r="BS1020" i="2"/>
  <c r="BR1020" i="2"/>
  <c r="BQ1020" i="2"/>
  <c r="BP1020" i="2"/>
  <c r="BO1020" i="2"/>
  <c r="BN1020" i="2"/>
  <c r="BM1020" i="2"/>
  <c r="BL1020" i="2"/>
  <c r="BK1020" i="2"/>
  <c r="BJ1020" i="2"/>
  <c r="BI1020" i="2"/>
  <c r="BH1020" i="2"/>
  <c r="BG1020" i="2"/>
  <c r="BF1020" i="2"/>
  <c r="BE1020" i="2"/>
  <c r="BD1020" i="2"/>
  <c r="BC1020" i="2"/>
  <c r="BB1020" i="2"/>
  <c r="BA1020" i="2"/>
  <c r="AZ1020" i="2"/>
  <c r="AY1020" i="2"/>
  <c r="AX1020" i="2"/>
  <c r="AW1020" i="2"/>
  <c r="CA1019" i="2"/>
  <c r="BY1019" i="2"/>
  <c r="BX1019" i="2"/>
  <c r="BW1019" i="2"/>
  <c r="BV1019" i="2"/>
  <c r="BU1019" i="2"/>
  <c r="BT1019" i="2"/>
  <c r="BS1019" i="2"/>
  <c r="BR1019" i="2"/>
  <c r="BQ1019" i="2"/>
  <c r="BP1019" i="2"/>
  <c r="BO1019" i="2"/>
  <c r="BN1019" i="2"/>
  <c r="BM1019" i="2"/>
  <c r="BL1019" i="2"/>
  <c r="BK1019" i="2"/>
  <c r="BJ1019" i="2"/>
  <c r="BI1019" i="2"/>
  <c r="BH1019" i="2"/>
  <c r="BG1019" i="2"/>
  <c r="BF1019" i="2"/>
  <c r="BE1019" i="2"/>
  <c r="BD1019" i="2"/>
  <c r="BC1019" i="2"/>
  <c r="BB1019" i="2"/>
  <c r="BA1019" i="2"/>
  <c r="AZ1019" i="2"/>
  <c r="AY1019" i="2"/>
  <c r="AX1019" i="2"/>
  <c r="AW1019" i="2"/>
  <c r="CA1018" i="2"/>
  <c r="BY1018" i="2"/>
  <c r="BX1018" i="2"/>
  <c r="BW1018" i="2"/>
  <c r="BV1018" i="2"/>
  <c r="BU1018" i="2"/>
  <c r="BT1018" i="2"/>
  <c r="BS1018" i="2"/>
  <c r="BR1018" i="2"/>
  <c r="BQ1018" i="2"/>
  <c r="BP1018" i="2"/>
  <c r="BO1018" i="2"/>
  <c r="BN1018" i="2"/>
  <c r="BM1018" i="2"/>
  <c r="BL1018" i="2"/>
  <c r="BK1018" i="2"/>
  <c r="BJ1018" i="2"/>
  <c r="BI1018" i="2"/>
  <c r="BH1018" i="2"/>
  <c r="BG1018" i="2"/>
  <c r="BF1018" i="2"/>
  <c r="BE1018" i="2"/>
  <c r="BD1018" i="2"/>
  <c r="BC1018" i="2"/>
  <c r="BB1018" i="2"/>
  <c r="BA1018" i="2"/>
  <c r="AZ1018" i="2"/>
  <c r="AY1018" i="2"/>
  <c r="AX1018" i="2"/>
  <c r="AW1018" i="2"/>
  <c r="CA1017" i="2"/>
  <c r="BY1017" i="2"/>
  <c r="BX1017" i="2"/>
  <c r="BW1017" i="2"/>
  <c r="BV1017" i="2"/>
  <c r="BU1017" i="2"/>
  <c r="BT1017" i="2"/>
  <c r="BS1017" i="2"/>
  <c r="BR1017" i="2"/>
  <c r="BQ1017" i="2"/>
  <c r="BP1017" i="2"/>
  <c r="BO1017" i="2"/>
  <c r="BN1017" i="2"/>
  <c r="BM1017" i="2"/>
  <c r="BL1017" i="2"/>
  <c r="BK1017" i="2"/>
  <c r="BJ1017" i="2"/>
  <c r="BI1017" i="2"/>
  <c r="BH1017" i="2"/>
  <c r="BG1017" i="2"/>
  <c r="BF1017" i="2"/>
  <c r="BE1017" i="2"/>
  <c r="BD1017" i="2"/>
  <c r="BC1017" i="2"/>
  <c r="BB1017" i="2"/>
  <c r="BA1017" i="2"/>
  <c r="AZ1017" i="2"/>
  <c r="AY1017" i="2"/>
  <c r="AX1017" i="2"/>
  <c r="AW1017" i="2"/>
  <c r="CA1016" i="2"/>
  <c r="BY1016" i="2"/>
  <c r="BX1016" i="2"/>
  <c r="BW1016" i="2"/>
  <c r="BV1016" i="2"/>
  <c r="BU1016" i="2"/>
  <c r="BT1016" i="2"/>
  <c r="BS1016" i="2"/>
  <c r="BR1016" i="2"/>
  <c r="BQ1016" i="2"/>
  <c r="BP1016" i="2"/>
  <c r="BO1016" i="2"/>
  <c r="BN1016" i="2"/>
  <c r="BM1016" i="2"/>
  <c r="BL1016" i="2"/>
  <c r="BK1016" i="2"/>
  <c r="BJ1016" i="2"/>
  <c r="BI1016" i="2"/>
  <c r="BH1016" i="2"/>
  <c r="BG1016" i="2"/>
  <c r="BF1016" i="2"/>
  <c r="BE1016" i="2"/>
  <c r="BD1016" i="2"/>
  <c r="BC1016" i="2"/>
  <c r="BB1016" i="2"/>
  <c r="BA1016" i="2"/>
  <c r="AZ1016" i="2"/>
  <c r="AY1016" i="2"/>
  <c r="AX1016" i="2"/>
  <c r="AW1016" i="2"/>
  <c r="CA1015" i="2"/>
  <c r="BY1015" i="2"/>
  <c r="BX1015" i="2"/>
  <c r="BW1015" i="2"/>
  <c r="BV1015" i="2"/>
  <c r="BU1015" i="2"/>
  <c r="BT1015" i="2"/>
  <c r="BS1015" i="2"/>
  <c r="BR1015" i="2"/>
  <c r="BQ1015" i="2"/>
  <c r="BP1015" i="2"/>
  <c r="BO1015" i="2"/>
  <c r="BN1015" i="2"/>
  <c r="BM1015" i="2"/>
  <c r="BL1015" i="2"/>
  <c r="BK1015" i="2"/>
  <c r="BJ1015" i="2"/>
  <c r="BI1015" i="2"/>
  <c r="BH1015" i="2"/>
  <c r="BG1015" i="2"/>
  <c r="BF1015" i="2"/>
  <c r="BE1015" i="2"/>
  <c r="BD1015" i="2"/>
  <c r="BC1015" i="2"/>
  <c r="BB1015" i="2"/>
  <c r="BA1015" i="2"/>
  <c r="AZ1015" i="2"/>
  <c r="AY1015" i="2"/>
  <c r="AX1015" i="2"/>
  <c r="AW1015" i="2"/>
  <c r="CA1014" i="2"/>
  <c r="BY1014" i="2"/>
  <c r="BX1014" i="2"/>
  <c r="BW1014" i="2"/>
  <c r="BV1014" i="2"/>
  <c r="BU1014" i="2"/>
  <c r="BT1014" i="2"/>
  <c r="BS1014" i="2"/>
  <c r="BR1014" i="2"/>
  <c r="BQ1014" i="2"/>
  <c r="BP1014" i="2"/>
  <c r="BO1014" i="2"/>
  <c r="BN1014" i="2"/>
  <c r="BM1014" i="2"/>
  <c r="BL1014" i="2"/>
  <c r="BK1014" i="2"/>
  <c r="BJ1014" i="2"/>
  <c r="BI1014" i="2"/>
  <c r="BH1014" i="2"/>
  <c r="BG1014" i="2"/>
  <c r="BF1014" i="2"/>
  <c r="BE1014" i="2"/>
  <c r="BD1014" i="2"/>
  <c r="BC1014" i="2"/>
  <c r="BB1014" i="2"/>
  <c r="BA1014" i="2"/>
  <c r="AZ1014" i="2"/>
  <c r="AY1014" i="2"/>
  <c r="AX1014" i="2"/>
  <c r="AW1014" i="2"/>
  <c r="CA1013" i="2"/>
  <c r="BY1013" i="2"/>
  <c r="BX1013" i="2"/>
  <c r="BW1013" i="2"/>
  <c r="BV1013" i="2"/>
  <c r="BU1013" i="2"/>
  <c r="BT1013" i="2"/>
  <c r="BS1013" i="2"/>
  <c r="BR1013" i="2"/>
  <c r="BQ1013" i="2"/>
  <c r="BP1013" i="2"/>
  <c r="BO1013" i="2"/>
  <c r="BN1013" i="2"/>
  <c r="BM1013" i="2"/>
  <c r="BL1013" i="2"/>
  <c r="BK1013" i="2"/>
  <c r="BJ1013" i="2"/>
  <c r="BI1013" i="2"/>
  <c r="BH1013" i="2"/>
  <c r="BG1013" i="2"/>
  <c r="BF1013" i="2"/>
  <c r="BE1013" i="2"/>
  <c r="BD1013" i="2"/>
  <c r="BC1013" i="2"/>
  <c r="BB1013" i="2"/>
  <c r="BA1013" i="2"/>
  <c r="AZ1013" i="2"/>
  <c r="AY1013" i="2"/>
  <c r="AX1013" i="2"/>
  <c r="AW1013" i="2"/>
  <c r="CA1012" i="2"/>
  <c r="BY1012" i="2"/>
  <c r="BX1012" i="2"/>
  <c r="BW1012" i="2"/>
  <c r="BV1012" i="2"/>
  <c r="BU1012" i="2"/>
  <c r="BT1012" i="2"/>
  <c r="BS1012" i="2"/>
  <c r="BR1012" i="2"/>
  <c r="BQ1012" i="2"/>
  <c r="BP1012" i="2"/>
  <c r="BO1012" i="2"/>
  <c r="BN1012" i="2"/>
  <c r="BM1012" i="2"/>
  <c r="BL1012" i="2"/>
  <c r="BK1012" i="2"/>
  <c r="BJ1012" i="2"/>
  <c r="BI1012" i="2"/>
  <c r="BH1012" i="2"/>
  <c r="BG1012" i="2"/>
  <c r="BF1012" i="2"/>
  <c r="BE1012" i="2"/>
  <c r="BD1012" i="2"/>
  <c r="BC1012" i="2"/>
  <c r="BB1012" i="2"/>
  <c r="BA1012" i="2"/>
  <c r="AZ1012" i="2"/>
  <c r="AY1012" i="2"/>
  <c r="AX1012" i="2"/>
  <c r="AW1012" i="2"/>
  <c r="CA1011" i="2"/>
  <c r="BY1011" i="2"/>
  <c r="BX1011" i="2"/>
  <c r="BW1011" i="2"/>
  <c r="BV1011" i="2"/>
  <c r="BU1011" i="2"/>
  <c r="BT1011" i="2"/>
  <c r="BS1011" i="2"/>
  <c r="BR1011" i="2"/>
  <c r="BQ1011" i="2"/>
  <c r="BP1011" i="2"/>
  <c r="BO1011" i="2"/>
  <c r="BN1011" i="2"/>
  <c r="BM1011" i="2"/>
  <c r="BL1011" i="2"/>
  <c r="BK1011" i="2"/>
  <c r="BJ1011" i="2"/>
  <c r="BI1011" i="2"/>
  <c r="BH1011" i="2"/>
  <c r="BG1011" i="2"/>
  <c r="BF1011" i="2"/>
  <c r="BE1011" i="2"/>
  <c r="BD1011" i="2"/>
  <c r="BC1011" i="2"/>
  <c r="BB1011" i="2"/>
  <c r="BA1011" i="2"/>
  <c r="AZ1011" i="2"/>
  <c r="AY1011" i="2"/>
  <c r="AX1011" i="2"/>
  <c r="AW1011" i="2"/>
  <c r="CA1010" i="2"/>
  <c r="BY1010" i="2"/>
  <c r="BX1010" i="2"/>
  <c r="BW1010" i="2"/>
  <c r="BV1010" i="2"/>
  <c r="BU1010" i="2"/>
  <c r="BT1010" i="2"/>
  <c r="BS1010" i="2"/>
  <c r="BR1010" i="2"/>
  <c r="BQ1010" i="2"/>
  <c r="BP1010" i="2"/>
  <c r="BO1010" i="2"/>
  <c r="BN1010" i="2"/>
  <c r="BM1010" i="2"/>
  <c r="BL1010" i="2"/>
  <c r="BK1010" i="2"/>
  <c r="BJ1010" i="2"/>
  <c r="BI1010" i="2"/>
  <c r="BH1010" i="2"/>
  <c r="BG1010" i="2"/>
  <c r="BF1010" i="2"/>
  <c r="BE1010" i="2"/>
  <c r="BD1010" i="2"/>
  <c r="BC1010" i="2"/>
  <c r="BB1010" i="2"/>
  <c r="BA1010" i="2"/>
  <c r="AZ1010" i="2"/>
  <c r="AY1010" i="2"/>
  <c r="AX1010" i="2"/>
  <c r="AW1010" i="2"/>
  <c r="CA1009" i="2"/>
  <c r="BY1009" i="2"/>
  <c r="BX1009" i="2"/>
  <c r="BW1009" i="2"/>
  <c r="BV1009" i="2"/>
  <c r="BU1009" i="2"/>
  <c r="BT1009" i="2"/>
  <c r="BS1009" i="2"/>
  <c r="BR1009" i="2"/>
  <c r="BQ1009" i="2"/>
  <c r="BP1009" i="2"/>
  <c r="BO1009" i="2"/>
  <c r="BN1009" i="2"/>
  <c r="BM1009" i="2"/>
  <c r="BL1009" i="2"/>
  <c r="BK1009" i="2"/>
  <c r="BJ1009" i="2"/>
  <c r="BI1009" i="2"/>
  <c r="BH1009" i="2"/>
  <c r="BG1009" i="2"/>
  <c r="BF1009" i="2"/>
  <c r="BE1009" i="2"/>
  <c r="BD1009" i="2"/>
  <c r="BC1009" i="2"/>
  <c r="BB1009" i="2"/>
  <c r="BA1009" i="2"/>
  <c r="AZ1009" i="2"/>
  <c r="AY1009" i="2"/>
  <c r="AX1009" i="2"/>
  <c r="AW1009" i="2"/>
  <c r="CA1008" i="2"/>
  <c r="BY1008" i="2"/>
  <c r="BX1008" i="2"/>
  <c r="BW1008" i="2"/>
  <c r="BV1008" i="2"/>
  <c r="BU1008" i="2"/>
  <c r="BT1008" i="2"/>
  <c r="BS1008" i="2"/>
  <c r="BR1008" i="2"/>
  <c r="BQ1008" i="2"/>
  <c r="BP1008" i="2"/>
  <c r="BO1008" i="2"/>
  <c r="BN1008" i="2"/>
  <c r="BM1008" i="2"/>
  <c r="BL1008" i="2"/>
  <c r="BK1008" i="2"/>
  <c r="BJ1008" i="2"/>
  <c r="BI1008" i="2"/>
  <c r="BH1008" i="2"/>
  <c r="BG1008" i="2"/>
  <c r="BF1008" i="2"/>
  <c r="BE1008" i="2"/>
  <c r="BD1008" i="2"/>
  <c r="BC1008" i="2"/>
  <c r="BB1008" i="2"/>
  <c r="BA1008" i="2"/>
  <c r="AZ1008" i="2"/>
  <c r="AY1008" i="2"/>
  <c r="AX1008" i="2"/>
  <c r="AW1008" i="2"/>
  <c r="CA1007" i="2"/>
  <c r="BY1007" i="2"/>
  <c r="BX1007" i="2"/>
  <c r="BW1007" i="2"/>
  <c r="BV1007" i="2"/>
  <c r="BU1007" i="2"/>
  <c r="BT1007" i="2"/>
  <c r="BS1007" i="2"/>
  <c r="BR1007" i="2"/>
  <c r="BQ1007" i="2"/>
  <c r="BP1007" i="2"/>
  <c r="BO1007" i="2"/>
  <c r="BN1007" i="2"/>
  <c r="BM1007" i="2"/>
  <c r="BL1007" i="2"/>
  <c r="BK1007" i="2"/>
  <c r="BJ1007" i="2"/>
  <c r="BI1007" i="2"/>
  <c r="BH1007" i="2"/>
  <c r="BG1007" i="2"/>
  <c r="BF1007" i="2"/>
  <c r="BE1007" i="2"/>
  <c r="BD1007" i="2"/>
  <c r="BC1007" i="2"/>
  <c r="BB1007" i="2"/>
  <c r="BA1007" i="2"/>
  <c r="AZ1007" i="2"/>
  <c r="AY1007" i="2"/>
  <c r="AX1007" i="2"/>
  <c r="AW1007" i="2"/>
  <c r="CA1006" i="2"/>
  <c r="BY1006" i="2"/>
  <c r="BX1006" i="2"/>
  <c r="BW1006" i="2"/>
  <c r="BV1006" i="2"/>
  <c r="BU1006" i="2"/>
  <c r="BT1006" i="2"/>
  <c r="BS1006" i="2"/>
  <c r="BR1006" i="2"/>
  <c r="BQ1006" i="2"/>
  <c r="BP1006" i="2"/>
  <c r="BO1006" i="2"/>
  <c r="BN1006" i="2"/>
  <c r="BM1006" i="2"/>
  <c r="BL1006" i="2"/>
  <c r="BK1006" i="2"/>
  <c r="BJ1006" i="2"/>
  <c r="BI1006" i="2"/>
  <c r="BH1006" i="2"/>
  <c r="BG1006" i="2"/>
  <c r="BF1006" i="2"/>
  <c r="BE1006" i="2"/>
  <c r="BD1006" i="2"/>
  <c r="BC1006" i="2"/>
  <c r="BB1006" i="2"/>
  <c r="BA1006" i="2"/>
  <c r="AZ1006" i="2"/>
  <c r="AY1006" i="2"/>
  <c r="AX1006" i="2"/>
  <c r="AW1006" i="2"/>
  <c r="CA1005" i="2"/>
  <c r="BY1005" i="2"/>
  <c r="BX1005" i="2"/>
  <c r="BW1005" i="2"/>
  <c r="BV1005" i="2"/>
  <c r="BU1005" i="2"/>
  <c r="BT1005" i="2"/>
  <c r="BS1005" i="2"/>
  <c r="BR1005" i="2"/>
  <c r="BQ1005" i="2"/>
  <c r="BP1005" i="2"/>
  <c r="BO1005" i="2"/>
  <c r="BN1005" i="2"/>
  <c r="BM1005" i="2"/>
  <c r="BL1005" i="2"/>
  <c r="BK1005" i="2"/>
  <c r="BJ1005" i="2"/>
  <c r="BI1005" i="2"/>
  <c r="BH1005" i="2"/>
  <c r="BG1005" i="2"/>
  <c r="BF1005" i="2"/>
  <c r="BE1005" i="2"/>
  <c r="BD1005" i="2"/>
  <c r="BC1005" i="2"/>
  <c r="BB1005" i="2"/>
  <c r="BA1005" i="2"/>
  <c r="AZ1005" i="2"/>
  <c r="AY1005" i="2"/>
  <c r="AX1005" i="2"/>
  <c r="AW1005" i="2"/>
  <c r="CA1004" i="2"/>
  <c r="BY1004" i="2"/>
  <c r="BX1004" i="2"/>
  <c r="BW1004" i="2"/>
  <c r="BV1004" i="2"/>
  <c r="BU1004" i="2"/>
  <c r="BT1004" i="2"/>
  <c r="BS1004" i="2"/>
  <c r="BR1004" i="2"/>
  <c r="BQ1004" i="2"/>
  <c r="BP1004" i="2"/>
  <c r="BO1004" i="2"/>
  <c r="BN1004" i="2"/>
  <c r="BM1004" i="2"/>
  <c r="BL1004" i="2"/>
  <c r="BK1004" i="2"/>
  <c r="BJ1004" i="2"/>
  <c r="BI1004" i="2"/>
  <c r="BH1004" i="2"/>
  <c r="BG1004" i="2"/>
  <c r="BF1004" i="2"/>
  <c r="BE1004" i="2"/>
  <c r="BD1004" i="2"/>
  <c r="BC1004" i="2"/>
  <c r="BB1004" i="2"/>
  <c r="BA1004" i="2"/>
  <c r="AZ1004" i="2"/>
  <c r="AY1004" i="2"/>
  <c r="AX1004" i="2"/>
  <c r="AW1004" i="2"/>
  <c r="CA1003" i="2"/>
  <c r="BY1003" i="2"/>
  <c r="BX1003" i="2"/>
  <c r="BW1003" i="2"/>
  <c r="BV1003" i="2"/>
  <c r="BU1003" i="2"/>
  <c r="BT1003" i="2"/>
  <c r="BS1003" i="2"/>
  <c r="BR1003" i="2"/>
  <c r="BQ1003" i="2"/>
  <c r="BP1003" i="2"/>
  <c r="BO1003" i="2"/>
  <c r="BN1003" i="2"/>
  <c r="BM1003" i="2"/>
  <c r="BL1003" i="2"/>
  <c r="BK1003" i="2"/>
  <c r="BJ1003" i="2"/>
  <c r="BI1003" i="2"/>
  <c r="BH1003" i="2"/>
  <c r="BG1003" i="2"/>
  <c r="BF1003" i="2"/>
  <c r="BE1003" i="2"/>
  <c r="BD1003" i="2"/>
  <c r="BC1003" i="2"/>
  <c r="BB1003" i="2"/>
  <c r="BA1003" i="2"/>
  <c r="AZ1003" i="2"/>
  <c r="AY1003" i="2"/>
  <c r="AX1003" i="2"/>
  <c r="AW1003" i="2"/>
  <c r="CA1002" i="2"/>
  <c r="BY1002" i="2"/>
  <c r="BX1002" i="2"/>
  <c r="BW1002" i="2"/>
  <c r="BV1002" i="2"/>
  <c r="BU1002" i="2"/>
  <c r="BT1002" i="2"/>
  <c r="BS1002" i="2"/>
  <c r="BR1002" i="2"/>
  <c r="BQ1002" i="2"/>
  <c r="BP1002" i="2"/>
  <c r="BO1002" i="2"/>
  <c r="BN1002" i="2"/>
  <c r="BM1002" i="2"/>
  <c r="BL1002" i="2"/>
  <c r="BK1002" i="2"/>
  <c r="BJ1002" i="2"/>
  <c r="BI1002" i="2"/>
  <c r="BH1002" i="2"/>
  <c r="BG1002" i="2"/>
  <c r="BF1002" i="2"/>
  <c r="BE1002" i="2"/>
  <c r="BD1002" i="2"/>
  <c r="BC1002" i="2"/>
  <c r="BB1002" i="2"/>
  <c r="BA1002" i="2"/>
  <c r="AZ1002" i="2"/>
  <c r="AY1002" i="2"/>
  <c r="AX1002" i="2"/>
  <c r="AW1002" i="2"/>
  <c r="CA1001" i="2"/>
  <c r="BY1001" i="2"/>
  <c r="BX1001" i="2"/>
  <c r="BW1001" i="2"/>
  <c r="BV1001" i="2"/>
  <c r="BU1001" i="2"/>
  <c r="BT1001" i="2"/>
  <c r="BS1001" i="2"/>
  <c r="BR1001" i="2"/>
  <c r="BQ1001" i="2"/>
  <c r="BP1001" i="2"/>
  <c r="BO1001" i="2"/>
  <c r="BN1001" i="2"/>
  <c r="BM1001" i="2"/>
  <c r="BL1001" i="2"/>
  <c r="BK1001" i="2"/>
  <c r="BJ1001" i="2"/>
  <c r="BI1001" i="2"/>
  <c r="BH1001" i="2"/>
  <c r="BG1001" i="2"/>
  <c r="BF1001" i="2"/>
  <c r="BE1001" i="2"/>
  <c r="BD1001" i="2"/>
  <c r="BC1001" i="2"/>
  <c r="BB1001" i="2"/>
  <c r="BA1001" i="2"/>
  <c r="AZ1001" i="2"/>
  <c r="AY1001" i="2"/>
  <c r="AX1001" i="2"/>
  <c r="AW1001" i="2"/>
  <c r="CA1000" i="2"/>
  <c r="BY1000" i="2"/>
  <c r="BX1000" i="2"/>
  <c r="BW1000" i="2"/>
  <c r="BV1000" i="2"/>
  <c r="BU1000" i="2"/>
  <c r="BT1000" i="2"/>
  <c r="BS1000" i="2"/>
  <c r="BR1000" i="2"/>
  <c r="BQ1000" i="2"/>
  <c r="BP1000" i="2"/>
  <c r="BO1000" i="2"/>
  <c r="BN1000" i="2"/>
  <c r="BM1000" i="2"/>
  <c r="BL1000" i="2"/>
  <c r="BK1000" i="2"/>
  <c r="BJ1000" i="2"/>
  <c r="BI1000" i="2"/>
  <c r="BH1000" i="2"/>
  <c r="BG1000" i="2"/>
  <c r="BF1000" i="2"/>
  <c r="BE1000" i="2"/>
  <c r="BD1000" i="2"/>
  <c r="BC1000" i="2"/>
  <c r="BB1000" i="2"/>
  <c r="BA1000" i="2"/>
  <c r="AZ1000" i="2"/>
  <c r="AY1000" i="2"/>
  <c r="AX1000" i="2"/>
  <c r="AW1000" i="2"/>
  <c r="CA999" i="2"/>
  <c r="BY999" i="2"/>
  <c r="BX999" i="2"/>
  <c r="BW999" i="2"/>
  <c r="BV999" i="2"/>
  <c r="BU999" i="2"/>
  <c r="BT999" i="2"/>
  <c r="BS999" i="2"/>
  <c r="BR999" i="2"/>
  <c r="BQ999" i="2"/>
  <c r="BP999" i="2"/>
  <c r="BO999" i="2"/>
  <c r="BN999" i="2"/>
  <c r="BM999" i="2"/>
  <c r="BL999" i="2"/>
  <c r="BK999" i="2"/>
  <c r="BJ999" i="2"/>
  <c r="BI999" i="2"/>
  <c r="BH999" i="2"/>
  <c r="BG999" i="2"/>
  <c r="BF999" i="2"/>
  <c r="BE999" i="2"/>
  <c r="BD999" i="2"/>
  <c r="BC999" i="2"/>
  <c r="BB999" i="2"/>
  <c r="BA999" i="2"/>
  <c r="AZ999" i="2"/>
  <c r="AY999" i="2"/>
  <c r="AX999" i="2"/>
  <c r="AW999" i="2"/>
  <c r="BZ999" i="2" s="1"/>
  <c r="CC999" i="2" s="1"/>
  <c r="CA998" i="2"/>
  <c r="BY998" i="2"/>
  <c r="BX998" i="2"/>
  <c r="BW998" i="2"/>
  <c r="BV998" i="2"/>
  <c r="BU998" i="2"/>
  <c r="BT998" i="2"/>
  <c r="BS998" i="2"/>
  <c r="BR998" i="2"/>
  <c r="BQ998" i="2"/>
  <c r="BP998" i="2"/>
  <c r="BO998" i="2"/>
  <c r="BN998" i="2"/>
  <c r="BM998" i="2"/>
  <c r="BL998" i="2"/>
  <c r="BK998" i="2"/>
  <c r="BJ998" i="2"/>
  <c r="BI998" i="2"/>
  <c r="BH998" i="2"/>
  <c r="BG998" i="2"/>
  <c r="BF998" i="2"/>
  <c r="BE998" i="2"/>
  <c r="BD998" i="2"/>
  <c r="BC998" i="2"/>
  <c r="BB998" i="2"/>
  <c r="BA998" i="2"/>
  <c r="AZ998" i="2"/>
  <c r="AY998" i="2"/>
  <c r="AX998" i="2"/>
  <c r="AW998" i="2"/>
  <c r="CA997" i="2"/>
  <c r="BY997" i="2"/>
  <c r="BX997" i="2"/>
  <c r="BW997" i="2"/>
  <c r="BV997" i="2"/>
  <c r="BU997" i="2"/>
  <c r="BT997" i="2"/>
  <c r="BS997" i="2"/>
  <c r="BR997" i="2"/>
  <c r="BQ997" i="2"/>
  <c r="BP997" i="2"/>
  <c r="BO997" i="2"/>
  <c r="BN997" i="2"/>
  <c r="BM997" i="2"/>
  <c r="BL997" i="2"/>
  <c r="BK997" i="2"/>
  <c r="BJ997" i="2"/>
  <c r="BI997" i="2"/>
  <c r="BH997" i="2"/>
  <c r="BG997" i="2"/>
  <c r="BF997" i="2"/>
  <c r="BE997" i="2"/>
  <c r="BD997" i="2"/>
  <c r="BC997" i="2"/>
  <c r="BB997" i="2"/>
  <c r="BA997" i="2"/>
  <c r="AZ997" i="2"/>
  <c r="AY997" i="2"/>
  <c r="AX997" i="2"/>
  <c r="AW997" i="2"/>
  <c r="CA996" i="2"/>
  <c r="BY996" i="2"/>
  <c r="BX996" i="2"/>
  <c r="BW996" i="2"/>
  <c r="BV996" i="2"/>
  <c r="BU996" i="2"/>
  <c r="BT996" i="2"/>
  <c r="BS996" i="2"/>
  <c r="BR996" i="2"/>
  <c r="BQ996" i="2"/>
  <c r="BP996" i="2"/>
  <c r="BO996" i="2"/>
  <c r="BN996" i="2"/>
  <c r="BM996" i="2"/>
  <c r="BL996" i="2"/>
  <c r="BK996" i="2"/>
  <c r="BJ996" i="2"/>
  <c r="BI996" i="2"/>
  <c r="BH996" i="2"/>
  <c r="BG996" i="2"/>
  <c r="BF996" i="2"/>
  <c r="BE996" i="2"/>
  <c r="BD996" i="2"/>
  <c r="BC996" i="2"/>
  <c r="BB996" i="2"/>
  <c r="BA996" i="2"/>
  <c r="AZ996" i="2"/>
  <c r="AY996" i="2"/>
  <c r="AX996" i="2"/>
  <c r="AW996" i="2"/>
  <c r="CA995" i="2"/>
  <c r="BY995" i="2"/>
  <c r="BX995" i="2"/>
  <c r="BW995" i="2"/>
  <c r="BV995" i="2"/>
  <c r="BU995" i="2"/>
  <c r="BT995" i="2"/>
  <c r="BS995" i="2"/>
  <c r="BR995" i="2"/>
  <c r="BQ995" i="2"/>
  <c r="BP995" i="2"/>
  <c r="BO995" i="2"/>
  <c r="BN995" i="2"/>
  <c r="BM995" i="2"/>
  <c r="BL995" i="2"/>
  <c r="BK995" i="2"/>
  <c r="BJ995" i="2"/>
  <c r="BI995" i="2"/>
  <c r="BH995" i="2"/>
  <c r="BG995" i="2"/>
  <c r="BF995" i="2"/>
  <c r="BE995" i="2"/>
  <c r="BD995" i="2"/>
  <c r="BC995" i="2"/>
  <c r="BB995" i="2"/>
  <c r="BA995" i="2"/>
  <c r="AZ995" i="2"/>
  <c r="AY995" i="2"/>
  <c r="AX995" i="2"/>
  <c r="AW995" i="2"/>
  <c r="CA994" i="2"/>
  <c r="BY994" i="2"/>
  <c r="BX994" i="2"/>
  <c r="BW994" i="2"/>
  <c r="BV994" i="2"/>
  <c r="BU994" i="2"/>
  <c r="BT994" i="2"/>
  <c r="BS994" i="2"/>
  <c r="BR994" i="2"/>
  <c r="BQ994" i="2"/>
  <c r="BP994" i="2"/>
  <c r="BO994" i="2"/>
  <c r="BN994" i="2"/>
  <c r="BM994" i="2"/>
  <c r="BL994" i="2"/>
  <c r="BK994" i="2"/>
  <c r="BJ994" i="2"/>
  <c r="BI994" i="2"/>
  <c r="BH994" i="2"/>
  <c r="BG994" i="2"/>
  <c r="BF994" i="2"/>
  <c r="BE994" i="2"/>
  <c r="BD994" i="2"/>
  <c r="BC994" i="2"/>
  <c r="BB994" i="2"/>
  <c r="BA994" i="2"/>
  <c r="AZ994" i="2"/>
  <c r="AY994" i="2"/>
  <c r="AX994" i="2"/>
  <c r="AW994" i="2"/>
  <c r="CA993" i="2"/>
  <c r="BY993" i="2"/>
  <c r="BX993" i="2"/>
  <c r="BW993" i="2"/>
  <c r="BV993" i="2"/>
  <c r="BU993" i="2"/>
  <c r="BT993" i="2"/>
  <c r="BS993" i="2"/>
  <c r="BR993" i="2"/>
  <c r="BQ993" i="2"/>
  <c r="BP993" i="2"/>
  <c r="BO993" i="2"/>
  <c r="BN993" i="2"/>
  <c r="BM993" i="2"/>
  <c r="BL993" i="2"/>
  <c r="BK993" i="2"/>
  <c r="BJ993" i="2"/>
  <c r="BI993" i="2"/>
  <c r="BH993" i="2"/>
  <c r="BG993" i="2"/>
  <c r="BF993" i="2"/>
  <c r="BE993" i="2"/>
  <c r="BD993" i="2"/>
  <c r="BC993" i="2"/>
  <c r="BB993" i="2"/>
  <c r="BA993" i="2"/>
  <c r="AZ993" i="2"/>
  <c r="AY993" i="2"/>
  <c r="AX993" i="2"/>
  <c r="AW993" i="2"/>
  <c r="CA992" i="2"/>
  <c r="BY992" i="2"/>
  <c r="BX992" i="2"/>
  <c r="BW992" i="2"/>
  <c r="BV992" i="2"/>
  <c r="BU992" i="2"/>
  <c r="BT992" i="2"/>
  <c r="BS992" i="2"/>
  <c r="BR992" i="2"/>
  <c r="BQ992" i="2"/>
  <c r="BP992" i="2"/>
  <c r="BO992" i="2"/>
  <c r="BN992" i="2"/>
  <c r="BM992" i="2"/>
  <c r="BL992" i="2"/>
  <c r="BK992" i="2"/>
  <c r="BJ992" i="2"/>
  <c r="BI992" i="2"/>
  <c r="BH992" i="2"/>
  <c r="BG992" i="2"/>
  <c r="BF992" i="2"/>
  <c r="BE992" i="2"/>
  <c r="BD992" i="2"/>
  <c r="BC992" i="2"/>
  <c r="BB992" i="2"/>
  <c r="BA992" i="2"/>
  <c r="AZ992" i="2"/>
  <c r="AY992" i="2"/>
  <c r="AX992" i="2"/>
  <c r="AW992" i="2"/>
  <c r="CA991" i="2"/>
  <c r="BY991" i="2"/>
  <c r="BX991" i="2"/>
  <c r="BW991" i="2"/>
  <c r="BV991" i="2"/>
  <c r="BU991" i="2"/>
  <c r="BT991" i="2"/>
  <c r="BS991" i="2"/>
  <c r="BR991" i="2"/>
  <c r="BQ991" i="2"/>
  <c r="BP991" i="2"/>
  <c r="BO991" i="2"/>
  <c r="BN991" i="2"/>
  <c r="BM991" i="2"/>
  <c r="BL991" i="2"/>
  <c r="BK991" i="2"/>
  <c r="BJ991" i="2"/>
  <c r="BI991" i="2"/>
  <c r="BH991" i="2"/>
  <c r="BG991" i="2"/>
  <c r="BF991" i="2"/>
  <c r="BE991" i="2"/>
  <c r="BD991" i="2"/>
  <c r="BC991" i="2"/>
  <c r="BB991" i="2"/>
  <c r="BA991" i="2"/>
  <c r="AZ991" i="2"/>
  <c r="AY991" i="2"/>
  <c r="AX991" i="2"/>
  <c r="AW991" i="2"/>
  <c r="CA990" i="2"/>
  <c r="BY990" i="2"/>
  <c r="BX990" i="2"/>
  <c r="BW990" i="2"/>
  <c r="BV990" i="2"/>
  <c r="BU990" i="2"/>
  <c r="BT990" i="2"/>
  <c r="BS990" i="2"/>
  <c r="BR990" i="2"/>
  <c r="BQ990" i="2"/>
  <c r="BP990" i="2"/>
  <c r="BO990" i="2"/>
  <c r="BN990" i="2"/>
  <c r="BM990" i="2"/>
  <c r="BL990" i="2"/>
  <c r="BK990" i="2"/>
  <c r="BJ990" i="2"/>
  <c r="BI990" i="2"/>
  <c r="BH990" i="2"/>
  <c r="BG990" i="2"/>
  <c r="BF990" i="2"/>
  <c r="BE990" i="2"/>
  <c r="BD990" i="2"/>
  <c r="BC990" i="2"/>
  <c r="BB990" i="2"/>
  <c r="BA990" i="2"/>
  <c r="AZ990" i="2"/>
  <c r="AY990" i="2"/>
  <c r="AX990" i="2"/>
  <c r="AW990" i="2"/>
  <c r="CA989" i="2"/>
  <c r="BY989" i="2"/>
  <c r="BX989" i="2"/>
  <c r="BW989" i="2"/>
  <c r="BV989" i="2"/>
  <c r="BU989" i="2"/>
  <c r="BT989" i="2"/>
  <c r="BS989" i="2"/>
  <c r="BR989" i="2"/>
  <c r="BQ989" i="2"/>
  <c r="BP989" i="2"/>
  <c r="BO989" i="2"/>
  <c r="BN989" i="2"/>
  <c r="BM989" i="2"/>
  <c r="BL989" i="2"/>
  <c r="BK989" i="2"/>
  <c r="BJ989" i="2"/>
  <c r="BI989" i="2"/>
  <c r="BH989" i="2"/>
  <c r="BG989" i="2"/>
  <c r="BF989" i="2"/>
  <c r="BE989" i="2"/>
  <c r="BD989" i="2"/>
  <c r="BC989" i="2"/>
  <c r="BB989" i="2"/>
  <c r="BA989" i="2"/>
  <c r="AZ989" i="2"/>
  <c r="AY989" i="2"/>
  <c r="AX989" i="2"/>
  <c r="AW989" i="2"/>
  <c r="CA988" i="2"/>
  <c r="BY988" i="2"/>
  <c r="BX988" i="2"/>
  <c r="BW988" i="2"/>
  <c r="BV988" i="2"/>
  <c r="BU988" i="2"/>
  <c r="BT988" i="2"/>
  <c r="BS988" i="2"/>
  <c r="BR988" i="2"/>
  <c r="BQ988" i="2"/>
  <c r="BP988" i="2"/>
  <c r="BO988" i="2"/>
  <c r="BN988" i="2"/>
  <c r="BM988" i="2"/>
  <c r="BL988" i="2"/>
  <c r="BK988" i="2"/>
  <c r="BJ988" i="2"/>
  <c r="BI988" i="2"/>
  <c r="BH988" i="2"/>
  <c r="BG988" i="2"/>
  <c r="BF988" i="2"/>
  <c r="BE988" i="2"/>
  <c r="BD988" i="2"/>
  <c r="BC988" i="2"/>
  <c r="BB988" i="2"/>
  <c r="BA988" i="2"/>
  <c r="AZ988" i="2"/>
  <c r="AY988" i="2"/>
  <c r="AX988" i="2"/>
  <c r="AW988" i="2"/>
  <c r="CA987" i="2"/>
  <c r="BY987" i="2"/>
  <c r="BX987" i="2"/>
  <c r="BW987" i="2"/>
  <c r="BV987" i="2"/>
  <c r="BU987" i="2"/>
  <c r="BT987" i="2"/>
  <c r="BS987" i="2"/>
  <c r="BR987" i="2"/>
  <c r="BQ987" i="2"/>
  <c r="BP987" i="2"/>
  <c r="BO987" i="2"/>
  <c r="BN987" i="2"/>
  <c r="BM987" i="2"/>
  <c r="BL987" i="2"/>
  <c r="BK987" i="2"/>
  <c r="BJ987" i="2"/>
  <c r="BI987" i="2"/>
  <c r="BH987" i="2"/>
  <c r="BG987" i="2"/>
  <c r="BF987" i="2"/>
  <c r="BE987" i="2"/>
  <c r="BD987" i="2"/>
  <c r="BC987" i="2"/>
  <c r="BB987" i="2"/>
  <c r="BA987" i="2"/>
  <c r="AZ987" i="2"/>
  <c r="AY987" i="2"/>
  <c r="AX987" i="2"/>
  <c r="AW987" i="2"/>
  <c r="BZ987" i="2" s="1"/>
  <c r="CC987" i="2" s="1"/>
  <c r="CA986" i="2"/>
  <c r="BY986" i="2"/>
  <c r="BX986" i="2"/>
  <c r="BW986" i="2"/>
  <c r="BV986" i="2"/>
  <c r="BU986" i="2"/>
  <c r="BT986" i="2"/>
  <c r="BS986" i="2"/>
  <c r="BR986" i="2"/>
  <c r="BQ986" i="2"/>
  <c r="BP986" i="2"/>
  <c r="BO986" i="2"/>
  <c r="BN986" i="2"/>
  <c r="BM986" i="2"/>
  <c r="BL986" i="2"/>
  <c r="BK986" i="2"/>
  <c r="BJ986" i="2"/>
  <c r="BI986" i="2"/>
  <c r="BH986" i="2"/>
  <c r="BG986" i="2"/>
  <c r="BF986" i="2"/>
  <c r="BE986" i="2"/>
  <c r="BD986" i="2"/>
  <c r="BC986" i="2"/>
  <c r="BB986" i="2"/>
  <c r="BA986" i="2"/>
  <c r="AZ986" i="2"/>
  <c r="AY986" i="2"/>
  <c r="AX986" i="2"/>
  <c r="AW986" i="2"/>
  <c r="CA985" i="2"/>
  <c r="BY985" i="2"/>
  <c r="BX985" i="2"/>
  <c r="BW985" i="2"/>
  <c r="BV985" i="2"/>
  <c r="BU985" i="2"/>
  <c r="BT985" i="2"/>
  <c r="BS985" i="2"/>
  <c r="BR985" i="2"/>
  <c r="BQ985" i="2"/>
  <c r="BP985" i="2"/>
  <c r="BO985" i="2"/>
  <c r="BN985" i="2"/>
  <c r="BM985" i="2"/>
  <c r="BL985" i="2"/>
  <c r="BK985" i="2"/>
  <c r="BJ985" i="2"/>
  <c r="BI985" i="2"/>
  <c r="BH985" i="2"/>
  <c r="BG985" i="2"/>
  <c r="BF985" i="2"/>
  <c r="BE985" i="2"/>
  <c r="BD985" i="2"/>
  <c r="BC985" i="2"/>
  <c r="BB985" i="2"/>
  <c r="BA985" i="2"/>
  <c r="AZ985" i="2"/>
  <c r="AY985" i="2"/>
  <c r="AX985" i="2"/>
  <c r="AW985" i="2"/>
  <c r="CA984" i="2"/>
  <c r="BY984" i="2"/>
  <c r="BX984" i="2"/>
  <c r="BW984" i="2"/>
  <c r="BV984" i="2"/>
  <c r="BU984" i="2"/>
  <c r="BT984" i="2"/>
  <c r="BS984" i="2"/>
  <c r="BR984" i="2"/>
  <c r="BQ984" i="2"/>
  <c r="BP984" i="2"/>
  <c r="BO984" i="2"/>
  <c r="BN984" i="2"/>
  <c r="BM984" i="2"/>
  <c r="BL984" i="2"/>
  <c r="BK984" i="2"/>
  <c r="BJ984" i="2"/>
  <c r="BI984" i="2"/>
  <c r="BH984" i="2"/>
  <c r="BG984" i="2"/>
  <c r="BF984" i="2"/>
  <c r="BE984" i="2"/>
  <c r="BD984" i="2"/>
  <c r="BC984" i="2"/>
  <c r="BB984" i="2"/>
  <c r="BA984" i="2"/>
  <c r="AZ984" i="2"/>
  <c r="AY984" i="2"/>
  <c r="AX984" i="2"/>
  <c r="AW984" i="2"/>
  <c r="CA983" i="2"/>
  <c r="BY983" i="2"/>
  <c r="BX983" i="2"/>
  <c r="BW983" i="2"/>
  <c r="BV983" i="2"/>
  <c r="BU983" i="2"/>
  <c r="BT983" i="2"/>
  <c r="BS983" i="2"/>
  <c r="BR983" i="2"/>
  <c r="BQ983" i="2"/>
  <c r="BP983" i="2"/>
  <c r="BO983" i="2"/>
  <c r="BN983" i="2"/>
  <c r="BM983" i="2"/>
  <c r="BL983" i="2"/>
  <c r="BK983" i="2"/>
  <c r="BJ983" i="2"/>
  <c r="BI983" i="2"/>
  <c r="BH983" i="2"/>
  <c r="BG983" i="2"/>
  <c r="BF983" i="2"/>
  <c r="BE983" i="2"/>
  <c r="BD983" i="2"/>
  <c r="BC983" i="2"/>
  <c r="BB983" i="2"/>
  <c r="BA983" i="2"/>
  <c r="AZ983" i="2"/>
  <c r="AY983" i="2"/>
  <c r="AX983" i="2"/>
  <c r="AW983" i="2"/>
  <c r="CA982" i="2"/>
  <c r="BY982" i="2"/>
  <c r="BX982" i="2"/>
  <c r="BW982" i="2"/>
  <c r="BV982" i="2"/>
  <c r="BU982" i="2"/>
  <c r="BT982" i="2"/>
  <c r="BS982" i="2"/>
  <c r="BR982" i="2"/>
  <c r="BQ982" i="2"/>
  <c r="BP982" i="2"/>
  <c r="BO982" i="2"/>
  <c r="BN982" i="2"/>
  <c r="BM982" i="2"/>
  <c r="BL982" i="2"/>
  <c r="BK982" i="2"/>
  <c r="BJ982" i="2"/>
  <c r="BI982" i="2"/>
  <c r="BH982" i="2"/>
  <c r="BG982" i="2"/>
  <c r="BF982" i="2"/>
  <c r="BE982" i="2"/>
  <c r="BD982" i="2"/>
  <c r="BC982" i="2"/>
  <c r="BB982" i="2"/>
  <c r="BA982" i="2"/>
  <c r="AZ982" i="2"/>
  <c r="AY982" i="2"/>
  <c r="AX982" i="2"/>
  <c r="AW982" i="2"/>
  <c r="CA981" i="2"/>
  <c r="BY981" i="2"/>
  <c r="BX981" i="2"/>
  <c r="BW981" i="2"/>
  <c r="BV981" i="2"/>
  <c r="BU981" i="2"/>
  <c r="BT981" i="2"/>
  <c r="BS981" i="2"/>
  <c r="BR981" i="2"/>
  <c r="BQ981" i="2"/>
  <c r="BP981" i="2"/>
  <c r="BO981" i="2"/>
  <c r="BN981" i="2"/>
  <c r="BM981" i="2"/>
  <c r="BL981" i="2"/>
  <c r="BK981" i="2"/>
  <c r="BJ981" i="2"/>
  <c r="BI981" i="2"/>
  <c r="BH981" i="2"/>
  <c r="BG981" i="2"/>
  <c r="BF981" i="2"/>
  <c r="BE981" i="2"/>
  <c r="BD981" i="2"/>
  <c r="BC981" i="2"/>
  <c r="BB981" i="2"/>
  <c r="BA981" i="2"/>
  <c r="AZ981" i="2"/>
  <c r="AY981" i="2"/>
  <c r="AX981" i="2"/>
  <c r="AW981" i="2"/>
  <c r="CA980" i="2"/>
  <c r="BY980" i="2"/>
  <c r="BX980" i="2"/>
  <c r="BW980" i="2"/>
  <c r="BV980" i="2"/>
  <c r="BU980" i="2"/>
  <c r="BT980" i="2"/>
  <c r="BS980" i="2"/>
  <c r="BR980" i="2"/>
  <c r="BQ980" i="2"/>
  <c r="BP980" i="2"/>
  <c r="BO980" i="2"/>
  <c r="BN980" i="2"/>
  <c r="BM980" i="2"/>
  <c r="BL980" i="2"/>
  <c r="BK980" i="2"/>
  <c r="BJ980" i="2"/>
  <c r="BI980" i="2"/>
  <c r="BH980" i="2"/>
  <c r="BG980" i="2"/>
  <c r="BF980" i="2"/>
  <c r="BE980" i="2"/>
  <c r="BD980" i="2"/>
  <c r="BC980" i="2"/>
  <c r="BB980" i="2"/>
  <c r="BA980" i="2"/>
  <c r="AZ980" i="2"/>
  <c r="AY980" i="2"/>
  <c r="AX980" i="2"/>
  <c r="AW980" i="2"/>
  <c r="CA979" i="2"/>
  <c r="BY979" i="2"/>
  <c r="BX979" i="2"/>
  <c r="BW979" i="2"/>
  <c r="BV979" i="2"/>
  <c r="BU979" i="2"/>
  <c r="BT979" i="2"/>
  <c r="BS979" i="2"/>
  <c r="BR979" i="2"/>
  <c r="BQ979" i="2"/>
  <c r="BP979" i="2"/>
  <c r="BO979" i="2"/>
  <c r="BN979" i="2"/>
  <c r="BM979" i="2"/>
  <c r="BL979" i="2"/>
  <c r="BK979" i="2"/>
  <c r="BJ979" i="2"/>
  <c r="BI979" i="2"/>
  <c r="BH979" i="2"/>
  <c r="BG979" i="2"/>
  <c r="BF979" i="2"/>
  <c r="BE979" i="2"/>
  <c r="BD979" i="2"/>
  <c r="BC979" i="2"/>
  <c r="BB979" i="2"/>
  <c r="BA979" i="2"/>
  <c r="AZ979" i="2"/>
  <c r="AY979" i="2"/>
  <c r="AX979" i="2"/>
  <c r="AW979" i="2"/>
  <c r="CA978" i="2"/>
  <c r="BY978" i="2"/>
  <c r="BX978" i="2"/>
  <c r="BW978" i="2"/>
  <c r="BV978" i="2"/>
  <c r="BU978" i="2"/>
  <c r="BT978" i="2"/>
  <c r="BS978" i="2"/>
  <c r="BR978" i="2"/>
  <c r="BQ978" i="2"/>
  <c r="BP978" i="2"/>
  <c r="BO978" i="2"/>
  <c r="BN978" i="2"/>
  <c r="BM978" i="2"/>
  <c r="BL978" i="2"/>
  <c r="BK978" i="2"/>
  <c r="BJ978" i="2"/>
  <c r="BI978" i="2"/>
  <c r="BH978" i="2"/>
  <c r="BG978" i="2"/>
  <c r="BF978" i="2"/>
  <c r="BE978" i="2"/>
  <c r="BD978" i="2"/>
  <c r="BC978" i="2"/>
  <c r="BB978" i="2"/>
  <c r="BA978" i="2"/>
  <c r="AZ978" i="2"/>
  <c r="AY978" i="2"/>
  <c r="AX978" i="2"/>
  <c r="AW978" i="2"/>
  <c r="CA977" i="2"/>
  <c r="BY977" i="2"/>
  <c r="BX977" i="2"/>
  <c r="BW977" i="2"/>
  <c r="BV977" i="2"/>
  <c r="BU977" i="2"/>
  <c r="BT977" i="2"/>
  <c r="BS977" i="2"/>
  <c r="BR977" i="2"/>
  <c r="BQ977" i="2"/>
  <c r="BP977" i="2"/>
  <c r="BO977" i="2"/>
  <c r="BN977" i="2"/>
  <c r="BM977" i="2"/>
  <c r="BL977" i="2"/>
  <c r="BK977" i="2"/>
  <c r="BJ977" i="2"/>
  <c r="BI977" i="2"/>
  <c r="BH977" i="2"/>
  <c r="BG977" i="2"/>
  <c r="BF977" i="2"/>
  <c r="BE977" i="2"/>
  <c r="BD977" i="2"/>
  <c r="BC977" i="2"/>
  <c r="BB977" i="2"/>
  <c r="BA977" i="2"/>
  <c r="AZ977" i="2"/>
  <c r="AY977" i="2"/>
  <c r="AX977" i="2"/>
  <c r="AW977" i="2"/>
  <c r="CA976" i="2"/>
  <c r="BY976" i="2"/>
  <c r="BX976" i="2"/>
  <c r="BW976" i="2"/>
  <c r="BV976" i="2"/>
  <c r="BU976" i="2"/>
  <c r="BT976" i="2"/>
  <c r="BS976" i="2"/>
  <c r="BR976" i="2"/>
  <c r="BQ976" i="2"/>
  <c r="BP976" i="2"/>
  <c r="BO976" i="2"/>
  <c r="BN976" i="2"/>
  <c r="BM976" i="2"/>
  <c r="BL976" i="2"/>
  <c r="BK976" i="2"/>
  <c r="BJ976" i="2"/>
  <c r="BI976" i="2"/>
  <c r="BH976" i="2"/>
  <c r="BG976" i="2"/>
  <c r="BF976" i="2"/>
  <c r="BE976" i="2"/>
  <c r="BD976" i="2"/>
  <c r="BC976" i="2"/>
  <c r="BB976" i="2"/>
  <c r="BA976" i="2"/>
  <c r="AZ976" i="2"/>
  <c r="AY976" i="2"/>
  <c r="AX976" i="2"/>
  <c r="AW976" i="2"/>
  <c r="CA975" i="2"/>
  <c r="BY975" i="2"/>
  <c r="BX975" i="2"/>
  <c r="BW975" i="2"/>
  <c r="BV975" i="2"/>
  <c r="BU975" i="2"/>
  <c r="BT975" i="2"/>
  <c r="BS975" i="2"/>
  <c r="BR975" i="2"/>
  <c r="BQ975" i="2"/>
  <c r="BP975" i="2"/>
  <c r="BO975" i="2"/>
  <c r="BN975" i="2"/>
  <c r="BM975" i="2"/>
  <c r="BL975" i="2"/>
  <c r="BK975" i="2"/>
  <c r="BJ975" i="2"/>
  <c r="BI975" i="2"/>
  <c r="BH975" i="2"/>
  <c r="BG975" i="2"/>
  <c r="BF975" i="2"/>
  <c r="BE975" i="2"/>
  <c r="BD975" i="2"/>
  <c r="BC975" i="2"/>
  <c r="BB975" i="2"/>
  <c r="BA975" i="2"/>
  <c r="AZ975" i="2"/>
  <c r="AY975" i="2"/>
  <c r="AX975" i="2"/>
  <c r="AW975" i="2"/>
  <c r="CA974" i="2"/>
  <c r="BY974" i="2"/>
  <c r="BX974" i="2"/>
  <c r="BW974" i="2"/>
  <c r="BV974" i="2"/>
  <c r="BU974" i="2"/>
  <c r="BT974" i="2"/>
  <c r="BS974" i="2"/>
  <c r="BR974" i="2"/>
  <c r="BQ974" i="2"/>
  <c r="BP974" i="2"/>
  <c r="BO974" i="2"/>
  <c r="BN974" i="2"/>
  <c r="BM974" i="2"/>
  <c r="BL974" i="2"/>
  <c r="BK974" i="2"/>
  <c r="BJ974" i="2"/>
  <c r="BI974" i="2"/>
  <c r="BH974" i="2"/>
  <c r="BG974" i="2"/>
  <c r="BF974" i="2"/>
  <c r="BE974" i="2"/>
  <c r="BD974" i="2"/>
  <c r="BC974" i="2"/>
  <c r="BB974" i="2"/>
  <c r="BA974" i="2"/>
  <c r="AZ974" i="2"/>
  <c r="AY974" i="2"/>
  <c r="AX974" i="2"/>
  <c r="AW974" i="2"/>
  <c r="CA973" i="2"/>
  <c r="BY973" i="2"/>
  <c r="BX973" i="2"/>
  <c r="BW973" i="2"/>
  <c r="BV973" i="2"/>
  <c r="BU973" i="2"/>
  <c r="BT973" i="2"/>
  <c r="BS973" i="2"/>
  <c r="BR973" i="2"/>
  <c r="BQ973" i="2"/>
  <c r="BP973" i="2"/>
  <c r="BO973" i="2"/>
  <c r="BN973" i="2"/>
  <c r="BM973" i="2"/>
  <c r="BL973" i="2"/>
  <c r="BK973" i="2"/>
  <c r="BJ973" i="2"/>
  <c r="BI973" i="2"/>
  <c r="BH973" i="2"/>
  <c r="BG973" i="2"/>
  <c r="BF973" i="2"/>
  <c r="BE973" i="2"/>
  <c r="BD973" i="2"/>
  <c r="BC973" i="2"/>
  <c r="BB973" i="2"/>
  <c r="BA973" i="2"/>
  <c r="AZ973" i="2"/>
  <c r="AY973" i="2"/>
  <c r="AX973" i="2"/>
  <c r="AW973" i="2"/>
  <c r="CA972" i="2"/>
  <c r="BY972" i="2"/>
  <c r="BX972" i="2"/>
  <c r="BW972" i="2"/>
  <c r="BV972" i="2"/>
  <c r="BU972" i="2"/>
  <c r="BT972" i="2"/>
  <c r="BS972" i="2"/>
  <c r="BR972" i="2"/>
  <c r="BQ972" i="2"/>
  <c r="BP972" i="2"/>
  <c r="BO972" i="2"/>
  <c r="BN972" i="2"/>
  <c r="BM972" i="2"/>
  <c r="BL972" i="2"/>
  <c r="BK972" i="2"/>
  <c r="BJ972" i="2"/>
  <c r="BI972" i="2"/>
  <c r="BH972" i="2"/>
  <c r="BG972" i="2"/>
  <c r="BF972" i="2"/>
  <c r="BE972" i="2"/>
  <c r="BD972" i="2"/>
  <c r="BC972" i="2"/>
  <c r="BB972" i="2"/>
  <c r="BA972" i="2"/>
  <c r="AZ972" i="2"/>
  <c r="AY972" i="2"/>
  <c r="AX972" i="2"/>
  <c r="AW972" i="2"/>
  <c r="CA971" i="2"/>
  <c r="BY971" i="2"/>
  <c r="BX971" i="2"/>
  <c r="BW971" i="2"/>
  <c r="BV971" i="2"/>
  <c r="BU971" i="2"/>
  <c r="BT971" i="2"/>
  <c r="BS971" i="2"/>
  <c r="BR971" i="2"/>
  <c r="BQ971" i="2"/>
  <c r="BP971" i="2"/>
  <c r="BO971" i="2"/>
  <c r="BN971" i="2"/>
  <c r="BM971" i="2"/>
  <c r="BL971" i="2"/>
  <c r="BK971" i="2"/>
  <c r="BJ971" i="2"/>
  <c r="BI971" i="2"/>
  <c r="BH971" i="2"/>
  <c r="BG971" i="2"/>
  <c r="BF971" i="2"/>
  <c r="BE971" i="2"/>
  <c r="BD971" i="2"/>
  <c r="BC971" i="2"/>
  <c r="BB971" i="2"/>
  <c r="BA971" i="2"/>
  <c r="AZ971" i="2"/>
  <c r="AY971" i="2"/>
  <c r="AX971" i="2"/>
  <c r="AW971" i="2"/>
  <c r="CA970" i="2"/>
  <c r="BY970" i="2"/>
  <c r="BX970" i="2"/>
  <c r="BW970" i="2"/>
  <c r="BV970" i="2"/>
  <c r="BU970" i="2"/>
  <c r="BT970" i="2"/>
  <c r="BS970" i="2"/>
  <c r="BR970" i="2"/>
  <c r="BQ970" i="2"/>
  <c r="BP970" i="2"/>
  <c r="BO970" i="2"/>
  <c r="BN970" i="2"/>
  <c r="BM970" i="2"/>
  <c r="BL970" i="2"/>
  <c r="BK970" i="2"/>
  <c r="BJ970" i="2"/>
  <c r="BI970" i="2"/>
  <c r="BH970" i="2"/>
  <c r="BG970" i="2"/>
  <c r="BF970" i="2"/>
  <c r="BE970" i="2"/>
  <c r="BD970" i="2"/>
  <c r="BC970" i="2"/>
  <c r="BB970" i="2"/>
  <c r="BA970" i="2"/>
  <c r="AZ970" i="2"/>
  <c r="AY970" i="2"/>
  <c r="AX970" i="2"/>
  <c r="AW970" i="2"/>
  <c r="CA969" i="2"/>
  <c r="BY969" i="2"/>
  <c r="BX969" i="2"/>
  <c r="BW969" i="2"/>
  <c r="BV969" i="2"/>
  <c r="BU969" i="2"/>
  <c r="BT969" i="2"/>
  <c r="BS969" i="2"/>
  <c r="BR969" i="2"/>
  <c r="BQ969" i="2"/>
  <c r="BP969" i="2"/>
  <c r="BO969" i="2"/>
  <c r="BN969" i="2"/>
  <c r="BM969" i="2"/>
  <c r="BL969" i="2"/>
  <c r="BK969" i="2"/>
  <c r="BJ969" i="2"/>
  <c r="BI969" i="2"/>
  <c r="BH969" i="2"/>
  <c r="BG969" i="2"/>
  <c r="BF969" i="2"/>
  <c r="BE969" i="2"/>
  <c r="BD969" i="2"/>
  <c r="BC969" i="2"/>
  <c r="BB969" i="2"/>
  <c r="BA969" i="2"/>
  <c r="AZ969" i="2"/>
  <c r="AY969" i="2"/>
  <c r="AX969" i="2"/>
  <c r="AW969" i="2"/>
  <c r="CA968" i="2"/>
  <c r="BY968" i="2"/>
  <c r="BX968" i="2"/>
  <c r="BW968" i="2"/>
  <c r="BV968" i="2"/>
  <c r="BU968" i="2"/>
  <c r="BT968" i="2"/>
  <c r="BS968" i="2"/>
  <c r="BR968" i="2"/>
  <c r="BQ968" i="2"/>
  <c r="BP968" i="2"/>
  <c r="BO968" i="2"/>
  <c r="BN968" i="2"/>
  <c r="BM968" i="2"/>
  <c r="BL968" i="2"/>
  <c r="BK968" i="2"/>
  <c r="BJ968" i="2"/>
  <c r="BI968" i="2"/>
  <c r="BH968" i="2"/>
  <c r="BG968" i="2"/>
  <c r="BF968" i="2"/>
  <c r="BE968" i="2"/>
  <c r="BD968" i="2"/>
  <c r="BC968" i="2"/>
  <c r="BB968" i="2"/>
  <c r="BA968" i="2"/>
  <c r="AZ968" i="2"/>
  <c r="AY968" i="2"/>
  <c r="AX968" i="2"/>
  <c r="AW968" i="2"/>
  <c r="CA967" i="2"/>
  <c r="BY967" i="2"/>
  <c r="BX967" i="2"/>
  <c r="BW967" i="2"/>
  <c r="BV967" i="2"/>
  <c r="BU967" i="2"/>
  <c r="BT967" i="2"/>
  <c r="BS967" i="2"/>
  <c r="BR967" i="2"/>
  <c r="BQ967" i="2"/>
  <c r="BP967" i="2"/>
  <c r="BO967" i="2"/>
  <c r="BN967" i="2"/>
  <c r="BM967" i="2"/>
  <c r="BL967" i="2"/>
  <c r="BK967" i="2"/>
  <c r="BJ967" i="2"/>
  <c r="BI967" i="2"/>
  <c r="BH967" i="2"/>
  <c r="BG967" i="2"/>
  <c r="BF967" i="2"/>
  <c r="BE967" i="2"/>
  <c r="BD967" i="2"/>
  <c r="BC967" i="2"/>
  <c r="BB967" i="2"/>
  <c r="BA967" i="2"/>
  <c r="AZ967" i="2"/>
  <c r="AY967" i="2"/>
  <c r="AX967" i="2"/>
  <c r="AW967" i="2"/>
  <c r="CA966" i="2"/>
  <c r="BY966" i="2"/>
  <c r="BX966" i="2"/>
  <c r="BW966" i="2"/>
  <c r="BV966" i="2"/>
  <c r="BU966" i="2"/>
  <c r="BT966" i="2"/>
  <c r="BS966" i="2"/>
  <c r="BR966" i="2"/>
  <c r="BQ966" i="2"/>
  <c r="BP966" i="2"/>
  <c r="BO966" i="2"/>
  <c r="BN966" i="2"/>
  <c r="BM966" i="2"/>
  <c r="BL966" i="2"/>
  <c r="BK966" i="2"/>
  <c r="BJ966" i="2"/>
  <c r="BI966" i="2"/>
  <c r="BH966" i="2"/>
  <c r="BG966" i="2"/>
  <c r="BF966" i="2"/>
  <c r="BE966" i="2"/>
  <c r="BD966" i="2"/>
  <c r="BC966" i="2"/>
  <c r="BB966" i="2"/>
  <c r="BA966" i="2"/>
  <c r="AZ966" i="2"/>
  <c r="AY966" i="2"/>
  <c r="AX966" i="2"/>
  <c r="AW966" i="2"/>
  <c r="CA965" i="2"/>
  <c r="BY965" i="2"/>
  <c r="BX965" i="2"/>
  <c r="BW965" i="2"/>
  <c r="BV965" i="2"/>
  <c r="BU965" i="2"/>
  <c r="BT965" i="2"/>
  <c r="BS965" i="2"/>
  <c r="BR965" i="2"/>
  <c r="BQ965" i="2"/>
  <c r="BP965" i="2"/>
  <c r="BO965" i="2"/>
  <c r="BN965" i="2"/>
  <c r="BM965" i="2"/>
  <c r="BL965" i="2"/>
  <c r="BK965" i="2"/>
  <c r="BJ965" i="2"/>
  <c r="BI965" i="2"/>
  <c r="BH965" i="2"/>
  <c r="BG965" i="2"/>
  <c r="BF965" i="2"/>
  <c r="BE965" i="2"/>
  <c r="BD965" i="2"/>
  <c r="BC965" i="2"/>
  <c r="BB965" i="2"/>
  <c r="BA965" i="2"/>
  <c r="AZ965" i="2"/>
  <c r="AY965" i="2"/>
  <c r="AX965" i="2"/>
  <c r="AW965" i="2"/>
  <c r="CA964" i="2"/>
  <c r="BY964" i="2"/>
  <c r="BX964" i="2"/>
  <c r="BW964" i="2"/>
  <c r="BV964" i="2"/>
  <c r="BU964" i="2"/>
  <c r="BT964" i="2"/>
  <c r="BS964" i="2"/>
  <c r="BR964" i="2"/>
  <c r="BQ964" i="2"/>
  <c r="BP964" i="2"/>
  <c r="BO964" i="2"/>
  <c r="BN964" i="2"/>
  <c r="BM964" i="2"/>
  <c r="BL964" i="2"/>
  <c r="BK964" i="2"/>
  <c r="BJ964" i="2"/>
  <c r="BI964" i="2"/>
  <c r="BH964" i="2"/>
  <c r="BG964" i="2"/>
  <c r="BF964" i="2"/>
  <c r="BE964" i="2"/>
  <c r="BD964" i="2"/>
  <c r="BC964" i="2"/>
  <c r="BB964" i="2"/>
  <c r="BA964" i="2"/>
  <c r="AZ964" i="2"/>
  <c r="AY964" i="2"/>
  <c r="AX964" i="2"/>
  <c r="AW964" i="2"/>
  <c r="CA963" i="2"/>
  <c r="BY963" i="2"/>
  <c r="BX963" i="2"/>
  <c r="BW963" i="2"/>
  <c r="BV963" i="2"/>
  <c r="BU963" i="2"/>
  <c r="BT963" i="2"/>
  <c r="BS963" i="2"/>
  <c r="BR963" i="2"/>
  <c r="BQ963" i="2"/>
  <c r="BP963" i="2"/>
  <c r="BO963" i="2"/>
  <c r="BN963" i="2"/>
  <c r="BM963" i="2"/>
  <c r="BL963" i="2"/>
  <c r="BK963" i="2"/>
  <c r="BJ963" i="2"/>
  <c r="BI963" i="2"/>
  <c r="BH963" i="2"/>
  <c r="BG963" i="2"/>
  <c r="BF963" i="2"/>
  <c r="BE963" i="2"/>
  <c r="BD963" i="2"/>
  <c r="BC963" i="2"/>
  <c r="BB963" i="2"/>
  <c r="BA963" i="2"/>
  <c r="AZ963" i="2"/>
  <c r="AY963" i="2"/>
  <c r="AX963" i="2"/>
  <c r="AW963" i="2"/>
  <c r="BZ963" i="2" s="1"/>
  <c r="CC963" i="2" s="1"/>
  <c r="CA962" i="2"/>
  <c r="BY962" i="2"/>
  <c r="BX962" i="2"/>
  <c r="BW962" i="2"/>
  <c r="BV962" i="2"/>
  <c r="BU962" i="2"/>
  <c r="BT962" i="2"/>
  <c r="BS962" i="2"/>
  <c r="BR962" i="2"/>
  <c r="BQ962" i="2"/>
  <c r="BP962" i="2"/>
  <c r="BO962" i="2"/>
  <c r="BN962" i="2"/>
  <c r="BM962" i="2"/>
  <c r="BL962" i="2"/>
  <c r="BK962" i="2"/>
  <c r="BJ962" i="2"/>
  <c r="BI962" i="2"/>
  <c r="BH962" i="2"/>
  <c r="BG962" i="2"/>
  <c r="BF962" i="2"/>
  <c r="BE962" i="2"/>
  <c r="BD962" i="2"/>
  <c r="BC962" i="2"/>
  <c r="BB962" i="2"/>
  <c r="BA962" i="2"/>
  <c r="AZ962" i="2"/>
  <c r="AY962" i="2"/>
  <c r="AX962" i="2"/>
  <c r="AW962" i="2"/>
  <c r="CA961" i="2"/>
  <c r="BY961" i="2"/>
  <c r="BX961" i="2"/>
  <c r="BW961" i="2"/>
  <c r="BV961" i="2"/>
  <c r="BU961" i="2"/>
  <c r="BT961" i="2"/>
  <c r="BS961" i="2"/>
  <c r="BR961" i="2"/>
  <c r="BQ961" i="2"/>
  <c r="BP961" i="2"/>
  <c r="BO961" i="2"/>
  <c r="BN961" i="2"/>
  <c r="BM961" i="2"/>
  <c r="BL961" i="2"/>
  <c r="BK961" i="2"/>
  <c r="BJ961" i="2"/>
  <c r="BI961" i="2"/>
  <c r="BH961" i="2"/>
  <c r="BG961" i="2"/>
  <c r="BF961" i="2"/>
  <c r="BE961" i="2"/>
  <c r="BD961" i="2"/>
  <c r="BC961" i="2"/>
  <c r="BB961" i="2"/>
  <c r="BA961" i="2"/>
  <c r="AZ961" i="2"/>
  <c r="AY961" i="2"/>
  <c r="AX961" i="2"/>
  <c r="AW961" i="2"/>
  <c r="CA960" i="2"/>
  <c r="BY960" i="2"/>
  <c r="BX960" i="2"/>
  <c r="BW960" i="2"/>
  <c r="BV960" i="2"/>
  <c r="BU960" i="2"/>
  <c r="BT960" i="2"/>
  <c r="BS960" i="2"/>
  <c r="BR960" i="2"/>
  <c r="BQ960" i="2"/>
  <c r="BP960" i="2"/>
  <c r="BO960" i="2"/>
  <c r="BN960" i="2"/>
  <c r="BM960" i="2"/>
  <c r="BL960" i="2"/>
  <c r="BK960" i="2"/>
  <c r="BJ960" i="2"/>
  <c r="BI960" i="2"/>
  <c r="BH960" i="2"/>
  <c r="BG960" i="2"/>
  <c r="BF960" i="2"/>
  <c r="BE960" i="2"/>
  <c r="BD960" i="2"/>
  <c r="BC960" i="2"/>
  <c r="BB960" i="2"/>
  <c r="BA960" i="2"/>
  <c r="AZ960" i="2"/>
  <c r="AY960" i="2"/>
  <c r="AX960" i="2"/>
  <c r="AW960" i="2"/>
  <c r="CA959" i="2"/>
  <c r="BY959" i="2"/>
  <c r="BX959" i="2"/>
  <c r="BW959" i="2"/>
  <c r="BV959" i="2"/>
  <c r="BU959" i="2"/>
  <c r="BT959" i="2"/>
  <c r="BS959" i="2"/>
  <c r="BR959" i="2"/>
  <c r="BQ959" i="2"/>
  <c r="BP959" i="2"/>
  <c r="BO959" i="2"/>
  <c r="BN959" i="2"/>
  <c r="BM959" i="2"/>
  <c r="BL959" i="2"/>
  <c r="BK959" i="2"/>
  <c r="BJ959" i="2"/>
  <c r="BI959" i="2"/>
  <c r="BH959" i="2"/>
  <c r="BG959" i="2"/>
  <c r="BF959" i="2"/>
  <c r="BE959" i="2"/>
  <c r="BD959" i="2"/>
  <c r="BC959" i="2"/>
  <c r="BB959" i="2"/>
  <c r="BA959" i="2"/>
  <c r="AZ959" i="2"/>
  <c r="AY959" i="2"/>
  <c r="AX959" i="2"/>
  <c r="AW959" i="2"/>
  <c r="CA958" i="2"/>
  <c r="BY958" i="2"/>
  <c r="BX958" i="2"/>
  <c r="BW958" i="2"/>
  <c r="BV958" i="2"/>
  <c r="BU958" i="2"/>
  <c r="BT958" i="2"/>
  <c r="BS958" i="2"/>
  <c r="BR958" i="2"/>
  <c r="BQ958" i="2"/>
  <c r="BP958" i="2"/>
  <c r="BO958" i="2"/>
  <c r="BN958" i="2"/>
  <c r="BM958" i="2"/>
  <c r="BL958" i="2"/>
  <c r="BK958" i="2"/>
  <c r="BJ958" i="2"/>
  <c r="BI958" i="2"/>
  <c r="BH958" i="2"/>
  <c r="BG958" i="2"/>
  <c r="BF958" i="2"/>
  <c r="BE958" i="2"/>
  <c r="BD958" i="2"/>
  <c r="BC958" i="2"/>
  <c r="BB958" i="2"/>
  <c r="BA958" i="2"/>
  <c r="AZ958" i="2"/>
  <c r="AY958" i="2"/>
  <c r="AX958" i="2"/>
  <c r="AW958" i="2"/>
  <c r="CA957" i="2"/>
  <c r="BY957" i="2"/>
  <c r="BX957" i="2"/>
  <c r="BW957" i="2"/>
  <c r="BV957" i="2"/>
  <c r="BU957" i="2"/>
  <c r="BT957" i="2"/>
  <c r="BS957" i="2"/>
  <c r="BR957" i="2"/>
  <c r="BQ957" i="2"/>
  <c r="BP957" i="2"/>
  <c r="BO957" i="2"/>
  <c r="BN957" i="2"/>
  <c r="BM957" i="2"/>
  <c r="BL957" i="2"/>
  <c r="BK957" i="2"/>
  <c r="BJ957" i="2"/>
  <c r="BI957" i="2"/>
  <c r="BH957" i="2"/>
  <c r="BG957" i="2"/>
  <c r="BF957" i="2"/>
  <c r="BE957" i="2"/>
  <c r="BD957" i="2"/>
  <c r="BC957" i="2"/>
  <c r="BB957" i="2"/>
  <c r="BA957" i="2"/>
  <c r="AZ957" i="2"/>
  <c r="AY957" i="2"/>
  <c r="AX957" i="2"/>
  <c r="AW957" i="2"/>
  <c r="CA956" i="2"/>
  <c r="BY956" i="2"/>
  <c r="BX956" i="2"/>
  <c r="BW956" i="2"/>
  <c r="BV956" i="2"/>
  <c r="BU956" i="2"/>
  <c r="BT956" i="2"/>
  <c r="BS956" i="2"/>
  <c r="BR956" i="2"/>
  <c r="BQ956" i="2"/>
  <c r="BP956" i="2"/>
  <c r="BO956" i="2"/>
  <c r="BN956" i="2"/>
  <c r="BM956" i="2"/>
  <c r="BL956" i="2"/>
  <c r="BK956" i="2"/>
  <c r="BJ956" i="2"/>
  <c r="BI956" i="2"/>
  <c r="BH956" i="2"/>
  <c r="BG956" i="2"/>
  <c r="BF956" i="2"/>
  <c r="BE956" i="2"/>
  <c r="BD956" i="2"/>
  <c r="BC956" i="2"/>
  <c r="BB956" i="2"/>
  <c r="BA956" i="2"/>
  <c r="AZ956" i="2"/>
  <c r="AY956" i="2"/>
  <c r="AX956" i="2"/>
  <c r="AW956" i="2"/>
  <c r="CA955" i="2"/>
  <c r="BY955" i="2"/>
  <c r="BX955" i="2"/>
  <c r="BW955" i="2"/>
  <c r="BV955" i="2"/>
  <c r="BU955" i="2"/>
  <c r="BT955" i="2"/>
  <c r="BS955" i="2"/>
  <c r="BR955" i="2"/>
  <c r="BQ955" i="2"/>
  <c r="BP955" i="2"/>
  <c r="BO955" i="2"/>
  <c r="BN955" i="2"/>
  <c r="BM955" i="2"/>
  <c r="BL955" i="2"/>
  <c r="BK955" i="2"/>
  <c r="BJ955" i="2"/>
  <c r="BI955" i="2"/>
  <c r="BH955" i="2"/>
  <c r="BG955" i="2"/>
  <c r="BF955" i="2"/>
  <c r="BE955" i="2"/>
  <c r="BD955" i="2"/>
  <c r="BC955" i="2"/>
  <c r="BB955" i="2"/>
  <c r="BA955" i="2"/>
  <c r="AZ955" i="2"/>
  <c r="AY955" i="2"/>
  <c r="AX955" i="2"/>
  <c r="AW955" i="2"/>
  <c r="CA954" i="2"/>
  <c r="BY954" i="2"/>
  <c r="BX954" i="2"/>
  <c r="BW954" i="2"/>
  <c r="BV954" i="2"/>
  <c r="BU954" i="2"/>
  <c r="BT954" i="2"/>
  <c r="BS954" i="2"/>
  <c r="BR954" i="2"/>
  <c r="BQ954" i="2"/>
  <c r="BP954" i="2"/>
  <c r="BO954" i="2"/>
  <c r="BN954" i="2"/>
  <c r="BM954" i="2"/>
  <c r="BL954" i="2"/>
  <c r="BK954" i="2"/>
  <c r="BJ954" i="2"/>
  <c r="BI954" i="2"/>
  <c r="BH954" i="2"/>
  <c r="BG954" i="2"/>
  <c r="BF954" i="2"/>
  <c r="BE954" i="2"/>
  <c r="BD954" i="2"/>
  <c r="BC954" i="2"/>
  <c r="BB954" i="2"/>
  <c r="BA954" i="2"/>
  <c r="AZ954" i="2"/>
  <c r="AY954" i="2"/>
  <c r="AX954" i="2"/>
  <c r="AW954" i="2"/>
  <c r="CA953" i="2"/>
  <c r="BY953" i="2"/>
  <c r="BX953" i="2"/>
  <c r="BW953" i="2"/>
  <c r="BV953" i="2"/>
  <c r="BU953" i="2"/>
  <c r="BT953" i="2"/>
  <c r="BS953" i="2"/>
  <c r="BR953" i="2"/>
  <c r="BQ953" i="2"/>
  <c r="BP953" i="2"/>
  <c r="BO953" i="2"/>
  <c r="BN953" i="2"/>
  <c r="BM953" i="2"/>
  <c r="BL953" i="2"/>
  <c r="BK953" i="2"/>
  <c r="BJ953" i="2"/>
  <c r="BI953" i="2"/>
  <c r="BH953" i="2"/>
  <c r="BG953" i="2"/>
  <c r="BF953" i="2"/>
  <c r="BE953" i="2"/>
  <c r="BD953" i="2"/>
  <c r="BC953" i="2"/>
  <c r="BB953" i="2"/>
  <c r="BA953" i="2"/>
  <c r="AZ953" i="2"/>
  <c r="AY953" i="2"/>
  <c r="AX953" i="2"/>
  <c r="AW953" i="2"/>
  <c r="CA952" i="2"/>
  <c r="BY952" i="2"/>
  <c r="BX952" i="2"/>
  <c r="BW952" i="2"/>
  <c r="BV952" i="2"/>
  <c r="BU952" i="2"/>
  <c r="BT952" i="2"/>
  <c r="BS952" i="2"/>
  <c r="BR952" i="2"/>
  <c r="BQ952" i="2"/>
  <c r="BP952" i="2"/>
  <c r="BO952" i="2"/>
  <c r="BN952" i="2"/>
  <c r="BM952" i="2"/>
  <c r="BL952" i="2"/>
  <c r="BK952" i="2"/>
  <c r="BJ952" i="2"/>
  <c r="BI952" i="2"/>
  <c r="BH952" i="2"/>
  <c r="BG952" i="2"/>
  <c r="BF952" i="2"/>
  <c r="BE952" i="2"/>
  <c r="BD952" i="2"/>
  <c r="BC952" i="2"/>
  <c r="BB952" i="2"/>
  <c r="BA952" i="2"/>
  <c r="AZ952" i="2"/>
  <c r="AY952" i="2"/>
  <c r="AX952" i="2"/>
  <c r="AW952" i="2"/>
  <c r="CA951" i="2"/>
  <c r="BY951" i="2"/>
  <c r="BX951" i="2"/>
  <c r="BW951" i="2"/>
  <c r="BV951" i="2"/>
  <c r="BU951" i="2"/>
  <c r="BT951" i="2"/>
  <c r="BS951" i="2"/>
  <c r="BR951" i="2"/>
  <c r="BQ951" i="2"/>
  <c r="BP951" i="2"/>
  <c r="BO951" i="2"/>
  <c r="BN951" i="2"/>
  <c r="BM951" i="2"/>
  <c r="BL951" i="2"/>
  <c r="BK951" i="2"/>
  <c r="BJ951" i="2"/>
  <c r="BI951" i="2"/>
  <c r="BH951" i="2"/>
  <c r="BG951" i="2"/>
  <c r="BF951" i="2"/>
  <c r="BE951" i="2"/>
  <c r="BD951" i="2"/>
  <c r="BC951" i="2"/>
  <c r="BB951" i="2"/>
  <c r="BA951" i="2"/>
  <c r="AZ951" i="2"/>
  <c r="AY951" i="2"/>
  <c r="AX951" i="2"/>
  <c r="AW951" i="2"/>
  <c r="CA950" i="2"/>
  <c r="BY950" i="2"/>
  <c r="BX950" i="2"/>
  <c r="BW950" i="2"/>
  <c r="BV950" i="2"/>
  <c r="BU950" i="2"/>
  <c r="BT950" i="2"/>
  <c r="BS950" i="2"/>
  <c r="BR950" i="2"/>
  <c r="BQ950" i="2"/>
  <c r="BP950" i="2"/>
  <c r="BO950" i="2"/>
  <c r="BN950" i="2"/>
  <c r="BM950" i="2"/>
  <c r="BL950" i="2"/>
  <c r="BK950" i="2"/>
  <c r="BJ950" i="2"/>
  <c r="BI950" i="2"/>
  <c r="BH950" i="2"/>
  <c r="BG950" i="2"/>
  <c r="BF950" i="2"/>
  <c r="BE950" i="2"/>
  <c r="BD950" i="2"/>
  <c r="BC950" i="2"/>
  <c r="BB950" i="2"/>
  <c r="BA950" i="2"/>
  <c r="AZ950" i="2"/>
  <c r="AY950" i="2"/>
  <c r="AX950" i="2"/>
  <c r="AW950" i="2"/>
  <c r="CA949" i="2"/>
  <c r="BY949" i="2"/>
  <c r="BX949" i="2"/>
  <c r="BW949" i="2"/>
  <c r="BV949" i="2"/>
  <c r="BU949" i="2"/>
  <c r="BT949" i="2"/>
  <c r="BS949" i="2"/>
  <c r="BR949" i="2"/>
  <c r="BQ949" i="2"/>
  <c r="BP949" i="2"/>
  <c r="BO949" i="2"/>
  <c r="BN949" i="2"/>
  <c r="BM949" i="2"/>
  <c r="BL949" i="2"/>
  <c r="BK949" i="2"/>
  <c r="BJ949" i="2"/>
  <c r="BI949" i="2"/>
  <c r="BH949" i="2"/>
  <c r="BG949" i="2"/>
  <c r="BF949" i="2"/>
  <c r="BE949" i="2"/>
  <c r="BD949" i="2"/>
  <c r="BC949" i="2"/>
  <c r="BB949" i="2"/>
  <c r="BA949" i="2"/>
  <c r="AZ949" i="2"/>
  <c r="AY949" i="2"/>
  <c r="AX949" i="2"/>
  <c r="AW949" i="2"/>
  <c r="CA948" i="2"/>
  <c r="BY948" i="2"/>
  <c r="BX948" i="2"/>
  <c r="BW948" i="2"/>
  <c r="BV948" i="2"/>
  <c r="BU948" i="2"/>
  <c r="BT948" i="2"/>
  <c r="BS948" i="2"/>
  <c r="BR948" i="2"/>
  <c r="BQ948" i="2"/>
  <c r="BP948" i="2"/>
  <c r="BO948" i="2"/>
  <c r="BN948" i="2"/>
  <c r="BM948" i="2"/>
  <c r="BL948" i="2"/>
  <c r="BK948" i="2"/>
  <c r="BJ948" i="2"/>
  <c r="BI948" i="2"/>
  <c r="BH948" i="2"/>
  <c r="BG948" i="2"/>
  <c r="BF948" i="2"/>
  <c r="BE948" i="2"/>
  <c r="BD948" i="2"/>
  <c r="BC948" i="2"/>
  <c r="BB948" i="2"/>
  <c r="BA948" i="2"/>
  <c r="AZ948" i="2"/>
  <c r="AY948" i="2"/>
  <c r="AX948" i="2"/>
  <c r="AW948" i="2"/>
  <c r="CA947" i="2"/>
  <c r="BY947" i="2"/>
  <c r="BX947" i="2"/>
  <c r="BW947" i="2"/>
  <c r="BV947" i="2"/>
  <c r="BU947" i="2"/>
  <c r="BT947" i="2"/>
  <c r="BS947" i="2"/>
  <c r="BR947" i="2"/>
  <c r="BQ947" i="2"/>
  <c r="BP947" i="2"/>
  <c r="BO947" i="2"/>
  <c r="BN947" i="2"/>
  <c r="BM947" i="2"/>
  <c r="BL947" i="2"/>
  <c r="BK947" i="2"/>
  <c r="BJ947" i="2"/>
  <c r="BI947" i="2"/>
  <c r="BH947" i="2"/>
  <c r="BG947" i="2"/>
  <c r="BF947" i="2"/>
  <c r="BE947" i="2"/>
  <c r="BD947" i="2"/>
  <c r="BC947" i="2"/>
  <c r="BB947" i="2"/>
  <c r="BA947" i="2"/>
  <c r="AZ947" i="2"/>
  <c r="AY947" i="2"/>
  <c r="AX947" i="2"/>
  <c r="AW947" i="2"/>
  <c r="CA946" i="2"/>
  <c r="BY946" i="2"/>
  <c r="BX946" i="2"/>
  <c r="BW946" i="2"/>
  <c r="BV946" i="2"/>
  <c r="BU946" i="2"/>
  <c r="BT946" i="2"/>
  <c r="BS946" i="2"/>
  <c r="BR946" i="2"/>
  <c r="BQ946" i="2"/>
  <c r="BP946" i="2"/>
  <c r="BO946" i="2"/>
  <c r="BN946" i="2"/>
  <c r="BM946" i="2"/>
  <c r="BL946" i="2"/>
  <c r="BK946" i="2"/>
  <c r="BJ946" i="2"/>
  <c r="BI946" i="2"/>
  <c r="BH946" i="2"/>
  <c r="BG946" i="2"/>
  <c r="BF946" i="2"/>
  <c r="BE946" i="2"/>
  <c r="BD946" i="2"/>
  <c r="BC946" i="2"/>
  <c r="BB946" i="2"/>
  <c r="BA946" i="2"/>
  <c r="AZ946" i="2"/>
  <c r="AY946" i="2"/>
  <c r="AX946" i="2"/>
  <c r="AW946" i="2"/>
  <c r="CA945" i="2"/>
  <c r="BY945" i="2"/>
  <c r="BX945" i="2"/>
  <c r="BW945" i="2"/>
  <c r="BV945" i="2"/>
  <c r="BU945" i="2"/>
  <c r="BT945" i="2"/>
  <c r="BS945" i="2"/>
  <c r="BR945" i="2"/>
  <c r="BQ945" i="2"/>
  <c r="BP945" i="2"/>
  <c r="BO945" i="2"/>
  <c r="BN945" i="2"/>
  <c r="BM945" i="2"/>
  <c r="BL945" i="2"/>
  <c r="BK945" i="2"/>
  <c r="BJ945" i="2"/>
  <c r="BI945" i="2"/>
  <c r="BH945" i="2"/>
  <c r="BG945" i="2"/>
  <c r="BF945" i="2"/>
  <c r="BE945" i="2"/>
  <c r="BD945" i="2"/>
  <c r="BC945" i="2"/>
  <c r="BB945" i="2"/>
  <c r="BA945" i="2"/>
  <c r="AZ945" i="2"/>
  <c r="AY945" i="2"/>
  <c r="AX945" i="2"/>
  <c r="AW945" i="2"/>
  <c r="CA944" i="2"/>
  <c r="BY944" i="2"/>
  <c r="BX944" i="2"/>
  <c r="BW944" i="2"/>
  <c r="BV944" i="2"/>
  <c r="BU944" i="2"/>
  <c r="BT944" i="2"/>
  <c r="BS944" i="2"/>
  <c r="BR944" i="2"/>
  <c r="BQ944" i="2"/>
  <c r="BP944" i="2"/>
  <c r="BO944" i="2"/>
  <c r="BN944" i="2"/>
  <c r="BM944" i="2"/>
  <c r="BL944" i="2"/>
  <c r="BK944" i="2"/>
  <c r="BJ944" i="2"/>
  <c r="BI944" i="2"/>
  <c r="BH944" i="2"/>
  <c r="BG944" i="2"/>
  <c r="BF944" i="2"/>
  <c r="BE944" i="2"/>
  <c r="BD944" i="2"/>
  <c r="BC944" i="2"/>
  <c r="BB944" i="2"/>
  <c r="BA944" i="2"/>
  <c r="AZ944" i="2"/>
  <c r="AY944" i="2"/>
  <c r="AX944" i="2"/>
  <c r="AW944" i="2"/>
  <c r="CA943" i="2"/>
  <c r="BY943" i="2"/>
  <c r="BX943" i="2"/>
  <c r="BW943" i="2"/>
  <c r="BV943" i="2"/>
  <c r="BU943" i="2"/>
  <c r="BT943" i="2"/>
  <c r="BS943" i="2"/>
  <c r="BR943" i="2"/>
  <c r="BQ943" i="2"/>
  <c r="BP943" i="2"/>
  <c r="BO943" i="2"/>
  <c r="BN943" i="2"/>
  <c r="BM943" i="2"/>
  <c r="BL943" i="2"/>
  <c r="BK943" i="2"/>
  <c r="BJ943" i="2"/>
  <c r="BI943" i="2"/>
  <c r="BH943" i="2"/>
  <c r="BG943" i="2"/>
  <c r="BF943" i="2"/>
  <c r="BE943" i="2"/>
  <c r="BD943" i="2"/>
  <c r="BC943" i="2"/>
  <c r="BB943" i="2"/>
  <c r="BA943" i="2"/>
  <c r="AZ943" i="2"/>
  <c r="AY943" i="2"/>
  <c r="AX943" i="2"/>
  <c r="AW943" i="2"/>
  <c r="CA942" i="2"/>
  <c r="BY942" i="2"/>
  <c r="BX942" i="2"/>
  <c r="BW942" i="2"/>
  <c r="BV942" i="2"/>
  <c r="BU942" i="2"/>
  <c r="BT942" i="2"/>
  <c r="BS942" i="2"/>
  <c r="BR942" i="2"/>
  <c r="BQ942" i="2"/>
  <c r="BP942" i="2"/>
  <c r="BO942" i="2"/>
  <c r="BN942" i="2"/>
  <c r="BM942" i="2"/>
  <c r="BL942" i="2"/>
  <c r="BK942" i="2"/>
  <c r="BJ942" i="2"/>
  <c r="BI942" i="2"/>
  <c r="BH942" i="2"/>
  <c r="BG942" i="2"/>
  <c r="BF942" i="2"/>
  <c r="BE942" i="2"/>
  <c r="BD942" i="2"/>
  <c r="BC942" i="2"/>
  <c r="BB942" i="2"/>
  <c r="BA942" i="2"/>
  <c r="AZ942" i="2"/>
  <c r="AY942" i="2"/>
  <c r="AX942" i="2"/>
  <c r="AW942" i="2"/>
  <c r="CA941" i="2"/>
  <c r="BY941" i="2"/>
  <c r="BX941" i="2"/>
  <c r="BW941" i="2"/>
  <c r="BV941" i="2"/>
  <c r="BU941" i="2"/>
  <c r="BT941" i="2"/>
  <c r="BS941" i="2"/>
  <c r="BR941" i="2"/>
  <c r="BQ941" i="2"/>
  <c r="BP941" i="2"/>
  <c r="BO941" i="2"/>
  <c r="BN941" i="2"/>
  <c r="BM941" i="2"/>
  <c r="BL941" i="2"/>
  <c r="BK941" i="2"/>
  <c r="BJ941" i="2"/>
  <c r="BI941" i="2"/>
  <c r="BH941" i="2"/>
  <c r="BG941" i="2"/>
  <c r="BF941" i="2"/>
  <c r="BE941" i="2"/>
  <c r="BD941" i="2"/>
  <c r="BC941" i="2"/>
  <c r="BB941" i="2"/>
  <c r="BA941" i="2"/>
  <c r="AZ941" i="2"/>
  <c r="AY941" i="2"/>
  <c r="AX941" i="2"/>
  <c r="AW941" i="2"/>
  <c r="CA940" i="2"/>
  <c r="BY940" i="2"/>
  <c r="BX940" i="2"/>
  <c r="BW940" i="2"/>
  <c r="BV940" i="2"/>
  <c r="BU940" i="2"/>
  <c r="BT940" i="2"/>
  <c r="BS940" i="2"/>
  <c r="BR940" i="2"/>
  <c r="BQ940" i="2"/>
  <c r="BP940" i="2"/>
  <c r="BO940" i="2"/>
  <c r="BN940" i="2"/>
  <c r="BM940" i="2"/>
  <c r="BL940" i="2"/>
  <c r="BK940" i="2"/>
  <c r="BJ940" i="2"/>
  <c r="BI940" i="2"/>
  <c r="BH940" i="2"/>
  <c r="BG940" i="2"/>
  <c r="BF940" i="2"/>
  <c r="BE940" i="2"/>
  <c r="BD940" i="2"/>
  <c r="BC940" i="2"/>
  <c r="BB940" i="2"/>
  <c r="BA940" i="2"/>
  <c r="AZ940" i="2"/>
  <c r="AY940" i="2"/>
  <c r="AX940" i="2"/>
  <c r="AW940" i="2"/>
  <c r="CA939" i="2"/>
  <c r="BY939" i="2"/>
  <c r="BX939" i="2"/>
  <c r="BW939" i="2"/>
  <c r="BV939" i="2"/>
  <c r="BU939" i="2"/>
  <c r="BT939" i="2"/>
  <c r="BS939" i="2"/>
  <c r="BR939" i="2"/>
  <c r="BQ939" i="2"/>
  <c r="BP939" i="2"/>
  <c r="BO939" i="2"/>
  <c r="BN939" i="2"/>
  <c r="BM939" i="2"/>
  <c r="BL939" i="2"/>
  <c r="BK939" i="2"/>
  <c r="BJ939" i="2"/>
  <c r="BI939" i="2"/>
  <c r="BH939" i="2"/>
  <c r="BG939" i="2"/>
  <c r="BF939" i="2"/>
  <c r="BE939" i="2"/>
  <c r="BD939" i="2"/>
  <c r="BC939" i="2"/>
  <c r="BB939" i="2"/>
  <c r="BA939" i="2"/>
  <c r="AZ939" i="2"/>
  <c r="AY939" i="2"/>
  <c r="AX939" i="2"/>
  <c r="AW939" i="2"/>
  <c r="CA938" i="2"/>
  <c r="BY938" i="2"/>
  <c r="BX938" i="2"/>
  <c r="BW938" i="2"/>
  <c r="BV938" i="2"/>
  <c r="BU938" i="2"/>
  <c r="BT938" i="2"/>
  <c r="BS938" i="2"/>
  <c r="BR938" i="2"/>
  <c r="BQ938" i="2"/>
  <c r="BP938" i="2"/>
  <c r="BO938" i="2"/>
  <c r="BN938" i="2"/>
  <c r="BM938" i="2"/>
  <c r="BL938" i="2"/>
  <c r="BK938" i="2"/>
  <c r="BJ938" i="2"/>
  <c r="BI938" i="2"/>
  <c r="BH938" i="2"/>
  <c r="BG938" i="2"/>
  <c r="BF938" i="2"/>
  <c r="BE938" i="2"/>
  <c r="BD938" i="2"/>
  <c r="BC938" i="2"/>
  <c r="BB938" i="2"/>
  <c r="BA938" i="2"/>
  <c r="AZ938" i="2"/>
  <c r="AY938" i="2"/>
  <c r="AX938" i="2"/>
  <c r="AW938" i="2"/>
  <c r="CA937" i="2"/>
  <c r="BY937" i="2"/>
  <c r="BX937" i="2"/>
  <c r="BW937" i="2"/>
  <c r="BV937" i="2"/>
  <c r="BU937" i="2"/>
  <c r="BT937" i="2"/>
  <c r="BS937" i="2"/>
  <c r="BR937" i="2"/>
  <c r="BQ937" i="2"/>
  <c r="BP937" i="2"/>
  <c r="BO937" i="2"/>
  <c r="BN937" i="2"/>
  <c r="BM937" i="2"/>
  <c r="BL937" i="2"/>
  <c r="BK937" i="2"/>
  <c r="BJ937" i="2"/>
  <c r="BI937" i="2"/>
  <c r="BH937" i="2"/>
  <c r="BG937" i="2"/>
  <c r="BF937" i="2"/>
  <c r="BE937" i="2"/>
  <c r="BD937" i="2"/>
  <c r="BC937" i="2"/>
  <c r="BB937" i="2"/>
  <c r="BA937" i="2"/>
  <c r="AZ937" i="2"/>
  <c r="AY937" i="2"/>
  <c r="AX937" i="2"/>
  <c r="AW937" i="2"/>
  <c r="CA936" i="2"/>
  <c r="BY936" i="2"/>
  <c r="BX936" i="2"/>
  <c r="BW936" i="2"/>
  <c r="BV936" i="2"/>
  <c r="BU936" i="2"/>
  <c r="BT936" i="2"/>
  <c r="BS936" i="2"/>
  <c r="BR936" i="2"/>
  <c r="BQ936" i="2"/>
  <c r="BP936" i="2"/>
  <c r="BO936" i="2"/>
  <c r="BN936" i="2"/>
  <c r="BM936" i="2"/>
  <c r="BL936" i="2"/>
  <c r="BK936" i="2"/>
  <c r="BJ936" i="2"/>
  <c r="BI936" i="2"/>
  <c r="BH936" i="2"/>
  <c r="BG936" i="2"/>
  <c r="BF936" i="2"/>
  <c r="BE936" i="2"/>
  <c r="BD936" i="2"/>
  <c r="BC936" i="2"/>
  <c r="BB936" i="2"/>
  <c r="BA936" i="2"/>
  <c r="AZ936" i="2"/>
  <c r="AY936" i="2"/>
  <c r="AX936" i="2"/>
  <c r="AW936" i="2"/>
  <c r="CA935" i="2"/>
  <c r="BY935" i="2"/>
  <c r="BX935" i="2"/>
  <c r="BW935" i="2"/>
  <c r="BV935" i="2"/>
  <c r="BU935" i="2"/>
  <c r="BT935" i="2"/>
  <c r="BS935" i="2"/>
  <c r="BR935" i="2"/>
  <c r="BQ935" i="2"/>
  <c r="BP935" i="2"/>
  <c r="BO935" i="2"/>
  <c r="BN935" i="2"/>
  <c r="BM935" i="2"/>
  <c r="BL935" i="2"/>
  <c r="BK935" i="2"/>
  <c r="BJ935" i="2"/>
  <c r="BI935" i="2"/>
  <c r="BH935" i="2"/>
  <c r="BG935" i="2"/>
  <c r="BF935" i="2"/>
  <c r="BE935" i="2"/>
  <c r="BD935" i="2"/>
  <c r="BC935" i="2"/>
  <c r="BB935" i="2"/>
  <c r="BA935" i="2"/>
  <c r="AZ935" i="2"/>
  <c r="AY935" i="2"/>
  <c r="AX935" i="2"/>
  <c r="AW935" i="2"/>
  <c r="CA934" i="2"/>
  <c r="BY934" i="2"/>
  <c r="BX934" i="2"/>
  <c r="BW934" i="2"/>
  <c r="BV934" i="2"/>
  <c r="BU934" i="2"/>
  <c r="BT934" i="2"/>
  <c r="BS934" i="2"/>
  <c r="BR934" i="2"/>
  <c r="BQ934" i="2"/>
  <c r="BP934" i="2"/>
  <c r="BO934" i="2"/>
  <c r="BN934" i="2"/>
  <c r="BM934" i="2"/>
  <c r="BL934" i="2"/>
  <c r="BK934" i="2"/>
  <c r="BJ934" i="2"/>
  <c r="BI934" i="2"/>
  <c r="BH934" i="2"/>
  <c r="BG934" i="2"/>
  <c r="BF934" i="2"/>
  <c r="BE934" i="2"/>
  <c r="BD934" i="2"/>
  <c r="BC934" i="2"/>
  <c r="BB934" i="2"/>
  <c r="BA934" i="2"/>
  <c r="AZ934" i="2"/>
  <c r="AY934" i="2"/>
  <c r="AX934" i="2"/>
  <c r="AW934" i="2"/>
  <c r="CA933" i="2"/>
  <c r="BY933" i="2"/>
  <c r="BX933" i="2"/>
  <c r="BW933" i="2"/>
  <c r="BV933" i="2"/>
  <c r="BU933" i="2"/>
  <c r="BT933" i="2"/>
  <c r="BS933" i="2"/>
  <c r="BR933" i="2"/>
  <c r="BQ933" i="2"/>
  <c r="BP933" i="2"/>
  <c r="BO933" i="2"/>
  <c r="BN933" i="2"/>
  <c r="BM933" i="2"/>
  <c r="BL933" i="2"/>
  <c r="BK933" i="2"/>
  <c r="BJ933" i="2"/>
  <c r="BI933" i="2"/>
  <c r="BH933" i="2"/>
  <c r="BG933" i="2"/>
  <c r="BF933" i="2"/>
  <c r="BE933" i="2"/>
  <c r="BD933" i="2"/>
  <c r="BC933" i="2"/>
  <c r="BB933" i="2"/>
  <c r="BA933" i="2"/>
  <c r="AZ933" i="2"/>
  <c r="AY933" i="2"/>
  <c r="AX933" i="2"/>
  <c r="AW933" i="2"/>
  <c r="CA932" i="2"/>
  <c r="BY932" i="2"/>
  <c r="BX932" i="2"/>
  <c r="BW932" i="2"/>
  <c r="BV932" i="2"/>
  <c r="BU932" i="2"/>
  <c r="BT932" i="2"/>
  <c r="BS932" i="2"/>
  <c r="BR932" i="2"/>
  <c r="BQ932" i="2"/>
  <c r="BP932" i="2"/>
  <c r="BO932" i="2"/>
  <c r="BN932" i="2"/>
  <c r="BM932" i="2"/>
  <c r="BL932" i="2"/>
  <c r="BK932" i="2"/>
  <c r="BJ932" i="2"/>
  <c r="BI932" i="2"/>
  <c r="BH932" i="2"/>
  <c r="BG932" i="2"/>
  <c r="BF932" i="2"/>
  <c r="BE932" i="2"/>
  <c r="BD932" i="2"/>
  <c r="BC932" i="2"/>
  <c r="BB932" i="2"/>
  <c r="BA932" i="2"/>
  <c r="AZ932" i="2"/>
  <c r="AY932" i="2"/>
  <c r="AX932" i="2"/>
  <c r="AW932" i="2"/>
  <c r="CA931" i="2"/>
  <c r="BY931" i="2"/>
  <c r="BX931" i="2"/>
  <c r="BW931" i="2"/>
  <c r="BV931" i="2"/>
  <c r="BU931" i="2"/>
  <c r="BT931" i="2"/>
  <c r="BS931" i="2"/>
  <c r="BR931" i="2"/>
  <c r="BQ931" i="2"/>
  <c r="BP931" i="2"/>
  <c r="BO931" i="2"/>
  <c r="BN931" i="2"/>
  <c r="BM931" i="2"/>
  <c r="BL931" i="2"/>
  <c r="BK931" i="2"/>
  <c r="BJ931" i="2"/>
  <c r="BI931" i="2"/>
  <c r="BH931" i="2"/>
  <c r="BG931" i="2"/>
  <c r="BF931" i="2"/>
  <c r="BE931" i="2"/>
  <c r="BD931" i="2"/>
  <c r="BC931" i="2"/>
  <c r="BB931" i="2"/>
  <c r="BA931" i="2"/>
  <c r="AZ931" i="2"/>
  <c r="AY931" i="2"/>
  <c r="AX931" i="2"/>
  <c r="AW931" i="2"/>
  <c r="CA930" i="2"/>
  <c r="BY930" i="2"/>
  <c r="BX930" i="2"/>
  <c r="BW930" i="2"/>
  <c r="BV930" i="2"/>
  <c r="BU930" i="2"/>
  <c r="BT930" i="2"/>
  <c r="BS930" i="2"/>
  <c r="BR930" i="2"/>
  <c r="BQ930" i="2"/>
  <c r="BP930" i="2"/>
  <c r="BO930" i="2"/>
  <c r="BN930" i="2"/>
  <c r="BM930" i="2"/>
  <c r="BL930" i="2"/>
  <c r="BK930" i="2"/>
  <c r="BJ930" i="2"/>
  <c r="BI930" i="2"/>
  <c r="BH930" i="2"/>
  <c r="BG930" i="2"/>
  <c r="BF930" i="2"/>
  <c r="BE930" i="2"/>
  <c r="BD930" i="2"/>
  <c r="BC930" i="2"/>
  <c r="BB930" i="2"/>
  <c r="BA930" i="2"/>
  <c r="AZ930" i="2"/>
  <c r="AY930" i="2"/>
  <c r="AX930" i="2"/>
  <c r="AW930" i="2"/>
  <c r="CA929" i="2"/>
  <c r="BY929" i="2"/>
  <c r="BX929" i="2"/>
  <c r="BW929" i="2"/>
  <c r="BV929" i="2"/>
  <c r="BU929" i="2"/>
  <c r="BT929" i="2"/>
  <c r="BS929" i="2"/>
  <c r="BR929" i="2"/>
  <c r="BQ929" i="2"/>
  <c r="BP929" i="2"/>
  <c r="BO929" i="2"/>
  <c r="BN929" i="2"/>
  <c r="BM929" i="2"/>
  <c r="BL929" i="2"/>
  <c r="BK929" i="2"/>
  <c r="BJ929" i="2"/>
  <c r="BI929" i="2"/>
  <c r="BH929" i="2"/>
  <c r="BG929" i="2"/>
  <c r="BF929" i="2"/>
  <c r="BE929" i="2"/>
  <c r="BD929" i="2"/>
  <c r="BC929" i="2"/>
  <c r="BB929" i="2"/>
  <c r="BA929" i="2"/>
  <c r="AZ929" i="2"/>
  <c r="AY929" i="2"/>
  <c r="AX929" i="2"/>
  <c r="AW929" i="2"/>
  <c r="CA928" i="2"/>
  <c r="BY928" i="2"/>
  <c r="BX928" i="2"/>
  <c r="BW928" i="2"/>
  <c r="BV928" i="2"/>
  <c r="BU928" i="2"/>
  <c r="BT928" i="2"/>
  <c r="BS928" i="2"/>
  <c r="BR928" i="2"/>
  <c r="BQ928" i="2"/>
  <c r="BP928" i="2"/>
  <c r="BO928" i="2"/>
  <c r="BN928" i="2"/>
  <c r="BM928" i="2"/>
  <c r="BL928" i="2"/>
  <c r="BK928" i="2"/>
  <c r="BJ928" i="2"/>
  <c r="BI928" i="2"/>
  <c r="BH928" i="2"/>
  <c r="BG928" i="2"/>
  <c r="BF928" i="2"/>
  <c r="BE928" i="2"/>
  <c r="BD928" i="2"/>
  <c r="BC928" i="2"/>
  <c r="BB928" i="2"/>
  <c r="BA928" i="2"/>
  <c r="AZ928" i="2"/>
  <c r="AY928" i="2"/>
  <c r="AX928" i="2"/>
  <c r="AW928" i="2"/>
  <c r="CA927" i="2"/>
  <c r="BY927" i="2"/>
  <c r="BX927" i="2"/>
  <c r="BW927" i="2"/>
  <c r="BV927" i="2"/>
  <c r="BU927" i="2"/>
  <c r="BT927" i="2"/>
  <c r="BS927" i="2"/>
  <c r="BR927" i="2"/>
  <c r="BQ927" i="2"/>
  <c r="BP927" i="2"/>
  <c r="BO927" i="2"/>
  <c r="BN927" i="2"/>
  <c r="BM927" i="2"/>
  <c r="BL927" i="2"/>
  <c r="BK927" i="2"/>
  <c r="BJ927" i="2"/>
  <c r="BI927" i="2"/>
  <c r="BH927" i="2"/>
  <c r="BG927" i="2"/>
  <c r="BF927" i="2"/>
  <c r="BE927" i="2"/>
  <c r="BD927" i="2"/>
  <c r="BC927" i="2"/>
  <c r="BB927" i="2"/>
  <c r="BA927" i="2"/>
  <c r="AZ927" i="2"/>
  <c r="AY927" i="2"/>
  <c r="AX927" i="2"/>
  <c r="AW927" i="2"/>
  <c r="CA926" i="2"/>
  <c r="BY926" i="2"/>
  <c r="BX926" i="2"/>
  <c r="BW926" i="2"/>
  <c r="BV926" i="2"/>
  <c r="BU926" i="2"/>
  <c r="BT926" i="2"/>
  <c r="BS926" i="2"/>
  <c r="BR926" i="2"/>
  <c r="BQ926" i="2"/>
  <c r="BP926" i="2"/>
  <c r="BO926" i="2"/>
  <c r="BN926" i="2"/>
  <c r="BM926" i="2"/>
  <c r="BL926" i="2"/>
  <c r="BK926" i="2"/>
  <c r="BJ926" i="2"/>
  <c r="BI926" i="2"/>
  <c r="BH926" i="2"/>
  <c r="BG926" i="2"/>
  <c r="BF926" i="2"/>
  <c r="BE926" i="2"/>
  <c r="BD926" i="2"/>
  <c r="BC926" i="2"/>
  <c r="BB926" i="2"/>
  <c r="BA926" i="2"/>
  <c r="AZ926" i="2"/>
  <c r="AY926" i="2"/>
  <c r="AX926" i="2"/>
  <c r="AW926" i="2"/>
  <c r="CA925" i="2"/>
  <c r="BY925" i="2"/>
  <c r="BX925" i="2"/>
  <c r="BW925" i="2"/>
  <c r="BV925" i="2"/>
  <c r="BU925" i="2"/>
  <c r="BT925" i="2"/>
  <c r="BS925" i="2"/>
  <c r="BR925" i="2"/>
  <c r="BQ925" i="2"/>
  <c r="BP925" i="2"/>
  <c r="BO925" i="2"/>
  <c r="BN925" i="2"/>
  <c r="BM925" i="2"/>
  <c r="BL925" i="2"/>
  <c r="BK925" i="2"/>
  <c r="BJ925" i="2"/>
  <c r="BI925" i="2"/>
  <c r="BH925" i="2"/>
  <c r="BG925" i="2"/>
  <c r="BF925" i="2"/>
  <c r="BE925" i="2"/>
  <c r="BD925" i="2"/>
  <c r="BC925" i="2"/>
  <c r="BB925" i="2"/>
  <c r="BA925" i="2"/>
  <c r="AZ925" i="2"/>
  <c r="AY925" i="2"/>
  <c r="AX925" i="2"/>
  <c r="AW925" i="2"/>
  <c r="CA924" i="2"/>
  <c r="BY924" i="2"/>
  <c r="BX924" i="2"/>
  <c r="BW924" i="2"/>
  <c r="BV924" i="2"/>
  <c r="BU924" i="2"/>
  <c r="BT924" i="2"/>
  <c r="BS924" i="2"/>
  <c r="BR924" i="2"/>
  <c r="BQ924" i="2"/>
  <c r="BP924" i="2"/>
  <c r="BO924" i="2"/>
  <c r="BN924" i="2"/>
  <c r="BM924" i="2"/>
  <c r="BL924" i="2"/>
  <c r="BK924" i="2"/>
  <c r="BJ924" i="2"/>
  <c r="BI924" i="2"/>
  <c r="BH924" i="2"/>
  <c r="BG924" i="2"/>
  <c r="BF924" i="2"/>
  <c r="BE924" i="2"/>
  <c r="BD924" i="2"/>
  <c r="BC924" i="2"/>
  <c r="BB924" i="2"/>
  <c r="BA924" i="2"/>
  <c r="AZ924" i="2"/>
  <c r="AY924" i="2"/>
  <c r="AX924" i="2"/>
  <c r="AW924" i="2"/>
  <c r="CA923" i="2"/>
  <c r="BY923" i="2"/>
  <c r="BX923" i="2"/>
  <c r="BW923" i="2"/>
  <c r="BV923" i="2"/>
  <c r="BU923" i="2"/>
  <c r="BT923" i="2"/>
  <c r="BS923" i="2"/>
  <c r="BR923" i="2"/>
  <c r="BQ923" i="2"/>
  <c r="BP923" i="2"/>
  <c r="BO923" i="2"/>
  <c r="BN923" i="2"/>
  <c r="BM923" i="2"/>
  <c r="BL923" i="2"/>
  <c r="BK923" i="2"/>
  <c r="BJ923" i="2"/>
  <c r="BI923" i="2"/>
  <c r="BH923" i="2"/>
  <c r="BG923" i="2"/>
  <c r="BF923" i="2"/>
  <c r="BE923" i="2"/>
  <c r="BD923" i="2"/>
  <c r="BC923" i="2"/>
  <c r="BB923" i="2"/>
  <c r="BA923" i="2"/>
  <c r="AZ923" i="2"/>
  <c r="AY923" i="2"/>
  <c r="AX923" i="2"/>
  <c r="AW923" i="2"/>
  <c r="CA922" i="2"/>
  <c r="BY922" i="2"/>
  <c r="BX922" i="2"/>
  <c r="BW922" i="2"/>
  <c r="BV922" i="2"/>
  <c r="BU922" i="2"/>
  <c r="BT922" i="2"/>
  <c r="BS922" i="2"/>
  <c r="BR922" i="2"/>
  <c r="BQ922" i="2"/>
  <c r="BP922" i="2"/>
  <c r="BO922" i="2"/>
  <c r="BN922" i="2"/>
  <c r="BM922" i="2"/>
  <c r="BL922" i="2"/>
  <c r="BK922" i="2"/>
  <c r="BJ922" i="2"/>
  <c r="BI922" i="2"/>
  <c r="BH922" i="2"/>
  <c r="BG922" i="2"/>
  <c r="BF922" i="2"/>
  <c r="BE922" i="2"/>
  <c r="BD922" i="2"/>
  <c r="BC922" i="2"/>
  <c r="BB922" i="2"/>
  <c r="BA922" i="2"/>
  <c r="AZ922" i="2"/>
  <c r="AY922" i="2"/>
  <c r="AX922" i="2"/>
  <c r="AW922" i="2"/>
  <c r="CA921" i="2"/>
  <c r="BY921" i="2"/>
  <c r="BX921" i="2"/>
  <c r="BW921" i="2"/>
  <c r="BV921" i="2"/>
  <c r="BU921" i="2"/>
  <c r="BT921" i="2"/>
  <c r="BS921" i="2"/>
  <c r="BR921" i="2"/>
  <c r="BQ921" i="2"/>
  <c r="BP921" i="2"/>
  <c r="BO921" i="2"/>
  <c r="BN921" i="2"/>
  <c r="BM921" i="2"/>
  <c r="BL921" i="2"/>
  <c r="BK921" i="2"/>
  <c r="BJ921" i="2"/>
  <c r="BI921" i="2"/>
  <c r="BH921" i="2"/>
  <c r="BG921" i="2"/>
  <c r="BF921" i="2"/>
  <c r="BE921" i="2"/>
  <c r="BD921" i="2"/>
  <c r="BC921" i="2"/>
  <c r="BB921" i="2"/>
  <c r="BA921" i="2"/>
  <c r="AZ921" i="2"/>
  <c r="AY921" i="2"/>
  <c r="AX921" i="2"/>
  <c r="AW921" i="2"/>
  <c r="CA920" i="2"/>
  <c r="BY920" i="2"/>
  <c r="BX920" i="2"/>
  <c r="BW920" i="2"/>
  <c r="BV920" i="2"/>
  <c r="BU920" i="2"/>
  <c r="BT920" i="2"/>
  <c r="BS920" i="2"/>
  <c r="BR920" i="2"/>
  <c r="BQ920" i="2"/>
  <c r="BP920" i="2"/>
  <c r="BO920" i="2"/>
  <c r="BN920" i="2"/>
  <c r="BM920" i="2"/>
  <c r="BL920" i="2"/>
  <c r="BK920" i="2"/>
  <c r="BJ920" i="2"/>
  <c r="BI920" i="2"/>
  <c r="BH920" i="2"/>
  <c r="BG920" i="2"/>
  <c r="BF920" i="2"/>
  <c r="BE920" i="2"/>
  <c r="BD920" i="2"/>
  <c r="BC920" i="2"/>
  <c r="BB920" i="2"/>
  <c r="BA920" i="2"/>
  <c r="AZ920" i="2"/>
  <c r="AY920" i="2"/>
  <c r="AX920" i="2"/>
  <c r="AW920" i="2"/>
  <c r="CA919" i="2"/>
  <c r="BY919" i="2"/>
  <c r="BX919" i="2"/>
  <c r="BW919" i="2"/>
  <c r="BV919" i="2"/>
  <c r="BU919" i="2"/>
  <c r="BT919" i="2"/>
  <c r="BS919" i="2"/>
  <c r="BR919" i="2"/>
  <c r="BQ919" i="2"/>
  <c r="BP919" i="2"/>
  <c r="BO919" i="2"/>
  <c r="BN919" i="2"/>
  <c r="BM919" i="2"/>
  <c r="BL919" i="2"/>
  <c r="BK919" i="2"/>
  <c r="BJ919" i="2"/>
  <c r="BI919" i="2"/>
  <c r="BH919" i="2"/>
  <c r="BG919" i="2"/>
  <c r="BF919" i="2"/>
  <c r="BE919" i="2"/>
  <c r="BD919" i="2"/>
  <c r="BC919" i="2"/>
  <c r="BB919" i="2"/>
  <c r="BA919" i="2"/>
  <c r="AZ919" i="2"/>
  <c r="AY919" i="2"/>
  <c r="AX919" i="2"/>
  <c r="AW919" i="2"/>
  <c r="CA918" i="2"/>
  <c r="BY918" i="2"/>
  <c r="BX918" i="2"/>
  <c r="BW918" i="2"/>
  <c r="BV918" i="2"/>
  <c r="BU918" i="2"/>
  <c r="BT918" i="2"/>
  <c r="BS918" i="2"/>
  <c r="BR918" i="2"/>
  <c r="BQ918" i="2"/>
  <c r="BP918" i="2"/>
  <c r="BO918" i="2"/>
  <c r="BN918" i="2"/>
  <c r="BM918" i="2"/>
  <c r="BL918" i="2"/>
  <c r="BK918" i="2"/>
  <c r="BJ918" i="2"/>
  <c r="BI918" i="2"/>
  <c r="BH918" i="2"/>
  <c r="BG918" i="2"/>
  <c r="BF918" i="2"/>
  <c r="BE918" i="2"/>
  <c r="BD918" i="2"/>
  <c r="BC918" i="2"/>
  <c r="BB918" i="2"/>
  <c r="BA918" i="2"/>
  <c r="AZ918" i="2"/>
  <c r="AY918" i="2"/>
  <c r="AX918" i="2"/>
  <c r="AW918" i="2"/>
  <c r="CA917" i="2"/>
  <c r="BY917" i="2"/>
  <c r="BX917" i="2"/>
  <c r="BW917" i="2"/>
  <c r="BV917" i="2"/>
  <c r="BU917" i="2"/>
  <c r="BT917" i="2"/>
  <c r="BS917" i="2"/>
  <c r="BR917" i="2"/>
  <c r="BQ917" i="2"/>
  <c r="BP917" i="2"/>
  <c r="BO917" i="2"/>
  <c r="BN917" i="2"/>
  <c r="BM917" i="2"/>
  <c r="BL917" i="2"/>
  <c r="BK917" i="2"/>
  <c r="BJ917" i="2"/>
  <c r="BI917" i="2"/>
  <c r="BH917" i="2"/>
  <c r="BG917" i="2"/>
  <c r="BF917" i="2"/>
  <c r="BE917" i="2"/>
  <c r="BD917" i="2"/>
  <c r="BC917" i="2"/>
  <c r="BB917" i="2"/>
  <c r="BA917" i="2"/>
  <c r="AZ917" i="2"/>
  <c r="AY917" i="2"/>
  <c r="AX917" i="2"/>
  <c r="AW917" i="2"/>
  <c r="CA916" i="2"/>
  <c r="BY916" i="2"/>
  <c r="BX916" i="2"/>
  <c r="BW916" i="2"/>
  <c r="BV916" i="2"/>
  <c r="BU916" i="2"/>
  <c r="BT916" i="2"/>
  <c r="BS916" i="2"/>
  <c r="BR916" i="2"/>
  <c r="BQ916" i="2"/>
  <c r="BP916" i="2"/>
  <c r="BO916" i="2"/>
  <c r="BN916" i="2"/>
  <c r="BM916" i="2"/>
  <c r="BL916" i="2"/>
  <c r="BK916" i="2"/>
  <c r="BJ916" i="2"/>
  <c r="BI916" i="2"/>
  <c r="BH916" i="2"/>
  <c r="BG916" i="2"/>
  <c r="BF916" i="2"/>
  <c r="BE916" i="2"/>
  <c r="BD916" i="2"/>
  <c r="BC916" i="2"/>
  <c r="BB916" i="2"/>
  <c r="BA916" i="2"/>
  <c r="AZ916" i="2"/>
  <c r="AY916" i="2"/>
  <c r="AX916" i="2"/>
  <c r="AW916" i="2"/>
  <c r="CA915" i="2"/>
  <c r="BY915" i="2"/>
  <c r="BX915" i="2"/>
  <c r="BW915" i="2"/>
  <c r="BV915" i="2"/>
  <c r="BU915" i="2"/>
  <c r="BT915" i="2"/>
  <c r="BS915" i="2"/>
  <c r="BR915" i="2"/>
  <c r="BQ915" i="2"/>
  <c r="BP915" i="2"/>
  <c r="BO915" i="2"/>
  <c r="BN915" i="2"/>
  <c r="BM915" i="2"/>
  <c r="BL915" i="2"/>
  <c r="BK915" i="2"/>
  <c r="BJ915" i="2"/>
  <c r="BI915" i="2"/>
  <c r="BH915" i="2"/>
  <c r="BG915" i="2"/>
  <c r="BF915" i="2"/>
  <c r="BE915" i="2"/>
  <c r="BD915" i="2"/>
  <c r="BC915" i="2"/>
  <c r="BB915" i="2"/>
  <c r="BA915" i="2"/>
  <c r="AZ915" i="2"/>
  <c r="AY915" i="2"/>
  <c r="AX915" i="2"/>
  <c r="AW915" i="2"/>
  <c r="BZ915" i="2" s="1"/>
  <c r="CC915" i="2" s="1"/>
  <c r="CA914" i="2"/>
  <c r="BY914" i="2"/>
  <c r="BX914" i="2"/>
  <c r="BW914" i="2"/>
  <c r="BV914" i="2"/>
  <c r="BU914" i="2"/>
  <c r="BT914" i="2"/>
  <c r="BS914" i="2"/>
  <c r="BR914" i="2"/>
  <c r="BQ914" i="2"/>
  <c r="BP914" i="2"/>
  <c r="BO914" i="2"/>
  <c r="BN914" i="2"/>
  <c r="BM914" i="2"/>
  <c r="BL914" i="2"/>
  <c r="BK914" i="2"/>
  <c r="BJ914" i="2"/>
  <c r="BI914" i="2"/>
  <c r="BH914" i="2"/>
  <c r="BG914" i="2"/>
  <c r="BF914" i="2"/>
  <c r="BE914" i="2"/>
  <c r="BD914" i="2"/>
  <c r="BC914" i="2"/>
  <c r="BB914" i="2"/>
  <c r="BA914" i="2"/>
  <c r="AZ914" i="2"/>
  <c r="AY914" i="2"/>
  <c r="AX914" i="2"/>
  <c r="AW914" i="2"/>
  <c r="CA913" i="2"/>
  <c r="BY913" i="2"/>
  <c r="BX913" i="2"/>
  <c r="BW913" i="2"/>
  <c r="BV913" i="2"/>
  <c r="BU913" i="2"/>
  <c r="BT913" i="2"/>
  <c r="BS913" i="2"/>
  <c r="BR913" i="2"/>
  <c r="BQ913" i="2"/>
  <c r="BP913" i="2"/>
  <c r="BO913" i="2"/>
  <c r="BN913" i="2"/>
  <c r="BM913" i="2"/>
  <c r="BL913" i="2"/>
  <c r="BK913" i="2"/>
  <c r="BJ913" i="2"/>
  <c r="BI913" i="2"/>
  <c r="BH913" i="2"/>
  <c r="BG913" i="2"/>
  <c r="BF913" i="2"/>
  <c r="BE913" i="2"/>
  <c r="BD913" i="2"/>
  <c r="BC913" i="2"/>
  <c r="BB913" i="2"/>
  <c r="BA913" i="2"/>
  <c r="AZ913" i="2"/>
  <c r="AY913" i="2"/>
  <c r="AX913" i="2"/>
  <c r="AW913" i="2"/>
  <c r="CA912" i="2"/>
  <c r="BY912" i="2"/>
  <c r="BX912" i="2"/>
  <c r="BW912" i="2"/>
  <c r="BV912" i="2"/>
  <c r="BU912" i="2"/>
  <c r="BT912" i="2"/>
  <c r="BS912" i="2"/>
  <c r="BR912" i="2"/>
  <c r="BQ912" i="2"/>
  <c r="BP912" i="2"/>
  <c r="BO912" i="2"/>
  <c r="BN912" i="2"/>
  <c r="BM912" i="2"/>
  <c r="BL912" i="2"/>
  <c r="BK912" i="2"/>
  <c r="BJ912" i="2"/>
  <c r="BI912" i="2"/>
  <c r="BH912" i="2"/>
  <c r="BG912" i="2"/>
  <c r="BF912" i="2"/>
  <c r="BE912" i="2"/>
  <c r="BD912" i="2"/>
  <c r="BC912" i="2"/>
  <c r="BB912" i="2"/>
  <c r="BA912" i="2"/>
  <c r="AZ912" i="2"/>
  <c r="AY912" i="2"/>
  <c r="AX912" i="2"/>
  <c r="AW912" i="2"/>
  <c r="CA911" i="2"/>
  <c r="BY911" i="2"/>
  <c r="BX911" i="2"/>
  <c r="BW911" i="2"/>
  <c r="BV911" i="2"/>
  <c r="BU911" i="2"/>
  <c r="BT911" i="2"/>
  <c r="BS911" i="2"/>
  <c r="BR911" i="2"/>
  <c r="BQ911" i="2"/>
  <c r="BP911" i="2"/>
  <c r="BO911" i="2"/>
  <c r="BN911" i="2"/>
  <c r="BM911" i="2"/>
  <c r="BL911" i="2"/>
  <c r="BK911" i="2"/>
  <c r="BJ911" i="2"/>
  <c r="BI911" i="2"/>
  <c r="BH911" i="2"/>
  <c r="BG911" i="2"/>
  <c r="BF911" i="2"/>
  <c r="BE911" i="2"/>
  <c r="BD911" i="2"/>
  <c r="BC911" i="2"/>
  <c r="BB911" i="2"/>
  <c r="BA911" i="2"/>
  <c r="AZ911" i="2"/>
  <c r="AY911" i="2"/>
  <c r="AX911" i="2"/>
  <c r="AW911" i="2"/>
  <c r="CA910" i="2"/>
  <c r="BY910" i="2"/>
  <c r="BX910" i="2"/>
  <c r="BW910" i="2"/>
  <c r="BV910" i="2"/>
  <c r="BU910" i="2"/>
  <c r="BT910" i="2"/>
  <c r="BS910" i="2"/>
  <c r="BR910" i="2"/>
  <c r="BQ910" i="2"/>
  <c r="BP910" i="2"/>
  <c r="BO910" i="2"/>
  <c r="BN910" i="2"/>
  <c r="BM910" i="2"/>
  <c r="BL910" i="2"/>
  <c r="BK910" i="2"/>
  <c r="BJ910" i="2"/>
  <c r="BI910" i="2"/>
  <c r="BH910" i="2"/>
  <c r="BG910" i="2"/>
  <c r="BF910" i="2"/>
  <c r="BE910" i="2"/>
  <c r="BD910" i="2"/>
  <c r="BC910" i="2"/>
  <c r="BB910" i="2"/>
  <c r="BA910" i="2"/>
  <c r="AZ910" i="2"/>
  <c r="AY910" i="2"/>
  <c r="AX910" i="2"/>
  <c r="AW910" i="2"/>
  <c r="CA909" i="2"/>
  <c r="BY909" i="2"/>
  <c r="BX909" i="2"/>
  <c r="BW909" i="2"/>
  <c r="BV909" i="2"/>
  <c r="BU909" i="2"/>
  <c r="BT909" i="2"/>
  <c r="BS909" i="2"/>
  <c r="BR909" i="2"/>
  <c r="BQ909" i="2"/>
  <c r="BP909" i="2"/>
  <c r="BO909" i="2"/>
  <c r="BN909" i="2"/>
  <c r="BM909" i="2"/>
  <c r="BL909" i="2"/>
  <c r="BK909" i="2"/>
  <c r="BJ909" i="2"/>
  <c r="BI909" i="2"/>
  <c r="BH909" i="2"/>
  <c r="BG909" i="2"/>
  <c r="BF909" i="2"/>
  <c r="BE909" i="2"/>
  <c r="BD909" i="2"/>
  <c r="BC909" i="2"/>
  <c r="BB909" i="2"/>
  <c r="BA909" i="2"/>
  <c r="AZ909" i="2"/>
  <c r="AY909" i="2"/>
  <c r="AX909" i="2"/>
  <c r="AW909" i="2"/>
  <c r="BZ909" i="2" s="1"/>
  <c r="CC909" i="2" s="1"/>
  <c r="CA908" i="2"/>
  <c r="BY908" i="2"/>
  <c r="BX908" i="2"/>
  <c r="BW908" i="2"/>
  <c r="BV908" i="2"/>
  <c r="BU908" i="2"/>
  <c r="BT908" i="2"/>
  <c r="BS908" i="2"/>
  <c r="BR908" i="2"/>
  <c r="BQ908" i="2"/>
  <c r="BP908" i="2"/>
  <c r="BO908" i="2"/>
  <c r="BN908" i="2"/>
  <c r="BM908" i="2"/>
  <c r="BL908" i="2"/>
  <c r="BK908" i="2"/>
  <c r="BJ908" i="2"/>
  <c r="BI908" i="2"/>
  <c r="BH908" i="2"/>
  <c r="BG908" i="2"/>
  <c r="BF908" i="2"/>
  <c r="BE908" i="2"/>
  <c r="BD908" i="2"/>
  <c r="BC908" i="2"/>
  <c r="BB908" i="2"/>
  <c r="BA908" i="2"/>
  <c r="AZ908" i="2"/>
  <c r="AY908" i="2"/>
  <c r="AX908" i="2"/>
  <c r="AW908" i="2"/>
  <c r="CA907" i="2"/>
  <c r="BY907" i="2"/>
  <c r="BX907" i="2"/>
  <c r="BW907" i="2"/>
  <c r="BV907" i="2"/>
  <c r="BU907" i="2"/>
  <c r="BT907" i="2"/>
  <c r="BS907" i="2"/>
  <c r="BR907" i="2"/>
  <c r="BQ907" i="2"/>
  <c r="BP907" i="2"/>
  <c r="BO907" i="2"/>
  <c r="BN907" i="2"/>
  <c r="BM907" i="2"/>
  <c r="BL907" i="2"/>
  <c r="BK907" i="2"/>
  <c r="BJ907" i="2"/>
  <c r="BI907" i="2"/>
  <c r="BH907" i="2"/>
  <c r="BG907" i="2"/>
  <c r="BF907" i="2"/>
  <c r="BE907" i="2"/>
  <c r="BD907" i="2"/>
  <c r="BC907" i="2"/>
  <c r="BB907" i="2"/>
  <c r="BA907" i="2"/>
  <c r="AZ907" i="2"/>
  <c r="AY907" i="2"/>
  <c r="AX907" i="2"/>
  <c r="AW907" i="2"/>
  <c r="CA906" i="2"/>
  <c r="BY906" i="2"/>
  <c r="BX906" i="2"/>
  <c r="BW906" i="2"/>
  <c r="BV906" i="2"/>
  <c r="BU906" i="2"/>
  <c r="BT906" i="2"/>
  <c r="BS906" i="2"/>
  <c r="BR906" i="2"/>
  <c r="BQ906" i="2"/>
  <c r="BP906" i="2"/>
  <c r="BO906" i="2"/>
  <c r="BN906" i="2"/>
  <c r="BM906" i="2"/>
  <c r="BL906" i="2"/>
  <c r="BK906" i="2"/>
  <c r="BJ906" i="2"/>
  <c r="BI906" i="2"/>
  <c r="BH906" i="2"/>
  <c r="BG906" i="2"/>
  <c r="BF906" i="2"/>
  <c r="BE906" i="2"/>
  <c r="BD906" i="2"/>
  <c r="BC906" i="2"/>
  <c r="BB906" i="2"/>
  <c r="BA906" i="2"/>
  <c r="AZ906" i="2"/>
  <c r="AY906" i="2"/>
  <c r="AX906" i="2"/>
  <c r="AW906" i="2"/>
  <c r="CA905" i="2"/>
  <c r="BY905" i="2"/>
  <c r="BX905" i="2"/>
  <c r="BW905" i="2"/>
  <c r="BV905" i="2"/>
  <c r="BU905" i="2"/>
  <c r="BT905" i="2"/>
  <c r="BS905" i="2"/>
  <c r="BR905" i="2"/>
  <c r="BQ905" i="2"/>
  <c r="BP905" i="2"/>
  <c r="BO905" i="2"/>
  <c r="BN905" i="2"/>
  <c r="BM905" i="2"/>
  <c r="BL905" i="2"/>
  <c r="BK905" i="2"/>
  <c r="BJ905" i="2"/>
  <c r="BI905" i="2"/>
  <c r="BH905" i="2"/>
  <c r="BG905" i="2"/>
  <c r="BF905" i="2"/>
  <c r="BE905" i="2"/>
  <c r="BD905" i="2"/>
  <c r="BC905" i="2"/>
  <c r="BB905" i="2"/>
  <c r="BA905" i="2"/>
  <c r="AZ905" i="2"/>
  <c r="AY905" i="2"/>
  <c r="AX905" i="2"/>
  <c r="AW905" i="2"/>
  <c r="CA904" i="2"/>
  <c r="BY904" i="2"/>
  <c r="BX904" i="2"/>
  <c r="BW904" i="2"/>
  <c r="BV904" i="2"/>
  <c r="BU904" i="2"/>
  <c r="BT904" i="2"/>
  <c r="BS904" i="2"/>
  <c r="BR904" i="2"/>
  <c r="BQ904" i="2"/>
  <c r="BP904" i="2"/>
  <c r="BO904" i="2"/>
  <c r="BN904" i="2"/>
  <c r="BM904" i="2"/>
  <c r="BL904" i="2"/>
  <c r="BK904" i="2"/>
  <c r="BJ904" i="2"/>
  <c r="BI904" i="2"/>
  <c r="BH904" i="2"/>
  <c r="BG904" i="2"/>
  <c r="BF904" i="2"/>
  <c r="BE904" i="2"/>
  <c r="BD904" i="2"/>
  <c r="BC904" i="2"/>
  <c r="BB904" i="2"/>
  <c r="BA904" i="2"/>
  <c r="AZ904" i="2"/>
  <c r="AY904" i="2"/>
  <c r="AX904" i="2"/>
  <c r="AW904" i="2"/>
  <c r="CA903" i="2"/>
  <c r="BY903" i="2"/>
  <c r="BX903" i="2"/>
  <c r="BW903" i="2"/>
  <c r="BV903" i="2"/>
  <c r="BU903" i="2"/>
  <c r="BT903" i="2"/>
  <c r="BS903" i="2"/>
  <c r="BR903" i="2"/>
  <c r="BQ903" i="2"/>
  <c r="BP903" i="2"/>
  <c r="BO903" i="2"/>
  <c r="BN903" i="2"/>
  <c r="BM903" i="2"/>
  <c r="BL903" i="2"/>
  <c r="BK903" i="2"/>
  <c r="BJ903" i="2"/>
  <c r="BI903" i="2"/>
  <c r="BH903" i="2"/>
  <c r="BG903" i="2"/>
  <c r="BF903" i="2"/>
  <c r="BE903" i="2"/>
  <c r="BD903" i="2"/>
  <c r="BC903" i="2"/>
  <c r="BB903" i="2"/>
  <c r="BA903" i="2"/>
  <c r="AZ903" i="2"/>
  <c r="AY903" i="2"/>
  <c r="AX903" i="2"/>
  <c r="AW903" i="2"/>
  <c r="CA902" i="2"/>
  <c r="BY902" i="2"/>
  <c r="BX902" i="2"/>
  <c r="BW902" i="2"/>
  <c r="BV902" i="2"/>
  <c r="BU902" i="2"/>
  <c r="BT902" i="2"/>
  <c r="BS902" i="2"/>
  <c r="BR902" i="2"/>
  <c r="BQ902" i="2"/>
  <c r="BP902" i="2"/>
  <c r="BO902" i="2"/>
  <c r="BN902" i="2"/>
  <c r="BM902" i="2"/>
  <c r="BL902" i="2"/>
  <c r="BK902" i="2"/>
  <c r="BJ902" i="2"/>
  <c r="BI902" i="2"/>
  <c r="BH902" i="2"/>
  <c r="BG902" i="2"/>
  <c r="BF902" i="2"/>
  <c r="BE902" i="2"/>
  <c r="BD902" i="2"/>
  <c r="BC902" i="2"/>
  <c r="BB902" i="2"/>
  <c r="BA902" i="2"/>
  <c r="AZ902" i="2"/>
  <c r="AY902" i="2"/>
  <c r="AX902" i="2"/>
  <c r="AW902" i="2"/>
  <c r="CA901" i="2"/>
  <c r="BY901" i="2"/>
  <c r="BX901" i="2"/>
  <c r="BW901" i="2"/>
  <c r="BV901" i="2"/>
  <c r="BU901" i="2"/>
  <c r="BT901" i="2"/>
  <c r="BS901" i="2"/>
  <c r="BR901" i="2"/>
  <c r="BQ901" i="2"/>
  <c r="BP901" i="2"/>
  <c r="BO901" i="2"/>
  <c r="BN901" i="2"/>
  <c r="BM901" i="2"/>
  <c r="BL901" i="2"/>
  <c r="BK901" i="2"/>
  <c r="BJ901" i="2"/>
  <c r="BI901" i="2"/>
  <c r="BH901" i="2"/>
  <c r="BG901" i="2"/>
  <c r="BF901" i="2"/>
  <c r="BE901" i="2"/>
  <c r="BD901" i="2"/>
  <c r="BC901" i="2"/>
  <c r="BB901" i="2"/>
  <c r="BA901" i="2"/>
  <c r="AZ901" i="2"/>
  <c r="AY901" i="2"/>
  <c r="AX901" i="2"/>
  <c r="AW901" i="2"/>
  <c r="CA900" i="2"/>
  <c r="BY900" i="2"/>
  <c r="BX900" i="2"/>
  <c r="BW900" i="2"/>
  <c r="BV900" i="2"/>
  <c r="BU900" i="2"/>
  <c r="BT900" i="2"/>
  <c r="BS900" i="2"/>
  <c r="BR900" i="2"/>
  <c r="BQ900" i="2"/>
  <c r="BP900" i="2"/>
  <c r="BO900" i="2"/>
  <c r="BN900" i="2"/>
  <c r="BM900" i="2"/>
  <c r="BL900" i="2"/>
  <c r="BK900" i="2"/>
  <c r="BJ900" i="2"/>
  <c r="BI900" i="2"/>
  <c r="BH900" i="2"/>
  <c r="BG900" i="2"/>
  <c r="BF900" i="2"/>
  <c r="BE900" i="2"/>
  <c r="BD900" i="2"/>
  <c r="BC900" i="2"/>
  <c r="BB900" i="2"/>
  <c r="BA900" i="2"/>
  <c r="AZ900" i="2"/>
  <c r="AY900" i="2"/>
  <c r="AX900" i="2"/>
  <c r="AW900" i="2"/>
  <c r="CA899" i="2"/>
  <c r="BY899" i="2"/>
  <c r="BX899" i="2"/>
  <c r="BW899" i="2"/>
  <c r="BV899" i="2"/>
  <c r="BU899" i="2"/>
  <c r="BT899" i="2"/>
  <c r="BS899" i="2"/>
  <c r="BR899" i="2"/>
  <c r="BQ899" i="2"/>
  <c r="BP899" i="2"/>
  <c r="BO899" i="2"/>
  <c r="BN899" i="2"/>
  <c r="BM899" i="2"/>
  <c r="BL899" i="2"/>
  <c r="BK899" i="2"/>
  <c r="BJ899" i="2"/>
  <c r="BI899" i="2"/>
  <c r="BH899" i="2"/>
  <c r="BG899" i="2"/>
  <c r="BF899" i="2"/>
  <c r="BE899" i="2"/>
  <c r="BD899" i="2"/>
  <c r="BC899" i="2"/>
  <c r="BB899" i="2"/>
  <c r="BA899" i="2"/>
  <c r="AZ899" i="2"/>
  <c r="AY899" i="2"/>
  <c r="AX899" i="2"/>
  <c r="AW899" i="2"/>
  <c r="CA898" i="2"/>
  <c r="BY898" i="2"/>
  <c r="BX898" i="2"/>
  <c r="BW898" i="2"/>
  <c r="BV898" i="2"/>
  <c r="BU898" i="2"/>
  <c r="BT898" i="2"/>
  <c r="BS898" i="2"/>
  <c r="BR898" i="2"/>
  <c r="BQ898" i="2"/>
  <c r="BP898" i="2"/>
  <c r="BO898" i="2"/>
  <c r="BN898" i="2"/>
  <c r="BM898" i="2"/>
  <c r="BL898" i="2"/>
  <c r="BK898" i="2"/>
  <c r="BJ898" i="2"/>
  <c r="BI898" i="2"/>
  <c r="BH898" i="2"/>
  <c r="BG898" i="2"/>
  <c r="BF898" i="2"/>
  <c r="BE898" i="2"/>
  <c r="BD898" i="2"/>
  <c r="BC898" i="2"/>
  <c r="BB898" i="2"/>
  <c r="BA898" i="2"/>
  <c r="AZ898" i="2"/>
  <c r="AY898" i="2"/>
  <c r="AX898" i="2"/>
  <c r="AW898" i="2"/>
  <c r="CA897" i="2"/>
  <c r="BY897" i="2"/>
  <c r="BX897" i="2"/>
  <c r="BW897" i="2"/>
  <c r="BV897" i="2"/>
  <c r="BU897" i="2"/>
  <c r="BT897" i="2"/>
  <c r="BS897" i="2"/>
  <c r="BR897" i="2"/>
  <c r="BQ897" i="2"/>
  <c r="BP897" i="2"/>
  <c r="BO897" i="2"/>
  <c r="BN897" i="2"/>
  <c r="BM897" i="2"/>
  <c r="BL897" i="2"/>
  <c r="BK897" i="2"/>
  <c r="BJ897" i="2"/>
  <c r="BI897" i="2"/>
  <c r="BH897" i="2"/>
  <c r="BG897" i="2"/>
  <c r="BF897" i="2"/>
  <c r="BE897" i="2"/>
  <c r="BD897" i="2"/>
  <c r="BC897" i="2"/>
  <c r="BB897" i="2"/>
  <c r="BA897" i="2"/>
  <c r="AZ897" i="2"/>
  <c r="AY897" i="2"/>
  <c r="AX897" i="2"/>
  <c r="AW897" i="2"/>
  <c r="BZ897" i="2" s="1"/>
  <c r="CC897" i="2" s="1"/>
  <c r="CA896" i="2"/>
  <c r="BY896" i="2"/>
  <c r="BX896" i="2"/>
  <c r="BW896" i="2"/>
  <c r="BV896" i="2"/>
  <c r="BU896" i="2"/>
  <c r="BT896" i="2"/>
  <c r="BS896" i="2"/>
  <c r="BR896" i="2"/>
  <c r="BQ896" i="2"/>
  <c r="BP896" i="2"/>
  <c r="BO896" i="2"/>
  <c r="BN896" i="2"/>
  <c r="BM896" i="2"/>
  <c r="BL896" i="2"/>
  <c r="BK896" i="2"/>
  <c r="BJ896" i="2"/>
  <c r="BI896" i="2"/>
  <c r="BH896" i="2"/>
  <c r="BG896" i="2"/>
  <c r="BF896" i="2"/>
  <c r="BE896" i="2"/>
  <c r="BD896" i="2"/>
  <c r="BC896" i="2"/>
  <c r="BB896" i="2"/>
  <c r="BA896" i="2"/>
  <c r="AZ896" i="2"/>
  <c r="AY896" i="2"/>
  <c r="AX896" i="2"/>
  <c r="AW896" i="2"/>
  <c r="CA895" i="2"/>
  <c r="BY895" i="2"/>
  <c r="BX895" i="2"/>
  <c r="BW895" i="2"/>
  <c r="BV895" i="2"/>
  <c r="BU895" i="2"/>
  <c r="BT895" i="2"/>
  <c r="BS895" i="2"/>
  <c r="BR895" i="2"/>
  <c r="BQ895" i="2"/>
  <c r="BP895" i="2"/>
  <c r="BO895" i="2"/>
  <c r="BN895" i="2"/>
  <c r="BM895" i="2"/>
  <c r="BL895" i="2"/>
  <c r="BK895" i="2"/>
  <c r="BJ895" i="2"/>
  <c r="BI895" i="2"/>
  <c r="BH895" i="2"/>
  <c r="BG895" i="2"/>
  <c r="BF895" i="2"/>
  <c r="BE895" i="2"/>
  <c r="BD895" i="2"/>
  <c r="BC895" i="2"/>
  <c r="BB895" i="2"/>
  <c r="BA895" i="2"/>
  <c r="AZ895" i="2"/>
  <c r="AY895" i="2"/>
  <c r="AX895" i="2"/>
  <c r="AW895" i="2"/>
  <c r="CA894" i="2"/>
  <c r="BY894" i="2"/>
  <c r="BX894" i="2"/>
  <c r="BW894" i="2"/>
  <c r="BV894" i="2"/>
  <c r="BU894" i="2"/>
  <c r="BT894" i="2"/>
  <c r="BS894" i="2"/>
  <c r="BR894" i="2"/>
  <c r="BQ894" i="2"/>
  <c r="BP894" i="2"/>
  <c r="BO894" i="2"/>
  <c r="BN894" i="2"/>
  <c r="BM894" i="2"/>
  <c r="BL894" i="2"/>
  <c r="BK894" i="2"/>
  <c r="BJ894" i="2"/>
  <c r="BI894" i="2"/>
  <c r="BH894" i="2"/>
  <c r="BG894" i="2"/>
  <c r="BF894" i="2"/>
  <c r="BE894" i="2"/>
  <c r="BD894" i="2"/>
  <c r="BC894" i="2"/>
  <c r="BB894" i="2"/>
  <c r="BA894" i="2"/>
  <c r="AZ894" i="2"/>
  <c r="AY894" i="2"/>
  <c r="AX894" i="2"/>
  <c r="AW894" i="2"/>
  <c r="CA893" i="2"/>
  <c r="BY893" i="2"/>
  <c r="BX893" i="2"/>
  <c r="BW893" i="2"/>
  <c r="BV893" i="2"/>
  <c r="BU893" i="2"/>
  <c r="BT893" i="2"/>
  <c r="BS893" i="2"/>
  <c r="BR893" i="2"/>
  <c r="BQ893" i="2"/>
  <c r="BP893" i="2"/>
  <c r="BO893" i="2"/>
  <c r="BN893" i="2"/>
  <c r="BM893" i="2"/>
  <c r="BL893" i="2"/>
  <c r="BK893" i="2"/>
  <c r="BJ893" i="2"/>
  <c r="BI893" i="2"/>
  <c r="BH893" i="2"/>
  <c r="BG893" i="2"/>
  <c r="BF893" i="2"/>
  <c r="BE893" i="2"/>
  <c r="BD893" i="2"/>
  <c r="BC893" i="2"/>
  <c r="BB893" i="2"/>
  <c r="BA893" i="2"/>
  <c r="AZ893" i="2"/>
  <c r="AY893" i="2"/>
  <c r="AX893" i="2"/>
  <c r="AW893" i="2"/>
  <c r="CA892" i="2"/>
  <c r="BY892" i="2"/>
  <c r="BX892" i="2"/>
  <c r="BW892" i="2"/>
  <c r="BV892" i="2"/>
  <c r="BU892" i="2"/>
  <c r="BT892" i="2"/>
  <c r="BS892" i="2"/>
  <c r="BR892" i="2"/>
  <c r="BQ892" i="2"/>
  <c r="BP892" i="2"/>
  <c r="BO892" i="2"/>
  <c r="BN892" i="2"/>
  <c r="BM892" i="2"/>
  <c r="BL892" i="2"/>
  <c r="BK892" i="2"/>
  <c r="BJ892" i="2"/>
  <c r="BI892" i="2"/>
  <c r="BH892" i="2"/>
  <c r="BG892" i="2"/>
  <c r="BF892" i="2"/>
  <c r="BE892" i="2"/>
  <c r="BD892" i="2"/>
  <c r="BC892" i="2"/>
  <c r="BB892" i="2"/>
  <c r="BA892" i="2"/>
  <c r="AZ892" i="2"/>
  <c r="AY892" i="2"/>
  <c r="AX892" i="2"/>
  <c r="AW892" i="2"/>
  <c r="CA891" i="2"/>
  <c r="BY891" i="2"/>
  <c r="BX891" i="2"/>
  <c r="BW891" i="2"/>
  <c r="BV891" i="2"/>
  <c r="BU891" i="2"/>
  <c r="BT891" i="2"/>
  <c r="BS891" i="2"/>
  <c r="BR891" i="2"/>
  <c r="BQ891" i="2"/>
  <c r="BP891" i="2"/>
  <c r="BO891" i="2"/>
  <c r="BN891" i="2"/>
  <c r="BM891" i="2"/>
  <c r="BL891" i="2"/>
  <c r="BK891" i="2"/>
  <c r="BJ891" i="2"/>
  <c r="BI891" i="2"/>
  <c r="BH891" i="2"/>
  <c r="BG891" i="2"/>
  <c r="BF891" i="2"/>
  <c r="BE891" i="2"/>
  <c r="BD891" i="2"/>
  <c r="BC891" i="2"/>
  <c r="BB891" i="2"/>
  <c r="BA891" i="2"/>
  <c r="AZ891" i="2"/>
  <c r="AY891" i="2"/>
  <c r="AX891" i="2"/>
  <c r="AW891" i="2"/>
  <c r="CA890" i="2"/>
  <c r="BY890" i="2"/>
  <c r="BX890" i="2"/>
  <c r="BW890" i="2"/>
  <c r="BV890" i="2"/>
  <c r="BU890" i="2"/>
  <c r="BT890" i="2"/>
  <c r="BS890" i="2"/>
  <c r="BR890" i="2"/>
  <c r="BQ890" i="2"/>
  <c r="BP890" i="2"/>
  <c r="BO890" i="2"/>
  <c r="BN890" i="2"/>
  <c r="BM890" i="2"/>
  <c r="BL890" i="2"/>
  <c r="BK890" i="2"/>
  <c r="BJ890" i="2"/>
  <c r="BI890" i="2"/>
  <c r="BH890" i="2"/>
  <c r="BG890" i="2"/>
  <c r="BF890" i="2"/>
  <c r="BE890" i="2"/>
  <c r="BD890" i="2"/>
  <c r="BC890" i="2"/>
  <c r="BB890" i="2"/>
  <c r="BA890" i="2"/>
  <c r="AZ890" i="2"/>
  <c r="AY890" i="2"/>
  <c r="AX890" i="2"/>
  <c r="AW890" i="2"/>
  <c r="CA889" i="2"/>
  <c r="BY889" i="2"/>
  <c r="BX889" i="2"/>
  <c r="BW889" i="2"/>
  <c r="BV889" i="2"/>
  <c r="BU889" i="2"/>
  <c r="BT889" i="2"/>
  <c r="BS889" i="2"/>
  <c r="BR889" i="2"/>
  <c r="BQ889" i="2"/>
  <c r="BP889" i="2"/>
  <c r="BO889" i="2"/>
  <c r="BN889" i="2"/>
  <c r="BM889" i="2"/>
  <c r="BL889" i="2"/>
  <c r="BK889" i="2"/>
  <c r="BJ889" i="2"/>
  <c r="BI889" i="2"/>
  <c r="BH889" i="2"/>
  <c r="BG889" i="2"/>
  <c r="BF889" i="2"/>
  <c r="BE889" i="2"/>
  <c r="BD889" i="2"/>
  <c r="BC889" i="2"/>
  <c r="BB889" i="2"/>
  <c r="BA889" i="2"/>
  <c r="AZ889" i="2"/>
  <c r="AY889" i="2"/>
  <c r="AX889" i="2"/>
  <c r="AW889" i="2"/>
  <c r="CA888" i="2"/>
  <c r="BY888" i="2"/>
  <c r="BX888" i="2"/>
  <c r="BW888" i="2"/>
  <c r="BV888" i="2"/>
  <c r="BU888" i="2"/>
  <c r="BT888" i="2"/>
  <c r="BS888" i="2"/>
  <c r="BR888" i="2"/>
  <c r="BQ888" i="2"/>
  <c r="BP888" i="2"/>
  <c r="BO888" i="2"/>
  <c r="BN888" i="2"/>
  <c r="BM888" i="2"/>
  <c r="BL888" i="2"/>
  <c r="BK888" i="2"/>
  <c r="BJ888" i="2"/>
  <c r="BI888" i="2"/>
  <c r="BH888" i="2"/>
  <c r="BG888" i="2"/>
  <c r="BF888" i="2"/>
  <c r="BE888" i="2"/>
  <c r="BD888" i="2"/>
  <c r="BC888" i="2"/>
  <c r="BB888" i="2"/>
  <c r="BA888" i="2"/>
  <c r="AZ888" i="2"/>
  <c r="AY888" i="2"/>
  <c r="AX888" i="2"/>
  <c r="AW888" i="2"/>
  <c r="CA887" i="2"/>
  <c r="BY887" i="2"/>
  <c r="BX887" i="2"/>
  <c r="BW887" i="2"/>
  <c r="BV887" i="2"/>
  <c r="BU887" i="2"/>
  <c r="BT887" i="2"/>
  <c r="BS887" i="2"/>
  <c r="BR887" i="2"/>
  <c r="BQ887" i="2"/>
  <c r="BP887" i="2"/>
  <c r="BO887" i="2"/>
  <c r="BN887" i="2"/>
  <c r="BM887" i="2"/>
  <c r="BL887" i="2"/>
  <c r="BK887" i="2"/>
  <c r="BJ887" i="2"/>
  <c r="BI887" i="2"/>
  <c r="BH887" i="2"/>
  <c r="BG887" i="2"/>
  <c r="BF887" i="2"/>
  <c r="BE887" i="2"/>
  <c r="BD887" i="2"/>
  <c r="BC887" i="2"/>
  <c r="BB887" i="2"/>
  <c r="BA887" i="2"/>
  <c r="AZ887" i="2"/>
  <c r="AY887" i="2"/>
  <c r="AX887" i="2"/>
  <c r="AW887" i="2"/>
  <c r="CA886" i="2"/>
  <c r="BY886" i="2"/>
  <c r="BX886" i="2"/>
  <c r="BW886" i="2"/>
  <c r="BV886" i="2"/>
  <c r="BU886" i="2"/>
  <c r="BT886" i="2"/>
  <c r="BS886" i="2"/>
  <c r="BR886" i="2"/>
  <c r="BQ886" i="2"/>
  <c r="BP886" i="2"/>
  <c r="BO886" i="2"/>
  <c r="BN886" i="2"/>
  <c r="BM886" i="2"/>
  <c r="BL886" i="2"/>
  <c r="BK886" i="2"/>
  <c r="BJ886" i="2"/>
  <c r="BI886" i="2"/>
  <c r="BH886" i="2"/>
  <c r="BG886" i="2"/>
  <c r="BF886" i="2"/>
  <c r="BE886" i="2"/>
  <c r="BD886" i="2"/>
  <c r="BC886" i="2"/>
  <c r="BB886" i="2"/>
  <c r="BA886" i="2"/>
  <c r="AZ886" i="2"/>
  <c r="AY886" i="2"/>
  <c r="AX886" i="2"/>
  <c r="AW886" i="2"/>
  <c r="CA885" i="2"/>
  <c r="BY885" i="2"/>
  <c r="BX885" i="2"/>
  <c r="BW885" i="2"/>
  <c r="BV885" i="2"/>
  <c r="BU885" i="2"/>
  <c r="BT885" i="2"/>
  <c r="BS885" i="2"/>
  <c r="BR885" i="2"/>
  <c r="BQ885" i="2"/>
  <c r="BP885" i="2"/>
  <c r="BO885" i="2"/>
  <c r="BN885" i="2"/>
  <c r="BM885" i="2"/>
  <c r="BL885" i="2"/>
  <c r="BK885" i="2"/>
  <c r="BJ885" i="2"/>
  <c r="BI885" i="2"/>
  <c r="BH885" i="2"/>
  <c r="BG885" i="2"/>
  <c r="BF885" i="2"/>
  <c r="BE885" i="2"/>
  <c r="BD885" i="2"/>
  <c r="BC885" i="2"/>
  <c r="BB885" i="2"/>
  <c r="BA885" i="2"/>
  <c r="AZ885" i="2"/>
  <c r="AY885" i="2"/>
  <c r="AX885" i="2"/>
  <c r="AW885" i="2"/>
  <c r="BZ885" i="2" s="1"/>
  <c r="CC885" i="2" s="1"/>
  <c r="CA884" i="2"/>
  <c r="BY884" i="2"/>
  <c r="BX884" i="2"/>
  <c r="BW884" i="2"/>
  <c r="BV884" i="2"/>
  <c r="BU884" i="2"/>
  <c r="BT884" i="2"/>
  <c r="BS884" i="2"/>
  <c r="BR884" i="2"/>
  <c r="BQ884" i="2"/>
  <c r="BP884" i="2"/>
  <c r="BO884" i="2"/>
  <c r="BN884" i="2"/>
  <c r="BM884" i="2"/>
  <c r="BL884" i="2"/>
  <c r="BK884" i="2"/>
  <c r="BJ884" i="2"/>
  <c r="BI884" i="2"/>
  <c r="BH884" i="2"/>
  <c r="BG884" i="2"/>
  <c r="BF884" i="2"/>
  <c r="BE884" i="2"/>
  <c r="BD884" i="2"/>
  <c r="BC884" i="2"/>
  <c r="BB884" i="2"/>
  <c r="BA884" i="2"/>
  <c r="AZ884" i="2"/>
  <c r="AY884" i="2"/>
  <c r="AX884" i="2"/>
  <c r="AW884" i="2"/>
  <c r="CA883" i="2"/>
  <c r="BY883" i="2"/>
  <c r="BX883" i="2"/>
  <c r="BW883" i="2"/>
  <c r="BV883" i="2"/>
  <c r="BU883" i="2"/>
  <c r="BT883" i="2"/>
  <c r="BS883" i="2"/>
  <c r="BR883" i="2"/>
  <c r="BQ883" i="2"/>
  <c r="BP883" i="2"/>
  <c r="BO883" i="2"/>
  <c r="BN883" i="2"/>
  <c r="BM883" i="2"/>
  <c r="BL883" i="2"/>
  <c r="BK883" i="2"/>
  <c r="BJ883" i="2"/>
  <c r="BI883" i="2"/>
  <c r="BH883" i="2"/>
  <c r="BG883" i="2"/>
  <c r="BF883" i="2"/>
  <c r="BE883" i="2"/>
  <c r="BD883" i="2"/>
  <c r="BC883" i="2"/>
  <c r="BB883" i="2"/>
  <c r="BA883" i="2"/>
  <c r="AZ883" i="2"/>
  <c r="AY883" i="2"/>
  <c r="AX883" i="2"/>
  <c r="AW883" i="2"/>
  <c r="CA882" i="2"/>
  <c r="BY882" i="2"/>
  <c r="BX882" i="2"/>
  <c r="BW882" i="2"/>
  <c r="BV882" i="2"/>
  <c r="BU882" i="2"/>
  <c r="BT882" i="2"/>
  <c r="BS882" i="2"/>
  <c r="BR882" i="2"/>
  <c r="BQ882" i="2"/>
  <c r="BP882" i="2"/>
  <c r="BO882" i="2"/>
  <c r="BN882" i="2"/>
  <c r="BM882" i="2"/>
  <c r="BL882" i="2"/>
  <c r="BK882" i="2"/>
  <c r="BJ882" i="2"/>
  <c r="BI882" i="2"/>
  <c r="BH882" i="2"/>
  <c r="BG882" i="2"/>
  <c r="BF882" i="2"/>
  <c r="BE882" i="2"/>
  <c r="BD882" i="2"/>
  <c r="BC882" i="2"/>
  <c r="BB882" i="2"/>
  <c r="BA882" i="2"/>
  <c r="AZ882" i="2"/>
  <c r="AY882" i="2"/>
  <c r="AX882" i="2"/>
  <c r="AW882" i="2"/>
  <c r="CA881" i="2"/>
  <c r="BY881" i="2"/>
  <c r="BX881" i="2"/>
  <c r="BW881" i="2"/>
  <c r="BV881" i="2"/>
  <c r="BU881" i="2"/>
  <c r="BT881" i="2"/>
  <c r="BS881" i="2"/>
  <c r="BR881" i="2"/>
  <c r="BQ881" i="2"/>
  <c r="BP881" i="2"/>
  <c r="BO881" i="2"/>
  <c r="BN881" i="2"/>
  <c r="BM881" i="2"/>
  <c r="BL881" i="2"/>
  <c r="BK881" i="2"/>
  <c r="BJ881" i="2"/>
  <c r="BI881" i="2"/>
  <c r="BH881" i="2"/>
  <c r="BG881" i="2"/>
  <c r="BF881" i="2"/>
  <c r="BE881" i="2"/>
  <c r="BD881" i="2"/>
  <c r="BC881" i="2"/>
  <c r="BB881" i="2"/>
  <c r="BA881" i="2"/>
  <c r="AZ881" i="2"/>
  <c r="AY881" i="2"/>
  <c r="AX881" i="2"/>
  <c r="AW881" i="2"/>
  <c r="CA880" i="2"/>
  <c r="BY880" i="2"/>
  <c r="BX880" i="2"/>
  <c r="BW880" i="2"/>
  <c r="BV880" i="2"/>
  <c r="BU880" i="2"/>
  <c r="BT880" i="2"/>
  <c r="BS880" i="2"/>
  <c r="BR880" i="2"/>
  <c r="BQ880" i="2"/>
  <c r="BP880" i="2"/>
  <c r="BO880" i="2"/>
  <c r="BN880" i="2"/>
  <c r="BM880" i="2"/>
  <c r="BL880" i="2"/>
  <c r="BK880" i="2"/>
  <c r="BJ880" i="2"/>
  <c r="BI880" i="2"/>
  <c r="BH880" i="2"/>
  <c r="BG880" i="2"/>
  <c r="BF880" i="2"/>
  <c r="BE880" i="2"/>
  <c r="BD880" i="2"/>
  <c r="BC880" i="2"/>
  <c r="BB880" i="2"/>
  <c r="BA880" i="2"/>
  <c r="AZ880" i="2"/>
  <c r="AY880" i="2"/>
  <c r="AX880" i="2"/>
  <c r="AW880" i="2"/>
  <c r="CA879" i="2"/>
  <c r="BY879" i="2"/>
  <c r="BX879" i="2"/>
  <c r="BW879" i="2"/>
  <c r="BV879" i="2"/>
  <c r="BU879" i="2"/>
  <c r="BT879" i="2"/>
  <c r="BS879" i="2"/>
  <c r="BR879" i="2"/>
  <c r="BQ879" i="2"/>
  <c r="BP879" i="2"/>
  <c r="BO879" i="2"/>
  <c r="BN879" i="2"/>
  <c r="BM879" i="2"/>
  <c r="BL879" i="2"/>
  <c r="BK879" i="2"/>
  <c r="BJ879" i="2"/>
  <c r="BI879" i="2"/>
  <c r="BH879" i="2"/>
  <c r="BG879" i="2"/>
  <c r="BF879" i="2"/>
  <c r="BE879" i="2"/>
  <c r="BD879" i="2"/>
  <c r="BC879" i="2"/>
  <c r="BB879" i="2"/>
  <c r="BA879" i="2"/>
  <c r="AZ879" i="2"/>
  <c r="AY879" i="2"/>
  <c r="AX879" i="2"/>
  <c r="AW879" i="2"/>
  <c r="BZ879" i="2" s="1"/>
  <c r="CC879" i="2" s="1"/>
  <c r="CA878" i="2"/>
  <c r="BY878" i="2"/>
  <c r="BX878" i="2"/>
  <c r="BW878" i="2"/>
  <c r="BV878" i="2"/>
  <c r="BU878" i="2"/>
  <c r="BT878" i="2"/>
  <c r="BS878" i="2"/>
  <c r="BR878" i="2"/>
  <c r="BQ878" i="2"/>
  <c r="BP878" i="2"/>
  <c r="BO878" i="2"/>
  <c r="BN878" i="2"/>
  <c r="BM878" i="2"/>
  <c r="BL878" i="2"/>
  <c r="BK878" i="2"/>
  <c r="BJ878" i="2"/>
  <c r="BI878" i="2"/>
  <c r="BH878" i="2"/>
  <c r="BG878" i="2"/>
  <c r="BF878" i="2"/>
  <c r="BE878" i="2"/>
  <c r="BD878" i="2"/>
  <c r="BC878" i="2"/>
  <c r="BB878" i="2"/>
  <c r="BA878" i="2"/>
  <c r="AZ878" i="2"/>
  <c r="AY878" i="2"/>
  <c r="AX878" i="2"/>
  <c r="AW878" i="2"/>
  <c r="CA877" i="2"/>
  <c r="BY877" i="2"/>
  <c r="BX877" i="2"/>
  <c r="BW877" i="2"/>
  <c r="BV877" i="2"/>
  <c r="BU877" i="2"/>
  <c r="BT877" i="2"/>
  <c r="BS877" i="2"/>
  <c r="BR877" i="2"/>
  <c r="BQ877" i="2"/>
  <c r="BP877" i="2"/>
  <c r="BO877" i="2"/>
  <c r="BN877" i="2"/>
  <c r="BM877" i="2"/>
  <c r="BL877" i="2"/>
  <c r="BK877" i="2"/>
  <c r="BJ877" i="2"/>
  <c r="BI877" i="2"/>
  <c r="BH877" i="2"/>
  <c r="BG877" i="2"/>
  <c r="BF877" i="2"/>
  <c r="BE877" i="2"/>
  <c r="BD877" i="2"/>
  <c r="BC877" i="2"/>
  <c r="BB877" i="2"/>
  <c r="BA877" i="2"/>
  <c r="AZ877" i="2"/>
  <c r="AY877" i="2"/>
  <c r="AX877" i="2"/>
  <c r="AW877" i="2"/>
  <c r="CA876" i="2"/>
  <c r="BY876" i="2"/>
  <c r="BX876" i="2"/>
  <c r="BW876" i="2"/>
  <c r="BV876" i="2"/>
  <c r="BU876" i="2"/>
  <c r="BT876" i="2"/>
  <c r="BS876" i="2"/>
  <c r="BR876" i="2"/>
  <c r="BQ876" i="2"/>
  <c r="BP876" i="2"/>
  <c r="BO876" i="2"/>
  <c r="BN876" i="2"/>
  <c r="BM876" i="2"/>
  <c r="BL876" i="2"/>
  <c r="BK876" i="2"/>
  <c r="BJ876" i="2"/>
  <c r="BI876" i="2"/>
  <c r="BH876" i="2"/>
  <c r="BG876" i="2"/>
  <c r="BF876" i="2"/>
  <c r="BE876" i="2"/>
  <c r="BD876" i="2"/>
  <c r="BC876" i="2"/>
  <c r="BB876" i="2"/>
  <c r="BA876" i="2"/>
  <c r="AZ876" i="2"/>
  <c r="AY876" i="2"/>
  <c r="AX876" i="2"/>
  <c r="AW876" i="2"/>
  <c r="CA875" i="2"/>
  <c r="BY875" i="2"/>
  <c r="BX875" i="2"/>
  <c r="BW875" i="2"/>
  <c r="BV875" i="2"/>
  <c r="BU875" i="2"/>
  <c r="BT875" i="2"/>
  <c r="BS875" i="2"/>
  <c r="BR875" i="2"/>
  <c r="BQ875" i="2"/>
  <c r="BP875" i="2"/>
  <c r="BO875" i="2"/>
  <c r="BN875" i="2"/>
  <c r="BM875" i="2"/>
  <c r="BL875" i="2"/>
  <c r="BK875" i="2"/>
  <c r="BJ875" i="2"/>
  <c r="BI875" i="2"/>
  <c r="BH875" i="2"/>
  <c r="BG875" i="2"/>
  <c r="BF875" i="2"/>
  <c r="BE875" i="2"/>
  <c r="BD875" i="2"/>
  <c r="BC875" i="2"/>
  <c r="BB875" i="2"/>
  <c r="BA875" i="2"/>
  <c r="AZ875" i="2"/>
  <c r="AY875" i="2"/>
  <c r="AX875" i="2"/>
  <c r="AW875" i="2"/>
  <c r="CA874" i="2"/>
  <c r="BY874" i="2"/>
  <c r="BX874" i="2"/>
  <c r="BW874" i="2"/>
  <c r="BV874" i="2"/>
  <c r="BU874" i="2"/>
  <c r="BT874" i="2"/>
  <c r="BS874" i="2"/>
  <c r="BR874" i="2"/>
  <c r="BQ874" i="2"/>
  <c r="BP874" i="2"/>
  <c r="BO874" i="2"/>
  <c r="BN874" i="2"/>
  <c r="BM874" i="2"/>
  <c r="BL874" i="2"/>
  <c r="BK874" i="2"/>
  <c r="BJ874" i="2"/>
  <c r="BI874" i="2"/>
  <c r="BH874" i="2"/>
  <c r="BG874" i="2"/>
  <c r="BF874" i="2"/>
  <c r="BE874" i="2"/>
  <c r="BD874" i="2"/>
  <c r="BC874" i="2"/>
  <c r="BB874" i="2"/>
  <c r="BA874" i="2"/>
  <c r="AZ874" i="2"/>
  <c r="AY874" i="2"/>
  <c r="AX874" i="2"/>
  <c r="AW874" i="2"/>
  <c r="CA873" i="2"/>
  <c r="BY873" i="2"/>
  <c r="BX873" i="2"/>
  <c r="BW873" i="2"/>
  <c r="BV873" i="2"/>
  <c r="BU873" i="2"/>
  <c r="BT873" i="2"/>
  <c r="BS873" i="2"/>
  <c r="BR873" i="2"/>
  <c r="BQ873" i="2"/>
  <c r="BP873" i="2"/>
  <c r="BO873" i="2"/>
  <c r="BN873" i="2"/>
  <c r="BM873" i="2"/>
  <c r="BL873" i="2"/>
  <c r="BK873" i="2"/>
  <c r="BJ873" i="2"/>
  <c r="BI873" i="2"/>
  <c r="BH873" i="2"/>
  <c r="BG873" i="2"/>
  <c r="BF873" i="2"/>
  <c r="BE873" i="2"/>
  <c r="BD873" i="2"/>
  <c r="BC873" i="2"/>
  <c r="BB873" i="2"/>
  <c r="BA873" i="2"/>
  <c r="AZ873" i="2"/>
  <c r="AY873" i="2"/>
  <c r="AX873" i="2"/>
  <c r="AW873" i="2"/>
  <c r="CA872" i="2"/>
  <c r="BY872" i="2"/>
  <c r="BX872" i="2"/>
  <c r="BW872" i="2"/>
  <c r="BV872" i="2"/>
  <c r="BU872" i="2"/>
  <c r="BT872" i="2"/>
  <c r="BS872" i="2"/>
  <c r="BR872" i="2"/>
  <c r="BQ872" i="2"/>
  <c r="BP872" i="2"/>
  <c r="BO872" i="2"/>
  <c r="BN872" i="2"/>
  <c r="BM872" i="2"/>
  <c r="BL872" i="2"/>
  <c r="BK872" i="2"/>
  <c r="BJ872" i="2"/>
  <c r="BI872" i="2"/>
  <c r="BH872" i="2"/>
  <c r="BG872" i="2"/>
  <c r="BF872" i="2"/>
  <c r="BE872" i="2"/>
  <c r="BD872" i="2"/>
  <c r="BC872" i="2"/>
  <c r="BB872" i="2"/>
  <c r="BA872" i="2"/>
  <c r="AZ872" i="2"/>
  <c r="AY872" i="2"/>
  <c r="AX872" i="2"/>
  <c r="AW872" i="2"/>
  <c r="CA871" i="2"/>
  <c r="BY871" i="2"/>
  <c r="BX871" i="2"/>
  <c r="BW871" i="2"/>
  <c r="BV871" i="2"/>
  <c r="BU871" i="2"/>
  <c r="BT871" i="2"/>
  <c r="BS871" i="2"/>
  <c r="BR871" i="2"/>
  <c r="BQ871" i="2"/>
  <c r="BP871" i="2"/>
  <c r="BO871" i="2"/>
  <c r="BN871" i="2"/>
  <c r="BM871" i="2"/>
  <c r="BL871" i="2"/>
  <c r="BK871" i="2"/>
  <c r="BJ871" i="2"/>
  <c r="BI871" i="2"/>
  <c r="BH871" i="2"/>
  <c r="BG871" i="2"/>
  <c r="BF871" i="2"/>
  <c r="BE871" i="2"/>
  <c r="BD871" i="2"/>
  <c r="BC871" i="2"/>
  <c r="BB871" i="2"/>
  <c r="BA871" i="2"/>
  <c r="AZ871" i="2"/>
  <c r="AY871" i="2"/>
  <c r="AX871" i="2"/>
  <c r="AW871" i="2"/>
  <c r="CA870" i="2"/>
  <c r="BY870" i="2"/>
  <c r="BX870" i="2"/>
  <c r="BW870" i="2"/>
  <c r="BV870" i="2"/>
  <c r="BU870" i="2"/>
  <c r="BT870" i="2"/>
  <c r="BS870" i="2"/>
  <c r="BR870" i="2"/>
  <c r="BQ870" i="2"/>
  <c r="BP870" i="2"/>
  <c r="BO870" i="2"/>
  <c r="BN870" i="2"/>
  <c r="BM870" i="2"/>
  <c r="BL870" i="2"/>
  <c r="BK870" i="2"/>
  <c r="BJ870" i="2"/>
  <c r="BI870" i="2"/>
  <c r="BH870" i="2"/>
  <c r="BG870" i="2"/>
  <c r="BF870" i="2"/>
  <c r="BE870" i="2"/>
  <c r="BD870" i="2"/>
  <c r="BC870" i="2"/>
  <c r="BB870" i="2"/>
  <c r="BA870" i="2"/>
  <c r="AZ870" i="2"/>
  <c r="AY870" i="2"/>
  <c r="AX870" i="2"/>
  <c r="AW870" i="2"/>
  <c r="CA869" i="2"/>
  <c r="BY869" i="2"/>
  <c r="BX869" i="2"/>
  <c r="BW869" i="2"/>
  <c r="BV869" i="2"/>
  <c r="BU869" i="2"/>
  <c r="BT869" i="2"/>
  <c r="BS869" i="2"/>
  <c r="BR869" i="2"/>
  <c r="BQ869" i="2"/>
  <c r="BP869" i="2"/>
  <c r="BO869" i="2"/>
  <c r="BN869" i="2"/>
  <c r="BM869" i="2"/>
  <c r="BL869" i="2"/>
  <c r="BK869" i="2"/>
  <c r="BJ869" i="2"/>
  <c r="BI869" i="2"/>
  <c r="BH869" i="2"/>
  <c r="BG869" i="2"/>
  <c r="BF869" i="2"/>
  <c r="BE869" i="2"/>
  <c r="BD869" i="2"/>
  <c r="BC869" i="2"/>
  <c r="BB869" i="2"/>
  <c r="BA869" i="2"/>
  <c r="AZ869" i="2"/>
  <c r="AY869" i="2"/>
  <c r="AX869" i="2"/>
  <c r="AW869" i="2"/>
  <c r="CA868" i="2"/>
  <c r="BY868" i="2"/>
  <c r="BX868" i="2"/>
  <c r="BW868" i="2"/>
  <c r="BV868" i="2"/>
  <c r="BU868" i="2"/>
  <c r="BT868" i="2"/>
  <c r="BS868" i="2"/>
  <c r="BR868" i="2"/>
  <c r="BQ868" i="2"/>
  <c r="BP868" i="2"/>
  <c r="BO868" i="2"/>
  <c r="BN868" i="2"/>
  <c r="BM868" i="2"/>
  <c r="BL868" i="2"/>
  <c r="BK868" i="2"/>
  <c r="BJ868" i="2"/>
  <c r="BI868" i="2"/>
  <c r="BH868" i="2"/>
  <c r="BG868" i="2"/>
  <c r="BF868" i="2"/>
  <c r="BE868" i="2"/>
  <c r="BD868" i="2"/>
  <c r="BC868" i="2"/>
  <c r="BB868" i="2"/>
  <c r="BA868" i="2"/>
  <c r="AZ868" i="2"/>
  <c r="AY868" i="2"/>
  <c r="AX868" i="2"/>
  <c r="AW868" i="2"/>
  <c r="CA867" i="2"/>
  <c r="BY867" i="2"/>
  <c r="BX867" i="2"/>
  <c r="BW867" i="2"/>
  <c r="BV867" i="2"/>
  <c r="BU867" i="2"/>
  <c r="BT867" i="2"/>
  <c r="BS867" i="2"/>
  <c r="BR867" i="2"/>
  <c r="BQ867" i="2"/>
  <c r="BP867" i="2"/>
  <c r="BO867" i="2"/>
  <c r="BN867" i="2"/>
  <c r="BM867" i="2"/>
  <c r="BL867" i="2"/>
  <c r="BK867" i="2"/>
  <c r="BJ867" i="2"/>
  <c r="BI867" i="2"/>
  <c r="BH867" i="2"/>
  <c r="BG867" i="2"/>
  <c r="BF867" i="2"/>
  <c r="BE867" i="2"/>
  <c r="BD867" i="2"/>
  <c r="BC867" i="2"/>
  <c r="BB867" i="2"/>
  <c r="BA867" i="2"/>
  <c r="AZ867" i="2"/>
  <c r="AY867" i="2"/>
  <c r="AX867" i="2"/>
  <c r="AW867" i="2"/>
  <c r="CA866" i="2"/>
  <c r="BY866" i="2"/>
  <c r="BX866" i="2"/>
  <c r="BW866" i="2"/>
  <c r="BV866" i="2"/>
  <c r="BU866" i="2"/>
  <c r="BT866" i="2"/>
  <c r="BS866" i="2"/>
  <c r="BR866" i="2"/>
  <c r="BQ866" i="2"/>
  <c r="BP866" i="2"/>
  <c r="BO866" i="2"/>
  <c r="BN866" i="2"/>
  <c r="BM866" i="2"/>
  <c r="BL866" i="2"/>
  <c r="BK866" i="2"/>
  <c r="BJ866" i="2"/>
  <c r="BI866" i="2"/>
  <c r="BH866" i="2"/>
  <c r="BG866" i="2"/>
  <c r="BF866" i="2"/>
  <c r="BE866" i="2"/>
  <c r="BD866" i="2"/>
  <c r="BC866" i="2"/>
  <c r="BB866" i="2"/>
  <c r="BA866" i="2"/>
  <c r="AZ866" i="2"/>
  <c r="AY866" i="2"/>
  <c r="AX866" i="2"/>
  <c r="AW866" i="2"/>
  <c r="CA865" i="2"/>
  <c r="BY865" i="2"/>
  <c r="BX865" i="2"/>
  <c r="BW865" i="2"/>
  <c r="BV865" i="2"/>
  <c r="BU865" i="2"/>
  <c r="BT865" i="2"/>
  <c r="BS865" i="2"/>
  <c r="BR865" i="2"/>
  <c r="BQ865" i="2"/>
  <c r="BP865" i="2"/>
  <c r="BO865" i="2"/>
  <c r="BN865" i="2"/>
  <c r="BM865" i="2"/>
  <c r="BL865" i="2"/>
  <c r="BK865" i="2"/>
  <c r="BJ865" i="2"/>
  <c r="BI865" i="2"/>
  <c r="BH865" i="2"/>
  <c r="BG865" i="2"/>
  <c r="BF865" i="2"/>
  <c r="BE865" i="2"/>
  <c r="BD865" i="2"/>
  <c r="BC865" i="2"/>
  <c r="BB865" i="2"/>
  <c r="BA865" i="2"/>
  <c r="AZ865" i="2"/>
  <c r="AY865" i="2"/>
  <c r="AX865" i="2"/>
  <c r="AW865" i="2"/>
  <c r="CA864" i="2"/>
  <c r="BY864" i="2"/>
  <c r="BX864" i="2"/>
  <c r="BW864" i="2"/>
  <c r="BV864" i="2"/>
  <c r="BU864" i="2"/>
  <c r="BT864" i="2"/>
  <c r="BS864" i="2"/>
  <c r="BR864" i="2"/>
  <c r="BQ864" i="2"/>
  <c r="BP864" i="2"/>
  <c r="BO864" i="2"/>
  <c r="BN864" i="2"/>
  <c r="BM864" i="2"/>
  <c r="BL864" i="2"/>
  <c r="BK864" i="2"/>
  <c r="BJ864" i="2"/>
  <c r="BI864" i="2"/>
  <c r="BH864" i="2"/>
  <c r="BG864" i="2"/>
  <c r="BF864" i="2"/>
  <c r="BE864" i="2"/>
  <c r="BD864" i="2"/>
  <c r="BC864" i="2"/>
  <c r="BB864" i="2"/>
  <c r="BA864" i="2"/>
  <c r="AZ864" i="2"/>
  <c r="AY864" i="2"/>
  <c r="AX864" i="2"/>
  <c r="AW864" i="2"/>
  <c r="CA863" i="2"/>
  <c r="BY863" i="2"/>
  <c r="BX863" i="2"/>
  <c r="BW863" i="2"/>
  <c r="BV863" i="2"/>
  <c r="BU863" i="2"/>
  <c r="BT863" i="2"/>
  <c r="BS863" i="2"/>
  <c r="BR863" i="2"/>
  <c r="BQ863" i="2"/>
  <c r="BP863" i="2"/>
  <c r="BO863" i="2"/>
  <c r="BN863" i="2"/>
  <c r="BM863" i="2"/>
  <c r="BL863" i="2"/>
  <c r="BK863" i="2"/>
  <c r="BJ863" i="2"/>
  <c r="BI863" i="2"/>
  <c r="BH863" i="2"/>
  <c r="BG863" i="2"/>
  <c r="BF863" i="2"/>
  <c r="BE863" i="2"/>
  <c r="BD863" i="2"/>
  <c r="BC863" i="2"/>
  <c r="BB863" i="2"/>
  <c r="BA863" i="2"/>
  <c r="AZ863" i="2"/>
  <c r="AY863" i="2"/>
  <c r="AX863" i="2"/>
  <c r="AW863" i="2"/>
  <c r="CA862" i="2"/>
  <c r="BY862" i="2"/>
  <c r="BX862" i="2"/>
  <c r="BW862" i="2"/>
  <c r="BV862" i="2"/>
  <c r="BU862" i="2"/>
  <c r="BT862" i="2"/>
  <c r="BS862" i="2"/>
  <c r="BR862" i="2"/>
  <c r="BQ862" i="2"/>
  <c r="BP862" i="2"/>
  <c r="BO862" i="2"/>
  <c r="BN862" i="2"/>
  <c r="BM862" i="2"/>
  <c r="BL862" i="2"/>
  <c r="BK862" i="2"/>
  <c r="BJ862" i="2"/>
  <c r="BI862" i="2"/>
  <c r="BH862" i="2"/>
  <c r="BG862" i="2"/>
  <c r="BF862" i="2"/>
  <c r="BE862" i="2"/>
  <c r="BD862" i="2"/>
  <c r="BC862" i="2"/>
  <c r="BB862" i="2"/>
  <c r="BA862" i="2"/>
  <c r="AZ862" i="2"/>
  <c r="AY862" i="2"/>
  <c r="AX862" i="2"/>
  <c r="AW862" i="2"/>
  <c r="CA861" i="2"/>
  <c r="BY861" i="2"/>
  <c r="BX861" i="2"/>
  <c r="BW861" i="2"/>
  <c r="BV861" i="2"/>
  <c r="BU861" i="2"/>
  <c r="BT861" i="2"/>
  <c r="BS861" i="2"/>
  <c r="BR861" i="2"/>
  <c r="BQ861" i="2"/>
  <c r="BP861" i="2"/>
  <c r="BO861" i="2"/>
  <c r="BN861" i="2"/>
  <c r="BM861" i="2"/>
  <c r="BL861" i="2"/>
  <c r="BK861" i="2"/>
  <c r="BJ861" i="2"/>
  <c r="BI861" i="2"/>
  <c r="BH861" i="2"/>
  <c r="BG861" i="2"/>
  <c r="BF861" i="2"/>
  <c r="BE861" i="2"/>
  <c r="BD861" i="2"/>
  <c r="BC861" i="2"/>
  <c r="BB861" i="2"/>
  <c r="BA861" i="2"/>
  <c r="AZ861" i="2"/>
  <c r="AY861" i="2"/>
  <c r="AX861" i="2"/>
  <c r="AW861" i="2"/>
  <c r="CA860" i="2"/>
  <c r="BY860" i="2"/>
  <c r="BX860" i="2"/>
  <c r="BW860" i="2"/>
  <c r="BV860" i="2"/>
  <c r="BU860" i="2"/>
  <c r="BT860" i="2"/>
  <c r="BS860" i="2"/>
  <c r="BR860" i="2"/>
  <c r="BQ860" i="2"/>
  <c r="BP860" i="2"/>
  <c r="BO860" i="2"/>
  <c r="BN860" i="2"/>
  <c r="BM860" i="2"/>
  <c r="BL860" i="2"/>
  <c r="BK860" i="2"/>
  <c r="BJ860" i="2"/>
  <c r="BI860" i="2"/>
  <c r="BH860" i="2"/>
  <c r="BG860" i="2"/>
  <c r="BF860" i="2"/>
  <c r="BE860" i="2"/>
  <c r="BD860" i="2"/>
  <c r="BC860" i="2"/>
  <c r="BB860" i="2"/>
  <c r="BA860" i="2"/>
  <c r="AZ860" i="2"/>
  <c r="AY860" i="2"/>
  <c r="AX860" i="2"/>
  <c r="AW860" i="2"/>
  <c r="CA859" i="2"/>
  <c r="BY859" i="2"/>
  <c r="BX859" i="2"/>
  <c r="BW859" i="2"/>
  <c r="BV859" i="2"/>
  <c r="BU859" i="2"/>
  <c r="BT859" i="2"/>
  <c r="BS859" i="2"/>
  <c r="BR859" i="2"/>
  <c r="BQ859" i="2"/>
  <c r="BP859" i="2"/>
  <c r="BO859" i="2"/>
  <c r="BN859" i="2"/>
  <c r="BM859" i="2"/>
  <c r="BL859" i="2"/>
  <c r="BK859" i="2"/>
  <c r="BJ859" i="2"/>
  <c r="BI859" i="2"/>
  <c r="BH859" i="2"/>
  <c r="BG859" i="2"/>
  <c r="BF859" i="2"/>
  <c r="BE859" i="2"/>
  <c r="BD859" i="2"/>
  <c r="BC859" i="2"/>
  <c r="BB859" i="2"/>
  <c r="BA859" i="2"/>
  <c r="AZ859" i="2"/>
  <c r="AY859" i="2"/>
  <c r="AX859" i="2"/>
  <c r="AW859" i="2"/>
  <c r="CA858" i="2"/>
  <c r="BY858" i="2"/>
  <c r="BX858" i="2"/>
  <c r="BW858" i="2"/>
  <c r="BV858" i="2"/>
  <c r="BU858" i="2"/>
  <c r="BT858" i="2"/>
  <c r="BS858" i="2"/>
  <c r="BR858" i="2"/>
  <c r="BQ858" i="2"/>
  <c r="BP858" i="2"/>
  <c r="BO858" i="2"/>
  <c r="BN858" i="2"/>
  <c r="BM858" i="2"/>
  <c r="BL858" i="2"/>
  <c r="BK858" i="2"/>
  <c r="BJ858" i="2"/>
  <c r="BI858" i="2"/>
  <c r="BH858" i="2"/>
  <c r="BG858" i="2"/>
  <c r="BF858" i="2"/>
  <c r="BE858" i="2"/>
  <c r="BD858" i="2"/>
  <c r="BC858" i="2"/>
  <c r="BB858" i="2"/>
  <c r="BA858" i="2"/>
  <c r="AZ858" i="2"/>
  <c r="AY858" i="2"/>
  <c r="AX858" i="2"/>
  <c r="AW858" i="2"/>
  <c r="CA857" i="2"/>
  <c r="BY857" i="2"/>
  <c r="BX857" i="2"/>
  <c r="BW857" i="2"/>
  <c r="BV857" i="2"/>
  <c r="BU857" i="2"/>
  <c r="BT857" i="2"/>
  <c r="BS857" i="2"/>
  <c r="BR857" i="2"/>
  <c r="BQ857" i="2"/>
  <c r="BP857" i="2"/>
  <c r="BO857" i="2"/>
  <c r="BN857" i="2"/>
  <c r="BM857" i="2"/>
  <c r="BL857" i="2"/>
  <c r="BK857" i="2"/>
  <c r="BJ857" i="2"/>
  <c r="BI857" i="2"/>
  <c r="BH857" i="2"/>
  <c r="BG857" i="2"/>
  <c r="BF857" i="2"/>
  <c r="BE857" i="2"/>
  <c r="BD857" i="2"/>
  <c r="BC857" i="2"/>
  <c r="BB857" i="2"/>
  <c r="BA857" i="2"/>
  <c r="AZ857" i="2"/>
  <c r="AY857" i="2"/>
  <c r="AX857" i="2"/>
  <c r="AW857" i="2"/>
  <c r="CA856" i="2"/>
  <c r="BY856" i="2"/>
  <c r="BX856" i="2"/>
  <c r="BW856" i="2"/>
  <c r="BV856" i="2"/>
  <c r="BU856" i="2"/>
  <c r="BT856" i="2"/>
  <c r="BS856" i="2"/>
  <c r="BR856" i="2"/>
  <c r="BQ856" i="2"/>
  <c r="BP856" i="2"/>
  <c r="BO856" i="2"/>
  <c r="BN856" i="2"/>
  <c r="BM856" i="2"/>
  <c r="BL856" i="2"/>
  <c r="BK856" i="2"/>
  <c r="BJ856" i="2"/>
  <c r="BI856" i="2"/>
  <c r="BH856" i="2"/>
  <c r="BG856" i="2"/>
  <c r="BF856" i="2"/>
  <c r="BE856" i="2"/>
  <c r="BD856" i="2"/>
  <c r="BC856" i="2"/>
  <c r="BB856" i="2"/>
  <c r="BA856" i="2"/>
  <c r="AZ856" i="2"/>
  <c r="AY856" i="2"/>
  <c r="AX856" i="2"/>
  <c r="AW856" i="2"/>
  <c r="CA855" i="2"/>
  <c r="BY855" i="2"/>
  <c r="BX855" i="2"/>
  <c r="BW855" i="2"/>
  <c r="BV855" i="2"/>
  <c r="BU855" i="2"/>
  <c r="BT855" i="2"/>
  <c r="BS855" i="2"/>
  <c r="BR855" i="2"/>
  <c r="BQ855" i="2"/>
  <c r="BP855" i="2"/>
  <c r="BO855" i="2"/>
  <c r="BN855" i="2"/>
  <c r="BM855" i="2"/>
  <c r="BL855" i="2"/>
  <c r="BK855" i="2"/>
  <c r="BJ855" i="2"/>
  <c r="BI855" i="2"/>
  <c r="BH855" i="2"/>
  <c r="BG855" i="2"/>
  <c r="BF855" i="2"/>
  <c r="BE855" i="2"/>
  <c r="BD855" i="2"/>
  <c r="BC855" i="2"/>
  <c r="BB855" i="2"/>
  <c r="BA855" i="2"/>
  <c r="AZ855" i="2"/>
  <c r="AY855" i="2"/>
  <c r="AX855" i="2"/>
  <c r="AW855" i="2"/>
  <c r="CA854" i="2"/>
  <c r="BY854" i="2"/>
  <c r="BX854" i="2"/>
  <c r="BW854" i="2"/>
  <c r="BV854" i="2"/>
  <c r="BU854" i="2"/>
  <c r="BT854" i="2"/>
  <c r="BS854" i="2"/>
  <c r="BR854" i="2"/>
  <c r="BQ854" i="2"/>
  <c r="BP854" i="2"/>
  <c r="BO854" i="2"/>
  <c r="BN854" i="2"/>
  <c r="BM854" i="2"/>
  <c r="BL854" i="2"/>
  <c r="BK854" i="2"/>
  <c r="BJ854" i="2"/>
  <c r="BI854" i="2"/>
  <c r="BH854" i="2"/>
  <c r="BG854" i="2"/>
  <c r="BF854" i="2"/>
  <c r="BE854" i="2"/>
  <c r="BD854" i="2"/>
  <c r="BC854" i="2"/>
  <c r="BB854" i="2"/>
  <c r="BA854" i="2"/>
  <c r="AZ854" i="2"/>
  <c r="AY854" i="2"/>
  <c r="AX854" i="2"/>
  <c r="AW854" i="2"/>
  <c r="CA853" i="2"/>
  <c r="BY853" i="2"/>
  <c r="BX853" i="2"/>
  <c r="BW853" i="2"/>
  <c r="BV853" i="2"/>
  <c r="BU853" i="2"/>
  <c r="BT853" i="2"/>
  <c r="BS853" i="2"/>
  <c r="BR853" i="2"/>
  <c r="BQ853" i="2"/>
  <c r="BP853" i="2"/>
  <c r="BO853" i="2"/>
  <c r="BN853" i="2"/>
  <c r="BM853" i="2"/>
  <c r="BL853" i="2"/>
  <c r="BK853" i="2"/>
  <c r="BJ853" i="2"/>
  <c r="BI853" i="2"/>
  <c r="BH853" i="2"/>
  <c r="BG853" i="2"/>
  <c r="BF853" i="2"/>
  <c r="BE853" i="2"/>
  <c r="BD853" i="2"/>
  <c r="BC853" i="2"/>
  <c r="BB853" i="2"/>
  <c r="BA853" i="2"/>
  <c r="AZ853" i="2"/>
  <c r="AY853" i="2"/>
  <c r="AX853" i="2"/>
  <c r="AW853" i="2"/>
  <c r="CA852" i="2"/>
  <c r="BY852" i="2"/>
  <c r="BX852" i="2"/>
  <c r="BW852" i="2"/>
  <c r="BV852" i="2"/>
  <c r="BU852" i="2"/>
  <c r="BT852" i="2"/>
  <c r="BS852" i="2"/>
  <c r="BR852" i="2"/>
  <c r="BQ852" i="2"/>
  <c r="BP852" i="2"/>
  <c r="BO852" i="2"/>
  <c r="BN852" i="2"/>
  <c r="BM852" i="2"/>
  <c r="BL852" i="2"/>
  <c r="BK852" i="2"/>
  <c r="BJ852" i="2"/>
  <c r="BI852" i="2"/>
  <c r="BH852" i="2"/>
  <c r="BG852" i="2"/>
  <c r="BF852" i="2"/>
  <c r="BE852" i="2"/>
  <c r="BD852" i="2"/>
  <c r="BC852" i="2"/>
  <c r="BB852" i="2"/>
  <c r="BA852" i="2"/>
  <c r="AZ852" i="2"/>
  <c r="AY852" i="2"/>
  <c r="AX852" i="2"/>
  <c r="AW852" i="2"/>
  <c r="CA851" i="2"/>
  <c r="BY851" i="2"/>
  <c r="BX851" i="2"/>
  <c r="BW851" i="2"/>
  <c r="BV851" i="2"/>
  <c r="BU851" i="2"/>
  <c r="BT851" i="2"/>
  <c r="BS851" i="2"/>
  <c r="BR851" i="2"/>
  <c r="BQ851" i="2"/>
  <c r="BP851" i="2"/>
  <c r="BO851" i="2"/>
  <c r="BN851" i="2"/>
  <c r="BM851" i="2"/>
  <c r="BL851" i="2"/>
  <c r="BK851" i="2"/>
  <c r="BJ851" i="2"/>
  <c r="BI851" i="2"/>
  <c r="BH851" i="2"/>
  <c r="BG851" i="2"/>
  <c r="BF851" i="2"/>
  <c r="BE851" i="2"/>
  <c r="BD851" i="2"/>
  <c r="BC851" i="2"/>
  <c r="BB851" i="2"/>
  <c r="BA851" i="2"/>
  <c r="AZ851" i="2"/>
  <c r="AY851" i="2"/>
  <c r="AX851" i="2"/>
  <c r="AW851" i="2"/>
  <c r="CA850" i="2"/>
  <c r="BY850" i="2"/>
  <c r="BX850" i="2"/>
  <c r="BW850" i="2"/>
  <c r="BV850" i="2"/>
  <c r="BU850" i="2"/>
  <c r="BT850" i="2"/>
  <c r="BS850" i="2"/>
  <c r="BR850" i="2"/>
  <c r="BQ850" i="2"/>
  <c r="BP850" i="2"/>
  <c r="BO850" i="2"/>
  <c r="BN850" i="2"/>
  <c r="BM850" i="2"/>
  <c r="BL850" i="2"/>
  <c r="BK850" i="2"/>
  <c r="BJ850" i="2"/>
  <c r="BI850" i="2"/>
  <c r="BH850" i="2"/>
  <c r="BG850" i="2"/>
  <c r="BF850" i="2"/>
  <c r="BE850" i="2"/>
  <c r="BD850" i="2"/>
  <c r="BC850" i="2"/>
  <c r="BB850" i="2"/>
  <c r="BA850" i="2"/>
  <c r="AZ850" i="2"/>
  <c r="AY850" i="2"/>
  <c r="AX850" i="2"/>
  <c r="AW850" i="2"/>
  <c r="CA849" i="2"/>
  <c r="BY849" i="2"/>
  <c r="BX849" i="2"/>
  <c r="BW849" i="2"/>
  <c r="BV849" i="2"/>
  <c r="BU849" i="2"/>
  <c r="BT849" i="2"/>
  <c r="BS849" i="2"/>
  <c r="BR849" i="2"/>
  <c r="BQ849" i="2"/>
  <c r="BP849" i="2"/>
  <c r="BO849" i="2"/>
  <c r="BN849" i="2"/>
  <c r="BM849" i="2"/>
  <c r="BL849" i="2"/>
  <c r="BK849" i="2"/>
  <c r="BJ849" i="2"/>
  <c r="BI849" i="2"/>
  <c r="BH849" i="2"/>
  <c r="BG849" i="2"/>
  <c r="BF849" i="2"/>
  <c r="BE849" i="2"/>
  <c r="BD849" i="2"/>
  <c r="BC849" i="2"/>
  <c r="BB849" i="2"/>
  <c r="BA849" i="2"/>
  <c r="AZ849" i="2"/>
  <c r="AY849" i="2"/>
  <c r="AX849" i="2"/>
  <c r="AW849" i="2"/>
  <c r="CA848" i="2"/>
  <c r="BY848" i="2"/>
  <c r="BX848" i="2"/>
  <c r="BW848" i="2"/>
  <c r="BV848" i="2"/>
  <c r="BU848" i="2"/>
  <c r="BT848" i="2"/>
  <c r="BS848" i="2"/>
  <c r="BR848" i="2"/>
  <c r="BQ848" i="2"/>
  <c r="BP848" i="2"/>
  <c r="BO848" i="2"/>
  <c r="BN848" i="2"/>
  <c r="BM848" i="2"/>
  <c r="BL848" i="2"/>
  <c r="BK848" i="2"/>
  <c r="BJ848" i="2"/>
  <c r="BI848" i="2"/>
  <c r="BH848" i="2"/>
  <c r="BG848" i="2"/>
  <c r="BF848" i="2"/>
  <c r="BE848" i="2"/>
  <c r="BD848" i="2"/>
  <c r="BC848" i="2"/>
  <c r="BB848" i="2"/>
  <c r="BA848" i="2"/>
  <c r="AZ848" i="2"/>
  <c r="AY848" i="2"/>
  <c r="AX848" i="2"/>
  <c r="AW848" i="2"/>
  <c r="CA847" i="2"/>
  <c r="BY847" i="2"/>
  <c r="BX847" i="2"/>
  <c r="BW847" i="2"/>
  <c r="BV847" i="2"/>
  <c r="BU847" i="2"/>
  <c r="BT847" i="2"/>
  <c r="BS847" i="2"/>
  <c r="BR847" i="2"/>
  <c r="BQ847" i="2"/>
  <c r="BP847" i="2"/>
  <c r="BO847" i="2"/>
  <c r="BN847" i="2"/>
  <c r="BM847" i="2"/>
  <c r="BL847" i="2"/>
  <c r="BK847" i="2"/>
  <c r="BJ847" i="2"/>
  <c r="BI847" i="2"/>
  <c r="BH847" i="2"/>
  <c r="BG847" i="2"/>
  <c r="BF847" i="2"/>
  <c r="BE847" i="2"/>
  <c r="BD847" i="2"/>
  <c r="BC847" i="2"/>
  <c r="BB847" i="2"/>
  <c r="BA847" i="2"/>
  <c r="AZ847" i="2"/>
  <c r="AY847" i="2"/>
  <c r="AX847" i="2"/>
  <c r="AW847" i="2"/>
  <c r="CA846" i="2"/>
  <c r="BY846" i="2"/>
  <c r="BX846" i="2"/>
  <c r="BW846" i="2"/>
  <c r="BV846" i="2"/>
  <c r="BU846" i="2"/>
  <c r="BT846" i="2"/>
  <c r="BS846" i="2"/>
  <c r="BR846" i="2"/>
  <c r="BQ846" i="2"/>
  <c r="BP846" i="2"/>
  <c r="BO846" i="2"/>
  <c r="BN846" i="2"/>
  <c r="BM846" i="2"/>
  <c r="BL846" i="2"/>
  <c r="BK846" i="2"/>
  <c r="BJ846" i="2"/>
  <c r="BI846" i="2"/>
  <c r="BH846" i="2"/>
  <c r="BG846" i="2"/>
  <c r="BF846" i="2"/>
  <c r="BE846" i="2"/>
  <c r="BD846" i="2"/>
  <c r="BC846" i="2"/>
  <c r="BB846" i="2"/>
  <c r="BA846" i="2"/>
  <c r="AZ846" i="2"/>
  <c r="AY846" i="2"/>
  <c r="AX846" i="2"/>
  <c r="AW846" i="2"/>
  <c r="CA845" i="2"/>
  <c r="BY845" i="2"/>
  <c r="BX845" i="2"/>
  <c r="BW845" i="2"/>
  <c r="BV845" i="2"/>
  <c r="BU845" i="2"/>
  <c r="BT845" i="2"/>
  <c r="BS845" i="2"/>
  <c r="BR845" i="2"/>
  <c r="BQ845" i="2"/>
  <c r="BP845" i="2"/>
  <c r="BO845" i="2"/>
  <c r="BN845" i="2"/>
  <c r="BM845" i="2"/>
  <c r="BL845" i="2"/>
  <c r="BK845" i="2"/>
  <c r="BJ845" i="2"/>
  <c r="BI845" i="2"/>
  <c r="BH845" i="2"/>
  <c r="BG845" i="2"/>
  <c r="BF845" i="2"/>
  <c r="BE845" i="2"/>
  <c r="BD845" i="2"/>
  <c r="BC845" i="2"/>
  <c r="BB845" i="2"/>
  <c r="BA845" i="2"/>
  <c r="AZ845" i="2"/>
  <c r="AY845" i="2"/>
  <c r="AX845" i="2"/>
  <c r="AW845" i="2"/>
  <c r="CA844" i="2"/>
  <c r="BY844" i="2"/>
  <c r="BX844" i="2"/>
  <c r="BW844" i="2"/>
  <c r="BV844" i="2"/>
  <c r="BU844" i="2"/>
  <c r="BT844" i="2"/>
  <c r="BS844" i="2"/>
  <c r="BR844" i="2"/>
  <c r="BQ844" i="2"/>
  <c r="BP844" i="2"/>
  <c r="BO844" i="2"/>
  <c r="BN844" i="2"/>
  <c r="BM844" i="2"/>
  <c r="BL844" i="2"/>
  <c r="BK844" i="2"/>
  <c r="BJ844" i="2"/>
  <c r="BI844" i="2"/>
  <c r="BH844" i="2"/>
  <c r="BG844" i="2"/>
  <c r="BF844" i="2"/>
  <c r="BE844" i="2"/>
  <c r="BD844" i="2"/>
  <c r="BC844" i="2"/>
  <c r="BB844" i="2"/>
  <c r="BA844" i="2"/>
  <c r="AZ844" i="2"/>
  <c r="AY844" i="2"/>
  <c r="AX844" i="2"/>
  <c r="AW844" i="2"/>
  <c r="CA843" i="2"/>
  <c r="BY843" i="2"/>
  <c r="BX843" i="2"/>
  <c r="BW843" i="2"/>
  <c r="BV843" i="2"/>
  <c r="BU843" i="2"/>
  <c r="BT843" i="2"/>
  <c r="BS843" i="2"/>
  <c r="BR843" i="2"/>
  <c r="BQ843" i="2"/>
  <c r="BP843" i="2"/>
  <c r="BO843" i="2"/>
  <c r="BN843" i="2"/>
  <c r="BM843" i="2"/>
  <c r="BL843" i="2"/>
  <c r="BK843" i="2"/>
  <c r="BJ843" i="2"/>
  <c r="BI843" i="2"/>
  <c r="BH843" i="2"/>
  <c r="BG843" i="2"/>
  <c r="BF843" i="2"/>
  <c r="BE843" i="2"/>
  <c r="BD843" i="2"/>
  <c r="BC843" i="2"/>
  <c r="BB843" i="2"/>
  <c r="BA843" i="2"/>
  <c r="AZ843" i="2"/>
  <c r="AY843" i="2"/>
  <c r="AX843" i="2"/>
  <c r="AW843" i="2"/>
  <c r="CA842" i="2"/>
  <c r="BY842" i="2"/>
  <c r="BX842" i="2"/>
  <c r="BW842" i="2"/>
  <c r="BV842" i="2"/>
  <c r="BU842" i="2"/>
  <c r="BT842" i="2"/>
  <c r="BS842" i="2"/>
  <c r="BR842" i="2"/>
  <c r="BQ842" i="2"/>
  <c r="BP842" i="2"/>
  <c r="BO842" i="2"/>
  <c r="BN842" i="2"/>
  <c r="BM842" i="2"/>
  <c r="BL842" i="2"/>
  <c r="BK842" i="2"/>
  <c r="BJ842" i="2"/>
  <c r="BI842" i="2"/>
  <c r="BH842" i="2"/>
  <c r="BG842" i="2"/>
  <c r="BF842" i="2"/>
  <c r="BE842" i="2"/>
  <c r="BD842" i="2"/>
  <c r="BC842" i="2"/>
  <c r="BB842" i="2"/>
  <c r="BA842" i="2"/>
  <c r="AZ842" i="2"/>
  <c r="AY842" i="2"/>
  <c r="AX842" i="2"/>
  <c r="AW842" i="2"/>
  <c r="CA841" i="2"/>
  <c r="BY841" i="2"/>
  <c r="BX841" i="2"/>
  <c r="BW841" i="2"/>
  <c r="BV841" i="2"/>
  <c r="BU841" i="2"/>
  <c r="BT841" i="2"/>
  <c r="BS841" i="2"/>
  <c r="BR841" i="2"/>
  <c r="BQ841" i="2"/>
  <c r="BP841" i="2"/>
  <c r="BO841" i="2"/>
  <c r="BN841" i="2"/>
  <c r="BM841" i="2"/>
  <c r="BL841" i="2"/>
  <c r="BK841" i="2"/>
  <c r="BJ841" i="2"/>
  <c r="BI841" i="2"/>
  <c r="BH841" i="2"/>
  <c r="BG841" i="2"/>
  <c r="BF841" i="2"/>
  <c r="BE841" i="2"/>
  <c r="BD841" i="2"/>
  <c r="BC841" i="2"/>
  <c r="BB841" i="2"/>
  <c r="BA841" i="2"/>
  <c r="AZ841" i="2"/>
  <c r="AY841" i="2"/>
  <c r="AX841" i="2"/>
  <c r="AW841" i="2"/>
  <c r="CA840" i="2"/>
  <c r="BY840" i="2"/>
  <c r="BX840" i="2"/>
  <c r="BW840" i="2"/>
  <c r="BV840" i="2"/>
  <c r="BU840" i="2"/>
  <c r="BT840" i="2"/>
  <c r="BS840" i="2"/>
  <c r="BR840" i="2"/>
  <c r="BQ840" i="2"/>
  <c r="BP840" i="2"/>
  <c r="BO840" i="2"/>
  <c r="BN840" i="2"/>
  <c r="BM840" i="2"/>
  <c r="BL840" i="2"/>
  <c r="BK840" i="2"/>
  <c r="BJ840" i="2"/>
  <c r="BI840" i="2"/>
  <c r="BH840" i="2"/>
  <c r="BG840" i="2"/>
  <c r="BF840" i="2"/>
  <c r="BE840" i="2"/>
  <c r="BD840" i="2"/>
  <c r="BC840" i="2"/>
  <c r="BB840" i="2"/>
  <c r="BA840" i="2"/>
  <c r="AZ840" i="2"/>
  <c r="AY840" i="2"/>
  <c r="AX840" i="2"/>
  <c r="AW840" i="2"/>
  <c r="CA839" i="2"/>
  <c r="BY839" i="2"/>
  <c r="BX839" i="2"/>
  <c r="BW839" i="2"/>
  <c r="BV839" i="2"/>
  <c r="BU839" i="2"/>
  <c r="BT839" i="2"/>
  <c r="BS839" i="2"/>
  <c r="BR839" i="2"/>
  <c r="BQ839" i="2"/>
  <c r="BP839" i="2"/>
  <c r="BO839" i="2"/>
  <c r="BN839" i="2"/>
  <c r="BM839" i="2"/>
  <c r="BL839" i="2"/>
  <c r="BK839" i="2"/>
  <c r="BJ839" i="2"/>
  <c r="BI839" i="2"/>
  <c r="BH839" i="2"/>
  <c r="BG839" i="2"/>
  <c r="BF839" i="2"/>
  <c r="BE839" i="2"/>
  <c r="BD839" i="2"/>
  <c r="BC839" i="2"/>
  <c r="BB839" i="2"/>
  <c r="BA839" i="2"/>
  <c r="AZ839" i="2"/>
  <c r="AY839" i="2"/>
  <c r="AX839" i="2"/>
  <c r="AW839" i="2"/>
  <c r="CA838" i="2"/>
  <c r="BY838" i="2"/>
  <c r="BX838" i="2"/>
  <c r="BW838" i="2"/>
  <c r="BV838" i="2"/>
  <c r="BU838" i="2"/>
  <c r="BT838" i="2"/>
  <c r="BS838" i="2"/>
  <c r="BR838" i="2"/>
  <c r="BQ838" i="2"/>
  <c r="BP838" i="2"/>
  <c r="BO838" i="2"/>
  <c r="BN838" i="2"/>
  <c r="BM838" i="2"/>
  <c r="BL838" i="2"/>
  <c r="BK838" i="2"/>
  <c r="BJ838" i="2"/>
  <c r="BI838" i="2"/>
  <c r="BH838" i="2"/>
  <c r="BG838" i="2"/>
  <c r="BF838" i="2"/>
  <c r="BE838" i="2"/>
  <c r="BD838" i="2"/>
  <c r="BC838" i="2"/>
  <c r="BB838" i="2"/>
  <c r="BA838" i="2"/>
  <c r="AZ838" i="2"/>
  <c r="AY838" i="2"/>
  <c r="AX838" i="2"/>
  <c r="AW838" i="2"/>
  <c r="CA837" i="2"/>
  <c r="BY837" i="2"/>
  <c r="BX837" i="2"/>
  <c r="BW837" i="2"/>
  <c r="BV837" i="2"/>
  <c r="BU837" i="2"/>
  <c r="BT837" i="2"/>
  <c r="BS837" i="2"/>
  <c r="BR837" i="2"/>
  <c r="BQ837" i="2"/>
  <c r="BP837" i="2"/>
  <c r="BO837" i="2"/>
  <c r="BN837" i="2"/>
  <c r="BM837" i="2"/>
  <c r="BL837" i="2"/>
  <c r="BK837" i="2"/>
  <c r="BJ837" i="2"/>
  <c r="BI837" i="2"/>
  <c r="BH837" i="2"/>
  <c r="BG837" i="2"/>
  <c r="BF837" i="2"/>
  <c r="BE837" i="2"/>
  <c r="BD837" i="2"/>
  <c r="BC837" i="2"/>
  <c r="BB837" i="2"/>
  <c r="BA837" i="2"/>
  <c r="AZ837" i="2"/>
  <c r="AY837" i="2"/>
  <c r="AX837" i="2"/>
  <c r="AW837" i="2"/>
  <c r="CA836" i="2"/>
  <c r="BY836" i="2"/>
  <c r="BX836" i="2"/>
  <c r="BW836" i="2"/>
  <c r="BV836" i="2"/>
  <c r="BU836" i="2"/>
  <c r="BT836" i="2"/>
  <c r="BS836" i="2"/>
  <c r="BR836" i="2"/>
  <c r="BQ836" i="2"/>
  <c r="BP836" i="2"/>
  <c r="BO836" i="2"/>
  <c r="BN836" i="2"/>
  <c r="BM836" i="2"/>
  <c r="BL836" i="2"/>
  <c r="BK836" i="2"/>
  <c r="BJ836" i="2"/>
  <c r="BI836" i="2"/>
  <c r="BH836" i="2"/>
  <c r="BG836" i="2"/>
  <c r="BF836" i="2"/>
  <c r="BE836" i="2"/>
  <c r="BD836" i="2"/>
  <c r="BC836" i="2"/>
  <c r="BB836" i="2"/>
  <c r="BA836" i="2"/>
  <c r="AZ836" i="2"/>
  <c r="AY836" i="2"/>
  <c r="AX836" i="2"/>
  <c r="AW836" i="2"/>
  <c r="CA835" i="2"/>
  <c r="BY835" i="2"/>
  <c r="BX835" i="2"/>
  <c r="BW835" i="2"/>
  <c r="BV835" i="2"/>
  <c r="BU835" i="2"/>
  <c r="BT835" i="2"/>
  <c r="BS835" i="2"/>
  <c r="BR835" i="2"/>
  <c r="BQ835" i="2"/>
  <c r="BP835" i="2"/>
  <c r="BO835" i="2"/>
  <c r="BN835" i="2"/>
  <c r="BM835" i="2"/>
  <c r="BL835" i="2"/>
  <c r="BK835" i="2"/>
  <c r="BJ835" i="2"/>
  <c r="BI835" i="2"/>
  <c r="BH835" i="2"/>
  <c r="BG835" i="2"/>
  <c r="BF835" i="2"/>
  <c r="BE835" i="2"/>
  <c r="BD835" i="2"/>
  <c r="BC835" i="2"/>
  <c r="BB835" i="2"/>
  <c r="BA835" i="2"/>
  <c r="AZ835" i="2"/>
  <c r="AY835" i="2"/>
  <c r="AX835" i="2"/>
  <c r="AW835" i="2"/>
  <c r="CA834" i="2"/>
  <c r="BY834" i="2"/>
  <c r="BX834" i="2"/>
  <c r="BW834" i="2"/>
  <c r="BV834" i="2"/>
  <c r="BU834" i="2"/>
  <c r="BT834" i="2"/>
  <c r="BS834" i="2"/>
  <c r="BR834" i="2"/>
  <c r="BQ834" i="2"/>
  <c r="BP834" i="2"/>
  <c r="BO834" i="2"/>
  <c r="BN834" i="2"/>
  <c r="BM834" i="2"/>
  <c r="BL834" i="2"/>
  <c r="BK834" i="2"/>
  <c r="BJ834" i="2"/>
  <c r="BI834" i="2"/>
  <c r="BH834" i="2"/>
  <c r="BG834" i="2"/>
  <c r="BF834" i="2"/>
  <c r="BE834" i="2"/>
  <c r="BD834" i="2"/>
  <c r="BC834" i="2"/>
  <c r="BB834" i="2"/>
  <c r="BA834" i="2"/>
  <c r="AZ834" i="2"/>
  <c r="AY834" i="2"/>
  <c r="AX834" i="2"/>
  <c r="AW834" i="2"/>
  <c r="CA833" i="2"/>
  <c r="BY833" i="2"/>
  <c r="BX833" i="2"/>
  <c r="BW833" i="2"/>
  <c r="BV833" i="2"/>
  <c r="BU833" i="2"/>
  <c r="BT833" i="2"/>
  <c r="BS833" i="2"/>
  <c r="BR833" i="2"/>
  <c r="BQ833" i="2"/>
  <c r="BP833" i="2"/>
  <c r="BO833" i="2"/>
  <c r="BN833" i="2"/>
  <c r="BM833" i="2"/>
  <c r="BL833" i="2"/>
  <c r="BK833" i="2"/>
  <c r="BJ833" i="2"/>
  <c r="BI833" i="2"/>
  <c r="BH833" i="2"/>
  <c r="BG833" i="2"/>
  <c r="BF833" i="2"/>
  <c r="BE833" i="2"/>
  <c r="BD833" i="2"/>
  <c r="BC833" i="2"/>
  <c r="BB833" i="2"/>
  <c r="BA833" i="2"/>
  <c r="AZ833" i="2"/>
  <c r="AY833" i="2"/>
  <c r="AX833" i="2"/>
  <c r="AW833" i="2"/>
  <c r="CA832" i="2"/>
  <c r="BY832" i="2"/>
  <c r="BX832" i="2"/>
  <c r="BW832" i="2"/>
  <c r="BV832" i="2"/>
  <c r="BU832" i="2"/>
  <c r="BT832" i="2"/>
  <c r="BS832" i="2"/>
  <c r="BR832" i="2"/>
  <c r="BQ832" i="2"/>
  <c r="BP832" i="2"/>
  <c r="BO832" i="2"/>
  <c r="BN832" i="2"/>
  <c r="BM832" i="2"/>
  <c r="BL832" i="2"/>
  <c r="BK832" i="2"/>
  <c r="BJ832" i="2"/>
  <c r="BI832" i="2"/>
  <c r="BH832" i="2"/>
  <c r="BG832" i="2"/>
  <c r="BF832" i="2"/>
  <c r="BE832" i="2"/>
  <c r="BD832" i="2"/>
  <c r="BC832" i="2"/>
  <c r="BB832" i="2"/>
  <c r="BA832" i="2"/>
  <c r="AZ832" i="2"/>
  <c r="AY832" i="2"/>
  <c r="AX832" i="2"/>
  <c r="AW832" i="2"/>
  <c r="CA831" i="2"/>
  <c r="BY831" i="2"/>
  <c r="BX831" i="2"/>
  <c r="BW831" i="2"/>
  <c r="BV831" i="2"/>
  <c r="BU831" i="2"/>
  <c r="BT831" i="2"/>
  <c r="BS831" i="2"/>
  <c r="BR831" i="2"/>
  <c r="BQ831" i="2"/>
  <c r="BP831" i="2"/>
  <c r="BO831" i="2"/>
  <c r="BN831" i="2"/>
  <c r="BM831" i="2"/>
  <c r="BL831" i="2"/>
  <c r="BK831" i="2"/>
  <c r="BJ831" i="2"/>
  <c r="BI831" i="2"/>
  <c r="BH831" i="2"/>
  <c r="BG831" i="2"/>
  <c r="BF831" i="2"/>
  <c r="BE831" i="2"/>
  <c r="BD831" i="2"/>
  <c r="BC831" i="2"/>
  <c r="BB831" i="2"/>
  <c r="BA831" i="2"/>
  <c r="AZ831" i="2"/>
  <c r="AY831" i="2"/>
  <c r="AX831" i="2"/>
  <c r="AW831" i="2"/>
  <c r="CA830" i="2"/>
  <c r="BY830" i="2"/>
  <c r="BX830" i="2"/>
  <c r="BW830" i="2"/>
  <c r="BV830" i="2"/>
  <c r="BU830" i="2"/>
  <c r="BT830" i="2"/>
  <c r="BS830" i="2"/>
  <c r="BR830" i="2"/>
  <c r="BQ830" i="2"/>
  <c r="BP830" i="2"/>
  <c r="BO830" i="2"/>
  <c r="BN830" i="2"/>
  <c r="BM830" i="2"/>
  <c r="BL830" i="2"/>
  <c r="BK830" i="2"/>
  <c r="BJ830" i="2"/>
  <c r="BI830" i="2"/>
  <c r="BH830" i="2"/>
  <c r="BG830" i="2"/>
  <c r="BF830" i="2"/>
  <c r="BE830" i="2"/>
  <c r="BD830" i="2"/>
  <c r="BC830" i="2"/>
  <c r="BB830" i="2"/>
  <c r="BA830" i="2"/>
  <c r="AZ830" i="2"/>
  <c r="AY830" i="2"/>
  <c r="AX830" i="2"/>
  <c r="AW830" i="2"/>
  <c r="CA829" i="2"/>
  <c r="BY829" i="2"/>
  <c r="BX829" i="2"/>
  <c r="BW829" i="2"/>
  <c r="BV829" i="2"/>
  <c r="BU829" i="2"/>
  <c r="BT829" i="2"/>
  <c r="BS829" i="2"/>
  <c r="BR829" i="2"/>
  <c r="BQ829" i="2"/>
  <c r="BP829" i="2"/>
  <c r="BO829" i="2"/>
  <c r="BN829" i="2"/>
  <c r="BM829" i="2"/>
  <c r="BL829" i="2"/>
  <c r="BK829" i="2"/>
  <c r="BJ829" i="2"/>
  <c r="BI829" i="2"/>
  <c r="BH829" i="2"/>
  <c r="BG829" i="2"/>
  <c r="BF829" i="2"/>
  <c r="BE829" i="2"/>
  <c r="BD829" i="2"/>
  <c r="BC829" i="2"/>
  <c r="BB829" i="2"/>
  <c r="BA829" i="2"/>
  <c r="AZ829" i="2"/>
  <c r="AY829" i="2"/>
  <c r="AX829" i="2"/>
  <c r="AW829" i="2"/>
  <c r="CA828" i="2"/>
  <c r="BY828" i="2"/>
  <c r="BX828" i="2"/>
  <c r="BW828" i="2"/>
  <c r="BV828" i="2"/>
  <c r="BU828" i="2"/>
  <c r="BT828" i="2"/>
  <c r="BS828" i="2"/>
  <c r="BR828" i="2"/>
  <c r="BQ828" i="2"/>
  <c r="BP828" i="2"/>
  <c r="BO828" i="2"/>
  <c r="BN828" i="2"/>
  <c r="BM828" i="2"/>
  <c r="BL828" i="2"/>
  <c r="BK828" i="2"/>
  <c r="BJ828" i="2"/>
  <c r="BI828" i="2"/>
  <c r="BH828" i="2"/>
  <c r="BG828" i="2"/>
  <c r="BF828" i="2"/>
  <c r="BE828" i="2"/>
  <c r="BD828" i="2"/>
  <c r="BC828" i="2"/>
  <c r="BB828" i="2"/>
  <c r="BA828" i="2"/>
  <c r="AZ828" i="2"/>
  <c r="AY828" i="2"/>
  <c r="AX828" i="2"/>
  <c r="AW828" i="2"/>
  <c r="CA827" i="2"/>
  <c r="BY827" i="2"/>
  <c r="BX827" i="2"/>
  <c r="BW827" i="2"/>
  <c r="BV827" i="2"/>
  <c r="BU827" i="2"/>
  <c r="BT827" i="2"/>
  <c r="BS827" i="2"/>
  <c r="BR827" i="2"/>
  <c r="BQ827" i="2"/>
  <c r="BP827" i="2"/>
  <c r="BO827" i="2"/>
  <c r="BN827" i="2"/>
  <c r="BM827" i="2"/>
  <c r="BL827" i="2"/>
  <c r="BK827" i="2"/>
  <c r="BJ827" i="2"/>
  <c r="BI827" i="2"/>
  <c r="BH827" i="2"/>
  <c r="BG827" i="2"/>
  <c r="BF827" i="2"/>
  <c r="BE827" i="2"/>
  <c r="BD827" i="2"/>
  <c r="BC827" i="2"/>
  <c r="BB827" i="2"/>
  <c r="BA827" i="2"/>
  <c r="AZ827" i="2"/>
  <c r="AY827" i="2"/>
  <c r="AX827" i="2"/>
  <c r="AW827" i="2"/>
  <c r="CA826" i="2"/>
  <c r="BY826" i="2"/>
  <c r="BX826" i="2"/>
  <c r="BW826" i="2"/>
  <c r="BV826" i="2"/>
  <c r="BU826" i="2"/>
  <c r="BT826" i="2"/>
  <c r="BS826" i="2"/>
  <c r="BR826" i="2"/>
  <c r="BQ826" i="2"/>
  <c r="BP826" i="2"/>
  <c r="BO826" i="2"/>
  <c r="BN826" i="2"/>
  <c r="BM826" i="2"/>
  <c r="BL826" i="2"/>
  <c r="BK826" i="2"/>
  <c r="BJ826" i="2"/>
  <c r="BI826" i="2"/>
  <c r="BH826" i="2"/>
  <c r="BG826" i="2"/>
  <c r="BF826" i="2"/>
  <c r="BE826" i="2"/>
  <c r="BD826" i="2"/>
  <c r="BC826" i="2"/>
  <c r="BB826" i="2"/>
  <c r="BA826" i="2"/>
  <c r="AZ826" i="2"/>
  <c r="AY826" i="2"/>
  <c r="AX826" i="2"/>
  <c r="AW826" i="2"/>
  <c r="CA825" i="2"/>
  <c r="BY825" i="2"/>
  <c r="BX825" i="2"/>
  <c r="BW825" i="2"/>
  <c r="BV825" i="2"/>
  <c r="BU825" i="2"/>
  <c r="BT825" i="2"/>
  <c r="BS825" i="2"/>
  <c r="BR825" i="2"/>
  <c r="BQ825" i="2"/>
  <c r="BP825" i="2"/>
  <c r="BO825" i="2"/>
  <c r="BN825" i="2"/>
  <c r="BM825" i="2"/>
  <c r="BL825" i="2"/>
  <c r="BK825" i="2"/>
  <c r="BJ825" i="2"/>
  <c r="BI825" i="2"/>
  <c r="BH825" i="2"/>
  <c r="BG825" i="2"/>
  <c r="BF825" i="2"/>
  <c r="BE825" i="2"/>
  <c r="BD825" i="2"/>
  <c r="BC825" i="2"/>
  <c r="BB825" i="2"/>
  <c r="BA825" i="2"/>
  <c r="AZ825" i="2"/>
  <c r="AY825" i="2"/>
  <c r="AX825" i="2"/>
  <c r="AW825" i="2"/>
  <c r="CA824" i="2"/>
  <c r="BY824" i="2"/>
  <c r="BX824" i="2"/>
  <c r="BW824" i="2"/>
  <c r="BV824" i="2"/>
  <c r="BU824" i="2"/>
  <c r="BT824" i="2"/>
  <c r="BS824" i="2"/>
  <c r="BR824" i="2"/>
  <c r="BQ824" i="2"/>
  <c r="BP824" i="2"/>
  <c r="BO824" i="2"/>
  <c r="BN824" i="2"/>
  <c r="BM824" i="2"/>
  <c r="BL824" i="2"/>
  <c r="BK824" i="2"/>
  <c r="BJ824" i="2"/>
  <c r="BI824" i="2"/>
  <c r="BH824" i="2"/>
  <c r="BG824" i="2"/>
  <c r="BF824" i="2"/>
  <c r="BE824" i="2"/>
  <c r="BD824" i="2"/>
  <c r="BC824" i="2"/>
  <c r="BB824" i="2"/>
  <c r="BA824" i="2"/>
  <c r="AZ824" i="2"/>
  <c r="AY824" i="2"/>
  <c r="AX824" i="2"/>
  <c r="AW824" i="2"/>
  <c r="CA823" i="2"/>
  <c r="BY823" i="2"/>
  <c r="BX823" i="2"/>
  <c r="BW823" i="2"/>
  <c r="BV823" i="2"/>
  <c r="BU823" i="2"/>
  <c r="BT823" i="2"/>
  <c r="BS823" i="2"/>
  <c r="BR823" i="2"/>
  <c r="BQ823" i="2"/>
  <c r="BP823" i="2"/>
  <c r="BO823" i="2"/>
  <c r="BN823" i="2"/>
  <c r="BM823" i="2"/>
  <c r="BL823" i="2"/>
  <c r="BK823" i="2"/>
  <c r="BJ823" i="2"/>
  <c r="BI823" i="2"/>
  <c r="BH823" i="2"/>
  <c r="BG823" i="2"/>
  <c r="BF823" i="2"/>
  <c r="BE823" i="2"/>
  <c r="BD823" i="2"/>
  <c r="BC823" i="2"/>
  <c r="BB823" i="2"/>
  <c r="BA823" i="2"/>
  <c r="AZ823" i="2"/>
  <c r="AY823" i="2"/>
  <c r="AX823" i="2"/>
  <c r="AW823" i="2"/>
  <c r="CA822" i="2"/>
  <c r="BY822" i="2"/>
  <c r="BX822" i="2"/>
  <c r="BW822" i="2"/>
  <c r="BV822" i="2"/>
  <c r="BU822" i="2"/>
  <c r="BT822" i="2"/>
  <c r="BS822" i="2"/>
  <c r="BR822" i="2"/>
  <c r="BQ822" i="2"/>
  <c r="BP822" i="2"/>
  <c r="BO822" i="2"/>
  <c r="BN822" i="2"/>
  <c r="BM822" i="2"/>
  <c r="BL822" i="2"/>
  <c r="BK822" i="2"/>
  <c r="BJ822" i="2"/>
  <c r="BI822" i="2"/>
  <c r="BH822" i="2"/>
  <c r="BG822" i="2"/>
  <c r="BF822" i="2"/>
  <c r="BE822" i="2"/>
  <c r="BD822" i="2"/>
  <c r="BC822" i="2"/>
  <c r="BB822" i="2"/>
  <c r="BA822" i="2"/>
  <c r="AZ822" i="2"/>
  <c r="AY822" i="2"/>
  <c r="AX822" i="2"/>
  <c r="AW822" i="2"/>
  <c r="CA821" i="2"/>
  <c r="BY821" i="2"/>
  <c r="BX821" i="2"/>
  <c r="BW821" i="2"/>
  <c r="BV821" i="2"/>
  <c r="BU821" i="2"/>
  <c r="BT821" i="2"/>
  <c r="BS821" i="2"/>
  <c r="BR821" i="2"/>
  <c r="BQ821" i="2"/>
  <c r="BP821" i="2"/>
  <c r="BO821" i="2"/>
  <c r="BN821" i="2"/>
  <c r="BM821" i="2"/>
  <c r="BL821" i="2"/>
  <c r="BK821" i="2"/>
  <c r="BJ821" i="2"/>
  <c r="BI821" i="2"/>
  <c r="BH821" i="2"/>
  <c r="BG821" i="2"/>
  <c r="BF821" i="2"/>
  <c r="BE821" i="2"/>
  <c r="BD821" i="2"/>
  <c r="BC821" i="2"/>
  <c r="BB821" i="2"/>
  <c r="BA821" i="2"/>
  <c r="AZ821" i="2"/>
  <c r="AY821" i="2"/>
  <c r="AX821" i="2"/>
  <c r="AW821" i="2"/>
  <c r="CA820" i="2"/>
  <c r="BY820" i="2"/>
  <c r="BX820" i="2"/>
  <c r="BW820" i="2"/>
  <c r="BV820" i="2"/>
  <c r="BU820" i="2"/>
  <c r="BT820" i="2"/>
  <c r="BS820" i="2"/>
  <c r="BR820" i="2"/>
  <c r="BQ820" i="2"/>
  <c r="BP820" i="2"/>
  <c r="BO820" i="2"/>
  <c r="BN820" i="2"/>
  <c r="BM820" i="2"/>
  <c r="BL820" i="2"/>
  <c r="BK820" i="2"/>
  <c r="BJ820" i="2"/>
  <c r="BI820" i="2"/>
  <c r="BH820" i="2"/>
  <c r="BG820" i="2"/>
  <c r="BF820" i="2"/>
  <c r="BE820" i="2"/>
  <c r="BD820" i="2"/>
  <c r="BC820" i="2"/>
  <c r="BB820" i="2"/>
  <c r="BA820" i="2"/>
  <c r="AZ820" i="2"/>
  <c r="AY820" i="2"/>
  <c r="AX820" i="2"/>
  <c r="AW820" i="2"/>
  <c r="CA819" i="2"/>
  <c r="BY819" i="2"/>
  <c r="BX819" i="2"/>
  <c r="BW819" i="2"/>
  <c r="BV819" i="2"/>
  <c r="BU819" i="2"/>
  <c r="BT819" i="2"/>
  <c r="BS819" i="2"/>
  <c r="BR819" i="2"/>
  <c r="BQ819" i="2"/>
  <c r="BP819" i="2"/>
  <c r="BO819" i="2"/>
  <c r="BN819" i="2"/>
  <c r="BM819" i="2"/>
  <c r="BL819" i="2"/>
  <c r="BK819" i="2"/>
  <c r="BJ819" i="2"/>
  <c r="BI819" i="2"/>
  <c r="BH819" i="2"/>
  <c r="BG819" i="2"/>
  <c r="BF819" i="2"/>
  <c r="BE819" i="2"/>
  <c r="BD819" i="2"/>
  <c r="BC819" i="2"/>
  <c r="BB819" i="2"/>
  <c r="BA819" i="2"/>
  <c r="AZ819" i="2"/>
  <c r="AY819" i="2"/>
  <c r="AX819" i="2"/>
  <c r="AW819" i="2"/>
  <c r="CA818" i="2"/>
  <c r="BY818" i="2"/>
  <c r="BX818" i="2"/>
  <c r="BW818" i="2"/>
  <c r="BV818" i="2"/>
  <c r="BU818" i="2"/>
  <c r="BT818" i="2"/>
  <c r="BS818" i="2"/>
  <c r="BR818" i="2"/>
  <c r="BQ818" i="2"/>
  <c r="BP818" i="2"/>
  <c r="BO818" i="2"/>
  <c r="BN818" i="2"/>
  <c r="BM818" i="2"/>
  <c r="BL818" i="2"/>
  <c r="BK818" i="2"/>
  <c r="BJ818" i="2"/>
  <c r="BI818" i="2"/>
  <c r="BH818" i="2"/>
  <c r="BG818" i="2"/>
  <c r="BF818" i="2"/>
  <c r="BE818" i="2"/>
  <c r="BD818" i="2"/>
  <c r="BC818" i="2"/>
  <c r="BB818" i="2"/>
  <c r="BA818" i="2"/>
  <c r="AZ818" i="2"/>
  <c r="AY818" i="2"/>
  <c r="AX818" i="2"/>
  <c r="AW818" i="2"/>
  <c r="CA817" i="2"/>
  <c r="BY817" i="2"/>
  <c r="BX817" i="2"/>
  <c r="BW817" i="2"/>
  <c r="BV817" i="2"/>
  <c r="BU817" i="2"/>
  <c r="BT817" i="2"/>
  <c r="BS817" i="2"/>
  <c r="BR817" i="2"/>
  <c r="BQ817" i="2"/>
  <c r="BP817" i="2"/>
  <c r="BO817" i="2"/>
  <c r="BN817" i="2"/>
  <c r="BM817" i="2"/>
  <c r="BL817" i="2"/>
  <c r="BK817" i="2"/>
  <c r="BJ817" i="2"/>
  <c r="BI817" i="2"/>
  <c r="BH817" i="2"/>
  <c r="BG817" i="2"/>
  <c r="BF817" i="2"/>
  <c r="BE817" i="2"/>
  <c r="BD817" i="2"/>
  <c r="BC817" i="2"/>
  <c r="BB817" i="2"/>
  <c r="BA817" i="2"/>
  <c r="AZ817" i="2"/>
  <c r="AY817" i="2"/>
  <c r="AX817" i="2"/>
  <c r="AW817" i="2"/>
  <c r="CA816" i="2"/>
  <c r="BY816" i="2"/>
  <c r="BX816" i="2"/>
  <c r="BW816" i="2"/>
  <c r="BV816" i="2"/>
  <c r="BU816" i="2"/>
  <c r="BT816" i="2"/>
  <c r="BS816" i="2"/>
  <c r="BR816" i="2"/>
  <c r="BQ816" i="2"/>
  <c r="BP816" i="2"/>
  <c r="BO816" i="2"/>
  <c r="BN816" i="2"/>
  <c r="BM816" i="2"/>
  <c r="BL816" i="2"/>
  <c r="BK816" i="2"/>
  <c r="BJ816" i="2"/>
  <c r="BI816" i="2"/>
  <c r="BH816" i="2"/>
  <c r="BG816" i="2"/>
  <c r="BF816" i="2"/>
  <c r="BE816" i="2"/>
  <c r="BD816" i="2"/>
  <c r="BC816" i="2"/>
  <c r="BB816" i="2"/>
  <c r="BA816" i="2"/>
  <c r="AZ816" i="2"/>
  <c r="AY816" i="2"/>
  <c r="AX816" i="2"/>
  <c r="AW816" i="2"/>
  <c r="CA815" i="2"/>
  <c r="BY815" i="2"/>
  <c r="BX815" i="2"/>
  <c r="BW815" i="2"/>
  <c r="BV815" i="2"/>
  <c r="BU815" i="2"/>
  <c r="BT815" i="2"/>
  <c r="BS815" i="2"/>
  <c r="BR815" i="2"/>
  <c r="BQ815" i="2"/>
  <c r="BP815" i="2"/>
  <c r="BO815" i="2"/>
  <c r="BN815" i="2"/>
  <c r="BM815" i="2"/>
  <c r="BL815" i="2"/>
  <c r="BK815" i="2"/>
  <c r="BJ815" i="2"/>
  <c r="BI815" i="2"/>
  <c r="BH815" i="2"/>
  <c r="BG815" i="2"/>
  <c r="BF815" i="2"/>
  <c r="BE815" i="2"/>
  <c r="BD815" i="2"/>
  <c r="BC815" i="2"/>
  <c r="BB815" i="2"/>
  <c r="BA815" i="2"/>
  <c r="AZ815" i="2"/>
  <c r="AY815" i="2"/>
  <c r="AX815" i="2"/>
  <c r="AW815" i="2"/>
  <c r="CA814" i="2"/>
  <c r="BY814" i="2"/>
  <c r="BX814" i="2"/>
  <c r="BW814" i="2"/>
  <c r="BV814" i="2"/>
  <c r="BU814" i="2"/>
  <c r="BT814" i="2"/>
  <c r="BS814" i="2"/>
  <c r="BR814" i="2"/>
  <c r="BQ814" i="2"/>
  <c r="BP814" i="2"/>
  <c r="BO814" i="2"/>
  <c r="BN814" i="2"/>
  <c r="BM814" i="2"/>
  <c r="BL814" i="2"/>
  <c r="BK814" i="2"/>
  <c r="BJ814" i="2"/>
  <c r="BI814" i="2"/>
  <c r="BH814" i="2"/>
  <c r="BG814" i="2"/>
  <c r="BF814" i="2"/>
  <c r="BE814" i="2"/>
  <c r="BD814" i="2"/>
  <c r="BC814" i="2"/>
  <c r="BB814" i="2"/>
  <c r="BA814" i="2"/>
  <c r="AZ814" i="2"/>
  <c r="AY814" i="2"/>
  <c r="AX814" i="2"/>
  <c r="AW814" i="2"/>
  <c r="CA813" i="2"/>
  <c r="BY813" i="2"/>
  <c r="BX813" i="2"/>
  <c r="BW813" i="2"/>
  <c r="BV813" i="2"/>
  <c r="BU813" i="2"/>
  <c r="BT813" i="2"/>
  <c r="BS813" i="2"/>
  <c r="BR813" i="2"/>
  <c r="BQ813" i="2"/>
  <c r="BP813" i="2"/>
  <c r="BO813" i="2"/>
  <c r="BN813" i="2"/>
  <c r="BM813" i="2"/>
  <c r="BL813" i="2"/>
  <c r="BK813" i="2"/>
  <c r="BJ813" i="2"/>
  <c r="BI813" i="2"/>
  <c r="BH813" i="2"/>
  <c r="BG813" i="2"/>
  <c r="BF813" i="2"/>
  <c r="BE813" i="2"/>
  <c r="BD813" i="2"/>
  <c r="BC813" i="2"/>
  <c r="BB813" i="2"/>
  <c r="BA813" i="2"/>
  <c r="AZ813" i="2"/>
  <c r="AY813" i="2"/>
  <c r="AX813" i="2"/>
  <c r="AW813" i="2"/>
  <c r="CA812" i="2"/>
  <c r="BY812" i="2"/>
  <c r="BX812" i="2"/>
  <c r="BW812" i="2"/>
  <c r="BV812" i="2"/>
  <c r="BU812" i="2"/>
  <c r="BT812" i="2"/>
  <c r="BS812" i="2"/>
  <c r="BR812" i="2"/>
  <c r="BQ812" i="2"/>
  <c r="BP812" i="2"/>
  <c r="BO812" i="2"/>
  <c r="BN812" i="2"/>
  <c r="BM812" i="2"/>
  <c r="BL812" i="2"/>
  <c r="BK812" i="2"/>
  <c r="BJ812" i="2"/>
  <c r="BI812" i="2"/>
  <c r="BH812" i="2"/>
  <c r="BG812" i="2"/>
  <c r="BF812" i="2"/>
  <c r="BE812" i="2"/>
  <c r="BD812" i="2"/>
  <c r="BC812" i="2"/>
  <c r="BB812" i="2"/>
  <c r="BA812" i="2"/>
  <c r="AZ812" i="2"/>
  <c r="AY812" i="2"/>
  <c r="AX812" i="2"/>
  <c r="AW812" i="2"/>
  <c r="CA811" i="2"/>
  <c r="BY811" i="2"/>
  <c r="BX811" i="2"/>
  <c r="BW811" i="2"/>
  <c r="BV811" i="2"/>
  <c r="BU811" i="2"/>
  <c r="BT811" i="2"/>
  <c r="BS811" i="2"/>
  <c r="BR811" i="2"/>
  <c r="BQ811" i="2"/>
  <c r="BP811" i="2"/>
  <c r="BO811" i="2"/>
  <c r="BN811" i="2"/>
  <c r="BM811" i="2"/>
  <c r="BL811" i="2"/>
  <c r="BK811" i="2"/>
  <c r="BJ811" i="2"/>
  <c r="BI811" i="2"/>
  <c r="BH811" i="2"/>
  <c r="BG811" i="2"/>
  <c r="BF811" i="2"/>
  <c r="BE811" i="2"/>
  <c r="BD811" i="2"/>
  <c r="BC811" i="2"/>
  <c r="BB811" i="2"/>
  <c r="BA811" i="2"/>
  <c r="AZ811" i="2"/>
  <c r="AY811" i="2"/>
  <c r="AX811" i="2"/>
  <c r="AW811" i="2"/>
  <c r="CA810" i="2"/>
  <c r="BY810" i="2"/>
  <c r="BX810" i="2"/>
  <c r="BW810" i="2"/>
  <c r="BV810" i="2"/>
  <c r="BU810" i="2"/>
  <c r="BT810" i="2"/>
  <c r="BS810" i="2"/>
  <c r="BR810" i="2"/>
  <c r="BQ810" i="2"/>
  <c r="BP810" i="2"/>
  <c r="BO810" i="2"/>
  <c r="BN810" i="2"/>
  <c r="BM810" i="2"/>
  <c r="BL810" i="2"/>
  <c r="BK810" i="2"/>
  <c r="BJ810" i="2"/>
  <c r="BI810" i="2"/>
  <c r="BH810" i="2"/>
  <c r="BG810" i="2"/>
  <c r="BF810" i="2"/>
  <c r="BE810" i="2"/>
  <c r="BD810" i="2"/>
  <c r="BC810" i="2"/>
  <c r="BB810" i="2"/>
  <c r="BA810" i="2"/>
  <c r="AZ810" i="2"/>
  <c r="AY810" i="2"/>
  <c r="AX810" i="2"/>
  <c r="AW810" i="2"/>
  <c r="CA809" i="2"/>
  <c r="BY809" i="2"/>
  <c r="BX809" i="2"/>
  <c r="BW809" i="2"/>
  <c r="BV809" i="2"/>
  <c r="BU809" i="2"/>
  <c r="BT809" i="2"/>
  <c r="BS809" i="2"/>
  <c r="BR809" i="2"/>
  <c r="BQ809" i="2"/>
  <c r="BP809" i="2"/>
  <c r="BO809" i="2"/>
  <c r="BN809" i="2"/>
  <c r="BM809" i="2"/>
  <c r="BL809" i="2"/>
  <c r="BK809" i="2"/>
  <c r="BJ809" i="2"/>
  <c r="BI809" i="2"/>
  <c r="BH809" i="2"/>
  <c r="BG809" i="2"/>
  <c r="BF809" i="2"/>
  <c r="BE809" i="2"/>
  <c r="BD809" i="2"/>
  <c r="BC809" i="2"/>
  <c r="BB809" i="2"/>
  <c r="BA809" i="2"/>
  <c r="AZ809" i="2"/>
  <c r="AY809" i="2"/>
  <c r="AX809" i="2"/>
  <c r="AW809" i="2"/>
  <c r="CA808" i="2"/>
  <c r="BY808" i="2"/>
  <c r="BX808" i="2"/>
  <c r="BW808" i="2"/>
  <c r="BV808" i="2"/>
  <c r="BU808" i="2"/>
  <c r="BT808" i="2"/>
  <c r="BS808" i="2"/>
  <c r="BR808" i="2"/>
  <c r="BQ808" i="2"/>
  <c r="BP808" i="2"/>
  <c r="BO808" i="2"/>
  <c r="BN808" i="2"/>
  <c r="BM808" i="2"/>
  <c r="BL808" i="2"/>
  <c r="BK808" i="2"/>
  <c r="BJ808" i="2"/>
  <c r="BI808" i="2"/>
  <c r="BH808" i="2"/>
  <c r="BG808" i="2"/>
  <c r="BF808" i="2"/>
  <c r="BE808" i="2"/>
  <c r="BD808" i="2"/>
  <c r="BC808" i="2"/>
  <c r="BB808" i="2"/>
  <c r="BA808" i="2"/>
  <c r="AZ808" i="2"/>
  <c r="AY808" i="2"/>
  <c r="AX808" i="2"/>
  <c r="AW808" i="2"/>
  <c r="CA807" i="2"/>
  <c r="BY807" i="2"/>
  <c r="BX807" i="2"/>
  <c r="BW807" i="2"/>
  <c r="BV807" i="2"/>
  <c r="BU807" i="2"/>
  <c r="BT807" i="2"/>
  <c r="BS807" i="2"/>
  <c r="BR807" i="2"/>
  <c r="BQ807" i="2"/>
  <c r="BP807" i="2"/>
  <c r="BO807" i="2"/>
  <c r="BN807" i="2"/>
  <c r="BM807" i="2"/>
  <c r="BL807" i="2"/>
  <c r="BK807" i="2"/>
  <c r="BJ807" i="2"/>
  <c r="BI807" i="2"/>
  <c r="BH807" i="2"/>
  <c r="BG807" i="2"/>
  <c r="BF807" i="2"/>
  <c r="BE807" i="2"/>
  <c r="BD807" i="2"/>
  <c r="BC807" i="2"/>
  <c r="BB807" i="2"/>
  <c r="BA807" i="2"/>
  <c r="AZ807" i="2"/>
  <c r="AY807" i="2"/>
  <c r="AX807" i="2"/>
  <c r="AW807" i="2"/>
  <c r="CA806" i="2"/>
  <c r="BY806" i="2"/>
  <c r="BX806" i="2"/>
  <c r="BW806" i="2"/>
  <c r="BV806" i="2"/>
  <c r="BU806" i="2"/>
  <c r="BT806" i="2"/>
  <c r="BS806" i="2"/>
  <c r="BR806" i="2"/>
  <c r="BQ806" i="2"/>
  <c r="BP806" i="2"/>
  <c r="BO806" i="2"/>
  <c r="BN806" i="2"/>
  <c r="BM806" i="2"/>
  <c r="BL806" i="2"/>
  <c r="BK806" i="2"/>
  <c r="BJ806" i="2"/>
  <c r="BI806" i="2"/>
  <c r="BH806" i="2"/>
  <c r="BG806" i="2"/>
  <c r="BF806" i="2"/>
  <c r="BE806" i="2"/>
  <c r="BD806" i="2"/>
  <c r="BC806" i="2"/>
  <c r="BB806" i="2"/>
  <c r="BA806" i="2"/>
  <c r="AZ806" i="2"/>
  <c r="AY806" i="2"/>
  <c r="AX806" i="2"/>
  <c r="AW806" i="2"/>
  <c r="CA805" i="2"/>
  <c r="BY805" i="2"/>
  <c r="BX805" i="2"/>
  <c r="BW805" i="2"/>
  <c r="BV805" i="2"/>
  <c r="BU805" i="2"/>
  <c r="BT805" i="2"/>
  <c r="BS805" i="2"/>
  <c r="BR805" i="2"/>
  <c r="BQ805" i="2"/>
  <c r="BP805" i="2"/>
  <c r="BO805" i="2"/>
  <c r="BN805" i="2"/>
  <c r="BM805" i="2"/>
  <c r="BL805" i="2"/>
  <c r="BK805" i="2"/>
  <c r="BJ805" i="2"/>
  <c r="BI805" i="2"/>
  <c r="BH805" i="2"/>
  <c r="BG805" i="2"/>
  <c r="BF805" i="2"/>
  <c r="BE805" i="2"/>
  <c r="BD805" i="2"/>
  <c r="BC805" i="2"/>
  <c r="BB805" i="2"/>
  <c r="BA805" i="2"/>
  <c r="AZ805" i="2"/>
  <c r="AY805" i="2"/>
  <c r="AX805" i="2"/>
  <c r="AW805" i="2"/>
  <c r="CA804" i="2"/>
  <c r="BY804" i="2"/>
  <c r="BX804" i="2"/>
  <c r="BW804" i="2"/>
  <c r="BV804" i="2"/>
  <c r="BU804" i="2"/>
  <c r="BT804" i="2"/>
  <c r="BS804" i="2"/>
  <c r="BR804" i="2"/>
  <c r="BQ804" i="2"/>
  <c r="BP804" i="2"/>
  <c r="BO804" i="2"/>
  <c r="BN804" i="2"/>
  <c r="BM804" i="2"/>
  <c r="BL804" i="2"/>
  <c r="BK804" i="2"/>
  <c r="BJ804" i="2"/>
  <c r="BI804" i="2"/>
  <c r="BH804" i="2"/>
  <c r="BG804" i="2"/>
  <c r="BF804" i="2"/>
  <c r="BE804" i="2"/>
  <c r="BD804" i="2"/>
  <c r="BC804" i="2"/>
  <c r="BB804" i="2"/>
  <c r="BA804" i="2"/>
  <c r="AZ804" i="2"/>
  <c r="AY804" i="2"/>
  <c r="AX804" i="2"/>
  <c r="AW804" i="2"/>
  <c r="CA803" i="2"/>
  <c r="BY803" i="2"/>
  <c r="BX803" i="2"/>
  <c r="BW803" i="2"/>
  <c r="BV803" i="2"/>
  <c r="BU803" i="2"/>
  <c r="BT803" i="2"/>
  <c r="BS803" i="2"/>
  <c r="BR803" i="2"/>
  <c r="BQ803" i="2"/>
  <c r="BP803" i="2"/>
  <c r="BO803" i="2"/>
  <c r="BN803" i="2"/>
  <c r="BM803" i="2"/>
  <c r="BL803" i="2"/>
  <c r="BK803" i="2"/>
  <c r="BJ803" i="2"/>
  <c r="BI803" i="2"/>
  <c r="BH803" i="2"/>
  <c r="BG803" i="2"/>
  <c r="BF803" i="2"/>
  <c r="BE803" i="2"/>
  <c r="BD803" i="2"/>
  <c r="BC803" i="2"/>
  <c r="BB803" i="2"/>
  <c r="BA803" i="2"/>
  <c r="AZ803" i="2"/>
  <c r="AY803" i="2"/>
  <c r="AX803" i="2"/>
  <c r="AW803" i="2"/>
  <c r="CA802" i="2"/>
  <c r="BY802" i="2"/>
  <c r="BX802" i="2"/>
  <c r="BW802" i="2"/>
  <c r="BV802" i="2"/>
  <c r="BU802" i="2"/>
  <c r="BT802" i="2"/>
  <c r="BS802" i="2"/>
  <c r="BR802" i="2"/>
  <c r="BQ802" i="2"/>
  <c r="BP802" i="2"/>
  <c r="BO802" i="2"/>
  <c r="BN802" i="2"/>
  <c r="BM802" i="2"/>
  <c r="BL802" i="2"/>
  <c r="BK802" i="2"/>
  <c r="BJ802" i="2"/>
  <c r="BI802" i="2"/>
  <c r="BH802" i="2"/>
  <c r="BG802" i="2"/>
  <c r="BF802" i="2"/>
  <c r="BE802" i="2"/>
  <c r="BD802" i="2"/>
  <c r="BC802" i="2"/>
  <c r="BB802" i="2"/>
  <c r="BA802" i="2"/>
  <c r="AZ802" i="2"/>
  <c r="AY802" i="2"/>
  <c r="AX802" i="2"/>
  <c r="AW802" i="2"/>
  <c r="CA801" i="2"/>
  <c r="BY801" i="2"/>
  <c r="BX801" i="2"/>
  <c r="BW801" i="2"/>
  <c r="BV801" i="2"/>
  <c r="BU801" i="2"/>
  <c r="BT801" i="2"/>
  <c r="BS801" i="2"/>
  <c r="BR801" i="2"/>
  <c r="BQ801" i="2"/>
  <c r="BP801" i="2"/>
  <c r="BO801" i="2"/>
  <c r="BN801" i="2"/>
  <c r="BM801" i="2"/>
  <c r="BL801" i="2"/>
  <c r="BK801" i="2"/>
  <c r="BJ801" i="2"/>
  <c r="BI801" i="2"/>
  <c r="BH801" i="2"/>
  <c r="BG801" i="2"/>
  <c r="BF801" i="2"/>
  <c r="BE801" i="2"/>
  <c r="BD801" i="2"/>
  <c r="BC801" i="2"/>
  <c r="BB801" i="2"/>
  <c r="BA801" i="2"/>
  <c r="AZ801" i="2"/>
  <c r="AY801" i="2"/>
  <c r="AX801" i="2"/>
  <c r="AW801" i="2"/>
  <c r="CA800" i="2"/>
  <c r="BY800" i="2"/>
  <c r="BX800" i="2"/>
  <c r="BW800" i="2"/>
  <c r="BV800" i="2"/>
  <c r="BU800" i="2"/>
  <c r="BT800" i="2"/>
  <c r="BS800" i="2"/>
  <c r="BR800" i="2"/>
  <c r="BQ800" i="2"/>
  <c r="BP800" i="2"/>
  <c r="BO800" i="2"/>
  <c r="BN800" i="2"/>
  <c r="BM800" i="2"/>
  <c r="BL800" i="2"/>
  <c r="BK800" i="2"/>
  <c r="BJ800" i="2"/>
  <c r="BI800" i="2"/>
  <c r="BH800" i="2"/>
  <c r="BG800" i="2"/>
  <c r="BF800" i="2"/>
  <c r="BE800" i="2"/>
  <c r="BD800" i="2"/>
  <c r="BC800" i="2"/>
  <c r="BB800" i="2"/>
  <c r="BA800" i="2"/>
  <c r="AZ800" i="2"/>
  <c r="AY800" i="2"/>
  <c r="AX800" i="2"/>
  <c r="AW800" i="2"/>
  <c r="CA799" i="2"/>
  <c r="BY799" i="2"/>
  <c r="BX799" i="2"/>
  <c r="BW799" i="2"/>
  <c r="BV799" i="2"/>
  <c r="BU799" i="2"/>
  <c r="BT799" i="2"/>
  <c r="BS799" i="2"/>
  <c r="BR799" i="2"/>
  <c r="BQ799" i="2"/>
  <c r="BP799" i="2"/>
  <c r="BO799" i="2"/>
  <c r="BN799" i="2"/>
  <c r="BM799" i="2"/>
  <c r="BL799" i="2"/>
  <c r="BK799" i="2"/>
  <c r="BJ799" i="2"/>
  <c r="BI799" i="2"/>
  <c r="BH799" i="2"/>
  <c r="BG799" i="2"/>
  <c r="BF799" i="2"/>
  <c r="BE799" i="2"/>
  <c r="BD799" i="2"/>
  <c r="BC799" i="2"/>
  <c r="BB799" i="2"/>
  <c r="BA799" i="2"/>
  <c r="AZ799" i="2"/>
  <c r="AY799" i="2"/>
  <c r="AX799" i="2"/>
  <c r="AW799" i="2"/>
  <c r="CA798" i="2"/>
  <c r="BY798" i="2"/>
  <c r="BX798" i="2"/>
  <c r="BW798" i="2"/>
  <c r="BV798" i="2"/>
  <c r="BU798" i="2"/>
  <c r="BT798" i="2"/>
  <c r="BS798" i="2"/>
  <c r="BR798" i="2"/>
  <c r="BQ798" i="2"/>
  <c r="BP798" i="2"/>
  <c r="BO798" i="2"/>
  <c r="BN798" i="2"/>
  <c r="BM798" i="2"/>
  <c r="BL798" i="2"/>
  <c r="BK798" i="2"/>
  <c r="BJ798" i="2"/>
  <c r="BI798" i="2"/>
  <c r="BH798" i="2"/>
  <c r="BG798" i="2"/>
  <c r="BF798" i="2"/>
  <c r="BE798" i="2"/>
  <c r="BD798" i="2"/>
  <c r="BC798" i="2"/>
  <c r="BB798" i="2"/>
  <c r="BA798" i="2"/>
  <c r="AZ798" i="2"/>
  <c r="AY798" i="2"/>
  <c r="AX798" i="2"/>
  <c r="AW798" i="2"/>
  <c r="CA797" i="2"/>
  <c r="BY797" i="2"/>
  <c r="BX797" i="2"/>
  <c r="BW797" i="2"/>
  <c r="BV797" i="2"/>
  <c r="BU797" i="2"/>
  <c r="BT797" i="2"/>
  <c r="BS797" i="2"/>
  <c r="BR797" i="2"/>
  <c r="BQ797" i="2"/>
  <c r="BP797" i="2"/>
  <c r="BO797" i="2"/>
  <c r="BN797" i="2"/>
  <c r="BM797" i="2"/>
  <c r="BL797" i="2"/>
  <c r="BK797" i="2"/>
  <c r="BJ797" i="2"/>
  <c r="BI797" i="2"/>
  <c r="BH797" i="2"/>
  <c r="BG797" i="2"/>
  <c r="BF797" i="2"/>
  <c r="BE797" i="2"/>
  <c r="BD797" i="2"/>
  <c r="BC797" i="2"/>
  <c r="BB797" i="2"/>
  <c r="BA797" i="2"/>
  <c r="AZ797" i="2"/>
  <c r="AY797" i="2"/>
  <c r="AX797" i="2"/>
  <c r="AW797" i="2"/>
  <c r="CA796" i="2"/>
  <c r="BY796" i="2"/>
  <c r="BX796" i="2"/>
  <c r="BW796" i="2"/>
  <c r="BV796" i="2"/>
  <c r="BU796" i="2"/>
  <c r="BT796" i="2"/>
  <c r="BS796" i="2"/>
  <c r="BR796" i="2"/>
  <c r="BQ796" i="2"/>
  <c r="BP796" i="2"/>
  <c r="BO796" i="2"/>
  <c r="BN796" i="2"/>
  <c r="BM796" i="2"/>
  <c r="BL796" i="2"/>
  <c r="BK796" i="2"/>
  <c r="BJ796" i="2"/>
  <c r="BI796" i="2"/>
  <c r="BH796" i="2"/>
  <c r="BG796" i="2"/>
  <c r="BF796" i="2"/>
  <c r="BE796" i="2"/>
  <c r="BD796" i="2"/>
  <c r="BC796" i="2"/>
  <c r="BB796" i="2"/>
  <c r="BA796" i="2"/>
  <c r="AZ796" i="2"/>
  <c r="AY796" i="2"/>
  <c r="AX796" i="2"/>
  <c r="AW796" i="2"/>
  <c r="CA795" i="2"/>
  <c r="BY795" i="2"/>
  <c r="BX795" i="2"/>
  <c r="BW795" i="2"/>
  <c r="BV795" i="2"/>
  <c r="BU795" i="2"/>
  <c r="BT795" i="2"/>
  <c r="BS795" i="2"/>
  <c r="BR795" i="2"/>
  <c r="BQ795" i="2"/>
  <c r="BP795" i="2"/>
  <c r="BO795" i="2"/>
  <c r="BN795" i="2"/>
  <c r="BM795" i="2"/>
  <c r="BL795" i="2"/>
  <c r="BK795" i="2"/>
  <c r="BJ795" i="2"/>
  <c r="BI795" i="2"/>
  <c r="BH795" i="2"/>
  <c r="BG795" i="2"/>
  <c r="BF795" i="2"/>
  <c r="BE795" i="2"/>
  <c r="BD795" i="2"/>
  <c r="BC795" i="2"/>
  <c r="BB795" i="2"/>
  <c r="BA795" i="2"/>
  <c r="AZ795" i="2"/>
  <c r="AY795" i="2"/>
  <c r="AX795" i="2"/>
  <c r="AW795" i="2"/>
  <c r="CA794" i="2"/>
  <c r="BY794" i="2"/>
  <c r="BX794" i="2"/>
  <c r="BW794" i="2"/>
  <c r="BV794" i="2"/>
  <c r="BU794" i="2"/>
  <c r="BT794" i="2"/>
  <c r="BS794" i="2"/>
  <c r="BR794" i="2"/>
  <c r="BQ794" i="2"/>
  <c r="BP794" i="2"/>
  <c r="BO794" i="2"/>
  <c r="BN794" i="2"/>
  <c r="BM794" i="2"/>
  <c r="BL794" i="2"/>
  <c r="BK794" i="2"/>
  <c r="BJ794" i="2"/>
  <c r="BI794" i="2"/>
  <c r="BH794" i="2"/>
  <c r="BG794" i="2"/>
  <c r="BF794" i="2"/>
  <c r="BE794" i="2"/>
  <c r="BD794" i="2"/>
  <c r="BC794" i="2"/>
  <c r="BB794" i="2"/>
  <c r="BA794" i="2"/>
  <c r="AZ794" i="2"/>
  <c r="AY794" i="2"/>
  <c r="AX794" i="2"/>
  <c r="AW794" i="2"/>
  <c r="CA793" i="2"/>
  <c r="BY793" i="2"/>
  <c r="BX793" i="2"/>
  <c r="BW793" i="2"/>
  <c r="BV793" i="2"/>
  <c r="BU793" i="2"/>
  <c r="BT793" i="2"/>
  <c r="BS793" i="2"/>
  <c r="BR793" i="2"/>
  <c r="BQ793" i="2"/>
  <c r="BP793" i="2"/>
  <c r="BO793" i="2"/>
  <c r="BN793" i="2"/>
  <c r="BM793" i="2"/>
  <c r="BL793" i="2"/>
  <c r="BK793" i="2"/>
  <c r="BJ793" i="2"/>
  <c r="BI793" i="2"/>
  <c r="BH793" i="2"/>
  <c r="BG793" i="2"/>
  <c r="BF793" i="2"/>
  <c r="BE793" i="2"/>
  <c r="BD793" i="2"/>
  <c r="BC793" i="2"/>
  <c r="BB793" i="2"/>
  <c r="BA793" i="2"/>
  <c r="AZ793" i="2"/>
  <c r="AY793" i="2"/>
  <c r="AX793" i="2"/>
  <c r="AW793" i="2"/>
  <c r="CA792" i="2"/>
  <c r="BY792" i="2"/>
  <c r="BX792" i="2"/>
  <c r="BW792" i="2"/>
  <c r="BV792" i="2"/>
  <c r="BU792" i="2"/>
  <c r="BT792" i="2"/>
  <c r="BS792" i="2"/>
  <c r="BR792" i="2"/>
  <c r="BQ792" i="2"/>
  <c r="BP792" i="2"/>
  <c r="BO792" i="2"/>
  <c r="BN792" i="2"/>
  <c r="BM792" i="2"/>
  <c r="BL792" i="2"/>
  <c r="BK792" i="2"/>
  <c r="BJ792" i="2"/>
  <c r="BI792" i="2"/>
  <c r="BH792" i="2"/>
  <c r="BG792" i="2"/>
  <c r="BF792" i="2"/>
  <c r="BE792" i="2"/>
  <c r="BD792" i="2"/>
  <c r="BC792" i="2"/>
  <c r="BB792" i="2"/>
  <c r="BA792" i="2"/>
  <c r="AZ792" i="2"/>
  <c r="AY792" i="2"/>
  <c r="AX792" i="2"/>
  <c r="AW792" i="2"/>
  <c r="CA791" i="2"/>
  <c r="BY791" i="2"/>
  <c r="BX791" i="2"/>
  <c r="BW791" i="2"/>
  <c r="BV791" i="2"/>
  <c r="BU791" i="2"/>
  <c r="BT791" i="2"/>
  <c r="BS791" i="2"/>
  <c r="BR791" i="2"/>
  <c r="BQ791" i="2"/>
  <c r="BP791" i="2"/>
  <c r="BO791" i="2"/>
  <c r="BN791" i="2"/>
  <c r="BM791" i="2"/>
  <c r="BL791" i="2"/>
  <c r="BK791" i="2"/>
  <c r="BJ791" i="2"/>
  <c r="BI791" i="2"/>
  <c r="BH791" i="2"/>
  <c r="BG791" i="2"/>
  <c r="BF791" i="2"/>
  <c r="BE791" i="2"/>
  <c r="BD791" i="2"/>
  <c r="BC791" i="2"/>
  <c r="BB791" i="2"/>
  <c r="BA791" i="2"/>
  <c r="AZ791" i="2"/>
  <c r="AY791" i="2"/>
  <c r="AX791" i="2"/>
  <c r="AW791" i="2"/>
  <c r="CA790" i="2"/>
  <c r="BY790" i="2"/>
  <c r="BX790" i="2"/>
  <c r="BW790" i="2"/>
  <c r="BV790" i="2"/>
  <c r="BU790" i="2"/>
  <c r="BT790" i="2"/>
  <c r="BS790" i="2"/>
  <c r="BR790" i="2"/>
  <c r="BQ790" i="2"/>
  <c r="BP790" i="2"/>
  <c r="BO790" i="2"/>
  <c r="BN790" i="2"/>
  <c r="BM790" i="2"/>
  <c r="BL790" i="2"/>
  <c r="BK790" i="2"/>
  <c r="BJ790" i="2"/>
  <c r="BI790" i="2"/>
  <c r="BH790" i="2"/>
  <c r="BG790" i="2"/>
  <c r="BF790" i="2"/>
  <c r="BE790" i="2"/>
  <c r="BD790" i="2"/>
  <c r="BC790" i="2"/>
  <c r="BB790" i="2"/>
  <c r="BA790" i="2"/>
  <c r="AZ790" i="2"/>
  <c r="AY790" i="2"/>
  <c r="AX790" i="2"/>
  <c r="AW790" i="2"/>
  <c r="CA789" i="2"/>
  <c r="BY789" i="2"/>
  <c r="BX789" i="2"/>
  <c r="BW789" i="2"/>
  <c r="BV789" i="2"/>
  <c r="BU789" i="2"/>
  <c r="BT789" i="2"/>
  <c r="BS789" i="2"/>
  <c r="BR789" i="2"/>
  <c r="BQ789" i="2"/>
  <c r="BP789" i="2"/>
  <c r="BO789" i="2"/>
  <c r="BN789" i="2"/>
  <c r="BM789" i="2"/>
  <c r="BL789" i="2"/>
  <c r="BK789" i="2"/>
  <c r="BJ789" i="2"/>
  <c r="BI789" i="2"/>
  <c r="BH789" i="2"/>
  <c r="BG789" i="2"/>
  <c r="BF789" i="2"/>
  <c r="BE789" i="2"/>
  <c r="BD789" i="2"/>
  <c r="BC789" i="2"/>
  <c r="BB789" i="2"/>
  <c r="BA789" i="2"/>
  <c r="AZ789" i="2"/>
  <c r="AY789" i="2"/>
  <c r="AX789" i="2"/>
  <c r="AW789" i="2"/>
  <c r="CA788" i="2"/>
  <c r="BY788" i="2"/>
  <c r="BX788" i="2"/>
  <c r="BW788" i="2"/>
  <c r="BV788" i="2"/>
  <c r="BU788" i="2"/>
  <c r="BT788" i="2"/>
  <c r="BS788" i="2"/>
  <c r="BR788" i="2"/>
  <c r="BQ788" i="2"/>
  <c r="BP788" i="2"/>
  <c r="BO788" i="2"/>
  <c r="BN788" i="2"/>
  <c r="BM788" i="2"/>
  <c r="BL788" i="2"/>
  <c r="BK788" i="2"/>
  <c r="BJ788" i="2"/>
  <c r="BI788" i="2"/>
  <c r="BH788" i="2"/>
  <c r="BG788" i="2"/>
  <c r="BF788" i="2"/>
  <c r="BE788" i="2"/>
  <c r="BD788" i="2"/>
  <c r="BC788" i="2"/>
  <c r="BB788" i="2"/>
  <c r="BA788" i="2"/>
  <c r="AZ788" i="2"/>
  <c r="AY788" i="2"/>
  <c r="AX788" i="2"/>
  <c r="AW788" i="2"/>
  <c r="CA787" i="2"/>
  <c r="BY787" i="2"/>
  <c r="BX787" i="2"/>
  <c r="BW787" i="2"/>
  <c r="BV787" i="2"/>
  <c r="BU787" i="2"/>
  <c r="BT787" i="2"/>
  <c r="BS787" i="2"/>
  <c r="BR787" i="2"/>
  <c r="BQ787" i="2"/>
  <c r="BP787" i="2"/>
  <c r="BO787" i="2"/>
  <c r="BN787" i="2"/>
  <c r="BM787" i="2"/>
  <c r="BL787" i="2"/>
  <c r="BK787" i="2"/>
  <c r="BJ787" i="2"/>
  <c r="BI787" i="2"/>
  <c r="BH787" i="2"/>
  <c r="BG787" i="2"/>
  <c r="BF787" i="2"/>
  <c r="BE787" i="2"/>
  <c r="BD787" i="2"/>
  <c r="BC787" i="2"/>
  <c r="BB787" i="2"/>
  <c r="BA787" i="2"/>
  <c r="AZ787" i="2"/>
  <c r="AY787" i="2"/>
  <c r="AX787" i="2"/>
  <c r="AW787" i="2"/>
  <c r="CA786" i="2"/>
  <c r="BY786" i="2"/>
  <c r="BX786" i="2"/>
  <c r="BW786" i="2"/>
  <c r="BV786" i="2"/>
  <c r="BU786" i="2"/>
  <c r="BT786" i="2"/>
  <c r="BS786" i="2"/>
  <c r="BR786" i="2"/>
  <c r="BQ786" i="2"/>
  <c r="BP786" i="2"/>
  <c r="BO786" i="2"/>
  <c r="BN786" i="2"/>
  <c r="BM786" i="2"/>
  <c r="BL786" i="2"/>
  <c r="BK786" i="2"/>
  <c r="BJ786" i="2"/>
  <c r="BI786" i="2"/>
  <c r="BH786" i="2"/>
  <c r="BG786" i="2"/>
  <c r="BF786" i="2"/>
  <c r="BE786" i="2"/>
  <c r="BD786" i="2"/>
  <c r="BC786" i="2"/>
  <c r="BB786" i="2"/>
  <c r="BA786" i="2"/>
  <c r="AZ786" i="2"/>
  <c r="AY786" i="2"/>
  <c r="AX786" i="2"/>
  <c r="AW786" i="2"/>
  <c r="CA785" i="2"/>
  <c r="BY785" i="2"/>
  <c r="BX785" i="2"/>
  <c r="BW785" i="2"/>
  <c r="BV785" i="2"/>
  <c r="BU785" i="2"/>
  <c r="BT785" i="2"/>
  <c r="BS785" i="2"/>
  <c r="BR785" i="2"/>
  <c r="BQ785" i="2"/>
  <c r="BP785" i="2"/>
  <c r="BO785" i="2"/>
  <c r="BN785" i="2"/>
  <c r="BM785" i="2"/>
  <c r="BL785" i="2"/>
  <c r="BK785" i="2"/>
  <c r="BJ785" i="2"/>
  <c r="BI785" i="2"/>
  <c r="BH785" i="2"/>
  <c r="BG785" i="2"/>
  <c r="BF785" i="2"/>
  <c r="BE785" i="2"/>
  <c r="BD785" i="2"/>
  <c r="BC785" i="2"/>
  <c r="BB785" i="2"/>
  <c r="BA785" i="2"/>
  <c r="AZ785" i="2"/>
  <c r="AY785" i="2"/>
  <c r="AX785" i="2"/>
  <c r="AW785" i="2"/>
  <c r="CA784" i="2"/>
  <c r="BY784" i="2"/>
  <c r="BX784" i="2"/>
  <c r="BW784" i="2"/>
  <c r="BV784" i="2"/>
  <c r="BU784" i="2"/>
  <c r="BT784" i="2"/>
  <c r="BS784" i="2"/>
  <c r="BR784" i="2"/>
  <c r="BQ784" i="2"/>
  <c r="BP784" i="2"/>
  <c r="BO784" i="2"/>
  <c r="BN784" i="2"/>
  <c r="BM784" i="2"/>
  <c r="BL784" i="2"/>
  <c r="BK784" i="2"/>
  <c r="BJ784" i="2"/>
  <c r="BI784" i="2"/>
  <c r="BH784" i="2"/>
  <c r="BG784" i="2"/>
  <c r="BF784" i="2"/>
  <c r="BE784" i="2"/>
  <c r="BD784" i="2"/>
  <c r="BC784" i="2"/>
  <c r="BB784" i="2"/>
  <c r="BA784" i="2"/>
  <c r="AZ784" i="2"/>
  <c r="AY784" i="2"/>
  <c r="AX784" i="2"/>
  <c r="AW784" i="2"/>
  <c r="CA783" i="2"/>
  <c r="BY783" i="2"/>
  <c r="BX783" i="2"/>
  <c r="BW783" i="2"/>
  <c r="BV783" i="2"/>
  <c r="BU783" i="2"/>
  <c r="BT783" i="2"/>
  <c r="BS783" i="2"/>
  <c r="BR783" i="2"/>
  <c r="BQ783" i="2"/>
  <c r="BP783" i="2"/>
  <c r="BO783" i="2"/>
  <c r="BN783" i="2"/>
  <c r="BM783" i="2"/>
  <c r="BL783" i="2"/>
  <c r="BK783" i="2"/>
  <c r="BJ783" i="2"/>
  <c r="BI783" i="2"/>
  <c r="BH783" i="2"/>
  <c r="BG783" i="2"/>
  <c r="BF783" i="2"/>
  <c r="BE783" i="2"/>
  <c r="BD783" i="2"/>
  <c r="BC783" i="2"/>
  <c r="BB783" i="2"/>
  <c r="BA783" i="2"/>
  <c r="AZ783" i="2"/>
  <c r="AY783" i="2"/>
  <c r="AX783" i="2"/>
  <c r="AW783" i="2"/>
  <c r="CA782" i="2"/>
  <c r="BY782" i="2"/>
  <c r="BX782" i="2"/>
  <c r="BW782" i="2"/>
  <c r="BV782" i="2"/>
  <c r="BU782" i="2"/>
  <c r="BT782" i="2"/>
  <c r="BS782" i="2"/>
  <c r="BR782" i="2"/>
  <c r="BQ782" i="2"/>
  <c r="BP782" i="2"/>
  <c r="BO782" i="2"/>
  <c r="BN782" i="2"/>
  <c r="BM782" i="2"/>
  <c r="BL782" i="2"/>
  <c r="BK782" i="2"/>
  <c r="BJ782" i="2"/>
  <c r="BI782" i="2"/>
  <c r="BH782" i="2"/>
  <c r="BG782" i="2"/>
  <c r="BF782" i="2"/>
  <c r="BE782" i="2"/>
  <c r="BD782" i="2"/>
  <c r="BC782" i="2"/>
  <c r="BB782" i="2"/>
  <c r="BA782" i="2"/>
  <c r="AZ782" i="2"/>
  <c r="AY782" i="2"/>
  <c r="AX782" i="2"/>
  <c r="AW782" i="2"/>
  <c r="CA781" i="2"/>
  <c r="BY781" i="2"/>
  <c r="BX781" i="2"/>
  <c r="BW781" i="2"/>
  <c r="BV781" i="2"/>
  <c r="BU781" i="2"/>
  <c r="BT781" i="2"/>
  <c r="BS781" i="2"/>
  <c r="BR781" i="2"/>
  <c r="BQ781" i="2"/>
  <c r="BP781" i="2"/>
  <c r="BO781" i="2"/>
  <c r="BN781" i="2"/>
  <c r="BM781" i="2"/>
  <c r="BL781" i="2"/>
  <c r="BK781" i="2"/>
  <c r="BJ781" i="2"/>
  <c r="BI781" i="2"/>
  <c r="BH781" i="2"/>
  <c r="BG781" i="2"/>
  <c r="BF781" i="2"/>
  <c r="BE781" i="2"/>
  <c r="BD781" i="2"/>
  <c r="BC781" i="2"/>
  <c r="BB781" i="2"/>
  <c r="BA781" i="2"/>
  <c r="AZ781" i="2"/>
  <c r="AY781" i="2"/>
  <c r="AX781" i="2"/>
  <c r="AW781" i="2"/>
  <c r="CA780" i="2"/>
  <c r="BY780" i="2"/>
  <c r="BX780" i="2"/>
  <c r="BW780" i="2"/>
  <c r="BV780" i="2"/>
  <c r="BU780" i="2"/>
  <c r="BT780" i="2"/>
  <c r="BS780" i="2"/>
  <c r="BR780" i="2"/>
  <c r="BQ780" i="2"/>
  <c r="BP780" i="2"/>
  <c r="BO780" i="2"/>
  <c r="BN780" i="2"/>
  <c r="BM780" i="2"/>
  <c r="BL780" i="2"/>
  <c r="BK780" i="2"/>
  <c r="BJ780" i="2"/>
  <c r="BI780" i="2"/>
  <c r="BH780" i="2"/>
  <c r="BG780" i="2"/>
  <c r="BF780" i="2"/>
  <c r="BE780" i="2"/>
  <c r="BD780" i="2"/>
  <c r="BC780" i="2"/>
  <c r="BB780" i="2"/>
  <c r="BA780" i="2"/>
  <c r="AZ780" i="2"/>
  <c r="AY780" i="2"/>
  <c r="AX780" i="2"/>
  <c r="AW780" i="2"/>
  <c r="CA779" i="2"/>
  <c r="BY779" i="2"/>
  <c r="BX779" i="2"/>
  <c r="BW779" i="2"/>
  <c r="BV779" i="2"/>
  <c r="BU779" i="2"/>
  <c r="BT779" i="2"/>
  <c r="BS779" i="2"/>
  <c r="BR779" i="2"/>
  <c r="BQ779" i="2"/>
  <c r="BP779" i="2"/>
  <c r="BO779" i="2"/>
  <c r="BN779" i="2"/>
  <c r="BM779" i="2"/>
  <c r="BL779" i="2"/>
  <c r="BK779" i="2"/>
  <c r="BJ779" i="2"/>
  <c r="BI779" i="2"/>
  <c r="BH779" i="2"/>
  <c r="BG779" i="2"/>
  <c r="BF779" i="2"/>
  <c r="BE779" i="2"/>
  <c r="BD779" i="2"/>
  <c r="BC779" i="2"/>
  <c r="BB779" i="2"/>
  <c r="BA779" i="2"/>
  <c r="AZ779" i="2"/>
  <c r="AY779" i="2"/>
  <c r="AX779" i="2"/>
  <c r="AW779" i="2"/>
  <c r="CA778" i="2"/>
  <c r="BY778" i="2"/>
  <c r="BX778" i="2"/>
  <c r="BW778" i="2"/>
  <c r="BV778" i="2"/>
  <c r="BU778" i="2"/>
  <c r="BT778" i="2"/>
  <c r="BS778" i="2"/>
  <c r="BR778" i="2"/>
  <c r="BQ778" i="2"/>
  <c r="BP778" i="2"/>
  <c r="BO778" i="2"/>
  <c r="BN778" i="2"/>
  <c r="BM778" i="2"/>
  <c r="BL778" i="2"/>
  <c r="BK778" i="2"/>
  <c r="BJ778" i="2"/>
  <c r="BI778" i="2"/>
  <c r="BH778" i="2"/>
  <c r="BG778" i="2"/>
  <c r="BF778" i="2"/>
  <c r="BE778" i="2"/>
  <c r="BD778" i="2"/>
  <c r="BC778" i="2"/>
  <c r="BB778" i="2"/>
  <c r="BA778" i="2"/>
  <c r="AZ778" i="2"/>
  <c r="AY778" i="2"/>
  <c r="AX778" i="2"/>
  <c r="AW778" i="2"/>
  <c r="CA777" i="2"/>
  <c r="BY777" i="2"/>
  <c r="BX777" i="2"/>
  <c r="BW777" i="2"/>
  <c r="BV777" i="2"/>
  <c r="BU777" i="2"/>
  <c r="BT777" i="2"/>
  <c r="BS777" i="2"/>
  <c r="BR777" i="2"/>
  <c r="BQ777" i="2"/>
  <c r="BP777" i="2"/>
  <c r="BO777" i="2"/>
  <c r="BN777" i="2"/>
  <c r="BM777" i="2"/>
  <c r="BL777" i="2"/>
  <c r="BK777" i="2"/>
  <c r="BJ777" i="2"/>
  <c r="BI777" i="2"/>
  <c r="BH777" i="2"/>
  <c r="BG777" i="2"/>
  <c r="BF777" i="2"/>
  <c r="BE777" i="2"/>
  <c r="BD777" i="2"/>
  <c r="BC777" i="2"/>
  <c r="BB777" i="2"/>
  <c r="BA777" i="2"/>
  <c r="AZ777" i="2"/>
  <c r="AY777" i="2"/>
  <c r="AX777" i="2"/>
  <c r="AW777" i="2"/>
  <c r="CA776" i="2"/>
  <c r="BY776" i="2"/>
  <c r="BX776" i="2"/>
  <c r="BW776" i="2"/>
  <c r="BV776" i="2"/>
  <c r="BU776" i="2"/>
  <c r="BT776" i="2"/>
  <c r="BS776" i="2"/>
  <c r="BR776" i="2"/>
  <c r="BQ776" i="2"/>
  <c r="BP776" i="2"/>
  <c r="BO776" i="2"/>
  <c r="BN776" i="2"/>
  <c r="BM776" i="2"/>
  <c r="BL776" i="2"/>
  <c r="BK776" i="2"/>
  <c r="BJ776" i="2"/>
  <c r="BI776" i="2"/>
  <c r="BH776" i="2"/>
  <c r="BG776" i="2"/>
  <c r="BF776" i="2"/>
  <c r="BE776" i="2"/>
  <c r="BD776" i="2"/>
  <c r="BC776" i="2"/>
  <c r="BB776" i="2"/>
  <c r="BA776" i="2"/>
  <c r="AZ776" i="2"/>
  <c r="AY776" i="2"/>
  <c r="AX776" i="2"/>
  <c r="AW776" i="2"/>
  <c r="CA775" i="2"/>
  <c r="BY775" i="2"/>
  <c r="BX775" i="2"/>
  <c r="BW775" i="2"/>
  <c r="BV775" i="2"/>
  <c r="BU775" i="2"/>
  <c r="BT775" i="2"/>
  <c r="BS775" i="2"/>
  <c r="BR775" i="2"/>
  <c r="BQ775" i="2"/>
  <c r="BP775" i="2"/>
  <c r="BO775" i="2"/>
  <c r="BN775" i="2"/>
  <c r="BM775" i="2"/>
  <c r="BL775" i="2"/>
  <c r="BK775" i="2"/>
  <c r="BJ775" i="2"/>
  <c r="BI775" i="2"/>
  <c r="BH775" i="2"/>
  <c r="BG775" i="2"/>
  <c r="BF775" i="2"/>
  <c r="BE775" i="2"/>
  <c r="BD775" i="2"/>
  <c r="BC775" i="2"/>
  <c r="BB775" i="2"/>
  <c r="BA775" i="2"/>
  <c r="AZ775" i="2"/>
  <c r="AY775" i="2"/>
  <c r="AX775" i="2"/>
  <c r="AW775" i="2"/>
  <c r="CA774" i="2"/>
  <c r="BY774" i="2"/>
  <c r="BX774" i="2"/>
  <c r="BW774" i="2"/>
  <c r="BV774" i="2"/>
  <c r="BU774" i="2"/>
  <c r="BT774" i="2"/>
  <c r="BS774" i="2"/>
  <c r="BR774" i="2"/>
  <c r="BQ774" i="2"/>
  <c r="BP774" i="2"/>
  <c r="BO774" i="2"/>
  <c r="BN774" i="2"/>
  <c r="BM774" i="2"/>
  <c r="BL774" i="2"/>
  <c r="BK774" i="2"/>
  <c r="BJ774" i="2"/>
  <c r="BI774" i="2"/>
  <c r="BH774" i="2"/>
  <c r="BG774" i="2"/>
  <c r="BF774" i="2"/>
  <c r="BE774" i="2"/>
  <c r="BD774" i="2"/>
  <c r="BC774" i="2"/>
  <c r="BB774" i="2"/>
  <c r="BA774" i="2"/>
  <c r="AZ774" i="2"/>
  <c r="AY774" i="2"/>
  <c r="AX774" i="2"/>
  <c r="AW774" i="2"/>
  <c r="CA773" i="2"/>
  <c r="BY773" i="2"/>
  <c r="BX773" i="2"/>
  <c r="BW773" i="2"/>
  <c r="BV773" i="2"/>
  <c r="BU773" i="2"/>
  <c r="BT773" i="2"/>
  <c r="BS773" i="2"/>
  <c r="BR773" i="2"/>
  <c r="BQ773" i="2"/>
  <c r="BP773" i="2"/>
  <c r="BO773" i="2"/>
  <c r="BN773" i="2"/>
  <c r="BM773" i="2"/>
  <c r="BL773" i="2"/>
  <c r="BK773" i="2"/>
  <c r="BJ773" i="2"/>
  <c r="BI773" i="2"/>
  <c r="BH773" i="2"/>
  <c r="BG773" i="2"/>
  <c r="BF773" i="2"/>
  <c r="BE773" i="2"/>
  <c r="BD773" i="2"/>
  <c r="BC773" i="2"/>
  <c r="BB773" i="2"/>
  <c r="BA773" i="2"/>
  <c r="AZ773" i="2"/>
  <c r="AY773" i="2"/>
  <c r="AX773" i="2"/>
  <c r="AW773" i="2"/>
  <c r="CA772" i="2"/>
  <c r="BY772" i="2"/>
  <c r="BX772" i="2"/>
  <c r="BW772" i="2"/>
  <c r="BV772" i="2"/>
  <c r="BU772" i="2"/>
  <c r="BT772" i="2"/>
  <c r="BS772" i="2"/>
  <c r="BR772" i="2"/>
  <c r="BQ772" i="2"/>
  <c r="BP772" i="2"/>
  <c r="BO772" i="2"/>
  <c r="BN772" i="2"/>
  <c r="BM772" i="2"/>
  <c r="BL772" i="2"/>
  <c r="BK772" i="2"/>
  <c r="BJ772" i="2"/>
  <c r="BI772" i="2"/>
  <c r="BH772" i="2"/>
  <c r="BG772" i="2"/>
  <c r="BF772" i="2"/>
  <c r="BE772" i="2"/>
  <c r="BD772" i="2"/>
  <c r="BC772" i="2"/>
  <c r="BB772" i="2"/>
  <c r="BA772" i="2"/>
  <c r="AZ772" i="2"/>
  <c r="AY772" i="2"/>
  <c r="AX772" i="2"/>
  <c r="AW772" i="2"/>
  <c r="CA771" i="2"/>
  <c r="BY771" i="2"/>
  <c r="BX771" i="2"/>
  <c r="BW771" i="2"/>
  <c r="BV771" i="2"/>
  <c r="BU771" i="2"/>
  <c r="BT771" i="2"/>
  <c r="BS771" i="2"/>
  <c r="BR771" i="2"/>
  <c r="BQ771" i="2"/>
  <c r="BP771" i="2"/>
  <c r="BO771" i="2"/>
  <c r="BN771" i="2"/>
  <c r="BM771" i="2"/>
  <c r="BL771" i="2"/>
  <c r="BK771" i="2"/>
  <c r="BJ771" i="2"/>
  <c r="BI771" i="2"/>
  <c r="BH771" i="2"/>
  <c r="BG771" i="2"/>
  <c r="BF771" i="2"/>
  <c r="BE771" i="2"/>
  <c r="BD771" i="2"/>
  <c r="BC771" i="2"/>
  <c r="BB771" i="2"/>
  <c r="BA771" i="2"/>
  <c r="AZ771" i="2"/>
  <c r="AY771" i="2"/>
  <c r="AX771" i="2"/>
  <c r="AW771" i="2"/>
  <c r="CA770" i="2"/>
  <c r="BY770" i="2"/>
  <c r="BX770" i="2"/>
  <c r="BW770" i="2"/>
  <c r="BV770" i="2"/>
  <c r="BU770" i="2"/>
  <c r="BT770" i="2"/>
  <c r="BS770" i="2"/>
  <c r="BR770" i="2"/>
  <c r="BQ770" i="2"/>
  <c r="BP770" i="2"/>
  <c r="BO770" i="2"/>
  <c r="BN770" i="2"/>
  <c r="BM770" i="2"/>
  <c r="BL770" i="2"/>
  <c r="BK770" i="2"/>
  <c r="BJ770" i="2"/>
  <c r="BI770" i="2"/>
  <c r="BH770" i="2"/>
  <c r="BG770" i="2"/>
  <c r="BF770" i="2"/>
  <c r="BE770" i="2"/>
  <c r="BD770" i="2"/>
  <c r="BC770" i="2"/>
  <c r="BB770" i="2"/>
  <c r="BA770" i="2"/>
  <c r="AZ770" i="2"/>
  <c r="AY770" i="2"/>
  <c r="AX770" i="2"/>
  <c r="AW770" i="2"/>
  <c r="CA769" i="2"/>
  <c r="BY769" i="2"/>
  <c r="BX769" i="2"/>
  <c r="BW769" i="2"/>
  <c r="BV769" i="2"/>
  <c r="BU769" i="2"/>
  <c r="BT769" i="2"/>
  <c r="BS769" i="2"/>
  <c r="BR769" i="2"/>
  <c r="BQ769" i="2"/>
  <c r="BP769" i="2"/>
  <c r="BO769" i="2"/>
  <c r="BN769" i="2"/>
  <c r="BM769" i="2"/>
  <c r="BL769" i="2"/>
  <c r="BK769" i="2"/>
  <c r="BJ769" i="2"/>
  <c r="BI769" i="2"/>
  <c r="BH769" i="2"/>
  <c r="BG769" i="2"/>
  <c r="BF769" i="2"/>
  <c r="BE769" i="2"/>
  <c r="BD769" i="2"/>
  <c r="BC769" i="2"/>
  <c r="BB769" i="2"/>
  <c r="BA769" i="2"/>
  <c r="AZ769" i="2"/>
  <c r="AY769" i="2"/>
  <c r="AX769" i="2"/>
  <c r="AW769" i="2"/>
  <c r="CA768" i="2"/>
  <c r="BY768" i="2"/>
  <c r="BX768" i="2"/>
  <c r="BW768" i="2"/>
  <c r="BV768" i="2"/>
  <c r="BU768" i="2"/>
  <c r="BT768" i="2"/>
  <c r="BS768" i="2"/>
  <c r="BR768" i="2"/>
  <c r="BQ768" i="2"/>
  <c r="BP768" i="2"/>
  <c r="BO768" i="2"/>
  <c r="BN768" i="2"/>
  <c r="BM768" i="2"/>
  <c r="BL768" i="2"/>
  <c r="BK768" i="2"/>
  <c r="BJ768" i="2"/>
  <c r="BI768" i="2"/>
  <c r="BH768" i="2"/>
  <c r="BG768" i="2"/>
  <c r="BF768" i="2"/>
  <c r="BE768" i="2"/>
  <c r="BD768" i="2"/>
  <c r="BC768" i="2"/>
  <c r="BB768" i="2"/>
  <c r="BA768" i="2"/>
  <c r="AZ768" i="2"/>
  <c r="AY768" i="2"/>
  <c r="AX768" i="2"/>
  <c r="AW768" i="2"/>
  <c r="CA767" i="2"/>
  <c r="BY767" i="2"/>
  <c r="BX767" i="2"/>
  <c r="BW767" i="2"/>
  <c r="BV767" i="2"/>
  <c r="BU767" i="2"/>
  <c r="BT767" i="2"/>
  <c r="BS767" i="2"/>
  <c r="BR767" i="2"/>
  <c r="BQ767" i="2"/>
  <c r="BP767" i="2"/>
  <c r="BO767" i="2"/>
  <c r="BN767" i="2"/>
  <c r="BM767" i="2"/>
  <c r="BL767" i="2"/>
  <c r="BK767" i="2"/>
  <c r="BJ767" i="2"/>
  <c r="BI767" i="2"/>
  <c r="BH767" i="2"/>
  <c r="BG767" i="2"/>
  <c r="BF767" i="2"/>
  <c r="BE767" i="2"/>
  <c r="BD767" i="2"/>
  <c r="BC767" i="2"/>
  <c r="BB767" i="2"/>
  <c r="BA767" i="2"/>
  <c r="AZ767" i="2"/>
  <c r="AY767" i="2"/>
  <c r="AX767" i="2"/>
  <c r="AW767" i="2"/>
  <c r="CA766" i="2"/>
  <c r="BY766" i="2"/>
  <c r="BX766" i="2"/>
  <c r="BW766" i="2"/>
  <c r="BV766" i="2"/>
  <c r="BU766" i="2"/>
  <c r="BT766" i="2"/>
  <c r="BS766" i="2"/>
  <c r="BR766" i="2"/>
  <c r="BQ766" i="2"/>
  <c r="BP766" i="2"/>
  <c r="BO766" i="2"/>
  <c r="BN766" i="2"/>
  <c r="BM766" i="2"/>
  <c r="BL766" i="2"/>
  <c r="BK766" i="2"/>
  <c r="BJ766" i="2"/>
  <c r="BI766" i="2"/>
  <c r="BH766" i="2"/>
  <c r="BG766" i="2"/>
  <c r="BF766" i="2"/>
  <c r="BE766" i="2"/>
  <c r="BD766" i="2"/>
  <c r="BC766" i="2"/>
  <c r="BB766" i="2"/>
  <c r="BA766" i="2"/>
  <c r="AZ766" i="2"/>
  <c r="AY766" i="2"/>
  <c r="AX766" i="2"/>
  <c r="AW766" i="2"/>
  <c r="CA765" i="2"/>
  <c r="BY765" i="2"/>
  <c r="BX765" i="2"/>
  <c r="BW765" i="2"/>
  <c r="BV765" i="2"/>
  <c r="BU765" i="2"/>
  <c r="BT765" i="2"/>
  <c r="BS765" i="2"/>
  <c r="BR765" i="2"/>
  <c r="BQ765" i="2"/>
  <c r="BP765" i="2"/>
  <c r="BO765" i="2"/>
  <c r="BN765" i="2"/>
  <c r="BM765" i="2"/>
  <c r="BL765" i="2"/>
  <c r="BK765" i="2"/>
  <c r="BJ765" i="2"/>
  <c r="BI765" i="2"/>
  <c r="BH765" i="2"/>
  <c r="BG765" i="2"/>
  <c r="BF765" i="2"/>
  <c r="BE765" i="2"/>
  <c r="BD765" i="2"/>
  <c r="BC765" i="2"/>
  <c r="BB765" i="2"/>
  <c r="BA765" i="2"/>
  <c r="AZ765" i="2"/>
  <c r="AY765" i="2"/>
  <c r="AX765" i="2"/>
  <c r="AW765" i="2"/>
  <c r="CA764" i="2"/>
  <c r="BY764" i="2"/>
  <c r="BX764" i="2"/>
  <c r="BW764" i="2"/>
  <c r="BV764" i="2"/>
  <c r="BU764" i="2"/>
  <c r="BT764" i="2"/>
  <c r="BS764" i="2"/>
  <c r="BR764" i="2"/>
  <c r="BQ764" i="2"/>
  <c r="BP764" i="2"/>
  <c r="BO764" i="2"/>
  <c r="BN764" i="2"/>
  <c r="BM764" i="2"/>
  <c r="BL764" i="2"/>
  <c r="BK764" i="2"/>
  <c r="BJ764" i="2"/>
  <c r="BI764" i="2"/>
  <c r="BH764" i="2"/>
  <c r="BG764" i="2"/>
  <c r="BF764" i="2"/>
  <c r="BE764" i="2"/>
  <c r="BD764" i="2"/>
  <c r="BC764" i="2"/>
  <c r="BB764" i="2"/>
  <c r="BA764" i="2"/>
  <c r="AZ764" i="2"/>
  <c r="AY764" i="2"/>
  <c r="AX764" i="2"/>
  <c r="AW764" i="2"/>
  <c r="CA763" i="2"/>
  <c r="BY763" i="2"/>
  <c r="BX763" i="2"/>
  <c r="BW763" i="2"/>
  <c r="BV763" i="2"/>
  <c r="BU763" i="2"/>
  <c r="BT763" i="2"/>
  <c r="BS763" i="2"/>
  <c r="BR763" i="2"/>
  <c r="BQ763" i="2"/>
  <c r="BP763" i="2"/>
  <c r="BO763" i="2"/>
  <c r="BN763" i="2"/>
  <c r="BM763" i="2"/>
  <c r="BL763" i="2"/>
  <c r="BK763" i="2"/>
  <c r="BJ763" i="2"/>
  <c r="BI763" i="2"/>
  <c r="BH763" i="2"/>
  <c r="BG763" i="2"/>
  <c r="BF763" i="2"/>
  <c r="BE763" i="2"/>
  <c r="BD763" i="2"/>
  <c r="BC763" i="2"/>
  <c r="BB763" i="2"/>
  <c r="BA763" i="2"/>
  <c r="AZ763" i="2"/>
  <c r="AY763" i="2"/>
  <c r="AX763" i="2"/>
  <c r="AW763" i="2"/>
  <c r="CA762" i="2"/>
  <c r="BY762" i="2"/>
  <c r="BX762" i="2"/>
  <c r="BW762" i="2"/>
  <c r="BV762" i="2"/>
  <c r="BU762" i="2"/>
  <c r="BT762" i="2"/>
  <c r="BS762" i="2"/>
  <c r="BR762" i="2"/>
  <c r="BQ762" i="2"/>
  <c r="BP762" i="2"/>
  <c r="BO762" i="2"/>
  <c r="BN762" i="2"/>
  <c r="BM762" i="2"/>
  <c r="BL762" i="2"/>
  <c r="BK762" i="2"/>
  <c r="BJ762" i="2"/>
  <c r="BI762" i="2"/>
  <c r="BH762" i="2"/>
  <c r="BG762" i="2"/>
  <c r="BF762" i="2"/>
  <c r="BE762" i="2"/>
  <c r="BD762" i="2"/>
  <c r="BC762" i="2"/>
  <c r="BB762" i="2"/>
  <c r="BA762" i="2"/>
  <c r="AZ762" i="2"/>
  <c r="AY762" i="2"/>
  <c r="AX762" i="2"/>
  <c r="AW762" i="2"/>
  <c r="CA761" i="2"/>
  <c r="BY761" i="2"/>
  <c r="BX761" i="2"/>
  <c r="BW761" i="2"/>
  <c r="BV761" i="2"/>
  <c r="BU761" i="2"/>
  <c r="BT761" i="2"/>
  <c r="BS761" i="2"/>
  <c r="BR761" i="2"/>
  <c r="BQ761" i="2"/>
  <c r="BP761" i="2"/>
  <c r="BO761" i="2"/>
  <c r="BN761" i="2"/>
  <c r="BM761" i="2"/>
  <c r="BL761" i="2"/>
  <c r="BK761" i="2"/>
  <c r="BJ761" i="2"/>
  <c r="BI761" i="2"/>
  <c r="BH761" i="2"/>
  <c r="BG761" i="2"/>
  <c r="BF761" i="2"/>
  <c r="BE761" i="2"/>
  <c r="BD761" i="2"/>
  <c r="BC761" i="2"/>
  <c r="BB761" i="2"/>
  <c r="BA761" i="2"/>
  <c r="AZ761" i="2"/>
  <c r="AY761" i="2"/>
  <c r="AX761" i="2"/>
  <c r="AW761" i="2"/>
  <c r="CA760" i="2"/>
  <c r="BY760" i="2"/>
  <c r="BX760" i="2"/>
  <c r="BW760" i="2"/>
  <c r="BV760" i="2"/>
  <c r="BU760" i="2"/>
  <c r="BT760" i="2"/>
  <c r="BS760" i="2"/>
  <c r="BR760" i="2"/>
  <c r="BQ760" i="2"/>
  <c r="BP760" i="2"/>
  <c r="BO760" i="2"/>
  <c r="BN760" i="2"/>
  <c r="BM760" i="2"/>
  <c r="BL760" i="2"/>
  <c r="BK760" i="2"/>
  <c r="BJ760" i="2"/>
  <c r="BI760" i="2"/>
  <c r="BH760" i="2"/>
  <c r="BG760" i="2"/>
  <c r="BF760" i="2"/>
  <c r="BE760" i="2"/>
  <c r="BD760" i="2"/>
  <c r="BC760" i="2"/>
  <c r="BB760" i="2"/>
  <c r="BA760" i="2"/>
  <c r="AZ760" i="2"/>
  <c r="AY760" i="2"/>
  <c r="AX760" i="2"/>
  <c r="AW760" i="2"/>
  <c r="CA759" i="2"/>
  <c r="BY759" i="2"/>
  <c r="BX759" i="2"/>
  <c r="BW759" i="2"/>
  <c r="BV759" i="2"/>
  <c r="BU759" i="2"/>
  <c r="BT759" i="2"/>
  <c r="BS759" i="2"/>
  <c r="BR759" i="2"/>
  <c r="BQ759" i="2"/>
  <c r="BP759" i="2"/>
  <c r="BO759" i="2"/>
  <c r="BN759" i="2"/>
  <c r="BM759" i="2"/>
  <c r="BL759" i="2"/>
  <c r="BK759" i="2"/>
  <c r="BJ759" i="2"/>
  <c r="BI759" i="2"/>
  <c r="BH759" i="2"/>
  <c r="BG759" i="2"/>
  <c r="BF759" i="2"/>
  <c r="BE759" i="2"/>
  <c r="BD759" i="2"/>
  <c r="BC759" i="2"/>
  <c r="BB759" i="2"/>
  <c r="BA759" i="2"/>
  <c r="AZ759" i="2"/>
  <c r="AY759" i="2"/>
  <c r="AX759" i="2"/>
  <c r="AW759" i="2"/>
  <c r="CA758" i="2"/>
  <c r="BY758" i="2"/>
  <c r="BX758" i="2"/>
  <c r="BW758" i="2"/>
  <c r="BV758" i="2"/>
  <c r="BU758" i="2"/>
  <c r="BT758" i="2"/>
  <c r="BS758" i="2"/>
  <c r="BR758" i="2"/>
  <c r="BQ758" i="2"/>
  <c r="BP758" i="2"/>
  <c r="BO758" i="2"/>
  <c r="BN758" i="2"/>
  <c r="BM758" i="2"/>
  <c r="BL758" i="2"/>
  <c r="BK758" i="2"/>
  <c r="BJ758" i="2"/>
  <c r="BI758" i="2"/>
  <c r="BH758" i="2"/>
  <c r="BG758" i="2"/>
  <c r="BF758" i="2"/>
  <c r="BE758" i="2"/>
  <c r="BD758" i="2"/>
  <c r="BC758" i="2"/>
  <c r="BB758" i="2"/>
  <c r="BA758" i="2"/>
  <c r="AZ758" i="2"/>
  <c r="AY758" i="2"/>
  <c r="AX758" i="2"/>
  <c r="AW758" i="2"/>
  <c r="CA757" i="2"/>
  <c r="BY757" i="2"/>
  <c r="BX757" i="2"/>
  <c r="BW757" i="2"/>
  <c r="BV757" i="2"/>
  <c r="BU757" i="2"/>
  <c r="BT757" i="2"/>
  <c r="BS757" i="2"/>
  <c r="BR757" i="2"/>
  <c r="BQ757" i="2"/>
  <c r="BP757" i="2"/>
  <c r="BO757" i="2"/>
  <c r="BN757" i="2"/>
  <c r="BM757" i="2"/>
  <c r="BL757" i="2"/>
  <c r="BK757" i="2"/>
  <c r="BJ757" i="2"/>
  <c r="BI757" i="2"/>
  <c r="BH757" i="2"/>
  <c r="BG757" i="2"/>
  <c r="BF757" i="2"/>
  <c r="BE757" i="2"/>
  <c r="BD757" i="2"/>
  <c r="BC757" i="2"/>
  <c r="BB757" i="2"/>
  <c r="BA757" i="2"/>
  <c r="AZ757" i="2"/>
  <c r="AY757" i="2"/>
  <c r="AX757" i="2"/>
  <c r="AW757" i="2"/>
  <c r="CA756" i="2"/>
  <c r="BY756" i="2"/>
  <c r="BX756" i="2"/>
  <c r="BW756" i="2"/>
  <c r="BV756" i="2"/>
  <c r="BU756" i="2"/>
  <c r="BT756" i="2"/>
  <c r="BS756" i="2"/>
  <c r="BR756" i="2"/>
  <c r="BQ756" i="2"/>
  <c r="BP756" i="2"/>
  <c r="BO756" i="2"/>
  <c r="BN756" i="2"/>
  <c r="BM756" i="2"/>
  <c r="BL756" i="2"/>
  <c r="BK756" i="2"/>
  <c r="BJ756" i="2"/>
  <c r="BI756" i="2"/>
  <c r="BH756" i="2"/>
  <c r="BG756" i="2"/>
  <c r="BF756" i="2"/>
  <c r="BE756" i="2"/>
  <c r="BD756" i="2"/>
  <c r="BC756" i="2"/>
  <c r="BB756" i="2"/>
  <c r="BA756" i="2"/>
  <c r="AZ756" i="2"/>
  <c r="AY756" i="2"/>
  <c r="AX756" i="2"/>
  <c r="AW756" i="2"/>
  <c r="CA755" i="2"/>
  <c r="BY755" i="2"/>
  <c r="BX755" i="2"/>
  <c r="BW755" i="2"/>
  <c r="BV755" i="2"/>
  <c r="BU755" i="2"/>
  <c r="BT755" i="2"/>
  <c r="BS755" i="2"/>
  <c r="BR755" i="2"/>
  <c r="BQ755" i="2"/>
  <c r="BP755" i="2"/>
  <c r="BO755" i="2"/>
  <c r="BN755" i="2"/>
  <c r="BM755" i="2"/>
  <c r="BL755" i="2"/>
  <c r="BK755" i="2"/>
  <c r="BJ755" i="2"/>
  <c r="BI755" i="2"/>
  <c r="BH755" i="2"/>
  <c r="BG755" i="2"/>
  <c r="BF755" i="2"/>
  <c r="BE755" i="2"/>
  <c r="BD755" i="2"/>
  <c r="BC755" i="2"/>
  <c r="BB755" i="2"/>
  <c r="BA755" i="2"/>
  <c r="AZ755" i="2"/>
  <c r="AY755" i="2"/>
  <c r="AX755" i="2"/>
  <c r="AW755" i="2"/>
  <c r="CA754" i="2"/>
  <c r="BY754" i="2"/>
  <c r="BX754" i="2"/>
  <c r="BW754" i="2"/>
  <c r="BV754" i="2"/>
  <c r="BU754" i="2"/>
  <c r="BT754" i="2"/>
  <c r="BS754" i="2"/>
  <c r="BR754" i="2"/>
  <c r="BQ754" i="2"/>
  <c r="BP754" i="2"/>
  <c r="BO754" i="2"/>
  <c r="BN754" i="2"/>
  <c r="BM754" i="2"/>
  <c r="BL754" i="2"/>
  <c r="BK754" i="2"/>
  <c r="BJ754" i="2"/>
  <c r="BI754" i="2"/>
  <c r="BH754" i="2"/>
  <c r="BG754" i="2"/>
  <c r="BF754" i="2"/>
  <c r="BE754" i="2"/>
  <c r="BD754" i="2"/>
  <c r="BC754" i="2"/>
  <c r="BB754" i="2"/>
  <c r="BA754" i="2"/>
  <c r="AZ754" i="2"/>
  <c r="AY754" i="2"/>
  <c r="AX754" i="2"/>
  <c r="AW754" i="2"/>
  <c r="CA753" i="2"/>
  <c r="BY753" i="2"/>
  <c r="BX753" i="2"/>
  <c r="BW753" i="2"/>
  <c r="BV753" i="2"/>
  <c r="BU753" i="2"/>
  <c r="BT753" i="2"/>
  <c r="BS753" i="2"/>
  <c r="BR753" i="2"/>
  <c r="BQ753" i="2"/>
  <c r="BP753" i="2"/>
  <c r="BO753" i="2"/>
  <c r="BN753" i="2"/>
  <c r="BM753" i="2"/>
  <c r="BL753" i="2"/>
  <c r="BK753" i="2"/>
  <c r="BJ753" i="2"/>
  <c r="BI753" i="2"/>
  <c r="BH753" i="2"/>
  <c r="BG753" i="2"/>
  <c r="BF753" i="2"/>
  <c r="BE753" i="2"/>
  <c r="BD753" i="2"/>
  <c r="BC753" i="2"/>
  <c r="BB753" i="2"/>
  <c r="BA753" i="2"/>
  <c r="AZ753" i="2"/>
  <c r="AY753" i="2"/>
  <c r="AX753" i="2"/>
  <c r="AW753" i="2"/>
  <c r="CA752" i="2"/>
  <c r="BY752" i="2"/>
  <c r="BX752" i="2"/>
  <c r="BW752" i="2"/>
  <c r="BV752" i="2"/>
  <c r="BU752" i="2"/>
  <c r="BT752" i="2"/>
  <c r="BS752" i="2"/>
  <c r="BR752" i="2"/>
  <c r="BQ752" i="2"/>
  <c r="BP752" i="2"/>
  <c r="BO752" i="2"/>
  <c r="BN752" i="2"/>
  <c r="BM752" i="2"/>
  <c r="BL752" i="2"/>
  <c r="BK752" i="2"/>
  <c r="BJ752" i="2"/>
  <c r="BI752" i="2"/>
  <c r="BH752" i="2"/>
  <c r="BG752" i="2"/>
  <c r="BF752" i="2"/>
  <c r="BE752" i="2"/>
  <c r="BD752" i="2"/>
  <c r="BC752" i="2"/>
  <c r="BB752" i="2"/>
  <c r="BA752" i="2"/>
  <c r="AZ752" i="2"/>
  <c r="AY752" i="2"/>
  <c r="AX752" i="2"/>
  <c r="AW752" i="2"/>
  <c r="CA751" i="2"/>
  <c r="BY751" i="2"/>
  <c r="BX751" i="2"/>
  <c r="BW751" i="2"/>
  <c r="BV751" i="2"/>
  <c r="BU751" i="2"/>
  <c r="BT751" i="2"/>
  <c r="BS751" i="2"/>
  <c r="BR751" i="2"/>
  <c r="BQ751" i="2"/>
  <c r="BP751" i="2"/>
  <c r="BO751" i="2"/>
  <c r="BN751" i="2"/>
  <c r="BM751" i="2"/>
  <c r="BL751" i="2"/>
  <c r="BK751" i="2"/>
  <c r="BJ751" i="2"/>
  <c r="BI751" i="2"/>
  <c r="BH751" i="2"/>
  <c r="BG751" i="2"/>
  <c r="BF751" i="2"/>
  <c r="BE751" i="2"/>
  <c r="BD751" i="2"/>
  <c r="BC751" i="2"/>
  <c r="BB751" i="2"/>
  <c r="BA751" i="2"/>
  <c r="AZ751" i="2"/>
  <c r="AY751" i="2"/>
  <c r="AX751" i="2"/>
  <c r="AW751" i="2"/>
  <c r="CA750" i="2"/>
  <c r="BY750" i="2"/>
  <c r="BX750" i="2"/>
  <c r="BW750" i="2"/>
  <c r="BV750" i="2"/>
  <c r="BU750" i="2"/>
  <c r="BT750" i="2"/>
  <c r="BS750" i="2"/>
  <c r="BR750" i="2"/>
  <c r="BQ750" i="2"/>
  <c r="BP750" i="2"/>
  <c r="BO750" i="2"/>
  <c r="BN750" i="2"/>
  <c r="BM750" i="2"/>
  <c r="BL750" i="2"/>
  <c r="BK750" i="2"/>
  <c r="BJ750" i="2"/>
  <c r="BI750" i="2"/>
  <c r="BH750" i="2"/>
  <c r="BG750" i="2"/>
  <c r="BF750" i="2"/>
  <c r="BE750" i="2"/>
  <c r="BD750" i="2"/>
  <c r="BC750" i="2"/>
  <c r="BB750" i="2"/>
  <c r="BA750" i="2"/>
  <c r="AZ750" i="2"/>
  <c r="AY750" i="2"/>
  <c r="AX750" i="2"/>
  <c r="AW750" i="2"/>
  <c r="CA749" i="2"/>
  <c r="BY749" i="2"/>
  <c r="BX749" i="2"/>
  <c r="BW749" i="2"/>
  <c r="BV749" i="2"/>
  <c r="BU749" i="2"/>
  <c r="BT749" i="2"/>
  <c r="BS749" i="2"/>
  <c r="BR749" i="2"/>
  <c r="BQ749" i="2"/>
  <c r="BP749" i="2"/>
  <c r="BO749" i="2"/>
  <c r="BN749" i="2"/>
  <c r="BM749" i="2"/>
  <c r="BL749" i="2"/>
  <c r="BK749" i="2"/>
  <c r="BJ749" i="2"/>
  <c r="BI749" i="2"/>
  <c r="BH749" i="2"/>
  <c r="BG749" i="2"/>
  <c r="BF749" i="2"/>
  <c r="BE749" i="2"/>
  <c r="BD749" i="2"/>
  <c r="BC749" i="2"/>
  <c r="BB749" i="2"/>
  <c r="BA749" i="2"/>
  <c r="AZ749" i="2"/>
  <c r="AY749" i="2"/>
  <c r="AX749" i="2"/>
  <c r="AW749" i="2"/>
  <c r="CA748" i="2"/>
  <c r="BY748" i="2"/>
  <c r="BX748" i="2"/>
  <c r="BW748" i="2"/>
  <c r="BV748" i="2"/>
  <c r="BU748" i="2"/>
  <c r="BT748" i="2"/>
  <c r="BS748" i="2"/>
  <c r="BR748" i="2"/>
  <c r="BQ748" i="2"/>
  <c r="BP748" i="2"/>
  <c r="BO748" i="2"/>
  <c r="BN748" i="2"/>
  <c r="BM748" i="2"/>
  <c r="BL748" i="2"/>
  <c r="BK748" i="2"/>
  <c r="BJ748" i="2"/>
  <c r="BI748" i="2"/>
  <c r="BH748" i="2"/>
  <c r="BG748" i="2"/>
  <c r="BF748" i="2"/>
  <c r="BE748" i="2"/>
  <c r="BD748" i="2"/>
  <c r="BC748" i="2"/>
  <c r="BB748" i="2"/>
  <c r="BA748" i="2"/>
  <c r="AZ748" i="2"/>
  <c r="AY748" i="2"/>
  <c r="AX748" i="2"/>
  <c r="AW748" i="2"/>
  <c r="CA747" i="2"/>
  <c r="BY747" i="2"/>
  <c r="BX747" i="2"/>
  <c r="BW747" i="2"/>
  <c r="BV747" i="2"/>
  <c r="BU747" i="2"/>
  <c r="BT747" i="2"/>
  <c r="BS747" i="2"/>
  <c r="BR747" i="2"/>
  <c r="BQ747" i="2"/>
  <c r="BP747" i="2"/>
  <c r="BO747" i="2"/>
  <c r="BN747" i="2"/>
  <c r="BM747" i="2"/>
  <c r="BL747" i="2"/>
  <c r="BK747" i="2"/>
  <c r="BJ747" i="2"/>
  <c r="BI747" i="2"/>
  <c r="BH747" i="2"/>
  <c r="BG747" i="2"/>
  <c r="BF747" i="2"/>
  <c r="BE747" i="2"/>
  <c r="BD747" i="2"/>
  <c r="BC747" i="2"/>
  <c r="BB747" i="2"/>
  <c r="BA747" i="2"/>
  <c r="AZ747" i="2"/>
  <c r="AY747" i="2"/>
  <c r="AX747" i="2"/>
  <c r="AW747" i="2"/>
  <c r="CA746" i="2"/>
  <c r="BY746" i="2"/>
  <c r="BX746" i="2"/>
  <c r="BW746" i="2"/>
  <c r="BV746" i="2"/>
  <c r="BU746" i="2"/>
  <c r="BT746" i="2"/>
  <c r="BS746" i="2"/>
  <c r="BR746" i="2"/>
  <c r="BQ746" i="2"/>
  <c r="BP746" i="2"/>
  <c r="BO746" i="2"/>
  <c r="BN746" i="2"/>
  <c r="BM746" i="2"/>
  <c r="BL746" i="2"/>
  <c r="BK746" i="2"/>
  <c r="BJ746" i="2"/>
  <c r="BI746" i="2"/>
  <c r="BH746" i="2"/>
  <c r="BG746" i="2"/>
  <c r="BF746" i="2"/>
  <c r="BE746" i="2"/>
  <c r="BD746" i="2"/>
  <c r="BC746" i="2"/>
  <c r="BB746" i="2"/>
  <c r="BA746" i="2"/>
  <c r="AZ746" i="2"/>
  <c r="AY746" i="2"/>
  <c r="AX746" i="2"/>
  <c r="AW746" i="2"/>
  <c r="CA745" i="2"/>
  <c r="BY745" i="2"/>
  <c r="BX745" i="2"/>
  <c r="BW745" i="2"/>
  <c r="BV745" i="2"/>
  <c r="BU745" i="2"/>
  <c r="BT745" i="2"/>
  <c r="BS745" i="2"/>
  <c r="BR745" i="2"/>
  <c r="BQ745" i="2"/>
  <c r="BP745" i="2"/>
  <c r="BO745" i="2"/>
  <c r="BN745" i="2"/>
  <c r="BM745" i="2"/>
  <c r="BL745" i="2"/>
  <c r="BK745" i="2"/>
  <c r="BJ745" i="2"/>
  <c r="BI745" i="2"/>
  <c r="BH745" i="2"/>
  <c r="BG745" i="2"/>
  <c r="BF745" i="2"/>
  <c r="BE745" i="2"/>
  <c r="BD745" i="2"/>
  <c r="BC745" i="2"/>
  <c r="BB745" i="2"/>
  <c r="BA745" i="2"/>
  <c r="AZ745" i="2"/>
  <c r="AY745" i="2"/>
  <c r="AX745" i="2"/>
  <c r="AW745" i="2"/>
  <c r="CA744" i="2"/>
  <c r="BY744" i="2"/>
  <c r="BX744" i="2"/>
  <c r="BW744" i="2"/>
  <c r="BV744" i="2"/>
  <c r="BU744" i="2"/>
  <c r="BT744" i="2"/>
  <c r="BS744" i="2"/>
  <c r="BR744" i="2"/>
  <c r="BQ744" i="2"/>
  <c r="BP744" i="2"/>
  <c r="BO744" i="2"/>
  <c r="BN744" i="2"/>
  <c r="BM744" i="2"/>
  <c r="BL744" i="2"/>
  <c r="BK744" i="2"/>
  <c r="BJ744" i="2"/>
  <c r="BI744" i="2"/>
  <c r="BH744" i="2"/>
  <c r="BG744" i="2"/>
  <c r="BF744" i="2"/>
  <c r="BE744" i="2"/>
  <c r="BD744" i="2"/>
  <c r="BC744" i="2"/>
  <c r="BB744" i="2"/>
  <c r="BA744" i="2"/>
  <c r="AZ744" i="2"/>
  <c r="AY744" i="2"/>
  <c r="AX744" i="2"/>
  <c r="AW744" i="2"/>
  <c r="CA743" i="2"/>
  <c r="BY743" i="2"/>
  <c r="BX743" i="2"/>
  <c r="BW743" i="2"/>
  <c r="BV743" i="2"/>
  <c r="BU743" i="2"/>
  <c r="BT743" i="2"/>
  <c r="BS743" i="2"/>
  <c r="BR743" i="2"/>
  <c r="BQ743" i="2"/>
  <c r="BP743" i="2"/>
  <c r="BO743" i="2"/>
  <c r="BN743" i="2"/>
  <c r="BM743" i="2"/>
  <c r="BL743" i="2"/>
  <c r="BK743" i="2"/>
  <c r="BJ743" i="2"/>
  <c r="BI743" i="2"/>
  <c r="BH743" i="2"/>
  <c r="BG743" i="2"/>
  <c r="BF743" i="2"/>
  <c r="BE743" i="2"/>
  <c r="BD743" i="2"/>
  <c r="BC743" i="2"/>
  <c r="BB743" i="2"/>
  <c r="BA743" i="2"/>
  <c r="AZ743" i="2"/>
  <c r="AY743" i="2"/>
  <c r="AX743" i="2"/>
  <c r="AW743" i="2"/>
  <c r="CA742" i="2"/>
  <c r="BY742" i="2"/>
  <c r="BX742" i="2"/>
  <c r="BW742" i="2"/>
  <c r="BV742" i="2"/>
  <c r="BU742" i="2"/>
  <c r="BT742" i="2"/>
  <c r="BS742" i="2"/>
  <c r="BR742" i="2"/>
  <c r="BQ742" i="2"/>
  <c r="BP742" i="2"/>
  <c r="BO742" i="2"/>
  <c r="BN742" i="2"/>
  <c r="BM742" i="2"/>
  <c r="BL742" i="2"/>
  <c r="BK742" i="2"/>
  <c r="BJ742" i="2"/>
  <c r="BI742" i="2"/>
  <c r="BH742" i="2"/>
  <c r="BG742" i="2"/>
  <c r="BF742" i="2"/>
  <c r="BE742" i="2"/>
  <c r="BD742" i="2"/>
  <c r="BC742" i="2"/>
  <c r="BB742" i="2"/>
  <c r="BA742" i="2"/>
  <c r="AZ742" i="2"/>
  <c r="AY742" i="2"/>
  <c r="AX742" i="2"/>
  <c r="AW742" i="2"/>
  <c r="CA741" i="2"/>
  <c r="BY741" i="2"/>
  <c r="BX741" i="2"/>
  <c r="BW741" i="2"/>
  <c r="BV741" i="2"/>
  <c r="BU741" i="2"/>
  <c r="BT741" i="2"/>
  <c r="BS741" i="2"/>
  <c r="BR741" i="2"/>
  <c r="BQ741" i="2"/>
  <c r="BP741" i="2"/>
  <c r="BO741" i="2"/>
  <c r="BN741" i="2"/>
  <c r="BM741" i="2"/>
  <c r="BL741" i="2"/>
  <c r="BK741" i="2"/>
  <c r="BJ741" i="2"/>
  <c r="BI741" i="2"/>
  <c r="BH741" i="2"/>
  <c r="BG741" i="2"/>
  <c r="BF741" i="2"/>
  <c r="BE741" i="2"/>
  <c r="BD741" i="2"/>
  <c r="BC741" i="2"/>
  <c r="BB741" i="2"/>
  <c r="BA741" i="2"/>
  <c r="AZ741" i="2"/>
  <c r="AY741" i="2"/>
  <c r="AX741" i="2"/>
  <c r="AW741" i="2"/>
  <c r="CA740" i="2"/>
  <c r="BY740" i="2"/>
  <c r="BX740" i="2"/>
  <c r="BW740" i="2"/>
  <c r="BV740" i="2"/>
  <c r="BU740" i="2"/>
  <c r="BT740" i="2"/>
  <c r="BS740" i="2"/>
  <c r="BR740" i="2"/>
  <c r="BQ740" i="2"/>
  <c r="BP740" i="2"/>
  <c r="BO740" i="2"/>
  <c r="BN740" i="2"/>
  <c r="BM740" i="2"/>
  <c r="BL740" i="2"/>
  <c r="BK740" i="2"/>
  <c r="BJ740" i="2"/>
  <c r="BI740" i="2"/>
  <c r="BH740" i="2"/>
  <c r="BG740" i="2"/>
  <c r="BF740" i="2"/>
  <c r="BE740" i="2"/>
  <c r="BD740" i="2"/>
  <c r="BC740" i="2"/>
  <c r="BB740" i="2"/>
  <c r="BA740" i="2"/>
  <c r="AZ740" i="2"/>
  <c r="AY740" i="2"/>
  <c r="AX740" i="2"/>
  <c r="AW740" i="2"/>
  <c r="CA739" i="2"/>
  <c r="BY739" i="2"/>
  <c r="BX739" i="2"/>
  <c r="BW739" i="2"/>
  <c r="BV739" i="2"/>
  <c r="BU739" i="2"/>
  <c r="BT739" i="2"/>
  <c r="BS739" i="2"/>
  <c r="BR739" i="2"/>
  <c r="BQ739" i="2"/>
  <c r="BP739" i="2"/>
  <c r="BO739" i="2"/>
  <c r="BN739" i="2"/>
  <c r="BM739" i="2"/>
  <c r="BL739" i="2"/>
  <c r="BK739" i="2"/>
  <c r="BJ739" i="2"/>
  <c r="BI739" i="2"/>
  <c r="BH739" i="2"/>
  <c r="BG739" i="2"/>
  <c r="BF739" i="2"/>
  <c r="BE739" i="2"/>
  <c r="BD739" i="2"/>
  <c r="BC739" i="2"/>
  <c r="BB739" i="2"/>
  <c r="BA739" i="2"/>
  <c r="AZ739" i="2"/>
  <c r="AY739" i="2"/>
  <c r="AX739" i="2"/>
  <c r="AW739" i="2"/>
  <c r="CA738" i="2"/>
  <c r="BY738" i="2"/>
  <c r="BX738" i="2"/>
  <c r="BW738" i="2"/>
  <c r="BV738" i="2"/>
  <c r="BU738" i="2"/>
  <c r="BT738" i="2"/>
  <c r="BS738" i="2"/>
  <c r="BR738" i="2"/>
  <c r="BQ738" i="2"/>
  <c r="BP738" i="2"/>
  <c r="BO738" i="2"/>
  <c r="BN738" i="2"/>
  <c r="BM738" i="2"/>
  <c r="BL738" i="2"/>
  <c r="BK738" i="2"/>
  <c r="BJ738" i="2"/>
  <c r="BI738" i="2"/>
  <c r="BH738" i="2"/>
  <c r="BG738" i="2"/>
  <c r="BF738" i="2"/>
  <c r="BE738" i="2"/>
  <c r="BD738" i="2"/>
  <c r="BC738" i="2"/>
  <c r="BB738" i="2"/>
  <c r="BA738" i="2"/>
  <c r="AZ738" i="2"/>
  <c r="AY738" i="2"/>
  <c r="AX738" i="2"/>
  <c r="AW738" i="2"/>
  <c r="CA737" i="2"/>
  <c r="BY737" i="2"/>
  <c r="BX737" i="2"/>
  <c r="BW737" i="2"/>
  <c r="BV737" i="2"/>
  <c r="BU737" i="2"/>
  <c r="BT737" i="2"/>
  <c r="BS737" i="2"/>
  <c r="BR737" i="2"/>
  <c r="BQ737" i="2"/>
  <c r="BP737" i="2"/>
  <c r="BO737" i="2"/>
  <c r="BN737" i="2"/>
  <c r="BM737" i="2"/>
  <c r="BL737" i="2"/>
  <c r="BK737" i="2"/>
  <c r="BJ737" i="2"/>
  <c r="BI737" i="2"/>
  <c r="BH737" i="2"/>
  <c r="BG737" i="2"/>
  <c r="BF737" i="2"/>
  <c r="BE737" i="2"/>
  <c r="BD737" i="2"/>
  <c r="BC737" i="2"/>
  <c r="BB737" i="2"/>
  <c r="BA737" i="2"/>
  <c r="AZ737" i="2"/>
  <c r="AY737" i="2"/>
  <c r="AX737" i="2"/>
  <c r="AW737" i="2"/>
  <c r="CA736" i="2"/>
  <c r="BY736" i="2"/>
  <c r="BX736" i="2"/>
  <c r="BW736" i="2"/>
  <c r="BV736" i="2"/>
  <c r="BU736" i="2"/>
  <c r="BT736" i="2"/>
  <c r="BS736" i="2"/>
  <c r="BR736" i="2"/>
  <c r="BQ736" i="2"/>
  <c r="BP736" i="2"/>
  <c r="BO736" i="2"/>
  <c r="BN736" i="2"/>
  <c r="BM736" i="2"/>
  <c r="BL736" i="2"/>
  <c r="BK736" i="2"/>
  <c r="BJ736" i="2"/>
  <c r="BI736" i="2"/>
  <c r="BH736" i="2"/>
  <c r="BG736" i="2"/>
  <c r="BF736" i="2"/>
  <c r="BE736" i="2"/>
  <c r="BD736" i="2"/>
  <c r="BC736" i="2"/>
  <c r="BB736" i="2"/>
  <c r="BA736" i="2"/>
  <c r="AZ736" i="2"/>
  <c r="AY736" i="2"/>
  <c r="AX736" i="2"/>
  <c r="AW736" i="2"/>
  <c r="CA735" i="2"/>
  <c r="BY735" i="2"/>
  <c r="BX735" i="2"/>
  <c r="BW735" i="2"/>
  <c r="BV735" i="2"/>
  <c r="BU735" i="2"/>
  <c r="BT735" i="2"/>
  <c r="BS735" i="2"/>
  <c r="BR735" i="2"/>
  <c r="BQ735" i="2"/>
  <c r="BP735" i="2"/>
  <c r="BO735" i="2"/>
  <c r="BN735" i="2"/>
  <c r="BM735" i="2"/>
  <c r="BL735" i="2"/>
  <c r="BK735" i="2"/>
  <c r="BJ735" i="2"/>
  <c r="BI735" i="2"/>
  <c r="BH735" i="2"/>
  <c r="BG735" i="2"/>
  <c r="BF735" i="2"/>
  <c r="BE735" i="2"/>
  <c r="BD735" i="2"/>
  <c r="BC735" i="2"/>
  <c r="BB735" i="2"/>
  <c r="BA735" i="2"/>
  <c r="AZ735" i="2"/>
  <c r="AY735" i="2"/>
  <c r="AX735" i="2"/>
  <c r="AW735" i="2"/>
  <c r="CA734" i="2"/>
  <c r="BY734" i="2"/>
  <c r="BX734" i="2"/>
  <c r="BW734" i="2"/>
  <c r="BV734" i="2"/>
  <c r="BU734" i="2"/>
  <c r="BT734" i="2"/>
  <c r="BS734" i="2"/>
  <c r="BR734" i="2"/>
  <c r="BQ734" i="2"/>
  <c r="BP734" i="2"/>
  <c r="BO734" i="2"/>
  <c r="BN734" i="2"/>
  <c r="BM734" i="2"/>
  <c r="BL734" i="2"/>
  <c r="BK734" i="2"/>
  <c r="BJ734" i="2"/>
  <c r="BI734" i="2"/>
  <c r="BH734" i="2"/>
  <c r="BG734" i="2"/>
  <c r="BF734" i="2"/>
  <c r="BE734" i="2"/>
  <c r="BD734" i="2"/>
  <c r="BC734" i="2"/>
  <c r="BB734" i="2"/>
  <c r="BA734" i="2"/>
  <c r="AZ734" i="2"/>
  <c r="AY734" i="2"/>
  <c r="AX734" i="2"/>
  <c r="AW734" i="2"/>
  <c r="CA733" i="2"/>
  <c r="BY733" i="2"/>
  <c r="BX733" i="2"/>
  <c r="BW733" i="2"/>
  <c r="BV733" i="2"/>
  <c r="BU733" i="2"/>
  <c r="BT733" i="2"/>
  <c r="BS733" i="2"/>
  <c r="BR733" i="2"/>
  <c r="BQ733" i="2"/>
  <c r="BP733" i="2"/>
  <c r="BO733" i="2"/>
  <c r="BN733" i="2"/>
  <c r="BM733" i="2"/>
  <c r="BL733" i="2"/>
  <c r="BK733" i="2"/>
  <c r="BJ733" i="2"/>
  <c r="BI733" i="2"/>
  <c r="BH733" i="2"/>
  <c r="BG733" i="2"/>
  <c r="BF733" i="2"/>
  <c r="BE733" i="2"/>
  <c r="BD733" i="2"/>
  <c r="BC733" i="2"/>
  <c r="BB733" i="2"/>
  <c r="BA733" i="2"/>
  <c r="AZ733" i="2"/>
  <c r="AY733" i="2"/>
  <c r="AX733" i="2"/>
  <c r="AW733" i="2"/>
  <c r="CA732" i="2"/>
  <c r="BY732" i="2"/>
  <c r="BX732" i="2"/>
  <c r="BW732" i="2"/>
  <c r="BV732" i="2"/>
  <c r="BU732" i="2"/>
  <c r="BT732" i="2"/>
  <c r="BS732" i="2"/>
  <c r="BR732" i="2"/>
  <c r="BQ732" i="2"/>
  <c r="BP732" i="2"/>
  <c r="BO732" i="2"/>
  <c r="BN732" i="2"/>
  <c r="BM732" i="2"/>
  <c r="BL732" i="2"/>
  <c r="BK732" i="2"/>
  <c r="BJ732" i="2"/>
  <c r="BI732" i="2"/>
  <c r="BH732" i="2"/>
  <c r="BG732" i="2"/>
  <c r="BF732" i="2"/>
  <c r="BE732" i="2"/>
  <c r="BD732" i="2"/>
  <c r="BC732" i="2"/>
  <c r="BB732" i="2"/>
  <c r="BA732" i="2"/>
  <c r="AZ732" i="2"/>
  <c r="AY732" i="2"/>
  <c r="AX732" i="2"/>
  <c r="AW732" i="2"/>
  <c r="CA731" i="2"/>
  <c r="BY731" i="2"/>
  <c r="BX731" i="2"/>
  <c r="BW731" i="2"/>
  <c r="BV731" i="2"/>
  <c r="BU731" i="2"/>
  <c r="BT731" i="2"/>
  <c r="BS731" i="2"/>
  <c r="BR731" i="2"/>
  <c r="BQ731" i="2"/>
  <c r="BP731" i="2"/>
  <c r="BO731" i="2"/>
  <c r="BN731" i="2"/>
  <c r="BM731" i="2"/>
  <c r="BL731" i="2"/>
  <c r="BK731" i="2"/>
  <c r="BJ731" i="2"/>
  <c r="BI731" i="2"/>
  <c r="BH731" i="2"/>
  <c r="BG731" i="2"/>
  <c r="BF731" i="2"/>
  <c r="BE731" i="2"/>
  <c r="BD731" i="2"/>
  <c r="BC731" i="2"/>
  <c r="BB731" i="2"/>
  <c r="BA731" i="2"/>
  <c r="AZ731" i="2"/>
  <c r="AY731" i="2"/>
  <c r="AX731" i="2"/>
  <c r="AW731" i="2"/>
  <c r="CA730" i="2"/>
  <c r="BY730" i="2"/>
  <c r="BX730" i="2"/>
  <c r="BW730" i="2"/>
  <c r="BV730" i="2"/>
  <c r="BU730" i="2"/>
  <c r="BT730" i="2"/>
  <c r="BS730" i="2"/>
  <c r="BR730" i="2"/>
  <c r="BQ730" i="2"/>
  <c r="BP730" i="2"/>
  <c r="BO730" i="2"/>
  <c r="BN730" i="2"/>
  <c r="BM730" i="2"/>
  <c r="BL730" i="2"/>
  <c r="BK730" i="2"/>
  <c r="BJ730" i="2"/>
  <c r="BI730" i="2"/>
  <c r="BH730" i="2"/>
  <c r="BG730" i="2"/>
  <c r="BF730" i="2"/>
  <c r="BE730" i="2"/>
  <c r="BD730" i="2"/>
  <c r="BC730" i="2"/>
  <c r="BB730" i="2"/>
  <c r="BA730" i="2"/>
  <c r="AZ730" i="2"/>
  <c r="AY730" i="2"/>
  <c r="AX730" i="2"/>
  <c r="AW730" i="2"/>
  <c r="CA729" i="2"/>
  <c r="BY729" i="2"/>
  <c r="BX729" i="2"/>
  <c r="BW729" i="2"/>
  <c r="BV729" i="2"/>
  <c r="BU729" i="2"/>
  <c r="BT729" i="2"/>
  <c r="BS729" i="2"/>
  <c r="BR729" i="2"/>
  <c r="BQ729" i="2"/>
  <c r="BP729" i="2"/>
  <c r="BO729" i="2"/>
  <c r="BN729" i="2"/>
  <c r="BM729" i="2"/>
  <c r="BL729" i="2"/>
  <c r="BK729" i="2"/>
  <c r="BJ729" i="2"/>
  <c r="BI729" i="2"/>
  <c r="BH729" i="2"/>
  <c r="BG729" i="2"/>
  <c r="BF729" i="2"/>
  <c r="BE729" i="2"/>
  <c r="BD729" i="2"/>
  <c r="BC729" i="2"/>
  <c r="BB729" i="2"/>
  <c r="BA729" i="2"/>
  <c r="AZ729" i="2"/>
  <c r="AY729" i="2"/>
  <c r="AX729" i="2"/>
  <c r="AW729" i="2"/>
  <c r="CA728" i="2"/>
  <c r="BY728" i="2"/>
  <c r="BX728" i="2"/>
  <c r="BW728" i="2"/>
  <c r="BV728" i="2"/>
  <c r="BU728" i="2"/>
  <c r="BT728" i="2"/>
  <c r="BS728" i="2"/>
  <c r="BR728" i="2"/>
  <c r="BQ728" i="2"/>
  <c r="BP728" i="2"/>
  <c r="BO728" i="2"/>
  <c r="BN728" i="2"/>
  <c r="BM728" i="2"/>
  <c r="BL728" i="2"/>
  <c r="BK728" i="2"/>
  <c r="BJ728" i="2"/>
  <c r="BI728" i="2"/>
  <c r="BH728" i="2"/>
  <c r="BG728" i="2"/>
  <c r="BF728" i="2"/>
  <c r="BE728" i="2"/>
  <c r="BD728" i="2"/>
  <c r="BC728" i="2"/>
  <c r="BB728" i="2"/>
  <c r="BA728" i="2"/>
  <c r="AZ728" i="2"/>
  <c r="AY728" i="2"/>
  <c r="AX728" i="2"/>
  <c r="AW728" i="2"/>
  <c r="CA727" i="2"/>
  <c r="BY727" i="2"/>
  <c r="BX727" i="2"/>
  <c r="BW727" i="2"/>
  <c r="BV727" i="2"/>
  <c r="BU727" i="2"/>
  <c r="BT727" i="2"/>
  <c r="BS727" i="2"/>
  <c r="BR727" i="2"/>
  <c r="BQ727" i="2"/>
  <c r="BP727" i="2"/>
  <c r="BO727" i="2"/>
  <c r="BN727" i="2"/>
  <c r="BM727" i="2"/>
  <c r="BL727" i="2"/>
  <c r="BK727" i="2"/>
  <c r="BJ727" i="2"/>
  <c r="BI727" i="2"/>
  <c r="BH727" i="2"/>
  <c r="BG727" i="2"/>
  <c r="BF727" i="2"/>
  <c r="BE727" i="2"/>
  <c r="BD727" i="2"/>
  <c r="BC727" i="2"/>
  <c r="BB727" i="2"/>
  <c r="BA727" i="2"/>
  <c r="AZ727" i="2"/>
  <c r="AY727" i="2"/>
  <c r="AX727" i="2"/>
  <c r="AW727" i="2"/>
  <c r="CA726" i="2"/>
  <c r="BY726" i="2"/>
  <c r="BX726" i="2"/>
  <c r="BW726" i="2"/>
  <c r="BV726" i="2"/>
  <c r="BU726" i="2"/>
  <c r="BT726" i="2"/>
  <c r="BS726" i="2"/>
  <c r="BR726" i="2"/>
  <c r="BQ726" i="2"/>
  <c r="BP726" i="2"/>
  <c r="BO726" i="2"/>
  <c r="BN726" i="2"/>
  <c r="BM726" i="2"/>
  <c r="BL726" i="2"/>
  <c r="BK726" i="2"/>
  <c r="BJ726" i="2"/>
  <c r="BI726" i="2"/>
  <c r="BH726" i="2"/>
  <c r="BG726" i="2"/>
  <c r="BF726" i="2"/>
  <c r="BE726" i="2"/>
  <c r="BD726" i="2"/>
  <c r="BC726" i="2"/>
  <c r="BB726" i="2"/>
  <c r="BA726" i="2"/>
  <c r="AZ726" i="2"/>
  <c r="AY726" i="2"/>
  <c r="AX726" i="2"/>
  <c r="AW726" i="2"/>
  <c r="CA725" i="2"/>
  <c r="BY725" i="2"/>
  <c r="BX725" i="2"/>
  <c r="BW725" i="2"/>
  <c r="BV725" i="2"/>
  <c r="BU725" i="2"/>
  <c r="BT725" i="2"/>
  <c r="BS725" i="2"/>
  <c r="BR725" i="2"/>
  <c r="BQ725" i="2"/>
  <c r="BP725" i="2"/>
  <c r="BO725" i="2"/>
  <c r="BN725" i="2"/>
  <c r="BM725" i="2"/>
  <c r="BL725" i="2"/>
  <c r="BK725" i="2"/>
  <c r="BJ725" i="2"/>
  <c r="BI725" i="2"/>
  <c r="BH725" i="2"/>
  <c r="BG725" i="2"/>
  <c r="BF725" i="2"/>
  <c r="BE725" i="2"/>
  <c r="BD725" i="2"/>
  <c r="BC725" i="2"/>
  <c r="BB725" i="2"/>
  <c r="BA725" i="2"/>
  <c r="AZ725" i="2"/>
  <c r="AY725" i="2"/>
  <c r="AX725" i="2"/>
  <c r="AW725" i="2"/>
  <c r="CA724" i="2"/>
  <c r="BY724" i="2"/>
  <c r="BX724" i="2"/>
  <c r="BW724" i="2"/>
  <c r="BV724" i="2"/>
  <c r="BU724" i="2"/>
  <c r="BT724" i="2"/>
  <c r="BS724" i="2"/>
  <c r="BR724" i="2"/>
  <c r="BQ724" i="2"/>
  <c r="BP724" i="2"/>
  <c r="BO724" i="2"/>
  <c r="BN724" i="2"/>
  <c r="BM724" i="2"/>
  <c r="BL724" i="2"/>
  <c r="BK724" i="2"/>
  <c r="BJ724" i="2"/>
  <c r="BI724" i="2"/>
  <c r="BH724" i="2"/>
  <c r="BG724" i="2"/>
  <c r="BF724" i="2"/>
  <c r="BE724" i="2"/>
  <c r="BD724" i="2"/>
  <c r="BC724" i="2"/>
  <c r="BB724" i="2"/>
  <c r="BA724" i="2"/>
  <c r="AZ724" i="2"/>
  <c r="AY724" i="2"/>
  <c r="AX724" i="2"/>
  <c r="AW724" i="2"/>
  <c r="CA723" i="2"/>
  <c r="BY723" i="2"/>
  <c r="BX723" i="2"/>
  <c r="BW723" i="2"/>
  <c r="BV723" i="2"/>
  <c r="BU723" i="2"/>
  <c r="BT723" i="2"/>
  <c r="BS723" i="2"/>
  <c r="BR723" i="2"/>
  <c r="BQ723" i="2"/>
  <c r="BP723" i="2"/>
  <c r="BO723" i="2"/>
  <c r="BN723" i="2"/>
  <c r="BM723" i="2"/>
  <c r="BL723" i="2"/>
  <c r="BK723" i="2"/>
  <c r="BJ723" i="2"/>
  <c r="BI723" i="2"/>
  <c r="BH723" i="2"/>
  <c r="BG723" i="2"/>
  <c r="BF723" i="2"/>
  <c r="BE723" i="2"/>
  <c r="BD723" i="2"/>
  <c r="BC723" i="2"/>
  <c r="BB723" i="2"/>
  <c r="BA723" i="2"/>
  <c r="AZ723" i="2"/>
  <c r="AY723" i="2"/>
  <c r="AX723" i="2"/>
  <c r="AW723" i="2"/>
  <c r="CA722" i="2"/>
  <c r="BY722" i="2"/>
  <c r="BX722" i="2"/>
  <c r="BW722" i="2"/>
  <c r="BV722" i="2"/>
  <c r="BU722" i="2"/>
  <c r="BT722" i="2"/>
  <c r="BS722" i="2"/>
  <c r="BR722" i="2"/>
  <c r="BQ722" i="2"/>
  <c r="BP722" i="2"/>
  <c r="BO722" i="2"/>
  <c r="BN722" i="2"/>
  <c r="BM722" i="2"/>
  <c r="BL722" i="2"/>
  <c r="BK722" i="2"/>
  <c r="BJ722" i="2"/>
  <c r="BI722" i="2"/>
  <c r="BH722" i="2"/>
  <c r="BG722" i="2"/>
  <c r="BF722" i="2"/>
  <c r="BE722" i="2"/>
  <c r="BD722" i="2"/>
  <c r="BC722" i="2"/>
  <c r="BB722" i="2"/>
  <c r="BA722" i="2"/>
  <c r="AZ722" i="2"/>
  <c r="AY722" i="2"/>
  <c r="AX722" i="2"/>
  <c r="AW722" i="2"/>
  <c r="CA721" i="2"/>
  <c r="BY721" i="2"/>
  <c r="BX721" i="2"/>
  <c r="BW721" i="2"/>
  <c r="BV721" i="2"/>
  <c r="BU721" i="2"/>
  <c r="BT721" i="2"/>
  <c r="BS721" i="2"/>
  <c r="BR721" i="2"/>
  <c r="BQ721" i="2"/>
  <c r="BP721" i="2"/>
  <c r="BO721" i="2"/>
  <c r="BN721" i="2"/>
  <c r="BM721" i="2"/>
  <c r="BL721" i="2"/>
  <c r="BK721" i="2"/>
  <c r="BJ721" i="2"/>
  <c r="BI721" i="2"/>
  <c r="BH721" i="2"/>
  <c r="BG721" i="2"/>
  <c r="BF721" i="2"/>
  <c r="BE721" i="2"/>
  <c r="BD721" i="2"/>
  <c r="BC721" i="2"/>
  <c r="BB721" i="2"/>
  <c r="BA721" i="2"/>
  <c r="AZ721" i="2"/>
  <c r="AY721" i="2"/>
  <c r="AX721" i="2"/>
  <c r="AW721" i="2"/>
  <c r="CA720" i="2"/>
  <c r="BY720" i="2"/>
  <c r="BX720" i="2"/>
  <c r="BW720" i="2"/>
  <c r="BV720" i="2"/>
  <c r="BU720" i="2"/>
  <c r="BT720" i="2"/>
  <c r="BS720" i="2"/>
  <c r="BR720" i="2"/>
  <c r="BQ720" i="2"/>
  <c r="BP720" i="2"/>
  <c r="BO720" i="2"/>
  <c r="BN720" i="2"/>
  <c r="BM720" i="2"/>
  <c r="BL720" i="2"/>
  <c r="BK720" i="2"/>
  <c r="BJ720" i="2"/>
  <c r="BI720" i="2"/>
  <c r="BH720" i="2"/>
  <c r="BG720" i="2"/>
  <c r="BF720" i="2"/>
  <c r="BE720" i="2"/>
  <c r="BD720" i="2"/>
  <c r="BC720" i="2"/>
  <c r="BB720" i="2"/>
  <c r="BA720" i="2"/>
  <c r="AZ720" i="2"/>
  <c r="AY720" i="2"/>
  <c r="AX720" i="2"/>
  <c r="AW720" i="2"/>
  <c r="CA719" i="2"/>
  <c r="BY719" i="2"/>
  <c r="BX719" i="2"/>
  <c r="BW719" i="2"/>
  <c r="BV719" i="2"/>
  <c r="BU719" i="2"/>
  <c r="BT719" i="2"/>
  <c r="BS719" i="2"/>
  <c r="BR719" i="2"/>
  <c r="BQ719" i="2"/>
  <c r="BP719" i="2"/>
  <c r="BO719" i="2"/>
  <c r="BN719" i="2"/>
  <c r="BM719" i="2"/>
  <c r="BL719" i="2"/>
  <c r="BK719" i="2"/>
  <c r="BJ719" i="2"/>
  <c r="BI719" i="2"/>
  <c r="BH719" i="2"/>
  <c r="BG719" i="2"/>
  <c r="BF719" i="2"/>
  <c r="BE719" i="2"/>
  <c r="BD719" i="2"/>
  <c r="BC719" i="2"/>
  <c r="BB719" i="2"/>
  <c r="BA719" i="2"/>
  <c r="AZ719" i="2"/>
  <c r="AY719" i="2"/>
  <c r="AX719" i="2"/>
  <c r="AW719" i="2"/>
  <c r="CA718" i="2"/>
  <c r="BY718" i="2"/>
  <c r="BX718" i="2"/>
  <c r="BW718" i="2"/>
  <c r="BV718" i="2"/>
  <c r="BU718" i="2"/>
  <c r="BT718" i="2"/>
  <c r="BS718" i="2"/>
  <c r="BR718" i="2"/>
  <c r="BQ718" i="2"/>
  <c r="BP718" i="2"/>
  <c r="BO718" i="2"/>
  <c r="BN718" i="2"/>
  <c r="BM718" i="2"/>
  <c r="BL718" i="2"/>
  <c r="BK718" i="2"/>
  <c r="BJ718" i="2"/>
  <c r="BI718" i="2"/>
  <c r="BH718" i="2"/>
  <c r="BG718" i="2"/>
  <c r="BF718" i="2"/>
  <c r="BE718" i="2"/>
  <c r="BD718" i="2"/>
  <c r="BC718" i="2"/>
  <c r="BB718" i="2"/>
  <c r="BA718" i="2"/>
  <c r="AZ718" i="2"/>
  <c r="AY718" i="2"/>
  <c r="AX718" i="2"/>
  <c r="AW718" i="2"/>
  <c r="CA717" i="2"/>
  <c r="BY717" i="2"/>
  <c r="BX717" i="2"/>
  <c r="BW717" i="2"/>
  <c r="BV717" i="2"/>
  <c r="BU717" i="2"/>
  <c r="BT717" i="2"/>
  <c r="BS717" i="2"/>
  <c r="BR717" i="2"/>
  <c r="BQ717" i="2"/>
  <c r="BP717" i="2"/>
  <c r="BO717" i="2"/>
  <c r="BN717" i="2"/>
  <c r="BM717" i="2"/>
  <c r="BL717" i="2"/>
  <c r="BK717" i="2"/>
  <c r="BJ717" i="2"/>
  <c r="BI717" i="2"/>
  <c r="BH717" i="2"/>
  <c r="BG717" i="2"/>
  <c r="BF717" i="2"/>
  <c r="BE717" i="2"/>
  <c r="BD717" i="2"/>
  <c r="BC717" i="2"/>
  <c r="BB717" i="2"/>
  <c r="BA717" i="2"/>
  <c r="AZ717" i="2"/>
  <c r="AY717" i="2"/>
  <c r="AX717" i="2"/>
  <c r="AW717" i="2"/>
  <c r="CA716" i="2"/>
  <c r="BY716" i="2"/>
  <c r="BX716" i="2"/>
  <c r="BW716" i="2"/>
  <c r="BV716" i="2"/>
  <c r="BU716" i="2"/>
  <c r="BT716" i="2"/>
  <c r="BS716" i="2"/>
  <c r="BR716" i="2"/>
  <c r="BQ716" i="2"/>
  <c r="BP716" i="2"/>
  <c r="BO716" i="2"/>
  <c r="BN716" i="2"/>
  <c r="BM716" i="2"/>
  <c r="BL716" i="2"/>
  <c r="BK716" i="2"/>
  <c r="BJ716" i="2"/>
  <c r="BI716" i="2"/>
  <c r="BH716" i="2"/>
  <c r="BG716" i="2"/>
  <c r="BF716" i="2"/>
  <c r="BE716" i="2"/>
  <c r="BD716" i="2"/>
  <c r="BC716" i="2"/>
  <c r="BB716" i="2"/>
  <c r="BA716" i="2"/>
  <c r="AZ716" i="2"/>
  <c r="AY716" i="2"/>
  <c r="AX716" i="2"/>
  <c r="AW716" i="2"/>
  <c r="CA715" i="2"/>
  <c r="BY715" i="2"/>
  <c r="BX715" i="2"/>
  <c r="BW715" i="2"/>
  <c r="BV715" i="2"/>
  <c r="BU715" i="2"/>
  <c r="BT715" i="2"/>
  <c r="BS715" i="2"/>
  <c r="BR715" i="2"/>
  <c r="BQ715" i="2"/>
  <c r="BP715" i="2"/>
  <c r="BO715" i="2"/>
  <c r="BN715" i="2"/>
  <c r="BM715" i="2"/>
  <c r="BL715" i="2"/>
  <c r="BK715" i="2"/>
  <c r="BJ715" i="2"/>
  <c r="BI715" i="2"/>
  <c r="BH715" i="2"/>
  <c r="BG715" i="2"/>
  <c r="BF715" i="2"/>
  <c r="BE715" i="2"/>
  <c r="BD715" i="2"/>
  <c r="BC715" i="2"/>
  <c r="BB715" i="2"/>
  <c r="BA715" i="2"/>
  <c r="AZ715" i="2"/>
  <c r="AY715" i="2"/>
  <c r="AX715" i="2"/>
  <c r="AW715" i="2"/>
  <c r="CA714" i="2"/>
  <c r="BY714" i="2"/>
  <c r="BX714" i="2"/>
  <c r="BW714" i="2"/>
  <c r="BV714" i="2"/>
  <c r="BU714" i="2"/>
  <c r="BT714" i="2"/>
  <c r="BS714" i="2"/>
  <c r="BR714" i="2"/>
  <c r="BQ714" i="2"/>
  <c r="BP714" i="2"/>
  <c r="BO714" i="2"/>
  <c r="BN714" i="2"/>
  <c r="BM714" i="2"/>
  <c r="BL714" i="2"/>
  <c r="BK714" i="2"/>
  <c r="BJ714" i="2"/>
  <c r="BI714" i="2"/>
  <c r="BH714" i="2"/>
  <c r="BG714" i="2"/>
  <c r="BF714" i="2"/>
  <c r="BE714" i="2"/>
  <c r="BD714" i="2"/>
  <c r="BC714" i="2"/>
  <c r="BB714" i="2"/>
  <c r="BA714" i="2"/>
  <c r="AZ714" i="2"/>
  <c r="AY714" i="2"/>
  <c r="AX714" i="2"/>
  <c r="AW714" i="2"/>
  <c r="CA713" i="2"/>
  <c r="BY713" i="2"/>
  <c r="BX713" i="2"/>
  <c r="BW713" i="2"/>
  <c r="BV713" i="2"/>
  <c r="BU713" i="2"/>
  <c r="BT713" i="2"/>
  <c r="BS713" i="2"/>
  <c r="BR713" i="2"/>
  <c r="BQ713" i="2"/>
  <c r="BP713" i="2"/>
  <c r="BO713" i="2"/>
  <c r="BN713" i="2"/>
  <c r="BM713" i="2"/>
  <c r="BL713" i="2"/>
  <c r="BK713" i="2"/>
  <c r="BJ713" i="2"/>
  <c r="BI713" i="2"/>
  <c r="BH713" i="2"/>
  <c r="BG713" i="2"/>
  <c r="BF713" i="2"/>
  <c r="BE713" i="2"/>
  <c r="BD713" i="2"/>
  <c r="BC713" i="2"/>
  <c r="BB713" i="2"/>
  <c r="BA713" i="2"/>
  <c r="AZ713" i="2"/>
  <c r="AY713" i="2"/>
  <c r="AX713" i="2"/>
  <c r="AW713" i="2"/>
  <c r="CA712" i="2"/>
  <c r="BY712" i="2"/>
  <c r="BX712" i="2"/>
  <c r="BW712" i="2"/>
  <c r="BV712" i="2"/>
  <c r="BU712" i="2"/>
  <c r="BT712" i="2"/>
  <c r="BS712" i="2"/>
  <c r="BR712" i="2"/>
  <c r="BQ712" i="2"/>
  <c r="BP712" i="2"/>
  <c r="BO712" i="2"/>
  <c r="BN712" i="2"/>
  <c r="BM712" i="2"/>
  <c r="BL712" i="2"/>
  <c r="BK712" i="2"/>
  <c r="BJ712" i="2"/>
  <c r="BI712" i="2"/>
  <c r="BH712" i="2"/>
  <c r="BG712" i="2"/>
  <c r="BF712" i="2"/>
  <c r="BE712" i="2"/>
  <c r="BD712" i="2"/>
  <c r="BC712" i="2"/>
  <c r="BB712" i="2"/>
  <c r="BA712" i="2"/>
  <c r="AZ712" i="2"/>
  <c r="AY712" i="2"/>
  <c r="AX712" i="2"/>
  <c r="AW712" i="2"/>
  <c r="CA711" i="2"/>
  <c r="BY711" i="2"/>
  <c r="BX711" i="2"/>
  <c r="BW711" i="2"/>
  <c r="BV711" i="2"/>
  <c r="BU711" i="2"/>
  <c r="BT711" i="2"/>
  <c r="BS711" i="2"/>
  <c r="BR711" i="2"/>
  <c r="BQ711" i="2"/>
  <c r="BP711" i="2"/>
  <c r="BO711" i="2"/>
  <c r="BN711" i="2"/>
  <c r="BM711" i="2"/>
  <c r="BL711" i="2"/>
  <c r="BK711" i="2"/>
  <c r="BJ711" i="2"/>
  <c r="BI711" i="2"/>
  <c r="BH711" i="2"/>
  <c r="BG711" i="2"/>
  <c r="BF711" i="2"/>
  <c r="BE711" i="2"/>
  <c r="BD711" i="2"/>
  <c r="BC711" i="2"/>
  <c r="BB711" i="2"/>
  <c r="BA711" i="2"/>
  <c r="AZ711" i="2"/>
  <c r="AY711" i="2"/>
  <c r="AX711" i="2"/>
  <c r="AW711" i="2"/>
  <c r="CA710" i="2"/>
  <c r="BY710" i="2"/>
  <c r="BX710" i="2"/>
  <c r="BW710" i="2"/>
  <c r="BV710" i="2"/>
  <c r="BU710" i="2"/>
  <c r="BT710" i="2"/>
  <c r="BS710" i="2"/>
  <c r="BR710" i="2"/>
  <c r="BQ710" i="2"/>
  <c r="BP710" i="2"/>
  <c r="BO710" i="2"/>
  <c r="BN710" i="2"/>
  <c r="BM710" i="2"/>
  <c r="BL710" i="2"/>
  <c r="BK710" i="2"/>
  <c r="BJ710" i="2"/>
  <c r="BI710" i="2"/>
  <c r="BH710" i="2"/>
  <c r="BG710" i="2"/>
  <c r="BF710" i="2"/>
  <c r="BE710" i="2"/>
  <c r="BD710" i="2"/>
  <c r="BC710" i="2"/>
  <c r="BB710" i="2"/>
  <c r="BA710" i="2"/>
  <c r="AZ710" i="2"/>
  <c r="AY710" i="2"/>
  <c r="AX710" i="2"/>
  <c r="AW710" i="2"/>
  <c r="CA709" i="2"/>
  <c r="BY709" i="2"/>
  <c r="BX709" i="2"/>
  <c r="BW709" i="2"/>
  <c r="BV709" i="2"/>
  <c r="BU709" i="2"/>
  <c r="BT709" i="2"/>
  <c r="BS709" i="2"/>
  <c r="BR709" i="2"/>
  <c r="BQ709" i="2"/>
  <c r="BP709" i="2"/>
  <c r="BO709" i="2"/>
  <c r="BN709" i="2"/>
  <c r="BM709" i="2"/>
  <c r="BL709" i="2"/>
  <c r="BK709" i="2"/>
  <c r="BJ709" i="2"/>
  <c r="BI709" i="2"/>
  <c r="BH709" i="2"/>
  <c r="BG709" i="2"/>
  <c r="BF709" i="2"/>
  <c r="BE709" i="2"/>
  <c r="BD709" i="2"/>
  <c r="BC709" i="2"/>
  <c r="BB709" i="2"/>
  <c r="BA709" i="2"/>
  <c r="AZ709" i="2"/>
  <c r="AY709" i="2"/>
  <c r="AX709" i="2"/>
  <c r="AW709" i="2"/>
  <c r="CA708" i="2"/>
  <c r="BY708" i="2"/>
  <c r="BX708" i="2"/>
  <c r="BW708" i="2"/>
  <c r="BV708" i="2"/>
  <c r="BU708" i="2"/>
  <c r="BT708" i="2"/>
  <c r="BS708" i="2"/>
  <c r="BR708" i="2"/>
  <c r="BQ708" i="2"/>
  <c r="BP708" i="2"/>
  <c r="BO708" i="2"/>
  <c r="BN708" i="2"/>
  <c r="BM708" i="2"/>
  <c r="BL708" i="2"/>
  <c r="BK708" i="2"/>
  <c r="BJ708" i="2"/>
  <c r="BI708" i="2"/>
  <c r="BH708" i="2"/>
  <c r="BG708" i="2"/>
  <c r="BF708" i="2"/>
  <c r="BE708" i="2"/>
  <c r="BD708" i="2"/>
  <c r="BC708" i="2"/>
  <c r="BB708" i="2"/>
  <c r="BA708" i="2"/>
  <c r="AZ708" i="2"/>
  <c r="AY708" i="2"/>
  <c r="AX708" i="2"/>
  <c r="AW708" i="2"/>
  <c r="CA707" i="2"/>
  <c r="BY707" i="2"/>
  <c r="BX707" i="2"/>
  <c r="BW707" i="2"/>
  <c r="BV707" i="2"/>
  <c r="BU707" i="2"/>
  <c r="BT707" i="2"/>
  <c r="BS707" i="2"/>
  <c r="BR707" i="2"/>
  <c r="BQ707" i="2"/>
  <c r="BP707" i="2"/>
  <c r="BO707" i="2"/>
  <c r="BN707" i="2"/>
  <c r="BM707" i="2"/>
  <c r="BL707" i="2"/>
  <c r="BK707" i="2"/>
  <c r="BJ707" i="2"/>
  <c r="BI707" i="2"/>
  <c r="BH707" i="2"/>
  <c r="BG707" i="2"/>
  <c r="BF707" i="2"/>
  <c r="BE707" i="2"/>
  <c r="BD707" i="2"/>
  <c r="BC707" i="2"/>
  <c r="BB707" i="2"/>
  <c r="BA707" i="2"/>
  <c r="AZ707" i="2"/>
  <c r="AY707" i="2"/>
  <c r="AX707" i="2"/>
  <c r="AW707" i="2"/>
  <c r="CA706" i="2"/>
  <c r="BY706" i="2"/>
  <c r="BX706" i="2"/>
  <c r="BW706" i="2"/>
  <c r="BV706" i="2"/>
  <c r="BU706" i="2"/>
  <c r="BT706" i="2"/>
  <c r="BS706" i="2"/>
  <c r="BR706" i="2"/>
  <c r="BQ706" i="2"/>
  <c r="BP706" i="2"/>
  <c r="BO706" i="2"/>
  <c r="BN706" i="2"/>
  <c r="BM706" i="2"/>
  <c r="BL706" i="2"/>
  <c r="BK706" i="2"/>
  <c r="BJ706" i="2"/>
  <c r="BI706" i="2"/>
  <c r="BH706" i="2"/>
  <c r="BG706" i="2"/>
  <c r="BF706" i="2"/>
  <c r="BE706" i="2"/>
  <c r="BD706" i="2"/>
  <c r="BC706" i="2"/>
  <c r="BB706" i="2"/>
  <c r="BA706" i="2"/>
  <c r="AZ706" i="2"/>
  <c r="AY706" i="2"/>
  <c r="AX706" i="2"/>
  <c r="AW706" i="2"/>
  <c r="CA705" i="2"/>
  <c r="BY705" i="2"/>
  <c r="BX705" i="2"/>
  <c r="BW705" i="2"/>
  <c r="BV705" i="2"/>
  <c r="BU705" i="2"/>
  <c r="BT705" i="2"/>
  <c r="BS705" i="2"/>
  <c r="BR705" i="2"/>
  <c r="BQ705" i="2"/>
  <c r="BP705" i="2"/>
  <c r="BO705" i="2"/>
  <c r="BN705" i="2"/>
  <c r="BM705" i="2"/>
  <c r="BL705" i="2"/>
  <c r="BK705" i="2"/>
  <c r="BJ705" i="2"/>
  <c r="BI705" i="2"/>
  <c r="BH705" i="2"/>
  <c r="BG705" i="2"/>
  <c r="BF705" i="2"/>
  <c r="BE705" i="2"/>
  <c r="BD705" i="2"/>
  <c r="BC705" i="2"/>
  <c r="BB705" i="2"/>
  <c r="BA705" i="2"/>
  <c r="AZ705" i="2"/>
  <c r="AY705" i="2"/>
  <c r="AX705" i="2"/>
  <c r="AW705" i="2"/>
  <c r="CA704" i="2"/>
  <c r="BY704" i="2"/>
  <c r="BX704" i="2"/>
  <c r="BW704" i="2"/>
  <c r="BV704" i="2"/>
  <c r="BU704" i="2"/>
  <c r="BT704" i="2"/>
  <c r="BS704" i="2"/>
  <c r="BR704" i="2"/>
  <c r="BQ704" i="2"/>
  <c r="BP704" i="2"/>
  <c r="BO704" i="2"/>
  <c r="BN704" i="2"/>
  <c r="BM704" i="2"/>
  <c r="BL704" i="2"/>
  <c r="BK704" i="2"/>
  <c r="BJ704" i="2"/>
  <c r="BI704" i="2"/>
  <c r="BH704" i="2"/>
  <c r="BG704" i="2"/>
  <c r="BF704" i="2"/>
  <c r="BE704" i="2"/>
  <c r="BD704" i="2"/>
  <c r="BC704" i="2"/>
  <c r="BB704" i="2"/>
  <c r="BA704" i="2"/>
  <c r="AZ704" i="2"/>
  <c r="AY704" i="2"/>
  <c r="AX704" i="2"/>
  <c r="AW704" i="2"/>
  <c r="CA703" i="2"/>
  <c r="BY703" i="2"/>
  <c r="BX703" i="2"/>
  <c r="BW703" i="2"/>
  <c r="BV703" i="2"/>
  <c r="BU703" i="2"/>
  <c r="BT703" i="2"/>
  <c r="BS703" i="2"/>
  <c r="BR703" i="2"/>
  <c r="BQ703" i="2"/>
  <c r="BP703" i="2"/>
  <c r="BO703" i="2"/>
  <c r="BN703" i="2"/>
  <c r="BM703" i="2"/>
  <c r="BL703" i="2"/>
  <c r="BK703" i="2"/>
  <c r="BJ703" i="2"/>
  <c r="BI703" i="2"/>
  <c r="BH703" i="2"/>
  <c r="BG703" i="2"/>
  <c r="BF703" i="2"/>
  <c r="BE703" i="2"/>
  <c r="BD703" i="2"/>
  <c r="BC703" i="2"/>
  <c r="BB703" i="2"/>
  <c r="BA703" i="2"/>
  <c r="AZ703" i="2"/>
  <c r="AY703" i="2"/>
  <c r="AX703" i="2"/>
  <c r="AW703" i="2"/>
  <c r="CA702" i="2"/>
  <c r="BY702" i="2"/>
  <c r="BX702" i="2"/>
  <c r="BW702" i="2"/>
  <c r="BV702" i="2"/>
  <c r="BU702" i="2"/>
  <c r="BT702" i="2"/>
  <c r="BS702" i="2"/>
  <c r="BR702" i="2"/>
  <c r="BQ702" i="2"/>
  <c r="BP702" i="2"/>
  <c r="BO702" i="2"/>
  <c r="BN702" i="2"/>
  <c r="BM702" i="2"/>
  <c r="BL702" i="2"/>
  <c r="BK702" i="2"/>
  <c r="BJ702" i="2"/>
  <c r="BI702" i="2"/>
  <c r="BH702" i="2"/>
  <c r="BG702" i="2"/>
  <c r="BF702" i="2"/>
  <c r="BE702" i="2"/>
  <c r="BD702" i="2"/>
  <c r="BC702" i="2"/>
  <c r="BB702" i="2"/>
  <c r="BA702" i="2"/>
  <c r="AZ702" i="2"/>
  <c r="AY702" i="2"/>
  <c r="AX702" i="2"/>
  <c r="AW702" i="2"/>
  <c r="CA701" i="2"/>
  <c r="BY701" i="2"/>
  <c r="BX701" i="2"/>
  <c r="BW701" i="2"/>
  <c r="BV701" i="2"/>
  <c r="BU701" i="2"/>
  <c r="BT701" i="2"/>
  <c r="BS701" i="2"/>
  <c r="BR701" i="2"/>
  <c r="BQ701" i="2"/>
  <c r="BP701" i="2"/>
  <c r="BO701" i="2"/>
  <c r="BN701" i="2"/>
  <c r="BM701" i="2"/>
  <c r="BL701" i="2"/>
  <c r="BK701" i="2"/>
  <c r="BJ701" i="2"/>
  <c r="BI701" i="2"/>
  <c r="BH701" i="2"/>
  <c r="BG701" i="2"/>
  <c r="BF701" i="2"/>
  <c r="BE701" i="2"/>
  <c r="BD701" i="2"/>
  <c r="BC701" i="2"/>
  <c r="BB701" i="2"/>
  <c r="BA701" i="2"/>
  <c r="AZ701" i="2"/>
  <c r="AY701" i="2"/>
  <c r="AX701" i="2"/>
  <c r="AW701" i="2"/>
  <c r="CA700" i="2"/>
  <c r="BY700" i="2"/>
  <c r="BX700" i="2"/>
  <c r="BW700" i="2"/>
  <c r="BV700" i="2"/>
  <c r="BU700" i="2"/>
  <c r="BT700" i="2"/>
  <c r="BS700" i="2"/>
  <c r="BR700" i="2"/>
  <c r="BQ700" i="2"/>
  <c r="BP700" i="2"/>
  <c r="BO700" i="2"/>
  <c r="BN700" i="2"/>
  <c r="BM700" i="2"/>
  <c r="BL700" i="2"/>
  <c r="BK700" i="2"/>
  <c r="BJ700" i="2"/>
  <c r="BI700" i="2"/>
  <c r="BH700" i="2"/>
  <c r="BG700" i="2"/>
  <c r="BF700" i="2"/>
  <c r="BE700" i="2"/>
  <c r="BD700" i="2"/>
  <c r="BC700" i="2"/>
  <c r="BB700" i="2"/>
  <c r="BA700" i="2"/>
  <c r="AZ700" i="2"/>
  <c r="AY700" i="2"/>
  <c r="AX700" i="2"/>
  <c r="AW700" i="2"/>
  <c r="CA699" i="2"/>
  <c r="BY699" i="2"/>
  <c r="BX699" i="2"/>
  <c r="BW699" i="2"/>
  <c r="BV699" i="2"/>
  <c r="BU699" i="2"/>
  <c r="BT699" i="2"/>
  <c r="BS699" i="2"/>
  <c r="BR699" i="2"/>
  <c r="BQ699" i="2"/>
  <c r="BP699" i="2"/>
  <c r="BO699" i="2"/>
  <c r="BN699" i="2"/>
  <c r="BM699" i="2"/>
  <c r="BL699" i="2"/>
  <c r="BK699" i="2"/>
  <c r="BJ699" i="2"/>
  <c r="BI699" i="2"/>
  <c r="BH699" i="2"/>
  <c r="BG699" i="2"/>
  <c r="BF699" i="2"/>
  <c r="BE699" i="2"/>
  <c r="BD699" i="2"/>
  <c r="BC699" i="2"/>
  <c r="BB699" i="2"/>
  <c r="BA699" i="2"/>
  <c r="AZ699" i="2"/>
  <c r="AY699" i="2"/>
  <c r="AX699" i="2"/>
  <c r="AW699" i="2"/>
  <c r="CA698" i="2"/>
  <c r="BY698" i="2"/>
  <c r="BX698" i="2"/>
  <c r="BW698" i="2"/>
  <c r="BV698" i="2"/>
  <c r="BU698" i="2"/>
  <c r="BT698" i="2"/>
  <c r="BS698" i="2"/>
  <c r="BR698" i="2"/>
  <c r="BQ698" i="2"/>
  <c r="BP698" i="2"/>
  <c r="BO698" i="2"/>
  <c r="BN698" i="2"/>
  <c r="BM698" i="2"/>
  <c r="BL698" i="2"/>
  <c r="BK698" i="2"/>
  <c r="BJ698" i="2"/>
  <c r="BI698" i="2"/>
  <c r="BH698" i="2"/>
  <c r="BG698" i="2"/>
  <c r="BF698" i="2"/>
  <c r="BE698" i="2"/>
  <c r="BD698" i="2"/>
  <c r="BC698" i="2"/>
  <c r="BB698" i="2"/>
  <c r="BA698" i="2"/>
  <c r="AZ698" i="2"/>
  <c r="AY698" i="2"/>
  <c r="AX698" i="2"/>
  <c r="AW698" i="2"/>
  <c r="CA697" i="2"/>
  <c r="BY697" i="2"/>
  <c r="BX697" i="2"/>
  <c r="BW697" i="2"/>
  <c r="BV697" i="2"/>
  <c r="BU697" i="2"/>
  <c r="BT697" i="2"/>
  <c r="BS697" i="2"/>
  <c r="BR697" i="2"/>
  <c r="BQ697" i="2"/>
  <c r="BP697" i="2"/>
  <c r="BO697" i="2"/>
  <c r="BN697" i="2"/>
  <c r="BM697" i="2"/>
  <c r="BL697" i="2"/>
  <c r="BK697" i="2"/>
  <c r="BJ697" i="2"/>
  <c r="BI697" i="2"/>
  <c r="BH697" i="2"/>
  <c r="BG697" i="2"/>
  <c r="BF697" i="2"/>
  <c r="BE697" i="2"/>
  <c r="BD697" i="2"/>
  <c r="BC697" i="2"/>
  <c r="BB697" i="2"/>
  <c r="BA697" i="2"/>
  <c r="AZ697" i="2"/>
  <c r="AY697" i="2"/>
  <c r="AX697" i="2"/>
  <c r="AW697" i="2"/>
  <c r="CA696" i="2"/>
  <c r="BY696" i="2"/>
  <c r="BX696" i="2"/>
  <c r="BW696" i="2"/>
  <c r="BV696" i="2"/>
  <c r="BU696" i="2"/>
  <c r="BT696" i="2"/>
  <c r="BS696" i="2"/>
  <c r="BR696" i="2"/>
  <c r="BQ696" i="2"/>
  <c r="BP696" i="2"/>
  <c r="BO696" i="2"/>
  <c r="BN696" i="2"/>
  <c r="BM696" i="2"/>
  <c r="BL696" i="2"/>
  <c r="BK696" i="2"/>
  <c r="BJ696" i="2"/>
  <c r="BI696" i="2"/>
  <c r="BH696" i="2"/>
  <c r="BG696" i="2"/>
  <c r="BF696" i="2"/>
  <c r="BE696" i="2"/>
  <c r="BD696" i="2"/>
  <c r="BC696" i="2"/>
  <c r="BB696" i="2"/>
  <c r="BA696" i="2"/>
  <c r="AZ696" i="2"/>
  <c r="AY696" i="2"/>
  <c r="AX696" i="2"/>
  <c r="AW696" i="2"/>
  <c r="CA695" i="2"/>
  <c r="BY695" i="2"/>
  <c r="BX695" i="2"/>
  <c r="BW695" i="2"/>
  <c r="BV695" i="2"/>
  <c r="BU695" i="2"/>
  <c r="BT695" i="2"/>
  <c r="BS695" i="2"/>
  <c r="BR695" i="2"/>
  <c r="BQ695" i="2"/>
  <c r="BP695" i="2"/>
  <c r="BO695" i="2"/>
  <c r="BN695" i="2"/>
  <c r="BM695" i="2"/>
  <c r="BL695" i="2"/>
  <c r="BK695" i="2"/>
  <c r="BJ695" i="2"/>
  <c r="BI695" i="2"/>
  <c r="BH695" i="2"/>
  <c r="BG695" i="2"/>
  <c r="BF695" i="2"/>
  <c r="BE695" i="2"/>
  <c r="BD695" i="2"/>
  <c r="BC695" i="2"/>
  <c r="BB695" i="2"/>
  <c r="BA695" i="2"/>
  <c r="AZ695" i="2"/>
  <c r="AY695" i="2"/>
  <c r="AX695" i="2"/>
  <c r="AW695" i="2"/>
  <c r="CA694" i="2"/>
  <c r="BY694" i="2"/>
  <c r="BX694" i="2"/>
  <c r="BW694" i="2"/>
  <c r="BV694" i="2"/>
  <c r="BU694" i="2"/>
  <c r="BT694" i="2"/>
  <c r="BS694" i="2"/>
  <c r="BR694" i="2"/>
  <c r="BQ694" i="2"/>
  <c r="BP694" i="2"/>
  <c r="BO694" i="2"/>
  <c r="BN694" i="2"/>
  <c r="BM694" i="2"/>
  <c r="BL694" i="2"/>
  <c r="BK694" i="2"/>
  <c r="BJ694" i="2"/>
  <c r="BI694" i="2"/>
  <c r="BH694" i="2"/>
  <c r="BG694" i="2"/>
  <c r="BF694" i="2"/>
  <c r="BE694" i="2"/>
  <c r="BD694" i="2"/>
  <c r="BC694" i="2"/>
  <c r="BB694" i="2"/>
  <c r="BA694" i="2"/>
  <c r="AZ694" i="2"/>
  <c r="AY694" i="2"/>
  <c r="AX694" i="2"/>
  <c r="AW694" i="2"/>
  <c r="CA693" i="2"/>
  <c r="BY693" i="2"/>
  <c r="BX693" i="2"/>
  <c r="BW693" i="2"/>
  <c r="BV693" i="2"/>
  <c r="BU693" i="2"/>
  <c r="BT693" i="2"/>
  <c r="BS693" i="2"/>
  <c r="BR693" i="2"/>
  <c r="BQ693" i="2"/>
  <c r="BP693" i="2"/>
  <c r="BO693" i="2"/>
  <c r="BN693" i="2"/>
  <c r="BM693" i="2"/>
  <c r="BL693" i="2"/>
  <c r="BK693" i="2"/>
  <c r="BJ693" i="2"/>
  <c r="BI693" i="2"/>
  <c r="BH693" i="2"/>
  <c r="BG693" i="2"/>
  <c r="BF693" i="2"/>
  <c r="BE693" i="2"/>
  <c r="BD693" i="2"/>
  <c r="BC693" i="2"/>
  <c r="BB693" i="2"/>
  <c r="BA693" i="2"/>
  <c r="AZ693" i="2"/>
  <c r="AY693" i="2"/>
  <c r="AX693" i="2"/>
  <c r="AW693" i="2"/>
  <c r="CA692" i="2"/>
  <c r="BY692" i="2"/>
  <c r="BX692" i="2"/>
  <c r="BW692" i="2"/>
  <c r="BV692" i="2"/>
  <c r="BU692" i="2"/>
  <c r="BT692" i="2"/>
  <c r="BS692" i="2"/>
  <c r="BR692" i="2"/>
  <c r="BQ692" i="2"/>
  <c r="BP692" i="2"/>
  <c r="BO692" i="2"/>
  <c r="BN692" i="2"/>
  <c r="BM692" i="2"/>
  <c r="BL692" i="2"/>
  <c r="BK692" i="2"/>
  <c r="BJ692" i="2"/>
  <c r="BI692" i="2"/>
  <c r="BH692" i="2"/>
  <c r="BG692" i="2"/>
  <c r="BF692" i="2"/>
  <c r="BE692" i="2"/>
  <c r="BD692" i="2"/>
  <c r="BC692" i="2"/>
  <c r="BB692" i="2"/>
  <c r="BA692" i="2"/>
  <c r="AZ692" i="2"/>
  <c r="AY692" i="2"/>
  <c r="AX692" i="2"/>
  <c r="AW692" i="2"/>
  <c r="CA691" i="2"/>
  <c r="BY691" i="2"/>
  <c r="BX691" i="2"/>
  <c r="BW691" i="2"/>
  <c r="BV691" i="2"/>
  <c r="BU691" i="2"/>
  <c r="BT691" i="2"/>
  <c r="BS691" i="2"/>
  <c r="BR691" i="2"/>
  <c r="BQ691" i="2"/>
  <c r="BP691" i="2"/>
  <c r="BO691" i="2"/>
  <c r="BN691" i="2"/>
  <c r="BM691" i="2"/>
  <c r="BL691" i="2"/>
  <c r="BK691" i="2"/>
  <c r="BJ691" i="2"/>
  <c r="BI691" i="2"/>
  <c r="BH691" i="2"/>
  <c r="BG691" i="2"/>
  <c r="BF691" i="2"/>
  <c r="BE691" i="2"/>
  <c r="BD691" i="2"/>
  <c r="BC691" i="2"/>
  <c r="BB691" i="2"/>
  <c r="BA691" i="2"/>
  <c r="AZ691" i="2"/>
  <c r="AY691" i="2"/>
  <c r="AX691" i="2"/>
  <c r="AW691" i="2"/>
  <c r="CA690" i="2"/>
  <c r="BY690" i="2"/>
  <c r="BX690" i="2"/>
  <c r="BW690" i="2"/>
  <c r="BV690" i="2"/>
  <c r="BU690" i="2"/>
  <c r="BT690" i="2"/>
  <c r="BS690" i="2"/>
  <c r="BR690" i="2"/>
  <c r="BQ690" i="2"/>
  <c r="BP690" i="2"/>
  <c r="BO690" i="2"/>
  <c r="BN690" i="2"/>
  <c r="BM690" i="2"/>
  <c r="BL690" i="2"/>
  <c r="BK690" i="2"/>
  <c r="BJ690" i="2"/>
  <c r="BI690" i="2"/>
  <c r="BH690" i="2"/>
  <c r="BG690" i="2"/>
  <c r="BF690" i="2"/>
  <c r="BE690" i="2"/>
  <c r="BD690" i="2"/>
  <c r="BC690" i="2"/>
  <c r="BB690" i="2"/>
  <c r="BA690" i="2"/>
  <c r="AZ690" i="2"/>
  <c r="AY690" i="2"/>
  <c r="AX690" i="2"/>
  <c r="AW690" i="2"/>
  <c r="CA689" i="2"/>
  <c r="BY689" i="2"/>
  <c r="BX689" i="2"/>
  <c r="BW689" i="2"/>
  <c r="BV689" i="2"/>
  <c r="BU689" i="2"/>
  <c r="BT689" i="2"/>
  <c r="BS689" i="2"/>
  <c r="BR689" i="2"/>
  <c r="BQ689" i="2"/>
  <c r="BP689" i="2"/>
  <c r="BO689" i="2"/>
  <c r="BN689" i="2"/>
  <c r="BM689" i="2"/>
  <c r="BL689" i="2"/>
  <c r="BK689" i="2"/>
  <c r="BJ689" i="2"/>
  <c r="BI689" i="2"/>
  <c r="BH689" i="2"/>
  <c r="BG689" i="2"/>
  <c r="BF689" i="2"/>
  <c r="BE689" i="2"/>
  <c r="BD689" i="2"/>
  <c r="BC689" i="2"/>
  <c r="BB689" i="2"/>
  <c r="BA689" i="2"/>
  <c r="AZ689" i="2"/>
  <c r="AY689" i="2"/>
  <c r="AX689" i="2"/>
  <c r="AW689" i="2"/>
  <c r="CA688" i="2"/>
  <c r="BY688" i="2"/>
  <c r="BX688" i="2"/>
  <c r="BW688" i="2"/>
  <c r="BV688" i="2"/>
  <c r="BU688" i="2"/>
  <c r="BT688" i="2"/>
  <c r="BS688" i="2"/>
  <c r="BR688" i="2"/>
  <c r="BQ688" i="2"/>
  <c r="BP688" i="2"/>
  <c r="BO688" i="2"/>
  <c r="BN688" i="2"/>
  <c r="BM688" i="2"/>
  <c r="BL688" i="2"/>
  <c r="BK688" i="2"/>
  <c r="BJ688" i="2"/>
  <c r="BI688" i="2"/>
  <c r="BH688" i="2"/>
  <c r="BG688" i="2"/>
  <c r="BF688" i="2"/>
  <c r="BE688" i="2"/>
  <c r="BD688" i="2"/>
  <c r="BC688" i="2"/>
  <c r="BB688" i="2"/>
  <c r="BA688" i="2"/>
  <c r="AZ688" i="2"/>
  <c r="AY688" i="2"/>
  <c r="AX688" i="2"/>
  <c r="AW688" i="2"/>
  <c r="CA687" i="2"/>
  <c r="BY687" i="2"/>
  <c r="BX687" i="2"/>
  <c r="BW687" i="2"/>
  <c r="BV687" i="2"/>
  <c r="BU687" i="2"/>
  <c r="BT687" i="2"/>
  <c r="BS687" i="2"/>
  <c r="BR687" i="2"/>
  <c r="BQ687" i="2"/>
  <c r="BP687" i="2"/>
  <c r="BO687" i="2"/>
  <c r="BN687" i="2"/>
  <c r="BM687" i="2"/>
  <c r="BL687" i="2"/>
  <c r="BK687" i="2"/>
  <c r="BJ687" i="2"/>
  <c r="BI687" i="2"/>
  <c r="BH687" i="2"/>
  <c r="BG687" i="2"/>
  <c r="BF687" i="2"/>
  <c r="BE687" i="2"/>
  <c r="BD687" i="2"/>
  <c r="BC687" i="2"/>
  <c r="BB687" i="2"/>
  <c r="BA687" i="2"/>
  <c r="AZ687" i="2"/>
  <c r="AY687" i="2"/>
  <c r="AX687" i="2"/>
  <c r="AW687" i="2"/>
  <c r="CA686" i="2"/>
  <c r="BY686" i="2"/>
  <c r="BX686" i="2"/>
  <c r="BW686" i="2"/>
  <c r="BV686" i="2"/>
  <c r="BU686" i="2"/>
  <c r="BT686" i="2"/>
  <c r="BS686" i="2"/>
  <c r="BR686" i="2"/>
  <c r="BQ686" i="2"/>
  <c r="BP686" i="2"/>
  <c r="BO686" i="2"/>
  <c r="BN686" i="2"/>
  <c r="BM686" i="2"/>
  <c r="BL686" i="2"/>
  <c r="BK686" i="2"/>
  <c r="BJ686" i="2"/>
  <c r="BI686" i="2"/>
  <c r="BH686" i="2"/>
  <c r="BG686" i="2"/>
  <c r="BF686" i="2"/>
  <c r="BE686" i="2"/>
  <c r="BD686" i="2"/>
  <c r="BC686" i="2"/>
  <c r="BB686" i="2"/>
  <c r="BA686" i="2"/>
  <c r="AZ686" i="2"/>
  <c r="AY686" i="2"/>
  <c r="AX686" i="2"/>
  <c r="AW686" i="2"/>
  <c r="CA685" i="2"/>
  <c r="BY685" i="2"/>
  <c r="BX685" i="2"/>
  <c r="BW685" i="2"/>
  <c r="BV685" i="2"/>
  <c r="BU685" i="2"/>
  <c r="BT685" i="2"/>
  <c r="BS685" i="2"/>
  <c r="BR685" i="2"/>
  <c r="BQ685" i="2"/>
  <c r="BP685" i="2"/>
  <c r="BO685" i="2"/>
  <c r="BN685" i="2"/>
  <c r="BM685" i="2"/>
  <c r="BL685" i="2"/>
  <c r="BK685" i="2"/>
  <c r="BJ685" i="2"/>
  <c r="BI685" i="2"/>
  <c r="BH685" i="2"/>
  <c r="BG685" i="2"/>
  <c r="BF685" i="2"/>
  <c r="BE685" i="2"/>
  <c r="BD685" i="2"/>
  <c r="BC685" i="2"/>
  <c r="BB685" i="2"/>
  <c r="BA685" i="2"/>
  <c r="AZ685" i="2"/>
  <c r="AY685" i="2"/>
  <c r="AX685" i="2"/>
  <c r="AW685" i="2"/>
  <c r="CA684" i="2"/>
  <c r="BY684" i="2"/>
  <c r="BX684" i="2"/>
  <c r="BW684" i="2"/>
  <c r="BV684" i="2"/>
  <c r="BU684" i="2"/>
  <c r="BT684" i="2"/>
  <c r="BS684" i="2"/>
  <c r="BR684" i="2"/>
  <c r="BQ684" i="2"/>
  <c r="BP684" i="2"/>
  <c r="BO684" i="2"/>
  <c r="BN684" i="2"/>
  <c r="BM684" i="2"/>
  <c r="BL684" i="2"/>
  <c r="BK684" i="2"/>
  <c r="BJ684" i="2"/>
  <c r="BI684" i="2"/>
  <c r="BH684" i="2"/>
  <c r="BG684" i="2"/>
  <c r="BF684" i="2"/>
  <c r="BE684" i="2"/>
  <c r="BD684" i="2"/>
  <c r="BC684" i="2"/>
  <c r="BB684" i="2"/>
  <c r="BA684" i="2"/>
  <c r="AZ684" i="2"/>
  <c r="AY684" i="2"/>
  <c r="AX684" i="2"/>
  <c r="AW684" i="2"/>
  <c r="CA683" i="2"/>
  <c r="BY683" i="2"/>
  <c r="BX683" i="2"/>
  <c r="BW683" i="2"/>
  <c r="BV683" i="2"/>
  <c r="BU683" i="2"/>
  <c r="BT683" i="2"/>
  <c r="BS683" i="2"/>
  <c r="BR683" i="2"/>
  <c r="BQ683" i="2"/>
  <c r="BP683" i="2"/>
  <c r="BO683" i="2"/>
  <c r="BN683" i="2"/>
  <c r="BM683" i="2"/>
  <c r="BL683" i="2"/>
  <c r="BK683" i="2"/>
  <c r="BJ683" i="2"/>
  <c r="BI683" i="2"/>
  <c r="BH683" i="2"/>
  <c r="BG683" i="2"/>
  <c r="BF683" i="2"/>
  <c r="BE683" i="2"/>
  <c r="BD683" i="2"/>
  <c r="BC683" i="2"/>
  <c r="BB683" i="2"/>
  <c r="BA683" i="2"/>
  <c r="AZ683" i="2"/>
  <c r="AY683" i="2"/>
  <c r="AX683" i="2"/>
  <c r="AW683" i="2"/>
  <c r="CA682" i="2"/>
  <c r="BY682" i="2"/>
  <c r="BX682" i="2"/>
  <c r="BW682" i="2"/>
  <c r="BV682" i="2"/>
  <c r="BU682" i="2"/>
  <c r="BT682" i="2"/>
  <c r="BS682" i="2"/>
  <c r="BR682" i="2"/>
  <c r="BQ682" i="2"/>
  <c r="BP682" i="2"/>
  <c r="BO682" i="2"/>
  <c r="BN682" i="2"/>
  <c r="BM682" i="2"/>
  <c r="BL682" i="2"/>
  <c r="BK682" i="2"/>
  <c r="BJ682" i="2"/>
  <c r="BI682" i="2"/>
  <c r="BH682" i="2"/>
  <c r="BG682" i="2"/>
  <c r="BF682" i="2"/>
  <c r="BE682" i="2"/>
  <c r="BD682" i="2"/>
  <c r="BC682" i="2"/>
  <c r="BB682" i="2"/>
  <c r="BA682" i="2"/>
  <c r="AZ682" i="2"/>
  <c r="AY682" i="2"/>
  <c r="AX682" i="2"/>
  <c r="AW682" i="2"/>
  <c r="CA681" i="2"/>
  <c r="BY681" i="2"/>
  <c r="BX681" i="2"/>
  <c r="BW681" i="2"/>
  <c r="BV681" i="2"/>
  <c r="BU681" i="2"/>
  <c r="BT681" i="2"/>
  <c r="BS681" i="2"/>
  <c r="BR681" i="2"/>
  <c r="BQ681" i="2"/>
  <c r="BP681" i="2"/>
  <c r="BO681" i="2"/>
  <c r="BN681" i="2"/>
  <c r="BM681" i="2"/>
  <c r="BL681" i="2"/>
  <c r="BK681" i="2"/>
  <c r="BJ681" i="2"/>
  <c r="BI681" i="2"/>
  <c r="BH681" i="2"/>
  <c r="BG681" i="2"/>
  <c r="BF681" i="2"/>
  <c r="BE681" i="2"/>
  <c r="BD681" i="2"/>
  <c r="BC681" i="2"/>
  <c r="BB681" i="2"/>
  <c r="BA681" i="2"/>
  <c r="AZ681" i="2"/>
  <c r="AY681" i="2"/>
  <c r="AX681" i="2"/>
  <c r="AW681" i="2"/>
  <c r="CA680" i="2"/>
  <c r="BY680" i="2"/>
  <c r="BX680" i="2"/>
  <c r="BW680" i="2"/>
  <c r="BV680" i="2"/>
  <c r="BU680" i="2"/>
  <c r="BT680" i="2"/>
  <c r="BS680" i="2"/>
  <c r="BR680" i="2"/>
  <c r="BQ680" i="2"/>
  <c r="BP680" i="2"/>
  <c r="BO680" i="2"/>
  <c r="BN680" i="2"/>
  <c r="BM680" i="2"/>
  <c r="BL680" i="2"/>
  <c r="BK680" i="2"/>
  <c r="BJ680" i="2"/>
  <c r="BI680" i="2"/>
  <c r="BH680" i="2"/>
  <c r="BG680" i="2"/>
  <c r="BF680" i="2"/>
  <c r="BE680" i="2"/>
  <c r="BD680" i="2"/>
  <c r="BC680" i="2"/>
  <c r="BB680" i="2"/>
  <c r="BA680" i="2"/>
  <c r="AZ680" i="2"/>
  <c r="AY680" i="2"/>
  <c r="AX680" i="2"/>
  <c r="AW680" i="2"/>
  <c r="CA679" i="2"/>
  <c r="BY679" i="2"/>
  <c r="BX679" i="2"/>
  <c r="BW679" i="2"/>
  <c r="BV679" i="2"/>
  <c r="BU679" i="2"/>
  <c r="BT679" i="2"/>
  <c r="BS679" i="2"/>
  <c r="BR679" i="2"/>
  <c r="BQ679" i="2"/>
  <c r="BP679" i="2"/>
  <c r="BO679" i="2"/>
  <c r="BN679" i="2"/>
  <c r="BM679" i="2"/>
  <c r="BL679" i="2"/>
  <c r="BK679" i="2"/>
  <c r="BJ679" i="2"/>
  <c r="BI679" i="2"/>
  <c r="BH679" i="2"/>
  <c r="BG679" i="2"/>
  <c r="BF679" i="2"/>
  <c r="BE679" i="2"/>
  <c r="BD679" i="2"/>
  <c r="BC679" i="2"/>
  <c r="BB679" i="2"/>
  <c r="BA679" i="2"/>
  <c r="AZ679" i="2"/>
  <c r="AY679" i="2"/>
  <c r="AX679" i="2"/>
  <c r="AW679" i="2"/>
  <c r="CA678" i="2"/>
  <c r="BY678" i="2"/>
  <c r="BX678" i="2"/>
  <c r="BW678" i="2"/>
  <c r="BV678" i="2"/>
  <c r="BU678" i="2"/>
  <c r="BT678" i="2"/>
  <c r="BS678" i="2"/>
  <c r="BR678" i="2"/>
  <c r="BQ678" i="2"/>
  <c r="BP678" i="2"/>
  <c r="BO678" i="2"/>
  <c r="BN678" i="2"/>
  <c r="BM678" i="2"/>
  <c r="BL678" i="2"/>
  <c r="BK678" i="2"/>
  <c r="BJ678" i="2"/>
  <c r="BI678" i="2"/>
  <c r="BH678" i="2"/>
  <c r="BG678" i="2"/>
  <c r="BF678" i="2"/>
  <c r="BE678" i="2"/>
  <c r="BD678" i="2"/>
  <c r="BC678" i="2"/>
  <c r="BB678" i="2"/>
  <c r="BA678" i="2"/>
  <c r="AZ678" i="2"/>
  <c r="AY678" i="2"/>
  <c r="AX678" i="2"/>
  <c r="AW678" i="2"/>
  <c r="CA677" i="2"/>
  <c r="BY677" i="2"/>
  <c r="BX677" i="2"/>
  <c r="BW677" i="2"/>
  <c r="BV677" i="2"/>
  <c r="BU677" i="2"/>
  <c r="BT677" i="2"/>
  <c r="BS677" i="2"/>
  <c r="BR677" i="2"/>
  <c r="BQ677" i="2"/>
  <c r="BP677" i="2"/>
  <c r="BO677" i="2"/>
  <c r="BN677" i="2"/>
  <c r="BM677" i="2"/>
  <c r="BL677" i="2"/>
  <c r="BK677" i="2"/>
  <c r="BJ677" i="2"/>
  <c r="BI677" i="2"/>
  <c r="BH677" i="2"/>
  <c r="BG677" i="2"/>
  <c r="BF677" i="2"/>
  <c r="BE677" i="2"/>
  <c r="BD677" i="2"/>
  <c r="BC677" i="2"/>
  <c r="BB677" i="2"/>
  <c r="BA677" i="2"/>
  <c r="AZ677" i="2"/>
  <c r="AY677" i="2"/>
  <c r="AX677" i="2"/>
  <c r="AW677" i="2"/>
  <c r="CA676" i="2"/>
  <c r="BY676" i="2"/>
  <c r="BX676" i="2"/>
  <c r="BW676" i="2"/>
  <c r="BV676" i="2"/>
  <c r="BU676" i="2"/>
  <c r="BT676" i="2"/>
  <c r="BS676" i="2"/>
  <c r="BR676" i="2"/>
  <c r="BQ676" i="2"/>
  <c r="BP676" i="2"/>
  <c r="BO676" i="2"/>
  <c r="BN676" i="2"/>
  <c r="BM676" i="2"/>
  <c r="BL676" i="2"/>
  <c r="BK676" i="2"/>
  <c r="BJ676" i="2"/>
  <c r="BI676" i="2"/>
  <c r="BH676" i="2"/>
  <c r="BG676" i="2"/>
  <c r="BF676" i="2"/>
  <c r="BE676" i="2"/>
  <c r="BD676" i="2"/>
  <c r="BC676" i="2"/>
  <c r="BB676" i="2"/>
  <c r="BA676" i="2"/>
  <c r="AZ676" i="2"/>
  <c r="AY676" i="2"/>
  <c r="AX676" i="2"/>
  <c r="AW676" i="2"/>
  <c r="CA675" i="2"/>
  <c r="BY675" i="2"/>
  <c r="BX675" i="2"/>
  <c r="BW675" i="2"/>
  <c r="BV675" i="2"/>
  <c r="BU675" i="2"/>
  <c r="BT675" i="2"/>
  <c r="BS675" i="2"/>
  <c r="BR675" i="2"/>
  <c r="BQ675" i="2"/>
  <c r="BP675" i="2"/>
  <c r="BO675" i="2"/>
  <c r="BN675" i="2"/>
  <c r="BM675" i="2"/>
  <c r="BL675" i="2"/>
  <c r="BK675" i="2"/>
  <c r="BJ675" i="2"/>
  <c r="BI675" i="2"/>
  <c r="BH675" i="2"/>
  <c r="BG675" i="2"/>
  <c r="BF675" i="2"/>
  <c r="BE675" i="2"/>
  <c r="BD675" i="2"/>
  <c r="BC675" i="2"/>
  <c r="BB675" i="2"/>
  <c r="BA675" i="2"/>
  <c r="AZ675" i="2"/>
  <c r="AY675" i="2"/>
  <c r="AX675" i="2"/>
  <c r="AW675" i="2"/>
  <c r="CA674" i="2"/>
  <c r="BY674" i="2"/>
  <c r="BX674" i="2"/>
  <c r="BW674" i="2"/>
  <c r="BV674" i="2"/>
  <c r="BU674" i="2"/>
  <c r="BT674" i="2"/>
  <c r="BS674" i="2"/>
  <c r="BR674" i="2"/>
  <c r="BQ674" i="2"/>
  <c r="BP674" i="2"/>
  <c r="BO674" i="2"/>
  <c r="BN674" i="2"/>
  <c r="BM674" i="2"/>
  <c r="BL674" i="2"/>
  <c r="BK674" i="2"/>
  <c r="BJ674" i="2"/>
  <c r="BI674" i="2"/>
  <c r="BH674" i="2"/>
  <c r="BG674" i="2"/>
  <c r="BF674" i="2"/>
  <c r="BE674" i="2"/>
  <c r="BD674" i="2"/>
  <c r="BC674" i="2"/>
  <c r="BB674" i="2"/>
  <c r="BA674" i="2"/>
  <c r="AZ674" i="2"/>
  <c r="AY674" i="2"/>
  <c r="AX674" i="2"/>
  <c r="AW674" i="2"/>
  <c r="CA673" i="2"/>
  <c r="BY673" i="2"/>
  <c r="BX673" i="2"/>
  <c r="BW673" i="2"/>
  <c r="BV673" i="2"/>
  <c r="BU673" i="2"/>
  <c r="BT673" i="2"/>
  <c r="BS673" i="2"/>
  <c r="BR673" i="2"/>
  <c r="BQ673" i="2"/>
  <c r="BP673" i="2"/>
  <c r="BO673" i="2"/>
  <c r="BN673" i="2"/>
  <c r="BM673" i="2"/>
  <c r="BL673" i="2"/>
  <c r="BK673" i="2"/>
  <c r="BJ673" i="2"/>
  <c r="BI673" i="2"/>
  <c r="BH673" i="2"/>
  <c r="BG673" i="2"/>
  <c r="BF673" i="2"/>
  <c r="BE673" i="2"/>
  <c r="BD673" i="2"/>
  <c r="BC673" i="2"/>
  <c r="BB673" i="2"/>
  <c r="BA673" i="2"/>
  <c r="AZ673" i="2"/>
  <c r="AY673" i="2"/>
  <c r="AX673" i="2"/>
  <c r="AW673" i="2"/>
  <c r="CA672" i="2"/>
  <c r="BY672" i="2"/>
  <c r="BX672" i="2"/>
  <c r="BW672" i="2"/>
  <c r="BV672" i="2"/>
  <c r="BU672" i="2"/>
  <c r="BT672" i="2"/>
  <c r="BS672" i="2"/>
  <c r="BR672" i="2"/>
  <c r="BQ672" i="2"/>
  <c r="BP672" i="2"/>
  <c r="BO672" i="2"/>
  <c r="BN672" i="2"/>
  <c r="BM672" i="2"/>
  <c r="BL672" i="2"/>
  <c r="BK672" i="2"/>
  <c r="BJ672" i="2"/>
  <c r="BI672" i="2"/>
  <c r="BH672" i="2"/>
  <c r="BG672" i="2"/>
  <c r="BF672" i="2"/>
  <c r="BE672" i="2"/>
  <c r="BD672" i="2"/>
  <c r="BC672" i="2"/>
  <c r="BB672" i="2"/>
  <c r="BA672" i="2"/>
  <c r="AZ672" i="2"/>
  <c r="AY672" i="2"/>
  <c r="AX672" i="2"/>
  <c r="AW672" i="2"/>
  <c r="CA671" i="2"/>
  <c r="BY671" i="2"/>
  <c r="BX671" i="2"/>
  <c r="BW671" i="2"/>
  <c r="BV671" i="2"/>
  <c r="BU671" i="2"/>
  <c r="BT671" i="2"/>
  <c r="BS671" i="2"/>
  <c r="BR671" i="2"/>
  <c r="BQ671" i="2"/>
  <c r="BP671" i="2"/>
  <c r="BO671" i="2"/>
  <c r="BN671" i="2"/>
  <c r="BM671" i="2"/>
  <c r="BL671" i="2"/>
  <c r="BK671" i="2"/>
  <c r="BJ671" i="2"/>
  <c r="BI671" i="2"/>
  <c r="BH671" i="2"/>
  <c r="BG671" i="2"/>
  <c r="BF671" i="2"/>
  <c r="BE671" i="2"/>
  <c r="BD671" i="2"/>
  <c r="BC671" i="2"/>
  <c r="BB671" i="2"/>
  <c r="BA671" i="2"/>
  <c r="AZ671" i="2"/>
  <c r="AY671" i="2"/>
  <c r="AX671" i="2"/>
  <c r="AW671" i="2"/>
  <c r="CA670" i="2"/>
  <c r="BY670" i="2"/>
  <c r="BX670" i="2"/>
  <c r="BW670" i="2"/>
  <c r="BV670" i="2"/>
  <c r="BU670" i="2"/>
  <c r="BT670" i="2"/>
  <c r="BS670" i="2"/>
  <c r="BR670" i="2"/>
  <c r="BQ670" i="2"/>
  <c r="BP670" i="2"/>
  <c r="BO670" i="2"/>
  <c r="BN670" i="2"/>
  <c r="BM670" i="2"/>
  <c r="BL670" i="2"/>
  <c r="BK670" i="2"/>
  <c r="BJ670" i="2"/>
  <c r="BI670" i="2"/>
  <c r="BH670" i="2"/>
  <c r="BG670" i="2"/>
  <c r="BF670" i="2"/>
  <c r="BE670" i="2"/>
  <c r="BD670" i="2"/>
  <c r="BC670" i="2"/>
  <c r="BB670" i="2"/>
  <c r="BA670" i="2"/>
  <c r="AZ670" i="2"/>
  <c r="AY670" i="2"/>
  <c r="AX670" i="2"/>
  <c r="AW670" i="2"/>
  <c r="CA669" i="2"/>
  <c r="BY669" i="2"/>
  <c r="BX669" i="2"/>
  <c r="BW669" i="2"/>
  <c r="BV669" i="2"/>
  <c r="BU669" i="2"/>
  <c r="BT669" i="2"/>
  <c r="BS669" i="2"/>
  <c r="BR669" i="2"/>
  <c r="BQ669" i="2"/>
  <c r="BP669" i="2"/>
  <c r="BO669" i="2"/>
  <c r="BN669" i="2"/>
  <c r="BM669" i="2"/>
  <c r="BL669" i="2"/>
  <c r="BK669" i="2"/>
  <c r="BJ669" i="2"/>
  <c r="BI669" i="2"/>
  <c r="BH669" i="2"/>
  <c r="BG669" i="2"/>
  <c r="BF669" i="2"/>
  <c r="BE669" i="2"/>
  <c r="BD669" i="2"/>
  <c r="BC669" i="2"/>
  <c r="BB669" i="2"/>
  <c r="BA669" i="2"/>
  <c r="AZ669" i="2"/>
  <c r="AY669" i="2"/>
  <c r="AX669" i="2"/>
  <c r="AW669" i="2"/>
  <c r="CA668" i="2"/>
  <c r="BY668" i="2"/>
  <c r="BX668" i="2"/>
  <c r="BW668" i="2"/>
  <c r="BV668" i="2"/>
  <c r="BU668" i="2"/>
  <c r="BT668" i="2"/>
  <c r="BS668" i="2"/>
  <c r="BR668" i="2"/>
  <c r="BQ668" i="2"/>
  <c r="BP668" i="2"/>
  <c r="BO668" i="2"/>
  <c r="BN668" i="2"/>
  <c r="BM668" i="2"/>
  <c r="BL668" i="2"/>
  <c r="BK668" i="2"/>
  <c r="BJ668" i="2"/>
  <c r="BI668" i="2"/>
  <c r="BH668" i="2"/>
  <c r="BG668" i="2"/>
  <c r="BF668" i="2"/>
  <c r="BE668" i="2"/>
  <c r="BD668" i="2"/>
  <c r="BC668" i="2"/>
  <c r="BB668" i="2"/>
  <c r="BA668" i="2"/>
  <c r="AZ668" i="2"/>
  <c r="AY668" i="2"/>
  <c r="AX668" i="2"/>
  <c r="AW668" i="2"/>
  <c r="CA667" i="2"/>
  <c r="BY667" i="2"/>
  <c r="BX667" i="2"/>
  <c r="BW667" i="2"/>
  <c r="BV667" i="2"/>
  <c r="BU667" i="2"/>
  <c r="BT667" i="2"/>
  <c r="BS667" i="2"/>
  <c r="BR667" i="2"/>
  <c r="BQ667" i="2"/>
  <c r="BP667" i="2"/>
  <c r="BO667" i="2"/>
  <c r="BN667" i="2"/>
  <c r="BM667" i="2"/>
  <c r="BL667" i="2"/>
  <c r="BK667" i="2"/>
  <c r="BJ667" i="2"/>
  <c r="BI667" i="2"/>
  <c r="BH667" i="2"/>
  <c r="BG667" i="2"/>
  <c r="BF667" i="2"/>
  <c r="BE667" i="2"/>
  <c r="BD667" i="2"/>
  <c r="BC667" i="2"/>
  <c r="BB667" i="2"/>
  <c r="BA667" i="2"/>
  <c r="AZ667" i="2"/>
  <c r="AY667" i="2"/>
  <c r="AX667" i="2"/>
  <c r="AW667" i="2"/>
  <c r="CA666" i="2"/>
  <c r="BY666" i="2"/>
  <c r="BX666" i="2"/>
  <c r="BW666" i="2"/>
  <c r="BV666" i="2"/>
  <c r="BU666" i="2"/>
  <c r="BT666" i="2"/>
  <c r="BS666" i="2"/>
  <c r="BR666" i="2"/>
  <c r="BQ666" i="2"/>
  <c r="BP666" i="2"/>
  <c r="BO666" i="2"/>
  <c r="BN666" i="2"/>
  <c r="BM666" i="2"/>
  <c r="BL666" i="2"/>
  <c r="BK666" i="2"/>
  <c r="BJ666" i="2"/>
  <c r="BI666" i="2"/>
  <c r="BH666" i="2"/>
  <c r="BG666" i="2"/>
  <c r="BF666" i="2"/>
  <c r="BE666" i="2"/>
  <c r="BD666" i="2"/>
  <c r="BC666" i="2"/>
  <c r="BB666" i="2"/>
  <c r="BA666" i="2"/>
  <c r="AZ666" i="2"/>
  <c r="AY666" i="2"/>
  <c r="AX666" i="2"/>
  <c r="AW666" i="2"/>
  <c r="CA665" i="2"/>
  <c r="BY665" i="2"/>
  <c r="BX665" i="2"/>
  <c r="BW665" i="2"/>
  <c r="BV665" i="2"/>
  <c r="BU665" i="2"/>
  <c r="BT665" i="2"/>
  <c r="BS665" i="2"/>
  <c r="BR665" i="2"/>
  <c r="BQ665" i="2"/>
  <c r="BP665" i="2"/>
  <c r="BO665" i="2"/>
  <c r="BN665" i="2"/>
  <c r="BM665" i="2"/>
  <c r="BL665" i="2"/>
  <c r="BK665" i="2"/>
  <c r="BJ665" i="2"/>
  <c r="BI665" i="2"/>
  <c r="BH665" i="2"/>
  <c r="BG665" i="2"/>
  <c r="BF665" i="2"/>
  <c r="BE665" i="2"/>
  <c r="BD665" i="2"/>
  <c r="BC665" i="2"/>
  <c r="BB665" i="2"/>
  <c r="BA665" i="2"/>
  <c r="AZ665" i="2"/>
  <c r="AY665" i="2"/>
  <c r="AX665" i="2"/>
  <c r="AW665" i="2"/>
  <c r="CA664" i="2"/>
  <c r="BY664" i="2"/>
  <c r="BX664" i="2"/>
  <c r="BW664" i="2"/>
  <c r="BV664" i="2"/>
  <c r="BU664" i="2"/>
  <c r="BT664" i="2"/>
  <c r="BS664" i="2"/>
  <c r="BR664" i="2"/>
  <c r="BQ664" i="2"/>
  <c r="BP664" i="2"/>
  <c r="BO664" i="2"/>
  <c r="BN664" i="2"/>
  <c r="BM664" i="2"/>
  <c r="BL664" i="2"/>
  <c r="BK664" i="2"/>
  <c r="BJ664" i="2"/>
  <c r="BI664" i="2"/>
  <c r="BH664" i="2"/>
  <c r="BG664" i="2"/>
  <c r="BF664" i="2"/>
  <c r="BE664" i="2"/>
  <c r="BD664" i="2"/>
  <c r="BC664" i="2"/>
  <c r="BB664" i="2"/>
  <c r="BA664" i="2"/>
  <c r="AZ664" i="2"/>
  <c r="AY664" i="2"/>
  <c r="AX664" i="2"/>
  <c r="AW664" i="2"/>
  <c r="CA663" i="2"/>
  <c r="BY663" i="2"/>
  <c r="BX663" i="2"/>
  <c r="BW663" i="2"/>
  <c r="BV663" i="2"/>
  <c r="BU663" i="2"/>
  <c r="BT663" i="2"/>
  <c r="BS663" i="2"/>
  <c r="BR663" i="2"/>
  <c r="BQ663" i="2"/>
  <c r="BP663" i="2"/>
  <c r="BO663" i="2"/>
  <c r="BN663" i="2"/>
  <c r="BM663" i="2"/>
  <c r="BL663" i="2"/>
  <c r="BK663" i="2"/>
  <c r="BJ663" i="2"/>
  <c r="BI663" i="2"/>
  <c r="BH663" i="2"/>
  <c r="BG663" i="2"/>
  <c r="BF663" i="2"/>
  <c r="BE663" i="2"/>
  <c r="BD663" i="2"/>
  <c r="BC663" i="2"/>
  <c r="BB663" i="2"/>
  <c r="BA663" i="2"/>
  <c r="AZ663" i="2"/>
  <c r="AY663" i="2"/>
  <c r="AX663" i="2"/>
  <c r="AW663" i="2"/>
  <c r="CA662" i="2"/>
  <c r="BY662" i="2"/>
  <c r="BX662" i="2"/>
  <c r="BW662" i="2"/>
  <c r="BV662" i="2"/>
  <c r="BU662" i="2"/>
  <c r="BT662" i="2"/>
  <c r="BS662" i="2"/>
  <c r="BR662" i="2"/>
  <c r="BQ662" i="2"/>
  <c r="BP662" i="2"/>
  <c r="BO662" i="2"/>
  <c r="BN662" i="2"/>
  <c r="BM662" i="2"/>
  <c r="BL662" i="2"/>
  <c r="BK662" i="2"/>
  <c r="BJ662" i="2"/>
  <c r="BI662" i="2"/>
  <c r="BH662" i="2"/>
  <c r="BG662" i="2"/>
  <c r="BF662" i="2"/>
  <c r="BE662" i="2"/>
  <c r="BD662" i="2"/>
  <c r="BC662" i="2"/>
  <c r="BB662" i="2"/>
  <c r="BA662" i="2"/>
  <c r="AZ662" i="2"/>
  <c r="AY662" i="2"/>
  <c r="AX662" i="2"/>
  <c r="AW662" i="2"/>
  <c r="CA661" i="2"/>
  <c r="BY661" i="2"/>
  <c r="BX661" i="2"/>
  <c r="BW661" i="2"/>
  <c r="BV661" i="2"/>
  <c r="BU661" i="2"/>
  <c r="BT661" i="2"/>
  <c r="BS661" i="2"/>
  <c r="BR661" i="2"/>
  <c r="BQ661" i="2"/>
  <c r="BP661" i="2"/>
  <c r="BO661" i="2"/>
  <c r="BN661" i="2"/>
  <c r="BM661" i="2"/>
  <c r="BL661" i="2"/>
  <c r="BK661" i="2"/>
  <c r="BJ661" i="2"/>
  <c r="BI661" i="2"/>
  <c r="BH661" i="2"/>
  <c r="BG661" i="2"/>
  <c r="BF661" i="2"/>
  <c r="BE661" i="2"/>
  <c r="BD661" i="2"/>
  <c r="BC661" i="2"/>
  <c r="BB661" i="2"/>
  <c r="BA661" i="2"/>
  <c r="AZ661" i="2"/>
  <c r="AY661" i="2"/>
  <c r="AX661" i="2"/>
  <c r="AW661" i="2"/>
  <c r="CA660" i="2"/>
  <c r="BY660" i="2"/>
  <c r="BX660" i="2"/>
  <c r="BW660" i="2"/>
  <c r="BV660" i="2"/>
  <c r="BU660" i="2"/>
  <c r="BT660" i="2"/>
  <c r="BS660" i="2"/>
  <c r="BR660" i="2"/>
  <c r="BQ660" i="2"/>
  <c r="BP660" i="2"/>
  <c r="BO660" i="2"/>
  <c r="BN660" i="2"/>
  <c r="BM660" i="2"/>
  <c r="BL660" i="2"/>
  <c r="BK660" i="2"/>
  <c r="BJ660" i="2"/>
  <c r="BI660" i="2"/>
  <c r="BH660" i="2"/>
  <c r="BG660" i="2"/>
  <c r="BF660" i="2"/>
  <c r="BE660" i="2"/>
  <c r="BD660" i="2"/>
  <c r="BC660" i="2"/>
  <c r="BB660" i="2"/>
  <c r="BA660" i="2"/>
  <c r="AZ660" i="2"/>
  <c r="AY660" i="2"/>
  <c r="AX660" i="2"/>
  <c r="AW660" i="2"/>
  <c r="CA659" i="2"/>
  <c r="BY659" i="2"/>
  <c r="BX659" i="2"/>
  <c r="BW659" i="2"/>
  <c r="BV659" i="2"/>
  <c r="BU659" i="2"/>
  <c r="BT659" i="2"/>
  <c r="BS659" i="2"/>
  <c r="BR659" i="2"/>
  <c r="BQ659" i="2"/>
  <c r="BP659" i="2"/>
  <c r="BO659" i="2"/>
  <c r="BN659" i="2"/>
  <c r="BM659" i="2"/>
  <c r="BL659" i="2"/>
  <c r="BK659" i="2"/>
  <c r="BJ659" i="2"/>
  <c r="BI659" i="2"/>
  <c r="BH659" i="2"/>
  <c r="BG659" i="2"/>
  <c r="BF659" i="2"/>
  <c r="BE659" i="2"/>
  <c r="BD659" i="2"/>
  <c r="BC659" i="2"/>
  <c r="BB659" i="2"/>
  <c r="BA659" i="2"/>
  <c r="AZ659" i="2"/>
  <c r="AY659" i="2"/>
  <c r="AX659" i="2"/>
  <c r="AW659" i="2"/>
  <c r="CA658" i="2"/>
  <c r="BY658" i="2"/>
  <c r="BX658" i="2"/>
  <c r="BW658" i="2"/>
  <c r="BV658" i="2"/>
  <c r="BU658" i="2"/>
  <c r="BT658" i="2"/>
  <c r="BS658" i="2"/>
  <c r="BR658" i="2"/>
  <c r="BQ658" i="2"/>
  <c r="BP658" i="2"/>
  <c r="BO658" i="2"/>
  <c r="BN658" i="2"/>
  <c r="BM658" i="2"/>
  <c r="BL658" i="2"/>
  <c r="BK658" i="2"/>
  <c r="BJ658" i="2"/>
  <c r="BI658" i="2"/>
  <c r="BH658" i="2"/>
  <c r="BG658" i="2"/>
  <c r="BF658" i="2"/>
  <c r="BE658" i="2"/>
  <c r="BD658" i="2"/>
  <c r="BC658" i="2"/>
  <c r="BB658" i="2"/>
  <c r="BA658" i="2"/>
  <c r="AZ658" i="2"/>
  <c r="AY658" i="2"/>
  <c r="AX658" i="2"/>
  <c r="AW658" i="2"/>
  <c r="CA657" i="2"/>
  <c r="BY657" i="2"/>
  <c r="BX657" i="2"/>
  <c r="BW657" i="2"/>
  <c r="BV657" i="2"/>
  <c r="BU657" i="2"/>
  <c r="BT657" i="2"/>
  <c r="BS657" i="2"/>
  <c r="BR657" i="2"/>
  <c r="BQ657" i="2"/>
  <c r="BP657" i="2"/>
  <c r="BO657" i="2"/>
  <c r="BN657" i="2"/>
  <c r="BM657" i="2"/>
  <c r="BL657" i="2"/>
  <c r="BK657" i="2"/>
  <c r="BJ657" i="2"/>
  <c r="BI657" i="2"/>
  <c r="BH657" i="2"/>
  <c r="BG657" i="2"/>
  <c r="BF657" i="2"/>
  <c r="BE657" i="2"/>
  <c r="BD657" i="2"/>
  <c r="BC657" i="2"/>
  <c r="BB657" i="2"/>
  <c r="BA657" i="2"/>
  <c r="AZ657" i="2"/>
  <c r="AY657" i="2"/>
  <c r="AX657" i="2"/>
  <c r="AW657" i="2"/>
  <c r="CA656" i="2"/>
  <c r="BY656" i="2"/>
  <c r="BX656" i="2"/>
  <c r="BW656" i="2"/>
  <c r="BV656" i="2"/>
  <c r="BU656" i="2"/>
  <c r="BT656" i="2"/>
  <c r="BS656" i="2"/>
  <c r="BR656" i="2"/>
  <c r="BQ656" i="2"/>
  <c r="BP656" i="2"/>
  <c r="BO656" i="2"/>
  <c r="BN656" i="2"/>
  <c r="BM656" i="2"/>
  <c r="BL656" i="2"/>
  <c r="BK656" i="2"/>
  <c r="BJ656" i="2"/>
  <c r="BI656" i="2"/>
  <c r="BH656" i="2"/>
  <c r="BG656" i="2"/>
  <c r="BF656" i="2"/>
  <c r="BE656" i="2"/>
  <c r="BD656" i="2"/>
  <c r="BC656" i="2"/>
  <c r="BB656" i="2"/>
  <c r="BA656" i="2"/>
  <c r="AZ656" i="2"/>
  <c r="AY656" i="2"/>
  <c r="AX656" i="2"/>
  <c r="AW656" i="2"/>
  <c r="CA655" i="2"/>
  <c r="BY655" i="2"/>
  <c r="BX655" i="2"/>
  <c r="BW655" i="2"/>
  <c r="BV655" i="2"/>
  <c r="BU655" i="2"/>
  <c r="BT655" i="2"/>
  <c r="BS655" i="2"/>
  <c r="BR655" i="2"/>
  <c r="BQ655" i="2"/>
  <c r="BP655" i="2"/>
  <c r="BO655" i="2"/>
  <c r="BN655" i="2"/>
  <c r="BM655" i="2"/>
  <c r="BL655" i="2"/>
  <c r="BK655" i="2"/>
  <c r="BJ655" i="2"/>
  <c r="BI655" i="2"/>
  <c r="BH655" i="2"/>
  <c r="BG655" i="2"/>
  <c r="BF655" i="2"/>
  <c r="BE655" i="2"/>
  <c r="BD655" i="2"/>
  <c r="BC655" i="2"/>
  <c r="BB655" i="2"/>
  <c r="BA655" i="2"/>
  <c r="AZ655" i="2"/>
  <c r="AY655" i="2"/>
  <c r="AX655" i="2"/>
  <c r="AW655" i="2"/>
  <c r="CA654" i="2"/>
  <c r="BY654" i="2"/>
  <c r="BX654" i="2"/>
  <c r="BW654" i="2"/>
  <c r="BV654" i="2"/>
  <c r="BU654" i="2"/>
  <c r="BT654" i="2"/>
  <c r="BS654" i="2"/>
  <c r="BR654" i="2"/>
  <c r="BQ654" i="2"/>
  <c r="BP654" i="2"/>
  <c r="BO654" i="2"/>
  <c r="BN654" i="2"/>
  <c r="BM654" i="2"/>
  <c r="BL654" i="2"/>
  <c r="BK654" i="2"/>
  <c r="BJ654" i="2"/>
  <c r="BI654" i="2"/>
  <c r="BH654" i="2"/>
  <c r="BG654" i="2"/>
  <c r="BF654" i="2"/>
  <c r="BE654" i="2"/>
  <c r="BD654" i="2"/>
  <c r="BC654" i="2"/>
  <c r="BB654" i="2"/>
  <c r="BA654" i="2"/>
  <c r="AZ654" i="2"/>
  <c r="AY654" i="2"/>
  <c r="AX654" i="2"/>
  <c r="AW654" i="2"/>
  <c r="BZ654" i="2" s="1"/>
  <c r="CC654" i="2" s="1"/>
  <c r="CA653" i="2"/>
  <c r="BY653" i="2"/>
  <c r="BX653" i="2"/>
  <c r="BW653" i="2"/>
  <c r="BV653" i="2"/>
  <c r="BU653" i="2"/>
  <c r="BT653" i="2"/>
  <c r="BS653" i="2"/>
  <c r="BR653" i="2"/>
  <c r="BQ653" i="2"/>
  <c r="BP653" i="2"/>
  <c r="BO653" i="2"/>
  <c r="BN653" i="2"/>
  <c r="BM653" i="2"/>
  <c r="BL653" i="2"/>
  <c r="BK653" i="2"/>
  <c r="BJ653" i="2"/>
  <c r="BI653" i="2"/>
  <c r="BH653" i="2"/>
  <c r="BG653" i="2"/>
  <c r="BF653" i="2"/>
  <c r="BE653" i="2"/>
  <c r="BD653" i="2"/>
  <c r="BC653" i="2"/>
  <c r="BB653" i="2"/>
  <c r="BA653" i="2"/>
  <c r="AZ653" i="2"/>
  <c r="AY653" i="2"/>
  <c r="AX653" i="2"/>
  <c r="AW653" i="2"/>
  <c r="CA652" i="2"/>
  <c r="BY652" i="2"/>
  <c r="BX652" i="2"/>
  <c r="BW652" i="2"/>
  <c r="BV652" i="2"/>
  <c r="BU652" i="2"/>
  <c r="BT652" i="2"/>
  <c r="BS652" i="2"/>
  <c r="BR652" i="2"/>
  <c r="BQ652" i="2"/>
  <c r="BP652" i="2"/>
  <c r="BO652" i="2"/>
  <c r="BN652" i="2"/>
  <c r="BM652" i="2"/>
  <c r="BL652" i="2"/>
  <c r="BK652" i="2"/>
  <c r="BJ652" i="2"/>
  <c r="BI652" i="2"/>
  <c r="BH652" i="2"/>
  <c r="BG652" i="2"/>
  <c r="BF652" i="2"/>
  <c r="BE652" i="2"/>
  <c r="BD652" i="2"/>
  <c r="BC652" i="2"/>
  <c r="BB652" i="2"/>
  <c r="BA652" i="2"/>
  <c r="AZ652" i="2"/>
  <c r="AY652" i="2"/>
  <c r="AX652" i="2"/>
  <c r="AW652" i="2"/>
  <c r="CA651" i="2"/>
  <c r="BY651" i="2"/>
  <c r="BX651" i="2"/>
  <c r="BW651" i="2"/>
  <c r="BV651" i="2"/>
  <c r="BU651" i="2"/>
  <c r="BT651" i="2"/>
  <c r="BS651" i="2"/>
  <c r="BR651" i="2"/>
  <c r="BQ651" i="2"/>
  <c r="BP651" i="2"/>
  <c r="BO651" i="2"/>
  <c r="BN651" i="2"/>
  <c r="BM651" i="2"/>
  <c r="BL651" i="2"/>
  <c r="BK651" i="2"/>
  <c r="BJ651" i="2"/>
  <c r="BI651" i="2"/>
  <c r="BH651" i="2"/>
  <c r="BG651" i="2"/>
  <c r="BF651" i="2"/>
  <c r="BE651" i="2"/>
  <c r="BD651" i="2"/>
  <c r="BC651" i="2"/>
  <c r="BB651" i="2"/>
  <c r="BA651" i="2"/>
  <c r="AZ651" i="2"/>
  <c r="AY651" i="2"/>
  <c r="AX651" i="2"/>
  <c r="AW651" i="2"/>
  <c r="BZ651" i="2" s="1"/>
  <c r="CC651" i="2" s="1"/>
  <c r="CA650" i="2"/>
  <c r="BY650" i="2"/>
  <c r="BX650" i="2"/>
  <c r="BW650" i="2"/>
  <c r="BV650" i="2"/>
  <c r="BU650" i="2"/>
  <c r="BT650" i="2"/>
  <c r="BS650" i="2"/>
  <c r="BR650" i="2"/>
  <c r="BQ650" i="2"/>
  <c r="BP650" i="2"/>
  <c r="BO650" i="2"/>
  <c r="BN650" i="2"/>
  <c r="BM650" i="2"/>
  <c r="BL650" i="2"/>
  <c r="BK650" i="2"/>
  <c r="BJ650" i="2"/>
  <c r="BI650" i="2"/>
  <c r="BH650" i="2"/>
  <c r="BG650" i="2"/>
  <c r="BF650" i="2"/>
  <c r="BE650" i="2"/>
  <c r="BD650" i="2"/>
  <c r="BC650" i="2"/>
  <c r="BB650" i="2"/>
  <c r="BA650" i="2"/>
  <c r="AZ650" i="2"/>
  <c r="AY650" i="2"/>
  <c r="AX650" i="2"/>
  <c r="AW650" i="2"/>
  <c r="CA649" i="2"/>
  <c r="BY649" i="2"/>
  <c r="BX649" i="2"/>
  <c r="BW649" i="2"/>
  <c r="BV649" i="2"/>
  <c r="BU649" i="2"/>
  <c r="BT649" i="2"/>
  <c r="BS649" i="2"/>
  <c r="BR649" i="2"/>
  <c r="BQ649" i="2"/>
  <c r="BP649" i="2"/>
  <c r="BO649" i="2"/>
  <c r="BN649" i="2"/>
  <c r="BM649" i="2"/>
  <c r="BL649" i="2"/>
  <c r="BK649" i="2"/>
  <c r="BJ649" i="2"/>
  <c r="BI649" i="2"/>
  <c r="BH649" i="2"/>
  <c r="BG649" i="2"/>
  <c r="BF649" i="2"/>
  <c r="BE649" i="2"/>
  <c r="BD649" i="2"/>
  <c r="BC649" i="2"/>
  <c r="BB649" i="2"/>
  <c r="BA649" i="2"/>
  <c r="AZ649" i="2"/>
  <c r="AY649" i="2"/>
  <c r="AX649" i="2"/>
  <c r="AW649" i="2"/>
  <c r="CA648" i="2"/>
  <c r="BY648" i="2"/>
  <c r="BX648" i="2"/>
  <c r="BW648" i="2"/>
  <c r="BV648" i="2"/>
  <c r="BU648" i="2"/>
  <c r="BT648" i="2"/>
  <c r="BS648" i="2"/>
  <c r="BR648" i="2"/>
  <c r="BQ648" i="2"/>
  <c r="BP648" i="2"/>
  <c r="BO648" i="2"/>
  <c r="BN648" i="2"/>
  <c r="BM648" i="2"/>
  <c r="BL648" i="2"/>
  <c r="BK648" i="2"/>
  <c r="BJ648" i="2"/>
  <c r="BI648" i="2"/>
  <c r="BH648" i="2"/>
  <c r="BG648" i="2"/>
  <c r="BF648" i="2"/>
  <c r="BE648" i="2"/>
  <c r="BD648" i="2"/>
  <c r="BC648" i="2"/>
  <c r="BB648" i="2"/>
  <c r="BA648" i="2"/>
  <c r="AZ648" i="2"/>
  <c r="AY648" i="2"/>
  <c r="AX648" i="2"/>
  <c r="AW648" i="2"/>
  <c r="BZ648" i="2" s="1"/>
  <c r="CC648" i="2" s="1"/>
  <c r="CA647" i="2"/>
  <c r="BY647" i="2"/>
  <c r="BX647" i="2"/>
  <c r="BW647" i="2"/>
  <c r="BV647" i="2"/>
  <c r="BU647" i="2"/>
  <c r="BT647" i="2"/>
  <c r="BS647" i="2"/>
  <c r="BR647" i="2"/>
  <c r="BQ647" i="2"/>
  <c r="BP647" i="2"/>
  <c r="BO647" i="2"/>
  <c r="BN647" i="2"/>
  <c r="BM647" i="2"/>
  <c r="BL647" i="2"/>
  <c r="BK647" i="2"/>
  <c r="BJ647" i="2"/>
  <c r="BI647" i="2"/>
  <c r="BH647" i="2"/>
  <c r="BG647" i="2"/>
  <c r="BF647" i="2"/>
  <c r="BE647" i="2"/>
  <c r="BD647" i="2"/>
  <c r="BC647" i="2"/>
  <c r="BB647" i="2"/>
  <c r="BA647" i="2"/>
  <c r="AZ647" i="2"/>
  <c r="AY647" i="2"/>
  <c r="AX647" i="2"/>
  <c r="AW647" i="2"/>
  <c r="CA646" i="2"/>
  <c r="BY646" i="2"/>
  <c r="BX646" i="2"/>
  <c r="BW646" i="2"/>
  <c r="BV646" i="2"/>
  <c r="BU646" i="2"/>
  <c r="BT646" i="2"/>
  <c r="BS646" i="2"/>
  <c r="BR646" i="2"/>
  <c r="BQ646" i="2"/>
  <c r="BP646" i="2"/>
  <c r="BO646" i="2"/>
  <c r="BN646" i="2"/>
  <c r="BM646" i="2"/>
  <c r="BL646" i="2"/>
  <c r="BK646" i="2"/>
  <c r="BJ646" i="2"/>
  <c r="BI646" i="2"/>
  <c r="BH646" i="2"/>
  <c r="BG646" i="2"/>
  <c r="BF646" i="2"/>
  <c r="BE646" i="2"/>
  <c r="BD646" i="2"/>
  <c r="BC646" i="2"/>
  <c r="BB646" i="2"/>
  <c r="BA646" i="2"/>
  <c r="AZ646" i="2"/>
  <c r="AY646" i="2"/>
  <c r="AX646" i="2"/>
  <c r="AW646" i="2"/>
  <c r="CA645" i="2"/>
  <c r="BY645" i="2"/>
  <c r="BX645" i="2"/>
  <c r="BW645" i="2"/>
  <c r="BV645" i="2"/>
  <c r="BU645" i="2"/>
  <c r="BT645" i="2"/>
  <c r="BS645" i="2"/>
  <c r="BR645" i="2"/>
  <c r="BQ645" i="2"/>
  <c r="BP645" i="2"/>
  <c r="BO645" i="2"/>
  <c r="BN645" i="2"/>
  <c r="BM645" i="2"/>
  <c r="BL645" i="2"/>
  <c r="BK645" i="2"/>
  <c r="BJ645" i="2"/>
  <c r="BI645" i="2"/>
  <c r="BH645" i="2"/>
  <c r="BG645" i="2"/>
  <c r="BF645" i="2"/>
  <c r="BE645" i="2"/>
  <c r="BD645" i="2"/>
  <c r="BC645" i="2"/>
  <c r="BB645" i="2"/>
  <c r="BA645" i="2"/>
  <c r="AZ645" i="2"/>
  <c r="AY645" i="2"/>
  <c r="AX645" i="2"/>
  <c r="AW645" i="2"/>
  <c r="BZ645" i="2" s="1"/>
  <c r="CA644" i="2"/>
  <c r="BY644" i="2"/>
  <c r="BX644" i="2"/>
  <c r="BW644" i="2"/>
  <c r="BV644" i="2"/>
  <c r="BU644" i="2"/>
  <c r="BT644" i="2"/>
  <c r="BS644" i="2"/>
  <c r="BR644" i="2"/>
  <c r="BQ644" i="2"/>
  <c r="BP644" i="2"/>
  <c r="BO644" i="2"/>
  <c r="BN644" i="2"/>
  <c r="BM644" i="2"/>
  <c r="BL644" i="2"/>
  <c r="BK644" i="2"/>
  <c r="BJ644" i="2"/>
  <c r="BI644" i="2"/>
  <c r="BH644" i="2"/>
  <c r="BG644" i="2"/>
  <c r="BF644" i="2"/>
  <c r="BE644" i="2"/>
  <c r="BD644" i="2"/>
  <c r="BC644" i="2"/>
  <c r="BB644" i="2"/>
  <c r="BA644" i="2"/>
  <c r="AZ644" i="2"/>
  <c r="AY644" i="2"/>
  <c r="AX644" i="2"/>
  <c r="AW644" i="2"/>
  <c r="CA643" i="2"/>
  <c r="BY643" i="2"/>
  <c r="BX643" i="2"/>
  <c r="BW643" i="2"/>
  <c r="BV643" i="2"/>
  <c r="BU643" i="2"/>
  <c r="BT643" i="2"/>
  <c r="BS643" i="2"/>
  <c r="BR643" i="2"/>
  <c r="BQ643" i="2"/>
  <c r="BP643" i="2"/>
  <c r="BO643" i="2"/>
  <c r="BN643" i="2"/>
  <c r="BM643" i="2"/>
  <c r="BL643" i="2"/>
  <c r="BK643" i="2"/>
  <c r="BJ643" i="2"/>
  <c r="BI643" i="2"/>
  <c r="BH643" i="2"/>
  <c r="BG643" i="2"/>
  <c r="BF643" i="2"/>
  <c r="BE643" i="2"/>
  <c r="BD643" i="2"/>
  <c r="BC643" i="2"/>
  <c r="BB643" i="2"/>
  <c r="BA643" i="2"/>
  <c r="AZ643" i="2"/>
  <c r="AY643" i="2"/>
  <c r="AX643" i="2"/>
  <c r="AW643" i="2"/>
  <c r="CA642" i="2"/>
  <c r="BY642" i="2"/>
  <c r="BX642" i="2"/>
  <c r="BW642" i="2"/>
  <c r="BV642" i="2"/>
  <c r="BU642" i="2"/>
  <c r="BT642" i="2"/>
  <c r="BS642" i="2"/>
  <c r="BR642" i="2"/>
  <c r="BQ642" i="2"/>
  <c r="BP642" i="2"/>
  <c r="BO642" i="2"/>
  <c r="BN642" i="2"/>
  <c r="BM642" i="2"/>
  <c r="BL642" i="2"/>
  <c r="BK642" i="2"/>
  <c r="BJ642" i="2"/>
  <c r="BI642" i="2"/>
  <c r="BH642" i="2"/>
  <c r="BG642" i="2"/>
  <c r="BF642" i="2"/>
  <c r="BE642" i="2"/>
  <c r="BD642" i="2"/>
  <c r="BC642" i="2"/>
  <c r="BB642" i="2"/>
  <c r="BA642" i="2"/>
  <c r="AZ642" i="2"/>
  <c r="AY642" i="2"/>
  <c r="AX642" i="2"/>
  <c r="AW642" i="2"/>
  <c r="BZ642" i="2" s="1"/>
  <c r="CA641" i="2"/>
  <c r="BY641" i="2"/>
  <c r="BX641" i="2"/>
  <c r="BW641" i="2"/>
  <c r="BV641" i="2"/>
  <c r="BU641" i="2"/>
  <c r="BT641" i="2"/>
  <c r="BS641" i="2"/>
  <c r="BR641" i="2"/>
  <c r="BQ641" i="2"/>
  <c r="BP641" i="2"/>
  <c r="BO641" i="2"/>
  <c r="BN641" i="2"/>
  <c r="BM641" i="2"/>
  <c r="BL641" i="2"/>
  <c r="BK641" i="2"/>
  <c r="BJ641" i="2"/>
  <c r="BI641" i="2"/>
  <c r="BH641" i="2"/>
  <c r="BG641" i="2"/>
  <c r="BF641" i="2"/>
  <c r="BE641" i="2"/>
  <c r="BD641" i="2"/>
  <c r="BC641" i="2"/>
  <c r="BB641" i="2"/>
  <c r="BA641" i="2"/>
  <c r="AZ641" i="2"/>
  <c r="AY641" i="2"/>
  <c r="AX641" i="2"/>
  <c r="AW641" i="2"/>
  <c r="CA640" i="2"/>
  <c r="BY640" i="2"/>
  <c r="BX640" i="2"/>
  <c r="BW640" i="2"/>
  <c r="BV640" i="2"/>
  <c r="BU640" i="2"/>
  <c r="BT640" i="2"/>
  <c r="BS640" i="2"/>
  <c r="BR640" i="2"/>
  <c r="BQ640" i="2"/>
  <c r="BP640" i="2"/>
  <c r="BO640" i="2"/>
  <c r="BN640" i="2"/>
  <c r="BM640" i="2"/>
  <c r="BL640" i="2"/>
  <c r="BK640" i="2"/>
  <c r="BJ640" i="2"/>
  <c r="BI640" i="2"/>
  <c r="BH640" i="2"/>
  <c r="BG640" i="2"/>
  <c r="BF640" i="2"/>
  <c r="BE640" i="2"/>
  <c r="BD640" i="2"/>
  <c r="BC640" i="2"/>
  <c r="BB640" i="2"/>
  <c r="BA640" i="2"/>
  <c r="AZ640" i="2"/>
  <c r="AY640" i="2"/>
  <c r="AX640" i="2"/>
  <c r="AW640" i="2"/>
  <c r="CA639" i="2"/>
  <c r="BY639" i="2"/>
  <c r="BX639" i="2"/>
  <c r="BW639" i="2"/>
  <c r="BV639" i="2"/>
  <c r="BU639" i="2"/>
  <c r="BT639" i="2"/>
  <c r="BS639" i="2"/>
  <c r="BR639" i="2"/>
  <c r="BQ639" i="2"/>
  <c r="BP639" i="2"/>
  <c r="BO639" i="2"/>
  <c r="BN639" i="2"/>
  <c r="BM639" i="2"/>
  <c r="BL639" i="2"/>
  <c r="BK639" i="2"/>
  <c r="BJ639" i="2"/>
  <c r="BI639" i="2"/>
  <c r="BH639" i="2"/>
  <c r="BG639" i="2"/>
  <c r="BF639" i="2"/>
  <c r="BE639" i="2"/>
  <c r="BD639" i="2"/>
  <c r="BC639" i="2"/>
  <c r="BB639" i="2"/>
  <c r="BA639" i="2"/>
  <c r="AZ639" i="2"/>
  <c r="AY639" i="2"/>
  <c r="AX639" i="2"/>
  <c r="AW639" i="2"/>
  <c r="BZ639" i="2" s="1"/>
  <c r="CC639" i="2" s="1"/>
  <c r="CA638" i="2"/>
  <c r="BY638" i="2"/>
  <c r="BX638" i="2"/>
  <c r="BW638" i="2"/>
  <c r="BV638" i="2"/>
  <c r="BU638" i="2"/>
  <c r="BT638" i="2"/>
  <c r="BS638" i="2"/>
  <c r="BR638" i="2"/>
  <c r="BQ638" i="2"/>
  <c r="BP638" i="2"/>
  <c r="BO638" i="2"/>
  <c r="BN638" i="2"/>
  <c r="BM638" i="2"/>
  <c r="BL638" i="2"/>
  <c r="BK638" i="2"/>
  <c r="BJ638" i="2"/>
  <c r="BI638" i="2"/>
  <c r="BH638" i="2"/>
  <c r="BG638" i="2"/>
  <c r="BF638" i="2"/>
  <c r="BE638" i="2"/>
  <c r="BD638" i="2"/>
  <c r="BC638" i="2"/>
  <c r="BB638" i="2"/>
  <c r="BA638" i="2"/>
  <c r="AZ638" i="2"/>
  <c r="AY638" i="2"/>
  <c r="AX638" i="2"/>
  <c r="AW638" i="2"/>
  <c r="CA637" i="2"/>
  <c r="BY637" i="2"/>
  <c r="BX637" i="2"/>
  <c r="BW637" i="2"/>
  <c r="BV637" i="2"/>
  <c r="BU637" i="2"/>
  <c r="BT637" i="2"/>
  <c r="BS637" i="2"/>
  <c r="BR637" i="2"/>
  <c r="BQ637" i="2"/>
  <c r="BP637" i="2"/>
  <c r="BO637" i="2"/>
  <c r="BN637" i="2"/>
  <c r="BM637" i="2"/>
  <c r="BL637" i="2"/>
  <c r="BK637" i="2"/>
  <c r="BJ637" i="2"/>
  <c r="BI637" i="2"/>
  <c r="BH637" i="2"/>
  <c r="BG637" i="2"/>
  <c r="BF637" i="2"/>
  <c r="BE637" i="2"/>
  <c r="BD637" i="2"/>
  <c r="BC637" i="2"/>
  <c r="BB637" i="2"/>
  <c r="BA637" i="2"/>
  <c r="AZ637" i="2"/>
  <c r="AY637" i="2"/>
  <c r="AX637" i="2"/>
  <c r="AW637" i="2"/>
  <c r="CA636" i="2"/>
  <c r="BY636" i="2"/>
  <c r="BX636" i="2"/>
  <c r="BW636" i="2"/>
  <c r="BV636" i="2"/>
  <c r="BU636" i="2"/>
  <c r="BT636" i="2"/>
  <c r="BS636" i="2"/>
  <c r="BR636" i="2"/>
  <c r="BQ636" i="2"/>
  <c r="BP636" i="2"/>
  <c r="BO636" i="2"/>
  <c r="BN636" i="2"/>
  <c r="BM636" i="2"/>
  <c r="BL636" i="2"/>
  <c r="BK636" i="2"/>
  <c r="BJ636" i="2"/>
  <c r="BI636" i="2"/>
  <c r="BH636" i="2"/>
  <c r="BG636" i="2"/>
  <c r="BF636" i="2"/>
  <c r="BE636" i="2"/>
  <c r="BD636" i="2"/>
  <c r="BC636" i="2"/>
  <c r="BB636" i="2"/>
  <c r="BA636" i="2"/>
  <c r="AZ636" i="2"/>
  <c r="AY636" i="2"/>
  <c r="AX636" i="2"/>
  <c r="AW636" i="2"/>
  <c r="BZ636" i="2" s="1"/>
  <c r="CC636" i="2" s="1"/>
  <c r="CA635" i="2"/>
  <c r="BY635" i="2"/>
  <c r="BX635" i="2"/>
  <c r="BW635" i="2"/>
  <c r="BV635" i="2"/>
  <c r="BU635" i="2"/>
  <c r="BT635" i="2"/>
  <c r="BS635" i="2"/>
  <c r="BR635" i="2"/>
  <c r="BQ635" i="2"/>
  <c r="BP635" i="2"/>
  <c r="BO635" i="2"/>
  <c r="BN635" i="2"/>
  <c r="BM635" i="2"/>
  <c r="BL635" i="2"/>
  <c r="BK635" i="2"/>
  <c r="BJ635" i="2"/>
  <c r="BI635" i="2"/>
  <c r="BH635" i="2"/>
  <c r="BG635" i="2"/>
  <c r="BF635" i="2"/>
  <c r="BE635" i="2"/>
  <c r="BD635" i="2"/>
  <c r="BC635" i="2"/>
  <c r="BB635" i="2"/>
  <c r="BA635" i="2"/>
  <c r="AZ635" i="2"/>
  <c r="AY635" i="2"/>
  <c r="AX635" i="2"/>
  <c r="AW635" i="2"/>
  <c r="CA634" i="2"/>
  <c r="BY634" i="2"/>
  <c r="BX634" i="2"/>
  <c r="BW634" i="2"/>
  <c r="BV634" i="2"/>
  <c r="BU634" i="2"/>
  <c r="BT634" i="2"/>
  <c r="BS634" i="2"/>
  <c r="BR634" i="2"/>
  <c r="BQ634" i="2"/>
  <c r="BP634" i="2"/>
  <c r="BO634" i="2"/>
  <c r="BN634" i="2"/>
  <c r="BM634" i="2"/>
  <c r="BL634" i="2"/>
  <c r="BK634" i="2"/>
  <c r="BJ634" i="2"/>
  <c r="BI634" i="2"/>
  <c r="BH634" i="2"/>
  <c r="BG634" i="2"/>
  <c r="BF634" i="2"/>
  <c r="BE634" i="2"/>
  <c r="BD634" i="2"/>
  <c r="BC634" i="2"/>
  <c r="BB634" i="2"/>
  <c r="BA634" i="2"/>
  <c r="AZ634" i="2"/>
  <c r="AY634" i="2"/>
  <c r="AX634" i="2"/>
  <c r="AW634" i="2"/>
  <c r="CA633" i="2"/>
  <c r="BY633" i="2"/>
  <c r="BX633" i="2"/>
  <c r="BW633" i="2"/>
  <c r="BV633" i="2"/>
  <c r="BU633" i="2"/>
  <c r="BT633" i="2"/>
  <c r="BS633" i="2"/>
  <c r="BR633" i="2"/>
  <c r="BQ633" i="2"/>
  <c r="BP633" i="2"/>
  <c r="BO633" i="2"/>
  <c r="BN633" i="2"/>
  <c r="BM633" i="2"/>
  <c r="BL633" i="2"/>
  <c r="BK633" i="2"/>
  <c r="BJ633" i="2"/>
  <c r="BI633" i="2"/>
  <c r="BH633" i="2"/>
  <c r="BG633" i="2"/>
  <c r="BF633" i="2"/>
  <c r="BE633" i="2"/>
  <c r="BD633" i="2"/>
  <c r="BC633" i="2"/>
  <c r="BB633" i="2"/>
  <c r="BA633" i="2"/>
  <c r="AZ633" i="2"/>
  <c r="AY633" i="2"/>
  <c r="AX633" i="2"/>
  <c r="AW633" i="2"/>
  <c r="BZ633" i="2" s="1"/>
  <c r="CA632" i="2"/>
  <c r="BY632" i="2"/>
  <c r="BX632" i="2"/>
  <c r="BW632" i="2"/>
  <c r="BV632" i="2"/>
  <c r="BU632" i="2"/>
  <c r="BT632" i="2"/>
  <c r="BS632" i="2"/>
  <c r="BR632" i="2"/>
  <c r="BQ632" i="2"/>
  <c r="BP632" i="2"/>
  <c r="BO632" i="2"/>
  <c r="BN632" i="2"/>
  <c r="BM632" i="2"/>
  <c r="BL632" i="2"/>
  <c r="BK632" i="2"/>
  <c r="BJ632" i="2"/>
  <c r="BI632" i="2"/>
  <c r="BH632" i="2"/>
  <c r="BG632" i="2"/>
  <c r="BF632" i="2"/>
  <c r="BE632" i="2"/>
  <c r="BD632" i="2"/>
  <c r="BC632" i="2"/>
  <c r="BB632" i="2"/>
  <c r="BA632" i="2"/>
  <c r="AZ632" i="2"/>
  <c r="AY632" i="2"/>
  <c r="AX632" i="2"/>
  <c r="AW632" i="2"/>
  <c r="CA631" i="2"/>
  <c r="BY631" i="2"/>
  <c r="BX631" i="2"/>
  <c r="BW631" i="2"/>
  <c r="BV631" i="2"/>
  <c r="BU631" i="2"/>
  <c r="BT631" i="2"/>
  <c r="BS631" i="2"/>
  <c r="BR631" i="2"/>
  <c r="BQ631" i="2"/>
  <c r="BP631" i="2"/>
  <c r="BO631" i="2"/>
  <c r="BN631" i="2"/>
  <c r="BM631" i="2"/>
  <c r="BL631" i="2"/>
  <c r="BK631" i="2"/>
  <c r="BJ631" i="2"/>
  <c r="BI631" i="2"/>
  <c r="BH631" i="2"/>
  <c r="BG631" i="2"/>
  <c r="BF631" i="2"/>
  <c r="BE631" i="2"/>
  <c r="BD631" i="2"/>
  <c r="BC631" i="2"/>
  <c r="BB631" i="2"/>
  <c r="BA631" i="2"/>
  <c r="AZ631" i="2"/>
  <c r="AY631" i="2"/>
  <c r="AX631" i="2"/>
  <c r="AW631" i="2"/>
  <c r="CA630" i="2"/>
  <c r="BY630" i="2"/>
  <c r="BX630" i="2"/>
  <c r="BW630" i="2"/>
  <c r="BV630" i="2"/>
  <c r="BU630" i="2"/>
  <c r="BT630" i="2"/>
  <c r="BS630" i="2"/>
  <c r="BR630" i="2"/>
  <c r="BQ630" i="2"/>
  <c r="BP630" i="2"/>
  <c r="BO630" i="2"/>
  <c r="BN630" i="2"/>
  <c r="BM630" i="2"/>
  <c r="BL630" i="2"/>
  <c r="BK630" i="2"/>
  <c r="BJ630" i="2"/>
  <c r="BI630" i="2"/>
  <c r="BH630" i="2"/>
  <c r="BG630" i="2"/>
  <c r="BF630" i="2"/>
  <c r="BE630" i="2"/>
  <c r="BD630" i="2"/>
  <c r="BC630" i="2"/>
  <c r="BB630" i="2"/>
  <c r="BA630" i="2"/>
  <c r="AZ630" i="2"/>
  <c r="AY630" i="2"/>
  <c r="AX630" i="2"/>
  <c r="AW630" i="2"/>
  <c r="BZ630" i="2" s="1"/>
  <c r="CA629" i="2"/>
  <c r="BY629" i="2"/>
  <c r="BX629" i="2"/>
  <c r="BW629" i="2"/>
  <c r="BV629" i="2"/>
  <c r="BU629" i="2"/>
  <c r="BT629" i="2"/>
  <c r="BS629" i="2"/>
  <c r="BR629" i="2"/>
  <c r="BQ629" i="2"/>
  <c r="BP629" i="2"/>
  <c r="BO629" i="2"/>
  <c r="BN629" i="2"/>
  <c r="BM629" i="2"/>
  <c r="BL629" i="2"/>
  <c r="BK629" i="2"/>
  <c r="BJ629" i="2"/>
  <c r="BI629" i="2"/>
  <c r="BH629" i="2"/>
  <c r="BG629" i="2"/>
  <c r="BF629" i="2"/>
  <c r="BE629" i="2"/>
  <c r="BD629" i="2"/>
  <c r="BC629" i="2"/>
  <c r="BB629" i="2"/>
  <c r="BA629" i="2"/>
  <c r="AZ629" i="2"/>
  <c r="AY629" i="2"/>
  <c r="AX629" i="2"/>
  <c r="AW629" i="2"/>
  <c r="CA628" i="2"/>
  <c r="BY628" i="2"/>
  <c r="BX628" i="2"/>
  <c r="BW628" i="2"/>
  <c r="BV628" i="2"/>
  <c r="BU628" i="2"/>
  <c r="BT628" i="2"/>
  <c r="BS628" i="2"/>
  <c r="BR628" i="2"/>
  <c r="BQ628" i="2"/>
  <c r="BP628" i="2"/>
  <c r="BO628" i="2"/>
  <c r="BN628" i="2"/>
  <c r="BM628" i="2"/>
  <c r="BL628" i="2"/>
  <c r="BK628" i="2"/>
  <c r="BJ628" i="2"/>
  <c r="BI628" i="2"/>
  <c r="BH628" i="2"/>
  <c r="BG628" i="2"/>
  <c r="BF628" i="2"/>
  <c r="BE628" i="2"/>
  <c r="BD628" i="2"/>
  <c r="BC628" i="2"/>
  <c r="BB628" i="2"/>
  <c r="BZ628" i="2" s="1"/>
  <c r="CC628" i="2" s="1"/>
  <c r="BA628" i="2"/>
  <c r="AZ628" i="2"/>
  <c r="AY628" i="2"/>
  <c r="AX628" i="2"/>
  <c r="AW628" i="2"/>
  <c r="CA627" i="2"/>
  <c r="BY627" i="2"/>
  <c r="BX627" i="2"/>
  <c r="BW627" i="2"/>
  <c r="BV627" i="2"/>
  <c r="BU627" i="2"/>
  <c r="BT627" i="2"/>
  <c r="BS627" i="2"/>
  <c r="BR627" i="2"/>
  <c r="BQ627" i="2"/>
  <c r="BP627" i="2"/>
  <c r="BO627" i="2"/>
  <c r="BN627" i="2"/>
  <c r="BM627" i="2"/>
  <c r="BL627" i="2"/>
  <c r="BK627" i="2"/>
  <c r="BJ627" i="2"/>
  <c r="BI627" i="2"/>
  <c r="BH627" i="2"/>
  <c r="BG627" i="2"/>
  <c r="BF627" i="2"/>
  <c r="BE627" i="2"/>
  <c r="BD627" i="2"/>
  <c r="BC627" i="2"/>
  <c r="BB627" i="2"/>
  <c r="BZ627" i="2" s="1"/>
  <c r="CC627" i="2" s="1"/>
  <c r="BA627" i="2"/>
  <c r="AZ627" i="2"/>
  <c r="AY627" i="2"/>
  <c r="AX627" i="2"/>
  <c r="AW627" i="2"/>
  <c r="CA626" i="2"/>
  <c r="BY626" i="2"/>
  <c r="BX626" i="2"/>
  <c r="BW626" i="2"/>
  <c r="BV626" i="2"/>
  <c r="BU626" i="2"/>
  <c r="BT626" i="2"/>
  <c r="BS626" i="2"/>
  <c r="BR626" i="2"/>
  <c r="BQ626" i="2"/>
  <c r="BP626" i="2"/>
  <c r="BO626" i="2"/>
  <c r="BN626" i="2"/>
  <c r="BM626" i="2"/>
  <c r="BL626" i="2"/>
  <c r="BK626" i="2"/>
  <c r="BJ626" i="2"/>
  <c r="BI626" i="2"/>
  <c r="BH626" i="2"/>
  <c r="BG626" i="2"/>
  <c r="BF626" i="2"/>
  <c r="BE626" i="2"/>
  <c r="BD626" i="2"/>
  <c r="BC626" i="2"/>
  <c r="BB626" i="2"/>
  <c r="BZ626" i="2" s="1"/>
  <c r="CC626" i="2" s="1"/>
  <c r="BA626" i="2"/>
  <c r="AZ626" i="2"/>
  <c r="AY626" i="2"/>
  <c r="AX626" i="2"/>
  <c r="AW626" i="2"/>
  <c r="CA625" i="2"/>
  <c r="BY625" i="2"/>
  <c r="BX625" i="2"/>
  <c r="BW625" i="2"/>
  <c r="BV625" i="2"/>
  <c r="BU625" i="2"/>
  <c r="BT625" i="2"/>
  <c r="BS625" i="2"/>
  <c r="BR625" i="2"/>
  <c r="BQ625" i="2"/>
  <c r="BP625" i="2"/>
  <c r="BO625" i="2"/>
  <c r="BN625" i="2"/>
  <c r="BM625" i="2"/>
  <c r="BL625" i="2"/>
  <c r="BK625" i="2"/>
  <c r="BJ625" i="2"/>
  <c r="BI625" i="2"/>
  <c r="BH625" i="2"/>
  <c r="BG625" i="2"/>
  <c r="BF625" i="2"/>
  <c r="BE625" i="2"/>
  <c r="BD625" i="2"/>
  <c r="BC625" i="2"/>
  <c r="BB625" i="2"/>
  <c r="BZ625" i="2" s="1"/>
  <c r="BA625" i="2"/>
  <c r="AZ625" i="2"/>
  <c r="AY625" i="2"/>
  <c r="AX625" i="2"/>
  <c r="AW625" i="2"/>
  <c r="CA624" i="2"/>
  <c r="BY624" i="2"/>
  <c r="BX624" i="2"/>
  <c r="BW624" i="2"/>
  <c r="BV624" i="2"/>
  <c r="BU624" i="2"/>
  <c r="BT624" i="2"/>
  <c r="BS624" i="2"/>
  <c r="BR624" i="2"/>
  <c r="BQ624" i="2"/>
  <c r="BP624" i="2"/>
  <c r="BO624" i="2"/>
  <c r="BN624" i="2"/>
  <c r="BM624" i="2"/>
  <c r="BL624" i="2"/>
  <c r="BK624" i="2"/>
  <c r="BJ624" i="2"/>
  <c r="BI624" i="2"/>
  <c r="BH624" i="2"/>
  <c r="BG624" i="2"/>
  <c r="BF624" i="2"/>
  <c r="BE624" i="2"/>
  <c r="BD624" i="2"/>
  <c r="BC624" i="2"/>
  <c r="BB624" i="2"/>
  <c r="BZ624" i="2" s="1"/>
  <c r="CC624" i="2" s="1"/>
  <c r="BA624" i="2"/>
  <c r="AZ624" i="2"/>
  <c r="AY624" i="2"/>
  <c r="AX624" i="2"/>
  <c r="AW624" i="2"/>
  <c r="CA623" i="2"/>
  <c r="BY623" i="2"/>
  <c r="BX623" i="2"/>
  <c r="BW623" i="2"/>
  <c r="BV623" i="2"/>
  <c r="BU623" i="2"/>
  <c r="BT623" i="2"/>
  <c r="BS623" i="2"/>
  <c r="BR623" i="2"/>
  <c r="BQ623" i="2"/>
  <c r="BP623" i="2"/>
  <c r="BO623" i="2"/>
  <c r="BN623" i="2"/>
  <c r="BM623" i="2"/>
  <c r="BL623" i="2"/>
  <c r="BK623" i="2"/>
  <c r="BJ623" i="2"/>
  <c r="BI623" i="2"/>
  <c r="BH623" i="2"/>
  <c r="BG623" i="2"/>
  <c r="BF623" i="2"/>
  <c r="BE623" i="2"/>
  <c r="BD623" i="2"/>
  <c r="BC623" i="2"/>
  <c r="BB623" i="2"/>
  <c r="BZ623" i="2" s="1"/>
  <c r="CC623" i="2" s="1"/>
  <c r="BA623" i="2"/>
  <c r="AZ623" i="2"/>
  <c r="AY623" i="2"/>
  <c r="AX623" i="2"/>
  <c r="AW623" i="2"/>
  <c r="CA622" i="2"/>
  <c r="BY622" i="2"/>
  <c r="BX622" i="2"/>
  <c r="BW622" i="2"/>
  <c r="BV622" i="2"/>
  <c r="BU622" i="2"/>
  <c r="BT622" i="2"/>
  <c r="BS622" i="2"/>
  <c r="BR622" i="2"/>
  <c r="BQ622" i="2"/>
  <c r="BP622" i="2"/>
  <c r="BO622" i="2"/>
  <c r="BN622" i="2"/>
  <c r="BM622" i="2"/>
  <c r="BL622" i="2"/>
  <c r="BK622" i="2"/>
  <c r="BJ622" i="2"/>
  <c r="BI622" i="2"/>
  <c r="BH622" i="2"/>
  <c r="BG622" i="2"/>
  <c r="BF622" i="2"/>
  <c r="BE622" i="2"/>
  <c r="BD622" i="2"/>
  <c r="BC622" i="2"/>
  <c r="BB622" i="2"/>
  <c r="BZ622" i="2" s="1"/>
  <c r="BA622" i="2"/>
  <c r="AZ622" i="2"/>
  <c r="AY622" i="2"/>
  <c r="AX622" i="2"/>
  <c r="AW622" i="2"/>
  <c r="CA621" i="2"/>
  <c r="BY621" i="2"/>
  <c r="BX621" i="2"/>
  <c r="BW621" i="2"/>
  <c r="BV621" i="2"/>
  <c r="BU621" i="2"/>
  <c r="BT621" i="2"/>
  <c r="BS621" i="2"/>
  <c r="BR621" i="2"/>
  <c r="BQ621" i="2"/>
  <c r="BP621" i="2"/>
  <c r="BO621" i="2"/>
  <c r="BN621" i="2"/>
  <c r="BM621" i="2"/>
  <c r="BL621" i="2"/>
  <c r="BK621" i="2"/>
  <c r="BJ621" i="2"/>
  <c r="BI621" i="2"/>
  <c r="BH621" i="2"/>
  <c r="BG621" i="2"/>
  <c r="BF621" i="2"/>
  <c r="BE621" i="2"/>
  <c r="BD621" i="2"/>
  <c r="BC621" i="2"/>
  <c r="BB621" i="2"/>
  <c r="BZ621" i="2" s="1"/>
  <c r="CC621" i="2" s="1"/>
  <c r="BA621" i="2"/>
  <c r="AZ621" i="2"/>
  <c r="AY621" i="2"/>
  <c r="AX621" i="2"/>
  <c r="AW621" i="2"/>
  <c r="CA620" i="2"/>
  <c r="BY620" i="2"/>
  <c r="BX620" i="2"/>
  <c r="BW620" i="2"/>
  <c r="BV620" i="2"/>
  <c r="BU620" i="2"/>
  <c r="BT620" i="2"/>
  <c r="BS620" i="2"/>
  <c r="BR620" i="2"/>
  <c r="BQ620" i="2"/>
  <c r="BP620" i="2"/>
  <c r="BO620" i="2"/>
  <c r="BN620" i="2"/>
  <c r="BM620" i="2"/>
  <c r="BL620" i="2"/>
  <c r="BK620" i="2"/>
  <c r="BJ620" i="2"/>
  <c r="BI620" i="2"/>
  <c r="BH620" i="2"/>
  <c r="BG620" i="2"/>
  <c r="BF620" i="2"/>
  <c r="BE620" i="2"/>
  <c r="BD620" i="2"/>
  <c r="BC620" i="2"/>
  <c r="BB620" i="2"/>
  <c r="BZ620" i="2" s="1"/>
  <c r="CC620" i="2" s="1"/>
  <c r="BA620" i="2"/>
  <c r="AZ620" i="2"/>
  <c r="AY620" i="2"/>
  <c r="AX620" i="2"/>
  <c r="AW620" i="2"/>
  <c r="CA619" i="2"/>
  <c r="BY619" i="2"/>
  <c r="BX619" i="2"/>
  <c r="BW619" i="2"/>
  <c r="BV619" i="2"/>
  <c r="BU619" i="2"/>
  <c r="BT619" i="2"/>
  <c r="BS619" i="2"/>
  <c r="BR619" i="2"/>
  <c r="BQ619" i="2"/>
  <c r="BP619" i="2"/>
  <c r="BO619" i="2"/>
  <c r="BN619" i="2"/>
  <c r="BM619" i="2"/>
  <c r="BL619" i="2"/>
  <c r="BK619" i="2"/>
  <c r="BJ619" i="2"/>
  <c r="BI619" i="2"/>
  <c r="BH619" i="2"/>
  <c r="BG619" i="2"/>
  <c r="BF619" i="2"/>
  <c r="BE619" i="2"/>
  <c r="BD619" i="2"/>
  <c r="BC619" i="2"/>
  <c r="BB619" i="2"/>
  <c r="BZ619" i="2" s="1"/>
  <c r="BA619" i="2"/>
  <c r="AZ619" i="2"/>
  <c r="AY619" i="2"/>
  <c r="AX619" i="2"/>
  <c r="AW619" i="2"/>
  <c r="CA618" i="2"/>
  <c r="BY618" i="2"/>
  <c r="BX618" i="2"/>
  <c r="BW618" i="2"/>
  <c r="BV618" i="2"/>
  <c r="BU618" i="2"/>
  <c r="BT618" i="2"/>
  <c r="BS618" i="2"/>
  <c r="BR618" i="2"/>
  <c r="BQ618" i="2"/>
  <c r="BP618" i="2"/>
  <c r="BO618" i="2"/>
  <c r="BN618" i="2"/>
  <c r="BM618" i="2"/>
  <c r="BL618" i="2"/>
  <c r="BK618" i="2"/>
  <c r="BJ618" i="2"/>
  <c r="BI618" i="2"/>
  <c r="BH618" i="2"/>
  <c r="BG618" i="2"/>
  <c r="BF618" i="2"/>
  <c r="BE618" i="2"/>
  <c r="BD618" i="2"/>
  <c r="BC618" i="2"/>
  <c r="BB618" i="2"/>
  <c r="BZ618" i="2" s="1"/>
  <c r="CC618" i="2" s="1"/>
  <c r="BA618" i="2"/>
  <c r="AZ618" i="2"/>
  <c r="AY618" i="2"/>
  <c r="AX618" i="2"/>
  <c r="AW618" i="2"/>
  <c r="CA617" i="2"/>
  <c r="BY617" i="2"/>
  <c r="BX617" i="2"/>
  <c r="BW617" i="2"/>
  <c r="BV617" i="2"/>
  <c r="BU617" i="2"/>
  <c r="BT617" i="2"/>
  <c r="BS617" i="2"/>
  <c r="BR617" i="2"/>
  <c r="BQ617" i="2"/>
  <c r="BP617" i="2"/>
  <c r="BO617" i="2"/>
  <c r="BN617" i="2"/>
  <c r="BM617" i="2"/>
  <c r="BL617" i="2"/>
  <c r="BK617" i="2"/>
  <c r="BJ617" i="2"/>
  <c r="BI617" i="2"/>
  <c r="BH617" i="2"/>
  <c r="BG617" i="2"/>
  <c r="BF617" i="2"/>
  <c r="BE617" i="2"/>
  <c r="BD617" i="2"/>
  <c r="BC617" i="2"/>
  <c r="BB617" i="2"/>
  <c r="BZ617" i="2" s="1"/>
  <c r="CC617" i="2" s="1"/>
  <c r="BA617" i="2"/>
  <c r="AZ617" i="2"/>
  <c r="AY617" i="2"/>
  <c r="AX617" i="2"/>
  <c r="AW617" i="2"/>
  <c r="CA616" i="2"/>
  <c r="BY616" i="2"/>
  <c r="BX616" i="2"/>
  <c r="BW616" i="2"/>
  <c r="BV616" i="2"/>
  <c r="BU616" i="2"/>
  <c r="BT616" i="2"/>
  <c r="BS616" i="2"/>
  <c r="BR616" i="2"/>
  <c r="BQ616" i="2"/>
  <c r="BP616" i="2"/>
  <c r="BO616" i="2"/>
  <c r="BN616" i="2"/>
  <c r="BM616" i="2"/>
  <c r="BL616" i="2"/>
  <c r="BK616" i="2"/>
  <c r="BJ616" i="2"/>
  <c r="BI616" i="2"/>
  <c r="BH616" i="2"/>
  <c r="BG616" i="2"/>
  <c r="BF616" i="2"/>
  <c r="BE616" i="2"/>
  <c r="BD616" i="2"/>
  <c r="BC616" i="2"/>
  <c r="BB616" i="2"/>
  <c r="BZ616" i="2" s="1"/>
  <c r="CC616" i="2" s="1"/>
  <c r="BA616" i="2"/>
  <c r="AZ616" i="2"/>
  <c r="AY616" i="2"/>
  <c r="AX616" i="2"/>
  <c r="AW616" i="2"/>
  <c r="CA615" i="2"/>
  <c r="BY615" i="2"/>
  <c r="BX615" i="2"/>
  <c r="BW615" i="2"/>
  <c r="BV615" i="2"/>
  <c r="BU615" i="2"/>
  <c r="BT615" i="2"/>
  <c r="BS615" i="2"/>
  <c r="BR615" i="2"/>
  <c r="BQ615" i="2"/>
  <c r="BP615" i="2"/>
  <c r="BO615" i="2"/>
  <c r="BN615" i="2"/>
  <c r="BM615" i="2"/>
  <c r="BL615" i="2"/>
  <c r="BK615" i="2"/>
  <c r="BJ615" i="2"/>
  <c r="BI615" i="2"/>
  <c r="BH615" i="2"/>
  <c r="BG615" i="2"/>
  <c r="BF615" i="2"/>
  <c r="BE615" i="2"/>
  <c r="BD615" i="2"/>
  <c r="BC615" i="2"/>
  <c r="BB615" i="2"/>
  <c r="BZ615" i="2" s="1"/>
  <c r="CC615" i="2" s="1"/>
  <c r="BA615" i="2"/>
  <c r="AZ615" i="2"/>
  <c r="AY615" i="2"/>
  <c r="AX615" i="2"/>
  <c r="AW615" i="2"/>
  <c r="CA614" i="2"/>
  <c r="BY614" i="2"/>
  <c r="BX614" i="2"/>
  <c r="BW614" i="2"/>
  <c r="BV614" i="2"/>
  <c r="BU614" i="2"/>
  <c r="BT614" i="2"/>
  <c r="BS614" i="2"/>
  <c r="BR614" i="2"/>
  <c r="BQ614" i="2"/>
  <c r="BP614" i="2"/>
  <c r="BO614" i="2"/>
  <c r="BN614" i="2"/>
  <c r="BM614" i="2"/>
  <c r="BL614" i="2"/>
  <c r="BK614" i="2"/>
  <c r="BJ614" i="2"/>
  <c r="BI614" i="2"/>
  <c r="BH614" i="2"/>
  <c r="BG614" i="2"/>
  <c r="BF614" i="2"/>
  <c r="BE614" i="2"/>
  <c r="BD614" i="2"/>
  <c r="BC614" i="2"/>
  <c r="BB614" i="2"/>
  <c r="BZ614" i="2" s="1"/>
  <c r="BA614" i="2"/>
  <c r="AZ614" i="2"/>
  <c r="AY614" i="2"/>
  <c r="AX614" i="2"/>
  <c r="AW614" i="2"/>
  <c r="CA613" i="2"/>
  <c r="BY613" i="2"/>
  <c r="BX613" i="2"/>
  <c r="BW613" i="2"/>
  <c r="BV613" i="2"/>
  <c r="BU613" i="2"/>
  <c r="BT613" i="2"/>
  <c r="BS613" i="2"/>
  <c r="BR613" i="2"/>
  <c r="BQ613" i="2"/>
  <c r="BP613" i="2"/>
  <c r="BO613" i="2"/>
  <c r="BN613" i="2"/>
  <c r="BM613" i="2"/>
  <c r="BL613" i="2"/>
  <c r="BK613" i="2"/>
  <c r="BJ613" i="2"/>
  <c r="BI613" i="2"/>
  <c r="BH613" i="2"/>
  <c r="BG613" i="2"/>
  <c r="BF613" i="2"/>
  <c r="BE613" i="2"/>
  <c r="BD613" i="2"/>
  <c r="BC613" i="2"/>
  <c r="BB613" i="2"/>
  <c r="BZ613" i="2" s="1"/>
  <c r="CC613" i="2" s="1"/>
  <c r="BA613" i="2"/>
  <c r="AZ613" i="2"/>
  <c r="AY613" i="2"/>
  <c r="AX613" i="2"/>
  <c r="AW613" i="2"/>
  <c r="CA612" i="2"/>
  <c r="BY612" i="2"/>
  <c r="BX612" i="2"/>
  <c r="BW612" i="2"/>
  <c r="BV612" i="2"/>
  <c r="BU612" i="2"/>
  <c r="BT612" i="2"/>
  <c r="BS612" i="2"/>
  <c r="BR612" i="2"/>
  <c r="BQ612" i="2"/>
  <c r="BP612" i="2"/>
  <c r="BO612" i="2"/>
  <c r="BN612" i="2"/>
  <c r="BM612" i="2"/>
  <c r="BL612" i="2"/>
  <c r="BK612" i="2"/>
  <c r="BJ612" i="2"/>
  <c r="BI612" i="2"/>
  <c r="BH612" i="2"/>
  <c r="BG612" i="2"/>
  <c r="BF612" i="2"/>
  <c r="BE612" i="2"/>
  <c r="BD612" i="2"/>
  <c r="BC612" i="2"/>
  <c r="BB612" i="2"/>
  <c r="BZ612" i="2" s="1"/>
  <c r="BA612" i="2"/>
  <c r="AZ612" i="2"/>
  <c r="AY612" i="2"/>
  <c r="AX612" i="2"/>
  <c r="AW612" i="2"/>
  <c r="CA611" i="2"/>
  <c r="BY611" i="2"/>
  <c r="BX611" i="2"/>
  <c r="BW611" i="2"/>
  <c r="BV611" i="2"/>
  <c r="BU611" i="2"/>
  <c r="BT611" i="2"/>
  <c r="BS611" i="2"/>
  <c r="BR611" i="2"/>
  <c r="BQ611" i="2"/>
  <c r="BP611" i="2"/>
  <c r="BO611" i="2"/>
  <c r="BN611" i="2"/>
  <c r="BM611" i="2"/>
  <c r="BL611" i="2"/>
  <c r="BK611" i="2"/>
  <c r="BJ611" i="2"/>
  <c r="BI611" i="2"/>
  <c r="BH611" i="2"/>
  <c r="BG611" i="2"/>
  <c r="BF611" i="2"/>
  <c r="BE611" i="2"/>
  <c r="BD611" i="2"/>
  <c r="BC611" i="2"/>
  <c r="BB611" i="2"/>
  <c r="BZ611" i="2" s="1"/>
  <c r="CC611" i="2" s="1"/>
  <c r="BA611" i="2"/>
  <c r="AZ611" i="2"/>
  <c r="AY611" i="2"/>
  <c r="AX611" i="2"/>
  <c r="AW611" i="2"/>
  <c r="CA610" i="2"/>
  <c r="BY610" i="2"/>
  <c r="BX610" i="2"/>
  <c r="BW610" i="2"/>
  <c r="BV610" i="2"/>
  <c r="BU610" i="2"/>
  <c r="BT610" i="2"/>
  <c r="BS610" i="2"/>
  <c r="BR610" i="2"/>
  <c r="BQ610" i="2"/>
  <c r="BP610" i="2"/>
  <c r="BO610" i="2"/>
  <c r="BN610" i="2"/>
  <c r="BM610" i="2"/>
  <c r="BL610" i="2"/>
  <c r="BK610" i="2"/>
  <c r="BJ610" i="2"/>
  <c r="BI610" i="2"/>
  <c r="BH610" i="2"/>
  <c r="BG610" i="2"/>
  <c r="BF610" i="2"/>
  <c r="BE610" i="2"/>
  <c r="BD610" i="2"/>
  <c r="BC610" i="2"/>
  <c r="BB610" i="2"/>
  <c r="BZ610" i="2" s="1"/>
  <c r="CC610" i="2" s="1"/>
  <c r="BA610" i="2"/>
  <c r="AZ610" i="2"/>
  <c r="AY610" i="2"/>
  <c r="AX610" i="2"/>
  <c r="AW610" i="2"/>
  <c r="CA609" i="2"/>
  <c r="BY609" i="2"/>
  <c r="BX609" i="2"/>
  <c r="BW609" i="2"/>
  <c r="BV609" i="2"/>
  <c r="BU609" i="2"/>
  <c r="BT609" i="2"/>
  <c r="BS609" i="2"/>
  <c r="BR609" i="2"/>
  <c r="BQ609" i="2"/>
  <c r="BP609" i="2"/>
  <c r="BO609" i="2"/>
  <c r="BN609" i="2"/>
  <c r="BM609" i="2"/>
  <c r="BL609" i="2"/>
  <c r="BK609" i="2"/>
  <c r="BJ609" i="2"/>
  <c r="BI609" i="2"/>
  <c r="BH609" i="2"/>
  <c r="BG609" i="2"/>
  <c r="BF609" i="2"/>
  <c r="BE609" i="2"/>
  <c r="BD609" i="2"/>
  <c r="BC609" i="2"/>
  <c r="BB609" i="2"/>
  <c r="BZ609" i="2" s="1"/>
  <c r="CC609" i="2" s="1"/>
  <c r="BA609" i="2"/>
  <c r="AZ609" i="2"/>
  <c r="AY609" i="2"/>
  <c r="AX609" i="2"/>
  <c r="AW609" i="2"/>
  <c r="CA608" i="2"/>
  <c r="BY608" i="2"/>
  <c r="BX608" i="2"/>
  <c r="BW608" i="2"/>
  <c r="BV608" i="2"/>
  <c r="BU608" i="2"/>
  <c r="BT608" i="2"/>
  <c r="BS608" i="2"/>
  <c r="BR608" i="2"/>
  <c r="BQ608" i="2"/>
  <c r="BP608" i="2"/>
  <c r="BO608" i="2"/>
  <c r="BN608" i="2"/>
  <c r="BM608" i="2"/>
  <c r="BL608" i="2"/>
  <c r="BK608" i="2"/>
  <c r="BJ608" i="2"/>
  <c r="BI608" i="2"/>
  <c r="BH608" i="2"/>
  <c r="BG608" i="2"/>
  <c r="BF608" i="2"/>
  <c r="BE608" i="2"/>
  <c r="BD608" i="2"/>
  <c r="BC608" i="2"/>
  <c r="BB608" i="2"/>
  <c r="BZ608" i="2" s="1"/>
  <c r="CC608" i="2" s="1"/>
  <c r="BA608" i="2"/>
  <c r="AZ608" i="2"/>
  <c r="AY608" i="2"/>
  <c r="AX608" i="2"/>
  <c r="AW608" i="2"/>
  <c r="CA607" i="2"/>
  <c r="BY607" i="2"/>
  <c r="BX607" i="2"/>
  <c r="BW607" i="2"/>
  <c r="BV607" i="2"/>
  <c r="BU607" i="2"/>
  <c r="BT607" i="2"/>
  <c r="BS607" i="2"/>
  <c r="BR607" i="2"/>
  <c r="BQ607" i="2"/>
  <c r="BP607" i="2"/>
  <c r="BO607" i="2"/>
  <c r="BN607" i="2"/>
  <c r="BM607" i="2"/>
  <c r="BL607" i="2"/>
  <c r="BK607" i="2"/>
  <c r="BJ607" i="2"/>
  <c r="BI607" i="2"/>
  <c r="BH607" i="2"/>
  <c r="BG607" i="2"/>
  <c r="BF607" i="2"/>
  <c r="BE607" i="2"/>
  <c r="BD607" i="2"/>
  <c r="BC607" i="2"/>
  <c r="BB607" i="2"/>
  <c r="BZ607" i="2" s="1"/>
  <c r="CC607" i="2" s="1"/>
  <c r="BA607" i="2"/>
  <c r="AZ607" i="2"/>
  <c r="AY607" i="2"/>
  <c r="AX607" i="2"/>
  <c r="AW607" i="2"/>
  <c r="CA606" i="2"/>
  <c r="BY606" i="2"/>
  <c r="BX606" i="2"/>
  <c r="BW606" i="2"/>
  <c r="BV606" i="2"/>
  <c r="BU606" i="2"/>
  <c r="BT606" i="2"/>
  <c r="BS606" i="2"/>
  <c r="BR606" i="2"/>
  <c r="BQ606" i="2"/>
  <c r="BP606" i="2"/>
  <c r="BO606" i="2"/>
  <c r="BN606" i="2"/>
  <c r="BM606" i="2"/>
  <c r="BL606" i="2"/>
  <c r="BK606" i="2"/>
  <c r="BJ606" i="2"/>
  <c r="BI606" i="2"/>
  <c r="BH606" i="2"/>
  <c r="BG606" i="2"/>
  <c r="BF606" i="2"/>
  <c r="BE606" i="2"/>
  <c r="BD606" i="2"/>
  <c r="BC606" i="2"/>
  <c r="BB606" i="2"/>
  <c r="BZ606" i="2" s="1"/>
  <c r="CC606" i="2" s="1"/>
  <c r="BA606" i="2"/>
  <c r="AZ606" i="2"/>
  <c r="AY606" i="2"/>
  <c r="AX606" i="2"/>
  <c r="AW606" i="2"/>
  <c r="CA605" i="2"/>
  <c r="BY605" i="2"/>
  <c r="BX605" i="2"/>
  <c r="BW605" i="2"/>
  <c r="BV605" i="2"/>
  <c r="BU605" i="2"/>
  <c r="BT605" i="2"/>
  <c r="BS605" i="2"/>
  <c r="BR605" i="2"/>
  <c r="BQ605" i="2"/>
  <c r="BP605" i="2"/>
  <c r="BO605" i="2"/>
  <c r="BN605" i="2"/>
  <c r="BM605" i="2"/>
  <c r="BL605" i="2"/>
  <c r="BK605" i="2"/>
  <c r="BJ605" i="2"/>
  <c r="BI605" i="2"/>
  <c r="BH605" i="2"/>
  <c r="BG605" i="2"/>
  <c r="BF605" i="2"/>
  <c r="BE605" i="2"/>
  <c r="BD605" i="2"/>
  <c r="BC605" i="2"/>
  <c r="BB605" i="2"/>
  <c r="BZ605" i="2" s="1"/>
  <c r="CC605" i="2" s="1"/>
  <c r="BA605" i="2"/>
  <c r="AZ605" i="2"/>
  <c r="AY605" i="2"/>
  <c r="AX605" i="2"/>
  <c r="AW605" i="2"/>
  <c r="CA604" i="2"/>
  <c r="BY604" i="2"/>
  <c r="BX604" i="2"/>
  <c r="BW604" i="2"/>
  <c r="BV604" i="2"/>
  <c r="BU604" i="2"/>
  <c r="BT604" i="2"/>
  <c r="BS604" i="2"/>
  <c r="BR604" i="2"/>
  <c r="BQ604" i="2"/>
  <c r="BP604" i="2"/>
  <c r="BO604" i="2"/>
  <c r="BN604" i="2"/>
  <c r="BM604" i="2"/>
  <c r="BL604" i="2"/>
  <c r="BK604" i="2"/>
  <c r="BJ604" i="2"/>
  <c r="BI604" i="2"/>
  <c r="BH604" i="2"/>
  <c r="BG604" i="2"/>
  <c r="BF604" i="2"/>
  <c r="BE604" i="2"/>
  <c r="BD604" i="2"/>
  <c r="BC604" i="2"/>
  <c r="BB604" i="2"/>
  <c r="BZ604" i="2" s="1"/>
  <c r="BA604" i="2"/>
  <c r="AZ604" i="2"/>
  <c r="AY604" i="2"/>
  <c r="AX604" i="2"/>
  <c r="AW604" i="2"/>
  <c r="CA603" i="2"/>
  <c r="BY603" i="2"/>
  <c r="BX603" i="2"/>
  <c r="BW603" i="2"/>
  <c r="BV603" i="2"/>
  <c r="BU603" i="2"/>
  <c r="BT603" i="2"/>
  <c r="BS603" i="2"/>
  <c r="BR603" i="2"/>
  <c r="BQ603" i="2"/>
  <c r="BP603" i="2"/>
  <c r="BO603" i="2"/>
  <c r="BN603" i="2"/>
  <c r="BM603" i="2"/>
  <c r="BL603" i="2"/>
  <c r="BK603" i="2"/>
  <c r="BJ603" i="2"/>
  <c r="BI603" i="2"/>
  <c r="BH603" i="2"/>
  <c r="BG603" i="2"/>
  <c r="BF603" i="2"/>
  <c r="BE603" i="2"/>
  <c r="BD603" i="2"/>
  <c r="BC603" i="2"/>
  <c r="BB603" i="2"/>
  <c r="BZ603" i="2" s="1"/>
  <c r="CC603" i="2" s="1"/>
  <c r="BA603" i="2"/>
  <c r="AZ603" i="2"/>
  <c r="AY603" i="2"/>
  <c r="AX603" i="2"/>
  <c r="AW603" i="2"/>
  <c r="CA602" i="2"/>
  <c r="BY602" i="2"/>
  <c r="BX602" i="2"/>
  <c r="BW602" i="2"/>
  <c r="BV602" i="2"/>
  <c r="BU602" i="2"/>
  <c r="BT602" i="2"/>
  <c r="BS602" i="2"/>
  <c r="BR602" i="2"/>
  <c r="BQ602" i="2"/>
  <c r="BP602" i="2"/>
  <c r="BO602" i="2"/>
  <c r="BN602" i="2"/>
  <c r="BM602" i="2"/>
  <c r="BL602" i="2"/>
  <c r="BK602" i="2"/>
  <c r="BJ602" i="2"/>
  <c r="BI602" i="2"/>
  <c r="BH602" i="2"/>
  <c r="BG602" i="2"/>
  <c r="BF602" i="2"/>
  <c r="BE602" i="2"/>
  <c r="BD602" i="2"/>
  <c r="BC602" i="2"/>
  <c r="BB602" i="2"/>
  <c r="BZ602" i="2" s="1"/>
  <c r="CC602" i="2" s="1"/>
  <c r="BA602" i="2"/>
  <c r="AZ602" i="2"/>
  <c r="AY602" i="2"/>
  <c r="AX602" i="2"/>
  <c r="AW602" i="2"/>
  <c r="CA601" i="2"/>
  <c r="BY601" i="2"/>
  <c r="BX601" i="2"/>
  <c r="BW601" i="2"/>
  <c r="BV601" i="2"/>
  <c r="BU601" i="2"/>
  <c r="BT601" i="2"/>
  <c r="BS601" i="2"/>
  <c r="BR601" i="2"/>
  <c r="BQ601" i="2"/>
  <c r="BP601" i="2"/>
  <c r="BO601" i="2"/>
  <c r="BN601" i="2"/>
  <c r="BM601" i="2"/>
  <c r="BL601" i="2"/>
  <c r="BK601" i="2"/>
  <c r="BJ601" i="2"/>
  <c r="BI601" i="2"/>
  <c r="BH601" i="2"/>
  <c r="BG601" i="2"/>
  <c r="BF601" i="2"/>
  <c r="BE601" i="2"/>
  <c r="BD601" i="2"/>
  <c r="BC601" i="2"/>
  <c r="BB601" i="2"/>
  <c r="BZ601" i="2" s="1"/>
  <c r="CC601" i="2" s="1"/>
  <c r="BA601" i="2"/>
  <c r="AZ601" i="2"/>
  <c r="AY601" i="2"/>
  <c r="AX601" i="2"/>
  <c r="AW601" i="2"/>
  <c r="CA600" i="2"/>
  <c r="BY600" i="2"/>
  <c r="BX600" i="2"/>
  <c r="BW600" i="2"/>
  <c r="BV600" i="2"/>
  <c r="BU600" i="2"/>
  <c r="BT600" i="2"/>
  <c r="BS600" i="2"/>
  <c r="BR600" i="2"/>
  <c r="BQ600" i="2"/>
  <c r="BP600" i="2"/>
  <c r="BO600" i="2"/>
  <c r="BN600" i="2"/>
  <c r="BM600" i="2"/>
  <c r="BL600" i="2"/>
  <c r="BK600" i="2"/>
  <c r="BJ600" i="2"/>
  <c r="BI600" i="2"/>
  <c r="BH600" i="2"/>
  <c r="BG600" i="2"/>
  <c r="BF600" i="2"/>
  <c r="BE600" i="2"/>
  <c r="BD600" i="2"/>
  <c r="BC600" i="2"/>
  <c r="BB600" i="2"/>
  <c r="BZ600" i="2" s="1"/>
  <c r="CC600" i="2" s="1"/>
  <c r="BA600" i="2"/>
  <c r="AZ600" i="2"/>
  <c r="AY600" i="2"/>
  <c r="AX600" i="2"/>
  <c r="AW600" i="2"/>
  <c r="CA599" i="2"/>
  <c r="BY599" i="2"/>
  <c r="BX599" i="2"/>
  <c r="BW599" i="2"/>
  <c r="BV599" i="2"/>
  <c r="BU599" i="2"/>
  <c r="BT599" i="2"/>
  <c r="BS599" i="2"/>
  <c r="BR599" i="2"/>
  <c r="BQ599" i="2"/>
  <c r="BP599" i="2"/>
  <c r="BO599" i="2"/>
  <c r="BN599" i="2"/>
  <c r="BM599" i="2"/>
  <c r="BL599" i="2"/>
  <c r="BK599" i="2"/>
  <c r="BJ599" i="2"/>
  <c r="BI599" i="2"/>
  <c r="BH599" i="2"/>
  <c r="BG599" i="2"/>
  <c r="BF599" i="2"/>
  <c r="BE599" i="2"/>
  <c r="BD599" i="2"/>
  <c r="BC599" i="2"/>
  <c r="BB599" i="2"/>
  <c r="BZ599" i="2" s="1"/>
  <c r="CC599" i="2" s="1"/>
  <c r="BA599" i="2"/>
  <c r="AZ599" i="2"/>
  <c r="AY599" i="2"/>
  <c r="AX599" i="2"/>
  <c r="AW599" i="2"/>
  <c r="CA598" i="2"/>
  <c r="BY598" i="2"/>
  <c r="BX598" i="2"/>
  <c r="BW598" i="2"/>
  <c r="BV598" i="2"/>
  <c r="BU598" i="2"/>
  <c r="BT598" i="2"/>
  <c r="BS598" i="2"/>
  <c r="BR598" i="2"/>
  <c r="BQ598" i="2"/>
  <c r="BP598" i="2"/>
  <c r="BO598" i="2"/>
  <c r="BN598" i="2"/>
  <c r="BM598" i="2"/>
  <c r="BL598" i="2"/>
  <c r="BK598" i="2"/>
  <c r="BJ598" i="2"/>
  <c r="BI598" i="2"/>
  <c r="BH598" i="2"/>
  <c r="BG598" i="2"/>
  <c r="BF598" i="2"/>
  <c r="BE598" i="2"/>
  <c r="BD598" i="2"/>
  <c r="BC598" i="2"/>
  <c r="BB598" i="2"/>
  <c r="BZ598" i="2" s="1"/>
  <c r="BA598" i="2"/>
  <c r="AZ598" i="2"/>
  <c r="AY598" i="2"/>
  <c r="AX598" i="2"/>
  <c r="AW598" i="2"/>
  <c r="CA597" i="2"/>
  <c r="BY597" i="2"/>
  <c r="BX597" i="2"/>
  <c r="BW597" i="2"/>
  <c r="BV597" i="2"/>
  <c r="BU597" i="2"/>
  <c r="BT597" i="2"/>
  <c r="BS597" i="2"/>
  <c r="BR597" i="2"/>
  <c r="BQ597" i="2"/>
  <c r="BP597" i="2"/>
  <c r="BO597" i="2"/>
  <c r="BN597" i="2"/>
  <c r="BM597" i="2"/>
  <c r="BL597" i="2"/>
  <c r="BK597" i="2"/>
  <c r="BJ597" i="2"/>
  <c r="BI597" i="2"/>
  <c r="BH597" i="2"/>
  <c r="BG597" i="2"/>
  <c r="BF597" i="2"/>
  <c r="BE597" i="2"/>
  <c r="BD597" i="2"/>
  <c r="BC597" i="2"/>
  <c r="BB597" i="2"/>
  <c r="BZ597" i="2" s="1"/>
  <c r="CC597" i="2" s="1"/>
  <c r="BA597" i="2"/>
  <c r="AZ597" i="2"/>
  <c r="AY597" i="2"/>
  <c r="AX597" i="2"/>
  <c r="AW597" i="2"/>
  <c r="CA596" i="2"/>
  <c r="BY596" i="2"/>
  <c r="BX596" i="2"/>
  <c r="BW596" i="2"/>
  <c r="BV596" i="2"/>
  <c r="BU596" i="2"/>
  <c r="BT596" i="2"/>
  <c r="BS596" i="2"/>
  <c r="BR596" i="2"/>
  <c r="BQ596" i="2"/>
  <c r="BP596" i="2"/>
  <c r="BO596" i="2"/>
  <c r="BN596" i="2"/>
  <c r="BM596" i="2"/>
  <c r="BL596" i="2"/>
  <c r="BK596" i="2"/>
  <c r="BJ596" i="2"/>
  <c r="BI596" i="2"/>
  <c r="BH596" i="2"/>
  <c r="BG596" i="2"/>
  <c r="BF596" i="2"/>
  <c r="BE596" i="2"/>
  <c r="BD596" i="2"/>
  <c r="BC596" i="2"/>
  <c r="BB596" i="2"/>
  <c r="BZ596" i="2" s="1"/>
  <c r="BA596" i="2"/>
  <c r="AZ596" i="2"/>
  <c r="AY596" i="2"/>
  <c r="AX596" i="2"/>
  <c r="AW596" i="2"/>
  <c r="CA595" i="2"/>
  <c r="BY595" i="2"/>
  <c r="BX595" i="2"/>
  <c r="BW595" i="2"/>
  <c r="BV595" i="2"/>
  <c r="BU595" i="2"/>
  <c r="BT595" i="2"/>
  <c r="BS595" i="2"/>
  <c r="BR595" i="2"/>
  <c r="BQ595" i="2"/>
  <c r="BP595" i="2"/>
  <c r="BO595" i="2"/>
  <c r="BN595" i="2"/>
  <c r="BM595" i="2"/>
  <c r="BL595" i="2"/>
  <c r="BK595" i="2"/>
  <c r="BJ595" i="2"/>
  <c r="BI595" i="2"/>
  <c r="BH595" i="2"/>
  <c r="BG595" i="2"/>
  <c r="BF595" i="2"/>
  <c r="BE595" i="2"/>
  <c r="BD595" i="2"/>
  <c r="BC595" i="2"/>
  <c r="BB595" i="2"/>
  <c r="BZ595" i="2" s="1"/>
  <c r="CC595" i="2" s="1"/>
  <c r="BA595" i="2"/>
  <c r="AZ595" i="2"/>
  <c r="AY595" i="2"/>
  <c r="AX595" i="2"/>
  <c r="AW595" i="2"/>
  <c r="CA594" i="2"/>
  <c r="BY594" i="2"/>
  <c r="BX594" i="2"/>
  <c r="BW594" i="2"/>
  <c r="BV594" i="2"/>
  <c r="BU594" i="2"/>
  <c r="BT594" i="2"/>
  <c r="BS594" i="2"/>
  <c r="BR594" i="2"/>
  <c r="BQ594" i="2"/>
  <c r="BP594" i="2"/>
  <c r="BO594" i="2"/>
  <c r="BN594" i="2"/>
  <c r="BM594" i="2"/>
  <c r="BL594" i="2"/>
  <c r="BK594" i="2"/>
  <c r="BJ594" i="2"/>
  <c r="BI594" i="2"/>
  <c r="BH594" i="2"/>
  <c r="BG594" i="2"/>
  <c r="BF594" i="2"/>
  <c r="BE594" i="2"/>
  <c r="BD594" i="2"/>
  <c r="BC594" i="2"/>
  <c r="BB594" i="2"/>
  <c r="BZ594" i="2" s="1"/>
  <c r="BA594" i="2"/>
  <c r="AZ594" i="2"/>
  <c r="AY594" i="2"/>
  <c r="AX594" i="2"/>
  <c r="AW594" i="2"/>
  <c r="CA593" i="2"/>
  <c r="BY593" i="2"/>
  <c r="BX593" i="2"/>
  <c r="BW593" i="2"/>
  <c r="BV593" i="2"/>
  <c r="BU593" i="2"/>
  <c r="BT593" i="2"/>
  <c r="BS593" i="2"/>
  <c r="BR593" i="2"/>
  <c r="BQ593" i="2"/>
  <c r="BP593" i="2"/>
  <c r="BO593" i="2"/>
  <c r="BN593" i="2"/>
  <c r="BM593" i="2"/>
  <c r="BL593" i="2"/>
  <c r="BK593" i="2"/>
  <c r="BJ593" i="2"/>
  <c r="BI593" i="2"/>
  <c r="BH593" i="2"/>
  <c r="BG593" i="2"/>
  <c r="BF593" i="2"/>
  <c r="BE593" i="2"/>
  <c r="BD593" i="2"/>
  <c r="BC593" i="2"/>
  <c r="BB593" i="2"/>
  <c r="BZ593" i="2" s="1"/>
  <c r="CC593" i="2" s="1"/>
  <c r="BA593" i="2"/>
  <c r="AZ593" i="2"/>
  <c r="AY593" i="2"/>
  <c r="AX593" i="2"/>
  <c r="AW593" i="2"/>
  <c r="CA592" i="2"/>
  <c r="BY592" i="2"/>
  <c r="BX592" i="2"/>
  <c r="BW592" i="2"/>
  <c r="BV592" i="2"/>
  <c r="BU592" i="2"/>
  <c r="BT592" i="2"/>
  <c r="BS592" i="2"/>
  <c r="BR592" i="2"/>
  <c r="BQ592" i="2"/>
  <c r="BP592" i="2"/>
  <c r="BO592" i="2"/>
  <c r="BN592" i="2"/>
  <c r="BM592" i="2"/>
  <c r="BL592" i="2"/>
  <c r="BK592" i="2"/>
  <c r="BJ592" i="2"/>
  <c r="BI592" i="2"/>
  <c r="BH592" i="2"/>
  <c r="BG592" i="2"/>
  <c r="BF592" i="2"/>
  <c r="BE592" i="2"/>
  <c r="BD592" i="2"/>
  <c r="BC592" i="2"/>
  <c r="BB592" i="2"/>
  <c r="BZ592" i="2" s="1"/>
  <c r="BA592" i="2"/>
  <c r="AZ592" i="2"/>
  <c r="AY592" i="2"/>
  <c r="AX592" i="2"/>
  <c r="AW592" i="2"/>
  <c r="CA591" i="2"/>
  <c r="BY591" i="2"/>
  <c r="BX591" i="2"/>
  <c r="BW591" i="2"/>
  <c r="BV591" i="2"/>
  <c r="BU591" i="2"/>
  <c r="BT591" i="2"/>
  <c r="BS591" i="2"/>
  <c r="BR591" i="2"/>
  <c r="BQ591" i="2"/>
  <c r="BP591" i="2"/>
  <c r="BO591" i="2"/>
  <c r="BN591" i="2"/>
  <c r="BM591" i="2"/>
  <c r="BL591" i="2"/>
  <c r="BK591" i="2"/>
  <c r="BJ591" i="2"/>
  <c r="BI591" i="2"/>
  <c r="BH591" i="2"/>
  <c r="BG591" i="2"/>
  <c r="BF591" i="2"/>
  <c r="BE591" i="2"/>
  <c r="BD591" i="2"/>
  <c r="BC591" i="2"/>
  <c r="BB591" i="2"/>
  <c r="BZ591" i="2" s="1"/>
  <c r="BA591" i="2"/>
  <c r="AZ591" i="2"/>
  <c r="AY591" i="2"/>
  <c r="AX591" i="2"/>
  <c r="AW591" i="2"/>
  <c r="CA590" i="2"/>
  <c r="BY590" i="2"/>
  <c r="BX590" i="2"/>
  <c r="BW590" i="2"/>
  <c r="BV590" i="2"/>
  <c r="BU590" i="2"/>
  <c r="BT590" i="2"/>
  <c r="BS590" i="2"/>
  <c r="BR590" i="2"/>
  <c r="BQ590" i="2"/>
  <c r="BP590" i="2"/>
  <c r="BO590" i="2"/>
  <c r="BN590" i="2"/>
  <c r="BM590" i="2"/>
  <c r="BL590" i="2"/>
  <c r="BK590" i="2"/>
  <c r="BJ590" i="2"/>
  <c r="BI590" i="2"/>
  <c r="BH590" i="2"/>
  <c r="BG590" i="2"/>
  <c r="BF590" i="2"/>
  <c r="BE590" i="2"/>
  <c r="BD590" i="2"/>
  <c r="BC590" i="2"/>
  <c r="BB590" i="2"/>
  <c r="BZ590" i="2" s="1"/>
  <c r="BA590" i="2"/>
  <c r="AZ590" i="2"/>
  <c r="AY590" i="2"/>
  <c r="AX590" i="2"/>
  <c r="AW590" i="2"/>
  <c r="CA589" i="2"/>
  <c r="BY589" i="2"/>
  <c r="BX589" i="2"/>
  <c r="BW589" i="2"/>
  <c r="BV589" i="2"/>
  <c r="BU589" i="2"/>
  <c r="BT589" i="2"/>
  <c r="BS589" i="2"/>
  <c r="BR589" i="2"/>
  <c r="BQ589" i="2"/>
  <c r="BP589" i="2"/>
  <c r="BO589" i="2"/>
  <c r="BN589" i="2"/>
  <c r="BM589" i="2"/>
  <c r="BL589" i="2"/>
  <c r="BK589" i="2"/>
  <c r="BJ589" i="2"/>
  <c r="BI589" i="2"/>
  <c r="BH589" i="2"/>
  <c r="BG589" i="2"/>
  <c r="BF589" i="2"/>
  <c r="BE589" i="2"/>
  <c r="BD589" i="2"/>
  <c r="BC589" i="2"/>
  <c r="BB589" i="2"/>
  <c r="BZ589" i="2" s="1"/>
  <c r="CC589" i="2" s="1"/>
  <c r="BA589" i="2"/>
  <c r="AZ589" i="2"/>
  <c r="AY589" i="2"/>
  <c r="AX589" i="2"/>
  <c r="AW589" i="2"/>
  <c r="CA588" i="2"/>
  <c r="BY588" i="2"/>
  <c r="BX588" i="2"/>
  <c r="BW588" i="2"/>
  <c r="BV588" i="2"/>
  <c r="BU588" i="2"/>
  <c r="BT588" i="2"/>
  <c r="BS588" i="2"/>
  <c r="BR588" i="2"/>
  <c r="BQ588" i="2"/>
  <c r="BP588" i="2"/>
  <c r="BO588" i="2"/>
  <c r="BN588" i="2"/>
  <c r="BM588" i="2"/>
  <c r="BL588" i="2"/>
  <c r="BK588" i="2"/>
  <c r="BJ588" i="2"/>
  <c r="BI588" i="2"/>
  <c r="BH588" i="2"/>
  <c r="BG588" i="2"/>
  <c r="BF588" i="2"/>
  <c r="BE588" i="2"/>
  <c r="BD588" i="2"/>
  <c r="BC588" i="2"/>
  <c r="BB588" i="2"/>
  <c r="BZ588" i="2" s="1"/>
  <c r="CC588" i="2" s="1"/>
  <c r="BA588" i="2"/>
  <c r="AZ588" i="2"/>
  <c r="AY588" i="2"/>
  <c r="AX588" i="2"/>
  <c r="AW588" i="2"/>
  <c r="CA587" i="2"/>
  <c r="BY587" i="2"/>
  <c r="BX587" i="2"/>
  <c r="BW587" i="2"/>
  <c r="BV587" i="2"/>
  <c r="BU587" i="2"/>
  <c r="BT587" i="2"/>
  <c r="BS587" i="2"/>
  <c r="BR587" i="2"/>
  <c r="BQ587" i="2"/>
  <c r="BP587" i="2"/>
  <c r="BO587" i="2"/>
  <c r="BN587" i="2"/>
  <c r="BM587" i="2"/>
  <c r="BL587" i="2"/>
  <c r="BK587" i="2"/>
  <c r="BJ587" i="2"/>
  <c r="BI587" i="2"/>
  <c r="BH587" i="2"/>
  <c r="BG587" i="2"/>
  <c r="BF587" i="2"/>
  <c r="BE587" i="2"/>
  <c r="BD587" i="2"/>
  <c r="BC587" i="2"/>
  <c r="BB587" i="2"/>
  <c r="BZ587" i="2" s="1"/>
  <c r="CC587" i="2" s="1"/>
  <c r="BA587" i="2"/>
  <c r="AZ587" i="2"/>
  <c r="AY587" i="2"/>
  <c r="AX587" i="2"/>
  <c r="AW587" i="2"/>
  <c r="CA586" i="2"/>
  <c r="BY586" i="2"/>
  <c r="BX586" i="2"/>
  <c r="BW586" i="2"/>
  <c r="BV586" i="2"/>
  <c r="BU586" i="2"/>
  <c r="BT586" i="2"/>
  <c r="BS586" i="2"/>
  <c r="BR586" i="2"/>
  <c r="BQ586" i="2"/>
  <c r="BP586" i="2"/>
  <c r="BO586" i="2"/>
  <c r="BN586" i="2"/>
  <c r="BM586" i="2"/>
  <c r="BL586" i="2"/>
  <c r="BK586" i="2"/>
  <c r="BJ586" i="2"/>
  <c r="BI586" i="2"/>
  <c r="BH586" i="2"/>
  <c r="BG586" i="2"/>
  <c r="BF586" i="2"/>
  <c r="BE586" i="2"/>
  <c r="BD586" i="2"/>
  <c r="BC586" i="2"/>
  <c r="BB586" i="2"/>
  <c r="BZ586" i="2" s="1"/>
  <c r="CC586" i="2" s="1"/>
  <c r="BA586" i="2"/>
  <c r="AZ586" i="2"/>
  <c r="AY586" i="2"/>
  <c r="AX586" i="2"/>
  <c r="AW586" i="2"/>
  <c r="CA585" i="2"/>
  <c r="BY585" i="2"/>
  <c r="BX585" i="2"/>
  <c r="BW585" i="2"/>
  <c r="BV585" i="2"/>
  <c r="BU585" i="2"/>
  <c r="BT585" i="2"/>
  <c r="BS585" i="2"/>
  <c r="BR585" i="2"/>
  <c r="BQ585" i="2"/>
  <c r="BP585" i="2"/>
  <c r="BO585" i="2"/>
  <c r="BN585" i="2"/>
  <c r="BM585" i="2"/>
  <c r="BL585" i="2"/>
  <c r="BK585" i="2"/>
  <c r="BJ585" i="2"/>
  <c r="BI585" i="2"/>
  <c r="BH585" i="2"/>
  <c r="BG585" i="2"/>
  <c r="BF585" i="2"/>
  <c r="BE585" i="2"/>
  <c r="BD585" i="2"/>
  <c r="BC585" i="2"/>
  <c r="BB585" i="2"/>
  <c r="BZ585" i="2" s="1"/>
  <c r="CC585" i="2" s="1"/>
  <c r="BA585" i="2"/>
  <c r="AZ585" i="2"/>
  <c r="AY585" i="2"/>
  <c r="AX585" i="2"/>
  <c r="AW585" i="2"/>
  <c r="CA584" i="2"/>
  <c r="BY584" i="2"/>
  <c r="BX584" i="2"/>
  <c r="BW584" i="2"/>
  <c r="BV584" i="2"/>
  <c r="BU584" i="2"/>
  <c r="BT584" i="2"/>
  <c r="BS584" i="2"/>
  <c r="BR584" i="2"/>
  <c r="BQ584" i="2"/>
  <c r="BP584" i="2"/>
  <c r="BO584" i="2"/>
  <c r="BN584" i="2"/>
  <c r="BM584" i="2"/>
  <c r="BL584" i="2"/>
  <c r="BK584" i="2"/>
  <c r="BJ584" i="2"/>
  <c r="BI584" i="2"/>
  <c r="BH584" i="2"/>
  <c r="BG584" i="2"/>
  <c r="BF584" i="2"/>
  <c r="BE584" i="2"/>
  <c r="BD584" i="2"/>
  <c r="BC584" i="2"/>
  <c r="BB584" i="2"/>
  <c r="BZ584" i="2" s="1"/>
  <c r="BA584" i="2"/>
  <c r="AZ584" i="2"/>
  <c r="AY584" i="2"/>
  <c r="AX584" i="2"/>
  <c r="AW584" i="2"/>
  <c r="CA583" i="2"/>
  <c r="BY583" i="2"/>
  <c r="BX583" i="2"/>
  <c r="BW583" i="2"/>
  <c r="BV583" i="2"/>
  <c r="BU583" i="2"/>
  <c r="BT583" i="2"/>
  <c r="BS583" i="2"/>
  <c r="BR583" i="2"/>
  <c r="BQ583" i="2"/>
  <c r="BP583" i="2"/>
  <c r="BO583" i="2"/>
  <c r="BN583" i="2"/>
  <c r="BM583" i="2"/>
  <c r="BL583" i="2"/>
  <c r="BK583" i="2"/>
  <c r="BJ583" i="2"/>
  <c r="BI583" i="2"/>
  <c r="BH583" i="2"/>
  <c r="BG583" i="2"/>
  <c r="BF583" i="2"/>
  <c r="BE583" i="2"/>
  <c r="BD583" i="2"/>
  <c r="BC583" i="2"/>
  <c r="BB583" i="2"/>
  <c r="BZ583" i="2" s="1"/>
  <c r="CC583" i="2" s="1"/>
  <c r="BA583" i="2"/>
  <c r="AZ583" i="2"/>
  <c r="AY583" i="2"/>
  <c r="AX583" i="2"/>
  <c r="AW583" i="2"/>
  <c r="CA582" i="2"/>
  <c r="BY582" i="2"/>
  <c r="BX582" i="2"/>
  <c r="BW582" i="2"/>
  <c r="BV582" i="2"/>
  <c r="BU582" i="2"/>
  <c r="BT582" i="2"/>
  <c r="BS582" i="2"/>
  <c r="BR582" i="2"/>
  <c r="BQ582" i="2"/>
  <c r="BP582" i="2"/>
  <c r="BO582" i="2"/>
  <c r="BN582" i="2"/>
  <c r="BM582" i="2"/>
  <c r="BL582" i="2"/>
  <c r="BK582" i="2"/>
  <c r="BJ582" i="2"/>
  <c r="BI582" i="2"/>
  <c r="BH582" i="2"/>
  <c r="BG582" i="2"/>
  <c r="BF582" i="2"/>
  <c r="BE582" i="2"/>
  <c r="BD582" i="2"/>
  <c r="BC582" i="2"/>
  <c r="BB582" i="2"/>
  <c r="BZ582" i="2" s="1"/>
  <c r="CC582" i="2" s="1"/>
  <c r="BA582" i="2"/>
  <c r="AZ582" i="2"/>
  <c r="AY582" i="2"/>
  <c r="AX582" i="2"/>
  <c r="AW582" i="2"/>
  <c r="CA581" i="2"/>
  <c r="BY581" i="2"/>
  <c r="BX581" i="2"/>
  <c r="BW581" i="2"/>
  <c r="BV581" i="2"/>
  <c r="BU581" i="2"/>
  <c r="BT581" i="2"/>
  <c r="BS581" i="2"/>
  <c r="BR581" i="2"/>
  <c r="BQ581" i="2"/>
  <c r="BP581" i="2"/>
  <c r="BO581" i="2"/>
  <c r="BN581" i="2"/>
  <c r="BM581" i="2"/>
  <c r="BL581" i="2"/>
  <c r="BK581" i="2"/>
  <c r="BJ581" i="2"/>
  <c r="BI581" i="2"/>
  <c r="BH581" i="2"/>
  <c r="BG581" i="2"/>
  <c r="BF581" i="2"/>
  <c r="BE581" i="2"/>
  <c r="BD581" i="2"/>
  <c r="BC581" i="2"/>
  <c r="BB581" i="2"/>
  <c r="BZ581" i="2" s="1"/>
  <c r="CC581" i="2" s="1"/>
  <c r="BA581" i="2"/>
  <c r="AZ581" i="2"/>
  <c r="AY581" i="2"/>
  <c r="AX581" i="2"/>
  <c r="AW581" i="2"/>
  <c r="CA580" i="2"/>
  <c r="BY580" i="2"/>
  <c r="BX580" i="2"/>
  <c r="BW580" i="2"/>
  <c r="BV580" i="2"/>
  <c r="BU580" i="2"/>
  <c r="BT580" i="2"/>
  <c r="BS580" i="2"/>
  <c r="BR580" i="2"/>
  <c r="BQ580" i="2"/>
  <c r="BP580" i="2"/>
  <c r="BO580" i="2"/>
  <c r="BN580" i="2"/>
  <c r="BM580" i="2"/>
  <c r="BL580" i="2"/>
  <c r="BK580" i="2"/>
  <c r="BJ580" i="2"/>
  <c r="BI580" i="2"/>
  <c r="BH580" i="2"/>
  <c r="BG580" i="2"/>
  <c r="BF580" i="2"/>
  <c r="BE580" i="2"/>
  <c r="BD580" i="2"/>
  <c r="BC580" i="2"/>
  <c r="BB580" i="2"/>
  <c r="BZ580" i="2" s="1"/>
  <c r="BA580" i="2"/>
  <c r="AZ580" i="2"/>
  <c r="AY580" i="2"/>
  <c r="AX580" i="2"/>
  <c r="AW580" i="2"/>
  <c r="CA579" i="2"/>
  <c r="BY579" i="2"/>
  <c r="BX579" i="2"/>
  <c r="BW579" i="2"/>
  <c r="BV579" i="2"/>
  <c r="BU579" i="2"/>
  <c r="BT579" i="2"/>
  <c r="BS579" i="2"/>
  <c r="BR579" i="2"/>
  <c r="BQ579" i="2"/>
  <c r="BP579" i="2"/>
  <c r="BO579" i="2"/>
  <c r="BN579" i="2"/>
  <c r="BM579" i="2"/>
  <c r="BL579" i="2"/>
  <c r="BK579" i="2"/>
  <c r="BJ579" i="2"/>
  <c r="BI579" i="2"/>
  <c r="BH579" i="2"/>
  <c r="BG579" i="2"/>
  <c r="BF579" i="2"/>
  <c r="BE579" i="2"/>
  <c r="BD579" i="2"/>
  <c r="BC579" i="2"/>
  <c r="BB579" i="2"/>
  <c r="BZ579" i="2" s="1"/>
  <c r="CC579" i="2" s="1"/>
  <c r="BA579" i="2"/>
  <c r="AZ579" i="2"/>
  <c r="AY579" i="2"/>
  <c r="AX579" i="2"/>
  <c r="AW579" i="2"/>
  <c r="CA578" i="2"/>
  <c r="BY578" i="2"/>
  <c r="BX578" i="2"/>
  <c r="BW578" i="2"/>
  <c r="BV578" i="2"/>
  <c r="BU578" i="2"/>
  <c r="BT578" i="2"/>
  <c r="BS578" i="2"/>
  <c r="BR578" i="2"/>
  <c r="BQ578" i="2"/>
  <c r="BP578" i="2"/>
  <c r="BO578" i="2"/>
  <c r="BN578" i="2"/>
  <c r="BM578" i="2"/>
  <c r="BL578" i="2"/>
  <c r="BK578" i="2"/>
  <c r="BJ578" i="2"/>
  <c r="BI578" i="2"/>
  <c r="BH578" i="2"/>
  <c r="BG578" i="2"/>
  <c r="BF578" i="2"/>
  <c r="BE578" i="2"/>
  <c r="BD578" i="2"/>
  <c r="BC578" i="2"/>
  <c r="BB578" i="2"/>
  <c r="BZ578" i="2" s="1"/>
  <c r="CC578" i="2" s="1"/>
  <c r="BA578" i="2"/>
  <c r="AZ578" i="2"/>
  <c r="AY578" i="2"/>
  <c r="AX578" i="2"/>
  <c r="AW578" i="2"/>
  <c r="CA577" i="2"/>
  <c r="BY577" i="2"/>
  <c r="BX577" i="2"/>
  <c r="BW577" i="2"/>
  <c r="BV577" i="2"/>
  <c r="BU577" i="2"/>
  <c r="BT577" i="2"/>
  <c r="BS577" i="2"/>
  <c r="BR577" i="2"/>
  <c r="BQ577" i="2"/>
  <c r="BP577" i="2"/>
  <c r="BO577" i="2"/>
  <c r="BN577" i="2"/>
  <c r="BM577" i="2"/>
  <c r="BL577" i="2"/>
  <c r="BK577" i="2"/>
  <c r="BJ577" i="2"/>
  <c r="BI577" i="2"/>
  <c r="BH577" i="2"/>
  <c r="BG577" i="2"/>
  <c r="BF577" i="2"/>
  <c r="BE577" i="2"/>
  <c r="BD577" i="2"/>
  <c r="BC577" i="2"/>
  <c r="BB577" i="2"/>
  <c r="BZ577" i="2" s="1"/>
  <c r="CC577" i="2" s="1"/>
  <c r="BA577" i="2"/>
  <c r="AZ577" i="2"/>
  <c r="AY577" i="2"/>
  <c r="AX577" i="2"/>
  <c r="AW577" i="2"/>
  <c r="CA576" i="2"/>
  <c r="BY576" i="2"/>
  <c r="BX576" i="2"/>
  <c r="BW576" i="2"/>
  <c r="BV576" i="2"/>
  <c r="BU576" i="2"/>
  <c r="BT576" i="2"/>
  <c r="BS576" i="2"/>
  <c r="BR576" i="2"/>
  <c r="BQ576" i="2"/>
  <c r="BP576" i="2"/>
  <c r="BO576" i="2"/>
  <c r="BN576" i="2"/>
  <c r="BM576" i="2"/>
  <c r="BL576" i="2"/>
  <c r="BK576" i="2"/>
  <c r="BJ576" i="2"/>
  <c r="BI576" i="2"/>
  <c r="BH576" i="2"/>
  <c r="BG576" i="2"/>
  <c r="BF576" i="2"/>
  <c r="BE576" i="2"/>
  <c r="BD576" i="2"/>
  <c r="BC576" i="2"/>
  <c r="BB576" i="2"/>
  <c r="BZ576" i="2" s="1"/>
  <c r="CC576" i="2" s="1"/>
  <c r="BA576" i="2"/>
  <c r="AZ576" i="2"/>
  <c r="AY576" i="2"/>
  <c r="AX576" i="2"/>
  <c r="AW576" i="2"/>
  <c r="CA575" i="2"/>
  <c r="BY575" i="2"/>
  <c r="BX575" i="2"/>
  <c r="BW575" i="2"/>
  <c r="BV575" i="2"/>
  <c r="BU575" i="2"/>
  <c r="BT575" i="2"/>
  <c r="BS575" i="2"/>
  <c r="BR575" i="2"/>
  <c r="BQ575" i="2"/>
  <c r="BP575" i="2"/>
  <c r="BO575" i="2"/>
  <c r="BN575" i="2"/>
  <c r="BM575" i="2"/>
  <c r="BL575" i="2"/>
  <c r="BK575" i="2"/>
  <c r="BJ575" i="2"/>
  <c r="BI575" i="2"/>
  <c r="BH575" i="2"/>
  <c r="BG575" i="2"/>
  <c r="BF575" i="2"/>
  <c r="BE575" i="2"/>
  <c r="BD575" i="2"/>
  <c r="BC575" i="2"/>
  <c r="BB575" i="2"/>
  <c r="BZ575" i="2" s="1"/>
  <c r="CC575" i="2" s="1"/>
  <c r="BA575" i="2"/>
  <c r="AZ575" i="2"/>
  <c r="AY575" i="2"/>
  <c r="AX575" i="2"/>
  <c r="AW575" i="2"/>
  <c r="CA574" i="2"/>
  <c r="BY574" i="2"/>
  <c r="BX574" i="2"/>
  <c r="BW574" i="2"/>
  <c r="BV574" i="2"/>
  <c r="BU574" i="2"/>
  <c r="BT574" i="2"/>
  <c r="BS574" i="2"/>
  <c r="BR574" i="2"/>
  <c r="BQ574" i="2"/>
  <c r="BP574" i="2"/>
  <c r="BO574" i="2"/>
  <c r="BN574" i="2"/>
  <c r="BM574" i="2"/>
  <c r="BL574" i="2"/>
  <c r="BK574" i="2"/>
  <c r="BJ574" i="2"/>
  <c r="BI574" i="2"/>
  <c r="BH574" i="2"/>
  <c r="BG574" i="2"/>
  <c r="BF574" i="2"/>
  <c r="BE574" i="2"/>
  <c r="BD574" i="2"/>
  <c r="BC574" i="2"/>
  <c r="BB574" i="2"/>
  <c r="BZ574" i="2" s="1"/>
  <c r="CC574" i="2" s="1"/>
  <c r="BA574" i="2"/>
  <c r="AZ574" i="2"/>
  <c r="AY574" i="2"/>
  <c r="AX574" i="2"/>
  <c r="AW574" i="2"/>
  <c r="CA573" i="2"/>
  <c r="BY573" i="2"/>
  <c r="BX573" i="2"/>
  <c r="BW573" i="2"/>
  <c r="BV573" i="2"/>
  <c r="BU573" i="2"/>
  <c r="BT573" i="2"/>
  <c r="BS573" i="2"/>
  <c r="BR573" i="2"/>
  <c r="BQ573" i="2"/>
  <c r="BP573" i="2"/>
  <c r="BO573" i="2"/>
  <c r="BN573" i="2"/>
  <c r="BM573" i="2"/>
  <c r="BL573" i="2"/>
  <c r="BK573" i="2"/>
  <c r="BJ573" i="2"/>
  <c r="BI573" i="2"/>
  <c r="BH573" i="2"/>
  <c r="BG573" i="2"/>
  <c r="BF573" i="2"/>
  <c r="BE573" i="2"/>
  <c r="BD573" i="2"/>
  <c r="BC573" i="2"/>
  <c r="BB573" i="2"/>
  <c r="BZ573" i="2" s="1"/>
  <c r="CC573" i="2" s="1"/>
  <c r="BA573" i="2"/>
  <c r="AZ573" i="2"/>
  <c r="AY573" i="2"/>
  <c r="AX573" i="2"/>
  <c r="AW573" i="2"/>
  <c r="CA572" i="2"/>
  <c r="BY572" i="2"/>
  <c r="BX572" i="2"/>
  <c r="BW572" i="2"/>
  <c r="BV572" i="2"/>
  <c r="BU572" i="2"/>
  <c r="BT572" i="2"/>
  <c r="BS572" i="2"/>
  <c r="BR572" i="2"/>
  <c r="BQ572" i="2"/>
  <c r="BP572" i="2"/>
  <c r="BO572" i="2"/>
  <c r="BN572" i="2"/>
  <c r="BM572" i="2"/>
  <c r="BL572" i="2"/>
  <c r="BK572" i="2"/>
  <c r="BJ572" i="2"/>
  <c r="BI572" i="2"/>
  <c r="BH572" i="2"/>
  <c r="BG572" i="2"/>
  <c r="BF572" i="2"/>
  <c r="BE572" i="2"/>
  <c r="BD572" i="2"/>
  <c r="BC572" i="2"/>
  <c r="BB572" i="2"/>
  <c r="BZ572" i="2" s="1"/>
  <c r="CC572" i="2" s="1"/>
  <c r="BA572" i="2"/>
  <c r="AZ572" i="2"/>
  <c r="AY572" i="2"/>
  <c r="AX572" i="2"/>
  <c r="AW572" i="2"/>
  <c r="CA571" i="2"/>
  <c r="BY571" i="2"/>
  <c r="BX571" i="2"/>
  <c r="BW571" i="2"/>
  <c r="BV571" i="2"/>
  <c r="BU571" i="2"/>
  <c r="BT571" i="2"/>
  <c r="BS571" i="2"/>
  <c r="BR571" i="2"/>
  <c r="BQ571" i="2"/>
  <c r="BP571" i="2"/>
  <c r="BO571" i="2"/>
  <c r="BN571" i="2"/>
  <c r="BM571" i="2"/>
  <c r="BL571" i="2"/>
  <c r="BK571" i="2"/>
  <c r="BJ571" i="2"/>
  <c r="BI571" i="2"/>
  <c r="BH571" i="2"/>
  <c r="BG571" i="2"/>
  <c r="BF571" i="2"/>
  <c r="BE571" i="2"/>
  <c r="BD571" i="2"/>
  <c r="BC571" i="2"/>
  <c r="BB571" i="2"/>
  <c r="BZ571" i="2" s="1"/>
  <c r="CC571" i="2" s="1"/>
  <c r="BA571" i="2"/>
  <c r="AZ571" i="2"/>
  <c r="AY571" i="2"/>
  <c r="AX571" i="2"/>
  <c r="AW571" i="2"/>
  <c r="CA570" i="2"/>
  <c r="BY570" i="2"/>
  <c r="BX570" i="2"/>
  <c r="BW570" i="2"/>
  <c r="BV570" i="2"/>
  <c r="BU570" i="2"/>
  <c r="BT570" i="2"/>
  <c r="BS570" i="2"/>
  <c r="BR570" i="2"/>
  <c r="BQ570" i="2"/>
  <c r="BP570" i="2"/>
  <c r="BO570" i="2"/>
  <c r="BN570" i="2"/>
  <c r="BM570" i="2"/>
  <c r="BL570" i="2"/>
  <c r="BK570" i="2"/>
  <c r="BJ570" i="2"/>
  <c r="BI570" i="2"/>
  <c r="BH570" i="2"/>
  <c r="BG570" i="2"/>
  <c r="BF570" i="2"/>
  <c r="BE570" i="2"/>
  <c r="BD570" i="2"/>
  <c r="BC570" i="2"/>
  <c r="BB570" i="2"/>
  <c r="BZ570" i="2" s="1"/>
  <c r="CC570" i="2" s="1"/>
  <c r="BA570" i="2"/>
  <c r="AZ570" i="2"/>
  <c r="AY570" i="2"/>
  <c r="AX570" i="2"/>
  <c r="AW570" i="2"/>
  <c r="CA569" i="2"/>
  <c r="BY569" i="2"/>
  <c r="BX569" i="2"/>
  <c r="BW569" i="2"/>
  <c r="BV569" i="2"/>
  <c r="BU569" i="2"/>
  <c r="BT569" i="2"/>
  <c r="BS569" i="2"/>
  <c r="BR569" i="2"/>
  <c r="BQ569" i="2"/>
  <c r="BP569" i="2"/>
  <c r="BO569" i="2"/>
  <c r="BN569" i="2"/>
  <c r="BM569" i="2"/>
  <c r="BL569" i="2"/>
  <c r="BK569" i="2"/>
  <c r="BJ569" i="2"/>
  <c r="BI569" i="2"/>
  <c r="BH569" i="2"/>
  <c r="BG569" i="2"/>
  <c r="BF569" i="2"/>
  <c r="BE569" i="2"/>
  <c r="BD569" i="2"/>
  <c r="BC569" i="2"/>
  <c r="BB569" i="2"/>
  <c r="BZ569" i="2" s="1"/>
  <c r="CC569" i="2" s="1"/>
  <c r="BA569" i="2"/>
  <c r="AZ569" i="2"/>
  <c r="AY569" i="2"/>
  <c r="AX569" i="2"/>
  <c r="AW569" i="2"/>
  <c r="CA568" i="2"/>
  <c r="BY568" i="2"/>
  <c r="BX568" i="2"/>
  <c r="BW568" i="2"/>
  <c r="BV568" i="2"/>
  <c r="BU568" i="2"/>
  <c r="BT568" i="2"/>
  <c r="BS568" i="2"/>
  <c r="BR568" i="2"/>
  <c r="BQ568" i="2"/>
  <c r="BP568" i="2"/>
  <c r="BO568" i="2"/>
  <c r="BN568" i="2"/>
  <c r="BM568" i="2"/>
  <c r="BL568" i="2"/>
  <c r="BK568" i="2"/>
  <c r="BJ568" i="2"/>
  <c r="BI568" i="2"/>
  <c r="BH568" i="2"/>
  <c r="BG568" i="2"/>
  <c r="BF568" i="2"/>
  <c r="BE568" i="2"/>
  <c r="BD568" i="2"/>
  <c r="BC568" i="2"/>
  <c r="BB568" i="2"/>
  <c r="BZ568" i="2" s="1"/>
  <c r="CC568" i="2" s="1"/>
  <c r="BA568" i="2"/>
  <c r="AZ568" i="2"/>
  <c r="AY568" i="2"/>
  <c r="AX568" i="2"/>
  <c r="AW568" i="2"/>
  <c r="CA567" i="2"/>
  <c r="BY567" i="2"/>
  <c r="BX567" i="2"/>
  <c r="BW567" i="2"/>
  <c r="BV567" i="2"/>
  <c r="BU567" i="2"/>
  <c r="BT567" i="2"/>
  <c r="BS567" i="2"/>
  <c r="BR567" i="2"/>
  <c r="BQ567" i="2"/>
  <c r="BP567" i="2"/>
  <c r="BO567" i="2"/>
  <c r="BN567" i="2"/>
  <c r="BM567" i="2"/>
  <c r="BL567" i="2"/>
  <c r="BK567" i="2"/>
  <c r="BJ567" i="2"/>
  <c r="BI567" i="2"/>
  <c r="BH567" i="2"/>
  <c r="BG567" i="2"/>
  <c r="BF567" i="2"/>
  <c r="BE567" i="2"/>
  <c r="BD567" i="2"/>
  <c r="BC567" i="2"/>
  <c r="BB567" i="2"/>
  <c r="BZ567" i="2" s="1"/>
  <c r="CC567" i="2" s="1"/>
  <c r="BA567" i="2"/>
  <c r="AZ567" i="2"/>
  <c r="AY567" i="2"/>
  <c r="AX567" i="2"/>
  <c r="AW567" i="2"/>
  <c r="CA566" i="2"/>
  <c r="BY566" i="2"/>
  <c r="BX566" i="2"/>
  <c r="BW566" i="2"/>
  <c r="BV566" i="2"/>
  <c r="BU566" i="2"/>
  <c r="BT566" i="2"/>
  <c r="BS566" i="2"/>
  <c r="BR566" i="2"/>
  <c r="BQ566" i="2"/>
  <c r="BP566" i="2"/>
  <c r="BO566" i="2"/>
  <c r="BN566" i="2"/>
  <c r="BM566" i="2"/>
  <c r="BL566" i="2"/>
  <c r="BK566" i="2"/>
  <c r="BJ566" i="2"/>
  <c r="BI566" i="2"/>
  <c r="BH566" i="2"/>
  <c r="BG566" i="2"/>
  <c r="BF566" i="2"/>
  <c r="BE566" i="2"/>
  <c r="BD566" i="2"/>
  <c r="BC566" i="2"/>
  <c r="BB566" i="2"/>
  <c r="BZ566" i="2" s="1"/>
  <c r="CC566" i="2" s="1"/>
  <c r="BA566" i="2"/>
  <c r="AZ566" i="2"/>
  <c r="AY566" i="2"/>
  <c r="AX566" i="2"/>
  <c r="AW566" i="2"/>
  <c r="CA565" i="2"/>
  <c r="BY565" i="2"/>
  <c r="BX565" i="2"/>
  <c r="BW565" i="2"/>
  <c r="BV565" i="2"/>
  <c r="BU565" i="2"/>
  <c r="BT565" i="2"/>
  <c r="BS565" i="2"/>
  <c r="BR565" i="2"/>
  <c r="BQ565" i="2"/>
  <c r="BP565" i="2"/>
  <c r="BO565" i="2"/>
  <c r="BN565" i="2"/>
  <c r="BM565" i="2"/>
  <c r="BL565" i="2"/>
  <c r="BK565" i="2"/>
  <c r="BJ565" i="2"/>
  <c r="BI565" i="2"/>
  <c r="BH565" i="2"/>
  <c r="BG565" i="2"/>
  <c r="BF565" i="2"/>
  <c r="BE565" i="2"/>
  <c r="BD565" i="2"/>
  <c r="BC565" i="2"/>
  <c r="BB565" i="2"/>
  <c r="BZ565" i="2" s="1"/>
  <c r="CC565" i="2" s="1"/>
  <c r="BA565" i="2"/>
  <c r="AZ565" i="2"/>
  <c r="AY565" i="2"/>
  <c r="AX565" i="2"/>
  <c r="AW565" i="2"/>
  <c r="CA564" i="2"/>
  <c r="BY564" i="2"/>
  <c r="BX564" i="2"/>
  <c r="BW564" i="2"/>
  <c r="BV564" i="2"/>
  <c r="BU564" i="2"/>
  <c r="BT564" i="2"/>
  <c r="BS564" i="2"/>
  <c r="BR564" i="2"/>
  <c r="BQ564" i="2"/>
  <c r="BP564" i="2"/>
  <c r="BO564" i="2"/>
  <c r="BN564" i="2"/>
  <c r="BM564" i="2"/>
  <c r="BL564" i="2"/>
  <c r="BK564" i="2"/>
  <c r="BJ564" i="2"/>
  <c r="BI564" i="2"/>
  <c r="BH564" i="2"/>
  <c r="BG564" i="2"/>
  <c r="BF564" i="2"/>
  <c r="BE564" i="2"/>
  <c r="BD564" i="2"/>
  <c r="BC564" i="2"/>
  <c r="BB564" i="2"/>
  <c r="BZ564" i="2" s="1"/>
  <c r="BA564" i="2"/>
  <c r="AZ564" i="2"/>
  <c r="AY564" i="2"/>
  <c r="AX564" i="2"/>
  <c r="AW564" i="2"/>
  <c r="CA563" i="2"/>
  <c r="BY563" i="2"/>
  <c r="BX563" i="2"/>
  <c r="BW563" i="2"/>
  <c r="BV563" i="2"/>
  <c r="BU563" i="2"/>
  <c r="BT563" i="2"/>
  <c r="BS563" i="2"/>
  <c r="BR563" i="2"/>
  <c r="BQ563" i="2"/>
  <c r="BP563" i="2"/>
  <c r="BO563" i="2"/>
  <c r="BN563" i="2"/>
  <c r="BM563" i="2"/>
  <c r="BL563" i="2"/>
  <c r="BK563" i="2"/>
  <c r="BJ563" i="2"/>
  <c r="BI563" i="2"/>
  <c r="BH563" i="2"/>
  <c r="BG563" i="2"/>
  <c r="BF563" i="2"/>
  <c r="BE563" i="2"/>
  <c r="BD563" i="2"/>
  <c r="BC563" i="2"/>
  <c r="BB563" i="2"/>
  <c r="BZ563" i="2" s="1"/>
  <c r="CC563" i="2" s="1"/>
  <c r="BA563" i="2"/>
  <c r="AZ563" i="2"/>
  <c r="AY563" i="2"/>
  <c r="AX563" i="2"/>
  <c r="AW563" i="2"/>
  <c r="CA562" i="2"/>
  <c r="BY562" i="2"/>
  <c r="BX562" i="2"/>
  <c r="BW562" i="2"/>
  <c r="BV562" i="2"/>
  <c r="BU562" i="2"/>
  <c r="BT562" i="2"/>
  <c r="BS562" i="2"/>
  <c r="BR562" i="2"/>
  <c r="BQ562" i="2"/>
  <c r="BP562" i="2"/>
  <c r="BO562" i="2"/>
  <c r="BN562" i="2"/>
  <c r="BM562" i="2"/>
  <c r="BL562" i="2"/>
  <c r="BK562" i="2"/>
  <c r="BJ562" i="2"/>
  <c r="BI562" i="2"/>
  <c r="BH562" i="2"/>
  <c r="BG562" i="2"/>
  <c r="BF562" i="2"/>
  <c r="BE562" i="2"/>
  <c r="BD562" i="2"/>
  <c r="BC562" i="2"/>
  <c r="BB562" i="2"/>
  <c r="BZ562" i="2" s="1"/>
  <c r="CC562" i="2" s="1"/>
  <c r="BA562" i="2"/>
  <c r="AZ562" i="2"/>
  <c r="AY562" i="2"/>
  <c r="AX562" i="2"/>
  <c r="AW562" i="2"/>
  <c r="CA561" i="2"/>
  <c r="BY561" i="2"/>
  <c r="BX561" i="2"/>
  <c r="BW561" i="2"/>
  <c r="BV561" i="2"/>
  <c r="BU561" i="2"/>
  <c r="BT561" i="2"/>
  <c r="BS561" i="2"/>
  <c r="BR561" i="2"/>
  <c r="BQ561" i="2"/>
  <c r="BP561" i="2"/>
  <c r="BO561" i="2"/>
  <c r="BN561" i="2"/>
  <c r="BM561" i="2"/>
  <c r="BL561" i="2"/>
  <c r="BK561" i="2"/>
  <c r="BJ561" i="2"/>
  <c r="BI561" i="2"/>
  <c r="BH561" i="2"/>
  <c r="BG561" i="2"/>
  <c r="BF561" i="2"/>
  <c r="BE561" i="2"/>
  <c r="BD561" i="2"/>
  <c r="BC561" i="2"/>
  <c r="BB561" i="2"/>
  <c r="BZ561" i="2" s="1"/>
  <c r="CC561" i="2" s="1"/>
  <c r="BA561" i="2"/>
  <c r="AZ561" i="2"/>
  <c r="AY561" i="2"/>
  <c r="AX561" i="2"/>
  <c r="AW561" i="2"/>
  <c r="CA560" i="2"/>
  <c r="BY560" i="2"/>
  <c r="BX560" i="2"/>
  <c r="BW560" i="2"/>
  <c r="BV560" i="2"/>
  <c r="BU560" i="2"/>
  <c r="BT560" i="2"/>
  <c r="BS560" i="2"/>
  <c r="BR560" i="2"/>
  <c r="BQ560" i="2"/>
  <c r="BP560" i="2"/>
  <c r="BO560" i="2"/>
  <c r="BN560" i="2"/>
  <c r="BM560" i="2"/>
  <c r="BL560" i="2"/>
  <c r="BK560" i="2"/>
  <c r="BJ560" i="2"/>
  <c r="BI560" i="2"/>
  <c r="BH560" i="2"/>
  <c r="BG560" i="2"/>
  <c r="BF560" i="2"/>
  <c r="BE560" i="2"/>
  <c r="BD560" i="2"/>
  <c r="BC560" i="2"/>
  <c r="BB560" i="2"/>
  <c r="BZ560" i="2" s="1"/>
  <c r="CC560" i="2" s="1"/>
  <c r="BA560" i="2"/>
  <c r="AZ560" i="2"/>
  <c r="AY560" i="2"/>
  <c r="AX560" i="2"/>
  <c r="AW560" i="2"/>
  <c r="CA559" i="2"/>
  <c r="BY559" i="2"/>
  <c r="BX559" i="2"/>
  <c r="BW559" i="2"/>
  <c r="BV559" i="2"/>
  <c r="BU559" i="2"/>
  <c r="BT559" i="2"/>
  <c r="BS559" i="2"/>
  <c r="BR559" i="2"/>
  <c r="BQ559" i="2"/>
  <c r="BP559" i="2"/>
  <c r="BO559" i="2"/>
  <c r="BN559" i="2"/>
  <c r="BM559" i="2"/>
  <c r="BL559" i="2"/>
  <c r="BK559" i="2"/>
  <c r="BJ559" i="2"/>
  <c r="BI559" i="2"/>
  <c r="BH559" i="2"/>
  <c r="BG559" i="2"/>
  <c r="BF559" i="2"/>
  <c r="BE559" i="2"/>
  <c r="BD559" i="2"/>
  <c r="BC559" i="2"/>
  <c r="BB559" i="2"/>
  <c r="BZ559" i="2" s="1"/>
  <c r="BA559" i="2"/>
  <c r="AZ559" i="2"/>
  <c r="AY559" i="2"/>
  <c r="AX559" i="2"/>
  <c r="AW559" i="2"/>
  <c r="CA558" i="2"/>
  <c r="BY558" i="2"/>
  <c r="BX558" i="2"/>
  <c r="BW558" i="2"/>
  <c r="BV558" i="2"/>
  <c r="BU558" i="2"/>
  <c r="BT558" i="2"/>
  <c r="BS558" i="2"/>
  <c r="BR558" i="2"/>
  <c r="BQ558" i="2"/>
  <c r="BP558" i="2"/>
  <c r="BO558" i="2"/>
  <c r="BN558" i="2"/>
  <c r="BM558" i="2"/>
  <c r="BL558" i="2"/>
  <c r="BK558" i="2"/>
  <c r="BJ558" i="2"/>
  <c r="BI558" i="2"/>
  <c r="BH558" i="2"/>
  <c r="BG558" i="2"/>
  <c r="BF558" i="2"/>
  <c r="BE558" i="2"/>
  <c r="BD558" i="2"/>
  <c r="BC558" i="2"/>
  <c r="BB558" i="2"/>
  <c r="BZ558" i="2" s="1"/>
  <c r="CC558" i="2" s="1"/>
  <c r="BA558" i="2"/>
  <c r="AZ558" i="2"/>
  <c r="AY558" i="2"/>
  <c r="AX558" i="2"/>
  <c r="AW558" i="2"/>
  <c r="CA557" i="2"/>
  <c r="BY557" i="2"/>
  <c r="BX557" i="2"/>
  <c r="BW557" i="2"/>
  <c r="BV557" i="2"/>
  <c r="BU557" i="2"/>
  <c r="BT557" i="2"/>
  <c r="BS557" i="2"/>
  <c r="BR557" i="2"/>
  <c r="BQ557" i="2"/>
  <c r="BP557" i="2"/>
  <c r="BO557" i="2"/>
  <c r="BN557" i="2"/>
  <c r="BM557" i="2"/>
  <c r="BL557" i="2"/>
  <c r="BK557" i="2"/>
  <c r="BJ557" i="2"/>
  <c r="BI557" i="2"/>
  <c r="BH557" i="2"/>
  <c r="BG557" i="2"/>
  <c r="BF557" i="2"/>
  <c r="BE557" i="2"/>
  <c r="BD557" i="2"/>
  <c r="BC557" i="2"/>
  <c r="BB557" i="2"/>
  <c r="BZ557" i="2" s="1"/>
  <c r="CC557" i="2" s="1"/>
  <c r="BA557" i="2"/>
  <c r="AZ557" i="2"/>
  <c r="AY557" i="2"/>
  <c r="AX557" i="2"/>
  <c r="AW557" i="2"/>
  <c r="CA556" i="2"/>
  <c r="BY556" i="2"/>
  <c r="BX556" i="2"/>
  <c r="BW556" i="2"/>
  <c r="BV556" i="2"/>
  <c r="BU556" i="2"/>
  <c r="BT556" i="2"/>
  <c r="BS556" i="2"/>
  <c r="BR556" i="2"/>
  <c r="BQ556" i="2"/>
  <c r="BP556" i="2"/>
  <c r="BO556" i="2"/>
  <c r="BN556" i="2"/>
  <c r="BM556" i="2"/>
  <c r="BL556" i="2"/>
  <c r="BK556" i="2"/>
  <c r="BJ556" i="2"/>
  <c r="BI556" i="2"/>
  <c r="BH556" i="2"/>
  <c r="BG556" i="2"/>
  <c r="BF556" i="2"/>
  <c r="BE556" i="2"/>
  <c r="BD556" i="2"/>
  <c r="BC556" i="2"/>
  <c r="BB556" i="2"/>
  <c r="BZ556" i="2" s="1"/>
  <c r="CC556" i="2" s="1"/>
  <c r="BA556" i="2"/>
  <c r="AZ556" i="2"/>
  <c r="AY556" i="2"/>
  <c r="AX556" i="2"/>
  <c r="AW556" i="2"/>
  <c r="CA555" i="2"/>
  <c r="BY555" i="2"/>
  <c r="BX555" i="2"/>
  <c r="BW555" i="2"/>
  <c r="BV555" i="2"/>
  <c r="BU555" i="2"/>
  <c r="BT555" i="2"/>
  <c r="BS555" i="2"/>
  <c r="BR555" i="2"/>
  <c r="BQ555" i="2"/>
  <c r="BP555" i="2"/>
  <c r="BO555" i="2"/>
  <c r="BN555" i="2"/>
  <c r="BM555" i="2"/>
  <c r="BL555" i="2"/>
  <c r="BK555" i="2"/>
  <c r="BJ555" i="2"/>
  <c r="BI555" i="2"/>
  <c r="BH555" i="2"/>
  <c r="BG555" i="2"/>
  <c r="BF555" i="2"/>
  <c r="BE555" i="2"/>
  <c r="BD555" i="2"/>
  <c r="BC555" i="2"/>
  <c r="BB555" i="2"/>
  <c r="BZ555" i="2" s="1"/>
  <c r="CC555" i="2" s="1"/>
  <c r="BA555" i="2"/>
  <c r="AZ555" i="2"/>
  <c r="AY555" i="2"/>
  <c r="AX555" i="2"/>
  <c r="AW555" i="2"/>
  <c r="CA554" i="2"/>
  <c r="BY554" i="2"/>
  <c r="BX554" i="2"/>
  <c r="BW554" i="2"/>
  <c r="BV554" i="2"/>
  <c r="BU554" i="2"/>
  <c r="BT554" i="2"/>
  <c r="BS554" i="2"/>
  <c r="BR554" i="2"/>
  <c r="BQ554" i="2"/>
  <c r="BP554" i="2"/>
  <c r="BO554" i="2"/>
  <c r="BN554" i="2"/>
  <c r="BM554" i="2"/>
  <c r="BL554" i="2"/>
  <c r="BK554" i="2"/>
  <c r="BJ554" i="2"/>
  <c r="BI554" i="2"/>
  <c r="BH554" i="2"/>
  <c r="BG554" i="2"/>
  <c r="BF554" i="2"/>
  <c r="BE554" i="2"/>
  <c r="BD554" i="2"/>
  <c r="BC554" i="2"/>
  <c r="BB554" i="2"/>
  <c r="BZ554" i="2" s="1"/>
  <c r="BA554" i="2"/>
  <c r="AZ554" i="2"/>
  <c r="AY554" i="2"/>
  <c r="AX554" i="2"/>
  <c r="AW554" i="2"/>
  <c r="CA553" i="2"/>
  <c r="BY553" i="2"/>
  <c r="BX553" i="2"/>
  <c r="BW553" i="2"/>
  <c r="BV553" i="2"/>
  <c r="BU553" i="2"/>
  <c r="BT553" i="2"/>
  <c r="BS553" i="2"/>
  <c r="BR553" i="2"/>
  <c r="BQ553" i="2"/>
  <c r="BP553" i="2"/>
  <c r="BO553" i="2"/>
  <c r="BN553" i="2"/>
  <c r="BM553" i="2"/>
  <c r="BL553" i="2"/>
  <c r="BK553" i="2"/>
  <c r="BJ553" i="2"/>
  <c r="BI553" i="2"/>
  <c r="BH553" i="2"/>
  <c r="BG553" i="2"/>
  <c r="BF553" i="2"/>
  <c r="BE553" i="2"/>
  <c r="BD553" i="2"/>
  <c r="BC553" i="2"/>
  <c r="BB553" i="2"/>
  <c r="BZ553" i="2" s="1"/>
  <c r="BA553" i="2"/>
  <c r="AZ553" i="2"/>
  <c r="AY553" i="2"/>
  <c r="AX553" i="2"/>
  <c r="AW553" i="2"/>
  <c r="CA552" i="2"/>
  <c r="BY552" i="2"/>
  <c r="BX552" i="2"/>
  <c r="BW552" i="2"/>
  <c r="BV552" i="2"/>
  <c r="BU552" i="2"/>
  <c r="BT552" i="2"/>
  <c r="BS552" i="2"/>
  <c r="BR552" i="2"/>
  <c r="BQ552" i="2"/>
  <c r="BP552" i="2"/>
  <c r="BO552" i="2"/>
  <c r="BN552" i="2"/>
  <c r="BM552" i="2"/>
  <c r="BL552" i="2"/>
  <c r="BK552" i="2"/>
  <c r="BJ552" i="2"/>
  <c r="BI552" i="2"/>
  <c r="BH552" i="2"/>
  <c r="BG552" i="2"/>
  <c r="BF552" i="2"/>
  <c r="BE552" i="2"/>
  <c r="BD552" i="2"/>
  <c r="BC552" i="2"/>
  <c r="BB552" i="2"/>
  <c r="BZ552" i="2" s="1"/>
  <c r="CC552" i="2" s="1"/>
  <c r="BA552" i="2"/>
  <c r="AZ552" i="2"/>
  <c r="AY552" i="2"/>
  <c r="AX552" i="2"/>
  <c r="AW552" i="2"/>
  <c r="CA551" i="2"/>
  <c r="BY551" i="2"/>
  <c r="BX551" i="2"/>
  <c r="BW551" i="2"/>
  <c r="BV551" i="2"/>
  <c r="BU551" i="2"/>
  <c r="BT551" i="2"/>
  <c r="BS551" i="2"/>
  <c r="BR551" i="2"/>
  <c r="BQ551" i="2"/>
  <c r="BP551" i="2"/>
  <c r="BO551" i="2"/>
  <c r="BN551" i="2"/>
  <c r="BM551" i="2"/>
  <c r="BL551" i="2"/>
  <c r="BK551" i="2"/>
  <c r="BJ551" i="2"/>
  <c r="BI551" i="2"/>
  <c r="BH551" i="2"/>
  <c r="BG551" i="2"/>
  <c r="BF551" i="2"/>
  <c r="BE551" i="2"/>
  <c r="BD551" i="2"/>
  <c r="BC551" i="2"/>
  <c r="BB551" i="2"/>
  <c r="BZ551" i="2" s="1"/>
  <c r="BA551" i="2"/>
  <c r="AZ551" i="2"/>
  <c r="AY551" i="2"/>
  <c r="AX551" i="2"/>
  <c r="AW551" i="2"/>
  <c r="CA550" i="2"/>
  <c r="BY550" i="2"/>
  <c r="BX550" i="2"/>
  <c r="BW550" i="2"/>
  <c r="BV550" i="2"/>
  <c r="BU550" i="2"/>
  <c r="BT550" i="2"/>
  <c r="BS550" i="2"/>
  <c r="BR550" i="2"/>
  <c r="BQ550" i="2"/>
  <c r="BP550" i="2"/>
  <c r="BO550" i="2"/>
  <c r="BN550" i="2"/>
  <c r="BM550" i="2"/>
  <c r="BL550" i="2"/>
  <c r="BK550" i="2"/>
  <c r="BJ550" i="2"/>
  <c r="BI550" i="2"/>
  <c r="BH550" i="2"/>
  <c r="BG550" i="2"/>
  <c r="BF550" i="2"/>
  <c r="BE550" i="2"/>
  <c r="BD550" i="2"/>
  <c r="BC550" i="2"/>
  <c r="BB550" i="2"/>
  <c r="BZ550" i="2" s="1"/>
  <c r="CC550" i="2" s="1"/>
  <c r="BA550" i="2"/>
  <c r="AZ550" i="2"/>
  <c r="AY550" i="2"/>
  <c r="AX550" i="2"/>
  <c r="AW550" i="2"/>
  <c r="CA549" i="2"/>
  <c r="BY549" i="2"/>
  <c r="BX549" i="2"/>
  <c r="BW549" i="2"/>
  <c r="BV549" i="2"/>
  <c r="BU549" i="2"/>
  <c r="BT549" i="2"/>
  <c r="BS549" i="2"/>
  <c r="BR549" i="2"/>
  <c r="BQ549" i="2"/>
  <c r="BP549" i="2"/>
  <c r="BO549" i="2"/>
  <c r="BN549" i="2"/>
  <c r="BM549" i="2"/>
  <c r="BL549" i="2"/>
  <c r="BK549" i="2"/>
  <c r="BJ549" i="2"/>
  <c r="BI549" i="2"/>
  <c r="BH549" i="2"/>
  <c r="BG549" i="2"/>
  <c r="BF549" i="2"/>
  <c r="BE549" i="2"/>
  <c r="BD549" i="2"/>
  <c r="BC549" i="2"/>
  <c r="BB549" i="2"/>
  <c r="BZ549" i="2" s="1"/>
  <c r="CC549" i="2" s="1"/>
  <c r="BA549" i="2"/>
  <c r="AZ549" i="2"/>
  <c r="AY549" i="2"/>
  <c r="AX549" i="2"/>
  <c r="AW549" i="2"/>
  <c r="CA548" i="2"/>
  <c r="BY548" i="2"/>
  <c r="BX548" i="2"/>
  <c r="BW548" i="2"/>
  <c r="BV548" i="2"/>
  <c r="BU548" i="2"/>
  <c r="BT548" i="2"/>
  <c r="BS548" i="2"/>
  <c r="BR548" i="2"/>
  <c r="BQ548" i="2"/>
  <c r="BP548" i="2"/>
  <c r="BO548" i="2"/>
  <c r="BN548" i="2"/>
  <c r="BM548" i="2"/>
  <c r="BL548" i="2"/>
  <c r="BK548" i="2"/>
  <c r="BJ548" i="2"/>
  <c r="BI548" i="2"/>
  <c r="BH548" i="2"/>
  <c r="BG548" i="2"/>
  <c r="BF548" i="2"/>
  <c r="BE548" i="2"/>
  <c r="BD548" i="2"/>
  <c r="BC548" i="2"/>
  <c r="BB548" i="2"/>
  <c r="BZ548" i="2" s="1"/>
  <c r="CC548" i="2" s="1"/>
  <c r="BA548" i="2"/>
  <c r="AZ548" i="2"/>
  <c r="AY548" i="2"/>
  <c r="AX548" i="2"/>
  <c r="AW548" i="2"/>
  <c r="CA547" i="2"/>
  <c r="BY547" i="2"/>
  <c r="BX547" i="2"/>
  <c r="BW547" i="2"/>
  <c r="BV547" i="2"/>
  <c r="BU547" i="2"/>
  <c r="BT547" i="2"/>
  <c r="BS547" i="2"/>
  <c r="BR547" i="2"/>
  <c r="BQ547" i="2"/>
  <c r="BP547" i="2"/>
  <c r="BO547" i="2"/>
  <c r="BN547" i="2"/>
  <c r="BM547" i="2"/>
  <c r="BL547" i="2"/>
  <c r="BK547" i="2"/>
  <c r="BJ547" i="2"/>
  <c r="BI547" i="2"/>
  <c r="BH547" i="2"/>
  <c r="BG547" i="2"/>
  <c r="BF547" i="2"/>
  <c r="BE547" i="2"/>
  <c r="BD547" i="2"/>
  <c r="BC547" i="2"/>
  <c r="BB547" i="2"/>
  <c r="BZ547" i="2" s="1"/>
  <c r="BA547" i="2"/>
  <c r="AZ547" i="2"/>
  <c r="AY547" i="2"/>
  <c r="AX547" i="2"/>
  <c r="AW547" i="2"/>
  <c r="CA546" i="2"/>
  <c r="BY546" i="2"/>
  <c r="BX546" i="2"/>
  <c r="BW546" i="2"/>
  <c r="BV546" i="2"/>
  <c r="BU546" i="2"/>
  <c r="BT546" i="2"/>
  <c r="BS546" i="2"/>
  <c r="BR546" i="2"/>
  <c r="BQ546" i="2"/>
  <c r="BP546" i="2"/>
  <c r="BO546" i="2"/>
  <c r="BN546" i="2"/>
  <c r="BM546" i="2"/>
  <c r="BL546" i="2"/>
  <c r="BK546" i="2"/>
  <c r="BJ546" i="2"/>
  <c r="BI546" i="2"/>
  <c r="BH546" i="2"/>
  <c r="BG546" i="2"/>
  <c r="BF546" i="2"/>
  <c r="BE546" i="2"/>
  <c r="BD546" i="2"/>
  <c r="BC546" i="2"/>
  <c r="BB546" i="2"/>
  <c r="BZ546" i="2" s="1"/>
  <c r="BA546" i="2"/>
  <c r="AZ546" i="2"/>
  <c r="AY546" i="2"/>
  <c r="AX546" i="2"/>
  <c r="AW546" i="2"/>
  <c r="CA545" i="2"/>
  <c r="BY545" i="2"/>
  <c r="BX545" i="2"/>
  <c r="BW545" i="2"/>
  <c r="BV545" i="2"/>
  <c r="BU545" i="2"/>
  <c r="BT545" i="2"/>
  <c r="BS545" i="2"/>
  <c r="BR545" i="2"/>
  <c r="BQ545" i="2"/>
  <c r="BP545" i="2"/>
  <c r="BO545" i="2"/>
  <c r="BN545" i="2"/>
  <c r="BM545" i="2"/>
  <c r="BL545" i="2"/>
  <c r="BK545" i="2"/>
  <c r="BJ545" i="2"/>
  <c r="BI545" i="2"/>
  <c r="BH545" i="2"/>
  <c r="BG545" i="2"/>
  <c r="BF545" i="2"/>
  <c r="BE545" i="2"/>
  <c r="BD545" i="2"/>
  <c r="BC545" i="2"/>
  <c r="BB545" i="2"/>
  <c r="BZ545" i="2" s="1"/>
  <c r="CC545" i="2" s="1"/>
  <c r="BA545" i="2"/>
  <c r="AZ545" i="2"/>
  <c r="AY545" i="2"/>
  <c r="AX545" i="2"/>
  <c r="AW545" i="2"/>
  <c r="CA544" i="2"/>
  <c r="BY544" i="2"/>
  <c r="BX544" i="2"/>
  <c r="BW544" i="2"/>
  <c r="BV544" i="2"/>
  <c r="BU544" i="2"/>
  <c r="BT544" i="2"/>
  <c r="BS544" i="2"/>
  <c r="BR544" i="2"/>
  <c r="BQ544" i="2"/>
  <c r="BP544" i="2"/>
  <c r="BO544" i="2"/>
  <c r="BN544" i="2"/>
  <c r="BM544" i="2"/>
  <c r="BL544" i="2"/>
  <c r="BK544" i="2"/>
  <c r="BJ544" i="2"/>
  <c r="BI544" i="2"/>
  <c r="BH544" i="2"/>
  <c r="BG544" i="2"/>
  <c r="BF544" i="2"/>
  <c r="BE544" i="2"/>
  <c r="BD544" i="2"/>
  <c r="BC544" i="2"/>
  <c r="BB544" i="2"/>
  <c r="BZ544" i="2" s="1"/>
  <c r="CC544" i="2" s="1"/>
  <c r="BA544" i="2"/>
  <c r="AZ544" i="2"/>
  <c r="AY544" i="2"/>
  <c r="AX544" i="2"/>
  <c r="AW544" i="2"/>
  <c r="CA543" i="2"/>
  <c r="BY543" i="2"/>
  <c r="BX543" i="2"/>
  <c r="BW543" i="2"/>
  <c r="BV543" i="2"/>
  <c r="BU543" i="2"/>
  <c r="BT543" i="2"/>
  <c r="BS543" i="2"/>
  <c r="BR543" i="2"/>
  <c r="BQ543" i="2"/>
  <c r="BP543" i="2"/>
  <c r="BO543" i="2"/>
  <c r="BN543" i="2"/>
  <c r="BM543" i="2"/>
  <c r="BL543" i="2"/>
  <c r="BK543" i="2"/>
  <c r="BJ543" i="2"/>
  <c r="BI543" i="2"/>
  <c r="BH543" i="2"/>
  <c r="BG543" i="2"/>
  <c r="BF543" i="2"/>
  <c r="BE543" i="2"/>
  <c r="BD543" i="2"/>
  <c r="BC543" i="2"/>
  <c r="BB543" i="2"/>
  <c r="BZ543" i="2" s="1"/>
  <c r="CC543" i="2" s="1"/>
  <c r="BA543" i="2"/>
  <c r="AZ543" i="2"/>
  <c r="AY543" i="2"/>
  <c r="AX543" i="2"/>
  <c r="AW543" i="2"/>
  <c r="CA542" i="2"/>
  <c r="BY542" i="2"/>
  <c r="BX542" i="2"/>
  <c r="BW542" i="2"/>
  <c r="BV542" i="2"/>
  <c r="BU542" i="2"/>
  <c r="BT542" i="2"/>
  <c r="BS542" i="2"/>
  <c r="BR542" i="2"/>
  <c r="BQ542" i="2"/>
  <c r="BP542" i="2"/>
  <c r="BO542" i="2"/>
  <c r="BN542" i="2"/>
  <c r="BM542" i="2"/>
  <c r="BL542" i="2"/>
  <c r="BK542" i="2"/>
  <c r="BJ542" i="2"/>
  <c r="BI542" i="2"/>
  <c r="BH542" i="2"/>
  <c r="BG542" i="2"/>
  <c r="BF542" i="2"/>
  <c r="BE542" i="2"/>
  <c r="BD542" i="2"/>
  <c r="BC542" i="2"/>
  <c r="BB542" i="2"/>
  <c r="BZ542" i="2" s="1"/>
  <c r="CC542" i="2" s="1"/>
  <c r="BA542" i="2"/>
  <c r="AZ542" i="2"/>
  <c r="AY542" i="2"/>
  <c r="AX542" i="2"/>
  <c r="AW542" i="2"/>
  <c r="CA541" i="2"/>
  <c r="BY541" i="2"/>
  <c r="BX541" i="2"/>
  <c r="BW541" i="2"/>
  <c r="BV541" i="2"/>
  <c r="BU541" i="2"/>
  <c r="BT541" i="2"/>
  <c r="BS541" i="2"/>
  <c r="BR541" i="2"/>
  <c r="BQ541" i="2"/>
  <c r="BP541" i="2"/>
  <c r="BO541" i="2"/>
  <c r="BN541" i="2"/>
  <c r="BM541" i="2"/>
  <c r="BL541" i="2"/>
  <c r="BK541" i="2"/>
  <c r="BJ541" i="2"/>
  <c r="BI541" i="2"/>
  <c r="BH541" i="2"/>
  <c r="BG541" i="2"/>
  <c r="BF541" i="2"/>
  <c r="BE541" i="2"/>
  <c r="BD541" i="2"/>
  <c r="BC541" i="2"/>
  <c r="BB541" i="2"/>
  <c r="BZ541" i="2" s="1"/>
  <c r="CC541" i="2" s="1"/>
  <c r="BA541" i="2"/>
  <c r="AZ541" i="2"/>
  <c r="AY541" i="2"/>
  <c r="AX541" i="2"/>
  <c r="AW541" i="2"/>
  <c r="CA540" i="2"/>
  <c r="BY540" i="2"/>
  <c r="BX540" i="2"/>
  <c r="BW540" i="2"/>
  <c r="BV540" i="2"/>
  <c r="BU540" i="2"/>
  <c r="BT540" i="2"/>
  <c r="BS540" i="2"/>
  <c r="BR540" i="2"/>
  <c r="BQ540" i="2"/>
  <c r="BP540" i="2"/>
  <c r="BO540" i="2"/>
  <c r="BN540" i="2"/>
  <c r="BM540" i="2"/>
  <c r="BL540" i="2"/>
  <c r="BK540" i="2"/>
  <c r="BJ540" i="2"/>
  <c r="BI540" i="2"/>
  <c r="BH540" i="2"/>
  <c r="BG540" i="2"/>
  <c r="BF540" i="2"/>
  <c r="BE540" i="2"/>
  <c r="BD540" i="2"/>
  <c r="BC540" i="2"/>
  <c r="BB540" i="2"/>
  <c r="BZ540" i="2" s="1"/>
  <c r="CC540" i="2" s="1"/>
  <c r="BA540" i="2"/>
  <c r="AZ540" i="2"/>
  <c r="AY540" i="2"/>
  <c r="AX540" i="2"/>
  <c r="AW540" i="2"/>
  <c r="CA539" i="2"/>
  <c r="BY539" i="2"/>
  <c r="BX539" i="2"/>
  <c r="BW539" i="2"/>
  <c r="BV539" i="2"/>
  <c r="BU539" i="2"/>
  <c r="BT539" i="2"/>
  <c r="BS539" i="2"/>
  <c r="BR539" i="2"/>
  <c r="BQ539" i="2"/>
  <c r="BP539" i="2"/>
  <c r="BO539" i="2"/>
  <c r="BN539" i="2"/>
  <c r="BM539" i="2"/>
  <c r="BL539" i="2"/>
  <c r="BK539" i="2"/>
  <c r="BJ539" i="2"/>
  <c r="BI539" i="2"/>
  <c r="BH539" i="2"/>
  <c r="BG539" i="2"/>
  <c r="BF539" i="2"/>
  <c r="BE539" i="2"/>
  <c r="BD539" i="2"/>
  <c r="BC539" i="2"/>
  <c r="BB539" i="2"/>
  <c r="BZ539" i="2" s="1"/>
  <c r="CC539" i="2" s="1"/>
  <c r="BA539" i="2"/>
  <c r="AZ539" i="2"/>
  <c r="AY539" i="2"/>
  <c r="AX539" i="2"/>
  <c r="AW539" i="2"/>
  <c r="CA538" i="2"/>
  <c r="BY538" i="2"/>
  <c r="BX538" i="2"/>
  <c r="BW538" i="2"/>
  <c r="BV538" i="2"/>
  <c r="BU538" i="2"/>
  <c r="BT538" i="2"/>
  <c r="BS538" i="2"/>
  <c r="BR538" i="2"/>
  <c r="BQ538" i="2"/>
  <c r="BP538" i="2"/>
  <c r="BO538" i="2"/>
  <c r="BN538" i="2"/>
  <c r="BM538" i="2"/>
  <c r="BL538" i="2"/>
  <c r="BK538" i="2"/>
  <c r="BJ538" i="2"/>
  <c r="BI538" i="2"/>
  <c r="BH538" i="2"/>
  <c r="BG538" i="2"/>
  <c r="BF538" i="2"/>
  <c r="BE538" i="2"/>
  <c r="BD538" i="2"/>
  <c r="BC538" i="2"/>
  <c r="BB538" i="2"/>
  <c r="BZ538" i="2" s="1"/>
  <c r="CC538" i="2" s="1"/>
  <c r="BA538" i="2"/>
  <c r="AZ538" i="2"/>
  <c r="AY538" i="2"/>
  <c r="AX538" i="2"/>
  <c r="AW538" i="2"/>
  <c r="CA537" i="2"/>
  <c r="BY537" i="2"/>
  <c r="BX537" i="2"/>
  <c r="BW537" i="2"/>
  <c r="BV537" i="2"/>
  <c r="BU537" i="2"/>
  <c r="BT537" i="2"/>
  <c r="BS537" i="2"/>
  <c r="BR537" i="2"/>
  <c r="BQ537" i="2"/>
  <c r="BP537" i="2"/>
  <c r="BO537" i="2"/>
  <c r="BN537" i="2"/>
  <c r="BM537" i="2"/>
  <c r="BL537" i="2"/>
  <c r="BK537" i="2"/>
  <c r="BJ537" i="2"/>
  <c r="BI537" i="2"/>
  <c r="BH537" i="2"/>
  <c r="BG537" i="2"/>
  <c r="BF537" i="2"/>
  <c r="BE537" i="2"/>
  <c r="BD537" i="2"/>
  <c r="BC537" i="2"/>
  <c r="BB537" i="2"/>
  <c r="BZ537" i="2" s="1"/>
  <c r="BA537" i="2"/>
  <c r="AZ537" i="2"/>
  <c r="AY537" i="2"/>
  <c r="AX537" i="2"/>
  <c r="AW537" i="2"/>
  <c r="CA536" i="2"/>
  <c r="BY536" i="2"/>
  <c r="BX536" i="2"/>
  <c r="BW536" i="2"/>
  <c r="BV536" i="2"/>
  <c r="BU536" i="2"/>
  <c r="BT536" i="2"/>
  <c r="BS536" i="2"/>
  <c r="BR536" i="2"/>
  <c r="BQ536" i="2"/>
  <c r="BP536" i="2"/>
  <c r="BO536" i="2"/>
  <c r="BN536" i="2"/>
  <c r="BM536" i="2"/>
  <c r="BL536" i="2"/>
  <c r="BK536" i="2"/>
  <c r="BJ536" i="2"/>
  <c r="BI536" i="2"/>
  <c r="BH536" i="2"/>
  <c r="BG536" i="2"/>
  <c r="BF536" i="2"/>
  <c r="BE536" i="2"/>
  <c r="BD536" i="2"/>
  <c r="BC536" i="2"/>
  <c r="BB536" i="2"/>
  <c r="BZ536" i="2" s="1"/>
  <c r="CC536" i="2" s="1"/>
  <c r="BA536" i="2"/>
  <c r="AZ536" i="2"/>
  <c r="AY536" i="2"/>
  <c r="AX536" i="2"/>
  <c r="AW536" i="2"/>
  <c r="CA535" i="2"/>
  <c r="BY535" i="2"/>
  <c r="BX535" i="2"/>
  <c r="BW535" i="2"/>
  <c r="BV535" i="2"/>
  <c r="BU535" i="2"/>
  <c r="BT535" i="2"/>
  <c r="BS535" i="2"/>
  <c r="BR535" i="2"/>
  <c r="BQ535" i="2"/>
  <c r="BP535" i="2"/>
  <c r="BO535" i="2"/>
  <c r="BN535" i="2"/>
  <c r="BM535" i="2"/>
  <c r="BL535" i="2"/>
  <c r="BK535" i="2"/>
  <c r="BJ535" i="2"/>
  <c r="BI535" i="2"/>
  <c r="BH535" i="2"/>
  <c r="BG535" i="2"/>
  <c r="BF535" i="2"/>
  <c r="BE535" i="2"/>
  <c r="BD535" i="2"/>
  <c r="BC535" i="2"/>
  <c r="BB535" i="2"/>
  <c r="BZ535" i="2" s="1"/>
  <c r="CC535" i="2" s="1"/>
  <c r="BA535" i="2"/>
  <c r="AZ535" i="2"/>
  <c r="AY535" i="2"/>
  <c r="AX535" i="2"/>
  <c r="AW535" i="2"/>
  <c r="CA534" i="2"/>
  <c r="BY534" i="2"/>
  <c r="BX534" i="2"/>
  <c r="BW534" i="2"/>
  <c r="BV534" i="2"/>
  <c r="BU534" i="2"/>
  <c r="BT534" i="2"/>
  <c r="BS534" i="2"/>
  <c r="BR534" i="2"/>
  <c r="BQ534" i="2"/>
  <c r="BP534" i="2"/>
  <c r="BO534" i="2"/>
  <c r="BN534" i="2"/>
  <c r="BM534" i="2"/>
  <c r="BL534" i="2"/>
  <c r="BK534" i="2"/>
  <c r="BJ534" i="2"/>
  <c r="BI534" i="2"/>
  <c r="BH534" i="2"/>
  <c r="BG534" i="2"/>
  <c r="BF534" i="2"/>
  <c r="BE534" i="2"/>
  <c r="BD534" i="2"/>
  <c r="BC534" i="2"/>
  <c r="BB534" i="2"/>
  <c r="BZ534" i="2" s="1"/>
  <c r="BA534" i="2"/>
  <c r="AZ534" i="2"/>
  <c r="AY534" i="2"/>
  <c r="AX534" i="2"/>
  <c r="AW534" i="2"/>
  <c r="CA533" i="2"/>
  <c r="BY533" i="2"/>
  <c r="BX533" i="2"/>
  <c r="BW533" i="2"/>
  <c r="BV533" i="2"/>
  <c r="BU533" i="2"/>
  <c r="BT533" i="2"/>
  <c r="BS533" i="2"/>
  <c r="BR533" i="2"/>
  <c r="BQ533" i="2"/>
  <c r="BP533" i="2"/>
  <c r="BO533" i="2"/>
  <c r="BN533" i="2"/>
  <c r="BM533" i="2"/>
  <c r="BL533" i="2"/>
  <c r="BK533" i="2"/>
  <c r="BJ533" i="2"/>
  <c r="BI533" i="2"/>
  <c r="BH533" i="2"/>
  <c r="BG533" i="2"/>
  <c r="BF533" i="2"/>
  <c r="BE533" i="2"/>
  <c r="BD533" i="2"/>
  <c r="BC533" i="2"/>
  <c r="BB533" i="2"/>
  <c r="BZ533" i="2" s="1"/>
  <c r="BA533" i="2"/>
  <c r="AZ533" i="2"/>
  <c r="AY533" i="2"/>
  <c r="AX533" i="2"/>
  <c r="AW533" i="2"/>
  <c r="CA532" i="2"/>
  <c r="BY532" i="2"/>
  <c r="BX532" i="2"/>
  <c r="BW532" i="2"/>
  <c r="BV532" i="2"/>
  <c r="BU532" i="2"/>
  <c r="BT532" i="2"/>
  <c r="BS532" i="2"/>
  <c r="BR532" i="2"/>
  <c r="BQ532" i="2"/>
  <c r="BP532" i="2"/>
  <c r="BO532" i="2"/>
  <c r="BN532" i="2"/>
  <c r="BM532" i="2"/>
  <c r="BL532" i="2"/>
  <c r="BK532" i="2"/>
  <c r="BJ532" i="2"/>
  <c r="BI532" i="2"/>
  <c r="BH532" i="2"/>
  <c r="BG532" i="2"/>
  <c r="BF532" i="2"/>
  <c r="BE532" i="2"/>
  <c r="BD532" i="2"/>
  <c r="BC532" i="2"/>
  <c r="BB532" i="2"/>
  <c r="BZ532" i="2" s="1"/>
  <c r="BA532" i="2"/>
  <c r="AZ532" i="2"/>
  <c r="AY532" i="2"/>
  <c r="AX532" i="2"/>
  <c r="AW532" i="2"/>
  <c r="CA531" i="2"/>
  <c r="BY531" i="2"/>
  <c r="BX531" i="2"/>
  <c r="BW531" i="2"/>
  <c r="BV531" i="2"/>
  <c r="BU531" i="2"/>
  <c r="BT531" i="2"/>
  <c r="BS531" i="2"/>
  <c r="BR531" i="2"/>
  <c r="BQ531" i="2"/>
  <c r="BP531" i="2"/>
  <c r="BO531" i="2"/>
  <c r="BN531" i="2"/>
  <c r="BM531" i="2"/>
  <c r="BL531" i="2"/>
  <c r="BK531" i="2"/>
  <c r="BJ531" i="2"/>
  <c r="BI531" i="2"/>
  <c r="BH531" i="2"/>
  <c r="BG531" i="2"/>
  <c r="BF531" i="2"/>
  <c r="BE531" i="2"/>
  <c r="BD531" i="2"/>
  <c r="BC531" i="2"/>
  <c r="BB531" i="2"/>
  <c r="BZ531" i="2" s="1"/>
  <c r="BA531" i="2"/>
  <c r="AZ531" i="2"/>
  <c r="AY531" i="2"/>
  <c r="AX531" i="2"/>
  <c r="AW531" i="2"/>
  <c r="CA530" i="2"/>
  <c r="BY530" i="2"/>
  <c r="BX530" i="2"/>
  <c r="BW530" i="2"/>
  <c r="BV530" i="2"/>
  <c r="BU530" i="2"/>
  <c r="BT530" i="2"/>
  <c r="BS530" i="2"/>
  <c r="BR530" i="2"/>
  <c r="BQ530" i="2"/>
  <c r="BP530" i="2"/>
  <c r="BO530" i="2"/>
  <c r="BN530" i="2"/>
  <c r="BM530" i="2"/>
  <c r="BL530" i="2"/>
  <c r="BK530" i="2"/>
  <c r="BJ530" i="2"/>
  <c r="BI530" i="2"/>
  <c r="BH530" i="2"/>
  <c r="BG530" i="2"/>
  <c r="BF530" i="2"/>
  <c r="BE530" i="2"/>
  <c r="BD530" i="2"/>
  <c r="BC530" i="2"/>
  <c r="BB530" i="2"/>
  <c r="BZ530" i="2" s="1"/>
  <c r="CC530" i="2" s="1"/>
  <c r="BA530" i="2"/>
  <c r="AZ530" i="2"/>
  <c r="AY530" i="2"/>
  <c r="AX530" i="2"/>
  <c r="AW530" i="2"/>
  <c r="CA529" i="2"/>
  <c r="BY529" i="2"/>
  <c r="BX529" i="2"/>
  <c r="BW529" i="2"/>
  <c r="BV529" i="2"/>
  <c r="BU529" i="2"/>
  <c r="BT529" i="2"/>
  <c r="BS529" i="2"/>
  <c r="BR529" i="2"/>
  <c r="BQ529" i="2"/>
  <c r="BP529" i="2"/>
  <c r="BO529" i="2"/>
  <c r="BN529" i="2"/>
  <c r="BM529" i="2"/>
  <c r="BL529" i="2"/>
  <c r="BK529" i="2"/>
  <c r="BJ529" i="2"/>
  <c r="BI529" i="2"/>
  <c r="BH529" i="2"/>
  <c r="BG529" i="2"/>
  <c r="BF529" i="2"/>
  <c r="BE529" i="2"/>
  <c r="BD529" i="2"/>
  <c r="BC529" i="2"/>
  <c r="BB529" i="2"/>
  <c r="BZ529" i="2" s="1"/>
  <c r="CC529" i="2" s="1"/>
  <c r="BA529" i="2"/>
  <c r="AZ529" i="2"/>
  <c r="AY529" i="2"/>
  <c r="AX529" i="2"/>
  <c r="AW529" i="2"/>
  <c r="CA528" i="2"/>
  <c r="BY528" i="2"/>
  <c r="BX528" i="2"/>
  <c r="BW528" i="2"/>
  <c r="BV528" i="2"/>
  <c r="BU528" i="2"/>
  <c r="BT528" i="2"/>
  <c r="BS528" i="2"/>
  <c r="BR528" i="2"/>
  <c r="BQ528" i="2"/>
  <c r="BP528" i="2"/>
  <c r="BO528" i="2"/>
  <c r="BN528" i="2"/>
  <c r="BM528" i="2"/>
  <c r="BL528" i="2"/>
  <c r="BK528" i="2"/>
  <c r="BJ528" i="2"/>
  <c r="BI528" i="2"/>
  <c r="BH528" i="2"/>
  <c r="BG528" i="2"/>
  <c r="BF528" i="2"/>
  <c r="BE528" i="2"/>
  <c r="BD528" i="2"/>
  <c r="BC528" i="2"/>
  <c r="BB528" i="2"/>
  <c r="BZ528" i="2" s="1"/>
  <c r="CC528" i="2" s="1"/>
  <c r="BA528" i="2"/>
  <c r="AZ528" i="2"/>
  <c r="AY528" i="2"/>
  <c r="AX528" i="2"/>
  <c r="AW528" i="2"/>
  <c r="CA527" i="2"/>
  <c r="BY527" i="2"/>
  <c r="BX527" i="2"/>
  <c r="BW527" i="2"/>
  <c r="BV527" i="2"/>
  <c r="BU527" i="2"/>
  <c r="BT527" i="2"/>
  <c r="BS527" i="2"/>
  <c r="BR527" i="2"/>
  <c r="BQ527" i="2"/>
  <c r="BP527" i="2"/>
  <c r="BO527" i="2"/>
  <c r="BN527" i="2"/>
  <c r="BM527" i="2"/>
  <c r="BL527" i="2"/>
  <c r="BK527" i="2"/>
  <c r="BJ527" i="2"/>
  <c r="BI527" i="2"/>
  <c r="BH527" i="2"/>
  <c r="BG527" i="2"/>
  <c r="BF527" i="2"/>
  <c r="BE527" i="2"/>
  <c r="BD527" i="2"/>
  <c r="BC527" i="2"/>
  <c r="BB527" i="2"/>
  <c r="BZ527" i="2" s="1"/>
  <c r="CC527" i="2" s="1"/>
  <c r="BA527" i="2"/>
  <c r="AZ527" i="2"/>
  <c r="AY527" i="2"/>
  <c r="AX527" i="2"/>
  <c r="AW527" i="2"/>
  <c r="CA526" i="2"/>
  <c r="BY526" i="2"/>
  <c r="BX526" i="2"/>
  <c r="BW526" i="2"/>
  <c r="BV526" i="2"/>
  <c r="BU526" i="2"/>
  <c r="BT526" i="2"/>
  <c r="BS526" i="2"/>
  <c r="BR526" i="2"/>
  <c r="BQ526" i="2"/>
  <c r="BP526" i="2"/>
  <c r="BO526" i="2"/>
  <c r="BN526" i="2"/>
  <c r="BM526" i="2"/>
  <c r="BL526" i="2"/>
  <c r="BK526" i="2"/>
  <c r="BJ526" i="2"/>
  <c r="BI526" i="2"/>
  <c r="BH526" i="2"/>
  <c r="BG526" i="2"/>
  <c r="BF526" i="2"/>
  <c r="BE526" i="2"/>
  <c r="BD526" i="2"/>
  <c r="BC526" i="2"/>
  <c r="BB526" i="2"/>
  <c r="BZ526" i="2" s="1"/>
  <c r="BA526" i="2"/>
  <c r="AZ526" i="2"/>
  <c r="AY526" i="2"/>
  <c r="AX526" i="2"/>
  <c r="AW526" i="2"/>
  <c r="CA525" i="2"/>
  <c r="BY525" i="2"/>
  <c r="BX525" i="2"/>
  <c r="BW525" i="2"/>
  <c r="BV525" i="2"/>
  <c r="BU525" i="2"/>
  <c r="BT525" i="2"/>
  <c r="BS525" i="2"/>
  <c r="BR525" i="2"/>
  <c r="BQ525" i="2"/>
  <c r="BP525" i="2"/>
  <c r="BO525" i="2"/>
  <c r="BN525" i="2"/>
  <c r="BM525" i="2"/>
  <c r="BL525" i="2"/>
  <c r="BK525" i="2"/>
  <c r="BJ525" i="2"/>
  <c r="BI525" i="2"/>
  <c r="BH525" i="2"/>
  <c r="BG525" i="2"/>
  <c r="BF525" i="2"/>
  <c r="BE525" i="2"/>
  <c r="BD525" i="2"/>
  <c r="BC525" i="2"/>
  <c r="BB525" i="2"/>
  <c r="BZ525" i="2" s="1"/>
  <c r="BA525" i="2"/>
  <c r="AZ525" i="2"/>
  <c r="AY525" i="2"/>
  <c r="AX525" i="2"/>
  <c r="AW525" i="2"/>
  <c r="CA524" i="2"/>
  <c r="BY524" i="2"/>
  <c r="BX524" i="2"/>
  <c r="BW524" i="2"/>
  <c r="BV524" i="2"/>
  <c r="BU524" i="2"/>
  <c r="BT524" i="2"/>
  <c r="BS524" i="2"/>
  <c r="BR524" i="2"/>
  <c r="BQ524" i="2"/>
  <c r="BP524" i="2"/>
  <c r="BO524" i="2"/>
  <c r="BN524" i="2"/>
  <c r="BM524" i="2"/>
  <c r="BL524" i="2"/>
  <c r="BK524" i="2"/>
  <c r="BJ524" i="2"/>
  <c r="BI524" i="2"/>
  <c r="BH524" i="2"/>
  <c r="BG524" i="2"/>
  <c r="BF524" i="2"/>
  <c r="BE524" i="2"/>
  <c r="BD524" i="2"/>
  <c r="BC524" i="2"/>
  <c r="BB524" i="2"/>
  <c r="BZ524" i="2" s="1"/>
  <c r="CC524" i="2" s="1"/>
  <c r="BA524" i="2"/>
  <c r="AZ524" i="2"/>
  <c r="AY524" i="2"/>
  <c r="AX524" i="2"/>
  <c r="AW524" i="2"/>
  <c r="CA523" i="2"/>
  <c r="BY523" i="2"/>
  <c r="BX523" i="2"/>
  <c r="BW523" i="2"/>
  <c r="BV523" i="2"/>
  <c r="BU523" i="2"/>
  <c r="BT523" i="2"/>
  <c r="BS523" i="2"/>
  <c r="BR523" i="2"/>
  <c r="BQ523" i="2"/>
  <c r="BP523" i="2"/>
  <c r="BO523" i="2"/>
  <c r="BN523" i="2"/>
  <c r="BM523" i="2"/>
  <c r="BL523" i="2"/>
  <c r="BK523" i="2"/>
  <c r="BJ523" i="2"/>
  <c r="BI523" i="2"/>
  <c r="BH523" i="2"/>
  <c r="BG523" i="2"/>
  <c r="BF523" i="2"/>
  <c r="BE523" i="2"/>
  <c r="BD523" i="2"/>
  <c r="BC523" i="2"/>
  <c r="BB523" i="2"/>
  <c r="BZ523" i="2" s="1"/>
  <c r="CC523" i="2" s="1"/>
  <c r="BA523" i="2"/>
  <c r="AZ523" i="2"/>
  <c r="AY523" i="2"/>
  <c r="AX523" i="2"/>
  <c r="AW523" i="2"/>
  <c r="CA522" i="2"/>
  <c r="BY522" i="2"/>
  <c r="BX522" i="2"/>
  <c r="BW522" i="2"/>
  <c r="BV522" i="2"/>
  <c r="BU522" i="2"/>
  <c r="BT522" i="2"/>
  <c r="BS522" i="2"/>
  <c r="BR522" i="2"/>
  <c r="BQ522" i="2"/>
  <c r="BP522" i="2"/>
  <c r="BO522" i="2"/>
  <c r="BN522" i="2"/>
  <c r="BM522" i="2"/>
  <c r="BL522" i="2"/>
  <c r="BK522" i="2"/>
  <c r="BJ522" i="2"/>
  <c r="BI522" i="2"/>
  <c r="BH522" i="2"/>
  <c r="BG522" i="2"/>
  <c r="BF522" i="2"/>
  <c r="BE522" i="2"/>
  <c r="BD522" i="2"/>
  <c r="BC522" i="2"/>
  <c r="BB522" i="2"/>
  <c r="BZ522" i="2" s="1"/>
  <c r="BA522" i="2"/>
  <c r="AZ522" i="2"/>
  <c r="AY522" i="2"/>
  <c r="AX522" i="2"/>
  <c r="AW522" i="2"/>
  <c r="CA521" i="2"/>
  <c r="BY521" i="2"/>
  <c r="BX521" i="2"/>
  <c r="BW521" i="2"/>
  <c r="BV521" i="2"/>
  <c r="BU521" i="2"/>
  <c r="BT521" i="2"/>
  <c r="BS521" i="2"/>
  <c r="BR521" i="2"/>
  <c r="BQ521" i="2"/>
  <c r="BP521" i="2"/>
  <c r="BO521" i="2"/>
  <c r="BN521" i="2"/>
  <c r="BM521" i="2"/>
  <c r="BL521" i="2"/>
  <c r="BK521" i="2"/>
  <c r="BJ521" i="2"/>
  <c r="BI521" i="2"/>
  <c r="BH521" i="2"/>
  <c r="BG521" i="2"/>
  <c r="BF521" i="2"/>
  <c r="BE521" i="2"/>
  <c r="BD521" i="2"/>
  <c r="BC521" i="2"/>
  <c r="BB521" i="2"/>
  <c r="BZ521" i="2" s="1"/>
  <c r="CC521" i="2" s="1"/>
  <c r="BA521" i="2"/>
  <c r="AZ521" i="2"/>
  <c r="AY521" i="2"/>
  <c r="AX521" i="2"/>
  <c r="AW521" i="2"/>
  <c r="CA520" i="2"/>
  <c r="BY520" i="2"/>
  <c r="BX520" i="2"/>
  <c r="BW520" i="2"/>
  <c r="BV520" i="2"/>
  <c r="BU520" i="2"/>
  <c r="BT520" i="2"/>
  <c r="BS520" i="2"/>
  <c r="BR520" i="2"/>
  <c r="BQ520" i="2"/>
  <c r="BP520" i="2"/>
  <c r="BO520" i="2"/>
  <c r="BN520" i="2"/>
  <c r="BM520" i="2"/>
  <c r="BL520" i="2"/>
  <c r="BK520" i="2"/>
  <c r="BJ520" i="2"/>
  <c r="BI520" i="2"/>
  <c r="BH520" i="2"/>
  <c r="BG520" i="2"/>
  <c r="BF520" i="2"/>
  <c r="BE520" i="2"/>
  <c r="BD520" i="2"/>
  <c r="BC520" i="2"/>
  <c r="BB520" i="2"/>
  <c r="BZ520" i="2" s="1"/>
  <c r="CC520" i="2" s="1"/>
  <c r="BA520" i="2"/>
  <c r="AZ520" i="2"/>
  <c r="AY520" i="2"/>
  <c r="AX520" i="2"/>
  <c r="AW520" i="2"/>
  <c r="CA519" i="2"/>
  <c r="BY519" i="2"/>
  <c r="BX519" i="2"/>
  <c r="BW519" i="2"/>
  <c r="BV519" i="2"/>
  <c r="BU519" i="2"/>
  <c r="BT519" i="2"/>
  <c r="BS519" i="2"/>
  <c r="BR519" i="2"/>
  <c r="BQ519" i="2"/>
  <c r="BP519" i="2"/>
  <c r="BO519" i="2"/>
  <c r="BN519" i="2"/>
  <c r="BM519" i="2"/>
  <c r="BL519" i="2"/>
  <c r="BK519" i="2"/>
  <c r="BJ519" i="2"/>
  <c r="BI519" i="2"/>
  <c r="BH519" i="2"/>
  <c r="BG519" i="2"/>
  <c r="BF519" i="2"/>
  <c r="BE519" i="2"/>
  <c r="BD519" i="2"/>
  <c r="BC519" i="2"/>
  <c r="BB519" i="2"/>
  <c r="BZ519" i="2" s="1"/>
  <c r="BA519" i="2"/>
  <c r="AZ519" i="2"/>
  <c r="AY519" i="2"/>
  <c r="AX519" i="2"/>
  <c r="AW519" i="2"/>
  <c r="CA518" i="2"/>
  <c r="BY518" i="2"/>
  <c r="BX518" i="2"/>
  <c r="BW518" i="2"/>
  <c r="BV518" i="2"/>
  <c r="BU518" i="2"/>
  <c r="BT518" i="2"/>
  <c r="BS518" i="2"/>
  <c r="BR518" i="2"/>
  <c r="BQ518" i="2"/>
  <c r="BP518" i="2"/>
  <c r="BO518" i="2"/>
  <c r="BN518" i="2"/>
  <c r="BM518" i="2"/>
  <c r="BL518" i="2"/>
  <c r="BK518" i="2"/>
  <c r="BJ518" i="2"/>
  <c r="BI518" i="2"/>
  <c r="BH518" i="2"/>
  <c r="BG518" i="2"/>
  <c r="BF518" i="2"/>
  <c r="BE518" i="2"/>
  <c r="BD518" i="2"/>
  <c r="BC518" i="2"/>
  <c r="BB518" i="2"/>
  <c r="BZ518" i="2" s="1"/>
  <c r="CC518" i="2" s="1"/>
  <c r="BA518" i="2"/>
  <c r="AZ518" i="2"/>
  <c r="AY518" i="2"/>
  <c r="AX518" i="2"/>
  <c r="AW518" i="2"/>
  <c r="CA517" i="2"/>
  <c r="BY517" i="2"/>
  <c r="BX517" i="2"/>
  <c r="BW517" i="2"/>
  <c r="BV517" i="2"/>
  <c r="BU517" i="2"/>
  <c r="BT517" i="2"/>
  <c r="BS517" i="2"/>
  <c r="BR517" i="2"/>
  <c r="BQ517" i="2"/>
  <c r="BP517" i="2"/>
  <c r="BO517" i="2"/>
  <c r="BN517" i="2"/>
  <c r="BM517" i="2"/>
  <c r="BL517" i="2"/>
  <c r="BK517" i="2"/>
  <c r="BJ517" i="2"/>
  <c r="BI517" i="2"/>
  <c r="BH517" i="2"/>
  <c r="BG517" i="2"/>
  <c r="BF517" i="2"/>
  <c r="BE517" i="2"/>
  <c r="BD517" i="2"/>
  <c r="BC517" i="2"/>
  <c r="BB517" i="2"/>
  <c r="BZ517" i="2" s="1"/>
  <c r="BA517" i="2"/>
  <c r="AZ517" i="2"/>
  <c r="AY517" i="2"/>
  <c r="AX517" i="2"/>
  <c r="AW517" i="2"/>
  <c r="CA516" i="2"/>
  <c r="BY516" i="2"/>
  <c r="BX516" i="2"/>
  <c r="BW516" i="2"/>
  <c r="BV516" i="2"/>
  <c r="BU516" i="2"/>
  <c r="BT516" i="2"/>
  <c r="BS516" i="2"/>
  <c r="BR516" i="2"/>
  <c r="BQ516" i="2"/>
  <c r="BP516" i="2"/>
  <c r="BO516" i="2"/>
  <c r="BN516" i="2"/>
  <c r="BM516" i="2"/>
  <c r="BL516" i="2"/>
  <c r="BK516" i="2"/>
  <c r="BJ516" i="2"/>
  <c r="BI516" i="2"/>
  <c r="BH516" i="2"/>
  <c r="BG516" i="2"/>
  <c r="BF516" i="2"/>
  <c r="BE516" i="2"/>
  <c r="BD516" i="2"/>
  <c r="BC516" i="2"/>
  <c r="BB516" i="2"/>
  <c r="BZ516" i="2" s="1"/>
  <c r="BA516" i="2"/>
  <c r="AZ516" i="2"/>
  <c r="AY516" i="2"/>
  <c r="AX516" i="2"/>
  <c r="AW516" i="2"/>
  <c r="CA515" i="2"/>
  <c r="BY515" i="2"/>
  <c r="BX515" i="2"/>
  <c r="BW515" i="2"/>
  <c r="BV515" i="2"/>
  <c r="BU515" i="2"/>
  <c r="BT515" i="2"/>
  <c r="BS515" i="2"/>
  <c r="BR515" i="2"/>
  <c r="BQ515" i="2"/>
  <c r="BP515" i="2"/>
  <c r="BO515" i="2"/>
  <c r="BN515" i="2"/>
  <c r="BM515" i="2"/>
  <c r="BL515" i="2"/>
  <c r="BK515" i="2"/>
  <c r="BJ515" i="2"/>
  <c r="BI515" i="2"/>
  <c r="BH515" i="2"/>
  <c r="BG515" i="2"/>
  <c r="BF515" i="2"/>
  <c r="BE515" i="2"/>
  <c r="BD515" i="2"/>
  <c r="BC515" i="2"/>
  <c r="BB515" i="2"/>
  <c r="BZ515" i="2" s="1"/>
  <c r="BA515" i="2"/>
  <c r="AZ515" i="2"/>
  <c r="AY515" i="2"/>
  <c r="AX515" i="2"/>
  <c r="AW515" i="2"/>
  <c r="CA514" i="2"/>
  <c r="BY514" i="2"/>
  <c r="BX514" i="2"/>
  <c r="BW514" i="2"/>
  <c r="BV514" i="2"/>
  <c r="BU514" i="2"/>
  <c r="BT514" i="2"/>
  <c r="BS514" i="2"/>
  <c r="BR514" i="2"/>
  <c r="BQ514" i="2"/>
  <c r="BP514" i="2"/>
  <c r="BO514" i="2"/>
  <c r="BN514" i="2"/>
  <c r="BM514" i="2"/>
  <c r="BL514" i="2"/>
  <c r="BK514" i="2"/>
  <c r="BJ514" i="2"/>
  <c r="BI514" i="2"/>
  <c r="BH514" i="2"/>
  <c r="BG514" i="2"/>
  <c r="BF514" i="2"/>
  <c r="BE514" i="2"/>
  <c r="BD514" i="2"/>
  <c r="BC514" i="2"/>
  <c r="BB514" i="2"/>
  <c r="BZ514" i="2" s="1"/>
  <c r="CC514" i="2" s="1"/>
  <c r="BA514" i="2"/>
  <c r="AZ514" i="2"/>
  <c r="AY514" i="2"/>
  <c r="AX514" i="2"/>
  <c r="AW514" i="2"/>
  <c r="CA513" i="2"/>
  <c r="BY513" i="2"/>
  <c r="BX513" i="2"/>
  <c r="BW513" i="2"/>
  <c r="BV513" i="2"/>
  <c r="BU513" i="2"/>
  <c r="BT513" i="2"/>
  <c r="BS513" i="2"/>
  <c r="BR513" i="2"/>
  <c r="BQ513" i="2"/>
  <c r="BP513" i="2"/>
  <c r="BO513" i="2"/>
  <c r="BN513" i="2"/>
  <c r="BM513" i="2"/>
  <c r="BL513" i="2"/>
  <c r="BK513" i="2"/>
  <c r="BJ513" i="2"/>
  <c r="BI513" i="2"/>
  <c r="BH513" i="2"/>
  <c r="BG513" i="2"/>
  <c r="BF513" i="2"/>
  <c r="BE513" i="2"/>
  <c r="BD513" i="2"/>
  <c r="BC513" i="2"/>
  <c r="BB513" i="2"/>
  <c r="BZ513" i="2" s="1"/>
  <c r="BA513" i="2"/>
  <c r="AZ513" i="2"/>
  <c r="AY513" i="2"/>
  <c r="AX513" i="2"/>
  <c r="AW513" i="2"/>
  <c r="CA512" i="2"/>
  <c r="BY512" i="2"/>
  <c r="BX512" i="2"/>
  <c r="BW512" i="2"/>
  <c r="BV512" i="2"/>
  <c r="BU512" i="2"/>
  <c r="BT512" i="2"/>
  <c r="BS512" i="2"/>
  <c r="BR512" i="2"/>
  <c r="BQ512" i="2"/>
  <c r="BP512" i="2"/>
  <c r="BO512" i="2"/>
  <c r="BN512" i="2"/>
  <c r="BM512" i="2"/>
  <c r="BL512" i="2"/>
  <c r="BK512" i="2"/>
  <c r="BJ512" i="2"/>
  <c r="BI512" i="2"/>
  <c r="BH512" i="2"/>
  <c r="BG512" i="2"/>
  <c r="BF512" i="2"/>
  <c r="BE512" i="2"/>
  <c r="BD512" i="2"/>
  <c r="BC512" i="2"/>
  <c r="BB512" i="2"/>
  <c r="BZ512" i="2" s="1"/>
  <c r="CC512" i="2" s="1"/>
  <c r="BA512" i="2"/>
  <c r="AZ512" i="2"/>
  <c r="AY512" i="2"/>
  <c r="AX512" i="2"/>
  <c r="AW512" i="2"/>
  <c r="CA511" i="2"/>
  <c r="BY511" i="2"/>
  <c r="BX511" i="2"/>
  <c r="BW511" i="2"/>
  <c r="BV511" i="2"/>
  <c r="BU511" i="2"/>
  <c r="BT511" i="2"/>
  <c r="BS511" i="2"/>
  <c r="BR511" i="2"/>
  <c r="BQ511" i="2"/>
  <c r="BP511" i="2"/>
  <c r="BO511" i="2"/>
  <c r="BN511" i="2"/>
  <c r="BM511" i="2"/>
  <c r="BL511" i="2"/>
  <c r="BK511" i="2"/>
  <c r="BJ511" i="2"/>
  <c r="BI511" i="2"/>
  <c r="BH511" i="2"/>
  <c r="BG511" i="2"/>
  <c r="BF511" i="2"/>
  <c r="BE511" i="2"/>
  <c r="BD511" i="2"/>
  <c r="BC511" i="2"/>
  <c r="BB511" i="2"/>
  <c r="BZ511" i="2" s="1"/>
  <c r="CC511" i="2" s="1"/>
  <c r="BA511" i="2"/>
  <c r="AZ511" i="2"/>
  <c r="AY511" i="2"/>
  <c r="AX511" i="2"/>
  <c r="AW511" i="2"/>
  <c r="CA510" i="2"/>
  <c r="BY510" i="2"/>
  <c r="BX510" i="2"/>
  <c r="BW510" i="2"/>
  <c r="BV510" i="2"/>
  <c r="BU510" i="2"/>
  <c r="BT510" i="2"/>
  <c r="BS510" i="2"/>
  <c r="BR510" i="2"/>
  <c r="BQ510" i="2"/>
  <c r="BP510" i="2"/>
  <c r="BO510" i="2"/>
  <c r="BN510" i="2"/>
  <c r="BM510" i="2"/>
  <c r="BL510" i="2"/>
  <c r="BK510" i="2"/>
  <c r="BJ510" i="2"/>
  <c r="BI510" i="2"/>
  <c r="BH510" i="2"/>
  <c r="BG510" i="2"/>
  <c r="BF510" i="2"/>
  <c r="BE510" i="2"/>
  <c r="BD510" i="2"/>
  <c r="BC510" i="2"/>
  <c r="BB510" i="2"/>
  <c r="BZ510" i="2" s="1"/>
  <c r="BA510" i="2"/>
  <c r="AZ510" i="2"/>
  <c r="AY510" i="2"/>
  <c r="AX510" i="2"/>
  <c r="AW510" i="2"/>
  <c r="CA509" i="2"/>
  <c r="BY509" i="2"/>
  <c r="BX509" i="2"/>
  <c r="BW509" i="2"/>
  <c r="BV509" i="2"/>
  <c r="BU509" i="2"/>
  <c r="BT509" i="2"/>
  <c r="BS509" i="2"/>
  <c r="BR509" i="2"/>
  <c r="BQ509" i="2"/>
  <c r="BP509" i="2"/>
  <c r="BO509" i="2"/>
  <c r="BN509" i="2"/>
  <c r="BM509" i="2"/>
  <c r="BL509" i="2"/>
  <c r="BK509" i="2"/>
  <c r="BJ509" i="2"/>
  <c r="BI509" i="2"/>
  <c r="BH509" i="2"/>
  <c r="BG509" i="2"/>
  <c r="BF509" i="2"/>
  <c r="BE509" i="2"/>
  <c r="BD509" i="2"/>
  <c r="BC509" i="2"/>
  <c r="BB509" i="2"/>
  <c r="BZ509" i="2" s="1"/>
  <c r="BA509" i="2"/>
  <c r="AZ509" i="2"/>
  <c r="AY509" i="2"/>
  <c r="AX509" i="2"/>
  <c r="AW509" i="2"/>
  <c r="CA508" i="2"/>
  <c r="BY508" i="2"/>
  <c r="BX508" i="2"/>
  <c r="BW508" i="2"/>
  <c r="BV508" i="2"/>
  <c r="BU508" i="2"/>
  <c r="BT508" i="2"/>
  <c r="BS508" i="2"/>
  <c r="BR508" i="2"/>
  <c r="BQ508" i="2"/>
  <c r="BP508" i="2"/>
  <c r="BO508" i="2"/>
  <c r="BN508" i="2"/>
  <c r="BM508" i="2"/>
  <c r="BL508" i="2"/>
  <c r="BK508" i="2"/>
  <c r="BJ508" i="2"/>
  <c r="BI508" i="2"/>
  <c r="BH508" i="2"/>
  <c r="BG508" i="2"/>
  <c r="BF508" i="2"/>
  <c r="BE508" i="2"/>
  <c r="BD508" i="2"/>
  <c r="BC508" i="2"/>
  <c r="BB508" i="2"/>
  <c r="BZ508" i="2" s="1"/>
  <c r="BA508" i="2"/>
  <c r="AZ508" i="2"/>
  <c r="AY508" i="2"/>
  <c r="AX508" i="2"/>
  <c r="AW508" i="2"/>
  <c r="CA507" i="2"/>
  <c r="BY507" i="2"/>
  <c r="BX507" i="2"/>
  <c r="BW507" i="2"/>
  <c r="BV507" i="2"/>
  <c r="BU507" i="2"/>
  <c r="BT507" i="2"/>
  <c r="BS507" i="2"/>
  <c r="BR507" i="2"/>
  <c r="BQ507" i="2"/>
  <c r="BP507" i="2"/>
  <c r="BO507" i="2"/>
  <c r="BN507" i="2"/>
  <c r="BM507" i="2"/>
  <c r="BL507" i="2"/>
  <c r="BK507" i="2"/>
  <c r="BJ507" i="2"/>
  <c r="BI507" i="2"/>
  <c r="BH507" i="2"/>
  <c r="BG507" i="2"/>
  <c r="BF507" i="2"/>
  <c r="BE507" i="2"/>
  <c r="BD507" i="2"/>
  <c r="BC507" i="2"/>
  <c r="BB507" i="2"/>
  <c r="BZ507" i="2" s="1"/>
  <c r="BA507" i="2"/>
  <c r="AZ507" i="2"/>
  <c r="AY507" i="2"/>
  <c r="AX507" i="2"/>
  <c r="AW507" i="2"/>
  <c r="CA506" i="2"/>
  <c r="BY506" i="2"/>
  <c r="BX506" i="2"/>
  <c r="BW506" i="2"/>
  <c r="BV506" i="2"/>
  <c r="BU506" i="2"/>
  <c r="BT506" i="2"/>
  <c r="BS506" i="2"/>
  <c r="BR506" i="2"/>
  <c r="BQ506" i="2"/>
  <c r="BP506" i="2"/>
  <c r="BO506" i="2"/>
  <c r="BN506" i="2"/>
  <c r="BM506" i="2"/>
  <c r="BL506" i="2"/>
  <c r="BK506" i="2"/>
  <c r="BJ506" i="2"/>
  <c r="BI506" i="2"/>
  <c r="BH506" i="2"/>
  <c r="BG506" i="2"/>
  <c r="BF506" i="2"/>
  <c r="BE506" i="2"/>
  <c r="BD506" i="2"/>
  <c r="BC506" i="2"/>
  <c r="BB506" i="2"/>
  <c r="BZ506" i="2" s="1"/>
  <c r="BA506" i="2"/>
  <c r="AZ506" i="2"/>
  <c r="AY506" i="2"/>
  <c r="AX506" i="2"/>
  <c r="AW506" i="2"/>
  <c r="CA505" i="2"/>
  <c r="BY505" i="2"/>
  <c r="BX505" i="2"/>
  <c r="BW505" i="2"/>
  <c r="BV505" i="2"/>
  <c r="BU505" i="2"/>
  <c r="BT505" i="2"/>
  <c r="BS505" i="2"/>
  <c r="BR505" i="2"/>
  <c r="BQ505" i="2"/>
  <c r="BP505" i="2"/>
  <c r="BO505" i="2"/>
  <c r="BN505" i="2"/>
  <c r="BM505" i="2"/>
  <c r="BL505" i="2"/>
  <c r="BK505" i="2"/>
  <c r="BJ505" i="2"/>
  <c r="BI505" i="2"/>
  <c r="BH505" i="2"/>
  <c r="BG505" i="2"/>
  <c r="BF505" i="2"/>
  <c r="BE505" i="2"/>
  <c r="BD505" i="2"/>
  <c r="BC505" i="2"/>
  <c r="BB505" i="2"/>
  <c r="BZ505" i="2" s="1"/>
  <c r="CC505" i="2" s="1"/>
  <c r="BA505" i="2"/>
  <c r="AZ505" i="2"/>
  <c r="AY505" i="2"/>
  <c r="AX505" i="2"/>
  <c r="AW505" i="2"/>
  <c r="CA504" i="2"/>
  <c r="BY504" i="2"/>
  <c r="BX504" i="2"/>
  <c r="BW504" i="2"/>
  <c r="BV504" i="2"/>
  <c r="BU504" i="2"/>
  <c r="BT504" i="2"/>
  <c r="BS504" i="2"/>
  <c r="BR504" i="2"/>
  <c r="BQ504" i="2"/>
  <c r="BP504" i="2"/>
  <c r="BO504" i="2"/>
  <c r="BN504" i="2"/>
  <c r="BM504" i="2"/>
  <c r="BL504" i="2"/>
  <c r="BK504" i="2"/>
  <c r="BJ504" i="2"/>
  <c r="BI504" i="2"/>
  <c r="BH504" i="2"/>
  <c r="BG504" i="2"/>
  <c r="BF504" i="2"/>
  <c r="BE504" i="2"/>
  <c r="BD504" i="2"/>
  <c r="BC504" i="2"/>
  <c r="BB504" i="2"/>
  <c r="BZ504" i="2" s="1"/>
  <c r="CC504" i="2" s="1"/>
  <c r="BA504" i="2"/>
  <c r="AZ504" i="2"/>
  <c r="AY504" i="2"/>
  <c r="AX504" i="2"/>
  <c r="AW504" i="2"/>
  <c r="CA503" i="2"/>
  <c r="BY503" i="2"/>
  <c r="BX503" i="2"/>
  <c r="BW503" i="2"/>
  <c r="BV503" i="2"/>
  <c r="BU503" i="2"/>
  <c r="BT503" i="2"/>
  <c r="BS503" i="2"/>
  <c r="BR503" i="2"/>
  <c r="BQ503" i="2"/>
  <c r="BP503" i="2"/>
  <c r="BO503" i="2"/>
  <c r="BN503" i="2"/>
  <c r="BM503" i="2"/>
  <c r="BL503" i="2"/>
  <c r="BK503" i="2"/>
  <c r="BJ503" i="2"/>
  <c r="BI503" i="2"/>
  <c r="BH503" i="2"/>
  <c r="BG503" i="2"/>
  <c r="BF503" i="2"/>
  <c r="BE503" i="2"/>
  <c r="BD503" i="2"/>
  <c r="BC503" i="2"/>
  <c r="BB503" i="2"/>
  <c r="BZ503" i="2" s="1"/>
  <c r="CC503" i="2" s="1"/>
  <c r="BA503" i="2"/>
  <c r="AZ503" i="2"/>
  <c r="AY503" i="2"/>
  <c r="AX503" i="2"/>
  <c r="AW503" i="2"/>
  <c r="CA502" i="2"/>
  <c r="BY502" i="2"/>
  <c r="BX502" i="2"/>
  <c r="BW502" i="2"/>
  <c r="BV502" i="2"/>
  <c r="BU502" i="2"/>
  <c r="BT502" i="2"/>
  <c r="BS502" i="2"/>
  <c r="BR502" i="2"/>
  <c r="BQ502" i="2"/>
  <c r="BP502" i="2"/>
  <c r="BO502" i="2"/>
  <c r="BN502" i="2"/>
  <c r="BM502" i="2"/>
  <c r="BL502" i="2"/>
  <c r="BK502" i="2"/>
  <c r="BJ502" i="2"/>
  <c r="BI502" i="2"/>
  <c r="BH502" i="2"/>
  <c r="BG502" i="2"/>
  <c r="BF502" i="2"/>
  <c r="BE502" i="2"/>
  <c r="BD502" i="2"/>
  <c r="BC502" i="2"/>
  <c r="BB502" i="2"/>
  <c r="BZ502" i="2" s="1"/>
  <c r="CC502" i="2" s="1"/>
  <c r="BA502" i="2"/>
  <c r="AZ502" i="2"/>
  <c r="AY502" i="2"/>
  <c r="AX502" i="2"/>
  <c r="AW502" i="2"/>
  <c r="CA501" i="2"/>
  <c r="BY501" i="2"/>
  <c r="BX501" i="2"/>
  <c r="BW501" i="2"/>
  <c r="BV501" i="2"/>
  <c r="BU501" i="2"/>
  <c r="BT501" i="2"/>
  <c r="BS501" i="2"/>
  <c r="BR501" i="2"/>
  <c r="BQ501" i="2"/>
  <c r="BP501" i="2"/>
  <c r="BO501" i="2"/>
  <c r="BN501" i="2"/>
  <c r="BM501" i="2"/>
  <c r="BL501" i="2"/>
  <c r="BK501" i="2"/>
  <c r="BJ501" i="2"/>
  <c r="BI501" i="2"/>
  <c r="BH501" i="2"/>
  <c r="BG501" i="2"/>
  <c r="BF501" i="2"/>
  <c r="BE501" i="2"/>
  <c r="BD501" i="2"/>
  <c r="BC501" i="2"/>
  <c r="BB501" i="2"/>
  <c r="BZ501" i="2" s="1"/>
  <c r="BA501" i="2"/>
  <c r="AZ501" i="2"/>
  <c r="AY501" i="2"/>
  <c r="AX501" i="2"/>
  <c r="AW501" i="2"/>
  <c r="CA500" i="2"/>
  <c r="BY500" i="2"/>
  <c r="BX500" i="2"/>
  <c r="BW500" i="2"/>
  <c r="BV500" i="2"/>
  <c r="BU500" i="2"/>
  <c r="BT500" i="2"/>
  <c r="BS500" i="2"/>
  <c r="BR500" i="2"/>
  <c r="BQ500" i="2"/>
  <c r="BP500" i="2"/>
  <c r="BO500" i="2"/>
  <c r="BN500" i="2"/>
  <c r="BM500" i="2"/>
  <c r="BL500" i="2"/>
  <c r="BK500" i="2"/>
  <c r="BJ500" i="2"/>
  <c r="BI500" i="2"/>
  <c r="BH500" i="2"/>
  <c r="BG500" i="2"/>
  <c r="BF500" i="2"/>
  <c r="BE500" i="2"/>
  <c r="BD500" i="2"/>
  <c r="BC500" i="2"/>
  <c r="BB500" i="2"/>
  <c r="BZ500" i="2" s="1"/>
  <c r="BA500" i="2"/>
  <c r="AZ500" i="2"/>
  <c r="AY500" i="2"/>
  <c r="AX500" i="2"/>
  <c r="AW500" i="2"/>
  <c r="CA499" i="2"/>
  <c r="BY499" i="2"/>
  <c r="BX499" i="2"/>
  <c r="BW499" i="2"/>
  <c r="BV499" i="2"/>
  <c r="BU499" i="2"/>
  <c r="BT499" i="2"/>
  <c r="BS499" i="2"/>
  <c r="BR499" i="2"/>
  <c r="BQ499" i="2"/>
  <c r="BP499" i="2"/>
  <c r="BO499" i="2"/>
  <c r="BN499" i="2"/>
  <c r="BM499" i="2"/>
  <c r="BL499" i="2"/>
  <c r="BK499" i="2"/>
  <c r="BJ499" i="2"/>
  <c r="BI499" i="2"/>
  <c r="BH499" i="2"/>
  <c r="BG499" i="2"/>
  <c r="BF499" i="2"/>
  <c r="BE499" i="2"/>
  <c r="BD499" i="2"/>
  <c r="BC499" i="2"/>
  <c r="BB499" i="2"/>
  <c r="BZ499" i="2" s="1"/>
  <c r="BA499" i="2"/>
  <c r="AZ499" i="2"/>
  <c r="AY499" i="2"/>
  <c r="AX499" i="2"/>
  <c r="AW499" i="2"/>
  <c r="CA498" i="2"/>
  <c r="BY498" i="2"/>
  <c r="BX498" i="2"/>
  <c r="BW498" i="2"/>
  <c r="BV498" i="2"/>
  <c r="BU498" i="2"/>
  <c r="BT498" i="2"/>
  <c r="BS498" i="2"/>
  <c r="BR498" i="2"/>
  <c r="BQ498" i="2"/>
  <c r="BP498" i="2"/>
  <c r="BO498" i="2"/>
  <c r="BN498" i="2"/>
  <c r="BM498" i="2"/>
  <c r="BL498" i="2"/>
  <c r="BK498" i="2"/>
  <c r="BJ498" i="2"/>
  <c r="BI498" i="2"/>
  <c r="BH498" i="2"/>
  <c r="BG498" i="2"/>
  <c r="BF498" i="2"/>
  <c r="BE498" i="2"/>
  <c r="BD498" i="2"/>
  <c r="BC498" i="2"/>
  <c r="BB498" i="2"/>
  <c r="BZ498" i="2" s="1"/>
  <c r="CC498" i="2" s="1"/>
  <c r="BA498" i="2"/>
  <c r="AZ498" i="2"/>
  <c r="AY498" i="2"/>
  <c r="AX498" i="2"/>
  <c r="AW498" i="2"/>
  <c r="CA497" i="2"/>
  <c r="BY497" i="2"/>
  <c r="BX497" i="2"/>
  <c r="BW497" i="2"/>
  <c r="BV497" i="2"/>
  <c r="BU497" i="2"/>
  <c r="BT497" i="2"/>
  <c r="BS497" i="2"/>
  <c r="BR497" i="2"/>
  <c r="BQ497" i="2"/>
  <c r="BP497" i="2"/>
  <c r="BO497" i="2"/>
  <c r="BN497" i="2"/>
  <c r="BM497" i="2"/>
  <c r="BL497" i="2"/>
  <c r="BK497" i="2"/>
  <c r="BJ497" i="2"/>
  <c r="BI497" i="2"/>
  <c r="BH497" i="2"/>
  <c r="BG497" i="2"/>
  <c r="BF497" i="2"/>
  <c r="BE497" i="2"/>
  <c r="BD497" i="2"/>
  <c r="BC497" i="2"/>
  <c r="BB497" i="2"/>
  <c r="BZ497" i="2" s="1"/>
  <c r="BA497" i="2"/>
  <c r="AZ497" i="2"/>
  <c r="AY497" i="2"/>
  <c r="AX497" i="2"/>
  <c r="AW497" i="2"/>
  <c r="CA496" i="2"/>
  <c r="BY496" i="2"/>
  <c r="BX496" i="2"/>
  <c r="BW496" i="2"/>
  <c r="BV496" i="2"/>
  <c r="BU496" i="2"/>
  <c r="BT496" i="2"/>
  <c r="BS496" i="2"/>
  <c r="BR496" i="2"/>
  <c r="BQ496" i="2"/>
  <c r="BP496" i="2"/>
  <c r="BO496" i="2"/>
  <c r="BN496" i="2"/>
  <c r="BM496" i="2"/>
  <c r="BL496" i="2"/>
  <c r="BK496" i="2"/>
  <c r="BJ496" i="2"/>
  <c r="BI496" i="2"/>
  <c r="BH496" i="2"/>
  <c r="BG496" i="2"/>
  <c r="BF496" i="2"/>
  <c r="BE496" i="2"/>
  <c r="BD496" i="2"/>
  <c r="BC496" i="2"/>
  <c r="BB496" i="2"/>
  <c r="BZ496" i="2" s="1"/>
  <c r="CC496" i="2" s="1"/>
  <c r="BA496" i="2"/>
  <c r="AZ496" i="2"/>
  <c r="AY496" i="2"/>
  <c r="AX496" i="2"/>
  <c r="AW496" i="2"/>
  <c r="CA495" i="2"/>
  <c r="BY495" i="2"/>
  <c r="BX495" i="2"/>
  <c r="BW495" i="2"/>
  <c r="BV495" i="2"/>
  <c r="BU495" i="2"/>
  <c r="BT495" i="2"/>
  <c r="BS495" i="2"/>
  <c r="BR495" i="2"/>
  <c r="BQ495" i="2"/>
  <c r="BP495" i="2"/>
  <c r="BO495" i="2"/>
  <c r="BN495" i="2"/>
  <c r="BM495" i="2"/>
  <c r="BL495" i="2"/>
  <c r="BK495" i="2"/>
  <c r="BJ495" i="2"/>
  <c r="BI495" i="2"/>
  <c r="BH495" i="2"/>
  <c r="BG495" i="2"/>
  <c r="BF495" i="2"/>
  <c r="BE495" i="2"/>
  <c r="BD495" i="2"/>
  <c r="BC495" i="2"/>
  <c r="BB495" i="2"/>
  <c r="BZ495" i="2" s="1"/>
  <c r="CC495" i="2" s="1"/>
  <c r="BA495" i="2"/>
  <c r="AZ495" i="2"/>
  <c r="AY495" i="2"/>
  <c r="AX495" i="2"/>
  <c r="AW495" i="2"/>
  <c r="CA494" i="2"/>
  <c r="BY494" i="2"/>
  <c r="BX494" i="2"/>
  <c r="BW494" i="2"/>
  <c r="BV494" i="2"/>
  <c r="BU494" i="2"/>
  <c r="BT494" i="2"/>
  <c r="BS494" i="2"/>
  <c r="BR494" i="2"/>
  <c r="BQ494" i="2"/>
  <c r="BP494" i="2"/>
  <c r="BO494" i="2"/>
  <c r="BN494" i="2"/>
  <c r="BM494" i="2"/>
  <c r="BL494" i="2"/>
  <c r="BK494" i="2"/>
  <c r="BJ494" i="2"/>
  <c r="BI494" i="2"/>
  <c r="BH494" i="2"/>
  <c r="BG494" i="2"/>
  <c r="BF494" i="2"/>
  <c r="BE494" i="2"/>
  <c r="BD494" i="2"/>
  <c r="BC494" i="2"/>
  <c r="BB494" i="2"/>
  <c r="BZ494" i="2" s="1"/>
  <c r="BA494" i="2"/>
  <c r="AZ494" i="2"/>
  <c r="AY494" i="2"/>
  <c r="AX494" i="2"/>
  <c r="AW494" i="2"/>
  <c r="CA493" i="2"/>
  <c r="BY493" i="2"/>
  <c r="BX493" i="2"/>
  <c r="BW493" i="2"/>
  <c r="BV493" i="2"/>
  <c r="BU493" i="2"/>
  <c r="BT493" i="2"/>
  <c r="BS493" i="2"/>
  <c r="BR493" i="2"/>
  <c r="BQ493" i="2"/>
  <c r="BP493" i="2"/>
  <c r="BO493" i="2"/>
  <c r="BN493" i="2"/>
  <c r="BM493" i="2"/>
  <c r="BL493" i="2"/>
  <c r="BK493" i="2"/>
  <c r="BJ493" i="2"/>
  <c r="BI493" i="2"/>
  <c r="BH493" i="2"/>
  <c r="BG493" i="2"/>
  <c r="BF493" i="2"/>
  <c r="BE493" i="2"/>
  <c r="BD493" i="2"/>
  <c r="BC493" i="2"/>
  <c r="BB493" i="2"/>
  <c r="BZ493" i="2" s="1"/>
  <c r="BA493" i="2"/>
  <c r="AZ493" i="2"/>
  <c r="AY493" i="2"/>
  <c r="AX493" i="2"/>
  <c r="AW493" i="2"/>
  <c r="CA492" i="2"/>
  <c r="BY492" i="2"/>
  <c r="BX492" i="2"/>
  <c r="BW492" i="2"/>
  <c r="BV492" i="2"/>
  <c r="BU492" i="2"/>
  <c r="BT492" i="2"/>
  <c r="BS492" i="2"/>
  <c r="BR492" i="2"/>
  <c r="BQ492" i="2"/>
  <c r="BP492" i="2"/>
  <c r="BO492" i="2"/>
  <c r="BN492" i="2"/>
  <c r="BM492" i="2"/>
  <c r="BL492" i="2"/>
  <c r="BK492" i="2"/>
  <c r="BJ492" i="2"/>
  <c r="BI492" i="2"/>
  <c r="BH492" i="2"/>
  <c r="BG492" i="2"/>
  <c r="BF492" i="2"/>
  <c r="BE492" i="2"/>
  <c r="BD492" i="2"/>
  <c r="BC492" i="2"/>
  <c r="BB492" i="2"/>
  <c r="BZ492" i="2" s="1"/>
  <c r="BA492" i="2"/>
  <c r="AZ492" i="2"/>
  <c r="AY492" i="2"/>
  <c r="AX492" i="2"/>
  <c r="AW492" i="2"/>
  <c r="CA491" i="2"/>
  <c r="BY491" i="2"/>
  <c r="BX491" i="2"/>
  <c r="BW491" i="2"/>
  <c r="BV491" i="2"/>
  <c r="BU491" i="2"/>
  <c r="BT491" i="2"/>
  <c r="BS491" i="2"/>
  <c r="BR491" i="2"/>
  <c r="BQ491" i="2"/>
  <c r="BP491" i="2"/>
  <c r="BO491" i="2"/>
  <c r="BN491" i="2"/>
  <c r="BM491" i="2"/>
  <c r="BL491" i="2"/>
  <c r="BK491" i="2"/>
  <c r="BJ491" i="2"/>
  <c r="BI491" i="2"/>
  <c r="BH491" i="2"/>
  <c r="BG491" i="2"/>
  <c r="BF491" i="2"/>
  <c r="BE491" i="2"/>
  <c r="BD491" i="2"/>
  <c r="BC491" i="2"/>
  <c r="BB491" i="2"/>
  <c r="BZ491" i="2" s="1"/>
  <c r="BA491" i="2"/>
  <c r="AZ491" i="2"/>
  <c r="AY491" i="2"/>
  <c r="AX491" i="2"/>
  <c r="AW491" i="2"/>
  <c r="CA490" i="2"/>
  <c r="BY490" i="2"/>
  <c r="BX490" i="2"/>
  <c r="BW490" i="2"/>
  <c r="BV490" i="2"/>
  <c r="BU490" i="2"/>
  <c r="BT490" i="2"/>
  <c r="BS490" i="2"/>
  <c r="BR490" i="2"/>
  <c r="BQ490" i="2"/>
  <c r="BP490" i="2"/>
  <c r="BO490" i="2"/>
  <c r="BN490" i="2"/>
  <c r="BM490" i="2"/>
  <c r="BL490" i="2"/>
  <c r="BK490" i="2"/>
  <c r="BJ490" i="2"/>
  <c r="BI490" i="2"/>
  <c r="BH490" i="2"/>
  <c r="BG490" i="2"/>
  <c r="BF490" i="2"/>
  <c r="BE490" i="2"/>
  <c r="BD490" i="2"/>
  <c r="BC490" i="2"/>
  <c r="BB490" i="2"/>
  <c r="BZ490" i="2" s="1"/>
  <c r="BA490" i="2"/>
  <c r="AZ490" i="2"/>
  <c r="AY490" i="2"/>
  <c r="AX490" i="2"/>
  <c r="AW490" i="2"/>
  <c r="CA489" i="2"/>
  <c r="BY489" i="2"/>
  <c r="BX489" i="2"/>
  <c r="BW489" i="2"/>
  <c r="BV489" i="2"/>
  <c r="BU489" i="2"/>
  <c r="BT489" i="2"/>
  <c r="BS489" i="2"/>
  <c r="BR489" i="2"/>
  <c r="BQ489" i="2"/>
  <c r="BP489" i="2"/>
  <c r="BO489" i="2"/>
  <c r="BN489" i="2"/>
  <c r="BM489" i="2"/>
  <c r="BL489" i="2"/>
  <c r="BK489" i="2"/>
  <c r="BJ489" i="2"/>
  <c r="BI489" i="2"/>
  <c r="BH489" i="2"/>
  <c r="BG489" i="2"/>
  <c r="BF489" i="2"/>
  <c r="BE489" i="2"/>
  <c r="BD489" i="2"/>
  <c r="BC489" i="2"/>
  <c r="BB489" i="2"/>
  <c r="BZ489" i="2" s="1"/>
  <c r="CC489" i="2" s="1"/>
  <c r="BA489" i="2"/>
  <c r="AZ489" i="2"/>
  <c r="AY489" i="2"/>
  <c r="AX489" i="2"/>
  <c r="AW489" i="2"/>
  <c r="CA488" i="2"/>
  <c r="BY488" i="2"/>
  <c r="BX488" i="2"/>
  <c r="BW488" i="2"/>
  <c r="BV488" i="2"/>
  <c r="BU488" i="2"/>
  <c r="BT488" i="2"/>
  <c r="BS488" i="2"/>
  <c r="BR488" i="2"/>
  <c r="BQ488" i="2"/>
  <c r="BP488" i="2"/>
  <c r="BO488" i="2"/>
  <c r="BN488" i="2"/>
  <c r="BM488" i="2"/>
  <c r="BL488" i="2"/>
  <c r="BK488" i="2"/>
  <c r="BJ488" i="2"/>
  <c r="BI488" i="2"/>
  <c r="BH488" i="2"/>
  <c r="BG488" i="2"/>
  <c r="BF488" i="2"/>
  <c r="BE488" i="2"/>
  <c r="BD488" i="2"/>
  <c r="BC488" i="2"/>
  <c r="BB488" i="2"/>
  <c r="BZ488" i="2" s="1"/>
  <c r="CC488" i="2" s="1"/>
  <c r="BA488" i="2"/>
  <c r="AZ488" i="2"/>
  <c r="AY488" i="2"/>
  <c r="AX488" i="2"/>
  <c r="AW488" i="2"/>
  <c r="CA487" i="2"/>
  <c r="BY487" i="2"/>
  <c r="BX487" i="2"/>
  <c r="BW487" i="2"/>
  <c r="BV487" i="2"/>
  <c r="BU487" i="2"/>
  <c r="BT487" i="2"/>
  <c r="BS487" i="2"/>
  <c r="BR487" i="2"/>
  <c r="BQ487" i="2"/>
  <c r="BP487" i="2"/>
  <c r="BO487" i="2"/>
  <c r="BN487" i="2"/>
  <c r="BM487" i="2"/>
  <c r="BL487" i="2"/>
  <c r="BK487" i="2"/>
  <c r="BJ487" i="2"/>
  <c r="BI487" i="2"/>
  <c r="BH487" i="2"/>
  <c r="BG487" i="2"/>
  <c r="BF487" i="2"/>
  <c r="BE487" i="2"/>
  <c r="BD487" i="2"/>
  <c r="BC487" i="2"/>
  <c r="BB487" i="2"/>
  <c r="BZ487" i="2" s="1"/>
  <c r="BA487" i="2"/>
  <c r="AZ487" i="2"/>
  <c r="AY487" i="2"/>
  <c r="AX487" i="2"/>
  <c r="AW487" i="2"/>
  <c r="CA486" i="2"/>
  <c r="BY486" i="2"/>
  <c r="BX486" i="2"/>
  <c r="BW486" i="2"/>
  <c r="BV486" i="2"/>
  <c r="BU486" i="2"/>
  <c r="BT486" i="2"/>
  <c r="BS486" i="2"/>
  <c r="BR486" i="2"/>
  <c r="BQ486" i="2"/>
  <c r="BP486" i="2"/>
  <c r="BO486" i="2"/>
  <c r="BN486" i="2"/>
  <c r="BM486" i="2"/>
  <c r="BL486" i="2"/>
  <c r="BK486" i="2"/>
  <c r="BJ486" i="2"/>
  <c r="BI486" i="2"/>
  <c r="BH486" i="2"/>
  <c r="BG486" i="2"/>
  <c r="BF486" i="2"/>
  <c r="BE486" i="2"/>
  <c r="BD486" i="2"/>
  <c r="BC486" i="2"/>
  <c r="BB486" i="2"/>
  <c r="BZ486" i="2" s="1"/>
  <c r="CC486" i="2" s="1"/>
  <c r="BA486" i="2"/>
  <c r="AZ486" i="2"/>
  <c r="AY486" i="2"/>
  <c r="AX486" i="2"/>
  <c r="AW486" i="2"/>
  <c r="CA485" i="2"/>
  <c r="BY485" i="2"/>
  <c r="BX485" i="2"/>
  <c r="BW485" i="2"/>
  <c r="BV485" i="2"/>
  <c r="BU485" i="2"/>
  <c r="BT485" i="2"/>
  <c r="BS485" i="2"/>
  <c r="BR485" i="2"/>
  <c r="BQ485" i="2"/>
  <c r="BP485" i="2"/>
  <c r="BO485" i="2"/>
  <c r="BN485" i="2"/>
  <c r="BM485" i="2"/>
  <c r="BL485" i="2"/>
  <c r="BK485" i="2"/>
  <c r="BJ485" i="2"/>
  <c r="BI485" i="2"/>
  <c r="BH485" i="2"/>
  <c r="BG485" i="2"/>
  <c r="BF485" i="2"/>
  <c r="BE485" i="2"/>
  <c r="BD485" i="2"/>
  <c r="BC485" i="2"/>
  <c r="BB485" i="2"/>
  <c r="BZ485" i="2" s="1"/>
  <c r="BA485" i="2"/>
  <c r="AZ485" i="2"/>
  <c r="AY485" i="2"/>
  <c r="AX485" i="2"/>
  <c r="AW485" i="2"/>
  <c r="CA484" i="2"/>
  <c r="BY484" i="2"/>
  <c r="BX484" i="2"/>
  <c r="BW484" i="2"/>
  <c r="BV484" i="2"/>
  <c r="BU484" i="2"/>
  <c r="BT484" i="2"/>
  <c r="BS484" i="2"/>
  <c r="BR484" i="2"/>
  <c r="BQ484" i="2"/>
  <c r="BP484" i="2"/>
  <c r="BO484" i="2"/>
  <c r="BN484" i="2"/>
  <c r="BM484" i="2"/>
  <c r="BL484" i="2"/>
  <c r="BK484" i="2"/>
  <c r="BJ484" i="2"/>
  <c r="BI484" i="2"/>
  <c r="BH484" i="2"/>
  <c r="BG484" i="2"/>
  <c r="BF484" i="2"/>
  <c r="BE484" i="2"/>
  <c r="BD484" i="2"/>
  <c r="BC484" i="2"/>
  <c r="BB484" i="2"/>
  <c r="BZ484" i="2" s="1"/>
  <c r="BA484" i="2"/>
  <c r="AZ484" i="2"/>
  <c r="AY484" i="2"/>
  <c r="AX484" i="2"/>
  <c r="AW484" i="2"/>
  <c r="CA483" i="2"/>
  <c r="BY483" i="2"/>
  <c r="BX483" i="2"/>
  <c r="BW483" i="2"/>
  <c r="BV483" i="2"/>
  <c r="BU483" i="2"/>
  <c r="BT483" i="2"/>
  <c r="BS483" i="2"/>
  <c r="BR483" i="2"/>
  <c r="BQ483" i="2"/>
  <c r="BP483" i="2"/>
  <c r="BO483" i="2"/>
  <c r="BN483" i="2"/>
  <c r="BM483" i="2"/>
  <c r="BL483" i="2"/>
  <c r="BK483" i="2"/>
  <c r="BJ483" i="2"/>
  <c r="BI483" i="2"/>
  <c r="BH483" i="2"/>
  <c r="BG483" i="2"/>
  <c r="BF483" i="2"/>
  <c r="BE483" i="2"/>
  <c r="BD483" i="2"/>
  <c r="BC483" i="2"/>
  <c r="BB483" i="2"/>
  <c r="BZ483" i="2" s="1"/>
  <c r="CC483" i="2" s="1"/>
  <c r="BA483" i="2"/>
  <c r="AZ483" i="2"/>
  <c r="AY483" i="2"/>
  <c r="AX483" i="2"/>
  <c r="AW483" i="2"/>
  <c r="CA482" i="2"/>
  <c r="BY482" i="2"/>
  <c r="BX482" i="2"/>
  <c r="BW482" i="2"/>
  <c r="BV482" i="2"/>
  <c r="BU482" i="2"/>
  <c r="BT482" i="2"/>
  <c r="BS482" i="2"/>
  <c r="BR482" i="2"/>
  <c r="BQ482" i="2"/>
  <c r="BP482" i="2"/>
  <c r="BO482" i="2"/>
  <c r="BN482" i="2"/>
  <c r="BM482" i="2"/>
  <c r="BL482" i="2"/>
  <c r="BK482" i="2"/>
  <c r="BJ482" i="2"/>
  <c r="BI482" i="2"/>
  <c r="BH482" i="2"/>
  <c r="BG482" i="2"/>
  <c r="BF482" i="2"/>
  <c r="BE482" i="2"/>
  <c r="BD482" i="2"/>
  <c r="BC482" i="2"/>
  <c r="BB482" i="2"/>
  <c r="BZ482" i="2" s="1"/>
  <c r="CC482" i="2" s="1"/>
  <c r="BA482" i="2"/>
  <c r="AZ482" i="2"/>
  <c r="AY482" i="2"/>
  <c r="AX482" i="2"/>
  <c r="AW482" i="2"/>
  <c r="CA481" i="2"/>
  <c r="BY481" i="2"/>
  <c r="BX481" i="2"/>
  <c r="BW481" i="2"/>
  <c r="BV481" i="2"/>
  <c r="BU481" i="2"/>
  <c r="BT481" i="2"/>
  <c r="BS481" i="2"/>
  <c r="BR481" i="2"/>
  <c r="BQ481" i="2"/>
  <c r="BP481" i="2"/>
  <c r="BO481" i="2"/>
  <c r="BN481" i="2"/>
  <c r="BM481" i="2"/>
  <c r="BL481" i="2"/>
  <c r="BK481" i="2"/>
  <c r="BJ481" i="2"/>
  <c r="BI481" i="2"/>
  <c r="BH481" i="2"/>
  <c r="BG481" i="2"/>
  <c r="BF481" i="2"/>
  <c r="BE481" i="2"/>
  <c r="BD481" i="2"/>
  <c r="BC481" i="2"/>
  <c r="BB481" i="2"/>
  <c r="BZ481" i="2" s="1"/>
  <c r="CC481" i="2" s="1"/>
  <c r="BA481" i="2"/>
  <c r="AZ481" i="2"/>
  <c r="AY481" i="2"/>
  <c r="AX481" i="2"/>
  <c r="AW481" i="2"/>
  <c r="CA480" i="2"/>
  <c r="BY480" i="2"/>
  <c r="BX480" i="2"/>
  <c r="BW480" i="2"/>
  <c r="BV480" i="2"/>
  <c r="BU480" i="2"/>
  <c r="BT480" i="2"/>
  <c r="BS480" i="2"/>
  <c r="BR480" i="2"/>
  <c r="BQ480" i="2"/>
  <c r="BP480" i="2"/>
  <c r="BO480" i="2"/>
  <c r="BN480" i="2"/>
  <c r="BM480" i="2"/>
  <c r="BL480" i="2"/>
  <c r="BK480" i="2"/>
  <c r="BJ480" i="2"/>
  <c r="BI480" i="2"/>
  <c r="BH480" i="2"/>
  <c r="BG480" i="2"/>
  <c r="BF480" i="2"/>
  <c r="BE480" i="2"/>
  <c r="BD480" i="2"/>
  <c r="BC480" i="2"/>
  <c r="BB480" i="2"/>
  <c r="BZ480" i="2" s="1"/>
  <c r="BA480" i="2"/>
  <c r="AZ480" i="2"/>
  <c r="AY480" i="2"/>
  <c r="AX480" i="2"/>
  <c r="AW480" i="2"/>
  <c r="CA479" i="2"/>
  <c r="BY479" i="2"/>
  <c r="BX479" i="2"/>
  <c r="BW479" i="2"/>
  <c r="BV479" i="2"/>
  <c r="BU479" i="2"/>
  <c r="BT479" i="2"/>
  <c r="BS479" i="2"/>
  <c r="BR479" i="2"/>
  <c r="BQ479" i="2"/>
  <c r="BP479" i="2"/>
  <c r="BO479" i="2"/>
  <c r="BN479" i="2"/>
  <c r="BM479" i="2"/>
  <c r="BL479" i="2"/>
  <c r="BK479" i="2"/>
  <c r="BJ479" i="2"/>
  <c r="BI479" i="2"/>
  <c r="BH479" i="2"/>
  <c r="BG479" i="2"/>
  <c r="BF479" i="2"/>
  <c r="BE479" i="2"/>
  <c r="BD479" i="2"/>
  <c r="BC479" i="2"/>
  <c r="BB479" i="2"/>
  <c r="BZ479" i="2" s="1"/>
  <c r="BA479" i="2"/>
  <c r="AZ479" i="2"/>
  <c r="AY479" i="2"/>
  <c r="AX479" i="2"/>
  <c r="AW479" i="2"/>
  <c r="CA478" i="2"/>
  <c r="BY478" i="2"/>
  <c r="BX478" i="2"/>
  <c r="BW478" i="2"/>
  <c r="BV478" i="2"/>
  <c r="BU478" i="2"/>
  <c r="BT478" i="2"/>
  <c r="BS478" i="2"/>
  <c r="BR478" i="2"/>
  <c r="BQ478" i="2"/>
  <c r="BP478" i="2"/>
  <c r="BO478" i="2"/>
  <c r="BN478" i="2"/>
  <c r="BM478" i="2"/>
  <c r="BL478" i="2"/>
  <c r="BK478" i="2"/>
  <c r="BJ478" i="2"/>
  <c r="BI478" i="2"/>
  <c r="BH478" i="2"/>
  <c r="BG478" i="2"/>
  <c r="BF478" i="2"/>
  <c r="BE478" i="2"/>
  <c r="BD478" i="2"/>
  <c r="BC478" i="2"/>
  <c r="BB478" i="2"/>
  <c r="BZ478" i="2" s="1"/>
  <c r="CC478" i="2" s="1"/>
  <c r="BA478" i="2"/>
  <c r="AZ478" i="2"/>
  <c r="AY478" i="2"/>
  <c r="AX478" i="2"/>
  <c r="AW478" i="2"/>
  <c r="CA477" i="2"/>
  <c r="BY477" i="2"/>
  <c r="BX477" i="2"/>
  <c r="BW477" i="2"/>
  <c r="BV477" i="2"/>
  <c r="BU477" i="2"/>
  <c r="BT477" i="2"/>
  <c r="BS477" i="2"/>
  <c r="BR477" i="2"/>
  <c r="BQ477" i="2"/>
  <c r="BP477" i="2"/>
  <c r="BO477" i="2"/>
  <c r="BN477" i="2"/>
  <c r="BM477" i="2"/>
  <c r="BL477" i="2"/>
  <c r="BK477" i="2"/>
  <c r="BJ477" i="2"/>
  <c r="BI477" i="2"/>
  <c r="BH477" i="2"/>
  <c r="BG477" i="2"/>
  <c r="BF477" i="2"/>
  <c r="BE477" i="2"/>
  <c r="BD477" i="2"/>
  <c r="BC477" i="2"/>
  <c r="BB477" i="2"/>
  <c r="BZ477" i="2" s="1"/>
  <c r="CC477" i="2" s="1"/>
  <c r="BA477" i="2"/>
  <c r="AZ477" i="2"/>
  <c r="AY477" i="2"/>
  <c r="AX477" i="2"/>
  <c r="AW477" i="2"/>
  <c r="CA476" i="2"/>
  <c r="BY476" i="2"/>
  <c r="BX476" i="2"/>
  <c r="BW476" i="2"/>
  <c r="BV476" i="2"/>
  <c r="BU476" i="2"/>
  <c r="BT476" i="2"/>
  <c r="BS476" i="2"/>
  <c r="BR476" i="2"/>
  <c r="BQ476" i="2"/>
  <c r="BP476" i="2"/>
  <c r="BO476" i="2"/>
  <c r="BN476" i="2"/>
  <c r="BM476" i="2"/>
  <c r="BL476" i="2"/>
  <c r="BK476" i="2"/>
  <c r="BJ476" i="2"/>
  <c r="BI476" i="2"/>
  <c r="BH476" i="2"/>
  <c r="BG476" i="2"/>
  <c r="BF476" i="2"/>
  <c r="BE476" i="2"/>
  <c r="BD476" i="2"/>
  <c r="BC476" i="2"/>
  <c r="BB476" i="2"/>
  <c r="BZ476" i="2" s="1"/>
  <c r="CC476" i="2" s="1"/>
  <c r="BA476" i="2"/>
  <c r="AZ476" i="2"/>
  <c r="AY476" i="2"/>
  <c r="AX476" i="2"/>
  <c r="AW476" i="2"/>
  <c r="CA475" i="2"/>
  <c r="BY475" i="2"/>
  <c r="BX475" i="2"/>
  <c r="BW475" i="2"/>
  <c r="BV475" i="2"/>
  <c r="BU475" i="2"/>
  <c r="BT475" i="2"/>
  <c r="BS475" i="2"/>
  <c r="BR475" i="2"/>
  <c r="BQ475" i="2"/>
  <c r="BP475" i="2"/>
  <c r="BO475" i="2"/>
  <c r="BN475" i="2"/>
  <c r="BM475" i="2"/>
  <c r="BL475" i="2"/>
  <c r="BK475" i="2"/>
  <c r="BJ475" i="2"/>
  <c r="BI475" i="2"/>
  <c r="BH475" i="2"/>
  <c r="BG475" i="2"/>
  <c r="BF475" i="2"/>
  <c r="BE475" i="2"/>
  <c r="BD475" i="2"/>
  <c r="BC475" i="2"/>
  <c r="BB475" i="2"/>
  <c r="BZ475" i="2" s="1"/>
  <c r="BA475" i="2"/>
  <c r="AZ475" i="2"/>
  <c r="AY475" i="2"/>
  <c r="AX475" i="2"/>
  <c r="AW475" i="2"/>
  <c r="CA474" i="2"/>
  <c r="BY474" i="2"/>
  <c r="BX474" i="2"/>
  <c r="BW474" i="2"/>
  <c r="BV474" i="2"/>
  <c r="BU474" i="2"/>
  <c r="BT474" i="2"/>
  <c r="BS474" i="2"/>
  <c r="BR474" i="2"/>
  <c r="BQ474" i="2"/>
  <c r="BP474" i="2"/>
  <c r="BO474" i="2"/>
  <c r="BN474" i="2"/>
  <c r="BM474" i="2"/>
  <c r="BL474" i="2"/>
  <c r="BK474" i="2"/>
  <c r="BJ474" i="2"/>
  <c r="BI474" i="2"/>
  <c r="BH474" i="2"/>
  <c r="BG474" i="2"/>
  <c r="BF474" i="2"/>
  <c r="BE474" i="2"/>
  <c r="BD474" i="2"/>
  <c r="BC474" i="2"/>
  <c r="BB474" i="2"/>
  <c r="BZ474" i="2" s="1"/>
  <c r="CC474" i="2" s="1"/>
  <c r="BA474" i="2"/>
  <c r="AZ474" i="2"/>
  <c r="AY474" i="2"/>
  <c r="AX474" i="2"/>
  <c r="AW474" i="2"/>
  <c r="CA473" i="2"/>
  <c r="BY473" i="2"/>
  <c r="BX473" i="2"/>
  <c r="BW473" i="2"/>
  <c r="BV473" i="2"/>
  <c r="BU473" i="2"/>
  <c r="BT473" i="2"/>
  <c r="BS473" i="2"/>
  <c r="BR473" i="2"/>
  <c r="BQ473" i="2"/>
  <c r="BP473" i="2"/>
  <c r="BO473" i="2"/>
  <c r="BN473" i="2"/>
  <c r="BM473" i="2"/>
  <c r="BL473" i="2"/>
  <c r="BK473" i="2"/>
  <c r="BJ473" i="2"/>
  <c r="BI473" i="2"/>
  <c r="BH473" i="2"/>
  <c r="BG473" i="2"/>
  <c r="BF473" i="2"/>
  <c r="BE473" i="2"/>
  <c r="BD473" i="2"/>
  <c r="BC473" i="2"/>
  <c r="BB473" i="2"/>
  <c r="BZ473" i="2" s="1"/>
  <c r="CC473" i="2" s="1"/>
  <c r="BA473" i="2"/>
  <c r="AZ473" i="2"/>
  <c r="AY473" i="2"/>
  <c r="AX473" i="2"/>
  <c r="AW473" i="2"/>
  <c r="CA472" i="2"/>
  <c r="BY472" i="2"/>
  <c r="BX472" i="2"/>
  <c r="BW472" i="2"/>
  <c r="BV472" i="2"/>
  <c r="BU472" i="2"/>
  <c r="BT472" i="2"/>
  <c r="BS472" i="2"/>
  <c r="BR472" i="2"/>
  <c r="BQ472" i="2"/>
  <c r="BP472" i="2"/>
  <c r="BO472" i="2"/>
  <c r="BN472" i="2"/>
  <c r="BM472" i="2"/>
  <c r="BL472" i="2"/>
  <c r="BK472" i="2"/>
  <c r="BJ472" i="2"/>
  <c r="BI472" i="2"/>
  <c r="BH472" i="2"/>
  <c r="BG472" i="2"/>
  <c r="BF472" i="2"/>
  <c r="BE472" i="2"/>
  <c r="BD472" i="2"/>
  <c r="BC472" i="2"/>
  <c r="BB472" i="2"/>
  <c r="BZ472" i="2" s="1"/>
  <c r="CC472" i="2" s="1"/>
  <c r="BA472" i="2"/>
  <c r="AZ472" i="2"/>
  <c r="AY472" i="2"/>
  <c r="AX472" i="2"/>
  <c r="AW472" i="2"/>
  <c r="CA471" i="2"/>
  <c r="BY471" i="2"/>
  <c r="BX471" i="2"/>
  <c r="BW471" i="2"/>
  <c r="BV471" i="2"/>
  <c r="BU471" i="2"/>
  <c r="BT471" i="2"/>
  <c r="BS471" i="2"/>
  <c r="BR471" i="2"/>
  <c r="BQ471" i="2"/>
  <c r="BP471" i="2"/>
  <c r="BO471" i="2"/>
  <c r="BN471" i="2"/>
  <c r="BM471" i="2"/>
  <c r="BL471" i="2"/>
  <c r="BK471" i="2"/>
  <c r="BJ471" i="2"/>
  <c r="BI471" i="2"/>
  <c r="BH471" i="2"/>
  <c r="BG471" i="2"/>
  <c r="BF471" i="2"/>
  <c r="BE471" i="2"/>
  <c r="BD471" i="2"/>
  <c r="BC471" i="2"/>
  <c r="BB471" i="2"/>
  <c r="BZ471" i="2" s="1"/>
  <c r="BA471" i="2"/>
  <c r="AZ471" i="2"/>
  <c r="AY471" i="2"/>
  <c r="AX471" i="2"/>
  <c r="AW471" i="2"/>
  <c r="CA470" i="2"/>
  <c r="BY470" i="2"/>
  <c r="BX470" i="2"/>
  <c r="BW470" i="2"/>
  <c r="BV470" i="2"/>
  <c r="BU470" i="2"/>
  <c r="BT470" i="2"/>
  <c r="BS470" i="2"/>
  <c r="BR470" i="2"/>
  <c r="BQ470" i="2"/>
  <c r="BP470" i="2"/>
  <c r="BO470" i="2"/>
  <c r="BN470" i="2"/>
  <c r="BM470" i="2"/>
  <c r="BL470" i="2"/>
  <c r="BK470" i="2"/>
  <c r="BJ470" i="2"/>
  <c r="BI470" i="2"/>
  <c r="BH470" i="2"/>
  <c r="BG470" i="2"/>
  <c r="BF470" i="2"/>
  <c r="BE470" i="2"/>
  <c r="BD470" i="2"/>
  <c r="BC470" i="2"/>
  <c r="BB470" i="2"/>
  <c r="BZ470" i="2" s="1"/>
  <c r="CC470" i="2" s="1"/>
  <c r="BA470" i="2"/>
  <c r="AZ470" i="2"/>
  <c r="AY470" i="2"/>
  <c r="AX470" i="2"/>
  <c r="AW470" i="2"/>
  <c r="CA469" i="2"/>
  <c r="BY469" i="2"/>
  <c r="BX469" i="2"/>
  <c r="BW469" i="2"/>
  <c r="BV469" i="2"/>
  <c r="BU469" i="2"/>
  <c r="BT469" i="2"/>
  <c r="BS469" i="2"/>
  <c r="BR469" i="2"/>
  <c r="BQ469" i="2"/>
  <c r="BP469" i="2"/>
  <c r="BO469" i="2"/>
  <c r="BN469" i="2"/>
  <c r="BM469" i="2"/>
  <c r="BL469" i="2"/>
  <c r="BK469" i="2"/>
  <c r="BJ469" i="2"/>
  <c r="BI469" i="2"/>
  <c r="BH469" i="2"/>
  <c r="BG469" i="2"/>
  <c r="BF469" i="2"/>
  <c r="BE469" i="2"/>
  <c r="BD469" i="2"/>
  <c r="BC469" i="2"/>
  <c r="BB469" i="2"/>
  <c r="BZ469" i="2" s="1"/>
  <c r="CC469" i="2" s="1"/>
  <c r="BA469" i="2"/>
  <c r="AZ469" i="2"/>
  <c r="AY469" i="2"/>
  <c r="AX469" i="2"/>
  <c r="AW469" i="2"/>
  <c r="CA468" i="2"/>
  <c r="BY468" i="2"/>
  <c r="BX468" i="2"/>
  <c r="BW468" i="2"/>
  <c r="BV468" i="2"/>
  <c r="BU468" i="2"/>
  <c r="BT468" i="2"/>
  <c r="BS468" i="2"/>
  <c r="BR468" i="2"/>
  <c r="BQ468" i="2"/>
  <c r="BP468" i="2"/>
  <c r="BO468" i="2"/>
  <c r="BN468" i="2"/>
  <c r="BM468" i="2"/>
  <c r="BL468" i="2"/>
  <c r="BK468" i="2"/>
  <c r="BJ468" i="2"/>
  <c r="BI468" i="2"/>
  <c r="BH468" i="2"/>
  <c r="BG468" i="2"/>
  <c r="BF468" i="2"/>
  <c r="BE468" i="2"/>
  <c r="BD468" i="2"/>
  <c r="BC468" i="2"/>
  <c r="BB468" i="2"/>
  <c r="BZ468" i="2" s="1"/>
  <c r="CC468" i="2" s="1"/>
  <c r="BA468" i="2"/>
  <c r="AZ468" i="2"/>
  <c r="AY468" i="2"/>
  <c r="AX468" i="2"/>
  <c r="AW468" i="2"/>
  <c r="CA467" i="2"/>
  <c r="BY467" i="2"/>
  <c r="BX467" i="2"/>
  <c r="BW467" i="2"/>
  <c r="BV467" i="2"/>
  <c r="BU467" i="2"/>
  <c r="BT467" i="2"/>
  <c r="BS467" i="2"/>
  <c r="BR467" i="2"/>
  <c r="BQ467" i="2"/>
  <c r="BP467" i="2"/>
  <c r="BO467" i="2"/>
  <c r="BN467" i="2"/>
  <c r="BM467" i="2"/>
  <c r="BL467" i="2"/>
  <c r="BK467" i="2"/>
  <c r="BJ467" i="2"/>
  <c r="BI467" i="2"/>
  <c r="BH467" i="2"/>
  <c r="BG467" i="2"/>
  <c r="BF467" i="2"/>
  <c r="BE467" i="2"/>
  <c r="BD467" i="2"/>
  <c r="BC467" i="2"/>
  <c r="BB467" i="2"/>
  <c r="BZ467" i="2" s="1"/>
  <c r="CC467" i="2" s="1"/>
  <c r="BA467" i="2"/>
  <c r="AZ467" i="2"/>
  <c r="AY467" i="2"/>
  <c r="AX467" i="2"/>
  <c r="AW467" i="2"/>
  <c r="CA466" i="2"/>
  <c r="BY466" i="2"/>
  <c r="BX466" i="2"/>
  <c r="BW466" i="2"/>
  <c r="BV466" i="2"/>
  <c r="BU466" i="2"/>
  <c r="BT466" i="2"/>
  <c r="BS466" i="2"/>
  <c r="BR466" i="2"/>
  <c r="BQ466" i="2"/>
  <c r="BP466" i="2"/>
  <c r="BO466" i="2"/>
  <c r="BN466" i="2"/>
  <c r="BM466" i="2"/>
  <c r="BL466" i="2"/>
  <c r="BK466" i="2"/>
  <c r="BJ466" i="2"/>
  <c r="BI466" i="2"/>
  <c r="BH466" i="2"/>
  <c r="BG466" i="2"/>
  <c r="BF466" i="2"/>
  <c r="BE466" i="2"/>
  <c r="BD466" i="2"/>
  <c r="BC466" i="2"/>
  <c r="BB466" i="2"/>
  <c r="BZ466" i="2" s="1"/>
  <c r="CC466" i="2" s="1"/>
  <c r="BA466" i="2"/>
  <c r="AZ466" i="2"/>
  <c r="AY466" i="2"/>
  <c r="AX466" i="2"/>
  <c r="AW466" i="2"/>
  <c r="CA465" i="2"/>
  <c r="BY465" i="2"/>
  <c r="BX465" i="2"/>
  <c r="BW465" i="2"/>
  <c r="BV465" i="2"/>
  <c r="BU465" i="2"/>
  <c r="BT465" i="2"/>
  <c r="BS465" i="2"/>
  <c r="BR465" i="2"/>
  <c r="BQ465" i="2"/>
  <c r="BP465" i="2"/>
  <c r="BO465" i="2"/>
  <c r="BN465" i="2"/>
  <c r="BM465" i="2"/>
  <c r="BL465" i="2"/>
  <c r="BK465" i="2"/>
  <c r="BJ465" i="2"/>
  <c r="BI465" i="2"/>
  <c r="BH465" i="2"/>
  <c r="BG465" i="2"/>
  <c r="BF465" i="2"/>
  <c r="BE465" i="2"/>
  <c r="BD465" i="2"/>
  <c r="BC465" i="2"/>
  <c r="BB465" i="2"/>
  <c r="BZ465" i="2" s="1"/>
  <c r="CC465" i="2" s="1"/>
  <c r="BA465" i="2"/>
  <c r="AZ465" i="2"/>
  <c r="AY465" i="2"/>
  <c r="AX465" i="2"/>
  <c r="AW465" i="2"/>
  <c r="CA464" i="2"/>
  <c r="BY464" i="2"/>
  <c r="BX464" i="2"/>
  <c r="BW464" i="2"/>
  <c r="BV464" i="2"/>
  <c r="BU464" i="2"/>
  <c r="BT464" i="2"/>
  <c r="BS464" i="2"/>
  <c r="BR464" i="2"/>
  <c r="BQ464" i="2"/>
  <c r="BP464" i="2"/>
  <c r="BO464" i="2"/>
  <c r="BN464" i="2"/>
  <c r="BM464" i="2"/>
  <c r="BL464" i="2"/>
  <c r="BK464" i="2"/>
  <c r="BJ464" i="2"/>
  <c r="BI464" i="2"/>
  <c r="BH464" i="2"/>
  <c r="BG464" i="2"/>
  <c r="BF464" i="2"/>
  <c r="BE464" i="2"/>
  <c r="BD464" i="2"/>
  <c r="BC464" i="2"/>
  <c r="BB464" i="2"/>
  <c r="BZ464" i="2" s="1"/>
  <c r="BA464" i="2"/>
  <c r="AZ464" i="2"/>
  <c r="AY464" i="2"/>
  <c r="AX464" i="2"/>
  <c r="AW464" i="2"/>
  <c r="CA463" i="2"/>
  <c r="BY463" i="2"/>
  <c r="BX463" i="2"/>
  <c r="BW463" i="2"/>
  <c r="BV463" i="2"/>
  <c r="BU463" i="2"/>
  <c r="BT463" i="2"/>
  <c r="BS463" i="2"/>
  <c r="BR463" i="2"/>
  <c r="BQ463" i="2"/>
  <c r="BP463" i="2"/>
  <c r="BO463" i="2"/>
  <c r="BN463" i="2"/>
  <c r="BM463" i="2"/>
  <c r="BL463" i="2"/>
  <c r="BK463" i="2"/>
  <c r="BJ463" i="2"/>
  <c r="BI463" i="2"/>
  <c r="BH463" i="2"/>
  <c r="BG463" i="2"/>
  <c r="BF463" i="2"/>
  <c r="BE463" i="2"/>
  <c r="BD463" i="2"/>
  <c r="BC463" i="2"/>
  <c r="BB463" i="2"/>
  <c r="BZ463" i="2" s="1"/>
  <c r="BA463" i="2"/>
  <c r="AZ463" i="2"/>
  <c r="AY463" i="2"/>
  <c r="AX463" i="2"/>
  <c r="AW463" i="2"/>
  <c r="CA462" i="2"/>
  <c r="BY462" i="2"/>
  <c r="BX462" i="2"/>
  <c r="BW462" i="2"/>
  <c r="BV462" i="2"/>
  <c r="BU462" i="2"/>
  <c r="BT462" i="2"/>
  <c r="BS462" i="2"/>
  <c r="BR462" i="2"/>
  <c r="BQ462" i="2"/>
  <c r="BP462" i="2"/>
  <c r="BO462" i="2"/>
  <c r="BN462" i="2"/>
  <c r="BM462" i="2"/>
  <c r="BL462" i="2"/>
  <c r="BK462" i="2"/>
  <c r="BJ462" i="2"/>
  <c r="BI462" i="2"/>
  <c r="BH462" i="2"/>
  <c r="BG462" i="2"/>
  <c r="BF462" i="2"/>
  <c r="BE462" i="2"/>
  <c r="BD462" i="2"/>
  <c r="BC462" i="2"/>
  <c r="BB462" i="2"/>
  <c r="BZ462" i="2" s="1"/>
  <c r="CC462" i="2" s="1"/>
  <c r="BA462" i="2"/>
  <c r="AZ462" i="2"/>
  <c r="AY462" i="2"/>
  <c r="AX462" i="2"/>
  <c r="AW462" i="2"/>
  <c r="CA461" i="2"/>
  <c r="BY461" i="2"/>
  <c r="BX461" i="2"/>
  <c r="BW461" i="2"/>
  <c r="BV461" i="2"/>
  <c r="BU461" i="2"/>
  <c r="BT461" i="2"/>
  <c r="BS461" i="2"/>
  <c r="BR461" i="2"/>
  <c r="BQ461" i="2"/>
  <c r="BP461" i="2"/>
  <c r="BO461" i="2"/>
  <c r="BN461" i="2"/>
  <c r="BM461" i="2"/>
  <c r="BL461" i="2"/>
  <c r="BK461" i="2"/>
  <c r="BJ461" i="2"/>
  <c r="BI461" i="2"/>
  <c r="BH461" i="2"/>
  <c r="BG461" i="2"/>
  <c r="BF461" i="2"/>
  <c r="BE461" i="2"/>
  <c r="BD461" i="2"/>
  <c r="BC461" i="2"/>
  <c r="BB461" i="2"/>
  <c r="BZ461" i="2" s="1"/>
  <c r="BA461" i="2"/>
  <c r="AZ461" i="2"/>
  <c r="AY461" i="2"/>
  <c r="AX461" i="2"/>
  <c r="AW461" i="2"/>
  <c r="CA460" i="2"/>
  <c r="BY460" i="2"/>
  <c r="BX460" i="2"/>
  <c r="BW460" i="2"/>
  <c r="BV460" i="2"/>
  <c r="BU460" i="2"/>
  <c r="BT460" i="2"/>
  <c r="BS460" i="2"/>
  <c r="BR460" i="2"/>
  <c r="BQ460" i="2"/>
  <c r="BP460" i="2"/>
  <c r="BO460" i="2"/>
  <c r="BN460" i="2"/>
  <c r="BM460" i="2"/>
  <c r="BL460" i="2"/>
  <c r="BK460" i="2"/>
  <c r="BJ460" i="2"/>
  <c r="BI460" i="2"/>
  <c r="BH460" i="2"/>
  <c r="BG460" i="2"/>
  <c r="BF460" i="2"/>
  <c r="BE460" i="2"/>
  <c r="BD460" i="2"/>
  <c r="BC460" i="2"/>
  <c r="BB460" i="2"/>
  <c r="BZ460" i="2" s="1"/>
  <c r="CC460" i="2" s="1"/>
  <c r="BA460" i="2"/>
  <c r="AZ460" i="2"/>
  <c r="AY460" i="2"/>
  <c r="AX460" i="2"/>
  <c r="AW460" i="2"/>
  <c r="CA459" i="2"/>
  <c r="BY459" i="2"/>
  <c r="BX459" i="2"/>
  <c r="BW459" i="2"/>
  <c r="BV459" i="2"/>
  <c r="BU459" i="2"/>
  <c r="BT459" i="2"/>
  <c r="BS459" i="2"/>
  <c r="BR459" i="2"/>
  <c r="BQ459" i="2"/>
  <c r="BP459" i="2"/>
  <c r="BO459" i="2"/>
  <c r="BN459" i="2"/>
  <c r="BM459" i="2"/>
  <c r="BL459" i="2"/>
  <c r="BK459" i="2"/>
  <c r="BJ459" i="2"/>
  <c r="BI459" i="2"/>
  <c r="BH459" i="2"/>
  <c r="BG459" i="2"/>
  <c r="BF459" i="2"/>
  <c r="BE459" i="2"/>
  <c r="BD459" i="2"/>
  <c r="BC459" i="2"/>
  <c r="BB459" i="2"/>
  <c r="BZ459" i="2" s="1"/>
  <c r="BA459" i="2"/>
  <c r="AZ459" i="2"/>
  <c r="AY459" i="2"/>
  <c r="AX459" i="2"/>
  <c r="AW459" i="2"/>
  <c r="CA458" i="2"/>
  <c r="BY458" i="2"/>
  <c r="BX458" i="2"/>
  <c r="BW458" i="2"/>
  <c r="BV458" i="2"/>
  <c r="BU458" i="2"/>
  <c r="BT458" i="2"/>
  <c r="BS458" i="2"/>
  <c r="BR458" i="2"/>
  <c r="BQ458" i="2"/>
  <c r="BP458" i="2"/>
  <c r="BO458" i="2"/>
  <c r="BN458" i="2"/>
  <c r="BM458" i="2"/>
  <c r="BL458" i="2"/>
  <c r="BK458" i="2"/>
  <c r="BJ458" i="2"/>
  <c r="BI458" i="2"/>
  <c r="BH458" i="2"/>
  <c r="BG458" i="2"/>
  <c r="BF458" i="2"/>
  <c r="BE458" i="2"/>
  <c r="BD458" i="2"/>
  <c r="BC458" i="2"/>
  <c r="BB458" i="2"/>
  <c r="BZ458" i="2" s="1"/>
  <c r="CC458" i="2" s="1"/>
  <c r="BA458" i="2"/>
  <c r="AZ458" i="2"/>
  <c r="AY458" i="2"/>
  <c r="AX458" i="2"/>
  <c r="AW458" i="2"/>
  <c r="CA457" i="2"/>
  <c r="BY457" i="2"/>
  <c r="BX457" i="2"/>
  <c r="BW457" i="2"/>
  <c r="BV457" i="2"/>
  <c r="BU457" i="2"/>
  <c r="BT457" i="2"/>
  <c r="BS457" i="2"/>
  <c r="BR457" i="2"/>
  <c r="BQ457" i="2"/>
  <c r="BP457" i="2"/>
  <c r="BO457" i="2"/>
  <c r="BN457" i="2"/>
  <c r="BM457" i="2"/>
  <c r="BL457" i="2"/>
  <c r="BK457" i="2"/>
  <c r="BJ457" i="2"/>
  <c r="BI457" i="2"/>
  <c r="BH457" i="2"/>
  <c r="BG457" i="2"/>
  <c r="BF457" i="2"/>
  <c r="BE457" i="2"/>
  <c r="BD457" i="2"/>
  <c r="BC457" i="2"/>
  <c r="BB457" i="2"/>
  <c r="BZ457" i="2" s="1"/>
  <c r="CC457" i="2" s="1"/>
  <c r="BA457" i="2"/>
  <c r="AZ457" i="2"/>
  <c r="AY457" i="2"/>
  <c r="AX457" i="2"/>
  <c r="AW457" i="2"/>
  <c r="CA456" i="2"/>
  <c r="BY456" i="2"/>
  <c r="BX456" i="2"/>
  <c r="BW456" i="2"/>
  <c r="BV456" i="2"/>
  <c r="BU456" i="2"/>
  <c r="BT456" i="2"/>
  <c r="BS456" i="2"/>
  <c r="BR456" i="2"/>
  <c r="BQ456" i="2"/>
  <c r="BP456" i="2"/>
  <c r="BO456" i="2"/>
  <c r="BN456" i="2"/>
  <c r="BM456" i="2"/>
  <c r="BL456" i="2"/>
  <c r="BK456" i="2"/>
  <c r="BJ456" i="2"/>
  <c r="BI456" i="2"/>
  <c r="BH456" i="2"/>
  <c r="BG456" i="2"/>
  <c r="BF456" i="2"/>
  <c r="BE456" i="2"/>
  <c r="BD456" i="2"/>
  <c r="BC456" i="2"/>
  <c r="BB456" i="2"/>
  <c r="BZ456" i="2" s="1"/>
  <c r="CC456" i="2" s="1"/>
  <c r="BA456" i="2"/>
  <c r="AZ456" i="2"/>
  <c r="AY456" i="2"/>
  <c r="AX456" i="2"/>
  <c r="AW456" i="2"/>
  <c r="CA455" i="2"/>
  <c r="BY455" i="2"/>
  <c r="BX455" i="2"/>
  <c r="BW455" i="2"/>
  <c r="BV455" i="2"/>
  <c r="BU455" i="2"/>
  <c r="BT455" i="2"/>
  <c r="BS455" i="2"/>
  <c r="BR455" i="2"/>
  <c r="BQ455" i="2"/>
  <c r="BP455" i="2"/>
  <c r="BO455" i="2"/>
  <c r="BN455" i="2"/>
  <c r="BM455" i="2"/>
  <c r="BL455" i="2"/>
  <c r="BK455" i="2"/>
  <c r="BJ455" i="2"/>
  <c r="BI455" i="2"/>
  <c r="BH455" i="2"/>
  <c r="BG455" i="2"/>
  <c r="BF455" i="2"/>
  <c r="BE455" i="2"/>
  <c r="BD455" i="2"/>
  <c r="BC455" i="2"/>
  <c r="BB455" i="2"/>
  <c r="BZ455" i="2" s="1"/>
  <c r="CC455" i="2" s="1"/>
  <c r="BA455" i="2"/>
  <c r="AZ455" i="2"/>
  <c r="AY455" i="2"/>
  <c r="AX455" i="2"/>
  <c r="AW455" i="2"/>
  <c r="CA454" i="2"/>
  <c r="BY454" i="2"/>
  <c r="BX454" i="2"/>
  <c r="BW454" i="2"/>
  <c r="BV454" i="2"/>
  <c r="BU454" i="2"/>
  <c r="BT454" i="2"/>
  <c r="BS454" i="2"/>
  <c r="BR454" i="2"/>
  <c r="BQ454" i="2"/>
  <c r="BP454" i="2"/>
  <c r="BO454" i="2"/>
  <c r="BN454" i="2"/>
  <c r="BM454" i="2"/>
  <c r="BL454" i="2"/>
  <c r="BK454" i="2"/>
  <c r="BJ454" i="2"/>
  <c r="BI454" i="2"/>
  <c r="BH454" i="2"/>
  <c r="BG454" i="2"/>
  <c r="BF454" i="2"/>
  <c r="BE454" i="2"/>
  <c r="BD454" i="2"/>
  <c r="BC454" i="2"/>
  <c r="BB454" i="2"/>
  <c r="BZ454" i="2" s="1"/>
  <c r="BA454" i="2"/>
  <c r="AZ454" i="2"/>
  <c r="AY454" i="2"/>
  <c r="AX454" i="2"/>
  <c r="AW454" i="2"/>
  <c r="CA453" i="2"/>
  <c r="BY453" i="2"/>
  <c r="BX453" i="2"/>
  <c r="BW453" i="2"/>
  <c r="BV453" i="2"/>
  <c r="BU453" i="2"/>
  <c r="BT453" i="2"/>
  <c r="BS453" i="2"/>
  <c r="BR453" i="2"/>
  <c r="BQ453" i="2"/>
  <c r="BP453" i="2"/>
  <c r="BO453" i="2"/>
  <c r="BN453" i="2"/>
  <c r="BM453" i="2"/>
  <c r="BL453" i="2"/>
  <c r="BK453" i="2"/>
  <c r="BJ453" i="2"/>
  <c r="BI453" i="2"/>
  <c r="BH453" i="2"/>
  <c r="BG453" i="2"/>
  <c r="BF453" i="2"/>
  <c r="BE453" i="2"/>
  <c r="BD453" i="2"/>
  <c r="BC453" i="2"/>
  <c r="BB453" i="2"/>
  <c r="BZ453" i="2" s="1"/>
  <c r="BA453" i="2"/>
  <c r="AZ453" i="2"/>
  <c r="AY453" i="2"/>
  <c r="AX453" i="2"/>
  <c r="AW453" i="2"/>
  <c r="CA452" i="2"/>
  <c r="BY452" i="2"/>
  <c r="BX452" i="2"/>
  <c r="BW452" i="2"/>
  <c r="BV452" i="2"/>
  <c r="BU452" i="2"/>
  <c r="BT452" i="2"/>
  <c r="BS452" i="2"/>
  <c r="BR452" i="2"/>
  <c r="BQ452" i="2"/>
  <c r="BP452" i="2"/>
  <c r="BO452" i="2"/>
  <c r="BN452" i="2"/>
  <c r="BM452" i="2"/>
  <c r="BL452" i="2"/>
  <c r="BK452" i="2"/>
  <c r="BJ452" i="2"/>
  <c r="BI452" i="2"/>
  <c r="BH452" i="2"/>
  <c r="BG452" i="2"/>
  <c r="BF452" i="2"/>
  <c r="BE452" i="2"/>
  <c r="BD452" i="2"/>
  <c r="BC452" i="2"/>
  <c r="BB452" i="2"/>
  <c r="BZ452" i="2" s="1"/>
  <c r="BA452" i="2"/>
  <c r="AZ452" i="2"/>
  <c r="AY452" i="2"/>
  <c r="AX452" i="2"/>
  <c r="AW452" i="2"/>
  <c r="CA451" i="2"/>
  <c r="BY451" i="2"/>
  <c r="BX451" i="2"/>
  <c r="BW451" i="2"/>
  <c r="BV451" i="2"/>
  <c r="BU451" i="2"/>
  <c r="BT451" i="2"/>
  <c r="BS451" i="2"/>
  <c r="BR451" i="2"/>
  <c r="BQ451" i="2"/>
  <c r="BP451" i="2"/>
  <c r="BO451" i="2"/>
  <c r="BN451" i="2"/>
  <c r="BM451" i="2"/>
  <c r="BL451" i="2"/>
  <c r="BK451" i="2"/>
  <c r="BJ451" i="2"/>
  <c r="BI451" i="2"/>
  <c r="BH451" i="2"/>
  <c r="BG451" i="2"/>
  <c r="BF451" i="2"/>
  <c r="BE451" i="2"/>
  <c r="BD451" i="2"/>
  <c r="BC451" i="2"/>
  <c r="BB451" i="2"/>
  <c r="BZ451" i="2" s="1"/>
  <c r="CC451" i="2" s="1"/>
  <c r="BA451" i="2"/>
  <c r="AZ451" i="2"/>
  <c r="AY451" i="2"/>
  <c r="AX451" i="2"/>
  <c r="AW451" i="2"/>
  <c r="CA450" i="2"/>
  <c r="BY450" i="2"/>
  <c r="BX450" i="2"/>
  <c r="BW450" i="2"/>
  <c r="BV450" i="2"/>
  <c r="BU450" i="2"/>
  <c r="BT450" i="2"/>
  <c r="BS450" i="2"/>
  <c r="BR450" i="2"/>
  <c r="BQ450" i="2"/>
  <c r="BP450" i="2"/>
  <c r="BO450" i="2"/>
  <c r="BN450" i="2"/>
  <c r="BM450" i="2"/>
  <c r="BL450" i="2"/>
  <c r="BK450" i="2"/>
  <c r="BJ450" i="2"/>
  <c r="BI450" i="2"/>
  <c r="BH450" i="2"/>
  <c r="BG450" i="2"/>
  <c r="BF450" i="2"/>
  <c r="BE450" i="2"/>
  <c r="BD450" i="2"/>
  <c r="BC450" i="2"/>
  <c r="BB450" i="2"/>
  <c r="BZ450" i="2" s="1"/>
  <c r="BA450" i="2"/>
  <c r="AZ450" i="2"/>
  <c r="AY450" i="2"/>
  <c r="AX450" i="2"/>
  <c r="AW450" i="2"/>
  <c r="CA449" i="2"/>
  <c r="BY449" i="2"/>
  <c r="BX449" i="2"/>
  <c r="BW449" i="2"/>
  <c r="BV449" i="2"/>
  <c r="BU449" i="2"/>
  <c r="BT449" i="2"/>
  <c r="BS449" i="2"/>
  <c r="BR449" i="2"/>
  <c r="BQ449" i="2"/>
  <c r="BP449" i="2"/>
  <c r="BO449" i="2"/>
  <c r="BN449" i="2"/>
  <c r="BM449" i="2"/>
  <c r="BL449" i="2"/>
  <c r="BK449" i="2"/>
  <c r="BJ449" i="2"/>
  <c r="BI449" i="2"/>
  <c r="BH449" i="2"/>
  <c r="BG449" i="2"/>
  <c r="BF449" i="2"/>
  <c r="BE449" i="2"/>
  <c r="BD449" i="2"/>
  <c r="BC449" i="2"/>
  <c r="BB449" i="2"/>
  <c r="BZ449" i="2" s="1"/>
  <c r="CC449" i="2" s="1"/>
  <c r="BA449" i="2"/>
  <c r="AZ449" i="2"/>
  <c r="AY449" i="2"/>
  <c r="AX449" i="2"/>
  <c r="AW449" i="2"/>
  <c r="CA448" i="2"/>
  <c r="BY448" i="2"/>
  <c r="BX448" i="2"/>
  <c r="BW448" i="2"/>
  <c r="BV448" i="2"/>
  <c r="BU448" i="2"/>
  <c r="BT448" i="2"/>
  <c r="BS448" i="2"/>
  <c r="BR448" i="2"/>
  <c r="BQ448" i="2"/>
  <c r="BP448" i="2"/>
  <c r="BO448" i="2"/>
  <c r="BN448" i="2"/>
  <c r="BM448" i="2"/>
  <c r="BL448" i="2"/>
  <c r="BK448" i="2"/>
  <c r="BJ448" i="2"/>
  <c r="BI448" i="2"/>
  <c r="BH448" i="2"/>
  <c r="BG448" i="2"/>
  <c r="BF448" i="2"/>
  <c r="BE448" i="2"/>
  <c r="BD448" i="2"/>
  <c r="BC448" i="2"/>
  <c r="BB448" i="2"/>
  <c r="BZ448" i="2" s="1"/>
  <c r="CC448" i="2" s="1"/>
  <c r="BA448" i="2"/>
  <c r="AZ448" i="2"/>
  <c r="AY448" i="2"/>
  <c r="AX448" i="2"/>
  <c r="AW448" i="2"/>
  <c r="CA447" i="2"/>
  <c r="BY447" i="2"/>
  <c r="BX447" i="2"/>
  <c r="BW447" i="2"/>
  <c r="BV447" i="2"/>
  <c r="BU447" i="2"/>
  <c r="BT447" i="2"/>
  <c r="BS447" i="2"/>
  <c r="BR447" i="2"/>
  <c r="BQ447" i="2"/>
  <c r="BP447" i="2"/>
  <c r="BO447" i="2"/>
  <c r="BN447" i="2"/>
  <c r="BM447" i="2"/>
  <c r="BL447" i="2"/>
  <c r="BK447" i="2"/>
  <c r="BJ447" i="2"/>
  <c r="BI447" i="2"/>
  <c r="BH447" i="2"/>
  <c r="BG447" i="2"/>
  <c r="BF447" i="2"/>
  <c r="BE447" i="2"/>
  <c r="BD447" i="2"/>
  <c r="BC447" i="2"/>
  <c r="BB447" i="2"/>
  <c r="BZ447" i="2" s="1"/>
  <c r="CC447" i="2" s="1"/>
  <c r="BA447" i="2"/>
  <c r="AZ447" i="2"/>
  <c r="AY447" i="2"/>
  <c r="AX447" i="2"/>
  <c r="AW447" i="2"/>
  <c r="CA446" i="2"/>
  <c r="BY446" i="2"/>
  <c r="BX446" i="2"/>
  <c r="BW446" i="2"/>
  <c r="BV446" i="2"/>
  <c r="BU446" i="2"/>
  <c r="BT446" i="2"/>
  <c r="BS446" i="2"/>
  <c r="BR446" i="2"/>
  <c r="BQ446" i="2"/>
  <c r="BP446" i="2"/>
  <c r="BO446" i="2"/>
  <c r="BN446" i="2"/>
  <c r="BM446" i="2"/>
  <c r="BL446" i="2"/>
  <c r="BK446" i="2"/>
  <c r="BJ446" i="2"/>
  <c r="BI446" i="2"/>
  <c r="BH446" i="2"/>
  <c r="BG446" i="2"/>
  <c r="BF446" i="2"/>
  <c r="BE446" i="2"/>
  <c r="BD446" i="2"/>
  <c r="BC446" i="2"/>
  <c r="BB446" i="2"/>
  <c r="BZ446" i="2" s="1"/>
  <c r="BA446" i="2"/>
  <c r="AZ446" i="2"/>
  <c r="AY446" i="2"/>
  <c r="AX446" i="2"/>
  <c r="AW446" i="2"/>
  <c r="CA445" i="2"/>
  <c r="BY445" i="2"/>
  <c r="BX445" i="2"/>
  <c r="BW445" i="2"/>
  <c r="BV445" i="2"/>
  <c r="BU445" i="2"/>
  <c r="BT445" i="2"/>
  <c r="BS445" i="2"/>
  <c r="BR445" i="2"/>
  <c r="BQ445" i="2"/>
  <c r="BP445" i="2"/>
  <c r="BO445" i="2"/>
  <c r="BN445" i="2"/>
  <c r="BM445" i="2"/>
  <c r="BL445" i="2"/>
  <c r="BK445" i="2"/>
  <c r="BJ445" i="2"/>
  <c r="BI445" i="2"/>
  <c r="BH445" i="2"/>
  <c r="BG445" i="2"/>
  <c r="BF445" i="2"/>
  <c r="BE445" i="2"/>
  <c r="BD445" i="2"/>
  <c r="BC445" i="2"/>
  <c r="BB445" i="2"/>
  <c r="BZ445" i="2" s="1"/>
  <c r="CC445" i="2" s="1"/>
  <c r="BA445" i="2"/>
  <c r="AZ445" i="2"/>
  <c r="AY445" i="2"/>
  <c r="AX445" i="2"/>
  <c r="AW445" i="2"/>
  <c r="CA444" i="2"/>
  <c r="BY444" i="2"/>
  <c r="BX444" i="2"/>
  <c r="BW444" i="2"/>
  <c r="BV444" i="2"/>
  <c r="BU444" i="2"/>
  <c r="BT444" i="2"/>
  <c r="BS444" i="2"/>
  <c r="BR444" i="2"/>
  <c r="BQ444" i="2"/>
  <c r="BP444" i="2"/>
  <c r="BO444" i="2"/>
  <c r="BN444" i="2"/>
  <c r="BM444" i="2"/>
  <c r="BL444" i="2"/>
  <c r="BK444" i="2"/>
  <c r="BJ444" i="2"/>
  <c r="BI444" i="2"/>
  <c r="BH444" i="2"/>
  <c r="BG444" i="2"/>
  <c r="BF444" i="2"/>
  <c r="BE444" i="2"/>
  <c r="BD444" i="2"/>
  <c r="BC444" i="2"/>
  <c r="BB444" i="2"/>
  <c r="BZ444" i="2" s="1"/>
  <c r="CC444" i="2" s="1"/>
  <c r="BA444" i="2"/>
  <c r="AZ444" i="2"/>
  <c r="AY444" i="2"/>
  <c r="AX444" i="2"/>
  <c r="AW444" i="2"/>
  <c r="CA443" i="2"/>
  <c r="BY443" i="2"/>
  <c r="BX443" i="2"/>
  <c r="BW443" i="2"/>
  <c r="BV443" i="2"/>
  <c r="BU443" i="2"/>
  <c r="BT443" i="2"/>
  <c r="BS443" i="2"/>
  <c r="BR443" i="2"/>
  <c r="BQ443" i="2"/>
  <c r="BP443" i="2"/>
  <c r="BO443" i="2"/>
  <c r="BN443" i="2"/>
  <c r="BM443" i="2"/>
  <c r="BL443" i="2"/>
  <c r="BK443" i="2"/>
  <c r="BJ443" i="2"/>
  <c r="BI443" i="2"/>
  <c r="BH443" i="2"/>
  <c r="BG443" i="2"/>
  <c r="BF443" i="2"/>
  <c r="BE443" i="2"/>
  <c r="BD443" i="2"/>
  <c r="BC443" i="2"/>
  <c r="BB443" i="2"/>
  <c r="BZ443" i="2" s="1"/>
  <c r="CC443" i="2" s="1"/>
  <c r="BA443" i="2"/>
  <c r="AZ443" i="2"/>
  <c r="AY443" i="2"/>
  <c r="AX443" i="2"/>
  <c r="AW443" i="2"/>
  <c r="CA442" i="2"/>
  <c r="BY442" i="2"/>
  <c r="BX442" i="2"/>
  <c r="BW442" i="2"/>
  <c r="BV442" i="2"/>
  <c r="BU442" i="2"/>
  <c r="BT442" i="2"/>
  <c r="BS442" i="2"/>
  <c r="BR442" i="2"/>
  <c r="BQ442" i="2"/>
  <c r="BP442" i="2"/>
  <c r="BO442" i="2"/>
  <c r="BN442" i="2"/>
  <c r="BM442" i="2"/>
  <c r="BL442" i="2"/>
  <c r="BK442" i="2"/>
  <c r="BJ442" i="2"/>
  <c r="BI442" i="2"/>
  <c r="BH442" i="2"/>
  <c r="BG442" i="2"/>
  <c r="BF442" i="2"/>
  <c r="BE442" i="2"/>
  <c r="BD442" i="2"/>
  <c r="BC442" i="2"/>
  <c r="BB442" i="2"/>
  <c r="BZ442" i="2" s="1"/>
  <c r="CC442" i="2" s="1"/>
  <c r="BA442" i="2"/>
  <c r="AZ442" i="2"/>
  <c r="AY442" i="2"/>
  <c r="AX442" i="2"/>
  <c r="AW442" i="2"/>
  <c r="CA441" i="2"/>
  <c r="BY441" i="2"/>
  <c r="BX441" i="2"/>
  <c r="BW441" i="2"/>
  <c r="BV441" i="2"/>
  <c r="BU441" i="2"/>
  <c r="BT441" i="2"/>
  <c r="BS441" i="2"/>
  <c r="BR441" i="2"/>
  <c r="BQ441" i="2"/>
  <c r="BP441" i="2"/>
  <c r="BO441" i="2"/>
  <c r="BN441" i="2"/>
  <c r="BM441" i="2"/>
  <c r="BL441" i="2"/>
  <c r="BK441" i="2"/>
  <c r="BJ441" i="2"/>
  <c r="BI441" i="2"/>
  <c r="BH441" i="2"/>
  <c r="BG441" i="2"/>
  <c r="BF441" i="2"/>
  <c r="BE441" i="2"/>
  <c r="BD441" i="2"/>
  <c r="BC441" i="2"/>
  <c r="BB441" i="2"/>
  <c r="BZ441" i="2" s="1"/>
  <c r="CC441" i="2" s="1"/>
  <c r="BA441" i="2"/>
  <c r="AZ441" i="2"/>
  <c r="AY441" i="2"/>
  <c r="AX441" i="2"/>
  <c r="AW441" i="2"/>
  <c r="CA440" i="2"/>
  <c r="BY440" i="2"/>
  <c r="BX440" i="2"/>
  <c r="BW440" i="2"/>
  <c r="BV440" i="2"/>
  <c r="BU440" i="2"/>
  <c r="BT440" i="2"/>
  <c r="BS440" i="2"/>
  <c r="BR440" i="2"/>
  <c r="BQ440" i="2"/>
  <c r="BP440" i="2"/>
  <c r="BO440" i="2"/>
  <c r="BN440" i="2"/>
  <c r="BM440" i="2"/>
  <c r="BL440" i="2"/>
  <c r="BK440" i="2"/>
  <c r="BJ440" i="2"/>
  <c r="BI440" i="2"/>
  <c r="BH440" i="2"/>
  <c r="BG440" i="2"/>
  <c r="BF440" i="2"/>
  <c r="BE440" i="2"/>
  <c r="BD440" i="2"/>
  <c r="BC440" i="2"/>
  <c r="BB440" i="2"/>
  <c r="BZ440" i="2" s="1"/>
  <c r="BA440" i="2"/>
  <c r="AZ440" i="2"/>
  <c r="AY440" i="2"/>
  <c r="AX440" i="2"/>
  <c r="AW440" i="2"/>
  <c r="CA439" i="2"/>
  <c r="BY439" i="2"/>
  <c r="BX439" i="2"/>
  <c r="BW439" i="2"/>
  <c r="BV439" i="2"/>
  <c r="BU439" i="2"/>
  <c r="BT439" i="2"/>
  <c r="BS439" i="2"/>
  <c r="BR439" i="2"/>
  <c r="BQ439" i="2"/>
  <c r="BP439" i="2"/>
  <c r="BO439" i="2"/>
  <c r="BN439" i="2"/>
  <c r="BM439" i="2"/>
  <c r="BL439" i="2"/>
  <c r="BK439" i="2"/>
  <c r="BJ439" i="2"/>
  <c r="BI439" i="2"/>
  <c r="BH439" i="2"/>
  <c r="BG439" i="2"/>
  <c r="BF439" i="2"/>
  <c r="BE439" i="2"/>
  <c r="BD439" i="2"/>
  <c r="BC439" i="2"/>
  <c r="BB439" i="2"/>
  <c r="BZ439" i="2" s="1"/>
  <c r="CC439" i="2" s="1"/>
  <c r="BA439" i="2"/>
  <c r="AZ439" i="2"/>
  <c r="AY439" i="2"/>
  <c r="AX439" i="2"/>
  <c r="AW439" i="2"/>
  <c r="CA438" i="2"/>
  <c r="BY438" i="2"/>
  <c r="BX438" i="2"/>
  <c r="BW438" i="2"/>
  <c r="BV438" i="2"/>
  <c r="BU438" i="2"/>
  <c r="BT438" i="2"/>
  <c r="BS438" i="2"/>
  <c r="BR438" i="2"/>
  <c r="BQ438" i="2"/>
  <c r="BP438" i="2"/>
  <c r="BO438" i="2"/>
  <c r="BN438" i="2"/>
  <c r="BM438" i="2"/>
  <c r="BL438" i="2"/>
  <c r="BK438" i="2"/>
  <c r="BJ438" i="2"/>
  <c r="BI438" i="2"/>
  <c r="BH438" i="2"/>
  <c r="BG438" i="2"/>
  <c r="BF438" i="2"/>
  <c r="BE438" i="2"/>
  <c r="BD438" i="2"/>
  <c r="BC438" i="2"/>
  <c r="BB438" i="2"/>
  <c r="BZ438" i="2" s="1"/>
  <c r="CC438" i="2" s="1"/>
  <c r="BA438" i="2"/>
  <c r="AZ438" i="2"/>
  <c r="AY438" i="2"/>
  <c r="AX438" i="2"/>
  <c r="AW438" i="2"/>
  <c r="CA437" i="2"/>
  <c r="BY437" i="2"/>
  <c r="BX437" i="2"/>
  <c r="BW437" i="2"/>
  <c r="BV437" i="2"/>
  <c r="BU437" i="2"/>
  <c r="BT437" i="2"/>
  <c r="BS437" i="2"/>
  <c r="BR437" i="2"/>
  <c r="BQ437" i="2"/>
  <c r="BP437" i="2"/>
  <c r="BO437" i="2"/>
  <c r="BN437" i="2"/>
  <c r="BM437" i="2"/>
  <c r="BL437" i="2"/>
  <c r="BK437" i="2"/>
  <c r="BJ437" i="2"/>
  <c r="BI437" i="2"/>
  <c r="BH437" i="2"/>
  <c r="BG437" i="2"/>
  <c r="BF437" i="2"/>
  <c r="BE437" i="2"/>
  <c r="BD437" i="2"/>
  <c r="BC437" i="2"/>
  <c r="BB437" i="2"/>
  <c r="BZ437" i="2" s="1"/>
  <c r="CC437" i="2" s="1"/>
  <c r="BA437" i="2"/>
  <c r="AZ437" i="2"/>
  <c r="AY437" i="2"/>
  <c r="AX437" i="2"/>
  <c r="AW437" i="2"/>
  <c r="CA436" i="2"/>
  <c r="BY436" i="2"/>
  <c r="BX436" i="2"/>
  <c r="BW436" i="2"/>
  <c r="BV436" i="2"/>
  <c r="BU436" i="2"/>
  <c r="BT436" i="2"/>
  <c r="BS436" i="2"/>
  <c r="BR436" i="2"/>
  <c r="BQ436" i="2"/>
  <c r="BP436" i="2"/>
  <c r="BO436" i="2"/>
  <c r="BN436" i="2"/>
  <c r="BM436" i="2"/>
  <c r="BL436" i="2"/>
  <c r="BK436" i="2"/>
  <c r="BJ436" i="2"/>
  <c r="BI436" i="2"/>
  <c r="BH436" i="2"/>
  <c r="BG436" i="2"/>
  <c r="BF436" i="2"/>
  <c r="BE436" i="2"/>
  <c r="BD436" i="2"/>
  <c r="BC436" i="2"/>
  <c r="BB436" i="2"/>
  <c r="BZ436" i="2" s="1"/>
  <c r="BA436" i="2"/>
  <c r="AZ436" i="2"/>
  <c r="AY436" i="2"/>
  <c r="AX436" i="2"/>
  <c r="AW436" i="2"/>
  <c r="CA435" i="2"/>
  <c r="BY435" i="2"/>
  <c r="BX435" i="2"/>
  <c r="BW435" i="2"/>
  <c r="BV435" i="2"/>
  <c r="BU435" i="2"/>
  <c r="BT435" i="2"/>
  <c r="BS435" i="2"/>
  <c r="BR435" i="2"/>
  <c r="BQ435" i="2"/>
  <c r="BP435" i="2"/>
  <c r="BO435" i="2"/>
  <c r="BN435" i="2"/>
  <c r="BM435" i="2"/>
  <c r="BL435" i="2"/>
  <c r="BK435" i="2"/>
  <c r="BJ435" i="2"/>
  <c r="BI435" i="2"/>
  <c r="BH435" i="2"/>
  <c r="BG435" i="2"/>
  <c r="BF435" i="2"/>
  <c r="BE435" i="2"/>
  <c r="BD435" i="2"/>
  <c r="BC435" i="2"/>
  <c r="BB435" i="2"/>
  <c r="BZ435" i="2" s="1"/>
  <c r="CC435" i="2" s="1"/>
  <c r="BA435" i="2"/>
  <c r="AZ435" i="2"/>
  <c r="AY435" i="2"/>
  <c r="AX435" i="2"/>
  <c r="AW435" i="2"/>
  <c r="CA434" i="2"/>
  <c r="BY434" i="2"/>
  <c r="BX434" i="2"/>
  <c r="BW434" i="2"/>
  <c r="BV434" i="2"/>
  <c r="BU434" i="2"/>
  <c r="BT434" i="2"/>
  <c r="BS434" i="2"/>
  <c r="BR434" i="2"/>
  <c r="BQ434" i="2"/>
  <c r="BP434" i="2"/>
  <c r="BO434" i="2"/>
  <c r="BN434" i="2"/>
  <c r="BM434" i="2"/>
  <c r="BL434" i="2"/>
  <c r="BK434" i="2"/>
  <c r="BJ434" i="2"/>
  <c r="BI434" i="2"/>
  <c r="BH434" i="2"/>
  <c r="BG434" i="2"/>
  <c r="BF434" i="2"/>
  <c r="BE434" i="2"/>
  <c r="BD434" i="2"/>
  <c r="BC434" i="2"/>
  <c r="BB434" i="2"/>
  <c r="BZ434" i="2" s="1"/>
  <c r="CC434" i="2" s="1"/>
  <c r="BA434" i="2"/>
  <c r="AZ434" i="2"/>
  <c r="AY434" i="2"/>
  <c r="AX434" i="2"/>
  <c r="AW434" i="2"/>
  <c r="CA433" i="2"/>
  <c r="BY433" i="2"/>
  <c r="BX433" i="2"/>
  <c r="BW433" i="2"/>
  <c r="BV433" i="2"/>
  <c r="BU433" i="2"/>
  <c r="BT433" i="2"/>
  <c r="BS433" i="2"/>
  <c r="BR433" i="2"/>
  <c r="BQ433" i="2"/>
  <c r="BP433" i="2"/>
  <c r="BO433" i="2"/>
  <c r="BN433" i="2"/>
  <c r="BM433" i="2"/>
  <c r="BL433" i="2"/>
  <c r="BK433" i="2"/>
  <c r="BJ433" i="2"/>
  <c r="BI433" i="2"/>
  <c r="BH433" i="2"/>
  <c r="BG433" i="2"/>
  <c r="BF433" i="2"/>
  <c r="BE433" i="2"/>
  <c r="BD433" i="2"/>
  <c r="BC433" i="2"/>
  <c r="BB433" i="2"/>
  <c r="BZ433" i="2" s="1"/>
  <c r="CC433" i="2" s="1"/>
  <c r="BA433" i="2"/>
  <c r="AZ433" i="2"/>
  <c r="AY433" i="2"/>
  <c r="AX433" i="2"/>
  <c r="AW433" i="2"/>
  <c r="CA432" i="2"/>
  <c r="BY432" i="2"/>
  <c r="BX432" i="2"/>
  <c r="BW432" i="2"/>
  <c r="BV432" i="2"/>
  <c r="BU432" i="2"/>
  <c r="BT432" i="2"/>
  <c r="BS432" i="2"/>
  <c r="BR432" i="2"/>
  <c r="BQ432" i="2"/>
  <c r="BP432" i="2"/>
  <c r="BO432" i="2"/>
  <c r="BN432" i="2"/>
  <c r="BM432" i="2"/>
  <c r="BL432" i="2"/>
  <c r="BK432" i="2"/>
  <c r="BJ432" i="2"/>
  <c r="BI432" i="2"/>
  <c r="BH432" i="2"/>
  <c r="BG432" i="2"/>
  <c r="BF432" i="2"/>
  <c r="BE432" i="2"/>
  <c r="BD432" i="2"/>
  <c r="BC432" i="2"/>
  <c r="BB432" i="2"/>
  <c r="BZ432" i="2" s="1"/>
  <c r="CC432" i="2" s="1"/>
  <c r="BA432" i="2"/>
  <c r="AZ432" i="2"/>
  <c r="AY432" i="2"/>
  <c r="AX432" i="2"/>
  <c r="AW432" i="2"/>
  <c r="CA431" i="2"/>
  <c r="BY431" i="2"/>
  <c r="BX431" i="2"/>
  <c r="BW431" i="2"/>
  <c r="BV431" i="2"/>
  <c r="BU431" i="2"/>
  <c r="BT431" i="2"/>
  <c r="BS431" i="2"/>
  <c r="BR431" i="2"/>
  <c r="BQ431" i="2"/>
  <c r="BP431" i="2"/>
  <c r="BO431" i="2"/>
  <c r="BN431" i="2"/>
  <c r="BM431" i="2"/>
  <c r="BL431" i="2"/>
  <c r="BK431" i="2"/>
  <c r="BJ431" i="2"/>
  <c r="BI431" i="2"/>
  <c r="BH431" i="2"/>
  <c r="BG431" i="2"/>
  <c r="BF431" i="2"/>
  <c r="BE431" i="2"/>
  <c r="BD431" i="2"/>
  <c r="BC431" i="2"/>
  <c r="BB431" i="2"/>
  <c r="BZ431" i="2" s="1"/>
  <c r="BA431" i="2"/>
  <c r="AZ431" i="2"/>
  <c r="AY431" i="2"/>
  <c r="AX431" i="2"/>
  <c r="AW431" i="2"/>
  <c r="CA430" i="2"/>
  <c r="BY430" i="2"/>
  <c r="BX430" i="2"/>
  <c r="BW430" i="2"/>
  <c r="BV430" i="2"/>
  <c r="BU430" i="2"/>
  <c r="BT430" i="2"/>
  <c r="BS430" i="2"/>
  <c r="BR430" i="2"/>
  <c r="BQ430" i="2"/>
  <c r="BP430" i="2"/>
  <c r="BO430" i="2"/>
  <c r="BN430" i="2"/>
  <c r="BM430" i="2"/>
  <c r="BL430" i="2"/>
  <c r="BK430" i="2"/>
  <c r="BJ430" i="2"/>
  <c r="BI430" i="2"/>
  <c r="BH430" i="2"/>
  <c r="BG430" i="2"/>
  <c r="BF430" i="2"/>
  <c r="BE430" i="2"/>
  <c r="BD430" i="2"/>
  <c r="BC430" i="2"/>
  <c r="BB430" i="2"/>
  <c r="BZ430" i="2" s="1"/>
  <c r="BA430" i="2"/>
  <c r="AZ430" i="2"/>
  <c r="AY430" i="2"/>
  <c r="AX430" i="2"/>
  <c r="AW430" i="2"/>
  <c r="CA429" i="2"/>
  <c r="BY429" i="2"/>
  <c r="BX429" i="2"/>
  <c r="BW429" i="2"/>
  <c r="BV429" i="2"/>
  <c r="BU429" i="2"/>
  <c r="BT429" i="2"/>
  <c r="BS429" i="2"/>
  <c r="BR429" i="2"/>
  <c r="BQ429" i="2"/>
  <c r="BP429" i="2"/>
  <c r="BO429" i="2"/>
  <c r="BN429" i="2"/>
  <c r="BM429" i="2"/>
  <c r="BL429" i="2"/>
  <c r="BK429" i="2"/>
  <c r="BJ429" i="2"/>
  <c r="BI429" i="2"/>
  <c r="BH429" i="2"/>
  <c r="BG429" i="2"/>
  <c r="BF429" i="2"/>
  <c r="BE429" i="2"/>
  <c r="BD429" i="2"/>
  <c r="BC429" i="2"/>
  <c r="BB429" i="2"/>
  <c r="BZ429" i="2" s="1"/>
  <c r="CC429" i="2" s="1"/>
  <c r="BA429" i="2"/>
  <c r="AZ429" i="2"/>
  <c r="AY429" i="2"/>
  <c r="AX429" i="2"/>
  <c r="AW429" i="2"/>
  <c r="CA428" i="2"/>
  <c r="BY428" i="2"/>
  <c r="BX428" i="2"/>
  <c r="BW428" i="2"/>
  <c r="BV428" i="2"/>
  <c r="BU428" i="2"/>
  <c r="BT428" i="2"/>
  <c r="BS428" i="2"/>
  <c r="BR428" i="2"/>
  <c r="BQ428" i="2"/>
  <c r="BP428" i="2"/>
  <c r="BO428" i="2"/>
  <c r="BN428" i="2"/>
  <c r="BM428" i="2"/>
  <c r="BL428" i="2"/>
  <c r="BK428" i="2"/>
  <c r="BJ428" i="2"/>
  <c r="BI428" i="2"/>
  <c r="BH428" i="2"/>
  <c r="BG428" i="2"/>
  <c r="BF428" i="2"/>
  <c r="BE428" i="2"/>
  <c r="BD428" i="2"/>
  <c r="BC428" i="2"/>
  <c r="BB428" i="2"/>
  <c r="BZ428" i="2" s="1"/>
  <c r="CC428" i="2" s="1"/>
  <c r="BA428" i="2"/>
  <c r="AZ428" i="2"/>
  <c r="AY428" i="2"/>
  <c r="AX428" i="2"/>
  <c r="AW428" i="2"/>
  <c r="CA427" i="2"/>
  <c r="BY427" i="2"/>
  <c r="BX427" i="2"/>
  <c r="BW427" i="2"/>
  <c r="BV427" i="2"/>
  <c r="BU427" i="2"/>
  <c r="BT427" i="2"/>
  <c r="BS427" i="2"/>
  <c r="BR427" i="2"/>
  <c r="BQ427" i="2"/>
  <c r="BP427" i="2"/>
  <c r="BO427" i="2"/>
  <c r="BN427" i="2"/>
  <c r="BM427" i="2"/>
  <c r="BL427" i="2"/>
  <c r="BK427" i="2"/>
  <c r="BJ427" i="2"/>
  <c r="BI427" i="2"/>
  <c r="BH427" i="2"/>
  <c r="BG427" i="2"/>
  <c r="BF427" i="2"/>
  <c r="BE427" i="2"/>
  <c r="BD427" i="2"/>
  <c r="BC427" i="2"/>
  <c r="BB427" i="2"/>
  <c r="BZ427" i="2" s="1"/>
  <c r="CC427" i="2" s="1"/>
  <c r="BA427" i="2"/>
  <c r="AZ427" i="2"/>
  <c r="AY427" i="2"/>
  <c r="AX427" i="2"/>
  <c r="AW427" i="2"/>
  <c r="CA426" i="2"/>
  <c r="BY426" i="2"/>
  <c r="BX426" i="2"/>
  <c r="BW426" i="2"/>
  <c r="BV426" i="2"/>
  <c r="BU426" i="2"/>
  <c r="BT426" i="2"/>
  <c r="BS426" i="2"/>
  <c r="BR426" i="2"/>
  <c r="BQ426" i="2"/>
  <c r="BP426" i="2"/>
  <c r="BO426" i="2"/>
  <c r="BN426" i="2"/>
  <c r="BM426" i="2"/>
  <c r="BL426" i="2"/>
  <c r="BK426" i="2"/>
  <c r="BJ426" i="2"/>
  <c r="BI426" i="2"/>
  <c r="BH426" i="2"/>
  <c r="BG426" i="2"/>
  <c r="BF426" i="2"/>
  <c r="BE426" i="2"/>
  <c r="BD426" i="2"/>
  <c r="BC426" i="2"/>
  <c r="BB426" i="2"/>
  <c r="BZ426" i="2" s="1"/>
  <c r="BA426" i="2"/>
  <c r="AZ426" i="2"/>
  <c r="AY426" i="2"/>
  <c r="AX426" i="2"/>
  <c r="AW426" i="2"/>
  <c r="CA425" i="2"/>
  <c r="BY425" i="2"/>
  <c r="BX425" i="2"/>
  <c r="BW425" i="2"/>
  <c r="BV425" i="2"/>
  <c r="BU425" i="2"/>
  <c r="BT425" i="2"/>
  <c r="BS425" i="2"/>
  <c r="BR425" i="2"/>
  <c r="BQ425" i="2"/>
  <c r="BP425" i="2"/>
  <c r="BO425" i="2"/>
  <c r="BN425" i="2"/>
  <c r="BM425" i="2"/>
  <c r="BL425" i="2"/>
  <c r="BK425" i="2"/>
  <c r="BJ425" i="2"/>
  <c r="BI425" i="2"/>
  <c r="BH425" i="2"/>
  <c r="BG425" i="2"/>
  <c r="BF425" i="2"/>
  <c r="BE425" i="2"/>
  <c r="BD425" i="2"/>
  <c r="BC425" i="2"/>
  <c r="BB425" i="2"/>
  <c r="BZ425" i="2" s="1"/>
  <c r="CC425" i="2" s="1"/>
  <c r="BA425" i="2"/>
  <c r="AZ425" i="2"/>
  <c r="AY425" i="2"/>
  <c r="AX425" i="2"/>
  <c r="AW425" i="2"/>
  <c r="CA424" i="2"/>
  <c r="BY424" i="2"/>
  <c r="BX424" i="2"/>
  <c r="BW424" i="2"/>
  <c r="BV424" i="2"/>
  <c r="BU424" i="2"/>
  <c r="BT424" i="2"/>
  <c r="BS424" i="2"/>
  <c r="BR424" i="2"/>
  <c r="BQ424" i="2"/>
  <c r="BP424" i="2"/>
  <c r="BO424" i="2"/>
  <c r="BN424" i="2"/>
  <c r="BM424" i="2"/>
  <c r="BL424" i="2"/>
  <c r="BK424" i="2"/>
  <c r="BJ424" i="2"/>
  <c r="BI424" i="2"/>
  <c r="BH424" i="2"/>
  <c r="BG424" i="2"/>
  <c r="BF424" i="2"/>
  <c r="BE424" i="2"/>
  <c r="BD424" i="2"/>
  <c r="BC424" i="2"/>
  <c r="BB424" i="2"/>
  <c r="BZ424" i="2" s="1"/>
  <c r="CC424" i="2" s="1"/>
  <c r="BA424" i="2"/>
  <c r="AZ424" i="2"/>
  <c r="AY424" i="2"/>
  <c r="AX424" i="2"/>
  <c r="AW424" i="2"/>
  <c r="CA423" i="2"/>
  <c r="BY423" i="2"/>
  <c r="BX423" i="2"/>
  <c r="BW423" i="2"/>
  <c r="BV423" i="2"/>
  <c r="BU423" i="2"/>
  <c r="BT423" i="2"/>
  <c r="BS423" i="2"/>
  <c r="BR423" i="2"/>
  <c r="BQ423" i="2"/>
  <c r="BP423" i="2"/>
  <c r="BO423" i="2"/>
  <c r="BN423" i="2"/>
  <c r="BM423" i="2"/>
  <c r="BL423" i="2"/>
  <c r="BK423" i="2"/>
  <c r="BJ423" i="2"/>
  <c r="BI423" i="2"/>
  <c r="BH423" i="2"/>
  <c r="BG423" i="2"/>
  <c r="BF423" i="2"/>
  <c r="BE423" i="2"/>
  <c r="BD423" i="2"/>
  <c r="BC423" i="2"/>
  <c r="BB423" i="2"/>
  <c r="BZ423" i="2" s="1"/>
  <c r="CC423" i="2" s="1"/>
  <c r="BA423" i="2"/>
  <c r="AZ423" i="2"/>
  <c r="AY423" i="2"/>
  <c r="AX423" i="2"/>
  <c r="AW423" i="2"/>
  <c r="CA422" i="2"/>
  <c r="BY422" i="2"/>
  <c r="BX422" i="2"/>
  <c r="BW422" i="2"/>
  <c r="BV422" i="2"/>
  <c r="BU422" i="2"/>
  <c r="BT422" i="2"/>
  <c r="BS422" i="2"/>
  <c r="BR422" i="2"/>
  <c r="BQ422" i="2"/>
  <c r="BP422" i="2"/>
  <c r="BO422" i="2"/>
  <c r="BN422" i="2"/>
  <c r="BM422" i="2"/>
  <c r="BL422" i="2"/>
  <c r="BK422" i="2"/>
  <c r="BJ422" i="2"/>
  <c r="BI422" i="2"/>
  <c r="BH422" i="2"/>
  <c r="BG422" i="2"/>
  <c r="BF422" i="2"/>
  <c r="BE422" i="2"/>
  <c r="BD422" i="2"/>
  <c r="BC422" i="2"/>
  <c r="BB422" i="2"/>
  <c r="BZ422" i="2" s="1"/>
  <c r="BA422" i="2"/>
  <c r="AZ422" i="2"/>
  <c r="AY422" i="2"/>
  <c r="AX422" i="2"/>
  <c r="AW422" i="2"/>
  <c r="CA421" i="2"/>
  <c r="BY421" i="2"/>
  <c r="BX421" i="2"/>
  <c r="BW421" i="2"/>
  <c r="BV421" i="2"/>
  <c r="BU421" i="2"/>
  <c r="BT421" i="2"/>
  <c r="BS421" i="2"/>
  <c r="BR421" i="2"/>
  <c r="BQ421" i="2"/>
  <c r="BP421" i="2"/>
  <c r="BO421" i="2"/>
  <c r="BN421" i="2"/>
  <c r="BM421" i="2"/>
  <c r="BL421" i="2"/>
  <c r="BK421" i="2"/>
  <c r="BJ421" i="2"/>
  <c r="BI421" i="2"/>
  <c r="BH421" i="2"/>
  <c r="BG421" i="2"/>
  <c r="BF421" i="2"/>
  <c r="BE421" i="2"/>
  <c r="BD421" i="2"/>
  <c r="BC421" i="2"/>
  <c r="BB421" i="2"/>
  <c r="BZ421" i="2" s="1"/>
  <c r="CC421" i="2" s="1"/>
  <c r="BA421" i="2"/>
  <c r="AZ421" i="2"/>
  <c r="AY421" i="2"/>
  <c r="AX421" i="2"/>
  <c r="AW421" i="2"/>
  <c r="CA420" i="2"/>
  <c r="BY420" i="2"/>
  <c r="BX420" i="2"/>
  <c r="BW420" i="2"/>
  <c r="BV420" i="2"/>
  <c r="BU420" i="2"/>
  <c r="BT420" i="2"/>
  <c r="BS420" i="2"/>
  <c r="BR420" i="2"/>
  <c r="BQ420" i="2"/>
  <c r="BP420" i="2"/>
  <c r="BO420" i="2"/>
  <c r="BN420" i="2"/>
  <c r="BM420" i="2"/>
  <c r="BL420" i="2"/>
  <c r="BK420" i="2"/>
  <c r="BJ420" i="2"/>
  <c r="BI420" i="2"/>
  <c r="BH420" i="2"/>
  <c r="BG420" i="2"/>
  <c r="BF420" i="2"/>
  <c r="BE420" i="2"/>
  <c r="BD420" i="2"/>
  <c r="BC420" i="2"/>
  <c r="BB420" i="2"/>
  <c r="BZ420" i="2" s="1"/>
  <c r="BA420" i="2"/>
  <c r="AZ420" i="2"/>
  <c r="AY420" i="2"/>
  <c r="AX420" i="2"/>
  <c r="AW420" i="2"/>
  <c r="CA419" i="2"/>
  <c r="BY419" i="2"/>
  <c r="BX419" i="2"/>
  <c r="BW419" i="2"/>
  <c r="BV419" i="2"/>
  <c r="BU419" i="2"/>
  <c r="BT419" i="2"/>
  <c r="BS419" i="2"/>
  <c r="BR419" i="2"/>
  <c r="BQ419" i="2"/>
  <c r="BP419" i="2"/>
  <c r="BO419" i="2"/>
  <c r="BN419" i="2"/>
  <c r="BM419" i="2"/>
  <c r="BL419" i="2"/>
  <c r="BK419" i="2"/>
  <c r="BJ419" i="2"/>
  <c r="BI419" i="2"/>
  <c r="BH419" i="2"/>
  <c r="BG419" i="2"/>
  <c r="BF419" i="2"/>
  <c r="BE419" i="2"/>
  <c r="BD419" i="2"/>
  <c r="BC419" i="2"/>
  <c r="BB419" i="2"/>
  <c r="BZ419" i="2" s="1"/>
  <c r="CC419" i="2" s="1"/>
  <c r="BA419" i="2"/>
  <c r="AZ419" i="2"/>
  <c r="AY419" i="2"/>
  <c r="AX419" i="2"/>
  <c r="AW419" i="2"/>
  <c r="CA418" i="2"/>
  <c r="BY418" i="2"/>
  <c r="BX418" i="2"/>
  <c r="BW418" i="2"/>
  <c r="BV418" i="2"/>
  <c r="BU418" i="2"/>
  <c r="BT418" i="2"/>
  <c r="BS418" i="2"/>
  <c r="BR418" i="2"/>
  <c r="BQ418" i="2"/>
  <c r="BP418" i="2"/>
  <c r="BO418" i="2"/>
  <c r="BN418" i="2"/>
  <c r="BM418" i="2"/>
  <c r="BL418" i="2"/>
  <c r="BK418" i="2"/>
  <c r="BJ418" i="2"/>
  <c r="BI418" i="2"/>
  <c r="BH418" i="2"/>
  <c r="BG418" i="2"/>
  <c r="BF418" i="2"/>
  <c r="BE418" i="2"/>
  <c r="BD418" i="2"/>
  <c r="BC418" i="2"/>
  <c r="BB418" i="2"/>
  <c r="BZ418" i="2" s="1"/>
  <c r="CC418" i="2" s="1"/>
  <c r="BA418" i="2"/>
  <c r="AZ418" i="2"/>
  <c r="AY418" i="2"/>
  <c r="AX418" i="2"/>
  <c r="AW418" i="2"/>
  <c r="CA417" i="2"/>
  <c r="BY417" i="2"/>
  <c r="BX417" i="2"/>
  <c r="BW417" i="2"/>
  <c r="BV417" i="2"/>
  <c r="BU417" i="2"/>
  <c r="BT417" i="2"/>
  <c r="BS417" i="2"/>
  <c r="BR417" i="2"/>
  <c r="BQ417" i="2"/>
  <c r="BP417" i="2"/>
  <c r="BO417" i="2"/>
  <c r="BN417" i="2"/>
  <c r="BM417" i="2"/>
  <c r="BL417" i="2"/>
  <c r="BK417" i="2"/>
  <c r="BJ417" i="2"/>
  <c r="BI417" i="2"/>
  <c r="BH417" i="2"/>
  <c r="BG417" i="2"/>
  <c r="BF417" i="2"/>
  <c r="BE417" i="2"/>
  <c r="BD417" i="2"/>
  <c r="BC417" i="2"/>
  <c r="BB417" i="2"/>
  <c r="BZ417" i="2" s="1"/>
  <c r="BA417" i="2"/>
  <c r="AZ417" i="2"/>
  <c r="AY417" i="2"/>
  <c r="AX417" i="2"/>
  <c r="AW417" i="2"/>
  <c r="CA416" i="2"/>
  <c r="BY416" i="2"/>
  <c r="BX416" i="2"/>
  <c r="BW416" i="2"/>
  <c r="BV416" i="2"/>
  <c r="BU416" i="2"/>
  <c r="BT416" i="2"/>
  <c r="BS416" i="2"/>
  <c r="BR416" i="2"/>
  <c r="BQ416" i="2"/>
  <c r="BP416" i="2"/>
  <c r="BO416" i="2"/>
  <c r="BN416" i="2"/>
  <c r="BM416" i="2"/>
  <c r="BL416" i="2"/>
  <c r="BK416" i="2"/>
  <c r="BJ416" i="2"/>
  <c r="BI416" i="2"/>
  <c r="BH416" i="2"/>
  <c r="BG416" i="2"/>
  <c r="BF416" i="2"/>
  <c r="BE416" i="2"/>
  <c r="BD416" i="2"/>
  <c r="BC416" i="2"/>
  <c r="BB416" i="2"/>
  <c r="BZ416" i="2" s="1"/>
  <c r="CC416" i="2" s="1"/>
  <c r="BA416" i="2"/>
  <c r="AZ416" i="2"/>
  <c r="AY416" i="2"/>
  <c r="AX416" i="2"/>
  <c r="AW416" i="2"/>
  <c r="CA415" i="2"/>
  <c r="BY415" i="2"/>
  <c r="BX415" i="2"/>
  <c r="BW415" i="2"/>
  <c r="BV415" i="2"/>
  <c r="BU415" i="2"/>
  <c r="BT415" i="2"/>
  <c r="BS415" i="2"/>
  <c r="BR415" i="2"/>
  <c r="BQ415" i="2"/>
  <c r="BP415" i="2"/>
  <c r="BO415" i="2"/>
  <c r="BN415" i="2"/>
  <c r="BM415" i="2"/>
  <c r="BL415" i="2"/>
  <c r="BK415" i="2"/>
  <c r="BJ415" i="2"/>
  <c r="BI415" i="2"/>
  <c r="BH415" i="2"/>
  <c r="BG415" i="2"/>
  <c r="BF415" i="2"/>
  <c r="BE415" i="2"/>
  <c r="BD415" i="2"/>
  <c r="BC415" i="2"/>
  <c r="BB415" i="2"/>
  <c r="BZ415" i="2" s="1"/>
  <c r="CC415" i="2" s="1"/>
  <c r="BA415" i="2"/>
  <c r="AZ415" i="2"/>
  <c r="AY415" i="2"/>
  <c r="AX415" i="2"/>
  <c r="AW415" i="2"/>
  <c r="CA414" i="2"/>
  <c r="BY414" i="2"/>
  <c r="BX414" i="2"/>
  <c r="BW414" i="2"/>
  <c r="BV414" i="2"/>
  <c r="BU414" i="2"/>
  <c r="BT414" i="2"/>
  <c r="BS414" i="2"/>
  <c r="BR414" i="2"/>
  <c r="BQ414" i="2"/>
  <c r="BP414" i="2"/>
  <c r="BO414" i="2"/>
  <c r="BN414" i="2"/>
  <c r="BM414" i="2"/>
  <c r="BL414" i="2"/>
  <c r="BK414" i="2"/>
  <c r="BJ414" i="2"/>
  <c r="BI414" i="2"/>
  <c r="BH414" i="2"/>
  <c r="BG414" i="2"/>
  <c r="BF414" i="2"/>
  <c r="BE414" i="2"/>
  <c r="BD414" i="2"/>
  <c r="BC414" i="2"/>
  <c r="BB414" i="2"/>
  <c r="BZ414" i="2" s="1"/>
  <c r="CC414" i="2" s="1"/>
  <c r="BA414" i="2"/>
  <c r="AZ414" i="2"/>
  <c r="AY414" i="2"/>
  <c r="AX414" i="2"/>
  <c r="AW414" i="2"/>
  <c r="CA413" i="2"/>
  <c r="BY413" i="2"/>
  <c r="BX413" i="2"/>
  <c r="BW413" i="2"/>
  <c r="BV413" i="2"/>
  <c r="BU413" i="2"/>
  <c r="BT413" i="2"/>
  <c r="BS413" i="2"/>
  <c r="BR413" i="2"/>
  <c r="BQ413" i="2"/>
  <c r="BP413" i="2"/>
  <c r="BO413" i="2"/>
  <c r="BN413" i="2"/>
  <c r="BM413" i="2"/>
  <c r="BL413" i="2"/>
  <c r="BK413" i="2"/>
  <c r="BJ413" i="2"/>
  <c r="BI413" i="2"/>
  <c r="BH413" i="2"/>
  <c r="BG413" i="2"/>
  <c r="BF413" i="2"/>
  <c r="BE413" i="2"/>
  <c r="BD413" i="2"/>
  <c r="BC413" i="2"/>
  <c r="BB413" i="2"/>
  <c r="BZ413" i="2" s="1"/>
  <c r="CC413" i="2" s="1"/>
  <c r="BA413" i="2"/>
  <c r="AZ413" i="2"/>
  <c r="AY413" i="2"/>
  <c r="AX413" i="2"/>
  <c r="AW413" i="2"/>
  <c r="CA412" i="2"/>
  <c r="BY412" i="2"/>
  <c r="BX412" i="2"/>
  <c r="BW412" i="2"/>
  <c r="BV412" i="2"/>
  <c r="BU412" i="2"/>
  <c r="BT412" i="2"/>
  <c r="BS412" i="2"/>
  <c r="BR412" i="2"/>
  <c r="BQ412" i="2"/>
  <c r="BP412" i="2"/>
  <c r="BO412" i="2"/>
  <c r="BN412" i="2"/>
  <c r="BM412" i="2"/>
  <c r="BL412" i="2"/>
  <c r="BK412" i="2"/>
  <c r="BJ412" i="2"/>
  <c r="BI412" i="2"/>
  <c r="BH412" i="2"/>
  <c r="BG412" i="2"/>
  <c r="BF412" i="2"/>
  <c r="BE412" i="2"/>
  <c r="BD412" i="2"/>
  <c r="BC412" i="2"/>
  <c r="BB412" i="2"/>
  <c r="BZ412" i="2" s="1"/>
  <c r="CC412" i="2" s="1"/>
  <c r="BA412" i="2"/>
  <c r="AZ412" i="2"/>
  <c r="AY412" i="2"/>
  <c r="AX412" i="2"/>
  <c r="AW412" i="2"/>
  <c r="CA411" i="2"/>
  <c r="BY411" i="2"/>
  <c r="BX411" i="2"/>
  <c r="BW411" i="2"/>
  <c r="BV411" i="2"/>
  <c r="BU411" i="2"/>
  <c r="BT411" i="2"/>
  <c r="BS411" i="2"/>
  <c r="BR411" i="2"/>
  <c r="BQ411" i="2"/>
  <c r="BP411" i="2"/>
  <c r="BO411" i="2"/>
  <c r="BN411" i="2"/>
  <c r="BM411" i="2"/>
  <c r="BL411" i="2"/>
  <c r="BK411" i="2"/>
  <c r="BJ411" i="2"/>
  <c r="BI411" i="2"/>
  <c r="BH411" i="2"/>
  <c r="BG411" i="2"/>
  <c r="BF411" i="2"/>
  <c r="BE411" i="2"/>
  <c r="BD411" i="2"/>
  <c r="BC411" i="2"/>
  <c r="BB411" i="2"/>
  <c r="BZ411" i="2" s="1"/>
  <c r="CC411" i="2" s="1"/>
  <c r="BA411" i="2"/>
  <c r="AZ411" i="2"/>
  <c r="AY411" i="2"/>
  <c r="AX411" i="2"/>
  <c r="AW411" i="2"/>
  <c r="CA410" i="2"/>
  <c r="BY410" i="2"/>
  <c r="BX410" i="2"/>
  <c r="BW410" i="2"/>
  <c r="BV410" i="2"/>
  <c r="BU410" i="2"/>
  <c r="BT410" i="2"/>
  <c r="BS410" i="2"/>
  <c r="BR410" i="2"/>
  <c r="BQ410" i="2"/>
  <c r="BP410" i="2"/>
  <c r="BO410" i="2"/>
  <c r="BN410" i="2"/>
  <c r="BM410" i="2"/>
  <c r="BL410" i="2"/>
  <c r="BK410" i="2"/>
  <c r="BJ410" i="2"/>
  <c r="BI410" i="2"/>
  <c r="BH410" i="2"/>
  <c r="BG410" i="2"/>
  <c r="BF410" i="2"/>
  <c r="BE410" i="2"/>
  <c r="BD410" i="2"/>
  <c r="BC410" i="2"/>
  <c r="BB410" i="2"/>
  <c r="BZ410" i="2" s="1"/>
  <c r="CC410" i="2" s="1"/>
  <c r="BA410" i="2"/>
  <c r="AZ410" i="2"/>
  <c r="AY410" i="2"/>
  <c r="AX410" i="2"/>
  <c r="AW410" i="2"/>
  <c r="CA409" i="2"/>
  <c r="BY409" i="2"/>
  <c r="BX409" i="2"/>
  <c r="BW409" i="2"/>
  <c r="BV409" i="2"/>
  <c r="BU409" i="2"/>
  <c r="BT409" i="2"/>
  <c r="BS409" i="2"/>
  <c r="BR409" i="2"/>
  <c r="BQ409" i="2"/>
  <c r="BP409" i="2"/>
  <c r="BO409" i="2"/>
  <c r="BN409" i="2"/>
  <c r="BM409" i="2"/>
  <c r="BL409" i="2"/>
  <c r="BK409" i="2"/>
  <c r="BJ409" i="2"/>
  <c r="BI409" i="2"/>
  <c r="BH409" i="2"/>
  <c r="BG409" i="2"/>
  <c r="BF409" i="2"/>
  <c r="BE409" i="2"/>
  <c r="BD409" i="2"/>
  <c r="BC409" i="2"/>
  <c r="BB409" i="2"/>
  <c r="BZ409" i="2" s="1"/>
  <c r="BA409" i="2"/>
  <c r="AZ409" i="2"/>
  <c r="AY409" i="2"/>
  <c r="AX409" i="2"/>
  <c r="AW409" i="2"/>
  <c r="CA408" i="2"/>
  <c r="BY408" i="2"/>
  <c r="BX408" i="2"/>
  <c r="BW408" i="2"/>
  <c r="BV408" i="2"/>
  <c r="BU408" i="2"/>
  <c r="BT408" i="2"/>
  <c r="BS408" i="2"/>
  <c r="BR408" i="2"/>
  <c r="BQ408" i="2"/>
  <c r="BP408" i="2"/>
  <c r="BO408" i="2"/>
  <c r="BN408" i="2"/>
  <c r="BM408" i="2"/>
  <c r="BL408" i="2"/>
  <c r="BK408" i="2"/>
  <c r="BJ408" i="2"/>
  <c r="BI408" i="2"/>
  <c r="BH408" i="2"/>
  <c r="BG408" i="2"/>
  <c r="BF408" i="2"/>
  <c r="BE408" i="2"/>
  <c r="BD408" i="2"/>
  <c r="BC408" i="2"/>
  <c r="BB408" i="2"/>
  <c r="BZ408" i="2" s="1"/>
  <c r="CC408" i="2" s="1"/>
  <c r="BA408" i="2"/>
  <c r="AZ408" i="2"/>
  <c r="AY408" i="2"/>
  <c r="AX408" i="2"/>
  <c r="AW408" i="2"/>
  <c r="CA407" i="2"/>
  <c r="BY407" i="2"/>
  <c r="BX407" i="2"/>
  <c r="BW407" i="2"/>
  <c r="BV407" i="2"/>
  <c r="BU407" i="2"/>
  <c r="BT407" i="2"/>
  <c r="BS407" i="2"/>
  <c r="BR407" i="2"/>
  <c r="BQ407" i="2"/>
  <c r="BP407" i="2"/>
  <c r="BO407" i="2"/>
  <c r="BN407" i="2"/>
  <c r="BM407" i="2"/>
  <c r="BL407" i="2"/>
  <c r="BK407" i="2"/>
  <c r="BJ407" i="2"/>
  <c r="BI407" i="2"/>
  <c r="BH407" i="2"/>
  <c r="BG407" i="2"/>
  <c r="BF407" i="2"/>
  <c r="BE407" i="2"/>
  <c r="BD407" i="2"/>
  <c r="BC407" i="2"/>
  <c r="BB407" i="2"/>
  <c r="BZ407" i="2" s="1"/>
  <c r="BA407" i="2"/>
  <c r="AZ407" i="2"/>
  <c r="AY407" i="2"/>
  <c r="AX407" i="2"/>
  <c r="AW407" i="2"/>
  <c r="CA406" i="2"/>
  <c r="BY406" i="2"/>
  <c r="BX406" i="2"/>
  <c r="BW406" i="2"/>
  <c r="BV406" i="2"/>
  <c r="BU406" i="2"/>
  <c r="BT406" i="2"/>
  <c r="BS406" i="2"/>
  <c r="BR406" i="2"/>
  <c r="BQ406" i="2"/>
  <c r="BP406" i="2"/>
  <c r="BO406" i="2"/>
  <c r="BN406" i="2"/>
  <c r="BM406" i="2"/>
  <c r="BL406" i="2"/>
  <c r="BK406" i="2"/>
  <c r="BJ406" i="2"/>
  <c r="BI406" i="2"/>
  <c r="BH406" i="2"/>
  <c r="BG406" i="2"/>
  <c r="BF406" i="2"/>
  <c r="BE406" i="2"/>
  <c r="BD406" i="2"/>
  <c r="BC406" i="2"/>
  <c r="BB406" i="2"/>
  <c r="BZ406" i="2" s="1"/>
  <c r="BA406" i="2"/>
  <c r="AZ406" i="2"/>
  <c r="AY406" i="2"/>
  <c r="AX406" i="2"/>
  <c r="AW406" i="2"/>
  <c r="CA405" i="2"/>
  <c r="BY405" i="2"/>
  <c r="BX405" i="2"/>
  <c r="BW405" i="2"/>
  <c r="BV405" i="2"/>
  <c r="BU405" i="2"/>
  <c r="BT405" i="2"/>
  <c r="BS405" i="2"/>
  <c r="BR405" i="2"/>
  <c r="BQ405" i="2"/>
  <c r="BP405" i="2"/>
  <c r="BO405" i="2"/>
  <c r="BN405" i="2"/>
  <c r="BM405" i="2"/>
  <c r="BL405" i="2"/>
  <c r="BK405" i="2"/>
  <c r="BJ405" i="2"/>
  <c r="BI405" i="2"/>
  <c r="BH405" i="2"/>
  <c r="BG405" i="2"/>
  <c r="BF405" i="2"/>
  <c r="BE405" i="2"/>
  <c r="BD405" i="2"/>
  <c r="BC405" i="2"/>
  <c r="BB405" i="2"/>
  <c r="BZ405" i="2" s="1"/>
  <c r="CC405" i="2" s="1"/>
  <c r="BA405" i="2"/>
  <c r="AZ405" i="2"/>
  <c r="AY405" i="2"/>
  <c r="AX405" i="2"/>
  <c r="AW405" i="2"/>
  <c r="CA404" i="2"/>
  <c r="BY404" i="2"/>
  <c r="BX404" i="2"/>
  <c r="BW404" i="2"/>
  <c r="BV404" i="2"/>
  <c r="BU404" i="2"/>
  <c r="BT404" i="2"/>
  <c r="BS404" i="2"/>
  <c r="BR404" i="2"/>
  <c r="BQ404" i="2"/>
  <c r="BP404" i="2"/>
  <c r="BO404" i="2"/>
  <c r="BN404" i="2"/>
  <c r="BM404" i="2"/>
  <c r="BL404" i="2"/>
  <c r="BK404" i="2"/>
  <c r="BJ404" i="2"/>
  <c r="BI404" i="2"/>
  <c r="BH404" i="2"/>
  <c r="BG404" i="2"/>
  <c r="BF404" i="2"/>
  <c r="BE404" i="2"/>
  <c r="BD404" i="2"/>
  <c r="BC404" i="2"/>
  <c r="BB404" i="2"/>
  <c r="BZ404" i="2" s="1"/>
  <c r="CC404" i="2" s="1"/>
  <c r="BA404" i="2"/>
  <c r="AZ404" i="2"/>
  <c r="AY404" i="2"/>
  <c r="AX404" i="2"/>
  <c r="AW404" i="2"/>
  <c r="CA403" i="2"/>
  <c r="BY403" i="2"/>
  <c r="BX403" i="2"/>
  <c r="BW403" i="2"/>
  <c r="BV403" i="2"/>
  <c r="BU403" i="2"/>
  <c r="BT403" i="2"/>
  <c r="BS403" i="2"/>
  <c r="BR403" i="2"/>
  <c r="BQ403" i="2"/>
  <c r="BP403" i="2"/>
  <c r="BO403" i="2"/>
  <c r="BN403" i="2"/>
  <c r="BM403" i="2"/>
  <c r="BL403" i="2"/>
  <c r="BK403" i="2"/>
  <c r="BJ403" i="2"/>
  <c r="BI403" i="2"/>
  <c r="BH403" i="2"/>
  <c r="BG403" i="2"/>
  <c r="BF403" i="2"/>
  <c r="BE403" i="2"/>
  <c r="BD403" i="2"/>
  <c r="BC403" i="2"/>
  <c r="BB403" i="2"/>
  <c r="BZ403" i="2" s="1"/>
  <c r="CC403" i="2" s="1"/>
  <c r="BA403" i="2"/>
  <c r="AZ403" i="2"/>
  <c r="AY403" i="2"/>
  <c r="AX403" i="2"/>
  <c r="AW403" i="2"/>
  <c r="CA402" i="2"/>
  <c r="BY402" i="2"/>
  <c r="BX402" i="2"/>
  <c r="BW402" i="2"/>
  <c r="BV402" i="2"/>
  <c r="BU402" i="2"/>
  <c r="BT402" i="2"/>
  <c r="BS402" i="2"/>
  <c r="BR402" i="2"/>
  <c r="BQ402" i="2"/>
  <c r="BP402" i="2"/>
  <c r="BO402" i="2"/>
  <c r="BN402" i="2"/>
  <c r="BM402" i="2"/>
  <c r="BL402" i="2"/>
  <c r="BK402" i="2"/>
  <c r="BJ402" i="2"/>
  <c r="BI402" i="2"/>
  <c r="BH402" i="2"/>
  <c r="BG402" i="2"/>
  <c r="BF402" i="2"/>
  <c r="BE402" i="2"/>
  <c r="BD402" i="2"/>
  <c r="BC402" i="2"/>
  <c r="BB402" i="2"/>
  <c r="BZ402" i="2" s="1"/>
  <c r="CC402" i="2" s="1"/>
  <c r="BA402" i="2"/>
  <c r="AZ402" i="2"/>
  <c r="AY402" i="2"/>
  <c r="AX402" i="2"/>
  <c r="AW402" i="2"/>
  <c r="CA401" i="2"/>
  <c r="BY401" i="2"/>
  <c r="BX401" i="2"/>
  <c r="BW401" i="2"/>
  <c r="BV401" i="2"/>
  <c r="BU401" i="2"/>
  <c r="BT401" i="2"/>
  <c r="BS401" i="2"/>
  <c r="BR401" i="2"/>
  <c r="BQ401" i="2"/>
  <c r="BP401" i="2"/>
  <c r="BO401" i="2"/>
  <c r="BN401" i="2"/>
  <c r="BM401" i="2"/>
  <c r="BL401" i="2"/>
  <c r="BK401" i="2"/>
  <c r="BJ401" i="2"/>
  <c r="BI401" i="2"/>
  <c r="BH401" i="2"/>
  <c r="BG401" i="2"/>
  <c r="BF401" i="2"/>
  <c r="BE401" i="2"/>
  <c r="BD401" i="2"/>
  <c r="BC401" i="2"/>
  <c r="BB401" i="2"/>
  <c r="BZ401" i="2" s="1"/>
  <c r="BA401" i="2"/>
  <c r="AZ401" i="2"/>
  <c r="AY401" i="2"/>
  <c r="AX401" i="2"/>
  <c r="AW401" i="2"/>
  <c r="CA400" i="2"/>
  <c r="BY400" i="2"/>
  <c r="BX400" i="2"/>
  <c r="BW400" i="2"/>
  <c r="BV400" i="2"/>
  <c r="BU400" i="2"/>
  <c r="BT400" i="2"/>
  <c r="BS400" i="2"/>
  <c r="BR400" i="2"/>
  <c r="BQ400" i="2"/>
  <c r="BP400" i="2"/>
  <c r="BO400" i="2"/>
  <c r="BN400" i="2"/>
  <c r="BM400" i="2"/>
  <c r="BL400" i="2"/>
  <c r="BK400" i="2"/>
  <c r="BJ400" i="2"/>
  <c r="BI400" i="2"/>
  <c r="BH400" i="2"/>
  <c r="BG400" i="2"/>
  <c r="BF400" i="2"/>
  <c r="BE400" i="2"/>
  <c r="BD400" i="2"/>
  <c r="BC400" i="2"/>
  <c r="BB400" i="2"/>
  <c r="BZ400" i="2" s="1"/>
  <c r="CC400" i="2" s="1"/>
  <c r="BA400" i="2"/>
  <c r="AZ400" i="2"/>
  <c r="AY400" i="2"/>
  <c r="AX400" i="2"/>
  <c r="AW400" i="2"/>
  <c r="CA399" i="2"/>
  <c r="BY399" i="2"/>
  <c r="BX399" i="2"/>
  <c r="BW399" i="2"/>
  <c r="BV399" i="2"/>
  <c r="BU399" i="2"/>
  <c r="BT399" i="2"/>
  <c r="BS399" i="2"/>
  <c r="BR399" i="2"/>
  <c r="BQ399" i="2"/>
  <c r="BP399" i="2"/>
  <c r="BO399" i="2"/>
  <c r="BN399" i="2"/>
  <c r="BM399" i="2"/>
  <c r="BL399" i="2"/>
  <c r="BK399" i="2"/>
  <c r="BJ399" i="2"/>
  <c r="BI399" i="2"/>
  <c r="BH399" i="2"/>
  <c r="BG399" i="2"/>
  <c r="BF399" i="2"/>
  <c r="BE399" i="2"/>
  <c r="BD399" i="2"/>
  <c r="BC399" i="2"/>
  <c r="BB399" i="2"/>
  <c r="BZ399" i="2" s="1"/>
  <c r="CC399" i="2" s="1"/>
  <c r="BA399" i="2"/>
  <c r="AZ399" i="2"/>
  <c r="AY399" i="2"/>
  <c r="AX399" i="2"/>
  <c r="AW399" i="2"/>
  <c r="CA398" i="2"/>
  <c r="BY398" i="2"/>
  <c r="BX398" i="2"/>
  <c r="BW398" i="2"/>
  <c r="BV398" i="2"/>
  <c r="BU398" i="2"/>
  <c r="BT398" i="2"/>
  <c r="BS398" i="2"/>
  <c r="BR398" i="2"/>
  <c r="BQ398" i="2"/>
  <c r="BP398" i="2"/>
  <c r="BO398" i="2"/>
  <c r="BN398" i="2"/>
  <c r="BM398" i="2"/>
  <c r="BL398" i="2"/>
  <c r="BK398" i="2"/>
  <c r="BJ398" i="2"/>
  <c r="BI398" i="2"/>
  <c r="BH398" i="2"/>
  <c r="BG398" i="2"/>
  <c r="BF398" i="2"/>
  <c r="BE398" i="2"/>
  <c r="BD398" i="2"/>
  <c r="BC398" i="2"/>
  <c r="BB398" i="2"/>
  <c r="BZ398" i="2" s="1"/>
  <c r="BA398" i="2"/>
  <c r="AZ398" i="2"/>
  <c r="AY398" i="2"/>
  <c r="AX398" i="2"/>
  <c r="AW398" i="2"/>
  <c r="CA397" i="2"/>
  <c r="BY397" i="2"/>
  <c r="BX397" i="2"/>
  <c r="BW397" i="2"/>
  <c r="BV397" i="2"/>
  <c r="BU397" i="2"/>
  <c r="BT397" i="2"/>
  <c r="BS397" i="2"/>
  <c r="BR397" i="2"/>
  <c r="BQ397" i="2"/>
  <c r="BP397" i="2"/>
  <c r="BO397" i="2"/>
  <c r="BN397" i="2"/>
  <c r="BM397" i="2"/>
  <c r="BL397" i="2"/>
  <c r="BK397" i="2"/>
  <c r="BJ397" i="2"/>
  <c r="BI397" i="2"/>
  <c r="BH397" i="2"/>
  <c r="BG397" i="2"/>
  <c r="BF397" i="2"/>
  <c r="BE397" i="2"/>
  <c r="BD397" i="2"/>
  <c r="BC397" i="2"/>
  <c r="BB397" i="2"/>
  <c r="BZ397" i="2" s="1"/>
  <c r="CC397" i="2" s="1"/>
  <c r="BA397" i="2"/>
  <c r="AZ397" i="2"/>
  <c r="AY397" i="2"/>
  <c r="AX397" i="2"/>
  <c r="AW397" i="2"/>
  <c r="CA396" i="2"/>
  <c r="BY396" i="2"/>
  <c r="BX396" i="2"/>
  <c r="BW396" i="2"/>
  <c r="BV396" i="2"/>
  <c r="BU396" i="2"/>
  <c r="BT396" i="2"/>
  <c r="BS396" i="2"/>
  <c r="BR396" i="2"/>
  <c r="BQ396" i="2"/>
  <c r="BP396" i="2"/>
  <c r="BO396" i="2"/>
  <c r="BN396" i="2"/>
  <c r="BM396" i="2"/>
  <c r="BL396" i="2"/>
  <c r="BK396" i="2"/>
  <c r="BJ396" i="2"/>
  <c r="BI396" i="2"/>
  <c r="BH396" i="2"/>
  <c r="BG396" i="2"/>
  <c r="BF396" i="2"/>
  <c r="BE396" i="2"/>
  <c r="BD396" i="2"/>
  <c r="BC396" i="2"/>
  <c r="BB396" i="2"/>
  <c r="BZ396" i="2" s="1"/>
  <c r="CC396" i="2" s="1"/>
  <c r="BA396" i="2"/>
  <c r="AZ396" i="2"/>
  <c r="AY396" i="2"/>
  <c r="AX396" i="2"/>
  <c r="AW396" i="2"/>
  <c r="CA395" i="2"/>
  <c r="BY395" i="2"/>
  <c r="BX395" i="2"/>
  <c r="BW395" i="2"/>
  <c r="BV395" i="2"/>
  <c r="BU395" i="2"/>
  <c r="BT395" i="2"/>
  <c r="BS395" i="2"/>
  <c r="BR395" i="2"/>
  <c r="BQ395" i="2"/>
  <c r="BP395" i="2"/>
  <c r="BO395" i="2"/>
  <c r="BN395" i="2"/>
  <c r="BM395" i="2"/>
  <c r="BL395" i="2"/>
  <c r="BK395" i="2"/>
  <c r="BJ395" i="2"/>
  <c r="BI395" i="2"/>
  <c r="BH395" i="2"/>
  <c r="BG395" i="2"/>
  <c r="BF395" i="2"/>
  <c r="BE395" i="2"/>
  <c r="BD395" i="2"/>
  <c r="BC395" i="2"/>
  <c r="BB395" i="2"/>
  <c r="BZ395" i="2" s="1"/>
  <c r="CC395" i="2" s="1"/>
  <c r="BA395" i="2"/>
  <c r="AZ395" i="2"/>
  <c r="AY395" i="2"/>
  <c r="AX395" i="2"/>
  <c r="AW395" i="2"/>
  <c r="CA394" i="2"/>
  <c r="BY394" i="2"/>
  <c r="BX394" i="2"/>
  <c r="BW394" i="2"/>
  <c r="BV394" i="2"/>
  <c r="BU394" i="2"/>
  <c r="BT394" i="2"/>
  <c r="BS394" i="2"/>
  <c r="BR394" i="2"/>
  <c r="BQ394" i="2"/>
  <c r="BP394" i="2"/>
  <c r="BO394" i="2"/>
  <c r="BN394" i="2"/>
  <c r="BM394" i="2"/>
  <c r="BL394" i="2"/>
  <c r="BK394" i="2"/>
  <c r="BJ394" i="2"/>
  <c r="BI394" i="2"/>
  <c r="BH394" i="2"/>
  <c r="BG394" i="2"/>
  <c r="BF394" i="2"/>
  <c r="BE394" i="2"/>
  <c r="BD394" i="2"/>
  <c r="BC394" i="2"/>
  <c r="BB394" i="2"/>
  <c r="BZ394" i="2" s="1"/>
  <c r="BA394" i="2"/>
  <c r="AZ394" i="2"/>
  <c r="AY394" i="2"/>
  <c r="AX394" i="2"/>
  <c r="AW394" i="2"/>
  <c r="CA393" i="2"/>
  <c r="BY393" i="2"/>
  <c r="BX393" i="2"/>
  <c r="BW393" i="2"/>
  <c r="BV393" i="2"/>
  <c r="BU393" i="2"/>
  <c r="BT393" i="2"/>
  <c r="BS393" i="2"/>
  <c r="BR393" i="2"/>
  <c r="BQ393" i="2"/>
  <c r="BP393" i="2"/>
  <c r="BO393" i="2"/>
  <c r="BN393" i="2"/>
  <c r="BM393" i="2"/>
  <c r="BL393" i="2"/>
  <c r="BK393" i="2"/>
  <c r="BJ393" i="2"/>
  <c r="BI393" i="2"/>
  <c r="BH393" i="2"/>
  <c r="BG393" i="2"/>
  <c r="BF393" i="2"/>
  <c r="BE393" i="2"/>
  <c r="BD393" i="2"/>
  <c r="BC393" i="2"/>
  <c r="BB393" i="2"/>
  <c r="BZ393" i="2" s="1"/>
  <c r="CC393" i="2" s="1"/>
  <c r="BA393" i="2"/>
  <c r="AZ393" i="2"/>
  <c r="AY393" i="2"/>
  <c r="AX393" i="2"/>
  <c r="AW393" i="2"/>
  <c r="CA392" i="2"/>
  <c r="BY392" i="2"/>
  <c r="BX392" i="2"/>
  <c r="BW392" i="2"/>
  <c r="BV392" i="2"/>
  <c r="BU392" i="2"/>
  <c r="BT392" i="2"/>
  <c r="BS392" i="2"/>
  <c r="BR392" i="2"/>
  <c r="BQ392" i="2"/>
  <c r="BP392" i="2"/>
  <c r="BO392" i="2"/>
  <c r="BN392" i="2"/>
  <c r="BM392" i="2"/>
  <c r="BL392" i="2"/>
  <c r="BK392" i="2"/>
  <c r="BJ392" i="2"/>
  <c r="BI392" i="2"/>
  <c r="BH392" i="2"/>
  <c r="BG392" i="2"/>
  <c r="BF392" i="2"/>
  <c r="BE392" i="2"/>
  <c r="BD392" i="2"/>
  <c r="BC392" i="2"/>
  <c r="BB392" i="2"/>
  <c r="BZ392" i="2" s="1"/>
  <c r="CC392" i="2" s="1"/>
  <c r="BA392" i="2"/>
  <c r="AZ392" i="2"/>
  <c r="AY392" i="2"/>
  <c r="AX392" i="2"/>
  <c r="AW392" i="2"/>
  <c r="CA391" i="2"/>
  <c r="BY391" i="2"/>
  <c r="BX391" i="2"/>
  <c r="BW391" i="2"/>
  <c r="BV391" i="2"/>
  <c r="BU391" i="2"/>
  <c r="BT391" i="2"/>
  <c r="BS391" i="2"/>
  <c r="BR391" i="2"/>
  <c r="BQ391" i="2"/>
  <c r="BP391" i="2"/>
  <c r="BO391" i="2"/>
  <c r="BN391" i="2"/>
  <c r="BM391" i="2"/>
  <c r="BL391" i="2"/>
  <c r="BK391" i="2"/>
  <c r="BJ391" i="2"/>
  <c r="BI391" i="2"/>
  <c r="BH391" i="2"/>
  <c r="BG391" i="2"/>
  <c r="BF391" i="2"/>
  <c r="BE391" i="2"/>
  <c r="BD391" i="2"/>
  <c r="BC391" i="2"/>
  <c r="BB391" i="2"/>
  <c r="BZ391" i="2" s="1"/>
  <c r="CC391" i="2" s="1"/>
  <c r="BA391" i="2"/>
  <c r="AZ391" i="2"/>
  <c r="AY391" i="2"/>
  <c r="AX391" i="2"/>
  <c r="AW391" i="2"/>
  <c r="CA390" i="2"/>
  <c r="BY390" i="2"/>
  <c r="BX390" i="2"/>
  <c r="BW390" i="2"/>
  <c r="BV390" i="2"/>
  <c r="BU390" i="2"/>
  <c r="BT390" i="2"/>
  <c r="BS390" i="2"/>
  <c r="BR390" i="2"/>
  <c r="BQ390" i="2"/>
  <c r="BP390" i="2"/>
  <c r="BO390" i="2"/>
  <c r="BN390" i="2"/>
  <c r="BM390" i="2"/>
  <c r="BL390" i="2"/>
  <c r="BK390" i="2"/>
  <c r="BJ390" i="2"/>
  <c r="BI390" i="2"/>
  <c r="BH390" i="2"/>
  <c r="BG390" i="2"/>
  <c r="BF390" i="2"/>
  <c r="BE390" i="2"/>
  <c r="BD390" i="2"/>
  <c r="BC390" i="2"/>
  <c r="BB390" i="2"/>
  <c r="BZ390" i="2" s="1"/>
  <c r="BA390" i="2"/>
  <c r="AZ390" i="2"/>
  <c r="AY390" i="2"/>
  <c r="AX390" i="2"/>
  <c r="AW390" i="2"/>
  <c r="CA389" i="2"/>
  <c r="BY389" i="2"/>
  <c r="BX389" i="2"/>
  <c r="BW389" i="2"/>
  <c r="BV389" i="2"/>
  <c r="BU389" i="2"/>
  <c r="BT389" i="2"/>
  <c r="BS389" i="2"/>
  <c r="BR389" i="2"/>
  <c r="BQ389" i="2"/>
  <c r="BP389" i="2"/>
  <c r="BO389" i="2"/>
  <c r="BN389" i="2"/>
  <c r="BM389" i="2"/>
  <c r="BL389" i="2"/>
  <c r="BK389" i="2"/>
  <c r="BJ389" i="2"/>
  <c r="BI389" i="2"/>
  <c r="BH389" i="2"/>
  <c r="BG389" i="2"/>
  <c r="BF389" i="2"/>
  <c r="BE389" i="2"/>
  <c r="BD389" i="2"/>
  <c r="BC389" i="2"/>
  <c r="BB389" i="2"/>
  <c r="BZ389" i="2" s="1"/>
  <c r="BA389" i="2"/>
  <c r="AZ389" i="2"/>
  <c r="AY389" i="2"/>
  <c r="AX389" i="2"/>
  <c r="AW389" i="2"/>
  <c r="CA388" i="2"/>
  <c r="BY388" i="2"/>
  <c r="BX388" i="2"/>
  <c r="BW388" i="2"/>
  <c r="BV388" i="2"/>
  <c r="BU388" i="2"/>
  <c r="BT388" i="2"/>
  <c r="BS388" i="2"/>
  <c r="BR388" i="2"/>
  <c r="BQ388" i="2"/>
  <c r="BP388" i="2"/>
  <c r="BO388" i="2"/>
  <c r="BN388" i="2"/>
  <c r="BM388" i="2"/>
  <c r="BL388" i="2"/>
  <c r="BK388" i="2"/>
  <c r="BJ388" i="2"/>
  <c r="BI388" i="2"/>
  <c r="BH388" i="2"/>
  <c r="BG388" i="2"/>
  <c r="BF388" i="2"/>
  <c r="BE388" i="2"/>
  <c r="BD388" i="2"/>
  <c r="BC388" i="2"/>
  <c r="BB388" i="2"/>
  <c r="BZ388" i="2" s="1"/>
  <c r="CC388" i="2" s="1"/>
  <c r="BA388" i="2"/>
  <c r="AZ388" i="2"/>
  <c r="AY388" i="2"/>
  <c r="AX388" i="2"/>
  <c r="AW388" i="2"/>
  <c r="CA387" i="2"/>
  <c r="BY387" i="2"/>
  <c r="BX387" i="2"/>
  <c r="BW387" i="2"/>
  <c r="BV387" i="2"/>
  <c r="BU387" i="2"/>
  <c r="BT387" i="2"/>
  <c r="BS387" i="2"/>
  <c r="BR387" i="2"/>
  <c r="BQ387" i="2"/>
  <c r="BP387" i="2"/>
  <c r="BO387" i="2"/>
  <c r="BN387" i="2"/>
  <c r="BM387" i="2"/>
  <c r="BL387" i="2"/>
  <c r="BK387" i="2"/>
  <c r="BJ387" i="2"/>
  <c r="BI387" i="2"/>
  <c r="BH387" i="2"/>
  <c r="BG387" i="2"/>
  <c r="BF387" i="2"/>
  <c r="BE387" i="2"/>
  <c r="BD387" i="2"/>
  <c r="BC387" i="2"/>
  <c r="BB387" i="2"/>
  <c r="BZ387" i="2" s="1"/>
  <c r="CC387" i="2" s="1"/>
  <c r="BA387" i="2"/>
  <c r="AZ387" i="2"/>
  <c r="AY387" i="2"/>
  <c r="AX387" i="2"/>
  <c r="AW387" i="2"/>
  <c r="CA386" i="2"/>
  <c r="BY386" i="2"/>
  <c r="BX386" i="2"/>
  <c r="BW386" i="2"/>
  <c r="BV386" i="2"/>
  <c r="BU386" i="2"/>
  <c r="BT386" i="2"/>
  <c r="BS386" i="2"/>
  <c r="BR386" i="2"/>
  <c r="BQ386" i="2"/>
  <c r="BP386" i="2"/>
  <c r="BO386" i="2"/>
  <c r="BN386" i="2"/>
  <c r="BM386" i="2"/>
  <c r="BL386" i="2"/>
  <c r="BK386" i="2"/>
  <c r="BJ386" i="2"/>
  <c r="BI386" i="2"/>
  <c r="BH386" i="2"/>
  <c r="BG386" i="2"/>
  <c r="BF386" i="2"/>
  <c r="BE386" i="2"/>
  <c r="BD386" i="2"/>
  <c r="BC386" i="2"/>
  <c r="BB386" i="2"/>
  <c r="BZ386" i="2" s="1"/>
  <c r="CC386" i="2" s="1"/>
  <c r="BA386" i="2"/>
  <c r="AZ386" i="2"/>
  <c r="AY386" i="2"/>
  <c r="AX386" i="2"/>
  <c r="AW386" i="2"/>
  <c r="CA385" i="2"/>
  <c r="BY385" i="2"/>
  <c r="BX385" i="2"/>
  <c r="BW385" i="2"/>
  <c r="BV385" i="2"/>
  <c r="BU385" i="2"/>
  <c r="BT385" i="2"/>
  <c r="BS385" i="2"/>
  <c r="BR385" i="2"/>
  <c r="BQ385" i="2"/>
  <c r="BP385" i="2"/>
  <c r="BO385" i="2"/>
  <c r="BN385" i="2"/>
  <c r="BM385" i="2"/>
  <c r="BL385" i="2"/>
  <c r="BK385" i="2"/>
  <c r="BJ385" i="2"/>
  <c r="BI385" i="2"/>
  <c r="BH385" i="2"/>
  <c r="BG385" i="2"/>
  <c r="BF385" i="2"/>
  <c r="BE385" i="2"/>
  <c r="BD385" i="2"/>
  <c r="BC385" i="2"/>
  <c r="BB385" i="2"/>
  <c r="BZ385" i="2" s="1"/>
  <c r="BA385" i="2"/>
  <c r="AZ385" i="2"/>
  <c r="AY385" i="2"/>
  <c r="AX385" i="2"/>
  <c r="AW385" i="2"/>
  <c r="CA384" i="2"/>
  <c r="BY384" i="2"/>
  <c r="BX384" i="2"/>
  <c r="BW384" i="2"/>
  <c r="BV384" i="2"/>
  <c r="BU384" i="2"/>
  <c r="BT384" i="2"/>
  <c r="BS384" i="2"/>
  <c r="BR384" i="2"/>
  <c r="BQ384" i="2"/>
  <c r="BP384" i="2"/>
  <c r="BO384" i="2"/>
  <c r="BN384" i="2"/>
  <c r="BM384" i="2"/>
  <c r="BL384" i="2"/>
  <c r="BK384" i="2"/>
  <c r="BJ384" i="2"/>
  <c r="BI384" i="2"/>
  <c r="BH384" i="2"/>
  <c r="BG384" i="2"/>
  <c r="BF384" i="2"/>
  <c r="BE384" i="2"/>
  <c r="BD384" i="2"/>
  <c r="BC384" i="2"/>
  <c r="BB384" i="2"/>
  <c r="BZ384" i="2" s="1"/>
  <c r="BA384" i="2"/>
  <c r="AZ384" i="2"/>
  <c r="AY384" i="2"/>
  <c r="AX384" i="2"/>
  <c r="AW384" i="2"/>
  <c r="CA383" i="2"/>
  <c r="BY383" i="2"/>
  <c r="BX383" i="2"/>
  <c r="BW383" i="2"/>
  <c r="BV383" i="2"/>
  <c r="BU383" i="2"/>
  <c r="BT383" i="2"/>
  <c r="BS383" i="2"/>
  <c r="BR383" i="2"/>
  <c r="BQ383" i="2"/>
  <c r="BP383" i="2"/>
  <c r="BO383" i="2"/>
  <c r="BN383" i="2"/>
  <c r="BM383" i="2"/>
  <c r="BL383" i="2"/>
  <c r="BK383" i="2"/>
  <c r="BJ383" i="2"/>
  <c r="BI383" i="2"/>
  <c r="BH383" i="2"/>
  <c r="BG383" i="2"/>
  <c r="BF383" i="2"/>
  <c r="BE383" i="2"/>
  <c r="BD383" i="2"/>
  <c r="BC383" i="2"/>
  <c r="BB383" i="2"/>
  <c r="BZ383" i="2" s="1"/>
  <c r="CC383" i="2" s="1"/>
  <c r="BA383" i="2"/>
  <c r="AZ383" i="2"/>
  <c r="AY383" i="2"/>
  <c r="AX383" i="2"/>
  <c r="AW383" i="2"/>
  <c r="CA382" i="2"/>
  <c r="BY382" i="2"/>
  <c r="BX382" i="2"/>
  <c r="BW382" i="2"/>
  <c r="BV382" i="2"/>
  <c r="BU382" i="2"/>
  <c r="BT382" i="2"/>
  <c r="BS382" i="2"/>
  <c r="BR382" i="2"/>
  <c r="BQ382" i="2"/>
  <c r="BP382" i="2"/>
  <c r="BO382" i="2"/>
  <c r="BN382" i="2"/>
  <c r="BM382" i="2"/>
  <c r="BL382" i="2"/>
  <c r="BK382" i="2"/>
  <c r="BJ382" i="2"/>
  <c r="BI382" i="2"/>
  <c r="BH382" i="2"/>
  <c r="BG382" i="2"/>
  <c r="BF382" i="2"/>
  <c r="BE382" i="2"/>
  <c r="BD382" i="2"/>
  <c r="BC382" i="2"/>
  <c r="BB382" i="2"/>
  <c r="BZ382" i="2" s="1"/>
  <c r="CC382" i="2" s="1"/>
  <c r="BA382" i="2"/>
  <c r="AZ382" i="2"/>
  <c r="AY382" i="2"/>
  <c r="AX382" i="2"/>
  <c r="AW382" i="2"/>
  <c r="CA381" i="2"/>
  <c r="BY381" i="2"/>
  <c r="BX381" i="2"/>
  <c r="BW381" i="2"/>
  <c r="BV381" i="2"/>
  <c r="BU381" i="2"/>
  <c r="BT381" i="2"/>
  <c r="BS381" i="2"/>
  <c r="BR381" i="2"/>
  <c r="BQ381" i="2"/>
  <c r="BP381" i="2"/>
  <c r="BO381" i="2"/>
  <c r="BN381" i="2"/>
  <c r="BM381" i="2"/>
  <c r="BL381" i="2"/>
  <c r="BK381" i="2"/>
  <c r="BJ381" i="2"/>
  <c r="BI381" i="2"/>
  <c r="BH381" i="2"/>
  <c r="BG381" i="2"/>
  <c r="BF381" i="2"/>
  <c r="BE381" i="2"/>
  <c r="BD381" i="2"/>
  <c r="BC381" i="2"/>
  <c r="BB381" i="2"/>
  <c r="BZ381" i="2" s="1"/>
  <c r="CC381" i="2" s="1"/>
  <c r="BA381" i="2"/>
  <c r="AZ381" i="2"/>
  <c r="AY381" i="2"/>
  <c r="AX381" i="2"/>
  <c r="AW381" i="2"/>
  <c r="CA380" i="2"/>
  <c r="BY380" i="2"/>
  <c r="BX380" i="2"/>
  <c r="BW380" i="2"/>
  <c r="BV380" i="2"/>
  <c r="BU380" i="2"/>
  <c r="BT380" i="2"/>
  <c r="BS380" i="2"/>
  <c r="BR380" i="2"/>
  <c r="BQ380" i="2"/>
  <c r="BP380" i="2"/>
  <c r="BO380" i="2"/>
  <c r="BN380" i="2"/>
  <c r="BM380" i="2"/>
  <c r="BL380" i="2"/>
  <c r="BK380" i="2"/>
  <c r="BJ380" i="2"/>
  <c r="BI380" i="2"/>
  <c r="BH380" i="2"/>
  <c r="BG380" i="2"/>
  <c r="BF380" i="2"/>
  <c r="BE380" i="2"/>
  <c r="BD380" i="2"/>
  <c r="BC380" i="2"/>
  <c r="BB380" i="2"/>
  <c r="BZ380" i="2" s="1"/>
  <c r="CC380" i="2" s="1"/>
  <c r="BA380" i="2"/>
  <c r="AZ380" i="2"/>
  <c r="AY380" i="2"/>
  <c r="AX380" i="2"/>
  <c r="AW380" i="2"/>
  <c r="CA379" i="2"/>
  <c r="BY379" i="2"/>
  <c r="BX379" i="2"/>
  <c r="BW379" i="2"/>
  <c r="BV379" i="2"/>
  <c r="BU379" i="2"/>
  <c r="BT379" i="2"/>
  <c r="BS379" i="2"/>
  <c r="BR379" i="2"/>
  <c r="BQ379" i="2"/>
  <c r="BP379" i="2"/>
  <c r="BO379" i="2"/>
  <c r="BN379" i="2"/>
  <c r="BM379" i="2"/>
  <c r="BL379" i="2"/>
  <c r="BK379" i="2"/>
  <c r="BJ379" i="2"/>
  <c r="BI379" i="2"/>
  <c r="BH379" i="2"/>
  <c r="BG379" i="2"/>
  <c r="BF379" i="2"/>
  <c r="BE379" i="2"/>
  <c r="BD379" i="2"/>
  <c r="BC379" i="2"/>
  <c r="BB379" i="2"/>
  <c r="BZ379" i="2" s="1"/>
  <c r="BA379" i="2"/>
  <c r="AZ379" i="2"/>
  <c r="AY379" i="2"/>
  <c r="AX379" i="2"/>
  <c r="AW379" i="2"/>
  <c r="CA378" i="2"/>
  <c r="BY378" i="2"/>
  <c r="BX378" i="2"/>
  <c r="BW378" i="2"/>
  <c r="BV378" i="2"/>
  <c r="BU378" i="2"/>
  <c r="BT378" i="2"/>
  <c r="BS378" i="2"/>
  <c r="BR378" i="2"/>
  <c r="BQ378" i="2"/>
  <c r="BP378" i="2"/>
  <c r="BO378" i="2"/>
  <c r="BN378" i="2"/>
  <c r="BM378" i="2"/>
  <c r="BL378" i="2"/>
  <c r="BK378" i="2"/>
  <c r="BJ378" i="2"/>
  <c r="BI378" i="2"/>
  <c r="BH378" i="2"/>
  <c r="BG378" i="2"/>
  <c r="BF378" i="2"/>
  <c r="BE378" i="2"/>
  <c r="BD378" i="2"/>
  <c r="BC378" i="2"/>
  <c r="BB378" i="2"/>
  <c r="BZ378" i="2" s="1"/>
  <c r="CC378" i="2" s="1"/>
  <c r="BA378" i="2"/>
  <c r="AZ378" i="2"/>
  <c r="AY378" i="2"/>
  <c r="AX378" i="2"/>
  <c r="AW378" i="2"/>
  <c r="CA377" i="2"/>
  <c r="BY377" i="2"/>
  <c r="BX377" i="2"/>
  <c r="BW377" i="2"/>
  <c r="BV377" i="2"/>
  <c r="BU377" i="2"/>
  <c r="BT377" i="2"/>
  <c r="BS377" i="2"/>
  <c r="BR377" i="2"/>
  <c r="BQ377" i="2"/>
  <c r="BP377" i="2"/>
  <c r="BO377" i="2"/>
  <c r="BN377" i="2"/>
  <c r="BM377" i="2"/>
  <c r="BL377" i="2"/>
  <c r="BK377" i="2"/>
  <c r="BJ377" i="2"/>
  <c r="BI377" i="2"/>
  <c r="BH377" i="2"/>
  <c r="BG377" i="2"/>
  <c r="BF377" i="2"/>
  <c r="BE377" i="2"/>
  <c r="BD377" i="2"/>
  <c r="BC377" i="2"/>
  <c r="BB377" i="2"/>
  <c r="BZ377" i="2" s="1"/>
  <c r="CC377" i="2" s="1"/>
  <c r="BA377" i="2"/>
  <c r="AZ377" i="2"/>
  <c r="AY377" i="2"/>
  <c r="AX377" i="2"/>
  <c r="AW377" i="2"/>
  <c r="CA376" i="2"/>
  <c r="BY376" i="2"/>
  <c r="BX376" i="2"/>
  <c r="BW376" i="2"/>
  <c r="BV376" i="2"/>
  <c r="BU376" i="2"/>
  <c r="BT376" i="2"/>
  <c r="BS376" i="2"/>
  <c r="BR376" i="2"/>
  <c r="BQ376" i="2"/>
  <c r="BP376" i="2"/>
  <c r="BO376" i="2"/>
  <c r="BN376" i="2"/>
  <c r="BM376" i="2"/>
  <c r="BL376" i="2"/>
  <c r="BK376" i="2"/>
  <c r="BJ376" i="2"/>
  <c r="BI376" i="2"/>
  <c r="BH376" i="2"/>
  <c r="BG376" i="2"/>
  <c r="BF376" i="2"/>
  <c r="BE376" i="2"/>
  <c r="BD376" i="2"/>
  <c r="BC376" i="2"/>
  <c r="BB376" i="2"/>
  <c r="BZ376" i="2" s="1"/>
  <c r="CC376" i="2" s="1"/>
  <c r="BA376" i="2"/>
  <c r="AZ376" i="2"/>
  <c r="AY376" i="2"/>
  <c r="AX376" i="2"/>
  <c r="AW376" i="2"/>
  <c r="CA375" i="2"/>
  <c r="BY375" i="2"/>
  <c r="BX375" i="2"/>
  <c r="BW375" i="2"/>
  <c r="BV375" i="2"/>
  <c r="BU375" i="2"/>
  <c r="BT375" i="2"/>
  <c r="BS375" i="2"/>
  <c r="BR375" i="2"/>
  <c r="BQ375" i="2"/>
  <c r="BP375" i="2"/>
  <c r="BO375" i="2"/>
  <c r="BN375" i="2"/>
  <c r="BM375" i="2"/>
  <c r="BL375" i="2"/>
  <c r="BK375" i="2"/>
  <c r="BJ375" i="2"/>
  <c r="BI375" i="2"/>
  <c r="BH375" i="2"/>
  <c r="BG375" i="2"/>
  <c r="BF375" i="2"/>
  <c r="BE375" i="2"/>
  <c r="BD375" i="2"/>
  <c r="BC375" i="2"/>
  <c r="BB375" i="2"/>
  <c r="BZ375" i="2" s="1"/>
  <c r="CC375" i="2" s="1"/>
  <c r="BA375" i="2"/>
  <c r="AZ375" i="2"/>
  <c r="AY375" i="2"/>
  <c r="AX375" i="2"/>
  <c r="AW375" i="2"/>
  <c r="CA374" i="2"/>
  <c r="BY374" i="2"/>
  <c r="BX374" i="2"/>
  <c r="BW374" i="2"/>
  <c r="BV374" i="2"/>
  <c r="BU374" i="2"/>
  <c r="BT374" i="2"/>
  <c r="BS374" i="2"/>
  <c r="BR374" i="2"/>
  <c r="BQ374" i="2"/>
  <c r="BP374" i="2"/>
  <c r="BO374" i="2"/>
  <c r="BN374" i="2"/>
  <c r="BM374" i="2"/>
  <c r="BL374" i="2"/>
  <c r="BK374" i="2"/>
  <c r="BJ374" i="2"/>
  <c r="BI374" i="2"/>
  <c r="BH374" i="2"/>
  <c r="BG374" i="2"/>
  <c r="BF374" i="2"/>
  <c r="BE374" i="2"/>
  <c r="BD374" i="2"/>
  <c r="BC374" i="2"/>
  <c r="BB374" i="2"/>
  <c r="BZ374" i="2" s="1"/>
  <c r="CC374" i="2" s="1"/>
  <c r="BA374" i="2"/>
  <c r="AZ374" i="2"/>
  <c r="AY374" i="2"/>
  <c r="AX374" i="2"/>
  <c r="AW374" i="2"/>
  <c r="CA373" i="2"/>
  <c r="BY373" i="2"/>
  <c r="BX373" i="2"/>
  <c r="BW373" i="2"/>
  <c r="BV373" i="2"/>
  <c r="BU373" i="2"/>
  <c r="BT373" i="2"/>
  <c r="BS373" i="2"/>
  <c r="BR373" i="2"/>
  <c r="BQ373" i="2"/>
  <c r="BP373" i="2"/>
  <c r="BO373" i="2"/>
  <c r="BN373" i="2"/>
  <c r="BM373" i="2"/>
  <c r="BL373" i="2"/>
  <c r="BK373" i="2"/>
  <c r="BJ373" i="2"/>
  <c r="BI373" i="2"/>
  <c r="BH373" i="2"/>
  <c r="BG373" i="2"/>
  <c r="BF373" i="2"/>
  <c r="BE373" i="2"/>
  <c r="BD373" i="2"/>
  <c r="BC373" i="2"/>
  <c r="BB373" i="2"/>
  <c r="BZ373" i="2" s="1"/>
  <c r="CC373" i="2" s="1"/>
  <c r="BA373" i="2"/>
  <c r="AZ373" i="2"/>
  <c r="AY373" i="2"/>
  <c r="AX373" i="2"/>
  <c r="AW373" i="2"/>
  <c r="CA372" i="2"/>
  <c r="BY372" i="2"/>
  <c r="BX372" i="2"/>
  <c r="BW372" i="2"/>
  <c r="BV372" i="2"/>
  <c r="BU372" i="2"/>
  <c r="BT372" i="2"/>
  <c r="BS372" i="2"/>
  <c r="BR372" i="2"/>
  <c r="BQ372" i="2"/>
  <c r="BP372" i="2"/>
  <c r="BO372" i="2"/>
  <c r="BN372" i="2"/>
  <c r="BM372" i="2"/>
  <c r="BL372" i="2"/>
  <c r="BK372" i="2"/>
  <c r="BJ372" i="2"/>
  <c r="BI372" i="2"/>
  <c r="BH372" i="2"/>
  <c r="BG372" i="2"/>
  <c r="BF372" i="2"/>
  <c r="BE372" i="2"/>
  <c r="BD372" i="2"/>
  <c r="BC372" i="2"/>
  <c r="BB372" i="2"/>
  <c r="BZ372" i="2" s="1"/>
  <c r="BA372" i="2"/>
  <c r="AZ372" i="2"/>
  <c r="AY372" i="2"/>
  <c r="AX372" i="2"/>
  <c r="AW372" i="2"/>
  <c r="CA371" i="2"/>
  <c r="BY371" i="2"/>
  <c r="BX371" i="2"/>
  <c r="BW371" i="2"/>
  <c r="BV371" i="2"/>
  <c r="BU371" i="2"/>
  <c r="BT371" i="2"/>
  <c r="BS371" i="2"/>
  <c r="BR371" i="2"/>
  <c r="BQ371" i="2"/>
  <c r="BP371" i="2"/>
  <c r="BO371" i="2"/>
  <c r="BN371" i="2"/>
  <c r="BM371" i="2"/>
  <c r="BL371" i="2"/>
  <c r="BK371" i="2"/>
  <c r="BJ371" i="2"/>
  <c r="BI371" i="2"/>
  <c r="BH371" i="2"/>
  <c r="BG371" i="2"/>
  <c r="BF371" i="2"/>
  <c r="BE371" i="2"/>
  <c r="BD371" i="2"/>
  <c r="BC371" i="2"/>
  <c r="BB371" i="2"/>
  <c r="BZ371" i="2" s="1"/>
  <c r="CC371" i="2" s="1"/>
  <c r="BA371" i="2"/>
  <c r="AZ371" i="2"/>
  <c r="AY371" i="2"/>
  <c r="AX371" i="2"/>
  <c r="AW371" i="2"/>
  <c r="CA370" i="2"/>
  <c r="BY370" i="2"/>
  <c r="BX370" i="2"/>
  <c r="BW370" i="2"/>
  <c r="BV370" i="2"/>
  <c r="BU370" i="2"/>
  <c r="BT370" i="2"/>
  <c r="BS370" i="2"/>
  <c r="BR370" i="2"/>
  <c r="BQ370" i="2"/>
  <c r="BP370" i="2"/>
  <c r="BO370" i="2"/>
  <c r="BN370" i="2"/>
  <c r="BM370" i="2"/>
  <c r="BL370" i="2"/>
  <c r="BK370" i="2"/>
  <c r="BJ370" i="2"/>
  <c r="BI370" i="2"/>
  <c r="BH370" i="2"/>
  <c r="BG370" i="2"/>
  <c r="BF370" i="2"/>
  <c r="BE370" i="2"/>
  <c r="BD370" i="2"/>
  <c r="BC370" i="2"/>
  <c r="BB370" i="2"/>
  <c r="BZ370" i="2" s="1"/>
  <c r="CC370" i="2" s="1"/>
  <c r="BA370" i="2"/>
  <c r="AZ370" i="2"/>
  <c r="AY370" i="2"/>
  <c r="AX370" i="2"/>
  <c r="AW370" i="2"/>
  <c r="CA369" i="2"/>
  <c r="BY369" i="2"/>
  <c r="BX369" i="2"/>
  <c r="BW369" i="2"/>
  <c r="BV369" i="2"/>
  <c r="BU369" i="2"/>
  <c r="BT369" i="2"/>
  <c r="BS369" i="2"/>
  <c r="BR369" i="2"/>
  <c r="BQ369" i="2"/>
  <c r="BP369" i="2"/>
  <c r="BO369" i="2"/>
  <c r="BN369" i="2"/>
  <c r="BM369" i="2"/>
  <c r="BL369" i="2"/>
  <c r="BK369" i="2"/>
  <c r="BJ369" i="2"/>
  <c r="BI369" i="2"/>
  <c r="BH369" i="2"/>
  <c r="BG369" i="2"/>
  <c r="BF369" i="2"/>
  <c r="BE369" i="2"/>
  <c r="BD369" i="2"/>
  <c r="BC369" i="2"/>
  <c r="BB369" i="2"/>
  <c r="BZ369" i="2" s="1"/>
  <c r="CC369" i="2" s="1"/>
  <c r="BA369" i="2"/>
  <c r="AZ369" i="2"/>
  <c r="AY369" i="2"/>
  <c r="AX369" i="2"/>
  <c r="AW369" i="2"/>
  <c r="CA368" i="2"/>
  <c r="BY368" i="2"/>
  <c r="BX368" i="2"/>
  <c r="BW368" i="2"/>
  <c r="BV368" i="2"/>
  <c r="BU368" i="2"/>
  <c r="BT368" i="2"/>
  <c r="BS368" i="2"/>
  <c r="BR368" i="2"/>
  <c r="BQ368" i="2"/>
  <c r="BP368" i="2"/>
  <c r="BO368" i="2"/>
  <c r="BN368" i="2"/>
  <c r="BM368" i="2"/>
  <c r="BL368" i="2"/>
  <c r="BK368" i="2"/>
  <c r="BJ368" i="2"/>
  <c r="BI368" i="2"/>
  <c r="BH368" i="2"/>
  <c r="BG368" i="2"/>
  <c r="BF368" i="2"/>
  <c r="BE368" i="2"/>
  <c r="BD368" i="2"/>
  <c r="BC368" i="2"/>
  <c r="BB368" i="2"/>
  <c r="BZ368" i="2" s="1"/>
  <c r="CC368" i="2" s="1"/>
  <c r="BA368" i="2"/>
  <c r="AZ368" i="2"/>
  <c r="AY368" i="2"/>
  <c r="AX368" i="2"/>
  <c r="AW368" i="2"/>
  <c r="CA367" i="2"/>
  <c r="BY367" i="2"/>
  <c r="BX367" i="2"/>
  <c r="BW367" i="2"/>
  <c r="BV367" i="2"/>
  <c r="BU367" i="2"/>
  <c r="BT367" i="2"/>
  <c r="BS367" i="2"/>
  <c r="BR367" i="2"/>
  <c r="BQ367" i="2"/>
  <c r="BP367" i="2"/>
  <c r="BO367" i="2"/>
  <c r="BN367" i="2"/>
  <c r="BM367" i="2"/>
  <c r="BL367" i="2"/>
  <c r="BK367" i="2"/>
  <c r="BJ367" i="2"/>
  <c r="BI367" i="2"/>
  <c r="BH367" i="2"/>
  <c r="BG367" i="2"/>
  <c r="BF367" i="2"/>
  <c r="BE367" i="2"/>
  <c r="BD367" i="2"/>
  <c r="BC367" i="2"/>
  <c r="BB367" i="2"/>
  <c r="BZ367" i="2" s="1"/>
  <c r="CC367" i="2" s="1"/>
  <c r="BA367" i="2"/>
  <c r="AZ367" i="2"/>
  <c r="AY367" i="2"/>
  <c r="AX367" i="2"/>
  <c r="AW367" i="2"/>
  <c r="CA366" i="2"/>
  <c r="BY366" i="2"/>
  <c r="BX366" i="2"/>
  <c r="BW366" i="2"/>
  <c r="BV366" i="2"/>
  <c r="BU366" i="2"/>
  <c r="BT366" i="2"/>
  <c r="BS366" i="2"/>
  <c r="BR366" i="2"/>
  <c r="BQ366" i="2"/>
  <c r="BP366" i="2"/>
  <c r="BO366" i="2"/>
  <c r="BN366" i="2"/>
  <c r="BM366" i="2"/>
  <c r="BL366" i="2"/>
  <c r="BK366" i="2"/>
  <c r="BJ366" i="2"/>
  <c r="BI366" i="2"/>
  <c r="BH366" i="2"/>
  <c r="BG366" i="2"/>
  <c r="BF366" i="2"/>
  <c r="BE366" i="2"/>
  <c r="BD366" i="2"/>
  <c r="BC366" i="2"/>
  <c r="BB366" i="2"/>
  <c r="BZ366" i="2" s="1"/>
  <c r="CC366" i="2" s="1"/>
  <c r="BA366" i="2"/>
  <c r="AZ366" i="2"/>
  <c r="AY366" i="2"/>
  <c r="AX366" i="2"/>
  <c r="AW366" i="2"/>
  <c r="CA365" i="2"/>
  <c r="BY365" i="2"/>
  <c r="BX365" i="2"/>
  <c r="BW365" i="2"/>
  <c r="BV365" i="2"/>
  <c r="BU365" i="2"/>
  <c r="BT365" i="2"/>
  <c r="BS365" i="2"/>
  <c r="BR365" i="2"/>
  <c r="BQ365" i="2"/>
  <c r="BP365" i="2"/>
  <c r="BO365" i="2"/>
  <c r="BN365" i="2"/>
  <c r="BM365" i="2"/>
  <c r="BL365" i="2"/>
  <c r="BK365" i="2"/>
  <c r="BJ365" i="2"/>
  <c r="BI365" i="2"/>
  <c r="BH365" i="2"/>
  <c r="BG365" i="2"/>
  <c r="BF365" i="2"/>
  <c r="BE365" i="2"/>
  <c r="BD365" i="2"/>
  <c r="BC365" i="2"/>
  <c r="BB365" i="2"/>
  <c r="BZ365" i="2" s="1"/>
  <c r="CC365" i="2" s="1"/>
  <c r="BA365" i="2"/>
  <c r="AZ365" i="2"/>
  <c r="AY365" i="2"/>
  <c r="AX365" i="2"/>
  <c r="AW365" i="2"/>
  <c r="CA364" i="2"/>
  <c r="BY364" i="2"/>
  <c r="BX364" i="2"/>
  <c r="BW364" i="2"/>
  <c r="BV364" i="2"/>
  <c r="BU364" i="2"/>
  <c r="BT364" i="2"/>
  <c r="BS364" i="2"/>
  <c r="BR364" i="2"/>
  <c r="BQ364" i="2"/>
  <c r="BP364" i="2"/>
  <c r="BO364" i="2"/>
  <c r="BN364" i="2"/>
  <c r="BM364" i="2"/>
  <c r="BL364" i="2"/>
  <c r="BK364" i="2"/>
  <c r="BJ364" i="2"/>
  <c r="BI364" i="2"/>
  <c r="BH364" i="2"/>
  <c r="BG364" i="2"/>
  <c r="BF364" i="2"/>
  <c r="BE364" i="2"/>
  <c r="BD364" i="2"/>
  <c r="BC364" i="2"/>
  <c r="BB364" i="2"/>
  <c r="BZ364" i="2" s="1"/>
  <c r="CC364" i="2" s="1"/>
  <c r="BA364" i="2"/>
  <c r="AZ364" i="2"/>
  <c r="AY364" i="2"/>
  <c r="AX364" i="2"/>
  <c r="AW364" i="2"/>
  <c r="CA363" i="2"/>
  <c r="BY363" i="2"/>
  <c r="BX363" i="2"/>
  <c r="BW363" i="2"/>
  <c r="BV363" i="2"/>
  <c r="BU363" i="2"/>
  <c r="BT363" i="2"/>
  <c r="BS363" i="2"/>
  <c r="BR363" i="2"/>
  <c r="BQ363" i="2"/>
  <c r="BP363" i="2"/>
  <c r="BO363" i="2"/>
  <c r="BN363" i="2"/>
  <c r="BM363" i="2"/>
  <c r="BL363" i="2"/>
  <c r="BK363" i="2"/>
  <c r="BJ363" i="2"/>
  <c r="BI363" i="2"/>
  <c r="BH363" i="2"/>
  <c r="BG363" i="2"/>
  <c r="BF363" i="2"/>
  <c r="BE363" i="2"/>
  <c r="BD363" i="2"/>
  <c r="BC363" i="2"/>
  <c r="BB363" i="2"/>
  <c r="BZ363" i="2" s="1"/>
  <c r="CC363" i="2" s="1"/>
  <c r="BA363" i="2"/>
  <c r="AZ363" i="2"/>
  <c r="AY363" i="2"/>
  <c r="AX363" i="2"/>
  <c r="AW363" i="2"/>
  <c r="CA362" i="2"/>
  <c r="BY362" i="2"/>
  <c r="BX362" i="2"/>
  <c r="BW362" i="2"/>
  <c r="BV362" i="2"/>
  <c r="BU362" i="2"/>
  <c r="BT362" i="2"/>
  <c r="BS362" i="2"/>
  <c r="BR362" i="2"/>
  <c r="BQ362" i="2"/>
  <c r="BP362" i="2"/>
  <c r="BO362" i="2"/>
  <c r="BN362" i="2"/>
  <c r="BM362" i="2"/>
  <c r="BL362" i="2"/>
  <c r="BK362" i="2"/>
  <c r="BJ362" i="2"/>
  <c r="BI362" i="2"/>
  <c r="BH362" i="2"/>
  <c r="BG362" i="2"/>
  <c r="BF362" i="2"/>
  <c r="BE362" i="2"/>
  <c r="BD362" i="2"/>
  <c r="BC362" i="2"/>
  <c r="BB362" i="2"/>
  <c r="BZ362" i="2" s="1"/>
  <c r="CC362" i="2" s="1"/>
  <c r="BA362" i="2"/>
  <c r="AZ362" i="2"/>
  <c r="AY362" i="2"/>
  <c r="AX362" i="2"/>
  <c r="AW362" i="2"/>
  <c r="CA361" i="2"/>
  <c r="BY361" i="2"/>
  <c r="BX361" i="2"/>
  <c r="BW361" i="2"/>
  <c r="BV361" i="2"/>
  <c r="BU361" i="2"/>
  <c r="BT361" i="2"/>
  <c r="BS361" i="2"/>
  <c r="BR361" i="2"/>
  <c r="BQ361" i="2"/>
  <c r="BP361" i="2"/>
  <c r="BO361" i="2"/>
  <c r="BN361" i="2"/>
  <c r="BM361" i="2"/>
  <c r="BL361" i="2"/>
  <c r="BK361" i="2"/>
  <c r="BJ361" i="2"/>
  <c r="BI361" i="2"/>
  <c r="BH361" i="2"/>
  <c r="BG361" i="2"/>
  <c r="BF361" i="2"/>
  <c r="BE361" i="2"/>
  <c r="BD361" i="2"/>
  <c r="BC361" i="2"/>
  <c r="BB361" i="2"/>
  <c r="BZ361" i="2" s="1"/>
  <c r="CC361" i="2" s="1"/>
  <c r="BA361" i="2"/>
  <c r="AZ361" i="2"/>
  <c r="AY361" i="2"/>
  <c r="AX361" i="2"/>
  <c r="AW361" i="2"/>
  <c r="CA360" i="2"/>
  <c r="BY360" i="2"/>
  <c r="BX360" i="2"/>
  <c r="BW360" i="2"/>
  <c r="BV360" i="2"/>
  <c r="BU360" i="2"/>
  <c r="BT360" i="2"/>
  <c r="BS360" i="2"/>
  <c r="BR360" i="2"/>
  <c r="BQ360" i="2"/>
  <c r="BP360" i="2"/>
  <c r="BO360" i="2"/>
  <c r="BN360" i="2"/>
  <c r="BM360" i="2"/>
  <c r="BL360" i="2"/>
  <c r="BK360" i="2"/>
  <c r="BJ360" i="2"/>
  <c r="BI360" i="2"/>
  <c r="BH360" i="2"/>
  <c r="BG360" i="2"/>
  <c r="BF360" i="2"/>
  <c r="BE360" i="2"/>
  <c r="BD360" i="2"/>
  <c r="BC360" i="2"/>
  <c r="BB360" i="2"/>
  <c r="BZ360" i="2" s="1"/>
  <c r="CC360" i="2" s="1"/>
  <c r="BA360" i="2"/>
  <c r="AZ360" i="2"/>
  <c r="AY360" i="2"/>
  <c r="AX360" i="2"/>
  <c r="AW360" i="2"/>
  <c r="CA359" i="2"/>
  <c r="BY359" i="2"/>
  <c r="BX359" i="2"/>
  <c r="BW359" i="2"/>
  <c r="BV359" i="2"/>
  <c r="BU359" i="2"/>
  <c r="BT359" i="2"/>
  <c r="BS359" i="2"/>
  <c r="BR359" i="2"/>
  <c r="BQ359" i="2"/>
  <c r="BP359" i="2"/>
  <c r="BO359" i="2"/>
  <c r="BN359" i="2"/>
  <c r="BM359" i="2"/>
  <c r="BL359" i="2"/>
  <c r="BK359" i="2"/>
  <c r="BJ359" i="2"/>
  <c r="BI359" i="2"/>
  <c r="BH359" i="2"/>
  <c r="BG359" i="2"/>
  <c r="BF359" i="2"/>
  <c r="BE359" i="2"/>
  <c r="BD359" i="2"/>
  <c r="BC359" i="2"/>
  <c r="BB359" i="2"/>
  <c r="BZ359" i="2" s="1"/>
  <c r="CC359" i="2" s="1"/>
  <c r="BA359" i="2"/>
  <c r="AZ359" i="2"/>
  <c r="AY359" i="2"/>
  <c r="AX359" i="2"/>
  <c r="AW359" i="2"/>
  <c r="CA358" i="2"/>
  <c r="BY358" i="2"/>
  <c r="BX358" i="2"/>
  <c r="BW358" i="2"/>
  <c r="BV358" i="2"/>
  <c r="BU358" i="2"/>
  <c r="BT358" i="2"/>
  <c r="BS358" i="2"/>
  <c r="BR358" i="2"/>
  <c r="BQ358" i="2"/>
  <c r="BP358" i="2"/>
  <c r="BO358" i="2"/>
  <c r="BN358" i="2"/>
  <c r="BM358" i="2"/>
  <c r="BL358" i="2"/>
  <c r="BK358" i="2"/>
  <c r="BJ358" i="2"/>
  <c r="BI358" i="2"/>
  <c r="BH358" i="2"/>
  <c r="BG358" i="2"/>
  <c r="BF358" i="2"/>
  <c r="BE358" i="2"/>
  <c r="BD358" i="2"/>
  <c r="BC358" i="2"/>
  <c r="BB358" i="2"/>
  <c r="BZ358" i="2" s="1"/>
  <c r="BA358" i="2"/>
  <c r="AZ358" i="2"/>
  <c r="AY358" i="2"/>
  <c r="AX358" i="2"/>
  <c r="AW358" i="2"/>
  <c r="CA357" i="2"/>
  <c r="BY357" i="2"/>
  <c r="BX357" i="2"/>
  <c r="BW357" i="2"/>
  <c r="BV357" i="2"/>
  <c r="BU357" i="2"/>
  <c r="BT357" i="2"/>
  <c r="BS357" i="2"/>
  <c r="BR357" i="2"/>
  <c r="BQ357" i="2"/>
  <c r="BP357" i="2"/>
  <c r="BO357" i="2"/>
  <c r="BN357" i="2"/>
  <c r="BM357" i="2"/>
  <c r="BL357" i="2"/>
  <c r="BK357" i="2"/>
  <c r="BJ357" i="2"/>
  <c r="BI357" i="2"/>
  <c r="BH357" i="2"/>
  <c r="BG357" i="2"/>
  <c r="BF357" i="2"/>
  <c r="BE357" i="2"/>
  <c r="BD357" i="2"/>
  <c r="BC357" i="2"/>
  <c r="BB357" i="2"/>
  <c r="BZ357" i="2" s="1"/>
  <c r="BA357" i="2"/>
  <c r="AZ357" i="2"/>
  <c r="AY357" i="2"/>
  <c r="AX357" i="2"/>
  <c r="AW357" i="2"/>
  <c r="CA356" i="2"/>
  <c r="BY356" i="2"/>
  <c r="BX356" i="2"/>
  <c r="BW356" i="2"/>
  <c r="BV356" i="2"/>
  <c r="BU356" i="2"/>
  <c r="BT356" i="2"/>
  <c r="BS356" i="2"/>
  <c r="BR356" i="2"/>
  <c r="BQ356" i="2"/>
  <c r="BP356" i="2"/>
  <c r="BO356" i="2"/>
  <c r="BN356" i="2"/>
  <c r="BM356" i="2"/>
  <c r="BL356" i="2"/>
  <c r="BK356" i="2"/>
  <c r="BJ356" i="2"/>
  <c r="BI356" i="2"/>
  <c r="BH356" i="2"/>
  <c r="BG356" i="2"/>
  <c r="BF356" i="2"/>
  <c r="BE356" i="2"/>
  <c r="BD356" i="2"/>
  <c r="BC356" i="2"/>
  <c r="BB356" i="2"/>
  <c r="BZ356" i="2" s="1"/>
  <c r="CC356" i="2" s="1"/>
  <c r="BA356" i="2"/>
  <c r="AZ356" i="2"/>
  <c r="AY356" i="2"/>
  <c r="AX356" i="2"/>
  <c r="AW356" i="2"/>
  <c r="CA355" i="2"/>
  <c r="BY355" i="2"/>
  <c r="BX355" i="2"/>
  <c r="BW355" i="2"/>
  <c r="BV355" i="2"/>
  <c r="BU355" i="2"/>
  <c r="BT355" i="2"/>
  <c r="BS355" i="2"/>
  <c r="BR355" i="2"/>
  <c r="BQ355" i="2"/>
  <c r="BP355" i="2"/>
  <c r="BO355" i="2"/>
  <c r="BN355" i="2"/>
  <c r="BM355" i="2"/>
  <c r="BL355" i="2"/>
  <c r="BK355" i="2"/>
  <c r="BJ355" i="2"/>
  <c r="BI355" i="2"/>
  <c r="BH355" i="2"/>
  <c r="BG355" i="2"/>
  <c r="BF355" i="2"/>
  <c r="BE355" i="2"/>
  <c r="BD355" i="2"/>
  <c r="BC355" i="2"/>
  <c r="BB355" i="2"/>
  <c r="BZ355" i="2" s="1"/>
  <c r="BA355" i="2"/>
  <c r="AZ355" i="2"/>
  <c r="AY355" i="2"/>
  <c r="AX355" i="2"/>
  <c r="AW355" i="2"/>
  <c r="CA354" i="2"/>
  <c r="BY354" i="2"/>
  <c r="BX354" i="2"/>
  <c r="BW354" i="2"/>
  <c r="BV354" i="2"/>
  <c r="BU354" i="2"/>
  <c r="BT354" i="2"/>
  <c r="BS354" i="2"/>
  <c r="BR354" i="2"/>
  <c r="BQ354" i="2"/>
  <c r="BP354" i="2"/>
  <c r="BO354" i="2"/>
  <c r="BN354" i="2"/>
  <c r="BM354" i="2"/>
  <c r="BL354" i="2"/>
  <c r="BK354" i="2"/>
  <c r="BJ354" i="2"/>
  <c r="BI354" i="2"/>
  <c r="BH354" i="2"/>
  <c r="BG354" i="2"/>
  <c r="BF354" i="2"/>
  <c r="BE354" i="2"/>
  <c r="BD354" i="2"/>
  <c r="BC354" i="2"/>
  <c r="BB354" i="2"/>
  <c r="BZ354" i="2" s="1"/>
  <c r="CC354" i="2" s="1"/>
  <c r="BA354" i="2"/>
  <c r="AZ354" i="2"/>
  <c r="AY354" i="2"/>
  <c r="AX354" i="2"/>
  <c r="AW354" i="2"/>
  <c r="CA353" i="2"/>
  <c r="BY353" i="2"/>
  <c r="BX353" i="2"/>
  <c r="BW353" i="2"/>
  <c r="BV353" i="2"/>
  <c r="BU353" i="2"/>
  <c r="BT353" i="2"/>
  <c r="BS353" i="2"/>
  <c r="BR353" i="2"/>
  <c r="BQ353" i="2"/>
  <c r="BP353" i="2"/>
  <c r="BO353" i="2"/>
  <c r="BN353" i="2"/>
  <c r="BM353" i="2"/>
  <c r="BL353" i="2"/>
  <c r="BK353" i="2"/>
  <c r="BJ353" i="2"/>
  <c r="BI353" i="2"/>
  <c r="BH353" i="2"/>
  <c r="BG353" i="2"/>
  <c r="BF353" i="2"/>
  <c r="BE353" i="2"/>
  <c r="BD353" i="2"/>
  <c r="BC353" i="2"/>
  <c r="BB353" i="2"/>
  <c r="BZ353" i="2" s="1"/>
  <c r="CC353" i="2" s="1"/>
  <c r="BA353" i="2"/>
  <c r="AZ353" i="2"/>
  <c r="AY353" i="2"/>
  <c r="AX353" i="2"/>
  <c r="AW353" i="2"/>
  <c r="CA352" i="2"/>
  <c r="BY352" i="2"/>
  <c r="BX352" i="2"/>
  <c r="BW352" i="2"/>
  <c r="BV352" i="2"/>
  <c r="BU352" i="2"/>
  <c r="BT352" i="2"/>
  <c r="BS352" i="2"/>
  <c r="BR352" i="2"/>
  <c r="BQ352" i="2"/>
  <c r="BP352" i="2"/>
  <c r="BO352" i="2"/>
  <c r="BN352" i="2"/>
  <c r="BM352" i="2"/>
  <c r="BL352" i="2"/>
  <c r="BK352" i="2"/>
  <c r="BJ352" i="2"/>
  <c r="BI352" i="2"/>
  <c r="BH352" i="2"/>
  <c r="BG352" i="2"/>
  <c r="BF352" i="2"/>
  <c r="BE352" i="2"/>
  <c r="BD352" i="2"/>
  <c r="BC352" i="2"/>
  <c r="BB352" i="2"/>
  <c r="BZ352" i="2" s="1"/>
  <c r="CC352" i="2" s="1"/>
  <c r="BA352" i="2"/>
  <c r="AZ352" i="2"/>
  <c r="AY352" i="2"/>
  <c r="AX352" i="2"/>
  <c r="AW352" i="2"/>
  <c r="CA351" i="2"/>
  <c r="BY351" i="2"/>
  <c r="BX351" i="2"/>
  <c r="BW351" i="2"/>
  <c r="BV351" i="2"/>
  <c r="BU351" i="2"/>
  <c r="BT351" i="2"/>
  <c r="BS351" i="2"/>
  <c r="BR351" i="2"/>
  <c r="BQ351" i="2"/>
  <c r="BP351" i="2"/>
  <c r="BO351" i="2"/>
  <c r="BN351" i="2"/>
  <c r="BM351" i="2"/>
  <c r="BL351" i="2"/>
  <c r="BK351" i="2"/>
  <c r="BJ351" i="2"/>
  <c r="BI351" i="2"/>
  <c r="BH351" i="2"/>
  <c r="BG351" i="2"/>
  <c r="BF351" i="2"/>
  <c r="BE351" i="2"/>
  <c r="BD351" i="2"/>
  <c r="BC351" i="2"/>
  <c r="BB351" i="2"/>
  <c r="BZ351" i="2" s="1"/>
  <c r="CC351" i="2" s="1"/>
  <c r="BA351" i="2"/>
  <c r="AZ351" i="2"/>
  <c r="AY351" i="2"/>
  <c r="AX351" i="2"/>
  <c r="AW351" i="2"/>
  <c r="CA350" i="2"/>
  <c r="BY350" i="2"/>
  <c r="BX350" i="2"/>
  <c r="BW350" i="2"/>
  <c r="BV350" i="2"/>
  <c r="BU350" i="2"/>
  <c r="BT350" i="2"/>
  <c r="BS350" i="2"/>
  <c r="BR350" i="2"/>
  <c r="BQ350" i="2"/>
  <c r="BP350" i="2"/>
  <c r="BO350" i="2"/>
  <c r="BN350" i="2"/>
  <c r="BM350" i="2"/>
  <c r="BL350" i="2"/>
  <c r="BK350" i="2"/>
  <c r="BJ350" i="2"/>
  <c r="BI350" i="2"/>
  <c r="BH350" i="2"/>
  <c r="BG350" i="2"/>
  <c r="BF350" i="2"/>
  <c r="BE350" i="2"/>
  <c r="BD350" i="2"/>
  <c r="BC350" i="2"/>
  <c r="BB350" i="2"/>
  <c r="BZ350" i="2" s="1"/>
  <c r="BA350" i="2"/>
  <c r="AZ350" i="2"/>
  <c r="AY350" i="2"/>
  <c r="AX350" i="2"/>
  <c r="AW350" i="2"/>
  <c r="CA349" i="2"/>
  <c r="BY349" i="2"/>
  <c r="BX349" i="2"/>
  <c r="BW349" i="2"/>
  <c r="BV349" i="2"/>
  <c r="BU349" i="2"/>
  <c r="BT349" i="2"/>
  <c r="BS349" i="2"/>
  <c r="BR349" i="2"/>
  <c r="BQ349" i="2"/>
  <c r="BP349" i="2"/>
  <c r="BO349" i="2"/>
  <c r="BN349" i="2"/>
  <c r="BM349" i="2"/>
  <c r="BL349" i="2"/>
  <c r="BK349" i="2"/>
  <c r="BJ349" i="2"/>
  <c r="BI349" i="2"/>
  <c r="BH349" i="2"/>
  <c r="BG349" i="2"/>
  <c r="BF349" i="2"/>
  <c r="BE349" i="2"/>
  <c r="BD349" i="2"/>
  <c r="BC349" i="2"/>
  <c r="BB349" i="2"/>
  <c r="BZ349" i="2" s="1"/>
  <c r="CC349" i="2" s="1"/>
  <c r="BA349" i="2"/>
  <c r="AZ349" i="2"/>
  <c r="AY349" i="2"/>
  <c r="AX349" i="2"/>
  <c r="AW349" i="2"/>
  <c r="CA348" i="2"/>
  <c r="BY348" i="2"/>
  <c r="BX348" i="2"/>
  <c r="BW348" i="2"/>
  <c r="BV348" i="2"/>
  <c r="BU348" i="2"/>
  <c r="BT348" i="2"/>
  <c r="BS348" i="2"/>
  <c r="BR348" i="2"/>
  <c r="BQ348" i="2"/>
  <c r="BP348" i="2"/>
  <c r="BO348" i="2"/>
  <c r="BN348" i="2"/>
  <c r="BM348" i="2"/>
  <c r="BL348" i="2"/>
  <c r="BK348" i="2"/>
  <c r="BJ348" i="2"/>
  <c r="BI348" i="2"/>
  <c r="BH348" i="2"/>
  <c r="BG348" i="2"/>
  <c r="BF348" i="2"/>
  <c r="BE348" i="2"/>
  <c r="BD348" i="2"/>
  <c r="BC348" i="2"/>
  <c r="BB348" i="2"/>
  <c r="BZ348" i="2" s="1"/>
  <c r="CC348" i="2" s="1"/>
  <c r="BA348" i="2"/>
  <c r="AZ348" i="2"/>
  <c r="AY348" i="2"/>
  <c r="AX348" i="2"/>
  <c r="AW348" i="2"/>
  <c r="CA347" i="2"/>
  <c r="BY347" i="2"/>
  <c r="BX347" i="2"/>
  <c r="BW347" i="2"/>
  <c r="BV347" i="2"/>
  <c r="BU347" i="2"/>
  <c r="BT347" i="2"/>
  <c r="BS347" i="2"/>
  <c r="BR347" i="2"/>
  <c r="BQ347" i="2"/>
  <c r="BP347" i="2"/>
  <c r="BO347" i="2"/>
  <c r="BN347" i="2"/>
  <c r="BM347" i="2"/>
  <c r="BL347" i="2"/>
  <c r="BK347" i="2"/>
  <c r="BJ347" i="2"/>
  <c r="BI347" i="2"/>
  <c r="BH347" i="2"/>
  <c r="BG347" i="2"/>
  <c r="BF347" i="2"/>
  <c r="BE347" i="2"/>
  <c r="BD347" i="2"/>
  <c r="BC347" i="2"/>
  <c r="BB347" i="2"/>
  <c r="BZ347" i="2" s="1"/>
  <c r="CC347" i="2" s="1"/>
  <c r="BA347" i="2"/>
  <c r="AZ347" i="2"/>
  <c r="AY347" i="2"/>
  <c r="AX347" i="2"/>
  <c r="AW347" i="2"/>
  <c r="CA346" i="2"/>
  <c r="BY346" i="2"/>
  <c r="BX346" i="2"/>
  <c r="BW346" i="2"/>
  <c r="BV346" i="2"/>
  <c r="BU346" i="2"/>
  <c r="BT346" i="2"/>
  <c r="BS346" i="2"/>
  <c r="BR346" i="2"/>
  <c r="BQ346" i="2"/>
  <c r="BP346" i="2"/>
  <c r="BO346" i="2"/>
  <c r="BN346" i="2"/>
  <c r="BM346" i="2"/>
  <c r="BL346" i="2"/>
  <c r="BK346" i="2"/>
  <c r="BJ346" i="2"/>
  <c r="BI346" i="2"/>
  <c r="BH346" i="2"/>
  <c r="BG346" i="2"/>
  <c r="BF346" i="2"/>
  <c r="BE346" i="2"/>
  <c r="BD346" i="2"/>
  <c r="BC346" i="2"/>
  <c r="BB346" i="2"/>
  <c r="BZ346" i="2" s="1"/>
  <c r="BA346" i="2"/>
  <c r="AZ346" i="2"/>
  <c r="AY346" i="2"/>
  <c r="AX346" i="2"/>
  <c r="AW346" i="2"/>
  <c r="CA345" i="2"/>
  <c r="BY345" i="2"/>
  <c r="BX345" i="2"/>
  <c r="BW345" i="2"/>
  <c r="BV345" i="2"/>
  <c r="BU345" i="2"/>
  <c r="BT345" i="2"/>
  <c r="BS345" i="2"/>
  <c r="BR345" i="2"/>
  <c r="BQ345" i="2"/>
  <c r="BP345" i="2"/>
  <c r="BO345" i="2"/>
  <c r="BN345" i="2"/>
  <c r="BM345" i="2"/>
  <c r="BL345" i="2"/>
  <c r="BK345" i="2"/>
  <c r="BJ345" i="2"/>
  <c r="BI345" i="2"/>
  <c r="BH345" i="2"/>
  <c r="BG345" i="2"/>
  <c r="BF345" i="2"/>
  <c r="BE345" i="2"/>
  <c r="BD345" i="2"/>
  <c r="BC345" i="2"/>
  <c r="BB345" i="2"/>
  <c r="BZ345" i="2" s="1"/>
  <c r="CC345" i="2" s="1"/>
  <c r="BA345" i="2"/>
  <c r="AZ345" i="2"/>
  <c r="AY345" i="2"/>
  <c r="AX345" i="2"/>
  <c r="AW345" i="2"/>
  <c r="CA344" i="2"/>
  <c r="BY344" i="2"/>
  <c r="BX344" i="2"/>
  <c r="BW344" i="2"/>
  <c r="BV344" i="2"/>
  <c r="BU344" i="2"/>
  <c r="BT344" i="2"/>
  <c r="BS344" i="2"/>
  <c r="BR344" i="2"/>
  <c r="BQ344" i="2"/>
  <c r="BP344" i="2"/>
  <c r="BO344" i="2"/>
  <c r="BN344" i="2"/>
  <c r="BM344" i="2"/>
  <c r="BL344" i="2"/>
  <c r="BK344" i="2"/>
  <c r="BJ344" i="2"/>
  <c r="BI344" i="2"/>
  <c r="BH344" i="2"/>
  <c r="BG344" i="2"/>
  <c r="BF344" i="2"/>
  <c r="BE344" i="2"/>
  <c r="BD344" i="2"/>
  <c r="BC344" i="2"/>
  <c r="BB344" i="2"/>
  <c r="BZ344" i="2" s="1"/>
  <c r="CC344" i="2" s="1"/>
  <c r="BA344" i="2"/>
  <c r="AZ344" i="2"/>
  <c r="AY344" i="2"/>
  <c r="AX344" i="2"/>
  <c r="AW344" i="2"/>
  <c r="CA343" i="2"/>
  <c r="BY343" i="2"/>
  <c r="BX343" i="2"/>
  <c r="BW343" i="2"/>
  <c r="BV343" i="2"/>
  <c r="BU343" i="2"/>
  <c r="BT343" i="2"/>
  <c r="BS343" i="2"/>
  <c r="BR343" i="2"/>
  <c r="BQ343" i="2"/>
  <c r="BP343" i="2"/>
  <c r="BO343" i="2"/>
  <c r="BN343" i="2"/>
  <c r="BM343" i="2"/>
  <c r="BL343" i="2"/>
  <c r="BK343" i="2"/>
  <c r="BJ343" i="2"/>
  <c r="BI343" i="2"/>
  <c r="BH343" i="2"/>
  <c r="BG343" i="2"/>
  <c r="BF343" i="2"/>
  <c r="BE343" i="2"/>
  <c r="BD343" i="2"/>
  <c r="BC343" i="2"/>
  <c r="BB343" i="2"/>
  <c r="BZ343" i="2" s="1"/>
  <c r="CC343" i="2" s="1"/>
  <c r="BA343" i="2"/>
  <c r="AZ343" i="2"/>
  <c r="AY343" i="2"/>
  <c r="AX343" i="2"/>
  <c r="AW343" i="2"/>
  <c r="CA342" i="2"/>
  <c r="BY342" i="2"/>
  <c r="BX342" i="2"/>
  <c r="BW342" i="2"/>
  <c r="BV342" i="2"/>
  <c r="BU342" i="2"/>
  <c r="BT342" i="2"/>
  <c r="BS342" i="2"/>
  <c r="BR342" i="2"/>
  <c r="BQ342" i="2"/>
  <c r="BP342" i="2"/>
  <c r="BO342" i="2"/>
  <c r="BN342" i="2"/>
  <c r="BM342" i="2"/>
  <c r="BL342" i="2"/>
  <c r="BK342" i="2"/>
  <c r="BJ342" i="2"/>
  <c r="BI342" i="2"/>
  <c r="BH342" i="2"/>
  <c r="BG342" i="2"/>
  <c r="BF342" i="2"/>
  <c r="BE342" i="2"/>
  <c r="BD342" i="2"/>
  <c r="BC342" i="2"/>
  <c r="BB342" i="2"/>
  <c r="BZ342" i="2" s="1"/>
  <c r="CC342" i="2" s="1"/>
  <c r="BA342" i="2"/>
  <c r="AZ342" i="2"/>
  <c r="AY342" i="2"/>
  <c r="AX342" i="2"/>
  <c r="AW342" i="2"/>
  <c r="CA341" i="2"/>
  <c r="BY341" i="2"/>
  <c r="BX341" i="2"/>
  <c r="BW341" i="2"/>
  <c r="BV341" i="2"/>
  <c r="BU341" i="2"/>
  <c r="BT341" i="2"/>
  <c r="BS341" i="2"/>
  <c r="BR341" i="2"/>
  <c r="BQ341" i="2"/>
  <c r="BP341" i="2"/>
  <c r="BO341" i="2"/>
  <c r="BN341" i="2"/>
  <c r="BM341" i="2"/>
  <c r="BL341" i="2"/>
  <c r="BK341" i="2"/>
  <c r="BJ341" i="2"/>
  <c r="BI341" i="2"/>
  <c r="BH341" i="2"/>
  <c r="BG341" i="2"/>
  <c r="BF341" i="2"/>
  <c r="BE341" i="2"/>
  <c r="BD341" i="2"/>
  <c r="BC341" i="2"/>
  <c r="BB341" i="2"/>
  <c r="BZ341" i="2" s="1"/>
  <c r="CC341" i="2" s="1"/>
  <c r="BA341" i="2"/>
  <c r="AZ341" i="2"/>
  <c r="AY341" i="2"/>
  <c r="AX341" i="2"/>
  <c r="AW341" i="2"/>
  <c r="CA340" i="2"/>
  <c r="BY340" i="2"/>
  <c r="BX340" i="2"/>
  <c r="BW340" i="2"/>
  <c r="BV340" i="2"/>
  <c r="BU340" i="2"/>
  <c r="BT340" i="2"/>
  <c r="BS340" i="2"/>
  <c r="BR340" i="2"/>
  <c r="BQ340" i="2"/>
  <c r="BP340" i="2"/>
  <c r="BO340" i="2"/>
  <c r="BN340" i="2"/>
  <c r="BM340" i="2"/>
  <c r="BL340" i="2"/>
  <c r="BK340" i="2"/>
  <c r="BJ340" i="2"/>
  <c r="BI340" i="2"/>
  <c r="BH340" i="2"/>
  <c r="BG340" i="2"/>
  <c r="BF340" i="2"/>
  <c r="BE340" i="2"/>
  <c r="BD340" i="2"/>
  <c r="BC340" i="2"/>
  <c r="BB340" i="2"/>
  <c r="BZ340" i="2" s="1"/>
  <c r="BA340" i="2"/>
  <c r="AZ340" i="2"/>
  <c r="AY340" i="2"/>
  <c r="AX340" i="2"/>
  <c r="AW340" i="2"/>
  <c r="CA339" i="2"/>
  <c r="BY339" i="2"/>
  <c r="BX339" i="2"/>
  <c r="BW339" i="2"/>
  <c r="BV339" i="2"/>
  <c r="BU339" i="2"/>
  <c r="BT339" i="2"/>
  <c r="BS339" i="2"/>
  <c r="BR339" i="2"/>
  <c r="BQ339" i="2"/>
  <c r="BP339" i="2"/>
  <c r="BO339" i="2"/>
  <c r="BN339" i="2"/>
  <c r="BM339" i="2"/>
  <c r="BL339" i="2"/>
  <c r="BK339" i="2"/>
  <c r="BJ339" i="2"/>
  <c r="BI339" i="2"/>
  <c r="BH339" i="2"/>
  <c r="BG339" i="2"/>
  <c r="BF339" i="2"/>
  <c r="BE339" i="2"/>
  <c r="BD339" i="2"/>
  <c r="BC339" i="2"/>
  <c r="BB339" i="2"/>
  <c r="BZ339" i="2" s="1"/>
  <c r="BA339" i="2"/>
  <c r="AZ339" i="2"/>
  <c r="AY339" i="2"/>
  <c r="AX339" i="2"/>
  <c r="AW339" i="2"/>
  <c r="CA338" i="2"/>
  <c r="BY338" i="2"/>
  <c r="BX338" i="2"/>
  <c r="BW338" i="2"/>
  <c r="BV338" i="2"/>
  <c r="BU338" i="2"/>
  <c r="BT338" i="2"/>
  <c r="BS338" i="2"/>
  <c r="BR338" i="2"/>
  <c r="BQ338" i="2"/>
  <c r="BP338" i="2"/>
  <c r="BO338" i="2"/>
  <c r="BN338" i="2"/>
  <c r="BM338" i="2"/>
  <c r="BL338" i="2"/>
  <c r="BK338" i="2"/>
  <c r="BJ338" i="2"/>
  <c r="BI338" i="2"/>
  <c r="BH338" i="2"/>
  <c r="BG338" i="2"/>
  <c r="BF338" i="2"/>
  <c r="BE338" i="2"/>
  <c r="BD338" i="2"/>
  <c r="BC338" i="2"/>
  <c r="BB338" i="2"/>
  <c r="BZ338" i="2" s="1"/>
  <c r="CC338" i="2" s="1"/>
  <c r="BA338" i="2"/>
  <c r="AZ338" i="2"/>
  <c r="AY338" i="2"/>
  <c r="AX338" i="2"/>
  <c r="AW338" i="2"/>
  <c r="CA337" i="2"/>
  <c r="BY337" i="2"/>
  <c r="BX337" i="2"/>
  <c r="BW337" i="2"/>
  <c r="BV337" i="2"/>
  <c r="BU337" i="2"/>
  <c r="BT337" i="2"/>
  <c r="BS337" i="2"/>
  <c r="BR337" i="2"/>
  <c r="BQ337" i="2"/>
  <c r="BP337" i="2"/>
  <c r="BO337" i="2"/>
  <c r="BN337" i="2"/>
  <c r="BM337" i="2"/>
  <c r="BL337" i="2"/>
  <c r="BK337" i="2"/>
  <c r="BJ337" i="2"/>
  <c r="BI337" i="2"/>
  <c r="BH337" i="2"/>
  <c r="BG337" i="2"/>
  <c r="BF337" i="2"/>
  <c r="BE337" i="2"/>
  <c r="BD337" i="2"/>
  <c r="BC337" i="2"/>
  <c r="BB337" i="2"/>
  <c r="BZ337" i="2" s="1"/>
  <c r="CC337" i="2" s="1"/>
  <c r="BA337" i="2"/>
  <c r="AZ337" i="2"/>
  <c r="AY337" i="2"/>
  <c r="AX337" i="2"/>
  <c r="AW337" i="2"/>
  <c r="CA336" i="2"/>
  <c r="BY336" i="2"/>
  <c r="BX336" i="2"/>
  <c r="BW336" i="2"/>
  <c r="BV336" i="2"/>
  <c r="BU336" i="2"/>
  <c r="BT336" i="2"/>
  <c r="BS336" i="2"/>
  <c r="BR336" i="2"/>
  <c r="BQ336" i="2"/>
  <c r="BP336" i="2"/>
  <c r="BO336" i="2"/>
  <c r="BN336" i="2"/>
  <c r="BM336" i="2"/>
  <c r="BL336" i="2"/>
  <c r="BK336" i="2"/>
  <c r="BJ336" i="2"/>
  <c r="BI336" i="2"/>
  <c r="BH336" i="2"/>
  <c r="BG336" i="2"/>
  <c r="BF336" i="2"/>
  <c r="BE336" i="2"/>
  <c r="BD336" i="2"/>
  <c r="BC336" i="2"/>
  <c r="BB336" i="2"/>
  <c r="BZ336" i="2" s="1"/>
  <c r="BA336" i="2"/>
  <c r="AZ336" i="2"/>
  <c r="AY336" i="2"/>
  <c r="AX336" i="2"/>
  <c r="AW336" i="2"/>
  <c r="CA335" i="2"/>
  <c r="BY335" i="2"/>
  <c r="BX335" i="2"/>
  <c r="BW335" i="2"/>
  <c r="BV335" i="2"/>
  <c r="BU335" i="2"/>
  <c r="BT335" i="2"/>
  <c r="BS335" i="2"/>
  <c r="BR335" i="2"/>
  <c r="BQ335" i="2"/>
  <c r="BP335" i="2"/>
  <c r="BO335" i="2"/>
  <c r="BN335" i="2"/>
  <c r="BM335" i="2"/>
  <c r="BL335" i="2"/>
  <c r="BK335" i="2"/>
  <c r="BJ335" i="2"/>
  <c r="BI335" i="2"/>
  <c r="BH335" i="2"/>
  <c r="BG335" i="2"/>
  <c r="BF335" i="2"/>
  <c r="BE335" i="2"/>
  <c r="BD335" i="2"/>
  <c r="BC335" i="2"/>
  <c r="BB335" i="2"/>
  <c r="BZ335" i="2" s="1"/>
  <c r="BA335" i="2"/>
  <c r="AZ335" i="2"/>
  <c r="AY335" i="2"/>
  <c r="AX335" i="2"/>
  <c r="AW335" i="2"/>
  <c r="CA334" i="2"/>
  <c r="BY334" i="2"/>
  <c r="BX334" i="2"/>
  <c r="BW334" i="2"/>
  <c r="BV334" i="2"/>
  <c r="BU334" i="2"/>
  <c r="BT334" i="2"/>
  <c r="BS334" i="2"/>
  <c r="BR334" i="2"/>
  <c r="BQ334" i="2"/>
  <c r="BP334" i="2"/>
  <c r="BO334" i="2"/>
  <c r="BN334" i="2"/>
  <c r="BM334" i="2"/>
  <c r="BL334" i="2"/>
  <c r="BK334" i="2"/>
  <c r="BJ334" i="2"/>
  <c r="BI334" i="2"/>
  <c r="BH334" i="2"/>
  <c r="BG334" i="2"/>
  <c r="BF334" i="2"/>
  <c r="BE334" i="2"/>
  <c r="BD334" i="2"/>
  <c r="BC334" i="2"/>
  <c r="BB334" i="2"/>
  <c r="BZ334" i="2" s="1"/>
  <c r="CC334" i="2" s="1"/>
  <c r="BA334" i="2"/>
  <c r="AZ334" i="2"/>
  <c r="AY334" i="2"/>
  <c r="AX334" i="2"/>
  <c r="AW334" i="2"/>
  <c r="CA333" i="2"/>
  <c r="BY333" i="2"/>
  <c r="BX333" i="2"/>
  <c r="BW333" i="2"/>
  <c r="BV333" i="2"/>
  <c r="BU333" i="2"/>
  <c r="BT333" i="2"/>
  <c r="BS333" i="2"/>
  <c r="BR333" i="2"/>
  <c r="BQ333" i="2"/>
  <c r="BP333" i="2"/>
  <c r="BO333" i="2"/>
  <c r="BN333" i="2"/>
  <c r="BM333" i="2"/>
  <c r="BL333" i="2"/>
  <c r="BK333" i="2"/>
  <c r="BJ333" i="2"/>
  <c r="BI333" i="2"/>
  <c r="BH333" i="2"/>
  <c r="BG333" i="2"/>
  <c r="BF333" i="2"/>
  <c r="BE333" i="2"/>
  <c r="BD333" i="2"/>
  <c r="BC333" i="2"/>
  <c r="BB333" i="2"/>
  <c r="BZ333" i="2" s="1"/>
  <c r="BA333" i="2"/>
  <c r="AZ333" i="2"/>
  <c r="AY333" i="2"/>
  <c r="AX333" i="2"/>
  <c r="AW333" i="2"/>
  <c r="CA332" i="2"/>
  <c r="BY332" i="2"/>
  <c r="BX332" i="2"/>
  <c r="BW332" i="2"/>
  <c r="BV332" i="2"/>
  <c r="BU332" i="2"/>
  <c r="BT332" i="2"/>
  <c r="BS332" i="2"/>
  <c r="BR332" i="2"/>
  <c r="BQ332" i="2"/>
  <c r="BP332" i="2"/>
  <c r="BO332" i="2"/>
  <c r="BN332" i="2"/>
  <c r="BM332" i="2"/>
  <c r="BL332" i="2"/>
  <c r="BK332" i="2"/>
  <c r="BJ332" i="2"/>
  <c r="BI332" i="2"/>
  <c r="BH332" i="2"/>
  <c r="BG332" i="2"/>
  <c r="BF332" i="2"/>
  <c r="BE332" i="2"/>
  <c r="BD332" i="2"/>
  <c r="BC332" i="2"/>
  <c r="BB332" i="2"/>
  <c r="BZ332" i="2" s="1"/>
  <c r="CC332" i="2" s="1"/>
  <c r="BA332" i="2"/>
  <c r="AZ332" i="2"/>
  <c r="AY332" i="2"/>
  <c r="AX332" i="2"/>
  <c r="AW332" i="2"/>
  <c r="CA331" i="2"/>
  <c r="BY331" i="2"/>
  <c r="BX331" i="2"/>
  <c r="BW331" i="2"/>
  <c r="BV331" i="2"/>
  <c r="BU331" i="2"/>
  <c r="BT331" i="2"/>
  <c r="BS331" i="2"/>
  <c r="BR331" i="2"/>
  <c r="BQ331" i="2"/>
  <c r="BP331" i="2"/>
  <c r="BO331" i="2"/>
  <c r="BN331" i="2"/>
  <c r="BM331" i="2"/>
  <c r="BL331" i="2"/>
  <c r="BK331" i="2"/>
  <c r="BJ331" i="2"/>
  <c r="BI331" i="2"/>
  <c r="BH331" i="2"/>
  <c r="BG331" i="2"/>
  <c r="BF331" i="2"/>
  <c r="BE331" i="2"/>
  <c r="BD331" i="2"/>
  <c r="BC331" i="2"/>
  <c r="BB331" i="2"/>
  <c r="BZ331" i="2" s="1"/>
  <c r="CC331" i="2" s="1"/>
  <c r="BA331" i="2"/>
  <c r="AZ331" i="2"/>
  <c r="AY331" i="2"/>
  <c r="AX331" i="2"/>
  <c r="AW331" i="2"/>
  <c r="CA330" i="2"/>
  <c r="BY330" i="2"/>
  <c r="BX330" i="2"/>
  <c r="BW330" i="2"/>
  <c r="BV330" i="2"/>
  <c r="BU330" i="2"/>
  <c r="BT330" i="2"/>
  <c r="BS330" i="2"/>
  <c r="BR330" i="2"/>
  <c r="BQ330" i="2"/>
  <c r="BP330" i="2"/>
  <c r="BO330" i="2"/>
  <c r="BN330" i="2"/>
  <c r="BM330" i="2"/>
  <c r="BL330" i="2"/>
  <c r="BK330" i="2"/>
  <c r="BJ330" i="2"/>
  <c r="BI330" i="2"/>
  <c r="BH330" i="2"/>
  <c r="BG330" i="2"/>
  <c r="BF330" i="2"/>
  <c r="BE330" i="2"/>
  <c r="BD330" i="2"/>
  <c r="BC330" i="2"/>
  <c r="BB330" i="2"/>
  <c r="BZ330" i="2" s="1"/>
  <c r="BA330" i="2"/>
  <c r="AZ330" i="2"/>
  <c r="AY330" i="2"/>
  <c r="AX330" i="2"/>
  <c r="AW330" i="2"/>
  <c r="CA329" i="2"/>
  <c r="BY329" i="2"/>
  <c r="BX329" i="2"/>
  <c r="BW329" i="2"/>
  <c r="BV329" i="2"/>
  <c r="BU329" i="2"/>
  <c r="BT329" i="2"/>
  <c r="BS329" i="2"/>
  <c r="BR329" i="2"/>
  <c r="BQ329" i="2"/>
  <c r="BP329" i="2"/>
  <c r="BO329" i="2"/>
  <c r="BN329" i="2"/>
  <c r="BM329" i="2"/>
  <c r="BL329" i="2"/>
  <c r="BK329" i="2"/>
  <c r="BJ329" i="2"/>
  <c r="BI329" i="2"/>
  <c r="BH329" i="2"/>
  <c r="BG329" i="2"/>
  <c r="BF329" i="2"/>
  <c r="BE329" i="2"/>
  <c r="BD329" i="2"/>
  <c r="BC329" i="2"/>
  <c r="BB329" i="2"/>
  <c r="BZ329" i="2" s="1"/>
  <c r="BA329" i="2"/>
  <c r="AZ329" i="2"/>
  <c r="AY329" i="2"/>
  <c r="AX329" i="2"/>
  <c r="AW329" i="2"/>
  <c r="CA328" i="2"/>
  <c r="BY328" i="2"/>
  <c r="BX328" i="2"/>
  <c r="BW328" i="2"/>
  <c r="BV328" i="2"/>
  <c r="BU328" i="2"/>
  <c r="BT328" i="2"/>
  <c r="BS328" i="2"/>
  <c r="BR328" i="2"/>
  <c r="BQ328" i="2"/>
  <c r="BP328" i="2"/>
  <c r="BO328" i="2"/>
  <c r="BN328" i="2"/>
  <c r="BM328" i="2"/>
  <c r="BL328" i="2"/>
  <c r="BK328" i="2"/>
  <c r="BJ328" i="2"/>
  <c r="BI328" i="2"/>
  <c r="BH328" i="2"/>
  <c r="BG328" i="2"/>
  <c r="BF328" i="2"/>
  <c r="BE328" i="2"/>
  <c r="BD328" i="2"/>
  <c r="BC328" i="2"/>
  <c r="BB328" i="2"/>
  <c r="BZ328" i="2" s="1"/>
  <c r="CC328" i="2" s="1"/>
  <c r="BA328" i="2"/>
  <c r="AZ328" i="2"/>
  <c r="AY328" i="2"/>
  <c r="AX328" i="2"/>
  <c r="AW328" i="2"/>
  <c r="CA327" i="2"/>
  <c r="BY327" i="2"/>
  <c r="BX327" i="2"/>
  <c r="BW327" i="2"/>
  <c r="BV327" i="2"/>
  <c r="BU327" i="2"/>
  <c r="BT327" i="2"/>
  <c r="BS327" i="2"/>
  <c r="BR327" i="2"/>
  <c r="BQ327" i="2"/>
  <c r="BP327" i="2"/>
  <c r="BO327" i="2"/>
  <c r="BN327" i="2"/>
  <c r="BM327" i="2"/>
  <c r="BL327" i="2"/>
  <c r="BK327" i="2"/>
  <c r="BJ327" i="2"/>
  <c r="BI327" i="2"/>
  <c r="BH327" i="2"/>
  <c r="BG327" i="2"/>
  <c r="BF327" i="2"/>
  <c r="BE327" i="2"/>
  <c r="BD327" i="2"/>
  <c r="BC327" i="2"/>
  <c r="BB327" i="2"/>
  <c r="BZ327" i="2" s="1"/>
  <c r="CC327" i="2" s="1"/>
  <c r="BA327" i="2"/>
  <c r="AZ327" i="2"/>
  <c r="AY327" i="2"/>
  <c r="AX327" i="2"/>
  <c r="AW327" i="2"/>
  <c r="CA326" i="2"/>
  <c r="BY326" i="2"/>
  <c r="BX326" i="2"/>
  <c r="BW326" i="2"/>
  <c r="BV326" i="2"/>
  <c r="BU326" i="2"/>
  <c r="BT326" i="2"/>
  <c r="BS326" i="2"/>
  <c r="BR326" i="2"/>
  <c r="BQ326" i="2"/>
  <c r="BP326" i="2"/>
  <c r="BO326" i="2"/>
  <c r="BN326" i="2"/>
  <c r="BM326" i="2"/>
  <c r="BL326" i="2"/>
  <c r="BK326" i="2"/>
  <c r="BJ326" i="2"/>
  <c r="BI326" i="2"/>
  <c r="BH326" i="2"/>
  <c r="BG326" i="2"/>
  <c r="BF326" i="2"/>
  <c r="BE326" i="2"/>
  <c r="BD326" i="2"/>
  <c r="BC326" i="2"/>
  <c r="BB326" i="2"/>
  <c r="BZ326" i="2" s="1"/>
  <c r="CC326" i="2" s="1"/>
  <c r="BA326" i="2"/>
  <c r="AZ326" i="2"/>
  <c r="AY326" i="2"/>
  <c r="AX326" i="2"/>
  <c r="AW326" i="2"/>
  <c r="CA325" i="2"/>
  <c r="BY325" i="2"/>
  <c r="BX325" i="2"/>
  <c r="BW325" i="2"/>
  <c r="BV325" i="2"/>
  <c r="BU325" i="2"/>
  <c r="BT325" i="2"/>
  <c r="BS325" i="2"/>
  <c r="BR325" i="2"/>
  <c r="BQ325" i="2"/>
  <c r="BP325" i="2"/>
  <c r="BO325" i="2"/>
  <c r="BN325" i="2"/>
  <c r="BM325" i="2"/>
  <c r="BL325" i="2"/>
  <c r="BK325" i="2"/>
  <c r="BJ325" i="2"/>
  <c r="BI325" i="2"/>
  <c r="BH325" i="2"/>
  <c r="BG325" i="2"/>
  <c r="BF325" i="2"/>
  <c r="BE325" i="2"/>
  <c r="BD325" i="2"/>
  <c r="BC325" i="2"/>
  <c r="BB325" i="2"/>
  <c r="BZ325" i="2" s="1"/>
  <c r="BA325" i="2"/>
  <c r="AZ325" i="2"/>
  <c r="AY325" i="2"/>
  <c r="AX325" i="2"/>
  <c r="AW325" i="2"/>
  <c r="CA324" i="2"/>
  <c r="BY324" i="2"/>
  <c r="BX324" i="2"/>
  <c r="BW324" i="2"/>
  <c r="BV324" i="2"/>
  <c r="BU324" i="2"/>
  <c r="BT324" i="2"/>
  <c r="BS324" i="2"/>
  <c r="BR324" i="2"/>
  <c r="BQ324" i="2"/>
  <c r="BP324" i="2"/>
  <c r="BO324" i="2"/>
  <c r="BN324" i="2"/>
  <c r="BM324" i="2"/>
  <c r="BL324" i="2"/>
  <c r="BK324" i="2"/>
  <c r="BJ324" i="2"/>
  <c r="BI324" i="2"/>
  <c r="BH324" i="2"/>
  <c r="BG324" i="2"/>
  <c r="BF324" i="2"/>
  <c r="BE324" i="2"/>
  <c r="BD324" i="2"/>
  <c r="BC324" i="2"/>
  <c r="BB324" i="2"/>
  <c r="BZ324" i="2" s="1"/>
  <c r="CC324" i="2" s="1"/>
  <c r="BA324" i="2"/>
  <c r="AZ324" i="2"/>
  <c r="AY324" i="2"/>
  <c r="AX324" i="2"/>
  <c r="AW324" i="2"/>
  <c r="CA323" i="2"/>
  <c r="BY323" i="2"/>
  <c r="BX323" i="2"/>
  <c r="BW323" i="2"/>
  <c r="BV323" i="2"/>
  <c r="BU323" i="2"/>
  <c r="BT323" i="2"/>
  <c r="BS323" i="2"/>
  <c r="BR323" i="2"/>
  <c r="BQ323" i="2"/>
  <c r="BP323" i="2"/>
  <c r="BO323" i="2"/>
  <c r="BN323" i="2"/>
  <c r="BM323" i="2"/>
  <c r="BL323" i="2"/>
  <c r="BK323" i="2"/>
  <c r="BJ323" i="2"/>
  <c r="BI323" i="2"/>
  <c r="BH323" i="2"/>
  <c r="BG323" i="2"/>
  <c r="BF323" i="2"/>
  <c r="BE323" i="2"/>
  <c r="BD323" i="2"/>
  <c r="BC323" i="2"/>
  <c r="BB323" i="2"/>
  <c r="BZ323" i="2" s="1"/>
  <c r="CC323" i="2" s="1"/>
  <c r="BA323" i="2"/>
  <c r="AZ323" i="2"/>
  <c r="AY323" i="2"/>
  <c r="AX323" i="2"/>
  <c r="AW323" i="2"/>
  <c r="CA322" i="2"/>
  <c r="BY322" i="2"/>
  <c r="BX322" i="2"/>
  <c r="BW322" i="2"/>
  <c r="BV322" i="2"/>
  <c r="BU322" i="2"/>
  <c r="BT322" i="2"/>
  <c r="BS322" i="2"/>
  <c r="BR322" i="2"/>
  <c r="BQ322" i="2"/>
  <c r="BP322" i="2"/>
  <c r="BO322" i="2"/>
  <c r="BN322" i="2"/>
  <c r="BM322" i="2"/>
  <c r="BL322" i="2"/>
  <c r="BK322" i="2"/>
  <c r="BJ322" i="2"/>
  <c r="BI322" i="2"/>
  <c r="BH322" i="2"/>
  <c r="BG322" i="2"/>
  <c r="BF322" i="2"/>
  <c r="BE322" i="2"/>
  <c r="BD322" i="2"/>
  <c r="BC322" i="2"/>
  <c r="BB322" i="2"/>
  <c r="BZ322" i="2" s="1"/>
  <c r="BA322" i="2"/>
  <c r="AZ322" i="2"/>
  <c r="AY322" i="2"/>
  <c r="AX322" i="2"/>
  <c r="AW322" i="2"/>
  <c r="CA321" i="2"/>
  <c r="BY321" i="2"/>
  <c r="BX321" i="2"/>
  <c r="BW321" i="2"/>
  <c r="BV321" i="2"/>
  <c r="BU321" i="2"/>
  <c r="BT321" i="2"/>
  <c r="BS321" i="2"/>
  <c r="BR321" i="2"/>
  <c r="BQ321" i="2"/>
  <c r="BP321" i="2"/>
  <c r="BO321" i="2"/>
  <c r="BN321" i="2"/>
  <c r="BM321" i="2"/>
  <c r="BL321" i="2"/>
  <c r="BK321" i="2"/>
  <c r="BJ321" i="2"/>
  <c r="BI321" i="2"/>
  <c r="BH321" i="2"/>
  <c r="BG321" i="2"/>
  <c r="BF321" i="2"/>
  <c r="BE321" i="2"/>
  <c r="BD321" i="2"/>
  <c r="BC321" i="2"/>
  <c r="BB321" i="2"/>
  <c r="BZ321" i="2" s="1"/>
  <c r="BA321" i="2"/>
  <c r="AZ321" i="2"/>
  <c r="AY321" i="2"/>
  <c r="AX321" i="2"/>
  <c r="AW321" i="2"/>
  <c r="CA320" i="2"/>
  <c r="BY320" i="2"/>
  <c r="BX320" i="2"/>
  <c r="BW320" i="2"/>
  <c r="BV320" i="2"/>
  <c r="BU320" i="2"/>
  <c r="BT320" i="2"/>
  <c r="BS320" i="2"/>
  <c r="BR320" i="2"/>
  <c r="BQ320" i="2"/>
  <c r="BP320" i="2"/>
  <c r="BO320" i="2"/>
  <c r="BN320" i="2"/>
  <c r="BM320" i="2"/>
  <c r="BL320" i="2"/>
  <c r="BK320" i="2"/>
  <c r="BJ320" i="2"/>
  <c r="BI320" i="2"/>
  <c r="BH320" i="2"/>
  <c r="BG320" i="2"/>
  <c r="BF320" i="2"/>
  <c r="BE320" i="2"/>
  <c r="BD320" i="2"/>
  <c r="BC320" i="2"/>
  <c r="BB320" i="2"/>
  <c r="BZ320" i="2" s="1"/>
  <c r="CC320" i="2" s="1"/>
  <c r="BA320" i="2"/>
  <c r="AZ320" i="2"/>
  <c r="AY320" i="2"/>
  <c r="AX320" i="2"/>
  <c r="AW320" i="2"/>
  <c r="CA319" i="2"/>
  <c r="BY319" i="2"/>
  <c r="BX319" i="2"/>
  <c r="BW319" i="2"/>
  <c r="BV319" i="2"/>
  <c r="BU319" i="2"/>
  <c r="BT319" i="2"/>
  <c r="BS319" i="2"/>
  <c r="BR319" i="2"/>
  <c r="BQ319" i="2"/>
  <c r="BP319" i="2"/>
  <c r="BO319" i="2"/>
  <c r="BN319" i="2"/>
  <c r="BM319" i="2"/>
  <c r="BL319" i="2"/>
  <c r="BK319" i="2"/>
  <c r="BJ319" i="2"/>
  <c r="BI319" i="2"/>
  <c r="BH319" i="2"/>
  <c r="BG319" i="2"/>
  <c r="BF319" i="2"/>
  <c r="BE319" i="2"/>
  <c r="BD319" i="2"/>
  <c r="BC319" i="2"/>
  <c r="BB319" i="2"/>
  <c r="BZ319" i="2" s="1"/>
  <c r="CC319" i="2" s="1"/>
  <c r="BA319" i="2"/>
  <c r="AZ319" i="2"/>
  <c r="AY319" i="2"/>
  <c r="AX319" i="2"/>
  <c r="AW319" i="2"/>
  <c r="CA318" i="2"/>
  <c r="BY318" i="2"/>
  <c r="BX318" i="2"/>
  <c r="BW318" i="2"/>
  <c r="BV318" i="2"/>
  <c r="BU318" i="2"/>
  <c r="BT318" i="2"/>
  <c r="BS318" i="2"/>
  <c r="BR318" i="2"/>
  <c r="BQ318" i="2"/>
  <c r="BP318" i="2"/>
  <c r="BO318" i="2"/>
  <c r="BN318" i="2"/>
  <c r="BM318" i="2"/>
  <c r="BL318" i="2"/>
  <c r="BK318" i="2"/>
  <c r="BJ318" i="2"/>
  <c r="BI318" i="2"/>
  <c r="BH318" i="2"/>
  <c r="BG318" i="2"/>
  <c r="BF318" i="2"/>
  <c r="BE318" i="2"/>
  <c r="BD318" i="2"/>
  <c r="BC318" i="2"/>
  <c r="BB318" i="2"/>
  <c r="BZ318" i="2" s="1"/>
  <c r="BA318" i="2"/>
  <c r="AZ318" i="2"/>
  <c r="AY318" i="2"/>
  <c r="AX318" i="2"/>
  <c r="AW318" i="2"/>
  <c r="CA317" i="2"/>
  <c r="BY317" i="2"/>
  <c r="BX317" i="2"/>
  <c r="BW317" i="2"/>
  <c r="BV317" i="2"/>
  <c r="BU317" i="2"/>
  <c r="BT317" i="2"/>
  <c r="BS317" i="2"/>
  <c r="BR317" i="2"/>
  <c r="BQ317" i="2"/>
  <c r="BP317" i="2"/>
  <c r="BO317" i="2"/>
  <c r="BN317" i="2"/>
  <c r="BM317" i="2"/>
  <c r="BL317" i="2"/>
  <c r="BK317" i="2"/>
  <c r="BJ317" i="2"/>
  <c r="BI317" i="2"/>
  <c r="BH317" i="2"/>
  <c r="BG317" i="2"/>
  <c r="BF317" i="2"/>
  <c r="BE317" i="2"/>
  <c r="BD317" i="2"/>
  <c r="BC317" i="2"/>
  <c r="BB317" i="2"/>
  <c r="BZ317" i="2" s="1"/>
  <c r="CC317" i="2" s="1"/>
  <c r="BA317" i="2"/>
  <c r="AZ317" i="2"/>
  <c r="AY317" i="2"/>
  <c r="AX317" i="2"/>
  <c r="AW317" i="2"/>
  <c r="CA316" i="2"/>
  <c r="BY316" i="2"/>
  <c r="BX316" i="2"/>
  <c r="BW316" i="2"/>
  <c r="BV316" i="2"/>
  <c r="BU316" i="2"/>
  <c r="BT316" i="2"/>
  <c r="BS316" i="2"/>
  <c r="BR316" i="2"/>
  <c r="BQ316" i="2"/>
  <c r="BP316" i="2"/>
  <c r="BO316" i="2"/>
  <c r="BN316" i="2"/>
  <c r="BM316" i="2"/>
  <c r="BL316" i="2"/>
  <c r="BK316" i="2"/>
  <c r="BJ316" i="2"/>
  <c r="BI316" i="2"/>
  <c r="BH316" i="2"/>
  <c r="BG316" i="2"/>
  <c r="BF316" i="2"/>
  <c r="BE316" i="2"/>
  <c r="BD316" i="2"/>
  <c r="BC316" i="2"/>
  <c r="BB316" i="2"/>
  <c r="BZ316" i="2" s="1"/>
  <c r="CC316" i="2" s="1"/>
  <c r="BA316" i="2"/>
  <c r="AZ316" i="2"/>
  <c r="AY316" i="2"/>
  <c r="AX316" i="2"/>
  <c r="AW316" i="2"/>
  <c r="CA315" i="2"/>
  <c r="BY315" i="2"/>
  <c r="BX315" i="2"/>
  <c r="BW315" i="2"/>
  <c r="BV315" i="2"/>
  <c r="BU315" i="2"/>
  <c r="BT315" i="2"/>
  <c r="BS315" i="2"/>
  <c r="BR315" i="2"/>
  <c r="BQ315" i="2"/>
  <c r="BP315" i="2"/>
  <c r="BO315" i="2"/>
  <c r="BN315" i="2"/>
  <c r="BM315" i="2"/>
  <c r="BL315" i="2"/>
  <c r="BK315" i="2"/>
  <c r="BJ315" i="2"/>
  <c r="BI315" i="2"/>
  <c r="BH315" i="2"/>
  <c r="BG315" i="2"/>
  <c r="BF315" i="2"/>
  <c r="BE315" i="2"/>
  <c r="BD315" i="2"/>
  <c r="BC315" i="2"/>
  <c r="BB315" i="2"/>
  <c r="BZ315" i="2" s="1"/>
  <c r="BA315" i="2"/>
  <c r="AZ315" i="2"/>
  <c r="AY315" i="2"/>
  <c r="AX315" i="2"/>
  <c r="AW315" i="2"/>
  <c r="CA314" i="2"/>
  <c r="BY314" i="2"/>
  <c r="BX314" i="2"/>
  <c r="BW314" i="2"/>
  <c r="BV314" i="2"/>
  <c r="BU314" i="2"/>
  <c r="BT314" i="2"/>
  <c r="BS314" i="2"/>
  <c r="BR314" i="2"/>
  <c r="BQ314" i="2"/>
  <c r="BP314" i="2"/>
  <c r="BO314" i="2"/>
  <c r="BN314" i="2"/>
  <c r="BM314" i="2"/>
  <c r="BL314" i="2"/>
  <c r="BK314" i="2"/>
  <c r="BJ314" i="2"/>
  <c r="BI314" i="2"/>
  <c r="BH314" i="2"/>
  <c r="BG314" i="2"/>
  <c r="BF314" i="2"/>
  <c r="BE314" i="2"/>
  <c r="BD314" i="2"/>
  <c r="BC314" i="2"/>
  <c r="BB314" i="2"/>
  <c r="BZ314" i="2" s="1"/>
  <c r="BA314" i="2"/>
  <c r="AZ314" i="2"/>
  <c r="AY314" i="2"/>
  <c r="AX314" i="2"/>
  <c r="AW314" i="2"/>
  <c r="CA313" i="2"/>
  <c r="BY313" i="2"/>
  <c r="BX313" i="2"/>
  <c r="BW313" i="2"/>
  <c r="BV313" i="2"/>
  <c r="BU313" i="2"/>
  <c r="BT313" i="2"/>
  <c r="BS313" i="2"/>
  <c r="BR313" i="2"/>
  <c r="BQ313" i="2"/>
  <c r="BP313" i="2"/>
  <c r="BO313" i="2"/>
  <c r="BN313" i="2"/>
  <c r="BM313" i="2"/>
  <c r="BL313" i="2"/>
  <c r="BK313" i="2"/>
  <c r="BJ313" i="2"/>
  <c r="BI313" i="2"/>
  <c r="BH313" i="2"/>
  <c r="BG313" i="2"/>
  <c r="BF313" i="2"/>
  <c r="BE313" i="2"/>
  <c r="BD313" i="2"/>
  <c r="BC313" i="2"/>
  <c r="BB313" i="2"/>
  <c r="BZ313" i="2" s="1"/>
  <c r="BA313" i="2"/>
  <c r="AZ313" i="2"/>
  <c r="AY313" i="2"/>
  <c r="AX313" i="2"/>
  <c r="AW313" i="2"/>
  <c r="CA312" i="2"/>
  <c r="BY312" i="2"/>
  <c r="BX312" i="2"/>
  <c r="BW312" i="2"/>
  <c r="BV312" i="2"/>
  <c r="BU312" i="2"/>
  <c r="BT312" i="2"/>
  <c r="BS312" i="2"/>
  <c r="BR312" i="2"/>
  <c r="BQ312" i="2"/>
  <c r="BP312" i="2"/>
  <c r="BO312" i="2"/>
  <c r="BN312" i="2"/>
  <c r="BM312" i="2"/>
  <c r="BL312" i="2"/>
  <c r="BK312" i="2"/>
  <c r="BJ312" i="2"/>
  <c r="BI312" i="2"/>
  <c r="BH312" i="2"/>
  <c r="BG312" i="2"/>
  <c r="BF312" i="2"/>
  <c r="BE312" i="2"/>
  <c r="BD312" i="2"/>
  <c r="BC312" i="2"/>
  <c r="BB312" i="2"/>
  <c r="BZ312" i="2" s="1"/>
  <c r="BA312" i="2"/>
  <c r="AZ312" i="2"/>
  <c r="AY312" i="2"/>
  <c r="AX312" i="2"/>
  <c r="AW312" i="2"/>
  <c r="CA311" i="2"/>
  <c r="BY311" i="2"/>
  <c r="BX311" i="2"/>
  <c r="BW311" i="2"/>
  <c r="BV311" i="2"/>
  <c r="BU311" i="2"/>
  <c r="BT311" i="2"/>
  <c r="BS311" i="2"/>
  <c r="BR311" i="2"/>
  <c r="BQ311" i="2"/>
  <c r="BP311" i="2"/>
  <c r="BO311" i="2"/>
  <c r="BN311" i="2"/>
  <c r="BM311" i="2"/>
  <c r="BL311" i="2"/>
  <c r="BK311" i="2"/>
  <c r="BJ311" i="2"/>
  <c r="BI311" i="2"/>
  <c r="BH311" i="2"/>
  <c r="BG311" i="2"/>
  <c r="BF311" i="2"/>
  <c r="BE311" i="2"/>
  <c r="BD311" i="2"/>
  <c r="BC311" i="2"/>
  <c r="BB311" i="2"/>
  <c r="BZ311" i="2" s="1"/>
  <c r="BA311" i="2"/>
  <c r="AZ311" i="2"/>
  <c r="AY311" i="2"/>
  <c r="AX311" i="2"/>
  <c r="AW311" i="2"/>
  <c r="CA310" i="2"/>
  <c r="BY310" i="2"/>
  <c r="BX310" i="2"/>
  <c r="BW310" i="2"/>
  <c r="BV310" i="2"/>
  <c r="BU310" i="2"/>
  <c r="BT310" i="2"/>
  <c r="BS310" i="2"/>
  <c r="BR310" i="2"/>
  <c r="BQ310" i="2"/>
  <c r="BP310" i="2"/>
  <c r="BO310" i="2"/>
  <c r="BN310" i="2"/>
  <c r="BM310" i="2"/>
  <c r="BL310" i="2"/>
  <c r="BK310" i="2"/>
  <c r="BJ310" i="2"/>
  <c r="BI310" i="2"/>
  <c r="BH310" i="2"/>
  <c r="BG310" i="2"/>
  <c r="BF310" i="2"/>
  <c r="BE310" i="2"/>
  <c r="BD310" i="2"/>
  <c r="BC310" i="2"/>
  <c r="BB310" i="2"/>
  <c r="BZ310" i="2" s="1"/>
  <c r="CC310" i="2" s="1"/>
  <c r="BA310" i="2"/>
  <c r="AZ310" i="2"/>
  <c r="AY310" i="2"/>
  <c r="AX310" i="2"/>
  <c r="AW310" i="2"/>
  <c r="CA309" i="2"/>
  <c r="BY309" i="2"/>
  <c r="BX309" i="2"/>
  <c r="BW309" i="2"/>
  <c r="BV309" i="2"/>
  <c r="BU309" i="2"/>
  <c r="BT309" i="2"/>
  <c r="BS309" i="2"/>
  <c r="BR309" i="2"/>
  <c r="BQ309" i="2"/>
  <c r="BP309" i="2"/>
  <c r="BO309" i="2"/>
  <c r="BN309" i="2"/>
  <c r="BM309" i="2"/>
  <c r="BL309" i="2"/>
  <c r="BK309" i="2"/>
  <c r="BJ309" i="2"/>
  <c r="BI309" i="2"/>
  <c r="BH309" i="2"/>
  <c r="BG309" i="2"/>
  <c r="BF309" i="2"/>
  <c r="BE309" i="2"/>
  <c r="BD309" i="2"/>
  <c r="BC309" i="2"/>
  <c r="BB309" i="2"/>
  <c r="BZ309" i="2" s="1"/>
  <c r="BA309" i="2"/>
  <c r="AZ309" i="2"/>
  <c r="AY309" i="2"/>
  <c r="AX309" i="2"/>
  <c r="AW309" i="2"/>
  <c r="CA308" i="2"/>
  <c r="BY308" i="2"/>
  <c r="BX308" i="2"/>
  <c r="BW308" i="2"/>
  <c r="BV308" i="2"/>
  <c r="BU308" i="2"/>
  <c r="BT308" i="2"/>
  <c r="BS308" i="2"/>
  <c r="BR308" i="2"/>
  <c r="BQ308" i="2"/>
  <c r="BP308" i="2"/>
  <c r="BO308" i="2"/>
  <c r="BN308" i="2"/>
  <c r="BM308" i="2"/>
  <c r="BL308" i="2"/>
  <c r="BK308" i="2"/>
  <c r="BJ308" i="2"/>
  <c r="BI308" i="2"/>
  <c r="BH308" i="2"/>
  <c r="BG308" i="2"/>
  <c r="BF308" i="2"/>
  <c r="BE308" i="2"/>
  <c r="BD308" i="2"/>
  <c r="BC308" i="2"/>
  <c r="BB308" i="2"/>
  <c r="BZ308" i="2" s="1"/>
  <c r="CC308" i="2" s="1"/>
  <c r="BA308" i="2"/>
  <c r="AZ308" i="2"/>
  <c r="AY308" i="2"/>
  <c r="AX308" i="2"/>
  <c r="AW308" i="2"/>
  <c r="CA307" i="2"/>
  <c r="BY307" i="2"/>
  <c r="BX307" i="2"/>
  <c r="BW307" i="2"/>
  <c r="BV307" i="2"/>
  <c r="BU307" i="2"/>
  <c r="BT307" i="2"/>
  <c r="BS307" i="2"/>
  <c r="BR307" i="2"/>
  <c r="BQ307" i="2"/>
  <c r="BP307" i="2"/>
  <c r="BO307" i="2"/>
  <c r="BN307" i="2"/>
  <c r="BM307" i="2"/>
  <c r="BL307" i="2"/>
  <c r="BK307" i="2"/>
  <c r="BJ307" i="2"/>
  <c r="BI307" i="2"/>
  <c r="BH307" i="2"/>
  <c r="BG307" i="2"/>
  <c r="BF307" i="2"/>
  <c r="BE307" i="2"/>
  <c r="BD307" i="2"/>
  <c r="BC307" i="2"/>
  <c r="BB307" i="2"/>
  <c r="BZ307" i="2" s="1"/>
  <c r="BA307" i="2"/>
  <c r="AZ307" i="2"/>
  <c r="AY307" i="2"/>
  <c r="AX307" i="2"/>
  <c r="AW307" i="2"/>
  <c r="CA306" i="2"/>
  <c r="BY306" i="2"/>
  <c r="BX306" i="2"/>
  <c r="BW306" i="2"/>
  <c r="BV306" i="2"/>
  <c r="BU306" i="2"/>
  <c r="BT306" i="2"/>
  <c r="BS306" i="2"/>
  <c r="BR306" i="2"/>
  <c r="BQ306" i="2"/>
  <c r="BP306" i="2"/>
  <c r="BO306" i="2"/>
  <c r="BN306" i="2"/>
  <c r="BM306" i="2"/>
  <c r="BL306" i="2"/>
  <c r="BK306" i="2"/>
  <c r="BJ306" i="2"/>
  <c r="BI306" i="2"/>
  <c r="BH306" i="2"/>
  <c r="BG306" i="2"/>
  <c r="BF306" i="2"/>
  <c r="BE306" i="2"/>
  <c r="BD306" i="2"/>
  <c r="BC306" i="2"/>
  <c r="BB306" i="2"/>
  <c r="BZ306" i="2" s="1"/>
  <c r="BA306" i="2"/>
  <c r="AZ306" i="2"/>
  <c r="AY306" i="2"/>
  <c r="AX306" i="2"/>
  <c r="AW306" i="2"/>
  <c r="CA305" i="2"/>
  <c r="BY305" i="2"/>
  <c r="BX305" i="2"/>
  <c r="BW305" i="2"/>
  <c r="BV305" i="2"/>
  <c r="BU305" i="2"/>
  <c r="BT305" i="2"/>
  <c r="BS305" i="2"/>
  <c r="BR305" i="2"/>
  <c r="BQ305" i="2"/>
  <c r="BP305" i="2"/>
  <c r="BO305" i="2"/>
  <c r="BN305" i="2"/>
  <c r="BM305" i="2"/>
  <c r="BL305" i="2"/>
  <c r="BK305" i="2"/>
  <c r="BJ305" i="2"/>
  <c r="BI305" i="2"/>
  <c r="BH305" i="2"/>
  <c r="BG305" i="2"/>
  <c r="BF305" i="2"/>
  <c r="BE305" i="2"/>
  <c r="BD305" i="2"/>
  <c r="BC305" i="2"/>
  <c r="BB305" i="2"/>
  <c r="BZ305" i="2" s="1"/>
  <c r="BA305" i="2"/>
  <c r="AZ305" i="2"/>
  <c r="AY305" i="2"/>
  <c r="AX305" i="2"/>
  <c r="AW305" i="2"/>
  <c r="CA304" i="2"/>
  <c r="BY304" i="2"/>
  <c r="BX304" i="2"/>
  <c r="BW304" i="2"/>
  <c r="BV304" i="2"/>
  <c r="BU304" i="2"/>
  <c r="BT304" i="2"/>
  <c r="BS304" i="2"/>
  <c r="BR304" i="2"/>
  <c r="BQ304" i="2"/>
  <c r="BP304" i="2"/>
  <c r="BO304" i="2"/>
  <c r="BN304" i="2"/>
  <c r="BM304" i="2"/>
  <c r="BL304" i="2"/>
  <c r="BK304" i="2"/>
  <c r="BJ304" i="2"/>
  <c r="BI304" i="2"/>
  <c r="BH304" i="2"/>
  <c r="BG304" i="2"/>
  <c r="BF304" i="2"/>
  <c r="BE304" i="2"/>
  <c r="BD304" i="2"/>
  <c r="BC304" i="2"/>
  <c r="BB304" i="2"/>
  <c r="BZ304" i="2" s="1"/>
  <c r="CC304" i="2" s="1"/>
  <c r="BA304" i="2"/>
  <c r="AZ304" i="2"/>
  <c r="AY304" i="2"/>
  <c r="AX304" i="2"/>
  <c r="AW304" i="2"/>
  <c r="CA303" i="2"/>
  <c r="BY303" i="2"/>
  <c r="BX303" i="2"/>
  <c r="BW303" i="2"/>
  <c r="BV303" i="2"/>
  <c r="BU303" i="2"/>
  <c r="BT303" i="2"/>
  <c r="BS303" i="2"/>
  <c r="BR303" i="2"/>
  <c r="BQ303" i="2"/>
  <c r="BP303" i="2"/>
  <c r="BO303" i="2"/>
  <c r="BN303" i="2"/>
  <c r="BM303" i="2"/>
  <c r="BL303" i="2"/>
  <c r="BK303" i="2"/>
  <c r="BJ303" i="2"/>
  <c r="BI303" i="2"/>
  <c r="BH303" i="2"/>
  <c r="BG303" i="2"/>
  <c r="BF303" i="2"/>
  <c r="BE303" i="2"/>
  <c r="BD303" i="2"/>
  <c r="BC303" i="2"/>
  <c r="BB303" i="2"/>
  <c r="BZ303" i="2" s="1"/>
  <c r="CC303" i="2" s="1"/>
  <c r="BA303" i="2"/>
  <c r="AZ303" i="2"/>
  <c r="AY303" i="2"/>
  <c r="AX303" i="2"/>
  <c r="AW303" i="2"/>
  <c r="CA302" i="2"/>
  <c r="BY302" i="2"/>
  <c r="BX302" i="2"/>
  <c r="BW302" i="2"/>
  <c r="BV302" i="2"/>
  <c r="BU302" i="2"/>
  <c r="BT302" i="2"/>
  <c r="BS302" i="2"/>
  <c r="BR302" i="2"/>
  <c r="BQ302" i="2"/>
  <c r="BP302" i="2"/>
  <c r="BO302" i="2"/>
  <c r="BN302" i="2"/>
  <c r="BM302" i="2"/>
  <c r="BL302" i="2"/>
  <c r="BK302" i="2"/>
  <c r="BJ302" i="2"/>
  <c r="BI302" i="2"/>
  <c r="BH302" i="2"/>
  <c r="BG302" i="2"/>
  <c r="BF302" i="2"/>
  <c r="BE302" i="2"/>
  <c r="BD302" i="2"/>
  <c r="BC302" i="2"/>
  <c r="BB302" i="2"/>
  <c r="BZ302" i="2" s="1"/>
  <c r="BA302" i="2"/>
  <c r="AZ302" i="2"/>
  <c r="AY302" i="2"/>
  <c r="AX302" i="2"/>
  <c r="AW302" i="2"/>
  <c r="CA301" i="2"/>
  <c r="BY301" i="2"/>
  <c r="BX301" i="2"/>
  <c r="BW301" i="2"/>
  <c r="BV301" i="2"/>
  <c r="BU301" i="2"/>
  <c r="BT301" i="2"/>
  <c r="BS301" i="2"/>
  <c r="BR301" i="2"/>
  <c r="BQ301" i="2"/>
  <c r="BP301" i="2"/>
  <c r="BO301" i="2"/>
  <c r="BN301" i="2"/>
  <c r="BM301" i="2"/>
  <c r="BL301" i="2"/>
  <c r="BK301" i="2"/>
  <c r="BJ301" i="2"/>
  <c r="BI301" i="2"/>
  <c r="BH301" i="2"/>
  <c r="BG301" i="2"/>
  <c r="BF301" i="2"/>
  <c r="BE301" i="2"/>
  <c r="BD301" i="2"/>
  <c r="BC301" i="2"/>
  <c r="BB301" i="2"/>
  <c r="BZ301" i="2" s="1"/>
  <c r="BA301" i="2"/>
  <c r="AZ301" i="2"/>
  <c r="AY301" i="2"/>
  <c r="AX301" i="2"/>
  <c r="AW301" i="2"/>
  <c r="CA300" i="2"/>
  <c r="BY300" i="2"/>
  <c r="BX300" i="2"/>
  <c r="BW300" i="2"/>
  <c r="BV300" i="2"/>
  <c r="BU300" i="2"/>
  <c r="BT300" i="2"/>
  <c r="BS300" i="2"/>
  <c r="BR300" i="2"/>
  <c r="BQ300" i="2"/>
  <c r="BP300" i="2"/>
  <c r="BO300" i="2"/>
  <c r="BN300" i="2"/>
  <c r="BM300" i="2"/>
  <c r="BL300" i="2"/>
  <c r="BK300" i="2"/>
  <c r="BJ300" i="2"/>
  <c r="BI300" i="2"/>
  <c r="BH300" i="2"/>
  <c r="BG300" i="2"/>
  <c r="BF300" i="2"/>
  <c r="BE300" i="2"/>
  <c r="BD300" i="2"/>
  <c r="BC300" i="2"/>
  <c r="BB300" i="2"/>
  <c r="BZ300" i="2" s="1"/>
  <c r="BA300" i="2"/>
  <c r="AZ300" i="2"/>
  <c r="AY300" i="2"/>
  <c r="AX300" i="2"/>
  <c r="AW300" i="2"/>
  <c r="CA299" i="2"/>
  <c r="BY299" i="2"/>
  <c r="BX299" i="2"/>
  <c r="BW299" i="2"/>
  <c r="BV299" i="2"/>
  <c r="BU299" i="2"/>
  <c r="BT299" i="2"/>
  <c r="BS299" i="2"/>
  <c r="BR299" i="2"/>
  <c r="BQ299" i="2"/>
  <c r="BP299" i="2"/>
  <c r="BO299" i="2"/>
  <c r="BN299" i="2"/>
  <c r="BM299" i="2"/>
  <c r="BL299" i="2"/>
  <c r="BK299" i="2"/>
  <c r="BJ299" i="2"/>
  <c r="BI299" i="2"/>
  <c r="BH299" i="2"/>
  <c r="BG299" i="2"/>
  <c r="BF299" i="2"/>
  <c r="BE299" i="2"/>
  <c r="BD299" i="2"/>
  <c r="BC299" i="2"/>
  <c r="BB299" i="2"/>
  <c r="BZ299" i="2" s="1"/>
  <c r="CC299" i="2" s="1"/>
  <c r="BA299" i="2"/>
  <c r="AZ299" i="2"/>
  <c r="AY299" i="2"/>
  <c r="AX299" i="2"/>
  <c r="AW299" i="2"/>
  <c r="CA298" i="2"/>
  <c r="BY298" i="2"/>
  <c r="BX298" i="2"/>
  <c r="BW298" i="2"/>
  <c r="BV298" i="2"/>
  <c r="BU298" i="2"/>
  <c r="BT298" i="2"/>
  <c r="BS298" i="2"/>
  <c r="BR298" i="2"/>
  <c r="BQ298" i="2"/>
  <c r="BP298" i="2"/>
  <c r="BO298" i="2"/>
  <c r="BN298" i="2"/>
  <c r="BM298" i="2"/>
  <c r="BL298" i="2"/>
  <c r="BK298" i="2"/>
  <c r="BJ298" i="2"/>
  <c r="BI298" i="2"/>
  <c r="BH298" i="2"/>
  <c r="BG298" i="2"/>
  <c r="BF298" i="2"/>
  <c r="BE298" i="2"/>
  <c r="BD298" i="2"/>
  <c r="BC298" i="2"/>
  <c r="BB298" i="2"/>
  <c r="BZ298" i="2" s="1"/>
  <c r="BA298" i="2"/>
  <c r="AZ298" i="2"/>
  <c r="AY298" i="2"/>
  <c r="AX298" i="2"/>
  <c r="AW298" i="2"/>
  <c r="CA297" i="2"/>
  <c r="BY297" i="2"/>
  <c r="BX297" i="2"/>
  <c r="BW297" i="2"/>
  <c r="BV297" i="2"/>
  <c r="BU297" i="2"/>
  <c r="BT297" i="2"/>
  <c r="BS297" i="2"/>
  <c r="BR297" i="2"/>
  <c r="BQ297" i="2"/>
  <c r="BP297" i="2"/>
  <c r="BO297" i="2"/>
  <c r="BN297" i="2"/>
  <c r="BM297" i="2"/>
  <c r="BL297" i="2"/>
  <c r="BK297" i="2"/>
  <c r="BJ297" i="2"/>
  <c r="BI297" i="2"/>
  <c r="BH297" i="2"/>
  <c r="BG297" i="2"/>
  <c r="BF297" i="2"/>
  <c r="BE297" i="2"/>
  <c r="BD297" i="2"/>
  <c r="BC297" i="2"/>
  <c r="BB297" i="2"/>
  <c r="BZ297" i="2" s="1"/>
  <c r="CC297" i="2" s="1"/>
  <c r="BA297" i="2"/>
  <c r="AZ297" i="2"/>
  <c r="AY297" i="2"/>
  <c r="AX297" i="2"/>
  <c r="AW297" i="2"/>
  <c r="CA296" i="2"/>
  <c r="BY296" i="2"/>
  <c r="BX296" i="2"/>
  <c r="BW296" i="2"/>
  <c r="BV296" i="2"/>
  <c r="BU296" i="2"/>
  <c r="BT296" i="2"/>
  <c r="BS296" i="2"/>
  <c r="BR296" i="2"/>
  <c r="BQ296" i="2"/>
  <c r="BP296" i="2"/>
  <c r="BO296" i="2"/>
  <c r="BN296" i="2"/>
  <c r="BM296" i="2"/>
  <c r="BL296" i="2"/>
  <c r="BK296" i="2"/>
  <c r="BJ296" i="2"/>
  <c r="BI296" i="2"/>
  <c r="BH296" i="2"/>
  <c r="BG296" i="2"/>
  <c r="BF296" i="2"/>
  <c r="BE296" i="2"/>
  <c r="BD296" i="2"/>
  <c r="BC296" i="2"/>
  <c r="BB296" i="2"/>
  <c r="BZ296" i="2" s="1"/>
  <c r="CC296" i="2" s="1"/>
  <c r="BA296" i="2"/>
  <c r="AZ296" i="2"/>
  <c r="AY296" i="2"/>
  <c r="AX296" i="2"/>
  <c r="AW296" i="2"/>
  <c r="CA295" i="2"/>
  <c r="BY295" i="2"/>
  <c r="BX295" i="2"/>
  <c r="BW295" i="2"/>
  <c r="BV295" i="2"/>
  <c r="BU295" i="2"/>
  <c r="BT295" i="2"/>
  <c r="BS295" i="2"/>
  <c r="BR295" i="2"/>
  <c r="BQ295" i="2"/>
  <c r="BP295" i="2"/>
  <c r="BO295" i="2"/>
  <c r="BN295" i="2"/>
  <c r="BM295" i="2"/>
  <c r="BL295" i="2"/>
  <c r="BK295" i="2"/>
  <c r="BJ295" i="2"/>
  <c r="BI295" i="2"/>
  <c r="BH295" i="2"/>
  <c r="BG295" i="2"/>
  <c r="BF295" i="2"/>
  <c r="BE295" i="2"/>
  <c r="BD295" i="2"/>
  <c r="BC295" i="2"/>
  <c r="BB295" i="2"/>
  <c r="BZ295" i="2" s="1"/>
  <c r="CC295" i="2" s="1"/>
  <c r="BA295" i="2"/>
  <c r="AZ295" i="2"/>
  <c r="AY295" i="2"/>
  <c r="AX295" i="2"/>
  <c r="AW295" i="2"/>
  <c r="CA294" i="2"/>
  <c r="BY294" i="2"/>
  <c r="BX294" i="2"/>
  <c r="BW294" i="2"/>
  <c r="BV294" i="2"/>
  <c r="BU294" i="2"/>
  <c r="BT294" i="2"/>
  <c r="BS294" i="2"/>
  <c r="BR294" i="2"/>
  <c r="BQ294" i="2"/>
  <c r="BP294" i="2"/>
  <c r="BO294" i="2"/>
  <c r="BN294" i="2"/>
  <c r="BM294" i="2"/>
  <c r="BL294" i="2"/>
  <c r="BK294" i="2"/>
  <c r="BJ294" i="2"/>
  <c r="BI294" i="2"/>
  <c r="BH294" i="2"/>
  <c r="BG294" i="2"/>
  <c r="BF294" i="2"/>
  <c r="BE294" i="2"/>
  <c r="BD294" i="2"/>
  <c r="BC294" i="2"/>
  <c r="BB294" i="2"/>
  <c r="BZ294" i="2" s="1"/>
  <c r="BA294" i="2"/>
  <c r="AZ294" i="2"/>
  <c r="AY294" i="2"/>
  <c r="AX294" i="2"/>
  <c r="AW294" i="2"/>
  <c r="CA293" i="2"/>
  <c r="BY293" i="2"/>
  <c r="BX293" i="2"/>
  <c r="BW293" i="2"/>
  <c r="BV293" i="2"/>
  <c r="BU293" i="2"/>
  <c r="BT293" i="2"/>
  <c r="BS293" i="2"/>
  <c r="BR293" i="2"/>
  <c r="BQ293" i="2"/>
  <c r="BP293" i="2"/>
  <c r="BO293" i="2"/>
  <c r="BN293" i="2"/>
  <c r="BM293" i="2"/>
  <c r="BL293" i="2"/>
  <c r="BK293" i="2"/>
  <c r="BJ293" i="2"/>
  <c r="BI293" i="2"/>
  <c r="BH293" i="2"/>
  <c r="BG293" i="2"/>
  <c r="BF293" i="2"/>
  <c r="BE293" i="2"/>
  <c r="BD293" i="2"/>
  <c r="BC293" i="2"/>
  <c r="BB293" i="2"/>
  <c r="BZ293" i="2" s="1"/>
  <c r="BA293" i="2"/>
  <c r="AZ293" i="2"/>
  <c r="AY293" i="2"/>
  <c r="AX293" i="2"/>
  <c r="AW293" i="2"/>
  <c r="CA292" i="2"/>
  <c r="BY292" i="2"/>
  <c r="BX292" i="2"/>
  <c r="BW292" i="2"/>
  <c r="BV292" i="2"/>
  <c r="BU292" i="2"/>
  <c r="BT292" i="2"/>
  <c r="BS292" i="2"/>
  <c r="BR292" i="2"/>
  <c r="BQ292" i="2"/>
  <c r="BP292" i="2"/>
  <c r="BO292" i="2"/>
  <c r="BN292" i="2"/>
  <c r="BM292" i="2"/>
  <c r="BL292" i="2"/>
  <c r="BK292" i="2"/>
  <c r="BJ292" i="2"/>
  <c r="BI292" i="2"/>
  <c r="BH292" i="2"/>
  <c r="BG292" i="2"/>
  <c r="BF292" i="2"/>
  <c r="BE292" i="2"/>
  <c r="BD292" i="2"/>
  <c r="BC292" i="2"/>
  <c r="BB292" i="2"/>
  <c r="BZ292" i="2" s="1"/>
  <c r="CC292" i="2" s="1"/>
  <c r="BA292" i="2"/>
  <c r="AZ292" i="2"/>
  <c r="AY292" i="2"/>
  <c r="AX292" i="2"/>
  <c r="AW292" i="2"/>
  <c r="CA291" i="2"/>
  <c r="BY291" i="2"/>
  <c r="BX291" i="2"/>
  <c r="BW291" i="2"/>
  <c r="BV291" i="2"/>
  <c r="BU291" i="2"/>
  <c r="BT291" i="2"/>
  <c r="BS291" i="2"/>
  <c r="BR291" i="2"/>
  <c r="BQ291" i="2"/>
  <c r="BP291" i="2"/>
  <c r="BO291" i="2"/>
  <c r="BN291" i="2"/>
  <c r="BM291" i="2"/>
  <c r="BL291" i="2"/>
  <c r="BK291" i="2"/>
  <c r="BJ291" i="2"/>
  <c r="BI291" i="2"/>
  <c r="BH291" i="2"/>
  <c r="BG291" i="2"/>
  <c r="BF291" i="2"/>
  <c r="BE291" i="2"/>
  <c r="BD291" i="2"/>
  <c r="BC291" i="2"/>
  <c r="BB291" i="2"/>
  <c r="BZ291" i="2" s="1"/>
  <c r="CC291" i="2" s="1"/>
  <c r="BA291" i="2"/>
  <c r="AZ291" i="2"/>
  <c r="AY291" i="2"/>
  <c r="AX291" i="2"/>
  <c r="AW291" i="2"/>
  <c r="CA290" i="2"/>
  <c r="BY290" i="2"/>
  <c r="BX290" i="2"/>
  <c r="BW290" i="2"/>
  <c r="BV290" i="2"/>
  <c r="BU290" i="2"/>
  <c r="BT290" i="2"/>
  <c r="BS290" i="2"/>
  <c r="BR290" i="2"/>
  <c r="BQ290" i="2"/>
  <c r="BP290" i="2"/>
  <c r="BO290" i="2"/>
  <c r="BN290" i="2"/>
  <c r="BM290" i="2"/>
  <c r="BL290" i="2"/>
  <c r="BK290" i="2"/>
  <c r="BJ290" i="2"/>
  <c r="BI290" i="2"/>
  <c r="BH290" i="2"/>
  <c r="BG290" i="2"/>
  <c r="BF290" i="2"/>
  <c r="BE290" i="2"/>
  <c r="BD290" i="2"/>
  <c r="BC290" i="2"/>
  <c r="BB290" i="2"/>
  <c r="BZ290" i="2" s="1"/>
  <c r="CC290" i="2" s="1"/>
  <c r="BA290" i="2"/>
  <c r="AZ290" i="2"/>
  <c r="AY290" i="2"/>
  <c r="AX290" i="2"/>
  <c r="AW290" i="2"/>
  <c r="CA289" i="2"/>
  <c r="BY289" i="2"/>
  <c r="BX289" i="2"/>
  <c r="BW289" i="2"/>
  <c r="BV289" i="2"/>
  <c r="BU289" i="2"/>
  <c r="BT289" i="2"/>
  <c r="BS289" i="2"/>
  <c r="BR289" i="2"/>
  <c r="BQ289" i="2"/>
  <c r="BP289" i="2"/>
  <c r="BO289" i="2"/>
  <c r="BN289" i="2"/>
  <c r="BM289" i="2"/>
  <c r="BL289" i="2"/>
  <c r="BK289" i="2"/>
  <c r="BJ289" i="2"/>
  <c r="BI289" i="2"/>
  <c r="BH289" i="2"/>
  <c r="BG289" i="2"/>
  <c r="BF289" i="2"/>
  <c r="BE289" i="2"/>
  <c r="BD289" i="2"/>
  <c r="BC289" i="2"/>
  <c r="BB289" i="2"/>
  <c r="BZ289" i="2" s="1"/>
  <c r="CC289" i="2" s="1"/>
  <c r="BA289" i="2"/>
  <c r="AZ289" i="2"/>
  <c r="AY289" i="2"/>
  <c r="AX289" i="2"/>
  <c r="AW289" i="2"/>
  <c r="CA288" i="2"/>
  <c r="BY288" i="2"/>
  <c r="BX288" i="2"/>
  <c r="BW288" i="2"/>
  <c r="BV288" i="2"/>
  <c r="BU288" i="2"/>
  <c r="BT288" i="2"/>
  <c r="BS288" i="2"/>
  <c r="BR288" i="2"/>
  <c r="BQ288" i="2"/>
  <c r="BP288" i="2"/>
  <c r="BO288" i="2"/>
  <c r="BN288" i="2"/>
  <c r="BM288" i="2"/>
  <c r="BL288" i="2"/>
  <c r="BK288" i="2"/>
  <c r="BJ288" i="2"/>
  <c r="BI288" i="2"/>
  <c r="BH288" i="2"/>
  <c r="BG288" i="2"/>
  <c r="BF288" i="2"/>
  <c r="BE288" i="2"/>
  <c r="BD288" i="2"/>
  <c r="BC288" i="2"/>
  <c r="BB288" i="2"/>
  <c r="BZ288" i="2" s="1"/>
  <c r="CC288" i="2" s="1"/>
  <c r="BA288" i="2"/>
  <c r="AZ288" i="2"/>
  <c r="AY288" i="2"/>
  <c r="AX288" i="2"/>
  <c r="AW288" i="2"/>
  <c r="CA287" i="2"/>
  <c r="BY287" i="2"/>
  <c r="BX287" i="2"/>
  <c r="BW287" i="2"/>
  <c r="BV287" i="2"/>
  <c r="BU287" i="2"/>
  <c r="BT287" i="2"/>
  <c r="BS287" i="2"/>
  <c r="BR287" i="2"/>
  <c r="BQ287" i="2"/>
  <c r="BP287" i="2"/>
  <c r="BO287" i="2"/>
  <c r="BN287" i="2"/>
  <c r="BM287" i="2"/>
  <c r="BL287" i="2"/>
  <c r="BK287" i="2"/>
  <c r="BJ287" i="2"/>
  <c r="BI287" i="2"/>
  <c r="BH287" i="2"/>
  <c r="BG287" i="2"/>
  <c r="BF287" i="2"/>
  <c r="BE287" i="2"/>
  <c r="BD287" i="2"/>
  <c r="BC287" i="2"/>
  <c r="BB287" i="2"/>
  <c r="BZ287" i="2" s="1"/>
  <c r="CC287" i="2" s="1"/>
  <c r="BA287" i="2"/>
  <c r="AZ287" i="2"/>
  <c r="AY287" i="2"/>
  <c r="AX287" i="2"/>
  <c r="AW287" i="2"/>
  <c r="CA286" i="2"/>
  <c r="BY286" i="2"/>
  <c r="BX286" i="2"/>
  <c r="BW286" i="2"/>
  <c r="BV286" i="2"/>
  <c r="BU286" i="2"/>
  <c r="BT286" i="2"/>
  <c r="BS286" i="2"/>
  <c r="BR286" i="2"/>
  <c r="BQ286" i="2"/>
  <c r="BP286" i="2"/>
  <c r="BO286" i="2"/>
  <c r="BN286" i="2"/>
  <c r="BM286" i="2"/>
  <c r="BL286" i="2"/>
  <c r="BK286" i="2"/>
  <c r="BJ286" i="2"/>
  <c r="BI286" i="2"/>
  <c r="BH286" i="2"/>
  <c r="BG286" i="2"/>
  <c r="BF286" i="2"/>
  <c r="BE286" i="2"/>
  <c r="BD286" i="2"/>
  <c r="BC286" i="2"/>
  <c r="BB286" i="2"/>
  <c r="BZ286" i="2" s="1"/>
  <c r="CC286" i="2" s="1"/>
  <c r="BA286" i="2"/>
  <c r="AZ286" i="2"/>
  <c r="AY286" i="2"/>
  <c r="AX286" i="2"/>
  <c r="AW286" i="2"/>
  <c r="CA285" i="2"/>
  <c r="BY285" i="2"/>
  <c r="BX285" i="2"/>
  <c r="BW285" i="2"/>
  <c r="BV285" i="2"/>
  <c r="BU285" i="2"/>
  <c r="BT285" i="2"/>
  <c r="BS285" i="2"/>
  <c r="BR285" i="2"/>
  <c r="BQ285" i="2"/>
  <c r="BP285" i="2"/>
  <c r="BO285" i="2"/>
  <c r="BN285" i="2"/>
  <c r="BM285" i="2"/>
  <c r="BL285" i="2"/>
  <c r="BK285" i="2"/>
  <c r="BJ285" i="2"/>
  <c r="BI285" i="2"/>
  <c r="BH285" i="2"/>
  <c r="BG285" i="2"/>
  <c r="BF285" i="2"/>
  <c r="BE285" i="2"/>
  <c r="BD285" i="2"/>
  <c r="BC285" i="2"/>
  <c r="BB285" i="2"/>
  <c r="BZ285" i="2" s="1"/>
  <c r="CC285" i="2" s="1"/>
  <c r="BA285" i="2"/>
  <c r="AZ285" i="2"/>
  <c r="AY285" i="2"/>
  <c r="AX285" i="2"/>
  <c r="AW285" i="2"/>
  <c r="CA284" i="2"/>
  <c r="BY284" i="2"/>
  <c r="BX284" i="2"/>
  <c r="BW284" i="2"/>
  <c r="BV284" i="2"/>
  <c r="BU284" i="2"/>
  <c r="BT284" i="2"/>
  <c r="BS284" i="2"/>
  <c r="BR284" i="2"/>
  <c r="BQ284" i="2"/>
  <c r="BP284" i="2"/>
  <c r="BO284" i="2"/>
  <c r="BN284" i="2"/>
  <c r="BM284" i="2"/>
  <c r="BL284" i="2"/>
  <c r="BK284" i="2"/>
  <c r="BJ284" i="2"/>
  <c r="BI284" i="2"/>
  <c r="BH284" i="2"/>
  <c r="BG284" i="2"/>
  <c r="BF284" i="2"/>
  <c r="BE284" i="2"/>
  <c r="BD284" i="2"/>
  <c r="BC284" i="2"/>
  <c r="BB284" i="2"/>
  <c r="BZ284" i="2" s="1"/>
  <c r="CC284" i="2" s="1"/>
  <c r="BA284" i="2"/>
  <c r="AZ284" i="2"/>
  <c r="AY284" i="2"/>
  <c r="AX284" i="2"/>
  <c r="AW284" i="2"/>
  <c r="CA283" i="2"/>
  <c r="BY283" i="2"/>
  <c r="BX283" i="2"/>
  <c r="BW283" i="2"/>
  <c r="BV283" i="2"/>
  <c r="BU283" i="2"/>
  <c r="BT283" i="2"/>
  <c r="BS283" i="2"/>
  <c r="BR283" i="2"/>
  <c r="BQ283" i="2"/>
  <c r="BP283" i="2"/>
  <c r="BO283" i="2"/>
  <c r="BN283" i="2"/>
  <c r="BM283" i="2"/>
  <c r="BL283" i="2"/>
  <c r="BK283" i="2"/>
  <c r="BJ283" i="2"/>
  <c r="BI283" i="2"/>
  <c r="BH283" i="2"/>
  <c r="BG283" i="2"/>
  <c r="BF283" i="2"/>
  <c r="BE283" i="2"/>
  <c r="BD283" i="2"/>
  <c r="BC283" i="2"/>
  <c r="BB283" i="2"/>
  <c r="BZ283" i="2" s="1"/>
  <c r="BA283" i="2"/>
  <c r="AZ283" i="2"/>
  <c r="AY283" i="2"/>
  <c r="AX283" i="2"/>
  <c r="AW283" i="2"/>
  <c r="CA282" i="2"/>
  <c r="BY282" i="2"/>
  <c r="BX282" i="2"/>
  <c r="BW282" i="2"/>
  <c r="BV282" i="2"/>
  <c r="BU282" i="2"/>
  <c r="BT282" i="2"/>
  <c r="BS282" i="2"/>
  <c r="BR282" i="2"/>
  <c r="BQ282" i="2"/>
  <c r="BP282" i="2"/>
  <c r="BO282" i="2"/>
  <c r="BN282" i="2"/>
  <c r="BM282" i="2"/>
  <c r="BL282" i="2"/>
  <c r="BK282" i="2"/>
  <c r="BJ282" i="2"/>
  <c r="BI282" i="2"/>
  <c r="BH282" i="2"/>
  <c r="BG282" i="2"/>
  <c r="BF282" i="2"/>
  <c r="BE282" i="2"/>
  <c r="BD282" i="2"/>
  <c r="BC282" i="2"/>
  <c r="BB282" i="2"/>
  <c r="BZ282" i="2" s="1"/>
  <c r="CC282" i="2" s="1"/>
  <c r="BA282" i="2"/>
  <c r="AZ282" i="2"/>
  <c r="AY282" i="2"/>
  <c r="AX282" i="2"/>
  <c r="AW282" i="2"/>
  <c r="CA281" i="2"/>
  <c r="BY281" i="2"/>
  <c r="BX281" i="2"/>
  <c r="BW281" i="2"/>
  <c r="BV281" i="2"/>
  <c r="BU281" i="2"/>
  <c r="BT281" i="2"/>
  <c r="BS281" i="2"/>
  <c r="BR281" i="2"/>
  <c r="BQ281" i="2"/>
  <c r="BP281" i="2"/>
  <c r="BO281" i="2"/>
  <c r="BN281" i="2"/>
  <c r="BM281" i="2"/>
  <c r="BL281" i="2"/>
  <c r="BK281" i="2"/>
  <c r="BJ281" i="2"/>
  <c r="BI281" i="2"/>
  <c r="BH281" i="2"/>
  <c r="BG281" i="2"/>
  <c r="BF281" i="2"/>
  <c r="BE281" i="2"/>
  <c r="BD281" i="2"/>
  <c r="BC281" i="2"/>
  <c r="BB281" i="2"/>
  <c r="BZ281" i="2" s="1"/>
  <c r="CC281" i="2" s="1"/>
  <c r="BA281" i="2"/>
  <c r="AZ281" i="2"/>
  <c r="AY281" i="2"/>
  <c r="AX281" i="2"/>
  <c r="AW281" i="2"/>
  <c r="CA280" i="2"/>
  <c r="BY280" i="2"/>
  <c r="BX280" i="2"/>
  <c r="BW280" i="2"/>
  <c r="BV280" i="2"/>
  <c r="BU280" i="2"/>
  <c r="BT280" i="2"/>
  <c r="BS280" i="2"/>
  <c r="BR280" i="2"/>
  <c r="BQ280" i="2"/>
  <c r="BP280" i="2"/>
  <c r="BO280" i="2"/>
  <c r="BN280" i="2"/>
  <c r="BM280" i="2"/>
  <c r="BL280" i="2"/>
  <c r="BK280" i="2"/>
  <c r="BJ280" i="2"/>
  <c r="BI280" i="2"/>
  <c r="BH280" i="2"/>
  <c r="BG280" i="2"/>
  <c r="BF280" i="2"/>
  <c r="BE280" i="2"/>
  <c r="BD280" i="2"/>
  <c r="BC280" i="2"/>
  <c r="BB280" i="2"/>
  <c r="BZ280" i="2" s="1"/>
  <c r="CC280" i="2" s="1"/>
  <c r="BA280" i="2"/>
  <c r="AZ280" i="2"/>
  <c r="AY280" i="2"/>
  <c r="AX280" i="2"/>
  <c r="AW280" i="2"/>
  <c r="CA279" i="2"/>
  <c r="BY279" i="2"/>
  <c r="BX279" i="2"/>
  <c r="BW279" i="2"/>
  <c r="BV279" i="2"/>
  <c r="BU279" i="2"/>
  <c r="BT279" i="2"/>
  <c r="BS279" i="2"/>
  <c r="BR279" i="2"/>
  <c r="BQ279" i="2"/>
  <c r="BP279" i="2"/>
  <c r="BO279" i="2"/>
  <c r="BN279" i="2"/>
  <c r="BM279" i="2"/>
  <c r="BL279" i="2"/>
  <c r="BK279" i="2"/>
  <c r="BJ279" i="2"/>
  <c r="BI279" i="2"/>
  <c r="BH279" i="2"/>
  <c r="BG279" i="2"/>
  <c r="BF279" i="2"/>
  <c r="BE279" i="2"/>
  <c r="BD279" i="2"/>
  <c r="BC279" i="2"/>
  <c r="BB279" i="2"/>
  <c r="BZ279" i="2" s="1"/>
  <c r="CC279" i="2" s="1"/>
  <c r="BA279" i="2"/>
  <c r="AZ279" i="2"/>
  <c r="AY279" i="2"/>
  <c r="AX279" i="2"/>
  <c r="AW279" i="2"/>
  <c r="CA278" i="2"/>
  <c r="BY278" i="2"/>
  <c r="BX278" i="2"/>
  <c r="BW278" i="2"/>
  <c r="BV278" i="2"/>
  <c r="BU278" i="2"/>
  <c r="BT278" i="2"/>
  <c r="BS278" i="2"/>
  <c r="BR278" i="2"/>
  <c r="BQ278" i="2"/>
  <c r="BP278" i="2"/>
  <c r="BO278" i="2"/>
  <c r="BN278" i="2"/>
  <c r="BM278" i="2"/>
  <c r="BL278" i="2"/>
  <c r="BK278" i="2"/>
  <c r="BJ278" i="2"/>
  <c r="BI278" i="2"/>
  <c r="BH278" i="2"/>
  <c r="BG278" i="2"/>
  <c r="BF278" i="2"/>
  <c r="BE278" i="2"/>
  <c r="BD278" i="2"/>
  <c r="BC278" i="2"/>
  <c r="BB278" i="2"/>
  <c r="BZ278" i="2" s="1"/>
  <c r="CC278" i="2" s="1"/>
  <c r="BA278" i="2"/>
  <c r="AZ278" i="2"/>
  <c r="AY278" i="2"/>
  <c r="AX278" i="2"/>
  <c r="AW278" i="2"/>
  <c r="CA277" i="2"/>
  <c r="BY277" i="2"/>
  <c r="BX277" i="2"/>
  <c r="BW277" i="2"/>
  <c r="BV277" i="2"/>
  <c r="BU277" i="2"/>
  <c r="BT277" i="2"/>
  <c r="BS277" i="2"/>
  <c r="BR277" i="2"/>
  <c r="BQ277" i="2"/>
  <c r="BP277" i="2"/>
  <c r="BO277" i="2"/>
  <c r="BN277" i="2"/>
  <c r="BM277" i="2"/>
  <c r="BL277" i="2"/>
  <c r="BK277" i="2"/>
  <c r="BJ277" i="2"/>
  <c r="BI277" i="2"/>
  <c r="BH277" i="2"/>
  <c r="BG277" i="2"/>
  <c r="BF277" i="2"/>
  <c r="BE277" i="2"/>
  <c r="BD277" i="2"/>
  <c r="BC277" i="2"/>
  <c r="BB277" i="2"/>
  <c r="BZ277" i="2" s="1"/>
  <c r="CC277" i="2" s="1"/>
  <c r="BA277" i="2"/>
  <c r="AZ277" i="2"/>
  <c r="AY277" i="2"/>
  <c r="AX277" i="2"/>
  <c r="AW277" i="2"/>
  <c r="CA276" i="2"/>
  <c r="BY276" i="2"/>
  <c r="BX276" i="2"/>
  <c r="BW276" i="2"/>
  <c r="BV276" i="2"/>
  <c r="BU276" i="2"/>
  <c r="BT276" i="2"/>
  <c r="BS276" i="2"/>
  <c r="BR276" i="2"/>
  <c r="BQ276" i="2"/>
  <c r="BP276" i="2"/>
  <c r="BO276" i="2"/>
  <c r="BN276" i="2"/>
  <c r="BM276" i="2"/>
  <c r="BL276" i="2"/>
  <c r="BK276" i="2"/>
  <c r="BJ276" i="2"/>
  <c r="BI276" i="2"/>
  <c r="BH276" i="2"/>
  <c r="BG276" i="2"/>
  <c r="BF276" i="2"/>
  <c r="BE276" i="2"/>
  <c r="BD276" i="2"/>
  <c r="BC276" i="2"/>
  <c r="BB276" i="2"/>
  <c r="BZ276" i="2" s="1"/>
  <c r="CC276" i="2" s="1"/>
  <c r="BA276" i="2"/>
  <c r="AZ276" i="2"/>
  <c r="AY276" i="2"/>
  <c r="AX276" i="2"/>
  <c r="AW276" i="2"/>
  <c r="CA275" i="2"/>
  <c r="BY275" i="2"/>
  <c r="BX275" i="2"/>
  <c r="BW275" i="2"/>
  <c r="BV275" i="2"/>
  <c r="BU275" i="2"/>
  <c r="BT275" i="2"/>
  <c r="BS275" i="2"/>
  <c r="BR275" i="2"/>
  <c r="BQ275" i="2"/>
  <c r="BP275" i="2"/>
  <c r="BO275" i="2"/>
  <c r="BN275" i="2"/>
  <c r="BM275" i="2"/>
  <c r="BL275" i="2"/>
  <c r="BK275" i="2"/>
  <c r="BJ275" i="2"/>
  <c r="BI275" i="2"/>
  <c r="BH275" i="2"/>
  <c r="BG275" i="2"/>
  <c r="BF275" i="2"/>
  <c r="BE275" i="2"/>
  <c r="BD275" i="2"/>
  <c r="BC275" i="2"/>
  <c r="BB275" i="2"/>
  <c r="BZ275" i="2" s="1"/>
  <c r="CC275" i="2" s="1"/>
  <c r="BA275" i="2"/>
  <c r="AZ275" i="2"/>
  <c r="AY275" i="2"/>
  <c r="AX275" i="2"/>
  <c r="AW275" i="2"/>
  <c r="CA274" i="2"/>
  <c r="BY274" i="2"/>
  <c r="BX274" i="2"/>
  <c r="BW274" i="2"/>
  <c r="BV274" i="2"/>
  <c r="BU274" i="2"/>
  <c r="BT274" i="2"/>
  <c r="BS274" i="2"/>
  <c r="BR274" i="2"/>
  <c r="BQ274" i="2"/>
  <c r="BP274" i="2"/>
  <c r="BO274" i="2"/>
  <c r="BN274" i="2"/>
  <c r="BM274" i="2"/>
  <c r="BL274" i="2"/>
  <c r="BK274" i="2"/>
  <c r="BJ274" i="2"/>
  <c r="BI274" i="2"/>
  <c r="BH274" i="2"/>
  <c r="BG274" i="2"/>
  <c r="BF274" i="2"/>
  <c r="BE274" i="2"/>
  <c r="BD274" i="2"/>
  <c r="BC274" i="2"/>
  <c r="BB274" i="2"/>
  <c r="BZ274" i="2" s="1"/>
  <c r="CC274" i="2" s="1"/>
  <c r="BA274" i="2"/>
  <c r="AZ274" i="2"/>
  <c r="AY274" i="2"/>
  <c r="AX274" i="2"/>
  <c r="AW274" i="2"/>
  <c r="CA273" i="2"/>
  <c r="BY273" i="2"/>
  <c r="BX273" i="2"/>
  <c r="BW273" i="2"/>
  <c r="BV273" i="2"/>
  <c r="BU273" i="2"/>
  <c r="BT273" i="2"/>
  <c r="BS273" i="2"/>
  <c r="BR273" i="2"/>
  <c r="BQ273" i="2"/>
  <c r="BP273" i="2"/>
  <c r="BO273" i="2"/>
  <c r="BN273" i="2"/>
  <c r="BM273" i="2"/>
  <c r="BL273" i="2"/>
  <c r="BK273" i="2"/>
  <c r="BJ273" i="2"/>
  <c r="BI273" i="2"/>
  <c r="BH273" i="2"/>
  <c r="BG273" i="2"/>
  <c r="BF273" i="2"/>
  <c r="BE273" i="2"/>
  <c r="BD273" i="2"/>
  <c r="BC273" i="2"/>
  <c r="BB273" i="2"/>
  <c r="BZ273" i="2" s="1"/>
  <c r="BA273" i="2"/>
  <c r="AZ273" i="2"/>
  <c r="AY273" i="2"/>
  <c r="AX273" i="2"/>
  <c r="AW273" i="2"/>
  <c r="CA272" i="2"/>
  <c r="BY272" i="2"/>
  <c r="BX272" i="2"/>
  <c r="BW272" i="2"/>
  <c r="BV272" i="2"/>
  <c r="BU272" i="2"/>
  <c r="BT272" i="2"/>
  <c r="BS272" i="2"/>
  <c r="BR272" i="2"/>
  <c r="BQ272" i="2"/>
  <c r="BP272" i="2"/>
  <c r="BO272" i="2"/>
  <c r="BN272" i="2"/>
  <c r="BM272" i="2"/>
  <c r="BL272" i="2"/>
  <c r="BK272" i="2"/>
  <c r="BJ272" i="2"/>
  <c r="BI272" i="2"/>
  <c r="BH272" i="2"/>
  <c r="BG272" i="2"/>
  <c r="BF272" i="2"/>
  <c r="BE272" i="2"/>
  <c r="BD272" i="2"/>
  <c r="BC272" i="2"/>
  <c r="BB272" i="2"/>
  <c r="BZ272" i="2" s="1"/>
  <c r="CC272" i="2" s="1"/>
  <c r="BA272" i="2"/>
  <c r="AZ272" i="2"/>
  <c r="AY272" i="2"/>
  <c r="AX272" i="2"/>
  <c r="AW272" i="2"/>
  <c r="CA271" i="2"/>
  <c r="BY271" i="2"/>
  <c r="BX271" i="2"/>
  <c r="BW271" i="2"/>
  <c r="BV271" i="2"/>
  <c r="BU271" i="2"/>
  <c r="BT271" i="2"/>
  <c r="BS271" i="2"/>
  <c r="BR271" i="2"/>
  <c r="BQ271" i="2"/>
  <c r="BP271" i="2"/>
  <c r="BO271" i="2"/>
  <c r="BN271" i="2"/>
  <c r="BM271" i="2"/>
  <c r="BL271" i="2"/>
  <c r="BK271" i="2"/>
  <c r="BJ271" i="2"/>
  <c r="BI271" i="2"/>
  <c r="BH271" i="2"/>
  <c r="BG271" i="2"/>
  <c r="BF271" i="2"/>
  <c r="BE271" i="2"/>
  <c r="BD271" i="2"/>
  <c r="BC271" i="2"/>
  <c r="BB271" i="2"/>
  <c r="BZ271" i="2" s="1"/>
  <c r="CC271" i="2" s="1"/>
  <c r="BA271" i="2"/>
  <c r="AZ271" i="2"/>
  <c r="AY271" i="2"/>
  <c r="AX271" i="2"/>
  <c r="AW271" i="2"/>
  <c r="CA270" i="2"/>
  <c r="BY270" i="2"/>
  <c r="BX270" i="2"/>
  <c r="BW270" i="2"/>
  <c r="BV270" i="2"/>
  <c r="BU270" i="2"/>
  <c r="BT270" i="2"/>
  <c r="BS270" i="2"/>
  <c r="BR270" i="2"/>
  <c r="BQ270" i="2"/>
  <c r="BP270" i="2"/>
  <c r="BO270" i="2"/>
  <c r="BN270" i="2"/>
  <c r="BM270" i="2"/>
  <c r="BL270" i="2"/>
  <c r="BK270" i="2"/>
  <c r="BJ270" i="2"/>
  <c r="BI270" i="2"/>
  <c r="BH270" i="2"/>
  <c r="BG270" i="2"/>
  <c r="BF270" i="2"/>
  <c r="BE270" i="2"/>
  <c r="BD270" i="2"/>
  <c r="BC270" i="2"/>
  <c r="BB270" i="2"/>
  <c r="BZ270" i="2" s="1"/>
  <c r="CC270" i="2" s="1"/>
  <c r="BA270" i="2"/>
  <c r="AZ270" i="2"/>
  <c r="AY270" i="2"/>
  <c r="AX270" i="2"/>
  <c r="AW270" i="2"/>
  <c r="CA269" i="2"/>
  <c r="BY269" i="2"/>
  <c r="BX269" i="2"/>
  <c r="BW269" i="2"/>
  <c r="BV269" i="2"/>
  <c r="BU269" i="2"/>
  <c r="BT269" i="2"/>
  <c r="BS269" i="2"/>
  <c r="BR269" i="2"/>
  <c r="BQ269" i="2"/>
  <c r="BP269" i="2"/>
  <c r="BO269" i="2"/>
  <c r="BN269" i="2"/>
  <c r="BM269" i="2"/>
  <c r="BL269" i="2"/>
  <c r="BK269" i="2"/>
  <c r="BJ269" i="2"/>
  <c r="BI269" i="2"/>
  <c r="BH269" i="2"/>
  <c r="BG269" i="2"/>
  <c r="BF269" i="2"/>
  <c r="BE269" i="2"/>
  <c r="BD269" i="2"/>
  <c r="BC269" i="2"/>
  <c r="BB269" i="2"/>
  <c r="BZ269" i="2" s="1"/>
  <c r="CC269" i="2" s="1"/>
  <c r="BA269" i="2"/>
  <c r="AZ269" i="2"/>
  <c r="AY269" i="2"/>
  <c r="AX269" i="2"/>
  <c r="AW269" i="2"/>
  <c r="CA268" i="2"/>
  <c r="BY268" i="2"/>
  <c r="BX268" i="2"/>
  <c r="BW268" i="2"/>
  <c r="BV268" i="2"/>
  <c r="BU268" i="2"/>
  <c r="BT268" i="2"/>
  <c r="BS268" i="2"/>
  <c r="BR268" i="2"/>
  <c r="BQ268" i="2"/>
  <c r="BP268" i="2"/>
  <c r="BO268" i="2"/>
  <c r="BN268" i="2"/>
  <c r="BM268" i="2"/>
  <c r="BL268" i="2"/>
  <c r="BK268" i="2"/>
  <c r="BJ268" i="2"/>
  <c r="BI268" i="2"/>
  <c r="BH268" i="2"/>
  <c r="BG268" i="2"/>
  <c r="BF268" i="2"/>
  <c r="BE268" i="2"/>
  <c r="BD268" i="2"/>
  <c r="BC268" i="2"/>
  <c r="BB268" i="2"/>
  <c r="BZ268" i="2" s="1"/>
  <c r="CC268" i="2" s="1"/>
  <c r="BA268" i="2"/>
  <c r="AZ268" i="2"/>
  <c r="AY268" i="2"/>
  <c r="AX268" i="2"/>
  <c r="AW268" i="2"/>
  <c r="CA267" i="2"/>
  <c r="BY267" i="2"/>
  <c r="BX267" i="2"/>
  <c r="BW267" i="2"/>
  <c r="BV267" i="2"/>
  <c r="BU267" i="2"/>
  <c r="BT267" i="2"/>
  <c r="BS267" i="2"/>
  <c r="BR267" i="2"/>
  <c r="BQ267" i="2"/>
  <c r="BP267" i="2"/>
  <c r="BO267" i="2"/>
  <c r="BN267" i="2"/>
  <c r="BM267" i="2"/>
  <c r="BL267" i="2"/>
  <c r="BK267" i="2"/>
  <c r="BJ267" i="2"/>
  <c r="BI267" i="2"/>
  <c r="BH267" i="2"/>
  <c r="BG267" i="2"/>
  <c r="BF267" i="2"/>
  <c r="BE267" i="2"/>
  <c r="BD267" i="2"/>
  <c r="BC267" i="2"/>
  <c r="BB267" i="2"/>
  <c r="BZ267" i="2" s="1"/>
  <c r="CC267" i="2" s="1"/>
  <c r="BA267" i="2"/>
  <c r="AZ267" i="2"/>
  <c r="AY267" i="2"/>
  <c r="AX267" i="2"/>
  <c r="AW267" i="2"/>
  <c r="CA266" i="2"/>
  <c r="BY266" i="2"/>
  <c r="BX266" i="2"/>
  <c r="BW266" i="2"/>
  <c r="BV266" i="2"/>
  <c r="BU266" i="2"/>
  <c r="BT266" i="2"/>
  <c r="BS266" i="2"/>
  <c r="BR266" i="2"/>
  <c r="BQ266" i="2"/>
  <c r="BP266" i="2"/>
  <c r="BO266" i="2"/>
  <c r="BN266" i="2"/>
  <c r="BM266" i="2"/>
  <c r="BL266" i="2"/>
  <c r="BK266" i="2"/>
  <c r="BJ266" i="2"/>
  <c r="BI266" i="2"/>
  <c r="BH266" i="2"/>
  <c r="BG266" i="2"/>
  <c r="BF266" i="2"/>
  <c r="BE266" i="2"/>
  <c r="BD266" i="2"/>
  <c r="BC266" i="2"/>
  <c r="BB266" i="2"/>
  <c r="BZ266" i="2" s="1"/>
  <c r="CC266" i="2" s="1"/>
  <c r="BA266" i="2"/>
  <c r="AZ266" i="2"/>
  <c r="AY266" i="2"/>
  <c r="AX266" i="2"/>
  <c r="AW266" i="2"/>
  <c r="CA265" i="2"/>
  <c r="BY265" i="2"/>
  <c r="BX265" i="2"/>
  <c r="BW265" i="2"/>
  <c r="BV265" i="2"/>
  <c r="BU265" i="2"/>
  <c r="BT265" i="2"/>
  <c r="BS265" i="2"/>
  <c r="BR265" i="2"/>
  <c r="BQ265" i="2"/>
  <c r="BP265" i="2"/>
  <c r="BO265" i="2"/>
  <c r="BN265" i="2"/>
  <c r="BM265" i="2"/>
  <c r="BL265" i="2"/>
  <c r="BK265" i="2"/>
  <c r="BJ265" i="2"/>
  <c r="BI265" i="2"/>
  <c r="BH265" i="2"/>
  <c r="BG265" i="2"/>
  <c r="BF265" i="2"/>
  <c r="BE265" i="2"/>
  <c r="BD265" i="2"/>
  <c r="BC265" i="2"/>
  <c r="BB265" i="2"/>
  <c r="BZ265" i="2" s="1"/>
  <c r="CC265" i="2" s="1"/>
  <c r="BA265" i="2"/>
  <c r="AZ265" i="2"/>
  <c r="AY265" i="2"/>
  <c r="AX265" i="2"/>
  <c r="AW265" i="2"/>
  <c r="CA264" i="2"/>
  <c r="BY264" i="2"/>
  <c r="BX264" i="2"/>
  <c r="BW264" i="2"/>
  <c r="BV264" i="2"/>
  <c r="BU264" i="2"/>
  <c r="BT264" i="2"/>
  <c r="BS264" i="2"/>
  <c r="BR264" i="2"/>
  <c r="BQ264" i="2"/>
  <c r="BP264" i="2"/>
  <c r="BO264" i="2"/>
  <c r="BN264" i="2"/>
  <c r="BM264" i="2"/>
  <c r="BL264" i="2"/>
  <c r="BK264" i="2"/>
  <c r="BJ264" i="2"/>
  <c r="BI264" i="2"/>
  <c r="BH264" i="2"/>
  <c r="BG264" i="2"/>
  <c r="BF264" i="2"/>
  <c r="BE264" i="2"/>
  <c r="BD264" i="2"/>
  <c r="BC264" i="2"/>
  <c r="BB264" i="2"/>
  <c r="BZ264" i="2" s="1"/>
  <c r="CC264" i="2" s="1"/>
  <c r="BA264" i="2"/>
  <c r="AZ264" i="2"/>
  <c r="AY264" i="2"/>
  <c r="AX264" i="2"/>
  <c r="AW264" i="2"/>
  <c r="CA263" i="2"/>
  <c r="BY263" i="2"/>
  <c r="BX263" i="2"/>
  <c r="BW263" i="2"/>
  <c r="BV263" i="2"/>
  <c r="BU263" i="2"/>
  <c r="BT263" i="2"/>
  <c r="BS263" i="2"/>
  <c r="BR263" i="2"/>
  <c r="BQ263" i="2"/>
  <c r="BP263" i="2"/>
  <c r="BO263" i="2"/>
  <c r="BN263" i="2"/>
  <c r="BM263" i="2"/>
  <c r="BL263" i="2"/>
  <c r="BK263" i="2"/>
  <c r="BJ263" i="2"/>
  <c r="BI263" i="2"/>
  <c r="BH263" i="2"/>
  <c r="BG263" i="2"/>
  <c r="BF263" i="2"/>
  <c r="BE263" i="2"/>
  <c r="BD263" i="2"/>
  <c r="BC263" i="2"/>
  <c r="BB263" i="2"/>
  <c r="BZ263" i="2" s="1"/>
  <c r="CC263" i="2" s="1"/>
  <c r="BA263" i="2"/>
  <c r="AZ263" i="2"/>
  <c r="AY263" i="2"/>
  <c r="AX263" i="2"/>
  <c r="AW263" i="2"/>
  <c r="CA262" i="2"/>
  <c r="BY262" i="2"/>
  <c r="BX262" i="2"/>
  <c r="BW262" i="2"/>
  <c r="BV262" i="2"/>
  <c r="BU262" i="2"/>
  <c r="BT262" i="2"/>
  <c r="BS262" i="2"/>
  <c r="BR262" i="2"/>
  <c r="BQ262" i="2"/>
  <c r="BP262" i="2"/>
  <c r="BO262" i="2"/>
  <c r="BN262" i="2"/>
  <c r="BM262" i="2"/>
  <c r="BL262" i="2"/>
  <c r="BK262" i="2"/>
  <c r="BJ262" i="2"/>
  <c r="BI262" i="2"/>
  <c r="BH262" i="2"/>
  <c r="BG262" i="2"/>
  <c r="BF262" i="2"/>
  <c r="BE262" i="2"/>
  <c r="BD262" i="2"/>
  <c r="BC262" i="2"/>
  <c r="BB262" i="2"/>
  <c r="BZ262" i="2" s="1"/>
  <c r="CC262" i="2" s="1"/>
  <c r="BA262" i="2"/>
  <c r="AZ262" i="2"/>
  <c r="AY262" i="2"/>
  <c r="AX262" i="2"/>
  <c r="AW262" i="2"/>
  <c r="CA261" i="2"/>
  <c r="BY261" i="2"/>
  <c r="BX261" i="2"/>
  <c r="BW261" i="2"/>
  <c r="BV261" i="2"/>
  <c r="BU261" i="2"/>
  <c r="BT261" i="2"/>
  <c r="BS261" i="2"/>
  <c r="BR261" i="2"/>
  <c r="BQ261" i="2"/>
  <c r="BP261" i="2"/>
  <c r="BO261" i="2"/>
  <c r="BN261" i="2"/>
  <c r="BM261" i="2"/>
  <c r="BL261" i="2"/>
  <c r="BK261" i="2"/>
  <c r="BJ261" i="2"/>
  <c r="BI261" i="2"/>
  <c r="BH261" i="2"/>
  <c r="BG261" i="2"/>
  <c r="BF261" i="2"/>
  <c r="BE261" i="2"/>
  <c r="BD261" i="2"/>
  <c r="BC261" i="2"/>
  <c r="BB261" i="2"/>
  <c r="BZ261" i="2" s="1"/>
  <c r="CC261" i="2" s="1"/>
  <c r="BA261" i="2"/>
  <c r="AZ261" i="2"/>
  <c r="AY261" i="2"/>
  <c r="AX261" i="2"/>
  <c r="AW261" i="2"/>
  <c r="CA260" i="2"/>
  <c r="BY260" i="2"/>
  <c r="BX260" i="2"/>
  <c r="BW260" i="2"/>
  <c r="BV260" i="2"/>
  <c r="BU260" i="2"/>
  <c r="BT260" i="2"/>
  <c r="BS260" i="2"/>
  <c r="BR260" i="2"/>
  <c r="BQ260" i="2"/>
  <c r="BP260" i="2"/>
  <c r="BO260" i="2"/>
  <c r="BN260" i="2"/>
  <c r="BM260" i="2"/>
  <c r="BL260" i="2"/>
  <c r="BK260" i="2"/>
  <c r="BJ260" i="2"/>
  <c r="BI260" i="2"/>
  <c r="BH260" i="2"/>
  <c r="BG260" i="2"/>
  <c r="BF260" i="2"/>
  <c r="BE260" i="2"/>
  <c r="BD260" i="2"/>
  <c r="BC260" i="2"/>
  <c r="BB260" i="2"/>
  <c r="BZ260" i="2" s="1"/>
  <c r="BA260" i="2"/>
  <c r="AZ260" i="2"/>
  <c r="AY260" i="2"/>
  <c r="AX260" i="2"/>
  <c r="AW260" i="2"/>
  <c r="CA259" i="2"/>
  <c r="BY259" i="2"/>
  <c r="BX259" i="2"/>
  <c r="BW259" i="2"/>
  <c r="BV259" i="2"/>
  <c r="BU259" i="2"/>
  <c r="BT259" i="2"/>
  <c r="BS259" i="2"/>
  <c r="BR259" i="2"/>
  <c r="BQ259" i="2"/>
  <c r="BP259" i="2"/>
  <c r="BO259" i="2"/>
  <c r="BN259" i="2"/>
  <c r="BM259" i="2"/>
  <c r="BL259" i="2"/>
  <c r="BK259" i="2"/>
  <c r="BJ259" i="2"/>
  <c r="BI259" i="2"/>
  <c r="BH259" i="2"/>
  <c r="BG259" i="2"/>
  <c r="BF259" i="2"/>
  <c r="BE259" i="2"/>
  <c r="BD259" i="2"/>
  <c r="BC259" i="2"/>
  <c r="BB259" i="2"/>
  <c r="BZ259" i="2" s="1"/>
  <c r="BA259" i="2"/>
  <c r="AZ259" i="2"/>
  <c r="AY259" i="2"/>
  <c r="AX259" i="2"/>
  <c r="AW259" i="2"/>
  <c r="CA258" i="2"/>
  <c r="BY258" i="2"/>
  <c r="BX258" i="2"/>
  <c r="BW258" i="2"/>
  <c r="BV258" i="2"/>
  <c r="BU258" i="2"/>
  <c r="BT258" i="2"/>
  <c r="BS258" i="2"/>
  <c r="BR258" i="2"/>
  <c r="BQ258" i="2"/>
  <c r="BP258" i="2"/>
  <c r="BO258" i="2"/>
  <c r="BN258" i="2"/>
  <c r="BM258" i="2"/>
  <c r="BL258" i="2"/>
  <c r="BK258" i="2"/>
  <c r="BJ258" i="2"/>
  <c r="BI258" i="2"/>
  <c r="BH258" i="2"/>
  <c r="BG258" i="2"/>
  <c r="BF258" i="2"/>
  <c r="BE258" i="2"/>
  <c r="BD258" i="2"/>
  <c r="BC258" i="2"/>
  <c r="BB258" i="2"/>
  <c r="BZ258" i="2" s="1"/>
  <c r="CC258" i="2" s="1"/>
  <c r="BA258" i="2"/>
  <c r="AZ258" i="2"/>
  <c r="AY258" i="2"/>
  <c r="AX258" i="2"/>
  <c r="AW258" i="2"/>
  <c r="CA257" i="2"/>
  <c r="BY257" i="2"/>
  <c r="BX257" i="2"/>
  <c r="BW257" i="2"/>
  <c r="BV257" i="2"/>
  <c r="BU257" i="2"/>
  <c r="BT257" i="2"/>
  <c r="BS257" i="2"/>
  <c r="BR257" i="2"/>
  <c r="BQ257" i="2"/>
  <c r="BP257" i="2"/>
  <c r="BO257" i="2"/>
  <c r="BN257" i="2"/>
  <c r="BM257" i="2"/>
  <c r="BL257" i="2"/>
  <c r="BK257" i="2"/>
  <c r="BJ257" i="2"/>
  <c r="BI257" i="2"/>
  <c r="BH257" i="2"/>
  <c r="BG257" i="2"/>
  <c r="BF257" i="2"/>
  <c r="BE257" i="2"/>
  <c r="BD257" i="2"/>
  <c r="BC257" i="2"/>
  <c r="BB257" i="2"/>
  <c r="BZ257" i="2" s="1"/>
  <c r="BA257" i="2"/>
  <c r="AZ257" i="2"/>
  <c r="AY257" i="2"/>
  <c r="AX257" i="2"/>
  <c r="AW257" i="2"/>
  <c r="CA256" i="2"/>
  <c r="BY256" i="2"/>
  <c r="BX256" i="2"/>
  <c r="BW256" i="2"/>
  <c r="BV256" i="2"/>
  <c r="BU256" i="2"/>
  <c r="BT256" i="2"/>
  <c r="BS256" i="2"/>
  <c r="BR256" i="2"/>
  <c r="BQ256" i="2"/>
  <c r="BP256" i="2"/>
  <c r="BO256" i="2"/>
  <c r="BN256" i="2"/>
  <c r="BM256" i="2"/>
  <c r="BL256" i="2"/>
  <c r="BK256" i="2"/>
  <c r="BJ256" i="2"/>
  <c r="BI256" i="2"/>
  <c r="BH256" i="2"/>
  <c r="BG256" i="2"/>
  <c r="BF256" i="2"/>
  <c r="BE256" i="2"/>
  <c r="BD256" i="2"/>
  <c r="BC256" i="2"/>
  <c r="BB256" i="2"/>
  <c r="BZ256" i="2" s="1"/>
  <c r="BA256" i="2"/>
  <c r="AZ256" i="2"/>
  <c r="AY256" i="2"/>
  <c r="AX256" i="2"/>
  <c r="AW256" i="2"/>
  <c r="CA255" i="2"/>
  <c r="BY255" i="2"/>
  <c r="BX255" i="2"/>
  <c r="BW255" i="2"/>
  <c r="BV255" i="2"/>
  <c r="BU255" i="2"/>
  <c r="BT255" i="2"/>
  <c r="BS255" i="2"/>
  <c r="BR255" i="2"/>
  <c r="BQ255" i="2"/>
  <c r="BP255" i="2"/>
  <c r="BO255" i="2"/>
  <c r="BN255" i="2"/>
  <c r="BM255" i="2"/>
  <c r="BL255" i="2"/>
  <c r="BK255" i="2"/>
  <c r="BJ255" i="2"/>
  <c r="BI255" i="2"/>
  <c r="BH255" i="2"/>
  <c r="BG255" i="2"/>
  <c r="BF255" i="2"/>
  <c r="BE255" i="2"/>
  <c r="BD255" i="2"/>
  <c r="BC255" i="2"/>
  <c r="BB255" i="2"/>
  <c r="BZ255" i="2" s="1"/>
  <c r="CC255" i="2" s="1"/>
  <c r="BA255" i="2"/>
  <c r="AZ255" i="2"/>
  <c r="AY255" i="2"/>
  <c r="AX255" i="2"/>
  <c r="AW255" i="2"/>
  <c r="CA254" i="2"/>
  <c r="BY254" i="2"/>
  <c r="BX254" i="2"/>
  <c r="BW254" i="2"/>
  <c r="BV254" i="2"/>
  <c r="BU254" i="2"/>
  <c r="BT254" i="2"/>
  <c r="BS254" i="2"/>
  <c r="BR254" i="2"/>
  <c r="BQ254" i="2"/>
  <c r="BP254" i="2"/>
  <c r="BO254" i="2"/>
  <c r="BN254" i="2"/>
  <c r="BM254" i="2"/>
  <c r="BL254" i="2"/>
  <c r="BK254" i="2"/>
  <c r="BJ254" i="2"/>
  <c r="BI254" i="2"/>
  <c r="BH254" i="2"/>
  <c r="BG254" i="2"/>
  <c r="BF254" i="2"/>
  <c r="BE254" i="2"/>
  <c r="BD254" i="2"/>
  <c r="BC254" i="2"/>
  <c r="BB254" i="2"/>
  <c r="BZ254" i="2" s="1"/>
  <c r="BA254" i="2"/>
  <c r="AZ254" i="2"/>
  <c r="AY254" i="2"/>
  <c r="AX254" i="2"/>
  <c r="AW254" i="2"/>
  <c r="CA253" i="2"/>
  <c r="BY253" i="2"/>
  <c r="BX253" i="2"/>
  <c r="BW253" i="2"/>
  <c r="BV253" i="2"/>
  <c r="BU253" i="2"/>
  <c r="BT253" i="2"/>
  <c r="BS253" i="2"/>
  <c r="BR253" i="2"/>
  <c r="BQ253" i="2"/>
  <c r="BP253" i="2"/>
  <c r="BO253" i="2"/>
  <c r="BN253" i="2"/>
  <c r="BM253" i="2"/>
  <c r="BL253" i="2"/>
  <c r="BK253" i="2"/>
  <c r="BJ253" i="2"/>
  <c r="BI253" i="2"/>
  <c r="BH253" i="2"/>
  <c r="BG253" i="2"/>
  <c r="BF253" i="2"/>
  <c r="BE253" i="2"/>
  <c r="BD253" i="2"/>
  <c r="BC253" i="2"/>
  <c r="BB253" i="2"/>
  <c r="BZ253" i="2" s="1"/>
  <c r="CC253" i="2" s="1"/>
  <c r="BA253" i="2"/>
  <c r="AZ253" i="2"/>
  <c r="AY253" i="2"/>
  <c r="AX253" i="2"/>
  <c r="AW253" i="2"/>
  <c r="CA252" i="2"/>
  <c r="BY252" i="2"/>
  <c r="BX252" i="2"/>
  <c r="BW252" i="2"/>
  <c r="BV252" i="2"/>
  <c r="BU252" i="2"/>
  <c r="BT252" i="2"/>
  <c r="BS252" i="2"/>
  <c r="BR252" i="2"/>
  <c r="BQ252" i="2"/>
  <c r="BP252" i="2"/>
  <c r="BO252" i="2"/>
  <c r="BN252" i="2"/>
  <c r="BM252" i="2"/>
  <c r="BL252" i="2"/>
  <c r="BK252" i="2"/>
  <c r="BJ252" i="2"/>
  <c r="BI252" i="2"/>
  <c r="BH252" i="2"/>
  <c r="BG252" i="2"/>
  <c r="BF252" i="2"/>
  <c r="BE252" i="2"/>
  <c r="BD252" i="2"/>
  <c r="BC252" i="2"/>
  <c r="BB252" i="2"/>
  <c r="BZ252" i="2" s="1"/>
  <c r="BA252" i="2"/>
  <c r="AZ252" i="2"/>
  <c r="AY252" i="2"/>
  <c r="AX252" i="2"/>
  <c r="AW252" i="2"/>
  <c r="CA251" i="2"/>
  <c r="BY251" i="2"/>
  <c r="BX251" i="2"/>
  <c r="BW251" i="2"/>
  <c r="BV251" i="2"/>
  <c r="BU251" i="2"/>
  <c r="BT251" i="2"/>
  <c r="BS251" i="2"/>
  <c r="BR251" i="2"/>
  <c r="BQ251" i="2"/>
  <c r="BP251" i="2"/>
  <c r="BO251" i="2"/>
  <c r="BN251" i="2"/>
  <c r="BM251" i="2"/>
  <c r="BL251" i="2"/>
  <c r="BK251" i="2"/>
  <c r="BJ251" i="2"/>
  <c r="BI251" i="2"/>
  <c r="BH251" i="2"/>
  <c r="BG251" i="2"/>
  <c r="BF251" i="2"/>
  <c r="BE251" i="2"/>
  <c r="BD251" i="2"/>
  <c r="BC251" i="2"/>
  <c r="BB251" i="2"/>
  <c r="BZ251" i="2" s="1"/>
  <c r="CC251" i="2" s="1"/>
  <c r="BA251" i="2"/>
  <c r="AZ251" i="2"/>
  <c r="AY251" i="2"/>
  <c r="AX251" i="2"/>
  <c r="AW251" i="2"/>
  <c r="CA250" i="2"/>
  <c r="BY250" i="2"/>
  <c r="BX250" i="2"/>
  <c r="BW250" i="2"/>
  <c r="BV250" i="2"/>
  <c r="BU250" i="2"/>
  <c r="BT250" i="2"/>
  <c r="BS250" i="2"/>
  <c r="BR250" i="2"/>
  <c r="BQ250" i="2"/>
  <c r="BP250" i="2"/>
  <c r="BO250" i="2"/>
  <c r="BN250" i="2"/>
  <c r="BM250" i="2"/>
  <c r="BL250" i="2"/>
  <c r="BK250" i="2"/>
  <c r="BJ250" i="2"/>
  <c r="BI250" i="2"/>
  <c r="BH250" i="2"/>
  <c r="BG250" i="2"/>
  <c r="BF250" i="2"/>
  <c r="BE250" i="2"/>
  <c r="BD250" i="2"/>
  <c r="BC250" i="2"/>
  <c r="BB250" i="2"/>
  <c r="BZ250" i="2" s="1"/>
  <c r="CC250" i="2" s="1"/>
  <c r="BA250" i="2"/>
  <c r="AZ250" i="2"/>
  <c r="AY250" i="2"/>
  <c r="AX250" i="2"/>
  <c r="AW250" i="2"/>
  <c r="CA249" i="2"/>
  <c r="BY249" i="2"/>
  <c r="BX249" i="2"/>
  <c r="BW249" i="2"/>
  <c r="BV249" i="2"/>
  <c r="BU249" i="2"/>
  <c r="BT249" i="2"/>
  <c r="BS249" i="2"/>
  <c r="BR249" i="2"/>
  <c r="BQ249" i="2"/>
  <c r="BP249" i="2"/>
  <c r="BO249" i="2"/>
  <c r="BN249" i="2"/>
  <c r="BM249" i="2"/>
  <c r="BL249" i="2"/>
  <c r="BK249" i="2"/>
  <c r="BJ249" i="2"/>
  <c r="BI249" i="2"/>
  <c r="BH249" i="2"/>
  <c r="BG249" i="2"/>
  <c r="BF249" i="2"/>
  <c r="BE249" i="2"/>
  <c r="BD249" i="2"/>
  <c r="BC249" i="2"/>
  <c r="BB249" i="2"/>
  <c r="BZ249" i="2" s="1"/>
  <c r="CC249" i="2" s="1"/>
  <c r="BA249" i="2"/>
  <c r="AZ249" i="2"/>
  <c r="AY249" i="2"/>
  <c r="AX249" i="2"/>
  <c r="AW249" i="2"/>
  <c r="CA248" i="2"/>
  <c r="BY248" i="2"/>
  <c r="BX248" i="2"/>
  <c r="BW248" i="2"/>
  <c r="BV248" i="2"/>
  <c r="BU248" i="2"/>
  <c r="BT248" i="2"/>
  <c r="BS248" i="2"/>
  <c r="BR248" i="2"/>
  <c r="BQ248" i="2"/>
  <c r="BP248" i="2"/>
  <c r="BO248" i="2"/>
  <c r="BN248" i="2"/>
  <c r="BM248" i="2"/>
  <c r="BL248" i="2"/>
  <c r="BK248" i="2"/>
  <c r="BJ248" i="2"/>
  <c r="BI248" i="2"/>
  <c r="BH248" i="2"/>
  <c r="BG248" i="2"/>
  <c r="BF248" i="2"/>
  <c r="BE248" i="2"/>
  <c r="BD248" i="2"/>
  <c r="BC248" i="2"/>
  <c r="BB248" i="2"/>
  <c r="BZ248" i="2" s="1"/>
  <c r="CC248" i="2" s="1"/>
  <c r="BA248" i="2"/>
  <c r="AZ248" i="2"/>
  <c r="AY248" i="2"/>
  <c r="AX248" i="2"/>
  <c r="AW248" i="2"/>
  <c r="CA247" i="2"/>
  <c r="BY247" i="2"/>
  <c r="BX247" i="2"/>
  <c r="BW247" i="2"/>
  <c r="BV247" i="2"/>
  <c r="BU247" i="2"/>
  <c r="BT247" i="2"/>
  <c r="BS247" i="2"/>
  <c r="BR247" i="2"/>
  <c r="BQ247" i="2"/>
  <c r="BP247" i="2"/>
  <c r="BO247" i="2"/>
  <c r="BN247" i="2"/>
  <c r="BM247" i="2"/>
  <c r="BL247" i="2"/>
  <c r="BK247" i="2"/>
  <c r="BJ247" i="2"/>
  <c r="BI247" i="2"/>
  <c r="BH247" i="2"/>
  <c r="BG247" i="2"/>
  <c r="BF247" i="2"/>
  <c r="BE247" i="2"/>
  <c r="BD247" i="2"/>
  <c r="BC247" i="2"/>
  <c r="BB247" i="2"/>
  <c r="BZ247" i="2" s="1"/>
  <c r="CC247" i="2" s="1"/>
  <c r="BA247" i="2"/>
  <c r="AZ247" i="2"/>
  <c r="AY247" i="2"/>
  <c r="AX247" i="2"/>
  <c r="AW247" i="2"/>
  <c r="CA246" i="2"/>
  <c r="BY246" i="2"/>
  <c r="BX246" i="2"/>
  <c r="BW246" i="2"/>
  <c r="BV246" i="2"/>
  <c r="BU246" i="2"/>
  <c r="BT246" i="2"/>
  <c r="BS246" i="2"/>
  <c r="BR246" i="2"/>
  <c r="BQ246" i="2"/>
  <c r="BP246" i="2"/>
  <c r="BO246" i="2"/>
  <c r="BN246" i="2"/>
  <c r="BM246" i="2"/>
  <c r="BL246" i="2"/>
  <c r="BK246" i="2"/>
  <c r="BJ246" i="2"/>
  <c r="BI246" i="2"/>
  <c r="BH246" i="2"/>
  <c r="BG246" i="2"/>
  <c r="BF246" i="2"/>
  <c r="BE246" i="2"/>
  <c r="BD246" i="2"/>
  <c r="BC246" i="2"/>
  <c r="BB246" i="2"/>
  <c r="BZ246" i="2" s="1"/>
  <c r="CC246" i="2" s="1"/>
  <c r="BA246" i="2"/>
  <c r="AZ246" i="2"/>
  <c r="AY246" i="2"/>
  <c r="AX246" i="2"/>
  <c r="AW246" i="2"/>
  <c r="CA245" i="2"/>
  <c r="BY245" i="2"/>
  <c r="BX245" i="2"/>
  <c r="BW245" i="2"/>
  <c r="BV245" i="2"/>
  <c r="BU245" i="2"/>
  <c r="BT245" i="2"/>
  <c r="BS245" i="2"/>
  <c r="BR245" i="2"/>
  <c r="BQ245" i="2"/>
  <c r="BP245" i="2"/>
  <c r="BO245" i="2"/>
  <c r="BN245" i="2"/>
  <c r="BM245" i="2"/>
  <c r="BL245" i="2"/>
  <c r="BK245" i="2"/>
  <c r="BJ245" i="2"/>
  <c r="BI245" i="2"/>
  <c r="BH245" i="2"/>
  <c r="BG245" i="2"/>
  <c r="BF245" i="2"/>
  <c r="BE245" i="2"/>
  <c r="BD245" i="2"/>
  <c r="BC245" i="2"/>
  <c r="BB245" i="2"/>
  <c r="BZ245" i="2" s="1"/>
  <c r="CC245" i="2" s="1"/>
  <c r="BA245" i="2"/>
  <c r="AZ245" i="2"/>
  <c r="AY245" i="2"/>
  <c r="AX245" i="2"/>
  <c r="AW245" i="2"/>
  <c r="CA244" i="2"/>
  <c r="BY244" i="2"/>
  <c r="BX244" i="2"/>
  <c r="BW244" i="2"/>
  <c r="BV244" i="2"/>
  <c r="BU244" i="2"/>
  <c r="BT244" i="2"/>
  <c r="BS244" i="2"/>
  <c r="BR244" i="2"/>
  <c r="BQ244" i="2"/>
  <c r="BP244" i="2"/>
  <c r="BO244" i="2"/>
  <c r="BN244" i="2"/>
  <c r="BM244" i="2"/>
  <c r="BL244" i="2"/>
  <c r="BK244" i="2"/>
  <c r="BJ244" i="2"/>
  <c r="BI244" i="2"/>
  <c r="BH244" i="2"/>
  <c r="BG244" i="2"/>
  <c r="BF244" i="2"/>
  <c r="BE244" i="2"/>
  <c r="BD244" i="2"/>
  <c r="BC244" i="2"/>
  <c r="BB244" i="2"/>
  <c r="BZ244" i="2" s="1"/>
  <c r="BA244" i="2"/>
  <c r="AZ244" i="2"/>
  <c r="AY244" i="2"/>
  <c r="AX244" i="2"/>
  <c r="AW244" i="2"/>
  <c r="CA243" i="2"/>
  <c r="BY243" i="2"/>
  <c r="BX243" i="2"/>
  <c r="BW243" i="2"/>
  <c r="BV243" i="2"/>
  <c r="BU243" i="2"/>
  <c r="BT243" i="2"/>
  <c r="BS243" i="2"/>
  <c r="BR243" i="2"/>
  <c r="BQ243" i="2"/>
  <c r="BP243" i="2"/>
  <c r="BO243" i="2"/>
  <c r="BN243" i="2"/>
  <c r="BM243" i="2"/>
  <c r="BL243" i="2"/>
  <c r="BK243" i="2"/>
  <c r="BJ243" i="2"/>
  <c r="BI243" i="2"/>
  <c r="BH243" i="2"/>
  <c r="BG243" i="2"/>
  <c r="BF243" i="2"/>
  <c r="BE243" i="2"/>
  <c r="BD243" i="2"/>
  <c r="BC243" i="2"/>
  <c r="BB243" i="2"/>
  <c r="BZ243" i="2" s="1"/>
  <c r="CC243" i="2" s="1"/>
  <c r="BA243" i="2"/>
  <c r="AZ243" i="2"/>
  <c r="AY243" i="2"/>
  <c r="AX243" i="2"/>
  <c r="AW243" i="2"/>
  <c r="CA242" i="2"/>
  <c r="BY242" i="2"/>
  <c r="BX242" i="2"/>
  <c r="BW242" i="2"/>
  <c r="BV242" i="2"/>
  <c r="BU242" i="2"/>
  <c r="BT242" i="2"/>
  <c r="BS242" i="2"/>
  <c r="BR242" i="2"/>
  <c r="BQ242" i="2"/>
  <c r="BP242" i="2"/>
  <c r="BO242" i="2"/>
  <c r="BN242" i="2"/>
  <c r="BM242" i="2"/>
  <c r="BL242" i="2"/>
  <c r="BK242" i="2"/>
  <c r="BJ242" i="2"/>
  <c r="BI242" i="2"/>
  <c r="BH242" i="2"/>
  <c r="BG242" i="2"/>
  <c r="BF242" i="2"/>
  <c r="BE242" i="2"/>
  <c r="BD242" i="2"/>
  <c r="BC242" i="2"/>
  <c r="BB242" i="2"/>
  <c r="BZ242" i="2" s="1"/>
  <c r="CC242" i="2" s="1"/>
  <c r="BA242" i="2"/>
  <c r="AZ242" i="2"/>
  <c r="AY242" i="2"/>
  <c r="AX242" i="2"/>
  <c r="AW242" i="2"/>
  <c r="CA241" i="2"/>
  <c r="BY241" i="2"/>
  <c r="BX241" i="2"/>
  <c r="BW241" i="2"/>
  <c r="BV241" i="2"/>
  <c r="BU241" i="2"/>
  <c r="BT241" i="2"/>
  <c r="BS241" i="2"/>
  <c r="BR241" i="2"/>
  <c r="BQ241" i="2"/>
  <c r="BP241" i="2"/>
  <c r="BO241" i="2"/>
  <c r="BN241" i="2"/>
  <c r="BM241" i="2"/>
  <c r="BL241" i="2"/>
  <c r="BK241" i="2"/>
  <c r="BJ241" i="2"/>
  <c r="BI241" i="2"/>
  <c r="BH241" i="2"/>
  <c r="BG241" i="2"/>
  <c r="BF241" i="2"/>
  <c r="BE241" i="2"/>
  <c r="BD241" i="2"/>
  <c r="BC241" i="2"/>
  <c r="BB241" i="2"/>
  <c r="BZ241" i="2" s="1"/>
  <c r="BA241" i="2"/>
  <c r="AZ241" i="2"/>
  <c r="AY241" i="2"/>
  <c r="AX241" i="2"/>
  <c r="AW241" i="2"/>
  <c r="CA240" i="2"/>
  <c r="BY240" i="2"/>
  <c r="BX240" i="2"/>
  <c r="BW240" i="2"/>
  <c r="BV240" i="2"/>
  <c r="BU240" i="2"/>
  <c r="BT240" i="2"/>
  <c r="BS240" i="2"/>
  <c r="BR240" i="2"/>
  <c r="BQ240" i="2"/>
  <c r="BP240" i="2"/>
  <c r="BO240" i="2"/>
  <c r="BN240" i="2"/>
  <c r="BM240" i="2"/>
  <c r="BL240" i="2"/>
  <c r="BK240" i="2"/>
  <c r="BJ240" i="2"/>
  <c r="BI240" i="2"/>
  <c r="BH240" i="2"/>
  <c r="BG240" i="2"/>
  <c r="BF240" i="2"/>
  <c r="BE240" i="2"/>
  <c r="BD240" i="2"/>
  <c r="BC240" i="2"/>
  <c r="BB240" i="2"/>
  <c r="BZ240" i="2" s="1"/>
  <c r="CC240" i="2" s="1"/>
  <c r="BA240" i="2"/>
  <c r="AZ240" i="2"/>
  <c r="AY240" i="2"/>
  <c r="AX240" i="2"/>
  <c r="AW240" i="2"/>
  <c r="CA239" i="2"/>
  <c r="BY239" i="2"/>
  <c r="BX239" i="2"/>
  <c r="BW239" i="2"/>
  <c r="BV239" i="2"/>
  <c r="BU239" i="2"/>
  <c r="BT239" i="2"/>
  <c r="BS239" i="2"/>
  <c r="BR239" i="2"/>
  <c r="BQ239" i="2"/>
  <c r="BP239" i="2"/>
  <c r="BO239" i="2"/>
  <c r="BN239" i="2"/>
  <c r="BM239" i="2"/>
  <c r="BL239" i="2"/>
  <c r="BK239" i="2"/>
  <c r="BJ239" i="2"/>
  <c r="BI239" i="2"/>
  <c r="BH239" i="2"/>
  <c r="BG239" i="2"/>
  <c r="BF239" i="2"/>
  <c r="BE239" i="2"/>
  <c r="BD239" i="2"/>
  <c r="BC239" i="2"/>
  <c r="BB239" i="2"/>
  <c r="BZ239" i="2" s="1"/>
  <c r="BA239" i="2"/>
  <c r="AZ239" i="2"/>
  <c r="AY239" i="2"/>
  <c r="AX239" i="2"/>
  <c r="AW239" i="2"/>
  <c r="CA238" i="2"/>
  <c r="BY238" i="2"/>
  <c r="BX238" i="2"/>
  <c r="BW238" i="2"/>
  <c r="BV238" i="2"/>
  <c r="BU238" i="2"/>
  <c r="BT238" i="2"/>
  <c r="BS238" i="2"/>
  <c r="BR238" i="2"/>
  <c r="BQ238" i="2"/>
  <c r="BP238" i="2"/>
  <c r="BO238" i="2"/>
  <c r="BN238" i="2"/>
  <c r="BM238" i="2"/>
  <c r="BL238" i="2"/>
  <c r="BK238" i="2"/>
  <c r="BJ238" i="2"/>
  <c r="BI238" i="2"/>
  <c r="BH238" i="2"/>
  <c r="BG238" i="2"/>
  <c r="BF238" i="2"/>
  <c r="BE238" i="2"/>
  <c r="BD238" i="2"/>
  <c r="BC238" i="2"/>
  <c r="BB238" i="2"/>
  <c r="BZ238" i="2" s="1"/>
  <c r="BA238" i="2"/>
  <c r="AZ238" i="2"/>
  <c r="AY238" i="2"/>
  <c r="AX238" i="2"/>
  <c r="AW238" i="2"/>
  <c r="CA237" i="2"/>
  <c r="BY237" i="2"/>
  <c r="BX237" i="2"/>
  <c r="BW237" i="2"/>
  <c r="BV237" i="2"/>
  <c r="BU237" i="2"/>
  <c r="BT237" i="2"/>
  <c r="BS237" i="2"/>
  <c r="BR237" i="2"/>
  <c r="BQ237" i="2"/>
  <c r="BP237" i="2"/>
  <c r="BO237" i="2"/>
  <c r="BN237" i="2"/>
  <c r="BM237" i="2"/>
  <c r="BL237" i="2"/>
  <c r="BK237" i="2"/>
  <c r="BJ237" i="2"/>
  <c r="BI237" i="2"/>
  <c r="BH237" i="2"/>
  <c r="BG237" i="2"/>
  <c r="BF237" i="2"/>
  <c r="BE237" i="2"/>
  <c r="BD237" i="2"/>
  <c r="BC237" i="2"/>
  <c r="BB237" i="2"/>
  <c r="BZ237" i="2" s="1"/>
  <c r="CC237" i="2" s="1"/>
  <c r="BA237" i="2"/>
  <c r="AZ237" i="2"/>
  <c r="AY237" i="2"/>
  <c r="AX237" i="2"/>
  <c r="AW237" i="2"/>
  <c r="CA236" i="2"/>
  <c r="BY236" i="2"/>
  <c r="BX236" i="2"/>
  <c r="BW236" i="2"/>
  <c r="BV236" i="2"/>
  <c r="BU236" i="2"/>
  <c r="BT236" i="2"/>
  <c r="BS236" i="2"/>
  <c r="BR236" i="2"/>
  <c r="BQ236" i="2"/>
  <c r="BP236" i="2"/>
  <c r="BO236" i="2"/>
  <c r="BN236" i="2"/>
  <c r="BM236" i="2"/>
  <c r="BL236" i="2"/>
  <c r="BK236" i="2"/>
  <c r="BJ236" i="2"/>
  <c r="BI236" i="2"/>
  <c r="BH236" i="2"/>
  <c r="BG236" i="2"/>
  <c r="BF236" i="2"/>
  <c r="BE236" i="2"/>
  <c r="BD236" i="2"/>
  <c r="BC236" i="2"/>
  <c r="BB236" i="2"/>
  <c r="BZ236" i="2" s="1"/>
  <c r="CC236" i="2" s="1"/>
  <c r="BA236" i="2"/>
  <c r="AZ236" i="2"/>
  <c r="AY236" i="2"/>
  <c r="AX236" i="2"/>
  <c r="AW236" i="2"/>
  <c r="CA235" i="2"/>
  <c r="BY235" i="2"/>
  <c r="BX235" i="2"/>
  <c r="BW235" i="2"/>
  <c r="BV235" i="2"/>
  <c r="BU235" i="2"/>
  <c r="BT235" i="2"/>
  <c r="BS235" i="2"/>
  <c r="BR235" i="2"/>
  <c r="BQ235" i="2"/>
  <c r="BP235" i="2"/>
  <c r="BO235" i="2"/>
  <c r="BN235" i="2"/>
  <c r="BM235" i="2"/>
  <c r="BL235" i="2"/>
  <c r="BK235" i="2"/>
  <c r="BJ235" i="2"/>
  <c r="BI235" i="2"/>
  <c r="BH235" i="2"/>
  <c r="BG235" i="2"/>
  <c r="BF235" i="2"/>
  <c r="BE235" i="2"/>
  <c r="BD235" i="2"/>
  <c r="BC235" i="2"/>
  <c r="BB235" i="2"/>
  <c r="BZ235" i="2" s="1"/>
  <c r="CC235" i="2" s="1"/>
  <c r="BA235" i="2"/>
  <c r="AZ235" i="2"/>
  <c r="AY235" i="2"/>
  <c r="AX235" i="2"/>
  <c r="AW235" i="2"/>
  <c r="CA234" i="2"/>
  <c r="BY234" i="2"/>
  <c r="BX234" i="2"/>
  <c r="BW234" i="2"/>
  <c r="BV234" i="2"/>
  <c r="BU234" i="2"/>
  <c r="BT234" i="2"/>
  <c r="BS234" i="2"/>
  <c r="BR234" i="2"/>
  <c r="BQ234" i="2"/>
  <c r="BP234" i="2"/>
  <c r="BO234" i="2"/>
  <c r="BN234" i="2"/>
  <c r="BM234" i="2"/>
  <c r="BL234" i="2"/>
  <c r="BK234" i="2"/>
  <c r="BJ234" i="2"/>
  <c r="BI234" i="2"/>
  <c r="BH234" i="2"/>
  <c r="BG234" i="2"/>
  <c r="BF234" i="2"/>
  <c r="BE234" i="2"/>
  <c r="BD234" i="2"/>
  <c r="BC234" i="2"/>
  <c r="BB234" i="2"/>
  <c r="BZ234" i="2" s="1"/>
  <c r="BA234" i="2"/>
  <c r="AZ234" i="2"/>
  <c r="AY234" i="2"/>
  <c r="AX234" i="2"/>
  <c r="AW234" i="2"/>
  <c r="CA233" i="2"/>
  <c r="BY233" i="2"/>
  <c r="BX233" i="2"/>
  <c r="BW233" i="2"/>
  <c r="BV233" i="2"/>
  <c r="BU233" i="2"/>
  <c r="BT233" i="2"/>
  <c r="BS233" i="2"/>
  <c r="BR233" i="2"/>
  <c r="BQ233" i="2"/>
  <c r="BP233" i="2"/>
  <c r="BO233" i="2"/>
  <c r="BN233" i="2"/>
  <c r="BM233" i="2"/>
  <c r="BL233" i="2"/>
  <c r="BK233" i="2"/>
  <c r="BJ233" i="2"/>
  <c r="BI233" i="2"/>
  <c r="BH233" i="2"/>
  <c r="BG233" i="2"/>
  <c r="BF233" i="2"/>
  <c r="BE233" i="2"/>
  <c r="BD233" i="2"/>
  <c r="BC233" i="2"/>
  <c r="BB233" i="2"/>
  <c r="BZ233" i="2" s="1"/>
  <c r="BA233" i="2"/>
  <c r="AZ233" i="2"/>
  <c r="AY233" i="2"/>
  <c r="AX233" i="2"/>
  <c r="AW233" i="2"/>
  <c r="CA232" i="2"/>
  <c r="BY232" i="2"/>
  <c r="BX232" i="2"/>
  <c r="BW232" i="2"/>
  <c r="BV232" i="2"/>
  <c r="BU232" i="2"/>
  <c r="BT232" i="2"/>
  <c r="BS232" i="2"/>
  <c r="BR232" i="2"/>
  <c r="BQ232" i="2"/>
  <c r="BP232" i="2"/>
  <c r="BO232" i="2"/>
  <c r="BN232" i="2"/>
  <c r="BM232" i="2"/>
  <c r="BL232" i="2"/>
  <c r="BK232" i="2"/>
  <c r="BJ232" i="2"/>
  <c r="BI232" i="2"/>
  <c r="BH232" i="2"/>
  <c r="BG232" i="2"/>
  <c r="BF232" i="2"/>
  <c r="BE232" i="2"/>
  <c r="BD232" i="2"/>
  <c r="BC232" i="2"/>
  <c r="BB232" i="2"/>
  <c r="BZ232" i="2" s="1"/>
  <c r="CC232" i="2" s="1"/>
  <c r="BA232" i="2"/>
  <c r="AZ232" i="2"/>
  <c r="AY232" i="2"/>
  <c r="AX232" i="2"/>
  <c r="AW232" i="2"/>
  <c r="CA231" i="2"/>
  <c r="BY231" i="2"/>
  <c r="BX231" i="2"/>
  <c r="BW231" i="2"/>
  <c r="BV231" i="2"/>
  <c r="BU231" i="2"/>
  <c r="BT231" i="2"/>
  <c r="BS231" i="2"/>
  <c r="BR231" i="2"/>
  <c r="BQ231" i="2"/>
  <c r="BP231" i="2"/>
  <c r="BO231" i="2"/>
  <c r="BN231" i="2"/>
  <c r="BM231" i="2"/>
  <c r="BL231" i="2"/>
  <c r="BK231" i="2"/>
  <c r="BJ231" i="2"/>
  <c r="BI231" i="2"/>
  <c r="BH231" i="2"/>
  <c r="BG231" i="2"/>
  <c r="BF231" i="2"/>
  <c r="BE231" i="2"/>
  <c r="BD231" i="2"/>
  <c r="BC231" i="2"/>
  <c r="BB231" i="2"/>
  <c r="BZ231" i="2" s="1"/>
  <c r="BA231" i="2"/>
  <c r="AZ231" i="2"/>
  <c r="AY231" i="2"/>
  <c r="AX231" i="2"/>
  <c r="AW231" i="2"/>
  <c r="CA230" i="2"/>
  <c r="BY230" i="2"/>
  <c r="BX230" i="2"/>
  <c r="BW230" i="2"/>
  <c r="BV230" i="2"/>
  <c r="BU230" i="2"/>
  <c r="BT230" i="2"/>
  <c r="BS230" i="2"/>
  <c r="BR230" i="2"/>
  <c r="BQ230" i="2"/>
  <c r="BP230" i="2"/>
  <c r="BO230" i="2"/>
  <c r="BN230" i="2"/>
  <c r="BM230" i="2"/>
  <c r="BL230" i="2"/>
  <c r="BK230" i="2"/>
  <c r="BJ230" i="2"/>
  <c r="BI230" i="2"/>
  <c r="BH230" i="2"/>
  <c r="BG230" i="2"/>
  <c r="BF230" i="2"/>
  <c r="BE230" i="2"/>
  <c r="BD230" i="2"/>
  <c r="BC230" i="2"/>
  <c r="BB230" i="2"/>
  <c r="BZ230" i="2" s="1"/>
  <c r="CC230" i="2" s="1"/>
  <c r="BA230" i="2"/>
  <c r="AZ230" i="2"/>
  <c r="AY230" i="2"/>
  <c r="AX230" i="2"/>
  <c r="AW230" i="2"/>
  <c r="CA229" i="2"/>
  <c r="BY229" i="2"/>
  <c r="BX229" i="2"/>
  <c r="BW229" i="2"/>
  <c r="BV229" i="2"/>
  <c r="BU229" i="2"/>
  <c r="BT229" i="2"/>
  <c r="BS229" i="2"/>
  <c r="BR229" i="2"/>
  <c r="BQ229" i="2"/>
  <c r="BP229" i="2"/>
  <c r="BO229" i="2"/>
  <c r="BN229" i="2"/>
  <c r="BM229" i="2"/>
  <c r="BL229" i="2"/>
  <c r="BK229" i="2"/>
  <c r="BJ229" i="2"/>
  <c r="BI229" i="2"/>
  <c r="BH229" i="2"/>
  <c r="BG229" i="2"/>
  <c r="BF229" i="2"/>
  <c r="BE229" i="2"/>
  <c r="BD229" i="2"/>
  <c r="BC229" i="2"/>
  <c r="BB229" i="2"/>
  <c r="BZ229" i="2" s="1"/>
  <c r="CC229" i="2" s="1"/>
  <c r="BA229" i="2"/>
  <c r="AZ229" i="2"/>
  <c r="AY229" i="2"/>
  <c r="AX229" i="2"/>
  <c r="AW229" i="2"/>
  <c r="CA228" i="2"/>
  <c r="BY228" i="2"/>
  <c r="BX228" i="2"/>
  <c r="BW228" i="2"/>
  <c r="BV228" i="2"/>
  <c r="BU228" i="2"/>
  <c r="BT228" i="2"/>
  <c r="BS228" i="2"/>
  <c r="BR228" i="2"/>
  <c r="BQ228" i="2"/>
  <c r="BP228" i="2"/>
  <c r="BO228" i="2"/>
  <c r="BN228" i="2"/>
  <c r="BM228" i="2"/>
  <c r="BL228" i="2"/>
  <c r="BK228" i="2"/>
  <c r="BJ228" i="2"/>
  <c r="BI228" i="2"/>
  <c r="BH228" i="2"/>
  <c r="BG228" i="2"/>
  <c r="BF228" i="2"/>
  <c r="BE228" i="2"/>
  <c r="BD228" i="2"/>
  <c r="BC228" i="2"/>
  <c r="BB228" i="2"/>
  <c r="BZ228" i="2" s="1"/>
  <c r="CC228" i="2" s="1"/>
  <c r="BA228" i="2"/>
  <c r="AZ228" i="2"/>
  <c r="AY228" i="2"/>
  <c r="AX228" i="2"/>
  <c r="AW228" i="2"/>
  <c r="CA227" i="2"/>
  <c r="BY227" i="2"/>
  <c r="BX227" i="2"/>
  <c r="BW227" i="2"/>
  <c r="BV227" i="2"/>
  <c r="BU227" i="2"/>
  <c r="BT227" i="2"/>
  <c r="BS227" i="2"/>
  <c r="BR227" i="2"/>
  <c r="BQ227" i="2"/>
  <c r="BP227" i="2"/>
  <c r="BO227" i="2"/>
  <c r="BN227" i="2"/>
  <c r="BM227" i="2"/>
  <c r="BL227" i="2"/>
  <c r="BK227" i="2"/>
  <c r="BJ227" i="2"/>
  <c r="BI227" i="2"/>
  <c r="BH227" i="2"/>
  <c r="BG227" i="2"/>
  <c r="BF227" i="2"/>
  <c r="BE227" i="2"/>
  <c r="BD227" i="2"/>
  <c r="BC227" i="2"/>
  <c r="BB227" i="2"/>
  <c r="BZ227" i="2" s="1"/>
  <c r="CC227" i="2" s="1"/>
  <c r="BA227" i="2"/>
  <c r="AZ227" i="2"/>
  <c r="AY227" i="2"/>
  <c r="AX227" i="2"/>
  <c r="AW227" i="2"/>
  <c r="CA226" i="2"/>
  <c r="BY226" i="2"/>
  <c r="BX226" i="2"/>
  <c r="BW226" i="2"/>
  <c r="BV226" i="2"/>
  <c r="BU226" i="2"/>
  <c r="BT226" i="2"/>
  <c r="BS226" i="2"/>
  <c r="BR226" i="2"/>
  <c r="BQ226" i="2"/>
  <c r="BP226" i="2"/>
  <c r="BO226" i="2"/>
  <c r="BN226" i="2"/>
  <c r="BM226" i="2"/>
  <c r="BL226" i="2"/>
  <c r="BK226" i="2"/>
  <c r="BJ226" i="2"/>
  <c r="BI226" i="2"/>
  <c r="BH226" i="2"/>
  <c r="BG226" i="2"/>
  <c r="BF226" i="2"/>
  <c r="BE226" i="2"/>
  <c r="BD226" i="2"/>
  <c r="BC226" i="2"/>
  <c r="BB226" i="2"/>
  <c r="BZ226" i="2" s="1"/>
  <c r="CC226" i="2" s="1"/>
  <c r="BA226" i="2"/>
  <c r="AZ226" i="2"/>
  <c r="AY226" i="2"/>
  <c r="AX226" i="2"/>
  <c r="AW226" i="2"/>
  <c r="CA225" i="2"/>
  <c r="BY225" i="2"/>
  <c r="BX225" i="2"/>
  <c r="BW225" i="2"/>
  <c r="BV225" i="2"/>
  <c r="BU225" i="2"/>
  <c r="BT225" i="2"/>
  <c r="BS225" i="2"/>
  <c r="BR225" i="2"/>
  <c r="BQ225" i="2"/>
  <c r="BP225" i="2"/>
  <c r="BO225" i="2"/>
  <c r="BN225" i="2"/>
  <c r="BM225" i="2"/>
  <c r="BL225" i="2"/>
  <c r="BK225" i="2"/>
  <c r="BJ225" i="2"/>
  <c r="BI225" i="2"/>
  <c r="BH225" i="2"/>
  <c r="BG225" i="2"/>
  <c r="BF225" i="2"/>
  <c r="BE225" i="2"/>
  <c r="BD225" i="2"/>
  <c r="BC225" i="2"/>
  <c r="BB225" i="2"/>
  <c r="BZ225" i="2" s="1"/>
  <c r="BA225" i="2"/>
  <c r="AZ225" i="2"/>
  <c r="AY225" i="2"/>
  <c r="AX225" i="2"/>
  <c r="AW225" i="2"/>
  <c r="CA224" i="2"/>
  <c r="BY224" i="2"/>
  <c r="BX224" i="2"/>
  <c r="BW224" i="2"/>
  <c r="BV224" i="2"/>
  <c r="BU224" i="2"/>
  <c r="BT224" i="2"/>
  <c r="BS224" i="2"/>
  <c r="BR224" i="2"/>
  <c r="BQ224" i="2"/>
  <c r="BP224" i="2"/>
  <c r="BO224" i="2"/>
  <c r="BN224" i="2"/>
  <c r="BM224" i="2"/>
  <c r="BL224" i="2"/>
  <c r="BK224" i="2"/>
  <c r="BJ224" i="2"/>
  <c r="BI224" i="2"/>
  <c r="BH224" i="2"/>
  <c r="BG224" i="2"/>
  <c r="BF224" i="2"/>
  <c r="BE224" i="2"/>
  <c r="BD224" i="2"/>
  <c r="BC224" i="2"/>
  <c r="BB224" i="2"/>
  <c r="BZ224" i="2" s="1"/>
  <c r="CC224" i="2" s="1"/>
  <c r="BA224" i="2"/>
  <c r="AZ224" i="2"/>
  <c r="AY224" i="2"/>
  <c r="AX224" i="2"/>
  <c r="AW224" i="2"/>
  <c r="CA223" i="2"/>
  <c r="BY223" i="2"/>
  <c r="BX223" i="2"/>
  <c r="BW223" i="2"/>
  <c r="BV223" i="2"/>
  <c r="BU223" i="2"/>
  <c r="BT223" i="2"/>
  <c r="BS223" i="2"/>
  <c r="BR223" i="2"/>
  <c r="BQ223" i="2"/>
  <c r="BP223" i="2"/>
  <c r="BO223" i="2"/>
  <c r="BN223" i="2"/>
  <c r="BM223" i="2"/>
  <c r="BL223" i="2"/>
  <c r="BK223" i="2"/>
  <c r="BJ223" i="2"/>
  <c r="BI223" i="2"/>
  <c r="BH223" i="2"/>
  <c r="BG223" i="2"/>
  <c r="BF223" i="2"/>
  <c r="BE223" i="2"/>
  <c r="BD223" i="2"/>
  <c r="BC223" i="2"/>
  <c r="BB223" i="2"/>
  <c r="BZ223" i="2" s="1"/>
  <c r="BA223" i="2"/>
  <c r="AZ223" i="2"/>
  <c r="AY223" i="2"/>
  <c r="AX223" i="2"/>
  <c r="AW223" i="2"/>
  <c r="CA222" i="2"/>
  <c r="BY222" i="2"/>
  <c r="BX222" i="2"/>
  <c r="BW222" i="2"/>
  <c r="BV222" i="2"/>
  <c r="BU222" i="2"/>
  <c r="BT222" i="2"/>
  <c r="BS222" i="2"/>
  <c r="BR222" i="2"/>
  <c r="BQ222" i="2"/>
  <c r="BP222" i="2"/>
  <c r="BO222" i="2"/>
  <c r="BN222" i="2"/>
  <c r="BM222" i="2"/>
  <c r="BL222" i="2"/>
  <c r="BK222" i="2"/>
  <c r="BJ222" i="2"/>
  <c r="BI222" i="2"/>
  <c r="BH222" i="2"/>
  <c r="BG222" i="2"/>
  <c r="BF222" i="2"/>
  <c r="BE222" i="2"/>
  <c r="BD222" i="2"/>
  <c r="BC222" i="2"/>
  <c r="BB222" i="2"/>
  <c r="BZ222" i="2" s="1"/>
  <c r="BA222" i="2"/>
  <c r="AZ222" i="2"/>
  <c r="AY222" i="2"/>
  <c r="AX222" i="2"/>
  <c r="AW222" i="2"/>
  <c r="CA221" i="2"/>
  <c r="BY221" i="2"/>
  <c r="BX221" i="2"/>
  <c r="BW221" i="2"/>
  <c r="BV221" i="2"/>
  <c r="BU221" i="2"/>
  <c r="BT221" i="2"/>
  <c r="BS221" i="2"/>
  <c r="BR221" i="2"/>
  <c r="BQ221" i="2"/>
  <c r="BP221" i="2"/>
  <c r="BO221" i="2"/>
  <c r="BN221" i="2"/>
  <c r="BM221" i="2"/>
  <c r="BL221" i="2"/>
  <c r="BK221" i="2"/>
  <c r="BJ221" i="2"/>
  <c r="BI221" i="2"/>
  <c r="BH221" i="2"/>
  <c r="BG221" i="2"/>
  <c r="BF221" i="2"/>
  <c r="BE221" i="2"/>
  <c r="BD221" i="2"/>
  <c r="BC221" i="2"/>
  <c r="BB221" i="2"/>
  <c r="BZ221" i="2" s="1"/>
  <c r="BA221" i="2"/>
  <c r="AZ221" i="2"/>
  <c r="AY221" i="2"/>
  <c r="AX221" i="2"/>
  <c r="AW221" i="2"/>
  <c r="CA220" i="2"/>
  <c r="BY220" i="2"/>
  <c r="BX220" i="2"/>
  <c r="BW220" i="2"/>
  <c r="BV220" i="2"/>
  <c r="BU220" i="2"/>
  <c r="BT220" i="2"/>
  <c r="BS220" i="2"/>
  <c r="BR220" i="2"/>
  <c r="BQ220" i="2"/>
  <c r="BP220" i="2"/>
  <c r="BO220" i="2"/>
  <c r="BN220" i="2"/>
  <c r="BM220" i="2"/>
  <c r="BL220" i="2"/>
  <c r="BK220" i="2"/>
  <c r="BJ220" i="2"/>
  <c r="BI220" i="2"/>
  <c r="BH220" i="2"/>
  <c r="BG220" i="2"/>
  <c r="BF220" i="2"/>
  <c r="BE220" i="2"/>
  <c r="BD220" i="2"/>
  <c r="BC220" i="2"/>
  <c r="BB220" i="2"/>
  <c r="BZ220" i="2" s="1"/>
  <c r="CC220" i="2" s="1"/>
  <c r="BA220" i="2"/>
  <c r="AZ220" i="2"/>
  <c r="AY220" i="2"/>
  <c r="AX220" i="2"/>
  <c r="AW220" i="2"/>
  <c r="CA219" i="2"/>
  <c r="BY219" i="2"/>
  <c r="BX219" i="2"/>
  <c r="BW219" i="2"/>
  <c r="BV219" i="2"/>
  <c r="BU219" i="2"/>
  <c r="BT219" i="2"/>
  <c r="BS219" i="2"/>
  <c r="BR219" i="2"/>
  <c r="BQ219" i="2"/>
  <c r="BP219" i="2"/>
  <c r="BO219" i="2"/>
  <c r="BN219" i="2"/>
  <c r="BM219" i="2"/>
  <c r="BL219" i="2"/>
  <c r="BK219" i="2"/>
  <c r="BJ219" i="2"/>
  <c r="BI219" i="2"/>
  <c r="BH219" i="2"/>
  <c r="BG219" i="2"/>
  <c r="BF219" i="2"/>
  <c r="BE219" i="2"/>
  <c r="BD219" i="2"/>
  <c r="BC219" i="2"/>
  <c r="BB219" i="2"/>
  <c r="BZ219" i="2" s="1"/>
  <c r="CC219" i="2" s="1"/>
  <c r="BA219" i="2"/>
  <c r="AZ219" i="2"/>
  <c r="AY219" i="2"/>
  <c r="AX219" i="2"/>
  <c r="AW219" i="2"/>
  <c r="CA218" i="2"/>
  <c r="BY218" i="2"/>
  <c r="BX218" i="2"/>
  <c r="BW218" i="2"/>
  <c r="BV218" i="2"/>
  <c r="BU218" i="2"/>
  <c r="BT218" i="2"/>
  <c r="BS218" i="2"/>
  <c r="BR218" i="2"/>
  <c r="BQ218" i="2"/>
  <c r="BP218" i="2"/>
  <c r="BO218" i="2"/>
  <c r="BN218" i="2"/>
  <c r="BM218" i="2"/>
  <c r="BL218" i="2"/>
  <c r="BK218" i="2"/>
  <c r="BJ218" i="2"/>
  <c r="BI218" i="2"/>
  <c r="BH218" i="2"/>
  <c r="BG218" i="2"/>
  <c r="BF218" i="2"/>
  <c r="BE218" i="2"/>
  <c r="BD218" i="2"/>
  <c r="BC218" i="2"/>
  <c r="BB218" i="2"/>
  <c r="BZ218" i="2" s="1"/>
  <c r="BA218" i="2"/>
  <c r="AZ218" i="2"/>
  <c r="AY218" i="2"/>
  <c r="AX218" i="2"/>
  <c r="AW218" i="2"/>
  <c r="CA217" i="2"/>
  <c r="BY217" i="2"/>
  <c r="BX217" i="2"/>
  <c r="BW217" i="2"/>
  <c r="BV217" i="2"/>
  <c r="BU217" i="2"/>
  <c r="BT217" i="2"/>
  <c r="BS217" i="2"/>
  <c r="BR217" i="2"/>
  <c r="BQ217" i="2"/>
  <c r="BP217" i="2"/>
  <c r="BO217" i="2"/>
  <c r="BN217" i="2"/>
  <c r="BM217" i="2"/>
  <c r="BL217" i="2"/>
  <c r="BK217" i="2"/>
  <c r="BJ217" i="2"/>
  <c r="BI217" i="2"/>
  <c r="BH217" i="2"/>
  <c r="BG217" i="2"/>
  <c r="BF217" i="2"/>
  <c r="BE217" i="2"/>
  <c r="BD217" i="2"/>
  <c r="BC217" i="2"/>
  <c r="BB217" i="2"/>
  <c r="BZ217" i="2" s="1"/>
  <c r="CC217" i="2" s="1"/>
  <c r="BA217" i="2"/>
  <c r="AZ217" i="2"/>
  <c r="AY217" i="2"/>
  <c r="AX217" i="2"/>
  <c r="AW217" i="2"/>
  <c r="CA216" i="2"/>
  <c r="BY216" i="2"/>
  <c r="BX216" i="2"/>
  <c r="BW216" i="2"/>
  <c r="BV216" i="2"/>
  <c r="BU216" i="2"/>
  <c r="BT216" i="2"/>
  <c r="BS216" i="2"/>
  <c r="BR216" i="2"/>
  <c r="BQ216" i="2"/>
  <c r="BP216" i="2"/>
  <c r="BO216" i="2"/>
  <c r="BN216" i="2"/>
  <c r="BM216" i="2"/>
  <c r="BL216" i="2"/>
  <c r="BK216" i="2"/>
  <c r="BJ216" i="2"/>
  <c r="BI216" i="2"/>
  <c r="BH216" i="2"/>
  <c r="BG216" i="2"/>
  <c r="BF216" i="2"/>
  <c r="BE216" i="2"/>
  <c r="BD216" i="2"/>
  <c r="BC216" i="2"/>
  <c r="BB216" i="2"/>
  <c r="BZ216" i="2" s="1"/>
  <c r="CC216" i="2" s="1"/>
  <c r="BA216" i="2"/>
  <c r="AZ216" i="2"/>
  <c r="AY216" i="2"/>
  <c r="AX216" i="2"/>
  <c r="AW216" i="2"/>
  <c r="CA215" i="2"/>
  <c r="BY215" i="2"/>
  <c r="BX215" i="2"/>
  <c r="BW215" i="2"/>
  <c r="BV215" i="2"/>
  <c r="BU215" i="2"/>
  <c r="BT215" i="2"/>
  <c r="BS215" i="2"/>
  <c r="BR215" i="2"/>
  <c r="BQ215" i="2"/>
  <c r="BP215" i="2"/>
  <c r="BO215" i="2"/>
  <c r="BN215" i="2"/>
  <c r="BM215" i="2"/>
  <c r="BL215" i="2"/>
  <c r="BK215" i="2"/>
  <c r="BJ215" i="2"/>
  <c r="BI215" i="2"/>
  <c r="BH215" i="2"/>
  <c r="BG215" i="2"/>
  <c r="BF215" i="2"/>
  <c r="BE215" i="2"/>
  <c r="BD215" i="2"/>
  <c r="BC215" i="2"/>
  <c r="BB215" i="2"/>
  <c r="BZ215" i="2" s="1"/>
  <c r="CC215" i="2" s="1"/>
  <c r="BA215" i="2"/>
  <c r="AZ215" i="2"/>
  <c r="AY215" i="2"/>
  <c r="AX215" i="2"/>
  <c r="AW215" i="2"/>
  <c r="CA214" i="2"/>
  <c r="BY214" i="2"/>
  <c r="BX214" i="2"/>
  <c r="BW214" i="2"/>
  <c r="BV214" i="2"/>
  <c r="BU214" i="2"/>
  <c r="BT214" i="2"/>
  <c r="BS214" i="2"/>
  <c r="BR214" i="2"/>
  <c r="BQ214" i="2"/>
  <c r="BP214" i="2"/>
  <c r="BO214" i="2"/>
  <c r="BN214" i="2"/>
  <c r="BM214" i="2"/>
  <c r="BL214" i="2"/>
  <c r="BK214" i="2"/>
  <c r="BJ214" i="2"/>
  <c r="BI214" i="2"/>
  <c r="BH214" i="2"/>
  <c r="BG214" i="2"/>
  <c r="BF214" i="2"/>
  <c r="BE214" i="2"/>
  <c r="BD214" i="2"/>
  <c r="BC214" i="2"/>
  <c r="BB214" i="2"/>
  <c r="BZ214" i="2" s="1"/>
  <c r="CC214" i="2" s="1"/>
  <c r="BA214" i="2"/>
  <c r="AZ214" i="2"/>
  <c r="AY214" i="2"/>
  <c r="AX214" i="2"/>
  <c r="AW214" i="2"/>
  <c r="CA213" i="2"/>
  <c r="BY213" i="2"/>
  <c r="BX213" i="2"/>
  <c r="BW213" i="2"/>
  <c r="BV213" i="2"/>
  <c r="BU213" i="2"/>
  <c r="BT213" i="2"/>
  <c r="BS213" i="2"/>
  <c r="BR213" i="2"/>
  <c r="BQ213" i="2"/>
  <c r="BP213" i="2"/>
  <c r="BO213" i="2"/>
  <c r="BN213" i="2"/>
  <c r="BM213" i="2"/>
  <c r="BL213" i="2"/>
  <c r="BK213" i="2"/>
  <c r="BJ213" i="2"/>
  <c r="BI213" i="2"/>
  <c r="BH213" i="2"/>
  <c r="BG213" i="2"/>
  <c r="BF213" i="2"/>
  <c r="BE213" i="2"/>
  <c r="BD213" i="2"/>
  <c r="BC213" i="2"/>
  <c r="BB213" i="2"/>
  <c r="BZ213" i="2" s="1"/>
  <c r="CC213" i="2" s="1"/>
  <c r="BA213" i="2"/>
  <c r="AZ213" i="2"/>
  <c r="AY213" i="2"/>
  <c r="AX213" i="2"/>
  <c r="AW213" i="2"/>
  <c r="CA212" i="2"/>
  <c r="BY212" i="2"/>
  <c r="BX212" i="2"/>
  <c r="BW212" i="2"/>
  <c r="BV212" i="2"/>
  <c r="BU212" i="2"/>
  <c r="BT212" i="2"/>
  <c r="BS212" i="2"/>
  <c r="BR212" i="2"/>
  <c r="BQ212" i="2"/>
  <c r="BP212" i="2"/>
  <c r="BO212" i="2"/>
  <c r="BN212" i="2"/>
  <c r="BM212" i="2"/>
  <c r="BL212" i="2"/>
  <c r="BK212" i="2"/>
  <c r="BJ212" i="2"/>
  <c r="BI212" i="2"/>
  <c r="BH212" i="2"/>
  <c r="BG212" i="2"/>
  <c r="BF212" i="2"/>
  <c r="BE212" i="2"/>
  <c r="BD212" i="2"/>
  <c r="BC212" i="2"/>
  <c r="BB212" i="2"/>
  <c r="BZ212" i="2" s="1"/>
  <c r="BA212" i="2"/>
  <c r="AZ212" i="2"/>
  <c r="AY212" i="2"/>
  <c r="AX212" i="2"/>
  <c r="AW212" i="2"/>
  <c r="CA211" i="2"/>
  <c r="BY211" i="2"/>
  <c r="BX211" i="2"/>
  <c r="BW211" i="2"/>
  <c r="BV211" i="2"/>
  <c r="BU211" i="2"/>
  <c r="BT211" i="2"/>
  <c r="BS211" i="2"/>
  <c r="BR211" i="2"/>
  <c r="BQ211" i="2"/>
  <c r="BP211" i="2"/>
  <c r="BO211" i="2"/>
  <c r="BN211" i="2"/>
  <c r="BM211" i="2"/>
  <c r="BL211" i="2"/>
  <c r="BK211" i="2"/>
  <c r="BJ211" i="2"/>
  <c r="BI211" i="2"/>
  <c r="BH211" i="2"/>
  <c r="BG211" i="2"/>
  <c r="BF211" i="2"/>
  <c r="BE211" i="2"/>
  <c r="BD211" i="2"/>
  <c r="BC211" i="2"/>
  <c r="BB211" i="2"/>
  <c r="BZ211" i="2" s="1"/>
  <c r="CC211" i="2" s="1"/>
  <c r="BA211" i="2"/>
  <c r="AZ211" i="2"/>
  <c r="AY211" i="2"/>
  <c r="AX211" i="2"/>
  <c r="AW211" i="2"/>
  <c r="CA210" i="2"/>
  <c r="BY210" i="2"/>
  <c r="BX210" i="2"/>
  <c r="BW210" i="2"/>
  <c r="BV210" i="2"/>
  <c r="BU210" i="2"/>
  <c r="BT210" i="2"/>
  <c r="BS210" i="2"/>
  <c r="BR210" i="2"/>
  <c r="BQ210" i="2"/>
  <c r="BP210" i="2"/>
  <c r="BO210" i="2"/>
  <c r="BN210" i="2"/>
  <c r="BM210" i="2"/>
  <c r="BL210" i="2"/>
  <c r="BK210" i="2"/>
  <c r="BJ210" i="2"/>
  <c r="BI210" i="2"/>
  <c r="BH210" i="2"/>
  <c r="BG210" i="2"/>
  <c r="BF210" i="2"/>
  <c r="BE210" i="2"/>
  <c r="BD210" i="2"/>
  <c r="BC210" i="2"/>
  <c r="BB210" i="2"/>
  <c r="BZ210" i="2" s="1"/>
  <c r="CC210" i="2" s="1"/>
  <c r="BA210" i="2"/>
  <c r="AZ210" i="2"/>
  <c r="AY210" i="2"/>
  <c r="AX210" i="2"/>
  <c r="AW210" i="2"/>
  <c r="CA209" i="2"/>
  <c r="BY209" i="2"/>
  <c r="BX209" i="2"/>
  <c r="BW209" i="2"/>
  <c r="BV209" i="2"/>
  <c r="BU209" i="2"/>
  <c r="BT209" i="2"/>
  <c r="BS209" i="2"/>
  <c r="BR209" i="2"/>
  <c r="BQ209" i="2"/>
  <c r="BP209" i="2"/>
  <c r="BO209" i="2"/>
  <c r="BN209" i="2"/>
  <c r="BM209" i="2"/>
  <c r="BL209" i="2"/>
  <c r="BK209" i="2"/>
  <c r="BJ209" i="2"/>
  <c r="BI209" i="2"/>
  <c r="BH209" i="2"/>
  <c r="BG209" i="2"/>
  <c r="BF209" i="2"/>
  <c r="BE209" i="2"/>
  <c r="BD209" i="2"/>
  <c r="BC209" i="2"/>
  <c r="BB209" i="2"/>
  <c r="BZ209" i="2" s="1"/>
  <c r="CC209" i="2" s="1"/>
  <c r="BA209" i="2"/>
  <c r="AZ209" i="2"/>
  <c r="AY209" i="2"/>
  <c r="AX209" i="2"/>
  <c r="AW209" i="2"/>
  <c r="CA208" i="2"/>
  <c r="BY208" i="2"/>
  <c r="BX208" i="2"/>
  <c r="BW208" i="2"/>
  <c r="BV208" i="2"/>
  <c r="BU208" i="2"/>
  <c r="BT208" i="2"/>
  <c r="BS208" i="2"/>
  <c r="BR208" i="2"/>
  <c r="BQ208" i="2"/>
  <c r="BP208" i="2"/>
  <c r="BO208" i="2"/>
  <c r="BN208" i="2"/>
  <c r="BM208" i="2"/>
  <c r="BL208" i="2"/>
  <c r="BK208" i="2"/>
  <c r="BJ208" i="2"/>
  <c r="BI208" i="2"/>
  <c r="BH208" i="2"/>
  <c r="BG208" i="2"/>
  <c r="BF208" i="2"/>
  <c r="BE208" i="2"/>
  <c r="BD208" i="2"/>
  <c r="BC208" i="2"/>
  <c r="BB208" i="2"/>
  <c r="BZ208" i="2" s="1"/>
  <c r="CC208" i="2" s="1"/>
  <c r="BA208" i="2"/>
  <c r="AZ208" i="2"/>
  <c r="AY208" i="2"/>
  <c r="AX208" i="2"/>
  <c r="AW208" i="2"/>
  <c r="CA207" i="2"/>
  <c r="BY207" i="2"/>
  <c r="BX207" i="2"/>
  <c r="BW207" i="2"/>
  <c r="BV207" i="2"/>
  <c r="BU207" i="2"/>
  <c r="BT207" i="2"/>
  <c r="BS207" i="2"/>
  <c r="BR207" i="2"/>
  <c r="BQ207" i="2"/>
  <c r="BP207" i="2"/>
  <c r="BO207" i="2"/>
  <c r="BN207" i="2"/>
  <c r="BM207" i="2"/>
  <c r="BL207" i="2"/>
  <c r="BK207" i="2"/>
  <c r="BJ207" i="2"/>
  <c r="BI207" i="2"/>
  <c r="BH207" i="2"/>
  <c r="BG207" i="2"/>
  <c r="BF207" i="2"/>
  <c r="BE207" i="2"/>
  <c r="BD207" i="2"/>
  <c r="BC207" i="2"/>
  <c r="BB207" i="2"/>
  <c r="BZ207" i="2" s="1"/>
  <c r="CC207" i="2" s="1"/>
  <c r="BA207" i="2"/>
  <c r="AZ207" i="2"/>
  <c r="AY207" i="2"/>
  <c r="AX207" i="2"/>
  <c r="AW207" i="2"/>
  <c r="CA206" i="2"/>
  <c r="BY206" i="2"/>
  <c r="BX206" i="2"/>
  <c r="BW206" i="2"/>
  <c r="BV206" i="2"/>
  <c r="BU206" i="2"/>
  <c r="BT206" i="2"/>
  <c r="BS206" i="2"/>
  <c r="BR206" i="2"/>
  <c r="BQ206" i="2"/>
  <c r="BP206" i="2"/>
  <c r="BO206" i="2"/>
  <c r="BN206" i="2"/>
  <c r="BM206" i="2"/>
  <c r="BL206" i="2"/>
  <c r="BK206" i="2"/>
  <c r="BJ206" i="2"/>
  <c r="BI206" i="2"/>
  <c r="BH206" i="2"/>
  <c r="BG206" i="2"/>
  <c r="BF206" i="2"/>
  <c r="BE206" i="2"/>
  <c r="BD206" i="2"/>
  <c r="BC206" i="2"/>
  <c r="BB206" i="2"/>
  <c r="BZ206" i="2" s="1"/>
  <c r="CC206" i="2" s="1"/>
  <c r="BA206" i="2"/>
  <c r="AZ206" i="2"/>
  <c r="AY206" i="2"/>
  <c r="AX206" i="2"/>
  <c r="AW206" i="2"/>
  <c r="CA205" i="2"/>
  <c r="BY205" i="2"/>
  <c r="BX205" i="2"/>
  <c r="BW205" i="2"/>
  <c r="BV205" i="2"/>
  <c r="BU205" i="2"/>
  <c r="BT205" i="2"/>
  <c r="BS205" i="2"/>
  <c r="BR205" i="2"/>
  <c r="BQ205" i="2"/>
  <c r="BP205" i="2"/>
  <c r="BO205" i="2"/>
  <c r="BN205" i="2"/>
  <c r="BM205" i="2"/>
  <c r="BL205" i="2"/>
  <c r="BK205" i="2"/>
  <c r="BJ205" i="2"/>
  <c r="BI205" i="2"/>
  <c r="BH205" i="2"/>
  <c r="BG205" i="2"/>
  <c r="BF205" i="2"/>
  <c r="BE205" i="2"/>
  <c r="BD205" i="2"/>
  <c r="BC205" i="2"/>
  <c r="BB205" i="2"/>
  <c r="BZ205" i="2" s="1"/>
  <c r="CC205" i="2" s="1"/>
  <c r="BA205" i="2"/>
  <c r="AZ205" i="2"/>
  <c r="AY205" i="2"/>
  <c r="AX205" i="2"/>
  <c r="AW205" i="2"/>
  <c r="CA204" i="2"/>
  <c r="BY204" i="2"/>
  <c r="BX204" i="2"/>
  <c r="BW204" i="2"/>
  <c r="BV204" i="2"/>
  <c r="BU204" i="2"/>
  <c r="BT204" i="2"/>
  <c r="BS204" i="2"/>
  <c r="BR204" i="2"/>
  <c r="BQ204" i="2"/>
  <c r="BP204" i="2"/>
  <c r="BO204" i="2"/>
  <c r="BN204" i="2"/>
  <c r="BM204" i="2"/>
  <c r="BL204" i="2"/>
  <c r="BK204" i="2"/>
  <c r="BJ204" i="2"/>
  <c r="BI204" i="2"/>
  <c r="BH204" i="2"/>
  <c r="BG204" i="2"/>
  <c r="BF204" i="2"/>
  <c r="BE204" i="2"/>
  <c r="BD204" i="2"/>
  <c r="BC204" i="2"/>
  <c r="BB204" i="2"/>
  <c r="BZ204" i="2" s="1"/>
  <c r="CC204" i="2" s="1"/>
  <c r="BA204" i="2"/>
  <c r="AZ204" i="2"/>
  <c r="AY204" i="2"/>
  <c r="AX204" i="2"/>
  <c r="AW204" i="2"/>
  <c r="CA203" i="2"/>
  <c r="BY203" i="2"/>
  <c r="BX203" i="2"/>
  <c r="BW203" i="2"/>
  <c r="BV203" i="2"/>
  <c r="BU203" i="2"/>
  <c r="BT203" i="2"/>
  <c r="BS203" i="2"/>
  <c r="BR203" i="2"/>
  <c r="BQ203" i="2"/>
  <c r="BP203" i="2"/>
  <c r="BO203" i="2"/>
  <c r="BN203" i="2"/>
  <c r="BM203" i="2"/>
  <c r="BL203" i="2"/>
  <c r="BK203" i="2"/>
  <c r="BJ203" i="2"/>
  <c r="BI203" i="2"/>
  <c r="BH203" i="2"/>
  <c r="BG203" i="2"/>
  <c r="BF203" i="2"/>
  <c r="BE203" i="2"/>
  <c r="BD203" i="2"/>
  <c r="BC203" i="2"/>
  <c r="BB203" i="2"/>
  <c r="BZ203" i="2" s="1"/>
  <c r="BA203" i="2"/>
  <c r="AZ203" i="2"/>
  <c r="AY203" i="2"/>
  <c r="AX203" i="2"/>
  <c r="AW203" i="2"/>
  <c r="CA202" i="2"/>
  <c r="BY202" i="2"/>
  <c r="BX202" i="2"/>
  <c r="BW202" i="2"/>
  <c r="BV202" i="2"/>
  <c r="BU202" i="2"/>
  <c r="BT202" i="2"/>
  <c r="BS202" i="2"/>
  <c r="BR202" i="2"/>
  <c r="BQ202" i="2"/>
  <c r="BP202" i="2"/>
  <c r="BO202" i="2"/>
  <c r="BN202" i="2"/>
  <c r="BM202" i="2"/>
  <c r="BL202" i="2"/>
  <c r="BK202" i="2"/>
  <c r="BJ202" i="2"/>
  <c r="BI202" i="2"/>
  <c r="BH202" i="2"/>
  <c r="BG202" i="2"/>
  <c r="BF202" i="2"/>
  <c r="BE202" i="2"/>
  <c r="BD202" i="2"/>
  <c r="BC202" i="2"/>
  <c r="BB202" i="2"/>
  <c r="BZ202" i="2" s="1"/>
  <c r="CC202" i="2" s="1"/>
  <c r="BA202" i="2"/>
  <c r="AZ202" i="2"/>
  <c r="AY202" i="2"/>
  <c r="AX202" i="2"/>
  <c r="AW202" i="2"/>
  <c r="CA201" i="2"/>
  <c r="BY201" i="2"/>
  <c r="BX201" i="2"/>
  <c r="BW201" i="2"/>
  <c r="BV201" i="2"/>
  <c r="BU201" i="2"/>
  <c r="BT201" i="2"/>
  <c r="BS201" i="2"/>
  <c r="BR201" i="2"/>
  <c r="BQ201" i="2"/>
  <c r="BP201" i="2"/>
  <c r="BO201" i="2"/>
  <c r="BN201" i="2"/>
  <c r="BM201" i="2"/>
  <c r="BL201" i="2"/>
  <c r="BK201" i="2"/>
  <c r="BJ201" i="2"/>
  <c r="BI201" i="2"/>
  <c r="BH201" i="2"/>
  <c r="BG201" i="2"/>
  <c r="BF201" i="2"/>
  <c r="BE201" i="2"/>
  <c r="BD201" i="2"/>
  <c r="BC201" i="2"/>
  <c r="BB201" i="2"/>
  <c r="BZ201" i="2" s="1"/>
  <c r="CC201" i="2" s="1"/>
  <c r="BA201" i="2"/>
  <c r="AZ201" i="2"/>
  <c r="AY201" i="2"/>
  <c r="AX201" i="2"/>
  <c r="AW201" i="2"/>
  <c r="CA200" i="2"/>
  <c r="BY200" i="2"/>
  <c r="BX200" i="2"/>
  <c r="BW200" i="2"/>
  <c r="BV200" i="2"/>
  <c r="BU200" i="2"/>
  <c r="BT200" i="2"/>
  <c r="BS200" i="2"/>
  <c r="BR200" i="2"/>
  <c r="BQ200" i="2"/>
  <c r="BP200" i="2"/>
  <c r="BO200" i="2"/>
  <c r="BN200" i="2"/>
  <c r="BM200" i="2"/>
  <c r="BL200" i="2"/>
  <c r="BK200" i="2"/>
  <c r="BJ200" i="2"/>
  <c r="BI200" i="2"/>
  <c r="BH200" i="2"/>
  <c r="BG200" i="2"/>
  <c r="BF200" i="2"/>
  <c r="BE200" i="2"/>
  <c r="BD200" i="2"/>
  <c r="BC200" i="2"/>
  <c r="BB200" i="2"/>
  <c r="BZ200" i="2" s="1"/>
  <c r="BA200" i="2"/>
  <c r="AZ200" i="2"/>
  <c r="AY200" i="2"/>
  <c r="AX200" i="2"/>
  <c r="AW200" i="2"/>
  <c r="CA199" i="2"/>
  <c r="BY199" i="2"/>
  <c r="BX199" i="2"/>
  <c r="BW199" i="2"/>
  <c r="BV199" i="2"/>
  <c r="BU199" i="2"/>
  <c r="BT199" i="2"/>
  <c r="BS199" i="2"/>
  <c r="BR199" i="2"/>
  <c r="BQ199" i="2"/>
  <c r="BP199" i="2"/>
  <c r="BO199" i="2"/>
  <c r="BN199" i="2"/>
  <c r="BM199" i="2"/>
  <c r="BL199" i="2"/>
  <c r="BK199" i="2"/>
  <c r="BJ199" i="2"/>
  <c r="BI199" i="2"/>
  <c r="BH199" i="2"/>
  <c r="BG199" i="2"/>
  <c r="BF199" i="2"/>
  <c r="BE199" i="2"/>
  <c r="BD199" i="2"/>
  <c r="BC199" i="2"/>
  <c r="BB199" i="2"/>
  <c r="BZ199" i="2" s="1"/>
  <c r="BA199" i="2"/>
  <c r="AZ199" i="2"/>
  <c r="AY199" i="2"/>
  <c r="AX199" i="2"/>
  <c r="AW199" i="2"/>
  <c r="CA198" i="2"/>
  <c r="BY198" i="2"/>
  <c r="BX198" i="2"/>
  <c r="BW198" i="2"/>
  <c r="BV198" i="2"/>
  <c r="BU198" i="2"/>
  <c r="BT198" i="2"/>
  <c r="BS198" i="2"/>
  <c r="BR198" i="2"/>
  <c r="BQ198" i="2"/>
  <c r="BP198" i="2"/>
  <c r="BO198" i="2"/>
  <c r="BN198" i="2"/>
  <c r="BM198" i="2"/>
  <c r="BL198" i="2"/>
  <c r="BK198" i="2"/>
  <c r="BJ198" i="2"/>
  <c r="BI198" i="2"/>
  <c r="BH198" i="2"/>
  <c r="BG198" i="2"/>
  <c r="BF198" i="2"/>
  <c r="BE198" i="2"/>
  <c r="BD198" i="2"/>
  <c r="BC198" i="2"/>
  <c r="BB198" i="2"/>
  <c r="BZ198" i="2" s="1"/>
  <c r="BA198" i="2"/>
  <c r="AZ198" i="2"/>
  <c r="AY198" i="2"/>
  <c r="AX198" i="2"/>
  <c r="AW198" i="2"/>
  <c r="CA197" i="2"/>
  <c r="BY197" i="2"/>
  <c r="BX197" i="2"/>
  <c r="BW197" i="2"/>
  <c r="BV197" i="2"/>
  <c r="BU197" i="2"/>
  <c r="BT197" i="2"/>
  <c r="BS197" i="2"/>
  <c r="BR197" i="2"/>
  <c r="BQ197" i="2"/>
  <c r="BP197" i="2"/>
  <c r="BO197" i="2"/>
  <c r="BN197" i="2"/>
  <c r="BM197" i="2"/>
  <c r="BL197" i="2"/>
  <c r="BK197" i="2"/>
  <c r="BJ197" i="2"/>
  <c r="BI197" i="2"/>
  <c r="BH197" i="2"/>
  <c r="BG197" i="2"/>
  <c r="BF197" i="2"/>
  <c r="BE197" i="2"/>
  <c r="BD197" i="2"/>
  <c r="BC197" i="2"/>
  <c r="BB197" i="2"/>
  <c r="BZ197" i="2" s="1"/>
  <c r="CC197" i="2" s="1"/>
  <c r="BA197" i="2"/>
  <c r="AZ197" i="2"/>
  <c r="AY197" i="2"/>
  <c r="AX197" i="2"/>
  <c r="AW197" i="2"/>
  <c r="CA196" i="2"/>
  <c r="BY196" i="2"/>
  <c r="BX196" i="2"/>
  <c r="BW196" i="2"/>
  <c r="BV196" i="2"/>
  <c r="BU196" i="2"/>
  <c r="BT196" i="2"/>
  <c r="BS196" i="2"/>
  <c r="BR196" i="2"/>
  <c r="BQ196" i="2"/>
  <c r="BP196" i="2"/>
  <c r="BO196" i="2"/>
  <c r="BN196" i="2"/>
  <c r="BM196" i="2"/>
  <c r="BL196" i="2"/>
  <c r="BK196" i="2"/>
  <c r="BJ196" i="2"/>
  <c r="BI196" i="2"/>
  <c r="BH196" i="2"/>
  <c r="BG196" i="2"/>
  <c r="BF196" i="2"/>
  <c r="BE196" i="2"/>
  <c r="BD196" i="2"/>
  <c r="BC196" i="2"/>
  <c r="BB196" i="2"/>
  <c r="BZ196" i="2" s="1"/>
  <c r="BA196" i="2"/>
  <c r="AZ196" i="2"/>
  <c r="AY196" i="2"/>
  <c r="AX196" i="2"/>
  <c r="AW196" i="2"/>
  <c r="CA195" i="2"/>
  <c r="BY195" i="2"/>
  <c r="BX195" i="2"/>
  <c r="BW195" i="2"/>
  <c r="BV195" i="2"/>
  <c r="BU195" i="2"/>
  <c r="BT195" i="2"/>
  <c r="BS195" i="2"/>
  <c r="BR195" i="2"/>
  <c r="BQ195" i="2"/>
  <c r="BP195" i="2"/>
  <c r="BO195" i="2"/>
  <c r="BN195" i="2"/>
  <c r="BM195" i="2"/>
  <c r="BL195" i="2"/>
  <c r="BK195" i="2"/>
  <c r="BJ195" i="2"/>
  <c r="BI195" i="2"/>
  <c r="BH195" i="2"/>
  <c r="BG195" i="2"/>
  <c r="BF195" i="2"/>
  <c r="BE195" i="2"/>
  <c r="BD195" i="2"/>
  <c r="BC195" i="2"/>
  <c r="BB195" i="2"/>
  <c r="BZ195" i="2" s="1"/>
  <c r="BA195" i="2"/>
  <c r="AZ195" i="2"/>
  <c r="AY195" i="2"/>
  <c r="AX195" i="2"/>
  <c r="AW195" i="2"/>
  <c r="CA194" i="2"/>
  <c r="BY194" i="2"/>
  <c r="BX194" i="2"/>
  <c r="BW194" i="2"/>
  <c r="BV194" i="2"/>
  <c r="BU194" i="2"/>
  <c r="BT194" i="2"/>
  <c r="BS194" i="2"/>
  <c r="BR194" i="2"/>
  <c r="BQ194" i="2"/>
  <c r="BP194" i="2"/>
  <c r="BO194" i="2"/>
  <c r="BN194" i="2"/>
  <c r="BM194" i="2"/>
  <c r="BL194" i="2"/>
  <c r="BK194" i="2"/>
  <c r="BJ194" i="2"/>
  <c r="BI194" i="2"/>
  <c r="BH194" i="2"/>
  <c r="BG194" i="2"/>
  <c r="BF194" i="2"/>
  <c r="BE194" i="2"/>
  <c r="BD194" i="2"/>
  <c r="BC194" i="2"/>
  <c r="BB194" i="2"/>
  <c r="BZ194" i="2" s="1"/>
  <c r="CC194" i="2" s="1"/>
  <c r="BA194" i="2"/>
  <c r="AZ194" i="2"/>
  <c r="AY194" i="2"/>
  <c r="AX194" i="2"/>
  <c r="AW194" i="2"/>
  <c r="CA193" i="2"/>
  <c r="BY193" i="2"/>
  <c r="BX193" i="2"/>
  <c r="BW193" i="2"/>
  <c r="BV193" i="2"/>
  <c r="BU193" i="2"/>
  <c r="BT193" i="2"/>
  <c r="BS193" i="2"/>
  <c r="BR193" i="2"/>
  <c r="BQ193" i="2"/>
  <c r="BP193" i="2"/>
  <c r="BO193" i="2"/>
  <c r="BN193" i="2"/>
  <c r="BM193" i="2"/>
  <c r="BL193" i="2"/>
  <c r="BK193" i="2"/>
  <c r="BJ193" i="2"/>
  <c r="BI193" i="2"/>
  <c r="BH193" i="2"/>
  <c r="BG193" i="2"/>
  <c r="BF193" i="2"/>
  <c r="BE193" i="2"/>
  <c r="BD193" i="2"/>
  <c r="BC193" i="2"/>
  <c r="BB193" i="2"/>
  <c r="BZ193" i="2" s="1"/>
  <c r="BA193" i="2"/>
  <c r="AZ193" i="2"/>
  <c r="AY193" i="2"/>
  <c r="AX193" i="2"/>
  <c r="AW193" i="2"/>
  <c r="CA192" i="2"/>
  <c r="BY192" i="2"/>
  <c r="BX192" i="2"/>
  <c r="BW192" i="2"/>
  <c r="BV192" i="2"/>
  <c r="BU192" i="2"/>
  <c r="BT192" i="2"/>
  <c r="BS192" i="2"/>
  <c r="BR192" i="2"/>
  <c r="BQ192" i="2"/>
  <c r="BP192" i="2"/>
  <c r="BO192" i="2"/>
  <c r="BN192" i="2"/>
  <c r="BM192" i="2"/>
  <c r="BL192" i="2"/>
  <c r="BK192" i="2"/>
  <c r="BJ192" i="2"/>
  <c r="BI192" i="2"/>
  <c r="BH192" i="2"/>
  <c r="BG192" i="2"/>
  <c r="BF192" i="2"/>
  <c r="BE192" i="2"/>
  <c r="BD192" i="2"/>
  <c r="BC192" i="2"/>
  <c r="BB192" i="2"/>
  <c r="BZ192" i="2" s="1"/>
  <c r="CC192" i="2" s="1"/>
  <c r="BA192" i="2"/>
  <c r="AZ192" i="2"/>
  <c r="AY192" i="2"/>
  <c r="AX192" i="2"/>
  <c r="AW192" i="2"/>
  <c r="CA191" i="2"/>
  <c r="BY191" i="2"/>
  <c r="BX191" i="2"/>
  <c r="BW191" i="2"/>
  <c r="BV191" i="2"/>
  <c r="BU191" i="2"/>
  <c r="BT191" i="2"/>
  <c r="BS191" i="2"/>
  <c r="BR191" i="2"/>
  <c r="BQ191" i="2"/>
  <c r="BP191" i="2"/>
  <c r="BO191" i="2"/>
  <c r="BN191" i="2"/>
  <c r="BM191" i="2"/>
  <c r="BL191" i="2"/>
  <c r="BK191" i="2"/>
  <c r="BJ191" i="2"/>
  <c r="BI191" i="2"/>
  <c r="BH191" i="2"/>
  <c r="BG191" i="2"/>
  <c r="BF191" i="2"/>
  <c r="BE191" i="2"/>
  <c r="BD191" i="2"/>
  <c r="BC191" i="2"/>
  <c r="BB191" i="2"/>
  <c r="BZ191" i="2" s="1"/>
  <c r="CC191" i="2" s="1"/>
  <c r="BA191" i="2"/>
  <c r="AZ191" i="2"/>
  <c r="AY191" i="2"/>
  <c r="AX191" i="2"/>
  <c r="AW191" i="2"/>
  <c r="CA190" i="2"/>
  <c r="BY190" i="2"/>
  <c r="BX190" i="2"/>
  <c r="BW190" i="2"/>
  <c r="BV190" i="2"/>
  <c r="BU190" i="2"/>
  <c r="BT190" i="2"/>
  <c r="BS190" i="2"/>
  <c r="BR190" i="2"/>
  <c r="BQ190" i="2"/>
  <c r="BP190" i="2"/>
  <c r="BO190" i="2"/>
  <c r="BN190" i="2"/>
  <c r="BM190" i="2"/>
  <c r="BL190" i="2"/>
  <c r="BK190" i="2"/>
  <c r="BJ190" i="2"/>
  <c r="BI190" i="2"/>
  <c r="BH190" i="2"/>
  <c r="BG190" i="2"/>
  <c r="BF190" i="2"/>
  <c r="BE190" i="2"/>
  <c r="BD190" i="2"/>
  <c r="BC190" i="2"/>
  <c r="BB190" i="2"/>
  <c r="BZ190" i="2" s="1"/>
  <c r="BA190" i="2"/>
  <c r="AZ190" i="2"/>
  <c r="AY190" i="2"/>
  <c r="AX190" i="2"/>
  <c r="AW190" i="2"/>
  <c r="CA189" i="2"/>
  <c r="BY189" i="2"/>
  <c r="BX189" i="2"/>
  <c r="BW189" i="2"/>
  <c r="BV189" i="2"/>
  <c r="BU189" i="2"/>
  <c r="BT189" i="2"/>
  <c r="BS189" i="2"/>
  <c r="BR189" i="2"/>
  <c r="BQ189" i="2"/>
  <c r="BP189" i="2"/>
  <c r="BO189" i="2"/>
  <c r="BN189" i="2"/>
  <c r="BM189" i="2"/>
  <c r="BL189" i="2"/>
  <c r="BK189" i="2"/>
  <c r="BJ189" i="2"/>
  <c r="BI189" i="2"/>
  <c r="BH189" i="2"/>
  <c r="BG189" i="2"/>
  <c r="BF189" i="2"/>
  <c r="BE189" i="2"/>
  <c r="BD189" i="2"/>
  <c r="BC189" i="2"/>
  <c r="BB189" i="2"/>
  <c r="BZ189" i="2" s="1"/>
  <c r="BA189" i="2"/>
  <c r="AZ189" i="2"/>
  <c r="AY189" i="2"/>
  <c r="AX189" i="2"/>
  <c r="AW189" i="2"/>
  <c r="CA188" i="2"/>
  <c r="BY188" i="2"/>
  <c r="BX188" i="2"/>
  <c r="BW188" i="2"/>
  <c r="BV188" i="2"/>
  <c r="BU188" i="2"/>
  <c r="BT188" i="2"/>
  <c r="BS188" i="2"/>
  <c r="BR188" i="2"/>
  <c r="BQ188" i="2"/>
  <c r="BP188" i="2"/>
  <c r="BO188" i="2"/>
  <c r="BN188" i="2"/>
  <c r="BM188" i="2"/>
  <c r="BL188" i="2"/>
  <c r="BK188" i="2"/>
  <c r="BJ188" i="2"/>
  <c r="BI188" i="2"/>
  <c r="BH188" i="2"/>
  <c r="BG188" i="2"/>
  <c r="BF188" i="2"/>
  <c r="BE188" i="2"/>
  <c r="BD188" i="2"/>
  <c r="BC188" i="2"/>
  <c r="BB188" i="2"/>
  <c r="BZ188" i="2" s="1"/>
  <c r="CC188" i="2" s="1"/>
  <c r="BA188" i="2"/>
  <c r="AZ188" i="2"/>
  <c r="AY188" i="2"/>
  <c r="AX188" i="2"/>
  <c r="AW188" i="2"/>
  <c r="CA187" i="2"/>
  <c r="BY187" i="2"/>
  <c r="BX187" i="2"/>
  <c r="BW187" i="2"/>
  <c r="BV187" i="2"/>
  <c r="BU187" i="2"/>
  <c r="BT187" i="2"/>
  <c r="BS187" i="2"/>
  <c r="BR187" i="2"/>
  <c r="BQ187" i="2"/>
  <c r="BP187" i="2"/>
  <c r="BO187" i="2"/>
  <c r="BN187" i="2"/>
  <c r="BM187" i="2"/>
  <c r="BL187" i="2"/>
  <c r="BK187" i="2"/>
  <c r="BJ187" i="2"/>
  <c r="BI187" i="2"/>
  <c r="BH187" i="2"/>
  <c r="BG187" i="2"/>
  <c r="BF187" i="2"/>
  <c r="BE187" i="2"/>
  <c r="BD187" i="2"/>
  <c r="BC187" i="2"/>
  <c r="BB187" i="2"/>
  <c r="BZ187" i="2" s="1"/>
  <c r="CC187" i="2" s="1"/>
  <c r="BA187" i="2"/>
  <c r="AZ187" i="2"/>
  <c r="AY187" i="2"/>
  <c r="AX187" i="2"/>
  <c r="AW187" i="2"/>
  <c r="CA186" i="2"/>
  <c r="BY186" i="2"/>
  <c r="BX186" i="2"/>
  <c r="BW186" i="2"/>
  <c r="BV186" i="2"/>
  <c r="BU186" i="2"/>
  <c r="BT186" i="2"/>
  <c r="BS186" i="2"/>
  <c r="BR186" i="2"/>
  <c r="BQ186" i="2"/>
  <c r="BP186" i="2"/>
  <c r="BO186" i="2"/>
  <c r="BN186" i="2"/>
  <c r="BM186" i="2"/>
  <c r="BL186" i="2"/>
  <c r="BK186" i="2"/>
  <c r="BJ186" i="2"/>
  <c r="BI186" i="2"/>
  <c r="BH186" i="2"/>
  <c r="BG186" i="2"/>
  <c r="BF186" i="2"/>
  <c r="BE186" i="2"/>
  <c r="BD186" i="2"/>
  <c r="BC186" i="2"/>
  <c r="BB186" i="2"/>
  <c r="BZ186" i="2" s="1"/>
  <c r="CC186" i="2" s="1"/>
  <c r="BA186" i="2"/>
  <c r="AZ186" i="2"/>
  <c r="AY186" i="2"/>
  <c r="AX186" i="2"/>
  <c r="AW186" i="2"/>
  <c r="CA185" i="2"/>
  <c r="BY185" i="2"/>
  <c r="BX185" i="2"/>
  <c r="BW185" i="2"/>
  <c r="BV185" i="2"/>
  <c r="BU185" i="2"/>
  <c r="BT185" i="2"/>
  <c r="BS185" i="2"/>
  <c r="BR185" i="2"/>
  <c r="BQ185" i="2"/>
  <c r="BP185" i="2"/>
  <c r="BO185" i="2"/>
  <c r="BN185" i="2"/>
  <c r="BM185" i="2"/>
  <c r="BL185" i="2"/>
  <c r="BK185" i="2"/>
  <c r="BJ185" i="2"/>
  <c r="BI185" i="2"/>
  <c r="BH185" i="2"/>
  <c r="BG185" i="2"/>
  <c r="BF185" i="2"/>
  <c r="BE185" i="2"/>
  <c r="BD185" i="2"/>
  <c r="BC185" i="2"/>
  <c r="BB185" i="2"/>
  <c r="BZ185" i="2" s="1"/>
  <c r="CC185" i="2" s="1"/>
  <c r="BA185" i="2"/>
  <c r="AZ185" i="2"/>
  <c r="AY185" i="2"/>
  <c r="AX185" i="2"/>
  <c r="AW185" i="2"/>
  <c r="CA184" i="2"/>
  <c r="BY184" i="2"/>
  <c r="BX184" i="2"/>
  <c r="BW184" i="2"/>
  <c r="BV184" i="2"/>
  <c r="BU184" i="2"/>
  <c r="BT184" i="2"/>
  <c r="BS184" i="2"/>
  <c r="BR184" i="2"/>
  <c r="BQ184" i="2"/>
  <c r="BP184" i="2"/>
  <c r="BO184" i="2"/>
  <c r="BN184" i="2"/>
  <c r="BM184" i="2"/>
  <c r="BL184" i="2"/>
  <c r="BK184" i="2"/>
  <c r="BJ184" i="2"/>
  <c r="BI184" i="2"/>
  <c r="BH184" i="2"/>
  <c r="BG184" i="2"/>
  <c r="BF184" i="2"/>
  <c r="BE184" i="2"/>
  <c r="BD184" i="2"/>
  <c r="BC184" i="2"/>
  <c r="BB184" i="2"/>
  <c r="BZ184" i="2" s="1"/>
  <c r="CC184" i="2" s="1"/>
  <c r="BA184" i="2"/>
  <c r="AZ184" i="2"/>
  <c r="AY184" i="2"/>
  <c r="AX184" i="2"/>
  <c r="AW184" i="2"/>
  <c r="CA183" i="2"/>
  <c r="BY183" i="2"/>
  <c r="BX183" i="2"/>
  <c r="BW183" i="2"/>
  <c r="BV183" i="2"/>
  <c r="BU183" i="2"/>
  <c r="BT183" i="2"/>
  <c r="BS183" i="2"/>
  <c r="BR183" i="2"/>
  <c r="BQ183" i="2"/>
  <c r="BP183" i="2"/>
  <c r="BO183" i="2"/>
  <c r="BN183" i="2"/>
  <c r="BM183" i="2"/>
  <c r="BL183" i="2"/>
  <c r="BK183" i="2"/>
  <c r="BJ183" i="2"/>
  <c r="BI183" i="2"/>
  <c r="BH183" i="2"/>
  <c r="BG183" i="2"/>
  <c r="BF183" i="2"/>
  <c r="BE183" i="2"/>
  <c r="BD183" i="2"/>
  <c r="BC183" i="2"/>
  <c r="BB183" i="2"/>
  <c r="BZ183" i="2" s="1"/>
  <c r="CC183" i="2" s="1"/>
  <c r="BA183" i="2"/>
  <c r="AZ183" i="2"/>
  <c r="AY183" i="2"/>
  <c r="AX183" i="2"/>
  <c r="AW183" i="2"/>
  <c r="CA182" i="2"/>
  <c r="BY182" i="2"/>
  <c r="BX182" i="2"/>
  <c r="BW182" i="2"/>
  <c r="BV182" i="2"/>
  <c r="BU182" i="2"/>
  <c r="BT182" i="2"/>
  <c r="BS182" i="2"/>
  <c r="BR182" i="2"/>
  <c r="BQ182" i="2"/>
  <c r="BP182" i="2"/>
  <c r="BO182" i="2"/>
  <c r="BN182" i="2"/>
  <c r="BM182" i="2"/>
  <c r="BL182" i="2"/>
  <c r="BK182" i="2"/>
  <c r="BJ182" i="2"/>
  <c r="BI182" i="2"/>
  <c r="BH182" i="2"/>
  <c r="BG182" i="2"/>
  <c r="BF182" i="2"/>
  <c r="BE182" i="2"/>
  <c r="BD182" i="2"/>
  <c r="BC182" i="2"/>
  <c r="BB182" i="2"/>
  <c r="BZ182" i="2" s="1"/>
  <c r="CC182" i="2" s="1"/>
  <c r="BA182" i="2"/>
  <c r="AZ182" i="2"/>
  <c r="AY182" i="2"/>
  <c r="AX182" i="2"/>
  <c r="AW182" i="2"/>
  <c r="CA181" i="2"/>
  <c r="BY181" i="2"/>
  <c r="BX181" i="2"/>
  <c r="BW181" i="2"/>
  <c r="BV181" i="2"/>
  <c r="BU181" i="2"/>
  <c r="BT181" i="2"/>
  <c r="BS181" i="2"/>
  <c r="BR181" i="2"/>
  <c r="BQ181" i="2"/>
  <c r="BP181" i="2"/>
  <c r="BO181" i="2"/>
  <c r="BN181" i="2"/>
  <c r="BM181" i="2"/>
  <c r="BL181" i="2"/>
  <c r="BK181" i="2"/>
  <c r="BJ181" i="2"/>
  <c r="BI181" i="2"/>
  <c r="BH181" i="2"/>
  <c r="BG181" i="2"/>
  <c r="BF181" i="2"/>
  <c r="BE181" i="2"/>
  <c r="BD181" i="2"/>
  <c r="BC181" i="2"/>
  <c r="BB181" i="2"/>
  <c r="BZ181" i="2" s="1"/>
  <c r="CC181" i="2" s="1"/>
  <c r="BA181" i="2"/>
  <c r="AZ181" i="2"/>
  <c r="AY181" i="2"/>
  <c r="AX181" i="2"/>
  <c r="AW181" i="2"/>
  <c r="CA180" i="2"/>
  <c r="BY180" i="2"/>
  <c r="BX180" i="2"/>
  <c r="BW180" i="2"/>
  <c r="BV180" i="2"/>
  <c r="BU180" i="2"/>
  <c r="BT180" i="2"/>
  <c r="BS180" i="2"/>
  <c r="BR180" i="2"/>
  <c r="BQ180" i="2"/>
  <c r="BP180" i="2"/>
  <c r="BO180" i="2"/>
  <c r="BN180" i="2"/>
  <c r="BM180" i="2"/>
  <c r="BL180" i="2"/>
  <c r="BK180" i="2"/>
  <c r="BJ180" i="2"/>
  <c r="BI180" i="2"/>
  <c r="BH180" i="2"/>
  <c r="BG180" i="2"/>
  <c r="BF180" i="2"/>
  <c r="BE180" i="2"/>
  <c r="BD180" i="2"/>
  <c r="BC180" i="2"/>
  <c r="BB180" i="2"/>
  <c r="BZ180" i="2" s="1"/>
  <c r="BA180" i="2"/>
  <c r="AZ180" i="2"/>
  <c r="AY180" i="2"/>
  <c r="AX180" i="2"/>
  <c r="AW180" i="2"/>
  <c r="CA179" i="2"/>
  <c r="BY179" i="2"/>
  <c r="BX179" i="2"/>
  <c r="BW179" i="2"/>
  <c r="BV179" i="2"/>
  <c r="BU179" i="2"/>
  <c r="BT179" i="2"/>
  <c r="BS179" i="2"/>
  <c r="BR179" i="2"/>
  <c r="BQ179" i="2"/>
  <c r="BP179" i="2"/>
  <c r="BO179" i="2"/>
  <c r="BN179" i="2"/>
  <c r="BM179" i="2"/>
  <c r="BL179" i="2"/>
  <c r="BK179" i="2"/>
  <c r="BJ179" i="2"/>
  <c r="BI179" i="2"/>
  <c r="BH179" i="2"/>
  <c r="BG179" i="2"/>
  <c r="BF179" i="2"/>
  <c r="BE179" i="2"/>
  <c r="BD179" i="2"/>
  <c r="BC179" i="2"/>
  <c r="BB179" i="2"/>
  <c r="BZ179" i="2" s="1"/>
  <c r="CC179" i="2" s="1"/>
  <c r="BA179" i="2"/>
  <c r="AZ179" i="2"/>
  <c r="AY179" i="2"/>
  <c r="AX179" i="2"/>
  <c r="AW179" i="2"/>
  <c r="CA178" i="2"/>
  <c r="BY178" i="2"/>
  <c r="BX178" i="2"/>
  <c r="BW178" i="2"/>
  <c r="BV178" i="2"/>
  <c r="BU178" i="2"/>
  <c r="BT178" i="2"/>
  <c r="BS178" i="2"/>
  <c r="BR178" i="2"/>
  <c r="BQ178" i="2"/>
  <c r="BP178" i="2"/>
  <c r="BO178" i="2"/>
  <c r="BN178" i="2"/>
  <c r="BM178" i="2"/>
  <c r="BL178" i="2"/>
  <c r="BK178" i="2"/>
  <c r="BJ178" i="2"/>
  <c r="BI178" i="2"/>
  <c r="BH178" i="2"/>
  <c r="BG178" i="2"/>
  <c r="BF178" i="2"/>
  <c r="BE178" i="2"/>
  <c r="BD178" i="2"/>
  <c r="BC178" i="2"/>
  <c r="BB178" i="2"/>
  <c r="BZ178" i="2" s="1"/>
  <c r="CC178" i="2" s="1"/>
  <c r="BA178" i="2"/>
  <c r="AZ178" i="2"/>
  <c r="AY178" i="2"/>
  <c r="AX178" i="2"/>
  <c r="AW178" i="2"/>
  <c r="CA177" i="2"/>
  <c r="BY177" i="2"/>
  <c r="BX177" i="2"/>
  <c r="BW177" i="2"/>
  <c r="BV177" i="2"/>
  <c r="BU177" i="2"/>
  <c r="BT177" i="2"/>
  <c r="BS177" i="2"/>
  <c r="BR177" i="2"/>
  <c r="BQ177" i="2"/>
  <c r="BP177" i="2"/>
  <c r="BO177" i="2"/>
  <c r="BN177" i="2"/>
  <c r="BM177" i="2"/>
  <c r="BL177" i="2"/>
  <c r="BK177" i="2"/>
  <c r="BJ177" i="2"/>
  <c r="BI177" i="2"/>
  <c r="BH177" i="2"/>
  <c r="BG177" i="2"/>
  <c r="BF177" i="2"/>
  <c r="BE177" i="2"/>
  <c r="BD177" i="2"/>
  <c r="BC177" i="2"/>
  <c r="BB177" i="2"/>
  <c r="BZ177" i="2" s="1"/>
  <c r="CC177" i="2" s="1"/>
  <c r="BA177" i="2"/>
  <c r="AZ177" i="2"/>
  <c r="AY177" i="2"/>
  <c r="AX177" i="2"/>
  <c r="AW177" i="2"/>
  <c r="CA176" i="2"/>
  <c r="BY176" i="2"/>
  <c r="BX176" i="2"/>
  <c r="BW176" i="2"/>
  <c r="BV176" i="2"/>
  <c r="BU176" i="2"/>
  <c r="BT176" i="2"/>
  <c r="BS176" i="2"/>
  <c r="BR176" i="2"/>
  <c r="BQ176" i="2"/>
  <c r="BP176" i="2"/>
  <c r="BO176" i="2"/>
  <c r="BN176" i="2"/>
  <c r="BM176" i="2"/>
  <c r="BL176" i="2"/>
  <c r="BK176" i="2"/>
  <c r="BJ176" i="2"/>
  <c r="BI176" i="2"/>
  <c r="BH176" i="2"/>
  <c r="BG176" i="2"/>
  <c r="BF176" i="2"/>
  <c r="BE176" i="2"/>
  <c r="BD176" i="2"/>
  <c r="BC176" i="2"/>
  <c r="BB176" i="2"/>
  <c r="BZ176" i="2" s="1"/>
  <c r="CC176" i="2" s="1"/>
  <c r="BA176" i="2"/>
  <c r="AZ176" i="2"/>
  <c r="AY176" i="2"/>
  <c r="AX176" i="2"/>
  <c r="AW176" i="2"/>
  <c r="CA175" i="2"/>
  <c r="BY175" i="2"/>
  <c r="BX175" i="2"/>
  <c r="BW175" i="2"/>
  <c r="BV175" i="2"/>
  <c r="BU175" i="2"/>
  <c r="BT175" i="2"/>
  <c r="BS175" i="2"/>
  <c r="BR175" i="2"/>
  <c r="BQ175" i="2"/>
  <c r="BP175" i="2"/>
  <c r="BO175" i="2"/>
  <c r="BN175" i="2"/>
  <c r="BM175" i="2"/>
  <c r="BL175" i="2"/>
  <c r="BK175" i="2"/>
  <c r="BJ175" i="2"/>
  <c r="BI175" i="2"/>
  <c r="BH175" i="2"/>
  <c r="BG175" i="2"/>
  <c r="BF175" i="2"/>
  <c r="BE175" i="2"/>
  <c r="BD175" i="2"/>
  <c r="BC175" i="2"/>
  <c r="BB175" i="2"/>
  <c r="BZ175" i="2" s="1"/>
  <c r="CC175" i="2" s="1"/>
  <c r="BA175" i="2"/>
  <c r="AZ175" i="2"/>
  <c r="AY175" i="2"/>
  <c r="AX175" i="2"/>
  <c r="AW175" i="2"/>
  <c r="CA174" i="2"/>
  <c r="BY174" i="2"/>
  <c r="BX174" i="2"/>
  <c r="BW174" i="2"/>
  <c r="BV174" i="2"/>
  <c r="BU174" i="2"/>
  <c r="BT174" i="2"/>
  <c r="BS174" i="2"/>
  <c r="BR174" i="2"/>
  <c r="BQ174" i="2"/>
  <c r="BP174" i="2"/>
  <c r="BO174" i="2"/>
  <c r="BN174" i="2"/>
  <c r="BM174" i="2"/>
  <c r="BL174" i="2"/>
  <c r="BK174" i="2"/>
  <c r="BJ174" i="2"/>
  <c r="BI174" i="2"/>
  <c r="BH174" i="2"/>
  <c r="BG174" i="2"/>
  <c r="BF174" i="2"/>
  <c r="BE174" i="2"/>
  <c r="BD174" i="2"/>
  <c r="BC174" i="2"/>
  <c r="BB174" i="2"/>
  <c r="BZ174" i="2" s="1"/>
  <c r="BA174" i="2"/>
  <c r="AZ174" i="2"/>
  <c r="AY174" i="2"/>
  <c r="AX174" i="2"/>
  <c r="AW174" i="2"/>
  <c r="CA173" i="2"/>
  <c r="BY173" i="2"/>
  <c r="BX173" i="2"/>
  <c r="BW173" i="2"/>
  <c r="BV173" i="2"/>
  <c r="BU173" i="2"/>
  <c r="BT173" i="2"/>
  <c r="BS173" i="2"/>
  <c r="BR173" i="2"/>
  <c r="BQ173" i="2"/>
  <c r="BP173" i="2"/>
  <c r="BO173" i="2"/>
  <c r="BN173" i="2"/>
  <c r="BM173" i="2"/>
  <c r="BL173" i="2"/>
  <c r="BK173" i="2"/>
  <c r="BJ173" i="2"/>
  <c r="BI173" i="2"/>
  <c r="BH173" i="2"/>
  <c r="BG173" i="2"/>
  <c r="BF173" i="2"/>
  <c r="BE173" i="2"/>
  <c r="BD173" i="2"/>
  <c r="BC173" i="2"/>
  <c r="BB173" i="2"/>
  <c r="BZ173" i="2" s="1"/>
  <c r="CC173" i="2" s="1"/>
  <c r="BA173" i="2"/>
  <c r="AZ173" i="2"/>
  <c r="AY173" i="2"/>
  <c r="AX173" i="2"/>
  <c r="AW173" i="2"/>
  <c r="CA172" i="2"/>
  <c r="BY172" i="2"/>
  <c r="BX172" i="2"/>
  <c r="BW172" i="2"/>
  <c r="BV172" i="2"/>
  <c r="BU172" i="2"/>
  <c r="BT172" i="2"/>
  <c r="BS172" i="2"/>
  <c r="BR172" i="2"/>
  <c r="BQ172" i="2"/>
  <c r="BP172" i="2"/>
  <c r="BO172" i="2"/>
  <c r="BN172" i="2"/>
  <c r="BM172" i="2"/>
  <c r="BL172" i="2"/>
  <c r="BK172" i="2"/>
  <c r="BJ172" i="2"/>
  <c r="BI172" i="2"/>
  <c r="BH172" i="2"/>
  <c r="BG172" i="2"/>
  <c r="BF172" i="2"/>
  <c r="BE172" i="2"/>
  <c r="BD172" i="2"/>
  <c r="BC172" i="2"/>
  <c r="BB172" i="2"/>
  <c r="BZ172" i="2" s="1"/>
  <c r="CC172" i="2" s="1"/>
  <c r="BA172" i="2"/>
  <c r="AZ172" i="2"/>
  <c r="AY172" i="2"/>
  <c r="AX172" i="2"/>
  <c r="AW172" i="2"/>
  <c r="CA171" i="2"/>
  <c r="BY171" i="2"/>
  <c r="BX171" i="2"/>
  <c r="BW171" i="2"/>
  <c r="BV171" i="2"/>
  <c r="BU171" i="2"/>
  <c r="BT171" i="2"/>
  <c r="BS171" i="2"/>
  <c r="BR171" i="2"/>
  <c r="BQ171" i="2"/>
  <c r="BP171" i="2"/>
  <c r="BO171" i="2"/>
  <c r="BN171" i="2"/>
  <c r="BM171" i="2"/>
  <c r="BL171" i="2"/>
  <c r="BK171" i="2"/>
  <c r="BJ171" i="2"/>
  <c r="BI171" i="2"/>
  <c r="BH171" i="2"/>
  <c r="BG171" i="2"/>
  <c r="BF171" i="2"/>
  <c r="BE171" i="2"/>
  <c r="BD171" i="2"/>
  <c r="BC171" i="2"/>
  <c r="BB171" i="2"/>
  <c r="BZ171" i="2" s="1"/>
  <c r="BA171" i="2"/>
  <c r="AZ171" i="2"/>
  <c r="AY171" i="2"/>
  <c r="AX171" i="2"/>
  <c r="AW171" i="2"/>
  <c r="CA170" i="2"/>
  <c r="BY170" i="2"/>
  <c r="BX170" i="2"/>
  <c r="BW170" i="2"/>
  <c r="BV170" i="2"/>
  <c r="BU170" i="2"/>
  <c r="BT170" i="2"/>
  <c r="BS170" i="2"/>
  <c r="BR170" i="2"/>
  <c r="BQ170" i="2"/>
  <c r="BP170" i="2"/>
  <c r="BO170" i="2"/>
  <c r="BN170" i="2"/>
  <c r="BM170" i="2"/>
  <c r="BL170" i="2"/>
  <c r="BK170" i="2"/>
  <c r="BJ170" i="2"/>
  <c r="BI170" i="2"/>
  <c r="BH170" i="2"/>
  <c r="BG170" i="2"/>
  <c r="BF170" i="2"/>
  <c r="BE170" i="2"/>
  <c r="BD170" i="2"/>
  <c r="BC170" i="2"/>
  <c r="BB170" i="2"/>
  <c r="BZ170" i="2" s="1"/>
  <c r="BA170" i="2"/>
  <c r="AZ170" i="2"/>
  <c r="AY170" i="2"/>
  <c r="AX170" i="2"/>
  <c r="AW170" i="2"/>
  <c r="CA169" i="2"/>
  <c r="BY169" i="2"/>
  <c r="BX169" i="2"/>
  <c r="BW169" i="2"/>
  <c r="BV169" i="2"/>
  <c r="BU169" i="2"/>
  <c r="BT169" i="2"/>
  <c r="BS169" i="2"/>
  <c r="BR169" i="2"/>
  <c r="BQ169" i="2"/>
  <c r="BP169" i="2"/>
  <c r="BO169" i="2"/>
  <c r="BN169" i="2"/>
  <c r="BM169" i="2"/>
  <c r="BL169" i="2"/>
  <c r="BK169" i="2"/>
  <c r="BJ169" i="2"/>
  <c r="BI169" i="2"/>
  <c r="BH169" i="2"/>
  <c r="BG169" i="2"/>
  <c r="BF169" i="2"/>
  <c r="BE169" i="2"/>
  <c r="BD169" i="2"/>
  <c r="BC169" i="2"/>
  <c r="BB169" i="2"/>
  <c r="BZ169" i="2" s="1"/>
  <c r="BA169" i="2"/>
  <c r="AZ169" i="2"/>
  <c r="AY169" i="2"/>
  <c r="AX169" i="2"/>
  <c r="AW169" i="2"/>
  <c r="CA168" i="2"/>
  <c r="BY168" i="2"/>
  <c r="BX168" i="2"/>
  <c r="BW168" i="2"/>
  <c r="BV168" i="2"/>
  <c r="BU168" i="2"/>
  <c r="BT168" i="2"/>
  <c r="BS168" i="2"/>
  <c r="BR168" i="2"/>
  <c r="BQ168" i="2"/>
  <c r="BP168" i="2"/>
  <c r="BO168" i="2"/>
  <c r="BN168" i="2"/>
  <c r="BM168" i="2"/>
  <c r="BL168" i="2"/>
  <c r="BK168" i="2"/>
  <c r="BJ168" i="2"/>
  <c r="BI168" i="2"/>
  <c r="BH168" i="2"/>
  <c r="BG168" i="2"/>
  <c r="BF168" i="2"/>
  <c r="BE168" i="2"/>
  <c r="BD168" i="2"/>
  <c r="BC168" i="2"/>
  <c r="BB168" i="2"/>
  <c r="BZ168" i="2" s="1"/>
  <c r="CC168" i="2" s="1"/>
  <c r="BA168" i="2"/>
  <c r="AZ168" i="2"/>
  <c r="AY168" i="2"/>
  <c r="AX168" i="2"/>
  <c r="AW168" i="2"/>
  <c r="CA167" i="2"/>
  <c r="BY167" i="2"/>
  <c r="BX167" i="2"/>
  <c r="BW167" i="2"/>
  <c r="BV167" i="2"/>
  <c r="BU167" i="2"/>
  <c r="BT167" i="2"/>
  <c r="BS167" i="2"/>
  <c r="BR167" i="2"/>
  <c r="BQ167" i="2"/>
  <c r="BP167" i="2"/>
  <c r="BO167" i="2"/>
  <c r="BN167" i="2"/>
  <c r="BM167" i="2"/>
  <c r="BL167" i="2"/>
  <c r="BK167" i="2"/>
  <c r="BJ167" i="2"/>
  <c r="BI167" i="2"/>
  <c r="BH167" i="2"/>
  <c r="BG167" i="2"/>
  <c r="BF167" i="2"/>
  <c r="BE167" i="2"/>
  <c r="BD167" i="2"/>
  <c r="BC167" i="2"/>
  <c r="BB167" i="2"/>
  <c r="BZ167" i="2" s="1"/>
  <c r="BA167" i="2"/>
  <c r="AZ167" i="2"/>
  <c r="AY167" i="2"/>
  <c r="AX167" i="2"/>
  <c r="AW167" i="2"/>
  <c r="CA166" i="2"/>
  <c r="BY166" i="2"/>
  <c r="BX166" i="2"/>
  <c r="BW166" i="2"/>
  <c r="BV166" i="2"/>
  <c r="BU166" i="2"/>
  <c r="BT166" i="2"/>
  <c r="BS166" i="2"/>
  <c r="BR166" i="2"/>
  <c r="BQ166" i="2"/>
  <c r="BP166" i="2"/>
  <c r="BO166" i="2"/>
  <c r="BN166" i="2"/>
  <c r="BM166" i="2"/>
  <c r="BL166" i="2"/>
  <c r="BK166" i="2"/>
  <c r="BJ166" i="2"/>
  <c r="BI166" i="2"/>
  <c r="BH166" i="2"/>
  <c r="BG166" i="2"/>
  <c r="BF166" i="2"/>
  <c r="BE166" i="2"/>
  <c r="BD166" i="2"/>
  <c r="BC166" i="2"/>
  <c r="BB166" i="2"/>
  <c r="BZ166" i="2" s="1"/>
  <c r="BA166" i="2"/>
  <c r="AZ166" i="2"/>
  <c r="AY166" i="2"/>
  <c r="AX166" i="2"/>
  <c r="AW166" i="2"/>
  <c r="CA165" i="2"/>
  <c r="BY165" i="2"/>
  <c r="BX165" i="2"/>
  <c r="BW165" i="2"/>
  <c r="BV165" i="2"/>
  <c r="BU165" i="2"/>
  <c r="BT165" i="2"/>
  <c r="BS165" i="2"/>
  <c r="BR165" i="2"/>
  <c r="BQ165" i="2"/>
  <c r="BP165" i="2"/>
  <c r="BO165" i="2"/>
  <c r="BN165" i="2"/>
  <c r="BM165" i="2"/>
  <c r="BL165" i="2"/>
  <c r="BK165" i="2"/>
  <c r="BJ165" i="2"/>
  <c r="BI165" i="2"/>
  <c r="BH165" i="2"/>
  <c r="BG165" i="2"/>
  <c r="BF165" i="2"/>
  <c r="BE165" i="2"/>
  <c r="BD165" i="2"/>
  <c r="BC165" i="2"/>
  <c r="BB165" i="2"/>
  <c r="BZ165" i="2" s="1"/>
  <c r="CC165" i="2" s="1"/>
  <c r="BA165" i="2"/>
  <c r="AZ165" i="2"/>
  <c r="AY165" i="2"/>
  <c r="AX165" i="2"/>
  <c r="AW165" i="2"/>
  <c r="CA164" i="2"/>
  <c r="BY164" i="2"/>
  <c r="BX164" i="2"/>
  <c r="BW164" i="2"/>
  <c r="BV164" i="2"/>
  <c r="BU164" i="2"/>
  <c r="BT164" i="2"/>
  <c r="BS164" i="2"/>
  <c r="BR164" i="2"/>
  <c r="BQ164" i="2"/>
  <c r="BP164" i="2"/>
  <c r="BO164" i="2"/>
  <c r="BN164" i="2"/>
  <c r="BM164" i="2"/>
  <c r="BL164" i="2"/>
  <c r="BK164" i="2"/>
  <c r="BJ164" i="2"/>
  <c r="BI164" i="2"/>
  <c r="BH164" i="2"/>
  <c r="BG164" i="2"/>
  <c r="BF164" i="2"/>
  <c r="BE164" i="2"/>
  <c r="BD164" i="2"/>
  <c r="BC164" i="2"/>
  <c r="BB164" i="2"/>
  <c r="BZ164" i="2" s="1"/>
  <c r="CC164" i="2" s="1"/>
  <c r="BA164" i="2"/>
  <c r="AZ164" i="2"/>
  <c r="AY164" i="2"/>
  <c r="AX164" i="2"/>
  <c r="AW164" i="2"/>
  <c r="CA163" i="2"/>
  <c r="BY163" i="2"/>
  <c r="BX163" i="2"/>
  <c r="BW163" i="2"/>
  <c r="BV163" i="2"/>
  <c r="BU163" i="2"/>
  <c r="BT163" i="2"/>
  <c r="BS163" i="2"/>
  <c r="BR163" i="2"/>
  <c r="BQ163" i="2"/>
  <c r="BP163" i="2"/>
  <c r="BO163" i="2"/>
  <c r="BN163" i="2"/>
  <c r="BM163" i="2"/>
  <c r="BL163" i="2"/>
  <c r="BK163" i="2"/>
  <c r="BJ163" i="2"/>
  <c r="BI163" i="2"/>
  <c r="BH163" i="2"/>
  <c r="BG163" i="2"/>
  <c r="BF163" i="2"/>
  <c r="BE163" i="2"/>
  <c r="BD163" i="2"/>
  <c r="BC163" i="2"/>
  <c r="BB163" i="2"/>
  <c r="BZ163" i="2" s="1"/>
  <c r="CC163" i="2" s="1"/>
  <c r="BA163" i="2"/>
  <c r="AZ163" i="2"/>
  <c r="AY163" i="2"/>
  <c r="AX163" i="2"/>
  <c r="AW163" i="2"/>
  <c r="CA162" i="2"/>
  <c r="BY162" i="2"/>
  <c r="BX162" i="2"/>
  <c r="BW162" i="2"/>
  <c r="BV162" i="2"/>
  <c r="BU162" i="2"/>
  <c r="BT162" i="2"/>
  <c r="BS162" i="2"/>
  <c r="BR162" i="2"/>
  <c r="BQ162" i="2"/>
  <c r="BP162" i="2"/>
  <c r="BO162" i="2"/>
  <c r="BN162" i="2"/>
  <c r="BM162" i="2"/>
  <c r="BL162" i="2"/>
  <c r="BK162" i="2"/>
  <c r="BJ162" i="2"/>
  <c r="BI162" i="2"/>
  <c r="BH162" i="2"/>
  <c r="BG162" i="2"/>
  <c r="BF162" i="2"/>
  <c r="BE162" i="2"/>
  <c r="BD162" i="2"/>
  <c r="BC162" i="2"/>
  <c r="BB162" i="2"/>
  <c r="BZ162" i="2" s="1"/>
  <c r="CC162" i="2" s="1"/>
  <c r="BA162" i="2"/>
  <c r="AZ162" i="2"/>
  <c r="AY162" i="2"/>
  <c r="AX162" i="2"/>
  <c r="AW162" i="2"/>
  <c r="CA161" i="2"/>
  <c r="BY161" i="2"/>
  <c r="BX161" i="2"/>
  <c r="BW161" i="2"/>
  <c r="BV161" i="2"/>
  <c r="BU161" i="2"/>
  <c r="BT161" i="2"/>
  <c r="BS161" i="2"/>
  <c r="BR161" i="2"/>
  <c r="BQ161" i="2"/>
  <c r="BP161" i="2"/>
  <c r="BO161" i="2"/>
  <c r="BN161" i="2"/>
  <c r="BM161" i="2"/>
  <c r="BL161" i="2"/>
  <c r="BK161" i="2"/>
  <c r="BJ161" i="2"/>
  <c r="BI161" i="2"/>
  <c r="BH161" i="2"/>
  <c r="BG161" i="2"/>
  <c r="BF161" i="2"/>
  <c r="BE161" i="2"/>
  <c r="BD161" i="2"/>
  <c r="BC161" i="2"/>
  <c r="BB161" i="2"/>
  <c r="BZ161" i="2" s="1"/>
  <c r="CC161" i="2" s="1"/>
  <c r="BA161" i="2"/>
  <c r="AZ161" i="2"/>
  <c r="AY161" i="2"/>
  <c r="AX161" i="2"/>
  <c r="AW161" i="2"/>
  <c r="CA160" i="2"/>
  <c r="BY160" i="2"/>
  <c r="BX160" i="2"/>
  <c r="BW160" i="2"/>
  <c r="BV160" i="2"/>
  <c r="BU160" i="2"/>
  <c r="BT160" i="2"/>
  <c r="BS160" i="2"/>
  <c r="BR160" i="2"/>
  <c r="BQ160" i="2"/>
  <c r="BP160" i="2"/>
  <c r="BO160" i="2"/>
  <c r="BN160" i="2"/>
  <c r="BM160" i="2"/>
  <c r="BL160" i="2"/>
  <c r="BK160" i="2"/>
  <c r="BJ160" i="2"/>
  <c r="BI160" i="2"/>
  <c r="BH160" i="2"/>
  <c r="BG160" i="2"/>
  <c r="BF160" i="2"/>
  <c r="BE160" i="2"/>
  <c r="BD160" i="2"/>
  <c r="BC160" i="2"/>
  <c r="BB160" i="2"/>
  <c r="BZ160" i="2" s="1"/>
  <c r="CC160" i="2" s="1"/>
  <c r="BA160" i="2"/>
  <c r="AZ160" i="2"/>
  <c r="AY160" i="2"/>
  <c r="AX160" i="2"/>
  <c r="AW160" i="2"/>
  <c r="CA159" i="2"/>
  <c r="BY159" i="2"/>
  <c r="BX159" i="2"/>
  <c r="BW159" i="2"/>
  <c r="BV159" i="2"/>
  <c r="BU159" i="2"/>
  <c r="BT159" i="2"/>
  <c r="BS159" i="2"/>
  <c r="BR159" i="2"/>
  <c r="BQ159" i="2"/>
  <c r="BP159" i="2"/>
  <c r="BO159" i="2"/>
  <c r="BN159" i="2"/>
  <c r="BM159" i="2"/>
  <c r="BL159" i="2"/>
  <c r="BK159" i="2"/>
  <c r="BJ159" i="2"/>
  <c r="BI159" i="2"/>
  <c r="BH159" i="2"/>
  <c r="BG159" i="2"/>
  <c r="BF159" i="2"/>
  <c r="BE159" i="2"/>
  <c r="BD159" i="2"/>
  <c r="BC159" i="2"/>
  <c r="BB159" i="2"/>
  <c r="BZ159" i="2" s="1"/>
  <c r="BA159" i="2"/>
  <c r="AZ159" i="2"/>
  <c r="AY159" i="2"/>
  <c r="AX159" i="2"/>
  <c r="AW159" i="2"/>
  <c r="CA158" i="2"/>
  <c r="BY158" i="2"/>
  <c r="BX158" i="2"/>
  <c r="BW158" i="2"/>
  <c r="BV158" i="2"/>
  <c r="BU158" i="2"/>
  <c r="BT158" i="2"/>
  <c r="BS158" i="2"/>
  <c r="BR158" i="2"/>
  <c r="BQ158" i="2"/>
  <c r="BP158" i="2"/>
  <c r="BO158" i="2"/>
  <c r="BN158" i="2"/>
  <c r="BM158" i="2"/>
  <c r="BL158" i="2"/>
  <c r="BK158" i="2"/>
  <c r="BJ158" i="2"/>
  <c r="BI158" i="2"/>
  <c r="BH158" i="2"/>
  <c r="BG158" i="2"/>
  <c r="BF158" i="2"/>
  <c r="BE158" i="2"/>
  <c r="BD158" i="2"/>
  <c r="BC158" i="2"/>
  <c r="BB158" i="2"/>
  <c r="BZ158" i="2" s="1"/>
  <c r="CC158" i="2" s="1"/>
  <c r="BA158" i="2"/>
  <c r="AZ158" i="2"/>
  <c r="AY158" i="2"/>
  <c r="AX158" i="2"/>
  <c r="AW158" i="2"/>
  <c r="CA157" i="2"/>
  <c r="BY157" i="2"/>
  <c r="BX157" i="2"/>
  <c r="BW157" i="2"/>
  <c r="BV157" i="2"/>
  <c r="BU157" i="2"/>
  <c r="BT157" i="2"/>
  <c r="BS157" i="2"/>
  <c r="BR157" i="2"/>
  <c r="BQ157" i="2"/>
  <c r="BP157" i="2"/>
  <c r="BO157" i="2"/>
  <c r="BN157" i="2"/>
  <c r="BM157" i="2"/>
  <c r="BL157" i="2"/>
  <c r="BK157" i="2"/>
  <c r="BJ157" i="2"/>
  <c r="BI157" i="2"/>
  <c r="BH157" i="2"/>
  <c r="BG157" i="2"/>
  <c r="BF157" i="2"/>
  <c r="BE157" i="2"/>
  <c r="BD157" i="2"/>
  <c r="BC157" i="2"/>
  <c r="BB157" i="2"/>
  <c r="BZ157" i="2" s="1"/>
  <c r="BA157" i="2"/>
  <c r="AZ157" i="2"/>
  <c r="AY157" i="2"/>
  <c r="AX157" i="2"/>
  <c r="AW157" i="2"/>
  <c r="CA156" i="2"/>
  <c r="BY156" i="2"/>
  <c r="BX156" i="2"/>
  <c r="BW156" i="2"/>
  <c r="BV156" i="2"/>
  <c r="BU156" i="2"/>
  <c r="BT156" i="2"/>
  <c r="BS156" i="2"/>
  <c r="BR156" i="2"/>
  <c r="BQ156" i="2"/>
  <c r="BP156" i="2"/>
  <c r="BO156" i="2"/>
  <c r="BN156" i="2"/>
  <c r="BM156" i="2"/>
  <c r="BL156" i="2"/>
  <c r="BK156" i="2"/>
  <c r="BJ156" i="2"/>
  <c r="BI156" i="2"/>
  <c r="BH156" i="2"/>
  <c r="BG156" i="2"/>
  <c r="BF156" i="2"/>
  <c r="BE156" i="2"/>
  <c r="BD156" i="2"/>
  <c r="BC156" i="2"/>
  <c r="BB156" i="2"/>
  <c r="BZ156" i="2" s="1"/>
  <c r="CC156" i="2" s="1"/>
  <c r="BA156" i="2"/>
  <c r="AZ156" i="2"/>
  <c r="AY156" i="2"/>
  <c r="AX156" i="2"/>
  <c r="AW156" i="2"/>
  <c r="CA155" i="2"/>
  <c r="BY155" i="2"/>
  <c r="BX155" i="2"/>
  <c r="BW155" i="2"/>
  <c r="BV155" i="2"/>
  <c r="BU155" i="2"/>
  <c r="BT155" i="2"/>
  <c r="BS155" i="2"/>
  <c r="BR155" i="2"/>
  <c r="BQ155" i="2"/>
  <c r="BP155" i="2"/>
  <c r="BO155" i="2"/>
  <c r="BN155" i="2"/>
  <c r="BM155" i="2"/>
  <c r="BL155" i="2"/>
  <c r="BK155" i="2"/>
  <c r="BJ155" i="2"/>
  <c r="BI155" i="2"/>
  <c r="BH155" i="2"/>
  <c r="BG155" i="2"/>
  <c r="BF155" i="2"/>
  <c r="BE155" i="2"/>
  <c r="BD155" i="2"/>
  <c r="BC155" i="2"/>
  <c r="BB155" i="2"/>
  <c r="BZ155" i="2" s="1"/>
  <c r="BA155" i="2"/>
  <c r="AZ155" i="2"/>
  <c r="AY155" i="2"/>
  <c r="AX155" i="2"/>
  <c r="AW155" i="2"/>
  <c r="CA154" i="2"/>
  <c r="BY154" i="2"/>
  <c r="BX154" i="2"/>
  <c r="BW154" i="2"/>
  <c r="BV154" i="2"/>
  <c r="BU154" i="2"/>
  <c r="BT154" i="2"/>
  <c r="BS154" i="2"/>
  <c r="BR154" i="2"/>
  <c r="BQ154" i="2"/>
  <c r="BP154" i="2"/>
  <c r="BO154" i="2"/>
  <c r="BN154" i="2"/>
  <c r="BM154" i="2"/>
  <c r="BL154" i="2"/>
  <c r="BK154" i="2"/>
  <c r="BJ154" i="2"/>
  <c r="BI154" i="2"/>
  <c r="BH154" i="2"/>
  <c r="BG154" i="2"/>
  <c r="BF154" i="2"/>
  <c r="BE154" i="2"/>
  <c r="BD154" i="2"/>
  <c r="BC154" i="2"/>
  <c r="BB154" i="2"/>
  <c r="BZ154" i="2" s="1"/>
  <c r="CC154" i="2" s="1"/>
  <c r="BA154" i="2"/>
  <c r="AZ154" i="2"/>
  <c r="AY154" i="2"/>
  <c r="AX154" i="2"/>
  <c r="AW154" i="2"/>
  <c r="CA153" i="2"/>
  <c r="BY153" i="2"/>
  <c r="BX153" i="2"/>
  <c r="BW153" i="2"/>
  <c r="BV153" i="2"/>
  <c r="BU153" i="2"/>
  <c r="BT153" i="2"/>
  <c r="BS153" i="2"/>
  <c r="BR153" i="2"/>
  <c r="BQ153" i="2"/>
  <c r="BP153" i="2"/>
  <c r="BO153" i="2"/>
  <c r="BN153" i="2"/>
  <c r="BM153" i="2"/>
  <c r="BL153" i="2"/>
  <c r="BK153" i="2"/>
  <c r="BJ153" i="2"/>
  <c r="BI153" i="2"/>
  <c r="BH153" i="2"/>
  <c r="BG153" i="2"/>
  <c r="BF153" i="2"/>
  <c r="BE153" i="2"/>
  <c r="BD153" i="2"/>
  <c r="BC153" i="2"/>
  <c r="BB153" i="2"/>
  <c r="BZ153" i="2" s="1"/>
  <c r="BA153" i="2"/>
  <c r="AZ153" i="2"/>
  <c r="AY153" i="2"/>
  <c r="AX153" i="2"/>
  <c r="AW153" i="2"/>
  <c r="CA152" i="2"/>
  <c r="BY152" i="2"/>
  <c r="BX152" i="2"/>
  <c r="BW152" i="2"/>
  <c r="BV152" i="2"/>
  <c r="BU152" i="2"/>
  <c r="BT152" i="2"/>
  <c r="BS152" i="2"/>
  <c r="BR152" i="2"/>
  <c r="BQ152" i="2"/>
  <c r="BP152" i="2"/>
  <c r="BO152" i="2"/>
  <c r="BN152" i="2"/>
  <c r="BM152" i="2"/>
  <c r="BL152" i="2"/>
  <c r="BK152" i="2"/>
  <c r="BJ152" i="2"/>
  <c r="BI152" i="2"/>
  <c r="BH152" i="2"/>
  <c r="BG152" i="2"/>
  <c r="BF152" i="2"/>
  <c r="BE152" i="2"/>
  <c r="BD152" i="2"/>
  <c r="BC152" i="2"/>
  <c r="BB152" i="2"/>
  <c r="BZ152" i="2" s="1"/>
  <c r="BA152" i="2"/>
  <c r="AZ152" i="2"/>
  <c r="AY152" i="2"/>
  <c r="AX152" i="2"/>
  <c r="AW152" i="2"/>
  <c r="CA151" i="2"/>
  <c r="BY151" i="2"/>
  <c r="BX151" i="2"/>
  <c r="BW151" i="2"/>
  <c r="BV151" i="2"/>
  <c r="BU151" i="2"/>
  <c r="BT151" i="2"/>
  <c r="BS151" i="2"/>
  <c r="BR151" i="2"/>
  <c r="BQ151" i="2"/>
  <c r="BP151" i="2"/>
  <c r="BO151" i="2"/>
  <c r="BN151" i="2"/>
  <c r="BM151" i="2"/>
  <c r="BL151" i="2"/>
  <c r="BK151" i="2"/>
  <c r="BJ151" i="2"/>
  <c r="BI151" i="2"/>
  <c r="BH151" i="2"/>
  <c r="BG151" i="2"/>
  <c r="BF151" i="2"/>
  <c r="BE151" i="2"/>
  <c r="BD151" i="2"/>
  <c r="BC151" i="2"/>
  <c r="BB151" i="2"/>
  <c r="BZ151" i="2" s="1"/>
  <c r="CC151" i="2" s="1"/>
  <c r="BA151" i="2"/>
  <c r="AZ151" i="2"/>
  <c r="AY151" i="2"/>
  <c r="AX151" i="2"/>
  <c r="AW151" i="2"/>
  <c r="CA150" i="2"/>
  <c r="BY150" i="2"/>
  <c r="BX150" i="2"/>
  <c r="BW150" i="2"/>
  <c r="BV150" i="2"/>
  <c r="BU150" i="2"/>
  <c r="BT150" i="2"/>
  <c r="BS150" i="2"/>
  <c r="BR150" i="2"/>
  <c r="BQ150" i="2"/>
  <c r="BP150" i="2"/>
  <c r="BO150" i="2"/>
  <c r="BN150" i="2"/>
  <c r="BM150" i="2"/>
  <c r="BL150" i="2"/>
  <c r="BK150" i="2"/>
  <c r="BJ150" i="2"/>
  <c r="BI150" i="2"/>
  <c r="BH150" i="2"/>
  <c r="BG150" i="2"/>
  <c r="BF150" i="2"/>
  <c r="BE150" i="2"/>
  <c r="BD150" i="2"/>
  <c r="BC150" i="2"/>
  <c r="BB150" i="2"/>
  <c r="BZ150" i="2" s="1"/>
  <c r="CC150" i="2" s="1"/>
  <c r="BA150" i="2"/>
  <c r="AZ150" i="2"/>
  <c r="AY150" i="2"/>
  <c r="AX150" i="2"/>
  <c r="AW150" i="2"/>
  <c r="CA149" i="2"/>
  <c r="BY149" i="2"/>
  <c r="BX149" i="2"/>
  <c r="BW149" i="2"/>
  <c r="BV149" i="2"/>
  <c r="BU149" i="2"/>
  <c r="BT149" i="2"/>
  <c r="BS149" i="2"/>
  <c r="BR149" i="2"/>
  <c r="BQ149" i="2"/>
  <c r="BP149" i="2"/>
  <c r="BO149" i="2"/>
  <c r="BN149" i="2"/>
  <c r="BM149" i="2"/>
  <c r="BL149" i="2"/>
  <c r="BK149" i="2"/>
  <c r="BJ149" i="2"/>
  <c r="BI149" i="2"/>
  <c r="BH149" i="2"/>
  <c r="BG149" i="2"/>
  <c r="BF149" i="2"/>
  <c r="BE149" i="2"/>
  <c r="BD149" i="2"/>
  <c r="BC149" i="2"/>
  <c r="BB149" i="2"/>
  <c r="BZ149" i="2" s="1"/>
  <c r="BA149" i="2"/>
  <c r="AZ149" i="2"/>
  <c r="AY149" i="2"/>
  <c r="AX149" i="2"/>
  <c r="AW149" i="2"/>
  <c r="CA148" i="2"/>
  <c r="BY148" i="2"/>
  <c r="BX148" i="2"/>
  <c r="BW148" i="2"/>
  <c r="BV148" i="2"/>
  <c r="BU148" i="2"/>
  <c r="BT148" i="2"/>
  <c r="BS148" i="2"/>
  <c r="BR148" i="2"/>
  <c r="BQ148" i="2"/>
  <c r="BP148" i="2"/>
  <c r="BO148" i="2"/>
  <c r="BN148" i="2"/>
  <c r="BM148" i="2"/>
  <c r="BL148" i="2"/>
  <c r="BK148" i="2"/>
  <c r="BJ148" i="2"/>
  <c r="BI148" i="2"/>
  <c r="BH148" i="2"/>
  <c r="BG148" i="2"/>
  <c r="BF148" i="2"/>
  <c r="BE148" i="2"/>
  <c r="BD148" i="2"/>
  <c r="BC148" i="2"/>
  <c r="BB148" i="2"/>
  <c r="BZ148" i="2" s="1"/>
  <c r="BA148" i="2"/>
  <c r="AZ148" i="2"/>
  <c r="AY148" i="2"/>
  <c r="AX148" i="2"/>
  <c r="AW148" i="2"/>
  <c r="CA147" i="2"/>
  <c r="BY147" i="2"/>
  <c r="BX147" i="2"/>
  <c r="BW147" i="2"/>
  <c r="BV147" i="2"/>
  <c r="BU147" i="2"/>
  <c r="BT147" i="2"/>
  <c r="BS147" i="2"/>
  <c r="BR147" i="2"/>
  <c r="BQ147" i="2"/>
  <c r="BP147" i="2"/>
  <c r="BO147" i="2"/>
  <c r="BN147" i="2"/>
  <c r="BM147" i="2"/>
  <c r="BL147" i="2"/>
  <c r="BK147" i="2"/>
  <c r="BJ147" i="2"/>
  <c r="BI147" i="2"/>
  <c r="BH147" i="2"/>
  <c r="BG147" i="2"/>
  <c r="BF147" i="2"/>
  <c r="BE147" i="2"/>
  <c r="BD147" i="2"/>
  <c r="BC147" i="2"/>
  <c r="BB147" i="2"/>
  <c r="BZ147" i="2" s="1"/>
  <c r="CC147" i="2" s="1"/>
  <c r="BA147" i="2"/>
  <c r="AZ147" i="2"/>
  <c r="AY147" i="2"/>
  <c r="AX147" i="2"/>
  <c r="AW147" i="2"/>
  <c r="CA146" i="2"/>
  <c r="BY146" i="2"/>
  <c r="BX146" i="2"/>
  <c r="BW146" i="2"/>
  <c r="BV146" i="2"/>
  <c r="BU146" i="2"/>
  <c r="BT146" i="2"/>
  <c r="BS146" i="2"/>
  <c r="BR146" i="2"/>
  <c r="BQ146" i="2"/>
  <c r="BP146" i="2"/>
  <c r="BO146" i="2"/>
  <c r="BN146" i="2"/>
  <c r="BM146" i="2"/>
  <c r="BL146" i="2"/>
  <c r="BK146" i="2"/>
  <c r="BJ146" i="2"/>
  <c r="BI146" i="2"/>
  <c r="BH146" i="2"/>
  <c r="BG146" i="2"/>
  <c r="BF146" i="2"/>
  <c r="BE146" i="2"/>
  <c r="BD146" i="2"/>
  <c r="BC146" i="2"/>
  <c r="BB146" i="2"/>
  <c r="BZ146" i="2" s="1"/>
  <c r="CC146" i="2" s="1"/>
  <c r="BA146" i="2"/>
  <c r="AZ146" i="2"/>
  <c r="AY146" i="2"/>
  <c r="AX146" i="2"/>
  <c r="AW146" i="2"/>
  <c r="CA145" i="2"/>
  <c r="BY145" i="2"/>
  <c r="BX145" i="2"/>
  <c r="BW145" i="2"/>
  <c r="BV145" i="2"/>
  <c r="BU145" i="2"/>
  <c r="BT145" i="2"/>
  <c r="BS145" i="2"/>
  <c r="BR145" i="2"/>
  <c r="BQ145" i="2"/>
  <c r="BP145" i="2"/>
  <c r="BO145" i="2"/>
  <c r="BN145" i="2"/>
  <c r="BM145" i="2"/>
  <c r="BL145" i="2"/>
  <c r="BK145" i="2"/>
  <c r="BJ145" i="2"/>
  <c r="BI145" i="2"/>
  <c r="BH145" i="2"/>
  <c r="BG145" i="2"/>
  <c r="BF145" i="2"/>
  <c r="BE145" i="2"/>
  <c r="BD145" i="2"/>
  <c r="BC145" i="2"/>
  <c r="BB145" i="2"/>
  <c r="BZ145" i="2" s="1"/>
  <c r="CC145" i="2" s="1"/>
  <c r="BA145" i="2"/>
  <c r="AZ145" i="2"/>
  <c r="AY145" i="2"/>
  <c r="AX145" i="2"/>
  <c r="AW145" i="2"/>
  <c r="CA144" i="2"/>
  <c r="BY144" i="2"/>
  <c r="BX144" i="2"/>
  <c r="BW144" i="2"/>
  <c r="BV144" i="2"/>
  <c r="BU144" i="2"/>
  <c r="BT144" i="2"/>
  <c r="BS144" i="2"/>
  <c r="BR144" i="2"/>
  <c r="BQ144" i="2"/>
  <c r="BP144" i="2"/>
  <c r="BO144" i="2"/>
  <c r="BN144" i="2"/>
  <c r="BM144" i="2"/>
  <c r="BL144" i="2"/>
  <c r="BK144" i="2"/>
  <c r="BJ144" i="2"/>
  <c r="BI144" i="2"/>
  <c r="BH144" i="2"/>
  <c r="BG144" i="2"/>
  <c r="BF144" i="2"/>
  <c r="BE144" i="2"/>
  <c r="BD144" i="2"/>
  <c r="BC144" i="2"/>
  <c r="BB144" i="2"/>
  <c r="BZ144" i="2" s="1"/>
  <c r="CC144" i="2" s="1"/>
  <c r="BA144" i="2"/>
  <c r="AZ144" i="2"/>
  <c r="AY144" i="2"/>
  <c r="AX144" i="2"/>
  <c r="AW144" i="2"/>
  <c r="CA143" i="2"/>
  <c r="BY143" i="2"/>
  <c r="BX143" i="2"/>
  <c r="BW143" i="2"/>
  <c r="BV143" i="2"/>
  <c r="BU143" i="2"/>
  <c r="BT143" i="2"/>
  <c r="BS143" i="2"/>
  <c r="BR143" i="2"/>
  <c r="BQ143" i="2"/>
  <c r="BP143" i="2"/>
  <c r="BO143" i="2"/>
  <c r="BN143" i="2"/>
  <c r="BM143" i="2"/>
  <c r="BL143" i="2"/>
  <c r="BK143" i="2"/>
  <c r="BJ143" i="2"/>
  <c r="BI143" i="2"/>
  <c r="BH143" i="2"/>
  <c r="BG143" i="2"/>
  <c r="BF143" i="2"/>
  <c r="BE143" i="2"/>
  <c r="BD143" i="2"/>
  <c r="BC143" i="2"/>
  <c r="BB143" i="2"/>
  <c r="BZ143" i="2" s="1"/>
  <c r="BA143" i="2"/>
  <c r="AZ143" i="2"/>
  <c r="AY143" i="2"/>
  <c r="AX143" i="2"/>
  <c r="AW143" i="2"/>
  <c r="CA142" i="2"/>
  <c r="BY142" i="2"/>
  <c r="BX142" i="2"/>
  <c r="BW142" i="2"/>
  <c r="BV142" i="2"/>
  <c r="BU142" i="2"/>
  <c r="BT142" i="2"/>
  <c r="BS142" i="2"/>
  <c r="BR142" i="2"/>
  <c r="BQ142" i="2"/>
  <c r="BP142" i="2"/>
  <c r="BO142" i="2"/>
  <c r="BN142" i="2"/>
  <c r="BM142" i="2"/>
  <c r="BL142" i="2"/>
  <c r="BK142" i="2"/>
  <c r="BJ142" i="2"/>
  <c r="BI142" i="2"/>
  <c r="BH142" i="2"/>
  <c r="BG142" i="2"/>
  <c r="BF142" i="2"/>
  <c r="BE142" i="2"/>
  <c r="BD142" i="2"/>
  <c r="BC142" i="2"/>
  <c r="BB142" i="2"/>
  <c r="BZ142" i="2" s="1"/>
  <c r="CC142" i="2" s="1"/>
  <c r="BA142" i="2"/>
  <c r="AZ142" i="2"/>
  <c r="AY142" i="2"/>
  <c r="AX142" i="2"/>
  <c r="AW142" i="2"/>
  <c r="CA141" i="2"/>
  <c r="BY141" i="2"/>
  <c r="BX141" i="2"/>
  <c r="BW141" i="2"/>
  <c r="BV141" i="2"/>
  <c r="BU141" i="2"/>
  <c r="BT141" i="2"/>
  <c r="BS141" i="2"/>
  <c r="BR141" i="2"/>
  <c r="BQ141" i="2"/>
  <c r="BP141" i="2"/>
  <c r="BO141" i="2"/>
  <c r="BN141" i="2"/>
  <c r="BM141" i="2"/>
  <c r="BL141" i="2"/>
  <c r="BK141" i="2"/>
  <c r="BJ141" i="2"/>
  <c r="BI141" i="2"/>
  <c r="BH141" i="2"/>
  <c r="BG141" i="2"/>
  <c r="BF141" i="2"/>
  <c r="BE141" i="2"/>
  <c r="BD141" i="2"/>
  <c r="BC141" i="2"/>
  <c r="BB141" i="2"/>
  <c r="BZ141" i="2" s="1"/>
  <c r="CC141" i="2" s="1"/>
  <c r="BA141" i="2"/>
  <c r="AZ141" i="2"/>
  <c r="AY141" i="2"/>
  <c r="AX141" i="2"/>
  <c r="AW141" i="2"/>
  <c r="CA140" i="2"/>
  <c r="BY140" i="2"/>
  <c r="BX140" i="2"/>
  <c r="BW140" i="2"/>
  <c r="BV140" i="2"/>
  <c r="BU140" i="2"/>
  <c r="BT140" i="2"/>
  <c r="BS140" i="2"/>
  <c r="BR140" i="2"/>
  <c r="BQ140" i="2"/>
  <c r="BP140" i="2"/>
  <c r="BO140" i="2"/>
  <c r="BN140" i="2"/>
  <c r="BM140" i="2"/>
  <c r="BL140" i="2"/>
  <c r="BK140" i="2"/>
  <c r="BJ140" i="2"/>
  <c r="BI140" i="2"/>
  <c r="BH140" i="2"/>
  <c r="BG140" i="2"/>
  <c r="BF140" i="2"/>
  <c r="BE140" i="2"/>
  <c r="BD140" i="2"/>
  <c r="BC140" i="2"/>
  <c r="BB140" i="2"/>
  <c r="BZ140" i="2" s="1"/>
  <c r="BA140" i="2"/>
  <c r="AZ140" i="2"/>
  <c r="AY140" i="2"/>
  <c r="AX140" i="2"/>
  <c r="AW140" i="2"/>
  <c r="CA139" i="2"/>
  <c r="BY139" i="2"/>
  <c r="BX139" i="2"/>
  <c r="BW139" i="2"/>
  <c r="BV139" i="2"/>
  <c r="BU139" i="2"/>
  <c r="BT139" i="2"/>
  <c r="BS139" i="2"/>
  <c r="BR139" i="2"/>
  <c r="BQ139" i="2"/>
  <c r="BP139" i="2"/>
  <c r="BO139" i="2"/>
  <c r="BN139" i="2"/>
  <c r="BM139" i="2"/>
  <c r="BL139" i="2"/>
  <c r="BK139" i="2"/>
  <c r="BJ139" i="2"/>
  <c r="BI139" i="2"/>
  <c r="BH139" i="2"/>
  <c r="BG139" i="2"/>
  <c r="BF139" i="2"/>
  <c r="BE139" i="2"/>
  <c r="BD139" i="2"/>
  <c r="BC139" i="2"/>
  <c r="BB139" i="2"/>
  <c r="BZ139" i="2" s="1"/>
  <c r="BA139" i="2"/>
  <c r="AZ139" i="2"/>
  <c r="AY139" i="2"/>
  <c r="AX139" i="2"/>
  <c r="AW139" i="2"/>
  <c r="CA138" i="2"/>
  <c r="BY138" i="2"/>
  <c r="BX138" i="2"/>
  <c r="BW138" i="2"/>
  <c r="BV138" i="2"/>
  <c r="BU138" i="2"/>
  <c r="BT138" i="2"/>
  <c r="BS138" i="2"/>
  <c r="BR138" i="2"/>
  <c r="BQ138" i="2"/>
  <c r="BP138" i="2"/>
  <c r="BO138" i="2"/>
  <c r="BN138" i="2"/>
  <c r="BM138" i="2"/>
  <c r="BL138" i="2"/>
  <c r="BK138" i="2"/>
  <c r="BJ138" i="2"/>
  <c r="BI138" i="2"/>
  <c r="BH138" i="2"/>
  <c r="BG138" i="2"/>
  <c r="BF138" i="2"/>
  <c r="BE138" i="2"/>
  <c r="BD138" i="2"/>
  <c r="BC138" i="2"/>
  <c r="BB138" i="2"/>
  <c r="BZ138" i="2" s="1"/>
  <c r="CC138" i="2" s="1"/>
  <c r="BA138" i="2"/>
  <c r="AZ138" i="2"/>
  <c r="AY138" i="2"/>
  <c r="AX138" i="2"/>
  <c r="AW138" i="2"/>
  <c r="CA137" i="2"/>
  <c r="BY137" i="2"/>
  <c r="BX137" i="2"/>
  <c r="BW137" i="2"/>
  <c r="BV137" i="2"/>
  <c r="BU137" i="2"/>
  <c r="BT137" i="2"/>
  <c r="BS137" i="2"/>
  <c r="BR137" i="2"/>
  <c r="BQ137" i="2"/>
  <c r="BP137" i="2"/>
  <c r="BO137" i="2"/>
  <c r="BN137" i="2"/>
  <c r="BM137" i="2"/>
  <c r="BL137" i="2"/>
  <c r="BK137" i="2"/>
  <c r="BJ137" i="2"/>
  <c r="BI137" i="2"/>
  <c r="BH137" i="2"/>
  <c r="BG137" i="2"/>
  <c r="BF137" i="2"/>
  <c r="BE137" i="2"/>
  <c r="BD137" i="2"/>
  <c r="BC137" i="2"/>
  <c r="BB137" i="2"/>
  <c r="BZ137" i="2" s="1"/>
  <c r="BA137" i="2"/>
  <c r="AZ137" i="2"/>
  <c r="AY137" i="2"/>
  <c r="AX137" i="2"/>
  <c r="AW137" i="2"/>
  <c r="CA136" i="2"/>
  <c r="BY136" i="2"/>
  <c r="BX136" i="2"/>
  <c r="BW136" i="2"/>
  <c r="BV136" i="2"/>
  <c r="BU136" i="2"/>
  <c r="BT136" i="2"/>
  <c r="BS136" i="2"/>
  <c r="BR136" i="2"/>
  <c r="BQ136" i="2"/>
  <c r="BP136" i="2"/>
  <c r="BO136" i="2"/>
  <c r="BN136" i="2"/>
  <c r="BM136" i="2"/>
  <c r="BL136" i="2"/>
  <c r="BK136" i="2"/>
  <c r="BJ136" i="2"/>
  <c r="BI136" i="2"/>
  <c r="BH136" i="2"/>
  <c r="BG136" i="2"/>
  <c r="BF136" i="2"/>
  <c r="BE136" i="2"/>
  <c r="BD136" i="2"/>
  <c r="BC136" i="2"/>
  <c r="BB136" i="2"/>
  <c r="BZ136" i="2" s="1"/>
  <c r="CC136" i="2" s="1"/>
  <c r="BA136" i="2"/>
  <c r="AZ136" i="2"/>
  <c r="AY136" i="2"/>
  <c r="AX136" i="2"/>
  <c r="AW136" i="2"/>
  <c r="CA135" i="2"/>
  <c r="BY135" i="2"/>
  <c r="BX135" i="2"/>
  <c r="BW135" i="2"/>
  <c r="BV135" i="2"/>
  <c r="BU135" i="2"/>
  <c r="BT135" i="2"/>
  <c r="BS135" i="2"/>
  <c r="BR135" i="2"/>
  <c r="BQ135" i="2"/>
  <c r="BP135" i="2"/>
  <c r="BO135" i="2"/>
  <c r="BN135" i="2"/>
  <c r="BM135" i="2"/>
  <c r="BL135" i="2"/>
  <c r="BK135" i="2"/>
  <c r="BJ135" i="2"/>
  <c r="BI135" i="2"/>
  <c r="BH135" i="2"/>
  <c r="BG135" i="2"/>
  <c r="BF135" i="2"/>
  <c r="BE135" i="2"/>
  <c r="BD135" i="2"/>
  <c r="BC135" i="2"/>
  <c r="BB135" i="2"/>
  <c r="BZ135" i="2" s="1"/>
  <c r="BA135" i="2"/>
  <c r="AZ135" i="2"/>
  <c r="AY135" i="2"/>
  <c r="AX135" i="2"/>
  <c r="AW135" i="2"/>
  <c r="CA134" i="2"/>
  <c r="BY134" i="2"/>
  <c r="BX134" i="2"/>
  <c r="BW134" i="2"/>
  <c r="BV134" i="2"/>
  <c r="BU134" i="2"/>
  <c r="BT134" i="2"/>
  <c r="BS134" i="2"/>
  <c r="BR134" i="2"/>
  <c r="BQ134" i="2"/>
  <c r="BP134" i="2"/>
  <c r="BO134" i="2"/>
  <c r="BN134" i="2"/>
  <c r="BM134" i="2"/>
  <c r="BL134" i="2"/>
  <c r="BK134" i="2"/>
  <c r="BJ134" i="2"/>
  <c r="BI134" i="2"/>
  <c r="BH134" i="2"/>
  <c r="BG134" i="2"/>
  <c r="BF134" i="2"/>
  <c r="BE134" i="2"/>
  <c r="BD134" i="2"/>
  <c r="BC134" i="2"/>
  <c r="BB134" i="2"/>
  <c r="BZ134" i="2" s="1"/>
  <c r="BA134" i="2"/>
  <c r="AZ134" i="2"/>
  <c r="AY134" i="2"/>
  <c r="AX134" i="2"/>
  <c r="AW134" i="2"/>
  <c r="CA133" i="2"/>
  <c r="BY133" i="2"/>
  <c r="BX133" i="2"/>
  <c r="BW133" i="2"/>
  <c r="BV133" i="2"/>
  <c r="BU133" i="2"/>
  <c r="BT133" i="2"/>
  <c r="BS133" i="2"/>
  <c r="BR133" i="2"/>
  <c r="BQ133" i="2"/>
  <c r="BP133" i="2"/>
  <c r="BO133" i="2"/>
  <c r="BN133" i="2"/>
  <c r="BM133" i="2"/>
  <c r="BL133" i="2"/>
  <c r="BK133" i="2"/>
  <c r="BJ133" i="2"/>
  <c r="BI133" i="2"/>
  <c r="BH133" i="2"/>
  <c r="BG133" i="2"/>
  <c r="BF133" i="2"/>
  <c r="BE133" i="2"/>
  <c r="BD133" i="2"/>
  <c r="BC133" i="2"/>
  <c r="BB133" i="2"/>
  <c r="BZ133" i="2" s="1"/>
  <c r="BA133" i="2"/>
  <c r="AZ133" i="2"/>
  <c r="AY133" i="2"/>
  <c r="AX133" i="2"/>
  <c r="AW133" i="2"/>
  <c r="CA132" i="2"/>
  <c r="BY132" i="2"/>
  <c r="BX132" i="2"/>
  <c r="BW132" i="2"/>
  <c r="BV132" i="2"/>
  <c r="BU132" i="2"/>
  <c r="BT132" i="2"/>
  <c r="BS132" i="2"/>
  <c r="BR132" i="2"/>
  <c r="BQ132" i="2"/>
  <c r="BP132" i="2"/>
  <c r="BO132" i="2"/>
  <c r="BN132" i="2"/>
  <c r="BM132" i="2"/>
  <c r="BL132" i="2"/>
  <c r="BK132" i="2"/>
  <c r="BJ132" i="2"/>
  <c r="BI132" i="2"/>
  <c r="BH132" i="2"/>
  <c r="BG132" i="2"/>
  <c r="BF132" i="2"/>
  <c r="BE132" i="2"/>
  <c r="BD132" i="2"/>
  <c r="BC132" i="2"/>
  <c r="BB132" i="2"/>
  <c r="BZ132" i="2" s="1"/>
  <c r="BA132" i="2"/>
  <c r="AZ132" i="2"/>
  <c r="AY132" i="2"/>
  <c r="AX132" i="2"/>
  <c r="AW132" i="2"/>
  <c r="CA131" i="2"/>
  <c r="BY131" i="2"/>
  <c r="BX131" i="2"/>
  <c r="BW131" i="2"/>
  <c r="BV131" i="2"/>
  <c r="BU131" i="2"/>
  <c r="BT131" i="2"/>
  <c r="BS131" i="2"/>
  <c r="BR131" i="2"/>
  <c r="BQ131" i="2"/>
  <c r="BP131" i="2"/>
  <c r="BO131" i="2"/>
  <c r="BN131" i="2"/>
  <c r="BM131" i="2"/>
  <c r="BL131" i="2"/>
  <c r="BK131" i="2"/>
  <c r="BJ131" i="2"/>
  <c r="BI131" i="2"/>
  <c r="BH131" i="2"/>
  <c r="BG131" i="2"/>
  <c r="BF131" i="2"/>
  <c r="BE131" i="2"/>
  <c r="BD131" i="2"/>
  <c r="BC131" i="2"/>
  <c r="BB131" i="2"/>
  <c r="BZ131" i="2" s="1"/>
  <c r="BA131" i="2"/>
  <c r="AZ131" i="2"/>
  <c r="AY131" i="2"/>
  <c r="AX131" i="2"/>
  <c r="AW131" i="2"/>
  <c r="CA130" i="2"/>
  <c r="BY130" i="2"/>
  <c r="BX130" i="2"/>
  <c r="BW130" i="2"/>
  <c r="BV130" i="2"/>
  <c r="BU130" i="2"/>
  <c r="BT130" i="2"/>
  <c r="BS130" i="2"/>
  <c r="BR130" i="2"/>
  <c r="BQ130" i="2"/>
  <c r="BP130" i="2"/>
  <c r="BO130" i="2"/>
  <c r="BN130" i="2"/>
  <c r="BM130" i="2"/>
  <c r="BL130" i="2"/>
  <c r="BK130" i="2"/>
  <c r="BJ130" i="2"/>
  <c r="BI130" i="2"/>
  <c r="BH130" i="2"/>
  <c r="BG130" i="2"/>
  <c r="BF130" i="2"/>
  <c r="BE130" i="2"/>
  <c r="BD130" i="2"/>
  <c r="BC130" i="2"/>
  <c r="BB130" i="2"/>
  <c r="BZ130" i="2" s="1"/>
  <c r="CC130" i="2" s="1"/>
  <c r="BA130" i="2"/>
  <c r="AZ130" i="2"/>
  <c r="AY130" i="2"/>
  <c r="AX130" i="2"/>
  <c r="AW130" i="2"/>
  <c r="CA129" i="2"/>
  <c r="BY129" i="2"/>
  <c r="BX129" i="2"/>
  <c r="BW129" i="2"/>
  <c r="BV129" i="2"/>
  <c r="BU129" i="2"/>
  <c r="BT129" i="2"/>
  <c r="BS129" i="2"/>
  <c r="BR129" i="2"/>
  <c r="BQ129" i="2"/>
  <c r="BP129" i="2"/>
  <c r="BO129" i="2"/>
  <c r="BN129" i="2"/>
  <c r="BM129" i="2"/>
  <c r="BL129" i="2"/>
  <c r="BK129" i="2"/>
  <c r="BJ129" i="2"/>
  <c r="BI129" i="2"/>
  <c r="BH129" i="2"/>
  <c r="BG129" i="2"/>
  <c r="BF129" i="2"/>
  <c r="BE129" i="2"/>
  <c r="BD129" i="2"/>
  <c r="BC129" i="2"/>
  <c r="BB129" i="2"/>
  <c r="BZ129" i="2" s="1"/>
  <c r="CC129" i="2" s="1"/>
  <c r="BA129" i="2"/>
  <c r="AZ129" i="2"/>
  <c r="AY129" i="2"/>
  <c r="AX129" i="2"/>
  <c r="AW129" i="2"/>
  <c r="CA128" i="2"/>
  <c r="BY128" i="2"/>
  <c r="BX128" i="2"/>
  <c r="BW128" i="2"/>
  <c r="BV128" i="2"/>
  <c r="BU128" i="2"/>
  <c r="BT128" i="2"/>
  <c r="BS128" i="2"/>
  <c r="BR128" i="2"/>
  <c r="BQ128" i="2"/>
  <c r="BP128" i="2"/>
  <c r="BO128" i="2"/>
  <c r="BN128" i="2"/>
  <c r="BM128" i="2"/>
  <c r="BL128" i="2"/>
  <c r="BK128" i="2"/>
  <c r="BJ128" i="2"/>
  <c r="BI128" i="2"/>
  <c r="BH128" i="2"/>
  <c r="BG128" i="2"/>
  <c r="BF128" i="2"/>
  <c r="BE128" i="2"/>
  <c r="BD128" i="2"/>
  <c r="BC128" i="2"/>
  <c r="BB128" i="2"/>
  <c r="BZ128" i="2" s="1"/>
  <c r="CC128" i="2" s="1"/>
  <c r="BA128" i="2"/>
  <c r="AZ128" i="2"/>
  <c r="AY128" i="2"/>
  <c r="AX128" i="2"/>
  <c r="AW128" i="2"/>
  <c r="CA127" i="2"/>
  <c r="BY127" i="2"/>
  <c r="BX127" i="2"/>
  <c r="BW127" i="2"/>
  <c r="BV127" i="2"/>
  <c r="BU127" i="2"/>
  <c r="BT127" i="2"/>
  <c r="BS127" i="2"/>
  <c r="BR127" i="2"/>
  <c r="BQ127" i="2"/>
  <c r="BP127" i="2"/>
  <c r="BO127" i="2"/>
  <c r="BN127" i="2"/>
  <c r="BM127" i="2"/>
  <c r="BL127" i="2"/>
  <c r="BK127" i="2"/>
  <c r="BJ127" i="2"/>
  <c r="BI127" i="2"/>
  <c r="BH127" i="2"/>
  <c r="BG127" i="2"/>
  <c r="BF127" i="2"/>
  <c r="BE127" i="2"/>
  <c r="BD127" i="2"/>
  <c r="BC127" i="2"/>
  <c r="BB127" i="2"/>
  <c r="BZ127" i="2" s="1"/>
  <c r="BA127" i="2"/>
  <c r="AZ127" i="2"/>
  <c r="AY127" i="2"/>
  <c r="AX127" i="2"/>
  <c r="AW127" i="2"/>
  <c r="CA126" i="2"/>
  <c r="BY126" i="2"/>
  <c r="BX126" i="2"/>
  <c r="BW126" i="2"/>
  <c r="BV126" i="2"/>
  <c r="BU126" i="2"/>
  <c r="BT126" i="2"/>
  <c r="BS126" i="2"/>
  <c r="BR126" i="2"/>
  <c r="BQ126" i="2"/>
  <c r="BP126" i="2"/>
  <c r="BO126" i="2"/>
  <c r="BN126" i="2"/>
  <c r="BM126" i="2"/>
  <c r="BL126" i="2"/>
  <c r="BK126" i="2"/>
  <c r="BJ126" i="2"/>
  <c r="BI126" i="2"/>
  <c r="BH126" i="2"/>
  <c r="BG126" i="2"/>
  <c r="BF126" i="2"/>
  <c r="BE126" i="2"/>
  <c r="BD126" i="2"/>
  <c r="BC126" i="2"/>
  <c r="BB126" i="2"/>
  <c r="BZ126" i="2" s="1"/>
  <c r="CC126" i="2" s="1"/>
  <c r="BA126" i="2"/>
  <c r="AZ126" i="2"/>
  <c r="AY126" i="2"/>
  <c r="AX126" i="2"/>
  <c r="AW126" i="2"/>
  <c r="CA125" i="2"/>
  <c r="BY125" i="2"/>
  <c r="BX125" i="2"/>
  <c r="BW125" i="2"/>
  <c r="BV125" i="2"/>
  <c r="BU125" i="2"/>
  <c r="BT125" i="2"/>
  <c r="BS125" i="2"/>
  <c r="BR125" i="2"/>
  <c r="BQ125" i="2"/>
  <c r="BP125" i="2"/>
  <c r="BO125" i="2"/>
  <c r="BN125" i="2"/>
  <c r="BM125" i="2"/>
  <c r="BL125" i="2"/>
  <c r="BK125" i="2"/>
  <c r="BJ125" i="2"/>
  <c r="BI125" i="2"/>
  <c r="BH125" i="2"/>
  <c r="BG125" i="2"/>
  <c r="BF125" i="2"/>
  <c r="BE125" i="2"/>
  <c r="BD125" i="2"/>
  <c r="BC125" i="2"/>
  <c r="BB125" i="2"/>
  <c r="BZ125" i="2" s="1"/>
  <c r="BA125" i="2"/>
  <c r="AZ125" i="2"/>
  <c r="AY125" i="2"/>
  <c r="AX125" i="2"/>
  <c r="AW125" i="2"/>
  <c r="CA124" i="2"/>
  <c r="BY124" i="2"/>
  <c r="BX124" i="2"/>
  <c r="BW124" i="2"/>
  <c r="BV124" i="2"/>
  <c r="BU124" i="2"/>
  <c r="BT124" i="2"/>
  <c r="BS124" i="2"/>
  <c r="BR124" i="2"/>
  <c r="BQ124" i="2"/>
  <c r="BP124" i="2"/>
  <c r="BO124" i="2"/>
  <c r="BN124" i="2"/>
  <c r="BM124" i="2"/>
  <c r="BL124" i="2"/>
  <c r="BK124" i="2"/>
  <c r="BJ124" i="2"/>
  <c r="BI124" i="2"/>
  <c r="BH124" i="2"/>
  <c r="BG124" i="2"/>
  <c r="BF124" i="2"/>
  <c r="BE124" i="2"/>
  <c r="BD124" i="2"/>
  <c r="BC124" i="2"/>
  <c r="BB124" i="2"/>
  <c r="BZ124" i="2" s="1"/>
  <c r="BA124" i="2"/>
  <c r="AZ124" i="2"/>
  <c r="AY124" i="2"/>
  <c r="AX124" i="2"/>
  <c r="AW124" i="2"/>
  <c r="CA123" i="2"/>
  <c r="BY123" i="2"/>
  <c r="BX123" i="2"/>
  <c r="BW123" i="2"/>
  <c r="BV123" i="2"/>
  <c r="BU123" i="2"/>
  <c r="BT123" i="2"/>
  <c r="BS123" i="2"/>
  <c r="BR123" i="2"/>
  <c r="BQ123" i="2"/>
  <c r="BP123" i="2"/>
  <c r="BO123" i="2"/>
  <c r="BN123" i="2"/>
  <c r="BM123" i="2"/>
  <c r="BL123" i="2"/>
  <c r="BK123" i="2"/>
  <c r="BJ123" i="2"/>
  <c r="BI123" i="2"/>
  <c r="BH123" i="2"/>
  <c r="BG123" i="2"/>
  <c r="BF123" i="2"/>
  <c r="BE123" i="2"/>
  <c r="BD123" i="2"/>
  <c r="BC123" i="2"/>
  <c r="BB123" i="2"/>
  <c r="BZ123" i="2" s="1"/>
  <c r="BA123" i="2"/>
  <c r="AZ123" i="2"/>
  <c r="AY123" i="2"/>
  <c r="AX123" i="2"/>
  <c r="AW123" i="2"/>
  <c r="CA122" i="2"/>
  <c r="BY122" i="2"/>
  <c r="BX122" i="2"/>
  <c r="BW122" i="2"/>
  <c r="BV122" i="2"/>
  <c r="BU122" i="2"/>
  <c r="BT122" i="2"/>
  <c r="BS122" i="2"/>
  <c r="BR122" i="2"/>
  <c r="BQ122" i="2"/>
  <c r="BP122" i="2"/>
  <c r="BO122" i="2"/>
  <c r="BN122" i="2"/>
  <c r="BM122" i="2"/>
  <c r="BL122" i="2"/>
  <c r="BK122" i="2"/>
  <c r="BJ122" i="2"/>
  <c r="BI122" i="2"/>
  <c r="BH122" i="2"/>
  <c r="BG122" i="2"/>
  <c r="BF122" i="2"/>
  <c r="BE122" i="2"/>
  <c r="BD122" i="2"/>
  <c r="BC122" i="2"/>
  <c r="BB122" i="2"/>
  <c r="BZ122" i="2" s="1"/>
  <c r="CC122" i="2" s="1"/>
  <c r="BA122" i="2"/>
  <c r="AZ122" i="2"/>
  <c r="AY122" i="2"/>
  <c r="AX122" i="2"/>
  <c r="AW122" i="2"/>
  <c r="CA121" i="2"/>
  <c r="BY121" i="2"/>
  <c r="BX121" i="2"/>
  <c r="BW121" i="2"/>
  <c r="BV121" i="2"/>
  <c r="BU121" i="2"/>
  <c r="BT121" i="2"/>
  <c r="BS121" i="2"/>
  <c r="BR121" i="2"/>
  <c r="BQ121" i="2"/>
  <c r="BP121" i="2"/>
  <c r="BO121" i="2"/>
  <c r="BN121" i="2"/>
  <c r="BM121" i="2"/>
  <c r="BL121" i="2"/>
  <c r="BK121" i="2"/>
  <c r="BJ121" i="2"/>
  <c r="BI121" i="2"/>
  <c r="BH121" i="2"/>
  <c r="BG121" i="2"/>
  <c r="BF121" i="2"/>
  <c r="BE121" i="2"/>
  <c r="BD121" i="2"/>
  <c r="BC121" i="2"/>
  <c r="BB121" i="2"/>
  <c r="BZ121" i="2" s="1"/>
  <c r="BA121" i="2"/>
  <c r="AZ121" i="2"/>
  <c r="AY121" i="2"/>
  <c r="AX121" i="2"/>
  <c r="AW121" i="2"/>
  <c r="CA120" i="2"/>
  <c r="BY120" i="2"/>
  <c r="BX120" i="2"/>
  <c r="BW120" i="2"/>
  <c r="BV120" i="2"/>
  <c r="BU120" i="2"/>
  <c r="BT120" i="2"/>
  <c r="BS120" i="2"/>
  <c r="BR120" i="2"/>
  <c r="BQ120" i="2"/>
  <c r="BP120" i="2"/>
  <c r="BO120" i="2"/>
  <c r="BN120" i="2"/>
  <c r="BM120" i="2"/>
  <c r="BL120" i="2"/>
  <c r="BK120" i="2"/>
  <c r="BJ120" i="2"/>
  <c r="BI120" i="2"/>
  <c r="BH120" i="2"/>
  <c r="BG120" i="2"/>
  <c r="BF120" i="2"/>
  <c r="BE120" i="2"/>
  <c r="BD120" i="2"/>
  <c r="BC120" i="2"/>
  <c r="BB120" i="2"/>
  <c r="BZ120" i="2" s="1"/>
  <c r="BA120" i="2"/>
  <c r="AZ120" i="2"/>
  <c r="AY120" i="2"/>
  <c r="AX120" i="2"/>
  <c r="AW120" i="2"/>
  <c r="CA119" i="2"/>
  <c r="BY119" i="2"/>
  <c r="BX119" i="2"/>
  <c r="BW119" i="2"/>
  <c r="BV119" i="2"/>
  <c r="BU119" i="2"/>
  <c r="BT119" i="2"/>
  <c r="BS119" i="2"/>
  <c r="BR119" i="2"/>
  <c r="BQ119" i="2"/>
  <c r="BP119" i="2"/>
  <c r="BO119" i="2"/>
  <c r="BN119" i="2"/>
  <c r="BM119" i="2"/>
  <c r="BL119" i="2"/>
  <c r="BK119" i="2"/>
  <c r="BJ119" i="2"/>
  <c r="BI119" i="2"/>
  <c r="BH119" i="2"/>
  <c r="BG119" i="2"/>
  <c r="BF119" i="2"/>
  <c r="BE119" i="2"/>
  <c r="BD119" i="2"/>
  <c r="BC119" i="2"/>
  <c r="BB119" i="2"/>
  <c r="BZ119" i="2" s="1"/>
  <c r="CC119" i="2" s="1"/>
  <c r="BA119" i="2"/>
  <c r="AZ119" i="2"/>
  <c r="AY119" i="2"/>
  <c r="AX119" i="2"/>
  <c r="AW119" i="2"/>
  <c r="CA118" i="2"/>
  <c r="BY118" i="2"/>
  <c r="BX118" i="2"/>
  <c r="BW118" i="2"/>
  <c r="BV118" i="2"/>
  <c r="BU118" i="2"/>
  <c r="BT118" i="2"/>
  <c r="BS118" i="2"/>
  <c r="BR118" i="2"/>
  <c r="BQ118" i="2"/>
  <c r="BP118" i="2"/>
  <c r="BO118" i="2"/>
  <c r="BN118" i="2"/>
  <c r="BM118" i="2"/>
  <c r="BL118" i="2"/>
  <c r="BK118" i="2"/>
  <c r="BJ118" i="2"/>
  <c r="BI118" i="2"/>
  <c r="BH118" i="2"/>
  <c r="BG118" i="2"/>
  <c r="BF118" i="2"/>
  <c r="BE118" i="2"/>
  <c r="BD118" i="2"/>
  <c r="BC118" i="2"/>
  <c r="BB118" i="2"/>
  <c r="BZ118" i="2" s="1"/>
  <c r="CC118" i="2" s="1"/>
  <c r="BA118" i="2"/>
  <c r="AZ118" i="2"/>
  <c r="AY118" i="2"/>
  <c r="AX118" i="2"/>
  <c r="AW118" i="2"/>
  <c r="CA117" i="2"/>
  <c r="BY117" i="2"/>
  <c r="BX117" i="2"/>
  <c r="BW117" i="2"/>
  <c r="BV117" i="2"/>
  <c r="BU117" i="2"/>
  <c r="BT117" i="2"/>
  <c r="BS117" i="2"/>
  <c r="BR117" i="2"/>
  <c r="BQ117" i="2"/>
  <c r="BP117" i="2"/>
  <c r="BO117" i="2"/>
  <c r="BN117" i="2"/>
  <c r="BM117" i="2"/>
  <c r="BL117" i="2"/>
  <c r="BK117" i="2"/>
  <c r="BJ117" i="2"/>
  <c r="BI117" i="2"/>
  <c r="BH117" i="2"/>
  <c r="BG117" i="2"/>
  <c r="BF117" i="2"/>
  <c r="BE117" i="2"/>
  <c r="BD117" i="2"/>
  <c r="BC117" i="2"/>
  <c r="BB117" i="2"/>
  <c r="BZ117" i="2" s="1"/>
  <c r="BA117" i="2"/>
  <c r="AZ117" i="2"/>
  <c r="AY117" i="2"/>
  <c r="AX117" i="2"/>
  <c r="AW117" i="2"/>
  <c r="CA116" i="2"/>
  <c r="BY116" i="2"/>
  <c r="BX116" i="2"/>
  <c r="BW116" i="2"/>
  <c r="BV116" i="2"/>
  <c r="BU116" i="2"/>
  <c r="BT116" i="2"/>
  <c r="BS116" i="2"/>
  <c r="BR116" i="2"/>
  <c r="BQ116" i="2"/>
  <c r="BP116" i="2"/>
  <c r="BO116" i="2"/>
  <c r="BN116" i="2"/>
  <c r="BM116" i="2"/>
  <c r="BL116" i="2"/>
  <c r="BK116" i="2"/>
  <c r="BJ116" i="2"/>
  <c r="BI116" i="2"/>
  <c r="BH116" i="2"/>
  <c r="BG116" i="2"/>
  <c r="BF116" i="2"/>
  <c r="BE116" i="2"/>
  <c r="BD116" i="2"/>
  <c r="BC116" i="2"/>
  <c r="BB116" i="2"/>
  <c r="BZ116" i="2" s="1"/>
  <c r="BA116" i="2"/>
  <c r="AZ116" i="2"/>
  <c r="AY116" i="2"/>
  <c r="AX116" i="2"/>
  <c r="AW116" i="2"/>
  <c r="CA115" i="2"/>
  <c r="BY115" i="2"/>
  <c r="BX115" i="2"/>
  <c r="BW115" i="2"/>
  <c r="BV115" i="2"/>
  <c r="BU115" i="2"/>
  <c r="BT115" i="2"/>
  <c r="BS115" i="2"/>
  <c r="BR115" i="2"/>
  <c r="BQ115" i="2"/>
  <c r="BP115" i="2"/>
  <c r="BO115" i="2"/>
  <c r="BN115" i="2"/>
  <c r="BM115" i="2"/>
  <c r="BL115" i="2"/>
  <c r="BK115" i="2"/>
  <c r="BJ115" i="2"/>
  <c r="BI115" i="2"/>
  <c r="BH115" i="2"/>
  <c r="BG115" i="2"/>
  <c r="BF115" i="2"/>
  <c r="BE115" i="2"/>
  <c r="BD115" i="2"/>
  <c r="BC115" i="2"/>
  <c r="BB115" i="2"/>
  <c r="BZ115" i="2" s="1"/>
  <c r="CC115" i="2" s="1"/>
  <c r="BA115" i="2"/>
  <c r="AZ115" i="2"/>
  <c r="AY115" i="2"/>
  <c r="AX115" i="2"/>
  <c r="AW115" i="2"/>
  <c r="CA114" i="2"/>
  <c r="BY114" i="2"/>
  <c r="BX114" i="2"/>
  <c r="BW114" i="2"/>
  <c r="BV114" i="2"/>
  <c r="BU114" i="2"/>
  <c r="BT114" i="2"/>
  <c r="BS114" i="2"/>
  <c r="BR114" i="2"/>
  <c r="BQ114" i="2"/>
  <c r="BP114" i="2"/>
  <c r="BO114" i="2"/>
  <c r="BN114" i="2"/>
  <c r="BM114" i="2"/>
  <c r="BL114" i="2"/>
  <c r="BK114" i="2"/>
  <c r="BJ114" i="2"/>
  <c r="BI114" i="2"/>
  <c r="BH114" i="2"/>
  <c r="BG114" i="2"/>
  <c r="BF114" i="2"/>
  <c r="BE114" i="2"/>
  <c r="BD114" i="2"/>
  <c r="BC114" i="2"/>
  <c r="BB114" i="2"/>
  <c r="BZ114" i="2" s="1"/>
  <c r="BA114" i="2"/>
  <c r="AZ114" i="2"/>
  <c r="AY114" i="2"/>
  <c r="AX114" i="2"/>
  <c r="AW114" i="2"/>
  <c r="CA113" i="2"/>
  <c r="BY113" i="2"/>
  <c r="BX113" i="2"/>
  <c r="BW113" i="2"/>
  <c r="BV113" i="2"/>
  <c r="BU113" i="2"/>
  <c r="BT113" i="2"/>
  <c r="BS113" i="2"/>
  <c r="BR113" i="2"/>
  <c r="BQ113" i="2"/>
  <c r="BP113" i="2"/>
  <c r="BO113" i="2"/>
  <c r="BN113" i="2"/>
  <c r="BM113" i="2"/>
  <c r="BL113" i="2"/>
  <c r="BK113" i="2"/>
  <c r="BJ113" i="2"/>
  <c r="BI113" i="2"/>
  <c r="BH113" i="2"/>
  <c r="BG113" i="2"/>
  <c r="BF113" i="2"/>
  <c r="BE113" i="2"/>
  <c r="BD113" i="2"/>
  <c r="BC113" i="2"/>
  <c r="BB113" i="2"/>
  <c r="BZ113" i="2" s="1"/>
  <c r="CC113" i="2" s="1"/>
  <c r="BA113" i="2"/>
  <c r="AZ113" i="2"/>
  <c r="AY113" i="2"/>
  <c r="AX113" i="2"/>
  <c r="AW113" i="2"/>
  <c r="CA112" i="2"/>
  <c r="BY112" i="2"/>
  <c r="BX112" i="2"/>
  <c r="BW112" i="2"/>
  <c r="BV112" i="2"/>
  <c r="BU112" i="2"/>
  <c r="BT112" i="2"/>
  <c r="BS112" i="2"/>
  <c r="BR112" i="2"/>
  <c r="BQ112" i="2"/>
  <c r="BP112" i="2"/>
  <c r="BO112" i="2"/>
  <c r="BN112" i="2"/>
  <c r="BM112" i="2"/>
  <c r="BL112" i="2"/>
  <c r="BK112" i="2"/>
  <c r="BJ112" i="2"/>
  <c r="BI112" i="2"/>
  <c r="BH112" i="2"/>
  <c r="BG112" i="2"/>
  <c r="BF112" i="2"/>
  <c r="BE112" i="2"/>
  <c r="BD112" i="2"/>
  <c r="BC112" i="2"/>
  <c r="BB112" i="2"/>
  <c r="BZ112" i="2" s="1"/>
  <c r="CC112" i="2" s="1"/>
  <c r="BA112" i="2"/>
  <c r="AZ112" i="2"/>
  <c r="AY112" i="2"/>
  <c r="AX112" i="2"/>
  <c r="AW112" i="2"/>
  <c r="CA111" i="2"/>
  <c r="BY111" i="2"/>
  <c r="BX111" i="2"/>
  <c r="BW111" i="2"/>
  <c r="BV111" i="2"/>
  <c r="BU111" i="2"/>
  <c r="BT111" i="2"/>
  <c r="BS111" i="2"/>
  <c r="BR111" i="2"/>
  <c r="BQ111" i="2"/>
  <c r="BP111" i="2"/>
  <c r="BO111" i="2"/>
  <c r="BN111" i="2"/>
  <c r="BM111" i="2"/>
  <c r="BL111" i="2"/>
  <c r="BK111" i="2"/>
  <c r="BJ111" i="2"/>
  <c r="BI111" i="2"/>
  <c r="BH111" i="2"/>
  <c r="BG111" i="2"/>
  <c r="BF111" i="2"/>
  <c r="BE111" i="2"/>
  <c r="BD111" i="2"/>
  <c r="BC111" i="2"/>
  <c r="BB111" i="2"/>
  <c r="BZ111" i="2" s="1"/>
  <c r="CC111" i="2" s="1"/>
  <c r="BA111" i="2"/>
  <c r="AZ111" i="2"/>
  <c r="AY111" i="2"/>
  <c r="AX111" i="2"/>
  <c r="AW111" i="2"/>
  <c r="CA110" i="2"/>
  <c r="BY110" i="2"/>
  <c r="BX110" i="2"/>
  <c r="BW110" i="2"/>
  <c r="BV110" i="2"/>
  <c r="BU110" i="2"/>
  <c r="BT110" i="2"/>
  <c r="BS110" i="2"/>
  <c r="BR110" i="2"/>
  <c r="BQ110" i="2"/>
  <c r="BP110" i="2"/>
  <c r="BO110" i="2"/>
  <c r="BN110" i="2"/>
  <c r="BM110" i="2"/>
  <c r="BL110" i="2"/>
  <c r="BK110" i="2"/>
  <c r="BJ110" i="2"/>
  <c r="BI110" i="2"/>
  <c r="BH110" i="2"/>
  <c r="BG110" i="2"/>
  <c r="BF110" i="2"/>
  <c r="BE110" i="2"/>
  <c r="BD110" i="2"/>
  <c r="BC110" i="2"/>
  <c r="BB110" i="2"/>
  <c r="BZ110" i="2" s="1"/>
  <c r="BA110" i="2"/>
  <c r="AZ110" i="2"/>
  <c r="AY110" i="2"/>
  <c r="AX110" i="2"/>
  <c r="AW110" i="2"/>
  <c r="CA109" i="2"/>
  <c r="BY109" i="2"/>
  <c r="BX109" i="2"/>
  <c r="BW109" i="2"/>
  <c r="BV109" i="2"/>
  <c r="BU109" i="2"/>
  <c r="BT109" i="2"/>
  <c r="BS109" i="2"/>
  <c r="BR109" i="2"/>
  <c r="BQ109" i="2"/>
  <c r="BP109" i="2"/>
  <c r="BO109" i="2"/>
  <c r="BN109" i="2"/>
  <c r="BM109" i="2"/>
  <c r="BL109" i="2"/>
  <c r="BK109" i="2"/>
  <c r="BJ109" i="2"/>
  <c r="BI109" i="2"/>
  <c r="BH109" i="2"/>
  <c r="BG109" i="2"/>
  <c r="BF109" i="2"/>
  <c r="BE109" i="2"/>
  <c r="BD109" i="2"/>
  <c r="BC109" i="2"/>
  <c r="BB109" i="2"/>
  <c r="BZ109" i="2" s="1"/>
  <c r="CC109" i="2" s="1"/>
  <c r="BA109" i="2"/>
  <c r="AZ109" i="2"/>
  <c r="AY109" i="2"/>
  <c r="AX109" i="2"/>
  <c r="AW109" i="2"/>
  <c r="CA108" i="2"/>
  <c r="BY108" i="2"/>
  <c r="BX108" i="2"/>
  <c r="BW108" i="2"/>
  <c r="BV108" i="2"/>
  <c r="BU108" i="2"/>
  <c r="BT108" i="2"/>
  <c r="BS108" i="2"/>
  <c r="BR108" i="2"/>
  <c r="BQ108" i="2"/>
  <c r="BP108" i="2"/>
  <c r="BO108" i="2"/>
  <c r="BN108" i="2"/>
  <c r="BM108" i="2"/>
  <c r="BL108" i="2"/>
  <c r="BK108" i="2"/>
  <c r="BJ108" i="2"/>
  <c r="BI108" i="2"/>
  <c r="BH108" i="2"/>
  <c r="BG108" i="2"/>
  <c r="BF108" i="2"/>
  <c r="BE108" i="2"/>
  <c r="BD108" i="2"/>
  <c r="BC108" i="2"/>
  <c r="BB108" i="2"/>
  <c r="BZ108" i="2" s="1"/>
  <c r="CC108" i="2" s="1"/>
  <c r="BA108" i="2"/>
  <c r="AZ108" i="2"/>
  <c r="AY108" i="2"/>
  <c r="AX108" i="2"/>
  <c r="AW108" i="2"/>
  <c r="CA107" i="2"/>
  <c r="BY107" i="2"/>
  <c r="BX107" i="2"/>
  <c r="BW107" i="2"/>
  <c r="BV107" i="2"/>
  <c r="BU107" i="2"/>
  <c r="BT107" i="2"/>
  <c r="BS107" i="2"/>
  <c r="BR107" i="2"/>
  <c r="BQ107" i="2"/>
  <c r="BP107" i="2"/>
  <c r="BO107" i="2"/>
  <c r="BN107" i="2"/>
  <c r="BM107" i="2"/>
  <c r="BL107" i="2"/>
  <c r="BK107" i="2"/>
  <c r="BJ107" i="2"/>
  <c r="BI107" i="2"/>
  <c r="BH107" i="2"/>
  <c r="BG107" i="2"/>
  <c r="BF107" i="2"/>
  <c r="BE107" i="2"/>
  <c r="BD107" i="2"/>
  <c r="BC107" i="2"/>
  <c r="BB107" i="2"/>
  <c r="BZ107" i="2" s="1"/>
  <c r="CC107" i="2" s="1"/>
  <c r="BA107" i="2"/>
  <c r="AZ107" i="2"/>
  <c r="AY107" i="2"/>
  <c r="AX107" i="2"/>
  <c r="AW107" i="2"/>
  <c r="CA106" i="2"/>
  <c r="BY106" i="2"/>
  <c r="BX106" i="2"/>
  <c r="BW106" i="2"/>
  <c r="BV106" i="2"/>
  <c r="BU106" i="2"/>
  <c r="BT106" i="2"/>
  <c r="BS106" i="2"/>
  <c r="BR106" i="2"/>
  <c r="BQ106" i="2"/>
  <c r="BP106" i="2"/>
  <c r="BO106" i="2"/>
  <c r="BN106" i="2"/>
  <c r="BM106" i="2"/>
  <c r="BL106" i="2"/>
  <c r="BK106" i="2"/>
  <c r="BJ106" i="2"/>
  <c r="BI106" i="2"/>
  <c r="BH106" i="2"/>
  <c r="BG106" i="2"/>
  <c r="BF106" i="2"/>
  <c r="BE106" i="2"/>
  <c r="BD106" i="2"/>
  <c r="BC106" i="2"/>
  <c r="BB106" i="2"/>
  <c r="BZ106" i="2" s="1"/>
  <c r="BA106" i="2"/>
  <c r="AZ106" i="2"/>
  <c r="AY106" i="2"/>
  <c r="AX106" i="2"/>
  <c r="AW106" i="2"/>
  <c r="CA105" i="2"/>
  <c r="BY105" i="2"/>
  <c r="BX105" i="2"/>
  <c r="BW105" i="2"/>
  <c r="BV105" i="2"/>
  <c r="BU105" i="2"/>
  <c r="BT105" i="2"/>
  <c r="BS105" i="2"/>
  <c r="BR105" i="2"/>
  <c r="BQ105" i="2"/>
  <c r="BP105" i="2"/>
  <c r="BO105" i="2"/>
  <c r="BN105" i="2"/>
  <c r="BM105" i="2"/>
  <c r="BL105" i="2"/>
  <c r="BK105" i="2"/>
  <c r="BJ105" i="2"/>
  <c r="BI105" i="2"/>
  <c r="BH105" i="2"/>
  <c r="BG105" i="2"/>
  <c r="BF105" i="2"/>
  <c r="BE105" i="2"/>
  <c r="BD105" i="2"/>
  <c r="BC105" i="2"/>
  <c r="BB105" i="2"/>
  <c r="BZ105" i="2" s="1"/>
  <c r="BA105" i="2"/>
  <c r="AZ105" i="2"/>
  <c r="AY105" i="2"/>
  <c r="AX105" i="2"/>
  <c r="AW105" i="2"/>
  <c r="CA104" i="2"/>
  <c r="BY104" i="2"/>
  <c r="BX104" i="2"/>
  <c r="BW104" i="2"/>
  <c r="BV104" i="2"/>
  <c r="BU104" i="2"/>
  <c r="BT104" i="2"/>
  <c r="BS104" i="2"/>
  <c r="BR104" i="2"/>
  <c r="BQ104" i="2"/>
  <c r="BP104" i="2"/>
  <c r="BO104" i="2"/>
  <c r="BN104" i="2"/>
  <c r="BM104" i="2"/>
  <c r="BL104" i="2"/>
  <c r="BK104" i="2"/>
  <c r="BJ104" i="2"/>
  <c r="BI104" i="2"/>
  <c r="BH104" i="2"/>
  <c r="BG104" i="2"/>
  <c r="BF104" i="2"/>
  <c r="BE104" i="2"/>
  <c r="BD104" i="2"/>
  <c r="BC104" i="2"/>
  <c r="BB104" i="2"/>
  <c r="BZ104" i="2" s="1"/>
  <c r="CC104" i="2" s="1"/>
  <c r="BA104" i="2"/>
  <c r="AZ104" i="2"/>
  <c r="AY104" i="2"/>
  <c r="AX104" i="2"/>
  <c r="AW104" i="2"/>
  <c r="CA103" i="2"/>
  <c r="BY103" i="2"/>
  <c r="BX103" i="2"/>
  <c r="BW103" i="2"/>
  <c r="BV103" i="2"/>
  <c r="BU103" i="2"/>
  <c r="BT103" i="2"/>
  <c r="BS103" i="2"/>
  <c r="BR103" i="2"/>
  <c r="BQ103" i="2"/>
  <c r="BP103" i="2"/>
  <c r="BO103" i="2"/>
  <c r="BN103" i="2"/>
  <c r="BM103" i="2"/>
  <c r="BL103" i="2"/>
  <c r="BK103" i="2"/>
  <c r="BJ103" i="2"/>
  <c r="BI103" i="2"/>
  <c r="BH103" i="2"/>
  <c r="BG103" i="2"/>
  <c r="BF103" i="2"/>
  <c r="BE103" i="2"/>
  <c r="BD103" i="2"/>
  <c r="BC103" i="2"/>
  <c r="BB103" i="2"/>
  <c r="BZ103" i="2" s="1"/>
  <c r="CC103" i="2" s="1"/>
  <c r="BA103" i="2"/>
  <c r="AZ103" i="2"/>
  <c r="AY103" i="2"/>
  <c r="AX103" i="2"/>
  <c r="AW103" i="2"/>
  <c r="CA102" i="2"/>
  <c r="BY102" i="2"/>
  <c r="BX102" i="2"/>
  <c r="BW102" i="2"/>
  <c r="BV102" i="2"/>
  <c r="BU102" i="2"/>
  <c r="BT102" i="2"/>
  <c r="BS102" i="2"/>
  <c r="BR102" i="2"/>
  <c r="BQ102" i="2"/>
  <c r="BP102" i="2"/>
  <c r="BO102" i="2"/>
  <c r="BN102" i="2"/>
  <c r="BM102" i="2"/>
  <c r="BL102" i="2"/>
  <c r="BK102" i="2"/>
  <c r="BJ102" i="2"/>
  <c r="BI102" i="2"/>
  <c r="BH102" i="2"/>
  <c r="BG102" i="2"/>
  <c r="BF102" i="2"/>
  <c r="BE102" i="2"/>
  <c r="BD102" i="2"/>
  <c r="BC102" i="2"/>
  <c r="BB102" i="2"/>
  <c r="BZ102" i="2" s="1"/>
  <c r="CC102" i="2" s="1"/>
  <c r="BA102" i="2"/>
  <c r="AZ102" i="2"/>
  <c r="AY102" i="2"/>
  <c r="AX102" i="2"/>
  <c r="AW102" i="2"/>
  <c r="CA101" i="2"/>
  <c r="BY101" i="2"/>
  <c r="BX101" i="2"/>
  <c r="BW101" i="2"/>
  <c r="BV101" i="2"/>
  <c r="BU101" i="2"/>
  <c r="BT101" i="2"/>
  <c r="BS101" i="2"/>
  <c r="BR101" i="2"/>
  <c r="BQ101" i="2"/>
  <c r="BP101" i="2"/>
  <c r="BO101" i="2"/>
  <c r="BN101" i="2"/>
  <c r="BM101" i="2"/>
  <c r="BL101" i="2"/>
  <c r="BK101" i="2"/>
  <c r="BJ101" i="2"/>
  <c r="BI101" i="2"/>
  <c r="BH101" i="2"/>
  <c r="BG101" i="2"/>
  <c r="BF101" i="2"/>
  <c r="BE101" i="2"/>
  <c r="BD101" i="2"/>
  <c r="BC101" i="2"/>
  <c r="BB101" i="2"/>
  <c r="BZ101" i="2" s="1"/>
  <c r="CC101" i="2" s="1"/>
  <c r="BA101" i="2"/>
  <c r="AZ101" i="2"/>
  <c r="AY101" i="2"/>
  <c r="AX101" i="2"/>
  <c r="AW101" i="2"/>
  <c r="CA100" i="2"/>
  <c r="BY100" i="2"/>
  <c r="BX100" i="2"/>
  <c r="BW100" i="2"/>
  <c r="BV100" i="2"/>
  <c r="BU100" i="2"/>
  <c r="BT100" i="2"/>
  <c r="BS100" i="2"/>
  <c r="BR100" i="2"/>
  <c r="BQ100" i="2"/>
  <c r="BP100" i="2"/>
  <c r="BO100" i="2"/>
  <c r="BN100" i="2"/>
  <c r="BM100" i="2"/>
  <c r="BL100" i="2"/>
  <c r="BK100" i="2"/>
  <c r="BJ100" i="2"/>
  <c r="BI100" i="2"/>
  <c r="BH100" i="2"/>
  <c r="BG100" i="2"/>
  <c r="BF100" i="2"/>
  <c r="BE100" i="2"/>
  <c r="BD100" i="2"/>
  <c r="BC100" i="2"/>
  <c r="BB100" i="2"/>
  <c r="BZ100" i="2" s="1"/>
  <c r="BA100" i="2"/>
  <c r="AZ100" i="2"/>
  <c r="AY100" i="2"/>
  <c r="AX100" i="2"/>
  <c r="AW100" i="2"/>
  <c r="CA99" i="2"/>
  <c r="BY99" i="2"/>
  <c r="BX99" i="2"/>
  <c r="BW99" i="2"/>
  <c r="BV99" i="2"/>
  <c r="BU99" i="2"/>
  <c r="BT99" i="2"/>
  <c r="BS99" i="2"/>
  <c r="BR99" i="2"/>
  <c r="BQ99" i="2"/>
  <c r="BP99" i="2"/>
  <c r="BO99" i="2"/>
  <c r="BN99" i="2"/>
  <c r="BM99" i="2"/>
  <c r="BL99" i="2"/>
  <c r="BK99" i="2"/>
  <c r="BJ99" i="2"/>
  <c r="BI99" i="2"/>
  <c r="BH99" i="2"/>
  <c r="BG99" i="2"/>
  <c r="BF99" i="2"/>
  <c r="BE99" i="2"/>
  <c r="BD99" i="2"/>
  <c r="BC99" i="2"/>
  <c r="BB99" i="2"/>
  <c r="BZ99" i="2" s="1"/>
  <c r="CC99" i="2" s="1"/>
  <c r="BA99" i="2"/>
  <c r="AZ99" i="2"/>
  <c r="AY99" i="2"/>
  <c r="AX99" i="2"/>
  <c r="AW99" i="2"/>
  <c r="CA98" i="2"/>
  <c r="BY98" i="2"/>
  <c r="BX98" i="2"/>
  <c r="BW98" i="2"/>
  <c r="BV98" i="2"/>
  <c r="BU98" i="2"/>
  <c r="BT98" i="2"/>
  <c r="BS98" i="2"/>
  <c r="BR98" i="2"/>
  <c r="BQ98" i="2"/>
  <c r="BP98" i="2"/>
  <c r="BO98" i="2"/>
  <c r="BN98" i="2"/>
  <c r="BM98" i="2"/>
  <c r="BL98" i="2"/>
  <c r="BK98" i="2"/>
  <c r="BJ98" i="2"/>
  <c r="BI98" i="2"/>
  <c r="BH98" i="2"/>
  <c r="BG98" i="2"/>
  <c r="BF98" i="2"/>
  <c r="BE98" i="2"/>
  <c r="BD98" i="2"/>
  <c r="BC98" i="2"/>
  <c r="BB98" i="2"/>
  <c r="BZ98" i="2" s="1"/>
  <c r="CC98" i="2" s="1"/>
  <c r="BA98" i="2"/>
  <c r="AZ98" i="2"/>
  <c r="AY98" i="2"/>
  <c r="AX98" i="2"/>
  <c r="AW98" i="2"/>
  <c r="CA97" i="2"/>
  <c r="BY97" i="2"/>
  <c r="BX97" i="2"/>
  <c r="BW97" i="2"/>
  <c r="BV97" i="2"/>
  <c r="BU97" i="2"/>
  <c r="BT97" i="2"/>
  <c r="BS97" i="2"/>
  <c r="BR97" i="2"/>
  <c r="BQ97" i="2"/>
  <c r="BP97" i="2"/>
  <c r="BO97" i="2"/>
  <c r="BN97" i="2"/>
  <c r="BM97" i="2"/>
  <c r="BL97" i="2"/>
  <c r="BK97" i="2"/>
  <c r="BJ97" i="2"/>
  <c r="BI97" i="2"/>
  <c r="BH97" i="2"/>
  <c r="BG97" i="2"/>
  <c r="BF97" i="2"/>
  <c r="BE97" i="2"/>
  <c r="BD97" i="2"/>
  <c r="BC97" i="2"/>
  <c r="BB97" i="2"/>
  <c r="BZ97" i="2" s="1"/>
  <c r="BA97" i="2"/>
  <c r="AZ97" i="2"/>
  <c r="AY97" i="2"/>
  <c r="AX97" i="2"/>
  <c r="AW97" i="2"/>
  <c r="CA96" i="2"/>
  <c r="BY96" i="2"/>
  <c r="BX96" i="2"/>
  <c r="BW96" i="2"/>
  <c r="BV96" i="2"/>
  <c r="BU96" i="2"/>
  <c r="BT96" i="2"/>
  <c r="BS96" i="2"/>
  <c r="BR96" i="2"/>
  <c r="BQ96" i="2"/>
  <c r="BP96" i="2"/>
  <c r="BO96" i="2"/>
  <c r="BN96" i="2"/>
  <c r="BM96" i="2"/>
  <c r="BL96" i="2"/>
  <c r="BK96" i="2"/>
  <c r="BJ96" i="2"/>
  <c r="BI96" i="2"/>
  <c r="BH96" i="2"/>
  <c r="BG96" i="2"/>
  <c r="BF96" i="2"/>
  <c r="BE96" i="2"/>
  <c r="BD96" i="2"/>
  <c r="BC96" i="2"/>
  <c r="BB96" i="2"/>
  <c r="BZ96" i="2" s="1"/>
  <c r="CC96" i="2" s="1"/>
  <c r="BA96" i="2"/>
  <c r="AZ96" i="2"/>
  <c r="AY96" i="2"/>
  <c r="AX96" i="2"/>
  <c r="AW96" i="2"/>
  <c r="CA95" i="2"/>
  <c r="BY95" i="2"/>
  <c r="BX95" i="2"/>
  <c r="BW95" i="2"/>
  <c r="BV95" i="2"/>
  <c r="BU95" i="2"/>
  <c r="BT95" i="2"/>
  <c r="BS95" i="2"/>
  <c r="BR95" i="2"/>
  <c r="BQ95" i="2"/>
  <c r="BP95" i="2"/>
  <c r="BO95" i="2"/>
  <c r="BN95" i="2"/>
  <c r="BM95" i="2"/>
  <c r="BL95" i="2"/>
  <c r="BK95" i="2"/>
  <c r="BJ95" i="2"/>
  <c r="BI95" i="2"/>
  <c r="BH95" i="2"/>
  <c r="BG95" i="2"/>
  <c r="BF95" i="2"/>
  <c r="BE95" i="2"/>
  <c r="BD95" i="2"/>
  <c r="BC95" i="2"/>
  <c r="BB95" i="2"/>
  <c r="BZ95" i="2" s="1"/>
  <c r="CC95" i="2" s="1"/>
  <c r="BA95" i="2"/>
  <c r="AZ95" i="2"/>
  <c r="AY95" i="2"/>
  <c r="AX95" i="2"/>
  <c r="AW95" i="2"/>
  <c r="CA94" i="2"/>
  <c r="BY94" i="2"/>
  <c r="BX94" i="2"/>
  <c r="BW94" i="2"/>
  <c r="BV94" i="2"/>
  <c r="BU94" i="2"/>
  <c r="BT94" i="2"/>
  <c r="BS94" i="2"/>
  <c r="BR94" i="2"/>
  <c r="BQ94" i="2"/>
  <c r="BP94" i="2"/>
  <c r="BO94" i="2"/>
  <c r="BN94" i="2"/>
  <c r="BM94" i="2"/>
  <c r="BL94" i="2"/>
  <c r="BK94" i="2"/>
  <c r="BJ94" i="2"/>
  <c r="BI94" i="2"/>
  <c r="BH94" i="2"/>
  <c r="BG94" i="2"/>
  <c r="BF94" i="2"/>
  <c r="BE94" i="2"/>
  <c r="BD94" i="2"/>
  <c r="BC94" i="2"/>
  <c r="BB94" i="2"/>
  <c r="BZ94" i="2" s="1"/>
  <c r="BA94" i="2"/>
  <c r="AZ94" i="2"/>
  <c r="AY94" i="2"/>
  <c r="AX94" i="2"/>
  <c r="AW94" i="2"/>
  <c r="CA93" i="2"/>
  <c r="BY93" i="2"/>
  <c r="BX93" i="2"/>
  <c r="BW93" i="2"/>
  <c r="BV93" i="2"/>
  <c r="BU93" i="2"/>
  <c r="BT93" i="2"/>
  <c r="BS93" i="2"/>
  <c r="BR93" i="2"/>
  <c r="BQ93" i="2"/>
  <c r="BP93" i="2"/>
  <c r="BO93" i="2"/>
  <c r="BN93" i="2"/>
  <c r="BM93" i="2"/>
  <c r="BL93" i="2"/>
  <c r="BK93" i="2"/>
  <c r="BJ93" i="2"/>
  <c r="BI93" i="2"/>
  <c r="BH93" i="2"/>
  <c r="BG93" i="2"/>
  <c r="BF93" i="2"/>
  <c r="BE93" i="2"/>
  <c r="BD93" i="2"/>
  <c r="BC93" i="2"/>
  <c r="BB93" i="2"/>
  <c r="BZ93" i="2" s="1"/>
  <c r="BA93" i="2"/>
  <c r="AZ93" i="2"/>
  <c r="AY93" i="2"/>
  <c r="AX93" i="2"/>
  <c r="AW93" i="2"/>
  <c r="CA92" i="2"/>
  <c r="BY92" i="2"/>
  <c r="BX92" i="2"/>
  <c r="BW92" i="2"/>
  <c r="BV92" i="2"/>
  <c r="BU92" i="2"/>
  <c r="BT92" i="2"/>
  <c r="BS92" i="2"/>
  <c r="BR92" i="2"/>
  <c r="BQ92" i="2"/>
  <c r="BP92" i="2"/>
  <c r="BO92" i="2"/>
  <c r="BN92" i="2"/>
  <c r="BM92" i="2"/>
  <c r="BL92" i="2"/>
  <c r="BK92" i="2"/>
  <c r="BJ92" i="2"/>
  <c r="BI92" i="2"/>
  <c r="BH92" i="2"/>
  <c r="BG92" i="2"/>
  <c r="BF92" i="2"/>
  <c r="BE92" i="2"/>
  <c r="BD92" i="2"/>
  <c r="BC92" i="2"/>
  <c r="BB92" i="2"/>
  <c r="BZ92" i="2" s="1"/>
  <c r="CC92" i="2" s="1"/>
  <c r="BA92" i="2"/>
  <c r="AZ92" i="2"/>
  <c r="AY92" i="2"/>
  <c r="AX92" i="2"/>
  <c r="AW92" i="2"/>
  <c r="CA91" i="2"/>
  <c r="BY91" i="2"/>
  <c r="BX91" i="2"/>
  <c r="BW91" i="2"/>
  <c r="BV91" i="2"/>
  <c r="BU91" i="2"/>
  <c r="BT91" i="2"/>
  <c r="BS91" i="2"/>
  <c r="BR91" i="2"/>
  <c r="BQ91" i="2"/>
  <c r="BP91" i="2"/>
  <c r="BO91" i="2"/>
  <c r="BN91" i="2"/>
  <c r="BM91" i="2"/>
  <c r="BL91" i="2"/>
  <c r="BK91" i="2"/>
  <c r="BJ91" i="2"/>
  <c r="BI91" i="2"/>
  <c r="BH91" i="2"/>
  <c r="BG91" i="2"/>
  <c r="BF91" i="2"/>
  <c r="BE91" i="2"/>
  <c r="BD91" i="2"/>
  <c r="BC91" i="2"/>
  <c r="BB91" i="2"/>
  <c r="BZ91" i="2" s="1"/>
  <c r="CC91" i="2" s="1"/>
  <c r="BA91" i="2"/>
  <c r="AZ91" i="2"/>
  <c r="AY91" i="2"/>
  <c r="AX91" i="2"/>
  <c r="AW91" i="2"/>
  <c r="CA90" i="2"/>
  <c r="BY90" i="2"/>
  <c r="BX90" i="2"/>
  <c r="BW90" i="2"/>
  <c r="BV90" i="2"/>
  <c r="BU90" i="2"/>
  <c r="BT90" i="2"/>
  <c r="BS90" i="2"/>
  <c r="BR90" i="2"/>
  <c r="BQ90" i="2"/>
  <c r="BP90" i="2"/>
  <c r="BO90" i="2"/>
  <c r="BN90" i="2"/>
  <c r="BM90" i="2"/>
  <c r="BL90" i="2"/>
  <c r="BK90" i="2"/>
  <c r="BJ90" i="2"/>
  <c r="BI90" i="2"/>
  <c r="BH90" i="2"/>
  <c r="BG90" i="2"/>
  <c r="BF90" i="2"/>
  <c r="BE90" i="2"/>
  <c r="BD90" i="2"/>
  <c r="BC90" i="2"/>
  <c r="BB90" i="2"/>
  <c r="BZ90" i="2" s="1"/>
  <c r="CC90" i="2" s="1"/>
  <c r="BA90" i="2"/>
  <c r="AZ90" i="2"/>
  <c r="AY90" i="2"/>
  <c r="AX90" i="2"/>
  <c r="AW90" i="2"/>
  <c r="CA89" i="2"/>
  <c r="BY89" i="2"/>
  <c r="BX89" i="2"/>
  <c r="BW89" i="2"/>
  <c r="BV89" i="2"/>
  <c r="BU89" i="2"/>
  <c r="BT89" i="2"/>
  <c r="BS89" i="2"/>
  <c r="BR89" i="2"/>
  <c r="BQ89" i="2"/>
  <c r="BP89" i="2"/>
  <c r="BO89" i="2"/>
  <c r="BN89" i="2"/>
  <c r="BM89" i="2"/>
  <c r="BL89" i="2"/>
  <c r="BK89" i="2"/>
  <c r="BJ89" i="2"/>
  <c r="BI89" i="2"/>
  <c r="BH89" i="2"/>
  <c r="BG89" i="2"/>
  <c r="BF89" i="2"/>
  <c r="BE89" i="2"/>
  <c r="BD89" i="2"/>
  <c r="BC89" i="2"/>
  <c r="BB89" i="2"/>
  <c r="BZ89" i="2" s="1"/>
  <c r="CC89" i="2" s="1"/>
  <c r="BA89" i="2"/>
  <c r="AZ89" i="2"/>
  <c r="AY89" i="2"/>
  <c r="AX89" i="2"/>
  <c r="AW89" i="2"/>
  <c r="CA88" i="2"/>
  <c r="BY88" i="2"/>
  <c r="BX88" i="2"/>
  <c r="BW88" i="2"/>
  <c r="BV88" i="2"/>
  <c r="BU88" i="2"/>
  <c r="BT88" i="2"/>
  <c r="BS88" i="2"/>
  <c r="BR88" i="2"/>
  <c r="BQ88" i="2"/>
  <c r="BP88" i="2"/>
  <c r="BO88" i="2"/>
  <c r="BN88" i="2"/>
  <c r="BM88" i="2"/>
  <c r="BL88" i="2"/>
  <c r="BK88" i="2"/>
  <c r="BJ88" i="2"/>
  <c r="BI88" i="2"/>
  <c r="BH88" i="2"/>
  <c r="BG88" i="2"/>
  <c r="BF88" i="2"/>
  <c r="BE88" i="2"/>
  <c r="BD88" i="2"/>
  <c r="BC88" i="2"/>
  <c r="BB88" i="2"/>
  <c r="BZ88" i="2" s="1"/>
  <c r="CC88" i="2" s="1"/>
  <c r="BA88" i="2"/>
  <c r="AZ88" i="2"/>
  <c r="AY88" i="2"/>
  <c r="AX88" i="2"/>
  <c r="AW88" i="2"/>
  <c r="CA87" i="2"/>
  <c r="BY87" i="2"/>
  <c r="BX87" i="2"/>
  <c r="BW87" i="2"/>
  <c r="BV87" i="2"/>
  <c r="BU87" i="2"/>
  <c r="BT87" i="2"/>
  <c r="BS87" i="2"/>
  <c r="BR87" i="2"/>
  <c r="BQ87" i="2"/>
  <c r="BP87" i="2"/>
  <c r="BO87" i="2"/>
  <c r="BN87" i="2"/>
  <c r="BM87" i="2"/>
  <c r="BL87" i="2"/>
  <c r="BK87" i="2"/>
  <c r="BJ87" i="2"/>
  <c r="BI87" i="2"/>
  <c r="BH87" i="2"/>
  <c r="BG87" i="2"/>
  <c r="BF87" i="2"/>
  <c r="BE87" i="2"/>
  <c r="BD87" i="2"/>
  <c r="BC87" i="2"/>
  <c r="BB87" i="2"/>
  <c r="BZ87" i="2" s="1"/>
  <c r="CC87" i="2" s="1"/>
  <c r="BA87" i="2"/>
  <c r="AZ87" i="2"/>
  <c r="AY87" i="2"/>
  <c r="AX87" i="2"/>
  <c r="AW87" i="2"/>
  <c r="CA86" i="2"/>
  <c r="BY86" i="2"/>
  <c r="BX86" i="2"/>
  <c r="BW86" i="2"/>
  <c r="BV86" i="2"/>
  <c r="BU86" i="2"/>
  <c r="BT86" i="2"/>
  <c r="BS86" i="2"/>
  <c r="BR86" i="2"/>
  <c r="BQ86" i="2"/>
  <c r="BP86" i="2"/>
  <c r="BO86" i="2"/>
  <c r="BN86" i="2"/>
  <c r="BM86" i="2"/>
  <c r="BL86" i="2"/>
  <c r="BK86" i="2"/>
  <c r="BJ86" i="2"/>
  <c r="BI86" i="2"/>
  <c r="BH86" i="2"/>
  <c r="BG86" i="2"/>
  <c r="BF86" i="2"/>
  <c r="BE86" i="2"/>
  <c r="BD86" i="2"/>
  <c r="BC86" i="2"/>
  <c r="BB86" i="2"/>
  <c r="BZ86" i="2" s="1"/>
  <c r="CC86" i="2" s="1"/>
  <c r="BA86" i="2"/>
  <c r="AZ86" i="2"/>
  <c r="AY86" i="2"/>
  <c r="AX86" i="2"/>
  <c r="AW86" i="2"/>
  <c r="CA85" i="2"/>
  <c r="BY85" i="2"/>
  <c r="BX85" i="2"/>
  <c r="BW85" i="2"/>
  <c r="BV85" i="2"/>
  <c r="BU85" i="2"/>
  <c r="BT85" i="2"/>
  <c r="BS85" i="2"/>
  <c r="BR85" i="2"/>
  <c r="BQ85" i="2"/>
  <c r="BP85" i="2"/>
  <c r="BO85" i="2"/>
  <c r="BN85" i="2"/>
  <c r="BM85" i="2"/>
  <c r="BL85" i="2"/>
  <c r="BK85" i="2"/>
  <c r="BJ85" i="2"/>
  <c r="BI85" i="2"/>
  <c r="BH85" i="2"/>
  <c r="BG85" i="2"/>
  <c r="BF85" i="2"/>
  <c r="BE85" i="2"/>
  <c r="BD85" i="2"/>
  <c r="BC85" i="2"/>
  <c r="BB85" i="2"/>
  <c r="BZ85" i="2" s="1"/>
  <c r="CC85" i="2" s="1"/>
  <c r="BA85" i="2"/>
  <c r="AZ85" i="2"/>
  <c r="AY85" i="2"/>
  <c r="AX85" i="2"/>
  <c r="AW85" i="2"/>
  <c r="CA84" i="2"/>
  <c r="BY84" i="2"/>
  <c r="BX84" i="2"/>
  <c r="BW84" i="2"/>
  <c r="BV84" i="2"/>
  <c r="BU84" i="2"/>
  <c r="BT84" i="2"/>
  <c r="BS84" i="2"/>
  <c r="BR84" i="2"/>
  <c r="BQ84" i="2"/>
  <c r="BP84" i="2"/>
  <c r="BO84" i="2"/>
  <c r="BN84" i="2"/>
  <c r="BM84" i="2"/>
  <c r="BL84" i="2"/>
  <c r="BK84" i="2"/>
  <c r="BJ84" i="2"/>
  <c r="BI84" i="2"/>
  <c r="BH84" i="2"/>
  <c r="BG84" i="2"/>
  <c r="BF84" i="2"/>
  <c r="BE84" i="2"/>
  <c r="BD84" i="2"/>
  <c r="BC84" i="2"/>
  <c r="BB84" i="2"/>
  <c r="BZ84" i="2" s="1"/>
  <c r="CC84" i="2" s="1"/>
  <c r="BA84" i="2"/>
  <c r="AZ84" i="2"/>
  <c r="AY84" i="2"/>
  <c r="AX84" i="2"/>
  <c r="AW84" i="2"/>
  <c r="CA83" i="2"/>
  <c r="BY83" i="2"/>
  <c r="BX83" i="2"/>
  <c r="BW83" i="2"/>
  <c r="BV83" i="2"/>
  <c r="BU83" i="2"/>
  <c r="BT83" i="2"/>
  <c r="BS83" i="2"/>
  <c r="BR83" i="2"/>
  <c r="BQ83" i="2"/>
  <c r="BP83" i="2"/>
  <c r="BO83" i="2"/>
  <c r="BN83" i="2"/>
  <c r="BM83" i="2"/>
  <c r="BL83" i="2"/>
  <c r="BK83" i="2"/>
  <c r="BJ83" i="2"/>
  <c r="BI83" i="2"/>
  <c r="BH83" i="2"/>
  <c r="BG83" i="2"/>
  <c r="BF83" i="2"/>
  <c r="BE83" i="2"/>
  <c r="BD83" i="2"/>
  <c r="BC83" i="2"/>
  <c r="BB83" i="2"/>
  <c r="BZ83" i="2" s="1"/>
  <c r="CC83" i="2" s="1"/>
  <c r="BA83" i="2"/>
  <c r="AZ83" i="2"/>
  <c r="AY83" i="2"/>
  <c r="AX83" i="2"/>
  <c r="AW83" i="2"/>
  <c r="CA82" i="2"/>
  <c r="BY82" i="2"/>
  <c r="BX82" i="2"/>
  <c r="BW82" i="2"/>
  <c r="BV82" i="2"/>
  <c r="BU82" i="2"/>
  <c r="BT82" i="2"/>
  <c r="BS82" i="2"/>
  <c r="BR82" i="2"/>
  <c r="BQ82" i="2"/>
  <c r="BP82" i="2"/>
  <c r="BO82" i="2"/>
  <c r="BN82" i="2"/>
  <c r="BM82" i="2"/>
  <c r="BL82" i="2"/>
  <c r="BK82" i="2"/>
  <c r="BJ82" i="2"/>
  <c r="BI82" i="2"/>
  <c r="BH82" i="2"/>
  <c r="BG82" i="2"/>
  <c r="BF82" i="2"/>
  <c r="BE82" i="2"/>
  <c r="BD82" i="2"/>
  <c r="BC82" i="2"/>
  <c r="BB82" i="2"/>
  <c r="BZ82" i="2" s="1"/>
  <c r="CC82" i="2" s="1"/>
  <c r="BA82" i="2"/>
  <c r="AZ82" i="2"/>
  <c r="AY82" i="2"/>
  <c r="AX82" i="2"/>
  <c r="AW82" i="2"/>
  <c r="CA81" i="2"/>
  <c r="BY81" i="2"/>
  <c r="BX81" i="2"/>
  <c r="BW81" i="2"/>
  <c r="BV81" i="2"/>
  <c r="BU81" i="2"/>
  <c r="BT81" i="2"/>
  <c r="BS81" i="2"/>
  <c r="BR81" i="2"/>
  <c r="BQ81" i="2"/>
  <c r="BP81" i="2"/>
  <c r="BO81" i="2"/>
  <c r="BN81" i="2"/>
  <c r="BM81" i="2"/>
  <c r="BL81" i="2"/>
  <c r="BK81" i="2"/>
  <c r="BJ81" i="2"/>
  <c r="BI81" i="2"/>
  <c r="BH81" i="2"/>
  <c r="BG81" i="2"/>
  <c r="BF81" i="2"/>
  <c r="BE81" i="2"/>
  <c r="BD81" i="2"/>
  <c r="BC81" i="2"/>
  <c r="BB81" i="2"/>
  <c r="BZ81" i="2" s="1"/>
  <c r="CC81" i="2" s="1"/>
  <c r="BA81" i="2"/>
  <c r="AZ81" i="2"/>
  <c r="AY81" i="2"/>
  <c r="AX81" i="2"/>
  <c r="AW81" i="2"/>
  <c r="CA80" i="2"/>
  <c r="BY80" i="2"/>
  <c r="BX80" i="2"/>
  <c r="BW80" i="2"/>
  <c r="BV80" i="2"/>
  <c r="BU80" i="2"/>
  <c r="BT80" i="2"/>
  <c r="BS80" i="2"/>
  <c r="BR80" i="2"/>
  <c r="BQ80" i="2"/>
  <c r="BP80" i="2"/>
  <c r="BO80" i="2"/>
  <c r="BN80" i="2"/>
  <c r="BM80" i="2"/>
  <c r="BL80" i="2"/>
  <c r="BK80" i="2"/>
  <c r="BJ80" i="2"/>
  <c r="BI80" i="2"/>
  <c r="BH80" i="2"/>
  <c r="BG80" i="2"/>
  <c r="BF80" i="2"/>
  <c r="BE80" i="2"/>
  <c r="BD80" i="2"/>
  <c r="BC80" i="2"/>
  <c r="BB80" i="2"/>
  <c r="BZ80" i="2" s="1"/>
  <c r="BA80" i="2"/>
  <c r="AZ80" i="2"/>
  <c r="AY80" i="2"/>
  <c r="AX80" i="2"/>
  <c r="AW80" i="2"/>
  <c r="CA79" i="2"/>
  <c r="BY79" i="2"/>
  <c r="BX79" i="2"/>
  <c r="BW79" i="2"/>
  <c r="BV79" i="2"/>
  <c r="BU79" i="2"/>
  <c r="BT79" i="2"/>
  <c r="BS79" i="2"/>
  <c r="BR79" i="2"/>
  <c r="BQ79" i="2"/>
  <c r="BP79" i="2"/>
  <c r="BO79" i="2"/>
  <c r="BN79" i="2"/>
  <c r="BM79" i="2"/>
  <c r="BL79" i="2"/>
  <c r="BK79" i="2"/>
  <c r="BJ79" i="2"/>
  <c r="BI79" i="2"/>
  <c r="BH79" i="2"/>
  <c r="BG79" i="2"/>
  <c r="BF79" i="2"/>
  <c r="BE79" i="2"/>
  <c r="BD79" i="2"/>
  <c r="BC79" i="2"/>
  <c r="BB79" i="2"/>
  <c r="BZ79" i="2" s="1"/>
  <c r="CC79" i="2" s="1"/>
  <c r="BA79" i="2"/>
  <c r="AZ79" i="2"/>
  <c r="AY79" i="2"/>
  <c r="AX79" i="2"/>
  <c r="AW79" i="2"/>
  <c r="CA78" i="2"/>
  <c r="BY78" i="2"/>
  <c r="BX78" i="2"/>
  <c r="BW78" i="2"/>
  <c r="BV78" i="2"/>
  <c r="BU78" i="2"/>
  <c r="BT78" i="2"/>
  <c r="BS78" i="2"/>
  <c r="BR78" i="2"/>
  <c r="BQ78" i="2"/>
  <c r="BP78" i="2"/>
  <c r="BO78" i="2"/>
  <c r="BN78" i="2"/>
  <c r="BM78" i="2"/>
  <c r="BL78" i="2"/>
  <c r="BK78" i="2"/>
  <c r="BJ78" i="2"/>
  <c r="BI78" i="2"/>
  <c r="BH78" i="2"/>
  <c r="BG78" i="2"/>
  <c r="BF78" i="2"/>
  <c r="BE78" i="2"/>
  <c r="BD78" i="2"/>
  <c r="BC78" i="2"/>
  <c r="BB78" i="2"/>
  <c r="BZ78" i="2" s="1"/>
  <c r="CC78" i="2" s="1"/>
  <c r="BA78" i="2"/>
  <c r="AZ78" i="2"/>
  <c r="AY78" i="2"/>
  <c r="AX78" i="2"/>
  <c r="AW78" i="2"/>
  <c r="CA77" i="2"/>
  <c r="BY77" i="2"/>
  <c r="BX77" i="2"/>
  <c r="BW77" i="2"/>
  <c r="BV77" i="2"/>
  <c r="BU77" i="2"/>
  <c r="BT77" i="2"/>
  <c r="BS77" i="2"/>
  <c r="BR77" i="2"/>
  <c r="BQ77" i="2"/>
  <c r="BP77" i="2"/>
  <c r="BO77" i="2"/>
  <c r="BN77" i="2"/>
  <c r="BM77" i="2"/>
  <c r="BL77" i="2"/>
  <c r="BK77" i="2"/>
  <c r="BJ77" i="2"/>
  <c r="BI77" i="2"/>
  <c r="BH77" i="2"/>
  <c r="BG77" i="2"/>
  <c r="BF77" i="2"/>
  <c r="BE77" i="2"/>
  <c r="BD77" i="2"/>
  <c r="BC77" i="2"/>
  <c r="BB77" i="2"/>
  <c r="BZ77" i="2" s="1"/>
  <c r="CC77" i="2" s="1"/>
  <c r="BA77" i="2"/>
  <c r="AZ77" i="2"/>
  <c r="AY77" i="2"/>
  <c r="AX77" i="2"/>
  <c r="AW77" i="2"/>
  <c r="CA76" i="2"/>
  <c r="BY76" i="2"/>
  <c r="BX76" i="2"/>
  <c r="BW76" i="2"/>
  <c r="BV76" i="2"/>
  <c r="BU76" i="2"/>
  <c r="BT76" i="2"/>
  <c r="BS76" i="2"/>
  <c r="BR76" i="2"/>
  <c r="BQ76" i="2"/>
  <c r="BP76" i="2"/>
  <c r="BO76" i="2"/>
  <c r="BN76" i="2"/>
  <c r="BM76" i="2"/>
  <c r="BL76" i="2"/>
  <c r="BK76" i="2"/>
  <c r="BJ76" i="2"/>
  <c r="BI76" i="2"/>
  <c r="BH76" i="2"/>
  <c r="BG76" i="2"/>
  <c r="BF76" i="2"/>
  <c r="BE76" i="2"/>
  <c r="BD76" i="2"/>
  <c r="BC76" i="2"/>
  <c r="BB76" i="2"/>
  <c r="BZ76" i="2" s="1"/>
  <c r="CC76" i="2" s="1"/>
  <c r="BA76" i="2"/>
  <c r="AZ76" i="2"/>
  <c r="AY76" i="2"/>
  <c r="AX76" i="2"/>
  <c r="AW76" i="2"/>
  <c r="CA75" i="2"/>
  <c r="BY75" i="2"/>
  <c r="BX75" i="2"/>
  <c r="BW75" i="2"/>
  <c r="BV75" i="2"/>
  <c r="BU75" i="2"/>
  <c r="BT75" i="2"/>
  <c r="BS75" i="2"/>
  <c r="BR75" i="2"/>
  <c r="BQ75" i="2"/>
  <c r="BP75" i="2"/>
  <c r="BO75" i="2"/>
  <c r="BN75" i="2"/>
  <c r="BM75" i="2"/>
  <c r="BL75" i="2"/>
  <c r="BK75" i="2"/>
  <c r="BJ75" i="2"/>
  <c r="BI75" i="2"/>
  <c r="BH75" i="2"/>
  <c r="BG75" i="2"/>
  <c r="BF75" i="2"/>
  <c r="BE75" i="2"/>
  <c r="BD75" i="2"/>
  <c r="BC75" i="2"/>
  <c r="BB75" i="2"/>
  <c r="BZ75" i="2" s="1"/>
  <c r="BA75" i="2"/>
  <c r="AZ75" i="2"/>
  <c r="AY75" i="2"/>
  <c r="AX75" i="2"/>
  <c r="AW75" i="2"/>
  <c r="CA74" i="2"/>
  <c r="BY74" i="2"/>
  <c r="BX74" i="2"/>
  <c r="BW74" i="2"/>
  <c r="BV74" i="2"/>
  <c r="BU74" i="2"/>
  <c r="BT74" i="2"/>
  <c r="BS74" i="2"/>
  <c r="BR74" i="2"/>
  <c r="BQ74" i="2"/>
  <c r="BP74" i="2"/>
  <c r="BO74" i="2"/>
  <c r="BN74" i="2"/>
  <c r="BM74" i="2"/>
  <c r="BL74" i="2"/>
  <c r="BK74" i="2"/>
  <c r="BJ74" i="2"/>
  <c r="BI74" i="2"/>
  <c r="BH74" i="2"/>
  <c r="BG74" i="2"/>
  <c r="BF74" i="2"/>
  <c r="BE74" i="2"/>
  <c r="BD74" i="2"/>
  <c r="BC74" i="2"/>
  <c r="BB74" i="2"/>
  <c r="BZ74" i="2" s="1"/>
  <c r="BA74" i="2"/>
  <c r="AZ74" i="2"/>
  <c r="AY74" i="2"/>
  <c r="AX74" i="2"/>
  <c r="AW74" i="2"/>
  <c r="CA73" i="2"/>
  <c r="BY73" i="2"/>
  <c r="BX73" i="2"/>
  <c r="BW73" i="2"/>
  <c r="BV73" i="2"/>
  <c r="BU73" i="2"/>
  <c r="BT73" i="2"/>
  <c r="BS73" i="2"/>
  <c r="BR73" i="2"/>
  <c r="BQ73" i="2"/>
  <c r="BP73" i="2"/>
  <c r="BO73" i="2"/>
  <c r="BN73" i="2"/>
  <c r="BM73" i="2"/>
  <c r="BL73" i="2"/>
  <c r="BK73" i="2"/>
  <c r="BJ73" i="2"/>
  <c r="BI73" i="2"/>
  <c r="BH73" i="2"/>
  <c r="BG73" i="2"/>
  <c r="BF73" i="2"/>
  <c r="BE73" i="2"/>
  <c r="BD73" i="2"/>
  <c r="BC73" i="2"/>
  <c r="BB73" i="2"/>
  <c r="BZ73" i="2" s="1"/>
  <c r="CC73" i="2" s="1"/>
  <c r="BA73" i="2"/>
  <c r="AZ73" i="2"/>
  <c r="AY73" i="2"/>
  <c r="AX73" i="2"/>
  <c r="AW73" i="2"/>
  <c r="CA72" i="2"/>
  <c r="BY72" i="2"/>
  <c r="BX72" i="2"/>
  <c r="BW72" i="2"/>
  <c r="BV72" i="2"/>
  <c r="BU72" i="2"/>
  <c r="BT72" i="2"/>
  <c r="BS72" i="2"/>
  <c r="BR72" i="2"/>
  <c r="BQ72" i="2"/>
  <c r="BP72" i="2"/>
  <c r="BO72" i="2"/>
  <c r="BN72" i="2"/>
  <c r="BM72" i="2"/>
  <c r="BL72" i="2"/>
  <c r="BK72" i="2"/>
  <c r="BJ72" i="2"/>
  <c r="BI72" i="2"/>
  <c r="BH72" i="2"/>
  <c r="BG72" i="2"/>
  <c r="BF72" i="2"/>
  <c r="BE72" i="2"/>
  <c r="BD72" i="2"/>
  <c r="BC72" i="2"/>
  <c r="BB72" i="2"/>
  <c r="BZ72" i="2" s="1"/>
  <c r="CC72" i="2" s="1"/>
  <c r="BA72" i="2"/>
  <c r="AZ72" i="2"/>
  <c r="AY72" i="2"/>
  <c r="AX72" i="2"/>
  <c r="AW72" i="2"/>
  <c r="CA71" i="2"/>
  <c r="BY71" i="2"/>
  <c r="BX71" i="2"/>
  <c r="BW71" i="2"/>
  <c r="BV71" i="2"/>
  <c r="BU71" i="2"/>
  <c r="BT71" i="2"/>
  <c r="BS71" i="2"/>
  <c r="BR71" i="2"/>
  <c r="BQ71" i="2"/>
  <c r="BP71" i="2"/>
  <c r="BO71" i="2"/>
  <c r="BN71" i="2"/>
  <c r="BM71" i="2"/>
  <c r="BL71" i="2"/>
  <c r="BK71" i="2"/>
  <c r="BJ71" i="2"/>
  <c r="BI71" i="2"/>
  <c r="BH71" i="2"/>
  <c r="BG71" i="2"/>
  <c r="BF71" i="2"/>
  <c r="BE71" i="2"/>
  <c r="BD71" i="2"/>
  <c r="BC71" i="2"/>
  <c r="BB71" i="2"/>
  <c r="BZ71" i="2" s="1"/>
  <c r="BA71" i="2"/>
  <c r="AZ71" i="2"/>
  <c r="AY71" i="2"/>
  <c r="AX71" i="2"/>
  <c r="AW71" i="2"/>
  <c r="CA70" i="2"/>
  <c r="BY70" i="2"/>
  <c r="BX70" i="2"/>
  <c r="BW70" i="2"/>
  <c r="BV70" i="2"/>
  <c r="BU70" i="2"/>
  <c r="BT70" i="2"/>
  <c r="BS70" i="2"/>
  <c r="BR70" i="2"/>
  <c r="BQ70" i="2"/>
  <c r="BP70" i="2"/>
  <c r="BO70" i="2"/>
  <c r="BN70" i="2"/>
  <c r="BM70" i="2"/>
  <c r="BL70" i="2"/>
  <c r="BK70" i="2"/>
  <c r="BJ70" i="2"/>
  <c r="BI70" i="2"/>
  <c r="BH70" i="2"/>
  <c r="BG70" i="2"/>
  <c r="BF70" i="2"/>
  <c r="BE70" i="2"/>
  <c r="BD70" i="2"/>
  <c r="BC70" i="2"/>
  <c r="BB70" i="2"/>
  <c r="BZ70" i="2" s="1"/>
  <c r="CC70" i="2" s="1"/>
  <c r="BA70" i="2"/>
  <c r="AZ70" i="2"/>
  <c r="AY70" i="2"/>
  <c r="AX70" i="2"/>
  <c r="AW70" i="2"/>
  <c r="CA69" i="2"/>
  <c r="BY69" i="2"/>
  <c r="BX69" i="2"/>
  <c r="BW69" i="2"/>
  <c r="BV69" i="2"/>
  <c r="BU69" i="2"/>
  <c r="BT69" i="2"/>
  <c r="BS69" i="2"/>
  <c r="BR69" i="2"/>
  <c r="BQ69" i="2"/>
  <c r="BP69" i="2"/>
  <c r="BO69" i="2"/>
  <c r="BN69" i="2"/>
  <c r="BM69" i="2"/>
  <c r="BL69" i="2"/>
  <c r="BK69" i="2"/>
  <c r="BJ69" i="2"/>
  <c r="BI69" i="2"/>
  <c r="BH69" i="2"/>
  <c r="BG69" i="2"/>
  <c r="BF69" i="2"/>
  <c r="BE69" i="2"/>
  <c r="BD69" i="2"/>
  <c r="BC69" i="2"/>
  <c r="BB69" i="2"/>
  <c r="BZ69" i="2" s="1"/>
  <c r="BA69" i="2"/>
  <c r="AZ69" i="2"/>
  <c r="AY69" i="2"/>
  <c r="AX69" i="2"/>
  <c r="AW69" i="2"/>
  <c r="CA68" i="2"/>
  <c r="BY68" i="2"/>
  <c r="BX68" i="2"/>
  <c r="BW68" i="2"/>
  <c r="BV68" i="2"/>
  <c r="BU68" i="2"/>
  <c r="BT68" i="2"/>
  <c r="BS68" i="2"/>
  <c r="BR68" i="2"/>
  <c r="BQ68" i="2"/>
  <c r="BP68" i="2"/>
  <c r="BO68" i="2"/>
  <c r="BN68" i="2"/>
  <c r="BM68" i="2"/>
  <c r="BL68" i="2"/>
  <c r="BK68" i="2"/>
  <c r="BJ68" i="2"/>
  <c r="BI68" i="2"/>
  <c r="BH68" i="2"/>
  <c r="BG68" i="2"/>
  <c r="BF68" i="2"/>
  <c r="BE68" i="2"/>
  <c r="BD68" i="2"/>
  <c r="BC68" i="2"/>
  <c r="BB68" i="2"/>
  <c r="BZ68" i="2" s="1"/>
  <c r="CC68" i="2" s="1"/>
  <c r="BA68" i="2"/>
  <c r="AZ68" i="2"/>
  <c r="AY68" i="2"/>
  <c r="AX68" i="2"/>
  <c r="AW68" i="2"/>
  <c r="CA67" i="2"/>
  <c r="BY67" i="2"/>
  <c r="BX67" i="2"/>
  <c r="BW67" i="2"/>
  <c r="BV67" i="2"/>
  <c r="BU67" i="2"/>
  <c r="BT67" i="2"/>
  <c r="BS67" i="2"/>
  <c r="BR67" i="2"/>
  <c r="BQ67" i="2"/>
  <c r="BP67" i="2"/>
  <c r="BO67" i="2"/>
  <c r="BN67" i="2"/>
  <c r="BM67" i="2"/>
  <c r="BL67" i="2"/>
  <c r="BK67" i="2"/>
  <c r="BJ67" i="2"/>
  <c r="BI67" i="2"/>
  <c r="BH67" i="2"/>
  <c r="BG67" i="2"/>
  <c r="BF67" i="2"/>
  <c r="BE67" i="2"/>
  <c r="BD67" i="2"/>
  <c r="BC67" i="2"/>
  <c r="BB67" i="2"/>
  <c r="BZ67" i="2" s="1"/>
  <c r="CC67" i="2" s="1"/>
  <c r="BA67" i="2"/>
  <c r="AZ67" i="2"/>
  <c r="AY67" i="2"/>
  <c r="AX67" i="2"/>
  <c r="AW67" i="2"/>
  <c r="CA66" i="2"/>
  <c r="BY66" i="2"/>
  <c r="BX66" i="2"/>
  <c r="BW66" i="2"/>
  <c r="BV66" i="2"/>
  <c r="BU66" i="2"/>
  <c r="BT66" i="2"/>
  <c r="BS66" i="2"/>
  <c r="BR66" i="2"/>
  <c r="BQ66" i="2"/>
  <c r="BP66" i="2"/>
  <c r="BO66" i="2"/>
  <c r="BN66" i="2"/>
  <c r="BM66" i="2"/>
  <c r="BL66" i="2"/>
  <c r="BK66" i="2"/>
  <c r="BJ66" i="2"/>
  <c r="BI66" i="2"/>
  <c r="BH66" i="2"/>
  <c r="BG66" i="2"/>
  <c r="BF66" i="2"/>
  <c r="BE66" i="2"/>
  <c r="BD66" i="2"/>
  <c r="BC66" i="2"/>
  <c r="BB66" i="2"/>
  <c r="BZ66" i="2" s="1"/>
  <c r="CC66" i="2" s="1"/>
  <c r="BA66" i="2"/>
  <c r="AZ66" i="2"/>
  <c r="AY66" i="2"/>
  <c r="AX66" i="2"/>
  <c r="AW66" i="2"/>
  <c r="CA65" i="2"/>
  <c r="BY65" i="2"/>
  <c r="BX65" i="2"/>
  <c r="BW65" i="2"/>
  <c r="BV65" i="2"/>
  <c r="BU65" i="2"/>
  <c r="BT65" i="2"/>
  <c r="BS65" i="2"/>
  <c r="BR65" i="2"/>
  <c r="BQ65" i="2"/>
  <c r="BP65" i="2"/>
  <c r="BO65" i="2"/>
  <c r="BN65" i="2"/>
  <c r="BM65" i="2"/>
  <c r="BL65" i="2"/>
  <c r="BK65" i="2"/>
  <c r="BJ65" i="2"/>
  <c r="BI65" i="2"/>
  <c r="BH65" i="2"/>
  <c r="BG65" i="2"/>
  <c r="BF65" i="2"/>
  <c r="BE65" i="2"/>
  <c r="BD65" i="2"/>
  <c r="BC65" i="2"/>
  <c r="BB65" i="2"/>
  <c r="BZ65" i="2" s="1"/>
  <c r="BA65" i="2"/>
  <c r="AZ65" i="2"/>
  <c r="AY65" i="2"/>
  <c r="AX65" i="2"/>
  <c r="AW65" i="2"/>
  <c r="CA64" i="2"/>
  <c r="BY64" i="2"/>
  <c r="BX64" i="2"/>
  <c r="BW64" i="2"/>
  <c r="BV64" i="2"/>
  <c r="BU64" i="2"/>
  <c r="BT64" i="2"/>
  <c r="BS64" i="2"/>
  <c r="BR64" i="2"/>
  <c r="BQ64" i="2"/>
  <c r="BP64" i="2"/>
  <c r="BO64" i="2"/>
  <c r="BN64" i="2"/>
  <c r="BM64" i="2"/>
  <c r="BL64" i="2"/>
  <c r="BK64" i="2"/>
  <c r="BJ64" i="2"/>
  <c r="BI64" i="2"/>
  <c r="BH64" i="2"/>
  <c r="BG64" i="2"/>
  <c r="BF64" i="2"/>
  <c r="BE64" i="2"/>
  <c r="BD64" i="2"/>
  <c r="BC64" i="2"/>
  <c r="BB64" i="2"/>
  <c r="BZ64" i="2" s="1"/>
  <c r="CC64" i="2" s="1"/>
  <c r="BA64" i="2"/>
  <c r="AZ64" i="2"/>
  <c r="AY64" i="2"/>
  <c r="AX64" i="2"/>
  <c r="AW64" i="2"/>
  <c r="CA63" i="2"/>
  <c r="BY63" i="2"/>
  <c r="BX63" i="2"/>
  <c r="BW63" i="2"/>
  <c r="BV63" i="2"/>
  <c r="BU63" i="2"/>
  <c r="BT63" i="2"/>
  <c r="BS63" i="2"/>
  <c r="BR63" i="2"/>
  <c r="BQ63" i="2"/>
  <c r="BP63" i="2"/>
  <c r="BO63" i="2"/>
  <c r="BN63" i="2"/>
  <c r="BM63" i="2"/>
  <c r="BL63" i="2"/>
  <c r="BK63" i="2"/>
  <c r="BJ63" i="2"/>
  <c r="BI63" i="2"/>
  <c r="BH63" i="2"/>
  <c r="BG63" i="2"/>
  <c r="BF63" i="2"/>
  <c r="BE63" i="2"/>
  <c r="BD63" i="2"/>
  <c r="BC63" i="2"/>
  <c r="BB63" i="2"/>
  <c r="BZ63" i="2" s="1"/>
  <c r="BA63" i="2"/>
  <c r="AZ63" i="2"/>
  <c r="AY63" i="2"/>
  <c r="AX63" i="2"/>
  <c r="AW63" i="2"/>
  <c r="CA62" i="2"/>
  <c r="BY62" i="2"/>
  <c r="BX62" i="2"/>
  <c r="BW62" i="2"/>
  <c r="BV62" i="2"/>
  <c r="BU62" i="2"/>
  <c r="BT62" i="2"/>
  <c r="BS62" i="2"/>
  <c r="BR62" i="2"/>
  <c r="BQ62" i="2"/>
  <c r="BP62" i="2"/>
  <c r="BO62" i="2"/>
  <c r="BN62" i="2"/>
  <c r="BM62" i="2"/>
  <c r="BL62" i="2"/>
  <c r="BK62" i="2"/>
  <c r="BJ62" i="2"/>
  <c r="BI62" i="2"/>
  <c r="BH62" i="2"/>
  <c r="BG62" i="2"/>
  <c r="BF62" i="2"/>
  <c r="BE62" i="2"/>
  <c r="BD62" i="2"/>
  <c r="BC62" i="2"/>
  <c r="BB62" i="2"/>
  <c r="BZ62" i="2" s="1"/>
  <c r="CC62" i="2" s="1"/>
  <c r="BA62" i="2"/>
  <c r="AZ62" i="2"/>
  <c r="AY62" i="2"/>
  <c r="AX62" i="2"/>
  <c r="AW62" i="2"/>
  <c r="CA61" i="2"/>
  <c r="BY61" i="2"/>
  <c r="BX61" i="2"/>
  <c r="BW61" i="2"/>
  <c r="BV61" i="2"/>
  <c r="BU61" i="2"/>
  <c r="BT61" i="2"/>
  <c r="BS61" i="2"/>
  <c r="BR61" i="2"/>
  <c r="BQ61" i="2"/>
  <c r="BP61" i="2"/>
  <c r="BO61" i="2"/>
  <c r="BN61" i="2"/>
  <c r="BM61" i="2"/>
  <c r="BL61" i="2"/>
  <c r="BK61" i="2"/>
  <c r="BJ61" i="2"/>
  <c r="BI61" i="2"/>
  <c r="BH61" i="2"/>
  <c r="BG61" i="2"/>
  <c r="BF61" i="2"/>
  <c r="BE61" i="2"/>
  <c r="BD61" i="2"/>
  <c r="BC61" i="2"/>
  <c r="BB61" i="2"/>
  <c r="BZ61" i="2" s="1"/>
  <c r="CC61" i="2" s="1"/>
  <c r="BA61" i="2"/>
  <c r="AZ61" i="2"/>
  <c r="AY61" i="2"/>
  <c r="AX61" i="2"/>
  <c r="AW61" i="2"/>
  <c r="CA60" i="2"/>
  <c r="BY60" i="2"/>
  <c r="BX60" i="2"/>
  <c r="BW60" i="2"/>
  <c r="BV60" i="2"/>
  <c r="BU60" i="2"/>
  <c r="BT60" i="2"/>
  <c r="BS60" i="2"/>
  <c r="BR60" i="2"/>
  <c r="BQ60" i="2"/>
  <c r="BP60" i="2"/>
  <c r="BO60" i="2"/>
  <c r="BN60" i="2"/>
  <c r="BM60" i="2"/>
  <c r="BL60" i="2"/>
  <c r="BK60" i="2"/>
  <c r="BJ60" i="2"/>
  <c r="BI60" i="2"/>
  <c r="BH60" i="2"/>
  <c r="BG60" i="2"/>
  <c r="BF60" i="2"/>
  <c r="BE60" i="2"/>
  <c r="BD60" i="2"/>
  <c r="BC60" i="2"/>
  <c r="BB60" i="2"/>
  <c r="BZ60" i="2" s="1"/>
  <c r="BA60" i="2"/>
  <c r="AZ60" i="2"/>
  <c r="AY60" i="2"/>
  <c r="AX60" i="2"/>
  <c r="AW60" i="2"/>
  <c r="CA59" i="2"/>
  <c r="BY59" i="2"/>
  <c r="BX59" i="2"/>
  <c r="BW59" i="2"/>
  <c r="BV59" i="2"/>
  <c r="BU59" i="2"/>
  <c r="BT59" i="2"/>
  <c r="BS59" i="2"/>
  <c r="BR59" i="2"/>
  <c r="BQ59" i="2"/>
  <c r="BP59" i="2"/>
  <c r="BO59" i="2"/>
  <c r="BN59" i="2"/>
  <c r="BM59" i="2"/>
  <c r="BL59" i="2"/>
  <c r="BK59" i="2"/>
  <c r="BJ59" i="2"/>
  <c r="BI59" i="2"/>
  <c r="BH59" i="2"/>
  <c r="BG59" i="2"/>
  <c r="BF59" i="2"/>
  <c r="BE59" i="2"/>
  <c r="BD59" i="2"/>
  <c r="BC59" i="2"/>
  <c r="BB59" i="2"/>
  <c r="BZ59" i="2" s="1"/>
  <c r="CC59" i="2" s="1"/>
  <c r="BA59" i="2"/>
  <c r="AZ59" i="2"/>
  <c r="AY59" i="2"/>
  <c r="AX59" i="2"/>
  <c r="AW59" i="2"/>
  <c r="CA58" i="2"/>
  <c r="BY58" i="2"/>
  <c r="BX58" i="2"/>
  <c r="BW58" i="2"/>
  <c r="BV58" i="2"/>
  <c r="BU58" i="2"/>
  <c r="BT58" i="2"/>
  <c r="BS58" i="2"/>
  <c r="BR58" i="2"/>
  <c r="BQ58" i="2"/>
  <c r="BP58" i="2"/>
  <c r="BO58" i="2"/>
  <c r="BN58" i="2"/>
  <c r="BM58" i="2"/>
  <c r="BL58" i="2"/>
  <c r="BK58" i="2"/>
  <c r="BJ58" i="2"/>
  <c r="BI58" i="2"/>
  <c r="BH58" i="2"/>
  <c r="BG58" i="2"/>
  <c r="BF58" i="2"/>
  <c r="BE58" i="2"/>
  <c r="BD58" i="2"/>
  <c r="BC58" i="2"/>
  <c r="BB58" i="2"/>
  <c r="BZ58" i="2" s="1"/>
  <c r="CC58" i="2" s="1"/>
  <c r="BA58" i="2"/>
  <c r="AZ58" i="2"/>
  <c r="AY58" i="2"/>
  <c r="AX58" i="2"/>
  <c r="AW58" i="2"/>
  <c r="CA57" i="2"/>
  <c r="BY57" i="2"/>
  <c r="BX57" i="2"/>
  <c r="BW57" i="2"/>
  <c r="BV57" i="2"/>
  <c r="BU57" i="2"/>
  <c r="BT57" i="2"/>
  <c r="BS57" i="2"/>
  <c r="BR57" i="2"/>
  <c r="BQ57" i="2"/>
  <c r="BP57" i="2"/>
  <c r="BO57" i="2"/>
  <c r="BN57" i="2"/>
  <c r="BM57" i="2"/>
  <c r="BL57" i="2"/>
  <c r="BK57" i="2"/>
  <c r="BJ57" i="2"/>
  <c r="BI57" i="2"/>
  <c r="BH57" i="2"/>
  <c r="BG57" i="2"/>
  <c r="BF57" i="2"/>
  <c r="BE57" i="2"/>
  <c r="BD57" i="2"/>
  <c r="BC57" i="2"/>
  <c r="BB57" i="2"/>
  <c r="BZ57" i="2" s="1"/>
  <c r="CC57" i="2" s="1"/>
  <c r="BA57" i="2"/>
  <c r="AZ57" i="2"/>
  <c r="AY57" i="2"/>
  <c r="AX57" i="2"/>
  <c r="AW57" i="2"/>
  <c r="CA56" i="2"/>
  <c r="BY56" i="2"/>
  <c r="BX56" i="2"/>
  <c r="BW56" i="2"/>
  <c r="BV56" i="2"/>
  <c r="BU56" i="2"/>
  <c r="BT56" i="2"/>
  <c r="BS56" i="2"/>
  <c r="BR56" i="2"/>
  <c r="BQ56" i="2"/>
  <c r="BP56" i="2"/>
  <c r="BO56" i="2"/>
  <c r="BN56" i="2"/>
  <c r="BM56" i="2"/>
  <c r="BL56" i="2"/>
  <c r="BK56" i="2"/>
  <c r="BJ56" i="2"/>
  <c r="BI56" i="2"/>
  <c r="BH56" i="2"/>
  <c r="BG56" i="2"/>
  <c r="BF56" i="2"/>
  <c r="BE56" i="2"/>
  <c r="BD56" i="2"/>
  <c r="BC56" i="2"/>
  <c r="BB56" i="2"/>
  <c r="BZ56" i="2" s="1"/>
  <c r="BA56" i="2"/>
  <c r="AZ56" i="2"/>
  <c r="AY56" i="2"/>
  <c r="AX56" i="2"/>
  <c r="AW56" i="2"/>
  <c r="CA55" i="2"/>
  <c r="BY55" i="2"/>
  <c r="BX55" i="2"/>
  <c r="BW55" i="2"/>
  <c r="BV55" i="2"/>
  <c r="BU55" i="2"/>
  <c r="BT55" i="2"/>
  <c r="BS55" i="2"/>
  <c r="BR55" i="2"/>
  <c r="BQ55" i="2"/>
  <c r="BP55" i="2"/>
  <c r="BO55" i="2"/>
  <c r="BN55" i="2"/>
  <c r="BM55" i="2"/>
  <c r="BL55" i="2"/>
  <c r="BK55" i="2"/>
  <c r="BJ55" i="2"/>
  <c r="BI55" i="2"/>
  <c r="BH55" i="2"/>
  <c r="BG55" i="2"/>
  <c r="BF55" i="2"/>
  <c r="BE55" i="2"/>
  <c r="BD55" i="2"/>
  <c r="BC55" i="2"/>
  <c r="BB55" i="2"/>
  <c r="BZ55" i="2" s="1"/>
  <c r="BA55" i="2"/>
  <c r="AZ55" i="2"/>
  <c r="AY55" i="2"/>
  <c r="AX55" i="2"/>
  <c r="AW55" i="2"/>
  <c r="CA54" i="2"/>
  <c r="BY54" i="2"/>
  <c r="BX54" i="2"/>
  <c r="BW54" i="2"/>
  <c r="BV54" i="2"/>
  <c r="BU54" i="2"/>
  <c r="BT54" i="2"/>
  <c r="BS54" i="2"/>
  <c r="BR54" i="2"/>
  <c r="BQ54" i="2"/>
  <c r="BP54" i="2"/>
  <c r="BO54" i="2"/>
  <c r="BN54" i="2"/>
  <c r="BM54" i="2"/>
  <c r="BL54" i="2"/>
  <c r="BK54" i="2"/>
  <c r="BJ54" i="2"/>
  <c r="BI54" i="2"/>
  <c r="BH54" i="2"/>
  <c r="BG54" i="2"/>
  <c r="BF54" i="2"/>
  <c r="BE54" i="2"/>
  <c r="BD54" i="2"/>
  <c r="BC54" i="2"/>
  <c r="BB54" i="2"/>
  <c r="BZ54" i="2" s="1"/>
  <c r="BA54" i="2"/>
  <c r="AZ54" i="2"/>
  <c r="AY54" i="2"/>
  <c r="AX54" i="2"/>
  <c r="AW54" i="2"/>
  <c r="CA53" i="2"/>
  <c r="BY53" i="2"/>
  <c r="BX53" i="2"/>
  <c r="BW53" i="2"/>
  <c r="BV53" i="2"/>
  <c r="BU53" i="2"/>
  <c r="BT53" i="2"/>
  <c r="BS53" i="2"/>
  <c r="BR53" i="2"/>
  <c r="BQ53" i="2"/>
  <c r="BP53" i="2"/>
  <c r="BO53" i="2"/>
  <c r="BN53" i="2"/>
  <c r="BM53" i="2"/>
  <c r="BL53" i="2"/>
  <c r="BK53" i="2"/>
  <c r="BJ53" i="2"/>
  <c r="BI53" i="2"/>
  <c r="BH53" i="2"/>
  <c r="BG53" i="2"/>
  <c r="BF53" i="2"/>
  <c r="BE53" i="2"/>
  <c r="BD53" i="2"/>
  <c r="BC53" i="2"/>
  <c r="BB53" i="2"/>
  <c r="BZ53" i="2" s="1"/>
  <c r="CC53" i="2" s="1"/>
  <c r="BA53" i="2"/>
  <c r="AZ53" i="2"/>
  <c r="AY53" i="2"/>
  <c r="AX53" i="2"/>
  <c r="AW53" i="2"/>
  <c r="CA52" i="2"/>
  <c r="BY52" i="2"/>
  <c r="BX52" i="2"/>
  <c r="BW52" i="2"/>
  <c r="BV52" i="2"/>
  <c r="BU52" i="2"/>
  <c r="BT52" i="2"/>
  <c r="BS52" i="2"/>
  <c r="BR52" i="2"/>
  <c r="BQ52" i="2"/>
  <c r="BP52" i="2"/>
  <c r="BO52" i="2"/>
  <c r="BN52" i="2"/>
  <c r="BM52" i="2"/>
  <c r="BL52" i="2"/>
  <c r="BK52" i="2"/>
  <c r="BJ52" i="2"/>
  <c r="BI52" i="2"/>
  <c r="BH52" i="2"/>
  <c r="BG52" i="2"/>
  <c r="BF52" i="2"/>
  <c r="BE52" i="2"/>
  <c r="BD52" i="2"/>
  <c r="BC52" i="2"/>
  <c r="BB52" i="2"/>
  <c r="BZ52" i="2" s="1"/>
  <c r="CC52" i="2" s="1"/>
  <c r="BA52" i="2"/>
  <c r="AZ52" i="2"/>
  <c r="AY52" i="2"/>
  <c r="AX52" i="2"/>
  <c r="AW52" i="2"/>
  <c r="CA51" i="2"/>
  <c r="BY51" i="2"/>
  <c r="BX51" i="2"/>
  <c r="BW51" i="2"/>
  <c r="BV51" i="2"/>
  <c r="BU51" i="2"/>
  <c r="BT51" i="2"/>
  <c r="BS51" i="2"/>
  <c r="BR51" i="2"/>
  <c r="BQ51" i="2"/>
  <c r="BP51" i="2"/>
  <c r="BO51" i="2"/>
  <c r="BN51" i="2"/>
  <c r="BM51" i="2"/>
  <c r="BL51" i="2"/>
  <c r="BK51" i="2"/>
  <c r="BJ51" i="2"/>
  <c r="BI51" i="2"/>
  <c r="BH51" i="2"/>
  <c r="BG51" i="2"/>
  <c r="BF51" i="2"/>
  <c r="BE51" i="2"/>
  <c r="BD51" i="2"/>
  <c r="BC51" i="2"/>
  <c r="BB51" i="2"/>
  <c r="BZ51" i="2" s="1"/>
  <c r="BA51" i="2"/>
  <c r="AZ51" i="2"/>
  <c r="AY51" i="2"/>
  <c r="AX51" i="2"/>
  <c r="AW51" i="2"/>
  <c r="CA50" i="2"/>
  <c r="BY50" i="2"/>
  <c r="BX50" i="2"/>
  <c r="BW50" i="2"/>
  <c r="BV50" i="2"/>
  <c r="BU50" i="2"/>
  <c r="BT50" i="2"/>
  <c r="BS50" i="2"/>
  <c r="BR50" i="2"/>
  <c r="BQ50" i="2"/>
  <c r="BP50" i="2"/>
  <c r="BO50" i="2"/>
  <c r="BN50" i="2"/>
  <c r="BM50" i="2"/>
  <c r="BL50" i="2"/>
  <c r="BK50" i="2"/>
  <c r="BJ50" i="2"/>
  <c r="BI50" i="2"/>
  <c r="BH50" i="2"/>
  <c r="BG50" i="2"/>
  <c r="BF50" i="2"/>
  <c r="BE50" i="2"/>
  <c r="BD50" i="2"/>
  <c r="BC50" i="2"/>
  <c r="BB50" i="2"/>
  <c r="BZ50" i="2" s="1"/>
  <c r="CC50" i="2" s="1"/>
  <c r="BA50" i="2"/>
  <c r="AZ50" i="2"/>
  <c r="AY50" i="2"/>
  <c r="AX50" i="2"/>
  <c r="AW50" i="2"/>
  <c r="CA49" i="2"/>
  <c r="BY49" i="2"/>
  <c r="BX49" i="2"/>
  <c r="BW49" i="2"/>
  <c r="BV49" i="2"/>
  <c r="BU49" i="2"/>
  <c r="BT49" i="2"/>
  <c r="BS49" i="2"/>
  <c r="BR49" i="2"/>
  <c r="BQ49" i="2"/>
  <c r="BP49" i="2"/>
  <c r="BO49" i="2"/>
  <c r="BN49" i="2"/>
  <c r="BM49" i="2"/>
  <c r="BL49" i="2"/>
  <c r="BK49" i="2"/>
  <c r="BJ49" i="2"/>
  <c r="BI49" i="2"/>
  <c r="BH49" i="2"/>
  <c r="BG49" i="2"/>
  <c r="BF49" i="2"/>
  <c r="BE49" i="2"/>
  <c r="BD49" i="2"/>
  <c r="BC49" i="2"/>
  <c r="BB49" i="2"/>
  <c r="BZ49" i="2" s="1"/>
  <c r="BA49" i="2"/>
  <c r="AZ49" i="2"/>
  <c r="AY49" i="2"/>
  <c r="AX49" i="2"/>
  <c r="AW49" i="2"/>
  <c r="CA48" i="2"/>
  <c r="BY48" i="2"/>
  <c r="BX48" i="2"/>
  <c r="BW48" i="2"/>
  <c r="BV48" i="2"/>
  <c r="BU48" i="2"/>
  <c r="BT48" i="2"/>
  <c r="BS48" i="2"/>
  <c r="BR48" i="2"/>
  <c r="BQ48" i="2"/>
  <c r="BP48" i="2"/>
  <c r="BO48" i="2"/>
  <c r="BN48" i="2"/>
  <c r="BM48" i="2"/>
  <c r="BL48" i="2"/>
  <c r="BK48" i="2"/>
  <c r="BJ48" i="2"/>
  <c r="BI48" i="2"/>
  <c r="BH48" i="2"/>
  <c r="BG48" i="2"/>
  <c r="BF48" i="2"/>
  <c r="BE48" i="2"/>
  <c r="BD48" i="2"/>
  <c r="BC48" i="2"/>
  <c r="BB48" i="2"/>
  <c r="BZ48" i="2" s="1"/>
  <c r="CC48" i="2" s="1"/>
  <c r="BA48" i="2"/>
  <c r="AZ48" i="2"/>
  <c r="AY48" i="2"/>
  <c r="AX48" i="2"/>
  <c r="AW48" i="2"/>
  <c r="CA47" i="2"/>
  <c r="BY47" i="2"/>
  <c r="BX47" i="2"/>
  <c r="BW47" i="2"/>
  <c r="BV47" i="2"/>
  <c r="BU47" i="2"/>
  <c r="BT47" i="2"/>
  <c r="BS47" i="2"/>
  <c r="BR47" i="2"/>
  <c r="BQ47" i="2"/>
  <c r="BP47" i="2"/>
  <c r="BO47" i="2"/>
  <c r="BN47" i="2"/>
  <c r="BM47" i="2"/>
  <c r="BL47" i="2"/>
  <c r="BK47" i="2"/>
  <c r="BJ47" i="2"/>
  <c r="BI47" i="2"/>
  <c r="BH47" i="2"/>
  <c r="BG47" i="2"/>
  <c r="BF47" i="2"/>
  <c r="BE47" i="2"/>
  <c r="BD47" i="2"/>
  <c r="BC47" i="2"/>
  <c r="BB47" i="2"/>
  <c r="BZ47" i="2" s="1"/>
  <c r="CC47" i="2" s="1"/>
  <c r="BA47" i="2"/>
  <c r="AZ47" i="2"/>
  <c r="AY47" i="2"/>
  <c r="AX47" i="2"/>
  <c r="AW47" i="2"/>
  <c r="CA46" i="2"/>
  <c r="BY46" i="2"/>
  <c r="BX46" i="2"/>
  <c r="BW46" i="2"/>
  <c r="BV46" i="2"/>
  <c r="BU46" i="2"/>
  <c r="BT46" i="2"/>
  <c r="BS46" i="2"/>
  <c r="BR46" i="2"/>
  <c r="BQ46" i="2"/>
  <c r="BP46" i="2"/>
  <c r="BO46" i="2"/>
  <c r="BN46" i="2"/>
  <c r="BM46" i="2"/>
  <c r="BL46" i="2"/>
  <c r="BK46" i="2"/>
  <c r="BJ46" i="2"/>
  <c r="BI46" i="2"/>
  <c r="BH46" i="2"/>
  <c r="BG46" i="2"/>
  <c r="BF46" i="2"/>
  <c r="BE46" i="2"/>
  <c r="BD46" i="2"/>
  <c r="BC46" i="2"/>
  <c r="BB46" i="2"/>
  <c r="BZ46" i="2" s="1"/>
  <c r="BA46" i="2"/>
  <c r="AZ46" i="2"/>
  <c r="AY46" i="2"/>
  <c r="AX46" i="2"/>
  <c r="AW46" i="2"/>
  <c r="CA45" i="2"/>
  <c r="BY45" i="2"/>
  <c r="BX45" i="2"/>
  <c r="BW45" i="2"/>
  <c r="BV45" i="2"/>
  <c r="BU45" i="2"/>
  <c r="BT45" i="2"/>
  <c r="BS45" i="2"/>
  <c r="BR45" i="2"/>
  <c r="BQ45" i="2"/>
  <c r="BP45" i="2"/>
  <c r="BO45" i="2"/>
  <c r="BN45" i="2"/>
  <c r="BM45" i="2"/>
  <c r="BL45" i="2"/>
  <c r="BK45" i="2"/>
  <c r="BJ45" i="2"/>
  <c r="BI45" i="2"/>
  <c r="BH45" i="2"/>
  <c r="BG45" i="2"/>
  <c r="BF45" i="2"/>
  <c r="BE45" i="2"/>
  <c r="BD45" i="2"/>
  <c r="BC45" i="2"/>
  <c r="BB45" i="2"/>
  <c r="BZ45" i="2" s="1"/>
  <c r="BA45" i="2"/>
  <c r="AZ45" i="2"/>
  <c r="AY45" i="2"/>
  <c r="AX45" i="2"/>
  <c r="AW45" i="2"/>
  <c r="CA44" i="2"/>
  <c r="BY44" i="2"/>
  <c r="BX44" i="2"/>
  <c r="BW44" i="2"/>
  <c r="BV44" i="2"/>
  <c r="BU44" i="2"/>
  <c r="BT44" i="2"/>
  <c r="BS44" i="2"/>
  <c r="BR44" i="2"/>
  <c r="BQ44" i="2"/>
  <c r="BP44" i="2"/>
  <c r="BO44" i="2"/>
  <c r="BN44" i="2"/>
  <c r="BM44" i="2"/>
  <c r="BL44" i="2"/>
  <c r="BK44" i="2"/>
  <c r="BJ44" i="2"/>
  <c r="BI44" i="2"/>
  <c r="BH44" i="2"/>
  <c r="BG44" i="2"/>
  <c r="BF44" i="2"/>
  <c r="BE44" i="2"/>
  <c r="BD44" i="2"/>
  <c r="BC44" i="2"/>
  <c r="BB44" i="2"/>
  <c r="BZ44" i="2" s="1"/>
  <c r="CC44" i="2" s="1"/>
  <c r="BA44" i="2"/>
  <c r="AZ44" i="2"/>
  <c r="AY44" i="2"/>
  <c r="AX44" i="2"/>
  <c r="AW44" i="2"/>
  <c r="CA43" i="2"/>
  <c r="BY43" i="2"/>
  <c r="BX43" i="2"/>
  <c r="BW43" i="2"/>
  <c r="BV43" i="2"/>
  <c r="BU43" i="2"/>
  <c r="BT43" i="2"/>
  <c r="BS43" i="2"/>
  <c r="BR43" i="2"/>
  <c r="BQ43" i="2"/>
  <c r="BP43" i="2"/>
  <c r="BO43" i="2"/>
  <c r="BN43" i="2"/>
  <c r="BM43" i="2"/>
  <c r="BL43" i="2"/>
  <c r="BK43" i="2"/>
  <c r="BJ43" i="2"/>
  <c r="BI43" i="2"/>
  <c r="BH43" i="2"/>
  <c r="BG43" i="2"/>
  <c r="BF43" i="2"/>
  <c r="BE43" i="2"/>
  <c r="BD43" i="2"/>
  <c r="BC43" i="2"/>
  <c r="BB43" i="2"/>
  <c r="BZ43" i="2" s="1"/>
  <c r="BA43" i="2"/>
  <c r="AZ43" i="2"/>
  <c r="AY43" i="2"/>
  <c r="AX43" i="2"/>
  <c r="AW43" i="2"/>
  <c r="CA42" i="2"/>
  <c r="BY42" i="2"/>
  <c r="BX42" i="2"/>
  <c r="BW42" i="2"/>
  <c r="BV42" i="2"/>
  <c r="BU42" i="2"/>
  <c r="BT42" i="2"/>
  <c r="BS42" i="2"/>
  <c r="BR42" i="2"/>
  <c r="BQ42" i="2"/>
  <c r="BP42" i="2"/>
  <c r="BO42" i="2"/>
  <c r="BN42" i="2"/>
  <c r="BM42" i="2"/>
  <c r="BL42" i="2"/>
  <c r="BK42" i="2"/>
  <c r="BJ42" i="2"/>
  <c r="BI42" i="2"/>
  <c r="BH42" i="2"/>
  <c r="BG42" i="2"/>
  <c r="BF42" i="2"/>
  <c r="BE42" i="2"/>
  <c r="BD42" i="2"/>
  <c r="BC42" i="2"/>
  <c r="BB42" i="2"/>
  <c r="BZ42" i="2" s="1"/>
  <c r="BA42" i="2"/>
  <c r="AZ42" i="2"/>
  <c r="AY42" i="2"/>
  <c r="AX42" i="2"/>
  <c r="AW42" i="2"/>
  <c r="CA41" i="2"/>
  <c r="BY41" i="2"/>
  <c r="BX41" i="2"/>
  <c r="BW41" i="2"/>
  <c r="BV41" i="2"/>
  <c r="BU41" i="2"/>
  <c r="BT41" i="2"/>
  <c r="BS41" i="2"/>
  <c r="BR41" i="2"/>
  <c r="BQ41" i="2"/>
  <c r="BP41" i="2"/>
  <c r="BO41" i="2"/>
  <c r="BN41" i="2"/>
  <c r="BM41" i="2"/>
  <c r="BL41" i="2"/>
  <c r="BK41" i="2"/>
  <c r="BJ41" i="2"/>
  <c r="BI41" i="2"/>
  <c r="BH41" i="2"/>
  <c r="BG41" i="2"/>
  <c r="BF41" i="2"/>
  <c r="BE41" i="2"/>
  <c r="BD41" i="2"/>
  <c r="BC41" i="2"/>
  <c r="BB41" i="2"/>
  <c r="BZ41" i="2" s="1"/>
  <c r="BA41" i="2"/>
  <c r="AZ41" i="2"/>
  <c r="AY41" i="2"/>
  <c r="AX41" i="2"/>
  <c r="AW41" i="2"/>
  <c r="CA40" i="2"/>
  <c r="BY40" i="2"/>
  <c r="BX40" i="2"/>
  <c r="BW40" i="2"/>
  <c r="BV40" i="2"/>
  <c r="BU40" i="2"/>
  <c r="BT40" i="2"/>
  <c r="BS40" i="2"/>
  <c r="BR40" i="2"/>
  <c r="BQ40" i="2"/>
  <c r="BP40" i="2"/>
  <c r="BO40" i="2"/>
  <c r="BN40" i="2"/>
  <c r="BM40" i="2"/>
  <c r="BL40" i="2"/>
  <c r="BK40" i="2"/>
  <c r="BJ40" i="2"/>
  <c r="BI40" i="2"/>
  <c r="BH40" i="2"/>
  <c r="BG40" i="2"/>
  <c r="BF40" i="2"/>
  <c r="BE40" i="2"/>
  <c r="BD40" i="2"/>
  <c r="BC40" i="2"/>
  <c r="BB40" i="2"/>
  <c r="BZ40" i="2" s="1"/>
  <c r="BA40" i="2"/>
  <c r="AZ40" i="2"/>
  <c r="AY40" i="2"/>
  <c r="AX40" i="2"/>
  <c r="AW40" i="2"/>
  <c r="CA39" i="2"/>
  <c r="BY39" i="2"/>
  <c r="BX39" i="2"/>
  <c r="BW39" i="2"/>
  <c r="BV39" i="2"/>
  <c r="BU39" i="2"/>
  <c r="BT39" i="2"/>
  <c r="BS39" i="2"/>
  <c r="BR39" i="2"/>
  <c r="BQ39" i="2"/>
  <c r="BP39" i="2"/>
  <c r="BO39" i="2"/>
  <c r="BN39" i="2"/>
  <c r="BM39" i="2"/>
  <c r="BL39" i="2"/>
  <c r="BK39" i="2"/>
  <c r="BJ39" i="2"/>
  <c r="BI39" i="2"/>
  <c r="BH39" i="2"/>
  <c r="BG39" i="2"/>
  <c r="BF39" i="2"/>
  <c r="BE39" i="2"/>
  <c r="BD39" i="2"/>
  <c r="BC39" i="2"/>
  <c r="BB39" i="2"/>
  <c r="BZ39" i="2" s="1"/>
  <c r="BA39" i="2"/>
  <c r="AZ39" i="2"/>
  <c r="AY39" i="2"/>
  <c r="AX39" i="2"/>
  <c r="AW39" i="2"/>
  <c r="CA38" i="2"/>
  <c r="BY38" i="2"/>
  <c r="BX38" i="2"/>
  <c r="BW38" i="2"/>
  <c r="BV38" i="2"/>
  <c r="BU38" i="2"/>
  <c r="BT38" i="2"/>
  <c r="BS38" i="2"/>
  <c r="BR38" i="2"/>
  <c r="BQ38" i="2"/>
  <c r="BP38" i="2"/>
  <c r="BO38" i="2"/>
  <c r="BN38" i="2"/>
  <c r="BM38" i="2"/>
  <c r="BL38" i="2"/>
  <c r="BK38" i="2"/>
  <c r="BJ38" i="2"/>
  <c r="BI38" i="2"/>
  <c r="BH38" i="2"/>
  <c r="BG38" i="2"/>
  <c r="BF38" i="2"/>
  <c r="BE38" i="2"/>
  <c r="BD38" i="2"/>
  <c r="BC38" i="2"/>
  <c r="BB38" i="2"/>
  <c r="BZ38" i="2" s="1"/>
  <c r="CC38" i="2" s="1"/>
  <c r="BA38" i="2"/>
  <c r="AZ38" i="2"/>
  <c r="AY38" i="2"/>
  <c r="AX38" i="2"/>
  <c r="AW38" i="2"/>
  <c r="CA37" i="2"/>
  <c r="BY37" i="2"/>
  <c r="BX37" i="2"/>
  <c r="BW37" i="2"/>
  <c r="BV37" i="2"/>
  <c r="BU37" i="2"/>
  <c r="BT37" i="2"/>
  <c r="BS37" i="2"/>
  <c r="BR37" i="2"/>
  <c r="BQ37" i="2"/>
  <c r="BP37" i="2"/>
  <c r="BO37" i="2"/>
  <c r="BN37" i="2"/>
  <c r="BM37" i="2"/>
  <c r="BL37" i="2"/>
  <c r="BK37" i="2"/>
  <c r="BJ37" i="2"/>
  <c r="BI37" i="2"/>
  <c r="BH37" i="2"/>
  <c r="BG37" i="2"/>
  <c r="BF37" i="2"/>
  <c r="BE37" i="2"/>
  <c r="BD37" i="2"/>
  <c r="BC37" i="2"/>
  <c r="BB37" i="2"/>
  <c r="BZ37" i="2" s="1"/>
  <c r="CC37" i="2" s="1"/>
  <c r="BA37" i="2"/>
  <c r="AZ37" i="2"/>
  <c r="AY37" i="2"/>
  <c r="AX37" i="2"/>
  <c r="AW37" i="2"/>
  <c r="CA36" i="2"/>
  <c r="BY36" i="2"/>
  <c r="BX36" i="2"/>
  <c r="BW36" i="2"/>
  <c r="BV36" i="2"/>
  <c r="BU36" i="2"/>
  <c r="BT36" i="2"/>
  <c r="BS36" i="2"/>
  <c r="BR36" i="2"/>
  <c r="BQ36" i="2"/>
  <c r="BP36" i="2"/>
  <c r="BO36" i="2"/>
  <c r="BN36" i="2"/>
  <c r="BM36" i="2"/>
  <c r="BL36" i="2"/>
  <c r="BK36" i="2"/>
  <c r="BJ36" i="2"/>
  <c r="BI36" i="2"/>
  <c r="BH36" i="2"/>
  <c r="BG36" i="2"/>
  <c r="BF36" i="2"/>
  <c r="BE36" i="2"/>
  <c r="BD36" i="2"/>
  <c r="BC36" i="2"/>
  <c r="BB36" i="2"/>
  <c r="BZ36" i="2" s="1"/>
  <c r="CC36" i="2" s="1"/>
  <c r="BA36" i="2"/>
  <c r="AZ36" i="2"/>
  <c r="AY36" i="2"/>
  <c r="AX36" i="2"/>
  <c r="AW36" i="2"/>
  <c r="CA35" i="2"/>
  <c r="BY35" i="2"/>
  <c r="BX35" i="2"/>
  <c r="BW35" i="2"/>
  <c r="BV35" i="2"/>
  <c r="BU35" i="2"/>
  <c r="BT35" i="2"/>
  <c r="BS35" i="2"/>
  <c r="BR35" i="2"/>
  <c r="BQ35" i="2"/>
  <c r="BP35" i="2"/>
  <c r="BO35" i="2"/>
  <c r="BN35" i="2"/>
  <c r="BM35" i="2"/>
  <c r="BL35" i="2"/>
  <c r="BK35" i="2"/>
  <c r="BJ35" i="2"/>
  <c r="BI35" i="2"/>
  <c r="BH35" i="2"/>
  <c r="BG35" i="2"/>
  <c r="BF35" i="2"/>
  <c r="BE35" i="2"/>
  <c r="BD35" i="2"/>
  <c r="BC35" i="2"/>
  <c r="BB35" i="2"/>
  <c r="BZ35" i="2" s="1"/>
  <c r="BA35" i="2"/>
  <c r="AZ35" i="2"/>
  <c r="AY35" i="2"/>
  <c r="AX35" i="2"/>
  <c r="AW35" i="2"/>
  <c r="CA34" i="2"/>
  <c r="BY34" i="2"/>
  <c r="BX34" i="2"/>
  <c r="BW34" i="2"/>
  <c r="BV34" i="2"/>
  <c r="BU34" i="2"/>
  <c r="BT34" i="2"/>
  <c r="BS34" i="2"/>
  <c r="BR34" i="2"/>
  <c r="BQ34" i="2"/>
  <c r="BP34" i="2"/>
  <c r="BO34" i="2"/>
  <c r="BN34" i="2"/>
  <c r="BM34" i="2"/>
  <c r="BL34" i="2"/>
  <c r="BK34" i="2"/>
  <c r="BJ34" i="2"/>
  <c r="BI34" i="2"/>
  <c r="BH34" i="2"/>
  <c r="BG34" i="2"/>
  <c r="BF34" i="2"/>
  <c r="BE34" i="2"/>
  <c r="BD34" i="2"/>
  <c r="BC34" i="2"/>
  <c r="BB34" i="2"/>
  <c r="BZ34" i="2" s="1"/>
  <c r="CC34" i="2" s="1"/>
  <c r="BA34" i="2"/>
  <c r="AZ34" i="2"/>
  <c r="AY34" i="2"/>
  <c r="AX34" i="2"/>
  <c r="AW34" i="2"/>
  <c r="CA33" i="2"/>
  <c r="BY33" i="2"/>
  <c r="BX33" i="2"/>
  <c r="BW33" i="2"/>
  <c r="BV33" i="2"/>
  <c r="BU33" i="2"/>
  <c r="BT33" i="2"/>
  <c r="BS33" i="2"/>
  <c r="BR33" i="2"/>
  <c r="BQ33" i="2"/>
  <c r="BP33" i="2"/>
  <c r="BO33" i="2"/>
  <c r="BN33" i="2"/>
  <c r="BM33" i="2"/>
  <c r="BL33" i="2"/>
  <c r="BK33" i="2"/>
  <c r="BJ33" i="2"/>
  <c r="BI33" i="2"/>
  <c r="BH33" i="2"/>
  <c r="BG33" i="2"/>
  <c r="BF33" i="2"/>
  <c r="BE33" i="2"/>
  <c r="BD33" i="2"/>
  <c r="BC33" i="2"/>
  <c r="BB33" i="2"/>
  <c r="BZ33" i="2" s="1"/>
  <c r="CC33" i="2" s="1"/>
  <c r="BA33" i="2"/>
  <c r="AZ33" i="2"/>
  <c r="AY33" i="2"/>
  <c r="AX33" i="2"/>
  <c r="AW33" i="2"/>
  <c r="CA32" i="2"/>
  <c r="BY32" i="2"/>
  <c r="BX32" i="2"/>
  <c r="BW32" i="2"/>
  <c r="BV32" i="2"/>
  <c r="BU32" i="2"/>
  <c r="BT32" i="2"/>
  <c r="BS32" i="2"/>
  <c r="BR32" i="2"/>
  <c r="BQ32" i="2"/>
  <c r="BP32" i="2"/>
  <c r="BO32" i="2"/>
  <c r="BN32" i="2"/>
  <c r="BM32" i="2"/>
  <c r="BL32" i="2"/>
  <c r="BK32" i="2"/>
  <c r="BJ32" i="2"/>
  <c r="BI32" i="2"/>
  <c r="BH32" i="2"/>
  <c r="BG32" i="2"/>
  <c r="BF32" i="2"/>
  <c r="BE32" i="2"/>
  <c r="BD32" i="2"/>
  <c r="BC32" i="2"/>
  <c r="BB32" i="2"/>
  <c r="BZ32" i="2" s="1"/>
  <c r="BA32" i="2"/>
  <c r="AZ32" i="2"/>
  <c r="AY32" i="2"/>
  <c r="AX32" i="2"/>
  <c r="AW32" i="2"/>
  <c r="CA31" i="2"/>
  <c r="BY31" i="2"/>
  <c r="BX31" i="2"/>
  <c r="BW31" i="2"/>
  <c r="BV31" i="2"/>
  <c r="BU31" i="2"/>
  <c r="BT31" i="2"/>
  <c r="BS31" i="2"/>
  <c r="BR31" i="2"/>
  <c r="BQ31" i="2"/>
  <c r="BP31" i="2"/>
  <c r="BO31" i="2"/>
  <c r="BN31" i="2"/>
  <c r="BM31" i="2"/>
  <c r="BL31" i="2"/>
  <c r="BK31" i="2"/>
  <c r="BJ31" i="2"/>
  <c r="BI31" i="2"/>
  <c r="BH31" i="2"/>
  <c r="BG31" i="2"/>
  <c r="BF31" i="2"/>
  <c r="BE31" i="2"/>
  <c r="BD31" i="2"/>
  <c r="BC31" i="2"/>
  <c r="BB31" i="2"/>
  <c r="BZ31" i="2" s="1"/>
  <c r="CC31" i="2" s="1"/>
  <c r="BA31" i="2"/>
  <c r="AZ31" i="2"/>
  <c r="AY31" i="2"/>
  <c r="AX31" i="2"/>
  <c r="AW31" i="2"/>
  <c r="CA30" i="2"/>
  <c r="BY30" i="2"/>
  <c r="BX30" i="2"/>
  <c r="BW30" i="2"/>
  <c r="BV30" i="2"/>
  <c r="BU30" i="2"/>
  <c r="BT30" i="2"/>
  <c r="BS30" i="2"/>
  <c r="BR30" i="2"/>
  <c r="BQ30" i="2"/>
  <c r="BP30" i="2"/>
  <c r="BO30" i="2"/>
  <c r="BN30" i="2"/>
  <c r="BM30" i="2"/>
  <c r="BL30" i="2"/>
  <c r="BK30" i="2"/>
  <c r="BJ30" i="2"/>
  <c r="BI30" i="2"/>
  <c r="BH30" i="2"/>
  <c r="BG30" i="2"/>
  <c r="BF30" i="2"/>
  <c r="BE30" i="2"/>
  <c r="BD30" i="2"/>
  <c r="BC30" i="2"/>
  <c r="BB30" i="2"/>
  <c r="BZ30" i="2" s="1"/>
  <c r="CC30" i="2" s="1"/>
  <c r="BA30" i="2"/>
  <c r="AZ30" i="2"/>
  <c r="AY30" i="2"/>
  <c r="AX30" i="2"/>
  <c r="AW30" i="2"/>
  <c r="CA29" i="2"/>
  <c r="BY29" i="2"/>
  <c r="BX29" i="2"/>
  <c r="BW29" i="2"/>
  <c r="BV29" i="2"/>
  <c r="BU29" i="2"/>
  <c r="BT29" i="2"/>
  <c r="BS29" i="2"/>
  <c r="BR29" i="2"/>
  <c r="BQ29" i="2"/>
  <c r="BP29" i="2"/>
  <c r="BO29" i="2"/>
  <c r="BN29" i="2"/>
  <c r="BM29" i="2"/>
  <c r="BL29" i="2"/>
  <c r="BK29" i="2"/>
  <c r="BJ29" i="2"/>
  <c r="BI29" i="2"/>
  <c r="BH29" i="2"/>
  <c r="BG29" i="2"/>
  <c r="BF29" i="2"/>
  <c r="BE29" i="2"/>
  <c r="BD29" i="2"/>
  <c r="BC29" i="2"/>
  <c r="BB29" i="2"/>
  <c r="BZ29" i="2" s="1"/>
  <c r="CC29" i="2" s="1"/>
  <c r="BA29" i="2"/>
  <c r="AZ29" i="2"/>
  <c r="AY29" i="2"/>
  <c r="AX29" i="2"/>
  <c r="AW29" i="2"/>
  <c r="CA28" i="2"/>
  <c r="BY28" i="2"/>
  <c r="BX28" i="2"/>
  <c r="BW28" i="2"/>
  <c r="BV28" i="2"/>
  <c r="BU28" i="2"/>
  <c r="BT28" i="2"/>
  <c r="BS28" i="2"/>
  <c r="BR28" i="2"/>
  <c r="BQ28" i="2"/>
  <c r="BP28" i="2"/>
  <c r="BO28" i="2"/>
  <c r="BN28" i="2"/>
  <c r="BM28" i="2"/>
  <c r="BL28" i="2"/>
  <c r="BK28" i="2"/>
  <c r="BJ28" i="2"/>
  <c r="BI28" i="2"/>
  <c r="BH28" i="2"/>
  <c r="BG28" i="2"/>
  <c r="BF28" i="2"/>
  <c r="BE28" i="2"/>
  <c r="BD28" i="2"/>
  <c r="BC28" i="2"/>
  <c r="BB28" i="2"/>
  <c r="BZ28" i="2" s="1"/>
  <c r="BA28" i="2"/>
  <c r="AZ28" i="2"/>
  <c r="AY28" i="2"/>
  <c r="AX28" i="2"/>
  <c r="AW28" i="2"/>
  <c r="CA27" i="2"/>
  <c r="BY27" i="2"/>
  <c r="BX27" i="2"/>
  <c r="BW27" i="2"/>
  <c r="BV27" i="2"/>
  <c r="BU27" i="2"/>
  <c r="BT27" i="2"/>
  <c r="BS27" i="2"/>
  <c r="BR27" i="2"/>
  <c r="BQ27" i="2"/>
  <c r="BP27" i="2"/>
  <c r="BO27" i="2"/>
  <c r="BN27" i="2"/>
  <c r="BM27" i="2"/>
  <c r="BL27" i="2"/>
  <c r="BK27" i="2"/>
  <c r="BJ27" i="2"/>
  <c r="BI27" i="2"/>
  <c r="BH27" i="2"/>
  <c r="BG27" i="2"/>
  <c r="BF27" i="2"/>
  <c r="BE27" i="2"/>
  <c r="BD27" i="2"/>
  <c r="BC27" i="2"/>
  <c r="BB27" i="2"/>
  <c r="BZ27" i="2" s="1"/>
  <c r="BA27" i="2"/>
  <c r="AZ27" i="2"/>
  <c r="AY27" i="2"/>
  <c r="AX27" i="2"/>
  <c r="AW27" i="2"/>
  <c r="CA26" i="2"/>
  <c r="BY26" i="2"/>
  <c r="BX26" i="2"/>
  <c r="BW26" i="2"/>
  <c r="BV26" i="2"/>
  <c r="BU26" i="2"/>
  <c r="BT26" i="2"/>
  <c r="BS26" i="2"/>
  <c r="BR26" i="2"/>
  <c r="BQ26" i="2"/>
  <c r="BP26" i="2"/>
  <c r="BO26" i="2"/>
  <c r="BN26" i="2"/>
  <c r="BM26" i="2"/>
  <c r="BL26" i="2"/>
  <c r="BK26" i="2"/>
  <c r="BJ26" i="2"/>
  <c r="BI26" i="2"/>
  <c r="BH26" i="2"/>
  <c r="BG26" i="2"/>
  <c r="BF26" i="2"/>
  <c r="BE26" i="2"/>
  <c r="BD26" i="2"/>
  <c r="BC26" i="2"/>
  <c r="BB26" i="2"/>
  <c r="BZ26" i="2" s="1"/>
  <c r="CC26" i="2" s="1"/>
  <c r="BA26" i="2"/>
  <c r="AZ26" i="2"/>
  <c r="AY26" i="2"/>
  <c r="AX26" i="2"/>
  <c r="AW26" i="2"/>
  <c r="CA25" i="2"/>
  <c r="BY25" i="2"/>
  <c r="BX25" i="2"/>
  <c r="BW25" i="2"/>
  <c r="BV25" i="2"/>
  <c r="BU25" i="2"/>
  <c r="BT25" i="2"/>
  <c r="BS25" i="2"/>
  <c r="BR25" i="2"/>
  <c r="BQ25" i="2"/>
  <c r="BP25" i="2"/>
  <c r="BO25" i="2"/>
  <c r="BN25" i="2"/>
  <c r="BM25" i="2"/>
  <c r="BL25" i="2"/>
  <c r="BK25" i="2"/>
  <c r="BJ25" i="2"/>
  <c r="BI25" i="2"/>
  <c r="BH25" i="2"/>
  <c r="BG25" i="2"/>
  <c r="BF25" i="2"/>
  <c r="BE25" i="2"/>
  <c r="BD25" i="2"/>
  <c r="BC25" i="2"/>
  <c r="BB25" i="2"/>
  <c r="BZ25" i="2" s="1"/>
  <c r="CC25" i="2" s="1"/>
  <c r="BA25" i="2"/>
  <c r="AZ25" i="2"/>
  <c r="AY25" i="2"/>
  <c r="AX25" i="2"/>
  <c r="AW25" i="2"/>
  <c r="CA24" i="2"/>
  <c r="BY24" i="2"/>
  <c r="BX24" i="2"/>
  <c r="BW24" i="2"/>
  <c r="BV24" i="2"/>
  <c r="BU24" i="2"/>
  <c r="BT24" i="2"/>
  <c r="BS24" i="2"/>
  <c r="BR24" i="2"/>
  <c r="BQ24" i="2"/>
  <c r="BP24" i="2"/>
  <c r="BO24" i="2"/>
  <c r="BN24" i="2"/>
  <c r="BM24" i="2"/>
  <c r="BL24" i="2"/>
  <c r="BK24" i="2"/>
  <c r="BJ24" i="2"/>
  <c r="BI24" i="2"/>
  <c r="BH24" i="2"/>
  <c r="BG24" i="2"/>
  <c r="BF24" i="2"/>
  <c r="BE24" i="2"/>
  <c r="BD24" i="2"/>
  <c r="BC24" i="2"/>
  <c r="BB24" i="2"/>
  <c r="BZ24" i="2" s="1"/>
  <c r="BA24" i="2"/>
  <c r="AZ24" i="2"/>
  <c r="AY24" i="2"/>
  <c r="AX24" i="2"/>
  <c r="AW24" i="2"/>
  <c r="CA23" i="2"/>
  <c r="BY23" i="2"/>
  <c r="BX23" i="2"/>
  <c r="BW23" i="2"/>
  <c r="BV23" i="2"/>
  <c r="BU23" i="2"/>
  <c r="BT23" i="2"/>
  <c r="BS23" i="2"/>
  <c r="BR23" i="2"/>
  <c r="BQ23" i="2"/>
  <c r="BP23" i="2"/>
  <c r="BO23" i="2"/>
  <c r="BN23" i="2"/>
  <c r="BM23" i="2"/>
  <c r="BL23" i="2"/>
  <c r="BK23" i="2"/>
  <c r="BJ23" i="2"/>
  <c r="BI23" i="2"/>
  <c r="BH23" i="2"/>
  <c r="BG23" i="2"/>
  <c r="BF23" i="2"/>
  <c r="BE23" i="2"/>
  <c r="BD23" i="2"/>
  <c r="BC23" i="2"/>
  <c r="BB23" i="2"/>
  <c r="BZ23" i="2" s="1"/>
  <c r="BA23" i="2"/>
  <c r="AZ23" i="2"/>
  <c r="AY23" i="2"/>
  <c r="AX23" i="2"/>
  <c r="AW23" i="2"/>
  <c r="CA22" i="2"/>
  <c r="BY22" i="2"/>
  <c r="BX22" i="2"/>
  <c r="BW22" i="2"/>
  <c r="BV22" i="2"/>
  <c r="BU22" i="2"/>
  <c r="BT22" i="2"/>
  <c r="BS22" i="2"/>
  <c r="BR22" i="2"/>
  <c r="BQ22" i="2"/>
  <c r="BP22" i="2"/>
  <c r="BO22" i="2"/>
  <c r="BN22" i="2"/>
  <c r="BM22" i="2"/>
  <c r="BL22" i="2"/>
  <c r="BK22" i="2"/>
  <c r="BJ22" i="2"/>
  <c r="BI22" i="2"/>
  <c r="BH22" i="2"/>
  <c r="BG22" i="2"/>
  <c r="BF22" i="2"/>
  <c r="BE22" i="2"/>
  <c r="BD22" i="2"/>
  <c r="BC22" i="2"/>
  <c r="BB22" i="2"/>
  <c r="BZ22" i="2" s="1"/>
  <c r="CC22" i="2" s="1"/>
  <c r="BA22" i="2"/>
  <c r="AZ22" i="2"/>
  <c r="AY22" i="2"/>
  <c r="AX22" i="2"/>
  <c r="AW22" i="2"/>
  <c r="CA21" i="2"/>
  <c r="BY21" i="2"/>
  <c r="BX21" i="2"/>
  <c r="BW21" i="2"/>
  <c r="BV21" i="2"/>
  <c r="BU21" i="2"/>
  <c r="BT21" i="2"/>
  <c r="BS21" i="2"/>
  <c r="BR21" i="2"/>
  <c r="BQ21" i="2"/>
  <c r="BP21" i="2"/>
  <c r="BO21" i="2"/>
  <c r="BN21" i="2"/>
  <c r="BM21" i="2"/>
  <c r="BL21" i="2"/>
  <c r="BK21" i="2"/>
  <c r="BJ21" i="2"/>
  <c r="BI21" i="2"/>
  <c r="BH21" i="2"/>
  <c r="BG21" i="2"/>
  <c r="BF21" i="2"/>
  <c r="BE21" i="2"/>
  <c r="BD21" i="2"/>
  <c r="BC21" i="2"/>
  <c r="BB21" i="2"/>
  <c r="BZ21" i="2" s="1"/>
  <c r="BA21" i="2"/>
  <c r="AZ21" i="2"/>
  <c r="AY21" i="2"/>
  <c r="AX21" i="2"/>
  <c r="AW21" i="2"/>
  <c r="CA20" i="2"/>
  <c r="BY20" i="2"/>
  <c r="BX20" i="2"/>
  <c r="BW20" i="2"/>
  <c r="BV20" i="2"/>
  <c r="BU20" i="2"/>
  <c r="BT20" i="2"/>
  <c r="BS20" i="2"/>
  <c r="BR20" i="2"/>
  <c r="BQ20" i="2"/>
  <c r="BP20" i="2"/>
  <c r="BO20" i="2"/>
  <c r="BN20" i="2"/>
  <c r="BM20" i="2"/>
  <c r="BL20" i="2"/>
  <c r="BK20" i="2"/>
  <c r="BJ20" i="2"/>
  <c r="BI20" i="2"/>
  <c r="BH20" i="2"/>
  <c r="BG20" i="2"/>
  <c r="BF20" i="2"/>
  <c r="BE20" i="2"/>
  <c r="BD20" i="2"/>
  <c r="BC20" i="2"/>
  <c r="BB20" i="2"/>
  <c r="BZ20" i="2" s="1"/>
  <c r="CC20" i="2" s="1"/>
  <c r="BA20" i="2"/>
  <c r="AZ20" i="2"/>
  <c r="AY20" i="2"/>
  <c r="AX20" i="2"/>
  <c r="AW20" i="2"/>
  <c r="CA19" i="2"/>
  <c r="BY19" i="2"/>
  <c r="BX19" i="2"/>
  <c r="BW19" i="2"/>
  <c r="BV19" i="2"/>
  <c r="BU19" i="2"/>
  <c r="BT19" i="2"/>
  <c r="BS19" i="2"/>
  <c r="BR19" i="2"/>
  <c r="BQ19" i="2"/>
  <c r="BP19" i="2"/>
  <c r="BO19" i="2"/>
  <c r="BN19" i="2"/>
  <c r="BM19" i="2"/>
  <c r="BL19" i="2"/>
  <c r="BK19" i="2"/>
  <c r="BJ19" i="2"/>
  <c r="BI19" i="2"/>
  <c r="BH19" i="2"/>
  <c r="BG19" i="2"/>
  <c r="BF19" i="2"/>
  <c r="BE19" i="2"/>
  <c r="BD19" i="2"/>
  <c r="BC19" i="2"/>
  <c r="BB19" i="2"/>
  <c r="BZ19" i="2" s="1"/>
  <c r="CC19" i="2" s="1"/>
  <c r="BA19" i="2"/>
  <c r="AZ19" i="2"/>
  <c r="AY19" i="2"/>
  <c r="AX19" i="2"/>
  <c r="AW19" i="2"/>
  <c r="CA18" i="2"/>
  <c r="BY18" i="2"/>
  <c r="BX18" i="2"/>
  <c r="BW18" i="2"/>
  <c r="BV18" i="2"/>
  <c r="BU18" i="2"/>
  <c r="BT18" i="2"/>
  <c r="BS18" i="2"/>
  <c r="BR18" i="2"/>
  <c r="BQ18" i="2"/>
  <c r="BP18" i="2"/>
  <c r="BO18" i="2"/>
  <c r="BN18" i="2"/>
  <c r="BM18" i="2"/>
  <c r="BL18" i="2"/>
  <c r="BK18" i="2"/>
  <c r="BJ18" i="2"/>
  <c r="BI18" i="2"/>
  <c r="BH18" i="2"/>
  <c r="BG18" i="2"/>
  <c r="BF18" i="2"/>
  <c r="BE18" i="2"/>
  <c r="BD18" i="2"/>
  <c r="BC18" i="2"/>
  <c r="BB18" i="2"/>
  <c r="BZ18" i="2" s="1"/>
  <c r="CC18" i="2" s="1"/>
  <c r="BA18" i="2"/>
  <c r="AZ18" i="2"/>
  <c r="AY18" i="2"/>
  <c r="AX18" i="2"/>
  <c r="AW18" i="2"/>
  <c r="CA17" i="2"/>
  <c r="BZ17" i="2"/>
  <c r="CC17" i="2" s="1"/>
  <c r="BY17" i="2"/>
  <c r="BX17" i="2"/>
  <c r="BW17" i="2"/>
  <c r="BV17" i="2"/>
  <c r="BU17" i="2"/>
  <c r="BT17" i="2"/>
  <c r="BS17" i="2"/>
  <c r="BR17" i="2"/>
  <c r="BQ17" i="2"/>
  <c r="BP17" i="2"/>
  <c r="BO17" i="2"/>
  <c r="BN17" i="2"/>
  <c r="BM17" i="2"/>
  <c r="BL17" i="2"/>
  <c r="BK17" i="2"/>
  <c r="BJ17" i="2"/>
  <c r="BI17" i="2"/>
  <c r="BH17" i="2"/>
  <c r="BG17" i="2"/>
  <c r="BF17" i="2"/>
  <c r="BE17" i="2"/>
  <c r="BD17" i="2"/>
  <c r="BC17" i="2"/>
  <c r="BB17" i="2"/>
  <c r="BA17" i="2"/>
  <c r="AZ17" i="2"/>
  <c r="AY17" i="2"/>
  <c r="AX17" i="2"/>
  <c r="AW17" i="2"/>
  <c r="CA16" i="2"/>
  <c r="BY16" i="2"/>
  <c r="BX16" i="2"/>
  <c r="BW16" i="2"/>
  <c r="BV16" i="2"/>
  <c r="BU16" i="2"/>
  <c r="BT16" i="2"/>
  <c r="BS16" i="2"/>
  <c r="BR16" i="2"/>
  <c r="BQ16" i="2"/>
  <c r="BP16" i="2"/>
  <c r="BO16" i="2"/>
  <c r="BN16" i="2"/>
  <c r="BM16" i="2"/>
  <c r="BL16" i="2"/>
  <c r="BK16" i="2"/>
  <c r="BJ16" i="2"/>
  <c r="BI16" i="2"/>
  <c r="BH16" i="2"/>
  <c r="BG16" i="2"/>
  <c r="BF16" i="2"/>
  <c r="BE16" i="2"/>
  <c r="BD16" i="2"/>
  <c r="BC16" i="2"/>
  <c r="BB16" i="2"/>
  <c r="BZ16" i="2" s="1"/>
  <c r="BA16" i="2"/>
  <c r="AZ16" i="2"/>
  <c r="AY16" i="2"/>
  <c r="AX16" i="2"/>
  <c r="AW16" i="2"/>
  <c r="CA15" i="2"/>
  <c r="BY15" i="2"/>
  <c r="BX15" i="2"/>
  <c r="BW15" i="2"/>
  <c r="BV15" i="2"/>
  <c r="BU15" i="2"/>
  <c r="BT15" i="2"/>
  <c r="BS15" i="2"/>
  <c r="BR15" i="2"/>
  <c r="BQ15" i="2"/>
  <c r="BP15" i="2"/>
  <c r="BO15" i="2"/>
  <c r="BN15" i="2"/>
  <c r="BM15" i="2"/>
  <c r="BL15" i="2"/>
  <c r="BK15" i="2"/>
  <c r="BJ15" i="2"/>
  <c r="BI15" i="2"/>
  <c r="BH15" i="2"/>
  <c r="BG15" i="2"/>
  <c r="BF15" i="2"/>
  <c r="BE15" i="2"/>
  <c r="BD15" i="2"/>
  <c r="BC15" i="2"/>
  <c r="BB15" i="2"/>
  <c r="BZ15" i="2" s="1"/>
  <c r="CC15" i="2" s="1"/>
  <c r="BA15" i="2"/>
  <c r="AZ15" i="2"/>
  <c r="AY15" i="2"/>
  <c r="AX15" i="2"/>
  <c r="AW15" i="2"/>
  <c r="CA14" i="2"/>
  <c r="BY14" i="2"/>
  <c r="BX14" i="2"/>
  <c r="BW14" i="2"/>
  <c r="BV14" i="2"/>
  <c r="BU14" i="2"/>
  <c r="BT14" i="2"/>
  <c r="BS14" i="2"/>
  <c r="BR14" i="2"/>
  <c r="BQ14" i="2"/>
  <c r="BP14" i="2"/>
  <c r="BO14" i="2"/>
  <c r="BN14" i="2"/>
  <c r="BM14" i="2"/>
  <c r="BL14" i="2"/>
  <c r="BK14" i="2"/>
  <c r="BJ14" i="2"/>
  <c r="BI14" i="2"/>
  <c r="BH14" i="2"/>
  <c r="BG14" i="2"/>
  <c r="BF14" i="2"/>
  <c r="BE14" i="2"/>
  <c r="BD14" i="2"/>
  <c r="BC14" i="2"/>
  <c r="BB14" i="2"/>
  <c r="BZ14" i="2" s="1"/>
  <c r="CC14" i="2" s="1"/>
  <c r="BA14" i="2"/>
  <c r="AZ14" i="2"/>
  <c r="AY14" i="2"/>
  <c r="AX14" i="2"/>
  <c r="AW14" i="2"/>
  <c r="CA13" i="2"/>
  <c r="BY13" i="2"/>
  <c r="BX13" i="2"/>
  <c r="BW13" i="2"/>
  <c r="BV13" i="2"/>
  <c r="BU13" i="2"/>
  <c r="BT13" i="2"/>
  <c r="BS13" i="2"/>
  <c r="BR13" i="2"/>
  <c r="BQ13" i="2"/>
  <c r="BP13" i="2"/>
  <c r="BO13" i="2"/>
  <c r="BN13" i="2"/>
  <c r="BM13" i="2"/>
  <c r="BL13" i="2"/>
  <c r="BK13" i="2"/>
  <c r="BJ13" i="2"/>
  <c r="BI13" i="2"/>
  <c r="BH13" i="2"/>
  <c r="BG13" i="2"/>
  <c r="BF13" i="2"/>
  <c r="BE13" i="2"/>
  <c r="BD13" i="2"/>
  <c r="BC13" i="2"/>
  <c r="BB13" i="2"/>
  <c r="BZ13" i="2" s="1"/>
  <c r="CC13" i="2" s="1"/>
  <c r="BA13" i="2"/>
  <c r="AZ13" i="2"/>
  <c r="AY13" i="2"/>
  <c r="AX13" i="2"/>
  <c r="AW13" i="2"/>
  <c r="CA12" i="2"/>
  <c r="BY12" i="2"/>
  <c r="BX12" i="2"/>
  <c r="BW12" i="2"/>
  <c r="BV12" i="2"/>
  <c r="BU12" i="2"/>
  <c r="BT12" i="2"/>
  <c r="BS12" i="2"/>
  <c r="BR12" i="2"/>
  <c r="BQ12" i="2"/>
  <c r="BP12" i="2"/>
  <c r="BO12" i="2"/>
  <c r="BN12" i="2"/>
  <c r="BM12" i="2"/>
  <c r="BL12" i="2"/>
  <c r="BK12" i="2"/>
  <c r="BJ12" i="2"/>
  <c r="BI12" i="2"/>
  <c r="BH12" i="2"/>
  <c r="BG12" i="2"/>
  <c r="BF12" i="2"/>
  <c r="BE12" i="2"/>
  <c r="BD12" i="2"/>
  <c r="BC12" i="2"/>
  <c r="BB12" i="2"/>
  <c r="BZ12" i="2" s="1"/>
  <c r="CC12" i="2" s="1"/>
  <c r="BA12" i="2"/>
  <c r="AZ12" i="2"/>
  <c r="AY12" i="2"/>
  <c r="AX12" i="2"/>
  <c r="AW12" i="2"/>
  <c r="CA11" i="2"/>
  <c r="BY11" i="2"/>
  <c r="BX11" i="2"/>
  <c r="BW11" i="2"/>
  <c r="BV11" i="2"/>
  <c r="BU11" i="2"/>
  <c r="BT11" i="2"/>
  <c r="BS11" i="2"/>
  <c r="BR11" i="2"/>
  <c r="BQ11" i="2"/>
  <c r="BP11" i="2"/>
  <c r="BO11" i="2"/>
  <c r="BN11" i="2"/>
  <c r="BM11" i="2"/>
  <c r="BL11" i="2"/>
  <c r="BK11" i="2"/>
  <c r="BJ11" i="2"/>
  <c r="BI11" i="2"/>
  <c r="BH11" i="2"/>
  <c r="BG11" i="2"/>
  <c r="BF11" i="2"/>
  <c r="BE11" i="2"/>
  <c r="BD11" i="2"/>
  <c r="BC11" i="2"/>
  <c r="BB11" i="2"/>
  <c r="BZ11" i="2" s="1"/>
  <c r="CC11" i="2" s="1"/>
  <c r="BA11" i="2"/>
  <c r="AZ11" i="2"/>
  <c r="AY11" i="2"/>
  <c r="AX11" i="2"/>
  <c r="AW11" i="2"/>
  <c r="CA10" i="2"/>
  <c r="BY10" i="2"/>
  <c r="BX10" i="2"/>
  <c r="BW10" i="2"/>
  <c r="BV10" i="2"/>
  <c r="BU10" i="2"/>
  <c r="BT10" i="2"/>
  <c r="BS10" i="2"/>
  <c r="BR10" i="2"/>
  <c r="BQ10" i="2"/>
  <c r="BP10" i="2"/>
  <c r="BO10" i="2"/>
  <c r="BN10" i="2"/>
  <c r="BM10" i="2"/>
  <c r="BL10" i="2"/>
  <c r="BK10" i="2"/>
  <c r="BJ10" i="2"/>
  <c r="BI10" i="2"/>
  <c r="BH10" i="2"/>
  <c r="BG10" i="2"/>
  <c r="BF10" i="2"/>
  <c r="BE10" i="2"/>
  <c r="BD10" i="2"/>
  <c r="BC10" i="2"/>
  <c r="BB10" i="2"/>
  <c r="BZ10" i="2" s="1"/>
  <c r="BA10" i="2"/>
  <c r="AZ10" i="2"/>
  <c r="AY10" i="2"/>
  <c r="AX10" i="2"/>
  <c r="AW10" i="2"/>
  <c r="CA9" i="2"/>
  <c r="BY9" i="2"/>
  <c r="BX9" i="2"/>
  <c r="BW9" i="2"/>
  <c r="BV9" i="2"/>
  <c r="BU9" i="2"/>
  <c r="BT9" i="2"/>
  <c r="BS9" i="2"/>
  <c r="BR9" i="2"/>
  <c r="BQ9" i="2"/>
  <c r="BP9" i="2"/>
  <c r="BO9" i="2"/>
  <c r="BN9" i="2"/>
  <c r="BM9" i="2"/>
  <c r="BL9" i="2"/>
  <c r="BK9" i="2"/>
  <c r="BJ9" i="2"/>
  <c r="BI9" i="2"/>
  <c r="BH9" i="2"/>
  <c r="BG9" i="2"/>
  <c r="BF9" i="2"/>
  <c r="BE9" i="2"/>
  <c r="BD9" i="2"/>
  <c r="BC9" i="2"/>
  <c r="BB9" i="2"/>
  <c r="BZ9" i="2" s="1"/>
  <c r="BA9" i="2"/>
  <c r="AZ9" i="2"/>
  <c r="AY9" i="2"/>
  <c r="AX9" i="2"/>
  <c r="AW9" i="2"/>
  <c r="CA8" i="2"/>
  <c r="BY8" i="2"/>
  <c r="BX8" i="2"/>
  <c r="BW8" i="2"/>
  <c r="BV8" i="2"/>
  <c r="BU8" i="2"/>
  <c r="BT8" i="2"/>
  <c r="BS8" i="2"/>
  <c r="BR8" i="2"/>
  <c r="BQ8" i="2"/>
  <c r="BP8" i="2"/>
  <c r="BO8" i="2"/>
  <c r="BN8" i="2"/>
  <c r="BM8" i="2"/>
  <c r="BL8" i="2"/>
  <c r="BK8" i="2"/>
  <c r="BJ8" i="2"/>
  <c r="BI8" i="2"/>
  <c r="BH8" i="2"/>
  <c r="BG8" i="2"/>
  <c r="BF8" i="2"/>
  <c r="BE8" i="2"/>
  <c r="BD8" i="2"/>
  <c r="BC8" i="2"/>
  <c r="BB8" i="2"/>
  <c r="BZ8" i="2" s="1"/>
  <c r="BA8" i="2"/>
  <c r="AZ8" i="2"/>
  <c r="AY8" i="2"/>
  <c r="AX8" i="2"/>
  <c r="AW8" i="2"/>
  <c r="CA7" i="2"/>
  <c r="BY7" i="2"/>
  <c r="BX7" i="2"/>
  <c r="BW7" i="2"/>
  <c r="BV7" i="2"/>
  <c r="BU7" i="2"/>
  <c r="BT7" i="2"/>
  <c r="BS7" i="2"/>
  <c r="BR7" i="2"/>
  <c r="BQ7" i="2"/>
  <c r="BP7" i="2"/>
  <c r="BO7" i="2"/>
  <c r="BN7" i="2"/>
  <c r="BM7" i="2"/>
  <c r="BL7" i="2"/>
  <c r="BK7" i="2"/>
  <c r="BJ7" i="2"/>
  <c r="BI7" i="2"/>
  <c r="BH7" i="2"/>
  <c r="BG7" i="2"/>
  <c r="BF7" i="2"/>
  <c r="BE7" i="2"/>
  <c r="BD7" i="2"/>
  <c r="BC7" i="2"/>
  <c r="BB7" i="2"/>
  <c r="BZ7" i="2" s="1"/>
  <c r="BA7" i="2"/>
  <c r="AZ7" i="2"/>
  <c r="AY7" i="2"/>
  <c r="AX7" i="2"/>
  <c r="AW7" i="2"/>
  <c r="CA6" i="2"/>
  <c r="BY6" i="2"/>
  <c r="BX6" i="2"/>
  <c r="BW6" i="2"/>
  <c r="BV6" i="2"/>
  <c r="BU6" i="2"/>
  <c r="BT6" i="2"/>
  <c r="BS6" i="2"/>
  <c r="BR6" i="2"/>
  <c r="BQ6" i="2"/>
  <c r="BP6" i="2"/>
  <c r="BO6" i="2"/>
  <c r="BN6" i="2"/>
  <c r="BM6" i="2"/>
  <c r="BL6" i="2"/>
  <c r="BK6" i="2"/>
  <c r="BJ6" i="2"/>
  <c r="BI6" i="2"/>
  <c r="BH6" i="2"/>
  <c r="BG6" i="2"/>
  <c r="BF6" i="2"/>
  <c r="BE6" i="2"/>
  <c r="BD6" i="2"/>
  <c r="BC6" i="2"/>
  <c r="BB6" i="2"/>
  <c r="BZ6" i="2" s="1"/>
  <c r="CC6" i="2" s="1"/>
  <c r="BA6" i="2"/>
  <c r="AZ6" i="2"/>
  <c r="AY6" i="2"/>
  <c r="AX6" i="2"/>
  <c r="AW6" i="2"/>
  <c r="CA5" i="2"/>
  <c r="BZ5" i="2"/>
  <c r="CC5" i="2" s="1"/>
  <c r="BY5" i="2"/>
  <c r="BX5" i="2"/>
  <c r="BW5" i="2"/>
  <c r="BV5" i="2"/>
  <c r="BU5" i="2"/>
  <c r="BT5" i="2"/>
  <c r="BS5" i="2"/>
  <c r="BR5" i="2"/>
  <c r="BQ5" i="2"/>
  <c r="BP5" i="2"/>
  <c r="BO5" i="2"/>
  <c r="BN5" i="2"/>
  <c r="BM5" i="2"/>
  <c r="BL5" i="2"/>
  <c r="BK5" i="2"/>
  <c r="BJ5" i="2"/>
  <c r="BI5" i="2"/>
  <c r="BH5" i="2"/>
  <c r="BG5" i="2"/>
  <c r="BF5" i="2"/>
  <c r="BE5" i="2"/>
  <c r="BD5" i="2"/>
  <c r="BC5" i="2"/>
  <c r="BB5" i="2"/>
  <c r="BA5" i="2"/>
  <c r="AZ5" i="2"/>
  <c r="AY5" i="2"/>
  <c r="AX5" i="2"/>
  <c r="AW5" i="2"/>
  <c r="CA4" i="2"/>
  <c r="BY4" i="2"/>
  <c r="BX4" i="2"/>
  <c r="BW4" i="2"/>
  <c r="BV4" i="2"/>
  <c r="BU4" i="2"/>
  <c r="BT4" i="2"/>
  <c r="BS4" i="2"/>
  <c r="BR4" i="2"/>
  <c r="BQ4" i="2"/>
  <c r="BP4" i="2"/>
  <c r="BO4" i="2"/>
  <c r="BN4" i="2"/>
  <c r="BM4" i="2"/>
  <c r="BL4" i="2"/>
  <c r="BK4" i="2"/>
  <c r="BJ4" i="2"/>
  <c r="BI4" i="2"/>
  <c r="BH4" i="2"/>
  <c r="BG4" i="2"/>
  <c r="BF4" i="2"/>
  <c r="BE4" i="2"/>
  <c r="BD4" i="2"/>
  <c r="BC4" i="2"/>
  <c r="BB4" i="2"/>
  <c r="BZ4" i="2" s="1"/>
  <c r="CC4" i="2" s="1"/>
  <c r="BA4" i="2"/>
  <c r="AZ4" i="2"/>
  <c r="AY4" i="2"/>
  <c r="AX4" i="2"/>
  <c r="AW4" i="2"/>
  <c r="CL3" i="2"/>
  <c r="CK3" i="2"/>
  <c r="CJ3" i="2"/>
  <c r="CB3" i="2"/>
  <c r="CA3" i="2"/>
  <c r="BY3" i="2"/>
  <c r="BX3" i="2"/>
  <c r="BW3" i="2"/>
  <c r="BV3" i="2"/>
  <c r="BU3" i="2"/>
  <c r="BT3" i="2"/>
  <c r="BS3" i="2"/>
  <c r="BR3" i="2"/>
  <c r="BQ3" i="2"/>
  <c r="BP3" i="2"/>
  <c r="BO3" i="2"/>
  <c r="BN3" i="2"/>
  <c r="BM3" i="2"/>
  <c r="BL3" i="2"/>
  <c r="BK3" i="2"/>
  <c r="BJ3" i="2"/>
  <c r="BI3" i="2"/>
  <c r="BH3" i="2"/>
  <c r="BG3" i="2"/>
  <c r="BF3" i="2"/>
  <c r="BE3" i="2"/>
  <c r="BD3" i="2"/>
  <c r="BC3" i="2"/>
  <c r="BB3" i="2"/>
  <c r="BZ3" i="2" s="1"/>
  <c r="BA3" i="2"/>
  <c r="AZ3" i="2"/>
  <c r="AY3" i="2"/>
  <c r="AX3" i="2"/>
  <c r="AW3" i="2"/>
  <c r="BZ1" i="2"/>
  <c r="L43" i="4" l="1"/>
  <c r="L278" i="4"/>
  <c r="L211" i="4"/>
  <c r="L943" i="4"/>
  <c r="L1311" i="4"/>
  <c r="L1804" i="4"/>
  <c r="L1808" i="4"/>
  <c r="L1812" i="4"/>
  <c r="L290" i="4"/>
  <c r="L374" i="4"/>
  <c r="L1402" i="4"/>
  <c r="L2676" i="4"/>
  <c r="L2700" i="4"/>
  <c r="L2724" i="4"/>
  <c r="L2732" i="4"/>
  <c r="L1133" i="4"/>
  <c r="L917" i="4"/>
  <c r="L1049" i="4"/>
  <c r="L1587" i="4"/>
  <c r="L71" i="4"/>
  <c r="L83" i="4"/>
  <c r="L709" i="4"/>
  <c r="L2211" i="4"/>
  <c r="L2223" i="4"/>
  <c r="L2562" i="4"/>
  <c r="L2753" i="4"/>
  <c r="L1559" i="4"/>
  <c r="L1805" i="4"/>
  <c r="L239" i="4"/>
  <c r="L2028" i="4"/>
  <c r="L941" i="4"/>
  <c r="L1272" i="4"/>
  <c r="L2180" i="4"/>
  <c r="L3084" i="4"/>
  <c r="L3168" i="4"/>
  <c r="L3208" i="4"/>
  <c r="L1199" i="4"/>
  <c r="L2515" i="4"/>
  <c r="L2002" i="4"/>
  <c r="L2010" i="4"/>
  <c r="L2784" i="4"/>
  <c r="L3010" i="4"/>
  <c r="L3034" i="4"/>
  <c r="L272" i="4"/>
  <c r="L1014" i="4"/>
  <c r="L1026" i="4"/>
  <c r="L1215" i="4"/>
  <c r="L1371" i="4"/>
  <c r="L1442" i="4"/>
  <c r="L1454" i="4"/>
  <c r="L1458" i="4"/>
  <c r="L1462" i="4"/>
  <c r="L1553" i="4"/>
  <c r="L1636" i="4"/>
  <c r="L1640" i="4"/>
  <c r="L1644" i="4"/>
  <c r="L1715" i="4"/>
  <c r="L2484" i="4"/>
  <c r="L2551" i="4"/>
  <c r="L2574" i="4"/>
  <c r="L2590" i="4"/>
  <c r="L2943" i="4"/>
  <c r="L3190" i="4"/>
  <c r="L3194" i="4"/>
  <c r="K34" i="3"/>
  <c r="L322" i="4"/>
  <c r="K35" i="3"/>
  <c r="J76" i="3"/>
  <c r="L682" i="4"/>
  <c r="L1530" i="4"/>
  <c r="L2043" i="4"/>
  <c r="L2397" i="4"/>
  <c r="L2433" i="4"/>
  <c r="L2437" i="4"/>
  <c r="L2916" i="4"/>
  <c r="L952" i="4"/>
  <c r="L1182" i="4"/>
  <c r="L1826" i="4"/>
  <c r="K59" i="3"/>
  <c r="L100" i="4"/>
  <c r="L299" i="4"/>
  <c r="L768" i="4"/>
  <c r="L969" i="4"/>
  <c r="L1089" i="4"/>
  <c r="L1101" i="4"/>
  <c r="L1261" i="4"/>
  <c r="L1403" i="4"/>
  <c r="L1443" i="4"/>
  <c r="L1704" i="4"/>
  <c r="L1724" i="4"/>
  <c r="L2127" i="4"/>
  <c r="L2473" i="4"/>
  <c r="L2742" i="4"/>
  <c r="L2746" i="4"/>
  <c r="L2809" i="4"/>
  <c r="L2841" i="4"/>
  <c r="L2869" i="4"/>
  <c r="L3047" i="4"/>
  <c r="L3143" i="4"/>
  <c r="L3147" i="4"/>
  <c r="L3187" i="4"/>
  <c r="L87" i="4"/>
  <c r="L1069" i="4"/>
  <c r="L1398" i="4"/>
  <c r="L217" i="4"/>
  <c r="L935" i="4"/>
  <c r="L1141" i="4"/>
  <c r="K100" i="3"/>
  <c r="L263" i="4"/>
  <c r="L694" i="4"/>
  <c r="L1305" i="4"/>
  <c r="L184" i="4"/>
  <c r="L208" i="4"/>
  <c r="L244" i="4"/>
  <c r="L914" i="4"/>
  <c r="L1218" i="4"/>
  <c r="L1653" i="4"/>
  <c r="L1760" i="4"/>
  <c r="L1772" i="4"/>
  <c r="L1957" i="4"/>
  <c r="L1965" i="4"/>
  <c r="L2242" i="4"/>
  <c r="L2254" i="4"/>
  <c r="L2290" i="4"/>
  <c r="L2314" i="4"/>
  <c r="L2318" i="4"/>
  <c r="L2326" i="4"/>
  <c r="L2635" i="4"/>
  <c r="L2889" i="4"/>
  <c r="L1110" i="4"/>
  <c r="K70" i="3"/>
  <c r="K82" i="3"/>
  <c r="L1000" i="4"/>
  <c r="L1170" i="4"/>
  <c r="L1534" i="4"/>
  <c r="L1621" i="4"/>
  <c r="K24" i="3"/>
  <c r="K88" i="3"/>
  <c r="L687" i="4"/>
  <c r="L933" i="4"/>
  <c r="L1427" i="4"/>
  <c r="L1692" i="4"/>
  <c r="L1700" i="4"/>
  <c r="L1720" i="4"/>
  <c r="L1728" i="4"/>
  <c r="K7" i="3"/>
  <c r="K13" i="3"/>
  <c r="K19" i="3"/>
  <c r="J43" i="3"/>
  <c r="K54" i="3"/>
  <c r="J66" i="3"/>
  <c r="J72" i="3"/>
  <c r="K95" i="3"/>
  <c r="L165" i="4"/>
  <c r="L177" i="4"/>
  <c r="L237" i="4"/>
  <c r="L328" i="4"/>
  <c r="L479" i="4"/>
  <c r="L881" i="4"/>
  <c r="L1283" i="4"/>
  <c r="L834" i="4"/>
  <c r="K57" i="3"/>
  <c r="K46" i="3"/>
  <c r="L260" i="4"/>
  <c r="L229" i="4"/>
  <c r="L1896" i="4"/>
  <c r="J8" i="3"/>
  <c r="J55" i="3"/>
  <c r="L867" i="4"/>
  <c r="L188" i="4"/>
  <c r="K23" i="3"/>
  <c r="K111" i="3"/>
  <c r="L181" i="4"/>
  <c r="K74" i="3"/>
  <c r="K4" i="3"/>
  <c r="K104" i="3"/>
  <c r="L1143" i="4"/>
  <c r="L25" i="4"/>
  <c r="K93" i="3"/>
  <c r="L418" i="4"/>
  <c r="J38" i="3"/>
  <c r="J50" i="3"/>
  <c r="L156" i="4"/>
  <c r="L1018" i="4"/>
  <c r="L1152" i="4"/>
  <c r="L1326" i="4"/>
  <c r="L1397" i="4"/>
  <c r="L2041" i="4"/>
  <c r="L2061" i="4"/>
  <c r="L2779" i="4"/>
  <c r="L2867" i="4"/>
  <c r="L2954" i="4"/>
  <c r="BZ968" i="2"/>
  <c r="CC968" i="2" s="1"/>
  <c r="BZ980" i="2"/>
  <c r="CC980" i="2" s="1"/>
  <c r="BZ1004" i="2"/>
  <c r="CC1004" i="2" s="1"/>
  <c r="BZ1016" i="2"/>
  <c r="CC1016" i="2" s="1"/>
  <c r="K11" i="3"/>
  <c r="K49" i="3"/>
  <c r="K60" i="3"/>
  <c r="K83" i="3"/>
  <c r="L104" i="4"/>
  <c r="L366" i="4"/>
  <c r="L425" i="4"/>
  <c r="L736" i="4"/>
  <c r="L1004" i="4"/>
  <c r="BZ923" i="2"/>
  <c r="CC923" i="2" s="1"/>
  <c r="BZ953" i="2"/>
  <c r="CC953" i="2" s="1"/>
  <c r="BZ995" i="2"/>
  <c r="CC995" i="2" s="1"/>
  <c r="BZ1007" i="2"/>
  <c r="CC1007" i="2" s="1"/>
  <c r="BZ1031" i="2"/>
  <c r="CC1031" i="2" s="1"/>
  <c r="BZ1037" i="2"/>
  <c r="CC1037" i="2" s="1"/>
  <c r="BZ1067" i="2"/>
  <c r="CC1067" i="2" s="1"/>
  <c r="K78" i="3"/>
  <c r="L66" i="4"/>
  <c r="L97" i="4"/>
  <c r="L288" i="4"/>
  <c r="L359" i="4"/>
  <c r="L497" i="4"/>
  <c r="L781" i="4"/>
  <c r="L795" i="4"/>
  <c r="L828" i="4"/>
  <c r="L890" i="4"/>
  <c r="L997" i="4"/>
  <c r="L1059" i="4"/>
  <c r="L1194" i="4"/>
  <c r="L1256" i="4"/>
  <c r="L1343" i="4"/>
  <c r="L1566" i="4"/>
  <c r="L1629" i="4"/>
  <c r="L1825" i="4"/>
  <c r="L2550" i="4"/>
  <c r="L2703" i="4"/>
  <c r="L2950" i="4"/>
  <c r="L3021" i="4"/>
  <c r="L3048" i="4"/>
  <c r="L3107" i="4"/>
  <c r="L3205" i="4"/>
  <c r="BZ986" i="2"/>
  <c r="CC986" i="2" s="1"/>
  <c r="BZ1175" i="2"/>
  <c r="CC1175" i="2" s="1"/>
  <c r="K84" i="3"/>
  <c r="L4" i="4"/>
  <c r="L102" i="4"/>
  <c r="L514" i="4"/>
  <c r="L954" i="4"/>
  <c r="L978" i="4"/>
  <c r="L1009" i="4"/>
  <c r="L1057" i="4"/>
  <c r="L1102" i="4"/>
  <c r="L1116" i="4"/>
  <c r="L1633" i="4"/>
  <c r="L1837" i="4"/>
  <c r="L1861" i="4"/>
  <c r="L2025" i="4"/>
  <c r="L2104" i="4"/>
  <c r="L2108" i="4"/>
  <c r="L2120" i="4"/>
  <c r="L2179" i="4"/>
  <c r="L2230" i="4"/>
  <c r="L2337" i="4"/>
  <c r="L2428" i="4"/>
  <c r="L2432" i="4"/>
  <c r="L2569" i="4"/>
  <c r="L2573" i="4"/>
  <c r="L2581" i="4"/>
  <c r="L2593" i="4"/>
  <c r="L2891" i="4"/>
  <c r="BZ1181" i="2"/>
  <c r="CC1181" i="2" s="1"/>
  <c r="L166" i="4"/>
  <c r="L214" i="4"/>
  <c r="L402" i="4"/>
  <c r="L526" i="4"/>
  <c r="L550" i="4"/>
  <c r="BZ880" i="2"/>
  <c r="CC880" i="2" s="1"/>
  <c r="BZ892" i="2"/>
  <c r="CC892" i="2" s="1"/>
  <c r="BZ904" i="2"/>
  <c r="CC904" i="2" s="1"/>
  <c r="J13" i="3"/>
  <c r="J30" i="3"/>
  <c r="J35" i="3"/>
  <c r="J40" i="3"/>
  <c r="K67" i="3"/>
  <c r="K73" i="3"/>
  <c r="K79" i="3"/>
  <c r="J85" i="3"/>
  <c r="K90" i="3"/>
  <c r="K107" i="3"/>
  <c r="L152" i="4"/>
  <c r="L274" i="4"/>
  <c r="L395" i="4"/>
  <c r="L407" i="4"/>
  <c r="L555" i="4"/>
  <c r="L646" i="4"/>
  <c r="L779" i="4"/>
  <c r="L1668" i="4"/>
  <c r="L2785" i="4"/>
  <c r="L2789" i="4"/>
  <c r="L2864" i="4"/>
  <c r="L3154" i="4"/>
  <c r="BZ1080" i="2"/>
  <c r="CC1080" i="2" s="1"/>
  <c r="BZ920" i="2"/>
  <c r="CC920" i="2" s="1"/>
  <c r="BZ932" i="2"/>
  <c r="CC932" i="2" s="1"/>
  <c r="BZ944" i="2"/>
  <c r="CC944" i="2" s="1"/>
  <c r="BZ956" i="2"/>
  <c r="CC956" i="2" s="1"/>
  <c r="BZ992" i="2"/>
  <c r="CC992" i="2" s="1"/>
  <c r="BZ1028" i="2"/>
  <c r="CC1028" i="2" s="1"/>
  <c r="BZ1040" i="2"/>
  <c r="CC1040" i="2" s="1"/>
  <c r="BZ1052" i="2"/>
  <c r="CC1052" i="2" s="1"/>
  <c r="BZ1064" i="2"/>
  <c r="CC1064" i="2" s="1"/>
  <c r="BZ1076" i="2"/>
  <c r="CC1076" i="2" s="1"/>
  <c r="BZ1176" i="2"/>
  <c r="CC1176" i="2" s="1"/>
  <c r="BZ1182" i="2"/>
  <c r="CC1182" i="2" s="1"/>
  <c r="K28" i="3"/>
  <c r="J100" i="3"/>
  <c r="L461" i="4"/>
  <c r="L480" i="4"/>
  <c r="L504" i="4"/>
  <c r="BZ918" i="2"/>
  <c r="CC918" i="2" s="1"/>
  <c r="BZ924" i="2"/>
  <c r="CC924" i="2" s="1"/>
  <c r="BZ930" i="2"/>
  <c r="CC930" i="2" s="1"/>
  <c r="BZ936" i="2"/>
  <c r="CC936" i="2" s="1"/>
  <c r="BZ942" i="2"/>
  <c r="CC942" i="2" s="1"/>
  <c r="BZ948" i="2"/>
  <c r="CC948" i="2" s="1"/>
  <c r="BZ954" i="2"/>
  <c r="CC954" i="2" s="1"/>
  <c r="BZ960" i="2"/>
  <c r="CC960" i="2" s="1"/>
  <c r="BZ966" i="2"/>
  <c r="CC966" i="2" s="1"/>
  <c r="BZ972" i="2"/>
  <c r="CC972" i="2" s="1"/>
  <c r="BZ978" i="2"/>
  <c r="CC978" i="2" s="1"/>
  <c r="BZ984" i="2"/>
  <c r="CC984" i="2" s="1"/>
  <c r="BZ990" i="2"/>
  <c r="CC990" i="2" s="1"/>
  <c r="BZ996" i="2"/>
  <c r="CC996" i="2" s="1"/>
  <c r="BZ1002" i="2"/>
  <c r="CC1002" i="2" s="1"/>
  <c r="BZ1008" i="2"/>
  <c r="CC1008" i="2" s="1"/>
  <c r="BZ1014" i="2"/>
  <c r="CC1014" i="2" s="1"/>
  <c r="BZ1020" i="2"/>
  <c r="CC1020" i="2" s="1"/>
  <c r="BZ1026" i="2"/>
  <c r="CC1026" i="2" s="1"/>
  <c r="BZ1032" i="2"/>
  <c r="CC1032" i="2" s="1"/>
  <c r="BZ1038" i="2"/>
  <c r="CC1038" i="2" s="1"/>
  <c r="BZ1044" i="2"/>
  <c r="CC1044" i="2" s="1"/>
  <c r="BZ1050" i="2"/>
  <c r="CC1050" i="2" s="1"/>
  <c r="BZ1056" i="2"/>
  <c r="CC1056" i="2" s="1"/>
  <c r="BZ1062" i="2"/>
  <c r="CC1062" i="2" s="1"/>
  <c r="BZ1068" i="2"/>
  <c r="CC1068" i="2" s="1"/>
  <c r="BZ1074" i="2"/>
  <c r="CC1074" i="2" s="1"/>
  <c r="J91" i="3"/>
  <c r="L850" i="4"/>
  <c r="L2413" i="4"/>
  <c r="L2421" i="4"/>
  <c r="L2425" i="4"/>
  <c r="BZ1173" i="2"/>
  <c r="CC1173" i="2" s="1"/>
  <c r="BZ1179" i="2"/>
  <c r="CC1179" i="2" s="1"/>
  <c r="K3" i="3"/>
  <c r="K25" i="3"/>
  <c r="L265" i="4"/>
  <c r="L353" i="4"/>
  <c r="L360" i="4"/>
  <c r="L455" i="4"/>
  <c r="L467" i="4"/>
  <c r="L582" i="4"/>
  <c r="L589" i="4"/>
  <c r="L601" i="4"/>
  <c r="L637" i="4"/>
  <c r="L742" i="4"/>
  <c r="L815" i="4"/>
  <c r="L879" i="4"/>
  <c r="L1029" i="4"/>
  <c r="L1214" i="4"/>
  <c r="L1245" i="4"/>
  <c r="L1306" i="4"/>
  <c r="L1318" i="4"/>
  <c r="L1619" i="4"/>
  <c r="L1654" i="4"/>
  <c r="L1776" i="4"/>
  <c r="L1784" i="4"/>
  <c r="L2038" i="4"/>
  <c r="L2062" i="4"/>
  <c r="L2157" i="4"/>
  <c r="L2200" i="4"/>
  <c r="L2350" i="4"/>
  <c r="L253" i="4"/>
  <c r="L308" i="4"/>
  <c r="L346" i="4"/>
  <c r="L699" i="4"/>
  <c r="I836" i="4"/>
  <c r="L843" i="4"/>
  <c r="L1376" i="4"/>
  <c r="L1466" i="4"/>
  <c r="L1615" i="4"/>
  <c r="L1745" i="4"/>
  <c r="L1976" i="4"/>
  <c r="L2066" i="4"/>
  <c r="BZ1046" i="2"/>
  <c r="CC1046" i="2" s="1"/>
  <c r="BZ1053" i="2"/>
  <c r="CC1053" i="2" s="1"/>
  <c r="BZ1058" i="2"/>
  <c r="CC1058" i="2" s="1"/>
  <c r="BZ1070" i="2"/>
  <c r="CC1070" i="2" s="1"/>
  <c r="J4" i="3"/>
  <c r="K20" i="3"/>
  <c r="J42" i="3"/>
  <c r="K58" i="3"/>
  <c r="K75" i="3"/>
  <c r="K81" i="3"/>
  <c r="K86" i="3"/>
  <c r="K103" i="3"/>
  <c r="K109" i="3"/>
  <c r="L5" i="4"/>
  <c r="L17" i="4"/>
  <c r="L29" i="4"/>
  <c r="L34" i="4"/>
  <c r="L41" i="4"/>
  <c r="L60" i="4"/>
  <c r="L84" i="4"/>
  <c r="L108" i="4"/>
  <c r="L167" i="4"/>
  <c r="L337" i="4"/>
  <c r="L410" i="4"/>
  <c r="L415" i="4"/>
  <c r="L491" i="4"/>
  <c r="L568" i="4"/>
  <c r="L685" i="4"/>
  <c r="L1117" i="4"/>
  <c r="L1150" i="4"/>
  <c r="L1155" i="4"/>
  <c r="L1226" i="4"/>
  <c r="L1250" i="4"/>
  <c r="L1257" i="4"/>
  <c r="L1353" i="4"/>
  <c r="L1761" i="4"/>
  <c r="L2094" i="4"/>
  <c r="L2406" i="4"/>
  <c r="L2544" i="4"/>
  <c r="L2563" i="4"/>
  <c r="L2650" i="4"/>
  <c r="L2713" i="4"/>
  <c r="L2745" i="4"/>
  <c r="L2948" i="4"/>
  <c r="L2976" i="4"/>
  <c r="L3003" i="4"/>
  <c r="L3113" i="4"/>
  <c r="BZ1178" i="2"/>
  <c r="CC1178" i="2" s="1"/>
  <c r="BZ1184" i="2"/>
  <c r="CC1184" i="2" s="1"/>
  <c r="J21" i="3"/>
  <c r="K47" i="3"/>
  <c r="J110" i="3"/>
  <c r="L82" i="4"/>
  <c r="L458" i="4"/>
  <c r="L1584" i="4"/>
  <c r="L1933" i="4"/>
  <c r="L2307" i="4"/>
  <c r="L2410" i="4"/>
  <c r="L2521" i="4"/>
  <c r="L2858" i="4"/>
  <c r="BZ1000" i="2"/>
  <c r="CC1000" i="2" s="1"/>
  <c r="BZ1006" i="2"/>
  <c r="CC1006" i="2" s="1"/>
  <c r="BZ1012" i="2"/>
  <c r="CC1012" i="2" s="1"/>
  <c r="BZ1018" i="2"/>
  <c r="CC1018" i="2" s="1"/>
  <c r="BZ1024" i="2"/>
  <c r="CC1024" i="2" s="1"/>
  <c r="BZ1030" i="2"/>
  <c r="CC1030" i="2" s="1"/>
  <c r="BZ1036" i="2"/>
  <c r="CC1036" i="2" s="1"/>
  <c r="BZ1042" i="2"/>
  <c r="CC1042" i="2" s="1"/>
  <c r="BZ1048" i="2"/>
  <c r="CC1048" i="2" s="1"/>
  <c r="BZ1054" i="2"/>
  <c r="CC1054" i="2" s="1"/>
  <c r="BZ1060" i="2"/>
  <c r="CC1060" i="2" s="1"/>
  <c r="BZ1066" i="2"/>
  <c r="CC1066" i="2" s="1"/>
  <c r="BZ1072" i="2"/>
  <c r="CC1072" i="2" s="1"/>
  <c r="BZ1078" i="2"/>
  <c r="CC1078" i="2" s="1"/>
  <c r="BZ926" i="2"/>
  <c r="CC926" i="2" s="1"/>
  <c r="BZ931" i="2"/>
  <c r="CC931" i="2" s="1"/>
  <c r="BZ1045" i="2"/>
  <c r="CC1045" i="2" s="1"/>
  <c r="BZ1077" i="2"/>
  <c r="CC1077" i="2" s="1"/>
  <c r="BZ916" i="2"/>
  <c r="CC916" i="2" s="1"/>
  <c r="BZ922" i="2"/>
  <c r="CC922" i="2" s="1"/>
  <c r="BZ928" i="2"/>
  <c r="CC928" i="2" s="1"/>
  <c r="BZ934" i="2"/>
  <c r="CC934" i="2" s="1"/>
  <c r="BZ940" i="2"/>
  <c r="CC940" i="2" s="1"/>
  <c r="BZ946" i="2"/>
  <c r="CC946" i="2" s="1"/>
  <c r="BZ952" i="2"/>
  <c r="CC952" i="2" s="1"/>
  <c r="BZ958" i="2"/>
  <c r="CC958" i="2" s="1"/>
  <c r="BZ964" i="2"/>
  <c r="CC964" i="2" s="1"/>
  <c r="BZ970" i="2"/>
  <c r="CC970" i="2" s="1"/>
  <c r="BZ976" i="2"/>
  <c r="CC976" i="2" s="1"/>
  <c r="BZ982" i="2"/>
  <c r="CC982" i="2" s="1"/>
  <c r="BZ988" i="2"/>
  <c r="CC988" i="2" s="1"/>
  <c r="BZ994" i="2"/>
  <c r="CC994" i="2" s="1"/>
  <c r="BZ1183" i="2"/>
  <c r="CC1183" i="2" s="1"/>
  <c r="K10" i="3"/>
  <c r="K16" i="3"/>
  <c r="K22" i="3"/>
  <c r="K33" i="3"/>
  <c r="J71" i="3"/>
  <c r="K77" i="3"/>
  <c r="J94" i="3"/>
  <c r="L199" i="4"/>
  <c r="L254" i="4"/>
  <c r="L342" i="4"/>
  <c r="L349" i="4"/>
  <c r="L382" i="4"/>
  <c r="L638" i="4"/>
  <c r="L731" i="4"/>
  <c r="L994" i="4"/>
  <c r="L1006" i="4"/>
  <c r="L1082" i="4"/>
  <c r="L1153" i="4"/>
  <c r="L1177" i="4"/>
  <c r="L1241" i="4"/>
  <c r="L1253" i="4"/>
  <c r="L1260" i="4"/>
  <c r="L1279" i="4"/>
  <c r="L1323" i="4"/>
  <c r="L1354" i="4"/>
  <c r="L1754" i="4"/>
  <c r="L1887" i="4"/>
  <c r="L1922" i="4"/>
  <c r="L2506" i="4"/>
  <c r="L2706" i="4"/>
  <c r="L2734" i="4"/>
  <c r="L3094" i="4"/>
  <c r="L3129" i="4"/>
  <c r="BZ891" i="2"/>
  <c r="CC891" i="2" s="1"/>
  <c r="BZ903" i="2"/>
  <c r="CC903" i="2" s="1"/>
  <c r="BZ969" i="2"/>
  <c r="CC969" i="2" s="1"/>
  <c r="BZ950" i="2"/>
  <c r="CC950" i="2" s="1"/>
  <c r="BZ1022" i="2"/>
  <c r="CC1022" i="2" s="1"/>
  <c r="L1762" i="4"/>
  <c r="L2095" i="4"/>
  <c r="L2229" i="4"/>
  <c r="L3164" i="4"/>
  <c r="BZ1034" i="2"/>
  <c r="CC1034" i="2" s="1"/>
  <c r="L1035" i="4"/>
  <c r="L1092" i="4"/>
  <c r="L1312" i="4"/>
  <c r="L2218" i="4"/>
  <c r="L2222" i="4"/>
  <c r="L2671" i="4"/>
  <c r="L3032" i="4"/>
  <c r="J12" i="3"/>
  <c r="J23" i="3"/>
  <c r="K64" i="3"/>
  <c r="L36" i="4"/>
  <c r="L169" i="4"/>
  <c r="L334" i="4"/>
  <c r="L367" i="4"/>
  <c r="L1258" i="4"/>
  <c r="L2225" i="4"/>
  <c r="L3077" i="4"/>
  <c r="J18" i="3"/>
  <c r="K29" i="3"/>
  <c r="J87" i="3"/>
  <c r="J98" i="3"/>
  <c r="J109" i="3"/>
  <c r="L1090" i="4"/>
  <c r="L1465" i="4"/>
  <c r="L2226" i="4"/>
  <c r="L2249" i="4"/>
  <c r="L2340" i="4"/>
  <c r="L1982" i="4"/>
  <c r="L2076" i="4"/>
  <c r="L2419" i="4"/>
  <c r="L2568" i="4"/>
  <c r="J9" i="3"/>
  <c r="J14" i="3"/>
  <c r="J25" i="3"/>
  <c r="J31" i="3"/>
  <c r="J61" i="3"/>
  <c r="J88" i="3"/>
  <c r="J105" i="3"/>
  <c r="L118" i="4"/>
  <c r="L206" i="4"/>
  <c r="L530" i="4"/>
  <c r="L578" i="4"/>
  <c r="L1259" i="4"/>
  <c r="L2313" i="4"/>
  <c r="L2400" i="4"/>
  <c r="L2981" i="4"/>
  <c r="J15" i="3"/>
  <c r="J26" i="3"/>
  <c r="J51" i="3"/>
  <c r="J62" i="3"/>
  <c r="J106" i="3"/>
  <c r="L47" i="4"/>
  <c r="L380" i="4"/>
  <c r="L1039" i="4"/>
  <c r="L1623" i="4"/>
  <c r="L2369" i="4"/>
  <c r="L748" i="4"/>
  <c r="L1303" i="4"/>
  <c r="L2401" i="4"/>
  <c r="L2625" i="4"/>
  <c r="L2649" i="4"/>
  <c r="K5" i="3"/>
  <c r="J11" i="3"/>
  <c r="J16" i="3"/>
  <c r="J27" i="3"/>
  <c r="J52" i="3"/>
  <c r="J96" i="3"/>
  <c r="J107" i="3"/>
  <c r="L114" i="4"/>
  <c r="L178" i="4"/>
  <c r="L190" i="4"/>
  <c r="L802" i="4"/>
  <c r="L1108" i="4"/>
  <c r="L1267" i="4"/>
  <c r="L2255" i="4"/>
  <c r="L2990" i="4"/>
  <c r="L2653" i="4"/>
  <c r="J6" i="3"/>
  <c r="J48" i="3"/>
  <c r="K53" i="3"/>
  <c r="J58" i="3"/>
  <c r="K102" i="3"/>
  <c r="J108" i="3"/>
  <c r="L176" i="4"/>
  <c r="L200" i="4"/>
  <c r="L212" i="4"/>
  <c r="L524" i="4"/>
  <c r="L560" i="4"/>
  <c r="L584" i="4"/>
  <c r="L651" i="4"/>
  <c r="L663" i="4"/>
  <c r="L916" i="4"/>
  <c r="L1839" i="4"/>
  <c r="L1886" i="4"/>
  <c r="I75" i="4"/>
  <c r="L77" i="4"/>
  <c r="L368" i="4"/>
  <c r="L398" i="4"/>
  <c r="L528" i="4"/>
  <c r="I578" i="4"/>
  <c r="L684" i="4"/>
  <c r="L761" i="4"/>
  <c r="L805" i="4"/>
  <c r="L911" i="4"/>
  <c r="L918" i="4"/>
  <c r="L930" i="4"/>
  <c r="L949" i="4"/>
  <c r="L956" i="4"/>
  <c r="L980" i="4"/>
  <c r="L1176" i="4"/>
  <c r="L1355" i="4"/>
  <c r="L1541" i="4"/>
  <c r="L1549" i="4"/>
  <c r="L1626" i="4"/>
  <c r="L1739" i="4"/>
  <c r="L2" i="4"/>
  <c r="L94" i="4"/>
  <c r="L113" i="4"/>
  <c r="L153" i="4"/>
  <c r="L226" i="4"/>
  <c r="L238" i="4"/>
  <c r="L247" i="4"/>
  <c r="L268" i="4"/>
  <c r="L298" i="4"/>
  <c r="L314" i="4"/>
  <c r="L326" i="4"/>
  <c r="L433" i="4"/>
  <c r="L495" i="4"/>
  <c r="L502" i="4"/>
  <c r="L509" i="4"/>
  <c r="L533" i="4"/>
  <c r="L590" i="4"/>
  <c r="L675" i="4"/>
  <c r="L869" i="4"/>
  <c r="L942" i="4"/>
  <c r="L961" i="4"/>
  <c r="L1309" i="4"/>
  <c r="L1328" i="4"/>
  <c r="L1394" i="4"/>
  <c r="I1549" i="4"/>
  <c r="L1607" i="4"/>
  <c r="L673" i="4"/>
  <c r="L1301" i="4"/>
  <c r="L1522" i="4"/>
  <c r="L125" i="4"/>
  <c r="L345" i="4"/>
  <c r="L48" i="4"/>
  <c r="L436" i="4"/>
  <c r="L505" i="4"/>
  <c r="L562" i="4"/>
  <c r="L588" i="4"/>
  <c r="L635" i="4"/>
  <c r="L713" i="4"/>
  <c r="L896" i="4"/>
  <c r="L903" i="4"/>
  <c r="L964" i="4"/>
  <c r="L1080" i="4"/>
  <c r="L1165" i="4"/>
  <c r="I1165" i="4"/>
  <c r="L1325" i="4"/>
  <c r="L1512" i="4"/>
  <c r="L1516" i="4"/>
  <c r="L1546" i="4"/>
  <c r="L1569" i="4"/>
  <c r="L1573" i="4"/>
  <c r="L1693" i="4"/>
  <c r="L1697" i="4"/>
  <c r="L1856" i="4"/>
  <c r="L31" i="4"/>
  <c r="L62" i="4"/>
  <c r="L271" i="4"/>
  <c r="L310" i="4"/>
  <c r="L498" i="4"/>
  <c r="L27" i="4"/>
  <c r="L58" i="4"/>
  <c r="L170" i="4"/>
  <c r="L262" i="4"/>
  <c r="L301" i="4"/>
  <c r="L376" i="4"/>
  <c r="L404" i="4"/>
  <c r="L434" i="4"/>
  <c r="L470" i="4"/>
  <c r="L652" i="4"/>
  <c r="L690" i="4"/>
  <c r="L767" i="4"/>
  <c r="L832" i="4"/>
  <c r="L851" i="4"/>
  <c r="L863" i="4"/>
  <c r="L1033" i="4"/>
  <c r="L1222" i="4"/>
  <c r="L1262" i="4"/>
  <c r="L1670" i="4"/>
  <c r="L175" i="4"/>
  <c r="L203" i="4"/>
  <c r="L320" i="4"/>
  <c r="L475" i="4"/>
  <c r="L527" i="4"/>
  <c r="L532" i="4"/>
  <c r="L596" i="4"/>
  <c r="L603" i="4"/>
  <c r="L674" i="4"/>
  <c r="L737" i="4"/>
  <c r="L744" i="4"/>
  <c r="L760" i="4"/>
  <c r="L856" i="4"/>
  <c r="L882" i="4"/>
  <c r="L887" i="4"/>
  <c r="L936" i="4"/>
  <c r="L948" i="4"/>
  <c r="L1012" i="4"/>
  <c r="L1071" i="4"/>
  <c r="L1189" i="4"/>
  <c r="L1208" i="4"/>
  <c r="L1213" i="4"/>
  <c r="L1234" i="4"/>
  <c r="L1248" i="4"/>
  <c r="L1274" i="4"/>
  <c r="L1481" i="4"/>
  <c r="L1489" i="4"/>
  <c r="L1493" i="4"/>
  <c r="L1505" i="4"/>
  <c r="L1667" i="4"/>
  <c r="L1682" i="4"/>
  <c r="L131" i="4"/>
  <c r="L194" i="4"/>
  <c r="L332" i="4"/>
  <c r="L544" i="4"/>
  <c r="L622" i="4"/>
  <c r="I908" i="4"/>
  <c r="L908" i="4"/>
  <c r="L866" i="4"/>
  <c r="L868" i="4"/>
  <c r="L875" i="4"/>
  <c r="L880" i="4"/>
  <c r="I906" i="4"/>
  <c r="L906" i="4"/>
  <c r="L1010" i="4"/>
  <c r="L1041" i="4"/>
  <c r="L1083" i="4"/>
  <c r="L1088" i="4"/>
  <c r="L1161" i="4"/>
  <c r="L1438" i="4"/>
  <c r="I1992" i="4"/>
  <c r="L1992" i="4"/>
  <c r="L11" i="4"/>
  <c r="L54" i="4"/>
  <c r="L79" i="4"/>
  <c r="L124" i="4"/>
  <c r="L136" i="4"/>
  <c r="L185" i="4"/>
  <c r="L230" i="4"/>
  <c r="L251" i="4"/>
  <c r="L276" i="4"/>
  <c r="L302" i="4"/>
  <c r="L311" i="4"/>
  <c r="L370" i="4"/>
  <c r="L393" i="4"/>
  <c r="L421" i="4"/>
  <c r="L428" i="4"/>
  <c r="L549" i="4"/>
  <c r="L660" i="4"/>
  <c r="L700" i="4"/>
  <c r="L756" i="4"/>
  <c r="L819" i="4"/>
  <c r="L824" i="4"/>
  <c r="L826" i="4"/>
  <c r="I904" i="4"/>
  <c r="L904" i="4"/>
  <c r="L1447" i="4"/>
  <c r="L1034" i="4"/>
  <c r="L1048" i="4"/>
  <c r="L1085" i="4"/>
  <c r="L1106" i="4"/>
  <c r="L1113" i="4"/>
  <c r="L1132" i="4"/>
  <c r="L1232" i="4"/>
  <c r="L1364" i="4"/>
  <c r="L1383" i="4"/>
  <c r="L1391" i="4"/>
  <c r="L1509" i="4"/>
  <c r="L1645" i="4"/>
  <c r="L1660" i="4"/>
  <c r="L1664" i="4"/>
  <c r="L1675" i="4"/>
  <c r="L1679" i="4"/>
  <c r="L1709" i="4"/>
  <c r="L1713" i="4"/>
  <c r="L1736" i="4"/>
  <c r="L1740" i="4"/>
  <c r="L1751" i="4"/>
  <c r="L1831" i="4"/>
  <c r="L1838" i="4"/>
  <c r="L1919" i="4"/>
  <c r="L1954" i="4"/>
  <c r="L1980" i="4"/>
  <c r="L2140" i="4"/>
  <c r="L2148" i="4"/>
  <c r="L2241" i="4"/>
  <c r="L2296" i="4"/>
  <c r="L2311" i="4"/>
  <c r="L2361" i="4"/>
  <c r="L2477" i="4"/>
  <c r="L2488" i="4"/>
  <c r="L2507" i="4"/>
  <c r="L2533" i="4"/>
  <c r="L2681" i="4"/>
  <c r="L2737" i="4"/>
  <c r="L2775" i="4"/>
  <c r="L2797" i="4"/>
  <c r="L2808" i="4"/>
  <c r="L2863" i="4"/>
  <c r="I2867" i="4"/>
  <c r="L3114" i="4"/>
  <c r="L3144" i="4"/>
  <c r="L794" i="4"/>
  <c r="L822" i="4"/>
  <c r="L845" i="4"/>
  <c r="L892" i="4"/>
  <c r="L912" i="4"/>
  <c r="L966" i="4"/>
  <c r="L1046" i="4"/>
  <c r="L1081" i="4"/>
  <c r="L1118" i="4"/>
  <c r="L1146" i="4"/>
  <c r="L1160" i="4"/>
  <c r="L1251" i="4"/>
  <c r="L1286" i="4"/>
  <c r="L1341" i="4"/>
  <c r="L1361" i="4"/>
  <c r="L1372" i="4"/>
  <c r="L1395" i="4"/>
  <c r="L1421" i="4"/>
  <c r="L1467" i="4"/>
  <c r="L1513" i="4"/>
  <c r="L1517" i="4"/>
  <c r="L1562" i="4"/>
  <c r="L1725" i="4"/>
  <c r="L1801" i="4"/>
  <c r="L1846" i="4"/>
  <c r="L1958" i="4"/>
  <c r="L2014" i="4"/>
  <c r="L2022" i="4"/>
  <c r="L2048" i="4"/>
  <c r="L2219" i="4"/>
  <c r="L2265" i="4"/>
  <c r="L2273" i="4"/>
  <c r="L2385" i="4"/>
  <c r="I2515" i="4"/>
  <c r="L2620" i="4"/>
  <c r="L2632" i="4"/>
  <c r="L2730" i="4"/>
  <c r="L2768" i="4"/>
  <c r="L2820" i="4"/>
  <c r="L2832" i="4"/>
  <c r="L2840" i="4"/>
  <c r="L2856" i="4"/>
  <c r="L2878" i="4"/>
  <c r="L2937" i="4"/>
  <c r="L3057" i="4"/>
  <c r="L3061" i="4"/>
  <c r="L3183" i="4"/>
  <c r="L2141" i="4"/>
  <c r="L2250" i="4"/>
  <c r="L2689" i="4"/>
  <c r="L2930" i="4"/>
  <c r="L2961" i="4"/>
  <c r="L2965" i="4"/>
  <c r="L3065" i="4"/>
  <c r="L3096" i="4"/>
  <c r="L3145" i="4"/>
  <c r="L1158" i="4"/>
  <c r="L1536" i="4"/>
  <c r="L1676" i="4"/>
  <c r="L1680" i="4"/>
  <c r="L1794" i="4"/>
  <c r="L1854" i="4"/>
  <c r="L1912" i="4"/>
  <c r="L1916" i="4"/>
  <c r="I2401" i="4"/>
  <c r="L2719" i="4"/>
  <c r="L2772" i="4"/>
  <c r="L3192" i="4"/>
  <c r="L855" i="4"/>
  <c r="L934" i="4"/>
  <c r="L988" i="4"/>
  <c r="L1093" i="4"/>
  <c r="L1121" i="4"/>
  <c r="L1128" i="4"/>
  <c r="L1179" i="4"/>
  <c r="L1193" i="4"/>
  <c r="L1212" i="4"/>
  <c r="L1247" i="4"/>
  <c r="L1422" i="4"/>
  <c r="L1487" i="4"/>
  <c r="L1491" i="4"/>
  <c r="L1514" i="4"/>
  <c r="L1544" i="4"/>
  <c r="L1575" i="4"/>
  <c r="L1613" i="4"/>
  <c r="L1699" i="4"/>
  <c r="L1783" i="4"/>
  <c r="L1836" i="4"/>
  <c r="L1847" i="4"/>
  <c r="L1866" i="4"/>
  <c r="L1882" i="4"/>
  <c r="L1920" i="4"/>
  <c r="L2034" i="4"/>
  <c r="L2049" i="4"/>
  <c r="L2080" i="4"/>
  <c r="L2084" i="4"/>
  <c r="L2169" i="4"/>
  <c r="L2189" i="4"/>
  <c r="L2204" i="4"/>
  <c r="L2274" i="4"/>
  <c r="L2301" i="4"/>
  <c r="L2320" i="4"/>
  <c r="L2324" i="4"/>
  <c r="L2343" i="4"/>
  <c r="L2378" i="4"/>
  <c r="L2497" i="4"/>
  <c r="L2508" i="4"/>
  <c r="L2557" i="4"/>
  <c r="L2629" i="4"/>
  <c r="L2761" i="4"/>
  <c r="L2802" i="4"/>
  <c r="L2829" i="4"/>
  <c r="L2879" i="4"/>
  <c r="L2992" i="4"/>
  <c r="L2996" i="4"/>
  <c r="L3058" i="4"/>
  <c r="L3161" i="4"/>
  <c r="L3188" i="4"/>
  <c r="I3192" i="4"/>
  <c r="L1632" i="4"/>
  <c r="L1726" i="4"/>
  <c r="L1787" i="4"/>
  <c r="L811" i="4"/>
  <c r="L853" i="4"/>
  <c r="L872" i="4"/>
  <c r="L920" i="4"/>
  <c r="L932" i="4"/>
  <c r="L946" i="4"/>
  <c r="L960" i="4"/>
  <c r="L974" i="4"/>
  <c r="L986" i="4"/>
  <c r="L1021" i="4"/>
  <c r="L1070" i="4"/>
  <c r="L1077" i="4"/>
  <c r="L1119" i="4"/>
  <c r="L1184" i="4"/>
  <c r="L1191" i="4"/>
  <c r="L1217" i="4"/>
  <c r="L1408" i="4"/>
  <c r="L1445" i="4"/>
  <c r="L1537" i="4"/>
  <c r="L1556" i="4"/>
  <c r="L1643" i="4"/>
  <c r="L1662" i="4"/>
  <c r="L1711" i="4"/>
  <c r="L1734" i="4"/>
  <c r="L1738" i="4"/>
  <c r="L1795" i="4"/>
  <c r="L1799" i="4"/>
  <c r="L1829" i="4"/>
  <c r="L1833" i="4"/>
  <c r="L1840" i="4"/>
  <c r="L1844" i="4"/>
  <c r="L1901" i="4"/>
  <c r="L1917" i="4"/>
  <c r="L1967" i="4"/>
  <c r="L2100" i="4"/>
  <c r="L2110" i="4"/>
  <c r="L2146" i="4"/>
  <c r="L2363" i="4"/>
  <c r="L2367" i="4"/>
  <c r="I2425" i="4"/>
  <c r="L2554" i="4"/>
  <c r="I2568" i="4"/>
  <c r="L2599" i="4"/>
  <c r="L2664" i="4"/>
  <c r="L2731" i="4"/>
  <c r="L2743" i="4"/>
  <c r="L2814" i="4"/>
  <c r="L2962" i="4"/>
  <c r="L2970" i="4"/>
  <c r="L2974" i="4"/>
  <c r="L2985" i="4"/>
  <c r="L3116" i="4"/>
  <c r="L3146" i="4"/>
  <c r="L1814" i="4"/>
  <c r="L1859" i="4"/>
  <c r="L1956" i="4"/>
  <c r="L2001" i="4"/>
  <c r="L2016" i="4"/>
  <c r="L2046" i="4"/>
  <c r="L2073" i="4"/>
  <c r="L2107" i="4"/>
  <c r="L2111" i="4"/>
  <c r="L2205" i="4"/>
  <c r="L2213" i="4"/>
  <c r="L2271" i="4"/>
  <c r="L2302" i="4"/>
  <c r="L2306" i="4"/>
  <c r="L2317" i="4"/>
  <c r="L2472" i="4"/>
  <c r="L2539" i="4"/>
  <c r="L2622" i="4"/>
  <c r="L2641" i="4"/>
  <c r="L2710" i="4"/>
  <c r="L2799" i="4"/>
  <c r="L2826" i="4"/>
  <c r="L2830" i="4"/>
  <c r="L2838" i="4"/>
  <c r="L2939" i="4"/>
  <c r="L3051" i="4"/>
  <c r="L3055" i="4"/>
  <c r="L3082" i="4"/>
  <c r="L3213" i="4"/>
  <c r="L1845" i="4"/>
  <c r="L1872" i="4"/>
  <c r="L1910" i="4"/>
  <c r="L1914" i="4"/>
  <c r="L2097" i="4"/>
  <c r="L2163" i="4"/>
  <c r="L2194" i="4"/>
  <c r="L2252" i="4"/>
  <c r="L2260" i="4"/>
  <c r="L2295" i="4"/>
  <c r="L2341" i="4"/>
  <c r="L2449" i="4"/>
  <c r="L2495" i="4"/>
  <c r="L2665" i="4"/>
  <c r="L2680" i="4"/>
  <c r="L2707" i="4"/>
  <c r="L2736" i="4"/>
  <c r="L2815" i="4"/>
  <c r="L2866" i="4"/>
  <c r="L2924" i="4"/>
  <c r="L2959" i="4"/>
  <c r="L2967" i="4"/>
  <c r="L2971" i="4"/>
  <c r="I2990" i="4"/>
  <c r="L3017" i="4"/>
  <c r="L3029" i="4"/>
  <c r="L3132" i="4"/>
  <c r="L1849" i="4"/>
  <c r="L2101" i="4"/>
  <c r="L2214" i="4"/>
  <c r="L2237" i="4"/>
  <c r="L2345" i="4"/>
  <c r="L2388" i="4"/>
  <c r="L2453" i="4"/>
  <c r="L2881" i="4"/>
  <c r="I2236" i="4"/>
  <c r="L2236" i="4"/>
  <c r="L313" i="4"/>
  <c r="L534" i="4"/>
  <c r="L143" i="4"/>
  <c r="L1396" i="4"/>
  <c r="I1309" i="4"/>
  <c r="L44" i="4"/>
  <c r="L955" i="4"/>
  <c r="I955" i="4"/>
  <c r="I985" i="4"/>
  <c r="L985" i="4"/>
  <c r="L24" i="4"/>
  <c r="L96" i="4"/>
  <c r="L900" i="4"/>
  <c r="L1020" i="4"/>
  <c r="L1205" i="4"/>
  <c r="L1313" i="4"/>
  <c r="I1313" i="4"/>
  <c r="L414" i="4"/>
  <c r="L1362" i="4"/>
  <c r="L127" i="4"/>
  <c r="I27" i="4"/>
  <c r="L286" i="4"/>
  <c r="L396" i="4"/>
  <c r="L511" i="4"/>
  <c r="L808" i="4"/>
  <c r="L1023" i="4"/>
  <c r="L1129" i="4"/>
  <c r="L1385" i="4"/>
  <c r="L115" i="4"/>
  <c r="L973" i="4"/>
  <c r="L1392" i="4"/>
  <c r="L3044" i="4"/>
  <c r="L307" i="4"/>
  <c r="L679" i="4"/>
  <c r="L831" i="4"/>
  <c r="L889" i="4"/>
  <c r="L2457" i="4"/>
  <c r="I584" i="4"/>
  <c r="L730" i="4"/>
  <c r="L2152" i="4"/>
  <c r="L2164" i="4"/>
  <c r="L38" i="4"/>
  <c r="I63" i="4"/>
  <c r="L72" i="4"/>
  <c r="L92" i="4"/>
  <c r="L111" i="4"/>
  <c r="I176" i="4"/>
  <c r="I178" i="4"/>
  <c r="L215" i="4"/>
  <c r="L227" i="4"/>
  <c r="L248" i="4"/>
  <c r="L305" i="4"/>
  <c r="L323" i="4"/>
  <c r="I332" i="4"/>
  <c r="I334" i="4"/>
  <c r="L336" i="4"/>
  <c r="L343" i="4"/>
  <c r="L389" i="4"/>
  <c r="L417" i="4"/>
  <c r="L481" i="4"/>
  <c r="L516" i="4"/>
  <c r="L523" i="4"/>
  <c r="L556" i="4"/>
  <c r="L570" i="4"/>
  <c r="L626" i="4"/>
  <c r="I626" i="4"/>
  <c r="L677" i="4"/>
  <c r="L771" i="4"/>
  <c r="L820" i="4"/>
  <c r="L1002" i="4"/>
  <c r="L1016" i="4"/>
  <c r="L1293" i="4"/>
  <c r="L1366" i="4"/>
  <c r="L1374" i="4"/>
  <c r="L1510" i="4"/>
  <c r="L1525" i="4"/>
  <c r="L574" i="4"/>
  <c r="I802" i="4"/>
  <c r="L42" i="4"/>
  <c r="L898" i="4"/>
  <c r="L546" i="4"/>
  <c r="L56" i="4"/>
  <c r="L266" i="4"/>
  <c r="L586" i="4"/>
  <c r="L759" i="4"/>
  <c r="L137" i="4"/>
  <c r="L670" i="4"/>
  <c r="L721" i="4"/>
  <c r="L796" i="4"/>
  <c r="L171" i="4"/>
  <c r="L403" i="4"/>
  <c r="L649" i="4"/>
  <c r="L757" i="4"/>
  <c r="L857" i="4"/>
  <c r="L1122" i="4"/>
  <c r="L6" i="4"/>
  <c r="L45" i="4"/>
  <c r="L52" i="4"/>
  <c r="L88" i="4"/>
  <c r="L135" i="4"/>
  <c r="L201" i="4"/>
  <c r="L232" i="4"/>
  <c r="L289" i="4"/>
  <c r="L392" i="4"/>
  <c r="L460" i="4"/>
  <c r="L561" i="4"/>
  <c r="L598" i="4"/>
  <c r="L640" i="4"/>
  <c r="L661" i="4"/>
  <c r="L703" i="4"/>
  <c r="L841" i="4"/>
  <c r="L1031" i="4"/>
  <c r="L1063" i="4"/>
  <c r="I1063" i="4"/>
  <c r="L1236" i="4"/>
  <c r="L1255" i="4"/>
  <c r="L1315" i="4"/>
  <c r="L1360" i="4"/>
  <c r="L1488" i="4"/>
  <c r="I1500" i="4"/>
  <c r="L1500" i="4"/>
  <c r="I2019" i="4"/>
  <c r="L2019" i="4"/>
  <c r="L218" i="4"/>
  <c r="L446" i="4"/>
  <c r="L512" i="4"/>
  <c r="L1334" i="4"/>
  <c r="L1349" i="4"/>
  <c r="L1357" i="4"/>
  <c r="I1357" i="4"/>
  <c r="I1932" i="4"/>
  <c r="L1932" i="4"/>
  <c r="L1142" i="4"/>
  <c r="L51" i="4"/>
  <c r="L688" i="4"/>
  <c r="L2403" i="4"/>
  <c r="I531" i="4"/>
  <c r="L531" i="4"/>
  <c r="L839" i="4"/>
  <c r="L1003" i="4"/>
  <c r="I1003" i="4"/>
  <c r="L716" i="4"/>
  <c r="I716" i="4"/>
  <c r="L122" i="4"/>
  <c r="L793" i="4"/>
  <c r="L3040" i="4"/>
  <c r="I3106" i="4"/>
  <c r="L3106" i="4"/>
  <c r="D3" i="6"/>
  <c r="L33" i="4"/>
  <c r="L1407" i="4"/>
  <c r="L2461" i="4"/>
  <c r="I2461" i="4"/>
  <c r="L15" i="4"/>
  <c r="L672" i="4"/>
  <c r="L773" i="4"/>
  <c r="L1131" i="4"/>
  <c r="L1203" i="4"/>
  <c r="L8" i="4"/>
  <c r="L67" i="4"/>
  <c r="L241" i="4"/>
  <c r="L279" i="4"/>
  <c r="L593" i="4"/>
  <c r="L829" i="4"/>
  <c r="L2156" i="4"/>
  <c r="L2168" i="4"/>
  <c r="L21" i="4"/>
  <c r="L39" i="4"/>
  <c r="L126" i="4"/>
  <c r="I140" i="4"/>
  <c r="L204" i="4"/>
  <c r="L451" i="4"/>
  <c r="L915" i="4"/>
  <c r="L1061" i="4"/>
  <c r="L1190" i="4"/>
  <c r="L1308" i="4"/>
  <c r="L1406" i="4"/>
  <c r="L1424" i="4"/>
  <c r="I1799" i="4"/>
  <c r="L3" i="4"/>
  <c r="L373" i="4"/>
  <c r="L40" i="4"/>
  <c r="L191" i="4"/>
  <c r="L755" i="4"/>
  <c r="L46" i="4"/>
  <c r="L98" i="4"/>
  <c r="L315" i="4"/>
  <c r="L400" i="4"/>
  <c r="L423" i="4"/>
  <c r="L430" i="4"/>
  <c r="L496" i="4"/>
  <c r="L592" i="4"/>
  <c r="L599" i="4"/>
  <c r="L606" i="4"/>
  <c r="L627" i="4"/>
  <c r="L720" i="4"/>
  <c r="L790" i="4"/>
  <c r="L842" i="4"/>
  <c r="I842" i="4"/>
  <c r="L893" i="4"/>
  <c r="L902" i="4"/>
  <c r="L910" i="4"/>
  <c r="I915" i="4"/>
  <c r="L987" i="4"/>
  <c r="L1027" i="4"/>
  <c r="L1045" i="4"/>
  <c r="L1052" i="4"/>
  <c r="L1151" i="4"/>
  <c r="L1167" i="4"/>
  <c r="L1316" i="4"/>
  <c r="L1320" i="4"/>
  <c r="L1727" i="4"/>
  <c r="L1470" i="4"/>
  <c r="L1634" i="4"/>
  <c r="L1871" i="4"/>
  <c r="L2384" i="4"/>
  <c r="L2392" i="4"/>
  <c r="I2556" i="4"/>
  <c r="L2556" i="4"/>
  <c r="L2725" i="4"/>
  <c r="L2778" i="4"/>
  <c r="L138" i="4"/>
  <c r="L192" i="4"/>
  <c r="L264" i="4"/>
  <c r="L277" i="4"/>
  <c r="L284" i="4"/>
  <c r="L291" i="4"/>
  <c r="L296" i="4"/>
  <c r="L358" i="4"/>
  <c r="L379" i="4"/>
  <c r="L381" i="4"/>
  <c r="L459" i="4"/>
  <c r="L466" i="4"/>
  <c r="L487" i="4"/>
  <c r="L600" i="4"/>
  <c r="L695" i="4"/>
  <c r="L718" i="4"/>
  <c r="L738" i="4"/>
  <c r="L745" i="4"/>
  <c r="L774" i="4"/>
  <c r="L827" i="4"/>
  <c r="L833" i="4"/>
  <c r="L894" i="4"/>
  <c r="L922" i="4"/>
  <c r="L929" i="4"/>
  <c r="L940" i="4"/>
  <c r="L1032" i="4"/>
  <c r="L1100" i="4"/>
  <c r="L1201" i="4"/>
  <c r="L1239" i="4"/>
  <c r="L1273" i="4"/>
  <c r="L1291" i="4"/>
  <c r="L1367" i="4"/>
  <c r="L1440" i="4"/>
  <c r="L1478" i="4"/>
  <c r="L1485" i="4"/>
  <c r="L1504" i="4"/>
  <c r="L1567" i="4"/>
  <c r="L1579" i="4"/>
  <c r="L1627" i="4"/>
  <c r="L1694" i="4"/>
  <c r="L1755" i="4"/>
  <c r="L2718" i="4"/>
  <c r="L510" i="4"/>
  <c r="L754" i="4"/>
  <c r="L772" i="4"/>
  <c r="L801" i="4"/>
  <c r="L844" i="4"/>
  <c r="L858" i="4"/>
  <c r="L1019" i="4"/>
  <c r="L1237" i="4"/>
  <c r="L1299" i="4"/>
  <c r="L1389" i="4"/>
  <c r="L1620" i="4"/>
  <c r="I1706" i="4"/>
  <c r="L1706" i="4"/>
  <c r="I1800" i="4"/>
  <c r="L1800" i="4"/>
  <c r="L2122" i="4"/>
  <c r="L2262" i="4"/>
  <c r="L2285" i="4"/>
  <c r="L2323" i="4"/>
  <c r="L445" i="4"/>
  <c r="L452" i="4"/>
  <c r="L457" i="4"/>
  <c r="L478" i="4"/>
  <c r="L492" i="4"/>
  <c r="L506" i="4"/>
  <c r="L522" i="4"/>
  <c r="L529" i="4"/>
  <c r="L573" i="4"/>
  <c r="L610" i="4"/>
  <c r="L653" i="4"/>
  <c r="L664" i="4"/>
  <c r="L725" i="4"/>
  <c r="L743" i="4"/>
  <c r="L1136" i="4"/>
  <c r="L1206" i="4"/>
  <c r="I1213" i="4"/>
  <c r="I1267" i="4"/>
  <c r="L1296" i="4"/>
  <c r="I1303" i="4"/>
  <c r="L1672" i="4"/>
  <c r="I1763" i="4"/>
  <c r="L1763" i="4"/>
  <c r="L1860" i="4"/>
  <c r="L1864" i="4"/>
  <c r="L1868" i="4"/>
  <c r="L1883" i="4"/>
  <c r="L2277" i="4"/>
  <c r="L2647" i="4"/>
  <c r="L950" i="4"/>
  <c r="L976" i="4"/>
  <c r="L1096" i="4"/>
  <c r="L1107" i="4"/>
  <c r="L1125" i="4"/>
  <c r="L1134" i="4"/>
  <c r="L1154" i="4"/>
  <c r="L1159" i="4"/>
  <c r="L1211" i="4"/>
  <c r="L1379" i="4"/>
  <c r="L1419" i="4"/>
  <c r="L1475" i="4"/>
  <c r="L1486" i="4"/>
  <c r="L1568" i="4"/>
  <c r="L1733" i="4"/>
  <c r="L1945" i="4"/>
  <c r="L1949" i="4"/>
  <c r="L2085" i="4"/>
  <c r="L3126" i="4"/>
  <c r="L132" i="4"/>
  <c r="L173" i="4"/>
  <c r="L202" i="4"/>
  <c r="L216" i="4"/>
  <c r="L235" i="4"/>
  <c r="L242" i="4"/>
  <c r="L267" i="4"/>
  <c r="L287" i="4"/>
  <c r="L316" i="4"/>
  <c r="L338" i="4"/>
  <c r="L397" i="4"/>
  <c r="L406" i="4"/>
  <c r="L422" i="4"/>
  <c r="L424" i="4"/>
  <c r="L443" i="4"/>
  <c r="L490" i="4"/>
  <c r="L499" i="4"/>
  <c r="L513" i="4"/>
  <c r="L518" i="4"/>
  <c r="L548" i="4"/>
  <c r="L564" i="4"/>
  <c r="L571" i="4"/>
  <c r="L594" i="4"/>
  <c r="L642" i="4"/>
  <c r="L689" i="4"/>
  <c r="L712" i="4"/>
  <c r="L723" i="4"/>
  <c r="L732" i="4"/>
  <c r="L746" i="4"/>
  <c r="L766" i="4"/>
  <c r="L786" i="4"/>
  <c r="L799" i="4"/>
  <c r="L854" i="4"/>
  <c r="L861" i="4"/>
  <c r="L870" i="4"/>
  <c r="L877" i="4"/>
  <c r="L895" i="4"/>
  <c r="L907" i="4"/>
  <c r="L963" i="4"/>
  <c r="L1008" i="4"/>
  <c r="L1105" i="4"/>
  <c r="L1145" i="4"/>
  <c r="L1610" i="4"/>
  <c r="L897" i="4"/>
  <c r="L979" i="4"/>
  <c r="L1067" i="4"/>
  <c r="L1112" i="4"/>
  <c r="L1114" i="4"/>
  <c r="L1130" i="4"/>
  <c r="L1249" i="4"/>
  <c r="L1270" i="4"/>
  <c r="L1285" i="4"/>
  <c r="L1292" i="4"/>
  <c r="L1322" i="4"/>
  <c r="L1332" i="4"/>
  <c r="L1368" i="4"/>
  <c r="L1464" i="4"/>
  <c r="L1581" i="4"/>
  <c r="L1592" i="4"/>
  <c r="L1658" i="4"/>
  <c r="L1719" i="4"/>
  <c r="I1850" i="4"/>
  <c r="L1850" i="4"/>
  <c r="L1911" i="4"/>
  <c r="L1926" i="4"/>
  <c r="L1991" i="4"/>
  <c r="L2224" i="4"/>
  <c r="L2247" i="4"/>
  <c r="L1651" i="4"/>
  <c r="L1655" i="4"/>
  <c r="L1862" i="4"/>
  <c r="I1862" i="4"/>
  <c r="L2033" i="4"/>
  <c r="L3000" i="4"/>
  <c r="L7" i="4"/>
  <c r="L35" i="4"/>
  <c r="L37" i="4"/>
  <c r="L144" i="4"/>
  <c r="L149" i="4"/>
  <c r="L151" i="4"/>
  <c r="L174" i="4"/>
  <c r="L236" i="4"/>
  <c r="L341" i="4"/>
  <c r="L348" i="4"/>
  <c r="L350" i="4"/>
  <c r="L362" i="4"/>
  <c r="L369" i="4"/>
  <c r="L409" i="4"/>
  <c r="L432" i="4"/>
  <c r="L439" i="4"/>
  <c r="L472" i="4"/>
  <c r="L484" i="4"/>
  <c r="L507" i="4"/>
  <c r="L572" i="4"/>
  <c r="L604" i="4"/>
  <c r="L611" i="4"/>
  <c r="L654" i="4"/>
  <c r="L735" i="4"/>
  <c r="L780" i="4"/>
  <c r="L800" i="4"/>
  <c r="L804" i="4"/>
  <c r="L810" i="4"/>
  <c r="L864" i="4"/>
  <c r="L884" i="4"/>
  <c r="L926" i="4"/>
  <c r="L937" i="4"/>
  <c r="L957" i="4"/>
  <c r="L1013" i="4"/>
  <c r="L1047" i="4"/>
  <c r="L1054" i="4"/>
  <c r="L1065" i="4"/>
  <c r="L1079" i="4"/>
  <c r="L1126" i="4"/>
  <c r="L1137" i="4"/>
  <c r="L1223" i="4"/>
  <c r="L1225" i="4"/>
  <c r="L1227" i="4"/>
  <c r="L1399" i="4"/>
  <c r="L1410" i="4"/>
  <c r="L1428" i="4"/>
  <c r="L1432" i="4"/>
  <c r="L1791" i="4"/>
  <c r="I2037" i="4"/>
  <c r="L2037" i="4"/>
  <c r="L2183" i="4"/>
  <c r="I2803" i="4"/>
  <c r="L2803" i="4"/>
  <c r="L3070" i="4"/>
  <c r="L1718" i="4"/>
  <c r="L1743" i="4"/>
  <c r="L2088" i="4"/>
  <c r="L2445" i="4"/>
  <c r="L2757" i="4"/>
  <c r="L2929" i="4"/>
  <c r="L3209" i="4"/>
  <c r="L1555" i="4"/>
  <c r="L1827" i="4"/>
  <c r="L2575" i="4"/>
  <c r="L2602" i="4"/>
  <c r="L2617" i="4"/>
  <c r="L2926" i="4"/>
  <c r="L3206" i="4"/>
  <c r="L3210" i="4"/>
  <c r="L1669" i="4"/>
  <c r="L1687" i="4"/>
  <c r="L1712" i="4"/>
  <c r="L1741" i="4"/>
  <c r="L1748" i="4"/>
  <c r="L1766" i="4"/>
  <c r="L1770" i="4"/>
  <c r="L1802" i="4"/>
  <c r="L1828" i="4"/>
  <c r="L1832" i="4"/>
  <c r="L1900" i="4"/>
  <c r="L1904" i="4"/>
  <c r="L1938" i="4"/>
  <c r="L1998" i="4"/>
  <c r="L2026" i="4"/>
  <c r="L2130" i="4"/>
  <c r="L2145" i="4"/>
  <c r="L2199" i="4"/>
  <c r="L2266" i="4"/>
  <c r="L2373" i="4"/>
  <c r="L2423" i="4"/>
  <c r="L2503" i="4"/>
  <c r="L2583" i="4"/>
  <c r="L2747" i="4"/>
  <c r="L2812" i="4"/>
  <c r="L3033" i="4"/>
  <c r="I3119" i="4"/>
  <c r="L3119" i="4"/>
  <c r="L3191" i="4"/>
  <c r="L1209" i="4"/>
  <c r="L1294" i="4"/>
  <c r="L1386" i="4"/>
  <c r="L1400" i="4"/>
  <c r="L1439" i="4"/>
  <c r="L1446" i="4"/>
  <c r="L1482" i="4"/>
  <c r="L1524" i="4"/>
  <c r="L1535" i="4"/>
  <c r="L1600" i="4"/>
  <c r="L1659" i="4"/>
  <c r="L1677" i="4"/>
  <c r="L1705" i="4"/>
  <c r="L1716" i="4"/>
  <c r="L1730" i="4"/>
  <c r="L1752" i="4"/>
  <c r="L1777" i="4"/>
  <c r="L1806" i="4"/>
  <c r="L1810" i="4"/>
  <c r="L1817" i="4"/>
  <c r="I1872" i="4"/>
  <c r="L1890" i="4"/>
  <c r="L1931" i="4"/>
  <c r="L1942" i="4"/>
  <c r="L1946" i="4"/>
  <c r="L2115" i="4"/>
  <c r="L2165" i="4"/>
  <c r="L2188" i="4"/>
  <c r="L2240" i="4"/>
  <c r="L2251" i="4"/>
  <c r="L2354" i="4"/>
  <c r="L2610" i="4"/>
  <c r="L2614" i="4"/>
  <c r="L2701" i="4"/>
  <c r="L2806" i="4"/>
  <c r="L2842" i="4"/>
  <c r="L2880" i="4"/>
  <c r="L2907" i="4"/>
  <c r="L2911" i="4"/>
  <c r="L3045" i="4"/>
  <c r="L3098" i="4"/>
  <c r="L3105" i="4"/>
  <c r="L2177" i="4"/>
  <c r="I3098" i="4"/>
  <c r="L3176" i="4"/>
  <c r="L3195" i="4"/>
  <c r="L1472" i="4"/>
  <c r="L1518" i="4"/>
  <c r="L1586" i="4"/>
  <c r="L1656" i="4"/>
  <c r="L1674" i="4"/>
  <c r="L1681" i="4"/>
  <c r="L1703" i="4"/>
  <c r="L1753" i="4"/>
  <c r="L1775" i="4"/>
  <c r="L1778" i="4"/>
  <c r="L1786" i="4"/>
  <c r="L1797" i="4"/>
  <c r="L1807" i="4"/>
  <c r="L1811" i="4"/>
  <c r="L1928" i="4"/>
  <c r="L1969" i="4"/>
  <c r="L2031" i="4"/>
  <c r="L2474" i="4"/>
  <c r="L2485" i="4"/>
  <c r="L2519" i="4"/>
  <c r="L2559" i="4"/>
  <c r="L2668" i="4"/>
  <c r="L2792" i="4"/>
  <c r="L2855" i="4"/>
  <c r="L2951" i="4"/>
  <c r="L3083" i="4"/>
  <c r="L3087" i="4"/>
  <c r="L3091" i="4"/>
  <c r="I3095" i="4"/>
  <c r="L3095" i="4"/>
  <c r="L1437" i="4"/>
  <c r="L1451" i="4"/>
  <c r="L1508" i="4"/>
  <c r="L1550" i="4"/>
  <c r="L1558" i="4"/>
  <c r="L1583" i="4"/>
  <c r="L1678" i="4"/>
  <c r="L1764" i="4"/>
  <c r="L1815" i="4"/>
  <c r="L1898" i="4"/>
  <c r="L1909" i="4"/>
  <c r="L2079" i="4"/>
  <c r="L2143" i="4"/>
  <c r="L2215" i="4"/>
  <c r="L2325" i="4"/>
  <c r="L2374" i="4"/>
  <c r="L2459" i="4"/>
  <c r="L2771" i="4"/>
  <c r="L2975" i="4"/>
  <c r="L2982" i="4"/>
  <c r="L3072" i="4"/>
  <c r="L3150" i="4"/>
  <c r="L3158" i="4"/>
  <c r="L3181" i="4"/>
  <c r="I3181" i="4"/>
  <c r="L3200" i="4"/>
  <c r="L1138" i="4"/>
  <c r="L1156" i="4"/>
  <c r="L1221" i="4"/>
  <c r="L1268" i="4"/>
  <c r="L1298" i="4"/>
  <c r="L1337" i="4"/>
  <c r="L1344" i="4"/>
  <c r="L1348" i="4"/>
  <c r="L1359" i="4"/>
  <c r="L1373" i="4"/>
  <c r="L1384" i="4"/>
  <c r="L1416" i="4"/>
  <c r="L1430" i="4"/>
  <c r="L1441" i="4"/>
  <c r="L1455" i="4"/>
  <c r="L1469" i="4"/>
  <c r="L1480" i="4"/>
  <c r="L1494" i="4"/>
  <c r="L1498" i="4"/>
  <c r="L1501" i="4"/>
  <c r="L1515" i="4"/>
  <c r="L1540" i="4"/>
  <c r="L1595" i="4"/>
  <c r="L1646" i="4"/>
  <c r="L1685" i="4"/>
  <c r="L1689" i="4"/>
  <c r="L1710" i="4"/>
  <c r="I1815" i="4"/>
  <c r="L1823" i="4"/>
  <c r="L1830" i="4"/>
  <c r="L1848" i="4"/>
  <c r="L1881" i="4"/>
  <c r="L1884" i="4"/>
  <c r="L1895" i="4"/>
  <c r="L1906" i="4"/>
  <c r="L1936" i="4"/>
  <c r="L1940" i="4"/>
  <c r="L1944" i="4"/>
  <c r="L1981" i="4"/>
  <c r="L1996" i="4"/>
  <c r="L2013" i="4"/>
  <c r="L2053" i="4"/>
  <c r="L2091" i="4"/>
  <c r="L2109" i="4"/>
  <c r="L2117" i="4"/>
  <c r="L2128" i="4"/>
  <c r="L2201" i="4"/>
  <c r="L2238" i="4"/>
  <c r="L2322" i="4"/>
  <c r="L2452" i="4"/>
  <c r="L2553" i="4"/>
  <c r="L2623" i="4"/>
  <c r="L2859" i="4"/>
  <c r="L2955" i="4"/>
  <c r="L2997" i="4"/>
  <c r="I3158" i="4"/>
  <c r="L1790" i="4"/>
  <c r="L1865" i="4"/>
  <c r="L1897" i="4"/>
  <c r="L1908" i="4"/>
  <c r="L1948" i="4"/>
  <c r="L1952" i="4"/>
  <c r="L1970" i="4"/>
  <c r="L1999" i="4"/>
  <c r="L2009" i="4"/>
  <c r="L2023" i="4"/>
  <c r="L2047" i="4"/>
  <c r="L2098" i="4"/>
  <c r="L2116" i="4"/>
  <c r="L2176" i="4"/>
  <c r="L2212" i="4"/>
  <c r="L2248" i="4"/>
  <c r="L2348" i="4"/>
  <c r="L2352" i="4"/>
  <c r="L2355" i="4"/>
  <c r="L2404" i="4"/>
  <c r="L2411" i="4"/>
  <c r="L2426" i="4"/>
  <c r="L2434" i="4"/>
  <c r="L2471" i="4"/>
  <c r="L2526" i="4"/>
  <c r="L2566" i="4"/>
  <c r="L2592" i="4"/>
  <c r="L2646" i="4"/>
  <c r="L2754" i="4"/>
  <c r="L2758" i="4"/>
  <c r="L2813" i="4"/>
  <c r="L2823" i="4"/>
  <c r="L2874" i="4"/>
  <c r="L2912" i="4"/>
  <c r="L2919" i="4"/>
  <c r="L2923" i="4"/>
  <c r="L2952" i="4"/>
  <c r="L3059" i="4"/>
  <c r="L3066" i="4"/>
  <c r="L3109" i="4"/>
  <c r="L3141" i="4"/>
  <c r="L3185" i="4"/>
  <c r="L2927" i="4"/>
  <c r="L2949" i="4"/>
  <c r="L2998" i="4"/>
  <c r="L3103" i="4"/>
  <c r="L3148" i="4"/>
  <c r="L3152" i="4"/>
  <c r="L3163" i="4"/>
  <c r="L3174" i="4"/>
  <c r="L3178" i="4"/>
  <c r="L3189" i="4"/>
  <c r="L2294" i="4"/>
  <c r="L2338" i="4"/>
  <c r="L2356" i="4"/>
  <c r="L2360" i="4"/>
  <c r="L2371" i="4"/>
  <c r="L2386" i="4"/>
  <c r="L2412" i="4"/>
  <c r="L2538" i="4"/>
  <c r="L2596" i="4"/>
  <c r="L2658" i="4"/>
  <c r="L2662" i="4"/>
  <c r="L2669" i="4"/>
  <c r="L2755" i="4"/>
  <c r="L2783" i="4"/>
  <c r="L2817" i="4"/>
  <c r="L2871" i="4"/>
  <c r="L2886" i="4"/>
  <c r="L2984" i="4"/>
  <c r="L3009" i="4"/>
  <c r="L3016" i="4"/>
  <c r="L3020" i="4"/>
  <c r="L3131" i="4"/>
  <c r="L3142" i="4"/>
  <c r="I3145" i="4"/>
  <c r="L3156" i="4"/>
  <c r="L1921" i="4"/>
  <c r="L1935" i="4"/>
  <c r="L1960" i="4"/>
  <c r="L1964" i="4"/>
  <c r="L1986" i="4"/>
  <c r="L2000" i="4"/>
  <c r="L2024" i="4"/>
  <c r="L2055" i="4"/>
  <c r="L2092" i="4"/>
  <c r="L2106" i="4"/>
  <c r="L2158" i="4"/>
  <c r="L2192" i="4"/>
  <c r="L2206" i="4"/>
  <c r="L2287" i="4"/>
  <c r="L2291" i="4"/>
  <c r="I2313" i="4"/>
  <c r="L2327" i="4"/>
  <c r="L2394" i="4"/>
  <c r="L2405" i="4"/>
  <c r="L2409" i="4"/>
  <c r="L2427" i="4"/>
  <c r="L2435" i="4"/>
  <c r="L2480" i="4"/>
  <c r="L2531" i="4"/>
  <c r="L2548" i="4"/>
  <c r="L2561" i="4"/>
  <c r="L2564" i="4"/>
  <c r="L2567" i="4"/>
  <c r="L2607" i="4"/>
  <c r="L2640" i="4"/>
  <c r="L2685" i="4"/>
  <c r="L2688" i="4"/>
  <c r="L2695" i="4"/>
  <c r="L2712" i="4"/>
  <c r="L2715" i="4"/>
  <c r="L2759" i="4"/>
  <c r="L2824" i="4"/>
  <c r="L2913" i="4"/>
  <c r="L2973" i="4"/>
  <c r="L2977" i="4"/>
  <c r="L2988" i="4"/>
  <c r="L2991" i="4"/>
  <c r="L2995" i="4"/>
  <c r="L3060" i="4"/>
  <c r="L3089" i="4"/>
  <c r="L3149" i="4"/>
  <c r="L3204" i="4"/>
  <c r="L2052" i="4"/>
  <c r="L2059" i="4"/>
  <c r="L2067" i="4"/>
  <c r="L2121" i="4"/>
  <c r="L2181" i="4"/>
  <c r="L2217" i="4"/>
  <c r="L2253" i="4"/>
  <c r="L2331" i="4"/>
  <c r="L2379" i="4"/>
  <c r="L2465" i="4"/>
  <c r="L2487" i="4"/>
  <c r="L2542" i="4"/>
  <c r="L2545" i="4"/>
  <c r="L2752" i="4"/>
  <c r="L2770" i="4"/>
  <c r="L2821" i="4"/>
  <c r="L2846" i="4"/>
  <c r="L3024" i="4"/>
  <c r="L3035" i="4"/>
  <c r="L1788" i="4"/>
  <c r="L1835" i="4"/>
  <c r="L1874" i="4"/>
  <c r="L1899" i="4"/>
  <c r="L1968" i="4"/>
  <c r="L1979" i="4"/>
  <c r="L1983" i="4"/>
  <c r="L2004" i="4"/>
  <c r="I2067" i="4"/>
  <c r="L2074" i="4"/>
  <c r="L2103" i="4"/>
  <c r="L2129" i="4"/>
  <c r="L2228" i="4"/>
  <c r="L2276" i="4"/>
  <c r="L2328" i="4"/>
  <c r="L2376" i="4"/>
  <c r="L2383" i="4"/>
  <c r="L2387" i="4"/>
  <c r="L2447" i="4"/>
  <c r="L2491" i="4"/>
  <c r="L2601" i="4"/>
  <c r="L2633" i="4"/>
  <c r="L2651" i="4"/>
  <c r="L2659" i="4"/>
  <c r="L2663" i="4"/>
  <c r="L2739" i="4"/>
  <c r="L2749" i="4"/>
  <c r="L2756" i="4"/>
  <c r="L2787" i="4"/>
  <c r="L2794" i="4"/>
  <c r="L2811" i="4"/>
  <c r="L2902" i="4"/>
  <c r="L2999" i="4"/>
  <c r="L3053" i="4"/>
  <c r="L3068" i="4"/>
  <c r="L3179" i="4"/>
  <c r="BZ691" i="2"/>
  <c r="CC691" i="2" s="1"/>
  <c r="BZ703" i="2"/>
  <c r="CC703" i="2" s="1"/>
  <c r="BZ709" i="2"/>
  <c r="CC709" i="2" s="1"/>
  <c r="BZ721" i="2"/>
  <c r="CC721" i="2" s="1"/>
  <c r="BZ831" i="2"/>
  <c r="CC831" i="2" s="1"/>
  <c r="BZ843" i="2"/>
  <c r="CC843" i="2" s="1"/>
  <c r="I302" i="4"/>
  <c r="I400" i="4"/>
  <c r="I478" i="4"/>
  <c r="J7" i="3"/>
  <c r="K21" i="3"/>
  <c r="K39" i="3"/>
  <c r="K45" i="3"/>
  <c r="K68" i="3"/>
  <c r="J74" i="3"/>
  <c r="L12" i="4"/>
  <c r="I12" i="4"/>
  <c r="L59" i="4"/>
  <c r="L61" i="4"/>
  <c r="L107" i="4"/>
  <c r="L164" i="4"/>
  <c r="L275" i="4"/>
  <c r="L448" i="4"/>
  <c r="I448" i="4"/>
  <c r="L538" i="4"/>
  <c r="I538" i="4"/>
  <c r="I865" i="4"/>
  <c r="L865" i="4"/>
  <c r="BZ698" i="2"/>
  <c r="CC698" i="2" s="1"/>
  <c r="L162" i="4"/>
  <c r="I162" i="4"/>
  <c r="I697" i="4"/>
  <c r="L697" i="4"/>
  <c r="BZ715" i="2"/>
  <c r="CC715" i="2" s="1"/>
  <c r="BZ825" i="2"/>
  <c r="CC825" i="2" s="1"/>
  <c r="BZ849" i="2"/>
  <c r="CC849" i="2" s="1"/>
  <c r="BZ861" i="2"/>
  <c r="CC861" i="2" s="1"/>
  <c r="BZ660" i="2"/>
  <c r="CC660" i="2" s="1"/>
  <c r="BZ672" i="2"/>
  <c r="CC672" i="2" s="1"/>
  <c r="BZ690" i="2"/>
  <c r="CC690" i="2" s="1"/>
  <c r="BZ732" i="2"/>
  <c r="CC732" i="2" s="1"/>
  <c r="BZ744" i="2"/>
  <c r="CC744" i="2" s="1"/>
  <c r="BZ756" i="2"/>
  <c r="CC756" i="2" s="1"/>
  <c r="K94" i="3"/>
  <c r="J3" i="3"/>
  <c r="K40" i="3"/>
  <c r="J60" i="3"/>
  <c r="K69" i="3"/>
  <c r="K110" i="3"/>
  <c r="L65" i="4"/>
  <c r="I72" i="4"/>
  <c r="I89" i="4"/>
  <c r="L89" i="4"/>
  <c r="BZ704" i="2"/>
  <c r="CC704" i="2" s="1"/>
  <c r="J2" i="3"/>
  <c r="L109" i="4"/>
  <c r="BZ666" i="2"/>
  <c r="CC666" i="2" s="1"/>
  <c r="BZ678" i="2"/>
  <c r="CC678" i="2" s="1"/>
  <c r="BZ696" i="2"/>
  <c r="CC696" i="2" s="1"/>
  <c r="BZ750" i="2"/>
  <c r="CC750" i="2" s="1"/>
  <c r="BZ731" i="2"/>
  <c r="CC731" i="2" s="1"/>
  <c r="BZ737" i="2"/>
  <c r="CC737" i="2" s="1"/>
  <c r="BZ743" i="2"/>
  <c r="CC743" i="2" s="1"/>
  <c r="BZ749" i="2"/>
  <c r="CC749" i="2" s="1"/>
  <c r="BZ755" i="2"/>
  <c r="CC755" i="2" s="1"/>
  <c r="BZ767" i="2"/>
  <c r="CC767" i="2" s="1"/>
  <c r="K8" i="3"/>
  <c r="J22" i="3"/>
  <c r="K31" i="3"/>
  <c r="K41" i="3"/>
  <c r="K55" i="3"/>
  <c r="H60" i="3"/>
  <c r="J64" i="3"/>
  <c r="J70" i="3"/>
  <c r="K105" i="3"/>
  <c r="J111" i="3"/>
  <c r="L30" i="4"/>
  <c r="L57" i="4"/>
  <c r="L155" i="4"/>
  <c r="L814" i="4"/>
  <c r="I814" i="4"/>
  <c r="L1543" i="4"/>
  <c r="I1543" i="4"/>
  <c r="B3" i="6"/>
  <c r="BZ685" i="2"/>
  <c r="CC685" i="2" s="1"/>
  <c r="BZ745" i="2"/>
  <c r="CC745" i="2" s="1"/>
  <c r="BZ751" i="2"/>
  <c r="CC751" i="2" s="1"/>
  <c r="BZ867" i="2"/>
  <c r="CC867" i="2" s="1"/>
  <c r="L69" i="4"/>
  <c r="BZ738" i="2"/>
  <c r="CC738" i="2" s="1"/>
  <c r="K12" i="3"/>
  <c r="BZ779" i="2"/>
  <c r="CC779" i="2" s="1"/>
  <c r="L19" i="4"/>
  <c r="L78" i="4"/>
  <c r="I103" i="4"/>
  <c r="L103" i="4"/>
  <c r="L356" i="4"/>
  <c r="I356" i="4"/>
  <c r="L608" i="4"/>
  <c r="I608" i="4"/>
  <c r="BZ733" i="2"/>
  <c r="CC733" i="2" s="1"/>
  <c r="BZ757" i="2"/>
  <c r="CC757" i="2" s="1"/>
  <c r="BZ855" i="2"/>
  <c r="CC855" i="2" s="1"/>
  <c r="BZ684" i="2"/>
  <c r="CC684" i="2" s="1"/>
  <c r="BZ670" i="2"/>
  <c r="CC670" i="2" s="1"/>
  <c r="BZ676" i="2"/>
  <c r="CC676" i="2" s="1"/>
  <c r="BZ682" i="2"/>
  <c r="CC682" i="2" s="1"/>
  <c r="BZ688" i="2"/>
  <c r="CC688" i="2" s="1"/>
  <c r="BZ694" i="2"/>
  <c r="CC694" i="2" s="1"/>
  <c r="BZ700" i="2"/>
  <c r="CC700" i="2" s="1"/>
  <c r="BZ706" i="2"/>
  <c r="CC706" i="2" s="1"/>
  <c r="BZ712" i="2"/>
  <c r="CC712" i="2" s="1"/>
  <c r="BZ718" i="2"/>
  <c r="CC718" i="2" s="1"/>
  <c r="BZ724" i="2"/>
  <c r="CC724" i="2" s="1"/>
  <c r="BZ730" i="2"/>
  <c r="CC730" i="2" s="1"/>
  <c r="BZ736" i="2"/>
  <c r="CC736" i="2" s="1"/>
  <c r="BZ742" i="2"/>
  <c r="CC742" i="2" s="1"/>
  <c r="BZ748" i="2"/>
  <c r="CC748" i="2" s="1"/>
  <c r="BZ754" i="2"/>
  <c r="CC754" i="2" s="1"/>
  <c r="BZ760" i="2"/>
  <c r="CC760" i="2" s="1"/>
  <c r="BZ791" i="2"/>
  <c r="CC791" i="2" s="1"/>
  <c r="K51" i="3"/>
  <c r="K56" i="3"/>
  <c r="K106" i="3"/>
  <c r="L55" i="4"/>
  <c r="I101" i="4"/>
  <c r="L101" i="4"/>
  <c r="L158" i="4"/>
  <c r="I158" i="4"/>
  <c r="L180" i="4"/>
  <c r="L187" i="4"/>
  <c r="L189" i="4"/>
  <c r="L224" i="4"/>
  <c r="L335" i="4"/>
  <c r="L764" i="4"/>
  <c r="I764" i="4"/>
  <c r="L1015" i="4"/>
  <c r="I1015" i="4"/>
  <c r="BZ772" i="2"/>
  <c r="CC772" i="2" s="1"/>
  <c r="BZ803" i="2"/>
  <c r="CC803" i="2" s="1"/>
  <c r="J10" i="3"/>
  <c r="J33" i="3"/>
  <c r="K42" i="3"/>
  <c r="J57" i="3"/>
  <c r="K61" i="3"/>
  <c r="K71" i="3"/>
  <c r="K76" i="3"/>
  <c r="J86" i="3"/>
  <c r="K91" i="3"/>
  <c r="K96" i="3"/>
  <c r="L13" i="4"/>
  <c r="L53" i="4"/>
  <c r="L117" i="4"/>
  <c r="L250" i="4"/>
  <c r="I281" i="4"/>
  <c r="L281" i="4"/>
  <c r="L377" i="4"/>
  <c r="L388" i="4"/>
  <c r="I421" i="4"/>
  <c r="I484" i="4"/>
  <c r="L525" i="4"/>
  <c r="BZ679" i="2"/>
  <c r="CC679" i="2" s="1"/>
  <c r="BZ697" i="2"/>
  <c r="CC697" i="2" s="1"/>
  <c r="BZ739" i="2"/>
  <c r="CC739" i="2" s="1"/>
  <c r="BZ813" i="2"/>
  <c r="CC813" i="2" s="1"/>
  <c r="BZ819" i="2"/>
  <c r="CC819" i="2" s="1"/>
  <c r="BZ837" i="2"/>
  <c r="CC837" i="2" s="1"/>
  <c r="BZ873" i="2"/>
  <c r="CC873" i="2" s="1"/>
  <c r="K6" i="3"/>
  <c r="K63" i="3"/>
  <c r="BZ657" i="2"/>
  <c r="CC657" i="2" s="1"/>
  <c r="BZ663" i="2"/>
  <c r="CC663" i="2" s="1"/>
  <c r="BZ669" i="2"/>
  <c r="CC669" i="2" s="1"/>
  <c r="BZ675" i="2"/>
  <c r="CC675" i="2" s="1"/>
  <c r="BZ681" i="2"/>
  <c r="CC681" i="2" s="1"/>
  <c r="BZ687" i="2"/>
  <c r="CC687" i="2" s="1"/>
  <c r="BZ693" i="2"/>
  <c r="CC693" i="2" s="1"/>
  <c r="BZ699" i="2"/>
  <c r="CC699" i="2" s="1"/>
  <c r="BZ705" i="2"/>
  <c r="CC705" i="2" s="1"/>
  <c r="BZ711" i="2"/>
  <c r="CC711" i="2" s="1"/>
  <c r="BZ717" i="2"/>
  <c r="CC717" i="2" s="1"/>
  <c r="BZ723" i="2"/>
  <c r="CC723" i="2" s="1"/>
  <c r="BZ729" i="2"/>
  <c r="CC729" i="2" s="1"/>
  <c r="BZ735" i="2"/>
  <c r="CC735" i="2" s="1"/>
  <c r="BZ741" i="2"/>
  <c r="CC741" i="2" s="1"/>
  <c r="BZ747" i="2"/>
  <c r="CC747" i="2" s="1"/>
  <c r="BZ753" i="2"/>
  <c r="CC753" i="2" s="1"/>
  <c r="BZ784" i="2"/>
  <c r="CC784" i="2" s="1"/>
  <c r="J97" i="3"/>
  <c r="K97" i="3"/>
  <c r="L99" i="4"/>
  <c r="I99" i="4"/>
  <c r="BZ796" i="2"/>
  <c r="CC796" i="2" s="1"/>
  <c r="K15" i="3"/>
  <c r="J20" i="3"/>
  <c r="J24" i="3"/>
  <c r="J28" i="3"/>
  <c r="K43" i="3"/>
  <c r="H52" i="3"/>
  <c r="K72" i="3"/>
  <c r="K87" i="3"/>
  <c r="K92" i="3"/>
  <c r="I18" i="4"/>
  <c r="L18" i="4"/>
  <c r="L312" i="4"/>
  <c r="L325" i="4"/>
  <c r="L521" i="4"/>
  <c r="I982" i="4"/>
  <c r="L982" i="4"/>
  <c r="BZ710" i="2"/>
  <c r="CC710" i="2" s="1"/>
  <c r="BZ716" i="2"/>
  <c r="CC716" i="2" s="1"/>
  <c r="BZ722" i="2"/>
  <c r="CC722" i="2" s="1"/>
  <c r="BZ734" i="2"/>
  <c r="CC734" i="2" s="1"/>
  <c r="BZ740" i="2"/>
  <c r="CC740" i="2" s="1"/>
  <c r="BZ746" i="2"/>
  <c r="CC746" i="2" s="1"/>
  <c r="BZ752" i="2"/>
  <c r="CC752" i="2" s="1"/>
  <c r="BZ758" i="2"/>
  <c r="CC758" i="2" s="1"/>
  <c r="BZ808" i="2"/>
  <c r="CC808" i="2" s="1"/>
  <c r="BZ820" i="2"/>
  <c r="CC820" i="2" s="1"/>
  <c r="BZ832" i="2"/>
  <c r="CC832" i="2" s="1"/>
  <c r="BZ844" i="2"/>
  <c r="CC844" i="2" s="1"/>
  <c r="BZ856" i="2"/>
  <c r="CC856" i="2" s="1"/>
  <c r="BZ868" i="2"/>
  <c r="CC868" i="2" s="1"/>
  <c r="K38" i="3"/>
  <c r="K48" i="3"/>
  <c r="K52" i="3"/>
  <c r="J73" i="3"/>
  <c r="J78" i="3"/>
  <c r="J83" i="3"/>
  <c r="L49" i="4"/>
  <c r="L86" i="4"/>
  <c r="L408" i="4"/>
  <c r="L519" i="4"/>
  <c r="I975" i="4"/>
  <c r="L975" i="4"/>
  <c r="L503" i="4"/>
  <c r="L576" i="4"/>
  <c r="L625" i="4"/>
  <c r="L634" i="4"/>
  <c r="L683" i="4"/>
  <c r="L784" i="4"/>
  <c r="L984" i="4"/>
  <c r="I984" i="4"/>
  <c r="L1175" i="4"/>
  <c r="I1175" i="4"/>
  <c r="L1319" i="4"/>
  <c r="I1426" i="4"/>
  <c r="L1426" i="4"/>
  <c r="I1988" i="4"/>
  <c r="L1988" i="4"/>
  <c r="L121" i="4"/>
  <c r="L130" i="4"/>
  <c r="L134" i="4"/>
  <c r="L142" i="4"/>
  <c r="L172" i="4"/>
  <c r="L195" i="4"/>
  <c r="L228" i="4"/>
  <c r="L256" i="4"/>
  <c r="L283" i="4"/>
  <c r="L300" i="4"/>
  <c r="L304" i="4"/>
  <c r="L329" i="4"/>
  <c r="L331" i="4"/>
  <c r="L383" i="4"/>
  <c r="L419" i="4"/>
  <c r="L441" i="4"/>
  <c r="L454" i="4"/>
  <c r="L463" i="4"/>
  <c r="L476" i="4"/>
  <c r="L482" i="4"/>
  <c r="L486" i="4"/>
  <c r="L536" i="4"/>
  <c r="I536" i="4"/>
  <c r="I610" i="4"/>
  <c r="L612" i="4"/>
  <c r="L623" i="4"/>
  <c r="L668" i="4"/>
  <c r="L797" i="4"/>
  <c r="L812" i="4"/>
  <c r="I812" i="4"/>
  <c r="L838" i="4"/>
  <c r="L871" i="4"/>
  <c r="L891" i="4"/>
  <c r="I1284" i="4"/>
  <c r="L1284" i="4"/>
  <c r="L1380" i="4"/>
  <c r="L119" i="4"/>
  <c r="L160" i="4"/>
  <c r="L168" i="4"/>
  <c r="L252" i="4"/>
  <c r="L327" i="4"/>
  <c r="L450" i="4"/>
  <c r="L551" i="4"/>
  <c r="L558" i="4"/>
  <c r="L581" i="4"/>
  <c r="L644" i="4"/>
  <c r="I644" i="4"/>
  <c r="L686" i="4"/>
  <c r="I686" i="4"/>
  <c r="L706" i="4"/>
  <c r="L724" i="4"/>
  <c r="L733" i="4"/>
  <c r="L769" i="4"/>
  <c r="L791" i="4"/>
  <c r="L874" i="4"/>
  <c r="I874" i="4"/>
  <c r="L876" i="4"/>
  <c r="L947" i="4"/>
  <c r="L1011" i="4"/>
  <c r="L1171" i="4"/>
  <c r="I1171" i="4"/>
  <c r="I1202" i="4"/>
  <c r="L1202" i="4"/>
  <c r="L1345" i="4"/>
  <c r="I1345" i="4"/>
  <c r="L1477" i="4"/>
  <c r="I1477" i="4"/>
  <c r="K9" i="3"/>
  <c r="K17" i="3"/>
  <c r="K26" i="3"/>
  <c r="K30" i="3"/>
  <c r="K44" i="3"/>
  <c r="J49" i="3"/>
  <c r="K65" i="3"/>
  <c r="J79" i="3"/>
  <c r="J93" i="3"/>
  <c r="K101" i="3"/>
  <c r="L9" i="4"/>
  <c r="L26" i="4"/>
  <c r="L32" i="4"/>
  <c r="L70" i="4"/>
  <c r="L74" i="4"/>
  <c r="L95" i="4"/>
  <c r="L105" i="4"/>
  <c r="L128" i="4"/>
  <c r="L145" i="4"/>
  <c r="L198" i="4"/>
  <c r="L220" i="4"/>
  <c r="L292" i="4"/>
  <c r="L319" i="4"/>
  <c r="L390" i="4"/>
  <c r="L394" i="4"/>
  <c r="I446" i="4"/>
  <c r="L468" i="4"/>
  <c r="L493" i="4"/>
  <c r="L579" i="4"/>
  <c r="L615" i="4"/>
  <c r="L711" i="4"/>
  <c r="L747" i="4"/>
  <c r="L749" i="4"/>
  <c r="L913" i="4"/>
  <c r="L927" i="4"/>
  <c r="I927" i="4"/>
  <c r="L1104" i="4"/>
  <c r="L1495" i="4"/>
  <c r="I1495" i="4"/>
  <c r="J84" i="3"/>
  <c r="L22" i="4"/>
  <c r="L28" i="4"/>
  <c r="L76" i="4"/>
  <c r="L80" i="4"/>
  <c r="L150" i="4"/>
  <c r="L259" i="4"/>
  <c r="L352" i="4"/>
  <c r="L405" i="4"/>
  <c r="L413" i="4"/>
  <c r="L437" i="4"/>
  <c r="L464" i="4"/>
  <c r="L554" i="4"/>
  <c r="L577" i="4"/>
  <c r="I817" i="4"/>
  <c r="L817" i="4"/>
  <c r="L938" i="4"/>
  <c r="I1342" i="4"/>
  <c r="L1342" i="4"/>
  <c r="I1474" i="4"/>
  <c r="L1474" i="4"/>
  <c r="L517" i="4"/>
  <c r="L545" i="4"/>
  <c r="L547" i="4"/>
  <c r="L628" i="4"/>
  <c r="L1453" i="4"/>
  <c r="I1453" i="4"/>
  <c r="K14" i="3"/>
  <c r="K18" i="3"/>
  <c r="K27" i="3"/>
  <c r="K36" i="3"/>
  <c r="K62" i="3"/>
  <c r="K66" i="3"/>
  <c r="K80" i="3"/>
  <c r="K98" i="3"/>
  <c r="L64" i="4"/>
  <c r="L68" i="4"/>
  <c r="L93" i="4"/>
  <c r="I108" i="4"/>
  <c r="I118" i="4"/>
  <c r="I131" i="4"/>
  <c r="L139" i="4"/>
  <c r="L154" i="4"/>
  <c r="L161" i="4"/>
  <c r="L179" i="4"/>
  <c r="L186" i="4"/>
  <c r="L196" i="4"/>
  <c r="L205" i="4"/>
  <c r="I236" i="4"/>
  <c r="L240" i="4"/>
  <c r="L255" i="4"/>
  <c r="L295" i="4"/>
  <c r="L303" i="4"/>
  <c r="L361" i="4"/>
  <c r="L363" i="4"/>
  <c r="L384" i="4"/>
  <c r="L399" i="4"/>
  <c r="L401" i="4"/>
  <c r="L420" i="4"/>
  <c r="L431" i="4"/>
  <c r="L442" i="4"/>
  <c r="I475" i="4"/>
  <c r="L477" i="4"/>
  <c r="I481" i="4"/>
  <c r="L485" i="4"/>
  <c r="L500" i="4"/>
  <c r="L537" i="4"/>
  <c r="L714" i="4"/>
  <c r="L752" i="4"/>
  <c r="I752" i="4"/>
  <c r="L783" i="4"/>
  <c r="L785" i="4"/>
  <c r="I850" i="4"/>
  <c r="L852" i="4"/>
  <c r="L909" i="4"/>
  <c r="L983" i="4"/>
  <c r="I983" i="4"/>
  <c r="L1120" i="4"/>
  <c r="L1183" i="4"/>
  <c r="I1183" i="4"/>
  <c r="L1335" i="4"/>
  <c r="I1457" i="4"/>
  <c r="L1457" i="4"/>
  <c r="L1563" i="4"/>
  <c r="J19" i="3"/>
  <c r="K32" i="3"/>
  <c r="J37" i="3"/>
  <c r="K50" i="3"/>
  <c r="J54" i="3"/>
  <c r="J59" i="3"/>
  <c r="J67" i="3"/>
  <c r="J81" i="3"/>
  <c r="K89" i="3"/>
  <c r="J103" i="3"/>
  <c r="L10" i="4"/>
  <c r="L14" i="4"/>
  <c r="L16" i="4"/>
  <c r="L20" i="4"/>
  <c r="L50" i="4"/>
  <c r="L85" i="4"/>
  <c r="L106" i="4"/>
  <c r="L110" i="4"/>
  <c r="L116" i="4"/>
  <c r="L129" i="4"/>
  <c r="L146" i="4"/>
  <c r="L148" i="4"/>
  <c r="L163" i="4"/>
  <c r="L223" i="4"/>
  <c r="L280" i="4"/>
  <c r="L391" i="4"/>
  <c r="L440" i="4"/>
  <c r="L494" i="4"/>
  <c r="L698" i="4"/>
  <c r="L1393" i="4"/>
  <c r="I1393" i="4"/>
  <c r="L91" i="4"/>
  <c r="L141" i="4"/>
  <c r="L182" i="4"/>
  <c r="L788" i="4"/>
  <c r="I788" i="4"/>
  <c r="L901" i="4"/>
  <c r="L923" i="4"/>
  <c r="L1140" i="4"/>
  <c r="L1163" i="4"/>
  <c r="I1163" i="4"/>
  <c r="L1181" i="4"/>
  <c r="L1263" i="4"/>
  <c r="L1351" i="4"/>
  <c r="I1351" i="4"/>
  <c r="J90" i="3"/>
  <c r="J95" i="3"/>
  <c r="K99" i="3"/>
  <c r="K108" i="3"/>
  <c r="L23" i="4"/>
  <c r="L73" i="4"/>
  <c r="L81" i="4"/>
  <c r="L157" i="4"/>
  <c r="L159" i="4"/>
  <c r="L324" i="4"/>
  <c r="L351" i="4"/>
  <c r="L355" i="4"/>
  <c r="L387" i="4"/>
  <c r="L412" i="4"/>
  <c r="L427" i="4"/>
  <c r="L449" i="4"/>
  <c r="L488" i="4"/>
  <c r="L542" i="4"/>
  <c r="L557" i="4"/>
  <c r="I596" i="4"/>
  <c r="L636" i="4"/>
  <c r="L692" i="4"/>
  <c r="I692" i="4"/>
  <c r="L710" i="4"/>
  <c r="I710" i="4"/>
  <c r="L728" i="4"/>
  <c r="L818" i="4"/>
  <c r="I1390" i="4"/>
  <c r="L1390" i="4"/>
  <c r="L1433" i="4"/>
  <c r="I1433" i="4"/>
  <c r="L762" i="4"/>
  <c r="L921" i="4"/>
  <c r="L925" i="4"/>
  <c r="L967" i="4"/>
  <c r="L977" i="4"/>
  <c r="L1037" i="4"/>
  <c r="L1197" i="4"/>
  <c r="L1246" i="4"/>
  <c r="L1281" i="4"/>
  <c r="L1331" i="4"/>
  <c r="L1347" i="4"/>
  <c r="L1370" i="4"/>
  <c r="L1429" i="4"/>
  <c r="I1429" i="4"/>
  <c r="L602" i="4"/>
  <c r="L630" i="4"/>
  <c r="L656" i="4"/>
  <c r="L671" i="4"/>
  <c r="L701" i="4"/>
  <c r="L775" i="4"/>
  <c r="L840" i="4"/>
  <c r="L846" i="4"/>
  <c r="L878" i="4"/>
  <c r="L905" i="4"/>
  <c r="L953" i="4"/>
  <c r="L965" i="4"/>
  <c r="L992" i="4"/>
  <c r="L1007" i="4"/>
  <c r="L1050" i="4"/>
  <c r="L1087" i="4"/>
  <c r="L1124" i="4"/>
  <c r="L1148" i="4"/>
  <c r="L1185" i="4"/>
  <c r="L1229" i="4"/>
  <c r="L1244" i="4"/>
  <c r="L1252" i="4"/>
  <c r="L1269" i="4"/>
  <c r="L1275" i="4"/>
  <c r="L1338" i="4"/>
  <c r="L1409" i="4"/>
  <c r="L1436" i="4"/>
  <c r="L1532" i="4"/>
  <c r="L1606" i="4"/>
  <c r="L469" i="4"/>
  <c r="L473" i="4"/>
  <c r="L540" i="4"/>
  <c r="L553" i="4"/>
  <c r="L569" i="4"/>
  <c r="L591" i="4"/>
  <c r="L620" i="4"/>
  <c r="L624" i="4"/>
  <c r="L639" i="4"/>
  <c r="L641" i="4"/>
  <c r="L667" i="4"/>
  <c r="L680" i="4"/>
  <c r="L704" i="4"/>
  <c r="L750" i="4"/>
  <c r="L782" i="4"/>
  <c r="L792" i="4"/>
  <c r="L798" i="4"/>
  <c r="L813" i="4"/>
  <c r="L821" i="4"/>
  <c r="L830" i="4"/>
  <c r="L849" i="4"/>
  <c r="L928" i="4"/>
  <c r="L945" i="4"/>
  <c r="L990" i="4"/>
  <c r="L995" i="4"/>
  <c r="L1001" i="4"/>
  <c r="L1005" i="4"/>
  <c r="L1025" i="4"/>
  <c r="L1055" i="4"/>
  <c r="L1098" i="4"/>
  <c r="L1144" i="4"/>
  <c r="L1173" i="4"/>
  <c r="L1200" i="4"/>
  <c r="L1219" i="4"/>
  <c r="L1238" i="4"/>
  <c r="L1282" i="4"/>
  <c r="L1288" i="4"/>
  <c r="L1297" i="4"/>
  <c r="L1300" i="4"/>
  <c r="L1310" i="4"/>
  <c r="L1329" i="4"/>
  <c r="L1339" i="4"/>
  <c r="L1358" i="4"/>
  <c r="L1420" i="4"/>
  <c r="L1450" i="4"/>
  <c r="L650" i="4"/>
  <c r="L708" i="4"/>
  <c r="L1017" i="4"/>
  <c r="L1169" i="4"/>
  <c r="L1265" i="4"/>
  <c r="L1381" i="4"/>
  <c r="I1381" i="4"/>
  <c r="L1417" i="4"/>
  <c r="I1417" i="4"/>
  <c r="L1529" i="4"/>
  <c r="L1557" i="4"/>
  <c r="L740" i="4"/>
  <c r="L776" i="4"/>
  <c r="L860" i="4"/>
  <c r="L924" i="4"/>
  <c r="L972" i="4"/>
  <c r="L1030" i="4"/>
  <c r="L1051" i="4"/>
  <c r="I1079" i="4"/>
  <c r="L1094" i="4"/>
  <c r="L1115" i="4"/>
  <c r="L1127" i="4"/>
  <c r="I1151" i="4"/>
  <c r="I1159" i="4"/>
  <c r="L1188" i="4"/>
  <c r="L1196" i="4"/>
  <c r="I1211" i="4"/>
  <c r="I1247" i="4"/>
  <c r="I1255" i="4"/>
  <c r="L1280" i="4"/>
  <c r="L1295" i="4"/>
  <c r="L1333" i="4"/>
  <c r="L1336" i="4"/>
  <c r="I1349" i="4"/>
  <c r="L1352" i="4"/>
  <c r="L1404" i="4"/>
  <c r="I1447" i="4"/>
  <c r="L587" i="4"/>
  <c r="L614" i="4"/>
  <c r="L618" i="4"/>
  <c r="L631" i="4"/>
  <c r="L648" i="4"/>
  <c r="L659" i="4"/>
  <c r="L678" i="4"/>
  <c r="L702" i="4"/>
  <c r="L719" i="4"/>
  <c r="L734" i="4"/>
  <c r="I740" i="4"/>
  <c r="L770" i="4"/>
  <c r="I776" i="4"/>
  <c r="L803" i="4"/>
  <c r="L809" i="4"/>
  <c r="L847" i="4"/>
  <c r="I860" i="4"/>
  <c r="L862" i="4"/>
  <c r="L883" i="4"/>
  <c r="L931" i="4"/>
  <c r="L993" i="4"/>
  <c r="L1028" i="4"/>
  <c r="L1043" i="4"/>
  <c r="I1051" i="4"/>
  <c r="L1053" i="4"/>
  <c r="L1103" i="4"/>
  <c r="I1115" i="4"/>
  <c r="L1123" i="4"/>
  <c r="I1127" i="4"/>
  <c r="L1139" i="4"/>
  <c r="L1147" i="4"/>
  <c r="L1149" i="4"/>
  <c r="L1157" i="4"/>
  <c r="L1224" i="4"/>
  <c r="L1243" i="4"/>
  <c r="L1276" i="4"/>
  <c r="I1295" i="4"/>
  <c r="L1304" i="4"/>
  <c r="L1307" i="4"/>
  <c r="L1317" i="4"/>
  <c r="L1327" i="4"/>
  <c r="I1333" i="4"/>
  <c r="L1388" i="4"/>
  <c r="L1434" i="4"/>
  <c r="L1554" i="4"/>
  <c r="L1873" i="4"/>
  <c r="L837" i="4"/>
  <c r="L888" i="4"/>
  <c r="L958" i="4"/>
  <c r="L962" i="4"/>
  <c r="L968" i="4"/>
  <c r="L970" i="4"/>
  <c r="L991" i="4"/>
  <c r="L1075" i="4"/>
  <c r="L1099" i="4"/>
  <c r="L1111" i="4"/>
  <c r="L1135" i="4"/>
  <c r="L1207" i="4"/>
  <c r="L1235" i="4"/>
  <c r="L1289" i="4"/>
  <c r="L1378" i="4"/>
  <c r="L1405" i="4"/>
  <c r="L1414" i="4"/>
  <c r="L1431" i="4"/>
  <c r="L1507" i="4"/>
  <c r="L1631" i="4"/>
  <c r="I1892" i="4"/>
  <c r="L1892" i="4"/>
  <c r="L1321" i="4"/>
  <c r="L1324" i="4"/>
  <c r="L1330" i="4"/>
  <c r="L1340" i="4"/>
  <c r="L1369" i="4"/>
  <c r="I1369" i="4"/>
  <c r="I1405" i="4"/>
  <c r="L1418" i="4"/>
  <c r="I1507" i="4"/>
  <c r="L1548" i="4"/>
  <c r="L1691" i="4"/>
  <c r="L1863" i="4"/>
  <c r="I1863" i="4"/>
  <c r="L996" i="4"/>
  <c r="L1022" i="4"/>
  <c r="L1024" i="4"/>
  <c r="I1039" i="4"/>
  <c r="L1058" i="4"/>
  <c r="L1086" i="4"/>
  <c r="L1109" i="4"/>
  <c r="L1164" i="4"/>
  <c r="L1172" i="4"/>
  <c r="I1199" i="4"/>
  <c r="L1220" i="4"/>
  <c r="I1283" i="4"/>
  <c r="L1531" i="4"/>
  <c r="I1531" i="4"/>
  <c r="I1796" i="4"/>
  <c r="L1796" i="4"/>
  <c r="L1943" i="4"/>
  <c r="L535" i="4"/>
  <c r="L552" i="4"/>
  <c r="L559" i="4"/>
  <c r="L566" i="4"/>
  <c r="L575" i="4"/>
  <c r="L632" i="4"/>
  <c r="L662" i="4"/>
  <c r="L666" i="4"/>
  <c r="L696" i="4"/>
  <c r="L707" i="4"/>
  <c r="L722" i="4"/>
  <c r="L726" i="4"/>
  <c r="L758" i="4"/>
  <c r="L806" i="4"/>
  <c r="L816" i="4"/>
  <c r="L825" i="4"/>
  <c r="L848" i="4"/>
  <c r="L886" i="4"/>
  <c r="L944" i="4"/>
  <c r="L959" i="4"/>
  <c r="L971" i="4"/>
  <c r="I979" i="4"/>
  <c r="L981" i="4"/>
  <c r="L989" i="4"/>
  <c r="I1031" i="4"/>
  <c r="L1056" i="4"/>
  <c r="I1067" i="4"/>
  <c r="L1073" i="4"/>
  <c r="L1091" i="4"/>
  <c r="L1097" i="4"/>
  <c r="L1187" i="4"/>
  <c r="L1195" i="4"/>
  <c r="L1231" i="4"/>
  <c r="L1233" i="4"/>
  <c r="L1264" i="4"/>
  <c r="L1271" i="4"/>
  <c r="L1277" i="4"/>
  <c r="L1287" i="4"/>
  <c r="I1315" i="4"/>
  <c r="L1350" i="4"/>
  <c r="L1356" i="4"/>
  <c r="I1399" i="4"/>
  <c r="L1412" i="4"/>
  <c r="L1415" i="4"/>
  <c r="L1452" i="4"/>
  <c r="L1476" i="4"/>
  <c r="L1538" i="4"/>
  <c r="L1767" i="4"/>
  <c r="I1767" i="4"/>
  <c r="L1824" i="4"/>
  <c r="L1346" i="4"/>
  <c r="L1365" i="4"/>
  <c r="L1375" i="4"/>
  <c r="L1413" i="4"/>
  <c r="L1423" i="4"/>
  <c r="L1461" i="4"/>
  <c r="L1471" i="4"/>
  <c r="L1496" i="4"/>
  <c r="L1499" i="4"/>
  <c r="L1502" i="4"/>
  <c r="L1521" i="4"/>
  <c r="L1527" i="4"/>
  <c r="L1561" i="4"/>
  <c r="L1571" i="4"/>
  <c r="L1594" i="4"/>
  <c r="L1597" i="4"/>
  <c r="L1604" i="4"/>
  <c r="L1617" i="4"/>
  <c r="L1635" i="4"/>
  <c r="L1642" i="4"/>
  <c r="L1695" i="4"/>
  <c r="L1702" i="4"/>
  <c r="L1717" i="4"/>
  <c r="L1749" i="4"/>
  <c r="L1758" i="4"/>
  <c r="L1774" i="4"/>
  <c r="L1789" i="4"/>
  <c r="L1792" i="4"/>
  <c r="L1821" i="4"/>
  <c r="L1842" i="4"/>
  <c r="L1851" i="4"/>
  <c r="L1870" i="4"/>
  <c r="L1885" i="4"/>
  <c r="L1888" i="4"/>
  <c r="L1923" i="4"/>
  <c r="L1962" i="4"/>
  <c r="L1984" i="4"/>
  <c r="L1994" i="4"/>
  <c r="L2007" i="4"/>
  <c r="L2050" i="4"/>
  <c r="L2089" i="4"/>
  <c r="L2284" i="4"/>
  <c r="L2381" i="4"/>
  <c r="I2468" i="4"/>
  <c r="L2468" i="4"/>
  <c r="L2587" i="4"/>
  <c r="L2645" i="4"/>
  <c r="L2652" i="4"/>
  <c r="I2986" i="4"/>
  <c r="L2986" i="4"/>
  <c r="L3133" i="4"/>
  <c r="I3133" i="4"/>
  <c r="L1657" i="4"/>
  <c r="L1858" i="4"/>
  <c r="L1930" i="4"/>
  <c r="L2173" i="4"/>
  <c r="L2281" i="4"/>
  <c r="L2443" i="4"/>
  <c r="L1468" i="4"/>
  <c r="L1484" i="4"/>
  <c r="L1490" i="4"/>
  <c r="L1578" i="4"/>
  <c r="L1591" i="4"/>
  <c r="L1639" i="4"/>
  <c r="L1652" i="4"/>
  <c r="L1686" i="4"/>
  <c r="L1721" i="4"/>
  <c r="L1737" i="4"/>
  <c r="L1746" i="4"/>
  <c r="I1755" i="4"/>
  <c r="L1780" i="4"/>
  <c r="L1809" i="4"/>
  <c r="L1818" i="4"/>
  <c r="I1839" i="4"/>
  <c r="I1861" i="4"/>
  <c r="L1905" i="4"/>
  <c r="L1953" i="4"/>
  <c r="L1972" i="4"/>
  <c r="L2054" i="4"/>
  <c r="L2086" i="4"/>
  <c r="L2187" i="4"/>
  <c r="I2385" i="4"/>
  <c r="L2436" i="4"/>
  <c r="L2440" i="4"/>
  <c r="L2450" i="4"/>
  <c r="L2454" i="4"/>
  <c r="L3151" i="4"/>
  <c r="L1363" i="4"/>
  <c r="L1382" i="4"/>
  <c r="L1401" i="4"/>
  <c r="L1411" i="4"/>
  <c r="L1449" i="4"/>
  <c r="L1459" i="4"/>
  <c r="I1465" i="4"/>
  <c r="L1506" i="4"/>
  <c r="L1519" i="4"/>
  <c r="L1528" i="4"/>
  <c r="I1575" i="4"/>
  <c r="L1582" i="4"/>
  <c r="I1595" i="4"/>
  <c r="L1605" i="4"/>
  <c r="L1611" i="4"/>
  <c r="I1623" i="4"/>
  <c r="L1630" i="4"/>
  <c r="L1683" i="4"/>
  <c r="L1690" i="4"/>
  <c r="I1703" i="4"/>
  <c r="I1718" i="4"/>
  <c r="I1775" i="4"/>
  <c r="I1790" i="4"/>
  <c r="L1793" i="4"/>
  <c r="I1827" i="4"/>
  <c r="L1834" i="4"/>
  <c r="I1849" i="4"/>
  <c r="I1886" i="4"/>
  <c r="L1889" i="4"/>
  <c r="I1911" i="4"/>
  <c r="L1918" i="4"/>
  <c r="I1921" i="4"/>
  <c r="I1982" i="4"/>
  <c r="L1985" i="4"/>
  <c r="L2008" i="4"/>
  <c r="L2021" i="4"/>
  <c r="L2044" i="4"/>
  <c r="L2051" i="4"/>
  <c r="L2058" i="4"/>
  <c r="L2118" i="4"/>
  <c r="L2153" i="4"/>
  <c r="L2170" i="4"/>
  <c r="L2261" i="4"/>
  <c r="L2278" i="4"/>
  <c r="L2321" i="4"/>
  <c r="L2335" i="4"/>
  <c r="L2342" i="4"/>
  <c r="I2509" i="4"/>
  <c r="L2509" i="4"/>
  <c r="L2628" i="4"/>
  <c r="I2628" i="4"/>
  <c r="I2845" i="4"/>
  <c r="L2845" i="4"/>
  <c r="I2964" i="4"/>
  <c r="L2964" i="4"/>
  <c r="L1497" i="4"/>
  <c r="L1503" i="4"/>
  <c r="L1547" i="4"/>
  <c r="L1572" i="4"/>
  <c r="L1585" i="4"/>
  <c r="L1608" i="4"/>
  <c r="L1661" i="4"/>
  <c r="I1683" i="4"/>
  <c r="L1696" i="4"/>
  <c r="L1750" i="4"/>
  <c r="L1765" i="4"/>
  <c r="L1822" i="4"/>
  <c r="L1880" i="4"/>
  <c r="L1893" i="4"/>
  <c r="L1937" i="4"/>
  <c r="L1989" i="4"/>
  <c r="L2083" i="4"/>
  <c r="L2289" i="4"/>
  <c r="L2349" i="4"/>
  <c r="L2415" i="4"/>
  <c r="I2419" i="4"/>
  <c r="L2429" i="4"/>
  <c r="L2444" i="4"/>
  <c r="L2694" i="4"/>
  <c r="L3081" i="4"/>
  <c r="I3081" i="4"/>
  <c r="L1722" i="4"/>
  <c r="L1731" i="4"/>
  <c r="L1781" i="4"/>
  <c r="L1803" i="4"/>
  <c r="L1852" i="4"/>
  <c r="L1877" i="4"/>
  <c r="L1902" i="4"/>
  <c r="L1941" i="4"/>
  <c r="I1944" i="4"/>
  <c r="L1973" i="4"/>
  <c r="L2005" i="4"/>
  <c r="L2045" i="4"/>
  <c r="L2139" i="4"/>
  <c r="L2150" i="4"/>
  <c r="L2209" i="4"/>
  <c r="L2216" i="4"/>
  <c r="L2258" i="4"/>
  <c r="L2408" i="4"/>
  <c r="L2673" i="4"/>
  <c r="L1671" i="4"/>
  <c r="L1934" i="4"/>
  <c r="L2147" i="4"/>
  <c r="I2773" i="4"/>
  <c r="L2773" i="4"/>
  <c r="L2368" i="4"/>
  <c r="L2416" i="4"/>
  <c r="L2677" i="4"/>
  <c r="L2766" i="4"/>
  <c r="L2928" i="4"/>
  <c r="I2928" i="4"/>
  <c r="L3049" i="4"/>
  <c r="I3049" i="4"/>
  <c r="L1444" i="4"/>
  <c r="L1460" i="4"/>
  <c r="L1463" i="4"/>
  <c r="L1479" i="4"/>
  <c r="L1520" i="4"/>
  <c r="L1523" i="4"/>
  <c r="L1526" i="4"/>
  <c r="L1545" i="4"/>
  <c r="L1551" i="4"/>
  <c r="L1560" i="4"/>
  <c r="L1570" i="4"/>
  <c r="L1576" i="4"/>
  <c r="L1589" i="4"/>
  <c r="L1596" i="4"/>
  <c r="L1609" i="4"/>
  <c r="L1628" i="4"/>
  <c r="L1641" i="4"/>
  <c r="L1650" i="4"/>
  <c r="L1688" i="4"/>
  <c r="L1701" i="4"/>
  <c r="L1773" i="4"/>
  <c r="L1782" i="4"/>
  <c r="I1791" i="4"/>
  <c r="L1798" i="4"/>
  <c r="L1813" i="4"/>
  <c r="L1816" i="4"/>
  <c r="L1853" i="4"/>
  <c r="L1869" i="4"/>
  <c r="L1878" i="4"/>
  <c r="I1887" i="4"/>
  <c r="L1894" i="4"/>
  <c r="L1925" i="4"/>
  <c r="L1974" i="4"/>
  <c r="I1983" i="4"/>
  <c r="L1990" i="4"/>
  <c r="L2012" i="4"/>
  <c r="L2032" i="4"/>
  <c r="L2035" i="4"/>
  <c r="L2070" i="4"/>
  <c r="L2105" i="4"/>
  <c r="L2298" i="4"/>
  <c r="L2308" i="4"/>
  <c r="L2358" i="4"/>
  <c r="L2611" i="4"/>
  <c r="L1377" i="4"/>
  <c r="L1387" i="4"/>
  <c r="L1425" i="4"/>
  <c r="L1435" i="4"/>
  <c r="I1441" i="4"/>
  <c r="L1473" i="4"/>
  <c r="L1483" i="4"/>
  <c r="L1492" i="4"/>
  <c r="L1542" i="4"/>
  <c r="L1580" i="4"/>
  <c r="L1603" i="4"/>
  <c r="L1647" i="4"/>
  <c r="I1659" i="4"/>
  <c r="L1666" i="4"/>
  <c r="L1707" i="4"/>
  <c r="L1757" i="4"/>
  <c r="L1779" i="4"/>
  <c r="L1841" i="4"/>
  <c r="L1857" i="4"/>
  <c r="L1875" i="4"/>
  <c r="I1935" i="4"/>
  <c r="L2137" i="4"/>
  <c r="L2175" i="4"/>
  <c r="L2245" i="4"/>
  <c r="L2305" i="4"/>
  <c r="L2365" i="4"/>
  <c r="I2402" i="4"/>
  <c r="L2402" i="4"/>
  <c r="L1511" i="4"/>
  <c r="L1533" i="4"/>
  <c r="L1539" i="4"/>
  <c r="L1714" i="4"/>
  <c r="L1729" i="4"/>
  <c r="L1820" i="4"/>
  <c r="L1907" i="4"/>
  <c r="L1955" i="4"/>
  <c r="L1971" i="4"/>
  <c r="I1971" i="4"/>
  <c r="L2003" i="4"/>
  <c r="L2029" i="4"/>
  <c r="L2060" i="4"/>
  <c r="L2099" i="4"/>
  <c r="L2151" i="4"/>
  <c r="L2193" i="4"/>
  <c r="L2259" i="4"/>
  <c r="L2351" i="4"/>
  <c r="I2362" i="4"/>
  <c r="L2362" i="4"/>
  <c r="L2380" i="4"/>
  <c r="L2395" i="4"/>
  <c r="L2398" i="4"/>
  <c r="L2420" i="4"/>
  <c r="L2460" i="4"/>
  <c r="L2464" i="4"/>
  <c r="L2467" i="4"/>
  <c r="L2597" i="4"/>
  <c r="L2621" i="4"/>
  <c r="L2698" i="4"/>
  <c r="L2801" i="4"/>
  <c r="L2849" i="4"/>
  <c r="I2903" i="4"/>
  <c r="L2903" i="4"/>
  <c r="L3046" i="4"/>
  <c r="L3052" i="4"/>
  <c r="L3056" i="4"/>
  <c r="L3130" i="4"/>
  <c r="L3134" i="4"/>
  <c r="I3134" i="4"/>
  <c r="L2555" i="4"/>
  <c r="L2591" i="4"/>
  <c r="L2604" i="4"/>
  <c r="L2615" i="4"/>
  <c r="L2670" i="4"/>
  <c r="L2895" i="4"/>
  <c r="L2972" i="4"/>
  <c r="I3022" i="4"/>
  <c r="L3022" i="4"/>
  <c r="L3039" i="4"/>
  <c r="L3043" i="4"/>
  <c r="L3123" i="4"/>
  <c r="L3127" i="4"/>
  <c r="L2090" i="4"/>
  <c r="L2134" i="4"/>
  <c r="L2167" i="4"/>
  <c r="L2203" i="4"/>
  <c r="L2239" i="4"/>
  <c r="L2275" i="4"/>
  <c r="L2312" i="4"/>
  <c r="L2315" i="4"/>
  <c r="L2332" i="4"/>
  <c r="L2359" i="4"/>
  <c r="L2396" i="4"/>
  <c r="L2530" i="4"/>
  <c r="L2608" i="4"/>
  <c r="I2653" i="4"/>
  <c r="I2744" i="4"/>
  <c r="L2744" i="4"/>
  <c r="L2760" i="4"/>
  <c r="I2791" i="4"/>
  <c r="L2791" i="4"/>
  <c r="L2828" i="4"/>
  <c r="I2881" i="4"/>
  <c r="L2918" i="4"/>
  <c r="I2918" i="4"/>
  <c r="I2961" i="4"/>
  <c r="L3036" i="4"/>
  <c r="I3096" i="4"/>
  <c r="L1924" i="4"/>
  <c r="L1961" i="4"/>
  <c r="L1977" i="4"/>
  <c r="L1995" i="4"/>
  <c r="L2020" i="4"/>
  <c r="L2042" i="4"/>
  <c r="L2077" i="4"/>
  <c r="L2087" i="4"/>
  <c r="L2131" i="4"/>
  <c r="L2174" i="4"/>
  <c r="L2210" i="4"/>
  <c r="L2246" i="4"/>
  <c r="L2282" i="4"/>
  <c r="L2299" i="4"/>
  <c r="L2309" i="4"/>
  <c r="L2329" i="4"/>
  <c r="L2366" i="4"/>
  <c r="L2389" i="4"/>
  <c r="L2399" i="4"/>
  <c r="L2430" i="4"/>
  <c r="L2451" i="4"/>
  <c r="L2479" i="4"/>
  <c r="L2513" i="4"/>
  <c r="L2517" i="4"/>
  <c r="L2549" i="4"/>
  <c r="L2578" i="4"/>
  <c r="I2640" i="4"/>
  <c r="L2682" i="4"/>
  <c r="L2721" i="4"/>
  <c r="I2721" i="4"/>
  <c r="I2954" i="4"/>
  <c r="L3002" i="4"/>
  <c r="L3093" i="4"/>
  <c r="L3167" i="4"/>
  <c r="L3193" i="4"/>
  <c r="I3193" i="4"/>
  <c r="L2125" i="4"/>
  <c r="L2135" i="4"/>
  <c r="L2161" i="4"/>
  <c r="L2171" i="4"/>
  <c r="L2197" i="4"/>
  <c r="L2207" i="4"/>
  <c r="L2233" i="4"/>
  <c r="L2243" i="4"/>
  <c r="L2269" i="4"/>
  <c r="L2279" i="4"/>
  <c r="L2286" i="4"/>
  <c r="L2316" i="4"/>
  <c r="L2319" i="4"/>
  <c r="L2333" i="4"/>
  <c r="L2370" i="4"/>
  <c r="L2393" i="4"/>
  <c r="L2417" i="4"/>
  <c r="L2424" i="4"/>
  <c r="L2441" i="4"/>
  <c r="I2517" i="4"/>
  <c r="L2520" i="4"/>
  <c r="L2527" i="4"/>
  <c r="L2571" i="4"/>
  <c r="L2585" i="4"/>
  <c r="L2589" i="4"/>
  <c r="I2592" i="4"/>
  <c r="L2605" i="4"/>
  <c r="L2637" i="4"/>
  <c r="L2657" i="4"/>
  <c r="L2836" i="4"/>
  <c r="L2857" i="4"/>
  <c r="L2915" i="4"/>
  <c r="I3002" i="4"/>
  <c r="L3012" i="4"/>
  <c r="L3086" i="4"/>
  <c r="I3086" i="4"/>
  <c r="I2868" i="4"/>
  <c r="L2868" i="4"/>
  <c r="L2071" i="4"/>
  <c r="L2119" i="4"/>
  <c r="L2132" i="4"/>
  <c r="L2155" i="4"/>
  <c r="L2191" i="4"/>
  <c r="L2227" i="4"/>
  <c r="L2263" i="4"/>
  <c r="L2293" i="4"/>
  <c r="L2330" i="4"/>
  <c r="L2353" i="4"/>
  <c r="L2390" i="4"/>
  <c r="L2431" i="4"/>
  <c r="L2510" i="4"/>
  <c r="I2634" i="4"/>
  <c r="L2634" i="4"/>
  <c r="I2745" i="4"/>
  <c r="I2796" i="4"/>
  <c r="L2796" i="4"/>
  <c r="I2858" i="4"/>
  <c r="L2904" i="4"/>
  <c r="L2940" i="4"/>
  <c r="L3006" i="4"/>
  <c r="L1876" i="4"/>
  <c r="L1913" i="4"/>
  <c r="L1929" i="4"/>
  <c r="L1950" i="4"/>
  <c r="L1959" i="4"/>
  <c r="L1978" i="4"/>
  <c r="L2011" i="4"/>
  <c r="L2018" i="4"/>
  <c r="L2068" i="4"/>
  <c r="L2075" i="4"/>
  <c r="L2113" i="4"/>
  <c r="L2162" i="4"/>
  <c r="L2198" i="4"/>
  <c r="L2234" i="4"/>
  <c r="L2270" i="4"/>
  <c r="L2283" i="4"/>
  <c r="L2297" i="4"/>
  <c r="L2334" i="4"/>
  <c r="L2357" i="4"/>
  <c r="L2364" i="4"/>
  <c r="L2377" i="4"/>
  <c r="L2414" i="4"/>
  <c r="L2418" i="4"/>
  <c r="L2490" i="4"/>
  <c r="L2494" i="4"/>
  <c r="L2518" i="4"/>
  <c r="L2579" i="4"/>
  <c r="L2722" i="4"/>
  <c r="L2769" i="4"/>
  <c r="I2769" i="4"/>
  <c r="L2833" i="4"/>
  <c r="I2890" i="4"/>
  <c r="L2890" i="4"/>
  <c r="I2930" i="4"/>
  <c r="L3023" i="4"/>
  <c r="L1947" i="4"/>
  <c r="L1966" i="4"/>
  <c r="L1993" i="4"/>
  <c r="L1997" i="4"/>
  <c r="L2040" i="4"/>
  <c r="L2065" i="4"/>
  <c r="L2123" i="4"/>
  <c r="L2149" i="4"/>
  <c r="L2159" i="4"/>
  <c r="L2185" i="4"/>
  <c r="L2195" i="4"/>
  <c r="L2221" i="4"/>
  <c r="L2231" i="4"/>
  <c r="L2257" i="4"/>
  <c r="L2267" i="4"/>
  <c r="L2347" i="4"/>
  <c r="L2407" i="4"/>
  <c r="L2481" i="4"/>
  <c r="L2627" i="4"/>
  <c r="L2683" i="4"/>
  <c r="L2697" i="4"/>
  <c r="I3165" i="4"/>
  <c r="L3165" i="4"/>
  <c r="L3214" i="4"/>
  <c r="L2767" i="4"/>
  <c r="L2780" i="4"/>
  <c r="L2852" i="4"/>
  <c r="L2865" i="4"/>
  <c r="L2934" i="4"/>
  <c r="L3104" i="4"/>
  <c r="L3182" i="4"/>
  <c r="L3203" i="4"/>
  <c r="L2300" i="4"/>
  <c r="L2303" i="4"/>
  <c r="L2310" i="4"/>
  <c r="L2336" i="4"/>
  <c r="L2339" i="4"/>
  <c r="L2346" i="4"/>
  <c r="L2372" i="4"/>
  <c r="L2375" i="4"/>
  <c r="L2382" i="4"/>
  <c r="L2448" i="4"/>
  <c r="L2458" i="4"/>
  <c r="L2478" i="4"/>
  <c r="L2482" i="4"/>
  <c r="L2501" i="4"/>
  <c r="L2505" i="4"/>
  <c r="L2537" i="4"/>
  <c r="L2543" i="4"/>
  <c r="L2552" i="4"/>
  <c r="L2595" i="4"/>
  <c r="L2631" i="4"/>
  <c r="L2661" i="4"/>
  <c r="L2691" i="4"/>
  <c r="L2777" i="4"/>
  <c r="L2816" i="4"/>
  <c r="L2819" i="4"/>
  <c r="L2862" i="4"/>
  <c r="L2892" i="4"/>
  <c r="I2938" i="4"/>
  <c r="L2938" i="4"/>
  <c r="I2965" i="4"/>
  <c r="I2976" i="4"/>
  <c r="L2993" i="4"/>
  <c r="L3030" i="4"/>
  <c r="I3060" i="4"/>
  <c r="L3073" i="4"/>
  <c r="L3080" i="4"/>
  <c r="L3097" i="4"/>
  <c r="I3097" i="4"/>
  <c r="L3120" i="4"/>
  <c r="L3155" i="4"/>
  <c r="L3166" i="4"/>
  <c r="L3173" i="4"/>
  <c r="L3197" i="4"/>
  <c r="L2422" i="4"/>
  <c r="L2455" i="4"/>
  <c r="L2469" i="4"/>
  <c r="L2475" i="4"/>
  <c r="L2502" i="4"/>
  <c r="L2525" i="4"/>
  <c r="L2686" i="4"/>
  <c r="L2733" i="4"/>
  <c r="L2748" i="4"/>
  <c r="L2804" i="4"/>
  <c r="L2807" i="4"/>
  <c r="L2925" i="4"/>
  <c r="L3027" i="4"/>
  <c r="L3031" i="4"/>
  <c r="L3041" i="4"/>
  <c r="I3118" i="4"/>
  <c r="L3118" i="4"/>
  <c r="L3135" i="4"/>
  <c r="L3139" i="4"/>
  <c r="L3177" i="4"/>
  <c r="L3201" i="4"/>
  <c r="I2960" i="4"/>
  <c r="L2960" i="4"/>
  <c r="L2987" i="4"/>
  <c r="L3001" i="4"/>
  <c r="I3001" i="4"/>
  <c r="L3074" i="4"/>
  <c r="I3074" i="4"/>
  <c r="L3170" i="4"/>
  <c r="L3180" i="4"/>
  <c r="L2446" i="4"/>
  <c r="L2483" i="4"/>
  <c r="L2529" i="4"/>
  <c r="L2532" i="4"/>
  <c r="L2547" i="4"/>
  <c r="L2603" i="4"/>
  <c r="L2609" i="4"/>
  <c r="L2613" i="4"/>
  <c r="L2616" i="4"/>
  <c r="L2619" i="4"/>
  <c r="L2639" i="4"/>
  <c r="L2655" i="4"/>
  <c r="L2679" i="4"/>
  <c r="L2765" i="4"/>
  <c r="L2905" i="4"/>
  <c r="L2936" i="4"/>
  <c r="L2946" i="4"/>
  <c r="L2953" i="4"/>
  <c r="I2953" i="4"/>
  <c r="I2977" i="4"/>
  <c r="L3038" i="4"/>
  <c r="I3038" i="4"/>
  <c r="I3061" i="4"/>
  <c r="L3108" i="4"/>
  <c r="L3160" i="4"/>
  <c r="L3198" i="4"/>
  <c r="I3202" i="4"/>
  <c r="L3202" i="4"/>
  <c r="L2709" i="4"/>
  <c r="L2727" i="4"/>
  <c r="L2795" i="4"/>
  <c r="L2843" i="4"/>
  <c r="L2877" i="4"/>
  <c r="I2905" i="4"/>
  <c r="I2929" i="4"/>
  <c r="L2963" i="4"/>
  <c r="L3005" i="4"/>
  <c r="L3011" i="4"/>
  <c r="L3018" i="4"/>
  <c r="L3071" i="4"/>
  <c r="L2667" i="4"/>
  <c r="L2751" i="4"/>
  <c r="L2825" i="4"/>
  <c r="L2831" i="4"/>
  <c r="L2853" i="4"/>
  <c r="L2883" i="4"/>
  <c r="L2887" i="4"/>
  <c r="L2922" i="4"/>
  <c r="L2956" i="4"/>
  <c r="L2969" i="4"/>
  <c r="L2978" i="4"/>
  <c r="L3015" i="4"/>
  <c r="L3019" i="4"/>
  <c r="L3037" i="4"/>
  <c r="L3062" i="4"/>
  <c r="L3090" i="4"/>
  <c r="L3111" i="4"/>
  <c r="L3115" i="4"/>
  <c r="L3136" i="4"/>
  <c r="L3140" i="4"/>
  <c r="L3186" i="4"/>
  <c r="L3207" i="4"/>
  <c r="L3211" i="4"/>
  <c r="L2763" i="4"/>
  <c r="L2805" i="4"/>
  <c r="L2837" i="4"/>
  <c r="L2893" i="4"/>
  <c r="L2906" i="4"/>
  <c r="L2931" i="4"/>
  <c r="L2941" i="4"/>
  <c r="L2966" i="4"/>
  <c r="L3025" i="4"/>
  <c r="L3099" i="4"/>
  <c r="L3121" i="4"/>
  <c r="L2643" i="4"/>
  <c r="L2674" i="4"/>
  <c r="L2692" i="4"/>
  <c r="L2704" i="4"/>
  <c r="L2716" i="4"/>
  <c r="L2728" i="4"/>
  <c r="L2740" i="4"/>
  <c r="I2893" i="4"/>
  <c r="L2896" i="4"/>
  <c r="L2900" i="4"/>
  <c r="I2906" i="4"/>
  <c r="I2941" i="4"/>
  <c r="L2944" i="4"/>
  <c r="I2966" i="4"/>
  <c r="L3007" i="4"/>
  <c r="L3013" i="4"/>
  <c r="I3025" i="4"/>
  <c r="L3050" i="4"/>
  <c r="L3078" i="4"/>
  <c r="I3121" i="4"/>
  <c r="L3128" i="4"/>
  <c r="L3137" i="4"/>
  <c r="L3153" i="4"/>
  <c r="L3162" i="4"/>
  <c r="L3199" i="4"/>
  <c r="L3212" i="4"/>
  <c r="L3100" i="4"/>
  <c r="L3125" i="4"/>
  <c r="L3171" i="4"/>
  <c r="L3175" i="4"/>
  <c r="L2638" i="4"/>
  <c r="L2656" i="4"/>
  <c r="L2687" i="4"/>
  <c r="L2699" i="4"/>
  <c r="L2708" i="4"/>
  <c r="L2711" i="4"/>
  <c r="L2720" i="4"/>
  <c r="L2723" i="4"/>
  <c r="L2735" i="4"/>
  <c r="L2764" i="4"/>
  <c r="L2835" i="4"/>
  <c r="L2847" i="4"/>
  <c r="L2851" i="4"/>
  <c r="L2860" i="4"/>
  <c r="L2894" i="4"/>
  <c r="L2914" i="4"/>
  <c r="L2917" i="4"/>
  <c r="L2942" i="4"/>
  <c r="L3004" i="4"/>
  <c r="L3008" i="4"/>
  <c r="L3026" i="4"/>
  <c r="L3075" i="4"/>
  <c r="L3079" i="4"/>
  <c r="L3085" i="4"/>
  <c r="L3122" i="4"/>
  <c r="L3159" i="4"/>
  <c r="L3169" i="4"/>
  <c r="L2470" i="4"/>
  <c r="L2476" i="4"/>
  <c r="L2493" i="4"/>
  <c r="L2496" i="4"/>
  <c r="L2541" i="4"/>
  <c r="L2565" i="4"/>
  <c r="L2577" i="4"/>
  <c r="L2586" i="4"/>
  <c r="L2598" i="4"/>
  <c r="L2626" i="4"/>
  <c r="L2644" i="4"/>
  <c r="L2675" i="4"/>
  <c r="L2693" i="4"/>
  <c r="L2705" i="4"/>
  <c r="L2717" i="4"/>
  <c r="L2729" i="4"/>
  <c r="L2741" i="4"/>
  <c r="L2776" i="4"/>
  <c r="L2788" i="4"/>
  <c r="L2800" i="4"/>
  <c r="I2894" i="4"/>
  <c r="L2901" i="4"/>
  <c r="I2917" i="4"/>
  <c r="I2942" i="4"/>
  <c r="L2979" i="4"/>
  <c r="L2983" i="4"/>
  <c r="L2989" i="4"/>
  <c r="L3014" i="4"/>
  <c r="I3026" i="4"/>
  <c r="L3063" i="4"/>
  <c r="L3067" i="4"/>
  <c r="I3085" i="4"/>
  <c r="L3088" i="4"/>
  <c r="L3092" i="4"/>
  <c r="L3101" i="4"/>
  <c r="L3110" i="4"/>
  <c r="I3122" i="4"/>
  <c r="L3157" i="4"/>
  <c r="I3169" i="4"/>
  <c r="L3184" i="4"/>
  <c r="I86" i="4"/>
  <c r="CC28" i="2"/>
  <c r="CC190" i="2"/>
  <c r="CC196" i="2"/>
  <c r="I457" i="4"/>
  <c r="CC244" i="2"/>
  <c r="I548" i="4"/>
  <c r="CC322" i="2"/>
  <c r="I654" i="4"/>
  <c r="CC406" i="2"/>
  <c r="I700" i="4"/>
  <c r="CC436" i="2"/>
  <c r="I760" i="4"/>
  <c r="CC490" i="2"/>
  <c r="I1095" i="4"/>
  <c r="CC604" i="2"/>
  <c r="I1081" i="4"/>
  <c r="CC580" i="2"/>
  <c r="I26" i="4"/>
  <c r="CC8" i="2"/>
  <c r="I208" i="4"/>
  <c r="CC32" i="2"/>
  <c r="H92" i="3"/>
  <c r="CC56" i="2"/>
  <c r="I128" i="4"/>
  <c r="CC74" i="2"/>
  <c r="H80" i="3"/>
  <c r="I184" i="4"/>
  <c r="CC80" i="2"/>
  <c r="I135" i="4"/>
  <c r="CC110" i="2"/>
  <c r="I218" i="4"/>
  <c r="CC116" i="2"/>
  <c r="CC134" i="2"/>
  <c r="I230" i="4"/>
  <c r="CC140" i="2"/>
  <c r="CC152" i="2"/>
  <c r="I396" i="4"/>
  <c r="CC170" i="2"/>
  <c r="I326" i="4"/>
  <c r="CC200" i="2"/>
  <c r="I443" i="4"/>
  <c r="CC212" i="2"/>
  <c r="I428" i="4"/>
  <c r="CC218" i="2"/>
  <c r="I520" i="4"/>
  <c r="CC254" i="2"/>
  <c r="I526" i="4"/>
  <c r="CC260" i="2"/>
  <c r="I602" i="4"/>
  <c r="CC302" i="2"/>
  <c r="I564" i="4"/>
  <c r="CC314" i="2"/>
  <c r="I554" i="4"/>
  <c r="CC350" i="2"/>
  <c r="I746" i="4"/>
  <c r="CC398" i="2"/>
  <c r="I658" i="4"/>
  <c r="CC422" i="2"/>
  <c r="I738" i="4"/>
  <c r="CC440" i="2"/>
  <c r="I744" i="4"/>
  <c r="H109" i="3"/>
  <c r="CC446" i="2"/>
  <c r="I726" i="4"/>
  <c r="CC452" i="2"/>
  <c r="I822" i="4"/>
  <c r="CC464" i="2"/>
  <c r="I848" i="4"/>
  <c r="CC494" i="2"/>
  <c r="I957" i="4"/>
  <c r="CC500" i="2"/>
  <c r="I871" i="4"/>
  <c r="CC506" i="2"/>
  <c r="I1013" i="4"/>
  <c r="CC554" i="2"/>
  <c r="I1085" i="4"/>
  <c r="CC584" i="2"/>
  <c r="I1087" i="4"/>
  <c r="CC590" i="2"/>
  <c r="I1109" i="4"/>
  <c r="CC596" i="2"/>
  <c r="I1149" i="4"/>
  <c r="CC614" i="2"/>
  <c r="I3" i="4"/>
  <c r="CC3" i="2"/>
  <c r="I154" i="4"/>
  <c r="CC40" i="2"/>
  <c r="CC46" i="2"/>
  <c r="I500" i="4"/>
  <c r="CC238" i="2"/>
  <c r="I550" i="4"/>
  <c r="CC298" i="2"/>
  <c r="I590" i="4"/>
  <c r="CC340" i="2"/>
  <c r="I1019" i="4"/>
  <c r="CC532" i="2"/>
  <c r="I1091" i="4"/>
  <c r="CC598" i="2"/>
  <c r="I1155" i="4"/>
  <c r="CC622" i="2"/>
  <c r="I15" i="4"/>
  <c r="CC7" i="2"/>
  <c r="I202" i="4"/>
  <c r="CC43" i="2"/>
  <c r="I160" i="4"/>
  <c r="CC49" i="2"/>
  <c r="I200" i="4"/>
  <c r="CC55" i="2"/>
  <c r="I143" i="4"/>
  <c r="CC97" i="2"/>
  <c r="H14" i="3"/>
  <c r="CC121" i="2"/>
  <c r="I244" i="4"/>
  <c r="CC127" i="2"/>
  <c r="I254" i="4"/>
  <c r="CC133" i="2"/>
  <c r="I239" i="4"/>
  <c r="CC139" i="2"/>
  <c r="I278" i="4"/>
  <c r="CC157" i="2"/>
  <c r="I393" i="4"/>
  <c r="CC169" i="2"/>
  <c r="I360" i="4"/>
  <c r="CC193" i="2"/>
  <c r="H74" i="3"/>
  <c r="CC199" i="2"/>
  <c r="I430" i="4"/>
  <c r="CC223" i="2"/>
  <c r="I460" i="4"/>
  <c r="CC241" i="2"/>
  <c r="I420" i="4"/>
  <c r="CC259" i="2"/>
  <c r="I439" i="4"/>
  <c r="CC283" i="2"/>
  <c r="I568" i="4"/>
  <c r="CC301" i="2"/>
  <c r="I544" i="4"/>
  <c r="CC307" i="2"/>
  <c r="I600" i="4"/>
  <c r="CC313" i="2"/>
  <c r="I532" i="4"/>
  <c r="CC325" i="2"/>
  <c r="I362" i="4"/>
  <c r="CC355" i="2"/>
  <c r="I742" i="4"/>
  <c r="CC379" i="2"/>
  <c r="CC385" i="2"/>
  <c r="I674" i="4"/>
  <c r="CC409" i="2"/>
  <c r="I800" i="4"/>
  <c r="CC463" i="2"/>
  <c r="I856" i="4"/>
  <c r="CC475" i="2"/>
  <c r="I782" i="4"/>
  <c r="CC487" i="2"/>
  <c r="I838" i="4"/>
  <c r="CC493" i="2"/>
  <c r="I960" i="4"/>
  <c r="CC499" i="2"/>
  <c r="I889" i="4"/>
  <c r="CC517" i="2"/>
  <c r="I1057" i="4"/>
  <c r="CC547" i="2"/>
  <c r="I973" i="4"/>
  <c r="CC553" i="2"/>
  <c r="I995" i="4"/>
  <c r="CC559" i="2"/>
  <c r="I1097" i="4"/>
  <c r="CC619" i="2"/>
  <c r="I1287" i="4"/>
  <c r="CC625" i="2"/>
  <c r="I1113" i="4"/>
  <c r="CC592" i="2"/>
  <c r="I290" i="4"/>
  <c r="CC124" i="2"/>
  <c r="CC166" i="2"/>
  <c r="I425" i="4"/>
  <c r="CC358" i="2"/>
  <c r="I945" i="4"/>
  <c r="CC508" i="2"/>
  <c r="I951" i="4"/>
  <c r="CC526" i="2"/>
  <c r="CC24" i="2"/>
  <c r="H68" i="3"/>
  <c r="I172" i="4"/>
  <c r="CC42" i="2"/>
  <c r="I175" i="4"/>
  <c r="CC54" i="2"/>
  <c r="H73" i="3"/>
  <c r="CC60" i="2"/>
  <c r="CC114" i="2"/>
  <c r="I186" i="4"/>
  <c r="CC120" i="2"/>
  <c r="I295" i="4"/>
  <c r="CC132" i="2"/>
  <c r="I323" i="4"/>
  <c r="CC174" i="2"/>
  <c r="I358" i="4"/>
  <c r="CC180" i="2"/>
  <c r="CC198" i="2"/>
  <c r="I524" i="4"/>
  <c r="CC222" i="2"/>
  <c r="I514" i="4"/>
  <c r="CC234" i="2"/>
  <c r="I518" i="4"/>
  <c r="CC252" i="2"/>
  <c r="I452" i="4"/>
  <c r="CC294" i="2"/>
  <c r="I566" i="4"/>
  <c r="CC300" i="2"/>
  <c r="I622" i="4"/>
  <c r="CC306" i="2"/>
  <c r="I560" i="4"/>
  <c r="CC312" i="2"/>
  <c r="I570" i="4"/>
  <c r="CC318" i="2"/>
  <c r="I574" i="4"/>
  <c r="CC330" i="2"/>
  <c r="I594" i="4"/>
  <c r="CC336" i="2"/>
  <c r="I612" i="4"/>
  <c r="CC372" i="2"/>
  <c r="I702" i="4"/>
  <c r="CC384" i="2"/>
  <c r="I666" i="4"/>
  <c r="CC390" i="2"/>
  <c r="I682" i="4"/>
  <c r="CC420" i="2"/>
  <c r="I642" i="4"/>
  <c r="CC426" i="2"/>
  <c r="I652" i="4"/>
  <c r="CC450" i="2"/>
  <c r="I638" i="4"/>
  <c r="CC480" i="2"/>
  <c r="I834" i="4"/>
  <c r="CC492" i="2"/>
  <c r="I880" i="4"/>
  <c r="CC510" i="2"/>
  <c r="I888" i="4"/>
  <c r="CC516" i="2"/>
  <c r="I941" i="4"/>
  <c r="CC522" i="2"/>
  <c r="I1001" i="4"/>
  <c r="CC534" i="2"/>
  <c r="I1061" i="4"/>
  <c r="CC546" i="2"/>
  <c r="I987" i="4"/>
  <c r="CC564" i="2"/>
  <c r="I1119" i="4"/>
  <c r="CC594" i="2"/>
  <c r="I1077" i="4"/>
  <c r="CC612" i="2"/>
  <c r="CC94" i="2"/>
  <c r="I235" i="4"/>
  <c r="CC148" i="2"/>
  <c r="H110" i="3"/>
  <c r="CC394" i="2"/>
  <c r="I668" i="4"/>
  <c r="CC430" i="2"/>
  <c r="H49" i="3"/>
  <c r="CC23" i="2"/>
  <c r="I206" i="4"/>
  <c r="CC35" i="2"/>
  <c r="I203" i="4"/>
  <c r="CC41" i="2"/>
  <c r="I199" i="4"/>
  <c r="CC65" i="2"/>
  <c r="I190" i="4"/>
  <c r="CC71" i="2"/>
  <c r="I227" i="4"/>
  <c r="CC125" i="2"/>
  <c r="I298" i="4"/>
  <c r="CC131" i="2"/>
  <c r="I287" i="4"/>
  <c r="CC137" i="2"/>
  <c r="I212" i="4"/>
  <c r="CC143" i="2"/>
  <c r="I238" i="4"/>
  <c r="CC149" i="2"/>
  <c r="I275" i="4"/>
  <c r="CC155" i="2"/>
  <c r="I311" i="4"/>
  <c r="CC167" i="2"/>
  <c r="I341" i="4"/>
  <c r="CC203" i="2"/>
  <c r="I454" i="4"/>
  <c r="CC221" i="2"/>
  <c r="I434" i="4"/>
  <c r="CC233" i="2"/>
  <c r="I442" i="4"/>
  <c r="CC239" i="2"/>
  <c r="I522" i="4"/>
  <c r="CC257" i="2"/>
  <c r="I455" i="4"/>
  <c r="CC293" i="2"/>
  <c r="CC305" i="2"/>
  <c r="I556" i="4"/>
  <c r="CC311" i="2"/>
  <c r="I614" i="4"/>
  <c r="CC329" i="2"/>
  <c r="I604" i="4"/>
  <c r="CC335" i="2"/>
  <c r="I684" i="4"/>
  <c r="CC389" i="2"/>
  <c r="I698" i="4"/>
  <c r="CC401" i="2"/>
  <c r="I664" i="4"/>
  <c r="CC407" i="2"/>
  <c r="I656" i="4"/>
  <c r="CC431" i="2"/>
  <c r="I852" i="4"/>
  <c r="CC461" i="2"/>
  <c r="I778" i="4"/>
  <c r="CC479" i="2"/>
  <c r="I766" i="4"/>
  <c r="CC485" i="2"/>
  <c r="I824" i="4"/>
  <c r="CC491" i="2"/>
  <c r="I961" i="4"/>
  <c r="CC497" i="2"/>
  <c r="I877" i="4"/>
  <c r="CC509" i="2"/>
  <c r="I885" i="4"/>
  <c r="CC515" i="2"/>
  <c r="I1007" i="4"/>
  <c r="CC533" i="2"/>
  <c r="I981" i="4"/>
  <c r="CC551" i="2"/>
  <c r="I558" i="4"/>
  <c r="CC346" i="2"/>
  <c r="I756" i="4"/>
  <c r="CC484" i="2"/>
  <c r="I36" i="4"/>
  <c r="CC10" i="2"/>
  <c r="I48" i="4"/>
  <c r="CC16" i="2"/>
  <c r="I8" i="4"/>
  <c r="CC9" i="2"/>
  <c r="CC100" i="2"/>
  <c r="I39" i="4"/>
  <c r="CC106" i="2"/>
  <c r="I418" i="4"/>
  <c r="CC256" i="2"/>
  <c r="I712" i="4"/>
  <c r="CC454" i="2"/>
  <c r="I32" i="4"/>
  <c r="CC21" i="2"/>
  <c r="I100" i="4"/>
  <c r="CC27" i="2"/>
  <c r="CC39" i="2"/>
  <c r="CC45" i="2"/>
  <c r="CC51" i="2"/>
  <c r="H2" i="3"/>
  <c r="CC63" i="2"/>
  <c r="CC69" i="2"/>
  <c r="I138" i="4"/>
  <c r="CC75" i="2"/>
  <c r="CC93" i="2"/>
  <c r="I284" i="4"/>
  <c r="CC105" i="2"/>
  <c r="I127" i="4"/>
  <c r="CC117" i="2"/>
  <c r="I226" i="4"/>
  <c r="CC123" i="2"/>
  <c r="I292" i="4"/>
  <c r="CC135" i="2"/>
  <c r="CC153" i="2"/>
  <c r="I248" i="4"/>
  <c r="CC159" i="2"/>
  <c r="I398" i="4"/>
  <c r="CC171" i="2"/>
  <c r="CC189" i="2"/>
  <c r="H48" i="3"/>
  <c r="CC195" i="2"/>
  <c r="I464" i="4"/>
  <c r="CC225" i="2"/>
  <c r="I487" i="4"/>
  <c r="CC231" i="2"/>
  <c r="I469" i="4"/>
  <c r="CC273" i="2"/>
  <c r="I552" i="4"/>
  <c r="CC309" i="2"/>
  <c r="I630" i="4"/>
  <c r="CC315" i="2"/>
  <c r="I572" i="4"/>
  <c r="CC321" i="2"/>
  <c r="I530" i="4"/>
  <c r="CC333" i="2"/>
  <c r="I592" i="4"/>
  <c r="CC339" i="2"/>
  <c r="I338" i="4"/>
  <c r="CC357" i="2"/>
  <c r="I650" i="4"/>
  <c r="CC417" i="2"/>
  <c r="I690" i="4"/>
  <c r="CC453" i="2"/>
  <c r="I854" i="4"/>
  <c r="CC459" i="2"/>
  <c r="I818" i="4"/>
  <c r="CC471" i="2"/>
  <c r="I866" i="4"/>
  <c r="CC501" i="2"/>
  <c r="I873" i="4"/>
  <c r="CC507" i="2"/>
  <c r="I883" i="4"/>
  <c r="CC513" i="2"/>
  <c r="I862" i="4"/>
  <c r="CC519" i="2"/>
  <c r="I947" i="4"/>
  <c r="CC525" i="2"/>
  <c r="I1027" i="4"/>
  <c r="CC531" i="2"/>
  <c r="I993" i="4"/>
  <c r="CC537" i="2"/>
  <c r="I1089" i="4"/>
  <c r="CC591" i="2"/>
  <c r="BZ629" i="2"/>
  <c r="CC629" i="2" s="1"/>
  <c r="BZ635" i="2"/>
  <c r="CC635" i="2" s="1"/>
  <c r="BZ641" i="2"/>
  <c r="CC641" i="2" s="1"/>
  <c r="BZ647" i="2"/>
  <c r="CC647" i="2" s="1"/>
  <c r="BZ653" i="2"/>
  <c r="CC653" i="2" s="1"/>
  <c r="BZ659" i="2"/>
  <c r="CC659" i="2" s="1"/>
  <c r="BZ665" i="2"/>
  <c r="CC665" i="2" s="1"/>
  <c r="BZ671" i="2"/>
  <c r="CC671" i="2" s="1"/>
  <c r="BZ677" i="2"/>
  <c r="CC677" i="2" s="1"/>
  <c r="BZ683" i="2"/>
  <c r="CC683" i="2" s="1"/>
  <c r="BZ689" i="2"/>
  <c r="CC689" i="2" s="1"/>
  <c r="BZ695" i="2"/>
  <c r="CC695" i="2" s="1"/>
  <c r="BZ701" i="2"/>
  <c r="CC701" i="2" s="1"/>
  <c r="BZ707" i="2"/>
  <c r="CC707" i="2" s="1"/>
  <c r="BZ713" i="2"/>
  <c r="CC713" i="2" s="1"/>
  <c r="BZ719" i="2"/>
  <c r="CC719" i="2" s="1"/>
  <c r="BZ725" i="2"/>
  <c r="CC725" i="2" s="1"/>
  <c r="BZ634" i="2"/>
  <c r="CC634" i="2" s="1"/>
  <c r="BZ640" i="2"/>
  <c r="BZ646" i="2"/>
  <c r="CC646" i="2" s="1"/>
  <c r="BZ652" i="2"/>
  <c r="CC652" i="2" s="1"/>
  <c r="BZ658" i="2"/>
  <c r="CC658" i="2" s="1"/>
  <c r="BZ664" i="2"/>
  <c r="CC664" i="2" s="1"/>
  <c r="I1221" i="4"/>
  <c r="CC633" i="2"/>
  <c r="CC645" i="2"/>
  <c r="B16" i="5"/>
  <c r="B13" i="5"/>
  <c r="B15" i="5"/>
  <c r="B12" i="5"/>
  <c r="D14" i="5"/>
  <c r="E14" i="5" s="1"/>
  <c r="D11" i="5"/>
  <c r="B14" i="5"/>
  <c r="B11" i="5"/>
  <c r="BZ632" i="2"/>
  <c r="BZ638" i="2"/>
  <c r="BZ644" i="2"/>
  <c r="CC644" i="2" s="1"/>
  <c r="BZ650" i="2"/>
  <c r="CC650" i="2" s="1"/>
  <c r="BZ656" i="2"/>
  <c r="CC656" i="2" s="1"/>
  <c r="BZ662" i="2"/>
  <c r="CC662" i="2" s="1"/>
  <c r="BZ668" i="2"/>
  <c r="CC668" i="2" s="1"/>
  <c r="BZ674" i="2"/>
  <c r="CC674" i="2" s="1"/>
  <c r="BZ680" i="2"/>
  <c r="CC680" i="2" s="1"/>
  <c r="BZ686" i="2"/>
  <c r="CC686" i="2" s="1"/>
  <c r="BZ692" i="2"/>
  <c r="CC692" i="2" s="1"/>
  <c r="BZ728" i="2"/>
  <c r="CC728" i="2" s="1"/>
  <c r="BZ631" i="2"/>
  <c r="CC631" i="2" s="1"/>
  <c r="BZ637" i="2"/>
  <c r="BZ643" i="2"/>
  <c r="CC643" i="2" s="1"/>
  <c r="BZ649" i="2"/>
  <c r="BZ655" i="2"/>
  <c r="CC655" i="2" s="1"/>
  <c r="BZ661" i="2"/>
  <c r="CC661" i="2" s="1"/>
  <c r="BZ667" i="2"/>
  <c r="CC667" i="2" s="1"/>
  <c r="BZ673" i="2"/>
  <c r="CC673" i="2" s="1"/>
  <c r="BZ727" i="2"/>
  <c r="CC727" i="2" s="1"/>
  <c r="I1259" i="4"/>
  <c r="CC630" i="2"/>
  <c r="I1215" i="4"/>
  <c r="CC642" i="2"/>
  <c r="BZ702" i="2"/>
  <c r="CC702" i="2" s="1"/>
  <c r="BZ708" i="2"/>
  <c r="CC708" i="2" s="1"/>
  <c r="BZ714" i="2"/>
  <c r="CC714" i="2" s="1"/>
  <c r="BZ720" i="2"/>
  <c r="CC720" i="2" s="1"/>
  <c r="BZ726" i="2"/>
  <c r="CC726" i="2" s="1"/>
  <c r="BZ759" i="2"/>
  <c r="CC759" i="2" s="1"/>
  <c r="BZ771" i="2"/>
  <c r="CC771" i="2" s="1"/>
  <c r="BZ783" i="2"/>
  <c r="CC783" i="2" s="1"/>
  <c r="BZ795" i="2"/>
  <c r="CC795" i="2" s="1"/>
  <c r="BZ807" i="2"/>
  <c r="CC807" i="2" s="1"/>
  <c r="BZ961" i="2"/>
  <c r="CC961" i="2" s="1"/>
  <c r="BZ991" i="2"/>
  <c r="CC991" i="2" s="1"/>
  <c r="BZ770" i="2"/>
  <c r="CC770" i="2" s="1"/>
  <c r="BZ782" i="2"/>
  <c r="CC782" i="2" s="1"/>
  <c r="BZ794" i="2"/>
  <c r="CC794" i="2" s="1"/>
  <c r="BZ806" i="2"/>
  <c r="CC806" i="2" s="1"/>
  <c r="BZ818" i="2"/>
  <c r="CC818" i="2" s="1"/>
  <c r="BZ830" i="2"/>
  <c r="CC830" i="2" s="1"/>
  <c r="BZ842" i="2"/>
  <c r="CC842" i="2" s="1"/>
  <c r="BZ854" i="2"/>
  <c r="CC854" i="2" s="1"/>
  <c r="BZ866" i="2"/>
  <c r="CC866" i="2" s="1"/>
  <c r="BZ878" i="2"/>
  <c r="CC878" i="2" s="1"/>
  <c r="BZ890" i="2"/>
  <c r="CC890" i="2" s="1"/>
  <c r="BZ902" i="2"/>
  <c r="CC902" i="2" s="1"/>
  <c r="BZ914" i="2"/>
  <c r="CC914" i="2" s="1"/>
  <c r="BZ975" i="2"/>
  <c r="CC975" i="2" s="1"/>
  <c r="BZ983" i="2"/>
  <c r="CC983" i="2" s="1"/>
  <c r="BZ1013" i="2"/>
  <c r="CC1013" i="2" s="1"/>
  <c r="BZ1021" i="2"/>
  <c r="CC1021" i="2" s="1"/>
  <c r="BZ1051" i="2"/>
  <c r="CC1051" i="2" s="1"/>
  <c r="BZ1075" i="2"/>
  <c r="CC1075" i="2" s="1"/>
  <c r="BZ769" i="2"/>
  <c r="CC769" i="2" s="1"/>
  <c r="BZ781" i="2"/>
  <c r="CC781" i="2" s="1"/>
  <c r="BZ793" i="2"/>
  <c r="CC793" i="2" s="1"/>
  <c r="BZ805" i="2"/>
  <c r="CC805" i="2" s="1"/>
  <c r="BZ817" i="2"/>
  <c r="CC817" i="2" s="1"/>
  <c r="BZ829" i="2"/>
  <c r="CC829" i="2" s="1"/>
  <c r="BZ841" i="2"/>
  <c r="CC841" i="2" s="1"/>
  <c r="BZ853" i="2"/>
  <c r="CC853" i="2" s="1"/>
  <c r="BZ865" i="2"/>
  <c r="CC865" i="2" s="1"/>
  <c r="BZ877" i="2"/>
  <c r="CC877" i="2" s="1"/>
  <c r="BZ889" i="2"/>
  <c r="CC889" i="2" s="1"/>
  <c r="BZ901" i="2"/>
  <c r="CC901" i="2" s="1"/>
  <c r="BZ913" i="2"/>
  <c r="CC913" i="2" s="1"/>
  <c r="BZ929" i="2"/>
  <c r="CC929" i="2" s="1"/>
  <c r="BZ937" i="2"/>
  <c r="CC937" i="2" s="1"/>
  <c r="BZ962" i="2"/>
  <c r="CC962" i="2" s="1"/>
  <c r="BZ967" i="2"/>
  <c r="CC967" i="2" s="1"/>
  <c r="BZ1005" i="2"/>
  <c r="CC1005" i="2" s="1"/>
  <c r="BZ1035" i="2"/>
  <c r="CC1035" i="2" s="1"/>
  <c r="BZ1043" i="2"/>
  <c r="CC1043" i="2" s="1"/>
  <c r="BZ1073" i="2"/>
  <c r="CC1073" i="2" s="1"/>
  <c r="BZ768" i="2"/>
  <c r="CC768" i="2" s="1"/>
  <c r="BZ780" i="2"/>
  <c r="CC780" i="2" s="1"/>
  <c r="BZ792" i="2"/>
  <c r="CC792" i="2" s="1"/>
  <c r="BZ804" i="2"/>
  <c r="CC804" i="2" s="1"/>
  <c r="BZ816" i="2"/>
  <c r="CC816" i="2" s="1"/>
  <c r="BZ828" i="2"/>
  <c r="CC828" i="2" s="1"/>
  <c r="BZ840" i="2"/>
  <c r="CC840" i="2" s="1"/>
  <c r="BZ852" i="2"/>
  <c r="CC852" i="2" s="1"/>
  <c r="BZ864" i="2"/>
  <c r="CC864" i="2" s="1"/>
  <c r="BZ876" i="2"/>
  <c r="CC876" i="2" s="1"/>
  <c r="BZ888" i="2"/>
  <c r="CC888" i="2" s="1"/>
  <c r="BZ900" i="2"/>
  <c r="CC900" i="2" s="1"/>
  <c r="BZ912" i="2"/>
  <c r="CC912" i="2" s="1"/>
  <c r="BZ945" i="2"/>
  <c r="CC945" i="2" s="1"/>
  <c r="BZ951" i="2"/>
  <c r="CC951" i="2" s="1"/>
  <c r="BZ959" i="2"/>
  <c r="CC959" i="2" s="1"/>
  <c r="BZ989" i="2"/>
  <c r="CC989" i="2" s="1"/>
  <c r="BZ997" i="2"/>
  <c r="CC997" i="2" s="1"/>
  <c r="BZ1027" i="2"/>
  <c r="CC1027" i="2" s="1"/>
  <c r="BZ815" i="2"/>
  <c r="CC815" i="2" s="1"/>
  <c r="BZ827" i="2"/>
  <c r="CC827" i="2" s="1"/>
  <c r="BZ839" i="2"/>
  <c r="CC839" i="2" s="1"/>
  <c r="BZ851" i="2"/>
  <c r="CC851" i="2" s="1"/>
  <c r="BZ863" i="2"/>
  <c r="CC863" i="2" s="1"/>
  <c r="BZ875" i="2"/>
  <c r="CC875" i="2" s="1"/>
  <c r="BZ887" i="2"/>
  <c r="CC887" i="2" s="1"/>
  <c r="BZ899" i="2"/>
  <c r="CC899" i="2" s="1"/>
  <c r="BZ911" i="2"/>
  <c r="CC911" i="2" s="1"/>
  <c r="BZ938" i="2"/>
  <c r="CC938" i="2" s="1"/>
  <c r="BZ943" i="2"/>
  <c r="CC943" i="2" s="1"/>
  <c r="BZ981" i="2"/>
  <c r="CC981" i="2" s="1"/>
  <c r="BZ1011" i="2"/>
  <c r="CC1011" i="2" s="1"/>
  <c r="BZ1019" i="2"/>
  <c r="CC1019" i="2" s="1"/>
  <c r="BZ1049" i="2"/>
  <c r="CC1049" i="2" s="1"/>
  <c r="BZ1057" i="2"/>
  <c r="CC1057" i="2" s="1"/>
  <c r="BZ766" i="2"/>
  <c r="CC766" i="2" s="1"/>
  <c r="BZ778" i="2"/>
  <c r="CC778" i="2" s="1"/>
  <c r="BZ790" i="2"/>
  <c r="CC790" i="2" s="1"/>
  <c r="BZ802" i="2"/>
  <c r="CC802" i="2" s="1"/>
  <c r="BZ814" i="2"/>
  <c r="CC814" i="2" s="1"/>
  <c r="BZ826" i="2"/>
  <c r="CC826" i="2" s="1"/>
  <c r="BZ838" i="2"/>
  <c r="CC838" i="2" s="1"/>
  <c r="BZ850" i="2"/>
  <c r="CC850" i="2" s="1"/>
  <c r="BZ862" i="2"/>
  <c r="CC862" i="2" s="1"/>
  <c r="BZ874" i="2"/>
  <c r="CC874" i="2" s="1"/>
  <c r="BZ886" i="2"/>
  <c r="CC886" i="2" s="1"/>
  <c r="BZ898" i="2"/>
  <c r="CC898" i="2" s="1"/>
  <c r="BZ910" i="2"/>
  <c r="CC910" i="2" s="1"/>
  <c r="BZ921" i="2"/>
  <c r="CC921" i="2" s="1"/>
  <c r="BZ927" i="2"/>
  <c r="CC927" i="2" s="1"/>
  <c r="BZ935" i="2"/>
  <c r="CC935" i="2" s="1"/>
  <c r="BZ965" i="2"/>
  <c r="CC965" i="2" s="1"/>
  <c r="BZ973" i="2"/>
  <c r="CC973" i="2" s="1"/>
  <c r="BZ998" i="2"/>
  <c r="CC998" i="2" s="1"/>
  <c r="BZ1003" i="2"/>
  <c r="CC1003" i="2" s="1"/>
  <c r="BZ1065" i="2"/>
  <c r="CC1065" i="2" s="1"/>
  <c r="BZ765" i="2"/>
  <c r="CC765" i="2" s="1"/>
  <c r="BZ777" i="2"/>
  <c r="CC777" i="2" s="1"/>
  <c r="BZ789" i="2"/>
  <c r="BZ801" i="2"/>
  <c r="CC801" i="2" s="1"/>
  <c r="BZ919" i="2"/>
  <c r="CC919" i="2" s="1"/>
  <c r="BZ957" i="2"/>
  <c r="CC957" i="2" s="1"/>
  <c r="BZ1025" i="2"/>
  <c r="CC1025" i="2" s="1"/>
  <c r="BZ1033" i="2"/>
  <c r="CC1033" i="2" s="1"/>
  <c r="BZ1063" i="2"/>
  <c r="CC1063" i="2" s="1"/>
  <c r="BZ764" i="2"/>
  <c r="CC764" i="2" s="1"/>
  <c r="BZ776" i="2"/>
  <c r="CC776" i="2" s="1"/>
  <c r="BZ788" i="2"/>
  <c r="CC788" i="2" s="1"/>
  <c r="BZ800" i="2"/>
  <c r="CC800" i="2" s="1"/>
  <c r="BZ812" i="2"/>
  <c r="CC812" i="2" s="1"/>
  <c r="BZ824" i="2"/>
  <c r="CC824" i="2" s="1"/>
  <c r="BZ836" i="2"/>
  <c r="CC836" i="2" s="1"/>
  <c r="BZ848" i="2"/>
  <c r="CC848" i="2" s="1"/>
  <c r="BZ860" i="2"/>
  <c r="CC860" i="2" s="1"/>
  <c r="BZ872" i="2"/>
  <c r="CC872" i="2" s="1"/>
  <c r="BZ884" i="2"/>
  <c r="CC884" i="2" s="1"/>
  <c r="BZ896" i="2"/>
  <c r="CC896" i="2" s="1"/>
  <c r="BZ908" i="2"/>
  <c r="CC908" i="2" s="1"/>
  <c r="BZ941" i="2"/>
  <c r="CC941" i="2" s="1"/>
  <c r="BZ949" i="2"/>
  <c r="CC949" i="2" s="1"/>
  <c r="BZ974" i="2"/>
  <c r="CC974" i="2" s="1"/>
  <c r="BZ979" i="2"/>
  <c r="CC979" i="2" s="1"/>
  <c r="BZ1017" i="2"/>
  <c r="CC1017" i="2" s="1"/>
  <c r="BZ1041" i="2"/>
  <c r="CC1041" i="2" s="1"/>
  <c r="BZ1047" i="2"/>
  <c r="CC1047" i="2" s="1"/>
  <c r="BZ1055" i="2"/>
  <c r="CC1055" i="2" s="1"/>
  <c r="BZ763" i="2"/>
  <c r="CC763" i="2" s="1"/>
  <c r="BZ775" i="2"/>
  <c r="CC775" i="2" s="1"/>
  <c r="BZ787" i="2"/>
  <c r="CC787" i="2" s="1"/>
  <c r="BZ799" i="2"/>
  <c r="CC799" i="2" s="1"/>
  <c r="BZ811" i="2"/>
  <c r="CC811" i="2" s="1"/>
  <c r="BZ823" i="2"/>
  <c r="CC823" i="2" s="1"/>
  <c r="BZ835" i="2"/>
  <c r="CC835" i="2" s="1"/>
  <c r="BZ847" i="2"/>
  <c r="CC847" i="2" s="1"/>
  <c r="BZ859" i="2"/>
  <c r="CC859" i="2" s="1"/>
  <c r="BZ871" i="2"/>
  <c r="CC871" i="2" s="1"/>
  <c r="BZ883" i="2"/>
  <c r="CC883" i="2" s="1"/>
  <c r="BZ895" i="2"/>
  <c r="CC895" i="2" s="1"/>
  <c r="BZ907" i="2"/>
  <c r="CC907" i="2" s="1"/>
  <c r="BZ971" i="2"/>
  <c r="CC971" i="2" s="1"/>
  <c r="BZ1001" i="2"/>
  <c r="CC1001" i="2" s="1"/>
  <c r="BZ1009" i="2"/>
  <c r="CC1009" i="2" s="1"/>
  <c r="BZ1039" i="2"/>
  <c r="CC1039" i="2" s="1"/>
  <c r="BZ762" i="2"/>
  <c r="CC762" i="2" s="1"/>
  <c r="BZ774" i="2"/>
  <c r="BZ786" i="2"/>
  <c r="CC786" i="2" s="1"/>
  <c r="BZ798" i="2"/>
  <c r="CC798" i="2" s="1"/>
  <c r="BZ810" i="2"/>
  <c r="CC810" i="2" s="1"/>
  <c r="BZ822" i="2"/>
  <c r="CC822" i="2" s="1"/>
  <c r="BZ834" i="2"/>
  <c r="CC834" i="2" s="1"/>
  <c r="BZ846" i="2"/>
  <c r="CC846" i="2" s="1"/>
  <c r="BZ858" i="2"/>
  <c r="CC858" i="2" s="1"/>
  <c r="BZ870" i="2"/>
  <c r="CC870" i="2" s="1"/>
  <c r="BZ882" i="2"/>
  <c r="CC882" i="2" s="1"/>
  <c r="BZ894" i="2"/>
  <c r="CC894" i="2" s="1"/>
  <c r="BZ906" i="2"/>
  <c r="CC906" i="2" s="1"/>
  <c r="BZ917" i="2"/>
  <c r="CC917" i="2" s="1"/>
  <c r="BZ925" i="2"/>
  <c r="CC925" i="2" s="1"/>
  <c r="BZ955" i="2"/>
  <c r="CC955" i="2" s="1"/>
  <c r="BZ993" i="2"/>
  <c r="CC993" i="2" s="1"/>
  <c r="BZ1023" i="2"/>
  <c r="CC1023" i="2" s="1"/>
  <c r="BZ1061" i="2"/>
  <c r="CC1061" i="2" s="1"/>
  <c r="BZ1069" i="2"/>
  <c r="CC1069" i="2" s="1"/>
  <c r="BZ1079" i="2"/>
  <c r="CC1079" i="2" s="1"/>
  <c r="BZ761" i="2"/>
  <c r="CC761" i="2" s="1"/>
  <c r="BZ773" i="2"/>
  <c r="CC773" i="2" s="1"/>
  <c r="BZ785" i="2"/>
  <c r="CC785" i="2" s="1"/>
  <c r="BZ797" i="2"/>
  <c r="CC797" i="2" s="1"/>
  <c r="BZ809" i="2"/>
  <c r="CC809" i="2" s="1"/>
  <c r="BZ821" i="2"/>
  <c r="CC821" i="2" s="1"/>
  <c r="BZ833" i="2"/>
  <c r="CC833" i="2" s="1"/>
  <c r="BZ845" i="2"/>
  <c r="CC845" i="2" s="1"/>
  <c r="BZ857" i="2"/>
  <c r="CC857" i="2" s="1"/>
  <c r="BZ869" i="2"/>
  <c r="CC869" i="2" s="1"/>
  <c r="BZ881" i="2"/>
  <c r="CC881" i="2" s="1"/>
  <c r="BZ893" i="2"/>
  <c r="CC893" i="2" s="1"/>
  <c r="BZ905" i="2"/>
  <c r="CC905" i="2" s="1"/>
  <c r="BZ933" i="2"/>
  <c r="CC933" i="2" s="1"/>
  <c r="BZ939" i="2"/>
  <c r="CC939" i="2" s="1"/>
  <c r="BZ947" i="2"/>
  <c r="CC947" i="2" s="1"/>
  <c r="BZ977" i="2"/>
  <c r="CC977" i="2" s="1"/>
  <c r="BZ985" i="2"/>
  <c r="CC985" i="2" s="1"/>
  <c r="BZ1010" i="2"/>
  <c r="CC1010" i="2" s="1"/>
  <c r="BZ1015" i="2"/>
  <c r="CC1015" i="2" s="1"/>
  <c r="BZ1081" i="2"/>
  <c r="CC1081" i="2" s="1"/>
  <c r="BZ1082" i="2"/>
  <c r="CC1082" i="2" s="1"/>
  <c r="BZ1088" i="2"/>
  <c r="CC1088" i="2" s="1"/>
  <c r="BZ1094" i="2"/>
  <c r="CC1094" i="2" s="1"/>
  <c r="BZ1100" i="2"/>
  <c r="CC1100" i="2" s="1"/>
  <c r="BZ1106" i="2"/>
  <c r="CC1106" i="2" s="1"/>
  <c r="BZ1112" i="2"/>
  <c r="CC1112" i="2" s="1"/>
  <c r="BZ1118" i="2"/>
  <c r="CC1118" i="2" s="1"/>
  <c r="BZ1124" i="2"/>
  <c r="CC1124" i="2" s="1"/>
  <c r="BZ1130" i="2"/>
  <c r="CC1130" i="2" s="1"/>
  <c r="BZ1136" i="2"/>
  <c r="CC1136" i="2" s="1"/>
  <c r="BZ1142" i="2"/>
  <c r="CC1142" i="2" s="1"/>
  <c r="BZ1148" i="2"/>
  <c r="CC1148" i="2" s="1"/>
  <c r="BZ1154" i="2"/>
  <c r="CC1154" i="2" s="1"/>
  <c r="BZ1160" i="2"/>
  <c r="CC1160" i="2" s="1"/>
  <c r="BZ1166" i="2"/>
  <c r="CC1166" i="2" s="1"/>
  <c r="BZ1172" i="2"/>
  <c r="CC1172" i="2" s="1"/>
  <c r="I17" i="4"/>
  <c r="I90" i="4"/>
  <c r="I142" i="4"/>
  <c r="I49" i="4"/>
  <c r="I170" i="4"/>
  <c r="BZ1087" i="2"/>
  <c r="CC1087" i="2" s="1"/>
  <c r="BZ1093" i="2"/>
  <c r="CC1093" i="2" s="1"/>
  <c r="BZ1099" i="2"/>
  <c r="CC1099" i="2" s="1"/>
  <c r="BZ1105" i="2"/>
  <c r="CC1105" i="2" s="1"/>
  <c r="BZ1111" i="2"/>
  <c r="CC1111" i="2" s="1"/>
  <c r="BZ1117" i="2"/>
  <c r="CC1117" i="2" s="1"/>
  <c r="BZ1123" i="2"/>
  <c r="CC1123" i="2" s="1"/>
  <c r="BZ1129" i="2"/>
  <c r="CC1129" i="2" s="1"/>
  <c r="BZ1135" i="2"/>
  <c r="CC1135" i="2" s="1"/>
  <c r="BZ1141" i="2"/>
  <c r="CC1141" i="2" s="1"/>
  <c r="BZ1147" i="2"/>
  <c r="CC1147" i="2" s="1"/>
  <c r="BZ1153" i="2"/>
  <c r="CC1153" i="2" s="1"/>
  <c r="BZ1159" i="2"/>
  <c r="CC1159" i="2" s="1"/>
  <c r="BZ1165" i="2"/>
  <c r="CC1165" i="2" s="1"/>
  <c r="BZ1171" i="2"/>
  <c r="CC1171" i="2" s="1"/>
  <c r="BZ1177" i="2"/>
  <c r="CC1177" i="2" s="1"/>
  <c r="H70" i="3"/>
  <c r="I191" i="4"/>
  <c r="I9" i="4"/>
  <c r="BZ1086" i="2"/>
  <c r="CC1086" i="2" s="1"/>
  <c r="BZ1092" i="2"/>
  <c r="CC1092" i="2" s="1"/>
  <c r="BZ1098" i="2"/>
  <c r="CC1098" i="2" s="1"/>
  <c r="BZ1104" i="2"/>
  <c r="CC1104" i="2" s="1"/>
  <c r="BZ1110" i="2"/>
  <c r="CC1110" i="2" s="1"/>
  <c r="BZ1116" i="2"/>
  <c r="CC1116" i="2" s="1"/>
  <c r="BZ1122" i="2"/>
  <c r="CC1122" i="2" s="1"/>
  <c r="BZ1128" i="2"/>
  <c r="CC1128" i="2" s="1"/>
  <c r="BZ1134" i="2"/>
  <c r="CC1134" i="2" s="1"/>
  <c r="BZ1140" i="2"/>
  <c r="CC1140" i="2" s="1"/>
  <c r="BZ1146" i="2"/>
  <c r="CC1146" i="2" s="1"/>
  <c r="BZ1152" i="2"/>
  <c r="CC1152" i="2" s="1"/>
  <c r="BZ1158" i="2"/>
  <c r="CC1158" i="2" s="1"/>
  <c r="BZ1164" i="2"/>
  <c r="CC1164" i="2" s="1"/>
  <c r="BZ1170" i="2"/>
  <c r="CC1170" i="2" s="1"/>
  <c r="I5" i="4"/>
  <c r="I41" i="4"/>
  <c r="I43" i="4"/>
  <c r="I126" i="4"/>
  <c r="I122" i="4"/>
  <c r="BZ1085" i="2"/>
  <c r="CC1085" i="2" s="1"/>
  <c r="BZ1091" i="2"/>
  <c r="CC1091" i="2" s="1"/>
  <c r="BZ1097" i="2"/>
  <c r="CC1097" i="2" s="1"/>
  <c r="BZ1103" i="2"/>
  <c r="CC1103" i="2" s="1"/>
  <c r="BZ1109" i="2"/>
  <c r="CC1109" i="2" s="1"/>
  <c r="BZ1115" i="2"/>
  <c r="CC1115" i="2" s="1"/>
  <c r="BZ1121" i="2"/>
  <c r="CC1121" i="2" s="1"/>
  <c r="BZ1127" i="2"/>
  <c r="CC1127" i="2" s="1"/>
  <c r="BZ1133" i="2"/>
  <c r="CC1133" i="2" s="1"/>
  <c r="BZ1139" i="2"/>
  <c r="CC1139" i="2" s="1"/>
  <c r="BZ1145" i="2"/>
  <c r="CC1145" i="2" s="1"/>
  <c r="BZ1151" i="2"/>
  <c r="CC1151" i="2" s="1"/>
  <c r="BZ1157" i="2"/>
  <c r="CC1157" i="2" s="1"/>
  <c r="BZ1163" i="2"/>
  <c r="CC1163" i="2" s="1"/>
  <c r="BZ1169" i="2"/>
  <c r="CC1169" i="2" s="1"/>
  <c r="H94" i="3"/>
  <c r="I194" i="4"/>
  <c r="I54" i="4"/>
  <c r="BZ1084" i="2"/>
  <c r="CC1084" i="2" s="1"/>
  <c r="BZ1090" i="2"/>
  <c r="CC1090" i="2" s="1"/>
  <c r="BZ1096" i="2"/>
  <c r="CC1096" i="2" s="1"/>
  <c r="BZ1102" i="2"/>
  <c r="CC1102" i="2" s="1"/>
  <c r="BZ1108" i="2"/>
  <c r="CC1108" i="2" s="1"/>
  <c r="BZ1114" i="2"/>
  <c r="CC1114" i="2" s="1"/>
  <c r="BZ1120" i="2"/>
  <c r="CC1120" i="2" s="1"/>
  <c r="BZ1126" i="2"/>
  <c r="CC1126" i="2" s="1"/>
  <c r="BZ1132" i="2"/>
  <c r="CC1132" i="2" s="1"/>
  <c r="BZ1138" i="2"/>
  <c r="CC1138" i="2" s="1"/>
  <c r="BZ1144" i="2"/>
  <c r="CC1144" i="2" s="1"/>
  <c r="BZ1150" i="2"/>
  <c r="CC1150" i="2" s="1"/>
  <c r="BZ1156" i="2"/>
  <c r="CC1156" i="2" s="1"/>
  <c r="BZ1162" i="2"/>
  <c r="CC1162" i="2" s="1"/>
  <c r="BZ1168" i="2"/>
  <c r="CC1168" i="2" s="1"/>
  <c r="I167" i="4"/>
  <c r="BZ1174" i="2"/>
  <c r="CC1174" i="2" s="1"/>
  <c r="BZ1180" i="2"/>
  <c r="CC1180" i="2" s="1"/>
  <c r="H99" i="3"/>
  <c r="BZ1083" i="2"/>
  <c r="CC1083" i="2" s="1"/>
  <c r="BZ1089" i="2"/>
  <c r="CC1089" i="2" s="1"/>
  <c r="BZ1095" i="2"/>
  <c r="CC1095" i="2" s="1"/>
  <c r="BZ1101" i="2"/>
  <c r="CC1101" i="2" s="1"/>
  <c r="BZ1107" i="2"/>
  <c r="CC1107" i="2" s="1"/>
  <c r="BZ1113" i="2"/>
  <c r="CC1113" i="2" s="1"/>
  <c r="BZ1119" i="2"/>
  <c r="CC1119" i="2" s="1"/>
  <c r="BZ1125" i="2"/>
  <c r="CC1125" i="2" s="1"/>
  <c r="BZ1131" i="2"/>
  <c r="CC1131" i="2" s="1"/>
  <c r="BZ1137" i="2"/>
  <c r="CC1137" i="2" s="1"/>
  <c r="BZ1143" i="2"/>
  <c r="CC1143" i="2" s="1"/>
  <c r="BZ1149" i="2"/>
  <c r="CC1149" i="2" s="1"/>
  <c r="BZ1155" i="2"/>
  <c r="CC1155" i="2" s="1"/>
  <c r="BZ1161" i="2"/>
  <c r="CC1161" i="2" s="1"/>
  <c r="BZ1167" i="2"/>
  <c r="CC1167" i="2" s="1"/>
  <c r="BZ1185" i="2"/>
  <c r="CC1185" i="2" s="1"/>
  <c r="I125" i="4"/>
  <c r="I123" i="4"/>
  <c r="J32" i="3"/>
  <c r="J44" i="3"/>
  <c r="H54" i="3"/>
  <c r="J56" i="3"/>
  <c r="H66" i="3"/>
  <c r="J68" i="3"/>
  <c r="J80" i="3"/>
  <c r="H90" i="3"/>
  <c r="J92" i="3"/>
  <c r="H102" i="3"/>
  <c r="J104" i="3"/>
  <c r="I10" i="4"/>
  <c r="I22" i="4"/>
  <c r="I34" i="4"/>
  <c r="I46" i="4"/>
  <c r="I58" i="4"/>
  <c r="I70" i="4"/>
  <c r="I82" i="4"/>
  <c r="I94" i="4"/>
  <c r="I106" i="4"/>
  <c r="I113" i="4"/>
  <c r="I129" i="4"/>
  <c r="I149" i="4"/>
  <c r="I204" i="4"/>
  <c r="I222" i="4"/>
  <c r="L222" i="4"/>
  <c r="I234" i="4"/>
  <c r="L234" i="4"/>
  <c r="I240" i="4"/>
  <c r="H11" i="3"/>
  <c r="H35" i="3"/>
  <c r="H47" i="3"/>
  <c r="H59" i="3"/>
  <c r="H107" i="3"/>
  <c r="L147" i="4"/>
  <c r="L183" i="4"/>
  <c r="I216" i="4"/>
  <c r="I228" i="4"/>
  <c r="L317" i="4"/>
  <c r="I474" i="4"/>
  <c r="J102" i="3"/>
  <c r="I193" i="4"/>
  <c r="I197" i="4"/>
  <c r="L285" i="4"/>
  <c r="I285" i="4"/>
  <c r="I388" i="4"/>
  <c r="I450" i="4"/>
  <c r="H33" i="3"/>
  <c r="H57" i="3"/>
  <c r="H69" i="3"/>
  <c r="H81" i="3"/>
  <c r="H105" i="3"/>
  <c r="L120" i="4"/>
  <c r="I153" i="4"/>
  <c r="I168" i="4"/>
  <c r="I174" i="4"/>
  <c r="I195" i="4"/>
  <c r="I277" i="4"/>
  <c r="L293" i="4"/>
  <c r="L340" i="4"/>
  <c r="I340" i="4"/>
  <c r="I344" i="4"/>
  <c r="I367" i="4"/>
  <c r="L371" i="4"/>
  <c r="I371" i="4"/>
  <c r="I245" i="4"/>
  <c r="I257" i="4"/>
  <c r="I269" i="4"/>
  <c r="I273" i="4"/>
  <c r="I279" i="4"/>
  <c r="I318" i="4"/>
  <c r="I324" i="4"/>
  <c r="I365" i="4"/>
  <c r="I369" i="4"/>
  <c r="I386" i="4"/>
  <c r="I409" i="4"/>
  <c r="I426" i="4"/>
  <c r="H43" i="3"/>
  <c r="H55" i="3"/>
  <c r="H79" i="3"/>
  <c r="L133" i="4"/>
  <c r="I146" i="4"/>
  <c r="I159" i="4"/>
  <c r="I161" i="4"/>
  <c r="L193" i="4"/>
  <c r="L197" i="4"/>
  <c r="I205" i="4"/>
  <c r="I209" i="4"/>
  <c r="I241" i="4"/>
  <c r="L249" i="4"/>
  <c r="L261" i="4"/>
  <c r="L273" i="4"/>
  <c r="I444" i="4"/>
  <c r="I207" i="4"/>
  <c r="I213" i="4"/>
  <c r="I217" i="4"/>
  <c r="I221" i="4"/>
  <c r="I225" i="4"/>
  <c r="I229" i="4"/>
  <c r="I233" i="4"/>
  <c r="I243" i="4"/>
  <c r="I294" i="4"/>
  <c r="I378" i="4"/>
  <c r="I431" i="4"/>
  <c r="H17" i="3"/>
  <c r="H53" i="3"/>
  <c r="H65" i="3"/>
  <c r="H77" i="3"/>
  <c r="I11" i="4"/>
  <c r="I23" i="4"/>
  <c r="I35" i="4"/>
  <c r="I47" i="4"/>
  <c r="I59" i="4"/>
  <c r="I71" i="4"/>
  <c r="I83" i="4"/>
  <c r="I95" i="4"/>
  <c r="I107" i="4"/>
  <c r="L112" i="4"/>
  <c r="I114" i="4"/>
  <c r="I130" i="4"/>
  <c r="I150" i="4"/>
  <c r="L207" i="4"/>
  <c r="L213" i="4"/>
  <c r="I215" i="4"/>
  <c r="I219" i="4"/>
  <c r="L225" i="4"/>
  <c r="I231" i="4"/>
  <c r="L243" i="4"/>
  <c r="L245" i="4"/>
  <c r="L257" i="4"/>
  <c r="L269" i="4"/>
  <c r="L357" i="4"/>
  <c r="I357" i="4"/>
  <c r="I132" i="4"/>
  <c r="I169" i="4"/>
  <c r="L209" i="4"/>
  <c r="L219" i="4"/>
  <c r="L231" i="4"/>
  <c r="I355" i="4"/>
  <c r="I395" i="4"/>
  <c r="I416" i="4"/>
  <c r="J5" i="3"/>
  <c r="J17" i="3"/>
  <c r="J29" i="3"/>
  <c r="J41" i="3"/>
  <c r="J53" i="3"/>
  <c r="J65" i="3"/>
  <c r="J77" i="3"/>
  <c r="J89" i="3"/>
  <c r="J101" i="3"/>
  <c r="L123" i="4"/>
  <c r="I171" i="4"/>
  <c r="I192" i="4"/>
  <c r="I198" i="4"/>
  <c r="L221" i="4"/>
  <c r="L233" i="4"/>
  <c r="I329" i="4"/>
  <c r="L333" i="4"/>
  <c r="I333" i="4"/>
  <c r="I337" i="4"/>
  <c r="I343" i="4"/>
  <c r="L347" i="4"/>
  <c r="I347" i="4"/>
  <c r="I427" i="4"/>
  <c r="I438" i="4"/>
  <c r="I449" i="4"/>
  <c r="I177" i="4"/>
  <c r="I246" i="4"/>
  <c r="L246" i="4"/>
  <c r="L321" i="4"/>
  <c r="I321" i="4"/>
  <c r="I327" i="4"/>
  <c r="I467" i="4"/>
  <c r="I181" i="4"/>
  <c r="I210" i="4"/>
  <c r="L210" i="4"/>
  <c r="L297" i="4"/>
  <c r="I297" i="4"/>
  <c r="I301" i="4"/>
  <c r="I305" i="4"/>
  <c r="L309" i="4"/>
  <c r="I309" i="4"/>
  <c r="L364" i="4"/>
  <c r="I364" i="4"/>
  <c r="L385" i="4"/>
  <c r="I385" i="4"/>
  <c r="I432" i="4"/>
  <c r="L258" i="4"/>
  <c r="L270" i="4"/>
  <c r="L282" i="4"/>
  <c r="L294" i="4"/>
  <c r="L306" i="4"/>
  <c r="L318" i="4"/>
  <c r="L330" i="4"/>
  <c r="L344" i="4"/>
  <c r="L365" i="4"/>
  <c r="L372" i="4"/>
  <c r="L386" i="4"/>
  <c r="L416" i="4"/>
  <c r="I485" i="4"/>
  <c r="L515" i="4"/>
  <c r="L657" i="4"/>
  <c r="I657" i="4"/>
  <c r="L717" i="4"/>
  <c r="I717" i="4"/>
  <c r="L727" i="4"/>
  <c r="I783" i="4"/>
  <c r="L789" i="4"/>
  <c r="I789" i="4"/>
  <c r="I791" i="4"/>
  <c r="I429" i="4"/>
  <c r="I489" i="4"/>
  <c r="I539" i="4"/>
  <c r="I541" i="4"/>
  <c r="I543" i="4"/>
  <c r="I787" i="4"/>
  <c r="I892" i="4"/>
  <c r="L339" i="4"/>
  <c r="L411" i="4"/>
  <c r="I415" i="4"/>
  <c r="L483" i="4"/>
  <c r="I506" i="4"/>
  <c r="I549" i="4"/>
  <c r="I655" i="4"/>
  <c r="L665" i="4"/>
  <c r="L705" i="4"/>
  <c r="I705" i="4"/>
  <c r="I707" i="4"/>
  <c r="L715" i="4"/>
  <c r="L777" i="4"/>
  <c r="I777" i="4"/>
  <c r="L787" i="4"/>
  <c r="I829" i="4"/>
  <c r="L835" i="4"/>
  <c r="L378" i="4"/>
  <c r="I380" i="4"/>
  <c r="I422" i="4"/>
  <c r="L438" i="4"/>
  <c r="I440" i="4"/>
  <c r="L456" i="4"/>
  <c r="I458" i="4"/>
  <c r="L474" i="4"/>
  <c r="I476" i="4"/>
  <c r="I495" i="4"/>
  <c r="I512" i="4"/>
  <c r="I553" i="4"/>
  <c r="I649" i="4"/>
  <c r="I651" i="4"/>
  <c r="I653" i="4"/>
  <c r="L655" i="4"/>
  <c r="I703" i="4"/>
  <c r="I767" i="4"/>
  <c r="I867" i="4"/>
  <c r="L429" i="4"/>
  <c r="L447" i="4"/>
  <c r="L465" i="4"/>
  <c r="L489" i="4"/>
  <c r="L539" i="4"/>
  <c r="L541" i="4"/>
  <c r="L543" i="4"/>
  <c r="I559" i="4"/>
  <c r="L645" i="4"/>
  <c r="I645" i="4"/>
  <c r="I647" i="4"/>
  <c r="L765" i="4"/>
  <c r="I765" i="4"/>
  <c r="I869" i="4"/>
  <c r="I884" i="4"/>
  <c r="I919" i="4"/>
  <c r="I435" i="4"/>
  <c r="I453" i="4"/>
  <c r="I563" i="4"/>
  <c r="I565" i="4"/>
  <c r="I567" i="4"/>
  <c r="I637" i="4"/>
  <c r="I643" i="4"/>
  <c r="L693" i="4"/>
  <c r="I693" i="4"/>
  <c r="I761" i="4"/>
  <c r="I823" i="4"/>
  <c r="I361" i="4"/>
  <c r="I391" i="4"/>
  <c r="I405" i="4"/>
  <c r="I412" i="4"/>
  <c r="I419" i="4"/>
  <c r="I482" i="4"/>
  <c r="I569" i="4"/>
  <c r="L633" i="4"/>
  <c r="I633" i="4"/>
  <c r="L643" i="4"/>
  <c r="I745" i="4"/>
  <c r="L753" i="4"/>
  <c r="I753" i="4"/>
  <c r="L763" i="4"/>
  <c r="L823" i="4"/>
  <c r="L859" i="4"/>
  <c r="I859" i="4"/>
  <c r="I936" i="4"/>
  <c r="L354" i="4"/>
  <c r="I363" i="4"/>
  <c r="L426" i="4"/>
  <c r="L444" i="4"/>
  <c r="L462" i="4"/>
  <c r="I577" i="4"/>
  <c r="I579" i="4"/>
  <c r="I621" i="4"/>
  <c r="I627" i="4"/>
  <c r="I673" i="4"/>
  <c r="L681" i="4"/>
  <c r="I681" i="4"/>
  <c r="I683" i="4"/>
  <c r="I689" i="4"/>
  <c r="L691" i="4"/>
  <c r="I743" i="4"/>
  <c r="I751" i="4"/>
  <c r="I853" i="4"/>
  <c r="I855" i="4"/>
  <c r="L375" i="4"/>
  <c r="L435" i="4"/>
  <c r="L453" i="4"/>
  <c r="L471" i="4"/>
  <c r="L501" i="4"/>
  <c r="I509" i="4"/>
  <c r="I513" i="4"/>
  <c r="L563" i="4"/>
  <c r="L565" i="4"/>
  <c r="L567" i="4"/>
  <c r="I587" i="4"/>
  <c r="I593" i="4"/>
  <c r="I595" i="4"/>
  <c r="I599" i="4"/>
  <c r="I601" i="4"/>
  <c r="I605" i="4"/>
  <c r="I617" i="4"/>
  <c r="I619" i="4"/>
  <c r="L669" i="4"/>
  <c r="I669" i="4"/>
  <c r="I671" i="4"/>
  <c r="I677" i="4"/>
  <c r="I679" i="4"/>
  <c r="L741" i="4"/>
  <c r="I741" i="4"/>
  <c r="L751" i="4"/>
  <c r="I351" i="4"/>
  <c r="I423" i="4"/>
  <c r="I441" i="4"/>
  <c r="I459" i="4"/>
  <c r="I519" i="4"/>
  <c r="L583" i="4"/>
  <c r="L595" i="4"/>
  <c r="L607" i="4"/>
  <c r="L619" i="4"/>
  <c r="I739" i="4"/>
  <c r="I811" i="4"/>
  <c r="I479" i="4"/>
  <c r="I494" i="4"/>
  <c r="I521" i="4"/>
  <c r="I523" i="4"/>
  <c r="L585" i="4"/>
  <c r="L597" i="4"/>
  <c r="L609" i="4"/>
  <c r="L613" i="4"/>
  <c r="L621" i="4"/>
  <c r="L729" i="4"/>
  <c r="I729" i="4"/>
  <c r="I731" i="4"/>
  <c r="I737" i="4"/>
  <c r="L739" i="4"/>
  <c r="I527" i="4"/>
  <c r="L605" i="4"/>
  <c r="L617" i="4"/>
  <c r="L629" i="4"/>
  <c r="I663" i="4"/>
  <c r="I881" i="4"/>
  <c r="I946" i="4"/>
  <c r="I994" i="4"/>
  <c r="L919" i="4"/>
  <c r="I967" i="4"/>
  <c r="L1036" i="4"/>
  <c r="L1038" i="4"/>
  <c r="L1040" i="4"/>
  <c r="L1042" i="4"/>
  <c r="L1044" i="4"/>
  <c r="I1268" i="4"/>
  <c r="L1314" i="4"/>
  <c r="I1062" i="4"/>
  <c r="I1066" i="4"/>
  <c r="L1266" i="4"/>
  <c r="I1266" i="4"/>
  <c r="L885" i="4"/>
  <c r="I887" i="4"/>
  <c r="I896" i="4"/>
  <c r="I916" i="4"/>
  <c r="I931" i="4"/>
  <c r="I952" i="4"/>
  <c r="I1078" i="4"/>
  <c r="I1090" i="4"/>
  <c r="I1102" i="4"/>
  <c r="I1104" i="4"/>
  <c r="L1254" i="4"/>
  <c r="I1254" i="4"/>
  <c r="I801" i="4"/>
  <c r="I813" i="4"/>
  <c r="I825" i="4"/>
  <c r="I837" i="4"/>
  <c r="I849" i="4"/>
  <c r="L873" i="4"/>
  <c r="I882" i="4"/>
  <c r="L998" i="4"/>
  <c r="L1060" i="4"/>
  <c r="L1062" i="4"/>
  <c r="L1064" i="4"/>
  <c r="L1066" i="4"/>
  <c r="L1068" i="4"/>
  <c r="I1082" i="4"/>
  <c r="I1086" i="4"/>
  <c r="I1098" i="4"/>
  <c r="I1112" i="4"/>
  <c r="L1302" i="4"/>
  <c r="I1096" i="4"/>
  <c r="I1108" i="4"/>
  <c r="I1120" i="4"/>
  <c r="I1122" i="4"/>
  <c r="I1140" i="4"/>
  <c r="L1242" i="4"/>
  <c r="I1242" i="4"/>
  <c r="I870" i="4"/>
  <c r="I943" i="4"/>
  <c r="I991" i="4"/>
  <c r="L1072" i="4"/>
  <c r="L1074" i="4"/>
  <c r="L1076" i="4"/>
  <c r="L1078" i="4"/>
  <c r="I1134" i="4"/>
  <c r="I1142" i="4"/>
  <c r="I1150" i="4"/>
  <c r="I1232" i="4"/>
  <c r="I930" i="4"/>
  <c r="I1028" i="4"/>
  <c r="I1032" i="4"/>
  <c r="I1144" i="4"/>
  <c r="I1162" i="4"/>
  <c r="I1200" i="4"/>
  <c r="I1210" i="4"/>
  <c r="I1212" i="4"/>
  <c r="I1222" i="4"/>
  <c r="L1240" i="4"/>
  <c r="L1290" i="4"/>
  <c r="I980" i="4"/>
  <c r="L1084" i="4"/>
  <c r="I1166" i="4"/>
  <c r="I1208" i="4"/>
  <c r="I1218" i="4"/>
  <c r="L1230" i="4"/>
  <c r="I1230" i="4"/>
  <c r="I1192" i="4"/>
  <c r="L1278" i="4"/>
  <c r="I1278" i="4"/>
  <c r="L1162" i="4"/>
  <c r="L1168" i="4"/>
  <c r="L1174" i="4"/>
  <c r="L1180" i="4"/>
  <c r="L1186" i="4"/>
  <c r="L1192" i="4"/>
  <c r="L1198" i="4"/>
  <c r="L1204" i="4"/>
  <c r="L1210" i="4"/>
  <c r="L1216" i="4"/>
  <c r="L1228" i="4"/>
  <c r="I1276" i="4"/>
  <c r="L1867" i="4"/>
  <c r="I1867" i="4"/>
  <c r="L1601" i="4"/>
  <c r="L1624" i="4"/>
  <c r="I1671" i="4"/>
  <c r="L1698" i="4"/>
  <c r="L1771" i="4"/>
  <c r="L1855" i="4"/>
  <c r="I1855" i="4"/>
  <c r="L1564" i="4"/>
  <c r="L1574" i="4"/>
  <c r="L1577" i="4"/>
  <c r="L1590" i="4"/>
  <c r="L1987" i="4"/>
  <c r="I1987" i="4"/>
  <c r="I1562" i="4"/>
  <c r="L1593" i="4"/>
  <c r="L1616" i="4"/>
  <c r="L1648" i="4"/>
  <c r="L1663" i="4"/>
  <c r="I1695" i="4"/>
  <c r="L1759" i="4"/>
  <c r="L1843" i="4"/>
  <c r="L1975" i="4"/>
  <c r="I1975" i="4"/>
  <c r="L1552" i="4"/>
  <c r="L1602" i="4"/>
  <c r="L1625" i="4"/>
  <c r="I1707" i="4"/>
  <c r="L1747" i="4"/>
  <c r="L1768" i="4"/>
  <c r="L1963" i="4"/>
  <c r="I1963" i="4"/>
  <c r="I1234" i="4"/>
  <c r="I1246" i="4"/>
  <c r="I1258" i="4"/>
  <c r="I1270" i="4"/>
  <c r="I1282" i="4"/>
  <c r="I1294" i="4"/>
  <c r="I1298" i="4"/>
  <c r="I1310" i="4"/>
  <c r="I1322" i="4"/>
  <c r="I1334" i="4"/>
  <c r="I1346" i="4"/>
  <c r="I1358" i="4"/>
  <c r="I1370" i="4"/>
  <c r="I1382" i="4"/>
  <c r="I1599" i="4"/>
  <c r="L1637" i="4"/>
  <c r="I1719" i="4"/>
  <c r="L1735" i="4"/>
  <c r="L1819" i="4"/>
  <c r="L1951" i="4"/>
  <c r="I1951" i="4"/>
  <c r="L1565" i="4"/>
  <c r="I1581" i="4"/>
  <c r="L1588" i="4"/>
  <c r="L1614" i="4"/>
  <c r="L1649" i="4"/>
  <c r="L1684" i="4"/>
  <c r="L1723" i="4"/>
  <c r="L1756" i="4"/>
  <c r="L1939" i="4"/>
  <c r="I1939" i="4"/>
  <c r="I1611" i="4"/>
  <c r="L1744" i="4"/>
  <c r="L1927" i="4"/>
  <c r="I1927" i="4"/>
  <c r="L1638" i="4"/>
  <c r="L1673" i="4"/>
  <c r="L1708" i="4"/>
  <c r="L1732" i="4"/>
  <c r="L1915" i="4"/>
  <c r="I1915" i="4"/>
  <c r="L1903" i="4"/>
  <c r="I1903" i="4"/>
  <c r="L1891" i="4"/>
  <c r="I1891" i="4"/>
  <c r="L1612" i="4"/>
  <c r="L1879" i="4"/>
  <c r="I1879" i="4"/>
  <c r="L2006" i="4"/>
  <c r="L2030" i="4"/>
  <c r="L2017" i="4"/>
  <c r="L2114" i="4"/>
  <c r="L2178" i="4"/>
  <c r="I2178" i="4"/>
  <c r="I1997" i="4"/>
  <c r="L2093" i="4"/>
  <c r="I2093" i="4"/>
  <c r="L2096" i="4"/>
  <c r="L2102" i="4"/>
  <c r="L2136" i="4"/>
  <c r="L2172" i="4"/>
  <c r="I2172" i="4"/>
  <c r="L2208" i="4"/>
  <c r="I2208" i="4"/>
  <c r="L2244" i="4"/>
  <c r="I2244" i="4"/>
  <c r="L2280" i="4"/>
  <c r="I2280" i="4"/>
  <c r="L2015" i="4"/>
  <c r="L2039" i="4"/>
  <c r="L2081" i="4"/>
  <c r="I2081" i="4"/>
  <c r="I2021" i="4"/>
  <c r="I2045" i="4"/>
  <c r="L2057" i="4"/>
  <c r="I2057" i="4"/>
  <c r="L2063" i="4"/>
  <c r="I2063" i="4"/>
  <c r="L2069" i="4"/>
  <c r="I2069" i="4"/>
  <c r="L2072" i="4"/>
  <c r="L2078" i="4"/>
  <c r="L2124" i="4"/>
  <c r="L2166" i="4"/>
  <c r="I2166" i="4"/>
  <c r="L2202" i="4"/>
  <c r="I2202" i="4"/>
  <c r="I2088" i="4"/>
  <c r="L2112" i="4"/>
  <c r="L2144" i="4"/>
  <c r="L2196" i="4"/>
  <c r="I2196" i="4"/>
  <c r="L2232" i="4"/>
  <c r="I2232" i="4"/>
  <c r="L2268" i="4"/>
  <c r="I2268" i="4"/>
  <c r="L2304" i="4"/>
  <c r="I2304" i="4"/>
  <c r="I2076" i="4"/>
  <c r="L2154" i="4"/>
  <c r="I2154" i="4"/>
  <c r="L2138" i="4"/>
  <c r="L2160" i="4"/>
  <c r="L2190" i="4"/>
  <c r="I2190" i="4"/>
  <c r="L2027" i="4"/>
  <c r="L2082" i="4"/>
  <c r="L2126" i="4"/>
  <c r="L2142" i="4"/>
  <c r="I2142" i="4"/>
  <c r="L2184" i="4"/>
  <c r="I2184" i="4"/>
  <c r="L2220" i="4"/>
  <c r="I2220" i="4"/>
  <c r="L2256" i="4"/>
  <c r="I2256" i="4"/>
  <c r="L2292" i="4"/>
  <c r="I2292" i="4"/>
  <c r="L2762" i="4"/>
  <c r="I2762" i="4"/>
  <c r="I2316" i="4"/>
  <c r="I2328" i="4"/>
  <c r="I2340" i="4"/>
  <c r="I2352" i="4"/>
  <c r="I2364" i="4"/>
  <c r="I2376" i="4"/>
  <c r="I2388" i="4"/>
  <c r="I2400" i="4"/>
  <c r="I2482" i="4"/>
  <c r="I2493" i="4"/>
  <c r="L2582" i="4"/>
  <c r="I2582" i="4"/>
  <c r="L2774" i="4"/>
  <c r="I2774" i="4"/>
  <c r="L2839" i="4"/>
  <c r="I2839" i="4"/>
  <c r="L2882" i="4"/>
  <c r="I2882" i="4"/>
  <c r="I2105" i="4"/>
  <c r="I2117" i="4"/>
  <c r="I2129" i="4"/>
  <c r="I2141" i="4"/>
  <c r="I2153" i="4"/>
  <c r="I2165" i="4"/>
  <c r="I2177" i="4"/>
  <c r="I2189" i="4"/>
  <c r="I2201" i="4"/>
  <c r="I2213" i="4"/>
  <c r="I2225" i="4"/>
  <c r="I2237" i="4"/>
  <c r="I2249" i="4"/>
  <c r="I2261" i="4"/>
  <c r="I2273" i="4"/>
  <c r="I2285" i="4"/>
  <c r="I2297" i="4"/>
  <c r="I2309" i="4"/>
  <c r="I2321" i="4"/>
  <c r="I2333" i="4"/>
  <c r="I2345" i="4"/>
  <c r="I2357" i="4"/>
  <c r="I2369" i="4"/>
  <c r="I2381" i="4"/>
  <c r="I2393" i="4"/>
  <c r="I2408" i="4"/>
  <c r="I2413" i="4"/>
  <c r="I2434" i="4"/>
  <c r="L2439" i="4"/>
  <c r="I2458" i="4"/>
  <c r="L2463" i="4"/>
  <c r="L2512" i="4"/>
  <c r="I2518" i="4"/>
  <c r="L2523" i="4"/>
  <c r="I2529" i="4"/>
  <c r="I2757" i="4"/>
  <c r="L2786" i="4"/>
  <c r="I2786" i="4"/>
  <c r="I2421" i="4"/>
  <c r="I2445" i="4"/>
  <c r="I2469" i="4"/>
  <c r="L2498" i="4"/>
  <c r="L2534" i="4"/>
  <c r="I2577" i="4"/>
  <c r="L2798" i="4"/>
  <c r="I2798" i="4"/>
  <c r="L2870" i="4"/>
  <c r="I2870" i="4"/>
  <c r="L2442" i="4"/>
  <c r="L2466" i="4"/>
  <c r="L2504" i="4"/>
  <c r="L2540" i="4"/>
  <c r="L2546" i="4"/>
  <c r="I2546" i="4"/>
  <c r="L2560" i="4"/>
  <c r="L2588" i="4"/>
  <c r="L2594" i="4"/>
  <c r="I2594" i="4"/>
  <c r="L2810" i="4"/>
  <c r="I2810" i="4"/>
  <c r="I2424" i="4"/>
  <c r="I2440" i="4"/>
  <c r="I2448" i="4"/>
  <c r="I2464" i="4"/>
  <c r="I2472" i="4"/>
  <c r="L2606" i="4"/>
  <c r="I2606" i="4"/>
  <c r="L2618" i="4"/>
  <c r="I2618" i="4"/>
  <c r="L2630" i="4"/>
  <c r="I2630" i="4"/>
  <c r="L2642" i="4"/>
  <c r="I2642" i="4"/>
  <c r="L2654" i="4"/>
  <c r="I2654" i="4"/>
  <c r="L2666" i="4"/>
  <c r="I2666" i="4"/>
  <c r="L2678" i="4"/>
  <c r="I2678" i="4"/>
  <c r="L2690" i="4"/>
  <c r="I2690" i="4"/>
  <c r="L2781" i="4"/>
  <c r="L2822" i="4"/>
  <c r="I2822" i="4"/>
  <c r="L2499" i="4"/>
  <c r="I2505" i="4"/>
  <c r="L2524" i="4"/>
  <c r="L2535" i="4"/>
  <c r="I2541" i="4"/>
  <c r="I2589" i="4"/>
  <c r="L2600" i="4"/>
  <c r="L2702" i="4"/>
  <c r="I2702" i="4"/>
  <c r="L2793" i="4"/>
  <c r="L2834" i="4"/>
  <c r="I2834" i="4"/>
  <c r="I2214" i="4"/>
  <c r="I2226" i="4"/>
  <c r="I2238" i="4"/>
  <c r="I2250" i="4"/>
  <c r="I2262" i="4"/>
  <c r="I2274" i="4"/>
  <c r="I2286" i="4"/>
  <c r="I2298" i="4"/>
  <c r="I2310" i="4"/>
  <c r="I2322" i="4"/>
  <c r="I2334" i="4"/>
  <c r="I2346" i="4"/>
  <c r="I2358" i="4"/>
  <c r="I2370" i="4"/>
  <c r="I2382" i="4"/>
  <c r="I2409" i="4"/>
  <c r="L2456" i="4"/>
  <c r="L2558" i="4"/>
  <c r="I2558" i="4"/>
  <c r="L2572" i="4"/>
  <c r="L2714" i="4"/>
  <c r="I2714" i="4"/>
  <c r="L2726" i="4"/>
  <c r="I2726" i="4"/>
  <c r="I2075" i="4"/>
  <c r="I2087" i="4"/>
  <c r="I2099" i="4"/>
  <c r="I2111" i="4"/>
  <c r="I2123" i="4"/>
  <c r="I2135" i="4"/>
  <c r="I2147" i="4"/>
  <c r="I2159" i="4"/>
  <c r="I2171" i="4"/>
  <c r="I2183" i="4"/>
  <c r="I2195" i="4"/>
  <c r="I2207" i="4"/>
  <c r="I2219" i="4"/>
  <c r="I2231" i="4"/>
  <c r="I2243" i="4"/>
  <c r="I2255" i="4"/>
  <c r="I2267" i="4"/>
  <c r="I2279" i="4"/>
  <c r="I2291" i="4"/>
  <c r="I2446" i="4"/>
  <c r="I2470" i="4"/>
  <c r="I2481" i="4"/>
  <c r="L2516" i="4"/>
  <c r="I2601" i="4"/>
  <c r="I2613" i="4"/>
  <c r="I2625" i="4"/>
  <c r="I2637" i="4"/>
  <c r="I2649" i="4"/>
  <c r="I2661" i="4"/>
  <c r="I2673" i="4"/>
  <c r="I2685" i="4"/>
  <c r="I2697" i="4"/>
  <c r="L2738" i="4"/>
  <c r="I2738" i="4"/>
  <c r="L2850" i="4"/>
  <c r="L2489" i="4"/>
  <c r="I2553" i="4"/>
  <c r="I2709" i="4"/>
  <c r="L2486" i="4"/>
  <c r="L2500" i="4"/>
  <c r="L2511" i="4"/>
  <c r="L2536" i="4"/>
  <c r="L2570" i="4"/>
  <c r="I2570" i="4"/>
  <c r="L2584" i="4"/>
  <c r="L2750" i="4"/>
  <c r="I2750" i="4"/>
  <c r="L2844" i="4"/>
  <c r="I2844" i="4"/>
  <c r="L2438" i="4"/>
  <c r="L2462" i="4"/>
  <c r="L2492" i="4"/>
  <c r="L2514" i="4"/>
  <c r="L2522" i="4"/>
  <c r="I2733" i="4"/>
  <c r="L2921" i="4"/>
  <c r="I2921" i="4"/>
  <c r="L2872" i="4"/>
  <c r="L2884" i="4"/>
  <c r="L2909" i="4"/>
  <c r="I2909" i="4"/>
  <c r="L2958" i="4"/>
  <c r="L3028" i="4"/>
  <c r="L3102" i="4"/>
  <c r="L3172" i="4"/>
  <c r="L2612" i="4"/>
  <c r="L2624" i="4"/>
  <c r="L2636" i="4"/>
  <c r="L2648" i="4"/>
  <c r="L2660" i="4"/>
  <c r="L2672" i="4"/>
  <c r="L2684" i="4"/>
  <c r="L2696" i="4"/>
  <c r="L2861" i="4"/>
  <c r="I2861" i="4"/>
  <c r="L2897" i="4"/>
  <c r="I2897" i="4"/>
  <c r="L2873" i="4"/>
  <c r="I2873" i="4"/>
  <c r="L2885" i="4"/>
  <c r="I2885" i="4"/>
  <c r="L2910" i="4"/>
  <c r="L2947" i="4"/>
  <c r="L2980" i="4"/>
  <c r="L3054" i="4"/>
  <c r="L3124" i="4"/>
  <c r="L2898" i="4"/>
  <c r="L2935" i="4"/>
  <c r="L2968" i="4"/>
  <c r="L3042" i="4"/>
  <c r="L3112" i="4"/>
  <c r="L2899" i="4"/>
  <c r="L2932" i="4"/>
  <c r="L2957" i="4"/>
  <c r="I2957" i="4"/>
  <c r="L3076" i="4"/>
  <c r="A22" i="5"/>
  <c r="L2920" i="4"/>
  <c r="L2945" i="4"/>
  <c r="I2945" i="4"/>
  <c r="L2994" i="4"/>
  <c r="L3064" i="4"/>
  <c r="L3138" i="4"/>
  <c r="L2848" i="4"/>
  <c r="L2875" i="4"/>
  <c r="L2908" i="4"/>
  <c r="L2933" i="4"/>
  <c r="I2933" i="4"/>
  <c r="L3196" i="4"/>
  <c r="D4" i="6"/>
  <c r="D13" i="5"/>
  <c r="E13" i="5" s="1"/>
  <c r="D16" i="5"/>
  <c r="E16" i="5" s="1"/>
  <c r="A5" i="6"/>
  <c r="I2969" i="4"/>
  <c r="I2981" i="4"/>
  <c r="I2993" i="4"/>
  <c r="I3005" i="4"/>
  <c r="I3017" i="4"/>
  <c r="I3029" i="4"/>
  <c r="I3041" i="4"/>
  <c r="I3053" i="4"/>
  <c r="I3065" i="4"/>
  <c r="I3077" i="4"/>
  <c r="I3089" i="4"/>
  <c r="I3101" i="4"/>
  <c r="I3113" i="4"/>
  <c r="I3125" i="4"/>
  <c r="I3137" i="4"/>
  <c r="I3149" i="4"/>
  <c r="I3161" i="4"/>
  <c r="I3173" i="4"/>
  <c r="I3185" i="4"/>
  <c r="I3197" i="4"/>
  <c r="I3209" i="4"/>
  <c r="B4" i="6"/>
  <c r="D12" i="5"/>
  <c r="E12" i="5" s="1"/>
  <c r="D15" i="5"/>
  <c r="E15" i="5" s="1"/>
  <c r="H63" i="3" l="1"/>
  <c r="H106" i="3"/>
  <c r="H103" i="3"/>
  <c r="H21" i="3"/>
  <c r="H30" i="3"/>
  <c r="H111" i="3"/>
  <c r="H16" i="3"/>
  <c r="H97" i="3"/>
  <c r="H96" i="3"/>
  <c r="H6" i="3"/>
  <c r="H76" i="3"/>
  <c r="H12" i="3"/>
  <c r="H7" i="3"/>
  <c r="H82" i="3"/>
  <c r="H108" i="3"/>
  <c r="G4" i="6"/>
  <c r="H101" i="3"/>
  <c r="H78" i="3"/>
  <c r="H104" i="3"/>
  <c r="H89" i="3"/>
  <c r="H93" i="3"/>
  <c r="E3" i="6"/>
  <c r="F3" i="6"/>
  <c r="H67" i="3"/>
  <c r="H45" i="3"/>
  <c r="H23" i="3"/>
  <c r="H87" i="3"/>
  <c r="CC774" i="2"/>
  <c r="I1053" i="4"/>
  <c r="H64" i="3"/>
  <c r="H37" i="3"/>
  <c r="H34" i="3"/>
  <c r="H22" i="3"/>
  <c r="H15" i="3"/>
  <c r="D21" i="5"/>
  <c r="H31" i="3"/>
  <c r="H9" i="3"/>
  <c r="H75" i="3"/>
  <c r="C3" i="6"/>
  <c r="H40" i="3"/>
  <c r="H44" i="3"/>
  <c r="H19" i="3"/>
  <c r="H51" i="3"/>
  <c r="H10" i="3"/>
  <c r="H41" i="3"/>
  <c r="H39" i="3"/>
  <c r="H100" i="3"/>
  <c r="H61" i="3"/>
  <c r="H29" i="3"/>
  <c r="H95" i="3"/>
  <c r="H46" i="3"/>
  <c r="H36" i="3"/>
  <c r="H8" i="3"/>
  <c r="H83" i="3"/>
  <c r="H42" i="3"/>
  <c r="H72" i="3"/>
  <c r="H56" i="3"/>
  <c r="H3" i="3"/>
  <c r="H50" i="3"/>
  <c r="H5" i="3"/>
  <c r="H71" i="3"/>
  <c r="H88" i="3"/>
  <c r="D20" i="5"/>
  <c r="H27" i="3"/>
  <c r="C12" i="5"/>
  <c r="H32" i="3"/>
  <c r="H13" i="3"/>
  <c r="D19" i="5"/>
  <c r="H91" i="3"/>
  <c r="H18" i="3"/>
  <c r="CC789" i="2"/>
  <c r="I1029" i="4"/>
  <c r="H98" i="3"/>
  <c r="C15" i="5"/>
  <c r="H28" i="3"/>
  <c r="I1203" i="4"/>
  <c r="CC637" i="2"/>
  <c r="I1219" i="4"/>
  <c r="CC638" i="2"/>
  <c r="C13" i="5"/>
  <c r="I1269" i="4"/>
  <c r="CC632" i="2"/>
  <c r="C16" i="5"/>
  <c r="F4" i="6"/>
  <c r="H26" i="3"/>
  <c r="I1209" i="4"/>
  <c r="A23" i="5"/>
  <c r="D22" i="5"/>
  <c r="A6" i="6"/>
  <c r="G5" i="6"/>
  <c r="D5" i="6"/>
  <c r="B5" i="6"/>
  <c r="G3" i="6"/>
  <c r="C11" i="5"/>
  <c r="B17" i="5"/>
  <c r="H84" i="3"/>
  <c r="E4" i="6"/>
  <c r="C4" i="6"/>
  <c r="C14" i="5"/>
  <c r="H38" i="3"/>
  <c r="H25" i="3"/>
  <c r="E11" i="5"/>
  <c r="D17" i="5"/>
  <c r="E17" i="5" s="1"/>
  <c r="H24" i="3"/>
  <c r="I1231" i="4"/>
  <c r="CC649" i="2"/>
  <c r="I1223" i="4"/>
  <c r="CC640" i="2"/>
  <c r="H86" i="3"/>
  <c r="H85" i="3"/>
  <c r="F5" i="6" l="1"/>
  <c r="D6" i="6"/>
  <c r="B6" i="6"/>
  <c r="A7" i="6"/>
  <c r="G6" i="6"/>
  <c r="D23" i="5"/>
  <c r="D24" i="5" s="1"/>
  <c r="E5" i="6"/>
  <c r="C5" i="6"/>
  <c r="F6" i="6" l="1"/>
  <c r="A8" i="6"/>
  <c r="G7" i="6"/>
  <c r="D7" i="6"/>
  <c r="B7" i="6"/>
  <c r="C6" i="6"/>
  <c r="E6" i="6"/>
  <c r="F7" i="6" l="1"/>
  <c r="E7" i="6"/>
  <c r="C7" i="6"/>
  <c r="B8" i="6"/>
  <c r="A9" i="6"/>
  <c r="G8" i="6"/>
  <c r="D8" i="6"/>
  <c r="F8" i="6" s="1"/>
  <c r="E8" i="6" l="1"/>
  <c r="C8" i="6"/>
  <c r="G9" i="6"/>
  <c r="D9" i="6"/>
  <c r="F9" i="6" s="1"/>
  <c r="B9" i="6"/>
  <c r="A10" i="6"/>
  <c r="A11" i="6" l="1"/>
  <c r="G10" i="6"/>
  <c r="D10" i="6"/>
  <c r="F10" i="6" s="1"/>
  <c r="B10" i="6"/>
  <c r="E9" i="6"/>
  <c r="C9" i="6"/>
  <c r="E10" i="6" l="1"/>
  <c r="C10" i="6"/>
  <c r="D11" i="6"/>
  <c r="B11" i="6"/>
  <c r="A12" i="6"/>
  <c r="G11" i="6"/>
  <c r="A13" i="6" l="1"/>
  <c r="G12" i="6"/>
  <c r="D12" i="6"/>
  <c r="B12" i="6"/>
  <c r="F11" i="6"/>
  <c r="E11" i="6"/>
  <c r="C11" i="6"/>
  <c r="F12" i="6" l="1"/>
  <c r="E12" i="6"/>
  <c r="C12" i="6"/>
  <c r="B13" i="6"/>
  <c r="A14" i="6"/>
  <c r="G13" i="6"/>
  <c r="D13" i="6"/>
  <c r="F13" i="6" s="1"/>
  <c r="C13" i="6" l="1"/>
  <c r="E13" i="6"/>
  <c r="A15" i="6"/>
  <c r="G14" i="6"/>
  <c r="D14" i="6"/>
  <c r="B14" i="6"/>
  <c r="E14" i="6" l="1"/>
  <c r="C14" i="6"/>
  <c r="F14" i="6"/>
  <c r="A16" i="6"/>
  <c r="G15" i="6"/>
  <c r="D15" i="6"/>
  <c r="B15" i="6"/>
  <c r="F15" i="6" l="1"/>
  <c r="E15" i="6"/>
  <c r="C15" i="6"/>
  <c r="D16" i="6"/>
  <c r="B16" i="6"/>
  <c r="A17" i="6"/>
  <c r="G16" i="6"/>
  <c r="F16" i="6" l="1"/>
  <c r="A18" i="6"/>
  <c r="G17" i="6"/>
  <c r="D17" i="6"/>
  <c r="F17" i="6" s="1"/>
  <c r="B17" i="6"/>
  <c r="E16" i="6"/>
  <c r="C16" i="6"/>
  <c r="E17" i="6" l="1"/>
  <c r="C17" i="6"/>
  <c r="D18" i="6"/>
  <c r="B18" i="6"/>
  <c r="A19" i="6"/>
  <c r="G18" i="6"/>
  <c r="F18" i="6" l="1"/>
  <c r="A20" i="6"/>
  <c r="G19" i="6"/>
  <c r="D19" i="6"/>
  <c r="B19" i="6"/>
  <c r="B23" i="5" s="1"/>
  <c r="C18" i="6"/>
  <c r="E18" i="6"/>
  <c r="F19" i="6" l="1"/>
  <c r="E19" i="6"/>
  <c r="C19" i="6"/>
  <c r="B20" i="6"/>
  <c r="A21" i="6"/>
  <c r="G20" i="6"/>
  <c r="D20" i="6"/>
  <c r="F20" i="6" l="1"/>
  <c r="G21" i="6"/>
  <c r="D21" i="6"/>
  <c r="B21" i="6"/>
  <c r="A22" i="6"/>
  <c r="E20" i="6"/>
  <c r="C20" i="6"/>
  <c r="A23" i="6" l="1"/>
  <c r="G22" i="6"/>
  <c r="D22" i="6"/>
  <c r="B22" i="6"/>
  <c r="E21" i="6"/>
  <c r="C21" i="6"/>
  <c r="F21" i="6"/>
  <c r="F22" i="6" l="1"/>
  <c r="E22" i="6"/>
  <c r="C22" i="6"/>
  <c r="D23" i="6"/>
  <c r="F23" i="6" s="1"/>
  <c r="B23" i="6"/>
  <c r="A24" i="6"/>
  <c r="G23" i="6"/>
  <c r="E23" i="6" l="1"/>
  <c r="C23" i="6"/>
  <c r="A25" i="6"/>
  <c r="G24" i="6"/>
  <c r="D24" i="6"/>
  <c r="B24" i="6"/>
  <c r="F24" i="6" l="1"/>
  <c r="E24" i="6"/>
  <c r="C24" i="6"/>
  <c r="B25" i="6"/>
  <c r="A26" i="6"/>
  <c r="G25" i="6"/>
  <c r="D25" i="6"/>
  <c r="F25" i="6" s="1"/>
  <c r="C25" i="6" l="1"/>
  <c r="E25" i="6"/>
  <c r="A27" i="6"/>
  <c r="G26" i="6"/>
  <c r="D26" i="6"/>
  <c r="B26" i="6"/>
  <c r="F26" i="6" l="1"/>
  <c r="E26" i="6"/>
  <c r="C26" i="6"/>
  <c r="A28" i="6"/>
  <c r="G27" i="6"/>
  <c r="D27" i="6"/>
  <c r="B27" i="6"/>
  <c r="F27" i="6" l="1"/>
  <c r="E27" i="6"/>
  <c r="C27" i="6"/>
  <c r="D28" i="6"/>
  <c r="B28" i="6"/>
  <c r="A29" i="6"/>
  <c r="G28" i="6"/>
  <c r="F28" i="6" l="1"/>
  <c r="A30" i="6"/>
  <c r="G29" i="6"/>
  <c r="D29" i="6"/>
  <c r="B29" i="6"/>
  <c r="E28" i="6"/>
  <c r="C28" i="6"/>
  <c r="F29" i="6" l="1"/>
  <c r="E29" i="6"/>
  <c r="C29" i="6"/>
  <c r="D30" i="6"/>
  <c r="B30" i="6"/>
  <c r="A31" i="6"/>
  <c r="G30" i="6"/>
  <c r="F30" i="6" l="1"/>
  <c r="A32" i="6"/>
  <c r="G31" i="6"/>
  <c r="D31" i="6"/>
  <c r="B31" i="6"/>
  <c r="C30" i="6"/>
  <c r="E30" i="6"/>
  <c r="F31" i="6" l="1"/>
  <c r="E31" i="6"/>
  <c r="C31" i="6"/>
  <c r="B32" i="6"/>
  <c r="A33" i="6"/>
  <c r="G32" i="6"/>
  <c r="D32" i="6"/>
  <c r="F32" i="6" l="1"/>
  <c r="G33" i="6"/>
  <c r="G2" i="6" s="1"/>
  <c r="D33" i="6"/>
  <c r="B33" i="6"/>
  <c r="E32" i="6"/>
  <c r="C32" i="6"/>
  <c r="F33" i="6" l="1"/>
  <c r="E33" i="6"/>
  <c r="C33" i="6"/>
  <c r="B2" i="6"/>
  <c r="C19" i="5"/>
  <c r="B21" i="5"/>
  <c r="C21" i="5"/>
  <c r="C20" i="5"/>
  <c r="C22" i="5"/>
  <c r="B20" i="5"/>
  <c r="C23" i="5"/>
  <c r="M6" i="5"/>
  <c r="B19" i="5"/>
  <c r="B22" i="5"/>
  <c r="C24" i="5" l="1"/>
  <c r="B24" i="5"/>
  <c r="A6" i="5"/>
  <c r="E2" i="6"/>
  <c r="C2" i="6"/>
  <c r="I6" i="5" s="1"/>
  <c r="C17" i="5" s="1"/>
  <c r="F2" i="6"/>
  <c r="D6" i="5" s="1"/>
</calcChain>
</file>

<file path=xl/sharedStrings.xml><?xml version="1.0" encoding="utf-8"?>
<sst xmlns="http://schemas.openxmlformats.org/spreadsheetml/2006/main" count="57989" uniqueCount="3079">
  <si>
    <t>Timestamp</t>
  </si>
  <si>
    <t>Email Address</t>
  </si>
  <si>
    <t>Score</t>
  </si>
  <si>
    <t>Auditor Name</t>
  </si>
  <si>
    <t>Audit Date</t>
  </si>
  <si>
    <t>LOB</t>
  </si>
  <si>
    <t>Call Date</t>
  </si>
  <si>
    <t>Mobile Number</t>
  </si>
  <si>
    <t>Duration Of Call</t>
  </si>
  <si>
    <t xml:space="preserve">Agent Emp ID </t>
  </si>
  <si>
    <t xml:space="preserve">Call Language </t>
  </si>
  <si>
    <t>Circle of Call</t>
  </si>
  <si>
    <t>Greeted Customer, Started BSNL Name, Started Call with a Smile</t>
  </si>
  <si>
    <t>Introduced Self (First Name)</t>
  </si>
  <si>
    <t>Asked Caller Name(First &amp;Last name)</t>
  </si>
  <si>
    <t>Asked the Caller required Verification Question (If any)</t>
  </si>
  <si>
    <t xml:space="preserve">Asked caller the purpose of the call </t>
  </si>
  <si>
    <t>Verified the Purpose of the caller (Paraphrase)</t>
  </si>
  <si>
    <t>Identified the call type &amp; Identified the process to be followed</t>
  </si>
  <si>
    <t xml:space="preserve">Identified the IT Systems/tools to be used </t>
  </si>
  <si>
    <t xml:space="preserve">Followed all Process Steps/ Actives in Sequence ? </t>
  </si>
  <si>
    <t xml:space="preserve">Navigated the System Without any errors (Leading to Increase call hold time) </t>
  </si>
  <si>
    <t xml:space="preserve">Procure the required information from customer </t>
  </si>
  <si>
    <t xml:space="preserve">
Utilized all information &amp; System access before escalation </t>
  </si>
  <si>
    <t xml:space="preserve">Used Approved Question/Polite language </t>
  </si>
  <si>
    <t xml:space="preserve">Demonstrated active listening skills </t>
  </si>
  <si>
    <t xml:space="preserve">Used confidence &amp; empathy Wordings </t>
  </si>
  <si>
    <t xml:space="preserve">Gave apology/reassurance/appropriate response </t>
  </si>
  <si>
    <t xml:space="preserve">Explained hold time or Dead air </t>
  </si>
  <si>
    <t xml:space="preserve">Upheld BSNL positive image </t>
  </si>
  <si>
    <t xml:space="preserve">Maintained focus on caller's problem </t>
  </si>
  <si>
    <t xml:space="preserve">Identified other issues raised (if any) during the call &amp; Sequenced each issue </t>
  </si>
  <si>
    <t xml:space="preserve">Give accurate information/ Next steps on each issue </t>
  </si>
  <si>
    <t xml:space="preserve">Transferred call appropriately (if required) </t>
  </si>
  <si>
    <t>Gave SR Number (If applicable)</t>
  </si>
  <si>
    <t>Thanked the caller for calling</t>
  </si>
  <si>
    <t>Waited for caller to hangup and appropriately closed the call ?</t>
  </si>
  <si>
    <t>Script adherence</t>
  </si>
  <si>
    <t>Captured accurate notes in the CRM</t>
  </si>
  <si>
    <t>Captured proper Notes</t>
  </si>
  <si>
    <t>Tagging Accuracy</t>
  </si>
  <si>
    <t xml:space="preserve">What went wrong ,required for Agent Feedback </t>
  </si>
  <si>
    <t xml:space="preserve">Call Summary </t>
  </si>
  <si>
    <t>Type of Connection</t>
  </si>
  <si>
    <t>Type of call</t>
  </si>
  <si>
    <t>Sub Type of Call</t>
  </si>
  <si>
    <t xml:space="preserve">Issues forund on call </t>
  </si>
  <si>
    <t>SCORE</t>
  </si>
  <si>
    <t>TL</t>
  </si>
  <si>
    <t>Date</t>
  </si>
  <si>
    <t>Quality status</t>
  </si>
  <si>
    <t>sshinyc117@gmail.com</t>
  </si>
  <si>
    <t>0 / 40</t>
  </si>
  <si>
    <t>Shiny</t>
  </si>
  <si>
    <t>Wireless</t>
  </si>
  <si>
    <t>9/30/2025</t>
  </si>
  <si>
    <t>SBM150</t>
  </si>
  <si>
    <t>Malayalam</t>
  </si>
  <si>
    <t>Kerala</t>
  </si>
  <si>
    <t>Yes</t>
  </si>
  <si>
    <t>No</t>
  </si>
  <si>
    <t>Not Applicable</t>
  </si>
  <si>
    <t>Complete probing not done, interruption, correct remark not mentioned</t>
  </si>
  <si>
    <t>Customer having network connectivity issue. Advisor complete probing to customer as per call and register complaint for weak signal issue.</t>
  </si>
  <si>
    <t>Prepaid</t>
  </si>
  <si>
    <t>NETWORK</t>
  </si>
  <si>
    <t>POOR NETWORK COVERAGE</t>
  </si>
  <si>
    <t>SBM157</t>
  </si>
  <si>
    <t>Complete probing not done</t>
  </si>
  <si>
    <t>Customer having call and data connectivity issue. Advisor complete probing to customer as per call and register complaint for weak signal issue ,</t>
  </si>
  <si>
    <t>SBM363</t>
  </si>
  <si>
    <t>Tamil</t>
  </si>
  <si>
    <t>Tamil Nadu</t>
  </si>
  <si>
    <t>apology missing, correct tagging not done, dead air, complete probing not done</t>
  </si>
  <si>
    <t>POOR VOICE QUALITY</t>
  </si>
  <si>
    <t>SBM373</t>
  </si>
  <si>
    <t>Dead air, complete probing not done, further assistance not done</t>
  </si>
  <si>
    <t>Customer having  weak signal and data connectivity issue. Advisor complete probing to customer as per call and register complaint for weak signal issue ,</t>
  </si>
  <si>
    <t xml:space="preserve"> NETWORK</t>
  </si>
  <si>
    <t>NO SIGNAL</t>
  </si>
  <si>
    <t>SBM485</t>
  </si>
  <si>
    <t>correct greeting not used, empathy missing, correct information not shared, dead air</t>
  </si>
  <si>
    <t>Customer having data connectivity issue. Advisor complete probing to customer as per call and given APN settings.</t>
  </si>
  <si>
    <t xml:space="preserve"> DATA SERVICES</t>
  </si>
  <si>
    <t>UNABLE TO BROWSE DATA</t>
  </si>
  <si>
    <t>SBM692</t>
  </si>
  <si>
    <t>English</t>
  </si>
  <si>
    <t>correct greeting not used</t>
  </si>
  <si>
    <t>Customer having 4G and volte related enquiry. Advisor complete probing to customer as per call and register request for volte activation ,</t>
  </si>
  <si>
    <t>DATA SERVICES</t>
  </si>
  <si>
    <t>MNP OBD</t>
  </si>
  <si>
    <t>SBM267</t>
  </si>
  <si>
    <t>empathy &amp; apology missing, dead air</t>
  </si>
  <si>
    <t>Customer having network connectivity issue in Abroad . Advisor complete probing to customer as per call and collect information regarding port out ,</t>
  </si>
  <si>
    <t>COMPLETE CALL</t>
  </si>
  <si>
    <t>NOT AGREED</t>
  </si>
  <si>
    <t>SBM744</t>
  </si>
  <si>
    <t>empathy &amp; apology missing</t>
  </si>
  <si>
    <t>Customer having  weak signal and data connectivity issue. Advisor complete probing to customer as per call and capture port out reason ,</t>
  </si>
  <si>
    <t xml:space="preserve"> COMPLETE CALL</t>
  </si>
  <si>
    <t>priyankajino2013@gmail.com</t>
  </si>
  <si>
    <t>Priyanka</t>
  </si>
  <si>
    <t>VPS259</t>
  </si>
  <si>
    <t xml:space="preserve">
AOI-dead air,empathy missing,aplology missing
</t>
  </si>
  <si>
    <t xml:space="preserve">Opening &amp; Introduction â€“ Done 
Customer details captured â€“Done
Customer concern -Customer ask network issue
Resolution shared - Advisor complete probing to customers as per call setting provide
Closing as per standard -  Done.
AOI-dead air,empathy missing,aplology missing
</t>
  </si>
  <si>
    <t>DATA DEACTIVATION</t>
  </si>
  <si>
    <t>shakeerfazal11@gmail.com</t>
  </si>
  <si>
    <t>Shakeer</t>
  </si>
  <si>
    <t>VPS111</t>
  </si>
  <si>
    <t xml:space="preserve">Not asked customer name, Not used empathy and apology words, No further assistance </t>
  </si>
  <si>
    <t>Customer called and  inquired about Validity and plans related issue, Agent checked and given validity and plans details correctly. but not followed required quality parameter properly.</t>
  </si>
  <si>
    <t xml:space="preserve">PLANS AND VALIDITY DETAILS	</t>
  </si>
  <si>
    <t xml:space="preserve">ENQUIRY ON BALANCE AND VALIDITY	</t>
  </si>
  <si>
    <t xml:space="preserve">No active listening skill, Not used empathy and apology words, No further assistance </t>
  </si>
  <si>
    <t>Customer called and  inquired about PUK related issue, Agent checked and given proper information but not followed required quality parameter properly.</t>
  </si>
  <si>
    <t xml:space="preserve">BSNL SELF CARE SERVICES	</t>
  </si>
  <si>
    <t xml:space="preserve">PUK CODE	</t>
  </si>
  <si>
    <t>VPS184</t>
  </si>
  <si>
    <t>Not used empathy and apology words, Dead air, No further assistance</t>
  </si>
  <si>
    <t>Customer called and  inquired about Validity related issue, Agent checked and given Validity details, but not followed required quality parameter properly.</t>
  </si>
  <si>
    <t xml:space="preserve">Not used empathy and apology words, Dead air, No further assistance </t>
  </si>
  <si>
    <t>Customer called and  inquired about Weak signal related issue, Agent checked and taken poor coverage related complaint.  But not followed required quality parameter properly</t>
  </si>
  <si>
    <t xml:space="preserve">COMPLAINT	</t>
  </si>
  <si>
    <t xml:space="preserve">POOR NETWORK COVERAGE	</t>
  </si>
  <si>
    <t>SBM958</t>
  </si>
  <si>
    <t>Not used empathy and apology words, No further assistance</t>
  </si>
  <si>
    <t>Customer called and  inquired about Sim Lost related issue, Agent checked and given taken SIM block request properly. But not followed required quality parameter properly.</t>
  </si>
  <si>
    <t xml:space="preserve">SIM BLOCK	</t>
  </si>
  <si>
    <t xml:space="preserve">SIM BLOCKDUE TO SIM LOST	</t>
  </si>
  <si>
    <t>Customer called and  inquired about Validity related issue, Agent checked and given Validity details. but not followed required quality parameter properly.</t>
  </si>
  <si>
    <t>saranchirayinkeezhu720@gmail.com</t>
  </si>
  <si>
    <t>Saran</t>
  </si>
  <si>
    <t>SBM314</t>
  </si>
  <si>
    <t>Not given accurate information</t>
  </si>
  <si>
    <t xml:space="preserve">Customer concern -Customer called for unable to get sms .
Resolution shared - Advisor done complete probing to customer as per call.
</t>
  </si>
  <si>
    <t>SMS SERVICES</t>
  </si>
  <si>
    <t>UNABLE TO RECEIVE SMS</t>
  </si>
  <si>
    <t xml:space="preserve">Not used empathy and apology words, Dead air, Delay opening the call, No further assistance </t>
  </si>
  <si>
    <t>Customer called and  inquired about Validity related issue, Agent checked and given SIM validity details.  but not followed required quality parameter properly.</t>
  </si>
  <si>
    <t>SBM550</t>
  </si>
  <si>
    <t>Not taken complaint for customer, No apology</t>
  </si>
  <si>
    <t>Customer concern -Customer called for network issue .
Resolution shared - Advisor done complete probing to customer as per call.</t>
  </si>
  <si>
    <t>VOICE SERVICES</t>
  </si>
  <si>
    <t>WRONG ROUTING OF CALL</t>
  </si>
  <si>
    <t>SBM724</t>
  </si>
  <si>
    <t xml:space="preserve">Dead air, No further assistance </t>
  </si>
  <si>
    <t>Customer called and  inquired about Weak signal related issue, Agent checked and taken poor coverage related complaint.  but not followed required quality parameter properly.</t>
  </si>
  <si>
    <t>No further assistance,  Dead air observed</t>
  </si>
  <si>
    <t>Customer called and  inquired about Weak signal related issue, Agent checked and taken poor coverage related complaint. But not followed required quality parameter properly.</t>
  </si>
  <si>
    <t>SBM963</t>
  </si>
  <si>
    <t>No further assistance</t>
  </si>
  <si>
    <t>Customer concern -Customer called for wrong recharge issue.
Resolution shared - Advisor done complete probing to customer as per call.</t>
  </si>
  <si>
    <t>RECHARGE ISSUE</t>
  </si>
  <si>
    <t>WRONG RECHARGE</t>
  </si>
  <si>
    <t>VPS216</t>
  </si>
  <si>
    <t>Not use empathy and apology, Dead air, Not given proper information.</t>
  </si>
  <si>
    <t>Customer concern -Customer called for data balance ussd code .
Resolution shared - Advisor done complete probing to customer as per call.</t>
  </si>
  <si>
    <t>BSNL SELF CARE SERVICES</t>
  </si>
  <si>
    <t>USSD CODES RELATED</t>
  </si>
  <si>
    <t>VPS237</t>
  </si>
  <si>
    <t>Not use empathy and apology, Dead air.</t>
  </si>
  <si>
    <t>Customer concern -Customer called for unable to send SMS .
Resolution shared - Advisor done complete probing to customer as per call.</t>
  </si>
  <si>
    <t>I/C AND O/G SMS BARRED</t>
  </si>
  <si>
    <t xml:space="preserve"> VPS248 </t>
  </si>
  <si>
    <t>No empathy,No further assistance</t>
  </si>
  <si>
    <t>Customer concern -Customer called for recharge plan details.
Resolution shared - Advisor done complete probing to customer as per call.</t>
  </si>
  <si>
    <t>Plans and validity details</t>
  </si>
  <si>
    <t>UNABLE TO MAKE O/G CALLS</t>
  </si>
  <si>
    <t>VPS251</t>
  </si>
  <si>
    <t xml:space="preserve">
Not use empathy and apology</t>
  </si>
  <si>
    <t>Customer concern -Customer called for unable to make calls.
Resolution shared - Advisor done complete probing to customer as per call.</t>
  </si>
  <si>
    <t>PLANS AND VALIDITY DETAILS</t>
  </si>
  <si>
    <t>ENQUIRY ON PREPAID PLANS</t>
  </si>
  <si>
    <t>VPS229</t>
  </si>
  <si>
    <t>Customer concern -Customer called for not getting incoming calls .
Resolution shared - Advisor done complete probing to customer as per call.</t>
  </si>
  <si>
    <t>CALL SERVICES</t>
  </si>
  <si>
    <t>RECHARGE PLAN NOT AVAILABLE</t>
  </si>
  <si>
    <t>adharshleewvan003@gmail.com</t>
  </si>
  <si>
    <t>Adharsh</t>
  </si>
  <si>
    <t>SBM792</t>
  </si>
  <si>
    <t xml:space="preserve"> Maintained focus on caller's problem </t>
  </si>
  <si>
    <t>Reason for PORTING request: Has two SIM CARD in BSNL, so customer porting out to other network
Resolution provided: Didn't completely Convinced customer to keep both the SIM in BSNL</t>
  </si>
  <si>
    <t>QUERY</t>
  </si>
  <si>
    <t>VPS258</t>
  </si>
  <si>
    <t>AOI-dead air,empathy missing,</t>
  </si>
  <si>
    <t>Opening &amp; Introduction â€“ Done 
Customer details captured â€“Done
Customer concern -Customer ask data issue
Resolution shared - Advisor complete probing to customers as per call setting provide
Closing as per standard -  Done.
AOI-dead air,empathy missing,accurent information not done</t>
  </si>
  <si>
    <t>DOUBLE RECHARGE</t>
  </si>
  <si>
    <t>SBM482</t>
  </si>
  <si>
    <t>AOI-empathy missing,</t>
  </si>
  <si>
    <t xml:space="preserve">Opening &amp; Introduction â€“ Done 
Customer details captured â€“Done
Customer concern -Customer ask recharge issue
Resolution shared - Advisor complete probing to customers as per call inactive stage
Closing as per standard -  Done.
AOI-empathy missing,
</t>
  </si>
  <si>
    <t>ENQUIRY ON BALANCE AND VALIDITY</t>
  </si>
  <si>
    <t>VPS256</t>
  </si>
  <si>
    <t>AOI-empathy missing,Greeted Customer</t>
  </si>
  <si>
    <t>Opening &amp; Introduction â€“ Done 
Customer details captured â€“Done
Customer concern -Customer ask recharge issue
Resolution shared - Advisor complete probing to customers as per call inactive stage
Closing as per standard -  Done.
AOI-empathy missing,Greeted Customer</t>
  </si>
  <si>
    <t>UNABLE TO SEND SMS</t>
  </si>
  <si>
    <t>VPS253</t>
  </si>
  <si>
    <t xml:space="preserve">AOI-empathy missing,
</t>
  </si>
  <si>
    <t xml:space="preserve">Opening &amp; Introduction â€“ Done 
Customer details captured â€“Done
Customer concern -Customer ask sim converted
Resolution shared - Advisor complete probing to customers as per call unified sim
Closing as per standard -  Done.
AOI-empathy missing,
</t>
  </si>
  <si>
    <t>SIM</t>
  </si>
  <si>
    <t>NEW SIM ACTIVATION PROCESS</t>
  </si>
  <si>
    <t xml:space="preserve"> Maintained focus on caller's problem, Tagging Accuracy</t>
  </si>
  <si>
    <t>Reason for PORTING request: Network issue
Resolution provided: Complaint not taken, customer requested for call back</t>
  </si>
  <si>
    <t>INCOMPLETE CALL</t>
  </si>
  <si>
    <t>DISCONNECTED BY CUSTOMER</t>
  </si>
  <si>
    <t>VPS252</t>
  </si>
  <si>
    <t>AOI-empathy missing, probing not done,dead air</t>
  </si>
  <si>
    <t xml:space="preserve">Opening &amp; Introduction â€“ Done 
Customer details captured â€“Done
Customer concern -Customer ask sim converted
Resolution shared - Advisor complete probing to customers as per call sim deactive
Closing as per standard -  Done.
AOI-empathy missing, probing not done,dead air
</t>
  </si>
  <si>
    <t>SIM REPLACEMENT PROCESS</t>
  </si>
  <si>
    <t>SBM554</t>
  </si>
  <si>
    <t xml:space="preserve"> Good call</t>
  </si>
  <si>
    <t>CALL BACK</t>
  </si>
  <si>
    <t>REQUESTED TO CALLBACK</t>
  </si>
  <si>
    <t>AOI-empathy missing,dead air,</t>
  </si>
  <si>
    <t xml:space="preserve">Opening &amp; Introduction â€“ Done 
Customer details captured â€“Done
Customer concern -Customer ask data issue
Resolution shared - Advisor complete probing to customers as per call setting provide
Closing as per standard -  Done.
AOI-empathy missing,dead air,
</t>
  </si>
  <si>
    <t>0 / 50</t>
  </si>
  <si>
    <t>VPS249</t>
  </si>
  <si>
    <t>AOI-empathy missing,probing not done</t>
  </si>
  <si>
    <t xml:space="preserve">Opening &amp; Introduction â€“ Done 
Customer details captured â€“Done
Customer concern -Customer ask network issue
Resolution shared - Advisor complete probing to customers as per call setting provide
Closing as per standard -  Done.
AOI-empathy missing,probing not done
</t>
  </si>
  <si>
    <t>REPLACED SIM NOT ACTIVATED</t>
  </si>
  <si>
    <t>Good Call</t>
  </si>
  <si>
    <t>amalbabu142@gmail.com</t>
  </si>
  <si>
    <t>Amal</t>
  </si>
  <si>
    <t>Wireline</t>
  </si>
  <si>
    <t>SBM653</t>
  </si>
  <si>
    <t>Failed to ask Asked Caller Name and Script adherence</t>
  </si>
  <si>
    <t xml:space="preserve">The customer called and Inquiry about skypro iptv details agent checked and Information given Properly  </t>
  </si>
  <si>
    <t>Postpaid</t>
  </si>
  <si>
    <t>skypro iptv</t>
  </si>
  <si>
    <t xml:space="preserve">Good Call </t>
  </si>
  <si>
    <t xml:space="preserve">The customer called and Inquiry About Old connection Reactivation related Issue, agent checked and Information given Properly  </t>
  </si>
  <si>
    <t>SERVICE -OTHER(REMARK)</t>
  </si>
  <si>
    <t>VPS248</t>
  </si>
  <si>
    <t>AOI-empathy missing,probing not donev</t>
  </si>
  <si>
    <t xml:space="preserve">Opening &amp; Introduction â€“ Done 
Customer details captured â€“Done
Customer concern -Customer ask sim comvert
Resolution shared - Advisor complete probing to customers as per call 4g sim details provide
Closing as per standard -  Done.
AOI-empathy missing,probing not done
</t>
  </si>
  <si>
    <t>VPS181</t>
  </si>
  <si>
    <t>Failed to Provide the complaint number and Script adherence</t>
  </si>
  <si>
    <t xml:space="preserve">The customer called and  Inquiry About data not getting related Issue agent checked and Booked a complaint </t>
  </si>
  <si>
    <t xml:space="preserve"> NO INTERNET CONNECTIVITY</t>
  </si>
  <si>
    <t>VPS247</t>
  </si>
  <si>
    <t>AOI-empathy missing,dead air</t>
  </si>
  <si>
    <t xml:space="preserve">Opening &amp; Introduction â€“ Done 
Customer details captured â€“Done
Customer concern -Customer ask recharge issue
Resolution shared - Advisor complete probing to customers as per call main account blance maintance then call back
Closing as per standard -  Done.
AOI-empathy missing,dead air
</t>
  </si>
  <si>
    <t xml:space="preserve"> RECHARGE ISSUE</t>
  </si>
  <si>
    <t>SBM618</t>
  </si>
  <si>
    <t xml:space="preserve">Script not Providing properly </t>
  </si>
  <si>
    <t xml:space="preserve">The customer called and Inquiry about Bill Payment related Issue, Agent checked and Information given properly </t>
  </si>
  <si>
    <t>INVOICE - REQUEST A DETAILED BILL REPORT</t>
  </si>
  <si>
    <t>SBM794</t>
  </si>
  <si>
    <t xml:space="preserve">Good call </t>
  </si>
  <si>
    <t xml:space="preserve">The customer called and Inquiry about Internet not getting related Issue ,Agent checked and booked a complaint </t>
  </si>
  <si>
    <t>FAULT - NO INTERNET CONNECTIVITY</t>
  </si>
  <si>
    <t>nehafire4444@gmail.com</t>
  </si>
  <si>
    <t>Sneha</t>
  </si>
  <si>
    <t>SBM703</t>
  </si>
  <si>
    <t>No active listening skills, No apology used</t>
  </si>
  <si>
    <t>The customer facing call connectivity related issue , The advisor suggest to set the network settings,The advisor did not used complete parameter properly.</t>
  </si>
  <si>
    <t xml:space="preserve">CALL SERVICES	</t>
  </si>
  <si>
    <t xml:space="preserve">UNABLE TO MAKE O/G CALLS	</t>
  </si>
  <si>
    <t>Good Call, Fillings</t>
  </si>
  <si>
    <t>VPS160</t>
  </si>
  <si>
    <t xml:space="preserve">Opening &amp; Introduction â€“ Done 
Customer details captured â€“Done
Customer concern -Customer ask plan details
Resolution shared - Advisor complete probing to customers as per call plan147
Closing as per standard -  Done.
AOI-empathy missing,dead air
</t>
  </si>
  <si>
    <t xml:space="preserve">Not used apology, Delay opening </t>
  </si>
  <si>
    <t>The customer called for sim lost regarding issue , the advisor suggest to contact nearby csc for post paid sim block , not used follow parameter properly .</t>
  </si>
  <si>
    <t xml:space="preserve">REPLACED SIM NOT ACTIVATED	</t>
  </si>
  <si>
    <t>VPS120</t>
  </si>
  <si>
    <t xml:space="preserve">Wrong information ,irruption ,lack of active listings ,Not used apology words </t>
  </si>
  <si>
    <t>The customer called for wrong recharge regarding issue for his both connection.The advisor not give proper information, The advisor informed the customer that a conversation has already taken place regarding this number and that further assistance would require contacting the wrongly recharged number. A new conversation request should be initiated only after contact the concerned number.</t>
  </si>
  <si>
    <t xml:space="preserve">RECHARGE ISSUE </t>
  </si>
  <si>
    <t>ANY OTHER RECHARGE ISSUE</t>
  </si>
  <si>
    <t>Good Call, Interuption</t>
  </si>
  <si>
    <t>VPS143</t>
  </si>
  <si>
    <t>Good call</t>
  </si>
  <si>
    <t>The customer called for unwanted messages regarding issue.the advisor probing properly and active the dnd service and given proper information.</t>
  </si>
  <si>
    <t>DND</t>
  </si>
  <si>
    <t>FULLY ACTIVATION</t>
  </si>
  <si>
    <t>VPS151</t>
  </si>
  <si>
    <t>Didn't used empathy words</t>
  </si>
  <si>
    <t>The customer called for balance , validity and sms  regarding details , the advisor given proper information and did not used complete parameter.</t>
  </si>
  <si>
    <t xml:space="preserve"> SR number not provided, Dead air occur</t>
  </si>
  <si>
    <t>The customer called for signal regarding issue , the advisor taken complaint and given proper information .</t>
  </si>
  <si>
    <t xml:space="preserve">NETWORK	</t>
  </si>
  <si>
    <t>VPS177</t>
  </si>
  <si>
    <t xml:space="preserve">Delay opening , call disconnection without valid reason and not used any proper script </t>
  </si>
  <si>
    <t>Customer inquired about recharge regarding details. Although the advisor provided information continuedly disconnected the call abruptly without a valid reason and failed to follow the standard closing script.</t>
  </si>
  <si>
    <t xml:space="preserve">BLANK CALL	</t>
  </si>
  <si>
    <t xml:space="preserve">CUSTOMER HOLD THE CALL	</t>
  </si>
  <si>
    <t>Call Disconnection</t>
  </si>
  <si>
    <t xml:space="preserve">Not used Script adherence, Dead air ,Empathy missing </t>
  </si>
  <si>
    <t xml:space="preserve"> The customer called for validity and recharge regarding details . The advisor given proper information  but not used complete parameter properly .</t>
  </si>
  <si>
    <t>VPS244</t>
  </si>
  <si>
    <t xml:space="preserve">Opening &amp; Introduction â€“ Done 
Customer details captured â€“Done
Customer concern -Customer ask plan details
Resolution shared - Advisor complete probing to customers as per call data plan98 act
Closing as per standard -  Done.
AOI-empathy missing,probing not done
</t>
  </si>
  <si>
    <t>RECHARGE ISSUE,</t>
  </si>
  <si>
    <t>VPS240</t>
  </si>
  <si>
    <t xml:space="preserve">Opening &amp; Introduction â€“ Done 
Customer details captured â€“Done
Customer concern -Customer ask plan details
Resolution shared - Advisor complete probing to customers as per call plan147
Closing as per standard -  Done.
AOI-empathy missing,probing not done
</t>
  </si>
  <si>
    <t>DATA ACTIVATION</t>
  </si>
  <si>
    <t xml:space="preserve"> VPS191</t>
  </si>
  <si>
    <t xml:space="preserve"> Empathy missing </t>
  </si>
  <si>
    <t xml:space="preserve">The customer called for incoming call connectivity regarding issue , The advisor given proper information to set the network selecting settings , But not followed all parameter completely </t>
  </si>
  <si>
    <t xml:space="preserve">UNABLE TO RECEIVE I/C CALLS	</t>
  </si>
  <si>
    <t xml:space="preserve">Opening &amp; Introduction â€“ Done 
Customer details captured â€“Done
Customer concern -Customer ask plan details
Resolution shared - Advisor complete probing to customers as per call plan147
Closing as per standard -  Done.
AOI-empathy missing,dead air
</t>
  </si>
  <si>
    <t>Fillings</t>
  </si>
  <si>
    <t>CUSTOMER BUSY</t>
  </si>
  <si>
    <t>CUSTOMER IS BUSY</t>
  </si>
  <si>
    <t>VPS193</t>
  </si>
  <si>
    <t xml:space="preserve"> No active listening , Unnecessary hold, Wrong tagging</t>
  </si>
  <si>
    <t xml:space="preserve">The customer called for sim type conversion regarding details ,The advisor given proper information about the simtype and network settings details </t>
  </si>
  <si>
    <t xml:space="preserve">O/G AND I/C CALLS BARRED	</t>
  </si>
  <si>
    <t>Wireline OBD</t>
  </si>
  <si>
    <t>VPS171</t>
  </si>
  <si>
    <t xml:space="preserve">The advisor contact the pre-lead customers and get the details in properly, and given proper information </t>
  </si>
  <si>
    <t>Pre-lead</t>
  </si>
  <si>
    <t xml:space="preserve"> opening script not used properly </t>
  </si>
  <si>
    <t>The  advisor contact the customer and get the details in the proper way and given proper information.</t>
  </si>
  <si>
    <t>Nehafire4444@gmail.com</t>
  </si>
  <si>
    <t>SBM107</t>
  </si>
  <si>
    <t xml:space="preserve"> Not used apology words</t>
  </si>
  <si>
    <t>The customer called for OTT regarding issue , The advisor verify the details and given proper information to suggest the website for OTTplay activation</t>
  </si>
  <si>
    <t>NIL</t>
  </si>
  <si>
    <t>VPS235</t>
  </si>
  <si>
    <t>Opening &amp; Introduction â€“ Done 
Customer details captured â€“Done
Customer concern -Customer ask plan details
Resolution shared - Advisor complete probing to customers as per call plan147
Closing as per standard -  Done.
AOI-empathy missing,dead air
c</t>
  </si>
  <si>
    <t xml:space="preserve"> MOBILE DATA</t>
  </si>
  <si>
    <t>INTERNET SERVICES IN PARTICULAR AREA</t>
  </si>
  <si>
    <t>VPS243</t>
  </si>
  <si>
    <t>AOI-,probing not done,apology missing,accurate unform</t>
  </si>
  <si>
    <t>Opening &amp; Introduction â€“ Done 
Customer details captured â€“Done
Customer concern -Customer ask network issue
Resolution shared - Advisor complete probing to customers as per call complaint booking
Closing as per standard -  Done.
AOI-,probing not done,apology missing,accurate unform</t>
  </si>
  <si>
    <t>NO INTERNET SERVICES IN PARTICULAR AREA</t>
  </si>
  <si>
    <t>MOBILE DATA</t>
  </si>
  <si>
    <t>VPS242</t>
  </si>
  <si>
    <t>AOI-,probing not done,apology missing,empathy missing,accurate information not done</t>
  </si>
  <si>
    <t xml:space="preserve">DATA SERVICES.UNABLE TO BROWSE DATA
Opening &amp; Introduction â€“ Done 
Customer details captured â€“Done
Customer concern -Customer ask sim details
Resolution shared - Advisor complete probing to customers as per call complaint booking
Closing as per standard -  Done.
AOI-,probing not done,apology missing,empathy missing,accurate information not done
</t>
  </si>
  <si>
    <t xml:space="preserve"> Lack of active on call</t>
  </si>
  <si>
    <t xml:space="preserve">The customer called for wifi connectivity regarding issue , The advisor verify the details and taken complaint </t>
  </si>
  <si>
    <t>Complaint Registered</t>
  </si>
  <si>
    <t>AOI-,probing not done,apology missing,empathy missing,greeting not done</t>
  </si>
  <si>
    <t xml:space="preserve">Opening &amp; Introduction â€“ Done 
Customer details captured â€“Done
Customer concern -Customer ask network issue
Resolution shared - Advisor complete probing to customers as per call already complainted
Closing as per standard -  Done.
AOI-,probing not done,apology missing,empathy missing,greeting not done
</t>
  </si>
  <si>
    <t>UNABLE TO MAKE O/G AND I/C CALLS</t>
  </si>
  <si>
    <t>VPS230</t>
  </si>
  <si>
    <t>AOI-,apology missing,empathy missing,tagging not done</t>
  </si>
  <si>
    <t xml:space="preserve">Opening &amp; Introduction â€“ Done 
Customer details captured â€“Done
Customer concern -Customer ask network issue
Resolution shared - Advisor complete probing to customers as per call setting provide
Closing as per standard -  Done.
AOI-,apology missing,empathy missing,tagging not done
</t>
  </si>
  <si>
    <t xml:space="preserve"> CALL SERVICES</t>
  </si>
  <si>
    <t>AOI-,apology missing,empathy missing,tagging not done,dead air</t>
  </si>
  <si>
    <t xml:space="preserve">Opening &amp; Introduction â€“ Done 
Customer details captured â€“Done
Customer concern -Customer ask data issue
Resolution shared - Advisor complete probing to customers as per call data act
Closing as per standard -  Done.
AOI-,apology missing,empathy missing,tagging not done,dead air
</t>
  </si>
  <si>
    <t>VPS228</t>
  </si>
  <si>
    <t>AOI-,apology missing,empathy missing,tagging not done,dead air,</t>
  </si>
  <si>
    <t xml:space="preserve">Opening &amp; Introduction â€“ Done 
Customer details captured â€“Done
Customer concern -Customer ask sms issue
Resolution shared - Advisor complete probing to customers as per sms centre number
Closing as per standard -  Done.
AOI-,apology missing,empathy missing,tagging not done,dead air,
</t>
  </si>
  <si>
    <t xml:space="preserve"> PLANS AND VALIDITY DETAILS</t>
  </si>
  <si>
    <t xml:space="preserve"> VPS217 </t>
  </si>
  <si>
    <t xml:space="preserve">Opening &amp; Introduction â€“ Done 
Customer details captured â€“Done
Customer concern -Customer ask volte issue
Resolution shared - Advisor complete probing to customers as per wait for
Closing as per standard -  Done.
AOI-,apology missing,empathy missing,tagging not done,dead air,
</t>
  </si>
  <si>
    <t>COMPLAINT RELATED</t>
  </si>
  <si>
    <t>ALREADY COMPLAINT BOOKED</t>
  </si>
  <si>
    <t xml:space="preserve"> VPS201 </t>
  </si>
  <si>
    <t>AOI-,apology missing,empathy missing,dead air,sr number not provide</t>
  </si>
  <si>
    <t xml:space="preserve">Opening &amp; Introduction â€“ Done 
Customer details captured â€“Done
Customer concern -Customer ask landline details
Resolution shared - Advisor complete probing to customers as per complaint booking
Closing as per standard -  Done.
AOI-,apology missing,empathy missing,dead air,sr number not provide
</t>
  </si>
  <si>
    <t>na</t>
  </si>
  <si>
    <t>SBM650</t>
  </si>
  <si>
    <t>AOI-,apology missing,sr number not provide</t>
  </si>
  <si>
    <t xml:space="preserve">Opening &amp; Introduction â€“ Done 
Customer details captured â€“Done
Customer concern -Customer ask fth details
Resolution shared - Advisor complete probing to customers as per complaint booking
Closing as per standard -  Done.
AOI-,apology missing,sr number not provide
</t>
  </si>
  <si>
    <t>SBM734</t>
  </si>
  <si>
    <t>AOI-,apology missing,sr number not provide,empathy missing</t>
  </si>
  <si>
    <t xml:space="preserve">Opening &amp; Introduction â€“ Done 
Customer details captured â€“Done
Customer concern -Customer ask fth details
Resolution shared - Advisor complete probing to customers as per complaint booking
Closing as per standard -  Done.
AOI-,apology missing,sr number not provide,empathy missing
</t>
  </si>
  <si>
    <t>AOI-sr number not provide,empathy missing</t>
  </si>
  <si>
    <t xml:space="preserve">Opening &amp; Introduction â€“ Done 
Customer details captured â€“Done
Customer concern -Customer ask sim details
Resolution shared - Advisor complete probing to customers as per 18001801503
Closing as per standard -  Done.
AOI-sr number not provide,empathy missing
</t>
  </si>
  <si>
    <t>AOI-,empathy missing</t>
  </si>
  <si>
    <t xml:space="preserve">Opening &amp; Introduction â€“ Done 
Customer details captured â€“Done
Customer concern -Customer ask sim details
Resolution shared - Advisor complete probing to customers as per 18001801503
Closing as per standard -  Done.
AOI-,empathy missing
</t>
  </si>
  <si>
    <t>AOI-sr number not provide,empathy missing,greeting not done</t>
  </si>
  <si>
    <t xml:space="preserve">Opening &amp; Introduction â€“ Done 
Customer details captured â€“Done
Customer concern -Customer ask landline issue
Resolution shared - Advisor complete probing to customers as per application done
Closing as per standard -  Done.
AOI-sr number not provide,empathy missing,greeting not done
</t>
  </si>
  <si>
    <t>Not use empathy and apology,</t>
  </si>
  <si>
    <t>Customer concern -Customer called for unable to make calls .
Resolution shared - Advisor done complete probing to customer as per call.</t>
  </si>
  <si>
    <t>VPS211</t>
  </si>
  <si>
    <t>No apology.No futher assistance</t>
  </si>
  <si>
    <t>Customer concern -Customer called for VOLTE Activation .
Resolution shared - Advisor done complete probing to customer as per call.</t>
  </si>
  <si>
    <t>VPS236</t>
  </si>
  <si>
    <t>No empathy, Dead air.</t>
  </si>
  <si>
    <t>Customer concern -Customer called for wrong recharge comversion .
Resolution shared - Advisor done complete probing to customer as per call.</t>
  </si>
  <si>
    <t>TRANSFER/RESUBSCRIPTION</t>
  </si>
  <si>
    <t>CONVERSION TO OTHER PLAN OR STV</t>
  </si>
  <si>
    <t>NA</t>
  </si>
  <si>
    <t xml:space="preserve">
Customer called and  inquired about Plans details Agent checked and given plan details properly.</t>
  </si>
  <si>
    <t xml:space="preserve">ENQUIRY ON PREPAID PLANS	</t>
  </si>
  <si>
    <t xml:space="preserve">Empathy missing, No further assistance </t>
  </si>
  <si>
    <t>Customer called and  inquired about Data connectivity related issue, Agent checked and taken data slow speed related complaint. but not followed required quality parameter properly.</t>
  </si>
  <si>
    <t xml:space="preserve">SLOW DATA SPEED	</t>
  </si>
  <si>
    <t xml:space="preserve">
Not use empathy and apology
</t>
  </si>
  <si>
    <t>Customer concern -Customer called for balance deduction details .
Resolution shared - Advisor done complete probing to customer as per call</t>
  </si>
  <si>
    <t>No active listening skill, Dead air</t>
  </si>
  <si>
    <t>Customer called and  inquired about 4G connectivity related issue, Agent checked and given proper information but not followed required quality parameter properly.</t>
  </si>
  <si>
    <t xml:space="preserve">SIM	</t>
  </si>
  <si>
    <t xml:space="preserve">4G SIM NOT WORKING IN OTHER MOBILES	</t>
  </si>
  <si>
    <t>Interuption</t>
  </si>
  <si>
    <t>No active listening skill</t>
  </si>
  <si>
    <t>Customer called and  inquired about Data connectivity related issue, Agent checked and taken internet issue related complaint. but not followed required quality parameter properly.</t>
  </si>
  <si>
    <t xml:space="preserve">NO INTERNET ACCESS	</t>
  </si>
  <si>
    <t>SBM613</t>
  </si>
  <si>
    <t xml:space="preserve">Not used apology words </t>
  </si>
  <si>
    <t xml:space="preserve">The  Customer called for payment not updated regarding issue , The advisor check the details and informed payment not updated wait for 24 hours after informed already previous request has process state so  contact nearby csc. </t>
  </si>
  <si>
    <t>Inquiry Only</t>
  </si>
  <si>
    <t>INVOICE - CHECK DUE DATE FOR PAYMENT</t>
  </si>
  <si>
    <t>Customer called and  inquired about Wrong recharge related issue, Agent checked and given  recharge conversion details but not followed required quality parameter properly.</t>
  </si>
  <si>
    <t xml:space="preserve">RECHARGE ISSUE	</t>
  </si>
  <si>
    <t xml:space="preserve">WRONG RECHARGE	</t>
  </si>
  <si>
    <t>The customer called for fiber new connection registered regarding details. The advisor taken a new connection request and informed within 24 hours the technical team will contact .</t>
  </si>
  <si>
    <t xml:space="preserve">LEAD - ENQUIRY ABOUT NEW FTTH OR LANDLINE CONNECTION </t>
  </si>
  <si>
    <t>The customer called for landline not working regarding issue , The advisor taken complaint and given proper information .</t>
  </si>
  <si>
    <t>FAULT - LANDLINE IS DEAD OR NOT WORKING</t>
  </si>
  <si>
    <t xml:space="preserve">The customer called for internet connectivity regarding issue . The advisor taken complaint and given proper information </t>
  </si>
  <si>
    <t xml:space="preserve"> Inquiry Only</t>
  </si>
  <si>
    <t>FAULT - FREQUENT DISCONNECTION OF BB/FTTH CONNECTION</t>
  </si>
  <si>
    <t>Not use empathy and apology</t>
  </si>
  <si>
    <t>Customer concern -Customer called for sim not working .
Resolution shared - Advisor done complete probing to customer as per call.</t>
  </si>
  <si>
    <t>4G SIM NOT WORKING IN OTHER MOBILES</t>
  </si>
  <si>
    <t>SBM755</t>
  </si>
  <si>
    <t xml:space="preserve">No script adherence </t>
  </si>
  <si>
    <t>The customer called for the BB complaint not resolved regarding issue .The advisor taken complaint and given proper information .</t>
  </si>
  <si>
    <t>VPS257</t>
  </si>
  <si>
    <t>Not taken complaint for the customer issue</t>
  </si>
  <si>
    <t>Customer concern -Customer called for network issue after power down .
Resolution shared - Advisor done complete probing to customer as per call.</t>
  </si>
  <si>
    <t xml:space="preserve">Not used empathy and apology words, Dead air, No active listening skill, No further assistance </t>
  </si>
  <si>
    <t>Customer called and  inquired about Data connectivity related issue, Agent checked and given proper information but not followed required quality parameter properly.</t>
  </si>
  <si>
    <t xml:space="preserve">DATA SERVICES	</t>
  </si>
  <si>
    <t xml:space="preserve">UNABLE TO BROWSE DATA	</t>
  </si>
  <si>
    <t>The customer called for landline connectivity regarding issue , The advisor  taken a complaint and given proper information.</t>
  </si>
  <si>
    <t>SBM758</t>
  </si>
  <si>
    <t xml:space="preserve">Irruption </t>
  </si>
  <si>
    <t>The customer called for landline not working regarding issue , The advisor check the details and 
taken a complaint then inform the technical team will contact.</t>
  </si>
  <si>
    <t>Not use empathy and apology , Dead air</t>
  </si>
  <si>
    <t>Customer concern -Customer called for  .
Resolution shared - Advisor done complete probing to customer as per call.</t>
  </si>
  <si>
    <t>Dead air, No active listening skill</t>
  </si>
  <si>
    <t>Customer called and  inquired about Weak signal related issue, Agent checked and taken poor coverage related complaint. but not followed required quality parameter properly.</t>
  </si>
  <si>
    <t>VPS206</t>
  </si>
  <si>
    <t>Dead air</t>
  </si>
  <si>
    <t>Customer called and  inquired about Volte not working related issue, Agent checked and taken volte activation issue related complaint. but not followed required quality parameter properly.</t>
  </si>
  <si>
    <t xml:space="preserve">VOLTE NOT WORKING	</t>
  </si>
  <si>
    <t>Not given accurate information, not focus on customer issue. Not taken complaint for customer issue.</t>
  </si>
  <si>
    <t>Customer called for unable to make calls and send SMS.
Advisor not done correct probing to customer.</t>
  </si>
  <si>
    <t xml:space="preserve">CALL SERVICE </t>
  </si>
  <si>
    <t xml:space="preserve">Opening &amp; Introduction â€“ Done 
Customer details captured â€“Done
Customer concern -Customer ask landline issue
Resolution shared - Advisor complete probing to customers as per complaint booking
Closing as per standard -  Done.
AOI-empathy missing,
</t>
  </si>
  <si>
    <t>AOI-dead air,apology missing</t>
  </si>
  <si>
    <t>Opening &amp; Introduction â€“ Done 
Customer details captured â€“Done
Customer concern -Customer ask network issue
Resolution shared - Advisor complete probing to customers as per call setting provide
Closing as per standard -  Done.
AOI-dead air,apology missing</t>
  </si>
  <si>
    <t>AOI-probing did not complet</t>
  </si>
  <si>
    <t>Opening &amp; Introduction â€“ Done 
Customer details captured â€“Done
Customer concern -Customer ask landline issue
Resolution shared - Advisor complete probing to customers as per call setting provide
Closing as per standard -  Done.
AOI-probing did not complet</t>
  </si>
  <si>
    <t>VPS201</t>
  </si>
  <si>
    <t>AOI-dead air,apology  missing,sr number not provide</t>
  </si>
  <si>
    <t xml:space="preserve">Opening &amp; Introduction â€“ Done 
Customer details captured â€“Done
Customer concern -Customer ask bb issue
Resolution shared - Advisor complete probing to customers as per call complaint booking
Closing as per standard -  Done.
AOI-dead air,apology  missing,sr number not provide
</t>
  </si>
  <si>
    <t>SBM767</t>
  </si>
  <si>
    <t>Customer wrongly recharged STV198 and requested to convert it to PV199</t>
  </si>
  <si>
    <t>customer call did not focuse</t>
  </si>
  <si>
    <t>Opening &amp; Introduction â€“ Done 
Customer details captured â€“Done
Customer concern -Customer ask landline issue
Resolution shared - Advisor complete probing to customers as per call wait for 24hr
Closing as per standard -  Done.
AOI-customer call did not focuse</t>
  </si>
  <si>
    <t>SBM962</t>
  </si>
  <si>
    <t>Customer called and informed us that he is facing IC and OG SMS issues. The agent checked and said that the customer has taken a duplicate SIM; that's the reason for the SMS service being barred, and he requested the customer to wait for 24 to 48 hours.</t>
  </si>
  <si>
    <t>Interuption, Fillings</t>
  </si>
  <si>
    <t>AOI-empathy missing,sr number not provide</t>
  </si>
  <si>
    <t>Opening &amp; Introduction â€“ Done 
Customer details captured â€“Done
Customer concern -Customer ask landline issue
Resolution shared - Advisor complete probing to customers as per call complaint booking
Closing as per standard -  Done.
AOI-empathy missing,sr number not provide</t>
  </si>
  <si>
    <t>SBM718</t>
  </si>
  <si>
    <t xml:space="preserve"> Give accurate information/ Next steps on each issue </t>
  </si>
  <si>
    <t>Customer called and said he had been facing a hotspot issue. The agent checked and said the APN setting was for the customer.</t>
  </si>
  <si>
    <t xml:space="preserve"> interruption
Lack of active listening</t>
  </si>
  <si>
    <t>The customer called for called and data connectivity related issue , the Advisor check the details and informed sim side there is no issues so try another handset continuedly no response on the other end so the advisor disconnect the call with proper script.</t>
  </si>
  <si>
    <t xml:space="preserve">WEAK SIGNAL	</t>
  </si>
  <si>
    <t xml:space="preserve">VOICE SERVICES	</t>
  </si>
  <si>
    <t xml:space="preserve">AOI-empathy missing,sr number not provide
</t>
  </si>
  <si>
    <t xml:space="preserve">Opening &amp; Introduction â€“ Done 
Customer details captured â€“Done
Customer concern -Customer ask landline issue
Resolution shared - Advisor complete probing to customers as per call bill details
Closing as per standard -  Done.
AOI-empathy missing,sr number not provide
</t>
  </si>
  <si>
    <t>good call</t>
  </si>
  <si>
    <t>The customer called for sim signal not show in Germany regarding issue , The advisor check the details sim already IR sim side no issue , try to set the network operator.</t>
  </si>
  <si>
    <t xml:space="preserve">ISD ROAMING	</t>
  </si>
  <si>
    <t xml:space="preserve">ENQUIRY ON ISD ROAMING	</t>
  </si>
  <si>
    <t>SBM773</t>
  </si>
  <si>
    <t>Customer reported that she is facing a data connectivity issue; the agent said to update her SIM to 4G for better data speed.</t>
  </si>
  <si>
    <t>SBM202</t>
  </si>
  <si>
    <t>Not used apology words</t>
  </si>
  <si>
    <t>The customer called for data connectivity related issue .The advisor inform check the adress and call back for registering acomplaint .</t>
  </si>
  <si>
    <t>No apology words used.</t>
  </si>
  <si>
    <t>The customer called for network signal regarding issue ,the Advisor inform check the full address and call back for registering a complaint .</t>
  </si>
  <si>
    <t>WEAK SIGNAL</t>
  </si>
  <si>
    <t>SBM625</t>
  </si>
  <si>
    <t xml:space="preserve"> Used Approved Question/Polite language </t>
  </si>
  <si>
    <t>Customer called and said she need PUK code, agent verified customer details and provided PUK code</t>
  </si>
  <si>
    <t xml:space="preserve"> Good Call
</t>
  </si>
  <si>
    <t xml:space="preserve"> The customer called for network signal regarding issue , call and data not connected properly signal disconnected  issue , The advisor taken a complaint and given proper information.</t>
  </si>
  <si>
    <t>Tagging not accurate, lack of activeness on call</t>
  </si>
  <si>
    <t>The customer called for new port sim not activated regarding issue , The advisors informed wait for some time the sim will be activated.</t>
  </si>
  <si>
    <t xml:space="preserve">NEW SIM ACTIVATION PROCESS	</t>
  </si>
  <si>
    <t>VPS214</t>
  </si>
  <si>
    <t>Customer reported that customer SIM was lost and needed to block his SIM</t>
  </si>
  <si>
    <t>SIM BLOCK</t>
  </si>
  <si>
    <t>SIM BLOCKDUE TO SIM LOST</t>
  </si>
  <si>
    <t>VPS239</t>
  </si>
  <si>
    <t>No script adherence , tagging not accurate</t>
  </si>
  <si>
    <t>The customer called for call not connected and recharge plan regarding details, The advisor given proper information sim not active state need to recharge plan details</t>
  </si>
  <si>
    <t xml:space="preserve"> Not used script adherence, Lack of energy ,empathy missing</t>
  </si>
  <si>
    <t>The customer called for data connectivity regarding issue .The advisor given proper information to  set the network settings</t>
  </si>
  <si>
    <t xml:space="preserve">DATA BALANCE NOT AVAILABLE	</t>
  </si>
  <si>
    <t>SBM524</t>
  </si>
  <si>
    <t>Not used apology words, No further assistance</t>
  </si>
  <si>
    <t>The customer called for network signal regarding issue , The advisor probing properly and taken complaint and given proper information.</t>
  </si>
  <si>
    <t>VPS213</t>
  </si>
  <si>
    <t xml:space="preserve"> Gave apology/reassurance/appropriate response,  Explained hold time or Dead air </t>
  </si>
  <si>
    <t xml:space="preserve">Customer called and said he had been facing a VoLTE issue. The agent said she would be activating the VoLTE service, and it would be activated within24 hours. </t>
  </si>
  <si>
    <t>GOOD CALL</t>
  </si>
  <si>
    <t>The customer called for new sim not activated regarding issue .The advisor check and given proper information recharge not updated need to update the recharge the sim will be activated.</t>
  </si>
  <si>
    <t xml:space="preserve">UNIFIED SIM	</t>
  </si>
  <si>
    <t xml:space="preserve"> Explained hold time or Dead air </t>
  </si>
  <si>
    <t>Customer called and inquired about recharge plan details related</t>
  </si>
  <si>
    <t>SBM736</t>
  </si>
  <si>
    <t xml:space="preserve">Opening &amp; Introduction â€“ Done 
Customer details captured â€“Done
Customer concern -Customer ask wifi issue
Resolution shared - Advisor complete probing to customers as per call complaint booking
Closing as per standard -  Done.
AOI-empathy missing,sr number not provide
</t>
  </si>
  <si>
    <t>AOI-aplology missing,sr number not provide</t>
  </si>
  <si>
    <t xml:space="preserve">Opening &amp; Introduction â€“ Done 
Customer details captured â€“Done
Customer concern -Customer ask wifi issue
Resolution shared - Advisor complete probing to customers as per call complaint booking
Closing as per standard -  Done.
AOI-aplology missing,sr number not provide
</t>
  </si>
  <si>
    <t>Dead air, empathy &amp; apology missing</t>
  </si>
  <si>
    <t>Customer having  weak signal and data connectivity issue. Advisor complete probing to customer as per call and register complaint for weak signal issue.</t>
  </si>
  <si>
    <t xml:space="preserve"> POOR NETWORK COVERAGE</t>
  </si>
  <si>
    <t>Correct greeting not used, apology missing</t>
  </si>
  <si>
    <t>Customer having data connectivity issue. Advisor complete probing to customer as per call and register complaint for data issue.</t>
  </si>
  <si>
    <t>NO INTERNET ACCESS</t>
  </si>
  <si>
    <t>Empathy &amp; apology missing, complete probing not done</t>
  </si>
  <si>
    <t>Empathy missing, correct information not shared</t>
  </si>
  <si>
    <t>Customer having 4G upgrade regarding details. Advisor complete probing to customer as per call and given data activation details ,</t>
  </si>
  <si>
    <t xml:space="preserve"> DATA ACTIVATION</t>
  </si>
  <si>
    <t>Casual Talk, Fillings</t>
  </si>
  <si>
    <t xml:space="preserve">AOI-proper call
</t>
  </si>
  <si>
    <t xml:space="preserve">Opening &amp; Introduction â€“ Done 
Customer details captured â€“Done
Customer concern -Customer ask wifi issue
Resolution shared - Advisor complete probing to customers as per call complaint booking
Closing as per standard -  Done.
AOI-proper call
</t>
  </si>
  <si>
    <t>Wow Call</t>
  </si>
  <si>
    <t>VPS217</t>
  </si>
  <si>
    <t>Dead air, empathy &amp; apology missing, complete probing not done</t>
  </si>
  <si>
    <t>VPS215</t>
  </si>
  <si>
    <t>empathy missing, dead air, fillers</t>
  </si>
  <si>
    <t xml:space="preserve">Customer having recharge conversion request. Advisor complete probing to customer as per call and register request for STV 198 to PV 199 pack conversion.
</t>
  </si>
  <si>
    <t>WRONG VOUCHER</t>
  </si>
  <si>
    <t>CONVERSION OF PACK</t>
  </si>
  <si>
    <t>AOI-empathy missing</t>
  </si>
  <si>
    <t xml:space="preserve">Opening &amp; Introduction â€“ Done 
Customer details captured â€“Done
Customer concern -Customer ask wifi issue
Resolution shared - Advisor complete probing to customers as per call complaint booking
Closing as per standard -  Done.
AOI-empathy missing
</t>
  </si>
  <si>
    <t>VPS209</t>
  </si>
  <si>
    <t>fillers used, complete probing not done</t>
  </si>
  <si>
    <t>Customer having volte and call connectivity issue. Advisor complete probing to customer as per call and given proper details ,</t>
  </si>
  <si>
    <t>Apology missing</t>
  </si>
  <si>
    <t>Customer having  weak signal and data connectivity issue. Advisor complete probing to customer as per call and collect information regarding port out.</t>
  </si>
  <si>
    <t>SBM711</t>
  </si>
  <si>
    <t xml:space="preserve"> REQUESTED TO CALLBACK</t>
  </si>
  <si>
    <t xml:space="preserve">AOI-aplology missing,
</t>
  </si>
  <si>
    <t xml:space="preserve">Opening &amp; Introduction â€“ Done 
Customer details captured â€“Done
Customer concern -Customer ask wifi issue
Resolution shared - Advisor complete probing to customers as per call plan details
Closing as per standard -  Done.
AOI-aplology missing,
</t>
  </si>
  <si>
    <t>AOI-probing not done</t>
  </si>
  <si>
    <t xml:space="preserve">Opening &amp; Introduction â€“ Done 
Customer details captured â€“Done
Customer concern -Customer ask sim details
Resolution shared - Advisor complete probing to customers as per call 18001801503
Closing as per standard -  Done.
AOI-probing not done
</t>
  </si>
  <si>
    <t xml:space="preserve">Opening &amp; Introduction â€“ Done 
Customer details captured â€“Done
Customer concern -Customer ask bb details
Resolution shared - Advisor complete probing to customers as per call bill payed
Closing as per standard -  Done.
AOI-empathy missing
</t>
  </si>
  <si>
    <t xml:space="preserve">Opening &amp; Introduction â€“ Done 
Customer details captured â€“Done
Customer concern -Customer ask sim details
Resolution shared - Advisor complete probing to customers as per call 18001801503
Closing as per standard -  Done.
AOI-empathy missing,
</t>
  </si>
  <si>
    <t>proper call</t>
  </si>
  <si>
    <t>proper call ,empathy missing</t>
  </si>
  <si>
    <t>WEAK SIGNAL kl</t>
  </si>
  <si>
    <t>probing did not complet</t>
  </si>
  <si>
    <t>apology missing,probing not done</t>
  </si>
  <si>
    <t>SBM583</t>
  </si>
  <si>
    <t>dead air</t>
  </si>
  <si>
    <t>SBM678</t>
  </si>
  <si>
    <t>probing not done,empathy missing</t>
  </si>
  <si>
    <t>PORT OUT ENQUIRY</t>
  </si>
  <si>
    <t>ENQUIRY ON PORT PROCESS</t>
  </si>
  <si>
    <t>SBM710</t>
  </si>
  <si>
    <t>empathy missung</t>
  </si>
  <si>
    <t>probing not done</t>
  </si>
  <si>
    <t>APPLICATION DOWN</t>
  </si>
  <si>
    <t>CCM LINK DOWN</t>
  </si>
  <si>
    <t>SBM720</t>
  </si>
  <si>
    <t>UNABLE TO RECEIVE I/C CALLS</t>
  </si>
  <si>
    <t>SBM739</t>
  </si>
  <si>
    <t>empathy missing, probing not done</t>
  </si>
  <si>
    <t>Not used apology words, fumbling observed, SR number not provided</t>
  </si>
  <si>
    <t>The customer called for FTTH complaint status regarding details gov site only not able to access , The advisor check the details and taken a complaint and given proper information.</t>
  </si>
  <si>
    <t xml:space="preserve">No further assistance </t>
  </si>
  <si>
    <t>The customer called for new connection regarding details , The advisor probing properly and give proper information about theÂ Â installation and charges details.</t>
  </si>
  <si>
    <t>LEAD - ENQUIRY ABOUT NEW FTTH OR LANDLINE CONNECTION</t>
  </si>
  <si>
    <t>The customer called for payment not updated connection not reconnected regarding issue . The advisor check the details and informed payment already updated ,but connection not activated so connected nearby csc</t>
  </si>
  <si>
    <t xml:space="preserve">Inquiry Only </t>
  </si>
  <si>
    <t>VPS182</t>
  </si>
  <si>
    <t>The customer customer called for landline complaint not resolved,the advisor check details and informed complaint already raised will be resolved soon will escalate the issue .Â Â </t>
  </si>
  <si>
    <t>VPS183</t>
  </si>
  <si>
    <t>The customer called for bb fiber not working regarding issue. The advisor check the details and taken a complaint</t>
  </si>
  <si>
    <t>AULT - NO INTERNET CONNECTIVITY</t>
  </si>
  <si>
    <t>The customer called for fiber payment completed but connection not activated regarding issue ,The advisor check the details and given proper information connection currently active state wait for sometimes maximum 24 hours issue will be resolved.</t>
  </si>
  <si>
    <t>The customerÂ called for connection not working properly regarding issue , The advisor already taken a complaint and given proper information .</t>
  </si>
  <si>
    <t>SBM264</t>
  </si>
  <si>
    <t>The customer called for landline not working regarding details.The advisor given proper information connection currently in copper connection need to contact near by csc.</t>
  </si>
  <si>
    <t>The customer called for BB not getting connected after complete the payment.The advisor delay payment updated within 24 hours service will be reconnected.</t>
  </si>
  <si>
    <t xml:space="preserve">Not used apology words, No further assistance </t>
  </si>
  <si>
    <t>The customer called for landline tele phone not working regarding issue . The advisor taken a complaint and given proper information.</t>
  </si>
  <si>
    <t xml:space="preserve"> FAULT - NO INTERNET CONNECTIVITY</t>
  </si>
  <si>
    <t>slang observed, Not used apology words, SR number not provided.</t>
  </si>
  <si>
    <t xml:space="preserve">The customer called for data not connected regarding issue , The Advisor given proper information and taken a complaint </t>
  </si>
  <si>
    <t xml:space="preserve">Inquiry only </t>
  </si>
  <si>
    <t>Complete probing not done, fillers, further assistance not done</t>
  </si>
  <si>
    <t>Customer having call connectivity issue. Advisor complete probing to customer as per call and register complaint for weak signal issue ,</t>
  </si>
  <si>
    <t>VPS191</t>
  </si>
  <si>
    <t>Customer having coverage &amp; OTP delay issue. Advisor complete probing to customer as per call and register complaint for weak signal issue ,</t>
  </si>
  <si>
    <t xml:space="preserve">Fillers used, </t>
  </si>
  <si>
    <t>VPS210</t>
  </si>
  <si>
    <t>Dead air, empathy missing, complete probing no done</t>
  </si>
  <si>
    <t>Customer having data connectivity issue. Advisor complete probing to customer as per call and register complaint for data issue ,</t>
  </si>
  <si>
    <t>Complete probing not done, dead air</t>
  </si>
  <si>
    <t>Casual Talk</t>
  </si>
  <si>
    <t>Complete probing not done, empathy &amp; apology missing, interruption</t>
  </si>
  <si>
    <t>Customer having call connectivity issue. Advisor complete probing to customer as per call and given try to use preferred network type as 2G/3G.</t>
  </si>
  <si>
    <t>Apology missing, complete probing not done, no convincing skill</t>
  </si>
  <si>
    <t xml:space="preserve"> NOT AGREED</t>
  </si>
  <si>
    <t>Correct greeting not used, empathy &amp; apology missing, no convincing skill</t>
  </si>
  <si>
    <t>Customer having network connectivity issue. Advisor complete probing to customer as per call and collect information regarding port out ,</t>
  </si>
  <si>
    <t xml:space="preserve">
opening not proper, name not confirmed, Not used apology words</t>
  </si>
  <si>
    <t>The advisor called the customer tried to retained the customer , but customer facing network coverage issue and 5G not available , required 5G related issue.</t>
  </si>
  <si>
    <t xml:space="preserve">COMPLETE CALL	</t>
  </si>
  <si>
    <t xml:space="preserve">NOT AGREED	</t>
  </si>
  <si>
    <t>opening not proper , Not properly retained the customer.</t>
  </si>
  <si>
    <t>The advisor called the customer not tried to retained the customer properly, The customer facing network signal regarding issue data and call not getting properly,</t>
  </si>
  <si>
    <t>Tried to retained the customer .</t>
  </si>
  <si>
    <t>The advisor called the customer tried to retained the customer , the customer facing network signal regarding issue so the advisor tring to taken a complaint.</t>
  </si>
  <si>
    <t xml:space="preserve"> SBM710</t>
  </si>
  <si>
    <t xml:space="preserve"> tried to retained the customer</t>
  </si>
  <si>
    <t xml:space="preserve">The customer facing no network regarding issue , The advisor tried to retained the customer and taken a complaint </t>
  </si>
  <si>
    <t xml:space="preserve"> 
Tried to retained the customer, Not used apology words</t>
  </si>
  <si>
    <t xml:space="preserve">
The customer facing network and 4G ,5Gservice not available regarding issue , The advisor  tried to retained the customer .</t>
  </si>
  <si>
    <t xml:space="preserve"> lack of active on the call</t>
  </si>
  <si>
    <t xml:space="preserve">
The customer facing no network regarding issue , The advisor tried to retained the customer and taken a complaint </t>
  </si>
  <si>
    <t xml:space="preserve"> Lack of active listening skill, Not tried to retained the customer
</t>
  </si>
  <si>
    <t xml:space="preserve">
Not tried to retained the customer (didn't tring to raised the complaint.), Probing not done properly, Not used apology words </t>
  </si>
  <si>
    <t xml:space="preserve">
 The  advisor called the customer for retaining , the customer already port to other network due to tower issue, the advisor didn't tring to raised the complaint.</t>
  </si>
  <si>
    <t xml:space="preserve">COMPLETE CALL	 </t>
  </si>
  <si>
    <t xml:space="preserve">
complete probing not done, closing script not followed</t>
  </si>
  <si>
    <t>The  advisor called the customer for retaining, the customer already port to other network , the advisor didn't tring to raised the complaint.</t>
  </si>
  <si>
    <t xml:space="preserve">MNP OUTCALLING	</t>
  </si>
  <si>
    <t xml:space="preserve"> Not proper suggest the bsnl upheld benefits.</t>
  </si>
  <si>
    <t>The  advisor called the customer for retaining, The customer port out the sim for not able to use the sim  in another handset . The advisor suggest to portin in furture .</t>
  </si>
  <si>
    <t>MNP OUTCALLING</t>
  </si>
  <si>
    <t xml:space="preserve">SBM775 </t>
  </si>
  <si>
    <t xml:space="preserve">
Tried to retained the customer </t>
  </si>
  <si>
    <t xml:space="preserve">Not used apology words, Not followed proper script </t>
  </si>
  <si>
    <t xml:space="preserve"> COMPLETE CALL	 </t>
  </si>
  <si>
    <t xml:space="preserve"> Tried to retained the customer </t>
  </si>
  <si>
    <t>The advisor called the customer tried to retained the customer , the customer facing network signal regarding issue so the advisor trying to taken a complaint.</t>
  </si>
  <si>
    <t xml:space="preserve"> NOT AGREED </t>
  </si>
  <si>
    <t>The  advisor called the customer for retaining, The customer portout the sim for not able to use the sim  in another handset . The advisor trying to retain properly.</t>
  </si>
  <si>
    <t xml:space="preserve">NOT AGREED </t>
  </si>
  <si>
    <t xml:space="preserve">  Lack of active on the call</t>
  </si>
  <si>
    <t>The advisor called the customer tried to retained the customer properly, the customer facing network signal regarding issue so the customer  already taken a sim.</t>
  </si>
  <si>
    <t>SBM422</t>
  </si>
  <si>
    <t>The customer called for recharge confirmation regarding details , the advisor probing properly and informed both recharge are merged</t>
  </si>
  <si>
    <t>SBM481</t>
  </si>
  <si>
    <t>The customer called for network signal regarding issue , The advisor taken a complaint and given proper information .</t>
  </si>
  <si>
    <t>SBM772</t>
  </si>
  <si>
    <t>Not used apology words, Long hold</t>
  </si>
  <si>
    <t xml:space="preserve">The customer called for call not connected regarding issue , The advisor check  the details and given proper information call balance not available </t>
  </si>
  <si>
    <t>SBM775</t>
  </si>
  <si>
    <t xml:space="preserve"> Not used apology words, No further assistance </t>
  </si>
  <si>
    <t>The customer called for call connectivity related issue in roaming (KL), The advisor  probing properly and given proper information to set the manual network settings</t>
  </si>
  <si>
    <t>SBM901</t>
  </si>
  <si>
    <t xml:space="preserve"> Interruption, Lack of active listening skills</t>
  </si>
  <si>
    <t>The customer called for call connectivity related issue , The advisor check and given proper information  need to topup then plan will be activated.</t>
  </si>
  <si>
    <t xml:space="preserve">ANY OTHER RECHARGE ISSUE	</t>
  </si>
  <si>
    <t>SBM913</t>
  </si>
  <si>
    <t xml:space="preserve"> Didn't Verified the Purpose of the caller (Paraphrase)</t>
  </si>
  <si>
    <t>The customer called for validity and data slow connectivity related details. The advisor check and given proper information data balance not available</t>
  </si>
  <si>
    <t>SBM946</t>
  </si>
  <si>
    <t xml:space="preserve"> Dead air</t>
  </si>
  <si>
    <t>The customer called for call connectivity issue , The advisor check and given proper information sim side no issue main balance also available , try another handset .</t>
  </si>
  <si>
    <t xml:space="preserve">ENQUIRY ON ISD TARIFF	</t>
  </si>
  <si>
    <t>SBM967</t>
  </si>
  <si>
    <t xml:space="preserve"> No active listening skill</t>
  </si>
  <si>
    <t>The customer called for data connectivity related issue , The advisor given proper information to set the APN settings.</t>
  </si>
  <si>
    <t>SBM990</t>
  </si>
  <si>
    <t xml:space="preserve">The customer called for data not connected related issue , The agent informed data balance currently not available given proper information </t>
  </si>
  <si>
    <t>VPS130</t>
  </si>
  <si>
    <t xml:space="preserve"> Not used empathy and apology words.</t>
  </si>
  <si>
    <t>The customer called for  data connectivity related details. The advisor check and given proper information data balance available, will activate the data service issue will be resolve soon and previous complaint has already processing .</t>
  </si>
  <si>
    <t>VPS197</t>
  </si>
  <si>
    <t xml:space="preserve">low active listening </t>
  </si>
  <si>
    <t>The customer facing network  signal regarding issue , The advisor check and given proper information to set the manual network settings</t>
  </si>
  <si>
    <t xml:space="preserve">Not provide accurate information,Not Maintained focus on caller's problem
</t>
  </si>
  <si>
    <t>Customer concern -Customer called for network issue.
Resolution shared - Advisor done complete probing to customer as per call.</t>
  </si>
  <si>
    <t>Customer concern -Customer called for sim block.
Resolution shared - Advisor done complete probing to customer as per call</t>
  </si>
  <si>
    <t>Customer concern -Customer called for recharge plan details .
Resolution shared - Advisor done complete probing to customer as per call.</t>
  </si>
  <si>
    <t>Dead air,</t>
  </si>
  <si>
    <t>Customer concern -Customer called for New sim verification.
Resolution shared - Advisor done complete probing to customer as per call.</t>
  </si>
  <si>
    <t>TELE VERIFICATION</t>
  </si>
  <si>
    <t>POSITIVE</t>
  </si>
  <si>
    <t xml:space="preserve">No active listening skill,No empathy,Not Maintained focus on caller's problem
</t>
  </si>
  <si>
    <t>Customer concern -Customer called for recharge done multiple time .
Resolution shared - Advisor done complete probing to customer as per call.</t>
  </si>
  <si>
    <t>Dead air, No further assistance</t>
  </si>
  <si>
    <t>Customer concern -Customer called for Recharge plan details .
Resolution shared - Advisor done complete probing to customer as per call.</t>
  </si>
  <si>
    <t xml:space="preserve">Customer concern -Customer called for PUK CODE details .
Resolution shared - Advisor done complete probing to customer as per call.
</t>
  </si>
  <si>
    <t xml:space="preserve">No apology </t>
  </si>
  <si>
    <t xml:space="preserve">
Customer concern -Customer called for recharge not activated .
Resolution shared - Advisor done complete probing to customer as per call.</t>
  </si>
  <si>
    <t>The customer called for data not connected regarding issue , The advisor check and taken complaint and given proper information.</t>
  </si>
  <si>
    <t xml:space="preserve">FAULT - SLOW INTERNET SPEED </t>
  </si>
  <si>
    <t>Low active listening skill, Not used empathy words</t>
  </si>
  <si>
    <t>The customer called for fiber internet not getting connected, The advisor check and taken a complaint and given proper information .</t>
  </si>
  <si>
    <t xml:space="preserve"> Complaint Registered</t>
  </si>
  <si>
    <t>AOI-did not focus</t>
  </si>
  <si>
    <t>Opening &amp; Introduction â€“ Done 
Customer details captured â€“Done
Customer concern -Customer ask sim details
Resolution shared - Advisor complete probing to customers as per call app call
Closing as per standard -  Done.
AOI-did not focus</t>
  </si>
  <si>
    <t xml:space="preserve"> Slang observed</t>
  </si>
  <si>
    <t>The customer called for Wi-Fi connection not getting regarding issue , The advisor check and given proper information connection status will be updated soon, will escalate the issue in our end</t>
  </si>
  <si>
    <t>Not used apology words , Didn't Gave SR Number</t>
  </si>
  <si>
    <t xml:space="preserve">The customer called for landline phone not working regarding issue, The advisor check and taken complaint and given proper information connection side no issue </t>
  </si>
  <si>
    <t xml:space="preserve">The customer called for data connectivity related issue , The advisor check the details and taken a complaint given proper information </t>
  </si>
  <si>
    <t xml:space="preserve">FAULT - NO INTERNET CONNECTIVITY </t>
  </si>
  <si>
    <t xml:space="preserve"> Not used empathy words</t>
  </si>
  <si>
    <t>The customer called for  sim call drop regarding issue , The advisor given proper information , to contact 1503.</t>
  </si>
  <si>
    <t>amal.babu@visionplusindia.in</t>
  </si>
  <si>
    <t xml:space="preserve">Failed to use empathy </t>
  </si>
  <si>
    <t xml:space="preserve">The customer called and Inquiry about Internet not getting related Issue, agent checked and Information given Properly </t>
  </si>
  <si>
    <t>AOI-tagging not done,apology missing</t>
  </si>
  <si>
    <t xml:space="preserve">Opening &amp; Introduction â€“ Done 
Customer details captured â€“Done
Customer concern -Customer ask net work issue
Resolution shared - Advisor complete probing to customers as per call application down
Closing as per standard -  Done.
AOI-tagging not done,apology missing
</t>
  </si>
  <si>
    <t xml:space="preserve"> APPLICATION DOWN</t>
  </si>
  <si>
    <t xml:space="preserve"> Good Call</t>
  </si>
  <si>
    <t xml:space="preserve">The customer called and inquiry about Voice service is not working related Issue, agent checked and Information given Properly  </t>
  </si>
  <si>
    <t xml:space="preserve">Opening &amp; Introduction â€“ Done 
Customer details captured â€“Done
Customer concern -Customer ask net work issue
Resolution shared - Advisor complete probing to customers as per call setting provide
Closing as per standard -  Done.
AOI-empathy missing
</t>
  </si>
  <si>
    <t xml:space="preserve">Incomplete Information </t>
  </si>
  <si>
    <t xml:space="preserve">The customer called and Inquiry about data usage details, agent provided Incomplete Information </t>
  </si>
  <si>
    <t>AOI-GOODCALL</t>
  </si>
  <si>
    <t xml:space="preserve">Opening &amp; Introduction â€“ Done 
Customer details captured â€“Done
Customer concern -Customer ask DATA DETAILS
Resolution shared - Advisor complete probing to customers as per call DATA BALANCE CHECK
Closing as per standard -  Done.
AOI-GOODCALL
</t>
  </si>
  <si>
    <t>Not used apology words, SR number not provided</t>
  </si>
  <si>
    <t xml:space="preserve">The customer called for data connectivity related issue , The advisor taken a complaint  and given proper information </t>
  </si>
  <si>
    <t>Complete probing not done, dead air, no convincing skill</t>
  </si>
  <si>
    <t xml:space="preserve">Opening &amp; Introduction â€“ Done 
Customer details captured â€“Done
Customer concern -Customer ask plan details
Resolution shared - Advisor complete probing to customers as per call plan 147
Closing as per standard -  Done.
AOI-empathy missing,probing not done
</t>
  </si>
  <si>
    <t xml:space="preserve">Dead air  on the call and Failed to ask empathy words </t>
  </si>
  <si>
    <t xml:space="preserve">The customer called and Inquiry about payment related Issue, agent checked and explained the Billing details </t>
  </si>
  <si>
    <t>INVOICE - REPORT PAYMENT FAILURE</t>
  </si>
  <si>
    <t>The customer called for fiber plan details , The advisor given proper information about the plan details</t>
  </si>
  <si>
    <t>The customer facing landline not working regarding issue , The advisor given proper information and taken a complaint.</t>
  </si>
  <si>
    <t xml:space="preserve">FAULT - LANDLINE IS DEAD OR NOT WORKING </t>
  </si>
  <si>
    <t>Failed to ask empathy and Script adherence</t>
  </si>
  <si>
    <t xml:space="preserve">The customer called and Inquiry about Internet not getting related Issue, Agent checked and Book a complaint </t>
  </si>
  <si>
    <t>The customer called and enquiry about the landline bill amount regarding details, The advisor given proper information new connection bill will not generated currently after only we will able to check and provide that status of bill amount .</t>
  </si>
  <si>
    <t>AOI-correct tagging not done</t>
  </si>
  <si>
    <t xml:space="preserve">Opening &amp; Introduction â€“ Done 
Customer details captured â€“Done
Customer concern -Customer ask data issue
Resolution shared - Advisor complete probing to customers as per call setting provide
Closing as per standard -  Done.
AOI-correct tagging not done
</t>
  </si>
  <si>
    <t xml:space="preserve">The customer called for bb internet not working regarding details , The advisor probing properly and taken a complaint and given proper information </t>
  </si>
  <si>
    <t>Wow Call, Good Call</t>
  </si>
  <si>
    <t xml:space="preserve">Opening &amp; Introduction â€“ Done 
Customer details captured â€“Done
Customer concern -Customer ask net work  issue
Resolution shared - Advisor complete probing to customers as per call application down
Closing as per standard -  Done.
AOI-correct tagging not done
</t>
  </si>
  <si>
    <t xml:space="preserve">Opening &amp; Introduction â€“ Done 
Customer details captured â€“Done
Customer concern -Customer ask port issue
Resolution shared - Advisor complete probing to customers as per call port out enquire
Closing as per standard -  Done.
AOI-did not focus
</t>
  </si>
  <si>
    <t xml:space="preserve"> UNABLE TO SEND PORT SMS</t>
  </si>
  <si>
    <t>Empathy &amp; apology missing, interruption, complete probing not done</t>
  </si>
  <si>
    <t>Empathy missing, wrong tag</t>
  </si>
  <si>
    <t>Customer having recharge conversion regarding enquiry. Advisor complete probing to customer as per call and given call back details.</t>
  </si>
  <si>
    <t>AOI-did not focus,empathy missing</t>
  </si>
  <si>
    <t xml:space="preserve">Opening &amp; Introduction â€“ Done 
Customer details captured â€“Done
Customer concern -Customer volte issue
Resolution shared - Advisor complete probing to customers as per call call disconnceted
Closing as per standard -  Done.
AOI-did not focus,empathy missing
</t>
  </si>
  <si>
    <t>Empathy missing, correct greeting not used, delay opening</t>
  </si>
  <si>
    <t>Customer having SIM activation related enquiry. Advisor complete probing to customer as per call and given FRC pending details ,</t>
  </si>
  <si>
    <t>NEW CUSTOMER</t>
  </si>
  <si>
    <t>FRC NOT UPDATED</t>
  </si>
  <si>
    <t>Delay opening, empathy &amp; apology missing</t>
  </si>
  <si>
    <t>Customer having data connectivity issue. Advisor complete probing to customer as per call and given data balance not available detail ,</t>
  </si>
  <si>
    <t>DATA BALANCE NOT AVAILABLE</t>
  </si>
  <si>
    <t>Apology missing, complete probing not done</t>
  </si>
  <si>
    <t>Customer having 5G connectivity issue. Advisor complete probing to customer as per call and collect port out reason,</t>
  </si>
  <si>
    <t xml:space="preserve">The customer called for sim regarding issue , The advisor probing properly and given proper information </t>
  </si>
  <si>
    <t>OTHER(REMARK)</t>
  </si>
  <si>
    <t>AOI-did not focus,probing not done</t>
  </si>
  <si>
    <t xml:space="preserve">Opening &amp; Introduction â€“ Done 
Customer details captured â€“Done
Customer concern -Customer data issue
Resolution shared - Advisor complete probing to customers as per call setting check
Closing as per standard -  Done.
AOI-did not focus,probing not done
</t>
  </si>
  <si>
    <t>VPS204</t>
  </si>
  <si>
    <t>AOI-probing not done,empathy missing</t>
  </si>
  <si>
    <t xml:space="preserve">Opening &amp; Introduction â€“ Done 
Customer details captured â€“Done
Customer concern -Customer sim details
Resolution shared - Advisor complete probing to customers as per call plan147
Closing as per standard -  Done.
AOI-probing not done,empathy missing
</t>
  </si>
  <si>
    <t xml:space="preserve">The customer called foe landline not getting properly regarding issue , The advisor taken complaint and given proper information </t>
  </si>
  <si>
    <t xml:space="preserve"> SR number not given </t>
  </si>
  <si>
    <t>The customer called for internet not working related issue , The advisor taken complaint given proper information</t>
  </si>
  <si>
    <t xml:space="preserve">  
GOOD CALL</t>
  </si>
  <si>
    <t xml:space="preserve"> The customer called for bb Internet not working regarding issue , The advisor taken complaint and given proper information </t>
  </si>
  <si>
    <t xml:space="preserve"> Low active on call, Not used apology words, Dead air,</t>
  </si>
  <si>
    <t xml:space="preserve">The customer facing internet connectivity related issue , The advisor taken complaint and given proper information </t>
  </si>
  <si>
    <t xml:space="preserve">Not used apology missing </t>
  </si>
  <si>
    <t>The customer called for data not connected related issue , The advisor taken complaint and given proper information .</t>
  </si>
  <si>
    <t xml:space="preserve">Voice modulation not proper, interruption, Lack of active listening, SR number not given </t>
  </si>
  <si>
    <t xml:space="preserve">The customer called for fiber internet connectivity related issue , The advisor suggest to re-insert the connection and also  taken </t>
  </si>
  <si>
    <t xml:space="preserve">Used confidence &amp; empathy Wordings, Gave apology/reassurance/appropriate response, Explained hold time or Dead air
</t>
  </si>
  <si>
    <t>Customer is facing a network issue in his location. The agent said he will be taking a complaint to rectify his issue, but the customer does not agree to continue with BSNL.</t>
  </si>
  <si>
    <t>Not  used apology words</t>
  </si>
  <si>
    <t>The customer called for bill payment regarding details, The advisor check and given proper information bill  not updated currently wait for 2 days will be updated</t>
  </si>
  <si>
    <t>No further assistance , SR Number not provided</t>
  </si>
  <si>
    <t>The customer facing LOS  blinking issue , The advisor  taken complaint and given proper information</t>
  </si>
  <si>
    <t>Wrong information, Dead air, Not used empathy word, WRONG INFORMATION , No  further assistance, Did n't TAG ACCURATELY</t>
  </si>
  <si>
    <t>The customer  facing incoming sms not received regarding issue , The advisor given wrong information .</t>
  </si>
  <si>
    <t xml:space="preserve">SMS SERVICES	</t>
  </si>
  <si>
    <t xml:space="preserve">UNABLE TO SEND SMS	</t>
  </si>
  <si>
    <t xml:space="preserve">No active listening , High rate of speech, probing not done </t>
  </si>
  <si>
    <t xml:space="preserve">The customer  called for port sim not active regarding details, The Advisor check and given information FRC not updated need to update the FRC. </t>
  </si>
  <si>
    <t>Not used empathy Words</t>
  </si>
  <si>
    <t xml:space="preserve">The customer called for sim disconnected sms received regarding details, The advisor given proper information sim side no issue , contact nearby csc for confirmation </t>
  </si>
  <si>
    <t xml:space="preserve">SIM REPLACEMENT PROCESS	</t>
  </si>
  <si>
    <t>Long    hold, Probing not not completely</t>
  </si>
  <si>
    <t>The customer called for wrong  recharge regarding details, The advisor taken a complaint for reccharge conversion request</t>
  </si>
  <si>
    <t xml:space="preserve">TRANSFER/RESUBSCRIPTION	</t>
  </si>
  <si>
    <t xml:space="preserve">CONVERSION TO OTHER PLAN OR STV	</t>
  </si>
  <si>
    <t>The customer called for network signal regarding issue , The advisor given proper information to set the network settings</t>
  </si>
  <si>
    <t>Not used empathy words</t>
  </si>
  <si>
    <t>The customer called for recharge not updated regarding issue .The advisor check and given proper information recharge available, sim side no issues</t>
  </si>
  <si>
    <t>The customer called for data not connected regarding issue , The advisor check the details and informed data already active state , informed set the manual network settings, but incorrectly inform set the APN is bsnl GPRS</t>
  </si>
  <si>
    <t>Not used apology words, Lack of confidence</t>
  </si>
  <si>
    <t>The customer facing data connectivity related issue , The advisor given  proper information to try another handset, else try to set the network settings</t>
  </si>
  <si>
    <t>Not used empathy and apology words missing , Low listening skill, No further assistance</t>
  </si>
  <si>
    <t>The customer called for not able to send SMS regarding issue , The advisor check and given proper information sim side no issue .</t>
  </si>
  <si>
    <t xml:space="preserve">UNABLE TO RECEIVE SMS	</t>
  </si>
  <si>
    <t xml:space="preserve">Opening &amp; Introduction â€“ Done 
Customer details captured â€“Done
Customer concern -Customer wifi issue
Resolution shared - Advisor complete probing to customers as per call complaint booking
Closing as per standard -  Done.
AOI-empathy missing
</t>
  </si>
  <si>
    <t xml:space="preserve">Opening &amp; Introduction â€“ Done 
Customer details captured â€“Done
Customer concern -Customer fiber issue
Resolution shared - Advisor complete probing to customers as per call complaint booking
Closing as per standard -  Done.
AOI-empathy missing,sr number not provide
</t>
  </si>
  <si>
    <t>AOI-greeting not done</t>
  </si>
  <si>
    <t>Opening &amp; Introduction â€“ Done 
Customer details captured â€“Done
Customer concern -Customer landline new connection
Resolution shared - Advisor complete probing to customers as per call whats up msg share
Closing as per standard -  Done.
AOI-greeting not done</t>
  </si>
  <si>
    <t xml:space="preserve">  Opening not proper(OB script)</t>
  </si>
  <si>
    <t xml:space="preserve">The customer called for  data balance checking USSD code regarding details , The advisor given proper information </t>
  </si>
  <si>
    <t xml:space="preserve">USSD CODES RELATED	</t>
  </si>
  <si>
    <t>AOI-empathy missing,apology missing</t>
  </si>
  <si>
    <t>Opening &amp; Introduction â€“ Done 
Customer details captured â€“Done
Customer concern -Customer landline issue
Resolution shared - Advisor complete probing to customers as per call complaint booking
Closing as per standard -  Done.
AOI-empathy missing,apology missing</t>
  </si>
  <si>
    <t>The advisor contact the pre-Lead customer to collect the address details, The customer given proper information .</t>
  </si>
  <si>
    <t xml:space="preserve">AGREED	</t>
  </si>
  <si>
    <t xml:space="preserve">LEAD CONVERTED	</t>
  </si>
  <si>
    <t xml:space="preserve"> GOOD CALL</t>
  </si>
  <si>
    <t xml:space="preserve">The advisor contact the customer and collect the adress details, The advisor provide the address details </t>
  </si>
  <si>
    <t>Pre-Lead</t>
  </si>
  <si>
    <t xml:space="preserve"> good call</t>
  </si>
  <si>
    <t xml:space="preserve">
The advisor contact the customer and collect the adress details, The advisor provide the address details </t>
  </si>
  <si>
    <t>PRELEAD</t>
  </si>
  <si>
    <t>Opening &amp; Introduction â€“ Done 
Customer details captured â€“Done
Customer concern -Customer landline issue
Resolution shared - Advisor complete probing to customers as per call application down
Closing as per standard -  Done.
AOI-greeting not done</t>
  </si>
  <si>
    <t xml:space="preserve"> </t>
  </si>
  <si>
    <t>The Advisor contact the customer for prelead details updation ,but customer need to know thw offer details so the advisor provide the cc helpdisk number .</t>
  </si>
  <si>
    <t xml:space="preserve"> 
The advisor contacted the client and collect the address details, the customer who has given the address details</t>
  </si>
  <si>
    <t>prelead</t>
  </si>
  <si>
    <t>Opening &amp; Introduction â€“ Done 
Customer details captured â€“Done
Customer concern -Customer landline issue
Resolution shared - Advisor complete probing to customers as per call inactive
Closing as per standard -  Done.
AOI-empathy missing</t>
  </si>
  <si>
    <t xml:space="preserve"> low active listening </t>
  </si>
  <si>
    <t>The advisor contacted the client and collect the address details, the customer who has given the address details</t>
  </si>
  <si>
    <t>Opening &amp; Introduction â€“ Done 
Customer details captured â€“Done
Customer concern -Customer landline issue
Resolution shared - Advisor complete probing to customers as per call complaint booking
Closing as per standard -  Done.
AOI-empathy missing,sr number not provide</t>
  </si>
  <si>
    <t>AOI-apology missing,</t>
  </si>
  <si>
    <t>Opening &amp; Introduction â€“ Done 
Customer details captured â€“Done
Customer concern -Customer landline issue
Resolution shared - Advisor complete probing to customers as per call complaint booking
Closing as per standard -  Done.
AOI-apology missing,</t>
  </si>
  <si>
    <t xml:space="preserve">voice modulation not much to retain the customer </t>
  </si>
  <si>
    <t>The agent contact the MNP customer for retain the customer , The customer facing network regarding issue , not will to continue(voice modulation not much to retain the customer )</t>
  </si>
  <si>
    <t xml:space="preserve">Opening &amp; Introduction â€“ Done 
Customer details captured â€“Done
Customer concern -Customer fiber issue
Resolution shared - Advisor complete probing to customers as per call complaint booking
Closing as per standard -  Done.
AOI-apology missing,
</t>
  </si>
  <si>
    <t xml:space="preserve">Agent contacts MNP customer for customer retention, regarding network issue facing customer, does not want to proceed because the issue on the other states </t>
  </si>
  <si>
    <t>Opening &amp; Introduction â€“ Done 
Customer details captured â€“Done
Customer concern -Customer sim details
Resolution shared - Advisor complete probing to customers as per call 18001801503
Closing as per standard -  Done.
AOI-empathy missing,</t>
  </si>
  <si>
    <t xml:space="preserve"> lack of energy on the call</t>
  </si>
  <si>
    <t>Agent contacts MNP customer for customer retention, regarding network issue facing customer, does not want to proceed</t>
  </si>
  <si>
    <t xml:space="preserve">Not used empathy, No active listening skill, No further assistance </t>
  </si>
  <si>
    <t>Customer called and  inquired about Weak signal related issue, Agent checked and given proper information but not followed required quality parameter properly.</t>
  </si>
  <si>
    <t xml:space="preserve">Not used empathy words, Dead air, No further assistance </t>
  </si>
  <si>
    <t>Customer called and  inquired about Weak signal related issue, Agent checked and taken poor coverage related complaint but not followed required quality parameter properly.</t>
  </si>
  <si>
    <t>Customer called and  inquired about Validity and plans related issue, Agent checked and given proper information but not followed required quality parameter properly.</t>
  </si>
  <si>
    <t>Customer called and  inquired about Data connectivity related issue, Agent checked and taken no internet access related complaint properly.</t>
  </si>
  <si>
    <t>Customer called and  inquired about Recharge related issue, Agent checked and given proper information but not followed required quality parameter properly.</t>
  </si>
  <si>
    <t xml:space="preserve">RECHARGE PLAN NOT AVAILABLE	</t>
  </si>
  <si>
    <t>No active listening skill, No further assistance</t>
  </si>
  <si>
    <t>Customer called and  inquired about Data connectivity related issue, Agent checked taken no internet access related complaint. but not followed required quality parameter properly.</t>
  </si>
  <si>
    <t>Not used empathy words, No active listening skill</t>
  </si>
  <si>
    <t>Customer called and  inquired about SIM Validity related issue, Agent checked and given sim validity details but not followed required quality parameter properly.</t>
  </si>
  <si>
    <t>Customer called and  inquired about Weak signal related issue, Agent checked and Poor coverage related complaint. but not followed required quality parameter properly.</t>
  </si>
  <si>
    <t>No futher assistance</t>
  </si>
  <si>
    <t>Not provide proper information.</t>
  </si>
  <si>
    <t>Customer concern -Customer called for unable to use data .
Resolution shared - Advisor done complete probing to customer as per call.</t>
  </si>
  <si>
    <t xml:space="preserve">Dead air,not given accurate information ,no further assistance </t>
  </si>
  <si>
    <t>Customer concern -Customer called for ISD Activation  .
Resolution shared - Advisor done complete probing to customer as per call.</t>
  </si>
  <si>
    <t>ISD ROAMING</t>
  </si>
  <si>
    <t>ISD ACTIVATION</t>
  </si>
  <si>
    <t>Not use empathy and apology,Not given accurate information,</t>
  </si>
  <si>
    <t>Customer concern -Customer called for Advertisement block .
Resolution shared - Advisor done complete probing to customer as per call.</t>
  </si>
  <si>
    <t xml:space="preserve">FULLY ACTIVATION </t>
  </si>
  <si>
    <t>Dead Air</t>
  </si>
  <si>
    <t>Customer concern -Customer called for unable to get SMS .
Resolution shared - Advisor done complete probing to customer as per call.</t>
  </si>
  <si>
    <t>Dead air, No apology</t>
  </si>
  <si>
    <t>Customer concern -Customer called for VOLTE ACTIVSTION .
Resolution shared - Advisor done complete probing to customer as per call.</t>
  </si>
  <si>
    <t>No empathy</t>
  </si>
  <si>
    <t>Customer concern -Customer called for Genaral enquiry about making calls details .
Resolution shared - Advisor done complete probing to customer as per call.</t>
  </si>
  <si>
    <t>CALL CONFERENCE</t>
  </si>
  <si>
    <t>complete probing not done, further assistance not done</t>
  </si>
  <si>
    <t>SLOW DATA SPEED</t>
  </si>
  <si>
    <t xml:space="preserve"> dead air</t>
  </si>
  <si>
    <t>Customer having call connectivity issue. Advisor complete probing to customer as per call and register complaint for call connectivity issue.</t>
  </si>
  <si>
    <t>CALL</t>
  </si>
  <si>
    <t>UNABLE TO MAKE OUTGOING CALLS</t>
  </si>
  <si>
    <t>Empathy &amp; apology missing</t>
  </si>
  <si>
    <t>Customer having call &amp; data connectivity issue. Advisor complete probing to customer as per call and register complaint for weak signal issue</t>
  </si>
  <si>
    <t>Customer having data connectivity issue. Advisor complete probing to customer as per call and register complaint for data issue</t>
  </si>
  <si>
    <t>Empathy missing, probing not done</t>
  </si>
  <si>
    <t>Customer having recharge related information. Advisor complete probing to customer as per call and given PV 199, STV 485 pack details</t>
  </si>
  <si>
    <t>Dead air, probing not done</t>
  </si>
  <si>
    <t>Customer having recharge related enquiry. Advisor complete probing to customer as per call and given PV 197 pack details</t>
  </si>
  <si>
    <t>Apology missing, Complete probing not done</t>
  </si>
  <si>
    <t>Customer having  weak signal and data connectivity issue. Advisor complete probing to customer as per call and register complaint for weak signal issue</t>
  </si>
  <si>
    <t>Call Disconnection, Fillings</t>
  </si>
  <si>
    <t>VPS245</t>
  </si>
  <si>
    <t>AOI-dead air,probing not done</t>
  </si>
  <si>
    <t xml:space="preserve">Opening &amp; Introduction â€“ Done 
Customer details captured â€“Done
Customer concern -Customer ask recharge details
Resolution shared - Advisor complete probing to customers as per call setting provide
Closing as per standard -  Done.
AOI-dead air,probing not done
</t>
  </si>
  <si>
    <t xml:space="preserve">Opening &amp; Introduction â€“ Done 
Customer details captured â€“Done
Customer concern -Customer ask sms details
Resolution shared - Advisor complete probing to customers as per call sms issue
Closing as per standard -  Done.
AOI-empathy missing,dead air
</t>
  </si>
  <si>
    <t xml:space="preserve">Opening &amp; Introduction â€“ Done 
Customer details captured â€“Done
Customer concern -Customer ask data issue
Resolution shared - Advisor complete probing to customers as per call setting provide
Closing as per standard -  Done.
AOI-probing not done
</t>
  </si>
  <si>
    <t xml:space="preserve">AOI-probing not done
</t>
  </si>
  <si>
    <t xml:space="preserve">Opening &amp; Introduction â€“ Done 
Customer details captured â€“Done
Customer concern -Customer ask call issue
Resolution shared - Advisor complete probing to customers as per call dnd act
Closing as per standard -  Done.
AOI-probing not done
</t>
  </si>
  <si>
    <t>PARTIAL ACTIVATION</t>
  </si>
  <si>
    <t xml:space="preserve">Opening &amp; Introduction â€“ Done 
Customer details captured â€“Done
Customer concern -Customer ask call issue
Resolution shared - Advisor complete probing to customers as per call inactive stage
Closing as per standard -  Done.
AOI-empathy missing
</t>
  </si>
  <si>
    <t>The customer called for BB reconnecting regarding details , The advisor givenn proper information to contact 18004444</t>
  </si>
  <si>
    <t xml:space="preserve">ENQUIRY ON BROADBAND AND LANDLINE	</t>
  </si>
  <si>
    <t xml:space="preserve">Opening &amp; Introduction â€“ Done 
Customer details captured â€“Done
Customer concern -Customer ask plan details
Resolution shared - Advisor complete probing to customers as per call plan1999
Closing as per standard -  Done.
AOI-empathy missing
</t>
  </si>
  <si>
    <t xml:space="preserve">AOI-empathy missing
</t>
  </si>
  <si>
    <t xml:space="preserve">Opening &amp; Introduction â€“ Done 
Customer details captured â€“Done
Customer concern -Customer ask sim issue
Resolution shared - Advisor complete probing to customers as per call plan details provide
Closing as per standard -  Done.
AOI-empathy missing
</t>
  </si>
  <si>
    <t xml:space="preserve"> UNABLE TO MAKE O/G AND I/C CALLS</t>
  </si>
  <si>
    <t>The customer called for sim activation regarding details, The advisor verify the details and did not complete the verification because the customer did not give the complete verification details.</t>
  </si>
  <si>
    <t xml:space="preserve">TELE VERIFICATION	</t>
  </si>
  <si>
    <t xml:space="preserve">NEGATIVE	</t>
  </si>
  <si>
    <t xml:space="preserve">Opening &amp; Introduction â€“ Done 
Customer details captured â€“Done
Customer concern -Customer ask call issue
Resolution shared - Advisor complete probing to customers as per call plan 198 only data
Closing as per standard -  Done.
AOI-probing did not complet
</t>
  </si>
  <si>
    <t xml:space="preserve"> Lack of active listening , Not used apology words</t>
  </si>
  <si>
    <t>The customer called for call not connected regarding issue , The advisor given proper information sim side no issues</t>
  </si>
  <si>
    <t xml:space="preserve">AOI-empathy missing,apology missing
</t>
  </si>
  <si>
    <t xml:space="preserve">Opening &amp; Introduction â€“ Done 
Customer details captured â€“Done
Customer concern -Customer ask network issue
Resolution shared - Advisor complete probing to customers as per call complaint booking
Closing as per standard -  Done.
AOI-empathy missing,apology missing
</t>
  </si>
  <si>
    <t>clarity of words missing , Not used empathy words</t>
  </si>
  <si>
    <t>The customer called for network signal disconnected regarding issue , The advisor informed sim side no issue , try to set the preferred network settings</t>
  </si>
  <si>
    <t xml:space="preserve">Opening &amp; Introduction â€“ Done 
Customer details captured â€“Done
Customer concern -Customer ask data  issue
Resolution shared - Advisor complete probing to customers as per call data plan finished
Closing as per standard -  Done.
AOI-empathy missing,
</t>
  </si>
  <si>
    <t xml:space="preserve"> DATA BALANCE NOT AVAILABLE</t>
  </si>
  <si>
    <t>AOI-empathy missing,taluk not done</t>
  </si>
  <si>
    <t xml:space="preserve">Opening &amp; Introduction â€“ Done 
Customer details captured â€“Done
Customer concern -Customer ask sim details
Resolution shared - Advisor complete probing to customers as per call application done
Closing as per standard -  Done.
AOI-empathy missing,taluk not done
</t>
  </si>
  <si>
    <t xml:space="preserve">Opening &amp; Introduction â€“ Done 
Customer details captured â€“Done
Customer concern -Customer ask land line details
Resolution shared - Advisor complete probing to customers as per call bsnl office deails
Closing as per standard -  Done.
AOI-empathy missing,
</t>
  </si>
  <si>
    <t xml:space="preserve">AOI-apology missing
</t>
  </si>
  <si>
    <t xml:space="preserve">Opening &amp; Introduction â€“ Done 
Customer details captured â€“Done
Customer concern -Customer ask bb details
Resolution shared - Advisor complete probing to customers as per call complaint booking
Closing as per standard -  Done.
AOI-apology missing
</t>
  </si>
  <si>
    <t xml:space="preserve">AOI-apology missing,empathy missing,sr number not provide
</t>
  </si>
  <si>
    <t xml:space="preserve">Opening &amp; Introduction â€“ Done 
Customer details captured â€“Done
Customer concern -Customer ask landline details
Resolution shared - Advisor complete probing to customers as per call complaint booking
Closing as per standard -  Done.
AOI-apology missing,empathy missing,sr number not provide
</t>
  </si>
  <si>
    <t>AOI-,empathy missing,greeting not done</t>
  </si>
  <si>
    <t xml:space="preserve">Opening &amp; Introduction â€“ Done 
Customer details captured â€“Done
Customer concern -Customer ask sim details
Resolution shared - Advisor complete probing to customers as per call 18001801503
Closing as per standard -  Done.
AOI-,empathy missing,greeting not done
</t>
  </si>
  <si>
    <t>Lack of active listening, High rate of speech, Not focused on the customerâ€™s actual issue, Wrong choice of words, Incorrect information shared (service availability details),Did not handle the call properly, Interuption</t>
  </si>
  <si>
    <t>The customer called regarding Wi-Fi Calling service. The advisor informed that the service is not available and may be launched within 2 months. The customer also mentioned repeated network issues and multiple complaints. Instead of checking or escalating, the agent advised the customer to contact the BSNL office for faster resolution.(wrong information-fatal call)</t>
  </si>
  <si>
    <t xml:space="preserve">DATA ACTIVATION	</t>
  </si>
  <si>
    <t>Rude, Casual Talk, Interuption</t>
  </si>
  <si>
    <t xml:space="preserve">AOI-,apology missing
</t>
  </si>
  <si>
    <t xml:space="preserve">Opening &amp; Introduction â€“ Done 
Customer details captured â€“Done
Customer concern -Customer ask landline details
Resolution shared - Advisor complete probing to customers as per call complaint booking
Closing as per standard -  Done.
AOI-,apology missing
</t>
  </si>
  <si>
    <t xml:space="preserve">Not use empathy words, Not used apology words, No further assistance </t>
  </si>
  <si>
    <t>The customer called for call connectivity regarding issue , The agent given proper information sim side no issue , try to set the network mode settings</t>
  </si>
  <si>
    <t>AOI-,probing not done</t>
  </si>
  <si>
    <t xml:space="preserve">Opening &amp; Introduction â€“ Done 
Customer details captured â€“Done
Customer concern -Customer ask landline details
Resolution shared - Advisor complete probing to customers as per call mail id provide
Closing as per standard -  Done.
AOI-,probing not done
</t>
  </si>
  <si>
    <t>Not  used empathy words</t>
  </si>
  <si>
    <t>The customer called for PUK code regarding details, The advisor verify the details and given PUK details.</t>
  </si>
  <si>
    <t>Not used empathy words, Dead air , Fillers</t>
  </si>
  <si>
    <t xml:space="preserve">The customer called for call connectivity related issue , The advisor check t he details and given proper information  to deactivate the call forward service </t>
  </si>
  <si>
    <t xml:space="preserve">Opening &amp; Introduction â€“ Done 
Customer details captured â€“Done
Customer concern -Customer ask landline details
Resolution shared - Advisor complete probing to customers as per call bill details
Closing as per standard -  Done.
AOI-empathy missing
</t>
  </si>
  <si>
    <t xml:space="preserve"> VPS215</t>
  </si>
  <si>
    <t xml:space="preserve">Dead air, Not used empathy words </t>
  </si>
  <si>
    <t>The customer called for sim activation , The advisor verify the details and complete the verification process.</t>
  </si>
  <si>
    <t xml:space="preserve">POSITIVE	</t>
  </si>
  <si>
    <t xml:space="preserve">Delay opening ,customer name not confirmed </t>
  </si>
  <si>
    <t xml:space="preserve">The customer called for recharge addon pack regarding details, The advisor check and given proper information </t>
  </si>
  <si>
    <t xml:space="preserve">Opening &amp; Introduction â€“ Done 
Customer details captured â€“Done
Customer concern -Customer ask landline details
Resolution shared - Advisor complete probing to customers as per call setting provide
Closing as per standard -  Done.
AOI-empathy missing,
</t>
  </si>
  <si>
    <t xml:space="preserve">SBM157   </t>
  </si>
  <si>
    <t xml:space="preserve">Opening &amp; Introduction â€“ Done 
Customer details captured â€“Done
Customer concern -Customer ask wifi details
Resolution shared - Advisor complete probing to customers as per call complaint booking
Closing as per standard -  Done.
AOI-empathy missing,
</t>
  </si>
  <si>
    <t>Not used empathy words, No further assistance</t>
  </si>
  <si>
    <t>The customer called for call not connected regarding issue, The advisor informed call balance not available</t>
  </si>
  <si>
    <t>The customer called for BB connection not reconnected after complete the payment , The advisor given proper information payment already updated , so informed will escalate the complaint.</t>
  </si>
  <si>
    <t xml:space="preserve">Not used empathy words </t>
  </si>
  <si>
    <t>The customer called for safe custody regarding details, The advisor given proper information about the safe custody details.</t>
  </si>
  <si>
    <t>FAULT - NO INTERNET CONNECTIVITY Inquiry Only</t>
  </si>
  <si>
    <t>AOI-,probing not done,empathy missing,aplology missing</t>
  </si>
  <si>
    <t>The customer called for bb not getting connected after complete the payment , The advisor probing properly and given proper information (Default option provided).</t>
  </si>
  <si>
    <t>The customer called for WIFI not working regarding issue , The advisor check the details and given proper information , complaint already booked will escalate the complaint</t>
  </si>
  <si>
    <t>FAULT - COMPLAINT RAISED EARLIER BUT STILL UNRESOLVED</t>
  </si>
  <si>
    <t>The customer called for wifi not working regarding issue , The advisor probing properly and informed already IVR complaint has process state will resolved soon , RMN changing request taken .</t>
  </si>
  <si>
    <t xml:space="preserve">AOI-call back, empathy missing
</t>
  </si>
  <si>
    <t xml:space="preserve">CALL BACK </t>
  </si>
  <si>
    <t>The customer called for connection disconnecting regarding details, The advisor check and informed copper connection already inactive need to contact nearby csc.</t>
  </si>
  <si>
    <t xml:space="preserve">SERVICE -OTHER(REMARK) </t>
  </si>
  <si>
    <t>AOI-call back,probing not done</t>
  </si>
  <si>
    <t xml:space="preserve"> Low active listening skill, Probing not done </t>
  </si>
  <si>
    <t xml:space="preserve">The customer called for internet  connectivity related issue , The advisor taken complaint and given proper information </t>
  </si>
  <si>
    <t xml:space="preserve">Not used apology words, Dead air </t>
  </si>
  <si>
    <t xml:space="preserve">The customer called for FTTH delay connectivity regarding issue , The advisor check the details and taken complaint </t>
  </si>
  <si>
    <t xml:space="preserve">AOI-call back,EMPATHY MISSING
</t>
  </si>
  <si>
    <t>Not used apology words, High rate of speech</t>
  </si>
  <si>
    <t xml:space="preserve">The customer called for wifi not working regarding issue, The advisor taken complaint and given proper information </t>
  </si>
  <si>
    <t>The customer called for wifi not working regarding issue , The advisor given proper information connection currently inactive status need to visit nearby csc</t>
  </si>
  <si>
    <t xml:space="preserve">AOI-,probing not done
</t>
  </si>
  <si>
    <t xml:space="preserve">AOI-call back,probing not done
</t>
  </si>
  <si>
    <t>The customer called and Inquiry about Connection Reactivation related Issue agent checked and Information given Property</t>
  </si>
  <si>
    <t>The customer called and Inquiry about internet not getting related Issue Agent checked and Booked a complaint</t>
  </si>
  <si>
    <t xml:space="preserve">Dead air  and Script adherence </t>
  </si>
  <si>
    <t>The customer called and Inquiry about Bill payment related Issue agent checked and explained the Bill details Properly</t>
  </si>
  <si>
    <t xml:space="preserve"> Explained hold time or Dead air  and Script adherence </t>
  </si>
  <si>
    <t xml:space="preserve">Failed to ask Asked Caller Name
Failed to ask empathy Wordings
Failed to ask apology
Script adherence
</t>
  </si>
  <si>
    <t>Gave SR Number (If applicable)  and Script adherence</t>
  </si>
  <si>
    <t>Script adherence and  Dead air</t>
  </si>
  <si>
    <t xml:space="preserve">The customer called and Inquiry about OTT not working related Issue agent checked and Information given Properly </t>
  </si>
  <si>
    <t>SERVICE - REQUEST OTT SERVICE ACTIVATION</t>
  </si>
  <si>
    <t>The customer called and Inquiry about plan details and Billing details agent checked and explained the Bill details Properly</t>
  </si>
  <si>
    <t>SERVICE - CHANGE OR UPGRADE CURRENT PLAN</t>
  </si>
  <si>
    <t xml:space="preserve"> Good Call </t>
  </si>
  <si>
    <t>The customer called and Inquiry about plan details Billing details and agent checked and explained the Bill details Properly</t>
  </si>
  <si>
    <t xml:space="preserve"> Failed to ask apology and Complaint number not Provided </t>
  </si>
  <si>
    <t xml:space="preserve">The customer facing Landline - Voice not working related Issue, agent checked and Booked a complaint </t>
  </si>
  <si>
    <t xml:space="preserve">The customer called and Inquiry  about New connection details  and plan details, agent checked and Information given Properly </t>
  </si>
  <si>
    <t>Failed to Gave SR Number  and Script adherence</t>
  </si>
  <si>
    <t>No empathy.</t>
  </si>
  <si>
    <t>Customer concern -Customer called for  unable to recharge.
Resolution shared - Advisor done complete probing to customer as per call.</t>
  </si>
  <si>
    <t>UNABLE TO RECHARGE</t>
  </si>
  <si>
    <t xml:space="preserve">Failed to use empathy and apology Retention too </t>
  </si>
  <si>
    <t>The customer called and Inquiry about Connection closing details agent checked and Information given Properly but Failed to ask Retention for the customer</t>
  </si>
  <si>
    <t>SERVICE - REQUEST FOR SERVICE TERMINATION OR CLOSURE</t>
  </si>
  <si>
    <t>Dead air, No apology.</t>
  </si>
  <si>
    <t>Customer concern -Customer called for network complaints .
Resolution shared - Advisor done complete probing to customer as per call.</t>
  </si>
  <si>
    <t>No empathy, Dead air, No further assistance</t>
  </si>
  <si>
    <t>Customer concern -Customer called for unable to recharge 107 pack details .
Resolution shared - Advisor done complete probing to customer as per call.</t>
  </si>
  <si>
    <t>No apology, No further assistance</t>
  </si>
  <si>
    <t>Customer concern -Customer called for  UNABLE TO MAKE O/G AND I/C CALLS.
Resolution shared - Advisor done complete probing to customer as per call.</t>
  </si>
  <si>
    <t xml:space="preserve">No active listening skill, No further assistance </t>
  </si>
  <si>
    <t>Customer called and  inquired about ISD Call related issue, Agent checked and taken ISD activation request. but not followed required quality parameter properly.</t>
  </si>
  <si>
    <t xml:space="preserve">ISD ACTIVATION	</t>
  </si>
  <si>
    <t>Not used empathy, Dead air</t>
  </si>
  <si>
    <t xml:space="preserve">
Customer called and  inquired about Data connectivity related issue, Agent checked and taken data issue related complaint. but not followed required quality parameter properly.</t>
  </si>
  <si>
    <t xml:space="preserve">Customer called and  inquired about Incoming call connectivity related issue, Agent checked and given Call forwarding deactivation procedure </t>
  </si>
  <si>
    <t>Customer called and  inquired about Data connectivity related issue, Agent checked and taken no internet access related complaint properly but not followed required quality parameter properly.</t>
  </si>
  <si>
    <t xml:space="preserve">Not asked customer name, No active listening skill, Dead air, No further assistance </t>
  </si>
  <si>
    <t xml:space="preserve">
Customer called and  inquired about Data connectivity related issue, Agent checked and taken no internet access related complaint. but not followed required quality parameter properly.</t>
  </si>
  <si>
    <t>VPS260</t>
  </si>
  <si>
    <t xml:space="preserve"> Not used empathy words, Casual words(need to focus the choice of words)</t>
  </si>
  <si>
    <t>The customer called for recharge confirmation regarding details , The advisor check and given proper information second recharge not updated it will be refunded ,contact the application customer support.</t>
  </si>
  <si>
    <t xml:space="preserve"> Did not confirm caller  address details, Not used empathy and apology words, Casual talk, No further assistance</t>
  </si>
  <si>
    <t xml:space="preserve">The customer called for sim not working regarding issue , The advisor suggest to restart the mobile sim side no issues </t>
  </si>
  <si>
    <t xml:space="preserve">AOI-empathy missing,probing not done </t>
  </si>
  <si>
    <t>Tagging not done</t>
  </si>
  <si>
    <t>The customer called for data no connected regarding issue, The advisor check and given proper information .</t>
  </si>
  <si>
    <t>AOI-empathy missing,probing not done,tagging not done</t>
  </si>
  <si>
    <t>Failed to ask customer Name and Script adherence</t>
  </si>
  <si>
    <t xml:space="preserve">The customer called and Inquiry about New connection details, agent checked and Information given Properly </t>
  </si>
  <si>
    <t>VPS261</t>
  </si>
  <si>
    <t xml:space="preserve"> lack of listening skill, Complaint booked in wrongly</t>
  </si>
  <si>
    <t>The customer called for incoming call connectivity issue, The advisor wrongly taken complaint on the calling number (MSISDN:9400371621 )</t>
  </si>
  <si>
    <t xml:space="preserve">Failed to ask caller name and Script adherence </t>
  </si>
  <si>
    <t xml:space="preserve">The customer called and Inquiry about Internet not getting related Issue,agent checked and Information given Properly </t>
  </si>
  <si>
    <t xml:space="preserve"> Fumbling observed, Lack of confidence</t>
  </si>
  <si>
    <t>The customer called for sim activating and need to know about the sim status regarding details, The advisor check  and informed sim has blocked contact nearby csc.</t>
  </si>
  <si>
    <t xml:space="preserve">The customer called and Inquiry about the Old closing Connection details, agent checked and informed please visit near BSNL office </t>
  </si>
  <si>
    <t xml:space="preserve">The customer called and Inquiry about Payment not updating related Issue, agent checked and Informed the payment current status </t>
  </si>
  <si>
    <t>ISSUE STATUS</t>
  </si>
  <si>
    <t>NOT RESOLVED</t>
  </si>
  <si>
    <t xml:space="preserve"> Script adherence and failed to  Asked Caller Name</t>
  </si>
  <si>
    <t xml:space="preserve">The customer called for New sim verification regarding details , The advisor verify the details and given proper information </t>
  </si>
  <si>
    <t>VPS263</t>
  </si>
  <si>
    <t xml:space="preserve">The customer called for sim activation days count regarding details , The advisor check and given proper information </t>
  </si>
  <si>
    <t xml:space="preserve">Not used apology words,Lack of confidence </t>
  </si>
  <si>
    <t xml:space="preserve">The customer facing network signal regarding issue , The advisor check and given proper information </t>
  </si>
  <si>
    <t xml:space="preserve">Not used empathy words, Dead air </t>
  </si>
  <si>
    <t>The customer called for recharge confirmation related details, The advisor check the details and given proper information recharge has pending after that agent voice not audible end of the call.</t>
  </si>
  <si>
    <t xml:space="preserve">empathy missing,probing not done,
</t>
  </si>
  <si>
    <t xml:space="preserve">empathy missing,probing not done
</t>
  </si>
  <si>
    <t>VPS264</t>
  </si>
  <si>
    <t xml:space="preserve">LACK OF CONFIDENCE, Not used proper closing script, Wrong tagging </t>
  </si>
  <si>
    <t xml:space="preserve">
The customer called for caller tune activating related details, The advisor given proper information bsnl tune service currently not available .</t>
  </si>
  <si>
    <t xml:space="preserve">Not empathy missing , Dead air </t>
  </si>
  <si>
    <t xml:space="preserve">The customer called for recharge plan regarding details , The advisor given proper information about the recharge plan details </t>
  </si>
  <si>
    <t xml:space="preserve">Not used empathy words, Not confirmed caller name, Dead air </t>
  </si>
  <si>
    <t>The customer called for IC sms regarding issue , The advisor check the details and informed sms balance not available need to top-up .</t>
  </si>
  <si>
    <t>script not done</t>
  </si>
  <si>
    <t>Apology missing, dead air, complete probing not done, interruption</t>
  </si>
  <si>
    <t>empathy missing</t>
  </si>
  <si>
    <t>Interruption, complete probing not done</t>
  </si>
  <si>
    <t>apology missing</t>
  </si>
  <si>
    <t>Empathy missing, Complete probing not done</t>
  </si>
  <si>
    <t>Empathy missing, no convincing skill</t>
  </si>
  <si>
    <t>EMPATHY MISSING</t>
  </si>
  <si>
    <t>network issue , probing not done</t>
  </si>
  <si>
    <t>The customer called for wifi connection not getting properly regarding issue , The advisor given proper information already complaint given the technical team will contact and resolve the issue .</t>
  </si>
  <si>
    <t>network issue</t>
  </si>
  <si>
    <t>riyankajino2013@gmail.com</t>
  </si>
  <si>
    <t>did not confime districk,taluk ,apology missing,probing not done</t>
  </si>
  <si>
    <t xml:space="preserve">empathy missing,probing not done,tagging not done
</t>
  </si>
  <si>
    <t>sr number not provide</t>
  </si>
  <si>
    <t>wifi issue</t>
  </si>
  <si>
    <t xml:space="preserve"> SBM485</t>
  </si>
  <si>
    <t>EMPATHY MISSING,PROBING NOT DONE,APOLOGY MISSING</t>
  </si>
  <si>
    <t>NETWORK ISSUE</t>
  </si>
  <si>
    <t xml:space="preserve"> Lack of confidence </t>
  </si>
  <si>
    <t>The customer called for landline bill has generated without used , The advisor given proper information connection currently in inactive state need to visit nearby csc.</t>
  </si>
  <si>
    <t>APOLOGY MISSSING</t>
  </si>
  <si>
    <t xml:space="preserve"> High rate of speech, Not used apology words </t>
  </si>
  <si>
    <t xml:space="preserve">The customer called for bb not working regarding details, The Advisor taken complaint and given proper information </t>
  </si>
  <si>
    <t>Hindi</t>
  </si>
  <si>
    <t xml:space="preserve">empathy missing,apology missing
</t>
  </si>
  <si>
    <t>wifi  issue</t>
  </si>
  <si>
    <t>The customer called for internet not working regarding details, The advisor taken complaint and given proper information.</t>
  </si>
  <si>
    <t xml:space="preserve">The customer called for internet connectivity related issue ,The advisor taken complaint and given proper information. </t>
  </si>
  <si>
    <t>bb issue</t>
  </si>
  <si>
    <t>The customer called for fiber bill amount regarding details, The advisor probing properly and given proper information about the charge details.</t>
  </si>
  <si>
    <t>empathy missing,late opening</t>
  </si>
  <si>
    <t xml:space="preserve">sim details18001801503
</t>
  </si>
  <si>
    <t>The customer called for data connectivity related issue , The advisor taken complaint and  given proper information .</t>
  </si>
  <si>
    <t>The customer called and enquiry about the bb bill payment regarding details , The advisor check and given proper information about the bill charges.</t>
  </si>
  <si>
    <t xml:space="preserve">The customer called for landline not working regarding details, The advisor taken complaint and given proper information </t>
  </si>
  <si>
    <t xml:space="preserve">SBM718 </t>
  </si>
  <si>
    <t>bb issu</t>
  </si>
  <si>
    <t>landline complaint</t>
  </si>
  <si>
    <t>priyankajino2013@gmail.comb</t>
  </si>
  <si>
    <t xml:space="preserve">SBM618 </t>
  </si>
  <si>
    <t>landline issue</t>
  </si>
  <si>
    <t xml:space="preserve">High rate of speech, </t>
  </si>
  <si>
    <t>The customer called for new connection booking regarding details, The advisor given proper information about the plan and charges .</t>
  </si>
  <si>
    <t xml:space="preserve"> Didn't confirmed customer name </t>
  </si>
  <si>
    <t>Agent Called the customer for Prelead to lead details updation purpose , Customer not given full details so the advisor taken a callback request.</t>
  </si>
  <si>
    <t xml:space="preserve">PRE LEAD TO LEAD	</t>
  </si>
  <si>
    <t xml:space="preserve">CALL BACK	</t>
  </si>
  <si>
    <t>empathy missing,</t>
  </si>
  <si>
    <t>recharge issue ,</t>
  </si>
  <si>
    <t>recharge issue</t>
  </si>
  <si>
    <t>The advisor taken a call properly, Agent contact the customer and getting the address details for prelead to lead conversion.</t>
  </si>
  <si>
    <t>volte issue</t>
  </si>
  <si>
    <t>Agent Called the customer for prelead address verification , Customer given complete address details and agent taken call properly .</t>
  </si>
  <si>
    <t xml:space="preserve">PRELEAD </t>
  </si>
  <si>
    <t>empathy missing, dead air</t>
  </si>
  <si>
    <t>Agent contact the customer for prelead address verification , The customer given addess details the advisor complete the address verification</t>
  </si>
  <si>
    <t>empathy missing,apology missing</t>
  </si>
  <si>
    <t>O/G AND I/C CALLS BARRED</t>
  </si>
  <si>
    <t>empathy missing, dead air, did not complet probing</t>
  </si>
  <si>
    <t>recharge amount convert</t>
  </si>
  <si>
    <t>VPS262</t>
  </si>
  <si>
    <t>empathy missing,probing not done</t>
  </si>
  <si>
    <t>net  work issue</t>
  </si>
  <si>
    <t>empathy missing,dead air,apology missing</t>
  </si>
  <si>
    <t>no tag</t>
  </si>
  <si>
    <t>probing did not complet, empathy missing</t>
  </si>
  <si>
    <t xml:space="preserve">plan details </t>
  </si>
  <si>
    <t>Not focus on customer problem, Not given accurate information</t>
  </si>
  <si>
    <t>Customer concern -Customer called for unable to get incoming call .
Resolution shared - Advisor done complete probing to customer as per call.</t>
  </si>
  <si>
    <t>Customer called and  inquired about Outgoing SMS related issue, Agent checked and given SMS Center number properly.</t>
  </si>
  <si>
    <t>Customer called and  inquired about Data connectivity related issue, Agent checked and taken no internet access related complaint. but not followed required quality parameter properly.</t>
  </si>
  <si>
    <t>No apology,No further assistance</t>
  </si>
  <si>
    <t>Customer concern -Customer called for unable to use data.
Resolution shared - Advisor done complete probing to customer as per call.</t>
  </si>
  <si>
    <t>Fatal Call</t>
  </si>
  <si>
    <t>Customer called and  inquired about Validity and plans related issue, Agent given proper information. but not followed required quality parameter properly</t>
  </si>
  <si>
    <t>Casual Talk, Interuption</t>
  </si>
  <si>
    <t>Not given accurate information, No further assistance</t>
  </si>
  <si>
    <t>Customer concern -Customer called for UNABLE TO RECEIVE I/C CALLS .
Resolution shared - Advisor done complete probing to customer as per call.</t>
  </si>
  <si>
    <t>Not used empathy and apology words, No active listening skill, No further assistance, Dead air</t>
  </si>
  <si>
    <t>Customer called and  inquired about weak signal related issue, Agent checked and Poor coverage related complaint. but not followed required quality parameter properly.</t>
  </si>
  <si>
    <t xml:space="preserve"> SBM678 </t>
  </si>
  <si>
    <t>No apology.</t>
  </si>
  <si>
    <t xml:space="preserve">
Customer concern -Customer called for MCA Details .
Resolution shared - Advisor done complete probing to customer as per call.</t>
  </si>
  <si>
    <t>VAS SERVICES</t>
  </si>
  <si>
    <t>MISSED CALL ALERTS</t>
  </si>
  <si>
    <t>No active listening skill, Not asked customer name</t>
  </si>
  <si>
    <t>customer called for recharge plan details</t>
  </si>
  <si>
    <t>customer called for data issue</t>
  </si>
  <si>
    <t xml:space="preserve"> Lack of confidence, Didn't confirm the customer name , SR Number not provided, Not used apology words</t>
  </si>
  <si>
    <t xml:space="preserve">The customer called for fiber internet connectivity regarding issue , The advisor check the details and taken complaint </t>
  </si>
  <si>
    <t>Customer having call connectivity issue. Advisor complete probing to customer as per call and register complaint for weak signal issue.</t>
  </si>
  <si>
    <t>Dear air, empathy &amp; apology missing, complete probing not done, complete remark not mentioned</t>
  </si>
  <si>
    <t>Apology missing, didn't ask customer name</t>
  </si>
  <si>
    <t>Customer having data connectivity issue. Advisor complete probing to customer as per call and given data activation format.</t>
  </si>
  <si>
    <t>Empathy &amp; apology missing, interruption</t>
  </si>
  <si>
    <t>Customer having recharge issue. Advisor complete probing to customer as per call and given recharged pack STV 198 and and recharge details for TT.</t>
  </si>
  <si>
    <t>Complete probing not done, apology missing</t>
  </si>
  <si>
    <t>Customer having network issue. Advisor complete probing to customer as per call and collect information regarding port out.</t>
  </si>
  <si>
    <t xml:space="preserve">Long hold, Not used empathy words, Lack of confidence </t>
  </si>
  <si>
    <t>The customer called for new landline connection regarding details, The advisor informed currently not able to taken a request need to contact later</t>
  </si>
  <si>
    <t xml:space="preserve">ENQUIRY ABOUT NEW CONNECTION FTTH /LANDLINE </t>
  </si>
  <si>
    <t xml:space="preserve"> did not confirm caller the purpose of the call ,then accurate information/ Next steps on each issue,did not  focus on caller's problem
</t>
  </si>
  <si>
    <t>customer called for same recharge plan validity extent details, but agent wrong information provide on the call</t>
  </si>
  <si>
    <t>Not used empathy words, Long hold ,Fumbling</t>
  </si>
  <si>
    <t xml:space="preserve">The customer called for internet connectivity related issue , The advisor taken complaint and given proper information </t>
  </si>
  <si>
    <t xml:space="preserve">Lack of confidence , Fumbling observed </t>
  </si>
  <si>
    <t>The customer called for internet connectivity related issue , The advisor informed already complaint process will be resolve soon</t>
  </si>
  <si>
    <t>FAULT - SLOW INTERNET SPEED</t>
  </si>
  <si>
    <t>empathy missing, probing did not completed</t>
  </si>
  <si>
    <t>customer called for weak signal issue agent provide to setting</t>
  </si>
  <si>
    <t xml:space="preserve"> Not used apology words.</t>
  </si>
  <si>
    <t>The customer called for sim regarding issue , The advisor given proper information to contact 1503.</t>
  </si>
  <si>
    <t xml:space="preserve"> other(remark)</t>
  </si>
  <si>
    <t xml:space="preserve"> Not confirmed the customer name , Not used empathy words, Dead air </t>
  </si>
  <si>
    <t>The customer called for sim regarding details , The advisor informed to contact 1503.</t>
  </si>
  <si>
    <t>did not confirme districk taluk,probing did not complet,empathy missing</t>
  </si>
  <si>
    <t>customer called for data issue in this calll agent did not ask customer name districk taluk,then probing did not complet,empathy missing proper script did not use</t>
  </si>
  <si>
    <t>Opening Not proper , Probing not done</t>
  </si>
  <si>
    <t>The customer called for pending bill paid ,but connection not reconnected regarding details, The customer informed to contact nearby csc for service reconnecting.</t>
  </si>
  <si>
    <t>REQUEST A DETAILS BILL REPORT</t>
  </si>
  <si>
    <t xml:space="preserve">INACTIVE </t>
  </si>
  <si>
    <t>The customer called for sim regarding details The advisor given proper information to contact 1503</t>
  </si>
  <si>
    <t xml:space="preserve">OTHER(REMARK) </t>
  </si>
  <si>
    <t>Not used empathy words, Long hold</t>
  </si>
  <si>
    <t>The customer called for fiber  plan details , The advisor check the details and given proper information  about the plan and OTT activation related details .</t>
  </si>
  <si>
    <t>OTHER(REMARK) Inquiry Only</t>
  </si>
  <si>
    <t xml:space="preserve"> Causal talk, No empathy words</t>
  </si>
  <si>
    <t xml:space="preserve"> The customer called for sim regarding details , The advisor given proper information to contact 1503.</t>
  </si>
  <si>
    <t xml:space="preserve">Not used empathy words, Wrong choice of words </t>
  </si>
  <si>
    <t>The customer called for fiber internet connectivity related issue , The advisor  informed the server issue not able to register a complaint .</t>
  </si>
  <si>
    <t xml:space="preserve"> High rate of speech , Interruption, active listening skills</t>
  </si>
  <si>
    <t>The customer called for recharge confirmation related issue , The agent given proper information about the recharge status .</t>
  </si>
  <si>
    <t xml:space="preserve"> Not used apology words </t>
  </si>
  <si>
    <t>The customer called for incoming call connectivity related issue, The advisor check and given proper information sim has inactive 2 state</t>
  </si>
  <si>
    <t xml:space="preserve">SIM INACTIVE	</t>
  </si>
  <si>
    <t>Introduced Self, Not used empathy words, Dead air (TV call)</t>
  </si>
  <si>
    <t>The customer called for sim activation related details , The advisor check the details and given proper information</t>
  </si>
  <si>
    <t xml:space="preserve">UNABLE TO MAKE CALL TO 1507	</t>
  </si>
  <si>
    <t xml:space="preserve"> SBM363</t>
  </si>
  <si>
    <t>No used empathy words, Lack of active listening skills</t>
  </si>
  <si>
    <t>The customer called for call connectivity related issue , The adviso given proper information to set  the manual settings.</t>
  </si>
  <si>
    <t>The customer called for network issue data and call not connected properly regadring issue , The agent informed sim side no issue try to set the network settings(APN)</t>
  </si>
  <si>
    <t xml:space="preserve">The customer called and Inquiry about BB not working related Issue, agent checked and Information given properly </t>
  </si>
  <si>
    <t xml:space="preserve"> Failed to ask empathy  and customer name, Script adherence</t>
  </si>
  <si>
    <t xml:space="preserve">The customer called and Inquiry about Wireless details agent checked and Provide the Wireless customer care number </t>
  </si>
  <si>
    <t xml:space="preserve">The customer called and Inquiry about internet not getting related Issue Agent checked and Provide the Bill payment is not completed </t>
  </si>
  <si>
    <t>Customer concern -Customer called for unable to get OTP SMS .
Resolution shared - Advisor done complete probing to customer as per call.</t>
  </si>
  <si>
    <t>SMS CENTER NUMBER</t>
  </si>
  <si>
    <t>Dead air, no further assistance</t>
  </si>
  <si>
    <t>Not use empathy and apology.</t>
  </si>
  <si>
    <t>Customer concern -Customer called for unable to use mobile data .
Resolution shared - Advisor done complete probing to customer as per call.</t>
  </si>
  <si>
    <t>Not use empathy and apology,Dead air</t>
  </si>
  <si>
    <t xml:space="preserve">
Customer concern -Customer called for unable to make OG calls .
Resolution shared - Advisor done complete probing to customer as per call.</t>
  </si>
  <si>
    <t>Not use empathy and apology,Not given accurate informatiuon.</t>
  </si>
  <si>
    <t>Customer concern -Customer called for unable to use 4G network.
Resolution shared - Advisor done complete probing to customer as per call.</t>
  </si>
  <si>
    <t>Reason for PORTING request: Network issue
Resolution provided: Complaint not taken,  Customer not agree to continue in BSNL</t>
  </si>
  <si>
    <t xml:space="preserve">  Explained hold time or Dead air,  Demonstrated active listening skills ,  Maintained focus on caller's problem </t>
  </si>
  <si>
    <t>customer called for network issue  agent provide setting agent did not ask empathy ,apology then probing not complet</t>
  </si>
  <si>
    <t>correct tagging did not complet,empathy missing,probing not done</t>
  </si>
  <si>
    <t xml:space="preserve">customer called for new sim actviation details agent provide sim details not iin avabile so bsnl office visit </t>
  </si>
  <si>
    <t>empathy missing,probing  not done</t>
  </si>
  <si>
    <t xml:space="preserve">customer called for plan details </t>
  </si>
  <si>
    <t>The customer called for recharge plan regarding details, The agent given proper information about the plan details</t>
  </si>
  <si>
    <t xml:space="preserve">UNABLE TO RECHARGE	</t>
  </si>
  <si>
    <t>Delay opening , SR number not given</t>
  </si>
  <si>
    <t xml:space="preserve">The customer called for network signal regarding issue , The advisor taken complaint and given proper information </t>
  </si>
  <si>
    <t xml:space="preserve"> Not used empathy words </t>
  </si>
  <si>
    <t>The customer called for  IC sms regarding issue , The advisor check the details and given proper information to set the SMS permission settings.</t>
  </si>
  <si>
    <t xml:space="preserve"> Did not upheld BSNL positive image, Not used apology words</t>
  </si>
  <si>
    <t xml:space="preserve">The customer called for network signal regarding issue data not getting properly , The agent informed data balance currently not available </t>
  </si>
  <si>
    <t>The customer called for network issue sms not able to send regarding issue , The advisor given proper information issue esclated issue will be resolve ASAP.</t>
  </si>
  <si>
    <t xml:space="preserve">PORT OUT ENQUIRY	</t>
  </si>
  <si>
    <t xml:space="preserve">UNABLE TO SEND PORT SMS	</t>
  </si>
  <si>
    <t xml:space="preserve">Lack of confidence </t>
  </si>
  <si>
    <t>The customer caller for recharge but call not connected call not connected regarding issue , The Agent check and given proper information sim side no issues try another handset .</t>
  </si>
  <si>
    <t>The customer called for unable to make a sms regarding issue , The agent given proper information sms balance not available , need to top up for sms service.</t>
  </si>
  <si>
    <t xml:space="preserve">SMS BALANCE NOT AVAILABLE	</t>
  </si>
  <si>
    <t xml:space="preserve"> Interruption during call, Complete probing not done,no empathy/apology used, SR number not provided.</t>
  </si>
  <si>
    <t>Customer reported data not connecting ,START sms already sent. Agent advised to check APN settings; customer had already tried. Customer mentioned no tower signal shown, though data services active.Then the Agent collect address details for register a complaint and informed issue will be resolved within 48 hours.</t>
  </si>
  <si>
    <t xml:space="preserve">MOBILE DATA	</t>
  </si>
  <si>
    <t xml:space="preserve">INTERNET SYMBOL NOT SHOWING WHILE NETWORK IS FULL	</t>
  </si>
  <si>
    <t xml:space="preserve"> Not used apology words , Slang observed </t>
  </si>
  <si>
    <t>The customer called for call nconnectivity related issue , The advisor informed common issue persist within 4 hour it will resolved and give 4G updation details.</t>
  </si>
  <si>
    <t xml:space="preserve">UNABLE TO MAKE O/G AND I/C CALLS	</t>
  </si>
  <si>
    <t>Sarcastic, Fillings</t>
  </si>
  <si>
    <t xml:space="preserve"> The customer called for recharge plan related details , The agent given proper information about the recharge plan </t>
  </si>
  <si>
    <t xml:space="preserve">The customer called for recharge regarding issue ,not able to recharge so cutomer buy a replacement sim that sim not activated yet related issue  , The agent check and given proper information </t>
  </si>
  <si>
    <t xml:space="preserve">Delayed opening after 25 sec, Complete probing not done </t>
  </si>
  <si>
    <t xml:space="preserve">The customer called for data not connected regarding issue , The agent informed data balance not available </t>
  </si>
  <si>
    <t xml:space="preserve"> Not used empathy words, Did not Gave SR Number</t>
  </si>
  <si>
    <t xml:space="preserve">The customer called for network regarding issue , data not  connected related issue ,The agent taken complaint and given proper information . </t>
  </si>
  <si>
    <t xml:space="preserve"> interruption , Lack of active listening skill,</t>
  </si>
  <si>
    <t>The customer  called for bill paid but service not connected regarding issue ,The agent check the details and given proper information , sim currently active state , try another handset ,else select the network manual setting otherwise contact nearby csc.</t>
  </si>
  <si>
    <t xml:space="preserve"> Hold script not followed  properly </t>
  </si>
  <si>
    <t xml:space="preserve">The  customer called for wrong recharge regarding issue , The agent given proper information recharge conversion related details </t>
  </si>
  <si>
    <t>Failed to Gave SR Number</t>
  </si>
  <si>
    <t>Failed to  Demonstrated active listening skills  and Script adherence</t>
  </si>
  <si>
    <t xml:space="preserve">The customer called and Inquiry About Billing related Issue, agent checked and Information given Properly </t>
  </si>
  <si>
    <t>INVOICE - DISPUTE OR COMPLAINT REGARDING BILL AMOUNT</t>
  </si>
  <si>
    <t>Failed to ask empathy and  apology , Script adherence</t>
  </si>
  <si>
    <t xml:space="preserve">The customer called and Inquiry About Bill not getting related Issue agent checked and shared the Bill to customer mail ID </t>
  </si>
  <si>
    <t xml:space="preserve">Not asked customer name, Not used empathy, No further assistance </t>
  </si>
  <si>
    <t>Customer called and  inquired about Calls connectivity related issue, Agent checked and given Settings information but not followed required quality parameter properly.</t>
  </si>
  <si>
    <t>No active listening skill, Not used empathy and apology words, Dead air, No further assistance.</t>
  </si>
  <si>
    <t>Not used empathy and apology words, Dead air, Not asked customer name</t>
  </si>
  <si>
    <t>Customer called and  inquired about Wrong recharge related issue, Agent checked and given proper information but not followed required quality parameter properly.</t>
  </si>
  <si>
    <t>No active on call, Dead air, Not used empathy and apology words, Dead air</t>
  </si>
  <si>
    <t>Customer called and  inquired about Outgoing call connectivity related issue, Agent checked and given Settings information but not followed required quality parameter properly.</t>
  </si>
  <si>
    <t>Customer called and  inquired about Data connectivity related issue, Agent checked and taken no internet access related complaint. but not followed required quality parameter properly</t>
  </si>
  <si>
    <t xml:space="preserve">
Customer concern -Customer called for recharge plan details .
Resolution shared - Advisor done complete probing to customer as per call.
</t>
  </si>
  <si>
    <t>No apology, Dead air.</t>
  </si>
  <si>
    <t>Customer concern -Customer called for DND Activation .
Resolution shared - Advisor done complete probing to customer as per call.</t>
  </si>
  <si>
    <t xml:space="preserve">No apology, No Upheld BSNL positive image
</t>
  </si>
  <si>
    <t>SMS BALANCE NOT AVAILABLE</t>
  </si>
  <si>
    <t xml:space="preserve">
Customer concern -Customer called for VOLTE activation .
Resolution shared - Advisor done complete probing to customer as per call.</t>
  </si>
  <si>
    <t>Not use empathy and apology,Dead air,Correct probing not done.No Script adherence</t>
  </si>
  <si>
    <t xml:space="preserve">tried to retain the customer , OB Script not followed properly </t>
  </si>
  <si>
    <t>Agent Called the customer for MNP retention, Customer not willing to continue BSNL network due to Coverage issue</t>
  </si>
  <si>
    <t xml:space="preserve"> Not tried to retain the customer properly (Voice modulation)</t>
  </si>
  <si>
    <t xml:space="preserve">High rate of speech, Voice modulation not proper </t>
  </si>
  <si>
    <t>Agent Called the customer for MNP retention, Customer not willing to continue BSNL network due to data connectivity issue</t>
  </si>
  <si>
    <t xml:space="preserve"> Lack of energy , Complete probing not  done , Not tried to retained the customer properly</t>
  </si>
  <si>
    <t xml:space="preserve"> Voice modulation not properly </t>
  </si>
  <si>
    <t>Agent Called the customer for MNP retention, Customer  continue BSNL network  to other circle.</t>
  </si>
  <si>
    <t xml:space="preserve"> Explained hold time or Dead air ,  Give accurate information/ Next steps on each issue</t>
  </si>
  <si>
    <t>Reason for PORTING request: Network issue and high in recharge charge
Resolution provided: Didn't provided proper information to customer</t>
  </si>
  <si>
    <t>Casual Talk, Interuption, Fillings</t>
  </si>
  <si>
    <t xml:space="preserve"> Lack of energy issue </t>
  </si>
  <si>
    <t>Agent Called the customer for MNP retention, Customer already having a BSNL connection so port other network, no issue in the connection .</t>
  </si>
  <si>
    <t xml:space="preserve"> Script adherence</t>
  </si>
  <si>
    <t>Reason for PORTING request: IR Roaming 
Resolution provided: Customer informed service available in USA</t>
  </si>
  <si>
    <t xml:space="preserve"> Reason for PORTING request: Call connectivity issue
Resolution provided: Complaint not taken, customer requested for call back</t>
  </si>
  <si>
    <t>Reason for PORTING request: Call connectivity issue
Resolution provided:Complaint not taken,  Customer not agree to continue in BSNL</t>
  </si>
  <si>
    <t xml:space="preserve">Script adherence, Give accurate information/ Next steps on each issue </t>
  </si>
  <si>
    <t>REQUEST FOR CALL BACK</t>
  </si>
  <si>
    <t>Empathy missing, complete probing not done, interruption, further assistance not done</t>
  </si>
  <si>
    <t xml:space="preserve">Reason for PORTING request: Network issue
Resolution provided: Complaint not taken,  Customer not agree to continue in BSNL
</t>
  </si>
  <si>
    <t>Complete probing not done, empathy missing, long hold</t>
  </si>
  <si>
    <t>Customer having SMS issue. Advisor complete probing to customer as per call and given SMS balance not available and TU details.</t>
  </si>
  <si>
    <t>complete probing not done, dead air, further assistance not done</t>
  </si>
  <si>
    <t>complete probing not done</t>
  </si>
  <si>
    <t>Customer having call connectivity issue. Advisor complete probing to customer as per call and given try to another handset details</t>
  </si>
  <si>
    <t>Customer facing voice clarity issue in customer location</t>
  </si>
  <si>
    <t xml:space="preserve">Not retain the customer properly ,reassurance not given properly </t>
  </si>
  <si>
    <t>Agent Called the customer for MNP retention, Customer not willing to continue BSNL network due to Coverage issue, tried to taken a complaint continuesly customer disconnect the call.</t>
  </si>
  <si>
    <t>TRIED TO RETAINED</t>
  </si>
  <si>
    <t xml:space="preserve"> Not used proper script , Not used apology words</t>
  </si>
  <si>
    <t>Agent Called the customer for MNP retention, Customer not willing to continue BSNL network due to Coverage issue, The agent taken complaint and given proper information .</t>
  </si>
  <si>
    <t>The customer called and Inquiry About Invoice Related Issue, agent checked, and Information given Properly</t>
  </si>
  <si>
    <t xml:space="preserve"> Demonstrated active listening skills  </t>
  </si>
  <si>
    <t>Failed to ask empathy Wordings and Script adherence</t>
  </si>
  <si>
    <t xml:space="preserve"> Dead air and failed to use apology , Script adherence</t>
  </si>
  <si>
    <t xml:space="preserve">The customer called and Inquiry About data not getting related Issue agent checked and provide the current complaint status </t>
  </si>
  <si>
    <t xml:space="preserve">The customer called and Inquiry About plan details and connection details, agent checked and Information given properly </t>
  </si>
  <si>
    <t>SERVICE - VIEW OR CONFIRM CURRENT PLAN DETAILS</t>
  </si>
  <si>
    <t>Customer called and  inquired about Validity and plans related issue, Agent checked and given proper information</t>
  </si>
  <si>
    <t>Customer called and  inquired about Plans related issue, Agent checked and given plans details properly. but not followed required quality parameter properly.</t>
  </si>
  <si>
    <t>Not asked customer name, Not used empathy and apology words, No further assistance</t>
  </si>
  <si>
    <t>Customer called and  inquired about Weak signal and Volte connectivity related issue, Agent checked and Taken volte activation request properly but not followed required quality parameter properly.</t>
  </si>
  <si>
    <t>Not used empathy and apology words, Dead air, No further assistance, Closing script not used</t>
  </si>
  <si>
    <t>Customer called and  inquired about Outgoing SMS related issue, Agent checked and taken OG SMS related complaint. but not followed required quality parameter properly.</t>
  </si>
  <si>
    <t>Not used empathy words, No active on call</t>
  </si>
  <si>
    <t xml:space="preserve"> Used Approved Question/Polite language</t>
  </si>
  <si>
    <t>Customer called and requested to provide a PUK code, the agent verified verification questions and provided a PUK Code.</t>
  </si>
  <si>
    <t>PUK CODE</t>
  </si>
  <si>
    <t>Customer called and inquired about recharge plan details</t>
  </si>
  <si>
    <t>Taluk mismatch, tagging not accurate, dead air, complete probing not done, correct remark not mentioned, further assistance not done</t>
  </si>
  <si>
    <t>Complete probing not done, correct tagging not done(didn't ask taluk)</t>
  </si>
  <si>
    <t xml:space="preserve">Customer called as inquired about recharge offer related, agent provided few recharge offer and explained its description </t>
  </si>
  <si>
    <t xml:space="preserve">Complete probing not done, </t>
  </si>
  <si>
    <t>Customer having recharge issue. Advisor complete probing to customer as per call and given recharge not success and given refund details ,</t>
  </si>
  <si>
    <t>fillings observed</t>
  </si>
  <si>
    <t>customer called for data issue  new handset data not connected agent provided data activtaion sms formet</t>
  </si>
  <si>
    <t>SBM741</t>
  </si>
  <si>
    <t>Customer called and inquired about PORT IN status related</t>
  </si>
  <si>
    <t>PORT IN ENQUIRY</t>
  </si>
  <si>
    <t>ENQUIRY ON PORT IN STATUS</t>
  </si>
  <si>
    <t>Interruption, no active in call, correct information not shared, complete probing not done</t>
  </si>
  <si>
    <t>Customer having data connectivity issue. Advisor complete probing to customer as per call and given data activation SMS format ,</t>
  </si>
  <si>
    <t xml:space="preserve"> UNABLE TO BROWSE DATA</t>
  </si>
  <si>
    <t>customer called for network issue then agent  complaint booking poor coverage area in this location but probing and sr number not provide in this call</t>
  </si>
  <si>
    <t>Complete probing not done, empathy missing, didn't ask customer name, interruption</t>
  </si>
  <si>
    <t>Customer having network connectivity issue. Advisor complete probing to customer as per call and collect information regarding port out.</t>
  </si>
  <si>
    <t>customer called for signal issue, agent provided sim change but agent probing did not completed</t>
  </si>
  <si>
    <t>did not complet probing</t>
  </si>
  <si>
    <t>customer called for plan details. then agent provided to  your recharge plan 198 only data usage  vioce  plan 99</t>
  </si>
  <si>
    <t xml:space="preserve">customer called for recharge plan details. then agent provide  for sim details check this number  recharge amount 198 data usage only </t>
  </si>
  <si>
    <t>correct probing not done</t>
  </si>
  <si>
    <t xml:space="preserve">Opening &amp; Introduction â€“ Done 
Customer details captured â€“Done
Customer concern -Customer ask network issue
Resolution shared - Advisor complete probing to customers as per call setting provide
Closing as per standard -  Done.
AOI-dead air,correct probing not done
</t>
  </si>
  <si>
    <t xml:space="preserve">Opening &amp; Introduction â€“ Done 
Customer details captured â€“Done
Customer concern -Customer ask plan details
Resolution shared - Advisor complete probing to customers as per call plan439
Closing as per standard -  Done.
AOI-dead air,correct probing not done
</t>
  </si>
  <si>
    <t>correct  probing not done</t>
  </si>
  <si>
    <t xml:space="preserve">Opening &amp; Introduction â€“ Done 
Customer details captured â€“Done
Customer concern -Customer ask plan details
Resolution shared - Advisor complete probing to customers as per call plan 147
Closing as per standard -  Done.
AOI-,correct probing not done
</t>
  </si>
  <si>
    <t>probing did not complet,correct tagging not done</t>
  </si>
  <si>
    <t>Opening &amp; Introduction â€“ Done 
Customer details captured â€“Done
Customer concern -Customer ask sms issue
Resolution shared - Advisor complete probing to customers as per call main account balance 10
Closing as per standard -  Done.
AOI-dead air,correct probing not done</t>
  </si>
  <si>
    <t>Not use apology words, SR number not provided</t>
  </si>
  <si>
    <t xml:space="preserve">The customer called for internet not working related issue , The agent taken complint and given proper information </t>
  </si>
  <si>
    <t>The customer called and enquiry about the landline plan and charges related details, The agent given proper information</t>
  </si>
  <si>
    <t>The customer called for bill charges regarding details, The advisor given TAT due to application down .</t>
  </si>
  <si>
    <t xml:space="preserve">INVOICE - REQUEST A DETAILED BILL REPORT </t>
  </si>
  <si>
    <t>empathy missing, ,delay opening</t>
  </si>
  <si>
    <t xml:space="preserve">Opening &amp; Introduction â€“ Done 
Customer details captured â€“Done
Customer concern -Customer ask plan details
Resolution shared - Advisor complete probing to customers as per call setting provide
Closing as per standard -  Done.
AOI-empthy missing
</t>
  </si>
  <si>
    <t>Opening &amp; Introduction â€“ Done 
Customer details captured â€“Done
Customer concern -Customer ask sms issue
Resolution shared - Advisor complete probing to customers as per call setting provide
Closing as per standard -  Done.
AOI- probing not done</t>
  </si>
  <si>
    <t>UNABLE TO SEND PORT SMS</t>
  </si>
  <si>
    <t xml:space="preserve"> Lack of active listening (Interruption) </t>
  </si>
  <si>
    <t>The customer called for location shift requested , but technical team not contact till, Agent inform the status currently in process will contact soon.</t>
  </si>
  <si>
    <t>SERVICE - REQUEST SHIFTING OF CONNECTION</t>
  </si>
  <si>
    <t>AOI-empathy missing, probing not done</t>
  </si>
  <si>
    <t xml:space="preserve">Opening &amp; Introduction â€“ Done 
Customer details captured â€“Done
Customer concern -Customer ask plan details
Resolution shared - Advisor complete probing to customers as per call plan 147
Closing as per standard -  Done.
AOI-empathy missing, probing not done
</t>
  </si>
  <si>
    <t xml:space="preserve"> Not used proper apology words</t>
  </si>
  <si>
    <t>The customer called for call connectivity related issue , The agent taken complaint and given proper  information.</t>
  </si>
  <si>
    <t xml:space="preserve">Lack of energy </t>
  </si>
  <si>
    <t>The customer called for landline connectivity issue , The agent registered a complaint and given proper information</t>
  </si>
  <si>
    <t>Complete probing not done, Not used empathy words</t>
  </si>
  <si>
    <t>The customer called for Fiber OTT related complaint register regarding enquiry , The agent check and given proper information and IPTV registration and plan downgrade related details also provided .</t>
  </si>
  <si>
    <t>dead air,dealy opening</t>
  </si>
  <si>
    <t xml:space="preserve">Opening &amp; Introduction â€“ Done 
Customer details captured â€“Done
Customer concern -Customer ask network issue
Resolution shared - Advisor complete probing to customers as per call app 
Closing as per standard -  Done.
AOI-dead air,correct probing not done
</t>
  </si>
  <si>
    <t>Opening &amp; Introduction â€“ Done 
Customer details captured â€“Done
Customer concern -Customer ask recharge issue 
Resolution shared - Advisor complete probing to customers as per call  recharge details
Closing as per standard -  Done.
AOI-empathy missing,</t>
  </si>
  <si>
    <t xml:space="preserve">Opening &amp; Introduction â€“ Done 
Customer details captured â€“Done
Customer concern -Customer ask LANDLINE DETAILS
Resolution shared - Advisor complete probing to customers as per call bill details
Closing as per standard -  Done.
AOI-empathy missing, probing not done
</t>
  </si>
  <si>
    <t>Opening &amp; Introduction â€“ Done 
Customer details captured â€“Done
Customer concern -Customer ask LANDLINE DETAILS
Resolution shared - Advisor complete probing to customers as per call setting provide
Closing as per standard -  Done.
AOI-dead air,correct probing not done</t>
  </si>
  <si>
    <t xml:space="preserve"> Not used proper script</t>
  </si>
  <si>
    <t xml:space="preserve">The customer called for bharath fiber and air fiber related details, The agents given proper information </t>
  </si>
  <si>
    <t xml:space="preserve">Not used proper voice modulation , Not given SP number </t>
  </si>
  <si>
    <t>The customer called for internet  not connected related issue , The agent taken complaint and given proper information .</t>
  </si>
  <si>
    <t>Delay opening , Opening script not followed</t>
  </si>
  <si>
    <t xml:space="preserve">The  customer called  for bill charges related details , The agent given TAT due to application issue .Not followed all parameter properly </t>
  </si>
  <si>
    <t xml:space="preserve">Technical issue </t>
  </si>
  <si>
    <t xml:space="preserve">Low active listening skill, Dead air </t>
  </si>
  <si>
    <t xml:space="preserve">The customer called for fiber internet not working related issue , The agent taken complaint and given proper information </t>
  </si>
  <si>
    <t xml:space="preserve"> Dead air , Not used empathy words</t>
  </si>
  <si>
    <t xml:space="preserve">The customer called for bill amount regarding details , The agent check the details and given proper information </t>
  </si>
  <si>
    <t xml:space="preserve">The customer called for data not connected related issue, The agent probing properly and taken complaint and given proper information </t>
  </si>
  <si>
    <t>correct probing not done,empathy missing, apology missing</t>
  </si>
  <si>
    <t>Opening &amp; Introduction â€“ Done 
Customer details captured â€“Done
Customer concern -Customer ask landline issue
Resolution shared - Advisor complete probing to customers as per call complaint booking
Closing as per standard -  Done.
AOI-correct probing not done,empathy missing, apology missing</t>
  </si>
  <si>
    <t xml:space="preserve">The customer called for internet related compliant technical team not contacted yet, The advisor check  the status and given proper information the complaint has process state will soon technical team will be contacted. </t>
  </si>
  <si>
    <t>empathy missing,apology missing,</t>
  </si>
  <si>
    <t>Opening &amp; Introduction â€“ Done 
Customer details captured â€“Done
Customer concern -Customer ask landline issue
Resolution shared - Advisor complete probing to customers as per call application down
Closing as per standard -  Done.
AOI-empathy missing, probing not done</t>
  </si>
  <si>
    <t xml:space="preserve"> Lack of energy </t>
  </si>
  <si>
    <t>The customer called for internet connectivity related issue , The agent check and given proper information.</t>
  </si>
  <si>
    <t>AOI-sr number not provide</t>
  </si>
  <si>
    <t xml:space="preserve">Opening &amp; Introduction â€“ Done 
Customer details captured â€“Done
Customer concern -Customer ask landline issue
Resolution shared - Advisor complete probing to customers as per call application down
Closing as per standard -  Done.
AOI-sr number not provide
</t>
  </si>
  <si>
    <t>The customer called for landline connection reactive requesting regarding details , The advisor check the status and given proper information still status was not reconnected wait for 24 hours .</t>
  </si>
  <si>
    <t>apology missing, sr number provide</t>
  </si>
  <si>
    <t xml:space="preserve">Opening &amp; Introduction â€“ Done 
Customer details captured â€“Done
Customer concern -Customer ask landline issue
Resolution shared - Advisor complete probing to customers as per call complaint booking
Closing as per standard -  Done.
AOI-sr number not provide
</t>
  </si>
  <si>
    <t xml:space="preserve">The customer called for new FTTH connection and plan related details , The advisor given given proper information </t>
  </si>
  <si>
    <t xml:space="preserve">Opening &amp; Introduction â€“ Done 
Customer details captured â€“Done
Customer concern -Customer ask bsnl office number ask
Resolution shared - Advisor complete probing to customers as per call office number not avabile
Closing as per standard -  Done.
AOI-empathy missing
</t>
  </si>
  <si>
    <t xml:space="preserve">Not used proper script </t>
  </si>
  <si>
    <t>The customer called for fiber bill paid , but connection not reconnected related details, The agent  given TAT due to application issue</t>
  </si>
  <si>
    <t>Customer concern -Customer called for wrong recharge conversion .
Resolution shared - Advisor done complete probing to customer as per call.</t>
  </si>
  <si>
    <t>No apology</t>
  </si>
  <si>
    <t>Customer concern -Customer called for Sim status .
Resolution shared - Advisor done complete probing to customer as per call.</t>
  </si>
  <si>
    <t>No Tagging Accuracy, No further assistance</t>
  </si>
  <si>
    <t>Customer concern -Customer called for SMS recharge pack details .
Resolution shared - Advisor done complete probing to customer as per call.</t>
  </si>
  <si>
    <t>No active listening skill.</t>
  </si>
  <si>
    <t>Customer concern -Customer called for recharge details .
Resolution shared - Advisor done complete probing to customer as per call.</t>
  </si>
  <si>
    <t>No empathy, no further assistance</t>
  </si>
  <si>
    <t>Customer concern -Customer called for Missed call alert .
Resolution shared - Advisor done complete probing to customer as per call.</t>
  </si>
  <si>
    <t>Opening &amp; Introduction â€“ Done 
Customer details captured â€“Done
Customer concern -Customer ask landline issue
Resolution shared - Advisor complete probing to customers as per call bsnl office request 
Closing as per standard -  Done.
AOI-empathy missing,</t>
  </si>
  <si>
    <t>Opening &amp; Introduction â€“ Done 
Customer details captured â€“Done
Customer concern -Customer ask landline new connection details
Resolution shared - Advisor complete probing to customers as per call plan 449 
Closing as per standard -  Done.
AOI-empathy missing,</t>
  </si>
  <si>
    <t>Complete probing not done, empathy &amp; apology missing, dead air</t>
  </si>
  <si>
    <t xml:space="preserve">Opening &amp; Introduction â€“ Done 
Customer details captured â€“Done
Customer concern -Customer ask landline issue
Resolution shared - Advisor complete probing to customers as per app complaint already booking
Closing as per standard -  Done.
AOI-empathy missing,apology missing
</t>
  </si>
  <si>
    <t>Apology missing, complete probing not done, dead air</t>
  </si>
  <si>
    <t xml:space="preserve">Opening &amp; Introduction â€“ Done 
Customer details captured â€“Done
Customer concern -Customer ask landline issue
Resolution shared - Advisor complete probing to customers as per complain booking
Closing as per standard -  Done.
AOI-empathy missing,apology missing
</t>
  </si>
  <si>
    <t>AOI-empathy missing,complet probing not done</t>
  </si>
  <si>
    <t>Opening &amp; Introduction â€“ Done 
Customer details captured â€“Done
Customer concern -Customer ask landline issue
Resolution shared - Advisor complete probing to customers as per call line block
Closing as per standard -  Done.
AOI-empathy missing,complet probing not done</t>
  </si>
  <si>
    <t>Opening &amp; Introduction â€“ Done 
Customer details captured â€“Done
Customer concern -Customer ask sim details
Resolution shared - Advisor complete probing to customers as per call 18001801503
Closing as per standard -  Done.
AOI-empathy missing,</t>
  </si>
  <si>
    <t>Dead air, empathy &amp; apology missing, dead air, correct information not shared</t>
  </si>
  <si>
    <t>Customer having call connectivity issue. Advisor complete probing to customer as per call and given proper details.</t>
  </si>
  <si>
    <t>Empathy &amp; apology missing, complete probing not done, correct information not shared</t>
  </si>
  <si>
    <t>Customer having 4G connectivity issue. Advisor complete probing to customer as per call and given data activation SMS format.</t>
  </si>
  <si>
    <t xml:space="preserve"> complete probing not done</t>
  </si>
  <si>
    <t xml:space="preserve">Customer called and informed that customer is facing data connectivity issue in  her location, Agent provided network selection setting </t>
  </si>
  <si>
    <t xml:space="preserve">Opening &amp; Introduction â€“ Done 
Customer details captured â€“Done
Customer concern -Customer ask landline issue
Resolution shared - Advisor complete probing to customers as per call already complaint booked
Closing as per standard -  Done.
AOI-empathy missing,apology missing
</t>
  </si>
  <si>
    <t xml:space="preserve">Opening &amp; Introduction â€“ Done 
Customer details captured â€“Done
Customer concern -Customer ask bb details
Resolution shared - Advisor complete probing to customers as per call complaint booked
Closing as per standard -  Done.
AOI-empathy missing,apology missing
</t>
  </si>
  <si>
    <t>Opening &amp; Introduction â€“ Done 
Customer details captured â€“Done
Customer concern -Customer ask landline issue
Resolution shared - Advisor complete probing to customers as per call complaint booked
Closing as per standard -  Done.
AOI-sr number not provide</t>
  </si>
  <si>
    <t>Opening &amp; Introduction â€“ Done 
Customer details captured â€“Done
Customer concern -Customer ask fth plan details
Resolution shared - Advisor complete probing to customers as per call complaint booked
Closing as per standard -  Done.
AOI-empathy missing,complet probing not done</t>
  </si>
  <si>
    <t>Opening &amp; Introduction â€“ Done 
Customer details captured â€“Done
Customer concern -Customer ask bb issue
Resolution shared - Advisor complete probing to customers as per call complaint booking
Closing as per standard -  Done.
AOI-empathy missing,apology missing</t>
  </si>
  <si>
    <t>AOI-,apology missing</t>
  </si>
  <si>
    <t xml:space="preserve">Opening &amp; Introduction â€“ Done 
Customer details captured â€“Done
Customer concern -Customer ask landline issue
Resolution shared - Advisor complete probing to customers as per call already complaint booking
Closing as per standard -  Done.
AOI-,apology missing
</t>
  </si>
  <si>
    <t>AOi-apology missing</t>
  </si>
  <si>
    <t>Opening &amp; Introduction â€“ Done 
Customer details captured â€“Done
Customer concern -Customer ask landline issue
Resolution shared - Advisor complete probing to customers as per call already complaint booking
Closing as per standard -  Done.
AOi-apology missing</t>
  </si>
  <si>
    <t>Opening &amp; Introduction â€“ Done 
Customer details captured â€“Done
Customer concern -Customer ask landline details
Resolution shared - Advisor complete probing to customers as per call inactive stage
Closing as per standard -  Done.
AOI-probing did not complet</t>
  </si>
  <si>
    <t xml:space="preserve">Opening &amp; Introduction â€“ Done 
Customer details captured â€“Done
Customer concern -Customer ask fth plan details
Resolution shared - Advisor complete probing to customers as per call plan 499
Closing as per standard -  Done.
AOI-probing did not complet
</t>
  </si>
  <si>
    <t>Opening &amp; Introduction â€“ Done 
Customer details captured â€“Done
Customer concern -Customer ask fth plan details
Resolution shared - Advisor complete probing to customers as per call plan 499
Closing as per standard -  Done.
AOI-empathy missing,apology missing</t>
  </si>
  <si>
    <t>AOI-apology missing</t>
  </si>
  <si>
    <t xml:space="preserve">Opening &amp; Introduction â€“ Done 
Customer details captured â€“Done
Customer concern -Customer ask fiber issue
Resolution shared - Advisor complete probing to customers as per call complaint booking
Closing as per standard -  Done.
AOI-apology missing
</t>
  </si>
  <si>
    <t>Opening &amp; Introduction â€“ Done 
Customer details captured â€“Done
Customer concern -Customer ask fiber  details
Resolution shared - Advisor complete probing to customers as per call bsnl office visit
Closing as per standard -  Done.
AOI-empathy missing</t>
  </si>
  <si>
    <t>AOI-empathy missing, apology missing</t>
  </si>
  <si>
    <t xml:space="preserve">Opening &amp; Introduction â€“ Done 
Customer details captured â€“Done
Customer concern -Customer ask landline issue
Resolution shared - Advisor complete probing to customers as per call already complaint booking
Closing as per standard -  Done.
AOI-empathy missing, apology missing
</t>
  </si>
  <si>
    <t xml:space="preserve">AOI-empathy missing, </t>
  </si>
  <si>
    <t xml:space="preserve">Opening &amp; Introduction â€“ Done 
Customer details captured â€“Done
Customer concern -Customer ask landline issue
Resolution shared - Advisor complete probing to customers as per call  bill details
Closing as per standard -  Done.
AOI-empathy missing, 
</t>
  </si>
  <si>
    <t xml:space="preserve">Opening &amp; Introduction â€“ Done 
Customer details captured â€“Done
Customer concern -Customer ask volte issue
Resolution shared - Advisor complete probing to customers as per call volt act
Closing as per standard -  Done.
AOI-empathy missing,apology missing
</t>
  </si>
  <si>
    <t>AOI-empathy missing,Script adherence</t>
  </si>
  <si>
    <t xml:space="preserve">Opening &amp; Introduction â€“ Done 
Customer details captured â€“Done
Customer concern -Customer ask sms issue
Resolution shared - Advisor complete probing to customers as per call sms setting
Closing as per standard -  Done.
AOI-empathy missing,Script adherence
</t>
  </si>
  <si>
    <t xml:space="preserve"> Opening &amp; Introduction â€“ Done 
Customer details captured â€“Done
Customer concern -Customer ask new connection details
Resolution shared - Advisor complete probing to customers as per call bsnl office visit
Closing as per standard -  Done.
AOI-empathy missing,complet probing not done
</t>
  </si>
  <si>
    <t xml:space="preserve"> Opening &amp; Introduction â€“ Done 
Customer details captured â€“Done
Customer concern -Customer ask new connection details
Resolution shared - Advisor complete probing to customers as per call bsnl office visit
Closing as per standard -  Done.
AOI-empathy missing,complet probing not done
</t>
  </si>
  <si>
    <t>AOI-empathy missing,.</t>
  </si>
  <si>
    <t xml:space="preserve">Opening &amp; Introduction â€“ Done 
Customer details captured â€“Done
Customer concern -Customer ask sim details
Resolution shared - Advisor complete probing to customers as per call 18001801503
Closing as per standard -  Done.
AOI-empathy missing,.
</t>
  </si>
  <si>
    <t xml:space="preserve"> VPS183</t>
  </si>
  <si>
    <t xml:space="preserve">Opening &amp; Introduction â€“ Done 
Customer details captured â€“Done
Customer concern -Customer ask landline issue
Resolution shared - Advisor complete probing to customers as per call alread complaint booking
Closing as per standard -  Done.
AOI-empathy missing,apology missing
</t>
  </si>
  <si>
    <t>Opening &amp; Introduction â€“ Done 
Customer details captured â€“Done
Customer concern -Customer ask new connection 
Resolution shared - Advisor complete probing to customers as per call new connection booking
Closing as per standard -  Done.
AOI-empathy missing,</t>
  </si>
  <si>
    <t xml:space="preserve">SBM678 </t>
  </si>
  <si>
    <t xml:space="preserve">Opening &amp; Introduction â€“ Done 
Customer details captured â€“Done
Customer concern -Customer ask new connection 
Resolution shared - Advisor complete probing to customers as per call new connection booking
Closing as per standard -  Done.
AOI-empathy missing,
</t>
  </si>
  <si>
    <t>Login _ ID</t>
  </si>
  <si>
    <t>Agent Name</t>
  </si>
  <si>
    <t>Gender</t>
  </si>
  <si>
    <t>Process</t>
  </si>
  <si>
    <t>DOJ</t>
  </si>
  <si>
    <t>Call</t>
  </si>
  <si>
    <t>QA Score</t>
  </si>
  <si>
    <t>Tagging YES</t>
  </si>
  <si>
    <t>Tagging No</t>
  </si>
  <si>
    <t>Sudhi S R</t>
  </si>
  <si>
    <t>Female</t>
  </si>
  <si>
    <t>Wire-line</t>
  </si>
  <si>
    <t xml:space="preserve">Nikitha G </t>
  </si>
  <si>
    <t>Saran S</t>
  </si>
  <si>
    <t>SBM155</t>
  </si>
  <si>
    <t xml:space="preserve">Anuja J </t>
  </si>
  <si>
    <t>Sowmya</t>
  </si>
  <si>
    <t>RECL</t>
  </si>
  <si>
    <t xml:space="preserve">Abitha Sureshkumar </t>
  </si>
  <si>
    <t xml:space="preserve">Selvaraj Nesamani </t>
  </si>
  <si>
    <t>Male</t>
  </si>
  <si>
    <t xml:space="preserve">Vijin V </t>
  </si>
  <si>
    <t>Kumar Arul Raj</t>
  </si>
  <si>
    <t>Abisha J K</t>
  </si>
  <si>
    <t xml:space="preserve">Suresh Ayyappan </t>
  </si>
  <si>
    <t>Rejisha Beautlin R</t>
  </si>
  <si>
    <t>Abdulkalam Nisja Mudeen</t>
  </si>
  <si>
    <t xml:space="preserve">Mary L </t>
  </si>
  <si>
    <t>Mary Gladis L</t>
  </si>
  <si>
    <t>Ajin Kumar K</t>
  </si>
  <si>
    <t>Abisha S L</t>
  </si>
  <si>
    <t xml:space="preserve">Abinisha Nadarajan </t>
  </si>
  <si>
    <t xml:space="preserve">Vidya M </t>
  </si>
  <si>
    <t>Monisha Devi Murugan</t>
  </si>
  <si>
    <t>SBM479</t>
  </si>
  <si>
    <t>Divya V S Ram</t>
  </si>
  <si>
    <t xml:space="preserve">Abirami Ramaswami </t>
  </si>
  <si>
    <t xml:space="preserve">Abisha D </t>
  </si>
  <si>
    <t xml:space="preserve">Anish K </t>
  </si>
  <si>
    <t xml:space="preserve">Aswin P </t>
  </si>
  <si>
    <t xml:space="preserve">Sajitha P </t>
  </si>
  <si>
    <t xml:space="preserve">Monisha V </t>
  </si>
  <si>
    <t xml:space="preserve">Jenisha R </t>
  </si>
  <si>
    <t>Monisha S S</t>
  </si>
  <si>
    <t xml:space="preserve">Shiny </t>
  </si>
  <si>
    <t xml:space="preserve">Abisha A </t>
  </si>
  <si>
    <t xml:space="preserve">Abisha T </t>
  </si>
  <si>
    <t xml:space="preserve">Renjitha M </t>
  </si>
  <si>
    <t>Abisha Joselin J</t>
  </si>
  <si>
    <t xml:space="preserve">Sini K </t>
  </si>
  <si>
    <t>Anaranya Saravana S</t>
  </si>
  <si>
    <t>Prabin Jose S</t>
  </si>
  <si>
    <t xml:space="preserve">Anisha R </t>
  </si>
  <si>
    <t>Riya Rose K</t>
  </si>
  <si>
    <t>Gopika K S</t>
  </si>
  <si>
    <t>Mookambika  R</t>
  </si>
  <si>
    <t>Vanaja Kumari. M</t>
  </si>
  <si>
    <t>Arockia Shajika G</t>
  </si>
  <si>
    <t>Asmi C S</t>
  </si>
  <si>
    <t xml:space="preserve">Sujitha S </t>
  </si>
  <si>
    <t>Gayathri R K</t>
  </si>
  <si>
    <t xml:space="preserve">Jersha R </t>
  </si>
  <si>
    <t>Leo Shali S</t>
  </si>
  <si>
    <t xml:space="preserve">Abisha E </t>
  </si>
  <si>
    <t xml:space="preserve">Female </t>
  </si>
  <si>
    <t>Anila Prakash</t>
  </si>
  <si>
    <t>Shalini B L</t>
  </si>
  <si>
    <t>Raja shri</t>
  </si>
  <si>
    <t xml:space="preserve">Albert Samuel </t>
  </si>
  <si>
    <t>SBM983</t>
  </si>
  <si>
    <t>Subin S</t>
  </si>
  <si>
    <t>MALE</t>
  </si>
  <si>
    <t>Rajasree S V</t>
  </si>
  <si>
    <t>VPS106</t>
  </si>
  <si>
    <t>Threse Rishika F</t>
  </si>
  <si>
    <t>Livin L H</t>
  </si>
  <si>
    <t>Geo Arlin E</t>
  </si>
  <si>
    <t>VPS124</t>
  </si>
  <si>
    <t>Adhulya A S</t>
  </si>
  <si>
    <t>VPS131</t>
  </si>
  <si>
    <t>Pavithra G V</t>
  </si>
  <si>
    <t>VPS126</t>
  </si>
  <si>
    <t>Vismi D J</t>
  </si>
  <si>
    <t>VPS127</t>
  </si>
  <si>
    <t>Ashlin  D</t>
  </si>
  <si>
    <t>Reshma  D</t>
  </si>
  <si>
    <t>VPS132</t>
  </si>
  <si>
    <t>Abish A</t>
  </si>
  <si>
    <t>Nithisha A</t>
  </si>
  <si>
    <t>Aswathi M G</t>
  </si>
  <si>
    <t>Babisha Benjamin</t>
  </si>
  <si>
    <t>Monisha Satheesh</t>
  </si>
  <si>
    <t>Renjith R A</t>
  </si>
  <si>
    <t>Sowmiya T K</t>
  </si>
  <si>
    <t>Santhiya S</t>
  </si>
  <si>
    <t>Abisha J P</t>
  </si>
  <si>
    <t>Rejin R</t>
  </si>
  <si>
    <t>Nathisha Raj</t>
  </si>
  <si>
    <t>Asmitha J</t>
  </si>
  <si>
    <t>M K Kipston</t>
  </si>
  <si>
    <t>Sam J</t>
  </si>
  <si>
    <t>Lincy S</t>
  </si>
  <si>
    <t>Ashika T</t>
  </si>
  <si>
    <t>Lekshmi A M</t>
  </si>
  <si>
    <t>Anjana Satheesh S B</t>
  </si>
  <si>
    <t>Abishek L</t>
  </si>
  <si>
    <t>Anchu M</t>
  </si>
  <si>
    <t>Nadheesha C</t>
  </si>
  <si>
    <t>Vasanth V S</t>
  </si>
  <si>
    <t>Vishnu T</t>
  </si>
  <si>
    <t>Vishnu Kumar S</t>
  </si>
  <si>
    <t>Ashik Hussain  S</t>
  </si>
  <si>
    <t>Kavin J</t>
  </si>
  <si>
    <t>Sherlin S</t>
  </si>
  <si>
    <t>Vishnu Prasad K</t>
  </si>
  <si>
    <t>Jerin J</t>
  </si>
  <si>
    <t>Shanmidun S</t>
  </si>
  <si>
    <t>Abirenya Ajay A</t>
  </si>
  <si>
    <t xml:space="preserve"> Babithra R</t>
  </si>
  <si>
    <t xml:space="preserve"> Anisha Gnanaseelan</t>
  </si>
  <si>
    <t>Anju Nair V S</t>
  </si>
  <si>
    <t>Libin Paulraj</t>
  </si>
  <si>
    <t>Ponraj S</t>
  </si>
  <si>
    <t>Rejith R R</t>
  </si>
  <si>
    <t>Simeon R J</t>
  </si>
  <si>
    <t>Abipriya Radhakrishnan  Sreekala</t>
  </si>
  <si>
    <t>Saha Nurcy J</t>
  </si>
  <si>
    <t>David Raj Mahadevan Lekshmi</t>
  </si>
  <si>
    <t>Benil S</t>
  </si>
  <si>
    <t>Nithya M В</t>
  </si>
  <si>
    <t>R V Arthin Ram</t>
  </si>
  <si>
    <t>Rejith P</t>
  </si>
  <si>
    <t>Anusha</t>
  </si>
  <si>
    <t>Sumesh H S</t>
  </si>
  <si>
    <t>Abinesh M</t>
  </si>
  <si>
    <t>S Sreejith</t>
  </si>
  <si>
    <t>Akil K S</t>
  </si>
  <si>
    <t>EMP_ ID</t>
  </si>
  <si>
    <t xml:space="preserve">NAME </t>
  </si>
  <si>
    <t>Audit Count</t>
  </si>
  <si>
    <t>MTD Tagging Accuracy</t>
  </si>
  <si>
    <t>MTD - CQ Score</t>
  </si>
  <si>
    <t>Count</t>
  </si>
  <si>
    <t>MTD Score</t>
  </si>
  <si>
    <t>FTD Score</t>
  </si>
  <si>
    <t>Total</t>
  </si>
  <si>
    <t>Fatal Calls</t>
  </si>
  <si>
    <t>DATE</t>
  </si>
  <si>
    <t>FATAL</t>
  </si>
  <si>
    <t>MTD</t>
  </si>
  <si>
    <t>10/13/2025 10:40:29</t>
  </si>
  <si>
    <t>10/13/2025 11:01:08</t>
  </si>
  <si>
    <t>10/13/2025</t>
  </si>
  <si>
    <t>Complete probing not done, empathy &amp; apology missing</t>
  </si>
  <si>
    <t>10/13/2025 11:05:07</t>
  </si>
  <si>
    <t>10/13/2025 11:09:34</t>
  </si>
  <si>
    <t>AOI-complet probing not done</t>
  </si>
  <si>
    <t xml:space="preserve">Opening &amp; Introduction â€“ Done 
Customer details captured â€“Done
Customer concern -Customer ask net work issue
Resolution shared - Advisor complete probing to customers as per call already complaint booking 
Closing as per standard -  Done.
AOI-complet probing not done
</t>
  </si>
  <si>
    <t>10/13/2025 11:15:45</t>
  </si>
  <si>
    <t xml:space="preserve"> Low listening skill</t>
  </si>
  <si>
    <t xml:space="preserve">The customer called for data connectivity related issue , The advisor check and given proper information not followed all parameter properly </t>
  </si>
  <si>
    <t>10/13/2025 11:16:23</t>
  </si>
  <si>
    <t xml:space="preserve">Opening &amp; Introduction â€“ Done 
Customer details captured â€“Done
Customer concern -Customer ask recharge issue
Resolution shared - Advisor complete probing to customers as per call app check
Closing as per standard -  Done.
AOI-complet probing not done
</t>
  </si>
  <si>
    <t>10/13/2025 11:25:19</t>
  </si>
  <si>
    <t>Apology missing, dead air, complete probing not done, correct tagging not done</t>
  </si>
  <si>
    <t>10/13/2025 11:30:47</t>
  </si>
  <si>
    <t xml:space="preserve">Opening &amp; Introduction â€“ Done 
Customer details captured â€“Done
Customer concern -Customer ask data issue
Resolution shared - Advisor complete probing to customers as per call data act
Closing as per standard -  Done.
AOI-dead air,apology missing
</t>
  </si>
  <si>
    <t>10/13/2025 11:39:39</t>
  </si>
  <si>
    <t>AOI-dead air,</t>
  </si>
  <si>
    <t xml:space="preserve">Opening &amp; Introduction â€“ Done 
Customer details captured â€“Done
Customer concern -Customer ask data issue
Resolution shared - Advisor complete probing to customers as per call data act
Closing as per standard -  Done.
AOI-dead air,
</t>
  </si>
  <si>
    <t>10/13/2025 11:40:06</t>
  </si>
  <si>
    <t xml:space="preserve"> Interruption , Lack of active listening </t>
  </si>
  <si>
    <t>The customer called for recharge plan related details, The agent check and given proper information , Not followed parameter properly</t>
  </si>
  <si>
    <t>10/13/2025 11:52:26</t>
  </si>
  <si>
    <t xml:space="preserve"> No active listening skill, pronunciation error (High rate of speech, Not followed script properly(Apology words)  ,No further assistance </t>
  </si>
  <si>
    <t xml:space="preserve"> The customer called for SMS regarding issue , The agent check the details and given proper information SMSC number </t>
  </si>
  <si>
    <t>10/13/2025 12:00:13</t>
  </si>
  <si>
    <t>Empathy &amp; apology missing, dead air, correct information not shared, complete probing not done</t>
  </si>
  <si>
    <t>Customer having IR roaming issue. Advisor complete probing to customer as per call and recharge PV 107 pck details.</t>
  </si>
  <si>
    <t>ENQUIRY ON ISD ROAMING</t>
  </si>
  <si>
    <t>10/13/2025 12:07:06</t>
  </si>
  <si>
    <t>Not used apology words, one way communication missing , Not given accurate information , wrong choice of words,  Lack of focus on the call.</t>
  </si>
  <si>
    <t>The customer called for data connectivity related issue , The advisor probing properly , But did not given information completely .</t>
  </si>
  <si>
    <t>10/13/2025 12:10:00</t>
  </si>
  <si>
    <t>AOI-correct information not done</t>
  </si>
  <si>
    <t>Opening &amp; Introduction â€“ Done 
Customer details captured â€“Done
Customer concern -Customer ask data issue
Resolution shared - Advisor complete probing to customers as per call data act
Closing as per standard -  Done.
AOI-correct information not done</t>
  </si>
  <si>
    <t>10/13/2025 12:11:31</t>
  </si>
  <si>
    <t xml:space="preserve"> Give accurate information/ Next steps on each issue ,  Maintained focus on caller's problem </t>
  </si>
  <si>
    <t>Reason for PORTING request: Data issue
Resolution provided: Complaint not taken,  Customer not agree to continue in BSNL</t>
  </si>
  <si>
    <t>10/13/2025 12:12:28</t>
  </si>
  <si>
    <t xml:space="preserve"> Complete probing not done</t>
  </si>
  <si>
    <t>The customer called for recharge pending regarding details, The agent given TAT due to application down .</t>
  </si>
  <si>
    <t>10/13/2025 12:14:59</t>
  </si>
  <si>
    <t>10/13/2025 12:27:17</t>
  </si>
  <si>
    <t>Customer having call connectivity issue. Advisor complete probing to customer as per call and given recharged pack data pack and TU details.</t>
  </si>
  <si>
    <t>10/13/2025 13:56:05</t>
  </si>
  <si>
    <t xml:space="preserve"> Used Approved Question/Polite language,</t>
  </si>
  <si>
    <t>10/13/2025 14:04:10</t>
  </si>
  <si>
    <t xml:space="preserve"> Explained hold time or Dead air, Script adherence</t>
  </si>
  <si>
    <t>10/13/2025 14:35:38</t>
  </si>
  <si>
    <t xml:space="preserve"> Maintained focus on caller's problem,  Explained hold time or Dead air </t>
  </si>
  <si>
    <t>10/13/2025 14:48:18</t>
  </si>
  <si>
    <t xml:space="preserve"> Not apology words, Lack of confidence </t>
  </si>
  <si>
    <t>The customer called for sim related issue the shown unknown number , The agent informed sim side no issue , try another handset.</t>
  </si>
  <si>
    <t>10/13/2025 14:48:50</t>
  </si>
  <si>
    <t>Customer called and inquired about recharge offer related</t>
  </si>
  <si>
    <t>10/13/2025 15:12:24</t>
  </si>
  <si>
    <t>Introduced Self not done properly</t>
  </si>
  <si>
    <t xml:space="preserve">The customer called for sms not received regarding issue, The advisor check and given proper information about the sms and ISD recharge related details </t>
  </si>
  <si>
    <t>10/13/2025 15:12:44</t>
  </si>
  <si>
    <t xml:space="preserve">  Explained hold time or Dead air,  Used Approved Question/Polite language </t>
  </si>
  <si>
    <t xml:space="preserve">Customer called and enqired about recharge plan details </t>
  </si>
  <si>
    <t>10/13/2025 17:39:40</t>
  </si>
  <si>
    <t>The customer called for data not connected, pincode alteration  related issue , The agent given proper information booked complaint alteration regarding information</t>
  </si>
  <si>
    <t xml:space="preserve">COMPLAINT RELATED	</t>
  </si>
  <si>
    <t xml:space="preserve">ALREADY COMPLAINT BOOKED	</t>
  </si>
  <si>
    <t>10/13/2025 17:49:30</t>
  </si>
  <si>
    <t xml:space="preserve">The customer called for call connectivity related issue , The agent informed sim side no issue , Try to set the network mode settings </t>
  </si>
  <si>
    <t>10/13/2025 17:56:09</t>
  </si>
  <si>
    <t xml:space="preserve"> Not used proper concern tone, Not used proper empathy words</t>
  </si>
  <si>
    <t>The customer for data connectivity related issue , The advisor taken complaint and given proper information .</t>
  </si>
  <si>
    <t>10/13/2025 18:01:53</t>
  </si>
  <si>
    <t xml:space="preserve">No further assistance , High rate of speech </t>
  </si>
  <si>
    <t>The customer called for network regarding issue , The advisor check the details and given proper information to set the network selection settings</t>
  </si>
  <si>
    <t>10/13/2025 18:38:37</t>
  </si>
  <si>
    <t>The customer called for network and data connectivity related issue , The agent given proper information the common issue persist within  2hour issue will be resolved.</t>
  </si>
  <si>
    <t>10/13/2025 18:43:23</t>
  </si>
  <si>
    <t>Interruption , Lack of active listening skill</t>
  </si>
  <si>
    <t xml:space="preserve">The customer called for sms related issue , The agent check and given proper information sim side no issue , SMS balance not available need to topup </t>
  </si>
  <si>
    <t>10/13/2025 18:49:56</t>
  </si>
  <si>
    <t xml:space="preserve">The customer called for new connection not activated related issue, (Network not available issue), The agent check the details and given proper information </t>
  </si>
  <si>
    <t>10/13/2025 18:57:34</t>
  </si>
  <si>
    <t>Lack of active listening skill</t>
  </si>
  <si>
    <t xml:space="preserve">The customer called for recharge regarding issue , The agent  check and given proper information </t>
  </si>
  <si>
    <t>10/13/2025 19:01:24</t>
  </si>
  <si>
    <t>The customer called for connection status related details, The agent given proper information currently connection in inactive status.</t>
  </si>
  <si>
    <t>10/13/2025 19:27:43</t>
  </si>
  <si>
    <t xml:space="preserve">Delay opening , (Maximum of call given TAT due to application ), Opening not done , Not used </t>
  </si>
  <si>
    <t xml:space="preserve">The customer  called for WIFI Not getting properly related issue , The agent given TAT due to application down </t>
  </si>
  <si>
    <t>10/13/2025 19:34:03</t>
  </si>
  <si>
    <t xml:space="preserve">The customer called for payment related details , The agent given TAT for 1 hour due to application issue </t>
  </si>
  <si>
    <t>10/13/2025 19:37:46</t>
  </si>
  <si>
    <t xml:space="preserve">The customer called for data connectivity related issue , The agent check and taken complaint and given proper information </t>
  </si>
  <si>
    <t>10/13/2025 19:41:05</t>
  </si>
  <si>
    <t xml:space="preserve">The customer called for BB related issue , The advisor probing properly and taken complaint and given proper information </t>
  </si>
  <si>
    <t xml:space="preserve">FAULT - FREQUENT DISCONNECTION OF BB/FTTH CONNECTION </t>
  </si>
  <si>
    <t>10/13/2025 21:33:16</t>
  </si>
  <si>
    <t xml:space="preserve">Not used empathy and apology words, No further assistance </t>
  </si>
  <si>
    <t>Customer called and  inquired about Call connectivity related issue, Agent checked and given proper information but not followed required quality parameter properly.</t>
  </si>
  <si>
    <t>10/13/2025 21:37:37</t>
  </si>
  <si>
    <t>Customer called and  inquired about SMS related issue, Agent checked and given proper information.</t>
  </si>
  <si>
    <t xml:space="preserve">SMS CENTER NUMBER	</t>
  </si>
  <si>
    <t>10/13/2025 21:41:04</t>
  </si>
  <si>
    <t xml:space="preserve">Delay opening, No further assistance </t>
  </si>
  <si>
    <t xml:space="preserve">
Customer called and  inquired about Poor coverage related issue, Agent checked and taken poor coverage related complaint. but not followed required quality parameter properly.</t>
  </si>
  <si>
    <t>10/13/2025 21:45:10</t>
  </si>
  <si>
    <t>No active listening skill, Not used empathy word</t>
  </si>
  <si>
    <t>Customer called and  inquired about Outgoing SMS related issue, Agent checked and asked switch to 2G mode and try the SMS.  but not followed required quality parameter properly.</t>
  </si>
  <si>
    <t>10/13/2025 21:48:53</t>
  </si>
  <si>
    <t>Customer called and  inquired about Weak signal related issue, Agent checked and given Setting details. but not followed required quality parameter properly.</t>
  </si>
  <si>
    <t xml:space="preserve">SPEECH BREAK	</t>
  </si>
  <si>
    <t>10/13/2025 21:52:56</t>
  </si>
  <si>
    <t xml:space="preserve">Customer called and  inquired about Weak signal related issue, Agent checked and given Automatic manual setting details properly. </t>
  </si>
  <si>
    <t>10/13/2025 21:55:11</t>
  </si>
  <si>
    <t xml:space="preserve">
Customer called and  inquired about Recharge related issue, Agent checked and given proper information but not followed required quality parameter properly.</t>
  </si>
  <si>
    <t>10/13/2025 21:59:12</t>
  </si>
  <si>
    <t>Customer called and  inquired about Incoming calls  connectivity related issue, Agent checked and no incoming calls related complaint. but not followed required quality parameter properly.</t>
  </si>
  <si>
    <t xml:space="preserve">NOT GETTING INCOMING CALLS	</t>
  </si>
  <si>
    <t>10/13/2025 22:01:58</t>
  </si>
  <si>
    <t>Customer called and  inquired about Outgoing calls connectivity related issue, Agent checked and given Settings information information but not followed required quality parameter properly.</t>
  </si>
  <si>
    <t>10/13/2025 22:13:23</t>
  </si>
  <si>
    <t xml:space="preserve">No active listenong slill, No further assistance </t>
  </si>
  <si>
    <t xml:space="preserve">
Customer called and  inquired about Validity plans related issue, Agent checked and given proper information but not followed required quality parameter properly.</t>
  </si>
  <si>
    <t>10/13/2025 22:44:12</t>
  </si>
  <si>
    <t>No apology, No script adherence</t>
  </si>
  <si>
    <t>Customer concern -Customer called for volte activation .
Resolution shared - Advisor done complete probing to customer as per call.</t>
  </si>
  <si>
    <t>VOLTE RELATED</t>
  </si>
  <si>
    <t>10/13/2025 22:47:39</t>
  </si>
  <si>
    <t>Not use empathy ,Dead air,Interuption</t>
  </si>
  <si>
    <t>Customer concern -Customer called for wrong recharge .
Resolution shared - Advisor done complete probing to customer as per call.</t>
  </si>
  <si>
    <t>10/13/2025 22:51:39</t>
  </si>
  <si>
    <t>Customer concern -Customer called for unable to use recharged pack .
Resolution shared - Advisor done complete probing to customer as per call.</t>
  </si>
  <si>
    <t>10/13/2025 22:55:06</t>
  </si>
  <si>
    <t>Customer concern -Customer called for recharge not activated.
Resolution shared - Advisor done complete probing to customer as per call</t>
  </si>
  <si>
    <t>10/13/2025 22:58:11</t>
  </si>
  <si>
    <t>Not use empathy ,No Script adherence</t>
  </si>
  <si>
    <t xml:space="preserve">
Customer concern -Customer called for recharge plans details .
Resolution shared - Advisor done complete probing to customer as per call.</t>
  </si>
  <si>
    <t>10/13/2025 23:05:24</t>
  </si>
  <si>
    <t>no empathy , No active listening skill</t>
  </si>
  <si>
    <t>Customer concern -Customer called for sim status and recharge plan details .
Resolution shared - Advisor done complete probing to customer as per call.</t>
  </si>
  <si>
    <t>10/13/2025 23:22:51</t>
  </si>
  <si>
    <t>Customer called and  inquired about Outgoing SMS related issue, Agent checked and Taken outgoing SMS related complaint. but not followed required quality parameter properly.</t>
  </si>
  <si>
    <t>10/13/2025 23:25:09</t>
  </si>
  <si>
    <t xml:space="preserve">
Not use empathy and apology, Not given accurate information</t>
  </si>
  <si>
    <t>10/13/2025 23:25:15</t>
  </si>
  <si>
    <t>Na</t>
  </si>
  <si>
    <t>Customer called and  inquired about Poor coverage related issue, Agent checked and taken poor coverage related complaint properly.</t>
  </si>
  <si>
    <t>10/13/2025 23:30:07</t>
  </si>
  <si>
    <t xml:space="preserve">No active listening skill, Not focused customer problem </t>
  </si>
  <si>
    <t>Customer called and  inquired about Poor coverage related issue, Agent checked and taken poor coverage related complaint. but not followed required quality parameter properly.</t>
  </si>
  <si>
    <t>10/13/2025 23:34:06</t>
  </si>
  <si>
    <t>Customer called and  inquired about Outgoins SMS related issue, Agent checked and taken SMS issue related complaint but not followed required quality parameter properly.</t>
  </si>
  <si>
    <t>10/13/2025 23:37:57</t>
  </si>
  <si>
    <t xml:space="preserve">Not active lsitening skill, Dead air, No further assistnace </t>
  </si>
  <si>
    <t>Customer called and  inquired about Data connectivity related issue, Agent checked and taken data connectivity related complaint but not followed required quality parameter properly.</t>
  </si>
  <si>
    <t xml:space="preserve">NO INTERNET SERVICES IN PARTICULAR AREA	</t>
  </si>
  <si>
    <t>10/14/2025 0:07:09</t>
  </si>
  <si>
    <t>Not use empathy and apology, Not given accurate information , Not focus on the customer concern.</t>
  </si>
  <si>
    <t>10/14/2025 10:30:15</t>
  </si>
  <si>
    <t>10/14/2025</t>
  </si>
  <si>
    <t>AOI-dead air,complet probing not done</t>
  </si>
  <si>
    <t>Opening &amp; Introduction â€“ Done 
Customer details captured â€“Done
Customer concern -Customer ask sms issue
Resolution shared - Advisor complete probing to customers as per call sms center number
Closing as per standard -  Done.
AOI-dead air,complet probing not done</t>
  </si>
  <si>
    <t>10/14/2025 10:50:52</t>
  </si>
  <si>
    <t>Opening &amp; Introduction â€“ Done 
Customer details captured â€“Done
Customer concern -Customer ask recharge issue
Resolution shared - Advisor complete probing to customers as per call recharge converstion
Closing as per standard -  Done.
AOI-empathy missing,apology missing</t>
  </si>
  <si>
    <t>10/14/2025 11:30:06</t>
  </si>
  <si>
    <t>Apology missing, Complete probing not done, dead air, long hold</t>
  </si>
  <si>
    <t>10/14/2025 11:37:54</t>
  </si>
  <si>
    <t>Complete probing not done, inetrruption on call</t>
  </si>
  <si>
    <t xml:space="preserve"> SLOW DATA SPEED</t>
  </si>
  <si>
    <t>10/14/2025 11:44:51</t>
  </si>
  <si>
    <t>Customer having network connectivity issue. Advisor complete probing to customer as per call and given network access abrred and given balance due available payment details .</t>
  </si>
  <si>
    <t>10/14/2025 11:53:11</t>
  </si>
  <si>
    <t>Complete probing not done, impolite language</t>
  </si>
  <si>
    <t>Customer having network connectivity issuein UAE. Advisor complete probing to customer as per given try to another hand set details.</t>
  </si>
  <si>
    <t>10/14/2025 12:03:12</t>
  </si>
  <si>
    <t>Dead air, complete probing not done</t>
  </si>
  <si>
    <t>AGREED</t>
  </si>
  <si>
    <t>10/14/2025 13:49:58</t>
  </si>
  <si>
    <t>AOI-empathy missing,correct probing not done</t>
  </si>
  <si>
    <t>Opening &amp; Introduction â€“ Done 
Customer details captured â€“Done
Customer concern -Customer ask network issue
Resolution shared - Advisor complete probing to customers as per call setting 
Closing as per standard -  Done.
AOI-empathy missing,correct probing not done</t>
  </si>
  <si>
    <t>10/14/2025 14:18:17</t>
  </si>
  <si>
    <t>AOI-empathy missing,did not confirm districk,taluk</t>
  </si>
  <si>
    <t>Opening &amp; Introduction â€“ Done 
Customer details captured â€“Done
Customer concern -Customer ask sms issue
Resolution shared - Advisor complete probing to customers as per call setting 
Closing as per standard -  Done.
AOI-empathy missing,did not confirm districk,taluk</t>
  </si>
  <si>
    <t>10/14/2025 14:45:39</t>
  </si>
  <si>
    <t>Opening &amp; Introduction â€“ Done 
Customer details captured â€“Done
Customer concern -Customer ask isd sim details
Resolution shared - Advisor complete probing to customers as per call sim isd active then romaning plan update 
Closing as per standard -  Done.
AOI-empathy missing,did not confirm districk,taluk</t>
  </si>
  <si>
    <t>10/14/2025 15:50:02</t>
  </si>
  <si>
    <t>AOI-empathy missing,probing did not complet</t>
  </si>
  <si>
    <t>Opening &amp; Introduction â€“ Done 
Customer details captured â€“Done
Customer concern -Customer ask plan details
Resolution shared - Advisor complete probing to customers as per call plan 147 
Closing as per standard -  Done.
AOI-empathy missing,probing did not complet</t>
  </si>
  <si>
    <t>10/14/2025 17:25:07</t>
  </si>
  <si>
    <t>Opening &amp; Introduction â€“ Done 
Customer details captured â€“Done
Customer concern -Customer ask landline issue
Resolution shared - Advisor complete probing to customers as per call application down
Closing as per standard -  Done.
AOI-empathy missing,probing did not complet</t>
  </si>
  <si>
    <t>10/14/2025 17:33:42</t>
  </si>
  <si>
    <t>Opening &amp; Introduction â€“ Done 
Customer details captured â€“Done
Customer concern -Customer ask sim details
Resolution shared - Advisor complete probing to customers as per call 18001801503
Closing as per standard -  Done.
AOI-empathy missing,probing did not complet</t>
  </si>
  <si>
    <t>10/14/2025 17:42:00</t>
  </si>
  <si>
    <t>Opening &amp; Introduction â€“ Done 
Customer details captured â€“Done
Customer concern -Customer ask landline issue
Resolution shared - Advisor complete probing to customers as per call complaint booking
Closing as per standard -  Done.
AOI-empathy missing,probing did not complet</t>
  </si>
  <si>
    <t>10/14/2025 17:47:52</t>
  </si>
  <si>
    <t>AOI-empathy missing,did not ask customer details</t>
  </si>
  <si>
    <t>Opening &amp; Introduction â€“ Done 
Customer details captured â€“Done
Customer concern -Customer ask wifi roming details
Resolution shared - Advisor complete probing to customers as per call bsnl office visit
Closing as per standard -  Done.
AOI-empathy missing,did not ask customer details</t>
  </si>
  <si>
    <t>10/14/2025 17:52:36</t>
  </si>
  <si>
    <t>AOI-empathy missing,apology missing, complet probing not done</t>
  </si>
  <si>
    <t>Opening &amp; Introduction â€“ Done 
Customer details captured â€“Done
Customer concern -Customer ask lindline issue
Resolution shared - Advisor complete probing to customers as per call bsnl office visit
Closing as per standard -  Done.
AOI-empathy missing,apology missing, complet probing not done</t>
  </si>
  <si>
    <t>10/14/2025 18:03:21</t>
  </si>
  <si>
    <t>Jijo</t>
  </si>
  <si>
    <t>The customer called for data not connected related details , The agent check and given proper information  sim side no issue try to set the network settings</t>
  </si>
  <si>
    <t>10/14/2025 18:06:50</t>
  </si>
  <si>
    <t>Opening &amp; Introduction â€“ Done 
Customer details captured â€“Done
Customer concern -Customer ask bb issue
Resolution shared - Advisor complete probing to customers as per call already compliant booking
Closing as per standard -  Done.
AOI-empathy missing</t>
  </si>
  <si>
    <t>10/14/2025 18:11:00</t>
  </si>
  <si>
    <t xml:space="preserve"> Low active listening skill</t>
  </si>
  <si>
    <t>The customer called for call not connected related issue , The agent given proper information call balance not available need to recharge for call service .</t>
  </si>
  <si>
    <t>10/14/2025 18:14:41</t>
  </si>
  <si>
    <t xml:space="preserve">Opening &amp; Introduction â€“ Done 
Customer details captured â€“Done
Customer concern -Customer ask new connection details
Resolution shared - Advisor complete probing to customers as per call bsnl office visit
Closing as per standard -  Done.
AOI-empathy missing, </t>
  </si>
  <si>
    <t>10/14/2025 18:16:21</t>
  </si>
  <si>
    <t xml:space="preserve">The customer called for not able to recharge related issue , The agent check and given proper information </t>
  </si>
  <si>
    <t>10/14/2025 18:18:37</t>
  </si>
  <si>
    <t>10/14/2025 18:21:48</t>
  </si>
  <si>
    <t xml:space="preserve">The customer called for  data connectivity related issue , The agent check and given proper information to set the network selection setting </t>
  </si>
  <si>
    <t>10/14/2025 18:22:22</t>
  </si>
  <si>
    <t>10/14/2025 18:34:12</t>
  </si>
  <si>
    <t>10/14/2025 18:37:53</t>
  </si>
  <si>
    <t xml:space="preserve">The customer called for sms related issue , The agent given proper information to set the SMSC number </t>
  </si>
  <si>
    <t>10/14/2025 19:08:00</t>
  </si>
  <si>
    <t>The customer called for recharge not refunded related issue , The agent given TAT due to application down.</t>
  </si>
  <si>
    <t xml:space="preserve">DOUBLE RECHARGE	</t>
  </si>
  <si>
    <t>10/14/2025 19:18:28</t>
  </si>
  <si>
    <t>Did not maintain Polite language</t>
  </si>
  <si>
    <t>The customer called for call not connection related issue , The agent check and given proper information and taken recharge request .</t>
  </si>
  <si>
    <t xml:space="preserve">WRONG VOUCHER	</t>
  </si>
  <si>
    <t xml:space="preserve">CONVERSION OF PACK	</t>
  </si>
  <si>
    <t>10/14/2025 19:26:37</t>
  </si>
  <si>
    <t xml:space="preserve">The customer called for data not connected related issue , The advisor taken complaint and given proper information </t>
  </si>
  <si>
    <t>10/14/2025 19:32:27</t>
  </si>
  <si>
    <t xml:space="preserve">Interruption </t>
  </si>
  <si>
    <t>The customer called for recharge related details , The agent check and informed the sim not active need to contact nearby bsnl office for reactivation .</t>
  </si>
  <si>
    <t xml:space="preserve">SERVICES	</t>
  </si>
  <si>
    <t>10/14/2025 19:49:12</t>
  </si>
  <si>
    <t>SR number not given , No further assistance , No used apology words</t>
  </si>
  <si>
    <t xml:space="preserve">The customer called for network signal regarding issue , The agent taken complaint and given proper information </t>
  </si>
  <si>
    <t>10/14/2025 20:27:29</t>
  </si>
  <si>
    <t xml:space="preserve"> Failed to ask Empathy  and customer Name </t>
  </si>
  <si>
    <t xml:space="preserve">The customer called and Inquiry About Internet not getting related Issue, agent checked and Information Given Properly </t>
  </si>
  <si>
    <t>10/14/2025 20:31:20</t>
  </si>
  <si>
    <t>10/14/2025 20:42:10</t>
  </si>
  <si>
    <t xml:space="preserve">The customer called and Inquiry About plan details and account details agent checked and Information given Properly </t>
  </si>
  <si>
    <t>10/14/2025 20:46:00</t>
  </si>
  <si>
    <t>10/14/2025 20:49:46</t>
  </si>
  <si>
    <t xml:space="preserve">The customer called and Inquiry About Billing related Issues, agent checked and Information  given Properly </t>
  </si>
  <si>
    <t>10/14/2025 20:53:34</t>
  </si>
  <si>
    <t>Customer concern -Customer called for sim block .
Resolution shared - Advisor done complete probing to customer as per call.</t>
  </si>
  <si>
    <t>10/14/2025 20:57:14</t>
  </si>
  <si>
    <t>No apology, Dead air</t>
  </si>
  <si>
    <t>Customer concern -Customer called for unable to use data .
Resolution shared - Advisor done complete probing to customer as per call</t>
  </si>
  <si>
    <t>10/14/2025 21:02:24</t>
  </si>
  <si>
    <t>No active listening skill, No apology</t>
  </si>
  <si>
    <t>10/14/2025 21:06:27</t>
  </si>
  <si>
    <t>Customer concern -Customer called for wrong recharge .
Resolution shared - Advisor done complete probing to customer as per call</t>
  </si>
  <si>
    <t>10/14/2025 21:09:35</t>
  </si>
  <si>
    <t>Not Gave SR Number,No apology</t>
  </si>
  <si>
    <t>INTERNET SYMBOL NOT SHOWING WHILE NETWORK IS FULL</t>
  </si>
  <si>
    <t>10/14/2025 21:49:39</t>
  </si>
  <si>
    <t xml:space="preserve">The customer called and Inquiry about connection closing status and account details, agent checked and Information given Properly </t>
  </si>
  <si>
    <t>10/14/2025 21:53:29</t>
  </si>
  <si>
    <t>The customer called and Inquiry  About Internet not working related Issue, agent checked and Provide the application is down ( Information given Properly - BSNL Technical Issue )</t>
  </si>
  <si>
    <t>10/14/2025 21:56:22</t>
  </si>
  <si>
    <t>10/14/2025 22:00:19</t>
  </si>
  <si>
    <t>10/14/2025 22:04:52</t>
  </si>
  <si>
    <t xml:space="preserve">Failed to use  empathy Wordings and Identified other issues raised 
</t>
  </si>
  <si>
    <t xml:space="preserve">The customer called and Inquiry about Connection not getting and Internet not working related Issue, agent checked and Information given Properly </t>
  </si>
  <si>
    <t>10/14/2025 22:34:07</t>
  </si>
  <si>
    <t xml:space="preserve">Not asked customer name, No further assistance </t>
  </si>
  <si>
    <t>Customer called and  inquired about Plans and validity related issue, Agent checked and given plans details and 2% Discount details. but not followed required quality parameter properly.</t>
  </si>
  <si>
    <t>10/14/2025 22:37:29</t>
  </si>
  <si>
    <t>10/14/2025 22:41:17</t>
  </si>
  <si>
    <t>Customer called and  inquired about Validity and plans related issue, Agent checked and given Plans details. but not followed required quality parameter properly.</t>
  </si>
  <si>
    <t>10/14/2025 22:47:47</t>
  </si>
  <si>
    <t>Customer called and  inquired about Data connectivity related issue, Agent checked and taken data issue related complaint properly.</t>
  </si>
  <si>
    <t>10/14/2025 22:50:28</t>
  </si>
  <si>
    <t>Not opening with proper script, Not used empathy and apology words</t>
  </si>
  <si>
    <t>Customer called and  inquired about Outgoing SMS related issue, Agent checked and given proper information but not followed required quality parameter properly.</t>
  </si>
  <si>
    <t>10/15/2025 8:35:43</t>
  </si>
  <si>
    <t>VPS122</t>
  </si>
  <si>
    <t>Customer called to know about recharge plan details regarding</t>
  </si>
  <si>
    <t>10/15/2025 8:40:50</t>
  </si>
  <si>
    <t xml:space="preserve"> Demonstrated active listening skills</t>
  </si>
  <si>
    <t xml:space="preserve">Customer called to know about recharge plan details </t>
  </si>
  <si>
    <t>10/15/2025 8:45:36</t>
  </si>
  <si>
    <t xml:space="preserve">Script adherence,  Maintained focus on caller's problem </t>
  </si>
  <si>
    <t>Customer facing OTP Issue related</t>
  </si>
  <si>
    <t>10/15/2025 8:52:23</t>
  </si>
  <si>
    <t xml:space="preserve"> Used confidence &amp; empathy Wordings ,  Gave apology/reassurance/appropriate response ,  Explained hold time or Dead air , Script adherence</t>
  </si>
  <si>
    <t>Customer facing data connectivity issue related</t>
  </si>
  <si>
    <t>10/15/2025 9:11:38</t>
  </si>
  <si>
    <t xml:space="preserve">  Demonstrated active listening skills, Asked Caller Name(First &amp;Last name)</t>
  </si>
  <si>
    <t>Customer called for Call connectivity issue related</t>
  </si>
  <si>
    <t>10/15/2025 9:18:11</t>
  </si>
  <si>
    <t xml:space="preserve"> Demonstrated active listening skills,  Used confidence &amp; empathy Wordings,  Explained hold time or Dead air </t>
  </si>
  <si>
    <t>Customer called for data connectivity issue related</t>
  </si>
  <si>
    <t>10/15/2025 9:39:06</t>
  </si>
  <si>
    <t xml:space="preserve">Asked Caller Name(First &amp;Last name),  Used confidence &amp; empathy Wordings,  Gave apology/reassurance/appropriate response,  Give accurate information/ Next steps on each issue,  Maintained focus on caller's problem </t>
  </si>
  <si>
    <t>10/15/2025 9:45:17</t>
  </si>
  <si>
    <t xml:space="preserve">Maintained focus on caller's problem,  Give accurate information/ Next steps on each issue </t>
  </si>
  <si>
    <t>Customer called for PORT code issue related</t>
  </si>
  <si>
    <t xml:space="preserve">PORT IN FROM OTHER NETWORK TO BSNL </t>
  </si>
  <si>
    <t>10/15/2025 10:02:49</t>
  </si>
  <si>
    <t>10/15/2025 10:22:13</t>
  </si>
  <si>
    <t>Customer called and spoken in Hindi language, agent provided UP Customer care number</t>
  </si>
  <si>
    <t>10/15/2025 10:33:52</t>
  </si>
  <si>
    <t>Asked Caller Name(First &amp;Last name),  Explained hold time or Dead air,  Maintained focus on caller's problem, Script adherence</t>
  </si>
  <si>
    <t>10/15/2025 10:41:30</t>
  </si>
  <si>
    <t>10/15/2025</t>
  </si>
  <si>
    <t>AOI-proper call</t>
  </si>
  <si>
    <t>Opening &amp; Introduction â€“ Done 
Customer details captured â€“Done
Customer concern -Customer ask recharge details
Resolution shared - Advisor complete probing to customers as per call plan 198 so 153 covert request
Closing as per standard -  Done.
AOI-proper call</t>
  </si>
  <si>
    <t>10/15/2025 10:45:16</t>
  </si>
  <si>
    <t xml:space="preserve"> Asked Caller Name(First &amp;Last name),  Used confidence &amp; empathy Wordings </t>
  </si>
  <si>
    <t>Customer called and informed that he couldn't able to access internet, agent checked and informed his data balance was completed</t>
  </si>
  <si>
    <t>10/15/2025 10:48:15</t>
  </si>
  <si>
    <t>Opening &amp; Introduction â€“ Done 
Customer details captured â€“Done
Customer concern -Customer ask recharge details
Resolution shared - Advisor complete probing to customers as per call plan 198 so 153 covert request
Closing as per standard -  Done.
AOI-probing not done</t>
  </si>
  <si>
    <t>10/15/2025 10:55:12</t>
  </si>
  <si>
    <t>AOI-did not fouse all step</t>
  </si>
  <si>
    <t>Opening &amp; Introduction â€“ Done 
Customer details captured â€“Done
Customer concern -Customer ask isd romaning details
Resolution shared - Advisor complete probing to customers as per call romaning plan 167 
Closing as per standard -  Done.
AOI-did not fouse all step</t>
  </si>
  <si>
    <t>10/15/2025 11:05:26</t>
  </si>
  <si>
    <t xml:space="preserve">
Opening &amp; Introduction â€“ Done 
Customer details captured â€“Done
Customer concern -Customer ask sim details
Resolution shared - Advisor complete probing to customers as per call 4gcovert process
Closing as per standard -  Done.
AOI-probing not done</t>
  </si>
  <si>
    <t>10/15/2025 11:14:47</t>
  </si>
  <si>
    <t>AOI-apology missing,empathy missing</t>
  </si>
  <si>
    <t xml:space="preserve">
Opening &amp; Introduction â€“ Done 
Customer details captured â€“Done
Customer concern -Customer ask network issue
Resolution shared - Advisor complete probing to customers as per call customer call disconnected 
Closing as per standard -  Done.
AOI-apology missing,empathy missing</t>
  </si>
  <si>
    <t>10/15/2025 11:26:04</t>
  </si>
  <si>
    <t xml:space="preserve"> Give accurate information/ Next steps on each issue, Maintained focus on caller's problem </t>
  </si>
  <si>
    <t>Customer called and informed that she couldn't abler to make outgoing calls</t>
  </si>
  <si>
    <t>10/15/2025 11:30:49</t>
  </si>
  <si>
    <t>Demonstrated active listening skills</t>
  </si>
  <si>
    <t>10/15/2025 11:37:47</t>
  </si>
  <si>
    <t>Not used proper script</t>
  </si>
  <si>
    <t>The customer called for port sim activation related details, The agent  check and informed sim currently not active need to wait for sometimes</t>
  </si>
  <si>
    <t xml:space="preserve">PORT IN ENQUIRY	</t>
  </si>
  <si>
    <t xml:space="preserve">ENQUIRY ON PORT IN STATUS	</t>
  </si>
  <si>
    <t>10/15/2025 11:39:16</t>
  </si>
  <si>
    <t>Customer called for recharge issue related</t>
  </si>
  <si>
    <t>10/15/2025 11:48:39</t>
  </si>
  <si>
    <t xml:space="preserve"> No used apology words , Interruption , Low listening skill, Repeation </t>
  </si>
  <si>
    <t>The customer called for data not connected related issue , The agent check the details and given proper information sim sid e  data not activated , will activate the data service and taken complaint for this issue .</t>
  </si>
  <si>
    <t>10/15/2025 12:24:00</t>
  </si>
  <si>
    <t>Didn't confirm caller name , Not used empathy words , SR number not given</t>
  </si>
  <si>
    <t xml:space="preserve">The customer called for data connectivity related issue , The agent probing properly ,taken complaint and given proper information </t>
  </si>
  <si>
    <t>10/15/2025 13:01:28</t>
  </si>
  <si>
    <t>The customer called for recharge failed related issue , The agent check the details and given proper information, recharge not done if it failed will be refunded within 4 days .</t>
  </si>
  <si>
    <t>10/15/2025 13:03:50</t>
  </si>
  <si>
    <t>Not used empathy words, Not used apology word</t>
  </si>
  <si>
    <t xml:space="preserve"> The customer called for recharge plan related details, The advisor check the details and given proper information </t>
  </si>
  <si>
    <t xml:space="preserve"> ENQUIRY ON PREPAID PLANS</t>
  </si>
  <si>
    <t>10/15/2025 13:04:08</t>
  </si>
  <si>
    <t>Empathy &amp; apology missing, correct greeting not used</t>
  </si>
  <si>
    <t>Customer having details regarding CSC for sim replacement. Advisor complete probing to customer as per call and given CSC details not available and serach in Google details</t>
  </si>
  <si>
    <t>10/15/2025 13:06:28</t>
  </si>
  <si>
    <t xml:space="preserve"> Not used proper script(INCOMPLTE)</t>
  </si>
  <si>
    <t>The customer called for recharge related details , The agent check the details and given proper informtaion about the recharge plan and sim details</t>
  </si>
  <si>
    <t xml:space="preserve"> ENQUIRY ON PREPAID PLANS	 </t>
  </si>
  <si>
    <t>10/15/2025 13:08:55</t>
  </si>
  <si>
    <t>Repetition</t>
  </si>
  <si>
    <t>The customer called for data not connected related issue , The advisor check and given proper information to reset the APN settings.</t>
  </si>
  <si>
    <t>10/15/2025 13:14:18</t>
  </si>
  <si>
    <t xml:space="preserve"> Not used  empathy words, Not used further assistance </t>
  </si>
  <si>
    <t xml:space="preserve">The customer called for call not connected related issue , The agent check and given proper information call balance not available </t>
  </si>
  <si>
    <t>10/15/2025 13:20:17</t>
  </si>
  <si>
    <t xml:space="preserve"> Not used further assistance </t>
  </si>
  <si>
    <t>The customer called for flash sms related issue , The agent check the details and given proper information to deactivate the push sms option .</t>
  </si>
  <si>
    <t xml:space="preserve">VAS SERVICES	</t>
  </si>
  <si>
    <t xml:space="preserve">BSNL BUZZ	</t>
  </si>
  <si>
    <t>10/15/2025 13:39:12</t>
  </si>
  <si>
    <t>10/15/2025 13:53:07</t>
  </si>
  <si>
    <t>Complete probing not done, further assistance not done</t>
  </si>
  <si>
    <t xml:space="preserve"> NO INTERNET ACCESS</t>
  </si>
  <si>
    <t>10/15/2025 13:57:13</t>
  </si>
  <si>
    <t>Opening &amp; Introduction â€“ Done 
Customer details captured â€“Done
Customer concern -Customer ask sim details
Resolution shared - Advisor complete probing to customers as per call setting provide
Closing as per standard -  Done.
AOI-empathy missing</t>
  </si>
  <si>
    <t>SPEECH BREAK</t>
  </si>
  <si>
    <t>10/15/2025 13:57:20</t>
  </si>
  <si>
    <t>Didn't ask customer name, empathy &amp; apology missing, dead air</t>
  </si>
  <si>
    <t>Customer having data connectivity issue. Advisor complete probing to customer as per call and activated data service.</t>
  </si>
  <si>
    <t>10/15/2025 13:59:41</t>
  </si>
  <si>
    <t xml:space="preserve">Opening &amp; Introduction â€“ Done 
Customer details captured â€“Done
Customer concern -Customer ask plan convert details
Resolution shared - Advisor complete probing to customers as per call setting provide
Closing as per standard -  Done.
AOI-empathy missing,
</t>
  </si>
  <si>
    <t>10/15/2025 14:02:10</t>
  </si>
  <si>
    <t xml:space="preserve">Opening &amp; Introduction â€“ Done 
Customer details captured â€“Done
Customer concern -Customer ask plan details
Resolution shared - Advisor complete probing to customers as per call plan 485
Closing as per standard -  Done.
AOI-empathy missing,probing not done
</t>
  </si>
  <si>
    <t>10/15/2025 14:02:34</t>
  </si>
  <si>
    <t>10/15/2025 14:04:23</t>
  </si>
  <si>
    <t xml:space="preserve">Opening &amp; Introduction â€“ Done 
Customer details captured â€“Done
Customer concern -Customer ask unwanted msg 
Resolution shared - Advisor complete probing to customers as per call no option in customer care
Closing as per standard -  Done.
AOI-empathy missing,probing not done
</t>
  </si>
  <si>
    <t>10/15/2025 14:08:34</t>
  </si>
  <si>
    <t>Opening &amp; Introduction â€“ Done 
Customer details captured â€“Done
Customer concern -Customer ask network issue
Resolution shared - Advisor complete probing to customers as per call complaint related
Closing as per standard -  Done.
AOI-probing not done</t>
  </si>
  <si>
    <t>COMPLAINT RELATE</t>
  </si>
  <si>
    <t>ENQUIRY ON LAST COMPLAINT</t>
  </si>
  <si>
    <t>10/15/2025 14:14:15</t>
  </si>
  <si>
    <t xml:space="preserve">Customer details captured â€“Done
Customer concern -Customer ask plan details
Resolution shared - Advisor complete probing to customers as per call plan min147
Closing as per standard -  Done.
AOI-probing not done
</t>
  </si>
  <si>
    <t>10/15/2025 14:28:44</t>
  </si>
  <si>
    <t>The customer called for recharge plan related details, The agent given proper information about the recharge plan details</t>
  </si>
  <si>
    <t>10/15/2025 14:29:56</t>
  </si>
  <si>
    <t>Opening &amp; Introduction â€“ Done 
Customer details captured â€“Done
Customer concern -Customer ask data plan details
Resolution shared - Advisor complete probing to customers as per call plan 411
Closing as per standard -  Done.
AOI-empathy missing,</t>
  </si>
  <si>
    <t>10/15/2025 14:32:44</t>
  </si>
  <si>
    <t xml:space="preserve">Customer could,'t able to make outgoing calls </t>
  </si>
  <si>
    <t>10/15/2025 14:36:32</t>
  </si>
  <si>
    <t xml:space="preserve">Customer need to know about active plan details, recharge plan details </t>
  </si>
  <si>
    <t>10/15/2025 14:37:07</t>
  </si>
  <si>
    <t>AOI-empathy missing,script did not followed</t>
  </si>
  <si>
    <t xml:space="preserve">Opening &amp; Introduction â€“ Done 
Customer details captured â€“Done
Customer concern -Customer ask sms issue
Resolution shared - Advisor complete probing to customers as per call sms plan not done
Closing as per standard -  Done.
AOI-empathy missing,script did not followed
</t>
  </si>
  <si>
    <t xml:space="preserve"> BLANK CALL</t>
  </si>
  <si>
    <t>CUSTOMER DISCONNECTED THE CALL</t>
  </si>
  <si>
    <t>10/15/2025 14:39:38</t>
  </si>
  <si>
    <t>Opening &amp; Introduction â€“ Done 
Customer details captured â€“Done
Customer concern -Customer ask sim verification details
Resolution shared - Advisor complete probing to customers as per call tv negative
Closing as per standard -  Done.
AOI-empathy missing,</t>
  </si>
  <si>
    <t>NEGATIVE</t>
  </si>
  <si>
    <t>10/15/2025 14:41:13</t>
  </si>
  <si>
    <t xml:space="preserve"> Explained hold time or Dead air,  Used confidence &amp; empathy Wordings </t>
  </si>
  <si>
    <t>Customer facing recharge issue related</t>
  </si>
  <si>
    <t>10/15/2025 14:42:19</t>
  </si>
  <si>
    <t>AOI-empathy missing,probing not did complet</t>
  </si>
  <si>
    <t xml:space="preserve">Customer details captured â€“Done
Customer concern -Customer ask plan  details
Resolution shared - Advisor complete probing to customers as per call plan147
Closing as per standard -  Done.
AOI-empathy missing,probing not did complet
</t>
  </si>
  <si>
    <t>recharge details</t>
  </si>
  <si>
    <t>10/15/2025 14:45:34</t>
  </si>
  <si>
    <t>AOI-did not activie lessong skil</t>
  </si>
  <si>
    <t xml:space="preserve">Opening &amp; Introduction â€“ Done 
Customer details captured â€“Done
Customer concern -Customer ask volte details
Resolution shared - Advisor complete probing to customers as per call volte act
Closing as per standard -  Done.
AOI-did not activie lessong skil
</t>
  </si>
  <si>
    <t>10/15/2025 14:48:01</t>
  </si>
  <si>
    <t xml:space="preserve">SBM773 </t>
  </si>
  <si>
    <t xml:space="preserve">AOI-did not focuse </t>
  </si>
  <si>
    <t xml:space="preserve">Opening &amp; Introduction â€“ Done 
Customer details captured â€“Done
Customer concern -Customer ask network issue
Resolution shared - Advisor complete probing to customers as per call already complaint booking
Closing as per standard -  Done.
AOI-did not focuse </t>
  </si>
  <si>
    <t>10/15/2025 14:50:40</t>
  </si>
  <si>
    <t xml:space="preserve">AOI-empathy missing,did not confirm districk ,taluk,probing </t>
  </si>
  <si>
    <t xml:space="preserve">Opening &amp; Introduction â€“ Done 
Customer details captured â€“Done
Customer concern -Customer ask sms issue
Resolution shared - Advisor complete probing to customers as per call main balance 10 topup
Closing as per standard -  Done.
AOI-empathy missing,did not confirm districk ,taluk,probing 
</t>
  </si>
  <si>
    <t>10/15/2025 14:51:27</t>
  </si>
  <si>
    <t xml:space="preserve"> Did not confirm the caller name , Not used further assistance , Did not used proper empathy words</t>
  </si>
  <si>
    <t>The customer called for new sim call service not connected related issue , The agent check the details and informed the FRC recharge not updated need to update the FRC recharge .</t>
  </si>
  <si>
    <t xml:space="preserve">NEW CUSTOMER	</t>
  </si>
  <si>
    <t xml:space="preserve">FRC NOT UPDATED	</t>
  </si>
  <si>
    <t>10/15/2025 15:02:02</t>
  </si>
  <si>
    <t xml:space="preserve"> No further assistance , Did not confirm the caller name, No apology words used</t>
  </si>
  <si>
    <t xml:space="preserve">The customer called for IR service related details , The agent check the detailsand informed sim side no issue , e sim conversion not possible </t>
  </si>
  <si>
    <t>10/15/2025 15:03:55</t>
  </si>
  <si>
    <t xml:space="preserve">Opening &amp; Introduction â€“ Done 
Customer details captured â€“Done
Customer concern -Customer ask recharge details
Resolution shared - Advisor complete probing to customers as per call recharge amount refound
Closing as per standard -  Done.
AOI-empathy missing,probing did not complet
</t>
  </si>
  <si>
    <t>10/15/2025 16:08:21</t>
  </si>
  <si>
    <t>AOI-empathy missing,tagging not done</t>
  </si>
  <si>
    <t xml:space="preserve">Opening &amp; Introduction â€“ Done 
Customer details captured â€“Done
Customer concern -Customer ask recharge details
Resolution shared - Advisor complete probing to customers as per call main accout didact recharge amount16
Closing as per standard -  Done.
AOI-empathy missing,tagging not done
</t>
  </si>
  <si>
    <t>10/15/2025 16:22:09</t>
  </si>
  <si>
    <t xml:space="preserve">Opening &amp; Introduction â€“ Done 
Customer details captured â€“Done
Customer concern -Customer ask sms details
Resolution shared - Advisor complete probing to customers as per call sms issue
Closing as per standard -  Done.
AOI-empathy missing,probing did not complet
</t>
  </si>
  <si>
    <t>10/15/2025 16:31:02</t>
  </si>
  <si>
    <t xml:space="preserve">Opening &amp; Introduction â€“ Done 
Customer details captured â€“Done
Customer concern -Customer ask roming details
Resolution shared - Advisor complete probing to customers as per call isd roaming details
Closing as per standard -  Done.
AOI-empathy missing,probing did not complet
</t>
  </si>
  <si>
    <t>10/15/2025 17:09:40</t>
  </si>
  <si>
    <t xml:space="preserve">Opening &amp; Introduction â€“ Done 
Customer details captured â€“Done
Customer concern -Customer ask bb details
Resolution shared - Advisor complete probing to customers as per call bsnl office visit
Closing as per standard -  Done.
AOI-empathy missing,
</t>
  </si>
  <si>
    <t>10/15/2025 17:13:47</t>
  </si>
  <si>
    <t xml:space="preserve"> No further assistance </t>
  </si>
  <si>
    <t>The customer called for network not shown on his roaming sim , The agent check and given proper information sim side no issue IR common issue persist will resolve soon.</t>
  </si>
  <si>
    <t>10/15/2025 17:14:14</t>
  </si>
  <si>
    <t>Opening &amp; Introduction â€“ Done 
Customer details captured â€“Done
Customer concern -Customer ask bb details
Resolution shared - Advisor complete probing to customers as per call bsnl office visit
Closing as per standard -  Done.
AOI-empathy missing,</t>
  </si>
  <si>
    <t>ns</t>
  </si>
  <si>
    <t>10/15/2025 17:23:13</t>
  </si>
  <si>
    <t xml:space="preserve">Dead air , No further assistance </t>
  </si>
  <si>
    <t>The customer called for IR service related issue , The agent check and given proper information sim side no issue ,need to top-up for the IR service</t>
  </si>
  <si>
    <t>10/15/2025 17:23:58</t>
  </si>
  <si>
    <t>AOI-empathy missing,correct greeting not done</t>
  </si>
  <si>
    <t xml:space="preserve">Opening &amp; Introduction â€“ Done 
Customer details captured â€“Done
Customer concern -Customer ask wifi issue
Resolution shared - Advisor complete probing to customers as per call complaint booking
Closing as per standard -  Done.
AOI-empathy missing,correct greeting not done
</t>
  </si>
  <si>
    <t>10/15/2025 17:28:41</t>
  </si>
  <si>
    <t>Not followed step properly, Not used apology words</t>
  </si>
  <si>
    <t>The customer called for recharge related issue, call not connected related issue, The advisor check the details and given proper information call balance not available .</t>
  </si>
  <si>
    <t>10/15/2025 17:33:18</t>
  </si>
  <si>
    <t xml:space="preserve">SR number not given </t>
  </si>
  <si>
    <t>The customer called for data connectivity related issue, The agent check the details and taken complaint</t>
  </si>
  <si>
    <t>10/15/2025 17:46:16</t>
  </si>
  <si>
    <t xml:space="preserve">Opening &amp; Introduction â€“ Done 
Customer details captured â€“Done
Customer concern -Customer ask landline issue
Resolution shared - Advisor complete probing to customers as per call application down
Closing as per standard -  Done.
AOI-empathy missing,apology missing
</t>
  </si>
  <si>
    <t>10/15/2025 17:53:54</t>
  </si>
  <si>
    <t>AOI-empathy missing,apoliogy missing,</t>
  </si>
  <si>
    <t xml:space="preserve">Opening &amp; Introduction â€“ Done 
Customer details captured â€“Done
Customer concern -Customer ask landline issue
Resolution shared - Advisor complete probing to customers as per call complaint booking
Closing as per standard -  Done.
AOI-empathy missing,apoliogy missing,
</t>
  </si>
  <si>
    <t>10/15/2025 17:57:15</t>
  </si>
  <si>
    <t xml:space="preserve"> Did not confirmed caller name</t>
  </si>
  <si>
    <t xml:space="preserve">The customer called for recharged but call not connected related issue , The agent check the details and given proper information about the recharge </t>
  </si>
  <si>
    <t>10/15/2025 17:58:35</t>
  </si>
  <si>
    <t>Opening &amp; Introduction â€“ Done 
Customer details captured â€“Done
Customer concern -Customer ask landline issue
Resolution shared - Advisor complete probing to customers as per call application down
Closing as per standard -  Done.
AOI-empathy missing,</t>
  </si>
  <si>
    <t>10/15/2025 17:58:48</t>
  </si>
  <si>
    <t xml:space="preserve">
The customer called for IR service related issue , The agent check the details and given proper information sim side no issue the common issue persist will resolve soon.</t>
  </si>
  <si>
    <t xml:space="preserve"> O/G AND I/C CALLS BARRED	</t>
  </si>
  <si>
    <t>10/15/2025 18:01:21</t>
  </si>
  <si>
    <t xml:space="preserve">The customer called for network signal regarding issue , call not connected properly, The agent check and given proper information and taken complaint </t>
  </si>
  <si>
    <t xml:space="preserve">NETWORK </t>
  </si>
  <si>
    <t>10/15/2025 18:04:54</t>
  </si>
  <si>
    <t>Opening &amp; Introduction â€“ Done 
Customer details captured â€“Done
Customer concern -Customer ask wifi issue
Resolution shared - Advisor complete probing to customers as per call application down
Closing as per standard -  Done.
AOI-empathy missing,</t>
  </si>
  <si>
    <t>10/15/2025 18:06:41</t>
  </si>
  <si>
    <t xml:space="preserve"> Not used proper hold script , Not used further assistance </t>
  </si>
  <si>
    <t>The customer called for recharge confirmation and call connectivity related issue , The advisor check and given proper information sim side no issue , try to set the network preferred settings</t>
  </si>
  <si>
    <t>10/15/2025 18:10:06</t>
  </si>
  <si>
    <t>10/15/2025 18:14:15</t>
  </si>
  <si>
    <t>10/15/2025 18:18:33</t>
  </si>
  <si>
    <t>Opening &amp; Introduction â€“ Done 
Customer details captured â€“Done
Customer concern -Customer ask landline issue
Resolution shared - Advisor complete probing to customers as per call application down
Closing as per standard -  Done.
AOI-empathy missing,apology missing</t>
  </si>
  <si>
    <t>10/15/2025 18:19:40</t>
  </si>
  <si>
    <t>Opening script not done properly , Wrong information, Captured proper Notes</t>
  </si>
  <si>
    <t xml:space="preserve">The customer called for unable to get the network tower on his mobile,  The agent check and given wrong information sim side no issue try to set the network 4G /3G changing settings for IR customer </t>
  </si>
  <si>
    <t>10/15/2025 18:24:13</t>
  </si>
  <si>
    <t>Opening &amp; Introduction â€“ Done 
Customer details captured â€“Done
Customer concern -Customer ask landline issue
Resolution shared - Advisor complete probing to customers as per call already complaint booking
Closing as per standard -  Done.
AOI-empathy missing,apology missing</t>
  </si>
  <si>
    <t>10/15/2025 18:24:18</t>
  </si>
  <si>
    <t xml:space="preserve">The customer called for call not connected related issue , The agent check the details and given proper information , try another handset </t>
  </si>
  <si>
    <t>10/15/2025 18:32:55</t>
  </si>
  <si>
    <t>Opening &amp; Introduction â€“ Done 
Customer details captured â€“Done
Customer concern -Customer ask landline issue
Resolution shared - Advisor complete probing to customers as per call complaint booking
Closing as per standard -  Done.
AOI-empathy missing,apology missing</t>
  </si>
  <si>
    <t>10/15/2025 18:37:45</t>
  </si>
  <si>
    <t>Opening &amp; Introduction â€“ Done 
Customer details captured â€“Done
Customer concern -Customer ask landline issue
Resolution shared - Advisor complete probing to customers as per call application down
Closing as per standard -  Done.
AOI-empathy missing</t>
  </si>
  <si>
    <t>10/15/2025 18:41:41</t>
  </si>
  <si>
    <t>Opening &amp; Introduction â€“ Done 
Customer details captured â€“Done
Customer concern -Customer ask landline issue
Resolution shared - Advisor complete probing to customers as per call already complaint booking
Closing as per standard -  Done.
AOI-empathy missing,</t>
  </si>
  <si>
    <t>10/15/2025 18:46:12</t>
  </si>
  <si>
    <t>AOI-dead air</t>
  </si>
  <si>
    <t>Opening &amp; Introduction â€“ Done 
Customer details captured â€“Done
Customer concern -Customer ask landline issue
Resolution shared - Advisor complete probing to customers as per call wait for 
Closing as per standard -  Done.
AOI-dead air</t>
  </si>
  <si>
    <t>10/15/2025 18:50:51</t>
  </si>
  <si>
    <t>AOI-dead air,empathy missing,apology missing</t>
  </si>
  <si>
    <t>Opening &amp; Introduction â€“ Done 
Customer details captured â€“Done
Customer concern -Customer ask bb issue
Resolution shared - Advisor complete probing to customers as per call bill details provide 
Closing as per standard -  Done.
AOI-dead air,empathy missing,apology missing</t>
  </si>
  <si>
    <t>10/15/2025 18:53:59</t>
  </si>
  <si>
    <t xml:space="preserve"> Dead air, Not used empathy words</t>
  </si>
  <si>
    <t xml:space="preserve">The customer called for recharge related issue , The agent taken recharge request  and given proper information </t>
  </si>
  <si>
    <t>10/15/2025 18:54:50</t>
  </si>
  <si>
    <t>AOI-,empathy missing,apology missing</t>
  </si>
  <si>
    <t>Opening &amp; Introduction â€“ Done 
Customer details captured â€“Done
Customer concern -Customer ask bb issue
Resolution shared - Advisor complete probing to customers as per call application down 
Closing as per standard -  Done.
AOI-,empathy missing,apology missing</t>
  </si>
  <si>
    <t>10/15/2025 18:58:09</t>
  </si>
  <si>
    <t>Opening &amp; Introduction â€“ Done 
Customer details captured â€“Done
Customer concern -Customer ask bb issue
Resolution shared - Advisor complete probing to customers as per call complaint booking 
Closing as per standard -  Done.
AOI-,empathy missing,apology missing</t>
  </si>
  <si>
    <t>10/15/2025 19:02:26</t>
  </si>
  <si>
    <t>Opening &amp; Introduction â€“ Done 
Customer details captured â€“Done
Customer concern -Customer ask bb issue
Resolution shared - Advisor complete probing to customers as per call bill details
Closing as per standard -  Done.
AOI-,empathy missing,apology missing</t>
  </si>
  <si>
    <t>10/15/2025 19:07:31</t>
  </si>
  <si>
    <t>10/15/2025 19:11:54</t>
  </si>
  <si>
    <t>Opening &amp; Introduction â€“ Done 
Customer details captured â€“Done
Customer concern -Customer ask bb details
Resolution shared - Advisor complete probing to customers as per call connection disconnect
Closing as per standard -  Done.
AOI-,empathy missing,apology missing</t>
  </si>
  <si>
    <t>10/15/2025 19:16:07</t>
  </si>
  <si>
    <t>Opening &amp; Introduction â€“ Done 
Customer details captured â€“Done
Customer concern -Customer ask wifi details
Resolution shared - Advisor complete probing to customers as per call complaint booking
Closing as per standard -  Done.
AOI-,empathy missing,apology missing</t>
  </si>
  <si>
    <t>10/15/2025 19:20:07</t>
  </si>
  <si>
    <t>Opening &amp; Introduction â€“ Done 
Customer details captured â€“Done
Customer concern -Customer ask wifi details
Resolution shared - Advisor complete probing to customers as per call application down
Closing as per standard -  Done.
AOI-,empathy missing,apology missing</t>
  </si>
  <si>
    <t>10/15/2025 19:25:09</t>
  </si>
  <si>
    <t>AOI-,empathy missing,</t>
  </si>
  <si>
    <t>Opening &amp; Introduction â€“ Done 
Customer details captured â€“Done
Customer concern -Customer ask fiber details
Resolution shared - Advisor complete probing to customers as per call plan details
Closing as per standard -  Done.
AOI-,empathy missing,</t>
  </si>
  <si>
    <t>10/15/2025 19:30:26</t>
  </si>
  <si>
    <t>Opening &amp; Introduction â€“ Done 
Customer details captured â€“Done
Customer concern -Customer ask bb details
Resolution shared - Advisor complete probing to customers as per call complaint booking
Closing as per standard -  Done.
AOI-,empathy missing,apology missing</t>
  </si>
  <si>
    <t>10/15/2025 19:33:36</t>
  </si>
  <si>
    <t>Opening &amp; Introduction â€“ Done 
Customer details captured â€“Done
Customer concern -Customer ask landline details
Resolution shared - Advisor complete probing to customers as per call bill sending
AOI-,empathy missing,</t>
  </si>
  <si>
    <t>10/15/2025 22:34:28</t>
  </si>
  <si>
    <t>The customer called forÂ Â deta related issue , The agent informed to contact 1503</t>
  </si>
  <si>
    <t>10/15/2025 22:37:28</t>
  </si>
  <si>
    <t xml:space="preserve">Lack of active listening </t>
  </si>
  <si>
    <t xml:space="preserve">The customer called for new connection amount related details , The agentÂ Â given proper information </t>
  </si>
  <si>
    <t xml:space="preserve">LEAD - CHECK STATUS OF NEW CONNECTION OR LEAD </t>
  </si>
  <si>
    <t>10/15/2025 22:40:37</t>
  </si>
  <si>
    <t>Probing not done completely, SR number not provided</t>
  </si>
  <si>
    <t xml:space="preserve">The customer called for ll not working related issue , The agent check the details and taken complaint and given proper information </t>
  </si>
  <si>
    <t>10/15/2025 22:43:13</t>
  </si>
  <si>
    <t>The customer called for primary account removing related details, The agent given proper information to contact the app help disk .</t>
  </si>
  <si>
    <t xml:space="preserve"> SERVICE -OTHER(REMARK)</t>
  </si>
  <si>
    <t>10/15/2025 22:45:21</t>
  </si>
  <si>
    <t>The customer called for plan related details , The agent given proper information about the plan details</t>
  </si>
  <si>
    <t xml:space="preserve">SERVICE - VIEW OR CONFIRM CURRENT PLAN DETAILS </t>
  </si>
  <si>
    <t>10/15/2025 23:13:58</t>
  </si>
  <si>
    <t>Failed to ask customer name and Script adherence</t>
  </si>
  <si>
    <t>10/15/2025 23:17:20</t>
  </si>
  <si>
    <t xml:space="preserve">The customer called and Inquiry about connection details and Plan details agent checked and Information given properly </t>
  </si>
  <si>
    <t>10/15/2025 23:20:24</t>
  </si>
  <si>
    <t xml:space="preserve">The customer called and Inquiry about old Disconnection connection details agent checked and Provide the completed details  </t>
  </si>
  <si>
    <t>customer called for deposit amount releated details enq</t>
  </si>
  <si>
    <t>10/15/2025 23:21:00</t>
  </si>
  <si>
    <t xml:space="preserve">
Customer concern -Customer called for Unable to send SMS .
Resolution shared - Advisor done complete probing to customer as per call.</t>
  </si>
  <si>
    <t>10/15/2025 23:24:15</t>
  </si>
  <si>
    <t>Failed to Used confidence &amp; empathy Wordings and Script adherence</t>
  </si>
  <si>
    <t xml:space="preserve">The customer called and Inquiry about BB not working and Interne not getting related Issue , agent checked and Information given properly current complaint status Provided </t>
  </si>
  <si>
    <t>10/15/2025 23:25:08</t>
  </si>
  <si>
    <t>10/15/2025 23:27:18</t>
  </si>
  <si>
    <t>SERVICE - WI-FI COVERAGE OR ONT/ROUTER ISSUES</t>
  </si>
  <si>
    <t>10/15/2025 23:28:08</t>
  </si>
  <si>
    <t>10/15/2025 23:31:26</t>
  </si>
  <si>
    <t>10/15/2025 23:43:55</t>
  </si>
  <si>
    <t>Not use empathy and apology,Correct information not shared.</t>
  </si>
  <si>
    <t>Customer concern -Customer called for sim block details .
Resolution shared - Advisor not done complete probing to customer as per call.</t>
  </si>
  <si>
    <t>10/16/2025 11:07:24</t>
  </si>
  <si>
    <t>10/16/2025</t>
  </si>
  <si>
    <t xml:space="preserve">empathy missing </t>
  </si>
  <si>
    <t>empathy missing ,call back</t>
  </si>
  <si>
    <t>10/16/2025 11:15:33</t>
  </si>
  <si>
    <t xml:space="preserve">caller name not ask </t>
  </si>
  <si>
    <t>10/16/2025 11:34:49</t>
  </si>
  <si>
    <t xml:space="preserve">empathy missing,apology missing,dead air </t>
  </si>
  <si>
    <t>10/16/2025 12:17:59</t>
  </si>
  <si>
    <t>empathy missing,apology missing,complet probing not done,tagging not done</t>
  </si>
  <si>
    <t>10/16/2025 12:27:38</t>
  </si>
  <si>
    <t>agent did not ask customer name</t>
  </si>
  <si>
    <t>10/16/2025 12:36:54</t>
  </si>
  <si>
    <t>agent not ask customer name</t>
  </si>
  <si>
    <t>10/16/2025 12:52:10</t>
  </si>
  <si>
    <t>agent  did not ask customer name</t>
  </si>
  <si>
    <t>10/16/2025 12:59:38</t>
  </si>
  <si>
    <t>did not ask customer name</t>
  </si>
  <si>
    <t>10/16/2025 13:04:25</t>
  </si>
  <si>
    <t xml:space="preserve"> Maintained focus on caller's problem,  Used Approved Question/Polite language,  Give accurate information/ Next steps on each issue, Script adherence,  Demonstrated active listening skills </t>
  </si>
  <si>
    <t>Customer facing call connectivity issue related</t>
  </si>
  <si>
    <t>10/16/2025 13:09:00</t>
  </si>
  <si>
    <t>Apology missing, dead air, delay opening</t>
  </si>
  <si>
    <t>10/16/2025 13:14:49</t>
  </si>
  <si>
    <t>customer name did not ask</t>
  </si>
  <si>
    <t>10/16/2025 13:21:06</t>
  </si>
  <si>
    <t>Further assistance not done, interruption, complete probing not done</t>
  </si>
  <si>
    <t>10/16/2025 13:25:29</t>
  </si>
  <si>
    <t>customer name did not ask,proper script not done</t>
  </si>
  <si>
    <t>10/16/2025 13:26:43</t>
  </si>
  <si>
    <t xml:space="preserve">Complete probing not done, correct information not shared </t>
  </si>
  <si>
    <t>Customer having O/G SMS issue. Advisor complete probing to customer as per call and given try to change preferred network type as 2G/3G details.</t>
  </si>
  <si>
    <t xml:space="preserve"> SMS SERVICES</t>
  </si>
  <si>
    <t>10/16/2025 13:32:19</t>
  </si>
  <si>
    <t>10/16/2025 13:50:17</t>
  </si>
  <si>
    <t>proper script not followed</t>
  </si>
  <si>
    <t>10/16/2025 13:50:50</t>
  </si>
  <si>
    <t>Complete probing not done, correct greeting not used</t>
  </si>
  <si>
    <t>Customer having recharge issue. Advisor complete probing to customer as per call and given recharge not success and given TAT for 2hrs.</t>
  </si>
  <si>
    <t>10/16/2025 13:59:52</t>
  </si>
  <si>
    <t>cusstomer nmae not ask</t>
  </si>
  <si>
    <t>10/16/2025 14:03:45</t>
  </si>
  <si>
    <t xml:space="preserve"> Demonstrated active listening skills </t>
  </si>
  <si>
    <t>Customer called to inquire about recharge plan details</t>
  </si>
  <si>
    <t>10/16/2025 14:05:29</t>
  </si>
  <si>
    <t>customer name not ask</t>
  </si>
  <si>
    <t>10/16/2025 14:08:11</t>
  </si>
  <si>
    <t>Introduced Self (First Name), Script adherence</t>
  </si>
  <si>
    <t>10/16/2025 14:11:16</t>
  </si>
  <si>
    <t xml:space="preserve"> Gave apology/reassurance/appropriate response </t>
  </si>
  <si>
    <t>Customer facing data connectivity issue in location related,, agent provided network selection setting</t>
  </si>
  <si>
    <t>10/16/2025 14:12:16</t>
  </si>
  <si>
    <t xml:space="preserve"> Not used empathy and apology words, Delay opening (14 SEC )</t>
  </si>
  <si>
    <t>The customer called for data not connected related issue , The agent given proper information to send the data activation sms (Already data active state but new sim not able to connect data )</t>
  </si>
  <si>
    <t>10/16/2025 14:14:11</t>
  </si>
  <si>
    <t>10/16/2025 14:18:41</t>
  </si>
  <si>
    <t xml:space="preserve">Dead air , Not used empathy words, Not followed proper hold script , Did not confirm the caller name </t>
  </si>
  <si>
    <t>The customer called for sim status related details, The agent check the details and given proper information about the sim currently inactive state.</t>
  </si>
  <si>
    <t>10/16/2025 14:21:36</t>
  </si>
  <si>
    <t xml:space="preserve">Customer couldn't able to recharge through BSNL selfcare application </t>
  </si>
  <si>
    <t>ENQUIRY ON BSNL APP OR WEBSITE</t>
  </si>
  <si>
    <t>10/16/2025 14:24:18</t>
  </si>
  <si>
    <t xml:space="preserve">The called for recharged but data not connected related issue , The agent check the details and inform currently data balance  not available </t>
  </si>
  <si>
    <t>10/16/2025 14:43:14</t>
  </si>
  <si>
    <t>Customer called for data connectivity issue related  and recharge plan related</t>
  </si>
  <si>
    <t>10/16/2025 14:45:16</t>
  </si>
  <si>
    <t xml:space="preserve">did not ask customer name </t>
  </si>
  <si>
    <t>10/16/2025 14:48:44</t>
  </si>
  <si>
    <t>Not used apology word</t>
  </si>
  <si>
    <t xml:space="preserve">The customer called for OTP not received related issue , The agent check the details and given proper common issue persist will be resolve soon </t>
  </si>
  <si>
    <t>10/16/2025 14:51:18</t>
  </si>
  <si>
    <t xml:space="preserve"> INCOMPLETE CALL</t>
  </si>
  <si>
    <t>10/16/2025 14:55:32</t>
  </si>
  <si>
    <t>Not used empathy and apology words, Not confirmed caller name , High rate of speech , Lack of focusing on the call</t>
  </si>
  <si>
    <t xml:space="preserve">The customer called  for data not connected related issue , The agent informed to the callback the customer with his full address,for register a complaint </t>
  </si>
  <si>
    <t>10/16/2025 14:59:55</t>
  </si>
  <si>
    <t>empathy missing,agent did not ask customer name</t>
  </si>
  <si>
    <t>10/16/2025 15:00:41</t>
  </si>
  <si>
    <t>Not followed steps properly(Name , apology words)</t>
  </si>
  <si>
    <t xml:space="preserve">The customer called for network signal related issue , The agent check the details and informed complaint already in process state will resolve soon </t>
  </si>
  <si>
    <t xml:space="preserve">ENQUIRY ON LAST COMPLAINT	</t>
  </si>
  <si>
    <t>10/16/2025 15:07:26</t>
  </si>
  <si>
    <t xml:space="preserve"> Not properly confirmed the caller name</t>
  </si>
  <si>
    <t xml:space="preserve">The customer called for SMS received related sim related compliant , The agent check the details and informed to contact the nearby csc for KYC updation </t>
  </si>
  <si>
    <t>10/16/2025 15:10:13</t>
  </si>
  <si>
    <t xml:space="preserve">Script adherence, Used Approved Question/Polite language,  Give accurate information/ Next steps on each issue </t>
  </si>
  <si>
    <t>Rude</t>
  </si>
  <si>
    <t>10/16/2025 15:12:47</t>
  </si>
  <si>
    <t>complet probing not done, empathy missing</t>
  </si>
  <si>
    <t>10/16/2025 15:17:12</t>
  </si>
  <si>
    <t>empathy missing,dead air</t>
  </si>
  <si>
    <t>10/16/2025 15:17:51</t>
  </si>
  <si>
    <t>Not used empathy and apology words, No further assistance , High rate of speech</t>
  </si>
  <si>
    <t>The customer called for data not connected related issue , The agent check the details and given proper information to set the manual network settings.</t>
  </si>
  <si>
    <t>10/16/2025 15:19:24</t>
  </si>
  <si>
    <t>10/16/2025 15:23:02</t>
  </si>
  <si>
    <t>complet probing not done,empathy missing,apology missing</t>
  </si>
  <si>
    <t>10/16/2025 15:25:52</t>
  </si>
  <si>
    <t xml:space="preserve">Overriding , Not used empathy and apology words, Dead air , Not active listening skill, No further assistance </t>
  </si>
  <si>
    <t>The customer called for wrong recharge related issue , The agent check and given proper information conversion not possible.</t>
  </si>
  <si>
    <t>10/16/2025 15:28:05</t>
  </si>
  <si>
    <t xml:space="preserve">complet probing not done,empathy missing </t>
  </si>
  <si>
    <t>10/16/2025 15:33:37</t>
  </si>
  <si>
    <t xml:space="preserve">Not used emapthy words, Dead air, Wrong request taken </t>
  </si>
  <si>
    <t>The customer called for recharge related issue , The agent taken recharge request but mistakenly taken in the wrong date</t>
  </si>
  <si>
    <t>10/16/2025 15:38:46</t>
  </si>
  <si>
    <t xml:space="preserve">Slang observed, Not used apology words, Not used further assistance </t>
  </si>
  <si>
    <t xml:space="preserve">The customer called for sms regarding issue ,and  call not connected, The agent informed to set the network selection  , </t>
  </si>
  <si>
    <t>10/16/2025 15:50:23</t>
  </si>
  <si>
    <t>The customer called for network regarding issue , The agent check the details and informed to set the preferred network settings</t>
  </si>
  <si>
    <t>10/16/2025 16:02:08</t>
  </si>
  <si>
    <t xml:space="preserve"> PRONUNCIATION ERROR, Dead air</t>
  </si>
  <si>
    <t xml:space="preserve">The customer called for postpaid connection related details, The agent given proper information about the new connection and charges details </t>
  </si>
  <si>
    <t>10/16/2025 16:24:57</t>
  </si>
  <si>
    <t>Causal words, No active listening skill, Wrong choice of words, Not used proper script , Dead air , Did not used proper IT tools</t>
  </si>
  <si>
    <t xml:space="preserve"> The customer called for data not connected related issue , The agent check the details and informed to send the data activation details</t>
  </si>
  <si>
    <t>10/16/2025 16:39:48</t>
  </si>
  <si>
    <t xml:space="preserve"> Opening not proper, Not focused customer issue , Dead air </t>
  </si>
  <si>
    <t xml:space="preserve">The customer called for  FTTH related details , The agent check the details and given proper information </t>
  </si>
  <si>
    <t>10/16/2025 16:51:58</t>
  </si>
  <si>
    <t>No Tag</t>
  </si>
  <si>
    <t xml:space="preserve">Used Approved Question/Polite language,  Demonstrated active listening skills,  Used confidence &amp; empathy Wordings, Script adherence, Captured accurate notes in the CRM </t>
  </si>
  <si>
    <t>Customer called for E-SIM facility related</t>
  </si>
  <si>
    <t>E-SIM RELATED</t>
  </si>
  <si>
    <t>Rude, Casual Talk, Interuption, Fillings</t>
  </si>
  <si>
    <t>10/16/2025 16:56:06</t>
  </si>
  <si>
    <t>Customer facing network issue related</t>
  </si>
  <si>
    <t>10/16/2025 17:11:31</t>
  </si>
  <si>
    <t>choice of words not proper , Not used apology word</t>
  </si>
  <si>
    <t>The customer called for SMS related issue, The agent given proper information about the volte activation and port SMS related details,</t>
  </si>
  <si>
    <t>10/16/2025 17:42:27</t>
  </si>
  <si>
    <t xml:space="preserve"> Casual talk , Not used proper script , Probing not done properly, 5G updating work, Lack of confidence, Fumbling observed, Not tried to book a complaint </t>
  </si>
  <si>
    <t xml:space="preserve">The customer called for network regarding issue , The agent check the details and given not proper information </t>
  </si>
  <si>
    <t>10/16/2025 17:48:26</t>
  </si>
  <si>
    <t>AOI-probing not done, empathy missing, apology missing</t>
  </si>
  <si>
    <t>Opening &amp; Introduction â€“ Done 
Customer details captured â€“Done
Customer concern -Customer having plan details
Resolution shared - Advisor complete probing to customers as per call and data plan16  ,
Further Assistance -Done
Closing as per standard -  Done.
AOI-probing not done, empathy missing, apology missing</t>
  </si>
  <si>
    <t>10/16/2025 17:57:57</t>
  </si>
  <si>
    <t>AOI-probing not done, empathy missing, apology missing.correct information not done</t>
  </si>
  <si>
    <t>Opening &amp; Introduction â€“ Done 
Customer details captured â€“Done
Customer concern -Customer having e-sim details
Resolution shared - Advisor complete probing to customers as per call bsnl office visit  ,
Further Assistance -Done
Closing as per standard -  Done.
AOI-probing not done, empathy missing, apology missing.correct information not done</t>
  </si>
  <si>
    <t>10/16/2025 17:59:41</t>
  </si>
  <si>
    <t xml:space="preserve">The customer called for recharge related details , The agent check the details and given proper information pack has changed </t>
  </si>
  <si>
    <t>10/16/2025 18:03:45</t>
  </si>
  <si>
    <t>AOI-probing not done, empathy missing,correct information not done</t>
  </si>
  <si>
    <t>Opening &amp; Introduction â€“ Done 
Customer details captured â€“Done
Customer concern -Customer having sim details
Resolution shared - Advisor complete probing to customers as per call deactive sim  ,
Further Assistance -Done
Closing as per standard -  Done.
AOI-probing not done, empathy missing,correct information not done</t>
  </si>
  <si>
    <t>10/16/2025 18:20:57</t>
  </si>
  <si>
    <t>AOI-probing not done, empathy missing,probing did not complet</t>
  </si>
  <si>
    <t>Opening &amp; Introduction â€“ Done 
Customer details captured â€“Done
Customer concern -Customer having network issue
Resolution shared - Advisor complete probing to customers as per call setting provide ,
Further Assistance -Done
Closing as per standard -  Done.
AOI-probing not done, empathy missing,probing did not complet</t>
  </si>
  <si>
    <t>10/16/2025 18:22:14</t>
  </si>
  <si>
    <t xml:space="preserve"> Not confirmed the caller name, Not used apology words, Not given proper information for call issue </t>
  </si>
  <si>
    <t xml:space="preserve">The customer called for call not connected related issue , The agent check  the details and not given proper information </t>
  </si>
  <si>
    <t xml:space="preserve">VOLTE RELATED	</t>
  </si>
  <si>
    <t>10/16/2025 18:28:08</t>
  </si>
  <si>
    <t xml:space="preserve">The customer called for VOLTE not getting connected related issue , The agent heck the details and given proper information </t>
  </si>
  <si>
    <t>10/16/2025 18:33:08</t>
  </si>
  <si>
    <t>Opening &amp; Introduction â€“ Done 
Customer details captured â€“Done
Customer concern -Customer having network issue
Resolution shared - Advisor complete probing to customers as per call 4g sim convert ,
Further Assistance -Done
Closing as per standard -  Done.
AOI-probing not done, empathy missing,correct information not done</t>
  </si>
  <si>
    <t>10/16/2025 18:48:54</t>
  </si>
  <si>
    <t xml:space="preserve">Low active listening skill, Not  given SR number </t>
  </si>
  <si>
    <t xml:space="preserve">The customer called for  data not connected related issue , The advisor taken complaint and given proper information  </t>
  </si>
  <si>
    <t>10/16/2025 18:51:36</t>
  </si>
  <si>
    <t>Opening &amp; Introduction â€“ Done 
Customer details captured â€“Done
Customer concern -Customer having plan details
Resolution shared - Advisor complete probing to customers as per call plan439 ,
Further Assistance -Done
Closing as per standard -  Done.
AOI-probing not done, empathy missing,correct information not done</t>
  </si>
  <si>
    <t>10/16/2025 18:55:14</t>
  </si>
  <si>
    <t xml:space="preserve">Opening &amp; Introduction â€“ Done 
Customer details captured â€“Done
Customer concern -Customer having network issue
Resolution shared - Advisor complete probing to customers as per call setting provide,
Further Assistance -Done
Closing as per standard -  Done.
AOI-probing not done, empathy missing,correct information not done
</t>
  </si>
  <si>
    <t>10/16/2025 19:01:47</t>
  </si>
  <si>
    <t xml:space="preserve">Opening &amp; Introduction â€“ Done 
Customer details captured â€“Done
Customer concern -Customer having isd details
Resolution shared - Advisor complete probing to customers as per call isd act wait for 24 hr,
Further Assistance -Done
Closing as per standard -  Done.
AOI-probing not done, empathy missing,correct information not done
</t>
  </si>
  <si>
    <t>10/16/2025 19:11:16</t>
  </si>
  <si>
    <t xml:space="preserve">Opening &amp; Introduction â€“ Done 
Customer details captured â€“Done
Customer concern -Customer having recharge issue
Resolution shared - Advisor complete probing to customers as per call  wait for 24hr 
Further Assistance -Done
Closing as per standard -  Done.
AOI-dead air
</t>
  </si>
  <si>
    <t>10/16/2025 19:19:46</t>
  </si>
  <si>
    <t>Failed to ask Caller Name and Script adherence</t>
  </si>
  <si>
    <t xml:space="preserve">The customer called and Inquiry About plan Migration and current plan details agent checked and Information given Properly </t>
  </si>
  <si>
    <t>10/16/2025 19:32:54</t>
  </si>
  <si>
    <t xml:space="preserve"> Failed to ask empathy and Script adherence,</t>
  </si>
  <si>
    <t xml:space="preserve"> The customer called and Inquiry About Wireless agent checked Provide the Wireless Customer care Number </t>
  </si>
  <si>
    <t>10/16/2025 19:35:09</t>
  </si>
  <si>
    <t>10/16/2025 19:38:07</t>
  </si>
  <si>
    <t xml:space="preserve">The customer called and Inquiry  About LL not Working related Issue agent checked and Information given Properly </t>
  </si>
  <si>
    <t>10/16/2025 19:42:21</t>
  </si>
  <si>
    <t xml:space="preserve">The customer Inquiry About Inactive connection details agent checked and Provide Please visit Near BSNL office </t>
  </si>
  <si>
    <t>GENERAL - REQUEST CONTACT OF NEAREST CSC</t>
  </si>
  <si>
    <t>10/16/2025 20:20:17</t>
  </si>
  <si>
    <t>customer called for SIM related issue , The advisor  given 1503 helpline number.</t>
  </si>
  <si>
    <t>10/16/2025 20:22:52</t>
  </si>
  <si>
    <t>Not used apology words, INTERUPTION</t>
  </si>
  <si>
    <t>The customer called for FTTH data not connected related issue , The agent givenTAT due to application down.</t>
  </si>
  <si>
    <t>10/16/2025 20:25:20</t>
  </si>
  <si>
    <t>10/16/2025 20:28:23</t>
  </si>
  <si>
    <t xml:space="preserve">The customer called for fiber connection not working related issue , The agent check the details and given proper information </t>
  </si>
  <si>
    <t>10/16/2025 20:31:04</t>
  </si>
  <si>
    <t xml:space="preserve">Dead air </t>
  </si>
  <si>
    <t>The customer called bill paid status but connection not reconnected related issue , The advisor taken complaint and given proper information, payment not updated till will be resolved soon.</t>
  </si>
  <si>
    <t xml:space="preserve">INVOICE - REPORT PAYMENT FAILURE </t>
  </si>
  <si>
    <t>10/16/2025 20:35:20</t>
  </si>
  <si>
    <t>The customer called for internet slow connectivity related issue , The agent check the details and taken complaint .</t>
  </si>
  <si>
    <t>10/16/2025 20:38:27</t>
  </si>
  <si>
    <t>SRNumber not given</t>
  </si>
  <si>
    <t xml:space="preserve">The customer called for internet not connected related details, The advisor probing properly and given proper information and complaint booked for the customer issue </t>
  </si>
  <si>
    <t>10/16/2025 20:41:27</t>
  </si>
  <si>
    <t xml:space="preserve">Not given SR number </t>
  </si>
  <si>
    <t>The customer called for his wifi not working related issue , The advisor check and given ther is no issue on the connection ,So the advisor taken complaint annd given proper information .</t>
  </si>
  <si>
    <t>10/16/2025 20:43:26</t>
  </si>
  <si>
    <t>The customer called for BB wifi not working related issue , The agent check the details and given proper information and taken complaint .</t>
  </si>
  <si>
    <t>10/16/2025 20:45:50</t>
  </si>
  <si>
    <t>Lack of listening skill</t>
  </si>
  <si>
    <t>The customer called for bill paid but not updated on the application related issue , The advisor check the details and iven proper information .</t>
  </si>
  <si>
    <t xml:space="preserve">INVOICE - CHECK DUE DATE FOR PAYMENT </t>
  </si>
  <si>
    <t>10/16/2025 21:38:08</t>
  </si>
  <si>
    <t>SBM183</t>
  </si>
  <si>
    <t xml:space="preserve">The customer called for modem wifi not connected related issue.The advisor check the details and taken complaint </t>
  </si>
  <si>
    <t>10/16/2025 22:17:50</t>
  </si>
  <si>
    <t>10/16/2025 22:21:55</t>
  </si>
  <si>
    <t>Customer called and  inquired about ISD Activation related issue, Agent checked and given proper information but not followed required quality parameter properly.</t>
  </si>
  <si>
    <t>10/16/2025 22:25:06</t>
  </si>
  <si>
    <t>10/16/2025 22:28:51</t>
  </si>
  <si>
    <t xml:space="preserve">Not used empathy word, Dead air, No further assistance </t>
  </si>
  <si>
    <t>Customer called and  inquired about Calls connectivity related issue, Agent checked and given proper information but not followed required quality parameter properly.</t>
  </si>
  <si>
    <t>10/16/2025 22:33:13</t>
  </si>
  <si>
    <t xml:space="preserve">Not asked customer name, No active listening skill, Not focused customer proble, Dead air, No further asstance </t>
  </si>
  <si>
    <t>Customer called and  inquired about Validity related issue, Agent checked and given Validity details but not followed required quality parameter properly.</t>
  </si>
  <si>
    <t>10/17/2025 10:40:14</t>
  </si>
  <si>
    <t>10/17/2025</t>
  </si>
  <si>
    <t xml:space="preserve"> Give accurate information/ Next steps on each issue,  Maintained focus on caller's problem </t>
  </si>
  <si>
    <t>10/17/2025 11:06:16</t>
  </si>
  <si>
    <t>10/17/2025 11:13:00</t>
  </si>
  <si>
    <t>10/17/2025 11:14:12</t>
  </si>
  <si>
    <t>The agent contact the customer and verify the address details and given proper information for the charges details.</t>
  </si>
  <si>
    <t>PRE-LEAD</t>
  </si>
  <si>
    <t>10/17/2025 11:16:18</t>
  </si>
  <si>
    <t>10/17/2025 11:16:57</t>
  </si>
  <si>
    <t>The agent contact the customer and verify the address details and provide proper information about the fiber details.</t>
  </si>
  <si>
    <t>10/17/2025 11:27:46</t>
  </si>
  <si>
    <t>Customer called for SMS issue related</t>
  </si>
  <si>
    <t>10/17/2025 11:30:57</t>
  </si>
  <si>
    <t>The agent contact the customer and verify the address details and given proper information .</t>
  </si>
  <si>
    <t>10/17/2025 11:32:42</t>
  </si>
  <si>
    <t xml:space="preserve"> The customer called for fiber connection address verification and given proper information about the fiber connection related details, The customer provide the  proper information </t>
  </si>
  <si>
    <t>10/17/2025 11:35:23</t>
  </si>
  <si>
    <t xml:space="preserve">The agent contact the new fiber connection requested customer for verify the customer address details and also the agent given proper information about the fiber details, The customer given proper address details. </t>
  </si>
  <si>
    <t>10/17/2025 12:01:47</t>
  </si>
  <si>
    <t>10/17/2025 12:20:24</t>
  </si>
  <si>
    <t>The agent  contact the new fiber requested customer to verify the address details , The customer not given complete adress so the advisor suggest to contact the customer else will arrange the callback</t>
  </si>
  <si>
    <t>OUTBOUND</t>
  </si>
  <si>
    <t>10/17/2025 12:33:21</t>
  </si>
  <si>
    <t xml:space="preserve"> The agent contact the customer for new fiber customer address verification and given proper information about the fiber details </t>
  </si>
  <si>
    <t>10/17/2025 12:40:51</t>
  </si>
  <si>
    <t>The agent contact the new fiber customer and verify the address details and given proper information.</t>
  </si>
  <si>
    <t>10/17/2025 12:50:01</t>
  </si>
  <si>
    <t>10/17/2025 12:55:14</t>
  </si>
  <si>
    <t>The agent contact the customer for fiber connection address verification , After complete the verification the advisor given proper information the technical team will be contact .</t>
  </si>
  <si>
    <t>10/17/2025 13:00:30</t>
  </si>
  <si>
    <t>The agent contact the customer for fiber connection address verification , After complete the verification the advisor given proper information the technical team will contact</t>
  </si>
  <si>
    <t>10/17/2025 13:04:58</t>
  </si>
  <si>
    <t xml:space="preserve">The agent contact the customer for fiber connection address verification , After complete the verification the advisor given proper information the technical team will contact </t>
  </si>
  <si>
    <t>10/17/2025 13:16:08</t>
  </si>
  <si>
    <t>The agent contact the customer for address verification , the customer informed unknow requested , so agent given fiber and OTT connection details and cancel the request .</t>
  </si>
  <si>
    <t>10/17/2025 13:56:25</t>
  </si>
  <si>
    <t xml:space="preserve">The customer called and Inquiry about Connection shifting details, agent checked and Information given Properly </t>
  </si>
  <si>
    <t>10/17/2025 14:04:48</t>
  </si>
  <si>
    <t xml:space="preserve">The customer called and Inquiry about Payment not updating related Issue, agent checked and Information given Properly </t>
  </si>
  <si>
    <t>10/17/2025 14:08:40</t>
  </si>
  <si>
    <t xml:space="preserve">The customer called and Inquiry about Payment related Issue, agent checked and Information given Properly </t>
  </si>
  <si>
    <t>10/17/2025 14:13:49</t>
  </si>
  <si>
    <t>10/17/2025 14:18:39</t>
  </si>
  <si>
    <t xml:space="preserve">No active listening skills and Failed to use  empathy Wordings </t>
  </si>
  <si>
    <t>10/17/2025 16:57:04</t>
  </si>
  <si>
    <t>The agent contact the customer for fiber connection address verification , After complete the verification the advisor given proper information about fiber charged and installation details and informed the technical team will contact soon.</t>
  </si>
  <si>
    <t>10/17/2025 17:54:17</t>
  </si>
  <si>
    <t>Opening not done properly</t>
  </si>
  <si>
    <t>10/17/2025 18:08:05</t>
  </si>
  <si>
    <t xml:space="preserve">The agent contact the customer for verify the address details , The customer provide proper information </t>
  </si>
  <si>
    <t>10/17/2025 18:16:17</t>
  </si>
  <si>
    <t>The agent contact the new fiber requested customer  for verify the address details.</t>
  </si>
  <si>
    <t>10/17/2025 18:20:24</t>
  </si>
  <si>
    <t>The agent contact the new fiber connection requested customer for verify the details, The customer provide the address details and agent informed the technician team will contact soon.</t>
  </si>
  <si>
    <t>10/17/2025 18:26:04</t>
  </si>
  <si>
    <t xml:space="preserve">The agent contact the customer for verify the address details with the new fiber connection requested customer </t>
  </si>
  <si>
    <t>10/17/2025 21:21:55</t>
  </si>
  <si>
    <t>Customer concern -Customer called for New offer amd E Sim details .
Resolution shared - Advisor done complete probing to customer as per call.</t>
  </si>
  <si>
    <t>ENQUIRY ABOUT FREEDOM PLAN</t>
  </si>
  <si>
    <t>10/17/2025 21:27:41</t>
  </si>
  <si>
    <t>Dead air,No further assistance</t>
  </si>
  <si>
    <t>Customer concern -Customer called for wrong recharge conversion  .
Resolution shared - Advisor done complete probing to customer as per call.</t>
  </si>
  <si>
    <t>10/17/2025 21:38:17</t>
  </si>
  <si>
    <t>No empathy, Dead air</t>
  </si>
  <si>
    <t>Customer concern -Customer called for new sim activation process .
Resolution shared - Advisor done complete probing to customer as per call.</t>
  </si>
  <si>
    <t>10/17/2025 21:42:00</t>
  </si>
  <si>
    <t>Customer concern -Customer called for caller tune and new plan details .
Resolution shared - Advisor done complete probing to customer as per call.</t>
  </si>
  <si>
    <t>UNABLE TO ACTIVATE PRBT THROUGH BSNL TUNES APP</t>
  </si>
  <si>
    <t>10/17/2025 21:45:41</t>
  </si>
  <si>
    <t>No empathy.No further assistance</t>
  </si>
  <si>
    <t>Customer concern -Customer called for sm block  .
Resolution shared - Advisor done complete probing to customer as per call.</t>
  </si>
  <si>
    <t>10/17/2025 22:23:58</t>
  </si>
  <si>
    <t xml:space="preserve">No active listening skill, Dead air, No further asistance </t>
  </si>
  <si>
    <t>10/17/2025 22:29:02</t>
  </si>
  <si>
    <t>Not active on call, Dead air</t>
  </si>
  <si>
    <t>10/17/2025 22:33:05</t>
  </si>
  <si>
    <t>Not used empathy and apology words, Dead air</t>
  </si>
  <si>
    <t>Customer called and  inquired about rechareg related issue, Agent checked and given proper information but not followed required quality parameter properly</t>
  </si>
  <si>
    <t>10/17/2025 22:35:59</t>
  </si>
  <si>
    <t>Not used apology words, Dead air</t>
  </si>
  <si>
    <t>Customer called and  inquired about SIM replacement process related issue, Agent checked and given proper information but not followed required quality parameter properly.</t>
  </si>
  <si>
    <t>10/17/2025 22:39:33</t>
  </si>
  <si>
    <t>Not used empathy and apology words, No active listening skill</t>
  </si>
  <si>
    <t>Customer called and  inquired about weak related issue, Agent checked and taken poor coverage related complaint. but not followed required quality parameter properly.</t>
  </si>
  <si>
    <t>10/17/2025 23:18:35</t>
  </si>
  <si>
    <t>High rate of words, Delay opening ,</t>
  </si>
  <si>
    <t>The customer called for bill paid related details , The agent check the details and informed payment not updated wait for 48 hour will be updated else it will refunded.</t>
  </si>
  <si>
    <t>10/17/2025 23:23:13</t>
  </si>
  <si>
    <t xml:space="preserve">
Not used apology , No active listing , INTERUPTION</t>
  </si>
  <si>
    <t>The customer called for bill payment regarding issue , The agent given TAT due to application down.</t>
  </si>
  <si>
    <t>10/17/2025 23:27:38</t>
  </si>
  <si>
    <t>Lack of energy, PRONUNCIATION ERROR,</t>
  </si>
  <si>
    <t>The customer called for wifi internet not connected related issue, The agent check the details and given proper information within 24 hours service will be activated.</t>
  </si>
  <si>
    <t>10/17/2025 23:32:09</t>
  </si>
  <si>
    <t xml:space="preserve">The customer called landline not working regarding issue , The agent taken complaint and given proper information </t>
  </si>
  <si>
    <t>10/17/2025 23:36:11</t>
  </si>
  <si>
    <t>The customer called for bill payment not updated in application , The agent given TAT due to application down.</t>
  </si>
  <si>
    <t>10/17/2025 23:39:39</t>
  </si>
  <si>
    <t xml:space="preserve">Hold script not followed properly, Dead air </t>
  </si>
  <si>
    <t>The customer called for complaint status enquiry related ,The advisor check the details and informed complaint has solved .</t>
  </si>
  <si>
    <t>10/17/2025 23:42:03</t>
  </si>
  <si>
    <t>The customer called for internet not connected properly , The agent check the details and taken a network complaint.</t>
  </si>
  <si>
    <t>10/17/2025 23:45:18</t>
  </si>
  <si>
    <t xml:space="preserve">slang observed, No active listening skill, Not focused customer issue </t>
  </si>
  <si>
    <t xml:space="preserve">The customer calle for office contact details ,bill not received related issue , The agent given proper information office contact number not available </t>
  </si>
  <si>
    <t xml:space="preserve">GENERAL - REQUEST CONTACT OF NEAREST CSC </t>
  </si>
  <si>
    <t xml:space="preserve">Inquiry Only  </t>
  </si>
  <si>
    <t>10/17/2025 23:51:42</t>
  </si>
  <si>
    <t>The customer called for paymentÂ Â status details, The agent check the details and given proper information payment not yet updated , wait for 24 hours for check the payment status</t>
  </si>
  <si>
    <t>10/17/2025 23:54:12</t>
  </si>
  <si>
    <t xml:space="preserve">INTERUPTION , No further assistance </t>
  </si>
  <si>
    <t xml:space="preserve">The customer called for internet not working related issue , The agent check the details and informed already complaint booked ,technical team will contact and resolve the issue soon. </t>
  </si>
  <si>
    <t>10/17/2025 23:56:27</t>
  </si>
  <si>
    <t xml:space="preserve">
Not used proper hold script </t>
  </si>
  <si>
    <t>The cutomer called for internet not working bill paid, but connection on way block related issue.The agent given TAT due to application down.</t>
  </si>
  <si>
    <t>10/17/2025 23:58:40</t>
  </si>
  <si>
    <t xml:space="preserve">
 Not used apology words, No further assistance</t>
  </si>
  <si>
    <t>The customer called for BSNL wifi connection disconnected but the LCA side informed need to pay the amount regarding issue, The agent check the details and informed connection currently inactive state need to contact nearby csc.</t>
  </si>
  <si>
    <t>10/18/2025 0:04:52</t>
  </si>
  <si>
    <t>The customer called for connection disconnected , payment done but connection not reactivated , The agent check the detailsÂ Â and informed connection in active state payment also updated , so will register a complaint soon the technical team will resolve the issue .</t>
  </si>
  <si>
    <t>10/18/2025 11:51:37</t>
  </si>
  <si>
    <t>10/18/2025</t>
  </si>
  <si>
    <t>VPS265</t>
  </si>
  <si>
    <t>AOI-empathy missing,correct probing not done,apology missing</t>
  </si>
  <si>
    <t>Opening &amp; Introduction â€“ Done 
Customer details captured â€“Done
Customer concern -Customer having network issue
Resolution shared - Advisor complete probing to customers as per call and setting provide ,
Further Assistance -Done
Closing as per standard -  Done.
AOI-empathy missing,correct probing not done,apology missing</t>
  </si>
  <si>
    <t>10/18/2025 12:06:53</t>
  </si>
  <si>
    <t>Opening &amp; Introduction â€“ Done 
Customer details captured â€“Done
Customer concern -Customer having new sim details
Resolution shared - Advisor complete probing to customers as per call and other network sim,
Further Assistance -Done
Closing as per standard -  Done.
AOI-empathy missing,correct probing not done,apology missing</t>
  </si>
  <si>
    <t>10/18/2025 12:16:07</t>
  </si>
  <si>
    <t>10/18/2025 12:23:59</t>
  </si>
  <si>
    <t>VPS266</t>
  </si>
  <si>
    <t>Opening &amp; Introduction â€“ Done 
Customer details captured â€“Done
Customer concern -Customer having recharged details
Resolution shared - Advisor complete probing to customers as per call and only data plan active,
Further Assistance -Done
Closing as per standard -  Done.
AOI-empathy missing,correct probing not done,apology missing</t>
  </si>
  <si>
    <t>10/18/2025 12:49:59</t>
  </si>
  <si>
    <t xml:space="preserve">
AOI-empathy missing,correct probing not done,apology missing</t>
  </si>
  <si>
    <t>Opening &amp; Introduction â€“ Done 
Customer details captured â€“Done
Customer concern -Customer having recharged details
Resolution shared - Advisor complete probing to customers as per call and only plan details220
Further Assistance -Done
Closing as per standard -  Done.
AOI-empathy missing,correct probing not done,apology missing</t>
  </si>
  <si>
    <t>10/18/2025 13:18:19</t>
  </si>
  <si>
    <t>VPS270</t>
  </si>
  <si>
    <t>Not used empathy and apology words, Lack of listening skill</t>
  </si>
  <si>
    <t xml:space="preserve">The customer called for outgoing call connectivity related issue . The agent given proper information call balance not available </t>
  </si>
  <si>
    <t>10/18/2025 13:22:11</t>
  </si>
  <si>
    <t xml:space="preserve">The  customer called for data not connected related issue , The agent check the details and given proper information to set the </t>
  </si>
  <si>
    <t>10/18/2025 13:26:36</t>
  </si>
  <si>
    <t xml:space="preserve"> Lack of listening skill, Not used empathy and apology words ,No tagging </t>
  </si>
  <si>
    <t>The customer called for recharge not updated related issue , The agent check the details and given proper information recharge not updated ,contact the application side</t>
  </si>
  <si>
    <t xml:space="preserve">No tagging </t>
  </si>
  <si>
    <t>10/18/2025 13:29:00</t>
  </si>
  <si>
    <t>10/18/2025 13:37:43</t>
  </si>
  <si>
    <t>Asked Caller Name(First &amp;Last name), Script adherence</t>
  </si>
  <si>
    <t>Customer called for recharge plan details related</t>
  </si>
  <si>
    <t>10/18/2025 13:44:59</t>
  </si>
  <si>
    <t>Customer called for recharge issue related, agent said to call back after 10 rupees TOPUP</t>
  </si>
  <si>
    <t>10/18/2025 13:51:54</t>
  </si>
  <si>
    <t xml:space="preserve">The customer called and Inquiry about Bill payment not updating related Issue agent checked and Information given Properly </t>
  </si>
  <si>
    <t>10/18/2025 13:56:10</t>
  </si>
  <si>
    <t xml:space="preserve">Failed to ask  empathy Wordings </t>
  </si>
  <si>
    <t xml:space="preserve">The customer called and Inquiry about Wireless related Issue, agent checked and Provide the Wireless customer care number </t>
  </si>
  <si>
    <t>10/18/2025 14:00:10</t>
  </si>
  <si>
    <t>Demonstrated active listening skills and apology missing , Script adherence</t>
  </si>
  <si>
    <t xml:space="preserve">The customer called and Inquiry about New Connection details agent checked and Information given Properly </t>
  </si>
  <si>
    <t>10/18/2025 14:05:12</t>
  </si>
  <si>
    <t>10/18/2025 14:06:50</t>
  </si>
  <si>
    <t>Not used empathy and apology  words</t>
  </si>
  <si>
    <t>The customer called for bill payment status related enquiry, The check the details and given proper information payment not updated currently, wait for 24 hours.</t>
  </si>
  <si>
    <t>invoice check the date for payment</t>
  </si>
  <si>
    <t>Inquiry only</t>
  </si>
  <si>
    <t>10/18/2025 14:07:58</t>
  </si>
  <si>
    <t>10/18/2025 14:13:19</t>
  </si>
  <si>
    <t xml:space="preserve">The customer called and Inquiry about Payment not updating related issue, agent checked and Provide 24 Hours waiting time </t>
  </si>
  <si>
    <t>10/18/2025 14:15:31</t>
  </si>
  <si>
    <t xml:space="preserve">Lack of confidence, Fumbling ,Not followed empathy script , Dead air </t>
  </si>
  <si>
    <t xml:space="preserve">The customer called for TV channel related details, The agent check the details and given proper information IPTV and OTT connection only available </t>
  </si>
  <si>
    <t>OTHERS</t>
  </si>
  <si>
    <t>10/18/2025 14:23:14</t>
  </si>
  <si>
    <t xml:space="preserve">Give accurate information/ Next steps on each issue, Utilized all information &amp; System access before escalation </t>
  </si>
  <si>
    <t>Customer called for PUK CODE related</t>
  </si>
  <si>
    <t>10/18/2025 14:26:03</t>
  </si>
  <si>
    <t>10/18/2025 14:27:50</t>
  </si>
  <si>
    <t>Opening &amp; Introduction â€“ Done 
Customer details captured â€“Done
Customer concern -Customer having network issue
Resolution shared - Advisor complete probing to customers as per call and setting provide
Further Assistance -Done
Closing as per standard -  Done.
AOI-empathy missing,correct probing not done,apology missing</t>
  </si>
  <si>
    <t>10/18/2025 14:29:08</t>
  </si>
  <si>
    <t>10/18/2025 14:30:29</t>
  </si>
  <si>
    <t>10/18/2025 14:34:50</t>
  </si>
  <si>
    <t>Failed to use empathy, no convincing skill</t>
  </si>
  <si>
    <t>Customer having  enquiry regarding port out procedure. Advisor complete probing to customer as per call and given port out SMS details.</t>
  </si>
  <si>
    <t>10/18/2025 14:36:27</t>
  </si>
  <si>
    <t>VPS268</t>
  </si>
  <si>
    <t>Opening &amp; Introduction â€“ Done 
Customer details captured â€“Done
Customer concern -Customer having sms issue
Resolution shared - Advisor complete probing to customers as per call and main balance act
Further Assistance -Done
Closing as per standard -  Done.
AOI-empathy missing,dead air,</t>
  </si>
  <si>
    <t>10/18/2025 14:36:33</t>
  </si>
  <si>
    <t>VPS271</t>
  </si>
  <si>
    <t xml:space="preserve">  Not used empathy and apology words</t>
  </si>
  <si>
    <t>The customer called for data connectivity related issue , The agent check the details and informed to set the network settings.</t>
  </si>
  <si>
    <t xml:space="preserve"> DATA BALANCE NOT AVAILABLE	</t>
  </si>
  <si>
    <t xml:space="preserve"> DATA SERVICES	</t>
  </si>
  <si>
    <t>10/18/2025 14:38:59</t>
  </si>
  <si>
    <t xml:space="preserve"> Not used apology words, Complete probing not done</t>
  </si>
  <si>
    <t xml:space="preserve"> The customer called for network signal regarding issue , The agent  not done complete probing the agent informed to set the network selection settings.</t>
  </si>
  <si>
    <t>10/18/2025 14:41:34</t>
  </si>
  <si>
    <t>Interruption, Dead air, Lack of confidence</t>
  </si>
  <si>
    <t>The customer called for sim locked not able to do the transactions, related issue ,The agent given proper information to contact the application helpdesk.</t>
  </si>
  <si>
    <t xml:space="preserve"> SIM</t>
  </si>
  <si>
    <t>10/18/2025 14:43:09</t>
  </si>
  <si>
    <t>Correct greeting not used, dead air</t>
  </si>
  <si>
    <t>Customer having sim block request. Advisor complete probing to customer as per call and register request for sim block.</t>
  </si>
  <si>
    <t>10/18/2025 14:45:47</t>
  </si>
  <si>
    <t>AOI-empathy missing,dead air,complet probing not done</t>
  </si>
  <si>
    <t>Opening &amp; Introduction â€“ Done 
Customer details captured â€“Done
Customer concern -Customer having data issue
Resolution shared - Advisor complete probing to customers as per call and data setting provide
Further Assistance -Done
Closing as per standard -  Done.
AOI-empathy missing,dead air,complet probing not done</t>
  </si>
  <si>
    <t>10/18/2025 14:53:05</t>
  </si>
  <si>
    <t>Opening &amp; Introduction â€“ Done 
Customer details captured â€“Done
Customer concern -Customer having sim details
Resolution shared - Advisor complete probing to customers as per call and other details
Further Assistance -Done
Closing as per standard -  Done.
AOI-empathy missing,dead air,complet probing not done</t>
  </si>
  <si>
    <t>10/18/2025 15:02:08</t>
  </si>
  <si>
    <t>Empathy &amp; apology missing, complete probing not done, no convincing skill</t>
  </si>
  <si>
    <t>Customer having network connectivity issue during power down. Advisor complete probing to customer as per call andcollect information regarding port out.</t>
  </si>
  <si>
    <t>10/18/2025 15:23:49</t>
  </si>
  <si>
    <t xml:space="preserve">Delay opening, Not used empathy words, Lack of listening </t>
  </si>
  <si>
    <t xml:space="preserve">The customer called for LL connection not working need to check the bill status, The agent check the details and given proper information </t>
  </si>
  <si>
    <t>others</t>
  </si>
  <si>
    <t>10/18/2025 15:45:37</t>
  </si>
  <si>
    <t xml:space="preserve">Fumbling, Choice of words not proper </t>
  </si>
  <si>
    <t xml:space="preserve">The customer called for bill updating related enquiry the agent check the details and given proper information bill has updated </t>
  </si>
  <si>
    <t>10/18/2025 16:00:14</t>
  </si>
  <si>
    <t>VPS269</t>
  </si>
  <si>
    <t>AOI-empathy missing,dead air,complet probing not done,tagging not done</t>
  </si>
  <si>
    <t>Opening &amp; Introduction â€“ Done 
Customer details captured â€“Done
Customer concern -Customer having incomimg and outgoing call issue
Resolution shared - Advisor complete probing to customers as per call and wait for few minute
Further Assistance -Done
Closing as per standard -  Done.
AOI-empathy missing,dead air,complet probing not done,tagging not done</t>
  </si>
  <si>
    <t>10/18/2025 16:16:25</t>
  </si>
  <si>
    <t>VPS273</t>
  </si>
  <si>
    <t xml:space="preserve"> Dead air, Did not confirmed caller name, Not used empathy words</t>
  </si>
  <si>
    <t xml:space="preserve">The customer called for recharge not updated related issue , The agent check the details and givne proper information </t>
  </si>
  <si>
    <t>10/18/2025 16:17:18</t>
  </si>
  <si>
    <t>Opening &amp; Introduction â€“ Done 
Customer details captured â€“Done
Customer concern -Customer having sms issue
Resolution shared - Advisor complete probing to customers as per call and setting provide
Further Assistance -Done
Closing as per standard -  Done.
AOI-empathy missing,dead air,complet probing not done,tagging not done</t>
  </si>
  <si>
    <t>10/18/2025 16:21:13</t>
  </si>
  <si>
    <t>VPS272</t>
  </si>
  <si>
    <t>choice of words not proper, Lack of confidence, Not used empathy words</t>
  </si>
  <si>
    <t>The customer called for data connectivity related issue , The agent informed to wait for 1 hour else try the default option restart the mobile, network manual settings</t>
  </si>
  <si>
    <t>10/18/2025 16:31:27</t>
  </si>
  <si>
    <t xml:space="preserve"> Lack of confidence , Not used apology words, Wrong information , Did not asked Caller Name</t>
  </si>
  <si>
    <t>The customer called  for network related issue , The agent did not given proper information restart and wait for 1 hour issue will be resolved</t>
  </si>
  <si>
    <t>10/18/2025 16:35:16</t>
  </si>
  <si>
    <t>Opening &amp; Introduction â€“ Done 
Customer details captured â€“Done
Customer concern -Customer having post paid sim sms issue
Resolution shared - Advisor complete probing to customers as per call and customer call disconnect the customer
Further Assistance -Done
Closing as per standard -  Done.
AOI-empathy missing,dead air,complet probing not done,tagging not done</t>
  </si>
  <si>
    <t>10/18/2025 16:36:21</t>
  </si>
  <si>
    <t xml:space="preserve"> Not used empathy words,</t>
  </si>
  <si>
    <t xml:space="preserve">The customer called for modem redlinght blinking related issue, The agent check   the details and taken compliant </t>
  </si>
  <si>
    <t>No tagging (Techncal issue)</t>
  </si>
  <si>
    <t>10/18/2025 16:56:24</t>
  </si>
  <si>
    <t xml:space="preserve">Lack of product knowledge, Lack of confidence </t>
  </si>
  <si>
    <t>The customer called for new fiber connection related details, The agent given proper information about the plan and new connection booking details</t>
  </si>
  <si>
    <t>LEAD - CHECK STATUS OF NEW CONNECTION OR LEAD</t>
  </si>
  <si>
    <t>10/18/2025 17:11:17</t>
  </si>
  <si>
    <t xml:space="preserve"> Dead air </t>
  </si>
  <si>
    <t>The customer called for recharge plan related details, The agent check and given proper information.</t>
  </si>
  <si>
    <t>No tagging</t>
  </si>
  <si>
    <t>10/18/2025 17:17:47</t>
  </si>
  <si>
    <t xml:space="preserve">  Dead air, Lack of active listening </t>
  </si>
  <si>
    <t>The customer called for wrong recharge related issue , The agent check the detail and informed to contact sfter topup 10.</t>
  </si>
  <si>
    <t xml:space="preserve">	 ENQUIRY ON PREPAID PLANS	</t>
  </si>
  <si>
    <t>10/18/2025 17:21:48</t>
  </si>
  <si>
    <t xml:space="preserve"> Delay opening ,Lack of listeng, Causual talk, Dead air </t>
  </si>
  <si>
    <t>The customer called for recharge related confirmation , The agent check the details and informed recharge not updated</t>
  </si>
  <si>
    <t>10/18/2025 17:25:29</t>
  </si>
  <si>
    <t>VPS267</t>
  </si>
  <si>
    <t>Opening &amp; Introduction â€“ Done 
Customer details captured â€“Done
Customer concern -Customer having plan details
Resolution shared - Advisor complete probing to customers as per call and customer call plan details provide
Further Assistance -Done
Closing as per standard -  Done.
AOI-empathy missing,dead air,</t>
  </si>
  <si>
    <t xml:space="preserve"> ENQUIRY ON BALANCE AND VALIDITY</t>
  </si>
  <si>
    <t>10/18/2025 17:25:34</t>
  </si>
  <si>
    <t>Dead air , Not used empathy words</t>
  </si>
  <si>
    <t>The customer called for data not connected related issue , The agent check the details and given proper information sim side no issue try to set the preferred network settings</t>
  </si>
  <si>
    <t>10/18/2025 17:31:47</t>
  </si>
  <si>
    <t>The customer called for wrong recharged related issue , The check the detail and given proper information(Voice not audible after the hold refeshed)</t>
  </si>
  <si>
    <t>10/18/2025 17:33:30</t>
  </si>
  <si>
    <t xml:space="preserve">
AOI-empathy missing,dead air,</t>
  </si>
  <si>
    <t>Opening &amp; Introduction â€“ Done 
Customer details captured â€“Done
Customer concern -Customer having network issue
Resolution shared - Advisor complete probing to customers as per call and customer call agent details not provide
Further Assistance -Done
Closing as per standard -  Done.
AOI-empathy missing,dead air,</t>
  </si>
  <si>
    <t xml:space="preserve"> WEAK SIGNAL</t>
  </si>
  <si>
    <t>10/18/2025 17:40:25</t>
  </si>
  <si>
    <t>AOI-did not followed script</t>
  </si>
  <si>
    <t>Opening &amp; Introduction â€“ Done 
Customer details captured â€“Done
Customer concern -Customer having new sim details
Resolution shared - Advisor complete probing to customers as per call and customer call bsnl office visit
Further Assistance -Done
Closing as per standard -  Done.
AOI-did not followed script</t>
  </si>
  <si>
    <t>10/18/2025 17:43:45</t>
  </si>
  <si>
    <t>VPS274</t>
  </si>
  <si>
    <t xml:space="preserve">LACK OF CONFIDENCE </t>
  </si>
  <si>
    <t xml:space="preserve"> The customer called for call not connected related issue , The agent check the details and informed call balance not available</t>
  </si>
  <si>
    <t xml:space="preserve">PLANS AND VALIDITY DETAILS	 </t>
  </si>
  <si>
    <t>10/18/2025 17:45:36</t>
  </si>
  <si>
    <t>AOI-dead air observed</t>
  </si>
  <si>
    <t>Opening &amp; Introduction â€“ Done 
Customer details captured â€“Done
Customer concern -Customer having puk code details
Resolution shared - Advisor complete probing to customers as per call and customer call puk code provide
Further Assistance -Done
Closing as per standard -  Done.
AOI-dead air observed</t>
  </si>
  <si>
    <t>10/18/2025 17:57:59</t>
  </si>
  <si>
    <t xml:space="preserve">AOI-dead air observed,empathy missing </t>
  </si>
  <si>
    <t xml:space="preserve">Opening &amp; Introduction â€“ Done 
Customer details captured â€“Done
Customer concern -Customer having land line details
Resolution shared - Advisor complete probing to customers as per call and customer call landline twoway bloacked
Further Assistance -Done
Closing as per standard -  Done.
AOI-dead air observed,empathy missing </t>
  </si>
  <si>
    <t>10/18/2025 18:02:07</t>
  </si>
  <si>
    <t xml:space="preserve"> Not confirmed called name , Delay opening , Not used empathy and apology words, WRONG INFORMATION</t>
  </si>
  <si>
    <t xml:space="preserve">The customer called for data connectivity related issue , The agent check the details and informed sim side no issue complaint booked, but the agent did not booked any complaint </t>
  </si>
  <si>
    <t>10/18/2025 18:07:41</t>
  </si>
  <si>
    <t xml:space="preserve">AOI-,empathy missing </t>
  </si>
  <si>
    <t xml:space="preserve">Opening &amp; Introduction â€“ Done 
Customer details captured â€“Done
Customer concern -Customer having bb issue
Resolution shared - Advisor complete probing to customers as per call complent booking
Further Assistance -Done
Closing as per standard -  Done.
AOI-,empathy missing </t>
  </si>
  <si>
    <t>10/18/2025 18:17:50</t>
  </si>
  <si>
    <t>AOI-did not active skill</t>
  </si>
  <si>
    <t>Opening &amp; Introduction â€“ Done 
Customer details captured â€“Done
Customer concern -Customer having wifi  issue
Resolution shared - Advisor complete probing to customers as per call complent booking
Further Assistance -Done
Closing as per standard -  Done.
AOI-did not active skill</t>
  </si>
  <si>
    <t>10/18/2025 18:23:28</t>
  </si>
  <si>
    <t>AOI-dead air observed,</t>
  </si>
  <si>
    <t>Opening &amp; Introduction â€“ Done 
Customer details captured â€“Done
Customer concern -Customer having wifi  issue
Resolution shared - Advisor complete probing to customers as per call complent booking
Further Assistance -Done
Closing as per standard -  Done.
AOI-dead air observed,</t>
  </si>
  <si>
    <t>10/18/2025 18:30:24</t>
  </si>
  <si>
    <t>AOI-dead air observed,empathy missing</t>
  </si>
  <si>
    <t>Opening &amp; Introduction â€“ Done 
Customer details captured â€“Done
Customer concern -Customer having sim details
Resolution shared - Advisor complete probing to customers as per call 1503
Further Assistance -Done
Closing as per standard -  Done.
AOI-dead air observed,empathy missing</t>
  </si>
  <si>
    <t>10/18/2025 18:34:45</t>
  </si>
  <si>
    <t>Opening &amp; Introduction â€“ Done 
Customer details captured â€“Done
Customer concern -Customer having landline details
Resolution shared - Advisor complete probing to customers as per call complent booking
Further Assistance -Done
Closing as per standard -  Done.
AOI-dead air observed,empathy missing</t>
  </si>
  <si>
    <t>10/18/2025 18:47:32</t>
  </si>
  <si>
    <t>Opening &amp; Introduction â€“ Done 
Customer details captured â€“Done
Customer concern -Customer having landline bill details
Resolution shared - Advisor complete probing to customers as per call deactive bsnl office visit
Further Assistance -Done
Closing as per standard -  Done.
AOI-,empathy missing</t>
  </si>
  <si>
    <t>10/18/2025 18:50:58</t>
  </si>
  <si>
    <t>Opening &amp; Introduction â€“ Done 
Customer details captured â€“Done
Customer concern -Customer having landline new connect details
Resolution shared - Advisor complete probing to customers as per call bsnl office visit
Further Assistance -Done
Closing as per standard -  Done.
AOI-dead air observed,empathy missing</t>
  </si>
  <si>
    <t>10/18/2025 19:04:17</t>
  </si>
  <si>
    <t xml:space="preserve">wrong choice of words, Lack of confidence, Not used apology words, Low active listening </t>
  </si>
  <si>
    <t xml:space="preserve">The customer called for network signal regarding issue ,The agent taken a wrong complaint </t>
  </si>
  <si>
    <t>10/18/2025 19:07:24</t>
  </si>
  <si>
    <t xml:space="preserve">wrong choice of words, Lack of confidence, Dead air , Lack of product knowledge, Not used proper IT tools
</t>
  </si>
  <si>
    <t xml:space="preserve">
The customer called for data not connected related issue , The agent check the details and informed data balance not available check to restart the mobile and callback.(Not given proper information )  </t>
  </si>
  <si>
    <t>10/18/2025 19:17:36</t>
  </si>
  <si>
    <t>Lack of product knowledge, fIlling not used, Fumbling observed, Not used empathy and apology words, Not focusing the caller issue ,Not Upheld BSNL positive image</t>
  </si>
  <si>
    <t xml:space="preserve">The customer called for new wifi plan related details , The agent not properly focused the customer enquiry verify the address details customer disconncet the call </t>
  </si>
  <si>
    <t>10/18/2025 19:25:09</t>
  </si>
  <si>
    <t xml:space="preserve">Opening not done properly, Fumbling, Lack of product knowledge, Not used proper script, complete probing not done, (AVOID THE BACKGROND VOICE), Lack of active listening skill, Dead air </t>
  </si>
  <si>
    <t xml:space="preserve">The customer called for new fiber connection booking related details ,The agent get the details for new connection booking </t>
  </si>
  <si>
    <t>10/18/2025 21:55:11</t>
  </si>
  <si>
    <t>No active listening skill, Not used apology words</t>
  </si>
  <si>
    <t>10/18/2025 22:15:46</t>
  </si>
  <si>
    <t>Customer called and  inquired about Wrong recharge related issue, Agent checked and taken recharge conversion request but not followed required quality parameter properly.</t>
  </si>
  <si>
    <t xml:space="preserve">REQUEST	</t>
  </si>
  <si>
    <t>10/18/2025 22:19:29</t>
  </si>
  <si>
    <t xml:space="preserve">No active listening skill, Not used empathy and apology words, Dead air, No further assistance </t>
  </si>
  <si>
    <t>10/18/2025 22:24:02</t>
  </si>
  <si>
    <t xml:space="preserve">Not started with proper starting script, No further assistance </t>
  </si>
  <si>
    <t>Customer called and  inquired about Weak signal related issue, Agent checked and Taken poor coverage related complaint. but not followed required quality parameter properly.</t>
  </si>
  <si>
    <t>10/18/2025 22:27:14</t>
  </si>
  <si>
    <t>Delay opening, Dead air</t>
  </si>
  <si>
    <t>Customer called and  inquired about Data connectivity related issue, Agent checked and taken no internet access related complaint but not followed required quality parameter properly.</t>
  </si>
  <si>
    <t>10/18/2025 23:01:39</t>
  </si>
  <si>
    <t>Customer concern -Customer called for unable to make call after recharge .
Resolution shared - Advisor done complete probing to customer as per call.</t>
  </si>
  <si>
    <t>10/18/2025 23:13:46</t>
  </si>
  <si>
    <t>Customer concern -Customer called for Sim not activated.
Resolution shared - Advisor done complete probing to customer as per call.</t>
  </si>
  <si>
    <t>10/18/2025 23:19:02</t>
  </si>
  <si>
    <t>No apology,Not gave SR number</t>
  </si>
  <si>
    <t>10/18/2025 23:22:23</t>
  </si>
  <si>
    <t xml:space="preserve">Not use empathy and apology
</t>
  </si>
  <si>
    <t>Customer concern -Customer called for network complaint .
Resolution shared - Advisor done complete probing to customer as per call.</t>
  </si>
  <si>
    <t>10/18/2025 23:24:56</t>
  </si>
  <si>
    <t>Customer concern -Customer called for unable to make OG and IC calls .
Resolution shared - Advisor done complete probing to customer as per call.</t>
  </si>
  <si>
    <t>10/19/2025 12:59:00</t>
  </si>
  <si>
    <t>10/19/2025</t>
  </si>
  <si>
    <t>Customer having ISD activation issue. Advisor complete probing to customer as per call and  contact CS for ISD activation details ,</t>
  </si>
  <si>
    <t>ENQUIRY ON ISD ROAMING ACTIVATION PROCESS</t>
  </si>
  <si>
    <t>10/19/2025 13:04:50</t>
  </si>
  <si>
    <t>Complete probing not done, interruption on call, further assistane not done</t>
  </si>
  <si>
    <t>10/19/2025 13:23:00</t>
  </si>
  <si>
    <t>Opening &amp; Introduction â€“ Done 
Customer details captured â€“Done
Customer concern -Customer having volte details
Resolution shared - Advisor complete probing to customers as per call volte act
Further Assistance -Done
Closing as per standard -  Done.
AOI-dead air observed,empathy missing</t>
  </si>
  <si>
    <t>10/19/2025 13:40:51</t>
  </si>
  <si>
    <t>Opening &amp; Introduction â€“ Done 
Customer details captured â€“Done
Customer concern -Customer having plan details
Resolution shared - Advisor complete probing to customers as per call only data useage this plan
Further Assistance -Done
Closing as per standard -  Done.
AOI-dead air observed,empathy missing</t>
  </si>
  <si>
    <t>10/19/2025 13:42:16</t>
  </si>
  <si>
    <t>Customer having  data connectivity issue. Advisor complete probing to customer as per call and register complaint for data issue.</t>
  </si>
  <si>
    <t>10/19/2025 13:46:01</t>
  </si>
  <si>
    <t>Delay opening, empathy &amp; apology missing, probing not done</t>
  </si>
  <si>
    <t>Customer having data connectivity issue. Advisor complete probing to customer as per call and given already compleint registered and given TAT ,</t>
  </si>
  <si>
    <t xml:space="preserve"> ENQUIRY ON LAST COMPLAINT</t>
  </si>
  <si>
    <t>10/19/2025 13:53:25</t>
  </si>
  <si>
    <t>fillers, correct greeting not used, complete probing not done, empathy &amp; apology missing, no convincing skill</t>
  </si>
  <si>
    <t>10/19/2025 13:55:33</t>
  </si>
  <si>
    <t xml:space="preserve"> Explained hold time or Dead air</t>
  </si>
  <si>
    <t>Customer called to know about his SIM status related</t>
  </si>
  <si>
    <t>10/19/2025 13:58:23</t>
  </si>
  <si>
    <t xml:space="preserve"> Used Approved Question/Polite language( overriding on call)</t>
  </si>
  <si>
    <t>10/19/2025 14:01:10</t>
  </si>
  <si>
    <t>Failed to Ask empathy and Script adherence</t>
  </si>
  <si>
    <t>10/19/2025 14:02:43</t>
  </si>
  <si>
    <t>Utilized all information &amp; System access before escalation, Script adherence</t>
  </si>
  <si>
    <t>10/19/2025 14:10:28</t>
  </si>
  <si>
    <t>10/19/2025 14:14:38</t>
  </si>
  <si>
    <t>Customer called for new SIM related</t>
  </si>
  <si>
    <t>10/19/2025 14:15:50</t>
  </si>
  <si>
    <t>Failed to ask empathy , Script adherence,Gave SR Number</t>
  </si>
  <si>
    <t>10/19/2025 14:31:09</t>
  </si>
  <si>
    <t xml:space="preserve">The customer called and Inquiry about  payment not updating related Issue, agent checked and information given Properly </t>
  </si>
  <si>
    <t>10/19/2025 14:35:55</t>
  </si>
  <si>
    <t>The customer called and Inquiry about wireless related Issue, agent checked and Provide the Wireless customer care number ( 1503 )</t>
  </si>
  <si>
    <t>10/19/2025 14:39:06</t>
  </si>
  <si>
    <t xml:space="preserve">The customer called and Inquiry about payment not updating related Issue, agent checked and information given Properly </t>
  </si>
  <si>
    <t>10/19/2025 16:17:18</t>
  </si>
  <si>
    <t>AOI-dead air observed,empathy missing,apology missing</t>
  </si>
  <si>
    <t>Opening &amp; Introduction â€“ Done 
Customer details captured â€“Done
Customer concern -Customer having data issue
Resolution shared - Advisor complete probing to customers as per call setting 
Further Assistance -Done
Closing as per standard -  Done.
AOI-dead air observed,empathy missing,apology missing</t>
  </si>
  <si>
    <t>10/19/2025 16:23:16</t>
  </si>
  <si>
    <t>AOI-,apology missing,did not ask customer name</t>
  </si>
  <si>
    <t>Opening &amp; Introduction â€“ Done 
Customer details captured â€“Done
Customer concern -Customer having data issue
Resolution shared - Advisor complete probing to customers as per call setting provide
Further Assistance -Done
Closing as per standard -  Done.
AOI-,apology missing,did not ask customer name</t>
  </si>
  <si>
    <t>10/19/2025 16:35:30</t>
  </si>
  <si>
    <t>Opening &amp; Introduction â€“ Done 
Customer details captured â€“Done
Customer concern -Customer having sms issue
Resolution shared - Advisor complete probing to customers as per call setting provide
Further Assistance -Done
Closing as per standard -  Done.
AOI-,apology missing,did not ask customer name</t>
  </si>
  <si>
    <t>10/19/2025 16:53:52</t>
  </si>
  <si>
    <t>AOI-dead air,script did not complet</t>
  </si>
  <si>
    <t>Opening &amp; Introduction â€“ Done 
Customer details captured â€“Done
Customer concern -Customer having land line issue
Resolution shared - Advisor complete probing to customers as per call complent booking
Further Assistance -Done
Closing as per standard -  Done.
AOI-dead air,script did not complet</t>
  </si>
  <si>
    <t>10/19/2025 17:05:36</t>
  </si>
  <si>
    <t>Opening &amp; Introduction â€“ Done 
Customer details captured â€“Done
Customer concern -Customer having landline issue
Resolution shared - Advisor complete probing to customers as per call complent booking
Further Assistance -Done
Closing as per standard -  Done.
AOI-dead air,</t>
  </si>
  <si>
    <t>10/19/2025 17:11:27</t>
  </si>
  <si>
    <t>Opening &amp; Introduction â€“ Done 
Customer details captured â€“Done
Customer concern -Customer having network issue
Resolution shared - Advisor complete probing to customers as per call setting provide
Further Assistance -Done
Closing as per standard -  Done.
AOI-dead air,</t>
  </si>
  <si>
    <t>ERROR IN CONNECTION</t>
  </si>
  <si>
    <t>10/19/2025 17:16:01</t>
  </si>
  <si>
    <t>AOI-did not followed all step</t>
  </si>
  <si>
    <t>Opening &amp; Introduction â€“ Done 
Customer details captured â€“Done
Customer concern -Customer having landline issue
Resolution shared - Advisor complete probing to customers as per call complaint booking
Further Assistance -Done
Closing as per standard -  Done.
AOI-did not followed all step</t>
  </si>
  <si>
    <t>10/19/2025 17:25:38</t>
  </si>
  <si>
    <t>Opening &amp; Introduction â€“ Done 
Customer details captured â€“Done
Customer concern -Customer having sim details
Resolution shared - Advisor complete probing to customers as per call 1503
Further Assistance -Done
Closing as per standard -  Done.
AOI-empathy missing,apology missing</t>
  </si>
  <si>
    <t>10/19/2025 17:30:45</t>
  </si>
  <si>
    <t>Opening &amp; Introduction â€“ Done 
Customer details captured â€“Done
Customer concern -Customer having sms issue
Resolution shared - Advisor complete probing to customers as per call did not sms offer so main account balance recharger imdetly then sms sent
Further Assistance -Done
Closing as per standard -  Done.
AOI-dead air</t>
  </si>
  <si>
    <t>10/19/2025 17:39:01</t>
  </si>
  <si>
    <t>Opening &amp; Introduction â€“ Done 
Customer details captured â€“Done
Customer concern -Customer having network issue
Resolution shared - Advisor complete probing to customers as per call setting provide
Further Assistance -Done
Closing as per standard -  Done.
AOI-dead air</t>
  </si>
  <si>
    <t>10/19/2025 17:45:56</t>
  </si>
  <si>
    <t>AOI-dead air,complet tagging not done</t>
  </si>
  <si>
    <t>Opening &amp; Introduction â€“ Done 
Customer details captured â€“Done
Customer concern -Customer having network issue
Resolution shared - Advisor complete probing to customers as per call already complaint booking
Closing as per standard -  Done.
AOI-dead air,complet tagging not done</t>
  </si>
  <si>
    <t>10/19/2025 17:51:42</t>
  </si>
  <si>
    <t>AOI-complet tagging not done</t>
  </si>
  <si>
    <t>Opening &amp; Introduction â€“ Done 
Customer details captured â€“Done
Customer concern -Customer having network issue
Resolution shared - Advisor complete probing to customers as per call incomplet call
Closing as per standard -  Done.
AOI-complet tagging not done</t>
  </si>
  <si>
    <t>10/19/2025 17:56:17</t>
  </si>
  <si>
    <t>Opening &amp; Introduction â€“ Done 
Customer details captured â€“Done
Customer concern -Customer having network issue
Resolution shared - Advisor complete probing to customers as per call incomplet call
Closing as per standard -  Done.
AOI-dead air,complet tagging not done</t>
  </si>
  <si>
    <t>10/19/2025 18:03:39</t>
  </si>
  <si>
    <t>AOI-dead air,empathy missing</t>
  </si>
  <si>
    <t>Opening &amp; Introduction â€“ Done 
Customer details captured â€“Done
Customer concern -Customer having recharge plan details
Resolution shared - Advisor complete probing to customers as per call plan 147 provide
Closing as per standard -  Done.
AOI-dead air,empathy missing</t>
  </si>
  <si>
    <t>10/19/2025 18:10:15</t>
  </si>
  <si>
    <t>Opening &amp; Introduction â€“ Done 
Customer details captured â€“Done
Customer concern -Customer having sim details
Resolution shared - Advisor complete probing to customers as per call 1503
Closing as per standard -  Done.
AOI-dead air,empathy missing</t>
  </si>
  <si>
    <t>10/19/2025 18:22:26</t>
  </si>
  <si>
    <t>AOI-dealy opening,empathy missing</t>
  </si>
  <si>
    <t>Opening &amp; Introduction â€“ Done 
Customer details captured â€“Done
Customer concern -Customer having sim details
Resolution shared - Advisor complete probing to customers as per call 18001801503
Closing as per standard -  Done.
AOI-dealy opening,empathy missing</t>
  </si>
  <si>
    <t>10/19/2025 22:05:25</t>
  </si>
  <si>
    <t>Customer called and  inquired about Sim activation related issue, Agent checked and given FRC Related information properly.</t>
  </si>
  <si>
    <t>10/19/2025 22:20:03</t>
  </si>
  <si>
    <t>10/19/2025 22:22:14</t>
  </si>
  <si>
    <t>No empathy , No script adherence</t>
  </si>
  <si>
    <t>Customer concern -Customer called for wrong recharge conversion request .
Resolution shared - Advisor done complete probing to customer as per call.</t>
  </si>
  <si>
    <t>10/19/2025 22:25:24</t>
  </si>
  <si>
    <t>Not Asked the Caller required Verification Questions, Not used empathy and apology words</t>
  </si>
  <si>
    <t>Customer called and  inquired about Esim and Plans and validity related issue, Agent checked and given E sim procedure and plans details properly. but not followed required quality parameter properly.</t>
  </si>
  <si>
    <t>10/19/2025 22:26:11</t>
  </si>
  <si>
    <t>Customer concern -Customer called for recharge conversion main balance details .
Resolution shared - Advisor done complete probing to customer as per call.</t>
  </si>
  <si>
    <t>10/19/2025 22:28:52</t>
  </si>
  <si>
    <t>Not started with proper script, Not used empathy and apology words, No further assistnace</t>
  </si>
  <si>
    <t>Customer called and  inquired about Plans and validity related issue, Agent checked and given Validity and plans details but not followed required quality parameter properly.</t>
  </si>
  <si>
    <t>10/19/2025 22:30:00</t>
  </si>
  <si>
    <t>Delay opening, Not use empathy and apology,Dead air</t>
  </si>
  <si>
    <t>Customer concern -Customer called for sim not activated .
Resolution shared - Advisor done complete probing to customer as per call.</t>
  </si>
  <si>
    <t>VALIDITY EXTENSION</t>
  </si>
  <si>
    <t>10/19/2025 22:33:51</t>
  </si>
  <si>
    <t xml:space="preserve">No active listening skill, Dead air, No further assistance </t>
  </si>
  <si>
    <t>10/19/2025 22:38:20</t>
  </si>
  <si>
    <t>Customer concern -Customer called for FRC 1 Plan details and sim status .
Resolution shared - Advisor done complete probing to customer as per call.</t>
  </si>
  <si>
    <t>10/19/2025 22:41:45</t>
  </si>
  <si>
    <t>NO further assistance</t>
  </si>
  <si>
    <t>10/20/2025 7:47:06</t>
  </si>
  <si>
    <t>10/20/2025</t>
  </si>
  <si>
    <t>Customer called to inquire about PORT IN related</t>
  </si>
  <si>
    <t>10/20/2025 9:03:58</t>
  </si>
  <si>
    <t>Apology missing, correct greeting nnot used, complete probing not done</t>
  </si>
  <si>
    <t>Customer having OTP issue. Advisor complete probing to customer as per call and given preffered network type as 2G/3G.</t>
  </si>
  <si>
    <t>10/20/2025 9:07:36</t>
  </si>
  <si>
    <t>Dead air, delay opening, empathy missing</t>
  </si>
  <si>
    <t>Customer having recharge related enquiry. Advisor complete probing to customer as per call and given PV 107 &amp; STV 439 pack details ,</t>
  </si>
  <si>
    <t>10/20/2025 9:17:47</t>
  </si>
  <si>
    <t>Empathy  missing, dead air, complete probing not done</t>
  </si>
  <si>
    <t>10/20/2025 9:22:26</t>
  </si>
  <si>
    <t>10/20/2025 9:27:33</t>
  </si>
  <si>
    <t>Apology missing, complete probing not done, interruption</t>
  </si>
  <si>
    <t>Customer having  weak signal and data connectivity issue. Advisor complete probing to customer as per call and collect information regarding portout.</t>
  </si>
  <si>
    <t>10/20/2025 9:41:30</t>
  </si>
  <si>
    <t>10/20/2025 9:53:13</t>
  </si>
  <si>
    <t xml:space="preserve"> Used Approved Question/Polite language( high rate of speech)</t>
  </si>
  <si>
    <t xml:space="preserve">Customer facing call connectivity issue related, agent explained call freebies was not available </t>
  </si>
  <si>
    <t>10/20/2025 10:02:59</t>
  </si>
  <si>
    <t>Customer called to know about recharge plan details related</t>
  </si>
  <si>
    <t>10/20/2025 10:48:49</t>
  </si>
  <si>
    <t>10/20/2025 16:00:26</t>
  </si>
  <si>
    <t>Not used empathy and apology words, Did not confirm the caller name , Choice of words not proper , Not tried to retain the customer properly.</t>
  </si>
  <si>
    <t xml:space="preserve">The agent contact the customer for  retaining , The customer facing  network issue already ported to other network </t>
  </si>
  <si>
    <t>10/20/2025 16:16:52</t>
  </si>
  <si>
    <t>Not used proper script, Not retain the customer properly , Casual talk</t>
  </si>
  <si>
    <t>The agent contact the MNP customer for retaining ,The customer facing issue so continue the portinging</t>
  </si>
  <si>
    <t>10/20/2025 16:52:26</t>
  </si>
  <si>
    <t>AOI-greeting not done,empathy missing ,did not capture districk,taluk</t>
  </si>
  <si>
    <t>Opening &amp; Introduction â€“ Done 
Customer details captured â€“Done
Customer concern -Customer having postpaid sim details
Resolution shared - Advisor complete probing to customers as per call and bill details provide
Further Assistance -Done
Closing as per standard -  Done.
AOI-greeting not done,empathy missing ,did not capture districk,taluk</t>
  </si>
  <si>
    <t>10/20/2025 17:04:13</t>
  </si>
  <si>
    <t>Opening &amp; Introduction â€“ Done 
Customer details captured â€“Done
Customer concern -Customer having nexwork issue
Resolution shared - Advisor complete probing to customers as per call and setting provide ,
Further Assistance -Done
Closing as per standard -  Done.
AOI-complet probing not done</t>
  </si>
  <si>
    <t>NETWORK BUSY</t>
  </si>
  <si>
    <t>10/20/2025 17:25:59</t>
  </si>
  <si>
    <t>AOI-complet probing not done,empathy missing,apology missing,dead air</t>
  </si>
  <si>
    <t>Opening &amp; Introduction â€“ Done 
Customer details captured â€“Done
Customer concern -Customer having recharge details
Resolution shared - Advisor complete probing to customers as per call and plan details147
Further Assistance -Done
Closing as per standard -  Done.
AOI-complet probing not done,empathy missing,apology missing,dead air</t>
  </si>
  <si>
    <t>BLANK CALL</t>
  </si>
  <si>
    <t>10/20/2025 17:30:39</t>
  </si>
  <si>
    <t>AOI-complet probing not done,empathy missing,dead air</t>
  </si>
  <si>
    <t>Opening &amp; Introduction â€“ Done 
Customer details captured â€“Done
Customer concern -Customer having recharge details
Resolution shared - Advisor complete probing to customers as per call and plan details provide
Further Assistance -Done
Closing as per standard -  Done.
AOI-complet probing not done,empathy missing,dead air</t>
  </si>
  <si>
    <t>10/20/2025 17:45:07</t>
  </si>
  <si>
    <t>10/20/2025 17:48:02</t>
  </si>
  <si>
    <t xml:space="preserve">The agent contact the customer  for retaining, The customer informed the reason for porting is change the phone </t>
  </si>
  <si>
    <t>10/20/2025 17:52:40</t>
  </si>
  <si>
    <t>10/20/2025 17:55:37</t>
  </si>
  <si>
    <t xml:space="preserve">The agent contact the customer for MNP retention , the customer facing network issue , The agent tried to retain the customer but customer not satisficed so the customer continue the porting  </t>
  </si>
  <si>
    <t>10/20/2025 18:02:09</t>
  </si>
  <si>
    <t>Opening &amp; Introduction â€“ Done 
Customer details captured â€“Done
Customer concern -Customer having vioce call issue
Resolution shared - Advisor complete probing to customers as per call and details provide
Further Assistance -Done
Closing as per standard -  Done.
AOI-complet probing not done,empathy missing,dead air</t>
  </si>
  <si>
    <t>10/20/2025 18:12:18</t>
  </si>
  <si>
    <t>complet probing not done,empathy missing,dead air</t>
  </si>
  <si>
    <t>Opening &amp; Introduction â€“ Done 
Customer details captured â€“Done
Customer concern -Customer having vioce data issue
Resolution shared - Advisor complete probing to customers as per call and setting provide
Further Assistance -Done
Closing as per standard -  Done.
AOI-complet probing not done,empathy missing,dead air</t>
  </si>
  <si>
    <t>10/20/2025 18:12:25</t>
  </si>
  <si>
    <t xml:space="preserve"> Failed to ask apology and Script adherence</t>
  </si>
  <si>
    <t>10/20/2025 18:14:24</t>
  </si>
  <si>
    <t>The agent contact the customer for complaint related details , The customer informed the complaint not resolved  so the advisor taken a complaint .</t>
  </si>
  <si>
    <t>10/20/2025 18:16:38</t>
  </si>
  <si>
    <t>Opening &amp; Introduction â€“ Done 
Customer details captured â€“Done
Customer concern -Customer having vioce data issue
Resolution shared - Advisor complete probing to customers as per call and details provide
Further Assistance -Done
Closing as per standard -  Done.
AOI-complet probing not done,empathy missing,dead air</t>
  </si>
  <si>
    <t>10/20/2025 18:17:20</t>
  </si>
  <si>
    <t xml:space="preserve"> Failed to ask empathy and apology, Script adherence</t>
  </si>
  <si>
    <t>10/20/2025 18:23:04</t>
  </si>
  <si>
    <t>AOI-did not confirm taluk,apology missing,dead air</t>
  </si>
  <si>
    <t>Opening &amp; Introduction â€“ Done 
Customer details captured â€“Done
Customer concern -Customer having vioce volte issue
Resolution shared - Advisor complete probing to customers as per call and call disconnected
Further Assistance -Done
Closing as per standard -  Done.
AOI-did not confirm taluk,apology missing,dead air</t>
  </si>
  <si>
    <t>10/20/2025 18:27:37</t>
  </si>
  <si>
    <t xml:space="preserve"> Lack of active listening skill</t>
  </si>
  <si>
    <t>The agent contact the customer for  complaint related, The customer informed issue not yet resolved</t>
  </si>
  <si>
    <t xml:space="preserve">OUTBOUND	</t>
  </si>
  <si>
    <t xml:space="preserve">OUTCALL TN NETWORK COMP	</t>
  </si>
  <si>
    <t>10/20/2025 18:30:21</t>
  </si>
  <si>
    <t>AOI-,apology missing,empathy missing,</t>
  </si>
  <si>
    <t>Opening &amp; Introduction â€“ Done 
Customer details captured â€“Done
Customer concern -Customer having vioce wifi issue
Resolution shared - Advisor complete probing to customers as per call complaint booking
Further Assistance -Done
Closing as per standard -  Done.
AOI-,apology missing,empathy missing,</t>
  </si>
  <si>
    <t>10/20/2025 18:32:04</t>
  </si>
  <si>
    <t xml:space="preserve">The customer called and Inquiry about Internet not getting related Issue, agent checked and Provide the connection is Inactive More details please visit BSNL office </t>
  </si>
  <si>
    <t>10/20/2025 18:34:17</t>
  </si>
  <si>
    <t xml:space="preserve">tried to retain the customer </t>
  </si>
  <si>
    <t>The agent contact the MNP customer for retention, The customer facing network issue continuedly customer disconnect the call</t>
  </si>
  <si>
    <t>10/20/2025 18:34:58</t>
  </si>
  <si>
    <t>Opening &amp; Introduction â€“ Done 
Customer details captured â€“Done
Customer concern -Customer having vioce bb details
Resolution shared - Advisor complete probing to customers as per call sms details provide
Further Assistance -Done
Closing as per standard -  Done.
AOI-,apology missing,empathy missing,</t>
  </si>
  <si>
    <t>10/20/2025 18:37:47</t>
  </si>
  <si>
    <t xml:space="preserve">The customer called and Inquiry about BB not working related Issue, agent checked and Information given  and Booked a complaint too </t>
  </si>
  <si>
    <t>10/20/2025 18:38:46</t>
  </si>
  <si>
    <t>Opening &amp; Introduction â€“ Done 
Customer details captured â€“Done
Customer concern -Customer having vioce bb details
Resolution shared - Advisor complete probing to customers as per call sms plan chance whatup msg 
Further Assistance -Done
Closing as per standard -  Done.
AOI-,empathy missing,</t>
  </si>
  <si>
    <t>10/20/2025 18:39:34</t>
  </si>
  <si>
    <t>tried to retention the customer properly</t>
  </si>
  <si>
    <t xml:space="preserve">The agent contact the customer for MNP retention , The customer facing network related issue , customer  in busy will asked the callback </t>
  </si>
  <si>
    <t>10/20/2025 18:42:47</t>
  </si>
  <si>
    <t>Opening &amp; Introduction â€“ Done 
Customer details captured â€“Done
Customer concern -Customer having vioce wifi issue
Resolution shared - Advisor complete probing to customers as per call complaint booking 
Further Assistance -Done
Closing as per standard -  Done.
AOI-,empathy missing,apology missing</t>
  </si>
  <si>
    <t>10/20/2025 18:46:06</t>
  </si>
  <si>
    <t xml:space="preserve">The customer called and Inquiry about Wireless details agent checked and Provide the Wireless customer care Number </t>
  </si>
  <si>
    <t>10/20/2025 18:49:57</t>
  </si>
  <si>
    <t>AOI-,empathy missing,apology missing,dead air delay opening</t>
  </si>
  <si>
    <t>Opening &amp; Introduction â€“ Done 
Customer details captured â€“Done
Customer concern -Customer having vioce sim details
Resolution shared - Advisor complete probing to customers as per call incomplet the call
Further Assistance -Done
Closing as per standard -  Done.
AOI-,empathy missing,apology missing,dead air delay opening</t>
  </si>
  <si>
    <t>10/20/2025 19:01:37</t>
  </si>
  <si>
    <t xml:space="preserve">Not used apology word, Not properly retain the customer </t>
  </si>
  <si>
    <t>10/20/2025 19:13:19</t>
  </si>
  <si>
    <t>Agent Called the customer for Network complaint enquiry , Customer not willing to continue BSNL network due to unresolved Coverage issue.</t>
  </si>
  <si>
    <t>10/20/2025 19:18:41</t>
  </si>
  <si>
    <t>10/20/2025 19:23:03</t>
  </si>
  <si>
    <t>Not properly retain the customer properly, Lack of active listening , Choice of words not proper(Lack of energy)</t>
  </si>
  <si>
    <t>10/20/2025 21:37:26</t>
  </si>
  <si>
    <t>Customer concern -Customer called for not getting SMS .
Resolution shared - Advisor done complete probing to customer as per call.</t>
  </si>
  <si>
    <t>10/20/2025 21:40:35</t>
  </si>
  <si>
    <t>10/20/2025 21:56:53</t>
  </si>
  <si>
    <t>10/20/2025 22:05:40</t>
  </si>
  <si>
    <t>10/21/2025 7:42:37</t>
  </si>
  <si>
    <t>10/21/2025</t>
  </si>
  <si>
    <t>10/21/2025 8:05:53</t>
  </si>
  <si>
    <t>Customer called to know about SIM status related</t>
  </si>
  <si>
    <t>10/21/2025 8:13:00</t>
  </si>
  <si>
    <t xml:space="preserve">Maintained focus on caller's problem, Utilized all information &amp; System access before escalation </t>
  </si>
  <si>
    <t>10/21/2025 8:25:01</t>
  </si>
  <si>
    <t xml:space="preserve">Utilized all information &amp; System access before escalation </t>
  </si>
  <si>
    <t>Customer called to know about SIM status related, and also provided recharge plan details</t>
  </si>
  <si>
    <t>SERVICES</t>
  </si>
  <si>
    <t>SIM INACTIVE</t>
  </si>
  <si>
    <t>10/21/2025 8:48:28</t>
  </si>
  <si>
    <t xml:space="preserve">Customer facing call connectivity issue related
</t>
  </si>
  <si>
    <t>10/21/2025 11:59:37</t>
  </si>
  <si>
    <t>AOI-complet probing not done,sr number not provide</t>
  </si>
  <si>
    <t>Opening &amp; Introduction â€“ Done 
Customer details captured â€“Done
Customer concern -Customer having land call issue
Resolution shared - Advisor complete probing to customers as per call and complaint booking ,
Further Assistance -Done
Closing as per standard -  Done.
AOI-complet probing not done,sr number not provide</t>
  </si>
  <si>
    <t>10/21/2025 12:08:06</t>
  </si>
  <si>
    <t>Opening &amp; Introduction â€“ Done 
Customer details captured â€“Done
Customer concern -Customer having landline details
Resolution shared - Advisor complete probing to customers as per call and bill details wait for 24hr ,
Further Assistance -Done
Closing as per standard -  Done.
AOI-empathy missing,apology missing</t>
  </si>
  <si>
    <t>10/21/2025 12:16:50</t>
  </si>
  <si>
    <t>Opening &amp; Introduction â€“ Done 
Customer details captured â€“Done
Customer concern -Customer having landline bill details
Resolution shared - Advisor complete probing to customers as per call and bill amount provide,
Further Assistance -Done
Closing as per standard -  Done.
AOI-empathy missing,apology missing</t>
  </si>
  <si>
    <t>10/21/2025 12:28:51</t>
  </si>
  <si>
    <t>Opening &amp; Introduction â€“ Done 
Customer details captured â€“Done
Customer concern -Customer having landline ISSUE
Resolution shared - Advisor complete probing to customers as per call and COMPLAINT BOOKING
Further Assistance -Done
Closing as per standard -  Done.
AOI-complet probing not done</t>
  </si>
  <si>
    <t>10/21/2025 14:39:47</t>
  </si>
  <si>
    <t>Opening &amp; Introduction â€“ Done 
Customer details captured â€“Done
Customer concern -Customer having land line details
Resolution shared - Advisor complete probing to customers as per call and 1503
Further Assistance -Done
Closing as per standard -  Done.
AOI-empathy missing,correct greeting not done</t>
  </si>
  <si>
    <t>10/21/2025 14:46:24</t>
  </si>
  <si>
    <t>10/21/2025 14:53:34</t>
  </si>
  <si>
    <t>Customer concern -Customer called for New FRC and last complaint status .
Resolution shared - Advisor done complete probing to customer as per call.</t>
  </si>
  <si>
    <t>10/21/2025 14:55:59</t>
  </si>
  <si>
    <t>Opening &amp; Introduction â€“ Done 
Customer details captured â€“Done
Customer concern -Customer having sim details
Resolution shared - Advisor complete probing to customers as per call and 18001801503
Further Assistance -Done
Closing as per standard -  Done.
AOI-empathy missing,</t>
  </si>
  <si>
    <t>10/21/2025 15:02:08</t>
  </si>
  <si>
    <t>Opening &amp; Introduction â€“ Done 
Customer details captured â€“Done
Customer concern -Customer having wifi connection details
Resolution shared - Advisor complete probing to customers as per call and bsnl office visit
Further Assistance -Done
Closing as per standard -  Done.
AOI-empathy missing,</t>
  </si>
  <si>
    <t>10/21/2025 15:33:59</t>
  </si>
  <si>
    <t>AOI-did not follow all step</t>
  </si>
  <si>
    <t>Opening &amp; Introduction â€“ Done 
Customer details captured â€“Done
Customer concern -Customer having land line bill details
Resolution shared - Advisor complete probing to customers as per call and amount 7work days refond
Further Assistance -Done
Closing as per standard -  Done.
AOI-did not follow all step</t>
  </si>
  <si>
    <t>10/21/2025 15:42:13</t>
  </si>
  <si>
    <t>Opening &amp; Introduction â€“ Done 
Customer details captured â€“Done
Customer concern -Customer having land line connection deactive details
Resolution shared - Advisor complete probing to customers as per call and bsnl office visit
Further Assistance -Done
Closing as per standard -  Done.
AOI-empathy missing,</t>
  </si>
  <si>
    <t>10/21/2025 15:58:47</t>
  </si>
  <si>
    <t>Opening &amp; Introduction â€“ Done 
Customer details captured â€“Done
Customer concern -Customer having land line issue
Resolution shared - Advisor complete probing to customers as per call and complaint booking
Further Assistance -Done
Closing as per standard -  Done.
AOI-empathy missing,</t>
  </si>
  <si>
    <t>10/21/2025 16:07:44</t>
  </si>
  <si>
    <t>10/21/2025 16:12:22</t>
  </si>
  <si>
    <t>Opening &amp; Introduction â€“ Done 
Customer details captured â€“Done
Customer concern -Customer having bb issue
Resolution shared - Advisor complete probing to customers as per call and complaint booking
Further Assistance -Done
Closing as per standard -  Done.
AOI-empathy missing,apology missing</t>
  </si>
  <si>
    <t>10/21/2025 16:24:47</t>
  </si>
  <si>
    <t>Opening &amp; Introduction â€“ Done 
Customer details captured â€“Done
Customer concern -Customer having bb issue
Resolution shared - Advisor complete probing to customers as per call and complaint booking
Further Assistance -Done
Closing as per standard -  Done.
AOI-empathy missing,sr number not provide</t>
  </si>
  <si>
    <t>10/21/2025 16:29:41</t>
  </si>
  <si>
    <t>Opening &amp; Introduction â€“ Done 
Customer details captured â€“Done
Customer concern -Customer having bb plan details
Resolution shared - Advisor complete probing to customers as per call and plan degread
Further Assistance -Done
Closing as per standard -  Done.
AOI-empathy missing,</t>
  </si>
  <si>
    <t>10/21/2025 16:38:54</t>
  </si>
  <si>
    <t>Opening &amp; Introduction â€“ Done 
Customer details captured â€“Done
Customer concern -Customer having wifi issue
Resolution shared - Advisor complete probing to customers as per call details provide
Further Assistance -Done
Closing as per standard -  Done.
AOI-empathy missing,</t>
  </si>
  <si>
    <t>10/21/2025 16:48:11</t>
  </si>
  <si>
    <t>Opening &amp; Introduction â€“ Done 
Customer details captured â€“Done
Customer concern -Customer having wifi issue
Resolution shared - Advisor complete probing to customers as per call complaint booking
Further Assistance -Done
Closing as per standard -  Done.
AOI-empathy missing,sr number not provide</t>
  </si>
  <si>
    <t>10/21/2025 17:08:28</t>
  </si>
  <si>
    <t>10/21/2025 17:19:50</t>
  </si>
  <si>
    <t>Opening &amp; Introduction â€“ Done 
Customer details captured â€“Done
Customer concern -Customer having landline issue
Resolution shared - Advisor complete probing to customers as per call bsnl office visit
Further Assistance -Done
Closing as per standard -  Done.
AOI-empathy missing,</t>
  </si>
  <si>
    <t>10/21/2025 17:47:35</t>
  </si>
  <si>
    <t xml:space="preserve">Opening &amp; Introduction â€“ Done 
Customer details captured â€“Done
Customer concern -Customer having wifi issue 
Resolution shared - Advisor complete probing to customers as per call complaint booking
Further Assistance -Done
Closing as per standard -  Done.
AOI-empathy missing,sr number not provide
</t>
  </si>
  <si>
    <t>10/21/2025 17:50:19</t>
  </si>
  <si>
    <t xml:space="preserve">Opening &amp; Introduction â€“ Done 
Customer details captured â€“Done
Customer concern -Customer having landline issue 
Resolution shared - Advisor complete probing to customers as per call bill amount not credited
Further Assistance -Done
Closing as per standard -  Done.
AOI-empathy missing,probing did not complet
</t>
  </si>
  <si>
    <t>10/21/2025 17:50:51</t>
  </si>
  <si>
    <t>Customer concern -Customer called for sim not working at roaming .
Resolution shared - Advisor done complete probing to customer as per call.</t>
  </si>
  <si>
    <t>10/21/2025 17:53:37</t>
  </si>
  <si>
    <t>Customer concern -Customer called for recharge plan .
Resolution shared - Advisor done complete probing to customer as per call.</t>
  </si>
  <si>
    <t>10/21/2025 17:55:49</t>
  </si>
  <si>
    <t xml:space="preserve">Opening &amp; Introduction â€“ Done 
Customer details captured â€“Done
Customer concern -Customer having landline issue 
Resolution shared - Advisor complete probing to customers as per call complaint booking
Further Assistance -Done
Closing as per standard -  Done.
AOI-empathy missing,probing did not complet,
</t>
  </si>
  <si>
    <t>10/21/2025 17:57:25</t>
  </si>
  <si>
    <t>No empathy,</t>
  </si>
  <si>
    <t>Customer concern -Customer called for  KYC update .
Resolution shared - Advisor done complete probing to customer as per call.</t>
  </si>
  <si>
    <t>10/21/2025 18:01:23</t>
  </si>
  <si>
    <t>AOI-empathy missing,probing did not complet,</t>
  </si>
  <si>
    <t xml:space="preserve">Opening &amp; Introduction â€“ Done 
Customer details captured â€“Done
Customer concern -Customer having landline issue 
Resolution shared - Advisor complete probing to customers as per call application down
Further Assistance -Done
Closing as per standard -  Done.
AOI-empathy missing,probing did not complet,
</t>
  </si>
  <si>
    <t xml:space="preserve"> na</t>
  </si>
  <si>
    <t>10/21/2025 18:08:43</t>
  </si>
  <si>
    <t xml:space="preserve">Opening &amp; Introduction â€“ Done 
Customer details captured â€“Done
Customer concern -Customer having  BB DETAILS
Resolution shared - Advisor complete probing to customers as per call BSNL OFFCE VIST
Further Assistance -Done
Closing as per standard -  Done.
AOI-empathy missing,probing did not complet,
</t>
  </si>
  <si>
    <t>10/21/2025 18:22:01</t>
  </si>
  <si>
    <t>AOI-empathy missing,APOLOGY MISSING</t>
  </si>
  <si>
    <t xml:space="preserve">Opening &amp; Introduction â€“ Done 
Customer details captured â€“Done
Customer concern -Customer having LANLINE COMPLAINT BOOKING BUT NOT RESPOEND
Resolution shared - Advisor complete probing to customers as per call COMPLAINT ALREADY BOOKING
Further Assistance -Done
Closing as per standard -  Done.
AOI-empathy missing,APOLOGY MISSING
</t>
  </si>
  <si>
    <t>10/21/2025 18:26:59</t>
  </si>
  <si>
    <t>AOI-empathy missing,correct script not done</t>
  </si>
  <si>
    <t>Opening &amp; Introduction â€“ Done 
Customer details captured â€“Done
Customer concern -Customer having LANLINE BILL PAYMENT DETAILS
Resolution shared - Advisor complete probing to customers as per call PAYMENT NOT CREDITED
Further Assistance -Done
Closing as per standard -  Done.
AOI-empathy missing,correct script not done</t>
  </si>
  <si>
    <t>10/21/2025 18:31:54</t>
  </si>
  <si>
    <t>Opening &amp; Introduction â€“ Done 
Customer details captured â€“Done
Customer concern -Customer having LANLINE BILL PAYMENT DETAILS
Resolution shared - Advisor complete probing to customers as per call peyment pending
Further Assistance -Done
Closing as per standard -  Done.
AOI-empathy missing,</t>
  </si>
  <si>
    <t>10/21/2025 20:33:05</t>
  </si>
  <si>
    <t xml:space="preserve">Dead air ,low listening skill </t>
  </si>
  <si>
    <t>The customer called for extension connection related details , The agent probing properly and informed to contact the bsnl office for requesting for the connection extension then the technical team will contact, then the advisor not respond the customer enquiry(Mute).</t>
  </si>
  <si>
    <t>10/21/2025 20:36:34</t>
  </si>
  <si>
    <t>The customer called forÂ Â BB connection speed related details,The agent check the details and given proper information about the plan speed and plan upgrade detailsÂ Â .</t>
  </si>
  <si>
    <t xml:space="preserve">FAULT - CHECK THE CURRENT STATUS OF AN EXISTING FAULT </t>
  </si>
  <si>
    <t>10/21/2025 21:59:02</t>
  </si>
  <si>
    <t>The customer called for dataÂ Â not connected related issue , The agent check the details and given proper informtion and taken complaint .</t>
  </si>
  <si>
    <t>10/21/2025 22:02:38</t>
  </si>
  <si>
    <t xml:space="preserve">Not used proper hold </t>
  </si>
  <si>
    <t xml:space="preserve">The customer called for bill paid but connection not reconnected related issue, The agent check the details and informed payment updated but connection inactive need to visit nearby csc for reconnecting. </t>
  </si>
  <si>
    <t>10/21/2025 22:07:14</t>
  </si>
  <si>
    <t>Lack of active listening ,Dead air</t>
  </si>
  <si>
    <t>The customer called for connection cancelling related details, The agent not probing properly , and informed to contact nearby csc.</t>
  </si>
  <si>
    <t>10/21/2025 22:10:28</t>
  </si>
  <si>
    <t>Delay opening,Lack of active listening , No further assistance</t>
  </si>
  <si>
    <t>The customer called for safe custody related details, The agent probing properly and given proper information to contact the 18004444 whatapp number for safe custody request and charges details.</t>
  </si>
  <si>
    <t>10/21/2025 22:13:06</t>
  </si>
  <si>
    <t xml:space="preserve">
Delay opening , INTERUPTION</t>
  </si>
  <si>
    <t>The customer called for LL outgoing not connected related issue , The agent check the details and informed connection barred issue not found ,so the agent taken complaint and given proper information.</t>
  </si>
  <si>
    <t>10/21/2025 22:15:54</t>
  </si>
  <si>
    <t>The customer called for LL internet not working related issue , The agent check the details and given proper information and previously booked complaint already open state will resolve soon.</t>
  </si>
  <si>
    <t xml:space="preserve">FAULT - COMPLAINT RAISED EARLIER BUT STILL UNRESOLVED </t>
  </si>
  <si>
    <t>10/21/2025 22:18:45</t>
  </si>
  <si>
    <t>The customer called and Inquiry about Internet not getting related Issue, agent checked and booked a complaint</t>
  </si>
  <si>
    <t>10/21/2025 22:19:39</t>
  </si>
  <si>
    <t>The customer called for BB internet not working related issue , The agent probing properly and taken complaint and given proper information .</t>
  </si>
  <si>
    <t>10/21/2025 22:20:24</t>
  </si>
  <si>
    <t>Customer called and  inquired about Freedom plan related details, Agent checked and given Freedom plans details properly.</t>
  </si>
  <si>
    <t xml:space="preserve">ENQUIRY ABOUT FREEDOM PLAN	</t>
  </si>
  <si>
    <t>10/21/2025 22:22:22</t>
  </si>
  <si>
    <t>The customer called for plan change related enquiry , The agent probing properly and informed to contact the nearby csc and suggest the plans.</t>
  </si>
  <si>
    <t xml:space="preserve">SERVICE - CHANGE OR UPGRADE CURRENT PLAN </t>
  </si>
  <si>
    <t>10/21/2025 22:23:20</t>
  </si>
  <si>
    <t xml:space="preserve">
The customer called and Inquiry about plan details agent checked and Explain the plan details and status 
</t>
  </si>
  <si>
    <t>10/21/2025 22:26:16</t>
  </si>
  <si>
    <t>10/21/2025 22:27:06</t>
  </si>
  <si>
    <t>INTERUPTION , Voice modulation not proper (Not used polite tone)</t>
  </si>
  <si>
    <t>The customer called for IC SMS related issue , The agent check the details and given proper information to try to set the SMS permission settings.</t>
  </si>
  <si>
    <t xml:space="preserve">UNABLE TO RECEIVE SMS	 </t>
  </si>
  <si>
    <t>Sarcastic, Interuption</t>
  </si>
  <si>
    <t>10/21/2025 22:27:28</t>
  </si>
  <si>
    <t xml:space="preserve">No active listening skill, Not focused customer problem, No further assistance </t>
  </si>
  <si>
    <t>10/21/2025 22:30:16</t>
  </si>
  <si>
    <t xml:space="preserve">
 Wrong choice of words, Not used apology words</t>
  </si>
  <si>
    <t>The customer called for SMS not able to sent related details, The agent check the details and informed sim side no issue contact the particular bank side.and given proper information for new sim.</t>
  </si>
  <si>
    <t xml:space="preserve">UNABLE TO SEND SMS	 </t>
  </si>
  <si>
    <t>10/21/2025 22:32:38</t>
  </si>
  <si>
    <t>Customer called and  inquired about outgoing Calls connectivity related issue, Agent checked and given proper information but not followed required quality parameter properly.</t>
  </si>
  <si>
    <t>10/21/2025 22:32:50</t>
  </si>
  <si>
    <t>The customer called and Inquiry about New connection activation related Call agent checked Book a New Pre-lead</t>
  </si>
  <si>
    <t>10/21/2025 22:35:02</t>
  </si>
  <si>
    <t>Long hold</t>
  </si>
  <si>
    <t>The customer called for new som activation , The agent verify the details and complete the verification.</t>
  </si>
  <si>
    <t>10/21/2025 22:36:30</t>
  </si>
  <si>
    <t xml:space="preserve"> 
Failed to Gave SR Number and Script adherence  </t>
  </si>
  <si>
    <t>10/21/2025 22:37:59</t>
  </si>
  <si>
    <t>The customer called for network related issue , The agent probing properly and given taken complaint and given proper information</t>
  </si>
  <si>
    <t xml:space="preserve">NO INTERNET ACCESS	 </t>
  </si>
  <si>
    <t>10/21/2025 22:39:14</t>
  </si>
  <si>
    <t xml:space="preserve">Interuption on the call, No further assistance </t>
  </si>
  <si>
    <t xml:space="preserve">
Customer called and  inquired about Weak signal related issue, Agent checked and taken poor network coverage related complaint. but not followed required quality parameter properly</t>
  </si>
  <si>
    <t>10/21/2025 22:41:43</t>
  </si>
  <si>
    <t>Customer called and  inquired about Outgoing call connectivity related issue, Agent checked and given proper information but not followed required quality parameter properly.</t>
  </si>
  <si>
    <t>10/21/2025 22:43:49</t>
  </si>
  <si>
    <t xml:space="preserve">Lack of listening, Fumbling ,Â Â Call colsing not proper </t>
  </si>
  <si>
    <t>The customer called for portin connection not active related issue , The agent check the details and given proper information to wait for 3 to 4 days for sim activation.</t>
  </si>
  <si>
    <t xml:space="preserve">PORT IN FROM OTHER NETWORK TO BSNL	 </t>
  </si>
  <si>
    <t>10/21/2025 22:47:02</t>
  </si>
  <si>
    <t xml:space="preserve">
Not focused customer issue , Lack of active listening </t>
  </si>
  <si>
    <t xml:space="preserve">The customer called for plan validity related details , The agent check the details and given proper information about the plan and validity details.
</t>
  </si>
  <si>
    <t xml:space="preserve">ENQUIRY ON BALANCE AND VALIDITY	 </t>
  </si>
  <si>
    <t>10/21/2025 22:58:41</t>
  </si>
  <si>
    <t xml:space="preserve">
Not used empathy words, SR number not given </t>
  </si>
  <si>
    <t xml:space="preserve">The customer called for data not connected related issue , The agent check the details and given proper information and taken complaint </t>
  </si>
  <si>
    <t xml:space="preserve">POOR NETWORK COVERAGE	 </t>
  </si>
  <si>
    <t>10/21/2025 23:03:47</t>
  </si>
  <si>
    <t>The customer called for call connectivity related issue , The agent probing properly and given proper information sim side no issue , try to remove the sim and restart it,else try another handset .</t>
  </si>
  <si>
    <t xml:space="preserve">UNABLE TO MAKE O/G CALLS	 </t>
  </si>
  <si>
    <t>10/21/2025 23:26:11</t>
  </si>
  <si>
    <t>Not used</t>
  </si>
  <si>
    <t>The customer called for SMS not received related issue , The agent probing proper and suggest to set the message permission settings</t>
  </si>
  <si>
    <t xml:space="preserve">SMS SERVICES	  </t>
  </si>
  <si>
    <t>10/21/2025 23:32:34</t>
  </si>
  <si>
    <t xml:space="preserve">The customer called for new plan related details, The agent given proper information about the plan and selfcare discount related details </t>
  </si>
  <si>
    <t xml:space="preserve">ENQUIRY ON PREPAID PLANS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</si>
</sst>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
      <b/>
      <sz val="9"/>
      <color theme="1"/>
      <name val="Arial"/>
      <family val="2"/>
    </font>
    <font>
      <sz val="11"/>
      <color indexed="8"/>
      <name val="Calibri"/>
      <family val="2"/>
    </font>
    <font>
      <b/>
      <sz val="20"/>
      <color theme="1"/>
      <name val="Arial"/>
      <family val="2"/>
    </font>
    <font>
      <i/>
      <sz val="25"/>
      <color theme="1"/>
      <name val="Aptos Narrow"/>
      <family val="2"/>
      <scheme val="minor"/>
    </font>
    <font>
      <b/>
      <i/>
      <sz val="11"/>
      <color theme="1"/>
      <name val="Aptos Narrow"/>
      <family val="2"/>
      <scheme val="minor"/>
    </font>
    <font>
      <i/>
      <sz val="11"/>
      <color theme="1"/>
      <name val="Aptos Narrow"/>
      <family val="2"/>
      <scheme val="minor"/>
    </font>
    <font>
      <i/>
      <sz val="11"/>
      <color theme="0"/>
      <name val="Aptos Narrow"/>
      <family val="2"/>
      <scheme val="minor"/>
    </font>
  </fonts>
  <fills count="6">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theme="4" tint="0.59999389629810485"/>
        <bgColor indexed="64"/>
      </patternFill>
    </fill>
    <fill>
      <patternFill patternType="solid">
        <fgColor theme="5" tint="0.3999145481734672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auto="1"/>
      </left>
      <right style="thin">
        <color auto="1"/>
      </right>
      <top style="thin">
        <color auto="1"/>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right/>
      <top style="medium">
        <color auto="1"/>
      </top>
      <bottom/>
      <diagonal/>
    </border>
    <border>
      <left/>
      <right style="medium">
        <color auto="1"/>
      </right>
      <top style="medium">
        <color auto="1"/>
      </top>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thin">
        <color indexed="64"/>
      </bottom>
      <diagonal/>
    </border>
    <border>
      <left/>
      <right/>
      <top/>
      <bottom style="thin">
        <color indexed="64"/>
      </bottom>
      <diagonal/>
    </border>
    <border>
      <left/>
      <right style="medium">
        <color auto="1"/>
      </right>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bottom style="thin">
        <color indexed="64"/>
      </bottom>
      <diagonal/>
    </border>
    <border>
      <left style="medium">
        <color auto="1"/>
      </left>
      <right style="medium">
        <color auto="1"/>
      </right>
      <top style="medium">
        <color auto="1"/>
      </top>
      <bottom style="thin">
        <color indexed="64"/>
      </bottom>
      <diagonal/>
    </border>
  </borders>
  <cellStyleXfs count="2">
    <xf numFmtId="0" fontId="0" fillId="0" borderId="0"/>
    <xf numFmtId="9" fontId="1" fillId="0" borderId="0"/>
  </cellStyleXfs>
  <cellXfs count="78">
    <xf numFmtId="0" fontId="0" fillId="0" borderId="0" xfId="0"/>
    <xf numFmtId="0" fontId="0" fillId="0" borderId="0" xfId="0" applyAlignment="1">
      <alignment wrapText="1"/>
    </xf>
    <xf numFmtId="14" fontId="0" fillId="0" borderId="0" xfId="0" applyNumberFormat="1"/>
    <xf numFmtId="0" fontId="3" fillId="2" borderId="0" xfId="0" applyFont="1" applyFill="1"/>
    <xf numFmtId="0" fontId="0" fillId="0" borderId="1" xfId="0" applyBorder="1"/>
    <xf numFmtId="0" fontId="2" fillId="0" borderId="1" xfId="0" applyFont="1" applyBorder="1"/>
    <xf numFmtId="0" fontId="2" fillId="0" borderId="2" xfId="0" applyFont="1" applyBorder="1"/>
    <xf numFmtId="0" fontId="4" fillId="3" borderId="1" xfId="0" applyFont="1" applyFill="1" applyBorder="1" applyAlignment="1">
      <alignment horizontal="center" vertical="center"/>
    </xf>
    <xf numFmtId="164" fontId="4" fillId="3" borderId="1" xfId="0" applyNumberFormat="1" applyFont="1" applyFill="1" applyBorder="1" applyAlignment="1">
      <alignment horizontal="center" vertical="center"/>
    </xf>
    <xf numFmtId="0" fontId="0" fillId="0" borderId="1" xfId="0" applyBorder="1" applyAlignment="1">
      <alignment horizontal="center"/>
    </xf>
    <xf numFmtId="0" fontId="0" fillId="2" borderId="1" xfId="0" applyFill="1" applyBorder="1" applyAlignment="1">
      <alignment horizontal="center"/>
    </xf>
    <xf numFmtId="1" fontId="0" fillId="2" borderId="1" xfId="0" applyNumberFormat="1" applyFill="1" applyBorder="1" applyAlignment="1">
      <alignment horizontal="center"/>
    </xf>
    <xf numFmtId="9" fontId="0" fillId="0" borderId="1" xfId="1" applyFont="1" applyBorder="1" applyAlignment="1">
      <alignment horizontal="center"/>
    </xf>
    <xf numFmtId="0" fontId="1" fillId="0" borderId="1" xfId="0" applyFont="1" applyBorder="1" applyAlignment="1">
      <alignment horizontal="center"/>
    </xf>
    <xf numFmtId="0" fontId="1" fillId="0" borderId="1" xfId="0" applyFont="1" applyBorder="1" applyAlignment="1" applyProtection="1">
      <alignment horizontal="center"/>
      <protection locked="0"/>
    </xf>
    <xf numFmtId="0" fontId="0" fillId="0" borderId="3" xfId="0" applyBorder="1" applyAlignment="1">
      <alignment horizontal="center"/>
    </xf>
    <xf numFmtId="0" fontId="5" fillId="0" borderId="1" xfId="0" applyFont="1" applyBorder="1" applyAlignment="1">
      <alignment horizontal="center"/>
    </xf>
    <xf numFmtId="15" fontId="5" fillId="0" borderId="1" xfId="0" applyNumberFormat="1" applyFont="1" applyBorder="1" applyAlignment="1">
      <alignment horizontal="center"/>
    </xf>
    <xf numFmtId="0" fontId="5" fillId="0" borderId="1" xfId="0" applyFont="1" applyBorder="1" applyAlignment="1">
      <alignment horizontal="center" vertical="center"/>
    </xf>
    <xf numFmtId="0" fontId="2" fillId="0" borderId="1" xfId="0" applyFont="1" applyBorder="1" applyAlignment="1">
      <alignment horizontal="center"/>
    </xf>
    <xf numFmtId="0" fontId="0" fillId="0" borderId="1" xfId="0" applyBorder="1" applyProtection="1">
      <protection locked="0"/>
    </xf>
    <xf numFmtId="164" fontId="2" fillId="0" borderId="1" xfId="1" applyNumberFormat="1" applyFont="1" applyBorder="1" applyAlignment="1">
      <alignment horizontal="center"/>
    </xf>
    <xf numFmtId="0" fontId="1" fillId="0" borderId="1" xfId="0" applyFont="1" applyBorder="1"/>
    <xf numFmtId="0" fontId="1" fillId="0" borderId="1" xfId="0" applyFont="1" applyBorder="1" applyProtection="1">
      <protection locked="0"/>
    </xf>
    <xf numFmtId="0" fontId="2" fillId="0" borderId="1" xfId="0" applyFont="1" applyBorder="1" applyAlignment="1">
      <alignment horizontal="center" vertical="center"/>
    </xf>
    <xf numFmtId="0" fontId="8" fillId="0" borderId="1" xfId="0" applyFont="1" applyBorder="1" applyAlignment="1">
      <alignment horizontal="center" vertical="center"/>
    </xf>
    <xf numFmtId="164" fontId="8" fillId="0" borderId="1" xfId="0" applyNumberFormat="1" applyFont="1" applyBorder="1" applyAlignment="1">
      <alignment horizontal="center" vertical="center"/>
    </xf>
    <xf numFmtId="0" fontId="8" fillId="0" borderId="1" xfId="0" applyFont="1" applyBorder="1" applyAlignment="1">
      <alignment horizontal="center"/>
    </xf>
    <xf numFmtId="15" fontId="0" fillId="0" borderId="1" xfId="0" applyNumberFormat="1" applyBorder="1"/>
    <xf numFmtId="0" fontId="9" fillId="0" borderId="1" xfId="0" applyFont="1" applyBorder="1" applyAlignment="1">
      <alignment horizontal="center" vertical="center"/>
    </xf>
    <xf numFmtId="1" fontId="9" fillId="0" borderId="1" xfId="1" applyNumberFormat="1" applyFont="1" applyBorder="1" applyAlignment="1">
      <alignment horizontal="center"/>
    </xf>
    <xf numFmtId="164" fontId="8" fillId="0" borderId="1" xfId="1" applyNumberFormat="1" applyFont="1" applyBorder="1" applyAlignment="1">
      <alignment horizontal="center"/>
    </xf>
    <xf numFmtId="15" fontId="0" fillId="0" borderId="0" xfId="0" applyNumberFormat="1"/>
    <xf numFmtId="9" fontId="0" fillId="0" borderId="1" xfId="1" applyFont="1" applyBorder="1"/>
    <xf numFmtId="1" fontId="2" fillId="0" borderId="1" xfId="0" applyNumberFormat="1" applyFont="1" applyBorder="1"/>
    <xf numFmtId="14" fontId="0" fillId="0" borderId="1" xfId="0" applyNumberFormat="1" applyBorder="1"/>
    <xf numFmtId="15" fontId="10" fillId="0" borderId="0" xfId="0" applyNumberFormat="1" applyFont="1"/>
    <xf numFmtId="2" fontId="0" fillId="0" borderId="2" xfId="0" applyNumberFormat="1" applyBorder="1"/>
    <xf numFmtId="0" fontId="0" fillId="2" borderId="0" xfId="0" applyFill="1"/>
    <xf numFmtId="0" fontId="0" fillId="0" borderId="2" xfId="0" applyBorder="1"/>
    <xf numFmtId="22" fontId="0" fillId="0" borderId="0" xfId="0" applyNumberFormat="1"/>
    <xf numFmtId="15" fontId="0" fillId="0" borderId="1" xfId="0" applyNumberFormat="1" applyBorder="1" applyAlignment="1">
      <alignment horizontal="center"/>
    </xf>
    <xf numFmtId="1" fontId="2" fillId="0" borderId="1" xfId="0" applyNumberFormat="1" applyFont="1" applyBorder="1" applyAlignment="1">
      <alignment horizontal="center"/>
    </xf>
    <xf numFmtId="9" fontId="2" fillId="0" borderId="1" xfId="1" applyFont="1" applyBorder="1" applyAlignment="1">
      <alignment horizontal="center"/>
    </xf>
    <xf numFmtId="9" fontId="0" fillId="0" borderId="0" xfId="1" applyFont="1"/>
    <xf numFmtId="0" fontId="6" fillId="4" borderId="4" xfId="0" applyFont="1" applyFill="1" applyBorder="1" applyAlignment="1">
      <alignment horizontal="center" vertical="center"/>
    </xf>
    <xf numFmtId="0" fontId="0" fillId="0" borderId="7" xfId="0" applyBorder="1"/>
    <xf numFmtId="0" fontId="0" fillId="0" borderId="8" xfId="0" applyBorder="1"/>
    <xf numFmtId="0" fontId="0" fillId="0" borderId="11" xfId="0" applyBorder="1"/>
    <xf numFmtId="0" fontId="0" fillId="0" borderId="0" xfId="0"/>
    <xf numFmtId="0" fontId="0" fillId="0" borderId="12" xfId="0" applyBorder="1"/>
    <xf numFmtId="0" fontId="0" fillId="0" borderId="24" xfId="0" applyBorder="1"/>
    <xf numFmtId="0" fontId="0" fillId="0" borderId="25" xfId="0" applyBorder="1"/>
    <xf numFmtId="0" fontId="0" fillId="0" borderId="26" xfId="0" applyBorder="1"/>
    <xf numFmtId="0" fontId="0" fillId="0" borderId="1" xfId="0" applyBorder="1" applyAlignment="1">
      <alignment horizontal="center"/>
    </xf>
    <xf numFmtId="0" fontId="0" fillId="0" borderId="19" xfId="0" applyBorder="1"/>
    <xf numFmtId="0" fontId="0" fillId="0" borderId="16" xfId="0" applyBorder="1"/>
    <xf numFmtId="0" fontId="2" fillId="5" borderId="4" xfId="0" applyFont="1" applyFill="1" applyBorder="1" applyAlignment="1">
      <alignment horizontal="center"/>
    </xf>
    <xf numFmtId="0" fontId="0" fillId="0" borderId="9" xfId="0" applyBorder="1"/>
    <xf numFmtId="0" fontId="0" fillId="0" borderId="10" xfId="0" applyBorder="1"/>
    <xf numFmtId="0" fontId="0" fillId="3" borderId="4" xfId="0" applyFill="1" applyBorder="1" applyAlignment="1">
      <alignment horizontal="center"/>
    </xf>
    <xf numFmtId="0" fontId="0" fillId="0" borderId="17" xfId="0" applyBorder="1"/>
    <xf numFmtId="0" fontId="0" fillId="0" borderId="18" xfId="0" applyBorder="1"/>
    <xf numFmtId="0" fontId="0" fillId="0" borderId="20" xfId="0" applyBorder="1"/>
    <xf numFmtId="0" fontId="0" fillId="0" borderId="21" xfId="0" applyBorder="1"/>
    <xf numFmtId="0" fontId="0" fillId="0" borderId="22" xfId="0" applyBorder="1"/>
    <xf numFmtId="0" fontId="0" fillId="0" borderId="14" xfId="0" applyBorder="1"/>
    <xf numFmtId="0" fontId="0" fillId="0" borderId="23" xfId="0" applyBorder="1"/>
    <xf numFmtId="165" fontId="7" fillId="5" borderId="27" xfId="1" applyNumberFormat="1" applyFont="1" applyFill="1" applyBorder="1" applyAlignment="1">
      <alignment horizontal="center" vertical="center"/>
    </xf>
    <xf numFmtId="0" fontId="0" fillId="0" borderId="13" xfId="0" applyBorder="1"/>
    <xf numFmtId="0" fontId="0" fillId="0" borderId="15" xfId="0" applyBorder="1"/>
    <xf numFmtId="0" fontId="0" fillId="2" borderId="5" xfId="0" applyFill="1" applyBorder="1" applyAlignment="1">
      <alignment horizontal="center"/>
    </xf>
    <xf numFmtId="0" fontId="0" fillId="0" borderId="6" xfId="0" applyBorder="1"/>
    <xf numFmtId="0" fontId="8" fillId="0" borderId="1" xfId="0" applyFont="1" applyBorder="1" applyAlignment="1">
      <alignment horizontal="center"/>
    </xf>
    <xf numFmtId="164" fontId="7" fillId="5" borderId="28" xfId="0" applyNumberFormat="1" applyFont="1" applyFill="1" applyBorder="1" applyAlignment="1">
      <alignment horizontal="center" vertical="center"/>
    </xf>
    <xf numFmtId="1" fontId="7" fillId="5" borderId="4" xfId="0" applyNumberFormat="1" applyFont="1" applyFill="1" applyBorder="1" applyAlignment="1">
      <alignment horizontal="center" vertical="center"/>
    </xf>
    <xf numFmtId="0" fontId="2" fillId="0" borderId="1" xfId="0" applyFont="1" applyBorder="1" applyAlignment="1">
      <alignment horizontal="center"/>
    </xf>
    <xf numFmtId="2" fontId="7" fillId="5" borderId="4" xfId="1" applyNumberFormat="1" applyFont="1" applyFill="1" applyBorder="1" applyAlignment="1">
      <alignment horizontal="center" vertical="center"/>
    </xf>
  </cellXfs>
  <cellStyles count="2">
    <cellStyle name="Normal" xfId="0" builtinId="0"/>
    <cellStyle name="Percent" xfId="1" builtinId="5"/>
  </cellStyles>
  <dxfs count="2">
    <dxf>
      <font>
        <color rgb="FF9C0006"/>
      </font>
      <fill>
        <patternFill>
          <bgColor rgb="FFFFC7CE"/>
        </patternFill>
      </fill>
    </dxf>
    <dxf>
      <font>
        <color rgb="FF006100"/>
      </font>
      <fill>
        <patternFill>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IN"/>
          </a:p>
        </c:rich>
      </c:tx>
      <c:overlay val="0"/>
      <c:spPr>
        <a:noFill/>
        <a:ln>
          <a:noFill/>
          <a:prstDash val="solid"/>
        </a:ln>
      </c:spPr>
    </c:title>
    <c:autoTitleDeleted val="0"/>
    <c:plotArea>
      <c:layout/>
      <c:barChart>
        <c:barDir val="col"/>
        <c:grouping val="clustered"/>
        <c:varyColors val="0"/>
        <c:ser>
          <c:idx val="1"/>
          <c:order val="0"/>
          <c:tx>
            <c:strRef>
              <c:f>DASHBOARD!$C$10</c:f>
              <c:strCache>
                <c:ptCount val="1"/>
                <c:pt idx="0">
                  <c:v>MTD Score</c:v>
                </c:pt>
              </c:strCache>
            </c:strRef>
          </c:tx>
          <c:spPr>
            <a:solidFill>
              <a:schemeClr val="accent4"/>
            </a:solidFill>
            <a:ln>
              <a:noFill/>
              <a:prstDash val="solid"/>
            </a:ln>
          </c:spPr>
          <c:invertIfNegative val="0"/>
          <c:dLbls>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DASHBOARD!$A$11:$A$16</c:f>
              <c:strCache>
                <c:ptCount val="6"/>
                <c:pt idx="0">
                  <c:v>Anusha</c:v>
                </c:pt>
                <c:pt idx="1">
                  <c:v>Saran S</c:v>
                </c:pt>
                <c:pt idx="2">
                  <c:v>Shakeer</c:v>
                </c:pt>
                <c:pt idx="3">
                  <c:v>Adharsh</c:v>
                </c:pt>
                <c:pt idx="4">
                  <c:v>Shiny </c:v>
                </c:pt>
                <c:pt idx="5">
                  <c:v>Amal</c:v>
                </c:pt>
              </c:strCache>
            </c:strRef>
          </c:cat>
          <c:val>
            <c:numRef>
              <c:f>DASHBOARD!$C$11:$C$16</c:f>
              <c:numCache>
                <c:formatCode>0.0</c:formatCode>
                <c:ptCount val="6"/>
                <c:pt idx="0">
                  <c:v>85.0625</c:v>
                </c:pt>
                <c:pt idx="1">
                  <c:v>90.457627118644069</c:v>
                </c:pt>
                <c:pt idx="2">
                  <c:v>90.450980392156865</c:v>
                </c:pt>
                <c:pt idx="3">
                  <c:v>90.254143646408835</c:v>
                </c:pt>
                <c:pt idx="4">
                  <c:v>92.074418604651157</c:v>
                </c:pt>
                <c:pt idx="5">
                  <c:v>93.807142857142864</c:v>
                </c:pt>
              </c:numCache>
            </c:numRef>
          </c:val>
          <c:extLst>
            <c:ext xmlns:c16="http://schemas.microsoft.com/office/drawing/2014/chart" uri="{C3380CC4-5D6E-409C-BE32-E72D297353CC}">
              <c16:uniqueId val="{00000000-82DE-42A4-8D30-E2EC684FFE21}"/>
            </c:ext>
          </c:extLst>
        </c:ser>
        <c:dLbls>
          <c:dLblPos val="outEnd"/>
          <c:showLegendKey val="0"/>
          <c:showVal val="1"/>
          <c:showCatName val="0"/>
          <c:showSerName val="0"/>
          <c:showPercent val="0"/>
          <c:showBubbleSize val="0"/>
        </c:dLbls>
        <c:gapWidth val="444"/>
        <c:overlap val="-90"/>
        <c:axId val="1953149183"/>
        <c:axId val="1953152063"/>
      </c:barChart>
      <c:catAx>
        <c:axId val="1953149183"/>
        <c:scaling>
          <c:orientation val="minMax"/>
        </c:scaling>
        <c:delete val="0"/>
        <c:axPos val="b"/>
        <c:majorGridlines>
          <c:spPr>
            <a:ln w="9525" cap="flat" cmpd="sng" algn="ctr">
              <a:solidFill>
                <a:schemeClr val="tx1">
                  <a:lumMod val="15000"/>
                  <a:lumOff val="85000"/>
                </a:schemeClr>
              </a:solidFill>
              <a:prstDash val="solid"/>
              <a:round/>
            </a:ln>
          </c:spPr>
        </c:majorGridlines>
        <c:numFmt formatCode="General" sourceLinked="1"/>
        <c:majorTickMark val="none"/>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endParaRPr lang="en-US"/>
          </a:p>
        </c:txPr>
        <c:crossAx val="1953152063"/>
        <c:crosses val="autoZero"/>
        <c:auto val="1"/>
        <c:lblAlgn val="ctr"/>
        <c:lblOffset val="100"/>
        <c:noMultiLvlLbl val="0"/>
      </c:catAx>
      <c:valAx>
        <c:axId val="1953152063"/>
        <c:scaling>
          <c:orientation val="minMax"/>
        </c:scaling>
        <c:delete val="1"/>
        <c:axPos val="l"/>
        <c:numFmt formatCode="0.0" sourceLinked="1"/>
        <c:majorTickMark val="none"/>
        <c:minorTickMark val="none"/>
        <c:tickLblPos val="nextTo"/>
        <c:crossAx val="1953149183"/>
        <c:crosses val="autoZero"/>
        <c:crossBetween val="between"/>
      </c:valAx>
    </c:plotArea>
    <c:legend>
      <c:legendPos val="t"/>
      <c:overlay val="0"/>
      <c:spPr>
        <a:noFill/>
        <a:ln>
          <a:noFill/>
          <a:prstDash val="solid"/>
        </a:ln>
      </c:spPr>
      <c:txPr>
        <a:bodyPr rot="0" spcFirstLastPara="1" vertOverflow="ellipsis" vert="horz" wrap="square" anchor="ctr" anchorCtr="1"/>
        <a:lstStyle/>
        <a:p>
          <a:pPr>
            <a:defRPr sz="900" b="0" i="0"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1"/>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endParaRPr lang="en-IN"/>
          </a:p>
        </c:rich>
      </c:tx>
      <c:overlay val="0"/>
      <c:spPr>
        <a:noFill/>
        <a:ln>
          <a:noFill/>
          <a:prstDash val="solid"/>
        </a:ln>
      </c:spPr>
    </c:title>
    <c:autoTitleDeleted val="0"/>
    <c:plotArea>
      <c:layout/>
      <c:barChart>
        <c:barDir val="col"/>
        <c:grouping val="clustered"/>
        <c:varyColors val="0"/>
        <c:ser>
          <c:idx val="0"/>
          <c:order val="0"/>
          <c:tx>
            <c:strRef>
              <c:f>DASHBOARD!$C$18</c:f>
              <c:strCache>
                <c:ptCount val="1"/>
                <c:pt idx="0">
                  <c:v>FTD Score</c:v>
                </c:pt>
              </c:strCache>
            </c:strRef>
          </c:tx>
          <c:spPr>
            <a:solidFill>
              <a:schemeClr val="accent1"/>
            </a:solidFill>
            <a:ln>
              <a:noFill/>
              <a:prstDash val="solid"/>
            </a:ln>
          </c:spPr>
          <c:invertIfNegative val="0"/>
          <c:dLbls>
            <c:spPr>
              <a:noFill/>
              <a:ln>
                <a:noFill/>
                <a:prstDash val="solid"/>
              </a:ln>
            </c:spPr>
            <c:txPr>
              <a:bodyPr rot="-5400000" spcFirstLastPara="1" vertOverflow="clip" horzOverflow="clip" vert="horz" wrap="square" lIns="38100" tIns="19050" rIns="38100" bIns="19050" anchor="ctr" anchorCtr="1">
                <a:spAutoFit/>
              </a:bodyPr>
              <a:lstStyle/>
              <a:p>
                <a:pPr>
                  <a:defRPr sz="800" b="0" i="0"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numRef>
              <c:f>DASHBOARD!$A$19:$A$23</c:f>
              <c:numCache>
                <c:formatCode>d\-mmm\-yy</c:formatCode>
                <c:ptCount val="5"/>
                <c:pt idx="0">
                  <c:v>45951</c:v>
                </c:pt>
                <c:pt idx="1">
                  <c:v>45950</c:v>
                </c:pt>
                <c:pt idx="2">
                  <c:v>45949</c:v>
                </c:pt>
                <c:pt idx="3">
                  <c:v>45948</c:v>
                </c:pt>
                <c:pt idx="4">
                  <c:v>45947</c:v>
                </c:pt>
              </c:numCache>
            </c:numRef>
          </c:cat>
          <c:val>
            <c:numRef>
              <c:f>DASHBOARD!$C$19:$C$23</c:f>
              <c:numCache>
                <c:formatCode>0</c:formatCode>
                <c:ptCount val="5"/>
                <c:pt idx="0">
                  <c:v>92.615384615384613</c:v>
                </c:pt>
                <c:pt idx="1">
                  <c:v>89.276595744680847</c:v>
                </c:pt>
                <c:pt idx="2">
                  <c:v>91.534883720930239</c:v>
                </c:pt>
                <c:pt idx="3">
                  <c:v>83.042253521126767</c:v>
                </c:pt>
                <c:pt idx="4">
                  <c:v>93.428571428571431</c:v>
                </c:pt>
              </c:numCache>
            </c:numRef>
          </c:val>
          <c:extLst>
            <c:ext xmlns:c16="http://schemas.microsoft.com/office/drawing/2014/chart" uri="{C3380CC4-5D6E-409C-BE32-E72D297353CC}">
              <c16:uniqueId val="{00000000-63AD-4C68-9D67-087DAEF1C4EF}"/>
            </c:ext>
          </c:extLst>
        </c:ser>
        <c:dLbls>
          <c:dLblPos val="outEnd"/>
          <c:showLegendKey val="0"/>
          <c:showVal val="1"/>
          <c:showCatName val="0"/>
          <c:showSerName val="0"/>
          <c:showPercent val="0"/>
          <c:showBubbleSize val="0"/>
        </c:dLbls>
        <c:gapWidth val="444"/>
        <c:overlap val="-90"/>
        <c:axId val="535440463"/>
        <c:axId val="535437583"/>
      </c:barChart>
      <c:dateAx>
        <c:axId val="535440463"/>
        <c:scaling>
          <c:orientation val="minMax"/>
        </c:scaling>
        <c:delete val="0"/>
        <c:axPos val="b"/>
        <c:numFmt formatCode="d\-mmm\-yy" sourceLinked="1"/>
        <c:majorTickMark val="out"/>
        <c:minorTickMark val="none"/>
        <c:tickLblPos val="nextTo"/>
        <c:spPr>
          <a:noFill/>
          <a:ln w="9525" cap="flat" cmpd="sng" algn="ctr">
            <a:solidFill>
              <a:schemeClr val="tx1">
                <a:lumMod val="15000"/>
                <a:lumOff val="85000"/>
              </a:schemeClr>
            </a:solidFill>
            <a:prstDash val="solid"/>
            <a:round/>
          </a:ln>
        </c:spPr>
        <c:txPr>
          <a:bodyPr rot="-60000000" spcFirstLastPara="1" vertOverflow="ellipsis" vert="horz" wrap="square" anchor="ctr" anchorCtr="1"/>
          <a:lstStyle/>
          <a:p>
            <a:pPr>
              <a:defRPr sz="800" b="0" i="0" strike="noStrike" kern="1200" cap="all" spc="120" normalizeH="0" baseline="0">
                <a:solidFill>
                  <a:schemeClr val="tx1">
                    <a:lumMod val="65000"/>
                    <a:lumOff val="35000"/>
                  </a:schemeClr>
                </a:solidFill>
                <a:latin typeface="+mn-lt"/>
                <a:ea typeface="+mn-ea"/>
                <a:cs typeface="+mn-cs"/>
              </a:defRPr>
            </a:pPr>
            <a:endParaRPr lang="en-US"/>
          </a:p>
        </c:txPr>
        <c:crossAx val="535437583"/>
        <c:crosses val="autoZero"/>
        <c:auto val="1"/>
        <c:lblOffset val="100"/>
        <c:baseTimeUnit val="days"/>
      </c:dateAx>
      <c:valAx>
        <c:axId val="535437583"/>
        <c:scaling>
          <c:orientation val="minMax"/>
        </c:scaling>
        <c:delete val="1"/>
        <c:axPos val="l"/>
        <c:numFmt formatCode="0" sourceLinked="1"/>
        <c:majorTickMark val="none"/>
        <c:minorTickMark val="none"/>
        <c:tickLblPos val="nextTo"/>
        <c:crossAx val="535440463"/>
        <c:crosses val="autoZero"/>
        <c:crossBetween val="between"/>
      </c:valAx>
    </c:plotArea>
    <c:plotVisOnly val="1"/>
    <c:dispBlanksAs val="gap"/>
    <c:showDLblsOverMax val="1"/>
  </c:chart>
  <c:spPr>
    <a:solidFill>
      <a:schemeClr val="lt1"/>
    </a:solidFill>
    <a:ln w="9525" cap="flat" cmpd="sng" algn="ctr">
      <a:solidFill>
        <a:schemeClr val="tx1">
          <a:lumMod val="15000"/>
          <a:lumOff val="85000"/>
        </a:schemeClr>
      </a:solidFill>
      <a:prstDash val="solid"/>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xdr:col>
      <xdr:colOff>384174</xdr:colOff>
      <xdr:row>16</xdr:row>
      <xdr:rowOff>12700</xdr:rowOff>
    </xdr:from>
    <xdr:to>
      <xdr:col>14</xdr:col>
      <xdr:colOff>107949</xdr:colOff>
      <xdr:row>24</xdr:row>
      <xdr:rowOff>53974</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374650</xdr:colOff>
      <xdr:row>8</xdr:row>
      <xdr:rowOff>174625</xdr:rowOff>
    </xdr:from>
    <xdr:to>
      <xdr:col>14</xdr:col>
      <xdr:colOff>101600</xdr:colOff>
      <xdr:row>15</xdr:row>
      <xdr:rowOff>165100</xdr:rowOff>
    </xdr:to>
    <xdr:graphicFrame macro="">
      <xdr:nvGraphicFramePr>
        <xdr:cNvPr id="3" name="Chart 2">
          <a:extLst>
            <a:ext uri="{FF2B5EF4-FFF2-40B4-BE49-F238E27FC236}">
              <a16:creationId xmlns:a16="http://schemas.microsoft.com/office/drawing/2014/main" id="{00000000-0008-0000-04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L1248"/>
  <sheetViews>
    <sheetView topLeftCell="A3" workbookViewId="0">
      <selection activeCell="A3" sqref="A3"/>
    </sheetView>
  </sheetViews>
  <sheetFormatPr defaultRowHeight="15" customHeight="1" x14ac:dyDescent="0.35"/>
  <cols>
    <col min="1" max="1" width="17.7265625" bestFit="1" customWidth="1"/>
    <col min="3" max="3" width="9.08984375" bestFit="1" customWidth="1"/>
    <col min="5" max="5" width="10.08984375" bestFit="1" customWidth="1"/>
    <col min="6" max="6" width="7.81640625" bestFit="1" customWidth="1"/>
    <col min="7" max="7" width="10.08984375" bestFit="1" customWidth="1"/>
    <col min="39" max="39" width="18.54296875" customWidth="1"/>
    <col min="40" max="40" width="21.6328125" bestFit="1" customWidth="1"/>
    <col min="41" max="41" width="17.1796875" bestFit="1" customWidth="1"/>
    <col min="79" max="79" width="15.08984375" bestFit="1" customWidth="1"/>
    <col min="80" max="80" width="10.08984375" bestFit="1" customWidth="1"/>
    <col min="83" max="83" width="9.08984375" bestFit="1" customWidth="1"/>
  </cols>
  <sheetData>
    <row r="1" spans="1:90" ht="15" hidden="1" customHeight="1" x14ac:dyDescent="0.35">
      <c r="AW1" s="3">
        <v>6</v>
      </c>
      <c r="AX1" s="3">
        <v>4</v>
      </c>
      <c r="AY1" s="3">
        <v>4</v>
      </c>
      <c r="AZ1" s="3">
        <v>2</v>
      </c>
      <c r="BA1" s="3">
        <v>4</v>
      </c>
      <c r="BB1" s="3">
        <v>4</v>
      </c>
      <c r="BC1" s="3">
        <v>4</v>
      </c>
      <c r="BD1" s="3">
        <v>2</v>
      </c>
      <c r="BE1" s="3">
        <v>4</v>
      </c>
      <c r="BF1" s="3">
        <v>2</v>
      </c>
      <c r="BG1" s="3">
        <v>4</v>
      </c>
      <c r="BH1" s="3">
        <v>4</v>
      </c>
      <c r="BI1" s="3">
        <v>4</v>
      </c>
      <c r="BJ1" s="3">
        <v>2</v>
      </c>
      <c r="BK1" s="3">
        <v>4</v>
      </c>
      <c r="BL1" s="3">
        <v>2</v>
      </c>
      <c r="BM1" s="3">
        <v>4</v>
      </c>
      <c r="BN1" s="3">
        <v>4</v>
      </c>
      <c r="BO1" s="3">
        <v>4</v>
      </c>
      <c r="BP1" s="3">
        <v>4</v>
      </c>
      <c r="BQ1" s="3">
        <v>6</v>
      </c>
      <c r="BR1" s="3">
        <v>4</v>
      </c>
      <c r="BS1" s="3">
        <v>4</v>
      </c>
      <c r="BT1" s="3">
        <v>4</v>
      </c>
      <c r="BU1" s="3">
        <v>4</v>
      </c>
      <c r="BV1" s="3"/>
      <c r="BW1" s="3">
        <v>6</v>
      </c>
      <c r="BX1" s="38"/>
      <c r="BY1" s="38"/>
      <c r="BZ1" s="39">
        <f>SUM(AW1:BY1)</f>
        <v>100</v>
      </c>
    </row>
    <row r="2" spans="1:90" ht="15" customHeight="1" x14ac:dyDescent="0.35">
      <c r="A2" t="s">
        <v>0</v>
      </c>
      <c r="B2" t="s">
        <v>1</v>
      </c>
      <c r="C2" t="s">
        <v>2</v>
      </c>
      <c r="D2" t="s">
        <v>3</v>
      </c>
      <c r="E2" t="s">
        <v>4</v>
      </c>
      <c r="F2" t="s">
        <v>5</v>
      </c>
      <c r="G2" t="s">
        <v>6</v>
      </c>
      <c r="H2" t="s">
        <v>7</v>
      </c>
      <c r="I2" t="s">
        <v>8</v>
      </c>
      <c r="J2" t="s">
        <v>9</v>
      </c>
      <c r="K2" t="s">
        <v>10</v>
      </c>
      <c r="L2" t="s">
        <v>11</v>
      </c>
      <c r="M2" t="s">
        <v>12</v>
      </c>
      <c r="N2" t="s">
        <v>13</v>
      </c>
      <c r="O2" t="s">
        <v>14</v>
      </c>
      <c r="P2" t="s">
        <v>15</v>
      </c>
      <c r="Q2" t="s">
        <v>16</v>
      </c>
      <c r="R2" t="s">
        <v>17</v>
      </c>
      <c r="S2" t="s">
        <v>18</v>
      </c>
      <c r="T2" t="s">
        <v>19</v>
      </c>
      <c r="U2" t="s">
        <v>20</v>
      </c>
      <c r="V2" t="s">
        <v>21</v>
      </c>
      <c r="W2" t="s">
        <v>22</v>
      </c>
      <c r="X2" s="1" t="s">
        <v>23</v>
      </c>
      <c r="Y2" t="s">
        <v>24</v>
      </c>
      <c r="Z2" t="s">
        <v>25</v>
      </c>
      <c r="AA2" t="s">
        <v>26</v>
      </c>
      <c r="AB2" t="s">
        <v>27</v>
      </c>
      <c r="AC2" t="s">
        <v>28</v>
      </c>
      <c r="AD2" t="s">
        <v>29</v>
      </c>
      <c r="AE2" t="s">
        <v>30</v>
      </c>
      <c r="AF2" t="s">
        <v>31</v>
      </c>
      <c r="AG2" t="s">
        <v>32</v>
      </c>
      <c r="AH2" t="s">
        <v>33</v>
      </c>
      <c r="AI2" t="s">
        <v>34</v>
      </c>
      <c r="AJ2" t="s">
        <v>35</v>
      </c>
      <c r="AK2" t="s">
        <v>36</v>
      </c>
      <c r="AL2" t="s">
        <v>37</v>
      </c>
      <c r="AM2" t="s">
        <v>38</v>
      </c>
      <c r="AN2" t="s">
        <v>39</v>
      </c>
      <c r="AO2" t="s">
        <v>40</v>
      </c>
      <c r="AP2" t="s">
        <v>41</v>
      </c>
      <c r="AQ2" t="s">
        <v>42</v>
      </c>
      <c r="AR2" t="s">
        <v>43</v>
      </c>
      <c r="AS2" t="s">
        <v>44</v>
      </c>
      <c r="AT2" t="s">
        <v>45</v>
      </c>
      <c r="AU2" t="s">
        <v>46</v>
      </c>
      <c r="AW2" s="5" t="s">
        <v>12</v>
      </c>
      <c r="AX2" s="5" t="s">
        <v>13</v>
      </c>
      <c r="AY2" s="5" t="s">
        <v>14</v>
      </c>
      <c r="AZ2" s="5" t="s">
        <v>15</v>
      </c>
      <c r="BA2" s="5" t="s">
        <v>16</v>
      </c>
      <c r="BB2" s="5" t="s">
        <v>17</v>
      </c>
      <c r="BC2" s="5" t="s">
        <v>18</v>
      </c>
      <c r="BD2" s="5" t="s">
        <v>19</v>
      </c>
      <c r="BE2" s="5" t="s">
        <v>20</v>
      </c>
      <c r="BF2" s="5" t="s">
        <v>21</v>
      </c>
      <c r="BG2" s="5" t="s">
        <v>22</v>
      </c>
      <c r="BH2" s="5" t="s">
        <v>23</v>
      </c>
      <c r="BI2" s="5" t="s">
        <v>24</v>
      </c>
      <c r="BJ2" s="5" t="s">
        <v>25</v>
      </c>
      <c r="BK2" s="5" t="s">
        <v>26</v>
      </c>
      <c r="BL2" s="5" t="s">
        <v>27</v>
      </c>
      <c r="BM2" s="5" t="s">
        <v>28</v>
      </c>
      <c r="BN2" s="5" t="s">
        <v>29</v>
      </c>
      <c r="BO2" s="5" t="s">
        <v>30</v>
      </c>
      <c r="BP2" s="5" t="s">
        <v>31</v>
      </c>
      <c r="BQ2" s="5" t="s">
        <v>32</v>
      </c>
      <c r="BR2" s="5" t="s">
        <v>33</v>
      </c>
      <c r="BS2" s="5" t="s">
        <v>34</v>
      </c>
      <c r="BT2" s="5" t="s">
        <v>35</v>
      </c>
      <c r="BU2" s="5" t="s">
        <v>36</v>
      </c>
      <c r="BV2" s="5" t="s">
        <v>37</v>
      </c>
      <c r="BW2" s="5" t="s">
        <v>38</v>
      </c>
      <c r="BX2" s="5" t="s">
        <v>39</v>
      </c>
      <c r="BY2" s="5" t="s">
        <v>40</v>
      </c>
      <c r="BZ2" s="6" t="s">
        <v>47</v>
      </c>
      <c r="CA2" s="6" t="s">
        <v>48</v>
      </c>
      <c r="CB2" s="6" t="s">
        <v>49</v>
      </c>
      <c r="CC2" s="6" t="s">
        <v>50</v>
      </c>
    </row>
    <row r="3" spans="1:90" ht="15" customHeight="1" x14ac:dyDescent="0.35">
      <c r="A3" s="40">
        <v>45667.455023148148</v>
      </c>
      <c r="B3" t="s">
        <v>51</v>
      </c>
      <c r="C3" t="s">
        <v>52</v>
      </c>
      <c r="D3" t="s">
        <v>53</v>
      </c>
      <c r="E3" s="32">
        <v>45931</v>
      </c>
      <c r="F3" t="s">
        <v>54</v>
      </c>
      <c r="G3" t="s">
        <v>55</v>
      </c>
      <c r="H3">
        <v>9496826734</v>
      </c>
      <c r="I3">
        <v>220</v>
      </c>
      <c r="J3" t="s">
        <v>56</v>
      </c>
      <c r="K3" t="s">
        <v>57</v>
      </c>
      <c r="L3" t="s">
        <v>58</v>
      </c>
      <c r="M3" t="s">
        <v>59</v>
      </c>
      <c r="N3" t="s">
        <v>59</v>
      </c>
      <c r="O3" t="s">
        <v>59</v>
      </c>
      <c r="P3" t="s">
        <v>59</v>
      </c>
      <c r="Q3" t="s">
        <v>59</v>
      </c>
      <c r="R3" t="s">
        <v>60</v>
      </c>
      <c r="S3" t="s">
        <v>59</v>
      </c>
      <c r="T3" t="s">
        <v>59</v>
      </c>
      <c r="U3" t="s">
        <v>59</v>
      </c>
      <c r="V3" t="s">
        <v>59</v>
      </c>
      <c r="W3" t="s">
        <v>59</v>
      </c>
      <c r="X3" t="s">
        <v>59</v>
      </c>
      <c r="Y3" t="s">
        <v>59</v>
      </c>
      <c r="Z3" t="s">
        <v>59</v>
      </c>
      <c r="AA3" t="s">
        <v>59</v>
      </c>
      <c r="AB3" t="s">
        <v>59</v>
      </c>
      <c r="AC3" t="s">
        <v>61</v>
      </c>
      <c r="AD3" t="s">
        <v>59</v>
      </c>
      <c r="AE3" t="s">
        <v>60</v>
      </c>
      <c r="AF3" t="s">
        <v>61</v>
      </c>
      <c r="AG3" t="s">
        <v>59</v>
      </c>
      <c r="AH3" t="s">
        <v>61</v>
      </c>
      <c r="AI3" t="s">
        <v>61</v>
      </c>
      <c r="AJ3" t="s">
        <v>59</v>
      </c>
      <c r="AK3" t="s">
        <v>61</v>
      </c>
      <c r="AL3" t="s">
        <v>60</v>
      </c>
      <c r="AM3" t="s">
        <v>60</v>
      </c>
      <c r="AN3" t="s">
        <v>59</v>
      </c>
      <c r="AO3" t="s">
        <v>59</v>
      </c>
      <c r="AP3" t="s">
        <v>62</v>
      </c>
      <c r="AQ3" t="s">
        <v>63</v>
      </c>
      <c r="AR3" t="s">
        <v>64</v>
      </c>
      <c r="AS3" t="s">
        <v>65</v>
      </c>
      <c r="AT3" t="s">
        <v>66</v>
      </c>
      <c r="AW3" s="4">
        <f t="shared" ref="AW3:AW66" si="0">IF(OR(M3="YES", M3="Not Applicable"), AW$1, "0")</f>
        <v>6</v>
      </c>
      <c r="AX3" s="4">
        <f t="shared" ref="AX3:AX66" si="1">IF(OR(N3="YES", N3="Not Applicable"), AX$1, "0")</f>
        <v>4</v>
      </c>
      <c r="AY3" s="4">
        <f t="shared" ref="AY3:AY66" si="2">IF(OR(O3="YES", O3="Not Applicable"), AY$1, "0")</f>
        <v>4</v>
      </c>
      <c r="AZ3" s="4">
        <f t="shared" ref="AZ3:AZ66" si="3">IF(OR(P3="YES", P3="Not Applicable"), AZ$1, "0")</f>
        <v>2</v>
      </c>
      <c r="BA3" s="4">
        <f t="shared" ref="BA3:BA66" si="4">IF(OR(Q3="YES", Q3="Not Applicable"), BA$1, "0")</f>
        <v>4</v>
      </c>
      <c r="BB3" s="4" t="str">
        <f t="shared" ref="BB3:BB66" si="5">IF(OR(R3="YES", R3="Not Applicable"), BB$1, "0")</f>
        <v>0</v>
      </c>
      <c r="BC3" s="4">
        <f t="shared" ref="BC3:BC66" si="6">IF(OR(S3="YES", S3="Not Applicable"), BC$1, "0")</f>
        <v>4</v>
      </c>
      <c r="BD3" s="4">
        <f t="shared" ref="BD3:BD66" si="7">IF(OR(T3="YES", T3="Not Applicable"), BD$1, "0")</f>
        <v>2</v>
      </c>
      <c r="BE3" s="4">
        <f t="shared" ref="BE3:BE66" si="8">IF(OR(U3="YES", U3="Not Applicable"), BE$1, "0")</f>
        <v>4</v>
      </c>
      <c r="BF3" s="4">
        <f t="shared" ref="BF3:BF66" si="9">IF(OR(V3="YES", V3="Not Applicable"), BF$1, "0")</f>
        <v>2</v>
      </c>
      <c r="BG3" s="4">
        <f t="shared" ref="BG3:BG66" si="10">IF(OR(W3="YES", W3="Not Applicable"), BG$1, "0")</f>
        <v>4</v>
      </c>
      <c r="BH3" s="4">
        <f t="shared" ref="BH3:BH66" si="11">IF(OR(X3="YES", X3="Not Applicable"), BH$1, "0")</f>
        <v>4</v>
      </c>
      <c r="BI3" s="4">
        <f t="shared" ref="BI3:BI66" si="12">IF(OR(Y3="YES", Y3="Not Applicable"), BI$1, "0")</f>
        <v>4</v>
      </c>
      <c r="BJ3" s="4">
        <f t="shared" ref="BJ3:BJ66" si="13">IF(OR(Z3="YES", Z3="Not Applicable"), BJ$1, "0")</f>
        <v>2</v>
      </c>
      <c r="BK3" s="4">
        <f t="shared" ref="BK3:BK66" si="14">IF(OR(AA3="YES", AA3="Not Applicable"), BK$1, "0")</f>
        <v>4</v>
      </c>
      <c r="BL3" s="4">
        <f t="shared" ref="BL3:BL66" si="15">IF(OR(AB3="YES", AB3="Not Applicable"), BL$1, "0")</f>
        <v>2</v>
      </c>
      <c r="BM3" s="4">
        <f t="shared" ref="BM3:BM66" si="16">IF(OR(AC3="YES", AC3="Not Applicable"), BM$1, "0")</f>
        <v>4</v>
      </c>
      <c r="BN3" s="4">
        <f t="shared" ref="BN3:BN66" si="17">IF(OR(AD3="YES", AD3="Not Applicable"), BN$1, "0")</f>
        <v>4</v>
      </c>
      <c r="BO3" s="4" t="str">
        <f t="shared" ref="BO3:BO66" si="18">IF(OR(AE3="YES", AE3="Not Applicable"), BO$1, "0")</f>
        <v>0</v>
      </c>
      <c r="BP3" s="4">
        <f t="shared" ref="BP3:BP66" si="19">IF(OR(AF3="YES", AF3="Not Applicable"), BP$1, "0")</f>
        <v>4</v>
      </c>
      <c r="BQ3" s="4">
        <f t="shared" ref="BQ3:BQ66" si="20">IF(OR(AG3="YES", AG3="Not Applicable"), BQ$1, "0")</f>
        <v>6</v>
      </c>
      <c r="BR3" s="4">
        <f t="shared" ref="BR3:BR66" si="21">IF(OR(AH3="YES", AH3="Not Applicable"), BR$1, "0")</f>
        <v>4</v>
      </c>
      <c r="BS3" s="4">
        <f t="shared" ref="BS3:BS66" si="22">IF(OR(AI3="YES", AI3="Not Applicable"), BS$1, "0")</f>
        <v>4</v>
      </c>
      <c r="BT3" s="4">
        <f t="shared" ref="BT3:BT66" si="23">IF(OR(AJ3="YES", AJ3="Not Applicable"), BT$1, "0")</f>
        <v>4</v>
      </c>
      <c r="BU3" s="4">
        <f t="shared" ref="BU3:BU66" si="24">IF(OR(AK3="YES", AK3="Not Applicable"), BU$1, "0")</f>
        <v>4</v>
      </c>
      <c r="BV3" s="4" t="str">
        <f t="shared" ref="BV3:BV66" si="25">IF(OR(AL3="YES", AL3="Not Applicable"), BV$1, "0")</f>
        <v>0</v>
      </c>
      <c r="BW3" s="4" t="str">
        <f t="shared" ref="BW3:BW66" si="26">IF(OR(AM3="YES", AM3="Not Applicable"), BW$1, "0")</f>
        <v>0</v>
      </c>
      <c r="BX3" s="4">
        <f t="shared" ref="BX3:BX66" si="27">IF(OR(AN3="YES", AN3="Not Applicable"), BX$1, "0")</f>
        <v>0</v>
      </c>
      <c r="BY3" s="4">
        <f t="shared" ref="BY3:BY66" si="28">IF(OR(AO3="YES", AO3="Not Applicable"), BY$1, "0")</f>
        <v>0</v>
      </c>
      <c r="BZ3" s="37">
        <f t="shared" ref="BZ3:BZ66" si="29">SUM(AW3:BY3)</f>
        <v>86</v>
      </c>
      <c r="CA3" s="32" t="str">
        <f>VLOOKUP(J:J,'Agent wise'!A:C,3,0)</f>
        <v>Saran S</v>
      </c>
      <c r="CB3" s="32">
        <f t="shared" ref="CB3:CB66" si="30">INT(E3)</f>
        <v>45931</v>
      </c>
      <c r="CC3" t="str">
        <f t="shared" ref="CC3:CC66" si="31">IF(BZ3&gt;=94.5, "Excellent", IF(BZ3&gt;89.5, "Good", IF(BZ3&gt;84.5, "Average", "FC")))</f>
        <v>Average</v>
      </c>
      <c r="CE3" s="32"/>
      <c r="CJ3">
        <f t="shared" ref="CJ3:CJ66" si="32">DAY(E3)</f>
        <v>1</v>
      </c>
      <c r="CK3">
        <f t="shared" ref="CK3:CK66" si="33">MONTH(E3)</f>
        <v>10</v>
      </c>
      <c r="CL3">
        <f t="shared" ref="CL3:CL66" si="34">YEAR(E3)</f>
        <v>2025</v>
      </c>
    </row>
    <row r="4" spans="1:90" ht="15" customHeight="1" x14ac:dyDescent="0.35">
      <c r="A4" s="40">
        <v>45667.460358796299</v>
      </c>
      <c r="B4" t="s">
        <v>51</v>
      </c>
      <c r="C4" t="s">
        <v>52</v>
      </c>
      <c r="D4" t="s">
        <v>53</v>
      </c>
      <c r="E4" s="32">
        <v>45931</v>
      </c>
      <c r="F4" t="s">
        <v>54</v>
      </c>
      <c r="G4" t="s">
        <v>55</v>
      </c>
      <c r="H4">
        <v>9048626079</v>
      </c>
      <c r="I4">
        <v>148</v>
      </c>
      <c r="J4" t="s">
        <v>67</v>
      </c>
      <c r="K4" t="s">
        <v>57</v>
      </c>
      <c r="L4" t="s">
        <v>58</v>
      </c>
      <c r="M4" t="s">
        <v>59</v>
      </c>
      <c r="N4" t="s">
        <v>59</v>
      </c>
      <c r="O4" t="s">
        <v>59</v>
      </c>
      <c r="P4" t="s">
        <v>59</v>
      </c>
      <c r="Q4" t="s">
        <v>59</v>
      </c>
      <c r="R4" t="s">
        <v>60</v>
      </c>
      <c r="S4" t="s">
        <v>59</v>
      </c>
      <c r="T4" t="s">
        <v>59</v>
      </c>
      <c r="U4" t="s">
        <v>59</v>
      </c>
      <c r="V4" t="s">
        <v>59</v>
      </c>
      <c r="W4" t="s">
        <v>59</v>
      </c>
      <c r="X4" t="s">
        <v>59</v>
      </c>
      <c r="Y4" t="s">
        <v>59</v>
      </c>
      <c r="Z4" t="s">
        <v>59</v>
      </c>
      <c r="AA4" t="s">
        <v>59</v>
      </c>
      <c r="AB4" t="s">
        <v>59</v>
      </c>
      <c r="AC4" t="s">
        <v>61</v>
      </c>
      <c r="AD4" t="s">
        <v>59</v>
      </c>
      <c r="AE4" t="s">
        <v>59</v>
      </c>
      <c r="AF4" t="s">
        <v>59</v>
      </c>
      <c r="AG4" t="s">
        <v>59</v>
      </c>
      <c r="AH4" t="s">
        <v>61</v>
      </c>
      <c r="AI4" t="s">
        <v>60</v>
      </c>
      <c r="AJ4" t="s">
        <v>59</v>
      </c>
      <c r="AK4" t="s">
        <v>61</v>
      </c>
      <c r="AL4" t="s">
        <v>60</v>
      </c>
      <c r="AM4" t="s">
        <v>59</v>
      </c>
      <c r="AN4" t="s">
        <v>59</v>
      </c>
      <c r="AO4" t="s">
        <v>59</v>
      </c>
      <c r="AP4" t="s">
        <v>68</v>
      </c>
      <c r="AQ4" t="s">
        <v>69</v>
      </c>
      <c r="AR4" t="s">
        <v>64</v>
      </c>
      <c r="AS4" t="s">
        <v>65</v>
      </c>
      <c r="AT4" t="s">
        <v>66</v>
      </c>
      <c r="AW4" s="4">
        <f t="shared" si="0"/>
        <v>6</v>
      </c>
      <c r="AX4" s="4">
        <f t="shared" si="1"/>
        <v>4</v>
      </c>
      <c r="AY4" s="4">
        <f t="shared" si="2"/>
        <v>4</v>
      </c>
      <c r="AZ4" s="4">
        <f t="shared" si="3"/>
        <v>2</v>
      </c>
      <c r="BA4" s="4">
        <f t="shared" si="4"/>
        <v>4</v>
      </c>
      <c r="BB4" s="4" t="str">
        <f t="shared" si="5"/>
        <v>0</v>
      </c>
      <c r="BC4" s="4">
        <f t="shared" si="6"/>
        <v>4</v>
      </c>
      <c r="BD4" s="4">
        <f t="shared" si="7"/>
        <v>2</v>
      </c>
      <c r="BE4" s="4">
        <f t="shared" si="8"/>
        <v>4</v>
      </c>
      <c r="BF4" s="4">
        <f t="shared" si="9"/>
        <v>2</v>
      </c>
      <c r="BG4" s="4">
        <f t="shared" si="10"/>
        <v>4</v>
      </c>
      <c r="BH4" s="4">
        <f t="shared" si="11"/>
        <v>4</v>
      </c>
      <c r="BI4" s="4">
        <f t="shared" si="12"/>
        <v>4</v>
      </c>
      <c r="BJ4" s="4">
        <f t="shared" si="13"/>
        <v>2</v>
      </c>
      <c r="BK4" s="4">
        <f t="shared" si="14"/>
        <v>4</v>
      </c>
      <c r="BL4" s="4">
        <f t="shared" si="15"/>
        <v>2</v>
      </c>
      <c r="BM4" s="4">
        <f t="shared" si="16"/>
        <v>4</v>
      </c>
      <c r="BN4" s="4">
        <f t="shared" si="17"/>
        <v>4</v>
      </c>
      <c r="BO4" s="4">
        <f t="shared" si="18"/>
        <v>4</v>
      </c>
      <c r="BP4" s="4">
        <f t="shared" si="19"/>
        <v>4</v>
      </c>
      <c r="BQ4" s="4">
        <f t="shared" si="20"/>
        <v>6</v>
      </c>
      <c r="BR4" s="4">
        <f t="shared" si="21"/>
        <v>4</v>
      </c>
      <c r="BS4" s="4" t="str">
        <f t="shared" si="22"/>
        <v>0</v>
      </c>
      <c r="BT4" s="4">
        <f t="shared" si="23"/>
        <v>4</v>
      </c>
      <c r="BU4" s="4">
        <f t="shared" si="24"/>
        <v>4</v>
      </c>
      <c r="BV4" s="4" t="str">
        <f t="shared" si="25"/>
        <v>0</v>
      </c>
      <c r="BW4" s="4">
        <f t="shared" si="26"/>
        <v>6</v>
      </c>
      <c r="BX4" s="4">
        <f t="shared" si="27"/>
        <v>0</v>
      </c>
      <c r="BY4" s="4">
        <f t="shared" si="28"/>
        <v>0</v>
      </c>
      <c r="BZ4" s="37">
        <f t="shared" si="29"/>
        <v>92</v>
      </c>
      <c r="CA4" s="32" t="str">
        <f>VLOOKUP(J:J,'Agent wise'!A:C,3,0)</f>
        <v>Saran S</v>
      </c>
      <c r="CB4" s="32">
        <f t="shared" si="30"/>
        <v>45931</v>
      </c>
      <c r="CC4" t="str">
        <f t="shared" si="31"/>
        <v>Good</v>
      </c>
      <c r="CE4" s="32"/>
      <c r="CJ4">
        <f t="shared" ref="CJ4:CJ67" si="35">DAY(E4)</f>
        <v>1</v>
      </c>
      <c r="CK4">
        <f t="shared" ref="CK4:CK67" si="36">MONTH(E4)</f>
        <v>10</v>
      </c>
      <c r="CL4">
        <f t="shared" ref="CL4:CL67" si="37">YEAR(E4)</f>
        <v>2025</v>
      </c>
    </row>
    <row r="5" spans="1:90" ht="15" customHeight="1" x14ac:dyDescent="0.35">
      <c r="A5" s="40">
        <v>45667.49119212963</v>
      </c>
      <c r="B5" t="s">
        <v>51</v>
      </c>
      <c r="C5" t="s">
        <v>52</v>
      </c>
      <c r="D5" t="s">
        <v>53</v>
      </c>
      <c r="E5" s="32">
        <v>45931</v>
      </c>
      <c r="F5" t="s">
        <v>54</v>
      </c>
      <c r="G5" t="s">
        <v>55</v>
      </c>
      <c r="H5">
        <v>9445185748</v>
      </c>
      <c r="I5">
        <v>217</v>
      </c>
      <c r="J5" t="s">
        <v>70</v>
      </c>
      <c r="K5" t="s">
        <v>71</v>
      </c>
      <c r="L5" t="s">
        <v>72</v>
      </c>
      <c r="M5" t="s">
        <v>60</v>
      </c>
      <c r="N5" t="s">
        <v>59</v>
      </c>
      <c r="O5" t="s">
        <v>59</v>
      </c>
      <c r="P5" t="s">
        <v>59</v>
      </c>
      <c r="Q5" t="s">
        <v>59</v>
      </c>
      <c r="R5" t="s">
        <v>60</v>
      </c>
      <c r="S5" t="s">
        <v>59</v>
      </c>
      <c r="T5" t="s">
        <v>59</v>
      </c>
      <c r="U5" t="s">
        <v>60</v>
      </c>
      <c r="V5" t="s">
        <v>59</v>
      </c>
      <c r="W5" t="s">
        <v>59</v>
      </c>
      <c r="X5" t="s">
        <v>59</v>
      </c>
      <c r="Y5" t="s">
        <v>59</v>
      </c>
      <c r="Z5" t="s">
        <v>59</v>
      </c>
      <c r="AA5" t="s">
        <v>59</v>
      </c>
      <c r="AB5" t="s">
        <v>60</v>
      </c>
      <c r="AC5" t="s">
        <v>61</v>
      </c>
      <c r="AD5" t="s">
        <v>59</v>
      </c>
      <c r="AE5" t="s">
        <v>59</v>
      </c>
      <c r="AF5" t="s">
        <v>61</v>
      </c>
      <c r="AG5" t="s">
        <v>59</v>
      </c>
      <c r="AH5" t="s">
        <v>61</v>
      </c>
      <c r="AI5" t="s">
        <v>60</v>
      </c>
      <c r="AJ5" t="s">
        <v>59</v>
      </c>
      <c r="AK5" t="s">
        <v>61</v>
      </c>
      <c r="AL5" t="s">
        <v>60</v>
      </c>
      <c r="AM5" t="s">
        <v>59</v>
      </c>
      <c r="AN5" t="s">
        <v>59</v>
      </c>
      <c r="AO5" t="s">
        <v>60</v>
      </c>
      <c r="AP5" t="s">
        <v>73</v>
      </c>
      <c r="AQ5" t="s">
        <v>69</v>
      </c>
      <c r="AR5" t="s">
        <v>64</v>
      </c>
      <c r="AS5" t="s">
        <v>65</v>
      </c>
      <c r="AT5" t="s">
        <v>74</v>
      </c>
      <c r="AW5" s="4" t="str">
        <f t="shared" si="0"/>
        <v>0</v>
      </c>
      <c r="AX5" s="4">
        <f t="shared" si="1"/>
        <v>4</v>
      </c>
      <c r="AY5" s="4">
        <f t="shared" si="2"/>
        <v>4</v>
      </c>
      <c r="AZ5" s="4">
        <f t="shared" si="3"/>
        <v>2</v>
      </c>
      <c r="BA5" s="4">
        <f t="shared" si="4"/>
        <v>4</v>
      </c>
      <c r="BB5" s="4" t="str">
        <f t="shared" si="5"/>
        <v>0</v>
      </c>
      <c r="BC5" s="4">
        <f t="shared" si="6"/>
        <v>4</v>
      </c>
      <c r="BD5" s="4">
        <f t="shared" si="7"/>
        <v>2</v>
      </c>
      <c r="BE5" s="4" t="str">
        <f t="shared" si="8"/>
        <v>0</v>
      </c>
      <c r="BF5" s="4">
        <f t="shared" si="9"/>
        <v>2</v>
      </c>
      <c r="BG5" s="4">
        <f t="shared" si="10"/>
        <v>4</v>
      </c>
      <c r="BH5" s="4">
        <f t="shared" si="11"/>
        <v>4</v>
      </c>
      <c r="BI5" s="4">
        <f t="shared" si="12"/>
        <v>4</v>
      </c>
      <c r="BJ5" s="4">
        <f t="shared" si="13"/>
        <v>2</v>
      </c>
      <c r="BK5" s="4">
        <f t="shared" si="14"/>
        <v>4</v>
      </c>
      <c r="BL5" s="4" t="str">
        <f t="shared" si="15"/>
        <v>0</v>
      </c>
      <c r="BM5" s="4">
        <f t="shared" si="16"/>
        <v>4</v>
      </c>
      <c r="BN5" s="4">
        <f t="shared" si="17"/>
        <v>4</v>
      </c>
      <c r="BO5" s="4">
        <f t="shared" si="18"/>
        <v>4</v>
      </c>
      <c r="BP5" s="4">
        <f t="shared" si="19"/>
        <v>4</v>
      </c>
      <c r="BQ5" s="4">
        <f t="shared" si="20"/>
        <v>6</v>
      </c>
      <c r="BR5" s="4">
        <f t="shared" si="21"/>
        <v>4</v>
      </c>
      <c r="BS5" s="4" t="str">
        <f t="shared" si="22"/>
        <v>0</v>
      </c>
      <c r="BT5" s="4">
        <f t="shared" si="23"/>
        <v>4</v>
      </c>
      <c r="BU5" s="4">
        <f t="shared" si="24"/>
        <v>4</v>
      </c>
      <c r="BV5" s="4" t="str">
        <f t="shared" si="25"/>
        <v>0</v>
      </c>
      <c r="BW5" s="4">
        <f t="shared" si="26"/>
        <v>6</v>
      </c>
      <c r="BX5" s="4">
        <f t="shared" si="27"/>
        <v>0</v>
      </c>
      <c r="BY5" s="4" t="str">
        <f t="shared" si="28"/>
        <v>0</v>
      </c>
      <c r="BZ5" s="37">
        <f t="shared" si="29"/>
        <v>80</v>
      </c>
      <c r="CA5" s="32" t="str">
        <f>VLOOKUP(J:J,'Agent wise'!A:C,3,0)</f>
        <v>Saran S</v>
      </c>
      <c r="CB5" s="32">
        <f t="shared" si="30"/>
        <v>45931</v>
      </c>
      <c r="CC5" t="str">
        <f t="shared" si="31"/>
        <v>FC</v>
      </c>
      <c r="CE5" s="32"/>
      <c r="CJ5">
        <f t="shared" si="35"/>
        <v>1</v>
      </c>
      <c r="CK5">
        <f t="shared" si="36"/>
        <v>10</v>
      </c>
      <c r="CL5">
        <f t="shared" si="37"/>
        <v>2025</v>
      </c>
    </row>
    <row r="6" spans="1:90" ht="15" customHeight="1" x14ac:dyDescent="0.35">
      <c r="A6" s="40">
        <v>45667.494004629632</v>
      </c>
      <c r="B6" t="s">
        <v>51</v>
      </c>
      <c r="C6" t="s">
        <v>52</v>
      </c>
      <c r="D6" t="s">
        <v>53</v>
      </c>
      <c r="E6" s="32">
        <v>45931</v>
      </c>
      <c r="F6" t="s">
        <v>54</v>
      </c>
      <c r="G6" t="s">
        <v>55</v>
      </c>
      <c r="H6">
        <v>8606790086</v>
      </c>
      <c r="I6">
        <v>195</v>
      </c>
      <c r="J6" t="s">
        <v>75</v>
      </c>
      <c r="K6" t="s">
        <v>57</v>
      </c>
      <c r="L6" t="s">
        <v>58</v>
      </c>
      <c r="M6" t="s">
        <v>59</v>
      </c>
      <c r="N6" t="s">
        <v>59</v>
      </c>
      <c r="O6" t="s">
        <v>59</v>
      </c>
      <c r="P6" t="s">
        <v>59</v>
      </c>
      <c r="Q6" t="s">
        <v>59</v>
      </c>
      <c r="R6" t="s">
        <v>60</v>
      </c>
      <c r="S6" t="s">
        <v>59</v>
      </c>
      <c r="T6" t="s">
        <v>59</v>
      </c>
      <c r="U6" t="s">
        <v>59</v>
      </c>
      <c r="V6" t="s">
        <v>59</v>
      </c>
      <c r="W6" t="s">
        <v>59</v>
      </c>
      <c r="X6" t="s">
        <v>59</v>
      </c>
      <c r="Y6" t="s">
        <v>59</v>
      </c>
      <c r="Z6" t="s">
        <v>59</v>
      </c>
      <c r="AA6" t="s">
        <v>59</v>
      </c>
      <c r="AB6" t="s">
        <v>59</v>
      </c>
      <c r="AC6" t="s">
        <v>60</v>
      </c>
      <c r="AD6" t="s">
        <v>59</v>
      </c>
      <c r="AE6" t="s">
        <v>59</v>
      </c>
      <c r="AF6" t="s">
        <v>61</v>
      </c>
      <c r="AG6" t="s">
        <v>59</v>
      </c>
      <c r="AH6" t="s">
        <v>61</v>
      </c>
      <c r="AI6" t="s">
        <v>60</v>
      </c>
      <c r="AJ6" t="s">
        <v>59</v>
      </c>
      <c r="AK6" t="s">
        <v>61</v>
      </c>
      <c r="AL6" t="s">
        <v>60</v>
      </c>
      <c r="AM6" t="s">
        <v>59</v>
      </c>
      <c r="AN6" t="s">
        <v>59</v>
      </c>
      <c r="AO6" t="s">
        <v>59</v>
      </c>
      <c r="AP6" t="s">
        <v>76</v>
      </c>
      <c r="AQ6" t="s">
        <v>77</v>
      </c>
      <c r="AR6" t="s">
        <v>64</v>
      </c>
      <c r="AS6" t="s">
        <v>78</v>
      </c>
      <c r="AT6" t="s">
        <v>79</v>
      </c>
      <c r="AW6" s="4">
        <f t="shared" si="0"/>
        <v>6</v>
      </c>
      <c r="AX6" s="4">
        <f t="shared" si="1"/>
        <v>4</v>
      </c>
      <c r="AY6" s="4">
        <f t="shared" si="2"/>
        <v>4</v>
      </c>
      <c r="AZ6" s="4">
        <f t="shared" si="3"/>
        <v>2</v>
      </c>
      <c r="BA6" s="4">
        <f t="shared" si="4"/>
        <v>4</v>
      </c>
      <c r="BB6" s="4" t="str">
        <f t="shared" si="5"/>
        <v>0</v>
      </c>
      <c r="BC6" s="4">
        <f t="shared" si="6"/>
        <v>4</v>
      </c>
      <c r="BD6" s="4">
        <f t="shared" si="7"/>
        <v>2</v>
      </c>
      <c r="BE6" s="4">
        <f t="shared" si="8"/>
        <v>4</v>
      </c>
      <c r="BF6" s="4">
        <f t="shared" si="9"/>
        <v>2</v>
      </c>
      <c r="BG6" s="4">
        <f t="shared" si="10"/>
        <v>4</v>
      </c>
      <c r="BH6" s="4">
        <f t="shared" si="11"/>
        <v>4</v>
      </c>
      <c r="BI6" s="4">
        <f t="shared" si="12"/>
        <v>4</v>
      </c>
      <c r="BJ6" s="4">
        <f t="shared" si="13"/>
        <v>2</v>
      </c>
      <c r="BK6" s="4">
        <f t="shared" si="14"/>
        <v>4</v>
      </c>
      <c r="BL6" s="4">
        <f t="shared" si="15"/>
        <v>2</v>
      </c>
      <c r="BM6" s="4" t="str">
        <f t="shared" si="16"/>
        <v>0</v>
      </c>
      <c r="BN6" s="4">
        <f t="shared" si="17"/>
        <v>4</v>
      </c>
      <c r="BO6" s="4">
        <f t="shared" si="18"/>
        <v>4</v>
      </c>
      <c r="BP6" s="4">
        <f t="shared" si="19"/>
        <v>4</v>
      </c>
      <c r="BQ6" s="4">
        <f t="shared" si="20"/>
        <v>6</v>
      </c>
      <c r="BR6" s="4">
        <f t="shared" si="21"/>
        <v>4</v>
      </c>
      <c r="BS6" s="4" t="str">
        <f t="shared" si="22"/>
        <v>0</v>
      </c>
      <c r="BT6" s="4">
        <f t="shared" si="23"/>
        <v>4</v>
      </c>
      <c r="BU6" s="4">
        <f t="shared" si="24"/>
        <v>4</v>
      </c>
      <c r="BV6" s="4" t="str">
        <f t="shared" si="25"/>
        <v>0</v>
      </c>
      <c r="BW6" s="4">
        <f t="shared" si="26"/>
        <v>6</v>
      </c>
      <c r="BX6" s="4">
        <f t="shared" si="27"/>
        <v>0</v>
      </c>
      <c r="BY6" s="4">
        <f t="shared" si="28"/>
        <v>0</v>
      </c>
      <c r="BZ6" s="37">
        <f t="shared" si="29"/>
        <v>88</v>
      </c>
      <c r="CA6" s="32" t="str">
        <f>VLOOKUP(J:J,'Agent wise'!A:C,3,0)</f>
        <v>Saran S</v>
      </c>
      <c r="CB6" s="32">
        <f t="shared" si="30"/>
        <v>45931</v>
      </c>
      <c r="CC6" t="str">
        <f t="shared" si="31"/>
        <v>Average</v>
      </c>
      <c r="CE6" s="32"/>
      <c r="CJ6">
        <f t="shared" si="35"/>
        <v>1</v>
      </c>
      <c r="CK6">
        <f t="shared" si="36"/>
        <v>10</v>
      </c>
      <c r="CL6">
        <f t="shared" si="37"/>
        <v>2025</v>
      </c>
    </row>
    <row r="7" spans="1:90" ht="15" customHeight="1" x14ac:dyDescent="0.35">
      <c r="A7" s="40">
        <v>45667.496898148151</v>
      </c>
      <c r="B7" t="s">
        <v>51</v>
      </c>
      <c r="C7" t="s">
        <v>52</v>
      </c>
      <c r="D7" t="s">
        <v>53</v>
      </c>
      <c r="E7" s="32">
        <v>45931</v>
      </c>
      <c r="F7" t="s">
        <v>54</v>
      </c>
      <c r="G7" t="s">
        <v>55</v>
      </c>
      <c r="H7">
        <v>9447997090</v>
      </c>
      <c r="I7">
        <v>156</v>
      </c>
      <c r="J7" t="s">
        <v>80</v>
      </c>
      <c r="K7" t="s">
        <v>57</v>
      </c>
      <c r="L7" t="s">
        <v>58</v>
      </c>
      <c r="M7" t="s">
        <v>60</v>
      </c>
      <c r="N7" t="s">
        <v>59</v>
      </c>
      <c r="O7" t="s">
        <v>59</v>
      </c>
      <c r="P7" t="s">
        <v>59</v>
      </c>
      <c r="Q7" t="s">
        <v>59</v>
      </c>
      <c r="R7" t="s">
        <v>60</v>
      </c>
      <c r="S7" t="s">
        <v>59</v>
      </c>
      <c r="T7" t="s">
        <v>59</v>
      </c>
      <c r="U7" t="s">
        <v>59</v>
      </c>
      <c r="V7" t="s">
        <v>59</v>
      </c>
      <c r="W7" t="s">
        <v>59</v>
      </c>
      <c r="X7" t="s">
        <v>59</v>
      </c>
      <c r="Y7" t="s">
        <v>59</v>
      </c>
      <c r="Z7" t="s">
        <v>59</v>
      </c>
      <c r="AA7" t="s">
        <v>60</v>
      </c>
      <c r="AB7" t="s">
        <v>59</v>
      </c>
      <c r="AC7" t="s">
        <v>60</v>
      </c>
      <c r="AD7" t="s">
        <v>59</v>
      </c>
      <c r="AE7" t="s">
        <v>59</v>
      </c>
      <c r="AF7" t="s">
        <v>61</v>
      </c>
      <c r="AG7" t="s">
        <v>60</v>
      </c>
      <c r="AH7" t="s">
        <v>61</v>
      </c>
      <c r="AI7" t="s">
        <v>61</v>
      </c>
      <c r="AJ7" t="s">
        <v>59</v>
      </c>
      <c r="AK7" t="s">
        <v>61</v>
      </c>
      <c r="AL7" t="s">
        <v>60</v>
      </c>
      <c r="AM7" t="s">
        <v>59</v>
      </c>
      <c r="AN7" t="s">
        <v>59</v>
      </c>
      <c r="AO7" t="s">
        <v>59</v>
      </c>
      <c r="AP7" t="s">
        <v>81</v>
      </c>
      <c r="AQ7" t="s">
        <v>82</v>
      </c>
      <c r="AR7" t="s">
        <v>64</v>
      </c>
      <c r="AS7" t="s">
        <v>83</v>
      </c>
      <c r="AT7" t="s">
        <v>84</v>
      </c>
      <c r="AW7" s="4" t="str">
        <f t="shared" si="0"/>
        <v>0</v>
      </c>
      <c r="AX7" s="4">
        <f t="shared" si="1"/>
        <v>4</v>
      </c>
      <c r="AY7" s="4">
        <f t="shared" si="2"/>
        <v>4</v>
      </c>
      <c r="AZ7" s="4">
        <f t="shared" si="3"/>
        <v>2</v>
      </c>
      <c r="BA7" s="4">
        <f t="shared" si="4"/>
        <v>4</v>
      </c>
      <c r="BB7" s="4" t="str">
        <f t="shared" si="5"/>
        <v>0</v>
      </c>
      <c r="BC7" s="4">
        <f t="shared" si="6"/>
        <v>4</v>
      </c>
      <c r="BD7" s="4">
        <f t="shared" si="7"/>
        <v>2</v>
      </c>
      <c r="BE7" s="4">
        <f t="shared" si="8"/>
        <v>4</v>
      </c>
      <c r="BF7" s="4">
        <f t="shared" si="9"/>
        <v>2</v>
      </c>
      <c r="BG7" s="4">
        <f t="shared" si="10"/>
        <v>4</v>
      </c>
      <c r="BH7" s="4">
        <f t="shared" si="11"/>
        <v>4</v>
      </c>
      <c r="BI7" s="4">
        <f t="shared" si="12"/>
        <v>4</v>
      </c>
      <c r="BJ7" s="4">
        <f t="shared" si="13"/>
        <v>2</v>
      </c>
      <c r="BK7" s="4" t="str">
        <f t="shared" si="14"/>
        <v>0</v>
      </c>
      <c r="BL7" s="4">
        <f t="shared" si="15"/>
        <v>2</v>
      </c>
      <c r="BM7" s="4" t="str">
        <f t="shared" si="16"/>
        <v>0</v>
      </c>
      <c r="BN7" s="4">
        <f t="shared" si="17"/>
        <v>4</v>
      </c>
      <c r="BO7" s="4">
        <f t="shared" si="18"/>
        <v>4</v>
      </c>
      <c r="BP7" s="4">
        <f t="shared" si="19"/>
        <v>4</v>
      </c>
      <c r="BQ7" s="4" t="str">
        <f t="shared" si="20"/>
        <v>0</v>
      </c>
      <c r="BR7" s="4">
        <f t="shared" si="21"/>
        <v>4</v>
      </c>
      <c r="BS7" s="4">
        <f t="shared" si="22"/>
        <v>4</v>
      </c>
      <c r="BT7" s="4">
        <f t="shared" si="23"/>
        <v>4</v>
      </c>
      <c r="BU7" s="4">
        <f t="shared" si="24"/>
        <v>4</v>
      </c>
      <c r="BV7" s="4" t="str">
        <f t="shared" si="25"/>
        <v>0</v>
      </c>
      <c r="BW7" s="4">
        <f t="shared" si="26"/>
        <v>6</v>
      </c>
      <c r="BX7" s="4">
        <f t="shared" si="27"/>
        <v>0</v>
      </c>
      <c r="BY7" s="4">
        <f t="shared" si="28"/>
        <v>0</v>
      </c>
      <c r="BZ7" s="37">
        <f t="shared" si="29"/>
        <v>76</v>
      </c>
      <c r="CA7" s="32" t="str">
        <f>VLOOKUP(J:J,'Agent wise'!A:C,3,0)</f>
        <v>Saran S</v>
      </c>
      <c r="CB7" s="32">
        <f t="shared" si="30"/>
        <v>45931</v>
      </c>
      <c r="CC7" t="str">
        <f t="shared" si="31"/>
        <v>FC</v>
      </c>
      <c r="CE7" s="32"/>
      <c r="CJ7">
        <f t="shared" si="35"/>
        <v>1</v>
      </c>
      <c r="CK7">
        <f t="shared" si="36"/>
        <v>10</v>
      </c>
      <c r="CL7">
        <f t="shared" si="37"/>
        <v>2025</v>
      </c>
    </row>
    <row r="8" spans="1:90" ht="15" customHeight="1" x14ac:dyDescent="0.35">
      <c r="A8" s="40">
        <v>45667.501736111109</v>
      </c>
      <c r="B8" t="s">
        <v>51</v>
      </c>
      <c r="C8" t="s">
        <v>52</v>
      </c>
      <c r="D8" t="s">
        <v>53</v>
      </c>
      <c r="E8" s="32">
        <v>45931</v>
      </c>
      <c r="F8" t="s">
        <v>54</v>
      </c>
      <c r="G8" t="s">
        <v>55</v>
      </c>
      <c r="H8">
        <v>9445365382</v>
      </c>
      <c r="I8">
        <v>168</v>
      </c>
      <c r="J8" t="s">
        <v>85</v>
      </c>
      <c r="K8" t="s">
        <v>86</v>
      </c>
      <c r="L8" t="s">
        <v>72</v>
      </c>
      <c r="M8" t="s">
        <v>60</v>
      </c>
      <c r="N8" t="s">
        <v>59</v>
      </c>
      <c r="O8" t="s">
        <v>59</v>
      </c>
      <c r="P8" t="s">
        <v>59</v>
      </c>
      <c r="Q8" t="s">
        <v>59</v>
      </c>
      <c r="R8" t="s">
        <v>59</v>
      </c>
      <c r="S8" t="s">
        <v>59</v>
      </c>
      <c r="T8" t="s">
        <v>59</v>
      </c>
      <c r="U8" t="s">
        <v>59</v>
      </c>
      <c r="V8" t="s">
        <v>59</v>
      </c>
      <c r="W8" t="s">
        <v>59</v>
      </c>
      <c r="X8" t="s">
        <v>59</v>
      </c>
      <c r="Y8" t="s">
        <v>59</v>
      </c>
      <c r="Z8" t="s">
        <v>59</v>
      </c>
      <c r="AA8" t="s">
        <v>59</v>
      </c>
      <c r="AB8" t="s">
        <v>59</v>
      </c>
      <c r="AC8" t="s">
        <v>61</v>
      </c>
      <c r="AD8" t="s">
        <v>59</v>
      </c>
      <c r="AE8" t="s">
        <v>59</v>
      </c>
      <c r="AF8" t="s">
        <v>61</v>
      </c>
      <c r="AG8" t="s">
        <v>59</v>
      </c>
      <c r="AH8" t="s">
        <v>61</v>
      </c>
      <c r="AI8" t="s">
        <v>61</v>
      </c>
      <c r="AJ8" t="s">
        <v>59</v>
      </c>
      <c r="AK8" t="s">
        <v>61</v>
      </c>
      <c r="AL8" t="s">
        <v>60</v>
      </c>
      <c r="AM8" t="s">
        <v>59</v>
      </c>
      <c r="AN8" t="s">
        <v>59</v>
      </c>
      <c r="AO8" t="s">
        <v>59</v>
      </c>
      <c r="AP8" t="s">
        <v>87</v>
      </c>
      <c r="AQ8" t="s">
        <v>88</v>
      </c>
      <c r="AR8" t="s">
        <v>64</v>
      </c>
      <c r="AS8" t="s">
        <v>89</v>
      </c>
      <c r="AT8" t="s">
        <v>84</v>
      </c>
      <c r="AW8" s="4" t="str">
        <f t="shared" si="0"/>
        <v>0</v>
      </c>
      <c r="AX8" s="4">
        <f t="shared" si="1"/>
        <v>4</v>
      </c>
      <c r="AY8" s="4">
        <f t="shared" si="2"/>
        <v>4</v>
      </c>
      <c r="AZ8" s="4">
        <f t="shared" si="3"/>
        <v>2</v>
      </c>
      <c r="BA8" s="4">
        <f t="shared" si="4"/>
        <v>4</v>
      </c>
      <c r="BB8" s="4">
        <f t="shared" si="5"/>
        <v>4</v>
      </c>
      <c r="BC8" s="4">
        <f t="shared" si="6"/>
        <v>4</v>
      </c>
      <c r="BD8" s="4">
        <f t="shared" si="7"/>
        <v>2</v>
      </c>
      <c r="BE8" s="4">
        <f t="shared" si="8"/>
        <v>4</v>
      </c>
      <c r="BF8" s="4">
        <f t="shared" si="9"/>
        <v>2</v>
      </c>
      <c r="BG8" s="4">
        <f t="shared" si="10"/>
        <v>4</v>
      </c>
      <c r="BH8" s="4">
        <f t="shared" si="11"/>
        <v>4</v>
      </c>
      <c r="BI8" s="4">
        <f t="shared" si="12"/>
        <v>4</v>
      </c>
      <c r="BJ8" s="4">
        <f t="shared" si="13"/>
        <v>2</v>
      </c>
      <c r="BK8" s="4">
        <f t="shared" si="14"/>
        <v>4</v>
      </c>
      <c r="BL8" s="4">
        <f t="shared" si="15"/>
        <v>2</v>
      </c>
      <c r="BM8" s="4">
        <f t="shared" si="16"/>
        <v>4</v>
      </c>
      <c r="BN8" s="4">
        <f t="shared" si="17"/>
        <v>4</v>
      </c>
      <c r="BO8" s="4">
        <f t="shared" si="18"/>
        <v>4</v>
      </c>
      <c r="BP8" s="4">
        <f t="shared" si="19"/>
        <v>4</v>
      </c>
      <c r="BQ8" s="4">
        <f t="shared" si="20"/>
        <v>6</v>
      </c>
      <c r="BR8" s="4">
        <f t="shared" si="21"/>
        <v>4</v>
      </c>
      <c r="BS8" s="4">
        <f t="shared" si="22"/>
        <v>4</v>
      </c>
      <c r="BT8" s="4">
        <f t="shared" si="23"/>
        <v>4</v>
      </c>
      <c r="BU8" s="4">
        <f t="shared" si="24"/>
        <v>4</v>
      </c>
      <c r="BV8" s="4" t="str">
        <f t="shared" si="25"/>
        <v>0</v>
      </c>
      <c r="BW8" s="4">
        <f t="shared" si="26"/>
        <v>6</v>
      </c>
      <c r="BX8" s="4">
        <f t="shared" si="27"/>
        <v>0</v>
      </c>
      <c r="BY8" s="4">
        <f t="shared" si="28"/>
        <v>0</v>
      </c>
      <c r="BZ8" s="37">
        <f t="shared" si="29"/>
        <v>94</v>
      </c>
      <c r="CA8" s="32" t="str">
        <f>VLOOKUP(J:J,'Agent wise'!A:C,3,0)</f>
        <v>Saran S</v>
      </c>
      <c r="CB8" s="32">
        <f t="shared" si="30"/>
        <v>45931</v>
      </c>
      <c r="CC8" t="str">
        <f t="shared" si="31"/>
        <v>Good</v>
      </c>
      <c r="CE8" s="32"/>
      <c r="CJ8">
        <f t="shared" si="35"/>
        <v>1</v>
      </c>
      <c r="CK8">
        <f t="shared" si="36"/>
        <v>10</v>
      </c>
      <c r="CL8">
        <f t="shared" si="37"/>
        <v>2025</v>
      </c>
    </row>
    <row r="9" spans="1:90" ht="15" customHeight="1" x14ac:dyDescent="0.35">
      <c r="A9" s="40">
        <v>45667.541319444441</v>
      </c>
      <c r="B9" t="s">
        <v>51</v>
      </c>
      <c r="C9" t="s">
        <v>52</v>
      </c>
      <c r="D9" t="s">
        <v>53</v>
      </c>
      <c r="E9" s="32">
        <v>45931</v>
      </c>
      <c r="F9" t="s">
        <v>90</v>
      </c>
      <c r="G9" t="s">
        <v>55</v>
      </c>
      <c r="H9">
        <v>9443178739</v>
      </c>
      <c r="I9">
        <v>211</v>
      </c>
      <c r="J9" t="s">
        <v>91</v>
      </c>
      <c r="K9" t="s">
        <v>71</v>
      </c>
      <c r="L9" t="s">
        <v>72</v>
      </c>
      <c r="M9" t="s">
        <v>59</v>
      </c>
      <c r="N9" t="s">
        <v>59</v>
      </c>
      <c r="O9" t="s">
        <v>59</v>
      </c>
      <c r="P9" t="s">
        <v>59</v>
      </c>
      <c r="Q9" t="s">
        <v>59</v>
      </c>
      <c r="R9" t="s">
        <v>59</v>
      </c>
      <c r="S9" t="s">
        <v>59</v>
      </c>
      <c r="T9" t="s">
        <v>59</v>
      </c>
      <c r="U9" t="s">
        <v>59</v>
      </c>
      <c r="V9" t="s">
        <v>59</v>
      </c>
      <c r="W9" t="s">
        <v>59</v>
      </c>
      <c r="X9" t="s">
        <v>59</v>
      </c>
      <c r="Y9" t="s">
        <v>59</v>
      </c>
      <c r="Z9" t="s">
        <v>59</v>
      </c>
      <c r="AA9" t="s">
        <v>60</v>
      </c>
      <c r="AB9" t="s">
        <v>60</v>
      </c>
      <c r="AC9" t="s">
        <v>60</v>
      </c>
      <c r="AD9" t="s">
        <v>59</v>
      </c>
      <c r="AE9" t="s">
        <v>59</v>
      </c>
      <c r="AF9" t="s">
        <v>61</v>
      </c>
      <c r="AG9" t="s">
        <v>59</v>
      </c>
      <c r="AH9" t="s">
        <v>61</v>
      </c>
      <c r="AI9" t="s">
        <v>61</v>
      </c>
      <c r="AJ9" t="s">
        <v>59</v>
      </c>
      <c r="AK9" t="s">
        <v>61</v>
      </c>
      <c r="AL9" t="s">
        <v>60</v>
      </c>
      <c r="AM9" t="s">
        <v>59</v>
      </c>
      <c r="AN9" t="s">
        <v>59</v>
      </c>
      <c r="AO9" t="s">
        <v>59</v>
      </c>
      <c r="AP9" t="s">
        <v>92</v>
      </c>
      <c r="AQ9" t="s">
        <v>93</v>
      </c>
      <c r="AR9" t="s">
        <v>64</v>
      </c>
      <c r="AS9" t="s">
        <v>94</v>
      </c>
      <c r="AT9" t="s">
        <v>95</v>
      </c>
      <c r="AW9" s="4">
        <f t="shared" si="0"/>
        <v>6</v>
      </c>
      <c r="AX9" s="4">
        <f t="shared" si="1"/>
        <v>4</v>
      </c>
      <c r="AY9" s="4">
        <f t="shared" si="2"/>
        <v>4</v>
      </c>
      <c r="AZ9" s="4">
        <f t="shared" si="3"/>
        <v>2</v>
      </c>
      <c r="BA9" s="4">
        <f t="shared" si="4"/>
        <v>4</v>
      </c>
      <c r="BB9" s="4">
        <f t="shared" si="5"/>
        <v>4</v>
      </c>
      <c r="BC9" s="4">
        <f t="shared" si="6"/>
        <v>4</v>
      </c>
      <c r="BD9" s="4">
        <f t="shared" si="7"/>
        <v>2</v>
      </c>
      <c r="BE9" s="4">
        <f t="shared" si="8"/>
        <v>4</v>
      </c>
      <c r="BF9" s="4">
        <f t="shared" si="9"/>
        <v>2</v>
      </c>
      <c r="BG9" s="4">
        <f t="shared" si="10"/>
        <v>4</v>
      </c>
      <c r="BH9" s="4">
        <f t="shared" si="11"/>
        <v>4</v>
      </c>
      <c r="BI9" s="4">
        <f t="shared" si="12"/>
        <v>4</v>
      </c>
      <c r="BJ9" s="4">
        <f t="shared" si="13"/>
        <v>2</v>
      </c>
      <c r="BK9" s="4" t="str">
        <f t="shared" si="14"/>
        <v>0</v>
      </c>
      <c r="BL9" s="4" t="str">
        <f t="shared" si="15"/>
        <v>0</v>
      </c>
      <c r="BM9" s="4" t="str">
        <f t="shared" si="16"/>
        <v>0</v>
      </c>
      <c r="BN9" s="4">
        <f t="shared" si="17"/>
        <v>4</v>
      </c>
      <c r="BO9" s="4">
        <f t="shared" si="18"/>
        <v>4</v>
      </c>
      <c r="BP9" s="4">
        <f t="shared" si="19"/>
        <v>4</v>
      </c>
      <c r="BQ9" s="4">
        <f t="shared" si="20"/>
        <v>6</v>
      </c>
      <c r="BR9" s="4">
        <f t="shared" si="21"/>
        <v>4</v>
      </c>
      <c r="BS9" s="4">
        <f t="shared" si="22"/>
        <v>4</v>
      </c>
      <c r="BT9" s="4">
        <f t="shared" si="23"/>
        <v>4</v>
      </c>
      <c r="BU9" s="4">
        <f t="shared" si="24"/>
        <v>4</v>
      </c>
      <c r="BV9" s="4" t="str">
        <f t="shared" si="25"/>
        <v>0</v>
      </c>
      <c r="BW9" s="4">
        <f t="shared" si="26"/>
        <v>6</v>
      </c>
      <c r="BX9" s="4">
        <f t="shared" si="27"/>
        <v>0</v>
      </c>
      <c r="BY9" s="4">
        <f t="shared" si="28"/>
        <v>0</v>
      </c>
      <c r="BZ9" s="37">
        <f t="shared" si="29"/>
        <v>90</v>
      </c>
      <c r="CA9" s="32" t="str">
        <f>VLOOKUP(J:J,'Agent wise'!A:C,3,0)</f>
        <v>Saran S</v>
      </c>
      <c r="CB9" s="32">
        <f t="shared" si="30"/>
        <v>45931</v>
      </c>
      <c r="CC9" t="str">
        <f t="shared" si="31"/>
        <v>Good</v>
      </c>
      <c r="CE9" s="32"/>
      <c r="CJ9">
        <f t="shared" si="35"/>
        <v>1</v>
      </c>
      <c r="CK9">
        <f t="shared" si="36"/>
        <v>10</v>
      </c>
      <c r="CL9">
        <f t="shared" si="37"/>
        <v>2025</v>
      </c>
    </row>
    <row r="10" spans="1:90" ht="15" customHeight="1" x14ac:dyDescent="0.35">
      <c r="A10" s="40">
        <v>45667.58390046296</v>
      </c>
      <c r="B10" t="s">
        <v>51</v>
      </c>
      <c r="C10" t="s">
        <v>52</v>
      </c>
      <c r="D10" t="s">
        <v>53</v>
      </c>
      <c r="E10" s="32">
        <v>45931</v>
      </c>
      <c r="F10" t="s">
        <v>90</v>
      </c>
      <c r="G10" t="s">
        <v>55</v>
      </c>
      <c r="H10">
        <v>9698886964</v>
      </c>
      <c r="I10">
        <v>189</v>
      </c>
      <c r="J10" t="s">
        <v>96</v>
      </c>
      <c r="K10" t="s">
        <v>71</v>
      </c>
      <c r="L10" t="s">
        <v>72</v>
      </c>
      <c r="M10" t="s">
        <v>59</v>
      </c>
      <c r="N10" t="s">
        <v>59</v>
      </c>
      <c r="O10" t="s">
        <v>59</v>
      </c>
      <c r="P10" t="s">
        <v>59</v>
      </c>
      <c r="Q10" t="s">
        <v>59</v>
      </c>
      <c r="R10" t="s">
        <v>59</v>
      </c>
      <c r="S10" t="s">
        <v>59</v>
      </c>
      <c r="T10" t="s">
        <v>59</v>
      </c>
      <c r="U10" t="s">
        <v>59</v>
      </c>
      <c r="V10" t="s">
        <v>59</v>
      </c>
      <c r="W10" t="s">
        <v>59</v>
      </c>
      <c r="X10" t="s">
        <v>59</v>
      </c>
      <c r="Y10" t="s">
        <v>59</v>
      </c>
      <c r="Z10" t="s">
        <v>59</v>
      </c>
      <c r="AA10" t="s">
        <v>60</v>
      </c>
      <c r="AB10" t="s">
        <v>60</v>
      </c>
      <c r="AC10" t="s">
        <v>61</v>
      </c>
      <c r="AD10" t="s">
        <v>60</v>
      </c>
      <c r="AE10" t="s">
        <v>59</v>
      </c>
      <c r="AF10" t="s">
        <v>61</v>
      </c>
      <c r="AG10" t="s">
        <v>59</v>
      </c>
      <c r="AH10" t="s">
        <v>61</v>
      </c>
      <c r="AI10" t="s">
        <v>60</v>
      </c>
      <c r="AJ10" t="s">
        <v>59</v>
      </c>
      <c r="AK10" t="s">
        <v>61</v>
      </c>
      <c r="AL10" t="s">
        <v>60</v>
      </c>
      <c r="AM10" t="s">
        <v>59</v>
      </c>
      <c r="AN10" t="s">
        <v>59</v>
      </c>
      <c r="AO10" t="s">
        <v>59</v>
      </c>
      <c r="AP10" t="s">
        <v>97</v>
      </c>
      <c r="AQ10" t="s">
        <v>98</v>
      </c>
      <c r="AR10" t="s">
        <v>64</v>
      </c>
      <c r="AS10" t="s">
        <v>99</v>
      </c>
      <c r="AT10" t="s">
        <v>95</v>
      </c>
      <c r="AW10" s="4">
        <f t="shared" si="0"/>
        <v>6</v>
      </c>
      <c r="AX10" s="4">
        <f t="shared" si="1"/>
        <v>4</v>
      </c>
      <c r="AY10" s="4">
        <f t="shared" si="2"/>
        <v>4</v>
      </c>
      <c r="AZ10" s="4">
        <f t="shared" si="3"/>
        <v>2</v>
      </c>
      <c r="BA10" s="4">
        <f t="shared" si="4"/>
        <v>4</v>
      </c>
      <c r="BB10" s="4">
        <f t="shared" si="5"/>
        <v>4</v>
      </c>
      <c r="BC10" s="4">
        <f t="shared" si="6"/>
        <v>4</v>
      </c>
      <c r="BD10" s="4">
        <f t="shared" si="7"/>
        <v>2</v>
      </c>
      <c r="BE10" s="4">
        <f t="shared" si="8"/>
        <v>4</v>
      </c>
      <c r="BF10" s="4">
        <f t="shared" si="9"/>
        <v>2</v>
      </c>
      <c r="BG10" s="4">
        <f t="shared" si="10"/>
        <v>4</v>
      </c>
      <c r="BH10" s="4">
        <f t="shared" si="11"/>
        <v>4</v>
      </c>
      <c r="BI10" s="4">
        <f t="shared" si="12"/>
        <v>4</v>
      </c>
      <c r="BJ10" s="4">
        <f t="shared" si="13"/>
        <v>2</v>
      </c>
      <c r="BK10" s="4" t="str">
        <f t="shared" si="14"/>
        <v>0</v>
      </c>
      <c r="BL10" s="4" t="str">
        <f t="shared" si="15"/>
        <v>0</v>
      </c>
      <c r="BM10" s="4">
        <f t="shared" si="16"/>
        <v>4</v>
      </c>
      <c r="BN10" s="4" t="str">
        <f t="shared" si="17"/>
        <v>0</v>
      </c>
      <c r="BO10" s="4">
        <f t="shared" si="18"/>
        <v>4</v>
      </c>
      <c r="BP10" s="4">
        <f t="shared" si="19"/>
        <v>4</v>
      </c>
      <c r="BQ10" s="4">
        <f t="shared" si="20"/>
        <v>6</v>
      </c>
      <c r="BR10" s="4">
        <f t="shared" si="21"/>
        <v>4</v>
      </c>
      <c r="BS10" s="4" t="str">
        <f t="shared" si="22"/>
        <v>0</v>
      </c>
      <c r="BT10" s="4">
        <f t="shared" si="23"/>
        <v>4</v>
      </c>
      <c r="BU10" s="4">
        <f t="shared" si="24"/>
        <v>4</v>
      </c>
      <c r="BV10" s="4" t="str">
        <f t="shared" si="25"/>
        <v>0</v>
      </c>
      <c r="BW10" s="4">
        <f t="shared" si="26"/>
        <v>6</v>
      </c>
      <c r="BX10" s="4">
        <f t="shared" si="27"/>
        <v>0</v>
      </c>
      <c r="BY10" s="4">
        <f t="shared" si="28"/>
        <v>0</v>
      </c>
      <c r="BZ10" s="37">
        <f t="shared" si="29"/>
        <v>86</v>
      </c>
      <c r="CA10" s="32" t="str">
        <f>VLOOKUP(J:J,'Agent wise'!A:C,3,0)</f>
        <v xml:space="preserve">Shiny </v>
      </c>
      <c r="CB10" s="32">
        <f t="shared" si="30"/>
        <v>45931</v>
      </c>
      <c r="CC10" t="str">
        <f t="shared" si="31"/>
        <v>Average</v>
      </c>
      <c r="CE10" s="32"/>
      <c r="CJ10">
        <f t="shared" si="35"/>
        <v>1</v>
      </c>
      <c r="CK10">
        <f t="shared" si="36"/>
        <v>10</v>
      </c>
      <c r="CL10">
        <f t="shared" si="37"/>
        <v>2025</v>
      </c>
    </row>
    <row r="11" spans="1:90" ht="15" customHeight="1" x14ac:dyDescent="0.35">
      <c r="A11" s="40">
        <v>45667.732488425929</v>
      </c>
      <c r="B11" t="s">
        <v>100</v>
      </c>
      <c r="C11" t="s">
        <v>52</v>
      </c>
      <c r="D11" t="s">
        <v>101</v>
      </c>
      <c r="E11" s="32">
        <v>45931</v>
      </c>
      <c r="F11" t="s">
        <v>54</v>
      </c>
      <c r="G11" t="s">
        <v>55</v>
      </c>
      <c r="H11">
        <v>8078889156</v>
      </c>
      <c r="I11">
        <v>197</v>
      </c>
      <c r="J11" t="s">
        <v>102</v>
      </c>
      <c r="K11" t="s">
        <v>57</v>
      </c>
      <c r="L11" t="s">
        <v>58</v>
      </c>
      <c r="M11" t="s">
        <v>59</v>
      </c>
      <c r="N11" t="s">
        <v>59</v>
      </c>
      <c r="O11" t="s">
        <v>59</v>
      </c>
      <c r="P11" t="s">
        <v>59</v>
      </c>
      <c r="Q11" t="s">
        <v>59</v>
      </c>
      <c r="R11" t="s">
        <v>60</v>
      </c>
      <c r="S11" t="s">
        <v>59</v>
      </c>
      <c r="T11" t="s">
        <v>59</v>
      </c>
      <c r="U11" t="s">
        <v>60</v>
      </c>
      <c r="V11" t="s">
        <v>59</v>
      </c>
      <c r="W11" t="s">
        <v>59</v>
      </c>
      <c r="X11" t="s">
        <v>59</v>
      </c>
      <c r="Y11" t="s">
        <v>59</v>
      </c>
      <c r="Z11" t="s">
        <v>59</v>
      </c>
      <c r="AA11" t="s">
        <v>60</v>
      </c>
      <c r="AB11" t="s">
        <v>60</v>
      </c>
      <c r="AC11" t="s">
        <v>60</v>
      </c>
      <c r="AD11" t="s">
        <v>59</v>
      </c>
      <c r="AE11" t="s">
        <v>60</v>
      </c>
      <c r="AF11" t="s">
        <v>61</v>
      </c>
      <c r="AG11" t="s">
        <v>60</v>
      </c>
      <c r="AH11" t="s">
        <v>59</v>
      </c>
      <c r="AI11" t="s">
        <v>61</v>
      </c>
      <c r="AJ11" t="s">
        <v>59</v>
      </c>
      <c r="AK11" t="s">
        <v>59</v>
      </c>
      <c r="AL11" t="s">
        <v>60</v>
      </c>
      <c r="AM11" t="s">
        <v>59</v>
      </c>
      <c r="AN11" t="s">
        <v>59</v>
      </c>
      <c r="AO11" t="s">
        <v>60</v>
      </c>
      <c r="AP11" s="1" t="s">
        <v>103</v>
      </c>
      <c r="AQ11" s="1" t="s">
        <v>104</v>
      </c>
      <c r="AR11" t="s">
        <v>64</v>
      </c>
      <c r="AS11" t="s">
        <v>89</v>
      </c>
      <c r="AT11" t="s">
        <v>105</v>
      </c>
      <c r="AW11" s="4">
        <f t="shared" si="0"/>
        <v>6</v>
      </c>
      <c r="AX11" s="4">
        <f t="shared" si="1"/>
        <v>4</v>
      </c>
      <c r="AY11" s="4">
        <f t="shared" si="2"/>
        <v>4</v>
      </c>
      <c r="AZ11" s="4">
        <f t="shared" si="3"/>
        <v>2</v>
      </c>
      <c r="BA11" s="4">
        <f t="shared" si="4"/>
        <v>4</v>
      </c>
      <c r="BB11" s="4" t="str">
        <f t="shared" si="5"/>
        <v>0</v>
      </c>
      <c r="BC11" s="4">
        <f t="shared" si="6"/>
        <v>4</v>
      </c>
      <c r="BD11" s="4">
        <f t="shared" si="7"/>
        <v>2</v>
      </c>
      <c r="BE11" s="4" t="str">
        <f t="shared" si="8"/>
        <v>0</v>
      </c>
      <c r="BF11" s="4">
        <f t="shared" si="9"/>
        <v>2</v>
      </c>
      <c r="BG11" s="4">
        <f t="shared" si="10"/>
        <v>4</v>
      </c>
      <c r="BH11" s="4">
        <f t="shared" si="11"/>
        <v>4</v>
      </c>
      <c r="BI11" s="4">
        <f t="shared" si="12"/>
        <v>4</v>
      </c>
      <c r="BJ11" s="4">
        <f t="shared" si="13"/>
        <v>2</v>
      </c>
      <c r="BK11" s="4" t="str">
        <f t="shared" si="14"/>
        <v>0</v>
      </c>
      <c r="BL11" s="4" t="str">
        <f t="shared" si="15"/>
        <v>0</v>
      </c>
      <c r="BM11" s="4" t="str">
        <f t="shared" si="16"/>
        <v>0</v>
      </c>
      <c r="BN11" s="4">
        <f t="shared" si="17"/>
        <v>4</v>
      </c>
      <c r="BO11" s="4" t="str">
        <f t="shared" si="18"/>
        <v>0</v>
      </c>
      <c r="BP11" s="4">
        <f t="shared" si="19"/>
        <v>4</v>
      </c>
      <c r="BQ11" s="4" t="str">
        <f t="shared" si="20"/>
        <v>0</v>
      </c>
      <c r="BR11" s="4">
        <f t="shared" si="21"/>
        <v>4</v>
      </c>
      <c r="BS11" s="4">
        <f t="shared" si="22"/>
        <v>4</v>
      </c>
      <c r="BT11" s="4">
        <f t="shared" si="23"/>
        <v>4</v>
      </c>
      <c r="BU11" s="4">
        <f t="shared" si="24"/>
        <v>4</v>
      </c>
      <c r="BV11" s="4" t="str">
        <f t="shared" si="25"/>
        <v>0</v>
      </c>
      <c r="BW11" s="4">
        <f t="shared" si="26"/>
        <v>6</v>
      </c>
      <c r="BX11" s="4">
        <f t="shared" si="27"/>
        <v>0</v>
      </c>
      <c r="BY11" s="4" t="str">
        <f t="shared" si="28"/>
        <v>0</v>
      </c>
      <c r="BZ11" s="37">
        <f t="shared" si="29"/>
        <v>72</v>
      </c>
      <c r="CA11" s="32" t="str">
        <f>VLOOKUP(J:J,'Agent wise'!A:C,3,0)</f>
        <v>Shakeer</v>
      </c>
      <c r="CB11" s="32">
        <f t="shared" si="30"/>
        <v>45931</v>
      </c>
      <c r="CC11" t="str">
        <f t="shared" si="31"/>
        <v>FC</v>
      </c>
      <c r="CE11" s="32"/>
      <c r="CJ11">
        <f t="shared" si="35"/>
        <v>1</v>
      </c>
      <c r="CK11">
        <f t="shared" si="36"/>
        <v>10</v>
      </c>
      <c r="CL11">
        <f t="shared" si="37"/>
        <v>2025</v>
      </c>
    </row>
    <row r="12" spans="1:90" ht="15" customHeight="1" x14ac:dyDescent="0.35">
      <c r="A12" s="40">
        <v>45667.93346064815</v>
      </c>
      <c r="B12" t="s">
        <v>106</v>
      </c>
      <c r="C12" t="s">
        <v>52</v>
      </c>
      <c r="D12" t="s">
        <v>107</v>
      </c>
      <c r="E12" s="32">
        <v>45931</v>
      </c>
      <c r="F12" t="s">
        <v>54</v>
      </c>
      <c r="G12" s="2">
        <v>45667</v>
      </c>
      <c r="H12">
        <v>9443654944</v>
      </c>
      <c r="I12">
        <v>145</v>
      </c>
      <c r="J12" t="s">
        <v>108</v>
      </c>
      <c r="K12" t="s">
        <v>71</v>
      </c>
      <c r="L12" t="s">
        <v>72</v>
      </c>
      <c r="M12" t="s">
        <v>59</v>
      </c>
      <c r="N12" t="s">
        <v>59</v>
      </c>
      <c r="O12" t="s">
        <v>60</v>
      </c>
      <c r="P12" t="s">
        <v>59</v>
      </c>
      <c r="Q12" t="s">
        <v>59</v>
      </c>
      <c r="R12" t="s">
        <v>59</v>
      </c>
      <c r="S12" t="s">
        <v>59</v>
      </c>
      <c r="T12" t="s">
        <v>59</v>
      </c>
      <c r="U12" t="s">
        <v>60</v>
      </c>
      <c r="V12" t="s">
        <v>59</v>
      </c>
      <c r="W12" t="s">
        <v>59</v>
      </c>
      <c r="X12" t="s">
        <v>61</v>
      </c>
      <c r="Y12" t="s">
        <v>59</v>
      </c>
      <c r="Z12" t="s">
        <v>59</v>
      </c>
      <c r="AA12" t="s">
        <v>60</v>
      </c>
      <c r="AB12" t="s">
        <v>60</v>
      </c>
      <c r="AC12" t="s">
        <v>61</v>
      </c>
      <c r="AD12" t="s">
        <v>59</v>
      </c>
      <c r="AE12" t="s">
        <v>59</v>
      </c>
      <c r="AF12" t="s">
        <v>61</v>
      </c>
      <c r="AG12" t="s">
        <v>59</v>
      </c>
      <c r="AH12" t="s">
        <v>61</v>
      </c>
      <c r="AI12" t="s">
        <v>61</v>
      </c>
      <c r="AJ12" t="s">
        <v>59</v>
      </c>
      <c r="AK12" t="s">
        <v>59</v>
      </c>
      <c r="AL12" t="s">
        <v>60</v>
      </c>
      <c r="AM12" t="s">
        <v>59</v>
      </c>
      <c r="AN12" t="s">
        <v>59</v>
      </c>
      <c r="AO12" t="s">
        <v>59</v>
      </c>
      <c r="AP12" t="s">
        <v>109</v>
      </c>
      <c r="AQ12" t="s">
        <v>110</v>
      </c>
      <c r="AR12" t="s">
        <v>64</v>
      </c>
      <c r="AS12" t="s">
        <v>111</v>
      </c>
      <c r="AT12" t="s">
        <v>112</v>
      </c>
      <c r="AW12" s="4">
        <f t="shared" si="0"/>
        <v>6</v>
      </c>
      <c r="AX12" s="4">
        <f t="shared" si="1"/>
        <v>4</v>
      </c>
      <c r="AY12" s="4" t="str">
        <f t="shared" si="2"/>
        <v>0</v>
      </c>
      <c r="AZ12" s="4">
        <f t="shared" si="3"/>
        <v>2</v>
      </c>
      <c r="BA12" s="4">
        <f t="shared" si="4"/>
        <v>4</v>
      </c>
      <c r="BB12" s="4">
        <f t="shared" si="5"/>
        <v>4</v>
      </c>
      <c r="BC12" s="4">
        <f t="shared" si="6"/>
        <v>4</v>
      </c>
      <c r="BD12" s="4">
        <f t="shared" si="7"/>
        <v>2</v>
      </c>
      <c r="BE12" s="4" t="str">
        <f t="shared" si="8"/>
        <v>0</v>
      </c>
      <c r="BF12" s="4">
        <f t="shared" si="9"/>
        <v>2</v>
      </c>
      <c r="BG12" s="4">
        <f t="shared" si="10"/>
        <v>4</v>
      </c>
      <c r="BH12" s="4">
        <f t="shared" si="11"/>
        <v>4</v>
      </c>
      <c r="BI12" s="4">
        <f t="shared" si="12"/>
        <v>4</v>
      </c>
      <c r="BJ12" s="4">
        <f t="shared" si="13"/>
        <v>2</v>
      </c>
      <c r="BK12" s="4" t="str">
        <f t="shared" si="14"/>
        <v>0</v>
      </c>
      <c r="BL12" s="4" t="str">
        <f t="shared" si="15"/>
        <v>0</v>
      </c>
      <c r="BM12" s="4">
        <f t="shared" si="16"/>
        <v>4</v>
      </c>
      <c r="BN12" s="4">
        <f t="shared" si="17"/>
        <v>4</v>
      </c>
      <c r="BO12" s="4">
        <f t="shared" si="18"/>
        <v>4</v>
      </c>
      <c r="BP12" s="4">
        <f t="shared" si="19"/>
        <v>4</v>
      </c>
      <c r="BQ12" s="4">
        <f t="shared" si="20"/>
        <v>6</v>
      </c>
      <c r="BR12" s="4">
        <f t="shared" si="21"/>
        <v>4</v>
      </c>
      <c r="BS12" s="4">
        <f t="shared" si="22"/>
        <v>4</v>
      </c>
      <c r="BT12" s="4">
        <f t="shared" si="23"/>
        <v>4</v>
      </c>
      <c r="BU12" s="4">
        <f t="shared" si="24"/>
        <v>4</v>
      </c>
      <c r="BV12" s="4" t="str">
        <f t="shared" si="25"/>
        <v>0</v>
      </c>
      <c r="BW12" s="4">
        <f t="shared" si="26"/>
        <v>6</v>
      </c>
      <c r="BX12" s="4">
        <f t="shared" si="27"/>
        <v>0</v>
      </c>
      <c r="BY12" s="4">
        <f t="shared" si="28"/>
        <v>0</v>
      </c>
      <c r="BZ12" s="37">
        <f t="shared" si="29"/>
        <v>86</v>
      </c>
      <c r="CA12" s="32" t="str">
        <f>VLOOKUP(J:J,'Agent wise'!A:C,3,0)</f>
        <v xml:space="preserve">Shiny </v>
      </c>
      <c r="CB12" s="32">
        <f t="shared" si="30"/>
        <v>45931</v>
      </c>
      <c r="CC12" t="str">
        <f t="shared" si="31"/>
        <v>Average</v>
      </c>
      <c r="CE12" s="32"/>
      <c r="CJ12">
        <f t="shared" si="35"/>
        <v>1</v>
      </c>
      <c r="CK12">
        <f t="shared" si="36"/>
        <v>10</v>
      </c>
      <c r="CL12">
        <f t="shared" si="37"/>
        <v>2025</v>
      </c>
    </row>
    <row r="13" spans="1:90" ht="15" customHeight="1" x14ac:dyDescent="0.35">
      <c r="A13" s="40">
        <v>45667.935381944437</v>
      </c>
      <c r="B13" t="s">
        <v>106</v>
      </c>
      <c r="C13" t="s">
        <v>52</v>
      </c>
      <c r="D13" t="s">
        <v>107</v>
      </c>
      <c r="E13" s="32">
        <v>45931</v>
      </c>
      <c r="F13" t="s">
        <v>54</v>
      </c>
      <c r="G13" s="2">
        <v>45667</v>
      </c>
      <c r="H13">
        <v>7550281435</v>
      </c>
      <c r="I13">
        <v>145</v>
      </c>
      <c r="J13" t="s">
        <v>108</v>
      </c>
      <c r="K13" t="s">
        <v>71</v>
      </c>
      <c r="L13" t="s">
        <v>72</v>
      </c>
      <c r="M13" t="s">
        <v>59</v>
      </c>
      <c r="N13" t="s">
        <v>59</v>
      </c>
      <c r="O13" t="s">
        <v>59</v>
      </c>
      <c r="P13" t="s">
        <v>59</v>
      </c>
      <c r="Q13" t="s">
        <v>59</v>
      </c>
      <c r="R13" t="s">
        <v>59</v>
      </c>
      <c r="S13" t="s">
        <v>59</v>
      </c>
      <c r="T13" t="s">
        <v>59</v>
      </c>
      <c r="U13" t="s">
        <v>60</v>
      </c>
      <c r="V13" t="s">
        <v>59</v>
      </c>
      <c r="W13" t="s">
        <v>59</v>
      </c>
      <c r="X13" t="s">
        <v>61</v>
      </c>
      <c r="Y13" t="s">
        <v>59</v>
      </c>
      <c r="Z13" t="s">
        <v>60</v>
      </c>
      <c r="AA13" t="s">
        <v>60</v>
      </c>
      <c r="AB13" t="s">
        <v>60</v>
      </c>
      <c r="AC13" t="s">
        <v>61</v>
      </c>
      <c r="AD13" t="s">
        <v>61</v>
      </c>
      <c r="AE13" t="s">
        <v>59</v>
      </c>
      <c r="AF13" t="s">
        <v>61</v>
      </c>
      <c r="AG13" t="s">
        <v>59</v>
      </c>
      <c r="AH13" t="s">
        <v>61</v>
      </c>
      <c r="AI13" t="s">
        <v>61</v>
      </c>
      <c r="AJ13" t="s">
        <v>59</v>
      </c>
      <c r="AK13" t="s">
        <v>59</v>
      </c>
      <c r="AL13" t="s">
        <v>60</v>
      </c>
      <c r="AM13" t="s">
        <v>59</v>
      </c>
      <c r="AN13" t="s">
        <v>59</v>
      </c>
      <c r="AO13" t="s">
        <v>59</v>
      </c>
      <c r="AP13" t="s">
        <v>113</v>
      </c>
      <c r="AQ13" t="s">
        <v>114</v>
      </c>
      <c r="AR13" t="s">
        <v>64</v>
      </c>
      <c r="AS13" t="s">
        <v>115</v>
      </c>
      <c r="AT13" t="s">
        <v>116</v>
      </c>
      <c r="AW13" s="4">
        <f t="shared" si="0"/>
        <v>6</v>
      </c>
      <c r="AX13" s="4">
        <f t="shared" si="1"/>
        <v>4</v>
      </c>
      <c r="AY13" s="4">
        <f t="shared" si="2"/>
        <v>4</v>
      </c>
      <c r="AZ13" s="4">
        <f t="shared" si="3"/>
        <v>2</v>
      </c>
      <c r="BA13" s="4">
        <f t="shared" si="4"/>
        <v>4</v>
      </c>
      <c r="BB13" s="4">
        <f t="shared" si="5"/>
        <v>4</v>
      </c>
      <c r="BC13" s="4">
        <f t="shared" si="6"/>
        <v>4</v>
      </c>
      <c r="BD13" s="4">
        <f t="shared" si="7"/>
        <v>2</v>
      </c>
      <c r="BE13" s="4" t="str">
        <f t="shared" si="8"/>
        <v>0</v>
      </c>
      <c r="BF13" s="4">
        <f t="shared" si="9"/>
        <v>2</v>
      </c>
      <c r="BG13" s="4">
        <f t="shared" si="10"/>
        <v>4</v>
      </c>
      <c r="BH13" s="4">
        <f t="shared" si="11"/>
        <v>4</v>
      </c>
      <c r="BI13" s="4">
        <f t="shared" si="12"/>
        <v>4</v>
      </c>
      <c r="BJ13" s="4" t="str">
        <f t="shared" si="13"/>
        <v>0</v>
      </c>
      <c r="BK13" s="4" t="str">
        <f t="shared" si="14"/>
        <v>0</v>
      </c>
      <c r="BL13" s="4" t="str">
        <f t="shared" si="15"/>
        <v>0</v>
      </c>
      <c r="BM13" s="4">
        <f t="shared" si="16"/>
        <v>4</v>
      </c>
      <c r="BN13" s="4">
        <f t="shared" si="17"/>
        <v>4</v>
      </c>
      <c r="BO13" s="4">
        <f t="shared" si="18"/>
        <v>4</v>
      </c>
      <c r="BP13" s="4">
        <f t="shared" si="19"/>
        <v>4</v>
      </c>
      <c r="BQ13" s="4">
        <f t="shared" si="20"/>
        <v>6</v>
      </c>
      <c r="BR13" s="4">
        <f t="shared" si="21"/>
        <v>4</v>
      </c>
      <c r="BS13" s="4">
        <f t="shared" si="22"/>
        <v>4</v>
      </c>
      <c r="BT13" s="4">
        <f t="shared" si="23"/>
        <v>4</v>
      </c>
      <c r="BU13" s="4">
        <f t="shared" si="24"/>
        <v>4</v>
      </c>
      <c r="BV13" s="4" t="str">
        <f t="shared" si="25"/>
        <v>0</v>
      </c>
      <c r="BW13" s="4">
        <f t="shared" si="26"/>
        <v>6</v>
      </c>
      <c r="BX13" s="4">
        <f t="shared" si="27"/>
        <v>0</v>
      </c>
      <c r="BY13" s="4">
        <f t="shared" si="28"/>
        <v>0</v>
      </c>
      <c r="BZ13" s="37">
        <f t="shared" si="29"/>
        <v>88</v>
      </c>
      <c r="CA13" s="32" t="str">
        <f>VLOOKUP(J:J,'Agent wise'!A:C,3,0)</f>
        <v xml:space="preserve">Shiny </v>
      </c>
      <c r="CB13" s="32">
        <f t="shared" si="30"/>
        <v>45931</v>
      </c>
      <c r="CC13" t="str">
        <f t="shared" si="31"/>
        <v>Average</v>
      </c>
      <c r="CE13" s="32"/>
      <c r="CJ13">
        <f t="shared" si="35"/>
        <v>1</v>
      </c>
      <c r="CK13">
        <f t="shared" si="36"/>
        <v>10</v>
      </c>
      <c r="CL13">
        <f t="shared" si="37"/>
        <v>2025</v>
      </c>
    </row>
    <row r="14" spans="1:90" ht="15" customHeight="1" x14ac:dyDescent="0.35">
      <c r="A14" s="40">
        <v>45667.940752314818</v>
      </c>
      <c r="B14" t="s">
        <v>106</v>
      </c>
      <c r="C14" t="s">
        <v>52</v>
      </c>
      <c r="D14" t="s">
        <v>107</v>
      </c>
      <c r="E14" s="32">
        <v>45931</v>
      </c>
      <c r="F14" t="s">
        <v>54</v>
      </c>
      <c r="G14" s="2">
        <v>45667</v>
      </c>
      <c r="H14">
        <v>9495225276</v>
      </c>
      <c r="I14">
        <v>155</v>
      </c>
      <c r="J14" t="s">
        <v>117</v>
      </c>
      <c r="K14" t="s">
        <v>57</v>
      </c>
      <c r="L14" t="s">
        <v>58</v>
      </c>
      <c r="M14" t="s">
        <v>59</v>
      </c>
      <c r="N14" t="s">
        <v>59</v>
      </c>
      <c r="O14" t="s">
        <v>59</v>
      </c>
      <c r="P14" t="s">
        <v>59</v>
      </c>
      <c r="Q14" t="s">
        <v>59</v>
      </c>
      <c r="R14" t="s">
        <v>59</v>
      </c>
      <c r="S14" t="s">
        <v>59</v>
      </c>
      <c r="T14" t="s">
        <v>59</v>
      </c>
      <c r="U14" t="s">
        <v>60</v>
      </c>
      <c r="V14" t="s">
        <v>59</v>
      </c>
      <c r="W14" t="s">
        <v>59</v>
      </c>
      <c r="X14" t="s">
        <v>61</v>
      </c>
      <c r="Y14" t="s">
        <v>59</v>
      </c>
      <c r="Z14" t="s">
        <v>59</v>
      </c>
      <c r="AA14" t="s">
        <v>60</v>
      </c>
      <c r="AB14" t="s">
        <v>60</v>
      </c>
      <c r="AC14" t="s">
        <v>60</v>
      </c>
      <c r="AD14" t="s">
        <v>61</v>
      </c>
      <c r="AE14" t="s">
        <v>59</v>
      </c>
      <c r="AF14" t="s">
        <v>61</v>
      </c>
      <c r="AG14" t="s">
        <v>59</v>
      </c>
      <c r="AH14" t="s">
        <v>61</v>
      </c>
      <c r="AI14" t="s">
        <v>61</v>
      </c>
      <c r="AJ14" t="s">
        <v>59</v>
      </c>
      <c r="AK14" t="s">
        <v>59</v>
      </c>
      <c r="AL14" t="s">
        <v>60</v>
      </c>
      <c r="AM14" t="s">
        <v>59</v>
      </c>
      <c r="AN14" t="s">
        <v>59</v>
      </c>
      <c r="AO14" t="s">
        <v>59</v>
      </c>
      <c r="AP14" t="s">
        <v>118</v>
      </c>
      <c r="AQ14" t="s">
        <v>119</v>
      </c>
      <c r="AR14" t="s">
        <v>64</v>
      </c>
      <c r="AS14" t="s">
        <v>111</v>
      </c>
      <c r="AT14" t="s">
        <v>112</v>
      </c>
      <c r="AW14" s="4">
        <f t="shared" si="0"/>
        <v>6</v>
      </c>
      <c r="AX14" s="4">
        <f t="shared" si="1"/>
        <v>4</v>
      </c>
      <c r="AY14" s="4">
        <f t="shared" si="2"/>
        <v>4</v>
      </c>
      <c r="AZ14" s="4">
        <f t="shared" si="3"/>
        <v>2</v>
      </c>
      <c r="BA14" s="4">
        <f t="shared" si="4"/>
        <v>4</v>
      </c>
      <c r="BB14" s="4">
        <f t="shared" si="5"/>
        <v>4</v>
      </c>
      <c r="BC14" s="4">
        <f t="shared" si="6"/>
        <v>4</v>
      </c>
      <c r="BD14" s="4">
        <f t="shared" si="7"/>
        <v>2</v>
      </c>
      <c r="BE14" s="4" t="str">
        <f t="shared" si="8"/>
        <v>0</v>
      </c>
      <c r="BF14" s="4">
        <f t="shared" si="9"/>
        <v>2</v>
      </c>
      <c r="BG14" s="4">
        <f t="shared" si="10"/>
        <v>4</v>
      </c>
      <c r="BH14" s="4">
        <f t="shared" si="11"/>
        <v>4</v>
      </c>
      <c r="BI14" s="4">
        <f t="shared" si="12"/>
        <v>4</v>
      </c>
      <c r="BJ14" s="4">
        <f t="shared" si="13"/>
        <v>2</v>
      </c>
      <c r="BK14" s="4" t="str">
        <f t="shared" si="14"/>
        <v>0</v>
      </c>
      <c r="BL14" s="4" t="str">
        <f t="shared" si="15"/>
        <v>0</v>
      </c>
      <c r="BM14" s="4" t="str">
        <f t="shared" si="16"/>
        <v>0</v>
      </c>
      <c r="BN14" s="4">
        <f t="shared" si="17"/>
        <v>4</v>
      </c>
      <c r="BO14" s="4">
        <f t="shared" si="18"/>
        <v>4</v>
      </c>
      <c r="BP14" s="4">
        <f t="shared" si="19"/>
        <v>4</v>
      </c>
      <c r="BQ14" s="4">
        <f t="shared" si="20"/>
        <v>6</v>
      </c>
      <c r="BR14" s="4">
        <f t="shared" si="21"/>
        <v>4</v>
      </c>
      <c r="BS14" s="4">
        <f t="shared" si="22"/>
        <v>4</v>
      </c>
      <c r="BT14" s="4">
        <f t="shared" si="23"/>
        <v>4</v>
      </c>
      <c r="BU14" s="4">
        <f t="shared" si="24"/>
        <v>4</v>
      </c>
      <c r="BV14" s="4" t="str">
        <f t="shared" si="25"/>
        <v>0</v>
      </c>
      <c r="BW14" s="4">
        <f t="shared" si="26"/>
        <v>6</v>
      </c>
      <c r="BX14" s="4">
        <f t="shared" si="27"/>
        <v>0</v>
      </c>
      <c r="BY14" s="4">
        <f t="shared" si="28"/>
        <v>0</v>
      </c>
      <c r="BZ14" s="37">
        <f t="shared" si="29"/>
        <v>86</v>
      </c>
      <c r="CA14" s="32" t="str">
        <f>VLOOKUP(J:J,'Agent wise'!A:C,3,0)</f>
        <v>Saran S</v>
      </c>
      <c r="CB14" s="32">
        <f t="shared" si="30"/>
        <v>45931</v>
      </c>
      <c r="CC14" t="str">
        <f t="shared" si="31"/>
        <v>Average</v>
      </c>
      <c r="CE14" s="32"/>
      <c r="CJ14">
        <f t="shared" si="35"/>
        <v>1</v>
      </c>
      <c r="CK14">
        <f t="shared" si="36"/>
        <v>10</v>
      </c>
      <c r="CL14">
        <f t="shared" si="37"/>
        <v>2025</v>
      </c>
    </row>
    <row r="15" spans="1:90" ht="15" customHeight="1" x14ac:dyDescent="0.35">
      <c r="A15" s="40">
        <v>45667.947881944441</v>
      </c>
      <c r="B15" t="s">
        <v>106</v>
      </c>
      <c r="C15" t="s">
        <v>52</v>
      </c>
      <c r="D15" t="s">
        <v>107</v>
      </c>
      <c r="E15" s="32">
        <v>45931</v>
      </c>
      <c r="F15" t="s">
        <v>54</v>
      </c>
      <c r="G15" s="2">
        <v>45667</v>
      </c>
      <c r="H15">
        <v>9496541608</v>
      </c>
      <c r="I15">
        <v>161</v>
      </c>
      <c r="J15" t="s">
        <v>117</v>
      </c>
      <c r="K15" t="s">
        <v>57</v>
      </c>
      <c r="L15" t="s">
        <v>58</v>
      </c>
      <c r="M15" t="s">
        <v>59</v>
      </c>
      <c r="N15" t="s">
        <v>59</v>
      </c>
      <c r="O15" t="s">
        <v>59</v>
      </c>
      <c r="P15" t="s">
        <v>59</v>
      </c>
      <c r="Q15" t="s">
        <v>59</v>
      </c>
      <c r="R15" t="s">
        <v>59</v>
      </c>
      <c r="S15" t="s">
        <v>59</v>
      </c>
      <c r="T15" t="s">
        <v>59</v>
      </c>
      <c r="U15" t="s">
        <v>60</v>
      </c>
      <c r="V15" t="s">
        <v>59</v>
      </c>
      <c r="W15" t="s">
        <v>59</v>
      </c>
      <c r="X15" t="s">
        <v>61</v>
      </c>
      <c r="Y15" t="s">
        <v>59</v>
      </c>
      <c r="Z15" t="s">
        <v>59</v>
      </c>
      <c r="AA15" t="s">
        <v>60</v>
      </c>
      <c r="AB15" t="s">
        <v>60</v>
      </c>
      <c r="AC15" t="s">
        <v>60</v>
      </c>
      <c r="AD15" t="s">
        <v>61</v>
      </c>
      <c r="AE15" t="s">
        <v>59</v>
      </c>
      <c r="AF15" t="s">
        <v>61</v>
      </c>
      <c r="AG15" t="s">
        <v>59</v>
      </c>
      <c r="AH15" t="s">
        <v>61</v>
      </c>
      <c r="AI15" t="s">
        <v>59</v>
      </c>
      <c r="AJ15" t="s">
        <v>59</v>
      </c>
      <c r="AK15" t="s">
        <v>59</v>
      </c>
      <c r="AL15" t="s">
        <v>60</v>
      </c>
      <c r="AM15" t="s">
        <v>59</v>
      </c>
      <c r="AN15" t="s">
        <v>59</v>
      </c>
      <c r="AO15" t="s">
        <v>59</v>
      </c>
      <c r="AP15" t="s">
        <v>120</v>
      </c>
      <c r="AQ15" t="s">
        <v>121</v>
      </c>
      <c r="AR15" t="s">
        <v>64</v>
      </c>
      <c r="AS15" t="s">
        <v>122</v>
      </c>
      <c r="AT15" t="s">
        <v>123</v>
      </c>
      <c r="AW15" s="4">
        <f t="shared" si="0"/>
        <v>6</v>
      </c>
      <c r="AX15" s="4">
        <f t="shared" si="1"/>
        <v>4</v>
      </c>
      <c r="AY15" s="4">
        <f t="shared" si="2"/>
        <v>4</v>
      </c>
      <c r="AZ15" s="4">
        <f t="shared" si="3"/>
        <v>2</v>
      </c>
      <c r="BA15" s="4">
        <f t="shared" si="4"/>
        <v>4</v>
      </c>
      <c r="BB15" s="4">
        <f t="shared" si="5"/>
        <v>4</v>
      </c>
      <c r="BC15" s="4">
        <f t="shared" si="6"/>
        <v>4</v>
      </c>
      <c r="BD15" s="4">
        <f t="shared" si="7"/>
        <v>2</v>
      </c>
      <c r="BE15" s="4" t="str">
        <f t="shared" si="8"/>
        <v>0</v>
      </c>
      <c r="BF15" s="4">
        <f t="shared" si="9"/>
        <v>2</v>
      </c>
      <c r="BG15" s="4">
        <f t="shared" si="10"/>
        <v>4</v>
      </c>
      <c r="BH15" s="4">
        <f t="shared" si="11"/>
        <v>4</v>
      </c>
      <c r="BI15" s="4">
        <f t="shared" si="12"/>
        <v>4</v>
      </c>
      <c r="BJ15" s="4">
        <f t="shared" si="13"/>
        <v>2</v>
      </c>
      <c r="BK15" s="4" t="str">
        <f t="shared" si="14"/>
        <v>0</v>
      </c>
      <c r="BL15" s="4" t="str">
        <f t="shared" si="15"/>
        <v>0</v>
      </c>
      <c r="BM15" s="4" t="str">
        <f t="shared" si="16"/>
        <v>0</v>
      </c>
      <c r="BN15" s="4">
        <f t="shared" si="17"/>
        <v>4</v>
      </c>
      <c r="BO15" s="4">
        <f t="shared" si="18"/>
        <v>4</v>
      </c>
      <c r="BP15" s="4">
        <f t="shared" si="19"/>
        <v>4</v>
      </c>
      <c r="BQ15" s="4">
        <f t="shared" si="20"/>
        <v>6</v>
      </c>
      <c r="BR15" s="4">
        <f t="shared" si="21"/>
        <v>4</v>
      </c>
      <c r="BS15" s="4">
        <f t="shared" si="22"/>
        <v>4</v>
      </c>
      <c r="BT15" s="4">
        <f t="shared" si="23"/>
        <v>4</v>
      </c>
      <c r="BU15" s="4">
        <f t="shared" si="24"/>
        <v>4</v>
      </c>
      <c r="BV15" s="4" t="str">
        <f t="shared" si="25"/>
        <v>0</v>
      </c>
      <c r="BW15" s="4">
        <f t="shared" si="26"/>
        <v>6</v>
      </c>
      <c r="BX15" s="4">
        <f t="shared" si="27"/>
        <v>0</v>
      </c>
      <c r="BY15" s="4">
        <f t="shared" si="28"/>
        <v>0</v>
      </c>
      <c r="BZ15" s="37">
        <f t="shared" si="29"/>
        <v>86</v>
      </c>
      <c r="CA15" s="32" t="str">
        <f>VLOOKUP(J:J,'Agent wise'!A:C,3,0)</f>
        <v>Saran S</v>
      </c>
      <c r="CB15" s="32">
        <f t="shared" si="30"/>
        <v>45931</v>
      </c>
      <c r="CC15" t="str">
        <f t="shared" si="31"/>
        <v>Average</v>
      </c>
      <c r="CE15" s="32"/>
      <c r="CJ15">
        <f t="shared" si="35"/>
        <v>1</v>
      </c>
      <c r="CK15">
        <f t="shared" si="36"/>
        <v>10</v>
      </c>
      <c r="CL15">
        <f t="shared" si="37"/>
        <v>2025</v>
      </c>
    </row>
    <row r="16" spans="1:90" ht="15" customHeight="1" x14ac:dyDescent="0.35">
      <c r="A16" s="40">
        <v>45667.950289351851</v>
      </c>
      <c r="B16" t="s">
        <v>106</v>
      </c>
      <c r="C16" t="s">
        <v>52</v>
      </c>
      <c r="D16" t="s">
        <v>107</v>
      </c>
      <c r="E16" s="32">
        <v>45931</v>
      </c>
      <c r="F16" t="s">
        <v>54</v>
      </c>
      <c r="G16" s="2">
        <v>45667</v>
      </c>
      <c r="H16">
        <v>8122448625</v>
      </c>
      <c r="I16">
        <v>148</v>
      </c>
      <c r="J16" t="s">
        <v>124</v>
      </c>
      <c r="K16" t="s">
        <v>71</v>
      </c>
      <c r="L16" t="s">
        <v>72</v>
      </c>
      <c r="M16" t="s">
        <v>59</v>
      </c>
      <c r="N16" t="s">
        <v>59</v>
      </c>
      <c r="O16" t="s">
        <v>59</v>
      </c>
      <c r="P16" t="s">
        <v>59</v>
      </c>
      <c r="Q16" t="s">
        <v>59</v>
      </c>
      <c r="R16" t="s">
        <v>59</v>
      </c>
      <c r="S16" t="s">
        <v>59</v>
      </c>
      <c r="T16" t="s">
        <v>59</v>
      </c>
      <c r="U16" t="s">
        <v>60</v>
      </c>
      <c r="V16" t="s">
        <v>59</v>
      </c>
      <c r="W16" t="s">
        <v>59</v>
      </c>
      <c r="X16" t="s">
        <v>61</v>
      </c>
      <c r="Y16" t="s">
        <v>59</v>
      </c>
      <c r="Z16" t="s">
        <v>59</v>
      </c>
      <c r="AA16" t="s">
        <v>60</v>
      </c>
      <c r="AB16" t="s">
        <v>60</v>
      </c>
      <c r="AC16" t="s">
        <v>61</v>
      </c>
      <c r="AD16" t="s">
        <v>59</v>
      </c>
      <c r="AE16" t="s">
        <v>59</v>
      </c>
      <c r="AF16" t="s">
        <v>61</v>
      </c>
      <c r="AG16" t="s">
        <v>59</v>
      </c>
      <c r="AH16" t="s">
        <v>61</v>
      </c>
      <c r="AI16" t="s">
        <v>61</v>
      </c>
      <c r="AJ16" t="s">
        <v>59</v>
      </c>
      <c r="AK16" t="s">
        <v>59</v>
      </c>
      <c r="AL16" t="s">
        <v>60</v>
      </c>
      <c r="AM16" t="s">
        <v>59</v>
      </c>
      <c r="AN16" t="s">
        <v>59</v>
      </c>
      <c r="AO16" t="s">
        <v>59</v>
      </c>
      <c r="AP16" t="s">
        <v>125</v>
      </c>
      <c r="AQ16" t="s">
        <v>126</v>
      </c>
      <c r="AR16" t="s">
        <v>64</v>
      </c>
      <c r="AS16" t="s">
        <v>127</v>
      </c>
      <c r="AT16" t="s">
        <v>128</v>
      </c>
      <c r="AW16" s="4">
        <f t="shared" si="0"/>
        <v>6</v>
      </c>
      <c r="AX16" s="4">
        <f t="shared" si="1"/>
        <v>4</v>
      </c>
      <c r="AY16" s="4">
        <f t="shared" si="2"/>
        <v>4</v>
      </c>
      <c r="AZ16" s="4">
        <f t="shared" si="3"/>
        <v>2</v>
      </c>
      <c r="BA16" s="4">
        <f t="shared" si="4"/>
        <v>4</v>
      </c>
      <c r="BB16" s="4">
        <f t="shared" si="5"/>
        <v>4</v>
      </c>
      <c r="BC16" s="4">
        <f t="shared" si="6"/>
        <v>4</v>
      </c>
      <c r="BD16" s="4">
        <f t="shared" si="7"/>
        <v>2</v>
      </c>
      <c r="BE16" s="4" t="str">
        <f t="shared" si="8"/>
        <v>0</v>
      </c>
      <c r="BF16" s="4">
        <f t="shared" si="9"/>
        <v>2</v>
      </c>
      <c r="BG16" s="4">
        <f t="shared" si="10"/>
        <v>4</v>
      </c>
      <c r="BH16" s="4">
        <f t="shared" si="11"/>
        <v>4</v>
      </c>
      <c r="BI16" s="4">
        <f t="shared" si="12"/>
        <v>4</v>
      </c>
      <c r="BJ16" s="4">
        <f t="shared" si="13"/>
        <v>2</v>
      </c>
      <c r="BK16" s="4" t="str">
        <f t="shared" si="14"/>
        <v>0</v>
      </c>
      <c r="BL16" s="4" t="str">
        <f t="shared" si="15"/>
        <v>0</v>
      </c>
      <c r="BM16" s="4">
        <f t="shared" si="16"/>
        <v>4</v>
      </c>
      <c r="BN16" s="4">
        <f t="shared" si="17"/>
        <v>4</v>
      </c>
      <c r="BO16" s="4">
        <f t="shared" si="18"/>
        <v>4</v>
      </c>
      <c r="BP16" s="4">
        <f t="shared" si="19"/>
        <v>4</v>
      </c>
      <c r="BQ16" s="4">
        <f t="shared" si="20"/>
        <v>6</v>
      </c>
      <c r="BR16" s="4">
        <f t="shared" si="21"/>
        <v>4</v>
      </c>
      <c r="BS16" s="4">
        <f t="shared" si="22"/>
        <v>4</v>
      </c>
      <c r="BT16" s="4">
        <f t="shared" si="23"/>
        <v>4</v>
      </c>
      <c r="BU16" s="4">
        <f t="shared" si="24"/>
        <v>4</v>
      </c>
      <c r="BV16" s="4" t="str">
        <f t="shared" si="25"/>
        <v>0</v>
      </c>
      <c r="BW16" s="4">
        <f t="shared" si="26"/>
        <v>6</v>
      </c>
      <c r="BX16" s="4">
        <f t="shared" si="27"/>
        <v>0</v>
      </c>
      <c r="BY16" s="4">
        <f t="shared" si="28"/>
        <v>0</v>
      </c>
      <c r="BZ16" s="37">
        <f t="shared" si="29"/>
        <v>90</v>
      </c>
      <c r="CA16" s="32" t="str">
        <f>VLOOKUP(J:J,'Agent wise'!A:C,3,0)</f>
        <v>Saran S</v>
      </c>
      <c r="CB16" s="32">
        <f t="shared" si="30"/>
        <v>45931</v>
      </c>
      <c r="CC16" t="str">
        <f t="shared" si="31"/>
        <v>Good</v>
      </c>
      <c r="CE16" s="32"/>
      <c r="CJ16">
        <f t="shared" si="35"/>
        <v>1</v>
      </c>
      <c r="CK16">
        <f t="shared" si="36"/>
        <v>10</v>
      </c>
      <c r="CL16">
        <f t="shared" si="37"/>
        <v>2025</v>
      </c>
    </row>
    <row r="17" spans="1:90" ht="15" customHeight="1" x14ac:dyDescent="0.35">
      <c r="A17" s="40">
        <v>45667.955104166656</v>
      </c>
      <c r="B17" t="s">
        <v>106</v>
      </c>
      <c r="C17" t="s">
        <v>52</v>
      </c>
      <c r="D17" t="s">
        <v>107</v>
      </c>
      <c r="E17" s="32">
        <v>45931</v>
      </c>
      <c r="F17" t="s">
        <v>54</v>
      </c>
      <c r="G17" s="2">
        <v>45667</v>
      </c>
      <c r="H17">
        <v>9965913212</v>
      </c>
      <c r="I17">
        <v>153</v>
      </c>
      <c r="J17" t="s">
        <v>124</v>
      </c>
      <c r="K17" t="s">
        <v>71</v>
      </c>
      <c r="L17" t="s">
        <v>72</v>
      </c>
      <c r="M17" t="s">
        <v>60</v>
      </c>
      <c r="N17" t="s">
        <v>59</v>
      </c>
      <c r="O17" t="s">
        <v>59</v>
      </c>
      <c r="P17" t="s">
        <v>59</v>
      </c>
      <c r="Q17" t="s">
        <v>59</v>
      </c>
      <c r="R17" t="s">
        <v>59</v>
      </c>
      <c r="S17" t="s">
        <v>59</v>
      </c>
      <c r="T17" t="s">
        <v>59</v>
      </c>
      <c r="U17" t="s">
        <v>60</v>
      </c>
      <c r="V17" t="s">
        <v>59</v>
      </c>
      <c r="W17" t="s">
        <v>59</v>
      </c>
      <c r="X17" t="s">
        <v>61</v>
      </c>
      <c r="Y17" t="s">
        <v>59</v>
      </c>
      <c r="Z17" t="s">
        <v>59</v>
      </c>
      <c r="AA17" t="s">
        <v>60</v>
      </c>
      <c r="AB17" t="s">
        <v>60</v>
      </c>
      <c r="AC17" t="s">
        <v>60</v>
      </c>
      <c r="AD17" t="s">
        <v>59</v>
      </c>
      <c r="AE17" t="s">
        <v>59</v>
      </c>
      <c r="AF17" t="s">
        <v>61</v>
      </c>
      <c r="AG17" t="s">
        <v>59</v>
      </c>
      <c r="AH17" t="s">
        <v>61</v>
      </c>
      <c r="AI17" t="s">
        <v>61</v>
      </c>
      <c r="AJ17" t="s">
        <v>59</v>
      </c>
      <c r="AK17" t="s">
        <v>59</v>
      </c>
      <c r="AL17" t="s">
        <v>60</v>
      </c>
      <c r="AM17" t="s">
        <v>59</v>
      </c>
      <c r="AN17" t="s">
        <v>59</v>
      </c>
      <c r="AO17" t="s">
        <v>59</v>
      </c>
      <c r="AP17" t="s">
        <v>120</v>
      </c>
      <c r="AQ17" t="s">
        <v>129</v>
      </c>
      <c r="AR17" t="s">
        <v>64</v>
      </c>
      <c r="AS17" t="s">
        <v>111</v>
      </c>
      <c r="AT17" t="s">
        <v>112</v>
      </c>
      <c r="AW17" s="4" t="str">
        <f t="shared" si="0"/>
        <v>0</v>
      </c>
      <c r="AX17" s="4">
        <f t="shared" si="1"/>
        <v>4</v>
      </c>
      <c r="AY17" s="4">
        <f t="shared" si="2"/>
        <v>4</v>
      </c>
      <c r="AZ17" s="4">
        <f t="shared" si="3"/>
        <v>2</v>
      </c>
      <c r="BA17" s="4">
        <f t="shared" si="4"/>
        <v>4</v>
      </c>
      <c r="BB17" s="4">
        <f t="shared" si="5"/>
        <v>4</v>
      </c>
      <c r="BC17" s="4">
        <f t="shared" si="6"/>
        <v>4</v>
      </c>
      <c r="BD17" s="4">
        <f t="shared" si="7"/>
        <v>2</v>
      </c>
      <c r="BE17" s="4" t="str">
        <f t="shared" si="8"/>
        <v>0</v>
      </c>
      <c r="BF17" s="4">
        <f t="shared" si="9"/>
        <v>2</v>
      </c>
      <c r="BG17" s="4">
        <f t="shared" si="10"/>
        <v>4</v>
      </c>
      <c r="BH17" s="4">
        <f t="shared" si="11"/>
        <v>4</v>
      </c>
      <c r="BI17" s="4">
        <f t="shared" si="12"/>
        <v>4</v>
      </c>
      <c r="BJ17" s="4">
        <f t="shared" si="13"/>
        <v>2</v>
      </c>
      <c r="BK17" s="4" t="str">
        <f t="shared" si="14"/>
        <v>0</v>
      </c>
      <c r="BL17" s="4" t="str">
        <f t="shared" si="15"/>
        <v>0</v>
      </c>
      <c r="BM17" s="4" t="str">
        <f t="shared" si="16"/>
        <v>0</v>
      </c>
      <c r="BN17" s="4">
        <f t="shared" si="17"/>
        <v>4</v>
      </c>
      <c r="BO17" s="4">
        <f t="shared" si="18"/>
        <v>4</v>
      </c>
      <c r="BP17" s="4">
        <f t="shared" si="19"/>
        <v>4</v>
      </c>
      <c r="BQ17" s="4">
        <f t="shared" si="20"/>
        <v>6</v>
      </c>
      <c r="BR17" s="4">
        <f t="shared" si="21"/>
        <v>4</v>
      </c>
      <c r="BS17" s="4">
        <f t="shared" si="22"/>
        <v>4</v>
      </c>
      <c r="BT17" s="4">
        <f t="shared" si="23"/>
        <v>4</v>
      </c>
      <c r="BU17" s="4">
        <f t="shared" si="24"/>
        <v>4</v>
      </c>
      <c r="BV17" s="4" t="str">
        <f t="shared" si="25"/>
        <v>0</v>
      </c>
      <c r="BW17" s="4">
        <f t="shared" si="26"/>
        <v>6</v>
      </c>
      <c r="BX17" s="4">
        <f t="shared" si="27"/>
        <v>0</v>
      </c>
      <c r="BY17" s="4">
        <f t="shared" si="28"/>
        <v>0</v>
      </c>
      <c r="BZ17" s="37">
        <f t="shared" si="29"/>
        <v>80</v>
      </c>
      <c r="CA17" s="32" t="str">
        <f>VLOOKUP(J:J,'Agent wise'!A:C,3,0)</f>
        <v>Saran S</v>
      </c>
      <c r="CB17" s="32">
        <f t="shared" si="30"/>
        <v>45931</v>
      </c>
      <c r="CC17" t="str">
        <f t="shared" si="31"/>
        <v>FC</v>
      </c>
      <c r="CE17" s="32"/>
      <c r="CJ17">
        <f t="shared" si="35"/>
        <v>1</v>
      </c>
      <c r="CK17">
        <f t="shared" si="36"/>
        <v>10</v>
      </c>
      <c r="CL17">
        <f t="shared" si="37"/>
        <v>2025</v>
      </c>
    </row>
    <row r="18" spans="1:90" ht="15" customHeight="1" x14ac:dyDescent="0.35">
      <c r="A18" s="40">
        <v>45667.955775462957</v>
      </c>
      <c r="B18" t="s">
        <v>130</v>
      </c>
      <c r="C18" t="s">
        <v>52</v>
      </c>
      <c r="D18" t="s">
        <v>131</v>
      </c>
      <c r="E18" s="32">
        <v>45931</v>
      </c>
      <c r="F18" t="s">
        <v>54</v>
      </c>
      <c r="G18" s="2">
        <v>45667</v>
      </c>
      <c r="H18">
        <v>8086771246</v>
      </c>
      <c r="I18">
        <v>128</v>
      </c>
      <c r="J18" t="s">
        <v>132</v>
      </c>
      <c r="K18" t="s">
        <v>57</v>
      </c>
      <c r="L18" t="s">
        <v>58</v>
      </c>
      <c r="M18" t="s">
        <v>60</v>
      </c>
      <c r="N18" t="s">
        <v>59</v>
      </c>
      <c r="O18" t="s">
        <v>59</v>
      </c>
      <c r="P18" t="s">
        <v>59</v>
      </c>
      <c r="Q18" t="s">
        <v>59</v>
      </c>
      <c r="R18" t="s">
        <v>59</v>
      </c>
      <c r="S18" t="s">
        <v>59</v>
      </c>
      <c r="T18" t="s">
        <v>59</v>
      </c>
      <c r="U18" t="s">
        <v>60</v>
      </c>
      <c r="V18" t="s">
        <v>59</v>
      </c>
      <c r="W18" t="s">
        <v>59</v>
      </c>
      <c r="X18" t="s">
        <v>59</v>
      </c>
      <c r="Y18" t="s">
        <v>59</v>
      </c>
      <c r="Z18" t="s">
        <v>59</v>
      </c>
      <c r="AA18" t="s">
        <v>59</v>
      </c>
      <c r="AB18" t="s">
        <v>59</v>
      </c>
      <c r="AC18" t="s">
        <v>59</v>
      </c>
      <c r="AD18" t="s">
        <v>59</v>
      </c>
      <c r="AE18" t="s">
        <v>59</v>
      </c>
      <c r="AF18" t="s">
        <v>61</v>
      </c>
      <c r="AG18" t="s">
        <v>60</v>
      </c>
      <c r="AH18" t="s">
        <v>61</v>
      </c>
      <c r="AI18" t="s">
        <v>61</v>
      </c>
      <c r="AJ18" t="s">
        <v>59</v>
      </c>
      <c r="AK18" t="s">
        <v>59</v>
      </c>
      <c r="AL18" t="s">
        <v>59</v>
      </c>
      <c r="AM18" t="s">
        <v>59</v>
      </c>
      <c r="AN18" t="s">
        <v>59</v>
      </c>
      <c r="AO18" t="s">
        <v>59</v>
      </c>
      <c r="AP18" t="s">
        <v>133</v>
      </c>
      <c r="AQ18" s="1" t="s">
        <v>134</v>
      </c>
      <c r="AR18" t="s">
        <v>64</v>
      </c>
      <c r="AS18" t="s">
        <v>135</v>
      </c>
      <c r="AT18" t="s">
        <v>136</v>
      </c>
      <c r="AW18" s="4" t="str">
        <f t="shared" si="0"/>
        <v>0</v>
      </c>
      <c r="AX18" s="4">
        <f t="shared" si="1"/>
        <v>4</v>
      </c>
      <c r="AY18" s="4">
        <f t="shared" si="2"/>
        <v>4</v>
      </c>
      <c r="AZ18" s="4">
        <f t="shared" si="3"/>
        <v>2</v>
      </c>
      <c r="BA18" s="4">
        <f t="shared" si="4"/>
        <v>4</v>
      </c>
      <c r="BB18" s="4">
        <f t="shared" si="5"/>
        <v>4</v>
      </c>
      <c r="BC18" s="4">
        <f t="shared" si="6"/>
        <v>4</v>
      </c>
      <c r="BD18" s="4">
        <f t="shared" si="7"/>
        <v>2</v>
      </c>
      <c r="BE18" s="4" t="str">
        <f t="shared" si="8"/>
        <v>0</v>
      </c>
      <c r="BF18" s="4">
        <f t="shared" si="9"/>
        <v>2</v>
      </c>
      <c r="BG18" s="4">
        <f t="shared" si="10"/>
        <v>4</v>
      </c>
      <c r="BH18" s="4">
        <f t="shared" si="11"/>
        <v>4</v>
      </c>
      <c r="BI18" s="4">
        <f t="shared" si="12"/>
        <v>4</v>
      </c>
      <c r="BJ18" s="4">
        <f t="shared" si="13"/>
        <v>2</v>
      </c>
      <c r="BK18" s="4">
        <f t="shared" si="14"/>
        <v>4</v>
      </c>
      <c r="BL18" s="4">
        <f t="shared" si="15"/>
        <v>2</v>
      </c>
      <c r="BM18" s="4">
        <f t="shared" si="16"/>
        <v>4</v>
      </c>
      <c r="BN18" s="4">
        <f t="shared" si="17"/>
        <v>4</v>
      </c>
      <c r="BO18" s="4">
        <f t="shared" si="18"/>
        <v>4</v>
      </c>
      <c r="BP18" s="4">
        <f t="shared" si="19"/>
        <v>4</v>
      </c>
      <c r="BQ18" s="4" t="str">
        <f t="shared" si="20"/>
        <v>0</v>
      </c>
      <c r="BR18" s="4">
        <f t="shared" si="21"/>
        <v>4</v>
      </c>
      <c r="BS18" s="4">
        <f t="shared" si="22"/>
        <v>4</v>
      </c>
      <c r="BT18" s="4">
        <f t="shared" si="23"/>
        <v>4</v>
      </c>
      <c r="BU18" s="4">
        <f t="shared" si="24"/>
        <v>4</v>
      </c>
      <c r="BV18" s="4">
        <f t="shared" si="25"/>
        <v>0</v>
      </c>
      <c r="BW18" s="4">
        <f t="shared" si="26"/>
        <v>6</v>
      </c>
      <c r="BX18" s="4">
        <f t="shared" si="27"/>
        <v>0</v>
      </c>
      <c r="BY18" s="4">
        <f t="shared" si="28"/>
        <v>0</v>
      </c>
      <c r="BZ18" s="37">
        <f t="shared" si="29"/>
        <v>84</v>
      </c>
      <c r="CA18" s="32" t="str">
        <f>VLOOKUP(J:J,'Agent wise'!A:C,3,0)</f>
        <v>Shakeer</v>
      </c>
      <c r="CB18" s="32">
        <f t="shared" si="30"/>
        <v>45931</v>
      </c>
      <c r="CC18" t="str">
        <f t="shared" si="31"/>
        <v>FC</v>
      </c>
      <c r="CE18" s="32"/>
      <c r="CJ18">
        <f t="shared" si="35"/>
        <v>1</v>
      </c>
      <c r="CK18">
        <f t="shared" si="36"/>
        <v>10</v>
      </c>
      <c r="CL18">
        <f t="shared" si="37"/>
        <v>2025</v>
      </c>
    </row>
    <row r="19" spans="1:90" ht="15" customHeight="1" x14ac:dyDescent="0.35">
      <c r="A19" s="40">
        <v>45667.958599537043</v>
      </c>
      <c r="B19" t="s">
        <v>106</v>
      </c>
      <c r="C19" t="s">
        <v>52</v>
      </c>
      <c r="D19" t="s">
        <v>107</v>
      </c>
      <c r="E19" s="32">
        <v>45931</v>
      </c>
      <c r="F19" t="s">
        <v>54</v>
      </c>
      <c r="G19" s="2">
        <v>45667</v>
      </c>
      <c r="H19">
        <v>9965913212</v>
      </c>
      <c r="I19">
        <v>153</v>
      </c>
      <c r="J19" t="s">
        <v>124</v>
      </c>
      <c r="K19" t="s">
        <v>71</v>
      </c>
      <c r="L19" t="s">
        <v>72</v>
      </c>
      <c r="M19" t="s">
        <v>60</v>
      </c>
      <c r="N19" t="s">
        <v>59</v>
      </c>
      <c r="O19" t="s">
        <v>59</v>
      </c>
      <c r="P19" t="s">
        <v>59</v>
      </c>
      <c r="Q19" t="s">
        <v>59</v>
      </c>
      <c r="R19" t="s">
        <v>59</v>
      </c>
      <c r="S19" t="s">
        <v>59</v>
      </c>
      <c r="T19" t="s">
        <v>59</v>
      </c>
      <c r="U19" t="s">
        <v>60</v>
      </c>
      <c r="V19" t="s">
        <v>59</v>
      </c>
      <c r="W19" t="s">
        <v>59</v>
      </c>
      <c r="X19" t="s">
        <v>61</v>
      </c>
      <c r="Y19" t="s">
        <v>59</v>
      </c>
      <c r="Z19" t="s">
        <v>59</v>
      </c>
      <c r="AA19" t="s">
        <v>60</v>
      </c>
      <c r="AB19" t="s">
        <v>60</v>
      </c>
      <c r="AC19" t="s">
        <v>60</v>
      </c>
      <c r="AD19" t="s">
        <v>61</v>
      </c>
      <c r="AE19" t="s">
        <v>59</v>
      </c>
      <c r="AF19" t="s">
        <v>61</v>
      </c>
      <c r="AG19" t="s">
        <v>59</v>
      </c>
      <c r="AH19" t="s">
        <v>61</v>
      </c>
      <c r="AI19" t="s">
        <v>61</v>
      </c>
      <c r="AJ19" t="s">
        <v>59</v>
      </c>
      <c r="AK19" t="s">
        <v>59</v>
      </c>
      <c r="AL19" t="s">
        <v>60</v>
      </c>
      <c r="AM19" t="s">
        <v>59</v>
      </c>
      <c r="AN19" t="s">
        <v>59</v>
      </c>
      <c r="AO19" t="s">
        <v>59</v>
      </c>
      <c r="AP19" t="s">
        <v>137</v>
      </c>
      <c r="AQ19" t="s">
        <v>138</v>
      </c>
      <c r="AR19" t="s">
        <v>64</v>
      </c>
      <c r="AS19" t="s">
        <v>111</v>
      </c>
      <c r="AT19" t="s">
        <v>112</v>
      </c>
      <c r="AW19" s="4" t="str">
        <f t="shared" si="0"/>
        <v>0</v>
      </c>
      <c r="AX19" s="4">
        <f t="shared" si="1"/>
        <v>4</v>
      </c>
      <c r="AY19" s="4">
        <f t="shared" si="2"/>
        <v>4</v>
      </c>
      <c r="AZ19" s="4">
        <f t="shared" si="3"/>
        <v>2</v>
      </c>
      <c r="BA19" s="4">
        <f t="shared" si="4"/>
        <v>4</v>
      </c>
      <c r="BB19" s="4">
        <f t="shared" si="5"/>
        <v>4</v>
      </c>
      <c r="BC19" s="4">
        <f t="shared" si="6"/>
        <v>4</v>
      </c>
      <c r="BD19" s="4">
        <f t="shared" si="7"/>
        <v>2</v>
      </c>
      <c r="BE19" s="4" t="str">
        <f t="shared" si="8"/>
        <v>0</v>
      </c>
      <c r="BF19" s="4">
        <f t="shared" si="9"/>
        <v>2</v>
      </c>
      <c r="BG19" s="4">
        <f t="shared" si="10"/>
        <v>4</v>
      </c>
      <c r="BH19" s="4">
        <f t="shared" si="11"/>
        <v>4</v>
      </c>
      <c r="BI19" s="4">
        <f t="shared" si="12"/>
        <v>4</v>
      </c>
      <c r="BJ19" s="4">
        <f t="shared" si="13"/>
        <v>2</v>
      </c>
      <c r="BK19" s="4" t="str">
        <f t="shared" si="14"/>
        <v>0</v>
      </c>
      <c r="BL19" s="4" t="str">
        <f t="shared" si="15"/>
        <v>0</v>
      </c>
      <c r="BM19" s="4" t="str">
        <f t="shared" si="16"/>
        <v>0</v>
      </c>
      <c r="BN19" s="4">
        <f t="shared" si="17"/>
        <v>4</v>
      </c>
      <c r="BO19" s="4">
        <f t="shared" si="18"/>
        <v>4</v>
      </c>
      <c r="BP19" s="4">
        <f t="shared" si="19"/>
        <v>4</v>
      </c>
      <c r="BQ19" s="4">
        <f t="shared" si="20"/>
        <v>6</v>
      </c>
      <c r="BR19" s="4">
        <f t="shared" si="21"/>
        <v>4</v>
      </c>
      <c r="BS19" s="4">
        <f t="shared" si="22"/>
        <v>4</v>
      </c>
      <c r="BT19" s="4">
        <f t="shared" si="23"/>
        <v>4</v>
      </c>
      <c r="BU19" s="4">
        <f t="shared" si="24"/>
        <v>4</v>
      </c>
      <c r="BV19" s="4" t="str">
        <f t="shared" si="25"/>
        <v>0</v>
      </c>
      <c r="BW19" s="4">
        <f t="shared" si="26"/>
        <v>6</v>
      </c>
      <c r="BX19" s="4">
        <f t="shared" si="27"/>
        <v>0</v>
      </c>
      <c r="BY19" s="4">
        <f t="shared" si="28"/>
        <v>0</v>
      </c>
      <c r="BZ19" s="37">
        <f t="shared" si="29"/>
        <v>80</v>
      </c>
      <c r="CA19" s="32" t="str">
        <f>VLOOKUP(J:J,'Agent wise'!A:C,3,0)</f>
        <v>Saran S</v>
      </c>
      <c r="CB19" s="32">
        <f t="shared" si="30"/>
        <v>45931</v>
      </c>
      <c r="CC19" t="str">
        <f t="shared" si="31"/>
        <v>FC</v>
      </c>
      <c r="CE19" s="32"/>
      <c r="CJ19">
        <f t="shared" si="35"/>
        <v>1</v>
      </c>
      <c r="CK19">
        <f t="shared" si="36"/>
        <v>10</v>
      </c>
      <c r="CL19">
        <f t="shared" si="37"/>
        <v>2025</v>
      </c>
    </row>
    <row r="20" spans="1:90" ht="15" customHeight="1" x14ac:dyDescent="0.35">
      <c r="A20" s="40">
        <v>45667.960173611107</v>
      </c>
      <c r="B20" t="s">
        <v>130</v>
      </c>
      <c r="C20" t="s">
        <v>52</v>
      </c>
      <c r="D20" t="s">
        <v>131</v>
      </c>
      <c r="E20" s="32">
        <v>45931</v>
      </c>
      <c r="F20" t="s">
        <v>54</v>
      </c>
      <c r="G20" s="2">
        <v>45667</v>
      </c>
      <c r="H20">
        <v>9884511639</v>
      </c>
      <c r="I20">
        <v>128</v>
      </c>
      <c r="J20" t="s">
        <v>139</v>
      </c>
      <c r="K20" t="s">
        <v>71</v>
      </c>
      <c r="L20" t="s">
        <v>72</v>
      </c>
      <c r="M20" t="s">
        <v>59</v>
      </c>
      <c r="N20" t="s">
        <v>59</v>
      </c>
      <c r="O20" t="s">
        <v>59</v>
      </c>
      <c r="P20" t="s">
        <v>59</v>
      </c>
      <c r="Q20" t="s">
        <v>59</v>
      </c>
      <c r="R20" t="s">
        <v>59</v>
      </c>
      <c r="S20" t="s">
        <v>59</v>
      </c>
      <c r="T20" t="s">
        <v>59</v>
      </c>
      <c r="U20" t="s">
        <v>60</v>
      </c>
      <c r="V20" t="s">
        <v>59</v>
      </c>
      <c r="W20" t="s">
        <v>59</v>
      </c>
      <c r="X20" t="s">
        <v>59</v>
      </c>
      <c r="Y20" t="s">
        <v>59</v>
      </c>
      <c r="Z20" t="s">
        <v>59</v>
      </c>
      <c r="AA20" t="s">
        <v>59</v>
      </c>
      <c r="AB20" t="s">
        <v>60</v>
      </c>
      <c r="AC20" t="s">
        <v>59</v>
      </c>
      <c r="AD20" t="s">
        <v>59</v>
      </c>
      <c r="AE20" t="s">
        <v>59</v>
      </c>
      <c r="AF20" t="s">
        <v>61</v>
      </c>
      <c r="AG20" t="s">
        <v>59</v>
      </c>
      <c r="AH20" t="s">
        <v>61</v>
      </c>
      <c r="AI20" t="s">
        <v>60</v>
      </c>
      <c r="AJ20" t="s">
        <v>59</v>
      </c>
      <c r="AK20" t="s">
        <v>59</v>
      </c>
      <c r="AL20" t="s">
        <v>60</v>
      </c>
      <c r="AM20" t="s">
        <v>59</v>
      </c>
      <c r="AN20" t="s">
        <v>59</v>
      </c>
      <c r="AO20" t="s">
        <v>59</v>
      </c>
      <c r="AP20" t="s">
        <v>140</v>
      </c>
      <c r="AQ20" s="1" t="s">
        <v>141</v>
      </c>
      <c r="AR20" t="s">
        <v>64</v>
      </c>
      <c r="AS20" t="s">
        <v>142</v>
      </c>
      <c r="AT20" t="s">
        <v>143</v>
      </c>
      <c r="AW20" s="4">
        <f t="shared" si="0"/>
        <v>6</v>
      </c>
      <c r="AX20" s="4">
        <f t="shared" si="1"/>
        <v>4</v>
      </c>
      <c r="AY20" s="4">
        <f t="shared" si="2"/>
        <v>4</v>
      </c>
      <c r="AZ20" s="4">
        <f t="shared" si="3"/>
        <v>2</v>
      </c>
      <c r="BA20" s="4">
        <f t="shared" si="4"/>
        <v>4</v>
      </c>
      <c r="BB20" s="4">
        <f t="shared" si="5"/>
        <v>4</v>
      </c>
      <c r="BC20" s="4">
        <f t="shared" si="6"/>
        <v>4</v>
      </c>
      <c r="BD20" s="4">
        <f t="shared" si="7"/>
        <v>2</v>
      </c>
      <c r="BE20" s="4" t="str">
        <f t="shared" si="8"/>
        <v>0</v>
      </c>
      <c r="BF20" s="4">
        <f t="shared" si="9"/>
        <v>2</v>
      </c>
      <c r="BG20" s="4">
        <f t="shared" si="10"/>
        <v>4</v>
      </c>
      <c r="BH20" s="4">
        <f t="shared" si="11"/>
        <v>4</v>
      </c>
      <c r="BI20" s="4">
        <f t="shared" si="12"/>
        <v>4</v>
      </c>
      <c r="BJ20" s="4">
        <f t="shared" si="13"/>
        <v>2</v>
      </c>
      <c r="BK20" s="4">
        <f t="shared" si="14"/>
        <v>4</v>
      </c>
      <c r="BL20" s="4" t="str">
        <f t="shared" si="15"/>
        <v>0</v>
      </c>
      <c r="BM20" s="4">
        <f t="shared" si="16"/>
        <v>4</v>
      </c>
      <c r="BN20" s="4">
        <f t="shared" si="17"/>
        <v>4</v>
      </c>
      <c r="BO20" s="4">
        <f t="shared" si="18"/>
        <v>4</v>
      </c>
      <c r="BP20" s="4">
        <f t="shared" si="19"/>
        <v>4</v>
      </c>
      <c r="BQ20" s="4">
        <f t="shared" si="20"/>
        <v>6</v>
      </c>
      <c r="BR20" s="4">
        <f t="shared" si="21"/>
        <v>4</v>
      </c>
      <c r="BS20" s="4" t="str">
        <f t="shared" si="22"/>
        <v>0</v>
      </c>
      <c r="BT20" s="4">
        <f t="shared" si="23"/>
        <v>4</v>
      </c>
      <c r="BU20" s="4">
        <f t="shared" si="24"/>
        <v>4</v>
      </c>
      <c r="BV20" s="4" t="str">
        <f t="shared" si="25"/>
        <v>0</v>
      </c>
      <c r="BW20" s="4">
        <f t="shared" si="26"/>
        <v>6</v>
      </c>
      <c r="BX20" s="4">
        <f t="shared" si="27"/>
        <v>0</v>
      </c>
      <c r="BY20" s="4">
        <f t="shared" si="28"/>
        <v>0</v>
      </c>
      <c r="BZ20" s="37">
        <f t="shared" si="29"/>
        <v>90</v>
      </c>
      <c r="CA20" s="32" t="str">
        <f>VLOOKUP(J:J,'Agent wise'!A:C,3,0)</f>
        <v>Shakeer</v>
      </c>
      <c r="CB20" s="32">
        <f t="shared" si="30"/>
        <v>45931</v>
      </c>
      <c r="CC20" t="str">
        <f t="shared" si="31"/>
        <v>Good</v>
      </c>
      <c r="CE20" s="32"/>
      <c r="CJ20">
        <f t="shared" si="35"/>
        <v>1</v>
      </c>
      <c r="CK20">
        <f t="shared" si="36"/>
        <v>10</v>
      </c>
      <c r="CL20">
        <f t="shared" si="37"/>
        <v>2025</v>
      </c>
    </row>
    <row r="21" spans="1:90" ht="15" customHeight="1" x14ac:dyDescent="0.35">
      <c r="A21" s="40">
        <v>45667.961296296293</v>
      </c>
      <c r="B21" t="s">
        <v>106</v>
      </c>
      <c r="C21" t="s">
        <v>52</v>
      </c>
      <c r="D21" t="s">
        <v>107</v>
      </c>
      <c r="E21" s="32">
        <v>45931</v>
      </c>
      <c r="F21" t="s">
        <v>54</v>
      </c>
      <c r="G21" s="2">
        <v>45667</v>
      </c>
      <c r="H21">
        <v>9745718491</v>
      </c>
      <c r="I21">
        <v>199</v>
      </c>
      <c r="J21" t="s">
        <v>144</v>
      </c>
      <c r="K21" t="s">
        <v>57</v>
      </c>
      <c r="L21" t="s">
        <v>58</v>
      </c>
      <c r="M21" t="s">
        <v>59</v>
      </c>
      <c r="N21" t="s">
        <v>59</v>
      </c>
      <c r="O21" t="s">
        <v>59</v>
      </c>
      <c r="P21" t="s">
        <v>59</v>
      </c>
      <c r="Q21" t="s">
        <v>59</v>
      </c>
      <c r="R21" t="s">
        <v>59</v>
      </c>
      <c r="S21" t="s">
        <v>59</v>
      </c>
      <c r="T21" t="s">
        <v>59</v>
      </c>
      <c r="U21" t="s">
        <v>60</v>
      </c>
      <c r="V21" t="s">
        <v>59</v>
      </c>
      <c r="W21" t="s">
        <v>59</v>
      </c>
      <c r="X21" t="s">
        <v>61</v>
      </c>
      <c r="Y21" t="s">
        <v>59</v>
      </c>
      <c r="Z21" t="s">
        <v>59</v>
      </c>
      <c r="AA21" t="s">
        <v>59</v>
      </c>
      <c r="AB21" t="s">
        <v>59</v>
      </c>
      <c r="AC21" t="s">
        <v>60</v>
      </c>
      <c r="AD21" t="s">
        <v>59</v>
      </c>
      <c r="AE21" t="s">
        <v>59</v>
      </c>
      <c r="AF21" t="s">
        <v>61</v>
      </c>
      <c r="AG21" t="s">
        <v>59</v>
      </c>
      <c r="AH21" t="s">
        <v>61</v>
      </c>
      <c r="AI21" t="s">
        <v>59</v>
      </c>
      <c r="AJ21" t="s">
        <v>59</v>
      </c>
      <c r="AK21" t="s">
        <v>59</v>
      </c>
      <c r="AL21" t="s">
        <v>60</v>
      </c>
      <c r="AM21" t="s">
        <v>59</v>
      </c>
      <c r="AN21" t="s">
        <v>59</v>
      </c>
      <c r="AO21" t="s">
        <v>59</v>
      </c>
      <c r="AP21" t="s">
        <v>145</v>
      </c>
      <c r="AQ21" t="s">
        <v>146</v>
      </c>
      <c r="AR21" t="s">
        <v>64</v>
      </c>
      <c r="AS21" t="s">
        <v>122</v>
      </c>
      <c r="AT21" t="s">
        <v>123</v>
      </c>
      <c r="AW21" s="4">
        <f t="shared" si="0"/>
        <v>6</v>
      </c>
      <c r="AX21" s="4">
        <f t="shared" si="1"/>
        <v>4</v>
      </c>
      <c r="AY21" s="4">
        <f t="shared" si="2"/>
        <v>4</v>
      </c>
      <c r="AZ21" s="4">
        <f t="shared" si="3"/>
        <v>2</v>
      </c>
      <c r="BA21" s="4">
        <f t="shared" si="4"/>
        <v>4</v>
      </c>
      <c r="BB21" s="4">
        <f t="shared" si="5"/>
        <v>4</v>
      </c>
      <c r="BC21" s="4">
        <f t="shared" si="6"/>
        <v>4</v>
      </c>
      <c r="BD21" s="4">
        <f t="shared" si="7"/>
        <v>2</v>
      </c>
      <c r="BE21" s="4" t="str">
        <f t="shared" si="8"/>
        <v>0</v>
      </c>
      <c r="BF21" s="4">
        <f t="shared" si="9"/>
        <v>2</v>
      </c>
      <c r="BG21" s="4">
        <f t="shared" si="10"/>
        <v>4</v>
      </c>
      <c r="BH21" s="4">
        <f t="shared" si="11"/>
        <v>4</v>
      </c>
      <c r="BI21" s="4">
        <f t="shared" si="12"/>
        <v>4</v>
      </c>
      <c r="BJ21" s="4">
        <f t="shared" si="13"/>
        <v>2</v>
      </c>
      <c r="BK21" s="4">
        <f t="shared" si="14"/>
        <v>4</v>
      </c>
      <c r="BL21" s="4">
        <f t="shared" si="15"/>
        <v>2</v>
      </c>
      <c r="BM21" s="4" t="str">
        <f t="shared" si="16"/>
        <v>0</v>
      </c>
      <c r="BN21" s="4">
        <f t="shared" si="17"/>
        <v>4</v>
      </c>
      <c r="BO21" s="4">
        <f t="shared" si="18"/>
        <v>4</v>
      </c>
      <c r="BP21" s="4">
        <f t="shared" si="19"/>
        <v>4</v>
      </c>
      <c r="BQ21" s="4">
        <f t="shared" si="20"/>
        <v>6</v>
      </c>
      <c r="BR21" s="4">
        <f t="shared" si="21"/>
        <v>4</v>
      </c>
      <c r="BS21" s="4">
        <f t="shared" si="22"/>
        <v>4</v>
      </c>
      <c r="BT21" s="4">
        <f t="shared" si="23"/>
        <v>4</v>
      </c>
      <c r="BU21" s="4">
        <f t="shared" si="24"/>
        <v>4</v>
      </c>
      <c r="BV21" s="4" t="str">
        <f t="shared" si="25"/>
        <v>0</v>
      </c>
      <c r="BW21" s="4">
        <f t="shared" si="26"/>
        <v>6</v>
      </c>
      <c r="BX21" s="4">
        <f t="shared" si="27"/>
        <v>0</v>
      </c>
      <c r="BY21" s="4">
        <f t="shared" si="28"/>
        <v>0</v>
      </c>
      <c r="BZ21" s="37">
        <f t="shared" si="29"/>
        <v>92</v>
      </c>
      <c r="CA21" s="32" t="str">
        <f>VLOOKUP(J:J,'Agent wise'!A:C,3,0)</f>
        <v xml:space="preserve">Shiny </v>
      </c>
      <c r="CB21" s="32">
        <f t="shared" si="30"/>
        <v>45931</v>
      </c>
      <c r="CC21" t="str">
        <f t="shared" si="31"/>
        <v>Good</v>
      </c>
      <c r="CE21" s="32"/>
      <c r="CJ21">
        <f t="shared" si="35"/>
        <v>1</v>
      </c>
      <c r="CK21">
        <f t="shared" si="36"/>
        <v>10</v>
      </c>
      <c r="CL21">
        <f t="shared" si="37"/>
        <v>2025</v>
      </c>
    </row>
    <row r="22" spans="1:90" ht="15" customHeight="1" x14ac:dyDescent="0.35">
      <c r="A22" s="40">
        <v>45667.964479166672</v>
      </c>
      <c r="B22" t="s">
        <v>106</v>
      </c>
      <c r="C22" t="s">
        <v>52</v>
      </c>
      <c r="D22" t="s">
        <v>107</v>
      </c>
      <c r="E22" s="32">
        <v>45931</v>
      </c>
      <c r="F22" t="s">
        <v>54</v>
      </c>
      <c r="G22" s="2">
        <v>45667</v>
      </c>
      <c r="H22">
        <v>9446148925</v>
      </c>
      <c r="I22">
        <v>141</v>
      </c>
      <c r="J22" t="s">
        <v>144</v>
      </c>
      <c r="K22" t="s">
        <v>57</v>
      </c>
      <c r="L22" t="s">
        <v>58</v>
      </c>
      <c r="M22" t="s">
        <v>59</v>
      </c>
      <c r="N22" t="s">
        <v>59</v>
      </c>
      <c r="O22" t="s">
        <v>59</v>
      </c>
      <c r="P22" t="s">
        <v>59</v>
      </c>
      <c r="Q22" t="s">
        <v>59</v>
      </c>
      <c r="R22" t="s">
        <v>59</v>
      </c>
      <c r="S22" t="s">
        <v>59</v>
      </c>
      <c r="T22" t="s">
        <v>59</v>
      </c>
      <c r="U22" t="s">
        <v>60</v>
      </c>
      <c r="V22" t="s">
        <v>59</v>
      </c>
      <c r="W22" t="s">
        <v>59</v>
      </c>
      <c r="X22" t="s">
        <v>61</v>
      </c>
      <c r="Y22" t="s">
        <v>59</v>
      </c>
      <c r="Z22" t="s">
        <v>59</v>
      </c>
      <c r="AA22" t="s">
        <v>59</v>
      </c>
      <c r="AB22" t="s">
        <v>59</v>
      </c>
      <c r="AC22" t="s">
        <v>60</v>
      </c>
      <c r="AD22" t="s">
        <v>61</v>
      </c>
      <c r="AE22" t="s">
        <v>59</v>
      </c>
      <c r="AF22" t="s">
        <v>61</v>
      </c>
      <c r="AG22" t="s">
        <v>59</v>
      </c>
      <c r="AH22" t="s">
        <v>61</v>
      </c>
      <c r="AI22" t="s">
        <v>59</v>
      </c>
      <c r="AJ22" t="s">
        <v>59</v>
      </c>
      <c r="AK22" t="s">
        <v>59</v>
      </c>
      <c r="AL22" t="s">
        <v>60</v>
      </c>
      <c r="AM22" t="s">
        <v>59</v>
      </c>
      <c r="AN22" t="s">
        <v>59</v>
      </c>
      <c r="AO22" t="s">
        <v>59</v>
      </c>
      <c r="AP22" t="s">
        <v>147</v>
      </c>
      <c r="AQ22" t="s">
        <v>148</v>
      </c>
      <c r="AR22" t="s">
        <v>64</v>
      </c>
      <c r="AS22" t="s">
        <v>122</v>
      </c>
      <c r="AT22" t="s">
        <v>123</v>
      </c>
      <c r="AW22" s="4">
        <f t="shared" si="0"/>
        <v>6</v>
      </c>
      <c r="AX22" s="4">
        <f t="shared" si="1"/>
        <v>4</v>
      </c>
      <c r="AY22" s="4">
        <f t="shared" si="2"/>
        <v>4</v>
      </c>
      <c r="AZ22" s="4">
        <f t="shared" si="3"/>
        <v>2</v>
      </c>
      <c r="BA22" s="4">
        <f t="shared" si="4"/>
        <v>4</v>
      </c>
      <c r="BB22" s="4">
        <f t="shared" si="5"/>
        <v>4</v>
      </c>
      <c r="BC22" s="4">
        <f t="shared" si="6"/>
        <v>4</v>
      </c>
      <c r="BD22" s="4">
        <f t="shared" si="7"/>
        <v>2</v>
      </c>
      <c r="BE22" s="4" t="str">
        <f t="shared" si="8"/>
        <v>0</v>
      </c>
      <c r="BF22" s="4">
        <f t="shared" si="9"/>
        <v>2</v>
      </c>
      <c r="BG22" s="4">
        <f t="shared" si="10"/>
        <v>4</v>
      </c>
      <c r="BH22" s="4">
        <f t="shared" si="11"/>
        <v>4</v>
      </c>
      <c r="BI22" s="4">
        <f t="shared" si="12"/>
        <v>4</v>
      </c>
      <c r="BJ22" s="4">
        <f t="shared" si="13"/>
        <v>2</v>
      </c>
      <c r="BK22" s="4">
        <f t="shared" si="14"/>
        <v>4</v>
      </c>
      <c r="BL22" s="4">
        <f t="shared" si="15"/>
        <v>2</v>
      </c>
      <c r="BM22" s="4" t="str">
        <f t="shared" si="16"/>
        <v>0</v>
      </c>
      <c r="BN22" s="4">
        <f t="shared" si="17"/>
        <v>4</v>
      </c>
      <c r="BO22" s="4">
        <f t="shared" si="18"/>
        <v>4</v>
      </c>
      <c r="BP22" s="4">
        <f t="shared" si="19"/>
        <v>4</v>
      </c>
      <c r="BQ22" s="4">
        <f t="shared" si="20"/>
        <v>6</v>
      </c>
      <c r="BR22" s="4">
        <f t="shared" si="21"/>
        <v>4</v>
      </c>
      <c r="BS22" s="4">
        <f t="shared" si="22"/>
        <v>4</v>
      </c>
      <c r="BT22" s="4">
        <f t="shared" si="23"/>
        <v>4</v>
      </c>
      <c r="BU22" s="4">
        <f t="shared" si="24"/>
        <v>4</v>
      </c>
      <c r="BV22" s="4" t="str">
        <f t="shared" si="25"/>
        <v>0</v>
      </c>
      <c r="BW22" s="4">
        <f t="shared" si="26"/>
        <v>6</v>
      </c>
      <c r="BX22" s="4">
        <f t="shared" si="27"/>
        <v>0</v>
      </c>
      <c r="BY22" s="4">
        <f t="shared" si="28"/>
        <v>0</v>
      </c>
      <c r="BZ22" s="37">
        <f t="shared" si="29"/>
        <v>92</v>
      </c>
      <c r="CA22" s="32" t="str">
        <f>VLOOKUP(J:J,'Agent wise'!A:C,3,0)</f>
        <v xml:space="preserve">Shiny </v>
      </c>
      <c r="CB22" s="32">
        <f t="shared" si="30"/>
        <v>45931</v>
      </c>
      <c r="CC22" t="str">
        <f t="shared" si="31"/>
        <v>Good</v>
      </c>
      <c r="CE22" s="32"/>
      <c r="CJ22">
        <f t="shared" si="35"/>
        <v>1</v>
      </c>
      <c r="CK22">
        <f t="shared" si="36"/>
        <v>10</v>
      </c>
      <c r="CL22">
        <f t="shared" si="37"/>
        <v>2025</v>
      </c>
    </row>
    <row r="23" spans="1:90" ht="15" customHeight="1" x14ac:dyDescent="0.35">
      <c r="A23" s="40">
        <v>45667.965046296304</v>
      </c>
      <c r="B23" t="s">
        <v>130</v>
      </c>
      <c r="C23" t="s">
        <v>52</v>
      </c>
      <c r="D23" t="s">
        <v>131</v>
      </c>
      <c r="E23" s="32">
        <v>45931</v>
      </c>
      <c r="F23" t="s">
        <v>54</v>
      </c>
      <c r="G23" s="2">
        <v>45667</v>
      </c>
      <c r="H23">
        <v>8547100648</v>
      </c>
      <c r="I23">
        <v>160</v>
      </c>
      <c r="J23" t="s">
        <v>149</v>
      </c>
      <c r="K23" t="s">
        <v>57</v>
      </c>
      <c r="L23" t="s">
        <v>58</v>
      </c>
      <c r="M23" t="s">
        <v>59</v>
      </c>
      <c r="N23" t="s">
        <v>59</v>
      </c>
      <c r="O23" t="s">
        <v>59</v>
      </c>
      <c r="P23" t="s">
        <v>59</v>
      </c>
      <c r="Q23" t="s">
        <v>59</v>
      </c>
      <c r="R23" t="s">
        <v>59</v>
      </c>
      <c r="S23" t="s">
        <v>59</v>
      </c>
      <c r="T23" t="s">
        <v>59</v>
      </c>
      <c r="U23" t="s">
        <v>60</v>
      </c>
      <c r="V23" t="s">
        <v>59</v>
      </c>
      <c r="W23" t="s">
        <v>59</v>
      </c>
      <c r="X23" t="s">
        <v>59</v>
      </c>
      <c r="Y23" t="s">
        <v>59</v>
      </c>
      <c r="Z23" t="s">
        <v>59</v>
      </c>
      <c r="AA23" t="s">
        <v>59</v>
      </c>
      <c r="AB23" t="s">
        <v>61</v>
      </c>
      <c r="AC23" t="s">
        <v>61</v>
      </c>
      <c r="AD23" t="s">
        <v>59</v>
      </c>
      <c r="AE23" t="s">
        <v>59</v>
      </c>
      <c r="AF23" t="s">
        <v>61</v>
      </c>
      <c r="AG23" t="s">
        <v>59</v>
      </c>
      <c r="AH23" t="s">
        <v>61</v>
      </c>
      <c r="AI23" t="s">
        <v>61</v>
      </c>
      <c r="AJ23" t="s">
        <v>59</v>
      </c>
      <c r="AK23" t="s">
        <v>59</v>
      </c>
      <c r="AL23" t="s">
        <v>60</v>
      </c>
      <c r="AM23" t="s">
        <v>59</v>
      </c>
      <c r="AN23" t="s">
        <v>59</v>
      </c>
      <c r="AO23" t="s">
        <v>59</v>
      </c>
      <c r="AP23" t="s">
        <v>150</v>
      </c>
      <c r="AQ23" s="1" t="s">
        <v>151</v>
      </c>
      <c r="AR23" t="s">
        <v>64</v>
      </c>
      <c r="AS23" t="s">
        <v>152</v>
      </c>
      <c r="AT23" t="s">
        <v>153</v>
      </c>
      <c r="AW23" s="4">
        <f t="shared" si="0"/>
        <v>6</v>
      </c>
      <c r="AX23" s="4">
        <f t="shared" si="1"/>
        <v>4</v>
      </c>
      <c r="AY23" s="4">
        <f t="shared" si="2"/>
        <v>4</v>
      </c>
      <c r="AZ23" s="4">
        <f t="shared" si="3"/>
        <v>2</v>
      </c>
      <c r="BA23" s="4">
        <f t="shared" si="4"/>
        <v>4</v>
      </c>
      <c r="BB23" s="4">
        <f t="shared" si="5"/>
        <v>4</v>
      </c>
      <c r="BC23" s="4">
        <f t="shared" si="6"/>
        <v>4</v>
      </c>
      <c r="BD23" s="4">
        <f t="shared" si="7"/>
        <v>2</v>
      </c>
      <c r="BE23" s="4" t="str">
        <f t="shared" si="8"/>
        <v>0</v>
      </c>
      <c r="BF23" s="4">
        <f t="shared" si="9"/>
        <v>2</v>
      </c>
      <c r="BG23" s="4">
        <f t="shared" si="10"/>
        <v>4</v>
      </c>
      <c r="BH23" s="4">
        <f t="shared" si="11"/>
        <v>4</v>
      </c>
      <c r="BI23" s="4">
        <f t="shared" si="12"/>
        <v>4</v>
      </c>
      <c r="BJ23" s="4">
        <f t="shared" si="13"/>
        <v>2</v>
      </c>
      <c r="BK23" s="4">
        <f t="shared" si="14"/>
        <v>4</v>
      </c>
      <c r="BL23" s="4">
        <f t="shared" si="15"/>
        <v>2</v>
      </c>
      <c r="BM23" s="4">
        <f t="shared" si="16"/>
        <v>4</v>
      </c>
      <c r="BN23" s="4">
        <f t="shared" si="17"/>
        <v>4</v>
      </c>
      <c r="BO23" s="4">
        <f t="shared" si="18"/>
        <v>4</v>
      </c>
      <c r="BP23" s="4">
        <f t="shared" si="19"/>
        <v>4</v>
      </c>
      <c r="BQ23" s="4">
        <f t="shared" si="20"/>
        <v>6</v>
      </c>
      <c r="BR23" s="4">
        <f t="shared" si="21"/>
        <v>4</v>
      </c>
      <c r="BS23" s="4">
        <f t="shared" si="22"/>
        <v>4</v>
      </c>
      <c r="BT23" s="4">
        <f t="shared" si="23"/>
        <v>4</v>
      </c>
      <c r="BU23" s="4">
        <f t="shared" si="24"/>
        <v>4</v>
      </c>
      <c r="BV23" s="4" t="str">
        <f t="shared" si="25"/>
        <v>0</v>
      </c>
      <c r="BW23" s="4">
        <f t="shared" si="26"/>
        <v>6</v>
      </c>
      <c r="BX23" s="4">
        <f t="shared" si="27"/>
        <v>0</v>
      </c>
      <c r="BY23" s="4">
        <f t="shared" si="28"/>
        <v>0</v>
      </c>
      <c r="BZ23" s="37">
        <f t="shared" si="29"/>
        <v>96</v>
      </c>
      <c r="CA23" s="32" t="str">
        <f>VLOOKUP(J:J,'Agent wise'!A:C,3,0)</f>
        <v>Shakeer</v>
      </c>
      <c r="CB23" s="32">
        <f t="shared" si="30"/>
        <v>45931</v>
      </c>
      <c r="CC23" t="str">
        <f t="shared" si="31"/>
        <v>Excellent</v>
      </c>
      <c r="CE23" s="32"/>
      <c r="CJ23">
        <f t="shared" si="35"/>
        <v>1</v>
      </c>
      <c r="CK23">
        <f t="shared" si="36"/>
        <v>10</v>
      </c>
      <c r="CL23">
        <f t="shared" si="37"/>
        <v>2025</v>
      </c>
    </row>
    <row r="24" spans="1:90" ht="15" customHeight="1" x14ac:dyDescent="0.35">
      <c r="A24" s="40">
        <v>45667.980543981481</v>
      </c>
      <c r="B24" t="s">
        <v>130</v>
      </c>
      <c r="C24" t="s">
        <v>52</v>
      </c>
      <c r="D24" t="s">
        <v>131</v>
      </c>
      <c r="E24" s="32">
        <v>45931</v>
      </c>
      <c r="F24" t="s">
        <v>54</v>
      </c>
      <c r="G24" s="2">
        <v>45667</v>
      </c>
      <c r="H24">
        <v>9946777497</v>
      </c>
      <c r="I24">
        <v>132</v>
      </c>
      <c r="J24" t="s">
        <v>154</v>
      </c>
      <c r="K24" t="s">
        <v>57</v>
      </c>
      <c r="L24" t="s">
        <v>58</v>
      </c>
      <c r="M24" t="s">
        <v>59</v>
      </c>
      <c r="N24" t="s">
        <v>59</v>
      </c>
      <c r="O24" t="s">
        <v>59</v>
      </c>
      <c r="P24" t="s">
        <v>59</v>
      </c>
      <c r="Q24" t="s">
        <v>59</v>
      </c>
      <c r="R24" t="s">
        <v>59</v>
      </c>
      <c r="S24" t="s">
        <v>59</v>
      </c>
      <c r="T24" t="s">
        <v>59</v>
      </c>
      <c r="U24" t="s">
        <v>60</v>
      </c>
      <c r="V24" t="s">
        <v>59</v>
      </c>
      <c r="W24" t="s">
        <v>59</v>
      </c>
      <c r="X24" t="s">
        <v>59</v>
      </c>
      <c r="Y24" t="s">
        <v>59</v>
      </c>
      <c r="Z24" t="s">
        <v>59</v>
      </c>
      <c r="AA24" t="s">
        <v>60</v>
      </c>
      <c r="AB24" t="s">
        <v>60</v>
      </c>
      <c r="AC24" t="s">
        <v>60</v>
      </c>
      <c r="AD24" t="s">
        <v>61</v>
      </c>
      <c r="AE24" t="s">
        <v>59</v>
      </c>
      <c r="AF24" t="s">
        <v>61</v>
      </c>
      <c r="AG24" t="s">
        <v>60</v>
      </c>
      <c r="AH24" t="s">
        <v>61</v>
      </c>
      <c r="AI24" t="s">
        <v>61</v>
      </c>
      <c r="AJ24" t="s">
        <v>59</v>
      </c>
      <c r="AK24" t="s">
        <v>59</v>
      </c>
      <c r="AL24" t="s">
        <v>60</v>
      </c>
      <c r="AM24" t="s">
        <v>59</v>
      </c>
      <c r="AN24" t="s">
        <v>59</v>
      </c>
      <c r="AO24" t="s">
        <v>59</v>
      </c>
      <c r="AP24" t="s">
        <v>155</v>
      </c>
      <c r="AQ24" s="1" t="s">
        <v>156</v>
      </c>
      <c r="AR24" t="s">
        <v>64</v>
      </c>
      <c r="AS24" t="s">
        <v>157</v>
      </c>
      <c r="AT24" t="s">
        <v>158</v>
      </c>
      <c r="AW24" s="4">
        <f t="shared" si="0"/>
        <v>6</v>
      </c>
      <c r="AX24" s="4">
        <f t="shared" si="1"/>
        <v>4</v>
      </c>
      <c r="AY24" s="4">
        <f t="shared" si="2"/>
        <v>4</v>
      </c>
      <c r="AZ24" s="4">
        <f t="shared" si="3"/>
        <v>2</v>
      </c>
      <c r="BA24" s="4">
        <f t="shared" si="4"/>
        <v>4</v>
      </c>
      <c r="BB24" s="4">
        <f t="shared" si="5"/>
        <v>4</v>
      </c>
      <c r="BC24" s="4">
        <f t="shared" si="6"/>
        <v>4</v>
      </c>
      <c r="BD24" s="4">
        <f t="shared" si="7"/>
        <v>2</v>
      </c>
      <c r="BE24" s="4" t="str">
        <f t="shared" si="8"/>
        <v>0</v>
      </c>
      <c r="BF24" s="4">
        <f t="shared" si="9"/>
        <v>2</v>
      </c>
      <c r="BG24" s="4">
        <f t="shared" si="10"/>
        <v>4</v>
      </c>
      <c r="BH24" s="4">
        <f t="shared" si="11"/>
        <v>4</v>
      </c>
      <c r="BI24" s="4">
        <f t="shared" si="12"/>
        <v>4</v>
      </c>
      <c r="BJ24" s="4">
        <f t="shared" si="13"/>
        <v>2</v>
      </c>
      <c r="BK24" s="4" t="str">
        <f t="shared" si="14"/>
        <v>0</v>
      </c>
      <c r="BL24" s="4" t="str">
        <f t="shared" si="15"/>
        <v>0</v>
      </c>
      <c r="BM24" s="4" t="str">
        <f t="shared" si="16"/>
        <v>0</v>
      </c>
      <c r="BN24" s="4">
        <f t="shared" si="17"/>
        <v>4</v>
      </c>
      <c r="BO24" s="4">
        <f t="shared" si="18"/>
        <v>4</v>
      </c>
      <c r="BP24" s="4">
        <f t="shared" si="19"/>
        <v>4</v>
      </c>
      <c r="BQ24" s="4" t="str">
        <f t="shared" si="20"/>
        <v>0</v>
      </c>
      <c r="BR24" s="4">
        <f t="shared" si="21"/>
        <v>4</v>
      </c>
      <c r="BS24" s="4">
        <f t="shared" si="22"/>
        <v>4</v>
      </c>
      <c r="BT24" s="4">
        <f t="shared" si="23"/>
        <v>4</v>
      </c>
      <c r="BU24" s="4">
        <f t="shared" si="24"/>
        <v>4</v>
      </c>
      <c r="BV24" s="4" t="str">
        <f t="shared" si="25"/>
        <v>0</v>
      </c>
      <c r="BW24" s="4">
        <f t="shared" si="26"/>
        <v>6</v>
      </c>
      <c r="BX24" s="4">
        <f t="shared" si="27"/>
        <v>0</v>
      </c>
      <c r="BY24" s="4">
        <f t="shared" si="28"/>
        <v>0</v>
      </c>
      <c r="BZ24" s="37">
        <f t="shared" si="29"/>
        <v>80</v>
      </c>
      <c r="CA24" s="32" t="str">
        <f>VLOOKUP(J:J,'Agent wise'!A:C,3,0)</f>
        <v>Shakeer</v>
      </c>
      <c r="CB24" s="32">
        <f t="shared" si="30"/>
        <v>45931</v>
      </c>
      <c r="CC24" t="str">
        <f t="shared" si="31"/>
        <v>FC</v>
      </c>
      <c r="CE24" s="32"/>
      <c r="CJ24">
        <f t="shared" si="35"/>
        <v>1</v>
      </c>
      <c r="CK24">
        <f t="shared" si="36"/>
        <v>10</v>
      </c>
      <c r="CL24">
        <f t="shared" si="37"/>
        <v>2025</v>
      </c>
    </row>
    <row r="25" spans="1:90" ht="15" customHeight="1" x14ac:dyDescent="0.35">
      <c r="A25" s="40">
        <v>45667.983865740738</v>
      </c>
      <c r="B25" t="s">
        <v>130</v>
      </c>
      <c r="C25" t="s">
        <v>52</v>
      </c>
      <c r="D25" t="s">
        <v>131</v>
      </c>
      <c r="E25" s="32">
        <v>45931</v>
      </c>
      <c r="F25" t="s">
        <v>54</v>
      </c>
      <c r="G25" s="2">
        <v>45667</v>
      </c>
      <c r="H25">
        <v>8078225855</v>
      </c>
      <c r="I25">
        <v>136</v>
      </c>
      <c r="J25" t="s">
        <v>159</v>
      </c>
      <c r="K25" t="s">
        <v>57</v>
      </c>
      <c r="L25" t="s">
        <v>58</v>
      </c>
      <c r="M25" t="s">
        <v>59</v>
      </c>
      <c r="N25" t="s">
        <v>59</v>
      </c>
      <c r="O25" t="s">
        <v>59</v>
      </c>
      <c r="P25" t="s">
        <v>59</v>
      </c>
      <c r="Q25" t="s">
        <v>59</v>
      </c>
      <c r="R25" t="s">
        <v>59</v>
      </c>
      <c r="S25" t="s">
        <v>59</v>
      </c>
      <c r="T25" t="s">
        <v>59</v>
      </c>
      <c r="U25" t="s">
        <v>60</v>
      </c>
      <c r="V25" t="s">
        <v>59</v>
      </c>
      <c r="W25" t="s">
        <v>59</v>
      </c>
      <c r="X25" t="s">
        <v>59</v>
      </c>
      <c r="Y25" t="s">
        <v>59</v>
      </c>
      <c r="Z25" t="s">
        <v>59</v>
      </c>
      <c r="AA25" t="s">
        <v>60</v>
      </c>
      <c r="AB25" t="s">
        <v>60</v>
      </c>
      <c r="AC25" t="s">
        <v>60</v>
      </c>
      <c r="AD25" t="s">
        <v>59</v>
      </c>
      <c r="AE25" t="s">
        <v>59</v>
      </c>
      <c r="AF25" t="s">
        <v>61</v>
      </c>
      <c r="AG25" t="s">
        <v>59</v>
      </c>
      <c r="AH25" t="s">
        <v>61</v>
      </c>
      <c r="AI25" t="s">
        <v>61</v>
      </c>
      <c r="AJ25" t="s">
        <v>59</v>
      </c>
      <c r="AK25" t="s">
        <v>59</v>
      </c>
      <c r="AL25" t="s">
        <v>60</v>
      </c>
      <c r="AM25" t="s">
        <v>59</v>
      </c>
      <c r="AN25" t="s">
        <v>59</v>
      </c>
      <c r="AO25" t="s">
        <v>59</v>
      </c>
      <c r="AP25" t="s">
        <v>160</v>
      </c>
      <c r="AQ25" s="1" t="s">
        <v>161</v>
      </c>
      <c r="AR25" t="s">
        <v>64</v>
      </c>
      <c r="AS25" t="s">
        <v>135</v>
      </c>
      <c r="AT25" t="s">
        <v>162</v>
      </c>
      <c r="AW25" s="4">
        <f t="shared" si="0"/>
        <v>6</v>
      </c>
      <c r="AX25" s="4">
        <f t="shared" si="1"/>
        <v>4</v>
      </c>
      <c r="AY25" s="4">
        <f t="shared" si="2"/>
        <v>4</v>
      </c>
      <c r="AZ25" s="4">
        <f t="shared" si="3"/>
        <v>2</v>
      </c>
      <c r="BA25" s="4">
        <f t="shared" si="4"/>
        <v>4</v>
      </c>
      <c r="BB25" s="4">
        <f t="shared" si="5"/>
        <v>4</v>
      </c>
      <c r="BC25" s="4">
        <f t="shared" si="6"/>
        <v>4</v>
      </c>
      <c r="BD25" s="4">
        <f t="shared" si="7"/>
        <v>2</v>
      </c>
      <c r="BE25" s="4" t="str">
        <f t="shared" si="8"/>
        <v>0</v>
      </c>
      <c r="BF25" s="4">
        <f t="shared" si="9"/>
        <v>2</v>
      </c>
      <c r="BG25" s="4">
        <f t="shared" si="10"/>
        <v>4</v>
      </c>
      <c r="BH25" s="4">
        <f t="shared" si="11"/>
        <v>4</v>
      </c>
      <c r="BI25" s="4">
        <f t="shared" si="12"/>
        <v>4</v>
      </c>
      <c r="BJ25" s="4">
        <f t="shared" si="13"/>
        <v>2</v>
      </c>
      <c r="BK25" s="4" t="str">
        <f t="shared" si="14"/>
        <v>0</v>
      </c>
      <c r="BL25" s="4" t="str">
        <f t="shared" si="15"/>
        <v>0</v>
      </c>
      <c r="BM25" s="4" t="str">
        <f t="shared" si="16"/>
        <v>0</v>
      </c>
      <c r="BN25" s="4">
        <f t="shared" si="17"/>
        <v>4</v>
      </c>
      <c r="BO25" s="4">
        <f t="shared" si="18"/>
        <v>4</v>
      </c>
      <c r="BP25" s="4">
        <f t="shared" si="19"/>
        <v>4</v>
      </c>
      <c r="BQ25" s="4">
        <f t="shared" si="20"/>
        <v>6</v>
      </c>
      <c r="BR25" s="4">
        <f t="shared" si="21"/>
        <v>4</v>
      </c>
      <c r="BS25" s="4">
        <f t="shared" si="22"/>
        <v>4</v>
      </c>
      <c r="BT25" s="4">
        <f t="shared" si="23"/>
        <v>4</v>
      </c>
      <c r="BU25" s="4">
        <f t="shared" si="24"/>
        <v>4</v>
      </c>
      <c r="BV25" s="4" t="str">
        <f t="shared" si="25"/>
        <v>0</v>
      </c>
      <c r="BW25" s="4">
        <f t="shared" si="26"/>
        <v>6</v>
      </c>
      <c r="BX25" s="4">
        <f t="shared" si="27"/>
        <v>0</v>
      </c>
      <c r="BY25" s="4">
        <f t="shared" si="28"/>
        <v>0</v>
      </c>
      <c r="BZ25" s="37">
        <f t="shared" si="29"/>
        <v>86</v>
      </c>
      <c r="CA25" s="32" t="str">
        <f>VLOOKUP(J:J,'Agent wise'!A:C,3,0)</f>
        <v>Shakeer</v>
      </c>
      <c r="CB25" s="32">
        <f t="shared" si="30"/>
        <v>45931</v>
      </c>
      <c r="CC25" t="str">
        <f t="shared" si="31"/>
        <v>Average</v>
      </c>
      <c r="CE25" s="32"/>
      <c r="CJ25">
        <f t="shared" si="35"/>
        <v>1</v>
      </c>
      <c r="CK25">
        <f t="shared" si="36"/>
        <v>10</v>
      </c>
      <c r="CL25">
        <f t="shared" si="37"/>
        <v>2025</v>
      </c>
    </row>
    <row r="26" spans="1:90" ht="15" customHeight="1" x14ac:dyDescent="0.35">
      <c r="A26" s="40">
        <v>45667.99591435185</v>
      </c>
      <c r="B26" t="s">
        <v>130</v>
      </c>
      <c r="C26" t="s">
        <v>52</v>
      </c>
      <c r="D26" t="s">
        <v>131</v>
      </c>
      <c r="E26" s="32">
        <v>45931</v>
      </c>
      <c r="F26" t="s">
        <v>54</v>
      </c>
      <c r="G26" s="2">
        <v>45667</v>
      </c>
      <c r="H26">
        <v>9446715284</v>
      </c>
      <c r="I26">
        <v>129</v>
      </c>
      <c r="J26" t="s">
        <v>163</v>
      </c>
      <c r="K26" t="s">
        <v>57</v>
      </c>
      <c r="L26" t="s">
        <v>58</v>
      </c>
      <c r="M26" t="s">
        <v>59</v>
      </c>
      <c r="N26" t="s">
        <v>59</v>
      </c>
      <c r="O26" t="s">
        <v>59</v>
      </c>
      <c r="P26" t="s">
        <v>59</v>
      </c>
      <c r="Q26" t="s">
        <v>59</v>
      </c>
      <c r="R26" t="s">
        <v>59</v>
      </c>
      <c r="S26" t="s">
        <v>59</v>
      </c>
      <c r="T26" t="s">
        <v>59</v>
      </c>
      <c r="U26" t="s">
        <v>60</v>
      </c>
      <c r="V26" t="s">
        <v>59</v>
      </c>
      <c r="W26" t="s">
        <v>59</v>
      </c>
      <c r="X26" t="s">
        <v>59</v>
      </c>
      <c r="Y26" t="s">
        <v>59</v>
      </c>
      <c r="Z26" t="s">
        <v>59</v>
      </c>
      <c r="AA26" t="s">
        <v>60</v>
      </c>
      <c r="AB26" t="s">
        <v>61</v>
      </c>
      <c r="AC26" t="s">
        <v>61</v>
      </c>
      <c r="AD26" t="s">
        <v>59</v>
      </c>
      <c r="AE26" t="s">
        <v>59</v>
      </c>
      <c r="AF26" t="s">
        <v>61</v>
      </c>
      <c r="AG26" t="s">
        <v>59</v>
      </c>
      <c r="AH26" t="s">
        <v>61</v>
      </c>
      <c r="AI26" t="s">
        <v>61</v>
      </c>
      <c r="AJ26" t="s">
        <v>59</v>
      </c>
      <c r="AK26" t="s">
        <v>59</v>
      </c>
      <c r="AL26" t="s">
        <v>60</v>
      </c>
      <c r="AM26" t="s">
        <v>59</v>
      </c>
      <c r="AN26" t="s">
        <v>59</v>
      </c>
      <c r="AO26" t="s">
        <v>59</v>
      </c>
      <c r="AP26" t="s">
        <v>164</v>
      </c>
      <c r="AQ26" s="1" t="s">
        <v>165</v>
      </c>
      <c r="AR26" t="s">
        <v>64</v>
      </c>
      <c r="AS26" t="s">
        <v>166</v>
      </c>
      <c r="AT26" t="s">
        <v>167</v>
      </c>
      <c r="AW26" s="4">
        <f t="shared" si="0"/>
        <v>6</v>
      </c>
      <c r="AX26" s="4">
        <f t="shared" si="1"/>
        <v>4</v>
      </c>
      <c r="AY26" s="4">
        <f t="shared" si="2"/>
        <v>4</v>
      </c>
      <c r="AZ26" s="4">
        <f t="shared" si="3"/>
        <v>2</v>
      </c>
      <c r="BA26" s="4">
        <f t="shared" si="4"/>
        <v>4</v>
      </c>
      <c r="BB26" s="4">
        <f t="shared" si="5"/>
        <v>4</v>
      </c>
      <c r="BC26" s="4">
        <f t="shared" si="6"/>
        <v>4</v>
      </c>
      <c r="BD26" s="4">
        <f t="shared" si="7"/>
        <v>2</v>
      </c>
      <c r="BE26" s="4" t="str">
        <f t="shared" si="8"/>
        <v>0</v>
      </c>
      <c r="BF26" s="4">
        <f t="shared" si="9"/>
        <v>2</v>
      </c>
      <c r="BG26" s="4">
        <f t="shared" si="10"/>
        <v>4</v>
      </c>
      <c r="BH26" s="4">
        <f t="shared" si="11"/>
        <v>4</v>
      </c>
      <c r="BI26" s="4">
        <f t="shared" si="12"/>
        <v>4</v>
      </c>
      <c r="BJ26" s="4">
        <f t="shared" si="13"/>
        <v>2</v>
      </c>
      <c r="BK26" s="4" t="str">
        <f t="shared" si="14"/>
        <v>0</v>
      </c>
      <c r="BL26" s="4">
        <f t="shared" si="15"/>
        <v>2</v>
      </c>
      <c r="BM26" s="4">
        <f t="shared" si="16"/>
        <v>4</v>
      </c>
      <c r="BN26" s="4">
        <f t="shared" si="17"/>
        <v>4</v>
      </c>
      <c r="BO26" s="4">
        <f t="shared" si="18"/>
        <v>4</v>
      </c>
      <c r="BP26" s="4">
        <f t="shared" si="19"/>
        <v>4</v>
      </c>
      <c r="BQ26" s="4">
        <f t="shared" si="20"/>
        <v>6</v>
      </c>
      <c r="BR26" s="4">
        <f t="shared" si="21"/>
        <v>4</v>
      </c>
      <c r="BS26" s="4">
        <f t="shared" si="22"/>
        <v>4</v>
      </c>
      <c r="BT26" s="4">
        <f t="shared" si="23"/>
        <v>4</v>
      </c>
      <c r="BU26" s="4">
        <f t="shared" si="24"/>
        <v>4</v>
      </c>
      <c r="BV26" s="4" t="str">
        <f t="shared" si="25"/>
        <v>0</v>
      </c>
      <c r="BW26" s="4">
        <f t="shared" si="26"/>
        <v>6</v>
      </c>
      <c r="BX26" s="4">
        <f t="shared" si="27"/>
        <v>0</v>
      </c>
      <c r="BY26" s="4">
        <f t="shared" si="28"/>
        <v>0</v>
      </c>
      <c r="BZ26" s="37">
        <f t="shared" si="29"/>
        <v>92</v>
      </c>
      <c r="CA26" s="32" t="e">
        <f>VLOOKUP(J:J,'Agent wise'!A:C,3,0)</f>
        <v>#N/A</v>
      </c>
      <c r="CB26" s="32">
        <f t="shared" si="30"/>
        <v>45931</v>
      </c>
      <c r="CC26" t="str">
        <f t="shared" si="31"/>
        <v>Good</v>
      </c>
      <c r="CE26" s="32"/>
      <c r="CJ26">
        <f t="shared" si="35"/>
        <v>1</v>
      </c>
      <c r="CK26">
        <f t="shared" si="36"/>
        <v>10</v>
      </c>
      <c r="CL26">
        <f t="shared" si="37"/>
        <v>2025</v>
      </c>
    </row>
    <row r="27" spans="1:90" ht="15" customHeight="1" x14ac:dyDescent="0.35">
      <c r="A27" s="40">
        <v>45667.997337962966</v>
      </c>
      <c r="B27" t="s">
        <v>130</v>
      </c>
      <c r="C27" t="s">
        <v>52</v>
      </c>
      <c r="D27" t="s">
        <v>131</v>
      </c>
      <c r="E27" s="32">
        <v>45931</v>
      </c>
      <c r="F27" t="s">
        <v>54</v>
      </c>
      <c r="G27" s="2">
        <v>45667</v>
      </c>
      <c r="H27">
        <v>9446325449</v>
      </c>
      <c r="I27">
        <v>124</v>
      </c>
      <c r="J27" t="s">
        <v>168</v>
      </c>
      <c r="K27" t="s">
        <v>57</v>
      </c>
      <c r="L27" t="s">
        <v>58</v>
      </c>
      <c r="M27" t="s">
        <v>59</v>
      </c>
      <c r="N27" t="s">
        <v>59</v>
      </c>
      <c r="O27" t="s">
        <v>59</v>
      </c>
      <c r="P27" t="s">
        <v>59</v>
      </c>
      <c r="Q27" t="s">
        <v>59</v>
      </c>
      <c r="R27" t="s">
        <v>59</v>
      </c>
      <c r="S27" t="s">
        <v>59</v>
      </c>
      <c r="T27" t="s">
        <v>59</v>
      </c>
      <c r="U27" t="s">
        <v>60</v>
      </c>
      <c r="V27" t="s">
        <v>59</v>
      </c>
      <c r="W27" t="s">
        <v>59</v>
      </c>
      <c r="X27" t="s">
        <v>59</v>
      </c>
      <c r="Y27" t="s">
        <v>59</v>
      </c>
      <c r="Z27" t="s">
        <v>59</v>
      </c>
      <c r="AA27" t="s">
        <v>60</v>
      </c>
      <c r="AB27" t="s">
        <v>60</v>
      </c>
      <c r="AC27" t="s">
        <v>59</v>
      </c>
      <c r="AD27" t="s">
        <v>59</v>
      </c>
      <c r="AE27" t="s">
        <v>59</v>
      </c>
      <c r="AF27" t="s">
        <v>61</v>
      </c>
      <c r="AG27" t="s">
        <v>59</v>
      </c>
      <c r="AH27" t="s">
        <v>61</v>
      </c>
      <c r="AI27" t="s">
        <v>61</v>
      </c>
      <c r="AJ27" t="s">
        <v>59</v>
      </c>
      <c r="AK27" t="s">
        <v>59</v>
      </c>
      <c r="AL27" t="s">
        <v>60</v>
      </c>
      <c r="AM27" t="s">
        <v>59</v>
      </c>
      <c r="AN27" t="s">
        <v>59</v>
      </c>
      <c r="AO27" t="s">
        <v>59</v>
      </c>
      <c r="AP27" s="1" t="s">
        <v>169</v>
      </c>
      <c r="AQ27" s="1" t="s">
        <v>170</v>
      </c>
      <c r="AR27" t="s">
        <v>64</v>
      </c>
      <c r="AS27" t="s">
        <v>171</v>
      </c>
      <c r="AT27" t="s">
        <v>172</v>
      </c>
      <c r="AW27" s="4">
        <f t="shared" si="0"/>
        <v>6</v>
      </c>
      <c r="AX27" s="4">
        <f t="shared" si="1"/>
        <v>4</v>
      </c>
      <c r="AY27" s="4">
        <f t="shared" si="2"/>
        <v>4</v>
      </c>
      <c r="AZ27" s="4">
        <f t="shared" si="3"/>
        <v>2</v>
      </c>
      <c r="BA27" s="4">
        <f t="shared" si="4"/>
        <v>4</v>
      </c>
      <c r="BB27" s="4">
        <f t="shared" si="5"/>
        <v>4</v>
      </c>
      <c r="BC27" s="4">
        <f t="shared" si="6"/>
        <v>4</v>
      </c>
      <c r="BD27" s="4">
        <f t="shared" si="7"/>
        <v>2</v>
      </c>
      <c r="BE27" s="4" t="str">
        <f t="shared" si="8"/>
        <v>0</v>
      </c>
      <c r="BF27" s="4">
        <f t="shared" si="9"/>
        <v>2</v>
      </c>
      <c r="BG27" s="4">
        <f t="shared" si="10"/>
        <v>4</v>
      </c>
      <c r="BH27" s="4">
        <f t="shared" si="11"/>
        <v>4</v>
      </c>
      <c r="BI27" s="4">
        <f t="shared" si="12"/>
        <v>4</v>
      </c>
      <c r="BJ27" s="4">
        <f t="shared" si="13"/>
        <v>2</v>
      </c>
      <c r="BK27" s="4" t="str">
        <f t="shared" si="14"/>
        <v>0</v>
      </c>
      <c r="BL27" s="4" t="str">
        <f t="shared" si="15"/>
        <v>0</v>
      </c>
      <c r="BM27" s="4">
        <f t="shared" si="16"/>
        <v>4</v>
      </c>
      <c r="BN27" s="4">
        <f t="shared" si="17"/>
        <v>4</v>
      </c>
      <c r="BO27" s="4">
        <f t="shared" si="18"/>
        <v>4</v>
      </c>
      <c r="BP27" s="4">
        <f t="shared" si="19"/>
        <v>4</v>
      </c>
      <c r="BQ27" s="4">
        <f t="shared" si="20"/>
        <v>6</v>
      </c>
      <c r="BR27" s="4">
        <f t="shared" si="21"/>
        <v>4</v>
      </c>
      <c r="BS27" s="4">
        <f t="shared" si="22"/>
        <v>4</v>
      </c>
      <c r="BT27" s="4">
        <f t="shared" si="23"/>
        <v>4</v>
      </c>
      <c r="BU27" s="4">
        <f t="shared" si="24"/>
        <v>4</v>
      </c>
      <c r="BV27" s="4" t="str">
        <f t="shared" si="25"/>
        <v>0</v>
      </c>
      <c r="BW27" s="4">
        <f t="shared" si="26"/>
        <v>6</v>
      </c>
      <c r="BX27" s="4">
        <f t="shared" si="27"/>
        <v>0</v>
      </c>
      <c r="BY27" s="4">
        <f t="shared" si="28"/>
        <v>0</v>
      </c>
      <c r="BZ27" s="37">
        <f t="shared" si="29"/>
        <v>90</v>
      </c>
      <c r="CA27" s="32" t="str">
        <f>VLOOKUP(J:J,'Agent wise'!A:C,3,0)</f>
        <v>Shakeer</v>
      </c>
      <c r="CB27" s="32">
        <f t="shared" si="30"/>
        <v>45931</v>
      </c>
      <c r="CC27" t="str">
        <f t="shared" si="31"/>
        <v>Good</v>
      </c>
      <c r="CE27" s="32"/>
      <c r="CJ27">
        <f t="shared" si="35"/>
        <v>1</v>
      </c>
      <c r="CK27">
        <f t="shared" si="36"/>
        <v>10</v>
      </c>
      <c r="CL27">
        <f t="shared" si="37"/>
        <v>2025</v>
      </c>
    </row>
    <row r="28" spans="1:90" ht="15" customHeight="1" x14ac:dyDescent="0.35">
      <c r="A28" s="40">
        <v>45698.005949074082</v>
      </c>
      <c r="B28" t="s">
        <v>130</v>
      </c>
      <c r="C28" t="s">
        <v>52</v>
      </c>
      <c r="D28" t="s">
        <v>131</v>
      </c>
      <c r="E28" s="32">
        <v>45931</v>
      </c>
      <c r="F28" t="s">
        <v>54</v>
      </c>
      <c r="G28" s="2">
        <v>45667</v>
      </c>
      <c r="H28">
        <v>7845308011</v>
      </c>
      <c r="I28">
        <v>128</v>
      </c>
      <c r="J28" t="s">
        <v>173</v>
      </c>
      <c r="K28" t="s">
        <v>71</v>
      </c>
      <c r="L28" t="s">
        <v>72</v>
      </c>
      <c r="M28" t="s">
        <v>59</v>
      </c>
      <c r="N28" t="s">
        <v>59</v>
      </c>
      <c r="O28" t="s">
        <v>59</v>
      </c>
      <c r="P28" t="s">
        <v>59</v>
      </c>
      <c r="Q28" t="s">
        <v>59</v>
      </c>
      <c r="R28" t="s">
        <v>59</v>
      </c>
      <c r="S28" t="s">
        <v>59</v>
      </c>
      <c r="T28" t="s">
        <v>59</v>
      </c>
      <c r="U28" t="s">
        <v>60</v>
      </c>
      <c r="V28" t="s">
        <v>59</v>
      </c>
      <c r="W28" t="s">
        <v>59</v>
      </c>
      <c r="X28" t="s">
        <v>59</v>
      </c>
      <c r="Y28" t="s">
        <v>59</v>
      </c>
      <c r="Z28" t="s">
        <v>59</v>
      </c>
      <c r="AA28" t="s">
        <v>60</v>
      </c>
      <c r="AB28" t="s">
        <v>60</v>
      </c>
      <c r="AC28" t="s">
        <v>60</v>
      </c>
      <c r="AD28" t="s">
        <v>59</v>
      </c>
      <c r="AE28" t="s">
        <v>59</v>
      </c>
      <c r="AF28" t="s">
        <v>61</v>
      </c>
      <c r="AG28" t="s">
        <v>59</v>
      </c>
      <c r="AH28" t="s">
        <v>61</v>
      </c>
      <c r="AI28" t="s">
        <v>61</v>
      </c>
      <c r="AJ28" t="s">
        <v>59</v>
      </c>
      <c r="AK28" t="s">
        <v>59</v>
      </c>
      <c r="AL28" t="s">
        <v>60</v>
      </c>
      <c r="AM28" t="s">
        <v>59</v>
      </c>
      <c r="AN28" t="s">
        <v>59</v>
      </c>
      <c r="AO28" t="s">
        <v>59</v>
      </c>
      <c r="AP28" t="s">
        <v>160</v>
      </c>
      <c r="AQ28" s="1" t="s">
        <v>174</v>
      </c>
      <c r="AR28" t="s">
        <v>64</v>
      </c>
      <c r="AS28" t="s">
        <v>175</v>
      </c>
      <c r="AT28" t="s">
        <v>176</v>
      </c>
      <c r="AW28" s="4">
        <f t="shared" si="0"/>
        <v>6</v>
      </c>
      <c r="AX28" s="4">
        <f t="shared" si="1"/>
        <v>4</v>
      </c>
      <c r="AY28" s="4">
        <f t="shared" si="2"/>
        <v>4</v>
      </c>
      <c r="AZ28" s="4">
        <f t="shared" si="3"/>
        <v>2</v>
      </c>
      <c r="BA28" s="4">
        <f t="shared" si="4"/>
        <v>4</v>
      </c>
      <c r="BB28" s="4">
        <f t="shared" si="5"/>
        <v>4</v>
      </c>
      <c r="BC28" s="4">
        <f t="shared" si="6"/>
        <v>4</v>
      </c>
      <c r="BD28" s="4">
        <f t="shared" si="7"/>
        <v>2</v>
      </c>
      <c r="BE28" s="4" t="str">
        <f t="shared" si="8"/>
        <v>0</v>
      </c>
      <c r="BF28" s="4">
        <f t="shared" si="9"/>
        <v>2</v>
      </c>
      <c r="BG28" s="4">
        <f t="shared" si="10"/>
        <v>4</v>
      </c>
      <c r="BH28" s="4">
        <f t="shared" si="11"/>
        <v>4</v>
      </c>
      <c r="BI28" s="4">
        <f t="shared" si="12"/>
        <v>4</v>
      </c>
      <c r="BJ28" s="4">
        <f t="shared" si="13"/>
        <v>2</v>
      </c>
      <c r="BK28" s="4" t="str">
        <f t="shared" si="14"/>
        <v>0</v>
      </c>
      <c r="BL28" s="4" t="str">
        <f t="shared" si="15"/>
        <v>0</v>
      </c>
      <c r="BM28" s="4" t="str">
        <f t="shared" si="16"/>
        <v>0</v>
      </c>
      <c r="BN28" s="4">
        <f t="shared" si="17"/>
        <v>4</v>
      </c>
      <c r="BO28" s="4">
        <f t="shared" si="18"/>
        <v>4</v>
      </c>
      <c r="BP28" s="4">
        <f t="shared" si="19"/>
        <v>4</v>
      </c>
      <c r="BQ28" s="4">
        <f t="shared" si="20"/>
        <v>6</v>
      </c>
      <c r="BR28" s="4">
        <f t="shared" si="21"/>
        <v>4</v>
      </c>
      <c r="BS28" s="4">
        <f t="shared" si="22"/>
        <v>4</v>
      </c>
      <c r="BT28" s="4">
        <f t="shared" si="23"/>
        <v>4</v>
      </c>
      <c r="BU28" s="4">
        <f t="shared" si="24"/>
        <v>4</v>
      </c>
      <c r="BV28" s="4" t="str">
        <f t="shared" si="25"/>
        <v>0</v>
      </c>
      <c r="BW28" s="4">
        <f t="shared" si="26"/>
        <v>6</v>
      </c>
      <c r="BX28" s="4">
        <f t="shared" si="27"/>
        <v>0</v>
      </c>
      <c r="BY28" s="4">
        <f t="shared" si="28"/>
        <v>0</v>
      </c>
      <c r="BZ28" s="37">
        <f t="shared" si="29"/>
        <v>86</v>
      </c>
      <c r="CA28" s="32" t="str">
        <f>VLOOKUP(J:J,'Agent wise'!A:C,3,0)</f>
        <v>Shakeer</v>
      </c>
      <c r="CB28" s="32">
        <f t="shared" si="30"/>
        <v>45931</v>
      </c>
      <c r="CC28" t="str">
        <f t="shared" si="31"/>
        <v>Average</v>
      </c>
      <c r="CE28" s="32"/>
      <c r="CJ28">
        <f t="shared" si="35"/>
        <v>1</v>
      </c>
      <c r="CK28">
        <f t="shared" si="36"/>
        <v>10</v>
      </c>
      <c r="CL28">
        <f t="shared" si="37"/>
        <v>2025</v>
      </c>
    </row>
    <row r="29" spans="1:90" ht="15" customHeight="1" x14ac:dyDescent="0.35">
      <c r="A29" s="40">
        <v>45698.426979166667</v>
      </c>
      <c r="B29" t="s">
        <v>177</v>
      </c>
      <c r="C29" t="s">
        <v>52</v>
      </c>
      <c r="D29" t="s">
        <v>178</v>
      </c>
      <c r="E29" s="32">
        <v>45931</v>
      </c>
      <c r="F29" t="s">
        <v>90</v>
      </c>
      <c r="G29" t="s">
        <v>55</v>
      </c>
      <c r="H29">
        <v>9751204478</v>
      </c>
      <c r="I29">
        <v>181</v>
      </c>
      <c r="J29" t="s">
        <v>179</v>
      </c>
      <c r="K29" t="s">
        <v>71</v>
      </c>
      <c r="L29" t="s">
        <v>72</v>
      </c>
      <c r="M29" t="s">
        <v>59</v>
      </c>
      <c r="N29" t="s">
        <v>59</v>
      </c>
      <c r="O29" t="s">
        <v>59</v>
      </c>
      <c r="P29" t="s">
        <v>59</v>
      </c>
      <c r="Q29" t="s">
        <v>59</v>
      </c>
      <c r="R29" t="s">
        <v>59</v>
      </c>
      <c r="S29" t="s">
        <v>59</v>
      </c>
      <c r="T29" t="s">
        <v>59</v>
      </c>
      <c r="U29" t="s">
        <v>59</v>
      </c>
      <c r="V29" t="s">
        <v>59</v>
      </c>
      <c r="W29" t="s">
        <v>59</v>
      </c>
      <c r="X29" t="s">
        <v>59</v>
      </c>
      <c r="Y29" t="s">
        <v>59</v>
      </c>
      <c r="Z29" t="s">
        <v>59</v>
      </c>
      <c r="AA29" t="s">
        <v>59</v>
      </c>
      <c r="AB29" t="s">
        <v>59</v>
      </c>
      <c r="AC29" t="s">
        <v>61</v>
      </c>
      <c r="AD29" t="s">
        <v>59</v>
      </c>
      <c r="AE29" t="s">
        <v>60</v>
      </c>
      <c r="AF29" t="s">
        <v>59</v>
      </c>
      <c r="AG29" t="s">
        <v>59</v>
      </c>
      <c r="AH29" t="s">
        <v>61</v>
      </c>
      <c r="AI29" t="s">
        <v>61</v>
      </c>
      <c r="AJ29" t="s">
        <v>59</v>
      </c>
      <c r="AK29" t="s">
        <v>59</v>
      </c>
      <c r="AL29" t="s">
        <v>59</v>
      </c>
      <c r="AM29" t="s">
        <v>59</v>
      </c>
      <c r="AN29" t="s">
        <v>59</v>
      </c>
      <c r="AO29" t="s">
        <v>59</v>
      </c>
      <c r="AP29" t="s">
        <v>180</v>
      </c>
      <c r="AQ29" s="1" t="s">
        <v>181</v>
      </c>
      <c r="AR29" t="s">
        <v>64</v>
      </c>
      <c r="AS29" t="s">
        <v>182</v>
      </c>
      <c r="AT29" t="s">
        <v>95</v>
      </c>
      <c r="AW29" s="4">
        <f t="shared" si="0"/>
        <v>6</v>
      </c>
      <c r="AX29" s="4">
        <f t="shared" si="1"/>
        <v>4</v>
      </c>
      <c r="AY29" s="4">
        <f t="shared" si="2"/>
        <v>4</v>
      </c>
      <c r="AZ29" s="4">
        <f t="shared" si="3"/>
        <v>2</v>
      </c>
      <c r="BA29" s="4">
        <f t="shared" si="4"/>
        <v>4</v>
      </c>
      <c r="BB29" s="4">
        <f t="shared" si="5"/>
        <v>4</v>
      </c>
      <c r="BC29" s="4">
        <f t="shared" si="6"/>
        <v>4</v>
      </c>
      <c r="BD29" s="4">
        <f t="shared" si="7"/>
        <v>2</v>
      </c>
      <c r="BE29" s="4">
        <f t="shared" si="8"/>
        <v>4</v>
      </c>
      <c r="BF29" s="4">
        <f t="shared" si="9"/>
        <v>2</v>
      </c>
      <c r="BG29" s="4">
        <f t="shared" si="10"/>
        <v>4</v>
      </c>
      <c r="BH29" s="4">
        <f t="shared" si="11"/>
        <v>4</v>
      </c>
      <c r="BI29" s="4">
        <f t="shared" si="12"/>
        <v>4</v>
      </c>
      <c r="BJ29" s="4">
        <f t="shared" si="13"/>
        <v>2</v>
      </c>
      <c r="BK29" s="4">
        <f t="shared" si="14"/>
        <v>4</v>
      </c>
      <c r="BL29" s="4">
        <f t="shared" si="15"/>
        <v>2</v>
      </c>
      <c r="BM29" s="4">
        <f t="shared" si="16"/>
        <v>4</v>
      </c>
      <c r="BN29" s="4">
        <f t="shared" si="17"/>
        <v>4</v>
      </c>
      <c r="BO29" s="4" t="str">
        <f t="shared" si="18"/>
        <v>0</v>
      </c>
      <c r="BP29" s="4">
        <f t="shared" si="19"/>
        <v>4</v>
      </c>
      <c r="BQ29" s="4">
        <f t="shared" si="20"/>
        <v>6</v>
      </c>
      <c r="BR29" s="4">
        <f t="shared" si="21"/>
        <v>4</v>
      </c>
      <c r="BS29" s="4">
        <f t="shared" si="22"/>
        <v>4</v>
      </c>
      <c r="BT29" s="4">
        <f t="shared" si="23"/>
        <v>4</v>
      </c>
      <c r="BU29" s="4">
        <f t="shared" si="24"/>
        <v>4</v>
      </c>
      <c r="BV29" s="4">
        <f t="shared" si="25"/>
        <v>0</v>
      </c>
      <c r="BW29" s="4">
        <f t="shared" si="26"/>
        <v>6</v>
      </c>
      <c r="BX29" s="4">
        <f t="shared" si="27"/>
        <v>0</v>
      </c>
      <c r="BY29" s="4">
        <f t="shared" si="28"/>
        <v>0</v>
      </c>
      <c r="BZ29" s="37">
        <f t="shared" si="29"/>
        <v>96</v>
      </c>
      <c r="CA29" s="32" t="str">
        <f>VLOOKUP(J:J,'Agent wise'!A:C,3,0)</f>
        <v>Adharsh</v>
      </c>
      <c r="CB29" s="32">
        <f t="shared" si="30"/>
        <v>45931</v>
      </c>
      <c r="CC29" t="str">
        <f t="shared" si="31"/>
        <v>Excellent</v>
      </c>
      <c r="CE29" s="32"/>
      <c r="CJ29">
        <f t="shared" si="35"/>
        <v>1</v>
      </c>
      <c r="CK29">
        <f t="shared" si="36"/>
        <v>10</v>
      </c>
      <c r="CL29">
        <f t="shared" si="37"/>
        <v>2025</v>
      </c>
    </row>
    <row r="30" spans="1:90" ht="15" customHeight="1" x14ac:dyDescent="0.35">
      <c r="A30" s="40">
        <v>45698.444432870368</v>
      </c>
      <c r="B30" t="s">
        <v>100</v>
      </c>
      <c r="C30" t="s">
        <v>52</v>
      </c>
      <c r="D30" t="s">
        <v>101</v>
      </c>
      <c r="E30" s="32">
        <v>45932</v>
      </c>
      <c r="F30" t="s">
        <v>54</v>
      </c>
      <c r="G30" s="2">
        <v>45667</v>
      </c>
      <c r="H30">
        <v>8330068261</v>
      </c>
      <c r="I30">
        <v>157</v>
      </c>
      <c r="J30" t="s">
        <v>183</v>
      </c>
      <c r="K30" t="s">
        <v>57</v>
      </c>
      <c r="L30" t="s">
        <v>58</v>
      </c>
      <c r="M30" t="s">
        <v>59</v>
      </c>
      <c r="N30" t="s">
        <v>59</v>
      </c>
      <c r="O30" t="s">
        <v>59</v>
      </c>
      <c r="P30" t="s">
        <v>59</v>
      </c>
      <c r="Q30" t="s">
        <v>59</v>
      </c>
      <c r="R30" t="s">
        <v>60</v>
      </c>
      <c r="S30" t="s">
        <v>59</v>
      </c>
      <c r="T30" t="s">
        <v>59</v>
      </c>
      <c r="U30" t="s">
        <v>60</v>
      </c>
      <c r="V30" t="s">
        <v>59</v>
      </c>
      <c r="W30" t="s">
        <v>59</v>
      </c>
      <c r="X30" t="s">
        <v>60</v>
      </c>
      <c r="Y30" t="s">
        <v>59</v>
      </c>
      <c r="Z30" t="s">
        <v>59</v>
      </c>
      <c r="AA30" t="s">
        <v>60</v>
      </c>
      <c r="AB30" t="s">
        <v>61</v>
      </c>
      <c r="AC30" t="s">
        <v>61</v>
      </c>
      <c r="AD30" t="s">
        <v>59</v>
      </c>
      <c r="AE30" t="s">
        <v>60</v>
      </c>
      <c r="AF30" t="s">
        <v>59</v>
      </c>
      <c r="AG30" t="s">
        <v>60</v>
      </c>
      <c r="AH30" t="s">
        <v>59</v>
      </c>
      <c r="AI30" t="s">
        <v>61</v>
      </c>
      <c r="AJ30" t="s">
        <v>59</v>
      </c>
      <c r="AK30" t="s">
        <v>59</v>
      </c>
      <c r="AL30" t="s">
        <v>60</v>
      </c>
      <c r="AM30" t="s">
        <v>59</v>
      </c>
      <c r="AN30" t="s">
        <v>59</v>
      </c>
      <c r="AO30" t="s">
        <v>60</v>
      </c>
      <c r="AP30" t="s">
        <v>184</v>
      </c>
      <c r="AQ30" s="1" t="s">
        <v>185</v>
      </c>
      <c r="AR30" t="s">
        <v>64</v>
      </c>
      <c r="AS30" t="s">
        <v>152</v>
      </c>
      <c r="AT30" t="s">
        <v>186</v>
      </c>
      <c r="AW30" s="4">
        <f t="shared" si="0"/>
        <v>6</v>
      </c>
      <c r="AX30" s="4">
        <f t="shared" si="1"/>
        <v>4</v>
      </c>
      <c r="AY30" s="4">
        <f t="shared" si="2"/>
        <v>4</v>
      </c>
      <c r="AZ30" s="4">
        <f t="shared" si="3"/>
        <v>2</v>
      </c>
      <c r="BA30" s="4">
        <f t="shared" si="4"/>
        <v>4</v>
      </c>
      <c r="BB30" s="4" t="str">
        <f t="shared" si="5"/>
        <v>0</v>
      </c>
      <c r="BC30" s="4">
        <f t="shared" si="6"/>
        <v>4</v>
      </c>
      <c r="BD30" s="4">
        <f t="shared" si="7"/>
        <v>2</v>
      </c>
      <c r="BE30" s="4" t="str">
        <f t="shared" si="8"/>
        <v>0</v>
      </c>
      <c r="BF30" s="4">
        <f t="shared" si="9"/>
        <v>2</v>
      </c>
      <c r="BG30" s="4">
        <f t="shared" si="10"/>
        <v>4</v>
      </c>
      <c r="BH30" s="4" t="str">
        <f t="shared" si="11"/>
        <v>0</v>
      </c>
      <c r="BI30" s="4">
        <f t="shared" si="12"/>
        <v>4</v>
      </c>
      <c r="BJ30" s="4">
        <f t="shared" si="13"/>
        <v>2</v>
      </c>
      <c r="BK30" s="4" t="str">
        <f t="shared" si="14"/>
        <v>0</v>
      </c>
      <c r="BL30" s="4">
        <f t="shared" si="15"/>
        <v>2</v>
      </c>
      <c r="BM30" s="4">
        <f t="shared" si="16"/>
        <v>4</v>
      </c>
      <c r="BN30" s="4">
        <f t="shared" si="17"/>
        <v>4</v>
      </c>
      <c r="BO30" s="4" t="str">
        <f t="shared" si="18"/>
        <v>0</v>
      </c>
      <c r="BP30" s="4">
        <f t="shared" si="19"/>
        <v>4</v>
      </c>
      <c r="BQ30" s="4" t="str">
        <f t="shared" si="20"/>
        <v>0</v>
      </c>
      <c r="BR30" s="4">
        <f t="shared" si="21"/>
        <v>4</v>
      </c>
      <c r="BS30" s="4">
        <f t="shared" si="22"/>
        <v>4</v>
      </c>
      <c r="BT30" s="4">
        <f t="shared" si="23"/>
        <v>4</v>
      </c>
      <c r="BU30" s="4">
        <f t="shared" si="24"/>
        <v>4</v>
      </c>
      <c r="BV30" s="4" t="str">
        <f t="shared" si="25"/>
        <v>0</v>
      </c>
      <c r="BW30" s="4">
        <f t="shared" si="26"/>
        <v>6</v>
      </c>
      <c r="BX30" s="4">
        <f t="shared" si="27"/>
        <v>0</v>
      </c>
      <c r="BY30" s="4" t="str">
        <f t="shared" si="28"/>
        <v>0</v>
      </c>
      <c r="BZ30" s="37">
        <f t="shared" si="29"/>
        <v>74</v>
      </c>
      <c r="CA30" s="32" t="str">
        <f>VLOOKUP(J:J,'Agent wise'!A:C,3,0)</f>
        <v>Adharsh</v>
      </c>
      <c r="CB30" s="32">
        <f t="shared" si="30"/>
        <v>45932</v>
      </c>
      <c r="CC30" t="str">
        <f t="shared" si="31"/>
        <v>FC</v>
      </c>
      <c r="CE30" s="32"/>
      <c r="CJ30">
        <f t="shared" si="35"/>
        <v>2</v>
      </c>
      <c r="CK30">
        <f t="shared" si="36"/>
        <v>10</v>
      </c>
      <c r="CL30">
        <f t="shared" si="37"/>
        <v>2025</v>
      </c>
    </row>
    <row r="31" spans="1:90" ht="15" customHeight="1" x14ac:dyDescent="0.35">
      <c r="A31" s="40">
        <v>45698.45244212963</v>
      </c>
      <c r="B31" t="s">
        <v>100</v>
      </c>
      <c r="C31" t="s">
        <v>52</v>
      </c>
      <c r="D31" t="s">
        <v>101</v>
      </c>
      <c r="E31" s="32">
        <v>45932</v>
      </c>
      <c r="F31" t="s">
        <v>54</v>
      </c>
      <c r="G31" s="2">
        <v>45667</v>
      </c>
      <c r="H31">
        <v>8089911694</v>
      </c>
      <c r="I31">
        <v>145</v>
      </c>
      <c r="J31" t="s">
        <v>187</v>
      </c>
      <c r="K31" t="s">
        <v>57</v>
      </c>
      <c r="L31" t="s">
        <v>58</v>
      </c>
      <c r="M31" t="s">
        <v>59</v>
      </c>
      <c r="N31" t="s">
        <v>59</v>
      </c>
      <c r="O31" t="s">
        <v>59</v>
      </c>
      <c r="P31" t="s">
        <v>59</v>
      </c>
      <c r="Q31" t="s">
        <v>59</v>
      </c>
      <c r="R31" t="s">
        <v>60</v>
      </c>
      <c r="S31" t="s">
        <v>59</v>
      </c>
      <c r="T31" t="s">
        <v>59</v>
      </c>
      <c r="U31" t="s">
        <v>59</v>
      </c>
      <c r="V31" t="s">
        <v>59</v>
      </c>
      <c r="W31" t="s">
        <v>59</v>
      </c>
      <c r="X31" t="s">
        <v>59</v>
      </c>
      <c r="Y31" t="s">
        <v>59</v>
      </c>
      <c r="Z31" t="s">
        <v>59</v>
      </c>
      <c r="AA31" t="s">
        <v>60</v>
      </c>
      <c r="AB31" t="s">
        <v>59</v>
      </c>
      <c r="AC31" t="s">
        <v>59</v>
      </c>
      <c r="AD31" t="s">
        <v>59</v>
      </c>
      <c r="AE31" t="s">
        <v>59</v>
      </c>
      <c r="AF31" t="s">
        <v>59</v>
      </c>
      <c r="AG31" t="s">
        <v>59</v>
      </c>
      <c r="AH31" t="s">
        <v>59</v>
      </c>
      <c r="AI31" t="s">
        <v>61</v>
      </c>
      <c r="AJ31" t="s">
        <v>59</v>
      </c>
      <c r="AK31" t="s">
        <v>59</v>
      </c>
      <c r="AL31" t="s">
        <v>59</v>
      </c>
      <c r="AM31" t="s">
        <v>59</v>
      </c>
      <c r="AN31" t="s">
        <v>59</v>
      </c>
      <c r="AO31" t="s">
        <v>59</v>
      </c>
      <c r="AP31" t="s">
        <v>188</v>
      </c>
      <c r="AQ31" s="1" t="s">
        <v>189</v>
      </c>
      <c r="AR31" t="s">
        <v>64</v>
      </c>
      <c r="AS31" t="s">
        <v>171</v>
      </c>
      <c r="AT31" t="s">
        <v>190</v>
      </c>
      <c r="AW31" s="4">
        <f t="shared" si="0"/>
        <v>6</v>
      </c>
      <c r="AX31" s="4">
        <f t="shared" si="1"/>
        <v>4</v>
      </c>
      <c r="AY31" s="4">
        <f t="shared" si="2"/>
        <v>4</v>
      </c>
      <c r="AZ31" s="4">
        <f t="shared" si="3"/>
        <v>2</v>
      </c>
      <c r="BA31" s="4">
        <f t="shared" si="4"/>
        <v>4</v>
      </c>
      <c r="BB31" s="4" t="str">
        <f t="shared" si="5"/>
        <v>0</v>
      </c>
      <c r="BC31" s="4">
        <f t="shared" si="6"/>
        <v>4</v>
      </c>
      <c r="BD31" s="4">
        <f t="shared" si="7"/>
        <v>2</v>
      </c>
      <c r="BE31" s="4">
        <f t="shared" si="8"/>
        <v>4</v>
      </c>
      <c r="BF31" s="4">
        <f t="shared" si="9"/>
        <v>2</v>
      </c>
      <c r="BG31" s="4">
        <f t="shared" si="10"/>
        <v>4</v>
      </c>
      <c r="BH31" s="4">
        <f t="shared" si="11"/>
        <v>4</v>
      </c>
      <c r="BI31" s="4">
        <f t="shared" si="12"/>
        <v>4</v>
      </c>
      <c r="BJ31" s="4">
        <f t="shared" si="13"/>
        <v>2</v>
      </c>
      <c r="BK31" s="4" t="str">
        <f t="shared" si="14"/>
        <v>0</v>
      </c>
      <c r="BL31" s="4">
        <f t="shared" si="15"/>
        <v>2</v>
      </c>
      <c r="BM31" s="4">
        <f t="shared" si="16"/>
        <v>4</v>
      </c>
      <c r="BN31" s="4">
        <f t="shared" si="17"/>
        <v>4</v>
      </c>
      <c r="BO31" s="4">
        <f t="shared" si="18"/>
        <v>4</v>
      </c>
      <c r="BP31" s="4">
        <f t="shared" si="19"/>
        <v>4</v>
      </c>
      <c r="BQ31" s="4">
        <f t="shared" si="20"/>
        <v>6</v>
      </c>
      <c r="BR31" s="4">
        <f t="shared" si="21"/>
        <v>4</v>
      </c>
      <c r="BS31" s="4">
        <f t="shared" si="22"/>
        <v>4</v>
      </c>
      <c r="BT31" s="4">
        <f t="shared" si="23"/>
        <v>4</v>
      </c>
      <c r="BU31" s="4">
        <f t="shared" si="24"/>
        <v>4</v>
      </c>
      <c r="BV31" s="4">
        <f t="shared" si="25"/>
        <v>0</v>
      </c>
      <c r="BW31" s="4">
        <f t="shared" si="26"/>
        <v>6</v>
      </c>
      <c r="BX31" s="4">
        <f t="shared" si="27"/>
        <v>0</v>
      </c>
      <c r="BY31" s="4">
        <f t="shared" si="28"/>
        <v>0</v>
      </c>
      <c r="BZ31" s="37">
        <f t="shared" si="29"/>
        <v>92</v>
      </c>
      <c r="CA31" s="32" t="e">
        <f>VLOOKUP(J:J,'Agent wise'!A:C,3,0)</f>
        <v>#N/A</v>
      </c>
      <c r="CB31" s="32">
        <f t="shared" si="30"/>
        <v>45932</v>
      </c>
      <c r="CC31" t="str">
        <f t="shared" si="31"/>
        <v>Good</v>
      </c>
      <c r="CE31" s="32"/>
      <c r="CJ31">
        <f t="shared" si="35"/>
        <v>2</v>
      </c>
      <c r="CK31">
        <f t="shared" si="36"/>
        <v>10</v>
      </c>
      <c r="CL31">
        <f t="shared" si="37"/>
        <v>2025</v>
      </c>
    </row>
    <row r="32" spans="1:90" ht="15" customHeight="1" x14ac:dyDescent="0.35">
      <c r="A32" s="40">
        <v>45698.469733796293</v>
      </c>
      <c r="B32" t="s">
        <v>100</v>
      </c>
      <c r="C32" t="s">
        <v>52</v>
      </c>
      <c r="D32" t="s">
        <v>101</v>
      </c>
      <c r="E32" s="32">
        <v>45932</v>
      </c>
      <c r="F32" t="s">
        <v>54</v>
      </c>
      <c r="G32" s="2">
        <v>45667</v>
      </c>
      <c r="H32">
        <v>8056585548</v>
      </c>
      <c r="I32">
        <v>248</v>
      </c>
      <c r="J32" t="s">
        <v>191</v>
      </c>
      <c r="K32" t="s">
        <v>71</v>
      </c>
      <c r="L32" t="s">
        <v>72</v>
      </c>
      <c r="M32" t="s">
        <v>60</v>
      </c>
      <c r="N32" t="s">
        <v>59</v>
      </c>
      <c r="O32" t="s">
        <v>59</v>
      </c>
      <c r="P32" t="s">
        <v>59</v>
      </c>
      <c r="Q32" t="s">
        <v>59</v>
      </c>
      <c r="R32" t="s">
        <v>60</v>
      </c>
      <c r="S32" t="s">
        <v>59</v>
      </c>
      <c r="T32" t="s">
        <v>59</v>
      </c>
      <c r="U32" t="s">
        <v>59</v>
      </c>
      <c r="V32" t="s">
        <v>59</v>
      </c>
      <c r="W32" t="s">
        <v>59</v>
      </c>
      <c r="X32" t="s">
        <v>59</v>
      </c>
      <c r="Y32" t="s">
        <v>59</v>
      </c>
      <c r="Z32" t="s">
        <v>59</v>
      </c>
      <c r="AA32" t="s">
        <v>60</v>
      </c>
      <c r="AB32" t="s">
        <v>59</v>
      </c>
      <c r="AC32" t="s">
        <v>59</v>
      </c>
      <c r="AD32" t="s">
        <v>59</v>
      </c>
      <c r="AE32" t="s">
        <v>59</v>
      </c>
      <c r="AF32" t="s">
        <v>59</v>
      </c>
      <c r="AG32" t="s">
        <v>60</v>
      </c>
      <c r="AH32" t="s">
        <v>59</v>
      </c>
      <c r="AI32" t="s">
        <v>61</v>
      </c>
      <c r="AJ32" t="s">
        <v>59</v>
      </c>
      <c r="AK32" t="s">
        <v>59</v>
      </c>
      <c r="AL32" t="s">
        <v>59</v>
      </c>
      <c r="AM32" t="s">
        <v>59</v>
      </c>
      <c r="AN32" t="s">
        <v>59</v>
      </c>
      <c r="AO32" t="s">
        <v>60</v>
      </c>
      <c r="AP32" t="s">
        <v>192</v>
      </c>
      <c r="AQ32" s="1" t="s">
        <v>193</v>
      </c>
      <c r="AR32" t="s">
        <v>64</v>
      </c>
      <c r="AS32" t="s">
        <v>135</v>
      </c>
      <c r="AT32" t="s">
        <v>194</v>
      </c>
      <c r="AW32" s="4" t="str">
        <f t="shared" si="0"/>
        <v>0</v>
      </c>
      <c r="AX32" s="4">
        <f t="shared" si="1"/>
        <v>4</v>
      </c>
      <c r="AY32" s="4">
        <f t="shared" si="2"/>
        <v>4</v>
      </c>
      <c r="AZ32" s="4">
        <f t="shared" si="3"/>
        <v>2</v>
      </c>
      <c r="BA32" s="4">
        <f t="shared" si="4"/>
        <v>4</v>
      </c>
      <c r="BB32" s="4" t="str">
        <f t="shared" si="5"/>
        <v>0</v>
      </c>
      <c r="BC32" s="4">
        <f t="shared" si="6"/>
        <v>4</v>
      </c>
      <c r="BD32" s="4">
        <f t="shared" si="7"/>
        <v>2</v>
      </c>
      <c r="BE32" s="4">
        <f t="shared" si="8"/>
        <v>4</v>
      </c>
      <c r="BF32" s="4">
        <f t="shared" si="9"/>
        <v>2</v>
      </c>
      <c r="BG32" s="4">
        <f t="shared" si="10"/>
        <v>4</v>
      </c>
      <c r="BH32" s="4">
        <f t="shared" si="11"/>
        <v>4</v>
      </c>
      <c r="BI32" s="4">
        <f t="shared" si="12"/>
        <v>4</v>
      </c>
      <c r="BJ32" s="4">
        <f t="shared" si="13"/>
        <v>2</v>
      </c>
      <c r="BK32" s="4" t="str">
        <f t="shared" si="14"/>
        <v>0</v>
      </c>
      <c r="BL32" s="4">
        <f t="shared" si="15"/>
        <v>2</v>
      </c>
      <c r="BM32" s="4">
        <f t="shared" si="16"/>
        <v>4</v>
      </c>
      <c r="BN32" s="4">
        <f t="shared" si="17"/>
        <v>4</v>
      </c>
      <c r="BO32" s="4">
        <f t="shared" si="18"/>
        <v>4</v>
      </c>
      <c r="BP32" s="4">
        <f t="shared" si="19"/>
        <v>4</v>
      </c>
      <c r="BQ32" s="4" t="str">
        <f t="shared" si="20"/>
        <v>0</v>
      </c>
      <c r="BR32" s="4">
        <f t="shared" si="21"/>
        <v>4</v>
      </c>
      <c r="BS32" s="4">
        <f t="shared" si="22"/>
        <v>4</v>
      </c>
      <c r="BT32" s="4">
        <f t="shared" si="23"/>
        <v>4</v>
      </c>
      <c r="BU32" s="4">
        <f t="shared" si="24"/>
        <v>4</v>
      </c>
      <c r="BV32" s="4">
        <f t="shared" si="25"/>
        <v>0</v>
      </c>
      <c r="BW32" s="4">
        <f t="shared" si="26"/>
        <v>6</v>
      </c>
      <c r="BX32" s="4">
        <f t="shared" si="27"/>
        <v>0</v>
      </c>
      <c r="BY32" s="4" t="str">
        <f t="shared" si="28"/>
        <v>0</v>
      </c>
      <c r="BZ32" s="37">
        <f t="shared" si="29"/>
        <v>80</v>
      </c>
      <c r="CA32" s="32" t="str">
        <f>VLOOKUP(J:J,'Agent wise'!A:C,3,0)</f>
        <v>Saran S</v>
      </c>
      <c r="CB32" s="32">
        <f t="shared" si="30"/>
        <v>45932</v>
      </c>
      <c r="CC32" t="str">
        <f t="shared" si="31"/>
        <v>FC</v>
      </c>
      <c r="CE32" s="32"/>
      <c r="CJ32">
        <f t="shared" si="35"/>
        <v>2</v>
      </c>
      <c r="CK32">
        <f t="shared" si="36"/>
        <v>10</v>
      </c>
      <c r="CL32">
        <f t="shared" si="37"/>
        <v>2025</v>
      </c>
    </row>
    <row r="33" spans="1:90" ht="15" customHeight="1" x14ac:dyDescent="0.35">
      <c r="A33" s="40">
        <v>45698.478483796287</v>
      </c>
      <c r="B33" t="s">
        <v>100</v>
      </c>
      <c r="C33" t="s">
        <v>52</v>
      </c>
      <c r="D33" t="s">
        <v>101</v>
      </c>
      <c r="E33" s="32">
        <v>45932</v>
      </c>
      <c r="F33" t="s">
        <v>54</v>
      </c>
      <c r="G33" s="2">
        <v>45667</v>
      </c>
      <c r="H33">
        <v>9400647054</v>
      </c>
      <c r="I33">
        <v>161</v>
      </c>
      <c r="J33" t="s">
        <v>195</v>
      </c>
      <c r="K33" t="s">
        <v>57</v>
      </c>
      <c r="L33" t="s">
        <v>58</v>
      </c>
      <c r="M33" t="s">
        <v>59</v>
      </c>
      <c r="N33" t="s">
        <v>59</v>
      </c>
      <c r="O33" t="s">
        <v>59</v>
      </c>
      <c r="P33" t="s">
        <v>59</v>
      </c>
      <c r="Q33" t="s">
        <v>59</v>
      </c>
      <c r="R33" t="s">
        <v>60</v>
      </c>
      <c r="S33" t="s">
        <v>59</v>
      </c>
      <c r="T33" t="s">
        <v>59</v>
      </c>
      <c r="U33" t="s">
        <v>59</v>
      </c>
      <c r="V33" t="s">
        <v>59</v>
      </c>
      <c r="W33" t="s">
        <v>59</v>
      </c>
      <c r="X33" t="s">
        <v>59</v>
      </c>
      <c r="Y33" t="s">
        <v>59</v>
      </c>
      <c r="Z33" t="s">
        <v>59</v>
      </c>
      <c r="AA33" t="s">
        <v>60</v>
      </c>
      <c r="AB33" t="s">
        <v>59</v>
      </c>
      <c r="AC33" t="s">
        <v>59</v>
      </c>
      <c r="AD33" t="s">
        <v>59</v>
      </c>
      <c r="AE33" t="s">
        <v>59</v>
      </c>
      <c r="AF33" t="s">
        <v>59</v>
      </c>
      <c r="AG33" t="s">
        <v>59</v>
      </c>
      <c r="AH33" t="s">
        <v>59</v>
      </c>
      <c r="AI33" t="s">
        <v>59</v>
      </c>
      <c r="AJ33" t="s">
        <v>59</v>
      </c>
      <c r="AK33" t="s">
        <v>59</v>
      </c>
      <c r="AL33" t="s">
        <v>59</v>
      </c>
      <c r="AM33" t="s">
        <v>59</v>
      </c>
      <c r="AN33" t="s">
        <v>59</v>
      </c>
      <c r="AO33" t="s">
        <v>59</v>
      </c>
      <c r="AP33" s="1" t="s">
        <v>196</v>
      </c>
      <c r="AQ33" s="1" t="s">
        <v>197</v>
      </c>
      <c r="AR33" t="s">
        <v>64</v>
      </c>
      <c r="AS33" t="s">
        <v>198</v>
      </c>
      <c r="AT33" t="s">
        <v>199</v>
      </c>
      <c r="AW33" s="4">
        <f t="shared" si="0"/>
        <v>6</v>
      </c>
      <c r="AX33" s="4">
        <f t="shared" si="1"/>
        <v>4</v>
      </c>
      <c r="AY33" s="4">
        <f t="shared" si="2"/>
        <v>4</v>
      </c>
      <c r="AZ33" s="4">
        <f t="shared" si="3"/>
        <v>2</v>
      </c>
      <c r="BA33" s="4">
        <f t="shared" si="4"/>
        <v>4</v>
      </c>
      <c r="BB33" s="4" t="str">
        <f t="shared" si="5"/>
        <v>0</v>
      </c>
      <c r="BC33" s="4">
        <f t="shared" si="6"/>
        <v>4</v>
      </c>
      <c r="BD33" s="4">
        <f t="shared" si="7"/>
        <v>2</v>
      </c>
      <c r="BE33" s="4">
        <f t="shared" si="8"/>
        <v>4</v>
      </c>
      <c r="BF33" s="4">
        <f t="shared" si="9"/>
        <v>2</v>
      </c>
      <c r="BG33" s="4">
        <f t="shared" si="10"/>
        <v>4</v>
      </c>
      <c r="BH33" s="4">
        <f t="shared" si="11"/>
        <v>4</v>
      </c>
      <c r="BI33" s="4">
        <f t="shared" si="12"/>
        <v>4</v>
      </c>
      <c r="BJ33" s="4">
        <f t="shared" si="13"/>
        <v>2</v>
      </c>
      <c r="BK33" s="4" t="str">
        <f t="shared" si="14"/>
        <v>0</v>
      </c>
      <c r="BL33" s="4">
        <f t="shared" si="15"/>
        <v>2</v>
      </c>
      <c r="BM33" s="4">
        <f t="shared" si="16"/>
        <v>4</v>
      </c>
      <c r="BN33" s="4">
        <f t="shared" si="17"/>
        <v>4</v>
      </c>
      <c r="BO33" s="4">
        <f t="shared" si="18"/>
        <v>4</v>
      </c>
      <c r="BP33" s="4">
        <f t="shared" si="19"/>
        <v>4</v>
      </c>
      <c r="BQ33" s="4">
        <f t="shared" si="20"/>
        <v>6</v>
      </c>
      <c r="BR33" s="4">
        <f t="shared" si="21"/>
        <v>4</v>
      </c>
      <c r="BS33" s="4">
        <f t="shared" si="22"/>
        <v>4</v>
      </c>
      <c r="BT33" s="4">
        <f t="shared" si="23"/>
        <v>4</v>
      </c>
      <c r="BU33" s="4">
        <f t="shared" si="24"/>
        <v>4</v>
      </c>
      <c r="BV33" s="4">
        <f t="shared" si="25"/>
        <v>0</v>
      </c>
      <c r="BW33" s="4">
        <f t="shared" si="26"/>
        <v>6</v>
      </c>
      <c r="BX33" s="4">
        <f t="shared" si="27"/>
        <v>0</v>
      </c>
      <c r="BY33" s="4">
        <f t="shared" si="28"/>
        <v>0</v>
      </c>
      <c r="BZ33" s="37">
        <f t="shared" si="29"/>
        <v>92</v>
      </c>
      <c r="CA33" s="32" t="str">
        <f>VLOOKUP(J:J,'Agent wise'!A:C,3,0)</f>
        <v>Adharsh</v>
      </c>
      <c r="CB33" s="32">
        <f t="shared" si="30"/>
        <v>45932</v>
      </c>
      <c r="CC33" t="str">
        <f t="shared" si="31"/>
        <v>Good</v>
      </c>
      <c r="CE33" s="32"/>
      <c r="CJ33">
        <f t="shared" si="35"/>
        <v>2</v>
      </c>
      <c r="CK33">
        <f t="shared" si="36"/>
        <v>10</v>
      </c>
      <c r="CL33">
        <f t="shared" si="37"/>
        <v>2025</v>
      </c>
    </row>
    <row r="34" spans="1:90" ht="15" customHeight="1" x14ac:dyDescent="0.35">
      <c r="A34" s="40">
        <v>45698.479490740741</v>
      </c>
      <c r="B34" t="s">
        <v>177</v>
      </c>
      <c r="C34" t="s">
        <v>52</v>
      </c>
      <c r="D34" t="s">
        <v>178</v>
      </c>
      <c r="E34" s="32">
        <v>45931</v>
      </c>
      <c r="F34" t="s">
        <v>90</v>
      </c>
      <c r="G34" t="s">
        <v>55</v>
      </c>
      <c r="H34">
        <v>9894713944</v>
      </c>
      <c r="I34">
        <v>198</v>
      </c>
      <c r="J34" t="s">
        <v>96</v>
      </c>
      <c r="K34" t="s">
        <v>71</v>
      </c>
      <c r="L34" t="s">
        <v>72</v>
      </c>
      <c r="M34" t="s">
        <v>59</v>
      </c>
      <c r="N34" t="s">
        <v>59</v>
      </c>
      <c r="O34" t="s">
        <v>59</v>
      </c>
      <c r="P34" t="s">
        <v>59</v>
      </c>
      <c r="Q34" t="s">
        <v>59</v>
      </c>
      <c r="R34" t="s">
        <v>59</v>
      </c>
      <c r="S34" t="s">
        <v>59</v>
      </c>
      <c r="T34" t="s">
        <v>59</v>
      </c>
      <c r="U34" t="s">
        <v>59</v>
      </c>
      <c r="V34" t="s">
        <v>59</v>
      </c>
      <c r="W34" t="s">
        <v>59</v>
      </c>
      <c r="X34" t="s">
        <v>59</v>
      </c>
      <c r="Y34" t="s">
        <v>59</v>
      </c>
      <c r="Z34" t="s">
        <v>59</v>
      </c>
      <c r="AA34" t="s">
        <v>59</v>
      </c>
      <c r="AB34" t="s">
        <v>59</v>
      </c>
      <c r="AC34" t="s">
        <v>59</v>
      </c>
      <c r="AD34" t="s">
        <v>59</v>
      </c>
      <c r="AE34" t="s">
        <v>60</v>
      </c>
      <c r="AF34" t="s">
        <v>59</v>
      </c>
      <c r="AG34" t="s">
        <v>59</v>
      </c>
      <c r="AH34" t="s">
        <v>59</v>
      </c>
      <c r="AI34" t="s">
        <v>61</v>
      </c>
      <c r="AJ34" t="s">
        <v>59</v>
      </c>
      <c r="AK34" t="s">
        <v>59</v>
      </c>
      <c r="AL34" t="s">
        <v>59</v>
      </c>
      <c r="AM34" t="s">
        <v>59</v>
      </c>
      <c r="AN34" t="s">
        <v>59</v>
      </c>
      <c r="AO34" t="s">
        <v>60</v>
      </c>
      <c r="AP34" t="s">
        <v>200</v>
      </c>
      <c r="AQ34" s="1" t="s">
        <v>201</v>
      </c>
      <c r="AR34" t="s">
        <v>64</v>
      </c>
      <c r="AS34" t="s">
        <v>202</v>
      </c>
      <c r="AT34" t="s">
        <v>203</v>
      </c>
      <c r="AW34" s="4">
        <f t="shared" si="0"/>
        <v>6</v>
      </c>
      <c r="AX34" s="4">
        <f t="shared" si="1"/>
        <v>4</v>
      </c>
      <c r="AY34" s="4">
        <f t="shared" si="2"/>
        <v>4</v>
      </c>
      <c r="AZ34" s="4">
        <f t="shared" si="3"/>
        <v>2</v>
      </c>
      <c r="BA34" s="4">
        <f t="shared" si="4"/>
        <v>4</v>
      </c>
      <c r="BB34" s="4">
        <f t="shared" si="5"/>
        <v>4</v>
      </c>
      <c r="BC34" s="4">
        <f t="shared" si="6"/>
        <v>4</v>
      </c>
      <c r="BD34" s="4">
        <f t="shared" si="7"/>
        <v>2</v>
      </c>
      <c r="BE34" s="4">
        <f t="shared" si="8"/>
        <v>4</v>
      </c>
      <c r="BF34" s="4">
        <f t="shared" si="9"/>
        <v>2</v>
      </c>
      <c r="BG34" s="4">
        <f t="shared" si="10"/>
        <v>4</v>
      </c>
      <c r="BH34" s="4">
        <f t="shared" si="11"/>
        <v>4</v>
      </c>
      <c r="BI34" s="4">
        <f t="shared" si="12"/>
        <v>4</v>
      </c>
      <c r="BJ34" s="4">
        <f t="shared" si="13"/>
        <v>2</v>
      </c>
      <c r="BK34" s="4">
        <f t="shared" si="14"/>
        <v>4</v>
      </c>
      <c r="BL34" s="4">
        <f t="shared" si="15"/>
        <v>2</v>
      </c>
      <c r="BM34" s="4">
        <f t="shared" si="16"/>
        <v>4</v>
      </c>
      <c r="BN34" s="4">
        <f t="shared" si="17"/>
        <v>4</v>
      </c>
      <c r="BO34" s="4" t="str">
        <f t="shared" si="18"/>
        <v>0</v>
      </c>
      <c r="BP34" s="4">
        <f t="shared" si="19"/>
        <v>4</v>
      </c>
      <c r="BQ34" s="4">
        <f t="shared" si="20"/>
        <v>6</v>
      </c>
      <c r="BR34" s="4">
        <f t="shared" si="21"/>
        <v>4</v>
      </c>
      <c r="BS34" s="4">
        <f t="shared" si="22"/>
        <v>4</v>
      </c>
      <c r="BT34" s="4">
        <f t="shared" si="23"/>
        <v>4</v>
      </c>
      <c r="BU34" s="4">
        <f t="shared" si="24"/>
        <v>4</v>
      </c>
      <c r="BV34" s="4">
        <f t="shared" si="25"/>
        <v>0</v>
      </c>
      <c r="BW34" s="4">
        <f t="shared" si="26"/>
        <v>6</v>
      </c>
      <c r="BX34" s="4">
        <f t="shared" si="27"/>
        <v>0</v>
      </c>
      <c r="BY34" s="4" t="str">
        <f t="shared" si="28"/>
        <v>0</v>
      </c>
      <c r="BZ34" s="37">
        <f t="shared" si="29"/>
        <v>96</v>
      </c>
      <c r="CA34" s="32" t="str">
        <f>VLOOKUP(J:J,'Agent wise'!A:C,3,0)</f>
        <v xml:space="preserve">Shiny </v>
      </c>
      <c r="CB34" s="32">
        <f t="shared" si="30"/>
        <v>45931</v>
      </c>
      <c r="CC34" t="str">
        <f t="shared" si="31"/>
        <v>Excellent</v>
      </c>
      <c r="CE34" s="32"/>
      <c r="CJ34">
        <f t="shared" si="35"/>
        <v>1</v>
      </c>
      <c r="CK34">
        <f t="shared" si="36"/>
        <v>10</v>
      </c>
      <c r="CL34">
        <f t="shared" si="37"/>
        <v>2025</v>
      </c>
    </row>
    <row r="35" spans="1:90" ht="15" customHeight="1" x14ac:dyDescent="0.35">
      <c r="A35" s="40">
        <v>45698.496342592603</v>
      </c>
      <c r="B35" t="s">
        <v>100</v>
      </c>
      <c r="C35" t="s">
        <v>52</v>
      </c>
      <c r="D35" t="s">
        <v>101</v>
      </c>
      <c r="E35" s="32">
        <v>45932</v>
      </c>
      <c r="F35" t="s">
        <v>54</v>
      </c>
      <c r="G35" s="2">
        <v>45667</v>
      </c>
      <c r="H35">
        <v>8943722655</v>
      </c>
      <c r="I35">
        <v>163</v>
      </c>
      <c r="J35" t="s">
        <v>204</v>
      </c>
      <c r="K35" t="s">
        <v>57</v>
      </c>
      <c r="L35" t="s">
        <v>58</v>
      </c>
      <c r="M35" t="s">
        <v>59</v>
      </c>
      <c r="N35" t="s">
        <v>59</v>
      </c>
      <c r="O35" t="s">
        <v>59</v>
      </c>
      <c r="P35" t="s">
        <v>59</v>
      </c>
      <c r="Q35" t="s">
        <v>59</v>
      </c>
      <c r="R35" t="s">
        <v>60</v>
      </c>
      <c r="S35" t="s">
        <v>59</v>
      </c>
      <c r="T35" t="s">
        <v>59</v>
      </c>
      <c r="U35" t="s">
        <v>59</v>
      </c>
      <c r="V35" t="s">
        <v>59</v>
      </c>
      <c r="W35" t="s">
        <v>59</v>
      </c>
      <c r="X35" t="s">
        <v>59</v>
      </c>
      <c r="Y35" t="s">
        <v>59</v>
      </c>
      <c r="Z35" t="s">
        <v>59</v>
      </c>
      <c r="AA35" t="s">
        <v>60</v>
      </c>
      <c r="AB35" t="s">
        <v>59</v>
      </c>
      <c r="AC35" t="s">
        <v>60</v>
      </c>
      <c r="AD35" t="s">
        <v>59</v>
      </c>
      <c r="AE35" t="s">
        <v>59</v>
      </c>
      <c r="AF35" t="s">
        <v>59</v>
      </c>
      <c r="AG35" t="s">
        <v>60</v>
      </c>
      <c r="AH35" t="s">
        <v>59</v>
      </c>
      <c r="AI35" t="s">
        <v>61</v>
      </c>
      <c r="AJ35" t="s">
        <v>59</v>
      </c>
      <c r="AK35" t="s">
        <v>59</v>
      </c>
      <c r="AL35" t="s">
        <v>59</v>
      </c>
      <c r="AM35" t="s">
        <v>59</v>
      </c>
      <c r="AN35" t="s">
        <v>59</v>
      </c>
      <c r="AO35" t="s">
        <v>59</v>
      </c>
      <c r="AP35" t="s">
        <v>205</v>
      </c>
      <c r="AQ35" s="1" t="s">
        <v>206</v>
      </c>
      <c r="AR35" t="s">
        <v>64</v>
      </c>
      <c r="AS35" t="s">
        <v>198</v>
      </c>
      <c r="AT35" t="s">
        <v>207</v>
      </c>
      <c r="AW35" s="4">
        <f t="shared" si="0"/>
        <v>6</v>
      </c>
      <c r="AX35" s="4">
        <f t="shared" si="1"/>
        <v>4</v>
      </c>
      <c r="AY35" s="4">
        <f t="shared" si="2"/>
        <v>4</v>
      </c>
      <c r="AZ35" s="4">
        <f t="shared" si="3"/>
        <v>2</v>
      </c>
      <c r="BA35" s="4">
        <f t="shared" si="4"/>
        <v>4</v>
      </c>
      <c r="BB35" s="4" t="str">
        <f t="shared" si="5"/>
        <v>0</v>
      </c>
      <c r="BC35" s="4">
        <f t="shared" si="6"/>
        <v>4</v>
      </c>
      <c r="BD35" s="4">
        <f t="shared" si="7"/>
        <v>2</v>
      </c>
      <c r="BE35" s="4">
        <f t="shared" si="8"/>
        <v>4</v>
      </c>
      <c r="BF35" s="4">
        <f t="shared" si="9"/>
        <v>2</v>
      </c>
      <c r="BG35" s="4">
        <f t="shared" si="10"/>
        <v>4</v>
      </c>
      <c r="BH35" s="4">
        <f t="shared" si="11"/>
        <v>4</v>
      </c>
      <c r="BI35" s="4">
        <f t="shared" si="12"/>
        <v>4</v>
      </c>
      <c r="BJ35" s="4">
        <f t="shared" si="13"/>
        <v>2</v>
      </c>
      <c r="BK35" s="4" t="str">
        <f t="shared" si="14"/>
        <v>0</v>
      </c>
      <c r="BL35" s="4">
        <f t="shared" si="15"/>
        <v>2</v>
      </c>
      <c r="BM35" s="4" t="str">
        <f t="shared" si="16"/>
        <v>0</v>
      </c>
      <c r="BN35" s="4">
        <f t="shared" si="17"/>
        <v>4</v>
      </c>
      <c r="BO35" s="4">
        <f t="shared" si="18"/>
        <v>4</v>
      </c>
      <c r="BP35" s="4">
        <f t="shared" si="19"/>
        <v>4</v>
      </c>
      <c r="BQ35" s="4" t="str">
        <f t="shared" si="20"/>
        <v>0</v>
      </c>
      <c r="BR35" s="4">
        <f t="shared" si="21"/>
        <v>4</v>
      </c>
      <c r="BS35" s="4">
        <f t="shared" si="22"/>
        <v>4</v>
      </c>
      <c r="BT35" s="4">
        <f t="shared" si="23"/>
        <v>4</v>
      </c>
      <c r="BU35" s="4">
        <f t="shared" si="24"/>
        <v>4</v>
      </c>
      <c r="BV35" s="4">
        <f t="shared" si="25"/>
        <v>0</v>
      </c>
      <c r="BW35" s="4">
        <f t="shared" si="26"/>
        <v>6</v>
      </c>
      <c r="BX35" s="4">
        <f t="shared" si="27"/>
        <v>0</v>
      </c>
      <c r="BY35" s="4">
        <f t="shared" si="28"/>
        <v>0</v>
      </c>
      <c r="BZ35" s="37">
        <f t="shared" si="29"/>
        <v>82</v>
      </c>
      <c r="CA35" s="32" t="str">
        <f>VLOOKUP(J:J,'Agent wise'!A:C,3,0)</f>
        <v xml:space="preserve">Shiny </v>
      </c>
      <c r="CB35" s="32">
        <f t="shared" si="30"/>
        <v>45932</v>
      </c>
      <c r="CC35" t="str">
        <f t="shared" si="31"/>
        <v>FC</v>
      </c>
      <c r="CE35" s="32"/>
      <c r="CJ35">
        <f t="shared" si="35"/>
        <v>2</v>
      </c>
      <c r="CK35">
        <f t="shared" si="36"/>
        <v>10</v>
      </c>
      <c r="CL35">
        <f t="shared" si="37"/>
        <v>2025</v>
      </c>
    </row>
    <row r="36" spans="1:90" ht="15" customHeight="1" x14ac:dyDescent="0.35">
      <c r="A36" s="40">
        <v>45698.503240740742</v>
      </c>
      <c r="B36" t="s">
        <v>177</v>
      </c>
      <c r="C36" t="s">
        <v>52</v>
      </c>
      <c r="D36" t="s">
        <v>178</v>
      </c>
      <c r="E36" s="32">
        <v>45932</v>
      </c>
      <c r="F36" t="s">
        <v>90</v>
      </c>
      <c r="G36" s="2">
        <v>45667</v>
      </c>
      <c r="H36">
        <v>9487716094</v>
      </c>
      <c r="I36">
        <v>196</v>
      </c>
      <c r="J36" t="s">
        <v>208</v>
      </c>
      <c r="K36" t="s">
        <v>71</v>
      </c>
      <c r="L36" t="s">
        <v>72</v>
      </c>
      <c r="M36" t="s">
        <v>59</v>
      </c>
      <c r="N36" t="s">
        <v>59</v>
      </c>
      <c r="O36" t="s">
        <v>59</v>
      </c>
      <c r="P36" t="s">
        <v>59</v>
      </c>
      <c r="Q36" t="s">
        <v>59</v>
      </c>
      <c r="R36" t="s">
        <v>59</v>
      </c>
      <c r="S36" t="s">
        <v>59</v>
      </c>
      <c r="T36" t="s">
        <v>59</v>
      </c>
      <c r="U36" t="s">
        <v>59</v>
      </c>
      <c r="V36" t="s">
        <v>59</v>
      </c>
      <c r="W36" t="s">
        <v>59</v>
      </c>
      <c r="X36" t="s">
        <v>59</v>
      </c>
      <c r="Y36" t="s">
        <v>59</v>
      </c>
      <c r="Z36" t="s">
        <v>59</v>
      </c>
      <c r="AA36" t="s">
        <v>59</v>
      </c>
      <c r="AB36" t="s">
        <v>59</v>
      </c>
      <c r="AC36" t="s">
        <v>59</v>
      </c>
      <c r="AD36" t="s">
        <v>59</v>
      </c>
      <c r="AE36" t="s">
        <v>59</v>
      </c>
      <c r="AF36" t="s">
        <v>59</v>
      </c>
      <c r="AG36" t="s">
        <v>59</v>
      </c>
      <c r="AH36" t="s">
        <v>61</v>
      </c>
      <c r="AI36" t="s">
        <v>61</v>
      </c>
      <c r="AJ36" t="s">
        <v>59</v>
      </c>
      <c r="AK36" t="s">
        <v>59</v>
      </c>
      <c r="AL36" t="s">
        <v>59</v>
      </c>
      <c r="AM36" t="s">
        <v>59</v>
      </c>
      <c r="AN36" t="s">
        <v>59</v>
      </c>
      <c r="AO36" t="s">
        <v>59</v>
      </c>
      <c r="AP36" t="s">
        <v>209</v>
      </c>
      <c r="AQ36" s="1" t="s">
        <v>201</v>
      </c>
      <c r="AR36" t="s">
        <v>64</v>
      </c>
      <c r="AS36" t="s">
        <v>210</v>
      </c>
      <c r="AT36" t="s">
        <v>211</v>
      </c>
      <c r="AW36" s="4">
        <f t="shared" si="0"/>
        <v>6</v>
      </c>
      <c r="AX36" s="4">
        <f t="shared" si="1"/>
        <v>4</v>
      </c>
      <c r="AY36" s="4">
        <f t="shared" si="2"/>
        <v>4</v>
      </c>
      <c r="AZ36" s="4">
        <f t="shared" si="3"/>
        <v>2</v>
      </c>
      <c r="BA36" s="4">
        <f t="shared" si="4"/>
        <v>4</v>
      </c>
      <c r="BB36" s="4">
        <f t="shared" si="5"/>
        <v>4</v>
      </c>
      <c r="BC36" s="4">
        <f t="shared" si="6"/>
        <v>4</v>
      </c>
      <c r="BD36" s="4">
        <f t="shared" si="7"/>
        <v>2</v>
      </c>
      <c r="BE36" s="4">
        <f t="shared" si="8"/>
        <v>4</v>
      </c>
      <c r="BF36" s="4">
        <f t="shared" si="9"/>
        <v>2</v>
      </c>
      <c r="BG36" s="4">
        <f t="shared" si="10"/>
        <v>4</v>
      </c>
      <c r="BH36" s="4">
        <f t="shared" si="11"/>
        <v>4</v>
      </c>
      <c r="BI36" s="4">
        <f t="shared" si="12"/>
        <v>4</v>
      </c>
      <c r="BJ36" s="4">
        <f t="shared" si="13"/>
        <v>2</v>
      </c>
      <c r="BK36" s="4">
        <f t="shared" si="14"/>
        <v>4</v>
      </c>
      <c r="BL36" s="4">
        <f t="shared" si="15"/>
        <v>2</v>
      </c>
      <c r="BM36" s="4">
        <f t="shared" si="16"/>
        <v>4</v>
      </c>
      <c r="BN36" s="4">
        <f t="shared" si="17"/>
        <v>4</v>
      </c>
      <c r="BO36" s="4">
        <f t="shared" si="18"/>
        <v>4</v>
      </c>
      <c r="BP36" s="4">
        <f t="shared" si="19"/>
        <v>4</v>
      </c>
      <c r="BQ36" s="4">
        <f t="shared" si="20"/>
        <v>6</v>
      </c>
      <c r="BR36" s="4">
        <f t="shared" si="21"/>
        <v>4</v>
      </c>
      <c r="BS36" s="4">
        <f t="shared" si="22"/>
        <v>4</v>
      </c>
      <c r="BT36" s="4">
        <f t="shared" si="23"/>
        <v>4</v>
      </c>
      <c r="BU36" s="4">
        <f t="shared" si="24"/>
        <v>4</v>
      </c>
      <c r="BV36" s="4">
        <f t="shared" si="25"/>
        <v>0</v>
      </c>
      <c r="BW36" s="4">
        <f t="shared" si="26"/>
        <v>6</v>
      </c>
      <c r="BX36" s="4">
        <f t="shared" si="27"/>
        <v>0</v>
      </c>
      <c r="BY36" s="4">
        <f t="shared" si="28"/>
        <v>0</v>
      </c>
      <c r="BZ36" s="37">
        <f t="shared" si="29"/>
        <v>100</v>
      </c>
      <c r="CA36" s="32" t="str">
        <f>VLOOKUP(J:J,'Agent wise'!A:C,3,0)</f>
        <v>Adharsh</v>
      </c>
      <c r="CB36" s="32">
        <f t="shared" si="30"/>
        <v>45932</v>
      </c>
      <c r="CC36" t="str">
        <f t="shared" si="31"/>
        <v>Excellent</v>
      </c>
      <c r="CE36" s="32"/>
      <c r="CJ36">
        <f t="shared" si="35"/>
        <v>2</v>
      </c>
      <c r="CK36">
        <f t="shared" si="36"/>
        <v>10</v>
      </c>
      <c r="CL36">
        <f t="shared" si="37"/>
        <v>2025</v>
      </c>
    </row>
    <row r="37" spans="1:90" ht="15" customHeight="1" x14ac:dyDescent="0.35">
      <c r="A37" s="40">
        <v>45698.50445601852</v>
      </c>
      <c r="B37" t="s">
        <v>100</v>
      </c>
      <c r="C37" t="s">
        <v>52</v>
      </c>
      <c r="D37" t="s">
        <v>101</v>
      </c>
      <c r="E37" s="32">
        <v>45932</v>
      </c>
      <c r="F37" t="s">
        <v>54</v>
      </c>
      <c r="G37" s="2">
        <v>45667</v>
      </c>
      <c r="H37">
        <v>8330047076</v>
      </c>
      <c r="I37">
        <v>188</v>
      </c>
      <c r="J37" t="s">
        <v>168</v>
      </c>
      <c r="K37" t="s">
        <v>57</v>
      </c>
      <c r="L37" t="s">
        <v>58</v>
      </c>
      <c r="M37" t="s">
        <v>59</v>
      </c>
      <c r="N37" t="s">
        <v>59</v>
      </c>
      <c r="O37" t="s">
        <v>59</v>
      </c>
      <c r="P37" t="s">
        <v>59</v>
      </c>
      <c r="Q37" t="s">
        <v>59</v>
      </c>
      <c r="R37" t="s">
        <v>60</v>
      </c>
      <c r="S37" t="s">
        <v>60</v>
      </c>
      <c r="T37" t="s">
        <v>59</v>
      </c>
      <c r="U37" t="s">
        <v>59</v>
      </c>
      <c r="V37" t="s">
        <v>59</v>
      </c>
      <c r="W37" t="s">
        <v>59</v>
      </c>
      <c r="X37" t="s">
        <v>59</v>
      </c>
      <c r="Y37" t="s">
        <v>59</v>
      </c>
      <c r="Z37" t="s">
        <v>59</v>
      </c>
      <c r="AA37" t="s">
        <v>60</v>
      </c>
      <c r="AB37" t="s">
        <v>59</v>
      </c>
      <c r="AC37" t="s">
        <v>60</v>
      </c>
      <c r="AD37" t="s">
        <v>59</v>
      </c>
      <c r="AE37" t="s">
        <v>59</v>
      </c>
      <c r="AF37" t="s">
        <v>59</v>
      </c>
      <c r="AG37" t="s">
        <v>59</v>
      </c>
      <c r="AH37" t="s">
        <v>59</v>
      </c>
      <c r="AI37" t="s">
        <v>61</v>
      </c>
      <c r="AJ37" t="s">
        <v>59</v>
      </c>
      <c r="AK37" t="s">
        <v>59</v>
      </c>
      <c r="AL37" t="s">
        <v>59</v>
      </c>
      <c r="AM37" t="s">
        <v>59</v>
      </c>
      <c r="AN37" t="s">
        <v>59</v>
      </c>
      <c r="AO37" t="s">
        <v>60</v>
      </c>
      <c r="AP37" t="s">
        <v>212</v>
      </c>
      <c r="AQ37" s="1" t="s">
        <v>213</v>
      </c>
      <c r="AR37" t="s">
        <v>64</v>
      </c>
      <c r="AS37" t="s">
        <v>89</v>
      </c>
      <c r="AT37" t="s">
        <v>84</v>
      </c>
      <c r="AW37" s="4">
        <f t="shared" si="0"/>
        <v>6</v>
      </c>
      <c r="AX37" s="4">
        <f t="shared" si="1"/>
        <v>4</v>
      </c>
      <c r="AY37" s="4">
        <f t="shared" si="2"/>
        <v>4</v>
      </c>
      <c r="AZ37" s="4">
        <f t="shared" si="3"/>
        <v>2</v>
      </c>
      <c r="BA37" s="4">
        <f t="shared" si="4"/>
        <v>4</v>
      </c>
      <c r="BB37" s="4" t="str">
        <f t="shared" si="5"/>
        <v>0</v>
      </c>
      <c r="BC37" s="4" t="str">
        <f t="shared" si="6"/>
        <v>0</v>
      </c>
      <c r="BD37" s="4">
        <f t="shared" si="7"/>
        <v>2</v>
      </c>
      <c r="BE37" s="4">
        <f t="shared" si="8"/>
        <v>4</v>
      </c>
      <c r="BF37" s="4">
        <f t="shared" si="9"/>
        <v>2</v>
      </c>
      <c r="BG37" s="4">
        <f t="shared" si="10"/>
        <v>4</v>
      </c>
      <c r="BH37" s="4">
        <f t="shared" si="11"/>
        <v>4</v>
      </c>
      <c r="BI37" s="4">
        <f t="shared" si="12"/>
        <v>4</v>
      </c>
      <c r="BJ37" s="4">
        <f t="shared" si="13"/>
        <v>2</v>
      </c>
      <c r="BK37" s="4" t="str">
        <f t="shared" si="14"/>
        <v>0</v>
      </c>
      <c r="BL37" s="4">
        <f t="shared" si="15"/>
        <v>2</v>
      </c>
      <c r="BM37" s="4" t="str">
        <f t="shared" si="16"/>
        <v>0</v>
      </c>
      <c r="BN37" s="4">
        <f t="shared" si="17"/>
        <v>4</v>
      </c>
      <c r="BO37" s="4">
        <f t="shared" si="18"/>
        <v>4</v>
      </c>
      <c r="BP37" s="4">
        <f t="shared" si="19"/>
        <v>4</v>
      </c>
      <c r="BQ37" s="4">
        <f t="shared" si="20"/>
        <v>6</v>
      </c>
      <c r="BR37" s="4">
        <f t="shared" si="21"/>
        <v>4</v>
      </c>
      <c r="BS37" s="4">
        <f t="shared" si="22"/>
        <v>4</v>
      </c>
      <c r="BT37" s="4">
        <f t="shared" si="23"/>
        <v>4</v>
      </c>
      <c r="BU37" s="4">
        <f t="shared" si="24"/>
        <v>4</v>
      </c>
      <c r="BV37" s="4">
        <f t="shared" si="25"/>
        <v>0</v>
      </c>
      <c r="BW37" s="4">
        <f t="shared" si="26"/>
        <v>6</v>
      </c>
      <c r="BX37" s="4">
        <f t="shared" si="27"/>
        <v>0</v>
      </c>
      <c r="BY37" s="4" t="str">
        <f t="shared" si="28"/>
        <v>0</v>
      </c>
      <c r="BZ37" s="37">
        <f t="shared" si="29"/>
        <v>84</v>
      </c>
      <c r="CA37" s="32" t="str">
        <f>VLOOKUP(J:J,'Agent wise'!A:C,3,0)</f>
        <v>Shakeer</v>
      </c>
      <c r="CB37" s="32">
        <f t="shared" si="30"/>
        <v>45932</v>
      </c>
      <c r="CC37" t="str">
        <f t="shared" si="31"/>
        <v>FC</v>
      </c>
      <c r="CE37" s="32"/>
      <c r="CJ37">
        <f t="shared" si="35"/>
        <v>2</v>
      </c>
      <c r="CK37">
        <f t="shared" si="36"/>
        <v>10</v>
      </c>
      <c r="CL37">
        <f t="shared" si="37"/>
        <v>2025</v>
      </c>
    </row>
    <row r="38" spans="1:90" ht="15" customHeight="1" x14ac:dyDescent="0.35">
      <c r="A38" s="40">
        <v>45698.518912037027</v>
      </c>
      <c r="B38" t="s">
        <v>100</v>
      </c>
      <c r="C38" t="s">
        <v>214</v>
      </c>
      <c r="D38" t="s">
        <v>101</v>
      </c>
      <c r="E38" s="32">
        <v>45932</v>
      </c>
      <c r="F38" t="s">
        <v>54</v>
      </c>
      <c r="G38" s="2">
        <v>45667</v>
      </c>
      <c r="H38">
        <v>8281797484</v>
      </c>
      <c r="I38">
        <v>141</v>
      </c>
      <c r="J38" t="s">
        <v>215</v>
      </c>
      <c r="K38" t="s">
        <v>57</v>
      </c>
      <c r="L38" t="s">
        <v>58</v>
      </c>
      <c r="M38" t="s">
        <v>59</v>
      </c>
      <c r="N38" t="s">
        <v>59</v>
      </c>
      <c r="O38" t="s">
        <v>59</v>
      </c>
      <c r="P38" t="s">
        <v>59</v>
      </c>
      <c r="Q38" t="s">
        <v>59</v>
      </c>
      <c r="R38" t="s">
        <v>60</v>
      </c>
      <c r="S38" t="s">
        <v>59</v>
      </c>
      <c r="T38" t="s">
        <v>59</v>
      </c>
      <c r="U38" t="s">
        <v>59</v>
      </c>
      <c r="V38" t="s">
        <v>59</v>
      </c>
      <c r="W38" t="s">
        <v>59</v>
      </c>
      <c r="X38" t="s">
        <v>59</v>
      </c>
      <c r="Y38" t="s">
        <v>59</v>
      </c>
      <c r="Z38" t="s">
        <v>59</v>
      </c>
      <c r="AA38" t="s">
        <v>60</v>
      </c>
      <c r="AB38" t="s">
        <v>59</v>
      </c>
      <c r="AC38" t="s">
        <v>59</v>
      </c>
      <c r="AD38" t="s">
        <v>59</v>
      </c>
      <c r="AE38" t="s">
        <v>59</v>
      </c>
      <c r="AF38" t="s">
        <v>59</v>
      </c>
      <c r="AG38" t="s">
        <v>59</v>
      </c>
      <c r="AH38" t="s">
        <v>59</v>
      </c>
      <c r="AI38" t="s">
        <v>61</v>
      </c>
      <c r="AJ38" t="s">
        <v>59</v>
      </c>
      <c r="AK38" t="s">
        <v>59</v>
      </c>
      <c r="AL38" t="s">
        <v>59</v>
      </c>
      <c r="AM38" t="s">
        <v>59</v>
      </c>
      <c r="AN38" t="s">
        <v>59</v>
      </c>
      <c r="AO38" t="s">
        <v>59</v>
      </c>
      <c r="AP38" t="s">
        <v>216</v>
      </c>
      <c r="AQ38" s="1" t="s">
        <v>217</v>
      </c>
      <c r="AR38" t="s">
        <v>64</v>
      </c>
      <c r="AS38" t="s">
        <v>198</v>
      </c>
      <c r="AT38" t="s">
        <v>218</v>
      </c>
      <c r="AU38" t="s">
        <v>219</v>
      </c>
      <c r="AW38" s="4">
        <f t="shared" si="0"/>
        <v>6</v>
      </c>
      <c r="AX38" s="4">
        <f t="shared" si="1"/>
        <v>4</v>
      </c>
      <c r="AY38" s="4">
        <f t="shared" si="2"/>
        <v>4</v>
      </c>
      <c r="AZ38" s="4">
        <f t="shared" si="3"/>
        <v>2</v>
      </c>
      <c r="BA38" s="4">
        <f t="shared" si="4"/>
        <v>4</v>
      </c>
      <c r="BB38" s="4" t="str">
        <f t="shared" si="5"/>
        <v>0</v>
      </c>
      <c r="BC38" s="4">
        <f t="shared" si="6"/>
        <v>4</v>
      </c>
      <c r="BD38" s="4">
        <f t="shared" si="7"/>
        <v>2</v>
      </c>
      <c r="BE38" s="4">
        <f t="shared" si="8"/>
        <v>4</v>
      </c>
      <c r="BF38" s="4">
        <f t="shared" si="9"/>
        <v>2</v>
      </c>
      <c r="BG38" s="4">
        <f t="shared" si="10"/>
        <v>4</v>
      </c>
      <c r="BH38" s="4">
        <f t="shared" si="11"/>
        <v>4</v>
      </c>
      <c r="BI38" s="4">
        <f t="shared" si="12"/>
        <v>4</v>
      </c>
      <c r="BJ38" s="4">
        <f t="shared" si="13"/>
        <v>2</v>
      </c>
      <c r="BK38" s="4" t="str">
        <f t="shared" si="14"/>
        <v>0</v>
      </c>
      <c r="BL38" s="4">
        <f t="shared" si="15"/>
        <v>2</v>
      </c>
      <c r="BM38" s="4">
        <f t="shared" si="16"/>
        <v>4</v>
      </c>
      <c r="BN38" s="4">
        <f t="shared" si="17"/>
        <v>4</v>
      </c>
      <c r="BO38" s="4">
        <f t="shared" si="18"/>
        <v>4</v>
      </c>
      <c r="BP38" s="4">
        <f t="shared" si="19"/>
        <v>4</v>
      </c>
      <c r="BQ38" s="4">
        <f t="shared" si="20"/>
        <v>6</v>
      </c>
      <c r="BR38" s="4">
        <f t="shared" si="21"/>
        <v>4</v>
      </c>
      <c r="BS38" s="4">
        <f t="shared" si="22"/>
        <v>4</v>
      </c>
      <c r="BT38" s="4">
        <f t="shared" si="23"/>
        <v>4</v>
      </c>
      <c r="BU38" s="4">
        <f t="shared" si="24"/>
        <v>4</v>
      </c>
      <c r="BV38" s="4">
        <f t="shared" si="25"/>
        <v>0</v>
      </c>
      <c r="BW38" s="4">
        <f t="shared" si="26"/>
        <v>6</v>
      </c>
      <c r="BX38" s="4">
        <f t="shared" si="27"/>
        <v>0</v>
      </c>
      <c r="BY38" s="4">
        <f t="shared" si="28"/>
        <v>0</v>
      </c>
      <c r="BZ38" s="37">
        <f t="shared" si="29"/>
        <v>92</v>
      </c>
      <c r="CA38" s="32" t="str">
        <f>VLOOKUP(J:J,'Agent wise'!A:C,3,0)</f>
        <v>Adharsh</v>
      </c>
      <c r="CB38" s="32">
        <f t="shared" si="30"/>
        <v>45932</v>
      </c>
      <c r="CC38" t="str">
        <f t="shared" si="31"/>
        <v>Good</v>
      </c>
      <c r="CE38" s="32"/>
      <c r="CJ38">
        <f t="shared" si="35"/>
        <v>2</v>
      </c>
      <c r="CK38">
        <f t="shared" si="36"/>
        <v>10</v>
      </c>
      <c r="CL38">
        <f t="shared" si="37"/>
        <v>2025</v>
      </c>
    </row>
    <row r="39" spans="1:90" ht="15" customHeight="1" x14ac:dyDescent="0.35">
      <c r="A39" s="40">
        <v>45698.523310185177</v>
      </c>
      <c r="B39" t="s">
        <v>220</v>
      </c>
      <c r="C39" t="s">
        <v>214</v>
      </c>
      <c r="D39" t="s">
        <v>221</v>
      </c>
      <c r="E39" s="32">
        <v>45932</v>
      </c>
      <c r="F39" t="s">
        <v>222</v>
      </c>
      <c r="G39" s="2">
        <v>45698</v>
      </c>
      <c r="H39">
        <v>8807707635</v>
      </c>
      <c r="I39">
        <v>181</v>
      </c>
      <c r="J39" t="s">
        <v>223</v>
      </c>
      <c r="K39" t="s">
        <v>71</v>
      </c>
      <c r="L39" t="s">
        <v>72</v>
      </c>
      <c r="M39" t="s">
        <v>59</v>
      </c>
      <c r="N39" t="s">
        <v>59</v>
      </c>
      <c r="O39" t="s">
        <v>60</v>
      </c>
      <c r="P39" t="s">
        <v>59</v>
      </c>
      <c r="Q39" t="s">
        <v>59</v>
      </c>
      <c r="R39" t="s">
        <v>59</v>
      </c>
      <c r="S39" t="s">
        <v>59</v>
      </c>
      <c r="T39" t="s">
        <v>59</v>
      </c>
      <c r="U39" t="s">
        <v>59</v>
      </c>
      <c r="V39" t="s">
        <v>59</v>
      </c>
      <c r="W39" t="s">
        <v>59</v>
      </c>
      <c r="X39" t="s">
        <v>59</v>
      </c>
      <c r="Y39" t="s">
        <v>59</v>
      </c>
      <c r="Z39" t="s">
        <v>59</v>
      </c>
      <c r="AA39" t="s">
        <v>59</v>
      </c>
      <c r="AB39" t="s">
        <v>59</v>
      </c>
      <c r="AC39" t="s">
        <v>59</v>
      </c>
      <c r="AD39" t="s">
        <v>59</v>
      </c>
      <c r="AE39" t="s">
        <v>59</v>
      </c>
      <c r="AF39" t="s">
        <v>59</v>
      </c>
      <c r="AG39" t="s">
        <v>59</v>
      </c>
      <c r="AH39" t="s">
        <v>61</v>
      </c>
      <c r="AI39" t="s">
        <v>61</v>
      </c>
      <c r="AJ39" t="s">
        <v>59</v>
      </c>
      <c r="AK39" t="s">
        <v>59</v>
      </c>
      <c r="AL39" t="s">
        <v>60</v>
      </c>
      <c r="AM39" t="s">
        <v>59</v>
      </c>
      <c r="AN39" t="s">
        <v>60</v>
      </c>
      <c r="AO39" t="s">
        <v>59</v>
      </c>
      <c r="AP39" t="s">
        <v>224</v>
      </c>
      <c r="AQ39" t="s">
        <v>225</v>
      </c>
      <c r="AR39" t="s">
        <v>226</v>
      </c>
      <c r="AS39" t="s">
        <v>227</v>
      </c>
      <c r="AT39" t="s">
        <v>227</v>
      </c>
      <c r="AU39" t="s">
        <v>219</v>
      </c>
      <c r="AW39" s="4">
        <f t="shared" si="0"/>
        <v>6</v>
      </c>
      <c r="AX39" s="4">
        <f t="shared" si="1"/>
        <v>4</v>
      </c>
      <c r="AY39" s="4" t="str">
        <f t="shared" si="2"/>
        <v>0</v>
      </c>
      <c r="AZ39" s="4">
        <f t="shared" si="3"/>
        <v>2</v>
      </c>
      <c r="BA39" s="4">
        <f t="shared" si="4"/>
        <v>4</v>
      </c>
      <c r="BB39" s="4">
        <f t="shared" si="5"/>
        <v>4</v>
      </c>
      <c r="BC39" s="4">
        <f t="shared" si="6"/>
        <v>4</v>
      </c>
      <c r="BD39" s="4">
        <f t="shared" si="7"/>
        <v>2</v>
      </c>
      <c r="BE39" s="4">
        <f t="shared" si="8"/>
        <v>4</v>
      </c>
      <c r="BF39" s="4">
        <f t="shared" si="9"/>
        <v>2</v>
      </c>
      <c r="BG39" s="4">
        <f t="shared" si="10"/>
        <v>4</v>
      </c>
      <c r="BH39" s="4">
        <f t="shared" si="11"/>
        <v>4</v>
      </c>
      <c r="BI39" s="4">
        <f t="shared" si="12"/>
        <v>4</v>
      </c>
      <c r="BJ39" s="4">
        <f t="shared" si="13"/>
        <v>2</v>
      </c>
      <c r="BK39" s="4">
        <f t="shared" si="14"/>
        <v>4</v>
      </c>
      <c r="BL39" s="4">
        <f t="shared" si="15"/>
        <v>2</v>
      </c>
      <c r="BM39" s="4">
        <f t="shared" si="16"/>
        <v>4</v>
      </c>
      <c r="BN39" s="4">
        <f t="shared" si="17"/>
        <v>4</v>
      </c>
      <c r="BO39" s="4">
        <f t="shared" si="18"/>
        <v>4</v>
      </c>
      <c r="BP39" s="4">
        <f t="shared" si="19"/>
        <v>4</v>
      </c>
      <c r="BQ39" s="4">
        <f t="shared" si="20"/>
        <v>6</v>
      </c>
      <c r="BR39" s="4">
        <f t="shared" si="21"/>
        <v>4</v>
      </c>
      <c r="BS39" s="4">
        <f t="shared" si="22"/>
        <v>4</v>
      </c>
      <c r="BT39" s="4">
        <f t="shared" si="23"/>
        <v>4</v>
      </c>
      <c r="BU39" s="4">
        <f t="shared" si="24"/>
        <v>4</v>
      </c>
      <c r="BV39" s="4" t="str">
        <f t="shared" si="25"/>
        <v>0</v>
      </c>
      <c r="BW39" s="4">
        <f t="shared" si="26"/>
        <v>6</v>
      </c>
      <c r="BX39" s="4" t="str">
        <f t="shared" si="27"/>
        <v>0</v>
      </c>
      <c r="BY39" s="4">
        <f t="shared" si="28"/>
        <v>0</v>
      </c>
      <c r="BZ39" s="37">
        <f t="shared" si="29"/>
        <v>96</v>
      </c>
      <c r="CA39" s="32" t="str">
        <f>VLOOKUP(J:J,'Agent wise'!A:C,3,0)</f>
        <v>Amal</v>
      </c>
      <c r="CB39" s="32">
        <f t="shared" si="30"/>
        <v>45932</v>
      </c>
      <c r="CC39" t="str">
        <f t="shared" si="31"/>
        <v>Excellent</v>
      </c>
      <c r="CE39" s="32"/>
      <c r="CJ39">
        <f t="shared" si="35"/>
        <v>2</v>
      </c>
      <c r="CK39">
        <f t="shared" si="36"/>
        <v>10</v>
      </c>
      <c r="CL39">
        <f t="shared" si="37"/>
        <v>2025</v>
      </c>
    </row>
    <row r="40" spans="1:90" ht="15" customHeight="1" x14ac:dyDescent="0.35">
      <c r="A40" s="40">
        <v>45698.529166666667</v>
      </c>
      <c r="B40" t="s">
        <v>220</v>
      </c>
      <c r="C40" t="s">
        <v>214</v>
      </c>
      <c r="D40" t="s">
        <v>221</v>
      </c>
      <c r="E40" s="32">
        <v>45932</v>
      </c>
      <c r="F40" t="s">
        <v>222</v>
      </c>
      <c r="G40" s="2">
        <v>45698</v>
      </c>
      <c r="H40">
        <v>7306503357</v>
      </c>
      <c r="I40">
        <v>163</v>
      </c>
      <c r="J40" t="s">
        <v>149</v>
      </c>
      <c r="K40" t="s">
        <v>57</v>
      </c>
      <c r="L40" t="s">
        <v>58</v>
      </c>
      <c r="M40" t="s">
        <v>59</v>
      </c>
      <c r="N40" t="s">
        <v>59</v>
      </c>
      <c r="O40" t="s">
        <v>59</v>
      </c>
      <c r="P40" t="s">
        <v>59</v>
      </c>
      <c r="Q40" t="s">
        <v>59</v>
      </c>
      <c r="R40" t="s">
        <v>59</v>
      </c>
      <c r="S40" t="s">
        <v>59</v>
      </c>
      <c r="T40" t="s">
        <v>59</v>
      </c>
      <c r="U40" t="s">
        <v>59</v>
      </c>
      <c r="V40" t="s">
        <v>59</v>
      </c>
      <c r="W40" t="s">
        <v>59</v>
      </c>
      <c r="X40" t="s">
        <v>59</v>
      </c>
      <c r="Y40" t="s">
        <v>59</v>
      </c>
      <c r="Z40" t="s">
        <v>59</v>
      </c>
      <c r="AA40" t="s">
        <v>59</v>
      </c>
      <c r="AB40" t="s">
        <v>59</v>
      </c>
      <c r="AC40" t="s">
        <v>61</v>
      </c>
      <c r="AD40" t="s">
        <v>59</v>
      </c>
      <c r="AE40" t="s">
        <v>59</v>
      </c>
      <c r="AF40" t="s">
        <v>59</v>
      </c>
      <c r="AG40" t="s">
        <v>59</v>
      </c>
      <c r="AH40" t="s">
        <v>59</v>
      </c>
      <c r="AI40" t="s">
        <v>61</v>
      </c>
      <c r="AJ40" t="s">
        <v>59</v>
      </c>
      <c r="AK40" t="s">
        <v>59</v>
      </c>
      <c r="AL40" t="s">
        <v>59</v>
      </c>
      <c r="AM40" t="s">
        <v>59</v>
      </c>
      <c r="AN40" t="s">
        <v>59</v>
      </c>
      <c r="AO40" t="s">
        <v>59</v>
      </c>
      <c r="AP40" t="s">
        <v>228</v>
      </c>
      <c r="AQ40" t="s">
        <v>229</v>
      </c>
      <c r="AR40" t="s">
        <v>226</v>
      </c>
      <c r="AS40" t="s">
        <v>230</v>
      </c>
      <c r="AT40" t="s">
        <v>230</v>
      </c>
      <c r="AU40" t="s">
        <v>219</v>
      </c>
      <c r="AW40" s="4">
        <f t="shared" si="0"/>
        <v>6</v>
      </c>
      <c r="AX40" s="4">
        <f t="shared" si="1"/>
        <v>4</v>
      </c>
      <c r="AY40" s="4">
        <f t="shared" si="2"/>
        <v>4</v>
      </c>
      <c r="AZ40" s="4">
        <f t="shared" si="3"/>
        <v>2</v>
      </c>
      <c r="BA40" s="4">
        <f t="shared" si="4"/>
        <v>4</v>
      </c>
      <c r="BB40" s="4">
        <f t="shared" si="5"/>
        <v>4</v>
      </c>
      <c r="BC40" s="4">
        <f t="shared" si="6"/>
        <v>4</v>
      </c>
      <c r="BD40" s="4">
        <f t="shared" si="7"/>
        <v>2</v>
      </c>
      <c r="BE40" s="4">
        <f t="shared" si="8"/>
        <v>4</v>
      </c>
      <c r="BF40" s="4">
        <f t="shared" si="9"/>
        <v>2</v>
      </c>
      <c r="BG40" s="4">
        <f t="shared" si="10"/>
        <v>4</v>
      </c>
      <c r="BH40" s="4">
        <f t="shared" si="11"/>
        <v>4</v>
      </c>
      <c r="BI40" s="4">
        <f t="shared" si="12"/>
        <v>4</v>
      </c>
      <c r="BJ40" s="4">
        <f t="shared" si="13"/>
        <v>2</v>
      </c>
      <c r="BK40" s="4">
        <f t="shared" si="14"/>
        <v>4</v>
      </c>
      <c r="BL40" s="4">
        <f t="shared" si="15"/>
        <v>2</v>
      </c>
      <c r="BM40" s="4">
        <f t="shared" si="16"/>
        <v>4</v>
      </c>
      <c r="BN40" s="4">
        <f t="shared" si="17"/>
        <v>4</v>
      </c>
      <c r="BO40" s="4">
        <f t="shared" si="18"/>
        <v>4</v>
      </c>
      <c r="BP40" s="4">
        <f t="shared" si="19"/>
        <v>4</v>
      </c>
      <c r="BQ40" s="4">
        <f t="shared" si="20"/>
        <v>6</v>
      </c>
      <c r="BR40" s="4">
        <f t="shared" si="21"/>
        <v>4</v>
      </c>
      <c r="BS40" s="4">
        <f t="shared" si="22"/>
        <v>4</v>
      </c>
      <c r="BT40" s="4">
        <f t="shared" si="23"/>
        <v>4</v>
      </c>
      <c r="BU40" s="4">
        <f t="shared" si="24"/>
        <v>4</v>
      </c>
      <c r="BV40" s="4">
        <f t="shared" si="25"/>
        <v>0</v>
      </c>
      <c r="BW40" s="4">
        <f t="shared" si="26"/>
        <v>6</v>
      </c>
      <c r="BX40" s="4">
        <f t="shared" si="27"/>
        <v>0</v>
      </c>
      <c r="BY40" s="4">
        <f t="shared" si="28"/>
        <v>0</v>
      </c>
      <c r="BZ40" s="37">
        <f t="shared" si="29"/>
        <v>100</v>
      </c>
      <c r="CA40" s="32" t="str">
        <f>VLOOKUP(J:J,'Agent wise'!A:C,3,0)</f>
        <v>Shakeer</v>
      </c>
      <c r="CB40" s="32">
        <f t="shared" si="30"/>
        <v>45932</v>
      </c>
      <c r="CC40" t="str">
        <f t="shared" si="31"/>
        <v>Excellent</v>
      </c>
      <c r="CE40" s="32"/>
      <c r="CJ40">
        <f t="shared" si="35"/>
        <v>2</v>
      </c>
      <c r="CK40">
        <f t="shared" si="36"/>
        <v>10</v>
      </c>
      <c r="CL40">
        <f t="shared" si="37"/>
        <v>2025</v>
      </c>
    </row>
    <row r="41" spans="1:90" ht="15" customHeight="1" x14ac:dyDescent="0.35">
      <c r="A41" s="40">
        <v>45698.530324074083</v>
      </c>
      <c r="B41" t="s">
        <v>100</v>
      </c>
      <c r="C41" t="s">
        <v>214</v>
      </c>
      <c r="D41" t="s">
        <v>101</v>
      </c>
      <c r="E41" s="32">
        <v>45932</v>
      </c>
      <c r="F41" t="s">
        <v>54</v>
      </c>
      <c r="G41" s="2">
        <v>45667</v>
      </c>
      <c r="H41">
        <v>9400651030</v>
      </c>
      <c r="I41">
        <v>148</v>
      </c>
      <c r="J41" t="s">
        <v>231</v>
      </c>
      <c r="K41" t="s">
        <v>57</v>
      </c>
      <c r="L41" t="s">
        <v>58</v>
      </c>
      <c r="M41" t="s">
        <v>59</v>
      </c>
      <c r="N41" t="s">
        <v>59</v>
      </c>
      <c r="O41" t="s">
        <v>59</v>
      </c>
      <c r="P41" t="s">
        <v>59</v>
      </c>
      <c r="Q41" t="s">
        <v>59</v>
      </c>
      <c r="R41" t="s">
        <v>59</v>
      </c>
      <c r="S41" t="s">
        <v>59</v>
      </c>
      <c r="T41" t="s">
        <v>59</v>
      </c>
      <c r="U41" t="s">
        <v>59</v>
      </c>
      <c r="V41" t="s">
        <v>59</v>
      </c>
      <c r="W41" t="s">
        <v>59</v>
      </c>
      <c r="X41" t="s">
        <v>59</v>
      </c>
      <c r="Y41" t="s">
        <v>59</v>
      </c>
      <c r="Z41" t="s">
        <v>59</v>
      </c>
      <c r="AA41" t="s">
        <v>60</v>
      </c>
      <c r="AB41" t="s">
        <v>59</v>
      </c>
      <c r="AC41" t="s">
        <v>60</v>
      </c>
      <c r="AD41" t="s">
        <v>61</v>
      </c>
      <c r="AE41" t="s">
        <v>59</v>
      </c>
      <c r="AF41" t="s">
        <v>59</v>
      </c>
      <c r="AG41" t="s">
        <v>59</v>
      </c>
      <c r="AH41" t="s">
        <v>59</v>
      </c>
      <c r="AI41" t="s">
        <v>61</v>
      </c>
      <c r="AJ41" t="s">
        <v>59</v>
      </c>
      <c r="AK41" t="s">
        <v>59</v>
      </c>
      <c r="AL41" t="s">
        <v>59</v>
      </c>
      <c r="AM41" t="s">
        <v>59</v>
      </c>
      <c r="AN41" t="s">
        <v>59</v>
      </c>
      <c r="AO41" t="s">
        <v>60</v>
      </c>
      <c r="AP41" t="s">
        <v>232</v>
      </c>
      <c r="AQ41" s="1" t="s">
        <v>233</v>
      </c>
      <c r="AR41" t="s">
        <v>64</v>
      </c>
      <c r="AS41" t="s">
        <v>89</v>
      </c>
      <c r="AT41" t="s">
        <v>89</v>
      </c>
      <c r="AU41" t="s">
        <v>219</v>
      </c>
      <c r="AW41" s="4">
        <f t="shared" si="0"/>
        <v>6</v>
      </c>
      <c r="AX41" s="4">
        <f t="shared" si="1"/>
        <v>4</v>
      </c>
      <c r="AY41" s="4">
        <f t="shared" si="2"/>
        <v>4</v>
      </c>
      <c r="AZ41" s="4">
        <f t="shared" si="3"/>
        <v>2</v>
      </c>
      <c r="BA41" s="4">
        <f t="shared" si="4"/>
        <v>4</v>
      </c>
      <c r="BB41" s="4">
        <f t="shared" si="5"/>
        <v>4</v>
      </c>
      <c r="BC41" s="4">
        <f t="shared" si="6"/>
        <v>4</v>
      </c>
      <c r="BD41" s="4">
        <f t="shared" si="7"/>
        <v>2</v>
      </c>
      <c r="BE41" s="4">
        <f t="shared" si="8"/>
        <v>4</v>
      </c>
      <c r="BF41" s="4">
        <f t="shared" si="9"/>
        <v>2</v>
      </c>
      <c r="BG41" s="4">
        <f t="shared" si="10"/>
        <v>4</v>
      </c>
      <c r="BH41" s="4">
        <f t="shared" si="11"/>
        <v>4</v>
      </c>
      <c r="BI41" s="4">
        <f t="shared" si="12"/>
        <v>4</v>
      </c>
      <c r="BJ41" s="4">
        <f t="shared" si="13"/>
        <v>2</v>
      </c>
      <c r="BK41" s="4" t="str">
        <f t="shared" si="14"/>
        <v>0</v>
      </c>
      <c r="BL41" s="4">
        <f t="shared" si="15"/>
        <v>2</v>
      </c>
      <c r="BM41" s="4" t="str">
        <f t="shared" si="16"/>
        <v>0</v>
      </c>
      <c r="BN41" s="4">
        <f t="shared" si="17"/>
        <v>4</v>
      </c>
      <c r="BO41" s="4">
        <f t="shared" si="18"/>
        <v>4</v>
      </c>
      <c r="BP41" s="4">
        <f t="shared" si="19"/>
        <v>4</v>
      </c>
      <c r="BQ41" s="4">
        <f t="shared" si="20"/>
        <v>6</v>
      </c>
      <c r="BR41" s="4">
        <f t="shared" si="21"/>
        <v>4</v>
      </c>
      <c r="BS41" s="4">
        <f t="shared" si="22"/>
        <v>4</v>
      </c>
      <c r="BT41" s="4">
        <f t="shared" si="23"/>
        <v>4</v>
      </c>
      <c r="BU41" s="4">
        <f t="shared" si="24"/>
        <v>4</v>
      </c>
      <c r="BV41" s="4">
        <f t="shared" si="25"/>
        <v>0</v>
      </c>
      <c r="BW41" s="4">
        <f t="shared" si="26"/>
        <v>6</v>
      </c>
      <c r="BX41" s="4">
        <f t="shared" si="27"/>
        <v>0</v>
      </c>
      <c r="BY41" s="4" t="str">
        <f t="shared" si="28"/>
        <v>0</v>
      </c>
      <c r="BZ41" s="37">
        <f t="shared" si="29"/>
        <v>92</v>
      </c>
      <c r="CA41" s="32" t="str">
        <f>VLOOKUP(J:J,'Agent wise'!A:C,3,0)</f>
        <v>Shakeer</v>
      </c>
      <c r="CB41" s="32">
        <f t="shared" si="30"/>
        <v>45932</v>
      </c>
      <c r="CC41" t="str">
        <f t="shared" si="31"/>
        <v>Good</v>
      </c>
      <c r="CE41" s="32"/>
      <c r="CJ41">
        <f t="shared" si="35"/>
        <v>2</v>
      </c>
      <c r="CK41">
        <f t="shared" si="36"/>
        <v>10</v>
      </c>
      <c r="CL41">
        <f t="shared" si="37"/>
        <v>2025</v>
      </c>
    </row>
    <row r="42" spans="1:90" ht="15" customHeight="1" x14ac:dyDescent="0.35">
      <c r="A42" s="40">
        <v>45698.535185185188</v>
      </c>
      <c r="B42" t="s">
        <v>220</v>
      </c>
      <c r="C42" t="s">
        <v>214</v>
      </c>
      <c r="D42" t="s">
        <v>221</v>
      </c>
      <c r="E42" s="32">
        <v>45932</v>
      </c>
      <c r="F42" t="s">
        <v>222</v>
      </c>
      <c r="G42" s="2">
        <v>45698</v>
      </c>
      <c r="H42">
        <v>9633508987</v>
      </c>
      <c r="I42">
        <v>174</v>
      </c>
      <c r="J42" t="s">
        <v>234</v>
      </c>
      <c r="K42" t="s">
        <v>57</v>
      </c>
      <c r="L42" t="s">
        <v>58</v>
      </c>
      <c r="M42" t="s">
        <v>59</v>
      </c>
      <c r="N42" t="s">
        <v>59</v>
      </c>
      <c r="O42" t="s">
        <v>59</v>
      </c>
      <c r="P42" t="s">
        <v>59</v>
      </c>
      <c r="Q42" t="s">
        <v>59</v>
      </c>
      <c r="R42" t="s">
        <v>59</v>
      </c>
      <c r="S42" t="s">
        <v>59</v>
      </c>
      <c r="T42" t="s">
        <v>59</v>
      </c>
      <c r="U42" t="s">
        <v>59</v>
      </c>
      <c r="V42" t="s">
        <v>59</v>
      </c>
      <c r="W42" t="s">
        <v>59</v>
      </c>
      <c r="X42" t="s">
        <v>59</v>
      </c>
      <c r="Y42" t="s">
        <v>59</v>
      </c>
      <c r="Z42" t="s">
        <v>59</v>
      </c>
      <c r="AA42" t="s">
        <v>59</v>
      </c>
      <c r="AB42" t="s">
        <v>59</v>
      </c>
      <c r="AC42" t="s">
        <v>61</v>
      </c>
      <c r="AD42" t="s">
        <v>59</v>
      </c>
      <c r="AE42" t="s">
        <v>59</v>
      </c>
      <c r="AF42" t="s">
        <v>59</v>
      </c>
      <c r="AG42" t="s">
        <v>59</v>
      </c>
      <c r="AH42" t="s">
        <v>59</v>
      </c>
      <c r="AI42" t="s">
        <v>60</v>
      </c>
      <c r="AJ42" t="s">
        <v>59</v>
      </c>
      <c r="AK42" t="s">
        <v>59</v>
      </c>
      <c r="AL42" t="s">
        <v>60</v>
      </c>
      <c r="AM42" t="s">
        <v>59</v>
      </c>
      <c r="AN42" t="s">
        <v>59</v>
      </c>
      <c r="AO42" t="s">
        <v>59</v>
      </c>
      <c r="AP42" t="s">
        <v>235</v>
      </c>
      <c r="AQ42" t="s">
        <v>236</v>
      </c>
      <c r="AR42" t="s">
        <v>226</v>
      </c>
      <c r="AS42" t="s">
        <v>237</v>
      </c>
      <c r="AT42" t="s">
        <v>237</v>
      </c>
      <c r="AU42" t="s">
        <v>219</v>
      </c>
      <c r="AW42" s="4">
        <f t="shared" si="0"/>
        <v>6</v>
      </c>
      <c r="AX42" s="4">
        <f t="shared" si="1"/>
        <v>4</v>
      </c>
      <c r="AY42" s="4">
        <f t="shared" si="2"/>
        <v>4</v>
      </c>
      <c r="AZ42" s="4">
        <f t="shared" si="3"/>
        <v>2</v>
      </c>
      <c r="BA42" s="4">
        <f t="shared" si="4"/>
        <v>4</v>
      </c>
      <c r="BB42" s="4">
        <f t="shared" si="5"/>
        <v>4</v>
      </c>
      <c r="BC42" s="4">
        <f t="shared" si="6"/>
        <v>4</v>
      </c>
      <c r="BD42" s="4">
        <f t="shared" si="7"/>
        <v>2</v>
      </c>
      <c r="BE42" s="4">
        <f t="shared" si="8"/>
        <v>4</v>
      </c>
      <c r="BF42" s="4">
        <f t="shared" si="9"/>
        <v>2</v>
      </c>
      <c r="BG42" s="4">
        <f t="shared" si="10"/>
        <v>4</v>
      </c>
      <c r="BH42" s="4">
        <f t="shared" si="11"/>
        <v>4</v>
      </c>
      <c r="BI42" s="4">
        <f t="shared" si="12"/>
        <v>4</v>
      </c>
      <c r="BJ42" s="4">
        <f t="shared" si="13"/>
        <v>2</v>
      </c>
      <c r="BK42" s="4">
        <f t="shared" si="14"/>
        <v>4</v>
      </c>
      <c r="BL42" s="4">
        <f t="shared" si="15"/>
        <v>2</v>
      </c>
      <c r="BM42" s="4">
        <f t="shared" si="16"/>
        <v>4</v>
      </c>
      <c r="BN42" s="4">
        <f t="shared" si="17"/>
        <v>4</v>
      </c>
      <c r="BO42" s="4">
        <f t="shared" si="18"/>
        <v>4</v>
      </c>
      <c r="BP42" s="4">
        <f t="shared" si="19"/>
        <v>4</v>
      </c>
      <c r="BQ42" s="4">
        <f t="shared" si="20"/>
        <v>6</v>
      </c>
      <c r="BR42" s="4">
        <f t="shared" si="21"/>
        <v>4</v>
      </c>
      <c r="BS42" s="4" t="str">
        <f t="shared" si="22"/>
        <v>0</v>
      </c>
      <c r="BT42" s="4">
        <f t="shared" si="23"/>
        <v>4</v>
      </c>
      <c r="BU42" s="4">
        <f t="shared" si="24"/>
        <v>4</v>
      </c>
      <c r="BV42" s="4" t="str">
        <f t="shared" si="25"/>
        <v>0</v>
      </c>
      <c r="BW42" s="4">
        <f t="shared" si="26"/>
        <v>6</v>
      </c>
      <c r="BX42" s="4">
        <f t="shared" si="27"/>
        <v>0</v>
      </c>
      <c r="BY42" s="4">
        <f t="shared" si="28"/>
        <v>0</v>
      </c>
      <c r="BZ42" s="37">
        <f t="shared" si="29"/>
        <v>96</v>
      </c>
      <c r="CA42" s="32" t="str">
        <f>VLOOKUP(J:J,'Agent wise'!A:C,3,0)</f>
        <v>Amal</v>
      </c>
      <c r="CB42" s="32">
        <f t="shared" si="30"/>
        <v>45932</v>
      </c>
      <c r="CC42" t="str">
        <f t="shared" si="31"/>
        <v>Excellent</v>
      </c>
      <c r="CE42" s="32"/>
      <c r="CJ42">
        <f t="shared" si="35"/>
        <v>2</v>
      </c>
      <c r="CK42">
        <f t="shared" si="36"/>
        <v>10</v>
      </c>
      <c r="CL42">
        <f t="shared" si="37"/>
        <v>2025</v>
      </c>
    </row>
    <row r="43" spans="1:90" ht="15" customHeight="1" x14ac:dyDescent="0.35">
      <c r="A43" s="40">
        <v>45698.537430555552</v>
      </c>
      <c r="B43" t="s">
        <v>100</v>
      </c>
      <c r="C43" t="s">
        <v>214</v>
      </c>
      <c r="D43" t="s">
        <v>101</v>
      </c>
      <c r="E43" s="32">
        <v>45932</v>
      </c>
      <c r="F43" t="s">
        <v>54</v>
      </c>
      <c r="G43" s="2">
        <v>45667</v>
      </c>
      <c r="H43">
        <v>9497774987</v>
      </c>
      <c r="I43">
        <v>154</v>
      </c>
      <c r="J43" t="s">
        <v>238</v>
      </c>
      <c r="K43" t="s">
        <v>57</v>
      </c>
      <c r="L43" t="s">
        <v>58</v>
      </c>
      <c r="M43" t="s">
        <v>59</v>
      </c>
      <c r="N43" t="s">
        <v>59</v>
      </c>
      <c r="O43" t="s">
        <v>59</v>
      </c>
      <c r="P43" t="s">
        <v>59</v>
      </c>
      <c r="Q43" t="s">
        <v>59</v>
      </c>
      <c r="R43" t="s">
        <v>59</v>
      </c>
      <c r="S43" t="s">
        <v>59</v>
      </c>
      <c r="T43" t="s">
        <v>59</v>
      </c>
      <c r="U43" t="s">
        <v>59</v>
      </c>
      <c r="V43" t="s">
        <v>59</v>
      </c>
      <c r="W43" t="s">
        <v>59</v>
      </c>
      <c r="X43" t="s">
        <v>59</v>
      </c>
      <c r="Y43" t="s">
        <v>59</v>
      </c>
      <c r="Z43" t="s">
        <v>59</v>
      </c>
      <c r="AA43" t="s">
        <v>60</v>
      </c>
      <c r="AB43" t="s">
        <v>59</v>
      </c>
      <c r="AC43" t="s">
        <v>60</v>
      </c>
      <c r="AD43" t="s">
        <v>59</v>
      </c>
      <c r="AE43" t="s">
        <v>59</v>
      </c>
      <c r="AF43" t="s">
        <v>59</v>
      </c>
      <c r="AG43" t="s">
        <v>59</v>
      </c>
      <c r="AH43" t="s">
        <v>59</v>
      </c>
      <c r="AI43" t="s">
        <v>61</v>
      </c>
      <c r="AJ43" t="s">
        <v>59</v>
      </c>
      <c r="AK43" t="s">
        <v>59</v>
      </c>
      <c r="AL43" t="s">
        <v>59</v>
      </c>
      <c r="AM43" t="s">
        <v>59</v>
      </c>
      <c r="AN43" t="s">
        <v>59</v>
      </c>
      <c r="AO43" t="s">
        <v>59</v>
      </c>
      <c r="AP43" t="s">
        <v>239</v>
      </c>
      <c r="AQ43" s="1" t="s">
        <v>240</v>
      </c>
      <c r="AR43" t="s">
        <v>64</v>
      </c>
      <c r="AS43" t="s">
        <v>241</v>
      </c>
      <c r="AT43" t="s">
        <v>153</v>
      </c>
      <c r="AU43" t="s">
        <v>219</v>
      </c>
      <c r="AW43" s="4">
        <f t="shared" si="0"/>
        <v>6</v>
      </c>
      <c r="AX43" s="4">
        <f t="shared" si="1"/>
        <v>4</v>
      </c>
      <c r="AY43" s="4">
        <f t="shared" si="2"/>
        <v>4</v>
      </c>
      <c r="AZ43" s="4">
        <f t="shared" si="3"/>
        <v>2</v>
      </c>
      <c r="BA43" s="4">
        <f t="shared" si="4"/>
        <v>4</v>
      </c>
      <c r="BB43" s="4">
        <f t="shared" si="5"/>
        <v>4</v>
      </c>
      <c r="BC43" s="4">
        <f t="shared" si="6"/>
        <v>4</v>
      </c>
      <c r="BD43" s="4">
        <f t="shared" si="7"/>
        <v>2</v>
      </c>
      <c r="BE43" s="4">
        <f t="shared" si="8"/>
        <v>4</v>
      </c>
      <c r="BF43" s="4">
        <f t="shared" si="9"/>
        <v>2</v>
      </c>
      <c r="BG43" s="4">
        <f t="shared" si="10"/>
        <v>4</v>
      </c>
      <c r="BH43" s="4">
        <f t="shared" si="11"/>
        <v>4</v>
      </c>
      <c r="BI43" s="4">
        <f t="shared" si="12"/>
        <v>4</v>
      </c>
      <c r="BJ43" s="4">
        <f t="shared" si="13"/>
        <v>2</v>
      </c>
      <c r="BK43" s="4" t="str">
        <f t="shared" si="14"/>
        <v>0</v>
      </c>
      <c r="BL43" s="4">
        <f t="shared" si="15"/>
        <v>2</v>
      </c>
      <c r="BM43" s="4" t="str">
        <f t="shared" si="16"/>
        <v>0</v>
      </c>
      <c r="BN43" s="4">
        <f t="shared" si="17"/>
        <v>4</v>
      </c>
      <c r="BO43" s="4">
        <f t="shared" si="18"/>
        <v>4</v>
      </c>
      <c r="BP43" s="4">
        <f t="shared" si="19"/>
        <v>4</v>
      </c>
      <c r="BQ43" s="4">
        <f t="shared" si="20"/>
        <v>6</v>
      </c>
      <c r="BR43" s="4">
        <f t="shared" si="21"/>
        <v>4</v>
      </c>
      <c r="BS43" s="4">
        <f t="shared" si="22"/>
        <v>4</v>
      </c>
      <c r="BT43" s="4">
        <f t="shared" si="23"/>
        <v>4</v>
      </c>
      <c r="BU43" s="4">
        <f t="shared" si="24"/>
        <v>4</v>
      </c>
      <c r="BV43" s="4">
        <f t="shared" si="25"/>
        <v>0</v>
      </c>
      <c r="BW43" s="4">
        <f t="shared" si="26"/>
        <v>6</v>
      </c>
      <c r="BX43" s="4">
        <f t="shared" si="27"/>
        <v>0</v>
      </c>
      <c r="BY43" s="4">
        <f t="shared" si="28"/>
        <v>0</v>
      </c>
      <c r="BZ43" s="37">
        <f t="shared" si="29"/>
        <v>92</v>
      </c>
      <c r="CA43" s="32" t="str">
        <f>VLOOKUP(J:J,'Agent wise'!A:C,3,0)</f>
        <v xml:space="preserve">Shiny </v>
      </c>
      <c r="CB43" s="32">
        <f t="shared" si="30"/>
        <v>45932</v>
      </c>
      <c r="CC43" t="str">
        <f t="shared" si="31"/>
        <v>Good</v>
      </c>
      <c r="CE43" s="32"/>
      <c r="CJ43">
        <f t="shared" si="35"/>
        <v>2</v>
      </c>
      <c r="CK43">
        <f t="shared" si="36"/>
        <v>10</v>
      </c>
      <c r="CL43">
        <f t="shared" si="37"/>
        <v>2025</v>
      </c>
    </row>
    <row r="44" spans="1:90" ht="15" customHeight="1" x14ac:dyDescent="0.35">
      <c r="A44" s="40">
        <v>45698.557372685187</v>
      </c>
      <c r="B44" t="s">
        <v>220</v>
      </c>
      <c r="C44" t="s">
        <v>214</v>
      </c>
      <c r="D44" t="s">
        <v>221</v>
      </c>
      <c r="E44" s="32">
        <v>45932</v>
      </c>
      <c r="F44" t="s">
        <v>222</v>
      </c>
      <c r="G44" s="2">
        <v>45698</v>
      </c>
      <c r="H44">
        <v>7339583437</v>
      </c>
      <c r="I44">
        <v>165</v>
      </c>
      <c r="J44" t="s">
        <v>242</v>
      </c>
      <c r="K44" t="s">
        <v>71</v>
      </c>
      <c r="L44" t="s">
        <v>72</v>
      </c>
      <c r="M44" t="s">
        <v>59</v>
      </c>
      <c r="N44" t="s">
        <v>59</v>
      </c>
      <c r="O44" t="s">
        <v>59</v>
      </c>
      <c r="P44" t="s">
        <v>59</v>
      </c>
      <c r="Q44" t="s">
        <v>59</v>
      </c>
      <c r="R44" t="s">
        <v>59</v>
      </c>
      <c r="S44" t="s">
        <v>59</v>
      </c>
      <c r="T44" t="s">
        <v>59</v>
      </c>
      <c r="U44" t="s">
        <v>59</v>
      </c>
      <c r="V44" t="s">
        <v>59</v>
      </c>
      <c r="W44" t="s">
        <v>59</v>
      </c>
      <c r="X44" t="s">
        <v>59</v>
      </c>
      <c r="Y44" t="s">
        <v>59</v>
      </c>
      <c r="Z44" t="s">
        <v>59</v>
      </c>
      <c r="AA44" t="s">
        <v>59</v>
      </c>
      <c r="AB44" t="s">
        <v>59</v>
      </c>
      <c r="AC44" t="s">
        <v>61</v>
      </c>
      <c r="AD44" t="s">
        <v>59</v>
      </c>
      <c r="AE44" t="s">
        <v>59</v>
      </c>
      <c r="AF44" t="s">
        <v>59</v>
      </c>
      <c r="AG44" t="s">
        <v>59</v>
      </c>
      <c r="AH44" t="s">
        <v>61</v>
      </c>
      <c r="AI44" t="s">
        <v>61</v>
      </c>
      <c r="AJ44" t="s">
        <v>59</v>
      </c>
      <c r="AK44" t="s">
        <v>59</v>
      </c>
      <c r="AL44" t="s">
        <v>60</v>
      </c>
      <c r="AM44" t="s">
        <v>59</v>
      </c>
      <c r="AN44" t="s">
        <v>59</v>
      </c>
      <c r="AO44" t="s">
        <v>59</v>
      </c>
      <c r="AP44" t="s">
        <v>243</v>
      </c>
      <c r="AQ44" t="s">
        <v>244</v>
      </c>
      <c r="AR44" t="s">
        <v>226</v>
      </c>
      <c r="AS44" t="s">
        <v>245</v>
      </c>
      <c r="AT44" t="s">
        <v>245</v>
      </c>
      <c r="AU44" t="s">
        <v>219</v>
      </c>
      <c r="AW44" s="4">
        <f t="shared" si="0"/>
        <v>6</v>
      </c>
      <c r="AX44" s="4">
        <f t="shared" si="1"/>
        <v>4</v>
      </c>
      <c r="AY44" s="4">
        <f t="shared" si="2"/>
        <v>4</v>
      </c>
      <c r="AZ44" s="4">
        <f t="shared" si="3"/>
        <v>2</v>
      </c>
      <c r="BA44" s="4">
        <f t="shared" si="4"/>
        <v>4</v>
      </c>
      <c r="BB44" s="4">
        <f t="shared" si="5"/>
        <v>4</v>
      </c>
      <c r="BC44" s="4">
        <f t="shared" si="6"/>
        <v>4</v>
      </c>
      <c r="BD44" s="4">
        <f t="shared" si="7"/>
        <v>2</v>
      </c>
      <c r="BE44" s="4">
        <f t="shared" si="8"/>
        <v>4</v>
      </c>
      <c r="BF44" s="4">
        <f t="shared" si="9"/>
        <v>2</v>
      </c>
      <c r="BG44" s="4">
        <f t="shared" si="10"/>
        <v>4</v>
      </c>
      <c r="BH44" s="4">
        <f t="shared" si="11"/>
        <v>4</v>
      </c>
      <c r="BI44" s="4">
        <f t="shared" si="12"/>
        <v>4</v>
      </c>
      <c r="BJ44" s="4">
        <f t="shared" si="13"/>
        <v>2</v>
      </c>
      <c r="BK44" s="4">
        <f t="shared" si="14"/>
        <v>4</v>
      </c>
      <c r="BL44" s="4">
        <f t="shared" si="15"/>
        <v>2</v>
      </c>
      <c r="BM44" s="4">
        <f t="shared" si="16"/>
        <v>4</v>
      </c>
      <c r="BN44" s="4">
        <f t="shared" si="17"/>
        <v>4</v>
      </c>
      <c r="BO44" s="4">
        <f t="shared" si="18"/>
        <v>4</v>
      </c>
      <c r="BP44" s="4">
        <f t="shared" si="19"/>
        <v>4</v>
      </c>
      <c r="BQ44" s="4">
        <f t="shared" si="20"/>
        <v>6</v>
      </c>
      <c r="BR44" s="4">
        <f t="shared" si="21"/>
        <v>4</v>
      </c>
      <c r="BS44" s="4">
        <f t="shared" si="22"/>
        <v>4</v>
      </c>
      <c r="BT44" s="4">
        <f t="shared" si="23"/>
        <v>4</v>
      </c>
      <c r="BU44" s="4">
        <f t="shared" si="24"/>
        <v>4</v>
      </c>
      <c r="BV44" s="4" t="str">
        <f t="shared" si="25"/>
        <v>0</v>
      </c>
      <c r="BW44" s="4">
        <f t="shared" si="26"/>
        <v>6</v>
      </c>
      <c r="BX44" s="4">
        <f t="shared" si="27"/>
        <v>0</v>
      </c>
      <c r="BY44" s="4">
        <f t="shared" si="28"/>
        <v>0</v>
      </c>
      <c r="BZ44" s="37">
        <f t="shared" si="29"/>
        <v>100</v>
      </c>
      <c r="CA44" s="32" t="str">
        <f>VLOOKUP(J:J,'Agent wise'!A:C,3,0)</f>
        <v>Amal</v>
      </c>
      <c r="CB44" s="32">
        <f t="shared" si="30"/>
        <v>45932</v>
      </c>
      <c r="CC44" t="str">
        <f t="shared" si="31"/>
        <v>Excellent</v>
      </c>
      <c r="CE44" s="32"/>
      <c r="CJ44">
        <f t="shared" si="35"/>
        <v>2</v>
      </c>
      <c r="CK44">
        <f t="shared" si="36"/>
        <v>10</v>
      </c>
      <c r="CL44">
        <f t="shared" si="37"/>
        <v>2025</v>
      </c>
    </row>
    <row r="45" spans="1:90" ht="15" customHeight="1" x14ac:dyDescent="0.35">
      <c r="A45" s="40">
        <v>45698.562395833331</v>
      </c>
      <c r="B45" t="s">
        <v>220</v>
      </c>
      <c r="C45" t="s">
        <v>214</v>
      </c>
      <c r="D45" t="s">
        <v>221</v>
      </c>
      <c r="E45" s="32">
        <v>45932</v>
      </c>
      <c r="F45" t="s">
        <v>222</v>
      </c>
      <c r="G45" s="2">
        <v>45698</v>
      </c>
      <c r="H45">
        <v>9840390388</v>
      </c>
      <c r="I45">
        <v>247</v>
      </c>
      <c r="J45" t="s">
        <v>246</v>
      </c>
      <c r="K45" t="s">
        <v>71</v>
      </c>
      <c r="L45" t="s">
        <v>72</v>
      </c>
      <c r="M45" t="s">
        <v>59</v>
      </c>
      <c r="N45" t="s">
        <v>59</v>
      </c>
      <c r="O45" t="s">
        <v>59</v>
      </c>
      <c r="P45" t="s">
        <v>59</v>
      </c>
      <c r="Q45" t="s">
        <v>59</v>
      </c>
      <c r="R45" t="s">
        <v>59</v>
      </c>
      <c r="S45" t="s">
        <v>59</v>
      </c>
      <c r="T45" t="s">
        <v>59</v>
      </c>
      <c r="U45" t="s">
        <v>59</v>
      </c>
      <c r="V45" t="s">
        <v>59</v>
      </c>
      <c r="W45" t="s">
        <v>59</v>
      </c>
      <c r="X45" t="s">
        <v>59</v>
      </c>
      <c r="Y45" t="s">
        <v>59</v>
      </c>
      <c r="Z45" t="s">
        <v>59</v>
      </c>
      <c r="AA45" t="s">
        <v>59</v>
      </c>
      <c r="AB45" t="s">
        <v>59</v>
      </c>
      <c r="AC45" t="s">
        <v>61</v>
      </c>
      <c r="AD45" t="s">
        <v>59</v>
      </c>
      <c r="AE45" t="s">
        <v>59</v>
      </c>
      <c r="AF45" t="s">
        <v>59</v>
      </c>
      <c r="AG45" t="s">
        <v>59</v>
      </c>
      <c r="AH45" t="s">
        <v>61</v>
      </c>
      <c r="AI45" t="s">
        <v>59</v>
      </c>
      <c r="AJ45" t="s">
        <v>59</v>
      </c>
      <c r="AK45" t="s">
        <v>59</v>
      </c>
      <c r="AL45" t="s">
        <v>59</v>
      </c>
      <c r="AM45" t="s">
        <v>59</v>
      </c>
      <c r="AN45" t="s">
        <v>59</v>
      </c>
      <c r="AO45" t="s">
        <v>59</v>
      </c>
      <c r="AP45" t="s">
        <v>247</v>
      </c>
      <c r="AQ45" t="s">
        <v>248</v>
      </c>
      <c r="AR45" t="s">
        <v>226</v>
      </c>
      <c r="AS45" t="s">
        <v>249</v>
      </c>
      <c r="AT45" t="s">
        <v>249</v>
      </c>
      <c r="AU45" t="s">
        <v>219</v>
      </c>
      <c r="AW45" s="4">
        <f t="shared" si="0"/>
        <v>6</v>
      </c>
      <c r="AX45" s="4">
        <f t="shared" si="1"/>
        <v>4</v>
      </c>
      <c r="AY45" s="4">
        <f t="shared" si="2"/>
        <v>4</v>
      </c>
      <c r="AZ45" s="4">
        <f t="shared" si="3"/>
        <v>2</v>
      </c>
      <c r="BA45" s="4">
        <f t="shared" si="4"/>
        <v>4</v>
      </c>
      <c r="BB45" s="4">
        <f t="shared" si="5"/>
        <v>4</v>
      </c>
      <c r="BC45" s="4">
        <f t="shared" si="6"/>
        <v>4</v>
      </c>
      <c r="BD45" s="4">
        <f t="shared" si="7"/>
        <v>2</v>
      </c>
      <c r="BE45" s="4">
        <f t="shared" si="8"/>
        <v>4</v>
      </c>
      <c r="BF45" s="4">
        <f t="shared" si="9"/>
        <v>2</v>
      </c>
      <c r="BG45" s="4">
        <f t="shared" si="10"/>
        <v>4</v>
      </c>
      <c r="BH45" s="4">
        <f t="shared" si="11"/>
        <v>4</v>
      </c>
      <c r="BI45" s="4">
        <f t="shared" si="12"/>
        <v>4</v>
      </c>
      <c r="BJ45" s="4">
        <f t="shared" si="13"/>
        <v>2</v>
      </c>
      <c r="BK45" s="4">
        <f t="shared" si="14"/>
        <v>4</v>
      </c>
      <c r="BL45" s="4">
        <f t="shared" si="15"/>
        <v>2</v>
      </c>
      <c r="BM45" s="4">
        <f t="shared" si="16"/>
        <v>4</v>
      </c>
      <c r="BN45" s="4">
        <f t="shared" si="17"/>
        <v>4</v>
      </c>
      <c r="BO45" s="4">
        <f t="shared" si="18"/>
        <v>4</v>
      </c>
      <c r="BP45" s="4">
        <f t="shared" si="19"/>
        <v>4</v>
      </c>
      <c r="BQ45" s="4">
        <f t="shared" si="20"/>
        <v>6</v>
      </c>
      <c r="BR45" s="4">
        <f t="shared" si="21"/>
        <v>4</v>
      </c>
      <c r="BS45" s="4">
        <f t="shared" si="22"/>
        <v>4</v>
      </c>
      <c r="BT45" s="4">
        <f t="shared" si="23"/>
        <v>4</v>
      </c>
      <c r="BU45" s="4">
        <f t="shared" si="24"/>
        <v>4</v>
      </c>
      <c r="BV45" s="4">
        <f t="shared" si="25"/>
        <v>0</v>
      </c>
      <c r="BW45" s="4">
        <f t="shared" si="26"/>
        <v>6</v>
      </c>
      <c r="BX45" s="4">
        <f t="shared" si="27"/>
        <v>0</v>
      </c>
      <c r="BY45" s="4">
        <f t="shared" si="28"/>
        <v>0</v>
      </c>
      <c r="BZ45" s="37">
        <f t="shared" si="29"/>
        <v>100</v>
      </c>
      <c r="CA45" s="32" t="str">
        <f>VLOOKUP(J:J,'Agent wise'!A:C,3,0)</f>
        <v>Amal</v>
      </c>
      <c r="CB45" s="32">
        <f t="shared" si="30"/>
        <v>45932</v>
      </c>
      <c r="CC45" t="str">
        <f t="shared" si="31"/>
        <v>Excellent</v>
      </c>
      <c r="CE45" s="32"/>
      <c r="CJ45">
        <f t="shared" si="35"/>
        <v>2</v>
      </c>
      <c r="CK45">
        <f t="shared" si="36"/>
        <v>10</v>
      </c>
      <c r="CL45">
        <f t="shared" si="37"/>
        <v>2025</v>
      </c>
    </row>
    <row r="46" spans="1:90" ht="15" customHeight="1" x14ac:dyDescent="0.35">
      <c r="A46" s="40">
        <v>45698.585300925923</v>
      </c>
      <c r="B46" t="s">
        <v>250</v>
      </c>
      <c r="C46" t="s">
        <v>214</v>
      </c>
      <c r="D46" t="s">
        <v>251</v>
      </c>
      <c r="E46" s="32">
        <v>45932</v>
      </c>
      <c r="F46" t="s">
        <v>54</v>
      </c>
      <c r="G46" s="2">
        <v>45666</v>
      </c>
      <c r="H46">
        <v>8943482329</v>
      </c>
      <c r="I46">
        <v>222</v>
      </c>
      <c r="J46" t="s">
        <v>252</v>
      </c>
      <c r="K46" t="s">
        <v>57</v>
      </c>
      <c r="L46" t="s">
        <v>58</v>
      </c>
      <c r="M46" t="s">
        <v>59</v>
      </c>
      <c r="N46" t="s">
        <v>59</v>
      </c>
      <c r="O46" t="s">
        <v>59</v>
      </c>
      <c r="P46" t="s">
        <v>59</v>
      </c>
      <c r="Q46" t="s">
        <v>59</v>
      </c>
      <c r="R46" t="s">
        <v>59</v>
      </c>
      <c r="S46" t="s">
        <v>59</v>
      </c>
      <c r="T46" t="s">
        <v>59</v>
      </c>
      <c r="U46" t="s">
        <v>60</v>
      </c>
      <c r="V46" t="s">
        <v>59</v>
      </c>
      <c r="W46" t="s">
        <v>59</v>
      </c>
      <c r="X46" t="s">
        <v>59</v>
      </c>
      <c r="Y46" t="s">
        <v>59</v>
      </c>
      <c r="Z46" t="s">
        <v>60</v>
      </c>
      <c r="AA46" t="s">
        <v>59</v>
      </c>
      <c r="AB46" t="s">
        <v>60</v>
      </c>
      <c r="AC46" t="s">
        <v>59</v>
      </c>
      <c r="AD46" t="s">
        <v>59</v>
      </c>
      <c r="AE46" t="s">
        <v>59</v>
      </c>
      <c r="AF46" t="s">
        <v>61</v>
      </c>
      <c r="AG46" t="s">
        <v>59</v>
      </c>
      <c r="AH46" t="s">
        <v>61</v>
      </c>
      <c r="AI46" t="s">
        <v>61</v>
      </c>
      <c r="AJ46" t="s">
        <v>59</v>
      </c>
      <c r="AK46" t="s">
        <v>59</v>
      </c>
      <c r="AL46" t="s">
        <v>60</v>
      </c>
      <c r="AM46" t="s">
        <v>59</v>
      </c>
      <c r="AN46" t="s">
        <v>59</v>
      </c>
      <c r="AO46" t="s">
        <v>59</v>
      </c>
      <c r="AP46" t="s">
        <v>253</v>
      </c>
      <c r="AQ46" t="s">
        <v>254</v>
      </c>
      <c r="AR46" t="s">
        <v>64</v>
      </c>
      <c r="AS46" t="s">
        <v>255</v>
      </c>
      <c r="AT46" t="s">
        <v>256</v>
      </c>
      <c r="AU46" t="s">
        <v>257</v>
      </c>
      <c r="AW46" s="4">
        <f t="shared" si="0"/>
        <v>6</v>
      </c>
      <c r="AX46" s="4">
        <f t="shared" si="1"/>
        <v>4</v>
      </c>
      <c r="AY46" s="4">
        <f t="shared" si="2"/>
        <v>4</v>
      </c>
      <c r="AZ46" s="4">
        <f t="shared" si="3"/>
        <v>2</v>
      </c>
      <c r="BA46" s="4">
        <f t="shared" si="4"/>
        <v>4</v>
      </c>
      <c r="BB46" s="4">
        <f t="shared" si="5"/>
        <v>4</v>
      </c>
      <c r="BC46" s="4">
        <f t="shared" si="6"/>
        <v>4</v>
      </c>
      <c r="BD46" s="4">
        <f t="shared" si="7"/>
        <v>2</v>
      </c>
      <c r="BE46" s="4" t="str">
        <f t="shared" si="8"/>
        <v>0</v>
      </c>
      <c r="BF46" s="4">
        <f t="shared" si="9"/>
        <v>2</v>
      </c>
      <c r="BG46" s="4">
        <f t="shared" si="10"/>
        <v>4</v>
      </c>
      <c r="BH46" s="4">
        <f t="shared" si="11"/>
        <v>4</v>
      </c>
      <c r="BI46" s="4">
        <f t="shared" si="12"/>
        <v>4</v>
      </c>
      <c r="BJ46" s="4" t="str">
        <f t="shared" si="13"/>
        <v>0</v>
      </c>
      <c r="BK46" s="4">
        <f t="shared" si="14"/>
        <v>4</v>
      </c>
      <c r="BL46" s="4" t="str">
        <f t="shared" si="15"/>
        <v>0</v>
      </c>
      <c r="BM46" s="4">
        <f t="shared" si="16"/>
        <v>4</v>
      </c>
      <c r="BN46" s="4">
        <f t="shared" si="17"/>
        <v>4</v>
      </c>
      <c r="BO46" s="4">
        <f t="shared" si="18"/>
        <v>4</v>
      </c>
      <c r="BP46" s="4">
        <f t="shared" si="19"/>
        <v>4</v>
      </c>
      <c r="BQ46" s="4">
        <f t="shared" si="20"/>
        <v>6</v>
      </c>
      <c r="BR46" s="4">
        <f t="shared" si="21"/>
        <v>4</v>
      </c>
      <c r="BS46" s="4">
        <f t="shared" si="22"/>
        <v>4</v>
      </c>
      <c r="BT46" s="4">
        <f t="shared" si="23"/>
        <v>4</v>
      </c>
      <c r="BU46" s="4">
        <f t="shared" si="24"/>
        <v>4</v>
      </c>
      <c r="BV46" s="4" t="str">
        <f t="shared" si="25"/>
        <v>0</v>
      </c>
      <c r="BW46" s="4">
        <f t="shared" si="26"/>
        <v>6</v>
      </c>
      <c r="BX46" s="4">
        <f t="shared" si="27"/>
        <v>0</v>
      </c>
      <c r="BY46" s="4">
        <f t="shared" si="28"/>
        <v>0</v>
      </c>
      <c r="BZ46" s="37">
        <f t="shared" si="29"/>
        <v>92</v>
      </c>
      <c r="CA46" s="32" t="str">
        <f>VLOOKUP(J:J,'Agent wise'!A:C,3,0)</f>
        <v xml:space="preserve">Shiny </v>
      </c>
      <c r="CB46" s="32">
        <f t="shared" si="30"/>
        <v>45932</v>
      </c>
      <c r="CC46" t="str">
        <f t="shared" si="31"/>
        <v>Good</v>
      </c>
      <c r="CE46" s="32"/>
      <c r="CJ46">
        <f t="shared" si="35"/>
        <v>2</v>
      </c>
      <c r="CK46">
        <f t="shared" si="36"/>
        <v>10</v>
      </c>
      <c r="CL46">
        <f t="shared" si="37"/>
        <v>2025</v>
      </c>
    </row>
    <row r="47" spans="1:90" ht="15" customHeight="1" x14ac:dyDescent="0.35">
      <c r="A47" s="40">
        <v>45698.62462962963</v>
      </c>
      <c r="B47" t="s">
        <v>100</v>
      </c>
      <c r="C47" t="s">
        <v>214</v>
      </c>
      <c r="D47" t="s">
        <v>101</v>
      </c>
      <c r="E47" s="32">
        <v>45932</v>
      </c>
      <c r="F47" t="s">
        <v>54</v>
      </c>
      <c r="G47" s="2">
        <v>45667</v>
      </c>
      <c r="H47">
        <v>9443741038</v>
      </c>
      <c r="I47">
        <v>138</v>
      </c>
      <c r="J47" t="s">
        <v>258</v>
      </c>
      <c r="K47" t="s">
        <v>71</v>
      </c>
      <c r="L47" t="s">
        <v>72</v>
      </c>
      <c r="M47" t="s">
        <v>59</v>
      </c>
      <c r="N47" t="s">
        <v>59</v>
      </c>
      <c r="O47" t="s">
        <v>59</v>
      </c>
      <c r="P47" t="s">
        <v>59</v>
      </c>
      <c r="Q47" t="s">
        <v>59</v>
      </c>
      <c r="R47" t="s">
        <v>59</v>
      </c>
      <c r="S47" t="s">
        <v>59</v>
      </c>
      <c r="T47" t="s">
        <v>59</v>
      </c>
      <c r="U47" t="s">
        <v>59</v>
      </c>
      <c r="V47" t="s">
        <v>59</v>
      </c>
      <c r="W47" t="s">
        <v>59</v>
      </c>
      <c r="X47" t="s">
        <v>59</v>
      </c>
      <c r="Y47" t="s">
        <v>59</v>
      </c>
      <c r="Z47" t="s">
        <v>59</v>
      </c>
      <c r="AA47" t="s">
        <v>60</v>
      </c>
      <c r="AB47" t="s">
        <v>59</v>
      </c>
      <c r="AC47" t="s">
        <v>59</v>
      </c>
      <c r="AD47" t="s">
        <v>59</v>
      </c>
      <c r="AE47" t="s">
        <v>59</v>
      </c>
      <c r="AF47" t="s">
        <v>59</v>
      </c>
      <c r="AG47" t="s">
        <v>59</v>
      </c>
      <c r="AH47" t="s">
        <v>59</v>
      </c>
      <c r="AI47" t="s">
        <v>61</v>
      </c>
      <c r="AJ47" t="s">
        <v>59</v>
      </c>
      <c r="AK47" t="s">
        <v>59</v>
      </c>
      <c r="AL47" t="s">
        <v>59</v>
      </c>
      <c r="AM47" t="s">
        <v>59</v>
      </c>
      <c r="AN47" t="s">
        <v>59</v>
      </c>
      <c r="AO47" t="s">
        <v>59</v>
      </c>
      <c r="AP47" t="s">
        <v>239</v>
      </c>
      <c r="AQ47" s="1" t="s">
        <v>259</v>
      </c>
      <c r="AR47" t="s">
        <v>64</v>
      </c>
      <c r="AS47" t="s">
        <v>171</v>
      </c>
      <c r="AT47" t="s">
        <v>190</v>
      </c>
      <c r="AU47" t="s">
        <v>219</v>
      </c>
      <c r="AW47" s="4">
        <f t="shared" si="0"/>
        <v>6</v>
      </c>
      <c r="AX47" s="4">
        <f t="shared" si="1"/>
        <v>4</v>
      </c>
      <c r="AY47" s="4">
        <f t="shared" si="2"/>
        <v>4</v>
      </c>
      <c r="AZ47" s="4">
        <f t="shared" si="3"/>
        <v>2</v>
      </c>
      <c r="BA47" s="4">
        <f t="shared" si="4"/>
        <v>4</v>
      </c>
      <c r="BB47" s="4">
        <f t="shared" si="5"/>
        <v>4</v>
      </c>
      <c r="BC47" s="4">
        <f t="shared" si="6"/>
        <v>4</v>
      </c>
      <c r="BD47" s="4">
        <f t="shared" si="7"/>
        <v>2</v>
      </c>
      <c r="BE47" s="4">
        <f t="shared" si="8"/>
        <v>4</v>
      </c>
      <c r="BF47" s="4">
        <f t="shared" si="9"/>
        <v>2</v>
      </c>
      <c r="BG47" s="4">
        <f t="shared" si="10"/>
        <v>4</v>
      </c>
      <c r="BH47" s="4">
        <f t="shared" si="11"/>
        <v>4</v>
      </c>
      <c r="BI47" s="4">
        <f t="shared" si="12"/>
        <v>4</v>
      </c>
      <c r="BJ47" s="4">
        <f t="shared" si="13"/>
        <v>2</v>
      </c>
      <c r="BK47" s="4" t="str">
        <f t="shared" si="14"/>
        <v>0</v>
      </c>
      <c r="BL47" s="4">
        <f t="shared" si="15"/>
        <v>2</v>
      </c>
      <c r="BM47" s="4">
        <f t="shared" si="16"/>
        <v>4</v>
      </c>
      <c r="BN47" s="4">
        <f t="shared" si="17"/>
        <v>4</v>
      </c>
      <c r="BO47" s="4">
        <f t="shared" si="18"/>
        <v>4</v>
      </c>
      <c r="BP47" s="4">
        <f t="shared" si="19"/>
        <v>4</v>
      </c>
      <c r="BQ47" s="4">
        <f t="shared" si="20"/>
        <v>6</v>
      </c>
      <c r="BR47" s="4">
        <f t="shared" si="21"/>
        <v>4</v>
      </c>
      <c r="BS47" s="4">
        <f t="shared" si="22"/>
        <v>4</v>
      </c>
      <c r="BT47" s="4">
        <f t="shared" si="23"/>
        <v>4</v>
      </c>
      <c r="BU47" s="4">
        <f t="shared" si="24"/>
        <v>4</v>
      </c>
      <c r="BV47" s="4">
        <f t="shared" si="25"/>
        <v>0</v>
      </c>
      <c r="BW47" s="4">
        <f t="shared" si="26"/>
        <v>6</v>
      </c>
      <c r="BX47" s="4">
        <f t="shared" si="27"/>
        <v>0</v>
      </c>
      <c r="BY47" s="4">
        <f t="shared" si="28"/>
        <v>0</v>
      </c>
      <c r="BZ47" s="37">
        <f t="shared" si="29"/>
        <v>96</v>
      </c>
      <c r="CA47" s="32" t="str">
        <f>VLOOKUP(J:J,'Agent wise'!A:C,3,0)</f>
        <v xml:space="preserve">Shiny </v>
      </c>
      <c r="CB47" s="32">
        <f t="shared" si="30"/>
        <v>45932</v>
      </c>
      <c r="CC47" t="str">
        <f t="shared" si="31"/>
        <v>Excellent</v>
      </c>
      <c r="CE47" s="32"/>
      <c r="CJ47">
        <f t="shared" si="35"/>
        <v>2</v>
      </c>
      <c r="CK47">
        <f t="shared" si="36"/>
        <v>10</v>
      </c>
      <c r="CL47">
        <f t="shared" si="37"/>
        <v>2025</v>
      </c>
    </row>
    <row r="48" spans="1:90" ht="15" customHeight="1" x14ac:dyDescent="0.35">
      <c r="A48" s="40">
        <v>45698.629189814812</v>
      </c>
      <c r="B48" t="s">
        <v>250</v>
      </c>
      <c r="C48" t="s">
        <v>214</v>
      </c>
      <c r="D48" t="s">
        <v>251</v>
      </c>
      <c r="E48" s="32">
        <v>45932</v>
      </c>
      <c r="F48" t="s">
        <v>54</v>
      </c>
      <c r="G48" s="2">
        <v>45667</v>
      </c>
      <c r="H48">
        <v>9043787697</v>
      </c>
      <c r="I48">
        <v>141</v>
      </c>
      <c r="J48" t="s">
        <v>108</v>
      </c>
      <c r="K48" t="s">
        <v>71</v>
      </c>
      <c r="L48" t="s">
        <v>72</v>
      </c>
      <c r="M48" t="s">
        <v>60</v>
      </c>
      <c r="N48" t="s">
        <v>59</v>
      </c>
      <c r="O48" t="s">
        <v>59</v>
      </c>
      <c r="P48" t="s">
        <v>59</v>
      </c>
      <c r="Q48" t="s">
        <v>59</v>
      </c>
      <c r="R48" t="s">
        <v>59</v>
      </c>
      <c r="S48" t="s">
        <v>59</v>
      </c>
      <c r="T48" t="s">
        <v>59</v>
      </c>
      <c r="U48" t="s">
        <v>60</v>
      </c>
      <c r="V48" t="s">
        <v>59</v>
      </c>
      <c r="W48" t="s">
        <v>59</v>
      </c>
      <c r="X48" t="s">
        <v>59</v>
      </c>
      <c r="Y48" t="s">
        <v>59</v>
      </c>
      <c r="Z48" t="s">
        <v>59</v>
      </c>
      <c r="AA48" t="s">
        <v>59</v>
      </c>
      <c r="AB48" t="s">
        <v>60</v>
      </c>
      <c r="AC48" t="s">
        <v>59</v>
      </c>
      <c r="AD48" t="s">
        <v>59</v>
      </c>
      <c r="AE48" t="s">
        <v>59</v>
      </c>
      <c r="AF48" t="s">
        <v>59</v>
      </c>
      <c r="AG48" t="s">
        <v>59</v>
      </c>
      <c r="AH48" t="s">
        <v>59</v>
      </c>
      <c r="AI48" t="s">
        <v>61</v>
      </c>
      <c r="AJ48" t="s">
        <v>59</v>
      </c>
      <c r="AK48" t="s">
        <v>59</v>
      </c>
      <c r="AL48" t="s">
        <v>60</v>
      </c>
      <c r="AM48" t="s">
        <v>59</v>
      </c>
      <c r="AN48" t="s">
        <v>59</v>
      </c>
      <c r="AO48" t="s">
        <v>59</v>
      </c>
      <c r="AP48" t="s">
        <v>260</v>
      </c>
      <c r="AQ48" t="s">
        <v>261</v>
      </c>
      <c r="AR48" t="s">
        <v>64</v>
      </c>
      <c r="AS48" t="s">
        <v>198</v>
      </c>
      <c r="AT48" t="s">
        <v>262</v>
      </c>
      <c r="AU48" t="s">
        <v>219</v>
      </c>
      <c r="AW48" s="4" t="str">
        <f t="shared" si="0"/>
        <v>0</v>
      </c>
      <c r="AX48" s="4">
        <f t="shared" si="1"/>
        <v>4</v>
      </c>
      <c r="AY48" s="4">
        <f t="shared" si="2"/>
        <v>4</v>
      </c>
      <c r="AZ48" s="4">
        <f t="shared" si="3"/>
        <v>2</v>
      </c>
      <c r="BA48" s="4">
        <f t="shared" si="4"/>
        <v>4</v>
      </c>
      <c r="BB48" s="4">
        <f t="shared" si="5"/>
        <v>4</v>
      </c>
      <c r="BC48" s="4">
        <f t="shared" si="6"/>
        <v>4</v>
      </c>
      <c r="BD48" s="4">
        <f t="shared" si="7"/>
        <v>2</v>
      </c>
      <c r="BE48" s="4" t="str">
        <f t="shared" si="8"/>
        <v>0</v>
      </c>
      <c r="BF48" s="4">
        <f t="shared" si="9"/>
        <v>2</v>
      </c>
      <c r="BG48" s="4">
        <f t="shared" si="10"/>
        <v>4</v>
      </c>
      <c r="BH48" s="4">
        <f t="shared" si="11"/>
        <v>4</v>
      </c>
      <c r="BI48" s="4">
        <f t="shared" si="12"/>
        <v>4</v>
      </c>
      <c r="BJ48" s="4">
        <f t="shared" si="13"/>
        <v>2</v>
      </c>
      <c r="BK48" s="4">
        <f t="shared" si="14"/>
        <v>4</v>
      </c>
      <c r="BL48" s="4" t="str">
        <f t="shared" si="15"/>
        <v>0</v>
      </c>
      <c r="BM48" s="4">
        <f t="shared" si="16"/>
        <v>4</v>
      </c>
      <c r="BN48" s="4">
        <f t="shared" si="17"/>
        <v>4</v>
      </c>
      <c r="BO48" s="4">
        <f t="shared" si="18"/>
        <v>4</v>
      </c>
      <c r="BP48" s="4">
        <f t="shared" si="19"/>
        <v>4</v>
      </c>
      <c r="BQ48" s="4">
        <f t="shared" si="20"/>
        <v>6</v>
      </c>
      <c r="BR48" s="4">
        <f t="shared" si="21"/>
        <v>4</v>
      </c>
      <c r="BS48" s="4">
        <f t="shared" si="22"/>
        <v>4</v>
      </c>
      <c r="BT48" s="4">
        <f t="shared" si="23"/>
        <v>4</v>
      </c>
      <c r="BU48" s="4">
        <f t="shared" si="24"/>
        <v>4</v>
      </c>
      <c r="BV48" s="4" t="str">
        <f t="shared" si="25"/>
        <v>0</v>
      </c>
      <c r="BW48" s="4">
        <f t="shared" si="26"/>
        <v>6</v>
      </c>
      <c r="BX48" s="4">
        <f t="shared" si="27"/>
        <v>0</v>
      </c>
      <c r="BY48" s="4">
        <f t="shared" si="28"/>
        <v>0</v>
      </c>
      <c r="BZ48" s="37">
        <f t="shared" si="29"/>
        <v>88</v>
      </c>
      <c r="CA48" s="32" t="str">
        <f>VLOOKUP(J:J,'Agent wise'!A:C,3,0)</f>
        <v xml:space="preserve">Shiny </v>
      </c>
      <c r="CB48" s="32">
        <f t="shared" si="30"/>
        <v>45932</v>
      </c>
      <c r="CC48" t="str">
        <f t="shared" si="31"/>
        <v>Average</v>
      </c>
      <c r="CE48" s="32"/>
      <c r="CJ48">
        <f t="shared" si="35"/>
        <v>2</v>
      </c>
      <c r="CK48">
        <f t="shared" si="36"/>
        <v>10</v>
      </c>
      <c r="CL48">
        <f t="shared" si="37"/>
        <v>2025</v>
      </c>
    </row>
    <row r="49" spans="1:90" ht="15" customHeight="1" x14ac:dyDescent="0.35">
      <c r="A49" s="40">
        <v>45698.638761574082</v>
      </c>
      <c r="B49" t="s">
        <v>250</v>
      </c>
      <c r="C49" t="s">
        <v>214</v>
      </c>
      <c r="D49" t="s">
        <v>251</v>
      </c>
      <c r="E49" s="32">
        <v>45932</v>
      </c>
      <c r="F49" t="s">
        <v>54</v>
      </c>
      <c r="G49" s="2">
        <v>45667</v>
      </c>
      <c r="H49">
        <v>9487882275</v>
      </c>
      <c r="I49">
        <v>160</v>
      </c>
      <c r="J49" t="s">
        <v>263</v>
      </c>
      <c r="K49" t="s">
        <v>71</v>
      </c>
      <c r="L49" t="s">
        <v>72</v>
      </c>
      <c r="M49" t="s">
        <v>59</v>
      </c>
      <c r="N49" t="s">
        <v>59</v>
      </c>
      <c r="O49" t="s">
        <v>59</v>
      </c>
      <c r="P49" t="s">
        <v>59</v>
      </c>
      <c r="Q49" t="s">
        <v>59</v>
      </c>
      <c r="R49" t="s">
        <v>59</v>
      </c>
      <c r="S49" t="s">
        <v>59</v>
      </c>
      <c r="T49" t="s">
        <v>60</v>
      </c>
      <c r="U49" t="s">
        <v>60</v>
      </c>
      <c r="V49" t="s">
        <v>59</v>
      </c>
      <c r="W49" t="s">
        <v>59</v>
      </c>
      <c r="X49" t="s">
        <v>59</v>
      </c>
      <c r="Y49" t="s">
        <v>59</v>
      </c>
      <c r="Z49" t="s">
        <v>60</v>
      </c>
      <c r="AA49" t="s">
        <v>59</v>
      </c>
      <c r="AB49" t="s">
        <v>60</v>
      </c>
      <c r="AC49" t="s">
        <v>59</v>
      </c>
      <c r="AD49" t="s">
        <v>59</v>
      </c>
      <c r="AE49" t="s">
        <v>59</v>
      </c>
      <c r="AF49" t="s">
        <v>60</v>
      </c>
      <c r="AG49" t="s">
        <v>60</v>
      </c>
      <c r="AH49" t="s">
        <v>61</v>
      </c>
      <c r="AI49" t="s">
        <v>61</v>
      </c>
      <c r="AJ49" t="s">
        <v>59</v>
      </c>
      <c r="AK49" t="s">
        <v>59</v>
      </c>
      <c r="AL49" t="s">
        <v>60</v>
      </c>
      <c r="AM49" t="s">
        <v>59</v>
      </c>
      <c r="AN49" t="s">
        <v>59</v>
      </c>
      <c r="AO49" t="s">
        <v>59</v>
      </c>
      <c r="AP49" t="s">
        <v>264</v>
      </c>
      <c r="AQ49" t="s">
        <v>265</v>
      </c>
      <c r="AR49" t="s">
        <v>64</v>
      </c>
      <c r="AS49" t="s">
        <v>266</v>
      </c>
      <c r="AT49" t="s">
        <v>267</v>
      </c>
      <c r="AU49" t="s">
        <v>268</v>
      </c>
      <c r="AW49" s="4">
        <f t="shared" si="0"/>
        <v>6</v>
      </c>
      <c r="AX49" s="4">
        <f t="shared" si="1"/>
        <v>4</v>
      </c>
      <c r="AY49" s="4">
        <f t="shared" si="2"/>
        <v>4</v>
      </c>
      <c r="AZ49" s="4">
        <f t="shared" si="3"/>
        <v>2</v>
      </c>
      <c r="BA49" s="4">
        <f t="shared" si="4"/>
        <v>4</v>
      </c>
      <c r="BB49" s="4">
        <f t="shared" si="5"/>
        <v>4</v>
      </c>
      <c r="BC49" s="4">
        <f t="shared" si="6"/>
        <v>4</v>
      </c>
      <c r="BD49" s="4" t="str">
        <f t="shared" si="7"/>
        <v>0</v>
      </c>
      <c r="BE49" s="4" t="str">
        <f t="shared" si="8"/>
        <v>0</v>
      </c>
      <c r="BF49" s="4">
        <f t="shared" si="9"/>
        <v>2</v>
      </c>
      <c r="BG49" s="4">
        <f t="shared" si="10"/>
        <v>4</v>
      </c>
      <c r="BH49" s="4">
        <f t="shared" si="11"/>
        <v>4</v>
      </c>
      <c r="BI49" s="4">
        <f t="shared" si="12"/>
        <v>4</v>
      </c>
      <c r="BJ49" s="4" t="str">
        <f t="shared" si="13"/>
        <v>0</v>
      </c>
      <c r="BK49" s="4">
        <f t="shared" si="14"/>
        <v>4</v>
      </c>
      <c r="BL49" s="4" t="str">
        <f t="shared" si="15"/>
        <v>0</v>
      </c>
      <c r="BM49" s="4">
        <f t="shared" si="16"/>
        <v>4</v>
      </c>
      <c r="BN49" s="4">
        <f t="shared" si="17"/>
        <v>4</v>
      </c>
      <c r="BO49" s="4">
        <f t="shared" si="18"/>
        <v>4</v>
      </c>
      <c r="BP49" s="4" t="str">
        <f t="shared" si="19"/>
        <v>0</v>
      </c>
      <c r="BQ49" s="4" t="str">
        <f t="shared" si="20"/>
        <v>0</v>
      </c>
      <c r="BR49" s="4">
        <f t="shared" si="21"/>
        <v>4</v>
      </c>
      <c r="BS49" s="4">
        <f t="shared" si="22"/>
        <v>4</v>
      </c>
      <c r="BT49" s="4">
        <f t="shared" si="23"/>
        <v>4</v>
      </c>
      <c r="BU49" s="4">
        <f t="shared" si="24"/>
        <v>4</v>
      </c>
      <c r="BV49" s="4" t="str">
        <f t="shared" si="25"/>
        <v>0</v>
      </c>
      <c r="BW49" s="4">
        <f t="shared" si="26"/>
        <v>6</v>
      </c>
      <c r="BX49" s="4">
        <f t="shared" si="27"/>
        <v>0</v>
      </c>
      <c r="BY49" s="4">
        <f t="shared" si="28"/>
        <v>0</v>
      </c>
      <c r="BZ49" s="37">
        <f t="shared" si="29"/>
        <v>80</v>
      </c>
      <c r="CA49" s="32" t="str">
        <f>VLOOKUP(J:J,'Agent wise'!A:C,3,0)</f>
        <v>Adharsh</v>
      </c>
      <c r="CB49" s="32">
        <f t="shared" si="30"/>
        <v>45932</v>
      </c>
      <c r="CC49" t="str">
        <f t="shared" si="31"/>
        <v>FC</v>
      </c>
      <c r="CE49" s="32"/>
      <c r="CJ49">
        <f t="shared" si="35"/>
        <v>2</v>
      </c>
      <c r="CK49">
        <f t="shared" si="36"/>
        <v>10</v>
      </c>
      <c r="CL49">
        <f t="shared" si="37"/>
        <v>2025</v>
      </c>
    </row>
    <row r="50" spans="1:90" ht="15" customHeight="1" x14ac:dyDescent="0.35">
      <c r="A50" s="40">
        <v>45698.644328703696</v>
      </c>
      <c r="B50" t="s">
        <v>250</v>
      </c>
      <c r="C50" t="s">
        <v>214</v>
      </c>
      <c r="D50" t="s">
        <v>251</v>
      </c>
      <c r="E50" s="32">
        <v>45932</v>
      </c>
      <c r="F50" t="s">
        <v>54</v>
      </c>
      <c r="G50" s="2">
        <v>45667</v>
      </c>
      <c r="H50">
        <v>8678935780</v>
      </c>
      <c r="I50">
        <v>135</v>
      </c>
      <c r="J50" t="s">
        <v>269</v>
      </c>
      <c r="K50" t="s">
        <v>71</v>
      </c>
      <c r="L50" t="s">
        <v>72</v>
      </c>
      <c r="M50" t="s">
        <v>59</v>
      </c>
      <c r="N50" t="s">
        <v>59</v>
      </c>
      <c r="O50" t="s">
        <v>59</v>
      </c>
      <c r="P50" t="s">
        <v>59</v>
      </c>
      <c r="Q50" t="s">
        <v>59</v>
      </c>
      <c r="R50" t="s">
        <v>59</v>
      </c>
      <c r="S50" t="s">
        <v>59</v>
      </c>
      <c r="T50" t="s">
        <v>59</v>
      </c>
      <c r="U50" t="s">
        <v>59</v>
      </c>
      <c r="V50" t="s">
        <v>59</v>
      </c>
      <c r="W50" t="s">
        <v>59</v>
      </c>
      <c r="X50" t="s">
        <v>59</v>
      </c>
      <c r="Y50" t="s">
        <v>59</v>
      </c>
      <c r="Z50" t="s">
        <v>59</v>
      </c>
      <c r="AA50" t="s">
        <v>59</v>
      </c>
      <c r="AB50" t="s">
        <v>59</v>
      </c>
      <c r="AC50" t="s">
        <v>59</v>
      </c>
      <c r="AD50" t="s">
        <v>59</v>
      </c>
      <c r="AE50" t="s">
        <v>59</v>
      </c>
      <c r="AF50" t="s">
        <v>59</v>
      </c>
      <c r="AG50" t="s">
        <v>59</v>
      </c>
      <c r="AH50" t="s">
        <v>61</v>
      </c>
      <c r="AI50" t="s">
        <v>61</v>
      </c>
      <c r="AJ50" t="s">
        <v>59</v>
      </c>
      <c r="AK50" t="s">
        <v>59</v>
      </c>
      <c r="AL50" t="s">
        <v>59</v>
      </c>
      <c r="AM50" t="s">
        <v>59</v>
      </c>
      <c r="AN50" t="s">
        <v>59</v>
      </c>
      <c r="AO50" t="s">
        <v>59</v>
      </c>
      <c r="AP50" t="s">
        <v>270</v>
      </c>
      <c r="AQ50" t="s">
        <v>271</v>
      </c>
      <c r="AR50" t="s">
        <v>64</v>
      </c>
      <c r="AS50" t="s">
        <v>272</v>
      </c>
      <c r="AT50" t="s">
        <v>273</v>
      </c>
      <c r="AU50" t="s">
        <v>219</v>
      </c>
      <c r="AW50" s="4">
        <f t="shared" si="0"/>
        <v>6</v>
      </c>
      <c r="AX50" s="4">
        <f t="shared" si="1"/>
        <v>4</v>
      </c>
      <c r="AY50" s="4">
        <f t="shared" si="2"/>
        <v>4</v>
      </c>
      <c r="AZ50" s="4">
        <f t="shared" si="3"/>
        <v>2</v>
      </c>
      <c r="BA50" s="4">
        <f t="shared" si="4"/>
        <v>4</v>
      </c>
      <c r="BB50" s="4">
        <f t="shared" si="5"/>
        <v>4</v>
      </c>
      <c r="BC50" s="4">
        <f t="shared" si="6"/>
        <v>4</v>
      </c>
      <c r="BD50" s="4">
        <f t="shared" si="7"/>
        <v>2</v>
      </c>
      <c r="BE50" s="4">
        <f t="shared" si="8"/>
        <v>4</v>
      </c>
      <c r="BF50" s="4">
        <f t="shared" si="9"/>
        <v>2</v>
      </c>
      <c r="BG50" s="4">
        <f t="shared" si="10"/>
        <v>4</v>
      </c>
      <c r="BH50" s="4">
        <f t="shared" si="11"/>
        <v>4</v>
      </c>
      <c r="BI50" s="4">
        <f t="shared" si="12"/>
        <v>4</v>
      </c>
      <c r="BJ50" s="4">
        <f t="shared" si="13"/>
        <v>2</v>
      </c>
      <c r="BK50" s="4">
        <f t="shared" si="14"/>
        <v>4</v>
      </c>
      <c r="BL50" s="4">
        <f t="shared" si="15"/>
        <v>2</v>
      </c>
      <c r="BM50" s="4">
        <f t="shared" si="16"/>
        <v>4</v>
      </c>
      <c r="BN50" s="4">
        <f t="shared" si="17"/>
        <v>4</v>
      </c>
      <c r="BO50" s="4">
        <f t="shared" si="18"/>
        <v>4</v>
      </c>
      <c r="BP50" s="4">
        <f t="shared" si="19"/>
        <v>4</v>
      </c>
      <c r="BQ50" s="4">
        <f t="shared" si="20"/>
        <v>6</v>
      </c>
      <c r="BR50" s="4">
        <f t="shared" si="21"/>
        <v>4</v>
      </c>
      <c r="BS50" s="4">
        <f t="shared" si="22"/>
        <v>4</v>
      </c>
      <c r="BT50" s="4">
        <f t="shared" si="23"/>
        <v>4</v>
      </c>
      <c r="BU50" s="4">
        <f t="shared" si="24"/>
        <v>4</v>
      </c>
      <c r="BV50" s="4">
        <f t="shared" si="25"/>
        <v>0</v>
      </c>
      <c r="BW50" s="4">
        <f t="shared" si="26"/>
        <v>6</v>
      </c>
      <c r="BX50" s="4">
        <f t="shared" si="27"/>
        <v>0</v>
      </c>
      <c r="BY50" s="4">
        <f t="shared" si="28"/>
        <v>0</v>
      </c>
      <c r="BZ50" s="37">
        <f t="shared" si="29"/>
        <v>100</v>
      </c>
      <c r="CA50" s="32" t="str">
        <f>VLOOKUP(J:J,'Agent wise'!A:C,3,0)</f>
        <v xml:space="preserve">Shiny </v>
      </c>
      <c r="CB50" s="32">
        <f t="shared" si="30"/>
        <v>45932</v>
      </c>
      <c r="CC50" t="str">
        <f t="shared" si="31"/>
        <v>Excellent</v>
      </c>
      <c r="CE50" s="32"/>
      <c r="CJ50">
        <f t="shared" si="35"/>
        <v>2</v>
      </c>
      <c r="CK50">
        <f t="shared" si="36"/>
        <v>10</v>
      </c>
      <c r="CL50">
        <f t="shared" si="37"/>
        <v>2025</v>
      </c>
    </row>
    <row r="51" spans="1:90" ht="15" customHeight="1" x14ac:dyDescent="0.35">
      <c r="A51" s="40">
        <v>45698.650659722232</v>
      </c>
      <c r="B51" t="s">
        <v>250</v>
      </c>
      <c r="C51" t="s">
        <v>214</v>
      </c>
      <c r="D51" t="s">
        <v>251</v>
      </c>
      <c r="E51" s="32">
        <v>45932</v>
      </c>
      <c r="F51" t="s">
        <v>54</v>
      </c>
      <c r="G51" s="2">
        <v>45667</v>
      </c>
      <c r="H51">
        <v>9843176960</v>
      </c>
      <c r="I51">
        <v>166</v>
      </c>
      <c r="J51" t="s">
        <v>274</v>
      </c>
      <c r="K51" t="s">
        <v>71</v>
      </c>
      <c r="L51" t="s">
        <v>72</v>
      </c>
      <c r="M51" t="s">
        <v>59</v>
      </c>
      <c r="N51" t="s">
        <v>59</v>
      </c>
      <c r="O51" t="s">
        <v>59</v>
      </c>
      <c r="P51" t="s">
        <v>59</v>
      </c>
      <c r="Q51" t="s">
        <v>59</v>
      </c>
      <c r="R51" t="s">
        <v>59</v>
      </c>
      <c r="S51" t="s">
        <v>59</v>
      </c>
      <c r="T51" t="s">
        <v>59</v>
      </c>
      <c r="U51" t="s">
        <v>60</v>
      </c>
      <c r="V51" t="s">
        <v>59</v>
      </c>
      <c r="W51" t="s">
        <v>59</v>
      </c>
      <c r="X51" t="s">
        <v>59</v>
      </c>
      <c r="Y51" t="s">
        <v>59</v>
      </c>
      <c r="Z51" t="s">
        <v>59</v>
      </c>
      <c r="AA51" t="s">
        <v>60</v>
      </c>
      <c r="AB51" t="s">
        <v>59</v>
      </c>
      <c r="AC51" t="s">
        <v>59</v>
      </c>
      <c r="AD51" t="s">
        <v>59</v>
      </c>
      <c r="AE51" t="s">
        <v>59</v>
      </c>
      <c r="AF51" t="s">
        <v>59</v>
      </c>
      <c r="AG51" t="s">
        <v>59</v>
      </c>
      <c r="AH51" t="s">
        <v>61</v>
      </c>
      <c r="AI51" t="s">
        <v>61</v>
      </c>
      <c r="AJ51" t="s">
        <v>59</v>
      </c>
      <c r="AK51" t="s">
        <v>59</v>
      </c>
      <c r="AL51" t="s">
        <v>60</v>
      </c>
      <c r="AM51" t="s">
        <v>59</v>
      </c>
      <c r="AN51" t="s">
        <v>59</v>
      </c>
      <c r="AO51" t="s">
        <v>59</v>
      </c>
      <c r="AP51" t="s">
        <v>275</v>
      </c>
      <c r="AQ51" t="s">
        <v>276</v>
      </c>
      <c r="AR51" t="s">
        <v>64</v>
      </c>
      <c r="AS51" t="s">
        <v>111</v>
      </c>
      <c r="AT51" t="s">
        <v>112</v>
      </c>
      <c r="AU51" t="s">
        <v>219</v>
      </c>
      <c r="AW51" s="4">
        <f t="shared" si="0"/>
        <v>6</v>
      </c>
      <c r="AX51" s="4">
        <f t="shared" si="1"/>
        <v>4</v>
      </c>
      <c r="AY51" s="4">
        <f t="shared" si="2"/>
        <v>4</v>
      </c>
      <c r="AZ51" s="4">
        <f t="shared" si="3"/>
        <v>2</v>
      </c>
      <c r="BA51" s="4">
        <f t="shared" si="4"/>
        <v>4</v>
      </c>
      <c r="BB51" s="4">
        <f t="shared" si="5"/>
        <v>4</v>
      </c>
      <c r="BC51" s="4">
        <f t="shared" si="6"/>
        <v>4</v>
      </c>
      <c r="BD51" s="4">
        <f t="shared" si="7"/>
        <v>2</v>
      </c>
      <c r="BE51" s="4" t="str">
        <f t="shared" si="8"/>
        <v>0</v>
      </c>
      <c r="BF51" s="4">
        <f t="shared" si="9"/>
        <v>2</v>
      </c>
      <c r="BG51" s="4">
        <f t="shared" si="10"/>
        <v>4</v>
      </c>
      <c r="BH51" s="4">
        <f t="shared" si="11"/>
        <v>4</v>
      </c>
      <c r="BI51" s="4">
        <f t="shared" si="12"/>
        <v>4</v>
      </c>
      <c r="BJ51" s="4">
        <f t="shared" si="13"/>
        <v>2</v>
      </c>
      <c r="BK51" s="4" t="str">
        <f t="shared" si="14"/>
        <v>0</v>
      </c>
      <c r="BL51" s="4">
        <f t="shared" si="15"/>
        <v>2</v>
      </c>
      <c r="BM51" s="4">
        <f t="shared" si="16"/>
        <v>4</v>
      </c>
      <c r="BN51" s="4">
        <f t="shared" si="17"/>
        <v>4</v>
      </c>
      <c r="BO51" s="4">
        <f t="shared" si="18"/>
        <v>4</v>
      </c>
      <c r="BP51" s="4">
        <f t="shared" si="19"/>
        <v>4</v>
      </c>
      <c r="BQ51" s="4">
        <f t="shared" si="20"/>
        <v>6</v>
      </c>
      <c r="BR51" s="4">
        <f t="shared" si="21"/>
        <v>4</v>
      </c>
      <c r="BS51" s="4">
        <f t="shared" si="22"/>
        <v>4</v>
      </c>
      <c r="BT51" s="4">
        <f t="shared" si="23"/>
        <v>4</v>
      </c>
      <c r="BU51" s="4">
        <f t="shared" si="24"/>
        <v>4</v>
      </c>
      <c r="BV51" s="4" t="str">
        <f t="shared" si="25"/>
        <v>0</v>
      </c>
      <c r="BW51" s="4">
        <f t="shared" si="26"/>
        <v>6</v>
      </c>
      <c r="BX51" s="4">
        <f t="shared" si="27"/>
        <v>0</v>
      </c>
      <c r="BY51" s="4">
        <f t="shared" si="28"/>
        <v>0</v>
      </c>
      <c r="BZ51" s="37">
        <f t="shared" si="29"/>
        <v>92</v>
      </c>
      <c r="CA51" s="32" t="str">
        <f>VLOOKUP(J:J,'Agent wise'!A:C,3,0)</f>
        <v>Shakeer</v>
      </c>
      <c r="CB51" s="32">
        <f t="shared" si="30"/>
        <v>45932</v>
      </c>
      <c r="CC51" t="str">
        <f t="shared" si="31"/>
        <v>Good</v>
      </c>
      <c r="CE51" s="32"/>
      <c r="CJ51">
        <f t="shared" si="35"/>
        <v>2</v>
      </c>
      <c r="CK51">
        <f t="shared" si="36"/>
        <v>10</v>
      </c>
      <c r="CL51">
        <f t="shared" si="37"/>
        <v>2025</v>
      </c>
    </row>
    <row r="52" spans="1:90" ht="15" customHeight="1" x14ac:dyDescent="0.35">
      <c r="A52" s="40">
        <v>45698.656747685192</v>
      </c>
      <c r="B52" t="s">
        <v>250</v>
      </c>
      <c r="C52" t="s">
        <v>214</v>
      </c>
      <c r="D52" t="s">
        <v>251</v>
      </c>
      <c r="E52" s="32">
        <v>45932</v>
      </c>
      <c r="F52" t="s">
        <v>54</v>
      </c>
      <c r="G52" s="2">
        <v>45667</v>
      </c>
      <c r="H52">
        <v>9499051489</v>
      </c>
      <c r="I52">
        <v>205</v>
      </c>
      <c r="J52" t="s">
        <v>258</v>
      </c>
      <c r="K52" t="s">
        <v>71</v>
      </c>
      <c r="L52" t="s">
        <v>72</v>
      </c>
      <c r="M52" t="s">
        <v>59</v>
      </c>
      <c r="N52" t="s">
        <v>59</v>
      </c>
      <c r="O52" t="s">
        <v>59</v>
      </c>
      <c r="P52" t="s">
        <v>59</v>
      </c>
      <c r="Q52" t="s">
        <v>59</v>
      </c>
      <c r="R52" t="s">
        <v>59</v>
      </c>
      <c r="S52" t="s">
        <v>59</v>
      </c>
      <c r="T52" t="s">
        <v>59</v>
      </c>
      <c r="U52" t="s">
        <v>60</v>
      </c>
      <c r="V52" t="s">
        <v>59</v>
      </c>
      <c r="W52" t="s">
        <v>59</v>
      </c>
      <c r="X52" t="s">
        <v>59</v>
      </c>
      <c r="Y52" t="s">
        <v>59</v>
      </c>
      <c r="Z52" t="s">
        <v>59</v>
      </c>
      <c r="AA52" t="s">
        <v>59</v>
      </c>
      <c r="AB52" t="s">
        <v>59</v>
      </c>
      <c r="AC52" t="s">
        <v>60</v>
      </c>
      <c r="AD52" t="s">
        <v>59</v>
      </c>
      <c r="AE52" t="s">
        <v>59</v>
      </c>
      <c r="AF52" t="s">
        <v>59</v>
      </c>
      <c r="AG52" t="s">
        <v>59</v>
      </c>
      <c r="AH52" t="s">
        <v>59</v>
      </c>
      <c r="AI52" t="s">
        <v>60</v>
      </c>
      <c r="AJ52" t="s">
        <v>59</v>
      </c>
      <c r="AK52" t="s">
        <v>59</v>
      </c>
      <c r="AL52" t="s">
        <v>59</v>
      </c>
      <c r="AM52" t="s">
        <v>59</v>
      </c>
      <c r="AN52" t="s">
        <v>59</v>
      </c>
      <c r="AO52" t="s">
        <v>59</v>
      </c>
      <c r="AP52" t="s">
        <v>277</v>
      </c>
      <c r="AQ52" t="s">
        <v>278</v>
      </c>
      <c r="AR52" t="s">
        <v>64</v>
      </c>
      <c r="AS52" t="s">
        <v>279</v>
      </c>
      <c r="AT52" t="s">
        <v>123</v>
      </c>
      <c r="AU52" t="s">
        <v>219</v>
      </c>
      <c r="AW52" s="4">
        <f t="shared" si="0"/>
        <v>6</v>
      </c>
      <c r="AX52" s="4">
        <f t="shared" si="1"/>
        <v>4</v>
      </c>
      <c r="AY52" s="4">
        <f t="shared" si="2"/>
        <v>4</v>
      </c>
      <c r="AZ52" s="4">
        <f t="shared" si="3"/>
        <v>2</v>
      </c>
      <c r="BA52" s="4">
        <f t="shared" si="4"/>
        <v>4</v>
      </c>
      <c r="BB52" s="4">
        <f t="shared" si="5"/>
        <v>4</v>
      </c>
      <c r="BC52" s="4">
        <f t="shared" si="6"/>
        <v>4</v>
      </c>
      <c r="BD52" s="4">
        <f t="shared" si="7"/>
        <v>2</v>
      </c>
      <c r="BE52" s="4" t="str">
        <f t="shared" si="8"/>
        <v>0</v>
      </c>
      <c r="BF52" s="4">
        <f t="shared" si="9"/>
        <v>2</v>
      </c>
      <c r="BG52" s="4">
        <f t="shared" si="10"/>
        <v>4</v>
      </c>
      <c r="BH52" s="4">
        <f t="shared" si="11"/>
        <v>4</v>
      </c>
      <c r="BI52" s="4">
        <f t="shared" si="12"/>
        <v>4</v>
      </c>
      <c r="BJ52" s="4">
        <f t="shared" si="13"/>
        <v>2</v>
      </c>
      <c r="BK52" s="4">
        <f t="shared" si="14"/>
        <v>4</v>
      </c>
      <c r="BL52" s="4">
        <f t="shared" si="15"/>
        <v>2</v>
      </c>
      <c r="BM52" s="4" t="str">
        <f t="shared" si="16"/>
        <v>0</v>
      </c>
      <c r="BN52" s="4">
        <f t="shared" si="17"/>
        <v>4</v>
      </c>
      <c r="BO52" s="4">
        <f t="shared" si="18"/>
        <v>4</v>
      </c>
      <c r="BP52" s="4">
        <f t="shared" si="19"/>
        <v>4</v>
      </c>
      <c r="BQ52" s="4">
        <f t="shared" si="20"/>
        <v>6</v>
      </c>
      <c r="BR52" s="4">
        <f t="shared" si="21"/>
        <v>4</v>
      </c>
      <c r="BS52" s="4" t="str">
        <f t="shared" si="22"/>
        <v>0</v>
      </c>
      <c r="BT52" s="4">
        <f t="shared" si="23"/>
        <v>4</v>
      </c>
      <c r="BU52" s="4">
        <f t="shared" si="24"/>
        <v>4</v>
      </c>
      <c r="BV52" s="4">
        <f t="shared" si="25"/>
        <v>0</v>
      </c>
      <c r="BW52" s="4">
        <f t="shared" si="26"/>
        <v>6</v>
      </c>
      <c r="BX52" s="4">
        <f t="shared" si="27"/>
        <v>0</v>
      </c>
      <c r="BY52" s="4">
        <f t="shared" si="28"/>
        <v>0</v>
      </c>
      <c r="BZ52" s="37">
        <f t="shared" si="29"/>
        <v>88</v>
      </c>
      <c r="CA52" s="32" t="str">
        <f>VLOOKUP(J:J,'Agent wise'!A:C,3,0)</f>
        <v xml:space="preserve">Shiny </v>
      </c>
      <c r="CB52" s="32">
        <f t="shared" si="30"/>
        <v>45932</v>
      </c>
      <c r="CC52" t="str">
        <f t="shared" si="31"/>
        <v>Average</v>
      </c>
      <c r="CE52" s="32"/>
      <c r="CJ52">
        <f t="shared" si="35"/>
        <v>2</v>
      </c>
      <c r="CK52">
        <f t="shared" si="36"/>
        <v>10</v>
      </c>
      <c r="CL52">
        <f t="shared" si="37"/>
        <v>2025</v>
      </c>
    </row>
    <row r="53" spans="1:90" ht="15" customHeight="1" x14ac:dyDescent="0.35">
      <c r="A53" s="40">
        <v>45698.670937499999</v>
      </c>
      <c r="B53" t="s">
        <v>250</v>
      </c>
      <c r="C53" t="s">
        <v>214</v>
      </c>
      <c r="D53" t="s">
        <v>251</v>
      </c>
      <c r="E53" s="32">
        <v>45932</v>
      </c>
      <c r="F53" t="s">
        <v>54</v>
      </c>
      <c r="G53" s="2">
        <v>45667</v>
      </c>
      <c r="H53">
        <v>8122007622</v>
      </c>
      <c r="I53">
        <v>166</v>
      </c>
      <c r="J53" t="s">
        <v>280</v>
      </c>
      <c r="K53" t="s">
        <v>71</v>
      </c>
      <c r="L53" t="s">
        <v>72</v>
      </c>
      <c r="M53" t="s">
        <v>60</v>
      </c>
      <c r="N53" t="s">
        <v>59</v>
      </c>
      <c r="O53" t="s">
        <v>59</v>
      </c>
      <c r="P53" t="s">
        <v>59</v>
      </c>
      <c r="Q53" t="s">
        <v>59</v>
      </c>
      <c r="R53" t="s">
        <v>59</v>
      </c>
      <c r="S53" t="s">
        <v>59</v>
      </c>
      <c r="T53" t="s">
        <v>59</v>
      </c>
      <c r="U53" t="s">
        <v>60</v>
      </c>
      <c r="V53" t="s">
        <v>59</v>
      </c>
      <c r="W53" t="s">
        <v>59</v>
      </c>
      <c r="X53" t="s">
        <v>59</v>
      </c>
      <c r="Y53" t="s">
        <v>59</v>
      </c>
      <c r="Z53" t="s">
        <v>60</v>
      </c>
      <c r="AA53" t="s">
        <v>60</v>
      </c>
      <c r="AB53" t="s">
        <v>59</v>
      </c>
      <c r="AC53" t="s">
        <v>59</v>
      </c>
      <c r="AD53" t="s">
        <v>59</v>
      </c>
      <c r="AE53" t="s">
        <v>59</v>
      </c>
      <c r="AF53" t="s">
        <v>59</v>
      </c>
      <c r="AG53" t="s">
        <v>60</v>
      </c>
      <c r="AH53" t="s">
        <v>61</v>
      </c>
      <c r="AI53" t="s">
        <v>61</v>
      </c>
      <c r="AJ53" t="s">
        <v>60</v>
      </c>
      <c r="AK53" t="s">
        <v>60</v>
      </c>
      <c r="AL53" t="s">
        <v>60</v>
      </c>
      <c r="AM53" t="s">
        <v>59</v>
      </c>
      <c r="AN53" t="s">
        <v>59</v>
      </c>
      <c r="AO53" t="s">
        <v>59</v>
      </c>
      <c r="AP53" t="s">
        <v>281</v>
      </c>
      <c r="AQ53" t="s">
        <v>282</v>
      </c>
      <c r="AR53" t="s">
        <v>64</v>
      </c>
      <c r="AS53" t="s">
        <v>283</v>
      </c>
      <c r="AT53" t="s">
        <v>284</v>
      </c>
      <c r="AU53" t="s">
        <v>285</v>
      </c>
      <c r="AW53" s="4" t="str">
        <f t="shared" si="0"/>
        <v>0</v>
      </c>
      <c r="AX53" s="4">
        <f t="shared" si="1"/>
        <v>4</v>
      </c>
      <c r="AY53" s="4">
        <f t="shared" si="2"/>
        <v>4</v>
      </c>
      <c r="AZ53" s="4">
        <f t="shared" si="3"/>
        <v>2</v>
      </c>
      <c r="BA53" s="4">
        <f t="shared" si="4"/>
        <v>4</v>
      </c>
      <c r="BB53" s="4">
        <f t="shared" si="5"/>
        <v>4</v>
      </c>
      <c r="BC53" s="4">
        <f t="shared" si="6"/>
        <v>4</v>
      </c>
      <c r="BD53" s="4">
        <f t="shared" si="7"/>
        <v>2</v>
      </c>
      <c r="BE53" s="4" t="str">
        <f t="shared" si="8"/>
        <v>0</v>
      </c>
      <c r="BF53" s="4">
        <f t="shared" si="9"/>
        <v>2</v>
      </c>
      <c r="BG53" s="4">
        <f t="shared" si="10"/>
        <v>4</v>
      </c>
      <c r="BH53" s="4">
        <f t="shared" si="11"/>
        <v>4</v>
      </c>
      <c r="BI53" s="4">
        <f t="shared" si="12"/>
        <v>4</v>
      </c>
      <c r="BJ53" s="4" t="str">
        <f t="shared" si="13"/>
        <v>0</v>
      </c>
      <c r="BK53" s="4" t="str">
        <f t="shared" si="14"/>
        <v>0</v>
      </c>
      <c r="BL53" s="4">
        <f t="shared" si="15"/>
        <v>2</v>
      </c>
      <c r="BM53" s="4">
        <f t="shared" si="16"/>
        <v>4</v>
      </c>
      <c r="BN53" s="4">
        <f t="shared" si="17"/>
        <v>4</v>
      </c>
      <c r="BO53" s="4">
        <f t="shared" si="18"/>
        <v>4</v>
      </c>
      <c r="BP53" s="4">
        <f t="shared" si="19"/>
        <v>4</v>
      </c>
      <c r="BQ53" s="4" t="str">
        <f t="shared" si="20"/>
        <v>0</v>
      </c>
      <c r="BR53" s="4">
        <f t="shared" si="21"/>
        <v>4</v>
      </c>
      <c r="BS53" s="4">
        <f t="shared" si="22"/>
        <v>4</v>
      </c>
      <c r="BT53" s="4" t="str">
        <f t="shared" si="23"/>
        <v>0</v>
      </c>
      <c r="BU53" s="4" t="str">
        <f t="shared" si="24"/>
        <v>0</v>
      </c>
      <c r="BV53" s="4" t="str">
        <f t="shared" si="25"/>
        <v>0</v>
      </c>
      <c r="BW53" s="4">
        <f t="shared" si="26"/>
        <v>6</v>
      </c>
      <c r="BX53" s="4">
        <f t="shared" si="27"/>
        <v>0</v>
      </c>
      <c r="BY53" s="4">
        <f t="shared" si="28"/>
        <v>0</v>
      </c>
      <c r="BZ53" s="37">
        <f t="shared" si="29"/>
        <v>70</v>
      </c>
      <c r="CA53" s="32" t="str">
        <f>VLOOKUP(J:J,'Agent wise'!A:C,3,0)</f>
        <v>Saran S</v>
      </c>
      <c r="CB53" s="32">
        <f t="shared" si="30"/>
        <v>45932</v>
      </c>
      <c r="CC53" t="str">
        <f t="shared" si="31"/>
        <v>FC</v>
      </c>
      <c r="CE53" s="32"/>
      <c r="CJ53">
        <f t="shared" si="35"/>
        <v>2</v>
      </c>
      <c r="CK53">
        <f t="shared" si="36"/>
        <v>10</v>
      </c>
      <c r="CL53">
        <f t="shared" si="37"/>
        <v>2025</v>
      </c>
    </row>
    <row r="54" spans="1:90" ht="15" customHeight="1" x14ac:dyDescent="0.35">
      <c r="A54" s="40">
        <v>45698.680810185193</v>
      </c>
      <c r="B54" t="s">
        <v>250</v>
      </c>
      <c r="C54" t="s">
        <v>214</v>
      </c>
      <c r="D54" t="s">
        <v>251</v>
      </c>
      <c r="E54" s="32">
        <v>45932</v>
      </c>
      <c r="F54" t="s">
        <v>54</v>
      </c>
      <c r="G54" s="2">
        <v>45667</v>
      </c>
      <c r="H54">
        <v>9495225276</v>
      </c>
      <c r="I54">
        <v>155</v>
      </c>
      <c r="J54" t="s">
        <v>117</v>
      </c>
      <c r="K54" t="s">
        <v>57</v>
      </c>
      <c r="L54" t="s">
        <v>58</v>
      </c>
      <c r="M54" t="s">
        <v>59</v>
      </c>
      <c r="N54" t="s">
        <v>59</v>
      </c>
      <c r="O54" t="s">
        <v>59</v>
      </c>
      <c r="P54" t="s">
        <v>59</v>
      </c>
      <c r="Q54" t="s">
        <v>59</v>
      </c>
      <c r="R54" t="s">
        <v>59</v>
      </c>
      <c r="S54" t="s">
        <v>59</v>
      </c>
      <c r="T54" t="s">
        <v>59</v>
      </c>
      <c r="U54" t="s">
        <v>60</v>
      </c>
      <c r="V54" t="s">
        <v>59</v>
      </c>
      <c r="W54" t="s">
        <v>59</v>
      </c>
      <c r="X54" t="s">
        <v>59</v>
      </c>
      <c r="Y54" t="s">
        <v>59</v>
      </c>
      <c r="Z54" t="s">
        <v>59</v>
      </c>
      <c r="AA54" t="s">
        <v>60</v>
      </c>
      <c r="AB54" t="s">
        <v>59</v>
      </c>
      <c r="AC54" t="s">
        <v>60</v>
      </c>
      <c r="AD54" t="s">
        <v>59</v>
      </c>
      <c r="AE54" t="s">
        <v>59</v>
      </c>
      <c r="AF54" t="s">
        <v>59</v>
      </c>
      <c r="AG54" t="s">
        <v>59</v>
      </c>
      <c r="AH54" t="s">
        <v>59</v>
      </c>
      <c r="AI54" t="s">
        <v>61</v>
      </c>
      <c r="AJ54" t="s">
        <v>59</v>
      </c>
      <c r="AK54" t="s">
        <v>59</v>
      </c>
      <c r="AL54" t="s">
        <v>60</v>
      </c>
      <c r="AM54" t="s">
        <v>59</v>
      </c>
      <c r="AN54" t="s">
        <v>59</v>
      </c>
      <c r="AO54" t="s">
        <v>59</v>
      </c>
      <c r="AP54" t="s">
        <v>286</v>
      </c>
      <c r="AQ54" t="s">
        <v>287</v>
      </c>
      <c r="AR54" t="s">
        <v>64</v>
      </c>
      <c r="AS54" t="s">
        <v>111</v>
      </c>
      <c r="AT54" t="s">
        <v>112</v>
      </c>
      <c r="AU54" t="s">
        <v>219</v>
      </c>
      <c r="AW54" s="4">
        <f t="shared" si="0"/>
        <v>6</v>
      </c>
      <c r="AX54" s="4">
        <f t="shared" si="1"/>
        <v>4</v>
      </c>
      <c r="AY54" s="4">
        <f t="shared" si="2"/>
        <v>4</v>
      </c>
      <c r="AZ54" s="4">
        <f t="shared" si="3"/>
        <v>2</v>
      </c>
      <c r="BA54" s="4">
        <f t="shared" si="4"/>
        <v>4</v>
      </c>
      <c r="BB54" s="4">
        <f t="shared" si="5"/>
        <v>4</v>
      </c>
      <c r="BC54" s="4">
        <f t="shared" si="6"/>
        <v>4</v>
      </c>
      <c r="BD54" s="4">
        <f t="shared" si="7"/>
        <v>2</v>
      </c>
      <c r="BE54" s="4" t="str">
        <f t="shared" si="8"/>
        <v>0</v>
      </c>
      <c r="BF54" s="4">
        <f t="shared" si="9"/>
        <v>2</v>
      </c>
      <c r="BG54" s="4">
        <f t="shared" si="10"/>
        <v>4</v>
      </c>
      <c r="BH54" s="4">
        <f t="shared" si="11"/>
        <v>4</v>
      </c>
      <c r="BI54" s="4">
        <f t="shared" si="12"/>
        <v>4</v>
      </c>
      <c r="BJ54" s="4">
        <f t="shared" si="13"/>
        <v>2</v>
      </c>
      <c r="BK54" s="4" t="str">
        <f t="shared" si="14"/>
        <v>0</v>
      </c>
      <c r="BL54" s="4">
        <f t="shared" si="15"/>
        <v>2</v>
      </c>
      <c r="BM54" s="4" t="str">
        <f t="shared" si="16"/>
        <v>0</v>
      </c>
      <c r="BN54" s="4">
        <f t="shared" si="17"/>
        <v>4</v>
      </c>
      <c r="BO54" s="4">
        <f t="shared" si="18"/>
        <v>4</v>
      </c>
      <c r="BP54" s="4">
        <f t="shared" si="19"/>
        <v>4</v>
      </c>
      <c r="BQ54" s="4">
        <f t="shared" si="20"/>
        <v>6</v>
      </c>
      <c r="BR54" s="4">
        <f t="shared" si="21"/>
        <v>4</v>
      </c>
      <c r="BS54" s="4">
        <f t="shared" si="22"/>
        <v>4</v>
      </c>
      <c r="BT54" s="4">
        <f t="shared" si="23"/>
        <v>4</v>
      </c>
      <c r="BU54" s="4">
        <f t="shared" si="24"/>
        <v>4</v>
      </c>
      <c r="BV54" s="4" t="str">
        <f t="shared" si="25"/>
        <v>0</v>
      </c>
      <c r="BW54" s="4">
        <f t="shared" si="26"/>
        <v>6</v>
      </c>
      <c r="BX54" s="4">
        <f t="shared" si="27"/>
        <v>0</v>
      </c>
      <c r="BY54" s="4">
        <f t="shared" si="28"/>
        <v>0</v>
      </c>
      <c r="BZ54" s="37">
        <f t="shared" si="29"/>
        <v>88</v>
      </c>
      <c r="CA54" s="32" t="str">
        <f>VLOOKUP(J:J,'Agent wise'!A:C,3,0)</f>
        <v>Saran S</v>
      </c>
      <c r="CB54" s="32">
        <f t="shared" si="30"/>
        <v>45932</v>
      </c>
      <c r="CC54" t="str">
        <f t="shared" si="31"/>
        <v>Average</v>
      </c>
      <c r="CE54" s="32"/>
      <c r="CJ54">
        <f t="shared" si="35"/>
        <v>2</v>
      </c>
      <c r="CK54">
        <f t="shared" si="36"/>
        <v>10</v>
      </c>
      <c r="CL54">
        <f t="shared" si="37"/>
        <v>2025</v>
      </c>
    </row>
    <row r="55" spans="1:90" ht="15" customHeight="1" x14ac:dyDescent="0.35">
      <c r="A55" s="40">
        <v>45698.681180555563</v>
      </c>
      <c r="B55" t="s">
        <v>100</v>
      </c>
      <c r="C55" t="s">
        <v>214</v>
      </c>
      <c r="D55" t="s">
        <v>101</v>
      </c>
      <c r="E55" s="32">
        <v>45932</v>
      </c>
      <c r="F55" t="s">
        <v>54</v>
      </c>
      <c r="G55" s="2">
        <v>45667</v>
      </c>
      <c r="H55">
        <v>8903353540</v>
      </c>
      <c r="I55">
        <v>188</v>
      </c>
      <c r="J55" t="s">
        <v>288</v>
      </c>
      <c r="K55" t="s">
        <v>71</v>
      </c>
      <c r="L55" t="s">
        <v>72</v>
      </c>
      <c r="M55" t="s">
        <v>59</v>
      </c>
      <c r="N55" t="s">
        <v>59</v>
      </c>
      <c r="O55" t="s">
        <v>59</v>
      </c>
      <c r="P55" t="s">
        <v>59</v>
      </c>
      <c r="Q55" t="s">
        <v>59</v>
      </c>
      <c r="R55" t="s">
        <v>60</v>
      </c>
      <c r="S55" t="s">
        <v>59</v>
      </c>
      <c r="T55" t="s">
        <v>59</v>
      </c>
      <c r="U55" t="s">
        <v>59</v>
      </c>
      <c r="V55" t="s">
        <v>59</v>
      </c>
      <c r="W55" t="s">
        <v>59</v>
      </c>
      <c r="X55" t="s">
        <v>59</v>
      </c>
      <c r="Y55" t="s">
        <v>59</v>
      </c>
      <c r="Z55" t="s">
        <v>59</v>
      </c>
      <c r="AA55" t="s">
        <v>60</v>
      </c>
      <c r="AB55" t="s">
        <v>59</v>
      </c>
      <c r="AC55" t="s">
        <v>59</v>
      </c>
      <c r="AD55" t="s">
        <v>59</v>
      </c>
      <c r="AE55" t="s">
        <v>59</v>
      </c>
      <c r="AF55" t="s">
        <v>59</v>
      </c>
      <c r="AG55" t="s">
        <v>59</v>
      </c>
      <c r="AH55" t="s">
        <v>59</v>
      </c>
      <c r="AI55" t="s">
        <v>61</v>
      </c>
      <c r="AJ55" t="s">
        <v>59</v>
      </c>
      <c r="AK55" t="s">
        <v>59</v>
      </c>
      <c r="AL55" t="s">
        <v>59</v>
      </c>
      <c r="AM55" t="s">
        <v>59</v>
      </c>
      <c r="AN55" t="s">
        <v>59</v>
      </c>
      <c r="AO55" t="s">
        <v>59</v>
      </c>
      <c r="AP55" t="s">
        <v>216</v>
      </c>
      <c r="AQ55" s="1" t="s">
        <v>289</v>
      </c>
      <c r="AR55" t="s">
        <v>64</v>
      </c>
      <c r="AS55" t="s">
        <v>290</v>
      </c>
      <c r="AT55" t="s">
        <v>153</v>
      </c>
      <c r="AU55" t="s">
        <v>219</v>
      </c>
      <c r="AW55" s="4">
        <f t="shared" si="0"/>
        <v>6</v>
      </c>
      <c r="AX55" s="4">
        <f t="shared" si="1"/>
        <v>4</v>
      </c>
      <c r="AY55" s="4">
        <f t="shared" si="2"/>
        <v>4</v>
      </c>
      <c r="AZ55" s="4">
        <f t="shared" si="3"/>
        <v>2</v>
      </c>
      <c r="BA55" s="4">
        <f t="shared" si="4"/>
        <v>4</v>
      </c>
      <c r="BB55" s="4" t="str">
        <f t="shared" si="5"/>
        <v>0</v>
      </c>
      <c r="BC55" s="4">
        <f t="shared" si="6"/>
        <v>4</v>
      </c>
      <c r="BD55" s="4">
        <f t="shared" si="7"/>
        <v>2</v>
      </c>
      <c r="BE55" s="4">
        <f t="shared" si="8"/>
        <v>4</v>
      </c>
      <c r="BF55" s="4">
        <f t="shared" si="9"/>
        <v>2</v>
      </c>
      <c r="BG55" s="4">
        <f t="shared" si="10"/>
        <v>4</v>
      </c>
      <c r="BH55" s="4">
        <f t="shared" si="11"/>
        <v>4</v>
      </c>
      <c r="BI55" s="4">
        <f t="shared" si="12"/>
        <v>4</v>
      </c>
      <c r="BJ55" s="4">
        <f t="shared" si="13"/>
        <v>2</v>
      </c>
      <c r="BK55" s="4" t="str">
        <f t="shared" si="14"/>
        <v>0</v>
      </c>
      <c r="BL55" s="4">
        <f t="shared" si="15"/>
        <v>2</v>
      </c>
      <c r="BM55" s="4">
        <f t="shared" si="16"/>
        <v>4</v>
      </c>
      <c r="BN55" s="4">
        <f t="shared" si="17"/>
        <v>4</v>
      </c>
      <c r="BO55" s="4">
        <f t="shared" si="18"/>
        <v>4</v>
      </c>
      <c r="BP55" s="4">
        <f t="shared" si="19"/>
        <v>4</v>
      </c>
      <c r="BQ55" s="4">
        <f t="shared" si="20"/>
        <v>6</v>
      </c>
      <c r="BR55" s="4">
        <f t="shared" si="21"/>
        <v>4</v>
      </c>
      <c r="BS55" s="4">
        <f t="shared" si="22"/>
        <v>4</v>
      </c>
      <c r="BT55" s="4">
        <f t="shared" si="23"/>
        <v>4</v>
      </c>
      <c r="BU55" s="4">
        <f t="shared" si="24"/>
        <v>4</v>
      </c>
      <c r="BV55" s="4">
        <f t="shared" si="25"/>
        <v>0</v>
      </c>
      <c r="BW55" s="4">
        <f t="shared" si="26"/>
        <v>6</v>
      </c>
      <c r="BX55" s="4">
        <f t="shared" si="27"/>
        <v>0</v>
      </c>
      <c r="BY55" s="4">
        <f t="shared" si="28"/>
        <v>0</v>
      </c>
      <c r="BZ55" s="37">
        <f t="shared" si="29"/>
        <v>92</v>
      </c>
      <c r="CA55" s="32" t="str">
        <f>VLOOKUP(J:J,'Agent wise'!A:C,3,0)</f>
        <v>Shakeer</v>
      </c>
      <c r="CB55" s="32">
        <f t="shared" si="30"/>
        <v>45932</v>
      </c>
      <c r="CC55" t="str">
        <f t="shared" si="31"/>
        <v>Good</v>
      </c>
      <c r="CE55" s="32"/>
      <c r="CJ55">
        <f t="shared" si="35"/>
        <v>2</v>
      </c>
      <c r="CK55">
        <f t="shared" si="36"/>
        <v>10</v>
      </c>
      <c r="CL55">
        <f t="shared" si="37"/>
        <v>2025</v>
      </c>
    </row>
    <row r="56" spans="1:90" ht="15" customHeight="1" x14ac:dyDescent="0.35">
      <c r="A56" s="40">
        <v>45698.683831018519</v>
      </c>
      <c r="B56" t="s">
        <v>100</v>
      </c>
      <c r="C56" t="s">
        <v>214</v>
      </c>
      <c r="D56" t="s">
        <v>101</v>
      </c>
      <c r="E56" s="32">
        <v>45932</v>
      </c>
      <c r="F56" t="s">
        <v>54</v>
      </c>
      <c r="G56" s="2">
        <v>45667</v>
      </c>
      <c r="H56">
        <v>9497648580</v>
      </c>
      <c r="I56">
        <v>149</v>
      </c>
      <c r="J56" t="s">
        <v>291</v>
      </c>
      <c r="K56" t="s">
        <v>57</v>
      </c>
      <c r="L56" t="s">
        <v>58</v>
      </c>
      <c r="M56" t="s">
        <v>59</v>
      </c>
      <c r="N56" t="s">
        <v>59</v>
      </c>
      <c r="O56" t="s">
        <v>59</v>
      </c>
      <c r="P56" t="s">
        <v>59</v>
      </c>
      <c r="Q56" t="s">
        <v>59</v>
      </c>
      <c r="R56" t="s">
        <v>60</v>
      </c>
      <c r="S56" t="s">
        <v>59</v>
      </c>
      <c r="T56" t="s">
        <v>59</v>
      </c>
      <c r="U56" t="s">
        <v>59</v>
      </c>
      <c r="V56" t="s">
        <v>59</v>
      </c>
      <c r="W56" t="s">
        <v>59</v>
      </c>
      <c r="X56" t="s">
        <v>59</v>
      </c>
      <c r="Y56" t="s">
        <v>59</v>
      </c>
      <c r="Z56" t="s">
        <v>59</v>
      </c>
      <c r="AA56" t="s">
        <v>60</v>
      </c>
      <c r="AB56" t="s">
        <v>59</v>
      </c>
      <c r="AC56" t="s">
        <v>59</v>
      </c>
      <c r="AD56" t="s">
        <v>59</v>
      </c>
      <c r="AE56" t="s">
        <v>59</v>
      </c>
      <c r="AF56" t="s">
        <v>59</v>
      </c>
      <c r="AG56" t="s">
        <v>59</v>
      </c>
      <c r="AH56" t="s">
        <v>59</v>
      </c>
      <c r="AI56" t="s">
        <v>61</v>
      </c>
      <c r="AJ56" t="s">
        <v>59</v>
      </c>
      <c r="AK56" t="s">
        <v>59</v>
      </c>
      <c r="AL56" t="s">
        <v>59</v>
      </c>
      <c r="AM56" t="s">
        <v>59</v>
      </c>
      <c r="AN56" t="s">
        <v>59</v>
      </c>
      <c r="AO56" t="s">
        <v>59</v>
      </c>
      <c r="AP56" t="s">
        <v>216</v>
      </c>
      <c r="AQ56" s="1" t="s">
        <v>292</v>
      </c>
      <c r="AR56" t="s">
        <v>64</v>
      </c>
      <c r="AS56" t="s">
        <v>89</v>
      </c>
      <c r="AT56" t="s">
        <v>293</v>
      </c>
      <c r="AU56" t="s">
        <v>219</v>
      </c>
      <c r="AW56" s="4">
        <f t="shared" si="0"/>
        <v>6</v>
      </c>
      <c r="AX56" s="4">
        <f t="shared" si="1"/>
        <v>4</v>
      </c>
      <c r="AY56" s="4">
        <f t="shared" si="2"/>
        <v>4</v>
      </c>
      <c r="AZ56" s="4">
        <f t="shared" si="3"/>
        <v>2</v>
      </c>
      <c r="BA56" s="4">
        <f t="shared" si="4"/>
        <v>4</v>
      </c>
      <c r="BB56" s="4" t="str">
        <f t="shared" si="5"/>
        <v>0</v>
      </c>
      <c r="BC56" s="4">
        <f t="shared" si="6"/>
        <v>4</v>
      </c>
      <c r="BD56" s="4">
        <f t="shared" si="7"/>
        <v>2</v>
      </c>
      <c r="BE56" s="4">
        <f t="shared" si="8"/>
        <v>4</v>
      </c>
      <c r="BF56" s="4">
        <f t="shared" si="9"/>
        <v>2</v>
      </c>
      <c r="BG56" s="4">
        <f t="shared" si="10"/>
        <v>4</v>
      </c>
      <c r="BH56" s="4">
        <f t="shared" si="11"/>
        <v>4</v>
      </c>
      <c r="BI56" s="4">
        <f t="shared" si="12"/>
        <v>4</v>
      </c>
      <c r="BJ56" s="4">
        <f t="shared" si="13"/>
        <v>2</v>
      </c>
      <c r="BK56" s="4" t="str">
        <f t="shared" si="14"/>
        <v>0</v>
      </c>
      <c r="BL56" s="4">
        <f t="shared" si="15"/>
        <v>2</v>
      </c>
      <c r="BM56" s="4">
        <f t="shared" si="16"/>
        <v>4</v>
      </c>
      <c r="BN56" s="4">
        <f t="shared" si="17"/>
        <v>4</v>
      </c>
      <c r="BO56" s="4">
        <f t="shared" si="18"/>
        <v>4</v>
      </c>
      <c r="BP56" s="4">
        <f t="shared" si="19"/>
        <v>4</v>
      </c>
      <c r="BQ56" s="4">
        <f t="shared" si="20"/>
        <v>6</v>
      </c>
      <c r="BR56" s="4">
        <f t="shared" si="21"/>
        <v>4</v>
      </c>
      <c r="BS56" s="4">
        <f t="shared" si="22"/>
        <v>4</v>
      </c>
      <c r="BT56" s="4">
        <f t="shared" si="23"/>
        <v>4</v>
      </c>
      <c r="BU56" s="4">
        <f t="shared" si="24"/>
        <v>4</v>
      </c>
      <c r="BV56" s="4">
        <f t="shared" si="25"/>
        <v>0</v>
      </c>
      <c r="BW56" s="4">
        <f t="shared" si="26"/>
        <v>6</v>
      </c>
      <c r="BX56" s="4">
        <f t="shared" si="27"/>
        <v>0</v>
      </c>
      <c r="BY56" s="4">
        <f t="shared" si="28"/>
        <v>0</v>
      </c>
      <c r="BZ56" s="37">
        <f t="shared" si="29"/>
        <v>92</v>
      </c>
      <c r="CA56" s="32" t="str">
        <f>VLOOKUP(J:J,'Agent wise'!A:C,3,0)</f>
        <v xml:space="preserve">Shiny </v>
      </c>
      <c r="CB56" s="32">
        <f t="shared" si="30"/>
        <v>45932</v>
      </c>
      <c r="CC56" t="str">
        <f t="shared" si="31"/>
        <v>Good</v>
      </c>
      <c r="CE56" s="32"/>
      <c r="CJ56">
        <f t="shared" si="35"/>
        <v>2</v>
      </c>
      <c r="CK56">
        <f t="shared" si="36"/>
        <v>10</v>
      </c>
      <c r="CL56">
        <f t="shared" si="37"/>
        <v>2025</v>
      </c>
    </row>
    <row r="57" spans="1:90" ht="15" customHeight="1" x14ac:dyDescent="0.35">
      <c r="A57" s="40">
        <v>45698.685763888891</v>
      </c>
      <c r="B57" t="s">
        <v>250</v>
      </c>
      <c r="C57" t="s">
        <v>214</v>
      </c>
      <c r="D57" t="s">
        <v>251</v>
      </c>
      <c r="E57" s="32">
        <v>45932</v>
      </c>
      <c r="F57" t="s">
        <v>54</v>
      </c>
      <c r="G57" s="2">
        <v>45667</v>
      </c>
      <c r="H57">
        <v>6282303021</v>
      </c>
      <c r="I57">
        <v>206</v>
      </c>
      <c r="J57" t="s">
        <v>294</v>
      </c>
      <c r="K57" t="s">
        <v>57</v>
      </c>
      <c r="L57" t="s">
        <v>58</v>
      </c>
      <c r="M57" t="s">
        <v>59</v>
      </c>
      <c r="N57" t="s">
        <v>59</v>
      </c>
      <c r="O57" t="s">
        <v>59</v>
      </c>
      <c r="P57" t="s">
        <v>59</v>
      </c>
      <c r="Q57" t="s">
        <v>59</v>
      </c>
      <c r="R57" t="s">
        <v>59</v>
      </c>
      <c r="S57" t="s">
        <v>59</v>
      </c>
      <c r="T57" t="s">
        <v>59</v>
      </c>
      <c r="U57" t="s">
        <v>59</v>
      </c>
      <c r="V57" t="s">
        <v>59</v>
      </c>
      <c r="W57" t="s">
        <v>59</v>
      </c>
      <c r="X57" t="s">
        <v>59</v>
      </c>
      <c r="Y57" t="s">
        <v>59</v>
      </c>
      <c r="Z57" t="s">
        <v>59</v>
      </c>
      <c r="AA57" t="s">
        <v>60</v>
      </c>
      <c r="AB57" t="s">
        <v>59</v>
      </c>
      <c r="AC57" t="s">
        <v>59</v>
      </c>
      <c r="AD57" t="s">
        <v>59</v>
      </c>
      <c r="AE57" t="s">
        <v>59</v>
      </c>
      <c r="AF57" t="s">
        <v>59</v>
      </c>
      <c r="AG57" t="s">
        <v>59</v>
      </c>
      <c r="AH57" t="s">
        <v>61</v>
      </c>
      <c r="AI57" t="s">
        <v>61</v>
      </c>
      <c r="AJ57" t="s">
        <v>59</v>
      </c>
      <c r="AK57" t="s">
        <v>59</v>
      </c>
      <c r="AL57" t="s">
        <v>59</v>
      </c>
      <c r="AM57" t="s">
        <v>59</v>
      </c>
      <c r="AN57" t="s">
        <v>59</v>
      </c>
      <c r="AO57" t="s">
        <v>59</v>
      </c>
      <c r="AP57" t="s">
        <v>295</v>
      </c>
      <c r="AQ57" t="s">
        <v>296</v>
      </c>
      <c r="AR57" t="s">
        <v>64</v>
      </c>
      <c r="AS57" t="s">
        <v>255</v>
      </c>
      <c r="AT57" t="s">
        <v>297</v>
      </c>
      <c r="AU57" t="s">
        <v>219</v>
      </c>
      <c r="AW57" s="4">
        <f t="shared" si="0"/>
        <v>6</v>
      </c>
      <c r="AX57" s="4">
        <f t="shared" si="1"/>
        <v>4</v>
      </c>
      <c r="AY57" s="4">
        <f t="shared" si="2"/>
        <v>4</v>
      </c>
      <c r="AZ57" s="4">
        <f t="shared" si="3"/>
        <v>2</v>
      </c>
      <c r="BA57" s="4">
        <f t="shared" si="4"/>
        <v>4</v>
      </c>
      <c r="BB57" s="4">
        <f t="shared" si="5"/>
        <v>4</v>
      </c>
      <c r="BC57" s="4">
        <f t="shared" si="6"/>
        <v>4</v>
      </c>
      <c r="BD57" s="4">
        <f t="shared" si="7"/>
        <v>2</v>
      </c>
      <c r="BE57" s="4">
        <f t="shared" si="8"/>
        <v>4</v>
      </c>
      <c r="BF57" s="4">
        <f t="shared" si="9"/>
        <v>2</v>
      </c>
      <c r="BG57" s="4">
        <f t="shared" si="10"/>
        <v>4</v>
      </c>
      <c r="BH57" s="4">
        <f t="shared" si="11"/>
        <v>4</v>
      </c>
      <c r="BI57" s="4">
        <f t="shared" si="12"/>
        <v>4</v>
      </c>
      <c r="BJ57" s="4">
        <f t="shared" si="13"/>
        <v>2</v>
      </c>
      <c r="BK57" s="4" t="str">
        <f t="shared" si="14"/>
        <v>0</v>
      </c>
      <c r="BL57" s="4">
        <f t="shared" si="15"/>
        <v>2</v>
      </c>
      <c r="BM57" s="4">
        <f t="shared" si="16"/>
        <v>4</v>
      </c>
      <c r="BN57" s="4">
        <f t="shared" si="17"/>
        <v>4</v>
      </c>
      <c r="BO57" s="4">
        <f t="shared" si="18"/>
        <v>4</v>
      </c>
      <c r="BP57" s="4">
        <f t="shared" si="19"/>
        <v>4</v>
      </c>
      <c r="BQ57" s="4">
        <f t="shared" si="20"/>
        <v>6</v>
      </c>
      <c r="BR57" s="4">
        <f t="shared" si="21"/>
        <v>4</v>
      </c>
      <c r="BS57" s="4">
        <f t="shared" si="22"/>
        <v>4</v>
      </c>
      <c r="BT57" s="4">
        <f t="shared" si="23"/>
        <v>4</v>
      </c>
      <c r="BU57" s="4">
        <f t="shared" si="24"/>
        <v>4</v>
      </c>
      <c r="BV57" s="4">
        <f t="shared" si="25"/>
        <v>0</v>
      </c>
      <c r="BW57" s="4">
        <f t="shared" si="26"/>
        <v>6</v>
      </c>
      <c r="BX57" s="4">
        <f t="shared" si="27"/>
        <v>0</v>
      </c>
      <c r="BY57" s="4">
        <f t="shared" si="28"/>
        <v>0</v>
      </c>
      <c r="BZ57" s="37">
        <f t="shared" si="29"/>
        <v>96</v>
      </c>
      <c r="CA57" s="32" t="e">
        <f>VLOOKUP(J:J,'Agent wise'!A:C,3,0)</f>
        <v>#N/A</v>
      </c>
      <c r="CB57" s="32">
        <f t="shared" si="30"/>
        <v>45932</v>
      </c>
      <c r="CC57" t="str">
        <f t="shared" si="31"/>
        <v>Excellent</v>
      </c>
      <c r="CE57" s="32"/>
      <c r="CJ57">
        <f t="shared" si="35"/>
        <v>2</v>
      </c>
      <c r="CK57">
        <f t="shared" si="36"/>
        <v>10</v>
      </c>
      <c r="CL57">
        <f t="shared" si="37"/>
        <v>2025</v>
      </c>
    </row>
    <row r="58" spans="1:90" ht="15" customHeight="1" x14ac:dyDescent="0.35">
      <c r="A58" s="40">
        <v>45698.690011574072</v>
      </c>
      <c r="B58" t="s">
        <v>100</v>
      </c>
      <c r="C58" t="s">
        <v>214</v>
      </c>
      <c r="D58" t="s">
        <v>101</v>
      </c>
      <c r="E58" s="32">
        <v>45932</v>
      </c>
      <c r="F58" t="s">
        <v>54</v>
      </c>
      <c r="G58" s="2">
        <v>45667</v>
      </c>
      <c r="H58">
        <v>9605324014</v>
      </c>
      <c r="I58">
        <v>144</v>
      </c>
      <c r="J58" t="s">
        <v>159</v>
      </c>
      <c r="K58" t="s">
        <v>57</v>
      </c>
      <c r="L58" t="s">
        <v>58</v>
      </c>
      <c r="M58" t="s">
        <v>59</v>
      </c>
      <c r="N58" t="s">
        <v>59</v>
      </c>
      <c r="O58" t="s">
        <v>59</v>
      </c>
      <c r="P58" t="s">
        <v>59</v>
      </c>
      <c r="Q58" t="s">
        <v>59</v>
      </c>
      <c r="R58" t="s">
        <v>60</v>
      </c>
      <c r="S58" t="s">
        <v>59</v>
      </c>
      <c r="T58" t="s">
        <v>59</v>
      </c>
      <c r="U58" t="s">
        <v>59</v>
      </c>
      <c r="V58" t="s">
        <v>59</v>
      </c>
      <c r="W58" t="s">
        <v>59</v>
      </c>
      <c r="X58" t="s">
        <v>59</v>
      </c>
      <c r="Y58" t="s">
        <v>59</v>
      </c>
      <c r="Z58" t="s">
        <v>59</v>
      </c>
      <c r="AA58" t="s">
        <v>60</v>
      </c>
      <c r="AB58" t="s">
        <v>60</v>
      </c>
      <c r="AC58" t="s">
        <v>60</v>
      </c>
      <c r="AD58" t="s">
        <v>61</v>
      </c>
      <c r="AE58" t="s">
        <v>59</v>
      </c>
      <c r="AF58" t="s">
        <v>59</v>
      </c>
      <c r="AG58" t="s">
        <v>60</v>
      </c>
      <c r="AH58" t="s">
        <v>59</v>
      </c>
      <c r="AI58" t="s">
        <v>61</v>
      </c>
      <c r="AJ58" t="s">
        <v>59</v>
      </c>
      <c r="AK58" t="s">
        <v>59</v>
      </c>
      <c r="AL58" t="s">
        <v>59</v>
      </c>
      <c r="AM58" t="s">
        <v>59</v>
      </c>
      <c r="AN58" t="s">
        <v>59</v>
      </c>
      <c r="AO58" t="s">
        <v>59</v>
      </c>
      <c r="AP58" t="s">
        <v>239</v>
      </c>
      <c r="AQ58" s="1" t="s">
        <v>298</v>
      </c>
      <c r="AR58" t="s">
        <v>64</v>
      </c>
      <c r="AS58" t="s">
        <v>175</v>
      </c>
      <c r="AT58" t="s">
        <v>167</v>
      </c>
      <c r="AU58" t="s">
        <v>299</v>
      </c>
      <c r="AW58" s="4">
        <f t="shared" si="0"/>
        <v>6</v>
      </c>
      <c r="AX58" s="4">
        <f t="shared" si="1"/>
        <v>4</v>
      </c>
      <c r="AY58" s="4">
        <f t="shared" si="2"/>
        <v>4</v>
      </c>
      <c r="AZ58" s="4">
        <f t="shared" si="3"/>
        <v>2</v>
      </c>
      <c r="BA58" s="4">
        <f t="shared" si="4"/>
        <v>4</v>
      </c>
      <c r="BB58" s="4" t="str">
        <f t="shared" si="5"/>
        <v>0</v>
      </c>
      <c r="BC58" s="4">
        <f t="shared" si="6"/>
        <v>4</v>
      </c>
      <c r="BD58" s="4">
        <f t="shared" si="7"/>
        <v>2</v>
      </c>
      <c r="BE58" s="4">
        <f t="shared" si="8"/>
        <v>4</v>
      </c>
      <c r="BF58" s="4">
        <f t="shared" si="9"/>
        <v>2</v>
      </c>
      <c r="BG58" s="4">
        <f t="shared" si="10"/>
        <v>4</v>
      </c>
      <c r="BH58" s="4">
        <f t="shared" si="11"/>
        <v>4</v>
      </c>
      <c r="BI58" s="4">
        <f t="shared" si="12"/>
        <v>4</v>
      </c>
      <c r="BJ58" s="4">
        <f t="shared" si="13"/>
        <v>2</v>
      </c>
      <c r="BK58" s="4" t="str">
        <f t="shared" si="14"/>
        <v>0</v>
      </c>
      <c r="BL58" s="4" t="str">
        <f t="shared" si="15"/>
        <v>0</v>
      </c>
      <c r="BM58" s="4" t="str">
        <f t="shared" si="16"/>
        <v>0</v>
      </c>
      <c r="BN58" s="4">
        <f t="shared" si="17"/>
        <v>4</v>
      </c>
      <c r="BO58" s="4">
        <f t="shared" si="18"/>
        <v>4</v>
      </c>
      <c r="BP58" s="4">
        <f t="shared" si="19"/>
        <v>4</v>
      </c>
      <c r="BQ58" s="4" t="str">
        <f t="shared" si="20"/>
        <v>0</v>
      </c>
      <c r="BR58" s="4">
        <f t="shared" si="21"/>
        <v>4</v>
      </c>
      <c r="BS58" s="4">
        <f t="shared" si="22"/>
        <v>4</v>
      </c>
      <c r="BT58" s="4">
        <f t="shared" si="23"/>
        <v>4</v>
      </c>
      <c r="BU58" s="4">
        <f t="shared" si="24"/>
        <v>4</v>
      </c>
      <c r="BV58" s="4">
        <f t="shared" si="25"/>
        <v>0</v>
      </c>
      <c r="BW58" s="4">
        <f t="shared" si="26"/>
        <v>6</v>
      </c>
      <c r="BX58" s="4">
        <f t="shared" si="27"/>
        <v>0</v>
      </c>
      <c r="BY58" s="4">
        <f t="shared" si="28"/>
        <v>0</v>
      </c>
      <c r="BZ58" s="37">
        <f t="shared" si="29"/>
        <v>80</v>
      </c>
      <c r="CA58" s="32" t="str">
        <f>VLOOKUP(J:J,'Agent wise'!A:C,3,0)</f>
        <v>Shakeer</v>
      </c>
      <c r="CB58" s="32">
        <f t="shared" si="30"/>
        <v>45932</v>
      </c>
      <c r="CC58" t="str">
        <f t="shared" si="31"/>
        <v>FC</v>
      </c>
      <c r="CE58" s="32"/>
      <c r="CJ58">
        <f t="shared" si="35"/>
        <v>2</v>
      </c>
      <c r="CK58">
        <f t="shared" si="36"/>
        <v>10</v>
      </c>
      <c r="CL58">
        <f t="shared" si="37"/>
        <v>2025</v>
      </c>
    </row>
    <row r="59" spans="1:90" ht="15" customHeight="1" x14ac:dyDescent="0.35">
      <c r="A59" s="40">
        <v>45698.707476851851</v>
      </c>
      <c r="B59" t="s">
        <v>177</v>
      </c>
      <c r="C59" t="s">
        <v>214</v>
      </c>
      <c r="D59" t="s">
        <v>178</v>
      </c>
      <c r="E59" s="32">
        <v>45932</v>
      </c>
      <c r="F59" t="s">
        <v>90</v>
      </c>
      <c r="G59" s="2">
        <v>45667</v>
      </c>
      <c r="H59">
        <v>9677078112</v>
      </c>
      <c r="I59">
        <v>191</v>
      </c>
      <c r="J59" t="s">
        <v>269</v>
      </c>
      <c r="K59" t="s">
        <v>71</v>
      </c>
      <c r="L59" t="s">
        <v>72</v>
      </c>
      <c r="M59" t="s">
        <v>59</v>
      </c>
      <c r="N59" t="s">
        <v>59</v>
      </c>
      <c r="O59" t="s">
        <v>59</v>
      </c>
      <c r="P59" t="s">
        <v>59</v>
      </c>
      <c r="Q59" t="s">
        <v>59</v>
      </c>
      <c r="R59" t="s">
        <v>59</v>
      </c>
      <c r="S59" t="s">
        <v>59</v>
      </c>
      <c r="T59" t="s">
        <v>59</v>
      </c>
      <c r="U59" t="s">
        <v>59</v>
      </c>
      <c r="V59" t="s">
        <v>59</v>
      </c>
      <c r="W59" t="s">
        <v>59</v>
      </c>
      <c r="X59" t="s">
        <v>59</v>
      </c>
      <c r="Y59" t="s">
        <v>59</v>
      </c>
      <c r="Z59" t="s">
        <v>59</v>
      </c>
      <c r="AA59" t="s">
        <v>59</v>
      </c>
      <c r="AB59" t="s">
        <v>59</v>
      </c>
      <c r="AC59" t="s">
        <v>59</v>
      </c>
      <c r="AD59" t="s">
        <v>59</v>
      </c>
      <c r="AE59" t="s">
        <v>59</v>
      </c>
      <c r="AF59" t="s">
        <v>59</v>
      </c>
      <c r="AG59" t="s">
        <v>59</v>
      </c>
      <c r="AH59" t="s">
        <v>59</v>
      </c>
      <c r="AI59" t="s">
        <v>61</v>
      </c>
      <c r="AJ59" t="s">
        <v>59</v>
      </c>
      <c r="AK59" t="s">
        <v>59</v>
      </c>
      <c r="AL59" t="s">
        <v>59</v>
      </c>
      <c r="AM59" t="s">
        <v>59</v>
      </c>
      <c r="AN59" t="s">
        <v>59</v>
      </c>
      <c r="AO59" t="s">
        <v>60</v>
      </c>
      <c r="AP59" t="s">
        <v>40</v>
      </c>
      <c r="AQ59" s="1" t="s">
        <v>201</v>
      </c>
      <c r="AR59" t="s">
        <v>64</v>
      </c>
      <c r="AS59" t="s">
        <v>300</v>
      </c>
      <c r="AT59" t="s">
        <v>301</v>
      </c>
      <c r="AU59" t="s">
        <v>299</v>
      </c>
      <c r="AW59" s="4">
        <f t="shared" si="0"/>
        <v>6</v>
      </c>
      <c r="AX59" s="4">
        <f t="shared" si="1"/>
        <v>4</v>
      </c>
      <c r="AY59" s="4">
        <f t="shared" si="2"/>
        <v>4</v>
      </c>
      <c r="AZ59" s="4">
        <f t="shared" si="3"/>
        <v>2</v>
      </c>
      <c r="BA59" s="4">
        <f t="shared" si="4"/>
        <v>4</v>
      </c>
      <c r="BB59" s="4">
        <f t="shared" si="5"/>
        <v>4</v>
      </c>
      <c r="BC59" s="4">
        <f t="shared" si="6"/>
        <v>4</v>
      </c>
      <c r="BD59" s="4">
        <f t="shared" si="7"/>
        <v>2</v>
      </c>
      <c r="BE59" s="4">
        <f t="shared" si="8"/>
        <v>4</v>
      </c>
      <c r="BF59" s="4">
        <f t="shared" si="9"/>
        <v>2</v>
      </c>
      <c r="BG59" s="4">
        <f t="shared" si="10"/>
        <v>4</v>
      </c>
      <c r="BH59" s="4">
        <f t="shared" si="11"/>
        <v>4</v>
      </c>
      <c r="BI59" s="4">
        <f t="shared" si="12"/>
        <v>4</v>
      </c>
      <c r="BJ59" s="4">
        <f t="shared" si="13"/>
        <v>2</v>
      </c>
      <c r="BK59" s="4">
        <f t="shared" si="14"/>
        <v>4</v>
      </c>
      <c r="BL59" s="4">
        <f t="shared" si="15"/>
        <v>2</v>
      </c>
      <c r="BM59" s="4">
        <f t="shared" si="16"/>
        <v>4</v>
      </c>
      <c r="BN59" s="4">
        <f t="shared" si="17"/>
        <v>4</v>
      </c>
      <c r="BO59" s="4">
        <f t="shared" si="18"/>
        <v>4</v>
      </c>
      <c r="BP59" s="4">
        <f t="shared" si="19"/>
        <v>4</v>
      </c>
      <c r="BQ59" s="4">
        <f t="shared" si="20"/>
        <v>6</v>
      </c>
      <c r="BR59" s="4">
        <f t="shared" si="21"/>
        <v>4</v>
      </c>
      <c r="BS59" s="4">
        <f t="shared" si="22"/>
        <v>4</v>
      </c>
      <c r="BT59" s="4">
        <f t="shared" si="23"/>
        <v>4</v>
      </c>
      <c r="BU59" s="4">
        <f t="shared" si="24"/>
        <v>4</v>
      </c>
      <c r="BV59" s="4">
        <f t="shared" si="25"/>
        <v>0</v>
      </c>
      <c r="BW59" s="4">
        <f t="shared" si="26"/>
        <v>6</v>
      </c>
      <c r="BX59" s="4">
        <f t="shared" si="27"/>
        <v>0</v>
      </c>
      <c r="BY59" s="4" t="str">
        <f t="shared" si="28"/>
        <v>0</v>
      </c>
      <c r="BZ59" s="37">
        <f t="shared" si="29"/>
        <v>100</v>
      </c>
      <c r="CA59" s="32" t="str">
        <f>VLOOKUP(J:J,'Agent wise'!A:C,3,0)</f>
        <v xml:space="preserve">Shiny </v>
      </c>
      <c r="CB59" s="32">
        <f t="shared" si="30"/>
        <v>45932</v>
      </c>
      <c r="CC59" t="str">
        <f t="shared" si="31"/>
        <v>Excellent</v>
      </c>
      <c r="CE59" s="32"/>
      <c r="CJ59">
        <f t="shared" si="35"/>
        <v>2</v>
      </c>
      <c r="CK59">
        <f t="shared" si="36"/>
        <v>10</v>
      </c>
      <c r="CL59">
        <f t="shared" si="37"/>
        <v>2025</v>
      </c>
    </row>
    <row r="60" spans="1:90" ht="15" customHeight="1" x14ac:dyDescent="0.35">
      <c r="A60" s="40">
        <v>45698.7109837963</v>
      </c>
      <c r="B60" t="s">
        <v>250</v>
      </c>
      <c r="C60" t="s">
        <v>214</v>
      </c>
      <c r="D60" t="s">
        <v>251</v>
      </c>
      <c r="E60" s="32">
        <v>45932</v>
      </c>
      <c r="F60" t="s">
        <v>54</v>
      </c>
      <c r="G60" s="2">
        <v>45667</v>
      </c>
      <c r="H60">
        <v>9092197064</v>
      </c>
      <c r="I60">
        <v>198</v>
      </c>
      <c r="J60" t="s">
        <v>302</v>
      </c>
      <c r="K60" t="s">
        <v>71</v>
      </c>
      <c r="L60" t="s">
        <v>72</v>
      </c>
      <c r="M60" t="s">
        <v>59</v>
      </c>
      <c r="N60" t="s">
        <v>59</v>
      </c>
      <c r="O60" t="s">
        <v>59</v>
      </c>
      <c r="P60" t="s">
        <v>59</v>
      </c>
      <c r="Q60" t="s">
        <v>59</v>
      </c>
      <c r="R60" t="s">
        <v>59</v>
      </c>
      <c r="S60" t="s">
        <v>59</v>
      </c>
      <c r="T60" t="s">
        <v>59</v>
      </c>
      <c r="U60" t="s">
        <v>60</v>
      </c>
      <c r="V60" t="s">
        <v>59</v>
      </c>
      <c r="W60" t="s">
        <v>59</v>
      </c>
      <c r="X60" t="s">
        <v>59</v>
      </c>
      <c r="Y60" t="s">
        <v>59</v>
      </c>
      <c r="Z60" t="s">
        <v>60</v>
      </c>
      <c r="AA60" t="s">
        <v>60</v>
      </c>
      <c r="AB60" t="s">
        <v>59</v>
      </c>
      <c r="AC60" t="s">
        <v>60</v>
      </c>
      <c r="AD60" t="s">
        <v>59</v>
      </c>
      <c r="AE60" t="s">
        <v>59</v>
      </c>
      <c r="AF60" t="s">
        <v>59</v>
      </c>
      <c r="AG60" t="s">
        <v>59</v>
      </c>
      <c r="AH60" t="s">
        <v>61</v>
      </c>
      <c r="AI60" t="s">
        <v>61</v>
      </c>
      <c r="AJ60" t="s">
        <v>59</v>
      </c>
      <c r="AK60" t="s">
        <v>61</v>
      </c>
      <c r="AL60" t="s">
        <v>60</v>
      </c>
      <c r="AM60" t="s">
        <v>60</v>
      </c>
      <c r="AN60" t="s">
        <v>60</v>
      </c>
      <c r="AO60" t="s">
        <v>60</v>
      </c>
      <c r="AP60" t="s">
        <v>303</v>
      </c>
      <c r="AQ60" t="s">
        <v>304</v>
      </c>
      <c r="AR60" t="s">
        <v>64</v>
      </c>
      <c r="AS60" t="s">
        <v>255</v>
      </c>
      <c r="AT60" t="s">
        <v>305</v>
      </c>
      <c r="AU60" t="s">
        <v>268</v>
      </c>
      <c r="AW60" s="4">
        <f t="shared" si="0"/>
        <v>6</v>
      </c>
      <c r="AX60" s="4">
        <f t="shared" si="1"/>
        <v>4</v>
      </c>
      <c r="AY60" s="4">
        <f t="shared" si="2"/>
        <v>4</v>
      </c>
      <c r="AZ60" s="4">
        <f t="shared" si="3"/>
        <v>2</v>
      </c>
      <c r="BA60" s="4">
        <f t="shared" si="4"/>
        <v>4</v>
      </c>
      <c r="BB60" s="4">
        <f t="shared" si="5"/>
        <v>4</v>
      </c>
      <c r="BC60" s="4">
        <f t="shared" si="6"/>
        <v>4</v>
      </c>
      <c r="BD60" s="4">
        <f t="shared" si="7"/>
        <v>2</v>
      </c>
      <c r="BE60" s="4" t="str">
        <f t="shared" si="8"/>
        <v>0</v>
      </c>
      <c r="BF60" s="4">
        <f t="shared" si="9"/>
        <v>2</v>
      </c>
      <c r="BG60" s="4">
        <f t="shared" si="10"/>
        <v>4</v>
      </c>
      <c r="BH60" s="4">
        <f t="shared" si="11"/>
        <v>4</v>
      </c>
      <c r="BI60" s="4">
        <f t="shared" si="12"/>
        <v>4</v>
      </c>
      <c r="BJ60" s="4" t="str">
        <f t="shared" si="13"/>
        <v>0</v>
      </c>
      <c r="BK60" s="4" t="str">
        <f t="shared" si="14"/>
        <v>0</v>
      </c>
      <c r="BL60" s="4">
        <f t="shared" si="15"/>
        <v>2</v>
      </c>
      <c r="BM60" s="4" t="str">
        <f t="shared" si="16"/>
        <v>0</v>
      </c>
      <c r="BN60" s="4">
        <f t="shared" si="17"/>
        <v>4</v>
      </c>
      <c r="BO60" s="4">
        <f t="shared" si="18"/>
        <v>4</v>
      </c>
      <c r="BP60" s="4">
        <f t="shared" si="19"/>
        <v>4</v>
      </c>
      <c r="BQ60" s="4">
        <f t="shared" si="20"/>
        <v>6</v>
      </c>
      <c r="BR60" s="4">
        <f t="shared" si="21"/>
        <v>4</v>
      </c>
      <c r="BS60" s="4">
        <f t="shared" si="22"/>
        <v>4</v>
      </c>
      <c r="BT60" s="4">
        <f t="shared" si="23"/>
        <v>4</v>
      </c>
      <c r="BU60" s="4">
        <f t="shared" si="24"/>
        <v>4</v>
      </c>
      <c r="BV60" s="4" t="str">
        <f t="shared" si="25"/>
        <v>0</v>
      </c>
      <c r="BW60" s="4" t="str">
        <f t="shared" si="26"/>
        <v>0</v>
      </c>
      <c r="BX60" s="4" t="str">
        <f t="shared" si="27"/>
        <v>0</v>
      </c>
      <c r="BY60" s="4" t="str">
        <f t="shared" si="28"/>
        <v>0</v>
      </c>
      <c r="BZ60" s="37">
        <f t="shared" si="29"/>
        <v>80</v>
      </c>
      <c r="CA60" s="32" t="str">
        <f>VLOOKUP(J:J,'Agent wise'!A:C,3,0)</f>
        <v>Shakeer</v>
      </c>
      <c r="CB60" s="32">
        <f t="shared" si="30"/>
        <v>45932</v>
      </c>
      <c r="CC60" t="str">
        <f t="shared" si="31"/>
        <v>FC</v>
      </c>
      <c r="CE60" s="32"/>
      <c r="CJ60">
        <f t="shared" si="35"/>
        <v>2</v>
      </c>
      <c r="CK60">
        <f t="shared" si="36"/>
        <v>10</v>
      </c>
      <c r="CL60">
        <f t="shared" si="37"/>
        <v>2025</v>
      </c>
    </row>
    <row r="61" spans="1:90" ht="15" customHeight="1" x14ac:dyDescent="0.35">
      <c r="A61" s="40">
        <v>45698.71671296296</v>
      </c>
      <c r="B61" t="s">
        <v>250</v>
      </c>
      <c r="C61" t="s">
        <v>214</v>
      </c>
      <c r="D61" t="s">
        <v>251</v>
      </c>
      <c r="E61" s="32">
        <v>45932</v>
      </c>
      <c r="F61" t="s">
        <v>306</v>
      </c>
      <c r="G61" s="2">
        <v>45667</v>
      </c>
      <c r="H61">
        <v>8870360658</v>
      </c>
      <c r="I61">
        <v>165</v>
      </c>
      <c r="J61" t="s">
        <v>307</v>
      </c>
      <c r="K61" t="s">
        <v>71</v>
      </c>
      <c r="L61" t="s">
        <v>72</v>
      </c>
      <c r="M61" t="s">
        <v>59</v>
      </c>
      <c r="N61" t="s">
        <v>59</v>
      </c>
      <c r="O61" t="s">
        <v>59</v>
      </c>
      <c r="P61" t="s">
        <v>59</v>
      </c>
      <c r="Q61" t="s">
        <v>59</v>
      </c>
      <c r="R61" t="s">
        <v>59</v>
      </c>
      <c r="S61" t="s">
        <v>59</v>
      </c>
      <c r="T61" t="s">
        <v>59</v>
      </c>
      <c r="U61" t="s">
        <v>59</v>
      </c>
      <c r="V61" t="s">
        <v>59</v>
      </c>
      <c r="W61" t="s">
        <v>59</v>
      </c>
      <c r="X61" t="s">
        <v>59</v>
      </c>
      <c r="Y61" t="s">
        <v>59</v>
      </c>
      <c r="Z61" t="s">
        <v>59</v>
      </c>
      <c r="AA61" t="s">
        <v>59</v>
      </c>
      <c r="AB61" t="s">
        <v>59</v>
      </c>
      <c r="AC61" t="s">
        <v>59</v>
      </c>
      <c r="AD61" t="s">
        <v>59</v>
      </c>
      <c r="AE61" t="s">
        <v>59</v>
      </c>
      <c r="AF61" t="s">
        <v>59</v>
      </c>
      <c r="AG61" t="s">
        <v>59</v>
      </c>
      <c r="AH61" t="s">
        <v>61</v>
      </c>
      <c r="AI61" t="s">
        <v>61</v>
      </c>
      <c r="AJ61" t="s">
        <v>59</v>
      </c>
      <c r="AK61" t="s">
        <v>59</v>
      </c>
      <c r="AL61" t="s">
        <v>60</v>
      </c>
      <c r="AM61" t="s">
        <v>59</v>
      </c>
      <c r="AN61" t="s">
        <v>59</v>
      </c>
      <c r="AO61" t="s">
        <v>59</v>
      </c>
      <c r="AP61" t="s">
        <v>209</v>
      </c>
      <c r="AQ61" t="s">
        <v>308</v>
      </c>
      <c r="AR61" t="s">
        <v>226</v>
      </c>
      <c r="AS61" t="s">
        <v>309</v>
      </c>
      <c r="AT61" t="s">
        <v>309</v>
      </c>
      <c r="AU61" t="s">
        <v>219</v>
      </c>
      <c r="AW61" s="4">
        <f t="shared" si="0"/>
        <v>6</v>
      </c>
      <c r="AX61" s="4">
        <f t="shared" si="1"/>
        <v>4</v>
      </c>
      <c r="AY61" s="4">
        <f t="shared" si="2"/>
        <v>4</v>
      </c>
      <c r="AZ61" s="4">
        <f t="shared" si="3"/>
        <v>2</v>
      </c>
      <c r="BA61" s="4">
        <f t="shared" si="4"/>
        <v>4</v>
      </c>
      <c r="BB61" s="4">
        <f t="shared" si="5"/>
        <v>4</v>
      </c>
      <c r="BC61" s="4">
        <f t="shared" si="6"/>
        <v>4</v>
      </c>
      <c r="BD61" s="4">
        <f t="shared" si="7"/>
        <v>2</v>
      </c>
      <c r="BE61" s="4">
        <f t="shared" si="8"/>
        <v>4</v>
      </c>
      <c r="BF61" s="4">
        <f t="shared" si="9"/>
        <v>2</v>
      </c>
      <c r="BG61" s="4">
        <f t="shared" si="10"/>
        <v>4</v>
      </c>
      <c r="BH61" s="4">
        <f t="shared" si="11"/>
        <v>4</v>
      </c>
      <c r="BI61" s="4">
        <f t="shared" si="12"/>
        <v>4</v>
      </c>
      <c r="BJ61" s="4">
        <f t="shared" si="13"/>
        <v>2</v>
      </c>
      <c r="BK61" s="4">
        <f t="shared" si="14"/>
        <v>4</v>
      </c>
      <c r="BL61" s="4">
        <f t="shared" si="15"/>
        <v>2</v>
      </c>
      <c r="BM61" s="4">
        <f t="shared" si="16"/>
        <v>4</v>
      </c>
      <c r="BN61" s="4">
        <f t="shared" si="17"/>
        <v>4</v>
      </c>
      <c r="BO61" s="4">
        <f t="shared" si="18"/>
        <v>4</v>
      </c>
      <c r="BP61" s="4">
        <f t="shared" si="19"/>
        <v>4</v>
      </c>
      <c r="BQ61" s="4">
        <f t="shared" si="20"/>
        <v>6</v>
      </c>
      <c r="BR61" s="4">
        <f t="shared" si="21"/>
        <v>4</v>
      </c>
      <c r="BS61" s="4">
        <f t="shared" si="22"/>
        <v>4</v>
      </c>
      <c r="BT61" s="4">
        <f t="shared" si="23"/>
        <v>4</v>
      </c>
      <c r="BU61" s="4">
        <f t="shared" si="24"/>
        <v>4</v>
      </c>
      <c r="BV61" s="4" t="str">
        <f t="shared" si="25"/>
        <v>0</v>
      </c>
      <c r="BW61" s="4">
        <f t="shared" si="26"/>
        <v>6</v>
      </c>
      <c r="BX61" s="4">
        <f t="shared" si="27"/>
        <v>0</v>
      </c>
      <c r="BY61" s="4">
        <f t="shared" si="28"/>
        <v>0</v>
      </c>
      <c r="BZ61" s="37">
        <f t="shared" si="29"/>
        <v>100</v>
      </c>
      <c r="CA61" s="32" t="str">
        <f>VLOOKUP(J:J,'Agent wise'!A:C,3,0)</f>
        <v>Amal</v>
      </c>
      <c r="CB61" s="32">
        <f t="shared" si="30"/>
        <v>45932</v>
      </c>
      <c r="CC61" t="str">
        <f t="shared" si="31"/>
        <v>Excellent</v>
      </c>
      <c r="CE61" s="32"/>
      <c r="CJ61">
        <f t="shared" si="35"/>
        <v>2</v>
      </c>
      <c r="CK61">
        <f t="shared" si="36"/>
        <v>10</v>
      </c>
      <c r="CL61">
        <f t="shared" si="37"/>
        <v>2025</v>
      </c>
    </row>
    <row r="62" spans="1:90" ht="15" customHeight="1" x14ac:dyDescent="0.35">
      <c r="A62" s="40">
        <v>45698.719699074078</v>
      </c>
      <c r="B62" t="s">
        <v>250</v>
      </c>
      <c r="C62" t="s">
        <v>214</v>
      </c>
      <c r="D62" t="s">
        <v>251</v>
      </c>
      <c r="E62" s="32">
        <v>45932</v>
      </c>
      <c r="F62" t="s">
        <v>306</v>
      </c>
      <c r="G62" s="2">
        <v>45667</v>
      </c>
      <c r="H62">
        <v>9025504071</v>
      </c>
      <c r="I62">
        <v>161</v>
      </c>
      <c r="J62" t="s">
        <v>149</v>
      </c>
      <c r="K62" t="s">
        <v>71</v>
      </c>
      <c r="L62" t="s">
        <v>72</v>
      </c>
      <c r="M62" t="s">
        <v>60</v>
      </c>
      <c r="N62" t="s">
        <v>59</v>
      </c>
      <c r="O62" t="s">
        <v>59</v>
      </c>
      <c r="P62" t="s">
        <v>59</v>
      </c>
      <c r="Q62" t="s">
        <v>59</v>
      </c>
      <c r="R62" t="s">
        <v>59</v>
      </c>
      <c r="S62" t="s">
        <v>59</v>
      </c>
      <c r="T62" t="s">
        <v>59</v>
      </c>
      <c r="U62" t="s">
        <v>60</v>
      </c>
      <c r="V62" t="s">
        <v>59</v>
      </c>
      <c r="W62" t="s">
        <v>59</v>
      </c>
      <c r="X62" t="s">
        <v>59</v>
      </c>
      <c r="Y62" t="s">
        <v>59</v>
      </c>
      <c r="Z62" t="s">
        <v>59</v>
      </c>
      <c r="AA62" t="s">
        <v>59</v>
      </c>
      <c r="AB62" t="s">
        <v>59</v>
      </c>
      <c r="AC62" t="s">
        <v>59</v>
      </c>
      <c r="AD62" t="s">
        <v>59</v>
      </c>
      <c r="AE62" t="s">
        <v>59</v>
      </c>
      <c r="AF62" t="s">
        <v>59</v>
      </c>
      <c r="AG62" t="s">
        <v>59</v>
      </c>
      <c r="AH62" t="s">
        <v>61</v>
      </c>
      <c r="AI62" t="s">
        <v>61</v>
      </c>
      <c r="AJ62" t="s">
        <v>59</v>
      </c>
      <c r="AK62" t="s">
        <v>59</v>
      </c>
      <c r="AL62" t="s">
        <v>59</v>
      </c>
      <c r="AM62" t="s">
        <v>59</v>
      </c>
      <c r="AN62" t="s">
        <v>59</v>
      </c>
      <c r="AO62" t="s">
        <v>59</v>
      </c>
      <c r="AP62" t="s">
        <v>310</v>
      </c>
      <c r="AQ62" t="s">
        <v>311</v>
      </c>
      <c r="AR62" t="s">
        <v>226</v>
      </c>
      <c r="AS62" t="s">
        <v>309</v>
      </c>
      <c r="AT62" t="s">
        <v>309</v>
      </c>
      <c r="AU62" t="s">
        <v>219</v>
      </c>
      <c r="AW62" s="4" t="str">
        <f t="shared" si="0"/>
        <v>0</v>
      </c>
      <c r="AX62" s="4">
        <f t="shared" si="1"/>
        <v>4</v>
      </c>
      <c r="AY62" s="4">
        <f t="shared" si="2"/>
        <v>4</v>
      </c>
      <c r="AZ62" s="4">
        <f t="shared" si="3"/>
        <v>2</v>
      </c>
      <c r="BA62" s="4">
        <f t="shared" si="4"/>
        <v>4</v>
      </c>
      <c r="BB62" s="4">
        <f t="shared" si="5"/>
        <v>4</v>
      </c>
      <c r="BC62" s="4">
        <f t="shared" si="6"/>
        <v>4</v>
      </c>
      <c r="BD62" s="4">
        <f t="shared" si="7"/>
        <v>2</v>
      </c>
      <c r="BE62" s="4" t="str">
        <f t="shared" si="8"/>
        <v>0</v>
      </c>
      <c r="BF62" s="4">
        <f t="shared" si="9"/>
        <v>2</v>
      </c>
      <c r="BG62" s="4">
        <f t="shared" si="10"/>
        <v>4</v>
      </c>
      <c r="BH62" s="4">
        <f t="shared" si="11"/>
        <v>4</v>
      </c>
      <c r="BI62" s="4">
        <f t="shared" si="12"/>
        <v>4</v>
      </c>
      <c r="BJ62" s="4">
        <f t="shared" si="13"/>
        <v>2</v>
      </c>
      <c r="BK62" s="4">
        <f t="shared" si="14"/>
        <v>4</v>
      </c>
      <c r="BL62" s="4">
        <f t="shared" si="15"/>
        <v>2</v>
      </c>
      <c r="BM62" s="4">
        <f t="shared" si="16"/>
        <v>4</v>
      </c>
      <c r="BN62" s="4">
        <f t="shared" si="17"/>
        <v>4</v>
      </c>
      <c r="BO62" s="4">
        <f t="shared" si="18"/>
        <v>4</v>
      </c>
      <c r="BP62" s="4">
        <f t="shared" si="19"/>
        <v>4</v>
      </c>
      <c r="BQ62" s="4">
        <f t="shared" si="20"/>
        <v>6</v>
      </c>
      <c r="BR62" s="4">
        <f t="shared" si="21"/>
        <v>4</v>
      </c>
      <c r="BS62" s="4">
        <f t="shared" si="22"/>
        <v>4</v>
      </c>
      <c r="BT62" s="4">
        <f t="shared" si="23"/>
        <v>4</v>
      </c>
      <c r="BU62" s="4">
        <f t="shared" si="24"/>
        <v>4</v>
      </c>
      <c r="BV62" s="4">
        <f t="shared" si="25"/>
        <v>0</v>
      </c>
      <c r="BW62" s="4">
        <f t="shared" si="26"/>
        <v>6</v>
      </c>
      <c r="BX62" s="4">
        <f t="shared" si="27"/>
        <v>0</v>
      </c>
      <c r="BY62" s="4">
        <f t="shared" si="28"/>
        <v>0</v>
      </c>
      <c r="BZ62" s="37">
        <f t="shared" si="29"/>
        <v>90</v>
      </c>
      <c r="CA62" s="32" t="str">
        <f>VLOOKUP(J:J,'Agent wise'!A:C,3,0)</f>
        <v>Shakeer</v>
      </c>
      <c r="CB62" s="32">
        <f t="shared" si="30"/>
        <v>45932</v>
      </c>
      <c r="CC62" t="str">
        <f t="shared" si="31"/>
        <v>Good</v>
      </c>
      <c r="CE62" s="32"/>
      <c r="CJ62">
        <f t="shared" si="35"/>
        <v>2</v>
      </c>
      <c r="CK62">
        <f t="shared" si="36"/>
        <v>10</v>
      </c>
      <c r="CL62">
        <f t="shared" si="37"/>
        <v>2025</v>
      </c>
    </row>
    <row r="63" spans="1:90" ht="15" customHeight="1" x14ac:dyDescent="0.35">
      <c r="A63" s="40">
        <v>45698.73064814815</v>
      </c>
      <c r="B63" t="s">
        <v>312</v>
      </c>
      <c r="C63" t="s">
        <v>214</v>
      </c>
      <c r="D63" t="s">
        <v>251</v>
      </c>
      <c r="E63" s="32">
        <v>45932</v>
      </c>
      <c r="F63" t="s">
        <v>222</v>
      </c>
      <c r="G63" s="2">
        <v>45667</v>
      </c>
      <c r="H63">
        <v>8667802700</v>
      </c>
      <c r="I63">
        <v>130</v>
      </c>
      <c r="J63" t="s">
        <v>313</v>
      </c>
      <c r="K63" t="s">
        <v>57</v>
      </c>
      <c r="L63" t="s">
        <v>72</v>
      </c>
      <c r="M63" t="s">
        <v>59</v>
      </c>
      <c r="N63" t="s">
        <v>59</v>
      </c>
      <c r="O63" t="s">
        <v>59</v>
      </c>
      <c r="P63" t="s">
        <v>59</v>
      </c>
      <c r="Q63" t="s">
        <v>59</v>
      </c>
      <c r="R63" t="s">
        <v>59</v>
      </c>
      <c r="S63" t="s">
        <v>59</v>
      </c>
      <c r="T63" t="s">
        <v>59</v>
      </c>
      <c r="U63" t="s">
        <v>60</v>
      </c>
      <c r="V63" t="s">
        <v>59</v>
      </c>
      <c r="W63" t="s">
        <v>59</v>
      </c>
      <c r="X63" t="s">
        <v>59</v>
      </c>
      <c r="Y63" t="s">
        <v>59</v>
      </c>
      <c r="Z63" t="s">
        <v>59</v>
      </c>
      <c r="AA63" t="s">
        <v>59</v>
      </c>
      <c r="AB63" t="s">
        <v>60</v>
      </c>
      <c r="AC63" t="s">
        <v>59</v>
      </c>
      <c r="AD63" t="s">
        <v>59</v>
      </c>
      <c r="AE63" t="s">
        <v>59</v>
      </c>
      <c r="AF63" t="s">
        <v>59</v>
      </c>
      <c r="AG63" t="s">
        <v>59</v>
      </c>
      <c r="AH63" t="s">
        <v>61</v>
      </c>
      <c r="AI63" t="s">
        <v>61</v>
      </c>
      <c r="AJ63" t="s">
        <v>59</v>
      </c>
      <c r="AK63" t="s">
        <v>59</v>
      </c>
      <c r="AL63" t="s">
        <v>60</v>
      </c>
      <c r="AM63" t="s">
        <v>59</v>
      </c>
      <c r="AN63" t="s">
        <v>59</v>
      </c>
      <c r="AO63" t="s">
        <v>59</v>
      </c>
      <c r="AP63" t="s">
        <v>314</v>
      </c>
      <c r="AQ63" t="s">
        <v>315</v>
      </c>
      <c r="AR63" t="s">
        <v>226</v>
      </c>
      <c r="AS63" t="s">
        <v>316</v>
      </c>
      <c r="AT63" t="s">
        <v>316</v>
      </c>
      <c r="AU63" t="s">
        <v>219</v>
      </c>
      <c r="AW63" s="4">
        <f t="shared" si="0"/>
        <v>6</v>
      </c>
      <c r="AX63" s="4">
        <f t="shared" si="1"/>
        <v>4</v>
      </c>
      <c r="AY63" s="4">
        <f t="shared" si="2"/>
        <v>4</v>
      </c>
      <c r="AZ63" s="4">
        <f t="shared" si="3"/>
        <v>2</v>
      </c>
      <c r="BA63" s="4">
        <f t="shared" si="4"/>
        <v>4</v>
      </c>
      <c r="BB63" s="4">
        <f t="shared" si="5"/>
        <v>4</v>
      </c>
      <c r="BC63" s="4">
        <f t="shared" si="6"/>
        <v>4</v>
      </c>
      <c r="BD63" s="4">
        <f t="shared" si="7"/>
        <v>2</v>
      </c>
      <c r="BE63" s="4" t="str">
        <f t="shared" si="8"/>
        <v>0</v>
      </c>
      <c r="BF63" s="4">
        <f t="shared" si="9"/>
        <v>2</v>
      </c>
      <c r="BG63" s="4">
        <f t="shared" si="10"/>
        <v>4</v>
      </c>
      <c r="BH63" s="4">
        <f t="shared" si="11"/>
        <v>4</v>
      </c>
      <c r="BI63" s="4">
        <f t="shared" si="12"/>
        <v>4</v>
      </c>
      <c r="BJ63" s="4">
        <f t="shared" si="13"/>
        <v>2</v>
      </c>
      <c r="BK63" s="4">
        <f t="shared" si="14"/>
        <v>4</v>
      </c>
      <c r="BL63" s="4" t="str">
        <f t="shared" si="15"/>
        <v>0</v>
      </c>
      <c r="BM63" s="4">
        <f t="shared" si="16"/>
        <v>4</v>
      </c>
      <c r="BN63" s="4">
        <f t="shared" si="17"/>
        <v>4</v>
      </c>
      <c r="BO63" s="4">
        <f t="shared" si="18"/>
        <v>4</v>
      </c>
      <c r="BP63" s="4">
        <f t="shared" si="19"/>
        <v>4</v>
      </c>
      <c r="BQ63" s="4">
        <f t="shared" si="20"/>
        <v>6</v>
      </c>
      <c r="BR63" s="4">
        <f t="shared" si="21"/>
        <v>4</v>
      </c>
      <c r="BS63" s="4">
        <f t="shared" si="22"/>
        <v>4</v>
      </c>
      <c r="BT63" s="4">
        <f t="shared" si="23"/>
        <v>4</v>
      </c>
      <c r="BU63" s="4">
        <f t="shared" si="24"/>
        <v>4</v>
      </c>
      <c r="BV63" s="4" t="str">
        <f t="shared" si="25"/>
        <v>0</v>
      </c>
      <c r="BW63" s="4">
        <f t="shared" si="26"/>
        <v>6</v>
      </c>
      <c r="BX63" s="4">
        <f t="shared" si="27"/>
        <v>0</v>
      </c>
      <c r="BY63" s="4">
        <f t="shared" si="28"/>
        <v>0</v>
      </c>
      <c r="BZ63" s="37">
        <f t="shared" si="29"/>
        <v>94</v>
      </c>
      <c r="CA63" s="32" t="str">
        <f>VLOOKUP(J:J,'Agent wise'!A:C,3,0)</f>
        <v>Shakeer</v>
      </c>
      <c r="CB63" s="32">
        <f t="shared" si="30"/>
        <v>45932</v>
      </c>
      <c r="CC63" t="str">
        <f t="shared" si="31"/>
        <v>Good</v>
      </c>
      <c r="CE63" s="32"/>
      <c r="CJ63">
        <f t="shared" si="35"/>
        <v>2</v>
      </c>
      <c r="CK63">
        <f t="shared" si="36"/>
        <v>10</v>
      </c>
      <c r="CL63">
        <f t="shared" si="37"/>
        <v>2025</v>
      </c>
    </row>
    <row r="64" spans="1:90" ht="15" customHeight="1" x14ac:dyDescent="0.35">
      <c r="A64" s="40">
        <v>45698.745127314818</v>
      </c>
      <c r="B64" t="s">
        <v>100</v>
      </c>
      <c r="C64" t="s">
        <v>214</v>
      </c>
      <c r="D64" t="s">
        <v>101</v>
      </c>
      <c r="E64" s="32">
        <v>45932</v>
      </c>
      <c r="F64" t="s">
        <v>54</v>
      </c>
      <c r="G64" s="2">
        <v>45667</v>
      </c>
      <c r="H64">
        <v>7994896695</v>
      </c>
      <c r="I64">
        <v>130</v>
      </c>
      <c r="J64" t="s">
        <v>317</v>
      </c>
      <c r="K64" t="s">
        <v>57</v>
      </c>
      <c r="L64" t="s">
        <v>58</v>
      </c>
      <c r="M64" t="s">
        <v>59</v>
      </c>
      <c r="N64" t="s">
        <v>59</v>
      </c>
      <c r="O64" t="s">
        <v>59</v>
      </c>
      <c r="P64" t="s">
        <v>59</v>
      </c>
      <c r="Q64" t="s">
        <v>59</v>
      </c>
      <c r="R64" t="s">
        <v>59</v>
      </c>
      <c r="S64" t="s">
        <v>59</v>
      </c>
      <c r="T64" t="s">
        <v>59</v>
      </c>
      <c r="U64" t="s">
        <v>59</v>
      </c>
      <c r="V64" t="s">
        <v>59</v>
      </c>
      <c r="W64" t="s">
        <v>59</v>
      </c>
      <c r="X64" t="s">
        <v>59</v>
      </c>
      <c r="Y64" t="s">
        <v>59</v>
      </c>
      <c r="Z64" t="s">
        <v>59</v>
      </c>
      <c r="AA64" t="s">
        <v>60</v>
      </c>
      <c r="AB64" t="s">
        <v>59</v>
      </c>
      <c r="AC64" t="s">
        <v>60</v>
      </c>
      <c r="AD64" t="s">
        <v>59</v>
      </c>
      <c r="AE64" t="s">
        <v>59</v>
      </c>
      <c r="AF64" t="s">
        <v>59</v>
      </c>
      <c r="AG64" t="s">
        <v>59</v>
      </c>
      <c r="AH64" t="s">
        <v>59</v>
      </c>
      <c r="AI64" t="s">
        <v>61</v>
      </c>
      <c r="AJ64" t="s">
        <v>59</v>
      </c>
      <c r="AK64" t="s">
        <v>59</v>
      </c>
      <c r="AL64" t="s">
        <v>59</v>
      </c>
      <c r="AM64" t="s">
        <v>59</v>
      </c>
      <c r="AN64" t="s">
        <v>59</v>
      </c>
      <c r="AO64" t="s">
        <v>59</v>
      </c>
      <c r="AP64" t="s">
        <v>239</v>
      </c>
      <c r="AQ64" s="1" t="s">
        <v>318</v>
      </c>
      <c r="AR64" t="s">
        <v>64</v>
      </c>
      <c r="AS64" t="s">
        <v>319</v>
      </c>
      <c r="AT64" t="s">
        <v>320</v>
      </c>
      <c r="AU64" t="s">
        <v>219</v>
      </c>
      <c r="AW64" s="4">
        <f t="shared" si="0"/>
        <v>6</v>
      </c>
      <c r="AX64" s="4">
        <f t="shared" si="1"/>
        <v>4</v>
      </c>
      <c r="AY64" s="4">
        <f t="shared" si="2"/>
        <v>4</v>
      </c>
      <c r="AZ64" s="4">
        <f t="shared" si="3"/>
        <v>2</v>
      </c>
      <c r="BA64" s="4">
        <f t="shared" si="4"/>
        <v>4</v>
      </c>
      <c r="BB64" s="4">
        <f t="shared" si="5"/>
        <v>4</v>
      </c>
      <c r="BC64" s="4">
        <f t="shared" si="6"/>
        <v>4</v>
      </c>
      <c r="BD64" s="4">
        <f t="shared" si="7"/>
        <v>2</v>
      </c>
      <c r="BE64" s="4">
        <f t="shared" si="8"/>
        <v>4</v>
      </c>
      <c r="BF64" s="4">
        <f t="shared" si="9"/>
        <v>2</v>
      </c>
      <c r="BG64" s="4">
        <f t="shared" si="10"/>
        <v>4</v>
      </c>
      <c r="BH64" s="4">
        <f t="shared" si="11"/>
        <v>4</v>
      </c>
      <c r="BI64" s="4">
        <f t="shared" si="12"/>
        <v>4</v>
      </c>
      <c r="BJ64" s="4">
        <f t="shared" si="13"/>
        <v>2</v>
      </c>
      <c r="BK64" s="4" t="str">
        <f t="shared" si="14"/>
        <v>0</v>
      </c>
      <c r="BL64" s="4">
        <f t="shared" si="15"/>
        <v>2</v>
      </c>
      <c r="BM64" s="4" t="str">
        <f t="shared" si="16"/>
        <v>0</v>
      </c>
      <c r="BN64" s="4">
        <f t="shared" si="17"/>
        <v>4</v>
      </c>
      <c r="BO64" s="4">
        <f t="shared" si="18"/>
        <v>4</v>
      </c>
      <c r="BP64" s="4">
        <f t="shared" si="19"/>
        <v>4</v>
      </c>
      <c r="BQ64" s="4">
        <f t="shared" si="20"/>
        <v>6</v>
      </c>
      <c r="BR64" s="4">
        <f t="shared" si="21"/>
        <v>4</v>
      </c>
      <c r="BS64" s="4">
        <f t="shared" si="22"/>
        <v>4</v>
      </c>
      <c r="BT64" s="4">
        <f t="shared" si="23"/>
        <v>4</v>
      </c>
      <c r="BU64" s="4">
        <f t="shared" si="24"/>
        <v>4</v>
      </c>
      <c r="BV64" s="4">
        <f t="shared" si="25"/>
        <v>0</v>
      </c>
      <c r="BW64" s="4">
        <f t="shared" si="26"/>
        <v>6</v>
      </c>
      <c r="BX64" s="4">
        <f t="shared" si="27"/>
        <v>0</v>
      </c>
      <c r="BY64" s="4">
        <f t="shared" si="28"/>
        <v>0</v>
      </c>
      <c r="BZ64" s="37">
        <f t="shared" si="29"/>
        <v>92</v>
      </c>
      <c r="CA64" s="32" t="str">
        <f>VLOOKUP(J:J,'Agent wise'!A:C,3,0)</f>
        <v>Adharsh</v>
      </c>
      <c r="CB64" s="32">
        <f t="shared" si="30"/>
        <v>45932</v>
      </c>
      <c r="CC64" t="str">
        <f t="shared" si="31"/>
        <v>Good</v>
      </c>
      <c r="CE64" s="32"/>
      <c r="CJ64">
        <f t="shared" si="35"/>
        <v>2</v>
      </c>
      <c r="CK64">
        <f t="shared" si="36"/>
        <v>10</v>
      </c>
      <c r="CL64">
        <f t="shared" si="37"/>
        <v>2025</v>
      </c>
    </row>
    <row r="65" spans="1:90" ht="15" customHeight="1" x14ac:dyDescent="0.35">
      <c r="A65" s="40">
        <v>45698.747060185182</v>
      </c>
      <c r="B65" t="s">
        <v>100</v>
      </c>
      <c r="C65" t="s">
        <v>214</v>
      </c>
      <c r="D65" t="s">
        <v>101</v>
      </c>
      <c r="E65" s="32">
        <v>45932</v>
      </c>
      <c r="F65" t="s">
        <v>54</v>
      </c>
      <c r="G65" s="2">
        <v>45667</v>
      </c>
      <c r="H65">
        <v>9442936353</v>
      </c>
      <c r="I65">
        <v>136</v>
      </c>
      <c r="J65" t="s">
        <v>321</v>
      </c>
      <c r="K65" t="s">
        <v>71</v>
      </c>
      <c r="L65" t="s">
        <v>72</v>
      </c>
      <c r="M65" t="s">
        <v>59</v>
      </c>
      <c r="N65" t="s">
        <v>59</v>
      </c>
      <c r="O65" t="s">
        <v>59</v>
      </c>
      <c r="P65" t="s">
        <v>59</v>
      </c>
      <c r="Q65" t="s">
        <v>59</v>
      </c>
      <c r="R65" t="s">
        <v>60</v>
      </c>
      <c r="S65" t="s">
        <v>59</v>
      </c>
      <c r="T65" t="s">
        <v>59</v>
      </c>
      <c r="U65" t="s">
        <v>59</v>
      </c>
      <c r="V65" t="s">
        <v>59</v>
      </c>
      <c r="W65" t="s">
        <v>59</v>
      </c>
      <c r="X65" t="s">
        <v>59</v>
      </c>
      <c r="Y65" t="s">
        <v>59</v>
      </c>
      <c r="Z65" t="s">
        <v>59</v>
      </c>
      <c r="AA65" t="s">
        <v>60</v>
      </c>
      <c r="AB65" t="s">
        <v>60</v>
      </c>
      <c r="AC65" t="s">
        <v>59</v>
      </c>
      <c r="AD65" t="s">
        <v>59</v>
      </c>
      <c r="AE65" t="s">
        <v>59</v>
      </c>
      <c r="AF65" t="s">
        <v>59</v>
      </c>
      <c r="AG65" t="s">
        <v>60</v>
      </c>
      <c r="AH65" t="s">
        <v>59</v>
      </c>
      <c r="AI65" t="s">
        <v>61</v>
      </c>
      <c r="AJ65" t="s">
        <v>59</v>
      </c>
      <c r="AK65" t="s">
        <v>59</v>
      </c>
      <c r="AL65" t="s">
        <v>59</v>
      </c>
      <c r="AM65" t="s">
        <v>59</v>
      </c>
      <c r="AN65" t="s">
        <v>59</v>
      </c>
      <c r="AO65" t="s">
        <v>59</v>
      </c>
      <c r="AP65" t="s">
        <v>322</v>
      </c>
      <c r="AQ65" s="1" t="s">
        <v>323</v>
      </c>
      <c r="AR65" t="s">
        <v>64</v>
      </c>
      <c r="AS65" t="s">
        <v>324</v>
      </c>
      <c r="AT65" t="s">
        <v>325</v>
      </c>
      <c r="AU65" t="s">
        <v>219</v>
      </c>
      <c r="AW65" s="4">
        <f t="shared" si="0"/>
        <v>6</v>
      </c>
      <c r="AX65" s="4">
        <f t="shared" si="1"/>
        <v>4</v>
      </c>
      <c r="AY65" s="4">
        <f t="shared" si="2"/>
        <v>4</v>
      </c>
      <c r="AZ65" s="4">
        <f t="shared" si="3"/>
        <v>2</v>
      </c>
      <c r="BA65" s="4">
        <f t="shared" si="4"/>
        <v>4</v>
      </c>
      <c r="BB65" s="4" t="str">
        <f t="shared" si="5"/>
        <v>0</v>
      </c>
      <c r="BC65" s="4">
        <f t="shared" si="6"/>
        <v>4</v>
      </c>
      <c r="BD65" s="4">
        <f t="shared" si="7"/>
        <v>2</v>
      </c>
      <c r="BE65" s="4">
        <f t="shared" si="8"/>
        <v>4</v>
      </c>
      <c r="BF65" s="4">
        <f t="shared" si="9"/>
        <v>2</v>
      </c>
      <c r="BG65" s="4">
        <f t="shared" si="10"/>
        <v>4</v>
      </c>
      <c r="BH65" s="4">
        <f t="shared" si="11"/>
        <v>4</v>
      </c>
      <c r="BI65" s="4">
        <f t="shared" si="12"/>
        <v>4</v>
      </c>
      <c r="BJ65" s="4">
        <f t="shared" si="13"/>
        <v>2</v>
      </c>
      <c r="BK65" s="4" t="str">
        <f t="shared" si="14"/>
        <v>0</v>
      </c>
      <c r="BL65" s="4" t="str">
        <f t="shared" si="15"/>
        <v>0</v>
      </c>
      <c r="BM65" s="4">
        <f t="shared" si="16"/>
        <v>4</v>
      </c>
      <c r="BN65" s="4">
        <f t="shared" si="17"/>
        <v>4</v>
      </c>
      <c r="BO65" s="4">
        <f t="shared" si="18"/>
        <v>4</v>
      </c>
      <c r="BP65" s="4">
        <f t="shared" si="19"/>
        <v>4</v>
      </c>
      <c r="BQ65" s="4" t="str">
        <f t="shared" si="20"/>
        <v>0</v>
      </c>
      <c r="BR65" s="4">
        <f t="shared" si="21"/>
        <v>4</v>
      </c>
      <c r="BS65" s="4">
        <f t="shared" si="22"/>
        <v>4</v>
      </c>
      <c r="BT65" s="4">
        <f t="shared" si="23"/>
        <v>4</v>
      </c>
      <c r="BU65" s="4">
        <f t="shared" si="24"/>
        <v>4</v>
      </c>
      <c r="BV65" s="4">
        <f t="shared" si="25"/>
        <v>0</v>
      </c>
      <c r="BW65" s="4">
        <f t="shared" si="26"/>
        <v>6</v>
      </c>
      <c r="BX65" s="4">
        <f t="shared" si="27"/>
        <v>0</v>
      </c>
      <c r="BY65" s="4">
        <f t="shared" si="28"/>
        <v>0</v>
      </c>
      <c r="BZ65" s="37">
        <f t="shared" si="29"/>
        <v>84</v>
      </c>
      <c r="CA65" s="32" t="str">
        <f>VLOOKUP(J:J,'Agent wise'!A:C,3,0)</f>
        <v>Saran S</v>
      </c>
      <c r="CB65" s="32">
        <f t="shared" si="30"/>
        <v>45932</v>
      </c>
      <c r="CC65" t="str">
        <f t="shared" si="31"/>
        <v>FC</v>
      </c>
      <c r="CE65" s="32"/>
      <c r="CJ65">
        <f t="shared" si="35"/>
        <v>2</v>
      </c>
      <c r="CK65">
        <f t="shared" si="36"/>
        <v>10</v>
      </c>
      <c r="CL65">
        <f t="shared" si="37"/>
        <v>2025</v>
      </c>
    </row>
    <row r="66" spans="1:90" ht="15" customHeight="1" x14ac:dyDescent="0.35">
      <c r="A66" s="40">
        <v>45698.749502314808</v>
      </c>
      <c r="B66" t="s">
        <v>100</v>
      </c>
      <c r="C66" t="s">
        <v>214</v>
      </c>
      <c r="D66" t="s">
        <v>101</v>
      </c>
      <c r="E66" s="32">
        <v>45932</v>
      </c>
      <c r="F66" t="s">
        <v>54</v>
      </c>
      <c r="G66" s="2">
        <v>45667</v>
      </c>
      <c r="H66">
        <v>8281710847</v>
      </c>
      <c r="I66">
        <v>174</v>
      </c>
      <c r="J66" t="s">
        <v>326</v>
      </c>
      <c r="K66" t="s">
        <v>57</v>
      </c>
      <c r="L66" t="s">
        <v>58</v>
      </c>
      <c r="M66" t="s">
        <v>59</v>
      </c>
      <c r="N66" t="s">
        <v>59</v>
      </c>
      <c r="O66" t="s">
        <v>59</v>
      </c>
      <c r="P66" t="s">
        <v>59</v>
      </c>
      <c r="Q66" t="s">
        <v>59</v>
      </c>
      <c r="R66" t="s">
        <v>60</v>
      </c>
      <c r="S66" t="s">
        <v>59</v>
      </c>
      <c r="T66" t="s">
        <v>59</v>
      </c>
      <c r="U66" t="s">
        <v>59</v>
      </c>
      <c r="V66" t="s">
        <v>59</v>
      </c>
      <c r="W66" t="s">
        <v>59</v>
      </c>
      <c r="X66" t="s">
        <v>59</v>
      </c>
      <c r="Y66" t="s">
        <v>59</v>
      </c>
      <c r="Z66" t="s">
        <v>59</v>
      </c>
      <c r="AA66" t="s">
        <v>60</v>
      </c>
      <c r="AB66" t="s">
        <v>60</v>
      </c>
      <c r="AC66" t="s">
        <v>59</v>
      </c>
      <c r="AD66" t="s">
        <v>59</v>
      </c>
      <c r="AE66" t="s">
        <v>59</v>
      </c>
      <c r="AF66" t="s">
        <v>59</v>
      </c>
      <c r="AG66" t="s">
        <v>60</v>
      </c>
      <c r="AH66" t="s">
        <v>59</v>
      </c>
      <c r="AI66" t="s">
        <v>61</v>
      </c>
      <c r="AJ66" t="s">
        <v>59</v>
      </c>
      <c r="AK66" t="s">
        <v>59</v>
      </c>
      <c r="AL66" t="s">
        <v>59</v>
      </c>
      <c r="AM66" t="s">
        <v>59</v>
      </c>
      <c r="AN66" t="s">
        <v>59</v>
      </c>
      <c r="AO66" t="s">
        <v>59</v>
      </c>
      <c r="AP66" t="s">
        <v>327</v>
      </c>
      <c r="AQ66" s="1" t="s">
        <v>328</v>
      </c>
      <c r="AR66" t="s">
        <v>64</v>
      </c>
      <c r="AS66" t="s">
        <v>83</v>
      </c>
      <c r="AT66" t="s">
        <v>84</v>
      </c>
      <c r="AU66" t="s">
        <v>219</v>
      </c>
      <c r="AW66" s="4">
        <f t="shared" si="0"/>
        <v>6</v>
      </c>
      <c r="AX66" s="4">
        <f t="shared" si="1"/>
        <v>4</v>
      </c>
      <c r="AY66" s="4">
        <f t="shared" si="2"/>
        <v>4</v>
      </c>
      <c r="AZ66" s="4">
        <f t="shared" si="3"/>
        <v>2</v>
      </c>
      <c r="BA66" s="4">
        <f t="shared" si="4"/>
        <v>4</v>
      </c>
      <c r="BB66" s="4" t="str">
        <f t="shared" si="5"/>
        <v>0</v>
      </c>
      <c r="BC66" s="4">
        <f t="shared" si="6"/>
        <v>4</v>
      </c>
      <c r="BD66" s="4">
        <f t="shared" si="7"/>
        <v>2</v>
      </c>
      <c r="BE66" s="4">
        <f t="shared" si="8"/>
        <v>4</v>
      </c>
      <c r="BF66" s="4">
        <f t="shared" si="9"/>
        <v>2</v>
      </c>
      <c r="BG66" s="4">
        <f t="shared" si="10"/>
        <v>4</v>
      </c>
      <c r="BH66" s="4">
        <f t="shared" si="11"/>
        <v>4</v>
      </c>
      <c r="BI66" s="4">
        <f t="shared" si="12"/>
        <v>4</v>
      </c>
      <c r="BJ66" s="4">
        <f t="shared" si="13"/>
        <v>2</v>
      </c>
      <c r="BK66" s="4" t="str">
        <f t="shared" si="14"/>
        <v>0</v>
      </c>
      <c r="BL66" s="4" t="str">
        <f t="shared" si="15"/>
        <v>0</v>
      </c>
      <c r="BM66" s="4">
        <f t="shared" si="16"/>
        <v>4</v>
      </c>
      <c r="BN66" s="4">
        <f t="shared" si="17"/>
        <v>4</v>
      </c>
      <c r="BO66" s="4">
        <f t="shared" si="18"/>
        <v>4</v>
      </c>
      <c r="BP66" s="4">
        <f t="shared" si="19"/>
        <v>4</v>
      </c>
      <c r="BQ66" s="4" t="str">
        <f t="shared" si="20"/>
        <v>0</v>
      </c>
      <c r="BR66" s="4">
        <f t="shared" si="21"/>
        <v>4</v>
      </c>
      <c r="BS66" s="4">
        <f t="shared" si="22"/>
        <v>4</v>
      </c>
      <c r="BT66" s="4">
        <f t="shared" si="23"/>
        <v>4</v>
      </c>
      <c r="BU66" s="4">
        <f t="shared" si="24"/>
        <v>4</v>
      </c>
      <c r="BV66" s="4">
        <f t="shared" si="25"/>
        <v>0</v>
      </c>
      <c r="BW66" s="4">
        <f t="shared" si="26"/>
        <v>6</v>
      </c>
      <c r="BX66" s="4">
        <f t="shared" si="27"/>
        <v>0</v>
      </c>
      <c r="BY66" s="4">
        <f t="shared" si="28"/>
        <v>0</v>
      </c>
      <c r="BZ66" s="37">
        <f t="shared" si="29"/>
        <v>84</v>
      </c>
      <c r="CA66" s="32" t="str">
        <f>VLOOKUP(J:J,'Agent wise'!A:C,3,0)</f>
        <v>Saran S</v>
      </c>
      <c r="CB66" s="32">
        <f t="shared" si="30"/>
        <v>45932</v>
      </c>
      <c r="CC66" t="str">
        <f t="shared" si="31"/>
        <v>FC</v>
      </c>
      <c r="CE66" s="32"/>
      <c r="CJ66">
        <f t="shared" si="35"/>
        <v>2</v>
      </c>
      <c r="CK66">
        <f t="shared" si="36"/>
        <v>10</v>
      </c>
      <c r="CL66">
        <f t="shared" si="37"/>
        <v>2025</v>
      </c>
    </row>
    <row r="67" spans="1:90" ht="15" customHeight="1" x14ac:dyDescent="0.35">
      <c r="A67" s="40">
        <v>45698.751331018517</v>
      </c>
      <c r="B67" t="s">
        <v>250</v>
      </c>
      <c r="C67" t="s">
        <v>214</v>
      </c>
      <c r="D67" t="s">
        <v>251</v>
      </c>
      <c r="E67" s="32">
        <v>45932</v>
      </c>
      <c r="F67" t="s">
        <v>222</v>
      </c>
      <c r="G67" s="2">
        <v>45667</v>
      </c>
      <c r="H67">
        <v>9447347765</v>
      </c>
      <c r="I67">
        <v>155</v>
      </c>
      <c r="J67" t="s">
        <v>242</v>
      </c>
      <c r="K67" t="s">
        <v>57</v>
      </c>
      <c r="L67" t="s">
        <v>58</v>
      </c>
      <c r="M67" t="s">
        <v>59</v>
      </c>
      <c r="N67" t="s">
        <v>59</v>
      </c>
      <c r="O67" t="s">
        <v>59</v>
      </c>
      <c r="P67" t="s">
        <v>59</v>
      </c>
      <c r="Q67" t="s">
        <v>59</v>
      </c>
      <c r="R67" t="s">
        <v>59</v>
      </c>
      <c r="S67" t="s">
        <v>59</v>
      </c>
      <c r="T67" t="s">
        <v>59</v>
      </c>
      <c r="U67" t="s">
        <v>60</v>
      </c>
      <c r="V67" t="s">
        <v>59</v>
      </c>
      <c r="W67" t="s">
        <v>59</v>
      </c>
      <c r="X67" t="s">
        <v>59</v>
      </c>
      <c r="Y67" t="s">
        <v>60</v>
      </c>
      <c r="Z67" t="s">
        <v>60</v>
      </c>
      <c r="AA67" t="s">
        <v>59</v>
      </c>
      <c r="AB67" t="s">
        <v>59</v>
      </c>
      <c r="AC67" t="s">
        <v>59</v>
      </c>
      <c r="AD67" t="s">
        <v>59</v>
      </c>
      <c r="AE67" t="s">
        <v>59</v>
      </c>
      <c r="AF67" t="s">
        <v>59</v>
      </c>
      <c r="AG67" t="s">
        <v>59</v>
      </c>
      <c r="AH67" t="s">
        <v>61</v>
      </c>
      <c r="AI67" t="s">
        <v>61</v>
      </c>
      <c r="AJ67" t="s">
        <v>59</v>
      </c>
      <c r="AK67" t="s">
        <v>59</v>
      </c>
      <c r="AL67" t="s">
        <v>60</v>
      </c>
      <c r="AM67" t="s">
        <v>59</v>
      </c>
      <c r="AN67" t="s">
        <v>59</v>
      </c>
      <c r="AO67" t="s">
        <v>59</v>
      </c>
      <c r="AP67" t="s">
        <v>329</v>
      </c>
      <c r="AQ67" t="s">
        <v>330</v>
      </c>
      <c r="AR67" t="s">
        <v>64</v>
      </c>
      <c r="AS67" t="s">
        <v>249</v>
      </c>
      <c r="AT67" t="s">
        <v>331</v>
      </c>
      <c r="AU67" t="s">
        <v>219</v>
      </c>
      <c r="AW67" s="4">
        <f t="shared" ref="AW67:AW130" si="38">IF(OR(M67="YES", M67="Not Applicable"), AW$1, "0")</f>
        <v>6</v>
      </c>
      <c r="AX67" s="4">
        <f t="shared" ref="AX67:AX130" si="39">IF(OR(N67="YES", N67="Not Applicable"), AX$1, "0")</f>
        <v>4</v>
      </c>
      <c r="AY67" s="4">
        <f t="shared" ref="AY67:AY130" si="40">IF(OR(O67="YES", O67="Not Applicable"), AY$1, "0")</f>
        <v>4</v>
      </c>
      <c r="AZ67" s="4">
        <f t="shared" ref="AZ67:AZ130" si="41">IF(OR(P67="YES", P67="Not Applicable"), AZ$1, "0")</f>
        <v>2</v>
      </c>
      <c r="BA67" s="4">
        <f t="shared" ref="BA67:BA130" si="42">IF(OR(Q67="YES", Q67="Not Applicable"), BA$1, "0")</f>
        <v>4</v>
      </c>
      <c r="BB67" s="4">
        <f t="shared" ref="BB67:BB130" si="43">IF(OR(R67="YES", R67="Not Applicable"), BB$1, "0")</f>
        <v>4</v>
      </c>
      <c r="BC67" s="4">
        <f t="shared" ref="BC67:BC130" si="44">IF(OR(S67="YES", S67="Not Applicable"), BC$1, "0")</f>
        <v>4</v>
      </c>
      <c r="BD67" s="4">
        <f t="shared" ref="BD67:BD130" si="45">IF(OR(T67="YES", T67="Not Applicable"), BD$1, "0")</f>
        <v>2</v>
      </c>
      <c r="BE67" s="4" t="str">
        <f t="shared" ref="BE67:BE130" si="46">IF(OR(U67="YES", U67="Not Applicable"), BE$1, "0")</f>
        <v>0</v>
      </c>
      <c r="BF67" s="4">
        <f t="shared" ref="BF67:BF130" si="47">IF(OR(V67="YES", V67="Not Applicable"), BF$1, "0")</f>
        <v>2</v>
      </c>
      <c r="BG67" s="4">
        <f t="shared" ref="BG67:BG130" si="48">IF(OR(W67="YES", W67="Not Applicable"), BG$1, "0")</f>
        <v>4</v>
      </c>
      <c r="BH67" s="4">
        <f t="shared" ref="BH67:BH130" si="49">IF(OR(X67="YES", X67="Not Applicable"), BH$1, "0")</f>
        <v>4</v>
      </c>
      <c r="BI67" s="4" t="str">
        <f t="shared" ref="BI67:BI130" si="50">IF(OR(Y67="YES", Y67="Not Applicable"), BI$1, "0")</f>
        <v>0</v>
      </c>
      <c r="BJ67" s="4" t="str">
        <f t="shared" ref="BJ67:BJ130" si="51">IF(OR(Z67="YES", Z67="Not Applicable"), BJ$1, "0")</f>
        <v>0</v>
      </c>
      <c r="BK67" s="4">
        <f t="shared" ref="BK67:BK130" si="52">IF(OR(AA67="YES", AA67="Not Applicable"), BK$1, "0")</f>
        <v>4</v>
      </c>
      <c r="BL67" s="4">
        <f t="shared" ref="BL67:BL130" si="53">IF(OR(AB67="YES", AB67="Not Applicable"), BL$1, "0")</f>
        <v>2</v>
      </c>
      <c r="BM67" s="4">
        <f t="shared" ref="BM67:BM130" si="54">IF(OR(AC67="YES", AC67="Not Applicable"), BM$1, "0")</f>
        <v>4</v>
      </c>
      <c r="BN67" s="4">
        <f t="shared" ref="BN67:BN130" si="55">IF(OR(AD67="YES", AD67="Not Applicable"), BN$1, "0")</f>
        <v>4</v>
      </c>
      <c r="BO67" s="4">
        <f t="shared" ref="BO67:BO130" si="56">IF(OR(AE67="YES", AE67="Not Applicable"), BO$1, "0")</f>
        <v>4</v>
      </c>
      <c r="BP67" s="4">
        <f t="shared" ref="BP67:BP130" si="57">IF(OR(AF67="YES", AF67="Not Applicable"), BP$1, "0")</f>
        <v>4</v>
      </c>
      <c r="BQ67" s="4">
        <f t="shared" ref="BQ67:BQ130" si="58">IF(OR(AG67="YES", AG67="Not Applicable"), BQ$1, "0")</f>
        <v>6</v>
      </c>
      <c r="BR67" s="4">
        <f t="shared" ref="BR67:BR130" si="59">IF(OR(AH67="YES", AH67="Not Applicable"), BR$1, "0")</f>
        <v>4</v>
      </c>
      <c r="BS67" s="4">
        <f t="shared" ref="BS67:BS130" si="60">IF(OR(AI67="YES", AI67="Not Applicable"), BS$1, "0")</f>
        <v>4</v>
      </c>
      <c r="BT67" s="4">
        <f t="shared" ref="BT67:BT130" si="61">IF(OR(AJ67="YES", AJ67="Not Applicable"), BT$1, "0")</f>
        <v>4</v>
      </c>
      <c r="BU67" s="4">
        <f t="shared" ref="BU67:BU130" si="62">IF(OR(AK67="YES", AK67="Not Applicable"), BU$1, "0")</f>
        <v>4</v>
      </c>
      <c r="BV67" s="4" t="str">
        <f t="shared" ref="BV67:BV130" si="63">IF(OR(AL67="YES", AL67="Not Applicable"), BV$1, "0")</f>
        <v>0</v>
      </c>
      <c r="BW67" s="4">
        <f t="shared" ref="BW67:BW130" si="64">IF(OR(AM67="YES", AM67="Not Applicable"), BW$1, "0")</f>
        <v>6</v>
      </c>
      <c r="BX67" s="4">
        <f t="shared" ref="BX67:BX130" si="65">IF(OR(AN67="YES", AN67="Not Applicable"), BX$1, "0")</f>
        <v>0</v>
      </c>
      <c r="BY67" s="4">
        <f t="shared" ref="BY67:BY130" si="66">IF(OR(AO67="YES", AO67="Not Applicable"), BY$1, "0")</f>
        <v>0</v>
      </c>
      <c r="BZ67" s="37">
        <f t="shared" ref="BZ67:BZ130" si="67">SUM(AW67:BY67)</f>
        <v>90</v>
      </c>
      <c r="CA67" s="32" t="str">
        <f>VLOOKUP(J:J,'Agent wise'!A:C,3,0)</f>
        <v>Amal</v>
      </c>
      <c r="CB67" s="32">
        <f t="shared" ref="CB67:CB130" si="68">INT(E67)</f>
        <v>45932</v>
      </c>
      <c r="CC67" t="str">
        <f t="shared" ref="CC67:CC130" si="69">IF(BZ67&gt;=94.5, "Excellent", IF(BZ67&gt;89.5, "Good", IF(BZ67&gt;84.5, "Average", "FC")))</f>
        <v>Good</v>
      </c>
      <c r="CE67" s="32"/>
      <c r="CJ67">
        <f t="shared" si="35"/>
        <v>2</v>
      </c>
      <c r="CK67">
        <f t="shared" si="36"/>
        <v>10</v>
      </c>
      <c r="CL67">
        <f t="shared" si="37"/>
        <v>2025</v>
      </c>
    </row>
    <row r="68" spans="1:90" ht="15" customHeight="1" x14ac:dyDescent="0.35">
      <c r="A68" s="40">
        <v>45698.751539351862</v>
      </c>
      <c r="B68" t="s">
        <v>100</v>
      </c>
      <c r="C68" t="s">
        <v>214</v>
      </c>
      <c r="D68" t="s">
        <v>101</v>
      </c>
      <c r="E68" s="32">
        <v>45932</v>
      </c>
      <c r="F68" t="s">
        <v>54</v>
      </c>
      <c r="G68" s="2">
        <v>45667</v>
      </c>
      <c r="H68">
        <v>7994896695</v>
      </c>
      <c r="I68">
        <v>130</v>
      </c>
      <c r="J68" t="s">
        <v>317</v>
      </c>
      <c r="K68" t="s">
        <v>57</v>
      </c>
      <c r="L68" t="s">
        <v>58</v>
      </c>
      <c r="M68" t="s">
        <v>60</v>
      </c>
      <c r="N68" t="s">
        <v>59</v>
      </c>
      <c r="O68" t="s">
        <v>59</v>
      </c>
      <c r="P68" t="s">
        <v>59</v>
      </c>
      <c r="Q68" t="s">
        <v>59</v>
      </c>
      <c r="R68" t="s">
        <v>60</v>
      </c>
      <c r="S68" t="s">
        <v>59</v>
      </c>
      <c r="T68" t="s">
        <v>59</v>
      </c>
      <c r="U68" t="s">
        <v>59</v>
      </c>
      <c r="V68" t="s">
        <v>59</v>
      </c>
      <c r="W68" t="s">
        <v>59</v>
      </c>
      <c r="X68" t="s">
        <v>59</v>
      </c>
      <c r="Y68" t="s">
        <v>59</v>
      </c>
      <c r="Z68" t="s">
        <v>59</v>
      </c>
      <c r="AA68" t="s">
        <v>60</v>
      </c>
      <c r="AB68" t="s">
        <v>60</v>
      </c>
      <c r="AC68" t="s">
        <v>59</v>
      </c>
      <c r="AD68" t="s">
        <v>59</v>
      </c>
      <c r="AE68" t="s">
        <v>59</v>
      </c>
      <c r="AF68" t="s">
        <v>59</v>
      </c>
      <c r="AG68" t="s">
        <v>59</v>
      </c>
      <c r="AH68" t="s">
        <v>59</v>
      </c>
      <c r="AI68" t="s">
        <v>61</v>
      </c>
      <c r="AJ68" t="s">
        <v>59</v>
      </c>
      <c r="AK68" t="s">
        <v>59</v>
      </c>
      <c r="AL68" t="s">
        <v>59</v>
      </c>
      <c r="AM68" t="s">
        <v>59</v>
      </c>
      <c r="AN68" t="s">
        <v>59</v>
      </c>
      <c r="AO68" t="s">
        <v>59</v>
      </c>
      <c r="AP68" t="s">
        <v>332</v>
      </c>
      <c r="AQ68" s="1" t="s">
        <v>333</v>
      </c>
      <c r="AR68" t="s">
        <v>64</v>
      </c>
      <c r="AS68" t="s">
        <v>175</v>
      </c>
      <c r="AT68" t="s">
        <v>334</v>
      </c>
      <c r="AU68" t="s">
        <v>219</v>
      </c>
      <c r="AW68" s="4" t="str">
        <f t="shared" si="38"/>
        <v>0</v>
      </c>
      <c r="AX68" s="4">
        <f t="shared" si="39"/>
        <v>4</v>
      </c>
      <c r="AY68" s="4">
        <f t="shared" si="40"/>
        <v>4</v>
      </c>
      <c r="AZ68" s="4">
        <f t="shared" si="41"/>
        <v>2</v>
      </c>
      <c r="BA68" s="4">
        <f t="shared" si="42"/>
        <v>4</v>
      </c>
      <c r="BB68" s="4" t="str">
        <f t="shared" si="43"/>
        <v>0</v>
      </c>
      <c r="BC68" s="4">
        <f t="shared" si="44"/>
        <v>4</v>
      </c>
      <c r="BD68" s="4">
        <f t="shared" si="45"/>
        <v>2</v>
      </c>
      <c r="BE68" s="4">
        <f t="shared" si="46"/>
        <v>4</v>
      </c>
      <c r="BF68" s="4">
        <f t="shared" si="47"/>
        <v>2</v>
      </c>
      <c r="BG68" s="4">
        <f t="shared" si="48"/>
        <v>4</v>
      </c>
      <c r="BH68" s="4">
        <f t="shared" si="49"/>
        <v>4</v>
      </c>
      <c r="BI68" s="4">
        <f t="shared" si="50"/>
        <v>4</v>
      </c>
      <c r="BJ68" s="4">
        <f t="shared" si="51"/>
        <v>2</v>
      </c>
      <c r="BK68" s="4" t="str">
        <f t="shared" si="52"/>
        <v>0</v>
      </c>
      <c r="BL68" s="4" t="str">
        <f t="shared" si="53"/>
        <v>0</v>
      </c>
      <c r="BM68" s="4">
        <f t="shared" si="54"/>
        <v>4</v>
      </c>
      <c r="BN68" s="4">
        <f t="shared" si="55"/>
        <v>4</v>
      </c>
      <c r="BO68" s="4">
        <f t="shared" si="56"/>
        <v>4</v>
      </c>
      <c r="BP68" s="4">
        <f t="shared" si="57"/>
        <v>4</v>
      </c>
      <c r="BQ68" s="4">
        <f t="shared" si="58"/>
        <v>6</v>
      </c>
      <c r="BR68" s="4">
        <f t="shared" si="59"/>
        <v>4</v>
      </c>
      <c r="BS68" s="4">
        <f t="shared" si="60"/>
        <v>4</v>
      </c>
      <c r="BT68" s="4">
        <f t="shared" si="61"/>
        <v>4</v>
      </c>
      <c r="BU68" s="4">
        <f t="shared" si="62"/>
        <v>4</v>
      </c>
      <c r="BV68" s="4">
        <f t="shared" si="63"/>
        <v>0</v>
      </c>
      <c r="BW68" s="4">
        <f t="shared" si="64"/>
        <v>6</v>
      </c>
      <c r="BX68" s="4">
        <f t="shared" si="65"/>
        <v>0</v>
      </c>
      <c r="BY68" s="4">
        <f t="shared" si="66"/>
        <v>0</v>
      </c>
      <c r="BZ68" s="37">
        <f t="shared" si="67"/>
        <v>84</v>
      </c>
      <c r="CA68" s="32" t="str">
        <f>VLOOKUP(J:J,'Agent wise'!A:C,3,0)</f>
        <v>Adharsh</v>
      </c>
      <c r="CB68" s="32">
        <f t="shared" si="68"/>
        <v>45932</v>
      </c>
      <c r="CC68" t="str">
        <f t="shared" si="69"/>
        <v>FC</v>
      </c>
      <c r="CE68" s="32"/>
      <c r="CJ68">
        <f t="shared" ref="CJ68:CJ131" si="70">DAY(E68)</f>
        <v>2</v>
      </c>
      <c r="CK68">
        <f t="shared" ref="CK68:CK131" si="71">MONTH(E68)</f>
        <v>10</v>
      </c>
      <c r="CL68">
        <f t="shared" ref="CL68:CL131" si="72">YEAR(E68)</f>
        <v>2025</v>
      </c>
    </row>
    <row r="69" spans="1:90" ht="15" customHeight="1" x14ac:dyDescent="0.35">
      <c r="A69" s="40">
        <v>45698.75403935185</v>
      </c>
      <c r="B69" t="s">
        <v>100</v>
      </c>
      <c r="C69" t="s">
        <v>214</v>
      </c>
      <c r="D69" t="s">
        <v>101</v>
      </c>
      <c r="E69" s="32">
        <v>45932</v>
      </c>
      <c r="F69" t="s">
        <v>54</v>
      </c>
      <c r="G69" s="2">
        <v>45667</v>
      </c>
      <c r="H69">
        <v>8903856300</v>
      </c>
      <c r="I69">
        <v>130</v>
      </c>
      <c r="J69" t="s">
        <v>335</v>
      </c>
      <c r="K69" t="s">
        <v>71</v>
      </c>
      <c r="L69" t="s">
        <v>72</v>
      </c>
      <c r="M69" t="s">
        <v>59</v>
      </c>
      <c r="N69" t="s">
        <v>59</v>
      </c>
      <c r="O69" t="s">
        <v>59</v>
      </c>
      <c r="P69" t="s">
        <v>59</v>
      </c>
      <c r="Q69" t="s">
        <v>59</v>
      </c>
      <c r="R69" t="s">
        <v>59</v>
      </c>
      <c r="S69" t="s">
        <v>59</v>
      </c>
      <c r="T69" t="s">
        <v>59</v>
      </c>
      <c r="U69" t="s">
        <v>59</v>
      </c>
      <c r="V69" t="s">
        <v>59</v>
      </c>
      <c r="W69" t="s">
        <v>59</v>
      </c>
      <c r="X69" t="s">
        <v>59</v>
      </c>
      <c r="Y69" t="s">
        <v>59</v>
      </c>
      <c r="Z69" t="s">
        <v>59</v>
      </c>
      <c r="AA69" t="s">
        <v>60</v>
      </c>
      <c r="AB69" t="s">
        <v>60</v>
      </c>
      <c r="AC69" t="s">
        <v>59</v>
      </c>
      <c r="AD69" t="s">
        <v>59</v>
      </c>
      <c r="AE69" t="s">
        <v>59</v>
      </c>
      <c r="AF69" t="s">
        <v>59</v>
      </c>
      <c r="AG69" t="s">
        <v>59</v>
      </c>
      <c r="AH69" t="s">
        <v>59</v>
      </c>
      <c r="AI69" t="s">
        <v>61</v>
      </c>
      <c r="AJ69" t="s">
        <v>59</v>
      </c>
      <c r="AK69" t="s">
        <v>59</v>
      </c>
      <c r="AL69" t="s">
        <v>59</v>
      </c>
      <c r="AM69" t="s">
        <v>59</v>
      </c>
      <c r="AN69" t="s">
        <v>59</v>
      </c>
      <c r="AO69" t="s">
        <v>60</v>
      </c>
      <c r="AP69" t="s">
        <v>336</v>
      </c>
      <c r="AQ69" s="1" t="s">
        <v>337</v>
      </c>
      <c r="AR69" t="s">
        <v>64</v>
      </c>
      <c r="AS69" t="s">
        <v>338</v>
      </c>
      <c r="AT69" t="s">
        <v>334</v>
      </c>
      <c r="AU69" t="s">
        <v>219</v>
      </c>
      <c r="AW69" s="4">
        <f t="shared" si="38"/>
        <v>6</v>
      </c>
      <c r="AX69" s="4">
        <f t="shared" si="39"/>
        <v>4</v>
      </c>
      <c r="AY69" s="4">
        <f t="shared" si="40"/>
        <v>4</v>
      </c>
      <c r="AZ69" s="4">
        <f t="shared" si="41"/>
        <v>2</v>
      </c>
      <c r="BA69" s="4">
        <f t="shared" si="42"/>
        <v>4</v>
      </c>
      <c r="BB69" s="4">
        <f t="shared" si="43"/>
        <v>4</v>
      </c>
      <c r="BC69" s="4">
        <f t="shared" si="44"/>
        <v>4</v>
      </c>
      <c r="BD69" s="4">
        <f t="shared" si="45"/>
        <v>2</v>
      </c>
      <c r="BE69" s="4">
        <f t="shared" si="46"/>
        <v>4</v>
      </c>
      <c r="BF69" s="4">
        <f t="shared" si="47"/>
        <v>2</v>
      </c>
      <c r="BG69" s="4">
        <f t="shared" si="48"/>
        <v>4</v>
      </c>
      <c r="BH69" s="4">
        <f t="shared" si="49"/>
        <v>4</v>
      </c>
      <c r="BI69" s="4">
        <f t="shared" si="50"/>
        <v>4</v>
      </c>
      <c r="BJ69" s="4">
        <f t="shared" si="51"/>
        <v>2</v>
      </c>
      <c r="BK69" s="4" t="str">
        <f t="shared" si="52"/>
        <v>0</v>
      </c>
      <c r="BL69" s="4" t="str">
        <f t="shared" si="53"/>
        <v>0</v>
      </c>
      <c r="BM69" s="4">
        <f t="shared" si="54"/>
        <v>4</v>
      </c>
      <c r="BN69" s="4">
        <f t="shared" si="55"/>
        <v>4</v>
      </c>
      <c r="BO69" s="4">
        <f t="shared" si="56"/>
        <v>4</v>
      </c>
      <c r="BP69" s="4">
        <f t="shared" si="57"/>
        <v>4</v>
      </c>
      <c r="BQ69" s="4">
        <f t="shared" si="58"/>
        <v>6</v>
      </c>
      <c r="BR69" s="4">
        <f t="shared" si="59"/>
        <v>4</v>
      </c>
      <c r="BS69" s="4">
        <f t="shared" si="60"/>
        <v>4</v>
      </c>
      <c r="BT69" s="4">
        <f t="shared" si="61"/>
        <v>4</v>
      </c>
      <c r="BU69" s="4">
        <f t="shared" si="62"/>
        <v>4</v>
      </c>
      <c r="BV69" s="4">
        <f t="shared" si="63"/>
        <v>0</v>
      </c>
      <c r="BW69" s="4">
        <f t="shared" si="64"/>
        <v>6</v>
      </c>
      <c r="BX69" s="4">
        <f t="shared" si="65"/>
        <v>0</v>
      </c>
      <c r="BY69" s="4" t="str">
        <f t="shared" si="66"/>
        <v>0</v>
      </c>
      <c r="BZ69" s="37">
        <f t="shared" si="67"/>
        <v>94</v>
      </c>
      <c r="CA69" s="32" t="str">
        <f>VLOOKUP(J:J,'Agent wise'!A:C,3,0)</f>
        <v xml:space="preserve">Shiny </v>
      </c>
      <c r="CB69" s="32">
        <f t="shared" si="68"/>
        <v>45932</v>
      </c>
      <c r="CC69" t="str">
        <f t="shared" si="69"/>
        <v>Good</v>
      </c>
      <c r="CE69" s="32"/>
      <c r="CJ69">
        <f t="shared" si="70"/>
        <v>2</v>
      </c>
      <c r="CK69">
        <f t="shared" si="71"/>
        <v>10</v>
      </c>
      <c r="CL69">
        <f t="shared" si="72"/>
        <v>2025</v>
      </c>
    </row>
    <row r="70" spans="1:90" ht="15" customHeight="1" x14ac:dyDescent="0.35">
      <c r="A70" s="40">
        <v>45698.756053240737</v>
      </c>
      <c r="B70" t="s">
        <v>100</v>
      </c>
      <c r="C70" t="s">
        <v>214</v>
      </c>
      <c r="D70" t="s">
        <v>101</v>
      </c>
      <c r="E70" s="32">
        <v>45932</v>
      </c>
      <c r="F70" t="s">
        <v>54</v>
      </c>
      <c r="G70" s="2">
        <v>45667</v>
      </c>
      <c r="H70">
        <v>9787854860</v>
      </c>
      <c r="I70">
        <v>134</v>
      </c>
      <c r="J70" t="s">
        <v>173</v>
      </c>
      <c r="K70" t="s">
        <v>57</v>
      </c>
      <c r="L70" t="s">
        <v>58</v>
      </c>
      <c r="M70" t="s">
        <v>59</v>
      </c>
      <c r="N70" t="s">
        <v>59</v>
      </c>
      <c r="O70" t="s">
        <v>59</v>
      </c>
      <c r="P70" t="s">
        <v>59</v>
      </c>
      <c r="Q70" t="s">
        <v>59</v>
      </c>
      <c r="R70" t="s">
        <v>59</v>
      </c>
      <c r="S70" t="s">
        <v>59</v>
      </c>
      <c r="T70" t="s">
        <v>59</v>
      </c>
      <c r="U70" t="s">
        <v>59</v>
      </c>
      <c r="V70" t="s">
        <v>59</v>
      </c>
      <c r="W70" t="s">
        <v>59</v>
      </c>
      <c r="X70" t="s">
        <v>59</v>
      </c>
      <c r="Y70" t="s">
        <v>59</v>
      </c>
      <c r="Z70" t="s">
        <v>59</v>
      </c>
      <c r="AA70" t="s">
        <v>60</v>
      </c>
      <c r="AB70" t="s">
        <v>60</v>
      </c>
      <c r="AC70" t="s">
        <v>60</v>
      </c>
      <c r="AD70" t="s">
        <v>61</v>
      </c>
      <c r="AE70" t="s">
        <v>59</v>
      </c>
      <c r="AF70" t="s">
        <v>59</v>
      </c>
      <c r="AG70" t="s">
        <v>59</v>
      </c>
      <c r="AH70" t="s">
        <v>59</v>
      </c>
      <c r="AI70" t="s">
        <v>61</v>
      </c>
      <c r="AJ70" t="s">
        <v>59</v>
      </c>
      <c r="AK70" t="s">
        <v>59</v>
      </c>
      <c r="AL70" t="s">
        <v>59</v>
      </c>
      <c r="AM70" t="s">
        <v>59</v>
      </c>
      <c r="AN70" t="s">
        <v>59</v>
      </c>
      <c r="AO70" t="s">
        <v>59</v>
      </c>
      <c r="AP70" t="s">
        <v>339</v>
      </c>
      <c r="AQ70" s="1" t="s">
        <v>340</v>
      </c>
      <c r="AR70" t="s">
        <v>64</v>
      </c>
      <c r="AS70" t="s">
        <v>89</v>
      </c>
      <c r="AT70" t="s">
        <v>105</v>
      </c>
      <c r="AU70" t="s">
        <v>219</v>
      </c>
      <c r="AW70" s="4">
        <f t="shared" si="38"/>
        <v>6</v>
      </c>
      <c r="AX70" s="4">
        <f t="shared" si="39"/>
        <v>4</v>
      </c>
      <c r="AY70" s="4">
        <f t="shared" si="40"/>
        <v>4</v>
      </c>
      <c r="AZ70" s="4">
        <f t="shared" si="41"/>
        <v>2</v>
      </c>
      <c r="BA70" s="4">
        <f t="shared" si="42"/>
        <v>4</v>
      </c>
      <c r="BB70" s="4">
        <f t="shared" si="43"/>
        <v>4</v>
      </c>
      <c r="BC70" s="4">
        <f t="shared" si="44"/>
        <v>4</v>
      </c>
      <c r="BD70" s="4">
        <f t="shared" si="45"/>
        <v>2</v>
      </c>
      <c r="BE70" s="4">
        <f t="shared" si="46"/>
        <v>4</v>
      </c>
      <c r="BF70" s="4">
        <f t="shared" si="47"/>
        <v>2</v>
      </c>
      <c r="BG70" s="4">
        <f t="shared" si="48"/>
        <v>4</v>
      </c>
      <c r="BH70" s="4">
        <f t="shared" si="49"/>
        <v>4</v>
      </c>
      <c r="BI70" s="4">
        <f t="shared" si="50"/>
        <v>4</v>
      </c>
      <c r="BJ70" s="4">
        <f t="shared" si="51"/>
        <v>2</v>
      </c>
      <c r="BK70" s="4" t="str">
        <f t="shared" si="52"/>
        <v>0</v>
      </c>
      <c r="BL70" s="4" t="str">
        <f t="shared" si="53"/>
        <v>0</v>
      </c>
      <c r="BM70" s="4" t="str">
        <f t="shared" si="54"/>
        <v>0</v>
      </c>
      <c r="BN70" s="4">
        <f t="shared" si="55"/>
        <v>4</v>
      </c>
      <c r="BO70" s="4">
        <f t="shared" si="56"/>
        <v>4</v>
      </c>
      <c r="BP70" s="4">
        <f t="shared" si="57"/>
        <v>4</v>
      </c>
      <c r="BQ70" s="4">
        <f t="shared" si="58"/>
        <v>6</v>
      </c>
      <c r="BR70" s="4">
        <f t="shared" si="59"/>
        <v>4</v>
      </c>
      <c r="BS70" s="4">
        <f t="shared" si="60"/>
        <v>4</v>
      </c>
      <c r="BT70" s="4">
        <f t="shared" si="61"/>
        <v>4</v>
      </c>
      <c r="BU70" s="4">
        <f t="shared" si="62"/>
        <v>4</v>
      </c>
      <c r="BV70" s="4">
        <f t="shared" si="63"/>
        <v>0</v>
      </c>
      <c r="BW70" s="4">
        <f t="shared" si="64"/>
        <v>6</v>
      </c>
      <c r="BX70" s="4">
        <f t="shared" si="65"/>
        <v>0</v>
      </c>
      <c r="BY70" s="4">
        <f t="shared" si="66"/>
        <v>0</v>
      </c>
      <c r="BZ70" s="37">
        <f t="shared" si="67"/>
        <v>90</v>
      </c>
      <c r="CA70" s="32" t="str">
        <f>VLOOKUP(J:J,'Agent wise'!A:C,3,0)</f>
        <v>Shakeer</v>
      </c>
      <c r="CB70" s="32">
        <f t="shared" si="68"/>
        <v>45932</v>
      </c>
      <c r="CC70" t="str">
        <f t="shared" si="69"/>
        <v>Good</v>
      </c>
      <c r="CE70" s="32"/>
      <c r="CJ70">
        <f t="shared" si="70"/>
        <v>2</v>
      </c>
      <c r="CK70">
        <f t="shared" si="71"/>
        <v>10</v>
      </c>
      <c r="CL70">
        <f t="shared" si="72"/>
        <v>2025</v>
      </c>
    </row>
    <row r="71" spans="1:90" ht="15" customHeight="1" x14ac:dyDescent="0.35">
      <c r="A71" s="40">
        <v>45698.758101851847</v>
      </c>
      <c r="B71" t="s">
        <v>100</v>
      </c>
      <c r="C71" t="s">
        <v>214</v>
      </c>
      <c r="D71" t="s">
        <v>101</v>
      </c>
      <c r="E71" s="32">
        <v>45932</v>
      </c>
      <c r="F71" t="s">
        <v>54</v>
      </c>
      <c r="G71" s="2">
        <v>45667</v>
      </c>
      <c r="H71">
        <v>8903751197</v>
      </c>
      <c r="I71">
        <v>141</v>
      </c>
      <c r="J71" t="s">
        <v>341</v>
      </c>
      <c r="K71" t="s">
        <v>71</v>
      </c>
      <c r="L71" t="s">
        <v>72</v>
      </c>
      <c r="M71" t="s">
        <v>59</v>
      </c>
      <c r="N71" t="s">
        <v>59</v>
      </c>
      <c r="O71" t="s">
        <v>59</v>
      </c>
      <c r="P71" t="s">
        <v>59</v>
      </c>
      <c r="Q71" t="s">
        <v>59</v>
      </c>
      <c r="R71" t="s">
        <v>59</v>
      </c>
      <c r="S71" t="s">
        <v>59</v>
      </c>
      <c r="T71" t="s">
        <v>59</v>
      </c>
      <c r="U71" t="s">
        <v>59</v>
      </c>
      <c r="V71" t="s">
        <v>59</v>
      </c>
      <c r="W71" t="s">
        <v>59</v>
      </c>
      <c r="X71" t="s">
        <v>59</v>
      </c>
      <c r="Y71" t="s">
        <v>59</v>
      </c>
      <c r="Z71" t="s">
        <v>59</v>
      </c>
      <c r="AA71" t="s">
        <v>60</v>
      </c>
      <c r="AB71" t="s">
        <v>60</v>
      </c>
      <c r="AC71" t="s">
        <v>60</v>
      </c>
      <c r="AD71" t="s">
        <v>61</v>
      </c>
      <c r="AE71" t="s">
        <v>59</v>
      </c>
      <c r="AF71" t="s">
        <v>59</v>
      </c>
      <c r="AG71" t="s">
        <v>59</v>
      </c>
      <c r="AH71" t="s">
        <v>60</v>
      </c>
      <c r="AI71" t="s">
        <v>61</v>
      </c>
      <c r="AJ71" t="s">
        <v>61</v>
      </c>
      <c r="AK71" t="s">
        <v>59</v>
      </c>
      <c r="AL71" t="s">
        <v>59</v>
      </c>
      <c r="AM71" t="s">
        <v>59</v>
      </c>
      <c r="AN71" t="s">
        <v>59</v>
      </c>
      <c r="AO71" t="s">
        <v>60</v>
      </c>
      <c r="AP71" t="s">
        <v>342</v>
      </c>
      <c r="AQ71" s="1" t="s">
        <v>343</v>
      </c>
      <c r="AR71" t="s">
        <v>64</v>
      </c>
      <c r="AS71" t="s">
        <v>344</v>
      </c>
      <c r="AT71" t="s">
        <v>190</v>
      </c>
      <c r="AU71" t="s">
        <v>219</v>
      </c>
      <c r="AW71" s="4">
        <f t="shared" si="38"/>
        <v>6</v>
      </c>
      <c r="AX71" s="4">
        <f t="shared" si="39"/>
        <v>4</v>
      </c>
      <c r="AY71" s="4">
        <f t="shared" si="40"/>
        <v>4</v>
      </c>
      <c r="AZ71" s="4">
        <f t="shared" si="41"/>
        <v>2</v>
      </c>
      <c r="BA71" s="4">
        <f t="shared" si="42"/>
        <v>4</v>
      </c>
      <c r="BB71" s="4">
        <f t="shared" si="43"/>
        <v>4</v>
      </c>
      <c r="BC71" s="4">
        <f t="shared" si="44"/>
        <v>4</v>
      </c>
      <c r="BD71" s="4">
        <f t="shared" si="45"/>
        <v>2</v>
      </c>
      <c r="BE71" s="4">
        <f t="shared" si="46"/>
        <v>4</v>
      </c>
      <c r="BF71" s="4">
        <f t="shared" si="47"/>
        <v>2</v>
      </c>
      <c r="BG71" s="4">
        <f t="shared" si="48"/>
        <v>4</v>
      </c>
      <c r="BH71" s="4">
        <f t="shared" si="49"/>
        <v>4</v>
      </c>
      <c r="BI71" s="4">
        <f t="shared" si="50"/>
        <v>4</v>
      </c>
      <c r="BJ71" s="4">
        <f t="shared" si="51"/>
        <v>2</v>
      </c>
      <c r="BK71" s="4" t="str">
        <f t="shared" si="52"/>
        <v>0</v>
      </c>
      <c r="BL71" s="4" t="str">
        <f t="shared" si="53"/>
        <v>0</v>
      </c>
      <c r="BM71" s="4" t="str">
        <f t="shared" si="54"/>
        <v>0</v>
      </c>
      <c r="BN71" s="4">
        <f t="shared" si="55"/>
        <v>4</v>
      </c>
      <c r="BO71" s="4">
        <f t="shared" si="56"/>
        <v>4</v>
      </c>
      <c r="BP71" s="4">
        <f t="shared" si="57"/>
        <v>4</v>
      </c>
      <c r="BQ71" s="4">
        <f t="shared" si="58"/>
        <v>6</v>
      </c>
      <c r="BR71" s="4" t="str">
        <f t="shared" si="59"/>
        <v>0</v>
      </c>
      <c r="BS71" s="4">
        <f t="shared" si="60"/>
        <v>4</v>
      </c>
      <c r="BT71" s="4">
        <f t="shared" si="61"/>
        <v>4</v>
      </c>
      <c r="BU71" s="4">
        <f t="shared" si="62"/>
        <v>4</v>
      </c>
      <c r="BV71" s="4">
        <f t="shared" si="63"/>
        <v>0</v>
      </c>
      <c r="BW71" s="4">
        <f t="shared" si="64"/>
        <v>6</v>
      </c>
      <c r="BX71" s="4">
        <f t="shared" si="65"/>
        <v>0</v>
      </c>
      <c r="BY71" s="4" t="str">
        <f t="shared" si="66"/>
        <v>0</v>
      </c>
      <c r="BZ71" s="37">
        <f t="shared" si="67"/>
        <v>86</v>
      </c>
      <c r="CA71" s="32" t="str">
        <f>VLOOKUP(J:J,'Agent wise'!A:C,3,0)</f>
        <v>Adharsh</v>
      </c>
      <c r="CB71" s="32">
        <f t="shared" si="68"/>
        <v>45932</v>
      </c>
      <c r="CC71" t="str">
        <f t="shared" si="69"/>
        <v>Average</v>
      </c>
      <c r="CE71" s="32"/>
      <c r="CJ71">
        <f t="shared" si="70"/>
        <v>2</v>
      </c>
      <c r="CK71">
        <f t="shared" si="71"/>
        <v>10</v>
      </c>
      <c r="CL71">
        <f t="shared" si="72"/>
        <v>2025</v>
      </c>
    </row>
    <row r="72" spans="1:90" ht="15" customHeight="1" x14ac:dyDescent="0.35">
      <c r="A72" s="40">
        <v>45698.760949074072</v>
      </c>
      <c r="B72" t="s">
        <v>100</v>
      </c>
      <c r="C72" t="s">
        <v>214</v>
      </c>
      <c r="D72" t="s">
        <v>101</v>
      </c>
      <c r="E72" s="32">
        <v>45932</v>
      </c>
      <c r="F72" t="s">
        <v>54</v>
      </c>
      <c r="G72" s="2">
        <v>45667</v>
      </c>
      <c r="H72">
        <v>9483541541</v>
      </c>
      <c r="I72">
        <v>145</v>
      </c>
      <c r="J72" t="s">
        <v>345</v>
      </c>
      <c r="K72" t="s">
        <v>57</v>
      </c>
      <c r="L72" t="s">
        <v>58</v>
      </c>
      <c r="M72" t="s">
        <v>59</v>
      </c>
      <c r="N72" t="s">
        <v>59</v>
      </c>
      <c r="O72" t="s">
        <v>59</v>
      </c>
      <c r="P72" t="s">
        <v>59</v>
      </c>
      <c r="Q72" t="s">
        <v>59</v>
      </c>
      <c r="R72" t="s">
        <v>59</v>
      </c>
      <c r="S72" t="s">
        <v>59</v>
      </c>
      <c r="T72" t="s">
        <v>59</v>
      </c>
      <c r="U72" t="s">
        <v>59</v>
      </c>
      <c r="V72" t="s">
        <v>59</v>
      </c>
      <c r="W72" t="s">
        <v>59</v>
      </c>
      <c r="X72" t="s">
        <v>59</v>
      </c>
      <c r="Y72" t="s">
        <v>59</v>
      </c>
      <c r="Z72" t="s">
        <v>59</v>
      </c>
      <c r="AA72" t="s">
        <v>60</v>
      </c>
      <c r="AB72" t="s">
        <v>60</v>
      </c>
      <c r="AC72" t="s">
        <v>60</v>
      </c>
      <c r="AD72" t="s">
        <v>61</v>
      </c>
      <c r="AE72" t="s">
        <v>59</v>
      </c>
      <c r="AF72" t="s">
        <v>59</v>
      </c>
      <c r="AG72" t="s">
        <v>59</v>
      </c>
      <c r="AH72" t="s">
        <v>59</v>
      </c>
      <c r="AI72" t="s">
        <v>61</v>
      </c>
      <c r="AJ72" t="s">
        <v>59</v>
      </c>
      <c r="AK72" t="s">
        <v>59</v>
      </c>
      <c r="AL72" t="s">
        <v>59</v>
      </c>
      <c r="AM72" t="s">
        <v>59</v>
      </c>
      <c r="AN72" t="s">
        <v>59</v>
      </c>
      <c r="AO72" t="s">
        <v>60</v>
      </c>
      <c r="AP72" t="s">
        <v>342</v>
      </c>
      <c r="AQ72" s="1" t="s">
        <v>346</v>
      </c>
      <c r="AR72" t="s">
        <v>64</v>
      </c>
      <c r="AS72" t="s">
        <v>347</v>
      </c>
      <c r="AT72" t="s">
        <v>348</v>
      </c>
      <c r="AU72" t="s">
        <v>219</v>
      </c>
      <c r="AW72" s="4">
        <f t="shared" si="38"/>
        <v>6</v>
      </c>
      <c r="AX72" s="4">
        <f t="shared" si="39"/>
        <v>4</v>
      </c>
      <c r="AY72" s="4">
        <f t="shared" si="40"/>
        <v>4</v>
      </c>
      <c r="AZ72" s="4">
        <f t="shared" si="41"/>
        <v>2</v>
      </c>
      <c r="BA72" s="4">
        <f t="shared" si="42"/>
        <v>4</v>
      </c>
      <c r="BB72" s="4">
        <f t="shared" si="43"/>
        <v>4</v>
      </c>
      <c r="BC72" s="4">
        <f t="shared" si="44"/>
        <v>4</v>
      </c>
      <c r="BD72" s="4">
        <f t="shared" si="45"/>
        <v>2</v>
      </c>
      <c r="BE72" s="4">
        <f t="shared" si="46"/>
        <v>4</v>
      </c>
      <c r="BF72" s="4">
        <f t="shared" si="47"/>
        <v>2</v>
      </c>
      <c r="BG72" s="4">
        <f t="shared" si="48"/>
        <v>4</v>
      </c>
      <c r="BH72" s="4">
        <f t="shared" si="49"/>
        <v>4</v>
      </c>
      <c r="BI72" s="4">
        <f t="shared" si="50"/>
        <v>4</v>
      </c>
      <c r="BJ72" s="4">
        <f t="shared" si="51"/>
        <v>2</v>
      </c>
      <c r="BK72" s="4" t="str">
        <f t="shared" si="52"/>
        <v>0</v>
      </c>
      <c r="BL72" s="4" t="str">
        <f t="shared" si="53"/>
        <v>0</v>
      </c>
      <c r="BM72" s="4" t="str">
        <f t="shared" si="54"/>
        <v>0</v>
      </c>
      <c r="BN72" s="4">
        <f t="shared" si="55"/>
        <v>4</v>
      </c>
      <c r="BO72" s="4">
        <f t="shared" si="56"/>
        <v>4</v>
      </c>
      <c r="BP72" s="4">
        <f t="shared" si="57"/>
        <v>4</v>
      </c>
      <c r="BQ72" s="4">
        <f t="shared" si="58"/>
        <v>6</v>
      </c>
      <c r="BR72" s="4">
        <f t="shared" si="59"/>
        <v>4</v>
      </c>
      <c r="BS72" s="4">
        <f t="shared" si="60"/>
        <v>4</v>
      </c>
      <c r="BT72" s="4">
        <f t="shared" si="61"/>
        <v>4</v>
      </c>
      <c r="BU72" s="4">
        <f t="shared" si="62"/>
        <v>4</v>
      </c>
      <c r="BV72" s="4">
        <f t="shared" si="63"/>
        <v>0</v>
      </c>
      <c r="BW72" s="4">
        <f t="shared" si="64"/>
        <v>6</v>
      </c>
      <c r="BX72" s="4">
        <f t="shared" si="65"/>
        <v>0</v>
      </c>
      <c r="BY72" s="4" t="str">
        <f t="shared" si="66"/>
        <v>0</v>
      </c>
      <c r="BZ72" s="37">
        <f t="shared" si="67"/>
        <v>90</v>
      </c>
      <c r="CA72" s="32" t="e">
        <f>VLOOKUP(J:J,'Agent wise'!A:C,3,0)</f>
        <v>#N/A</v>
      </c>
      <c r="CB72" s="32">
        <f t="shared" si="68"/>
        <v>45932</v>
      </c>
      <c r="CC72" t="str">
        <f t="shared" si="69"/>
        <v>Good</v>
      </c>
      <c r="CE72" s="32"/>
      <c r="CJ72">
        <f t="shared" si="70"/>
        <v>2</v>
      </c>
      <c r="CK72">
        <f t="shared" si="71"/>
        <v>10</v>
      </c>
      <c r="CL72">
        <f t="shared" si="72"/>
        <v>2025</v>
      </c>
    </row>
    <row r="73" spans="1:90" ht="15" customHeight="1" x14ac:dyDescent="0.35">
      <c r="A73" s="40">
        <v>45698.762858796297</v>
      </c>
      <c r="B73" t="s">
        <v>100</v>
      </c>
      <c r="C73" t="s">
        <v>214</v>
      </c>
      <c r="D73" t="s">
        <v>101</v>
      </c>
      <c r="E73" s="32">
        <v>45932</v>
      </c>
      <c r="F73" t="s">
        <v>222</v>
      </c>
      <c r="G73" s="2">
        <v>45667</v>
      </c>
      <c r="H73">
        <v>9943817971</v>
      </c>
      <c r="I73">
        <v>155</v>
      </c>
      <c r="J73" t="s">
        <v>349</v>
      </c>
      <c r="K73" t="s">
        <v>71</v>
      </c>
      <c r="L73" t="s">
        <v>72</v>
      </c>
      <c r="M73" t="s">
        <v>59</v>
      </c>
      <c r="N73" t="s">
        <v>59</v>
      </c>
      <c r="O73" t="s">
        <v>59</v>
      </c>
      <c r="P73" t="s">
        <v>59</v>
      </c>
      <c r="Q73" t="s">
        <v>59</v>
      </c>
      <c r="R73" t="s">
        <v>59</v>
      </c>
      <c r="S73" t="s">
        <v>59</v>
      </c>
      <c r="T73" t="s">
        <v>59</v>
      </c>
      <c r="U73" t="s">
        <v>59</v>
      </c>
      <c r="V73" t="s">
        <v>59</v>
      </c>
      <c r="W73" t="s">
        <v>59</v>
      </c>
      <c r="X73" t="s">
        <v>59</v>
      </c>
      <c r="Y73" t="s">
        <v>59</v>
      </c>
      <c r="Z73" t="s">
        <v>59</v>
      </c>
      <c r="AA73" t="s">
        <v>60</v>
      </c>
      <c r="AB73" t="s">
        <v>60</v>
      </c>
      <c r="AC73" t="s">
        <v>60</v>
      </c>
      <c r="AD73" t="s">
        <v>59</v>
      </c>
      <c r="AE73" t="s">
        <v>59</v>
      </c>
      <c r="AF73" t="s">
        <v>59</v>
      </c>
      <c r="AG73" t="s">
        <v>59</v>
      </c>
      <c r="AH73" t="s">
        <v>59</v>
      </c>
      <c r="AI73" t="s">
        <v>60</v>
      </c>
      <c r="AJ73" t="s">
        <v>59</v>
      </c>
      <c r="AK73" t="s">
        <v>59</v>
      </c>
      <c r="AL73" t="s">
        <v>59</v>
      </c>
      <c r="AM73" t="s">
        <v>59</v>
      </c>
      <c r="AN73" t="s">
        <v>59</v>
      </c>
      <c r="AO73" t="s">
        <v>59</v>
      </c>
      <c r="AP73" t="s">
        <v>350</v>
      </c>
      <c r="AQ73" s="1" t="s">
        <v>351</v>
      </c>
      <c r="AR73" t="s">
        <v>226</v>
      </c>
      <c r="AS73" t="s">
        <v>352</v>
      </c>
      <c r="AT73" t="s">
        <v>352</v>
      </c>
      <c r="AU73" t="s">
        <v>219</v>
      </c>
      <c r="AW73" s="4">
        <f t="shared" si="38"/>
        <v>6</v>
      </c>
      <c r="AX73" s="4">
        <f t="shared" si="39"/>
        <v>4</v>
      </c>
      <c r="AY73" s="4">
        <f t="shared" si="40"/>
        <v>4</v>
      </c>
      <c r="AZ73" s="4">
        <f t="shared" si="41"/>
        <v>2</v>
      </c>
      <c r="BA73" s="4">
        <f t="shared" si="42"/>
        <v>4</v>
      </c>
      <c r="BB73" s="4">
        <f t="shared" si="43"/>
        <v>4</v>
      </c>
      <c r="BC73" s="4">
        <f t="shared" si="44"/>
        <v>4</v>
      </c>
      <c r="BD73" s="4">
        <f t="shared" si="45"/>
        <v>2</v>
      </c>
      <c r="BE73" s="4">
        <f t="shared" si="46"/>
        <v>4</v>
      </c>
      <c r="BF73" s="4">
        <f t="shared" si="47"/>
        <v>2</v>
      </c>
      <c r="BG73" s="4">
        <f t="shared" si="48"/>
        <v>4</v>
      </c>
      <c r="BH73" s="4">
        <f t="shared" si="49"/>
        <v>4</v>
      </c>
      <c r="BI73" s="4">
        <f t="shared" si="50"/>
        <v>4</v>
      </c>
      <c r="BJ73" s="4">
        <f t="shared" si="51"/>
        <v>2</v>
      </c>
      <c r="BK73" s="4" t="str">
        <f t="shared" si="52"/>
        <v>0</v>
      </c>
      <c r="BL73" s="4" t="str">
        <f t="shared" si="53"/>
        <v>0</v>
      </c>
      <c r="BM73" s="4" t="str">
        <f t="shared" si="54"/>
        <v>0</v>
      </c>
      <c r="BN73" s="4">
        <f t="shared" si="55"/>
        <v>4</v>
      </c>
      <c r="BO73" s="4">
        <f t="shared" si="56"/>
        <v>4</v>
      </c>
      <c r="BP73" s="4">
        <f t="shared" si="57"/>
        <v>4</v>
      </c>
      <c r="BQ73" s="4">
        <f t="shared" si="58"/>
        <v>6</v>
      </c>
      <c r="BR73" s="4">
        <f t="shared" si="59"/>
        <v>4</v>
      </c>
      <c r="BS73" s="4" t="str">
        <f t="shared" si="60"/>
        <v>0</v>
      </c>
      <c r="BT73" s="4">
        <f t="shared" si="61"/>
        <v>4</v>
      </c>
      <c r="BU73" s="4">
        <f t="shared" si="62"/>
        <v>4</v>
      </c>
      <c r="BV73" s="4">
        <f t="shared" si="63"/>
        <v>0</v>
      </c>
      <c r="BW73" s="4">
        <f t="shared" si="64"/>
        <v>6</v>
      </c>
      <c r="BX73" s="4">
        <f t="shared" si="65"/>
        <v>0</v>
      </c>
      <c r="BY73" s="4">
        <f t="shared" si="66"/>
        <v>0</v>
      </c>
      <c r="BZ73" s="37">
        <f t="shared" si="67"/>
        <v>86</v>
      </c>
      <c r="CA73" s="32" t="e">
        <f>VLOOKUP(J:J,'Agent wise'!A:C,3,0)</f>
        <v>#N/A</v>
      </c>
      <c r="CB73" s="32">
        <f t="shared" si="68"/>
        <v>45932</v>
      </c>
      <c r="CC73" t="str">
        <f t="shared" si="69"/>
        <v>Average</v>
      </c>
      <c r="CE73" s="32"/>
      <c r="CJ73">
        <f t="shared" si="70"/>
        <v>2</v>
      </c>
      <c r="CK73">
        <f t="shared" si="71"/>
        <v>10</v>
      </c>
      <c r="CL73">
        <f t="shared" si="72"/>
        <v>2025</v>
      </c>
    </row>
    <row r="74" spans="1:90" ht="15" customHeight="1" x14ac:dyDescent="0.35">
      <c r="A74" s="40">
        <v>45698.764710648153</v>
      </c>
      <c r="B74" t="s">
        <v>100</v>
      </c>
      <c r="C74" t="s">
        <v>214</v>
      </c>
      <c r="D74" t="s">
        <v>101</v>
      </c>
      <c r="E74" s="32">
        <v>45932</v>
      </c>
      <c r="F74" t="s">
        <v>222</v>
      </c>
      <c r="G74" s="2">
        <v>45667</v>
      </c>
      <c r="H74">
        <v>7736831856</v>
      </c>
      <c r="I74">
        <v>156</v>
      </c>
      <c r="J74" t="s">
        <v>353</v>
      </c>
      <c r="K74" t="s">
        <v>57</v>
      </c>
      <c r="L74" t="s">
        <v>58</v>
      </c>
      <c r="M74" t="s">
        <v>59</v>
      </c>
      <c r="N74" t="s">
        <v>59</v>
      </c>
      <c r="O74" t="s">
        <v>59</v>
      </c>
      <c r="P74" t="s">
        <v>59</v>
      </c>
      <c r="Q74" t="s">
        <v>59</v>
      </c>
      <c r="R74" t="s">
        <v>59</v>
      </c>
      <c r="S74" t="s">
        <v>59</v>
      </c>
      <c r="T74" t="s">
        <v>59</v>
      </c>
      <c r="U74" t="s">
        <v>59</v>
      </c>
      <c r="V74" t="s">
        <v>59</v>
      </c>
      <c r="W74" t="s">
        <v>59</v>
      </c>
      <c r="X74" t="s">
        <v>59</v>
      </c>
      <c r="Y74" t="s">
        <v>59</v>
      </c>
      <c r="Z74" t="s">
        <v>59</v>
      </c>
      <c r="AA74" t="s">
        <v>59</v>
      </c>
      <c r="AB74" t="s">
        <v>60</v>
      </c>
      <c r="AC74" t="s">
        <v>59</v>
      </c>
      <c r="AD74" t="s">
        <v>61</v>
      </c>
      <c r="AE74" t="s">
        <v>59</v>
      </c>
      <c r="AF74" t="s">
        <v>59</v>
      </c>
      <c r="AG74" t="s">
        <v>59</v>
      </c>
      <c r="AH74" t="s">
        <v>59</v>
      </c>
      <c r="AI74" t="s">
        <v>60</v>
      </c>
      <c r="AJ74" t="s">
        <v>59</v>
      </c>
      <c r="AK74" t="s">
        <v>59</v>
      </c>
      <c r="AL74" t="s">
        <v>59</v>
      </c>
      <c r="AM74" t="s">
        <v>59</v>
      </c>
      <c r="AN74" t="s">
        <v>59</v>
      </c>
      <c r="AO74" t="s">
        <v>60</v>
      </c>
      <c r="AP74" t="s">
        <v>354</v>
      </c>
      <c r="AQ74" s="1" t="s">
        <v>355</v>
      </c>
      <c r="AR74" t="s">
        <v>226</v>
      </c>
      <c r="AS74" t="s">
        <v>352</v>
      </c>
      <c r="AT74" t="s">
        <v>352</v>
      </c>
      <c r="AU74" t="s">
        <v>219</v>
      </c>
      <c r="AW74" s="4">
        <f t="shared" si="38"/>
        <v>6</v>
      </c>
      <c r="AX74" s="4">
        <f t="shared" si="39"/>
        <v>4</v>
      </c>
      <c r="AY74" s="4">
        <f t="shared" si="40"/>
        <v>4</v>
      </c>
      <c r="AZ74" s="4">
        <f t="shared" si="41"/>
        <v>2</v>
      </c>
      <c r="BA74" s="4">
        <f t="shared" si="42"/>
        <v>4</v>
      </c>
      <c r="BB74" s="4">
        <f t="shared" si="43"/>
        <v>4</v>
      </c>
      <c r="BC74" s="4">
        <f t="shared" si="44"/>
        <v>4</v>
      </c>
      <c r="BD74" s="4">
        <f t="shared" si="45"/>
        <v>2</v>
      </c>
      <c r="BE74" s="4">
        <f t="shared" si="46"/>
        <v>4</v>
      </c>
      <c r="BF74" s="4">
        <f t="shared" si="47"/>
        <v>2</v>
      </c>
      <c r="BG74" s="4">
        <f t="shared" si="48"/>
        <v>4</v>
      </c>
      <c r="BH74" s="4">
        <f t="shared" si="49"/>
        <v>4</v>
      </c>
      <c r="BI74" s="4">
        <f t="shared" si="50"/>
        <v>4</v>
      </c>
      <c r="BJ74" s="4">
        <f t="shared" si="51"/>
        <v>2</v>
      </c>
      <c r="BK74" s="4">
        <f t="shared" si="52"/>
        <v>4</v>
      </c>
      <c r="BL74" s="4" t="str">
        <f t="shared" si="53"/>
        <v>0</v>
      </c>
      <c r="BM74" s="4">
        <f t="shared" si="54"/>
        <v>4</v>
      </c>
      <c r="BN74" s="4">
        <f t="shared" si="55"/>
        <v>4</v>
      </c>
      <c r="BO74" s="4">
        <f t="shared" si="56"/>
        <v>4</v>
      </c>
      <c r="BP74" s="4">
        <f t="shared" si="57"/>
        <v>4</v>
      </c>
      <c r="BQ74" s="4">
        <f t="shared" si="58"/>
        <v>6</v>
      </c>
      <c r="BR74" s="4">
        <f t="shared" si="59"/>
        <v>4</v>
      </c>
      <c r="BS74" s="4" t="str">
        <f t="shared" si="60"/>
        <v>0</v>
      </c>
      <c r="BT74" s="4">
        <f t="shared" si="61"/>
        <v>4</v>
      </c>
      <c r="BU74" s="4">
        <f t="shared" si="62"/>
        <v>4</v>
      </c>
      <c r="BV74" s="4">
        <f t="shared" si="63"/>
        <v>0</v>
      </c>
      <c r="BW74" s="4">
        <f t="shared" si="64"/>
        <v>6</v>
      </c>
      <c r="BX74" s="4">
        <f t="shared" si="65"/>
        <v>0</v>
      </c>
      <c r="BY74" s="4" t="str">
        <f t="shared" si="66"/>
        <v>0</v>
      </c>
      <c r="BZ74" s="37">
        <f t="shared" si="67"/>
        <v>94</v>
      </c>
      <c r="CA74" s="32" t="str">
        <f>VLOOKUP(J:J,'Agent wise'!A:C,3,0)</f>
        <v>Amal</v>
      </c>
      <c r="CB74" s="32">
        <f t="shared" si="68"/>
        <v>45932</v>
      </c>
      <c r="CC74" t="str">
        <f t="shared" si="69"/>
        <v>Good</v>
      </c>
      <c r="CE74" s="32"/>
      <c r="CJ74">
        <f t="shared" si="70"/>
        <v>2</v>
      </c>
      <c r="CK74">
        <f t="shared" si="71"/>
        <v>10</v>
      </c>
      <c r="CL74">
        <f t="shared" si="72"/>
        <v>2025</v>
      </c>
    </row>
    <row r="75" spans="1:90" ht="15" customHeight="1" x14ac:dyDescent="0.35">
      <c r="A75" s="40">
        <v>45698.766898148147</v>
      </c>
      <c r="B75" t="s">
        <v>100</v>
      </c>
      <c r="C75" t="s">
        <v>214</v>
      </c>
      <c r="D75" t="s">
        <v>101</v>
      </c>
      <c r="E75" s="32">
        <v>45932</v>
      </c>
      <c r="F75" t="s">
        <v>222</v>
      </c>
      <c r="G75" s="2">
        <v>45667</v>
      </c>
      <c r="H75">
        <v>9633666929</v>
      </c>
      <c r="I75">
        <v>143</v>
      </c>
      <c r="J75" t="s">
        <v>356</v>
      </c>
      <c r="K75" t="s">
        <v>57</v>
      </c>
      <c r="L75" t="s">
        <v>58</v>
      </c>
      <c r="M75" t="s">
        <v>59</v>
      </c>
      <c r="N75" t="s">
        <v>59</v>
      </c>
      <c r="O75" t="s">
        <v>59</v>
      </c>
      <c r="P75" t="s">
        <v>59</v>
      </c>
      <c r="Q75" t="s">
        <v>59</v>
      </c>
      <c r="R75" t="s">
        <v>59</v>
      </c>
      <c r="S75" t="s">
        <v>59</v>
      </c>
      <c r="T75" t="s">
        <v>59</v>
      </c>
      <c r="U75" t="s">
        <v>59</v>
      </c>
      <c r="V75" t="s">
        <v>59</v>
      </c>
      <c r="W75" t="s">
        <v>59</v>
      </c>
      <c r="X75" t="s">
        <v>59</v>
      </c>
      <c r="Y75" t="s">
        <v>59</v>
      </c>
      <c r="Z75" t="s">
        <v>59</v>
      </c>
      <c r="AA75" t="s">
        <v>60</v>
      </c>
      <c r="AB75" t="s">
        <v>60</v>
      </c>
      <c r="AC75" t="s">
        <v>61</v>
      </c>
      <c r="AD75" t="s">
        <v>61</v>
      </c>
      <c r="AE75" t="s">
        <v>59</v>
      </c>
      <c r="AF75" t="s">
        <v>59</v>
      </c>
      <c r="AG75" t="s">
        <v>59</v>
      </c>
      <c r="AH75" t="s">
        <v>59</v>
      </c>
      <c r="AI75" t="s">
        <v>60</v>
      </c>
      <c r="AJ75" t="s">
        <v>59</v>
      </c>
      <c r="AK75" t="s">
        <v>59</v>
      </c>
      <c r="AL75" t="s">
        <v>59</v>
      </c>
      <c r="AM75" t="s">
        <v>59</v>
      </c>
      <c r="AN75" t="s">
        <v>59</v>
      </c>
      <c r="AO75" t="s">
        <v>59</v>
      </c>
      <c r="AP75" t="s">
        <v>357</v>
      </c>
      <c r="AQ75" s="1" t="s">
        <v>358</v>
      </c>
      <c r="AR75" t="s">
        <v>226</v>
      </c>
      <c r="AS75" t="s">
        <v>352</v>
      </c>
      <c r="AT75" t="s">
        <v>352</v>
      </c>
      <c r="AU75" t="s">
        <v>219</v>
      </c>
      <c r="AW75" s="4">
        <f t="shared" si="38"/>
        <v>6</v>
      </c>
      <c r="AX75" s="4">
        <f t="shared" si="39"/>
        <v>4</v>
      </c>
      <c r="AY75" s="4">
        <f t="shared" si="40"/>
        <v>4</v>
      </c>
      <c r="AZ75" s="4">
        <f t="shared" si="41"/>
        <v>2</v>
      </c>
      <c r="BA75" s="4">
        <f t="shared" si="42"/>
        <v>4</v>
      </c>
      <c r="BB75" s="4">
        <f t="shared" si="43"/>
        <v>4</v>
      </c>
      <c r="BC75" s="4">
        <f t="shared" si="44"/>
        <v>4</v>
      </c>
      <c r="BD75" s="4">
        <f t="shared" si="45"/>
        <v>2</v>
      </c>
      <c r="BE75" s="4">
        <f t="shared" si="46"/>
        <v>4</v>
      </c>
      <c r="BF75" s="4">
        <f t="shared" si="47"/>
        <v>2</v>
      </c>
      <c r="BG75" s="4">
        <f t="shared" si="48"/>
        <v>4</v>
      </c>
      <c r="BH75" s="4">
        <f t="shared" si="49"/>
        <v>4</v>
      </c>
      <c r="BI75" s="4">
        <f t="shared" si="50"/>
        <v>4</v>
      </c>
      <c r="BJ75" s="4">
        <f t="shared" si="51"/>
        <v>2</v>
      </c>
      <c r="BK75" s="4" t="str">
        <f t="shared" si="52"/>
        <v>0</v>
      </c>
      <c r="BL75" s="4" t="str">
        <f t="shared" si="53"/>
        <v>0</v>
      </c>
      <c r="BM75" s="4">
        <f t="shared" si="54"/>
        <v>4</v>
      </c>
      <c r="BN75" s="4">
        <f t="shared" si="55"/>
        <v>4</v>
      </c>
      <c r="BO75" s="4">
        <f t="shared" si="56"/>
        <v>4</v>
      </c>
      <c r="BP75" s="4">
        <f t="shared" si="57"/>
        <v>4</v>
      </c>
      <c r="BQ75" s="4">
        <f t="shared" si="58"/>
        <v>6</v>
      </c>
      <c r="BR75" s="4">
        <f t="shared" si="59"/>
        <v>4</v>
      </c>
      <c r="BS75" s="4" t="str">
        <f t="shared" si="60"/>
        <v>0</v>
      </c>
      <c r="BT75" s="4">
        <f t="shared" si="61"/>
        <v>4</v>
      </c>
      <c r="BU75" s="4">
        <f t="shared" si="62"/>
        <v>4</v>
      </c>
      <c r="BV75" s="4">
        <f t="shared" si="63"/>
        <v>0</v>
      </c>
      <c r="BW75" s="4">
        <f t="shared" si="64"/>
        <v>6</v>
      </c>
      <c r="BX75" s="4">
        <f t="shared" si="65"/>
        <v>0</v>
      </c>
      <c r="BY75" s="4">
        <f t="shared" si="66"/>
        <v>0</v>
      </c>
      <c r="BZ75" s="37">
        <f t="shared" si="67"/>
        <v>90</v>
      </c>
      <c r="CA75" s="32" t="str">
        <f>VLOOKUP(J:J,'Agent wise'!A:C,3,0)</f>
        <v>Amal</v>
      </c>
      <c r="CB75" s="32">
        <f t="shared" si="68"/>
        <v>45932</v>
      </c>
      <c r="CC75" t="str">
        <f t="shared" si="69"/>
        <v>Good</v>
      </c>
      <c r="CE75" s="32"/>
      <c r="CJ75">
        <f t="shared" si="70"/>
        <v>2</v>
      </c>
      <c r="CK75">
        <f t="shared" si="71"/>
        <v>10</v>
      </c>
      <c r="CL75">
        <f t="shared" si="72"/>
        <v>2025</v>
      </c>
    </row>
    <row r="76" spans="1:90" ht="15" customHeight="1" x14ac:dyDescent="0.35">
      <c r="A76" s="40">
        <v>45698.768287037034</v>
      </c>
      <c r="B76" t="s">
        <v>100</v>
      </c>
      <c r="C76" t="s">
        <v>214</v>
      </c>
      <c r="D76" t="s">
        <v>101</v>
      </c>
      <c r="E76" s="32">
        <v>45932</v>
      </c>
      <c r="F76" t="s">
        <v>222</v>
      </c>
      <c r="G76" s="2">
        <v>45667</v>
      </c>
      <c r="H76">
        <v>9894444899</v>
      </c>
      <c r="I76">
        <v>140</v>
      </c>
      <c r="J76" t="s">
        <v>313</v>
      </c>
      <c r="K76" t="s">
        <v>71</v>
      </c>
      <c r="L76" t="s">
        <v>72</v>
      </c>
      <c r="M76" t="s">
        <v>59</v>
      </c>
      <c r="N76" t="s">
        <v>59</v>
      </c>
      <c r="O76" t="s">
        <v>59</v>
      </c>
      <c r="P76" t="s">
        <v>59</v>
      </c>
      <c r="Q76" t="s">
        <v>59</v>
      </c>
      <c r="R76" t="s">
        <v>59</v>
      </c>
      <c r="S76" t="s">
        <v>59</v>
      </c>
      <c r="T76" t="s">
        <v>59</v>
      </c>
      <c r="U76" t="s">
        <v>59</v>
      </c>
      <c r="V76" t="s">
        <v>59</v>
      </c>
      <c r="W76" t="s">
        <v>59</v>
      </c>
      <c r="X76" t="s">
        <v>59</v>
      </c>
      <c r="Y76" t="s">
        <v>59</v>
      </c>
      <c r="Z76" t="s">
        <v>59</v>
      </c>
      <c r="AA76" t="s">
        <v>60</v>
      </c>
      <c r="AB76" t="s">
        <v>59</v>
      </c>
      <c r="AC76" t="s">
        <v>59</v>
      </c>
      <c r="AD76" t="s">
        <v>59</v>
      </c>
      <c r="AE76" t="s">
        <v>59</v>
      </c>
      <c r="AF76" t="s">
        <v>59</v>
      </c>
      <c r="AG76" t="s">
        <v>59</v>
      </c>
      <c r="AH76" t="s">
        <v>59</v>
      </c>
      <c r="AI76" t="s">
        <v>61</v>
      </c>
      <c r="AJ76" t="s">
        <v>59</v>
      </c>
      <c r="AK76" t="s">
        <v>59</v>
      </c>
      <c r="AL76" t="s">
        <v>59</v>
      </c>
      <c r="AM76" t="s">
        <v>59</v>
      </c>
      <c r="AN76" t="s">
        <v>59</v>
      </c>
      <c r="AO76" t="s">
        <v>59</v>
      </c>
      <c r="AP76" t="s">
        <v>359</v>
      </c>
      <c r="AQ76" s="1" t="s">
        <v>360</v>
      </c>
      <c r="AR76" t="s">
        <v>226</v>
      </c>
      <c r="AS76" t="s">
        <v>352</v>
      </c>
      <c r="AT76" t="s">
        <v>352</v>
      </c>
      <c r="AU76" t="s">
        <v>219</v>
      </c>
      <c r="AW76" s="4">
        <f t="shared" si="38"/>
        <v>6</v>
      </c>
      <c r="AX76" s="4">
        <f t="shared" si="39"/>
        <v>4</v>
      </c>
      <c r="AY76" s="4">
        <f t="shared" si="40"/>
        <v>4</v>
      </c>
      <c r="AZ76" s="4">
        <f t="shared" si="41"/>
        <v>2</v>
      </c>
      <c r="BA76" s="4">
        <f t="shared" si="42"/>
        <v>4</v>
      </c>
      <c r="BB76" s="4">
        <f t="shared" si="43"/>
        <v>4</v>
      </c>
      <c r="BC76" s="4">
        <f t="shared" si="44"/>
        <v>4</v>
      </c>
      <c r="BD76" s="4">
        <f t="shared" si="45"/>
        <v>2</v>
      </c>
      <c r="BE76" s="4">
        <f t="shared" si="46"/>
        <v>4</v>
      </c>
      <c r="BF76" s="4">
        <f t="shared" si="47"/>
        <v>2</v>
      </c>
      <c r="BG76" s="4">
        <f t="shared" si="48"/>
        <v>4</v>
      </c>
      <c r="BH76" s="4">
        <f t="shared" si="49"/>
        <v>4</v>
      </c>
      <c r="BI76" s="4">
        <f t="shared" si="50"/>
        <v>4</v>
      </c>
      <c r="BJ76" s="4">
        <f t="shared" si="51"/>
        <v>2</v>
      </c>
      <c r="BK76" s="4" t="str">
        <f t="shared" si="52"/>
        <v>0</v>
      </c>
      <c r="BL76" s="4">
        <f t="shared" si="53"/>
        <v>2</v>
      </c>
      <c r="BM76" s="4">
        <f t="shared" si="54"/>
        <v>4</v>
      </c>
      <c r="BN76" s="4">
        <f t="shared" si="55"/>
        <v>4</v>
      </c>
      <c r="BO76" s="4">
        <f t="shared" si="56"/>
        <v>4</v>
      </c>
      <c r="BP76" s="4">
        <f t="shared" si="57"/>
        <v>4</v>
      </c>
      <c r="BQ76" s="4">
        <f t="shared" si="58"/>
        <v>6</v>
      </c>
      <c r="BR76" s="4">
        <f t="shared" si="59"/>
        <v>4</v>
      </c>
      <c r="BS76" s="4">
        <f t="shared" si="60"/>
        <v>4</v>
      </c>
      <c r="BT76" s="4">
        <f t="shared" si="61"/>
        <v>4</v>
      </c>
      <c r="BU76" s="4">
        <f t="shared" si="62"/>
        <v>4</v>
      </c>
      <c r="BV76" s="4">
        <f t="shared" si="63"/>
        <v>0</v>
      </c>
      <c r="BW76" s="4">
        <f t="shared" si="64"/>
        <v>6</v>
      </c>
      <c r="BX76" s="4">
        <f t="shared" si="65"/>
        <v>0</v>
      </c>
      <c r="BY76" s="4">
        <f t="shared" si="66"/>
        <v>0</v>
      </c>
      <c r="BZ76" s="37">
        <f t="shared" si="67"/>
        <v>96</v>
      </c>
      <c r="CA76" s="32" t="str">
        <f>VLOOKUP(J:J,'Agent wise'!A:C,3,0)</f>
        <v>Shakeer</v>
      </c>
      <c r="CB76" s="32">
        <f t="shared" si="68"/>
        <v>45932</v>
      </c>
      <c r="CC76" t="str">
        <f t="shared" si="69"/>
        <v>Excellent</v>
      </c>
      <c r="CE76" s="32"/>
      <c r="CJ76">
        <f t="shared" si="70"/>
        <v>2</v>
      </c>
      <c r="CK76">
        <f t="shared" si="71"/>
        <v>10</v>
      </c>
      <c r="CL76">
        <f t="shared" si="72"/>
        <v>2025</v>
      </c>
    </row>
    <row r="77" spans="1:90" ht="15" customHeight="1" x14ac:dyDescent="0.35">
      <c r="A77" s="40">
        <v>45698.769849537042</v>
      </c>
      <c r="B77" t="s">
        <v>100</v>
      </c>
      <c r="C77" t="s">
        <v>214</v>
      </c>
      <c r="D77" t="s">
        <v>101</v>
      </c>
      <c r="E77" s="32">
        <v>45932</v>
      </c>
      <c r="F77" t="s">
        <v>222</v>
      </c>
      <c r="G77" s="2">
        <v>45667</v>
      </c>
      <c r="H77">
        <v>8943242814</v>
      </c>
      <c r="I77">
        <v>186</v>
      </c>
      <c r="J77" t="s">
        <v>242</v>
      </c>
      <c r="K77" t="s">
        <v>57</v>
      </c>
      <c r="L77" t="s">
        <v>58</v>
      </c>
      <c r="M77" t="s">
        <v>59</v>
      </c>
      <c r="N77" t="s">
        <v>59</v>
      </c>
      <c r="O77" t="s">
        <v>59</v>
      </c>
      <c r="P77" t="s">
        <v>59</v>
      </c>
      <c r="Q77" t="s">
        <v>59</v>
      </c>
      <c r="R77" t="s">
        <v>59</v>
      </c>
      <c r="S77" t="s">
        <v>59</v>
      </c>
      <c r="T77" t="s">
        <v>59</v>
      </c>
      <c r="U77" t="s">
        <v>59</v>
      </c>
      <c r="V77" t="s">
        <v>59</v>
      </c>
      <c r="W77" t="s">
        <v>59</v>
      </c>
      <c r="X77" t="s">
        <v>59</v>
      </c>
      <c r="Y77" t="s">
        <v>59</v>
      </c>
      <c r="Z77" t="s">
        <v>59</v>
      </c>
      <c r="AA77" t="s">
        <v>60</v>
      </c>
      <c r="AB77" t="s">
        <v>59</v>
      </c>
      <c r="AC77" t="s">
        <v>59</v>
      </c>
      <c r="AD77" t="s">
        <v>59</v>
      </c>
      <c r="AE77" t="s">
        <v>59</v>
      </c>
      <c r="AF77" t="s">
        <v>59</v>
      </c>
      <c r="AG77" t="s">
        <v>59</v>
      </c>
      <c r="AH77" t="s">
        <v>59</v>
      </c>
      <c r="AI77" t="s">
        <v>61</v>
      </c>
      <c r="AJ77" t="s">
        <v>59</v>
      </c>
      <c r="AK77" t="s">
        <v>59</v>
      </c>
      <c r="AL77" t="s">
        <v>59</v>
      </c>
      <c r="AM77" t="s">
        <v>59</v>
      </c>
      <c r="AN77" t="s">
        <v>59</v>
      </c>
      <c r="AO77" t="s">
        <v>59</v>
      </c>
      <c r="AP77" t="s">
        <v>361</v>
      </c>
      <c r="AQ77" s="1" t="s">
        <v>362</v>
      </c>
      <c r="AR77" t="s">
        <v>226</v>
      </c>
      <c r="AS77" t="s">
        <v>352</v>
      </c>
      <c r="AT77" t="s">
        <v>352</v>
      </c>
      <c r="AU77" t="s">
        <v>219</v>
      </c>
      <c r="AW77" s="4">
        <f t="shared" si="38"/>
        <v>6</v>
      </c>
      <c r="AX77" s="4">
        <f t="shared" si="39"/>
        <v>4</v>
      </c>
      <c r="AY77" s="4">
        <f t="shared" si="40"/>
        <v>4</v>
      </c>
      <c r="AZ77" s="4">
        <f t="shared" si="41"/>
        <v>2</v>
      </c>
      <c r="BA77" s="4">
        <f t="shared" si="42"/>
        <v>4</v>
      </c>
      <c r="BB77" s="4">
        <f t="shared" si="43"/>
        <v>4</v>
      </c>
      <c r="BC77" s="4">
        <f t="shared" si="44"/>
        <v>4</v>
      </c>
      <c r="BD77" s="4">
        <f t="shared" si="45"/>
        <v>2</v>
      </c>
      <c r="BE77" s="4">
        <f t="shared" si="46"/>
        <v>4</v>
      </c>
      <c r="BF77" s="4">
        <f t="shared" si="47"/>
        <v>2</v>
      </c>
      <c r="BG77" s="4">
        <f t="shared" si="48"/>
        <v>4</v>
      </c>
      <c r="BH77" s="4">
        <f t="shared" si="49"/>
        <v>4</v>
      </c>
      <c r="BI77" s="4">
        <f t="shared" si="50"/>
        <v>4</v>
      </c>
      <c r="BJ77" s="4">
        <f t="shared" si="51"/>
        <v>2</v>
      </c>
      <c r="BK77" s="4" t="str">
        <f t="shared" si="52"/>
        <v>0</v>
      </c>
      <c r="BL77" s="4">
        <f t="shared" si="53"/>
        <v>2</v>
      </c>
      <c r="BM77" s="4">
        <f t="shared" si="54"/>
        <v>4</v>
      </c>
      <c r="BN77" s="4">
        <f t="shared" si="55"/>
        <v>4</v>
      </c>
      <c r="BO77" s="4">
        <f t="shared" si="56"/>
        <v>4</v>
      </c>
      <c r="BP77" s="4">
        <f t="shared" si="57"/>
        <v>4</v>
      </c>
      <c r="BQ77" s="4">
        <f t="shared" si="58"/>
        <v>6</v>
      </c>
      <c r="BR77" s="4">
        <f t="shared" si="59"/>
        <v>4</v>
      </c>
      <c r="BS77" s="4">
        <f t="shared" si="60"/>
        <v>4</v>
      </c>
      <c r="BT77" s="4">
        <f t="shared" si="61"/>
        <v>4</v>
      </c>
      <c r="BU77" s="4">
        <f t="shared" si="62"/>
        <v>4</v>
      </c>
      <c r="BV77" s="4">
        <f t="shared" si="63"/>
        <v>0</v>
      </c>
      <c r="BW77" s="4">
        <f t="shared" si="64"/>
        <v>6</v>
      </c>
      <c r="BX77" s="4">
        <f t="shared" si="65"/>
        <v>0</v>
      </c>
      <c r="BY77" s="4">
        <f t="shared" si="66"/>
        <v>0</v>
      </c>
      <c r="BZ77" s="37">
        <f t="shared" si="67"/>
        <v>96</v>
      </c>
      <c r="CA77" s="32" t="str">
        <f>VLOOKUP(J:J,'Agent wise'!A:C,3,0)</f>
        <v>Amal</v>
      </c>
      <c r="CB77" s="32">
        <f t="shared" si="68"/>
        <v>45932</v>
      </c>
      <c r="CC77" t="str">
        <f t="shared" si="69"/>
        <v>Excellent</v>
      </c>
      <c r="CE77" s="32"/>
      <c r="CJ77">
        <f t="shared" si="70"/>
        <v>2</v>
      </c>
      <c r="CK77">
        <f t="shared" si="71"/>
        <v>10</v>
      </c>
      <c r="CL77">
        <f t="shared" si="72"/>
        <v>2025</v>
      </c>
    </row>
    <row r="78" spans="1:90" ht="15" customHeight="1" x14ac:dyDescent="0.35">
      <c r="A78" s="40">
        <v>45698.77175925926</v>
      </c>
      <c r="B78" t="s">
        <v>100</v>
      </c>
      <c r="C78" t="s">
        <v>214</v>
      </c>
      <c r="D78" t="s">
        <v>101</v>
      </c>
      <c r="E78" s="32">
        <v>45932</v>
      </c>
      <c r="F78" t="s">
        <v>222</v>
      </c>
      <c r="G78" s="2">
        <v>45667</v>
      </c>
      <c r="H78">
        <v>9961738931</v>
      </c>
      <c r="I78">
        <v>130</v>
      </c>
      <c r="J78" t="s">
        <v>242</v>
      </c>
      <c r="K78" t="s">
        <v>57</v>
      </c>
      <c r="L78" t="s">
        <v>58</v>
      </c>
      <c r="M78" t="s">
        <v>60</v>
      </c>
      <c r="N78" t="s">
        <v>59</v>
      </c>
      <c r="O78" t="s">
        <v>59</v>
      </c>
      <c r="P78" t="s">
        <v>59</v>
      </c>
      <c r="Q78" t="s">
        <v>59</v>
      </c>
      <c r="R78" t="s">
        <v>59</v>
      </c>
      <c r="S78" t="s">
        <v>59</v>
      </c>
      <c r="T78" t="s">
        <v>59</v>
      </c>
      <c r="U78" t="s">
        <v>59</v>
      </c>
      <c r="V78" t="s">
        <v>59</v>
      </c>
      <c r="W78" t="s">
        <v>59</v>
      </c>
      <c r="X78" t="s">
        <v>59</v>
      </c>
      <c r="Y78" t="s">
        <v>59</v>
      </c>
      <c r="Z78" t="s">
        <v>59</v>
      </c>
      <c r="AA78" t="s">
        <v>60</v>
      </c>
      <c r="AB78" t="s">
        <v>59</v>
      </c>
      <c r="AC78" t="s">
        <v>59</v>
      </c>
      <c r="AD78" t="s">
        <v>61</v>
      </c>
      <c r="AE78" t="s">
        <v>59</v>
      </c>
      <c r="AF78" t="s">
        <v>59</v>
      </c>
      <c r="AG78" t="s">
        <v>59</v>
      </c>
      <c r="AH78" t="s">
        <v>59</v>
      </c>
      <c r="AI78" t="s">
        <v>60</v>
      </c>
      <c r="AJ78" t="s">
        <v>59</v>
      </c>
      <c r="AK78" t="s">
        <v>59</v>
      </c>
      <c r="AL78" t="s">
        <v>59</v>
      </c>
      <c r="AM78" t="s">
        <v>59</v>
      </c>
      <c r="AN78" t="s">
        <v>59</v>
      </c>
      <c r="AO78" t="s">
        <v>59</v>
      </c>
      <c r="AP78" t="s">
        <v>363</v>
      </c>
      <c r="AQ78" s="1" t="s">
        <v>364</v>
      </c>
      <c r="AR78" t="s">
        <v>226</v>
      </c>
      <c r="AS78" t="s">
        <v>352</v>
      </c>
      <c r="AT78" t="s">
        <v>352</v>
      </c>
      <c r="AU78" t="s">
        <v>219</v>
      </c>
      <c r="AW78" s="4" t="str">
        <f t="shared" si="38"/>
        <v>0</v>
      </c>
      <c r="AX78" s="4">
        <f t="shared" si="39"/>
        <v>4</v>
      </c>
      <c r="AY78" s="4">
        <f t="shared" si="40"/>
        <v>4</v>
      </c>
      <c r="AZ78" s="4">
        <f t="shared" si="41"/>
        <v>2</v>
      </c>
      <c r="BA78" s="4">
        <f t="shared" si="42"/>
        <v>4</v>
      </c>
      <c r="BB78" s="4">
        <f t="shared" si="43"/>
        <v>4</v>
      </c>
      <c r="BC78" s="4">
        <f t="shared" si="44"/>
        <v>4</v>
      </c>
      <c r="BD78" s="4">
        <f t="shared" si="45"/>
        <v>2</v>
      </c>
      <c r="BE78" s="4">
        <f t="shared" si="46"/>
        <v>4</v>
      </c>
      <c r="BF78" s="4">
        <f t="shared" si="47"/>
        <v>2</v>
      </c>
      <c r="BG78" s="4">
        <f t="shared" si="48"/>
        <v>4</v>
      </c>
      <c r="BH78" s="4">
        <f t="shared" si="49"/>
        <v>4</v>
      </c>
      <c r="BI78" s="4">
        <f t="shared" si="50"/>
        <v>4</v>
      </c>
      <c r="BJ78" s="4">
        <f t="shared" si="51"/>
        <v>2</v>
      </c>
      <c r="BK78" s="4" t="str">
        <f t="shared" si="52"/>
        <v>0</v>
      </c>
      <c r="BL78" s="4">
        <f t="shared" si="53"/>
        <v>2</v>
      </c>
      <c r="BM78" s="4">
        <f t="shared" si="54"/>
        <v>4</v>
      </c>
      <c r="BN78" s="4">
        <f t="shared" si="55"/>
        <v>4</v>
      </c>
      <c r="BO78" s="4">
        <f t="shared" si="56"/>
        <v>4</v>
      </c>
      <c r="BP78" s="4">
        <f t="shared" si="57"/>
        <v>4</v>
      </c>
      <c r="BQ78" s="4">
        <f t="shared" si="58"/>
        <v>6</v>
      </c>
      <c r="BR78" s="4">
        <f t="shared" si="59"/>
        <v>4</v>
      </c>
      <c r="BS78" s="4" t="str">
        <f t="shared" si="60"/>
        <v>0</v>
      </c>
      <c r="BT78" s="4">
        <f t="shared" si="61"/>
        <v>4</v>
      </c>
      <c r="BU78" s="4">
        <f t="shared" si="62"/>
        <v>4</v>
      </c>
      <c r="BV78" s="4">
        <f t="shared" si="63"/>
        <v>0</v>
      </c>
      <c r="BW78" s="4">
        <f t="shared" si="64"/>
        <v>6</v>
      </c>
      <c r="BX78" s="4">
        <f t="shared" si="65"/>
        <v>0</v>
      </c>
      <c r="BY78" s="4">
        <f t="shared" si="66"/>
        <v>0</v>
      </c>
      <c r="BZ78" s="37">
        <f t="shared" si="67"/>
        <v>86</v>
      </c>
      <c r="CA78" s="32" t="str">
        <f>VLOOKUP(J:J,'Agent wise'!A:C,3,0)</f>
        <v>Amal</v>
      </c>
      <c r="CB78" s="32">
        <f t="shared" si="68"/>
        <v>45932</v>
      </c>
      <c r="CC78" t="str">
        <f t="shared" si="69"/>
        <v>Average</v>
      </c>
      <c r="CE78" s="32"/>
      <c r="CJ78">
        <f t="shared" si="70"/>
        <v>2</v>
      </c>
      <c r="CK78">
        <f t="shared" si="71"/>
        <v>10</v>
      </c>
      <c r="CL78">
        <f t="shared" si="72"/>
        <v>2025</v>
      </c>
    </row>
    <row r="79" spans="1:90" ht="15" customHeight="1" x14ac:dyDescent="0.35">
      <c r="A79" s="40">
        <v>45698.940381944441</v>
      </c>
      <c r="B79" t="s">
        <v>130</v>
      </c>
      <c r="C79" t="s">
        <v>214</v>
      </c>
      <c r="D79" t="s">
        <v>131</v>
      </c>
      <c r="E79" s="32">
        <v>45932</v>
      </c>
      <c r="F79" t="s">
        <v>54</v>
      </c>
      <c r="G79" s="2">
        <v>45698</v>
      </c>
      <c r="H79">
        <v>9447982183</v>
      </c>
      <c r="I79">
        <v>128</v>
      </c>
      <c r="J79" t="s">
        <v>117</v>
      </c>
      <c r="K79" t="s">
        <v>57</v>
      </c>
      <c r="L79" t="s">
        <v>58</v>
      </c>
      <c r="M79" t="s">
        <v>59</v>
      </c>
      <c r="N79" t="s">
        <v>59</v>
      </c>
      <c r="O79" t="s">
        <v>59</v>
      </c>
      <c r="P79" t="s">
        <v>59</v>
      </c>
      <c r="Q79" t="s">
        <v>59</v>
      </c>
      <c r="R79" t="s">
        <v>59</v>
      </c>
      <c r="S79" t="s">
        <v>59</v>
      </c>
      <c r="T79" t="s">
        <v>59</v>
      </c>
      <c r="U79" t="s">
        <v>60</v>
      </c>
      <c r="V79" t="s">
        <v>59</v>
      </c>
      <c r="W79" t="s">
        <v>59</v>
      </c>
      <c r="X79" t="s">
        <v>59</v>
      </c>
      <c r="Y79" t="s">
        <v>59</v>
      </c>
      <c r="Z79" t="s">
        <v>59</v>
      </c>
      <c r="AA79" t="s">
        <v>60</v>
      </c>
      <c r="AB79" t="s">
        <v>60</v>
      </c>
      <c r="AC79" t="s">
        <v>61</v>
      </c>
      <c r="AD79" t="s">
        <v>59</v>
      </c>
      <c r="AE79" t="s">
        <v>59</v>
      </c>
      <c r="AF79" t="s">
        <v>61</v>
      </c>
      <c r="AG79" t="s">
        <v>59</v>
      </c>
      <c r="AH79" t="s">
        <v>61</v>
      </c>
      <c r="AI79" t="s">
        <v>61</v>
      </c>
      <c r="AJ79" t="s">
        <v>59</v>
      </c>
      <c r="AK79" t="s">
        <v>59</v>
      </c>
      <c r="AL79" t="s">
        <v>60</v>
      </c>
      <c r="AM79" t="s">
        <v>59</v>
      </c>
      <c r="AN79" t="s">
        <v>59</v>
      </c>
      <c r="AO79" t="s">
        <v>59</v>
      </c>
      <c r="AP79" t="s">
        <v>365</v>
      </c>
      <c r="AQ79" s="1" t="s">
        <v>366</v>
      </c>
      <c r="AR79" t="s">
        <v>64</v>
      </c>
      <c r="AS79" t="s">
        <v>152</v>
      </c>
      <c r="AT79" t="s">
        <v>267</v>
      </c>
      <c r="AU79" t="s">
        <v>219</v>
      </c>
      <c r="AW79" s="4">
        <f t="shared" si="38"/>
        <v>6</v>
      </c>
      <c r="AX79" s="4">
        <f t="shared" si="39"/>
        <v>4</v>
      </c>
      <c r="AY79" s="4">
        <f t="shared" si="40"/>
        <v>4</v>
      </c>
      <c r="AZ79" s="4">
        <f t="shared" si="41"/>
        <v>2</v>
      </c>
      <c r="BA79" s="4">
        <f t="shared" si="42"/>
        <v>4</v>
      </c>
      <c r="BB79" s="4">
        <f t="shared" si="43"/>
        <v>4</v>
      </c>
      <c r="BC79" s="4">
        <f t="shared" si="44"/>
        <v>4</v>
      </c>
      <c r="BD79" s="4">
        <f t="shared" si="45"/>
        <v>2</v>
      </c>
      <c r="BE79" s="4" t="str">
        <f t="shared" si="46"/>
        <v>0</v>
      </c>
      <c r="BF79" s="4">
        <f t="shared" si="47"/>
        <v>2</v>
      </c>
      <c r="BG79" s="4">
        <f t="shared" si="48"/>
        <v>4</v>
      </c>
      <c r="BH79" s="4">
        <f t="shared" si="49"/>
        <v>4</v>
      </c>
      <c r="BI79" s="4">
        <f t="shared" si="50"/>
        <v>4</v>
      </c>
      <c r="BJ79" s="4">
        <f t="shared" si="51"/>
        <v>2</v>
      </c>
      <c r="BK79" s="4" t="str">
        <f t="shared" si="52"/>
        <v>0</v>
      </c>
      <c r="BL79" s="4" t="str">
        <f t="shared" si="53"/>
        <v>0</v>
      </c>
      <c r="BM79" s="4">
        <f t="shared" si="54"/>
        <v>4</v>
      </c>
      <c r="BN79" s="4">
        <f t="shared" si="55"/>
        <v>4</v>
      </c>
      <c r="BO79" s="4">
        <f t="shared" si="56"/>
        <v>4</v>
      </c>
      <c r="BP79" s="4">
        <f t="shared" si="57"/>
        <v>4</v>
      </c>
      <c r="BQ79" s="4">
        <f t="shared" si="58"/>
        <v>6</v>
      </c>
      <c r="BR79" s="4">
        <f t="shared" si="59"/>
        <v>4</v>
      </c>
      <c r="BS79" s="4">
        <f t="shared" si="60"/>
        <v>4</v>
      </c>
      <c r="BT79" s="4">
        <f t="shared" si="61"/>
        <v>4</v>
      </c>
      <c r="BU79" s="4">
        <f t="shared" si="62"/>
        <v>4</v>
      </c>
      <c r="BV79" s="4" t="str">
        <f t="shared" si="63"/>
        <v>0</v>
      </c>
      <c r="BW79" s="4">
        <f t="shared" si="64"/>
        <v>6</v>
      </c>
      <c r="BX79" s="4">
        <f t="shared" si="65"/>
        <v>0</v>
      </c>
      <c r="BY79" s="4">
        <f t="shared" si="66"/>
        <v>0</v>
      </c>
      <c r="BZ79" s="37">
        <f t="shared" si="67"/>
        <v>90</v>
      </c>
      <c r="CA79" s="32" t="str">
        <f>VLOOKUP(J:J,'Agent wise'!A:C,3,0)</f>
        <v>Saran S</v>
      </c>
      <c r="CB79" s="32">
        <f t="shared" si="68"/>
        <v>45932</v>
      </c>
      <c r="CC79" t="str">
        <f t="shared" si="69"/>
        <v>Good</v>
      </c>
      <c r="CE79" s="32"/>
      <c r="CJ79">
        <f t="shared" si="70"/>
        <v>2</v>
      </c>
      <c r="CK79">
        <f t="shared" si="71"/>
        <v>10</v>
      </c>
      <c r="CL79">
        <f t="shared" si="72"/>
        <v>2025</v>
      </c>
    </row>
    <row r="80" spans="1:90" ht="15" customHeight="1" x14ac:dyDescent="0.35">
      <c r="A80" s="40">
        <v>45698.94740740741</v>
      </c>
      <c r="B80" t="s">
        <v>130</v>
      </c>
      <c r="C80" t="s">
        <v>214</v>
      </c>
      <c r="D80" t="s">
        <v>131</v>
      </c>
      <c r="E80" s="32">
        <v>45932</v>
      </c>
      <c r="F80" t="s">
        <v>54</v>
      </c>
      <c r="G80" s="2">
        <v>45698</v>
      </c>
      <c r="H80">
        <v>9092669383</v>
      </c>
      <c r="I80">
        <v>124</v>
      </c>
      <c r="J80" t="s">
        <v>367</v>
      </c>
      <c r="K80" t="s">
        <v>71</v>
      </c>
      <c r="L80" t="s">
        <v>72</v>
      </c>
      <c r="M80" t="s">
        <v>59</v>
      </c>
      <c r="N80" t="s">
        <v>59</v>
      </c>
      <c r="O80" t="s">
        <v>59</v>
      </c>
      <c r="P80" t="s">
        <v>59</v>
      </c>
      <c r="Q80" t="s">
        <v>59</v>
      </c>
      <c r="R80" t="s">
        <v>59</v>
      </c>
      <c r="S80" t="s">
        <v>59</v>
      </c>
      <c r="T80" t="s">
        <v>59</v>
      </c>
      <c r="U80" t="s">
        <v>60</v>
      </c>
      <c r="V80" t="s">
        <v>59</v>
      </c>
      <c r="W80" t="s">
        <v>59</v>
      </c>
      <c r="X80" t="s">
        <v>59</v>
      </c>
      <c r="Y80" t="s">
        <v>59</v>
      </c>
      <c r="Z80" t="s">
        <v>59</v>
      </c>
      <c r="AA80" t="s">
        <v>59</v>
      </c>
      <c r="AB80" t="s">
        <v>60</v>
      </c>
      <c r="AC80" t="s">
        <v>59</v>
      </c>
      <c r="AD80" t="s">
        <v>59</v>
      </c>
      <c r="AE80" t="s">
        <v>59</v>
      </c>
      <c r="AF80" t="s">
        <v>61</v>
      </c>
      <c r="AG80" t="s">
        <v>59</v>
      </c>
      <c r="AH80" t="s">
        <v>61</v>
      </c>
      <c r="AI80" t="s">
        <v>61</v>
      </c>
      <c r="AJ80" t="s">
        <v>59</v>
      </c>
      <c r="AK80" t="s">
        <v>59</v>
      </c>
      <c r="AL80" t="s">
        <v>60</v>
      </c>
      <c r="AM80" t="s">
        <v>59</v>
      </c>
      <c r="AN80" t="s">
        <v>59</v>
      </c>
      <c r="AO80" t="s">
        <v>59</v>
      </c>
      <c r="AP80" t="s">
        <v>368</v>
      </c>
      <c r="AQ80" s="1" t="s">
        <v>369</v>
      </c>
      <c r="AR80" t="s">
        <v>64</v>
      </c>
      <c r="AS80" t="s">
        <v>89</v>
      </c>
      <c r="AT80" t="s">
        <v>293</v>
      </c>
      <c r="AU80" t="s">
        <v>219</v>
      </c>
      <c r="AW80" s="4">
        <f t="shared" si="38"/>
        <v>6</v>
      </c>
      <c r="AX80" s="4">
        <f t="shared" si="39"/>
        <v>4</v>
      </c>
      <c r="AY80" s="4">
        <f t="shared" si="40"/>
        <v>4</v>
      </c>
      <c r="AZ80" s="4">
        <f t="shared" si="41"/>
        <v>2</v>
      </c>
      <c r="BA80" s="4">
        <f t="shared" si="42"/>
        <v>4</v>
      </c>
      <c r="BB80" s="4">
        <f t="shared" si="43"/>
        <v>4</v>
      </c>
      <c r="BC80" s="4">
        <f t="shared" si="44"/>
        <v>4</v>
      </c>
      <c r="BD80" s="4">
        <f t="shared" si="45"/>
        <v>2</v>
      </c>
      <c r="BE80" s="4" t="str">
        <f t="shared" si="46"/>
        <v>0</v>
      </c>
      <c r="BF80" s="4">
        <f t="shared" si="47"/>
        <v>2</v>
      </c>
      <c r="BG80" s="4">
        <f t="shared" si="48"/>
        <v>4</v>
      </c>
      <c r="BH80" s="4">
        <f t="shared" si="49"/>
        <v>4</v>
      </c>
      <c r="BI80" s="4">
        <f t="shared" si="50"/>
        <v>4</v>
      </c>
      <c r="BJ80" s="4">
        <f t="shared" si="51"/>
        <v>2</v>
      </c>
      <c r="BK80" s="4">
        <f t="shared" si="52"/>
        <v>4</v>
      </c>
      <c r="BL80" s="4" t="str">
        <f t="shared" si="53"/>
        <v>0</v>
      </c>
      <c r="BM80" s="4">
        <f t="shared" si="54"/>
        <v>4</v>
      </c>
      <c r="BN80" s="4">
        <f t="shared" si="55"/>
        <v>4</v>
      </c>
      <c r="BO80" s="4">
        <f t="shared" si="56"/>
        <v>4</v>
      </c>
      <c r="BP80" s="4">
        <f t="shared" si="57"/>
        <v>4</v>
      </c>
      <c r="BQ80" s="4">
        <f t="shared" si="58"/>
        <v>6</v>
      </c>
      <c r="BR80" s="4">
        <f t="shared" si="59"/>
        <v>4</v>
      </c>
      <c r="BS80" s="4">
        <f t="shared" si="60"/>
        <v>4</v>
      </c>
      <c r="BT80" s="4">
        <f t="shared" si="61"/>
        <v>4</v>
      </c>
      <c r="BU80" s="4">
        <f t="shared" si="62"/>
        <v>4</v>
      </c>
      <c r="BV80" s="4" t="str">
        <f t="shared" si="63"/>
        <v>0</v>
      </c>
      <c r="BW80" s="4">
        <f t="shared" si="64"/>
        <v>6</v>
      </c>
      <c r="BX80" s="4">
        <f t="shared" si="65"/>
        <v>0</v>
      </c>
      <c r="BY80" s="4">
        <f t="shared" si="66"/>
        <v>0</v>
      </c>
      <c r="BZ80" s="37">
        <f t="shared" si="67"/>
        <v>94</v>
      </c>
      <c r="CA80" s="32" t="str">
        <f>VLOOKUP(J:J,'Agent wise'!A:C,3,0)</f>
        <v>Saran S</v>
      </c>
      <c r="CB80" s="32">
        <f t="shared" si="68"/>
        <v>45932</v>
      </c>
      <c r="CC80" t="str">
        <f t="shared" si="69"/>
        <v>Good</v>
      </c>
      <c r="CE80" s="32"/>
      <c r="CJ80">
        <f t="shared" si="70"/>
        <v>2</v>
      </c>
      <c r="CK80">
        <f t="shared" si="71"/>
        <v>10</v>
      </c>
      <c r="CL80">
        <f t="shared" si="72"/>
        <v>2025</v>
      </c>
    </row>
    <row r="81" spans="1:90" ht="15" customHeight="1" x14ac:dyDescent="0.35">
      <c r="A81" s="40">
        <v>45698.949895833342</v>
      </c>
      <c r="B81" t="s">
        <v>130</v>
      </c>
      <c r="C81" t="s">
        <v>214</v>
      </c>
      <c r="D81" t="s">
        <v>131</v>
      </c>
      <c r="E81" s="32">
        <v>45932</v>
      </c>
      <c r="F81" t="s">
        <v>54</v>
      </c>
      <c r="G81" s="2">
        <v>45698</v>
      </c>
      <c r="H81">
        <v>9447029625</v>
      </c>
      <c r="I81">
        <v>133</v>
      </c>
      <c r="J81" t="s">
        <v>370</v>
      </c>
      <c r="K81" t="s">
        <v>57</v>
      </c>
      <c r="L81" t="s">
        <v>58</v>
      </c>
      <c r="M81" t="s">
        <v>59</v>
      </c>
      <c r="N81" t="s">
        <v>59</v>
      </c>
      <c r="O81" t="s">
        <v>59</v>
      </c>
      <c r="P81" t="s">
        <v>59</v>
      </c>
      <c r="Q81" t="s">
        <v>59</v>
      </c>
      <c r="R81" t="s">
        <v>59</v>
      </c>
      <c r="S81" t="s">
        <v>59</v>
      </c>
      <c r="T81" t="s">
        <v>59</v>
      </c>
      <c r="U81" t="s">
        <v>60</v>
      </c>
      <c r="V81" t="s">
        <v>59</v>
      </c>
      <c r="W81" t="s">
        <v>59</v>
      </c>
      <c r="X81" t="s">
        <v>59</v>
      </c>
      <c r="Y81" t="s">
        <v>59</v>
      </c>
      <c r="Z81" t="s">
        <v>59</v>
      </c>
      <c r="AA81" t="s">
        <v>60</v>
      </c>
      <c r="AB81" t="s">
        <v>61</v>
      </c>
      <c r="AC81" t="s">
        <v>60</v>
      </c>
      <c r="AD81" t="s">
        <v>59</v>
      </c>
      <c r="AE81" t="s">
        <v>59</v>
      </c>
      <c r="AF81" t="s">
        <v>61</v>
      </c>
      <c r="AG81" t="s">
        <v>59</v>
      </c>
      <c r="AH81" t="s">
        <v>61</v>
      </c>
      <c r="AI81" t="s">
        <v>61</v>
      </c>
      <c r="AJ81" t="s">
        <v>59</v>
      </c>
      <c r="AK81" t="s">
        <v>59</v>
      </c>
      <c r="AL81" t="s">
        <v>60</v>
      </c>
      <c r="AM81" t="s">
        <v>59</v>
      </c>
      <c r="AN81" t="s">
        <v>59</v>
      </c>
      <c r="AO81" t="s">
        <v>59</v>
      </c>
      <c r="AP81" t="s">
        <v>371</v>
      </c>
      <c r="AQ81" s="1" t="s">
        <v>372</v>
      </c>
      <c r="AR81" t="s">
        <v>64</v>
      </c>
      <c r="AS81" t="s">
        <v>373</v>
      </c>
      <c r="AT81" t="s">
        <v>374</v>
      </c>
      <c r="AU81" t="s">
        <v>219</v>
      </c>
      <c r="AW81" s="4">
        <f t="shared" si="38"/>
        <v>6</v>
      </c>
      <c r="AX81" s="4">
        <f t="shared" si="39"/>
        <v>4</v>
      </c>
      <c r="AY81" s="4">
        <f t="shared" si="40"/>
        <v>4</v>
      </c>
      <c r="AZ81" s="4">
        <f t="shared" si="41"/>
        <v>2</v>
      </c>
      <c r="BA81" s="4">
        <f t="shared" si="42"/>
        <v>4</v>
      </c>
      <c r="BB81" s="4">
        <f t="shared" si="43"/>
        <v>4</v>
      </c>
      <c r="BC81" s="4">
        <f t="shared" si="44"/>
        <v>4</v>
      </c>
      <c r="BD81" s="4">
        <f t="shared" si="45"/>
        <v>2</v>
      </c>
      <c r="BE81" s="4" t="str">
        <f t="shared" si="46"/>
        <v>0</v>
      </c>
      <c r="BF81" s="4">
        <f t="shared" si="47"/>
        <v>2</v>
      </c>
      <c r="BG81" s="4">
        <f t="shared" si="48"/>
        <v>4</v>
      </c>
      <c r="BH81" s="4">
        <f t="shared" si="49"/>
        <v>4</v>
      </c>
      <c r="BI81" s="4">
        <f t="shared" si="50"/>
        <v>4</v>
      </c>
      <c r="BJ81" s="4">
        <f t="shared" si="51"/>
        <v>2</v>
      </c>
      <c r="BK81" s="4" t="str">
        <f t="shared" si="52"/>
        <v>0</v>
      </c>
      <c r="BL81" s="4">
        <f t="shared" si="53"/>
        <v>2</v>
      </c>
      <c r="BM81" s="4" t="str">
        <f t="shared" si="54"/>
        <v>0</v>
      </c>
      <c r="BN81" s="4">
        <f t="shared" si="55"/>
        <v>4</v>
      </c>
      <c r="BO81" s="4">
        <f t="shared" si="56"/>
        <v>4</v>
      </c>
      <c r="BP81" s="4">
        <f t="shared" si="57"/>
        <v>4</v>
      </c>
      <c r="BQ81" s="4">
        <f t="shared" si="58"/>
        <v>6</v>
      </c>
      <c r="BR81" s="4">
        <f t="shared" si="59"/>
        <v>4</v>
      </c>
      <c r="BS81" s="4">
        <f t="shared" si="60"/>
        <v>4</v>
      </c>
      <c r="BT81" s="4">
        <f t="shared" si="61"/>
        <v>4</v>
      </c>
      <c r="BU81" s="4">
        <f t="shared" si="62"/>
        <v>4</v>
      </c>
      <c r="BV81" s="4" t="str">
        <f t="shared" si="63"/>
        <v>0</v>
      </c>
      <c r="BW81" s="4">
        <f t="shared" si="64"/>
        <v>6</v>
      </c>
      <c r="BX81" s="4">
        <f t="shared" si="65"/>
        <v>0</v>
      </c>
      <c r="BY81" s="4">
        <f t="shared" si="66"/>
        <v>0</v>
      </c>
      <c r="BZ81" s="37">
        <f t="shared" si="67"/>
        <v>88</v>
      </c>
      <c r="CA81" s="32" t="str">
        <f>VLOOKUP(J:J,'Agent wise'!A:C,3,0)</f>
        <v>Saran S</v>
      </c>
      <c r="CB81" s="32">
        <f t="shared" si="68"/>
        <v>45932</v>
      </c>
      <c r="CC81" t="str">
        <f t="shared" si="69"/>
        <v>Average</v>
      </c>
      <c r="CE81" s="32"/>
      <c r="CJ81">
        <f t="shared" si="70"/>
        <v>2</v>
      </c>
      <c r="CK81">
        <f t="shared" si="71"/>
        <v>10</v>
      </c>
      <c r="CL81">
        <f t="shared" si="72"/>
        <v>2025</v>
      </c>
    </row>
    <row r="82" spans="1:90" ht="15" customHeight="1" x14ac:dyDescent="0.35">
      <c r="A82" s="40">
        <v>45698.953402777777</v>
      </c>
      <c r="B82" t="s">
        <v>106</v>
      </c>
      <c r="C82" t="s">
        <v>214</v>
      </c>
      <c r="D82" t="s">
        <v>107</v>
      </c>
      <c r="E82" s="32">
        <v>45932</v>
      </c>
      <c r="F82" t="s">
        <v>54</v>
      </c>
      <c r="G82" s="2">
        <v>45698</v>
      </c>
      <c r="H82">
        <v>9788287793</v>
      </c>
      <c r="I82">
        <v>132</v>
      </c>
      <c r="J82" t="s">
        <v>139</v>
      </c>
      <c r="K82" t="s">
        <v>71</v>
      </c>
      <c r="L82" t="s">
        <v>72</v>
      </c>
      <c r="M82" t="s">
        <v>59</v>
      </c>
      <c r="N82" t="s">
        <v>59</v>
      </c>
      <c r="O82" t="s">
        <v>59</v>
      </c>
      <c r="P82" t="s">
        <v>59</v>
      </c>
      <c r="Q82" t="s">
        <v>59</v>
      </c>
      <c r="R82" t="s">
        <v>59</v>
      </c>
      <c r="S82" t="s">
        <v>59</v>
      </c>
      <c r="T82" t="s">
        <v>59</v>
      </c>
      <c r="U82" t="s">
        <v>59</v>
      </c>
      <c r="V82" t="s">
        <v>59</v>
      </c>
      <c r="W82" t="s">
        <v>59</v>
      </c>
      <c r="X82" t="s">
        <v>61</v>
      </c>
      <c r="Y82" t="s">
        <v>59</v>
      </c>
      <c r="Z82" t="s">
        <v>59</v>
      </c>
      <c r="AA82" t="s">
        <v>59</v>
      </c>
      <c r="AB82" t="s">
        <v>61</v>
      </c>
      <c r="AC82" t="s">
        <v>61</v>
      </c>
      <c r="AD82" t="s">
        <v>59</v>
      </c>
      <c r="AE82" t="s">
        <v>59</v>
      </c>
      <c r="AF82" t="s">
        <v>61</v>
      </c>
      <c r="AG82" t="s">
        <v>59</v>
      </c>
      <c r="AH82" t="s">
        <v>61</v>
      </c>
      <c r="AI82" t="s">
        <v>61</v>
      </c>
      <c r="AJ82" t="s">
        <v>59</v>
      </c>
      <c r="AK82" t="s">
        <v>59</v>
      </c>
      <c r="AL82" t="s">
        <v>59</v>
      </c>
      <c r="AM82" t="s">
        <v>59</v>
      </c>
      <c r="AN82" t="s">
        <v>59</v>
      </c>
      <c r="AO82" t="s">
        <v>59</v>
      </c>
      <c r="AP82" t="s">
        <v>375</v>
      </c>
      <c r="AQ82" s="1" t="s">
        <v>376</v>
      </c>
      <c r="AR82" t="s">
        <v>64</v>
      </c>
      <c r="AS82" t="s">
        <v>111</v>
      </c>
      <c r="AT82" t="s">
        <v>377</v>
      </c>
      <c r="AU82" t="s">
        <v>219</v>
      </c>
      <c r="AW82" s="4">
        <f t="shared" si="38"/>
        <v>6</v>
      </c>
      <c r="AX82" s="4">
        <f t="shared" si="39"/>
        <v>4</v>
      </c>
      <c r="AY82" s="4">
        <f t="shared" si="40"/>
        <v>4</v>
      </c>
      <c r="AZ82" s="4">
        <f t="shared" si="41"/>
        <v>2</v>
      </c>
      <c r="BA82" s="4">
        <f t="shared" si="42"/>
        <v>4</v>
      </c>
      <c r="BB82" s="4">
        <f t="shared" si="43"/>
        <v>4</v>
      </c>
      <c r="BC82" s="4">
        <f t="shared" si="44"/>
        <v>4</v>
      </c>
      <c r="BD82" s="4">
        <f t="shared" si="45"/>
        <v>2</v>
      </c>
      <c r="BE82" s="4">
        <f t="shared" si="46"/>
        <v>4</v>
      </c>
      <c r="BF82" s="4">
        <f t="shared" si="47"/>
        <v>2</v>
      </c>
      <c r="BG82" s="4">
        <f t="shared" si="48"/>
        <v>4</v>
      </c>
      <c r="BH82" s="4">
        <f t="shared" si="49"/>
        <v>4</v>
      </c>
      <c r="BI82" s="4">
        <f t="shared" si="50"/>
        <v>4</v>
      </c>
      <c r="BJ82" s="4">
        <f t="shared" si="51"/>
        <v>2</v>
      </c>
      <c r="BK82" s="4">
        <f t="shared" si="52"/>
        <v>4</v>
      </c>
      <c r="BL82" s="4">
        <f t="shared" si="53"/>
        <v>2</v>
      </c>
      <c r="BM82" s="4">
        <f t="shared" si="54"/>
        <v>4</v>
      </c>
      <c r="BN82" s="4">
        <f t="shared" si="55"/>
        <v>4</v>
      </c>
      <c r="BO82" s="4">
        <f t="shared" si="56"/>
        <v>4</v>
      </c>
      <c r="BP82" s="4">
        <f t="shared" si="57"/>
        <v>4</v>
      </c>
      <c r="BQ82" s="4">
        <f t="shared" si="58"/>
        <v>6</v>
      </c>
      <c r="BR82" s="4">
        <f t="shared" si="59"/>
        <v>4</v>
      </c>
      <c r="BS82" s="4">
        <f t="shared" si="60"/>
        <v>4</v>
      </c>
      <c r="BT82" s="4">
        <f t="shared" si="61"/>
        <v>4</v>
      </c>
      <c r="BU82" s="4">
        <f t="shared" si="62"/>
        <v>4</v>
      </c>
      <c r="BV82" s="4">
        <f t="shared" si="63"/>
        <v>0</v>
      </c>
      <c r="BW82" s="4">
        <f t="shared" si="64"/>
        <v>6</v>
      </c>
      <c r="BX82" s="4">
        <f t="shared" si="65"/>
        <v>0</v>
      </c>
      <c r="BY82" s="4">
        <f t="shared" si="66"/>
        <v>0</v>
      </c>
      <c r="BZ82" s="37">
        <f t="shared" si="67"/>
        <v>100</v>
      </c>
      <c r="CA82" s="32" t="str">
        <f>VLOOKUP(J:J,'Agent wise'!A:C,3,0)</f>
        <v>Shakeer</v>
      </c>
      <c r="CB82" s="32">
        <f t="shared" si="68"/>
        <v>45932</v>
      </c>
      <c r="CC82" t="str">
        <f t="shared" si="69"/>
        <v>Excellent</v>
      </c>
      <c r="CE82" s="32"/>
      <c r="CJ82">
        <f t="shared" si="70"/>
        <v>2</v>
      </c>
      <c r="CK82">
        <f t="shared" si="71"/>
        <v>10</v>
      </c>
      <c r="CL82">
        <f t="shared" si="72"/>
        <v>2025</v>
      </c>
    </row>
    <row r="83" spans="1:90" ht="15" customHeight="1" x14ac:dyDescent="0.35">
      <c r="A83" s="40">
        <v>45698.955810185187</v>
      </c>
      <c r="B83" t="s">
        <v>106</v>
      </c>
      <c r="C83" t="s">
        <v>214</v>
      </c>
      <c r="D83" t="s">
        <v>107</v>
      </c>
      <c r="E83" s="32">
        <v>45932</v>
      </c>
      <c r="F83" t="s">
        <v>54</v>
      </c>
      <c r="G83" s="2">
        <v>45698</v>
      </c>
      <c r="H83">
        <v>9698270383</v>
      </c>
      <c r="I83">
        <v>131</v>
      </c>
      <c r="J83" t="s">
        <v>139</v>
      </c>
      <c r="K83" t="s">
        <v>71</v>
      </c>
      <c r="L83" t="s">
        <v>72</v>
      </c>
      <c r="M83" t="s">
        <v>59</v>
      </c>
      <c r="N83" t="s">
        <v>59</v>
      </c>
      <c r="O83" t="s">
        <v>59</v>
      </c>
      <c r="P83" t="s">
        <v>59</v>
      </c>
      <c r="Q83" t="s">
        <v>59</v>
      </c>
      <c r="R83" t="s">
        <v>59</v>
      </c>
      <c r="S83" t="s">
        <v>59</v>
      </c>
      <c r="T83" t="s">
        <v>59</v>
      </c>
      <c r="U83" t="s">
        <v>60</v>
      </c>
      <c r="V83" t="s">
        <v>59</v>
      </c>
      <c r="W83" t="s">
        <v>59</v>
      </c>
      <c r="X83" t="s">
        <v>61</v>
      </c>
      <c r="Y83" t="s">
        <v>59</v>
      </c>
      <c r="Z83" t="s">
        <v>59</v>
      </c>
      <c r="AA83" t="s">
        <v>60</v>
      </c>
      <c r="AB83" t="s">
        <v>59</v>
      </c>
      <c r="AC83" t="s">
        <v>61</v>
      </c>
      <c r="AD83" t="s">
        <v>59</v>
      </c>
      <c r="AE83" t="s">
        <v>59</v>
      </c>
      <c r="AF83" t="s">
        <v>61</v>
      </c>
      <c r="AG83" t="s">
        <v>59</v>
      </c>
      <c r="AH83" t="s">
        <v>61</v>
      </c>
      <c r="AI83" t="s">
        <v>59</v>
      </c>
      <c r="AJ83" t="s">
        <v>59</v>
      </c>
      <c r="AK83" t="s">
        <v>59</v>
      </c>
      <c r="AL83" t="s">
        <v>60</v>
      </c>
      <c r="AM83" t="s">
        <v>59</v>
      </c>
      <c r="AN83" t="s">
        <v>59</v>
      </c>
      <c r="AO83" t="s">
        <v>59</v>
      </c>
      <c r="AP83" t="s">
        <v>378</v>
      </c>
      <c r="AQ83" t="s">
        <v>379</v>
      </c>
      <c r="AR83" t="s">
        <v>64</v>
      </c>
      <c r="AS83" t="s">
        <v>122</v>
      </c>
      <c r="AT83" t="s">
        <v>380</v>
      </c>
      <c r="AU83" t="s">
        <v>219</v>
      </c>
      <c r="AW83" s="4">
        <f t="shared" si="38"/>
        <v>6</v>
      </c>
      <c r="AX83" s="4">
        <f t="shared" si="39"/>
        <v>4</v>
      </c>
      <c r="AY83" s="4">
        <f t="shared" si="40"/>
        <v>4</v>
      </c>
      <c r="AZ83" s="4">
        <f t="shared" si="41"/>
        <v>2</v>
      </c>
      <c r="BA83" s="4">
        <f t="shared" si="42"/>
        <v>4</v>
      </c>
      <c r="BB83" s="4">
        <f t="shared" si="43"/>
        <v>4</v>
      </c>
      <c r="BC83" s="4">
        <f t="shared" si="44"/>
        <v>4</v>
      </c>
      <c r="BD83" s="4">
        <f t="shared" si="45"/>
        <v>2</v>
      </c>
      <c r="BE83" s="4" t="str">
        <f t="shared" si="46"/>
        <v>0</v>
      </c>
      <c r="BF83" s="4">
        <f t="shared" si="47"/>
        <v>2</v>
      </c>
      <c r="BG83" s="4">
        <f t="shared" si="48"/>
        <v>4</v>
      </c>
      <c r="BH83" s="4">
        <f t="shared" si="49"/>
        <v>4</v>
      </c>
      <c r="BI83" s="4">
        <f t="shared" si="50"/>
        <v>4</v>
      </c>
      <c r="BJ83" s="4">
        <f t="shared" si="51"/>
        <v>2</v>
      </c>
      <c r="BK83" s="4" t="str">
        <f t="shared" si="52"/>
        <v>0</v>
      </c>
      <c r="BL83" s="4">
        <f t="shared" si="53"/>
        <v>2</v>
      </c>
      <c r="BM83" s="4">
        <f t="shared" si="54"/>
        <v>4</v>
      </c>
      <c r="BN83" s="4">
        <f t="shared" si="55"/>
        <v>4</v>
      </c>
      <c r="BO83" s="4">
        <f t="shared" si="56"/>
        <v>4</v>
      </c>
      <c r="BP83" s="4">
        <f t="shared" si="57"/>
        <v>4</v>
      </c>
      <c r="BQ83" s="4">
        <f t="shared" si="58"/>
        <v>6</v>
      </c>
      <c r="BR83" s="4">
        <f t="shared" si="59"/>
        <v>4</v>
      </c>
      <c r="BS83" s="4">
        <f t="shared" si="60"/>
        <v>4</v>
      </c>
      <c r="BT83" s="4">
        <f t="shared" si="61"/>
        <v>4</v>
      </c>
      <c r="BU83" s="4">
        <f t="shared" si="62"/>
        <v>4</v>
      </c>
      <c r="BV83" s="4" t="str">
        <f t="shared" si="63"/>
        <v>0</v>
      </c>
      <c r="BW83" s="4">
        <f t="shared" si="64"/>
        <v>6</v>
      </c>
      <c r="BX83" s="4">
        <f t="shared" si="65"/>
        <v>0</v>
      </c>
      <c r="BY83" s="4">
        <f t="shared" si="66"/>
        <v>0</v>
      </c>
      <c r="BZ83" s="37">
        <f t="shared" si="67"/>
        <v>92</v>
      </c>
      <c r="CA83" s="32" t="str">
        <f>VLOOKUP(J:J,'Agent wise'!A:C,3,0)</f>
        <v>Shakeer</v>
      </c>
      <c r="CB83" s="32">
        <f t="shared" si="68"/>
        <v>45932</v>
      </c>
      <c r="CC83" t="str">
        <f t="shared" si="69"/>
        <v>Good</v>
      </c>
      <c r="CE83" s="32"/>
      <c r="CJ83">
        <f t="shared" si="70"/>
        <v>2</v>
      </c>
      <c r="CK83">
        <f t="shared" si="71"/>
        <v>10</v>
      </c>
      <c r="CL83">
        <f t="shared" si="72"/>
        <v>2025</v>
      </c>
    </row>
    <row r="84" spans="1:90" ht="15" customHeight="1" x14ac:dyDescent="0.35">
      <c r="A84" s="40">
        <v>45698.957071759258</v>
      </c>
      <c r="B84" t="s">
        <v>130</v>
      </c>
      <c r="C84" t="s">
        <v>214</v>
      </c>
      <c r="D84" t="s">
        <v>131</v>
      </c>
      <c r="E84" s="32">
        <v>45932</v>
      </c>
      <c r="F84" t="s">
        <v>54</v>
      </c>
      <c r="G84" s="2">
        <v>45698</v>
      </c>
      <c r="H84">
        <v>9447638204</v>
      </c>
      <c r="I84">
        <v>133</v>
      </c>
      <c r="J84" t="s">
        <v>326</v>
      </c>
      <c r="K84" t="s">
        <v>57</v>
      </c>
      <c r="L84" t="s">
        <v>58</v>
      </c>
      <c r="M84" t="s">
        <v>59</v>
      </c>
      <c r="N84" t="s">
        <v>59</v>
      </c>
      <c r="O84" t="s">
        <v>59</v>
      </c>
      <c r="P84" t="s">
        <v>59</v>
      </c>
      <c r="Q84" t="s">
        <v>59</v>
      </c>
      <c r="R84" t="s">
        <v>59</v>
      </c>
      <c r="S84" t="s">
        <v>59</v>
      </c>
      <c r="T84" t="s">
        <v>59</v>
      </c>
      <c r="U84" t="s">
        <v>60</v>
      </c>
      <c r="V84" t="s">
        <v>59</v>
      </c>
      <c r="W84" t="s">
        <v>59</v>
      </c>
      <c r="X84" t="s">
        <v>59</v>
      </c>
      <c r="Y84" t="s">
        <v>59</v>
      </c>
      <c r="Z84" t="s">
        <v>59</v>
      </c>
      <c r="AA84" t="s">
        <v>60</v>
      </c>
      <c r="AB84" t="s">
        <v>60</v>
      </c>
      <c r="AC84" t="s">
        <v>59</v>
      </c>
      <c r="AD84" t="s">
        <v>59</v>
      </c>
      <c r="AE84" t="s">
        <v>59</v>
      </c>
      <c r="AF84" t="s">
        <v>61</v>
      </c>
      <c r="AG84" t="s">
        <v>59</v>
      </c>
      <c r="AH84" t="s">
        <v>61</v>
      </c>
      <c r="AI84" t="s">
        <v>61</v>
      </c>
      <c r="AJ84" t="s">
        <v>59</v>
      </c>
      <c r="AK84" t="s">
        <v>59</v>
      </c>
      <c r="AL84" t="s">
        <v>60</v>
      </c>
      <c r="AM84" t="s">
        <v>59</v>
      </c>
      <c r="AN84" t="s">
        <v>59</v>
      </c>
      <c r="AO84" t="s">
        <v>59</v>
      </c>
      <c r="AP84" s="1" t="s">
        <v>381</v>
      </c>
      <c r="AQ84" s="1" t="s">
        <v>382</v>
      </c>
      <c r="AR84" t="s">
        <v>64</v>
      </c>
      <c r="AS84" t="s">
        <v>171</v>
      </c>
      <c r="AT84" t="s">
        <v>172</v>
      </c>
      <c r="AU84" t="s">
        <v>299</v>
      </c>
      <c r="AW84" s="4">
        <f t="shared" si="38"/>
        <v>6</v>
      </c>
      <c r="AX84" s="4">
        <f t="shared" si="39"/>
        <v>4</v>
      </c>
      <c r="AY84" s="4">
        <f t="shared" si="40"/>
        <v>4</v>
      </c>
      <c r="AZ84" s="4">
        <f t="shared" si="41"/>
        <v>2</v>
      </c>
      <c r="BA84" s="4">
        <f t="shared" si="42"/>
        <v>4</v>
      </c>
      <c r="BB84" s="4">
        <f t="shared" si="43"/>
        <v>4</v>
      </c>
      <c r="BC84" s="4">
        <f t="shared" si="44"/>
        <v>4</v>
      </c>
      <c r="BD84" s="4">
        <f t="shared" si="45"/>
        <v>2</v>
      </c>
      <c r="BE84" s="4" t="str">
        <f t="shared" si="46"/>
        <v>0</v>
      </c>
      <c r="BF84" s="4">
        <f t="shared" si="47"/>
        <v>2</v>
      </c>
      <c r="BG84" s="4">
        <f t="shared" si="48"/>
        <v>4</v>
      </c>
      <c r="BH84" s="4">
        <f t="shared" si="49"/>
        <v>4</v>
      </c>
      <c r="BI84" s="4">
        <f t="shared" si="50"/>
        <v>4</v>
      </c>
      <c r="BJ84" s="4">
        <f t="shared" si="51"/>
        <v>2</v>
      </c>
      <c r="BK84" s="4" t="str">
        <f t="shared" si="52"/>
        <v>0</v>
      </c>
      <c r="BL84" s="4" t="str">
        <f t="shared" si="53"/>
        <v>0</v>
      </c>
      <c r="BM84" s="4">
        <f t="shared" si="54"/>
        <v>4</v>
      </c>
      <c r="BN84" s="4">
        <f t="shared" si="55"/>
        <v>4</v>
      </c>
      <c r="BO84" s="4">
        <f t="shared" si="56"/>
        <v>4</v>
      </c>
      <c r="BP84" s="4">
        <f t="shared" si="57"/>
        <v>4</v>
      </c>
      <c r="BQ84" s="4">
        <f t="shared" si="58"/>
        <v>6</v>
      </c>
      <c r="BR84" s="4">
        <f t="shared" si="59"/>
        <v>4</v>
      </c>
      <c r="BS84" s="4">
        <f t="shared" si="60"/>
        <v>4</v>
      </c>
      <c r="BT84" s="4">
        <f t="shared" si="61"/>
        <v>4</v>
      </c>
      <c r="BU84" s="4">
        <f t="shared" si="62"/>
        <v>4</v>
      </c>
      <c r="BV84" s="4" t="str">
        <f t="shared" si="63"/>
        <v>0</v>
      </c>
      <c r="BW84" s="4">
        <f t="shared" si="64"/>
        <v>6</v>
      </c>
      <c r="BX84" s="4">
        <f t="shared" si="65"/>
        <v>0</v>
      </c>
      <c r="BY84" s="4">
        <f t="shared" si="66"/>
        <v>0</v>
      </c>
      <c r="BZ84" s="37">
        <f t="shared" si="67"/>
        <v>90</v>
      </c>
      <c r="CA84" s="32" t="str">
        <f>VLOOKUP(J:J,'Agent wise'!A:C,3,0)</f>
        <v>Saran S</v>
      </c>
      <c r="CB84" s="32">
        <f t="shared" si="68"/>
        <v>45932</v>
      </c>
      <c r="CC84" t="str">
        <f t="shared" si="69"/>
        <v>Good</v>
      </c>
      <c r="CE84" s="32"/>
      <c r="CJ84">
        <f t="shared" si="70"/>
        <v>2</v>
      </c>
      <c r="CK84">
        <f t="shared" si="71"/>
        <v>10</v>
      </c>
      <c r="CL84">
        <f t="shared" si="72"/>
        <v>2025</v>
      </c>
    </row>
    <row r="85" spans="1:90" ht="15" customHeight="1" x14ac:dyDescent="0.35">
      <c r="A85" s="40">
        <v>45698.957916666674</v>
      </c>
      <c r="B85" t="s">
        <v>106</v>
      </c>
      <c r="C85" t="s">
        <v>214</v>
      </c>
      <c r="D85" t="s">
        <v>107</v>
      </c>
      <c r="E85" s="32">
        <v>45932</v>
      </c>
      <c r="F85" t="s">
        <v>54</v>
      </c>
      <c r="G85" s="2">
        <v>45698</v>
      </c>
      <c r="H85">
        <v>8281362674</v>
      </c>
      <c r="I85">
        <v>134</v>
      </c>
      <c r="J85" t="s">
        <v>132</v>
      </c>
      <c r="K85" t="s">
        <v>57</v>
      </c>
      <c r="L85" t="s">
        <v>58</v>
      </c>
      <c r="M85" t="s">
        <v>59</v>
      </c>
      <c r="N85" t="s">
        <v>59</v>
      </c>
      <c r="O85" t="s">
        <v>59</v>
      </c>
      <c r="P85" t="s">
        <v>59</v>
      </c>
      <c r="Q85" t="s">
        <v>59</v>
      </c>
      <c r="R85" t="s">
        <v>59</v>
      </c>
      <c r="S85" t="s">
        <v>59</v>
      </c>
      <c r="T85" t="s">
        <v>59</v>
      </c>
      <c r="U85" t="s">
        <v>60</v>
      </c>
      <c r="V85" t="s">
        <v>59</v>
      </c>
      <c r="W85" t="s">
        <v>59</v>
      </c>
      <c r="X85" t="s">
        <v>61</v>
      </c>
      <c r="Y85" t="s">
        <v>59</v>
      </c>
      <c r="Z85" t="s">
        <v>60</v>
      </c>
      <c r="AA85" t="s">
        <v>59</v>
      </c>
      <c r="AB85" t="s">
        <v>59</v>
      </c>
      <c r="AC85" t="s">
        <v>60</v>
      </c>
      <c r="AD85" t="s">
        <v>59</v>
      </c>
      <c r="AE85" t="s">
        <v>59</v>
      </c>
      <c r="AF85" t="s">
        <v>61</v>
      </c>
      <c r="AG85" t="s">
        <v>59</v>
      </c>
      <c r="AH85" t="s">
        <v>61</v>
      </c>
      <c r="AI85" t="s">
        <v>61</v>
      </c>
      <c r="AJ85" t="s">
        <v>59</v>
      </c>
      <c r="AK85" t="s">
        <v>59</v>
      </c>
      <c r="AL85" t="s">
        <v>60</v>
      </c>
      <c r="AM85" t="s">
        <v>59</v>
      </c>
      <c r="AN85" t="s">
        <v>59</v>
      </c>
      <c r="AO85" t="s">
        <v>59</v>
      </c>
      <c r="AP85" t="s">
        <v>383</v>
      </c>
      <c r="AQ85" t="s">
        <v>384</v>
      </c>
      <c r="AR85" t="s">
        <v>64</v>
      </c>
      <c r="AS85" t="s">
        <v>385</v>
      </c>
      <c r="AT85" t="s">
        <v>386</v>
      </c>
      <c r="AU85" t="s">
        <v>387</v>
      </c>
      <c r="AW85" s="4">
        <f t="shared" si="38"/>
        <v>6</v>
      </c>
      <c r="AX85" s="4">
        <f t="shared" si="39"/>
        <v>4</v>
      </c>
      <c r="AY85" s="4">
        <f t="shared" si="40"/>
        <v>4</v>
      </c>
      <c r="AZ85" s="4">
        <f t="shared" si="41"/>
        <v>2</v>
      </c>
      <c r="BA85" s="4">
        <f t="shared" si="42"/>
        <v>4</v>
      </c>
      <c r="BB85" s="4">
        <f t="shared" si="43"/>
        <v>4</v>
      </c>
      <c r="BC85" s="4">
        <f t="shared" si="44"/>
        <v>4</v>
      </c>
      <c r="BD85" s="4">
        <f t="shared" si="45"/>
        <v>2</v>
      </c>
      <c r="BE85" s="4" t="str">
        <f t="shared" si="46"/>
        <v>0</v>
      </c>
      <c r="BF85" s="4">
        <f t="shared" si="47"/>
        <v>2</v>
      </c>
      <c r="BG85" s="4">
        <f t="shared" si="48"/>
        <v>4</v>
      </c>
      <c r="BH85" s="4">
        <f t="shared" si="49"/>
        <v>4</v>
      </c>
      <c r="BI85" s="4">
        <f t="shared" si="50"/>
        <v>4</v>
      </c>
      <c r="BJ85" s="4" t="str">
        <f t="shared" si="51"/>
        <v>0</v>
      </c>
      <c r="BK85" s="4">
        <f t="shared" si="52"/>
        <v>4</v>
      </c>
      <c r="BL85" s="4">
        <f t="shared" si="53"/>
        <v>2</v>
      </c>
      <c r="BM85" s="4" t="str">
        <f t="shared" si="54"/>
        <v>0</v>
      </c>
      <c r="BN85" s="4">
        <f t="shared" si="55"/>
        <v>4</v>
      </c>
      <c r="BO85" s="4">
        <f t="shared" si="56"/>
        <v>4</v>
      </c>
      <c r="BP85" s="4">
        <f t="shared" si="57"/>
        <v>4</v>
      </c>
      <c r="BQ85" s="4">
        <f t="shared" si="58"/>
        <v>6</v>
      </c>
      <c r="BR85" s="4">
        <f t="shared" si="59"/>
        <v>4</v>
      </c>
      <c r="BS85" s="4">
        <f t="shared" si="60"/>
        <v>4</v>
      </c>
      <c r="BT85" s="4">
        <f t="shared" si="61"/>
        <v>4</v>
      </c>
      <c r="BU85" s="4">
        <f t="shared" si="62"/>
        <v>4</v>
      </c>
      <c r="BV85" s="4" t="str">
        <f t="shared" si="63"/>
        <v>0</v>
      </c>
      <c r="BW85" s="4">
        <f t="shared" si="64"/>
        <v>6</v>
      </c>
      <c r="BX85" s="4">
        <f t="shared" si="65"/>
        <v>0</v>
      </c>
      <c r="BY85" s="4">
        <f t="shared" si="66"/>
        <v>0</v>
      </c>
      <c r="BZ85" s="37">
        <f t="shared" si="67"/>
        <v>90</v>
      </c>
      <c r="CA85" s="32" t="str">
        <f>VLOOKUP(J:J,'Agent wise'!A:C,3,0)</f>
        <v>Shakeer</v>
      </c>
      <c r="CB85" s="32">
        <f t="shared" si="68"/>
        <v>45932</v>
      </c>
      <c r="CC85" t="str">
        <f t="shared" si="69"/>
        <v>Good</v>
      </c>
      <c r="CE85" s="32"/>
      <c r="CJ85">
        <f t="shared" si="70"/>
        <v>2</v>
      </c>
      <c r="CK85">
        <f t="shared" si="71"/>
        <v>10</v>
      </c>
      <c r="CL85">
        <f t="shared" si="72"/>
        <v>2025</v>
      </c>
    </row>
    <row r="86" spans="1:90" ht="15" customHeight="1" x14ac:dyDescent="0.35">
      <c r="A86" s="40">
        <v>45698.96402777778</v>
      </c>
      <c r="B86" t="s">
        <v>106</v>
      </c>
      <c r="C86" t="s">
        <v>214</v>
      </c>
      <c r="D86" t="s">
        <v>107</v>
      </c>
      <c r="E86" s="32">
        <v>45932</v>
      </c>
      <c r="F86" t="s">
        <v>54</v>
      </c>
      <c r="G86" s="2">
        <v>45698</v>
      </c>
      <c r="H86">
        <v>9400290225</v>
      </c>
      <c r="I86">
        <v>183</v>
      </c>
      <c r="J86" t="s">
        <v>132</v>
      </c>
      <c r="K86" t="s">
        <v>57</v>
      </c>
      <c r="L86" t="s">
        <v>58</v>
      </c>
      <c r="M86" t="s">
        <v>59</v>
      </c>
      <c r="N86" t="s">
        <v>59</v>
      </c>
      <c r="O86" t="s">
        <v>59</v>
      </c>
      <c r="P86" t="s">
        <v>59</v>
      </c>
      <c r="Q86" t="s">
        <v>59</v>
      </c>
      <c r="R86" t="s">
        <v>59</v>
      </c>
      <c r="S86" t="s">
        <v>59</v>
      </c>
      <c r="T86" t="s">
        <v>59</v>
      </c>
      <c r="U86" t="s">
        <v>60</v>
      </c>
      <c r="V86" t="s">
        <v>59</v>
      </c>
      <c r="W86" t="s">
        <v>59</v>
      </c>
      <c r="X86" t="s">
        <v>61</v>
      </c>
      <c r="Y86" t="s">
        <v>59</v>
      </c>
      <c r="Z86" t="s">
        <v>60</v>
      </c>
      <c r="AA86" t="s">
        <v>59</v>
      </c>
      <c r="AB86" t="s">
        <v>59</v>
      </c>
      <c r="AC86" t="s">
        <v>61</v>
      </c>
      <c r="AD86" t="s">
        <v>61</v>
      </c>
      <c r="AE86" t="s">
        <v>59</v>
      </c>
      <c r="AF86" t="s">
        <v>61</v>
      </c>
      <c r="AG86" t="s">
        <v>59</v>
      </c>
      <c r="AH86" t="s">
        <v>61</v>
      </c>
      <c r="AI86" t="s">
        <v>59</v>
      </c>
      <c r="AJ86" t="s">
        <v>59</v>
      </c>
      <c r="AK86" t="s">
        <v>59</v>
      </c>
      <c r="AL86" t="s">
        <v>60</v>
      </c>
      <c r="AM86" t="s">
        <v>59</v>
      </c>
      <c r="AN86" t="s">
        <v>59</v>
      </c>
      <c r="AO86" t="s">
        <v>59</v>
      </c>
      <c r="AP86" t="s">
        <v>388</v>
      </c>
      <c r="AQ86" t="s">
        <v>389</v>
      </c>
      <c r="AR86" t="s">
        <v>64</v>
      </c>
      <c r="AS86" t="s">
        <v>122</v>
      </c>
      <c r="AT86" t="s">
        <v>390</v>
      </c>
      <c r="AU86" t="s">
        <v>387</v>
      </c>
      <c r="AW86" s="4">
        <f t="shared" si="38"/>
        <v>6</v>
      </c>
      <c r="AX86" s="4">
        <f t="shared" si="39"/>
        <v>4</v>
      </c>
      <c r="AY86" s="4">
        <f t="shared" si="40"/>
        <v>4</v>
      </c>
      <c r="AZ86" s="4">
        <f t="shared" si="41"/>
        <v>2</v>
      </c>
      <c r="BA86" s="4">
        <f t="shared" si="42"/>
        <v>4</v>
      </c>
      <c r="BB86" s="4">
        <f t="shared" si="43"/>
        <v>4</v>
      </c>
      <c r="BC86" s="4">
        <f t="shared" si="44"/>
        <v>4</v>
      </c>
      <c r="BD86" s="4">
        <f t="shared" si="45"/>
        <v>2</v>
      </c>
      <c r="BE86" s="4" t="str">
        <f t="shared" si="46"/>
        <v>0</v>
      </c>
      <c r="BF86" s="4">
        <f t="shared" si="47"/>
        <v>2</v>
      </c>
      <c r="BG86" s="4">
        <f t="shared" si="48"/>
        <v>4</v>
      </c>
      <c r="BH86" s="4">
        <f t="shared" si="49"/>
        <v>4</v>
      </c>
      <c r="BI86" s="4">
        <f t="shared" si="50"/>
        <v>4</v>
      </c>
      <c r="BJ86" s="4" t="str">
        <f t="shared" si="51"/>
        <v>0</v>
      </c>
      <c r="BK86" s="4">
        <f t="shared" si="52"/>
        <v>4</v>
      </c>
      <c r="BL86" s="4">
        <f t="shared" si="53"/>
        <v>2</v>
      </c>
      <c r="BM86" s="4">
        <f t="shared" si="54"/>
        <v>4</v>
      </c>
      <c r="BN86" s="4">
        <f t="shared" si="55"/>
        <v>4</v>
      </c>
      <c r="BO86" s="4">
        <f t="shared" si="56"/>
        <v>4</v>
      </c>
      <c r="BP86" s="4">
        <f t="shared" si="57"/>
        <v>4</v>
      </c>
      <c r="BQ86" s="4">
        <f t="shared" si="58"/>
        <v>6</v>
      </c>
      <c r="BR86" s="4">
        <f t="shared" si="59"/>
        <v>4</v>
      </c>
      <c r="BS86" s="4">
        <f t="shared" si="60"/>
        <v>4</v>
      </c>
      <c r="BT86" s="4">
        <f t="shared" si="61"/>
        <v>4</v>
      </c>
      <c r="BU86" s="4">
        <f t="shared" si="62"/>
        <v>4</v>
      </c>
      <c r="BV86" s="4" t="str">
        <f t="shared" si="63"/>
        <v>0</v>
      </c>
      <c r="BW86" s="4">
        <f t="shared" si="64"/>
        <v>6</v>
      </c>
      <c r="BX86" s="4">
        <f t="shared" si="65"/>
        <v>0</v>
      </c>
      <c r="BY86" s="4">
        <f t="shared" si="66"/>
        <v>0</v>
      </c>
      <c r="BZ86" s="37">
        <f t="shared" si="67"/>
        <v>94</v>
      </c>
      <c r="CA86" s="32" t="str">
        <f>VLOOKUP(J:J,'Agent wise'!A:C,3,0)</f>
        <v>Shakeer</v>
      </c>
      <c r="CB86" s="32">
        <f t="shared" si="68"/>
        <v>45932</v>
      </c>
      <c r="CC86" t="str">
        <f t="shared" si="69"/>
        <v>Good</v>
      </c>
      <c r="CE86" s="32"/>
      <c r="CJ86">
        <f t="shared" si="70"/>
        <v>2</v>
      </c>
      <c r="CK86">
        <f t="shared" si="71"/>
        <v>10</v>
      </c>
      <c r="CL86">
        <f t="shared" si="72"/>
        <v>2025</v>
      </c>
    </row>
    <row r="87" spans="1:90" ht="15" customHeight="1" x14ac:dyDescent="0.35">
      <c r="A87" s="40">
        <v>45698.96675925926</v>
      </c>
      <c r="B87" t="s">
        <v>250</v>
      </c>
      <c r="C87" t="s">
        <v>214</v>
      </c>
      <c r="D87" t="s">
        <v>251</v>
      </c>
      <c r="E87" s="32">
        <v>45932</v>
      </c>
      <c r="F87" t="s">
        <v>222</v>
      </c>
      <c r="G87" s="2">
        <v>45667</v>
      </c>
      <c r="H87">
        <v>9688523849</v>
      </c>
      <c r="I87">
        <v>189</v>
      </c>
      <c r="J87" t="s">
        <v>391</v>
      </c>
      <c r="K87" t="s">
        <v>71</v>
      </c>
      <c r="L87" t="s">
        <v>72</v>
      </c>
      <c r="M87" t="s">
        <v>59</v>
      </c>
      <c r="N87" t="s">
        <v>59</v>
      </c>
      <c r="O87" t="s">
        <v>59</v>
      </c>
      <c r="P87" t="s">
        <v>59</v>
      </c>
      <c r="Q87" t="s">
        <v>59</v>
      </c>
      <c r="R87" t="s">
        <v>59</v>
      </c>
      <c r="S87" t="s">
        <v>59</v>
      </c>
      <c r="T87" t="s">
        <v>59</v>
      </c>
      <c r="U87" t="s">
        <v>60</v>
      </c>
      <c r="V87" t="s">
        <v>59</v>
      </c>
      <c r="W87" t="s">
        <v>59</v>
      </c>
      <c r="X87" t="s">
        <v>59</v>
      </c>
      <c r="Y87" t="s">
        <v>59</v>
      </c>
      <c r="Z87" t="s">
        <v>59</v>
      </c>
      <c r="AA87" t="s">
        <v>59</v>
      </c>
      <c r="AB87" t="s">
        <v>60</v>
      </c>
      <c r="AC87" t="s">
        <v>59</v>
      </c>
      <c r="AD87" t="s">
        <v>59</v>
      </c>
      <c r="AE87" t="s">
        <v>59</v>
      </c>
      <c r="AF87" t="s">
        <v>59</v>
      </c>
      <c r="AG87" t="s">
        <v>59</v>
      </c>
      <c r="AH87" t="s">
        <v>61</v>
      </c>
      <c r="AI87" t="s">
        <v>61</v>
      </c>
      <c r="AJ87" t="s">
        <v>59</v>
      </c>
      <c r="AK87" t="s">
        <v>59</v>
      </c>
      <c r="AL87" t="s">
        <v>60</v>
      </c>
      <c r="AM87" t="s">
        <v>59</v>
      </c>
      <c r="AN87" t="s">
        <v>59</v>
      </c>
      <c r="AO87" t="s">
        <v>59</v>
      </c>
      <c r="AP87" t="s">
        <v>392</v>
      </c>
      <c r="AQ87" t="s">
        <v>393</v>
      </c>
      <c r="AR87" t="s">
        <v>226</v>
      </c>
      <c r="AS87" t="s">
        <v>394</v>
      </c>
      <c r="AT87" t="s">
        <v>395</v>
      </c>
      <c r="AU87" t="s">
        <v>219</v>
      </c>
      <c r="AW87" s="4">
        <f t="shared" si="38"/>
        <v>6</v>
      </c>
      <c r="AX87" s="4">
        <f t="shared" si="39"/>
        <v>4</v>
      </c>
      <c r="AY87" s="4">
        <f t="shared" si="40"/>
        <v>4</v>
      </c>
      <c r="AZ87" s="4">
        <f t="shared" si="41"/>
        <v>2</v>
      </c>
      <c r="BA87" s="4">
        <f t="shared" si="42"/>
        <v>4</v>
      </c>
      <c r="BB87" s="4">
        <f t="shared" si="43"/>
        <v>4</v>
      </c>
      <c r="BC87" s="4">
        <f t="shared" si="44"/>
        <v>4</v>
      </c>
      <c r="BD87" s="4">
        <f t="shared" si="45"/>
        <v>2</v>
      </c>
      <c r="BE87" s="4" t="str">
        <f t="shared" si="46"/>
        <v>0</v>
      </c>
      <c r="BF87" s="4">
        <f t="shared" si="47"/>
        <v>2</v>
      </c>
      <c r="BG87" s="4">
        <f t="shared" si="48"/>
        <v>4</v>
      </c>
      <c r="BH87" s="4">
        <f t="shared" si="49"/>
        <v>4</v>
      </c>
      <c r="BI87" s="4">
        <f t="shared" si="50"/>
        <v>4</v>
      </c>
      <c r="BJ87" s="4">
        <f t="shared" si="51"/>
        <v>2</v>
      </c>
      <c r="BK87" s="4">
        <f t="shared" si="52"/>
        <v>4</v>
      </c>
      <c r="BL87" s="4" t="str">
        <f t="shared" si="53"/>
        <v>0</v>
      </c>
      <c r="BM87" s="4">
        <f t="shared" si="54"/>
        <v>4</v>
      </c>
      <c r="BN87" s="4">
        <f t="shared" si="55"/>
        <v>4</v>
      </c>
      <c r="BO87" s="4">
        <f t="shared" si="56"/>
        <v>4</v>
      </c>
      <c r="BP87" s="4">
        <f t="shared" si="57"/>
        <v>4</v>
      </c>
      <c r="BQ87" s="4">
        <f t="shared" si="58"/>
        <v>6</v>
      </c>
      <c r="BR87" s="4">
        <f t="shared" si="59"/>
        <v>4</v>
      </c>
      <c r="BS87" s="4">
        <f t="shared" si="60"/>
        <v>4</v>
      </c>
      <c r="BT87" s="4">
        <f t="shared" si="61"/>
        <v>4</v>
      </c>
      <c r="BU87" s="4">
        <f t="shared" si="62"/>
        <v>4</v>
      </c>
      <c r="BV87" s="4" t="str">
        <f t="shared" si="63"/>
        <v>0</v>
      </c>
      <c r="BW87" s="4">
        <f t="shared" si="64"/>
        <v>6</v>
      </c>
      <c r="BX87" s="4">
        <f t="shared" si="65"/>
        <v>0</v>
      </c>
      <c r="BY87" s="4">
        <f t="shared" si="66"/>
        <v>0</v>
      </c>
      <c r="BZ87" s="37">
        <f t="shared" si="67"/>
        <v>94</v>
      </c>
      <c r="CA87" s="32" t="str">
        <f>VLOOKUP(J:J,'Agent wise'!A:C,3,0)</f>
        <v>Amal</v>
      </c>
      <c r="CB87" s="32">
        <f t="shared" si="68"/>
        <v>45932</v>
      </c>
      <c r="CC87" t="str">
        <f t="shared" si="69"/>
        <v>Good</v>
      </c>
      <c r="CE87" s="32"/>
      <c r="CJ87">
        <f t="shared" si="70"/>
        <v>2</v>
      </c>
      <c r="CK87">
        <f t="shared" si="71"/>
        <v>10</v>
      </c>
      <c r="CL87">
        <f t="shared" si="72"/>
        <v>2025</v>
      </c>
    </row>
    <row r="88" spans="1:90" ht="15" customHeight="1" x14ac:dyDescent="0.35">
      <c r="A88" s="40">
        <v>45698.967824074083</v>
      </c>
      <c r="B88" t="s">
        <v>106</v>
      </c>
      <c r="C88" t="s">
        <v>214</v>
      </c>
      <c r="D88" t="s">
        <v>107</v>
      </c>
      <c r="E88" s="32">
        <v>45932</v>
      </c>
      <c r="F88" t="s">
        <v>54</v>
      </c>
      <c r="G88" s="2">
        <v>45698</v>
      </c>
      <c r="H88">
        <v>9487031472</v>
      </c>
      <c r="I88">
        <v>140</v>
      </c>
      <c r="J88" t="s">
        <v>108</v>
      </c>
      <c r="K88" t="s">
        <v>71</v>
      </c>
      <c r="L88" t="s">
        <v>72</v>
      </c>
      <c r="M88" t="s">
        <v>59</v>
      </c>
      <c r="N88" t="s">
        <v>59</v>
      </c>
      <c r="O88" t="s">
        <v>59</v>
      </c>
      <c r="P88" t="s">
        <v>59</v>
      </c>
      <c r="Q88" t="s">
        <v>59</v>
      </c>
      <c r="R88" t="s">
        <v>59</v>
      </c>
      <c r="S88" t="s">
        <v>59</v>
      </c>
      <c r="T88" t="s">
        <v>59</v>
      </c>
      <c r="U88" t="s">
        <v>60</v>
      </c>
      <c r="V88" t="s">
        <v>59</v>
      </c>
      <c r="W88" t="s">
        <v>59</v>
      </c>
      <c r="X88" t="s">
        <v>61</v>
      </c>
      <c r="Y88" t="s">
        <v>59</v>
      </c>
      <c r="Z88" t="s">
        <v>59</v>
      </c>
      <c r="AA88" t="s">
        <v>59</v>
      </c>
      <c r="AB88" t="s">
        <v>59</v>
      </c>
      <c r="AC88" t="s">
        <v>60</v>
      </c>
      <c r="AD88" t="s">
        <v>59</v>
      </c>
      <c r="AE88" t="s">
        <v>59</v>
      </c>
      <c r="AF88" t="s">
        <v>61</v>
      </c>
      <c r="AG88" t="s">
        <v>59</v>
      </c>
      <c r="AH88" t="s">
        <v>61</v>
      </c>
      <c r="AI88" t="s">
        <v>61</v>
      </c>
      <c r="AJ88" t="s">
        <v>59</v>
      </c>
      <c r="AK88" t="s">
        <v>59</v>
      </c>
      <c r="AL88" t="s">
        <v>60</v>
      </c>
      <c r="AM88" t="s">
        <v>59</v>
      </c>
      <c r="AN88" t="s">
        <v>59</v>
      </c>
      <c r="AO88" t="s">
        <v>59</v>
      </c>
      <c r="AP88" t="s">
        <v>145</v>
      </c>
      <c r="AQ88" t="s">
        <v>396</v>
      </c>
      <c r="AR88" t="s">
        <v>64</v>
      </c>
      <c r="AS88" t="s">
        <v>397</v>
      </c>
      <c r="AT88" t="s">
        <v>398</v>
      </c>
      <c r="AU88" t="s">
        <v>299</v>
      </c>
      <c r="AW88" s="4">
        <f t="shared" si="38"/>
        <v>6</v>
      </c>
      <c r="AX88" s="4">
        <f t="shared" si="39"/>
        <v>4</v>
      </c>
      <c r="AY88" s="4">
        <f t="shared" si="40"/>
        <v>4</v>
      </c>
      <c r="AZ88" s="4">
        <f t="shared" si="41"/>
        <v>2</v>
      </c>
      <c r="BA88" s="4">
        <f t="shared" si="42"/>
        <v>4</v>
      </c>
      <c r="BB88" s="4">
        <f t="shared" si="43"/>
        <v>4</v>
      </c>
      <c r="BC88" s="4">
        <f t="shared" si="44"/>
        <v>4</v>
      </c>
      <c r="BD88" s="4">
        <f t="shared" si="45"/>
        <v>2</v>
      </c>
      <c r="BE88" s="4" t="str">
        <f t="shared" si="46"/>
        <v>0</v>
      </c>
      <c r="BF88" s="4">
        <f t="shared" si="47"/>
        <v>2</v>
      </c>
      <c r="BG88" s="4">
        <f t="shared" si="48"/>
        <v>4</v>
      </c>
      <c r="BH88" s="4">
        <f t="shared" si="49"/>
        <v>4</v>
      </c>
      <c r="BI88" s="4">
        <f t="shared" si="50"/>
        <v>4</v>
      </c>
      <c r="BJ88" s="4">
        <f t="shared" si="51"/>
        <v>2</v>
      </c>
      <c r="BK88" s="4">
        <f t="shared" si="52"/>
        <v>4</v>
      </c>
      <c r="BL88" s="4">
        <f t="shared" si="53"/>
        <v>2</v>
      </c>
      <c r="BM88" s="4" t="str">
        <f t="shared" si="54"/>
        <v>0</v>
      </c>
      <c r="BN88" s="4">
        <f t="shared" si="55"/>
        <v>4</v>
      </c>
      <c r="BO88" s="4">
        <f t="shared" si="56"/>
        <v>4</v>
      </c>
      <c r="BP88" s="4">
        <f t="shared" si="57"/>
        <v>4</v>
      </c>
      <c r="BQ88" s="4">
        <f t="shared" si="58"/>
        <v>6</v>
      </c>
      <c r="BR88" s="4">
        <f t="shared" si="59"/>
        <v>4</v>
      </c>
      <c r="BS88" s="4">
        <f t="shared" si="60"/>
        <v>4</v>
      </c>
      <c r="BT88" s="4">
        <f t="shared" si="61"/>
        <v>4</v>
      </c>
      <c r="BU88" s="4">
        <f t="shared" si="62"/>
        <v>4</v>
      </c>
      <c r="BV88" s="4" t="str">
        <f t="shared" si="63"/>
        <v>0</v>
      </c>
      <c r="BW88" s="4">
        <f t="shared" si="64"/>
        <v>6</v>
      </c>
      <c r="BX88" s="4">
        <f t="shared" si="65"/>
        <v>0</v>
      </c>
      <c r="BY88" s="4">
        <f t="shared" si="66"/>
        <v>0</v>
      </c>
      <c r="BZ88" s="37">
        <f t="shared" si="67"/>
        <v>92</v>
      </c>
      <c r="CA88" s="32" t="str">
        <f>VLOOKUP(J:J,'Agent wise'!A:C,3,0)</f>
        <v xml:space="preserve">Shiny </v>
      </c>
      <c r="CB88" s="32">
        <f t="shared" si="68"/>
        <v>45932</v>
      </c>
      <c r="CC88" t="str">
        <f t="shared" si="69"/>
        <v>Good</v>
      </c>
      <c r="CE88" s="32"/>
      <c r="CJ88">
        <f t="shared" si="70"/>
        <v>2</v>
      </c>
      <c r="CK88">
        <f t="shared" si="71"/>
        <v>10</v>
      </c>
      <c r="CL88">
        <f t="shared" si="72"/>
        <v>2025</v>
      </c>
    </row>
    <row r="89" spans="1:90" ht="15" customHeight="1" x14ac:dyDescent="0.35">
      <c r="A89" s="40">
        <v>45698.969872685193</v>
      </c>
      <c r="B89" t="s">
        <v>250</v>
      </c>
      <c r="C89" t="s">
        <v>214</v>
      </c>
      <c r="D89" t="s">
        <v>251</v>
      </c>
      <c r="E89" s="32">
        <v>45932</v>
      </c>
      <c r="F89" t="s">
        <v>222</v>
      </c>
      <c r="G89" s="2">
        <v>45667</v>
      </c>
      <c r="H89">
        <v>8807815442</v>
      </c>
      <c r="I89">
        <v>135</v>
      </c>
      <c r="J89" t="s">
        <v>353</v>
      </c>
      <c r="K89" t="s">
        <v>71</v>
      </c>
      <c r="L89" t="s">
        <v>72</v>
      </c>
      <c r="M89" t="s">
        <v>59</v>
      </c>
      <c r="N89" t="s">
        <v>59</v>
      </c>
      <c r="O89" t="s">
        <v>59</v>
      </c>
      <c r="P89" t="s">
        <v>59</v>
      </c>
      <c r="Q89" t="s">
        <v>59</v>
      </c>
      <c r="R89" t="s">
        <v>59</v>
      </c>
      <c r="S89" t="s">
        <v>59</v>
      </c>
      <c r="T89" t="s">
        <v>59</v>
      </c>
      <c r="U89" t="s">
        <v>60</v>
      </c>
      <c r="V89" t="s">
        <v>59</v>
      </c>
      <c r="W89" t="s">
        <v>59</v>
      </c>
      <c r="X89" t="s">
        <v>59</v>
      </c>
      <c r="Y89" t="s">
        <v>59</v>
      </c>
      <c r="Z89" t="s">
        <v>59</v>
      </c>
      <c r="AA89" t="s">
        <v>59</v>
      </c>
      <c r="AB89" t="s">
        <v>60</v>
      </c>
      <c r="AC89" t="s">
        <v>59</v>
      </c>
      <c r="AD89" t="s">
        <v>59</v>
      </c>
      <c r="AE89" t="s">
        <v>59</v>
      </c>
      <c r="AF89" t="s">
        <v>59</v>
      </c>
      <c r="AG89" t="s">
        <v>59</v>
      </c>
      <c r="AH89" t="s">
        <v>61</v>
      </c>
      <c r="AI89" t="s">
        <v>61</v>
      </c>
      <c r="AJ89" t="s">
        <v>59</v>
      </c>
      <c r="AK89" t="s">
        <v>59</v>
      </c>
      <c r="AL89" t="s">
        <v>60</v>
      </c>
      <c r="AM89" t="s">
        <v>59</v>
      </c>
      <c r="AN89" t="s">
        <v>59</v>
      </c>
      <c r="AO89" t="s">
        <v>59</v>
      </c>
      <c r="AP89" t="s">
        <v>392</v>
      </c>
      <c r="AQ89" t="s">
        <v>399</v>
      </c>
      <c r="AR89" t="s">
        <v>226</v>
      </c>
      <c r="AS89" t="s">
        <v>394</v>
      </c>
      <c r="AT89" t="s">
        <v>400</v>
      </c>
      <c r="AU89" t="s">
        <v>219</v>
      </c>
      <c r="AW89" s="4">
        <f t="shared" si="38"/>
        <v>6</v>
      </c>
      <c r="AX89" s="4">
        <f t="shared" si="39"/>
        <v>4</v>
      </c>
      <c r="AY89" s="4">
        <f t="shared" si="40"/>
        <v>4</v>
      </c>
      <c r="AZ89" s="4">
        <f t="shared" si="41"/>
        <v>2</v>
      </c>
      <c r="BA89" s="4">
        <f t="shared" si="42"/>
        <v>4</v>
      </c>
      <c r="BB89" s="4">
        <f t="shared" si="43"/>
        <v>4</v>
      </c>
      <c r="BC89" s="4">
        <f t="shared" si="44"/>
        <v>4</v>
      </c>
      <c r="BD89" s="4">
        <f t="shared" si="45"/>
        <v>2</v>
      </c>
      <c r="BE89" s="4" t="str">
        <f t="shared" si="46"/>
        <v>0</v>
      </c>
      <c r="BF89" s="4">
        <f t="shared" si="47"/>
        <v>2</v>
      </c>
      <c r="BG89" s="4">
        <f t="shared" si="48"/>
        <v>4</v>
      </c>
      <c r="BH89" s="4">
        <f t="shared" si="49"/>
        <v>4</v>
      </c>
      <c r="BI89" s="4">
        <f t="shared" si="50"/>
        <v>4</v>
      </c>
      <c r="BJ89" s="4">
        <f t="shared" si="51"/>
        <v>2</v>
      </c>
      <c r="BK89" s="4">
        <f t="shared" si="52"/>
        <v>4</v>
      </c>
      <c r="BL89" s="4" t="str">
        <f t="shared" si="53"/>
        <v>0</v>
      </c>
      <c r="BM89" s="4">
        <f t="shared" si="54"/>
        <v>4</v>
      </c>
      <c r="BN89" s="4">
        <f t="shared" si="55"/>
        <v>4</v>
      </c>
      <c r="BO89" s="4">
        <f t="shared" si="56"/>
        <v>4</v>
      </c>
      <c r="BP89" s="4">
        <f t="shared" si="57"/>
        <v>4</v>
      </c>
      <c r="BQ89" s="4">
        <f t="shared" si="58"/>
        <v>6</v>
      </c>
      <c r="BR89" s="4">
        <f t="shared" si="59"/>
        <v>4</v>
      </c>
      <c r="BS89" s="4">
        <f t="shared" si="60"/>
        <v>4</v>
      </c>
      <c r="BT89" s="4">
        <f t="shared" si="61"/>
        <v>4</v>
      </c>
      <c r="BU89" s="4">
        <f t="shared" si="62"/>
        <v>4</v>
      </c>
      <c r="BV89" s="4" t="str">
        <f t="shared" si="63"/>
        <v>0</v>
      </c>
      <c r="BW89" s="4">
        <f t="shared" si="64"/>
        <v>6</v>
      </c>
      <c r="BX89" s="4">
        <f t="shared" si="65"/>
        <v>0</v>
      </c>
      <c r="BY89" s="4">
        <f t="shared" si="66"/>
        <v>0</v>
      </c>
      <c r="BZ89" s="37">
        <f t="shared" si="67"/>
        <v>94</v>
      </c>
      <c r="CA89" s="32" t="str">
        <f>VLOOKUP(J:J,'Agent wise'!A:C,3,0)</f>
        <v>Amal</v>
      </c>
      <c r="CB89" s="32">
        <f t="shared" si="68"/>
        <v>45932</v>
      </c>
      <c r="CC89" t="str">
        <f t="shared" si="69"/>
        <v>Good</v>
      </c>
      <c r="CE89" s="32"/>
      <c r="CJ89">
        <f t="shared" si="70"/>
        <v>2</v>
      </c>
      <c r="CK89">
        <f t="shared" si="71"/>
        <v>10</v>
      </c>
      <c r="CL89">
        <f t="shared" si="72"/>
        <v>2025</v>
      </c>
    </row>
    <row r="90" spans="1:90" ht="15" customHeight="1" x14ac:dyDescent="0.35">
      <c r="A90" s="40">
        <v>45698.971863425933</v>
      </c>
      <c r="B90" t="s">
        <v>250</v>
      </c>
      <c r="C90" t="s">
        <v>214</v>
      </c>
      <c r="D90" t="s">
        <v>251</v>
      </c>
      <c r="E90" s="32">
        <v>45932</v>
      </c>
      <c r="F90" t="s">
        <v>222</v>
      </c>
      <c r="G90" s="2">
        <v>45667</v>
      </c>
      <c r="H90">
        <v>8610001629</v>
      </c>
      <c r="I90">
        <v>144</v>
      </c>
      <c r="J90" t="s">
        <v>223</v>
      </c>
      <c r="K90" t="s">
        <v>71</v>
      </c>
      <c r="L90" t="s">
        <v>72</v>
      </c>
      <c r="M90" t="s">
        <v>59</v>
      </c>
      <c r="N90" t="s">
        <v>59</v>
      </c>
      <c r="O90" t="s">
        <v>59</v>
      </c>
      <c r="P90" t="s">
        <v>59</v>
      </c>
      <c r="Q90" t="s">
        <v>59</v>
      </c>
      <c r="R90" t="s">
        <v>59</v>
      </c>
      <c r="S90" t="s">
        <v>59</v>
      </c>
      <c r="T90" t="s">
        <v>59</v>
      </c>
      <c r="U90" t="s">
        <v>60</v>
      </c>
      <c r="V90" t="s">
        <v>59</v>
      </c>
      <c r="W90" t="s">
        <v>59</v>
      </c>
      <c r="X90" t="s">
        <v>59</v>
      </c>
      <c r="Y90" t="s">
        <v>59</v>
      </c>
      <c r="Z90" t="s">
        <v>59</v>
      </c>
      <c r="AA90" t="s">
        <v>59</v>
      </c>
      <c r="AB90" t="s">
        <v>60</v>
      </c>
      <c r="AC90" t="s">
        <v>59</v>
      </c>
      <c r="AD90" t="s">
        <v>59</v>
      </c>
      <c r="AE90" t="s">
        <v>59</v>
      </c>
      <c r="AF90" t="s">
        <v>59</v>
      </c>
      <c r="AG90" t="s">
        <v>59</v>
      </c>
      <c r="AH90" t="s">
        <v>61</v>
      </c>
      <c r="AI90" t="s">
        <v>61</v>
      </c>
      <c r="AJ90" t="s">
        <v>59</v>
      </c>
      <c r="AK90" t="s">
        <v>59</v>
      </c>
      <c r="AL90" t="s">
        <v>60</v>
      </c>
      <c r="AM90" t="s">
        <v>59</v>
      </c>
      <c r="AN90" t="s">
        <v>59</v>
      </c>
      <c r="AO90" t="s">
        <v>59</v>
      </c>
      <c r="AP90" t="s">
        <v>392</v>
      </c>
      <c r="AQ90" t="s">
        <v>401</v>
      </c>
      <c r="AR90" t="s">
        <v>226</v>
      </c>
      <c r="AS90" t="s">
        <v>331</v>
      </c>
      <c r="AT90" t="s">
        <v>402</v>
      </c>
      <c r="AU90" t="s">
        <v>219</v>
      </c>
      <c r="AW90" s="4">
        <f t="shared" si="38"/>
        <v>6</v>
      </c>
      <c r="AX90" s="4">
        <f t="shared" si="39"/>
        <v>4</v>
      </c>
      <c r="AY90" s="4">
        <f t="shared" si="40"/>
        <v>4</v>
      </c>
      <c r="AZ90" s="4">
        <f t="shared" si="41"/>
        <v>2</v>
      </c>
      <c r="BA90" s="4">
        <f t="shared" si="42"/>
        <v>4</v>
      </c>
      <c r="BB90" s="4">
        <f t="shared" si="43"/>
        <v>4</v>
      </c>
      <c r="BC90" s="4">
        <f t="shared" si="44"/>
        <v>4</v>
      </c>
      <c r="BD90" s="4">
        <f t="shared" si="45"/>
        <v>2</v>
      </c>
      <c r="BE90" s="4" t="str">
        <f t="shared" si="46"/>
        <v>0</v>
      </c>
      <c r="BF90" s="4">
        <f t="shared" si="47"/>
        <v>2</v>
      </c>
      <c r="BG90" s="4">
        <f t="shared" si="48"/>
        <v>4</v>
      </c>
      <c r="BH90" s="4">
        <f t="shared" si="49"/>
        <v>4</v>
      </c>
      <c r="BI90" s="4">
        <f t="shared" si="50"/>
        <v>4</v>
      </c>
      <c r="BJ90" s="4">
        <f t="shared" si="51"/>
        <v>2</v>
      </c>
      <c r="BK90" s="4">
        <f t="shared" si="52"/>
        <v>4</v>
      </c>
      <c r="BL90" s="4" t="str">
        <f t="shared" si="53"/>
        <v>0</v>
      </c>
      <c r="BM90" s="4">
        <f t="shared" si="54"/>
        <v>4</v>
      </c>
      <c r="BN90" s="4">
        <f t="shared" si="55"/>
        <v>4</v>
      </c>
      <c r="BO90" s="4">
        <f t="shared" si="56"/>
        <v>4</v>
      </c>
      <c r="BP90" s="4">
        <f t="shared" si="57"/>
        <v>4</v>
      </c>
      <c r="BQ90" s="4">
        <f t="shared" si="58"/>
        <v>6</v>
      </c>
      <c r="BR90" s="4">
        <f t="shared" si="59"/>
        <v>4</v>
      </c>
      <c r="BS90" s="4">
        <f t="shared" si="60"/>
        <v>4</v>
      </c>
      <c r="BT90" s="4">
        <f t="shared" si="61"/>
        <v>4</v>
      </c>
      <c r="BU90" s="4">
        <f t="shared" si="62"/>
        <v>4</v>
      </c>
      <c r="BV90" s="4" t="str">
        <f t="shared" si="63"/>
        <v>0</v>
      </c>
      <c r="BW90" s="4">
        <f t="shared" si="64"/>
        <v>6</v>
      </c>
      <c r="BX90" s="4">
        <f t="shared" si="65"/>
        <v>0</v>
      </c>
      <c r="BY90" s="4">
        <f t="shared" si="66"/>
        <v>0</v>
      </c>
      <c r="BZ90" s="37">
        <f t="shared" si="67"/>
        <v>94</v>
      </c>
      <c r="CA90" s="32" t="str">
        <f>VLOOKUP(J:J,'Agent wise'!A:C,3,0)</f>
        <v>Amal</v>
      </c>
      <c r="CB90" s="32">
        <f t="shared" si="68"/>
        <v>45932</v>
      </c>
      <c r="CC90" t="str">
        <f t="shared" si="69"/>
        <v>Good</v>
      </c>
      <c r="CE90" s="32"/>
      <c r="CJ90">
        <f t="shared" si="70"/>
        <v>2</v>
      </c>
      <c r="CK90">
        <f t="shared" si="71"/>
        <v>10</v>
      </c>
      <c r="CL90">
        <f t="shared" si="72"/>
        <v>2025</v>
      </c>
    </row>
    <row r="91" spans="1:90" ht="15" customHeight="1" x14ac:dyDescent="0.35">
      <c r="A91" s="40">
        <v>45698.974629629629</v>
      </c>
      <c r="B91" t="s">
        <v>250</v>
      </c>
      <c r="C91" t="s">
        <v>214</v>
      </c>
      <c r="D91" t="s">
        <v>251</v>
      </c>
      <c r="E91" s="32">
        <v>45932</v>
      </c>
      <c r="F91" t="s">
        <v>222</v>
      </c>
      <c r="G91" s="2">
        <v>45667</v>
      </c>
      <c r="H91">
        <v>9747653243</v>
      </c>
      <c r="I91">
        <v>150</v>
      </c>
      <c r="J91" t="s">
        <v>356</v>
      </c>
      <c r="K91" t="s">
        <v>71</v>
      </c>
      <c r="L91" t="s">
        <v>72</v>
      </c>
      <c r="M91" t="s">
        <v>59</v>
      </c>
      <c r="N91" t="s">
        <v>59</v>
      </c>
      <c r="O91" t="s">
        <v>59</v>
      </c>
      <c r="P91" t="s">
        <v>59</v>
      </c>
      <c r="Q91" t="s">
        <v>59</v>
      </c>
      <c r="R91" t="s">
        <v>59</v>
      </c>
      <c r="S91" t="s">
        <v>59</v>
      </c>
      <c r="T91" t="s">
        <v>59</v>
      </c>
      <c r="U91" t="s">
        <v>60</v>
      </c>
      <c r="V91" t="s">
        <v>59</v>
      </c>
      <c r="W91" t="s">
        <v>59</v>
      </c>
      <c r="X91" t="s">
        <v>59</v>
      </c>
      <c r="Y91" t="s">
        <v>59</v>
      </c>
      <c r="Z91" t="s">
        <v>59</v>
      </c>
      <c r="AA91" t="s">
        <v>59</v>
      </c>
      <c r="AB91" t="s">
        <v>59</v>
      </c>
      <c r="AC91" t="s">
        <v>59</v>
      </c>
      <c r="AD91" t="s">
        <v>59</v>
      </c>
      <c r="AE91" t="s">
        <v>59</v>
      </c>
      <c r="AF91" t="s">
        <v>59</v>
      </c>
      <c r="AG91" t="s">
        <v>59</v>
      </c>
      <c r="AH91" t="s">
        <v>61</v>
      </c>
      <c r="AI91" t="s">
        <v>59</v>
      </c>
      <c r="AJ91" t="s">
        <v>59</v>
      </c>
      <c r="AK91" t="s">
        <v>59</v>
      </c>
      <c r="AL91" t="s">
        <v>60</v>
      </c>
      <c r="AM91" t="s">
        <v>59</v>
      </c>
      <c r="AN91" t="s">
        <v>59</v>
      </c>
      <c r="AO91" t="s">
        <v>59</v>
      </c>
      <c r="AP91" t="s">
        <v>392</v>
      </c>
      <c r="AQ91" t="s">
        <v>403</v>
      </c>
      <c r="AR91" t="s">
        <v>226</v>
      </c>
      <c r="AS91" t="s">
        <v>404</v>
      </c>
      <c r="AT91" t="s">
        <v>405</v>
      </c>
      <c r="AU91" t="s">
        <v>219</v>
      </c>
      <c r="AW91" s="4">
        <f t="shared" si="38"/>
        <v>6</v>
      </c>
      <c r="AX91" s="4">
        <f t="shared" si="39"/>
        <v>4</v>
      </c>
      <c r="AY91" s="4">
        <f t="shared" si="40"/>
        <v>4</v>
      </c>
      <c r="AZ91" s="4">
        <f t="shared" si="41"/>
        <v>2</v>
      </c>
      <c r="BA91" s="4">
        <f t="shared" si="42"/>
        <v>4</v>
      </c>
      <c r="BB91" s="4">
        <f t="shared" si="43"/>
        <v>4</v>
      </c>
      <c r="BC91" s="4">
        <f t="shared" si="44"/>
        <v>4</v>
      </c>
      <c r="BD91" s="4">
        <f t="shared" si="45"/>
        <v>2</v>
      </c>
      <c r="BE91" s="4" t="str">
        <f t="shared" si="46"/>
        <v>0</v>
      </c>
      <c r="BF91" s="4">
        <f t="shared" si="47"/>
        <v>2</v>
      </c>
      <c r="BG91" s="4">
        <f t="shared" si="48"/>
        <v>4</v>
      </c>
      <c r="BH91" s="4">
        <f t="shared" si="49"/>
        <v>4</v>
      </c>
      <c r="BI91" s="4">
        <f t="shared" si="50"/>
        <v>4</v>
      </c>
      <c r="BJ91" s="4">
        <f t="shared" si="51"/>
        <v>2</v>
      </c>
      <c r="BK91" s="4">
        <f t="shared" si="52"/>
        <v>4</v>
      </c>
      <c r="BL91" s="4">
        <f t="shared" si="53"/>
        <v>2</v>
      </c>
      <c r="BM91" s="4">
        <f t="shared" si="54"/>
        <v>4</v>
      </c>
      <c r="BN91" s="4">
        <f t="shared" si="55"/>
        <v>4</v>
      </c>
      <c r="BO91" s="4">
        <f t="shared" si="56"/>
        <v>4</v>
      </c>
      <c r="BP91" s="4">
        <f t="shared" si="57"/>
        <v>4</v>
      </c>
      <c r="BQ91" s="4">
        <f t="shared" si="58"/>
        <v>6</v>
      </c>
      <c r="BR91" s="4">
        <f t="shared" si="59"/>
        <v>4</v>
      </c>
      <c r="BS91" s="4">
        <f t="shared" si="60"/>
        <v>4</v>
      </c>
      <c r="BT91" s="4">
        <f t="shared" si="61"/>
        <v>4</v>
      </c>
      <c r="BU91" s="4">
        <f t="shared" si="62"/>
        <v>4</v>
      </c>
      <c r="BV91" s="4" t="str">
        <f t="shared" si="63"/>
        <v>0</v>
      </c>
      <c r="BW91" s="4">
        <f t="shared" si="64"/>
        <v>6</v>
      </c>
      <c r="BX91" s="4">
        <f t="shared" si="65"/>
        <v>0</v>
      </c>
      <c r="BY91" s="4">
        <f t="shared" si="66"/>
        <v>0</v>
      </c>
      <c r="BZ91" s="37">
        <f t="shared" si="67"/>
        <v>96</v>
      </c>
      <c r="CA91" s="32" t="str">
        <f>VLOOKUP(J:J,'Agent wise'!A:C,3,0)</f>
        <v>Amal</v>
      </c>
      <c r="CB91" s="32">
        <f t="shared" si="68"/>
        <v>45932</v>
      </c>
      <c r="CC91" t="str">
        <f t="shared" si="69"/>
        <v>Excellent</v>
      </c>
      <c r="CE91" s="32"/>
      <c r="CJ91">
        <f t="shared" si="70"/>
        <v>2</v>
      </c>
      <c r="CK91">
        <f t="shared" si="71"/>
        <v>10</v>
      </c>
      <c r="CL91">
        <f t="shared" si="72"/>
        <v>2025</v>
      </c>
    </row>
    <row r="92" spans="1:90" ht="15" customHeight="1" x14ac:dyDescent="0.35">
      <c r="A92" s="40">
        <v>45698.976504629631</v>
      </c>
      <c r="B92" t="s">
        <v>130</v>
      </c>
      <c r="C92" t="s">
        <v>214</v>
      </c>
      <c r="D92" t="s">
        <v>131</v>
      </c>
      <c r="E92" s="32">
        <v>45932</v>
      </c>
      <c r="F92" t="s">
        <v>54</v>
      </c>
      <c r="G92" s="2">
        <v>45698</v>
      </c>
      <c r="H92">
        <v>8610493636</v>
      </c>
      <c r="I92">
        <v>133</v>
      </c>
      <c r="J92" t="s">
        <v>191</v>
      </c>
      <c r="K92" t="s">
        <v>57</v>
      </c>
      <c r="L92" t="s">
        <v>58</v>
      </c>
      <c r="M92" t="s">
        <v>59</v>
      </c>
      <c r="N92" t="s">
        <v>59</v>
      </c>
      <c r="O92" t="s">
        <v>59</v>
      </c>
      <c r="P92" t="s">
        <v>59</v>
      </c>
      <c r="Q92" t="s">
        <v>59</v>
      </c>
      <c r="R92" t="s">
        <v>59</v>
      </c>
      <c r="S92" t="s">
        <v>59</v>
      </c>
      <c r="T92" t="s">
        <v>59</v>
      </c>
      <c r="U92" t="s">
        <v>60</v>
      </c>
      <c r="V92" t="s">
        <v>59</v>
      </c>
      <c r="W92" t="s">
        <v>59</v>
      </c>
      <c r="X92" t="s">
        <v>59</v>
      </c>
      <c r="Y92" t="s">
        <v>59</v>
      </c>
      <c r="Z92" t="s">
        <v>59</v>
      </c>
      <c r="AA92" t="s">
        <v>60</v>
      </c>
      <c r="AB92" t="s">
        <v>60</v>
      </c>
      <c r="AC92" t="s">
        <v>59</v>
      </c>
      <c r="AD92" t="s">
        <v>59</v>
      </c>
      <c r="AE92" t="s">
        <v>59</v>
      </c>
      <c r="AF92" t="s">
        <v>61</v>
      </c>
      <c r="AG92" t="s">
        <v>59</v>
      </c>
      <c r="AH92" t="s">
        <v>61</v>
      </c>
      <c r="AI92" t="s">
        <v>61</v>
      </c>
      <c r="AJ92" t="s">
        <v>59</v>
      </c>
      <c r="AK92" t="s">
        <v>59</v>
      </c>
      <c r="AL92" t="s">
        <v>60</v>
      </c>
      <c r="AM92" t="s">
        <v>59</v>
      </c>
      <c r="AN92" t="s">
        <v>59</v>
      </c>
      <c r="AO92" t="s">
        <v>59</v>
      </c>
      <c r="AP92" t="s">
        <v>406</v>
      </c>
      <c r="AQ92" s="1" t="s">
        <v>407</v>
      </c>
      <c r="AR92" t="s">
        <v>64</v>
      </c>
      <c r="AS92" t="s">
        <v>198</v>
      </c>
      <c r="AT92" t="s">
        <v>408</v>
      </c>
      <c r="AU92" t="s">
        <v>219</v>
      </c>
      <c r="AW92" s="4">
        <f t="shared" si="38"/>
        <v>6</v>
      </c>
      <c r="AX92" s="4">
        <f t="shared" si="39"/>
        <v>4</v>
      </c>
      <c r="AY92" s="4">
        <f t="shared" si="40"/>
        <v>4</v>
      </c>
      <c r="AZ92" s="4">
        <f t="shared" si="41"/>
        <v>2</v>
      </c>
      <c r="BA92" s="4">
        <f t="shared" si="42"/>
        <v>4</v>
      </c>
      <c r="BB92" s="4">
        <f t="shared" si="43"/>
        <v>4</v>
      </c>
      <c r="BC92" s="4">
        <f t="shared" si="44"/>
        <v>4</v>
      </c>
      <c r="BD92" s="4">
        <f t="shared" si="45"/>
        <v>2</v>
      </c>
      <c r="BE92" s="4" t="str">
        <f t="shared" si="46"/>
        <v>0</v>
      </c>
      <c r="BF92" s="4">
        <f t="shared" si="47"/>
        <v>2</v>
      </c>
      <c r="BG92" s="4">
        <f t="shared" si="48"/>
        <v>4</v>
      </c>
      <c r="BH92" s="4">
        <f t="shared" si="49"/>
        <v>4</v>
      </c>
      <c r="BI92" s="4">
        <f t="shared" si="50"/>
        <v>4</v>
      </c>
      <c r="BJ92" s="4">
        <f t="shared" si="51"/>
        <v>2</v>
      </c>
      <c r="BK92" s="4" t="str">
        <f t="shared" si="52"/>
        <v>0</v>
      </c>
      <c r="BL92" s="4" t="str">
        <f t="shared" si="53"/>
        <v>0</v>
      </c>
      <c r="BM92" s="4">
        <f t="shared" si="54"/>
        <v>4</v>
      </c>
      <c r="BN92" s="4">
        <f t="shared" si="55"/>
        <v>4</v>
      </c>
      <c r="BO92" s="4">
        <f t="shared" si="56"/>
        <v>4</v>
      </c>
      <c r="BP92" s="4">
        <f t="shared" si="57"/>
        <v>4</v>
      </c>
      <c r="BQ92" s="4">
        <f t="shared" si="58"/>
        <v>6</v>
      </c>
      <c r="BR92" s="4">
        <f t="shared" si="59"/>
        <v>4</v>
      </c>
      <c r="BS92" s="4">
        <f t="shared" si="60"/>
        <v>4</v>
      </c>
      <c r="BT92" s="4">
        <f t="shared" si="61"/>
        <v>4</v>
      </c>
      <c r="BU92" s="4">
        <f t="shared" si="62"/>
        <v>4</v>
      </c>
      <c r="BV92" s="4" t="str">
        <f t="shared" si="63"/>
        <v>0</v>
      </c>
      <c r="BW92" s="4">
        <f t="shared" si="64"/>
        <v>6</v>
      </c>
      <c r="BX92" s="4">
        <f t="shared" si="65"/>
        <v>0</v>
      </c>
      <c r="BY92" s="4">
        <f t="shared" si="66"/>
        <v>0</v>
      </c>
      <c r="BZ92" s="37">
        <f t="shared" si="67"/>
        <v>90</v>
      </c>
      <c r="CA92" s="32" t="str">
        <f>VLOOKUP(J:J,'Agent wise'!A:C,3,0)</f>
        <v>Saran S</v>
      </c>
      <c r="CB92" s="32">
        <f t="shared" si="68"/>
        <v>45932</v>
      </c>
      <c r="CC92" t="str">
        <f t="shared" si="69"/>
        <v>Good</v>
      </c>
      <c r="CE92" s="32"/>
      <c r="CJ92">
        <f t="shared" si="70"/>
        <v>2</v>
      </c>
      <c r="CK92">
        <f t="shared" si="71"/>
        <v>10</v>
      </c>
      <c r="CL92">
        <f t="shared" si="72"/>
        <v>2025</v>
      </c>
    </row>
    <row r="93" spans="1:90" ht="15" customHeight="1" x14ac:dyDescent="0.35">
      <c r="A93" s="40">
        <v>45698.977986111109</v>
      </c>
      <c r="B93" t="s">
        <v>250</v>
      </c>
      <c r="C93" t="s">
        <v>214</v>
      </c>
      <c r="D93" t="s">
        <v>251</v>
      </c>
      <c r="E93" s="32">
        <v>45932</v>
      </c>
      <c r="F93" t="s">
        <v>222</v>
      </c>
      <c r="G93" s="2">
        <v>45667</v>
      </c>
      <c r="H93">
        <v>8943725437</v>
      </c>
      <c r="I93">
        <v>139</v>
      </c>
      <c r="J93" t="s">
        <v>409</v>
      </c>
      <c r="K93" t="s">
        <v>57</v>
      </c>
      <c r="L93" t="s">
        <v>58</v>
      </c>
      <c r="M93" t="s">
        <v>59</v>
      </c>
      <c r="N93" t="s">
        <v>59</v>
      </c>
      <c r="O93" t="s">
        <v>59</v>
      </c>
      <c r="P93" t="s">
        <v>59</v>
      </c>
      <c r="Q93" t="s">
        <v>59</v>
      </c>
      <c r="R93" t="s">
        <v>59</v>
      </c>
      <c r="S93" t="s">
        <v>59</v>
      </c>
      <c r="T93" t="s">
        <v>59</v>
      </c>
      <c r="U93" t="s">
        <v>60</v>
      </c>
      <c r="V93" t="s">
        <v>59</v>
      </c>
      <c r="W93" t="s">
        <v>59</v>
      </c>
      <c r="X93" t="s">
        <v>59</v>
      </c>
      <c r="Y93" t="s">
        <v>59</v>
      </c>
      <c r="Z93" t="s">
        <v>59</v>
      </c>
      <c r="AA93" t="s">
        <v>59</v>
      </c>
      <c r="AB93" t="s">
        <v>59</v>
      </c>
      <c r="AC93" t="s">
        <v>59</v>
      </c>
      <c r="AD93" t="s">
        <v>59</v>
      </c>
      <c r="AE93" t="s">
        <v>59</v>
      </c>
      <c r="AF93" t="s">
        <v>59</v>
      </c>
      <c r="AG93" t="s">
        <v>59</v>
      </c>
      <c r="AH93" t="s">
        <v>61</v>
      </c>
      <c r="AI93" t="s">
        <v>59</v>
      </c>
      <c r="AJ93" t="s">
        <v>59</v>
      </c>
      <c r="AK93" t="s">
        <v>59</v>
      </c>
      <c r="AL93" t="s">
        <v>60</v>
      </c>
      <c r="AM93" t="s">
        <v>59</v>
      </c>
      <c r="AN93" t="s">
        <v>60</v>
      </c>
      <c r="AO93" t="s">
        <v>59</v>
      </c>
      <c r="AP93" t="s">
        <v>410</v>
      </c>
      <c r="AQ93" t="s">
        <v>411</v>
      </c>
      <c r="AR93" t="s">
        <v>226</v>
      </c>
      <c r="AS93" t="s">
        <v>394</v>
      </c>
      <c r="AT93" t="s">
        <v>405</v>
      </c>
      <c r="AU93" t="s">
        <v>219</v>
      </c>
      <c r="AW93" s="4">
        <f t="shared" si="38"/>
        <v>6</v>
      </c>
      <c r="AX93" s="4">
        <f t="shared" si="39"/>
        <v>4</v>
      </c>
      <c r="AY93" s="4">
        <f t="shared" si="40"/>
        <v>4</v>
      </c>
      <c r="AZ93" s="4">
        <f t="shared" si="41"/>
        <v>2</v>
      </c>
      <c r="BA93" s="4">
        <f t="shared" si="42"/>
        <v>4</v>
      </c>
      <c r="BB93" s="4">
        <f t="shared" si="43"/>
        <v>4</v>
      </c>
      <c r="BC93" s="4">
        <f t="shared" si="44"/>
        <v>4</v>
      </c>
      <c r="BD93" s="4">
        <f t="shared" si="45"/>
        <v>2</v>
      </c>
      <c r="BE93" s="4" t="str">
        <f t="shared" si="46"/>
        <v>0</v>
      </c>
      <c r="BF93" s="4">
        <f t="shared" si="47"/>
        <v>2</v>
      </c>
      <c r="BG93" s="4">
        <f t="shared" si="48"/>
        <v>4</v>
      </c>
      <c r="BH93" s="4">
        <f t="shared" si="49"/>
        <v>4</v>
      </c>
      <c r="BI93" s="4">
        <f t="shared" si="50"/>
        <v>4</v>
      </c>
      <c r="BJ93" s="4">
        <f t="shared" si="51"/>
        <v>2</v>
      </c>
      <c r="BK93" s="4">
        <f t="shared" si="52"/>
        <v>4</v>
      </c>
      <c r="BL93" s="4">
        <f t="shared" si="53"/>
        <v>2</v>
      </c>
      <c r="BM93" s="4">
        <f t="shared" si="54"/>
        <v>4</v>
      </c>
      <c r="BN93" s="4">
        <f t="shared" si="55"/>
        <v>4</v>
      </c>
      <c r="BO93" s="4">
        <f t="shared" si="56"/>
        <v>4</v>
      </c>
      <c r="BP93" s="4">
        <f t="shared" si="57"/>
        <v>4</v>
      </c>
      <c r="BQ93" s="4">
        <f t="shared" si="58"/>
        <v>6</v>
      </c>
      <c r="BR93" s="4">
        <f t="shared" si="59"/>
        <v>4</v>
      </c>
      <c r="BS93" s="4">
        <f t="shared" si="60"/>
        <v>4</v>
      </c>
      <c r="BT93" s="4">
        <f t="shared" si="61"/>
        <v>4</v>
      </c>
      <c r="BU93" s="4">
        <f t="shared" si="62"/>
        <v>4</v>
      </c>
      <c r="BV93" s="4" t="str">
        <f t="shared" si="63"/>
        <v>0</v>
      </c>
      <c r="BW93" s="4">
        <f t="shared" si="64"/>
        <v>6</v>
      </c>
      <c r="BX93" s="4" t="str">
        <f t="shared" si="65"/>
        <v>0</v>
      </c>
      <c r="BY93" s="4">
        <f t="shared" si="66"/>
        <v>0</v>
      </c>
      <c r="BZ93" s="37">
        <f t="shared" si="67"/>
        <v>96</v>
      </c>
      <c r="CA93" s="32" t="str">
        <f>VLOOKUP(J:J,'Agent wise'!A:C,3,0)</f>
        <v>Amal</v>
      </c>
      <c r="CB93" s="32">
        <f t="shared" si="68"/>
        <v>45932</v>
      </c>
      <c r="CC93" t="str">
        <f t="shared" si="69"/>
        <v>Excellent</v>
      </c>
      <c r="CE93" s="32"/>
      <c r="CJ93">
        <f t="shared" si="70"/>
        <v>2</v>
      </c>
      <c r="CK93">
        <f t="shared" si="71"/>
        <v>10</v>
      </c>
      <c r="CL93">
        <f t="shared" si="72"/>
        <v>2025</v>
      </c>
    </row>
    <row r="94" spans="1:90" ht="15" customHeight="1" x14ac:dyDescent="0.35">
      <c r="A94" s="40">
        <v>45698.97934027778</v>
      </c>
      <c r="B94" t="s">
        <v>130</v>
      </c>
      <c r="C94" t="s">
        <v>214</v>
      </c>
      <c r="D94" t="s">
        <v>131</v>
      </c>
      <c r="E94" s="32">
        <v>45932</v>
      </c>
      <c r="F94" t="s">
        <v>54</v>
      </c>
      <c r="G94" s="2">
        <v>45698</v>
      </c>
      <c r="H94">
        <v>8330805704</v>
      </c>
      <c r="I94">
        <v>131</v>
      </c>
      <c r="J94" t="s">
        <v>412</v>
      </c>
      <c r="K94" t="s">
        <v>57</v>
      </c>
      <c r="L94" t="s">
        <v>58</v>
      </c>
      <c r="M94" t="s">
        <v>59</v>
      </c>
      <c r="N94" t="s">
        <v>59</v>
      </c>
      <c r="O94" t="s">
        <v>59</v>
      </c>
      <c r="P94" t="s">
        <v>59</v>
      </c>
      <c r="Q94" t="s">
        <v>59</v>
      </c>
      <c r="R94" t="s">
        <v>59</v>
      </c>
      <c r="S94" t="s">
        <v>59</v>
      </c>
      <c r="T94" t="s">
        <v>59</v>
      </c>
      <c r="U94" t="s">
        <v>60</v>
      </c>
      <c r="V94" t="s">
        <v>59</v>
      </c>
      <c r="W94" t="s">
        <v>59</v>
      </c>
      <c r="X94" t="s">
        <v>59</v>
      </c>
      <c r="Y94" t="s">
        <v>59</v>
      </c>
      <c r="Z94" t="s">
        <v>59</v>
      </c>
      <c r="AA94" t="s">
        <v>59</v>
      </c>
      <c r="AB94" t="s">
        <v>59</v>
      </c>
      <c r="AC94" t="s">
        <v>61</v>
      </c>
      <c r="AD94" t="s">
        <v>59</v>
      </c>
      <c r="AE94" t="s">
        <v>59</v>
      </c>
      <c r="AF94" t="s">
        <v>61</v>
      </c>
      <c r="AG94" t="s">
        <v>59</v>
      </c>
      <c r="AH94" t="s">
        <v>61</v>
      </c>
      <c r="AI94" t="s">
        <v>60</v>
      </c>
      <c r="AJ94" t="s">
        <v>59</v>
      </c>
      <c r="AK94" t="s">
        <v>59</v>
      </c>
      <c r="AL94" t="s">
        <v>60</v>
      </c>
      <c r="AM94" t="s">
        <v>59</v>
      </c>
      <c r="AN94" t="s">
        <v>59</v>
      </c>
      <c r="AO94" t="s">
        <v>59</v>
      </c>
      <c r="AP94" t="s">
        <v>413</v>
      </c>
      <c r="AQ94" s="1" t="s">
        <v>414</v>
      </c>
      <c r="AR94" t="s">
        <v>64</v>
      </c>
      <c r="AS94" t="s">
        <v>175</v>
      </c>
      <c r="AT94" t="s">
        <v>167</v>
      </c>
      <c r="AU94" t="s">
        <v>219</v>
      </c>
      <c r="AW94" s="4">
        <f t="shared" si="38"/>
        <v>6</v>
      </c>
      <c r="AX94" s="4">
        <f t="shared" si="39"/>
        <v>4</v>
      </c>
      <c r="AY94" s="4">
        <f t="shared" si="40"/>
        <v>4</v>
      </c>
      <c r="AZ94" s="4">
        <f t="shared" si="41"/>
        <v>2</v>
      </c>
      <c r="BA94" s="4">
        <f t="shared" si="42"/>
        <v>4</v>
      </c>
      <c r="BB94" s="4">
        <f t="shared" si="43"/>
        <v>4</v>
      </c>
      <c r="BC94" s="4">
        <f t="shared" si="44"/>
        <v>4</v>
      </c>
      <c r="BD94" s="4">
        <f t="shared" si="45"/>
        <v>2</v>
      </c>
      <c r="BE94" s="4" t="str">
        <f t="shared" si="46"/>
        <v>0</v>
      </c>
      <c r="BF94" s="4">
        <f t="shared" si="47"/>
        <v>2</v>
      </c>
      <c r="BG94" s="4">
        <f t="shared" si="48"/>
        <v>4</v>
      </c>
      <c r="BH94" s="4">
        <f t="shared" si="49"/>
        <v>4</v>
      </c>
      <c r="BI94" s="4">
        <f t="shared" si="50"/>
        <v>4</v>
      </c>
      <c r="BJ94" s="4">
        <f t="shared" si="51"/>
        <v>2</v>
      </c>
      <c r="BK94" s="4">
        <f t="shared" si="52"/>
        <v>4</v>
      </c>
      <c r="BL94" s="4">
        <f t="shared" si="53"/>
        <v>2</v>
      </c>
      <c r="BM94" s="4">
        <f t="shared" si="54"/>
        <v>4</v>
      </c>
      <c r="BN94" s="4">
        <f t="shared" si="55"/>
        <v>4</v>
      </c>
      <c r="BO94" s="4">
        <f t="shared" si="56"/>
        <v>4</v>
      </c>
      <c r="BP94" s="4">
        <f t="shared" si="57"/>
        <v>4</v>
      </c>
      <c r="BQ94" s="4">
        <f t="shared" si="58"/>
        <v>6</v>
      </c>
      <c r="BR94" s="4">
        <f t="shared" si="59"/>
        <v>4</v>
      </c>
      <c r="BS94" s="4" t="str">
        <f t="shared" si="60"/>
        <v>0</v>
      </c>
      <c r="BT94" s="4">
        <f t="shared" si="61"/>
        <v>4</v>
      </c>
      <c r="BU94" s="4">
        <f t="shared" si="62"/>
        <v>4</v>
      </c>
      <c r="BV94" s="4" t="str">
        <f t="shared" si="63"/>
        <v>0</v>
      </c>
      <c r="BW94" s="4">
        <f t="shared" si="64"/>
        <v>6</v>
      </c>
      <c r="BX94" s="4">
        <f t="shared" si="65"/>
        <v>0</v>
      </c>
      <c r="BY94" s="4">
        <f t="shared" si="66"/>
        <v>0</v>
      </c>
      <c r="BZ94" s="37">
        <f t="shared" si="67"/>
        <v>92</v>
      </c>
      <c r="CA94" s="32" t="str">
        <f>VLOOKUP(J:J,'Agent wise'!A:C,3,0)</f>
        <v>Saran S</v>
      </c>
      <c r="CB94" s="32">
        <f t="shared" si="68"/>
        <v>45932</v>
      </c>
      <c r="CC94" t="str">
        <f t="shared" si="69"/>
        <v>Good</v>
      </c>
      <c r="CE94" s="32"/>
      <c r="CJ94">
        <f t="shared" si="70"/>
        <v>2</v>
      </c>
      <c r="CK94">
        <f t="shared" si="71"/>
        <v>10</v>
      </c>
      <c r="CL94">
        <f t="shared" si="72"/>
        <v>2025</v>
      </c>
    </row>
    <row r="95" spans="1:90" ht="15" customHeight="1" x14ac:dyDescent="0.35">
      <c r="A95" s="40">
        <v>45698.981249999997</v>
      </c>
      <c r="B95" t="s">
        <v>106</v>
      </c>
      <c r="C95" t="s">
        <v>214</v>
      </c>
      <c r="D95" t="s">
        <v>107</v>
      </c>
      <c r="E95" s="32">
        <v>45932</v>
      </c>
      <c r="F95" t="s">
        <v>54</v>
      </c>
      <c r="G95" s="2">
        <v>45698</v>
      </c>
      <c r="H95">
        <v>6382576965</v>
      </c>
      <c r="I95">
        <v>148</v>
      </c>
      <c r="J95" t="s">
        <v>173</v>
      </c>
      <c r="K95" t="s">
        <v>71</v>
      </c>
      <c r="L95" t="s">
        <v>72</v>
      </c>
      <c r="M95" t="s">
        <v>59</v>
      </c>
      <c r="N95" t="s">
        <v>59</v>
      </c>
      <c r="O95" t="s">
        <v>59</v>
      </c>
      <c r="P95" t="s">
        <v>59</v>
      </c>
      <c r="Q95" t="s">
        <v>59</v>
      </c>
      <c r="R95" t="s">
        <v>59</v>
      </c>
      <c r="S95" t="s">
        <v>59</v>
      </c>
      <c r="T95" t="s">
        <v>59</v>
      </c>
      <c r="U95" t="s">
        <v>60</v>
      </c>
      <c r="V95" t="s">
        <v>59</v>
      </c>
      <c r="W95" t="s">
        <v>59</v>
      </c>
      <c r="X95" t="s">
        <v>61</v>
      </c>
      <c r="Y95" t="s">
        <v>59</v>
      </c>
      <c r="Z95" t="s">
        <v>60</v>
      </c>
      <c r="AA95" t="s">
        <v>60</v>
      </c>
      <c r="AB95" t="s">
        <v>60</v>
      </c>
      <c r="AC95" t="s">
        <v>60</v>
      </c>
      <c r="AD95" t="s">
        <v>61</v>
      </c>
      <c r="AE95" t="s">
        <v>59</v>
      </c>
      <c r="AF95" t="s">
        <v>61</v>
      </c>
      <c r="AG95" t="s">
        <v>59</v>
      </c>
      <c r="AH95" t="s">
        <v>61</v>
      </c>
      <c r="AI95" t="s">
        <v>61</v>
      </c>
      <c r="AJ95" t="s">
        <v>59</v>
      </c>
      <c r="AK95" t="s">
        <v>59</v>
      </c>
      <c r="AL95" t="s">
        <v>60</v>
      </c>
      <c r="AM95" t="s">
        <v>59</v>
      </c>
      <c r="AN95" t="s">
        <v>59</v>
      </c>
      <c r="AO95" t="s">
        <v>59</v>
      </c>
      <c r="AP95" t="s">
        <v>415</v>
      </c>
      <c r="AQ95" t="s">
        <v>416</v>
      </c>
      <c r="AR95" t="s">
        <v>64</v>
      </c>
      <c r="AS95" t="s">
        <v>417</v>
      </c>
      <c r="AT95" t="s">
        <v>418</v>
      </c>
      <c r="AU95" t="s">
        <v>268</v>
      </c>
      <c r="AW95" s="4">
        <f t="shared" si="38"/>
        <v>6</v>
      </c>
      <c r="AX95" s="4">
        <f t="shared" si="39"/>
        <v>4</v>
      </c>
      <c r="AY95" s="4">
        <f t="shared" si="40"/>
        <v>4</v>
      </c>
      <c r="AZ95" s="4">
        <f t="shared" si="41"/>
        <v>2</v>
      </c>
      <c r="BA95" s="4">
        <f t="shared" si="42"/>
        <v>4</v>
      </c>
      <c r="BB95" s="4">
        <f t="shared" si="43"/>
        <v>4</v>
      </c>
      <c r="BC95" s="4">
        <f t="shared" si="44"/>
        <v>4</v>
      </c>
      <c r="BD95" s="4">
        <f t="shared" si="45"/>
        <v>2</v>
      </c>
      <c r="BE95" s="4" t="str">
        <f t="shared" si="46"/>
        <v>0</v>
      </c>
      <c r="BF95" s="4">
        <f t="shared" si="47"/>
        <v>2</v>
      </c>
      <c r="BG95" s="4">
        <f t="shared" si="48"/>
        <v>4</v>
      </c>
      <c r="BH95" s="4">
        <f t="shared" si="49"/>
        <v>4</v>
      </c>
      <c r="BI95" s="4">
        <f t="shared" si="50"/>
        <v>4</v>
      </c>
      <c r="BJ95" s="4" t="str">
        <f t="shared" si="51"/>
        <v>0</v>
      </c>
      <c r="BK95" s="4" t="str">
        <f t="shared" si="52"/>
        <v>0</v>
      </c>
      <c r="BL95" s="4" t="str">
        <f t="shared" si="53"/>
        <v>0</v>
      </c>
      <c r="BM95" s="4" t="str">
        <f t="shared" si="54"/>
        <v>0</v>
      </c>
      <c r="BN95" s="4">
        <f t="shared" si="55"/>
        <v>4</v>
      </c>
      <c r="BO95" s="4">
        <f t="shared" si="56"/>
        <v>4</v>
      </c>
      <c r="BP95" s="4">
        <f t="shared" si="57"/>
        <v>4</v>
      </c>
      <c r="BQ95" s="4">
        <f t="shared" si="58"/>
        <v>6</v>
      </c>
      <c r="BR95" s="4">
        <f t="shared" si="59"/>
        <v>4</v>
      </c>
      <c r="BS95" s="4">
        <f t="shared" si="60"/>
        <v>4</v>
      </c>
      <c r="BT95" s="4">
        <f t="shared" si="61"/>
        <v>4</v>
      </c>
      <c r="BU95" s="4">
        <f t="shared" si="62"/>
        <v>4</v>
      </c>
      <c r="BV95" s="4" t="str">
        <f t="shared" si="63"/>
        <v>0</v>
      </c>
      <c r="BW95" s="4">
        <f t="shared" si="64"/>
        <v>6</v>
      </c>
      <c r="BX95" s="4">
        <f t="shared" si="65"/>
        <v>0</v>
      </c>
      <c r="BY95" s="4">
        <f t="shared" si="66"/>
        <v>0</v>
      </c>
      <c r="BZ95" s="37">
        <f t="shared" si="67"/>
        <v>84</v>
      </c>
      <c r="CA95" s="32" t="str">
        <f>VLOOKUP(J:J,'Agent wise'!A:C,3,0)</f>
        <v>Shakeer</v>
      </c>
      <c r="CB95" s="32">
        <f t="shared" si="68"/>
        <v>45932</v>
      </c>
      <c r="CC95" t="str">
        <f t="shared" si="69"/>
        <v>FC</v>
      </c>
      <c r="CE95" s="32"/>
      <c r="CJ95">
        <f t="shared" si="70"/>
        <v>2</v>
      </c>
      <c r="CK95">
        <f t="shared" si="71"/>
        <v>10</v>
      </c>
      <c r="CL95">
        <f t="shared" si="72"/>
        <v>2025</v>
      </c>
    </row>
    <row r="96" spans="1:90" ht="15" customHeight="1" x14ac:dyDescent="0.35">
      <c r="A96" s="40">
        <v>45698.981944444437</v>
      </c>
      <c r="B96" t="s">
        <v>250</v>
      </c>
      <c r="C96" t="s">
        <v>214</v>
      </c>
      <c r="D96" t="s">
        <v>251</v>
      </c>
      <c r="E96" s="32">
        <v>45932</v>
      </c>
      <c r="F96" t="s">
        <v>222</v>
      </c>
      <c r="G96" s="2">
        <v>45667</v>
      </c>
      <c r="H96">
        <v>9894525259</v>
      </c>
      <c r="I96">
        <v>144</v>
      </c>
      <c r="J96" t="s">
        <v>246</v>
      </c>
      <c r="K96" t="s">
        <v>86</v>
      </c>
      <c r="L96" t="s">
        <v>72</v>
      </c>
      <c r="M96" t="s">
        <v>59</v>
      </c>
      <c r="N96" t="s">
        <v>59</v>
      </c>
      <c r="O96" t="s">
        <v>59</v>
      </c>
      <c r="P96" t="s">
        <v>59</v>
      </c>
      <c r="Q96" t="s">
        <v>59</v>
      </c>
      <c r="R96" t="s">
        <v>59</v>
      </c>
      <c r="S96" t="s">
        <v>59</v>
      </c>
      <c r="T96" t="s">
        <v>59</v>
      </c>
      <c r="U96" t="s">
        <v>59</v>
      </c>
      <c r="V96" t="s">
        <v>59</v>
      </c>
      <c r="W96" t="s">
        <v>59</v>
      </c>
      <c r="X96" t="s">
        <v>59</v>
      </c>
      <c r="Y96" t="s">
        <v>59</v>
      </c>
      <c r="Z96" t="s">
        <v>59</v>
      </c>
      <c r="AA96" t="s">
        <v>59</v>
      </c>
      <c r="AB96" t="s">
        <v>59</v>
      </c>
      <c r="AC96" t="s">
        <v>61</v>
      </c>
      <c r="AD96" t="s">
        <v>59</v>
      </c>
      <c r="AE96" t="s">
        <v>59</v>
      </c>
      <c r="AF96" t="s">
        <v>59</v>
      </c>
      <c r="AG96" t="s">
        <v>59</v>
      </c>
      <c r="AH96" t="s">
        <v>61</v>
      </c>
      <c r="AI96" t="s">
        <v>59</v>
      </c>
      <c r="AJ96" t="s">
        <v>59</v>
      </c>
      <c r="AK96" t="s">
        <v>59</v>
      </c>
      <c r="AL96" t="s">
        <v>59</v>
      </c>
      <c r="AM96" t="s">
        <v>59</v>
      </c>
      <c r="AN96" t="s">
        <v>59</v>
      </c>
      <c r="AO96" t="s">
        <v>59</v>
      </c>
      <c r="AP96" t="s">
        <v>270</v>
      </c>
      <c r="AQ96" t="s">
        <v>419</v>
      </c>
      <c r="AR96" t="s">
        <v>226</v>
      </c>
      <c r="AS96" t="s">
        <v>404</v>
      </c>
      <c r="AT96" t="s">
        <v>402</v>
      </c>
      <c r="AU96" t="s">
        <v>219</v>
      </c>
      <c r="AW96" s="4">
        <f t="shared" si="38"/>
        <v>6</v>
      </c>
      <c r="AX96" s="4">
        <f t="shared" si="39"/>
        <v>4</v>
      </c>
      <c r="AY96" s="4">
        <f t="shared" si="40"/>
        <v>4</v>
      </c>
      <c r="AZ96" s="4">
        <f t="shared" si="41"/>
        <v>2</v>
      </c>
      <c r="BA96" s="4">
        <f t="shared" si="42"/>
        <v>4</v>
      </c>
      <c r="BB96" s="4">
        <f t="shared" si="43"/>
        <v>4</v>
      </c>
      <c r="BC96" s="4">
        <f t="shared" si="44"/>
        <v>4</v>
      </c>
      <c r="BD96" s="4">
        <f t="shared" si="45"/>
        <v>2</v>
      </c>
      <c r="BE96" s="4">
        <f t="shared" si="46"/>
        <v>4</v>
      </c>
      <c r="BF96" s="4">
        <f t="shared" si="47"/>
        <v>2</v>
      </c>
      <c r="BG96" s="4">
        <f t="shared" si="48"/>
        <v>4</v>
      </c>
      <c r="BH96" s="4">
        <f t="shared" si="49"/>
        <v>4</v>
      </c>
      <c r="BI96" s="4">
        <f t="shared" si="50"/>
        <v>4</v>
      </c>
      <c r="BJ96" s="4">
        <f t="shared" si="51"/>
        <v>2</v>
      </c>
      <c r="BK96" s="4">
        <f t="shared" si="52"/>
        <v>4</v>
      </c>
      <c r="BL96" s="4">
        <f t="shared" si="53"/>
        <v>2</v>
      </c>
      <c r="BM96" s="4">
        <f t="shared" si="54"/>
        <v>4</v>
      </c>
      <c r="BN96" s="4">
        <f t="shared" si="55"/>
        <v>4</v>
      </c>
      <c r="BO96" s="4">
        <f t="shared" si="56"/>
        <v>4</v>
      </c>
      <c r="BP96" s="4">
        <f t="shared" si="57"/>
        <v>4</v>
      </c>
      <c r="BQ96" s="4">
        <f t="shared" si="58"/>
        <v>6</v>
      </c>
      <c r="BR96" s="4">
        <f t="shared" si="59"/>
        <v>4</v>
      </c>
      <c r="BS96" s="4">
        <f t="shared" si="60"/>
        <v>4</v>
      </c>
      <c r="BT96" s="4">
        <f t="shared" si="61"/>
        <v>4</v>
      </c>
      <c r="BU96" s="4">
        <f t="shared" si="62"/>
        <v>4</v>
      </c>
      <c r="BV96" s="4">
        <f t="shared" si="63"/>
        <v>0</v>
      </c>
      <c r="BW96" s="4">
        <f t="shared" si="64"/>
        <v>6</v>
      </c>
      <c r="BX96" s="4">
        <f t="shared" si="65"/>
        <v>0</v>
      </c>
      <c r="BY96" s="4">
        <f t="shared" si="66"/>
        <v>0</v>
      </c>
      <c r="BZ96" s="37">
        <f t="shared" si="67"/>
        <v>100</v>
      </c>
      <c r="CA96" s="32" t="str">
        <f>VLOOKUP(J:J,'Agent wise'!A:C,3,0)</f>
        <v>Amal</v>
      </c>
      <c r="CB96" s="32">
        <f t="shared" si="68"/>
        <v>45932</v>
      </c>
      <c r="CC96" t="str">
        <f t="shared" si="69"/>
        <v>Excellent</v>
      </c>
      <c r="CE96" s="32"/>
      <c r="CJ96">
        <f t="shared" si="70"/>
        <v>2</v>
      </c>
      <c r="CK96">
        <f t="shared" si="71"/>
        <v>10</v>
      </c>
      <c r="CL96">
        <f t="shared" si="72"/>
        <v>2025</v>
      </c>
    </row>
    <row r="97" spans="1:90" ht="15" customHeight="1" x14ac:dyDescent="0.35">
      <c r="A97" s="40">
        <v>45698.983923611107</v>
      </c>
      <c r="B97" t="s">
        <v>250</v>
      </c>
      <c r="C97" t="s">
        <v>214</v>
      </c>
      <c r="D97" t="s">
        <v>251</v>
      </c>
      <c r="E97" s="32">
        <v>45932</v>
      </c>
      <c r="F97" t="s">
        <v>222</v>
      </c>
      <c r="G97" s="2">
        <v>45667</v>
      </c>
      <c r="H97">
        <v>9446676916</v>
      </c>
      <c r="I97">
        <v>132</v>
      </c>
      <c r="J97" t="s">
        <v>420</v>
      </c>
      <c r="K97" t="s">
        <v>57</v>
      </c>
      <c r="L97" t="s">
        <v>58</v>
      </c>
      <c r="M97" t="s">
        <v>59</v>
      </c>
      <c r="N97" t="s">
        <v>59</v>
      </c>
      <c r="O97" t="s">
        <v>59</v>
      </c>
      <c r="P97" t="s">
        <v>59</v>
      </c>
      <c r="Q97" t="s">
        <v>59</v>
      </c>
      <c r="R97" t="s">
        <v>59</v>
      </c>
      <c r="S97" t="s">
        <v>59</v>
      </c>
      <c r="T97" t="s">
        <v>59</v>
      </c>
      <c r="U97" t="s">
        <v>60</v>
      </c>
      <c r="V97" t="s">
        <v>59</v>
      </c>
      <c r="W97" t="s">
        <v>59</v>
      </c>
      <c r="X97" t="s">
        <v>59</v>
      </c>
      <c r="Y97" t="s">
        <v>59</v>
      </c>
      <c r="Z97" t="s">
        <v>60</v>
      </c>
      <c r="AA97" t="s">
        <v>59</v>
      </c>
      <c r="AB97" t="s">
        <v>59</v>
      </c>
      <c r="AC97" t="s">
        <v>59</v>
      </c>
      <c r="AD97" t="s">
        <v>59</v>
      </c>
      <c r="AE97" t="s">
        <v>59</v>
      </c>
      <c r="AF97" t="s">
        <v>59</v>
      </c>
      <c r="AG97" t="s">
        <v>59</v>
      </c>
      <c r="AH97" t="s">
        <v>61</v>
      </c>
      <c r="AI97" t="s">
        <v>59</v>
      </c>
      <c r="AJ97" t="s">
        <v>59</v>
      </c>
      <c r="AK97" t="s">
        <v>59</v>
      </c>
      <c r="AL97" t="s">
        <v>60</v>
      </c>
      <c r="AM97" t="s">
        <v>59</v>
      </c>
      <c r="AN97" t="s">
        <v>59</v>
      </c>
      <c r="AO97" t="s">
        <v>59</v>
      </c>
      <c r="AP97" t="s">
        <v>421</v>
      </c>
      <c r="AQ97" s="1" t="s">
        <v>422</v>
      </c>
      <c r="AR97" t="s">
        <v>226</v>
      </c>
      <c r="AS97" t="s">
        <v>331</v>
      </c>
      <c r="AT97" t="s">
        <v>402</v>
      </c>
      <c r="AU97" t="s">
        <v>387</v>
      </c>
      <c r="AW97" s="4">
        <f t="shared" si="38"/>
        <v>6</v>
      </c>
      <c r="AX97" s="4">
        <f t="shared" si="39"/>
        <v>4</v>
      </c>
      <c r="AY97" s="4">
        <f t="shared" si="40"/>
        <v>4</v>
      </c>
      <c r="AZ97" s="4">
        <f t="shared" si="41"/>
        <v>2</v>
      </c>
      <c r="BA97" s="4">
        <f t="shared" si="42"/>
        <v>4</v>
      </c>
      <c r="BB97" s="4">
        <f t="shared" si="43"/>
        <v>4</v>
      </c>
      <c r="BC97" s="4">
        <f t="shared" si="44"/>
        <v>4</v>
      </c>
      <c r="BD97" s="4">
        <f t="shared" si="45"/>
        <v>2</v>
      </c>
      <c r="BE97" s="4" t="str">
        <f t="shared" si="46"/>
        <v>0</v>
      </c>
      <c r="BF97" s="4">
        <f t="shared" si="47"/>
        <v>2</v>
      </c>
      <c r="BG97" s="4">
        <f t="shared" si="48"/>
        <v>4</v>
      </c>
      <c r="BH97" s="4">
        <f t="shared" si="49"/>
        <v>4</v>
      </c>
      <c r="BI97" s="4">
        <f t="shared" si="50"/>
        <v>4</v>
      </c>
      <c r="BJ97" s="4" t="str">
        <f t="shared" si="51"/>
        <v>0</v>
      </c>
      <c r="BK97" s="4">
        <f t="shared" si="52"/>
        <v>4</v>
      </c>
      <c r="BL97" s="4">
        <f t="shared" si="53"/>
        <v>2</v>
      </c>
      <c r="BM97" s="4">
        <f t="shared" si="54"/>
        <v>4</v>
      </c>
      <c r="BN97" s="4">
        <f t="shared" si="55"/>
        <v>4</v>
      </c>
      <c r="BO97" s="4">
        <f t="shared" si="56"/>
        <v>4</v>
      </c>
      <c r="BP97" s="4">
        <f t="shared" si="57"/>
        <v>4</v>
      </c>
      <c r="BQ97" s="4">
        <f t="shared" si="58"/>
        <v>6</v>
      </c>
      <c r="BR97" s="4">
        <f t="shared" si="59"/>
        <v>4</v>
      </c>
      <c r="BS97" s="4">
        <f t="shared" si="60"/>
        <v>4</v>
      </c>
      <c r="BT97" s="4">
        <f t="shared" si="61"/>
        <v>4</v>
      </c>
      <c r="BU97" s="4">
        <f t="shared" si="62"/>
        <v>4</v>
      </c>
      <c r="BV97" s="4" t="str">
        <f t="shared" si="63"/>
        <v>0</v>
      </c>
      <c r="BW97" s="4">
        <f t="shared" si="64"/>
        <v>6</v>
      </c>
      <c r="BX97" s="4">
        <f t="shared" si="65"/>
        <v>0</v>
      </c>
      <c r="BY97" s="4">
        <f t="shared" si="66"/>
        <v>0</v>
      </c>
      <c r="BZ97" s="37">
        <f t="shared" si="67"/>
        <v>94</v>
      </c>
      <c r="CA97" s="32" t="str">
        <f>VLOOKUP(J:J,'Agent wise'!A:C,3,0)</f>
        <v>Amal</v>
      </c>
      <c r="CB97" s="32">
        <f t="shared" si="68"/>
        <v>45932</v>
      </c>
      <c r="CC97" t="str">
        <f t="shared" si="69"/>
        <v>Good</v>
      </c>
      <c r="CE97" s="32"/>
      <c r="CJ97">
        <f t="shared" si="70"/>
        <v>2</v>
      </c>
      <c r="CK97">
        <f t="shared" si="71"/>
        <v>10</v>
      </c>
      <c r="CL97">
        <f t="shared" si="72"/>
        <v>2025</v>
      </c>
    </row>
    <row r="98" spans="1:90" ht="15" customHeight="1" x14ac:dyDescent="0.35">
      <c r="A98" s="40">
        <v>45698.984548611108</v>
      </c>
      <c r="B98" t="s">
        <v>130</v>
      </c>
      <c r="C98" t="s">
        <v>214</v>
      </c>
      <c r="D98" t="s">
        <v>131</v>
      </c>
      <c r="E98" s="32">
        <v>45932</v>
      </c>
      <c r="F98" t="s">
        <v>54</v>
      </c>
      <c r="G98" s="2">
        <v>45698</v>
      </c>
      <c r="H98">
        <v>7418150355</v>
      </c>
      <c r="I98">
        <v>130</v>
      </c>
      <c r="J98" t="s">
        <v>124</v>
      </c>
      <c r="K98" t="s">
        <v>71</v>
      </c>
      <c r="L98" t="s">
        <v>72</v>
      </c>
      <c r="M98" t="s">
        <v>59</v>
      </c>
      <c r="N98" t="s">
        <v>59</v>
      </c>
      <c r="O98" t="s">
        <v>59</v>
      </c>
      <c r="P98" t="s">
        <v>59</v>
      </c>
      <c r="Q98" t="s">
        <v>59</v>
      </c>
      <c r="R98" t="s">
        <v>59</v>
      </c>
      <c r="S98" t="s">
        <v>59</v>
      </c>
      <c r="T98" t="s">
        <v>59</v>
      </c>
      <c r="U98" t="s">
        <v>60</v>
      </c>
      <c r="V98" t="s">
        <v>59</v>
      </c>
      <c r="W98" t="s">
        <v>59</v>
      </c>
      <c r="X98" t="s">
        <v>59</v>
      </c>
      <c r="Y98" t="s">
        <v>59</v>
      </c>
      <c r="Z98" t="s">
        <v>59</v>
      </c>
      <c r="AA98" t="s">
        <v>60</v>
      </c>
      <c r="AB98" t="s">
        <v>60</v>
      </c>
      <c r="AC98" t="s">
        <v>59</v>
      </c>
      <c r="AD98" t="s">
        <v>59</v>
      </c>
      <c r="AE98" t="s">
        <v>59</v>
      </c>
      <c r="AF98" t="s">
        <v>61</v>
      </c>
      <c r="AG98" t="s">
        <v>59</v>
      </c>
      <c r="AH98" t="s">
        <v>61</v>
      </c>
      <c r="AI98" t="s">
        <v>61</v>
      </c>
      <c r="AJ98" t="s">
        <v>59</v>
      </c>
      <c r="AK98" t="s">
        <v>59</v>
      </c>
      <c r="AL98" t="s">
        <v>60</v>
      </c>
      <c r="AM98" t="s">
        <v>59</v>
      </c>
      <c r="AN98" t="s">
        <v>59</v>
      </c>
      <c r="AO98" t="s">
        <v>59</v>
      </c>
      <c r="AP98" t="s">
        <v>423</v>
      </c>
      <c r="AQ98" s="1" t="s">
        <v>424</v>
      </c>
      <c r="AR98" t="s">
        <v>64</v>
      </c>
      <c r="AS98" t="s">
        <v>171</v>
      </c>
      <c r="AT98" t="s">
        <v>172</v>
      </c>
      <c r="AU98" t="s">
        <v>219</v>
      </c>
      <c r="AW98" s="4">
        <f t="shared" si="38"/>
        <v>6</v>
      </c>
      <c r="AX98" s="4">
        <f t="shared" si="39"/>
        <v>4</v>
      </c>
      <c r="AY98" s="4">
        <f t="shared" si="40"/>
        <v>4</v>
      </c>
      <c r="AZ98" s="4">
        <f t="shared" si="41"/>
        <v>2</v>
      </c>
      <c r="BA98" s="4">
        <f t="shared" si="42"/>
        <v>4</v>
      </c>
      <c r="BB98" s="4">
        <f t="shared" si="43"/>
        <v>4</v>
      </c>
      <c r="BC98" s="4">
        <f t="shared" si="44"/>
        <v>4</v>
      </c>
      <c r="BD98" s="4">
        <f t="shared" si="45"/>
        <v>2</v>
      </c>
      <c r="BE98" s="4" t="str">
        <f t="shared" si="46"/>
        <v>0</v>
      </c>
      <c r="BF98" s="4">
        <f t="shared" si="47"/>
        <v>2</v>
      </c>
      <c r="BG98" s="4">
        <f t="shared" si="48"/>
        <v>4</v>
      </c>
      <c r="BH98" s="4">
        <f t="shared" si="49"/>
        <v>4</v>
      </c>
      <c r="BI98" s="4">
        <f t="shared" si="50"/>
        <v>4</v>
      </c>
      <c r="BJ98" s="4">
        <f t="shared" si="51"/>
        <v>2</v>
      </c>
      <c r="BK98" s="4" t="str">
        <f t="shared" si="52"/>
        <v>0</v>
      </c>
      <c r="BL98" s="4" t="str">
        <f t="shared" si="53"/>
        <v>0</v>
      </c>
      <c r="BM98" s="4">
        <f t="shared" si="54"/>
        <v>4</v>
      </c>
      <c r="BN98" s="4">
        <f t="shared" si="55"/>
        <v>4</v>
      </c>
      <c r="BO98" s="4">
        <f t="shared" si="56"/>
        <v>4</v>
      </c>
      <c r="BP98" s="4">
        <f t="shared" si="57"/>
        <v>4</v>
      </c>
      <c r="BQ98" s="4">
        <f t="shared" si="58"/>
        <v>6</v>
      </c>
      <c r="BR98" s="4">
        <f t="shared" si="59"/>
        <v>4</v>
      </c>
      <c r="BS98" s="4">
        <f t="shared" si="60"/>
        <v>4</v>
      </c>
      <c r="BT98" s="4">
        <f t="shared" si="61"/>
        <v>4</v>
      </c>
      <c r="BU98" s="4">
        <f t="shared" si="62"/>
        <v>4</v>
      </c>
      <c r="BV98" s="4" t="str">
        <f t="shared" si="63"/>
        <v>0</v>
      </c>
      <c r="BW98" s="4">
        <f t="shared" si="64"/>
        <v>6</v>
      </c>
      <c r="BX98" s="4">
        <f t="shared" si="65"/>
        <v>0</v>
      </c>
      <c r="BY98" s="4">
        <f t="shared" si="66"/>
        <v>0</v>
      </c>
      <c r="BZ98" s="37">
        <f t="shared" si="67"/>
        <v>90</v>
      </c>
      <c r="CA98" s="32" t="str">
        <f>VLOOKUP(J:J,'Agent wise'!A:C,3,0)</f>
        <v>Saran S</v>
      </c>
      <c r="CB98" s="32">
        <f t="shared" si="68"/>
        <v>45932</v>
      </c>
      <c r="CC98" t="str">
        <f t="shared" si="69"/>
        <v>Good</v>
      </c>
      <c r="CE98" s="32"/>
      <c r="CJ98">
        <f t="shared" si="70"/>
        <v>2</v>
      </c>
      <c r="CK98">
        <f t="shared" si="71"/>
        <v>10</v>
      </c>
      <c r="CL98">
        <f t="shared" si="72"/>
        <v>2025</v>
      </c>
    </row>
    <row r="99" spans="1:90" ht="15" customHeight="1" x14ac:dyDescent="0.35">
      <c r="A99" s="40">
        <v>45698.987395833326</v>
      </c>
      <c r="B99" t="s">
        <v>106</v>
      </c>
      <c r="C99" t="s">
        <v>214</v>
      </c>
      <c r="D99" t="s">
        <v>107</v>
      </c>
      <c r="E99" s="32">
        <v>45932</v>
      </c>
      <c r="F99" t="s">
        <v>54</v>
      </c>
      <c r="G99" s="2">
        <v>45698</v>
      </c>
      <c r="H99">
        <v>9486685827</v>
      </c>
      <c r="I99">
        <v>206</v>
      </c>
      <c r="J99" t="s">
        <v>208</v>
      </c>
      <c r="K99" t="s">
        <v>71</v>
      </c>
      <c r="L99" t="s">
        <v>72</v>
      </c>
      <c r="M99" t="s">
        <v>59</v>
      </c>
      <c r="N99" t="s">
        <v>59</v>
      </c>
      <c r="O99" t="s">
        <v>59</v>
      </c>
      <c r="P99" t="s">
        <v>59</v>
      </c>
      <c r="Q99" t="s">
        <v>59</v>
      </c>
      <c r="R99" t="s">
        <v>59</v>
      </c>
      <c r="S99" t="s">
        <v>59</v>
      </c>
      <c r="T99" t="s">
        <v>59</v>
      </c>
      <c r="U99" t="s">
        <v>60</v>
      </c>
      <c r="V99" t="s">
        <v>59</v>
      </c>
      <c r="W99" t="s">
        <v>59</v>
      </c>
      <c r="X99" t="s">
        <v>61</v>
      </c>
      <c r="Y99" t="s">
        <v>59</v>
      </c>
      <c r="Z99" t="s">
        <v>60</v>
      </c>
      <c r="AA99" t="s">
        <v>59</v>
      </c>
      <c r="AB99" t="s">
        <v>59</v>
      </c>
      <c r="AC99" t="s">
        <v>60</v>
      </c>
      <c r="AD99" t="s">
        <v>61</v>
      </c>
      <c r="AE99" t="s">
        <v>59</v>
      </c>
      <c r="AF99" t="s">
        <v>61</v>
      </c>
      <c r="AG99" t="s">
        <v>59</v>
      </c>
      <c r="AH99" t="s">
        <v>61</v>
      </c>
      <c r="AI99" t="s">
        <v>59</v>
      </c>
      <c r="AJ99" t="s">
        <v>59</v>
      </c>
      <c r="AK99" t="s">
        <v>59</v>
      </c>
      <c r="AL99" t="s">
        <v>59</v>
      </c>
      <c r="AM99" t="s">
        <v>59</v>
      </c>
      <c r="AN99" t="s">
        <v>59</v>
      </c>
      <c r="AO99" t="s">
        <v>59</v>
      </c>
      <c r="AP99" t="s">
        <v>425</v>
      </c>
      <c r="AQ99" t="s">
        <v>426</v>
      </c>
      <c r="AR99" t="s">
        <v>64</v>
      </c>
      <c r="AS99" t="s">
        <v>122</v>
      </c>
      <c r="AT99" t="s">
        <v>123</v>
      </c>
      <c r="AU99" t="s">
        <v>387</v>
      </c>
      <c r="AW99" s="4">
        <f t="shared" si="38"/>
        <v>6</v>
      </c>
      <c r="AX99" s="4">
        <f t="shared" si="39"/>
        <v>4</v>
      </c>
      <c r="AY99" s="4">
        <f t="shared" si="40"/>
        <v>4</v>
      </c>
      <c r="AZ99" s="4">
        <f t="shared" si="41"/>
        <v>2</v>
      </c>
      <c r="BA99" s="4">
        <f t="shared" si="42"/>
        <v>4</v>
      </c>
      <c r="BB99" s="4">
        <f t="shared" si="43"/>
        <v>4</v>
      </c>
      <c r="BC99" s="4">
        <f t="shared" si="44"/>
        <v>4</v>
      </c>
      <c r="BD99" s="4">
        <f t="shared" si="45"/>
        <v>2</v>
      </c>
      <c r="BE99" s="4" t="str">
        <f t="shared" si="46"/>
        <v>0</v>
      </c>
      <c r="BF99" s="4">
        <f t="shared" si="47"/>
        <v>2</v>
      </c>
      <c r="BG99" s="4">
        <f t="shared" si="48"/>
        <v>4</v>
      </c>
      <c r="BH99" s="4">
        <f t="shared" si="49"/>
        <v>4</v>
      </c>
      <c r="BI99" s="4">
        <f t="shared" si="50"/>
        <v>4</v>
      </c>
      <c r="BJ99" s="4" t="str">
        <f t="shared" si="51"/>
        <v>0</v>
      </c>
      <c r="BK99" s="4">
        <f t="shared" si="52"/>
        <v>4</v>
      </c>
      <c r="BL99" s="4">
        <f t="shared" si="53"/>
        <v>2</v>
      </c>
      <c r="BM99" s="4" t="str">
        <f t="shared" si="54"/>
        <v>0</v>
      </c>
      <c r="BN99" s="4">
        <f t="shared" si="55"/>
        <v>4</v>
      </c>
      <c r="BO99" s="4">
        <f t="shared" si="56"/>
        <v>4</v>
      </c>
      <c r="BP99" s="4">
        <f t="shared" si="57"/>
        <v>4</v>
      </c>
      <c r="BQ99" s="4">
        <f t="shared" si="58"/>
        <v>6</v>
      </c>
      <c r="BR99" s="4">
        <f t="shared" si="59"/>
        <v>4</v>
      </c>
      <c r="BS99" s="4">
        <f t="shared" si="60"/>
        <v>4</v>
      </c>
      <c r="BT99" s="4">
        <f t="shared" si="61"/>
        <v>4</v>
      </c>
      <c r="BU99" s="4">
        <f t="shared" si="62"/>
        <v>4</v>
      </c>
      <c r="BV99" s="4">
        <f t="shared" si="63"/>
        <v>0</v>
      </c>
      <c r="BW99" s="4">
        <f t="shared" si="64"/>
        <v>6</v>
      </c>
      <c r="BX99" s="4">
        <f t="shared" si="65"/>
        <v>0</v>
      </c>
      <c r="BY99" s="4">
        <f t="shared" si="66"/>
        <v>0</v>
      </c>
      <c r="BZ99" s="37">
        <f t="shared" si="67"/>
        <v>90</v>
      </c>
      <c r="CA99" s="32" t="str">
        <f>VLOOKUP(J:J,'Agent wise'!A:C,3,0)</f>
        <v>Adharsh</v>
      </c>
      <c r="CB99" s="32">
        <f t="shared" si="68"/>
        <v>45932</v>
      </c>
      <c r="CC99" t="str">
        <f t="shared" si="69"/>
        <v>Good</v>
      </c>
      <c r="CE99" s="32"/>
      <c r="CJ99">
        <f t="shared" si="70"/>
        <v>2</v>
      </c>
      <c r="CK99">
        <f t="shared" si="71"/>
        <v>10</v>
      </c>
      <c r="CL99">
        <f t="shared" si="72"/>
        <v>2025</v>
      </c>
    </row>
    <row r="100" spans="1:90" ht="15" customHeight="1" x14ac:dyDescent="0.35">
      <c r="A100" s="40">
        <v>45698.988865740743</v>
      </c>
      <c r="B100" t="s">
        <v>106</v>
      </c>
      <c r="C100" t="s">
        <v>214</v>
      </c>
      <c r="D100" t="s">
        <v>107</v>
      </c>
      <c r="E100" s="32">
        <v>45932</v>
      </c>
      <c r="F100" t="s">
        <v>54</v>
      </c>
      <c r="G100" s="2">
        <v>45698</v>
      </c>
      <c r="H100">
        <v>6379161172</v>
      </c>
      <c r="I100">
        <v>153</v>
      </c>
      <c r="J100" t="s">
        <v>427</v>
      </c>
      <c r="K100" t="s">
        <v>71</v>
      </c>
      <c r="L100" t="s">
        <v>72</v>
      </c>
      <c r="M100" t="s">
        <v>59</v>
      </c>
      <c r="N100" t="s">
        <v>59</v>
      </c>
      <c r="O100" t="s">
        <v>59</v>
      </c>
      <c r="P100" t="s">
        <v>59</v>
      </c>
      <c r="Q100" t="s">
        <v>59</v>
      </c>
      <c r="R100" t="s">
        <v>59</v>
      </c>
      <c r="S100" t="s">
        <v>59</v>
      </c>
      <c r="T100" t="s">
        <v>59</v>
      </c>
      <c r="U100" t="s">
        <v>60</v>
      </c>
      <c r="V100" t="s">
        <v>59</v>
      </c>
      <c r="W100" t="s">
        <v>59</v>
      </c>
      <c r="X100" t="s">
        <v>61</v>
      </c>
      <c r="Y100" t="s">
        <v>59</v>
      </c>
      <c r="Z100" t="s">
        <v>59</v>
      </c>
      <c r="AA100" t="s">
        <v>59</v>
      </c>
      <c r="AB100" t="s">
        <v>59</v>
      </c>
      <c r="AC100" t="s">
        <v>60</v>
      </c>
      <c r="AD100" t="s">
        <v>61</v>
      </c>
      <c r="AE100" t="s">
        <v>59</v>
      </c>
      <c r="AF100" t="s">
        <v>61</v>
      </c>
      <c r="AG100" t="s">
        <v>59</v>
      </c>
      <c r="AH100" t="s">
        <v>61</v>
      </c>
      <c r="AI100" t="s">
        <v>59</v>
      </c>
      <c r="AJ100" t="s">
        <v>59</v>
      </c>
      <c r="AK100" t="s">
        <v>59</v>
      </c>
      <c r="AL100" t="s">
        <v>59</v>
      </c>
      <c r="AM100" t="s">
        <v>59</v>
      </c>
      <c r="AN100" t="s">
        <v>59</v>
      </c>
      <c r="AO100" t="s">
        <v>59</v>
      </c>
      <c r="AP100" t="s">
        <v>428</v>
      </c>
      <c r="AQ100" t="s">
        <v>429</v>
      </c>
      <c r="AR100" t="s">
        <v>64</v>
      </c>
      <c r="AS100" t="s">
        <v>122</v>
      </c>
      <c r="AT100" t="s">
        <v>430</v>
      </c>
      <c r="AU100" t="s">
        <v>219</v>
      </c>
      <c r="AW100" s="4">
        <f t="shared" si="38"/>
        <v>6</v>
      </c>
      <c r="AX100" s="4">
        <f t="shared" si="39"/>
        <v>4</v>
      </c>
      <c r="AY100" s="4">
        <f t="shared" si="40"/>
        <v>4</v>
      </c>
      <c r="AZ100" s="4">
        <f t="shared" si="41"/>
        <v>2</v>
      </c>
      <c r="BA100" s="4">
        <f t="shared" si="42"/>
        <v>4</v>
      </c>
      <c r="BB100" s="4">
        <f t="shared" si="43"/>
        <v>4</v>
      </c>
      <c r="BC100" s="4">
        <f t="shared" si="44"/>
        <v>4</v>
      </c>
      <c r="BD100" s="4">
        <f t="shared" si="45"/>
        <v>2</v>
      </c>
      <c r="BE100" s="4" t="str">
        <f t="shared" si="46"/>
        <v>0</v>
      </c>
      <c r="BF100" s="4">
        <f t="shared" si="47"/>
        <v>2</v>
      </c>
      <c r="BG100" s="4">
        <f t="shared" si="48"/>
        <v>4</v>
      </c>
      <c r="BH100" s="4">
        <f t="shared" si="49"/>
        <v>4</v>
      </c>
      <c r="BI100" s="4">
        <f t="shared" si="50"/>
        <v>4</v>
      </c>
      <c r="BJ100" s="4">
        <f t="shared" si="51"/>
        <v>2</v>
      </c>
      <c r="BK100" s="4">
        <f t="shared" si="52"/>
        <v>4</v>
      </c>
      <c r="BL100" s="4">
        <f t="shared" si="53"/>
        <v>2</v>
      </c>
      <c r="BM100" s="4" t="str">
        <f t="shared" si="54"/>
        <v>0</v>
      </c>
      <c r="BN100" s="4">
        <f t="shared" si="55"/>
        <v>4</v>
      </c>
      <c r="BO100" s="4">
        <f t="shared" si="56"/>
        <v>4</v>
      </c>
      <c r="BP100" s="4">
        <f t="shared" si="57"/>
        <v>4</v>
      </c>
      <c r="BQ100" s="4">
        <f t="shared" si="58"/>
        <v>6</v>
      </c>
      <c r="BR100" s="4">
        <f t="shared" si="59"/>
        <v>4</v>
      </c>
      <c r="BS100" s="4">
        <f t="shared" si="60"/>
        <v>4</v>
      </c>
      <c r="BT100" s="4">
        <f t="shared" si="61"/>
        <v>4</v>
      </c>
      <c r="BU100" s="4">
        <f t="shared" si="62"/>
        <v>4</v>
      </c>
      <c r="BV100" s="4">
        <f t="shared" si="63"/>
        <v>0</v>
      </c>
      <c r="BW100" s="4">
        <f t="shared" si="64"/>
        <v>6</v>
      </c>
      <c r="BX100" s="4">
        <f t="shared" si="65"/>
        <v>0</v>
      </c>
      <c r="BY100" s="4">
        <f t="shared" si="66"/>
        <v>0</v>
      </c>
      <c r="BZ100" s="37">
        <f t="shared" si="67"/>
        <v>92</v>
      </c>
      <c r="CA100" s="32" t="str">
        <f>VLOOKUP(J:J,'Agent wise'!A:C,3,0)</f>
        <v>Shakeer</v>
      </c>
      <c r="CB100" s="32">
        <f t="shared" si="68"/>
        <v>45932</v>
      </c>
      <c r="CC100" t="str">
        <f t="shared" si="69"/>
        <v>Good</v>
      </c>
      <c r="CE100" s="32"/>
      <c r="CJ100">
        <f t="shared" si="70"/>
        <v>2</v>
      </c>
      <c r="CK100">
        <f t="shared" si="71"/>
        <v>10</v>
      </c>
      <c r="CL100">
        <f t="shared" si="72"/>
        <v>2025</v>
      </c>
    </row>
    <row r="101" spans="1:90" ht="15" customHeight="1" x14ac:dyDescent="0.35">
      <c r="A101" s="40">
        <v>45698.989571759259</v>
      </c>
      <c r="B101" t="s">
        <v>130</v>
      </c>
      <c r="C101" t="s">
        <v>214</v>
      </c>
      <c r="D101" t="s">
        <v>131</v>
      </c>
      <c r="E101" s="32">
        <v>45932</v>
      </c>
      <c r="F101" t="s">
        <v>54</v>
      </c>
      <c r="G101" s="2">
        <v>45698</v>
      </c>
      <c r="H101">
        <v>9445326503</v>
      </c>
      <c r="I101">
        <v>211</v>
      </c>
      <c r="J101" t="s">
        <v>108</v>
      </c>
      <c r="K101" t="s">
        <v>71</v>
      </c>
      <c r="L101" t="s">
        <v>72</v>
      </c>
      <c r="M101" t="s">
        <v>59</v>
      </c>
      <c r="N101" t="s">
        <v>59</v>
      </c>
      <c r="O101" t="s">
        <v>59</v>
      </c>
      <c r="P101" t="s">
        <v>59</v>
      </c>
      <c r="Q101" t="s">
        <v>59</v>
      </c>
      <c r="R101" t="s">
        <v>59</v>
      </c>
      <c r="S101" t="s">
        <v>59</v>
      </c>
      <c r="T101" t="s">
        <v>59</v>
      </c>
      <c r="U101" t="s">
        <v>60</v>
      </c>
      <c r="V101" t="s">
        <v>59</v>
      </c>
      <c r="W101" t="s">
        <v>59</v>
      </c>
      <c r="X101" t="s">
        <v>59</v>
      </c>
      <c r="Y101" t="s">
        <v>59</v>
      </c>
      <c r="Z101" t="s">
        <v>59</v>
      </c>
      <c r="AA101" t="s">
        <v>59</v>
      </c>
      <c r="AB101" t="s">
        <v>59</v>
      </c>
      <c r="AC101" t="s">
        <v>61</v>
      </c>
      <c r="AD101" t="s">
        <v>59</v>
      </c>
      <c r="AE101" t="s">
        <v>60</v>
      </c>
      <c r="AF101" t="s">
        <v>61</v>
      </c>
      <c r="AG101" t="s">
        <v>60</v>
      </c>
      <c r="AH101" t="s">
        <v>61</v>
      </c>
      <c r="AI101" t="s">
        <v>60</v>
      </c>
      <c r="AJ101" t="s">
        <v>59</v>
      </c>
      <c r="AK101" t="s">
        <v>59</v>
      </c>
      <c r="AL101" t="s">
        <v>60</v>
      </c>
      <c r="AM101" t="s">
        <v>59</v>
      </c>
      <c r="AN101" t="s">
        <v>59</v>
      </c>
      <c r="AO101" t="s">
        <v>59</v>
      </c>
      <c r="AP101" t="s">
        <v>431</v>
      </c>
      <c r="AQ101" s="1" t="s">
        <v>432</v>
      </c>
      <c r="AR101" t="s">
        <v>64</v>
      </c>
      <c r="AS101" t="s">
        <v>433</v>
      </c>
      <c r="AT101" t="s">
        <v>334</v>
      </c>
      <c r="AU101" t="s">
        <v>299</v>
      </c>
      <c r="AW101" s="4">
        <f t="shared" si="38"/>
        <v>6</v>
      </c>
      <c r="AX101" s="4">
        <f t="shared" si="39"/>
        <v>4</v>
      </c>
      <c r="AY101" s="4">
        <f t="shared" si="40"/>
        <v>4</v>
      </c>
      <c r="AZ101" s="4">
        <f t="shared" si="41"/>
        <v>2</v>
      </c>
      <c r="BA101" s="4">
        <f t="shared" si="42"/>
        <v>4</v>
      </c>
      <c r="BB101" s="4">
        <f t="shared" si="43"/>
        <v>4</v>
      </c>
      <c r="BC101" s="4">
        <f t="shared" si="44"/>
        <v>4</v>
      </c>
      <c r="BD101" s="4">
        <f t="shared" si="45"/>
        <v>2</v>
      </c>
      <c r="BE101" s="4" t="str">
        <f t="shared" si="46"/>
        <v>0</v>
      </c>
      <c r="BF101" s="4">
        <f t="shared" si="47"/>
        <v>2</v>
      </c>
      <c r="BG101" s="4">
        <f t="shared" si="48"/>
        <v>4</v>
      </c>
      <c r="BH101" s="4">
        <f t="shared" si="49"/>
        <v>4</v>
      </c>
      <c r="BI101" s="4">
        <f t="shared" si="50"/>
        <v>4</v>
      </c>
      <c r="BJ101" s="4">
        <f t="shared" si="51"/>
        <v>2</v>
      </c>
      <c r="BK101" s="4">
        <f t="shared" si="52"/>
        <v>4</v>
      </c>
      <c r="BL101" s="4">
        <f t="shared" si="53"/>
        <v>2</v>
      </c>
      <c r="BM101" s="4">
        <f t="shared" si="54"/>
        <v>4</v>
      </c>
      <c r="BN101" s="4">
        <f t="shared" si="55"/>
        <v>4</v>
      </c>
      <c r="BO101" s="4" t="str">
        <f t="shared" si="56"/>
        <v>0</v>
      </c>
      <c r="BP101" s="4">
        <f t="shared" si="57"/>
        <v>4</v>
      </c>
      <c r="BQ101" s="4" t="str">
        <f t="shared" si="58"/>
        <v>0</v>
      </c>
      <c r="BR101" s="4">
        <f t="shared" si="59"/>
        <v>4</v>
      </c>
      <c r="BS101" s="4" t="str">
        <f t="shared" si="60"/>
        <v>0</v>
      </c>
      <c r="BT101" s="4">
        <f t="shared" si="61"/>
        <v>4</v>
      </c>
      <c r="BU101" s="4">
        <f t="shared" si="62"/>
        <v>4</v>
      </c>
      <c r="BV101" s="4" t="str">
        <f t="shared" si="63"/>
        <v>0</v>
      </c>
      <c r="BW101" s="4">
        <f t="shared" si="64"/>
        <v>6</v>
      </c>
      <c r="BX101" s="4">
        <f t="shared" si="65"/>
        <v>0</v>
      </c>
      <c r="BY101" s="4">
        <f t="shared" si="66"/>
        <v>0</v>
      </c>
      <c r="BZ101" s="37">
        <f t="shared" si="67"/>
        <v>82</v>
      </c>
      <c r="CA101" s="32" t="str">
        <f>VLOOKUP(J:J,'Agent wise'!A:C,3,0)</f>
        <v xml:space="preserve">Shiny </v>
      </c>
      <c r="CB101" s="32">
        <f t="shared" si="68"/>
        <v>45932</v>
      </c>
      <c r="CC101" t="str">
        <f t="shared" si="69"/>
        <v>FC</v>
      </c>
      <c r="CE101" s="32"/>
      <c r="CJ101">
        <f t="shared" si="70"/>
        <v>2</v>
      </c>
      <c r="CK101">
        <f t="shared" si="71"/>
        <v>10</v>
      </c>
      <c r="CL101">
        <f t="shared" si="72"/>
        <v>2025</v>
      </c>
    </row>
    <row r="102" spans="1:90" ht="15" customHeight="1" x14ac:dyDescent="0.35">
      <c r="A102" s="40">
        <v>45726.489965277768</v>
      </c>
      <c r="B102" t="s">
        <v>100</v>
      </c>
      <c r="C102" t="s">
        <v>214</v>
      </c>
      <c r="D102" t="s">
        <v>101</v>
      </c>
      <c r="E102" s="32">
        <v>45932</v>
      </c>
      <c r="F102" t="s">
        <v>222</v>
      </c>
      <c r="G102" s="2">
        <v>45667</v>
      </c>
      <c r="H102">
        <v>9894525259</v>
      </c>
      <c r="I102">
        <v>145</v>
      </c>
      <c r="J102" t="s">
        <v>246</v>
      </c>
      <c r="K102" t="s">
        <v>86</v>
      </c>
      <c r="L102" t="s">
        <v>72</v>
      </c>
      <c r="M102" t="s">
        <v>59</v>
      </c>
      <c r="N102" t="s">
        <v>59</v>
      </c>
      <c r="O102" t="s">
        <v>59</v>
      </c>
      <c r="P102" t="s">
        <v>59</v>
      </c>
      <c r="Q102" t="s">
        <v>59</v>
      </c>
      <c r="R102" t="s">
        <v>59</v>
      </c>
      <c r="S102" t="s">
        <v>59</v>
      </c>
      <c r="T102" t="s">
        <v>59</v>
      </c>
      <c r="U102" t="s">
        <v>59</v>
      </c>
      <c r="V102" t="s">
        <v>59</v>
      </c>
      <c r="W102" t="s">
        <v>59</v>
      </c>
      <c r="X102" t="s">
        <v>59</v>
      </c>
      <c r="Y102" t="s">
        <v>59</v>
      </c>
      <c r="Z102" t="s">
        <v>59</v>
      </c>
      <c r="AA102" t="s">
        <v>60</v>
      </c>
      <c r="AB102" t="s">
        <v>59</v>
      </c>
      <c r="AC102" t="s">
        <v>59</v>
      </c>
      <c r="AD102" t="s">
        <v>59</v>
      </c>
      <c r="AE102" t="s">
        <v>59</v>
      </c>
      <c r="AF102" t="s">
        <v>59</v>
      </c>
      <c r="AG102" t="s">
        <v>59</v>
      </c>
      <c r="AH102" t="s">
        <v>59</v>
      </c>
      <c r="AI102" t="s">
        <v>61</v>
      </c>
      <c r="AJ102" t="s">
        <v>59</v>
      </c>
      <c r="AK102" t="s">
        <v>59</v>
      </c>
      <c r="AL102" t="s">
        <v>59</v>
      </c>
      <c r="AM102" t="s">
        <v>59</v>
      </c>
      <c r="AN102" t="s">
        <v>59</v>
      </c>
      <c r="AO102" t="s">
        <v>59</v>
      </c>
      <c r="AP102" t="s">
        <v>188</v>
      </c>
      <c r="AQ102" s="1" t="s">
        <v>434</v>
      </c>
      <c r="AR102" t="s">
        <v>226</v>
      </c>
      <c r="AS102" t="s">
        <v>352</v>
      </c>
      <c r="AT102" t="s">
        <v>352</v>
      </c>
      <c r="AU102" t="s">
        <v>219</v>
      </c>
      <c r="AW102" s="4">
        <f t="shared" si="38"/>
        <v>6</v>
      </c>
      <c r="AX102" s="4">
        <f t="shared" si="39"/>
        <v>4</v>
      </c>
      <c r="AY102" s="4">
        <f t="shared" si="40"/>
        <v>4</v>
      </c>
      <c r="AZ102" s="4">
        <f t="shared" si="41"/>
        <v>2</v>
      </c>
      <c r="BA102" s="4">
        <f t="shared" si="42"/>
        <v>4</v>
      </c>
      <c r="BB102" s="4">
        <f t="shared" si="43"/>
        <v>4</v>
      </c>
      <c r="BC102" s="4">
        <f t="shared" si="44"/>
        <v>4</v>
      </c>
      <c r="BD102" s="4">
        <f t="shared" si="45"/>
        <v>2</v>
      </c>
      <c r="BE102" s="4">
        <f t="shared" si="46"/>
        <v>4</v>
      </c>
      <c r="BF102" s="4">
        <f t="shared" si="47"/>
        <v>2</v>
      </c>
      <c r="BG102" s="4">
        <f t="shared" si="48"/>
        <v>4</v>
      </c>
      <c r="BH102" s="4">
        <f t="shared" si="49"/>
        <v>4</v>
      </c>
      <c r="BI102" s="4">
        <f t="shared" si="50"/>
        <v>4</v>
      </c>
      <c r="BJ102" s="4">
        <f t="shared" si="51"/>
        <v>2</v>
      </c>
      <c r="BK102" s="4" t="str">
        <f t="shared" si="52"/>
        <v>0</v>
      </c>
      <c r="BL102" s="4">
        <f t="shared" si="53"/>
        <v>2</v>
      </c>
      <c r="BM102" s="4">
        <f t="shared" si="54"/>
        <v>4</v>
      </c>
      <c r="BN102" s="4">
        <f t="shared" si="55"/>
        <v>4</v>
      </c>
      <c r="BO102" s="4">
        <f t="shared" si="56"/>
        <v>4</v>
      </c>
      <c r="BP102" s="4">
        <f t="shared" si="57"/>
        <v>4</v>
      </c>
      <c r="BQ102" s="4">
        <f t="shared" si="58"/>
        <v>6</v>
      </c>
      <c r="BR102" s="4">
        <f t="shared" si="59"/>
        <v>4</v>
      </c>
      <c r="BS102" s="4">
        <f t="shared" si="60"/>
        <v>4</v>
      </c>
      <c r="BT102" s="4">
        <f t="shared" si="61"/>
        <v>4</v>
      </c>
      <c r="BU102" s="4">
        <f t="shared" si="62"/>
        <v>4</v>
      </c>
      <c r="BV102" s="4">
        <f t="shared" si="63"/>
        <v>0</v>
      </c>
      <c r="BW102" s="4">
        <f t="shared" si="64"/>
        <v>6</v>
      </c>
      <c r="BX102" s="4">
        <f t="shared" si="65"/>
        <v>0</v>
      </c>
      <c r="BY102" s="4">
        <f t="shared" si="66"/>
        <v>0</v>
      </c>
      <c r="BZ102" s="37">
        <f t="shared" si="67"/>
        <v>96</v>
      </c>
      <c r="CA102" s="32" t="str">
        <f>VLOOKUP(J:J,'Agent wise'!A:C,3,0)</f>
        <v>Amal</v>
      </c>
      <c r="CB102" s="32">
        <f t="shared" si="68"/>
        <v>45932</v>
      </c>
      <c r="CC102" t="str">
        <f t="shared" si="69"/>
        <v>Excellent</v>
      </c>
      <c r="CE102" s="32"/>
      <c r="CJ102">
        <f t="shared" si="70"/>
        <v>2</v>
      </c>
      <c r="CK102">
        <f t="shared" si="71"/>
        <v>10</v>
      </c>
      <c r="CL102">
        <f t="shared" si="72"/>
        <v>2025</v>
      </c>
    </row>
    <row r="103" spans="1:90" ht="15" customHeight="1" x14ac:dyDescent="0.35">
      <c r="A103" s="40">
        <v>45726.500138888892</v>
      </c>
      <c r="B103" t="s">
        <v>100</v>
      </c>
      <c r="C103" t="s">
        <v>214</v>
      </c>
      <c r="D103" t="s">
        <v>101</v>
      </c>
      <c r="E103" s="32">
        <v>45933</v>
      </c>
      <c r="F103" t="s">
        <v>222</v>
      </c>
      <c r="G103" s="2">
        <v>45698</v>
      </c>
      <c r="H103">
        <v>9048937980</v>
      </c>
      <c r="I103">
        <v>198</v>
      </c>
      <c r="J103" t="s">
        <v>353</v>
      </c>
      <c r="K103" t="s">
        <v>57</v>
      </c>
      <c r="L103" t="s">
        <v>58</v>
      </c>
      <c r="M103" t="s">
        <v>59</v>
      </c>
      <c r="N103" t="s">
        <v>59</v>
      </c>
      <c r="O103" t="s">
        <v>59</v>
      </c>
      <c r="P103" t="s">
        <v>59</v>
      </c>
      <c r="Q103" t="s">
        <v>59</v>
      </c>
      <c r="R103" t="s">
        <v>60</v>
      </c>
      <c r="S103" t="s">
        <v>59</v>
      </c>
      <c r="T103" t="s">
        <v>59</v>
      </c>
      <c r="U103" t="s">
        <v>59</v>
      </c>
      <c r="V103" t="s">
        <v>59</v>
      </c>
      <c r="W103" t="s">
        <v>59</v>
      </c>
      <c r="X103" t="s">
        <v>59</v>
      </c>
      <c r="Y103" t="s">
        <v>59</v>
      </c>
      <c r="Z103" t="s">
        <v>59</v>
      </c>
      <c r="AA103" t="s">
        <v>59</v>
      </c>
      <c r="AB103" t="s">
        <v>60</v>
      </c>
      <c r="AC103" t="s">
        <v>60</v>
      </c>
      <c r="AD103" t="s">
        <v>61</v>
      </c>
      <c r="AE103" t="s">
        <v>59</v>
      </c>
      <c r="AF103" t="s">
        <v>59</v>
      </c>
      <c r="AG103" t="s">
        <v>59</v>
      </c>
      <c r="AH103" t="s">
        <v>59</v>
      </c>
      <c r="AI103" t="s">
        <v>61</v>
      </c>
      <c r="AJ103" t="s">
        <v>59</v>
      </c>
      <c r="AK103" t="s">
        <v>59</v>
      </c>
      <c r="AL103" t="s">
        <v>59</v>
      </c>
      <c r="AM103" t="s">
        <v>59</v>
      </c>
      <c r="AN103" t="s">
        <v>59</v>
      </c>
      <c r="AO103" t="s">
        <v>59</v>
      </c>
      <c r="AP103" t="s">
        <v>435</v>
      </c>
      <c r="AQ103" s="1" t="s">
        <v>436</v>
      </c>
      <c r="AR103" t="s">
        <v>226</v>
      </c>
      <c r="AS103" t="s">
        <v>352</v>
      </c>
      <c r="AT103" t="s">
        <v>352</v>
      </c>
      <c r="AU103" t="s">
        <v>219</v>
      </c>
      <c r="AW103" s="4">
        <f t="shared" si="38"/>
        <v>6</v>
      </c>
      <c r="AX103" s="4">
        <f t="shared" si="39"/>
        <v>4</v>
      </c>
      <c r="AY103" s="4">
        <f t="shared" si="40"/>
        <v>4</v>
      </c>
      <c r="AZ103" s="4">
        <f t="shared" si="41"/>
        <v>2</v>
      </c>
      <c r="BA103" s="4">
        <f t="shared" si="42"/>
        <v>4</v>
      </c>
      <c r="BB103" s="4" t="str">
        <f t="shared" si="43"/>
        <v>0</v>
      </c>
      <c r="BC103" s="4">
        <f t="shared" si="44"/>
        <v>4</v>
      </c>
      <c r="BD103" s="4">
        <f t="shared" si="45"/>
        <v>2</v>
      </c>
      <c r="BE103" s="4">
        <f t="shared" si="46"/>
        <v>4</v>
      </c>
      <c r="BF103" s="4">
        <f t="shared" si="47"/>
        <v>2</v>
      </c>
      <c r="BG103" s="4">
        <f t="shared" si="48"/>
        <v>4</v>
      </c>
      <c r="BH103" s="4">
        <f t="shared" si="49"/>
        <v>4</v>
      </c>
      <c r="BI103" s="4">
        <f t="shared" si="50"/>
        <v>4</v>
      </c>
      <c r="BJ103" s="4">
        <f t="shared" si="51"/>
        <v>2</v>
      </c>
      <c r="BK103" s="4">
        <f t="shared" si="52"/>
        <v>4</v>
      </c>
      <c r="BL103" s="4" t="str">
        <f t="shared" si="53"/>
        <v>0</v>
      </c>
      <c r="BM103" s="4" t="str">
        <f t="shared" si="54"/>
        <v>0</v>
      </c>
      <c r="BN103" s="4">
        <f t="shared" si="55"/>
        <v>4</v>
      </c>
      <c r="BO103" s="4">
        <f t="shared" si="56"/>
        <v>4</v>
      </c>
      <c r="BP103" s="4">
        <f t="shared" si="57"/>
        <v>4</v>
      </c>
      <c r="BQ103" s="4">
        <f t="shared" si="58"/>
        <v>6</v>
      </c>
      <c r="BR103" s="4">
        <f t="shared" si="59"/>
        <v>4</v>
      </c>
      <c r="BS103" s="4">
        <f t="shared" si="60"/>
        <v>4</v>
      </c>
      <c r="BT103" s="4">
        <f t="shared" si="61"/>
        <v>4</v>
      </c>
      <c r="BU103" s="4">
        <f t="shared" si="62"/>
        <v>4</v>
      </c>
      <c r="BV103" s="4">
        <f t="shared" si="63"/>
        <v>0</v>
      </c>
      <c r="BW103" s="4">
        <f t="shared" si="64"/>
        <v>6</v>
      </c>
      <c r="BX103" s="4">
        <f t="shared" si="65"/>
        <v>0</v>
      </c>
      <c r="BY103" s="4">
        <f t="shared" si="66"/>
        <v>0</v>
      </c>
      <c r="BZ103" s="37">
        <f t="shared" si="67"/>
        <v>90</v>
      </c>
      <c r="CA103" s="32" t="str">
        <f>VLOOKUP(J:J,'Agent wise'!A:C,3,0)</f>
        <v>Amal</v>
      </c>
      <c r="CB103" s="32">
        <f t="shared" si="68"/>
        <v>45933</v>
      </c>
      <c r="CC103" t="str">
        <f t="shared" si="69"/>
        <v>Good</v>
      </c>
      <c r="CE103" s="32"/>
      <c r="CJ103">
        <f t="shared" si="70"/>
        <v>3</v>
      </c>
      <c r="CK103">
        <f t="shared" si="71"/>
        <v>10</v>
      </c>
      <c r="CL103">
        <f t="shared" si="72"/>
        <v>2025</v>
      </c>
    </row>
    <row r="104" spans="1:90" ht="15" customHeight="1" x14ac:dyDescent="0.35">
      <c r="A104" s="40">
        <v>45726.521736111114</v>
      </c>
      <c r="B104" t="s">
        <v>100</v>
      </c>
      <c r="C104" t="s">
        <v>214</v>
      </c>
      <c r="D104" t="s">
        <v>101</v>
      </c>
      <c r="E104" s="32">
        <v>45933</v>
      </c>
      <c r="F104" t="s">
        <v>222</v>
      </c>
      <c r="G104" s="2">
        <v>45698</v>
      </c>
      <c r="H104">
        <v>9562114475</v>
      </c>
      <c r="I104">
        <v>144</v>
      </c>
      <c r="J104" t="s">
        <v>353</v>
      </c>
      <c r="K104" t="s">
        <v>57</v>
      </c>
      <c r="L104" t="s">
        <v>58</v>
      </c>
      <c r="M104" t="s">
        <v>59</v>
      </c>
      <c r="N104" t="s">
        <v>59</v>
      </c>
      <c r="O104" t="s">
        <v>59</v>
      </c>
      <c r="P104" t="s">
        <v>59</v>
      </c>
      <c r="Q104" t="s">
        <v>59</v>
      </c>
      <c r="R104" t="s">
        <v>60</v>
      </c>
      <c r="S104" t="s">
        <v>59</v>
      </c>
      <c r="T104" t="s">
        <v>59</v>
      </c>
      <c r="U104" t="s">
        <v>59</v>
      </c>
      <c r="V104" t="s">
        <v>59</v>
      </c>
      <c r="W104" t="s">
        <v>59</v>
      </c>
      <c r="X104" t="s">
        <v>59</v>
      </c>
      <c r="Y104" t="s">
        <v>59</v>
      </c>
      <c r="Z104" t="s">
        <v>59</v>
      </c>
      <c r="AA104" t="s">
        <v>59</v>
      </c>
      <c r="AB104" t="s">
        <v>59</v>
      </c>
      <c r="AC104" t="s">
        <v>59</v>
      </c>
      <c r="AD104" t="s">
        <v>59</v>
      </c>
      <c r="AE104" t="s">
        <v>59</v>
      </c>
      <c r="AF104" t="s">
        <v>59</v>
      </c>
      <c r="AG104" t="s">
        <v>59</v>
      </c>
      <c r="AH104" t="s">
        <v>59</v>
      </c>
      <c r="AI104" t="s">
        <v>61</v>
      </c>
      <c r="AJ104" t="s">
        <v>59</v>
      </c>
      <c r="AK104" t="s">
        <v>59</v>
      </c>
      <c r="AL104" t="s">
        <v>59</v>
      </c>
      <c r="AM104" t="s">
        <v>59</v>
      </c>
      <c r="AN104" t="s">
        <v>59</v>
      </c>
      <c r="AO104" t="s">
        <v>59</v>
      </c>
      <c r="AP104" t="s">
        <v>437</v>
      </c>
      <c r="AQ104" s="1" t="s">
        <v>438</v>
      </c>
      <c r="AR104" t="s">
        <v>226</v>
      </c>
      <c r="AS104" t="s">
        <v>352</v>
      </c>
      <c r="AT104" t="s">
        <v>352</v>
      </c>
      <c r="AU104" t="s">
        <v>219</v>
      </c>
      <c r="AW104" s="4">
        <f t="shared" si="38"/>
        <v>6</v>
      </c>
      <c r="AX104" s="4">
        <f t="shared" si="39"/>
        <v>4</v>
      </c>
      <c r="AY104" s="4">
        <f t="shared" si="40"/>
        <v>4</v>
      </c>
      <c r="AZ104" s="4">
        <f t="shared" si="41"/>
        <v>2</v>
      </c>
      <c r="BA104" s="4">
        <f t="shared" si="42"/>
        <v>4</v>
      </c>
      <c r="BB104" s="4" t="str">
        <f t="shared" si="43"/>
        <v>0</v>
      </c>
      <c r="BC104" s="4">
        <f t="shared" si="44"/>
        <v>4</v>
      </c>
      <c r="BD104" s="4">
        <f t="shared" si="45"/>
        <v>2</v>
      </c>
      <c r="BE104" s="4">
        <f t="shared" si="46"/>
        <v>4</v>
      </c>
      <c r="BF104" s="4">
        <f t="shared" si="47"/>
        <v>2</v>
      </c>
      <c r="BG104" s="4">
        <f t="shared" si="48"/>
        <v>4</v>
      </c>
      <c r="BH104" s="4">
        <f t="shared" si="49"/>
        <v>4</v>
      </c>
      <c r="BI104" s="4">
        <f t="shared" si="50"/>
        <v>4</v>
      </c>
      <c r="BJ104" s="4">
        <f t="shared" si="51"/>
        <v>2</v>
      </c>
      <c r="BK104" s="4">
        <f t="shared" si="52"/>
        <v>4</v>
      </c>
      <c r="BL104" s="4">
        <f t="shared" si="53"/>
        <v>2</v>
      </c>
      <c r="BM104" s="4">
        <f t="shared" si="54"/>
        <v>4</v>
      </c>
      <c r="BN104" s="4">
        <f t="shared" si="55"/>
        <v>4</v>
      </c>
      <c r="BO104" s="4">
        <f t="shared" si="56"/>
        <v>4</v>
      </c>
      <c r="BP104" s="4">
        <f t="shared" si="57"/>
        <v>4</v>
      </c>
      <c r="BQ104" s="4">
        <f t="shared" si="58"/>
        <v>6</v>
      </c>
      <c r="BR104" s="4">
        <f t="shared" si="59"/>
        <v>4</v>
      </c>
      <c r="BS104" s="4">
        <f t="shared" si="60"/>
        <v>4</v>
      </c>
      <c r="BT104" s="4">
        <f t="shared" si="61"/>
        <v>4</v>
      </c>
      <c r="BU104" s="4">
        <f t="shared" si="62"/>
        <v>4</v>
      </c>
      <c r="BV104" s="4">
        <f t="shared" si="63"/>
        <v>0</v>
      </c>
      <c r="BW104" s="4">
        <f t="shared" si="64"/>
        <v>6</v>
      </c>
      <c r="BX104" s="4">
        <f t="shared" si="65"/>
        <v>0</v>
      </c>
      <c r="BY104" s="4">
        <f t="shared" si="66"/>
        <v>0</v>
      </c>
      <c r="BZ104" s="37">
        <f t="shared" si="67"/>
        <v>96</v>
      </c>
      <c r="CA104" s="32" t="str">
        <f>VLOOKUP(J:J,'Agent wise'!A:C,3,0)</f>
        <v>Amal</v>
      </c>
      <c r="CB104" s="32">
        <f t="shared" si="68"/>
        <v>45933</v>
      </c>
      <c r="CC104" t="str">
        <f t="shared" si="69"/>
        <v>Excellent</v>
      </c>
      <c r="CE104" s="32"/>
      <c r="CJ104">
        <f t="shared" si="70"/>
        <v>3</v>
      </c>
      <c r="CK104">
        <f t="shared" si="71"/>
        <v>10</v>
      </c>
      <c r="CL104">
        <f t="shared" si="72"/>
        <v>2025</v>
      </c>
    </row>
    <row r="105" spans="1:90" ht="15" customHeight="1" x14ac:dyDescent="0.35">
      <c r="A105" s="40">
        <v>45726.543749999997</v>
      </c>
      <c r="B105" t="s">
        <v>100</v>
      </c>
      <c r="C105" t="s">
        <v>214</v>
      </c>
      <c r="D105" t="s">
        <v>101</v>
      </c>
      <c r="E105" s="32">
        <v>45933</v>
      </c>
      <c r="F105" t="s">
        <v>222</v>
      </c>
      <c r="G105" s="2">
        <v>45698</v>
      </c>
      <c r="H105">
        <v>9487465694</v>
      </c>
      <c r="I105">
        <v>144</v>
      </c>
      <c r="J105" t="s">
        <v>439</v>
      </c>
      <c r="K105" t="s">
        <v>71</v>
      </c>
      <c r="L105" t="s">
        <v>72</v>
      </c>
      <c r="M105" t="s">
        <v>59</v>
      </c>
      <c r="N105" t="s">
        <v>59</v>
      </c>
      <c r="O105" t="s">
        <v>59</v>
      </c>
      <c r="P105" t="s">
        <v>59</v>
      </c>
      <c r="Q105" t="s">
        <v>59</v>
      </c>
      <c r="R105" t="s">
        <v>59</v>
      </c>
      <c r="S105" t="s">
        <v>59</v>
      </c>
      <c r="T105" t="s">
        <v>59</v>
      </c>
      <c r="U105" t="s">
        <v>59</v>
      </c>
      <c r="V105" t="s">
        <v>59</v>
      </c>
      <c r="W105" t="s">
        <v>59</v>
      </c>
      <c r="X105" t="s">
        <v>59</v>
      </c>
      <c r="Y105" t="s">
        <v>59</v>
      </c>
      <c r="Z105" t="s">
        <v>59</v>
      </c>
      <c r="AA105" t="s">
        <v>59</v>
      </c>
      <c r="AB105" t="s">
        <v>60</v>
      </c>
      <c r="AC105" t="s">
        <v>59</v>
      </c>
      <c r="AD105" t="s">
        <v>59</v>
      </c>
      <c r="AE105" t="s">
        <v>59</v>
      </c>
      <c r="AF105" t="s">
        <v>59</v>
      </c>
      <c r="AG105" t="s">
        <v>59</v>
      </c>
      <c r="AH105" t="s">
        <v>59</v>
      </c>
      <c r="AI105" t="s">
        <v>60</v>
      </c>
      <c r="AJ105" t="s">
        <v>59</v>
      </c>
      <c r="AK105" t="s">
        <v>59</v>
      </c>
      <c r="AL105" t="s">
        <v>59</v>
      </c>
      <c r="AM105" t="s">
        <v>59</v>
      </c>
      <c r="AN105" t="s">
        <v>59</v>
      </c>
      <c r="AO105" t="s">
        <v>59</v>
      </c>
      <c r="AP105" t="s">
        <v>440</v>
      </c>
      <c r="AQ105" s="1" t="s">
        <v>441</v>
      </c>
      <c r="AR105" t="s">
        <v>226</v>
      </c>
      <c r="AS105" t="s">
        <v>352</v>
      </c>
      <c r="AT105" t="s">
        <v>352</v>
      </c>
      <c r="AU105" t="s">
        <v>219</v>
      </c>
      <c r="AW105" s="4">
        <f t="shared" si="38"/>
        <v>6</v>
      </c>
      <c r="AX105" s="4">
        <f t="shared" si="39"/>
        <v>4</v>
      </c>
      <c r="AY105" s="4">
        <f t="shared" si="40"/>
        <v>4</v>
      </c>
      <c r="AZ105" s="4">
        <f t="shared" si="41"/>
        <v>2</v>
      </c>
      <c r="BA105" s="4">
        <f t="shared" si="42"/>
        <v>4</v>
      </c>
      <c r="BB105" s="4">
        <f t="shared" si="43"/>
        <v>4</v>
      </c>
      <c r="BC105" s="4">
        <f t="shared" si="44"/>
        <v>4</v>
      </c>
      <c r="BD105" s="4">
        <f t="shared" si="45"/>
        <v>2</v>
      </c>
      <c r="BE105" s="4">
        <f t="shared" si="46"/>
        <v>4</v>
      </c>
      <c r="BF105" s="4">
        <f t="shared" si="47"/>
        <v>2</v>
      </c>
      <c r="BG105" s="4">
        <f t="shared" si="48"/>
        <v>4</v>
      </c>
      <c r="BH105" s="4">
        <f t="shared" si="49"/>
        <v>4</v>
      </c>
      <c r="BI105" s="4">
        <f t="shared" si="50"/>
        <v>4</v>
      </c>
      <c r="BJ105" s="4">
        <f t="shared" si="51"/>
        <v>2</v>
      </c>
      <c r="BK105" s="4">
        <f t="shared" si="52"/>
        <v>4</v>
      </c>
      <c r="BL105" s="4" t="str">
        <f t="shared" si="53"/>
        <v>0</v>
      </c>
      <c r="BM105" s="4">
        <f t="shared" si="54"/>
        <v>4</v>
      </c>
      <c r="BN105" s="4">
        <f t="shared" si="55"/>
        <v>4</v>
      </c>
      <c r="BO105" s="4">
        <f t="shared" si="56"/>
        <v>4</v>
      </c>
      <c r="BP105" s="4">
        <f t="shared" si="57"/>
        <v>4</v>
      </c>
      <c r="BQ105" s="4">
        <f t="shared" si="58"/>
        <v>6</v>
      </c>
      <c r="BR105" s="4">
        <f t="shared" si="59"/>
        <v>4</v>
      </c>
      <c r="BS105" s="4" t="str">
        <f t="shared" si="60"/>
        <v>0</v>
      </c>
      <c r="BT105" s="4">
        <f t="shared" si="61"/>
        <v>4</v>
      </c>
      <c r="BU105" s="4">
        <f t="shared" si="62"/>
        <v>4</v>
      </c>
      <c r="BV105" s="4">
        <f t="shared" si="63"/>
        <v>0</v>
      </c>
      <c r="BW105" s="4">
        <f t="shared" si="64"/>
        <v>6</v>
      </c>
      <c r="BX105" s="4">
        <f t="shared" si="65"/>
        <v>0</v>
      </c>
      <c r="BY105" s="4">
        <f t="shared" si="66"/>
        <v>0</v>
      </c>
      <c r="BZ105" s="37">
        <f t="shared" si="67"/>
        <v>94</v>
      </c>
      <c r="CA105" s="32" t="str">
        <f>VLOOKUP(J:J,'Agent wise'!A:C,3,0)</f>
        <v>Saran S</v>
      </c>
      <c r="CB105" s="32">
        <f t="shared" si="68"/>
        <v>45933</v>
      </c>
      <c r="CC105" t="str">
        <f t="shared" si="69"/>
        <v>Good</v>
      </c>
      <c r="CE105" s="32"/>
      <c r="CJ105">
        <f t="shared" si="70"/>
        <v>3</v>
      </c>
      <c r="CK105">
        <f t="shared" si="71"/>
        <v>10</v>
      </c>
      <c r="CL105">
        <f t="shared" si="72"/>
        <v>2025</v>
      </c>
    </row>
    <row r="106" spans="1:90" ht="15" customHeight="1" x14ac:dyDescent="0.35">
      <c r="A106" s="40">
        <v>45726.566157407397</v>
      </c>
      <c r="B106" t="s">
        <v>177</v>
      </c>
      <c r="C106" t="s">
        <v>214</v>
      </c>
      <c r="D106" t="s">
        <v>178</v>
      </c>
      <c r="E106" s="32">
        <v>45931</v>
      </c>
      <c r="F106" t="s">
        <v>54</v>
      </c>
      <c r="G106" s="2">
        <v>45667</v>
      </c>
      <c r="H106">
        <v>9447283792</v>
      </c>
      <c r="I106">
        <v>139</v>
      </c>
      <c r="J106" t="s">
        <v>442</v>
      </c>
      <c r="K106" t="s">
        <v>57</v>
      </c>
      <c r="L106" t="s">
        <v>58</v>
      </c>
      <c r="M106" t="s">
        <v>59</v>
      </c>
      <c r="N106" t="s">
        <v>59</v>
      </c>
      <c r="O106" t="s">
        <v>59</v>
      </c>
      <c r="P106" t="s">
        <v>59</v>
      </c>
      <c r="Q106" t="s">
        <v>59</v>
      </c>
      <c r="R106" t="s">
        <v>59</v>
      </c>
      <c r="S106" t="s">
        <v>59</v>
      </c>
      <c r="T106" t="s">
        <v>59</v>
      </c>
      <c r="U106" t="s">
        <v>59</v>
      </c>
      <c r="V106" t="s">
        <v>59</v>
      </c>
      <c r="W106" t="s">
        <v>59</v>
      </c>
      <c r="X106" t="s">
        <v>59</v>
      </c>
      <c r="Y106" t="s">
        <v>59</v>
      </c>
      <c r="Z106" t="s">
        <v>59</v>
      </c>
      <c r="AA106" t="s">
        <v>59</v>
      </c>
      <c r="AB106" t="s">
        <v>59</v>
      </c>
      <c r="AC106" t="s">
        <v>59</v>
      </c>
      <c r="AD106" t="s">
        <v>59</v>
      </c>
      <c r="AE106" t="s">
        <v>60</v>
      </c>
      <c r="AF106" t="s">
        <v>59</v>
      </c>
      <c r="AG106" t="s">
        <v>59</v>
      </c>
      <c r="AH106" t="s">
        <v>61</v>
      </c>
      <c r="AI106" t="s">
        <v>61</v>
      </c>
      <c r="AJ106" t="s">
        <v>59</v>
      </c>
      <c r="AK106" t="s">
        <v>59</v>
      </c>
      <c r="AL106" t="s">
        <v>59</v>
      </c>
      <c r="AM106" t="s">
        <v>59</v>
      </c>
      <c r="AN106" t="s">
        <v>59</v>
      </c>
      <c r="AO106" t="s">
        <v>59</v>
      </c>
      <c r="AP106" t="s">
        <v>180</v>
      </c>
      <c r="AQ106" t="s">
        <v>443</v>
      </c>
      <c r="AR106" t="s">
        <v>64</v>
      </c>
      <c r="AS106" t="s">
        <v>152</v>
      </c>
      <c r="AT106" t="s">
        <v>153</v>
      </c>
      <c r="AU106" t="s">
        <v>387</v>
      </c>
      <c r="AW106" s="4">
        <f t="shared" si="38"/>
        <v>6</v>
      </c>
      <c r="AX106" s="4">
        <f t="shared" si="39"/>
        <v>4</v>
      </c>
      <c r="AY106" s="4">
        <f t="shared" si="40"/>
        <v>4</v>
      </c>
      <c r="AZ106" s="4">
        <f t="shared" si="41"/>
        <v>2</v>
      </c>
      <c r="BA106" s="4">
        <f t="shared" si="42"/>
        <v>4</v>
      </c>
      <c r="BB106" s="4">
        <f t="shared" si="43"/>
        <v>4</v>
      </c>
      <c r="BC106" s="4">
        <f t="shared" si="44"/>
        <v>4</v>
      </c>
      <c r="BD106" s="4">
        <f t="shared" si="45"/>
        <v>2</v>
      </c>
      <c r="BE106" s="4">
        <f t="shared" si="46"/>
        <v>4</v>
      </c>
      <c r="BF106" s="4">
        <f t="shared" si="47"/>
        <v>2</v>
      </c>
      <c r="BG106" s="4">
        <f t="shared" si="48"/>
        <v>4</v>
      </c>
      <c r="BH106" s="4">
        <f t="shared" si="49"/>
        <v>4</v>
      </c>
      <c r="BI106" s="4">
        <f t="shared" si="50"/>
        <v>4</v>
      </c>
      <c r="BJ106" s="4">
        <f t="shared" si="51"/>
        <v>2</v>
      </c>
      <c r="BK106" s="4">
        <f t="shared" si="52"/>
        <v>4</v>
      </c>
      <c r="BL106" s="4">
        <f t="shared" si="53"/>
        <v>2</v>
      </c>
      <c r="BM106" s="4">
        <f t="shared" si="54"/>
        <v>4</v>
      </c>
      <c r="BN106" s="4">
        <f t="shared" si="55"/>
        <v>4</v>
      </c>
      <c r="BO106" s="4" t="str">
        <f t="shared" si="56"/>
        <v>0</v>
      </c>
      <c r="BP106" s="4">
        <f t="shared" si="57"/>
        <v>4</v>
      </c>
      <c r="BQ106" s="4">
        <f t="shared" si="58"/>
        <v>6</v>
      </c>
      <c r="BR106" s="4">
        <f t="shared" si="59"/>
        <v>4</v>
      </c>
      <c r="BS106" s="4">
        <f t="shared" si="60"/>
        <v>4</v>
      </c>
      <c r="BT106" s="4">
        <f t="shared" si="61"/>
        <v>4</v>
      </c>
      <c r="BU106" s="4">
        <f t="shared" si="62"/>
        <v>4</v>
      </c>
      <c r="BV106" s="4">
        <f t="shared" si="63"/>
        <v>0</v>
      </c>
      <c r="BW106" s="4">
        <f t="shared" si="64"/>
        <v>6</v>
      </c>
      <c r="BX106" s="4">
        <f t="shared" si="65"/>
        <v>0</v>
      </c>
      <c r="BY106" s="4">
        <f t="shared" si="66"/>
        <v>0</v>
      </c>
      <c r="BZ106" s="37">
        <f t="shared" si="67"/>
        <v>96</v>
      </c>
      <c r="CA106" s="32" t="str">
        <f>VLOOKUP(J:J,'Agent wise'!A:C,3,0)</f>
        <v>Shakeer</v>
      </c>
      <c r="CB106" s="32">
        <f t="shared" si="68"/>
        <v>45931</v>
      </c>
      <c r="CC106" t="str">
        <f t="shared" si="69"/>
        <v>Excellent</v>
      </c>
      <c r="CE106" s="32"/>
      <c r="CJ106">
        <f t="shared" si="70"/>
        <v>1</v>
      </c>
      <c r="CK106">
        <f t="shared" si="71"/>
        <v>10</v>
      </c>
      <c r="CL106">
        <f t="shared" si="72"/>
        <v>2025</v>
      </c>
    </row>
    <row r="107" spans="1:90" ht="15" customHeight="1" x14ac:dyDescent="0.35">
      <c r="A107" s="40">
        <v>45726.56826388889</v>
      </c>
      <c r="B107" t="s">
        <v>100</v>
      </c>
      <c r="C107" t="s">
        <v>214</v>
      </c>
      <c r="D107" t="s">
        <v>101</v>
      </c>
      <c r="E107" s="32">
        <v>45933</v>
      </c>
      <c r="F107" t="s">
        <v>222</v>
      </c>
      <c r="G107" s="2">
        <v>45698</v>
      </c>
      <c r="H107">
        <v>9498406001</v>
      </c>
      <c r="I107">
        <v>131</v>
      </c>
      <c r="J107" t="s">
        <v>223</v>
      </c>
      <c r="K107" t="s">
        <v>71</v>
      </c>
      <c r="L107" t="s">
        <v>72</v>
      </c>
      <c r="M107" t="s">
        <v>59</v>
      </c>
      <c r="N107" t="s">
        <v>59</v>
      </c>
      <c r="O107" t="s">
        <v>59</v>
      </c>
      <c r="P107" t="s">
        <v>59</v>
      </c>
      <c r="Q107" t="s">
        <v>59</v>
      </c>
      <c r="R107" t="s">
        <v>59</v>
      </c>
      <c r="S107" t="s">
        <v>59</v>
      </c>
      <c r="T107" t="s">
        <v>59</v>
      </c>
      <c r="U107" t="s">
        <v>59</v>
      </c>
      <c r="V107" t="s">
        <v>59</v>
      </c>
      <c r="W107" t="s">
        <v>59</v>
      </c>
      <c r="X107" t="s">
        <v>59</v>
      </c>
      <c r="Y107" t="s">
        <v>59</v>
      </c>
      <c r="Z107" t="s">
        <v>59</v>
      </c>
      <c r="AA107" t="s">
        <v>59</v>
      </c>
      <c r="AB107" t="s">
        <v>59</v>
      </c>
      <c r="AC107" t="s">
        <v>59</v>
      </c>
      <c r="AD107" t="s">
        <v>59</v>
      </c>
      <c r="AE107" t="s">
        <v>60</v>
      </c>
      <c r="AF107" t="s">
        <v>59</v>
      </c>
      <c r="AG107" t="s">
        <v>59</v>
      </c>
      <c r="AH107" t="s">
        <v>59</v>
      </c>
      <c r="AI107" t="s">
        <v>61</v>
      </c>
      <c r="AJ107" t="s">
        <v>59</v>
      </c>
      <c r="AK107" t="s">
        <v>59</v>
      </c>
      <c r="AL107" t="s">
        <v>59</v>
      </c>
      <c r="AM107" t="s">
        <v>59</v>
      </c>
      <c r="AN107" t="s">
        <v>59</v>
      </c>
      <c r="AO107" t="s">
        <v>59</v>
      </c>
      <c r="AP107" t="s">
        <v>444</v>
      </c>
      <c r="AQ107" s="1" t="s">
        <v>445</v>
      </c>
      <c r="AR107" t="s">
        <v>226</v>
      </c>
      <c r="AS107" t="s">
        <v>352</v>
      </c>
      <c r="AT107" t="s">
        <v>352</v>
      </c>
      <c r="AU107" t="s">
        <v>219</v>
      </c>
      <c r="AW107" s="4">
        <f t="shared" si="38"/>
        <v>6</v>
      </c>
      <c r="AX107" s="4">
        <f t="shared" si="39"/>
        <v>4</v>
      </c>
      <c r="AY107" s="4">
        <f t="shared" si="40"/>
        <v>4</v>
      </c>
      <c r="AZ107" s="4">
        <f t="shared" si="41"/>
        <v>2</v>
      </c>
      <c r="BA107" s="4">
        <f t="shared" si="42"/>
        <v>4</v>
      </c>
      <c r="BB107" s="4">
        <f t="shared" si="43"/>
        <v>4</v>
      </c>
      <c r="BC107" s="4">
        <f t="shared" si="44"/>
        <v>4</v>
      </c>
      <c r="BD107" s="4">
        <f t="shared" si="45"/>
        <v>2</v>
      </c>
      <c r="BE107" s="4">
        <f t="shared" si="46"/>
        <v>4</v>
      </c>
      <c r="BF107" s="4">
        <f t="shared" si="47"/>
        <v>2</v>
      </c>
      <c r="BG107" s="4">
        <f t="shared" si="48"/>
        <v>4</v>
      </c>
      <c r="BH107" s="4">
        <f t="shared" si="49"/>
        <v>4</v>
      </c>
      <c r="BI107" s="4">
        <f t="shared" si="50"/>
        <v>4</v>
      </c>
      <c r="BJ107" s="4">
        <f t="shared" si="51"/>
        <v>2</v>
      </c>
      <c r="BK107" s="4">
        <f t="shared" si="52"/>
        <v>4</v>
      </c>
      <c r="BL107" s="4">
        <f t="shared" si="53"/>
        <v>2</v>
      </c>
      <c r="BM107" s="4">
        <f t="shared" si="54"/>
        <v>4</v>
      </c>
      <c r="BN107" s="4">
        <f t="shared" si="55"/>
        <v>4</v>
      </c>
      <c r="BO107" s="4" t="str">
        <f t="shared" si="56"/>
        <v>0</v>
      </c>
      <c r="BP107" s="4">
        <f t="shared" si="57"/>
        <v>4</v>
      </c>
      <c r="BQ107" s="4">
        <f t="shared" si="58"/>
        <v>6</v>
      </c>
      <c r="BR107" s="4">
        <f t="shared" si="59"/>
        <v>4</v>
      </c>
      <c r="BS107" s="4">
        <f t="shared" si="60"/>
        <v>4</v>
      </c>
      <c r="BT107" s="4">
        <f t="shared" si="61"/>
        <v>4</v>
      </c>
      <c r="BU107" s="4">
        <f t="shared" si="62"/>
        <v>4</v>
      </c>
      <c r="BV107" s="4">
        <f t="shared" si="63"/>
        <v>0</v>
      </c>
      <c r="BW107" s="4">
        <f t="shared" si="64"/>
        <v>6</v>
      </c>
      <c r="BX107" s="4">
        <f t="shared" si="65"/>
        <v>0</v>
      </c>
      <c r="BY107" s="4">
        <f t="shared" si="66"/>
        <v>0</v>
      </c>
      <c r="BZ107" s="37">
        <f t="shared" si="67"/>
        <v>96</v>
      </c>
      <c r="CA107" s="32" t="str">
        <f>VLOOKUP(J:J,'Agent wise'!A:C,3,0)</f>
        <v>Amal</v>
      </c>
      <c r="CB107" s="32">
        <f t="shared" si="68"/>
        <v>45933</v>
      </c>
      <c r="CC107" t="str">
        <f t="shared" si="69"/>
        <v>Excellent</v>
      </c>
      <c r="CE107" s="32"/>
      <c r="CJ107">
        <f t="shared" si="70"/>
        <v>3</v>
      </c>
      <c r="CK107">
        <f t="shared" si="71"/>
        <v>10</v>
      </c>
      <c r="CL107">
        <f t="shared" si="72"/>
        <v>2025</v>
      </c>
    </row>
    <row r="108" spans="1:90" ht="15" customHeight="1" x14ac:dyDescent="0.35">
      <c r="A108" s="40">
        <v>45726.572060185194</v>
      </c>
      <c r="B108" t="s">
        <v>177</v>
      </c>
      <c r="C108" t="s">
        <v>214</v>
      </c>
      <c r="D108" t="s">
        <v>178</v>
      </c>
      <c r="E108" s="32">
        <v>45931</v>
      </c>
      <c r="F108" t="s">
        <v>54</v>
      </c>
      <c r="G108" t="s">
        <v>55</v>
      </c>
      <c r="H108">
        <v>9843502046</v>
      </c>
      <c r="I108">
        <v>141</v>
      </c>
      <c r="J108" t="s">
        <v>446</v>
      </c>
      <c r="K108" t="s">
        <v>71</v>
      </c>
      <c r="L108" t="s">
        <v>72</v>
      </c>
      <c r="M108" t="s">
        <v>59</v>
      </c>
      <c r="N108" t="s">
        <v>59</v>
      </c>
      <c r="O108" t="s">
        <v>59</v>
      </c>
      <c r="P108" t="s">
        <v>59</v>
      </c>
      <c r="Q108" t="s">
        <v>59</v>
      </c>
      <c r="R108" t="s">
        <v>59</v>
      </c>
      <c r="S108" t="s">
        <v>59</v>
      </c>
      <c r="T108" t="s">
        <v>59</v>
      </c>
      <c r="U108" t="s">
        <v>59</v>
      </c>
      <c r="V108" t="s">
        <v>59</v>
      </c>
      <c r="W108" t="s">
        <v>59</v>
      </c>
      <c r="X108" t="s">
        <v>59</v>
      </c>
      <c r="Y108" t="s">
        <v>59</v>
      </c>
      <c r="Z108" t="s">
        <v>59</v>
      </c>
      <c r="AA108" t="s">
        <v>59</v>
      </c>
      <c r="AB108" t="s">
        <v>59</v>
      </c>
      <c r="AC108" t="s">
        <v>59</v>
      </c>
      <c r="AD108" t="s">
        <v>59</v>
      </c>
      <c r="AE108" t="s">
        <v>59</v>
      </c>
      <c r="AF108" t="s">
        <v>59</v>
      </c>
      <c r="AG108" t="s">
        <v>59</v>
      </c>
      <c r="AH108" t="s">
        <v>59</v>
      </c>
      <c r="AI108" t="s">
        <v>61</v>
      </c>
      <c r="AJ108" t="s">
        <v>59</v>
      </c>
      <c r="AK108" t="s">
        <v>59</v>
      </c>
      <c r="AL108" t="s">
        <v>60</v>
      </c>
      <c r="AM108" t="s">
        <v>59</v>
      </c>
      <c r="AN108" t="s">
        <v>59</v>
      </c>
      <c r="AO108" t="s">
        <v>59</v>
      </c>
      <c r="AP108" t="s">
        <v>37</v>
      </c>
      <c r="AQ108" t="s">
        <v>447</v>
      </c>
      <c r="AR108" t="s">
        <v>64</v>
      </c>
      <c r="AS108" t="s">
        <v>135</v>
      </c>
      <c r="AT108" t="s">
        <v>162</v>
      </c>
      <c r="AU108" t="s">
        <v>448</v>
      </c>
      <c r="AW108" s="4">
        <f t="shared" si="38"/>
        <v>6</v>
      </c>
      <c r="AX108" s="4">
        <f t="shared" si="39"/>
        <v>4</v>
      </c>
      <c r="AY108" s="4">
        <f t="shared" si="40"/>
        <v>4</v>
      </c>
      <c r="AZ108" s="4">
        <f t="shared" si="41"/>
        <v>2</v>
      </c>
      <c r="BA108" s="4">
        <f t="shared" si="42"/>
        <v>4</v>
      </c>
      <c r="BB108" s="4">
        <f t="shared" si="43"/>
        <v>4</v>
      </c>
      <c r="BC108" s="4">
        <f t="shared" si="44"/>
        <v>4</v>
      </c>
      <c r="BD108" s="4">
        <f t="shared" si="45"/>
        <v>2</v>
      </c>
      <c r="BE108" s="4">
        <f t="shared" si="46"/>
        <v>4</v>
      </c>
      <c r="BF108" s="4">
        <f t="shared" si="47"/>
        <v>2</v>
      </c>
      <c r="BG108" s="4">
        <f t="shared" si="48"/>
        <v>4</v>
      </c>
      <c r="BH108" s="4">
        <f t="shared" si="49"/>
        <v>4</v>
      </c>
      <c r="BI108" s="4">
        <f t="shared" si="50"/>
        <v>4</v>
      </c>
      <c r="BJ108" s="4">
        <f t="shared" si="51"/>
        <v>2</v>
      </c>
      <c r="BK108" s="4">
        <f t="shared" si="52"/>
        <v>4</v>
      </c>
      <c r="BL108" s="4">
        <f t="shared" si="53"/>
        <v>2</v>
      </c>
      <c r="BM108" s="4">
        <f t="shared" si="54"/>
        <v>4</v>
      </c>
      <c r="BN108" s="4">
        <f t="shared" si="55"/>
        <v>4</v>
      </c>
      <c r="BO108" s="4">
        <f t="shared" si="56"/>
        <v>4</v>
      </c>
      <c r="BP108" s="4">
        <f t="shared" si="57"/>
        <v>4</v>
      </c>
      <c r="BQ108" s="4">
        <f t="shared" si="58"/>
        <v>6</v>
      </c>
      <c r="BR108" s="4">
        <f t="shared" si="59"/>
        <v>4</v>
      </c>
      <c r="BS108" s="4">
        <f t="shared" si="60"/>
        <v>4</v>
      </c>
      <c r="BT108" s="4">
        <f t="shared" si="61"/>
        <v>4</v>
      </c>
      <c r="BU108" s="4">
        <f t="shared" si="62"/>
        <v>4</v>
      </c>
      <c r="BV108" s="4" t="str">
        <f t="shared" si="63"/>
        <v>0</v>
      </c>
      <c r="BW108" s="4">
        <f t="shared" si="64"/>
        <v>6</v>
      </c>
      <c r="BX108" s="4">
        <f t="shared" si="65"/>
        <v>0</v>
      </c>
      <c r="BY108" s="4">
        <f t="shared" si="66"/>
        <v>0</v>
      </c>
      <c r="BZ108" s="37">
        <f t="shared" si="67"/>
        <v>100</v>
      </c>
      <c r="CA108" s="32" t="e">
        <f>VLOOKUP(J:J,'Agent wise'!A:C,3,0)</f>
        <v>#N/A</v>
      </c>
      <c r="CB108" s="32">
        <f t="shared" si="68"/>
        <v>45931</v>
      </c>
      <c r="CC108" t="str">
        <f t="shared" si="69"/>
        <v>Excellent</v>
      </c>
      <c r="CE108" s="32"/>
      <c r="CJ108">
        <f t="shared" si="70"/>
        <v>1</v>
      </c>
      <c r="CK108">
        <f t="shared" si="71"/>
        <v>10</v>
      </c>
      <c r="CL108">
        <f t="shared" si="72"/>
        <v>2025</v>
      </c>
    </row>
    <row r="109" spans="1:90" ht="15" customHeight="1" x14ac:dyDescent="0.35">
      <c r="A109" s="40">
        <v>45726.572592592587</v>
      </c>
      <c r="B109" t="s">
        <v>100</v>
      </c>
      <c r="C109" t="s">
        <v>214</v>
      </c>
      <c r="D109" t="s">
        <v>101</v>
      </c>
      <c r="E109" s="32">
        <v>45933</v>
      </c>
      <c r="F109" t="s">
        <v>222</v>
      </c>
      <c r="G109" s="2">
        <v>45698</v>
      </c>
      <c r="H109">
        <v>9567646698</v>
      </c>
      <c r="I109">
        <v>157</v>
      </c>
      <c r="J109" t="s">
        <v>356</v>
      </c>
      <c r="K109" t="s">
        <v>57</v>
      </c>
      <c r="L109" t="s">
        <v>58</v>
      </c>
      <c r="M109" t="s">
        <v>59</v>
      </c>
      <c r="N109" t="s">
        <v>59</v>
      </c>
      <c r="O109" t="s">
        <v>59</v>
      </c>
      <c r="P109" t="s">
        <v>59</v>
      </c>
      <c r="Q109" t="s">
        <v>59</v>
      </c>
      <c r="R109" t="s">
        <v>60</v>
      </c>
      <c r="S109" t="s">
        <v>59</v>
      </c>
      <c r="T109" t="s">
        <v>59</v>
      </c>
      <c r="U109" t="s">
        <v>59</v>
      </c>
      <c r="V109" t="s">
        <v>59</v>
      </c>
      <c r="W109" t="s">
        <v>59</v>
      </c>
      <c r="X109" t="s">
        <v>59</v>
      </c>
      <c r="Y109" t="s">
        <v>59</v>
      </c>
      <c r="Z109" t="s">
        <v>59</v>
      </c>
      <c r="AA109" t="s">
        <v>60</v>
      </c>
      <c r="AB109" t="s">
        <v>60</v>
      </c>
      <c r="AC109" t="s">
        <v>60</v>
      </c>
      <c r="AD109" t="s">
        <v>59</v>
      </c>
      <c r="AE109" t="s">
        <v>59</v>
      </c>
      <c r="AF109" t="s">
        <v>59</v>
      </c>
      <c r="AG109" t="s">
        <v>59</v>
      </c>
      <c r="AH109" t="s">
        <v>59</v>
      </c>
      <c r="AI109" t="s">
        <v>60</v>
      </c>
      <c r="AJ109" t="s">
        <v>59</v>
      </c>
      <c r="AK109" t="s">
        <v>59</v>
      </c>
      <c r="AL109" t="s">
        <v>59</v>
      </c>
      <c r="AM109" t="s">
        <v>59</v>
      </c>
      <c r="AN109" t="s">
        <v>59</v>
      </c>
      <c r="AO109" t="s">
        <v>59</v>
      </c>
      <c r="AP109" t="s">
        <v>449</v>
      </c>
      <c r="AQ109" s="1" t="s">
        <v>450</v>
      </c>
      <c r="AR109" t="s">
        <v>226</v>
      </c>
      <c r="AS109" t="s">
        <v>352</v>
      </c>
      <c r="AT109" t="s">
        <v>352</v>
      </c>
      <c r="AU109" t="s">
        <v>219</v>
      </c>
      <c r="AW109" s="4">
        <f t="shared" si="38"/>
        <v>6</v>
      </c>
      <c r="AX109" s="4">
        <f t="shared" si="39"/>
        <v>4</v>
      </c>
      <c r="AY109" s="4">
        <f t="shared" si="40"/>
        <v>4</v>
      </c>
      <c r="AZ109" s="4">
        <f t="shared" si="41"/>
        <v>2</v>
      </c>
      <c r="BA109" s="4">
        <f t="shared" si="42"/>
        <v>4</v>
      </c>
      <c r="BB109" s="4" t="str">
        <f t="shared" si="43"/>
        <v>0</v>
      </c>
      <c r="BC109" s="4">
        <f t="shared" si="44"/>
        <v>4</v>
      </c>
      <c r="BD109" s="4">
        <f t="shared" si="45"/>
        <v>2</v>
      </c>
      <c r="BE109" s="4">
        <f t="shared" si="46"/>
        <v>4</v>
      </c>
      <c r="BF109" s="4">
        <f t="shared" si="47"/>
        <v>2</v>
      </c>
      <c r="BG109" s="4">
        <f t="shared" si="48"/>
        <v>4</v>
      </c>
      <c r="BH109" s="4">
        <f t="shared" si="49"/>
        <v>4</v>
      </c>
      <c r="BI109" s="4">
        <f t="shared" si="50"/>
        <v>4</v>
      </c>
      <c r="BJ109" s="4">
        <f t="shared" si="51"/>
        <v>2</v>
      </c>
      <c r="BK109" s="4" t="str">
        <f t="shared" si="52"/>
        <v>0</v>
      </c>
      <c r="BL109" s="4" t="str">
        <f t="shared" si="53"/>
        <v>0</v>
      </c>
      <c r="BM109" s="4" t="str">
        <f t="shared" si="54"/>
        <v>0</v>
      </c>
      <c r="BN109" s="4">
        <f t="shared" si="55"/>
        <v>4</v>
      </c>
      <c r="BO109" s="4">
        <f t="shared" si="56"/>
        <v>4</v>
      </c>
      <c r="BP109" s="4">
        <f t="shared" si="57"/>
        <v>4</v>
      </c>
      <c r="BQ109" s="4">
        <f t="shared" si="58"/>
        <v>6</v>
      </c>
      <c r="BR109" s="4">
        <f t="shared" si="59"/>
        <v>4</v>
      </c>
      <c r="BS109" s="4" t="str">
        <f t="shared" si="60"/>
        <v>0</v>
      </c>
      <c r="BT109" s="4">
        <f t="shared" si="61"/>
        <v>4</v>
      </c>
      <c r="BU109" s="4">
        <f t="shared" si="62"/>
        <v>4</v>
      </c>
      <c r="BV109" s="4">
        <f t="shared" si="63"/>
        <v>0</v>
      </c>
      <c r="BW109" s="4">
        <f t="shared" si="64"/>
        <v>6</v>
      </c>
      <c r="BX109" s="4">
        <f t="shared" si="65"/>
        <v>0</v>
      </c>
      <c r="BY109" s="4">
        <f t="shared" si="66"/>
        <v>0</v>
      </c>
      <c r="BZ109" s="37">
        <f t="shared" si="67"/>
        <v>82</v>
      </c>
      <c r="CA109" s="32" t="str">
        <f>VLOOKUP(J:J,'Agent wise'!A:C,3,0)</f>
        <v>Amal</v>
      </c>
      <c r="CB109" s="32">
        <f t="shared" si="68"/>
        <v>45933</v>
      </c>
      <c r="CC109" t="str">
        <f t="shared" si="69"/>
        <v>FC</v>
      </c>
      <c r="CE109" s="32"/>
      <c r="CJ109">
        <f t="shared" si="70"/>
        <v>3</v>
      </c>
      <c r="CK109">
        <f t="shared" si="71"/>
        <v>10</v>
      </c>
      <c r="CL109">
        <f t="shared" si="72"/>
        <v>2025</v>
      </c>
    </row>
    <row r="110" spans="1:90" ht="15" customHeight="1" x14ac:dyDescent="0.35">
      <c r="A110" s="40">
        <v>45726.574942129628</v>
      </c>
      <c r="B110" t="s">
        <v>177</v>
      </c>
      <c r="C110" t="s">
        <v>214</v>
      </c>
      <c r="D110" t="s">
        <v>178</v>
      </c>
      <c r="E110" s="32">
        <v>45932</v>
      </c>
      <c r="F110" t="s">
        <v>54</v>
      </c>
      <c r="G110" s="2">
        <v>45667</v>
      </c>
      <c r="H110">
        <v>9487005324</v>
      </c>
      <c r="I110">
        <v>110</v>
      </c>
      <c r="J110" t="s">
        <v>451</v>
      </c>
      <c r="K110" t="s">
        <v>71</v>
      </c>
      <c r="L110" t="s">
        <v>72</v>
      </c>
      <c r="M110" t="s">
        <v>59</v>
      </c>
      <c r="N110" t="s">
        <v>59</v>
      </c>
      <c r="O110" t="s">
        <v>59</v>
      </c>
      <c r="P110" t="s">
        <v>59</v>
      </c>
      <c r="Q110" t="s">
        <v>59</v>
      </c>
      <c r="R110" t="s">
        <v>59</v>
      </c>
      <c r="S110" t="s">
        <v>59</v>
      </c>
      <c r="T110" t="s">
        <v>59</v>
      </c>
      <c r="U110" t="s">
        <v>59</v>
      </c>
      <c r="V110" t="s">
        <v>59</v>
      </c>
      <c r="W110" t="s">
        <v>59</v>
      </c>
      <c r="X110" t="s">
        <v>59</v>
      </c>
      <c r="Y110" t="s">
        <v>59</v>
      </c>
      <c r="Z110" t="s">
        <v>59</v>
      </c>
      <c r="AA110" t="s">
        <v>59</v>
      </c>
      <c r="AB110" t="s">
        <v>59</v>
      </c>
      <c r="AC110" t="s">
        <v>59</v>
      </c>
      <c r="AD110" t="s">
        <v>59</v>
      </c>
      <c r="AE110" t="s">
        <v>59</v>
      </c>
      <c r="AF110" t="s">
        <v>59</v>
      </c>
      <c r="AG110" t="s">
        <v>60</v>
      </c>
      <c r="AH110" t="s">
        <v>61</v>
      </c>
      <c r="AI110" t="s">
        <v>61</v>
      </c>
      <c r="AJ110" t="s">
        <v>59</v>
      </c>
      <c r="AK110" t="s">
        <v>59</v>
      </c>
      <c r="AL110" t="s">
        <v>59</v>
      </c>
      <c r="AM110" t="s">
        <v>59</v>
      </c>
      <c r="AN110" t="s">
        <v>59</v>
      </c>
      <c r="AO110" t="s">
        <v>59</v>
      </c>
      <c r="AP110" t="s">
        <v>452</v>
      </c>
      <c r="AQ110" t="s">
        <v>453</v>
      </c>
      <c r="AR110" t="s">
        <v>64</v>
      </c>
      <c r="AS110" t="s">
        <v>89</v>
      </c>
      <c r="AT110" t="s">
        <v>84</v>
      </c>
      <c r="AU110" t="s">
        <v>387</v>
      </c>
      <c r="AW110" s="4">
        <f t="shared" si="38"/>
        <v>6</v>
      </c>
      <c r="AX110" s="4">
        <f t="shared" si="39"/>
        <v>4</v>
      </c>
      <c r="AY110" s="4">
        <f t="shared" si="40"/>
        <v>4</v>
      </c>
      <c r="AZ110" s="4">
        <f t="shared" si="41"/>
        <v>2</v>
      </c>
      <c r="BA110" s="4">
        <f t="shared" si="42"/>
        <v>4</v>
      </c>
      <c r="BB110" s="4">
        <f t="shared" si="43"/>
        <v>4</v>
      </c>
      <c r="BC110" s="4">
        <f t="shared" si="44"/>
        <v>4</v>
      </c>
      <c r="BD110" s="4">
        <f t="shared" si="45"/>
        <v>2</v>
      </c>
      <c r="BE110" s="4">
        <f t="shared" si="46"/>
        <v>4</v>
      </c>
      <c r="BF110" s="4">
        <f t="shared" si="47"/>
        <v>2</v>
      </c>
      <c r="BG110" s="4">
        <f t="shared" si="48"/>
        <v>4</v>
      </c>
      <c r="BH110" s="4">
        <f t="shared" si="49"/>
        <v>4</v>
      </c>
      <c r="BI110" s="4">
        <f t="shared" si="50"/>
        <v>4</v>
      </c>
      <c r="BJ110" s="4">
        <f t="shared" si="51"/>
        <v>2</v>
      </c>
      <c r="BK110" s="4">
        <f t="shared" si="52"/>
        <v>4</v>
      </c>
      <c r="BL110" s="4">
        <f t="shared" si="53"/>
        <v>2</v>
      </c>
      <c r="BM110" s="4">
        <f t="shared" si="54"/>
        <v>4</v>
      </c>
      <c r="BN110" s="4">
        <f t="shared" si="55"/>
        <v>4</v>
      </c>
      <c r="BO110" s="4">
        <f t="shared" si="56"/>
        <v>4</v>
      </c>
      <c r="BP110" s="4">
        <f t="shared" si="57"/>
        <v>4</v>
      </c>
      <c r="BQ110" s="4" t="str">
        <f t="shared" si="58"/>
        <v>0</v>
      </c>
      <c r="BR110" s="4">
        <f t="shared" si="59"/>
        <v>4</v>
      </c>
      <c r="BS110" s="4">
        <f t="shared" si="60"/>
        <v>4</v>
      </c>
      <c r="BT110" s="4">
        <f t="shared" si="61"/>
        <v>4</v>
      </c>
      <c r="BU110" s="4">
        <f t="shared" si="62"/>
        <v>4</v>
      </c>
      <c r="BV110" s="4">
        <f t="shared" si="63"/>
        <v>0</v>
      </c>
      <c r="BW110" s="4">
        <f t="shared" si="64"/>
        <v>6</v>
      </c>
      <c r="BX110" s="4">
        <f t="shared" si="65"/>
        <v>0</v>
      </c>
      <c r="BY110" s="4">
        <f t="shared" si="66"/>
        <v>0</v>
      </c>
      <c r="BZ110" s="37">
        <f t="shared" si="67"/>
        <v>94</v>
      </c>
      <c r="CA110" s="32" t="str">
        <f>VLOOKUP(J:J,'Agent wise'!A:C,3,0)</f>
        <v xml:space="preserve">Shiny </v>
      </c>
      <c r="CB110" s="32">
        <f t="shared" si="68"/>
        <v>45932</v>
      </c>
      <c r="CC110" t="str">
        <f t="shared" si="69"/>
        <v>Good</v>
      </c>
      <c r="CE110" s="32"/>
      <c r="CJ110">
        <f t="shared" si="70"/>
        <v>2</v>
      </c>
      <c r="CK110">
        <f t="shared" si="71"/>
        <v>10</v>
      </c>
      <c r="CL110">
        <f t="shared" si="72"/>
        <v>2025</v>
      </c>
    </row>
    <row r="111" spans="1:90" ht="15" customHeight="1" x14ac:dyDescent="0.35">
      <c r="A111" s="40">
        <v>45726.57540509259</v>
      </c>
      <c r="B111" t="s">
        <v>250</v>
      </c>
      <c r="C111" t="s">
        <v>214</v>
      </c>
      <c r="D111" t="s">
        <v>251</v>
      </c>
      <c r="E111" s="32">
        <v>45933</v>
      </c>
      <c r="F111" t="s">
        <v>54</v>
      </c>
      <c r="G111" s="2">
        <v>45698</v>
      </c>
      <c r="H111">
        <v>9447603601</v>
      </c>
      <c r="I111">
        <v>154</v>
      </c>
      <c r="J111" t="s">
        <v>56</v>
      </c>
      <c r="K111" t="s">
        <v>57</v>
      </c>
      <c r="L111" t="s">
        <v>58</v>
      </c>
      <c r="M111" t="s">
        <v>59</v>
      </c>
      <c r="N111" t="s">
        <v>59</v>
      </c>
      <c r="O111" t="s">
        <v>59</v>
      </c>
      <c r="P111" t="s">
        <v>59</v>
      </c>
      <c r="Q111" t="s">
        <v>59</v>
      </c>
      <c r="R111" t="s">
        <v>59</v>
      </c>
      <c r="S111" t="s">
        <v>59</v>
      </c>
      <c r="T111" t="s">
        <v>59</v>
      </c>
      <c r="U111" t="s">
        <v>60</v>
      </c>
      <c r="V111" t="s">
        <v>59</v>
      </c>
      <c r="W111" t="s">
        <v>59</v>
      </c>
      <c r="X111" t="s">
        <v>59</v>
      </c>
      <c r="Y111" t="s">
        <v>59</v>
      </c>
      <c r="Z111" t="s">
        <v>60</v>
      </c>
      <c r="AA111" t="s">
        <v>59</v>
      </c>
      <c r="AB111" t="s">
        <v>59</v>
      </c>
      <c r="AC111" t="s">
        <v>59</v>
      </c>
      <c r="AD111" t="s">
        <v>59</v>
      </c>
      <c r="AE111" t="s">
        <v>59</v>
      </c>
      <c r="AF111" t="s">
        <v>59</v>
      </c>
      <c r="AG111" t="s">
        <v>59</v>
      </c>
      <c r="AH111" t="s">
        <v>61</v>
      </c>
      <c r="AI111" t="s">
        <v>61</v>
      </c>
      <c r="AJ111" t="s">
        <v>59</v>
      </c>
      <c r="AK111" t="s">
        <v>59</v>
      </c>
      <c r="AL111" t="s">
        <v>59</v>
      </c>
      <c r="AM111" t="s">
        <v>59</v>
      </c>
      <c r="AN111" t="s">
        <v>59</v>
      </c>
      <c r="AO111" t="s">
        <v>59</v>
      </c>
      <c r="AP111" s="1" t="s">
        <v>454</v>
      </c>
      <c r="AQ111" t="s">
        <v>455</v>
      </c>
      <c r="AR111" t="s">
        <v>64</v>
      </c>
      <c r="AS111" t="s">
        <v>456</v>
      </c>
      <c r="AT111" t="s">
        <v>457</v>
      </c>
      <c r="AU111" t="s">
        <v>387</v>
      </c>
      <c r="AW111" s="4">
        <f t="shared" si="38"/>
        <v>6</v>
      </c>
      <c r="AX111" s="4">
        <f t="shared" si="39"/>
        <v>4</v>
      </c>
      <c r="AY111" s="4">
        <f t="shared" si="40"/>
        <v>4</v>
      </c>
      <c r="AZ111" s="4">
        <f t="shared" si="41"/>
        <v>2</v>
      </c>
      <c r="BA111" s="4">
        <f t="shared" si="42"/>
        <v>4</v>
      </c>
      <c r="BB111" s="4">
        <f t="shared" si="43"/>
        <v>4</v>
      </c>
      <c r="BC111" s="4">
        <f t="shared" si="44"/>
        <v>4</v>
      </c>
      <c r="BD111" s="4">
        <f t="shared" si="45"/>
        <v>2</v>
      </c>
      <c r="BE111" s="4" t="str">
        <f t="shared" si="46"/>
        <v>0</v>
      </c>
      <c r="BF111" s="4">
        <f t="shared" si="47"/>
        <v>2</v>
      </c>
      <c r="BG111" s="4">
        <f t="shared" si="48"/>
        <v>4</v>
      </c>
      <c r="BH111" s="4">
        <f t="shared" si="49"/>
        <v>4</v>
      </c>
      <c r="BI111" s="4">
        <f t="shared" si="50"/>
        <v>4</v>
      </c>
      <c r="BJ111" s="4" t="str">
        <f t="shared" si="51"/>
        <v>0</v>
      </c>
      <c r="BK111" s="4">
        <f t="shared" si="52"/>
        <v>4</v>
      </c>
      <c r="BL111" s="4">
        <f t="shared" si="53"/>
        <v>2</v>
      </c>
      <c r="BM111" s="4">
        <f t="shared" si="54"/>
        <v>4</v>
      </c>
      <c r="BN111" s="4">
        <f t="shared" si="55"/>
        <v>4</v>
      </c>
      <c r="BO111" s="4">
        <f t="shared" si="56"/>
        <v>4</v>
      </c>
      <c r="BP111" s="4">
        <f t="shared" si="57"/>
        <v>4</v>
      </c>
      <c r="BQ111" s="4">
        <f t="shared" si="58"/>
        <v>6</v>
      </c>
      <c r="BR111" s="4">
        <f t="shared" si="59"/>
        <v>4</v>
      </c>
      <c r="BS111" s="4">
        <f t="shared" si="60"/>
        <v>4</v>
      </c>
      <c r="BT111" s="4">
        <f t="shared" si="61"/>
        <v>4</v>
      </c>
      <c r="BU111" s="4">
        <f t="shared" si="62"/>
        <v>4</v>
      </c>
      <c r="BV111" s="4">
        <f t="shared" si="63"/>
        <v>0</v>
      </c>
      <c r="BW111" s="4">
        <f t="shared" si="64"/>
        <v>6</v>
      </c>
      <c r="BX111" s="4">
        <f t="shared" si="65"/>
        <v>0</v>
      </c>
      <c r="BY111" s="4">
        <f t="shared" si="66"/>
        <v>0</v>
      </c>
      <c r="BZ111" s="37">
        <f t="shared" si="67"/>
        <v>94</v>
      </c>
      <c r="CA111" s="32" t="str">
        <f>VLOOKUP(J:J,'Agent wise'!A:C,3,0)</f>
        <v>Saran S</v>
      </c>
      <c r="CB111" s="32">
        <f t="shared" si="68"/>
        <v>45933</v>
      </c>
      <c r="CC111" t="str">
        <f t="shared" si="69"/>
        <v>Good</v>
      </c>
      <c r="CE111" s="32"/>
      <c r="CJ111">
        <f t="shared" si="70"/>
        <v>3</v>
      </c>
      <c r="CK111">
        <f t="shared" si="71"/>
        <v>10</v>
      </c>
      <c r="CL111">
        <f t="shared" si="72"/>
        <v>2025</v>
      </c>
    </row>
    <row r="112" spans="1:90" ht="15" customHeight="1" x14ac:dyDescent="0.35">
      <c r="A112" s="40">
        <v>45726.575486111113</v>
      </c>
      <c r="B112" t="s">
        <v>100</v>
      </c>
      <c r="C112" t="s">
        <v>214</v>
      </c>
      <c r="D112" t="s">
        <v>101</v>
      </c>
      <c r="E112" s="32">
        <v>45933</v>
      </c>
      <c r="F112" t="s">
        <v>222</v>
      </c>
      <c r="G112" s="2">
        <v>45698</v>
      </c>
      <c r="H112">
        <v>7034171849</v>
      </c>
      <c r="I112">
        <v>143</v>
      </c>
      <c r="J112" t="s">
        <v>356</v>
      </c>
      <c r="K112" t="s">
        <v>57</v>
      </c>
      <c r="L112" t="s">
        <v>58</v>
      </c>
      <c r="M112" t="s">
        <v>59</v>
      </c>
      <c r="N112" t="s">
        <v>59</v>
      </c>
      <c r="O112" t="s">
        <v>59</v>
      </c>
      <c r="P112" t="s">
        <v>59</v>
      </c>
      <c r="Q112" t="s">
        <v>59</v>
      </c>
      <c r="R112" t="s">
        <v>59</v>
      </c>
      <c r="S112" t="s">
        <v>59</v>
      </c>
      <c r="T112" t="s">
        <v>59</v>
      </c>
      <c r="U112" t="s">
        <v>59</v>
      </c>
      <c r="V112" t="s">
        <v>59</v>
      </c>
      <c r="W112" t="s">
        <v>59</v>
      </c>
      <c r="X112" t="s">
        <v>59</v>
      </c>
      <c r="Y112" t="s">
        <v>59</v>
      </c>
      <c r="Z112" t="s">
        <v>59</v>
      </c>
      <c r="AA112" t="s">
        <v>60</v>
      </c>
      <c r="AB112" t="s">
        <v>60</v>
      </c>
      <c r="AC112" t="s">
        <v>60</v>
      </c>
      <c r="AD112" t="s">
        <v>59</v>
      </c>
      <c r="AE112" t="s">
        <v>59</v>
      </c>
      <c r="AF112" t="s">
        <v>59</v>
      </c>
      <c r="AG112" t="s">
        <v>59</v>
      </c>
      <c r="AH112" t="s">
        <v>59</v>
      </c>
      <c r="AI112" t="s">
        <v>61</v>
      </c>
      <c r="AJ112" t="s">
        <v>59</v>
      </c>
      <c r="AK112" t="s">
        <v>59</v>
      </c>
      <c r="AL112" t="s">
        <v>59</v>
      </c>
      <c r="AM112" t="s">
        <v>59</v>
      </c>
      <c r="AN112" t="s">
        <v>59</v>
      </c>
      <c r="AO112" t="s">
        <v>59</v>
      </c>
      <c r="AP112" s="1" t="s">
        <v>458</v>
      </c>
      <c r="AQ112" s="1" t="s">
        <v>459</v>
      </c>
      <c r="AR112" t="s">
        <v>226</v>
      </c>
      <c r="AS112" t="s">
        <v>352</v>
      </c>
      <c r="AT112" t="s">
        <v>352</v>
      </c>
      <c r="AU112" t="s">
        <v>219</v>
      </c>
      <c r="AW112" s="4">
        <f t="shared" si="38"/>
        <v>6</v>
      </c>
      <c r="AX112" s="4">
        <f t="shared" si="39"/>
        <v>4</v>
      </c>
      <c r="AY112" s="4">
        <f t="shared" si="40"/>
        <v>4</v>
      </c>
      <c r="AZ112" s="4">
        <f t="shared" si="41"/>
        <v>2</v>
      </c>
      <c r="BA112" s="4">
        <f t="shared" si="42"/>
        <v>4</v>
      </c>
      <c r="BB112" s="4">
        <f t="shared" si="43"/>
        <v>4</v>
      </c>
      <c r="BC112" s="4">
        <f t="shared" si="44"/>
        <v>4</v>
      </c>
      <c r="BD112" s="4">
        <f t="shared" si="45"/>
        <v>2</v>
      </c>
      <c r="BE112" s="4">
        <f t="shared" si="46"/>
        <v>4</v>
      </c>
      <c r="BF112" s="4">
        <f t="shared" si="47"/>
        <v>2</v>
      </c>
      <c r="BG112" s="4">
        <f t="shared" si="48"/>
        <v>4</v>
      </c>
      <c r="BH112" s="4">
        <f t="shared" si="49"/>
        <v>4</v>
      </c>
      <c r="BI112" s="4">
        <f t="shared" si="50"/>
        <v>4</v>
      </c>
      <c r="BJ112" s="4">
        <f t="shared" si="51"/>
        <v>2</v>
      </c>
      <c r="BK112" s="4" t="str">
        <f t="shared" si="52"/>
        <v>0</v>
      </c>
      <c r="BL112" s="4" t="str">
        <f t="shared" si="53"/>
        <v>0</v>
      </c>
      <c r="BM112" s="4" t="str">
        <f t="shared" si="54"/>
        <v>0</v>
      </c>
      <c r="BN112" s="4">
        <f t="shared" si="55"/>
        <v>4</v>
      </c>
      <c r="BO112" s="4">
        <f t="shared" si="56"/>
        <v>4</v>
      </c>
      <c r="BP112" s="4">
        <f t="shared" si="57"/>
        <v>4</v>
      </c>
      <c r="BQ112" s="4">
        <f t="shared" si="58"/>
        <v>6</v>
      </c>
      <c r="BR112" s="4">
        <f t="shared" si="59"/>
        <v>4</v>
      </c>
      <c r="BS112" s="4">
        <f t="shared" si="60"/>
        <v>4</v>
      </c>
      <c r="BT112" s="4">
        <f t="shared" si="61"/>
        <v>4</v>
      </c>
      <c r="BU112" s="4">
        <f t="shared" si="62"/>
        <v>4</v>
      </c>
      <c r="BV112" s="4">
        <f t="shared" si="63"/>
        <v>0</v>
      </c>
      <c r="BW112" s="4">
        <f t="shared" si="64"/>
        <v>6</v>
      </c>
      <c r="BX112" s="4">
        <f t="shared" si="65"/>
        <v>0</v>
      </c>
      <c r="BY112" s="4">
        <f t="shared" si="66"/>
        <v>0</v>
      </c>
      <c r="BZ112" s="37">
        <f t="shared" si="67"/>
        <v>90</v>
      </c>
      <c r="CA112" s="32" t="str">
        <f>VLOOKUP(J:J,'Agent wise'!A:C,3,0)</f>
        <v>Amal</v>
      </c>
      <c r="CB112" s="32">
        <f t="shared" si="68"/>
        <v>45933</v>
      </c>
      <c r="CC112" t="str">
        <f t="shared" si="69"/>
        <v>Good</v>
      </c>
      <c r="CE112" s="32"/>
      <c r="CJ112">
        <f t="shared" si="70"/>
        <v>3</v>
      </c>
      <c r="CK112">
        <f t="shared" si="71"/>
        <v>10</v>
      </c>
      <c r="CL112">
        <f t="shared" si="72"/>
        <v>2025</v>
      </c>
    </row>
    <row r="113" spans="1:90" ht="15" customHeight="1" x14ac:dyDescent="0.35">
      <c r="A113" s="40">
        <v>45726.577256944453</v>
      </c>
      <c r="B113" t="s">
        <v>250</v>
      </c>
      <c r="C113" t="s">
        <v>214</v>
      </c>
      <c r="D113" t="s">
        <v>251</v>
      </c>
      <c r="E113" s="32">
        <v>45933</v>
      </c>
      <c r="F113" t="s">
        <v>54</v>
      </c>
      <c r="G113" s="2">
        <v>45698</v>
      </c>
      <c r="H113">
        <v>6238628489</v>
      </c>
      <c r="I113">
        <v>145</v>
      </c>
      <c r="J113" t="s">
        <v>67</v>
      </c>
      <c r="K113" t="s">
        <v>57</v>
      </c>
      <c r="L113" t="s">
        <v>58</v>
      </c>
      <c r="M113" t="s">
        <v>59</v>
      </c>
      <c r="N113" t="s">
        <v>59</v>
      </c>
      <c r="O113" t="s">
        <v>59</v>
      </c>
      <c r="P113" t="s">
        <v>59</v>
      </c>
      <c r="Q113" t="s">
        <v>59</v>
      </c>
      <c r="R113" t="s">
        <v>59</v>
      </c>
      <c r="S113" t="s">
        <v>59</v>
      </c>
      <c r="T113" t="s">
        <v>59</v>
      </c>
      <c r="U113" t="s">
        <v>59</v>
      </c>
      <c r="V113" t="s">
        <v>59</v>
      </c>
      <c r="W113" t="s">
        <v>59</v>
      </c>
      <c r="X113" t="s">
        <v>59</v>
      </c>
      <c r="Y113" t="s">
        <v>59</v>
      </c>
      <c r="Z113" t="s">
        <v>59</v>
      </c>
      <c r="AA113" t="s">
        <v>59</v>
      </c>
      <c r="AB113" t="s">
        <v>59</v>
      </c>
      <c r="AC113" t="s">
        <v>59</v>
      </c>
      <c r="AD113" t="s">
        <v>59</v>
      </c>
      <c r="AE113" t="s">
        <v>59</v>
      </c>
      <c r="AF113" t="s">
        <v>59</v>
      </c>
      <c r="AG113" t="s">
        <v>59</v>
      </c>
      <c r="AH113" t="s">
        <v>61</v>
      </c>
      <c r="AI113" t="s">
        <v>61</v>
      </c>
      <c r="AJ113" t="s">
        <v>59</v>
      </c>
      <c r="AK113" t="s">
        <v>59</v>
      </c>
      <c r="AL113" t="s">
        <v>59</v>
      </c>
      <c r="AM113" t="s">
        <v>59</v>
      </c>
      <c r="AN113" t="s">
        <v>59</v>
      </c>
      <c r="AO113" t="s">
        <v>59</v>
      </c>
      <c r="AP113" t="s">
        <v>460</v>
      </c>
      <c r="AQ113" t="s">
        <v>461</v>
      </c>
      <c r="AR113" t="s">
        <v>64</v>
      </c>
      <c r="AS113" t="s">
        <v>462</v>
      </c>
      <c r="AT113" t="s">
        <v>463</v>
      </c>
      <c r="AU113" t="s">
        <v>219</v>
      </c>
      <c r="AW113" s="4">
        <f t="shared" si="38"/>
        <v>6</v>
      </c>
      <c r="AX113" s="4">
        <f t="shared" si="39"/>
        <v>4</v>
      </c>
      <c r="AY113" s="4">
        <f t="shared" si="40"/>
        <v>4</v>
      </c>
      <c r="AZ113" s="4">
        <f t="shared" si="41"/>
        <v>2</v>
      </c>
      <c r="BA113" s="4">
        <f t="shared" si="42"/>
        <v>4</v>
      </c>
      <c r="BB113" s="4">
        <f t="shared" si="43"/>
        <v>4</v>
      </c>
      <c r="BC113" s="4">
        <f t="shared" si="44"/>
        <v>4</v>
      </c>
      <c r="BD113" s="4">
        <f t="shared" si="45"/>
        <v>2</v>
      </c>
      <c r="BE113" s="4">
        <f t="shared" si="46"/>
        <v>4</v>
      </c>
      <c r="BF113" s="4">
        <f t="shared" si="47"/>
        <v>2</v>
      </c>
      <c r="BG113" s="4">
        <f t="shared" si="48"/>
        <v>4</v>
      </c>
      <c r="BH113" s="4">
        <f t="shared" si="49"/>
        <v>4</v>
      </c>
      <c r="BI113" s="4">
        <f t="shared" si="50"/>
        <v>4</v>
      </c>
      <c r="BJ113" s="4">
        <f t="shared" si="51"/>
        <v>2</v>
      </c>
      <c r="BK113" s="4">
        <f t="shared" si="52"/>
        <v>4</v>
      </c>
      <c r="BL113" s="4">
        <f t="shared" si="53"/>
        <v>2</v>
      </c>
      <c r="BM113" s="4">
        <f t="shared" si="54"/>
        <v>4</v>
      </c>
      <c r="BN113" s="4">
        <f t="shared" si="55"/>
        <v>4</v>
      </c>
      <c r="BO113" s="4">
        <f t="shared" si="56"/>
        <v>4</v>
      </c>
      <c r="BP113" s="4">
        <f t="shared" si="57"/>
        <v>4</v>
      </c>
      <c r="BQ113" s="4">
        <f t="shared" si="58"/>
        <v>6</v>
      </c>
      <c r="BR113" s="4">
        <f t="shared" si="59"/>
        <v>4</v>
      </c>
      <c r="BS113" s="4">
        <f t="shared" si="60"/>
        <v>4</v>
      </c>
      <c r="BT113" s="4">
        <f t="shared" si="61"/>
        <v>4</v>
      </c>
      <c r="BU113" s="4">
        <f t="shared" si="62"/>
        <v>4</v>
      </c>
      <c r="BV113" s="4">
        <f t="shared" si="63"/>
        <v>0</v>
      </c>
      <c r="BW113" s="4">
        <f t="shared" si="64"/>
        <v>6</v>
      </c>
      <c r="BX113" s="4">
        <f t="shared" si="65"/>
        <v>0</v>
      </c>
      <c r="BY113" s="4">
        <f t="shared" si="66"/>
        <v>0</v>
      </c>
      <c r="BZ113" s="37">
        <f t="shared" si="67"/>
        <v>100</v>
      </c>
      <c r="CA113" s="32" t="str">
        <f>VLOOKUP(J:J,'Agent wise'!A:C,3,0)</f>
        <v>Saran S</v>
      </c>
      <c r="CB113" s="32">
        <f t="shared" si="68"/>
        <v>45933</v>
      </c>
      <c r="CC113" t="str">
        <f t="shared" si="69"/>
        <v>Excellent</v>
      </c>
      <c r="CE113" s="32"/>
      <c r="CJ113">
        <f t="shared" si="70"/>
        <v>3</v>
      </c>
      <c r="CK113">
        <f t="shared" si="71"/>
        <v>10</v>
      </c>
      <c r="CL113">
        <f t="shared" si="72"/>
        <v>2025</v>
      </c>
    </row>
    <row r="114" spans="1:90" ht="15" customHeight="1" x14ac:dyDescent="0.35">
      <c r="A114" s="40">
        <v>45726.5781712963</v>
      </c>
      <c r="B114" t="s">
        <v>177</v>
      </c>
      <c r="C114" t="s">
        <v>214</v>
      </c>
      <c r="D114" t="s">
        <v>178</v>
      </c>
      <c r="E114" s="32">
        <v>45931</v>
      </c>
      <c r="F114" t="s">
        <v>54</v>
      </c>
      <c r="G114" t="s">
        <v>55</v>
      </c>
      <c r="H114">
        <v>9446650630</v>
      </c>
      <c r="I114">
        <v>136</v>
      </c>
      <c r="J114" t="s">
        <v>464</v>
      </c>
      <c r="K114" t="s">
        <v>57</v>
      </c>
      <c r="L114" t="s">
        <v>58</v>
      </c>
      <c r="M114" t="s">
        <v>59</v>
      </c>
      <c r="N114" t="s">
        <v>59</v>
      </c>
      <c r="O114" t="s">
        <v>59</v>
      </c>
      <c r="P114" t="s">
        <v>59</v>
      </c>
      <c r="Q114" t="s">
        <v>59</v>
      </c>
      <c r="R114" t="s">
        <v>59</v>
      </c>
      <c r="S114" t="s">
        <v>59</v>
      </c>
      <c r="T114" t="s">
        <v>59</v>
      </c>
      <c r="U114" t="s">
        <v>59</v>
      </c>
      <c r="V114" t="s">
        <v>59</v>
      </c>
      <c r="W114" t="s">
        <v>59</v>
      </c>
      <c r="X114" t="s">
        <v>59</v>
      </c>
      <c r="Y114" t="s">
        <v>59</v>
      </c>
      <c r="Z114" t="s">
        <v>59</v>
      </c>
      <c r="AA114" t="s">
        <v>59</v>
      </c>
      <c r="AB114" t="s">
        <v>59</v>
      </c>
      <c r="AC114" t="s">
        <v>59</v>
      </c>
      <c r="AD114" t="s">
        <v>61</v>
      </c>
      <c r="AE114" t="s">
        <v>59</v>
      </c>
      <c r="AF114" t="s">
        <v>59</v>
      </c>
      <c r="AG114" t="s">
        <v>59</v>
      </c>
      <c r="AH114" t="s">
        <v>61</v>
      </c>
      <c r="AI114" t="s">
        <v>61</v>
      </c>
      <c r="AJ114" t="s">
        <v>59</v>
      </c>
      <c r="AK114" t="s">
        <v>59</v>
      </c>
      <c r="AL114" t="s">
        <v>59</v>
      </c>
      <c r="AM114" t="s">
        <v>59</v>
      </c>
      <c r="AN114" t="s">
        <v>59</v>
      </c>
      <c r="AO114" t="s">
        <v>59</v>
      </c>
      <c r="AP114" t="s">
        <v>270</v>
      </c>
      <c r="AQ114" t="s">
        <v>465</v>
      </c>
      <c r="AR114" t="s">
        <v>64</v>
      </c>
      <c r="AS114" t="s">
        <v>89</v>
      </c>
      <c r="AT114" t="s">
        <v>84</v>
      </c>
      <c r="AU114" t="s">
        <v>219</v>
      </c>
      <c r="AW114" s="4">
        <f t="shared" si="38"/>
        <v>6</v>
      </c>
      <c r="AX114" s="4">
        <f t="shared" si="39"/>
        <v>4</v>
      </c>
      <c r="AY114" s="4">
        <f t="shared" si="40"/>
        <v>4</v>
      </c>
      <c r="AZ114" s="4">
        <f t="shared" si="41"/>
        <v>2</v>
      </c>
      <c r="BA114" s="4">
        <f t="shared" si="42"/>
        <v>4</v>
      </c>
      <c r="BB114" s="4">
        <f t="shared" si="43"/>
        <v>4</v>
      </c>
      <c r="BC114" s="4">
        <f t="shared" si="44"/>
        <v>4</v>
      </c>
      <c r="BD114" s="4">
        <f t="shared" si="45"/>
        <v>2</v>
      </c>
      <c r="BE114" s="4">
        <f t="shared" si="46"/>
        <v>4</v>
      </c>
      <c r="BF114" s="4">
        <f t="shared" si="47"/>
        <v>2</v>
      </c>
      <c r="BG114" s="4">
        <f t="shared" si="48"/>
        <v>4</v>
      </c>
      <c r="BH114" s="4">
        <f t="shared" si="49"/>
        <v>4</v>
      </c>
      <c r="BI114" s="4">
        <f t="shared" si="50"/>
        <v>4</v>
      </c>
      <c r="BJ114" s="4">
        <f t="shared" si="51"/>
        <v>2</v>
      </c>
      <c r="BK114" s="4">
        <f t="shared" si="52"/>
        <v>4</v>
      </c>
      <c r="BL114" s="4">
        <f t="shared" si="53"/>
        <v>2</v>
      </c>
      <c r="BM114" s="4">
        <f t="shared" si="54"/>
        <v>4</v>
      </c>
      <c r="BN114" s="4">
        <f t="shared" si="55"/>
        <v>4</v>
      </c>
      <c r="BO114" s="4">
        <f t="shared" si="56"/>
        <v>4</v>
      </c>
      <c r="BP114" s="4">
        <f t="shared" si="57"/>
        <v>4</v>
      </c>
      <c r="BQ114" s="4">
        <f t="shared" si="58"/>
        <v>6</v>
      </c>
      <c r="BR114" s="4">
        <f t="shared" si="59"/>
        <v>4</v>
      </c>
      <c r="BS114" s="4">
        <f t="shared" si="60"/>
        <v>4</v>
      </c>
      <c r="BT114" s="4">
        <f t="shared" si="61"/>
        <v>4</v>
      </c>
      <c r="BU114" s="4">
        <f t="shared" si="62"/>
        <v>4</v>
      </c>
      <c r="BV114" s="4">
        <f t="shared" si="63"/>
        <v>0</v>
      </c>
      <c r="BW114" s="4">
        <f t="shared" si="64"/>
        <v>6</v>
      </c>
      <c r="BX114" s="4">
        <f t="shared" si="65"/>
        <v>0</v>
      </c>
      <c r="BY114" s="4">
        <f t="shared" si="66"/>
        <v>0</v>
      </c>
      <c r="BZ114" s="37">
        <f t="shared" si="67"/>
        <v>100</v>
      </c>
      <c r="CA114" s="32" t="str">
        <f>VLOOKUP(J:J,'Agent wise'!A:C,3,0)</f>
        <v>Adharsh</v>
      </c>
      <c r="CB114" s="32">
        <f t="shared" si="68"/>
        <v>45931</v>
      </c>
      <c r="CC114" t="str">
        <f t="shared" si="69"/>
        <v>Excellent</v>
      </c>
      <c r="CE114" s="32"/>
      <c r="CJ114">
        <f t="shared" si="70"/>
        <v>1</v>
      </c>
      <c r="CK114">
        <f t="shared" si="71"/>
        <v>10</v>
      </c>
      <c r="CL114">
        <f t="shared" si="72"/>
        <v>2025</v>
      </c>
    </row>
    <row r="115" spans="1:90" ht="15" customHeight="1" x14ac:dyDescent="0.35">
      <c r="A115" s="40">
        <v>45726.578888888893</v>
      </c>
      <c r="B115" t="s">
        <v>250</v>
      </c>
      <c r="C115" t="s">
        <v>214</v>
      </c>
      <c r="D115" t="s">
        <v>251</v>
      </c>
      <c r="E115" s="32">
        <v>45933</v>
      </c>
      <c r="F115" t="s">
        <v>54</v>
      </c>
      <c r="G115" s="2">
        <v>45698</v>
      </c>
      <c r="H115">
        <v>8300825737</v>
      </c>
      <c r="I115">
        <v>173</v>
      </c>
      <c r="J115" t="s">
        <v>466</v>
      </c>
      <c r="K115" t="s">
        <v>71</v>
      </c>
      <c r="L115" t="s">
        <v>72</v>
      </c>
      <c r="M115" t="s">
        <v>59</v>
      </c>
      <c r="N115" t="s">
        <v>59</v>
      </c>
      <c r="O115" t="s">
        <v>59</v>
      </c>
      <c r="P115" t="s">
        <v>59</v>
      </c>
      <c r="Q115" t="s">
        <v>59</v>
      </c>
      <c r="R115" t="s">
        <v>59</v>
      </c>
      <c r="S115" t="s">
        <v>59</v>
      </c>
      <c r="T115" t="s">
        <v>59</v>
      </c>
      <c r="U115" t="s">
        <v>60</v>
      </c>
      <c r="V115" t="s">
        <v>59</v>
      </c>
      <c r="W115" t="s">
        <v>59</v>
      </c>
      <c r="X115" t="s">
        <v>59</v>
      </c>
      <c r="Y115" t="s">
        <v>59</v>
      </c>
      <c r="Z115" t="s">
        <v>59</v>
      </c>
      <c r="AA115" t="s">
        <v>59</v>
      </c>
      <c r="AB115" t="s">
        <v>60</v>
      </c>
      <c r="AC115" t="s">
        <v>59</v>
      </c>
      <c r="AD115" t="s">
        <v>59</v>
      </c>
      <c r="AE115" t="s">
        <v>59</v>
      </c>
      <c r="AF115" t="s">
        <v>59</v>
      </c>
      <c r="AG115" t="s">
        <v>59</v>
      </c>
      <c r="AH115" t="s">
        <v>61</v>
      </c>
      <c r="AI115" t="s">
        <v>61</v>
      </c>
      <c r="AJ115" t="s">
        <v>59</v>
      </c>
      <c r="AK115" t="s">
        <v>59</v>
      </c>
      <c r="AL115" t="s">
        <v>60</v>
      </c>
      <c r="AM115" t="s">
        <v>59</v>
      </c>
      <c r="AN115" t="s">
        <v>59</v>
      </c>
      <c r="AO115" t="s">
        <v>59</v>
      </c>
      <c r="AP115" t="s">
        <v>467</v>
      </c>
      <c r="AQ115" t="s">
        <v>468</v>
      </c>
      <c r="AR115" t="s">
        <v>64</v>
      </c>
      <c r="AS115" t="s">
        <v>417</v>
      </c>
      <c r="AT115" t="s">
        <v>418</v>
      </c>
      <c r="AU115" t="s">
        <v>219</v>
      </c>
      <c r="AW115" s="4">
        <f t="shared" si="38"/>
        <v>6</v>
      </c>
      <c r="AX115" s="4">
        <f t="shared" si="39"/>
        <v>4</v>
      </c>
      <c r="AY115" s="4">
        <f t="shared" si="40"/>
        <v>4</v>
      </c>
      <c r="AZ115" s="4">
        <f t="shared" si="41"/>
        <v>2</v>
      </c>
      <c r="BA115" s="4">
        <f t="shared" si="42"/>
        <v>4</v>
      </c>
      <c r="BB115" s="4">
        <f t="shared" si="43"/>
        <v>4</v>
      </c>
      <c r="BC115" s="4">
        <f t="shared" si="44"/>
        <v>4</v>
      </c>
      <c r="BD115" s="4">
        <f t="shared" si="45"/>
        <v>2</v>
      </c>
      <c r="BE115" s="4" t="str">
        <f t="shared" si="46"/>
        <v>0</v>
      </c>
      <c r="BF115" s="4">
        <f t="shared" si="47"/>
        <v>2</v>
      </c>
      <c r="BG115" s="4">
        <f t="shared" si="48"/>
        <v>4</v>
      </c>
      <c r="BH115" s="4">
        <f t="shared" si="49"/>
        <v>4</v>
      </c>
      <c r="BI115" s="4">
        <f t="shared" si="50"/>
        <v>4</v>
      </c>
      <c r="BJ115" s="4">
        <f t="shared" si="51"/>
        <v>2</v>
      </c>
      <c r="BK115" s="4">
        <f t="shared" si="52"/>
        <v>4</v>
      </c>
      <c r="BL115" s="4" t="str">
        <f t="shared" si="53"/>
        <v>0</v>
      </c>
      <c r="BM115" s="4">
        <f t="shared" si="54"/>
        <v>4</v>
      </c>
      <c r="BN115" s="4">
        <f t="shared" si="55"/>
        <v>4</v>
      </c>
      <c r="BO115" s="4">
        <f t="shared" si="56"/>
        <v>4</v>
      </c>
      <c r="BP115" s="4">
        <f t="shared" si="57"/>
        <v>4</v>
      </c>
      <c r="BQ115" s="4">
        <f t="shared" si="58"/>
        <v>6</v>
      </c>
      <c r="BR115" s="4">
        <f t="shared" si="59"/>
        <v>4</v>
      </c>
      <c r="BS115" s="4">
        <f t="shared" si="60"/>
        <v>4</v>
      </c>
      <c r="BT115" s="4">
        <f t="shared" si="61"/>
        <v>4</v>
      </c>
      <c r="BU115" s="4">
        <f t="shared" si="62"/>
        <v>4</v>
      </c>
      <c r="BV115" s="4" t="str">
        <f t="shared" si="63"/>
        <v>0</v>
      </c>
      <c r="BW115" s="4">
        <f t="shared" si="64"/>
        <v>6</v>
      </c>
      <c r="BX115" s="4">
        <f t="shared" si="65"/>
        <v>0</v>
      </c>
      <c r="BY115" s="4">
        <f t="shared" si="66"/>
        <v>0</v>
      </c>
      <c r="BZ115" s="37">
        <f t="shared" si="67"/>
        <v>94</v>
      </c>
      <c r="CA115" s="32" t="str">
        <f>VLOOKUP(J:J,'Agent wise'!A:C,3,0)</f>
        <v>Adharsh</v>
      </c>
      <c r="CB115" s="32">
        <f t="shared" si="68"/>
        <v>45933</v>
      </c>
      <c r="CC115" t="str">
        <f t="shared" si="69"/>
        <v>Good</v>
      </c>
      <c r="CE115" s="32"/>
      <c r="CJ115">
        <f t="shared" si="70"/>
        <v>3</v>
      </c>
      <c r="CK115">
        <f t="shared" si="71"/>
        <v>10</v>
      </c>
      <c r="CL115">
        <f t="shared" si="72"/>
        <v>2025</v>
      </c>
    </row>
    <row r="116" spans="1:90" ht="15" customHeight="1" x14ac:dyDescent="0.35">
      <c r="A116" s="40">
        <v>45726.580648148149</v>
      </c>
      <c r="B116" t="s">
        <v>250</v>
      </c>
      <c r="C116" t="s">
        <v>214</v>
      </c>
      <c r="D116" t="s">
        <v>251</v>
      </c>
      <c r="E116" s="32">
        <v>45933</v>
      </c>
      <c r="F116" t="s">
        <v>54</v>
      </c>
      <c r="G116" s="2">
        <v>45698</v>
      </c>
      <c r="H116">
        <v>6369961346</v>
      </c>
      <c r="I116">
        <v>204</v>
      </c>
      <c r="J116" t="s">
        <v>91</v>
      </c>
      <c r="K116" t="s">
        <v>71</v>
      </c>
      <c r="L116" t="s">
        <v>72</v>
      </c>
      <c r="M116" t="s">
        <v>59</v>
      </c>
      <c r="N116" t="s">
        <v>59</v>
      </c>
      <c r="O116" t="s">
        <v>59</v>
      </c>
      <c r="P116" t="s">
        <v>59</v>
      </c>
      <c r="Q116" t="s">
        <v>59</v>
      </c>
      <c r="R116" t="s">
        <v>59</v>
      </c>
      <c r="S116" t="s">
        <v>59</v>
      </c>
      <c r="T116" t="s">
        <v>59</v>
      </c>
      <c r="U116" t="s">
        <v>60</v>
      </c>
      <c r="V116" t="s">
        <v>59</v>
      </c>
      <c r="W116" t="s">
        <v>59</v>
      </c>
      <c r="X116" t="s">
        <v>59</v>
      </c>
      <c r="Y116" t="s">
        <v>59</v>
      </c>
      <c r="Z116" t="s">
        <v>59</v>
      </c>
      <c r="AA116" t="s">
        <v>59</v>
      </c>
      <c r="AB116" t="s">
        <v>60</v>
      </c>
      <c r="AC116" t="s">
        <v>59</v>
      </c>
      <c r="AD116" t="s">
        <v>59</v>
      </c>
      <c r="AE116" t="s">
        <v>59</v>
      </c>
      <c r="AF116" t="s">
        <v>59</v>
      </c>
      <c r="AG116" t="s">
        <v>59</v>
      </c>
      <c r="AH116" t="s">
        <v>61</v>
      </c>
      <c r="AI116" t="s">
        <v>61</v>
      </c>
      <c r="AJ116" t="s">
        <v>59</v>
      </c>
      <c r="AK116" t="s">
        <v>59</v>
      </c>
      <c r="AL116" t="s">
        <v>60</v>
      </c>
      <c r="AM116" t="s">
        <v>59</v>
      </c>
      <c r="AN116" t="s">
        <v>59</v>
      </c>
      <c r="AO116" t="s">
        <v>59</v>
      </c>
      <c r="AP116" t="s">
        <v>469</v>
      </c>
      <c r="AQ116" t="s">
        <v>470</v>
      </c>
      <c r="AR116" t="s">
        <v>64</v>
      </c>
      <c r="AS116" t="s">
        <v>471</v>
      </c>
      <c r="AT116" t="s">
        <v>457</v>
      </c>
      <c r="AU116" t="s">
        <v>219</v>
      </c>
      <c r="AW116" s="4">
        <f t="shared" si="38"/>
        <v>6</v>
      </c>
      <c r="AX116" s="4">
        <f t="shared" si="39"/>
        <v>4</v>
      </c>
      <c r="AY116" s="4">
        <f t="shared" si="40"/>
        <v>4</v>
      </c>
      <c r="AZ116" s="4">
        <f t="shared" si="41"/>
        <v>2</v>
      </c>
      <c r="BA116" s="4">
        <f t="shared" si="42"/>
        <v>4</v>
      </c>
      <c r="BB116" s="4">
        <f t="shared" si="43"/>
        <v>4</v>
      </c>
      <c r="BC116" s="4">
        <f t="shared" si="44"/>
        <v>4</v>
      </c>
      <c r="BD116" s="4">
        <f t="shared" si="45"/>
        <v>2</v>
      </c>
      <c r="BE116" s="4" t="str">
        <f t="shared" si="46"/>
        <v>0</v>
      </c>
      <c r="BF116" s="4">
        <f t="shared" si="47"/>
        <v>2</v>
      </c>
      <c r="BG116" s="4">
        <f t="shared" si="48"/>
        <v>4</v>
      </c>
      <c r="BH116" s="4">
        <f t="shared" si="49"/>
        <v>4</v>
      </c>
      <c r="BI116" s="4">
        <f t="shared" si="50"/>
        <v>4</v>
      </c>
      <c r="BJ116" s="4">
        <f t="shared" si="51"/>
        <v>2</v>
      </c>
      <c r="BK116" s="4">
        <f t="shared" si="52"/>
        <v>4</v>
      </c>
      <c r="BL116" s="4" t="str">
        <f t="shared" si="53"/>
        <v>0</v>
      </c>
      <c r="BM116" s="4">
        <f t="shared" si="54"/>
        <v>4</v>
      </c>
      <c r="BN116" s="4">
        <f t="shared" si="55"/>
        <v>4</v>
      </c>
      <c r="BO116" s="4">
        <f t="shared" si="56"/>
        <v>4</v>
      </c>
      <c r="BP116" s="4">
        <f t="shared" si="57"/>
        <v>4</v>
      </c>
      <c r="BQ116" s="4">
        <f t="shared" si="58"/>
        <v>6</v>
      </c>
      <c r="BR116" s="4">
        <f t="shared" si="59"/>
        <v>4</v>
      </c>
      <c r="BS116" s="4">
        <f t="shared" si="60"/>
        <v>4</v>
      </c>
      <c r="BT116" s="4">
        <f t="shared" si="61"/>
        <v>4</v>
      </c>
      <c r="BU116" s="4">
        <f t="shared" si="62"/>
        <v>4</v>
      </c>
      <c r="BV116" s="4" t="str">
        <f t="shared" si="63"/>
        <v>0</v>
      </c>
      <c r="BW116" s="4">
        <f t="shared" si="64"/>
        <v>6</v>
      </c>
      <c r="BX116" s="4">
        <f t="shared" si="65"/>
        <v>0</v>
      </c>
      <c r="BY116" s="4">
        <f t="shared" si="66"/>
        <v>0</v>
      </c>
      <c r="BZ116" s="37">
        <f t="shared" si="67"/>
        <v>94</v>
      </c>
      <c r="CA116" s="32" t="str">
        <f>VLOOKUP(J:J,'Agent wise'!A:C,3,0)</f>
        <v>Saran S</v>
      </c>
      <c r="CB116" s="32">
        <f t="shared" si="68"/>
        <v>45933</v>
      </c>
      <c r="CC116" t="str">
        <f t="shared" si="69"/>
        <v>Good</v>
      </c>
      <c r="CE116" s="32"/>
      <c r="CJ116">
        <f t="shared" si="70"/>
        <v>3</v>
      </c>
      <c r="CK116">
        <f t="shared" si="71"/>
        <v>10</v>
      </c>
      <c r="CL116">
        <f t="shared" si="72"/>
        <v>2025</v>
      </c>
    </row>
    <row r="117" spans="1:90" ht="15" customHeight="1" x14ac:dyDescent="0.35">
      <c r="A117" s="40">
        <v>45726.580821759257</v>
      </c>
      <c r="B117" t="s">
        <v>177</v>
      </c>
      <c r="C117" t="s">
        <v>214</v>
      </c>
      <c r="D117" t="s">
        <v>178</v>
      </c>
      <c r="E117" s="32">
        <v>45932</v>
      </c>
      <c r="F117" t="s">
        <v>54</v>
      </c>
      <c r="G117" s="2">
        <v>45667</v>
      </c>
      <c r="H117">
        <v>7871152565</v>
      </c>
      <c r="I117">
        <v>125</v>
      </c>
      <c r="J117" t="s">
        <v>472</v>
      </c>
      <c r="K117" t="s">
        <v>71</v>
      </c>
      <c r="L117" t="s">
        <v>72</v>
      </c>
      <c r="M117" t="s">
        <v>59</v>
      </c>
      <c r="N117" t="s">
        <v>59</v>
      </c>
      <c r="O117" t="s">
        <v>59</v>
      </c>
      <c r="P117" t="s">
        <v>59</v>
      </c>
      <c r="Q117" t="s">
        <v>59</v>
      </c>
      <c r="R117" t="s">
        <v>59</v>
      </c>
      <c r="S117" t="s">
        <v>59</v>
      </c>
      <c r="T117" t="s">
        <v>59</v>
      </c>
      <c r="U117" t="s">
        <v>59</v>
      </c>
      <c r="V117" t="s">
        <v>59</v>
      </c>
      <c r="W117" t="s">
        <v>59</v>
      </c>
      <c r="X117" t="s">
        <v>59</v>
      </c>
      <c r="Y117" t="s">
        <v>60</v>
      </c>
      <c r="Z117" t="s">
        <v>59</v>
      </c>
      <c r="AA117" t="s">
        <v>59</v>
      </c>
      <c r="AB117" t="s">
        <v>59</v>
      </c>
      <c r="AC117" t="s">
        <v>61</v>
      </c>
      <c r="AD117" t="s">
        <v>59</v>
      </c>
      <c r="AE117" t="s">
        <v>59</v>
      </c>
      <c r="AF117" t="s">
        <v>59</v>
      </c>
      <c r="AG117" t="s">
        <v>59</v>
      </c>
      <c r="AH117" t="s">
        <v>61</v>
      </c>
      <c r="AI117" t="s">
        <v>61</v>
      </c>
      <c r="AJ117" t="s">
        <v>59</v>
      </c>
      <c r="AK117" t="s">
        <v>59</v>
      </c>
      <c r="AL117" t="s">
        <v>59</v>
      </c>
      <c r="AM117" t="s">
        <v>59</v>
      </c>
      <c r="AN117" t="s">
        <v>59</v>
      </c>
      <c r="AO117" t="s">
        <v>59</v>
      </c>
      <c r="AP117" t="s">
        <v>473</v>
      </c>
      <c r="AQ117" t="s">
        <v>474</v>
      </c>
      <c r="AR117" t="s">
        <v>64</v>
      </c>
      <c r="AS117" t="s">
        <v>171</v>
      </c>
      <c r="AT117" t="s">
        <v>172</v>
      </c>
      <c r="AU117" t="s">
        <v>387</v>
      </c>
      <c r="AW117" s="4">
        <f t="shared" si="38"/>
        <v>6</v>
      </c>
      <c r="AX117" s="4">
        <f t="shared" si="39"/>
        <v>4</v>
      </c>
      <c r="AY117" s="4">
        <f t="shared" si="40"/>
        <v>4</v>
      </c>
      <c r="AZ117" s="4">
        <f t="shared" si="41"/>
        <v>2</v>
      </c>
      <c r="BA117" s="4">
        <f t="shared" si="42"/>
        <v>4</v>
      </c>
      <c r="BB117" s="4">
        <f t="shared" si="43"/>
        <v>4</v>
      </c>
      <c r="BC117" s="4">
        <f t="shared" si="44"/>
        <v>4</v>
      </c>
      <c r="BD117" s="4">
        <f t="shared" si="45"/>
        <v>2</v>
      </c>
      <c r="BE117" s="4">
        <f t="shared" si="46"/>
        <v>4</v>
      </c>
      <c r="BF117" s="4">
        <f t="shared" si="47"/>
        <v>2</v>
      </c>
      <c r="BG117" s="4">
        <f t="shared" si="48"/>
        <v>4</v>
      </c>
      <c r="BH117" s="4">
        <f t="shared" si="49"/>
        <v>4</v>
      </c>
      <c r="BI117" s="4" t="str">
        <f t="shared" si="50"/>
        <v>0</v>
      </c>
      <c r="BJ117" s="4">
        <f t="shared" si="51"/>
        <v>2</v>
      </c>
      <c r="BK117" s="4">
        <f t="shared" si="52"/>
        <v>4</v>
      </c>
      <c r="BL117" s="4">
        <f t="shared" si="53"/>
        <v>2</v>
      </c>
      <c r="BM117" s="4">
        <f t="shared" si="54"/>
        <v>4</v>
      </c>
      <c r="BN117" s="4">
        <f t="shared" si="55"/>
        <v>4</v>
      </c>
      <c r="BO117" s="4">
        <f t="shared" si="56"/>
        <v>4</v>
      </c>
      <c r="BP117" s="4">
        <f t="shared" si="57"/>
        <v>4</v>
      </c>
      <c r="BQ117" s="4">
        <f t="shared" si="58"/>
        <v>6</v>
      </c>
      <c r="BR117" s="4">
        <f t="shared" si="59"/>
        <v>4</v>
      </c>
      <c r="BS117" s="4">
        <f t="shared" si="60"/>
        <v>4</v>
      </c>
      <c r="BT117" s="4">
        <f t="shared" si="61"/>
        <v>4</v>
      </c>
      <c r="BU117" s="4">
        <f t="shared" si="62"/>
        <v>4</v>
      </c>
      <c r="BV117" s="4">
        <f t="shared" si="63"/>
        <v>0</v>
      </c>
      <c r="BW117" s="4">
        <f t="shared" si="64"/>
        <v>6</v>
      </c>
      <c r="BX117" s="4">
        <f t="shared" si="65"/>
        <v>0</v>
      </c>
      <c r="BY117" s="4">
        <f t="shared" si="66"/>
        <v>0</v>
      </c>
      <c r="BZ117" s="37">
        <f t="shared" si="67"/>
        <v>96</v>
      </c>
      <c r="CA117" s="32" t="str">
        <f>VLOOKUP(J:J,'Agent wise'!A:C,3,0)</f>
        <v>Saran S</v>
      </c>
      <c r="CB117" s="32">
        <f t="shared" si="68"/>
        <v>45932</v>
      </c>
      <c r="CC117" t="str">
        <f t="shared" si="69"/>
        <v>Excellent</v>
      </c>
      <c r="CE117" s="32"/>
      <c r="CJ117">
        <f t="shared" si="70"/>
        <v>2</v>
      </c>
      <c r="CK117">
        <f t="shared" si="71"/>
        <v>10</v>
      </c>
      <c r="CL117">
        <f t="shared" si="72"/>
        <v>2025</v>
      </c>
    </row>
    <row r="118" spans="1:90" ht="15" customHeight="1" x14ac:dyDescent="0.35">
      <c r="A118" s="40">
        <v>45726.582187499997</v>
      </c>
      <c r="B118" t="s">
        <v>250</v>
      </c>
      <c r="C118" t="s">
        <v>214</v>
      </c>
      <c r="D118" t="s">
        <v>251</v>
      </c>
      <c r="E118" s="32">
        <v>45933</v>
      </c>
      <c r="F118" t="s">
        <v>54</v>
      </c>
      <c r="G118" s="2">
        <v>45698</v>
      </c>
      <c r="H118">
        <v>8891884648</v>
      </c>
      <c r="I118">
        <v>173</v>
      </c>
      <c r="J118" t="s">
        <v>132</v>
      </c>
      <c r="K118" t="s">
        <v>57</v>
      </c>
      <c r="L118" t="s">
        <v>58</v>
      </c>
      <c r="M118" t="s">
        <v>59</v>
      </c>
      <c r="N118" t="s">
        <v>59</v>
      </c>
      <c r="O118" t="s">
        <v>59</v>
      </c>
      <c r="P118" t="s">
        <v>59</v>
      </c>
      <c r="Q118" t="s">
        <v>59</v>
      </c>
      <c r="R118" t="s">
        <v>59</v>
      </c>
      <c r="S118" t="s">
        <v>59</v>
      </c>
      <c r="T118" t="s">
        <v>59</v>
      </c>
      <c r="U118" t="s">
        <v>59</v>
      </c>
      <c r="V118" t="s">
        <v>59</v>
      </c>
      <c r="W118" t="s">
        <v>59</v>
      </c>
      <c r="X118" t="s">
        <v>59</v>
      </c>
      <c r="Y118" t="s">
        <v>59</v>
      </c>
      <c r="Z118" t="s">
        <v>59</v>
      </c>
      <c r="AA118" t="s">
        <v>59</v>
      </c>
      <c r="AB118" t="s">
        <v>59</v>
      </c>
      <c r="AC118" t="s">
        <v>59</v>
      </c>
      <c r="AD118" t="s">
        <v>59</v>
      </c>
      <c r="AE118" t="s">
        <v>59</v>
      </c>
      <c r="AF118" t="s">
        <v>59</v>
      </c>
      <c r="AG118" t="s">
        <v>59</v>
      </c>
      <c r="AH118" t="s">
        <v>61</v>
      </c>
      <c r="AI118" t="s">
        <v>59</v>
      </c>
      <c r="AJ118" t="s">
        <v>59</v>
      </c>
      <c r="AK118" t="s">
        <v>59</v>
      </c>
      <c r="AL118" t="s">
        <v>59</v>
      </c>
      <c r="AM118" t="s">
        <v>59</v>
      </c>
      <c r="AN118" t="s">
        <v>59</v>
      </c>
      <c r="AO118" t="s">
        <v>59</v>
      </c>
      <c r="AP118" s="1" t="s">
        <v>475</v>
      </c>
      <c r="AQ118" t="s">
        <v>476</v>
      </c>
      <c r="AR118" t="s">
        <v>64</v>
      </c>
      <c r="AS118" t="s">
        <v>279</v>
      </c>
      <c r="AT118" t="s">
        <v>123</v>
      </c>
      <c r="AU118" t="s">
        <v>219</v>
      </c>
      <c r="AW118" s="4">
        <f t="shared" si="38"/>
        <v>6</v>
      </c>
      <c r="AX118" s="4">
        <f t="shared" si="39"/>
        <v>4</v>
      </c>
      <c r="AY118" s="4">
        <f t="shared" si="40"/>
        <v>4</v>
      </c>
      <c r="AZ118" s="4">
        <f t="shared" si="41"/>
        <v>2</v>
      </c>
      <c r="BA118" s="4">
        <f t="shared" si="42"/>
        <v>4</v>
      </c>
      <c r="BB118" s="4">
        <f t="shared" si="43"/>
        <v>4</v>
      </c>
      <c r="BC118" s="4">
        <f t="shared" si="44"/>
        <v>4</v>
      </c>
      <c r="BD118" s="4">
        <f t="shared" si="45"/>
        <v>2</v>
      </c>
      <c r="BE118" s="4">
        <f t="shared" si="46"/>
        <v>4</v>
      </c>
      <c r="BF118" s="4">
        <f t="shared" si="47"/>
        <v>2</v>
      </c>
      <c r="BG118" s="4">
        <f t="shared" si="48"/>
        <v>4</v>
      </c>
      <c r="BH118" s="4">
        <f t="shared" si="49"/>
        <v>4</v>
      </c>
      <c r="BI118" s="4">
        <f t="shared" si="50"/>
        <v>4</v>
      </c>
      <c r="BJ118" s="4">
        <f t="shared" si="51"/>
        <v>2</v>
      </c>
      <c r="BK118" s="4">
        <f t="shared" si="52"/>
        <v>4</v>
      </c>
      <c r="BL118" s="4">
        <f t="shared" si="53"/>
        <v>2</v>
      </c>
      <c r="BM118" s="4">
        <f t="shared" si="54"/>
        <v>4</v>
      </c>
      <c r="BN118" s="4">
        <f t="shared" si="55"/>
        <v>4</v>
      </c>
      <c r="BO118" s="4">
        <f t="shared" si="56"/>
        <v>4</v>
      </c>
      <c r="BP118" s="4">
        <f t="shared" si="57"/>
        <v>4</v>
      </c>
      <c r="BQ118" s="4">
        <f t="shared" si="58"/>
        <v>6</v>
      </c>
      <c r="BR118" s="4">
        <f t="shared" si="59"/>
        <v>4</v>
      </c>
      <c r="BS118" s="4">
        <f t="shared" si="60"/>
        <v>4</v>
      </c>
      <c r="BT118" s="4">
        <f t="shared" si="61"/>
        <v>4</v>
      </c>
      <c r="BU118" s="4">
        <f t="shared" si="62"/>
        <v>4</v>
      </c>
      <c r="BV118" s="4">
        <f t="shared" si="63"/>
        <v>0</v>
      </c>
      <c r="BW118" s="4">
        <f t="shared" si="64"/>
        <v>6</v>
      </c>
      <c r="BX118" s="4">
        <f t="shared" si="65"/>
        <v>0</v>
      </c>
      <c r="BY118" s="4">
        <f t="shared" si="66"/>
        <v>0</v>
      </c>
      <c r="BZ118" s="37">
        <f t="shared" si="67"/>
        <v>100</v>
      </c>
      <c r="CA118" s="32" t="str">
        <f>VLOOKUP(J:J,'Agent wise'!A:C,3,0)</f>
        <v>Shakeer</v>
      </c>
      <c r="CB118" s="32">
        <f t="shared" si="68"/>
        <v>45933</v>
      </c>
      <c r="CC118" t="str">
        <f t="shared" si="69"/>
        <v>Excellent</v>
      </c>
      <c r="CE118" s="32"/>
      <c r="CJ118">
        <f t="shared" si="70"/>
        <v>3</v>
      </c>
      <c r="CK118">
        <f t="shared" si="71"/>
        <v>10</v>
      </c>
      <c r="CL118">
        <f t="shared" si="72"/>
        <v>2025</v>
      </c>
    </row>
    <row r="119" spans="1:90" ht="15" customHeight="1" x14ac:dyDescent="0.35">
      <c r="A119" s="40">
        <v>45726.584386574083</v>
      </c>
      <c r="B119" t="s">
        <v>250</v>
      </c>
      <c r="C119" t="s">
        <v>214</v>
      </c>
      <c r="D119" t="s">
        <v>251</v>
      </c>
      <c r="E119" s="32">
        <v>45933</v>
      </c>
      <c r="F119" t="s">
        <v>54</v>
      </c>
      <c r="G119" s="2">
        <v>45698</v>
      </c>
      <c r="H119">
        <v>7598341582</v>
      </c>
      <c r="I119">
        <v>137</v>
      </c>
      <c r="J119" t="s">
        <v>75</v>
      </c>
      <c r="K119" t="s">
        <v>71</v>
      </c>
      <c r="L119" t="s">
        <v>72</v>
      </c>
      <c r="M119" t="s">
        <v>59</v>
      </c>
      <c r="N119" t="s">
        <v>59</v>
      </c>
      <c r="O119" t="s">
        <v>59</v>
      </c>
      <c r="P119" t="s">
        <v>59</v>
      </c>
      <c r="Q119" t="s">
        <v>59</v>
      </c>
      <c r="R119" t="s">
        <v>59</v>
      </c>
      <c r="S119" t="s">
        <v>59</v>
      </c>
      <c r="T119" t="s">
        <v>59</v>
      </c>
      <c r="U119" t="s">
        <v>60</v>
      </c>
      <c r="V119" t="s">
        <v>59</v>
      </c>
      <c r="W119" t="s">
        <v>59</v>
      </c>
      <c r="X119" t="s">
        <v>59</v>
      </c>
      <c r="Y119" t="s">
        <v>59</v>
      </c>
      <c r="Z119" t="s">
        <v>60</v>
      </c>
      <c r="AA119" t="s">
        <v>59</v>
      </c>
      <c r="AB119" t="s">
        <v>59</v>
      </c>
      <c r="AC119" t="s">
        <v>59</v>
      </c>
      <c r="AD119" t="s">
        <v>59</v>
      </c>
      <c r="AE119" t="s">
        <v>59</v>
      </c>
      <c r="AF119" t="s">
        <v>59</v>
      </c>
      <c r="AG119" t="s">
        <v>59</v>
      </c>
      <c r="AH119" t="s">
        <v>61</v>
      </c>
      <c r="AI119" t="s">
        <v>61</v>
      </c>
      <c r="AJ119" t="s">
        <v>59</v>
      </c>
      <c r="AK119" t="s">
        <v>59</v>
      </c>
      <c r="AL119" t="s">
        <v>60</v>
      </c>
      <c r="AM119" t="s">
        <v>60</v>
      </c>
      <c r="AN119" t="s">
        <v>60</v>
      </c>
      <c r="AO119" t="s">
        <v>60</v>
      </c>
      <c r="AP119" t="s">
        <v>477</v>
      </c>
      <c r="AQ119" t="s">
        <v>478</v>
      </c>
      <c r="AR119" t="s">
        <v>64</v>
      </c>
      <c r="AS119" t="s">
        <v>198</v>
      </c>
      <c r="AT119" t="s">
        <v>479</v>
      </c>
      <c r="AU119" t="s">
        <v>219</v>
      </c>
      <c r="AW119" s="4">
        <f t="shared" si="38"/>
        <v>6</v>
      </c>
      <c r="AX119" s="4">
        <f t="shared" si="39"/>
        <v>4</v>
      </c>
      <c r="AY119" s="4">
        <f t="shared" si="40"/>
        <v>4</v>
      </c>
      <c r="AZ119" s="4">
        <f t="shared" si="41"/>
        <v>2</v>
      </c>
      <c r="BA119" s="4">
        <f t="shared" si="42"/>
        <v>4</v>
      </c>
      <c r="BB119" s="4">
        <f t="shared" si="43"/>
        <v>4</v>
      </c>
      <c r="BC119" s="4">
        <f t="shared" si="44"/>
        <v>4</v>
      </c>
      <c r="BD119" s="4">
        <f t="shared" si="45"/>
        <v>2</v>
      </c>
      <c r="BE119" s="4" t="str">
        <f t="shared" si="46"/>
        <v>0</v>
      </c>
      <c r="BF119" s="4">
        <f t="shared" si="47"/>
        <v>2</v>
      </c>
      <c r="BG119" s="4">
        <f t="shared" si="48"/>
        <v>4</v>
      </c>
      <c r="BH119" s="4">
        <f t="shared" si="49"/>
        <v>4</v>
      </c>
      <c r="BI119" s="4">
        <f t="shared" si="50"/>
        <v>4</v>
      </c>
      <c r="BJ119" s="4" t="str">
        <f t="shared" si="51"/>
        <v>0</v>
      </c>
      <c r="BK119" s="4">
        <f t="shared" si="52"/>
        <v>4</v>
      </c>
      <c r="BL119" s="4">
        <f t="shared" si="53"/>
        <v>2</v>
      </c>
      <c r="BM119" s="4">
        <f t="shared" si="54"/>
        <v>4</v>
      </c>
      <c r="BN119" s="4">
        <f t="shared" si="55"/>
        <v>4</v>
      </c>
      <c r="BO119" s="4">
        <f t="shared" si="56"/>
        <v>4</v>
      </c>
      <c r="BP119" s="4">
        <f t="shared" si="57"/>
        <v>4</v>
      </c>
      <c r="BQ119" s="4">
        <f t="shared" si="58"/>
        <v>6</v>
      </c>
      <c r="BR119" s="4">
        <f t="shared" si="59"/>
        <v>4</v>
      </c>
      <c r="BS119" s="4">
        <f t="shared" si="60"/>
        <v>4</v>
      </c>
      <c r="BT119" s="4">
        <f t="shared" si="61"/>
        <v>4</v>
      </c>
      <c r="BU119" s="4">
        <f t="shared" si="62"/>
        <v>4</v>
      </c>
      <c r="BV119" s="4" t="str">
        <f t="shared" si="63"/>
        <v>0</v>
      </c>
      <c r="BW119" s="4" t="str">
        <f t="shared" si="64"/>
        <v>0</v>
      </c>
      <c r="BX119" s="4" t="str">
        <f t="shared" si="65"/>
        <v>0</v>
      </c>
      <c r="BY119" s="4" t="str">
        <f t="shared" si="66"/>
        <v>0</v>
      </c>
      <c r="BZ119" s="37">
        <f t="shared" si="67"/>
        <v>88</v>
      </c>
      <c r="CA119" s="32" t="str">
        <f>VLOOKUP(J:J,'Agent wise'!A:C,3,0)</f>
        <v>Saran S</v>
      </c>
      <c r="CB119" s="32">
        <f t="shared" si="68"/>
        <v>45933</v>
      </c>
      <c r="CC119" t="str">
        <f t="shared" si="69"/>
        <v>Average</v>
      </c>
      <c r="CE119" s="32"/>
      <c r="CJ119">
        <f t="shared" si="70"/>
        <v>3</v>
      </c>
      <c r="CK119">
        <f t="shared" si="71"/>
        <v>10</v>
      </c>
      <c r="CL119">
        <f t="shared" si="72"/>
        <v>2025</v>
      </c>
    </row>
    <row r="120" spans="1:90" ht="15" customHeight="1" x14ac:dyDescent="0.35">
      <c r="A120" s="40">
        <v>45726.585405092592</v>
      </c>
      <c r="B120" t="s">
        <v>177</v>
      </c>
      <c r="C120" t="s">
        <v>214</v>
      </c>
      <c r="D120" t="s">
        <v>178</v>
      </c>
      <c r="E120" s="32">
        <v>45932</v>
      </c>
      <c r="F120" t="s">
        <v>54</v>
      </c>
      <c r="G120" s="2">
        <v>45667</v>
      </c>
      <c r="H120">
        <v>9444585445</v>
      </c>
      <c r="I120">
        <v>132</v>
      </c>
      <c r="J120" t="s">
        <v>480</v>
      </c>
      <c r="K120" t="s">
        <v>71</v>
      </c>
      <c r="L120" t="s">
        <v>72</v>
      </c>
      <c r="M120" t="s">
        <v>59</v>
      </c>
      <c r="N120" t="s">
        <v>59</v>
      </c>
      <c r="O120" t="s">
        <v>59</v>
      </c>
      <c r="P120" t="s">
        <v>59</v>
      </c>
      <c r="Q120" t="s">
        <v>59</v>
      </c>
      <c r="R120" t="s">
        <v>59</v>
      </c>
      <c r="S120" t="s">
        <v>59</v>
      </c>
      <c r="T120" t="s">
        <v>59</v>
      </c>
      <c r="U120" t="s">
        <v>59</v>
      </c>
      <c r="V120" t="s">
        <v>59</v>
      </c>
      <c r="W120" t="s">
        <v>59</v>
      </c>
      <c r="X120" t="s">
        <v>59</v>
      </c>
      <c r="Y120" t="s">
        <v>60</v>
      </c>
      <c r="Z120" t="s">
        <v>59</v>
      </c>
      <c r="AA120" t="s">
        <v>59</v>
      </c>
      <c r="AB120" t="s">
        <v>59</v>
      </c>
      <c r="AC120" t="s">
        <v>59</v>
      </c>
      <c r="AD120" t="s">
        <v>59</v>
      </c>
      <c r="AE120" t="s">
        <v>59</v>
      </c>
      <c r="AF120" t="s">
        <v>59</v>
      </c>
      <c r="AG120" t="s">
        <v>59</v>
      </c>
      <c r="AH120" t="s">
        <v>61</v>
      </c>
      <c r="AI120" t="s">
        <v>61</v>
      </c>
      <c r="AJ120" t="s">
        <v>59</v>
      </c>
      <c r="AK120" t="s">
        <v>59</v>
      </c>
      <c r="AL120" t="s">
        <v>59</v>
      </c>
      <c r="AM120" t="s">
        <v>59</v>
      </c>
      <c r="AN120" t="s">
        <v>59</v>
      </c>
      <c r="AO120" t="s">
        <v>59</v>
      </c>
      <c r="AP120" t="s">
        <v>473</v>
      </c>
      <c r="AQ120" t="s">
        <v>481</v>
      </c>
      <c r="AR120" t="s">
        <v>64</v>
      </c>
      <c r="AS120" t="s">
        <v>482</v>
      </c>
      <c r="AT120" t="s">
        <v>483</v>
      </c>
      <c r="AU120" t="s">
        <v>387</v>
      </c>
      <c r="AW120" s="4">
        <f t="shared" si="38"/>
        <v>6</v>
      </c>
      <c r="AX120" s="4">
        <f t="shared" si="39"/>
        <v>4</v>
      </c>
      <c r="AY120" s="4">
        <f t="shared" si="40"/>
        <v>4</v>
      </c>
      <c r="AZ120" s="4">
        <f t="shared" si="41"/>
        <v>2</v>
      </c>
      <c r="BA120" s="4">
        <f t="shared" si="42"/>
        <v>4</v>
      </c>
      <c r="BB120" s="4">
        <f t="shared" si="43"/>
        <v>4</v>
      </c>
      <c r="BC120" s="4">
        <f t="shared" si="44"/>
        <v>4</v>
      </c>
      <c r="BD120" s="4">
        <f t="shared" si="45"/>
        <v>2</v>
      </c>
      <c r="BE120" s="4">
        <f t="shared" si="46"/>
        <v>4</v>
      </c>
      <c r="BF120" s="4">
        <f t="shared" si="47"/>
        <v>2</v>
      </c>
      <c r="BG120" s="4">
        <f t="shared" si="48"/>
        <v>4</v>
      </c>
      <c r="BH120" s="4">
        <f t="shared" si="49"/>
        <v>4</v>
      </c>
      <c r="BI120" s="4" t="str">
        <f t="shared" si="50"/>
        <v>0</v>
      </c>
      <c r="BJ120" s="4">
        <f t="shared" si="51"/>
        <v>2</v>
      </c>
      <c r="BK120" s="4">
        <f t="shared" si="52"/>
        <v>4</v>
      </c>
      <c r="BL120" s="4">
        <f t="shared" si="53"/>
        <v>2</v>
      </c>
      <c r="BM120" s="4">
        <f t="shared" si="54"/>
        <v>4</v>
      </c>
      <c r="BN120" s="4">
        <f t="shared" si="55"/>
        <v>4</v>
      </c>
      <c r="BO120" s="4">
        <f t="shared" si="56"/>
        <v>4</v>
      </c>
      <c r="BP120" s="4">
        <f t="shared" si="57"/>
        <v>4</v>
      </c>
      <c r="BQ120" s="4">
        <f t="shared" si="58"/>
        <v>6</v>
      </c>
      <c r="BR120" s="4">
        <f t="shared" si="59"/>
        <v>4</v>
      </c>
      <c r="BS120" s="4">
        <f t="shared" si="60"/>
        <v>4</v>
      </c>
      <c r="BT120" s="4">
        <f t="shared" si="61"/>
        <v>4</v>
      </c>
      <c r="BU120" s="4">
        <f t="shared" si="62"/>
        <v>4</v>
      </c>
      <c r="BV120" s="4">
        <f t="shared" si="63"/>
        <v>0</v>
      </c>
      <c r="BW120" s="4">
        <f t="shared" si="64"/>
        <v>6</v>
      </c>
      <c r="BX120" s="4">
        <f t="shared" si="65"/>
        <v>0</v>
      </c>
      <c r="BY120" s="4">
        <f t="shared" si="66"/>
        <v>0</v>
      </c>
      <c r="BZ120" s="37">
        <f t="shared" si="67"/>
        <v>96</v>
      </c>
      <c r="CA120" s="32" t="str">
        <f>VLOOKUP(J:J,'Agent wise'!A:C,3,0)</f>
        <v>Shakeer</v>
      </c>
      <c r="CB120" s="32">
        <f t="shared" si="68"/>
        <v>45932</v>
      </c>
      <c r="CC120" t="str">
        <f t="shared" si="69"/>
        <v>Excellent</v>
      </c>
      <c r="CE120" s="32"/>
      <c r="CJ120">
        <f t="shared" si="70"/>
        <v>2</v>
      </c>
      <c r="CK120">
        <f t="shared" si="71"/>
        <v>10</v>
      </c>
      <c r="CL120">
        <f t="shared" si="72"/>
        <v>2025</v>
      </c>
    </row>
    <row r="121" spans="1:90" ht="15" customHeight="1" x14ac:dyDescent="0.35">
      <c r="A121" s="40">
        <v>45726.586226851847</v>
      </c>
      <c r="B121" t="s">
        <v>250</v>
      </c>
      <c r="C121" t="s">
        <v>214</v>
      </c>
      <c r="D121" t="s">
        <v>251</v>
      </c>
      <c r="E121" s="32">
        <v>45933</v>
      </c>
      <c r="F121" t="s">
        <v>54</v>
      </c>
      <c r="G121" s="2">
        <v>45698</v>
      </c>
      <c r="H121">
        <v>9495952850</v>
      </c>
      <c r="I121">
        <v>159</v>
      </c>
      <c r="J121" t="s">
        <v>484</v>
      </c>
      <c r="K121" t="s">
        <v>57</v>
      </c>
      <c r="L121" t="s">
        <v>58</v>
      </c>
      <c r="M121" t="s">
        <v>59</v>
      </c>
      <c r="N121" t="s">
        <v>59</v>
      </c>
      <c r="O121" t="s">
        <v>59</v>
      </c>
      <c r="P121" t="s">
        <v>59</v>
      </c>
      <c r="Q121" t="s">
        <v>59</v>
      </c>
      <c r="R121" t="s">
        <v>59</v>
      </c>
      <c r="S121" t="s">
        <v>59</v>
      </c>
      <c r="T121" t="s">
        <v>59</v>
      </c>
      <c r="U121" t="s">
        <v>60</v>
      </c>
      <c r="V121" t="s">
        <v>59</v>
      </c>
      <c r="W121" t="s">
        <v>59</v>
      </c>
      <c r="X121" t="s">
        <v>59</v>
      </c>
      <c r="Y121" t="s">
        <v>59</v>
      </c>
      <c r="Z121" t="s">
        <v>59</v>
      </c>
      <c r="AA121" t="s">
        <v>59</v>
      </c>
      <c r="AB121" t="s">
        <v>59</v>
      </c>
      <c r="AC121" t="s">
        <v>59</v>
      </c>
      <c r="AD121" t="s">
        <v>59</v>
      </c>
      <c r="AE121" t="s">
        <v>59</v>
      </c>
      <c r="AF121" t="s">
        <v>59</v>
      </c>
      <c r="AG121" t="s">
        <v>59</v>
      </c>
      <c r="AH121" t="s">
        <v>59</v>
      </c>
      <c r="AI121" t="s">
        <v>61</v>
      </c>
      <c r="AJ121" t="s">
        <v>59</v>
      </c>
      <c r="AK121" t="s">
        <v>59</v>
      </c>
      <c r="AL121" t="s">
        <v>60</v>
      </c>
      <c r="AM121" t="s">
        <v>59</v>
      </c>
      <c r="AN121" t="s">
        <v>59</v>
      </c>
      <c r="AO121" t="s">
        <v>59</v>
      </c>
      <c r="AP121" t="s">
        <v>485</v>
      </c>
      <c r="AQ121" t="s">
        <v>486</v>
      </c>
      <c r="AR121" t="s">
        <v>64</v>
      </c>
      <c r="AS121" t="s">
        <v>142</v>
      </c>
      <c r="AT121" t="s">
        <v>471</v>
      </c>
      <c r="AU121" t="s">
        <v>219</v>
      </c>
      <c r="AW121" s="4">
        <f t="shared" si="38"/>
        <v>6</v>
      </c>
      <c r="AX121" s="4">
        <f t="shared" si="39"/>
        <v>4</v>
      </c>
      <c r="AY121" s="4">
        <f t="shared" si="40"/>
        <v>4</v>
      </c>
      <c r="AZ121" s="4">
        <f t="shared" si="41"/>
        <v>2</v>
      </c>
      <c r="BA121" s="4">
        <f t="shared" si="42"/>
        <v>4</v>
      </c>
      <c r="BB121" s="4">
        <f t="shared" si="43"/>
        <v>4</v>
      </c>
      <c r="BC121" s="4">
        <f t="shared" si="44"/>
        <v>4</v>
      </c>
      <c r="BD121" s="4">
        <f t="shared" si="45"/>
        <v>2</v>
      </c>
      <c r="BE121" s="4" t="str">
        <f t="shared" si="46"/>
        <v>0</v>
      </c>
      <c r="BF121" s="4">
        <f t="shared" si="47"/>
        <v>2</v>
      </c>
      <c r="BG121" s="4">
        <f t="shared" si="48"/>
        <v>4</v>
      </c>
      <c r="BH121" s="4">
        <f t="shared" si="49"/>
        <v>4</v>
      </c>
      <c r="BI121" s="4">
        <f t="shared" si="50"/>
        <v>4</v>
      </c>
      <c r="BJ121" s="4">
        <f t="shared" si="51"/>
        <v>2</v>
      </c>
      <c r="BK121" s="4">
        <f t="shared" si="52"/>
        <v>4</v>
      </c>
      <c r="BL121" s="4">
        <f t="shared" si="53"/>
        <v>2</v>
      </c>
      <c r="BM121" s="4">
        <f t="shared" si="54"/>
        <v>4</v>
      </c>
      <c r="BN121" s="4">
        <f t="shared" si="55"/>
        <v>4</v>
      </c>
      <c r="BO121" s="4">
        <f t="shared" si="56"/>
        <v>4</v>
      </c>
      <c r="BP121" s="4">
        <f t="shared" si="57"/>
        <v>4</v>
      </c>
      <c r="BQ121" s="4">
        <f t="shared" si="58"/>
        <v>6</v>
      </c>
      <c r="BR121" s="4">
        <f t="shared" si="59"/>
        <v>4</v>
      </c>
      <c r="BS121" s="4">
        <f t="shared" si="60"/>
        <v>4</v>
      </c>
      <c r="BT121" s="4">
        <f t="shared" si="61"/>
        <v>4</v>
      </c>
      <c r="BU121" s="4">
        <f t="shared" si="62"/>
        <v>4</v>
      </c>
      <c r="BV121" s="4" t="str">
        <f t="shared" si="63"/>
        <v>0</v>
      </c>
      <c r="BW121" s="4">
        <f t="shared" si="64"/>
        <v>6</v>
      </c>
      <c r="BX121" s="4">
        <f t="shared" si="65"/>
        <v>0</v>
      </c>
      <c r="BY121" s="4">
        <f t="shared" si="66"/>
        <v>0</v>
      </c>
      <c r="BZ121" s="37">
        <f t="shared" si="67"/>
        <v>96</v>
      </c>
      <c r="CA121" s="32" t="str">
        <f>VLOOKUP(J:J,'Agent wise'!A:C,3,0)</f>
        <v>Adharsh</v>
      </c>
      <c r="CB121" s="32">
        <f t="shared" si="68"/>
        <v>45933</v>
      </c>
      <c r="CC121" t="str">
        <f t="shared" si="69"/>
        <v>Excellent</v>
      </c>
      <c r="CE121" s="32"/>
      <c r="CJ121">
        <f t="shared" si="70"/>
        <v>3</v>
      </c>
      <c r="CK121">
        <f t="shared" si="71"/>
        <v>10</v>
      </c>
      <c r="CL121">
        <f t="shared" si="72"/>
        <v>2025</v>
      </c>
    </row>
    <row r="122" spans="1:90" ht="15" customHeight="1" x14ac:dyDescent="0.35">
      <c r="A122" s="40">
        <v>45726.588101851848</v>
      </c>
      <c r="B122" t="s">
        <v>250</v>
      </c>
      <c r="C122" t="s">
        <v>214</v>
      </c>
      <c r="D122" t="s">
        <v>251</v>
      </c>
      <c r="E122" s="32">
        <v>45933</v>
      </c>
      <c r="F122" t="s">
        <v>54</v>
      </c>
      <c r="G122" s="2">
        <v>45698</v>
      </c>
      <c r="H122">
        <v>8289812141</v>
      </c>
      <c r="I122">
        <v>179</v>
      </c>
      <c r="J122" t="s">
        <v>80</v>
      </c>
      <c r="K122" t="s">
        <v>57</v>
      </c>
      <c r="L122" t="s">
        <v>58</v>
      </c>
      <c r="M122" t="s">
        <v>59</v>
      </c>
      <c r="N122" t="s">
        <v>59</v>
      </c>
      <c r="O122" t="s">
        <v>59</v>
      </c>
      <c r="P122" t="s">
        <v>59</v>
      </c>
      <c r="Q122" t="s">
        <v>59</v>
      </c>
      <c r="R122" t="s">
        <v>59</v>
      </c>
      <c r="S122" t="s">
        <v>59</v>
      </c>
      <c r="T122" t="s">
        <v>59</v>
      </c>
      <c r="U122" t="s">
        <v>60</v>
      </c>
      <c r="V122" t="s">
        <v>59</v>
      </c>
      <c r="W122" t="s">
        <v>59</v>
      </c>
      <c r="X122" t="s">
        <v>59</v>
      </c>
      <c r="Y122" t="s">
        <v>59</v>
      </c>
      <c r="Z122" t="s">
        <v>60</v>
      </c>
      <c r="AA122" t="s">
        <v>60</v>
      </c>
      <c r="AB122" t="s">
        <v>59</v>
      </c>
      <c r="AC122" t="s">
        <v>59</v>
      </c>
      <c r="AD122" t="s">
        <v>59</v>
      </c>
      <c r="AE122" t="s">
        <v>59</v>
      </c>
      <c r="AF122" t="s">
        <v>59</v>
      </c>
      <c r="AG122" t="s">
        <v>59</v>
      </c>
      <c r="AH122" t="s">
        <v>59</v>
      </c>
      <c r="AI122" t="s">
        <v>61</v>
      </c>
      <c r="AJ122" t="s">
        <v>59</v>
      </c>
      <c r="AK122" t="s">
        <v>59</v>
      </c>
      <c r="AL122" t="s">
        <v>60</v>
      </c>
      <c r="AM122" t="s">
        <v>59</v>
      </c>
      <c r="AN122" t="s">
        <v>59</v>
      </c>
      <c r="AO122" t="s">
        <v>59</v>
      </c>
      <c r="AP122" t="s">
        <v>487</v>
      </c>
      <c r="AQ122" t="s">
        <v>488</v>
      </c>
      <c r="AR122" t="s">
        <v>64</v>
      </c>
      <c r="AS122" t="s">
        <v>417</v>
      </c>
      <c r="AT122" t="s">
        <v>489</v>
      </c>
      <c r="AU122" t="s">
        <v>219</v>
      </c>
      <c r="AW122" s="4">
        <f t="shared" si="38"/>
        <v>6</v>
      </c>
      <c r="AX122" s="4">
        <f t="shared" si="39"/>
        <v>4</v>
      </c>
      <c r="AY122" s="4">
        <f t="shared" si="40"/>
        <v>4</v>
      </c>
      <c r="AZ122" s="4">
        <f t="shared" si="41"/>
        <v>2</v>
      </c>
      <c r="BA122" s="4">
        <f t="shared" si="42"/>
        <v>4</v>
      </c>
      <c r="BB122" s="4">
        <f t="shared" si="43"/>
        <v>4</v>
      </c>
      <c r="BC122" s="4">
        <f t="shared" si="44"/>
        <v>4</v>
      </c>
      <c r="BD122" s="4">
        <f t="shared" si="45"/>
        <v>2</v>
      </c>
      <c r="BE122" s="4" t="str">
        <f t="shared" si="46"/>
        <v>0</v>
      </c>
      <c r="BF122" s="4">
        <f t="shared" si="47"/>
        <v>2</v>
      </c>
      <c r="BG122" s="4">
        <f t="shared" si="48"/>
        <v>4</v>
      </c>
      <c r="BH122" s="4">
        <f t="shared" si="49"/>
        <v>4</v>
      </c>
      <c r="BI122" s="4">
        <f t="shared" si="50"/>
        <v>4</v>
      </c>
      <c r="BJ122" s="4" t="str">
        <f t="shared" si="51"/>
        <v>0</v>
      </c>
      <c r="BK122" s="4" t="str">
        <f t="shared" si="52"/>
        <v>0</v>
      </c>
      <c r="BL122" s="4">
        <f t="shared" si="53"/>
        <v>2</v>
      </c>
      <c r="BM122" s="4">
        <f t="shared" si="54"/>
        <v>4</v>
      </c>
      <c r="BN122" s="4">
        <f t="shared" si="55"/>
        <v>4</v>
      </c>
      <c r="BO122" s="4">
        <f t="shared" si="56"/>
        <v>4</v>
      </c>
      <c r="BP122" s="4">
        <f t="shared" si="57"/>
        <v>4</v>
      </c>
      <c r="BQ122" s="4">
        <f t="shared" si="58"/>
        <v>6</v>
      </c>
      <c r="BR122" s="4">
        <f t="shared" si="59"/>
        <v>4</v>
      </c>
      <c r="BS122" s="4">
        <f t="shared" si="60"/>
        <v>4</v>
      </c>
      <c r="BT122" s="4">
        <f t="shared" si="61"/>
        <v>4</v>
      </c>
      <c r="BU122" s="4">
        <f t="shared" si="62"/>
        <v>4</v>
      </c>
      <c r="BV122" s="4" t="str">
        <f t="shared" si="63"/>
        <v>0</v>
      </c>
      <c r="BW122" s="4">
        <f t="shared" si="64"/>
        <v>6</v>
      </c>
      <c r="BX122" s="4">
        <f t="shared" si="65"/>
        <v>0</v>
      </c>
      <c r="BY122" s="4">
        <f t="shared" si="66"/>
        <v>0</v>
      </c>
      <c r="BZ122" s="37">
        <f t="shared" si="67"/>
        <v>90</v>
      </c>
      <c r="CA122" s="32" t="str">
        <f>VLOOKUP(J:J,'Agent wise'!A:C,3,0)</f>
        <v>Saran S</v>
      </c>
      <c r="CB122" s="32">
        <f t="shared" si="68"/>
        <v>45933</v>
      </c>
      <c r="CC122" t="str">
        <f t="shared" si="69"/>
        <v>Good</v>
      </c>
      <c r="CE122" s="32"/>
      <c r="CJ122">
        <f t="shared" si="70"/>
        <v>3</v>
      </c>
      <c r="CK122">
        <f t="shared" si="71"/>
        <v>10</v>
      </c>
      <c r="CL122">
        <f t="shared" si="72"/>
        <v>2025</v>
      </c>
    </row>
    <row r="123" spans="1:90" ht="15" customHeight="1" x14ac:dyDescent="0.35">
      <c r="A123" s="40">
        <v>45726.590127314812</v>
      </c>
      <c r="B123" t="s">
        <v>250</v>
      </c>
      <c r="C123" t="s">
        <v>214</v>
      </c>
      <c r="D123" t="s">
        <v>251</v>
      </c>
      <c r="E123" s="32">
        <v>45933</v>
      </c>
      <c r="F123" t="s">
        <v>54</v>
      </c>
      <c r="G123" s="2">
        <v>45698</v>
      </c>
      <c r="H123">
        <v>9488423340</v>
      </c>
      <c r="I123">
        <v>170</v>
      </c>
      <c r="J123" t="s">
        <v>490</v>
      </c>
      <c r="K123" t="s">
        <v>71</v>
      </c>
      <c r="L123" t="s">
        <v>72</v>
      </c>
      <c r="M123" t="s">
        <v>59</v>
      </c>
      <c r="N123" t="s">
        <v>59</v>
      </c>
      <c r="O123" t="s">
        <v>59</v>
      </c>
      <c r="P123" t="s">
        <v>59</v>
      </c>
      <c r="Q123" t="s">
        <v>59</v>
      </c>
      <c r="R123" t="s">
        <v>59</v>
      </c>
      <c r="S123" t="s">
        <v>59</v>
      </c>
      <c r="T123" t="s">
        <v>59</v>
      </c>
      <c r="U123" t="s">
        <v>60</v>
      </c>
      <c r="V123" t="s">
        <v>59</v>
      </c>
      <c r="W123" t="s">
        <v>59</v>
      </c>
      <c r="X123" t="s">
        <v>59</v>
      </c>
      <c r="Y123" t="s">
        <v>59</v>
      </c>
      <c r="Z123" t="s">
        <v>59</v>
      </c>
      <c r="AA123" t="s">
        <v>59</v>
      </c>
      <c r="AB123" t="s">
        <v>60</v>
      </c>
      <c r="AC123" t="s">
        <v>59</v>
      </c>
      <c r="AD123" t="s">
        <v>59</v>
      </c>
      <c r="AE123" t="s">
        <v>59</v>
      </c>
      <c r="AF123" t="s">
        <v>59</v>
      </c>
      <c r="AG123" t="s">
        <v>59</v>
      </c>
      <c r="AH123" t="s">
        <v>61</v>
      </c>
      <c r="AI123" t="s">
        <v>61</v>
      </c>
      <c r="AJ123" t="s">
        <v>59</v>
      </c>
      <c r="AK123" t="s">
        <v>59</v>
      </c>
      <c r="AL123" t="s">
        <v>60</v>
      </c>
      <c r="AM123" t="s">
        <v>59</v>
      </c>
      <c r="AN123" t="s">
        <v>59</v>
      </c>
      <c r="AO123" t="s">
        <v>59</v>
      </c>
      <c r="AP123" t="s">
        <v>491</v>
      </c>
      <c r="AQ123" t="s">
        <v>492</v>
      </c>
      <c r="AR123" t="s">
        <v>64</v>
      </c>
      <c r="AS123" t="s">
        <v>279</v>
      </c>
      <c r="AT123" t="s">
        <v>123</v>
      </c>
      <c r="AU123" t="s">
        <v>219</v>
      </c>
      <c r="AW123" s="4">
        <f t="shared" si="38"/>
        <v>6</v>
      </c>
      <c r="AX123" s="4">
        <f t="shared" si="39"/>
        <v>4</v>
      </c>
      <c r="AY123" s="4">
        <f t="shared" si="40"/>
        <v>4</v>
      </c>
      <c r="AZ123" s="4">
        <f t="shared" si="41"/>
        <v>2</v>
      </c>
      <c r="BA123" s="4">
        <f t="shared" si="42"/>
        <v>4</v>
      </c>
      <c r="BB123" s="4">
        <f t="shared" si="43"/>
        <v>4</v>
      </c>
      <c r="BC123" s="4">
        <f t="shared" si="44"/>
        <v>4</v>
      </c>
      <c r="BD123" s="4">
        <f t="shared" si="45"/>
        <v>2</v>
      </c>
      <c r="BE123" s="4" t="str">
        <f t="shared" si="46"/>
        <v>0</v>
      </c>
      <c r="BF123" s="4">
        <f t="shared" si="47"/>
        <v>2</v>
      </c>
      <c r="BG123" s="4">
        <f t="shared" si="48"/>
        <v>4</v>
      </c>
      <c r="BH123" s="4">
        <f t="shared" si="49"/>
        <v>4</v>
      </c>
      <c r="BI123" s="4">
        <f t="shared" si="50"/>
        <v>4</v>
      </c>
      <c r="BJ123" s="4">
        <f t="shared" si="51"/>
        <v>2</v>
      </c>
      <c r="BK123" s="4">
        <f t="shared" si="52"/>
        <v>4</v>
      </c>
      <c r="BL123" s="4" t="str">
        <f t="shared" si="53"/>
        <v>0</v>
      </c>
      <c r="BM123" s="4">
        <f t="shared" si="54"/>
        <v>4</v>
      </c>
      <c r="BN123" s="4">
        <f t="shared" si="55"/>
        <v>4</v>
      </c>
      <c r="BO123" s="4">
        <f t="shared" si="56"/>
        <v>4</v>
      </c>
      <c r="BP123" s="4">
        <f t="shared" si="57"/>
        <v>4</v>
      </c>
      <c r="BQ123" s="4">
        <f t="shared" si="58"/>
        <v>6</v>
      </c>
      <c r="BR123" s="4">
        <f t="shared" si="59"/>
        <v>4</v>
      </c>
      <c r="BS123" s="4">
        <f t="shared" si="60"/>
        <v>4</v>
      </c>
      <c r="BT123" s="4">
        <f t="shared" si="61"/>
        <v>4</v>
      </c>
      <c r="BU123" s="4">
        <f t="shared" si="62"/>
        <v>4</v>
      </c>
      <c r="BV123" s="4" t="str">
        <f t="shared" si="63"/>
        <v>0</v>
      </c>
      <c r="BW123" s="4">
        <f t="shared" si="64"/>
        <v>6</v>
      </c>
      <c r="BX123" s="4">
        <f t="shared" si="65"/>
        <v>0</v>
      </c>
      <c r="BY123" s="4">
        <f t="shared" si="66"/>
        <v>0</v>
      </c>
      <c r="BZ123" s="37">
        <f t="shared" si="67"/>
        <v>94</v>
      </c>
      <c r="CA123" s="32" t="str">
        <f>VLOOKUP(J:J,'Agent wise'!A:C,3,0)</f>
        <v>Saran S</v>
      </c>
      <c r="CB123" s="32">
        <f t="shared" si="68"/>
        <v>45933</v>
      </c>
      <c r="CC123" t="str">
        <f t="shared" si="69"/>
        <v>Good</v>
      </c>
      <c r="CE123" s="32"/>
      <c r="CJ123">
        <f t="shared" si="70"/>
        <v>3</v>
      </c>
      <c r="CK123">
        <f t="shared" si="71"/>
        <v>10</v>
      </c>
      <c r="CL123">
        <f t="shared" si="72"/>
        <v>2025</v>
      </c>
    </row>
    <row r="124" spans="1:90" ht="15" customHeight="1" x14ac:dyDescent="0.35">
      <c r="A124" s="40">
        <v>45726.590902777767</v>
      </c>
      <c r="B124" t="s">
        <v>177</v>
      </c>
      <c r="C124" t="s">
        <v>214</v>
      </c>
      <c r="D124" t="s">
        <v>178</v>
      </c>
      <c r="E124" s="32">
        <v>45933</v>
      </c>
      <c r="F124" t="s">
        <v>54</v>
      </c>
      <c r="G124" s="2">
        <v>45698</v>
      </c>
      <c r="H124">
        <v>9629631328</v>
      </c>
      <c r="I124">
        <v>137</v>
      </c>
      <c r="J124" t="s">
        <v>493</v>
      </c>
      <c r="K124" t="s">
        <v>71</v>
      </c>
      <c r="L124" t="s">
        <v>72</v>
      </c>
      <c r="M124" t="s">
        <v>59</v>
      </c>
      <c r="N124" t="s">
        <v>59</v>
      </c>
      <c r="O124" t="s">
        <v>59</v>
      </c>
      <c r="P124" t="s">
        <v>59</v>
      </c>
      <c r="Q124" t="s">
        <v>59</v>
      </c>
      <c r="R124" t="s">
        <v>59</v>
      </c>
      <c r="S124" t="s">
        <v>59</v>
      </c>
      <c r="T124" t="s">
        <v>59</v>
      </c>
      <c r="U124" t="s">
        <v>59</v>
      </c>
      <c r="V124" t="s">
        <v>59</v>
      </c>
      <c r="W124" t="s">
        <v>59</v>
      </c>
      <c r="X124" t="s">
        <v>59</v>
      </c>
      <c r="Y124" t="s">
        <v>59</v>
      </c>
      <c r="Z124" t="s">
        <v>59</v>
      </c>
      <c r="AA124" t="s">
        <v>59</v>
      </c>
      <c r="AB124" t="s">
        <v>60</v>
      </c>
      <c r="AC124" t="s">
        <v>60</v>
      </c>
      <c r="AD124" t="s">
        <v>59</v>
      </c>
      <c r="AE124" t="s">
        <v>59</v>
      </c>
      <c r="AF124" t="s">
        <v>59</v>
      </c>
      <c r="AG124" t="s">
        <v>59</v>
      </c>
      <c r="AH124" t="s">
        <v>61</v>
      </c>
      <c r="AI124" t="s">
        <v>61</v>
      </c>
      <c r="AJ124" t="s">
        <v>59</v>
      </c>
      <c r="AK124" t="s">
        <v>59</v>
      </c>
      <c r="AL124" t="s">
        <v>59</v>
      </c>
      <c r="AM124" t="s">
        <v>59</v>
      </c>
      <c r="AN124" t="s">
        <v>59</v>
      </c>
      <c r="AO124" t="s">
        <v>59</v>
      </c>
      <c r="AP124" t="s">
        <v>494</v>
      </c>
      <c r="AQ124" t="s">
        <v>495</v>
      </c>
      <c r="AR124" t="s">
        <v>64</v>
      </c>
      <c r="AS124" t="s">
        <v>198</v>
      </c>
      <c r="AT124" t="s">
        <v>207</v>
      </c>
      <c r="AU124" t="s">
        <v>219</v>
      </c>
      <c r="AW124" s="4">
        <f t="shared" si="38"/>
        <v>6</v>
      </c>
      <c r="AX124" s="4">
        <f t="shared" si="39"/>
        <v>4</v>
      </c>
      <c r="AY124" s="4">
        <f t="shared" si="40"/>
        <v>4</v>
      </c>
      <c r="AZ124" s="4">
        <f t="shared" si="41"/>
        <v>2</v>
      </c>
      <c r="BA124" s="4">
        <f t="shared" si="42"/>
        <v>4</v>
      </c>
      <c r="BB124" s="4">
        <f t="shared" si="43"/>
        <v>4</v>
      </c>
      <c r="BC124" s="4">
        <f t="shared" si="44"/>
        <v>4</v>
      </c>
      <c r="BD124" s="4">
        <f t="shared" si="45"/>
        <v>2</v>
      </c>
      <c r="BE124" s="4">
        <f t="shared" si="46"/>
        <v>4</v>
      </c>
      <c r="BF124" s="4">
        <f t="shared" si="47"/>
        <v>2</v>
      </c>
      <c r="BG124" s="4">
        <f t="shared" si="48"/>
        <v>4</v>
      </c>
      <c r="BH124" s="4">
        <f t="shared" si="49"/>
        <v>4</v>
      </c>
      <c r="BI124" s="4">
        <f t="shared" si="50"/>
        <v>4</v>
      </c>
      <c r="BJ124" s="4">
        <f t="shared" si="51"/>
        <v>2</v>
      </c>
      <c r="BK124" s="4">
        <f t="shared" si="52"/>
        <v>4</v>
      </c>
      <c r="BL124" s="4" t="str">
        <f t="shared" si="53"/>
        <v>0</v>
      </c>
      <c r="BM124" s="4" t="str">
        <f t="shared" si="54"/>
        <v>0</v>
      </c>
      <c r="BN124" s="4">
        <f t="shared" si="55"/>
        <v>4</v>
      </c>
      <c r="BO124" s="4">
        <f t="shared" si="56"/>
        <v>4</v>
      </c>
      <c r="BP124" s="4">
        <f t="shared" si="57"/>
        <v>4</v>
      </c>
      <c r="BQ124" s="4">
        <f t="shared" si="58"/>
        <v>6</v>
      </c>
      <c r="BR124" s="4">
        <f t="shared" si="59"/>
        <v>4</v>
      </c>
      <c r="BS124" s="4">
        <f t="shared" si="60"/>
        <v>4</v>
      </c>
      <c r="BT124" s="4">
        <f t="shared" si="61"/>
        <v>4</v>
      </c>
      <c r="BU124" s="4">
        <f t="shared" si="62"/>
        <v>4</v>
      </c>
      <c r="BV124" s="4">
        <f t="shared" si="63"/>
        <v>0</v>
      </c>
      <c r="BW124" s="4">
        <f t="shared" si="64"/>
        <v>6</v>
      </c>
      <c r="BX124" s="4">
        <f t="shared" si="65"/>
        <v>0</v>
      </c>
      <c r="BY124" s="4">
        <f t="shared" si="66"/>
        <v>0</v>
      </c>
      <c r="BZ124" s="37">
        <f t="shared" si="67"/>
        <v>94</v>
      </c>
      <c r="CA124" s="32" t="str">
        <f>VLOOKUP(J:J,'Agent wise'!A:C,3,0)</f>
        <v>Saran S</v>
      </c>
      <c r="CB124" s="32">
        <f t="shared" si="68"/>
        <v>45933</v>
      </c>
      <c r="CC124" t="str">
        <f t="shared" si="69"/>
        <v>Good</v>
      </c>
      <c r="CE124" s="32"/>
      <c r="CJ124">
        <f t="shared" si="70"/>
        <v>3</v>
      </c>
      <c r="CK124">
        <f t="shared" si="71"/>
        <v>10</v>
      </c>
      <c r="CL124">
        <f t="shared" si="72"/>
        <v>2025</v>
      </c>
    </row>
    <row r="125" spans="1:90" ht="15" customHeight="1" x14ac:dyDescent="0.35">
      <c r="A125" s="40">
        <v>45726.591354166667</v>
      </c>
      <c r="B125" t="s">
        <v>250</v>
      </c>
      <c r="C125" t="s">
        <v>214</v>
      </c>
      <c r="D125" t="s">
        <v>251</v>
      </c>
      <c r="E125" s="32">
        <v>45933</v>
      </c>
      <c r="F125" t="s">
        <v>54</v>
      </c>
      <c r="G125" s="2">
        <v>45698</v>
      </c>
      <c r="H125">
        <v>9500309333</v>
      </c>
      <c r="I125">
        <v>152</v>
      </c>
      <c r="J125" t="s">
        <v>139</v>
      </c>
      <c r="K125" t="s">
        <v>71</v>
      </c>
      <c r="L125" t="s">
        <v>72</v>
      </c>
      <c r="M125" t="s">
        <v>59</v>
      </c>
      <c r="N125" t="s">
        <v>59</v>
      </c>
      <c r="O125" t="s">
        <v>59</v>
      </c>
      <c r="P125" t="s">
        <v>59</v>
      </c>
      <c r="Q125" t="s">
        <v>59</v>
      </c>
      <c r="R125" t="s">
        <v>59</v>
      </c>
      <c r="S125" t="s">
        <v>59</v>
      </c>
      <c r="T125" t="s">
        <v>59</v>
      </c>
      <c r="U125" t="s">
        <v>59</v>
      </c>
      <c r="V125" t="s">
        <v>59</v>
      </c>
      <c r="W125" t="s">
        <v>59</v>
      </c>
      <c r="X125" t="s">
        <v>59</v>
      </c>
      <c r="Y125" t="s">
        <v>59</v>
      </c>
      <c r="Z125" t="s">
        <v>59</v>
      </c>
      <c r="AA125" t="s">
        <v>59</v>
      </c>
      <c r="AB125" t="s">
        <v>59</v>
      </c>
      <c r="AC125" t="s">
        <v>59</v>
      </c>
      <c r="AD125" t="s">
        <v>59</v>
      </c>
      <c r="AE125" t="s">
        <v>59</v>
      </c>
      <c r="AF125" t="s">
        <v>59</v>
      </c>
      <c r="AG125" t="s">
        <v>59</v>
      </c>
      <c r="AH125" t="s">
        <v>59</v>
      </c>
      <c r="AI125" t="s">
        <v>61</v>
      </c>
      <c r="AJ125" t="s">
        <v>59</v>
      </c>
      <c r="AK125" t="s">
        <v>59</v>
      </c>
      <c r="AL125" t="s">
        <v>59</v>
      </c>
      <c r="AM125" t="s">
        <v>59</v>
      </c>
      <c r="AN125" t="s">
        <v>59</v>
      </c>
      <c r="AO125" t="s">
        <v>59</v>
      </c>
      <c r="AP125" t="s">
        <v>496</v>
      </c>
      <c r="AQ125" t="s">
        <v>497</v>
      </c>
      <c r="AR125" t="s">
        <v>64</v>
      </c>
      <c r="AS125" t="s">
        <v>498</v>
      </c>
      <c r="AT125" t="s">
        <v>457</v>
      </c>
      <c r="AU125" t="s">
        <v>219</v>
      </c>
      <c r="AW125" s="4">
        <f t="shared" si="38"/>
        <v>6</v>
      </c>
      <c r="AX125" s="4">
        <f t="shared" si="39"/>
        <v>4</v>
      </c>
      <c r="AY125" s="4">
        <f t="shared" si="40"/>
        <v>4</v>
      </c>
      <c r="AZ125" s="4">
        <f t="shared" si="41"/>
        <v>2</v>
      </c>
      <c r="BA125" s="4">
        <f t="shared" si="42"/>
        <v>4</v>
      </c>
      <c r="BB125" s="4">
        <f t="shared" si="43"/>
        <v>4</v>
      </c>
      <c r="BC125" s="4">
        <f t="shared" si="44"/>
        <v>4</v>
      </c>
      <c r="BD125" s="4">
        <f t="shared" si="45"/>
        <v>2</v>
      </c>
      <c r="BE125" s="4">
        <f t="shared" si="46"/>
        <v>4</v>
      </c>
      <c r="BF125" s="4">
        <f t="shared" si="47"/>
        <v>2</v>
      </c>
      <c r="BG125" s="4">
        <f t="shared" si="48"/>
        <v>4</v>
      </c>
      <c r="BH125" s="4">
        <f t="shared" si="49"/>
        <v>4</v>
      </c>
      <c r="BI125" s="4">
        <f t="shared" si="50"/>
        <v>4</v>
      </c>
      <c r="BJ125" s="4">
        <f t="shared" si="51"/>
        <v>2</v>
      </c>
      <c r="BK125" s="4">
        <f t="shared" si="52"/>
        <v>4</v>
      </c>
      <c r="BL125" s="4">
        <f t="shared" si="53"/>
        <v>2</v>
      </c>
      <c r="BM125" s="4">
        <f t="shared" si="54"/>
        <v>4</v>
      </c>
      <c r="BN125" s="4">
        <f t="shared" si="55"/>
        <v>4</v>
      </c>
      <c r="BO125" s="4">
        <f t="shared" si="56"/>
        <v>4</v>
      </c>
      <c r="BP125" s="4">
        <f t="shared" si="57"/>
        <v>4</v>
      </c>
      <c r="BQ125" s="4">
        <f t="shared" si="58"/>
        <v>6</v>
      </c>
      <c r="BR125" s="4">
        <f t="shared" si="59"/>
        <v>4</v>
      </c>
      <c r="BS125" s="4">
        <f t="shared" si="60"/>
        <v>4</v>
      </c>
      <c r="BT125" s="4">
        <f t="shared" si="61"/>
        <v>4</v>
      </c>
      <c r="BU125" s="4">
        <f t="shared" si="62"/>
        <v>4</v>
      </c>
      <c r="BV125" s="4">
        <f t="shared" si="63"/>
        <v>0</v>
      </c>
      <c r="BW125" s="4">
        <f t="shared" si="64"/>
        <v>6</v>
      </c>
      <c r="BX125" s="4">
        <f t="shared" si="65"/>
        <v>0</v>
      </c>
      <c r="BY125" s="4">
        <f t="shared" si="66"/>
        <v>0</v>
      </c>
      <c r="BZ125" s="37">
        <f t="shared" si="67"/>
        <v>100</v>
      </c>
      <c r="CA125" s="32" t="str">
        <f>VLOOKUP(J:J,'Agent wise'!A:C,3,0)</f>
        <v>Shakeer</v>
      </c>
      <c r="CB125" s="32">
        <f t="shared" si="68"/>
        <v>45933</v>
      </c>
      <c r="CC125" t="str">
        <f t="shared" si="69"/>
        <v>Excellent</v>
      </c>
      <c r="CE125" s="32"/>
      <c r="CJ125">
        <f t="shared" si="70"/>
        <v>3</v>
      </c>
      <c r="CK125">
        <f t="shared" si="71"/>
        <v>10</v>
      </c>
      <c r="CL125">
        <f t="shared" si="72"/>
        <v>2025</v>
      </c>
    </row>
    <row r="126" spans="1:90" ht="15" customHeight="1" x14ac:dyDescent="0.35">
      <c r="A126" s="40">
        <v>45726.598391203697</v>
      </c>
      <c r="B126" t="s">
        <v>177</v>
      </c>
      <c r="C126" t="s">
        <v>214</v>
      </c>
      <c r="D126" t="s">
        <v>178</v>
      </c>
      <c r="E126" s="32">
        <v>45933</v>
      </c>
      <c r="F126" t="s">
        <v>54</v>
      </c>
      <c r="G126" s="2">
        <v>45698</v>
      </c>
      <c r="H126">
        <v>9965443787</v>
      </c>
      <c r="I126">
        <v>122</v>
      </c>
      <c r="J126" t="s">
        <v>288</v>
      </c>
      <c r="K126" t="s">
        <v>71</v>
      </c>
      <c r="L126" t="s">
        <v>72</v>
      </c>
      <c r="M126" t="s">
        <v>59</v>
      </c>
      <c r="N126" t="s">
        <v>59</v>
      </c>
      <c r="O126" t="s">
        <v>59</v>
      </c>
      <c r="P126" t="s">
        <v>59</v>
      </c>
      <c r="Q126" t="s">
        <v>59</v>
      </c>
      <c r="R126" t="s">
        <v>59</v>
      </c>
      <c r="S126" t="s">
        <v>59</v>
      </c>
      <c r="T126" t="s">
        <v>59</v>
      </c>
      <c r="U126" t="s">
        <v>59</v>
      </c>
      <c r="V126" t="s">
        <v>59</v>
      </c>
      <c r="W126" t="s">
        <v>59</v>
      </c>
      <c r="X126" t="s">
        <v>59</v>
      </c>
      <c r="Y126" t="s">
        <v>59</v>
      </c>
      <c r="Z126" t="s">
        <v>59</v>
      </c>
      <c r="AA126" t="s">
        <v>59</v>
      </c>
      <c r="AB126" t="s">
        <v>59</v>
      </c>
      <c r="AC126" t="s">
        <v>60</v>
      </c>
      <c r="AD126" t="s">
        <v>59</v>
      </c>
      <c r="AE126" t="s">
        <v>59</v>
      </c>
      <c r="AF126" t="s">
        <v>59</v>
      </c>
      <c r="AG126" t="s">
        <v>59</v>
      </c>
      <c r="AH126" t="s">
        <v>61</v>
      </c>
      <c r="AI126" t="s">
        <v>61</v>
      </c>
      <c r="AJ126" t="s">
        <v>59</v>
      </c>
      <c r="AK126" t="s">
        <v>59</v>
      </c>
      <c r="AL126" t="s">
        <v>59</v>
      </c>
      <c r="AM126" t="s">
        <v>59</v>
      </c>
      <c r="AN126" t="s">
        <v>59</v>
      </c>
      <c r="AO126" t="s">
        <v>59</v>
      </c>
      <c r="AP126" t="s">
        <v>499</v>
      </c>
      <c r="AQ126" t="s">
        <v>500</v>
      </c>
      <c r="AR126" t="s">
        <v>64</v>
      </c>
      <c r="AS126" t="s">
        <v>171</v>
      </c>
      <c r="AT126" t="s">
        <v>172</v>
      </c>
      <c r="AU126" t="s">
        <v>299</v>
      </c>
      <c r="AW126" s="4">
        <f t="shared" si="38"/>
        <v>6</v>
      </c>
      <c r="AX126" s="4">
        <f t="shared" si="39"/>
        <v>4</v>
      </c>
      <c r="AY126" s="4">
        <f t="shared" si="40"/>
        <v>4</v>
      </c>
      <c r="AZ126" s="4">
        <f t="shared" si="41"/>
        <v>2</v>
      </c>
      <c r="BA126" s="4">
        <f t="shared" si="42"/>
        <v>4</v>
      </c>
      <c r="BB126" s="4">
        <f t="shared" si="43"/>
        <v>4</v>
      </c>
      <c r="BC126" s="4">
        <f t="shared" si="44"/>
        <v>4</v>
      </c>
      <c r="BD126" s="4">
        <f t="shared" si="45"/>
        <v>2</v>
      </c>
      <c r="BE126" s="4">
        <f t="shared" si="46"/>
        <v>4</v>
      </c>
      <c r="BF126" s="4">
        <f t="shared" si="47"/>
        <v>2</v>
      </c>
      <c r="BG126" s="4">
        <f t="shared" si="48"/>
        <v>4</v>
      </c>
      <c r="BH126" s="4">
        <f t="shared" si="49"/>
        <v>4</v>
      </c>
      <c r="BI126" s="4">
        <f t="shared" si="50"/>
        <v>4</v>
      </c>
      <c r="BJ126" s="4">
        <f t="shared" si="51"/>
        <v>2</v>
      </c>
      <c r="BK126" s="4">
        <f t="shared" si="52"/>
        <v>4</v>
      </c>
      <c r="BL126" s="4">
        <f t="shared" si="53"/>
        <v>2</v>
      </c>
      <c r="BM126" s="4" t="str">
        <f t="shared" si="54"/>
        <v>0</v>
      </c>
      <c r="BN126" s="4">
        <f t="shared" si="55"/>
        <v>4</v>
      </c>
      <c r="BO126" s="4">
        <f t="shared" si="56"/>
        <v>4</v>
      </c>
      <c r="BP126" s="4">
        <f t="shared" si="57"/>
        <v>4</v>
      </c>
      <c r="BQ126" s="4">
        <f t="shared" si="58"/>
        <v>6</v>
      </c>
      <c r="BR126" s="4">
        <f t="shared" si="59"/>
        <v>4</v>
      </c>
      <c r="BS126" s="4">
        <f t="shared" si="60"/>
        <v>4</v>
      </c>
      <c r="BT126" s="4">
        <f t="shared" si="61"/>
        <v>4</v>
      </c>
      <c r="BU126" s="4">
        <f t="shared" si="62"/>
        <v>4</v>
      </c>
      <c r="BV126" s="4">
        <f t="shared" si="63"/>
        <v>0</v>
      </c>
      <c r="BW126" s="4">
        <f t="shared" si="64"/>
        <v>6</v>
      </c>
      <c r="BX126" s="4">
        <f t="shared" si="65"/>
        <v>0</v>
      </c>
      <c r="BY126" s="4">
        <f t="shared" si="66"/>
        <v>0</v>
      </c>
      <c r="BZ126" s="37">
        <f t="shared" si="67"/>
        <v>96</v>
      </c>
      <c r="CA126" s="32" t="str">
        <f>VLOOKUP(J:J,'Agent wise'!A:C,3,0)</f>
        <v>Shakeer</v>
      </c>
      <c r="CB126" s="32">
        <f t="shared" si="68"/>
        <v>45933</v>
      </c>
      <c r="CC126" t="str">
        <f t="shared" si="69"/>
        <v>Excellent</v>
      </c>
      <c r="CE126" s="32"/>
      <c r="CJ126">
        <f t="shared" si="70"/>
        <v>3</v>
      </c>
      <c r="CK126">
        <f t="shared" si="71"/>
        <v>10</v>
      </c>
      <c r="CL126">
        <f t="shared" si="72"/>
        <v>2025</v>
      </c>
    </row>
    <row r="127" spans="1:90" ht="15" customHeight="1" x14ac:dyDescent="0.35">
      <c r="A127" s="40">
        <v>45726.604861111111</v>
      </c>
      <c r="B127" t="s">
        <v>100</v>
      </c>
      <c r="C127" t="s">
        <v>214</v>
      </c>
      <c r="D127" t="s">
        <v>101</v>
      </c>
      <c r="E127" s="32">
        <v>45933</v>
      </c>
      <c r="F127" t="s">
        <v>222</v>
      </c>
      <c r="G127" s="2">
        <v>45698</v>
      </c>
      <c r="H127">
        <v>8086318121</v>
      </c>
      <c r="I127">
        <v>135</v>
      </c>
      <c r="J127" t="s">
        <v>501</v>
      </c>
      <c r="K127" t="s">
        <v>57</v>
      </c>
      <c r="L127" t="s">
        <v>58</v>
      </c>
      <c r="M127" t="s">
        <v>59</v>
      </c>
      <c r="N127" t="s">
        <v>59</v>
      </c>
      <c r="O127" t="s">
        <v>59</v>
      </c>
      <c r="P127" t="s">
        <v>59</v>
      </c>
      <c r="Q127" t="s">
        <v>59</v>
      </c>
      <c r="R127" t="s">
        <v>59</v>
      </c>
      <c r="S127" t="s">
        <v>59</v>
      </c>
      <c r="T127" t="s">
        <v>59</v>
      </c>
      <c r="U127" t="s">
        <v>59</v>
      </c>
      <c r="V127" t="s">
        <v>59</v>
      </c>
      <c r="W127" t="s">
        <v>59</v>
      </c>
      <c r="X127" t="s">
        <v>59</v>
      </c>
      <c r="Y127" t="s">
        <v>59</v>
      </c>
      <c r="Z127" t="s">
        <v>59</v>
      </c>
      <c r="AA127" t="s">
        <v>60</v>
      </c>
      <c r="AB127" t="s">
        <v>59</v>
      </c>
      <c r="AC127" t="s">
        <v>59</v>
      </c>
      <c r="AD127" t="s">
        <v>59</v>
      </c>
      <c r="AE127" t="s">
        <v>59</v>
      </c>
      <c r="AF127" t="s">
        <v>59</v>
      </c>
      <c r="AG127" t="s">
        <v>59</v>
      </c>
      <c r="AH127" t="s">
        <v>59</v>
      </c>
      <c r="AI127" t="s">
        <v>60</v>
      </c>
      <c r="AJ127" t="s">
        <v>59</v>
      </c>
      <c r="AK127" t="s">
        <v>59</v>
      </c>
      <c r="AL127" t="s">
        <v>59</v>
      </c>
      <c r="AM127" t="s">
        <v>59</v>
      </c>
      <c r="AN127" t="s">
        <v>59</v>
      </c>
      <c r="AO127" t="s">
        <v>59</v>
      </c>
      <c r="AP127" t="s">
        <v>449</v>
      </c>
      <c r="AQ127" s="1" t="s">
        <v>502</v>
      </c>
      <c r="AR127" t="s">
        <v>226</v>
      </c>
      <c r="AS127" t="s">
        <v>352</v>
      </c>
      <c r="AT127" t="s">
        <v>352</v>
      </c>
      <c r="AU127" t="s">
        <v>219</v>
      </c>
      <c r="AW127" s="4">
        <f t="shared" si="38"/>
        <v>6</v>
      </c>
      <c r="AX127" s="4">
        <f t="shared" si="39"/>
        <v>4</v>
      </c>
      <c r="AY127" s="4">
        <f t="shared" si="40"/>
        <v>4</v>
      </c>
      <c r="AZ127" s="4">
        <f t="shared" si="41"/>
        <v>2</v>
      </c>
      <c r="BA127" s="4">
        <f t="shared" si="42"/>
        <v>4</v>
      </c>
      <c r="BB127" s="4">
        <f t="shared" si="43"/>
        <v>4</v>
      </c>
      <c r="BC127" s="4">
        <f t="shared" si="44"/>
        <v>4</v>
      </c>
      <c r="BD127" s="4">
        <f t="shared" si="45"/>
        <v>2</v>
      </c>
      <c r="BE127" s="4">
        <f t="shared" si="46"/>
        <v>4</v>
      </c>
      <c r="BF127" s="4">
        <f t="shared" si="47"/>
        <v>2</v>
      </c>
      <c r="BG127" s="4">
        <f t="shared" si="48"/>
        <v>4</v>
      </c>
      <c r="BH127" s="4">
        <f t="shared" si="49"/>
        <v>4</v>
      </c>
      <c r="BI127" s="4">
        <f t="shared" si="50"/>
        <v>4</v>
      </c>
      <c r="BJ127" s="4">
        <f t="shared" si="51"/>
        <v>2</v>
      </c>
      <c r="BK127" s="4" t="str">
        <f t="shared" si="52"/>
        <v>0</v>
      </c>
      <c r="BL127" s="4">
        <f t="shared" si="53"/>
        <v>2</v>
      </c>
      <c r="BM127" s="4">
        <f t="shared" si="54"/>
        <v>4</v>
      </c>
      <c r="BN127" s="4">
        <f t="shared" si="55"/>
        <v>4</v>
      </c>
      <c r="BO127" s="4">
        <f t="shared" si="56"/>
        <v>4</v>
      </c>
      <c r="BP127" s="4">
        <f t="shared" si="57"/>
        <v>4</v>
      </c>
      <c r="BQ127" s="4">
        <f t="shared" si="58"/>
        <v>6</v>
      </c>
      <c r="BR127" s="4">
        <f t="shared" si="59"/>
        <v>4</v>
      </c>
      <c r="BS127" s="4" t="str">
        <f t="shared" si="60"/>
        <v>0</v>
      </c>
      <c r="BT127" s="4">
        <f t="shared" si="61"/>
        <v>4</v>
      </c>
      <c r="BU127" s="4">
        <f t="shared" si="62"/>
        <v>4</v>
      </c>
      <c r="BV127" s="4">
        <f t="shared" si="63"/>
        <v>0</v>
      </c>
      <c r="BW127" s="4">
        <f t="shared" si="64"/>
        <v>6</v>
      </c>
      <c r="BX127" s="4">
        <f t="shared" si="65"/>
        <v>0</v>
      </c>
      <c r="BY127" s="4">
        <f t="shared" si="66"/>
        <v>0</v>
      </c>
      <c r="BZ127" s="37">
        <f t="shared" si="67"/>
        <v>92</v>
      </c>
      <c r="CA127" s="32" t="str">
        <f>VLOOKUP(J:J,'Agent wise'!A:C,3,0)</f>
        <v>Amal</v>
      </c>
      <c r="CB127" s="32">
        <f t="shared" si="68"/>
        <v>45933</v>
      </c>
      <c r="CC127" t="str">
        <f t="shared" si="69"/>
        <v>Good</v>
      </c>
      <c r="CE127" s="32"/>
      <c r="CJ127">
        <f t="shared" si="70"/>
        <v>3</v>
      </c>
      <c r="CK127">
        <f t="shared" si="71"/>
        <v>10</v>
      </c>
      <c r="CL127">
        <f t="shared" si="72"/>
        <v>2025</v>
      </c>
    </row>
    <row r="128" spans="1:90" ht="15" customHeight="1" x14ac:dyDescent="0.35">
      <c r="A128" s="40">
        <v>45726.60837962963</v>
      </c>
      <c r="B128" t="s">
        <v>100</v>
      </c>
      <c r="C128" t="s">
        <v>214</v>
      </c>
      <c r="D128" t="s">
        <v>101</v>
      </c>
      <c r="E128" s="32">
        <v>45933</v>
      </c>
      <c r="F128" t="s">
        <v>222</v>
      </c>
      <c r="G128" s="2">
        <v>45698</v>
      </c>
      <c r="H128">
        <v>9786734236</v>
      </c>
      <c r="I128">
        <v>177</v>
      </c>
      <c r="J128" t="s">
        <v>501</v>
      </c>
      <c r="K128" t="s">
        <v>71</v>
      </c>
      <c r="L128" t="s">
        <v>72</v>
      </c>
      <c r="M128" t="s">
        <v>59</v>
      </c>
      <c r="N128" t="s">
        <v>59</v>
      </c>
      <c r="O128" t="s">
        <v>59</v>
      </c>
      <c r="P128" t="s">
        <v>59</v>
      </c>
      <c r="Q128" t="s">
        <v>59</v>
      </c>
      <c r="R128" t="s">
        <v>59</v>
      </c>
      <c r="S128" t="s">
        <v>59</v>
      </c>
      <c r="T128" t="s">
        <v>59</v>
      </c>
      <c r="U128" t="s">
        <v>59</v>
      </c>
      <c r="V128" t="s">
        <v>59</v>
      </c>
      <c r="W128" t="s">
        <v>59</v>
      </c>
      <c r="X128" t="s">
        <v>59</v>
      </c>
      <c r="Y128" t="s">
        <v>59</v>
      </c>
      <c r="Z128" t="s">
        <v>59</v>
      </c>
      <c r="AA128" t="s">
        <v>59</v>
      </c>
      <c r="AB128" t="s">
        <v>60</v>
      </c>
      <c r="AC128" t="s">
        <v>59</v>
      </c>
      <c r="AD128" t="s">
        <v>59</v>
      </c>
      <c r="AE128" t="s">
        <v>59</v>
      </c>
      <c r="AF128" t="s">
        <v>59</v>
      </c>
      <c r="AG128" t="s">
        <v>59</v>
      </c>
      <c r="AH128" t="s">
        <v>59</v>
      </c>
      <c r="AI128" t="s">
        <v>60</v>
      </c>
      <c r="AJ128" t="s">
        <v>59</v>
      </c>
      <c r="AK128" t="s">
        <v>59</v>
      </c>
      <c r="AL128" t="s">
        <v>59</v>
      </c>
      <c r="AM128" t="s">
        <v>59</v>
      </c>
      <c r="AN128" t="s">
        <v>59</v>
      </c>
      <c r="AO128" t="s">
        <v>59</v>
      </c>
      <c r="AP128" t="s">
        <v>503</v>
      </c>
      <c r="AQ128" s="1" t="s">
        <v>504</v>
      </c>
      <c r="AR128" t="s">
        <v>226</v>
      </c>
      <c r="AS128" t="s">
        <v>352</v>
      </c>
      <c r="AT128" t="s">
        <v>352</v>
      </c>
      <c r="AU128" t="s">
        <v>219</v>
      </c>
      <c r="AW128" s="4">
        <f t="shared" si="38"/>
        <v>6</v>
      </c>
      <c r="AX128" s="4">
        <f t="shared" si="39"/>
        <v>4</v>
      </c>
      <c r="AY128" s="4">
        <f t="shared" si="40"/>
        <v>4</v>
      </c>
      <c r="AZ128" s="4">
        <f t="shared" si="41"/>
        <v>2</v>
      </c>
      <c r="BA128" s="4">
        <f t="shared" si="42"/>
        <v>4</v>
      </c>
      <c r="BB128" s="4">
        <f t="shared" si="43"/>
        <v>4</v>
      </c>
      <c r="BC128" s="4">
        <f t="shared" si="44"/>
        <v>4</v>
      </c>
      <c r="BD128" s="4">
        <f t="shared" si="45"/>
        <v>2</v>
      </c>
      <c r="BE128" s="4">
        <f t="shared" si="46"/>
        <v>4</v>
      </c>
      <c r="BF128" s="4">
        <f t="shared" si="47"/>
        <v>2</v>
      </c>
      <c r="BG128" s="4">
        <f t="shared" si="48"/>
        <v>4</v>
      </c>
      <c r="BH128" s="4">
        <f t="shared" si="49"/>
        <v>4</v>
      </c>
      <c r="BI128" s="4">
        <f t="shared" si="50"/>
        <v>4</v>
      </c>
      <c r="BJ128" s="4">
        <f t="shared" si="51"/>
        <v>2</v>
      </c>
      <c r="BK128" s="4">
        <f t="shared" si="52"/>
        <v>4</v>
      </c>
      <c r="BL128" s="4" t="str">
        <f t="shared" si="53"/>
        <v>0</v>
      </c>
      <c r="BM128" s="4">
        <f t="shared" si="54"/>
        <v>4</v>
      </c>
      <c r="BN128" s="4">
        <f t="shared" si="55"/>
        <v>4</v>
      </c>
      <c r="BO128" s="4">
        <f t="shared" si="56"/>
        <v>4</v>
      </c>
      <c r="BP128" s="4">
        <f t="shared" si="57"/>
        <v>4</v>
      </c>
      <c r="BQ128" s="4">
        <f t="shared" si="58"/>
        <v>6</v>
      </c>
      <c r="BR128" s="4">
        <f t="shared" si="59"/>
        <v>4</v>
      </c>
      <c r="BS128" s="4" t="str">
        <f t="shared" si="60"/>
        <v>0</v>
      </c>
      <c r="BT128" s="4">
        <f t="shared" si="61"/>
        <v>4</v>
      </c>
      <c r="BU128" s="4">
        <f t="shared" si="62"/>
        <v>4</v>
      </c>
      <c r="BV128" s="4">
        <f t="shared" si="63"/>
        <v>0</v>
      </c>
      <c r="BW128" s="4">
        <f t="shared" si="64"/>
        <v>6</v>
      </c>
      <c r="BX128" s="4">
        <f t="shared" si="65"/>
        <v>0</v>
      </c>
      <c r="BY128" s="4">
        <f t="shared" si="66"/>
        <v>0</v>
      </c>
      <c r="BZ128" s="37">
        <f t="shared" si="67"/>
        <v>94</v>
      </c>
      <c r="CA128" s="32" t="str">
        <f>VLOOKUP(J:J,'Agent wise'!A:C,3,0)</f>
        <v>Amal</v>
      </c>
      <c r="CB128" s="32">
        <f t="shared" si="68"/>
        <v>45933</v>
      </c>
      <c r="CC128" t="str">
        <f t="shared" si="69"/>
        <v>Good</v>
      </c>
      <c r="CE128" s="32"/>
      <c r="CJ128">
        <f t="shared" si="70"/>
        <v>3</v>
      </c>
      <c r="CK128">
        <f t="shared" si="71"/>
        <v>10</v>
      </c>
      <c r="CL128">
        <f t="shared" si="72"/>
        <v>2025</v>
      </c>
    </row>
    <row r="129" spans="1:90" ht="15" customHeight="1" x14ac:dyDescent="0.35">
      <c r="A129" s="40">
        <v>45726.624606481477</v>
      </c>
      <c r="B129" t="s">
        <v>51</v>
      </c>
      <c r="C129" t="s">
        <v>214</v>
      </c>
      <c r="D129" t="s">
        <v>53</v>
      </c>
      <c r="E129" s="32">
        <v>45933</v>
      </c>
      <c r="F129" t="s">
        <v>54</v>
      </c>
      <c r="G129" s="2">
        <v>45698</v>
      </c>
      <c r="H129">
        <v>9495262767</v>
      </c>
      <c r="I129">
        <v>240</v>
      </c>
      <c r="J129" t="s">
        <v>215</v>
      </c>
      <c r="K129" t="s">
        <v>57</v>
      </c>
      <c r="L129" t="s">
        <v>58</v>
      </c>
      <c r="M129" t="s">
        <v>59</v>
      </c>
      <c r="N129" t="s">
        <v>59</v>
      </c>
      <c r="O129" t="s">
        <v>59</v>
      </c>
      <c r="P129" t="s">
        <v>59</v>
      </c>
      <c r="Q129" t="s">
        <v>59</v>
      </c>
      <c r="R129" t="s">
        <v>59</v>
      </c>
      <c r="S129" t="s">
        <v>59</v>
      </c>
      <c r="T129" t="s">
        <v>59</v>
      </c>
      <c r="U129" t="s">
        <v>59</v>
      </c>
      <c r="V129" t="s">
        <v>59</v>
      </c>
      <c r="W129" t="s">
        <v>59</v>
      </c>
      <c r="X129" t="s">
        <v>59</v>
      </c>
      <c r="Y129" t="s">
        <v>59</v>
      </c>
      <c r="Z129" t="s">
        <v>59</v>
      </c>
      <c r="AA129" t="s">
        <v>60</v>
      </c>
      <c r="AB129" t="s">
        <v>60</v>
      </c>
      <c r="AC129" t="s">
        <v>60</v>
      </c>
      <c r="AD129" t="s">
        <v>59</v>
      </c>
      <c r="AE129" t="s">
        <v>59</v>
      </c>
      <c r="AF129" t="s">
        <v>61</v>
      </c>
      <c r="AG129" t="s">
        <v>59</v>
      </c>
      <c r="AH129" t="s">
        <v>61</v>
      </c>
      <c r="AI129" t="s">
        <v>59</v>
      </c>
      <c r="AJ129" t="s">
        <v>59</v>
      </c>
      <c r="AK129" t="s">
        <v>61</v>
      </c>
      <c r="AL129" t="s">
        <v>60</v>
      </c>
      <c r="AM129" t="s">
        <v>59</v>
      </c>
      <c r="AN129" t="s">
        <v>59</v>
      </c>
      <c r="AO129" t="s">
        <v>59</v>
      </c>
      <c r="AP129" t="s">
        <v>505</v>
      </c>
      <c r="AQ129" t="s">
        <v>506</v>
      </c>
      <c r="AR129" t="s">
        <v>64</v>
      </c>
      <c r="AS129" t="s">
        <v>65</v>
      </c>
      <c r="AT129" t="s">
        <v>507</v>
      </c>
      <c r="AU129" t="s">
        <v>299</v>
      </c>
      <c r="AW129" s="4">
        <f t="shared" si="38"/>
        <v>6</v>
      </c>
      <c r="AX129" s="4">
        <f t="shared" si="39"/>
        <v>4</v>
      </c>
      <c r="AY129" s="4">
        <f t="shared" si="40"/>
        <v>4</v>
      </c>
      <c r="AZ129" s="4">
        <f t="shared" si="41"/>
        <v>2</v>
      </c>
      <c r="BA129" s="4">
        <f t="shared" si="42"/>
        <v>4</v>
      </c>
      <c r="BB129" s="4">
        <f t="shared" si="43"/>
        <v>4</v>
      </c>
      <c r="BC129" s="4">
        <f t="shared" si="44"/>
        <v>4</v>
      </c>
      <c r="BD129" s="4">
        <f t="shared" si="45"/>
        <v>2</v>
      </c>
      <c r="BE129" s="4">
        <f t="shared" si="46"/>
        <v>4</v>
      </c>
      <c r="BF129" s="4">
        <f t="shared" si="47"/>
        <v>2</v>
      </c>
      <c r="BG129" s="4">
        <f t="shared" si="48"/>
        <v>4</v>
      </c>
      <c r="BH129" s="4">
        <f t="shared" si="49"/>
        <v>4</v>
      </c>
      <c r="BI129" s="4">
        <f t="shared" si="50"/>
        <v>4</v>
      </c>
      <c r="BJ129" s="4">
        <f t="shared" si="51"/>
        <v>2</v>
      </c>
      <c r="BK129" s="4" t="str">
        <f t="shared" si="52"/>
        <v>0</v>
      </c>
      <c r="BL129" s="4" t="str">
        <f t="shared" si="53"/>
        <v>0</v>
      </c>
      <c r="BM129" s="4" t="str">
        <f t="shared" si="54"/>
        <v>0</v>
      </c>
      <c r="BN129" s="4">
        <f t="shared" si="55"/>
        <v>4</v>
      </c>
      <c r="BO129" s="4">
        <f t="shared" si="56"/>
        <v>4</v>
      </c>
      <c r="BP129" s="4">
        <f t="shared" si="57"/>
        <v>4</v>
      </c>
      <c r="BQ129" s="4">
        <f t="shared" si="58"/>
        <v>6</v>
      </c>
      <c r="BR129" s="4">
        <f t="shared" si="59"/>
        <v>4</v>
      </c>
      <c r="BS129" s="4">
        <f t="shared" si="60"/>
        <v>4</v>
      </c>
      <c r="BT129" s="4">
        <f t="shared" si="61"/>
        <v>4</v>
      </c>
      <c r="BU129" s="4">
        <f t="shared" si="62"/>
        <v>4</v>
      </c>
      <c r="BV129" s="4" t="str">
        <f t="shared" si="63"/>
        <v>0</v>
      </c>
      <c r="BW129" s="4">
        <f t="shared" si="64"/>
        <v>6</v>
      </c>
      <c r="BX129" s="4">
        <f t="shared" si="65"/>
        <v>0</v>
      </c>
      <c r="BY129" s="4">
        <f t="shared" si="66"/>
        <v>0</v>
      </c>
      <c r="BZ129" s="37">
        <f t="shared" si="67"/>
        <v>90</v>
      </c>
      <c r="CA129" s="32" t="str">
        <f>VLOOKUP(J:J,'Agent wise'!A:C,3,0)</f>
        <v>Adharsh</v>
      </c>
      <c r="CB129" s="32">
        <f t="shared" si="68"/>
        <v>45933</v>
      </c>
      <c r="CC129" t="str">
        <f t="shared" si="69"/>
        <v>Good</v>
      </c>
      <c r="CE129" s="32"/>
      <c r="CJ129">
        <f t="shared" si="70"/>
        <v>3</v>
      </c>
      <c r="CK129">
        <f t="shared" si="71"/>
        <v>10</v>
      </c>
      <c r="CL129">
        <f t="shared" si="72"/>
        <v>2025</v>
      </c>
    </row>
    <row r="130" spans="1:90" ht="15" customHeight="1" x14ac:dyDescent="0.35">
      <c r="A130" s="40">
        <v>45726.627997685187</v>
      </c>
      <c r="B130" t="s">
        <v>51</v>
      </c>
      <c r="C130" t="s">
        <v>214</v>
      </c>
      <c r="D130" t="s">
        <v>53</v>
      </c>
      <c r="E130" s="32">
        <v>45933</v>
      </c>
      <c r="F130" t="s">
        <v>54</v>
      </c>
      <c r="G130" s="2">
        <v>45698</v>
      </c>
      <c r="H130">
        <v>9496726034</v>
      </c>
      <c r="I130">
        <v>270</v>
      </c>
      <c r="J130" t="s">
        <v>484</v>
      </c>
      <c r="K130" t="s">
        <v>57</v>
      </c>
      <c r="L130" t="s">
        <v>58</v>
      </c>
      <c r="M130" t="s">
        <v>60</v>
      </c>
      <c r="N130" t="s">
        <v>59</v>
      </c>
      <c r="O130" t="s">
        <v>59</v>
      </c>
      <c r="P130" t="s">
        <v>59</v>
      </c>
      <c r="Q130" t="s">
        <v>59</v>
      </c>
      <c r="R130" t="s">
        <v>59</v>
      </c>
      <c r="S130" t="s">
        <v>59</v>
      </c>
      <c r="T130" t="s">
        <v>59</v>
      </c>
      <c r="U130" t="s">
        <v>59</v>
      </c>
      <c r="V130" t="s">
        <v>59</v>
      </c>
      <c r="W130" t="s">
        <v>59</v>
      </c>
      <c r="X130" t="s">
        <v>59</v>
      </c>
      <c r="Y130" t="s">
        <v>59</v>
      </c>
      <c r="Z130" t="s">
        <v>59</v>
      </c>
      <c r="AA130" t="s">
        <v>59</v>
      </c>
      <c r="AB130" t="s">
        <v>60</v>
      </c>
      <c r="AC130" t="s">
        <v>61</v>
      </c>
      <c r="AD130" t="s">
        <v>59</v>
      </c>
      <c r="AE130" t="s">
        <v>59</v>
      </c>
      <c r="AF130" t="s">
        <v>59</v>
      </c>
      <c r="AG130" t="s">
        <v>59</v>
      </c>
      <c r="AH130" t="s">
        <v>61</v>
      </c>
      <c r="AI130" t="s">
        <v>60</v>
      </c>
      <c r="AJ130" t="s">
        <v>59</v>
      </c>
      <c r="AK130" t="s">
        <v>61</v>
      </c>
      <c r="AL130" t="s">
        <v>60</v>
      </c>
      <c r="AM130" t="s">
        <v>59</v>
      </c>
      <c r="AN130" t="s">
        <v>59</v>
      </c>
      <c r="AO130" t="s">
        <v>59</v>
      </c>
      <c r="AP130" t="s">
        <v>508</v>
      </c>
      <c r="AQ130" t="s">
        <v>509</v>
      </c>
      <c r="AR130" t="s">
        <v>64</v>
      </c>
      <c r="AS130" t="s">
        <v>325</v>
      </c>
      <c r="AT130" t="s">
        <v>510</v>
      </c>
      <c r="AU130" t="s">
        <v>299</v>
      </c>
      <c r="AW130" s="4" t="str">
        <f t="shared" si="38"/>
        <v>0</v>
      </c>
      <c r="AX130" s="4">
        <f t="shared" si="39"/>
        <v>4</v>
      </c>
      <c r="AY130" s="4">
        <f t="shared" si="40"/>
        <v>4</v>
      </c>
      <c r="AZ130" s="4">
        <f t="shared" si="41"/>
        <v>2</v>
      </c>
      <c r="BA130" s="4">
        <f t="shared" si="42"/>
        <v>4</v>
      </c>
      <c r="BB130" s="4">
        <f t="shared" si="43"/>
        <v>4</v>
      </c>
      <c r="BC130" s="4">
        <f t="shared" si="44"/>
        <v>4</v>
      </c>
      <c r="BD130" s="4">
        <f t="shared" si="45"/>
        <v>2</v>
      </c>
      <c r="BE130" s="4">
        <f t="shared" si="46"/>
        <v>4</v>
      </c>
      <c r="BF130" s="4">
        <f t="shared" si="47"/>
        <v>2</v>
      </c>
      <c r="BG130" s="4">
        <f t="shared" si="48"/>
        <v>4</v>
      </c>
      <c r="BH130" s="4">
        <f t="shared" si="49"/>
        <v>4</v>
      </c>
      <c r="BI130" s="4">
        <f t="shared" si="50"/>
        <v>4</v>
      </c>
      <c r="BJ130" s="4">
        <f t="shared" si="51"/>
        <v>2</v>
      </c>
      <c r="BK130" s="4">
        <f t="shared" si="52"/>
        <v>4</v>
      </c>
      <c r="BL130" s="4" t="str">
        <f t="shared" si="53"/>
        <v>0</v>
      </c>
      <c r="BM130" s="4">
        <f t="shared" si="54"/>
        <v>4</v>
      </c>
      <c r="BN130" s="4">
        <f t="shared" si="55"/>
        <v>4</v>
      </c>
      <c r="BO130" s="4">
        <f t="shared" si="56"/>
        <v>4</v>
      </c>
      <c r="BP130" s="4">
        <f t="shared" si="57"/>
        <v>4</v>
      </c>
      <c r="BQ130" s="4">
        <f t="shared" si="58"/>
        <v>6</v>
      </c>
      <c r="BR130" s="4">
        <f t="shared" si="59"/>
        <v>4</v>
      </c>
      <c r="BS130" s="4" t="str">
        <f t="shared" si="60"/>
        <v>0</v>
      </c>
      <c r="BT130" s="4">
        <f t="shared" si="61"/>
        <v>4</v>
      </c>
      <c r="BU130" s="4">
        <f t="shared" si="62"/>
        <v>4</v>
      </c>
      <c r="BV130" s="4" t="str">
        <f t="shared" si="63"/>
        <v>0</v>
      </c>
      <c r="BW130" s="4">
        <f t="shared" si="64"/>
        <v>6</v>
      </c>
      <c r="BX130" s="4">
        <f t="shared" si="65"/>
        <v>0</v>
      </c>
      <c r="BY130" s="4">
        <f t="shared" si="66"/>
        <v>0</v>
      </c>
      <c r="BZ130" s="37">
        <f t="shared" si="67"/>
        <v>88</v>
      </c>
      <c r="CA130" s="32" t="str">
        <f>VLOOKUP(J:J,'Agent wise'!A:C,3,0)</f>
        <v>Adharsh</v>
      </c>
      <c r="CB130" s="32">
        <f t="shared" si="68"/>
        <v>45933</v>
      </c>
      <c r="CC130" t="str">
        <f t="shared" si="69"/>
        <v>Average</v>
      </c>
      <c r="CE130" s="32"/>
      <c r="CJ130">
        <f t="shared" si="70"/>
        <v>3</v>
      </c>
      <c r="CK130">
        <f t="shared" si="71"/>
        <v>10</v>
      </c>
      <c r="CL130">
        <f t="shared" si="72"/>
        <v>2025</v>
      </c>
    </row>
    <row r="131" spans="1:90" ht="15" customHeight="1" x14ac:dyDescent="0.35">
      <c r="A131" s="40">
        <v>45726.632916666669</v>
      </c>
      <c r="B131" t="s">
        <v>51</v>
      </c>
      <c r="C131" t="s">
        <v>214</v>
      </c>
      <c r="D131" t="s">
        <v>53</v>
      </c>
      <c r="E131" s="32">
        <v>45933</v>
      </c>
      <c r="F131" t="s">
        <v>54</v>
      </c>
      <c r="G131" s="2">
        <v>45698</v>
      </c>
      <c r="H131">
        <v>9072747375</v>
      </c>
      <c r="I131">
        <v>328</v>
      </c>
      <c r="J131" t="s">
        <v>317</v>
      </c>
      <c r="K131" t="s">
        <v>57</v>
      </c>
      <c r="L131" t="s">
        <v>58</v>
      </c>
      <c r="M131" t="s">
        <v>59</v>
      </c>
      <c r="N131" t="s">
        <v>59</v>
      </c>
      <c r="O131" t="s">
        <v>59</v>
      </c>
      <c r="P131" t="s">
        <v>59</v>
      </c>
      <c r="Q131" t="s">
        <v>59</v>
      </c>
      <c r="R131" t="s">
        <v>60</v>
      </c>
      <c r="S131" t="s">
        <v>59</v>
      </c>
      <c r="T131" t="s">
        <v>59</v>
      </c>
      <c r="U131" t="s">
        <v>59</v>
      </c>
      <c r="V131" t="s">
        <v>59</v>
      </c>
      <c r="W131" t="s">
        <v>59</v>
      </c>
      <c r="X131" t="s">
        <v>59</v>
      </c>
      <c r="Y131" t="s">
        <v>59</v>
      </c>
      <c r="Z131" t="s">
        <v>59</v>
      </c>
      <c r="AA131" t="s">
        <v>60</v>
      </c>
      <c r="AB131" t="s">
        <v>60</v>
      </c>
      <c r="AC131" t="s">
        <v>61</v>
      </c>
      <c r="AD131" t="s">
        <v>59</v>
      </c>
      <c r="AE131" t="s">
        <v>60</v>
      </c>
      <c r="AF131" t="s">
        <v>61</v>
      </c>
      <c r="AG131" t="s">
        <v>59</v>
      </c>
      <c r="AH131" t="s">
        <v>61</v>
      </c>
      <c r="AI131" t="s">
        <v>60</v>
      </c>
      <c r="AJ131" t="s">
        <v>59</v>
      </c>
      <c r="AK131" t="s">
        <v>61</v>
      </c>
      <c r="AL131" t="s">
        <v>60</v>
      </c>
      <c r="AM131" t="s">
        <v>59</v>
      </c>
      <c r="AN131" t="s">
        <v>59</v>
      </c>
      <c r="AO131" t="s">
        <v>59</v>
      </c>
      <c r="AP131" t="s">
        <v>511</v>
      </c>
      <c r="AQ131" t="s">
        <v>77</v>
      </c>
      <c r="AR131" t="s">
        <v>64</v>
      </c>
      <c r="AS131" t="s">
        <v>78</v>
      </c>
      <c r="AT131" t="s">
        <v>79</v>
      </c>
      <c r="AU131" t="s">
        <v>387</v>
      </c>
      <c r="AW131" s="4">
        <f t="shared" ref="AW131:AW194" si="73">IF(OR(M131="YES", M131="Not Applicable"), AW$1, "0")</f>
        <v>6</v>
      </c>
      <c r="AX131" s="4">
        <f t="shared" ref="AX131:AX194" si="74">IF(OR(N131="YES", N131="Not Applicable"), AX$1, "0")</f>
        <v>4</v>
      </c>
      <c r="AY131" s="4">
        <f t="shared" ref="AY131:AY194" si="75">IF(OR(O131="YES", O131="Not Applicable"), AY$1, "0")</f>
        <v>4</v>
      </c>
      <c r="AZ131" s="4">
        <f t="shared" ref="AZ131:AZ194" si="76">IF(OR(P131="YES", P131="Not Applicable"), AZ$1, "0")</f>
        <v>2</v>
      </c>
      <c r="BA131" s="4">
        <f t="shared" ref="BA131:BA194" si="77">IF(OR(Q131="YES", Q131="Not Applicable"), BA$1, "0")</f>
        <v>4</v>
      </c>
      <c r="BB131" s="4" t="str">
        <f t="shared" ref="BB131:BB194" si="78">IF(OR(R131="YES", R131="Not Applicable"), BB$1, "0")</f>
        <v>0</v>
      </c>
      <c r="BC131" s="4">
        <f t="shared" ref="BC131:BC194" si="79">IF(OR(S131="YES", S131="Not Applicable"), BC$1, "0")</f>
        <v>4</v>
      </c>
      <c r="BD131" s="4">
        <f t="shared" ref="BD131:BD194" si="80">IF(OR(T131="YES", T131="Not Applicable"), BD$1, "0")</f>
        <v>2</v>
      </c>
      <c r="BE131" s="4">
        <f t="shared" ref="BE131:BE194" si="81">IF(OR(U131="YES", U131="Not Applicable"), BE$1, "0")</f>
        <v>4</v>
      </c>
      <c r="BF131" s="4">
        <f t="shared" ref="BF131:BF194" si="82">IF(OR(V131="YES", V131="Not Applicable"), BF$1, "0")</f>
        <v>2</v>
      </c>
      <c r="BG131" s="4">
        <f t="shared" ref="BG131:BG194" si="83">IF(OR(W131="YES", W131="Not Applicable"), BG$1, "0")</f>
        <v>4</v>
      </c>
      <c r="BH131" s="4">
        <f t="shared" ref="BH131:BH194" si="84">IF(OR(X131="YES", X131="Not Applicable"), BH$1, "0")</f>
        <v>4</v>
      </c>
      <c r="BI131" s="4">
        <f t="shared" ref="BI131:BI194" si="85">IF(OR(Y131="YES", Y131="Not Applicable"), BI$1, "0")</f>
        <v>4</v>
      </c>
      <c r="BJ131" s="4">
        <f t="shared" ref="BJ131:BJ194" si="86">IF(OR(Z131="YES", Z131="Not Applicable"), BJ$1, "0")</f>
        <v>2</v>
      </c>
      <c r="BK131" s="4" t="str">
        <f t="shared" ref="BK131:BK194" si="87">IF(OR(AA131="YES", AA131="Not Applicable"), BK$1, "0")</f>
        <v>0</v>
      </c>
      <c r="BL131" s="4" t="str">
        <f t="shared" ref="BL131:BL194" si="88">IF(OR(AB131="YES", AB131="Not Applicable"), BL$1, "0")</f>
        <v>0</v>
      </c>
      <c r="BM131" s="4">
        <f t="shared" ref="BM131:BM194" si="89">IF(OR(AC131="YES", AC131="Not Applicable"), BM$1, "0")</f>
        <v>4</v>
      </c>
      <c r="BN131" s="4">
        <f t="shared" ref="BN131:BN194" si="90">IF(OR(AD131="YES", AD131="Not Applicable"), BN$1, "0")</f>
        <v>4</v>
      </c>
      <c r="BO131" s="4" t="str">
        <f t="shared" ref="BO131:BO194" si="91">IF(OR(AE131="YES", AE131="Not Applicable"), BO$1, "0")</f>
        <v>0</v>
      </c>
      <c r="BP131" s="4">
        <f t="shared" ref="BP131:BP194" si="92">IF(OR(AF131="YES", AF131="Not Applicable"), BP$1, "0")</f>
        <v>4</v>
      </c>
      <c r="BQ131" s="4">
        <f t="shared" ref="BQ131:BQ194" si="93">IF(OR(AG131="YES", AG131="Not Applicable"), BQ$1, "0")</f>
        <v>6</v>
      </c>
      <c r="BR131" s="4">
        <f t="shared" ref="BR131:BR194" si="94">IF(OR(AH131="YES", AH131="Not Applicable"), BR$1, "0")</f>
        <v>4</v>
      </c>
      <c r="BS131" s="4" t="str">
        <f t="shared" ref="BS131:BS194" si="95">IF(OR(AI131="YES", AI131="Not Applicable"), BS$1, "0")</f>
        <v>0</v>
      </c>
      <c r="BT131" s="4">
        <f t="shared" ref="BT131:BT194" si="96">IF(OR(AJ131="YES", AJ131="Not Applicable"), BT$1, "0")</f>
        <v>4</v>
      </c>
      <c r="BU131" s="4">
        <f t="shared" ref="BU131:BU194" si="97">IF(OR(AK131="YES", AK131="Not Applicable"), BU$1, "0")</f>
        <v>4</v>
      </c>
      <c r="BV131" s="4" t="str">
        <f t="shared" ref="BV131:BV194" si="98">IF(OR(AL131="YES", AL131="Not Applicable"), BV$1, "0")</f>
        <v>0</v>
      </c>
      <c r="BW131" s="4">
        <f t="shared" ref="BW131:BW194" si="99">IF(OR(AM131="YES", AM131="Not Applicable"), BW$1, "0")</f>
        <v>6</v>
      </c>
      <c r="BX131" s="4">
        <f t="shared" ref="BX131:BX194" si="100">IF(OR(AN131="YES", AN131="Not Applicable"), BX$1, "0")</f>
        <v>0</v>
      </c>
      <c r="BY131" s="4">
        <f t="shared" ref="BY131:BY194" si="101">IF(OR(AO131="YES", AO131="Not Applicable"), BY$1, "0")</f>
        <v>0</v>
      </c>
      <c r="BZ131" s="37">
        <f t="shared" ref="BZ131:BZ194" si="102">SUM(AW131:BY131)</f>
        <v>82</v>
      </c>
      <c r="CA131" s="32" t="str">
        <f>VLOOKUP(J:J,'Agent wise'!A:C,3,0)</f>
        <v>Adharsh</v>
      </c>
      <c r="CB131" s="32">
        <f t="shared" ref="CB131:CB194" si="103">INT(E131)</f>
        <v>45933</v>
      </c>
      <c r="CC131" t="str">
        <f t="shared" ref="CC131:CC194" si="104">IF(BZ131&gt;=94.5, "Excellent", IF(BZ131&gt;89.5, "Good", IF(BZ131&gt;84.5, "Average", "FC")))</f>
        <v>FC</v>
      </c>
      <c r="CE131" s="32"/>
      <c r="CJ131">
        <f t="shared" si="70"/>
        <v>3</v>
      </c>
      <c r="CK131">
        <f t="shared" si="71"/>
        <v>10</v>
      </c>
      <c r="CL131">
        <f t="shared" si="72"/>
        <v>2025</v>
      </c>
    </row>
    <row r="132" spans="1:90" ht="15" customHeight="1" x14ac:dyDescent="0.35">
      <c r="A132" s="40">
        <v>45726.637384259258</v>
      </c>
      <c r="B132" t="s">
        <v>51</v>
      </c>
      <c r="C132" t="s">
        <v>214</v>
      </c>
      <c r="D132" t="s">
        <v>53</v>
      </c>
      <c r="E132" s="32">
        <v>45933</v>
      </c>
      <c r="F132" t="s">
        <v>54</v>
      </c>
      <c r="G132" s="2">
        <v>45698</v>
      </c>
      <c r="H132">
        <v>9442069343</v>
      </c>
      <c r="I132">
        <v>165</v>
      </c>
      <c r="J132" t="s">
        <v>341</v>
      </c>
      <c r="K132" t="s">
        <v>71</v>
      </c>
      <c r="L132" t="s">
        <v>72</v>
      </c>
      <c r="M132" t="s">
        <v>59</v>
      </c>
      <c r="N132" t="s">
        <v>59</v>
      </c>
      <c r="O132" t="s">
        <v>59</v>
      </c>
      <c r="P132" t="s">
        <v>59</v>
      </c>
      <c r="Q132" t="s">
        <v>59</v>
      </c>
      <c r="R132" t="s">
        <v>59</v>
      </c>
      <c r="S132" t="s">
        <v>59</v>
      </c>
      <c r="T132" t="s">
        <v>59</v>
      </c>
      <c r="U132" t="s">
        <v>59</v>
      </c>
      <c r="V132" t="s">
        <v>59</v>
      </c>
      <c r="W132" t="s">
        <v>59</v>
      </c>
      <c r="X132" t="s">
        <v>59</v>
      </c>
      <c r="Y132" t="s">
        <v>59</v>
      </c>
      <c r="Z132" t="s">
        <v>59</v>
      </c>
      <c r="AA132" t="s">
        <v>60</v>
      </c>
      <c r="AB132" t="s">
        <v>60</v>
      </c>
      <c r="AC132" t="s">
        <v>60</v>
      </c>
      <c r="AD132" t="s">
        <v>59</v>
      </c>
      <c r="AE132" t="s">
        <v>59</v>
      </c>
      <c r="AF132" t="s">
        <v>61</v>
      </c>
      <c r="AG132" t="s">
        <v>60</v>
      </c>
      <c r="AH132" t="s">
        <v>61</v>
      </c>
      <c r="AI132" t="s">
        <v>61</v>
      </c>
      <c r="AJ132" t="s">
        <v>59</v>
      </c>
      <c r="AK132" t="s">
        <v>61</v>
      </c>
      <c r="AL132" t="s">
        <v>60</v>
      </c>
      <c r="AM132" t="s">
        <v>59</v>
      </c>
      <c r="AN132" t="s">
        <v>59</v>
      </c>
      <c r="AO132" t="s">
        <v>59</v>
      </c>
      <c r="AP132" t="s">
        <v>512</v>
      </c>
      <c r="AQ132" t="s">
        <v>513</v>
      </c>
      <c r="AR132" t="s">
        <v>64</v>
      </c>
      <c r="AS132" t="s">
        <v>83</v>
      </c>
      <c r="AT132" t="s">
        <v>514</v>
      </c>
      <c r="AU132" t="s">
        <v>515</v>
      </c>
      <c r="AW132" s="4">
        <f t="shared" si="73"/>
        <v>6</v>
      </c>
      <c r="AX132" s="4">
        <f t="shared" si="74"/>
        <v>4</v>
      </c>
      <c r="AY132" s="4">
        <f t="shared" si="75"/>
        <v>4</v>
      </c>
      <c r="AZ132" s="4">
        <f t="shared" si="76"/>
        <v>2</v>
      </c>
      <c r="BA132" s="4">
        <f t="shared" si="77"/>
        <v>4</v>
      </c>
      <c r="BB132" s="4">
        <f t="shared" si="78"/>
        <v>4</v>
      </c>
      <c r="BC132" s="4">
        <f t="shared" si="79"/>
        <v>4</v>
      </c>
      <c r="BD132" s="4">
        <f t="shared" si="80"/>
        <v>2</v>
      </c>
      <c r="BE132" s="4">
        <f t="shared" si="81"/>
        <v>4</v>
      </c>
      <c r="BF132" s="4">
        <f t="shared" si="82"/>
        <v>2</v>
      </c>
      <c r="BG132" s="4">
        <f t="shared" si="83"/>
        <v>4</v>
      </c>
      <c r="BH132" s="4">
        <f t="shared" si="84"/>
        <v>4</v>
      </c>
      <c r="BI132" s="4">
        <f t="shared" si="85"/>
        <v>4</v>
      </c>
      <c r="BJ132" s="4">
        <f t="shared" si="86"/>
        <v>2</v>
      </c>
      <c r="BK132" s="4" t="str">
        <f t="shared" si="87"/>
        <v>0</v>
      </c>
      <c r="BL132" s="4" t="str">
        <f t="shared" si="88"/>
        <v>0</v>
      </c>
      <c r="BM132" s="4" t="str">
        <f t="shared" si="89"/>
        <v>0</v>
      </c>
      <c r="BN132" s="4">
        <f t="shared" si="90"/>
        <v>4</v>
      </c>
      <c r="BO132" s="4">
        <f t="shared" si="91"/>
        <v>4</v>
      </c>
      <c r="BP132" s="4">
        <f t="shared" si="92"/>
        <v>4</v>
      </c>
      <c r="BQ132" s="4" t="str">
        <f t="shared" si="93"/>
        <v>0</v>
      </c>
      <c r="BR132" s="4">
        <f t="shared" si="94"/>
        <v>4</v>
      </c>
      <c r="BS132" s="4">
        <f t="shared" si="95"/>
        <v>4</v>
      </c>
      <c r="BT132" s="4">
        <f t="shared" si="96"/>
        <v>4</v>
      </c>
      <c r="BU132" s="4">
        <f t="shared" si="97"/>
        <v>4</v>
      </c>
      <c r="BV132" s="4" t="str">
        <f t="shared" si="98"/>
        <v>0</v>
      </c>
      <c r="BW132" s="4">
        <f t="shared" si="99"/>
        <v>6</v>
      </c>
      <c r="BX132" s="4">
        <f t="shared" si="100"/>
        <v>0</v>
      </c>
      <c r="BY132" s="4">
        <f t="shared" si="101"/>
        <v>0</v>
      </c>
      <c r="BZ132" s="37">
        <f t="shared" si="102"/>
        <v>84</v>
      </c>
      <c r="CA132" s="32" t="str">
        <f>VLOOKUP(J:J,'Agent wise'!A:C,3,0)</f>
        <v>Adharsh</v>
      </c>
      <c r="CB132" s="32">
        <f t="shared" si="103"/>
        <v>45933</v>
      </c>
      <c r="CC132" t="str">
        <f t="shared" si="104"/>
        <v>FC</v>
      </c>
      <c r="CE132" s="32"/>
      <c r="CJ132">
        <f t="shared" ref="CJ132:CJ195" si="105">DAY(E132)</f>
        <v>3</v>
      </c>
      <c r="CK132">
        <f t="shared" ref="CK132:CK195" si="106">MONTH(E132)</f>
        <v>10</v>
      </c>
      <c r="CL132">
        <f t="shared" ref="CL132:CL195" si="107">YEAR(E132)</f>
        <v>2025</v>
      </c>
    </row>
    <row r="133" spans="1:90" ht="15" customHeight="1" x14ac:dyDescent="0.35">
      <c r="A133" s="40">
        <v>45726.638055555559</v>
      </c>
      <c r="B133" t="s">
        <v>100</v>
      </c>
      <c r="C133" t="s">
        <v>214</v>
      </c>
      <c r="D133" t="s">
        <v>101</v>
      </c>
      <c r="E133" s="32">
        <v>45933</v>
      </c>
      <c r="F133" t="s">
        <v>222</v>
      </c>
      <c r="G133" s="2">
        <v>45698</v>
      </c>
      <c r="H133">
        <v>9995126290</v>
      </c>
      <c r="I133">
        <v>132</v>
      </c>
      <c r="J133" t="s">
        <v>246</v>
      </c>
      <c r="K133" t="s">
        <v>57</v>
      </c>
      <c r="L133" t="s">
        <v>58</v>
      </c>
      <c r="M133" t="s">
        <v>59</v>
      </c>
      <c r="N133" t="s">
        <v>59</v>
      </c>
      <c r="O133" t="s">
        <v>59</v>
      </c>
      <c r="P133" t="s">
        <v>59</v>
      </c>
      <c r="Q133" t="s">
        <v>59</v>
      </c>
      <c r="R133" t="s">
        <v>59</v>
      </c>
      <c r="S133" t="s">
        <v>59</v>
      </c>
      <c r="T133" t="s">
        <v>59</v>
      </c>
      <c r="U133" t="s">
        <v>59</v>
      </c>
      <c r="V133" t="s">
        <v>59</v>
      </c>
      <c r="W133" t="s">
        <v>59</v>
      </c>
      <c r="X133" t="s">
        <v>59</v>
      </c>
      <c r="Y133" t="s">
        <v>59</v>
      </c>
      <c r="Z133" t="s">
        <v>59</v>
      </c>
      <c r="AA133" t="s">
        <v>59</v>
      </c>
      <c r="AB133" t="s">
        <v>59</v>
      </c>
      <c r="AC133" t="s">
        <v>59</v>
      </c>
      <c r="AD133" t="s">
        <v>59</v>
      </c>
      <c r="AE133" t="s">
        <v>59</v>
      </c>
      <c r="AF133" t="s">
        <v>59</v>
      </c>
      <c r="AG133" t="s">
        <v>59</v>
      </c>
      <c r="AH133" t="s">
        <v>59</v>
      </c>
      <c r="AI133" t="s">
        <v>60</v>
      </c>
      <c r="AJ133" t="s">
        <v>59</v>
      </c>
      <c r="AK133" t="s">
        <v>59</v>
      </c>
      <c r="AL133" t="s">
        <v>59</v>
      </c>
      <c r="AM133" t="s">
        <v>59</v>
      </c>
      <c r="AN133" t="s">
        <v>59</v>
      </c>
      <c r="AO133" t="s">
        <v>59</v>
      </c>
      <c r="AP133" s="1" t="s">
        <v>516</v>
      </c>
      <c r="AQ133" s="1" t="s">
        <v>517</v>
      </c>
      <c r="AR133" t="s">
        <v>226</v>
      </c>
      <c r="AS133" t="s">
        <v>352</v>
      </c>
      <c r="AT133" t="s">
        <v>352</v>
      </c>
      <c r="AU133" t="s">
        <v>518</v>
      </c>
      <c r="AW133" s="4">
        <f t="shared" si="73"/>
        <v>6</v>
      </c>
      <c r="AX133" s="4">
        <f t="shared" si="74"/>
        <v>4</v>
      </c>
      <c r="AY133" s="4">
        <f t="shared" si="75"/>
        <v>4</v>
      </c>
      <c r="AZ133" s="4">
        <f t="shared" si="76"/>
        <v>2</v>
      </c>
      <c r="BA133" s="4">
        <f t="shared" si="77"/>
        <v>4</v>
      </c>
      <c r="BB133" s="4">
        <f t="shared" si="78"/>
        <v>4</v>
      </c>
      <c r="BC133" s="4">
        <f t="shared" si="79"/>
        <v>4</v>
      </c>
      <c r="BD133" s="4">
        <f t="shared" si="80"/>
        <v>2</v>
      </c>
      <c r="BE133" s="4">
        <f t="shared" si="81"/>
        <v>4</v>
      </c>
      <c r="BF133" s="4">
        <f t="shared" si="82"/>
        <v>2</v>
      </c>
      <c r="BG133" s="4">
        <f t="shared" si="83"/>
        <v>4</v>
      </c>
      <c r="BH133" s="4">
        <f t="shared" si="84"/>
        <v>4</v>
      </c>
      <c r="BI133" s="4">
        <f t="shared" si="85"/>
        <v>4</v>
      </c>
      <c r="BJ133" s="4">
        <f t="shared" si="86"/>
        <v>2</v>
      </c>
      <c r="BK133" s="4">
        <f t="shared" si="87"/>
        <v>4</v>
      </c>
      <c r="BL133" s="4">
        <f t="shared" si="88"/>
        <v>2</v>
      </c>
      <c r="BM133" s="4">
        <f t="shared" si="89"/>
        <v>4</v>
      </c>
      <c r="BN133" s="4">
        <f t="shared" si="90"/>
        <v>4</v>
      </c>
      <c r="BO133" s="4">
        <f t="shared" si="91"/>
        <v>4</v>
      </c>
      <c r="BP133" s="4">
        <f t="shared" si="92"/>
        <v>4</v>
      </c>
      <c r="BQ133" s="4">
        <f t="shared" si="93"/>
        <v>6</v>
      </c>
      <c r="BR133" s="4">
        <f t="shared" si="94"/>
        <v>4</v>
      </c>
      <c r="BS133" s="4" t="str">
        <f t="shared" si="95"/>
        <v>0</v>
      </c>
      <c r="BT133" s="4">
        <f t="shared" si="96"/>
        <v>4</v>
      </c>
      <c r="BU133" s="4">
        <f t="shared" si="97"/>
        <v>4</v>
      </c>
      <c r="BV133" s="4">
        <f t="shared" si="98"/>
        <v>0</v>
      </c>
      <c r="BW133" s="4">
        <f t="shared" si="99"/>
        <v>6</v>
      </c>
      <c r="BX133" s="4">
        <f t="shared" si="100"/>
        <v>0</v>
      </c>
      <c r="BY133" s="4">
        <f t="shared" si="101"/>
        <v>0</v>
      </c>
      <c r="BZ133" s="37">
        <f t="shared" si="102"/>
        <v>96</v>
      </c>
      <c r="CA133" s="32" t="str">
        <f>VLOOKUP(J:J,'Agent wise'!A:C,3,0)</f>
        <v>Amal</v>
      </c>
      <c r="CB133" s="32">
        <f t="shared" si="103"/>
        <v>45933</v>
      </c>
      <c r="CC133" t="str">
        <f t="shared" si="104"/>
        <v>Excellent</v>
      </c>
      <c r="CE133" s="32"/>
      <c r="CJ133">
        <f t="shared" si="105"/>
        <v>3</v>
      </c>
      <c r="CK133">
        <f t="shared" si="106"/>
        <v>10</v>
      </c>
      <c r="CL133">
        <f t="shared" si="107"/>
        <v>2025</v>
      </c>
    </row>
    <row r="134" spans="1:90" ht="15" customHeight="1" x14ac:dyDescent="0.35">
      <c r="A134" s="40">
        <v>45726.639791666668</v>
      </c>
      <c r="B134" t="s">
        <v>51</v>
      </c>
      <c r="C134" t="s">
        <v>214</v>
      </c>
      <c r="D134" t="s">
        <v>53</v>
      </c>
      <c r="E134" s="32">
        <v>45933</v>
      </c>
      <c r="F134" t="s">
        <v>54</v>
      </c>
      <c r="G134" s="2">
        <v>45698</v>
      </c>
      <c r="H134">
        <v>9496774745</v>
      </c>
      <c r="I134">
        <v>159</v>
      </c>
      <c r="J134" t="s">
        <v>519</v>
      </c>
      <c r="K134" t="s">
        <v>57</v>
      </c>
      <c r="L134" t="s">
        <v>58</v>
      </c>
      <c r="M134" t="s">
        <v>59</v>
      </c>
      <c r="N134" t="s">
        <v>59</v>
      </c>
      <c r="O134" t="s">
        <v>59</v>
      </c>
      <c r="P134" t="s">
        <v>59</v>
      </c>
      <c r="Q134" t="s">
        <v>59</v>
      </c>
      <c r="R134" t="s">
        <v>60</v>
      </c>
      <c r="S134" t="s">
        <v>59</v>
      </c>
      <c r="T134" t="s">
        <v>59</v>
      </c>
      <c r="U134" t="s">
        <v>59</v>
      </c>
      <c r="V134" t="s">
        <v>59</v>
      </c>
      <c r="W134" t="s">
        <v>59</v>
      </c>
      <c r="X134" t="s">
        <v>59</v>
      </c>
      <c r="Y134" t="s">
        <v>59</v>
      </c>
      <c r="Z134" t="s">
        <v>59</v>
      </c>
      <c r="AA134" t="s">
        <v>60</v>
      </c>
      <c r="AB134" t="s">
        <v>60</v>
      </c>
      <c r="AC134" t="s">
        <v>60</v>
      </c>
      <c r="AD134" t="s">
        <v>59</v>
      </c>
      <c r="AE134" t="s">
        <v>59</v>
      </c>
      <c r="AF134" t="s">
        <v>61</v>
      </c>
      <c r="AG134" t="s">
        <v>59</v>
      </c>
      <c r="AH134" t="s">
        <v>61</v>
      </c>
      <c r="AI134" t="s">
        <v>60</v>
      </c>
      <c r="AJ134" t="s">
        <v>59</v>
      </c>
      <c r="AK134" t="s">
        <v>61</v>
      </c>
      <c r="AL134" t="s">
        <v>60</v>
      </c>
      <c r="AM134" t="s">
        <v>59</v>
      </c>
      <c r="AN134" t="s">
        <v>59</v>
      </c>
      <c r="AO134" t="s">
        <v>59</v>
      </c>
      <c r="AP134" t="s">
        <v>520</v>
      </c>
      <c r="AQ134" t="s">
        <v>506</v>
      </c>
      <c r="AR134" t="s">
        <v>64</v>
      </c>
      <c r="AS134" t="s">
        <v>65</v>
      </c>
      <c r="AT134" t="s">
        <v>79</v>
      </c>
      <c r="AU134" t="s">
        <v>299</v>
      </c>
      <c r="AW134" s="4">
        <f t="shared" si="73"/>
        <v>6</v>
      </c>
      <c r="AX134" s="4">
        <f t="shared" si="74"/>
        <v>4</v>
      </c>
      <c r="AY134" s="4">
        <f t="shared" si="75"/>
        <v>4</v>
      </c>
      <c r="AZ134" s="4">
        <f t="shared" si="76"/>
        <v>2</v>
      </c>
      <c r="BA134" s="4">
        <f t="shared" si="77"/>
        <v>4</v>
      </c>
      <c r="BB134" s="4" t="str">
        <f t="shared" si="78"/>
        <v>0</v>
      </c>
      <c r="BC134" s="4">
        <f t="shared" si="79"/>
        <v>4</v>
      </c>
      <c r="BD134" s="4">
        <f t="shared" si="80"/>
        <v>2</v>
      </c>
      <c r="BE134" s="4">
        <f t="shared" si="81"/>
        <v>4</v>
      </c>
      <c r="BF134" s="4">
        <f t="shared" si="82"/>
        <v>2</v>
      </c>
      <c r="BG134" s="4">
        <f t="shared" si="83"/>
        <v>4</v>
      </c>
      <c r="BH134" s="4">
        <f t="shared" si="84"/>
        <v>4</v>
      </c>
      <c r="BI134" s="4">
        <f t="shared" si="85"/>
        <v>4</v>
      </c>
      <c r="BJ134" s="4">
        <f t="shared" si="86"/>
        <v>2</v>
      </c>
      <c r="BK134" s="4" t="str">
        <f t="shared" si="87"/>
        <v>0</v>
      </c>
      <c r="BL134" s="4" t="str">
        <f t="shared" si="88"/>
        <v>0</v>
      </c>
      <c r="BM134" s="4" t="str">
        <f t="shared" si="89"/>
        <v>0</v>
      </c>
      <c r="BN134" s="4">
        <f t="shared" si="90"/>
        <v>4</v>
      </c>
      <c r="BO134" s="4">
        <f t="shared" si="91"/>
        <v>4</v>
      </c>
      <c r="BP134" s="4">
        <f t="shared" si="92"/>
        <v>4</v>
      </c>
      <c r="BQ134" s="4">
        <f t="shared" si="93"/>
        <v>6</v>
      </c>
      <c r="BR134" s="4">
        <f t="shared" si="94"/>
        <v>4</v>
      </c>
      <c r="BS134" s="4" t="str">
        <f t="shared" si="95"/>
        <v>0</v>
      </c>
      <c r="BT134" s="4">
        <f t="shared" si="96"/>
        <v>4</v>
      </c>
      <c r="BU134" s="4">
        <f t="shared" si="97"/>
        <v>4</v>
      </c>
      <c r="BV134" s="4" t="str">
        <f t="shared" si="98"/>
        <v>0</v>
      </c>
      <c r="BW134" s="4">
        <f t="shared" si="99"/>
        <v>6</v>
      </c>
      <c r="BX134" s="4">
        <f t="shared" si="100"/>
        <v>0</v>
      </c>
      <c r="BY134" s="4">
        <f t="shared" si="101"/>
        <v>0</v>
      </c>
      <c r="BZ134" s="37">
        <f t="shared" si="102"/>
        <v>82</v>
      </c>
      <c r="CA134" s="32" t="str">
        <f>VLOOKUP(J:J,'Agent wise'!A:C,3,0)</f>
        <v>Adharsh</v>
      </c>
      <c r="CB134" s="32">
        <f t="shared" si="103"/>
        <v>45933</v>
      </c>
      <c r="CC134" t="str">
        <f t="shared" si="104"/>
        <v>FC</v>
      </c>
      <c r="CE134" s="32"/>
      <c r="CJ134">
        <f t="shared" si="105"/>
        <v>3</v>
      </c>
      <c r="CK134">
        <f t="shared" si="106"/>
        <v>10</v>
      </c>
      <c r="CL134">
        <f t="shared" si="107"/>
        <v>2025</v>
      </c>
    </row>
    <row r="135" spans="1:90" ht="15" customHeight="1" x14ac:dyDescent="0.35">
      <c r="A135" s="40">
        <v>45726.648356481477</v>
      </c>
      <c r="B135" t="s">
        <v>51</v>
      </c>
      <c r="C135" t="s">
        <v>214</v>
      </c>
      <c r="D135" t="s">
        <v>53</v>
      </c>
      <c r="E135" s="32">
        <v>45933</v>
      </c>
      <c r="F135" t="s">
        <v>54</v>
      </c>
      <c r="G135" s="2">
        <v>45698</v>
      </c>
      <c r="H135">
        <v>8903774546</v>
      </c>
      <c r="I135">
        <v>167</v>
      </c>
      <c r="J135" t="s">
        <v>521</v>
      </c>
      <c r="K135" t="s">
        <v>71</v>
      </c>
      <c r="L135" t="s">
        <v>72</v>
      </c>
      <c r="M135" t="s">
        <v>59</v>
      </c>
      <c r="N135" t="s">
        <v>59</v>
      </c>
      <c r="O135" t="s">
        <v>59</v>
      </c>
      <c r="P135" t="s">
        <v>59</v>
      </c>
      <c r="Q135" t="s">
        <v>59</v>
      </c>
      <c r="R135" t="s">
        <v>59</v>
      </c>
      <c r="S135" t="s">
        <v>59</v>
      </c>
      <c r="T135" t="s">
        <v>59</v>
      </c>
      <c r="U135" t="s">
        <v>59</v>
      </c>
      <c r="V135" t="s">
        <v>59</v>
      </c>
      <c r="W135" t="s">
        <v>59</v>
      </c>
      <c r="X135" t="s">
        <v>59</v>
      </c>
      <c r="Y135" t="s">
        <v>59</v>
      </c>
      <c r="Z135" t="s">
        <v>59</v>
      </c>
      <c r="AA135" t="s">
        <v>60</v>
      </c>
      <c r="AB135" t="s">
        <v>61</v>
      </c>
      <c r="AC135" t="s">
        <v>60</v>
      </c>
      <c r="AD135" t="s">
        <v>59</v>
      </c>
      <c r="AE135" t="s">
        <v>59</v>
      </c>
      <c r="AF135" t="s">
        <v>59</v>
      </c>
      <c r="AG135" t="s">
        <v>59</v>
      </c>
      <c r="AH135" t="s">
        <v>61</v>
      </c>
      <c r="AI135" t="s">
        <v>61</v>
      </c>
      <c r="AJ135" t="s">
        <v>59</v>
      </c>
      <c r="AK135" t="s">
        <v>61</v>
      </c>
      <c r="AL135" t="s">
        <v>60</v>
      </c>
      <c r="AM135" t="s">
        <v>59</v>
      </c>
      <c r="AN135" t="s">
        <v>59</v>
      </c>
      <c r="AO135" t="s">
        <v>59</v>
      </c>
      <c r="AP135" t="s">
        <v>522</v>
      </c>
      <c r="AQ135" s="1" t="s">
        <v>523</v>
      </c>
      <c r="AR135" t="s">
        <v>64</v>
      </c>
      <c r="AS135" t="s">
        <v>524</v>
      </c>
      <c r="AT135" t="s">
        <v>525</v>
      </c>
      <c r="AU135" t="s">
        <v>299</v>
      </c>
      <c r="AW135" s="4">
        <f t="shared" si="73"/>
        <v>6</v>
      </c>
      <c r="AX135" s="4">
        <f t="shared" si="74"/>
        <v>4</v>
      </c>
      <c r="AY135" s="4">
        <f t="shared" si="75"/>
        <v>4</v>
      </c>
      <c r="AZ135" s="4">
        <f t="shared" si="76"/>
        <v>2</v>
      </c>
      <c r="BA135" s="4">
        <f t="shared" si="77"/>
        <v>4</v>
      </c>
      <c r="BB135" s="4">
        <f t="shared" si="78"/>
        <v>4</v>
      </c>
      <c r="BC135" s="4">
        <f t="shared" si="79"/>
        <v>4</v>
      </c>
      <c r="BD135" s="4">
        <f t="shared" si="80"/>
        <v>2</v>
      </c>
      <c r="BE135" s="4">
        <f t="shared" si="81"/>
        <v>4</v>
      </c>
      <c r="BF135" s="4">
        <f t="shared" si="82"/>
        <v>2</v>
      </c>
      <c r="BG135" s="4">
        <f t="shared" si="83"/>
        <v>4</v>
      </c>
      <c r="BH135" s="4">
        <f t="shared" si="84"/>
        <v>4</v>
      </c>
      <c r="BI135" s="4">
        <f t="shared" si="85"/>
        <v>4</v>
      </c>
      <c r="BJ135" s="4">
        <f t="shared" si="86"/>
        <v>2</v>
      </c>
      <c r="BK135" s="4" t="str">
        <f t="shared" si="87"/>
        <v>0</v>
      </c>
      <c r="BL135" s="4">
        <f t="shared" si="88"/>
        <v>2</v>
      </c>
      <c r="BM135" s="4" t="str">
        <f t="shared" si="89"/>
        <v>0</v>
      </c>
      <c r="BN135" s="4">
        <f t="shared" si="90"/>
        <v>4</v>
      </c>
      <c r="BO135" s="4">
        <f t="shared" si="91"/>
        <v>4</v>
      </c>
      <c r="BP135" s="4">
        <f t="shared" si="92"/>
        <v>4</v>
      </c>
      <c r="BQ135" s="4">
        <f t="shared" si="93"/>
        <v>6</v>
      </c>
      <c r="BR135" s="4">
        <f t="shared" si="94"/>
        <v>4</v>
      </c>
      <c r="BS135" s="4">
        <f t="shared" si="95"/>
        <v>4</v>
      </c>
      <c r="BT135" s="4">
        <f t="shared" si="96"/>
        <v>4</v>
      </c>
      <c r="BU135" s="4">
        <f t="shared" si="97"/>
        <v>4</v>
      </c>
      <c r="BV135" s="4" t="str">
        <f t="shared" si="98"/>
        <v>0</v>
      </c>
      <c r="BW135" s="4">
        <f t="shared" si="99"/>
        <v>6</v>
      </c>
      <c r="BX135" s="4">
        <f t="shared" si="100"/>
        <v>0</v>
      </c>
      <c r="BY135" s="4">
        <f t="shared" si="101"/>
        <v>0</v>
      </c>
      <c r="BZ135" s="37">
        <f t="shared" si="102"/>
        <v>92</v>
      </c>
      <c r="CA135" s="32" t="str">
        <f>VLOOKUP(J:J,'Agent wise'!A:C,3,0)</f>
        <v>Adharsh</v>
      </c>
      <c r="CB135" s="32">
        <f t="shared" si="103"/>
        <v>45933</v>
      </c>
      <c r="CC135" t="str">
        <f t="shared" si="104"/>
        <v>Good</v>
      </c>
      <c r="CE135" s="32"/>
      <c r="CJ135">
        <f t="shared" si="105"/>
        <v>3</v>
      </c>
      <c r="CK135">
        <f t="shared" si="106"/>
        <v>10</v>
      </c>
      <c r="CL135">
        <f t="shared" si="107"/>
        <v>2025</v>
      </c>
    </row>
    <row r="136" spans="1:90" ht="15" customHeight="1" x14ac:dyDescent="0.35">
      <c r="A136" s="40">
        <v>45726.657534722217</v>
      </c>
      <c r="B136" t="s">
        <v>100</v>
      </c>
      <c r="C136" t="s">
        <v>214</v>
      </c>
      <c r="D136" t="s">
        <v>101</v>
      </c>
      <c r="E136" s="32">
        <v>45933</v>
      </c>
      <c r="F136" t="s">
        <v>222</v>
      </c>
      <c r="G136" s="2">
        <v>45698</v>
      </c>
      <c r="H136">
        <v>9841681198</v>
      </c>
      <c r="I136">
        <v>147</v>
      </c>
      <c r="J136" t="s">
        <v>246</v>
      </c>
      <c r="K136" t="s">
        <v>71</v>
      </c>
      <c r="L136" t="s">
        <v>72</v>
      </c>
      <c r="M136" t="s">
        <v>59</v>
      </c>
      <c r="N136" t="s">
        <v>59</v>
      </c>
      <c r="O136" t="s">
        <v>59</v>
      </c>
      <c r="P136" t="s">
        <v>59</v>
      </c>
      <c r="Q136" t="s">
        <v>59</v>
      </c>
      <c r="R136" t="s">
        <v>59</v>
      </c>
      <c r="S136" t="s">
        <v>59</v>
      </c>
      <c r="T136" t="s">
        <v>59</v>
      </c>
      <c r="U136" t="s">
        <v>59</v>
      </c>
      <c r="V136" t="s">
        <v>59</v>
      </c>
      <c r="W136" t="s">
        <v>59</v>
      </c>
      <c r="X136" t="s">
        <v>59</v>
      </c>
      <c r="Y136" t="s">
        <v>59</v>
      </c>
      <c r="Z136" t="s">
        <v>59</v>
      </c>
      <c r="AA136" t="s">
        <v>59</v>
      </c>
      <c r="AB136" t="s">
        <v>60</v>
      </c>
      <c r="AC136" t="s">
        <v>59</v>
      </c>
      <c r="AD136" t="s">
        <v>59</v>
      </c>
      <c r="AE136" t="s">
        <v>59</v>
      </c>
      <c r="AF136" t="s">
        <v>59</v>
      </c>
      <c r="AG136" t="s">
        <v>59</v>
      </c>
      <c r="AH136" t="s">
        <v>59</v>
      </c>
      <c r="AI136" t="s">
        <v>61</v>
      </c>
      <c r="AJ136" t="s">
        <v>59</v>
      </c>
      <c r="AK136" t="s">
        <v>59</v>
      </c>
      <c r="AL136" t="s">
        <v>59</v>
      </c>
      <c r="AM136" t="s">
        <v>59</v>
      </c>
      <c r="AN136" t="s">
        <v>59</v>
      </c>
      <c r="AO136" t="s">
        <v>59</v>
      </c>
      <c r="AP136" t="s">
        <v>526</v>
      </c>
      <c r="AQ136" s="1" t="s">
        <v>527</v>
      </c>
      <c r="AR136" t="s">
        <v>226</v>
      </c>
      <c r="AS136" t="s">
        <v>352</v>
      </c>
      <c r="AT136" t="s">
        <v>352</v>
      </c>
      <c r="AU136" t="s">
        <v>219</v>
      </c>
      <c r="AW136" s="4">
        <f t="shared" si="73"/>
        <v>6</v>
      </c>
      <c r="AX136" s="4">
        <f t="shared" si="74"/>
        <v>4</v>
      </c>
      <c r="AY136" s="4">
        <f t="shared" si="75"/>
        <v>4</v>
      </c>
      <c r="AZ136" s="4">
        <f t="shared" si="76"/>
        <v>2</v>
      </c>
      <c r="BA136" s="4">
        <f t="shared" si="77"/>
        <v>4</v>
      </c>
      <c r="BB136" s="4">
        <f t="shared" si="78"/>
        <v>4</v>
      </c>
      <c r="BC136" s="4">
        <f t="shared" si="79"/>
        <v>4</v>
      </c>
      <c r="BD136" s="4">
        <f t="shared" si="80"/>
        <v>2</v>
      </c>
      <c r="BE136" s="4">
        <f t="shared" si="81"/>
        <v>4</v>
      </c>
      <c r="BF136" s="4">
        <f t="shared" si="82"/>
        <v>2</v>
      </c>
      <c r="BG136" s="4">
        <f t="shared" si="83"/>
        <v>4</v>
      </c>
      <c r="BH136" s="4">
        <f t="shared" si="84"/>
        <v>4</v>
      </c>
      <c r="BI136" s="4">
        <f t="shared" si="85"/>
        <v>4</v>
      </c>
      <c r="BJ136" s="4">
        <f t="shared" si="86"/>
        <v>2</v>
      </c>
      <c r="BK136" s="4">
        <f t="shared" si="87"/>
        <v>4</v>
      </c>
      <c r="BL136" s="4" t="str">
        <f t="shared" si="88"/>
        <v>0</v>
      </c>
      <c r="BM136" s="4">
        <f t="shared" si="89"/>
        <v>4</v>
      </c>
      <c r="BN136" s="4">
        <f t="shared" si="90"/>
        <v>4</v>
      </c>
      <c r="BO136" s="4">
        <f t="shared" si="91"/>
        <v>4</v>
      </c>
      <c r="BP136" s="4">
        <f t="shared" si="92"/>
        <v>4</v>
      </c>
      <c r="BQ136" s="4">
        <f t="shared" si="93"/>
        <v>6</v>
      </c>
      <c r="BR136" s="4">
        <f t="shared" si="94"/>
        <v>4</v>
      </c>
      <c r="BS136" s="4">
        <f t="shared" si="95"/>
        <v>4</v>
      </c>
      <c r="BT136" s="4">
        <f t="shared" si="96"/>
        <v>4</v>
      </c>
      <c r="BU136" s="4">
        <f t="shared" si="97"/>
        <v>4</v>
      </c>
      <c r="BV136" s="4">
        <f t="shared" si="98"/>
        <v>0</v>
      </c>
      <c r="BW136" s="4">
        <f t="shared" si="99"/>
        <v>6</v>
      </c>
      <c r="BX136" s="4">
        <f t="shared" si="100"/>
        <v>0</v>
      </c>
      <c r="BY136" s="4">
        <f t="shared" si="101"/>
        <v>0</v>
      </c>
      <c r="BZ136" s="37">
        <f t="shared" si="102"/>
        <v>98</v>
      </c>
      <c r="CA136" s="32" t="str">
        <f>VLOOKUP(J:J,'Agent wise'!A:C,3,0)</f>
        <v>Amal</v>
      </c>
      <c r="CB136" s="32">
        <f t="shared" si="103"/>
        <v>45933</v>
      </c>
      <c r="CC136" t="str">
        <f t="shared" si="104"/>
        <v>Excellent</v>
      </c>
      <c r="CE136" s="32"/>
      <c r="CJ136">
        <f t="shared" si="105"/>
        <v>3</v>
      </c>
      <c r="CK136">
        <f t="shared" si="106"/>
        <v>10</v>
      </c>
      <c r="CL136">
        <f t="shared" si="107"/>
        <v>2025</v>
      </c>
    </row>
    <row r="137" spans="1:90" ht="15" customHeight="1" x14ac:dyDescent="0.35">
      <c r="A137" s="40">
        <v>45726.662731481483</v>
      </c>
      <c r="B137" t="s">
        <v>51</v>
      </c>
      <c r="C137" t="s">
        <v>214</v>
      </c>
      <c r="D137" t="s">
        <v>53</v>
      </c>
      <c r="E137" s="32">
        <v>45933</v>
      </c>
      <c r="F137" t="s">
        <v>54</v>
      </c>
      <c r="G137" s="2">
        <v>45698</v>
      </c>
      <c r="H137">
        <v>9745718491</v>
      </c>
      <c r="I137">
        <v>140</v>
      </c>
      <c r="J137" t="s">
        <v>528</v>
      </c>
      <c r="K137" t="s">
        <v>57</v>
      </c>
      <c r="L137" t="s">
        <v>58</v>
      </c>
      <c r="M137" t="s">
        <v>59</v>
      </c>
      <c r="N137" t="s">
        <v>59</v>
      </c>
      <c r="O137" t="s">
        <v>59</v>
      </c>
      <c r="P137" t="s">
        <v>59</v>
      </c>
      <c r="Q137" t="s">
        <v>59</v>
      </c>
      <c r="R137" t="s">
        <v>60</v>
      </c>
      <c r="S137" t="s">
        <v>59</v>
      </c>
      <c r="T137" t="s">
        <v>59</v>
      </c>
      <c r="U137" t="s">
        <v>59</v>
      </c>
      <c r="V137" t="s">
        <v>59</v>
      </c>
      <c r="W137" t="s">
        <v>59</v>
      </c>
      <c r="X137" t="s">
        <v>59</v>
      </c>
      <c r="Y137" t="s">
        <v>59</v>
      </c>
      <c r="Z137" t="s">
        <v>59</v>
      </c>
      <c r="AA137" t="s">
        <v>59</v>
      </c>
      <c r="AB137" t="s">
        <v>59</v>
      </c>
      <c r="AC137" t="s">
        <v>61</v>
      </c>
      <c r="AD137" t="s">
        <v>59</v>
      </c>
      <c r="AE137" t="s">
        <v>59</v>
      </c>
      <c r="AF137" t="s">
        <v>61</v>
      </c>
      <c r="AG137" t="s">
        <v>59</v>
      </c>
      <c r="AH137" t="s">
        <v>61</v>
      </c>
      <c r="AI137" t="s">
        <v>61</v>
      </c>
      <c r="AJ137" t="s">
        <v>59</v>
      </c>
      <c r="AK137" t="s">
        <v>61</v>
      </c>
      <c r="AL137" t="s">
        <v>59</v>
      </c>
      <c r="AM137" t="s">
        <v>59</v>
      </c>
      <c r="AN137" t="s">
        <v>59</v>
      </c>
      <c r="AO137" t="s">
        <v>59</v>
      </c>
      <c r="AP137" t="s">
        <v>529</v>
      </c>
      <c r="AQ137" t="s">
        <v>530</v>
      </c>
      <c r="AR137" t="s">
        <v>64</v>
      </c>
      <c r="AS137" t="s">
        <v>347</v>
      </c>
      <c r="AT137" t="s">
        <v>348</v>
      </c>
      <c r="AU137" t="s">
        <v>299</v>
      </c>
      <c r="AW137" s="4">
        <f t="shared" si="73"/>
        <v>6</v>
      </c>
      <c r="AX137" s="4">
        <f t="shared" si="74"/>
        <v>4</v>
      </c>
      <c r="AY137" s="4">
        <f t="shared" si="75"/>
        <v>4</v>
      </c>
      <c r="AZ137" s="4">
        <f t="shared" si="76"/>
        <v>2</v>
      </c>
      <c r="BA137" s="4">
        <f t="shared" si="77"/>
        <v>4</v>
      </c>
      <c r="BB137" s="4" t="str">
        <f t="shared" si="78"/>
        <v>0</v>
      </c>
      <c r="BC137" s="4">
        <f t="shared" si="79"/>
        <v>4</v>
      </c>
      <c r="BD137" s="4">
        <f t="shared" si="80"/>
        <v>2</v>
      </c>
      <c r="BE137" s="4">
        <f t="shared" si="81"/>
        <v>4</v>
      </c>
      <c r="BF137" s="4">
        <f t="shared" si="82"/>
        <v>2</v>
      </c>
      <c r="BG137" s="4">
        <f t="shared" si="83"/>
        <v>4</v>
      </c>
      <c r="BH137" s="4">
        <f t="shared" si="84"/>
        <v>4</v>
      </c>
      <c r="BI137" s="4">
        <f t="shared" si="85"/>
        <v>4</v>
      </c>
      <c r="BJ137" s="4">
        <f t="shared" si="86"/>
        <v>2</v>
      </c>
      <c r="BK137" s="4">
        <f t="shared" si="87"/>
        <v>4</v>
      </c>
      <c r="BL137" s="4">
        <f t="shared" si="88"/>
        <v>2</v>
      </c>
      <c r="BM137" s="4">
        <f t="shared" si="89"/>
        <v>4</v>
      </c>
      <c r="BN137" s="4">
        <f t="shared" si="90"/>
        <v>4</v>
      </c>
      <c r="BO137" s="4">
        <f t="shared" si="91"/>
        <v>4</v>
      </c>
      <c r="BP137" s="4">
        <f t="shared" si="92"/>
        <v>4</v>
      </c>
      <c r="BQ137" s="4">
        <f t="shared" si="93"/>
        <v>6</v>
      </c>
      <c r="BR137" s="4">
        <f t="shared" si="94"/>
        <v>4</v>
      </c>
      <c r="BS137" s="4">
        <f t="shared" si="95"/>
        <v>4</v>
      </c>
      <c r="BT137" s="4">
        <f t="shared" si="96"/>
        <v>4</v>
      </c>
      <c r="BU137" s="4">
        <f t="shared" si="97"/>
        <v>4</v>
      </c>
      <c r="BV137" s="4">
        <f t="shared" si="98"/>
        <v>0</v>
      </c>
      <c r="BW137" s="4">
        <f t="shared" si="99"/>
        <v>6</v>
      </c>
      <c r="BX137" s="4">
        <f t="shared" si="100"/>
        <v>0</v>
      </c>
      <c r="BY137" s="4">
        <f t="shared" si="101"/>
        <v>0</v>
      </c>
      <c r="BZ137" s="37">
        <f t="shared" si="102"/>
        <v>96</v>
      </c>
      <c r="CA137" s="32" t="str">
        <f>VLOOKUP(J:J,'Agent wise'!A:C,3,0)</f>
        <v>Adharsh</v>
      </c>
      <c r="CB137" s="32">
        <f t="shared" si="103"/>
        <v>45933</v>
      </c>
      <c r="CC137" t="str">
        <f t="shared" si="104"/>
        <v>Excellent</v>
      </c>
      <c r="CE137" s="32"/>
      <c r="CJ137">
        <f t="shared" si="105"/>
        <v>3</v>
      </c>
      <c r="CK137">
        <f t="shared" si="106"/>
        <v>10</v>
      </c>
      <c r="CL137">
        <f t="shared" si="107"/>
        <v>2025</v>
      </c>
    </row>
    <row r="138" spans="1:90" ht="15" customHeight="1" x14ac:dyDescent="0.35">
      <c r="A138" s="40">
        <v>45726.664664351847</v>
      </c>
      <c r="B138" t="s">
        <v>51</v>
      </c>
      <c r="C138" t="s">
        <v>214</v>
      </c>
      <c r="D138" t="s">
        <v>53</v>
      </c>
      <c r="E138" s="32">
        <v>45933</v>
      </c>
      <c r="F138" t="s">
        <v>90</v>
      </c>
      <c r="G138" s="2">
        <v>45698</v>
      </c>
      <c r="H138">
        <v>9489258732</v>
      </c>
      <c r="I138">
        <v>255</v>
      </c>
      <c r="J138" t="s">
        <v>208</v>
      </c>
      <c r="K138" t="s">
        <v>71</v>
      </c>
      <c r="L138" t="s">
        <v>72</v>
      </c>
      <c r="M138" t="s">
        <v>59</v>
      </c>
      <c r="N138" t="s">
        <v>59</v>
      </c>
      <c r="O138" t="s">
        <v>59</v>
      </c>
      <c r="P138" t="s">
        <v>59</v>
      </c>
      <c r="Q138" t="s">
        <v>59</v>
      </c>
      <c r="R138" t="s">
        <v>59</v>
      </c>
      <c r="S138" t="s">
        <v>59</v>
      </c>
      <c r="T138" t="s">
        <v>59</v>
      </c>
      <c r="U138" t="s">
        <v>60</v>
      </c>
      <c r="V138" t="s">
        <v>59</v>
      </c>
      <c r="W138" t="s">
        <v>59</v>
      </c>
      <c r="X138" t="s">
        <v>59</v>
      </c>
      <c r="Y138" t="s">
        <v>59</v>
      </c>
      <c r="Z138" t="s">
        <v>59</v>
      </c>
      <c r="AA138" t="s">
        <v>59</v>
      </c>
      <c r="AB138" t="s">
        <v>60</v>
      </c>
      <c r="AC138" t="s">
        <v>61</v>
      </c>
      <c r="AD138" t="s">
        <v>59</v>
      </c>
      <c r="AE138" t="s">
        <v>59</v>
      </c>
      <c r="AF138" t="s">
        <v>61</v>
      </c>
      <c r="AG138" t="s">
        <v>59</v>
      </c>
      <c r="AH138" t="s">
        <v>61</v>
      </c>
      <c r="AI138" t="s">
        <v>61</v>
      </c>
      <c r="AJ138" t="s">
        <v>59</v>
      </c>
      <c r="AK138" t="s">
        <v>61</v>
      </c>
      <c r="AL138" t="s">
        <v>60</v>
      </c>
      <c r="AM138" t="s">
        <v>59</v>
      </c>
      <c r="AN138" t="s">
        <v>59</v>
      </c>
      <c r="AO138" t="s">
        <v>59</v>
      </c>
      <c r="AP138" t="s">
        <v>531</v>
      </c>
      <c r="AQ138" t="s">
        <v>532</v>
      </c>
      <c r="AR138" t="s">
        <v>64</v>
      </c>
      <c r="AS138" t="s">
        <v>94</v>
      </c>
      <c r="AT138" t="s">
        <v>95</v>
      </c>
      <c r="AU138" t="s">
        <v>299</v>
      </c>
      <c r="AW138" s="4">
        <f t="shared" si="73"/>
        <v>6</v>
      </c>
      <c r="AX138" s="4">
        <f t="shared" si="74"/>
        <v>4</v>
      </c>
      <c r="AY138" s="4">
        <f t="shared" si="75"/>
        <v>4</v>
      </c>
      <c r="AZ138" s="4">
        <f t="shared" si="76"/>
        <v>2</v>
      </c>
      <c r="BA138" s="4">
        <f t="shared" si="77"/>
        <v>4</v>
      </c>
      <c r="BB138" s="4">
        <f t="shared" si="78"/>
        <v>4</v>
      </c>
      <c r="BC138" s="4">
        <f t="shared" si="79"/>
        <v>4</v>
      </c>
      <c r="BD138" s="4">
        <f t="shared" si="80"/>
        <v>2</v>
      </c>
      <c r="BE138" s="4" t="str">
        <f t="shared" si="81"/>
        <v>0</v>
      </c>
      <c r="BF138" s="4">
        <f t="shared" si="82"/>
        <v>2</v>
      </c>
      <c r="BG138" s="4">
        <f t="shared" si="83"/>
        <v>4</v>
      </c>
      <c r="BH138" s="4">
        <f t="shared" si="84"/>
        <v>4</v>
      </c>
      <c r="BI138" s="4">
        <f t="shared" si="85"/>
        <v>4</v>
      </c>
      <c r="BJ138" s="4">
        <f t="shared" si="86"/>
        <v>2</v>
      </c>
      <c r="BK138" s="4">
        <f t="shared" si="87"/>
        <v>4</v>
      </c>
      <c r="BL138" s="4" t="str">
        <f t="shared" si="88"/>
        <v>0</v>
      </c>
      <c r="BM138" s="4">
        <f t="shared" si="89"/>
        <v>4</v>
      </c>
      <c r="BN138" s="4">
        <f t="shared" si="90"/>
        <v>4</v>
      </c>
      <c r="BO138" s="4">
        <f t="shared" si="91"/>
        <v>4</v>
      </c>
      <c r="BP138" s="4">
        <f t="shared" si="92"/>
        <v>4</v>
      </c>
      <c r="BQ138" s="4">
        <f t="shared" si="93"/>
        <v>6</v>
      </c>
      <c r="BR138" s="4">
        <f t="shared" si="94"/>
        <v>4</v>
      </c>
      <c r="BS138" s="4">
        <f t="shared" si="95"/>
        <v>4</v>
      </c>
      <c r="BT138" s="4">
        <f t="shared" si="96"/>
        <v>4</v>
      </c>
      <c r="BU138" s="4">
        <f t="shared" si="97"/>
        <v>4</v>
      </c>
      <c r="BV138" s="4" t="str">
        <f t="shared" si="98"/>
        <v>0</v>
      </c>
      <c r="BW138" s="4">
        <f t="shared" si="99"/>
        <v>6</v>
      </c>
      <c r="BX138" s="4">
        <f t="shared" si="100"/>
        <v>0</v>
      </c>
      <c r="BY138" s="4">
        <f t="shared" si="101"/>
        <v>0</v>
      </c>
      <c r="BZ138" s="37">
        <f t="shared" si="102"/>
        <v>94</v>
      </c>
      <c r="CA138" s="32" t="str">
        <f>VLOOKUP(J:J,'Agent wise'!A:C,3,0)</f>
        <v>Adharsh</v>
      </c>
      <c r="CB138" s="32">
        <f t="shared" si="103"/>
        <v>45933</v>
      </c>
      <c r="CC138" t="str">
        <f t="shared" si="104"/>
        <v>Good</v>
      </c>
      <c r="CE138" s="32"/>
      <c r="CJ138">
        <f t="shared" si="105"/>
        <v>3</v>
      </c>
      <c r="CK138">
        <f t="shared" si="106"/>
        <v>10</v>
      </c>
      <c r="CL138">
        <f t="shared" si="107"/>
        <v>2025</v>
      </c>
    </row>
    <row r="139" spans="1:90" ht="15" customHeight="1" x14ac:dyDescent="0.35">
      <c r="A139" s="40">
        <v>45726.66746527778</v>
      </c>
      <c r="B139" t="s">
        <v>51</v>
      </c>
      <c r="C139" t="s">
        <v>214</v>
      </c>
      <c r="D139" t="s">
        <v>53</v>
      </c>
      <c r="E139" s="32">
        <v>45933</v>
      </c>
      <c r="F139" t="s">
        <v>90</v>
      </c>
      <c r="G139" s="2">
        <v>45698</v>
      </c>
      <c r="H139">
        <v>9865468386</v>
      </c>
      <c r="I139">
        <v>206</v>
      </c>
      <c r="J139" t="s">
        <v>533</v>
      </c>
      <c r="K139" t="s">
        <v>71</v>
      </c>
      <c r="L139" t="s">
        <v>72</v>
      </c>
      <c r="M139" t="s">
        <v>59</v>
      </c>
      <c r="N139" t="s">
        <v>59</v>
      </c>
      <c r="O139" t="s">
        <v>59</v>
      </c>
      <c r="P139" t="s">
        <v>59</v>
      </c>
      <c r="Q139" t="s">
        <v>59</v>
      </c>
      <c r="R139" t="s">
        <v>59</v>
      </c>
      <c r="S139" t="s">
        <v>59</v>
      </c>
      <c r="T139" t="s">
        <v>59</v>
      </c>
      <c r="U139" t="s">
        <v>59</v>
      </c>
      <c r="V139" t="s">
        <v>59</v>
      </c>
      <c r="W139" t="s">
        <v>59</v>
      </c>
      <c r="X139" t="s">
        <v>59</v>
      </c>
      <c r="Y139" t="s">
        <v>59</v>
      </c>
      <c r="Z139" t="s">
        <v>59</v>
      </c>
      <c r="AA139" t="s">
        <v>59</v>
      </c>
      <c r="AB139" t="s">
        <v>60</v>
      </c>
      <c r="AC139" t="s">
        <v>61</v>
      </c>
      <c r="AD139" t="s">
        <v>60</v>
      </c>
      <c r="AE139" t="s">
        <v>59</v>
      </c>
      <c r="AF139" t="s">
        <v>61</v>
      </c>
      <c r="AG139" t="s">
        <v>59</v>
      </c>
      <c r="AH139" t="s">
        <v>61</v>
      </c>
      <c r="AI139" t="s">
        <v>61</v>
      </c>
      <c r="AJ139" t="s">
        <v>59</v>
      </c>
      <c r="AK139" t="s">
        <v>61</v>
      </c>
      <c r="AL139" t="s">
        <v>60</v>
      </c>
      <c r="AM139" t="s">
        <v>59</v>
      </c>
      <c r="AN139" t="s">
        <v>59</v>
      </c>
      <c r="AO139" t="s">
        <v>59</v>
      </c>
      <c r="AP139" t="s">
        <v>531</v>
      </c>
      <c r="AQ139" t="s">
        <v>532</v>
      </c>
      <c r="AR139" t="s">
        <v>64</v>
      </c>
      <c r="AS139" t="s">
        <v>210</v>
      </c>
      <c r="AT139" t="s">
        <v>534</v>
      </c>
      <c r="AU139" t="s">
        <v>448</v>
      </c>
      <c r="AW139" s="4">
        <f t="shared" si="73"/>
        <v>6</v>
      </c>
      <c r="AX139" s="4">
        <f t="shared" si="74"/>
        <v>4</v>
      </c>
      <c r="AY139" s="4">
        <f t="shared" si="75"/>
        <v>4</v>
      </c>
      <c r="AZ139" s="4">
        <f t="shared" si="76"/>
        <v>2</v>
      </c>
      <c r="BA139" s="4">
        <f t="shared" si="77"/>
        <v>4</v>
      </c>
      <c r="BB139" s="4">
        <f t="shared" si="78"/>
        <v>4</v>
      </c>
      <c r="BC139" s="4">
        <f t="shared" si="79"/>
        <v>4</v>
      </c>
      <c r="BD139" s="4">
        <f t="shared" si="80"/>
        <v>2</v>
      </c>
      <c r="BE139" s="4">
        <f t="shared" si="81"/>
        <v>4</v>
      </c>
      <c r="BF139" s="4">
        <f t="shared" si="82"/>
        <v>2</v>
      </c>
      <c r="BG139" s="4">
        <f t="shared" si="83"/>
        <v>4</v>
      </c>
      <c r="BH139" s="4">
        <f t="shared" si="84"/>
        <v>4</v>
      </c>
      <c r="BI139" s="4">
        <f t="shared" si="85"/>
        <v>4</v>
      </c>
      <c r="BJ139" s="4">
        <f t="shared" si="86"/>
        <v>2</v>
      </c>
      <c r="BK139" s="4">
        <f t="shared" si="87"/>
        <v>4</v>
      </c>
      <c r="BL139" s="4" t="str">
        <f t="shared" si="88"/>
        <v>0</v>
      </c>
      <c r="BM139" s="4">
        <f t="shared" si="89"/>
        <v>4</v>
      </c>
      <c r="BN139" s="4" t="str">
        <f t="shared" si="90"/>
        <v>0</v>
      </c>
      <c r="BO139" s="4">
        <f t="shared" si="91"/>
        <v>4</v>
      </c>
      <c r="BP139" s="4">
        <f t="shared" si="92"/>
        <v>4</v>
      </c>
      <c r="BQ139" s="4">
        <f t="shared" si="93"/>
        <v>6</v>
      </c>
      <c r="BR139" s="4">
        <f t="shared" si="94"/>
        <v>4</v>
      </c>
      <c r="BS139" s="4">
        <f t="shared" si="95"/>
        <v>4</v>
      </c>
      <c r="BT139" s="4">
        <f t="shared" si="96"/>
        <v>4</v>
      </c>
      <c r="BU139" s="4">
        <f t="shared" si="97"/>
        <v>4</v>
      </c>
      <c r="BV139" s="4" t="str">
        <f t="shared" si="98"/>
        <v>0</v>
      </c>
      <c r="BW139" s="4">
        <f t="shared" si="99"/>
        <v>6</v>
      </c>
      <c r="BX139" s="4">
        <f t="shared" si="100"/>
        <v>0</v>
      </c>
      <c r="BY139" s="4">
        <f t="shared" si="101"/>
        <v>0</v>
      </c>
      <c r="BZ139" s="37">
        <f t="shared" si="102"/>
        <v>94</v>
      </c>
      <c r="CA139" s="32" t="str">
        <f>VLOOKUP(J:J,'Agent wise'!A:C,3,0)</f>
        <v xml:space="preserve">Shiny </v>
      </c>
      <c r="CB139" s="32">
        <f t="shared" si="103"/>
        <v>45933</v>
      </c>
      <c r="CC139" t="str">
        <f t="shared" si="104"/>
        <v>Good</v>
      </c>
      <c r="CE139" s="32"/>
      <c r="CJ139">
        <f t="shared" si="105"/>
        <v>3</v>
      </c>
      <c r="CK139">
        <f t="shared" si="106"/>
        <v>10</v>
      </c>
      <c r="CL139">
        <f t="shared" si="107"/>
        <v>2025</v>
      </c>
    </row>
    <row r="140" spans="1:90" ht="15" customHeight="1" x14ac:dyDescent="0.35">
      <c r="A140" s="40">
        <v>45726.679652777777</v>
      </c>
      <c r="B140" t="s">
        <v>100</v>
      </c>
      <c r="C140" t="s">
        <v>214</v>
      </c>
      <c r="D140" t="s">
        <v>101</v>
      </c>
      <c r="E140" s="32">
        <v>45933</v>
      </c>
      <c r="F140" t="s">
        <v>222</v>
      </c>
      <c r="G140" s="2">
        <v>45698</v>
      </c>
      <c r="H140">
        <v>9487132148</v>
      </c>
      <c r="I140">
        <v>143</v>
      </c>
      <c r="J140" t="s">
        <v>391</v>
      </c>
      <c r="K140" t="s">
        <v>71</v>
      </c>
      <c r="L140" t="s">
        <v>72</v>
      </c>
      <c r="M140" t="s">
        <v>59</v>
      </c>
      <c r="N140" t="s">
        <v>59</v>
      </c>
      <c r="O140" t="s">
        <v>59</v>
      </c>
      <c r="P140" t="s">
        <v>59</v>
      </c>
      <c r="Q140" t="s">
        <v>59</v>
      </c>
      <c r="R140" t="s">
        <v>60</v>
      </c>
      <c r="S140" t="s">
        <v>59</v>
      </c>
      <c r="T140" t="s">
        <v>59</v>
      </c>
      <c r="U140" t="s">
        <v>59</v>
      </c>
      <c r="V140" t="s">
        <v>59</v>
      </c>
      <c r="W140" t="s">
        <v>59</v>
      </c>
      <c r="X140" t="s">
        <v>59</v>
      </c>
      <c r="Y140" t="s">
        <v>59</v>
      </c>
      <c r="Z140" t="s">
        <v>59</v>
      </c>
      <c r="AA140" t="s">
        <v>59</v>
      </c>
      <c r="AB140" t="s">
        <v>60</v>
      </c>
      <c r="AC140" t="s">
        <v>59</v>
      </c>
      <c r="AD140" t="s">
        <v>59</v>
      </c>
      <c r="AE140" t="s">
        <v>59</v>
      </c>
      <c r="AF140" t="s">
        <v>59</v>
      </c>
      <c r="AG140" t="s">
        <v>59</v>
      </c>
      <c r="AH140" t="s">
        <v>59</v>
      </c>
      <c r="AI140" t="s">
        <v>61</v>
      </c>
      <c r="AJ140" t="s">
        <v>59</v>
      </c>
      <c r="AK140" t="s">
        <v>59</v>
      </c>
      <c r="AL140" t="s">
        <v>59</v>
      </c>
      <c r="AM140" t="s">
        <v>59</v>
      </c>
      <c r="AN140" t="s">
        <v>59</v>
      </c>
      <c r="AO140" t="s">
        <v>59</v>
      </c>
      <c r="AP140" s="1" t="s">
        <v>535</v>
      </c>
      <c r="AQ140" s="1" t="s">
        <v>536</v>
      </c>
      <c r="AR140" t="s">
        <v>226</v>
      </c>
      <c r="AS140" t="s">
        <v>352</v>
      </c>
      <c r="AT140" t="s">
        <v>352</v>
      </c>
      <c r="AU140" t="s">
        <v>219</v>
      </c>
      <c r="AW140" s="4">
        <f t="shared" si="73"/>
        <v>6</v>
      </c>
      <c r="AX140" s="4">
        <f t="shared" si="74"/>
        <v>4</v>
      </c>
      <c r="AY140" s="4">
        <f t="shared" si="75"/>
        <v>4</v>
      </c>
      <c r="AZ140" s="4">
        <f t="shared" si="76"/>
        <v>2</v>
      </c>
      <c r="BA140" s="4">
        <f t="shared" si="77"/>
        <v>4</v>
      </c>
      <c r="BB140" s="4" t="str">
        <f t="shared" si="78"/>
        <v>0</v>
      </c>
      <c r="BC140" s="4">
        <f t="shared" si="79"/>
        <v>4</v>
      </c>
      <c r="BD140" s="4">
        <f t="shared" si="80"/>
        <v>2</v>
      </c>
      <c r="BE140" s="4">
        <f t="shared" si="81"/>
        <v>4</v>
      </c>
      <c r="BF140" s="4">
        <f t="shared" si="82"/>
        <v>2</v>
      </c>
      <c r="BG140" s="4">
        <f t="shared" si="83"/>
        <v>4</v>
      </c>
      <c r="BH140" s="4">
        <f t="shared" si="84"/>
        <v>4</v>
      </c>
      <c r="BI140" s="4">
        <f t="shared" si="85"/>
        <v>4</v>
      </c>
      <c r="BJ140" s="4">
        <f t="shared" si="86"/>
        <v>2</v>
      </c>
      <c r="BK140" s="4">
        <f t="shared" si="87"/>
        <v>4</v>
      </c>
      <c r="BL140" s="4" t="str">
        <f t="shared" si="88"/>
        <v>0</v>
      </c>
      <c r="BM140" s="4">
        <f t="shared" si="89"/>
        <v>4</v>
      </c>
      <c r="BN140" s="4">
        <f t="shared" si="90"/>
        <v>4</v>
      </c>
      <c r="BO140" s="4">
        <f t="shared" si="91"/>
        <v>4</v>
      </c>
      <c r="BP140" s="4">
        <f t="shared" si="92"/>
        <v>4</v>
      </c>
      <c r="BQ140" s="4">
        <f t="shared" si="93"/>
        <v>6</v>
      </c>
      <c r="BR140" s="4">
        <f t="shared" si="94"/>
        <v>4</v>
      </c>
      <c r="BS140" s="4">
        <f t="shared" si="95"/>
        <v>4</v>
      </c>
      <c r="BT140" s="4">
        <f t="shared" si="96"/>
        <v>4</v>
      </c>
      <c r="BU140" s="4">
        <f t="shared" si="97"/>
        <v>4</v>
      </c>
      <c r="BV140" s="4">
        <f t="shared" si="98"/>
        <v>0</v>
      </c>
      <c r="BW140" s="4">
        <f t="shared" si="99"/>
        <v>6</v>
      </c>
      <c r="BX140" s="4">
        <f t="shared" si="100"/>
        <v>0</v>
      </c>
      <c r="BY140" s="4">
        <f t="shared" si="101"/>
        <v>0</v>
      </c>
      <c r="BZ140" s="37">
        <f t="shared" si="102"/>
        <v>94</v>
      </c>
      <c r="CA140" s="32" t="str">
        <f>VLOOKUP(J:J,'Agent wise'!A:C,3,0)</f>
        <v>Amal</v>
      </c>
      <c r="CB140" s="32">
        <f t="shared" si="103"/>
        <v>45933</v>
      </c>
      <c r="CC140" t="str">
        <f t="shared" si="104"/>
        <v>Good</v>
      </c>
      <c r="CE140" s="32"/>
      <c r="CJ140">
        <f t="shared" si="105"/>
        <v>3</v>
      </c>
      <c r="CK140">
        <f t="shared" si="106"/>
        <v>10</v>
      </c>
      <c r="CL140">
        <f t="shared" si="107"/>
        <v>2025</v>
      </c>
    </row>
    <row r="141" spans="1:90" ht="15" customHeight="1" x14ac:dyDescent="0.35">
      <c r="A141" s="40">
        <v>45726.68241898148</v>
      </c>
      <c r="B141" t="s">
        <v>100</v>
      </c>
      <c r="C141" t="s">
        <v>214</v>
      </c>
      <c r="D141" t="s">
        <v>101</v>
      </c>
      <c r="E141" s="32">
        <v>45933</v>
      </c>
      <c r="F141" t="s">
        <v>222</v>
      </c>
      <c r="G141" s="2">
        <v>45698</v>
      </c>
      <c r="H141">
        <v>9074001812</v>
      </c>
      <c r="I141">
        <v>143</v>
      </c>
      <c r="J141" t="s">
        <v>242</v>
      </c>
      <c r="K141" t="s">
        <v>57</v>
      </c>
      <c r="L141" t="s">
        <v>58</v>
      </c>
      <c r="M141" t="s">
        <v>59</v>
      </c>
      <c r="N141" t="s">
        <v>59</v>
      </c>
      <c r="O141" t="s">
        <v>59</v>
      </c>
      <c r="P141" t="s">
        <v>59</v>
      </c>
      <c r="Q141" t="s">
        <v>59</v>
      </c>
      <c r="R141" t="s">
        <v>60</v>
      </c>
      <c r="S141" t="s">
        <v>59</v>
      </c>
      <c r="T141" t="s">
        <v>59</v>
      </c>
      <c r="U141" t="s">
        <v>59</v>
      </c>
      <c r="V141" t="s">
        <v>59</v>
      </c>
      <c r="W141" t="s">
        <v>59</v>
      </c>
      <c r="X141" t="s">
        <v>59</v>
      </c>
      <c r="Y141" t="s">
        <v>59</v>
      </c>
      <c r="Z141" t="s">
        <v>59</v>
      </c>
      <c r="AA141" t="s">
        <v>60</v>
      </c>
      <c r="AB141" t="s">
        <v>59</v>
      </c>
      <c r="AC141" t="s">
        <v>59</v>
      </c>
      <c r="AD141" t="s">
        <v>59</v>
      </c>
      <c r="AE141" t="s">
        <v>59</v>
      </c>
      <c r="AF141" t="s">
        <v>59</v>
      </c>
      <c r="AG141" t="s">
        <v>59</v>
      </c>
      <c r="AH141" t="s">
        <v>59</v>
      </c>
      <c r="AI141" t="s">
        <v>61</v>
      </c>
      <c r="AJ141" t="s">
        <v>59</v>
      </c>
      <c r="AK141" t="s">
        <v>59</v>
      </c>
      <c r="AL141" t="s">
        <v>59</v>
      </c>
      <c r="AM141" t="s">
        <v>59</v>
      </c>
      <c r="AN141" t="s">
        <v>59</v>
      </c>
      <c r="AO141" t="s">
        <v>59</v>
      </c>
      <c r="AP141" t="s">
        <v>537</v>
      </c>
      <c r="AQ141" s="1" t="s">
        <v>538</v>
      </c>
      <c r="AR141" t="s">
        <v>226</v>
      </c>
      <c r="AS141" t="s">
        <v>352</v>
      </c>
      <c r="AT141" t="s">
        <v>352</v>
      </c>
      <c r="AU141" t="s">
        <v>219</v>
      </c>
      <c r="AW141" s="4">
        <f t="shared" si="73"/>
        <v>6</v>
      </c>
      <c r="AX141" s="4">
        <f t="shared" si="74"/>
        <v>4</v>
      </c>
      <c r="AY141" s="4">
        <f t="shared" si="75"/>
        <v>4</v>
      </c>
      <c r="AZ141" s="4">
        <f t="shared" si="76"/>
        <v>2</v>
      </c>
      <c r="BA141" s="4">
        <f t="shared" si="77"/>
        <v>4</v>
      </c>
      <c r="BB141" s="4" t="str">
        <f t="shared" si="78"/>
        <v>0</v>
      </c>
      <c r="BC141" s="4">
        <f t="shared" si="79"/>
        <v>4</v>
      </c>
      <c r="BD141" s="4">
        <f t="shared" si="80"/>
        <v>2</v>
      </c>
      <c r="BE141" s="4">
        <f t="shared" si="81"/>
        <v>4</v>
      </c>
      <c r="BF141" s="4">
        <f t="shared" si="82"/>
        <v>2</v>
      </c>
      <c r="BG141" s="4">
        <f t="shared" si="83"/>
        <v>4</v>
      </c>
      <c r="BH141" s="4">
        <f t="shared" si="84"/>
        <v>4</v>
      </c>
      <c r="BI141" s="4">
        <f t="shared" si="85"/>
        <v>4</v>
      </c>
      <c r="BJ141" s="4">
        <f t="shared" si="86"/>
        <v>2</v>
      </c>
      <c r="BK141" s="4" t="str">
        <f t="shared" si="87"/>
        <v>0</v>
      </c>
      <c r="BL141" s="4">
        <f t="shared" si="88"/>
        <v>2</v>
      </c>
      <c r="BM141" s="4">
        <f t="shared" si="89"/>
        <v>4</v>
      </c>
      <c r="BN141" s="4">
        <f t="shared" si="90"/>
        <v>4</v>
      </c>
      <c r="BO141" s="4">
        <f t="shared" si="91"/>
        <v>4</v>
      </c>
      <c r="BP141" s="4">
        <f t="shared" si="92"/>
        <v>4</v>
      </c>
      <c r="BQ141" s="4">
        <f t="shared" si="93"/>
        <v>6</v>
      </c>
      <c r="BR141" s="4">
        <f t="shared" si="94"/>
        <v>4</v>
      </c>
      <c r="BS141" s="4">
        <f t="shared" si="95"/>
        <v>4</v>
      </c>
      <c r="BT141" s="4">
        <f t="shared" si="96"/>
        <v>4</v>
      </c>
      <c r="BU141" s="4">
        <f t="shared" si="97"/>
        <v>4</v>
      </c>
      <c r="BV141" s="4">
        <f t="shared" si="98"/>
        <v>0</v>
      </c>
      <c r="BW141" s="4">
        <f t="shared" si="99"/>
        <v>6</v>
      </c>
      <c r="BX141" s="4">
        <f t="shared" si="100"/>
        <v>0</v>
      </c>
      <c r="BY141" s="4">
        <f t="shared" si="101"/>
        <v>0</v>
      </c>
      <c r="BZ141" s="37">
        <f t="shared" si="102"/>
        <v>92</v>
      </c>
      <c r="CA141" s="32" t="str">
        <f>VLOOKUP(J:J,'Agent wise'!A:C,3,0)</f>
        <v>Amal</v>
      </c>
      <c r="CB141" s="32">
        <f t="shared" si="103"/>
        <v>45933</v>
      </c>
      <c r="CC141" t="str">
        <f t="shared" si="104"/>
        <v>Good</v>
      </c>
      <c r="CE141" s="32"/>
      <c r="CJ141">
        <f t="shared" si="105"/>
        <v>3</v>
      </c>
      <c r="CK141">
        <f t="shared" si="106"/>
        <v>10</v>
      </c>
      <c r="CL141">
        <f t="shared" si="107"/>
        <v>2025</v>
      </c>
    </row>
    <row r="142" spans="1:90" ht="15" customHeight="1" x14ac:dyDescent="0.35">
      <c r="A142" s="40">
        <v>45726.688842592594</v>
      </c>
      <c r="B142" t="s">
        <v>100</v>
      </c>
      <c r="C142" t="s">
        <v>214</v>
      </c>
      <c r="D142" t="s">
        <v>101</v>
      </c>
      <c r="E142" s="32">
        <v>45933</v>
      </c>
      <c r="F142" t="s">
        <v>222</v>
      </c>
      <c r="G142" s="2">
        <v>45698</v>
      </c>
      <c r="H142">
        <v>9497782407</v>
      </c>
      <c r="I142">
        <v>143</v>
      </c>
      <c r="J142" t="s">
        <v>242</v>
      </c>
      <c r="K142" t="s">
        <v>57</v>
      </c>
      <c r="L142" t="s">
        <v>58</v>
      </c>
      <c r="M142" t="s">
        <v>59</v>
      </c>
      <c r="N142" t="s">
        <v>59</v>
      </c>
      <c r="O142" t="s">
        <v>59</v>
      </c>
      <c r="P142" t="s">
        <v>59</v>
      </c>
      <c r="Q142" t="s">
        <v>59</v>
      </c>
      <c r="R142" t="s">
        <v>59</v>
      </c>
      <c r="S142" t="s">
        <v>59</v>
      </c>
      <c r="T142" t="s">
        <v>59</v>
      </c>
      <c r="U142" t="s">
        <v>59</v>
      </c>
      <c r="V142" t="s">
        <v>59</v>
      </c>
      <c r="W142" t="s">
        <v>59</v>
      </c>
      <c r="X142" t="s">
        <v>59</v>
      </c>
      <c r="Y142" t="s">
        <v>59</v>
      </c>
      <c r="Z142" t="s">
        <v>59</v>
      </c>
      <c r="AA142" t="s">
        <v>60</v>
      </c>
      <c r="AB142" t="s">
        <v>59</v>
      </c>
      <c r="AC142" t="s">
        <v>59</v>
      </c>
      <c r="AD142" t="s">
        <v>59</v>
      </c>
      <c r="AE142" t="s">
        <v>59</v>
      </c>
      <c r="AF142" t="s">
        <v>59</v>
      </c>
      <c r="AG142" t="s">
        <v>59</v>
      </c>
      <c r="AH142" t="s">
        <v>59</v>
      </c>
      <c r="AI142" t="s">
        <v>61</v>
      </c>
      <c r="AJ142" t="s">
        <v>59</v>
      </c>
      <c r="AK142" t="s">
        <v>59</v>
      </c>
      <c r="AL142" t="s">
        <v>59</v>
      </c>
      <c r="AM142" t="s">
        <v>59</v>
      </c>
      <c r="AN142" t="s">
        <v>59</v>
      </c>
      <c r="AO142" t="s">
        <v>59</v>
      </c>
      <c r="AP142" t="s">
        <v>526</v>
      </c>
      <c r="AQ142" s="1" t="s">
        <v>539</v>
      </c>
      <c r="AR142" t="s">
        <v>226</v>
      </c>
      <c r="AS142" t="s">
        <v>352</v>
      </c>
      <c r="AT142" t="s">
        <v>352</v>
      </c>
      <c r="AU142" t="s">
        <v>219</v>
      </c>
      <c r="AW142" s="4">
        <f t="shared" si="73"/>
        <v>6</v>
      </c>
      <c r="AX142" s="4">
        <f t="shared" si="74"/>
        <v>4</v>
      </c>
      <c r="AY142" s="4">
        <f t="shared" si="75"/>
        <v>4</v>
      </c>
      <c r="AZ142" s="4">
        <f t="shared" si="76"/>
        <v>2</v>
      </c>
      <c r="BA142" s="4">
        <f t="shared" si="77"/>
        <v>4</v>
      </c>
      <c r="BB142" s="4">
        <f t="shared" si="78"/>
        <v>4</v>
      </c>
      <c r="BC142" s="4">
        <f t="shared" si="79"/>
        <v>4</v>
      </c>
      <c r="BD142" s="4">
        <f t="shared" si="80"/>
        <v>2</v>
      </c>
      <c r="BE142" s="4">
        <f t="shared" si="81"/>
        <v>4</v>
      </c>
      <c r="BF142" s="4">
        <f t="shared" si="82"/>
        <v>2</v>
      </c>
      <c r="BG142" s="4">
        <f t="shared" si="83"/>
        <v>4</v>
      </c>
      <c r="BH142" s="4">
        <f t="shared" si="84"/>
        <v>4</v>
      </c>
      <c r="BI142" s="4">
        <f t="shared" si="85"/>
        <v>4</v>
      </c>
      <c r="BJ142" s="4">
        <f t="shared" si="86"/>
        <v>2</v>
      </c>
      <c r="BK142" s="4" t="str">
        <f t="shared" si="87"/>
        <v>0</v>
      </c>
      <c r="BL142" s="4">
        <f t="shared" si="88"/>
        <v>2</v>
      </c>
      <c r="BM142" s="4">
        <f t="shared" si="89"/>
        <v>4</v>
      </c>
      <c r="BN142" s="4">
        <f t="shared" si="90"/>
        <v>4</v>
      </c>
      <c r="BO142" s="4">
        <f t="shared" si="91"/>
        <v>4</v>
      </c>
      <c r="BP142" s="4">
        <f t="shared" si="92"/>
        <v>4</v>
      </c>
      <c r="BQ142" s="4">
        <f t="shared" si="93"/>
        <v>6</v>
      </c>
      <c r="BR142" s="4">
        <f t="shared" si="94"/>
        <v>4</v>
      </c>
      <c r="BS142" s="4">
        <f t="shared" si="95"/>
        <v>4</v>
      </c>
      <c r="BT142" s="4">
        <f t="shared" si="96"/>
        <v>4</v>
      </c>
      <c r="BU142" s="4">
        <f t="shared" si="97"/>
        <v>4</v>
      </c>
      <c r="BV142" s="4">
        <f t="shared" si="98"/>
        <v>0</v>
      </c>
      <c r="BW142" s="4">
        <f t="shared" si="99"/>
        <v>6</v>
      </c>
      <c r="BX142" s="4">
        <f t="shared" si="100"/>
        <v>0</v>
      </c>
      <c r="BY142" s="4">
        <f t="shared" si="101"/>
        <v>0</v>
      </c>
      <c r="BZ142" s="37">
        <f t="shared" si="102"/>
        <v>96</v>
      </c>
      <c r="CA142" s="32" t="str">
        <f>VLOOKUP(J:J,'Agent wise'!A:C,3,0)</f>
        <v>Amal</v>
      </c>
      <c r="CB142" s="32">
        <f t="shared" si="103"/>
        <v>45933</v>
      </c>
      <c r="CC142" t="str">
        <f t="shared" si="104"/>
        <v>Excellent</v>
      </c>
      <c r="CE142" s="32"/>
      <c r="CJ142">
        <f t="shared" si="105"/>
        <v>3</v>
      </c>
      <c r="CK142">
        <f t="shared" si="106"/>
        <v>10</v>
      </c>
      <c r="CL142">
        <f t="shared" si="107"/>
        <v>2025</v>
      </c>
    </row>
    <row r="143" spans="1:90" ht="15" customHeight="1" x14ac:dyDescent="0.35">
      <c r="A143" s="40">
        <v>45726.702141203707</v>
      </c>
      <c r="B143" t="s">
        <v>100</v>
      </c>
      <c r="C143" t="s">
        <v>214</v>
      </c>
      <c r="D143" t="s">
        <v>101</v>
      </c>
      <c r="E143" s="32">
        <v>45933</v>
      </c>
      <c r="F143" t="s">
        <v>222</v>
      </c>
      <c r="G143" s="2">
        <v>45698</v>
      </c>
      <c r="H143">
        <v>7907119235</v>
      </c>
      <c r="I143">
        <v>134</v>
      </c>
      <c r="J143" t="s">
        <v>313</v>
      </c>
      <c r="K143" t="s">
        <v>57</v>
      </c>
      <c r="L143" t="s">
        <v>58</v>
      </c>
      <c r="M143" t="s">
        <v>59</v>
      </c>
      <c r="N143" t="s">
        <v>59</v>
      </c>
      <c r="O143" t="s">
        <v>59</v>
      </c>
      <c r="P143" t="s">
        <v>59</v>
      </c>
      <c r="Q143" t="s">
        <v>59</v>
      </c>
      <c r="R143" t="s">
        <v>59</v>
      </c>
      <c r="S143" t="s">
        <v>59</v>
      </c>
      <c r="T143" t="s">
        <v>59</v>
      </c>
      <c r="U143" t="s">
        <v>59</v>
      </c>
      <c r="V143" t="s">
        <v>59</v>
      </c>
      <c r="W143" t="s">
        <v>59</v>
      </c>
      <c r="X143" t="s">
        <v>59</v>
      </c>
      <c r="Y143" t="s">
        <v>59</v>
      </c>
      <c r="Z143" t="s">
        <v>59</v>
      </c>
      <c r="AA143" t="s">
        <v>60</v>
      </c>
      <c r="AB143" t="s">
        <v>59</v>
      </c>
      <c r="AC143" t="s">
        <v>59</v>
      </c>
      <c r="AD143" t="s">
        <v>59</v>
      </c>
      <c r="AE143" t="s">
        <v>59</v>
      </c>
      <c r="AF143" t="s">
        <v>59</v>
      </c>
      <c r="AG143" t="s">
        <v>59</v>
      </c>
      <c r="AH143" t="s">
        <v>59</v>
      </c>
      <c r="AI143" t="s">
        <v>61</v>
      </c>
      <c r="AJ143" t="s">
        <v>59</v>
      </c>
      <c r="AK143" t="s">
        <v>59</v>
      </c>
      <c r="AL143" t="s">
        <v>59</v>
      </c>
      <c r="AM143" t="s">
        <v>59</v>
      </c>
      <c r="AN143" t="s">
        <v>59</v>
      </c>
      <c r="AO143" t="s">
        <v>59</v>
      </c>
      <c r="AP143" t="s">
        <v>188</v>
      </c>
      <c r="AQ143" s="1" t="s">
        <v>540</v>
      </c>
      <c r="AR143" t="s">
        <v>226</v>
      </c>
      <c r="AS143" t="s">
        <v>352</v>
      </c>
      <c r="AT143" t="s">
        <v>352</v>
      </c>
      <c r="AU143" t="s">
        <v>219</v>
      </c>
      <c r="AW143" s="4">
        <f t="shared" si="73"/>
        <v>6</v>
      </c>
      <c r="AX143" s="4">
        <f t="shared" si="74"/>
        <v>4</v>
      </c>
      <c r="AY143" s="4">
        <f t="shared" si="75"/>
        <v>4</v>
      </c>
      <c r="AZ143" s="4">
        <f t="shared" si="76"/>
        <v>2</v>
      </c>
      <c r="BA143" s="4">
        <f t="shared" si="77"/>
        <v>4</v>
      </c>
      <c r="BB143" s="4">
        <f t="shared" si="78"/>
        <v>4</v>
      </c>
      <c r="BC143" s="4">
        <f t="shared" si="79"/>
        <v>4</v>
      </c>
      <c r="BD143" s="4">
        <f t="shared" si="80"/>
        <v>2</v>
      </c>
      <c r="BE143" s="4">
        <f t="shared" si="81"/>
        <v>4</v>
      </c>
      <c r="BF143" s="4">
        <f t="shared" si="82"/>
        <v>2</v>
      </c>
      <c r="BG143" s="4">
        <f t="shared" si="83"/>
        <v>4</v>
      </c>
      <c r="BH143" s="4">
        <f t="shared" si="84"/>
        <v>4</v>
      </c>
      <c r="BI143" s="4">
        <f t="shared" si="85"/>
        <v>4</v>
      </c>
      <c r="BJ143" s="4">
        <f t="shared" si="86"/>
        <v>2</v>
      </c>
      <c r="BK143" s="4" t="str">
        <f t="shared" si="87"/>
        <v>0</v>
      </c>
      <c r="BL143" s="4">
        <f t="shared" si="88"/>
        <v>2</v>
      </c>
      <c r="BM143" s="4">
        <f t="shared" si="89"/>
        <v>4</v>
      </c>
      <c r="BN143" s="4">
        <f t="shared" si="90"/>
        <v>4</v>
      </c>
      <c r="BO143" s="4">
        <f t="shared" si="91"/>
        <v>4</v>
      </c>
      <c r="BP143" s="4">
        <f t="shared" si="92"/>
        <v>4</v>
      </c>
      <c r="BQ143" s="4">
        <f t="shared" si="93"/>
        <v>6</v>
      </c>
      <c r="BR143" s="4">
        <f t="shared" si="94"/>
        <v>4</v>
      </c>
      <c r="BS143" s="4">
        <f t="shared" si="95"/>
        <v>4</v>
      </c>
      <c r="BT143" s="4">
        <f t="shared" si="96"/>
        <v>4</v>
      </c>
      <c r="BU143" s="4">
        <f t="shared" si="97"/>
        <v>4</v>
      </c>
      <c r="BV143" s="4">
        <f t="shared" si="98"/>
        <v>0</v>
      </c>
      <c r="BW143" s="4">
        <f t="shared" si="99"/>
        <v>6</v>
      </c>
      <c r="BX143" s="4">
        <f t="shared" si="100"/>
        <v>0</v>
      </c>
      <c r="BY143" s="4">
        <f t="shared" si="101"/>
        <v>0</v>
      </c>
      <c r="BZ143" s="37">
        <f t="shared" si="102"/>
        <v>96</v>
      </c>
      <c r="CA143" s="32" t="str">
        <f>VLOOKUP(J:J,'Agent wise'!A:C,3,0)</f>
        <v>Shakeer</v>
      </c>
      <c r="CB143" s="32">
        <f t="shared" si="103"/>
        <v>45933</v>
      </c>
      <c r="CC143" t="str">
        <f t="shared" si="104"/>
        <v>Excellent</v>
      </c>
      <c r="CE143" s="32"/>
      <c r="CJ143">
        <f t="shared" si="105"/>
        <v>3</v>
      </c>
      <c r="CK143">
        <f t="shared" si="106"/>
        <v>10</v>
      </c>
      <c r="CL143">
        <f t="shared" si="107"/>
        <v>2025</v>
      </c>
    </row>
    <row r="144" spans="1:90" ht="15" customHeight="1" x14ac:dyDescent="0.35">
      <c r="A144" s="40">
        <v>45726.71775462963</v>
      </c>
      <c r="B144" t="s">
        <v>100</v>
      </c>
      <c r="C144" t="s">
        <v>214</v>
      </c>
      <c r="D144" t="s">
        <v>101</v>
      </c>
      <c r="E144" s="32">
        <v>45933</v>
      </c>
      <c r="F144" t="s">
        <v>54</v>
      </c>
      <c r="G144" s="2">
        <v>45698</v>
      </c>
      <c r="H144">
        <v>9447603601</v>
      </c>
      <c r="I144">
        <v>150</v>
      </c>
      <c r="J144" t="s">
        <v>56</v>
      </c>
      <c r="K144" t="s">
        <v>57</v>
      </c>
      <c r="L144" t="s">
        <v>58</v>
      </c>
      <c r="M144" t="s">
        <v>59</v>
      </c>
      <c r="N144" t="s">
        <v>59</v>
      </c>
      <c r="O144" t="s">
        <v>59</v>
      </c>
      <c r="P144" t="s">
        <v>59</v>
      </c>
      <c r="Q144" t="s">
        <v>59</v>
      </c>
      <c r="R144" t="s">
        <v>59</v>
      </c>
      <c r="S144" t="s">
        <v>59</v>
      </c>
      <c r="T144" t="s">
        <v>59</v>
      </c>
      <c r="U144" t="s">
        <v>59</v>
      </c>
      <c r="V144" t="s">
        <v>59</v>
      </c>
      <c r="W144" t="s">
        <v>59</v>
      </c>
      <c r="X144" t="s">
        <v>59</v>
      </c>
      <c r="Y144" t="s">
        <v>59</v>
      </c>
      <c r="Z144" t="s">
        <v>59</v>
      </c>
      <c r="AA144" t="s">
        <v>60</v>
      </c>
      <c r="AB144" t="s">
        <v>59</v>
      </c>
      <c r="AC144" t="s">
        <v>59</v>
      </c>
      <c r="AD144" t="s">
        <v>59</v>
      </c>
      <c r="AE144" t="s">
        <v>59</v>
      </c>
      <c r="AF144" t="s">
        <v>59</v>
      </c>
      <c r="AG144" t="s">
        <v>59</v>
      </c>
      <c r="AH144" t="s">
        <v>59</v>
      </c>
      <c r="AI144" t="s">
        <v>61</v>
      </c>
      <c r="AJ144" t="s">
        <v>59</v>
      </c>
      <c r="AK144" t="s">
        <v>59</v>
      </c>
      <c r="AL144" t="s">
        <v>59</v>
      </c>
      <c r="AM144" t="s">
        <v>59</v>
      </c>
      <c r="AN144" t="s">
        <v>59</v>
      </c>
      <c r="AO144" t="s">
        <v>59</v>
      </c>
      <c r="AP144" t="s">
        <v>541</v>
      </c>
      <c r="AQ144" t="s">
        <v>542</v>
      </c>
      <c r="AR144" t="s">
        <v>64</v>
      </c>
      <c r="AS144" t="s">
        <v>142</v>
      </c>
      <c r="AT144" t="s">
        <v>543</v>
      </c>
      <c r="AU144" t="s">
        <v>219</v>
      </c>
      <c r="AW144" s="4">
        <f t="shared" si="73"/>
        <v>6</v>
      </c>
      <c r="AX144" s="4">
        <f t="shared" si="74"/>
        <v>4</v>
      </c>
      <c r="AY144" s="4">
        <f t="shared" si="75"/>
        <v>4</v>
      </c>
      <c r="AZ144" s="4">
        <f t="shared" si="76"/>
        <v>2</v>
      </c>
      <c r="BA144" s="4">
        <f t="shared" si="77"/>
        <v>4</v>
      </c>
      <c r="BB144" s="4">
        <f t="shared" si="78"/>
        <v>4</v>
      </c>
      <c r="BC144" s="4">
        <f t="shared" si="79"/>
        <v>4</v>
      </c>
      <c r="BD144" s="4">
        <f t="shared" si="80"/>
        <v>2</v>
      </c>
      <c r="BE144" s="4">
        <f t="shared" si="81"/>
        <v>4</v>
      </c>
      <c r="BF144" s="4">
        <f t="shared" si="82"/>
        <v>2</v>
      </c>
      <c r="BG144" s="4">
        <f t="shared" si="83"/>
        <v>4</v>
      </c>
      <c r="BH144" s="4">
        <f t="shared" si="84"/>
        <v>4</v>
      </c>
      <c r="BI144" s="4">
        <f t="shared" si="85"/>
        <v>4</v>
      </c>
      <c r="BJ144" s="4">
        <f t="shared" si="86"/>
        <v>2</v>
      </c>
      <c r="BK144" s="4" t="str">
        <f t="shared" si="87"/>
        <v>0</v>
      </c>
      <c r="BL144" s="4">
        <f t="shared" si="88"/>
        <v>2</v>
      </c>
      <c r="BM144" s="4">
        <f t="shared" si="89"/>
        <v>4</v>
      </c>
      <c r="BN144" s="4">
        <f t="shared" si="90"/>
        <v>4</v>
      </c>
      <c r="BO144" s="4">
        <f t="shared" si="91"/>
        <v>4</v>
      </c>
      <c r="BP144" s="4">
        <f t="shared" si="92"/>
        <v>4</v>
      </c>
      <c r="BQ144" s="4">
        <f t="shared" si="93"/>
        <v>6</v>
      </c>
      <c r="BR144" s="4">
        <f t="shared" si="94"/>
        <v>4</v>
      </c>
      <c r="BS144" s="4">
        <f t="shared" si="95"/>
        <v>4</v>
      </c>
      <c r="BT144" s="4">
        <f t="shared" si="96"/>
        <v>4</v>
      </c>
      <c r="BU144" s="4">
        <f t="shared" si="97"/>
        <v>4</v>
      </c>
      <c r="BV144" s="4">
        <f t="shared" si="98"/>
        <v>0</v>
      </c>
      <c r="BW144" s="4">
        <f t="shared" si="99"/>
        <v>6</v>
      </c>
      <c r="BX144" s="4">
        <f t="shared" si="100"/>
        <v>0</v>
      </c>
      <c r="BY144" s="4">
        <f t="shared" si="101"/>
        <v>0</v>
      </c>
      <c r="BZ144" s="37">
        <f t="shared" si="102"/>
        <v>96</v>
      </c>
      <c r="CA144" s="32" t="str">
        <f>VLOOKUP(J:J,'Agent wise'!A:C,3,0)</f>
        <v>Saran S</v>
      </c>
      <c r="CB144" s="32">
        <f t="shared" si="103"/>
        <v>45933</v>
      </c>
      <c r="CC144" t="str">
        <f t="shared" si="104"/>
        <v>Excellent</v>
      </c>
      <c r="CE144" s="32"/>
      <c r="CJ144">
        <f t="shared" si="105"/>
        <v>3</v>
      </c>
      <c r="CK144">
        <f t="shared" si="106"/>
        <v>10</v>
      </c>
      <c r="CL144">
        <f t="shared" si="107"/>
        <v>2025</v>
      </c>
    </row>
    <row r="145" spans="1:90" ht="15" customHeight="1" x14ac:dyDescent="0.35">
      <c r="A145" s="40">
        <v>45726.749178240738</v>
      </c>
      <c r="B145" t="s">
        <v>100</v>
      </c>
      <c r="C145" t="s">
        <v>214</v>
      </c>
      <c r="D145" t="s">
        <v>101</v>
      </c>
      <c r="E145" s="32">
        <v>45933</v>
      </c>
      <c r="F145" t="s">
        <v>54</v>
      </c>
      <c r="G145" s="2">
        <v>45698</v>
      </c>
      <c r="H145">
        <v>9840829563</v>
      </c>
      <c r="I145">
        <v>158</v>
      </c>
      <c r="J145" t="s">
        <v>466</v>
      </c>
      <c r="K145" t="s">
        <v>71</v>
      </c>
      <c r="L145" t="s">
        <v>72</v>
      </c>
      <c r="M145" t="s">
        <v>59</v>
      </c>
      <c r="N145" t="s">
        <v>59</v>
      </c>
      <c r="O145" t="s">
        <v>59</v>
      </c>
      <c r="P145" t="s">
        <v>59</v>
      </c>
      <c r="Q145" t="s">
        <v>59</v>
      </c>
      <c r="R145" t="s">
        <v>60</v>
      </c>
      <c r="S145" t="s">
        <v>59</v>
      </c>
      <c r="T145" t="s">
        <v>59</v>
      </c>
      <c r="U145" t="s">
        <v>59</v>
      </c>
      <c r="V145" t="s">
        <v>59</v>
      </c>
      <c r="W145" t="s">
        <v>59</v>
      </c>
      <c r="X145" t="s">
        <v>59</v>
      </c>
      <c r="Y145" t="s">
        <v>59</v>
      </c>
      <c r="Z145" t="s">
        <v>59</v>
      </c>
      <c r="AA145" t="s">
        <v>59</v>
      </c>
      <c r="AB145" t="s">
        <v>59</v>
      </c>
      <c r="AC145" t="s">
        <v>59</v>
      </c>
      <c r="AD145" t="s">
        <v>59</v>
      </c>
      <c r="AE145" t="s">
        <v>59</v>
      </c>
      <c r="AF145" t="s">
        <v>59</v>
      </c>
      <c r="AG145" t="s">
        <v>59</v>
      </c>
      <c r="AH145" t="s">
        <v>59</v>
      </c>
      <c r="AI145" t="s">
        <v>61</v>
      </c>
      <c r="AJ145" t="s">
        <v>59</v>
      </c>
      <c r="AK145" t="s">
        <v>59</v>
      </c>
      <c r="AL145" t="s">
        <v>59</v>
      </c>
      <c r="AM145" t="s">
        <v>59</v>
      </c>
      <c r="AN145" t="s">
        <v>59</v>
      </c>
      <c r="AO145" t="s">
        <v>59</v>
      </c>
      <c r="AP145" t="s">
        <v>544</v>
      </c>
      <c r="AQ145" t="s">
        <v>544</v>
      </c>
      <c r="AR145" t="s">
        <v>64</v>
      </c>
      <c r="AS145" t="s">
        <v>171</v>
      </c>
      <c r="AT145" t="s">
        <v>172</v>
      </c>
      <c r="AU145" t="s">
        <v>219</v>
      </c>
      <c r="AW145" s="4">
        <f t="shared" si="73"/>
        <v>6</v>
      </c>
      <c r="AX145" s="4">
        <f t="shared" si="74"/>
        <v>4</v>
      </c>
      <c r="AY145" s="4">
        <f t="shared" si="75"/>
        <v>4</v>
      </c>
      <c r="AZ145" s="4">
        <f t="shared" si="76"/>
        <v>2</v>
      </c>
      <c r="BA145" s="4">
        <f t="shared" si="77"/>
        <v>4</v>
      </c>
      <c r="BB145" s="4" t="str">
        <f t="shared" si="78"/>
        <v>0</v>
      </c>
      <c r="BC145" s="4">
        <f t="shared" si="79"/>
        <v>4</v>
      </c>
      <c r="BD145" s="4">
        <f t="shared" si="80"/>
        <v>2</v>
      </c>
      <c r="BE145" s="4">
        <f t="shared" si="81"/>
        <v>4</v>
      </c>
      <c r="BF145" s="4">
        <f t="shared" si="82"/>
        <v>2</v>
      </c>
      <c r="BG145" s="4">
        <f t="shared" si="83"/>
        <v>4</v>
      </c>
      <c r="BH145" s="4">
        <f t="shared" si="84"/>
        <v>4</v>
      </c>
      <c r="BI145" s="4">
        <f t="shared" si="85"/>
        <v>4</v>
      </c>
      <c r="BJ145" s="4">
        <f t="shared" si="86"/>
        <v>2</v>
      </c>
      <c r="BK145" s="4">
        <f t="shared" si="87"/>
        <v>4</v>
      </c>
      <c r="BL145" s="4">
        <f t="shared" si="88"/>
        <v>2</v>
      </c>
      <c r="BM145" s="4">
        <f t="shared" si="89"/>
        <v>4</v>
      </c>
      <c r="BN145" s="4">
        <f t="shared" si="90"/>
        <v>4</v>
      </c>
      <c r="BO145" s="4">
        <f t="shared" si="91"/>
        <v>4</v>
      </c>
      <c r="BP145" s="4">
        <f t="shared" si="92"/>
        <v>4</v>
      </c>
      <c r="BQ145" s="4">
        <f t="shared" si="93"/>
        <v>6</v>
      </c>
      <c r="BR145" s="4">
        <f t="shared" si="94"/>
        <v>4</v>
      </c>
      <c r="BS145" s="4">
        <f t="shared" si="95"/>
        <v>4</v>
      </c>
      <c r="BT145" s="4">
        <f t="shared" si="96"/>
        <v>4</v>
      </c>
      <c r="BU145" s="4">
        <f t="shared" si="97"/>
        <v>4</v>
      </c>
      <c r="BV145" s="4">
        <f t="shared" si="98"/>
        <v>0</v>
      </c>
      <c r="BW145" s="4">
        <f t="shared" si="99"/>
        <v>6</v>
      </c>
      <c r="BX145" s="4">
        <f t="shared" si="100"/>
        <v>0</v>
      </c>
      <c r="BY145" s="4">
        <f t="shared" si="101"/>
        <v>0</v>
      </c>
      <c r="BZ145" s="37">
        <f t="shared" si="102"/>
        <v>96</v>
      </c>
      <c r="CA145" s="32" t="str">
        <f>VLOOKUP(J:J,'Agent wise'!A:C,3,0)</f>
        <v>Adharsh</v>
      </c>
      <c r="CB145" s="32">
        <f t="shared" si="103"/>
        <v>45933</v>
      </c>
      <c r="CC145" t="str">
        <f t="shared" si="104"/>
        <v>Excellent</v>
      </c>
      <c r="CE145" s="32"/>
      <c r="CJ145">
        <f t="shared" si="105"/>
        <v>3</v>
      </c>
      <c r="CK145">
        <f t="shared" si="106"/>
        <v>10</v>
      </c>
      <c r="CL145">
        <f t="shared" si="107"/>
        <v>2025</v>
      </c>
    </row>
    <row r="146" spans="1:90" ht="15" customHeight="1" x14ac:dyDescent="0.35">
      <c r="A146" s="40">
        <v>45726.757303240738</v>
      </c>
      <c r="B146" t="s">
        <v>100</v>
      </c>
      <c r="C146" t="s">
        <v>214</v>
      </c>
      <c r="D146" t="s">
        <v>101</v>
      </c>
      <c r="E146" s="32">
        <v>45933</v>
      </c>
      <c r="F146" t="s">
        <v>54</v>
      </c>
      <c r="G146" s="2">
        <v>45698</v>
      </c>
      <c r="H146">
        <v>9488423340</v>
      </c>
      <c r="I146">
        <v>174</v>
      </c>
      <c r="J146" t="s">
        <v>490</v>
      </c>
      <c r="K146" t="s">
        <v>71</v>
      </c>
      <c r="L146" t="s">
        <v>72</v>
      </c>
      <c r="M146" t="s">
        <v>59</v>
      </c>
      <c r="N146" t="s">
        <v>59</v>
      </c>
      <c r="O146" t="s">
        <v>59</v>
      </c>
      <c r="P146" t="s">
        <v>59</v>
      </c>
      <c r="Q146" t="s">
        <v>59</v>
      </c>
      <c r="R146" t="s">
        <v>60</v>
      </c>
      <c r="S146" t="s">
        <v>59</v>
      </c>
      <c r="T146" t="s">
        <v>59</v>
      </c>
      <c r="U146" t="s">
        <v>59</v>
      </c>
      <c r="V146" t="s">
        <v>59</v>
      </c>
      <c r="W146" t="s">
        <v>59</v>
      </c>
      <c r="X146" t="s">
        <v>59</v>
      </c>
      <c r="Y146" t="s">
        <v>59</v>
      </c>
      <c r="Z146" t="s">
        <v>59</v>
      </c>
      <c r="AA146" t="s">
        <v>59</v>
      </c>
      <c r="AB146" t="s">
        <v>60</v>
      </c>
      <c r="AC146" t="s">
        <v>59</v>
      </c>
      <c r="AD146" t="s">
        <v>59</v>
      </c>
      <c r="AE146" t="s">
        <v>59</v>
      </c>
      <c r="AF146" t="s">
        <v>59</v>
      </c>
      <c r="AG146" t="s">
        <v>59</v>
      </c>
      <c r="AH146" t="s">
        <v>59</v>
      </c>
      <c r="AI146" t="s">
        <v>60</v>
      </c>
      <c r="AJ146" t="s">
        <v>59</v>
      </c>
      <c r="AK146" t="s">
        <v>59</v>
      </c>
      <c r="AL146" t="s">
        <v>59</v>
      </c>
      <c r="AM146" t="s">
        <v>59</v>
      </c>
      <c r="AN146" t="s">
        <v>59</v>
      </c>
      <c r="AO146" t="s">
        <v>59</v>
      </c>
      <c r="AP146" t="s">
        <v>545</v>
      </c>
      <c r="AQ146" t="s">
        <v>545</v>
      </c>
      <c r="AR146" t="s">
        <v>226</v>
      </c>
      <c r="AS146" t="s">
        <v>65</v>
      </c>
      <c r="AT146" t="s">
        <v>66</v>
      </c>
      <c r="AU146" t="s">
        <v>219</v>
      </c>
      <c r="AW146" s="4">
        <f t="shared" si="73"/>
        <v>6</v>
      </c>
      <c r="AX146" s="4">
        <f t="shared" si="74"/>
        <v>4</v>
      </c>
      <c r="AY146" s="4">
        <f t="shared" si="75"/>
        <v>4</v>
      </c>
      <c r="AZ146" s="4">
        <f t="shared" si="76"/>
        <v>2</v>
      </c>
      <c r="BA146" s="4">
        <f t="shared" si="77"/>
        <v>4</v>
      </c>
      <c r="BB146" s="4" t="str">
        <f t="shared" si="78"/>
        <v>0</v>
      </c>
      <c r="BC146" s="4">
        <f t="shared" si="79"/>
        <v>4</v>
      </c>
      <c r="BD146" s="4">
        <f t="shared" si="80"/>
        <v>2</v>
      </c>
      <c r="BE146" s="4">
        <f t="shared" si="81"/>
        <v>4</v>
      </c>
      <c r="BF146" s="4">
        <f t="shared" si="82"/>
        <v>2</v>
      </c>
      <c r="BG146" s="4">
        <f t="shared" si="83"/>
        <v>4</v>
      </c>
      <c r="BH146" s="4">
        <f t="shared" si="84"/>
        <v>4</v>
      </c>
      <c r="BI146" s="4">
        <f t="shared" si="85"/>
        <v>4</v>
      </c>
      <c r="BJ146" s="4">
        <f t="shared" si="86"/>
        <v>2</v>
      </c>
      <c r="BK146" s="4">
        <f t="shared" si="87"/>
        <v>4</v>
      </c>
      <c r="BL146" s="4" t="str">
        <f t="shared" si="88"/>
        <v>0</v>
      </c>
      <c r="BM146" s="4">
        <f t="shared" si="89"/>
        <v>4</v>
      </c>
      <c r="BN146" s="4">
        <f t="shared" si="90"/>
        <v>4</v>
      </c>
      <c r="BO146" s="4">
        <f t="shared" si="91"/>
        <v>4</v>
      </c>
      <c r="BP146" s="4">
        <f t="shared" si="92"/>
        <v>4</v>
      </c>
      <c r="BQ146" s="4">
        <f t="shared" si="93"/>
        <v>6</v>
      </c>
      <c r="BR146" s="4">
        <f t="shared" si="94"/>
        <v>4</v>
      </c>
      <c r="BS146" s="4" t="str">
        <f t="shared" si="95"/>
        <v>0</v>
      </c>
      <c r="BT146" s="4">
        <f t="shared" si="96"/>
        <v>4</v>
      </c>
      <c r="BU146" s="4">
        <f t="shared" si="97"/>
        <v>4</v>
      </c>
      <c r="BV146" s="4">
        <f t="shared" si="98"/>
        <v>0</v>
      </c>
      <c r="BW146" s="4">
        <f t="shared" si="99"/>
        <v>6</v>
      </c>
      <c r="BX146" s="4">
        <f t="shared" si="100"/>
        <v>0</v>
      </c>
      <c r="BY146" s="4">
        <f t="shared" si="101"/>
        <v>0</v>
      </c>
      <c r="BZ146" s="37">
        <f t="shared" si="102"/>
        <v>90</v>
      </c>
      <c r="CA146" s="32" t="str">
        <f>VLOOKUP(J:J,'Agent wise'!A:C,3,0)</f>
        <v>Saran S</v>
      </c>
      <c r="CB146" s="32">
        <f t="shared" si="103"/>
        <v>45933</v>
      </c>
      <c r="CC146" t="str">
        <f t="shared" si="104"/>
        <v>Good</v>
      </c>
      <c r="CE146" s="32"/>
      <c r="CJ146">
        <f t="shared" si="105"/>
        <v>3</v>
      </c>
      <c r="CK146">
        <f t="shared" si="106"/>
        <v>10</v>
      </c>
      <c r="CL146">
        <f t="shared" si="107"/>
        <v>2025</v>
      </c>
    </row>
    <row r="147" spans="1:90" ht="15" customHeight="1" x14ac:dyDescent="0.35">
      <c r="A147" s="40">
        <v>45726.761203703703</v>
      </c>
      <c r="B147" t="s">
        <v>100</v>
      </c>
      <c r="C147" t="s">
        <v>214</v>
      </c>
      <c r="D147" t="s">
        <v>101</v>
      </c>
      <c r="E147" s="32">
        <v>45933</v>
      </c>
      <c r="F147" t="s">
        <v>54</v>
      </c>
      <c r="G147" s="2">
        <v>45698</v>
      </c>
      <c r="H147">
        <v>9489408429</v>
      </c>
      <c r="I147">
        <v>147</v>
      </c>
      <c r="J147" t="s">
        <v>546</v>
      </c>
      <c r="K147" t="s">
        <v>71</v>
      </c>
      <c r="L147" t="s">
        <v>72</v>
      </c>
      <c r="M147" t="s">
        <v>59</v>
      </c>
      <c r="N147" t="s">
        <v>59</v>
      </c>
      <c r="O147" t="s">
        <v>59</v>
      </c>
      <c r="P147" t="s">
        <v>59</v>
      </c>
      <c r="Q147" t="s">
        <v>59</v>
      </c>
      <c r="R147" t="s">
        <v>59</v>
      </c>
      <c r="S147" t="s">
        <v>59</v>
      </c>
      <c r="T147" t="s">
        <v>59</v>
      </c>
      <c r="U147" t="s">
        <v>59</v>
      </c>
      <c r="V147" t="s">
        <v>59</v>
      </c>
      <c r="W147" t="s">
        <v>59</v>
      </c>
      <c r="X147" t="s">
        <v>59</v>
      </c>
      <c r="Y147" t="s">
        <v>59</v>
      </c>
      <c r="Z147" t="s">
        <v>59</v>
      </c>
      <c r="AA147" t="s">
        <v>60</v>
      </c>
      <c r="AB147" t="s">
        <v>59</v>
      </c>
      <c r="AC147" t="s">
        <v>60</v>
      </c>
      <c r="AD147" t="s">
        <v>59</v>
      </c>
      <c r="AE147" t="s">
        <v>59</v>
      </c>
      <c r="AF147" t="s">
        <v>59</v>
      </c>
      <c r="AG147" t="s">
        <v>59</v>
      </c>
      <c r="AH147" t="s">
        <v>59</v>
      </c>
      <c r="AI147" t="s">
        <v>61</v>
      </c>
      <c r="AJ147" t="s">
        <v>59</v>
      </c>
      <c r="AK147" t="s">
        <v>59</v>
      </c>
      <c r="AL147" t="s">
        <v>59</v>
      </c>
      <c r="AM147" t="s">
        <v>59</v>
      </c>
      <c r="AN147" t="s">
        <v>59</v>
      </c>
      <c r="AO147" t="s">
        <v>59</v>
      </c>
      <c r="AP147" t="s">
        <v>547</v>
      </c>
      <c r="AQ147" t="s">
        <v>547</v>
      </c>
      <c r="AR147" t="s">
        <v>64</v>
      </c>
      <c r="AS147" t="s">
        <v>89</v>
      </c>
      <c r="AT147" t="s">
        <v>84</v>
      </c>
      <c r="AU147" t="s">
        <v>219</v>
      </c>
      <c r="AW147" s="4">
        <f t="shared" si="73"/>
        <v>6</v>
      </c>
      <c r="AX147" s="4">
        <f t="shared" si="74"/>
        <v>4</v>
      </c>
      <c r="AY147" s="4">
        <f t="shared" si="75"/>
        <v>4</v>
      </c>
      <c r="AZ147" s="4">
        <f t="shared" si="76"/>
        <v>2</v>
      </c>
      <c r="BA147" s="4">
        <f t="shared" si="77"/>
        <v>4</v>
      </c>
      <c r="BB147" s="4">
        <f t="shared" si="78"/>
        <v>4</v>
      </c>
      <c r="BC147" s="4">
        <f t="shared" si="79"/>
        <v>4</v>
      </c>
      <c r="BD147" s="4">
        <f t="shared" si="80"/>
        <v>2</v>
      </c>
      <c r="BE147" s="4">
        <f t="shared" si="81"/>
        <v>4</v>
      </c>
      <c r="BF147" s="4">
        <f t="shared" si="82"/>
        <v>2</v>
      </c>
      <c r="BG147" s="4">
        <f t="shared" si="83"/>
        <v>4</v>
      </c>
      <c r="BH147" s="4">
        <f t="shared" si="84"/>
        <v>4</v>
      </c>
      <c r="BI147" s="4">
        <f t="shared" si="85"/>
        <v>4</v>
      </c>
      <c r="BJ147" s="4">
        <f t="shared" si="86"/>
        <v>2</v>
      </c>
      <c r="BK147" s="4" t="str">
        <f t="shared" si="87"/>
        <v>0</v>
      </c>
      <c r="BL147" s="4">
        <f t="shared" si="88"/>
        <v>2</v>
      </c>
      <c r="BM147" s="4" t="str">
        <f t="shared" si="89"/>
        <v>0</v>
      </c>
      <c r="BN147" s="4">
        <f t="shared" si="90"/>
        <v>4</v>
      </c>
      <c r="BO147" s="4">
        <f t="shared" si="91"/>
        <v>4</v>
      </c>
      <c r="BP147" s="4">
        <f t="shared" si="92"/>
        <v>4</v>
      </c>
      <c r="BQ147" s="4">
        <f t="shared" si="93"/>
        <v>6</v>
      </c>
      <c r="BR147" s="4">
        <f t="shared" si="94"/>
        <v>4</v>
      </c>
      <c r="BS147" s="4">
        <f t="shared" si="95"/>
        <v>4</v>
      </c>
      <c r="BT147" s="4">
        <f t="shared" si="96"/>
        <v>4</v>
      </c>
      <c r="BU147" s="4">
        <f t="shared" si="97"/>
        <v>4</v>
      </c>
      <c r="BV147" s="4">
        <f t="shared" si="98"/>
        <v>0</v>
      </c>
      <c r="BW147" s="4">
        <f t="shared" si="99"/>
        <v>6</v>
      </c>
      <c r="BX147" s="4">
        <f t="shared" si="100"/>
        <v>0</v>
      </c>
      <c r="BY147" s="4">
        <f t="shared" si="101"/>
        <v>0</v>
      </c>
      <c r="BZ147" s="37">
        <f t="shared" si="102"/>
        <v>92</v>
      </c>
      <c r="CA147" s="32" t="str">
        <f>VLOOKUP(J:J,'Agent wise'!A:C,3,0)</f>
        <v>Shakeer</v>
      </c>
      <c r="CB147" s="32">
        <f t="shared" si="103"/>
        <v>45933</v>
      </c>
      <c r="CC147" t="str">
        <f t="shared" si="104"/>
        <v>Good</v>
      </c>
      <c r="CE147" s="32"/>
      <c r="CJ147">
        <f t="shared" si="105"/>
        <v>3</v>
      </c>
      <c r="CK147">
        <f t="shared" si="106"/>
        <v>10</v>
      </c>
      <c r="CL147">
        <f t="shared" si="107"/>
        <v>2025</v>
      </c>
    </row>
    <row r="148" spans="1:90" ht="15" customHeight="1" x14ac:dyDescent="0.35">
      <c r="A148" s="40">
        <v>45726.772106481483</v>
      </c>
      <c r="B148" t="s">
        <v>100</v>
      </c>
      <c r="C148" t="s">
        <v>214</v>
      </c>
      <c r="D148" t="s">
        <v>101</v>
      </c>
      <c r="E148" s="32">
        <v>45933</v>
      </c>
      <c r="F148" t="s">
        <v>54</v>
      </c>
      <c r="G148" s="2">
        <v>45698</v>
      </c>
      <c r="H148">
        <v>8907560712</v>
      </c>
      <c r="I148">
        <v>137</v>
      </c>
      <c r="J148" t="s">
        <v>548</v>
      </c>
      <c r="K148" t="s">
        <v>57</v>
      </c>
      <c r="L148" t="s">
        <v>58</v>
      </c>
      <c r="M148" t="s">
        <v>59</v>
      </c>
      <c r="N148" t="s">
        <v>59</v>
      </c>
      <c r="O148" t="s">
        <v>59</v>
      </c>
      <c r="P148" t="s">
        <v>59</v>
      </c>
      <c r="Q148" t="s">
        <v>59</v>
      </c>
      <c r="R148" t="s">
        <v>60</v>
      </c>
      <c r="S148" t="s">
        <v>59</v>
      </c>
      <c r="T148" t="s">
        <v>59</v>
      </c>
      <c r="U148" t="s">
        <v>59</v>
      </c>
      <c r="V148" t="s">
        <v>59</v>
      </c>
      <c r="W148" t="s">
        <v>59</v>
      </c>
      <c r="X148" t="s">
        <v>59</v>
      </c>
      <c r="Y148" t="s">
        <v>59</v>
      </c>
      <c r="Z148" t="s">
        <v>59</v>
      </c>
      <c r="AA148" t="s">
        <v>60</v>
      </c>
      <c r="AB148" t="s">
        <v>60</v>
      </c>
      <c r="AC148" t="s">
        <v>59</v>
      </c>
      <c r="AD148" t="s">
        <v>59</v>
      </c>
      <c r="AE148" t="s">
        <v>59</v>
      </c>
      <c r="AF148" t="s">
        <v>59</v>
      </c>
      <c r="AG148" t="s">
        <v>59</v>
      </c>
      <c r="AH148" t="s">
        <v>59</v>
      </c>
      <c r="AI148" t="s">
        <v>61</v>
      </c>
      <c r="AJ148" t="s">
        <v>59</v>
      </c>
      <c r="AK148" t="s">
        <v>59</v>
      </c>
      <c r="AL148" t="s">
        <v>59</v>
      </c>
      <c r="AM148" t="s">
        <v>59</v>
      </c>
      <c r="AN148" t="s">
        <v>59</v>
      </c>
      <c r="AO148" t="s">
        <v>59</v>
      </c>
      <c r="AP148" t="s">
        <v>549</v>
      </c>
      <c r="AQ148" t="s">
        <v>549</v>
      </c>
      <c r="AR148" t="s">
        <v>64</v>
      </c>
      <c r="AS148" t="s">
        <v>550</v>
      </c>
      <c r="AT148" t="s">
        <v>551</v>
      </c>
      <c r="AU148" t="s">
        <v>219</v>
      </c>
      <c r="AW148" s="4">
        <f t="shared" si="73"/>
        <v>6</v>
      </c>
      <c r="AX148" s="4">
        <f t="shared" si="74"/>
        <v>4</v>
      </c>
      <c r="AY148" s="4">
        <f t="shared" si="75"/>
        <v>4</v>
      </c>
      <c r="AZ148" s="4">
        <f t="shared" si="76"/>
        <v>2</v>
      </c>
      <c r="BA148" s="4">
        <f t="shared" si="77"/>
        <v>4</v>
      </c>
      <c r="BB148" s="4" t="str">
        <f t="shared" si="78"/>
        <v>0</v>
      </c>
      <c r="BC148" s="4">
        <f t="shared" si="79"/>
        <v>4</v>
      </c>
      <c r="BD148" s="4">
        <f t="shared" si="80"/>
        <v>2</v>
      </c>
      <c r="BE148" s="4">
        <f t="shared" si="81"/>
        <v>4</v>
      </c>
      <c r="BF148" s="4">
        <f t="shared" si="82"/>
        <v>2</v>
      </c>
      <c r="BG148" s="4">
        <f t="shared" si="83"/>
        <v>4</v>
      </c>
      <c r="BH148" s="4">
        <f t="shared" si="84"/>
        <v>4</v>
      </c>
      <c r="BI148" s="4">
        <f t="shared" si="85"/>
        <v>4</v>
      </c>
      <c r="BJ148" s="4">
        <f t="shared" si="86"/>
        <v>2</v>
      </c>
      <c r="BK148" s="4" t="str">
        <f t="shared" si="87"/>
        <v>0</v>
      </c>
      <c r="BL148" s="4" t="str">
        <f t="shared" si="88"/>
        <v>0</v>
      </c>
      <c r="BM148" s="4">
        <f t="shared" si="89"/>
        <v>4</v>
      </c>
      <c r="BN148" s="4">
        <f t="shared" si="90"/>
        <v>4</v>
      </c>
      <c r="BO148" s="4">
        <f t="shared" si="91"/>
        <v>4</v>
      </c>
      <c r="BP148" s="4">
        <f t="shared" si="92"/>
        <v>4</v>
      </c>
      <c r="BQ148" s="4">
        <f t="shared" si="93"/>
        <v>6</v>
      </c>
      <c r="BR148" s="4">
        <f t="shared" si="94"/>
        <v>4</v>
      </c>
      <c r="BS148" s="4">
        <f t="shared" si="95"/>
        <v>4</v>
      </c>
      <c r="BT148" s="4">
        <f t="shared" si="96"/>
        <v>4</v>
      </c>
      <c r="BU148" s="4">
        <f t="shared" si="97"/>
        <v>4</v>
      </c>
      <c r="BV148" s="4">
        <f t="shared" si="98"/>
        <v>0</v>
      </c>
      <c r="BW148" s="4">
        <f t="shared" si="99"/>
        <v>6</v>
      </c>
      <c r="BX148" s="4">
        <f t="shared" si="100"/>
        <v>0</v>
      </c>
      <c r="BY148" s="4">
        <f t="shared" si="101"/>
        <v>0</v>
      </c>
      <c r="BZ148" s="37">
        <f t="shared" si="102"/>
        <v>90</v>
      </c>
      <c r="CA148" s="32" t="str">
        <f>VLOOKUP(J:J,'Agent wise'!A:C,3,0)</f>
        <v>Adharsh</v>
      </c>
      <c r="CB148" s="32">
        <f t="shared" si="103"/>
        <v>45933</v>
      </c>
      <c r="CC148" t="str">
        <f t="shared" si="104"/>
        <v>Good</v>
      </c>
      <c r="CE148" s="32"/>
      <c r="CJ148">
        <f t="shared" si="105"/>
        <v>3</v>
      </c>
      <c r="CK148">
        <f t="shared" si="106"/>
        <v>10</v>
      </c>
      <c r="CL148">
        <f t="shared" si="107"/>
        <v>2025</v>
      </c>
    </row>
    <row r="149" spans="1:90" ht="15" customHeight="1" x14ac:dyDescent="0.35">
      <c r="A149" s="40">
        <v>45726.789398148147</v>
      </c>
      <c r="B149" t="s">
        <v>100</v>
      </c>
      <c r="C149" t="s">
        <v>214</v>
      </c>
      <c r="D149" t="s">
        <v>101</v>
      </c>
      <c r="E149" s="32">
        <v>45933</v>
      </c>
      <c r="F149" t="s">
        <v>54</v>
      </c>
      <c r="G149" s="2">
        <v>45698</v>
      </c>
      <c r="H149">
        <v>9486461351</v>
      </c>
      <c r="I149">
        <v>137</v>
      </c>
      <c r="J149" t="s">
        <v>552</v>
      </c>
      <c r="K149" t="s">
        <v>71</v>
      </c>
      <c r="L149" t="s">
        <v>72</v>
      </c>
      <c r="M149" t="s">
        <v>59</v>
      </c>
      <c r="N149" t="s">
        <v>59</v>
      </c>
      <c r="O149" t="s">
        <v>59</v>
      </c>
      <c r="P149" t="s">
        <v>59</v>
      </c>
      <c r="Q149" t="s">
        <v>59</v>
      </c>
      <c r="R149" t="s">
        <v>60</v>
      </c>
      <c r="S149" t="s">
        <v>59</v>
      </c>
      <c r="T149" t="s">
        <v>59</v>
      </c>
      <c r="U149" t="s">
        <v>59</v>
      </c>
      <c r="V149" t="s">
        <v>59</v>
      </c>
      <c r="W149" t="s">
        <v>59</v>
      </c>
      <c r="X149" t="s">
        <v>59</v>
      </c>
      <c r="Y149" t="s">
        <v>59</v>
      </c>
      <c r="Z149" t="s">
        <v>59</v>
      </c>
      <c r="AA149" t="s">
        <v>60</v>
      </c>
      <c r="AB149" t="s">
        <v>59</v>
      </c>
      <c r="AC149" t="s">
        <v>59</v>
      </c>
      <c r="AD149" t="s">
        <v>59</v>
      </c>
      <c r="AE149" t="s">
        <v>59</v>
      </c>
      <c r="AF149" t="s">
        <v>59</v>
      </c>
      <c r="AG149" t="s">
        <v>59</v>
      </c>
      <c r="AH149" t="s">
        <v>59</v>
      </c>
      <c r="AI149" t="s">
        <v>61</v>
      </c>
      <c r="AJ149" t="s">
        <v>59</v>
      </c>
      <c r="AK149" t="s">
        <v>59</v>
      </c>
      <c r="AL149" t="s">
        <v>59</v>
      </c>
      <c r="AM149" t="s">
        <v>59</v>
      </c>
      <c r="AN149" t="s">
        <v>59</v>
      </c>
      <c r="AO149" t="s">
        <v>59</v>
      </c>
      <c r="AP149" t="s">
        <v>553</v>
      </c>
      <c r="AQ149" t="s">
        <v>553</v>
      </c>
      <c r="AR149" t="s">
        <v>64</v>
      </c>
      <c r="AS149" t="s">
        <v>171</v>
      </c>
      <c r="AT149" t="s">
        <v>190</v>
      </c>
      <c r="AU149" t="s">
        <v>219</v>
      </c>
      <c r="AW149" s="4">
        <f t="shared" si="73"/>
        <v>6</v>
      </c>
      <c r="AX149" s="4">
        <f t="shared" si="74"/>
        <v>4</v>
      </c>
      <c r="AY149" s="4">
        <f t="shared" si="75"/>
        <v>4</v>
      </c>
      <c r="AZ149" s="4">
        <f t="shared" si="76"/>
        <v>2</v>
      </c>
      <c r="BA149" s="4">
        <f t="shared" si="77"/>
        <v>4</v>
      </c>
      <c r="BB149" s="4" t="str">
        <f t="shared" si="78"/>
        <v>0</v>
      </c>
      <c r="BC149" s="4">
        <f t="shared" si="79"/>
        <v>4</v>
      </c>
      <c r="BD149" s="4">
        <f t="shared" si="80"/>
        <v>2</v>
      </c>
      <c r="BE149" s="4">
        <f t="shared" si="81"/>
        <v>4</v>
      </c>
      <c r="BF149" s="4">
        <f t="shared" si="82"/>
        <v>2</v>
      </c>
      <c r="BG149" s="4">
        <f t="shared" si="83"/>
        <v>4</v>
      </c>
      <c r="BH149" s="4">
        <f t="shared" si="84"/>
        <v>4</v>
      </c>
      <c r="BI149" s="4">
        <f t="shared" si="85"/>
        <v>4</v>
      </c>
      <c r="BJ149" s="4">
        <f t="shared" si="86"/>
        <v>2</v>
      </c>
      <c r="BK149" s="4" t="str">
        <f t="shared" si="87"/>
        <v>0</v>
      </c>
      <c r="BL149" s="4">
        <f t="shared" si="88"/>
        <v>2</v>
      </c>
      <c r="BM149" s="4">
        <f t="shared" si="89"/>
        <v>4</v>
      </c>
      <c r="BN149" s="4">
        <f t="shared" si="90"/>
        <v>4</v>
      </c>
      <c r="BO149" s="4">
        <f t="shared" si="91"/>
        <v>4</v>
      </c>
      <c r="BP149" s="4">
        <f t="shared" si="92"/>
        <v>4</v>
      </c>
      <c r="BQ149" s="4">
        <f t="shared" si="93"/>
        <v>6</v>
      </c>
      <c r="BR149" s="4">
        <f t="shared" si="94"/>
        <v>4</v>
      </c>
      <c r="BS149" s="4">
        <f t="shared" si="95"/>
        <v>4</v>
      </c>
      <c r="BT149" s="4">
        <f t="shared" si="96"/>
        <v>4</v>
      </c>
      <c r="BU149" s="4">
        <f t="shared" si="97"/>
        <v>4</v>
      </c>
      <c r="BV149" s="4">
        <f t="shared" si="98"/>
        <v>0</v>
      </c>
      <c r="BW149" s="4">
        <f t="shared" si="99"/>
        <v>6</v>
      </c>
      <c r="BX149" s="4">
        <f t="shared" si="100"/>
        <v>0</v>
      </c>
      <c r="BY149" s="4">
        <f t="shared" si="101"/>
        <v>0</v>
      </c>
      <c r="BZ149" s="37">
        <f t="shared" si="102"/>
        <v>92</v>
      </c>
      <c r="CA149" s="32" t="str">
        <f>VLOOKUP(J:J,'Agent wise'!A:C,3,0)</f>
        <v xml:space="preserve">Shiny </v>
      </c>
      <c r="CB149" s="32">
        <f t="shared" si="103"/>
        <v>45933</v>
      </c>
      <c r="CC149" t="str">
        <f t="shared" si="104"/>
        <v>Good</v>
      </c>
      <c r="CE149" s="32"/>
      <c r="CJ149">
        <f t="shared" si="105"/>
        <v>3</v>
      </c>
      <c r="CK149">
        <f t="shared" si="106"/>
        <v>10</v>
      </c>
      <c r="CL149">
        <f t="shared" si="107"/>
        <v>2025</v>
      </c>
    </row>
    <row r="150" spans="1:90" ht="15" customHeight="1" x14ac:dyDescent="0.35">
      <c r="A150" s="40">
        <v>45726.794062499997</v>
      </c>
      <c r="B150" t="s">
        <v>100</v>
      </c>
      <c r="C150" t="s">
        <v>214</v>
      </c>
      <c r="D150" t="s">
        <v>101</v>
      </c>
      <c r="E150" s="32">
        <v>45933</v>
      </c>
      <c r="F150" t="s">
        <v>54</v>
      </c>
      <c r="G150" s="2">
        <v>45698</v>
      </c>
      <c r="H150">
        <v>9043042990</v>
      </c>
      <c r="I150">
        <v>163</v>
      </c>
      <c r="J150" t="s">
        <v>533</v>
      </c>
      <c r="K150" t="s">
        <v>71</v>
      </c>
      <c r="L150" t="s">
        <v>72</v>
      </c>
      <c r="M150" t="s">
        <v>59</v>
      </c>
      <c r="N150" t="s">
        <v>59</v>
      </c>
      <c r="O150" t="s">
        <v>59</v>
      </c>
      <c r="P150" t="s">
        <v>59</v>
      </c>
      <c r="Q150" t="s">
        <v>59</v>
      </c>
      <c r="R150" t="s">
        <v>60</v>
      </c>
      <c r="S150" t="s">
        <v>59</v>
      </c>
      <c r="T150" t="s">
        <v>59</v>
      </c>
      <c r="U150" t="s">
        <v>59</v>
      </c>
      <c r="V150" t="s">
        <v>59</v>
      </c>
      <c r="W150" t="s">
        <v>59</v>
      </c>
      <c r="X150" t="s">
        <v>59</v>
      </c>
      <c r="Y150" t="s">
        <v>59</v>
      </c>
      <c r="Z150" t="s">
        <v>59</v>
      </c>
      <c r="AA150" t="s">
        <v>59</v>
      </c>
      <c r="AB150" t="s">
        <v>59</v>
      </c>
      <c r="AC150" t="s">
        <v>59</v>
      </c>
      <c r="AD150" t="s">
        <v>59</v>
      </c>
      <c r="AE150" t="s">
        <v>59</v>
      </c>
      <c r="AF150" t="s">
        <v>59</v>
      </c>
      <c r="AG150" t="s">
        <v>59</v>
      </c>
      <c r="AH150" t="s">
        <v>59</v>
      </c>
      <c r="AI150" t="s">
        <v>61</v>
      </c>
      <c r="AJ150" t="s">
        <v>59</v>
      </c>
      <c r="AK150" t="s">
        <v>59</v>
      </c>
      <c r="AL150" t="s">
        <v>59</v>
      </c>
      <c r="AM150" t="s">
        <v>59</v>
      </c>
      <c r="AN150" t="s">
        <v>59</v>
      </c>
      <c r="AO150" t="s">
        <v>59</v>
      </c>
      <c r="AP150" t="s">
        <v>554</v>
      </c>
      <c r="AQ150" t="s">
        <v>554</v>
      </c>
      <c r="AR150" t="s">
        <v>64</v>
      </c>
      <c r="AS150" t="s">
        <v>135</v>
      </c>
      <c r="AT150" t="s">
        <v>194</v>
      </c>
      <c r="AU150" t="s">
        <v>219</v>
      </c>
      <c r="AW150" s="4">
        <f t="shared" si="73"/>
        <v>6</v>
      </c>
      <c r="AX150" s="4">
        <f t="shared" si="74"/>
        <v>4</v>
      </c>
      <c r="AY150" s="4">
        <f t="shared" si="75"/>
        <v>4</v>
      </c>
      <c r="AZ150" s="4">
        <f t="shared" si="76"/>
        <v>2</v>
      </c>
      <c r="BA150" s="4">
        <f t="shared" si="77"/>
        <v>4</v>
      </c>
      <c r="BB150" s="4" t="str">
        <f t="shared" si="78"/>
        <v>0</v>
      </c>
      <c r="BC150" s="4">
        <f t="shared" si="79"/>
        <v>4</v>
      </c>
      <c r="BD150" s="4">
        <f t="shared" si="80"/>
        <v>2</v>
      </c>
      <c r="BE150" s="4">
        <f t="shared" si="81"/>
        <v>4</v>
      </c>
      <c r="BF150" s="4">
        <f t="shared" si="82"/>
        <v>2</v>
      </c>
      <c r="BG150" s="4">
        <f t="shared" si="83"/>
        <v>4</v>
      </c>
      <c r="BH150" s="4">
        <f t="shared" si="84"/>
        <v>4</v>
      </c>
      <c r="BI150" s="4">
        <f t="shared" si="85"/>
        <v>4</v>
      </c>
      <c r="BJ150" s="4">
        <f t="shared" si="86"/>
        <v>2</v>
      </c>
      <c r="BK150" s="4">
        <f t="shared" si="87"/>
        <v>4</v>
      </c>
      <c r="BL150" s="4">
        <f t="shared" si="88"/>
        <v>2</v>
      </c>
      <c r="BM150" s="4">
        <f t="shared" si="89"/>
        <v>4</v>
      </c>
      <c r="BN150" s="4">
        <f t="shared" si="90"/>
        <v>4</v>
      </c>
      <c r="BO150" s="4">
        <f t="shared" si="91"/>
        <v>4</v>
      </c>
      <c r="BP150" s="4">
        <f t="shared" si="92"/>
        <v>4</v>
      </c>
      <c r="BQ150" s="4">
        <f t="shared" si="93"/>
        <v>6</v>
      </c>
      <c r="BR150" s="4">
        <f t="shared" si="94"/>
        <v>4</v>
      </c>
      <c r="BS150" s="4">
        <f t="shared" si="95"/>
        <v>4</v>
      </c>
      <c r="BT150" s="4">
        <f t="shared" si="96"/>
        <v>4</v>
      </c>
      <c r="BU150" s="4">
        <f t="shared" si="97"/>
        <v>4</v>
      </c>
      <c r="BV150" s="4">
        <f t="shared" si="98"/>
        <v>0</v>
      </c>
      <c r="BW150" s="4">
        <f t="shared" si="99"/>
        <v>6</v>
      </c>
      <c r="BX150" s="4">
        <f t="shared" si="100"/>
        <v>0</v>
      </c>
      <c r="BY150" s="4">
        <f t="shared" si="101"/>
        <v>0</v>
      </c>
      <c r="BZ150" s="37">
        <f t="shared" si="102"/>
        <v>96</v>
      </c>
      <c r="CA150" s="32" t="str">
        <f>VLOOKUP(J:J,'Agent wise'!A:C,3,0)</f>
        <v xml:space="preserve">Shiny </v>
      </c>
      <c r="CB150" s="32">
        <f t="shared" si="103"/>
        <v>45933</v>
      </c>
      <c r="CC150" t="str">
        <f t="shared" si="104"/>
        <v>Excellent</v>
      </c>
      <c r="CE150" s="32"/>
      <c r="CJ150">
        <f t="shared" si="105"/>
        <v>3</v>
      </c>
      <c r="CK150">
        <f t="shared" si="106"/>
        <v>10</v>
      </c>
      <c r="CL150">
        <f t="shared" si="107"/>
        <v>2025</v>
      </c>
    </row>
    <row r="151" spans="1:90" ht="15" customHeight="1" x14ac:dyDescent="0.35">
      <c r="A151" s="40">
        <v>45726.797199074077</v>
      </c>
      <c r="B151" t="s">
        <v>100</v>
      </c>
      <c r="C151" t="s">
        <v>214</v>
      </c>
      <c r="D151" t="s">
        <v>101</v>
      </c>
      <c r="E151" s="32">
        <v>45933</v>
      </c>
      <c r="F151" t="s">
        <v>54</v>
      </c>
      <c r="G151" s="2">
        <v>45698</v>
      </c>
      <c r="H151">
        <v>9791748377</v>
      </c>
      <c r="I151">
        <v>145</v>
      </c>
      <c r="J151" t="s">
        <v>451</v>
      </c>
      <c r="K151" t="s">
        <v>71</v>
      </c>
      <c r="L151" t="s">
        <v>72</v>
      </c>
      <c r="M151" t="s">
        <v>59</v>
      </c>
      <c r="N151" t="s">
        <v>59</v>
      </c>
      <c r="O151" t="s">
        <v>59</v>
      </c>
      <c r="P151" t="s">
        <v>59</v>
      </c>
      <c r="Q151" t="s">
        <v>59</v>
      </c>
      <c r="R151" t="s">
        <v>59</v>
      </c>
      <c r="S151" t="s">
        <v>59</v>
      </c>
      <c r="T151" t="s">
        <v>59</v>
      </c>
      <c r="U151" t="s">
        <v>59</v>
      </c>
      <c r="V151" t="s">
        <v>59</v>
      </c>
      <c r="W151" t="s">
        <v>59</v>
      </c>
      <c r="X151" t="s">
        <v>59</v>
      </c>
      <c r="Y151" t="s">
        <v>59</v>
      </c>
      <c r="Z151" t="s">
        <v>59</v>
      </c>
      <c r="AA151" t="s">
        <v>59</v>
      </c>
      <c r="AB151" t="s">
        <v>59</v>
      </c>
      <c r="AC151" t="s">
        <v>60</v>
      </c>
      <c r="AD151" t="s">
        <v>59</v>
      </c>
      <c r="AE151" t="s">
        <v>59</v>
      </c>
      <c r="AF151" t="s">
        <v>59</v>
      </c>
      <c r="AG151" t="s">
        <v>59</v>
      </c>
      <c r="AH151" t="s">
        <v>59</v>
      </c>
      <c r="AI151" t="s">
        <v>61</v>
      </c>
      <c r="AJ151" t="s">
        <v>59</v>
      </c>
      <c r="AK151" t="s">
        <v>59</v>
      </c>
      <c r="AL151" t="s">
        <v>59</v>
      </c>
      <c r="AM151" t="s">
        <v>59</v>
      </c>
      <c r="AN151" t="s">
        <v>59</v>
      </c>
      <c r="AO151" t="s">
        <v>59</v>
      </c>
      <c r="AP151" t="s">
        <v>547</v>
      </c>
      <c r="AQ151" t="s">
        <v>547</v>
      </c>
      <c r="AR151" t="s">
        <v>64</v>
      </c>
      <c r="AS151" t="s">
        <v>555</v>
      </c>
      <c r="AT151" t="s">
        <v>556</v>
      </c>
      <c r="AU151" t="s">
        <v>219</v>
      </c>
      <c r="AW151" s="4">
        <f t="shared" si="73"/>
        <v>6</v>
      </c>
      <c r="AX151" s="4">
        <f t="shared" si="74"/>
        <v>4</v>
      </c>
      <c r="AY151" s="4">
        <f t="shared" si="75"/>
        <v>4</v>
      </c>
      <c r="AZ151" s="4">
        <f t="shared" si="76"/>
        <v>2</v>
      </c>
      <c r="BA151" s="4">
        <f t="shared" si="77"/>
        <v>4</v>
      </c>
      <c r="BB151" s="4">
        <f t="shared" si="78"/>
        <v>4</v>
      </c>
      <c r="BC151" s="4">
        <f t="shared" si="79"/>
        <v>4</v>
      </c>
      <c r="BD151" s="4">
        <f t="shared" si="80"/>
        <v>2</v>
      </c>
      <c r="BE151" s="4">
        <f t="shared" si="81"/>
        <v>4</v>
      </c>
      <c r="BF151" s="4">
        <f t="shared" si="82"/>
        <v>2</v>
      </c>
      <c r="BG151" s="4">
        <f t="shared" si="83"/>
        <v>4</v>
      </c>
      <c r="BH151" s="4">
        <f t="shared" si="84"/>
        <v>4</v>
      </c>
      <c r="BI151" s="4">
        <f t="shared" si="85"/>
        <v>4</v>
      </c>
      <c r="BJ151" s="4">
        <f t="shared" si="86"/>
        <v>2</v>
      </c>
      <c r="BK151" s="4">
        <f t="shared" si="87"/>
        <v>4</v>
      </c>
      <c r="BL151" s="4">
        <f t="shared" si="88"/>
        <v>2</v>
      </c>
      <c r="BM151" s="4" t="str">
        <f t="shared" si="89"/>
        <v>0</v>
      </c>
      <c r="BN151" s="4">
        <f t="shared" si="90"/>
        <v>4</v>
      </c>
      <c r="BO151" s="4">
        <f t="shared" si="91"/>
        <v>4</v>
      </c>
      <c r="BP151" s="4">
        <f t="shared" si="92"/>
        <v>4</v>
      </c>
      <c r="BQ151" s="4">
        <f t="shared" si="93"/>
        <v>6</v>
      </c>
      <c r="BR151" s="4">
        <f t="shared" si="94"/>
        <v>4</v>
      </c>
      <c r="BS151" s="4">
        <f t="shared" si="95"/>
        <v>4</v>
      </c>
      <c r="BT151" s="4">
        <f t="shared" si="96"/>
        <v>4</v>
      </c>
      <c r="BU151" s="4">
        <f t="shared" si="97"/>
        <v>4</v>
      </c>
      <c r="BV151" s="4">
        <f t="shared" si="98"/>
        <v>0</v>
      </c>
      <c r="BW151" s="4">
        <f t="shared" si="99"/>
        <v>6</v>
      </c>
      <c r="BX151" s="4">
        <f t="shared" si="100"/>
        <v>0</v>
      </c>
      <c r="BY151" s="4">
        <f t="shared" si="101"/>
        <v>0</v>
      </c>
      <c r="BZ151" s="37">
        <f t="shared" si="102"/>
        <v>96</v>
      </c>
      <c r="CA151" s="32" t="str">
        <f>VLOOKUP(J:J,'Agent wise'!A:C,3,0)</f>
        <v xml:space="preserve">Shiny </v>
      </c>
      <c r="CB151" s="32">
        <f t="shared" si="103"/>
        <v>45933</v>
      </c>
      <c r="CC151" t="str">
        <f t="shared" si="104"/>
        <v>Excellent</v>
      </c>
      <c r="CE151" s="32"/>
      <c r="CJ151">
        <f t="shared" si="105"/>
        <v>3</v>
      </c>
      <c r="CK151">
        <f t="shared" si="106"/>
        <v>10</v>
      </c>
      <c r="CL151">
        <f t="shared" si="107"/>
        <v>2025</v>
      </c>
    </row>
    <row r="152" spans="1:90" ht="15" customHeight="1" x14ac:dyDescent="0.35">
      <c r="A152" s="40">
        <v>45726.799722222233</v>
      </c>
      <c r="B152" t="s">
        <v>100</v>
      </c>
      <c r="C152" t="s">
        <v>214</v>
      </c>
      <c r="D152" t="s">
        <v>101</v>
      </c>
      <c r="E152" s="32">
        <v>45933</v>
      </c>
      <c r="F152" t="s">
        <v>54</v>
      </c>
      <c r="G152" s="2">
        <v>45698</v>
      </c>
      <c r="H152">
        <v>9659389552</v>
      </c>
      <c r="I152">
        <v>132</v>
      </c>
      <c r="J152" t="s">
        <v>557</v>
      </c>
      <c r="K152" t="s">
        <v>71</v>
      </c>
      <c r="L152" t="s">
        <v>72</v>
      </c>
      <c r="M152" t="s">
        <v>59</v>
      </c>
      <c r="N152" t="s">
        <v>59</v>
      </c>
      <c r="O152" t="s">
        <v>59</v>
      </c>
      <c r="P152" t="s">
        <v>59</v>
      </c>
      <c r="Q152" t="s">
        <v>59</v>
      </c>
      <c r="R152" t="s">
        <v>60</v>
      </c>
      <c r="S152" t="s">
        <v>59</v>
      </c>
      <c r="T152" t="s">
        <v>59</v>
      </c>
      <c r="U152" t="s">
        <v>59</v>
      </c>
      <c r="V152" t="s">
        <v>59</v>
      </c>
      <c r="W152" t="s">
        <v>59</v>
      </c>
      <c r="X152" t="s">
        <v>59</v>
      </c>
      <c r="Y152" t="s">
        <v>59</v>
      </c>
      <c r="Z152" t="s">
        <v>59</v>
      </c>
      <c r="AA152" t="s">
        <v>59</v>
      </c>
      <c r="AB152" t="s">
        <v>59</v>
      </c>
      <c r="AC152" t="s">
        <v>59</v>
      </c>
      <c r="AD152" t="s">
        <v>59</v>
      </c>
      <c r="AE152" t="s">
        <v>59</v>
      </c>
      <c r="AF152" t="s">
        <v>59</v>
      </c>
      <c r="AG152" t="s">
        <v>59</v>
      </c>
      <c r="AH152" t="s">
        <v>59</v>
      </c>
      <c r="AI152" t="s">
        <v>61</v>
      </c>
      <c r="AJ152" t="s">
        <v>59</v>
      </c>
      <c r="AK152" t="s">
        <v>59</v>
      </c>
      <c r="AL152" t="s">
        <v>59</v>
      </c>
      <c r="AM152" t="s">
        <v>59</v>
      </c>
      <c r="AN152" t="s">
        <v>59</v>
      </c>
      <c r="AO152" t="s">
        <v>59</v>
      </c>
      <c r="AP152" t="s">
        <v>554</v>
      </c>
      <c r="AQ152" t="s">
        <v>554</v>
      </c>
      <c r="AR152" t="s">
        <v>64</v>
      </c>
      <c r="AS152" t="s">
        <v>175</v>
      </c>
      <c r="AT152" t="s">
        <v>558</v>
      </c>
      <c r="AU152" t="s">
        <v>219</v>
      </c>
      <c r="AW152" s="4">
        <f t="shared" si="73"/>
        <v>6</v>
      </c>
      <c r="AX152" s="4">
        <f t="shared" si="74"/>
        <v>4</v>
      </c>
      <c r="AY152" s="4">
        <f t="shared" si="75"/>
        <v>4</v>
      </c>
      <c r="AZ152" s="4">
        <f t="shared" si="76"/>
        <v>2</v>
      </c>
      <c r="BA152" s="4">
        <f t="shared" si="77"/>
        <v>4</v>
      </c>
      <c r="BB152" s="4" t="str">
        <f t="shared" si="78"/>
        <v>0</v>
      </c>
      <c r="BC152" s="4">
        <f t="shared" si="79"/>
        <v>4</v>
      </c>
      <c r="BD152" s="4">
        <f t="shared" si="80"/>
        <v>2</v>
      </c>
      <c r="BE152" s="4">
        <f t="shared" si="81"/>
        <v>4</v>
      </c>
      <c r="BF152" s="4">
        <f t="shared" si="82"/>
        <v>2</v>
      </c>
      <c r="BG152" s="4">
        <f t="shared" si="83"/>
        <v>4</v>
      </c>
      <c r="BH152" s="4">
        <f t="shared" si="84"/>
        <v>4</v>
      </c>
      <c r="BI152" s="4">
        <f t="shared" si="85"/>
        <v>4</v>
      </c>
      <c r="BJ152" s="4">
        <f t="shared" si="86"/>
        <v>2</v>
      </c>
      <c r="BK152" s="4">
        <f t="shared" si="87"/>
        <v>4</v>
      </c>
      <c r="BL152" s="4">
        <f t="shared" si="88"/>
        <v>2</v>
      </c>
      <c r="BM152" s="4">
        <f t="shared" si="89"/>
        <v>4</v>
      </c>
      <c r="BN152" s="4">
        <f t="shared" si="90"/>
        <v>4</v>
      </c>
      <c r="BO152" s="4">
        <f t="shared" si="91"/>
        <v>4</v>
      </c>
      <c r="BP152" s="4">
        <f t="shared" si="92"/>
        <v>4</v>
      </c>
      <c r="BQ152" s="4">
        <f t="shared" si="93"/>
        <v>6</v>
      </c>
      <c r="BR152" s="4">
        <f t="shared" si="94"/>
        <v>4</v>
      </c>
      <c r="BS152" s="4">
        <f t="shared" si="95"/>
        <v>4</v>
      </c>
      <c r="BT152" s="4">
        <f t="shared" si="96"/>
        <v>4</v>
      </c>
      <c r="BU152" s="4">
        <f t="shared" si="97"/>
        <v>4</v>
      </c>
      <c r="BV152" s="4">
        <f t="shared" si="98"/>
        <v>0</v>
      </c>
      <c r="BW152" s="4">
        <f t="shared" si="99"/>
        <v>6</v>
      </c>
      <c r="BX152" s="4">
        <f t="shared" si="100"/>
        <v>0</v>
      </c>
      <c r="BY152" s="4">
        <f t="shared" si="101"/>
        <v>0</v>
      </c>
      <c r="BZ152" s="37">
        <f t="shared" si="102"/>
        <v>96</v>
      </c>
      <c r="CA152" s="32" t="str">
        <f>VLOOKUP(J:J,'Agent wise'!A:C,3,0)</f>
        <v xml:space="preserve">Shiny </v>
      </c>
      <c r="CB152" s="32">
        <f t="shared" si="103"/>
        <v>45933</v>
      </c>
      <c r="CC152" t="str">
        <f t="shared" si="104"/>
        <v>Excellent</v>
      </c>
      <c r="CE152" s="32"/>
      <c r="CJ152">
        <f t="shared" si="105"/>
        <v>3</v>
      </c>
      <c r="CK152">
        <f t="shared" si="106"/>
        <v>10</v>
      </c>
      <c r="CL152">
        <f t="shared" si="107"/>
        <v>2025</v>
      </c>
    </row>
    <row r="153" spans="1:90" ht="15" customHeight="1" x14ac:dyDescent="0.35">
      <c r="A153" s="40">
        <v>45726.802349537043</v>
      </c>
      <c r="B153" t="s">
        <v>100</v>
      </c>
      <c r="C153" t="s">
        <v>214</v>
      </c>
      <c r="D153" t="s">
        <v>101</v>
      </c>
      <c r="E153" s="32">
        <v>45933</v>
      </c>
      <c r="F153" t="s">
        <v>54</v>
      </c>
      <c r="G153" s="2">
        <v>45698</v>
      </c>
      <c r="H153">
        <v>9249940913</v>
      </c>
      <c r="I153">
        <v>132</v>
      </c>
      <c r="J153" t="s">
        <v>559</v>
      </c>
      <c r="K153" t="s">
        <v>57</v>
      </c>
      <c r="L153" t="s">
        <v>58</v>
      </c>
      <c r="M153" t="s">
        <v>59</v>
      </c>
      <c r="N153" t="s">
        <v>59</v>
      </c>
      <c r="O153" t="s">
        <v>59</v>
      </c>
      <c r="P153" t="s">
        <v>59</v>
      </c>
      <c r="Q153" t="s">
        <v>59</v>
      </c>
      <c r="R153" t="s">
        <v>60</v>
      </c>
      <c r="S153" t="s">
        <v>59</v>
      </c>
      <c r="T153" t="s">
        <v>59</v>
      </c>
      <c r="U153" t="s">
        <v>59</v>
      </c>
      <c r="V153" t="s">
        <v>59</v>
      </c>
      <c r="W153" t="s">
        <v>59</v>
      </c>
      <c r="X153" t="s">
        <v>59</v>
      </c>
      <c r="Y153" t="s">
        <v>59</v>
      </c>
      <c r="Z153" t="s">
        <v>59</v>
      </c>
      <c r="AA153" t="s">
        <v>60</v>
      </c>
      <c r="AB153" t="s">
        <v>59</v>
      </c>
      <c r="AC153" t="s">
        <v>59</v>
      </c>
      <c r="AD153" t="s">
        <v>59</v>
      </c>
      <c r="AE153" t="s">
        <v>59</v>
      </c>
      <c r="AF153" t="s">
        <v>59</v>
      </c>
      <c r="AG153" t="s">
        <v>59</v>
      </c>
      <c r="AH153" t="s">
        <v>59</v>
      </c>
      <c r="AI153" t="s">
        <v>61</v>
      </c>
      <c r="AJ153" t="s">
        <v>59</v>
      </c>
      <c r="AK153" t="s">
        <v>59</v>
      </c>
      <c r="AL153" t="s">
        <v>59</v>
      </c>
      <c r="AM153" t="s">
        <v>59</v>
      </c>
      <c r="AN153" t="s">
        <v>59</v>
      </c>
      <c r="AO153" t="s">
        <v>59</v>
      </c>
      <c r="AP153" t="s">
        <v>560</v>
      </c>
      <c r="AQ153" t="s">
        <v>560</v>
      </c>
      <c r="AR153" t="s">
        <v>64</v>
      </c>
      <c r="AS153" t="s">
        <v>344</v>
      </c>
      <c r="AT153" t="s">
        <v>190</v>
      </c>
      <c r="AU153" t="s">
        <v>219</v>
      </c>
      <c r="AW153" s="4">
        <f t="shared" si="73"/>
        <v>6</v>
      </c>
      <c r="AX153" s="4">
        <f t="shared" si="74"/>
        <v>4</v>
      </c>
      <c r="AY153" s="4">
        <f t="shared" si="75"/>
        <v>4</v>
      </c>
      <c r="AZ153" s="4">
        <f t="shared" si="76"/>
        <v>2</v>
      </c>
      <c r="BA153" s="4">
        <f t="shared" si="77"/>
        <v>4</v>
      </c>
      <c r="BB153" s="4" t="str">
        <f t="shared" si="78"/>
        <v>0</v>
      </c>
      <c r="BC153" s="4">
        <f t="shared" si="79"/>
        <v>4</v>
      </c>
      <c r="BD153" s="4">
        <f t="shared" si="80"/>
        <v>2</v>
      </c>
      <c r="BE153" s="4">
        <f t="shared" si="81"/>
        <v>4</v>
      </c>
      <c r="BF153" s="4">
        <f t="shared" si="82"/>
        <v>2</v>
      </c>
      <c r="BG153" s="4">
        <f t="shared" si="83"/>
        <v>4</v>
      </c>
      <c r="BH153" s="4">
        <f t="shared" si="84"/>
        <v>4</v>
      </c>
      <c r="BI153" s="4">
        <f t="shared" si="85"/>
        <v>4</v>
      </c>
      <c r="BJ153" s="4">
        <f t="shared" si="86"/>
        <v>2</v>
      </c>
      <c r="BK153" s="4" t="str">
        <f t="shared" si="87"/>
        <v>0</v>
      </c>
      <c r="BL153" s="4">
        <f t="shared" si="88"/>
        <v>2</v>
      </c>
      <c r="BM153" s="4">
        <f t="shared" si="89"/>
        <v>4</v>
      </c>
      <c r="BN153" s="4">
        <f t="shared" si="90"/>
        <v>4</v>
      </c>
      <c r="BO153" s="4">
        <f t="shared" si="91"/>
        <v>4</v>
      </c>
      <c r="BP153" s="4">
        <f t="shared" si="92"/>
        <v>4</v>
      </c>
      <c r="BQ153" s="4">
        <f t="shared" si="93"/>
        <v>6</v>
      </c>
      <c r="BR153" s="4">
        <f t="shared" si="94"/>
        <v>4</v>
      </c>
      <c r="BS153" s="4">
        <f t="shared" si="95"/>
        <v>4</v>
      </c>
      <c r="BT153" s="4">
        <f t="shared" si="96"/>
        <v>4</v>
      </c>
      <c r="BU153" s="4">
        <f t="shared" si="97"/>
        <v>4</v>
      </c>
      <c r="BV153" s="4">
        <f t="shared" si="98"/>
        <v>0</v>
      </c>
      <c r="BW153" s="4">
        <f t="shared" si="99"/>
        <v>6</v>
      </c>
      <c r="BX153" s="4">
        <f t="shared" si="100"/>
        <v>0</v>
      </c>
      <c r="BY153" s="4">
        <f t="shared" si="101"/>
        <v>0</v>
      </c>
      <c r="BZ153" s="37">
        <f t="shared" si="102"/>
        <v>92</v>
      </c>
      <c r="CA153" s="32" t="str">
        <f>VLOOKUP(J:J,'Agent wise'!A:C,3,0)</f>
        <v xml:space="preserve">Shiny </v>
      </c>
      <c r="CB153" s="32">
        <f t="shared" si="103"/>
        <v>45933</v>
      </c>
      <c r="CC153" t="str">
        <f t="shared" si="104"/>
        <v>Good</v>
      </c>
      <c r="CE153" s="32"/>
      <c r="CJ153">
        <f t="shared" si="105"/>
        <v>3</v>
      </c>
      <c r="CK153">
        <f t="shared" si="106"/>
        <v>10</v>
      </c>
      <c r="CL153">
        <f t="shared" si="107"/>
        <v>2025</v>
      </c>
    </row>
    <row r="154" spans="1:90" ht="15" customHeight="1" x14ac:dyDescent="0.35">
      <c r="A154" s="40">
        <v>45726.972986111112</v>
      </c>
      <c r="B154" t="s">
        <v>250</v>
      </c>
      <c r="C154" t="s">
        <v>214</v>
      </c>
      <c r="D154" t="s">
        <v>251</v>
      </c>
      <c r="E154" s="32">
        <v>45933</v>
      </c>
      <c r="F154" t="s">
        <v>222</v>
      </c>
      <c r="G154" s="2">
        <v>45667</v>
      </c>
      <c r="H154">
        <v>7736831856</v>
      </c>
      <c r="I154">
        <v>153</v>
      </c>
      <c r="J154" t="s">
        <v>353</v>
      </c>
      <c r="K154" t="s">
        <v>57</v>
      </c>
      <c r="L154" t="s">
        <v>58</v>
      </c>
      <c r="M154" t="s">
        <v>59</v>
      </c>
      <c r="N154" t="s">
        <v>59</v>
      </c>
      <c r="O154" t="s">
        <v>59</v>
      </c>
      <c r="P154" t="s">
        <v>59</v>
      </c>
      <c r="Q154" t="s">
        <v>59</v>
      </c>
      <c r="R154" t="s">
        <v>59</v>
      </c>
      <c r="S154" t="s">
        <v>59</v>
      </c>
      <c r="T154" t="s">
        <v>59</v>
      </c>
      <c r="U154" t="s">
        <v>60</v>
      </c>
      <c r="V154" t="s">
        <v>59</v>
      </c>
      <c r="W154" t="s">
        <v>59</v>
      </c>
      <c r="X154" t="s">
        <v>59</v>
      </c>
      <c r="Y154" t="s">
        <v>59</v>
      </c>
      <c r="Z154" t="s">
        <v>59</v>
      </c>
      <c r="AA154" t="s">
        <v>59</v>
      </c>
      <c r="AB154" t="s">
        <v>60</v>
      </c>
      <c r="AC154" t="s">
        <v>59</v>
      </c>
      <c r="AD154" t="s">
        <v>59</v>
      </c>
      <c r="AE154" t="s">
        <v>59</v>
      </c>
      <c r="AF154" t="s">
        <v>59</v>
      </c>
      <c r="AG154" t="s">
        <v>59</v>
      </c>
      <c r="AH154" t="s">
        <v>59</v>
      </c>
      <c r="AI154" t="s">
        <v>60</v>
      </c>
      <c r="AJ154" t="s">
        <v>59</v>
      </c>
      <c r="AK154" t="s">
        <v>59</v>
      </c>
      <c r="AL154" t="s">
        <v>60</v>
      </c>
      <c r="AM154" t="s">
        <v>59</v>
      </c>
      <c r="AN154" t="s">
        <v>59</v>
      </c>
      <c r="AO154" t="s">
        <v>59</v>
      </c>
      <c r="AP154" t="s">
        <v>561</v>
      </c>
      <c r="AQ154" t="s">
        <v>562</v>
      </c>
      <c r="AR154" t="s">
        <v>64</v>
      </c>
      <c r="AS154" t="s">
        <v>404</v>
      </c>
      <c r="AT154" t="s">
        <v>249</v>
      </c>
      <c r="AU154" t="s">
        <v>219</v>
      </c>
      <c r="AW154" s="4">
        <f t="shared" si="73"/>
        <v>6</v>
      </c>
      <c r="AX154" s="4">
        <f t="shared" si="74"/>
        <v>4</v>
      </c>
      <c r="AY154" s="4">
        <f t="shared" si="75"/>
        <v>4</v>
      </c>
      <c r="AZ154" s="4">
        <f t="shared" si="76"/>
        <v>2</v>
      </c>
      <c r="BA154" s="4">
        <f t="shared" si="77"/>
        <v>4</v>
      </c>
      <c r="BB154" s="4">
        <f t="shared" si="78"/>
        <v>4</v>
      </c>
      <c r="BC154" s="4">
        <f t="shared" si="79"/>
        <v>4</v>
      </c>
      <c r="BD154" s="4">
        <f t="shared" si="80"/>
        <v>2</v>
      </c>
      <c r="BE154" s="4" t="str">
        <f t="shared" si="81"/>
        <v>0</v>
      </c>
      <c r="BF154" s="4">
        <f t="shared" si="82"/>
        <v>2</v>
      </c>
      <c r="BG154" s="4">
        <f t="shared" si="83"/>
        <v>4</v>
      </c>
      <c r="BH154" s="4">
        <f t="shared" si="84"/>
        <v>4</v>
      </c>
      <c r="BI154" s="4">
        <f t="shared" si="85"/>
        <v>4</v>
      </c>
      <c r="BJ154" s="4">
        <f t="shared" si="86"/>
        <v>2</v>
      </c>
      <c r="BK154" s="4">
        <f t="shared" si="87"/>
        <v>4</v>
      </c>
      <c r="BL154" s="4" t="str">
        <f t="shared" si="88"/>
        <v>0</v>
      </c>
      <c r="BM154" s="4">
        <f t="shared" si="89"/>
        <v>4</v>
      </c>
      <c r="BN154" s="4">
        <f t="shared" si="90"/>
        <v>4</v>
      </c>
      <c r="BO154" s="4">
        <f t="shared" si="91"/>
        <v>4</v>
      </c>
      <c r="BP154" s="4">
        <f t="shared" si="92"/>
        <v>4</v>
      </c>
      <c r="BQ154" s="4">
        <f t="shared" si="93"/>
        <v>6</v>
      </c>
      <c r="BR154" s="4">
        <f t="shared" si="94"/>
        <v>4</v>
      </c>
      <c r="BS154" s="4" t="str">
        <f t="shared" si="95"/>
        <v>0</v>
      </c>
      <c r="BT154" s="4">
        <f t="shared" si="96"/>
        <v>4</v>
      </c>
      <c r="BU154" s="4">
        <f t="shared" si="97"/>
        <v>4</v>
      </c>
      <c r="BV154" s="4" t="str">
        <f t="shared" si="98"/>
        <v>0</v>
      </c>
      <c r="BW154" s="4">
        <f t="shared" si="99"/>
        <v>6</v>
      </c>
      <c r="BX154" s="4">
        <f t="shared" si="100"/>
        <v>0</v>
      </c>
      <c r="BY154" s="4">
        <f t="shared" si="101"/>
        <v>0</v>
      </c>
      <c r="BZ154" s="37">
        <f t="shared" si="102"/>
        <v>90</v>
      </c>
      <c r="CA154" s="32" t="str">
        <f>VLOOKUP(J:J,'Agent wise'!A:C,3,0)</f>
        <v>Amal</v>
      </c>
      <c r="CB154" s="32">
        <f t="shared" si="103"/>
        <v>45933</v>
      </c>
      <c r="CC154" t="str">
        <f t="shared" si="104"/>
        <v>Good</v>
      </c>
      <c r="CE154" s="32"/>
      <c r="CJ154">
        <f t="shared" si="105"/>
        <v>3</v>
      </c>
      <c r="CK154">
        <f t="shared" si="106"/>
        <v>10</v>
      </c>
      <c r="CL154">
        <f t="shared" si="107"/>
        <v>2025</v>
      </c>
    </row>
    <row r="155" spans="1:90" ht="15" customHeight="1" x14ac:dyDescent="0.35">
      <c r="A155" s="40">
        <v>45726.975405092591</v>
      </c>
      <c r="B155" t="s">
        <v>250</v>
      </c>
      <c r="C155" t="s">
        <v>214</v>
      </c>
      <c r="D155" t="s">
        <v>251</v>
      </c>
      <c r="E155" s="32">
        <v>45933</v>
      </c>
      <c r="F155" t="s">
        <v>222</v>
      </c>
      <c r="G155" s="2">
        <v>45698</v>
      </c>
      <c r="H155">
        <v>7012928401</v>
      </c>
      <c r="I155">
        <v>146</v>
      </c>
      <c r="J155" t="s">
        <v>307</v>
      </c>
      <c r="K155" t="s">
        <v>57</v>
      </c>
      <c r="L155" t="s">
        <v>58</v>
      </c>
      <c r="M155" t="s">
        <v>59</v>
      </c>
      <c r="N155" t="s">
        <v>59</v>
      </c>
      <c r="O155" t="s">
        <v>59</v>
      </c>
      <c r="P155" t="s">
        <v>61</v>
      </c>
      <c r="Q155" t="s">
        <v>59</v>
      </c>
      <c r="R155" t="s">
        <v>59</v>
      </c>
      <c r="S155" t="s">
        <v>59</v>
      </c>
      <c r="T155" t="s">
        <v>59</v>
      </c>
      <c r="U155" t="s">
        <v>60</v>
      </c>
      <c r="V155" t="s">
        <v>59</v>
      </c>
      <c r="W155" t="s">
        <v>59</v>
      </c>
      <c r="X155" t="s">
        <v>59</v>
      </c>
      <c r="Y155" t="s">
        <v>59</v>
      </c>
      <c r="Z155" t="s">
        <v>59</v>
      </c>
      <c r="AA155" t="s">
        <v>59</v>
      </c>
      <c r="AB155" t="s">
        <v>59</v>
      </c>
      <c r="AC155" t="s">
        <v>59</v>
      </c>
      <c r="AD155" t="s">
        <v>59</v>
      </c>
      <c r="AE155" t="s">
        <v>59</v>
      </c>
      <c r="AF155" t="s">
        <v>59</v>
      </c>
      <c r="AG155" t="s">
        <v>59</v>
      </c>
      <c r="AH155" t="s">
        <v>61</v>
      </c>
      <c r="AI155" t="s">
        <v>61</v>
      </c>
      <c r="AJ155" t="s">
        <v>59</v>
      </c>
      <c r="AK155" t="s">
        <v>59</v>
      </c>
      <c r="AL155" t="s">
        <v>60</v>
      </c>
      <c r="AM155" t="s">
        <v>59</v>
      </c>
      <c r="AN155" t="s">
        <v>59</v>
      </c>
      <c r="AO155" t="s">
        <v>59</v>
      </c>
      <c r="AP155" t="s">
        <v>563</v>
      </c>
      <c r="AQ155" t="s">
        <v>564</v>
      </c>
      <c r="AR155" t="s">
        <v>226</v>
      </c>
      <c r="AS155" t="s">
        <v>404</v>
      </c>
      <c r="AT155" t="s">
        <v>565</v>
      </c>
      <c r="AU155" t="s">
        <v>219</v>
      </c>
      <c r="AW155" s="4">
        <f t="shared" si="73"/>
        <v>6</v>
      </c>
      <c r="AX155" s="4">
        <f t="shared" si="74"/>
        <v>4</v>
      </c>
      <c r="AY155" s="4">
        <f t="shared" si="75"/>
        <v>4</v>
      </c>
      <c r="AZ155" s="4">
        <f t="shared" si="76"/>
        <v>2</v>
      </c>
      <c r="BA155" s="4">
        <f t="shared" si="77"/>
        <v>4</v>
      </c>
      <c r="BB155" s="4">
        <f t="shared" si="78"/>
        <v>4</v>
      </c>
      <c r="BC155" s="4">
        <f t="shared" si="79"/>
        <v>4</v>
      </c>
      <c r="BD155" s="4">
        <f t="shared" si="80"/>
        <v>2</v>
      </c>
      <c r="BE155" s="4" t="str">
        <f t="shared" si="81"/>
        <v>0</v>
      </c>
      <c r="BF155" s="4">
        <f t="shared" si="82"/>
        <v>2</v>
      </c>
      <c r="BG155" s="4">
        <f t="shared" si="83"/>
        <v>4</v>
      </c>
      <c r="BH155" s="4">
        <f t="shared" si="84"/>
        <v>4</v>
      </c>
      <c r="BI155" s="4">
        <f t="shared" si="85"/>
        <v>4</v>
      </c>
      <c r="BJ155" s="4">
        <f t="shared" si="86"/>
        <v>2</v>
      </c>
      <c r="BK155" s="4">
        <f t="shared" si="87"/>
        <v>4</v>
      </c>
      <c r="BL155" s="4">
        <f t="shared" si="88"/>
        <v>2</v>
      </c>
      <c r="BM155" s="4">
        <f t="shared" si="89"/>
        <v>4</v>
      </c>
      <c r="BN155" s="4">
        <f t="shared" si="90"/>
        <v>4</v>
      </c>
      <c r="BO155" s="4">
        <f t="shared" si="91"/>
        <v>4</v>
      </c>
      <c r="BP155" s="4">
        <f t="shared" si="92"/>
        <v>4</v>
      </c>
      <c r="BQ155" s="4">
        <f t="shared" si="93"/>
        <v>6</v>
      </c>
      <c r="BR155" s="4">
        <f t="shared" si="94"/>
        <v>4</v>
      </c>
      <c r="BS155" s="4">
        <f t="shared" si="95"/>
        <v>4</v>
      </c>
      <c r="BT155" s="4">
        <f t="shared" si="96"/>
        <v>4</v>
      </c>
      <c r="BU155" s="4">
        <f t="shared" si="97"/>
        <v>4</v>
      </c>
      <c r="BV155" s="4" t="str">
        <f t="shared" si="98"/>
        <v>0</v>
      </c>
      <c r="BW155" s="4">
        <f t="shared" si="99"/>
        <v>6</v>
      </c>
      <c r="BX155" s="4">
        <f t="shared" si="100"/>
        <v>0</v>
      </c>
      <c r="BY155" s="4">
        <f t="shared" si="101"/>
        <v>0</v>
      </c>
      <c r="BZ155" s="37">
        <f t="shared" si="102"/>
        <v>96</v>
      </c>
      <c r="CA155" s="32" t="str">
        <f>VLOOKUP(J:J,'Agent wise'!A:C,3,0)</f>
        <v>Amal</v>
      </c>
      <c r="CB155" s="32">
        <f t="shared" si="103"/>
        <v>45933</v>
      </c>
      <c r="CC155" t="str">
        <f t="shared" si="104"/>
        <v>Excellent</v>
      </c>
      <c r="CE155" s="32"/>
      <c r="CJ155">
        <f t="shared" si="105"/>
        <v>3</v>
      </c>
      <c r="CK155">
        <f t="shared" si="106"/>
        <v>10</v>
      </c>
      <c r="CL155">
        <f t="shared" si="107"/>
        <v>2025</v>
      </c>
    </row>
    <row r="156" spans="1:90" ht="15" customHeight="1" x14ac:dyDescent="0.35">
      <c r="A156" s="40">
        <v>45726.977326388893</v>
      </c>
      <c r="B156" t="s">
        <v>250</v>
      </c>
      <c r="C156" t="s">
        <v>214</v>
      </c>
      <c r="D156" t="s">
        <v>251</v>
      </c>
      <c r="E156" s="32">
        <v>45933</v>
      </c>
      <c r="F156" t="s">
        <v>222</v>
      </c>
      <c r="G156" s="2">
        <v>45698</v>
      </c>
      <c r="H156">
        <v>6380154101</v>
      </c>
      <c r="I156">
        <v>142</v>
      </c>
      <c r="J156" t="s">
        <v>234</v>
      </c>
      <c r="K156" t="s">
        <v>71</v>
      </c>
      <c r="L156" t="s">
        <v>72</v>
      </c>
      <c r="M156" t="s">
        <v>59</v>
      </c>
      <c r="N156" t="s">
        <v>59</v>
      </c>
      <c r="O156" t="s">
        <v>59</v>
      </c>
      <c r="P156" t="s">
        <v>59</v>
      </c>
      <c r="Q156" t="s">
        <v>59</v>
      </c>
      <c r="R156" t="s">
        <v>59</v>
      </c>
      <c r="S156" t="s">
        <v>59</v>
      </c>
      <c r="T156" t="s">
        <v>59</v>
      </c>
      <c r="U156" t="s">
        <v>60</v>
      </c>
      <c r="V156" t="s">
        <v>59</v>
      </c>
      <c r="W156" t="s">
        <v>59</v>
      </c>
      <c r="X156" t="s">
        <v>59</v>
      </c>
      <c r="Y156" t="s">
        <v>59</v>
      </c>
      <c r="Z156" t="s">
        <v>59</v>
      </c>
      <c r="AA156" t="s">
        <v>59</v>
      </c>
      <c r="AB156" t="s">
        <v>60</v>
      </c>
      <c r="AC156" t="s">
        <v>59</v>
      </c>
      <c r="AD156" t="s">
        <v>59</v>
      </c>
      <c r="AE156" t="s">
        <v>59</v>
      </c>
      <c r="AF156" t="s">
        <v>59</v>
      </c>
      <c r="AG156" t="s">
        <v>59</v>
      </c>
      <c r="AH156" t="s">
        <v>61</v>
      </c>
      <c r="AI156" t="s">
        <v>61</v>
      </c>
      <c r="AJ156" t="s">
        <v>59</v>
      </c>
      <c r="AK156" t="s">
        <v>59</v>
      </c>
      <c r="AL156" t="s">
        <v>59</v>
      </c>
      <c r="AM156" t="s">
        <v>59</v>
      </c>
      <c r="AN156" t="s">
        <v>59</v>
      </c>
      <c r="AO156" t="s">
        <v>59</v>
      </c>
      <c r="AP156" t="s">
        <v>467</v>
      </c>
      <c r="AQ156" t="s">
        <v>566</v>
      </c>
      <c r="AR156" t="s">
        <v>64</v>
      </c>
      <c r="AS156" t="s">
        <v>567</v>
      </c>
      <c r="AT156" t="s">
        <v>395</v>
      </c>
      <c r="AU156" t="s">
        <v>219</v>
      </c>
      <c r="AW156" s="4">
        <f t="shared" si="73"/>
        <v>6</v>
      </c>
      <c r="AX156" s="4">
        <f t="shared" si="74"/>
        <v>4</v>
      </c>
      <c r="AY156" s="4">
        <f t="shared" si="75"/>
        <v>4</v>
      </c>
      <c r="AZ156" s="4">
        <f t="shared" si="76"/>
        <v>2</v>
      </c>
      <c r="BA156" s="4">
        <f t="shared" si="77"/>
        <v>4</v>
      </c>
      <c r="BB156" s="4">
        <f t="shared" si="78"/>
        <v>4</v>
      </c>
      <c r="BC156" s="4">
        <f t="shared" si="79"/>
        <v>4</v>
      </c>
      <c r="BD156" s="4">
        <f t="shared" si="80"/>
        <v>2</v>
      </c>
      <c r="BE156" s="4" t="str">
        <f t="shared" si="81"/>
        <v>0</v>
      </c>
      <c r="BF156" s="4">
        <f t="shared" si="82"/>
        <v>2</v>
      </c>
      <c r="BG156" s="4">
        <f t="shared" si="83"/>
        <v>4</v>
      </c>
      <c r="BH156" s="4">
        <f t="shared" si="84"/>
        <v>4</v>
      </c>
      <c r="BI156" s="4">
        <f t="shared" si="85"/>
        <v>4</v>
      </c>
      <c r="BJ156" s="4">
        <f t="shared" si="86"/>
        <v>2</v>
      </c>
      <c r="BK156" s="4">
        <f t="shared" si="87"/>
        <v>4</v>
      </c>
      <c r="BL156" s="4" t="str">
        <f t="shared" si="88"/>
        <v>0</v>
      </c>
      <c r="BM156" s="4">
        <f t="shared" si="89"/>
        <v>4</v>
      </c>
      <c r="BN156" s="4">
        <f t="shared" si="90"/>
        <v>4</v>
      </c>
      <c r="BO156" s="4">
        <f t="shared" si="91"/>
        <v>4</v>
      </c>
      <c r="BP156" s="4">
        <f t="shared" si="92"/>
        <v>4</v>
      </c>
      <c r="BQ156" s="4">
        <f t="shared" si="93"/>
        <v>6</v>
      </c>
      <c r="BR156" s="4">
        <f t="shared" si="94"/>
        <v>4</v>
      </c>
      <c r="BS156" s="4">
        <f t="shared" si="95"/>
        <v>4</v>
      </c>
      <c r="BT156" s="4">
        <f t="shared" si="96"/>
        <v>4</v>
      </c>
      <c r="BU156" s="4">
        <f t="shared" si="97"/>
        <v>4</v>
      </c>
      <c r="BV156" s="4">
        <f t="shared" si="98"/>
        <v>0</v>
      </c>
      <c r="BW156" s="4">
        <f t="shared" si="99"/>
        <v>6</v>
      </c>
      <c r="BX156" s="4">
        <f t="shared" si="100"/>
        <v>0</v>
      </c>
      <c r="BY156" s="4">
        <f t="shared" si="101"/>
        <v>0</v>
      </c>
      <c r="BZ156" s="37">
        <f t="shared" si="102"/>
        <v>94</v>
      </c>
      <c r="CA156" s="32" t="str">
        <f>VLOOKUP(J:J,'Agent wise'!A:C,3,0)</f>
        <v>Amal</v>
      </c>
      <c r="CB156" s="32">
        <f t="shared" si="103"/>
        <v>45933</v>
      </c>
      <c r="CC156" t="str">
        <f t="shared" si="104"/>
        <v>Good</v>
      </c>
      <c r="CE156" s="32"/>
      <c r="CJ156">
        <f t="shared" si="105"/>
        <v>3</v>
      </c>
      <c r="CK156">
        <f t="shared" si="106"/>
        <v>10</v>
      </c>
      <c r="CL156">
        <f t="shared" si="107"/>
        <v>2025</v>
      </c>
    </row>
    <row r="157" spans="1:90" ht="15" customHeight="1" x14ac:dyDescent="0.35">
      <c r="A157" s="40">
        <v>45726.979398148149</v>
      </c>
      <c r="B157" t="s">
        <v>250</v>
      </c>
      <c r="C157" t="s">
        <v>214</v>
      </c>
      <c r="D157" t="s">
        <v>251</v>
      </c>
      <c r="E157" s="32">
        <v>45933</v>
      </c>
      <c r="F157" t="s">
        <v>222</v>
      </c>
      <c r="G157" s="2">
        <v>45698</v>
      </c>
      <c r="H157">
        <v>9497800024</v>
      </c>
      <c r="I157">
        <v>178</v>
      </c>
      <c r="J157" t="s">
        <v>568</v>
      </c>
      <c r="K157" t="s">
        <v>57</v>
      </c>
      <c r="L157" t="s">
        <v>58</v>
      </c>
      <c r="M157" t="s">
        <v>59</v>
      </c>
      <c r="N157" t="s">
        <v>59</v>
      </c>
      <c r="O157" t="s">
        <v>59</v>
      </c>
      <c r="P157" t="s">
        <v>59</v>
      </c>
      <c r="Q157" t="s">
        <v>59</v>
      </c>
      <c r="R157" t="s">
        <v>59</v>
      </c>
      <c r="S157" t="s">
        <v>59</v>
      </c>
      <c r="T157" t="s">
        <v>59</v>
      </c>
      <c r="U157" t="s">
        <v>60</v>
      </c>
      <c r="V157" t="s">
        <v>59</v>
      </c>
      <c r="W157" t="s">
        <v>59</v>
      </c>
      <c r="X157" t="s">
        <v>61</v>
      </c>
      <c r="Y157" t="s">
        <v>59</v>
      </c>
      <c r="Z157" t="s">
        <v>59</v>
      </c>
      <c r="AA157" t="s">
        <v>59</v>
      </c>
      <c r="AB157" t="s">
        <v>60</v>
      </c>
      <c r="AC157" t="s">
        <v>59</v>
      </c>
      <c r="AD157" t="s">
        <v>59</v>
      </c>
      <c r="AE157" t="s">
        <v>59</v>
      </c>
      <c r="AF157" t="s">
        <v>59</v>
      </c>
      <c r="AG157" t="s">
        <v>59</v>
      </c>
      <c r="AH157" t="s">
        <v>61</v>
      </c>
      <c r="AI157" t="s">
        <v>61</v>
      </c>
      <c r="AJ157" t="s">
        <v>59</v>
      </c>
      <c r="AK157" t="s">
        <v>59</v>
      </c>
      <c r="AL157" t="s">
        <v>60</v>
      </c>
      <c r="AM157" t="s">
        <v>59</v>
      </c>
      <c r="AN157" t="s">
        <v>59</v>
      </c>
      <c r="AO157" t="s">
        <v>59</v>
      </c>
      <c r="AP157" t="s">
        <v>467</v>
      </c>
      <c r="AQ157" t="s">
        <v>569</v>
      </c>
      <c r="AR157" t="s">
        <v>226</v>
      </c>
      <c r="AS157" t="s">
        <v>249</v>
      </c>
      <c r="AT157" t="s">
        <v>394</v>
      </c>
      <c r="AU157" t="s">
        <v>219</v>
      </c>
      <c r="AW157" s="4">
        <f t="shared" si="73"/>
        <v>6</v>
      </c>
      <c r="AX157" s="4">
        <f t="shared" si="74"/>
        <v>4</v>
      </c>
      <c r="AY157" s="4">
        <f t="shared" si="75"/>
        <v>4</v>
      </c>
      <c r="AZ157" s="4">
        <f t="shared" si="76"/>
        <v>2</v>
      </c>
      <c r="BA157" s="4">
        <f t="shared" si="77"/>
        <v>4</v>
      </c>
      <c r="BB157" s="4">
        <f t="shared" si="78"/>
        <v>4</v>
      </c>
      <c r="BC157" s="4">
        <f t="shared" si="79"/>
        <v>4</v>
      </c>
      <c r="BD157" s="4">
        <f t="shared" si="80"/>
        <v>2</v>
      </c>
      <c r="BE157" s="4" t="str">
        <f t="shared" si="81"/>
        <v>0</v>
      </c>
      <c r="BF157" s="4">
        <f t="shared" si="82"/>
        <v>2</v>
      </c>
      <c r="BG157" s="4">
        <f t="shared" si="83"/>
        <v>4</v>
      </c>
      <c r="BH157" s="4">
        <f t="shared" si="84"/>
        <v>4</v>
      </c>
      <c r="BI157" s="4">
        <f t="shared" si="85"/>
        <v>4</v>
      </c>
      <c r="BJ157" s="4">
        <f t="shared" si="86"/>
        <v>2</v>
      </c>
      <c r="BK157" s="4">
        <f t="shared" si="87"/>
        <v>4</v>
      </c>
      <c r="BL157" s="4" t="str">
        <f t="shared" si="88"/>
        <v>0</v>
      </c>
      <c r="BM157" s="4">
        <f t="shared" si="89"/>
        <v>4</v>
      </c>
      <c r="BN157" s="4">
        <f t="shared" si="90"/>
        <v>4</v>
      </c>
      <c r="BO157" s="4">
        <f t="shared" si="91"/>
        <v>4</v>
      </c>
      <c r="BP157" s="4">
        <f t="shared" si="92"/>
        <v>4</v>
      </c>
      <c r="BQ157" s="4">
        <f t="shared" si="93"/>
        <v>6</v>
      </c>
      <c r="BR157" s="4">
        <f t="shared" si="94"/>
        <v>4</v>
      </c>
      <c r="BS157" s="4">
        <f t="shared" si="95"/>
        <v>4</v>
      </c>
      <c r="BT157" s="4">
        <f t="shared" si="96"/>
        <v>4</v>
      </c>
      <c r="BU157" s="4">
        <f t="shared" si="97"/>
        <v>4</v>
      </c>
      <c r="BV157" s="4" t="str">
        <f t="shared" si="98"/>
        <v>0</v>
      </c>
      <c r="BW157" s="4">
        <f t="shared" si="99"/>
        <v>6</v>
      </c>
      <c r="BX157" s="4">
        <f t="shared" si="100"/>
        <v>0</v>
      </c>
      <c r="BY157" s="4">
        <f t="shared" si="101"/>
        <v>0</v>
      </c>
      <c r="BZ157" s="37">
        <f t="shared" si="102"/>
        <v>94</v>
      </c>
      <c r="CA157" s="32" t="str">
        <f>VLOOKUP(J:J,'Agent wise'!A:C,3,0)</f>
        <v>Amal</v>
      </c>
      <c r="CB157" s="32">
        <f t="shared" si="103"/>
        <v>45933</v>
      </c>
      <c r="CC157" t="str">
        <f t="shared" si="104"/>
        <v>Good</v>
      </c>
      <c r="CE157" s="32"/>
      <c r="CJ157">
        <f t="shared" si="105"/>
        <v>3</v>
      </c>
      <c r="CK157">
        <f t="shared" si="106"/>
        <v>10</v>
      </c>
      <c r="CL157">
        <f t="shared" si="107"/>
        <v>2025</v>
      </c>
    </row>
    <row r="158" spans="1:90" ht="15" customHeight="1" x14ac:dyDescent="0.35">
      <c r="A158" s="40">
        <v>45726.981122685182</v>
      </c>
      <c r="B158" t="s">
        <v>250</v>
      </c>
      <c r="C158" t="s">
        <v>214</v>
      </c>
      <c r="D158" t="s">
        <v>251</v>
      </c>
      <c r="E158" s="32">
        <v>45933</v>
      </c>
      <c r="F158" t="s">
        <v>222</v>
      </c>
      <c r="G158" s="2">
        <v>45726</v>
      </c>
      <c r="H158">
        <v>9656851263</v>
      </c>
      <c r="I158">
        <v>153</v>
      </c>
      <c r="J158" t="s">
        <v>570</v>
      </c>
      <c r="K158" t="s">
        <v>57</v>
      </c>
      <c r="L158" t="s">
        <v>58</v>
      </c>
      <c r="M158" t="s">
        <v>59</v>
      </c>
      <c r="N158" t="s">
        <v>59</v>
      </c>
      <c r="O158" t="s">
        <v>59</v>
      </c>
      <c r="P158" t="s">
        <v>59</v>
      </c>
      <c r="Q158" t="s">
        <v>59</v>
      </c>
      <c r="R158" t="s">
        <v>59</v>
      </c>
      <c r="S158" t="s">
        <v>59</v>
      </c>
      <c r="T158" t="s">
        <v>59</v>
      </c>
      <c r="U158" t="s">
        <v>60</v>
      </c>
      <c r="V158" t="s">
        <v>59</v>
      </c>
      <c r="W158" t="s">
        <v>59</v>
      </c>
      <c r="X158" t="s">
        <v>59</v>
      </c>
      <c r="Y158" t="s">
        <v>59</v>
      </c>
      <c r="Z158" t="s">
        <v>59</v>
      </c>
      <c r="AA158" t="s">
        <v>59</v>
      </c>
      <c r="AB158" t="s">
        <v>59</v>
      </c>
      <c r="AC158" t="s">
        <v>59</v>
      </c>
      <c r="AD158" t="s">
        <v>59</v>
      </c>
      <c r="AE158" t="s">
        <v>59</v>
      </c>
      <c r="AF158" t="s">
        <v>59</v>
      </c>
      <c r="AG158" t="s">
        <v>59</v>
      </c>
      <c r="AH158" t="s">
        <v>61</v>
      </c>
      <c r="AI158" t="s">
        <v>61</v>
      </c>
      <c r="AJ158" t="s">
        <v>59</v>
      </c>
      <c r="AK158" t="s">
        <v>59</v>
      </c>
      <c r="AL158" t="s">
        <v>60</v>
      </c>
      <c r="AM158" t="s">
        <v>59</v>
      </c>
      <c r="AN158" t="s">
        <v>59</v>
      </c>
      <c r="AO158" t="s">
        <v>59</v>
      </c>
      <c r="AP158" t="s">
        <v>467</v>
      </c>
      <c r="AQ158" t="s">
        <v>571</v>
      </c>
      <c r="AR158" t="s">
        <v>226</v>
      </c>
      <c r="AS158" t="s">
        <v>331</v>
      </c>
      <c r="AT158" t="s">
        <v>572</v>
      </c>
      <c r="AU158" t="s">
        <v>219</v>
      </c>
      <c r="AW158" s="4">
        <f t="shared" si="73"/>
        <v>6</v>
      </c>
      <c r="AX158" s="4">
        <f t="shared" si="74"/>
        <v>4</v>
      </c>
      <c r="AY158" s="4">
        <f t="shared" si="75"/>
        <v>4</v>
      </c>
      <c r="AZ158" s="4">
        <f t="shared" si="76"/>
        <v>2</v>
      </c>
      <c r="BA158" s="4">
        <f t="shared" si="77"/>
        <v>4</v>
      </c>
      <c r="BB158" s="4">
        <f t="shared" si="78"/>
        <v>4</v>
      </c>
      <c r="BC158" s="4">
        <f t="shared" si="79"/>
        <v>4</v>
      </c>
      <c r="BD158" s="4">
        <f t="shared" si="80"/>
        <v>2</v>
      </c>
      <c r="BE158" s="4" t="str">
        <f t="shared" si="81"/>
        <v>0</v>
      </c>
      <c r="BF158" s="4">
        <f t="shared" si="82"/>
        <v>2</v>
      </c>
      <c r="BG158" s="4">
        <f t="shared" si="83"/>
        <v>4</v>
      </c>
      <c r="BH158" s="4">
        <f t="shared" si="84"/>
        <v>4</v>
      </c>
      <c r="BI158" s="4">
        <f t="shared" si="85"/>
        <v>4</v>
      </c>
      <c r="BJ158" s="4">
        <f t="shared" si="86"/>
        <v>2</v>
      </c>
      <c r="BK158" s="4">
        <f t="shared" si="87"/>
        <v>4</v>
      </c>
      <c r="BL158" s="4">
        <f t="shared" si="88"/>
        <v>2</v>
      </c>
      <c r="BM158" s="4">
        <f t="shared" si="89"/>
        <v>4</v>
      </c>
      <c r="BN158" s="4">
        <f t="shared" si="90"/>
        <v>4</v>
      </c>
      <c r="BO158" s="4">
        <f t="shared" si="91"/>
        <v>4</v>
      </c>
      <c r="BP158" s="4">
        <f t="shared" si="92"/>
        <v>4</v>
      </c>
      <c r="BQ158" s="4">
        <f t="shared" si="93"/>
        <v>6</v>
      </c>
      <c r="BR158" s="4">
        <f t="shared" si="94"/>
        <v>4</v>
      </c>
      <c r="BS158" s="4">
        <f t="shared" si="95"/>
        <v>4</v>
      </c>
      <c r="BT158" s="4">
        <f t="shared" si="96"/>
        <v>4</v>
      </c>
      <c r="BU158" s="4">
        <f t="shared" si="97"/>
        <v>4</v>
      </c>
      <c r="BV158" s="4" t="str">
        <f t="shared" si="98"/>
        <v>0</v>
      </c>
      <c r="BW158" s="4">
        <f t="shared" si="99"/>
        <v>6</v>
      </c>
      <c r="BX158" s="4">
        <f t="shared" si="100"/>
        <v>0</v>
      </c>
      <c r="BY158" s="4">
        <f t="shared" si="101"/>
        <v>0</v>
      </c>
      <c r="BZ158" s="37">
        <f t="shared" si="102"/>
        <v>96</v>
      </c>
      <c r="CA158" s="32" t="str">
        <f>VLOOKUP(J:J,'Agent wise'!A:C,3,0)</f>
        <v>Amal</v>
      </c>
      <c r="CB158" s="32">
        <f t="shared" si="103"/>
        <v>45933</v>
      </c>
      <c r="CC158" t="str">
        <f t="shared" si="104"/>
        <v>Excellent</v>
      </c>
      <c r="CE158" s="32"/>
      <c r="CJ158">
        <f t="shared" si="105"/>
        <v>3</v>
      </c>
      <c r="CK158">
        <f t="shared" si="106"/>
        <v>10</v>
      </c>
      <c r="CL158">
        <f t="shared" si="107"/>
        <v>2025</v>
      </c>
    </row>
    <row r="159" spans="1:90" ht="15" customHeight="1" x14ac:dyDescent="0.35">
      <c r="A159" s="40">
        <v>45726.982858796298</v>
      </c>
      <c r="B159" t="s">
        <v>250</v>
      </c>
      <c r="C159" t="s">
        <v>214</v>
      </c>
      <c r="D159" t="s">
        <v>251</v>
      </c>
      <c r="E159" s="32">
        <v>45933</v>
      </c>
      <c r="F159" t="s">
        <v>222</v>
      </c>
      <c r="G159" s="2">
        <v>45698</v>
      </c>
      <c r="H159">
        <v>6383807961</v>
      </c>
      <c r="I159">
        <v>177</v>
      </c>
      <c r="J159" t="s">
        <v>420</v>
      </c>
      <c r="K159" t="s">
        <v>71</v>
      </c>
      <c r="L159" t="s">
        <v>72</v>
      </c>
      <c r="M159" t="s">
        <v>59</v>
      </c>
      <c r="N159" t="s">
        <v>59</v>
      </c>
      <c r="O159" t="s">
        <v>59</v>
      </c>
      <c r="P159" t="s">
        <v>59</v>
      </c>
      <c r="Q159" t="s">
        <v>59</v>
      </c>
      <c r="R159" t="s">
        <v>59</v>
      </c>
      <c r="S159" t="s">
        <v>59</v>
      </c>
      <c r="T159" t="s">
        <v>59</v>
      </c>
      <c r="U159" t="s">
        <v>59</v>
      </c>
      <c r="V159" t="s">
        <v>59</v>
      </c>
      <c r="W159" t="s">
        <v>59</v>
      </c>
      <c r="X159" t="s">
        <v>59</v>
      </c>
      <c r="Y159" t="s">
        <v>59</v>
      </c>
      <c r="Z159" t="s">
        <v>59</v>
      </c>
      <c r="AA159" t="s">
        <v>59</v>
      </c>
      <c r="AB159" t="s">
        <v>59</v>
      </c>
      <c r="AC159" t="s">
        <v>59</v>
      </c>
      <c r="AD159" t="s">
        <v>59</v>
      </c>
      <c r="AE159" t="s">
        <v>59</v>
      </c>
      <c r="AF159" t="s">
        <v>59</v>
      </c>
      <c r="AG159" t="s">
        <v>59</v>
      </c>
      <c r="AH159" t="s">
        <v>61</v>
      </c>
      <c r="AI159" t="s">
        <v>59</v>
      </c>
      <c r="AJ159" t="s">
        <v>59</v>
      </c>
      <c r="AK159" t="s">
        <v>59</v>
      </c>
      <c r="AL159" t="s">
        <v>59</v>
      </c>
      <c r="AM159" t="s">
        <v>59</v>
      </c>
      <c r="AN159" t="s">
        <v>59</v>
      </c>
      <c r="AO159" t="s">
        <v>59</v>
      </c>
      <c r="AP159" t="s">
        <v>270</v>
      </c>
      <c r="AQ159" t="s">
        <v>573</v>
      </c>
      <c r="AR159" t="s">
        <v>226</v>
      </c>
      <c r="AS159" t="s">
        <v>249</v>
      </c>
      <c r="AT159" t="s">
        <v>394</v>
      </c>
      <c r="AU159" t="s">
        <v>219</v>
      </c>
      <c r="AW159" s="4">
        <f t="shared" si="73"/>
        <v>6</v>
      </c>
      <c r="AX159" s="4">
        <f t="shared" si="74"/>
        <v>4</v>
      </c>
      <c r="AY159" s="4">
        <f t="shared" si="75"/>
        <v>4</v>
      </c>
      <c r="AZ159" s="4">
        <f t="shared" si="76"/>
        <v>2</v>
      </c>
      <c r="BA159" s="4">
        <f t="shared" si="77"/>
        <v>4</v>
      </c>
      <c r="BB159" s="4">
        <f t="shared" si="78"/>
        <v>4</v>
      </c>
      <c r="BC159" s="4">
        <f t="shared" si="79"/>
        <v>4</v>
      </c>
      <c r="BD159" s="4">
        <f t="shared" si="80"/>
        <v>2</v>
      </c>
      <c r="BE159" s="4">
        <f t="shared" si="81"/>
        <v>4</v>
      </c>
      <c r="BF159" s="4">
        <f t="shared" si="82"/>
        <v>2</v>
      </c>
      <c r="BG159" s="4">
        <f t="shared" si="83"/>
        <v>4</v>
      </c>
      <c r="BH159" s="4">
        <f t="shared" si="84"/>
        <v>4</v>
      </c>
      <c r="BI159" s="4">
        <f t="shared" si="85"/>
        <v>4</v>
      </c>
      <c r="BJ159" s="4">
        <f t="shared" si="86"/>
        <v>2</v>
      </c>
      <c r="BK159" s="4">
        <f t="shared" si="87"/>
        <v>4</v>
      </c>
      <c r="BL159" s="4">
        <f t="shared" si="88"/>
        <v>2</v>
      </c>
      <c r="BM159" s="4">
        <f t="shared" si="89"/>
        <v>4</v>
      </c>
      <c r="BN159" s="4">
        <f t="shared" si="90"/>
        <v>4</v>
      </c>
      <c r="BO159" s="4">
        <f t="shared" si="91"/>
        <v>4</v>
      </c>
      <c r="BP159" s="4">
        <f t="shared" si="92"/>
        <v>4</v>
      </c>
      <c r="BQ159" s="4">
        <f t="shared" si="93"/>
        <v>6</v>
      </c>
      <c r="BR159" s="4">
        <f t="shared" si="94"/>
        <v>4</v>
      </c>
      <c r="BS159" s="4">
        <f t="shared" si="95"/>
        <v>4</v>
      </c>
      <c r="BT159" s="4">
        <f t="shared" si="96"/>
        <v>4</v>
      </c>
      <c r="BU159" s="4">
        <f t="shared" si="97"/>
        <v>4</v>
      </c>
      <c r="BV159" s="4">
        <f t="shared" si="98"/>
        <v>0</v>
      </c>
      <c r="BW159" s="4">
        <f t="shared" si="99"/>
        <v>6</v>
      </c>
      <c r="BX159" s="4">
        <f t="shared" si="100"/>
        <v>0</v>
      </c>
      <c r="BY159" s="4">
        <f t="shared" si="101"/>
        <v>0</v>
      </c>
      <c r="BZ159" s="37">
        <f t="shared" si="102"/>
        <v>100</v>
      </c>
      <c r="CA159" s="32" t="str">
        <f>VLOOKUP(J:J,'Agent wise'!A:C,3,0)</f>
        <v>Amal</v>
      </c>
      <c r="CB159" s="32">
        <f t="shared" si="103"/>
        <v>45933</v>
      </c>
      <c r="CC159" t="str">
        <f t="shared" si="104"/>
        <v>Excellent</v>
      </c>
      <c r="CE159" s="32"/>
      <c r="CJ159">
        <f t="shared" si="105"/>
        <v>3</v>
      </c>
      <c r="CK159">
        <f t="shared" si="106"/>
        <v>10</v>
      </c>
      <c r="CL159">
        <f t="shared" si="107"/>
        <v>2025</v>
      </c>
    </row>
    <row r="160" spans="1:90" ht="15" customHeight="1" x14ac:dyDescent="0.35">
      <c r="A160" s="40">
        <v>45726.984861111108</v>
      </c>
      <c r="B160" t="s">
        <v>250</v>
      </c>
      <c r="C160" t="s">
        <v>214</v>
      </c>
      <c r="D160" t="s">
        <v>251</v>
      </c>
      <c r="E160" s="32">
        <v>45933</v>
      </c>
      <c r="F160" t="s">
        <v>222</v>
      </c>
      <c r="G160" s="2">
        <v>45698</v>
      </c>
      <c r="H160">
        <v>9841681198</v>
      </c>
      <c r="I160">
        <v>147</v>
      </c>
      <c r="J160" t="s">
        <v>246</v>
      </c>
      <c r="K160" t="s">
        <v>71</v>
      </c>
      <c r="L160" t="s">
        <v>72</v>
      </c>
      <c r="M160" t="s">
        <v>59</v>
      </c>
      <c r="N160" t="s">
        <v>59</v>
      </c>
      <c r="O160" t="s">
        <v>59</v>
      </c>
      <c r="P160" t="s">
        <v>59</v>
      </c>
      <c r="Q160" t="s">
        <v>59</v>
      </c>
      <c r="R160" t="s">
        <v>59</v>
      </c>
      <c r="S160" t="s">
        <v>59</v>
      </c>
      <c r="T160" t="s">
        <v>59</v>
      </c>
      <c r="U160" t="s">
        <v>59</v>
      </c>
      <c r="V160" t="s">
        <v>59</v>
      </c>
      <c r="W160" t="s">
        <v>59</v>
      </c>
      <c r="X160" t="s">
        <v>59</v>
      </c>
      <c r="Y160" t="s">
        <v>59</v>
      </c>
      <c r="Z160" t="s">
        <v>59</v>
      </c>
      <c r="AA160" t="s">
        <v>59</v>
      </c>
      <c r="AB160" t="s">
        <v>59</v>
      </c>
      <c r="AC160" t="s">
        <v>59</v>
      </c>
      <c r="AD160" t="s">
        <v>59</v>
      </c>
      <c r="AE160" t="s">
        <v>59</v>
      </c>
      <c r="AF160" t="s">
        <v>59</v>
      </c>
      <c r="AG160" t="s">
        <v>59</v>
      </c>
      <c r="AH160" t="s">
        <v>61</v>
      </c>
      <c r="AI160" t="s">
        <v>59</v>
      </c>
      <c r="AJ160" t="s">
        <v>59</v>
      </c>
      <c r="AK160" t="s">
        <v>59</v>
      </c>
      <c r="AL160" t="s">
        <v>59</v>
      </c>
      <c r="AM160" t="s">
        <v>59</v>
      </c>
      <c r="AN160" t="s">
        <v>59</v>
      </c>
      <c r="AO160" t="s">
        <v>59</v>
      </c>
      <c r="AP160" t="s">
        <v>247</v>
      </c>
      <c r="AQ160" t="s">
        <v>574</v>
      </c>
      <c r="AR160" t="s">
        <v>226</v>
      </c>
      <c r="AS160" t="s">
        <v>331</v>
      </c>
      <c r="AT160" t="s">
        <v>249</v>
      </c>
      <c r="AU160" t="s">
        <v>219</v>
      </c>
      <c r="AW160" s="4">
        <f t="shared" si="73"/>
        <v>6</v>
      </c>
      <c r="AX160" s="4">
        <f t="shared" si="74"/>
        <v>4</v>
      </c>
      <c r="AY160" s="4">
        <f t="shared" si="75"/>
        <v>4</v>
      </c>
      <c r="AZ160" s="4">
        <f t="shared" si="76"/>
        <v>2</v>
      </c>
      <c r="BA160" s="4">
        <f t="shared" si="77"/>
        <v>4</v>
      </c>
      <c r="BB160" s="4">
        <f t="shared" si="78"/>
        <v>4</v>
      </c>
      <c r="BC160" s="4">
        <f t="shared" si="79"/>
        <v>4</v>
      </c>
      <c r="BD160" s="4">
        <f t="shared" si="80"/>
        <v>2</v>
      </c>
      <c r="BE160" s="4">
        <f t="shared" si="81"/>
        <v>4</v>
      </c>
      <c r="BF160" s="4">
        <f t="shared" si="82"/>
        <v>2</v>
      </c>
      <c r="BG160" s="4">
        <f t="shared" si="83"/>
        <v>4</v>
      </c>
      <c r="BH160" s="4">
        <f t="shared" si="84"/>
        <v>4</v>
      </c>
      <c r="BI160" s="4">
        <f t="shared" si="85"/>
        <v>4</v>
      </c>
      <c r="BJ160" s="4">
        <f t="shared" si="86"/>
        <v>2</v>
      </c>
      <c r="BK160" s="4">
        <f t="shared" si="87"/>
        <v>4</v>
      </c>
      <c r="BL160" s="4">
        <f t="shared" si="88"/>
        <v>2</v>
      </c>
      <c r="BM160" s="4">
        <f t="shared" si="89"/>
        <v>4</v>
      </c>
      <c r="BN160" s="4">
        <f t="shared" si="90"/>
        <v>4</v>
      </c>
      <c r="BO160" s="4">
        <f t="shared" si="91"/>
        <v>4</v>
      </c>
      <c r="BP160" s="4">
        <f t="shared" si="92"/>
        <v>4</v>
      </c>
      <c r="BQ160" s="4">
        <f t="shared" si="93"/>
        <v>6</v>
      </c>
      <c r="BR160" s="4">
        <f t="shared" si="94"/>
        <v>4</v>
      </c>
      <c r="BS160" s="4">
        <f t="shared" si="95"/>
        <v>4</v>
      </c>
      <c r="BT160" s="4">
        <f t="shared" si="96"/>
        <v>4</v>
      </c>
      <c r="BU160" s="4">
        <f t="shared" si="97"/>
        <v>4</v>
      </c>
      <c r="BV160" s="4">
        <f t="shared" si="98"/>
        <v>0</v>
      </c>
      <c r="BW160" s="4">
        <f t="shared" si="99"/>
        <v>6</v>
      </c>
      <c r="BX160" s="4">
        <f t="shared" si="100"/>
        <v>0</v>
      </c>
      <c r="BY160" s="4">
        <f t="shared" si="101"/>
        <v>0</v>
      </c>
      <c r="BZ160" s="37">
        <f t="shared" si="102"/>
        <v>100</v>
      </c>
      <c r="CA160" s="32" t="str">
        <f>VLOOKUP(J:J,'Agent wise'!A:C,3,0)</f>
        <v>Amal</v>
      </c>
      <c r="CB160" s="32">
        <f t="shared" si="103"/>
        <v>45933</v>
      </c>
      <c r="CC160" t="str">
        <f t="shared" si="104"/>
        <v>Excellent</v>
      </c>
      <c r="CE160" s="32"/>
      <c r="CJ160">
        <f t="shared" si="105"/>
        <v>3</v>
      </c>
      <c r="CK160">
        <f t="shared" si="106"/>
        <v>10</v>
      </c>
      <c r="CL160">
        <f t="shared" si="107"/>
        <v>2025</v>
      </c>
    </row>
    <row r="161" spans="1:90" ht="15" customHeight="1" x14ac:dyDescent="0.35">
      <c r="A161" s="40">
        <v>45726.987928240742</v>
      </c>
      <c r="B161" t="s">
        <v>250</v>
      </c>
      <c r="C161" t="s">
        <v>214</v>
      </c>
      <c r="D161" t="s">
        <v>251</v>
      </c>
      <c r="E161" s="32">
        <v>45933</v>
      </c>
      <c r="F161" t="s">
        <v>222</v>
      </c>
      <c r="G161" s="2">
        <v>45726</v>
      </c>
      <c r="H161">
        <v>7907119235</v>
      </c>
      <c r="I161">
        <v>134</v>
      </c>
      <c r="J161" t="s">
        <v>575</v>
      </c>
      <c r="K161" t="s">
        <v>71</v>
      </c>
      <c r="L161" t="s">
        <v>72</v>
      </c>
      <c r="M161" t="s">
        <v>59</v>
      </c>
      <c r="N161" t="s">
        <v>59</v>
      </c>
      <c r="O161" t="s">
        <v>59</v>
      </c>
      <c r="P161" t="s">
        <v>59</v>
      </c>
      <c r="Q161" t="s">
        <v>59</v>
      </c>
      <c r="R161" t="s">
        <v>59</v>
      </c>
      <c r="S161" t="s">
        <v>59</v>
      </c>
      <c r="T161" t="s">
        <v>59</v>
      </c>
      <c r="U161" t="s">
        <v>59</v>
      </c>
      <c r="V161" t="s">
        <v>59</v>
      </c>
      <c r="W161" t="s">
        <v>59</v>
      </c>
      <c r="X161" t="s">
        <v>59</v>
      </c>
      <c r="Y161" t="s">
        <v>59</v>
      </c>
      <c r="Z161" t="s">
        <v>59</v>
      </c>
      <c r="AA161" t="s">
        <v>59</v>
      </c>
      <c r="AB161" t="s">
        <v>60</v>
      </c>
      <c r="AC161" t="s">
        <v>59</v>
      </c>
      <c r="AD161" t="s">
        <v>59</v>
      </c>
      <c r="AE161" t="s">
        <v>59</v>
      </c>
      <c r="AF161" t="s">
        <v>59</v>
      </c>
      <c r="AG161" t="s">
        <v>59</v>
      </c>
      <c r="AH161" t="s">
        <v>61</v>
      </c>
      <c r="AI161" t="s">
        <v>61</v>
      </c>
      <c r="AJ161" t="s">
        <v>59</v>
      </c>
      <c r="AK161" t="s">
        <v>59</v>
      </c>
      <c r="AL161" t="s">
        <v>60</v>
      </c>
      <c r="AM161" t="s">
        <v>59</v>
      </c>
      <c r="AN161" t="s">
        <v>59</v>
      </c>
      <c r="AO161" t="s">
        <v>59</v>
      </c>
      <c r="AP161" t="s">
        <v>467</v>
      </c>
      <c r="AQ161" t="s">
        <v>576</v>
      </c>
      <c r="AR161" t="s">
        <v>226</v>
      </c>
      <c r="AS161" t="s">
        <v>402</v>
      </c>
      <c r="AT161" t="s">
        <v>394</v>
      </c>
      <c r="AU161" t="s">
        <v>219</v>
      </c>
      <c r="AW161" s="4">
        <f t="shared" si="73"/>
        <v>6</v>
      </c>
      <c r="AX161" s="4">
        <f t="shared" si="74"/>
        <v>4</v>
      </c>
      <c r="AY161" s="4">
        <f t="shared" si="75"/>
        <v>4</v>
      </c>
      <c r="AZ161" s="4">
        <f t="shared" si="76"/>
        <v>2</v>
      </c>
      <c r="BA161" s="4">
        <f t="shared" si="77"/>
        <v>4</v>
      </c>
      <c r="BB161" s="4">
        <f t="shared" si="78"/>
        <v>4</v>
      </c>
      <c r="BC161" s="4">
        <f t="shared" si="79"/>
        <v>4</v>
      </c>
      <c r="BD161" s="4">
        <f t="shared" si="80"/>
        <v>2</v>
      </c>
      <c r="BE161" s="4">
        <f t="shared" si="81"/>
        <v>4</v>
      </c>
      <c r="BF161" s="4">
        <f t="shared" si="82"/>
        <v>2</v>
      </c>
      <c r="BG161" s="4">
        <f t="shared" si="83"/>
        <v>4</v>
      </c>
      <c r="BH161" s="4">
        <f t="shared" si="84"/>
        <v>4</v>
      </c>
      <c r="BI161" s="4">
        <f t="shared" si="85"/>
        <v>4</v>
      </c>
      <c r="BJ161" s="4">
        <f t="shared" si="86"/>
        <v>2</v>
      </c>
      <c r="BK161" s="4">
        <f t="shared" si="87"/>
        <v>4</v>
      </c>
      <c r="BL161" s="4" t="str">
        <f t="shared" si="88"/>
        <v>0</v>
      </c>
      <c r="BM161" s="4">
        <f t="shared" si="89"/>
        <v>4</v>
      </c>
      <c r="BN161" s="4">
        <f t="shared" si="90"/>
        <v>4</v>
      </c>
      <c r="BO161" s="4">
        <f t="shared" si="91"/>
        <v>4</v>
      </c>
      <c r="BP161" s="4">
        <f t="shared" si="92"/>
        <v>4</v>
      </c>
      <c r="BQ161" s="4">
        <f t="shared" si="93"/>
        <v>6</v>
      </c>
      <c r="BR161" s="4">
        <f t="shared" si="94"/>
        <v>4</v>
      </c>
      <c r="BS161" s="4">
        <f t="shared" si="95"/>
        <v>4</v>
      </c>
      <c r="BT161" s="4">
        <f t="shared" si="96"/>
        <v>4</v>
      </c>
      <c r="BU161" s="4">
        <f t="shared" si="97"/>
        <v>4</v>
      </c>
      <c r="BV161" s="4" t="str">
        <f t="shared" si="98"/>
        <v>0</v>
      </c>
      <c r="BW161" s="4">
        <f t="shared" si="99"/>
        <v>6</v>
      </c>
      <c r="BX161" s="4">
        <f t="shared" si="100"/>
        <v>0</v>
      </c>
      <c r="BY161" s="4">
        <f t="shared" si="101"/>
        <v>0</v>
      </c>
      <c r="BZ161" s="37">
        <f t="shared" si="102"/>
        <v>98</v>
      </c>
      <c r="CA161" s="32" t="str">
        <f>VLOOKUP(J:J,'Agent wise'!A:C,3,0)</f>
        <v>Shakeer</v>
      </c>
      <c r="CB161" s="32">
        <f t="shared" si="103"/>
        <v>45933</v>
      </c>
      <c r="CC161" t="str">
        <f t="shared" si="104"/>
        <v>Excellent</v>
      </c>
      <c r="CE161" s="32"/>
      <c r="CJ161">
        <f t="shared" si="105"/>
        <v>3</v>
      </c>
      <c r="CK161">
        <f t="shared" si="106"/>
        <v>10</v>
      </c>
      <c r="CL161">
        <f t="shared" si="107"/>
        <v>2025</v>
      </c>
    </row>
    <row r="162" spans="1:90" ht="15" customHeight="1" x14ac:dyDescent="0.35">
      <c r="A162" s="40">
        <v>45726.990069444437</v>
      </c>
      <c r="B162" t="s">
        <v>250</v>
      </c>
      <c r="C162" t="s">
        <v>214</v>
      </c>
      <c r="D162" t="s">
        <v>251</v>
      </c>
      <c r="E162" s="32">
        <v>45933</v>
      </c>
      <c r="F162" t="s">
        <v>222</v>
      </c>
      <c r="G162" s="2">
        <v>45726</v>
      </c>
      <c r="H162">
        <v>9497782407</v>
      </c>
      <c r="I162">
        <v>143</v>
      </c>
      <c r="J162" t="s">
        <v>242</v>
      </c>
      <c r="K162" t="s">
        <v>57</v>
      </c>
      <c r="L162" t="s">
        <v>58</v>
      </c>
      <c r="M162" t="s">
        <v>59</v>
      </c>
      <c r="N162" t="s">
        <v>59</v>
      </c>
      <c r="O162" t="s">
        <v>59</v>
      </c>
      <c r="P162" t="s">
        <v>59</v>
      </c>
      <c r="Q162" t="s">
        <v>59</v>
      </c>
      <c r="R162" t="s">
        <v>59</v>
      </c>
      <c r="S162" t="s">
        <v>59</v>
      </c>
      <c r="T162" t="s">
        <v>59</v>
      </c>
      <c r="U162" t="s">
        <v>60</v>
      </c>
      <c r="V162" t="s">
        <v>59</v>
      </c>
      <c r="W162" t="s">
        <v>59</v>
      </c>
      <c r="X162" t="s">
        <v>59</v>
      </c>
      <c r="Y162" t="s">
        <v>59</v>
      </c>
      <c r="Z162" t="s">
        <v>59</v>
      </c>
      <c r="AA162" t="s">
        <v>59</v>
      </c>
      <c r="AB162" t="s">
        <v>60</v>
      </c>
      <c r="AC162" t="s">
        <v>59</v>
      </c>
      <c r="AD162" t="s">
        <v>59</v>
      </c>
      <c r="AE162" t="s">
        <v>59</v>
      </c>
      <c r="AF162" t="s">
        <v>59</v>
      </c>
      <c r="AG162" t="s">
        <v>59</v>
      </c>
      <c r="AH162" t="s">
        <v>61</v>
      </c>
      <c r="AI162" t="s">
        <v>61</v>
      </c>
      <c r="AJ162" t="s">
        <v>59</v>
      </c>
      <c r="AK162" t="s">
        <v>59</v>
      </c>
      <c r="AL162" t="s">
        <v>59</v>
      </c>
      <c r="AM162" t="s">
        <v>59</v>
      </c>
      <c r="AN162" t="s">
        <v>59</v>
      </c>
      <c r="AO162" t="s">
        <v>59</v>
      </c>
      <c r="AP162" t="s">
        <v>467</v>
      </c>
      <c r="AQ162" t="s">
        <v>577</v>
      </c>
      <c r="AR162" t="s">
        <v>226</v>
      </c>
      <c r="AS162" t="s">
        <v>394</v>
      </c>
      <c r="AT162" t="s">
        <v>249</v>
      </c>
      <c r="AU162" t="s">
        <v>219</v>
      </c>
      <c r="AW162" s="4">
        <f t="shared" si="73"/>
        <v>6</v>
      </c>
      <c r="AX162" s="4">
        <f t="shared" si="74"/>
        <v>4</v>
      </c>
      <c r="AY162" s="4">
        <f t="shared" si="75"/>
        <v>4</v>
      </c>
      <c r="AZ162" s="4">
        <f t="shared" si="76"/>
        <v>2</v>
      </c>
      <c r="BA162" s="4">
        <f t="shared" si="77"/>
        <v>4</v>
      </c>
      <c r="BB162" s="4">
        <f t="shared" si="78"/>
        <v>4</v>
      </c>
      <c r="BC162" s="4">
        <f t="shared" si="79"/>
        <v>4</v>
      </c>
      <c r="BD162" s="4">
        <f t="shared" si="80"/>
        <v>2</v>
      </c>
      <c r="BE162" s="4" t="str">
        <f t="shared" si="81"/>
        <v>0</v>
      </c>
      <c r="BF162" s="4">
        <f t="shared" si="82"/>
        <v>2</v>
      </c>
      <c r="BG162" s="4">
        <f t="shared" si="83"/>
        <v>4</v>
      </c>
      <c r="BH162" s="4">
        <f t="shared" si="84"/>
        <v>4</v>
      </c>
      <c r="BI162" s="4">
        <f t="shared" si="85"/>
        <v>4</v>
      </c>
      <c r="BJ162" s="4">
        <f t="shared" si="86"/>
        <v>2</v>
      </c>
      <c r="BK162" s="4">
        <f t="shared" si="87"/>
        <v>4</v>
      </c>
      <c r="BL162" s="4" t="str">
        <f t="shared" si="88"/>
        <v>0</v>
      </c>
      <c r="BM162" s="4">
        <f t="shared" si="89"/>
        <v>4</v>
      </c>
      <c r="BN162" s="4">
        <f t="shared" si="90"/>
        <v>4</v>
      </c>
      <c r="BO162" s="4">
        <f t="shared" si="91"/>
        <v>4</v>
      </c>
      <c r="BP162" s="4">
        <f t="shared" si="92"/>
        <v>4</v>
      </c>
      <c r="BQ162" s="4">
        <f t="shared" si="93"/>
        <v>6</v>
      </c>
      <c r="BR162" s="4">
        <f t="shared" si="94"/>
        <v>4</v>
      </c>
      <c r="BS162" s="4">
        <f t="shared" si="95"/>
        <v>4</v>
      </c>
      <c r="BT162" s="4">
        <f t="shared" si="96"/>
        <v>4</v>
      </c>
      <c r="BU162" s="4">
        <f t="shared" si="97"/>
        <v>4</v>
      </c>
      <c r="BV162" s="4">
        <f t="shared" si="98"/>
        <v>0</v>
      </c>
      <c r="BW162" s="4">
        <f t="shared" si="99"/>
        <v>6</v>
      </c>
      <c r="BX162" s="4">
        <f t="shared" si="100"/>
        <v>0</v>
      </c>
      <c r="BY162" s="4">
        <f t="shared" si="101"/>
        <v>0</v>
      </c>
      <c r="BZ162" s="37">
        <f t="shared" si="102"/>
        <v>94</v>
      </c>
      <c r="CA162" s="32" t="str">
        <f>VLOOKUP(J:J,'Agent wise'!A:C,3,0)</f>
        <v>Amal</v>
      </c>
      <c r="CB162" s="32">
        <f t="shared" si="103"/>
        <v>45933</v>
      </c>
      <c r="CC162" t="str">
        <f t="shared" si="104"/>
        <v>Good</v>
      </c>
      <c r="CE162" s="32"/>
      <c r="CJ162">
        <f t="shared" si="105"/>
        <v>3</v>
      </c>
      <c r="CK162">
        <f t="shared" si="106"/>
        <v>10</v>
      </c>
      <c r="CL162">
        <f t="shared" si="107"/>
        <v>2025</v>
      </c>
    </row>
    <row r="163" spans="1:90" ht="15" customHeight="1" x14ac:dyDescent="0.35">
      <c r="A163" s="40">
        <v>45726.991932870369</v>
      </c>
      <c r="B163" t="s">
        <v>250</v>
      </c>
      <c r="C163" t="s">
        <v>214</v>
      </c>
      <c r="D163" t="s">
        <v>251</v>
      </c>
      <c r="E163" s="32">
        <v>45933</v>
      </c>
      <c r="F163" t="s">
        <v>222</v>
      </c>
      <c r="G163" s="2">
        <v>45698</v>
      </c>
      <c r="H163">
        <v>9487132148</v>
      </c>
      <c r="I163">
        <v>143</v>
      </c>
      <c r="J163" t="s">
        <v>391</v>
      </c>
      <c r="K163" t="s">
        <v>71</v>
      </c>
      <c r="L163" t="s">
        <v>72</v>
      </c>
      <c r="M163" t="s">
        <v>59</v>
      </c>
      <c r="N163" t="s">
        <v>59</v>
      </c>
      <c r="O163" t="s">
        <v>59</v>
      </c>
      <c r="P163" t="s">
        <v>59</v>
      </c>
      <c r="Q163" t="s">
        <v>59</v>
      </c>
      <c r="R163" t="s">
        <v>59</v>
      </c>
      <c r="S163" t="s">
        <v>59</v>
      </c>
      <c r="T163" t="s">
        <v>59</v>
      </c>
      <c r="U163" t="s">
        <v>60</v>
      </c>
      <c r="V163" t="s">
        <v>59</v>
      </c>
      <c r="W163" t="s">
        <v>59</v>
      </c>
      <c r="X163" t="s">
        <v>59</v>
      </c>
      <c r="Y163" t="s">
        <v>59</v>
      </c>
      <c r="Z163" t="s">
        <v>59</v>
      </c>
      <c r="AA163" t="s">
        <v>59</v>
      </c>
      <c r="AB163" t="s">
        <v>60</v>
      </c>
      <c r="AC163" t="s">
        <v>59</v>
      </c>
      <c r="AD163" t="s">
        <v>59</v>
      </c>
      <c r="AE163" t="s">
        <v>59</v>
      </c>
      <c r="AF163" t="s">
        <v>59</v>
      </c>
      <c r="AG163" t="s">
        <v>59</v>
      </c>
      <c r="AH163" t="s">
        <v>61</v>
      </c>
      <c r="AI163" t="s">
        <v>61</v>
      </c>
      <c r="AJ163" t="s">
        <v>59</v>
      </c>
      <c r="AK163" t="s">
        <v>59</v>
      </c>
      <c r="AL163" t="s">
        <v>60</v>
      </c>
      <c r="AM163" t="s">
        <v>59</v>
      </c>
      <c r="AN163" t="s">
        <v>59</v>
      </c>
      <c r="AO163" t="s">
        <v>59</v>
      </c>
      <c r="AP163" t="s">
        <v>578</v>
      </c>
      <c r="AQ163" t="s">
        <v>579</v>
      </c>
      <c r="AR163" t="s">
        <v>226</v>
      </c>
      <c r="AS163" t="s">
        <v>331</v>
      </c>
      <c r="AT163" t="s">
        <v>580</v>
      </c>
      <c r="AU163" t="s">
        <v>219</v>
      </c>
      <c r="AW163" s="4">
        <f t="shared" si="73"/>
        <v>6</v>
      </c>
      <c r="AX163" s="4">
        <f t="shared" si="74"/>
        <v>4</v>
      </c>
      <c r="AY163" s="4">
        <f t="shared" si="75"/>
        <v>4</v>
      </c>
      <c r="AZ163" s="4">
        <f t="shared" si="76"/>
        <v>2</v>
      </c>
      <c r="BA163" s="4">
        <f t="shared" si="77"/>
        <v>4</v>
      </c>
      <c r="BB163" s="4">
        <f t="shared" si="78"/>
        <v>4</v>
      </c>
      <c r="BC163" s="4">
        <f t="shared" si="79"/>
        <v>4</v>
      </c>
      <c r="BD163" s="4">
        <f t="shared" si="80"/>
        <v>2</v>
      </c>
      <c r="BE163" s="4" t="str">
        <f t="shared" si="81"/>
        <v>0</v>
      </c>
      <c r="BF163" s="4">
        <f t="shared" si="82"/>
        <v>2</v>
      </c>
      <c r="BG163" s="4">
        <f t="shared" si="83"/>
        <v>4</v>
      </c>
      <c r="BH163" s="4">
        <f t="shared" si="84"/>
        <v>4</v>
      </c>
      <c r="BI163" s="4">
        <f t="shared" si="85"/>
        <v>4</v>
      </c>
      <c r="BJ163" s="4">
        <f t="shared" si="86"/>
        <v>2</v>
      </c>
      <c r="BK163" s="4">
        <f t="shared" si="87"/>
        <v>4</v>
      </c>
      <c r="BL163" s="4" t="str">
        <f t="shared" si="88"/>
        <v>0</v>
      </c>
      <c r="BM163" s="4">
        <f t="shared" si="89"/>
        <v>4</v>
      </c>
      <c r="BN163" s="4">
        <f t="shared" si="90"/>
        <v>4</v>
      </c>
      <c r="BO163" s="4">
        <f t="shared" si="91"/>
        <v>4</v>
      </c>
      <c r="BP163" s="4">
        <f t="shared" si="92"/>
        <v>4</v>
      </c>
      <c r="BQ163" s="4">
        <f t="shared" si="93"/>
        <v>6</v>
      </c>
      <c r="BR163" s="4">
        <f t="shared" si="94"/>
        <v>4</v>
      </c>
      <c r="BS163" s="4">
        <f t="shared" si="95"/>
        <v>4</v>
      </c>
      <c r="BT163" s="4">
        <f t="shared" si="96"/>
        <v>4</v>
      </c>
      <c r="BU163" s="4">
        <f t="shared" si="97"/>
        <v>4</v>
      </c>
      <c r="BV163" s="4" t="str">
        <f t="shared" si="98"/>
        <v>0</v>
      </c>
      <c r="BW163" s="4">
        <f t="shared" si="99"/>
        <v>6</v>
      </c>
      <c r="BX163" s="4">
        <f t="shared" si="100"/>
        <v>0</v>
      </c>
      <c r="BY163" s="4">
        <f t="shared" si="101"/>
        <v>0</v>
      </c>
      <c r="BZ163" s="37">
        <f t="shared" si="102"/>
        <v>94</v>
      </c>
      <c r="CA163" s="32" t="str">
        <f>VLOOKUP(J:J,'Agent wise'!A:C,3,0)</f>
        <v>Amal</v>
      </c>
      <c r="CB163" s="32">
        <f t="shared" si="103"/>
        <v>45933</v>
      </c>
      <c r="CC163" t="str">
        <f t="shared" si="104"/>
        <v>Good</v>
      </c>
      <c r="CE163" s="32"/>
      <c r="CJ163">
        <f t="shared" si="105"/>
        <v>3</v>
      </c>
      <c r="CK163">
        <f t="shared" si="106"/>
        <v>10</v>
      </c>
      <c r="CL163">
        <f t="shared" si="107"/>
        <v>2025</v>
      </c>
    </row>
    <row r="164" spans="1:90" ht="15" customHeight="1" x14ac:dyDescent="0.35">
      <c r="A164" s="40">
        <v>45726.993831018517</v>
      </c>
      <c r="B164" t="s">
        <v>250</v>
      </c>
      <c r="C164" t="s">
        <v>214</v>
      </c>
      <c r="D164" t="s">
        <v>251</v>
      </c>
      <c r="E164" s="32">
        <v>45933</v>
      </c>
      <c r="F164" t="s">
        <v>222</v>
      </c>
      <c r="G164" s="2">
        <v>45698</v>
      </c>
      <c r="H164">
        <v>9745365190</v>
      </c>
      <c r="I164">
        <v>192</v>
      </c>
      <c r="J164" t="s">
        <v>353</v>
      </c>
      <c r="K164" t="s">
        <v>57</v>
      </c>
      <c r="L164" t="s">
        <v>58</v>
      </c>
      <c r="M164" t="s">
        <v>59</v>
      </c>
      <c r="N164" t="s">
        <v>59</v>
      </c>
      <c r="O164" t="s">
        <v>59</v>
      </c>
      <c r="P164" t="s">
        <v>59</v>
      </c>
      <c r="Q164" t="s">
        <v>59</v>
      </c>
      <c r="R164" t="s">
        <v>59</v>
      </c>
      <c r="S164" t="s">
        <v>59</v>
      </c>
      <c r="T164" t="s">
        <v>59</v>
      </c>
      <c r="U164" t="s">
        <v>60</v>
      </c>
      <c r="V164" t="s">
        <v>59</v>
      </c>
      <c r="W164" t="s">
        <v>59</v>
      </c>
      <c r="X164" t="s">
        <v>59</v>
      </c>
      <c r="Y164" t="s">
        <v>59</v>
      </c>
      <c r="Z164" t="s">
        <v>59</v>
      </c>
      <c r="AA164" t="s">
        <v>59</v>
      </c>
      <c r="AB164" t="s">
        <v>60</v>
      </c>
      <c r="AC164" t="s">
        <v>59</v>
      </c>
      <c r="AD164" t="s">
        <v>59</v>
      </c>
      <c r="AE164" t="s">
        <v>59</v>
      </c>
      <c r="AF164" t="s">
        <v>59</v>
      </c>
      <c r="AG164" t="s">
        <v>59</v>
      </c>
      <c r="AH164" t="s">
        <v>61</v>
      </c>
      <c r="AI164" t="s">
        <v>60</v>
      </c>
      <c r="AJ164" t="s">
        <v>59</v>
      </c>
      <c r="AK164" t="s">
        <v>59</v>
      </c>
      <c r="AL164" t="s">
        <v>60</v>
      </c>
      <c r="AM164" t="s">
        <v>59</v>
      </c>
      <c r="AN164" t="s">
        <v>59</v>
      </c>
      <c r="AO164" t="s">
        <v>59</v>
      </c>
      <c r="AP164" t="s">
        <v>581</v>
      </c>
      <c r="AQ164" t="s">
        <v>582</v>
      </c>
      <c r="AR164" t="s">
        <v>226</v>
      </c>
      <c r="AS164" t="s">
        <v>583</v>
      </c>
      <c r="AT164" t="s">
        <v>249</v>
      </c>
      <c r="AU164" t="s">
        <v>219</v>
      </c>
      <c r="AW164" s="4">
        <f t="shared" si="73"/>
        <v>6</v>
      </c>
      <c r="AX164" s="4">
        <f t="shared" si="74"/>
        <v>4</v>
      </c>
      <c r="AY164" s="4">
        <f t="shared" si="75"/>
        <v>4</v>
      </c>
      <c r="AZ164" s="4">
        <f t="shared" si="76"/>
        <v>2</v>
      </c>
      <c r="BA164" s="4">
        <f t="shared" si="77"/>
        <v>4</v>
      </c>
      <c r="BB164" s="4">
        <f t="shared" si="78"/>
        <v>4</v>
      </c>
      <c r="BC164" s="4">
        <f t="shared" si="79"/>
        <v>4</v>
      </c>
      <c r="BD164" s="4">
        <f t="shared" si="80"/>
        <v>2</v>
      </c>
      <c r="BE164" s="4" t="str">
        <f t="shared" si="81"/>
        <v>0</v>
      </c>
      <c r="BF164" s="4">
        <f t="shared" si="82"/>
        <v>2</v>
      </c>
      <c r="BG164" s="4">
        <f t="shared" si="83"/>
        <v>4</v>
      </c>
      <c r="BH164" s="4">
        <f t="shared" si="84"/>
        <v>4</v>
      </c>
      <c r="BI164" s="4">
        <f t="shared" si="85"/>
        <v>4</v>
      </c>
      <c r="BJ164" s="4">
        <f t="shared" si="86"/>
        <v>2</v>
      </c>
      <c r="BK164" s="4">
        <f t="shared" si="87"/>
        <v>4</v>
      </c>
      <c r="BL164" s="4" t="str">
        <f t="shared" si="88"/>
        <v>0</v>
      </c>
      <c r="BM164" s="4">
        <f t="shared" si="89"/>
        <v>4</v>
      </c>
      <c r="BN164" s="4">
        <f t="shared" si="90"/>
        <v>4</v>
      </c>
      <c r="BO164" s="4">
        <f t="shared" si="91"/>
        <v>4</v>
      </c>
      <c r="BP164" s="4">
        <f t="shared" si="92"/>
        <v>4</v>
      </c>
      <c r="BQ164" s="4">
        <f t="shared" si="93"/>
        <v>6</v>
      </c>
      <c r="BR164" s="4">
        <f t="shared" si="94"/>
        <v>4</v>
      </c>
      <c r="BS164" s="4" t="str">
        <f t="shared" si="95"/>
        <v>0</v>
      </c>
      <c r="BT164" s="4">
        <f t="shared" si="96"/>
        <v>4</v>
      </c>
      <c r="BU164" s="4">
        <f t="shared" si="97"/>
        <v>4</v>
      </c>
      <c r="BV164" s="4" t="str">
        <f t="shared" si="98"/>
        <v>0</v>
      </c>
      <c r="BW164" s="4">
        <f t="shared" si="99"/>
        <v>6</v>
      </c>
      <c r="BX164" s="4">
        <f t="shared" si="100"/>
        <v>0</v>
      </c>
      <c r="BY164" s="4">
        <f t="shared" si="101"/>
        <v>0</v>
      </c>
      <c r="BZ164" s="37">
        <f t="shared" si="102"/>
        <v>90</v>
      </c>
      <c r="CA164" s="32" t="str">
        <f>VLOOKUP(J:J,'Agent wise'!A:C,3,0)</f>
        <v>Amal</v>
      </c>
      <c r="CB164" s="32">
        <f t="shared" si="103"/>
        <v>45933</v>
      </c>
      <c r="CC164" t="str">
        <f t="shared" si="104"/>
        <v>Good</v>
      </c>
      <c r="CE164" s="32"/>
      <c r="CJ164">
        <f t="shared" si="105"/>
        <v>3</v>
      </c>
      <c r="CK164">
        <f t="shared" si="106"/>
        <v>10</v>
      </c>
      <c r="CL164">
        <f t="shared" si="107"/>
        <v>2025</v>
      </c>
    </row>
    <row r="165" spans="1:90" ht="15" customHeight="1" x14ac:dyDescent="0.35">
      <c r="A165" s="40">
        <v>45757.520925925928</v>
      </c>
      <c r="B165" t="s">
        <v>51</v>
      </c>
      <c r="C165" t="s">
        <v>214</v>
      </c>
      <c r="D165" t="s">
        <v>53</v>
      </c>
      <c r="E165" s="32">
        <v>45934</v>
      </c>
      <c r="F165" t="s">
        <v>54</v>
      </c>
      <c r="G165" s="2">
        <v>45726</v>
      </c>
      <c r="H165">
        <v>8893456210</v>
      </c>
      <c r="I165">
        <v>302</v>
      </c>
      <c r="J165" t="s">
        <v>149</v>
      </c>
      <c r="K165" t="s">
        <v>57</v>
      </c>
      <c r="L165" t="s">
        <v>58</v>
      </c>
      <c r="M165" t="s">
        <v>59</v>
      </c>
      <c r="N165" t="s">
        <v>59</v>
      </c>
      <c r="O165" t="s">
        <v>59</v>
      </c>
      <c r="P165" t="s">
        <v>59</v>
      </c>
      <c r="Q165" t="s">
        <v>59</v>
      </c>
      <c r="R165" t="s">
        <v>60</v>
      </c>
      <c r="S165" t="s">
        <v>59</v>
      </c>
      <c r="T165" t="s">
        <v>59</v>
      </c>
      <c r="U165" t="s">
        <v>59</v>
      </c>
      <c r="V165" t="s">
        <v>59</v>
      </c>
      <c r="W165" t="s">
        <v>59</v>
      </c>
      <c r="X165" t="s">
        <v>59</v>
      </c>
      <c r="Y165" t="s">
        <v>59</v>
      </c>
      <c r="Z165" t="s">
        <v>59</v>
      </c>
      <c r="AA165" t="s">
        <v>59</v>
      </c>
      <c r="AB165" t="s">
        <v>59</v>
      </c>
      <c r="AC165" t="s">
        <v>61</v>
      </c>
      <c r="AD165" t="s">
        <v>59</v>
      </c>
      <c r="AE165" t="s">
        <v>60</v>
      </c>
      <c r="AF165" t="s">
        <v>59</v>
      </c>
      <c r="AG165" t="s">
        <v>59</v>
      </c>
      <c r="AH165" t="s">
        <v>61</v>
      </c>
      <c r="AI165" t="s">
        <v>60</v>
      </c>
      <c r="AJ165" t="s">
        <v>59</v>
      </c>
      <c r="AK165" t="s">
        <v>61</v>
      </c>
      <c r="AL165" t="s">
        <v>60</v>
      </c>
      <c r="AM165" t="s">
        <v>59</v>
      </c>
      <c r="AN165" t="s">
        <v>59</v>
      </c>
      <c r="AO165" t="s">
        <v>59</v>
      </c>
      <c r="AP165" t="s">
        <v>584</v>
      </c>
      <c r="AQ165" t="s">
        <v>585</v>
      </c>
      <c r="AR165" t="s">
        <v>64</v>
      </c>
      <c r="AS165" t="s">
        <v>65</v>
      </c>
      <c r="AT165" t="s">
        <v>66</v>
      </c>
      <c r="AU165" t="s">
        <v>448</v>
      </c>
      <c r="AW165" s="4">
        <f t="shared" si="73"/>
        <v>6</v>
      </c>
      <c r="AX165" s="4">
        <f t="shared" si="74"/>
        <v>4</v>
      </c>
      <c r="AY165" s="4">
        <f t="shared" si="75"/>
        <v>4</v>
      </c>
      <c r="AZ165" s="4">
        <f t="shared" si="76"/>
        <v>2</v>
      </c>
      <c r="BA165" s="4">
        <f t="shared" si="77"/>
        <v>4</v>
      </c>
      <c r="BB165" s="4" t="str">
        <f t="shared" si="78"/>
        <v>0</v>
      </c>
      <c r="BC165" s="4">
        <f t="shared" si="79"/>
        <v>4</v>
      </c>
      <c r="BD165" s="4">
        <f t="shared" si="80"/>
        <v>2</v>
      </c>
      <c r="BE165" s="4">
        <f t="shared" si="81"/>
        <v>4</v>
      </c>
      <c r="BF165" s="4">
        <f t="shared" si="82"/>
        <v>2</v>
      </c>
      <c r="BG165" s="4">
        <f t="shared" si="83"/>
        <v>4</v>
      </c>
      <c r="BH165" s="4">
        <f t="shared" si="84"/>
        <v>4</v>
      </c>
      <c r="BI165" s="4">
        <f t="shared" si="85"/>
        <v>4</v>
      </c>
      <c r="BJ165" s="4">
        <f t="shared" si="86"/>
        <v>2</v>
      </c>
      <c r="BK165" s="4">
        <f t="shared" si="87"/>
        <v>4</v>
      </c>
      <c r="BL165" s="4">
        <f t="shared" si="88"/>
        <v>2</v>
      </c>
      <c r="BM165" s="4">
        <f t="shared" si="89"/>
        <v>4</v>
      </c>
      <c r="BN165" s="4">
        <f t="shared" si="90"/>
        <v>4</v>
      </c>
      <c r="BO165" s="4" t="str">
        <f t="shared" si="91"/>
        <v>0</v>
      </c>
      <c r="BP165" s="4">
        <f t="shared" si="92"/>
        <v>4</v>
      </c>
      <c r="BQ165" s="4">
        <f t="shared" si="93"/>
        <v>6</v>
      </c>
      <c r="BR165" s="4">
        <f t="shared" si="94"/>
        <v>4</v>
      </c>
      <c r="BS165" s="4" t="str">
        <f t="shared" si="95"/>
        <v>0</v>
      </c>
      <c r="BT165" s="4">
        <f t="shared" si="96"/>
        <v>4</v>
      </c>
      <c r="BU165" s="4">
        <f t="shared" si="97"/>
        <v>4</v>
      </c>
      <c r="BV165" s="4" t="str">
        <f t="shared" si="98"/>
        <v>0</v>
      </c>
      <c r="BW165" s="4">
        <f t="shared" si="99"/>
        <v>6</v>
      </c>
      <c r="BX165" s="4">
        <f t="shared" si="100"/>
        <v>0</v>
      </c>
      <c r="BY165" s="4">
        <f t="shared" si="101"/>
        <v>0</v>
      </c>
      <c r="BZ165" s="37">
        <f t="shared" si="102"/>
        <v>88</v>
      </c>
      <c r="CA165" s="32" t="str">
        <f>VLOOKUP(J:J,'Agent wise'!A:C,3,0)</f>
        <v>Shakeer</v>
      </c>
      <c r="CB165" s="32">
        <f t="shared" si="103"/>
        <v>45934</v>
      </c>
      <c r="CC165" t="str">
        <f t="shared" si="104"/>
        <v>Average</v>
      </c>
      <c r="CE165" s="32"/>
      <c r="CJ165">
        <f t="shared" si="105"/>
        <v>4</v>
      </c>
      <c r="CK165">
        <f t="shared" si="106"/>
        <v>10</v>
      </c>
      <c r="CL165">
        <f t="shared" si="107"/>
        <v>2025</v>
      </c>
    </row>
    <row r="166" spans="1:90" ht="15" customHeight="1" x14ac:dyDescent="0.35">
      <c r="A166" s="40">
        <v>45757.554965277777</v>
      </c>
      <c r="B166" t="s">
        <v>51</v>
      </c>
      <c r="C166" t="s">
        <v>214</v>
      </c>
      <c r="D166" t="s">
        <v>53</v>
      </c>
      <c r="E166" s="32">
        <v>45934</v>
      </c>
      <c r="F166" t="s">
        <v>54</v>
      </c>
      <c r="G166" s="2">
        <v>45726</v>
      </c>
      <c r="H166">
        <v>8893465693</v>
      </c>
      <c r="I166">
        <v>288</v>
      </c>
      <c r="J166" t="s">
        <v>586</v>
      </c>
      <c r="K166" t="s">
        <v>57</v>
      </c>
      <c r="L166" t="s">
        <v>58</v>
      </c>
      <c r="M166" t="s">
        <v>59</v>
      </c>
      <c r="N166" t="s">
        <v>59</v>
      </c>
      <c r="O166" t="s">
        <v>59</v>
      </c>
      <c r="P166" t="s">
        <v>59</v>
      </c>
      <c r="Q166" t="s">
        <v>59</v>
      </c>
      <c r="R166" t="s">
        <v>60</v>
      </c>
      <c r="S166" t="s">
        <v>59</v>
      </c>
      <c r="T166" t="s">
        <v>59</v>
      </c>
      <c r="U166" t="s">
        <v>59</v>
      </c>
      <c r="V166" t="s">
        <v>59</v>
      </c>
      <c r="W166" t="s">
        <v>59</v>
      </c>
      <c r="X166" t="s">
        <v>59</v>
      </c>
      <c r="Y166" t="s">
        <v>59</v>
      </c>
      <c r="Z166" t="s">
        <v>59</v>
      </c>
      <c r="AA166" t="s">
        <v>60</v>
      </c>
      <c r="AB166" t="s">
        <v>60</v>
      </c>
      <c r="AC166" t="s">
        <v>61</v>
      </c>
      <c r="AD166" t="s">
        <v>59</v>
      </c>
      <c r="AE166" t="s">
        <v>59</v>
      </c>
      <c r="AF166" t="s">
        <v>61</v>
      </c>
      <c r="AG166" t="s">
        <v>59</v>
      </c>
      <c r="AH166" t="s">
        <v>61</v>
      </c>
      <c r="AI166" t="s">
        <v>60</v>
      </c>
      <c r="AJ166" t="s">
        <v>59</v>
      </c>
      <c r="AK166" t="s">
        <v>61</v>
      </c>
      <c r="AL166" t="s">
        <v>60</v>
      </c>
      <c r="AM166" t="s">
        <v>59</v>
      </c>
      <c r="AN166" t="s">
        <v>59</v>
      </c>
      <c r="AO166" t="s">
        <v>59</v>
      </c>
      <c r="AP166" t="s">
        <v>511</v>
      </c>
      <c r="AQ166" t="s">
        <v>587</v>
      </c>
      <c r="AR166" t="s">
        <v>64</v>
      </c>
      <c r="AS166" t="s">
        <v>65</v>
      </c>
      <c r="AT166" t="s">
        <v>507</v>
      </c>
      <c r="AU166" t="s">
        <v>299</v>
      </c>
      <c r="AW166" s="4">
        <f t="shared" si="73"/>
        <v>6</v>
      </c>
      <c r="AX166" s="4">
        <f t="shared" si="74"/>
        <v>4</v>
      </c>
      <c r="AY166" s="4">
        <f t="shared" si="75"/>
        <v>4</v>
      </c>
      <c r="AZ166" s="4">
        <f t="shared" si="76"/>
        <v>2</v>
      </c>
      <c r="BA166" s="4">
        <f t="shared" si="77"/>
        <v>4</v>
      </c>
      <c r="BB166" s="4" t="str">
        <f t="shared" si="78"/>
        <v>0</v>
      </c>
      <c r="BC166" s="4">
        <f t="shared" si="79"/>
        <v>4</v>
      </c>
      <c r="BD166" s="4">
        <f t="shared" si="80"/>
        <v>2</v>
      </c>
      <c r="BE166" s="4">
        <f t="shared" si="81"/>
        <v>4</v>
      </c>
      <c r="BF166" s="4">
        <f t="shared" si="82"/>
        <v>2</v>
      </c>
      <c r="BG166" s="4">
        <f t="shared" si="83"/>
        <v>4</v>
      </c>
      <c r="BH166" s="4">
        <f t="shared" si="84"/>
        <v>4</v>
      </c>
      <c r="BI166" s="4">
        <f t="shared" si="85"/>
        <v>4</v>
      </c>
      <c r="BJ166" s="4">
        <f t="shared" si="86"/>
        <v>2</v>
      </c>
      <c r="BK166" s="4" t="str">
        <f t="shared" si="87"/>
        <v>0</v>
      </c>
      <c r="BL166" s="4" t="str">
        <f t="shared" si="88"/>
        <v>0</v>
      </c>
      <c r="BM166" s="4">
        <f t="shared" si="89"/>
        <v>4</v>
      </c>
      <c r="BN166" s="4">
        <f t="shared" si="90"/>
        <v>4</v>
      </c>
      <c r="BO166" s="4">
        <f t="shared" si="91"/>
        <v>4</v>
      </c>
      <c r="BP166" s="4">
        <f t="shared" si="92"/>
        <v>4</v>
      </c>
      <c r="BQ166" s="4">
        <f t="shared" si="93"/>
        <v>6</v>
      </c>
      <c r="BR166" s="4">
        <f t="shared" si="94"/>
        <v>4</v>
      </c>
      <c r="BS166" s="4" t="str">
        <f t="shared" si="95"/>
        <v>0</v>
      </c>
      <c r="BT166" s="4">
        <f t="shared" si="96"/>
        <v>4</v>
      </c>
      <c r="BU166" s="4">
        <f t="shared" si="97"/>
        <v>4</v>
      </c>
      <c r="BV166" s="4" t="str">
        <f t="shared" si="98"/>
        <v>0</v>
      </c>
      <c r="BW166" s="4">
        <f t="shared" si="99"/>
        <v>6</v>
      </c>
      <c r="BX166" s="4">
        <f t="shared" si="100"/>
        <v>0</v>
      </c>
      <c r="BY166" s="4">
        <f t="shared" si="101"/>
        <v>0</v>
      </c>
      <c r="BZ166" s="37">
        <f t="shared" si="102"/>
        <v>86</v>
      </c>
      <c r="CA166" s="32" t="str">
        <f>VLOOKUP(J:J,'Agent wise'!A:C,3,0)</f>
        <v>Shakeer</v>
      </c>
      <c r="CB166" s="32">
        <f t="shared" si="103"/>
        <v>45934</v>
      </c>
      <c r="CC166" t="str">
        <f t="shared" si="104"/>
        <v>Average</v>
      </c>
      <c r="CE166" s="32"/>
      <c r="CJ166">
        <f t="shared" si="105"/>
        <v>4</v>
      </c>
      <c r="CK166">
        <f t="shared" si="106"/>
        <v>10</v>
      </c>
      <c r="CL166">
        <f t="shared" si="107"/>
        <v>2025</v>
      </c>
    </row>
    <row r="167" spans="1:90" ht="15" customHeight="1" x14ac:dyDescent="0.35">
      <c r="A167" s="40">
        <v>45757.574780092589</v>
      </c>
      <c r="B167" t="s">
        <v>177</v>
      </c>
      <c r="C167" t="s">
        <v>214</v>
      </c>
      <c r="D167" t="s">
        <v>178</v>
      </c>
      <c r="E167" s="32">
        <v>45933</v>
      </c>
      <c r="F167" t="s">
        <v>54</v>
      </c>
      <c r="G167" s="2">
        <v>45698</v>
      </c>
      <c r="H167">
        <v>9446975624</v>
      </c>
      <c r="I167">
        <v>148</v>
      </c>
      <c r="J167" t="s">
        <v>204</v>
      </c>
      <c r="K167" t="s">
        <v>57</v>
      </c>
      <c r="L167" t="s">
        <v>58</v>
      </c>
      <c r="M167" t="s">
        <v>59</v>
      </c>
      <c r="N167" t="s">
        <v>59</v>
      </c>
      <c r="O167" t="s">
        <v>60</v>
      </c>
      <c r="P167" t="s">
        <v>59</v>
      </c>
      <c r="Q167" t="s">
        <v>59</v>
      </c>
      <c r="R167" t="s">
        <v>59</v>
      </c>
      <c r="S167" t="s">
        <v>59</v>
      </c>
      <c r="T167" t="s">
        <v>59</v>
      </c>
      <c r="U167" t="s">
        <v>59</v>
      </c>
      <c r="V167" t="s">
        <v>59</v>
      </c>
      <c r="W167" t="s">
        <v>59</v>
      </c>
      <c r="X167" t="s">
        <v>59</v>
      </c>
      <c r="Y167" t="s">
        <v>59</v>
      </c>
      <c r="Z167" t="s">
        <v>59</v>
      </c>
      <c r="AA167" t="s">
        <v>59</v>
      </c>
      <c r="AB167" t="s">
        <v>59</v>
      </c>
      <c r="AC167" t="s">
        <v>59</v>
      </c>
      <c r="AD167" t="s">
        <v>59</v>
      </c>
      <c r="AE167" t="s">
        <v>59</v>
      </c>
      <c r="AF167" t="s">
        <v>59</v>
      </c>
      <c r="AG167" t="s">
        <v>59</v>
      </c>
      <c r="AH167" t="s">
        <v>61</v>
      </c>
      <c r="AI167" t="s">
        <v>61</v>
      </c>
      <c r="AJ167" t="s">
        <v>59</v>
      </c>
      <c r="AK167" t="s">
        <v>59</v>
      </c>
      <c r="AL167" t="s">
        <v>59</v>
      </c>
      <c r="AM167" t="s">
        <v>59</v>
      </c>
      <c r="AN167" t="s">
        <v>59</v>
      </c>
      <c r="AO167" t="s">
        <v>59</v>
      </c>
      <c r="AP167" t="s">
        <v>14</v>
      </c>
      <c r="AQ167" t="s">
        <v>500</v>
      </c>
      <c r="AR167" t="s">
        <v>64</v>
      </c>
      <c r="AS167" t="s">
        <v>171</v>
      </c>
      <c r="AT167" t="s">
        <v>190</v>
      </c>
      <c r="AU167" t="s">
        <v>387</v>
      </c>
      <c r="AW167" s="4">
        <f t="shared" si="73"/>
        <v>6</v>
      </c>
      <c r="AX167" s="4">
        <f t="shared" si="74"/>
        <v>4</v>
      </c>
      <c r="AY167" s="4" t="str">
        <f t="shared" si="75"/>
        <v>0</v>
      </c>
      <c r="AZ167" s="4">
        <f t="shared" si="76"/>
        <v>2</v>
      </c>
      <c r="BA167" s="4">
        <f t="shared" si="77"/>
        <v>4</v>
      </c>
      <c r="BB167" s="4">
        <f t="shared" si="78"/>
        <v>4</v>
      </c>
      <c r="BC167" s="4">
        <f t="shared" si="79"/>
        <v>4</v>
      </c>
      <c r="BD167" s="4">
        <f t="shared" si="80"/>
        <v>2</v>
      </c>
      <c r="BE167" s="4">
        <f t="shared" si="81"/>
        <v>4</v>
      </c>
      <c r="BF167" s="4">
        <f t="shared" si="82"/>
        <v>2</v>
      </c>
      <c r="BG167" s="4">
        <f t="shared" si="83"/>
        <v>4</v>
      </c>
      <c r="BH167" s="4">
        <f t="shared" si="84"/>
        <v>4</v>
      </c>
      <c r="BI167" s="4">
        <f t="shared" si="85"/>
        <v>4</v>
      </c>
      <c r="BJ167" s="4">
        <f t="shared" si="86"/>
        <v>2</v>
      </c>
      <c r="BK167" s="4">
        <f t="shared" si="87"/>
        <v>4</v>
      </c>
      <c r="BL167" s="4">
        <f t="shared" si="88"/>
        <v>2</v>
      </c>
      <c r="BM167" s="4">
        <f t="shared" si="89"/>
        <v>4</v>
      </c>
      <c r="BN167" s="4">
        <f t="shared" si="90"/>
        <v>4</v>
      </c>
      <c r="BO167" s="4">
        <f t="shared" si="91"/>
        <v>4</v>
      </c>
      <c r="BP167" s="4">
        <f t="shared" si="92"/>
        <v>4</v>
      </c>
      <c r="BQ167" s="4">
        <f t="shared" si="93"/>
        <v>6</v>
      </c>
      <c r="BR167" s="4">
        <f t="shared" si="94"/>
        <v>4</v>
      </c>
      <c r="BS167" s="4">
        <f t="shared" si="95"/>
        <v>4</v>
      </c>
      <c r="BT167" s="4">
        <f t="shared" si="96"/>
        <v>4</v>
      </c>
      <c r="BU167" s="4">
        <f t="shared" si="97"/>
        <v>4</v>
      </c>
      <c r="BV167" s="4">
        <f t="shared" si="98"/>
        <v>0</v>
      </c>
      <c r="BW167" s="4">
        <f t="shared" si="99"/>
        <v>6</v>
      </c>
      <c r="BX167" s="4">
        <f t="shared" si="100"/>
        <v>0</v>
      </c>
      <c r="BY167" s="4">
        <f t="shared" si="101"/>
        <v>0</v>
      </c>
      <c r="BZ167" s="37">
        <f t="shared" si="102"/>
        <v>96</v>
      </c>
      <c r="CA167" s="32" t="str">
        <f>VLOOKUP(J:J,'Agent wise'!A:C,3,0)</f>
        <v xml:space="preserve">Shiny </v>
      </c>
      <c r="CB167" s="32">
        <f t="shared" si="103"/>
        <v>45933</v>
      </c>
      <c r="CC167" t="str">
        <f t="shared" si="104"/>
        <v>Excellent</v>
      </c>
      <c r="CE167" s="32"/>
      <c r="CJ167">
        <f t="shared" si="105"/>
        <v>3</v>
      </c>
      <c r="CK167">
        <f t="shared" si="106"/>
        <v>10</v>
      </c>
      <c r="CL167">
        <f t="shared" si="107"/>
        <v>2025</v>
      </c>
    </row>
    <row r="168" spans="1:90" ht="15" customHeight="1" x14ac:dyDescent="0.35">
      <c r="A168" s="40">
        <v>45757.585393518522</v>
      </c>
      <c r="B168" t="s">
        <v>51</v>
      </c>
      <c r="C168" t="s">
        <v>214</v>
      </c>
      <c r="D168" t="s">
        <v>53</v>
      </c>
      <c r="E168" s="32">
        <v>45934</v>
      </c>
      <c r="F168" t="s">
        <v>54</v>
      </c>
      <c r="G168" s="2">
        <v>45726</v>
      </c>
      <c r="H168">
        <v>9442389723</v>
      </c>
      <c r="I168">
        <v>193</v>
      </c>
      <c r="J168" t="s">
        <v>427</v>
      </c>
      <c r="K168" t="s">
        <v>71</v>
      </c>
      <c r="L168" t="s">
        <v>72</v>
      </c>
      <c r="M168" t="s">
        <v>59</v>
      </c>
      <c r="N168" t="s">
        <v>59</v>
      </c>
      <c r="O168" t="s">
        <v>59</v>
      </c>
      <c r="P168" t="s">
        <v>59</v>
      </c>
      <c r="Q168" t="s">
        <v>59</v>
      </c>
      <c r="R168" t="s">
        <v>59</v>
      </c>
      <c r="S168" t="s">
        <v>59</v>
      </c>
      <c r="T168" t="s">
        <v>59</v>
      </c>
      <c r="U168" t="s">
        <v>60</v>
      </c>
      <c r="V168" t="s">
        <v>59</v>
      </c>
      <c r="W168" t="s">
        <v>59</v>
      </c>
      <c r="X168" t="s">
        <v>59</v>
      </c>
      <c r="Y168" t="s">
        <v>59</v>
      </c>
      <c r="Z168" t="s">
        <v>59</v>
      </c>
      <c r="AA168" t="s">
        <v>59</v>
      </c>
      <c r="AB168" t="s">
        <v>59</v>
      </c>
      <c r="AC168" t="s">
        <v>61</v>
      </c>
      <c r="AD168" t="s">
        <v>59</v>
      </c>
      <c r="AE168" t="s">
        <v>59</v>
      </c>
      <c r="AF168" t="s">
        <v>61</v>
      </c>
      <c r="AG168" t="s">
        <v>59</v>
      </c>
      <c r="AH168" t="s">
        <v>61</v>
      </c>
      <c r="AI168" t="s">
        <v>60</v>
      </c>
      <c r="AJ168" t="s">
        <v>59</v>
      </c>
      <c r="AK168" t="s">
        <v>61</v>
      </c>
      <c r="AL168" t="s">
        <v>59</v>
      </c>
      <c r="AM168" t="s">
        <v>59</v>
      </c>
      <c r="AN168" t="s">
        <v>59</v>
      </c>
      <c r="AO168" t="s">
        <v>59</v>
      </c>
      <c r="AP168" t="s">
        <v>588</v>
      </c>
      <c r="AQ168" t="s">
        <v>77</v>
      </c>
      <c r="AR168" t="s">
        <v>64</v>
      </c>
      <c r="AS168" t="s">
        <v>65</v>
      </c>
      <c r="AT168" t="s">
        <v>66</v>
      </c>
      <c r="AU168" t="s">
        <v>299</v>
      </c>
      <c r="AW168" s="4">
        <f t="shared" si="73"/>
        <v>6</v>
      </c>
      <c r="AX168" s="4">
        <f t="shared" si="74"/>
        <v>4</v>
      </c>
      <c r="AY168" s="4">
        <f t="shared" si="75"/>
        <v>4</v>
      </c>
      <c r="AZ168" s="4">
        <f t="shared" si="76"/>
        <v>2</v>
      </c>
      <c r="BA168" s="4">
        <f t="shared" si="77"/>
        <v>4</v>
      </c>
      <c r="BB168" s="4">
        <f t="shared" si="78"/>
        <v>4</v>
      </c>
      <c r="BC168" s="4">
        <f t="shared" si="79"/>
        <v>4</v>
      </c>
      <c r="BD168" s="4">
        <f t="shared" si="80"/>
        <v>2</v>
      </c>
      <c r="BE168" s="4" t="str">
        <f t="shared" si="81"/>
        <v>0</v>
      </c>
      <c r="BF168" s="4">
        <f t="shared" si="82"/>
        <v>2</v>
      </c>
      <c r="BG168" s="4">
        <f t="shared" si="83"/>
        <v>4</v>
      </c>
      <c r="BH168" s="4">
        <f t="shared" si="84"/>
        <v>4</v>
      </c>
      <c r="BI168" s="4">
        <f t="shared" si="85"/>
        <v>4</v>
      </c>
      <c r="BJ168" s="4">
        <f t="shared" si="86"/>
        <v>2</v>
      </c>
      <c r="BK168" s="4">
        <f t="shared" si="87"/>
        <v>4</v>
      </c>
      <c r="BL168" s="4">
        <f t="shared" si="88"/>
        <v>2</v>
      </c>
      <c r="BM168" s="4">
        <f t="shared" si="89"/>
        <v>4</v>
      </c>
      <c r="BN168" s="4">
        <f t="shared" si="90"/>
        <v>4</v>
      </c>
      <c r="BO168" s="4">
        <f t="shared" si="91"/>
        <v>4</v>
      </c>
      <c r="BP168" s="4">
        <f t="shared" si="92"/>
        <v>4</v>
      </c>
      <c r="BQ168" s="4">
        <f t="shared" si="93"/>
        <v>6</v>
      </c>
      <c r="BR168" s="4">
        <f t="shared" si="94"/>
        <v>4</v>
      </c>
      <c r="BS168" s="4" t="str">
        <f t="shared" si="95"/>
        <v>0</v>
      </c>
      <c r="BT168" s="4">
        <f t="shared" si="96"/>
        <v>4</v>
      </c>
      <c r="BU168" s="4">
        <f t="shared" si="97"/>
        <v>4</v>
      </c>
      <c r="BV168" s="4">
        <f t="shared" si="98"/>
        <v>0</v>
      </c>
      <c r="BW168" s="4">
        <f t="shared" si="99"/>
        <v>6</v>
      </c>
      <c r="BX168" s="4">
        <f t="shared" si="100"/>
        <v>0</v>
      </c>
      <c r="BY168" s="4">
        <f t="shared" si="101"/>
        <v>0</v>
      </c>
      <c r="BZ168" s="37">
        <f t="shared" si="102"/>
        <v>92</v>
      </c>
      <c r="CA168" s="32" t="str">
        <f>VLOOKUP(J:J,'Agent wise'!A:C,3,0)</f>
        <v>Shakeer</v>
      </c>
      <c r="CB168" s="32">
        <f t="shared" si="103"/>
        <v>45934</v>
      </c>
      <c r="CC168" t="str">
        <f t="shared" si="104"/>
        <v>Good</v>
      </c>
      <c r="CE168" s="32"/>
      <c r="CJ168">
        <f t="shared" si="105"/>
        <v>4</v>
      </c>
      <c r="CK168">
        <f t="shared" si="106"/>
        <v>10</v>
      </c>
      <c r="CL168">
        <f t="shared" si="107"/>
        <v>2025</v>
      </c>
    </row>
    <row r="169" spans="1:90" ht="15" customHeight="1" x14ac:dyDescent="0.35">
      <c r="A169" s="40">
        <v>45757.589571759258</v>
      </c>
      <c r="B169" t="s">
        <v>51</v>
      </c>
      <c r="C169" t="s">
        <v>214</v>
      </c>
      <c r="D169" t="s">
        <v>53</v>
      </c>
      <c r="E169" s="32">
        <v>45934</v>
      </c>
      <c r="F169" t="s">
        <v>54</v>
      </c>
      <c r="G169" s="2">
        <v>45726</v>
      </c>
      <c r="H169">
        <v>9188556641</v>
      </c>
      <c r="I169">
        <v>269</v>
      </c>
      <c r="J169" t="s">
        <v>589</v>
      </c>
      <c r="K169" t="s">
        <v>57</v>
      </c>
      <c r="L169" t="s">
        <v>58</v>
      </c>
      <c r="M169" t="s">
        <v>60</v>
      </c>
      <c r="N169" t="s">
        <v>59</v>
      </c>
      <c r="O169" t="s">
        <v>59</v>
      </c>
      <c r="P169" t="s">
        <v>59</v>
      </c>
      <c r="Q169" t="s">
        <v>59</v>
      </c>
      <c r="R169" t="s">
        <v>60</v>
      </c>
      <c r="S169" t="s">
        <v>59</v>
      </c>
      <c r="T169" t="s">
        <v>59</v>
      </c>
      <c r="U169" t="s">
        <v>60</v>
      </c>
      <c r="V169" t="s">
        <v>59</v>
      </c>
      <c r="W169" t="s">
        <v>59</v>
      </c>
      <c r="X169" t="s">
        <v>59</v>
      </c>
      <c r="Y169" t="s">
        <v>59</v>
      </c>
      <c r="Z169" t="s">
        <v>59</v>
      </c>
      <c r="AA169" t="s">
        <v>60</v>
      </c>
      <c r="AB169" t="s">
        <v>59</v>
      </c>
      <c r="AC169" t="s">
        <v>60</v>
      </c>
      <c r="AD169" t="s">
        <v>59</v>
      </c>
      <c r="AE169" t="s">
        <v>59</v>
      </c>
      <c r="AF169" t="s">
        <v>61</v>
      </c>
      <c r="AG169" t="s">
        <v>59</v>
      </c>
      <c r="AH169" t="s">
        <v>61</v>
      </c>
      <c r="AI169" t="s">
        <v>59</v>
      </c>
      <c r="AJ169" t="s">
        <v>59</v>
      </c>
      <c r="AK169" t="s">
        <v>61</v>
      </c>
      <c r="AL169" t="s">
        <v>60</v>
      </c>
      <c r="AM169" t="s">
        <v>59</v>
      </c>
      <c r="AN169" t="s">
        <v>59</v>
      </c>
      <c r="AO169" t="s">
        <v>59</v>
      </c>
      <c r="AP169" t="s">
        <v>590</v>
      </c>
      <c r="AQ169" t="s">
        <v>591</v>
      </c>
      <c r="AR169" t="s">
        <v>64</v>
      </c>
      <c r="AS169" t="s">
        <v>325</v>
      </c>
      <c r="AT169" t="s">
        <v>510</v>
      </c>
      <c r="AU169" t="s">
        <v>299</v>
      </c>
      <c r="AW169" s="4" t="str">
        <f t="shared" si="73"/>
        <v>0</v>
      </c>
      <c r="AX169" s="4">
        <f t="shared" si="74"/>
        <v>4</v>
      </c>
      <c r="AY169" s="4">
        <f t="shared" si="75"/>
        <v>4</v>
      </c>
      <c r="AZ169" s="4">
        <f t="shared" si="76"/>
        <v>2</v>
      </c>
      <c r="BA169" s="4">
        <f t="shared" si="77"/>
        <v>4</v>
      </c>
      <c r="BB169" s="4" t="str">
        <f t="shared" si="78"/>
        <v>0</v>
      </c>
      <c r="BC169" s="4">
        <f t="shared" si="79"/>
        <v>4</v>
      </c>
      <c r="BD169" s="4">
        <f t="shared" si="80"/>
        <v>2</v>
      </c>
      <c r="BE169" s="4" t="str">
        <f t="shared" si="81"/>
        <v>0</v>
      </c>
      <c r="BF169" s="4">
        <f t="shared" si="82"/>
        <v>2</v>
      </c>
      <c r="BG169" s="4">
        <f t="shared" si="83"/>
        <v>4</v>
      </c>
      <c r="BH169" s="4">
        <f t="shared" si="84"/>
        <v>4</v>
      </c>
      <c r="BI169" s="4">
        <f t="shared" si="85"/>
        <v>4</v>
      </c>
      <c r="BJ169" s="4">
        <f t="shared" si="86"/>
        <v>2</v>
      </c>
      <c r="BK169" s="4" t="str">
        <f t="shared" si="87"/>
        <v>0</v>
      </c>
      <c r="BL169" s="4">
        <f t="shared" si="88"/>
        <v>2</v>
      </c>
      <c r="BM169" s="4" t="str">
        <f t="shared" si="89"/>
        <v>0</v>
      </c>
      <c r="BN169" s="4">
        <f t="shared" si="90"/>
        <v>4</v>
      </c>
      <c r="BO169" s="4">
        <f t="shared" si="91"/>
        <v>4</v>
      </c>
      <c r="BP169" s="4">
        <f t="shared" si="92"/>
        <v>4</v>
      </c>
      <c r="BQ169" s="4">
        <f t="shared" si="93"/>
        <v>6</v>
      </c>
      <c r="BR169" s="4">
        <f t="shared" si="94"/>
        <v>4</v>
      </c>
      <c r="BS169" s="4">
        <f t="shared" si="95"/>
        <v>4</v>
      </c>
      <c r="BT169" s="4">
        <f t="shared" si="96"/>
        <v>4</v>
      </c>
      <c r="BU169" s="4">
        <f t="shared" si="97"/>
        <v>4</v>
      </c>
      <c r="BV169" s="4" t="str">
        <f t="shared" si="98"/>
        <v>0</v>
      </c>
      <c r="BW169" s="4">
        <f t="shared" si="99"/>
        <v>6</v>
      </c>
      <c r="BX169" s="4">
        <f t="shared" si="100"/>
        <v>0</v>
      </c>
      <c r="BY169" s="4">
        <f t="shared" si="101"/>
        <v>0</v>
      </c>
      <c r="BZ169" s="37">
        <f t="shared" si="102"/>
        <v>78</v>
      </c>
      <c r="CA169" s="32" t="str">
        <f>VLOOKUP(J:J,'Agent wise'!A:C,3,0)</f>
        <v>Shakeer</v>
      </c>
      <c r="CB169" s="32">
        <f t="shared" si="103"/>
        <v>45934</v>
      </c>
      <c r="CC169" t="str">
        <f t="shared" si="104"/>
        <v>FC</v>
      </c>
      <c r="CE169" s="32"/>
      <c r="CJ169">
        <f t="shared" si="105"/>
        <v>4</v>
      </c>
      <c r="CK169">
        <f t="shared" si="106"/>
        <v>10</v>
      </c>
      <c r="CL169">
        <f t="shared" si="107"/>
        <v>2025</v>
      </c>
    </row>
    <row r="170" spans="1:90" ht="15" customHeight="1" x14ac:dyDescent="0.35">
      <c r="A170" s="40">
        <v>45757.592187499999</v>
      </c>
      <c r="B170" t="s">
        <v>51</v>
      </c>
      <c r="C170" t="s">
        <v>214</v>
      </c>
      <c r="D170" t="s">
        <v>53</v>
      </c>
      <c r="E170" s="32">
        <v>45934</v>
      </c>
      <c r="F170" t="s">
        <v>54</v>
      </c>
      <c r="G170" s="2">
        <v>45726</v>
      </c>
      <c r="H170">
        <v>9487952671</v>
      </c>
      <c r="I170">
        <v>141</v>
      </c>
      <c r="J170" t="s">
        <v>480</v>
      </c>
      <c r="K170" t="s">
        <v>71</v>
      </c>
      <c r="L170" t="s">
        <v>72</v>
      </c>
      <c r="M170" t="s">
        <v>59</v>
      </c>
      <c r="N170" t="s">
        <v>59</v>
      </c>
      <c r="O170" t="s">
        <v>59</v>
      </c>
      <c r="P170" t="s">
        <v>59</v>
      </c>
      <c r="Q170" t="s">
        <v>59</v>
      </c>
      <c r="R170" t="s">
        <v>60</v>
      </c>
      <c r="S170" t="s">
        <v>59</v>
      </c>
      <c r="T170" t="s">
        <v>59</v>
      </c>
      <c r="U170" t="s">
        <v>59</v>
      </c>
      <c r="V170" t="s">
        <v>59</v>
      </c>
      <c r="W170" t="s">
        <v>59</v>
      </c>
      <c r="X170" t="s">
        <v>59</v>
      </c>
      <c r="Y170" t="s">
        <v>59</v>
      </c>
      <c r="Z170" t="s">
        <v>59</v>
      </c>
      <c r="AA170" t="s">
        <v>59</v>
      </c>
      <c r="AB170" t="s">
        <v>59</v>
      </c>
      <c r="AC170" t="s">
        <v>60</v>
      </c>
      <c r="AD170" t="s">
        <v>59</v>
      </c>
      <c r="AE170" t="s">
        <v>59</v>
      </c>
      <c r="AF170" t="s">
        <v>61</v>
      </c>
      <c r="AG170" t="s">
        <v>59</v>
      </c>
      <c r="AH170" t="s">
        <v>61</v>
      </c>
      <c r="AI170" t="s">
        <v>60</v>
      </c>
      <c r="AJ170" t="s">
        <v>59</v>
      </c>
      <c r="AK170" t="s">
        <v>61</v>
      </c>
      <c r="AL170" t="s">
        <v>60</v>
      </c>
      <c r="AM170" t="s">
        <v>59</v>
      </c>
      <c r="AN170" t="s">
        <v>59</v>
      </c>
      <c r="AO170" t="s">
        <v>59</v>
      </c>
      <c r="AP170" t="s">
        <v>592</v>
      </c>
      <c r="AQ170" t="s">
        <v>77</v>
      </c>
      <c r="AR170" t="s">
        <v>64</v>
      </c>
      <c r="AS170" t="s">
        <v>65</v>
      </c>
      <c r="AT170" t="s">
        <v>66</v>
      </c>
      <c r="AU170" t="s">
        <v>593</v>
      </c>
      <c r="AW170" s="4">
        <f t="shared" si="73"/>
        <v>6</v>
      </c>
      <c r="AX170" s="4">
        <f t="shared" si="74"/>
        <v>4</v>
      </c>
      <c r="AY170" s="4">
        <f t="shared" si="75"/>
        <v>4</v>
      </c>
      <c r="AZ170" s="4">
        <f t="shared" si="76"/>
        <v>2</v>
      </c>
      <c r="BA170" s="4">
        <f t="shared" si="77"/>
        <v>4</v>
      </c>
      <c r="BB170" s="4" t="str">
        <f t="shared" si="78"/>
        <v>0</v>
      </c>
      <c r="BC170" s="4">
        <f t="shared" si="79"/>
        <v>4</v>
      </c>
      <c r="BD170" s="4">
        <f t="shared" si="80"/>
        <v>2</v>
      </c>
      <c r="BE170" s="4">
        <f t="shared" si="81"/>
        <v>4</v>
      </c>
      <c r="BF170" s="4">
        <f t="shared" si="82"/>
        <v>2</v>
      </c>
      <c r="BG170" s="4">
        <f t="shared" si="83"/>
        <v>4</v>
      </c>
      <c r="BH170" s="4">
        <f t="shared" si="84"/>
        <v>4</v>
      </c>
      <c r="BI170" s="4">
        <f t="shared" si="85"/>
        <v>4</v>
      </c>
      <c r="BJ170" s="4">
        <f t="shared" si="86"/>
        <v>2</v>
      </c>
      <c r="BK170" s="4">
        <f t="shared" si="87"/>
        <v>4</v>
      </c>
      <c r="BL170" s="4">
        <f t="shared" si="88"/>
        <v>2</v>
      </c>
      <c r="BM170" s="4" t="str">
        <f t="shared" si="89"/>
        <v>0</v>
      </c>
      <c r="BN170" s="4">
        <f t="shared" si="90"/>
        <v>4</v>
      </c>
      <c r="BO170" s="4">
        <f t="shared" si="91"/>
        <v>4</v>
      </c>
      <c r="BP170" s="4">
        <f t="shared" si="92"/>
        <v>4</v>
      </c>
      <c r="BQ170" s="4">
        <f t="shared" si="93"/>
        <v>6</v>
      </c>
      <c r="BR170" s="4">
        <f t="shared" si="94"/>
        <v>4</v>
      </c>
      <c r="BS170" s="4" t="str">
        <f t="shared" si="95"/>
        <v>0</v>
      </c>
      <c r="BT170" s="4">
        <f t="shared" si="96"/>
        <v>4</v>
      </c>
      <c r="BU170" s="4">
        <f t="shared" si="97"/>
        <v>4</v>
      </c>
      <c r="BV170" s="4" t="str">
        <f t="shared" si="98"/>
        <v>0</v>
      </c>
      <c r="BW170" s="4">
        <f t="shared" si="99"/>
        <v>6</v>
      </c>
      <c r="BX170" s="4">
        <f t="shared" si="100"/>
        <v>0</v>
      </c>
      <c r="BY170" s="4">
        <f t="shared" si="101"/>
        <v>0</v>
      </c>
      <c r="BZ170" s="37">
        <f t="shared" si="102"/>
        <v>88</v>
      </c>
      <c r="CA170" s="32" t="str">
        <f>VLOOKUP(J:J,'Agent wise'!A:C,3,0)</f>
        <v>Shakeer</v>
      </c>
      <c r="CB170" s="32">
        <f t="shared" si="103"/>
        <v>45934</v>
      </c>
      <c r="CC170" t="str">
        <f t="shared" si="104"/>
        <v>Average</v>
      </c>
      <c r="CE170" s="32"/>
      <c r="CJ170">
        <f t="shared" si="105"/>
        <v>4</v>
      </c>
      <c r="CK170">
        <f t="shared" si="106"/>
        <v>10</v>
      </c>
      <c r="CL170">
        <f t="shared" si="107"/>
        <v>2025</v>
      </c>
    </row>
    <row r="171" spans="1:90" ht="15" customHeight="1" x14ac:dyDescent="0.35">
      <c r="A171" s="40">
        <v>45757.594837962963</v>
      </c>
      <c r="B171" t="s">
        <v>51</v>
      </c>
      <c r="C171" t="s">
        <v>214</v>
      </c>
      <c r="D171" t="s">
        <v>53</v>
      </c>
      <c r="E171" s="32">
        <v>45934</v>
      </c>
      <c r="F171" t="s">
        <v>54</v>
      </c>
      <c r="G171" s="2">
        <v>45726</v>
      </c>
      <c r="H171">
        <v>9449131597</v>
      </c>
      <c r="I171">
        <v>166</v>
      </c>
      <c r="J171" t="s">
        <v>154</v>
      </c>
      <c r="K171" t="s">
        <v>57</v>
      </c>
      <c r="L171" t="s">
        <v>58</v>
      </c>
      <c r="M171" t="s">
        <v>60</v>
      </c>
      <c r="N171" t="s">
        <v>59</v>
      </c>
      <c r="O171" t="s">
        <v>59</v>
      </c>
      <c r="P171" t="s">
        <v>59</v>
      </c>
      <c r="Q171" t="s">
        <v>59</v>
      </c>
      <c r="R171" t="s">
        <v>60</v>
      </c>
      <c r="S171" t="s">
        <v>59</v>
      </c>
      <c r="T171" t="s">
        <v>59</v>
      </c>
      <c r="U171" t="s">
        <v>59</v>
      </c>
      <c r="V171" t="s">
        <v>59</v>
      </c>
      <c r="W171" t="s">
        <v>59</v>
      </c>
      <c r="X171" t="s">
        <v>59</v>
      </c>
      <c r="Y171" t="s">
        <v>59</v>
      </c>
      <c r="Z171" t="s">
        <v>59</v>
      </c>
      <c r="AA171" t="s">
        <v>60</v>
      </c>
      <c r="AB171" t="s">
        <v>60</v>
      </c>
      <c r="AC171" t="s">
        <v>61</v>
      </c>
      <c r="AD171" t="s">
        <v>59</v>
      </c>
      <c r="AE171" t="s">
        <v>60</v>
      </c>
      <c r="AF171" t="s">
        <v>61</v>
      </c>
      <c r="AG171" t="s">
        <v>59</v>
      </c>
      <c r="AH171" t="s">
        <v>61</v>
      </c>
      <c r="AI171" t="s">
        <v>61</v>
      </c>
      <c r="AJ171" t="s">
        <v>59</v>
      </c>
      <c r="AK171" t="s">
        <v>61</v>
      </c>
      <c r="AL171" t="s">
        <v>60</v>
      </c>
      <c r="AM171" t="s">
        <v>59</v>
      </c>
      <c r="AN171" t="s">
        <v>59</v>
      </c>
      <c r="AO171" t="s">
        <v>59</v>
      </c>
      <c r="AP171" t="s">
        <v>594</v>
      </c>
      <c r="AQ171" t="s">
        <v>595</v>
      </c>
      <c r="AR171" t="s">
        <v>64</v>
      </c>
      <c r="AS171" t="s">
        <v>175</v>
      </c>
      <c r="AT171" t="s">
        <v>167</v>
      </c>
      <c r="AU171" t="s">
        <v>448</v>
      </c>
      <c r="AW171" s="4" t="str">
        <f t="shared" si="73"/>
        <v>0</v>
      </c>
      <c r="AX171" s="4">
        <f t="shared" si="74"/>
        <v>4</v>
      </c>
      <c r="AY171" s="4">
        <f t="shared" si="75"/>
        <v>4</v>
      </c>
      <c r="AZ171" s="4">
        <f t="shared" si="76"/>
        <v>2</v>
      </c>
      <c r="BA171" s="4">
        <f t="shared" si="77"/>
        <v>4</v>
      </c>
      <c r="BB171" s="4" t="str">
        <f t="shared" si="78"/>
        <v>0</v>
      </c>
      <c r="BC171" s="4">
        <f t="shared" si="79"/>
        <v>4</v>
      </c>
      <c r="BD171" s="4">
        <f t="shared" si="80"/>
        <v>2</v>
      </c>
      <c r="BE171" s="4">
        <f t="shared" si="81"/>
        <v>4</v>
      </c>
      <c r="BF171" s="4">
        <f t="shared" si="82"/>
        <v>2</v>
      </c>
      <c r="BG171" s="4">
        <f t="shared" si="83"/>
        <v>4</v>
      </c>
      <c r="BH171" s="4">
        <f t="shared" si="84"/>
        <v>4</v>
      </c>
      <c r="BI171" s="4">
        <f t="shared" si="85"/>
        <v>4</v>
      </c>
      <c r="BJ171" s="4">
        <f t="shared" si="86"/>
        <v>2</v>
      </c>
      <c r="BK171" s="4" t="str">
        <f t="shared" si="87"/>
        <v>0</v>
      </c>
      <c r="BL171" s="4" t="str">
        <f t="shared" si="88"/>
        <v>0</v>
      </c>
      <c r="BM171" s="4">
        <f t="shared" si="89"/>
        <v>4</v>
      </c>
      <c r="BN171" s="4">
        <f t="shared" si="90"/>
        <v>4</v>
      </c>
      <c r="BO171" s="4" t="str">
        <f t="shared" si="91"/>
        <v>0</v>
      </c>
      <c r="BP171" s="4">
        <f t="shared" si="92"/>
        <v>4</v>
      </c>
      <c r="BQ171" s="4">
        <f t="shared" si="93"/>
        <v>6</v>
      </c>
      <c r="BR171" s="4">
        <f t="shared" si="94"/>
        <v>4</v>
      </c>
      <c r="BS171" s="4">
        <f t="shared" si="95"/>
        <v>4</v>
      </c>
      <c r="BT171" s="4">
        <f t="shared" si="96"/>
        <v>4</v>
      </c>
      <c r="BU171" s="4">
        <f t="shared" si="97"/>
        <v>4</v>
      </c>
      <c r="BV171" s="4" t="str">
        <f t="shared" si="98"/>
        <v>0</v>
      </c>
      <c r="BW171" s="4">
        <f t="shared" si="99"/>
        <v>6</v>
      </c>
      <c r="BX171" s="4">
        <f t="shared" si="100"/>
        <v>0</v>
      </c>
      <c r="BY171" s="4">
        <f t="shared" si="101"/>
        <v>0</v>
      </c>
      <c r="BZ171" s="37">
        <f t="shared" si="102"/>
        <v>80</v>
      </c>
      <c r="CA171" s="32" t="str">
        <f>VLOOKUP(J:J,'Agent wise'!A:C,3,0)</f>
        <v>Shakeer</v>
      </c>
      <c r="CB171" s="32">
        <f t="shared" si="103"/>
        <v>45934</v>
      </c>
      <c r="CC171" t="str">
        <f t="shared" si="104"/>
        <v>FC</v>
      </c>
      <c r="CE171" s="32"/>
      <c r="CJ171">
        <f t="shared" si="105"/>
        <v>4</v>
      </c>
      <c r="CK171">
        <f t="shared" si="106"/>
        <v>10</v>
      </c>
      <c r="CL171">
        <f t="shared" si="107"/>
        <v>2025</v>
      </c>
    </row>
    <row r="172" spans="1:90" ht="15" customHeight="1" x14ac:dyDescent="0.35">
      <c r="A172" s="40">
        <v>45757.601261574076</v>
      </c>
      <c r="B172" t="s">
        <v>51</v>
      </c>
      <c r="C172" t="s">
        <v>214</v>
      </c>
      <c r="D172" t="s">
        <v>53</v>
      </c>
      <c r="E172" s="32">
        <v>45934</v>
      </c>
      <c r="F172" t="s">
        <v>90</v>
      </c>
      <c r="G172" s="2">
        <v>45726</v>
      </c>
      <c r="H172">
        <v>9786376134</v>
      </c>
      <c r="I172">
        <v>295</v>
      </c>
      <c r="J172" t="s">
        <v>552</v>
      </c>
      <c r="K172" t="s">
        <v>71</v>
      </c>
      <c r="L172" t="s">
        <v>72</v>
      </c>
      <c r="M172" t="s">
        <v>59</v>
      </c>
      <c r="N172" t="s">
        <v>59</v>
      </c>
      <c r="O172" t="s">
        <v>59</v>
      </c>
      <c r="P172" t="s">
        <v>59</v>
      </c>
      <c r="Q172" t="s">
        <v>59</v>
      </c>
      <c r="R172" t="s">
        <v>60</v>
      </c>
      <c r="S172" t="s">
        <v>59</v>
      </c>
      <c r="T172" t="s">
        <v>59</v>
      </c>
      <c r="U172" t="s">
        <v>60</v>
      </c>
      <c r="V172" t="s">
        <v>59</v>
      </c>
      <c r="W172" t="s">
        <v>59</v>
      </c>
      <c r="X172" t="s">
        <v>59</v>
      </c>
      <c r="Y172" t="s">
        <v>59</v>
      </c>
      <c r="Z172" t="s">
        <v>59</v>
      </c>
      <c r="AA172" t="s">
        <v>59</v>
      </c>
      <c r="AB172" t="s">
        <v>60</v>
      </c>
      <c r="AC172" t="s">
        <v>61</v>
      </c>
      <c r="AD172" t="s">
        <v>60</v>
      </c>
      <c r="AE172" t="s">
        <v>59</v>
      </c>
      <c r="AF172" t="s">
        <v>61</v>
      </c>
      <c r="AG172" t="s">
        <v>59</v>
      </c>
      <c r="AH172" t="s">
        <v>61</v>
      </c>
      <c r="AI172" t="s">
        <v>61</v>
      </c>
      <c r="AJ172" t="s">
        <v>59</v>
      </c>
      <c r="AK172" t="s">
        <v>61</v>
      </c>
      <c r="AL172" t="s">
        <v>60</v>
      </c>
      <c r="AM172" t="s">
        <v>59</v>
      </c>
      <c r="AN172" t="s">
        <v>59</v>
      </c>
      <c r="AO172" t="s">
        <v>59</v>
      </c>
      <c r="AP172" t="s">
        <v>596</v>
      </c>
      <c r="AQ172" t="s">
        <v>77</v>
      </c>
      <c r="AR172" t="s">
        <v>64</v>
      </c>
      <c r="AS172" t="s">
        <v>94</v>
      </c>
      <c r="AT172" t="s">
        <v>597</v>
      </c>
      <c r="AU172" t="s">
        <v>593</v>
      </c>
      <c r="AW172" s="4">
        <f t="shared" si="73"/>
        <v>6</v>
      </c>
      <c r="AX172" s="4">
        <f t="shared" si="74"/>
        <v>4</v>
      </c>
      <c r="AY172" s="4">
        <f t="shared" si="75"/>
        <v>4</v>
      </c>
      <c r="AZ172" s="4">
        <f t="shared" si="76"/>
        <v>2</v>
      </c>
      <c r="BA172" s="4">
        <f t="shared" si="77"/>
        <v>4</v>
      </c>
      <c r="BB172" s="4" t="str">
        <f t="shared" si="78"/>
        <v>0</v>
      </c>
      <c r="BC172" s="4">
        <f t="shared" si="79"/>
        <v>4</v>
      </c>
      <c r="BD172" s="4">
        <f t="shared" si="80"/>
        <v>2</v>
      </c>
      <c r="BE172" s="4" t="str">
        <f t="shared" si="81"/>
        <v>0</v>
      </c>
      <c r="BF172" s="4">
        <f t="shared" si="82"/>
        <v>2</v>
      </c>
      <c r="BG172" s="4">
        <f t="shared" si="83"/>
        <v>4</v>
      </c>
      <c r="BH172" s="4">
        <f t="shared" si="84"/>
        <v>4</v>
      </c>
      <c r="BI172" s="4">
        <f t="shared" si="85"/>
        <v>4</v>
      </c>
      <c r="BJ172" s="4">
        <f t="shared" si="86"/>
        <v>2</v>
      </c>
      <c r="BK172" s="4">
        <f t="shared" si="87"/>
        <v>4</v>
      </c>
      <c r="BL172" s="4" t="str">
        <f t="shared" si="88"/>
        <v>0</v>
      </c>
      <c r="BM172" s="4">
        <f t="shared" si="89"/>
        <v>4</v>
      </c>
      <c r="BN172" s="4" t="str">
        <f t="shared" si="90"/>
        <v>0</v>
      </c>
      <c r="BO172" s="4">
        <f t="shared" si="91"/>
        <v>4</v>
      </c>
      <c r="BP172" s="4">
        <f t="shared" si="92"/>
        <v>4</v>
      </c>
      <c r="BQ172" s="4">
        <f t="shared" si="93"/>
        <v>6</v>
      </c>
      <c r="BR172" s="4">
        <f t="shared" si="94"/>
        <v>4</v>
      </c>
      <c r="BS172" s="4">
        <f t="shared" si="95"/>
        <v>4</v>
      </c>
      <c r="BT172" s="4">
        <f t="shared" si="96"/>
        <v>4</v>
      </c>
      <c r="BU172" s="4">
        <f t="shared" si="97"/>
        <v>4</v>
      </c>
      <c r="BV172" s="4" t="str">
        <f t="shared" si="98"/>
        <v>0</v>
      </c>
      <c r="BW172" s="4">
        <f t="shared" si="99"/>
        <v>6</v>
      </c>
      <c r="BX172" s="4">
        <f t="shared" si="100"/>
        <v>0</v>
      </c>
      <c r="BY172" s="4">
        <f t="shared" si="101"/>
        <v>0</v>
      </c>
      <c r="BZ172" s="37">
        <f t="shared" si="102"/>
        <v>86</v>
      </c>
      <c r="CA172" s="32" t="str">
        <f>VLOOKUP(J:J,'Agent wise'!A:C,3,0)</f>
        <v xml:space="preserve">Shiny </v>
      </c>
      <c r="CB172" s="32">
        <f t="shared" si="103"/>
        <v>45934</v>
      </c>
      <c r="CC172" t="str">
        <f t="shared" si="104"/>
        <v>Average</v>
      </c>
      <c r="CE172" s="32"/>
      <c r="CJ172">
        <f t="shared" si="105"/>
        <v>4</v>
      </c>
      <c r="CK172">
        <f t="shared" si="106"/>
        <v>10</v>
      </c>
      <c r="CL172">
        <f t="shared" si="107"/>
        <v>2025</v>
      </c>
    </row>
    <row r="173" spans="1:90" ht="15" customHeight="1" x14ac:dyDescent="0.35">
      <c r="A173" s="40">
        <v>45757.604398148149</v>
      </c>
      <c r="B173" t="s">
        <v>51</v>
      </c>
      <c r="C173" t="s">
        <v>214</v>
      </c>
      <c r="D173" t="s">
        <v>53</v>
      </c>
      <c r="E173" s="32">
        <v>45934</v>
      </c>
      <c r="F173" t="s">
        <v>90</v>
      </c>
      <c r="G173" s="2">
        <v>45726</v>
      </c>
      <c r="H173">
        <v>9442091321</v>
      </c>
      <c r="I173">
        <v>178</v>
      </c>
      <c r="J173" t="s">
        <v>124</v>
      </c>
      <c r="K173" t="s">
        <v>71</v>
      </c>
      <c r="L173" t="s">
        <v>72</v>
      </c>
      <c r="M173" t="s">
        <v>60</v>
      </c>
      <c r="N173" t="s">
        <v>59</v>
      </c>
      <c r="O173" t="s">
        <v>60</v>
      </c>
      <c r="P173" t="s">
        <v>59</v>
      </c>
      <c r="Q173" t="s">
        <v>59</v>
      </c>
      <c r="R173" t="s">
        <v>60</v>
      </c>
      <c r="S173" t="s">
        <v>59</v>
      </c>
      <c r="T173" t="s">
        <v>59</v>
      </c>
      <c r="U173" t="s">
        <v>60</v>
      </c>
      <c r="V173" t="s">
        <v>59</v>
      </c>
      <c r="W173" t="s">
        <v>59</v>
      </c>
      <c r="X173" t="s">
        <v>59</v>
      </c>
      <c r="Y173" t="s">
        <v>59</v>
      </c>
      <c r="Z173" t="s">
        <v>59</v>
      </c>
      <c r="AA173" t="s">
        <v>60</v>
      </c>
      <c r="AB173" t="s">
        <v>60</v>
      </c>
      <c r="AC173" t="s">
        <v>61</v>
      </c>
      <c r="AD173" t="s">
        <v>60</v>
      </c>
      <c r="AE173" t="s">
        <v>59</v>
      </c>
      <c r="AF173" t="s">
        <v>61</v>
      </c>
      <c r="AG173" t="s">
        <v>59</v>
      </c>
      <c r="AH173" t="s">
        <v>61</v>
      </c>
      <c r="AI173" t="s">
        <v>61</v>
      </c>
      <c r="AJ173" t="s">
        <v>59</v>
      </c>
      <c r="AK173" t="s">
        <v>61</v>
      </c>
      <c r="AL173" t="s">
        <v>60</v>
      </c>
      <c r="AM173" t="s">
        <v>59</v>
      </c>
      <c r="AN173" t="s">
        <v>59</v>
      </c>
      <c r="AO173" t="s">
        <v>60</v>
      </c>
      <c r="AP173" t="s">
        <v>598</v>
      </c>
      <c r="AQ173" t="s">
        <v>599</v>
      </c>
      <c r="AR173" t="s">
        <v>64</v>
      </c>
      <c r="AS173" t="s">
        <v>94</v>
      </c>
      <c r="AT173" t="s">
        <v>95</v>
      </c>
      <c r="AU173" t="s">
        <v>593</v>
      </c>
      <c r="AW173" s="4" t="str">
        <f t="shared" si="73"/>
        <v>0</v>
      </c>
      <c r="AX173" s="4">
        <f t="shared" si="74"/>
        <v>4</v>
      </c>
      <c r="AY173" s="4" t="str">
        <f t="shared" si="75"/>
        <v>0</v>
      </c>
      <c r="AZ173" s="4">
        <f t="shared" si="76"/>
        <v>2</v>
      </c>
      <c r="BA173" s="4">
        <f t="shared" si="77"/>
        <v>4</v>
      </c>
      <c r="BB173" s="4" t="str">
        <f t="shared" si="78"/>
        <v>0</v>
      </c>
      <c r="BC173" s="4">
        <f t="shared" si="79"/>
        <v>4</v>
      </c>
      <c r="BD173" s="4">
        <f t="shared" si="80"/>
        <v>2</v>
      </c>
      <c r="BE173" s="4" t="str">
        <f t="shared" si="81"/>
        <v>0</v>
      </c>
      <c r="BF173" s="4">
        <f t="shared" si="82"/>
        <v>2</v>
      </c>
      <c r="BG173" s="4">
        <f t="shared" si="83"/>
        <v>4</v>
      </c>
      <c r="BH173" s="4">
        <f t="shared" si="84"/>
        <v>4</v>
      </c>
      <c r="BI173" s="4">
        <f t="shared" si="85"/>
        <v>4</v>
      </c>
      <c r="BJ173" s="4">
        <f t="shared" si="86"/>
        <v>2</v>
      </c>
      <c r="BK173" s="4" t="str">
        <f t="shared" si="87"/>
        <v>0</v>
      </c>
      <c r="BL173" s="4" t="str">
        <f t="shared" si="88"/>
        <v>0</v>
      </c>
      <c r="BM173" s="4">
        <f t="shared" si="89"/>
        <v>4</v>
      </c>
      <c r="BN173" s="4" t="str">
        <f t="shared" si="90"/>
        <v>0</v>
      </c>
      <c r="BO173" s="4">
        <f t="shared" si="91"/>
        <v>4</v>
      </c>
      <c r="BP173" s="4">
        <f t="shared" si="92"/>
        <v>4</v>
      </c>
      <c r="BQ173" s="4">
        <f t="shared" si="93"/>
        <v>6</v>
      </c>
      <c r="BR173" s="4">
        <f t="shared" si="94"/>
        <v>4</v>
      </c>
      <c r="BS173" s="4">
        <f t="shared" si="95"/>
        <v>4</v>
      </c>
      <c r="BT173" s="4">
        <f t="shared" si="96"/>
        <v>4</v>
      </c>
      <c r="BU173" s="4">
        <f t="shared" si="97"/>
        <v>4</v>
      </c>
      <c r="BV173" s="4" t="str">
        <f t="shared" si="98"/>
        <v>0</v>
      </c>
      <c r="BW173" s="4">
        <f t="shared" si="99"/>
        <v>6</v>
      </c>
      <c r="BX173" s="4">
        <f t="shared" si="100"/>
        <v>0</v>
      </c>
      <c r="BY173" s="4" t="str">
        <f t="shared" si="101"/>
        <v>0</v>
      </c>
      <c r="BZ173" s="37">
        <f t="shared" si="102"/>
        <v>72</v>
      </c>
      <c r="CA173" s="32" t="str">
        <f>VLOOKUP(J:J,'Agent wise'!A:C,3,0)</f>
        <v>Saran S</v>
      </c>
      <c r="CB173" s="32">
        <f t="shared" si="103"/>
        <v>45934</v>
      </c>
      <c r="CC173" t="str">
        <f t="shared" si="104"/>
        <v>FC</v>
      </c>
      <c r="CE173" s="32"/>
      <c r="CJ173">
        <f t="shared" si="105"/>
        <v>4</v>
      </c>
      <c r="CK173">
        <f t="shared" si="106"/>
        <v>10</v>
      </c>
      <c r="CL173">
        <f t="shared" si="107"/>
        <v>2025</v>
      </c>
    </row>
    <row r="174" spans="1:90" ht="15" customHeight="1" x14ac:dyDescent="0.35">
      <c r="A174" s="40">
        <v>45757.611898148149</v>
      </c>
      <c r="B174" t="s">
        <v>250</v>
      </c>
      <c r="C174" t="s">
        <v>214</v>
      </c>
      <c r="D174" t="s">
        <v>251</v>
      </c>
      <c r="E174" s="32">
        <v>45934</v>
      </c>
      <c r="F174" t="s">
        <v>90</v>
      </c>
      <c r="G174" s="2">
        <v>45667</v>
      </c>
      <c r="H174">
        <v>9840520407</v>
      </c>
      <c r="I174">
        <v>252</v>
      </c>
      <c r="J174" t="s">
        <v>91</v>
      </c>
      <c r="K174" t="s">
        <v>71</v>
      </c>
      <c r="L174" t="s">
        <v>72</v>
      </c>
      <c r="M174" t="s">
        <v>59</v>
      </c>
      <c r="N174" t="s">
        <v>59</v>
      </c>
      <c r="O174" t="s">
        <v>59</v>
      </c>
      <c r="P174" t="s">
        <v>59</v>
      </c>
      <c r="Q174" t="s">
        <v>59</v>
      </c>
      <c r="R174" t="s">
        <v>59</v>
      </c>
      <c r="S174" t="s">
        <v>59</v>
      </c>
      <c r="T174" t="s">
        <v>59</v>
      </c>
      <c r="U174" t="s">
        <v>60</v>
      </c>
      <c r="V174" t="s">
        <v>59</v>
      </c>
      <c r="W174" t="s">
        <v>59</v>
      </c>
      <c r="X174" t="s">
        <v>59</v>
      </c>
      <c r="Y174" t="s">
        <v>59</v>
      </c>
      <c r="Z174" t="s">
        <v>59</v>
      </c>
      <c r="AA174" t="s">
        <v>59</v>
      </c>
      <c r="AB174" t="s">
        <v>60</v>
      </c>
      <c r="AC174" t="s">
        <v>59</v>
      </c>
      <c r="AD174" t="s">
        <v>59</v>
      </c>
      <c r="AE174" t="s">
        <v>59</v>
      </c>
      <c r="AF174" t="s">
        <v>59</v>
      </c>
      <c r="AG174" t="s">
        <v>59</v>
      </c>
      <c r="AH174" t="s">
        <v>61</v>
      </c>
      <c r="AI174" t="s">
        <v>61</v>
      </c>
      <c r="AJ174" t="s">
        <v>59</v>
      </c>
      <c r="AK174" t="s">
        <v>59</v>
      </c>
      <c r="AL174" t="s">
        <v>60</v>
      </c>
      <c r="AM174" t="s">
        <v>59</v>
      </c>
      <c r="AN174" t="s">
        <v>59</v>
      </c>
      <c r="AO174" t="s">
        <v>59</v>
      </c>
      <c r="AP174" s="1" t="s">
        <v>600</v>
      </c>
      <c r="AQ174" t="s">
        <v>601</v>
      </c>
      <c r="AR174" t="s">
        <v>64</v>
      </c>
      <c r="AS174" t="s">
        <v>602</v>
      </c>
      <c r="AT174" t="s">
        <v>603</v>
      </c>
      <c r="AU174" t="s">
        <v>219</v>
      </c>
      <c r="AW174" s="4">
        <f t="shared" si="73"/>
        <v>6</v>
      </c>
      <c r="AX174" s="4">
        <f t="shared" si="74"/>
        <v>4</v>
      </c>
      <c r="AY174" s="4">
        <f t="shared" si="75"/>
        <v>4</v>
      </c>
      <c r="AZ174" s="4">
        <f t="shared" si="76"/>
        <v>2</v>
      </c>
      <c r="BA174" s="4">
        <f t="shared" si="77"/>
        <v>4</v>
      </c>
      <c r="BB174" s="4">
        <f t="shared" si="78"/>
        <v>4</v>
      </c>
      <c r="BC174" s="4">
        <f t="shared" si="79"/>
        <v>4</v>
      </c>
      <c r="BD174" s="4">
        <f t="shared" si="80"/>
        <v>2</v>
      </c>
      <c r="BE174" s="4" t="str">
        <f t="shared" si="81"/>
        <v>0</v>
      </c>
      <c r="BF174" s="4">
        <f t="shared" si="82"/>
        <v>2</v>
      </c>
      <c r="BG174" s="4">
        <f t="shared" si="83"/>
        <v>4</v>
      </c>
      <c r="BH174" s="4">
        <f t="shared" si="84"/>
        <v>4</v>
      </c>
      <c r="BI174" s="4">
        <f t="shared" si="85"/>
        <v>4</v>
      </c>
      <c r="BJ174" s="4">
        <f t="shared" si="86"/>
        <v>2</v>
      </c>
      <c r="BK174" s="4">
        <f t="shared" si="87"/>
        <v>4</v>
      </c>
      <c r="BL174" s="4" t="str">
        <f t="shared" si="88"/>
        <v>0</v>
      </c>
      <c r="BM174" s="4">
        <f t="shared" si="89"/>
        <v>4</v>
      </c>
      <c r="BN174" s="4">
        <f t="shared" si="90"/>
        <v>4</v>
      </c>
      <c r="BO174" s="4">
        <f t="shared" si="91"/>
        <v>4</v>
      </c>
      <c r="BP174" s="4">
        <f t="shared" si="92"/>
        <v>4</v>
      </c>
      <c r="BQ174" s="4">
        <f t="shared" si="93"/>
        <v>6</v>
      </c>
      <c r="BR174" s="4">
        <f t="shared" si="94"/>
        <v>4</v>
      </c>
      <c r="BS174" s="4">
        <f t="shared" si="95"/>
        <v>4</v>
      </c>
      <c r="BT174" s="4">
        <f t="shared" si="96"/>
        <v>4</v>
      </c>
      <c r="BU174" s="4">
        <f t="shared" si="97"/>
        <v>4</v>
      </c>
      <c r="BV174" s="4" t="str">
        <f t="shared" si="98"/>
        <v>0</v>
      </c>
      <c r="BW174" s="4">
        <f t="shared" si="99"/>
        <v>6</v>
      </c>
      <c r="BX174" s="4">
        <f t="shared" si="100"/>
        <v>0</v>
      </c>
      <c r="BY174" s="4">
        <f t="shared" si="101"/>
        <v>0</v>
      </c>
      <c r="BZ174" s="37">
        <f t="shared" si="102"/>
        <v>94</v>
      </c>
      <c r="CA174" s="32" t="str">
        <f>VLOOKUP(J:J,'Agent wise'!A:C,3,0)</f>
        <v>Saran S</v>
      </c>
      <c r="CB174" s="32">
        <f t="shared" si="103"/>
        <v>45934</v>
      </c>
      <c r="CC174" t="str">
        <f t="shared" si="104"/>
        <v>Good</v>
      </c>
      <c r="CE174" s="32"/>
      <c r="CJ174">
        <f t="shared" si="105"/>
        <v>4</v>
      </c>
      <c r="CK174">
        <f t="shared" si="106"/>
        <v>10</v>
      </c>
      <c r="CL174">
        <f t="shared" si="107"/>
        <v>2025</v>
      </c>
    </row>
    <row r="175" spans="1:90" ht="15" customHeight="1" x14ac:dyDescent="0.35">
      <c r="A175" s="40">
        <v>45757.614398148151</v>
      </c>
      <c r="B175" t="s">
        <v>250</v>
      </c>
      <c r="C175" t="s">
        <v>214</v>
      </c>
      <c r="D175" t="s">
        <v>251</v>
      </c>
      <c r="E175" s="32">
        <v>45934</v>
      </c>
      <c r="F175" t="s">
        <v>90</v>
      </c>
      <c r="G175" s="2">
        <v>45667</v>
      </c>
      <c r="H175">
        <v>8838820870</v>
      </c>
      <c r="I175">
        <v>224</v>
      </c>
      <c r="J175" t="s">
        <v>208</v>
      </c>
      <c r="K175" t="s">
        <v>71</v>
      </c>
      <c r="L175" t="s">
        <v>72</v>
      </c>
      <c r="M175" t="s">
        <v>60</v>
      </c>
      <c r="N175" t="s">
        <v>59</v>
      </c>
      <c r="O175" t="s">
        <v>59</v>
      </c>
      <c r="P175" t="s">
        <v>59</v>
      </c>
      <c r="Q175" t="s">
        <v>59</v>
      </c>
      <c r="R175" t="s">
        <v>59</v>
      </c>
      <c r="S175" t="s">
        <v>59</v>
      </c>
      <c r="T175" t="s">
        <v>59</v>
      </c>
      <c r="U175" t="s">
        <v>60</v>
      </c>
      <c r="V175" t="s">
        <v>59</v>
      </c>
      <c r="W175" t="s">
        <v>59</v>
      </c>
      <c r="X175" t="s">
        <v>59</v>
      </c>
      <c r="Y175" t="s">
        <v>59</v>
      </c>
      <c r="Z175" t="s">
        <v>59</v>
      </c>
      <c r="AA175" t="s">
        <v>59</v>
      </c>
      <c r="AB175" t="s">
        <v>59</v>
      </c>
      <c r="AC175" t="s">
        <v>59</v>
      </c>
      <c r="AD175" t="s">
        <v>59</v>
      </c>
      <c r="AE175" t="s">
        <v>59</v>
      </c>
      <c r="AF175" t="s">
        <v>59</v>
      </c>
      <c r="AG175" t="s">
        <v>59</v>
      </c>
      <c r="AH175" t="s">
        <v>61</v>
      </c>
      <c r="AI175" t="s">
        <v>61</v>
      </c>
      <c r="AJ175" t="s">
        <v>59</v>
      </c>
      <c r="AK175" t="s">
        <v>59</v>
      </c>
      <c r="AL175" t="s">
        <v>60</v>
      </c>
      <c r="AM175" t="s">
        <v>59</v>
      </c>
      <c r="AN175" t="s">
        <v>59</v>
      </c>
      <c r="AO175" t="s">
        <v>59</v>
      </c>
      <c r="AP175" t="s">
        <v>604</v>
      </c>
      <c r="AQ175" t="s">
        <v>605</v>
      </c>
      <c r="AR175" t="s">
        <v>64</v>
      </c>
      <c r="AS175" t="s">
        <v>94</v>
      </c>
      <c r="AT175" t="s">
        <v>95</v>
      </c>
      <c r="AU175" t="s">
        <v>219</v>
      </c>
      <c r="AW175" s="4" t="str">
        <f t="shared" si="73"/>
        <v>0</v>
      </c>
      <c r="AX175" s="4">
        <f t="shared" si="74"/>
        <v>4</v>
      </c>
      <c r="AY175" s="4">
        <f t="shared" si="75"/>
        <v>4</v>
      </c>
      <c r="AZ175" s="4">
        <f t="shared" si="76"/>
        <v>2</v>
      </c>
      <c r="BA175" s="4">
        <f t="shared" si="77"/>
        <v>4</v>
      </c>
      <c r="BB175" s="4">
        <f t="shared" si="78"/>
        <v>4</v>
      </c>
      <c r="BC175" s="4">
        <f t="shared" si="79"/>
        <v>4</v>
      </c>
      <c r="BD175" s="4">
        <f t="shared" si="80"/>
        <v>2</v>
      </c>
      <c r="BE175" s="4" t="str">
        <f t="shared" si="81"/>
        <v>0</v>
      </c>
      <c r="BF175" s="4">
        <f t="shared" si="82"/>
        <v>2</v>
      </c>
      <c r="BG175" s="4">
        <f t="shared" si="83"/>
        <v>4</v>
      </c>
      <c r="BH175" s="4">
        <f t="shared" si="84"/>
        <v>4</v>
      </c>
      <c r="BI175" s="4">
        <f t="shared" si="85"/>
        <v>4</v>
      </c>
      <c r="BJ175" s="4">
        <f t="shared" si="86"/>
        <v>2</v>
      </c>
      <c r="BK175" s="4">
        <f t="shared" si="87"/>
        <v>4</v>
      </c>
      <c r="BL175" s="4">
        <f t="shared" si="88"/>
        <v>2</v>
      </c>
      <c r="BM175" s="4">
        <f t="shared" si="89"/>
        <v>4</v>
      </c>
      <c r="BN175" s="4">
        <f t="shared" si="90"/>
        <v>4</v>
      </c>
      <c r="BO175" s="4">
        <f t="shared" si="91"/>
        <v>4</v>
      </c>
      <c r="BP175" s="4">
        <f t="shared" si="92"/>
        <v>4</v>
      </c>
      <c r="BQ175" s="4">
        <f t="shared" si="93"/>
        <v>6</v>
      </c>
      <c r="BR175" s="4">
        <f t="shared" si="94"/>
        <v>4</v>
      </c>
      <c r="BS175" s="4">
        <f t="shared" si="95"/>
        <v>4</v>
      </c>
      <c r="BT175" s="4">
        <f t="shared" si="96"/>
        <v>4</v>
      </c>
      <c r="BU175" s="4">
        <f t="shared" si="97"/>
        <v>4</v>
      </c>
      <c r="BV175" s="4" t="str">
        <f t="shared" si="98"/>
        <v>0</v>
      </c>
      <c r="BW175" s="4">
        <f t="shared" si="99"/>
        <v>6</v>
      </c>
      <c r="BX175" s="4">
        <f t="shared" si="100"/>
        <v>0</v>
      </c>
      <c r="BY175" s="4">
        <f t="shared" si="101"/>
        <v>0</v>
      </c>
      <c r="BZ175" s="37">
        <f t="shared" si="102"/>
        <v>90</v>
      </c>
      <c r="CA175" s="32" t="str">
        <f>VLOOKUP(J:J,'Agent wise'!A:C,3,0)</f>
        <v>Adharsh</v>
      </c>
      <c r="CB175" s="32">
        <f t="shared" si="103"/>
        <v>45934</v>
      </c>
      <c r="CC175" t="str">
        <f t="shared" si="104"/>
        <v>Good</v>
      </c>
      <c r="CE175" s="32"/>
      <c r="CJ175">
        <f t="shared" si="105"/>
        <v>4</v>
      </c>
      <c r="CK175">
        <f t="shared" si="106"/>
        <v>10</v>
      </c>
      <c r="CL175">
        <f t="shared" si="107"/>
        <v>2025</v>
      </c>
    </row>
    <row r="176" spans="1:90" ht="15" customHeight="1" x14ac:dyDescent="0.35">
      <c r="A176" s="40">
        <v>45757.616180555553</v>
      </c>
      <c r="B176" t="s">
        <v>250</v>
      </c>
      <c r="C176" t="s">
        <v>214</v>
      </c>
      <c r="D176" t="s">
        <v>251</v>
      </c>
      <c r="E176" s="32">
        <v>45934</v>
      </c>
      <c r="F176" t="s">
        <v>90</v>
      </c>
      <c r="G176" s="2">
        <v>45667</v>
      </c>
      <c r="H176">
        <v>9698509014</v>
      </c>
      <c r="I176">
        <v>240</v>
      </c>
      <c r="J176" t="s">
        <v>472</v>
      </c>
      <c r="K176" t="s">
        <v>71</v>
      </c>
      <c r="L176" t="s">
        <v>72</v>
      </c>
      <c r="M176" t="s">
        <v>59</v>
      </c>
      <c r="N176" t="s">
        <v>59</v>
      </c>
      <c r="O176" t="s">
        <v>59</v>
      </c>
      <c r="P176" t="s">
        <v>59</v>
      </c>
      <c r="Q176" t="s">
        <v>59</v>
      </c>
      <c r="R176" t="s">
        <v>59</v>
      </c>
      <c r="S176" t="s">
        <v>59</v>
      </c>
      <c r="T176" t="s">
        <v>59</v>
      </c>
      <c r="U176" t="s">
        <v>59</v>
      </c>
      <c r="V176" t="s">
        <v>59</v>
      </c>
      <c r="W176" t="s">
        <v>59</v>
      </c>
      <c r="X176" t="s">
        <v>59</v>
      </c>
      <c r="Y176" t="s">
        <v>59</v>
      </c>
      <c r="Z176" t="s">
        <v>59</v>
      </c>
      <c r="AA176" t="s">
        <v>59</v>
      </c>
      <c r="AB176" t="s">
        <v>59</v>
      </c>
      <c r="AC176" t="s">
        <v>59</v>
      </c>
      <c r="AD176" t="s">
        <v>59</v>
      </c>
      <c r="AE176" t="s">
        <v>59</v>
      </c>
      <c r="AF176" t="s">
        <v>59</v>
      </c>
      <c r="AG176" t="s">
        <v>59</v>
      </c>
      <c r="AH176" t="s">
        <v>61</v>
      </c>
      <c r="AI176" t="s">
        <v>61</v>
      </c>
      <c r="AJ176" t="s">
        <v>59</v>
      </c>
      <c r="AK176" t="s">
        <v>59</v>
      </c>
      <c r="AL176" t="s">
        <v>59</v>
      </c>
      <c r="AM176" t="s">
        <v>59</v>
      </c>
      <c r="AN176" t="s">
        <v>59</v>
      </c>
      <c r="AO176" t="s">
        <v>59</v>
      </c>
      <c r="AP176" t="s">
        <v>606</v>
      </c>
      <c r="AQ176" t="s">
        <v>607</v>
      </c>
      <c r="AR176" t="s">
        <v>64</v>
      </c>
      <c r="AS176" t="s">
        <v>602</v>
      </c>
      <c r="AT176" t="s">
        <v>603</v>
      </c>
      <c r="AU176" t="s">
        <v>219</v>
      </c>
      <c r="AW176" s="4">
        <f t="shared" si="73"/>
        <v>6</v>
      </c>
      <c r="AX176" s="4">
        <f t="shared" si="74"/>
        <v>4</v>
      </c>
      <c r="AY176" s="4">
        <f t="shared" si="75"/>
        <v>4</v>
      </c>
      <c r="AZ176" s="4">
        <f t="shared" si="76"/>
        <v>2</v>
      </c>
      <c r="BA176" s="4">
        <f t="shared" si="77"/>
        <v>4</v>
      </c>
      <c r="BB176" s="4">
        <f t="shared" si="78"/>
        <v>4</v>
      </c>
      <c r="BC176" s="4">
        <f t="shared" si="79"/>
        <v>4</v>
      </c>
      <c r="BD176" s="4">
        <f t="shared" si="80"/>
        <v>2</v>
      </c>
      <c r="BE176" s="4">
        <f t="shared" si="81"/>
        <v>4</v>
      </c>
      <c r="BF176" s="4">
        <f t="shared" si="82"/>
        <v>2</v>
      </c>
      <c r="BG176" s="4">
        <f t="shared" si="83"/>
        <v>4</v>
      </c>
      <c r="BH176" s="4">
        <f t="shared" si="84"/>
        <v>4</v>
      </c>
      <c r="BI176" s="4">
        <f t="shared" si="85"/>
        <v>4</v>
      </c>
      <c r="BJ176" s="4">
        <f t="shared" si="86"/>
        <v>2</v>
      </c>
      <c r="BK176" s="4">
        <f t="shared" si="87"/>
        <v>4</v>
      </c>
      <c r="BL176" s="4">
        <f t="shared" si="88"/>
        <v>2</v>
      </c>
      <c r="BM176" s="4">
        <f t="shared" si="89"/>
        <v>4</v>
      </c>
      <c r="BN176" s="4">
        <f t="shared" si="90"/>
        <v>4</v>
      </c>
      <c r="BO176" s="4">
        <f t="shared" si="91"/>
        <v>4</v>
      </c>
      <c r="BP176" s="4">
        <f t="shared" si="92"/>
        <v>4</v>
      </c>
      <c r="BQ176" s="4">
        <f t="shared" si="93"/>
        <v>6</v>
      </c>
      <c r="BR176" s="4">
        <f t="shared" si="94"/>
        <v>4</v>
      </c>
      <c r="BS176" s="4">
        <f t="shared" si="95"/>
        <v>4</v>
      </c>
      <c r="BT176" s="4">
        <f t="shared" si="96"/>
        <v>4</v>
      </c>
      <c r="BU176" s="4">
        <f t="shared" si="97"/>
        <v>4</v>
      </c>
      <c r="BV176" s="4">
        <f t="shared" si="98"/>
        <v>0</v>
      </c>
      <c r="BW176" s="4">
        <f t="shared" si="99"/>
        <v>6</v>
      </c>
      <c r="BX176" s="4">
        <f t="shared" si="100"/>
        <v>0</v>
      </c>
      <c r="BY176" s="4">
        <f t="shared" si="101"/>
        <v>0</v>
      </c>
      <c r="BZ176" s="37">
        <f t="shared" si="102"/>
        <v>100</v>
      </c>
      <c r="CA176" s="32" t="str">
        <f>VLOOKUP(J:J,'Agent wise'!A:C,3,0)</f>
        <v>Saran S</v>
      </c>
      <c r="CB176" s="32">
        <f t="shared" si="103"/>
        <v>45934</v>
      </c>
      <c r="CC176" t="str">
        <f t="shared" si="104"/>
        <v>Excellent</v>
      </c>
      <c r="CE176" s="32"/>
      <c r="CJ176">
        <f t="shared" si="105"/>
        <v>4</v>
      </c>
      <c r="CK176">
        <f t="shared" si="106"/>
        <v>10</v>
      </c>
      <c r="CL176">
        <f t="shared" si="107"/>
        <v>2025</v>
      </c>
    </row>
    <row r="177" spans="1:90" ht="15" customHeight="1" x14ac:dyDescent="0.35">
      <c r="A177" s="40">
        <v>45757.617800925917</v>
      </c>
      <c r="B177" t="s">
        <v>250</v>
      </c>
      <c r="C177" t="s">
        <v>214</v>
      </c>
      <c r="D177" t="s">
        <v>251</v>
      </c>
      <c r="E177" s="32">
        <v>45934</v>
      </c>
      <c r="F177" t="s">
        <v>90</v>
      </c>
      <c r="G177" s="2">
        <v>45667</v>
      </c>
      <c r="H177">
        <v>9092099515</v>
      </c>
      <c r="I177">
        <v>268</v>
      </c>
      <c r="J177" t="s">
        <v>608</v>
      </c>
      <c r="K177" t="s">
        <v>71</v>
      </c>
      <c r="L177" t="s">
        <v>72</v>
      </c>
      <c r="M177" t="s">
        <v>59</v>
      </c>
      <c r="N177" t="s">
        <v>59</v>
      </c>
      <c r="O177" t="s">
        <v>59</v>
      </c>
      <c r="P177" t="s">
        <v>59</v>
      </c>
      <c r="Q177" t="s">
        <v>59</v>
      </c>
      <c r="R177" t="s">
        <v>59</v>
      </c>
      <c r="S177" t="s">
        <v>59</v>
      </c>
      <c r="T177" t="s">
        <v>59</v>
      </c>
      <c r="U177" t="s">
        <v>59</v>
      </c>
      <c r="V177" t="s">
        <v>59</v>
      </c>
      <c r="W177" t="s">
        <v>59</v>
      </c>
      <c r="X177" t="s">
        <v>59</v>
      </c>
      <c r="Y177" t="s">
        <v>59</v>
      </c>
      <c r="Z177" t="s">
        <v>59</v>
      </c>
      <c r="AA177" t="s">
        <v>59</v>
      </c>
      <c r="AB177" t="s">
        <v>59</v>
      </c>
      <c r="AC177" t="s">
        <v>59</v>
      </c>
      <c r="AD177" t="s">
        <v>59</v>
      </c>
      <c r="AE177" t="s">
        <v>59</v>
      </c>
      <c r="AF177" t="s">
        <v>59</v>
      </c>
      <c r="AG177" t="s">
        <v>59</v>
      </c>
      <c r="AH177" t="s">
        <v>61</v>
      </c>
      <c r="AI177" t="s">
        <v>61</v>
      </c>
      <c r="AJ177" t="s">
        <v>59</v>
      </c>
      <c r="AK177" t="s">
        <v>59</v>
      </c>
      <c r="AL177" t="s">
        <v>59</v>
      </c>
      <c r="AM177" t="s">
        <v>59</v>
      </c>
      <c r="AN177" t="s">
        <v>59</v>
      </c>
      <c r="AO177" t="s">
        <v>59</v>
      </c>
      <c r="AP177" t="s">
        <v>609</v>
      </c>
      <c r="AQ177" t="s">
        <v>610</v>
      </c>
      <c r="AR177" t="s">
        <v>64</v>
      </c>
      <c r="AS177" t="s">
        <v>65</v>
      </c>
      <c r="AT177" t="s">
        <v>123</v>
      </c>
      <c r="AU177" t="s">
        <v>219</v>
      </c>
      <c r="AW177" s="4">
        <f t="shared" si="73"/>
        <v>6</v>
      </c>
      <c r="AX177" s="4">
        <f t="shared" si="74"/>
        <v>4</v>
      </c>
      <c r="AY177" s="4">
        <f t="shared" si="75"/>
        <v>4</v>
      </c>
      <c r="AZ177" s="4">
        <f t="shared" si="76"/>
        <v>2</v>
      </c>
      <c r="BA177" s="4">
        <f t="shared" si="77"/>
        <v>4</v>
      </c>
      <c r="BB177" s="4">
        <f t="shared" si="78"/>
        <v>4</v>
      </c>
      <c r="BC177" s="4">
        <f t="shared" si="79"/>
        <v>4</v>
      </c>
      <c r="BD177" s="4">
        <f t="shared" si="80"/>
        <v>2</v>
      </c>
      <c r="BE177" s="4">
        <f t="shared" si="81"/>
        <v>4</v>
      </c>
      <c r="BF177" s="4">
        <f t="shared" si="82"/>
        <v>2</v>
      </c>
      <c r="BG177" s="4">
        <f t="shared" si="83"/>
        <v>4</v>
      </c>
      <c r="BH177" s="4">
        <f t="shared" si="84"/>
        <v>4</v>
      </c>
      <c r="BI177" s="4">
        <f t="shared" si="85"/>
        <v>4</v>
      </c>
      <c r="BJ177" s="4">
        <f t="shared" si="86"/>
        <v>2</v>
      </c>
      <c r="BK177" s="4">
        <f t="shared" si="87"/>
        <v>4</v>
      </c>
      <c r="BL177" s="4">
        <f t="shared" si="88"/>
        <v>2</v>
      </c>
      <c r="BM177" s="4">
        <f t="shared" si="89"/>
        <v>4</v>
      </c>
      <c r="BN177" s="4">
        <f t="shared" si="90"/>
        <v>4</v>
      </c>
      <c r="BO177" s="4">
        <f t="shared" si="91"/>
        <v>4</v>
      </c>
      <c r="BP177" s="4">
        <f t="shared" si="92"/>
        <v>4</v>
      </c>
      <c r="BQ177" s="4">
        <f t="shared" si="93"/>
        <v>6</v>
      </c>
      <c r="BR177" s="4">
        <f t="shared" si="94"/>
        <v>4</v>
      </c>
      <c r="BS177" s="4">
        <f t="shared" si="95"/>
        <v>4</v>
      </c>
      <c r="BT177" s="4">
        <f t="shared" si="96"/>
        <v>4</v>
      </c>
      <c r="BU177" s="4">
        <f t="shared" si="97"/>
        <v>4</v>
      </c>
      <c r="BV177" s="4">
        <f t="shared" si="98"/>
        <v>0</v>
      </c>
      <c r="BW177" s="4">
        <f t="shared" si="99"/>
        <v>6</v>
      </c>
      <c r="BX177" s="4">
        <f t="shared" si="100"/>
        <v>0</v>
      </c>
      <c r="BY177" s="4">
        <f t="shared" si="101"/>
        <v>0</v>
      </c>
      <c r="BZ177" s="37">
        <f t="shared" si="102"/>
        <v>100</v>
      </c>
      <c r="CA177" s="32" t="e">
        <f>VLOOKUP(J:J,'Agent wise'!A:C,3,0)</f>
        <v>#N/A</v>
      </c>
      <c r="CB177" s="32">
        <f t="shared" si="103"/>
        <v>45934</v>
      </c>
      <c r="CC177" t="str">
        <f t="shared" si="104"/>
        <v>Excellent</v>
      </c>
      <c r="CE177" s="32"/>
      <c r="CJ177">
        <f t="shared" si="105"/>
        <v>4</v>
      </c>
      <c r="CK177">
        <f t="shared" si="106"/>
        <v>10</v>
      </c>
      <c r="CL177">
        <f t="shared" si="107"/>
        <v>2025</v>
      </c>
    </row>
    <row r="178" spans="1:90" ht="15" customHeight="1" x14ac:dyDescent="0.35">
      <c r="A178" s="40">
        <v>45757.620428240742</v>
      </c>
      <c r="B178" t="s">
        <v>250</v>
      </c>
      <c r="C178" t="s">
        <v>214</v>
      </c>
      <c r="D178" t="s">
        <v>251</v>
      </c>
      <c r="E178" s="32">
        <v>45934</v>
      </c>
      <c r="F178" t="s">
        <v>90</v>
      </c>
      <c r="G178" s="2">
        <v>45667</v>
      </c>
      <c r="H178">
        <v>9965215703</v>
      </c>
      <c r="I178">
        <v>302</v>
      </c>
      <c r="J178" t="s">
        <v>533</v>
      </c>
      <c r="K178" t="s">
        <v>71</v>
      </c>
      <c r="L178" t="s">
        <v>72</v>
      </c>
      <c r="M178" t="s">
        <v>59</v>
      </c>
      <c r="N178" t="s">
        <v>59</v>
      </c>
      <c r="O178" t="s">
        <v>59</v>
      </c>
      <c r="P178" t="s">
        <v>59</v>
      </c>
      <c r="Q178" t="s">
        <v>59</v>
      </c>
      <c r="R178" t="s">
        <v>59</v>
      </c>
      <c r="S178" t="s">
        <v>59</v>
      </c>
      <c r="T178" t="s">
        <v>59</v>
      </c>
      <c r="U178" t="s">
        <v>60</v>
      </c>
      <c r="V178" t="s">
        <v>59</v>
      </c>
      <c r="W178" t="s">
        <v>59</v>
      </c>
      <c r="X178" t="s">
        <v>59</v>
      </c>
      <c r="Y178" t="s">
        <v>59</v>
      </c>
      <c r="Z178" t="s">
        <v>59</v>
      </c>
      <c r="AA178" t="s">
        <v>59</v>
      </c>
      <c r="AB178" t="s">
        <v>60</v>
      </c>
      <c r="AC178" t="s">
        <v>59</v>
      </c>
      <c r="AD178" t="s">
        <v>59</v>
      </c>
      <c r="AE178" t="s">
        <v>59</v>
      </c>
      <c r="AF178" t="s">
        <v>59</v>
      </c>
      <c r="AG178" t="s">
        <v>59</v>
      </c>
      <c r="AH178" t="s">
        <v>59</v>
      </c>
      <c r="AI178" t="s">
        <v>61</v>
      </c>
      <c r="AJ178" t="s">
        <v>59</v>
      </c>
      <c r="AK178" t="s">
        <v>59</v>
      </c>
      <c r="AL178" t="s">
        <v>60</v>
      </c>
      <c r="AM178" t="s">
        <v>59</v>
      </c>
      <c r="AN178" t="s">
        <v>59</v>
      </c>
      <c r="AO178" t="s">
        <v>59</v>
      </c>
      <c r="AP178" s="1" t="s">
        <v>611</v>
      </c>
      <c r="AQ178" s="1" t="s">
        <v>612</v>
      </c>
      <c r="AR178" t="s">
        <v>64</v>
      </c>
      <c r="AS178" t="s">
        <v>94</v>
      </c>
      <c r="AT178" t="s">
        <v>95</v>
      </c>
      <c r="AU178" t="s">
        <v>219</v>
      </c>
      <c r="AW178" s="4">
        <f t="shared" si="73"/>
        <v>6</v>
      </c>
      <c r="AX178" s="4">
        <f t="shared" si="74"/>
        <v>4</v>
      </c>
      <c r="AY178" s="4">
        <f t="shared" si="75"/>
        <v>4</v>
      </c>
      <c r="AZ178" s="4">
        <f t="shared" si="76"/>
        <v>2</v>
      </c>
      <c r="BA178" s="4">
        <f t="shared" si="77"/>
        <v>4</v>
      </c>
      <c r="BB178" s="4">
        <f t="shared" si="78"/>
        <v>4</v>
      </c>
      <c r="BC178" s="4">
        <f t="shared" si="79"/>
        <v>4</v>
      </c>
      <c r="BD178" s="4">
        <f t="shared" si="80"/>
        <v>2</v>
      </c>
      <c r="BE178" s="4" t="str">
        <f t="shared" si="81"/>
        <v>0</v>
      </c>
      <c r="BF178" s="4">
        <f t="shared" si="82"/>
        <v>2</v>
      </c>
      <c r="BG178" s="4">
        <f t="shared" si="83"/>
        <v>4</v>
      </c>
      <c r="BH178" s="4">
        <f t="shared" si="84"/>
        <v>4</v>
      </c>
      <c r="BI178" s="4">
        <f t="shared" si="85"/>
        <v>4</v>
      </c>
      <c r="BJ178" s="4">
        <f t="shared" si="86"/>
        <v>2</v>
      </c>
      <c r="BK178" s="4">
        <f t="shared" si="87"/>
        <v>4</v>
      </c>
      <c r="BL178" s="4" t="str">
        <f t="shared" si="88"/>
        <v>0</v>
      </c>
      <c r="BM178" s="4">
        <f t="shared" si="89"/>
        <v>4</v>
      </c>
      <c r="BN178" s="4">
        <f t="shared" si="90"/>
        <v>4</v>
      </c>
      <c r="BO178" s="4">
        <f t="shared" si="91"/>
        <v>4</v>
      </c>
      <c r="BP178" s="4">
        <f t="shared" si="92"/>
        <v>4</v>
      </c>
      <c r="BQ178" s="4">
        <f t="shared" si="93"/>
        <v>6</v>
      </c>
      <c r="BR178" s="4">
        <f t="shared" si="94"/>
        <v>4</v>
      </c>
      <c r="BS178" s="4">
        <f t="shared" si="95"/>
        <v>4</v>
      </c>
      <c r="BT178" s="4">
        <f t="shared" si="96"/>
        <v>4</v>
      </c>
      <c r="BU178" s="4">
        <f t="shared" si="97"/>
        <v>4</v>
      </c>
      <c r="BV178" s="4" t="str">
        <f t="shared" si="98"/>
        <v>0</v>
      </c>
      <c r="BW178" s="4">
        <f t="shared" si="99"/>
        <v>6</v>
      </c>
      <c r="BX178" s="4">
        <f t="shared" si="100"/>
        <v>0</v>
      </c>
      <c r="BY178" s="4">
        <f t="shared" si="101"/>
        <v>0</v>
      </c>
      <c r="BZ178" s="37">
        <f t="shared" si="102"/>
        <v>94</v>
      </c>
      <c r="CA178" s="32" t="str">
        <f>VLOOKUP(J:J,'Agent wise'!A:C,3,0)</f>
        <v xml:space="preserve">Shiny </v>
      </c>
      <c r="CB178" s="32">
        <f t="shared" si="103"/>
        <v>45934</v>
      </c>
      <c r="CC178" t="str">
        <f t="shared" si="104"/>
        <v>Good</v>
      </c>
      <c r="CE178" s="32"/>
      <c r="CJ178">
        <f t="shared" si="105"/>
        <v>4</v>
      </c>
      <c r="CK178">
        <f t="shared" si="106"/>
        <v>10</v>
      </c>
      <c r="CL178">
        <f t="shared" si="107"/>
        <v>2025</v>
      </c>
    </row>
    <row r="179" spans="1:90" ht="15" customHeight="1" x14ac:dyDescent="0.35">
      <c r="A179" s="40">
        <v>45757.621990740743</v>
      </c>
      <c r="B179" t="s">
        <v>250</v>
      </c>
      <c r="C179" t="s">
        <v>214</v>
      </c>
      <c r="D179" t="s">
        <v>251</v>
      </c>
      <c r="E179" s="32">
        <v>45934</v>
      </c>
      <c r="F179" t="s">
        <v>90</v>
      </c>
      <c r="G179" s="2">
        <v>45698</v>
      </c>
      <c r="H179">
        <v>9444858100</v>
      </c>
      <c r="I179">
        <v>330</v>
      </c>
      <c r="J179" t="s">
        <v>96</v>
      </c>
      <c r="K179" t="s">
        <v>71</v>
      </c>
      <c r="L179" t="s">
        <v>72</v>
      </c>
      <c r="M179" t="s">
        <v>59</v>
      </c>
      <c r="N179" t="s">
        <v>59</v>
      </c>
      <c r="O179" t="s">
        <v>59</v>
      </c>
      <c r="P179" t="s">
        <v>59</v>
      </c>
      <c r="Q179" t="s">
        <v>59</v>
      </c>
      <c r="R179" t="s">
        <v>59</v>
      </c>
      <c r="S179" t="s">
        <v>59</v>
      </c>
      <c r="T179" t="s">
        <v>59</v>
      </c>
      <c r="U179" t="s">
        <v>59</v>
      </c>
      <c r="V179" t="s">
        <v>59</v>
      </c>
      <c r="W179" t="s">
        <v>59</v>
      </c>
      <c r="X179" t="s">
        <v>59</v>
      </c>
      <c r="Y179" t="s">
        <v>59</v>
      </c>
      <c r="Z179" t="s">
        <v>59</v>
      </c>
      <c r="AA179" t="s">
        <v>59</v>
      </c>
      <c r="AB179" t="s">
        <v>59</v>
      </c>
      <c r="AC179" t="s">
        <v>59</v>
      </c>
      <c r="AD179" t="s">
        <v>59</v>
      </c>
      <c r="AE179" t="s">
        <v>59</v>
      </c>
      <c r="AF179" t="s">
        <v>59</v>
      </c>
      <c r="AG179" t="s">
        <v>59</v>
      </c>
      <c r="AH179" t="s">
        <v>61</v>
      </c>
      <c r="AI179" t="s">
        <v>61</v>
      </c>
      <c r="AJ179" t="s">
        <v>59</v>
      </c>
      <c r="AK179" t="s">
        <v>59</v>
      </c>
      <c r="AL179" t="s">
        <v>59</v>
      </c>
      <c r="AM179" t="s">
        <v>59</v>
      </c>
      <c r="AN179" t="s">
        <v>59</v>
      </c>
      <c r="AO179" t="s">
        <v>59</v>
      </c>
      <c r="AP179" t="s">
        <v>613</v>
      </c>
      <c r="AQ179" s="1" t="s">
        <v>614</v>
      </c>
      <c r="AR179" t="s">
        <v>64</v>
      </c>
      <c r="AS179" t="s">
        <v>78</v>
      </c>
      <c r="AT179" t="s">
        <v>66</v>
      </c>
      <c r="AU179" t="s">
        <v>219</v>
      </c>
      <c r="AW179" s="4">
        <f t="shared" si="73"/>
        <v>6</v>
      </c>
      <c r="AX179" s="4">
        <f t="shared" si="74"/>
        <v>4</v>
      </c>
      <c r="AY179" s="4">
        <f t="shared" si="75"/>
        <v>4</v>
      </c>
      <c r="AZ179" s="4">
        <f t="shared" si="76"/>
        <v>2</v>
      </c>
      <c r="BA179" s="4">
        <f t="shared" si="77"/>
        <v>4</v>
      </c>
      <c r="BB179" s="4">
        <f t="shared" si="78"/>
        <v>4</v>
      </c>
      <c r="BC179" s="4">
        <f t="shared" si="79"/>
        <v>4</v>
      </c>
      <c r="BD179" s="4">
        <f t="shared" si="80"/>
        <v>2</v>
      </c>
      <c r="BE179" s="4">
        <f t="shared" si="81"/>
        <v>4</v>
      </c>
      <c r="BF179" s="4">
        <f t="shared" si="82"/>
        <v>2</v>
      </c>
      <c r="BG179" s="4">
        <f t="shared" si="83"/>
        <v>4</v>
      </c>
      <c r="BH179" s="4">
        <f t="shared" si="84"/>
        <v>4</v>
      </c>
      <c r="BI179" s="4">
        <f t="shared" si="85"/>
        <v>4</v>
      </c>
      <c r="BJ179" s="4">
        <f t="shared" si="86"/>
        <v>2</v>
      </c>
      <c r="BK179" s="4">
        <f t="shared" si="87"/>
        <v>4</v>
      </c>
      <c r="BL179" s="4">
        <f t="shared" si="88"/>
        <v>2</v>
      </c>
      <c r="BM179" s="4">
        <f t="shared" si="89"/>
        <v>4</v>
      </c>
      <c r="BN179" s="4">
        <f t="shared" si="90"/>
        <v>4</v>
      </c>
      <c r="BO179" s="4">
        <f t="shared" si="91"/>
        <v>4</v>
      </c>
      <c r="BP179" s="4">
        <f t="shared" si="92"/>
        <v>4</v>
      </c>
      <c r="BQ179" s="4">
        <f t="shared" si="93"/>
        <v>6</v>
      </c>
      <c r="BR179" s="4">
        <f t="shared" si="94"/>
        <v>4</v>
      </c>
      <c r="BS179" s="4">
        <f t="shared" si="95"/>
        <v>4</v>
      </c>
      <c r="BT179" s="4">
        <f t="shared" si="96"/>
        <v>4</v>
      </c>
      <c r="BU179" s="4">
        <f t="shared" si="97"/>
        <v>4</v>
      </c>
      <c r="BV179" s="4">
        <f t="shared" si="98"/>
        <v>0</v>
      </c>
      <c r="BW179" s="4">
        <f t="shared" si="99"/>
        <v>6</v>
      </c>
      <c r="BX179" s="4">
        <f t="shared" si="100"/>
        <v>0</v>
      </c>
      <c r="BY179" s="4">
        <f t="shared" si="101"/>
        <v>0</v>
      </c>
      <c r="BZ179" s="37">
        <f t="shared" si="102"/>
        <v>100</v>
      </c>
      <c r="CA179" s="32" t="str">
        <f>VLOOKUP(J:J,'Agent wise'!A:C,3,0)</f>
        <v xml:space="preserve">Shiny </v>
      </c>
      <c r="CB179" s="32">
        <f t="shared" si="103"/>
        <v>45934</v>
      </c>
      <c r="CC179" t="str">
        <f t="shared" si="104"/>
        <v>Excellent</v>
      </c>
      <c r="CE179" s="32"/>
      <c r="CJ179">
        <f t="shared" si="105"/>
        <v>4</v>
      </c>
      <c r="CK179">
        <f t="shared" si="106"/>
        <v>10</v>
      </c>
      <c r="CL179">
        <f t="shared" si="107"/>
        <v>2025</v>
      </c>
    </row>
    <row r="180" spans="1:90" ht="15" customHeight="1" x14ac:dyDescent="0.35">
      <c r="A180" s="40">
        <v>45757.628391203703</v>
      </c>
      <c r="B180" t="s">
        <v>250</v>
      </c>
      <c r="C180" t="s">
        <v>214</v>
      </c>
      <c r="D180" t="s">
        <v>251</v>
      </c>
      <c r="E180" s="32">
        <v>45934</v>
      </c>
      <c r="F180" t="s">
        <v>90</v>
      </c>
      <c r="G180" s="2">
        <v>45698</v>
      </c>
      <c r="H180">
        <v>7358759579</v>
      </c>
      <c r="I180">
        <v>180</v>
      </c>
      <c r="J180" t="s">
        <v>179</v>
      </c>
      <c r="K180" t="s">
        <v>71</v>
      </c>
      <c r="L180" t="s">
        <v>72</v>
      </c>
      <c r="M180" t="s">
        <v>59</v>
      </c>
      <c r="N180" t="s">
        <v>59</v>
      </c>
      <c r="O180" t="s">
        <v>59</v>
      </c>
      <c r="P180" t="s">
        <v>59</v>
      </c>
      <c r="Q180" t="s">
        <v>59</v>
      </c>
      <c r="R180" t="s">
        <v>59</v>
      </c>
      <c r="S180" t="s">
        <v>59</v>
      </c>
      <c r="T180" t="s">
        <v>59</v>
      </c>
      <c r="U180" t="s">
        <v>60</v>
      </c>
      <c r="V180" t="s">
        <v>59</v>
      </c>
      <c r="W180" t="s">
        <v>59</v>
      </c>
      <c r="X180" t="s">
        <v>59</v>
      </c>
      <c r="Y180" t="s">
        <v>59</v>
      </c>
      <c r="Z180" t="s">
        <v>60</v>
      </c>
      <c r="AA180" t="s">
        <v>59</v>
      </c>
      <c r="AB180" t="s">
        <v>59</v>
      </c>
      <c r="AC180" t="s">
        <v>59</v>
      </c>
      <c r="AD180" t="s">
        <v>59</v>
      </c>
      <c r="AE180" t="s">
        <v>59</v>
      </c>
      <c r="AF180" t="s">
        <v>59</v>
      </c>
      <c r="AG180" t="s">
        <v>59</v>
      </c>
      <c r="AH180" t="s">
        <v>61</v>
      </c>
      <c r="AI180" t="s">
        <v>61</v>
      </c>
      <c r="AJ180" t="s">
        <v>59</v>
      </c>
      <c r="AK180" t="s">
        <v>59</v>
      </c>
      <c r="AL180" t="s">
        <v>60</v>
      </c>
      <c r="AM180" t="s">
        <v>59</v>
      </c>
      <c r="AN180" t="s">
        <v>59</v>
      </c>
      <c r="AO180" t="s">
        <v>59</v>
      </c>
      <c r="AP180" s="1" t="s">
        <v>615</v>
      </c>
      <c r="AQ180" t="s">
        <v>607</v>
      </c>
      <c r="AR180" t="s">
        <v>64</v>
      </c>
      <c r="AS180" t="s">
        <v>602</v>
      </c>
      <c r="AT180" t="s">
        <v>603</v>
      </c>
      <c r="AU180" t="s">
        <v>219</v>
      </c>
      <c r="AW180" s="4">
        <f t="shared" si="73"/>
        <v>6</v>
      </c>
      <c r="AX180" s="4">
        <f t="shared" si="74"/>
        <v>4</v>
      </c>
      <c r="AY180" s="4">
        <f t="shared" si="75"/>
        <v>4</v>
      </c>
      <c r="AZ180" s="4">
        <f t="shared" si="76"/>
        <v>2</v>
      </c>
      <c r="BA180" s="4">
        <f t="shared" si="77"/>
        <v>4</v>
      </c>
      <c r="BB180" s="4">
        <f t="shared" si="78"/>
        <v>4</v>
      </c>
      <c r="BC180" s="4">
        <f t="shared" si="79"/>
        <v>4</v>
      </c>
      <c r="BD180" s="4">
        <f t="shared" si="80"/>
        <v>2</v>
      </c>
      <c r="BE180" s="4" t="str">
        <f t="shared" si="81"/>
        <v>0</v>
      </c>
      <c r="BF180" s="4">
        <f t="shared" si="82"/>
        <v>2</v>
      </c>
      <c r="BG180" s="4">
        <f t="shared" si="83"/>
        <v>4</v>
      </c>
      <c r="BH180" s="4">
        <f t="shared" si="84"/>
        <v>4</v>
      </c>
      <c r="BI180" s="4">
        <f t="shared" si="85"/>
        <v>4</v>
      </c>
      <c r="BJ180" s="4" t="str">
        <f t="shared" si="86"/>
        <v>0</v>
      </c>
      <c r="BK180" s="4">
        <f t="shared" si="87"/>
        <v>4</v>
      </c>
      <c r="BL180" s="4">
        <f t="shared" si="88"/>
        <v>2</v>
      </c>
      <c r="BM180" s="4">
        <f t="shared" si="89"/>
        <v>4</v>
      </c>
      <c r="BN180" s="4">
        <f t="shared" si="90"/>
        <v>4</v>
      </c>
      <c r="BO180" s="4">
        <f t="shared" si="91"/>
        <v>4</v>
      </c>
      <c r="BP180" s="4">
        <f t="shared" si="92"/>
        <v>4</v>
      </c>
      <c r="BQ180" s="4">
        <f t="shared" si="93"/>
        <v>6</v>
      </c>
      <c r="BR180" s="4">
        <f t="shared" si="94"/>
        <v>4</v>
      </c>
      <c r="BS180" s="4">
        <f t="shared" si="95"/>
        <v>4</v>
      </c>
      <c r="BT180" s="4">
        <f t="shared" si="96"/>
        <v>4</v>
      </c>
      <c r="BU180" s="4">
        <f t="shared" si="97"/>
        <v>4</v>
      </c>
      <c r="BV180" s="4" t="str">
        <f t="shared" si="98"/>
        <v>0</v>
      </c>
      <c r="BW180" s="4">
        <f t="shared" si="99"/>
        <v>6</v>
      </c>
      <c r="BX180" s="4">
        <f t="shared" si="100"/>
        <v>0</v>
      </c>
      <c r="BY180" s="4">
        <f t="shared" si="101"/>
        <v>0</v>
      </c>
      <c r="BZ180" s="37">
        <f t="shared" si="102"/>
        <v>94</v>
      </c>
      <c r="CA180" s="32" t="str">
        <f>VLOOKUP(J:J,'Agent wise'!A:C,3,0)</f>
        <v>Adharsh</v>
      </c>
      <c r="CB180" s="32">
        <f t="shared" si="103"/>
        <v>45934</v>
      </c>
      <c r="CC180" t="str">
        <f t="shared" si="104"/>
        <v>Good</v>
      </c>
      <c r="CE180" s="32"/>
      <c r="CJ180">
        <f t="shared" si="105"/>
        <v>4</v>
      </c>
      <c r="CK180">
        <f t="shared" si="106"/>
        <v>10</v>
      </c>
      <c r="CL180">
        <f t="shared" si="107"/>
        <v>2025</v>
      </c>
    </row>
    <row r="181" spans="1:90" ht="15" customHeight="1" x14ac:dyDescent="0.35">
      <c r="A181" s="40">
        <v>45757.631805555553</v>
      </c>
      <c r="B181" t="s">
        <v>250</v>
      </c>
      <c r="C181" t="s">
        <v>214</v>
      </c>
      <c r="D181" t="s">
        <v>251</v>
      </c>
      <c r="E181" s="32">
        <v>45934</v>
      </c>
      <c r="F181" t="s">
        <v>90</v>
      </c>
      <c r="G181" s="2">
        <v>45698</v>
      </c>
      <c r="H181">
        <v>8015616642</v>
      </c>
      <c r="I181">
        <v>68</v>
      </c>
      <c r="J181" t="s">
        <v>124</v>
      </c>
      <c r="K181" t="s">
        <v>71</v>
      </c>
      <c r="L181" t="s">
        <v>72</v>
      </c>
      <c r="M181" t="s">
        <v>59</v>
      </c>
      <c r="N181" t="s">
        <v>59</v>
      </c>
      <c r="O181" t="s">
        <v>59</v>
      </c>
      <c r="P181" t="s">
        <v>59</v>
      </c>
      <c r="Q181" t="s">
        <v>59</v>
      </c>
      <c r="R181" t="s">
        <v>60</v>
      </c>
      <c r="S181" t="s">
        <v>59</v>
      </c>
      <c r="T181" t="s">
        <v>59</v>
      </c>
      <c r="U181" t="s">
        <v>60</v>
      </c>
      <c r="V181" t="s">
        <v>59</v>
      </c>
      <c r="W181" t="s">
        <v>59</v>
      </c>
      <c r="X181" t="s">
        <v>59</v>
      </c>
      <c r="Y181" t="s">
        <v>59</v>
      </c>
      <c r="Z181" t="s">
        <v>59</v>
      </c>
      <c r="AA181" t="s">
        <v>59</v>
      </c>
      <c r="AB181" t="s">
        <v>60</v>
      </c>
      <c r="AC181" t="s">
        <v>59</v>
      </c>
      <c r="AD181" t="s">
        <v>61</v>
      </c>
      <c r="AE181" t="s">
        <v>59</v>
      </c>
      <c r="AF181" t="s">
        <v>59</v>
      </c>
      <c r="AG181" t="s">
        <v>59</v>
      </c>
      <c r="AH181" t="s">
        <v>61</v>
      </c>
      <c r="AI181" t="s">
        <v>61</v>
      </c>
      <c r="AJ181" t="s">
        <v>59</v>
      </c>
      <c r="AK181" t="s">
        <v>59</v>
      </c>
      <c r="AL181" t="s">
        <v>60</v>
      </c>
      <c r="AM181" t="s">
        <v>59</v>
      </c>
      <c r="AN181" t="s">
        <v>59</v>
      </c>
      <c r="AO181" t="s">
        <v>59</v>
      </c>
      <c r="AP181" s="1" t="s">
        <v>616</v>
      </c>
      <c r="AQ181" s="1" t="s">
        <v>617</v>
      </c>
      <c r="AR181" t="s">
        <v>64</v>
      </c>
      <c r="AS181" t="s">
        <v>618</v>
      </c>
      <c r="AT181" t="s">
        <v>95</v>
      </c>
      <c r="AU181" t="s">
        <v>219</v>
      </c>
      <c r="AW181" s="4">
        <f t="shared" si="73"/>
        <v>6</v>
      </c>
      <c r="AX181" s="4">
        <f t="shared" si="74"/>
        <v>4</v>
      </c>
      <c r="AY181" s="4">
        <f t="shared" si="75"/>
        <v>4</v>
      </c>
      <c r="AZ181" s="4">
        <f t="shared" si="76"/>
        <v>2</v>
      </c>
      <c r="BA181" s="4">
        <f t="shared" si="77"/>
        <v>4</v>
      </c>
      <c r="BB181" s="4" t="str">
        <f t="shared" si="78"/>
        <v>0</v>
      </c>
      <c r="BC181" s="4">
        <f t="shared" si="79"/>
        <v>4</v>
      </c>
      <c r="BD181" s="4">
        <f t="shared" si="80"/>
        <v>2</v>
      </c>
      <c r="BE181" s="4" t="str">
        <f t="shared" si="81"/>
        <v>0</v>
      </c>
      <c r="BF181" s="4">
        <f t="shared" si="82"/>
        <v>2</v>
      </c>
      <c r="BG181" s="4">
        <f t="shared" si="83"/>
        <v>4</v>
      </c>
      <c r="BH181" s="4">
        <f t="shared" si="84"/>
        <v>4</v>
      </c>
      <c r="BI181" s="4">
        <f t="shared" si="85"/>
        <v>4</v>
      </c>
      <c r="BJ181" s="4">
        <f t="shared" si="86"/>
        <v>2</v>
      </c>
      <c r="BK181" s="4">
        <f t="shared" si="87"/>
        <v>4</v>
      </c>
      <c r="BL181" s="4" t="str">
        <f t="shared" si="88"/>
        <v>0</v>
      </c>
      <c r="BM181" s="4">
        <f t="shared" si="89"/>
        <v>4</v>
      </c>
      <c r="BN181" s="4">
        <f t="shared" si="90"/>
        <v>4</v>
      </c>
      <c r="BO181" s="4">
        <f t="shared" si="91"/>
        <v>4</v>
      </c>
      <c r="BP181" s="4">
        <f t="shared" si="92"/>
        <v>4</v>
      </c>
      <c r="BQ181" s="4">
        <f t="shared" si="93"/>
        <v>6</v>
      </c>
      <c r="BR181" s="4">
        <f t="shared" si="94"/>
        <v>4</v>
      </c>
      <c r="BS181" s="4">
        <f t="shared" si="95"/>
        <v>4</v>
      </c>
      <c r="BT181" s="4">
        <f t="shared" si="96"/>
        <v>4</v>
      </c>
      <c r="BU181" s="4">
        <f t="shared" si="97"/>
        <v>4</v>
      </c>
      <c r="BV181" s="4" t="str">
        <f t="shared" si="98"/>
        <v>0</v>
      </c>
      <c r="BW181" s="4">
        <f t="shared" si="99"/>
        <v>6</v>
      </c>
      <c r="BX181" s="4">
        <f t="shared" si="100"/>
        <v>0</v>
      </c>
      <c r="BY181" s="4">
        <f t="shared" si="101"/>
        <v>0</v>
      </c>
      <c r="BZ181" s="37">
        <f t="shared" si="102"/>
        <v>90</v>
      </c>
      <c r="CA181" s="32" t="str">
        <f>VLOOKUP(J:J,'Agent wise'!A:C,3,0)</f>
        <v>Saran S</v>
      </c>
      <c r="CB181" s="32">
        <f t="shared" si="103"/>
        <v>45934</v>
      </c>
      <c r="CC181" t="str">
        <f t="shared" si="104"/>
        <v>Good</v>
      </c>
      <c r="CE181" s="32"/>
      <c r="CJ181">
        <f t="shared" si="105"/>
        <v>4</v>
      </c>
      <c r="CK181">
        <f t="shared" si="106"/>
        <v>10</v>
      </c>
      <c r="CL181">
        <f t="shared" si="107"/>
        <v>2025</v>
      </c>
    </row>
    <row r="182" spans="1:90" ht="15" customHeight="1" x14ac:dyDescent="0.35">
      <c r="A182" s="40">
        <v>45757.633912037039</v>
      </c>
      <c r="B182" t="s">
        <v>250</v>
      </c>
      <c r="C182" t="s">
        <v>214</v>
      </c>
      <c r="D182" t="s">
        <v>251</v>
      </c>
      <c r="E182" s="32">
        <v>45934</v>
      </c>
      <c r="F182" t="s">
        <v>90</v>
      </c>
      <c r="G182" s="2">
        <v>45698</v>
      </c>
      <c r="H182">
        <v>7867899168</v>
      </c>
      <c r="I182">
        <v>159</v>
      </c>
      <c r="J182" t="s">
        <v>108</v>
      </c>
      <c r="K182" t="s">
        <v>71</v>
      </c>
      <c r="L182" t="s">
        <v>72</v>
      </c>
      <c r="M182" t="s">
        <v>59</v>
      </c>
      <c r="N182" t="s">
        <v>59</v>
      </c>
      <c r="O182" t="s">
        <v>59</v>
      </c>
      <c r="P182" t="s">
        <v>59</v>
      </c>
      <c r="Q182" t="s">
        <v>59</v>
      </c>
      <c r="R182" t="s">
        <v>60</v>
      </c>
      <c r="S182" t="s">
        <v>59</v>
      </c>
      <c r="T182" t="s">
        <v>59</v>
      </c>
      <c r="U182" t="s">
        <v>60</v>
      </c>
      <c r="V182" t="s">
        <v>59</v>
      </c>
      <c r="W182" t="s">
        <v>59</v>
      </c>
      <c r="X182" t="s">
        <v>59</v>
      </c>
      <c r="Y182" t="s">
        <v>59</v>
      </c>
      <c r="Z182" t="s">
        <v>59</v>
      </c>
      <c r="AA182" t="s">
        <v>59</v>
      </c>
      <c r="AB182" t="s">
        <v>59</v>
      </c>
      <c r="AC182" t="s">
        <v>59</v>
      </c>
      <c r="AD182" t="s">
        <v>59</v>
      </c>
      <c r="AE182" t="s">
        <v>59</v>
      </c>
      <c r="AF182" t="s">
        <v>59</v>
      </c>
      <c r="AG182" t="s">
        <v>59</v>
      </c>
      <c r="AH182" t="s">
        <v>61</v>
      </c>
      <c r="AI182" t="s">
        <v>61</v>
      </c>
      <c r="AJ182" t="s">
        <v>60</v>
      </c>
      <c r="AK182" t="s">
        <v>59</v>
      </c>
      <c r="AL182" t="s">
        <v>60</v>
      </c>
      <c r="AM182" t="s">
        <v>59</v>
      </c>
      <c r="AN182" t="s">
        <v>59</v>
      </c>
      <c r="AO182" t="s">
        <v>59</v>
      </c>
      <c r="AP182" s="1" t="s">
        <v>619</v>
      </c>
      <c r="AQ182" t="s">
        <v>620</v>
      </c>
      <c r="AR182" t="s">
        <v>64</v>
      </c>
      <c r="AS182" t="s">
        <v>99</v>
      </c>
      <c r="AT182" t="s">
        <v>621</v>
      </c>
      <c r="AU182" t="s">
        <v>219</v>
      </c>
      <c r="AW182" s="4">
        <f t="shared" si="73"/>
        <v>6</v>
      </c>
      <c r="AX182" s="4">
        <f t="shared" si="74"/>
        <v>4</v>
      </c>
      <c r="AY182" s="4">
        <f t="shared" si="75"/>
        <v>4</v>
      </c>
      <c r="AZ182" s="4">
        <f t="shared" si="76"/>
        <v>2</v>
      </c>
      <c r="BA182" s="4">
        <f t="shared" si="77"/>
        <v>4</v>
      </c>
      <c r="BB182" s="4" t="str">
        <f t="shared" si="78"/>
        <v>0</v>
      </c>
      <c r="BC182" s="4">
        <f t="shared" si="79"/>
        <v>4</v>
      </c>
      <c r="BD182" s="4">
        <f t="shared" si="80"/>
        <v>2</v>
      </c>
      <c r="BE182" s="4" t="str">
        <f t="shared" si="81"/>
        <v>0</v>
      </c>
      <c r="BF182" s="4">
        <f t="shared" si="82"/>
        <v>2</v>
      </c>
      <c r="BG182" s="4">
        <f t="shared" si="83"/>
        <v>4</v>
      </c>
      <c r="BH182" s="4">
        <f t="shared" si="84"/>
        <v>4</v>
      </c>
      <c r="BI182" s="4">
        <f t="shared" si="85"/>
        <v>4</v>
      </c>
      <c r="BJ182" s="4">
        <f t="shared" si="86"/>
        <v>2</v>
      </c>
      <c r="BK182" s="4">
        <f t="shared" si="87"/>
        <v>4</v>
      </c>
      <c r="BL182" s="4">
        <f t="shared" si="88"/>
        <v>2</v>
      </c>
      <c r="BM182" s="4">
        <f t="shared" si="89"/>
        <v>4</v>
      </c>
      <c r="BN182" s="4">
        <f t="shared" si="90"/>
        <v>4</v>
      </c>
      <c r="BO182" s="4">
        <f t="shared" si="91"/>
        <v>4</v>
      </c>
      <c r="BP182" s="4">
        <f t="shared" si="92"/>
        <v>4</v>
      </c>
      <c r="BQ182" s="4">
        <f t="shared" si="93"/>
        <v>6</v>
      </c>
      <c r="BR182" s="4">
        <f t="shared" si="94"/>
        <v>4</v>
      </c>
      <c r="BS182" s="4">
        <f t="shared" si="95"/>
        <v>4</v>
      </c>
      <c r="BT182" s="4" t="str">
        <f t="shared" si="96"/>
        <v>0</v>
      </c>
      <c r="BU182" s="4">
        <f t="shared" si="97"/>
        <v>4</v>
      </c>
      <c r="BV182" s="4" t="str">
        <f t="shared" si="98"/>
        <v>0</v>
      </c>
      <c r="BW182" s="4">
        <f t="shared" si="99"/>
        <v>6</v>
      </c>
      <c r="BX182" s="4">
        <f t="shared" si="100"/>
        <v>0</v>
      </c>
      <c r="BY182" s="4">
        <f t="shared" si="101"/>
        <v>0</v>
      </c>
      <c r="BZ182" s="37">
        <f t="shared" si="102"/>
        <v>88</v>
      </c>
      <c r="CA182" s="32" t="str">
        <f>VLOOKUP(J:J,'Agent wise'!A:C,3,0)</f>
        <v xml:space="preserve">Shiny </v>
      </c>
      <c r="CB182" s="32">
        <f t="shared" si="103"/>
        <v>45934</v>
      </c>
      <c r="CC182" t="str">
        <f t="shared" si="104"/>
        <v>Average</v>
      </c>
      <c r="CE182" s="32"/>
      <c r="CJ182">
        <f t="shared" si="105"/>
        <v>4</v>
      </c>
      <c r="CK182">
        <f t="shared" si="106"/>
        <v>10</v>
      </c>
      <c r="CL182">
        <f t="shared" si="107"/>
        <v>2025</v>
      </c>
    </row>
    <row r="183" spans="1:90" ht="15" customHeight="1" x14ac:dyDescent="0.35">
      <c r="A183" s="40">
        <v>45757.63653935185</v>
      </c>
      <c r="B183" t="s">
        <v>250</v>
      </c>
      <c r="C183" t="s">
        <v>214</v>
      </c>
      <c r="D183" t="s">
        <v>251</v>
      </c>
      <c r="E183" s="32">
        <v>45934</v>
      </c>
      <c r="F183" t="s">
        <v>90</v>
      </c>
      <c r="G183" s="2">
        <v>45698</v>
      </c>
      <c r="H183">
        <v>9486866132</v>
      </c>
      <c r="I183">
        <v>212</v>
      </c>
      <c r="J183" t="s">
        <v>274</v>
      </c>
      <c r="K183" t="s">
        <v>71</v>
      </c>
      <c r="L183" t="s">
        <v>72</v>
      </c>
      <c r="M183" t="s">
        <v>59</v>
      </c>
      <c r="N183" t="s">
        <v>59</v>
      </c>
      <c r="O183" t="s">
        <v>59</v>
      </c>
      <c r="P183" t="s">
        <v>59</v>
      </c>
      <c r="Q183" t="s">
        <v>59</v>
      </c>
      <c r="R183" t="s">
        <v>59</v>
      </c>
      <c r="S183" t="s">
        <v>59</v>
      </c>
      <c r="T183" t="s">
        <v>59</v>
      </c>
      <c r="U183" t="s">
        <v>59</v>
      </c>
      <c r="V183" t="s">
        <v>59</v>
      </c>
      <c r="W183" t="s">
        <v>59</v>
      </c>
      <c r="X183" t="s">
        <v>59</v>
      </c>
      <c r="Y183" t="s">
        <v>59</v>
      </c>
      <c r="Z183" t="s">
        <v>59</v>
      </c>
      <c r="AA183" t="s">
        <v>59</v>
      </c>
      <c r="AB183" t="s">
        <v>59</v>
      </c>
      <c r="AC183" t="s">
        <v>59</v>
      </c>
      <c r="AD183" t="s">
        <v>60</v>
      </c>
      <c r="AE183" t="s">
        <v>59</v>
      </c>
      <c r="AF183" t="s">
        <v>59</v>
      </c>
      <c r="AG183" t="s">
        <v>59</v>
      </c>
      <c r="AH183" t="s">
        <v>61</v>
      </c>
      <c r="AI183" t="s">
        <v>61</v>
      </c>
      <c r="AJ183" t="s">
        <v>59</v>
      </c>
      <c r="AK183" t="s">
        <v>59</v>
      </c>
      <c r="AL183" t="s">
        <v>60</v>
      </c>
      <c r="AM183" t="s">
        <v>59</v>
      </c>
      <c r="AN183" t="s">
        <v>59</v>
      </c>
      <c r="AO183" t="s">
        <v>59</v>
      </c>
      <c r="AP183" t="s">
        <v>622</v>
      </c>
      <c r="AQ183" t="s">
        <v>623</v>
      </c>
      <c r="AR183" t="s">
        <v>64</v>
      </c>
      <c r="AS183" t="s">
        <v>624</v>
      </c>
      <c r="AT183" t="s">
        <v>99</v>
      </c>
      <c r="AU183" t="s">
        <v>219</v>
      </c>
      <c r="AW183" s="4">
        <f t="shared" si="73"/>
        <v>6</v>
      </c>
      <c r="AX183" s="4">
        <f t="shared" si="74"/>
        <v>4</v>
      </c>
      <c r="AY183" s="4">
        <f t="shared" si="75"/>
        <v>4</v>
      </c>
      <c r="AZ183" s="4">
        <f t="shared" si="76"/>
        <v>2</v>
      </c>
      <c r="BA183" s="4">
        <f t="shared" si="77"/>
        <v>4</v>
      </c>
      <c r="BB183" s="4">
        <f t="shared" si="78"/>
        <v>4</v>
      </c>
      <c r="BC183" s="4">
        <f t="shared" si="79"/>
        <v>4</v>
      </c>
      <c r="BD183" s="4">
        <f t="shared" si="80"/>
        <v>2</v>
      </c>
      <c r="BE183" s="4">
        <f t="shared" si="81"/>
        <v>4</v>
      </c>
      <c r="BF183" s="4">
        <f t="shared" si="82"/>
        <v>2</v>
      </c>
      <c r="BG183" s="4">
        <f t="shared" si="83"/>
        <v>4</v>
      </c>
      <c r="BH183" s="4">
        <f t="shared" si="84"/>
        <v>4</v>
      </c>
      <c r="BI183" s="4">
        <f t="shared" si="85"/>
        <v>4</v>
      </c>
      <c r="BJ183" s="4">
        <f t="shared" si="86"/>
        <v>2</v>
      </c>
      <c r="BK183" s="4">
        <f t="shared" si="87"/>
        <v>4</v>
      </c>
      <c r="BL183" s="4">
        <f t="shared" si="88"/>
        <v>2</v>
      </c>
      <c r="BM183" s="4">
        <f t="shared" si="89"/>
        <v>4</v>
      </c>
      <c r="BN183" s="4" t="str">
        <f t="shared" si="90"/>
        <v>0</v>
      </c>
      <c r="BO183" s="4">
        <f t="shared" si="91"/>
        <v>4</v>
      </c>
      <c r="BP183" s="4">
        <f t="shared" si="92"/>
        <v>4</v>
      </c>
      <c r="BQ183" s="4">
        <f t="shared" si="93"/>
        <v>6</v>
      </c>
      <c r="BR183" s="4">
        <f t="shared" si="94"/>
        <v>4</v>
      </c>
      <c r="BS183" s="4">
        <f t="shared" si="95"/>
        <v>4</v>
      </c>
      <c r="BT183" s="4">
        <f t="shared" si="96"/>
        <v>4</v>
      </c>
      <c r="BU183" s="4">
        <f t="shared" si="97"/>
        <v>4</v>
      </c>
      <c r="BV183" s="4" t="str">
        <f t="shared" si="98"/>
        <v>0</v>
      </c>
      <c r="BW183" s="4">
        <f t="shared" si="99"/>
        <v>6</v>
      </c>
      <c r="BX183" s="4">
        <f t="shared" si="100"/>
        <v>0</v>
      </c>
      <c r="BY183" s="4">
        <f t="shared" si="101"/>
        <v>0</v>
      </c>
      <c r="BZ183" s="37">
        <f t="shared" si="102"/>
        <v>96</v>
      </c>
      <c r="CA183" s="32" t="str">
        <f>VLOOKUP(J:J,'Agent wise'!A:C,3,0)</f>
        <v>Shakeer</v>
      </c>
      <c r="CB183" s="32">
        <f t="shared" si="103"/>
        <v>45934</v>
      </c>
      <c r="CC183" t="str">
        <f t="shared" si="104"/>
        <v>Excellent</v>
      </c>
      <c r="CE183" s="32"/>
      <c r="CJ183">
        <f t="shared" si="105"/>
        <v>4</v>
      </c>
      <c r="CK183">
        <f t="shared" si="106"/>
        <v>10</v>
      </c>
      <c r="CL183">
        <f t="shared" si="107"/>
        <v>2025</v>
      </c>
    </row>
    <row r="184" spans="1:90" ht="15" customHeight="1" x14ac:dyDescent="0.35">
      <c r="A184" s="40">
        <v>45757.638009259259</v>
      </c>
      <c r="B184" t="s">
        <v>250</v>
      </c>
      <c r="C184" t="s">
        <v>214</v>
      </c>
      <c r="D184" t="s">
        <v>251</v>
      </c>
      <c r="E184" s="32">
        <v>45934</v>
      </c>
      <c r="F184" t="s">
        <v>90</v>
      </c>
      <c r="G184" s="2">
        <v>45726</v>
      </c>
      <c r="H184">
        <v>9385851350</v>
      </c>
      <c r="I184">
        <v>280</v>
      </c>
      <c r="J184" t="s">
        <v>625</v>
      </c>
      <c r="K184" t="s">
        <v>71</v>
      </c>
      <c r="L184" t="s">
        <v>72</v>
      </c>
      <c r="M184" t="s">
        <v>59</v>
      </c>
      <c r="N184" t="s">
        <v>59</v>
      </c>
      <c r="O184" t="s">
        <v>59</v>
      </c>
      <c r="P184" t="s">
        <v>59</v>
      </c>
      <c r="Q184" t="s">
        <v>59</v>
      </c>
      <c r="R184" t="s">
        <v>59</v>
      </c>
      <c r="S184" t="s">
        <v>59</v>
      </c>
      <c r="T184" t="s">
        <v>59</v>
      </c>
      <c r="U184" t="s">
        <v>59</v>
      </c>
      <c r="V184" t="s">
        <v>59</v>
      </c>
      <c r="W184" t="s">
        <v>59</v>
      </c>
      <c r="X184" t="s">
        <v>59</v>
      </c>
      <c r="Y184" t="s">
        <v>59</v>
      </c>
      <c r="Z184" t="s">
        <v>59</v>
      </c>
      <c r="AA184" t="s">
        <v>59</v>
      </c>
      <c r="AB184" t="s">
        <v>59</v>
      </c>
      <c r="AC184" t="s">
        <v>59</v>
      </c>
      <c r="AD184" t="s">
        <v>59</v>
      </c>
      <c r="AE184" t="s">
        <v>59</v>
      </c>
      <c r="AF184" t="s">
        <v>59</v>
      </c>
      <c r="AG184" t="s">
        <v>59</v>
      </c>
      <c r="AH184" t="s">
        <v>61</v>
      </c>
      <c r="AI184" t="s">
        <v>61</v>
      </c>
      <c r="AJ184" t="s">
        <v>59</v>
      </c>
      <c r="AK184" t="s">
        <v>59</v>
      </c>
      <c r="AL184" t="s">
        <v>59</v>
      </c>
      <c r="AM184" t="s">
        <v>59</v>
      </c>
      <c r="AN184" t="s">
        <v>59</v>
      </c>
      <c r="AO184" t="s">
        <v>59</v>
      </c>
      <c r="AP184" s="1" t="s">
        <v>626</v>
      </c>
      <c r="AQ184" t="s">
        <v>607</v>
      </c>
      <c r="AR184" t="s">
        <v>64</v>
      </c>
      <c r="AS184" t="s">
        <v>602</v>
      </c>
      <c r="AT184" t="s">
        <v>603</v>
      </c>
      <c r="AU184" t="s">
        <v>219</v>
      </c>
      <c r="AW184" s="4">
        <f t="shared" si="73"/>
        <v>6</v>
      </c>
      <c r="AX184" s="4">
        <f t="shared" si="74"/>
        <v>4</v>
      </c>
      <c r="AY184" s="4">
        <f t="shared" si="75"/>
        <v>4</v>
      </c>
      <c r="AZ184" s="4">
        <f t="shared" si="76"/>
        <v>2</v>
      </c>
      <c r="BA184" s="4">
        <f t="shared" si="77"/>
        <v>4</v>
      </c>
      <c r="BB184" s="4">
        <f t="shared" si="78"/>
        <v>4</v>
      </c>
      <c r="BC184" s="4">
        <f t="shared" si="79"/>
        <v>4</v>
      </c>
      <c r="BD184" s="4">
        <f t="shared" si="80"/>
        <v>2</v>
      </c>
      <c r="BE184" s="4">
        <f t="shared" si="81"/>
        <v>4</v>
      </c>
      <c r="BF184" s="4">
        <f t="shared" si="82"/>
        <v>2</v>
      </c>
      <c r="BG184" s="4">
        <f t="shared" si="83"/>
        <v>4</v>
      </c>
      <c r="BH184" s="4">
        <f t="shared" si="84"/>
        <v>4</v>
      </c>
      <c r="BI184" s="4">
        <f t="shared" si="85"/>
        <v>4</v>
      </c>
      <c r="BJ184" s="4">
        <f t="shared" si="86"/>
        <v>2</v>
      </c>
      <c r="BK184" s="4">
        <f t="shared" si="87"/>
        <v>4</v>
      </c>
      <c r="BL184" s="4">
        <f t="shared" si="88"/>
        <v>2</v>
      </c>
      <c r="BM184" s="4">
        <f t="shared" si="89"/>
        <v>4</v>
      </c>
      <c r="BN184" s="4">
        <f t="shared" si="90"/>
        <v>4</v>
      </c>
      <c r="BO184" s="4">
        <f t="shared" si="91"/>
        <v>4</v>
      </c>
      <c r="BP184" s="4">
        <f t="shared" si="92"/>
        <v>4</v>
      </c>
      <c r="BQ184" s="4">
        <f t="shared" si="93"/>
        <v>6</v>
      </c>
      <c r="BR184" s="4">
        <f t="shared" si="94"/>
        <v>4</v>
      </c>
      <c r="BS184" s="4">
        <f t="shared" si="95"/>
        <v>4</v>
      </c>
      <c r="BT184" s="4">
        <f t="shared" si="96"/>
        <v>4</v>
      </c>
      <c r="BU184" s="4">
        <f t="shared" si="97"/>
        <v>4</v>
      </c>
      <c r="BV184" s="4">
        <f t="shared" si="98"/>
        <v>0</v>
      </c>
      <c r="BW184" s="4">
        <f t="shared" si="99"/>
        <v>6</v>
      </c>
      <c r="BX184" s="4">
        <f t="shared" si="100"/>
        <v>0</v>
      </c>
      <c r="BY184" s="4">
        <f t="shared" si="101"/>
        <v>0</v>
      </c>
      <c r="BZ184" s="37">
        <f t="shared" si="102"/>
        <v>100</v>
      </c>
      <c r="CA184" s="32" t="e">
        <f>VLOOKUP(J:J,'Agent wise'!A:C,3,0)</f>
        <v>#N/A</v>
      </c>
      <c r="CB184" s="32">
        <f t="shared" si="103"/>
        <v>45934</v>
      </c>
      <c r="CC184" t="str">
        <f t="shared" si="104"/>
        <v>Excellent</v>
      </c>
      <c r="CE184" s="32"/>
      <c r="CJ184">
        <f t="shared" si="105"/>
        <v>4</v>
      </c>
      <c r="CK184">
        <f t="shared" si="106"/>
        <v>10</v>
      </c>
      <c r="CL184">
        <f t="shared" si="107"/>
        <v>2025</v>
      </c>
    </row>
    <row r="185" spans="1:90" ht="15" customHeight="1" x14ac:dyDescent="0.35">
      <c r="A185" s="40">
        <v>45757.64</v>
      </c>
      <c r="B185" t="s">
        <v>250</v>
      </c>
      <c r="C185" t="s">
        <v>214</v>
      </c>
      <c r="D185" t="s">
        <v>251</v>
      </c>
      <c r="E185" s="32">
        <v>45933</v>
      </c>
      <c r="F185" t="s">
        <v>90</v>
      </c>
      <c r="G185" s="2">
        <v>45726</v>
      </c>
      <c r="H185">
        <v>9489522941</v>
      </c>
      <c r="I185">
        <v>172</v>
      </c>
      <c r="J185" t="s">
        <v>91</v>
      </c>
      <c r="K185" t="s">
        <v>71</v>
      </c>
      <c r="L185" t="s">
        <v>72</v>
      </c>
      <c r="M185" t="s">
        <v>59</v>
      </c>
      <c r="N185" t="s">
        <v>59</v>
      </c>
      <c r="O185" t="s">
        <v>59</v>
      </c>
      <c r="P185" t="s">
        <v>59</v>
      </c>
      <c r="Q185" t="s">
        <v>59</v>
      </c>
      <c r="R185" t="s">
        <v>59</v>
      </c>
      <c r="S185" t="s">
        <v>59</v>
      </c>
      <c r="T185" t="s">
        <v>59</v>
      </c>
      <c r="U185" t="s">
        <v>60</v>
      </c>
      <c r="V185" t="s">
        <v>59</v>
      </c>
      <c r="W185" t="s">
        <v>59</v>
      </c>
      <c r="X185" t="s">
        <v>59</v>
      </c>
      <c r="Y185" t="s">
        <v>59</v>
      </c>
      <c r="Z185" t="s">
        <v>59</v>
      </c>
      <c r="AA185" t="s">
        <v>59</v>
      </c>
      <c r="AB185" t="s">
        <v>60</v>
      </c>
      <c r="AC185" t="s">
        <v>59</v>
      </c>
      <c r="AD185" t="s">
        <v>59</v>
      </c>
      <c r="AE185" t="s">
        <v>59</v>
      </c>
      <c r="AF185" t="s">
        <v>59</v>
      </c>
      <c r="AG185" t="s">
        <v>59</v>
      </c>
      <c r="AH185" t="s">
        <v>61</v>
      </c>
      <c r="AI185" t="s">
        <v>61</v>
      </c>
      <c r="AJ185" t="s">
        <v>59</v>
      </c>
      <c r="AK185" t="s">
        <v>59</v>
      </c>
      <c r="AL185" t="s">
        <v>60</v>
      </c>
      <c r="AM185" t="s">
        <v>59</v>
      </c>
      <c r="AN185" t="s">
        <v>59</v>
      </c>
      <c r="AO185" t="s">
        <v>59</v>
      </c>
      <c r="AP185" t="s">
        <v>627</v>
      </c>
      <c r="AQ185" t="s">
        <v>607</v>
      </c>
      <c r="AR185" t="s">
        <v>64</v>
      </c>
      <c r="AS185" t="s">
        <v>628</v>
      </c>
      <c r="AT185" t="s">
        <v>95</v>
      </c>
      <c r="AU185" t="s">
        <v>219</v>
      </c>
      <c r="AW185" s="4">
        <f t="shared" si="73"/>
        <v>6</v>
      </c>
      <c r="AX185" s="4">
        <f t="shared" si="74"/>
        <v>4</v>
      </c>
      <c r="AY185" s="4">
        <f t="shared" si="75"/>
        <v>4</v>
      </c>
      <c r="AZ185" s="4">
        <f t="shared" si="76"/>
        <v>2</v>
      </c>
      <c r="BA185" s="4">
        <f t="shared" si="77"/>
        <v>4</v>
      </c>
      <c r="BB185" s="4">
        <f t="shared" si="78"/>
        <v>4</v>
      </c>
      <c r="BC185" s="4">
        <f t="shared" si="79"/>
        <v>4</v>
      </c>
      <c r="BD185" s="4">
        <f t="shared" si="80"/>
        <v>2</v>
      </c>
      <c r="BE185" s="4" t="str">
        <f t="shared" si="81"/>
        <v>0</v>
      </c>
      <c r="BF185" s="4">
        <f t="shared" si="82"/>
        <v>2</v>
      </c>
      <c r="BG185" s="4">
        <f t="shared" si="83"/>
        <v>4</v>
      </c>
      <c r="BH185" s="4">
        <f t="shared" si="84"/>
        <v>4</v>
      </c>
      <c r="BI185" s="4">
        <f t="shared" si="85"/>
        <v>4</v>
      </c>
      <c r="BJ185" s="4">
        <f t="shared" si="86"/>
        <v>2</v>
      </c>
      <c r="BK185" s="4">
        <f t="shared" si="87"/>
        <v>4</v>
      </c>
      <c r="BL185" s="4" t="str">
        <f t="shared" si="88"/>
        <v>0</v>
      </c>
      <c r="BM185" s="4">
        <f t="shared" si="89"/>
        <v>4</v>
      </c>
      <c r="BN185" s="4">
        <f t="shared" si="90"/>
        <v>4</v>
      </c>
      <c r="BO185" s="4">
        <f t="shared" si="91"/>
        <v>4</v>
      </c>
      <c r="BP185" s="4">
        <f t="shared" si="92"/>
        <v>4</v>
      </c>
      <c r="BQ185" s="4">
        <f t="shared" si="93"/>
        <v>6</v>
      </c>
      <c r="BR185" s="4">
        <f t="shared" si="94"/>
        <v>4</v>
      </c>
      <c r="BS185" s="4">
        <f t="shared" si="95"/>
        <v>4</v>
      </c>
      <c r="BT185" s="4">
        <f t="shared" si="96"/>
        <v>4</v>
      </c>
      <c r="BU185" s="4">
        <f t="shared" si="97"/>
        <v>4</v>
      </c>
      <c r="BV185" s="4" t="str">
        <f t="shared" si="98"/>
        <v>0</v>
      </c>
      <c r="BW185" s="4">
        <f t="shared" si="99"/>
        <v>6</v>
      </c>
      <c r="BX185" s="4">
        <f t="shared" si="100"/>
        <v>0</v>
      </c>
      <c r="BY185" s="4">
        <f t="shared" si="101"/>
        <v>0</v>
      </c>
      <c r="BZ185" s="37">
        <f t="shared" si="102"/>
        <v>94</v>
      </c>
      <c r="CA185" s="32" t="str">
        <f>VLOOKUP(J:J,'Agent wise'!A:C,3,0)</f>
        <v>Saran S</v>
      </c>
      <c r="CB185" s="32">
        <f t="shared" si="103"/>
        <v>45933</v>
      </c>
      <c r="CC185" t="str">
        <f t="shared" si="104"/>
        <v>Good</v>
      </c>
      <c r="CE185" s="32"/>
      <c r="CJ185">
        <f t="shared" si="105"/>
        <v>3</v>
      </c>
      <c r="CK185">
        <f t="shared" si="106"/>
        <v>10</v>
      </c>
      <c r="CL185">
        <f t="shared" si="107"/>
        <v>2025</v>
      </c>
    </row>
    <row r="186" spans="1:90" ht="15" customHeight="1" x14ac:dyDescent="0.35">
      <c r="A186" s="40">
        <v>45757.650787037041</v>
      </c>
      <c r="B186" t="s">
        <v>250</v>
      </c>
      <c r="C186" t="s">
        <v>214</v>
      </c>
      <c r="D186" t="s">
        <v>251</v>
      </c>
      <c r="E186" s="32">
        <v>45934</v>
      </c>
      <c r="F186" t="s">
        <v>90</v>
      </c>
      <c r="G186" s="2">
        <v>45726</v>
      </c>
      <c r="H186">
        <v>9445111353</v>
      </c>
      <c r="I186">
        <v>228</v>
      </c>
      <c r="J186" t="s">
        <v>208</v>
      </c>
      <c r="K186" t="s">
        <v>71</v>
      </c>
      <c r="L186" t="s">
        <v>72</v>
      </c>
      <c r="M186" t="s">
        <v>59</v>
      </c>
      <c r="N186" t="s">
        <v>59</v>
      </c>
      <c r="O186" t="s">
        <v>59</v>
      </c>
      <c r="P186" t="s">
        <v>59</v>
      </c>
      <c r="Q186" t="s">
        <v>59</v>
      </c>
      <c r="R186" t="s">
        <v>59</v>
      </c>
      <c r="S186" t="s">
        <v>59</v>
      </c>
      <c r="T186" t="s">
        <v>59</v>
      </c>
      <c r="U186" t="s">
        <v>59</v>
      </c>
      <c r="V186" t="s">
        <v>59</v>
      </c>
      <c r="W186" t="s">
        <v>59</v>
      </c>
      <c r="X186" t="s">
        <v>59</v>
      </c>
      <c r="Y186" t="s">
        <v>59</v>
      </c>
      <c r="Z186" t="s">
        <v>59</v>
      </c>
      <c r="AA186" t="s">
        <v>59</v>
      </c>
      <c r="AB186" t="s">
        <v>59</v>
      </c>
      <c r="AC186" t="s">
        <v>59</v>
      </c>
      <c r="AD186" t="s">
        <v>59</v>
      </c>
      <c r="AE186" t="s">
        <v>59</v>
      </c>
      <c r="AF186" t="s">
        <v>59</v>
      </c>
      <c r="AG186" t="s">
        <v>59</v>
      </c>
      <c r="AH186" t="s">
        <v>61</v>
      </c>
      <c r="AI186" t="s">
        <v>61</v>
      </c>
      <c r="AJ186" t="s">
        <v>59</v>
      </c>
      <c r="AK186" t="s">
        <v>59</v>
      </c>
      <c r="AL186" t="s">
        <v>59</v>
      </c>
      <c r="AM186" t="s">
        <v>59</v>
      </c>
      <c r="AN186" t="s">
        <v>59</v>
      </c>
      <c r="AO186" t="s">
        <v>59</v>
      </c>
      <c r="AP186" t="s">
        <v>629</v>
      </c>
      <c r="AQ186" t="s">
        <v>630</v>
      </c>
      <c r="AR186" t="s">
        <v>64</v>
      </c>
      <c r="AS186" t="s">
        <v>602</v>
      </c>
      <c r="AT186" t="s">
        <v>631</v>
      </c>
      <c r="AU186" t="s">
        <v>219</v>
      </c>
      <c r="AW186" s="4">
        <f t="shared" si="73"/>
        <v>6</v>
      </c>
      <c r="AX186" s="4">
        <f t="shared" si="74"/>
        <v>4</v>
      </c>
      <c r="AY186" s="4">
        <f t="shared" si="75"/>
        <v>4</v>
      </c>
      <c r="AZ186" s="4">
        <f t="shared" si="76"/>
        <v>2</v>
      </c>
      <c r="BA186" s="4">
        <f t="shared" si="77"/>
        <v>4</v>
      </c>
      <c r="BB186" s="4">
        <f t="shared" si="78"/>
        <v>4</v>
      </c>
      <c r="BC186" s="4">
        <f t="shared" si="79"/>
        <v>4</v>
      </c>
      <c r="BD186" s="4">
        <f t="shared" si="80"/>
        <v>2</v>
      </c>
      <c r="BE186" s="4">
        <f t="shared" si="81"/>
        <v>4</v>
      </c>
      <c r="BF186" s="4">
        <f t="shared" si="82"/>
        <v>2</v>
      </c>
      <c r="BG186" s="4">
        <f t="shared" si="83"/>
        <v>4</v>
      </c>
      <c r="BH186" s="4">
        <f t="shared" si="84"/>
        <v>4</v>
      </c>
      <c r="BI186" s="4">
        <f t="shared" si="85"/>
        <v>4</v>
      </c>
      <c r="BJ186" s="4">
        <f t="shared" si="86"/>
        <v>2</v>
      </c>
      <c r="BK186" s="4">
        <f t="shared" si="87"/>
        <v>4</v>
      </c>
      <c r="BL186" s="4">
        <f t="shared" si="88"/>
        <v>2</v>
      </c>
      <c r="BM186" s="4">
        <f t="shared" si="89"/>
        <v>4</v>
      </c>
      <c r="BN186" s="4">
        <f t="shared" si="90"/>
        <v>4</v>
      </c>
      <c r="BO186" s="4">
        <f t="shared" si="91"/>
        <v>4</v>
      </c>
      <c r="BP186" s="4">
        <f t="shared" si="92"/>
        <v>4</v>
      </c>
      <c r="BQ186" s="4">
        <f t="shared" si="93"/>
        <v>6</v>
      </c>
      <c r="BR186" s="4">
        <f t="shared" si="94"/>
        <v>4</v>
      </c>
      <c r="BS186" s="4">
        <f t="shared" si="95"/>
        <v>4</v>
      </c>
      <c r="BT186" s="4">
        <f t="shared" si="96"/>
        <v>4</v>
      </c>
      <c r="BU186" s="4">
        <f t="shared" si="97"/>
        <v>4</v>
      </c>
      <c r="BV186" s="4">
        <f t="shared" si="98"/>
        <v>0</v>
      </c>
      <c r="BW186" s="4">
        <f t="shared" si="99"/>
        <v>6</v>
      </c>
      <c r="BX186" s="4">
        <f t="shared" si="100"/>
        <v>0</v>
      </c>
      <c r="BY186" s="4">
        <f t="shared" si="101"/>
        <v>0</v>
      </c>
      <c r="BZ186" s="37">
        <f t="shared" si="102"/>
        <v>100</v>
      </c>
      <c r="CA186" s="32" t="str">
        <f>VLOOKUP(J:J,'Agent wise'!A:C,3,0)</f>
        <v>Adharsh</v>
      </c>
      <c r="CB186" s="32">
        <f t="shared" si="103"/>
        <v>45934</v>
      </c>
      <c r="CC186" t="str">
        <f t="shared" si="104"/>
        <v>Excellent</v>
      </c>
      <c r="CE186" s="32"/>
      <c r="CJ186">
        <f t="shared" si="105"/>
        <v>4</v>
      </c>
      <c r="CK186">
        <f t="shared" si="106"/>
        <v>10</v>
      </c>
      <c r="CL186">
        <f t="shared" si="107"/>
        <v>2025</v>
      </c>
    </row>
    <row r="187" spans="1:90" ht="15" customHeight="1" x14ac:dyDescent="0.35">
      <c r="A187" s="40">
        <v>45757.652199074073</v>
      </c>
      <c r="B187" t="s">
        <v>250</v>
      </c>
      <c r="C187" t="s">
        <v>214</v>
      </c>
      <c r="D187" t="s">
        <v>251</v>
      </c>
      <c r="E187" s="32">
        <v>45934</v>
      </c>
      <c r="F187" t="s">
        <v>90</v>
      </c>
      <c r="G187" s="2">
        <v>45726</v>
      </c>
      <c r="H187">
        <v>9488577729</v>
      </c>
      <c r="I187">
        <v>194</v>
      </c>
      <c r="J187" t="s">
        <v>472</v>
      </c>
      <c r="K187" t="s">
        <v>71</v>
      </c>
      <c r="L187" t="s">
        <v>72</v>
      </c>
      <c r="M187" t="s">
        <v>59</v>
      </c>
      <c r="N187" t="s">
        <v>59</v>
      </c>
      <c r="O187" t="s">
        <v>59</v>
      </c>
      <c r="P187" t="s">
        <v>59</v>
      </c>
      <c r="Q187" t="s">
        <v>59</v>
      </c>
      <c r="R187" t="s">
        <v>59</v>
      </c>
      <c r="S187" t="s">
        <v>59</v>
      </c>
      <c r="T187" t="s">
        <v>59</v>
      </c>
      <c r="U187" t="s">
        <v>60</v>
      </c>
      <c r="V187" t="s">
        <v>59</v>
      </c>
      <c r="W187" t="s">
        <v>59</v>
      </c>
      <c r="X187" t="s">
        <v>59</v>
      </c>
      <c r="Y187" t="s">
        <v>59</v>
      </c>
      <c r="Z187" t="s">
        <v>59</v>
      </c>
      <c r="AA187" t="s">
        <v>59</v>
      </c>
      <c r="AB187" t="s">
        <v>59</v>
      </c>
      <c r="AC187" t="s">
        <v>59</v>
      </c>
      <c r="AD187" t="s">
        <v>59</v>
      </c>
      <c r="AE187" t="s">
        <v>59</v>
      </c>
      <c r="AF187" t="s">
        <v>59</v>
      </c>
      <c r="AG187" t="s">
        <v>59</v>
      </c>
      <c r="AH187" t="s">
        <v>59</v>
      </c>
      <c r="AI187" t="s">
        <v>59</v>
      </c>
      <c r="AJ187" t="s">
        <v>59</v>
      </c>
      <c r="AK187" t="s">
        <v>59</v>
      </c>
      <c r="AL187" t="s">
        <v>59</v>
      </c>
      <c r="AM187" t="s">
        <v>59</v>
      </c>
      <c r="AN187" t="s">
        <v>59</v>
      </c>
      <c r="AO187" t="s">
        <v>59</v>
      </c>
      <c r="AP187" t="s">
        <v>629</v>
      </c>
      <c r="AQ187" t="s">
        <v>632</v>
      </c>
      <c r="AR187" t="s">
        <v>64</v>
      </c>
      <c r="AS187" t="s">
        <v>618</v>
      </c>
      <c r="AT187" t="s">
        <v>633</v>
      </c>
      <c r="AU187" t="s">
        <v>219</v>
      </c>
      <c r="AW187" s="4">
        <f t="shared" si="73"/>
        <v>6</v>
      </c>
      <c r="AX187" s="4">
        <f t="shared" si="74"/>
        <v>4</v>
      </c>
      <c r="AY187" s="4">
        <f t="shared" si="75"/>
        <v>4</v>
      </c>
      <c r="AZ187" s="4">
        <f t="shared" si="76"/>
        <v>2</v>
      </c>
      <c r="BA187" s="4">
        <f t="shared" si="77"/>
        <v>4</v>
      </c>
      <c r="BB187" s="4">
        <f t="shared" si="78"/>
        <v>4</v>
      </c>
      <c r="BC187" s="4">
        <f t="shared" si="79"/>
        <v>4</v>
      </c>
      <c r="BD187" s="4">
        <f t="shared" si="80"/>
        <v>2</v>
      </c>
      <c r="BE187" s="4" t="str">
        <f t="shared" si="81"/>
        <v>0</v>
      </c>
      <c r="BF187" s="4">
        <f t="shared" si="82"/>
        <v>2</v>
      </c>
      <c r="BG187" s="4">
        <f t="shared" si="83"/>
        <v>4</v>
      </c>
      <c r="BH187" s="4">
        <f t="shared" si="84"/>
        <v>4</v>
      </c>
      <c r="BI187" s="4">
        <f t="shared" si="85"/>
        <v>4</v>
      </c>
      <c r="BJ187" s="4">
        <f t="shared" si="86"/>
        <v>2</v>
      </c>
      <c r="BK187" s="4">
        <f t="shared" si="87"/>
        <v>4</v>
      </c>
      <c r="BL187" s="4">
        <f t="shared" si="88"/>
        <v>2</v>
      </c>
      <c r="BM187" s="4">
        <f t="shared" si="89"/>
        <v>4</v>
      </c>
      <c r="BN187" s="4">
        <f t="shared" si="90"/>
        <v>4</v>
      </c>
      <c r="BO187" s="4">
        <f t="shared" si="91"/>
        <v>4</v>
      </c>
      <c r="BP187" s="4">
        <f t="shared" si="92"/>
        <v>4</v>
      </c>
      <c r="BQ187" s="4">
        <f t="shared" si="93"/>
        <v>6</v>
      </c>
      <c r="BR187" s="4">
        <f t="shared" si="94"/>
        <v>4</v>
      </c>
      <c r="BS187" s="4">
        <f t="shared" si="95"/>
        <v>4</v>
      </c>
      <c r="BT187" s="4">
        <f t="shared" si="96"/>
        <v>4</v>
      </c>
      <c r="BU187" s="4">
        <f t="shared" si="97"/>
        <v>4</v>
      </c>
      <c r="BV187" s="4">
        <f t="shared" si="98"/>
        <v>0</v>
      </c>
      <c r="BW187" s="4">
        <f t="shared" si="99"/>
        <v>6</v>
      </c>
      <c r="BX187" s="4">
        <f t="shared" si="100"/>
        <v>0</v>
      </c>
      <c r="BY187" s="4">
        <f t="shared" si="101"/>
        <v>0</v>
      </c>
      <c r="BZ187" s="37">
        <f t="shared" si="102"/>
        <v>96</v>
      </c>
      <c r="CA187" s="32" t="str">
        <f>VLOOKUP(J:J,'Agent wise'!A:C,3,0)</f>
        <v>Saran S</v>
      </c>
      <c r="CB187" s="32">
        <f t="shared" si="103"/>
        <v>45934</v>
      </c>
      <c r="CC187" t="str">
        <f t="shared" si="104"/>
        <v>Excellent</v>
      </c>
      <c r="CE187" s="32"/>
      <c r="CJ187">
        <f t="shared" si="105"/>
        <v>4</v>
      </c>
      <c r="CK187">
        <f t="shared" si="106"/>
        <v>10</v>
      </c>
      <c r="CL187">
        <f t="shared" si="107"/>
        <v>2025</v>
      </c>
    </row>
    <row r="188" spans="1:90" ht="15" customHeight="1" x14ac:dyDescent="0.35">
      <c r="A188" s="40">
        <v>45757.655057870368</v>
      </c>
      <c r="B188" t="s">
        <v>250</v>
      </c>
      <c r="C188" t="s">
        <v>214</v>
      </c>
      <c r="D188" t="s">
        <v>251</v>
      </c>
      <c r="E188" s="32">
        <v>45934</v>
      </c>
      <c r="F188" t="s">
        <v>90</v>
      </c>
      <c r="G188" s="2">
        <v>45726</v>
      </c>
      <c r="H188">
        <v>9385976752</v>
      </c>
      <c r="I188">
        <v>310</v>
      </c>
      <c r="J188" t="s">
        <v>533</v>
      </c>
      <c r="K188" t="s">
        <v>71</v>
      </c>
      <c r="L188" t="s">
        <v>72</v>
      </c>
      <c r="M188" t="s">
        <v>59</v>
      </c>
      <c r="N188" t="s">
        <v>59</v>
      </c>
      <c r="O188" t="s">
        <v>59</v>
      </c>
      <c r="P188" t="s">
        <v>59</v>
      </c>
      <c r="Q188" t="s">
        <v>59</v>
      </c>
      <c r="R188" t="s">
        <v>59</v>
      </c>
      <c r="S188" t="s">
        <v>59</v>
      </c>
      <c r="T188" t="s">
        <v>59</v>
      </c>
      <c r="U188" t="s">
        <v>60</v>
      </c>
      <c r="V188" t="s">
        <v>59</v>
      </c>
      <c r="W188" t="s">
        <v>59</v>
      </c>
      <c r="X188" t="s">
        <v>59</v>
      </c>
      <c r="Y188" t="s">
        <v>59</v>
      </c>
      <c r="Z188" t="s">
        <v>60</v>
      </c>
      <c r="AA188" t="s">
        <v>59</v>
      </c>
      <c r="AB188" t="s">
        <v>59</v>
      </c>
      <c r="AC188" t="s">
        <v>59</v>
      </c>
      <c r="AD188" t="s">
        <v>59</v>
      </c>
      <c r="AE188" t="s">
        <v>59</v>
      </c>
      <c r="AF188" t="s">
        <v>59</v>
      </c>
      <c r="AG188" t="s">
        <v>59</v>
      </c>
      <c r="AH188" t="s">
        <v>61</v>
      </c>
      <c r="AI188" t="s">
        <v>61</v>
      </c>
      <c r="AJ188" t="s">
        <v>59</v>
      </c>
      <c r="AK188" t="s">
        <v>59</v>
      </c>
      <c r="AL188" t="s">
        <v>59</v>
      </c>
      <c r="AM188" t="s">
        <v>59</v>
      </c>
      <c r="AN188" t="s">
        <v>59</v>
      </c>
      <c r="AO188" t="s">
        <v>59</v>
      </c>
      <c r="AP188" t="s">
        <v>634</v>
      </c>
      <c r="AQ188" t="s">
        <v>635</v>
      </c>
      <c r="AR188" t="s">
        <v>64</v>
      </c>
      <c r="AS188" t="s">
        <v>602</v>
      </c>
      <c r="AT188" t="s">
        <v>631</v>
      </c>
      <c r="AU188" t="s">
        <v>219</v>
      </c>
      <c r="AW188" s="4">
        <f t="shared" si="73"/>
        <v>6</v>
      </c>
      <c r="AX188" s="4">
        <f t="shared" si="74"/>
        <v>4</v>
      </c>
      <c r="AY188" s="4">
        <f t="shared" si="75"/>
        <v>4</v>
      </c>
      <c r="AZ188" s="4">
        <f t="shared" si="76"/>
        <v>2</v>
      </c>
      <c r="BA188" s="4">
        <f t="shared" si="77"/>
        <v>4</v>
      </c>
      <c r="BB188" s="4">
        <f t="shared" si="78"/>
        <v>4</v>
      </c>
      <c r="BC188" s="4">
        <f t="shared" si="79"/>
        <v>4</v>
      </c>
      <c r="BD188" s="4">
        <f t="shared" si="80"/>
        <v>2</v>
      </c>
      <c r="BE188" s="4" t="str">
        <f t="shared" si="81"/>
        <v>0</v>
      </c>
      <c r="BF188" s="4">
        <f t="shared" si="82"/>
        <v>2</v>
      </c>
      <c r="BG188" s="4">
        <f t="shared" si="83"/>
        <v>4</v>
      </c>
      <c r="BH188" s="4">
        <f t="shared" si="84"/>
        <v>4</v>
      </c>
      <c r="BI188" s="4">
        <f t="shared" si="85"/>
        <v>4</v>
      </c>
      <c r="BJ188" s="4" t="str">
        <f t="shared" si="86"/>
        <v>0</v>
      </c>
      <c r="BK188" s="4">
        <f t="shared" si="87"/>
        <v>4</v>
      </c>
      <c r="BL188" s="4">
        <f t="shared" si="88"/>
        <v>2</v>
      </c>
      <c r="BM188" s="4">
        <f t="shared" si="89"/>
        <v>4</v>
      </c>
      <c r="BN188" s="4">
        <f t="shared" si="90"/>
        <v>4</v>
      </c>
      <c r="BO188" s="4">
        <f t="shared" si="91"/>
        <v>4</v>
      </c>
      <c r="BP188" s="4">
        <f t="shared" si="92"/>
        <v>4</v>
      </c>
      <c r="BQ188" s="4">
        <f t="shared" si="93"/>
        <v>6</v>
      </c>
      <c r="BR188" s="4">
        <f t="shared" si="94"/>
        <v>4</v>
      </c>
      <c r="BS188" s="4">
        <f t="shared" si="95"/>
        <v>4</v>
      </c>
      <c r="BT188" s="4">
        <f t="shared" si="96"/>
        <v>4</v>
      </c>
      <c r="BU188" s="4">
        <f t="shared" si="97"/>
        <v>4</v>
      </c>
      <c r="BV188" s="4">
        <f t="shared" si="98"/>
        <v>0</v>
      </c>
      <c r="BW188" s="4">
        <f t="shared" si="99"/>
        <v>6</v>
      </c>
      <c r="BX188" s="4">
        <f t="shared" si="100"/>
        <v>0</v>
      </c>
      <c r="BY188" s="4">
        <f t="shared" si="101"/>
        <v>0</v>
      </c>
      <c r="BZ188" s="37">
        <f t="shared" si="102"/>
        <v>94</v>
      </c>
      <c r="CA188" s="32" t="str">
        <f>VLOOKUP(J:J,'Agent wise'!A:C,3,0)</f>
        <v xml:space="preserve">Shiny </v>
      </c>
      <c r="CB188" s="32">
        <f t="shared" si="103"/>
        <v>45934</v>
      </c>
      <c r="CC188" t="str">
        <f t="shared" si="104"/>
        <v>Good</v>
      </c>
      <c r="CE188" s="32"/>
      <c r="CJ188">
        <f t="shared" si="105"/>
        <v>4</v>
      </c>
      <c r="CK188">
        <f t="shared" si="106"/>
        <v>10</v>
      </c>
      <c r="CL188">
        <f t="shared" si="107"/>
        <v>2025</v>
      </c>
    </row>
    <row r="189" spans="1:90" ht="15" customHeight="1" x14ac:dyDescent="0.35">
      <c r="A189" s="40">
        <v>45757.707673611112</v>
      </c>
      <c r="B189" t="s">
        <v>250</v>
      </c>
      <c r="C189" t="s">
        <v>214</v>
      </c>
      <c r="D189" t="s">
        <v>251</v>
      </c>
      <c r="E189" s="32">
        <v>45934</v>
      </c>
      <c r="F189" t="s">
        <v>54</v>
      </c>
      <c r="G189" s="2">
        <v>45726</v>
      </c>
      <c r="H189">
        <v>9847586660</v>
      </c>
      <c r="I189">
        <v>161</v>
      </c>
      <c r="J189" t="s">
        <v>636</v>
      </c>
      <c r="K189" t="s">
        <v>57</v>
      </c>
      <c r="L189" t="s">
        <v>58</v>
      </c>
      <c r="M189" t="s">
        <v>59</v>
      </c>
      <c r="N189" t="s">
        <v>59</v>
      </c>
      <c r="O189" t="s">
        <v>59</v>
      </c>
      <c r="P189" t="s">
        <v>59</v>
      </c>
      <c r="Q189" t="s">
        <v>59</v>
      </c>
      <c r="R189" t="s">
        <v>59</v>
      </c>
      <c r="S189" t="s">
        <v>59</v>
      </c>
      <c r="T189" t="s">
        <v>59</v>
      </c>
      <c r="U189" t="s">
        <v>60</v>
      </c>
      <c r="V189" t="s">
        <v>59</v>
      </c>
      <c r="W189" t="s">
        <v>59</v>
      </c>
      <c r="X189" t="s">
        <v>59</v>
      </c>
      <c r="Y189" t="s">
        <v>59</v>
      </c>
      <c r="Z189" t="s">
        <v>59</v>
      </c>
      <c r="AA189" t="s">
        <v>59</v>
      </c>
      <c r="AB189" t="s">
        <v>59</v>
      </c>
      <c r="AC189" t="s">
        <v>59</v>
      </c>
      <c r="AD189" t="s">
        <v>59</v>
      </c>
      <c r="AE189" t="s">
        <v>59</v>
      </c>
      <c r="AF189" t="s">
        <v>59</v>
      </c>
      <c r="AG189" t="s">
        <v>59</v>
      </c>
      <c r="AH189" t="s">
        <v>61</v>
      </c>
      <c r="AI189" t="s">
        <v>61</v>
      </c>
      <c r="AJ189" t="s">
        <v>59</v>
      </c>
      <c r="AK189" t="s">
        <v>59</v>
      </c>
      <c r="AL189" t="s">
        <v>60</v>
      </c>
      <c r="AM189" t="s">
        <v>59</v>
      </c>
      <c r="AN189" t="s">
        <v>59</v>
      </c>
      <c r="AO189" t="s">
        <v>59</v>
      </c>
      <c r="AP189" t="s">
        <v>150</v>
      </c>
      <c r="AQ189" t="s">
        <v>637</v>
      </c>
      <c r="AR189" t="s">
        <v>64</v>
      </c>
      <c r="AS189" t="s">
        <v>111</v>
      </c>
      <c r="AT189" t="s">
        <v>112</v>
      </c>
      <c r="AU189" t="s">
        <v>219</v>
      </c>
      <c r="AW189" s="4">
        <f t="shared" si="73"/>
        <v>6</v>
      </c>
      <c r="AX189" s="4">
        <f t="shared" si="74"/>
        <v>4</v>
      </c>
      <c r="AY189" s="4">
        <f t="shared" si="75"/>
        <v>4</v>
      </c>
      <c r="AZ189" s="4">
        <f t="shared" si="76"/>
        <v>2</v>
      </c>
      <c r="BA189" s="4">
        <f t="shared" si="77"/>
        <v>4</v>
      </c>
      <c r="BB189" s="4">
        <f t="shared" si="78"/>
        <v>4</v>
      </c>
      <c r="BC189" s="4">
        <f t="shared" si="79"/>
        <v>4</v>
      </c>
      <c r="BD189" s="4">
        <f t="shared" si="80"/>
        <v>2</v>
      </c>
      <c r="BE189" s="4" t="str">
        <f t="shared" si="81"/>
        <v>0</v>
      </c>
      <c r="BF189" s="4">
        <f t="shared" si="82"/>
        <v>2</v>
      </c>
      <c r="BG189" s="4">
        <f t="shared" si="83"/>
        <v>4</v>
      </c>
      <c r="BH189" s="4">
        <f t="shared" si="84"/>
        <v>4</v>
      </c>
      <c r="BI189" s="4">
        <f t="shared" si="85"/>
        <v>4</v>
      </c>
      <c r="BJ189" s="4">
        <f t="shared" si="86"/>
        <v>2</v>
      </c>
      <c r="BK189" s="4">
        <f t="shared" si="87"/>
        <v>4</v>
      </c>
      <c r="BL189" s="4">
        <f t="shared" si="88"/>
        <v>2</v>
      </c>
      <c r="BM189" s="4">
        <f t="shared" si="89"/>
        <v>4</v>
      </c>
      <c r="BN189" s="4">
        <f t="shared" si="90"/>
        <v>4</v>
      </c>
      <c r="BO189" s="4">
        <f t="shared" si="91"/>
        <v>4</v>
      </c>
      <c r="BP189" s="4">
        <f t="shared" si="92"/>
        <v>4</v>
      </c>
      <c r="BQ189" s="4">
        <f t="shared" si="93"/>
        <v>6</v>
      </c>
      <c r="BR189" s="4">
        <f t="shared" si="94"/>
        <v>4</v>
      </c>
      <c r="BS189" s="4">
        <f t="shared" si="95"/>
        <v>4</v>
      </c>
      <c r="BT189" s="4">
        <f t="shared" si="96"/>
        <v>4</v>
      </c>
      <c r="BU189" s="4">
        <f t="shared" si="97"/>
        <v>4</v>
      </c>
      <c r="BV189" s="4" t="str">
        <f t="shared" si="98"/>
        <v>0</v>
      </c>
      <c r="BW189" s="4">
        <f t="shared" si="99"/>
        <v>6</v>
      </c>
      <c r="BX189" s="4">
        <f t="shared" si="100"/>
        <v>0</v>
      </c>
      <c r="BY189" s="4">
        <f t="shared" si="101"/>
        <v>0</v>
      </c>
      <c r="BZ189" s="37">
        <f t="shared" si="102"/>
        <v>96</v>
      </c>
      <c r="CA189" s="32" t="str">
        <f>VLOOKUP(J:J,'Agent wise'!A:C,3,0)</f>
        <v>Shakeer</v>
      </c>
      <c r="CB189" s="32">
        <f t="shared" si="103"/>
        <v>45934</v>
      </c>
      <c r="CC189" t="str">
        <f t="shared" si="104"/>
        <v>Excellent</v>
      </c>
      <c r="CE189" s="32"/>
      <c r="CJ189">
        <f t="shared" si="105"/>
        <v>4</v>
      </c>
      <c r="CK189">
        <f t="shared" si="106"/>
        <v>10</v>
      </c>
      <c r="CL189">
        <f t="shared" si="107"/>
        <v>2025</v>
      </c>
    </row>
    <row r="190" spans="1:90" ht="15" customHeight="1" x14ac:dyDescent="0.35">
      <c r="A190" s="40">
        <v>45757.712673611109</v>
      </c>
      <c r="B190" t="s">
        <v>250</v>
      </c>
      <c r="C190" t="s">
        <v>214</v>
      </c>
      <c r="D190" t="s">
        <v>251</v>
      </c>
      <c r="E190" s="32">
        <v>45934</v>
      </c>
      <c r="F190" t="s">
        <v>54</v>
      </c>
      <c r="G190" s="2">
        <v>45726</v>
      </c>
      <c r="H190">
        <v>8547195571</v>
      </c>
      <c r="I190">
        <v>176</v>
      </c>
      <c r="J190" t="s">
        <v>638</v>
      </c>
      <c r="K190" t="s">
        <v>57</v>
      </c>
      <c r="L190" t="s">
        <v>58</v>
      </c>
      <c r="M190" t="s">
        <v>59</v>
      </c>
      <c r="N190" t="s">
        <v>59</v>
      </c>
      <c r="O190" t="s">
        <v>59</v>
      </c>
      <c r="P190" t="s">
        <v>59</v>
      </c>
      <c r="Q190" t="s">
        <v>59</v>
      </c>
      <c r="R190" t="s">
        <v>59</v>
      </c>
      <c r="S190" t="s">
        <v>59</v>
      </c>
      <c r="T190" t="s">
        <v>59</v>
      </c>
      <c r="U190" t="s">
        <v>60</v>
      </c>
      <c r="V190" t="s">
        <v>59</v>
      </c>
      <c r="W190" t="s">
        <v>59</v>
      </c>
      <c r="X190" t="s">
        <v>59</v>
      </c>
      <c r="Y190" t="s">
        <v>59</v>
      </c>
      <c r="Z190" t="s">
        <v>59</v>
      </c>
      <c r="AA190" t="s">
        <v>59</v>
      </c>
      <c r="AB190" t="s">
        <v>60</v>
      </c>
      <c r="AC190" t="s">
        <v>59</v>
      </c>
      <c r="AD190" t="s">
        <v>59</v>
      </c>
      <c r="AE190" t="s">
        <v>59</v>
      </c>
      <c r="AF190" t="s">
        <v>59</v>
      </c>
      <c r="AG190" t="s">
        <v>59</v>
      </c>
      <c r="AH190" t="s">
        <v>61</v>
      </c>
      <c r="AI190" t="s">
        <v>61</v>
      </c>
      <c r="AJ190" t="s">
        <v>59</v>
      </c>
      <c r="AK190" t="s">
        <v>59</v>
      </c>
      <c r="AL190" t="s">
        <v>60</v>
      </c>
      <c r="AM190" t="s">
        <v>59</v>
      </c>
      <c r="AN190" t="s">
        <v>59</v>
      </c>
      <c r="AO190" t="s">
        <v>59</v>
      </c>
      <c r="AP190" t="s">
        <v>314</v>
      </c>
      <c r="AQ190" t="s">
        <v>639</v>
      </c>
      <c r="AR190" t="s">
        <v>64</v>
      </c>
      <c r="AS190" t="s">
        <v>65</v>
      </c>
      <c r="AT190" t="s">
        <v>123</v>
      </c>
      <c r="AU190" t="s">
        <v>219</v>
      </c>
      <c r="AW190" s="4">
        <f t="shared" si="73"/>
        <v>6</v>
      </c>
      <c r="AX190" s="4">
        <f t="shared" si="74"/>
        <v>4</v>
      </c>
      <c r="AY190" s="4">
        <f t="shared" si="75"/>
        <v>4</v>
      </c>
      <c r="AZ190" s="4">
        <f t="shared" si="76"/>
        <v>2</v>
      </c>
      <c r="BA190" s="4">
        <f t="shared" si="77"/>
        <v>4</v>
      </c>
      <c r="BB190" s="4">
        <f t="shared" si="78"/>
        <v>4</v>
      </c>
      <c r="BC190" s="4">
        <f t="shared" si="79"/>
        <v>4</v>
      </c>
      <c r="BD190" s="4">
        <f t="shared" si="80"/>
        <v>2</v>
      </c>
      <c r="BE190" s="4" t="str">
        <f t="shared" si="81"/>
        <v>0</v>
      </c>
      <c r="BF190" s="4">
        <f t="shared" si="82"/>
        <v>2</v>
      </c>
      <c r="BG190" s="4">
        <f t="shared" si="83"/>
        <v>4</v>
      </c>
      <c r="BH190" s="4">
        <f t="shared" si="84"/>
        <v>4</v>
      </c>
      <c r="BI190" s="4">
        <f t="shared" si="85"/>
        <v>4</v>
      </c>
      <c r="BJ190" s="4">
        <f t="shared" si="86"/>
        <v>2</v>
      </c>
      <c r="BK190" s="4">
        <f t="shared" si="87"/>
        <v>4</v>
      </c>
      <c r="BL190" s="4" t="str">
        <f t="shared" si="88"/>
        <v>0</v>
      </c>
      <c r="BM190" s="4">
        <f t="shared" si="89"/>
        <v>4</v>
      </c>
      <c r="BN190" s="4">
        <f t="shared" si="90"/>
        <v>4</v>
      </c>
      <c r="BO190" s="4">
        <f t="shared" si="91"/>
        <v>4</v>
      </c>
      <c r="BP190" s="4">
        <f t="shared" si="92"/>
        <v>4</v>
      </c>
      <c r="BQ190" s="4">
        <f t="shared" si="93"/>
        <v>6</v>
      </c>
      <c r="BR190" s="4">
        <f t="shared" si="94"/>
        <v>4</v>
      </c>
      <c r="BS190" s="4">
        <f t="shared" si="95"/>
        <v>4</v>
      </c>
      <c r="BT190" s="4">
        <f t="shared" si="96"/>
        <v>4</v>
      </c>
      <c r="BU190" s="4">
        <f t="shared" si="97"/>
        <v>4</v>
      </c>
      <c r="BV190" s="4" t="str">
        <f t="shared" si="98"/>
        <v>0</v>
      </c>
      <c r="BW190" s="4">
        <f t="shared" si="99"/>
        <v>6</v>
      </c>
      <c r="BX190" s="4">
        <f t="shared" si="100"/>
        <v>0</v>
      </c>
      <c r="BY190" s="4">
        <f t="shared" si="101"/>
        <v>0</v>
      </c>
      <c r="BZ190" s="37">
        <f t="shared" si="102"/>
        <v>94</v>
      </c>
      <c r="CA190" s="32" t="str">
        <f>VLOOKUP(J:J,'Agent wise'!A:C,3,0)</f>
        <v>Adharsh</v>
      </c>
      <c r="CB190" s="32">
        <f t="shared" si="103"/>
        <v>45934</v>
      </c>
      <c r="CC190" t="str">
        <f t="shared" si="104"/>
        <v>Good</v>
      </c>
      <c r="CE190" s="32"/>
      <c r="CJ190">
        <f t="shared" si="105"/>
        <v>4</v>
      </c>
      <c r="CK190">
        <f t="shared" si="106"/>
        <v>10</v>
      </c>
      <c r="CL190">
        <f t="shared" si="107"/>
        <v>2025</v>
      </c>
    </row>
    <row r="191" spans="1:90" ht="15" customHeight="1" x14ac:dyDescent="0.35">
      <c r="A191" s="40">
        <v>45757.716817129629</v>
      </c>
      <c r="B191" t="s">
        <v>250</v>
      </c>
      <c r="C191" t="s">
        <v>214</v>
      </c>
      <c r="D191" t="s">
        <v>251</v>
      </c>
      <c r="E191" s="32">
        <v>45934</v>
      </c>
      <c r="F191" t="s">
        <v>54</v>
      </c>
      <c r="G191" s="2">
        <v>45726</v>
      </c>
      <c r="H191">
        <v>9645547141</v>
      </c>
      <c r="I191">
        <v>175</v>
      </c>
      <c r="J191" t="s">
        <v>640</v>
      </c>
      <c r="K191" t="s">
        <v>57</v>
      </c>
      <c r="L191" t="s">
        <v>58</v>
      </c>
      <c r="M191" t="s">
        <v>59</v>
      </c>
      <c r="N191" t="s">
        <v>59</v>
      </c>
      <c r="O191" t="s">
        <v>59</v>
      </c>
      <c r="P191" t="s">
        <v>59</v>
      </c>
      <c r="Q191" t="s">
        <v>59</v>
      </c>
      <c r="R191" t="s">
        <v>59</v>
      </c>
      <c r="S191" t="s">
        <v>59</v>
      </c>
      <c r="T191" t="s">
        <v>59</v>
      </c>
      <c r="U191" t="s">
        <v>60</v>
      </c>
      <c r="V191" t="s">
        <v>59</v>
      </c>
      <c r="W191" t="s">
        <v>59</v>
      </c>
      <c r="X191" t="s">
        <v>59</v>
      </c>
      <c r="Y191" t="s">
        <v>59</v>
      </c>
      <c r="Z191" t="s">
        <v>59</v>
      </c>
      <c r="AA191" t="s">
        <v>59</v>
      </c>
      <c r="AB191" t="s">
        <v>60</v>
      </c>
      <c r="AC191" t="s">
        <v>60</v>
      </c>
      <c r="AD191" t="s">
        <v>59</v>
      </c>
      <c r="AE191" t="s">
        <v>59</v>
      </c>
      <c r="AF191" t="s">
        <v>59</v>
      </c>
      <c r="AG191" t="s">
        <v>59</v>
      </c>
      <c r="AH191" t="s">
        <v>61</v>
      </c>
      <c r="AI191" t="s">
        <v>61</v>
      </c>
      <c r="AJ191" t="s">
        <v>59</v>
      </c>
      <c r="AK191" t="s">
        <v>59</v>
      </c>
      <c r="AL191" t="s">
        <v>60</v>
      </c>
      <c r="AM191" t="s">
        <v>59</v>
      </c>
      <c r="AN191" t="s">
        <v>59</v>
      </c>
      <c r="AO191" t="s">
        <v>59</v>
      </c>
      <c r="AP191" t="s">
        <v>641</v>
      </c>
      <c r="AQ191" t="s">
        <v>642</v>
      </c>
      <c r="AR191" t="s">
        <v>64</v>
      </c>
      <c r="AS191" t="s">
        <v>255</v>
      </c>
      <c r="AT191" t="s">
        <v>256</v>
      </c>
      <c r="AU191" t="s">
        <v>219</v>
      </c>
      <c r="AW191" s="4">
        <f t="shared" si="73"/>
        <v>6</v>
      </c>
      <c r="AX191" s="4">
        <f t="shared" si="74"/>
        <v>4</v>
      </c>
      <c r="AY191" s="4">
        <f t="shared" si="75"/>
        <v>4</v>
      </c>
      <c r="AZ191" s="4">
        <f t="shared" si="76"/>
        <v>2</v>
      </c>
      <c r="BA191" s="4">
        <f t="shared" si="77"/>
        <v>4</v>
      </c>
      <c r="BB191" s="4">
        <f t="shared" si="78"/>
        <v>4</v>
      </c>
      <c r="BC191" s="4">
        <f t="shared" si="79"/>
        <v>4</v>
      </c>
      <c r="BD191" s="4">
        <f t="shared" si="80"/>
        <v>2</v>
      </c>
      <c r="BE191" s="4" t="str">
        <f t="shared" si="81"/>
        <v>0</v>
      </c>
      <c r="BF191" s="4">
        <f t="shared" si="82"/>
        <v>2</v>
      </c>
      <c r="BG191" s="4">
        <f t="shared" si="83"/>
        <v>4</v>
      </c>
      <c r="BH191" s="4">
        <f t="shared" si="84"/>
        <v>4</v>
      </c>
      <c r="BI191" s="4">
        <f t="shared" si="85"/>
        <v>4</v>
      </c>
      <c r="BJ191" s="4">
        <f t="shared" si="86"/>
        <v>2</v>
      </c>
      <c r="BK191" s="4">
        <f t="shared" si="87"/>
        <v>4</v>
      </c>
      <c r="BL191" s="4" t="str">
        <f t="shared" si="88"/>
        <v>0</v>
      </c>
      <c r="BM191" s="4" t="str">
        <f t="shared" si="89"/>
        <v>0</v>
      </c>
      <c r="BN191" s="4">
        <f t="shared" si="90"/>
        <v>4</v>
      </c>
      <c r="BO191" s="4">
        <f t="shared" si="91"/>
        <v>4</v>
      </c>
      <c r="BP191" s="4">
        <f t="shared" si="92"/>
        <v>4</v>
      </c>
      <c r="BQ191" s="4">
        <f t="shared" si="93"/>
        <v>6</v>
      </c>
      <c r="BR191" s="4">
        <f t="shared" si="94"/>
        <v>4</v>
      </c>
      <c r="BS191" s="4">
        <f t="shared" si="95"/>
        <v>4</v>
      </c>
      <c r="BT191" s="4">
        <f t="shared" si="96"/>
        <v>4</v>
      </c>
      <c r="BU191" s="4">
        <f t="shared" si="97"/>
        <v>4</v>
      </c>
      <c r="BV191" s="4" t="str">
        <f t="shared" si="98"/>
        <v>0</v>
      </c>
      <c r="BW191" s="4">
        <f t="shared" si="99"/>
        <v>6</v>
      </c>
      <c r="BX191" s="4">
        <f t="shared" si="100"/>
        <v>0</v>
      </c>
      <c r="BY191" s="4">
        <f t="shared" si="101"/>
        <v>0</v>
      </c>
      <c r="BZ191" s="37">
        <f t="shared" si="102"/>
        <v>90</v>
      </c>
      <c r="CA191" s="32" t="str">
        <f>VLOOKUP(J:J,'Agent wise'!A:C,3,0)</f>
        <v>Adharsh</v>
      </c>
      <c r="CB191" s="32">
        <f t="shared" si="103"/>
        <v>45934</v>
      </c>
      <c r="CC191" t="str">
        <f t="shared" si="104"/>
        <v>Good</v>
      </c>
      <c r="CE191" s="32"/>
      <c r="CJ191">
        <f t="shared" si="105"/>
        <v>4</v>
      </c>
      <c r="CK191">
        <f t="shared" si="106"/>
        <v>10</v>
      </c>
      <c r="CL191">
        <f t="shared" si="107"/>
        <v>2025</v>
      </c>
    </row>
    <row r="192" spans="1:90" ht="15" customHeight="1" x14ac:dyDescent="0.35">
      <c r="A192" s="40">
        <v>45757.719606481478</v>
      </c>
      <c r="B192" t="s">
        <v>250</v>
      </c>
      <c r="C192" t="s">
        <v>214</v>
      </c>
      <c r="D192" t="s">
        <v>251</v>
      </c>
      <c r="E192" s="32">
        <v>45934</v>
      </c>
      <c r="F192" t="s">
        <v>54</v>
      </c>
      <c r="G192" s="2">
        <v>45726</v>
      </c>
      <c r="H192">
        <v>9444808816</v>
      </c>
      <c r="I192">
        <v>163</v>
      </c>
      <c r="J192" t="s">
        <v>643</v>
      </c>
      <c r="K192" t="s">
        <v>71</v>
      </c>
      <c r="L192" t="s">
        <v>72</v>
      </c>
      <c r="M192" t="s">
        <v>59</v>
      </c>
      <c r="N192" t="s">
        <v>59</v>
      </c>
      <c r="O192" t="s">
        <v>59</v>
      </c>
      <c r="P192" t="s">
        <v>59</v>
      </c>
      <c r="Q192" t="s">
        <v>59</v>
      </c>
      <c r="R192" t="s">
        <v>59</v>
      </c>
      <c r="S192" t="s">
        <v>59</v>
      </c>
      <c r="T192" t="s">
        <v>59</v>
      </c>
      <c r="U192" t="s">
        <v>60</v>
      </c>
      <c r="V192" t="s">
        <v>59</v>
      </c>
      <c r="W192" t="s">
        <v>59</v>
      </c>
      <c r="X192" t="s">
        <v>59</v>
      </c>
      <c r="Y192" t="s">
        <v>59</v>
      </c>
      <c r="Z192" t="s">
        <v>59</v>
      </c>
      <c r="AA192" t="s">
        <v>59</v>
      </c>
      <c r="AB192" t="s">
        <v>59</v>
      </c>
      <c r="AC192" t="s">
        <v>59</v>
      </c>
      <c r="AD192" t="s">
        <v>59</v>
      </c>
      <c r="AE192" t="s">
        <v>59</v>
      </c>
      <c r="AF192" t="s">
        <v>59</v>
      </c>
      <c r="AG192" t="s">
        <v>59</v>
      </c>
      <c r="AH192" t="s">
        <v>61</v>
      </c>
      <c r="AI192" t="s">
        <v>61</v>
      </c>
      <c r="AJ192" t="s">
        <v>59</v>
      </c>
      <c r="AK192" t="s">
        <v>59</v>
      </c>
      <c r="AL192" t="s">
        <v>60</v>
      </c>
      <c r="AM192" t="s">
        <v>59</v>
      </c>
      <c r="AN192" t="s">
        <v>59</v>
      </c>
      <c r="AO192" t="s">
        <v>59</v>
      </c>
      <c r="AP192" t="s">
        <v>644</v>
      </c>
      <c r="AQ192" t="s">
        <v>645</v>
      </c>
      <c r="AR192" t="s">
        <v>64</v>
      </c>
      <c r="AS192" t="s">
        <v>255</v>
      </c>
      <c r="AT192" t="s">
        <v>256</v>
      </c>
      <c r="AU192" t="s">
        <v>219</v>
      </c>
      <c r="AW192" s="4">
        <f t="shared" si="73"/>
        <v>6</v>
      </c>
      <c r="AX192" s="4">
        <f t="shared" si="74"/>
        <v>4</v>
      </c>
      <c r="AY192" s="4">
        <f t="shared" si="75"/>
        <v>4</v>
      </c>
      <c r="AZ192" s="4">
        <f t="shared" si="76"/>
        <v>2</v>
      </c>
      <c r="BA192" s="4">
        <f t="shared" si="77"/>
        <v>4</v>
      </c>
      <c r="BB192" s="4">
        <f t="shared" si="78"/>
        <v>4</v>
      </c>
      <c r="BC192" s="4">
        <f t="shared" si="79"/>
        <v>4</v>
      </c>
      <c r="BD192" s="4">
        <f t="shared" si="80"/>
        <v>2</v>
      </c>
      <c r="BE192" s="4" t="str">
        <f t="shared" si="81"/>
        <v>0</v>
      </c>
      <c r="BF192" s="4">
        <f t="shared" si="82"/>
        <v>2</v>
      </c>
      <c r="BG192" s="4">
        <f t="shared" si="83"/>
        <v>4</v>
      </c>
      <c r="BH192" s="4">
        <f t="shared" si="84"/>
        <v>4</v>
      </c>
      <c r="BI192" s="4">
        <f t="shared" si="85"/>
        <v>4</v>
      </c>
      <c r="BJ192" s="4">
        <f t="shared" si="86"/>
        <v>2</v>
      </c>
      <c r="BK192" s="4">
        <f t="shared" si="87"/>
        <v>4</v>
      </c>
      <c r="BL192" s="4">
        <f t="shared" si="88"/>
        <v>2</v>
      </c>
      <c r="BM192" s="4">
        <f t="shared" si="89"/>
        <v>4</v>
      </c>
      <c r="BN192" s="4">
        <f t="shared" si="90"/>
        <v>4</v>
      </c>
      <c r="BO192" s="4">
        <f t="shared" si="91"/>
        <v>4</v>
      </c>
      <c r="BP192" s="4">
        <f t="shared" si="92"/>
        <v>4</v>
      </c>
      <c r="BQ192" s="4">
        <f t="shared" si="93"/>
        <v>6</v>
      </c>
      <c r="BR192" s="4">
        <f t="shared" si="94"/>
        <v>4</v>
      </c>
      <c r="BS192" s="4">
        <f t="shared" si="95"/>
        <v>4</v>
      </c>
      <c r="BT192" s="4">
        <f t="shared" si="96"/>
        <v>4</v>
      </c>
      <c r="BU192" s="4">
        <f t="shared" si="97"/>
        <v>4</v>
      </c>
      <c r="BV192" s="4" t="str">
        <f t="shared" si="98"/>
        <v>0</v>
      </c>
      <c r="BW192" s="4">
        <f t="shared" si="99"/>
        <v>6</v>
      </c>
      <c r="BX192" s="4">
        <f t="shared" si="100"/>
        <v>0</v>
      </c>
      <c r="BY192" s="4">
        <f t="shared" si="101"/>
        <v>0</v>
      </c>
      <c r="BZ192" s="37">
        <f t="shared" si="102"/>
        <v>96</v>
      </c>
      <c r="CA192" s="32" t="str">
        <f>VLOOKUP(J:J,'Agent wise'!A:C,3,0)</f>
        <v xml:space="preserve">Shiny </v>
      </c>
      <c r="CB192" s="32">
        <f t="shared" si="103"/>
        <v>45934</v>
      </c>
      <c r="CC192" t="str">
        <f t="shared" si="104"/>
        <v>Excellent</v>
      </c>
      <c r="CE192" s="32"/>
      <c r="CJ192">
        <f t="shared" si="105"/>
        <v>4</v>
      </c>
      <c r="CK192">
        <f t="shared" si="106"/>
        <v>10</v>
      </c>
      <c r="CL192">
        <f t="shared" si="107"/>
        <v>2025</v>
      </c>
    </row>
    <row r="193" spans="1:90" ht="15" customHeight="1" x14ac:dyDescent="0.35">
      <c r="A193" s="40">
        <v>45757.732187499998</v>
      </c>
      <c r="B193" t="s">
        <v>250</v>
      </c>
      <c r="C193" t="s">
        <v>214</v>
      </c>
      <c r="D193" t="s">
        <v>251</v>
      </c>
      <c r="E193" s="32">
        <v>45934</v>
      </c>
      <c r="F193" t="s">
        <v>54</v>
      </c>
      <c r="G193" s="2">
        <v>45726</v>
      </c>
      <c r="H193">
        <v>9961305187</v>
      </c>
      <c r="I193">
        <v>158</v>
      </c>
      <c r="J193" t="s">
        <v>646</v>
      </c>
      <c r="K193" t="s">
        <v>57</v>
      </c>
      <c r="L193" t="s">
        <v>58</v>
      </c>
      <c r="M193" t="s">
        <v>59</v>
      </c>
      <c r="N193" t="s">
        <v>59</v>
      </c>
      <c r="O193" t="s">
        <v>59</v>
      </c>
      <c r="P193" t="s">
        <v>59</v>
      </c>
      <c r="Q193" t="s">
        <v>59</v>
      </c>
      <c r="R193" t="s">
        <v>59</v>
      </c>
      <c r="S193" t="s">
        <v>59</v>
      </c>
      <c r="T193" t="s">
        <v>59</v>
      </c>
      <c r="U193" t="s">
        <v>60</v>
      </c>
      <c r="V193" t="s">
        <v>59</v>
      </c>
      <c r="W193" t="s">
        <v>59</v>
      </c>
      <c r="X193" t="s">
        <v>59</v>
      </c>
      <c r="Y193" t="s">
        <v>59</v>
      </c>
      <c r="Z193" t="s">
        <v>60</v>
      </c>
      <c r="AA193" t="s">
        <v>59</v>
      </c>
      <c r="AB193" t="s">
        <v>59</v>
      </c>
      <c r="AC193" t="s">
        <v>59</v>
      </c>
      <c r="AD193" t="s">
        <v>59</v>
      </c>
      <c r="AE193" t="s">
        <v>59</v>
      </c>
      <c r="AF193" t="s">
        <v>59</v>
      </c>
      <c r="AG193" t="s">
        <v>59</v>
      </c>
      <c r="AH193" t="s">
        <v>61</v>
      </c>
      <c r="AI193" t="s">
        <v>61</v>
      </c>
      <c r="AJ193" t="s">
        <v>59</v>
      </c>
      <c r="AK193" t="s">
        <v>59</v>
      </c>
      <c r="AL193" t="s">
        <v>59</v>
      </c>
      <c r="AM193" t="s">
        <v>59</v>
      </c>
      <c r="AN193" t="s">
        <v>59</v>
      </c>
      <c r="AO193" t="s">
        <v>59</v>
      </c>
      <c r="AP193" t="s">
        <v>647</v>
      </c>
      <c r="AQ193" t="s">
        <v>648</v>
      </c>
      <c r="AR193" t="s">
        <v>64</v>
      </c>
      <c r="AS193" t="s">
        <v>397</v>
      </c>
      <c r="AT193" t="s">
        <v>649</v>
      </c>
      <c r="AU193" t="s">
        <v>387</v>
      </c>
      <c r="AW193" s="4">
        <f t="shared" si="73"/>
        <v>6</v>
      </c>
      <c r="AX193" s="4">
        <f t="shared" si="74"/>
        <v>4</v>
      </c>
      <c r="AY193" s="4">
        <f t="shared" si="75"/>
        <v>4</v>
      </c>
      <c r="AZ193" s="4">
        <f t="shared" si="76"/>
        <v>2</v>
      </c>
      <c r="BA193" s="4">
        <f t="shared" si="77"/>
        <v>4</v>
      </c>
      <c r="BB193" s="4">
        <f t="shared" si="78"/>
        <v>4</v>
      </c>
      <c r="BC193" s="4">
        <f t="shared" si="79"/>
        <v>4</v>
      </c>
      <c r="BD193" s="4">
        <f t="shared" si="80"/>
        <v>2</v>
      </c>
      <c r="BE193" s="4" t="str">
        <f t="shared" si="81"/>
        <v>0</v>
      </c>
      <c r="BF193" s="4">
        <f t="shared" si="82"/>
        <v>2</v>
      </c>
      <c r="BG193" s="4">
        <f t="shared" si="83"/>
        <v>4</v>
      </c>
      <c r="BH193" s="4">
        <f t="shared" si="84"/>
        <v>4</v>
      </c>
      <c r="BI193" s="4">
        <f t="shared" si="85"/>
        <v>4</v>
      </c>
      <c r="BJ193" s="4" t="str">
        <f t="shared" si="86"/>
        <v>0</v>
      </c>
      <c r="BK193" s="4">
        <f t="shared" si="87"/>
        <v>4</v>
      </c>
      <c r="BL193" s="4">
        <f t="shared" si="88"/>
        <v>2</v>
      </c>
      <c r="BM193" s="4">
        <f t="shared" si="89"/>
        <v>4</v>
      </c>
      <c r="BN193" s="4">
        <f t="shared" si="90"/>
        <v>4</v>
      </c>
      <c r="BO193" s="4">
        <f t="shared" si="91"/>
        <v>4</v>
      </c>
      <c r="BP193" s="4">
        <f t="shared" si="92"/>
        <v>4</v>
      </c>
      <c r="BQ193" s="4">
        <f t="shared" si="93"/>
        <v>6</v>
      </c>
      <c r="BR193" s="4">
        <f t="shared" si="94"/>
        <v>4</v>
      </c>
      <c r="BS193" s="4">
        <f t="shared" si="95"/>
        <v>4</v>
      </c>
      <c r="BT193" s="4">
        <f t="shared" si="96"/>
        <v>4</v>
      </c>
      <c r="BU193" s="4">
        <f t="shared" si="97"/>
        <v>4</v>
      </c>
      <c r="BV193" s="4">
        <f t="shared" si="98"/>
        <v>0</v>
      </c>
      <c r="BW193" s="4">
        <f t="shared" si="99"/>
        <v>6</v>
      </c>
      <c r="BX193" s="4">
        <f t="shared" si="100"/>
        <v>0</v>
      </c>
      <c r="BY193" s="4">
        <f t="shared" si="101"/>
        <v>0</v>
      </c>
      <c r="BZ193" s="37">
        <f t="shared" si="102"/>
        <v>94</v>
      </c>
      <c r="CA193" s="32" t="str">
        <f>VLOOKUP(J:J,'Agent wise'!A:C,3,0)</f>
        <v xml:space="preserve">Shiny </v>
      </c>
      <c r="CB193" s="32">
        <f t="shared" si="103"/>
        <v>45934</v>
      </c>
      <c r="CC193" t="str">
        <f t="shared" si="104"/>
        <v>Good</v>
      </c>
      <c r="CE193" s="32"/>
      <c r="CJ193">
        <f t="shared" si="105"/>
        <v>4</v>
      </c>
      <c r="CK193">
        <f t="shared" si="106"/>
        <v>10</v>
      </c>
      <c r="CL193">
        <f t="shared" si="107"/>
        <v>2025</v>
      </c>
    </row>
    <row r="194" spans="1:90" ht="15" customHeight="1" x14ac:dyDescent="0.35">
      <c r="A194" s="40">
        <v>45757.735671296286</v>
      </c>
      <c r="B194" t="s">
        <v>250</v>
      </c>
      <c r="C194" t="s">
        <v>214</v>
      </c>
      <c r="D194" t="s">
        <v>251</v>
      </c>
      <c r="E194" s="32">
        <v>45934</v>
      </c>
      <c r="F194" t="s">
        <v>54</v>
      </c>
      <c r="G194" s="2">
        <v>45726</v>
      </c>
      <c r="H194">
        <v>9496842515</v>
      </c>
      <c r="I194">
        <v>142</v>
      </c>
      <c r="J194" t="s">
        <v>650</v>
      </c>
      <c r="K194" t="s">
        <v>57</v>
      </c>
      <c r="L194" t="s">
        <v>58</v>
      </c>
      <c r="M194" t="s">
        <v>59</v>
      </c>
      <c r="N194" t="s">
        <v>59</v>
      </c>
      <c r="O194" t="s">
        <v>59</v>
      </c>
      <c r="P194" t="s">
        <v>59</v>
      </c>
      <c r="Q194" t="s">
        <v>59</v>
      </c>
      <c r="R194" t="s">
        <v>60</v>
      </c>
      <c r="S194" t="s">
        <v>59</v>
      </c>
      <c r="T194" t="s">
        <v>59</v>
      </c>
      <c r="U194" t="s">
        <v>60</v>
      </c>
      <c r="V194" t="s">
        <v>59</v>
      </c>
      <c r="W194" t="s">
        <v>59</v>
      </c>
      <c r="X194" t="s">
        <v>59</v>
      </c>
      <c r="Y194" t="s">
        <v>59</v>
      </c>
      <c r="Z194" t="s">
        <v>59</v>
      </c>
      <c r="AA194" t="s">
        <v>59</v>
      </c>
      <c r="AB194" t="s">
        <v>59</v>
      </c>
      <c r="AC194" t="s">
        <v>59</v>
      </c>
      <c r="AD194" t="s">
        <v>59</v>
      </c>
      <c r="AE194" t="s">
        <v>59</v>
      </c>
      <c r="AF194" t="s">
        <v>59</v>
      </c>
      <c r="AG194" t="s">
        <v>59</v>
      </c>
      <c r="AH194" t="s">
        <v>61</v>
      </c>
      <c r="AI194" t="s">
        <v>61</v>
      </c>
      <c r="AJ194" t="s">
        <v>61</v>
      </c>
      <c r="AK194" t="s">
        <v>61</v>
      </c>
      <c r="AL194" t="s">
        <v>60</v>
      </c>
      <c r="AM194" t="s">
        <v>59</v>
      </c>
      <c r="AN194" t="s">
        <v>59</v>
      </c>
      <c r="AO194" t="s">
        <v>59</v>
      </c>
      <c r="AP194" t="s">
        <v>651</v>
      </c>
      <c r="AQ194" t="s">
        <v>652</v>
      </c>
      <c r="AR194" t="s">
        <v>64</v>
      </c>
      <c r="AS194" t="s">
        <v>111</v>
      </c>
      <c r="AT194" t="s">
        <v>112</v>
      </c>
      <c r="AU194" t="s">
        <v>219</v>
      </c>
      <c r="AW194" s="4">
        <f t="shared" si="73"/>
        <v>6</v>
      </c>
      <c r="AX194" s="4">
        <f t="shared" si="74"/>
        <v>4</v>
      </c>
      <c r="AY194" s="4">
        <f t="shared" si="75"/>
        <v>4</v>
      </c>
      <c r="AZ194" s="4">
        <f t="shared" si="76"/>
        <v>2</v>
      </c>
      <c r="BA194" s="4">
        <f t="shared" si="77"/>
        <v>4</v>
      </c>
      <c r="BB194" s="4" t="str">
        <f t="shared" si="78"/>
        <v>0</v>
      </c>
      <c r="BC194" s="4">
        <f t="shared" si="79"/>
        <v>4</v>
      </c>
      <c r="BD194" s="4">
        <f t="shared" si="80"/>
        <v>2</v>
      </c>
      <c r="BE194" s="4" t="str">
        <f t="shared" si="81"/>
        <v>0</v>
      </c>
      <c r="BF194" s="4">
        <f t="shared" si="82"/>
        <v>2</v>
      </c>
      <c r="BG194" s="4">
        <f t="shared" si="83"/>
        <v>4</v>
      </c>
      <c r="BH194" s="4">
        <f t="shared" si="84"/>
        <v>4</v>
      </c>
      <c r="BI194" s="4">
        <f t="shared" si="85"/>
        <v>4</v>
      </c>
      <c r="BJ194" s="4">
        <f t="shared" si="86"/>
        <v>2</v>
      </c>
      <c r="BK194" s="4">
        <f t="shared" si="87"/>
        <v>4</v>
      </c>
      <c r="BL194" s="4">
        <f t="shared" si="88"/>
        <v>2</v>
      </c>
      <c r="BM194" s="4">
        <f t="shared" si="89"/>
        <v>4</v>
      </c>
      <c r="BN194" s="4">
        <f t="shared" si="90"/>
        <v>4</v>
      </c>
      <c r="BO194" s="4">
        <f t="shared" si="91"/>
        <v>4</v>
      </c>
      <c r="BP194" s="4">
        <f t="shared" si="92"/>
        <v>4</v>
      </c>
      <c r="BQ194" s="4">
        <f t="shared" si="93"/>
        <v>6</v>
      </c>
      <c r="BR194" s="4">
        <f t="shared" si="94"/>
        <v>4</v>
      </c>
      <c r="BS194" s="4">
        <f t="shared" si="95"/>
        <v>4</v>
      </c>
      <c r="BT194" s="4">
        <f t="shared" si="96"/>
        <v>4</v>
      </c>
      <c r="BU194" s="4">
        <f t="shared" si="97"/>
        <v>4</v>
      </c>
      <c r="BV194" s="4" t="str">
        <f t="shared" si="98"/>
        <v>0</v>
      </c>
      <c r="BW194" s="4">
        <f t="shared" si="99"/>
        <v>6</v>
      </c>
      <c r="BX194" s="4">
        <f t="shared" si="100"/>
        <v>0</v>
      </c>
      <c r="BY194" s="4">
        <f t="shared" si="101"/>
        <v>0</v>
      </c>
      <c r="BZ194" s="37">
        <f t="shared" si="102"/>
        <v>92</v>
      </c>
      <c r="CA194" s="32" t="str">
        <f>VLOOKUP(J:J,'Agent wise'!A:C,3,0)</f>
        <v>Adharsh</v>
      </c>
      <c r="CB194" s="32">
        <f t="shared" si="103"/>
        <v>45934</v>
      </c>
      <c r="CC194" t="str">
        <f t="shared" si="104"/>
        <v>Good</v>
      </c>
      <c r="CE194" s="32"/>
      <c r="CJ194">
        <f t="shared" si="105"/>
        <v>4</v>
      </c>
      <c r="CK194">
        <f t="shared" si="106"/>
        <v>10</v>
      </c>
      <c r="CL194">
        <f t="shared" si="107"/>
        <v>2025</v>
      </c>
    </row>
    <row r="195" spans="1:90" ht="15" customHeight="1" x14ac:dyDescent="0.35">
      <c r="A195" s="40">
        <v>45757.738275462973</v>
      </c>
      <c r="B195" t="s">
        <v>250</v>
      </c>
      <c r="C195" t="s">
        <v>214</v>
      </c>
      <c r="D195" t="s">
        <v>251</v>
      </c>
      <c r="E195" s="32">
        <v>45933</v>
      </c>
      <c r="F195" t="s">
        <v>54</v>
      </c>
      <c r="G195" s="2">
        <v>45726</v>
      </c>
      <c r="H195">
        <v>9809776855</v>
      </c>
      <c r="I195">
        <v>179</v>
      </c>
      <c r="J195" t="s">
        <v>653</v>
      </c>
      <c r="K195" t="s">
        <v>57</v>
      </c>
      <c r="L195" t="s">
        <v>58</v>
      </c>
      <c r="M195" t="s">
        <v>59</v>
      </c>
      <c r="N195" t="s">
        <v>59</v>
      </c>
      <c r="O195" t="s">
        <v>59</v>
      </c>
      <c r="P195" t="s">
        <v>59</v>
      </c>
      <c r="Q195" t="s">
        <v>59</v>
      </c>
      <c r="R195" t="s">
        <v>59</v>
      </c>
      <c r="S195" t="s">
        <v>59</v>
      </c>
      <c r="T195" t="s">
        <v>59</v>
      </c>
      <c r="U195" t="s">
        <v>60</v>
      </c>
      <c r="V195" t="s">
        <v>59</v>
      </c>
      <c r="W195" t="s">
        <v>59</v>
      </c>
      <c r="X195" t="s">
        <v>59</v>
      </c>
      <c r="Y195" t="s">
        <v>59</v>
      </c>
      <c r="Z195" t="s">
        <v>59</v>
      </c>
      <c r="AA195" t="s">
        <v>59</v>
      </c>
      <c r="AB195" t="s">
        <v>59</v>
      </c>
      <c r="AC195" t="s">
        <v>60</v>
      </c>
      <c r="AD195" t="s">
        <v>59</v>
      </c>
      <c r="AE195" t="s">
        <v>59</v>
      </c>
      <c r="AF195" t="s">
        <v>59</v>
      </c>
      <c r="AG195" t="s">
        <v>59</v>
      </c>
      <c r="AH195" t="s">
        <v>61</v>
      </c>
      <c r="AI195" t="s">
        <v>61</v>
      </c>
      <c r="AJ195" t="s">
        <v>59</v>
      </c>
      <c r="AK195" t="s">
        <v>59</v>
      </c>
      <c r="AL195" t="s">
        <v>60</v>
      </c>
      <c r="AM195" t="s">
        <v>59</v>
      </c>
      <c r="AN195" t="s">
        <v>59</v>
      </c>
      <c r="AO195" t="s">
        <v>59</v>
      </c>
      <c r="AP195" t="s">
        <v>654</v>
      </c>
      <c r="AQ195" t="s">
        <v>655</v>
      </c>
      <c r="AR195" t="s">
        <v>64</v>
      </c>
      <c r="AS195" t="s">
        <v>462</v>
      </c>
      <c r="AT195" t="s">
        <v>656</v>
      </c>
      <c r="AU195" t="s">
        <v>219</v>
      </c>
      <c r="AW195" s="4">
        <f t="shared" ref="AW195:AW258" si="108">IF(OR(M195="YES", M195="Not Applicable"), AW$1, "0")</f>
        <v>6</v>
      </c>
      <c r="AX195" s="4">
        <f t="shared" ref="AX195:AX258" si="109">IF(OR(N195="YES", N195="Not Applicable"), AX$1, "0")</f>
        <v>4</v>
      </c>
      <c r="AY195" s="4">
        <f t="shared" ref="AY195:AY258" si="110">IF(OR(O195="YES", O195="Not Applicable"), AY$1, "0")</f>
        <v>4</v>
      </c>
      <c r="AZ195" s="4">
        <f t="shared" ref="AZ195:AZ258" si="111">IF(OR(P195="YES", P195="Not Applicable"), AZ$1, "0")</f>
        <v>2</v>
      </c>
      <c r="BA195" s="4">
        <f t="shared" ref="BA195:BA258" si="112">IF(OR(Q195="YES", Q195="Not Applicable"), BA$1, "0")</f>
        <v>4</v>
      </c>
      <c r="BB195" s="4">
        <f t="shared" ref="BB195:BB258" si="113">IF(OR(R195="YES", R195="Not Applicable"), BB$1, "0")</f>
        <v>4</v>
      </c>
      <c r="BC195" s="4">
        <f t="shared" ref="BC195:BC258" si="114">IF(OR(S195="YES", S195="Not Applicable"), BC$1, "0")</f>
        <v>4</v>
      </c>
      <c r="BD195" s="4">
        <f t="shared" ref="BD195:BD258" si="115">IF(OR(T195="YES", T195="Not Applicable"), BD$1, "0")</f>
        <v>2</v>
      </c>
      <c r="BE195" s="4" t="str">
        <f t="shared" ref="BE195:BE258" si="116">IF(OR(U195="YES", U195="Not Applicable"), BE$1, "0")</f>
        <v>0</v>
      </c>
      <c r="BF195" s="4">
        <f t="shared" ref="BF195:BF258" si="117">IF(OR(V195="YES", V195="Not Applicable"), BF$1, "0")</f>
        <v>2</v>
      </c>
      <c r="BG195" s="4">
        <f t="shared" ref="BG195:BG258" si="118">IF(OR(W195="YES", W195="Not Applicable"), BG$1, "0")</f>
        <v>4</v>
      </c>
      <c r="BH195" s="4">
        <f t="shared" ref="BH195:BH258" si="119">IF(OR(X195="YES", X195="Not Applicable"), BH$1, "0")</f>
        <v>4</v>
      </c>
      <c r="BI195" s="4">
        <f t="shared" ref="BI195:BI258" si="120">IF(OR(Y195="YES", Y195="Not Applicable"), BI$1, "0")</f>
        <v>4</v>
      </c>
      <c r="BJ195" s="4">
        <f t="shared" ref="BJ195:BJ258" si="121">IF(OR(Z195="YES", Z195="Not Applicable"), BJ$1, "0")</f>
        <v>2</v>
      </c>
      <c r="BK195" s="4">
        <f t="shared" ref="BK195:BK258" si="122">IF(OR(AA195="YES", AA195="Not Applicable"), BK$1, "0")</f>
        <v>4</v>
      </c>
      <c r="BL195" s="4">
        <f t="shared" ref="BL195:BL258" si="123">IF(OR(AB195="YES", AB195="Not Applicable"), BL$1, "0")</f>
        <v>2</v>
      </c>
      <c r="BM195" s="4" t="str">
        <f t="shared" ref="BM195:BM258" si="124">IF(OR(AC195="YES", AC195="Not Applicable"), BM$1, "0")</f>
        <v>0</v>
      </c>
      <c r="BN195" s="4">
        <f t="shared" ref="BN195:BN258" si="125">IF(OR(AD195="YES", AD195="Not Applicable"), BN$1, "0")</f>
        <v>4</v>
      </c>
      <c r="BO195" s="4">
        <f t="shared" ref="BO195:BO258" si="126">IF(OR(AE195="YES", AE195="Not Applicable"), BO$1, "0")</f>
        <v>4</v>
      </c>
      <c r="BP195" s="4">
        <f t="shared" ref="BP195:BP258" si="127">IF(OR(AF195="YES", AF195="Not Applicable"), BP$1, "0")</f>
        <v>4</v>
      </c>
      <c r="BQ195" s="4">
        <f t="shared" ref="BQ195:BQ258" si="128">IF(OR(AG195="YES", AG195="Not Applicable"), BQ$1, "0")</f>
        <v>6</v>
      </c>
      <c r="BR195" s="4">
        <f t="shared" ref="BR195:BR258" si="129">IF(OR(AH195="YES", AH195="Not Applicable"), BR$1, "0")</f>
        <v>4</v>
      </c>
      <c r="BS195" s="4">
        <f t="shared" ref="BS195:BS258" si="130">IF(OR(AI195="YES", AI195="Not Applicable"), BS$1, "0")</f>
        <v>4</v>
      </c>
      <c r="BT195" s="4">
        <f t="shared" ref="BT195:BT258" si="131">IF(OR(AJ195="YES", AJ195="Not Applicable"), BT$1, "0")</f>
        <v>4</v>
      </c>
      <c r="BU195" s="4">
        <f t="shared" ref="BU195:BU258" si="132">IF(OR(AK195="YES", AK195="Not Applicable"), BU$1, "0")</f>
        <v>4</v>
      </c>
      <c r="BV195" s="4" t="str">
        <f t="shared" ref="BV195:BV258" si="133">IF(OR(AL195="YES", AL195="Not Applicable"), BV$1, "0")</f>
        <v>0</v>
      </c>
      <c r="BW195" s="4">
        <f t="shared" ref="BW195:BW258" si="134">IF(OR(AM195="YES", AM195="Not Applicable"), BW$1, "0")</f>
        <v>6</v>
      </c>
      <c r="BX195" s="4">
        <f t="shared" ref="BX195:BX258" si="135">IF(OR(AN195="YES", AN195="Not Applicable"), BX$1, "0")</f>
        <v>0</v>
      </c>
      <c r="BY195" s="4">
        <f t="shared" ref="BY195:BY258" si="136">IF(OR(AO195="YES", AO195="Not Applicable"), BY$1, "0")</f>
        <v>0</v>
      </c>
      <c r="BZ195" s="37">
        <f t="shared" ref="BZ195:BZ258" si="137">SUM(AW195:BY195)</f>
        <v>92</v>
      </c>
      <c r="CA195" s="32" t="str">
        <f>VLOOKUP(J:J,'Agent wise'!A:C,3,0)</f>
        <v>Saran S</v>
      </c>
      <c r="CB195" s="32">
        <f t="shared" ref="CB195:CB258" si="138">INT(E195)</f>
        <v>45933</v>
      </c>
      <c r="CC195" t="str">
        <f t="shared" ref="CC195:CC258" si="139">IF(BZ195&gt;=94.5, "Excellent", IF(BZ195&gt;89.5, "Good", IF(BZ195&gt;84.5, "Average", "FC")))</f>
        <v>Good</v>
      </c>
      <c r="CE195" s="32"/>
      <c r="CJ195">
        <f t="shared" si="105"/>
        <v>3</v>
      </c>
      <c r="CK195">
        <f t="shared" si="106"/>
        <v>10</v>
      </c>
      <c r="CL195">
        <f t="shared" si="107"/>
        <v>2025</v>
      </c>
    </row>
    <row r="196" spans="1:90" ht="15" customHeight="1" x14ac:dyDescent="0.35">
      <c r="A196" s="40">
        <v>45757.742175925923</v>
      </c>
      <c r="B196" t="s">
        <v>250</v>
      </c>
      <c r="C196" t="s">
        <v>214</v>
      </c>
      <c r="D196" t="s">
        <v>251</v>
      </c>
      <c r="E196" s="32">
        <v>45934</v>
      </c>
      <c r="F196" t="s">
        <v>54</v>
      </c>
      <c r="G196" s="2">
        <v>45726</v>
      </c>
      <c r="H196">
        <v>9444955800</v>
      </c>
      <c r="I196">
        <v>153</v>
      </c>
      <c r="J196" t="s">
        <v>657</v>
      </c>
      <c r="K196" t="s">
        <v>71</v>
      </c>
      <c r="L196" t="s">
        <v>72</v>
      </c>
      <c r="M196" t="s">
        <v>59</v>
      </c>
      <c r="N196" t="s">
        <v>59</v>
      </c>
      <c r="O196" t="s">
        <v>59</v>
      </c>
      <c r="P196" t="s">
        <v>59</v>
      </c>
      <c r="Q196" t="s">
        <v>59</v>
      </c>
      <c r="R196" t="s">
        <v>59</v>
      </c>
      <c r="S196" t="s">
        <v>59</v>
      </c>
      <c r="T196" t="s">
        <v>59</v>
      </c>
      <c r="U196" t="s">
        <v>60</v>
      </c>
      <c r="V196" t="s">
        <v>59</v>
      </c>
      <c r="W196" t="s">
        <v>59</v>
      </c>
      <c r="X196" t="s">
        <v>59</v>
      </c>
      <c r="Y196" t="s">
        <v>59</v>
      </c>
      <c r="Z196" t="s">
        <v>59</v>
      </c>
      <c r="AA196" t="s">
        <v>60</v>
      </c>
      <c r="AB196" t="s">
        <v>59</v>
      </c>
      <c r="AC196" t="s">
        <v>59</v>
      </c>
      <c r="AD196" t="s">
        <v>59</v>
      </c>
      <c r="AE196" t="s">
        <v>59</v>
      </c>
      <c r="AF196" t="s">
        <v>59</v>
      </c>
      <c r="AG196" t="s">
        <v>59</v>
      </c>
      <c r="AH196" t="s">
        <v>61</v>
      </c>
      <c r="AI196" t="s">
        <v>59</v>
      </c>
      <c r="AJ196" t="s">
        <v>59</v>
      </c>
      <c r="AK196" t="s">
        <v>59</v>
      </c>
      <c r="AL196" t="s">
        <v>60</v>
      </c>
      <c r="AM196" t="s">
        <v>59</v>
      </c>
      <c r="AN196" t="s">
        <v>59</v>
      </c>
      <c r="AO196" t="s">
        <v>59</v>
      </c>
      <c r="AP196" t="s">
        <v>658</v>
      </c>
      <c r="AQ196" t="s">
        <v>659</v>
      </c>
      <c r="AR196" t="s">
        <v>64</v>
      </c>
      <c r="AS196" t="s">
        <v>417</v>
      </c>
      <c r="AT196" t="s">
        <v>418</v>
      </c>
      <c r="AU196" t="s">
        <v>219</v>
      </c>
      <c r="AW196" s="4">
        <f t="shared" si="108"/>
        <v>6</v>
      </c>
      <c r="AX196" s="4">
        <f t="shared" si="109"/>
        <v>4</v>
      </c>
      <c r="AY196" s="4">
        <f t="shared" si="110"/>
        <v>4</v>
      </c>
      <c r="AZ196" s="4">
        <f t="shared" si="111"/>
        <v>2</v>
      </c>
      <c r="BA196" s="4">
        <f t="shared" si="112"/>
        <v>4</v>
      </c>
      <c r="BB196" s="4">
        <f t="shared" si="113"/>
        <v>4</v>
      </c>
      <c r="BC196" s="4">
        <f t="shared" si="114"/>
        <v>4</v>
      </c>
      <c r="BD196" s="4">
        <f t="shared" si="115"/>
        <v>2</v>
      </c>
      <c r="BE196" s="4" t="str">
        <f t="shared" si="116"/>
        <v>0</v>
      </c>
      <c r="BF196" s="4">
        <f t="shared" si="117"/>
        <v>2</v>
      </c>
      <c r="BG196" s="4">
        <f t="shared" si="118"/>
        <v>4</v>
      </c>
      <c r="BH196" s="4">
        <f t="shared" si="119"/>
        <v>4</v>
      </c>
      <c r="BI196" s="4">
        <f t="shared" si="120"/>
        <v>4</v>
      </c>
      <c r="BJ196" s="4">
        <f t="shared" si="121"/>
        <v>2</v>
      </c>
      <c r="BK196" s="4" t="str">
        <f t="shared" si="122"/>
        <v>0</v>
      </c>
      <c r="BL196" s="4">
        <f t="shared" si="123"/>
        <v>2</v>
      </c>
      <c r="BM196" s="4">
        <f t="shared" si="124"/>
        <v>4</v>
      </c>
      <c r="BN196" s="4">
        <f t="shared" si="125"/>
        <v>4</v>
      </c>
      <c r="BO196" s="4">
        <f t="shared" si="126"/>
        <v>4</v>
      </c>
      <c r="BP196" s="4">
        <f t="shared" si="127"/>
        <v>4</v>
      </c>
      <c r="BQ196" s="4">
        <f t="shared" si="128"/>
        <v>6</v>
      </c>
      <c r="BR196" s="4">
        <f t="shared" si="129"/>
        <v>4</v>
      </c>
      <c r="BS196" s="4">
        <f t="shared" si="130"/>
        <v>4</v>
      </c>
      <c r="BT196" s="4">
        <f t="shared" si="131"/>
        <v>4</v>
      </c>
      <c r="BU196" s="4">
        <f t="shared" si="132"/>
        <v>4</v>
      </c>
      <c r="BV196" s="4" t="str">
        <f t="shared" si="133"/>
        <v>0</v>
      </c>
      <c r="BW196" s="4">
        <f t="shared" si="134"/>
        <v>6</v>
      </c>
      <c r="BX196" s="4">
        <f t="shared" si="135"/>
        <v>0</v>
      </c>
      <c r="BY196" s="4">
        <f t="shared" si="136"/>
        <v>0</v>
      </c>
      <c r="BZ196" s="37">
        <f t="shared" si="137"/>
        <v>92</v>
      </c>
      <c r="CA196" s="32" t="str">
        <f>VLOOKUP(J:J,'Agent wise'!A:C,3,0)</f>
        <v>Saran S</v>
      </c>
      <c r="CB196" s="32">
        <f t="shared" si="138"/>
        <v>45934</v>
      </c>
      <c r="CC196" t="str">
        <f t="shared" si="139"/>
        <v>Good</v>
      </c>
      <c r="CE196" s="32"/>
      <c r="CJ196">
        <f t="shared" ref="CJ196:CJ259" si="140">DAY(E196)</f>
        <v>4</v>
      </c>
      <c r="CK196">
        <f t="shared" ref="CK196:CK259" si="141">MONTH(E196)</f>
        <v>10</v>
      </c>
      <c r="CL196">
        <f t="shared" ref="CL196:CL259" si="142">YEAR(E196)</f>
        <v>2025</v>
      </c>
    </row>
    <row r="197" spans="1:90" ht="15" customHeight="1" x14ac:dyDescent="0.35">
      <c r="A197" s="40">
        <v>45757.747754629629</v>
      </c>
      <c r="B197" t="s">
        <v>250</v>
      </c>
      <c r="C197" t="s">
        <v>214</v>
      </c>
      <c r="D197" t="s">
        <v>251</v>
      </c>
      <c r="E197" s="32">
        <v>45934</v>
      </c>
      <c r="F197" t="s">
        <v>54</v>
      </c>
      <c r="G197" s="2">
        <v>45726</v>
      </c>
      <c r="H197">
        <v>9645825398</v>
      </c>
      <c r="I197">
        <v>186</v>
      </c>
      <c r="J197" t="s">
        <v>660</v>
      </c>
      <c r="K197" t="s">
        <v>57</v>
      </c>
      <c r="L197" t="s">
        <v>58</v>
      </c>
      <c r="M197" t="s">
        <v>59</v>
      </c>
      <c r="N197" t="s">
        <v>59</v>
      </c>
      <c r="O197" t="s">
        <v>59</v>
      </c>
      <c r="P197" t="s">
        <v>59</v>
      </c>
      <c r="Q197" t="s">
        <v>59</v>
      </c>
      <c r="R197" t="s">
        <v>59</v>
      </c>
      <c r="S197" t="s">
        <v>59</v>
      </c>
      <c r="T197" t="s">
        <v>59</v>
      </c>
      <c r="U197" t="s">
        <v>59</v>
      </c>
      <c r="V197" t="s">
        <v>59</v>
      </c>
      <c r="W197" t="s">
        <v>59</v>
      </c>
      <c r="X197" t="s">
        <v>59</v>
      </c>
      <c r="Y197" t="s">
        <v>59</v>
      </c>
      <c r="Z197" t="s">
        <v>59</v>
      </c>
      <c r="AA197" t="s">
        <v>59</v>
      </c>
      <c r="AB197" t="s">
        <v>59</v>
      </c>
      <c r="AC197" t="s">
        <v>59</v>
      </c>
      <c r="AD197" t="s">
        <v>59</v>
      </c>
      <c r="AE197" t="s">
        <v>59</v>
      </c>
      <c r="AF197" t="s">
        <v>59</v>
      </c>
      <c r="AG197" t="s">
        <v>59</v>
      </c>
      <c r="AH197" t="s">
        <v>61</v>
      </c>
      <c r="AI197" t="s">
        <v>61</v>
      </c>
      <c r="AJ197" t="s">
        <v>59</v>
      </c>
      <c r="AK197" t="s">
        <v>59</v>
      </c>
      <c r="AL197" t="s">
        <v>59</v>
      </c>
      <c r="AM197" t="s">
        <v>59</v>
      </c>
      <c r="AN197" t="s">
        <v>59</v>
      </c>
      <c r="AO197" t="s">
        <v>59</v>
      </c>
      <c r="AP197" t="s">
        <v>270</v>
      </c>
      <c r="AQ197" t="s">
        <v>661</v>
      </c>
      <c r="AR197" t="s">
        <v>64</v>
      </c>
      <c r="AS197" t="s">
        <v>417</v>
      </c>
      <c r="AT197" t="s">
        <v>489</v>
      </c>
      <c r="AU197" t="s">
        <v>219</v>
      </c>
      <c r="AW197" s="4">
        <f t="shared" si="108"/>
        <v>6</v>
      </c>
      <c r="AX197" s="4">
        <f t="shared" si="109"/>
        <v>4</v>
      </c>
      <c r="AY197" s="4">
        <f t="shared" si="110"/>
        <v>4</v>
      </c>
      <c r="AZ197" s="4">
        <f t="shared" si="111"/>
        <v>2</v>
      </c>
      <c r="BA197" s="4">
        <f t="shared" si="112"/>
        <v>4</v>
      </c>
      <c r="BB197" s="4">
        <f t="shared" si="113"/>
        <v>4</v>
      </c>
      <c r="BC197" s="4">
        <f t="shared" si="114"/>
        <v>4</v>
      </c>
      <c r="BD197" s="4">
        <f t="shared" si="115"/>
        <v>2</v>
      </c>
      <c r="BE197" s="4">
        <f t="shared" si="116"/>
        <v>4</v>
      </c>
      <c r="BF197" s="4">
        <f t="shared" si="117"/>
        <v>2</v>
      </c>
      <c r="BG197" s="4">
        <f t="shared" si="118"/>
        <v>4</v>
      </c>
      <c r="BH197" s="4">
        <f t="shared" si="119"/>
        <v>4</v>
      </c>
      <c r="BI197" s="4">
        <f t="shared" si="120"/>
        <v>4</v>
      </c>
      <c r="BJ197" s="4">
        <f t="shared" si="121"/>
        <v>2</v>
      </c>
      <c r="BK197" s="4">
        <f t="shared" si="122"/>
        <v>4</v>
      </c>
      <c r="BL197" s="4">
        <f t="shared" si="123"/>
        <v>2</v>
      </c>
      <c r="BM197" s="4">
        <f t="shared" si="124"/>
        <v>4</v>
      </c>
      <c r="BN197" s="4">
        <f t="shared" si="125"/>
        <v>4</v>
      </c>
      <c r="BO197" s="4">
        <f t="shared" si="126"/>
        <v>4</v>
      </c>
      <c r="BP197" s="4">
        <f t="shared" si="127"/>
        <v>4</v>
      </c>
      <c r="BQ197" s="4">
        <f t="shared" si="128"/>
        <v>6</v>
      </c>
      <c r="BR197" s="4">
        <f t="shared" si="129"/>
        <v>4</v>
      </c>
      <c r="BS197" s="4">
        <f t="shared" si="130"/>
        <v>4</v>
      </c>
      <c r="BT197" s="4">
        <f t="shared" si="131"/>
        <v>4</v>
      </c>
      <c r="BU197" s="4">
        <f t="shared" si="132"/>
        <v>4</v>
      </c>
      <c r="BV197" s="4">
        <f t="shared" si="133"/>
        <v>0</v>
      </c>
      <c r="BW197" s="4">
        <f t="shared" si="134"/>
        <v>6</v>
      </c>
      <c r="BX197" s="4">
        <f t="shared" si="135"/>
        <v>0</v>
      </c>
      <c r="BY197" s="4">
        <f t="shared" si="136"/>
        <v>0</v>
      </c>
      <c r="BZ197" s="37">
        <f t="shared" si="137"/>
        <v>100</v>
      </c>
      <c r="CA197" s="32" t="str">
        <f>VLOOKUP(J:J,'Agent wise'!A:C,3,0)</f>
        <v>Adharsh</v>
      </c>
      <c r="CB197" s="32">
        <f t="shared" si="138"/>
        <v>45934</v>
      </c>
      <c r="CC197" t="str">
        <f t="shared" si="139"/>
        <v>Excellent</v>
      </c>
      <c r="CE197" s="32"/>
      <c r="CJ197">
        <f t="shared" si="140"/>
        <v>4</v>
      </c>
      <c r="CK197">
        <f t="shared" si="141"/>
        <v>10</v>
      </c>
      <c r="CL197">
        <f t="shared" si="142"/>
        <v>2025</v>
      </c>
    </row>
    <row r="198" spans="1:90" ht="15" customHeight="1" x14ac:dyDescent="0.35">
      <c r="A198" s="40">
        <v>45757.751574074071</v>
      </c>
      <c r="B198" t="s">
        <v>250</v>
      </c>
      <c r="C198" t="s">
        <v>214</v>
      </c>
      <c r="D198" t="s">
        <v>251</v>
      </c>
      <c r="E198" s="32">
        <v>45933</v>
      </c>
      <c r="F198" t="s">
        <v>54</v>
      </c>
      <c r="G198" s="2">
        <v>45726</v>
      </c>
      <c r="H198">
        <v>9489863557</v>
      </c>
      <c r="I198">
        <v>156</v>
      </c>
      <c r="J198" t="s">
        <v>662</v>
      </c>
      <c r="K198" t="s">
        <v>71</v>
      </c>
      <c r="L198" t="s">
        <v>72</v>
      </c>
      <c r="M198" t="s">
        <v>59</v>
      </c>
      <c r="N198" t="s">
        <v>59</v>
      </c>
      <c r="O198" t="s">
        <v>59</v>
      </c>
      <c r="P198" t="s">
        <v>59</v>
      </c>
      <c r="Q198" t="s">
        <v>59</v>
      </c>
      <c r="R198" t="s">
        <v>59</v>
      </c>
      <c r="S198" t="s">
        <v>59</v>
      </c>
      <c r="T198" t="s">
        <v>59</v>
      </c>
      <c r="U198" t="s">
        <v>60</v>
      </c>
      <c r="V198" t="s">
        <v>59</v>
      </c>
      <c r="W198" t="s">
        <v>59</v>
      </c>
      <c r="X198" t="s">
        <v>59</v>
      </c>
      <c r="Y198" t="s">
        <v>59</v>
      </c>
      <c r="Z198" t="s">
        <v>59</v>
      </c>
      <c r="AA198" t="s">
        <v>60</v>
      </c>
      <c r="AB198" t="s">
        <v>60</v>
      </c>
      <c r="AC198" t="s">
        <v>59</v>
      </c>
      <c r="AD198" t="s">
        <v>59</v>
      </c>
      <c r="AE198" t="s">
        <v>59</v>
      </c>
      <c r="AF198" t="s">
        <v>59</v>
      </c>
      <c r="AG198" t="s">
        <v>59</v>
      </c>
      <c r="AH198" t="s">
        <v>61</v>
      </c>
      <c r="AI198" t="s">
        <v>61</v>
      </c>
      <c r="AJ198" t="s">
        <v>59</v>
      </c>
      <c r="AK198" t="s">
        <v>59</v>
      </c>
      <c r="AL198" t="s">
        <v>59</v>
      </c>
      <c r="AM198" t="s">
        <v>59</v>
      </c>
      <c r="AN198" t="s">
        <v>59</v>
      </c>
      <c r="AO198" t="s">
        <v>59</v>
      </c>
      <c r="AP198" t="s">
        <v>663</v>
      </c>
      <c r="AQ198" t="s">
        <v>664</v>
      </c>
      <c r="AR198" t="s">
        <v>226</v>
      </c>
      <c r="AS198" t="s">
        <v>417</v>
      </c>
      <c r="AT198" t="s">
        <v>418</v>
      </c>
      <c r="AU198" t="s">
        <v>219</v>
      </c>
      <c r="AW198" s="4">
        <f t="shared" si="108"/>
        <v>6</v>
      </c>
      <c r="AX198" s="4">
        <f t="shared" si="109"/>
        <v>4</v>
      </c>
      <c r="AY198" s="4">
        <f t="shared" si="110"/>
        <v>4</v>
      </c>
      <c r="AZ198" s="4">
        <f t="shared" si="111"/>
        <v>2</v>
      </c>
      <c r="BA198" s="4">
        <f t="shared" si="112"/>
        <v>4</v>
      </c>
      <c r="BB198" s="4">
        <f t="shared" si="113"/>
        <v>4</v>
      </c>
      <c r="BC198" s="4">
        <f t="shared" si="114"/>
        <v>4</v>
      </c>
      <c r="BD198" s="4">
        <f t="shared" si="115"/>
        <v>2</v>
      </c>
      <c r="BE198" s="4" t="str">
        <f t="shared" si="116"/>
        <v>0</v>
      </c>
      <c r="BF198" s="4">
        <f t="shared" si="117"/>
        <v>2</v>
      </c>
      <c r="BG198" s="4">
        <f t="shared" si="118"/>
        <v>4</v>
      </c>
      <c r="BH198" s="4">
        <f t="shared" si="119"/>
        <v>4</v>
      </c>
      <c r="BI198" s="4">
        <f t="shared" si="120"/>
        <v>4</v>
      </c>
      <c r="BJ198" s="4">
        <f t="shared" si="121"/>
        <v>2</v>
      </c>
      <c r="BK198" s="4" t="str">
        <f t="shared" si="122"/>
        <v>0</v>
      </c>
      <c r="BL198" s="4" t="str">
        <f t="shared" si="123"/>
        <v>0</v>
      </c>
      <c r="BM198" s="4">
        <f t="shared" si="124"/>
        <v>4</v>
      </c>
      <c r="BN198" s="4">
        <f t="shared" si="125"/>
        <v>4</v>
      </c>
      <c r="BO198" s="4">
        <f t="shared" si="126"/>
        <v>4</v>
      </c>
      <c r="BP198" s="4">
        <f t="shared" si="127"/>
        <v>4</v>
      </c>
      <c r="BQ198" s="4">
        <f t="shared" si="128"/>
        <v>6</v>
      </c>
      <c r="BR198" s="4">
        <f t="shared" si="129"/>
        <v>4</v>
      </c>
      <c r="BS198" s="4">
        <f t="shared" si="130"/>
        <v>4</v>
      </c>
      <c r="BT198" s="4">
        <f t="shared" si="131"/>
        <v>4</v>
      </c>
      <c r="BU198" s="4">
        <f t="shared" si="132"/>
        <v>4</v>
      </c>
      <c r="BV198" s="4">
        <f t="shared" si="133"/>
        <v>0</v>
      </c>
      <c r="BW198" s="4">
        <f t="shared" si="134"/>
        <v>6</v>
      </c>
      <c r="BX198" s="4">
        <f t="shared" si="135"/>
        <v>0</v>
      </c>
      <c r="BY198" s="4">
        <f t="shared" si="136"/>
        <v>0</v>
      </c>
      <c r="BZ198" s="37">
        <f t="shared" si="137"/>
        <v>90</v>
      </c>
      <c r="CA198" s="32" t="str">
        <f>VLOOKUP(J:J,'Agent wise'!A:C,3,0)</f>
        <v xml:space="preserve">Shiny </v>
      </c>
      <c r="CB198" s="32">
        <f t="shared" si="138"/>
        <v>45933</v>
      </c>
      <c r="CC198" t="str">
        <f t="shared" si="139"/>
        <v>Good</v>
      </c>
      <c r="CE198" s="32"/>
      <c r="CJ198">
        <f t="shared" si="140"/>
        <v>3</v>
      </c>
      <c r="CK198">
        <f t="shared" si="141"/>
        <v>10</v>
      </c>
      <c r="CL198">
        <f t="shared" si="142"/>
        <v>2025</v>
      </c>
    </row>
    <row r="199" spans="1:90" ht="15" customHeight="1" x14ac:dyDescent="0.35">
      <c r="A199" s="40">
        <v>45757.758622685193</v>
      </c>
      <c r="B199" t="s">
        <v>250</v>
      </c>
      <c r="C199" t="s">
        <v>214</v>
      </c>
      <c r="D199" t="s">
        <v>251</v>
      </c>
      <c r="E199" s="32">
        <v>45934</v>
      </c>
      <c r="F199" t="s">
        <v>54</v>
      </c>
      <c r="G199" s="2">
        <v>45726</v>
      </c>
      <c r="H199">
        <v>9840736112</v>
      </c>
      <c r="I199">
        <v>155</v>
      </c>
      <c r="J199" t="s">
        <v>665</v>
      </c>
      <c r="K199" t="s">
        <v>71</v>
      </c>
      <c r="L199" t="s">
        <v>72</v>
      </c>
      <c r="M199" t="s">
        <v>59</v>
      </c>
      <c r="N199" t="s">
        <v>59</v>
      </c>
      <c r="O199" t="s">
        <v>59</v>
      </c>
      <c r="P199" t="s">
        <v>59</v>
      </c>
      <c r="Q199" t="s">
        <v>59</v>
      </c>
      <c r="R199" t="s">
        <v>59</v>
      </c>
      <c r="S199" t="s">
        <v>59</v>
      </c>
      <c r="T199" t="s">
        <v>59</v>
      </c>
      <c r="U199" t="s">
        <v>60</v>
      </c>
      <c r="V199" t="s">
        <v>59</v>
      </c>
      <c r="W199" t="s">
        <v>59</v>
      </c>
      <c r="X199" t="s">
        <v>59</v>
      </c>
      <c r="Y199" t="s">
        <v>59</v>
      </c>
      <c r="Z199" t="s">
        <v>60</v>
      </c>
      <c r="AA199" t="s">
        <v>59</v>
      </c>
      <c r="AB199" t="s">
        <v>59</v>
      </c>
      <c r="AC199" t="s">
        <v>59</v>
      </c>
      <c r="AD199" t="s">
        <v>59</v>
      </c>
      <c r="AE199" t="s">
        <v>59</v>
      </c>
      <c r="AF199" t="s">
        <v>59</v>
      </c>
      <c r="AG199" t="s">
        <v>59</v>
      </c>
      <c r="AH199" t="s">
        <v>61</v>
      </c>
      <c r="AI199" t="s">
        <v>61</v>
      </c>
      <c r="AJ199" t="s">
        <v>59</v>
      </c>
      <c r="AK199" t="s">
        <v>59</v>
      </c>
      <c r="AL199" t="s">
        <v>59</v>
      </c>
      <c r="AM199" t="s">
        <v>59</v>
      </c>
      <c r="AN199" t="s">
        <v>59</v>
      </c>
      <c r="AO199" t="s">
        <v>59</v>
      </c>
      <c r="AP199" t="s">
        <v>666</v>
      </c>
      <c r="AQ199" t="s">
        <v>667</v>
      </c>
      <c r="AR199" t="s">
        <v>64</v>
      </c>
      <c r="AS199" t="s">
        <v>457</v>
      </c>
      <c r="AT199" t="s">
        <v>456</v>
      </c>
      <c r="AU199" t="s">
        <v>387</v>
      </c>
      <c r="AW199" s="4">
        <f t="shared" si="108"/>
        <v>6</v>
      </c>
      <c r="AX199" s="4">
        <f t="shared" si="109"/>
        <v>4</v>
      </c>
      <c r="AY199" s="4">
        <f t="shared" si="110"/>
        <v>4</v>
      </c>
      <c r="AZ199" s="4">
        <f t="shared" si="111"/>
        <v>2</v>
      </c>
      <c r="BA199" s="4">
        <f t="shared" si="112"/>
        <v>4</v>
      </c>
      <c r="BB199" s="4">
        <f t="shared" si="113"/>
        <v>4</v>
      </c>
      <c r="BC199" s="4">
        <f t="shared" si="114"/>
        <v>4</v>
      </c>
      <c r="BD199" s="4">
        <f t="shared" si="115"/>
        <v>2</v>
      </c>
      <c r="BE199" s="4" t="str">
        <f t="shared" si="116"/>
        <v>0</v>
      </c>
      <c r="BF199" s="4">
        <f t="shared" si="117"/>
        <v>2</v>
      </c>
      <c r="BG199" s="4">
        <f t="shared" si="118"/>
        <v>4</v>
      </c>
      <c r="BH199" s="4">
        <f t="shared" si="119"/>
        <v>4</v>
      </c>
      <c r="BI199" s="4">
        <f t="shared" si="120"/>
        <v>4</v>
      </c>
      <c r="BJ199" s="4" t="str">
        <f t="shared" si="121"/>
        <v>0</v>
      </c>
      <c r="BK199" s="4">
        <f t="shared" si="122"/>
        <v>4</v>
      </c>
      <c r="BL199" s="4">
        <f t="shared" si="123"/>
        <v>2</v>
      </c>
      <c r="BM199" s="4">
        <f t="shared" si="124"/>
        <v>4</v>
      </c>
      <c r="BN199" s="4">
        <f t="shared" si="125"/>
        <v>4</v>
      </c>
      <c r="BO199" s="4">
        <f t="shared" si="126"/>
        <v>4</v>
      </c>
      <c r="BP199" s="4">
        <f t="shared" si="127"/>
        <v>4</v>
      </c>
      <c r="BQ199" s="4">
        <f t="shared" si="128"/>
        <v>6</v>
      </c>
      <c r="BR199" s="4">
        <f t="shared" si="129"/>
        <v>4</v>
      </c>
      <c r="BS199" s="4">
        <f t="shared" si="130"/>
        <v>4</v>
      </c>
      <c r="BT199" s="4">
        <f t="shared" si="131"/>
        <v>4</v>
      </c>
      <c r="BU199" s="4">
        <f t="shared" si="132"/>
        <v>4</v>
      </c>
      <c r="BV199" s="4">
        <f t="shared" si="133"/>
        <v>0</v>
      </c>
      <c r="BW199" s="4">
        <f t="shared" si="134"/>
        <v>6</v>
      </c>
      <c r="BX199" s="4">
        <f t="shared" si="135"/>
        <v>0</v>
      </c>
      <c r="BY199" s="4">
        <f t="shared" si="136"/>
        <v>0</v>
      </c>
      <c r="BZ199" s="37">
        <f t="shared" si="137"/>
        <v>94</v>
      </c>
      <c r="CA199" s="32" t="str">
        <f>VLOOKUP(J:J,'Agent wise'!A:C,3,0)</f>
        <v>Adharsh</v>
      </c>
      <c r="CB199" s="32">
        <f t="shared" si="138"/>
        <v>45934</v>
      </c>
      <c r="CC199" t="str">
        <f t="shared" si="139"/>
        <v>Good</v>
      </c>
      <c r="CE199" s="32"/>
      <c r="CJ199">
        <f t="shared" si="140"/>
        <v>4</v>
      </c>
      <c r="CK199">
        <f t="shared" si="141"/>
        <v>10</v>
      </c>
      <c r="CL199">
        <f t="shared" si="142"/>
        <v>2025</v>
      </c>
    </row>
    <row r="200" spans="1:90" ht="15" customHeight="1" x14ac:dyDescent="0.35">
      <c r="A200" s="40">
        <v>45757.912152777782</v>
      </c>
      <c r="B200" t="s">
        <v>130</v>
      </c>
      <c r="C200" t="s">
        <v>214</v>
      </c>
      <c r="D200" t="s">
        <v>131</v>
      </c>
      <c r="E200" s="32">
        <v>45934</v>
      </c>
      <c r="F200" t="s">
        <v>54</v>
      </c>
      <c r="G200" s="2">
        <v>45757</v>
      </c>
      <c r="H200">
        <v>9400810257</v>
      </c>
      <c r="I200">
        <v>135</v>
      </c>
      <c r="J200" t="s">
        <v>75</v>
      </c>
      <c r="K200" t="s">
        <v>57</v>
      </c>
      <c r="L200" t="s">
        <v>58</v>
      </c>
      <c r="M200" t="s">
        <v>59</v>
      </c>
      <c r="N200" t="s">
        <v>59</v>
      </c>
      <c r="O200" t="s">
        <v>59</v>
      </c>
      <c r="P200" t="s">
        <v>59</v>
      </c>
      <c r="Q200" t="s">
        <v>59</v>
      </c>
      <c r="R200" t="s">
        <v>59</v>
      </c>
      <c r="S200" t="s">
        <v>59</v>
      </c>
      <c r="T200" t="s">
        <v>59</v>
      </c>
      <c r="U200" t="s">
        <v>60</v>
      </c>
      <c r="V200" t="s">
        <v>59</v>
      </c>
      <c r="W200" t="s">
        <v>59</v>
      </c>
      <c r="X200" t="s">
        <v>59</v>
      </c>
      <c r="Y200" t="s">
        <v>59</v>
      </c>
      <c r="Z200" t="s">
        <v>59</v>
      </c>
      <c r="AA200" t="s">
        <v>59</v>
      </c>
      <c r="AB200" t="s">
        <v>59</v>
      </c>
      <c r="AC200" t="s">
        <v>61</v>
      </c>
      <c r="AD200" t="s">
        <v>59</v>
      </c>
      <c r="AE200" t="s">
        <v>60</v>
      </c>
      <c r="AF200" t="s">
        <v>61</v>
      </c>
      <c r="AG200" t="s">
        <v>60</v>
      </c>
      <c r="AH200" t="s">
        <v>59</v>
      </c>
      <c r="AI200" t="s">
        <v>60</v>
      </c>
      <c r="AJ200" t="s">
        <v>59</v>
      </c>
      <c r="AK200" t="s">
        <v>59</v>
      </c>
      <c r="AL200" t="s">
        <v>59</v>
      </c>
      <c r="AM200" t="s">
        <v>59</v>
      </c>
      <c r="AN200" t="s">
        <v>59</v>
      </c>
      <c r="AO200" t="s">
        <v>59</v>
      </c>
      <c r="AP200" s="1" t="s">
        <v>668</v>
      </c>
      <c r="AQ200" s="1" t="s">
        <v>669</v>
      </c>
      <c r="AR200" t="s">
        <v>64</v>
      </c>
      <c r="AS200" t="s">
        <v>142</v>
      </c>
      <c r="AT200" t="s">
        <v>471</v>
      </c>
      <c r="AU200" t="s">
        <v>219</v>
      </c>
      <c r="AW200" s="4">
        <f t="shared" si="108"/>
        <v>6</v>
      </c>
      <c r="AX200" s="4">
        <f t="shared" si="109"/>
        <v>4</v>
      </c>
      <c r="AY200" s="4">
        <f t="shared" si="110"/>
        <v>4</v>
      </c>
      <c r="AZ200" s="4">
        <f t="shared" si="111"/>
        <v>2</v>
      </c>
      <c r="BA200" s="4">
        <f t="shared" si="112"/>
        <v>4</v>
      </c>
      <c r="BB200" s="4">
        <f t="shared" si="113"/>
        <v>4</v>
      </c>
      <c r="BC200" s="4">
        <f t="shared" si="114"/>
        <v>4</v>
      </c>
      <c r="BD200" s="4">
        <f t="shared" si="115"/>
        <v>2</v>
      </c>
      <c r="BE200" s="4" t="str">
        <f t="shared" si="116"/>
        <v>0</v>
      </c>
      <c r="BF200" s="4">
        <f t="shared" si="117"/>
        <v>2</v>
      </c>
      <c r="BG200" s="4">
        <f t="shared" si="118"/>
        <v>4</v>
      </c>
      <c r="BH200" s="4">
        <f t="shared" si="119"/>
        <v>4</v>
      </c>
      <c r="BI200" s="4">
        <f t="shared" si="120"/>
        <v>4</v>
      </c>
      <c r="BJ200" s="4">
        <f t="shared" si="121"/>
        <v>2</v>
      </c>
      <c r="BK200" s="4">
        <f t="shared" si="122"/>
        <v>4</v>
      </c>
      <c r="BL200" s="4">
        <f t="shared" si="123"/>
        <v>2</v>
      </c>
      <c r="BM200" s="4">
        <f t="shared" si="124"/>
        <v>4</v>
      </c>
      <c r="BN200" s="4">
        <f t="shared" si="125"/>
        <v>4</v>
      </c>
      <c r="BO200" s="4" t="str">
        <f t="shared" si="126"/>
        <v>0</v>
      </c>
      <c r="BP200" s="4">
        <f t="shared" si="127"/>
        <v>4</v>
      </c>
      <c r="BQ200" s="4" t="str">
        <f t="shared" si="128"/>
        <v>0</v>
      </c>
      <c r="BR200" s="4">
        <f t="shared" si="129"/>
        <v>4</v>
      </c>
      <c r="BS200" s="4" t="str">
        <f t="shared" si="130"/>
        <v>0</v>
      </c>
      <c r="BT200" s="4">
        <f t="shared" si="131"/>
        <v>4</v>
      </c>
      <c r="BU200" s="4">
        <f t="shared" si="132"/>
        <v>4</v>
      </c>
      <c r="BV200" s="4">
        <f t="shared" si="133"/>
        <v>0</v>
      </c>
      <c r="BW200" s="4">
        <f t="shared" si="134"/>
        <v>6</v>
      </c>
      <c r="BX200" s="4">
        <f t="shared" si="135"/>
        <v>0</v>
      </c>
      <c r="BY200" s="4">
        <f t="shared" si="136"/>
        <v>0</v>
      </c>
      <c r="BZ200" s="37">
        <f t="shared" si="137"/>
        <v>82</v>
      </c>
      <c r="CA200" s="32" t="str">
        <f>VLOOKUP(J:J,'Agent wise'!A:C,3,0)</f>
        <v>Saran S</v>
      </c>
      <c r="CB200" s="32">
        <f t="shared" si="138"/>
        <v>45934</v>
      </c>
      <c r="CC200" t="str">
        <f t="shared" si="139"/>
        <v>FC</v>
      </c>
      <c r="CE200" s="32"/>
      <c r="CJ200">
        <f t="shared" si="140"/>
        <v>4</v>
      </c>
      <c r="CK200">
        <f t="shared" si="141"/>
        <v>10</v>
      </c>
      <c r="CL200">
        <f t="shared" si="142"/>
        <v>2025</v>
      </c>
    </row>
    <row r="201" spans="1:90" ht="15" customHeight="1" x14ac:dyDescent="0.35">
      <c r="A201" s="40">
        <v>45757.91443287037</v>
      </c>
      <c r="B201" t="s">
        <v>130</v>
      </c>
      <c r="C201" t="s">
        <v>214</v>
      </c>
      <c r="D201" t="s">
        <v>131</v>
      </c>
      <c r="E201" s="32">
        <v>45934</v>
      </c>
      <c r="F201" t="s">
        <v>54</v>
      </c>
      <c r="G201" s="2">
        <v>45757</v>
      </c>
      <c r="H201">
        <v>7695958550</v>
      </c>
      <c r="I201">
        <v>135</v>
      </c>
      <c r="J201" t="s">
        <v>472</v>
      </c>
      <c r="K201" t="s">
        <v>71</v>
      </c>
      <c r="L201" t="s">
        <v>72</v>
      </c>
      <c r="M201" t="s">
        <v>59</v>
      </c>
      <c r="N201" t="s">
        <v>59</v>
      </c>
      <c r="O201" t="s">
        <v>59</v>
      </c>
      <c r="P201" t="s">
        <v>59</v>
      </c>
      <c r="Q201" t="s">
        <v>59</v>
      </c>
      <c r="R201" t="s">
        <v>59</v>
      </c>
      <c r="S201" t="s">
        <v>59</v>
      </c>
      <c r="T201" t="s">
        <v>59</v>
      </c>
      <c r="U201" t="s">
        <v>59</v>
      </c>
      <c r="V201" t="s">
        <v>59</v>
      </c>
      <c r="W201" t="s">
        <v>59</v>
      </c>
      <c r="X201" t="s">
        <v>59</v>
      </c>
      <c r="Y201" t="s">
        <v>59</v>
      </c>
      <c r="Z201" t="s">
        <v>59</v>
      </c>
      <c r="AA201" t="s">
        <v>59</v>
      </c>
      <c r="AB201" t="s">
        <v>61</v>
      </c>
      <c r="AC201" t="s">
        <v>61</v>
      </c>
      <c r="AD201" t="s">
        <v>59</v>
      </c>
      <c r="AE201" t="s">
        <v>59</v>
      </c>
      <c r="AF201" t="s">
        <v>61</v>
      </c>
      <c r="AG201" t="s">
        <v>59</v>
      </c>
      <c r="AH201" t="s">
        <v>61</v>
      </c>
      <c r="AI201" t="s">
        <v>61</v>
      </c>
      <c r="AJ201" t="s">
        <v>59</v>
      </c>
      <c r="AK201" t="s">
        <v>59</v>
      </c>
      <c r="AL201" t="s">
        <v>59</v>
      </c>
      <c r="AM201" t="s">
        <v>59</v>
      </c>
      <c r="AN201" t="s">
        <v>59</v>
      </c>
      <c r="AO201" t="s">
        <v>59</v>
      </c>
      <c r="AP201" t="s">
        <v>270</v>
      </c>
      <c r="AQ201" s="1" t="s">
        <v>670</v>
      </c>
      <c r="AR201" t="s">
        <v>64</v>
      </c>
      <c r="AS201" t="s">
        <v>482</v>
      </c>
      <c r="AT201" t="s">
        <v>483</v>
      </c>
      <c r="AU201" t="s">
        <v>219</v>
      </c>
      <c r="AW201" s="4">
        <f t="shared" si="108"/>
        <v>6</v>
      </c>
      <c r="AX201" s="4">
        <f t="shared" si="109"/>
        <v>4</v>
      </c>
      <c r="AY201" s="4">
        <f t="shared" si="110"/>
        <v>4</v>
      </c>
      <c r="AZ201" s="4">
        <f t="shared" si="111"/>
        <v>2</v>
      </c>
      <c r="BA201" s="4">
        <f t="shared" si="112"/>
        <v>4</v>
      </c>
      <c r="BB201" s="4">
        <f t="shared" si="113"/>
        <v>4</v>
      </c>
      <c r="BC201" s="4">
        <f t="shared" si="114"/>
        <v>4</v>
      </c>
      <c r="BD201" s="4">
        <f t="shared" si="115"/>
        <v>2</v>
      </c>
      <c r="BE201" s="4">
        <f t="shared" si="116"/>
        <v>4</v>
      </c>
      <c r="BF201" s="4">
        <f t="shared" si="117"/>
        <v>2</v>
      </c>
      <c r="BG201" s="4">
        <f t="shared" si="118"/>
        <v>4</v>
      </c>
      <c r="BH201" s="4">
        <f t="shared" si="119"/>
        <v>4</v>
      </c>
      <c r="BI201" s="4">
        <f t="shared" si="120"/>
        <v>4</v>
      </c>
      <c r="BJ201" s="4">
        <f t="shared" si="121"/>
        <v>2</v>
      </c>
      <c r="BK201" s="4">
        <f t="shared" si="122"/>
        <v>4</v>
      </c>
      <c r="BL201" s="4">
        <f t="shared" si="123"/>
        <v>2</v>
      </c>
      <c r="BM201" s="4">
        <f t="shared" si="124"/>
        <v>4</v>
      </c>
      <c r="BN201" s="4">
        <f t="shared" si="125"/>
        <v>4</v>
      </c>
      <c r="BO201" s="4">
        <f t="shared" si="126"/>
        <v>4</v>
      </c>
      <c r="BP201" s="4">
        <f t="shared" si="127"/>
        <v>4</v>
      </c>
      <c r="BQ201" s="4">
        <f t="shared" si="128"/>
        <v>6</v>
      </c>
      <c r="BR201" s="4">
        <f t="shared" si="129"/>
        <v>4</v>
      </c>
      <c r="BS201" s="4">
        <f t="shared" si="130"/>
        <v>4</v>
      </c>
      <c r="BT201" s="4">
        <f t="shared" si="131"/>
        <v>4</v>
      </c>
      <c r="BU201" s="4">
        <f t="shared" si="132"/>
        <v>4</v>
      </c>
      <c r="BV201" s="4">
        <f t="shared" si="133"/>
        <v>0</v>
      </c>
      <c r="BW201" s="4">
        <f t="shared" si="134"/>
        <v>6</v>
      </c>
      <c r="BX201" s="4">
        <f t="shared" si="135"/>
        <v>0</v>
      </c>
      <c r="BY201" s="4">
        <f t="shared" si="136"/>
        <v>0</v>
      </c>
      <c r="BZ201" s="37">
        <f t="shared" si="137"/>
        <v>100</v>
      </c>
      <c r="CA201" s="32" t="str">
        <f>VLOOKUP(J:J,'Agent wise'!A:C,3,0)</f>
        <v>Saran S</v>
      </c>
      <c r="CB201" s="32">
        <f t="shared" si="138"/>
        <v>45934</v>
      </c>
      <c r="CC201" t="str">
        <f t="shared" si="139"/>
        <v>Excellent</v>
      </c>
      <c r="CE201" s="32"/>
      <c r="CJ201">
        <f t="shared" si="140"/>
        <v>4</v>
      </c>
      <c r="CK201">
        <f t="shared" si="141"/>
        <v>10</v>
      </c>
      <c r="CL201">
        <f t="shared" si="142"/>
        <v>2025</v>
      </c>
    </row>
    <row r="202" spans="1:90" ht="15" customHeight="1" x14ac:dyDescent="0.35">
      <c r="A202" s="40">
        <v>45757.919583333343</v>
      </c>
      <c r="B202" t="s">
        <v>130</v>
      </c>
      <c r="C202" t="s">
        <v>214</v>
      </c>
      <c r="D202" t="s">
        <v>131</v>
      </c>
      <c r="E202" s="32">
        <v>45934</v>
      </c>
      <c r="F202" t="s">
        <v>54</v>
      </c>
      <c r="G202" s="2">
        <v>45757</v>
      </c>
      <c r="H202">
        <v>8138857405</v>
      </c>
      <c r="I202">
        <v>129</v>
      </c>
      <c r="J202" t="s">
        <v>56</v>
      </c>
      <c r="K202" t="s">
        <v>57</v>
      </c>
      <c r="L202" t="s">
        <v>58</v>
      </c>
      <c r="M202" t="s">
        <v>59</v>
      </c>
      <c r="N202" t="s">
        <v>59</v>
      </c>
      <c r="O202" t="s">
        <v>59</v>
      </c>
      <c r="P202" t="s">
        <v>59</v>
      </c>
      <c r="Q202" t="s">
        <v>59</v>
      </c>
      <c r="R202" t="s">
        <v>59</v>
      </c>
      <c r="S202" t="s">
        <v>59</v>
      </c>
      <c r="T202" t="s">
        <v>59</v>
      </c>
      <c r="U202" t="s">
        <v>60</v>
      </c>
      <c r="V202" t="s">
        <v>59</v>
      </c>
      <c r="W202" t="s">
        <v>59</v>
      </c>
      <c r="X202" t="s">
        <v>59</v>
      </c>
      <c r="Y202" t="s">
        <v>59</v>
      </c>
      <c r="Z202" t="s">
        <v>59</v>
      </c>
      <c r="AA202" t="s">
        <v>59</v>
      </c>
      <c r="AB202" t="s">
        <v>61</v>
      </c>
      <c r="AC202" t="s">
        <v>59</v>
      </c>
      <c r="AD202" t="s">
        <v>59</v>
      </c>
      <c r="AE202" t="s">
        <v>59</v>
      </c>
      <c r="AF202" t="s">
        <v>59</v>
      </c>
      <c r="AG202" t="s">
        <v>59</v>
      </c>
      <c r="AH202" t="s">
        <v>61</v>
      </c>
      <c r="AI202" t="s">
        <v>61</v>
      </c>
      <c r="AJ202" t="s">
        <v>59</v>
      </c>
      <c r="AK202" t="s">
        <v>59</v>
      </c>
      <c r="AL202" t="s">
        <v>60</v>
      </c>
      <c r="AM202" t="s">
        <v>59</v>
      </c>
      <c r="AN202" t="s">
        <v>59</v>
      </c>
      <c r="AO202" t="s">
        <v>59</v>
      </c>
      <c r="AP202" t="s">
        <v>150</v>
      </c>
      <c r="AQ202" s="1" t="s">
        <v>671</v>
      </c>
      <c r="AR202" t="s">
        <v>64</v>
      </c>
      <c r="AS202" t="s">
        <v>171</v>
      </c>
      <c r="AT202" t="s">
        <v>172</v>
      </c>
      <c r="AU202" t="s">
        <v>219</v>
      </c>
      <c r="AW202" s="4">
        <f t="shared" si="108"/>
        <v>6</v>
      </c>
      <c r="AX202" s="4">
        <f t="shared" si="109"/>
        <v>4</v>
      </c>
      <c r="AY202" s="4">
        <f t="shared" si="110"/>
        <v>4</v>
      </c>
      <c r="AZ202" s="4">
        <f t="shared" si="111"/>
        <v>2</v>
      </c>
      <c r="BA202" s="4">
        <f t="shared" si="112"/>
        <v>4</v>
      </c>
      <c r="BB202" s="4">
        <f t="shared" si="113"/>
        <v>4</v>
      </c>
      <c r="BC202" s="4">
        <f t="shared" si="114"/>
        <v>4</v>
      </c>
      <c r="BD202" s="4">
        <f t="shared" si="115"/>
        <v>2</v>
      </c>
      <c r="BE202" s="4" t="str">
        <f t="shared" si="116"/>
        <v>0</v>
      </c>
      <c r="BF202" s="4">
        <f t="shared" si="117"/>
        <v>2</v>
      </c>
      <c r="BG202" s="4">
        <f t="shared" si="118"/>
        <v>4</v>
      </c>
      <c r="BH202" s="4">
        <f t="shared" si="119"/>
        <v>4</v>
      </c>
      <c r="BI202" s="4">
        <f t="shared" si="120"/>
        <v>4</v>
      </c>
      <c r="BJ202" s="4">
        <f t="shared" si="121"/>
        <v>2</v>
      </c>
      <c r="BK202" s="4">
        <f t="shared" si="122"/>
        <v>4</v>
      </c>
      <c r="BL202" s="4">
        <f t="shared" si="123"/>
        <v>2</v>
      </c>
      <c r="BM202" s="4">
        <f t="shared" si="124"/>
        <v>4</v>
      </c>
      <c r="BN202" s="4">
        <f t="shared" si="125"/>
        <v>4</v>
      </c>
      <c r="BO202" s="4">
        <f t="shared" si="126"/>
        <v>4</v>
      </c>
      <c r="BP202" s="4">
        <f t="shared" si="127"/>
        <v>4</v>
      </c>
      <c r="BQ202" s="4">
        <f t="shared" si="128"/>
        <v>6</v>
      </c>
      <c r="BR202" s="4">
        <f t="shared" si="129"/>
        <v>4</v>
      </c>
      <c r="BS202" s="4">
        <f t="shared" si="130"/>
        <v>4</v>
      </c>
      <c r="BT202" s="4">
        <f t="shared" si="131"/>
        <v>4</v>
      </c>
      <c r="BU202" s="4">
        <f t="shared" si="132"/>
        <v>4</v>
      </c>
      <c r="BV202" s="4" t="str">
        <f t="shared" si="133"/>
        <v>0</v>
      </c>
      <c r="BW202" s="4">
        <f t="shared" si="134"/>
        <v>6</v>
      </c>
      <c r="BX202" s="4">
        <f t="shared" si="135"/>
        <v>0</v>
      </c>
      <c r="BY202" s="4">
        <f t="shared" si="136"/>
        <v>0</v>
      </c>
      <c r="BZ202" s="37">
        <f t="shared" si="137"/>
        <v>96</v>
      </c>
      <c r="CA202" s="32" t="str">
        <f>VLOOKUP(J:J,'Agent wise'!A:C,3,0)</f>
        <v>Saran S</v>
      </c>
      <c r="CB202" s="32">
        <f t="shared" si="138"/>
        <v>45934</v>
      </c>
      <c r="CC202" t="str">
        <f t="shared" si="139"/>
        <v>Excellent</v>
      </c>
      <c r="CE202" s="32"/>
      <c r="CJ202">
        <f t="shared" si="140"/>
        <v>4</v>
      </c>
      <c r="CK202">
        <f t="shared" si="141"/>
        <v>10</v>
      </c>
      <c r="CL202">
        <f t="shared" si="142"/>
        <v>2025</v>
      </c>
    </row>
    <row r="203" spans="1:90" ht="15" customHeight="1" x14ac:dyDescent="0.35">
      <c r="A203" s="40">
        <v>45757.921770833331</v>
      </c>
      <c r="B203" t="s">
        <v>130</v>
      </c>
      <c r="C203" t="s">
        <v>214</v>
      </c>
      <c r="D203" t="s">
        <v>131</v>
      </c>
      <c r="E203" s="32">
        <v>45934</v>
      </c>
      <c r="F203" t="s">
        <v>54</v>
      </c>
      <c r="G203" s="2">
        <v>45757</v>
      </c>
      <c r="H203">
        <v>9497476193</v>
      </c>
      <c r="I203">
        <v>157</v>
      </c>
      <c r="J203" t="s">
        <v>85</v>
      </c>
      <c r="K203" t="s">
        <v>57</v>
      </c>
      <c r="L203" t="s">
        <v>58</v>
      </c>
      <c r="M203" t="s">
        <v>59</v>
      </c>
      <c r="N203" t="s">
        <v>59</v>
      </c>
      <c r="O203" t="s">
        <v>59</v>
      </c>
      <c r="P203" t="s">
        <v>59</v>
      </c>
      <c r="Q203" t="s">
        <v>59</v>
      </c>
      <c r="R203" t="s">
        <v>59</v>
      </c>
      <c r="S203" t="s">
        <v>59</v>
      </c>
      <c r="T203" t="s">
        <v>59</v>
      </c>
      <c r="U203" t="s">
        <v>60</v>
      </c>
      <c r="V203" t="s">
        <v>59</v>
      </c>
      <c r="W203" t="s">
        <v>59</v>
      </c>
      <c r="X203" t="s">
        <v>59</v>
      </c>
      <c r="Y203" t="s">
        <v>59</v>
      </c>
      <c r="Z203" t="s">
        <v>59</v>
      </c>
      <c r="AA203" t="s">
        <v>59</v>
      </c>
      <c r="AB203" t="s">
        <v>61</v>
      </c>
      <c r="AC203" t="s">
        <v>60</v>
      </c>
      <c r="AD203" t="s">
        <v>59</v>
      </c>
      <c r="AE203" t="s">
        <v>59</v>
      </c>
      <c r="AF203" t="s">
        <v>61</v>
      </c>
      <c r="AG203" t="s">
        <v>59</v>
      </c>
      <c r="AH203" t="s">
        <v>61</v>
      </c>
      <c r="AI203" t="s">
        <v>61</v>
      </c>
      <c r="AJ203" t="s">
        <v>59</v>
      </c>
      <c r="AK203" t="s">
        <v>59</v>
      </c>
      <c r="AL203" t="s">
        <v>60</v>
      </c>
      <c r="AM203" t="s">
        <v>59</v>
      </c>
      <c r="AN203" t="s">
        <v>59</v>
      </c>
      <c r="AO203" t="s">
        <v>59</v>
      </c>
      <c r="AP203" t="s">
        <v>672</v>
      </c>
      <c r="AQ203" s="1" t="s">
        <v>673</v>
      </c>
      <c r="AR203" t="s">
        <v>64</v>
      </c>
      <c r="AS203" t="s">
        <v>674</v>
      </c>
      <c r="AT203" t="s">
        <v>675</v>
      </c>
      <c r="AU203" t="s">
        <v>257</v>
      </c>
      <c r="AW203" s="4">
        <f t="shared" si="108"/>
        <v>6</v>
      </c>
      <c r="AX203" s="4">
        <f t="shared" si="109"/>
        <v>4</v>
      </c>
      <c r="AY203" s="4">
        <f t="shared" si="110"/>
        <v>4</v>
      </c>
      <c r="AZ203" s="4">
        <f t="shared" si="111"/>
        <v>2</v>
      </c>
      <c r="BA203" s="4">
        <f t="shared" si="112"/>
        <v>4</v>
      </c>
      <c r="BB203" s="4">
        <f t="shared" si="113"/>
        <v>4</v>
      </c>
      <c r="BC203" s="4">
        <f t="shared" si="114"/>
        <v>4</v>
      </c>
      <c r="BD203" s="4">
        <f t="shared" si="115"/>
        <v>2</v>
      </c>
      <c r="BE203" s="4" t="str">
        <f t="shared" si="116"/>
        <v>0</v>
      </c>
      <c r="BF203" s="4">
        <f t="shared" si="117"/>
        <v>2</v>
      </c>
      <c r="BG203" s="4">
        <f t="shared" si="118"/>
        <v>4</v>
      </c>
      <c r="BH203" s="4">
        <f t="shared" si="119"/>
        <v>4</v>
      </c>
      <c r="BI203" s="4">
        <f t="shared" si="120"/>
        <v>4</v>
      </c>
      <c r="BJ203" s="4">
        <f t="shared" si="121"/>
        <v>2</v>
      </c>
      <c r="BK203" s="4">
        <f t="shared" si="122"/>
        <v>4</v>
      </c>
      <c r="BL203" s="4">
        <f t="shared" si="123"/>
        <v>2</v>
      </c>
      <c r="BM203" s="4" t="str">
        <f t="shared" si="124"/>
        <v>0</v>
      </c>
      <c r="BN203" s="4">
        <f t="shared" si="125"/>
        <v>4</v>
      </c>
      <c r="BO203" s="4">
        <f t="shared" si="126"/>
        <v>4</v>
      </c>
      <c r="BP203" s="4">
        <f t="shared" si="127"/>
        <v>4</v>
      </c>
      <c r="BQ203" s="4">
        <f t="shared" si="128"/>
        <v>6</v>
      </c>
      <c r="BR203" s="4">
        <f t="shared" si="129"/>
        <v>4</v>
      </c>
      <c r="BS203" s="4">
        <f t="shared" si="130"/>
        <v>4</v>
      </c>
      <c r="BT203" s="4">
        <f t="shared" si="131"/>
        <v>4</v>
      </c>
      <c r="BU203" s="4">
        <f t="shared" si="132"/>
        <v>4</v>
      </c>
      <c r="BV203" s="4" t="str">
        <f t="shared" si="133"/>
        <v>0</v>
      </c>
      <c r="BW203" s="4">
        <f t="shared" si="134"/>
        <v>6</v>
      </c>
      <c r="BX203" s="4">
        <f t="shared" si="135"/>
        <v>0</v>
      </c>
      <c r="BY203" s="4">
        <f t="shared" si="136"/>
        <v>0</v>
      </c>
      <c r="BZ203" s="37">
        <f t="shared" si="137"/>
        <v>92</v>
      </c>
      <c r="CA203" s="32" t="str">
        <f>VLOOKUP(J:J,'Agent wise'!A:C,3,0)</f>
        <v>Saran S</v>
      </c>
      <c r="CB203" s="32">
        <f t="shared" si="138"/>
        <v>45934</v>
      </c>
      <c r="CC203" t="str">
        <f t="shared" si="139"/>
        <v>Good</v>
      </c>
      <c r="CE203" s="32"/>
      <c r="CJ203">
        <f t="shared" si="140"/>
        <v>4</v>
      </c>
      <c r="CK203">
        <f t="shared" si="141"/>
        <v>10</v>
      </c>
      <c r="CL203">
        <f t="shared" si="142"/>
        <v>2025</v>
      </c>
    </row>
    <row r="204" spans="1:90" ht="15" customHeight="1" x14ac:dyDescent="0.35">
      <c r="A204" s="40">
        <v>45757.929293981477</v>
      </c>
      <c r="B204" t="s">
        <v>130</v>
      </c>
      <c r="C204" t="s">
        <v>214</v>
      </c>
      <c r="D204" t="s">
        <v>131</v>
      </c>
      <c r="E204" s="32">
        <v>45934</v>
      </c>
      <c r="F204" t="s">
        <v>54</v>
      </c>
      <c r="G204" s="2">
        <v>45757</v>
      </c>
      <c r="H204">
        <v>9025018545</v>
      </c>
      <c r="I204">
        <v>127</v>
      </c>
      <c r="J204" t="s">
        <v>657</v>
      </c>
      <c r="K204" t="s">
        <v>71</v>
      </c>
      <c r="L204" t="s">
        <v>72</v>
      </c>
      <c r="M204" t="s">
        <v>59</v>
      </c>
      <c r="N204" t="s">
        <v>59</v>
      </c>
      <c r="O204" t="s">
        <v>59</v>
      </c>
      <c r="P204" t="s">
        <v>59</v>
      </c>
      <c r="Q204" t="s">
        <v>59</v>
      </c>
      <c r="R204" t="s">
        <v>59</v>
      </c>
      <c r="S204" t="s">
        <v>59</v>
      </c>
      <c r="T204" t="s">
        <v>59</v>
      </c>
      <c r="U204" t="s">
        <v>60</v>
      </c>
      <c r="V204" t="s">
        <v>59</v>
      </c>
      <c r="W204" t="s">
        <v>59</v>
      </c>
      <c r="X204" t="s">
        <v>59</v>
      </c>
      <c r="Y204" t="s">
        <v>59</v>
      </c>
      <c r="Z204" t="s">
        <v>60</v>
      </c>
      <c r="AA204" t="s">
        <v>60</v>
      </c>
      <c r="AB204" t="s">
        <v>61</v>
      </c>
      <c r="AC204" t="s">
        <v>61</v>
      </c>
      <c r="AD204" t="s">
        <v>59</v>
      </c>
      <c r="AE204" t="s">
        <v>60</v>
      </c>
      <c r="AF204" t="s">
        <v>61</v>
      </c>
      <c r="AG204" t="s">
        <v>59</v>
      </c>
      <c r="AH204" t="s">
        <v>61</v>
      </c>
      <c r="AI204" t="s">
        <v>61</v>
      </c>
      <c r="AJ204" t="s">
        <v>59</v>
      </c>
      <c r="AK204" t="s">
        <v>59</v>
      </c>
      <c r="AL204" t="s">
        <v>60</v>
      </c>
      <c r="AM204" t="s">
        <v>59</v>
      </c>
      <c r="AN204" t="s">
        <v>59</v>
      </c>
      <c r="AO204" t="s">
        <v>59</v>
      </c>
      <c r="AP204" s="1" t="s">
        <v>676</v>
      </c>
      <c r="AQ204" s="1" t="s">
        <v>677</v>
      </c>
      <c r="AR204" t="s">
        <v>64</v>
      </c>
      <c r="AS204" t="s">
        <v>171</v>
      </c>
      <c r="AT204" t="s">
        <v>172</v>
      </c>
      <c r="AU204" t="s">
        <v>387</v>
      </c>
      <c r="AW204" s="4">
        <f t="shared" si="108"/>
        <v>6</v>
      </c>
      <c r="AX204" s="4">
        <f t="shared" si="109"/>
        <v>4</v>
      </c>
      <c r="AY204" s="4">
        <f t="shared" si="110"/>
        <v>4</v>
      </c>
      <c r="AZ204" s="4">
        <f t="shared" si="111"/>
        <v>2</v>
      </c>
      <c r="BA204" s="4">
        <f t="shared" si="112"/>
        <v>4</v>
      </c>
      <c r="BB204" s="4">
        <f t="shared" si="113"/>
        <v>4</v>
      </c>
      <c r="BC204" s="4">
        <f t="shared" si="114"/>
        <v>4</v>
      </c>
      <c r="BD204" s="4">
        <f t="shared" si="115"/>
        <v>2</v>
      </c>
      <c r="BE204" s="4" t="str">
        <f t="shared" si="116"/>
        <v>0</v>
      </c>
      <c r="BF204" s="4">
        <f t="shared" si="117"/>
        <v>2</v>
      </c>
      <c r="BG204" s="4">
        <f t="shared" si="118"/>
        <v>4</v>
      </c>
      <c r="BH204" s="4">
        <f t="shared" si="119"/>
        <v>4</v>
      </c>
      <c r="BI204" s="4">
        <f t="shared" si="120"/>
        <v>4</v>
      </c>
      <c r="BJ204" s="4" t="str">
        <f t="shared" si="121"/>
        <v>0</v>
      </c>
      <c r="BK204" s="4" t="str">
        <f t="shared" si="122"/>
        <v>0</v>
      </c>
      <c r="BL204" s="4">
        <f t="shared" si="123"/>
        <v>2</v>
      </c>
      <c r="BM204" s="4">
        <f t="shared" si="124"/>
        <v>4</v>
      </c>
      <c r="BN204" s="4">
        <f t="shared" si="125"/>
        <v>4</v>
      </c>
      <c r="BO204" s="4" t="str">
        <f t="shared" si="126"/>
        <v>0</v>
      </c>
      <c r="BP204" s="4">
        <f t="shared" si="127"/>
        <v>4</v>
      </c>
      <c r="BQ204" s="4">
        <f t="shared" si="128"/>
        <v>6</v>
      </c>
      <c r="BR204" s="4">
        <f t="shared" si="129"/>
        <v>4</v>
      </c>
      <c r="BS204" s="4">
        <f t="shared" si="130"/>
        <v>4</v>
      </c>
      <c r="BT204" s="4">
        <f t="shared" si="131"/>
        <v>4</v>
      </c>
      <c r="BU204" s="4">
        <f t="shared" si="132"/>
        <v>4</v>
      </c>
      <c r="BV204" s="4" t="str">
        <f t="shared" si="133"/>
        <v>0</v>
      </c>
      <c r="BW204" s="4">
        <f t="shared" si="134"/>
        <v>6</v>
      </c>
      <c r="BX204" s="4">
        <f t="shared" si="135"/>
        <v>0</v>
      </c>
      <c r="BY204" s="4">
        <f t="shared" si="136"/>
        <v>0</v>
      </c>
      <c r="BZ204" s="37">
        <f t="shared" si="137"/>
        <v>86</v>
      </c>
      <c r="CA204" s="32" t="str">
        <f>VLOOKUP(J:J,'Agent wise'!A:C,3,0)</f>
        <v>Saran S</v>
      </c>
      <c r="CB204" s="32">
        <f t="shared" si="138"/>
        <v>45934</v>
      </c>
      <c r="CC204" t="str">
        <f t="shared" si="139"/>
        <v>Average</v>
      </c>
      <c r="CE204" s="32"/>
      <c r="CJ204">
        <f t="shared" si="140"/>
        <v>4</v>
      </c>
      <c r="CK204">
        <f t="shared" si="141"/>
        <v>10</v>
      </c>
      <c r="CL204">
        <f t="shared" si="142"/>
        <v>2025</v>
      </c>
    </row>
    <row r="205" spans="1:90" ht="15" customHeight="1" x14ac:dyDescent="0.35">
      <c r="A205" s="40">
        <v>45757.938391203701</v>
      </c>
      <c r="B205" t="s">
        <v>130</v>
      </c>
      <c r="C205" t="s">
        <v>214</v>
      </c>
      <c r="D205" t="s">
        <v>131</v>
      </c>
      <c r="E205" s="32">
        <v>45934</v>
      </c>
      <c r="F205" t="s">
        <v>54</v>
      </c>
      <c r="G205" s="2">
        <v>45757</v>
      </c>
      <c r="H205">
        <v>9362676058</v>
      </c>
      <c r="I205">
        <v>131</v>
      </c>
      <c r="J205" t="s">
        <v>493</v>
      </c>
      <c r="K205" t="s">
        <v>71</v>
      </c>
      <c r="L205" t="s">
        <v>72</v>
      </c>
      <c r="M205" t="s">
        <v>59</v>
      </c>
      <c r="N205" t="s">
        <v>59</v>
      </c>
      <c r="O205" t="s">
        <v>59</v>
      </c>
      <c r="P205" t="s">
        <v>59</v>
      </c>
      <c r="Q205" t="s">
        <v>59</v>
      </c>
      <c r="R205" t="s">
        <v>59</v>
      </c>
      <c r="S205" t="s">
        <v>59</v>
      </c>
      <c r="T205" t="s">
        <v>59</v>
      </c>
      <c r="U205" t="s">
        <v>60</v>
      </c>
      <c r="V205" t="s">
        <v>59</v>
      </c>
      <c r="W205" t="s">
        <v>59</v>
      </c>
      <c r="X205" t="s">
        <v>59</v>
      </c>
      <c r="Y205" t="s">
        <v>59</v>
      </c>
      <c r="Z205" t="s">
        <v>59</v>
      </c>
      <c r="AA205" t="s">
        <v>59</v>
      </c>
      <c r="AB205" t="s">
        <v>61</v>
      </c>
      <c r="AC205" t="s">
        <v>60</v>
      </c>
      <c r="AD205" t="s">
        <v>59</v>
      </c>
      <c r="AE205" t="s">
        <v>59</v>
      </c>
      <c r="AF205" t="s">
        <v>61</v>
      </c>
      <c r="AG205" t="s">
        <v>59</v>
      </c>
      <c r="AH205" t="s">
        <v>61</v>
      </c>
      <c r="AI205" t="s">
        <v>61</v>
      </c>
      <c r="AJ205" t="s">
        <v>59</v>
      </c>
      <c r="AK205" t="s">
        <v>59</v>
      </c>
      <c r="AL205" t="s">
        <v>60</v>
      </c>
      <c r="AM205" t="s">
        <v>59</v>
      </c>
      <c r="AN205" t="s">
        <v>59</v>
      </c>
      <c r="AO205" t="s">
        <v>59</v>
      </c>
      <c r="AP205" t="s">
        <v>678</v>
      </c>
      <c r="AQ205" s="1" t="s">
        <v>679</v>
      </c>
      <c r="AR205" t="s">
        <v>64</v>
      </c>
      <c r="AS205" t="s">
        <v>171</v>
      </c>
      <c r="AT205" t="s">
        <v>172</v>
      </c>
      <c r="AU205" t="s">
        <v>219</v>
      </c>
      <c r="AW205" s="4">
        <f t="shared" si="108"/>
        <v>6</v>
      </c>
      <c r="AX205" s="4">
        <f t="shared" si="109"/>
        <v>4</v>
      </c>
      <c r="AY205" s="4">
        <f t="shared" si="110"/>
        <v>4</v>
      </c>
      <c r="AZ205" s="4">
        <f t="shared" si="111"/>
        <v>2</v>
      </c>
      <c r="BA205" s="4">
        <f t="shared" si="112"/>
        <v>4</v>
      </c>
      <c r="BB205" s="4">
        <f t="shared" si="113"/>
        <v>4</v>
      </c>
      <c r="BC205" s="4">
        <f t="shared" si="114"/>
        <v>4</v>
      </c>
      <c r="BD205" s="4">
        <f t="shared" si="115"/>
        <v>2</v>
      </c>
      <c r="BE205" s="4" t="str">
        <f t="shared" si="116"/>
        <v>0</v>
      </c>
      <c r="BF205" s="4">
        <f t="shared" si="117"/>
        <v>2</v>
      </c>
      <c r="BG205" s="4">
        <f t="shared" si="118"/>
        <v>4</v>
      </c>
      <c r="BH205" s="4">
        <f t="shared" si="119"/>
        <v>4</v>
      </c>
      <c r="BI205" s="4">
        <f t="shared" si="120"/>
        <v>4</v>
      </c>
      <c r="BJ205" s="4">
        <f t="shared" si="121"/>
        <v>2</v>
      </c>
      <c r="BK205" s="4">
        <f t="shared" si="122"/>
        <v>4</v>
      </c>
      <c r="BL205" s="4">
        <f t="shared" si="123"/>
        <v>2</v>
      </c>
      <c r="BM205" s="4" t="str">
        <f t="shared" si="124"/>
        <v>0</v>
      </c>
      <c r="BN205" s="4">
        <f t="shared" si="125"/>
        <v>4</v>
      </c>
      <c r="BO205" s="4">
        <f t="shared" si="126"/>
        <v>4</v>
      </c>
      <c r="BP205" s="4">
        <f t="shared" si="127"/>
        <v>4</v>
      </c>
      <c r="BQ205" s="4">
        <f t="shared" si="128"/>
        <v>6</v>
      </c>
      <c r="BR205" s="4">
        <f t="shared" si="129"/>
        <v>4</v>
      </c>
      <c r="BS205" s="4">
        <f t="shared" si="130"/>
        <v>4</v>
      </c>
      <c r="BT205" s="4">
        <f t="shared" si="131"/>
        <v>4</v>
      </c>
      <c r="BU205" s="4">
        <f t="shared" si="132"/>
        <v>4</v>
      </c>
      <c r="BV205" s="4" t="str">
        <f t="shared" si="133"/>
        <v>0</v>
      </c>
      <c r="BW205" s="4">
        <f t="shared" si="134"/>
        <v>6</v>
      </c>
      <c r="BX205" s="4">
        <f t="shared" si="135"/>
        <v>0</v>
      </c>
      <c r="BY205" s="4">
        <f t="shared" si="136"/>
        <v>0</v>
      </c>
      <c r="BZ205" s="37">
        <f t="shared" si="137"/>
        <v>92</v>
      </c>
      <c r="CA205" s="32" t="str">
        <f>VLOOKUP(J:J,'Agent wise'!A:C,3,0)</f>
        <v>Saran S</v>
      </c>
      <c r="CB205" s="32">
        <f t="shared" si="138"/>
        <v>45934</v>
      </c>
      <c r="CC205" t="str">
        <f t="shared" si="139"/>
        <v>Good</v>
      </c>
      <c r="CE205" s="32"/>
      <c r="CJ205">
        <f t="shared" si="140"/>
        <v>4</v>
      </c>
      <c r="CK205">
        <f t="shared" si="141"/>
        <v>10</v>
      </c>
      <c r="CL205">
        <f t="shared" si="142"/>
        <v>2025</v>
      </c>
    </row>
    <row r="206" spans="1:90" ht="15" customHeight="1" x14ac:dyDescent="0.35">
      <c r="A206" s="40">
        <v>45757.944560185177</v>
      </c>
      <c r="B206" t="s">
        <v>130</v>
      </c>
      <c r="C206" t="s">
        <v>214</v>
      </c>
      <c r="D206" t="s">
        <v>131</v>
      </c>
      <c r="E206" s="32">
        <v>45934</v>
      </c>
      <c r="F206" t="s">
        <v>54</v>
      </c>
      <c r="G206" s="2">
        <v>45757</v>
      </c>
      <c r="H206">
        <v>9489735624</v>
      </c>
      <c r="I206">
        <v>135</v>
      </c>
      <c r="J206" t="s">
        <v>321</v>
      </c>
      <c r="K206" t="s">
        <v>71</v>
      </c>
      <c r="L206" t="s">
        <v>72</v>
      </c>
      <c r="M206" t="s">
        <v>59</v>
      </c>
      <c r="N206" t="s">
        <v>59</v>
      </c>
      <c r="O206" t="s">
        <v>59</v>
      </c>
      <c r="P206" t="s">
        <v>59</v>
      </c>
      <c r="Q206" t="s">
        <v>59</v>
      </c>
      <c r="R206" t="s">
        <v>59</v>
      </c>
      <c r="S206" t="s">
        <v>59</v>
      </c>
      <c r="T206" t="s">
        <v>59</v>
      </c>
      <c r="U206" t="s">
        <v>60</v>
      </c>
      <c r="V206" t="s">
        <v>59</v>
      </c>
      <c r="W206" t="s">
        <v>59</v>
      </c>
      <c r="X206" t="s">
        <v>59</v>
      </c>
      <c r="Y206" t="s">
        <v>59</v>
      </c>
      <c r="Z206" t="s">
        <v>59</v>
      </c>
      <c r="AA206" t="s">
        <v>59</v>
      </c>
      <c r="AB206" t="s">
        <v>61</v>
      </c>
      <c r="AC206" t="s">
        <v>60</v>
      </c>
      <c r="AD206" t="s">
        <v>59</v>
      </c>
      <c r="AE206" t="s">
        <v>59</v>
      </c>
      <c r="AF206" t="s">
        <v>61</v>
      </c>
      <c r="AG206" t="s">
        <v>59</v>
      </c>
      <c r="AH206" t="s">
        <v>61</v>
      </c>
      <c r="AI206" t="s">
        <v>61</v>
      </c>
      <c r="AJ206" t="s">
        <v>59</v>
      </c>
      <c r="AK206" t="s">
        <v>59</v>
      </c>
      <c r="AL206" t="s">
        <v>60</v>
      </c>
      <c r="AM206" t="s">
        <v>59</v>
      </c>
      <c r="AN206" t="s">
        <v>59</v>
      </c>
      <c r="AO206" t="s">
        <v>59</v>
      </c>
      <c r="AP206" t="s">
        <v>678</v>
      </c>
      <c r="AQ206" s="1" t="s">
        <v>680</v>
      </c>
      <c r="AR206" t="s">
        <v>64</v>
      </c>
      <c r="AS206" t="s">
        <v>157</v>
      </c>
      <c r="AT206" t="s">
        <v>158</v>
      </c>
      <c r="AU206" t="s">
        <v>219</v>
      </c>
      <c r="AW206" s="4">
        <f t="shared" si="108"/>
        <v>6</v>
      </c>
      <c r="AX206" s="4">
        <f t="shared" si="109"/>
        <v>4</v>
      </c>
      <c r="AY206" s="4">
        <f t="shared" si="110"/>
        <v>4</v>
      </c>
      <c r="AZ206" s="4">
        <f t="shared" si="111"/>
        <v>2</v>
      </c>
      <c r="BA206" s="4">
        <f t="shared" si="112"/>
        <v>4</v>
      </c>
      <c r="BB206" s="4">
        <f t="shared" si="113"/>
        <v>4</v>
      </c>
      <c r="BC206" s="4">
        <f t="shared" si="114"/>
        <v>4</v>
      </c>
      <c r="BD206" s="4">
        <f t="shared" si="115"/>
        <v>2</v>
      </c>
      <c r="BE206" s="4" t="str">
        <f t="shared" si="116"/>
        <v>0</v>
      </c>
      <c r="BF206" s="4">
        <f t="shared" si="117"/>
        <v>2</v>
      </c>
      <c r="BG206" s="4">
        <f t="shared" si="118"/>
        <v>4</v>
      </c>
      <c r="BH206" s="4">
        <f t="shared" si="119"/>
        <v>4</v>
      </c>
      <c r="BI206" s="4">
        <f t="shared" si="120"/>
        <v>4</v>
      </c>
      <c r="BJ206" s="4">
        <f t="shared" si="121"/>
        <v>2</v>
      </c>
      <c r="BK206" s="4">
        <f t="shared" si="122"/>
        <v>4</v>
      </c>
      <c r="BL206" s="4">
        <f t="shared" si="123"/>
        <v>2</v>
      </c>
      <c r="BM206" s="4" t="str">
        <f t="shared" si="124"/>
        <v>0</v>
      </c>
      <c r="BN206" s="4">
        <f t="shared" si="125"/>
        <v>4</v>
      </c>
      <c r="BO206" s="4">
        <f t="shared" si="126"/>
        <v>4</v>
      </c>
      <c r="BP206" s="4">
        <f t="shared" si="127"/>
        <v>4</v>
      </c>
      <c r="BQ206" s="4">
        <f t="shared" si="128"/>
        <v>6</v>
      </c>
      <c r="BR206" s="4">
        <f t="shared" si="129"/>
        <v>4</v>
      </c>
      <c r="BS206" s="4">
        <f t="shared" si="130"/>
        <v>4</v>
      </c>
      <c r="BT206" s="4">
        <f t="shared" si="131"/>
        <v>4</v>
      </c>
      <c r="BU206" s="4">
        <f t="shared" si="132"/>
        <v>4</v>
      </c>
      <c r="BV206" s="4" t="str">
        <f t="shared" si="133"/>
        <v>0</v>
      </c>
      <c r="BW206" s="4">
        <f t="shared" si="134"/>
        <v>6</v>
      </c>
      <c r="BX206" s="4">
        <f t="shared" si="135"/>
        <v>0</v>
      </c>
      <c r="BY206" s="4">
        <f t="shared" si="136"/>
        <v>0</v>
      </c>
      <c r="BZ206" s="37">
        <f t="shared" si="137"/>
        <v>92</v>
      </c>
      <c r="CA206" s="32" t="str">
        <f>VLOOKUP(J:J,'Agent wise'!A:C,3,0)</f>
        <v>Saran S</v>
      </c>
      <c r="CB206" s="32">
        <f t="shared" si="138"/>
        <v>45934</v>
      </c>
      <c r="CC206" t="str">
        <f t="shared" si="139"/>
        <v>Good</v>
      </c>
      <c r="CE206" s="32"/>
      <c r="CJ206">
        <f t="shared" si="140"/>
        <v>4</v>
      </c>
      <c r="CK206">
        <f t="shared" si="141"/>
        <v>10</v>
      </c>
      <c r="CL206">
        <f t="shared" si="142"/>
        <v>2025</v>
      </c>
    </row>
    <row r="207" spans="1:90" ht="15" customHeight="1" x14ac:dyDescent="0.35">
      <c r="A207" s="40">
        <v>45757.950104166674</v>
      </c>
      <c r="B207" t="s">
        <v>130</v>
      </c>
      <c r="C207" t="s">
        <v>214</v>
      </c>
      <c r="D207" t="s">
        <v>131</v>
      </c>
      <c r="E207" s="32">
        <v>45934</v>
      </c>
      <c r="F207" t="s">
        <v>54</v>
      </c>
      <c r="G207" s="2">
        <v>45757</v>
      </c>
      <c r="H207">
        <v>9659125234</v>
      </c>
      <c r="I207">
        <v>128</v>
      </c>
      <c r="J207" t="s">
        <v>91</v>
      </c>
      <c r="K207" t="s">
        <v>71</v>
      </c>
      <c r="L207" t="s">
        <v>72</v>
      </c>
      <c r="M207" t="s">
        <v>59</v>
      </c>
      <c r="N207" t="s">
        <v>59</v>
      </c>
      <c r="O207" t="s">
        <v>59</v>
      </c>
      <c r="P207" t="s">
        <v>59</v>
      </c>
      <c r="Q207" t="s">
        <v>59</v>
      </c>
      <c r="R207" t="s">
        <v>59</v>
      </c>
      <c r="S207" t="s">
        <v>59</v>
      </c>
      <c r="T207" t="s">
        <v>59</v>
      </c>
      <c r="U207" t="s">
        <v>60</v>
      </c>
      <c r="V207" t="s">
        <v>59</v>
      </c>
      <c r="W207" t="s">
        <v>59</v>
      </c>
      <c r="X207" t="s">
        <v>59</v>
      </c>
      <c r="Y207" t="s">
        <v>59</v>
      </c>
      <c r="Z207" t="s">
        <v>59</v>
      </c>
      <c r="AA207" t="s">
        <v>59</v>
      </c>
      <c r="AB207" t="s">
        <v>60</v>
      </c>
      <c r="AC207" t="s">
        <v>61</v>
      </c>
      <c r="AD207" t="s">
        <v>59</v>
      </c>
      <c r="AE207" t="s">
        <v>59</v>
      </c>
      <c r="AF207" t="s">
        <v>61</v>
      </c>
      <c r="AG207" t="s">
        <v>59</v>
      </c>
      <c r="AH207" t="s">
        <v>61</v>
      </c>
      <c r="AI207" t="s">
        <v>61</v>
      </c>
      <c r="AJ207" t="s">
        <v>59</v>
      </c>
      <c r="AK207" t="s">
        <v>59</v>
      </c>
      <c r="AL207" t="s">
        <v>60</v>
      </c>
      <c r="AM207" t="s">
        <v>59</v>
      </c>
      <c r="AN207" t="s">
        <v>59</v>
      </c>
      <c r="AO207" t="s">
        <v>59</v>
      </c>
      <c r="AP207" t="s">
        <v>681</v>
      </c>
      <c r="AQ207" s="1" t="s">
        <v>682</v>
      </c>
      <c r="AR207" t="s">
        <v>64</v>
      </c>
      <c r="AS207" t="s">
        <v>152</v>
      </c>
      <c r="AT207" t="s">
        <v>267</v>
      </c>
      <c r="AU207" t="s">
        <v>219</v>
      </c>
      <c r="AW207" s="4">
        <f t="shared" si="108"/>
        <v>6</v>
      </c>
      <c r="AX207" s="4">
        <f t="shared" si="109"/>
        <v>4</v>
      </c>
      <c r="AY207" s="4">
        <f t="shared" si="110"/>
        <v>4</v>
      </c>
      <c r="AZ207" s="4">
        <f t="shared" si="111"/>
        <v>2</v>
      </c>
      <c r="BA207" s="4">
        <f t="shared" si="112"/>
        <v>4</v>
      </c>
      <c r="BB207" s="4">
        <f t="shared" si="113"/>
        <v>4</v>
      </c>
      <c r="BC207" s="4">
        <f t="shared" si="114"/>
        <v>4</v>
      </c>
      <c r="BD207" s="4">
        <f t="shared" si="115"/>
        <v>2</v>
      </c>
      <c r="BE207" s="4" t="str">
        <f t="shared" si="116"/>
        <v>0</v>
      </c>
      <c r="BF207" s="4">
        <f t="shared" si="117"/>
        <v>2</v>
      </c>
      <c r="BG207" s="4">
        <f t="shared" si="118"/>
        <v>4</v>
      </c>
      <c r="BH207" s="4">
        <f t="shared" si="119"/>
        <v>4</v>
      </c>
      <c r="BI207" s="4">
        <f t="shared" si="120"/>
        <v>4</v>
      </c>
      <c r="BJ207" s="4">
        <f t="shared" si="121"/>
        <v>2</v>
      </c>
      <c r="BK207" s="4">
        <f t="shared" si="122"/>
        <v>4</v>
      </c>
      <c r="BL207" s="4" t="str">
        <f t="shared" si="123"/>
        <v>0</v>
      </c>
      <c r="BM207" s="4">
        <f t="shared" si="124"/>
        <v>4</v>
      </c>
      <c r="BN207" s="4">
        <f t="shared" si="125"/>
        <v>4</v>
      </c>
      <c r="BO207" s="4">
        <f t="shared" si="126"/>
        <v>4</v>
      </c>
      <c r="BP207" s="4">
        <f t="shared" si="127"/>
        <v>4</v>
      </c>
      <c r="BQ207" s="4">
        <f t="shared" si="128"/>
        <v>6</v>
      </c>
      <c r="BR207" s="4">
        <f t="shared" si="129"/>
        <v>4</v>
      </c>
      <c r="BS207" s="4">
        <f t="shared" si="130"/>
        <v>4</v>
      </c>
      <c r="BT207" s="4">
        <f t="shared" si="131"/>
        <v>4</v>
      </c>
      <c r="BU207" s="4">
        <f t="shared" si="132"/>
        <v>4</v>
      </c>
      <c r="BV207" s="4" t="str">
        <f t="shared" si="133"/>
        <v>0</v>
      </c>
      <c r="BW207" s="4">
        <f t="shared" si="134"/>
        <v>6</v>
      </c>
      <c r="BX207" s="4">
        <f t="shared" si="135"/>
        <v>0</v>
      </c>
      <c r="BY207" s="4">
        <f t="shared" si="136"/>
        <v>0</v>
      </c>
      <c r="BZ207" s="37">
        <f t="shared" si="137"/>
        <v>94</v>
      </c>
      <c r="CA207" s="32" t="str">
        <f>VLOOKUP(J:J,'Agent wise'!A:C,3,0)</f>
        <v>Saran S</v>
      </c>
      <c r="CB207" s="32">
        <f t="shared" si="138"/>
        <v>45934</v>
      </c>
      <c r="CC207" t="str">
        <f t="shared" si="139"/>
        <v>Good</v>
      </c>
      <c r="CE207" s="32"/>
      <c r="CJ207">
        <f t="shared" si="140"/>
        <v>4</v>
      </c>
      <c r="CK207">
        <f t="shared" si="141"/>
        <v>10</v>
      </c>
      <c r="CL207">
        <f t="shared" si="142"/>
        <v>2025</v>
      </c>
    </row>
    <row r="208" spans="1:90" ht="15" customHeight="1" x14ac:dyDescent="0.35">
      <c r="A208" s="40">
        <v>45787.502627314818</v>
      </c>
      <c r="B208" t="s">
        <v>250</v>
      </c>
      <c r="C208" t="s">
        <v>214</v>
      </c>
      <c r="D208" t="s">
        <v>251</v>
      </c>
      <c r="E208" s="32">
        <v>45935</v>
      </c>
      <c r="F208" t="s">
        <v>222</v>
      </c>
      <c r="G208" s="2">
        <v>45726</v>
      </c>
      <c r="H208">
        <v>7708841603</v>
      </c>
      <c r="I208">
        <v>149</v>
      </c>
      <c r="J208" t="s">
        <v>313</v>
      </c>
      <c r="K208" t="s">
        <v>71</v>
      </c>
      <c r="L208" t="s">
        <v>72</v>
      </c>
      <c r="M208" t="s">
        <v>59</v>
      </c>
      <c r="N208" t="s">
        <v>59</v>
      </c>
      <c r="O208" t="s">
        <v>59</v>
      </c>
      <c r="P208" t="s">
        <v>59</v>
      </c>
      <c r="Q208" t="s">
        <v>59</v>
      </c>
      <c r="R208" t="s">
        <v>59</v>
      </c>
      <c r="S208" t="s">
        <v>59</v>
      </c>
      <c r="T208" t="s">
        <v>59</v>
      </c>
      <c r="U208" t="s">
        <v>59</v>
      </c>
      <c r="V208" t="s">
        <v>59</v>
      </c>
      <c r="W208" t="s">
        <v>59</v>
      </c>
      <c r="X208" t="s">
        <v>59</v>
      </c>
      <c r="Y208" t="s">
        <v>59</v>
      </c>
      <c r="Z208" t="s">
        <v>59</v>
      </c>
      <c r="AA208" t="s">
        <v>59</v>
      </c>
      <c r="AB208" t="s">
        <v>59</v>
      </c>
      <c r="AC208" t="s">
        <v>59</v>
      </c>
      <c r="AD208" t="s">
        <v>59</v>
      </c>
      <c r="AE208" t="s">
        <v>59</v>
      </c>
      <c r="AF208" t="s">
        <v>59</v>
      </c>
      <c r="AG208" t="s">
        <v>59</v>
      </c>
      <c r="AH208" t="s">
        <v>61</v>
      </c>
      <c r="AI208" t="s">
        <v>61</v>
      </c>
      <c r="AJ208" t="s">
        <v>59</v>
      </c>
      <c r="AK208" t="s">
        <v>59</v>
      </c>
      <c r="AL208" t="s">
        <v>60</v>
      </c>
      <c r="AM208" t="s">
        <v>59</v>
      </c>
      <c r="AN208" t="s">
        <v>59</v>
      </c>
      <c r="AO208" t="s">
        <v>59</v>
      </c>
      <c r="AP208" t="s">
        <v>563</v>
      </c>
      <c r="AQ208" t="s">
        <v>683</v>
      </c>
      <c r="AR208" t="s">
        <v>226</v>
      </c>
      <c r="AS208" t="s">
        <v>684</v>
      </c>
      <c r="AT208" t="s">
        <v>394</v>
      </c>
      <c r="AU208" t="s">
        <v>219</v>
      </c>
      <c r="AW208" s="4">
        <f t="shared" si="108"/>
        <v>6</v>
      </c>
      <c r="AX208" s="4">
        <f t="shared" si="109"/>
        <v>4</v>
      </c>
      <c r="AY208" s="4">
        <f t="shared" si="110"/>
        <v>4</v>
      </c>
      <c r="AZ208" s="4">
        <f t="shared" si="111"/>
        <v>2</v>
      </c>
      <c r="BA208" s="4">
        <f t="shared" si="112"/>
        <v>4</v>
      </c>
      <c r="BB208" s="4">
        <f t="shared" si="113"/>
        <v>4</v>
      </c>
      <c r="BC208" s="4">
        <f t="shared" si="114"/>
        <v>4</v>
      </c>
      <c r="BD208" s="4">
        <f t="shared" si="115"/>
        <v>2</v>
      </c>
      <c r="BE208" s="4">
        <f t="shared" si="116"/>
        <v>4</v>
      </c>
      <c r="BF208" s="4">
        <f t="shared" si="117"/>
        <v>2</v>
      </c>
      <c r="BG208" s="4">
        <f t="shared" si="118"/>
        <v>4</v>
      </c>
      <c r="BH208" s="4">
        <f t="shared" si="119"/>
        <v>4</v>
      </c>
      <c r="BI208" s="4">
        <f t="shared" si="120"/>
        <v>4</v>
      </c>
      <c r="BJ208" s="4">
        <f t="shared" si="121"/>
        <v>2</v>
      </c>
      <c r="BK208" s="4">
        <f t="shared" si="122"/>
        <v>4</v>
      </c>
      <c r="BL208" s="4">
        <f t="shared" si="123"/>
        <v>2</v>
      </c>
      <c r="BM208" s="4">
        <f t="shared" si="124"/>
        <v>4</v>
      </c>
      <c r="BN208" s="4">
        <f t="shared" si="125"/>
        <v>4</v>
      </c>
      <c r="BO208" s="4">
        <f t="shared" si="126"/>
        <v>4</v>
      </c>
      <c r="BP208" s="4">
        <f t="shared" si="127"/>
        <v>4</v>
      </c>
      <c r="BQ208" s="4">
        <f t="shared" si="128"/>
        <v>6</v>
      </c>
      <c r="BR208" s="4">
        <f t="shared" si="129"/>
        <v>4</v>
      </c>
      <c r="BS208" s="4">
        <f t="shared" si="130"/>
        <v>4</v>
      </c>
      <c r="BT208" s="4">
        <f t="shared" si="131"/>
        <v>4</v>
      </c>
      <c r="BU208" s="4">
        <f t="shared" si="132"/>
        <v>4</v>
      </c>
      <c r="BV208" s="4" t="str">
        <f t="shared" si="133"/>
        <v>0</v>
      </c>
      <c r="BW208" s="4">
        <f t="shared" si="134"/>
        <v>6</v>
      </c>
      <c r="BX208" s="4">
        <f t="shared" si="135"/>
        <v>0</v>
      </c>
      <c r="BY208" s="4">
        <f t="shared" si="136"/>
        <v>0</v>
      </c>
      <c r="BZ208" s="37">
        <f t="shared" si="137"/>
        <v>100</v>
      </c>
      <c r="CA208" s="32" t="str">
        <f>VLOOKUP(J:J,'Agent wise'!A:C,3,0)</f>
        <v>Shakeer</v>
      </c>
      <c r="CB208" s="32">
        <f t="shared" si="138"/>
        <v>45935</v>
      </c>
      <c r="CC208" t="str">
        <f t="shared" si="139"/>
        <v>Excellent</v>
      </c>
      <c r="CE208" s="32"/>
      <c r="CJ208">
        <f t="shared" si="140"/>
        <v>5</v>
      </c>
      <c r="CK208">
        <f t="shared" si="141"/>
        <v>10</v>
      </c>
      <c r="CL208">
        <f t="shared" si="142"/>
        <v>2025</v>
      </c>
    </row>
    <row r="209" spans="1:90" ht="15" customHeight="1" x14ac:dyDescent="0.35">
      <c r="A209" s="40">
        <v>45787.507187499999</v>
      </c>
      <c r="B209" t="s">
        <v>250</v>
      </c>
      <c r="C209" t="s">
        <v>214</v>
      </c>
      <c r="D209" t="s">
        <v>251</v>
      </c>
      <c r="E209" s="32">
        <v>45935</v>
      </c>
      <c r="F209" t="s">
        <v>222</v>
      </c>
      <c r="G209" s="2">
        <v>45726</v>
      </c>
      <c r="H209">
        <v>8667864193</v>
      </c>
      <c r="I209">
        <v>133</v>
      </c>
      <c r="J209" t="s">
        <v>242</v>
      </c>
      <c r="K209" t="s">
        <v>71</v>
      </c>
      <c r="L209" t="s">
        <v>72</v>
      </c>
      <c r="M209" t="s">
        <v>59</v>
      </c>
      <c r="N209" t="s">
        <v>59</v>
      </c>
      <c r="O209" t="s">
        <v>59</v>
      </c>
      <c r="P209" t="s">
        <v>59</v>
      </c>
      <c r="Q209" t="s">
        <v>59</v>
      </c>
      <c r="R209" t="s">
        <v>59</v>
      </c>
      <c r="S209" t="s">
        <v>59</v>
      </c>
      <c r="T209" t="s">
        <v>59</v>
      </c>
      <c r="U209" t="s">
        <v>60</v>
      </c>
      <c r="V209" t="s">
        <v>59</v>
      </c>
      <c r="W209" t="s">
        <v>59</v>
      </c>
      <c r="X209" t="s">
        <v>59</v>
      </c>
      <c r="Y209" t="s">
        <v>59</v>
      </c>
      <c r="Z209" t="s">
        <v>60</v>
      </c>
      <c r="AA209" t="s">
        <v>60</v>
      </c>
      <c r="AB209" t="s">
        <v>59</v>
      </c>
      <c r="AC209" t="s">
        <v>59</v>
      </c>
      <c r="AD209" t="s">
        <v>59</v>
      </c>
      <c r="AE209" t="s">
        <v>59</v>
      </c>
      <c r="AF209" t="s">
        <v>59</v>
      </c>
      <c r="AG209" t="s">
        <v>59</v>
      </c>
      <c r="AH209" t="s">
        <v>61</v>
      </c>
      <c r="AI209" t="s">
        <v>61</v>
      </c>
      <c r="AJ209" t="s">
        <v>59</v>
      </c>
      <c r="AK209" t="s">
        <v>59</v>
      </c>
      <c r="AL209" t="s">
        <v>60</v>
      </c>
      <c r="AM209" t="s">
        <v>59</v>
      </c>
      <c r="AN209" t="s">
        <v>59</v>
      </c>
      <c r="AO209" t="s">
        <v>59</v>
      </c>
      <c r="AP209" t="s">
        <v>685</v>
      </c>
      <c r="AQ209" t="s">
        <v>686</v>
      </c>
      <c r="AR209" t="s">
        <v>226</v>
      </c>
      <c r="AS209" t="s">
        <v>249</v>
      </c>
      <c r="AT209" t="s">
        <v>687</v>
      </c>
      <c r="AU209" t="s">
        <v>219</v>
      </c>
      <c r="AW209" s="4">
        <f t="shared" si="108"/>
        <v>6</v>
      </c>
      <c r="AX209" s="4">
        <f t="shared" si="109"/>
        <v>4</v>
      </c>
      <c r="AY209" s="4">
        <f t="shared" si="110"/>
        <v>4</v>
      </c>
      <c r="AZ209" s="4">
        <f t="shared" si="111"/>
        <v>2</v>
      </c>
      <c r="BA209" s="4">
        <f t="shared" si="112"/>
        <v>4</v>
      </c>
      <c r="BB209" s="4">
        <f t="shared" si="113"/>
        <v>4</v>
      </c>
      <c r="BC209" s="4">
        <f t="shared" si="114"/>
        <v>4</v>
      </c>
      <c r="BD209" s="4">
        <f t="shared" si="115"/>
        <v>2</v>
      </c>
      <c r="BE209" s="4" t="str">
        <f t="shared" si="116"/>
        <v>0</v>
      </c>
      <c r="BF209" s="4">
        <f t="shared" si="117"/>
        <v>2</v>
      </c>
      <c r="BG209" s="4">
        <f t="shared" si="118"/>
        <v>4</v>
      </c>
      <c r="BH209" s="4">
        <f t="shared" si="119"/>
        <v>4</v>
      </c>
      <c r="BI209" s="4">
        <f t="shared" si="120"/>
        <v>4</v>
      </c>
      <c r="BJ209" s="4" t="str">
        <f t="shared" si="121"/>
        <v>0</v>
      </c>
      <c r="BK209" s="4" t="str">
        <f t="shared" si="122"/>
        <v>0</v>
      </c>
      <c r="BL209" s="4">
        <f t="shared" si="123"/>
        <v>2</v>
      </c>
      <c r="BM209" s="4">
        <f t="shared" si="124"/>
        <v>4</v>
      </c>
      <c r="BN209" s="4">
        <f t="shared" si="125"/>
        <v>4</v>
      </c>
      <c r="BO209" s="4">
        <f t="shared" si="126"/>
        <v>4</v>
      </c>
      <c r="BP209" s="4">
        <f t="shared" si="127"/>
        <v>4</v>
      </c>
      <c r="BQ209" s="4">
        <f t="shared" si="128"/>
        <v>6</v>
      </c>
      <c r="BR209" s="4">
        <f t="shared" si="129"/>
        <v>4</v>
      </c>
      <c r="BS209" s="4">
        <f t="shared" si="130"/>
        <v>4</v>
      </c>
      <c r="BT209" s="4">
        <f t="shared" si="131"/>
        <v>4</v>
      </c>
      <c r="BU209" s="4">
        <f t="shared" si="132"/>
        <v>4</v>
      </c>
      <c r="BV209" s="4" t="str">
        <f t="shared" si="133"/>
        <v>0</v>
      </c>
      <c r="BW209" s="4">
        <f t="shared" si="134"/>
        <v>6</v>
      </c>
      <c r="BX209" s="4">
        <f t="shared" si="135"/>
        <v>0</v>
      </c>
      <c r="BY209" s="4">
        <f t="shared" si="136"/>
        <v>0</v>
      </c>
      <c r="BZ209" s="37">
        <f t="shared" si="137"/>
        <v>90</v>
      </c>
      <c r="CA209" s="32" t="str">
        <f>VLOOKUP(J:J,'Agent wise'!A:C,3,0)</f>
        <v>Amal</v>
      </c>
      <c r="CB209" s="32">
        <f t="shared" si="138"/>
        <v>45935</v>
      </c>
      <c r="CC209" t="str">
        <f t="shared" si="139"/>
        <v>Good</v>
      </c>
      <c r="CE209" s="32"/>
      <c r="CJ209">
        <f t="shared" si="140"/>
        <v>5</v>
      </c>
      <c r="CK209">
        <f t="shared" si="141"/>
        <v>10</v>
      </c>
      <c r="CL209">
        <f t="shared" si="142"/>
        <v>2025</v>
      </c>
    </row>
    <row r="210" spans="1:90" ht="15" customHeight="1" x14ac:dyDescent="0.35">
      <c r="A210" s="40">
        <v>45787.509375000001</v>
      </c>
      <c r="B210" t="s">
        <v>100</v>
      </c>
      <c r="C210" t="s">
        <v>214</v>
      </c>
      <c r="D210" t="s">
        <v>101</v>
      </c>
      <c r="E210" s="32">
        <v>45935</v>
      </c>
      <c r="F210" t="s">
        <v>54</v>
      </c>
      <c r="G210" s="2">
        <v>45757</v>
      </c>
      <c r="H210">
        <v>9544450038</v>
      </c>
      <c r="I210">
        <v>160</v>
      </c>
      <c r="J210" t="s">
        <v>56</v>
      </c>
      <c r="K210" t="s">
        <v>57</v>
      </c>
      <c r="L210" t="s">
        <v>58</v>
      </c>
      <c r="M210" t="s">
        <v>59</v>
      </c>
      <c r="N210" t="s">
        <v>59</v>
      </c>
      <c r="O210" t="s">
        <v>59</v>
      </c>
      <c r="P210" t="s">
        <v>59</v>
      </c>
      <c r="Q210" t="s">
        <v>59</v>
      </c>
      <c r="R210" t="s">
        <v>59</v>
      </c>
      <c r="S210" t="s">
        <v>59</v>
      </c>
      <c r="T210" t="s">
        <v>59</v>
      </c>
      <c r="U210" t="s">
        <v>59</v>
      </c>
      <c r="V210" t="s">
        <v>59</v>
      </c>
      <c r="W210" t="s">
        <v>59</v>
      </c>
      <c r="X210" t="s">
        <v>59</v>
      </c>
      <c r="Y210" t="s">
        <v>59</v>
      </c>
      <c r="Z210" t="s">
        <v>59</v>
      </c>
      <c r="AA210" t="s">
        <v>59</v>
      </c>
      <c r="AB210" t="s">
        <v>59</v>
      </c>
      <c r="AC210" t="s">
        <v>59</v>
      </c>
      <c r="AD210" t="s">
        <v>59</v>
      </c>
      <c r="AE210" t="s">
        <v>60</v>
      </c>
      <c r="AF210" t="s">
        <v>59</v>
      </c>
      <c r="AG210" t="s">
        <v>59</v>
      </c>
      <c r="AH210" t="s">
        <v>59</v>
      </c>
      <c r="AI210" t="s">
        <v>61</v>
      </c>
      <c r="AJ210" t="s">
        <v>59</v>
      </c>
      <c r="AK210" t="s">
        <v>59</v>
      </c>
      <c r="AL210" t="s">
        <v>59</v>
      </c>
      <c r="AM210" t="s">
        <v>59</v>
      </c>
      <c r="AN210" t="s">
        <v>59</v>
      </c>
      <c r="AO210" t="s">
        <v>59</v>
      </c>
      <c r="AP210" t="s">
        <v>688</v>
      </c>
      <c r="AQ210" s="1" t="s">
        <v>689</v>
      </c>
      <c r="AR210" t="s">
        <v>64</v>
      </c>
      <c r="AS210" t="s">
        <v>175</v>
      </c>
      <c r="AT210" t="s">
        <v>334</v>
      </c>
      <c r="AU210" t="s">
        <v>219</v>
      </c>
      <c r="AW210" s="4">
        <f t="shared" si="108"/>
        <v>6</v>
      </c>
      <c r="AX210" s="4">
        <f t="shared" si="109"/>
        <v>4</v>
      </c>
      <c r="AY210" s="4">
        <f t="shared" si="110"/>
        <v>4</v>
      </c>
      <c r="AZ210" s="4">
        <f t="shared" si="111"/>
        <v>2</v>
      </c>
      <c r="BA210" s="4">
        <f t="shared" si="112"/>
        <v>4</v>
      </c>
      <c r="BB210" s="4">
        <f t="shared" si="113"/>
        <v>4</v>
      </c>
      <c r="BC210" s="4">
        <f t="shared" si="114"/>
        <v>4</v>
      </c>
      <c r="BD210" s="4">
        <f t="shared" si="115"/>
        <v>2</v>
      </c>
      <c r="BE210" s="4">
        <f t="shared" si="116"/>
        <v>4</v>
      </c>
      <c r="BF210" s="4">
        <f t="shared" si="117"/>
        <v>2</v>
      </c>
      <c r="BG210" s="4">
        <f t="shared" si="118"/>
        <v>4</v>
      </c>
      <c r="BH210" s="4">
        <f t="shared" si="119"/>
        <v>4</v>
      </c>
      <c r="BI210" s="4">
        <f t="shared" si="120"/>
        <v>4</v>
      </c>
      <c r="BJ210" s="4">
        <f t="shared" si="121"/>
        <v>2</v>
      </c>
      <c r="BK210" s="4">
        <f t="shared" si="122"/>
        <v>4</v>
      </c>
      <c r="BL210" s="4">
        <f t="shared" si="123"/>
        <v>2</v>
      </c>
      <c r="BM210" s="4">
        <f t="shared" si="124"/>
        <v>4</v>
      </c>
      <c r="BN210" s="4">
        <f t="shared" si="125"/>
        <v>4</v>
      </c>
      <c r="BO210" s="4" t="str">
        <f t="shared" si="126"/>
        <v>0</v>
      </c>
      <c r="BP210" s="4">
        <f t="shared" si="127"/>
        <v>4</v>
      </c>
      <c r="BQ210" s="4">
        <f t="shared" si="128"/>
        <v>6</v>
      </c>
      <c r="BR210" s="4">
        <f t="shared" si="129"/>
        <v>4</v>
      </c>
      <c r="BS210" s="4">
        <f t="shared" si="130"/>
        <v>4</v>
      </c>
      <c r="BT210" s="4">
        <f t="shared" si="131"/>
        <v>4</v>
      </c>
      <c r="BU210" s="4">
        <f t="shared" si="132"/>
        <v>4</v>
      </c>
      <c r="BV210" s="4">
        <f t="shared" si="133"/>
        <v>0</v>
      </c>
      <c r="BW210" s="4">
        <f t="shared" si="134"/>
        <v>6</v>
      </c>
      <c r="BX210" s="4">
        <f t="shared" si="135"/>
        <v>0</v>
      </c>
      <c r="BY210" s="4">
        <f t="shared" si="136"/>
        <v>0</v>
      </c>
      <c r="BZ210" s="37">
        <f t="shared" si="137"/>
        <v>96</v>
      </c>
      <c r="CA210" s="32" t="str">
        <f>VLOOKUP(J:J,'Agent wise'!A:C,3,0)</f>
        <v>Saran S</v>
      </c>
      <c r="CB210" s="32">
        <f t="shared" si="138"/>
        <v>45935</v>
      </c>
      <c r="CC210" t="str">
        <f t="shared" si="139"/>
        <v>Excellent</v>
      </c>
      <c r="CE210" s="32"/>
      <c r="CJ210">
        <f t="shared" si="140"/>
        <v>5</v>
      </c>
      <c r="CK210">
        <f t="shared" si="141"/>
        <v>10</v>
      </c>
      <c r="CL210">
        <f t="shared" si="142"/>
        <v>2025</v>
      </c>
    </row>
    <row r="211" spans="1:90" ht="15" customHeight="1" x14ac:dyDescent="0.35">
      <c r="A211" s="40">
        <v>45787.516608796293</v>
      </c>
      <c r="B211" t="s">
        <v>250</v>
      </c>
      <c r="C211" t="s">
        <v>214</v>
      </c>
      <c r="D211" t="s">
        <v>251</v>
      </c>
      <c r="E211" s="32">
        <v>45935</v>
      </c>
      <c r="F211" t="s">
        <v>222</v>
      </c>
      <c r="G211" s="2">
        <v>45726</v>
      </c>
      <c r="H211">
        <v>8330021008</v>
      </c>
      <c r="I211">
        <v>166</v>
      </c>
      <c r="J211" t="s">
        <v>391</v>
      </c>
      <c r="K211" t="s">
        <v>57</v>
      </c>
      <c r="L211" t="s">
        <v>58</v>
      </c>
      <c r="M211" t="s">
        <v>59</v>
      </c>
      <c r="N211" t="s">
        <v>59</v>
      </c>
      <c r="O211" t="s">
        <v>59</v>
      </c>
      <c r="P211" t="s">
        <v>59</v>
      </c>
      <c r="Q211" t="s">
        <v>59</v>
      </c>
      <c r="R211" t="s">
        <v>59</v>
      </c>
      <c r="S211" t="s">
        <v>59</v>
      </c>
      <c r="T211" t="s">
        <v>59</v>
      </c>
      <c r="U211" t="s">
        <v>60</v>
      </c>
      <c r="V211" t="s">
        <v>59</v>
      </c>
      <c r="W211" t="s">
        <v>59</v>
      </c>
      <c r="X211" t="s">
        <v>59</v>
      </c>
      <c r="Y211" t="s">
        <v>59</v>
      </c>
      <c r="Z211" t="s">
        <v>59</v>
      </c>
      <c r="AA211" t="s">
        <v>59</v>
      </c>
      <c r="AB211" t="s">
        <v>59</v>
      </c>
      <c r="AC211" t="s">
        <v>59</v>
      </c>
      <c r="AD211" t="s">
        <v>59</v>
      </c>
      <c r="AE211" t="s">
        <v>59</v>
      </c>
      <c r="AF211" t="s">
        <v>59</v>
      </c>
      <c r="AG211" t="s">
        <v>59</v>
      </c>
      <c r="AH211" t="s">
        <v>61</v>
      </c>
      <c r="AI211" t="s">
        <v>61</v>
      </c>
      <c r="AJ211" t="s">
        <v>59</v>
      </c>
      <c r="AK211" t="s">
        <v>59</v>
      </c>
      <c r="AL211" t="s">
        <v>60</v>
      </c>
      <c r="AM211" t="s">
        <v>59</v>
      </c>
      <c r="AN211" t="s">
        <v>59</v>
      </c>
      <c r="AO211" t="s">
        <v>59</v>
      </c>
      <c r="AP211" t="s">
        <v>690</v>
      </c>
      <c r="AQ211" t="s">
        <v>691</v>
      </c>
      <c r="AR211" t="s">
        <v>64</v>
      </c>
      <c r="AS211" t="s">
        <v>395</v>
      </c>
      <c r="AT211" t="s">
        <v>404</v>
      </c>
      <c r="AU211" t="s">
        <v>219</v>
      </c>
      <c r="AW211" s="4">
        <f t="shared" si="108"/>
        <v>6</v>
      </c>
      <c r="AX211" s="4">
        <f t="shared" si="109"/>
        <v>4</v>
      </c>
      <c r="AY211" s="4">
        <f t="shared" si="110"/>
        <v>4</v>
      </c>
      <c r="AZ211" s="4">
        <f t="shared" si="111"/>
        <v>2</v>
      </c>
      <c r="BA211" s="4">
        <f t="shared" si="112"/>
        <v>4</v>
      </c>
      <c r="BB211" s="4">
        <f t="shared" si="113"/>
        <v>4</v>
      </c>
      <c r="BC211" s="4">
        <f t="shared" si="114"/>
        <v>4</v>
      </c>
      <c r="BD211" s="4">
        <f t="shared" si="115"/>
        <v>2</v>
      </c>
      <c r="BE211" s="4" t="str">
        <f t="shared" si="116"/>
        <v>0</v>
      </c>
      <c r="BF211" s="4">
        <f t="shared" si="117"/>
        <v>2</v>
      </c>
      <c r="BG211" s="4">
        <f t="shared" si="118"/>
        <v>4</v>
      </c>
      <c r="BH211" s="4">
        <f t="shared" si="119"/>
        <v>4</v>
      </c>
      <c r="BI211" s="4">
        <f t="shared" si="120"/>
        <v>4</v>
      </c>
      <c r="BJ211" s="4">
        <f t="shared" si="121"/>
        <v>2</v>
      </c>
      <c r="BK211" s="4">
        <f t="shared" si="122"/>
        <v>4</v>
      </c>
      <c r="BL211" s="4">
        <f t="shared" si="123"/>
        <v>2</v>
      </c>
      <c r="BM211" s="4">
        <f t="shared" si="124"/>
        <v>4</v>
      </c>
      <c r="BN211" s="4">
        <f t="shared" si="125"/>
        <v>4</v>
      </c>
      <c r="BO211" s="4">
        <f t="shared" si="126"/>
        <v>4</v>
      </c>
      <c r="BP211" s="4">
        <f t="shared" si="127"/>
        <v>4</v>
      </c>
      <c r="BQ211" s="4">
        <f t="shared" si="128"/>
        <v>6</v>
      </c>
      <c r="BR211" s="4">
        <f t="shared" si="129"/>
        <v>4</v>
      </c>
      <c r="BS211" s="4">
        <f t="shared" si="130"/>
        <v>4</v>
      </c>
      <c r="BT211" s="4">
        <f t="shared" si="131"/>
        <v>4</v>
      </c>
      <c r="BU211" s="4">
        <f t="shared" si="132"/>
        <v>4</v>
      </c>
      <c r="BV211" s="4" t="str">
        <f t="shared" si="133"/>
        <v>0</v>
      </c>
      <c r="BW211" s="4">
        <f t="shared" si="134"/>
        <v>6</v>
      </c>
      <c r="BX211" s="4">
        <f t="shared" si="135"/>
        <v>0</v>
      </c>
      <c r="BY211" s="4">
        <f t="shared" si="136"/>
        <v>0</v>
      </c>
      <c r="BZ211" s="37">
        <f t="shared" si="137"/>
        <v>96</v>
      </c>
      <c r="CA211" s="32" t="str">
        <f>VLOOKUP(J:J,'Agent wise'!A:C,3,0)</f>
        <v>Amal</v>
      </c>
      <c r="CB211" s="32">
        <f t="shared" si="138"/>
        <v>45935</v>
      </c>
      <c r="CC211" t="str">
        <f t="shared" si="139"/>
        <v>Excellent</v>
      </c>
      <c r="CE211" s="32"/>
      <c r="CJ211">
        <f t="shared" si="140"/>
        <v>5</v>
      </c>
      <c r="CK211">
        <f t="shared" si="141"/>
        <v>10</v>
      </c>
      <c r="CL211">
        <f t="shared" si="142"/>
        <v>2025</v>
      </c>
    </row>
    <row r="212" spans="1:90" ht="15" customHeight="1" x14ac:dyDescent="0.35">
      <c r="A212" s="40">
        <v>45787.524155092593</v>
      </c>
      <c r="B212" t="s">
        <v>250</v>
      </c>
      <c r="C212" t="s">
        <v>214</v>
      </c>
      <c r="D212" t="s">
        <v>251</v>
      </c>
      <c r="E212" s="32">
        <v>45935</v>
      </c>
      <c r="F212" t="s">
        <v>222</v>
      </c>
      <c r="G212" s="2">
        <v>45787</v>
      </c>
      <c r="H212">
        <v>7299582426</v>
      </c>
      <c r="I212">
        <v>130</v>
      </c>
      <c r="J212" t="s">
        <v>353</v>
      </c>
      <c r="K212" t="s">
        <v>71</v>
      </c>
      <c r="L212" t="s">
        <v>72</v>
      </c>
      <c r="M212" t="s">
        <v>59</v>
      </c>
      <c r="N212" t="s">
        <v>59</v>
      </c>
      <c r="O212" t="s">
        <v>59</v>
      </c>
      <c r="P212" t="s">
        <v>59</v>
      </c>
      <c r="Q212" t="s">
        <v>59</v>
      </c>
      <c r="R212" t="s">
        <v>59</v>
      </c>
      <c r="S212" t="s">
        <v>59</v>
      </c>
      <c r="T212" t="s">
        <v>59</v>
      </c>
      <c r="U212" t="s">
        <v>59</v>
      </c>
      <c r="V212" t="s">
        <v>59</v>
      </c>
      <c r="W212" t="s">
        <v>59</v>
      </c>
      <c r="X212" t="s">
        <v>59</v>
      </c>
      <c r="Y212" t="s">
        <v>59</v>
      </c>
      <c r="Z212" t="s">
        <v>59</v>
      </c>
      <c r="AA212" t="s">
        <v>59</v>
      </c>
      <c r="AB212" t="s">
        <v>60</v>
      </c>
      <c r="AC212" t="s">
        <v>59</v>
      </c>
      <c r="AD212" t="s">
        <v>59</v>
      </c>
      <c r="AE212" t="s">
        <v>59</v>
      </c>
      <c r="AF212" t="s">
        <v>59</v>
      </c>
      <c r="AG212" t="s">
        <v>59</v>
      </c>
      <c r="AH212" t="s">
        <v>61</v>
      </c>
      <c r="AI212" t="s">
        <v>60</v>
      </c>
      <c r="AJ212" t="s">
        <v>59</v>
      </c>
      <c r="AK212" t="s">
        <v>59</v>
      </c>
      <c r="AL212" t="s">
        <v>59</v>
      </c>
      <c r="AM212" t="s">
        <v>59</v>
      </c>
      <c r="AN212" t="s">
        <v>59</v>
      </c>
      <c r="AO212" t="s">
        <v>59</v>
      </c>
      <c r="AP212" t="s">
        <v>692</v>
      </c>
      <c r="AQ212" t="s">
        <v>693</v>
      </c>
      <c r="AR212" t="s">
        <v>226</v>
      </c>
      <c r="AS212" t="s">
        <v>402</v>
      </c>
      <c r="AT212" t="s">
        <v>404</v>
      </c>
      <c r="AU212" t="s">
        <v>219</v>
      </c>
      <c r="AW212" s="4">
        <f t="shared" si="108"/>
        <v>6</v>
      </c>
      <c r="AX212" s="4">
        <f t="shared" si="109"/>
        <v>4</v>
      </c>
      <c r="AY212" s="4">
        <f t="shared" si="110"/>
        <v>4</v>
      </c>
      <c r="AZ212" s="4">
        <f t="shared" si="111"/>
        <v>2</v>
      </c>
      <c r="BA212" s="4">
        <f t="shared" si="112"/>
        <v>4</v>
      </c>
      <c r="BB212" s="4">
        <f t="shared" si="113"/>
        <v>4</v>
      </c>
      <c r="BC212" s="4">
        <f t="shared" si="114"/>
        <v>4</v>
      </c>
      <c r="BD212" s="4">
        <f t="shared" si="115"/>
        <v>2</v>
      </c>
      <c r="BE212" s="4">
        <f t="shared" si="116"/>
        <v>4</v>
      </c>
      <c r="BF212" s="4">
        <f t="shared" si="117"/>
        <v>2</v>
      </c>
      <c r="BG212" s="4">
        <f t="shared" si="118"/>
        <v>4</v>
      </c>
      <c r="BH212" s="4">
        <f t="shared" si="119"/>
        <v>4</v>
      </c>
      <c r="BI212" s="4">
        <f t="shared" si="120"/>
        <v>4</v>
      </c>
      <c r="BJ212" s="4">
        <f t="shared" si="121"/>
        <v>2</v>
      </c>
      <c r="BK212" s="4">
        <f t="shared" si="122"/>
        <v>4</v>
      </c>
      <c r="BL212" s="4" t="str">
        <f t="shared" si="123"/>
        <v>0</v>
      </c>
      <c r="BM212" s="4">
        <f t="shared" si="124"/>
        <v>4</v>
      </c>
      <c r="BN212" s="4">
        <f t="shared" si="125"/>
        <v>4</v>
      </c>
      <c r="BO212" s="4">
        <f t="shared" si="126"/>
        <v>4</v>
      </c>
      <c r="BP212" s="4">
        <f t="shared" si="127"/>
        <v>4</v>
      </c>
      <c r="BQ212" s="4">
        <f t="shared" si="128"/>
        <v>6</v>
      </c>
      <c r="BR212" s="4">
        <f t="shared" si="129"/>
        <v>4</v>
      </c>
      <c r="BS212" s="4" t="str">
        <f t="shared" si="130"/>
        <v>0</v>
      </c>
      <c r="BT212" s="4">
        <f t="shared" si="131"/>
        <v>4</v>
      </c>
      <c r="BU212" s="4">
        <f t="shared" si="132"/>
        <v>4</v>
      </c>
      <c r="BV212" s="4">
        <f t="shared" si="133"/>
        <v>0</v>
      </c>
      <c r="BW212" s="4">
        <f t="shared" si="134"/>
        <v>6</v>
      </c>
      <c r="BX212" s="4">
        <f t="shared" si="135"/>
        <v>0</v>
      </c>
      <c r="BY212" s="4">
        <f t="shared" si="136"/>
        <v>0</v>
      </c>
      <c r="BZ212" s="37">
        <f t="shared" si="137"/>
        <v>94</v>
      </c>
      <c r="CA212" s="32" t="str">
        <f>VLOOKUP(J:J,'Agent wise'!A:C,3,0)</f>
        <v>Amal</v>
      </c>
      <c r="CB212" s="32">
        <f t="shared" si="138"/>
        <v>45935</v>
      </c>
      <c r="CC212" t="str">
        <f t="shared" si="139"/>
        <v>Good</v>
      </c>
      <c r="CE212" s="32"/>
      <c r="CJ212">
        <f t="shared" si="140"/>
        <v>5</v>
      </c>
      <c r="CK212">
        <f t="shared" si="141"/>
        <v>10</v>
      </c>
      <c r="CL212">
        <f t="shared" si="142"/>
        <v>2025</v>
      </c>
    </row>
    <row r="213" spans="1:90" ht="15" customHeight="1" x14ac:dyDescent="0.35">
      <c r="A213" s="40">
        <v>45787.528055555558</v>
      </c>
      <c r="B213" t="s">
        <v>250</v>
      </c>
      <c r="C213" t="s">
        <v>214</v>
      </c>
      <c r="D213" t="s">
        <v>251</v>
      </c>
      <c r="E213" s="32">
        <v>45935</v>
      </c>
      <c r="F213" t="s">
        <v>222</v>
      </c>
      <c r="G213" s="2">
        <v>45726</v>
      </c>
      <c r="H213">
        <v>9888714111</v>
      </c>
      <c r="I213">
        <v>158</v>
      </c>
      <c r="J213" t="s">
        <v>223</v>
      </c>
      <c r="K213" t="s">
        <v>71</v>
      </c>
      <c r="L213" t="s">
        <v>72</v>
      </c>
      <c r="M213" t="s">
        <v>59</v>
      </c>
      <c r="N213" t="s">
        <v>59</v>
      </c>
      <c r="O213" t="s">
        <v>59</v>
      </c>
      <c r="P213" t="s">
        <v>59</v>
      </c>
      <c r="Q213" t="s">
        <v>59</v>
      </c>
      <c r="R213" t="s">
        <v>59</v>
      </c>
      <c r="S213" t="s">
        <v>59</v>
      </c>
      <c r="T213" t="s">
        <v>59</v>
      </c>
      <c r="U213" t="s">
        <v>59</v>
      </c>
      <c r="V213" t="s">
        <v>59</v>
      </c>
      <c r="W213" t="s">
        <v>59</v>
      </c>
      <c r="X213" t="s">
        <v>59</v>
      </c>
      <c r="Y213" t="s">
        <v>59</v>
      </c>
      <c r="Z213" t="s">
        <v>59</v>
      </c>
      <c r="AA213" t="s">
        <v>59</v>
      </c>
      <c r="AB213" t="s">
        <v>59</v>
      </c>
      <c r="AC213" t="s">
        <v>59</v>
      </c>
      <c r="AD213" t="s">
        <v>59</v>
      </c>
      <c r="AE213" t="s">
        <v>59</v>
      </c>
      <c r="AF213" t="s">
        <v>59</v>
      </c>
      <c r="AG213" t="s">
        <v>59</v>
      </c>
      <c r="AH213" t="s">
        <v>59</v>
      </c>
      <c r="AI213" t="s">
        <v>61</v>
      </c>
      <c r="AJ213" t="s">
        <v>59</v>
      </c>
      <c r="AK213" t="s">
        <v>59</v>
      </c>
      <c r="AL213" t="s">
        <v>60</v>
      </c>
      <c r="AM213" t="s">
        <v>59</v>
      </c>
      <c r="AN213" t="s">
        <v>59</v>
      </c>
      <c r="AO213" t="s">
        <v>59</v>
      </c>
      <c r="AP213" t="s">
        <v>496</v>
      </c>
      <c r="AQ213" t="s">
        <v>694</v>
      </c>
      <c r="AR213" t="s">
        <v>226</v>
      </c>
      <c r="AS213" t="s">
        <v>331</v>
      </c>
      <c r="AT213" t="s">
        <v>695</v>
      </c>
      <c r="AU213" t="s">
        <v>219</v>
      </c>
      <c r="AW213" s="4">
        <f t="shared" si="108"/>
        <v>6</v>
      </c>
      <c r="AX213" s="4">
        <f t="shared" si="109"/>
        <v>4</v>
      </c>
      <c r="AY213" s="4">
        <f t="shared" si="110"/>
        <v>4</v>
      </c>
      <c r="AZ213" s="4">
        <f t="shared" si="111"/>
        <v>2</v>
      </c>
      <c r="BA213" s="4">
        <f t="shared" si="112"/>
        <v>4</v>
      </c>
      <c r="BB213" s="4">
        <f t="shared" si="113"/>
        <v>4</v>
      </c>
      <c r="BC213" s="4">
        <f t="shared" si="114"/>
        <v>4</v>
      </c>
      <c r="BD213" s="4">
        <f t="shared" si="115"/>
        <v>2</v>
      </c>
      <c r="BE213" s="4">
        <f t="shared" si="116"/>
        <v>4</v>
      </c>
      <c r="BF213" s="4">
        <f t="shared" si="117"/>
        <v>2</v>
      </c>
      <c r="BG213" s="4">
        <f t="shared" si="118"/>
        <v>4</v>
      </c>
      <c r="BH213" s="4">
        <f t="shared" si="119"/>
        <v>4</v>
      </c>
      <c r="BI213" s="4">
        <f t="shared" si="120"/>
        <v>4</v>
      </c>
      <c r="BJ213" s="4">
        <f t="shared" si="121"/>
        <v>2</v>
      </c>
      <c r="BK213" s="4">
        <f t="shared" si="122"/>
        <v>4</v>
      </c>
      <c r="BL213" s="4">
        <f t="shared" si="123"/>
        <v>2</v>
      </c>
      <c r="BM213" s="4">
        <f t="shared" si="124"/>
        <v>4</v>
      </c>
      <c r="BN213" s="4">
        <f t="shared" si="125"/>
        <v>4</v>
      </c>
      <c r="BO213" s="4">
        <f t="shared" si="126"/>
        <v>4</v>
      </c>
      <c r="BP213" s="4">
        <f t="shared" si="127"/>
        <v>4</v>
      </c>
      <c r="BQ213" s="4">
        <f t="shared" si="128"/>
        <v>6</v>
      </c>
      <c r="BR213" s="4">
        <f t="shared" si="129"/>
        <v>4</v>
      </c>
      <c r="BS213" s="4">
        <f t="shared" si="130"/>
        <v>4</v>
      </c>
      <c r="BT213" s="4">
        <f t="shared" si="131"/>
        <v>4</v>
      </c>
      <c r="BU213" s="4">
        <f t="shared" si="132"/>
        <v>4</v>
      </c>
      <c r="BV213" s="4" t="str">
        <f t="shared" si="133"/>
        <v>0</v>
      </c>
      <c r="BW213" s="4">
        <f t="shared" si="134"/>
        <v>6</v>
      </c>
      <c r="BX213" s="4">
        <f t="shared" si="135"/>
        <v>0</v>
      </c>
      <c r="BY213" s="4">
        <f t="shared" si="136"/>
        <v>0</v>
      </c>
      <c r="BZ213" s="37">
        <f t="shared" si="137"/>
        <v>100</v>
      </c>
      <c r="CA213" s="32" t="str">
        <f>VLOOKUP(J:J,'Agent wise'!A:C,3,0)</f>
        <v>Amal</v>
      </c>
      <c r="CB213" s="32">
        <f t="shared" si="138"/>
        <v>45935</v>
      </c>
      <c r="CC213" t="str">
        <f t="shared" si="139"/>
        <v>Excellent</v>
      </c>
      <c r="CE213" s="32"/>
      <c r="CJ213">
        <f t="shared" si="140"/>
        <v>5</v>
      </c>
      <c r="CK213">
        <f t="shared" si="141"/>
        <v>10</v>
      </c>
      <c r="CL213">
        <f t="shared" si="142"/>
        <v>2025</v>
      </c>
    </row>
    <row r="214" spans="1:90" ht="15" customHeight="1" x14ac:dyDescent="0.35">
      <c r="A214" s="40">
        <v>45787.536261574067</v>
      </c>
      <c r="B214" t="s">
        <v>250</v>
      </c>
      <c r="C214" t="s">
        <v>214</v>
      </c>
      <c r="D214" t="s">
        <v>251</v>
      </c>
      <c r="E214" s="32">
        <v>45935</v>
      </c>
      <c r="F214" t="s">
        <v>222</v>
      </c>
      <c r="G214" s="2">
        <v>45726</v>
      </c>
      <c r="H214">
        <v>9495159833</v>
      </c>
      <c r="I214">
        <v>144</v>
      </c>
      <c r="J214" t="s">
        <v>356</v>
      </c>
      <c r="K214" t="s">
        <v>71</v>
      </c>
      <c r="L214" t="s">
        <v>72</v>
      </c>
      <c r="M214" t="s">
        <v>59</v>
      </c>
      <c r="N214" t="s">
        <v>59</v>
      </c>
      <c r="O214" t="s">
        <v>59</v>
      </c>
      <c r="P214" t="s">
        <v>59</v>
      </c>
      <c r="Q214" t="s">
        <v>59</v>
      </c>
      <c r="R214" t="s">
        <v>59</v>
      </c>
      <c r="S214" t="s">
        <v>59</v>
      </c>
      <c r="T214" t="s">
        <v>59</v>
      </c>
      <c r="U214" t="s">
        <v>59</v>
      </c>
      <c r="V214" t="s">
        <v>59</v>
      </c>
      <c r="W214" t="s">
        <v>59</v>
      </c>
      <c r="X214" t="s">
        <v>59</v>
      </c>
      <c r="Y214" t="s">
        <v>59</v>
      </c>
      <c r="Z214" t="s">
        <v>59</v>
      </c>
      <c r="AA214" t="s">
        <v>60</v>
      </c>
      <c r="AB214" t="s">
        <v>59</v>
      </c>
      <c r="AC214" t="s">
        <v>59</v>
      </c>
      <c r="AD214" t="s">
        <v>59</v>
      </c>
      <c r="AE214" t="s">
        <v>59</v>
      </c>
      <c r="AF214" t="s">
        <v>59</v>
      </c>
      <c r="AG214" t="s">
        <v>59</v>
      </c>
      <c r="AH214" t="s">
        <v>61</v>
      </c>
      <c r="AI214" t="s">
        <v>61</v>
      </c>
      <c r="AJ214" t="s">
        <v>61</v>
      </c>
      <c r="AK214" t="s">
        <v>61</v>
      </c>
      <c r="AL214" t="s">
        <v>60</v>
      </c>
      <c r="AM214" t="s">
        <v>59</v>
      </c>
      <c r="AN214" t="s">
        <v>59</v>
      </c>
      <c r="AO214" t="s">
        <v>59</v>
      </c>
      <c r="AP214" t="s">
        <v>696</v>
      </c>
      <c r="AQ214" t="s">
        <v>697</v>
      </c>
      <c r="AR214" t="s">
        <v>64</v>
      </c>
      <c r="AS214" t="s">
        <v>249</v>
      </c>
      <c r="AT214" t="s">
        <v>404</v>
      </c>
      <c r="AU214" t="s">
        <v>219</v>
      </c>
      <c r="AW214" s="4">
        <f t="shared" si="108"/>
        <v>6</v>
      </c>
      <c r="AX214" s="4">
        <f t="shared" si="109"/>
        <v>4</v>
      </c>
      <c r="AY214" s="4">
        <f t="shared" si="110"/>
        <v>4</v>
      </c>
      <c r="AZ214" s="4">
        <f t="shared" si="111"/>
        <v>2</v>
      </c>
      <c r="BA214" s="4">
        <f t="shared" si="112"/>
        <v>4</v>
      </c>
      <c r="BB214" s="4">
        <f t="shared" si="113"/>
        <v>4</v>
      </c>
      <c r="BC214" s="4">
        <f t="shared" si="114"/>
        <v>4</v>
      </c>
      <c r="BD214" s="4">
        <f t="shared" si="115"/>
        <v>2</v>
      </c>
      <c r="BE214" s="4">
        <f t="shared" si="116"/>
        <v>4</v>
      </c>
      <c r="BF214" s="4">
        <f t="shared" si="117"/>
        <v>2</v>
      </c>
      <c r="BG214" s="4">
        <f t="shared" si="118"/>
        <v>4</v>
      </c>
      <c r="BH214" s="4">
        <f t="shared" si="119"/>
        <v>4</v>
      </c>
      <c r="BI214" s="4">
        <f t="shared" si="120"/>
        <v>4</v>
      </c>
      <c r="BJ214" s="4">
        <f t="shared" si="121"/>
        <v>2</v>
      </c>
      <c r="BK214" s="4" t="str">
        <f t="shared" si="122"/>
        <v>0</v>
      </c>
      <c r="BL214" s="4">
        <f t="shared" si="123"/>
        <v>2</v>
      </c>
      <c r="BM214" s="4">
        <f t="shared" si="124"/>
        <v>4</v>
      </c>
      <c r="BN214" s="4">
        <f t="shared" si="125"/>
        <v>4</v>
      </c>
      <c r="BO214" s="4">
        <f t="shared" si="126"/>
        <v>4</v>
      </c>
      <c r="BP214" s="4">
        <f t="shared" si="127"/>
        <v>4</v>
      </c>
      <c r="BQ214" s="4">
        <f t="shared" si="128"/>
        <v>6</v>
      </c>
      <c r="BR214" s="4">
        <f t="shared" si="129"/>
        <v>4</v>
      </c>
      <c r="BS214" s="4">
        <f t="shared" si="130"/>
        <v>4</v>
      </c>
      <c r="BT214" s="4">
        <f t="shared" si="131"/>
        <v>4</v>
      </c>
      <c r="BU214" s="4">
        <f t="shared" si="132"/>
        <v>4</v>
      </c>
      <c r="BV214" s="4" t="str">
        <f t="shared" si="133"/>
        <v>0</v>
      </c>
      <c r="BW214" s="4">
        <f t="shared" si="134"/>
        <v>6</v>
      </c>
      <c r="BX214" s="4">
        <f t="shared" si="135"/>
        <v>0</v>
      </c>
      <c r="BY214" s="4">
        <f t="shared" si="136"/>
        <v>0</v>
      </c>
      <c r="BZ214" s="37">
        <f t="shared" si="137"/>
        <v>96</v>
      </c>
      <c r="CA214" s="32" t="str">
        <f>VLOOKUP(J:J,'Agent wise'!A:C,3,0)</f>
        <v>Amal</v>
      </c>
      <c r="CB214" s="32">
        <f t="shared" si="138"/>
        <v>45935</v>
      </c>
      <c r="CC214" t="str">
        <f t="shared" si="139"/>
        <v>Excellent</v>
      </c>
      <c r="CE214" s="32"/>
      <c r="CJ214">
        <f t="shared" si="140"/>
        <v>5</v>
      </c>
      <c r="CK214">
        <f t="shared" si="141"/>
        <v>10</v>
      </c>
      <c r="CL214">
        <f t="shared" si="142"/>
        <v>2025</v>
      </c>
    </row>
    <row r="215" spans="1:90" ht="15" customHeight="1" x14ac:dyDescent="0.35">
      <c r="A215" s="40">
        <v>45787.537951388891</v>
      </c>
      <c r="B215" t="s">
        <v>698</v>
      </c>
      <c r="C215" t="s">
        <v>214</v>
      </c>
      <c r="D215" t="s">
        <v>221</v>
      </c>
      <c r="E215" s="32">
        <v>45933</v>
      </c>
      <c r="F215" t="s">
        <v>222</v>
      </c>
      <c r="G215" s="2">
        <v>45726</v>
      </c>
      <c r="H215">
        <v>9385507246</v>
      </c>
      <c r="I215">
        <v>180</v>
      </c>
      <c r="J215" t="s">
        <v>353</v>
      </c>
      <c r="K215" t="s">
        <v>71</v>
      </c>
      <c r="L215" t="s">
        <v>72</v>
      </c>
      <c r="M215" t="s">
        <v>59</v>
      </c>
      <c r="N215" t="s">
        <v>59</v>
      </c>
      <c r="O215" t="s">
        <v>59</v>
      </c>
      <c r="P215" t="s">
        <v>59</v>
      </c>
      <c r="Q215" t="s">
        <v>59</v>
      </c>
      <c r="R215" t="s">
        <v>59</v>
      </c>
      <c r="S215" t="s">
        <v>59</v>
      </c>
      <c r="T215" t="s">
        <v>59</v>
      </c>
      <c r="U215" t="s">
        <v>59</v>
      </c>
      <c r="V215" t="s">
        <v>59</v>
      </c>
      <c r="W215" t="s">
        <v>59</v>
      </c>
      <c r="X215" t="s">
        <v>59</v>
      </c>
      <c r="Y215" t="s">
        <v>59</v>
      </c>
      <c r="Z215" t="s">
        <v>59</v>
      </c>
      <c r="AA215" t="s">
        <v>60</v>
      </c>
      <c r="AB215" t="s">
        <v>59</v>
      </c>
      <c r="AC215" t="s">
        <v>61</v>
      </c>
      <c r="AD215" t="s">
        <v>61</v>
      </c>
      <c r="AE215" t="s">
        <v>59</v>
      </c>
      <c r="AF215" t="s">
        <v>59</v>
      </c>
      <c r="AG215" t="s">
        <v>59</v>
      </c>
      <c r="AH215" t="s">
        <v>61</v>
      </c>
      <c r="AI215" t="s">
        <v>59</v>
      </c>
      <c r="AJ215" t="s">
        <v>59</v>
      </c>
      <c r="AK215" t="s">
        <v>59</v>
      </c>
      <c r="AL215" t="s">
        <v>59</v>
      </c>
      <c r="AM215" t="s">
        <v>59</v>
      </c>
      <c r="AN215" t="s">
        <v>59</v>
      </c>
      <c r="AO215" t="s">
        <v>59</v>
      </c>
      <c r="AP215" t="s">
        <v>699</v>
      </c>
      <c r="AQ215" t="s">
        <v>700</v>
      </c>
      <c r="AR215" t="s">
        <v>226</v>
      </c>
      <c r="AS215" t="s">
        <v>249</v>
      </c>
      <c r="AT215" t="s">
        <v>249</v>
      </c>
      <c r="AU215" t="s">
        <v>219</v>
      </c>
      <c r="AW215" s="4">
        <f t="shared" si="108"/>
        <v>6</v>
      </c>
      <c r="AX215" s="4">
        <f t="shared" si="109"/>
        <v>4</v>
      </c>
      <c r="AY215" s="4">
        <f t="shared" si="110"/>
        <v>4</v>
      </c>
      <c r="AZ215" s="4">
        <f t="shared" si="111"/>
        <v>2</v>
      </c>
      <c r="BA215" s="4">
        <f t="shared" si="112"/>
        <v>4</v>
      </c>
      <c r="BB215" s="4">
        <f t="shared" si="113"/>
        <v>4</v>
      </c>
      <c r="BC215" s="4">
        <f t="shared" si="114"/>
        <v>4</v>
      </c>
      <c r="BD215" s="4">
        <f t="shared" si="115"/>
        <v>2</v>
      </c>
      <c r="BE215" s="4">
        <f t="shared" si="116"/>
        <v>4</v>
      </c>
      <c r="BF215" s="4">
        <f t="shared" si="117"/>
        <v>2</v>
      </c>
      <c r="BG215" s="4">
        <f t="shared" si="118"/>
        <v>4</v>
      </c>
      <c r="BH215" s="4">
        <f t="shared" si="119"/>
        <v>4</v>
      </c>
      <c r="BI215" s="4">
        <f t="shared" si="120"/>
        <v>4</v>
      </c>
      <c r="BJ215" s="4">
        <f t="shared" si="121"/>
        <v>2</v>
      </c>
      <c r="BK215" s="4" t="str">
        <f t="shared" si="122"/>
        <v>0</v>
      </c>
      <c r="BL215" s="4">
        <f t="shared" si="123"/>
        <v>2</v>
      </c>
      <c r="BM215" s="4">
        <f t="shared" si="124"/>
        <v>4</v>
      </c>
      <c r="BN215" s="4">
        <f t="shared" si="125"/>
        <v>4</v>
      </c>
      <c r="BO215" s="4">
        <f t="shared" si="126"/>
        <v>4</v>
      </c>
      <c r="BP215" s="4">
        <f t="shared" si="127"/>
        <v>4</v>
      </c>
      <c r="BQ215" s="4">
        <f t="shared" si="128"/>
        <v>6</v>
      </c>
      <c r="BR215" s="4">
        <f t="shared" si="129"/>
        <v>4</v>
      </c>
      <c r="BS215" s="4">
        <f t="shared" si="130"/>
        <v>4</v>
      </c>
      <c r="BT215" s="4">
        <f t="shared" si="131"/>
        <v>4</v>
      </c>
      <c r="BU215" s="4">
        <f t="shared" si="132"/>
        <v>4</v>
      </c>
      <c r="BV215" s="4">
        <f t="shared" si="133"/>
        <v>0</v>
      </c>
      <c r="BW215" s="4">
        <f t="shared" si="134"/>
        <v>6</v>
      </c>
      <c r="BX215" s="4">
        <f t="shared" si="135"/>
        <v>0</v>
      </c>
      <c r="BY215" s="4">
        <f t="shared" si="136"/>
        <v>0</v>
      </c>
      <c r="BZ215" s="37">
        <f t="shared" si="137"/>
        <v>96</v>
      </c>
      <c r="CA215" s="32" t="str">
        <f>VLOOKUP(J:J,'Agent wise'!A:C,3,0)</f>
        <v>Amal</v>
      </c>
      <c r="CB215" s="32">
        <f t="shared" si="138"/>
        <v>45933</v>
      </c>
      <c r="CC215" t="str">
        <f t="shared" si="139"/>
        <v>Excellent</v>
      </c>
      <c r="CE215" s="32"/>
      <c r="CJ215">
        <f t="shared" si="140"/>
        <v>3</v>
      </c>
      <c r="CK215">
        <f t="shared" si="141"/>
        <v>10</v>
      </c>
      <c r="CL215">
        <f t="shared" si="142"/>
        <v>2025</v>
      </c>
    </row>
    <row r="216" spans="1:90" ht="15" customHeight="1" x14ac:dyDescent="0.35">
      <c r="A216" s="40">
        <v>45787.548368055563</v>
      </c>
      <c r="B216" t="s">
        <v>100</v>
      </c>
      <c r="C216" t="s">
        <v>214</v>
      </c>
      <c r="D216" t="s">
        <v>101</v>
      </c>
      <c r="E216" s="32">
        <v>45935</v>
      </c>
      <c r="F216" t="s">
        <v>54</v>
      </c>
      <c r="G216" s="2">
        <v>45757</v>
      </c>
      <c r="H216">
        <v>9488092964</v>
      </c>
      <c r="I216">
        <v>131</v>
      </c>
      <c r="J216" t="s">
        <v>466</v>
      </c>
      <c r="K216" t="s">
        <v>71</v>
      </c>
      <c r="L216" t="s">
        <v>72</v>
      </c>
      <c r="M216" t="s">
        <v>59</v>
      </c>
      <c r="N216" t="s">
        <v>59</v>
      </c>
      <c r="O216" t="s">
        <v>59</v>
      </c>
      <c r="P216" t="s">
        <v>59</v>
      </c>
      <c r="Q216" t="s">
        <v>59</v>
      </c>
      <c r="R216" t="s">
        <v>59</v>
      </c>
      <c r="S216" t="s">
        <v>59</v>
      </c>
      <c r="T216" t="s">
        <v>59</v>
      </c>
      <c r="U216" t="s">
        <v>59</v>
      </c>
      <c r="V216" t="s">
        <v>59</v>
      </c>
      <c r="W216" t="s">
        <v>59</v>
      </c>
      <c r="X216" t="s">
        <v>59</v>
      </c>
      <c r="Y216" t="s">
        <v>59</v>
      </c>
      <c r="Z216" t="s">
        <v>59</v>
      </c>
      <c r="AA216" t="s">
        <v>59</v>
      </c>
      <c r="AB216" t="s">
        <v>60</v>
      </c>
      <c r="AC216" t="s">
        <v>59</v>
      </c>
      <c r="AD216" t="s">
        <v>59</v>
      </c>
      <c r="AE216" t="s">
        <v>59</v>
      </c>
      <c r="AF216" t="s">
        <v>59</v>
      </c>
      <c r="AG216" t="s">
        <v>59</v>
      </c>
      <c r="AH216" t="s">
        <v>59</v>
      </c>
      <c r="AI216" t="s">
        <v>61</v>
      </c>
      <c r="AJ216" t="s">
        <v>59</v>
      </c>
      <c r="AK216" t="s">
        <v>59</v>
      </c>
      <c r="AL216" t="s">
        <v>59</v>
      </c>
      <c r="AM216" t="s">
        <v>59</v>
      </c>
      <c r="AN216" t="s">
        <v>59</v>
      </c>
      <c r="AO216" t="s">
        <v>60</v>
      </c>
      <c r="AP216" t="s">
        <v>701</v>
      </c>
      <c r="AQ216" s="1" t="s">
        <v>702</v>
      </c>
      <c r="AR216" t="s">
        <v>64</v>
      </c>
      <c r="AS216" t="s">
        <v>703</v>
      </c>
      <c r="AT216" t="s">
        <v>556</v>
      </c>
      <c r="AU216" t="s">
        <v>219</v>
      </c>
      <c r="AW216" s="4">
        <f t="shared" si="108"/>
        <v>6</v>
      </c>
      <c r="AX216" s="4">
        <f t="shared" si="109"/>
        <v>4</v>
      </c>
      <c r="AY216" s="4">
        <f t="shared" si="110"/>
        <v>4</v>
      </c>
      <c r="AZ216" s="4">
        <f t="shared" si="111"/>
        <v>2</v>
      </c>
      <c r="BA216" s="4">
        <f t="shared" si="112"/>
        <v>4</v>
      </c>
      <c r="BB216" s="4">
        <f t="shared" si="113"/>
        <v>4</v>
      </c>
      <c r="BC216" s="4">
        <f t="shared" si="114"/>
        <v>4</v>
      </c>
      <c r="BD216" s="4">
        <f t="shared" si="115"/>
        <v>2</v>
      </c>
      <c r="BE216" s="4">
        <f t="shared" si="116"/>
        <v>4</v>
      </c>
      <c r="BF216" s="4">
        <f t="shared" si="117"/>
        <v>2</v>
      </c>
      <c r="BG216" s="4">
        <f t="shared" si="118"/>
        <v>4</v>
      </c>
      <c r="BH216" s="4">
        <f t="shared" si="119"/>
        <v>4</v>
      </c>
      <c r="BI216" s="4">
        <f t="shared" si="120"/>
        <v>4</v>
      </c>
      <c r="BJ216" s="4">
        <f t="shared" si="121"/>
        <v>2</v>
      </c>
      <c r="BK216" s="4">
        <f t="shared" si="122"/>
        <v>4</v>
      </c>
      <c r="BL216" s="4" t="str">
        <f t="shared" si="123"/>
        <v>0</v>
      </c>
      <c r="BM216" s="4">
        <f t="shared" si="124"/>
        <v>4</v>
      </c>
      <c r="BN216" s="4">
        <f t="shared" si="125"/>
        <v>4</v>
      </c>
      <c r="BO216" s="4">
        <f t="shared" si="126"/>
        <v>4</v>
      </c>
      <c r="BP216" s="4">
        <f t="shared" si="127"/>
        <v>4</v>
      </c>
      <c r="BQ216" s="4">
        <f t="shared" si="128"/>
        <v>6</v>
      </c>
      <c r="BR216" s="4">
        <f t="shared" si="129"/>
        <v>4</v>
      </c>
      <c r="BS216" s="4">
        <f t="shared" si="130"/>
        <v>4</v>
      </c>
      <c r="BT216" s="4">
        <f t="shared" si="131"/>
        <v>4</v>
      </c>
      <c r="BU216" s="4">
        <f t="shared" si="132"/>
        <v>4</v>
      </c>
      <c r="BV216" s="4">
        <f t="shared" si="133"/>
        <v>0</v>
      </c>
      <c r="BW216" s="4">
        <f t="shared" si="134"/>
        <v>6</v>
      </c>
      <c r="BX216" s="4">
        <f t="shared" si="135"/>
        <v>0</v>
      </c>
      <c r="BY216" s="4" t="str">
        <f t="shared" si="136"/>
        <v>0</v>
      </c>
      <c r="BZ216" s="37">
        <f t="shared" si="137"/>
        <v>98</v>
      </c>
      <c r="CA216" s="32" t="str">
        <f>VLOOKUP(J:J,'Agent wise'!A:C,3,0)</f>
        <v>Adharsh</v>
      </c>
      <c r="CB216" s="32">
        <f t="shared" si="138"/>
        <v>45935</v>
      </c>
      <c r="CC216" t="str">
        <f t="shared" si="139"/>
        <v>Excellent</v>
      </c>
      <c r="CE216" s="32"/>
      <c r="CJ216">
        <f t="shared" si="140"/>
        <v>5</v>
      </c>
      <c r="CK216">
        <f t="shared" si="141"/>
        <v>10</v>
      </c>
      <c r="CL216">
        <f t="shared" si="142"/>
        <v>2025</v>
      </c>
    </row>
    <row r="217" spans="1:90" ht="15" customHeight="1" x14ac:dyDescent="0.35">
      <c r="A217" s="40">
        <v>45787.549143518518</v>
      </c>
      <c r="B217" t="s">
        <v>698</v>
      </c>
      <c r="C217" t="s">
        <v>214</v>
      </c>
      <c r="D217" t="s">
        <v>221</v>
      </c>
      <c r="E217" s="32">
        <v>45933</v>
      </c>
      <c r="F217" t="s">
        <v>222</v>
      </c>
      <c r="G217" s="2">
        <v>45726</v>
      </c>
      <c r="H217">
        <v>9790141321</v>
      </c>
      <c r="I217">
        <v>169</v>
      </c>
      <c r="J217" t="s">
        <v>568</v>
      </c>
      <c r="K217" t="s">
        <v>71</v>
      </c>
      <c r="L217" t="s">
        <v>72</v>
      </c>
      <c r="M217" t="s">
        <v>59</v>
      </c>
      <c r="N217" t="s">
        <v>59</v>
      </c>
      <c r="O217" t="s">
        <v>59</v>
      </c>
      <c r="P217" t="s">
        <v>59</v>
      </c>
      <c r="Q217" t="s">
        <v>59</v>
      </c>
      <c r="R217" t="s">
        <v>59</v>
      </c>
      <c r="S217" t="s">
        <v>59</v>
      </c>
      <c r="T217" t="s">
        <v>59</v>
      </c>
      <c r="U217" t="s">
        <v>59</v>
      </c>
      <c r="V217" t="s">
        <v>59</v>
      </c>
      <c r="W217" t="s">
        <v>59</v>
      </c>
      <c r="X217" t="s">
        <v>59</v>
      </c>
      <c r="Y217" t="s">
        <v>59</v>
      </c>
      <c r="Z217" t="s">
        <v>59</v>
      </c>
      <c r="AA217" t="s">
        <v>59</v>
      </c>
      <c r="AB217" t="s">
        <v>59</v>
      </c>
      <c r="AC217" t="s">
        <v>59</v>
      </c>
      <c r="AD217" t="s">
        <v>59</v>
      </c>
      <c r="AE217" t="s">
        <v>59</v>
      </c>
      <c r="AF217" t="s">
        <v>59</v>
      </c>
      <c r="AG217" t="s">
        <v>59</v>
      </c>
      <c r="AH217" t="s">
        <v>61</v>
      </c>
      <c r="AI217" t="s">
        <v>61</v>
      </c>
      <c r="AJ217" t="s">
        <v>59</v>
      </c>
      <c r="AK217" t="s">
        <v>59</v>
      </c>
      <c r="AL217" t="s">
        <v>59</v>
      </c>
      <c r="AM217" t="s">
        <v>59</v>
      </c>
      <c r="AN217" t="s">
        <v>59</v>
      </c>
      <c r="AO217" t="s">
        <v>59</v>
      </c>
      <c r="AP217" t="s">
        <v>704</v>
      </c>
      <c r="AQ217" t="s">
        <v>705</v>
      </c>
      <c r="AR217" t="s">
        <v>226</v>
      </c>
      <c r="AS217" t="s">
        <v>402</v>
      </c>
      <c r="AT217" t="s">
        <v>402</v>
      </c>
      <c r="AU217" t="s">
        <v>219</v>
      </c>
      <c r="AW217" s="4">
        <f t="shared" si="108"/>
        <v>6</v>
      </c>
      <c r="AX217" s="4">
        <f t="shared" si="109"/>
        <v>4</v>
      </c>
      <c r="AY217" s="4">
        <f t="shared" si="110"/>
        <v>4</v>
      </c>
      <c r="AZ217" s="4">
        <f t="shared" si="111"/>
        <v>2</v>
      </c>
      <c r="BA217" s="4">
        <f t="shared" si="112"/>
        <v>4</v>
      </c>
      <c r="BB217" s="4">
        <f t="shared" si="113"/>
        <v>4</v>
      </c>
      <c r="BC217" s="4">
        <f t="shared" si="114"/>
        <v>4</v>
      </c>
      <c r="BD217" s="4">
        <f t="shared" si="115"/>
        <v>2</v>
      </c>
      <c r="BE217" s="4">
        <f t="shared" si="116"/>
        <v>4</v>
      </c>
      <c r="BF217" s="4">
        <f t="shared" si="117"/>
        <v>2</v>
      </c>
      <c r="BG217" s="4">
        <f t="shared" si="118"/>
        <v>4</v>
      </c>
      <c r="BH217" s="4">
        <f t="shared" si="119"/>
        <v>4</v>
      </c>
      <c r="BI217" s="4">
        <f t="shared" si="120"/>
        <v>4</v>
      </c>
      <c r="BJ217" s="4">
        <f t="shared" si="121"/>
        <v>2</v>
      </c>
      <c r="BK217" s="4">
        <f t="shared" si="122"/>
        <v>4</v>
      </c>
      <c r="BL217" s="4">
        <f t="shared" si="123"/>
        <v>2</v>
      </c>
      <c r="BM217" s="4">
        <f t="shared" si="124"/>
        <v>4</v>
      </c>
      <c r="BN217" s="4">
        <f t="shared" si="125"/>
        <v>4</v>
      </c>
      <c r="BO217" s="4">
        <f t="shared" si="126"/>
        <v>4</v>
      </c>
      <c r="BP217" s="4">
        <f t="shared" si="127"/>
        <v>4</v>
      </c>
      <c r="BQ217" s="4">
        <f t="shared" si="128"/>
        <v>6</v>
      </c>
      <c r="BR217" s="4">
        <f t="shared" si="129"/>
        <v>4</v>
      </c>
      <c r="BS217" s="4">
        <f t="shared" si="130"/>
        <v>4</v>
      </c>
      <c r="BT217" s="4">
        <f t="shared" si="131"/>
        <v>4</v>
      </c>
      <c r="BU217" s="4">
        <f t="shared" si="132"/>
        <v>4</v>
      </c>
      <c r="BV217" s="4">
        <f t="shared" si="133"/>
        <v>0</v>
      </c>
      <c r="BW217" s="4">
        <f t="shared" si="134"/>
        <v>6</v>
      </c>
      <c r="BX217" s="4">
        <f t="shared" si="135"/>
        <v>0</v>
      </c>
      <c r="BY217" s="4">
        <f t="shared" si="136"/>
        <v>0</v>
      </c>
      <c r="BZ217" s="37">
        <f t="shared" si="137"/>
        <v>100</v>
      </c>
      <c r="CA217" s="32" t="str">
        <f>VLOOKUP(J:J,'Agent wise'!A:C,3,0)</f>
        <v>Amal</v>
      </c>
      <c r="CB217" s="32">
        <f t="shared" si="138"/>
        <v>45933</v>
      </c>
      <c r="CC217" t="str">
        <f t="shared" si="139"/>
        <v>Excellent</v>
      </c>
      <c r="CE217" s="32"/>
      <c r="CJ217">
        <f t="shared" si="140"/>
        <v>3</v>
      </c>
      <c r="CK217">
        <f t="shared" si="141"/>
        <v>10</v>
      </c>
      <c r="CL217">
        <f t="shared" si="142"/>
        <v>2025</v>
      </c>
    </row>
    <row r="218" spans="1:90" ht="15" customHeight="1" x14ac:dyDescent="0.35">
      <c r="A218" s="40">
        <v>45787.552870370368</v>
      </c>
      <c r="B218" t="s">
        <v>100</v>
      </c>
      <c r="C218" t="s">
        <v>214</v>
      </c>
      <c r="D218" t="s">
        <v>101</v>
      </c>
      <c r="E218" s="32">
        <v>45935</v>
      </c>
      <c r="F218" t="s">
        <v>54</v>
      </c>
      <c r="G218" s="2">
        <v>45757</v>
      </c>
      <c r="H218">
        <v>8508959408</v>
      </c>
      <c r="I218">
        <v>140</v>
      </c>
      <c r="J218" t="s">
        <v>91</v>
      </c>
      <c r="K218" t="s">
        <v>71</v>
      </c>
      <c r="L218" t="s">
        <v>72</v>
      </c>
      <c r="M218" t="s">
        <v>59</v>
      </c>
      <c r="N218" t="s">
        <v>59</v>
      </c>
      <c r="O218" t="s">
        <v>59</v>
      </c>
      <c r="P218" t="s">
        <v>59</v>
      </c>
      <c r="Q218" t="s">
        <v>59</v>
      </c>
      <c r="R218" t="s">
        <v>59</v>
      </c>
      <c r="S218" t="s">
        <v>59</v>
      </c>
      <c r="T218" t="s">
        <v>59</v>
      </c>
      <c r="U218" t="s">
        <v>59</v>
      </c>
      <c r="V218" t="s">
        <v>59</v>
      </c>
      <c r="W218" t="s">
        <v>59</v>
      </c>
      <c r="X218" t="s">
        <v>59</v>
      </c>
      <c r="Y218" t="s">
        <v>59</v>
      </c>
      <c r="Z218" t="s">
        <v>59</v>
      </c>
      <c r="AA218" t="s">
        <v>60</v>
      </c>
      <c r="AB218" t="s">
        <v>59</v>
      </c>
      <c r="AC218" t="s">
        <v>59</v>
      </c>
      <c r="AD218" t="s">
        <v>59</v>
      </c>
      <c r="AE218" t="s">
        <v>59</v>
      </c>
      <c r="AF218" t="s">
        <v>59</v>
      </c>
      <c r="AG218" t="s">
        <v>59</v>
      </c>
      <c r="AH218" t="s">
        <v>59</v>
      </c>
      <c r="AI218" t="s">
        <v>61</v>
      </c>
      <c r="AJ218" t="s">
        <v>59</v>
      </c>
      <c r="AK218" t="s">
        <v>59</v>
      </c>
      <c r="AL218" t="s">
        <v>59</v>
      </c>
      <c r="AM218" t="s">
        <v>59</v>
      </c>
      <c r="AN218" t="s">
        <v>59</v>
      </c>
      <c r="AO218" t="s">
        <v>59</v>
      </c>
      <c r="AP218" t="s">
        <v>526</v>
      </c>
      <c r="AQ218" s="1" t="s">
        <v>706</v>
      </c>
      <c r="AR218" t="s">
        <v>64</v>
      </c>
      <c r="AS218" t="s">
        <v>89</v>
      </c>
      <c r="AT218" t="s">
        <v>84</v>
      </c>
      <c r="AU218" t="s">
        <v>219</v>
      </c>
      <c r="AW218" s="4">
        <f t="shared" si="108"/>
        <v>6</v>
      </c>
      <c r="AX218" s="4">
        <f t="shared" si="109"/>
        <v>4</v>
      </c>
      <c r="AY218" s="4">
        <f t="shared" si="110"/>
        <v>4</v>
      </c>
      <c r="AZ218" s="4">
        <f t="shared" si="111"/>
        <v>2</v>
      </c>
      <c r="BA218" s="4">
        <f t="shared" si="112"/>
        <v>4</v>
      </c>
      <c r="BB218" s="4">
        <f t="shared" si="113"/>
        <v>4</v>
      </c>
      <c r="BC218" s="4">
        <f t="shared" si="114"/>
        <v>4</v>
      </c>
      <c r="BD218" s="4">
        <f t="shared" si="115"/>
        <v>2</v>
      </c>
      <c r="BE218" s="4">
        <f t="shared" si="116"/>
        <v>4</v>
      </c>
      <c r="BF218" s="4">
        <f t="shared" si="117"/>
        <v>2</v>
      </c>
      <c r="BG218" s="4">
        <f t="shared" si="118"/>
        <v>4</v>
      </c>
      <c r="BH218" s="4">
        <f t="shared" si="119"/>
        <v>4</v>
      </c>
      <c r="BI218" s="4">
        <f t="shared" si="120"/>
        <v>4</v>
      </c>
      <c r="BJ218" s="4">
        <f t="shared" si="121"/>
        <v>2</v>
      </c>
      <c r="BK218" s="4" t="str">
        <f t="shared" si="122"/>
        <v>0</v>
      </c>
      <c r="BL218" s="4">
        <f t="shared" si="123"/>
        <v>2</v>
      </c>
      <c r="BM218" s="4">
        <f t="shared" si="124"/>
        <v>4</v>
      </c>
      <c r="BN218" s="4">
        <f t="shared" si="125"/>
        <v>4</v>
      </c>
      <c r="BO218" s="4">
        <f t="shared" si="126"/>
        <v>4</v>
      </c>
      <c r="BP218" s="4">
        <f t="shared" si="127"/>
        <v>4</v>
      </c>
      <c r="BQ218" s="4">
        <f t="shared" si="128"/>
        <v>6</v>
      </c>
      <c r="BR218" s="4">
        <f t="shared" si="129"/>
        <v>4</v>
      </c>
      <c r="BS218" s="4">
        <f t="shared" si="130"/>
        <v>4</v>
      </c>
      <c r="BT218" s="4">
        <f t="shared" si="131"/>
        <v>4</v>
      </c>
      <c r="BU218" s="4">
        <f t="shared" si="132"/>
        <v>4</v>
      </c>
      <c r="BV218" s="4">
        <f t="shared" si="133"/>
        <v>0</v>
      </c>
      <c r="BW218" s="4">
        <f t="shared" si="134"/>
        <v>6</v>
      </c>
      <c r="BX218" s="4">
        <f t="shared" si="135"/>
        <v>0</v>
      </c>
      <c r="BY218" s="4">
        <f t="shared" si="136"/>
        <v>0</v>
      </c>
      <c r="BZ218" s="37">
        <f t="shared" si="137"/>
        <v>96</v>
      </c>
      <c r="CA218" s="32" t="str">
        <f>VLOOKUP(J:J,'Agent wise'!A:C,3,0)</f>
        <v>Saran S</v>
      </c>
      <c r="CB218" s="32">
        <f t="shared" si="138"/>
        <v>45935</v>
      </c>
      <c r="CC218" t="str">
        <f t="shared" si="139"/>
        <v>Excellent</v>
      </c>
      <c r="CE218" s="32"/>
      <c r="CJ218">
        <f t="shared" si="140"/>
        <v>5</v>
      </c>
      <c r="CK218">
        <f t="shared" si="141"/>
        <v>10</v>
      </c>
      <c r="CL218">
        <f t="shared" si="142"/>
        <v>2025</v>
      </c>
    </row>
    <row r="219" spans="1:90" ht="15" customHeight="1" x14ac:dyDescent="0.35">
      <c r="A219" s="40">
        <v>45787.556493055563</v>
      </c>
      <c r="B219" t="s">
        <v>698</v>
      </c>
      <c r="C219" t="s">
        <v>214</v>
      </c>
      <c r="D219" t="s">
        <v>221</v>
      </c>
      <c r="E219" s="32">
        <v>45933</v>
      </c>
      <c r="F219" t="s">
        <v>222</v>
      </c>
      <c r="G219" s="2">
        <v>45726</v>
      </c>
      <c r="H219">
        <v>9847560265</v>
      </c>
      <c r="I219">
        <v>187</v>
      </c>
      <c r="J219" t="s">
        <v>356</v>
      </c>
      <c r="K219" t="s">
        <v>57</v>
      </c>
      <c r="L219" t="s">
        <v>58</v>
      </c>
      <c r="M219" t="s">
        <v>59</v>
      </c>
      <c r="N219" t="s">
        <v>59</v>
      </c>
      <c r="O219" t="s">
        <v>60</v>
      </c>
      <c r="P219" t="s">
        <v>59</v>
      </c>
      <c r="Q219" t="s">
        <v>59</v>
      </c>
      <c r="R219" t="s">
        <v>59</v>
      </c>
      <c r="S219" t="s">
        <v>59</v>
      </c>
      <c r="T219" t="s">
        <v>59</v>
      </c>
      <c r="U219" t="s">
        <v>59</v>
      </c>
      <c r="V219" t="s">
        <v>59</v>
      </c>
      <c r="W219" t="s">
        <v>59</v>
      </c>
      <c r="X219" t="s">
        <v>59</v>
      </c>
      <c r="Y219" t="s">
        <v>59</v>
      </c>
      <c r="Z219" t="s">
        <v>59</v>
      </c>
      <c r="AA219" t="s">
        <v>59</v>
      </c>
      <c r="AB219" t="s">
        <v>59</v>
      </c>
      <c r="AC219" t="s">
        <v>61</v>
      </c>
      <c r="AD219" t="s">
        <v>59</v>
      </c>
      <c r="AE219" t="s">
        <v>59</v>
      </c>
      <c r="AF219" t="s">
        <v>59</v>
      </c>
      <c r="AG219" t="s">
        <v>60</v>
      </c>
      <c r="AH219" t="s">
        <v>61</v>
      </c>
      <c r="AI219" t="s">
        <v>61</v>
      </c>
      <c r="AJ219" t="s">
        <v>59</v>
      </c>
      <c r="AK219" t="s">
        <v>59</v>
      </c>
      <c r="AL219" t="s">
        <v>59</v>
      </c>
      <c r="AM219" t="s">
        <v>59</v>
      </c>
      <c r="AN219" t="s">
        <v>59</v>
      </c>
      <c r="AO219" t="s">
        <v>59</v>
      </c>
      <c r="AP219" t="s">
        <v>707</v>
      </c>
      <c r="AQ219" t="s">
        <v>708</v>
      </c>
      <c r="AR219" t="s">
        <v>226</v>
      </c>
      <c r="AS219" t="s">
        <v>249</v>
      </c>
      <c r="AT219" t="s">
        <v>249</v>
      </c>
      <c r="AU219" t="s">
        <v>219</v>
      </c>
      <c r="AW219" s="4">
        <f t="shared" si="108"/>
        <v>6</v>
      </c>
      <c r="AX219" s="4">
        <f t="shared" si="109"/>
        <v>4</v>
      </c>
      <c r="AY219" s="4" t="str">
        <f t="shared" si="110"/>
        <v>0</v>
      </c>
      <c r="AZ219" s="4">
        <f t="shared" si="111"/>
        <v>2</v>
      </c>
      <c r="BA219" s="4">
        <f t="shared" si="112"/>
        <v>4</v>
      </c>
      <c r="BB219" s="4">
        <f t="shared" si="113"/>
        <v>4</v>
      </c>
      <c r="BC219" s="4">
        <f t="shared" si="114"/>
        <v>4</v>
      </c>
      <c r="BD219" s="4">
        <f t="shared" si="115"/>
        <v>2</v>
      </c>
      <c r="BE219" s="4">
        <f t="shared" si="116"/>
        <v>4</v>
      </c>
      <c r="BF219" s="4">
        <f t="shared" si="117"/>
        <v>2</v>
      </c>
      <c r="BG219" s="4">
        <f t="shared" si="118"/>
        <v>4</v>
      </c>
      <c r="BH219" s="4">
        <f t="shared" si="119"/>
        <v>4</v>
      </c>
      <c r="BI219" s="4">
        <f t="shared" si="120"/>
        <v>4</v>
      </c>
      <c r="BJ219" s="4">
        <f t="shared" si="121"/>
        <v>2</v>
      </c>
      <c r="BK219" s="4">
        <f t="shared" si="122"/>
        <v>4</v>
      </c>
      <c r="BL219" s="4">
        <f t="shared" si="123"/>
        <v>2</v>
      </c>
      <c r="BM219" s="4">
        <f t="shared" si="124"/>
        <v>4</v>
      </c>
      <c r="BN219" s="4">
        <f t="shared" si="125"/>
        <v>4</v>
      </c>
      <c r="BO219" s="4">
        <f t="shared" si="126"/>
        <v>4</v>
      </c>
      <c r="BP219" s="4">
        <f t="shared" si="127"/>
        <v>4</v>
      </c>
      <c r="BQ219" s="4" t="str">
        <f t="shared" si="128"/>
        <v>0</v>
      </c>
      <c r="BR219" s="4">
        <f t="shared" si="129"/>
        <v>4</v>
      </c>
      <c r="BS219" s="4">
        <f t="shared" si="130"/>
        <v>4</v>
      </c>
      <c r="BT219" s="4">
        <f t="shared" si="131"/>
        <v>4</v>
      </c>
      <c r="BU219" s="4">
        <f t="shared" si="132"/>
        <v>4</v>
      </c>
      <c r="BV219" s="4">
        <f t="shared" si="133"/>
        <v>0</v>
      </c>
      <c r="BW219" s="4">
        <f t="shared" si="134"/>
        <v>6</v>
      </c>
      <c r="BX219" s="4">
        <f t="shared" si="135"/>
        <v>0</v>
      </c>
      <c r="BY219" s="4">
        <f t="shared" si="136"/>
        <v>0</v>
      </c>
      <c r="BZ219" s="37">
        <f t="shared" si="137"/>
        <v>90</v>
      </c>
      <c r="CA219" s="32" t="str">
        <f>VLOOKUP(J:J,'Agent wise'!A:C,3,0)</f>
        <v>Amal</v>
      </c>
      <c r="CB219" s="32">
        <f t="shared" si="138"/>
        <v>45933</v>
      </c>
      <c r="CC219" t="str">
        <f t="shared" si="139"/>
        <v>Good</v>
      </c>
      <c r="CE219" s="32"/>
      <c r="CJ219">
        <f t="shared" si="140"/>
        <v>3</v>
      </c>
      <c r="CK219">
        <f t="shared" si="141"/>
        <v>10</v>
      </c>
      <c r="CL219">
        <f t="shared" si="142"/>
        <v>2025</v>
      </c>
    </row>
    <row r="220" spans="1:90" ht="15" customHeight="1" x14ac:dyDescent="0.35">
      <c r="A220" s="40">
        <v>45787.564733796287</v>
      </c>
      <c r="B220" t="s">
        <v>100</v>
      </c>
      <c r="C220" t="s">
        <v>214</v>
      </c>
      <c r="D220" t="s">
        <v>101</v>
      </c>
      <c r="E220" s="32">
        <v>45935</v>
      </c>
      <c r="F220" t="s">
        <v>54</v>
      </c>
      <c r="G220" s="2">
        <v>45757</v>
      </c>
      <c r="H220">
        <v>8281844399</v>
      </c>
      <c r="I220">
        <v>158</v>
      </c>
      <c r="J220" t="s">
        <v>132</v>
      </c>
      <c r="K220" t="s">
        <v>57</v>
      </c>
      <c r="L220" t="s">
        <v>58</v>
      </c>
      <c r="M220" t="s">
        <v>59</v>
      </c>
      <c r="N220" t="s">
        <v>59</v>
      </c>
      <c r="O220" t="s">
        <v>59</v>
      </c>
      <c r="P220" t="s">
        <v>59</v>
      </c>
      <c r="Q220" t="s">
        <v>59</v>
      </c>
      <c r="R220" t="s">
        <v>59</v>
      </c>
      <c r="S220" t="s">
        <v>59</v>
      </c>
      <c r="T220" t="s">
        <v>59</v>
      </c>
      <c r="U220" t="s">
        <v>59</v>
      </c>
      <c r="V220" t="s">
        <v>59</v>
      </c>
      <c r="W220" t="s">
        <v>59</v>
      </c>
      <c r="X220" t="s">
        <v>59</v>
      </c>
      <c r="Y220" t="s">
        <v>59</v>
      </c>
      <c r="Z220" t="s">
        <v>59</v>
      </c>
      <c r="AA220" t="s">
        <v>59</v>
      </c>
      <c r="AB220" t="s">
        <v>59</v>
      </c>
      <c r="AC220" t="s">
        <v>59</v>
      </c>
      <c r="AD220" t="s">
        <v>59</v>
      </c>
      <c r="AE220" t="s">
        <v>59</v>
      </c>
      <c r="AF220" t="s">
        <v>59</v>
      </c>
      <c r="AG220" t="s">
        <v>59</v>
      </c>
      <c r="AH220" t="s">
        <v>59</v>
      </c>
      <c r="AI220" t="s">
        <v>61</v>
      </c>
      <c r="AJ220" t="s">
        <v>59</v>
      </c>
      <c r="AK220" t="s">
        <v>59</v>
      </c>
      <c r="AL220" t="s">
        <v>59</v>
      </c>
      <c r="AM220" t="s">
        <v>59</v>
      </c>
      <c r="AN220" t="s">
        <v>59</v>
      </c>
      <c r="AO220" t="s">
        <v>59</v>
      </c>
      <c r="AP220" t="s">
        <v>709</v>
      </c>
      <c r="AQ220" s="1" t="s">
        <v>710</v>
      </c>
      <c r="AR220" t="s">
        <v>64</v>
      </c>
      <c r="AS220" t="s">
        <v>171</v>
      </c>
      <c r="AT220" t="s">
        <v>190</v>
      </c>
      <c r="AU220" t="s">
        <v>219</v>
      </c>
      <c r="AW220" s="4">
        <f t="shared" si="108"/>
        <v>6</v>
      </c>
      <c r="AX220" s="4">
        <f t="shared" si="109"/>
        <v>4</v>
      </c>
      <c r="AY220" s="4">
        <f t="shared" si="110"/>
        <v>4</v>
      </c>
      <c r="AZ220" s="4">
        <f t="shared" si="111"/>
        <v>2</v>
      </c>
      <c r="BA220" s="4">
        <f t="shared" si="112"/>
        <v>4</v>
      </c>
      <c r="BB220" s="4">
        <f t="shared" si="113"/>
        <v>4</v>
      </c>
      <c r="BC220" s="4">
        <f t="shared" si="114"/>
        <v>4</v>
      </c>
      <c r="BD220" s="4">
        <f t="shared" si="115"/>
        <v>2</v>
      </c>
      <c r="BE220" s="4">
        <f t="shared" si="116"/>
        <v>4</v>
      </c>
      <c r="BF220" s="4">
        <f t="shared" si="117"/>
        <v>2</v>
      </c>
      <c r="BG220" s="4">
        <f t="shared" si="118"/>
        <v>4</v>
      </c>
      <c r="BH220" s="4">
        <f t="shared" si="119"/>
        <v>4</v>
      </c>
      <c r="BI220" s="4">
        <f t="shared" si="120"/>
        <v>4</v>
      </c>
      <c r="BJ220" s="4">
        <f t="shared" si="121"/>
        <v>2</v>
      </c>
      <c r="BK220" s="4">
        <f t="shared" si="122"/>
        <v>4</v>
      </c>
      <c r="BL220" s="4">
        <f t="shared" si="123"/>
        <v>2</v>
      </c>
      <c r="BM220" s="4">
        <f t="shared" si="124"/>
        <v>4</v>
      </c>
      <c r="BN220" s="4">
        <f t="shared" si="125"/>
        <v>4</v>
      </c>
      <c r="BO220" s="4">
        <f t="shared" si="126"/>
        <v>4</v>
      </c>
      <c r="BP220" s="4">
        <f t="shared" si="127"/>
        <v>4</v>
      </c>
      <c r="BQ220" s="4">
        <f t="shared" si="128"/>
        <v>6</v>
      </c>
      <c r="BR220" s="4">
        <f t="shared" si="129"/>
        <v>4</v>
      </c>
      <c r="BS220" s="4">
        <f t="shared" si="130"/>
        <v>4</v>
      </c>
      <c r="BT220" s="4">
        <f t="shared" si="131"/>
        <v>4</v>
      </c>
      <c r="BU220" s="4">
        <f t="shared" si="132"/>
        <v>4</v>
      </c>
      <c r="BV220" s="4">
        <f t="shared" si="133"/>
        <v>0</v>
      </c>
      <c r="BW220" s="4">
        <f t="shared" si="134"/>
        <v>6</v>
      </c>
      <c r="BX220" s="4">
        <f t="shared" si="135"/>
        <v>0</v>
      </c>
      <c r="BY220" s="4">
        <f t="shared" si="136"/>
        <v>0</v>
      </c>
      <c r="BZ220" s="37">
        <f t="shared" si="137"/>
        <v>100</v>
      </c>
      <c r="CA220" s="32" t="str">
        <f>VLOOKUP(J:J,'Agent wise'!A:C,3,0)</f>
        <v>Shakeer</v>
      </c>
      <c r="CB220" s="32">
        <f t="shared" si="138"/>
        <v>45935</v>
      </c>
      <c r="CC220" t="str">
        <f t="shared" si="139"/>
        <v>Excellent</v>
      </c>
      <c r="CE220" s="32"/>
      <c r="CJ220">
        <f t="shared" si="140"/>
        <v>5</v>
      </c>
      <c r="CK220">
        <f t="shared" si="141"/>
        <v>10</v>
      </c>
      <c r="CL220">
        <f t="shared" si="142"/>
        <v>2025</v>
      </c>
    </row>
    <row r="221" spans="1:90" ht="15" customHeight="1" x14ac:dyDescent="0.35">
      <c r="A221" s="40">
        <v>45787.56554398148</v>
      </c>
      <c r="B221" t="s">
        <v>250</v>
      </c>
      <c r="C221" t="s">
        <v>214</v>
      </c>
      <c r="D221" t="s">
        <v>251</v>
      </c>
      <c r="E221" s="32">
        <v>45935</v>
      </c>
      <c r="F221" t="s">
        <v>222</v>
      </c>
      <c r="G221" s="2">
        <v>45726</v>
      </c>
      <c r="H221">
        <v>9443348144</v>
      </c>
      <c r="I221">
        <v>138</v>
      </c>
      <c r="J221" t="s">
        <v>501</v>
      </c>
      <c r="K221" t="s">
        <v>71</v>
      </c>
      <c r="L221" t="s">
        <v>72</v>
      </c>
      <c r="M221" t="s">
        <v>59</v>
      </c>
      <c r="N221" t="s">
        <v>59</v>
      </c>
      <c r="O221" t="s">
        <v>59</v>
      </c>
      <c r="P221" t="s">
        <v>59</v>
      </c>
      <c r="Q221" t="s">
        <v>59</v>
      </c>
      <c r="R221" t="s">
        <v>59</v>
      </c>
      <c r="S221" t="s">
        <v>59</v>
      </c>
      <c r="T221" t="s">
        <v>59</v>
      </c>
      <c r="U221" t="s">
        <v>60</v>
      </c>
      <c r="V221" t="s">
        <v>59</v>
      </c>
      <c r="W221" t="s">
        <v>59</v>
      </c>
      <c r="X221" t="s">
        <v>59</v>
      </c>
      <c r="Y221" t="s">
        <v>59</v>
      </c>
      <c r="Z221" t="s">
        <v>59</v>
      </c>
      <c r="AA221" t="s">
        <v>60</v>
      </c>
      <c r="AB221" t="s">
        <v>59</v>
      </c>
      <c r="AC221" t="s">
        <v>60</v>
      </c>
      <c r="AD221" t="s">
        <v>59</v>
      </c>
      <c r="AE221" t="s">
        <v>59</v>
      </c>
      <c r="AF221" t="s">
        <v>59</v>
      </c>
      <c r="AG221" t="s">
        <v>59</v>
      </c>
      <c r="AH221" t="s">
        <v>61</v>
      </c>
      <c r="AI221" t="s">
        <v>61</v>
      </c>
      <c r="AJ221" t="s">
        <v>59</v>
      </c>
      <c r="AK221" t="s">
        <v>59</v>
      </c>
      <c r="AL221" t="s">
        <v>60</v>
      </c>
      <c r="AM221" t="s">
        <v>59</v>
      </c>
      <c r="AN221" t="s">
        <v>59</v>
      </c>
      <c r="AO221" t="s">
        <v>59</v>
      </c>
      <c r="AP221" t="s">
        <v>711</v>
      </c>
      <c r="AQ221" t="s">
        <v>712</v>
      </c>
      <c r="AR221" t="s">
        <v>64</v>
      </c>
      <c r="AS221" t="s">
        <v>249</v>
      </c>
      <c r="AT221" t="s">
        <v>404</v>
      </c>
      <c r="AU221" t="s">
        <v>219</v>
      </c>
      <c r="AW221" s="4">
        <f t="shared" si="108"/>
        <v>6</v>
      </c>
      <c r="AX221" s="4">
        <f t="shared" si="109"/>
        <v>4</v>
      </c>
      <c r="AY221" s="4">
        <f t="shared" si="110"/>
        <v>4</v>
      </c>
      <c r="AZ221" s="4">
        <f t="shared" si="111"/>
        <v>2</v>
      </c>
      <c r="BA221" s="4">
        <f t="shared" si="112"/>
        <v>4</v>
      </c>
      <c r="BB221" s="4">
        <f t="shared" si="113"/>
        <v>4</v>
      </c>
      <c r="BC221" s="4">
        <f t="shared" si="114"/>
        <v>4</v>
      </c>
      <c r="BD221" s="4">
        <f t="shared" si="115"/>
        <v>2</v>
      </c>
      <c r="BE221" s="4" t="str">
        <f t="shared" si="116"/>
        <v>0</v>
      </c>
      <c r="BF221" s="4">
        <f t="shared" si="117"/>
        <v>2</v>
      </c>
      <c r="BG221" s="4">
        <f t="shared" si="118"/>
        <v>4</v>
      </c>
      <c r="BH221" s="4">
        <f t="shared" si="119"/>
        <v>4</v>
      </c>
      <c r="BI221" s="4">
        <f t="shared" si="120"/>
        <v>4</v>
      </c>
      <c r="BJ221" s="4">
        <f t="shared" si="121"/>
        <v>2</v>
      </c>
      <c r="BK221" s="4" t="str">
        <f t="shared" si="122"/>
        <v>0</v>
      </c>
      <c r="BL221" s="4">
        <f t="shared" si="123"/>
        <v>2</v>
      </c>
      <c r="BM221" s="4" t="str">
        <f t="shared" si="124"/>
        <v>0</v>
      </c>
      <c r="BN221" s="4">
        <f t="shared" si="125"/>
        <v>4</v>
      </c>
      <c r="BO221" s="4">
        <f t="shared" si="126"/>
        <v>4</v>
      </c>
      <c r="BP221" s="4">
        <f t="shared" si="127"/>
        <v>4</v>
      </c>
      <c r="BQ221" s="4">
        <f t="shared" si="128"/>
        <v>6</v>
      </c>
      <c r="BR221" s="4">
        <f t="shared" si="129"/>
        <v>4</v>
      </c>
      <c r="BS221" s="4">
        <f t="shared" si="130"/>
        <v>4</v>
      </c>
      <c r="BT221" s="4">
        <f t="shared" si="131"/>
        <v>4</v>
      </c>
      <c r="BU221" s="4">
        <f t="shared" si="132"/>
        <v>4</v>
      </c>
      <c r="BV221" s="4" t="str">
        <f t="shared" si="133"/>
        <v>0</v>
      </c>
      <c r="BW221" s="4">
        <f t="shared" si="134"/>
        <v>6</v>
      </c>
      <c r="BX221" s="4">
        <f t="shared" si="135"/>
        <v>0</v>
      </c>
      <c r="BY221" s="4">
        <f t="shared" si="136"/>
        <v>0</v>
      </c>
      <c r="BZ221" s="37">
        <f t="shared" si="137"/>
        <v>88</v>
      </c>
      <c r="CA221" s="32" t="str">
        <f>VLOOKUP(J:J,'Agent wise'!A:C,3,0)</f>
        <v>Amal</v>
      </c>
      <c r="CB221" s="32">
        <f t="shared" si="138"/>
        <v>45935</v>
      </c>
      <c r="CC221" t="str">
        <f t="shared" si="139"/>
        <v>Average</v>
      </c>
      <c r="CE221" s="32"/>
      <c r="CJ221">
        <f t="shared" si="140"/>
        <v>5</v>
      </c>
      <c r="CK221">
        <f t="shared" si="141"/>
        <v>10</v>
      </c>
      <c r="CL221">
        <f t="shared" si="142"/>
        <v>2025</v>
      </c>
    </row>
    <row r="222" spans="1:90" ht="15" customHeight="1" x14ac:dyDescent="0.35">
      <c r="A222" s="40">
        <v>45787.567604166667</v>
      </c>
      <c r="B222" t="s">
        <v>51</v>
      </c>
      <c r="C222" t="s">
        <v>214</v>
      </c>
      <c r="D222" t="s">
        <v>53</v>
      </c>
      <c r="E222" s="32">
        <v>45935</v>
      </c>
      <c r="F222" t="s">
        <v>54</v>
      </c>
      <c r="G222" s="2">
        <v>45757</v>
      </c>
      <c r="H222">
        <v>9447776265</v>
      </c>
      <c r="I222">
        <v>330</v>
      </c>
      <c r="J222" t="s">
        <v>412</v>
      </c>
      <c r="K222" t="s">
        <v>57</v>
      </c>
      <c r="L222" t="s">
        <v>58</v>
      </c>
      <c r="M222" t="s">
        <v>59</v>
      </c>
      <c r="N222" t="s">
        <v>59</v>
      </c>
      <c r="O222" t="s">
        <v>59</v>
      </c>
      <c r="P222" t="s">
        <v>59</v>
      </c>
      <c r="Q222" t="s">
        <v>59</v>
      </c>
      <c r="R222" t="s">
        <v>60</v>
      </c>
      <c r="S222" t="s">
        <v>59</v>
      </c>
      <c r="T222" t="s">
        <v>59</v>
      </c>
      <c r="U222" t="s">
        <v>59</v>
      </c>
      <c r="V222" t="s">
        <v>59</v>
      </c>
      <c r="W222" t="s">
        <v>59</v>
      </c>
      <c r="X222" t="s">
        <v>59</v>
      </c>
      <c r="Y222" t="s">
        <v>59</v>
      </c>
      <c r="Z222" t="s">
        <v>59</v>
      </c>
      <c r="AA222" t="s">
        <v>59</v>
      </c>
      <c r="AB222" t="s">
        <v>59</v>
      </c>
      <c r="AC222" t="s">
        <v>60</v>
      </c>
      <c r="AD222" t="s">
        <v>60</v>
      </c>
      <c r="AE222" t="s">
        <v>59</v>
      </c>
      <c r="AF222" t="s">
        <v>61</v>
      </c>
      <c r="AG222" t="s">
        <v>59</v>
      </c>
      <c r="AH222" t="s">
        <v>61</v>
      </c>
      <c r="AI222" t="s">
        <v>60</v>
      </c>
      <c r="AJ222" t="s">
        <v>59</v>
      </c>
      <c r="AK222" t="s">
        <v>61</v>
      </c>
      <c r="AL222" t="s">
        <v>60</v>
      </c>
      <c r="AM222" t="s">
        <v>59</v>
      </c>
      <c r="AN222" t="s">
        <v>59</v>
      </c>
      <c r="AO222" t="s">
        <v>59</v>
      </c>
      <c r="AP222" t="s">
        <v>713</v>
      </c>
      <c r="AQ222" t="s">
        <v>77</v>
      </c>
      <c r="AR222" t="s">
        <v>64</v>
      </c>
      <c r="AS222" t="s">
        <v>78</v>
      </c>
      <c r="AT222" t="s">
        <v>79</v>
      </c>
      <c r="AU222" t="s">
        <v>299</v>
      </c>
      <c r="AW222" s="4">
        <f t="shared" si="108"/>
        <v>6</v>
      </c>
      <c r="AX222" s="4">
        <f t="shared" si="109"/>
        <v>4</v>
      </c>
      <c r="AY222" s="4">
        <f t="shared" si="110"/>
        <v>4</v>
      </c>
      <c r="AZ222" s="4">
        <f t="shared" si="111"/>
        <v>2</v>
      </c>
      <c r="BA222" s="4">
        <f t="shared" si="112"/>
        <v>4</v>
      </c>
      <c r="BB222" s="4" t="str">
        <f t="shared" si="113"/>
        <v>0</v>
      </c>
      <c r="BC222" s="4">
        <f t="shared" si="114"/>
        <v>4</v>
      </c>
      <c r="BD222" s="4">
        <f t="shared" si="115"/>
        <v>2</v>
      </c>
      <c r="BE222" s="4">
        <f t="shared" si="116"/>
        <v>4</v>
      </c>
      <c r="BF222" s="4">
        <f t="shared" si="117"/>
        <v>2</v>
      </c>
      <c r="BG222" s="4">
        <f t="shared" si="118"/>
        <v>4</v>
      </c>
      <c r="BH222" s="4">
        <f t="shared" si="119"/>
        <v>4</v>
      </c>
      <c r="BI222" s="4">
        <f t="shared" si="120"/>
        <v>4</v>
      </c>
      <c r="BJ222" s="4">
        <f t="shared" si="121"/>
        <v>2</v>
      </c>
      <c r="BK222" s="4">
        <f t="shared" si="122"/>
        <v>4</v>
      </c>
      <c r="BL222" s="4">
        <f t="shared" si="123"/>
        <v>2</v>
      </c>
      <c r="BM222" s="4" t="str">
        <f t="shared" si="124"/>
        <v>0</v>
      </c>
      <c r="BN222" s="4" t="str">
        <f t="shared" si="125"/>
        <v>0</v>
      </c>
      <c r="BO222" s="4">
        <f t="shared" si="126"/>
        <v>4</v>
      </c>
      <c r="BP222" s="4">
        <f t="shared" si="127"/>
        <v>4</v>
      </c>
      <c r="BQ222" s="4">
        <f t="shared" si="128"/>
        <v>6</v>
      </c>
      <c r="BR222" s="4">
        <f t="shared" si="129"/>
        <v>4</v>
      </c>
      <c r="BS222" s="4" t="str">
        <f t="shared" si="130"/>
        <v>0</v>
      </c>
      <c r="BT222" s="4">
        <f t="shared" si="131"/>
        <v>4</v>
      </c>
      <c r="BU222" s="4">
        <f t="shared" si="132"/>
        <v>4</v>
      </c>
      <c r="BV222" s="4" t="str">
        <f t="shared" si="133"/>
        <v>0</v>
      </c>
      <c r="BW222" s="4">
        <f t="shared" si="134"/>
        <v>6</v>
      </c>
      <c r="BX222" s="4">
        <f t="shared" si="135"/>
        <v>0</v>
      </c>
      <c r="BY222" s="4">
        <f t="shared" si="136"/>
        <v>0</v>
      </c>
      <c r="BZ222" s="37">
        <f t="shared" si="137"/>
        <v>84</v>
      </c>
      <c r="CA222" s="32" t="str">
        <f>VLOOKUP(J:J,'Agent wise'!A:C,3,0)</f>
        <v>Saran S</v>
      </c>
      <c r="CB222" s="32">
        <f t="shared" si="138"/>
        <v>45935</v>
      </c>
      <c r="CC222" t="str">
        <f t="shared" si="139"/>
        <v>FC</v>
      </c>
      <c r="CE222" s="32"/>
      <c r="CJ222">
        <f t="shared" si="140"/>
        <v>5</v>
      </c>
      <c r="CK222">
        <f t="shared" si="141"/>
        <v>10</v>
      </c>
      <c r="CL222">
        <f t="shared" si="142"/>
        <v>2025</v>
      </c>
    </row>
    <row r="223" spans="1:90" ht="15" customHeight="1" x14ac:dyDescent="0.35">
      <c r="A223" s="40">
        <v>45787.569733796299</v>
      </c>
      <c r="B223" t="s">
        <v>100</v>
      </c>
      <c r="C223" t="s">
        <v>214</v>
      </c>
      <c r="D223" t="s">
        <v>101</v>
      </c>
      <c r="E223" s="32">
        <v>45935</v>
      </c>
      <c r="F223" t="s">
        <v>54</v>
      </c>
      <c r="G223" s="2">
        <v>45757</v>
      </c>
      <c r="H223">
        <v>9497452876</v>
      </c>
      <c r="I223">
        <v>131</v>
      </c>
      <c r="J223" t="s">
        <v>70</v>
      </c>
      <c r="K223" t="s">
        <v>57</v>
      </c>
      <c r="L223" t="s">
        <v>58</v>
      </c>
      <c r="M223" t="s">
        <v>59</v>
      </c>
      <c r="N223" t="s">
        <v>59</v>
      </c>
      <c r="O223" t="s">
        <v>59</v>
      </c>
      <c r="P223" t="s">
        <v>59</v>
      </c>
      <c r="Q223" t="s">
        <v>59</v>
      </c>
      <c r="R223" t="s">
        <v>60</v>
      </c>
      <c r="S223" t="s">
        <v>59</v>
      </c>
      <c r="T223" t="s">
        <v>59</v>
      </c>
      <c r="U223" t="s">
        <v>59</v>
      </c>
      <c r="V223" t="s">
        <v>59</v>
      </c>
      <c r="W223" t="s">
        <v>59</v>
      </c>
      <c r="X223" t="s">
        <v>59</v>
      </c>
      <c r="Y223" t="s">
        <v>59</v>
      </c>
      <c r="Z223" t="s">
        <v>59</v>
      </c>
      <c r="AA223" t="s">
        <v>60</v>
      </c>
      <c r="AB223" t="s">
        <v>59</v>
      </c>
      <c r="AC223" t="s">
        <v>59</v>
      </c>
      <c r="AD223" t="s">
        <v>59</v>
      </c>
      <c r="AE223" t="s">
        <v>59</v>
      </c>
      <c r="AF223" t="s">
        <v>59</v>
      </c>
      <c r="AG223" t="s">
        <v>59</v>
      </c>
      <c r="AH223" t="s">
        <v>59</v>
      </c>
      <c r="AI223" t="s">
        <v>61</v>
      </c>
      <c r="AJ223" t="s">
        <v>59</v>
      </c>
      <c r="AK223" t="s">
        <v>59</v>
      </c>
      <c r="AL223" t="s">
        <v>59</v>
      </c>
      <c r="AM223" t="s">
        <v>59</v>
      </c>
      <c r="AN223" t="s">
        <v>59</v>
      </c>
      <c r="AO223" t="s">
        <v>59</v>
      </c>
      <c r="AP223" t="s">
        <v>216</v>
      </c>
      <c r="AQ223" s="1" t="s">
        <v>714</v>
      </c>
      <c r="AR223" t="s">
        <v>64</v>
      </c>
      <c r="AS223" t="s">
        <v>171</v>
      </c>
      <c r="AT223" t="s">
        <v>172</v>
      </c>
      <c r="AU223" t="s">
        <v>219</v>
      </c>
      <c r="AW223" s="4">
        <f t="shared" si="108"/>
        <v>6</v>
      </c>
      <c r="AX223" s="4">
        <f t="shared" si="109"/>
        <v>4</v>
      </c>
      <c r="AY223" s="4">
        <f t="shared" si="110"/>
        <v>4</v>
      </c>
      <c r="AZ223" s="4">
        <f t="shared" si="111"/>
        <v>2</v>
      </c>
      <c r="BA223" s="4">
        <f t="shared" si="112"/>
        <v>4</v>
      </c>
      <c r="BB223" s="4" t="str">
        <f t="shared" si="113"/>
        <v>0</v>
      </c>
      <c r="BC223" s="4">
        <f t="shared" si="114"/>
        <v>4</v>
      </c>
      <c r="BD223" s="4">
        <f t="shared" si="115"/>
        <v>2</v>
      </c>
      <c r="BE223" s="4">
        <f t="shared" si="116"/>
        <v>4</v>
      </c>
      <c r="BF223" s="4">
        <f t="shared" si="117"/>
        <v>2</v>
      </c>
      <c r="BG223" s="4">
        <f t="shared" si="118"/>
        <v>4</v>
      </c>
      <c r="BH223" s="4">
        <f t="shared" si="119"/>
        <v>4</v>
      </c>
      <c r="BI223" s="4">
        <f t="shared" si="120"/>
        <v>4</v>
      </c>
      <c r="BJ223" s="4">
        <f t="shared" si="121"/>
        <v>2</v>
      </c>
      <c r="BK223" s="4" t="str">
        <f t="shared" si="122"/>
        <v>0</v>
      </c>
      <c r="BL223" s="4">
        <f t="shared" si="123"/>
        <v>2</v>
      </c>
      <c r="BM223" s="4">
        <f t="shared" si="124"/>
        <v>4</v>
      </c>
      <c r="BN223" s="4">
        <f t="shared" si="125"/>
        <v>4</v>
      </c>
      <c r="BO223" s="4">
        <f t="shared" si="126"/>
        <v>4</v>
      </c>
      <c r="BP223" s="4">
        <f t="shared" si="127"/>
        <v>4</v>
      </c>
      <c r="BQ223" s="4">
        <f t="shared" si="128"/>
        <v>6</v>
      </c>
      <c r="BR223" s="4">
        <f t="shared" si="129"/>
        <v>4</v>
      </c>
      <c r="BS223" s="4">
        <f t="shared" si="130"/>
        <v>4</v>
      </c>
      <c r="BT223" s="4">
        <f t="shared" si="131"/>
        <v>4</v>
      </c>
      <c r="BU223" s="4">
        <f t="shared" si="132"/>
        <v>4</v>
      </c>
      <c r="BV223" s="4">
        <f t="shared" si="133"/>
        <v>0</v>
      </c>
      <c r="BW223" s="4">
        <f t="shared" si="134"/>
        <v>6</v>
      </c>
      <c r="BX223" s="4">
        <f t="shared" si="135"/>
        <v>0</v>
      </c>
      <c r="BY223" s="4">
        <f t="shared" si="136"/>
        <v>0</v>
      </c>
      <c r="BZ223" s="37">
        <f t="shared" si="137"/>
        <v>92</v>
      </c>
      <c r="CA223" s="32" t="str">
        <f>VLOOKUP(J:J,'Agent wise'!A:C,3,0)</f>
        <v>Saran S</v>
      </c>
      <c r="CB223" s="32">
        <f t="shared" si="138"/>
        <v>45935</v>
      </c>
      <c r="CC223" t="str">
        <f t="shared" si="139"/>
        <v>Good</v>
      </c>
      <c r="CE223" s="32"/>
      <c r="CJ223">
        <f t="shared" si="140"/>
        <v>5</v>
      </c>
      <c r="CK223">
        <f t="shared" si="141"/>
        <v>10</v>
      </c>
      <c r="CL223">
        <f t="shared" si="142"/>
        <v>2025</v>
      </c>
    </row>
    <row r="224" spans="1:90" ht="15" customHeight="1" x14ac:dyDescent="0.35">
      <c r="A224" s="40">
        <v>45787.570277777777</v>
      </c>
      <c r="B224" t="s">
        <v>698</v>
      </c>
      <c r="C224" t="s">
        <v>214</v>
      </c>
      <c r="D224" t="s">
        <v>221</v>
      </c>
      <c r="E224" s="32">
        <v>45933</v>
      </c>
      <c r="F224" t="s">
        <v>222</v>
      </c>
      <c r="G224" s="2">
        <v>45726</v>
      </c>
      <c r="H224">
        <v>8129619796</v>
      </c>
      <c r="I224">
        <v>169</v>
      </c>
      <c r="J224" t="s">
        <v>501</v>
      </c>
      <c r="K224" t="s">
        <v>57</v>
      </c>
      <c r="L224" t="s">
        <v>58</v>
      </c>
      <c r="M224" t="s">
        <v>59</v>
      </c>
      <c r="N224" t="s">
        <v>59</v>
      </c>
      <c r="O224" t="s">
        <v>59</v>
      </c>
      <c r="P224" t="s">
        <v>59</v>
      </c>
      <c r="Q224" t="s">
        <v>59</v>
      </c>
      <c r="R224" t="s">
        <v>59</v>
      </c>
      <c r="S224" t="s">
        <v>59</v>
      </c>
      <c r="T224" t="s">
        <v>59</v>
      </c>
      <c r="U224" t="s">
        <v>59</v>
      </c>
      <c r="V224" t="s">
        <v>59</v>
      </c>
      <c r="W224" t="s">
        <v>59</v>
      </c>
      <c r="X224" t="s">
        <v>59</v>
      </c>
      <c r="Y224" t="s">
        <v>59</v>
      </c>
      <c r="Z224" t="s">
        <v>59</v>
      </c>
      <c r="AA224" t="s">
        <v>60</v>
      </c>
      <c r="AB224" t="s">
        <v>59</v>
      </c>
      <c r="AC224" t="s">
        <v>60</v>
      </c>
      <c r="AD224" t="s">
        <v>59</v>
      </c>
      <c r="AE224" t="s">
        <v>59</v>
      </c>
      <c r="AF224" t="s">
        <v>59</v>
      </c>
      <c r="AG224" t="s">
        <v>59</v>
      </c>
      <c r="AH224" t="s">
        <v>61</v>
      </c>
      <c r="AI224" t="s">
        <v>61</v>
      </c>
      <c r="AJ224" t="s">
        <v>59</v>
      </c>
      <c r="AK224" t="s">
        <v>59</v>
      </c>
      <c r="AL224" t="s">
        <v>60</v>
      </c>
      <c r="AM224" t="s">
        <v>59</v>
      </c>
      <c r="AN224" t="s">
        <v>59</v>
      </c>
      <c r="AO224" t="s">
        <v>59</v>
      </c>
      <c r="AP224" t="s">
        <v>715</v>
      </c>
      <c r="AQ224" t="s">
        <v>716</v>
      </c>
      <c r="AR224" t="s">
        <v>226</v>
      </c>
      <c r="AS224" t="s">
        <v>717</v>
      </c>
      <c r="AT224" t="s">
        <v>717</v>
      </c>
      <c r="AU224" t="s">
        <v>219</v>
      </c>
      <c r="AW224" s="4">
        <f t="shared" si="108"/>
        <v>6</v>
      </c>
      <c r="AX224" s="4">
        <f t="shared" si="109"/>
        <v>4</v>
      </c>
      <c r="AY224" s="4">
        <f t="shared" si="110"/>
        <v>4</v>
      </c>
      <c r="AZ224" s="4">
        <f t="shared" si="111"/>
        <v>2</v>
      </c>
      <c r="BA224" s="4">
        <f t="shared" si="112"/>
        <v>4</v>
      </c>
      <c r="BB224" s="4">
        <f t="shared" si="113"/>
        <v>4</v>
      </c>
      <c r="BC224" s="4">
        <f t="shared" si="114"/>
        <v>4</v>
      </c>
      <c r="BD224" s="4">
        <f t="shared" si="115"/>
        <v>2</v>
      </c>
      <c r="BE224" s="4">
        <f t="shared" si="116"/>
        <v>4</v>
      </c>
      <c r="BF224" s="4">
        <f t="shared" si="117"/>
        <v>2</v>
      </c>
      <c r="BG224" s="4">
        <f t="shared" si="118"/>
        <v>4</v>
      </c>
      <c r="BH224" s="4">
        <f t="shared" si="119"/>
        <v>4</v>
      </c>
      <c r="BI224" s="4">
        <f t="shared" si="120"/>
        <v>4</v>
      </c>
      <c r="BJ224" s="4">
        <f t="shared" si="121"/>
        <v>2</v>
      </c>
      <c r="BK224" s="4" t="str">
        <f t="shared" si="122"/>
        <v>0</v>
      </c>
      <c r="BL224" s="4">
        <f t="shared" si="123"/>
        <v>2</v>
      </c>
      <c r="BM224" s="4" t="str">
        <f t="shared" si="124"/>
        <v>0</v>
      </c>
      <c r="BN224" s="4">
        <f t="shared" si="125"/>
        <v>4</v>
      </c>
      <c r="BO224" s="4">
        <f t="shared" si="126"/>
        <v>4</v>
      </c>
      <c r="BP224" s="4">
        <f t="shared" si="127"/>
        <v>4</v>
      </c>
      <c r="BQ224" s="4">
        <f t="shared" si="128"/>
        <v>6</v>
      </c>
      <c r="BR224" s="4">
        <f t="shared" si="129"/>
        <v>4</v>
      </c>
      <c r="BS224" s="4">
        <f t="shared" si="130"/>
        <v>4</v>
      </c>
      <c r="BT224" s="4">
        <f t="shared" si="131"/>
        <v>4</v>
      </c>
      <c r="BU224" s="4">
        <f t="shared" si="132"/>
        <v>4</v>
      </c>
      <c r="BV224" s="4" t="str">
        <f t="shared" si="133"/>
        <v>0</v>
      </c>
      <c r="BW224" s="4">
        <f t="shared" si="134"/>
        <v>6</v>
      </c>
      <c r="BX224" s="4">
        <f t="shared" si="135"/>
        <v>0</v>
      </c>
      <c r="BY224" s="4">
        <f t="shared" si="136"/>
        <v>0</v>
      </c>
      <c r="BZ224" s="37">
        <f t="shared" si="137"/>
        <v>92</v>
      </c>
      <c r="CA224" s="32" t="str">
        <f>VLOOKUP(J:J,'Agent wise'!A:C,3,0)</f>
        <v>Amal</v>
      </c>
      <c r="CB224" s="32">
        <f t="shared" si="138"/>
        <v>45933</v>
      </c>
      <c r="CC224" t="str">
        <f t="shared" si="139"/>
        <v>Good</v>
      </c>
      <c r="CE224" s="32"/>
      <c r="CJ224">
        <f t="shared" si="140"/>
        <v>3</v>
      </c>
      <c r="CK224">
        <f t="shared" si="141"/>
        <v>10</v>
      </c>
      <c r="CL224">
        <f t="shared" si="142"/>
        <v>2025</v>
      </c>
    </row>
    <row r="225" spans="1:90" ht="15" customHeight="1" x14ac:dyDescent="0.35">
      <c r="A225" s="40">
        <v>45787.570590277777</v>
      </c>
      <c r="B225" t="s">
        <v>250</v>
      </c>
      <c r="C225" t="s">
        <v>214</v>
      </c>
      <c r="D225" t="s">
        <v>251</v>
      </c>
      <c r="E225" s="32">
        <v>45935</v>
      </c>
      <c r="F225" t="s">
        <v>222</v>
      </c>
      <c r="G225" s="2">
        <v>45726</v>
      </c>
      <c r="H225">
        <v>9790041161</v>
      </c>
      <c r="I225">
        <v>173</v>
      </c>
      <c r="J225" t="s">
        <v>246</v>
      </c>
      <c r="K225" t="s">
        <v>71</v>
      </c>
      <c r="L225" t="s">
        <v>72</v>
      </c>
      <c r="M225" t="s">
        <v>59</v>
      </c>
      <c r="N225" t="s">
        <v>59</v>
      </c>
      <c r="O225" t="s">
        <v>59</v>
      </c>
      <c r="P225" t="s">
        <v>59</v>
      </c>
      <c r="Q225" t="s">
        <v>59</v>
      </c>
      <c r="R225" t="s">
        <v>59</v>
      </c>
      <c r="S225" t="s">
        <v>59</v>
      </c>
      <c r="T225" t="s">
        <v>59</v>
      </c>
      <c r="U225" t="s">
        <v>59</v>
      </c>
      <c r="V225" t="s">
        <v>59</v>
      </c>
      <c r="W225" t="s">
        <v>59</v>
      </c>
      <c r="X225" t="s">
        <v>59</v>
      </c>
      <c r="Y225" t="s">
        <v>59</v>
      </c>
      <c r="Z225" t="s">
        <v>59</v>
      </c>
      <c r="AA225" t="s">
        <v>59</v>
      </c>
      <c r="AB225" t="s">
        <v>59</v>
      </c>
      <c r="AC225" t="s">
        <v>59</v>
      </c>
      <c r="AD225" t="s">
        <v>59</v>
      </c>
      <c r="AE225" t="s">
        <v>59</v>
      </c>
      <c r="AF225" t="s">
        <v>59</v>
      </c>
      <c r="AG225" t="s">
        <v>59</v>
      </c>
      <c r="AH225" t="s">
        <v>61</v>
      </c>
      <c r="AI225" t="s">
        <v>61</v>
      </c>
      <c r="AJ225" t="s">
        <v>59</v>
      </c>
      <c r="AK225" t="s">
        <v>59</v>
      </c>
      <c r="AL225" t="s">
        <v>59</v>
      </c>
      <c r="AM225" t="s">
        <v>59</v>
      </c>
      <c r="AN225" t="s">
        <v>59</v>
      </c>
      <c r="AO225" t="s">
        <v>59</v>
      </c>
      <c r="AP225" t="s">
        <v>496</v>
      </c>
      <c r="AQ225" t="s">
        <v>718</v>
      </c>
      <c r="AR225" t="s">
        <v>64</v>
      </c>
      <c r="AS225" t="s">
        <v>565</v>
      </c>
      <c r="AT225" t="s">
        <v>404</v>
      </c>
      <c r="AU225" t="s">
        <v>219</v>
      </c>
      <c r="AW225" s="4">
        <f t="shared" si="108"/>
        <v>6</v>
      </c>
      <c r="AX225" s="4">
        <f t="shared" si="109"/>
        <v>4</v>
      </c>
      <c r="AY225" s="4">
        <f t="shared" si="110"/>
        <v>4</v>
      </c>
      <c r="AZ225" s="4">
        <f t="shared" si="111"/>
        <v>2</v>
      </c>
      <c r="BA225" s="4">
        <f t="shared" si="112"/>
        <v>4</v>
      </c>
      <c r="BB225" s="4">
        <f t="shared" si="113"/>
        <v>4</v>
      </c>
      <c r="BC225" s="4">
        <f t="shared" si="114"/>
        <v>4</v>
      </c>
      <c r="BD225" s="4">
        <f t="shared" si="115"/>
        <v>2</v>
      </c>
      <c r="BE225" s="4">
        <f t="shared" si="116"/>
        <v>4</v>
      </c>
      <c r="BF225" s="4">
        <f t="shared" si="117"/>
        <v>2</v>
      </c>
      <c r="BG225" s="4">
        <f t="shared" si="118"/>
        <v>4</v>
      </c>
      <c r="BH225" s="4">
        <f t="shared" si="119"/>
        <v>4</v>
      </c>
      <c r="BI225" s="4">
        <f t="shared" si="120"/>
        <v>4</v>
      </c>
      <c r="BJ225" s="4">
        <f t="shared" si="121"/>
        <v>2</v>
      </c>
      <c r="BK225" s="4">
        <f t="shared" si="122"/>
        <v>4</v>
      </c>
      <c r="BL225" s="4">
        <f t="shared" si="123"/>
        <v>2</v>
      </c>
      <c r="BM225" s="4">
        <f t="shared" si="124"/>
        <v>4</v>
      </c>
      <c r="BN225" s="4">
        <f t="shared" si="125"/>
        <v>4</v>
      </c>
      <c r="BO225" s="4">
        <f t="shared" si="126"/>
        <v>4</v>
      </c>
      <c r="BP225" s="4">
        <f t="shared" si="127"/>
        <v>4</v>
      </c>
      <c r="BQ225" s="4">
        <f t="shared" si="128"/>
        <v>6</v>
      </c>
      <c r="BR225" s="4">
        <f t="shared" si="129"/>
        <v>4</v>
      </c>
      <c r="BS225" s="4">
        <f t="shared" si="130"/>
        <v>4</v>
      </c>
      <c r="BT225" s="4">
        <f t="shared" si="131"/>
        <v>4</v>
      </c>
      <c r="BU225" s="4">
        <f t="shared" si="132"/>
        <v>4</v>
      </c>
      <c r="BV225" s="4">
        <f t="shared" si="133"/>
        <v>0</v>
      </c>
      <c r="BW225" s="4">
        <f t="shared" si="134"/>
        <v>6</v>
      </c>
      <c r="BX225" s="4">
        <f t="shared" si="135"/>
        <v>0</v>
      </c>
      <c r="BY225" s="4">
        <f t="shared" si="136"/>
        <v>0</v>
      </c>
      <c r="BZ225" s="37">
        <f t="shared" si="137"/>
        <v>100</v>
      </c>
      <c r="CA225" s="32" t="str">
        <f>VLOOKUP(J:J,'Agent wise'!A:C,3,0)</f>
        <v>Amal</v>
      </c>
      <c r="CB225" s="32">
        <f t="shared" si="138"/>
        <v>45935</v>
      </c>
      <c r="CC225" t="str">
        <f t="shared" si="139"/>
        <v>Excellent</v>
      </c>
      <c r="CE225" s="32"/>
      <c r="CJ225">
        <f t="shared" si="140"/>
        <v>5</v>
      </c>
      <c r="CK225">
        <f t="shared" si="141"/>
        <v>10</v>
      </c>
      <c r="CL225">
        <f t="shared" si="142"/>
        <v>2025</v>
      </c>
    </row>
    <row r="226" spans="1:90" ht="15" customHeight="1" x14ac:dyDescent="0.35">
      <c r="A226" s="40">
        <v>45787.573425925933</v>
      </c>
      <c r="B226" t="s">
        <v>250</v>
      </c>
      <c r="C226" t="s">
        <v>214</v>
      </c>
      <c r="D226" t="s">
        <v>251</v>
      </c>
      <c r="E226" s="32">
        <v>45935</v>
      </c>
      <c r="F226" t="s">
        <v>222</v>
      </c>
      <c r="G226" s="2">
        <v>45726</v>
      </c>
      <c r="H226">
        <v>9400839957</v>
      </c>
      <c r="I226">
        <v>142</v>
      </c>
      <c r="J226" t="s">
        <v>420</v>
      </c>
      <c r="K226" t="s">
        <v>57</v>
      </c>
      <c r="L226" t="s">
        <v>58</v>
      </c>
      <c r="M226" t="s">
        <v>59</v>
      </c>
      <c r="N226" t="s">
        <v>59</v>
      </c>
      <c r="O226" t="s">
        <v>59</v>
      </c>
      <c r="P226" t="s">
        <v>59</v>
      </c>
      <c r="Q226" t="s">
        <v>59</v>
      </c>
      <c r="R226" t="s">
        <v>59</v>
      </c>
      <c r="S226" t="s">
        <v>59</v>
      </c>
      <c r="T226" t="s">
        <v>59</v>
      </c>
      <c r="U226" t="s">
        <v>59</v>
      </c>
      <c r="V226" t="s">
        <v>59</v>
      </c>
      <c r="W226" t="s">
        <v>59</v>
      </c>
      <c r="X226" t="s">
        <v>59</v>
      </c>
      <c r="Y226" t="s">
        <v>59</v>
      </c>
      <c r="Z226" t="s">
        <v>59</v>
      </c>
      <c r="AA226" t="s">
        <v>59</v>
      </c>
      <c r="AB226" t="s">
        <v>59</v>
      </c>
      <c r="AC226" t="s">
        <v>59</v>
      </c>
      <c r="AD226" t="s">
        <v>59</v>
      </c>
      <c r="AE226" t="s">
        <v>59</v>
      </c>
      <c r="AF226" t="s">
        <v>59</v>
      </c>
      <c r="AG226" t="s">
        <v>59</v>
      </c>
      <c r="AH226" t="s">
        <v>61</v>
      </c>
      <c r="AI226" t="s">
        <v>61</v>
      </c>
      <c r="AJ226" t="s">
        <v>59</v>
      </c>
      <c r="AK226" t="s">
        <v>59</v>
      </c>
      <c r="AL226" t="s">
        <v>59</v>
      </c>
      <c r="AM226" t="s">
        <v>59</v>
      </c>
      <c r="AN226" t="s">
        <v>59</v>
      </c>
      <c r="AO226" t="s">
        <v>59</v>
      </c>
      <c r="AP226" t="s">
        <v>496</v>
      </c>
      <c r="AQ226" t="s">
        <v>719</v>
      </c>
      <c r="AR226" t="s">
        <v>226</v>
      </c>
      <c r="AS226" t="s">
        <v>720</v>
      </c>
      <c r="AT226" t="s">
        <v>331</v>
      </c>
      <c r="AU226" t="s">
        <v>219</v>
      </c>
      <c r="AW226" s="4">
        <f t="shared" si="108"/>
        <v>6</v>
      </c>
      <c r="AX226" s="4">
        <f t="shared" si="109"/>
        <v>4</v>
      </c>
      <c r="AY226" s="4">
        <f t="shared" si="110"/>
        <v>4</v>
      </c>
      <c r="AZ226" s="4">
        <f t="shared" si="111"/>
        <v>2</v>
      </c>
      <c r="BA226" s="4">
        <f t="shared" si="112"/>
        <v>4</v>
      </c>
      <c r="BB226" s="4">
        <f t="shared" si="113"/>
        <v>4</v>
      </c>
      <c r="BC226" s="4">
        <f t="shared" si="114"/>
        <v>4</v>
      </c>
      <c r="BD226" s="4">
        <f t="shared" si="115"/>
        <v>2</v>
      </c>
      <c r="BE226" s="4">
        <f t="shared" si="116"/>
        <v>4</v>
      </c>
      <c r="BF226" s="4">
        <f t="shared" si="117"/>
        <v>2</v>
      </c>
      <c r="BG226" s="4">
        <f t="shared" si="118"/>
        <v>4</v>
      </c>
      <c r="BH226" s="4">
        <f t="shared" si="119"/>
        <v>4</v>
      </c>
      <c r="BI226" s="4">
        <f t="shared" si="120"/>
        <v>4</v>
      </c>
      <c r="BJ226" s="4">
        <f t="shared" si="121"/>
        <v>2</v>
      </c>
      <c r="BK226" s="4">
        <f t="shared" si="122"/>
        <v>4</v>
      </c>
      <c r="BL226" s="4">
        <f t="shared" si="123"/>
        <v>2</v>
      </c>
      <c r="BM226" s="4">
        <f t="shared" si="124"/>
        <v>4</v>
      </c>
      <c r="BN226" s="4">
        <f t="shared" si="125"/>
        <v>4</v>
      </c>
      <c r="BO226" s="4">
        <f t="shared" si="126"/>
        <v>4</v>
      </c>
      <c r="BP226" s="4">
        <f t="shared" si="127"/>
        <v>4</v>
      </c>
      <c r="BQ226" s="4">
        <f t="shared" si="128"/>
        <v>6</v>
      </c>
      <c r="BR226" s="4">
        <f t="shared" si="129"/>
        <v>4</v>
      </c>
      <c r="BS226" s="4">
        <f t="shared" si="130"/>
        <v>4</v>
      </c>
      <c r="BT226" s="4">
        <f t="shared" si="131"/>
        <v>4</v>
      </c>
      <c r="BU226" s="4">
        <f t="shared" si="132"/>
        <v>4</v>
      </c>
      <c r="BV226" s="4">
        <f t="shared" si="133"/>
        <v>0</v>
      </c>
      <c r="BW226" s="4">
        <f t="shared" si="134"/>
        <v>6</v>
      </c>
      <c r="BX226" s="4">
        <f t="shared" si="135"/>
        <v>0</v>
      </c>
      <c r="BY226" s="4">
        <f t="shared" si="136"/>
        <v>0</v>
      </c>
      <c r="BZ226" s="37">
        <f t="shared" si="137"/>
        <v>100</v>
      </c>
      <c r="CA226" s="32" t="str">
        <f>VLOOKUP(J:J,'Agent wise'!A:C,3,0)</f>
        <v>Amal</v>
      </c>
      <c r="CB226" s="32">
        <f t="shared" si="138"/>
        <v>45935</v>
      </c>
      <c r="CC226" t="str">
        <f t="shared" si="139"/>
        <v>Excellent</v>
      </c>
      <c r="CE226" s="32"/>
      <c r="CJ226">
        <f t="shared" si="140"/>
        <v>5</v>
      </c>
      <c r="CK226">
        <f t="shared" si="141"/>
        <v>10</v>
      </c>
      <c r="CL226">
        <f t="shared" si="142"/>
        <v>2025</v>
      </c>
    </row>
    <row r="227" spans="1:90" ht="15" customHeight="1" x14ac:dyDescent="0.35">
      <c r="A227" s="40">
        <v>45787.573576388888</v>
      </c>
      <c r="B227" t="s">
        <v>51</v>
      </c>
      <c r="C227" t="s">
        <v>214</v>
      </c>
      <c r="D227" t="s">
        <v>53</v>
      </c>
      <c r="E227" s="32">
        <v>45935</v>
      </c>
      <c r="F227" t="s">
        <v>54</v>
      </c>
      <c r="G227" s="2">
        <v>45757</v>
      </c>
      <c r="H227">
        <v>7094661511</v>
      </c>
      <c r="I227">
        <v>360</v>
      </c>
      <c r="J227" t="s">
        <v>191</v>
      </c>
      <c r="K227" t="s">
        <v>71</v>
      </c>
      <c r="L227" t="s">
        <v>72</v>
      </c>
      <c r="M227" t="s">
        <v>59</v>
      </c>
      <c r="N227" t="s">
        <v>59</v>
      </c>
      <c r="O227" t="s">
        <v>59</v>
      </c>
      <c r="P227" t="s">
        <v>59</v>
      </c>
      <c r="Q227" t="s">
        <v>59</v>
      </c>
      <c r="R227" t="s">
        <v>60</v>
      </c>
      <c r="S227" t="s">
        <v>59</v>
      </c>
      <c r="T227" t="s">
        <v>59</v>
      </c>
      <c r="U227" t="s">
        <v>59</v>
      </c>
      <c r="V227" t="s">
        <v>59</v>
      </c>
      <c r="W227" t="s">
        <v>59</v>
      </c>
      <c r="X227" t="s">
        <v>59</v>
      </c>
      <c r="Y227" t="s">
        <v>59</v>
      </c>
      <c r="Z227" t="s">
        <v>59</v>
      </c>
      <c r="AA227" t="s">
        <v>60</v>
      </c>
      <c r="AB227" t="s">
        <v>60</v>
      </c>
      <c r="AC227" t="s">
        <v>60</v>
      </c>
      <c r="AD227" t="s">
        <v>59</v>
      </c>
      <c r="AE227" t="s">
        <v>59</v>
      </c>
      <c r="AF227" t="s">
        <v>61</v>
      </c>
      <c r="AG227" t="s">
        <v>59</v>
      </c>
      <c r="AH227" t="s">
        <v>61</v>
      </c>
      <c r="AI227" t="s">
        <v>60</v>
      </c>
      <c r="AJ227" t="s">
        <v>59</v>
      </c>
      <c r="AK227" t="s">
        <v>61</v>
      </c>
      <c r="AL227" t="s">
        <v>60</v>
      </c>
      <c r="AM227" t="s">
        <v>59</v>
      </c>
      <c r="AN227" t="s">
        <v>59</v>
      </c>
      <c r="AO227" t="s">
        <v>60</v>
      </c>
      <c r="AP227" t="s">
        <v>520</v>
      </c>
      <c r="AQ227" t="s">
        <v>77</v>
      </c>
      <c r="AR227" t="s">
        <v>64</v>
      </c>
      <c r="AS227" t="s">
        <v>78</v>
      </c>
      <c r="AT227" t="s">
        <v>79</v>
      </c>
      <c r="AU227" t="s">
        <v>515</v>
      </c>
      <c r="AW227" s="4">
        <f t="shared" si="108"/>
        <v>6</v>
      </c>
      <c r="AX227" s="4">
        <f t="shared" si="109"/>
        <v>4</v>
      </c>
      <c r="AY227" s="4">
        <f t="shared" si="110"/>
        <v>4</v>
      </c>
      <c r="AZ227" s="4">
        <f t="shared" si="111"/>
        <v>2</v>
      </c>
      <c r="BA227" s="4">
        <f t="shared" si="112"/>
        <v>4</v>
      </c>
      <c r="BB227" s="4" t="str">
        <f t="shared" si="113"/>
        <v>0</v>
      </c>
      <c r="BC227" s="4">
        <f t="shared" si="114"/>
        <v>4</v>
      </c>
      <c r="BD227" s="4">
        <f t="shared" si="115"/>
        <v>2</v>
      </c>
      <c r="BE227" s="4">
        <f t="shared" si="116"/>
        <v>4</v>
      </c>
      <c r="BF227" s="4">
        <f t="shared" si="117"/>
        <v>2</v>
      </c>
      <c r="BG227" s="4">
        <f t="shared" si="118"/>
        <v>4</v>
      </c>
      <c r="BH227" s="4">
        <f t="shared" si="119"/>
        <v>4</v>
      </c>
      <c r="BI227" s="4">
        <f t="shared" si="120"/>
        <v>4</v>
      </c>
      <c r="BJ227" s="4">
        <f t="shared" si="121"/>
        <v>2</v>
      </c>
      <c r="BK227" s="4" t="str">
        <f t="shared" si="122"/>
        <v>0</v>
      </c>
      <c r="BL227" s="4" t="str">
        <f t="shared" si="123"/>
        <v>0</v>
      </c>
      <c r="BM227" s="4" t="str">
        <f t="shared" si="124"/>
        <v>0</v>
      </c>
      <c r="BN227" s="4">
        <f t="shared" si="125"/>
        <v>4</v>
      </c>
      <c r="BO227" s="4">
        <f t="shared" si="126"/>
        <v>4</v>
      </c>
      <c r="BP227" s="4">
        <f t="shared" si="127"/>
        <v>4</v>
      </c>
      <c r="BQ227" s="4">
        <f t="shared" si="128"/>
        <v>6</v>
      </c>
      <c r="BR227" s="4">
        <f t="shared" si="129"/>
        <v>4</v>
      </c>
      <c r="BS227" s="4" t="str">
        <f t="shared" si="130"/>
        <v>0</v>
      </c>
      <c r="BT227" s="4">
        <f t="shared" si="131"/>
        <v>4</v>
      </c>
      <c r="BU227" s="4">
        <f t="shared" si="132"/>
        <v>4</v>
      </c>
      <c r="BV227" s="4" t="str">
        <f t="shared" si="133"/>
        <v>0</v>
      </c>
      <c r="BW227" s="4">
        <f t="shared" si="134"/>
        <v>6</v>
      </c>
      <c r="BX227" s="4">
        <f t="shared" si="135"/>
        <v>0</v>
      </c>
      <c r="BY227" s="4" t="str">
        <f t="shared" si="136"/>
        <v>0</v>
      </c>
      <c r="BZ227" s="37">
        <f t="shared" si="137"/>
        <v>82</v>
      </c>
      <c r="CA227" s="32" t="str">
        <f>VLOOKUP(J:J,'Agent wise'!A:C,3,0)</f>
        <v>Saran S</v>
      </c>
      <c r="CB227" s="32">
        <f t="shared" si="138"/>
        <v>45935</v>
      </c>
      <c r="CC227" t="str">
        <f t="shared" si="139"/>
        <v>FC</v>
      </c>
      <c r="CE227" s="32"/>
      <c r="CJ227">
        <f t="shared" si="140"/>
        <v>5</v>
      </c>
      <c r="CK227">
        <f t="shared" si="141"/>
        <v>10</v>
      </c>
      <c r="CL227">
        <f t="shared" si="142"/>
        <v>2025</v>
      </c>
    </row>
    <row r="228" spans="1:90" ht="15" customHeight="1" x14ac:dyDescent="0.35">
      <c r="A228" s="40">
        <v>45787.5778125</v>
      </c>
      <c r="B228" t="s">
        <v>698</v>
      </c>
      <c r="C228" t="s">
        <v>214</v>
      </c>
      <c r="D228" t="s">
        <v>221</v>
      </c>
      <c r="E228" s="32">
        <v>45933</v>
      </c>
      <c r="F228" t="s">
        <v>222</v>
      </c>
      <c r="G228" s="2">
        <v>45726</v>
      </c>
      <c r="H228">
        <v>6369374727</v>
      </c>
      <c r="I228">
        <v>178</v>
      </c>
      <c r="J228" t="s">
        <v>575</v>
      </c>
      <c r="K228" t="s">
        <v>71</v>
      </c>
      <c r="L228" t="s">
        <v>72</v>
      </c>
      <c r="M228" t="s">
        <v>59</v>
      </c>
      <c r="N228" t="s">
        <v>59</v>
      </c>
      <c r="O228" t="s">
        <v>59</v>
      </c>
      <c r="P228" t="s">
        <v>59</v>
      </c>
      <c r="Q228" t="s">
        <v>59</v>
      </c>
      <c r="R228" t="s">
        <v>59</v>
      </c>
      <c r="S228" t="s">
        <v>59</v>
      </c>
      <c r="T228" t="s">
        <v>59</v>
      </c>
      <c r="U228" t="s">
        <v>59</v>
      </c>
      <c r="V228" t="s">
        <v>59</v>
      </c>
      <c r="W228" t="s">
        <v>59</v>
      </c>
      <c r="X228" t="s">
        <v>59</v>
      </c>
      <c r="Y228" t="s">
        <v>59</v>
      </c>
      <c r="Z228" t="s">
        <v>59</v>
      </c>
      <c r="AA228" t="s">
        <v>59</v>
      </c>
      <c r="AB228" t="s">
        <v>60</v>
      </c>
      <c r="AC228" t="s">
        <v>59</v>
      </c>
      <c r="AD228" t="s">
        <v>59</v>
      </c>
      <c r="AE228" t="s">
        <v>59</v>
      </c>
      <c r="AF228" t="s">
        <v>59</v>
      </c>
      <c r="AG228" t="s">
        <v>59</v>
      </c>
      <c r="AH228" t="s">
        <v>61</v>
      </c>
      <c r="AI228" t="s">
        <v>59</v>
      </c>
      <c r="AJ228" t="s">
        <v>59</v>
      </c>
      <c r="AK228" t="s">
        <v>59</v>
      </c>
      <c r="AL228" t="s">
        <v>60</v>
      </c>
      <c r="AM228" t="s">
        <v>59</v>
      </c>
      <c r="AN228" t="s">
        <v>59</v>
      </c>
      <c r="AO228" t="s">
        <v>59</v>
      </c>
      <c r="AP228" t="s">
        <v>721</v>
      </c>
      <c r="AQ228" t="s">
        <v>722</v>
      </c>
      <c r="AR228" t="s">
        <v>226</v>
      </c>
      <c r="AS228" t="s">
        <v>249</v>
      </c>
      <c r="AT228" t="s">
        <v>249</v>
      </c>
      <c r="AU228" t="s">
        <v>219</v>
      </c>
      <c r="AW228" s="4">
        <f t="shared" si="108"/>
        <v>6</v>
      </c>
      <c r="AX228" s="4">
        <f t="shared" si="109"/>
        <v>4</v>
      </c>
      <c r="AY228" s="4">
        <f t="shared" si="110"/>
        <v>4</v>
      </c>
      <c r="AZ228" s="4">
        <f t="shared" si="111"/>
        <v>2</v>
      </c>
      <c r="BA228" s="4">
        <f t="shared" si="112"/>
        <v>4</v>
      </c>
      <c r="BB228" s="4">
        <f t="shared" si="113"/>
        <v>4</v>
      </c>
      <c r="BC228" s="4">
        <f t="shared" si="114"/>
        <v>4</v>
      </c>
      <c r="BD228" s="4">
        <f t="shared" si="115"/>
        <v>2</v>
      </c>
      <c r="BE228" s="4">
        <f t="shared" si="116"/>
        <v>4</v>
      </c>
      <c r="BF228" s="4">
        <f t="shared" si="117"/>
        <v>2</v>
      </c>
      <c r="BG228" s="4">
        <f t="shared" si="118"/>
        <v>4</v>
      </c>
      <c r="BH228" s="4">
        <f t="shared" si="119"/>
        <v>4</v>
      </c>
      <c r="BI228" s="4">
        <f t="shared" si="120"/>
        <v>4</v>
      </c>
      <c r="BJ228" s="4">
        <f t="shared" si="121"/>
        <v>2</v>
      </c>
      <c r="BK228" s="4">
        <f t="shared" si="122"/>
        <v>4</v>
      </c>
      <c r="BL228" s="4" t="str">
        <f t="shared" si="123"/>
        <v>0</v>
      </c>
      <c r="BM228" s="4">
        <f t="shared" si="124"/>
        <v>4</v>
      </c>
      <c r="BN228" s="4">
        <f t="shared" si="125"/>
        <v>4</v>
      </c>
      <c r="BO228" s="4">
        <f t="shared" si="126"/>
        <v>4</v>
      </c>
      <c r="BP228" s="4">
        <f t="shared" si="127"/>
        <v>4</v>
      </c>
      <c r="BQ228" s="4">
        <f t="shared" si="128"/>
        <v>6</v>
      </c>
      <c r="BR228" s="4">
        <f t="shared" si="129"/>
        <v>4</v>
      </c>
      <c r="BS228" s="4">
        <f t="shared" si="130"/>
        <v>4</v>
      </c>
      <c r="BT228" s="4">
        <f t="shared" si="131"/>
        <v>4</v>
      </c>
      <c r="BU228" s="4">
        <f t="shared" si="132"/>
        <v>4</v>
      </c>
      <c r="BV228" s="4" t="str">
        <f t="shared" si="133"/>
        <v>0</v>
      </c>
      <c r="BW228" s="4">
        <f t="shared" si="134"/>
        <v>6</v>
      </c>
      <c r="BX228" s="4">
        <f t="shared" si="135"/>
        <v>0</v>
      </c>
      <c r="BY228" s="4">
        <f t="shared" si="136"/>
        <v>0</v>
      </c>
      <c r="BZ228" s="37">
        <f t="shared" si="137"/>
        <v>98</v>
      </c>
      <c r="CA228" s="32" t="str">
        <f>VLOOKUP(J:J,'Agent wise'!A:C,3,0)</f>
        <v>Shakeer</v>
      </c>
      <c r="CB228" s="32">
        <f t="shared" si="138"/>
        <v>45933</v>
      </c>
      <c r="CC228" t="str">
        <f t="shared" si="139"/>
        <v>Excellent</v>
      </c>
      <c r="CE228" s="32"/>
      <c r="CJ228">
        <f t="shared" si="140"/>
        <v>3</v>
      </c>
      <c r="CK228">
        <f t="shared" si="141"/>
        <v>10</v>
      </c>
      <c r="CL228">
        <f t="shared" si="142"/>
        <v>2025</v>
      </c>
    </row>
    <row r="229" spans="1:90" ht="15" customHeight="1" x14ac:dyDescent="0.35">
      <c r="A229" s="40">
        <v>45787.577986111108</v>
      </c>
      <c r="B229" t="s">
        <v>250</v>
      </c>
      <c r="C229" t="s">
        <v>214</v>
      </c>
      <c r="D229" t="s">
        <v>251</v>
      </c>
      <c r="E229" s="32">
        <v>45935</v>
      </c>
      <c r="F229" t="s">
        <v>222</v>
      </c>
      <c r="G229" s="2">
        <v>45726</v>
      </c>
      <c r="H229">
        <v>7907408683</v>
      </c>
      <c r="I229">
        <v>137</v>
      </c>
      <c r="J229" t="s">
        <v>307</v>
      </c>
      <c r="K229" t="s">
        <v>57</v>
      </c>
      <c r="L229" t="s">
        <v>58</v>
      </c>
      <c r="M229" t="s">
        <v>59</v>
      </c>
      <c r="N229" t="s">
        <v>59</v>
      </c>
      <c r="O229" t="s">
        <v>59</v>
      </c>
      <c r="P229" t="s">
        <v>59</v>
      </c>
      <c r="Q229" t="s">
        <v>59</v>
      </c>
      <c r="R229" t="s">
        <v>59</v>
      </c>
      <c r="S229" t="s">
        <v>59</v>
      </c>
      <c r="T229" t="s">
        <v>59</v>
      </c>
      <c r="U229" t="s">
        <v>59</v>
      </c>
      <c r="V229" t="s">
        <v>59</v>
      </c>
      <c r="W229" t="s">
        <v>59</v>
      </c>
      <c r="X229" t="s">
        <v>59</v>
      </c>
      <c r="Y229" t="s">
        <v>59</v>
      </c>
      <c r="Z229" t="s">
        <v>59</v>
      </c>
      <c r="AA229" t="s">
        <v>59</v>
      </c>
      <c r="AB229" t="s">
        <v>59</v>
      </c>
      <c r="AC229" t="s">
        <v>59</v>
      </c>
      <c r="AD229" t="s">
        <v>59</v>
      </c>
      <c r="AE229" t="s">
        <v>59</v>
      </c>
      <c r="AF229" t="s">
        <v>59</v>
      </c>
      <c r="AG229" t="s">
        <v>59</v>
      </c>
      <c r="AH229" t="s">
        <v>61</v>
      </c>
      <c r="AI229" t="s">
        <v>61</v>
      </c>
      <c r="AJ229" t="s">
        <v>59</v>
      </c>
      <c r="AK229" t="s">
        <v>59</v>
      </c>
      <c r="AL229" t="s">
        <v>60</v>
      </c>
      <c r="AM229" t="s">
        <v>59</v>
      </c>
      <c r="AN229" t="s">
        <v>59</v>
      </c>
      <c r="AO229" t="s">
        <v>59</v>
      </c>
      <c r="AP229" t="s">
        <v>150</v>
      </c>
      <c r="AQ229" t="s">
        <v>723</v>
      </c>
      <c r="AR229" t="s">
        <v>226</v>
      </c>
      <c r="AS229" t="s">
        <v>245</v>
      </c>
      <c r="AT229" t="s">
        <v>404</v>
      </c>
      <c r="AU229" t="s">
        <v>219</v>
      </c>
      <c r="AW229" s="4">
        <f t="shared" si="108"/>
        <v>6</v>
      </c>
      <c r="AX229" s="4">
        <f t="shared" si="109"/>
        <v>4</v>
      </c>
      <c r="AY229" s="4">
        <f t="shared" si="110"/>
        <v>4</v>
      </c>
      <c r="AZ229" s="4">
        <f t="shared" si="111"/>
        <v>2</v>
      </c>
      <c r="BA229" s="4">
        <f t="shared" si="112"/>
        <v>4</v>
      </c>
      <c r="BB229" s="4">
        <f t="shared" si="113"/>
        <v>4</v>
      </c>
      <c r="BC229" s="4">
        <f t="shared" si="114"/>
        <v>4</v>
      </c>
      <c r="BD229" s="4">
        <f t="shared" si="115"/>
        <v>2</v>
      </c>
      <c r="BE229" s="4">
        <f t="shared" si="116"/>
        <v>4</v>
      </c>
      <c r="BF229" s="4">
        <f t="shared" si="117"/>
        <v>2</v>
      </c>
      <c r="BG229" s="4">
        <f t="shared" si="118"/>
        <v>4</v>
      </c>
      <c r="BH229" s="4">
        <f t="shared" si="119"/>
        <v>4</v>
      </c>
      <c r="BI229" s="4">
        <f t="shared" si="120"/>
        <v>4</v>
      </c>
      <c r="BJ229" s="4">
        <f t="shared" si="121"/>
        <v>2</v>
      </c>
      <c r="BK229" s="4">
        <f t="shared" si="122"/>
        <v>4</v>
      </c>
      <c r="BL229" s="4">
        <f t="shared" si="123"/>
        <v>2</v>
      </c>
      <c r="BM229" s="4">
        <f t="shared" si="124"/>
        <v>4</v>
      </c>
      <c r="BN229" s="4">
        <f t="shared" si="125"/>
        <v>4</v>
      </c>
      <c r="BO229" s="4">
        <f t="shared" si="126"/>
        <v>4</v>
      </c>
      <c r="BP229" s="4">
        <f t="shared" si="127"/>
        <v>4</v>
      </c>
      <c r="BQ229" s="4">
        <f t="shared" si="128"/>
        <v>6</v>
      </c>
      <c r="BR229" s="4">
        <f t="shared" si="129"/>
        <v>4</v>
      </c>
      <c r="BS229" s="4">
        <f t="shared" si="130"/>
        <v>4</v>
      </c>
      <c r="BT229" s="4">
        <f t="shared" si="131"/>
        <v>4</v>
      </c>
      <c r="BU229" s="4">
        <f t="shared" si="132"/>
        <v>4</v>
      </c>
      <c r="BV229" s="4" t="str">
        <f t="shared" si="133"/>
        <v>0</v>
      </c>
      <c r="BW229" s="4">
        <f t="shared" si="134"/>
        <v>6</v>
      </c>
      <c r="BX229" s="4">
        <f t="shared" si="135"/>
        <v>0</v>
      </c>
      <c r="BY229" s="4">
        <f t="shared" si="136"/>
        <v>0</v>
      </c>
      <c r="BZ229" s="37">
        <f t="shared" si="137"/>
        <v>100</v>
      </c>
      <c r="CA229" s="32" t="str">
        <f>VLOOKUP(J:J,'Agent wise'!A:C,3,0)</f>
        <v>Amal</v>
      </c>
      <c r="CB229" s="32">
        <f t="shared" si="138"/>
        <v>45935</v>
      </c>
      <c r="CC229" t="str">
        <f t="shared" si="139"/>
        <v>Excellent</v>
      </c>
      <c r="CE229" s="32"/>
      <c r="CJ229">
        <f t="shared" si="140"/>
        <v>5</v>
      </c>
      <c r="CK229">
        <f t="shared" si="141"/>
        <v>10</v>
      </c>
      <c r="CL229">
        <f t="shared" si="142"/>
        <v>2025</v>
      </c>
    </row>
    <row r="230" spans="1:90" ht="15" customHeight="1" x14ac:dyDescent="0.35">
      <c r="A230" s="40">
        <v>45787.580462962957</v>
      </c>
      <c r="B230" t="s">
        <v>100</v>
      </c>
      <c r="C230" t="s">
        <v>214</v>
      </c>
      <c r="D230" t="s">
        <v>101</v>
      </c>
      <c r="E230" s="32">
        <v>45935</v>
      </c>
      <c r="F230" t="s">
        <v>54</v>
      </c>
      <c r="G230" s="2">
        <v>45757</v>
      </c>
      <c r="H230">
        <v>9994603195</v>
      </c>
      <c r="I230">
        <v>140</v>
      </c>
      <c r="J230" t="s">
        <v>75</v>
      </c>
      <c r="K230" t="s">
        <v>71</v>
      </c>
      <c r="L230" t="s">
        <v>72</v>
      </c>
      <c r="M230" t="s">
        <v>59</v>
      </c>
      <c r="N230" t="s">
        <v>59</v>
      </c>
      <c r="O230" t="s">
        <v>59</v>
      </c>
      <c r="P230" t="s">
        <v>59</v>
      </c>
      <c r="Q230" t="s">
        <v>59</v>
      </c>
      <c r="R230" t="s">
        <v>59</v>
      </c>
      <c r="S230" t="s">
        <v>59</v>
      </c>
      <c r="T230" t="s">
        <v>59</v>
      </c>
      <c r="U230" t="s">
        <v>59</v>
      </c>
      <c r="V230" t="s">
        <v>59</v>
      </c>
      <c r="W230" t="s">
        <v>59</v>
      </c>
      <c r="X230" t="s">
        <v>59</v>
      </c>
      <c r="Y230" t="s">
        <v>59</v>
      </c>
      <c r="Z230" t="s">
        <v>59</v>
      </c>
      <c r="AA230" t="s">
        <v>59</v>
      </c>
      <c r="AB230" t="s">
        <v>59</v>
      </c>
      <c r="AC230" t="s">
        <v>59</v>
      </c>
      <c r="AD230" t="s">
        <v>59</v>
      </c>
      <c r="AE230" t="s">
        <v>59</v>
      </c>
      <c r="AF230" t="s">
        <v>59</v>
      </c>
      <c r="AG230" t="s">
        <v>59</v>
      </c>
      <c r="AH230" t="s">
        <v>59</v>
      </c>
      <c r="AI230" t="s">
        <v>61</v>
      </c>
      <c r="AJ230" t="s">
        <v>59</v>
      </c>
      <c r="AK230" t="s">
        <v>59</v>
      </c>
      <c r="AL230" t="s">
        <v>59</v>
      </c>
      <c r="AM230" t="s">
        <v>59</v>
      </c>
      <c r="AN230" t="s">
        <v>59</v>
      </c>
      <c r="AO230" t="s">
        <v>60</v>
      </c>
      <c r="AP230" t="s">
        <v>724</v>
      </c>
      <c r="AQ230" s="1" t="s">
        <v>725</v>
      </c>
      <c r="AR230" t="s">
        <v>64</v>
      </c>
      <c r="AS230" t="s">
        <v>89</v>
      </c>
      <c r="AT230" t="s">
        <v>84</v>
      </c>
      <c r="AU230" t="s">
        <v>219</v>
      </c>
      <c r="AW230" s="4">
        <f t="shared" si="108"/>
        <v>6</v>
      </c>
      <c r="AX230" s="4">
        <f t="shared" si="109"/>
        <v>4</v>
      </c>
      <c r="AY230" s="4">
        <f t="shared" si="110"/>
        <v>4</v>
      </c>
      <c r="AZ230" s="4">
        <f t="shared" si="111"/>
        <v>2</v>
      </c>
      <c r="BA230" s="4">
        <f t="shared" si="112"/>
        <v>4</v>
      </c>
      <c r="BB230" s="4">
        <f t="shared" si="113"/>
        <v>4</v>
      </c>
      <c r="BC230" s="4">
        <f t="shared" si="114"/>
        <v>4</v>
      </c>
      <c r="BD230" s="4">
        <f t="shared" si="115"/>
        <v>2</v>
      </c>
      <c r="BE230" s="4">
        <f t="shared" si="116"/>
        <v>4</v>
      </c>
      <c r="BF230" s="4">
        <f t="shared" si="117"/>
        <v>2</v>
      </c>
      <c r="BG230" s="4">
        <f t="shared" si="118"/>
        <v>4</v>
      </c>
      <c r="BH230" s="4">
        <f t="shared" si="119"/>
        <v>4</v>
      </c>
      <c r="BI230" s="4">
        <f t="shared" si="120"/>
        <v>4</v>
      </c>
      <c r="BJ230" s="4">
        <f t="shared" si="121"/>
        <v>2</v>
      </c>
      <c r="BK230" s="4">
        <f t="shared" si="122"/>
        <v>4</v>
      </c>
      <c r="BL230" s="4">
        <f t="shared" si="123"/>
        <v>2</v>
      </c>
      <c r="BM230" s="4">
        <f t="shared" si="124"/>
        <v>4</v>
      </c>
      <c r="BN230" s="4">
        <f t="shared" si="125"/>
        <v>4</v>
      </c>
      <c r="BO230" s="4">
        <f t="shared" si="126"/>
        <v>4</v>
      </c>
      <c r="BP230" s="4">
        <f t="shared" si="127"/>
        <v>4</v>
      </c>
      <c r="BQ230" s="4">
        <f t="shared" si="128"/>
        <v>6</v>
      </c>
      <c r="BR230" s="4">
        <f t="shared" si="129"/>
        <v>4</v>
      </c>
      <c r="BS230" s="4">
        <f t="shared" si="130"/>
        <v>4</v>
      </c>
      <c r="BT230" s="4">
        <f t="shared" si="131"/>
        <v>4</v>
      </c>
      <c r="BU230" s="4">
        <f t="shared" si="132"/>
        <v>4</v>
      </c>
      <c r="BV230" s="4">
        <f t="shared" si="133"/>
        <v>0</v>
      </c>
      <c r="BW230" s="4">
        <f t="shared" si="134"/>
        <v>6</v>
      </c>
      <c r="BX230" s="4">
        <f t="shared" si="135"/>
        <v>0</v>
      </c>
      <c r="BY230" s="4" t="str">
        <f t="shared" si="136"/>
        <v>0</v>
      </c>
      <c r="BZ230" s="37">
        <f t="shared" si="137"/>
        <v>100</v>
      </c>
      <c r="CA230" s="32" t="str">
        <f>VLOOKUP(J:J,'Agent wise'!A:C,3,0)</f>
        <v>Saran S</v>
      </c>
      <c r="CB230" s="32">
        <f t="shared" si="138"/>
        <v>45935</v>
      </c>
      <c r="CC230" t="str">
        <f t="shared" si="139"/>
        <v>Excellent</v>
      </c>
      <c r="CE230" s="32"/>
      <c r="CJ230">
        <f t="shared" si="140"/>
        <v>5</v>
      </c>
      <c r="CK230">
        <f t="shared" si="141"/>
        <v>10</v>
      </c>
      <c r="CL230">
        <f t="shared" si="142"/>
        <v>2025</v>
      </c>
    </row>
    <row r="231" spans="1:90" ht="15" customHeight="1" x14ac:dyDescent="0.35">
      <c r="A231" s="40">
        <v>45787.583078703698</v>
      </c>
      <c r="B231" t="s">
        <v>250</v>
      </c>
      <c r="C231" t="s">
        <v>214</v>
      </c>
      <c r="D231" t="s">
        <v>251</v>
      </c>
      <c r="E231" s="32">
        <v>45935</v>
      </c>
      <c r="F231" t="s">
        <v>222</v>
      </c>
      <c r="G231" s="2">
        <v>45757</v>
      </c>
      <c r="H231">
        <v>9444069449</v>
      </c>
      <c r="I231">
        <v>169</v>
      </c>
      <c r="J231" t="s">
        <v>234</v>
      </c>
      <c r="K231" t="s">
        <v>71</v>
      </c>
      <c r="L231" t="s">
        <v>72</v>
      </c>
      <c r="M231" t="s">
        <v>59</v>
      </c>
      <c r="N231" t="s">
        <v>59</v>
      </c>
      <c r="O231" t="s">
        <v>59</v>
      </c>
      <c r="P231" t="s">
        <v>59</v>
      </c>
      <c r="Q231" t="s">
        <v>59</v>
      </c>
      <c r="R231" t="s">
        <v>59</v>
      </c>
      <c r="S231" t="s">
        <v>59</v>
      </c>
      <c r="T231" t="s">
        <v>59</v>
      </c>
      <c r="U231" t="s">
        <v>59</v>
      </c>
      <c r="V231" t="s">
        <v>59</v>
      </c>
      <c r="W231" t="s">
        <v>59</v>
      </c>
      <c r="X231" t="s">
        <v>59</v>
      </c>
      <c r="Y231" t="s">
        <v>59</v>
      </c>
      <c r="Z231" t="s">
        <v>59</v>
      </c>
      <c r="AA231" t="s">
        <v>59</v>
      </c>
      <c r="AB231" t="s">
        <v>59</v>
      </c>
      <c r="AC231" t="s">
        <v>59</v>
      </c>
      <c r="AD231" t="s">
        <v>59</v>
      </c>
      <c r="AE231" t="s">
        <v>59</v>
      </c>
      <c r="AF231" t="s">
        <v>59</v>
      </c>
      <c r="AG231" t="s">
        <v>59</v>
      </c>
      <c r="AH231" t="s">
        <v>61</v>
      </c>
      <c r="AI231" t="s">
        <v>61</v>
      </c>
      <c r="AJ231" t="s">
        <v>59</v>
      </c>
      <c r="AK231" t="s">
        <v>59</v>
      </c>
      <c r="AL231" t="s">
        <v>59</v>
      </c>
      <c r="AM231" t="s">
        <v>59</v>
      </c>
      <c r="AN231" t="s">
        <v>59</v>
      </c>
      <c r="AO231" t="s">
        <v>59</v>
      </c>
      <c r="AP231" t="s">
        <v>270</v>
      </c>
      <c r="AQ231" t="s">
        <v>726</v>
      </c>
      <c r="AR231" t="s">
        <v>64</v>
      </c>
      <c r="AS231" t="s">
        <v>331</v>
      </c>
      <c r="AT231" t="s">
        <v>695</v>
      </c>
      <c r="AU231" t="s">
        <v>727</v>
      </c>
      <c r="AW231" s="4">
        <f t="shared" si="108"/>
        <v>6</v>
      </c>
      <c r="AX231" s="4">
        <f t="shared" si="109"/>
        <v>4</v>
      </c>
      <c r="AY231" s="4">
        <f t="shared" si="110"/>
        <v>4</v>
      </c>
      <c r="AZ231" s="4">
        <f t="shared" si="111"/>
        <v>2</v>
      </c>
      <c r="BA231" s="4">
        <f t="shared" si="112"/>
        <v>4</v>
      </c>
      <c r="BB231" s="4">
        <f t="shared" si="113"/>
        <v>4</v>
      </c>
      <c r="BC231" s="4">
        <f t="shared" si="114"/>
        <v>4</v>
      </c>
      <c r="BD231" s="4">
        <f t="shared" si="115"/>
        <v>2</v>
      </c>
      <c r="BE231" s="4">
        <f t="shared" si="116"/>
        <v>4</v>
      </c>
      <c r="BF231" s="4">
        <f t="shared" si="117"/>
        <v>2</v>
      </c>
      <c r="BG231" s="4">
        <f t="shared" si="118"/>
        <v>4</v>
      </c>
      <c r="BH231" s="4">
        <f t="shared" si="119"/>
        <v>4</v>
      </c>
      <c r="BI231" s="4">
        <f t="shared" si="120"/>
        <v>4</v>
      </c>
      <c r="BJ231" s="4">
        <f t="shared" si="121"/>
        <v>2</v>
      </c>
      <c r="BK231" s="4">
        <f t="shared" si="122"/>
        <v>4</v>
      </c>
      <c r="BL231" s="4">
        <f t="shared" si="123"/>
        <v>2</v>
      </c>
      <c r="BM231" s="4">
        <f t="shared" si="124"/>
        <v>4</v>
      </c>
      <c r="BN231" s="4">
        <f t="shared" si="125"/>
        <v>4</v>
      </c>
      <c r="BO231" s="4">
        <f t="shared" si="126"/>
        <v>4</v>
      </c>
      <c r="BP231" s="4">
        <f t="shared" si="127"/>
        <v>4</v>
      </c>
      <c r="BQ231" s="4">
        <f t="shared" si="128"/>
        <v>6</v>
      </c>
      <c r="BR231" s="4">
        <f t="shared" si="129"/>
        <v>4</v>
      </c>
      <c r="BS231" s="4">
        <f t="shared" si="130"/>
        <v>4</v>
      </c>
      <c r="BT231" s="4">
        <f t="shared" si="131"/>
        <v>4</v>
      </c>
      <c r="BU231" s="4">
        <f t="shared" si="132"/>
        <v>4</v>
      </c>
      <c r="BV231" s="4">
        <f t="shared" si="133"/>
        <v>0</v>
      </c>
      <c r="BW231" s="4">
        <f t="shared" si="134"/>
        <v>6</v>
      </c>
      <c r="BX231" s="4">
        <f t="shared" si="135"/>
        <v>0</v>
      </c>
      <c r="BY231" s="4">
        <f t="shared" si="136"/>
        <v>0</v>
      </c>
      <c r="BZ231" s="37">
        <f t="shared" si="137"/>
        <v>100</v>
      </c>
      <c r="CA231" s="32" t="str">
        <f>VLOOKUP(J:J,'Agent wise'!A:C,3,0)</f>
        <v>Amal</v>
      </c>
      <c r="CB231" s="32">
        <f t="shared" si="138"/>
        <v>45935</v>
      </c>
      <c r="CC231" t="str">
        <f t="shared" si="139"/>
        <v>Excellent</v>
      </c>
      <c r="CE231" s="32"/>
      <c r="CJ231">
        <f t="shared" si="140"/>
        <v>5</v>
      </c>
      <c r="CK231">
        <f t="shared" si="141"/>
        <v>10</v>
      </c>
      <c r="CL231">
        <f t="shared" si="142"/>
        <v>2025</v>
      </c>
    </row>
    <row r="232" spans="1:90" ht="15" customHeight="1" x14ac:dyDescent="0.35">
      <c r="A232" s="40">
        <v>45787.58457175926</v>
      </c>
      <c r="B232" t="s">
        <v>100</v>
      </c>
      <c r="C232" t="s">
        <v>214</v>
      </c>
      <c r="D232" t="s">
        <v>101</v>
      </c>
      <c r="E232" s="32">
        <v>45935</v>
      </c>
      <c r="F232" t="s">
        <v>54</v>
      </c>
      <c r="G232" s="2">
        <v>45757</v>
      </c>
      <c r="H232">
        <v>9188165297</v>
      </c>
      <c r="I232">
        <v>153</v>
      </c>
      <c r="J232" t="s">
        <v>636</v>
      </c>
      <c r="K232" t="s">
        <v>57</v>
      </c>
      <c r="L232" t="s">
        <v>58</v>
      </c>
      <c r="M232" t="s">
        <v>59</v>
      </c>
      <c r="N232" t="s">
        <v>59</v>
      </c>
      <c r="O232" t="s">
        <v>59</v>
      </c>
      <c r="P232" t="s">
        <v>59</v>
      </c>
      <c r="Q232" t="s">
        <v>59</v>
      </c>
      <c r="R232" t="s">
        <v>59</v>
      </c>
      <c r="S232" t="s">
        <v>59</v>
      </c>
      <c r="T232" t="s">
        <v>59</v>
      </c>
      <c r="U232" t="s">
        <v>59</v>
      </c>
      <c r="V232" t="s">
        <v>59</v>
      </c>
      <c r="W232" t="s">
        <v>59</v>
      </c>
      <c r="X232" t="s">
        <v>59</v>
      </c>
      <c r="Y232" t="s">
        <v>59</v>
      </c>
      <c r="Z232" t="s">
        <v>59</v>
      </c>
      <c r="AA232" t="s">
        <v>59</v>
      </c>
      <c r="AB232" t="s">
        <v>59</v>
      </c>
      <c r="AC232" t="s">
        <v>59</v>
      </c>
      <c r="AD232" t="s">
        <v>59</v>
      </c>
      <c r="AE232" t="s">
        <v>59</v>
      </c>
      <c r="AF232" t="s">
        <v>59</v>
      </c>
      <c r="AG232" t="s">
        <v>59</v>
      </c>
      <c r="AH232" t="s">
        <v>59</v>
      </c>
      <c r="AI232" t="s">
        <v>61</v>
      </c>
      <c r="AJ232" t="s">
        <v>59</v>
      </c>
      <c r="AK232" t="s">
        <v>59</v>
      </c>
      <c r="AL232" t="s">
        <v>59</v>
      </c>
      <c r="AM232" t="s">
        <v>59</v>
      </c>
      <c r="AN232" t="s">
        <v>59</v>
      </c>
      <c r="AO232" t="s">
        <v>60</v>
      </c>
      <c r="AP232" t="s">
        <v>724</v>
      </c>
      <c r="AQ232" s="1" t="s">
        <v>728</v>
      </c>
      <c r="AR232" t="s">
        <v>64</v>
      </c>
      <c r="AS232" t="s">
        <v>142</v>
      </c>
      <c r="AT232" t="s">
        <v>471</v>
      </c>
      <c r="AU232" t="s">
        <v>219</v>
      </c>
      <c r="AW232" s="4">
        <f t="shared" si="108"/>
        <v>6</v>
      </c>
      <c r="AX232" s="4">
        <f t="shared" si="109"/>
        <v>4</v>
      </c>
      <c r="AY232" s="4">
        <f t="shared" si="110"/>
        <v>4</v>
      </c>
      <c r="AZ232" s="4">
        <f t="shared" si="111"/>
        <v>2</v>
      </c>
      <c r="BA232" s="4">
        <f t="shared" si="112"/>
        <v>4</v>
      </c>
      <c r="BB232" s="4">
        <f t="shared" si="113"/>
        <v>4</v>
      </c>
      <c r="BC232" s="4">
        <f t="shared" si="114"/>
        <v>4</v>
      </c>
      <c r="BD232" s="4">
        <f t="shared" si="115"/>
        <v>2</v>
      </c>
      <c r="BE232" s="4">
        <f t="shared" si="116"/>
        <v>4</v>
      </c>
      <c r="BF232" s="4">
        <f t="shared" si="117"/>
        <v>2</v>
      </c>
      <c r="BG232" s="4">
        <f t="shared" si="118"/>
        <v>4</v>
      </c>
      <c r="BH232" s="4">
        <f t="shared" si="119"/>
        <v>4</v>
      </c>
      <c r="BI232" s="4">
        <f t="shared" si="120"/>
        <v>4</v>
      </c>
      <c r="BJ232" s="4">
        <f t="shared" si="121"/>
        <v>2</v>
      </c>
      <c r="BK232" s="4">
        <f t="shared" si="122"/>
        <v>4</v>
      </c>
      <c r="BL232" s="4">
        <f t="shared" si="123"/>
        <v>2</v>
      </c>
      <c r="BM232" s="4">
        <f t="shared" si="124"/>
        <v>4</v>
      </c>
      <c r="BN232" s="4">
        <f t="shared" si="125"/>
        <v>4</v>
      </c>
      <c r="BO232" s="4">
        <f t="shared" si="126"/>
        <v>4</v>
      </c>
      <c r="BP232" s="4">
        <f t="shared" si="127"/>
        <v>4</v>
      </c>
      <c r="BQ232" s="4">
        <f t="shared" si="128"/>
        <v>6</v>
      </c>
      <c r="BR232" s="4">
        <f t="shared" si="129"/>
        <v>4</v>
      </c>
      <c r="BS232" s="4">
        <f t="shared" si="130"/>
        <v>4</v>
      </c>
      <c r="BT232" s="4">
        <f t="shared" si="131"/>
        <v>4</v>
      </c>
      <c r="BU232" s="4">
        <f t="shared" si="132"/>
        <v>4</v>
      </c>
      <c r="BV232" s="4">
        <f t="shared" si="133"/>
        <v>0</v>
      </c>
      <c r="BW232" s="4">
        <f t="shared" si="134"/>
        <v>6</v>
      </c>
      <c r="BX232" s="4">
        <f t="shared" si="135"/>
        <v>0</v>
      </c>
      <c r="BY232" s="4" t="str">
        <f t="shared" si="136"/>
        <v>0</v>
      </c>
      <c r="BZ232" s="37">
        <f t="shared" si="137"/>
        <v>100</v>
      </c>
      <c r="CA232" s="32" t="str">
        <f>VLOOKUP(J:J,'Agent wise'!A:C,3,0)</f>
        <v>Shakeer</v>
      </c>
      <c r="CB232" s="32">
        <f t="shared" si="138"/>
        <v>45935</v>
      </c>
      <c r="CC232" t="str">
        <f t="shared" si="139"/>
        <v>Excellent</v>
      </c>
      <c r="CE232" s="32"/>
      <c r="CJ232">
        <f t="shared" si="140"/>
        <v>5</v>
      </c>
      <c r="CK232">
        <f t="shared" si="141"/>
        <v>10</v>
      </c>
      <c r="CL232">
        <f t="shared" si="142"/>
        <v>2025</v>
      </c>
    </row>
    <row r="233" spans="1:90" ht="15" customHeight="1" x14ac:dyDescent="0.35">
      <c r="A233" s="40">
        <v>45787.598645833343</v>
      </c>
      <c r="B233" t="s">
        <v>100</v>
      </c>
      <c r="C233" t="s">
        <v>214</v>
      </c>
      <c r="D233" t="s">
        <v>101</v>
      </c>
      <c r="E233" s="32">
        <v>45935</v>
      </c>
      <c r="F233" t="s">
        <v>54</v>
      </c>
      <c r="G233" s="2">
        <v>45757</v>
      </c>
      <c r="H233">
        <v>9048263316</v>
      </c>
      <c r="I233">
        <v>136</v>
      </c>
      <c r="J233" t="s">
        <v>638</v>
      </c>
      <c r="K233" t="s">
        <v>57</v>
      </c>
      <c r="L233" t="s">
        <v>58</v>
      </c>
      <c r="M233" t="s">
        <v>59</v>
      </c>
      <c r="N233" t="s">
        <v>59</v>
      </c>
      <c r="O233" t="s">
        <v>59</v>
      </c>
      <c r="P233" t="s">
        <v>59</v>
      </c>
      <c r="Q233" t="s">
        <v>59</v>
      </c>
      <c r="R233" t="s">
        <v>59</v>
      </c>
      <c r="S233" t="s">
        <v>59</v>
      </c>
      <c r="T233" t="s">
        <v>59</v>
      </c>
      <c r="U233" t="s">
        <v>59</v>
      </c>
      <c r="V233" t="s">
        <v>59</v>
      </c>
      <c r="W233" t="s">
        <v>59</v>
      </c>
      <c r="X233" t="s">
        <v>59</v>
      </c>
      <c r="Y233" t="s">
        <v>59</v>
      </c>
      <c r="Z233" t="s">
        <v>59</v>
      </c>
      <c r="AA233" t="s">
        <v>59</v>
      </c>
      <c r="AB233" t="s">
        <v>59</v>
      </c>
      <c r="AC233" t="s">
        <v>59</v>
      </c>
      <c r="AD233" t="s">
        <v>59</v>
      </c>
      <c r="AE233" t="s">
        <v>60</v>
      </c>
      <c r="AF233" t="s">
        <v>59</v>
      </c>
      <c r="AG233" t="s">
        <v>59</v>
      </c>
      <c r="AH233" t="s">
        <v>59</v>
      </c>
      <c r="AI233" t="s">
        <v>61</v>
      </c>
      <c r="AJ233" t="s">
        <v>59</v>
      </c>
      <c r="AK233" t="s">
        <v>59</v>
      </c>
      <c r="AL233" t="s">
        <v>59</v>
      </c>
      <c r="AM233" t="s">
        <v>59</v>
      </c>
      <c r="AN233" t="s">
        <v>59</v>
      </c>
      <c r="AO233" t="s">
        <v>59</v>
      </c>
      <c r="AP233" t="s">
        <v>688</v>
      </c>
      <c r="AQ233" s="1" t="s">
        <v>729</v>
      </c>
      <c r="AR233" t="s">
        <v>64</v>
      </c>
      <c r="AS233" t="s">
        <v>550</v>
      </c>
      <c r="AT233" t="s">
        <v>730</v>
      </c>
      <c r="AU233" t="s">
        <v>219</v>
      </c>
      <c r="AW233" s="4">
        <f t="shared" si="108"/>
        <v>6</v>
      </c>
      <c r="AX233" s="4">
        <f t="shared" si="109"/>
        <v>4</v>
      </c>
      <c r="AY233" s="4">
        <f t="shared" si="110"/>
        <v>4</v>
      </c>
      <c r="AZ233" s="4">
        <f t="shared" si="111"/>
        <v>2</v>
      </c>
      <c r="BA233" s="4">
        <f t="shared" si="112"/>
        <v>4</v>
      </c>
      <c r="BB233" s="4">
        <f t="shared" si="113"/>
        <v>4</v>
      </c>
      <c r="BC233" s="4">
        <f t="shared" si="114"/>
        <v>4</v>
      </c>
      <c r="BD233" s="4">
        <f t="shared" si="115"/>
        <v>2</v>
      </c>
      <c r="BE233" s="4">
        <f t="shared" si="116"/>
        <v>4</v>
      </c>
      <c r="BF233" s="4">
        <f t="shared" si="117"/>
        <v>2</v>
      </c>
      <c r="BG233" s="4">
        <f t="shared" si="118"/>
        <v>4</v>
      </c>
      <c r="BH233" s="4">
        <f t="shared" si="119"/>
        <v>4</v>
      </c>
      <c r="BI233" s="4">
        <f t="shared" si="120"/>
        <v>4</v>
      </c>
      <c r="BJ233" s="4">
        <f t="shared" si="121"/>
        <v>2</v>
      </c>
      <c r="BK233" s="4">
        <f t="shared" si="122"/>
        <v>4</v>
      </c>
      <c r="BL233" s="4">
        <f t="shared" si="123"/>
        <v>2</v>
      </c>
      <c r="BM233" s="4">
        <f t="shared" si="124"/>
        <v>4</v>
      </c>
      <c r="BN233" s="4">
        <f t="shared" si="125"/>
        <v>4</v>
      </c>
      <c r="BO233" s="4" t="str">
        <f t="shared" si="126"/>
        <v>0</v>
      </c>
      <c r="BP233" s="4">
        <f t="shared" si="127"/>
        <v>4</v>
      </c>
      <c r="BQ233" s="4">
        <f t="shared" si="128"/>
        <v>6</v>
      </c>
      <c r="BR233" s="4">
        <f t="shared" si="129"/>
        <v>4</v>
      </c>
      <c r="BS233" s="4">
        <f t="shared" si="130"/>
        <v>4</v>
      </c>
      <c r="BT233" s="4">
        <f t="shared" si="131"/>
        <v>4</v>
      </c>
      <c r="BU233" s="4">
        <f t="shared" si="132"/>
        <v>4</v>
      </c>
      <c r="BV233" s="4">
        <f t="shared" si="133"/>
        <v>0</v>
      </c>
      <c r="BW233" s="4">
        <f t="shared" si="134"/>
        <v>6</v>
      </c>
      <c r="BX233" s="4">
        <f t="shared" si="135"/>
        <v>0</v>
      </c>
      <c r="BY233" s="4">
        <f t="shared" si="136"/>
        <v>0</v>
      </c>
      <c r="BZ233" s="37">
        <f t="shared" si="137"/>
        <v>96</v>
      </c>
      <c r="CA233" s="32" t="str">
        <f>VLOOKUP(J:J,'Agent wise'!A:C,3,0)</f>
        <v>Adharsh</v>
      </c>
      <c r="CB233" s="32">
        <f t="shared" si="138"/>
        <v>45935</v>
      </c>
      <c r="CC233" t="str">
        <f t="shared" si="139"/>
        <v>Excellent</v>
      </c>
      <c r="CE233" s="32"/>
      <c r="CJ233">
        <f t="shared" si="140"/>
        <v>5</v>
      </c>
      <c r="CK233">
        <f t="shared" si="141"/>
        <v>10</v>
      </c>
      <c r="CL233">
        <f t="shared" si="142"/>
        <v>2025</v>
      </c>
    </row>
    <row r="234" spans="1:90" ht="15" customHeight="1" x14ac:dyDescent="0.35">
      <c r="A234" s="40">
        <v>45787.608784722222</v>
      </c>
      <c r="B234" t="s">
        <v>51</v>
      </c>
      <c r="C234" t="s">
        <v>214</v>
      </c>
      <c r="D234" t="s">
        <v>53</v>
      </c>
      <c r="E234" s="32">
        <v>45935</v>
      </c>
      <c r="F234" t="s">
        <v>54</v>
      </c>
      <c r="G234" s="2">
        <v>45757</v>
      </c>
      <c r="H234">
        <v>8300595484</v>
      </c>
      <c r="I234">
        <v>221</v>
      </c>
      <c r="J234" t="s">
        <v>321</v>
      </c>
      <c r="K234" t="s">
        <v>71</v>
      </c>
      <c r="L234" t="s">
        <v>72</v>
      </c>
      <c r="M234" t="s">
        <v>59</v>
      </c>
      <c r="N234" t="s">
        <v>59</v>
      </c>
      <c r="O234" t="s">
        <v>59</v>
      </c>
      <c r="P234" t="s">
        <v>59</v>
      </c>
      <c r="Q234" t="s">
        <v>59</v>
      </c>
      <c r="R234" t="s">
        <v>60</v>
      </c>
      <c r="S234" t="s">
        <v>59</v>
      </c>
      <c r="T234" t="s">
        <v>59</v>
      </c>
      <c r="U234" t="s">
        <v>59</v>
      </c>
      <c r="V234" t="s">
        <v>59</v>
      </c>
      <c r="W234" t="s">
        <v>59</v>
      </c>
      <c r="X234" t="s">
        <v>59</v>
      </c>
      <c r="Y234" t="s">
        <v>59</v>
      </c>
      <c r="Z234" t="s">
        <v>59</v>
      </c>
      <c r="AA234" t="s">
        <v>60</v>
      </c>
      <c r="AB234" t="s">
        <v>60</v>
      </c>
      <c r="AC234" t="s">
        <v>61</v>
      </c>
      <c r="AD234" t="s">
        <v>59</v>
      </c>
      <c r="AE234" t="s">
        <v>60</v>
      </c>
      <c r="AF234" t="s">
        <v>61</v>
      </c>
      <c r="AG234" t="s">
        <v>59</v>
      </c>
      <c r="AH234" t="s">
        <v>61</v>
      </c>
      <c r="AI234" t="s">
        <v>60</v>
      </c>
      <c r="AJ234" t="s">
        <v>59</v>
      </c>
      <c r="AK234" t="s">
        <v>61</v>
      </c>
      <c r="AL234" t="s">
        <v>60</v>
      </c>
      <c r="AM234" t="s">
        <v>59</v>
      </c>
      <c r="AN234" t="s">
        <v>59</v>
      </c>
      <c r="AO234" t="s">
        <v>59</v>
      </c>
      <c r="AP234" t="s">
        <v>731</v>
      </c>
      <c r="AQ234" t="s">
        <v>506</v>
      </c>
      <c r="AR234" t="s">
        <v>64</v>
      </c>
      <c r="AS234" t="s">
        <v>65</v>
      </c>
      <c r="AT234" t="s">
        <v>79</v>
      </c>
      <c r="AU234" t="s">
        <v>448</v>
      </c>
      <c r="AW234" s="4">
        <f t="shared" si="108"/>
        <v>6</v>
      </c>
      <c r="AX234" s="4">
        <f t="shared" si="109"/>
        <v>4</v>
      </c>
      <c r="AY234" s="4">
        <f t="shared" si="110"/>
        <v>4</v>
      </c>
      <c r="AZ234" s="4">
        <f t="shared" si="111"/>
        <v>2</v>
      </c>
      <c r="BA234" s="4">
        <f t="shared" si="112"/>
        <v>4</v>
      </c>
      <c r="BB234" s="4" t="str">
        <f t="shared" si="113"/>
        <v>0</v>
      </c>
      <c r="BC234" s="4">
        <f t="shared" si="114"/>
        <v>4</v>
      </c>
      <c r="BD234" s="4">
        <f t="shared" si="115"/>
        <v>2</v>
      </c>
      <c r="BE234" s="4">
        <f t="shared" si="116"/>
        <v>4</v>
      </c>
      <c r="BF234" s="4">
        <f t="shared" si="117"/>
        <v>2</v>
      </c>
      <c r="BG234" s="4">
        <f t="shared" si="118"/>
        <v>4</v>
      </c>
      <c r="BH234" s="4">
        <f t="shared" si="119"/>
        <v>4</v>
      </c>
      <c r="BI234" s="4">
        <f t="shared" si="120"/>
        <v>4</v>
      </c>
      <c r="BJ234" s="4">
        <f t="shared" si="121"/>
        <v>2</v>
      </c>
      <c r="BK234" s="4" t="str">
        <f t="shared" si="122"/>
        <v>0</v>
      </c>
      <c r="BL234" s="4" t="str">
        <f t="shared" si="123"/>
        <v>0</v>
      </c>
      <c r="BM234" s="4">
        <f t="shared" si="124"/>
        <v>4</v>
      </c>
      <c r="BN234" s="4">
        <f t="shared" si="125"/>
        <v>4</v>
      </c>
      <c r="BO234" s="4" t="str">
        <f t="shared" si="126"/>
        <v>0</v>
      </c>
      <c r="BP234" s="4">
        <f t="shared" si="127"/>
        <v>4</v>
      </c>
      <c r="BQ234" s="4">
        <f t="shared" si="128"/>
        <v>6</v>
      </c>
      <c r="BR234" s="4">
        <f t="shared" si="129"/>
        <v>4</v>
      </c>
      <c r="BS234" s="4" t="str">
        <f t="shared" si="130"/>
        <v>0</v>
      </c>
      <c r="BT234" s="4">
        <f t="shared" si="131"/>
        <v>4</v>
      </c>
      <c r="BU234" s="4">
        <f t="shared" si="132"/>
        <v>4</v>
      </c>
      <c r="BV234" s="4" t="str">
        <f t="shared" si="133"/>
        <v>0</v>
      </c>
      <c r="BW234" s="4">
        <f t="shared" si="134"/>
        <v>6</v>
      </c>
      <c r="BX234" s="4">
        <f t="shared" si="135"/>
        <v>0</v>
      </c>
      <c r="BY234" s="4">
        <f t="shared" si="136"/>
        <v>0</v>
      </c>
      <c r="BZ234" s="37">
        <f t="shared" si="137"/>
        <v>82</v>
      </c>
      <c r="CA234" s="32" t="str">
        <f>VLOOKUP(J:J,'Agent wise'!A:C,3,0)</f>
        <v>Saran S</v>
      </c>
      <c r="CB234" s="32">
        <f t="shared" si="138"/>
        <v>45935</v>
      </c>
      <c r="CC234" t="str">
        <f t="shared" si="139"/>
        <v>FC</v>
      </c>
      <c r="CE234" s="32"/>
      <c r="CJ234">
        <f t="shared" si="140"/>
        <v>5</v>
      </c>
      <c r="CK234">
        <f t="shared" si="141"/>
        <v>10</v>
      </c>
      <c r="CL234">
        <f t="shared" si="142"/>
        <v>2025</v>
      </c>
    </row>
    <row r="235" spans="1:90" ht="15" customHeight="1" x14ac:dyDescent="0.35">
      <c r="A235" s="40">
        <v>45787.61042824074</v>
      </c>
      <c r="B235" t="s">
        <v>51</v>
      </c>
      <c r="C235" t="s">
        <v>214</v>
      </c>
      <c r="D235" t="s">
        <v>53</v>
      </c>
      <c r="E235" s="32">
        <v>45935</v>
      </c>
      <c r="F235" t="s">
        <v>54</v>
      </c>
      <c r="G235" s="2">
        <v>45757</v>
      </c>
      <c r="H235">
        <v>9744043237</v>
      </c>
      <c r="I235">
        <v>143</v>
      </c>
      <c r="J235" t="s">
        <v>326</v>
      </c>
      <c r="K235" t="s">
        <v>57</v>
      </c>
      <c r="L235" t="s">
        <v>58</v>
      </c>
      <c r="M235" t="s">
        <v>59</v>
      </c>
      <c r="N235" t="s">
        <v>59</v>
      </c>
      <c r="O235" t="s">
        <v>59</v>
      </c>
      <c r="P235" t="s">
        <v>59</v>
      </c>
      <c r="Q235" t="s">
        <v>59</v>
      </c>
      <c r="R235" t="s">
        <v>59</v>
      </c>
      <c r="S235" t="s">
        <v>59</v>
      </c>
      <c r="T235" t="s">
        <v>59</v>
      </c>
      <c r="U235" t="s">
        <v>59</v>
      </c>
      <c r="V235" t="s">
        <v>59</v>
      </c>
      <c r="W235" t="s">
        <v>59</v>
      </c>
      <c r="X235" t="s">
        <v>59</v>
      </c>
      <c r="Y235" t="s">
        <v>59</v>
      </c>
      <c r="Z235" t="s">
        <v>59</v>
      </c>
      <c r="AA235" t="s">
        <v>60</v>
      </c>
      <c r="AB235" t="s">
        <v>61</v>
      </c>
      <c r="AC235" t="s">
        <v>61</v>
      </c>
      <c r="AD235" t="s">
        <v>59</v>
      </c>
      <c r="AE235" t="s">
        <v>59</v>
      </c>
      <c r="AF235" t="s">
        <v>61</v>
      </c>
      <c r="AG235" t="s">
        <v>60</v>
      </c>
      <c r="AH235" t="s">
        <v>61</v>
      </c>
      <c r="AI235" t="s">
        <v>61</v>
      </c>
      <c r="AJ235" t="s">
        <v>59</v>
      </c>
      <c r="AK235" t="s">
        <v>61</v>
      </c>
      <c r="AL235" t="s">
        <v>60</v>
      </c>
      <c r="AM235" t="s">
        <v>59</v>
      </c>
      <c r="AN235" t="s">
        <v>59</v>
      </c>
      <c r="AO235" t="s">
        <v>60</v>
      </c>
      <c r="AP235" t="s">
        <v>732</v>
      </c>
      <c r="AQ235" t="s">
        <v>733</v>
      </c>
      <c r="AR235" t="s">
        <v>64</v>
      </c>
      <c r="AS235" t="s">
        <v>89</v>
      </c>
      <c r="AT235" t="s">
        <v>84</v>
      </c>
      <c r="AU235" t="s">
        <v>387</v>
      </c>
      <c r="AW235" s="4">
        <f t="shared" si="108"/>
        <v>6</v>
      </c>
      <c r="AX235" s="4">
        <f t="shared" si="109"/>
        <v>4</v>
      </c>
      <c r="AY235" s="4">
        <f t="shared" si="110"/>
        <v>4</v>
      </c>
      <c r="AZ235" s="4">
        <f t="shared" si="111"/>
        <v>2</v>
      </c>
      <c r="BA235" s="4">
        <f t="shared" si="112"/>
        <v>4</v>
      </c>
      <c r="BB235" s="4">
        <f t="shared" si="113"/>
        <v>4</v>
      </c>
      <c r="BC235" s="4">
        <f t="shared" si="114"/>
        <v>4</v>
      </c>
      <c r="BD235" s="4">
        <f t="shared" si="115"/>
        <v>2</v>
      </c>
      <c r="BE235" s="4">
        <f t="shared" si="116"/>
        <v>4</v>
      </c>
      <c r="BF235" s="4">
        <f t="shared" si="117"/>
        <v>2</v>
      </c>
      <c r="BG235" s="4">
        <f t="shared" si="118"/>
        <v>4</v>
      </c>
      <c r="BH235" s="4">
        <f t="shared" si="119"/>
        <v>4</v>
      </c>
      <c r="BI235" s="4">
        <f t="shared" si="120"/>
        <v>4</v>
      </c>
      <c r="BJ235" s="4">
        <f t="shared" si="121"/>
        <v>2</v>
      </c>
      <c r="BK235" s="4" t="str">
        <f t="shared" si="122"/>
        <v>0</v>
      </c>
      <c r="BL235" s="4">
        <f t="shared" si="123"/>
        <v>2</v>
      </c>
      <c r="BM235" s="4">
        <f t="shared" si="124"/>
        <v>4</v>
      </c>
      <c r="BN235" s="4">
        <f t="shared" si="125"/>
        <v>4</v>
      </c>
      <c r="BO235" s="4">
        <f t="shared" si="126"/>
        <v>4</v>
      </c>
      <c r="BP235" s="4">
        <f t="shared" si="127"/>
        <v>4</v>
      </c>
      <c r="BQ235" s="4" t="str">
        <f t="shared" si="128"/>
        <v>0</v>
      </c>
      <c r="BR235" s="4">
        <f t="shared" si="129"/>
        <v>4</v>
      </c>
      <c r="BS235" s="4">
        <f t="shared" si="130"/>
        <v>4</v>
      </c>
      <c r="BT235" s="4">
        <f t="shared" si="131"/>
        <v>4</v>
      </c>
      <c r="BU235" s="4">
        <f t="shared" si="132"/>
        <v>4</v>
      </c>
      <c r="BV235" s="4" t="str">
        <f t="shared" si="133"/>
        <v>0</v>
      </c>
      <c r="BW235" s="4">
        <f t="shared" si="134"/>
        <v>6</v>
      </c>
      <c r="BX235" s="4">
        <f t="shared" si="135"/>
        <v>0</v>
      </c>
      <c r="BY235" s="4" t="str">
        <f t="shared" si="136"/>
        <v>0</v>
      </c>
      <c r="BZ235" s="37">
        <f t="shared" si="137"/>
        <v>90</v>
      </c>
      <c r="CA235" s="32" t="str">
        <f>VLOOKUP(J:J,'Agent wise'!A:C,3,0)</f>
        <v>Saran S</v>
      </c>
      <c r="CB235" s="32">
        <f t="shared" si="138"/>
        <v>45935</v>
      </c>
      <c r="CC235" t="str">
        <f t="shared" si="139"/>
        <v>Good</v>
      </c>
      <c r="CE235" s="32"/>
      <c r="CJ235">
        <f t="shared" si="140"/>
        <v>5</v>
      </c>
      <c r="CK235">
        <f t="shared" si="141"/>
        <v>10</v>
      </c>
      <c r="CL235">
        <f t="shared" si="142"/>
        <v>2025</v>
      </c>
    </row>
    <row r="236" spans="1:90" ht="15" customHeight="1" x14ac:dyDescent="0.35">
      <c r="A236" s="40">
        <v>45787.610532407409</v>
      </c>
      <c r="B236" t="s">
        <v>100</v>
      </c>
      <c r="C236" t="s">
        <v>214</v>
      </c>
      <c r="D236" t="s">
        <v>101</v>
      </c>
      <c r="E236" s="32">
        <v>45935</v>
      </c>
      <c r="F236" t="s">
        <v>54</v>
      </c>
      <c r="G236" s="2">
        <v>45726</v>
      </c>
      <c r="H236">
        <v>8281659884</v>
      </c>
      <c r="I236">
        <v>144</v>
      </c>
      <c r="J236" t="s">
        <v>80</v>
      </c>
      <c r="K236" t="s">
        <v>57</v>
      </c>
      <c r="L236" t="s">
        <v>58</v>
      </c>
      <c r="M236" t="s">
        <v>60</v>
      </c>
      <c r="N236" t="s">
        <v>59</v>
      </c>
      <c r="O236" t="s">
        <v>59</v>
      </c>
      <c r="P236" t="s">
        <v>59</v>
      </c>
      <c r="Q236" t="s">
        <v>59</v>
      </c>
      <c r="R236" t="s">
        <v>59</v>
      </c>
      <c r="S236" t="s">
        <v>59</v>
      </c>
      <c r="T236" t="s">
        <v>59</v>
      </c>
      <c r="U236" t="s">
        <v>59</v>
      </c>
      <c r="V236" t="s">
        <v>59</v>
      </c>
      <c r="W236" t="s">
        <v>59</v>
      </c>
      <c r="X236" t="s">
        <v>59</v>
      </c>
      <c r="Y236" t="s">
        <v>59</v>
      </c>
      <c r="Z236" t="s">
        <v>59</v>
      </c>
      <c r="AA236" t="s">
        <v>60</v>
      </c>
      <c r="AB236" t="s">
        <v>59</v>
      </c>
      <c r="AC236" t="s">
        <v>59</v>
      </c>
      <c r="AD236" t="s">
        <v>59</v>
      </c>
      <c r="AE236" t="s">
        <v>60</v>
      </c>
      <c r="AF236" t="s">
        <v>59</v>
      </c>
      <c r="AG236" t="s">
        <v>59</v>
      </c>
      <c r="AH236" t="s">
        <v>59</v>
      </c>
      <c r="AI236" t="s">
        <v>61</v>
      </c>
      <c r="AJ236" t="s">
        <v>59</v>
      </c>
      <c r="AK236" t="s">
        <v>59</v>
      </c>
      <c r="AL236" t="s">
        <v>59</v>
      </c>
      <c r="AM236" t="s">
        <v>59</v>
      </c>
      <c r="AN236" t="s">
        <v>59</v>
      </c>
      <c r="AO236" t="s">
        <v>59</v>
      </c>
      <c r="AP236" t="s">
        <v>734</v>
      </c>
      <c r="AQ236" s="1" t="s">
        <v>735</v>
      </c>
      <c r="AR236" t="s">
        <v>64</v>
      </c>
      <c r="AS236" t="s">
        <v>175</v>
      </c>
      <c r="AT236" t="s">
        <v>558</v>
      </c>
      <c r="AU236" t="s">
        <v>219</v>
      </c>
      <c r="AW236" s="4" t="str">
        <f t="shared" si="108"/>
        <v>0</v>
      </c>
      <c r="AX236" s="4">
        <f t="shared" si="109"/>
        <v>4</v>
      </c>
      <c r="AY236" s="4">
        <f t="shared" si="110"/>
        <v>4</v>
      </c>
      <c r="AZ236" s="4">
        <f t="shared" si="111"/>
        <v>2</v>
      </c>
      <c r="BA236" s="4">
        <f t="shared" si="112"/>
        <v>4</v>
      </c>
      <c r="BB236" s="4">
        <f t="shared" si="113"/>
        <v>4</v>
      </c>
      <c r="BC236" s="4">
        <f t="shared" si="114"/>
        <v>4</v>
      </c>
      <c r="BD236" s="4">
        <f t="shared" si="115"/>
        <v>2</v>
      </c>
      <c r="BE236" s="4">
        <f t="shared" si="116"/>
        <v>4</v>
      </c>
      <c r="BF236" s="4">
        <f t="shared" si="117"/>
        <v>2</v>
      </c>
      <c r="BG236" s="4">
        <f t="shared" si="118"/>
        <v>4</v>
      </c>
      <c r="BH236" s="4">
        <f t="shared" si="119"/>
        <v>4</v>
      </c>
      <c r="BI236" s="4">
        <f t="shared" si="120"/>
        <v>4</v>
      </c>
      <c r="BJ236" s="4">
        <f t="shared" si="121"/>
        <v>2</v>
      </c>
      <c r="BK236" s="4" t="str">
        <f t="shared" si="122"/>
        <v>0</v>
      </c>
      <c r="BL236" s="4">
        <f t="shared" si="123"/>
        <v>2</v>
      </c>
      <c r="BM236" s="4">
        <f t="shared" si="124"/>
        <v>4</v>
      </c>
      <c r="BN236" s="4">
        <f t="shared" si="125"/>
        <v>4</v>
      </c>
      <c r="BO236" s="4" t="str">
        <f t="shared" si="126"/>
        <v>0</v>
      </c>
      <c r="BP236" s="4">
        <f t="shared" si="127"/>
        <v>4</v>
      </c>
      <c r="BQ236" s="4">
        <f t="shared" si="128"/>
        <v>6</v>
      </c>
      <c r="BR236" s="4">
        <f t="shared" si="129"/>
        <v>4</v>
      </c>
      <c r="BS236" s="4">
        <f t="shared" si="130"/>
        <v>4</v>
      </c>
      <c r="BT236" s="4">
        <f t="shared" si="131"/>
        <v>4</v>
      </c>
      <c r="BU236" s="4">
        <f t="shared" si="132"/>
        <v>4</v>
      </c>
      <c r="BV236" s="4">
        <f t="shared" si="133"/>
        <v>0</v>
      </c>
      <c r="BW236" s="4">
        <f t="shared" si="134"/>
        <v>6</v>
      </c>
      <c r="BX236" s="4">
        <f t="shared" si="135"/>
        <v>0</v>
      </c>
      <c r="BY236" s="4">
        <f t="shared" si="136"/>
        <v>0</v>
      </c>
      <c r="BZ236" s="37">
        <f t="shared" si="137"/>
        <v>86</v>
      </c>
      <c r="CA236" s="32" t="str">
        <f>VLOOKUP(J:J,'Agent wise'!A:C,3,0)</f>
        <v>Saran S</v>
      </c>
      <c r="CB236" s="32">
        <f t="shared" si="138"/>
        <v>45935</v>
      </c>
      <c r="CC236" t="str">
        <f t="shared" si="139"/>
        <v>Average</v>
      </c>
      <c r="CE236" s="32"/>
      <c r="CJ236">
        <f t="shared" si="140"/>
        <v>5</v>
      </c>
      <c r="CK236">
        <f t="shared" si="141"/>
        <v>10</v>
      </c>
      <c r="CL236">
        <f t="shared" si="142"/>
        <v>2025</v>
      </c>
    </row>
    <row r="237" spans="1:90" ht="15" customHeight="1" x14ac:dyDescent="0.35">
      <c r="A237" s="40">
        <v>45787.612951388888</v>
      </c>
      <c r="B237" t="s">
        <v>51</v>
      </c>
      <c r="C237" t="s">
        <v>214</v>
      </c>
      <c r="D237" t="s">
        <v>53</v>
      </c>
      <c r="E237" s="32">
        <v>45935</v>
      </c>
      <c r="F237" t="s">
        <v>54</v>
      </c>
      <c r="G237" s="2">
        <v>45757</v>
      </c>
      <c r="H237">
        <v>9496803655</v>
      </c>
      <c r="I237">
        <v>148</v>
      </c>
      <c r="J237" t="s">
        <v>370</v>
      </c>
      <c r="K237" t="s">
        <v>86</v>
      </c>
      <c r="L237" t="s">
        <v>58</v>
      </c>
      <c r="M237" t="s">
        <v>60</v>
      </c>
      <c r="N237" t="s">
        <v>59</v>
      </c>
      <c r="O237" t="s">
        <v>59</v>
      </c>
      <c r="P237" t="s">
        <v>59</v>
      </c>
      <c r="Q237" t="s">
        <v>59</v>
      </c>
      <c r="R237" t="s">
        <v>60</v>
      </c>
      <c r="S237" t="s">
        <v>59</v>
      </c>
      <c r="T237" t="s">
        <v>59</v>
      </c>
      <c r="U237" t="s">
        <v>59</v>
      </c>
      <c r="V237" t="s">
        <v>59</v>
      </c>
      <c r="W237" t="s">
        <v>59</v>
      </c>
      <c r="X237" t="s">
        <v>59</v>
      </c>
      <c r="Y237" t="s">
        <v>59</v>
      </c>
      <c r="Z237" t="s">
        <v>59</v>
      </c>
      <c r="AA237" t="s">
        <v>60</v>
      </c>
      <c r="AB237" t="s">
        <v>61</v>
      </c>
      <c r="AC237" t="s">
        <v>61</v>
      </c>
      <c r="AD237" t="s">
        <v>59</v>
      </c>
      <c r="AE237" t="s">
        <v>59</v>
      </c>
      <c r="AF237" t="s">
        <v>61</v>
      </c>
      <c r="AG237" t="s">
        <v>59</v>
      </c>
      <c r="AH237" t="s">
        <v>61</v>
      </c>
      <c r="AI237" t="s">
        <v>61</v>
      </c>
      <c r="AJ237" t="s">
        <v>59</v>
      </c>
      <c r="AK237" t="s">
        <v>61</v>
      </c>
      <c r="AL237" t="s">
        <v>60</v>
      </c>
      <c r="AM237" t="s">
        <v>59</v>
      </c>
      <c r="AN237" t="s">
        <v>59</v>
      </c>
      <c r="AO237" t="s">
        <v>59</v>
      </c>
      <c r="AP237" t="s">
        <v>736</v>
      </c>
      <c r="AQ237" t="s">
        <v>737</v>
      </c>
      <c r="AR237" t="s">
        <v>64</v>
      </c>
      <c r="AS237" t="s">
        <v>738</v>
      </c>
      <c r="AT237" t="s">
        <v>739</v>
      </c>
      <c r="AU237" t="s">
        <v>515</v>
      </c>
      <c r="AW237" s="4" t="str">
        <f t="shared" si="108"/>
        <v>0</v>
      </c>
      <c r="AX237" s="4">
        <f t="shared" si="109"/>
        <v>4</v>
      </c>
      <c r="AY237" s="4">
        <f t="shared" si="110"/>
        <v>4</v>
      </c>
      <c r="AZ237" s="4">
        <f t="shared" si="111"/>
        <v>2</v>
      </c>
      <c r="BA237" s="4">
        <f t="shared" si="112"/>
        <v>4</v>
      </c>
      <c r="BB237" s="4" t="str">
        <f t="shared" si="113"/>
        <v>0</v>
      </c>
      <c r="BC237" s="4">
        <f t="shared" si="114"/>
        <v>4</v>
      </c>
      <c r="BD237" s="4">
        <f t="shared" si="115"/>
        <v>2</v>
      </c>
      <c r="BE237" s="4">
        <f t="shared" si="116"/>
        <v>4</v>
      </c>
      <c r="BF237" s="4">
        <f t="shared" si="117"/>
        <v>2</v>
      </c>
      <c r="BG237" s="4">
        <f t="shared" si="118"/>
        <v>4</v>
      </c>
      <c r="BH237" s="4">
        <f t="shared" si="119"/>
        <v>4</v>
      </c>
      <c r="BI237" s="4">
        <f t="shared" si="120"/>
        <v>4</v>
      </c>
      <c r="BJ237" s="4">
        <f t="shared" si="121"/>
        <v>2</v>
      </c>
      <c r="BK237" s="4" t="str">
        <f t="shared" si="122"/>
        <v>0</v>
      </c>
      <c r="BL237" s="4">
        <f t="shared" si="123"/>
        <v>2</v>
      </c>
      <c r="BM237" s="4">
        <f t="shared" si="124"/>
        <v>4</v>
      </c>
      <c r="BN237" s="4">
        <f t="shared" si="125"/>
        <v>4</v>
      </c>
      <c r="BO237" s="4">
        <f t="shared" si="126"/>
        <v>4</v>
      </c>
      <c r="BP237" s="4">
        <f t="shared" si="127"/>
        <v>4</v>
      </c>
      <c r="BQ237" s="4">
        <f t="shared" si="128"/>
        <v>6</v>
      </c>
      <c r="BR237" s="4">
        <f t="shared" si="129"/>
        <v>4</v>
      </c>
      <c r="BS237" s="4">
        <f t="shared" si="130"/>
        <v>4</v>
      </c>
      <c r="BT237" s="4">
        <f t="shared" si="131"/>
        <v>4</v>
      </c>
      <c r="BU237" s="4">
        <f t="shared" si="132"/>
        <v>4</v>
      </c>
      <c r="BV237" s="4" t="str">
        <f t="shared" si="133"/>
        <v>0</v>
      </c>
      <c r="BW237" s="4">
        <f t="shared" si="134"/>
        <v>6</v>
      </c>
      <c r="BX237" s="4">
        <f t="shared" si="135"/>
        <v>0</v>
      </c>
      <c r="BY237" s="4">
        <f t="shared" si="136"/>
        <v>0</v>
      </c>
      <c r="BZ237" s="37">
        <f t="shared" si="137"/>
        <v>86</v>
      </c>
      <c r="CA237" s="32" t="str">
        <f>VLOOKUP(J:J,'Agent wise'!A:C,3,0)</f>
        <v>Saran S</v>
      </c>
      <c r="CB237" s="32">
        <f t="shared" si="138"/>
        <v>45935</v>
      </c>
      <c r="CC237" t="str">
        <f t="shared" si="139"/>
        <v>Average</v>
      </c>
      <c r="CE237" s="32"/>
      <c r="CJ237">
        <f t="shared" si="140"/>
        <v>5</v>
      </c>
      <c r="CK237">
        <f t="shared" si="141"/>
        <v>10</v>
      </c>
      <c r="CL237">
        <f t="shared" si="142"/>
        <v>2025</v>
      </c>
    </row>
    <row r="238" spans="1:90" ht="15" customHeight="1" x14ac:dyDescent="0.35">
      <c r="A238" s="40">
        <v>45787.615914351853</v>
      </c>
      <c r="B238" t="s">
        <v>51</v>
      </c>
      <c r="C238" t="s">
        <v>214</v>
      </c>
      <c r="D238" t="s">
        <v>53</v>
      </c>
      <c r="E238" s="32">
        <v>45935</v>
      </c>
      <c r="F238" t="s">
        <v>54</v>
      </c>
      <c r="G238" s="2">
        <v>45757</v>
      </c>
      <c r="H238">
        <v>9965258109</v>
      </c>
      <c r="I238">
        <v>134</v>
      </c>
      <c r="J238" t="s">
        <v>493</v>
      </c>
      <c r="K238" t="s">
        <v>71</v>
      </c>
      <c r="L238" t="s">
        <v>72</v>
      </c>
      <c r="M238" t="s">
        <v>60</v>
      </c>
      <c r="N238" t="s">
        <v>59</v>
      </c>
      <c r="O238" t="s">
        <v>60</v>
      </c>
      <c r="P238" t="s">
        <v>59</v>
      </c>
      <c r="Q238" t="s">
        <v>59</v>
      </c>
      <c r="R238" t="s">
        <v>59</v>
      </c>
      <c r="S238" t="s">
        <v>59</v>
      </c>
      <c r="T238" t="s">
        <v>59</v>
      </c>
      <c r="U238" t="s">
        <v>60</v>
      </c>
      <c r="V238" t="s">
        <v>59</v>
      </c>
      <c r="W238" t="s">
        <v>59</v>
      </c>
      <c r="X238" t="s">
        <v>59</v>
      </c>
      <c r="Y238" t="s">
        <v>59</v>
      </c>
      <c r="Z238" t="s">
        <v>59</v>
      </c>
      <c r="AA238" t="s">
        <v>60</v>
      </c>
      <c r="AB238" t="s">
        <v>60</v>
      </c>
      <c r="AC238" t="s">
        <v>61</v>
      </c>
      <c r="AD238" t="s">
        <v>59</v>
      </c>
      <c r="AE238" t="s">
        <v>59</v>
      </c>
      <c r="AF238" t="s">
        <v>61</v>
      </c>
      <c r="AG238" t="s">
        <v>59</v>
      </c>
      <c r="AH238" t="s">
        <v>61</v>
      </c>
      <c r="AI238" t="s">
        <v>61</v>
      </c>
      <c r="AJ238" t="s">
        <v>59</v>
      </c>
      <c r="AK238" t="s">
        <v>61</v>
      </c>
      <c r="AL238" t="s">
        <v>60</v>
      </c>
      <c r="AM238" t="s">
        <v>59</v>
      </c>
      <c r="AN238" t="s">
        <v>59</v>
      </c>
      <c r="AO238" t="s">
        <v>59</v>
      </c>
      <c r="AP238" t="s">
        <v>740</v>
      </c>
      <c r="AQ238" t="s">
        <v>741</v>
      </c>
      <c r="AR238" t="s">
        <v>64</v>
      </c>
      <c r="AS238" t="s">
        <v>89</v>
      </c>
      <c r="AT238" t="s">
        <v>742</v>
      </c>
      <c r="AU238" t="s">
        <v>593</v>
      </c>
      <c r="AW238" s="4" t="str">
        <f t="shared" si="108"/>
        <v>0</v>
      </c>
      <c r="AX238" s="4">
        <f t="shared" si="109"/>
        <v>4</v>
      </c>
      <c r="AY238" s="4" t="str">
        <f t="shared" si="110"/>
        <v>0</v>
      </c>
      <c r="AZ238" s="4">
        <f t="shared" si="111"/>
        <v>2</v>
      </c>
      <c r="BA238" s="4">
        <f t="shared" si="112"/>
        <v>4</v>
      </c>
      <c r="BB238" s="4">
        <f t="shared" si="113"/>
        <v>4</v>
      </c>
      <c r="BC238" s="4">
        <f t="shared" si="114"/>
        <v>4</v>
      </c>
      <c r="BD238" s="4">
        <f t="shared" si="115"/>
        <v>2</v>
      </c>
      <c r="BE238" s="4" t="str">
        <f t="shared" si="116"/>
        <v>0</v>
      </c>
      <c r="BF238" s="4">
        <f t="shared" si="117"/>
        <v>2</v>
      </c>
      <c r="BG238" s="4">
        <f t="shared" si="118"/>
        <v>4</v>
      </c>
      <c r="BH238" s="4">
        <f t="shared" si="119"/>
        <v>4</v>
      </c>
      <c r="BI238" s="4">
        <f t="shared" si="120"/>
        <v>4</v>
      </c>
      <c r="BJ238" s="4">
        <f t="shared" si="121"/>
        <v>2</v>
      </c>
      <c r="BK238" s="4" t="str">
        <f t="shared" si="122"/>
        <v>0</v>
      </c>
      <c r="BL238" s="4" t="str">
        <f t="shared" si="123"/>
        <v>0</v>
      </c>
      <c r="BM238" s="4">
        <f t="shared" si="124"/>
        <v>4</v>
      </c>
      <c r="BN238" s="4">
        <f t="shared" si="125"/>
        <v>4</v>
      </c>
      <c r="BO238" s="4">
        <f t="shared" si="126"/>
        <v>4</v>
      </c>
      <c r="BP238" s="4">
        <f t="shared" si="127"/>
        <v>4</v>
      </c>
      <c r="BQ238" s="4">
        <f t="shared" si="128"/>
        <v>6</v>
      </c>
      <c r="BR238" s="4">
        <f t="shared" si="129"/>
        <v>4</v>
      </c>
      <c r="BS238" s="4">
        <f t="shared" si="130"/>
        <v>4</v>
      </c>
      <c r="BT238" s="4">
        <f t="shared" si="131"/>
        <v>4</v>
      </c>
      <c r="BU238" s="4">
        <f t="shared" si="132"/>
        <v>4</v>
      </c>
      <c r="BV238" s="4" t="str">
        <f t="shared" si="133"/>
        <v>0</v>
      </c>
      <c r="BW238" s="4">
        <f t="shared" si="134"/>
        <v>6</v>
      </c>
      <c r="BX238" s="4">
        <f t="shared" si="135"/>
        <v>0</v>
      </c>
      <c r="BY238" s="4">
        <f t="shared" si="136"/>
        <v>0</v>
      </c>
      <c r="BZ238" s="37">
        <f t="shared" si="137"/>
        <v>80</v>
      </c>
      <c r="CA238" s="32" t="str">
        <f>VLOOKUP(J:J,'Agent wise'!A:C,3,0)</f>
        <v>Saran S</v>
      </c>
      <c r="CB238" s="32">
        <f t="shared" si="138"/>
        <v>45935</v>
      </c>
      <c r="CC238" t="str">
        <f t="shared" si="139"/>
        <v>FC</v>
      </c>
      <c r="CE238" s="32"/>
      <c r="CJ238">
        <f t="shared" si="140"/>
        <v>5</v>
      </c>
      <c r="CK238">
        <f t="shared" si="141"/>
        <v>10</v>
      </c>
      <c r="CL238">
        <f t="shared" si="142"/>
        <v>2025</v>
      </c>
    </row>
    <row r="239" spans="1:90" ht="15" customHeight="1" x14ac:dyDescent="0.35">
      <c r="A239" s="40">
        <v>45787.621006944442</v>
      </c>
      <c r="B239" t="s">
        <v>51</v>
      </c>
      <c r="C239" t="s">
        <v>214</v>
      </c>
      <c r="D239" t="s">
        <v>53</v>
      </c>
      <c r="E239" s="32">
        <v>45935</v>
      </c>
      <c r="F239" t="s">
        <v>90</v>
      </c>
      <c r="G239" s="2">
        <v>45757</v>
      </c>
      <c r="H239">
        <v>9443257700</v>
      </c>
      <c r="I239">
        <v>293</v>
      </c>
      <c r="J239" t="s">
        <v>472</v>
      </c>
      <c r="K239" t="s">
        <v>71</v>
      </c>
      <c r="L239" t="s">
        <v>72</v>
      </c>
      <c r="M239" t="s">
        <v>59</v>
      </c>
      <c r="N239" t="s">
        <v>59</v>
      </c>
      <c r="O239" t="s">
        <v>59</v>
      </c>
      <c r="P239" t="s">
        <v>59</v>
      </c>
      <c r="Q239" t="s">
        <v>59</v>
      </c>
      <c r="R239" t="s">
        <v>60</v>
      </c>
      <c r="S239" t="s">
        <v>59</v>
      </c>
      <c r="T239" t="s">
        <v>59</v>
      </c>
      <c r="U239" t="s">
        <v>59</v>
      </c>
      <c r="V239" t="s">
        <v>59</v>
      </c>
      <c r="W239" t="s">
        <v>59</v>
      </c>
      <c r="X239" t="s">
        <v>59</v>
      </c>
      <c r="Y239" t="s">
        <v>59</v>
      </c>
      <c r="Z239" t="s">
        <v>59</v>
      </c>
      <c r="AA239" t="s">
        <v>59</v>
      </c>
      <c r="AB239" t="s">
        <v>60</v>
      </c>
      <c r="AC239" t="s">
        <v>61</v>
      </c>
      <c r="AD239" t="s">
        <v>59</v>
      </c>
      <c r="AE239" t="s">
        <v>59</v>
      </c>
      <c r="AF239" t="s">
        <v>61</v>
      </c>
      <c r="AG239" t="s">
        <v>59</v>
      </c>
      <c r="AH239" t="s">
        <v>61</v>
      </c>
      <c r="AI239" t="s">
        <v>61</v>
      </c>
      <c r="AJ239" t="s">
        <v>59</v>
      </c>
      <c r="AK239" t="s">
        <v>61</v>
      </c>
      <c r="AL239" t="s">
        <v>60</v>
      </c>
      <c r="AM239" t="s">
        <v>59</v>
      </c>
      <c r="AN239" t="s">
        <v>59</v>
      </c>
      <c r="AO239" t="s">
        <v>59</v>
      </c>
      <c r="AP239" t="s">
        <v>743</v>
      </c>
      <c r="AQ239" t="s">
        <v>744</v>
      </c>
      <c r="AR239" t="s">
        <v>64</v>
      </c>
      <c r="AS239" t="s">
        <v>94</v>
      </c>
      <c r="AT239" t="s">
        <v>597</v>
      </c>
      <c r="AU239" t="s">
        <v>299</v>
      </c>
      <c r="AW239" s="4">
        <f t="shared" si="108"/>
        <v>6</v>
      </c>
      <c r="AX239" s="4">
        <f t="shared" si="109"/>
        <v>4</v>
      </c>
      <c r="AY239" s="4">
        <f t="shared" si="110"/>
        <v>4</v>
      </c>
      <c r="AZ239" s="4">
        <f t="shared" si="111"/>
        <v>2</v>
      </c>
      <c r="BA239" s="4">
        <f t="shared" si="112"/>
        <v>4</v>
      </c>
      <c r="BB239" s="4" t="str">
        <f t="shared" si="113"/>
        <v>0</v>
      </c>
      <c r="BC239" s="4">
        <f t="shared" si="114"/>
        <v>4</v>
      </c>
      <c r="BD239" s="4">
        <f t="shared" si="115"/>
        <v>2</v>
      </c>
      <c r="BE239" s="4">
        <f t="shared" si="116"/>
        <v>4</v>
      </c>
      <c r="BF239" s="4">
        <f t="shared" si="117"/>
        <v>2</v>
      </c>
      <c r="BG239" s="4">
        <f t="shared" si="118"/>
        <v>4</v>
      </c>
      <c r="BH239" s="4">
        <f t="shared" si="119"/>
        <v>4</v>
      </c>
      <c r="BI239" s="4">
        <f t="shared" si="120"/>
        <v>4</v>
      </c>
      <c r="BJ239" s="4">
        <f t="shared" si="121"/>
        <v>2</v>
      </c>
      <c r="BK239" s="4">
        <f t="shared" si="122"/>
        <v>4</v>
      </c>
      <c r="BL239" s="4" t="str">
        <f t="shared" si="123"/>
        <v>0</v>
      </c>
      <c r="BM239" s="4">
        <f t="shared" si="124"/>
        <v>4</v>
      </c>
      <c r="BN239" s="4">
        <f t="shared" si="125"/>
        <v>4</v>
      </c>
      <c r="BO239" s="4">
        <f t="shared" si="126"/>
        <v>4</v>
      </c>
      <c r="BP239" s="4">
        <f t="shared" si="127"/>
        <v>4</v>
      </c>
      <c r="BQ239" s="4">
        <f t="shared" si="128"/>
        <v>6</v>
      </c>
      <c r="BR239" s="4">
        <f t="shared" si="129"/>
        <v>4</v>
      </c>
      <c r="BS239" s="4">
        <f t="shared" si="130"/>
        <v>4</v>
      </c>
      <c r="BT239" s="4">
        <f t="shared" si="131"/>
        <v>4</v>
      </c>
      <c r="BU239" s="4">
        <f t="shared" si="132"/>
        <v>4</v>
      </c>
      <c r="BV239" s="4" t="str">
        <f t="shared" si="133"/>
        <v>0</v>
      </c>
      <c r="BW239" s="4">
        <f t="shared" si="134"/>
        <v>6</v>
      </c>
      <c r="BX239" s="4">
        <f t="shared" si="135"/>
        <v>0</v>
      </c>
      <c r="BY239" s="4">
        <f t="shared" si="136"/>
        <v>0</v>
      </c>
      <c r="BZ239" s="37">
        <f t="shared" si="137"/>
        <v>94</v>
      </c>
      <c r="CA239" s="32" t="str">
        <f>VLOOKUP(J:J,'Agent wise'!A:C,3,0)</f>
        <v>Saran S</v>
      </c>
      <c r="CB239" s="32">
        <f t="shared" si="138"/>
        <v>45935</v>
      </c>
      <c r="CC239" t="str">
        <f t="shared" si="139"/>
        <v>Good</v>
      </c>
      <c r="CE239" s="32"/>
      <c r="CJ239">
        <f t="shared" si="140"/>
        <v>5</v>
      </c>
      <c r="CK239">
        <f t="shared" si="141"/>
        <v>10</v>
      </c>
      <c r="CL239">
        <f t="shared" si="142"/>
        <v>2025</v>
      </c>
    </row>
    <row r="240" spans="1:90" ht="15" customHeight="1" x14ac:dyDescent="0.35">
      <c r="A240" s="40">
        <v>45787.629421296297</v>
      </c>
      <c r="B240" t="s">
        <v>250</v>
      </c>
      <c r="C240" t="s">
        <v>214</v>
      </c>
      <c r="D240" t="s">
        <v>251</v>
      </c>
      <c r="E240" s="32">
        <v>45935</v>
      </c>
      <c r="F240" t="s">
        <v>222</v>
      </c>
      <c r="G240" s="2">
        <v>45757</v>
      </c>
      <c r="H240">
        <v>9962809915</v>
      </c>
      <c r="I240">
        <v>151</v>
      </c>
      <c r="J240" t="s">
        <v>570</v>
      </c>
      <c r="K240" t="s">
        <v>71</v>
      </c>
      <c r="L240" t="s">
        <v>72</v>
      </c>
      <c r="M240" t="s">
        <v>59</v>
      </c>
      <c r="N240" t="s">
        <v>59</v>
      </c>
      <c r="O240" t="s">
        <v>59</v>
      </c>
      <c r="P240" t="s">
        <v>59</v>
      </c>
      <c r="Q240" t="s">
        <v>59</v>
      </c>
      <c r="R240" t="s">
        <v>59</v>
      </c>
      <c r="S240" t="s">
        <v>59</v>
      </c>
      <c r="T240" t="s">
        <v>59</v>
      </c>
      <c r="U240" t="s">
        <v>60</v>
      </c>
      <c r="V240" t="s">
        <v>59</v>
      </c>
      <c r="W240" t="s">
        <v>59</v>
      </c>
      <c r="X240" t="s">
        <v>59</v>
      </c>
      <c r="Y240" t="s">
        <v>59</v>
      </c>
      <c r="Z240" t="s">
        <v>59</v>
      </c>
      <c r="AA240" t="s">
        <v>60</v>
      </c>
      <c r="AB240" t="s">
        <v>59</v>
      </c>
      <c r="AC240" t="s">
        <v>59</v>
      </c>
      <c r="AD240" t="s">
        <v>59</v>
      </c>
      <c r="AE240" t="s">
        <v>59</v>
      </c>
      <c r="AF240" t="s">
        <v>59</v>
      </c>
      <c r="AG240" t="s">
        <v>59</v>
      </c>
      <c r="AH240" t="s">
        <v>61</v>
      </c>
      <c r="AI240" t="s">
        <v>61</v>
      </c>
      <c r="AJ240" t="s">
        <v>59</v>
      </c>
      <c r="AK240" t="s">
        <v>59</v>
      </c>
      <c r="AL240" t="s">
        <v>60</v>
      </c>
      <c r="AM240" t="s">
        <v>59</v>
      </c>
      <c r="AN240" t="s">
        <v>59</v>
      </c>
      <c r="AO240" t="s">
        <v>59</v>
      </c>
      <c r="AP240" t="s">
        <v>696</v>
      </c>
      <c r="AQ240" t="s">
        <v>745</v>
      </c>
      <c r="AR240" t="s">
        <v>226</v>
      </c>
      <c r="AS240" t="s">
        <v>746</v>
      </c>
      <c r="AT240" t="s">
        <v>404</v>
      </c>
      <c r="AU240" t="s">
        <v>219</v>
      </c>
      <c r="AW240" s="4">
        <f t="shared" si="108"/>
        <v>6</v>
      </c>
      <c r="AX240" s="4">
        <f t="shared" si="109"/>
        <v>4</v>
      </c>
      <c r="AY240" s="4">
        <f t="shared" si="110"/>
        <v>4</v>
      </c>
      <c r="AZ240" s="4">
        <f t="shared" si="111"/>
        <v>2</v>
      </c>
      <c r="BA240" s="4">
        <f t="shared" si="112"/>
        <v>4</v>
      </c>
      <c r="BB240" s="4">
        <f t="shared" si="113"/>
        <v>4</v>
      </c>
      <c r="BC240" s="4">
        <f t="shared" si="114"/>
        <v>4</v>
      </c>
      <c r="BD240" s="4">
        <f t="shared" si="115"/>
        <v>2</v>
      </c>
      <c r="BE240" s="4" t="str">
        <f t="shared" si="116"/>
        <v>0</v>
      </c>
      <c r="BF240" s="4">
        <f t="shared" si="117"/>
        <v>2</v>
      </c>
      <c r="BG240" s="4">
        <f t="shared" si="118"/>
        <v>4</v>
      </c>
      <c r="BH240" s="4">
        <f t="shared" si="119"/>
        <v>4</v>
      </c>
      <c r="BI240" s="4">
        <f t="shared" si="120"/>
        <v>4</v>
      </c>
      <c r="BJ240" s="4">
        <f t="shared" si="121"/>
        <v>2</v>
      </c>
      <c r="BK240" s="4" t="str">
        <f t="shared" si="122"/>
        <v>0</v>
      </c>
      <c r="BL240" s="4">
        <f t="shared" si="123"/>
        <v>2</v>
      </c>
      <c r="BM240" s="4">
        <f t="shared" si="124"/>
        <v>4</v>
      </c>
      <c r="BN240" s="4">
        <f t="shared" si="125"/>
        <v>4</v>
      </c>
      <c r="BO240" s="4">
        <f t="shared" si="126"/>
        <v>4</v>
      </c>
      <c r="BP240" s="4">
        <f t="shared" si="127"/>
        <v>4</v>
      </c>
      <c r="BQ240" s="4">
        <f t="shared" si="128"/>
        <v>6</v>
      </c>
      <c r="BR240" s="4">
        <f t="shared" si="129"/>
        <v>4</v>
      </c>
      <c r="BS240" s="4">
        <f t="shared" si="130"/>
        <v>4</v>
      </c>
      <c r="BT240" s="4">
        <f t="shared" si="131"/>
        <v>4</v>
      </c>
      <c r="BU240" s="4">
        <f t="shared" si="132"/>
        <v>4</v>
      </c>
      <c r="BV240" s="4" t="str">
        <f t="shared" si="133"/>
        <v>0</v>
      </c>
      <c r="BW240" s="4">
        <f t="shared" si="134"/>
        <v>6</v>
      </c>
      <c r="BX240" s="4">
        <f t="shared" si="135"/>
        <v>0</v>
      </c>
      <c r="BY240" s="4">
        <f t="shared" si="136"/>
        <v>0</v>
      </c>
      <c r="BZ240" s="37">
        <f t="shared" si="137"/>
        <v>92</v>
      </c>
      <c r="CA240" s="32" t="str">
        <f>VLOOKUP(J:J,'Agent wise'!A:C,3,0)</f>
        <v>Amal</v>
      </c>
      <c r="CB240" s="32">
        <f t="shared" si="138"/>
        <v>45935</v>
      </c>
      <c r="CC240" t="str">
        <f t="shared" si="139"/>
        <v>Good</v>
      </c>
      <c r="CE240" s="32"/>
      <c r="CJ240">
        <f t="shared" si="140"/>
        <v>5</v>
      </c>
      <c r="CK240">
        <f t="shared" si="141"/>
        <v>10</v>
      </c>
      <c r="CL240">
        <f t="shared" si="142"/>
        <v>2025</v>
      </c>
    </row>
    <row r="241" spans="1:90" ht="15" customHeight="1" x14ac:dyDescent="0.35">
      <c r="A241" s="40">
        <v>45787.629756944443</v>
      </c>
      <c r="B241" t="s">
        <v>100</v>
      </c>
      <c r="C241" t="s">
        <v>214</v>
      </c>
      <c r="D241" t="s">
        <v>101</v>
      </c>
      <c r="E241" s="32">
        <v>45935</v>
      </c>
      <c r="F241" t="s">
        <v>54</v>
      </c>
      <c r="G241" s="2">
        <v>45757</v>
      </c>
      <c r="H241">
        <v>9497655124</v>
      </c>
      <c r="I241">
        <v>158</v>
      </c>
      <c r="J241" t="s">
        <v>640</v>
      </c>
      <c r="K241" t="s">
        <v>57</v>
      </c>
      <c r="L241" t="s">
        <v>58</v>
      </c>
      <c r="M241" t="s">
        <v>59</v>
      </c>
      <c r="N241" t="s">
        <v>59</v>
      </c>
      <c r="O241" t="s">
        <v>59</v>
      </c>
      <c r="P241" t="s">
        <v>59</v>
      </c>
      <c r="Q241" t="s">
        <v>59</v>
      </c>
      <c r="R241" t="s">
        <v>60</v>
      </c>
      <c r="S241" t="s">
        <v>59</v>
      </c>
      <c r="T241" t="s">
        <v>59</v>
      </c>
      <c r="U241" t="s">
        <v>59</v>
      </c>
      <c r="V241" t="s">
        <v>59</v>
      </c>
      <c r="W241" t="s">
        <v>59</v>
      </c>
      <c r="X241" t="s">
        <v>59</v>
      </c>
      <c r="Y241" t="s">
        <v>59</v>
      </c>
      <c r="Z241" t="s">
        <v>59</v>
      </c>
      <c r="AA241" t="s">
        <v>59</v>
      </c>
      <c r="AB241" t="s">
        <v>59</v>
      </c>
      <c r="AC241" t="s">
        <v>59</v>
      </c>
      <c r="AD241" t="s">
        <v>59</v>
      </c>
      <c r="AE241" t="s">
        <v>60</v>
      </c>
      <c r="AF241" t="s">
        <v>59</v>
      </c>
      <c r="AG241" t="s">
        <v>59</v>
      </c>
      <c r="AH241" t="s">
        <v>59</v>
      </c>
      <c r="AI241" t="s">
        <v>61</v>
      </c>
      <c r="AJ241" t="s">
        <v>59</v>
      </c>
      <c r="AK241" t="s">
        <v>59</v>
      </c>
      <c r="AL241" t="s">
        <v>59</v>
      </c>
      <c r="AM241" t="s">
        <v>59</v>
      </c>
      <c r="AN241" t="s">
        <v>59</v>
      </c>
      <c r="AO241" t="s">
        <v>59</v>
      </c>
      <c r="AP241" t="s">
        <v>747</v>
      </c>
      <c r="AQ241" s="1" t="s">
        <v>748</v>
      </c>
      <c r="AR241" t="s">
        <v>64</v>
      </c>
      <c r="AS241" t="s">
        <v>89</v>
      </c>
      <c r="AT241" t="s">
        <v>293</v>
      </c>
      <c r="AU241" t="s">
        <v>219</v>
      </c>
      <c r="AW241" s="4">
        <f t="shared" si="108"/>
        <v>6</v>
      </c>
      <c r="AX241" s="4">
        <f t="shared" si="109"/>
        <v>4</v>
      </c>
      <c r="AY241" s="4">
        <f t="shared" si="110"/>
        <v>4</v>
      </c>
      <c r="AZ241" s="4">
        <f t="shared" si="111"/>
        <v>2</v>
      </c>
      <c r="BA241" s="4">
        <f t="shared" si="112"/>
        <v>4</v>
      </c>
      <c r="BB241" s="4" t="str">
        <f t="shared" si="113"/>
        <v>0</v>
      </c>
      <c r="BC241" s="4">
        <f t="shared" si="114"/>
        <v>4</v>
      </c>
      <c r="BD241" s="4">
        <f t="shared" si="115"/>
        <v>2</v>
      </c>
      <c r="BE241" s="4">
        <f t="shared" si="116"/>
        <v>4</v>
      </c>
      <c r="BF241" s="4">
        <f t="shared" si="117"/>
        <v>2</v>
      </c>
      <c r="BG241" s="4">
        <f t="shared" si="118"/>
        <v>4</v>
      </c>
      <c r="BH241" s="4">
        <f t="shared" si="119"/>
        <v>4</v>
      </c>
      <c r="BI241" s="4">
        <f t="shared" si="120"/>
        <v>4</v>
      </c>
      <c r="BJ241" s="4">
        <f t="shared" si="121"/>
        <v>2</v>
      </c>
      <c r="BK241" s="4">
        <f t="shared" si="122"/>
        <v>4</v>
      </c>
      <c r="BL241" s="4">
        <f t="shared" si="123"/>
        <v>2</v>
      </c>
      <c r="BM241" s="4">
        <f t="shared" si="124"/>
        <v>4</v>
      </c>
      <c r="BN241" s="4">
        <f t="shared" si="125"/>
        <v>4</v>
      </c>
      <c r="BO241" s="4" t="str">
        <f t="shared" si="126"/>
        <v>0</v>
      </c>
      <c r="BP241" s="4">
        <f t="shared" si="127"/>
        <v>4</v>
      </c>
      <c r="BQ241" s="4">
        <f t="shared" si="128"/>
        <v>6</v>
      </c>
      <c r="BR241" s="4">
        <f t="shared" si="129"/>
        <v>4</v>
      </c>
      <c r="BS241" s="4">
        <f t="shared" si="130"/>
        <v>4</v>
      </c>
      <c r="BT241" s="4">
        <f t="shared" si="131"/>
        <v>4</v>
      </c>
      <c r="BU241" s="4">
        <f t="shared" si="132"/>
        <v>4</v>
      </c>
      <c r="BV241" s="4">
        <f t="shared" si="133"/>
        <v>0</v>
      </c>
      <c r="BW241" s="4">
        <f t="shared" si="134"/>
        <v>6</v>
      </c>
      <c r="BX241" s="4">
        <f t="shared" si="135"/>
        <v>0</v>
      </c>
      <c r="BY241" s="4">
        <f t="shared" si="136"/>
        <v>0</v>
      </c>
      <c r="BZ241" s="37">
        <f t="shared" si="137"/>
        <v>92</v>
      </c>
      <c r="CA241" s="32" t="str">
        <f>VLOOKUP(J:J,'Agent wise'!A:C,3,0)</f>
        <v>Adharsh</v>
      </c>
      <c r="CB241" s="32">
        <f t="shared" si="138"/>
        <v>45935</v>
      </c>
      <c r="CC241" t="str">
        <f t="shared" si="139"/>
        <v>Good</v>
      </c>
      <c r="CE241" s="32"/>
      <c r="CJ241">
        <f t="shared" si="140"/>
        <v>5</v>
      </c>
      <c r="CK241">
        <f t="shared" si="141"/>
        <v>10</v>
      </c>
      <c r="CL241">
        <f t="shared" si="142"/>
        <v>2025</v>
      </c>
    </row>
    <row r="242" spans="1:90" ht="15" customHeight="1" x14ac:dyDescent="0.35">
      <c r="A242" s="40">
        <v>45787.632407407407</v>
      </c>
      <c r="B242" t="s">
        <v>100</v>
      </c>
      <c r="C242" t="s">
        <v>214</v>
      </c>
      <c r="D242" t="s">
        <v>101</v>
      </c>
      <c r="E242" s="32">
        <v>45935</v>
      </c>
      <c r="F242" t="s">
        <v>54</v>
      </c>
      <c r="G242" s="2">
        <v>45757</v>
      </c>
      <c r="H242">
        <v>9865341207</v>
      </c>
      <c r="I242">
        <v>136</v>
      </c>
      <c r="J242" t="s">
        <v>749</v>
      </c>
      <c r="K242" t="s">
        <v>71</v>
      </c>
      <c r="L242" t="s">
        <v>72</v>
      </c>
      <c r="M242" t="s">
        <v>59</v>
      </c>
      <c r="N242" t="s">
        <v>59</v>
      </c>
      <c r="O242" t="s">
        <v>59</v>
      </c>
      <c r="P242" t="s">
        <v>59</v>
      </c>
      <c r="Q242" t="s">
        <v>59</v>
      </c>
      <c r="R242" t="s">
        <v>60</v>
      </c>
      <c r="S242" t="s">
        <v>59</v>
      </c>
      <c r="T242" t="s">
        <v>59</v>
      </c>
      <c r="U242" t="s">
        <v>59</v>
      </c>
      <c r="V242" t="s">
        <v>59</v>
      </c>
      <c r="W242" t="s">
        <v>59</v>
      </c>
      <c r="X242" t="s">
        <v>59</v>
      </c>
      <c r="Y242" t="s">
        <v>59</v>
      </c>
      <c r="Z242" t="s">
        <v>59</v>
      </c>
      <c r="AA242" t="s">
        <v>60</v>
      </c>
      <c r="AB242" t="s">
        <v>59</v>
      </c>
      <c r="AC242" t="s">
        <v>59</v>
      </c>
      <c r="AD242" t="s">
        <v>59</v>
      </c>
      <c r="AE242" t="s">
        <v>59</v>
      </c>
      <c r="AF242" t="s">
        <v>59</v>
      </c>
      <c r="AG242" t="s">
        <v>59</v>
      </c>
      <c r="AH242" t="s">
        <v>59</v>
      </c>
      <c r="AI242" t="s">
        <v>61</v>
      </c>
      <c r="AJ242" t="s">
        <v>59</v>
      </c>
      <c r="AK242" t="s">
        <v>59</v>
      </c>
      <c r="AL242" t="s">
        <v>59</v>
      </c>
      <c r="AM242" t="s">
        <v>59</v>
      </c>
      <c r="AN242" t="s">
        <v>59</v>
      </c>
      <c r="AO242" t="s">
        <v>59</v>
      </c>
      <c r="AP242" t="s">
        <v>750</v>
      </c>
      <c r="AQ242" s="1" t="s">
        <v>751</v>
      </c>
      <c r="AR242" t="s">
        <v>64</v>
      </c>
      <c r="AS242" t="s">
        <v>152</v>
      </c>
      <c r="AT242" t="s">
        <v>267</v>
      </c>
      <c r="AU242" t="s">
        <v>219</v>
      </c>
      <c r="AW242" s="4">
        <f t="shared" si="108"/>
        <v>6</v>
      </c>
      <c r="AX242" s="4">
        <f t="shared" si="109"/>
        <v>4</v>
      </c>
      <c r="AY242" s="4">
        <f t="shared" si="110"/>
        <v>4</v>
      </c>
      <c r="AZ242" s="4">
        <f t="shared" si="111"/>
        <v>2</v>
      </c>
      <c r="BA242" s="4">
        <f t="shared" si="112"/>
        <v>4</v>
      </c>
      <c r="BB242" s="4" t="str">
        <f t="shared" si="113"/>
        <v>0</v>
      </c>
      <c r="BC242" s="4">
        <f t="shared" si="114"/>
        <v>4</v>
      </c>
      <c r="BD242" s="4">
        <f t="shared" si="115"/>
        <v>2</v>
      </c>
      <c r="BE242" s="4">
        <f t="shared" si="116"/>
        <v>4</v>
      </c>
      <c r="BF242" s="4">
        <f t="shared" si="117"/>
        <v>2</v>
      </c>
      <c r="BG242" s="4">
        <f t="shared" si="118"/>
        <v>4</v>
      </c>
      <c r="BH242" s="4">
        <f t="shared" si="119"/>
        <v>4</v>
      </c>
      <c r="BI242" s="4">
        <f t="shared" si="120"/>
        <v>4</v>
      </c>
      <c r="BJ242" s="4">
        <f t="shared" si="121"/>
        <v>2</v>
      </c>
      <c r="BK242" s="4" t="str">
        <f t="shared" si="122"/>
        <v>0</v>
      </c>
      <c r="BL242" s="4">
        <f t="shared" si="123"/>
        <v>2</v>
      </c>
      <c r="BM242" s="4">
        <f t="shared" si="124"/>
        <v>4</v>
      </c>
      <c r="BN242" s="4">
        <f t="shared" si="125"/>
        <v>4</v>
      </c>
      <c r="BO242" s="4">
        <f t="shared" si="126"/>
        <v>4</v>
      </c>
      <c r="BP242" s="4">
        <f t="shared" si="127"/>
        <v>4</v>
      </c>
      <c r="BQ242" s="4">
        <f t="shared" si="128"/>
        <v>6</v>
      </c>
      <c r="BR242" s="4">
        <f t="shared" si="129"/>
        <v>4</v>
      </c>
      <c r="BS242" s="4">
        <f t="shared" si="130"/>
        <v>4</v>
      </c>
      <c r="BT242" s="4">
        <f t="shared" si="131"/>
        <v>4</v>
      </c>
      <c r="BU242" s="4">
        <f t="shared" si="132"/>
        <v>4</v>
      </c>
      <c r="BV242" s="4">
        <f t="shared" si="133"/>
        <v>0</v>
      </c>
      <c r="BW242" s="4">
        <f t="shared" si="134"/>
        <v>6</v>
      </c>
      <c r="BX242" s="4">
        <f t="shared" si="135"/>
        <v>0</v>
      </c>
      <c r="BY242" s="4">
        <f t="shared" si="136"/>
        <v>0</v>
      </c>
      <c r="BZ242" s="37">
        <f t="shared" si="137"/>
        <v>92</v>
      </c>
      <c r="CA242" s="32" t="str">
        <f>VLOOKUP(J:J,'Agent wise'!A:C,3,0)</f>
        <v xml:space="preserve">Shiny </v>
      </c>
      <c r="CB242" s="32">
        <f t="shared" si="138"/>
        <v>45935</v>
      </c>
      <c r="CC242" t="str">
        <f t="shared" si="139"/>
        <v>Good</v>
      </c>
      <c r="CE242" s="32"/>
      <c r="CJ242">
        <f t="shared" si="140"/>
        <v>5</v>
      </c>
      <c r="CK242">
        <f t="shared" si="141"/>
        <v>10</v>
      </c>
      <c r="CL242">
        <f t="shared" si="142"/>
        <v>2025</v>
      </c>
    </row>
    <row r="243" spans="1:90" ht="15" customHeight="1" x14ac:dyDescent="0.35">
      <c r="A243" s="40">
        <v>45787.63244212963</v>
      </c>
      <c r="B243" t="s">
        <v>250</v>
      </c>
      <c r="C243" t="s">
        <v>214</v>
      </c>
      <c r="D243" t="s">
        <v>251</v>
      </c>
      <c r="E243" s="32">
        <v>45935</v>
      </c>
      <c r="F243" t="s">
        <v>222</v>
      </c>
      <c r="G243" s="2">
        <v>45757</v>
      </c>
      <c r="H243">
        <v>9995491945</v>
      </c>
      <c r="I243">
        <v>159</v>
      </c>
      <c r="J243" t="s">
        <v>246</v>
      </c>
      <c r="K243" t="s">
        <v>57</v>
      </c>
      <c r="L243" t="s">
        <v>58</v>
      </c>
      <c r="M243" t="s">
        <v>59</v>
      </c>
      <c r="N243" t="s">
        <v>59</v>
      </c>
      <c r="O243" t="s">
        <v>59</v>
      </c>
      <c r="P243" t="s">
        <v>59</v>
      </c>
      <c r="Q243" t="s">
        <v>59</v>
      </c>
      <c r="R243" t="s">
        <v>59</v>
      </c>
      <c r="S243" t="s">
        <v>59</v>
      </c>
      <c r="T243" t="s">
        <v>59</v>
      </c>
      <c r="U243" t="s">
        <v>59</v>
      </c>
      <c r="V243" t="s">
        <v>59</v>
      </c>
      <c r="W243" t="s">
        <v>59</v>
      </c>
      <c r="X243" t="s">
        <v>59</v>
      </c>
      <c r="Y243" t="s">
        <v>59</v>
      </c>
      <c r="Z243" t="s">
        <v>59</v>
      </c>
      <c r="AA243" t="s">
        <v>59</v>
      </c>
      <c r="AB243" t="s">
        <v>59</v>
      </c>
      <c r="AC243" t="s">
        <v>59</v>
      </c>
      <c r="AD243" t="s">
        <v>59</v>
      </c>
      <c r="AE243" t="s">
        <v>59</v>
      </c>
      <c r="AF243" t="s">
        <v>59</v>
      </c>
      <c r="AG243" t="s">
        <v>59</v>
      </c>
      <c r="AH243" t="s">
        <v>61</v>
      </c>
      <c r="AI243" t="s">
        <v>61</v>
      </c>
      <c r="AJ243" t="s">
        <v>59</v>
      </c>
      <c r="AK243" t="s">
        <v>59</v>
      </c>
      <c r="AL243" t="s">
        <v>59</v>
      </c>
      <c r="AM243" t="s">
        <v>59</v>
      </c>
      <c r="AN243" t="s">
        <v>59</v>
      </c>
      <c r="AO243" t="s">
        <v>59</v>
      </c>
      <c r="AP243" t="s">
        <v>460</v>
      </c>
      <c r="AQ243" t="s">
        <v>752</v>
      </c>
      <c r="AR243" t="s">
        <v>64</v>
      </c>
      <c r="AS243" t="s">
        <v>402</v>
      </c>
      <c r="AT243" t="s">
        <v>687</v>
      </c>
      <c r="AU243" t="s">
        <v>219</v>
      </c>
      <c r="AW243" s="4">
        <f t="shared" si="108"/>
        <v>6</v>
      </c>
      <c r="AX243" s="4">
        <f t="shared" si="109"/>
        <v>4</v>
      </c>
      <c r="AY243" s="4">
        <f t="shared" si="110"/>
        <v>4</v>
      </c>
      <c r="AZ243" s="4">
        <f t="shared" si="111"/>
        <v>2</v>
      </c>
      <c r="BA243" s="4">
        <f t="shared" si="112"/>
        <v>4</v>
      </c>
      <c r="BB243" s="4">
        <f t="shared" si="113"/>
        <v>4</v>
      </c>
      <c r="BC243" s="4">
        <f t="shared" si="114"/>
        <v>4</v>
      </c>
      <c r="BD243" s="4">
        <f t="shared" si="115"/>
        <v>2</v>
      </c>
      <c r="BE243" s="4">
        <f t="shared" si="116"/>
        <v>4</v>
      </c>
      <c r="BF243" s="4">
        <f t="shared" si="117"/>
        <v>2</v>
      </c>
      <c r="BG243" s="4">
        <f t="shared" si="118"/>
        <v>4</v>
      </c>
      <c r="BH243" s="4">
        <f t="shared" si="119"/>
        <v>4</v>
      </c>
      <c r="BI243" s="4">
        <f t="shared" si="120"/>
        <v>4</v>
      </c>
      <c r="BJ243" s="4">
        <f t="shared" si="121"/>
        <v>2</v>
      </c>
      <c r="BK243" s="4">
        <f t="shared" si="122"/>
        <v>4</v>
      </c>
      <c r="BL243" s="4">
        <f t="shared" si="123"/>
        <v>2</v>
      </c>
      <c r="BM243" s="4">
        <f t="shared" si="124"/>
        <v>4</v>
      </c>
      <c r="BN243" s="4">
        <f t="shared" si="125"/>
        <v>4</v>
      </c>
      <c r="BO243" s="4">
        <f t="shared" si="126"/>
        <v>4</v>
      </c>
      <c r="BP243" s="4">
        <f t="shared" si="127"/>
        <v>4</v>
      </c>
      <c r="BQ243" s="4">
        <f t="shared" si="128"/>
        <v>6</v>
      </c>
      <c r="BR243" s="4">
        <f t="shared" si="129"/>
        <v>4</v>
      </c>
      <c r="BS243" s="4">
        <f t="shared" si="130"/>
        <v>4</v>
      </c>
      <c r="BT243" s="4">
        <f t="shared" si="131"/>
        <v>4</v>
      </c>
      <c r="BU243" s="4">
        <f t="shared" si="132"/>
        <v>4</v>
      </c>
      <c r="BV243" s="4">
        <f t="shared" si="133"/>
        <v>0</v>
      </c>
      <c r="BW243" s="4">
        <f t="shared" si="134"/>
        <v>6</v>
      </c>
      <c r="BX243" s="4">
        <f t="shared" si="135"/>
        <v>0</v>
      </c>
      <c r="BY243" s="4">
        <f t="shared" si="136"/>
        <v>0</v>
      </c>
      <c r="BZ243" s="37">
        <f t="shared" si="137"/>
        <v>100</v>
      </c>
      <c r="CA243" s="32" t="str">
        <f>VLOOKUP(J:J,'Agent wise'!A:C,3,0)</f>
        <v>Amal</v>
      </c>
      <c r="CB243" s="32">
        <f t="shared" si="138"/>
        <v>45935</v>
      </c>
      <c r="CC243" t="str">
        <f t="shared" si="139"/>
        <v>Excellent</v>
      </c>
      <c r="CE243" s="32"/>
      <c r="CJ243">
        <f t="shared" si="140"/>
        <v>5</v>
      </c>
      <c r="CK243">
        <f t="shared" si="141"/>
        <v>10</v>
      </c>
      <c r="CL243">
        <f t="shared" si="142"/>
        <v>2025</v>
      </c>
    </row>
    <row r="244" spans="1:90" ht="15" customHeight="1" x14ac:dyDescent="0.35">
      <c r="A244" s="40">
        <v>45787.639780092592</v>
      </c>
      <c r="B244" t="s">
        <v>250</v>
      </c>
      <c r="C244" t="s">
        <v>214</v>
      </c>
      <c r="D244" t="s">
        <v>251</v>
      </c>
      <c r="E244" s="32">
        <v>45935</v>
      </c>
      <c r="F244" t="s">
        <v>222</v>
      </c>
      <c r="G244" s="2">
        <v>45757</v>
      </c>
      <c r="H244">
        <v>8086285674</v>
      </c>
      <c r="I244">
        <v>172</v>
      </c>
      <c r="J244" t="s">
        <v>409</v>
      </c>
      <c r="K244" t="s">
        <v>57</v>
      </c>
      <c r="L244" t="s">
        <v>58</v>
      </c>
      <c r="M244" t="s">
        <v>59</v>
      </c>
      <c r="N244" t="s">
        <v>59</v>
      </c>
      <c r="O244" t="s">
        <v>59</v>
      </c>
      <c r="P244" t="s">
        <v>59</v>
      </c>
      <c r="Q244" t="s">
        <v>59</v>
      </c>
      <c r="R244" t="s">
        <v>59</v>
      </c>
      <c r="S244" t="s">
        <v>59</v>
      </c>
      <c r="T244" t="s">
        <v>59</v>
      </c>
      <c r="U244" t="s">
        <v>60</v>
      </c>
      <c r="V244" t="s">
        <v>59</v>
      </c>
      <c r="W244" t="s">
        <v>59</v>
      </c>
      <c r="X244" t="s">
        <v>59</v>
      </c>
      <c r="Y244" t="s">
        <v>59</v>
      </c>
      <c r="Z244" t="s">
        <v>59</v>
      </c>
      <c r="AA244" t="s">
        <v>59</v>
      </c>
      <c r="AB244" t="s">
        <v>59</v>
      </c>
      <c r="AC244" t="s">
        <v>59</v>
      </c>
      <c r="AD244" t="s">
        <v>59</v>
      </c>
      <c r="AE244" t="s">
        <v>59</v>
      </c>
      <c r="AF244" t="s">
        <v>59</v>
      </c>
      <c r="AG244" t="s">
        <v>59</v>
      </c>
      <c r="AH244" t="s">
        <v>61</v>
      </c>
      <c r="AI244" t="s">
        <v>60</v>
      </c>
      <c r="AJ244" t="s">
        <v>59</v>
      </c>
      <c r="AK244" t="s">
        <v>59</v>
      </c>
      <c r="AL244" t="s">
        <v>60</v>
      </c>
      <c r="AM244" t="s">
        <v>59</v>
      </c>
      <c r="AN244" t="s">
        <v>59</v>
      </c>
      <c r="AO244" t="s">
        <v>59</v>
      </c>
      <c r="AP244" t="s">
        <v>753</v>
      </c>
      <c r="AQ244" t="s">
        <v>754</v>
      </c>
      <c r="AR244" t="s">
        <v>64</v>
      </c>
      <c r="AS244" t="s">
        <v>695</v>
      </c>
      <c r="AT244" t="s">
        <v>331</v>
      </c>
      <c r="AU244" t="s">
        <v>219</v>
      </c>
      <c r="AW244" s="4">
        <f t="shared" si="108"/>
        <v>6</v>
      </c>
      <c r="AX244" s="4">
        <f t="shared" si="109"/>
        <v>4</v>
      </c>
      <c r="AY244" s="4">
        <f t="shared" si="110"/>
        <v>4</v>
      </c>
      <c r="AZ244" s="4">
        <f t="shared" si="111"/>
        <v>2</v>
      </c>
      <c r="BA244" s="4">
        <f t="shared" si="112"/>
        <v>4</v>
      </c>
      <c r="BB244" s="4">
        <f t="shared" si="113"/>
        <v>4</v>
      </c>
      <c r="BC244" s="4">
        <f t="shared" si="114"/>
        <v>4</v>
      </c>
      <c r="BD244" s="4">
        <f t="shared" si="115"/>
        <v>2</v>
      </c>
      <c r="BE244" s="4" t="str">
        <f t="shared" si="116"/>
        <v>0</v>
      </c>
      <c r="BF244" s="4">
        <f t="shared" si="117"/>
        <v>2</v>
      </c>
      <c r="BG244" s="4">
        <f t="shared" si="118"/>
        <v>4</v>
      </c>
      <c r="BH244" s="4">
        <f t="shared" si="119"/>
        <v>4</v>
      </c>
      <c r="BI244" s="4">
        <f t="shared" si="120"/>
        <v>4</v>
      </c>
      <c r="BJ244" s="4">
        <f t="shared" si="121"/>
        <v>2</v>
      </c>
      <c r="BK244" s="4">
        <f t="shared" si="122"/>
        <v>4</v>
      </c>
      <c r="BL244" s="4">
        <f t="shared" si="123"/>
        <v>2</v>
      </c>
      <c r="BM244" s="4">
        <f t="shared" si="124"/>
        <v>4</v>
      </c>
      <c r="BN244" s="4">
        <f t="shared" si="125"/>
        <v>4</v>
      </c>
      <c r="BO244" s="4">
        <f t="shared" si="126"/>
        <v>4</v>
      </c>
      <c r="BP244" s="4">
        <f t="shared" si="127"/>
        <v>4</v>
      </c>
      <c r="BQ244" s="4">
        <f t="shared" si="128"/>
        <v>6</v>
      </c>
      <c r="BR244" s="4">
        <f t="shared" si="129"/>
        <v>4</v>
      </c>
      <c r="BS244" s="4" t="str">
        <f t="shared" si="130"/>
        <v>0</v>
      </c>
      <c r="BT244" s="4">
        <f t="shared" si="131"/>
        <v>4</v>
      </c>
      <c r="BU244" s="4">
        <f t="shared" si="132"/>
        <v>4</v>
      </c>
      <c r="BV244" s="4" t="str">
        <f t="shared" si="133"/>
        <v>0</v>
      </c>
      <c r="BW244" s="4">
        <f t="shared" si="134"/>
        <v>6</v>
      </c>
      <c r="BX244" s="4">
        <f t="shared" si="135"/>
        <v>0</v>
      </c>
      <c r="BY244" s="4">
        <f t="shared" si="136"/>
        <v>0</v>
      </c>
      <c r="BZ244" s="37">
        <f t="shared" si="137"/>
        <v>92</v>
      </c>
      <c r="CA244" s="32" t="str">
        <f>VLOOKUP(J:J,'Agent wise'!A:C,3,0)</f>
        <v>Amal</v>
      </c>
      <c r="CB244" s="32">
        <f t="shared" si="138"/>
        <v>45935</v>
      </c>
      <c r="CC244" t="str">
        <f t="shared" si="139"/>
        <v>Good</v>
      </c>
      <c r="CE244" s="32"/>
      <c r="CJ244">
        <f t="shared" si="140"/>
        <v>5</v>
      </c>
      <c r="CK244">
        <f t="shared" si="141"/>
        <v>10</v>
      </c>
      <c r="CL244">
        <f t="shared" si="142"/>
        <v>2025</v>
      </c>
    </row>
    <row r="245" spans="1:90" ht="15" customHeight="1" x14ac:dyDescent="0.35">
      <c r="A245" s="40">
        <v>45787.641331018523</v>
      </c>
      <c r="B245" t="s">
        <v>250</v>
      </c>
      <c r="C245" t="s">
        <v>214</v>
      </c>
      <c r="D245" t="s">
        <v>251</v>
      </c>
      <c r="E245" s="32">
        <v>45935</v>
      </c>
      <c r="F245" t="s">
        <v>222</v>
      </c>
      <c r="G245" s="2">
        <v>45757</v>
      </c>
      <c r="H245">
        <v>9947534410</v>
      </c>
      <c r="I245">
        <v>152</v>
      </c>
      <c r="J245" t="s">
        <v>234</v>
      </c>
      <c r="K245" t="s">
        <v>57</v>
      </c>
      <c r="L245" t="s">
        <v>58</v>
      </c>
      <c r="M245" t="s">
        <v>59</v>
      </c>
      <c r="N245" t="s">
        <v>59</v>
      </c>
      <c r="O245" t="s">
        <v>59</v>
      </c>
      <c r="P245" t="s">
        <v>59</v>
      </c>
      <c r="Q245" t="s">
        <v>59</v>
      </c>
      <c r="R245" t="s">
        <v>59</v>
      </c>
      <c r="S245" t="s">
        <v>59</v>
      </c>
      <c r="T245" t="s">
        <v>59</v>
      </c>
      <c r="U245" t="s">
        <v>59</v>
      </c>
      <c r="V245" t="s">
        <v>59</v>
      </c>
      <c r="W245" t="s">
        <v>59</v>
      </c>
      <c r="X245" t="s">
        <v>59</v>
      </c>
      <c r="Y245" t="s">
        <v>59</v>
      </c>
      <c r="Z245" t="s">
        <v>59</v>
      </c>
      <c r="AA245" t="s">
        <v>59</v>
      </c>
      <c r="AB245" t="s">
        <v>59</v>
      </c>
      <c r="AC245" t="s">
        <v>59</v>
      </c>
      <c r="AD245" t="s">
        <v>59</v>
      </c>
      <c r="AE245" t="s">
        <v>59</v>
      </c>
      <c r="AF245" t="s">
        <v>59</v>
      </c>
      <c r="AG245" t="s">
        <v>59</v>
      </c>
      <c r="AH245" t="s">
        <v>61</v>
      </c>
      <c r="AI245" t="s">
        <v>61</v>
      </c>
      <c r="AJ245" t="s">
        <v>59</v>
      </c>
      <c r="AK245" t="s">
        <v>59</v>
      </c>
      <c r="AL245" t="s">
        <v>59</v>
      </c>
      <c r="AM245" t="s">
        <v>59</v>
      </c>
      <c r="AN245" t="s">
        <v>59</v>
      </c>
      <c r="AO245" t="s">
        <v>59</v>
      </c>
      <c r="AP245" s="1" t="s">
        <v>755</v>
      </c>
      <c r="AQ245" t="s">
        <v>756</v>
      </c>
      <c r="AR245" t="s">
        <v>226</v>
      </c>
      <c r="AS245" t="s">
        <v>695</v>
      </c>
      <c r="AT245" t="s">
        <v>331</v>
      </c>
      <c r="AU245" t="s">
        <v>219</v>
      </c>
      <c r="AW245" s="4">
        <f t="shared" si="108"/>
        <v>6</v>
      </c>
      <c r="AX245" s="4">
        <f t="shared" si="109"/>
        <v>4</v>
      </c>
      <c r="AY245" s="4">
        <f t="shared" si="110"/>
        <v>4</v>
      </c>
      <c r="AZ245" s="4">
        <f t="shared" si="111"/>
        <v>2</v>
      </c>
      <c r="BA245" s="4">
        <f t="shared" si="112"/>
        <v>4</v>
      </c>
      <c r="BB245" s="4">
        <f t="shared" si="113"/>
        <v>4</v>
      </c>
      <c r="BC245" s="4">
        <f t="shared" si="114"/>
        <v>4</v>
      </c>
      <c r="BD245" s="4">
        <f t="shared" si="115"/>
        <v>2</v>
      </c>
      <c r="BE245" s="4">
        <f t="shared" si="116"/>
        <v>4</v>
      </c>
      <c r="BF245" s="4">
        <f t="shared" si="117"/>
        <v>2</v>
      </c>
      <c r="BG245" s="4">
        <f t="shared" si="118"/>
        <v>4</v>
      </c>
      <c r="BH245" s="4">
        <f t="shared" si="119"/>
        <v>4</v>
      </c>
      <c r="BI245" s="4">
        <f t="shared" si="120"/>
        <v>4</v>
      </c>
      <c r="BJ245" s="4">
        <f t="shared" si="121"/>
        <v>2</v>
      </c>
      <c r="BK245" s="4">
        <f t="shared" si="122"/>
        <v>4</v>
      </c>
      <c r="BL245" s="4">
        <f t="shared" si="123"/>
        <v>2</v>
      </c>
      <c r="BM245" s="4">
        <f t="shared" si="124"/>
        <v>4</v>
      </c>
      <c r="BN245" s="4">
        <f t="shared" si="125"/>
        <v>4</v>
      </c>
      <c r="BO245" s="4">
        <f t="shared" si="126"/>
        <v>4</v>
      </c>
      <c r="BP245" s="4">
        <f t="shared" si="127"/>
        <v>4</v>
      </c>
      <c r="BQ245" s="4">
        <f t="shared" si="128"/>
        <v>6</v>
      </c>
      <c r="BR245" s="4">
        <f t="shared" si="129"/>
        <v>4</v>
      </c>
      <c r="BS245" s="4">
        <f t="shared" si="130"/>
        <v>4</v>
      </c>
      <c r="BT245" s="4">
        <f t="shared" si="131"/>
        <v>4</v>
      </c>
      <c r="BU245" s="4">
        <f t="shared" si="132"/>
        <v>4</v>
      </c>
      <c r="BV245" s="4">
        <f t="shared" si="133"/>
        <v>0</v>
      </c>
      <c r="BW245" s="4">
        <f t="shared" si="134"/>
        <v>6</v>
      </c>
      <c r="BX245" s="4">
        <f t="shared" si="135"/>
        <v>0</v>
      </c>
      <c r="BY245" s="4">
        <f t="shared" si="136"/>
        <v>0</v>
      </c>
      <c r="BZ245" s="37">
        <f t="shared" si="137"/>
        <v>100</v>
      </c>
      <c r="CA245" s="32" t="str">
        <f>VLOOKUP(J:J,'Agent wise'!A:C,3,0)</f>
        <v>Amal</v>
      </c>
      <c r="CB245" s="32">
        <f t="shared" si="138"/>
        <v>45935</v>
      </c>
      <c r="CC245" t="str">
        <f t="shared" si="139"/>
        <v>Excellent</v>
      </c>
      <c r="CE245" s="32"/>
      <c r="CJ245">
        <f t="shared" si="140"/>
        <v>5</v>
      </c>
      <c r="CK245">
        <f t="shared" si="141"/>
        <v>10</v>
      </c>
      <c r="CL245">
        <f t="shared" si="142"/>
        <v>2025</v>
      </c>
    </row>
    <row r="246" spans="1:90" ht="15" customHeight="1" x14ac:dyDescent="0.35">
      <c r="A246" s="40">
        <v>45787.649016203701</v>
      </c>
      <c r="B246" t="s">
        <v>250</v>
      </c>
      <c r="C246" t="s">
        <v>214</v>
      </c>
      <c r="D246" t="s">
        <v>251</v>
      </c>
      <c r="E246" s="32">
        <v>45935</v>
      </c>
      <c r="F246" t="s">
        <v>222</v>
      </c>
      <c r="G246" s="2">
        <v>45757</v>
      </c>
      <c r="H246">
        <v>9150112662</v>
      </c>
      <c r="I246">
        <v>163</v>
      </c>
      <c r="J246" t="s">
        <v>439</v>
      </c>
      <c r="K246" t="s">
        <v>71</v>
      </c>
      <c r="L246" t="s">
        <v>72</v>
      </c>
      <c r="M246" t="s">
        <v>59</v>
      </c>
      <c r="N246" t="s">
        <v>59</v>
      </c>
      <c r="O246" t="s">
        <v>59</v>
      </c>
      <c r="P246" t="s">
        <v>59</v>
      </c>
      <c r="Q246" t="s">
        <v>59</v>
      </c>
      <c r="R246" t="s">
        <v>59</v>
      </c>
      <c r="S246" t="s">
        <v>59</v>
      </c>
      <c r="T246" t="s">
        <v>59</v>
      </c>
      <c r="U246" t="s">
        <v>60</v>
      </c>
      <c r="V246" t="s">
        <v>59</v>
      </c>
      <c r="W246" t="s">
        <v>59</v>
      </c>
      <c r="X246" t="s">
        <v>59</v>
      </c>
      <c r="Y246" t="s">
        <v>59</v>
      </c>
      <c r="Z246" t="s">
        <v>60</v>
      </c>
      <c r="AA246" t="s">
        <v>59</v>
      </c>
      <c r="AB246" t="s">
        <v>60</v>
      </c>
      <c r="AC246" t="s">
        <v>60</v>
      </c>
      <c r="AD246" t="s">
        <v>59</v>
      </c>
      <c r="AE246" t="s">
        <v>59</v>
      </c>
      <c r="AF246" t="s">
        <v>59</v>
      </c>
      <c r="AG246" t="s">
        <v>59</v>
      </c>
      <c r="AH246" t="s">
        <v>61</v>
      </c>
      <c r="AI246" t="s">
        <v>61</v>
      </c>
      <c r="AJ246" t="s">
        <v>59</v>
      </c>
      <c r="AK246" t="s">
        <v>59</v>
      </c>
      <c r="AL246" t="s">
        <v>60</v>
      </c>
      <c r="AM246" t="s">
        <v>59</v>
      </c>
      <c r="AN246" t="s">
        <v>59</v>
      </c>
      <c r="AO246" t="s">
        <v>59</v>
      </c>
      <c r="AP246" t="s">
        <v>757</v>
      </c>
      <c r="AQ246" t="s">
        <v>758</v>
      </c>
      <c r="AR246" t="s">
        <v>226</v>
      </c>
      <c r="AS246" t="s">
        <v>249</v>
      </c>
      <c r="AT246" t="s">
        <v>404</v>
      </c>
      <c r="AU246" t="s">
        <v>219</v>
      </c>
      <c r="AW246" s="4">
        <f t="shared" si="108"/>
        <v>6</v>
      </c>
      <c r="AX246" s="4">
        <f t="shared" si="109"/>
        <v>4</v>
      </c>
      <c r="AY246" s="4">
        <f t="shared" si="110"/>
        <v>4</v>
      </c>
      <c r="AZ246" s="4">
        <f t="shared" si="111"/>
        <v>2</v>
      </c>
      <c r="BA246" s="4">
        <f t="shared" si="112"/>
        <v>4</v>
      </c>
      <c r="BB246" s="4">
        <f t="shared" si="113"/>
        <v>4</v>
      </c>
      <c r="BC246" s="4">
        <f t="shared" si="114"/>
        <v>4</v>
      </c>
      <c r="BD246" s="4">
        <f t="shared" si="115"/>
        <v>2</v>
      </c>
      <c r="BE246" s="4" t="str">
        <f t="shared" si="116"/>
        <v>0</v>
      </c>
      <c r="BF246" s="4">
        <f t="shared" si="117"/>
        <v>2</v>
      </c>
      <c r="BG246" s="4">
        <f t="shared" si="118"/>
        <v>4</v>
      </c>
      <c r="BH246" s="4">
        <f t="shared" si="119"/>
        <v>4</v>
      </c>
      <c r="BI246" s="4">
        <f t="shared" si="120"/>
        <v>4</v>
      </c>
      <c r="BJ246" s="4" t="str">
        <f t="shared" si="121"/>
        <v>0</v>
      </c>
      <c r="BK246" s="4">
        <f t="shared" si="122"/>
        <v>4</v>
      </c>
      <c r="BL246" s="4" t="str">
        <f t="shared" si="123"/>
        <v>0</v>
      </c>
      <c r="BM246" s="4" t="str">
        <f t="shared" si="124"/>
        <v>0</v>
      </c>
      <c r="BN246" s="4">
        <f t="shared" si="125"/>
        <v>4</v>
      </c>
      <c r="BO246" s="4">
        <f t="shared" si="126"/>
        <v>4</v>
      </c>
      <c r="BP246" s="4">
        <f t="shared" si="127"/>
        <v>4</v>
      </c>
      <c r="BQ246" s="4">
        <f t="shared" si="128"/>
        <v>6</v>
      </c>
      <c r="BR246" s="4">
        <f t="shared" si="129"/>
        <v>4</v>
      </c>
      <c r="BS246" s="4">
        <f t="shared" si="130"/>
        <v>4</v>
      </c>
      <c r="BT246" s="4">
        <f t="shared" si="131"/>
        <v>4</v>
      </c>
      <c r="BU246" s="4">
        <f t="shared" si="132"/>
        <v>4</v>
      </c>
      <c r="BV246" s="4" t="str">
        <f t="shared" si="133"/>
        <v>0</v>
      </c>
      <c r="BW246" s="4">
        <f t="shared" si="134"/>
        <v>6</v>
      </c>
      <c r="BX246" s="4">
        <f t="shared" si="135"/>
        <v>0</v>
      </c>
      <c r="BY246" s="4">
        <f t="shared" si="136"/>
        <v>0</v>
      </c>
      <c r="BZ246" s="37">
        <f t="shared" si="137"/>
        <v>88</v>
      </c>
      <c r="CA246" s="32" t="str">
        <f>VLOOKUP(J:J,'Agent wise'!A:C,3,0)</f>
        <v>Saran S</v>
      </c>
      <c r="CB246" s="32">
        <f t="shared" si="138"/>
        <v>45935</v>
      </c>
      <c r="CC246" t="str">
        <f t="shared" si="139"/>
        <v>Average</v>
      </c>
      <c r="CE246" s="32"/>
      <c r="CJ246">
        <f t="shared" si="140"/>
        <v>5</v>
      </c>
      <c r="CK246">
        <f t="shared" si="141"/>
        <v>10</v>
      </c>
      <c r="CL246">
        <f t="shared" si="142"/>
        <v>2025</v>
      </c>
    </row>
    <row r="247" spans="1:90" ht="15" customHeight="1" x14ac:dyDescent="0.35">
      <c r="A247" s="40">
        <v>45787.653738425928</v>
      </c>
      <c r="B247" t="s">
        <v>250</v>
      </c>
      <c r="C247" t="s">
        <v>214</v>
      </c>
      <c r="D247" t="s">
        <v>251</v>
      </c>
      <c r="E247" s="32">
        <v>45935</v>
      </c>
      <c r="F247" t="s">
        <v>222</v>
      </c>
      <c r="G247" s="2">
        <v>45757</v>
      </c>
      <c r="H247">
        <v>9539085724</v>
      </c>
      <c r="I247">
        <v>157</v>
      </c>
      <c r="J247" t="s">
        <v>391</v>
      </c>
      <c r="K247" t="s">
        <v>57</v>
      </c>
      <c r="L247" t="s">
        <v>58</v>
      </c>
      <c r="M247" t="s">
        <v>59</v>
      </c>
      <c r="N247" t="s">
        <v>59</v>
      </c>
      <c r="O247" t="s">
        <v>59</v>
      </c>
      <c r="P247" t="s">
        <v>59</v>
      </c>
      <c r="Q247" t="s">
        <v>59</v>
      </c>
      <c r="R247" t="s">
        <v>59</v>
      </c>
      <c r="S247" t="s">
        <v>59</v>
      </c>
      <c r="T247" t="s">
        <v>59</v>
      </c>
      <c r="U247" t="s">
        <v>60</v>
      </c>
      <c r="V247" t="s">
        <v>59</v>
      </c>
      <c r="W247" t="s">
        <v>59</v>
      </c>
      <c r="X247" t="s">
        <v>59</v>
      </c>
      <c r="Y247" t="s">
        <v>59</v>
      </c>
      <c r="Z247" t="s">
        <v>59</v>
      </c>
      <c r="AA247" t="s">
        <v>59</v>
      </c>
      <c r="AB247" t="s">
        <v>60</v>
      </c>
      <c r="AC247" t="s">
        <v>59</v>
      </c>
      <c r="AD247" t="s">
        <v>59</v>
      </c>
      <c r="AE247" t="s">
        <v>59</v>
      </c>
      <c r="AF247" t="s">
        <v>59</v>
      </c>
      <c r="AG247" t="s">
        <v>59</v>
      </c>
      <c r="AH247" t="s">
        <v>61</v>
      </c>
      <c r="AI247" t="s">
        <v>61</v>
      </c>
      <c r="AJ247" t="s">
        <v>59</v>
      </c>
      <c r="AK247" t="s">
        <v>59</v>
      </c>
      <c r="AL247" t="s">
        <v>59</v>
      </c>
      <c r="AM247" t="s">
        <v>59</v>
      </c>
      <c r="AN247" t="s">
        <v>59</v>
      </c>
      <c r="AO247" t="s">
        <v>59</v>
      </c>
      <c r="AP247" t="s">
        <v>759</v>
      </c>
      <c r="AQ247" t="s">
        <v>760</v>
      </c>
      <c r="AR247" t="s">
        <v>226</v>
      </c>
      <c r="AS247" t="s">
        <v>249</v>
      </c>
      <c r="AT247" t="s">
        <v>687</v>
      </c>
      <c r="AU247" t="s">
        <v>219</v>
      </c>
      <c r="AW247" s="4">
        <f t="shared" si="108"/>
        <v>6</v>
      </c>
      <c r="AX247" s="4">
        <f t="shared" si="109"/>
        <v>4</v>
      </c>
      <c r="AY247" s="4">
        <f t="shared" si="110"/>
        <v>4</v>
      </c>
      <c r="AZ247" s="4">
        <f t="shared" si="111"/>
        <v>2</v>
      </c>
      <c r="BA247" s="4">
        <f t="shared" si="112"/>
        <v>4</v>
      </c>
      <c r="BB247" s="4">
        <f t="shared" si="113"/>
        <v>4</v>
      </c>
      <c r="BC247" s="4">
        <f t="shared" si="114"/>
        <v>4</v>
      </c>
      <c r="BD247" s="4">
        <f t="shared" si="115"/>
        <v>2</v>
      </c>
      <c r="BE247" s="4" t="str">
        <f t="shared" si="116"/>
        <v>0</v>
      </c>
      <c r="BF247" s="4">
        <f t="shared" si="117"/>
        <v>2</v>
      </c>
      <c r="BG247" s="4">
        <f t="shared" si="118"/>
        <v>4</v>
      </c>
      <c r="BH247" s="4">
        <f t="shared" si="119"/>
        <v>4</v>
      </c>
      <c r="BI247" s="4">
        <f t="shared" si="120"/>
        <v>4</v>
      </c>
      <c r="BJ247" s="4">
        <f t="shared" si="121"/>
        <v>2</v>
      </c>
      <c r="BK247" s="4">
        <f t="shared" si="122"/>
        <v>4</v>
      </c>
      <c r="BL247" s="4" t="str">
        <f t="shared" si="123"/>
        <v>0</v>
      </c>
      <c r="BM247" s="4">
        <f t="shared" si="124"/>
        <v>4</v>
      </c>
      <c r="BN247" s="4">
        <f t="shared" si="125"/>
        <v>4</v>
      </c>
      <c r="BO247" s="4">
        <f t="shared" si="126"/>
        <v>4</v>
      </c>
      <c r="BP247" s="4">
        <f t="shared" si="127"/>
        <v>4</v>
      </c>
      <c r="BQ247" s="4">
        <f t="shared" si="128"/>
        <v>6</v>
      </c>
      <c r="BR247" s="4">
        <f t="shared" si="129"/>
        <v>4</v>
      </c>
      <c r="BS247" s="4">
        <f t="shared" si="130"/>
        <v>4</v>
      </c>
      <c r="BT247" s="4">
        <f t="shared" si="131"/>
        <v>4</v>
      </c>
      <c r="BU247" s="4">
        <f t="shared" si="132"/>
        <v>4</v>
      </c>
      <c r="BV247" s="4">
        <f t="shared" si="133"/>
        <v>0</v>
      </c>
      <c r="BW247" s="4">
        <f t="shared" si="134"/>
        <v>6</v>
      </c>
      <c r="BX247" s="4">
        <f t="shared" si="135"/>
        <v>0</v>
      </c>
      <c r="BY247" s="4">
        <f t="shared" si="136"/>
        <v>0</v>
      </c>
      <c r="BZ247" s="37">
        <f t="shared" si="137"/>
        <v>94</v>
      </c>
      <c r="CA247" s="32" t="str">
        <f>VLOOKUP(J:J,'Agent wise'!A:C,3,0)</f>
        <v>Amal</v>
      </c>
      <c r="CB247" s="32">
        <f t="shared" si="138"/>
        <v>45935</v>
      </c>
      <c r="CC247" t="str">
        <f t="shared" si="139"/>
        <v>Good</v>
      </c>
      <c r="CE247" s="32"/>
      <c r="CJ247">
        <f t="shared" si="140"/>
        <v>5</v>
      </c>
      <c r="CK247">
        <f t="shared" si="141"/>
        <v>10</v>
      </c>
      <c r="CL247">
        <f t="shared" si="142"/>
        <v>2025</v>
      </c>
    </row>
    <row r="248" spans="1:90" ht="15" customHeight="1" x14ac:dyDescent="0.35">
      <c r="A248" s="40">
        <v>45787.659803240742</v>
      </c>
      <c r="B248" t="s">
        <v>250</v>
      </c>
      <c r="C248" t="s">
        <v>214</v>
      </c>
      <c r="D248" t="s">
        <v>251</v>
      </c>
      <c r="E248" s="32">
        <v>45935</v>
      </c>
      <c r="F248" t="s">
        <v>222</v>
      </c>
      <c r="G248" s="2">
        <v>45757</v>
      </c>
      <c r="H248">
        <v>9946742252</v>
      </c>
      <c r="I248">
        <v>167</v>
      </c>
      <c r="J248" t="s">
        <v>353</v>
      </c>
      <c r="K248" t="s">
        <v>57</v>
      </c>
      <c r="L248" t="s">
        <v>58</v>
      </c>
      <c r="M248" t="s">
        <v>60</v>
      </c>
      <c r="N248" t="s">
        <v>59</v>
      </c>
      <c r="O248" t="s">
        <v>59</v>
      </c>
      <c r="P248" t="s">
        <v>59</v>
      </c>
      <c r="Q248" t="s">
        <v>59</v>
      </c>
      <c r="R248" t="s">
        <v>59</v>
      </c>
      <c r="S248" t="s">
        <v>59</v>
      </c>
      <c r="T248" t="s">
        <v>59</v>
      </c>
      <c r="U248" t="s">
        <v>60</v>
      </c>
      <c r="V248" t="s">
        <v>59</v>
      </c>
      <c r="W248" t="s">
        <v>59</v>
      </c>
      <c r="X248" t="s">
        <v>59</v>
      </c>
      <c r="Y248" t="s">
        <v>59</v>
      </c>
      <c r="Z248" t="s">
        <v>60</v>
      </c>
      <c r="AA248" t="s">
        <v>59</v>
      </c>
      <c r="AB248" t="s">
        <v>59</v>
      </c>
      <c r="AC248" t="s">
        <v>59</v>
      </c>
      <c r="AD248" t="s">
        <v>59</v>
      </c>
      <c r="AE248" t="s">
        <v>59</v>
      </c>
      <c r="AF248" t="s">
        <v>59</v>
      </c>
      <c r="AG248" t="s">
        <v>59</v>
      </c>
      <c r="AH248" t="s">
        <v>61</v>
      </c>
      <c r="AI248" t="s">
        <v>60</v>
      </c>
      <c r="AJ248" t="s">
        <v>59</v>
      </c>
      <c r="AK248" t="s">
        <v>59</v>
      </c>
      <c r="AL248" t="s">
        <v>60</v>
      </c>
      <c r="AM248" t="s">
        <v>59</v>
      </c>
      <c r="AN248" t="s">
        <v>59</v>
      </c>
      <c r="AO248" t="s">
        <v>59</v>
      </c>
      <c r="AP248" t="s">
        <v>761</v>
      </c>
      <c r="AQ248" t="s">
        <v>762</v>
      </c>
      <c r="AR248" t="s">
        <v>64</v>
      </c>
      <c r="AS248" t="s">
        <v>249</v>
      </c>
      <c r="AT248" t="s">
        <v>404</v>
      </c>
      <c r="AU248" t="s">
        <v>387</v>
      </c>
      <c r="AW248" s="4" t="str">
        <f t="shared" si="108"/>
        <v>0</v>
      </c>
      <c r="AX248" s="4">
        <f t="shared" si="109"/>
        <v>4</v>
      </c>
      <c r="AY248" s="4">
        <f t="shared" si="110"/>
        <v>4</v>
      </c>
      <c r="AZ248" s="4">
        <f t="shared" si="111"/>
        <v>2</v>
      </c>
      <c r="BA248" s="4">
        <f t="shared" si="112"/>
        <v>4</v>
      </c>
      <c r="BB248" s="4">
        <f t="shared" si="113"/>
        <v>4</v>
      </c>
      <c r="BC248" s="4">
        <f t="shared" si="114"/>
        <v>4</v>
      </c>
      <c r="BD248" s="4">
        <f t="shared" si="115"/>
        <v>2</v>
      </c>
      <c r="BE248" s="4" t="str">
        <f t="shared" si="116"/>
        <v>0</v>
      </c>
      <c r="BF248" s="4">
        <f t="shared" si="117"/>
        <v>2</v>
      </c>
      <c r="BG248" s="4">
        <f t="shared" si="118"/>
        <v>4</v>
      </c>
      <c r="BH248" s="4">
        <f t="shared" si="119"/>
        <v>4</v>
      </c>
      <c r="BI248" s="4">
        <f t="shared" si="120"/>
        <v>4</v>
      </c>
      <c r="BJ248" s="4" t="str">
        <f t="shared" si="121"/>
        <v>0</v>
      </c>
      <c r="BK248" s="4">
        <f t="shared" si="122"/>
        <v>4</v>
      </c>
      <c r="BL248" s="4">
        <f t="shared" si="123"/>
        <v>2</v>
      </c>
      <c r="BM248" s="4">
        <f t="shared" si="124"/>
        <v>4</v>
      </c>
      <c r="BN248" s="4">
        <f t="shared" si="125"/>
        <v>4</v>
      </c>
      <c r="BO248" s="4">
        <f t="shared" si="126"/>
        <v>4</v>
      </c>
      <c r="BP248" s="4">
        <f t="shared" si="127"/>
        <v>4</v>
      </c>
      <c r="BQ248" s="4">
        <f t="shared" si="128"/>
        <v>6</v>
      </c>
      <c r="BR248" s="4">
        <f t="shared" si="129"/>
        <v>4</v>
      </c>
      <c r="BS248" s="4" t="str">
        <f t="shared" si="130"/>
        <v>0</v>
      </c>
      <c r="BT248" s="4">
        <f t="shared" si="131"/>
        <v>4</v>
      </c>
      <c r="BU248" s="4">
        <f t="shared" si="132"/>
        <v>4</v>
      </c>
      <c r="BV248" s="4" t="str">
        <f t="shared" si="133"/>
        <v>0</v>
      </c>
      <c r="BW248" s="4">
        <f t="shared" si="134"/>
        <v>6</v>
      </c>
      <c r="BX248" s="4">
        <f t="shared" si="135"/>
        <v>0</v>
      </c>
      <c r="BY248" s="4">
        <f t="shared" si="136"/>
        <v>0</v>
      </c>
      <c r="BZ248" s="37">
        <f t="shared" si="137"/>
        <v>84</v>
      </c>
      <c r="CA248" s="32" t="str">
        <f>VLOOKUP(J:J,'Agent wise'!A:C,3,0)</f>
        <v>Amal</v>
      </c>
      <c r="CB248" s="32">
        <f t="shared" si="138"/>
        <v>45935</v>
      </c>
      <c r="CC248" t="str">
        <f t="shared" si="139"/>
        <v>FC</v>
      </c>
      <c r="CE248" s="32"/>
      <c r="CJ248">
        <f t="shared" si="140"/>
        <v>5</v>
      </c>
      <c r="CK248">
        <f t="shared" si="141"/>
        <v>10</v>
      </c>
      <c r="CL248">
        <f t="shared" si="142"/>
        <v>2025</v>
      </c>
    </row>
    <row r="249" spans="1:90" ht="15" customHeight="1" x14ac:dyDescent="0.35">
      <c r="A249" s="40">
        <v>45787.659872685188</v>
      </c>
      <c r="B249" t="s">
        <v>51</v>
      </c>
      <c r="C249" t="s">
        <v>214</v>
      </c>
      <c r="D249" t="s">
        <v>53</v>
      </c>
      <c r="E249" s="32">
        <v>45935</v>
      </c>
      <c r="F249" t="s">
        <v>90</v>
      </c>
      <c r="G249" s="2">
        <v>45757</v>
      </c>
      <c r="H249">
        <v>9385756816</v>
      </c>
      <c r="I249">
        <v>174</v>
      </c>
      <c r="J249" t="s">
        <v>91</v>
      </c>
      <c r="K249" t="s">
        <v>71</v>
      </c>
      <c r="L249" t="s">
        <v>72</v>
      </c>
      <c r="M249" t="s">
        <v>59</v>
      </c>
      <c r="N249" t="s">
        <v>59</v>
      </c>
      <c r="O249" t="s">
        <v>59</v>
      </c>
      <c r="P249" t="s">
        <v>59</v>
      </c>
      <c r="Q249" t="s">
        <v>59</v>
      </c>
      <c r="R249" t="s">
        <v>59</v>
      </c>
      <c r="S249" t="s">
        <v>59</v>
      </c>
      <c r="T249" t="s">
        <v>59</v>
      </c>
      <c r="U249" t="s">
        <v>59</v>
      </c>
      <c r="V249" t="s">
        <v>59</v>
      </c>
      <c r="W249" t="s">
        <v>59</v>
      </c>
      <c r="X249" t="s">
        <v>59</v>
      </c>
      <c r="Y249" t="s">
        <v>59</v>
      </c>
      <c r="Z249" t="s">
        <v>59</v>
      </c>
      <c r="AA249" t="s">
        <v>60</v>
      </c>
      <c r="AB249" t="s">
        <v>60</v>
      </c>
      <c r="AC249" t="s">
        <v>60</v>
      </c>
      <c r="AD249" t="s">
        <v>59</v>
      </c>
      <c r="AE249" t="s">
        <v>59</v>
      </c>
      <c r="AF249" t="s">
        <v>59</v>
      </c>
      <c r="AG249" t="s">
        <v>59</v>
      </c>
      <c r="AH249" t="s">
        <v>61</v>
      </c>
      <c r="AI249" t="s">
        <v>61</v>
      </c>
      <c r="AJ249" t="s">
        <v>59</v>
      </c>
      <c r="AK249" t="s">
        <v>59</v>
      </c>
      <c r="AL249" t="s">
        <v>59</v>
      </c>
      <c r="AM249" t="s">
        <v>59</v>
      </c>
      <c r="AN249" t="s">
        <v>59</v>
      </c>
      <c r="AO249" t="s">
        <v>59</v>
      </c>
      <c r="AP249" s="1" t="s">
        <v>763</v>
      </c>
      <c r="AQ249" t="s">
        <v>764</v>
      </c>
      <c r="AR249" t="s">
        <v>64</v>
      </c>
      <c r="AS249" t="s">
        <v>94</v>
      </c>
      <c r="AT249" t="s">
        <v>95</v>
      </c>
      <c r="AU249" t="s">
        <v>515</v>
      </c>
      <c r="AW249" s="4">
        <f t="shared" si="108"/>
        <v>6</v>
      </c>
      <c r="AX249" s="4">
        <f t="shared" si="109"/>
        <v>4</v>
      </c>
      <c r="AY249" s="4">
        <f t="shared" si="110"/>
        <v>4</v>
      </c>
      <c r="AZ249" s="4">
        <f t="shared" si="111"/>
        <v>2</v>
      </c>
      <c r="BA249" s="4">
        <f t="shared" si="112"/>
        <v>4</v>
      </c>
      <c r="BB249" s="4">
        <f t="shared" si="113"/>
        <v>4</v>
      </c>
      <c r="BC249" s="4">
        <f t="shared" si="114"/>
        <v>4</v>
      </c>
      <c r="BD249" s="4">
        <f t="shared" si="115"/>
        <v>2</v>
      </c>
      <c r="BE249" s="4">
        <f t="shared" si="116"/>
        <v>4</v>
      </c>
      <c r="BF249" s="4">
        <f t="shared" si="117"/>
        <v>2</v>
      </c>
      <c r="BG249" s="4">
        <f t="shared" si="118"/>
        <v>4</v>
      </c>
      <c r="BH249" s="4">
        <f t="shared" si="119"/>
        <v>4</v>
      </c>
      <c r="BI249" s="4">
        <f t="shared" si="120"/>
        <v>4</v>
      </c>
      <c r="BJ249" s="4">
        <f t="shared" si="121"/>
        <v>2</v>
      </c>
      <c r="BK249" s="4" t="str">
        <f t="shared" si="122"/>
        <v>0</v>
      </c>
      <c r="BL249" s="4" t="str">
        <f t="shared" si="123"/>
        <v>0</v>
      </c>
      <c r="BM249" s="4" t="str">
        <f t="shared" si="124"/>
        <v>0</v>
      </c>
      <c r="BN249" s="4">
        <f t="shared" si="125"/>
        <v>4</v>
      </c>
      <c r="BO249" s="4">
        <f t="shared" si="126"/>
        <v>4</v>
      </c>
      <c r="BP249" s="4">
        <f t="shared" si="127"/>
        <v>4</v>
      </c>
      <c r="BQ249" s="4">
        <f t="shared" si="128"/>
        <v>6</v>
      </c>
      <c r="BR249" s="4">
        <f t="shared" si="129"/>
        <v>4</v>
      </c>
      <c r="BS249" s="4">
        <f t="shared" si="130"/>
        <v>4</v>
      </c>
      <c r="BT249" s="4">
        <f t="shared" si="131"/>
        <v>4</v>
      </c>
      <c r="BU249" s="4">
        <f t="shared" si="132"/>
        <v>4</v>
      </c>
      <c r="BV249" s="4">
        <f t="shared" si="133"/>
        <v>0</v>
      </c>
      <c r="BW249" s="4">
        <f t="shared" si="134"/>
        <v>6</v>
      </c>
      <c r="BX249" s="4">
        <f t="shared" si="135"/>
        <v>0</v>
      </c>
      <c r="BY249" s="4">
        <f t="shared" si="136"/>
        <v>0</v>
      </c>
      <c r="BZ249" s="37">
        <f t="shared" si="137"/>
        <v>90</v>
      </c>
      <c r="CA249" s="32" t="str">
        <f>VLOOKUP(J:J,'Agent wise'!A:C,3,0)</f>
        <v>Saran S</v>
      </c>
      <c r="CB249" s="32">
        <f t="shared" si="138"/>
        <v>45935</v>
      </c>
      <c r="CC249" t="str">
        <f t="shared" si="139"/>
        <v>Good</v>
      </c>
      <c r="CE249" s="32"/>
      <c r="CJ249">
        <f t="shared" si="140"/>
        <v>5</v>
      </c>
      <c r="CK249">
        <f t="shared" si="141"/>
        <v>10</v>
      </c>
      <c r="CL249">
        <f t="shared" si="142"/>
        <v>2025</v>
      </c>
    </row>
    <row r="250" spans="1:90" ht="15" customHeight="1" x14ac:dyDescent="0.35">
      <c r="A250" s="40">
        <v>45787.665208333332</v>
      </c>
      <c r="B250" t="s">
        <v>250</v>
      </c>
      <c r="C250" t="s">
        <v>214</v>
      </c>
      <c r="D250" t="s">
        <v>251</v>
      </c>
      <c r="E250" s="32">
        <v>45935</v>
      </c>
      <c r="F250" t="s">
        <v>222</v>
      </c>
      <c r="G250" s="2">
        <v>45757</v>
      </c>
      <c r="H250">
        <v>9349913373</v>
      </c>
      <c r="I250">
        <v>130</v>
      </c>
      <c r="J250" t="s">
        <v>223</v>
      </c>
      <c r="K250" t="s">
        <v>57</v>
      </c>
      <c r="L250" t="s">
        <v>58</v>
      </c>
      <c r="M250" t="s">
        <v>59</v>
      </c>
      <c r="N250" t="s">
        <v>59</v>
      </c>
      <c r="O250" t="s">
        <v>59</v>
      </c>
      <c r="P250" t="s">
        <v>59</v>
      </c>
      <c r="Q250" t="s">
        <v>59</v>
      </c>
      <c r="R250" t="s">
        <v>59</v>
      </c>
      <c r="S250" t="s">
        <v>59</v>
      </c>
      <c r="T250" t="s">
        <v>59</v>
      </c>
      <c r="U250" t="s">
        <v>59</v>
      </c>
      <c r="V250" t="s">
        <v>59</v>
      </c>
      <c r="W250" t="s">
        <v>59</v>
      </c>
      <c r="X250" t="s">
        <v>59</v>
      </c>
      <c r="Y250" t="s">
        <v>59</v>
      </c>
      <c r="Z250" t="s">
        <v>59</v>
      </c>
      <c r="AA250" t="s">
        <v>59</v>
      </c>
      <c r="AB250" t="s">
        <v>60</v>
      </c>
      <c r="AC250" t="s">
        <v>59</v>
      </c>
      <c r="AD250" t="s">
        <v>59</v>
      </c>
      <c r="AE250" t="s">
        <v>59</v>
      </c>
      <c r="AF250" t="s">
        <v>59</v>
      </c>
      <c r="AG250" t="s">
        <v>59</v>
      </c>
      <c r="AH250" t="s">
        <v>61</v>
      </c>
      <c r="AI250" t="s">
        <v>61</v>
      </c>
      <c r="AJ250" t="s">
        <v>59</v>
      </c>
      <c r="AK250" t="s">
        <v>59</v>
      </c>
      <c r="AL250" t="s">
        <v>60</v>
      </c>
      <c r="AM250" t="s">
        <v>59</v>
      </c>
      <c r="AN250" t="s">
        <v>59</v>
      </c>
      <c r="AO250" t="s">
        <v>59</v>
      </c>
      <c r="AP250" t="s">
        <v>765</v>
      </c>
      <c r="AQ250" t="s">
        <v>766</v>
      </c>
      <c r="AR250" t="s">
        <v>226</v>
      </c>
      <c r="AS250" t="s">
        <v>245</v>
      </c>
      <c r="AT250" t="s">
        <v>404</v>
      </c>
      <c r="AU250" t="s">
        <v>219</v>
      </c>
      <c r="AW250" s="4">
        <f t="shared" si="108"/>
        <v>6</v>
      </c>
      <c r="AX250" s="4">
        <f t="shared" si="109"/>
        <v>4</v>
      </c>
      <c r="AY250" s="4">
        <f t="shared" si="110"/>
        <v>4</v>
      </c>
      <c r="AZ250" s="4">
        <f t="shared" si="111"/>
        <v>2</v>
      </c>
      <c r="BA250" s="4">
        <f t="shared" si="112"/>
        <v>4</v>
      </c>
      <c r="BB250" s="4">
        <f t="shared" si="113"/>
        <v>4</v>
      </c>
      <c r="BC250" s="4">
        <f t="shared" si="114"/>
        <v>4</v>
      </c>
      <c r="BD250" s="4">
        <f t="shared" si="115"/>
        <v>2</v>
      </c>
      <c r="BE250" s="4">
        <f t="shared" si="116"/>
        <v>4</v>
      </c>
      <c r="BF250" s="4">
        <f t="shared" si="117"/>
        <v>2</v>
      </c>
      <c r="BG250" s="4">
        <f t="shared" si="118"/>
        <v>4</v>
      </c>
      <c r="BH250" s="4">
        <f t="shared" si="119"/>
        <v>4</v>
      </c>
      <c r="BI250" s="4">
        <f t="shared" si="120"/>
        <v>4</v>
      </c>
      <c r="BJ250" s="4">
        <f t="shared" si="121"/>
        <v>2</v>
      </c>
      <c r="BK250" s="4">
        <f t="shared" si="122"/>
        <v>4</v>
      </c>
      <c r="BL250" s="4" t="str">
        <f t="shared" si="123"/>
        <v>0</v>
      </c>
      <c r="BM250" s="4">
        <f t="shared" si="124"/>
        <v>4</v>
      </c>
      <c r="BN250" s="4">
        <f t="shared" si="125"/>
        <v>4</v>
      </c>
      <c r="BO250" s="4">
        <f t="shared" si="126"/>
        <v>4</v>
      </c>
      <c r="BP250" s="4">
        <f t="shared" si="127"/>
        <v>4</v>
      </c>
      <c r="BQ250" s="4">
        <f t="shared" si="128"/>
        <v>6</v>
      </c>
      <c r="BR250" s="4">
        <f t="shared" si="129"/>
        <v>4</v>
      </c>
      <c r="BS250" s="4">
        <f t="shared" si="130"/>
        <v>4</v>
      </c>
      <c r="BT250" s="4">
        <f t="shared" si="131"/>
        <v>4</v>
      </c>
      <c r="BU250" s="4">
        <f t="shared" si="132"/>
        <v>4</v>
      </c>
      <c r="BV250" s="4" t="str">
        <f t="shared" si="133"/>
        <v>0</v>
      </c>
      <c r="BW250" s="4">
        <f t="shared" si="134"/>
        <v>6</v>
      </c>
      <c r="BX250" s="4">
        <f t="shared" si="135"/>
        <v>0</v>
      </c>
      <c r="BY250" s="4">
        <f t="shared" si="136"/>
        <v>0</v>
      </c>
      <c r="BZ250" s="37">
        <f t="shared" si="137"/>
        <v>98</v>
      </c>
      <c r="CA250" s="32" t="str">
        <f>VLOOKUP(J:J,'Agent wise'!A:C,3,0)</f>
        <v>Amal</v>
      </c>
      <c r="CB250" s="32">
        <f t="shared" si="138"/>
        <v>45935</v>
      </c>
      <c r="CC250" t="str">
        <f t="shared" si="139"/>
        <v>Excellent</v>
      </c>
      <c r="CE250" s="32"/>
      <c r="CJ250">
        <f t="shared" si="140"/>
        <v>5</v>
      </c>
      <c r="CK250">
        <f t="shared" si="141"/>
        <v>10</v>
      </c>
      <c r="CL250">
        <f t="shared" si="142"/>
        <v>2025</v>
      </c>
    </row>
    <row r="251" spans="1:90" ht="15" customHeight="1" x14ac:dyDescent="0.35">
      <c r="A251" s="40">
        <v>45787.669236111113</v>
      </c>
      <c r="B251" t="s">
        <v>250</v>
      </c>
      <c r="C251" t="s">
        <v>214</v>
      </c>
      <c r="D251" t="s">
        <v>251</v>
      </c>
      <c r="E251" s="32">
        <v>45935</v>
      </c>
      <c r="F251" t="s">
        <v>222</v>
      </c>
      <c r="G251" s="2">
        <v>45757</v>
      </c>
      <c r="H251">
        <v>7034098047</v>
      </c>
      <c r="I251">
        <v>148</v>
      </c>
      <c r="J251" t="s">
        <v>356</v>
      </c>
      <c r="K251" t="s">
        <v>57</v>
      </c>
      <c r="L251" t="s">
        <v>58</v>
      </c>
      <c r="M251" t="s">
        <v>59</v>
      </c>
      <c r="N251" t="s">
        <v>59</v>
      </c>
      <c r="O251" t="s">
        <v>59</v>
      </c>
      <c r="P251" t="s">
        <v>59</v>
      </c>
      <c r="Q251" t="s">
        <v>59</v>
      </c>
      <c r="R251" t="s">
        <v>59</v>
      </c>
      <c r="S251" t="s">
        <v>59</v>
      </c>
      <c r="T251" t="s">
        <v>59</v>
      </c>
      <c r="U251" t="s">
        <v>59</v>
      </c>
      <c r="V251" t="s">
        <v>59</v>
      </c>
      <c r="W251" t="s">
        <v>59</v>
      </c>
      <c r="X251" t="s">
        <v>59</v>
      </c>
      <c r="Y251" t="s">
        <v>59</v>
      </c>
      <c r="Z251" t="s">
        <v>59</v>
      </c>
      <c r="AA251" t="s">
        <v>59</v>
      </c>
      <c r="AB251" t="s">
        <v>59</v>
      </c>
      <c r="AC251" t="s">
        <v>59</v>
      </c>
      <c r="AD251" t="s">
        <v>59</v>
      </c>
      <c r="AE251" t="s">
        <v>59</v>
      </c>
      <c r="AF251" t="s">
        <v>59</v>
      </c>
      <c r="AG251" t="s">
        <v>59</v>
      </c>
      <c r="AH251" t="s">
        <v>61</v>
      </c>
      <c r="AI251" t="s">
        <v>59</v>
      </c>
      <c r="AJ251" t="s">
        <v>59</v>
      </c>
      <c r="AK251" t="s">
        <v>59</v>
      </c>
      <c r="AL251" t="s">
        <v>59</v>
      </c>
      <c r="AM251" t="s">
        <v>59</v>
      </c>
      <c r="AN251" t="s">
        <v>59</v>
      </c>
      <c r="AO251" t="s">
        <v>59</v>
      </c>
      <c r="AP251" t="s">
        <v>767</v>
      </c>
      <c r="AQ251" t="s">
        <v>768</v>
      </c>
      <c r="AR251" t="s">
        <v>226</v>
      </c>
      <c r="AS251" t="s">
        <v>695</v>
      </c>
      <c r="AT251" t="s">
        <v>394</v>
      </c>
      <c r="AU251" t="s">
        <v>219</v>
      </c>
      <c r="AW251" s="4">
        <f t="shared" si="108"/>
        <v>6</v>
      </c>
      <c r="AX251" s="4">
        <f t="shared" si="109"/>
        <v>4</v>
      </c>
      <c r="AY251" s="4">
        <f t="shared" si="110"/>
        <v>4</v>
      </c>
      <c r="AZ251" s="4">
        <f t="shared" si="111"/>
        <v>2</v>
      </c>
      <c r="BA251" s="4">
        <f t="shared" si="112"/>
        <v>4</v>
      </c>
      <c r="BB251" s="4">
        <f t="shared" si="113"/>
        <v>4</v>
      </c>
      <c r="BC251" s="4">
        <f t="shared" si="114"/>
        <v>4</v>
      </c>
      <c r="BD251" s="4">
        <f t="shared" si="115"/>
        <v>2</v>
      </c>
      <c r="BE251" s="4">
        <f t="shared" si="116"/>
        <v>4</v>
      </c>
      <c r="BF251" s="4">
        <f t="shared" si="117"/>
        <v>2</v>
      </c>
      <c r="BG251" s="4">
        <f t="shared" si="118"/>
        <v>4</v>
      </c>
      <c r="BH251" s="4">
        <f t="shared" si="119"/>
        <v>4</v>
      </c>
      <c r="BI251" s="4">
        <f t="shared" si="120"/>
        <v>4</v>
      </c>
      <c r="BJ251" s="4">
        <f t="shared" si="121"/>
        <v>2</v>
      </c>
      <c r="BK251" s="4">
        <f t="shared" si="122"/>
        <v>4</v>
      </c>
      <c r="BL251" s="4">
        <f t="shared" si="123"/>
        <v>2</v>
      </c>
      <c r="BM251" s="4">
        <f t="shared" si="124"/>
        <v>4</v>
      </c>
      <c r="BN251" s="4">
        <f t="shared" si="125"/>
        <v>4</v>
      </c>
      <c r="BO251" s="4">
        <f t="shared" si="126"/>
        <v>4</v>
      </c>
      <c r="BP251" s="4">
        <f t="shared" si="127"/>
        <v>4</v>
      </c>
      <c r="BQ251" s="4">
        <f t="shared" si="128"/>
        <v>6</v>
      </c>
      <c r="BR251" s="4">
        <f t="shared" si="129"/>
        <v>4</v>
      </c>
      <c r="BS251" s="4">
        <f t="shared" si="130"/>
        <v>4</v>
      </c>
      <c r="BT251" s="4">
        <f t="shared" si="131"/>
        <v>4</v>
      </c>
      <c r="BU251" s="4">
        <f t="shared" si="132"/>
        <v>4</v>
      </c>
      <c r="BV251" s="4">
        <f t="shared" si="133"/>
        <v>0</v>
      </c>
      <c r="BW251" s="4">
        <f t="shared" si="134"/>
        <v>6</v>
      </c>
      <c r="BX251" s="4">
        <f t="shared" si="135"/>
        <v>0</v>
      </c>
      <c r="BY251" s="4">
        <f t="shared" si="136"/>
        <v>0</v>
      </c>
      <c r="BZ251" s="37">
        <f t="shared" si="137"/>
        <v>100</v>
      </c>
      <c r="CA251" s="32" t="str">
        <f>VLOOKUP(J:J,'Agent wise'!A:C,3,0)</f>
        <v>Amal</v>
      </c>
      <c r="CB251" s="32">
        <f t="shared" si="138"/>
        <v>45935</v>
      </c>
      <c r="CC251" t="str">
        <f t="shared" si="139"/>
        <v>Excellent</v>
      </c>
      <c r="CE251" s="32"/>
      <c r="CJ251">
        <f t="shared" si="140"/>
        <v>5</v>
      </c>
      <c r="CK251">
        <f t="shared" si="141"/>
        <v>10</v>
      </c>
      <c r="CL251">
        <f t="shared" si="142"/>
        <v>2025</v>
      </c>
    </row>
    <row r="252" spans="1:90" ht="15" customHeight="1" x14ac:dyDescent="0.35">
      <c r="A252" s="40">
        <v>45787.687638888892</v>
      </c>
      <c r="B252" t="s">
        <v>250</v>
      </c>
      <c r="C252" t="s">
        <v>214</v>
      </c>
      <c r="D252" t="s">
        <v>251</v>
      </c>
      <c r="E252" s="32">
        <v>45935</v>
      </c>
      <c r="F252" t="s">
        <v>222</v>
      </c>
      <c r="G252" s="2">
        <v>45757</v>
      </c>
      <c r="H252">
        <v>7025552280</v>
      </c>
      <c r="I252">
        <v>171</v>
      </c>
      <c r="J252" t="s">
        <v>231</v>
      </c>
      <c r="K252" t="s">
        <v>57</v>
      </c>
      <c r="L252" t="s">
        <v>58</v>
      </c>
      <c r="M252" t="s">
        <v>59</v>
      </c>
      <c r="N252" t="s">
        <v>59</v>
      </c>
      <c r="O252" t="s">
        <v>59</v>
      </c>
      <c r="P252" t="s">
        <v>59</v>
      </c>
      <c r="Q252" t="s">
        <v>59</v>
      </c>
      <c r="R252" t="s">
        <v>59</v>
      </c>
      <c r="S252" t="s">
        <v>59</v>
      </c>
      <c r="T252" t="s">
        <v>59</v>
      </c>
      <c r="U252" t="s">
        <v>60</v>
      </c>
      <c r="V252" t="s">
        <v>59</v>
      </c>
      <c r="W252" t="s">
        <v>59</v>
      </c>
      <c r="X252" t="s">
        <v>59</v>
      </c>
      <c r="Y252" t="s">
        <v>59</v>
      </c>
      <c r="Z252" t="s">
        <v>60</v>
      </c>
      <c r="AA252" t="s">
        <v>60</v>
      </c>
      <c r="AB252" t="s">
        <v>60</v>
      </c>
      <c r="AC252" t="s">
        <v>59</v>
      </c>
      <c r="AD252" t="s">
        <v>59</v>
      </c>
      <c r="AE252" t="s">
        <v>59</v>
      </c>
      <c r="AF252" t="s">
        <v>59</v>
      </c>
      <c r="AG252" t="s">
        <v>60</v>
      </c>
      <c r="AH252" t="s">
        <v>61</v>
      </c>
      <c r="AI252" t="s">
        <v>61</v>
      </c>
      <c r="AJ252" t="s">
        <v>59</v>
      </c>
      <c r="AK252" t="s">
        <v>59</v>
      </c>
      <c r="AL252" t="s">
        <v>60</v>
      </c>
      <c r="AM252" t="s">
        <v>59</v>
      </c>
      <c r="AN252" t="s">
        <v>59</v>
      </c>
      <c r="AO252" t="s">
        <v>60</v>
      </c>
      <c r="AP252" t="s">
        <v>769</v>
      </c>
      <c r="AQ252" t="s">
        <v>770</v>
      </c>
      <c r="AR252" t="s">
        <v>64</v>
      </c>
      <c r="AS252" t="s">
        <v>771</v>
      </c>
      <c r="AT252" t="s">
        <v>772</v>
      </c>
      <c r="AU252" t="s">
        <v>219</v>
      </c>
      <c r="AW252" s="4">
        <f t="shared" si="108"/>
        <v>6</v>
      </c>
      <c r="AX252" s="4">
        <f t="shared" si="109"/>
        <v>4</v>
      </c>
      <c r="AY252" s="4">
        <f t="shared" si="110"/>
        <v>4</v>
      </c>
      <c r="AZ252" s="4">
        <f t="shared" si="111"/>
        <v>2</v>
      </c>
      <c r="BA252" s="4">
        <f t="shared" si="112"/>
        <v>4</v>
      </c>
      <c r="BB252" s="4">
        <f t="shared" si="113"/>
        <v>4</v>
      </c>
      <c r="BC252" s="4">
        <f t="shared" si="114"/>
        <v>4</v>
      </c>
      <c r="BD252" s="4">
        <f t="shared" si="115"/>
        <v>2</v>
      </c>
      <c r="BE252" s="4" t="str">
        <f t="shared" si="116"/>
        <v>0</v>
      </c>
      <c r="BF252" s="4">
        <f t="shared" si="117"/>
        <v>2</v>
      </c>
      <c r="BG252" s="4">
        <f t="shared" si="118"/>
        <v>4</v>
      </c>
      <c r="BH252" s="4">
        <f t="shared" si="119"/>
        <v>4</v>
      </c>
      <c r="BI252" s="4">
        <f t="shared" si="120"/>
        <v>4</v>
      </c>
      <c r="BJ252" s="4" t="str">
        <f t="shared" si="121"/>
        <v>0</v>
      </c>
      <c r="BK252" s="4" t="str">
        <f t="shared" si="122"/>
        <v>0</v>
      </c>
      <c r="BL252" s="4" t="str">
        <f t="shared" si="123"/>
        <v>0</v>
      </c>
      <c r="BM252" s="4">
        <f t="shared" si="124"/>
        <v>4</v>
      </c>
      <c r="BN252" s="4">
        <f t="shared" si="125"/>
        <v>4</v>
      </c>
      <c r="BO252" s="4">
        <f t="shared" si="126"/>
        <v>4</v>
      </c>
      <c r="BP252" s="4">
        <f t="shared" si="127"/>
        <v>4</v>
      </c>
      <c r="BQ252" s="4" t="str">
        <f t="shared" si="128"/>
        <v>0</v>
      </c>
      <c r="BR252" s="4">
        <f t="shared" si="129"/>
        <v>4</v>
      </c>
      <c r="BS252" s="4">
        <f t="shared" si="130"/>
        <v>4</v>
      </c>
      <c r="BT252" s="4">
        <f t="shared" si="131"/>
        <v>4</v>
      </c>
      <c r="BU252" s="4">
        <f t="shared" si="132"/>
        <v>4</v>
      </c>
      <c r="BV252" s="4" t="str">
        <f t="shared" si="133"/>
        <v>0</v>
      </c>
      <c r="BW252" s="4">
        <f t="shared" si="134"/>
        <v>6</v>
      </c>
      <c r="BX252" s="4">
        <f t="shared" si="135"/>
        <v>0</v>
      </c>
      <c r="BY252" s="4" t="str">
        <f t="shared" si="136"/>
        <v>0</v>
      </c>
      <c r="BZ252" s="37">
        <f t="shared" si="137"/>
        <v>82</v>
      </c>
      <c r="CA252" s="32" t="str">
        <f>VLOOKUP(J:J,'Agent wise'!A:C,3,0)</f>
        <v>Shakeer</v>
      </c>
      <c r="CB252" s="32">
        <f t="shared" si="138"/>
        <v>45935</v>
      </c>
      <c r="CC252" t="str">
        <f t="shared" si="139"/>
        <v>FC</v>
      </c>
      <c r="CE252" s="32"/>
      <c r="CJ252">
        <f t="shared" si="140"/>
        <v>5</v>
      </c>
      <c r="CK252">
        <f t="shared" si="141"/>
        <v>10</v>
      </c>
      <c r="CL252">
        <f t="shared" si="142"/>
        <v>2025</v>
      </c>
    </row>
    <row r="253" spans="1:90" ht="15" customHeight="1" x14ac:dyDescent="0.35">
      <c r="A253" s="40">
        <v>45787.693680555552</v>
      </c>
      <c r="B253" t="s">
        <v>250</v>
      </c>
      <c r="C253" t="s">
        <v>214</v>
      </c>
      <c r="D253" t="s">
        <v>251</v>
      </c>
      <c r="E253" s="32">
        <v>45935</v>
      </c>
      <c r="F253" t="s">
        <v>222</v>
      </c>
      <c r="G253" s="2">
        <v>45757</v>
      </c>
      <c r="H253">
        <v>9446551780</v>
      </c>
      <c r="I253">
        <v>185</v>
      </c>
      <c r="J253" t="s">
        <v>215</v>
      </c>
      <c r="K253" t="s">
        <v>57</v>
      </c>
      <c r="L253" t="s">
        <v>72</v>
      </c>
      <c r="M253" t="s">
        <v>59</v>
      </c>
      <c r="N253" t="s">
        <v>59</v>
      </c>
      <c r="O253" t="s">
        <v>59</v>
      </c>
      <c r="P253" t="s">
        <v>59</v>
      </c>
      <c r="Q253" t="s">
        <v>59</v>
      </c>
      <c r="R253" t="s">
        <v>60</v>
      </c>
      <c r="S253" t="s">
        <v>59</v>
      </c>
      <c r="T253" t="s">
        <v>59</v>
      </c>
      <c r="U253" t="s">
        <v>59</v>
      </c>
      <c r="V253" t="s">
        <v>59</v>
      </c>
      <c r="W253" t="s">
        <v>59</v>
      </c>
      <c r="X253" t="s">
        <v>59</v>
      </c>
      <c r="Y253" t="s">
        <v>59</v>
      </c>
      <c r="Z253" t="s">
        <v>60</v>
      </c>
      <c r="AA253" t="s">
        <v>59</v>
      </c>
      <c r="AB253" t="s">
        <v>59</v>
      </c>
      <c r="AC253" t="s">
        <v>59</v>
      </c>
      <c r="AD253" t="s">
        <v>59</v>
      </c>
      <c r="AE253" t="s">
        <v>59</v>
      </c>
      <c r="AF253" t="s">
        <v>59</v>
      </c>
      <c r="AG253" t="s">
        <v>59</v>
      </c>
      <c r="AH253" t="s">
        <v>61</v>
      </c>
      <c r="AI253" t="s">
        <v>61</v>
      </c>
      <c r="AJ253" t="s">
        <v>59</v>
      </c>
      <c r="AK253" t="s">
        <v>59</v>
      </c>
      <c r="AL253" t="s">
        <v>59</v>
      </c>
      <c r="AM253" t="s">
        <v>59</v>
      </c>
      <c r="AN253" t="s">
        <v>59</v>
      </c>
      <c r="AO253" t="s">
        <v>59</v>
      </c>
      <c r="AP253" t="s">
        <v>773</v>
      </c>
      <c r="AQ253" t="s">
        <v>774</v>
      </c>
      <c r="AR253" t="s">
        <v>64</v>
      </c>
      <c r="AS253" t="s">
        <v>198</v>
      </c>
      <c r="AT253" t="s">
        <v>262</v>
      </c>
      <c r="AU253" t="s">
        <v>219</v>
      </c>
      <c r="AW253" s="4">
        <f t="shared" si="108"/>
        <v>6</v>
      </c>
      <c r="AX253" s="4">
        <f t="shared" si="109"/>
        <v>4</v>
      </c>
      <c r="AY253" s="4">
        <f t="shared" si="110"/>
        <v>4</v>
      </c>
      <c r="AZ253" s="4">
        <f t="shared" si="111"/>
        <v>2</v>
      </c>
      <c r="BA253" s="4">
        <f t="shared" si="112"/>
        <v>4</v>
      </c>
      <c r="BB253" s="4" t="str">
        <f t="shared" si="113"/>
        <v>0</v>
      </c>
      <c r="BC253" s="4">
        <f t="shared" si="114"/>
        <v>4</v>
      </c>
      <c r="BD253" s="4">
        <f t="shared" si="115"/>
        <v>2</v>
      </c>
      <c r="BE253" s="4">
        <f t="shared" si="116"/>
        <v>4</v>
      </c>
      <c r="BF253" s="4">
        <f t="shared" si="117"/>
        <v>2</v>
      </c>
      <c r="BG253" s="4">
        <f t="shared" si="118"/>
        <v>4</v>
      </c>
      <c r="BH253" s="4">
        <f t="shared" si="119"/>
        <v>4</v>
      </c>
      <c r="BI253" s="4">
        <f t="shared" si="120"/>
        <v>4</v>
      </c>
      <c r="BJ253" s="4" t="str">
        <f t="shared" si="121"/>
        <v>0</v>
      </c>
      <c r="BK253" s="4">
        <f t="shared" si="122"/>
        <v>4</v>
      </c>
      <c r="BL253" s="4">
        <f t="shared" si="123"/>
        <v>2</v>
      </c>
      <c r="BM253" s="4">
        <f t="shared" si="124"/>
        <v>4</v>
      </c>
      <c r="BN253" s="4">
        <f t="shared" si="125"/>
        <v>4</v>
      </c>
      <c r="BO253" s="4">
        <f t="shared" si="126"/>
        <v>4</v>
      </c>
      <c r="BP253" s="4">
        <f t="shared" si="127"/>
        <v>4</v>
      </c>
      <c r="BQ253" s="4">
        <f t="shared" si="128"/>
        <v>6</v>
      </c>
      <c r="BR253" s="4">
        <f t="shared" si="129"/>
        <v>4</v>
      </c>
      <c r="BS253" s="4">
        <f t="shared" si="130"/>
        <v>4</v>
      </c>
      <c r="BT253" s="4">
        <f t="shared" si="131"/>
        <v>4</v>
      </c>
      <c r="BU253" s="4">
        <f t="shared" si="132"/>
        <v>4</v>
      </c>
      <c r="BV253" s="4">
        <f t="shared" si="133"/>
        <v>0</v>
      </c>
      <c r="BW253" s="4">
        <f t="shared" si="134"/>
        <v>6</v>
      </c>
      <c r="BX253" s="4">
        <f t="shared" si="135"/>
        <v>0</v>
      </c>
      <c r="BY253" s="4">
        <f t="shared" si="136"/>
        <v>0</v>
      </c>
      <c r="BZ253" s="37">
        <f t="shared" si="137"/>
        <v>94</v>
      </c>
      <c r="CA253" s="32" t="str">
        <f>VLOOKUP(J:J,'Agent wise'!A:C,3,0)</f>
        <v>Adharsh</v>
      </c>
      <c r="CB253" s="32">
        <f t="shared" si="138"/>
        <v>45935</v>
      </c>
      <c r="CC253" t="str">
        <f t="shared" si="139"/>
        <v>Good</v>
      </c>
      <c r="CE253" s="32"/>
      <c r="CJ253">
        <f t="shared" si="140"/>
        <v>5</v>
      </c>
      <c r="CK253">
        <f t="shared" si="141"/>
        <v>10</v>
      </c>
      <c r="CL253">
        <f t="shared" si="142"/>
        <v>2025</v>
      </c>
    </row>
    <row r="254" spans="1:90" ht="15" customHeight="1" x14ac:dyDescent="0.35">
      <c r="A254" s="40">
        <v>45787.696909722217</v>
      </c>
      <c r="B254" t="s">
        <v>250</v>
      </c>
      <c r="C254" t="s">
        <v>214</v>
      </c>
      <c r="D254" t="s">
        <v>251</v>
      </c>
      <c r="E254" s="32">
        <v>45935</v>
      </c>
      <c r="F254" t="s">
        <v>54</v>
      </c>
      <c r="G254" s="2">
        <v>45757</v>
      </c>
      <c r="H254">
        <v>9846144297</v>
      </c>
      <c r="I254">
        <v>130</v>
      </c>
      <c r="J254" t="s">
        <v>168</v>
      </c>
      <c r="K254" t="s">
        <v>57</v>
      </c>
      <c r="L254" t="s">
        <v>58</v>
      </c>
      <c r="M254" t="s">
        <v>59</v>
      </c>
      <c r="N254" t="s">
        <v>59</v>
      </c>
      <c r="O254" t="s">
        <v>59</v>
      </c>
      <c r="P254" t="s">
        <v>59</v>
      </c>
      <c r="Q254" t="s">
        <v>59</v>
      </c>
      <c r="R254" t="s">
        <v>59</v>
      </c>
      <c r="S254" t="s">
        <v>59</v>
      </c>
      <c r="T254" t="s">
        <v>59</v>
      </c>
      <c r="U254" t="s">
        <v>60</v>
      </c>
      <c r="V254" t="s">
        <v>59</v>
      </c>
      <c r="W254" t="s">
        <v>59</v>
      </c>
      <c r="X254" t="s">
        <v>59</v>
      </c>
      <c r="Y254" t="s">
        <v>59</v>
      </c>
      <c r="Z254" t="s">
        <v>59</v>
      </c>
      <c r="AA254" t="s">
        <v>60</v>
      </c>
      <c r="AB254" t="s">
        <v>59</v>
      </c>
      <c r="AC254" t="s">
        <v>59</v>
      </c>
      <c r="AD254" t="s">
        <v>61</v>
      </c>
      <c r="AE254" t="s">
        <v>59</v>
      </c>
      <c r="AF254" t="s">
        <v>59</v>
      </c>
      <c r="AG254" t="s">
        <v>59</v>
      </c>
      <c r="AH254" t="s">
        <v>61</v>
      </c>
      <c r="AI254" t="s">
        <v>61</v>
      </c>
      <c r="AJ254" t="s">
        <v>59</v>
      </c>
      <c r="AK254" t="s">
        <v>59</v>
      </c>
      <c r="AL254" t="s">
        <v>60</v>
      </c>
      <c r="AM254" t="s">
        <v>59</v>
      </c>
      <c r="AN254" t="s">
        <v>59</v>
      </c>
      <c r="AO254" t="s">
        <v>59</v>
      </c>
      <c r="AP254" t="s">
        <v>775</v>
      </c>
      <c r="AQ254" t="s">
        <v>776</v>
      </c>
      <c r="AR254" t="s">
        <v>64</v>
      </c>
      <c r="AS254" t="s">
        <v>198</v>
      </c>
      <c r="AT254" t="s">
        <v>777</v>
      </c>
      <c r="AU254" t="s">
        <v>219</v>
      </c>
      <c r="AW254" s="4">
        <f t="shared" si="108"/>
        <v>6</v>
      </c>
      <c r="AX254" s="4">
        <f t="shared" si="109"/>
        <v>4</v>
      </c>
      <c r="AY254" s="4">
        <f t="shared" si="110"/>
        <v>4</v>
      </c>
      <c r="AZ254" s="4">
        <f t="shared" si="111"/>
        <v>2</v>
      </c>
      <c r="BA254" s="4">
        <f t="shared" si="112"/>
        <v>4</v>
      </c>
      <c r="BB254" s="4">
        <f t="shared" si="113"/>
        <v>4</v>
      </c>
      <c r="BC254" s="4">
        <f t="shared" si="114"/>
        <v>4</v>
      </c>
      <c r="BD254" s="4">
        <f t="shared" si="115"/>
        <v>2</v>
      </c>
      <c r="BE254" s="4" t="str">
        <f t="shared" si="116"/>
        <v>0</v>
      </c>
      <c r="BF254" s="4">
        <f t="shared" si="117"/>
        <v>2</v>
      </c>
      <c r="BG254" s="4">
        <f t="shared" si="118"/>
        <v>4</v>
      </c>
      <c r="BH254" s="4">
        <f t="shared" si="119"/>
        <v>4</v>
      </c>
      <c r="BI254" s="4">
        <f t="shared" si="120"/>
        <v>4</v>
      </c>
      <c r="BJ254" s="4">
        <f t="shared" si="121"/>
        <v>2</v>
      </c>
      <c r="BK254" s="4" t="str">
        <f t="shared" si="122"/>
        <v>0</v>
      </c>
      <c r="BL254" s="4">
        <f t="shared" si="123"/>
        <v>2</v>
      </c>
      <c r="BM254" s="4">
        <f t="shared" si="124"/>
        <v>4</v>
      </c>
      <c r="BN254" s="4">
        <f t="shared" si="125"/>
        <v>4</v>
      </c>
      <c r="BO254" s="4">
        <f t="shared" si="126"/>
        <v>4</v>
      </c>
      <c r="BP254" s="4">
        <f t="shared" si="127"/>
        <v>4</v>
      </c>
      <c r="BQ254" s="4">
        <f t="shared" si="128"/>
        <v>6</v>
      </c>
      <c r="BR254" s="4">
        <f t="shared" si="129"/>
        <v>4</v>
      </c>
      <c r="BS254" s="4">
        <f t="shared" si="130"/>
        <v>4</v>
      </c>
      <c r="BT254" s="4">
        <f t="shared" si="131"/>
        <v>4</v>
      </c>
      <c r="BU254" s="4">
        <f t="shared" si="132"/>
        <v>4</v>
      </c>
      <c r="BV254" s="4" t="str">
        <f t="shared" si="133"/>
        <v>0</v>
      </c>
      <c r="BW254" s="4">
        <f t="shared" si="134"/>
        <v>6</v>
      </c>
      <c r="BX254" s="4">
        <f t="shared" si="135"/>
        <v>0</v>
      </c>
      <c r="BY254" s="4">
        <f t="shared" si="136"/>
        <v>0</v>
      </c>
      <c r="BZ254" s="37">
        <f t="shared" si="137"/>
        <v>92</v>
      </c>
      <c r="CA254" s="32" t="str">
        <f>VLOOKUP(J:J,'Agent wise'!A:C,3,0)</f>
        <v>Shakeer</v>
      </c>
      <c r="CB254" s="32">
        <f t="shared" si="138"/>
        <v>45935</v>
      </c>
      <c r="CC254" t="str">
        <f t="shared" si="139"/>
        <v>Good</v>
      </c>
      <c r="CE254" s="32"/>
      <c r="CJ254">
        <f t="shared" si="140"/>
        <v>5</v>
      </c>
      <c r="CK254">
        <f t="shared" si="141"/>
        <v>10</v>
      </c>
      <c r="CL254">
        <f t="shared" si="142"/>
        <v>2025</v>
      </c>
    </row>
    <row r="255" spans="1:90" ht="15" customHeight="1" x14ac:dyDescent="0.35">
      <c r="A255" s="40">
        <v>45787.706296296303</v>
      </c>
      <c r="B255" t="s">
        <v>250</v>
      </c>
      <c r="C255" t="s">
        <v>214</v>
      </c>
      <c r="D255" t="s">
        <v>251</v>
      </c>
      <c r="E255" s="32">
        <v>45935</v>
      </c>
      <c r="F255" t="s">
        <v>54</v>
      </c>
      <c r="G255" s="2">
        <v>45757</v>
      </c>
      <c r="H255">
        <v>9746341937</v>
      </c>
      <c r="I255">
        <v>325</v>
      </c>
      <c r="J255" t="s">
        <v>204</v>
      </c>
      <c r="K255" t="s">
        <v>57</v>
      </c>
      <c r="L255" t="s">
        <v>58</v>
      </c>
      <c r="M255" t="s">
        <v>59</v>
      </c>
      <c r="N255" t="s">
        <v>59</v>
      </c>
      <c r="O255" t="s">
        <v>59</v>
      </c>
      <c r="P255" t="s">
        <v>59</v>
      </c>
      <c r="Q255" t="s">
        <v>59</v>
      </c>
      <c r="R255" t="s">
        <v>60</v>
      </c>
      <c r="S255" t="s">
        <v>59</v>
      </c>
      <c r="T255" t="s">
        <v>59</v>
      </c>
      <c r="U255" t="s">
        <v>60</v>
      </c>
      <c r="V255" t="s">
        <v>59</v>
      </c>
      <c r="W255" t="s">
        <v>59</v>
      </c>
      <c r="X255" t="s">
        <v>59</v>
      </c>
      <c r="Y255" t="s">
        <v>59</v>
      </c>
      <c r="Z255" t="s">
        <v>59</v>
      </c>
      <c r="AA255" t="s">
        <v>59</v>
      </c>
      <c r="AB255" t="s">
        <v>59</v>
      </c>
      <c r="AC255" t="s">
        <v>60</v>
      </c>
      <c r="AD255" t="s">
        <v>59</v>
      </c>
      <c r="AE255" t="s">
        <v>59</v>
      </c>
      <c r="AF255" t="s">
        <v>59</v>
      </c>
      <c r="AG255" t="s">
        <v>59</v>
      </c>
      <c r="AH255" t="s">
        <v>61</v>
      </c>
      <c r="AI255" t="s">
        <v>61</v>
      </c>
      <c r="AJ255" t="s">
        <v>59</v>
      </c>
      <c r="AK255" t="s">
        <v>59</v>
      </c>
      <c r="AL255" t="s">
        <v>59</v>
      </c>
      <c r="AM255" t="s">
        <v>59</v>
      </c>
      <c r="AN255" t="s">
        <v>59</v>
      </c>
      <c r="AO255" t="s">
        <v>59</v>
      </c>
      <c r="AP255" t="s">
        <v>778</v>
      </c>
      <c r="AQ255" t="s">
        <v>779</v>
      </c>
      <c r="AR255" t="s">
        <v>64</v>
      </c>
      <c r="AS255" t="s">
        <v>780</v>
      </c>
      <c r="AT255" t="s">
        <v>781</v>
      </c>
      <c r="AU255" t="s">
        <v>219</v>
      </c>
      <c r="AW255" s="4">
        <f t="shared" si="108"/>
        <v>6</v>
      </c>
      <c r="AX255" s="4">
        <f t="shared" si="109"/>
        <v>4</v>
      </c>
      <c r="AY255" s="4">
        <f t="shared" si="110"/>
        <v>4</v>
      </c>
      <c r="AZ255" s="4">
        <f t="shared" si="111"/>
        <v>2</v>
      </c>
      <c r="BA255" s="4">
        <f t="shared" si="112"/>
        <v>4</v>
      </c>
      <c r="BB255" s="4" t="str">
        <f t="shared" si="113"/>
        <v>0</v>
      </c>
      <c r="BC255" s="4">
        <f t="shared" si="114"/>
        <v>4</v>
      </c>
      <c r="BD255" s="4">
        <f t="shared" si="115"/>
        <v>2</v>
      </c>
      <c r="BE255" s="4" t="str">
        <f t="shared" si="116"/>
        <v>0</v>
      </c>
      <c r="BF255" s="4">
        <f t="shared" si="117"/>
        <v>2</v>
      </c>
      <c r="BG255" s="4">
        <f t="shared" si="118"/>
        <v>4</v>
      </c>
      <c r="BH255" s="4">
        <f t="shared" si="119"/>
        <v>4</v>
      </c>
      <c r="BI255" s="4">
        <f t="shared" si="120"/>
        <v>4</v>
      </c>
      <c r="BJ255" s="4">
        <f t="shared" si="121"/>
        <v>2</v>
      </c>
      <c r="BK255" s="4">
        <f t="shared" si="122"/>
        <v>4</v>
      </c>
      <c r="BL255" s="4">
        <f t="shared" si="123"/>
        <v>2</v>
      </c>
      <c r="BM255" s="4" t="str">
        <f t="shared" si="124"/>
        <v>0</v>
      </c>
      <c r="BN255" s="4">
        <f t="shared" si="125"/>
        <v>4</v>
      </c>
      <c r="BO255" s="4">
        <f t="shared" si="126"/>
        <v>4</v>
      </c>
      <c r="BP255" s="4">
        <f t="shared" si="127"/>
        <v>4</v>
      </c>
      <c r="BQ255" s="4">
        <f t="shared" si="128"/>
        <v>6</v>
      </c>
      <c r="BR255" s="4">
        <f t="shared" si="129"/>
        <v>4</v>
      </c>
      <c r="BS255" s="4">
        <f t="shared" si="130"/>
        <v>4</v>
      </c>
      <c r="BT255" s="4">
        <f t="shared" si="131"/>
        <v>4</v>
      </c>
      <c r="BU255" s="4">
        <f t="shared" si="132"/>
        <v>4</v>
      </c>
      <c r="BV255" s="4">
        <f t="shared" si="133"/>
        <v>0</v>
      </c>
      <c r="BW255" s="4">
        <f t="shared" si="134"/>
        <v>6</v>
      </c>
      <c r="BX255" s="4">
        <f t="shared" si="135"/>
        <v>0</v>
      </c>
      <c r="BY255" s="4">
        <f t="shared" si="136"/>
        <v>0</v>
      </c>
      <c r="BZ255" s="37">
        <f t="shared" si="137"/>
        <v>88</v>
      </c>
      <c r="CA255" s="32" t="str">
        <f>VLOOKUP(J:J,'Agent wise'!A:C,3,0)</f>
        <v xml:space="preserve">Shiny </v>
      </c>
      <c r="CB255" s="32">
        <f t="shared" si="138"/>
        <v>45935</v>
      </c>
      <c r="CC255" t="str">
        <f t="shared" si="139"/>
        <v>Average</v>
      </c>
      <c r="CE255" s="32"/>
      <c r="CJ255">
        <f t="shared" si="140"/>
        <v>5</v>
      </c>
      <c r="CK255">
        <f t="shared" si="141"/>
        <v>10</v>
      </c>
      <c r="CL255">
        <f t="shared" si="142"/>
        <v>2025</v>
      </c>
    </row>
    <row r="256" spans="1:90" ht="15" customHeight="1" x14ac:dyDescent="0.35">
      <c r="A256" s="40">
        <v>45787.714375000003</v>
      </c>
      <c r="B256" t="s">
        <v>250</v>
      </c>
      <c r="C256" t="s">
        <v>214</v>
      </c>
      <c r="D256" t="s">
        <v>251</v>
      </c>
      <c r="E256" s="32">
        <v>45934</v>
      </c>
      <c r="F256" t="s">
        <v>54</v>
      </c>
      <c r="G256" s="2">
        <v>45757</v>
      </c>
      <c r="H256">
        <v>8608914994</v>
      </c>
      <c r="I256">
        <v>143</v>
      </c>
      <c r="J256" t="s">
        <v>191</v>
      </c>
      <c r="K256" t="s">
        <v>71</v>
      </c>
      <c r="L256" t="s">
        <v>72</v>
      </c>
      <c r="M256" t="s">
        <v>59</v>
      </c>
      <c r="N256" t="s">
        <v>59</v>
      </c>
      <c r="O256" t="s">
        <v>59</v>
      </c>
      <c r="P256" t="s">
        <v>59</v>
      </c>
      <c r="Q256" t="s">
        <v>59</v>
      </c>
      <c r="R256" t="s">
        <v>59</v>
      </c>
      <c r="S256" t="s">
        <v>59</v>
      </c>
      <c r="T256" t="s">
        <v>59</v>
      </c>
      <c r="U256" t="s">
        <v>60</v>
      </c>
      <c r="V256" t="s">
        <v>59</v>
      </c>
      <c r="W256" t="s">
        <v>59</v>
      </c>
      <c r="X256" t="s">
        <v>59</v>
      </c>
      <c r="Y256" t="s">
        <v>59</v>
      </c>
      <c r="Z256" t="s">
        <v>59</v>
      </c>
      <c r="AA256" t="s">
        <v>59</v>
      </c>
      <c r="AB256" t="s">
        <v>60</v>
      </c>
      <c r="AC256" t="s">
        <v>59</v>
      </c>
      <c r="AD256" t="s">
        <v>59</v>
      </c>
      <c r="AE256" t="s">
        <v>59</v>
      </c>
      <c r="AF256" t="s">
        <v>59</v>
      </c>
      <c r="AG256" t="s">
        <v>59</v>
      </c>
      <c r="AH256" t="s">
        <v>61</v>
      </c>
      <c r="AI256" t="s">
        <v>59</v>
      </c>
      <c r="AJ256" t="s">
        <v>59</v>
      </c>
      <c r="AK256" t="s">
        <v>59</v>
      </c>
      <c r="AL256" t="s">
        <v>60</v>
      </c>
      <c r="AM256" t="s">
        <v>59</v>
      </c>
      <c r="AN256" t="s">
        <v>59</v>
      </c>
      <c r="AO256" t="s">
        <v>59</v>
      </c>
      <c r="AP256" t="s">
        <v>578</v>
      </c>
      <c r="AQ256" t="s">
        <v>782</v>
      </c>
      <c r="AR256" t="s">
        <v>64</v>
      </c>
      <c r="AS256" t="s">
        <v>198</v>
      </c>
      <c r="AT256" t="s">
        <v>386</v>
      </c>
      <c r="AU256" t="s">
        <v>219</v>
      </c>
      <c r="AW256" s="4">
        <f t="shared" si="108"/>
        <v>6</v>
      </c>
      <c r="AX256" s="4">
        <f t="shared" si="109"/>
        <v>4</v>
      </c>
      <c r="AY256" s="4">
        <f t="shared" si="110"/>
        <v>4</v>
      </c>
      <c r="AZ256" s="4">
        <f t="shared" si="111"/>
        <v>2</v>
      </c>
      <c r="BA256" s="4">
        <f t="shared" si="112"/>
        <v>4</v>
      </c>
      <c r="BB256" s="4">
        <f t="shared" si="113"/>
        <v>4</v>
      </c>
      <c r="BC256" s="4">
        <f t="shared" si="114"/>
        <v>4</v>
      </c>
      <c r="BD256" s="4">
        <f t="shared" si="115"/>
        <v>2</v>
      </c>
      <c r="BE256" s="4" t="str">
        <f t="shared" si="116"/>
        <v>0</v>
      </c>
      <c r="BF256" s="4">
        <f t="shared" si="117"/>
        <v>2</v>
      </c>
      <c r="BG256" s="4">
        <f t="shared" si="118"/>
        <v>4</v>
      </c>
      <c r="BH256" s="4">
        <f t="shared" si="119"/>
        <v>4</v>
      </c>
      <c r="BI256" s="4">
        <f t="shared" si="120"/>
        <v>4</v>
      </c>
      <c r="BJ256" s="4">
        <f t="shared" si="121"/>
        <v>2</v>
      </c>
      <c r="BK256" s="4">
        <f t="shared" si="122"/>
        <v>4</v>
      </c>
      <c r="BL256" s="4" t="str">
        <f t="shared" si="123"/>
        <v>0</v>
      </c>
      <c r="BM256" s="4">
        <f t="shared" si="124"/>
        <v>4</v>
      </c>
      <c r="BN256" s="4">
        <f t="shared" si="125"/>
        <v>4</v>
      </c>
      <c r="BO256" s="4">
        <f t="shared" si="126"/>
        <v>4</v>
      </c>
      <c r="BP256" s="4">
        <f t="shared" si="127"/>
        <v>4</v>
      </c>
      <c r="BQ256" s="4">
        <f t="shared" si="128"/>
        <v>6</v>
      </c>
      <c r="BR256" s="4">
        <f t="shared" si="129"/>
        <v>4</v>
      </c>
      <c r="BS256" s="4">
        <f t="shared" si="130"/>
        <v>4</v>
      </c>
      <c r="BT256" s="4">
        <f t="shared" si="131"/>
        <v>4</v>
      </c>
      <c r="BU256" s="4">
        <f t="shared" si="132"/>
        <v>4</v>
      </c>
      <c r="BV256" s="4" t="str">
        <f t="shared" si="133"/>
        <v>0</v>
      </c>
      <c r="BW256" s="4">
        <f t="shared" si="134"/>
        <v>6</v>
      </c>
      <c r="BX256" s="4">
        <f t="shared" si="135"/>
        <v>0</v>
      </c>
      <c r="BY256" s="4">
        <f t="shared" si="136"/>
        <v>0</v>
      </c>
      <c r="BZ256" s="37">
        <f t="shared" si="137"/>
        <v>94</v>
      </c>
      <c r="CA256" s="32" t="str">
        <f>VLOOKUP(J:J,'Agent wise'!A:C,3,0)</f>
        <v>Saran S</v>
      </c>
      <c r="CB256" s="32">
        <f t="shared" si="138"/>
        <v>45934</v>
      </c>
      <c r="CC256" t="str">
        <f t="shared" si="139"/>
        <v>Good</v>
      </c>
      <c r="CE256" s="32"/>
      <c r="CJ256">
        <f t="shared" si="140"/>
        <v>4</v>
      </c>
      <c r="CK256">
        <f t="shared" si="141"/>
        <v>10</v>
      </c>
      <c r="CL256">
        <f t="shared" si="142"/>
        <v>2025</v>
      </c>
    </row>
    <row r="257" spans="1:90" ht="15" customHeight="1" x14ac:dyDescent="0.35">
      <c r="A257" s="40">
        <v>45787.717905092592</v>
      </c>
      <c r="B257" t="s">
        <v>250</v>
      </c>
      <c r="C257" t="s">
        <v>214</v>
      </c>
      <c r="D257" t="s">
        <v>251</v>
      </c>
      <c r="E257" s="32">
        <v>45935</v>
      </c>
      <c r="F257" t="s">
        <v>54</v>
      </c>
      <c r="G257" s="2">
        <v>45757</v>
      </c>
      <c r="H257">
        <v>9656543626</v>
      </c>
      <c r="I257">
        <v>158</v>
      </c>
      <c r="J257" t="s">
        <v>195</v>
      </c>
      <c r="K257" t="s">
        <v>57</v>
      </c>
      <c r="L257" t="s">
        <v>58</v>
      </c>
      <c r="M257" t="s">
        <v>59</v>
      </c>
      <c r="N257" t="s">
        <v>59</v>
      </c>
      <c r="O257" t="s">
        <v>59</v>
      </c>
      <c r="P257" t="s">
        <v>59</v>
      </c>
      <c r="Q257" t="s">
        <v>59</v>
      </c>
      <c r="R257" t="s">
        <v>59</v>
      </c>
      <c r="S257" t="s">
        <v>59</v>
      </c>
      <c r="T257" t="s">
        <v>59</v>
      </c>
      <c r="U257" t="s">
        <v>60</v>
      </c>
      <c r="V257" t="s">
        <v>59</v>
      </c>
      <c r="W257" t="s">
        <v>59</v>
      </c>
      <c r="X257" t="s">
        <v>59</v>
      </c>
      <c r="Y257" t="s">
        <v>59</v>
      </c>
      <c r="Z257" t="s">
        <v>59</v>
      </c>
      <c r="AA257" t="s">
        <v>60</v>
      </c>
      <c r="AB257" t="s">
        <v>59</v>
      </c>
      <c r="AC257" t="s">
        <v>59</v>
      </c>
      <c r="AD257" t="s">
        <v>59</v>
      </c>
      <c r="AE257" t="s">
        <v>59</v>
      </c>
      <c r="AF257" t="s">
        <v>59</v>
      </c>
      <c r="AG257" t="s">
        <v>59</v>
      </c>
      <c r="AH257" t="s">
        <v>61</v>
      </c>
      <c r="AI257" t="s">
        <v>61</v>
      </c>
      <c r="AJ257" t="s">
        <v>59</v>
      </c>
      <c r="AK257" t="s">
        <v>59</v>
      </c>
      <c r="AL257" t="s">
        <v>60</v>
      </c>
      <c r="AM257" t="s">
        <v>59</v>
      </c>
      <c r="AN257" t="s">
        <v>59</v>
      </c>
      <c r="AO257" t="s">
        <v>59</v>
      </c>
      <c r="AP257" t="s">
        <v>783</v>
      </c>
      <c r="AQ257" t="s">
        <v>784</v>
      </c>
      <c r="AR257" t="s">
        <v>64</v>
      </c>
      <c r="AS257" t="s">
        <v>111</v>
      </c>
      <c r="AT257" t="s">
        <v>112</v>
      </c>
      <c r="AU257" t="s">
        <v>219</v>
      </c>
      <c r="AW257" s="4">
        <f t="shared" si="108"/>
        <v>6</v>
      </c>
      <c r="AX257" s="4">
        <f t="shared" si="109"/>
        <v>4</v>
      </c>
      <c r="AY257" s="4">
        <f t="shared" si="110"/>
        <v>4</v>
      </c>
      <c r="AZ257" s="4">
        <f t="shared" si="111"/>
        <v>2</v>
      </c>
      <c r="BA257" s="4">
        <f t="shared" si="112"/>
        <v>4</v>
      </c>
      <c r="BB257" s="4">
        <f t="shared" si="113"/>
        <v>4</v>
      </c>
      <c r="BC257" s="4">
        <f t="shared" si="114"/>
        <v>4</v>
      </c>
      <c r="BD257" s="4">
        <f t="shared" si="115"/>
        <v>2</v>
      </c>
      <c r="BE257" s="4" t="str">
        <f t="shared" si="116"/>
        <v>0</v>
      </c>
      <c r="BF257" s="4">
        <f t="shared" si="117"/>
        <v>2</v>
      </c>
      <c r="BG257" s="4">
        <f t="shared" si="118"/>
        <v>4</v>
      </c>
      <c r="BH257" s="4">
        <f t="shared" si="119"/>
        <v>4</v>
      </c>
      <c r="BI257" s="4">
        <f t="shared" si="120"/>
        <v>4</v>
      </c>
      <c r="BJ257" s="4">
        <f t="shared" si="121"/>
        <v>2</v>
      </c>
      <c r="BK257" s="4" t="str">
        <f t="shared" si="122"/>
        <v>0</v>
      </c>
      <c r="BL257" s="4">
        <f t="shared" si="123"/>
        <v>2</v>
      </c>
      <c r="BM257" s="4">
        <f t="shared" si="124"/>
        <v>4</v>
      </c>
      <c r="BN257" s="4">
        <f t="shared" si="125"/>
        <v>4</v>
      </c>
      <c r="BO257" s="4">
        <f t="shared" si="126"/>
        <v>4</v>
      </c>
      <c r="BP257" s="4">
        <f t="shared" si="127"/>
        <v>4</v>
      </c>
      <c r="BQ257" s="4">
        <f t="shared" si="128"/>
        <v>6</v>
      </c>
      <c r="BR257" s="4">
        <f t="shared" si="129"/>
        <v>4</v>
      </c>
      <c r="BS257" s="4">
        <f t="shared" si="130"/>
        <v>4</v>
      </c>
      <c r="BT257" s="4">
        <f t="shared" si="131"/>
        <v>4</v>
      </c>
      <c r="BU257" s="4">
        <f t="shared" si="132"/>
        <v>4</v>
      </c>
      <c r="BV257" s="4" t="str">
        <f t="shared" si="133"/>
        <v>0</v>
      </c>
      <c r="BW257" s="4">
        <f t="shared" si="134"/>
        <v>6</v>
      </c>
      <c r="BX257" s="4">
        <f t="shared" si="135"/>
        <v>0</v>
      </c>
      <c r="BY257" s="4">
        <f t="shared" si="136"/>
        <v>0</v>
      </c>
      <c r="BZ257" s="37">
        <f t="shared" si="137"/>
        <v>92</v>
      </c>
      <c r="CA257" s="32" t="str">
        <f>VLOOKUP(J:J,'Agent wise'!A:C,3,0)</f>
        <v>Adharsh</v>
      </c>
      <c r="CB257" s="32">
        <f t="shared" si="138"/>
        <v>45935</v>
      </c>
      <c r="CC257" t="str">
        <f t="shared" si="139"/>
        <v>Good</v>
      </c>
      <c r="CE257" s="32"/>
      <c r="CJ257">
        <f t="shared" si="140"/>
        <v>5</v>
      </c>
      <c r="CK257">
        <f t="shared" si="141"/>
        <v>10</v>
      </c>
      <c r="CL257">
        <f t="shared" si="142"/>
        <v>2025</v>
      </c>
    </row>
    <row r="258" spans="1:90" ht="15" customHeight="1" x14ac:dyDescent="0.35">
      <c r="A258" s="40">
        <v>45787.734317129631</v>
      </c>
      <c r="B258" t="s">
        <v>250</v>
      </c>
      <c r="C258" t="s">
        <v>214</v>
      </c>
      <c r="D258" t="s">
        <v>251</v>
      </c>
      <c r="E258" s="32">
        <v>45935</v>
      </c>
      <c r="F258" t="s">
        <v>54</v>
      </c>
      <c r="G258" s="2">
        <v>45757</v>
      </c>
      <c r="H258">
        <v>9946828218</v>
      </c>
      <c r="I258">
        <v>176</v>
      </c>
      <c r="J258" t="s">
        <v>412</v>
      </c>
      <c r="K258" t="s">
        <v>57</v>
      </c>
      <c r="L258" t="s">
        <v>58</v>
      </c>
      <c r="M258" t="s">
        <v>59</v>
      </c>
      <c r="N258" t="s">
        <v>59</v>
      </c>
      <c r="O258" t="s">
        <v>59</v>
      </c>
      <c r="P258" t="s">
        <v>59</v>
      </c>
      <c r="Q258" t="s">
        <v>59</v>
      </c>
      <c r="R258" t="s">
        <v>59</v>
      </c>
      <c r="S258" t="s">
        <v>59</v>
      </c>
      <c r="T258" t="s">
        <v>59</v>
      </c>
      <c r="U258" t="s">
        <v>60</v>
      </c>
      <c r="V258" t="s">
        <v>59</v>
      </c>
      <c r="W258" t="s">
        <v>59</v>
      </c>
      <c r="X258" t="s">
        <v>59</v>
      </c>
      <c r="Y258" t="s">
        <v>59</v>
      </c>
      <c r="Z258" t="s">
        <v>59</v>
      </c>
      <c r="AA258" t="s">
        <v>59</v>
      </c>
      <c r="AB258" t="s">
        <v>59</v>
      </c>
      <c r="AC258" t="s">
        <v>59</v>
      </c>
      <c r="AD258" t="s">
        <v>59</v>
      </c>
      <c r="AE258" t="s">
        <v>59</v>
      </c>
      <c r="AF258" t="s">
        <v>59</v>
      </c>
      <c r="AG258" t="s">
        <v>59</v>
      </c>
      <c r="AH258" t="s">
        <v>61</v>
      </c>
      <c r="AI258" t="s">
        <v>61</v>
      </c>
      <c r="AJ258" t="s">
        <v>59</v>
      </c>
      <c r="AK258" t="s">
        <v>59</v>
      </c>
      <c r="AL258" t="s">
        <v>60</v>
      </c>
      <c r="AM258" t="s">
        <v>59</v>
      </c>
      <c r="AN258" t="s">
        <v>59</v>
      </c>
      <c r="AO258" t="s">
        <v>59</v>
      </c>
      <c r="AP258" t="s">
        <v>696</v>
      </c>
      <c r="AQ258" t="s">
        <v>785</v>
      </c>
      <c r="AR258" t="s">
        <v>64</v>
      </c>
      <c r="AS258" t="s">
        <v>198</v>
      </c>
      <c r="AT258" t="s">
        <v>479</v>
      </c>
      <c r="AU258" t="s">
        <v>219</v>
      </c>
      <c r="AW258" s="4">
        <f t="shared" si="108"/>
        <v>6</v>
      </c>
      <c r="AX258" s="4">
        <f t="shared" si="109"/>
        <v>4</v>
      </c>
      <c r="AY258" s="4">
        <f t="shared" si="110"/>
        <v>4</v>
      </c>
      <c r="AZ258" s="4">
        <f t="shared" si="111"/>
        <v>2</v>
      </c>
      <c r="BA258" s="4">
        <f t="shared" si="112"/>
        <v>4</v>
      </c>
      <c r="BB258" s="4">
        <f t="shared" si="113"/>
        <v>4</v>
      </c>
      <c r="BC258" s="4">
        <f t="shared" si="114"/>
        <v>4</v>
      </c>
      <c r="BD258" s="4">
        <f t="shared" si="115"/>
        <v>2</v>
      </c>
      <c r="BE258" s="4" t="str">
        <f t="shared" si="116"/>
        <v>0</v>
      </c>
      <c r="BF258" s="4">
        <f t="shared" si="117"/>
        <v>2</v>
      </c>
      <c r="BG258" s="4">
        <f t="shared" si="118"/>
        <v>4</v>
      </c>
      <c r="BH258" s="4">
        <f t="shared" si="119"/>
        <v>4</v>
      </c>
      <c r="BI258" s="4">
        <f t="shared" si="120"/>
        <v>4</v>
      </c>
      <c r="BJ258" s="4">
        <f t="shared" si="121"/>
        <v>2</v>
      </c>
      <c r="BK258" s="4">
        <f t="shared" si="122"/>
        <v>4</v>
      </c>
      <c r="BL258" s="4">
        <f t="shared" si="123"/>
        <v>2</v>
      </c>
      <c r="BM258" s="4">
        <f t="shared" si="124"/>
        <v>4</v>
      </c>
      <c r="BN258" s="4">
        <f t="shared" si="125"/>
        <v>4</v>
      </c>
      <c r="BO258" s="4">
        <f t="shared" si="126"/>
        <v>4</v>
      </c>
      <c r="BP258" s="4">
        <f t="shared" si="127"/>
        <v>4</v>
      </c>
      <c r="BQ258" s="4">
        <f t="shared" si="128"/>
        <v>6</v>
      </c>
      <c r="BR258" s="4">
        <f t="shared" si="129"/>
        <v>4</v>
      </c>
      <c r="BS258" s="4">
        <f t="shared" si="130"/>
        <v>4</v>
      </c>
      <c r="BT258" s="4">
        <f t="shared" si="131"/>
        <v>4</v>
      </c>
      <c r="BU258" s="4">
        <f t="shared" si="132"/>
        <v>4</v>
      </c>
      <c r="BV258" s="4" t="str">
        <f t="shared" si="133"/>
        <v>0</v>
      </c>
      <c r="BW258" s="4">
        <f t="shared" si="134"/>
        <v>6</v>
      </c>
      <c r="BX258" s="4">
        <f t="shared" si="135"/>
        <v>0</v>
      </c>
      <c r="BY258" s="4">
        <f t="shared" si="136"/>
        <v>0</v>
      </c>
      <c r="BZ258" s="37">
        <f t="shared" si="137"/>
        <v>96</v>
      </c>
      <c r="CA258" s="32" t="str">
        <f>VLOOKUP(J:J,'Agent wise'!A:C,3,0)</f>
        <v>Saran S</v>
      </c>
      <c r="CB258" s="32">
        <f t="shared" si="138"/>
        <v>45935</v>
      </c>
      <c r="CC258" t="str">
        <f t="shared" si="139"/>
        <v>Excellent</v>
      </c>
      <c r="CE258" s="32"/>
      <c r="CJ258">
        <f t="shared" si="140"/>
        <v>5</v>
      </c>
      <c r="CK258">
        <f t="shared" si="141"/>
        <v>10</v>
      </c>
      <c r="CL258">
        <f t="shared" si="142"/>
        <v>2025</v>
      </c>
    </row>
    <row r="259" spans="1:90" ht="15" customHeight="1" x14ac:dyDescent="0.35">
      <c r="A259" s="40">
        <v>45787.739988425928</v>
      </c>
      <c r="B259" t="s">
        <v>250</v>
      </c>
      <c r="C259" t="s">
        <v>214</v>
      </c>
      <c r="D259" t="s">
        <v>251</v>
      </c>
      <c r="E259" s="32">
        <v>45934</v>
      </c>
      <c r="F259" t="s">
        <v>54</v>
      </c>
      <c r="G259" s="2">
        <v>45757</v>
      </c>
      <c r="H259">
        <v>9400370179</v>
      </c>
      <c r="I259">
        <v>1148</v>
      </c>
      <c r="J259" t="s">
        <v>183</v>
      </c>
      <c r="K259" t="s">
        <v>57</v>
      </c>
      <c r="L259" t="s">
        <v>58</v>
      </c>
      <c r="M259" t="s">
        <v>59</v>
      </c>
      <c r="N259" t="s">
        <v>59</v>
      </c>
      <c r="O259" t="s">
        <v>59</v>
      </c>
      <c r="P259" t="s">
        <v>59</v>
      </c>
      <c r="Q259" t="s">
        <v>59</v>
      </c>
      <c r="R259" t="s">
        <v>59</v>
      </c>
      <c r="S259" t="s">
        <v>59</v>
      </c>
      <c r="T259" t="s">
        <v>59</v>
      </c>
      <c r="U259" t="s">
        <v>60</v>
      </c>
      <c r="V259" t="s">
        <v>59</v>
      </c>
      <c r="W259" t="s">
        <v>59</v>
      </c>
      <c r="X259" t="s">
        <v>59</v>
      </c>
      <c r="Y259" t="s">
        <v>59</v>
      </c>
      <c r="Z259" t="s">
        <v>59</v>
      </c>
      <c r="AA259" t="s">
        <v>60</v>
      </c>
      <c r="AB259" t="s">
        <v>60</v>
      </c>
      <c r="AC259" t="s">
        <v>59</v>
      </c>
      <c r="AD259" t="s">
        <v>59</v>
      </c>
      <c r="AE259" t="s">
        <v>59</v>
      </c>
      <c r="AF259" t="s">
        <v>59</v>
      </c>
      <c r="AG259" t="s">
        <v>59</v>
      </c>
      <c r="AH259" t="s">
        <v>61</v>
      </c>
      <c r="AI259" t="s">
        <v>61</v>
      </c>
      <c r="AJ259" t="s">
        <v>59</v>
      </c>
      <c r="AK259" t="s">
        <v>59</v>
      </c>
      <c r="AL259" t="s">
        <v>60</v>
      </c>
      <c r="AM259" t="s">
        <v>59</v>
      </c>
      <c r="AN259" t="s">
        <v>59</v>
      </c>
      <c r="AO259" t="s">
        <v>59</v>
      </c>
      <c r="AP259" t="s">
        <v>786</v>
      </c>
      <c r="AQ259" t="s">
        <v>787</v>
      </c>
      <c r="AR259" t="s">
        <v>64</v>
      </c>
      <c r="AS259" t="s">
        <v>255</v>
      </c>
      <c r="AT259" t="s">
        <v>256</v>
      </c>
      <c r="AU259" t="s">
        <v>219</v>
      </c>
      <c r="AW259" s="4">
        <f t="shared" ref="AW259:AW322" si="143">IF(OR(M259="YES", M259="Not Applicable"), AW$1, "0")</f>
        <v>6</v>
      </c>
      <c r="AX259" s="4">
        <f t="shared" ref="AX259:AX322" si="144">IF(OR(N259="YES", N259="Not Applicable"), AX$1, "0")</f>
        <v>4</v>
      </c>
      <c r="AY259" s="4">
        <f t="shared" ref="AY259:AY322" si="145">IF(OR(O259="YES", O259="Not Applicable"), AY$1, "0")</f>
        <v>4</v>
      </c>
      <c r="AZ259" s="4">
        <f t="shared" ref="AZ259:AZ322" si="146">IF(OR(P259="YES", P259="Not Applicable"), AZ$1, "0")</f>
        <v>2</v>
      </c>
      <c r="BA259" s="4">
        <f t="shared" ref="BA259:BA322" si="147">IF(OR(Q259="YES", Q259="Not Applicable"), BA$1, "0")</f>
        <v>4</v>
      </c>
      <c r="BB259" s="4">
        <f t="shared" ref="BB259:BB322" si="148">IF(OR(R259="YES", R259="Not Applicable"), BB$1, "0")</f>
        <v>4</v>
      </c>
      <c r="BC259" s="4">
        <f t="shared" ref="BC259:BC322" si="149">IF(OR(S259="YES", S259="Not Applicable"), BC$1, "0")</f>
        <v>4</v>
      </c>
      <c r="BD259" s="4">
        <f t="shared" ref="BD259:BD322" si="150">IF(OR(T259="YES", T259="Not Applicable"), BD$1, "0")</f>
        <v>2</v>
      </c>
      <c r="BE259" s="4" t="str">
        <f t="shared" ref="BE259:BE322" si="151">IF(OR(U259="YES", U259="Not Applicable"), BE$1, "0")</f>
        <v>0</v>
      </c>
      <c r="BF259" s="4">
        <f t="shared" ref="BF259:BF322" si="152">IF(OR(V259="YES", V259="Not Applicable"), BF$1, "0")</f>
        <v>2</v>
      </c>
      <c r="BG259" s="4">
        <f t="shared" ref="BG259:BG322" si="153">IF(OR(W259="YES", W259="Not Applicable"), BG$1, "0")</f>
        <v>4</v>
      </c>
      <c r="BH259" s="4">
        <f t="shared" ref="BH259:BH322" si="154">IF(OR(X259="YES", X259="Not Applicable"), BH$1, "0")</f>
        <v>4</v>
      </c>
      <c r="BI259" s="4">
        <f t="shared" ref="BI259:BI322" si="155">IF(OR(Y259="YES", Y259="Not Applicable"), BI$1, "0")</f>
        <v>4</v>
      </c>
      <c r="BJ259" s="4">
        <f t="shared" ref="BJ259:BJ322" si="156">IF(OR(Z259="YES", Z259="Not Applicable"), BJ$1, "0")</f>
        <v>2</v>
      </c>
      <c r="BK259" s="4" t="str">
        <f t="shared" ref="BK259:BK322" si="157">IF(OR(AA259="YES", AA259="Not Applicable"), BK$1, "0")</f>
        <v>0</v>
      </c>
      <c r="BL259" s="4" t="str">
        <f t="shared" ref="BL259:BL322" si="158">IF(OR(AB259="YES", AB259="Not Applicable"), BL$1, "0")</f>
        <v>0</v>
      </c>
      <c r="BM259" s="4">
        <f t="shared" ref="BM259:BM322" si="159">IF(OR(AC259="YES", AC259="Not Applicable"), BM$1, "0")</f>
        <v>4</v>
      </c>
      <c r="BN259" s="4">
        <f t="shared" ref="BN259:BN322" si="160">IF(OR(AD259="YES", AD259="Not Applicable"), BN$1, "0")</f>
        <v>4</v>
      </c>
      <c r="BO259" s="4">
        <f t="shared" ref="BO259:BO322" si="161">IF(OR(AE259="YES", AE259="Not Applicable"), BO$1, "0")</f>
        <v>4</v>
      </c>
      <c r="BP259" s="4">
        <f t="shared" ref="BP259:BP322" si="162">IF(OR(AF259="YES", AF259="Not Applicable"), BP$1, "0")</f>
        <v>4</v>
      </c>
      <c r="BQ259" s="4">
        <f t="shared" ref="BQ259:BQ322" si="163">IF(OR(AG259="YES", AG259="Not Applicable"), BQ$1, "0")</f>
        <v>6</v>
      </c>
      <c r="BR259" s="4">
        <f t="shared" ref="BR259:BR322" si="164">IF(OR(AH259="YES", AH259="Not Applicable"), BR$1, "0")</f>
        <v>4</v>
      </c>
      <c r="BS259" s="4">
        <f t="shared" ref="BS259:BS322" si="165">IF(OR(AI259="YES", AI259="Not Applicable"), BS$1, "0")</f>
        <v>4</v>
      </c>
      <c r="BT259" s="4">
        <f t="shared" ref="BT259:BT322" si="166">IF(OR(AJ259="YES", AJ259="Not Applicable"), BT$1, "0")</f>
        <v>4</v>
      </c>
      <c r="BU259" s="4">
        <f t="shared" ref="BU259:BU322" si="167">IF(OR(AK259="YES", AK259="Not Applicable"), BU$1, "0")</f>
        <v>4</v>
      </c>
      <c r="BV259" s="4" t="str">
        <f t="shared" ref="BV259:BV322" si="168">IF(OR(AL259="YES", AL259="Not Applicable"), BV$1, "0")</f>
        <v>0</v>
      </c>
      <c r="BW259" s="4">
        <f t="shared" ref="BW259:BW322" si="169">IF(OR(AM259="YES", AM259="Not Applicable"), BW$1, "0")</f>
        <v>6</v>
      </c>
      <c r="BX259" s="4">
        <f t="shared" ref="BX259:BX322" si="170">IF(OR(AN259="YES", AN259="Not Applicable"), BX$1, "0")</f>
        <v>0</v>
      </c>
      <c r="BY259" s="4">
        <f t="shared" ref="BY259:BY322" si="171">IF(OR(AO259="YES", AO259="Not Applicable"), BY$1, "0")</f>
        <v>0</v>
      </c>
      <c r="BZ259" s="37">
        <f t="shared" ref="BZ259:BZ322" si="172">SUM(AW259:BY259)</f>
        <v>90</v>
      </c>
      <c r="CA259" s="32" t="str">
        <f>VLOOKUP(J:J,'Agent wise'!A:C,3,0)</f>
        <v>Adharsh</v>
      </c>
      <c r="CB259" s="32">
        <f t="shared" ref="CB259:CB322" si="173">INT(E259)</f>
        <v>45934</v>
      </c>
      <c r="CC259" t="str">
        <f t="shared" ref="CC259:CC322" si="174">IF(BZ259&gt;=94.5, "Excellent", IF(BZ259&gt;89.5, "Good", IF(BZ259&gt;84.5, "Average", "FC")))</f>
        <v>Good</v>
      </c>
      <c r="CE259" s="32"/>
      <c r="CJ259">
        <f t="shared" si="140"/>
        <v>4</v>
      </c>
      <c r="CK259">
        <f t="shared" si="141"/>
        <v>10</v>
      </c>
      <c r="CL259">
        <f t="shared" si="142"/>
        <v>2025</v>
      </c>
    </row>
    <row r="260" spans="1:90" ht="15" customHeight="1" x14ac:dyDescent="0.35">
      <c r="A260" s="40">
        <v>45787.747210648151</v>
      </c>
      <c r="B260" t="s">
        <v>250</v>
      </c>
      <c r="C260" t="s">
        <v>214</v>
      </c>
      <c r="D260" t="s">
        <v>251</v>
      </c>
      <c r="E260" s="32">
        <v>45935</v>
      </c>
      <c r="F260" t="s">
        <v>54</v>
      </c>
      <c r="G260" s="2">
        <v>45757</v>
      </c>
      <c r="H260">
        <v>9400846131</v>
      </c>
      <c r="I260">
        <v>182</v>
      </c>
      <c r="J260" t="s">
        <v>102</v>
      </c>
      <c r="K260" t="s">
        <v>57</v>
      </c>
      <c r="L260" t="s">
        <v>58</v>
      </c>
      <c r="M260" t="s">
        <v>59</v>
      </c>
      <c r="N260" t="s">
        <v>59</v>
      </c>
      <c r="O260" t="s">
        <v>59</v>
      </c>
      <c r="P260" t="s">
        <v>59</v>
      </c>
      <c r="Q260" t="s">
        <v>59</v>
      </c>
      <c r="R260" t="s">
        <v>59</v>
      </c>
      <c r="S260" t="s">
        <v>59</v>
      </c>
      <c r="T260" t="s">
        <v>59</v>
      </c>
      <c r="U260" t="s">
        <v>60</v>
      </c>
      <c r="V260" t="s">
        <v>59</v>
      </c>
      <c r="W260" t="s">
        <v>59</v>
      </c>
      <c r="X260" t="s">
        <v>59</v>
      </c>
      <c r="Y260" t="s">
        <v>59</v>
      </c>
      <c r="Z260" t="s">
        <v>59</v>
      </c>
      <c r="AA260" t="s">
        <v>60</v>
      </c>
      <c r="AB260" t="s">
        <v>60</v>
      </c>
      <c r="AC260" t="s">
        <v>59</v>
      </c>
      <c r="AD260" t="s">
        <v>59</v>
      </c>
      <c r="AE260" t="s">
        <v>59</v>
      </c>
      <c r="AF260" t="s">
        <v>59</v>
      </c>
      <c r="AG260" t="s">
        <v>59</v>
      </c>
      <c r="AH260" t="s">
        <v>61</v>
      </c>
      <c r="AI260" t="s">
        <v>61</v>
      </c>
      <c r="AJ260" t="s">
        <v>59</v>
      </c>
      <c r="AK260" t="s">
        <v>59</v>
      </c>
      <c r="AL260" t="s">
        <v>60</v>
      </c>
      <c r="AM260" t="s">
        <v>59</v>
      </c>
      <c r="AN260" t="s">
        <v>59</v>
      </c>
      <c r="AO260" t="s">
        <v>59</v>
      </c>
      <c r="AP260" t="s">
        <v>788</v>
      </c>
      <c r="AQ260" t="s">
        <v>789</v>
      </c>
      <c r="AR260" t="s">
        <v>64</v>
      </c>
      <c r="AS260" t="s">
        <v>771</v>
      </c>
      <c r="AT260" t="s">
        <v>790</v>
      </c>
      <c r="AU260" t="s">
        <v>219</v>
      </c>
      <c r="AW260" s="4">
        <f t="shared" si="143"/>
        <v>6</v>
      </c>
      <c r="AX260" s="4">
        <f t="shared" si="144"/>
        <v>4</v>
      </c>
      <c r="AY260" s="4">
        <f t="shared" si="145"/>
        <v>4</v>
      </c>
      <c r="AZ260" s="4">
        <f t="shared" si="146"/>
        <v>2</v>
      </c>
      <c r="BA260" s="4">
        <f t="shared" si="147"/>
        <v>4</v>
      </c>
      <c r="BB260" s="4">
        <f t="shared" si="148"/>
        <v>4</v>
      </c>
      <c r="BC260" s="4">
        <f t="shared" si="149"/>
        <v>4</v>
      </c>
      <c r="BD260" s="4">
        <f t="shared" si="150"/>
        <v>2</v>
      </c>
      <c r="BE260" s="4" t="str">
        <f t="shared" si="151"/>
        <v>0</v>
      </c>
      <c r="BF260" s="4">
        <f t="shared" si="152"/>
        <v>2</v>
      </c>
      <c r="BG260" s="4">
        <f t="shared" si="153"/>
        <v>4</v>
      </c>
      <c r="BH260" s="4">
        <f t="shared" si="154"/>
        <v>4</v>
      </c>
      <c r="BI260" s="4">
        <f t="shared" si="155"/>
        <v>4</v>
      </c>
      <c r="BJ260" s="4">
        <f t="shared" si="156"/>
        <v>2</v>
      </c>
      <c r="BK260" s="4" t="str">
        <f t="shared" si="157"/>
        <v>0</v>
      </c>
      <c r="BL260" s="4" t="str">
        <f t="shared" si="158"/>
        <v>0</v>
      </c>
      <c r="BM260" s="4">
        <f t="shared" si="159"/>
        <v>4</v>
      </c>
      <c r="BN260" s="4">
        <f t="shared" si="160"/>
        <v>4</v>
      </c>
      <c r="BO260" s="4">
        <f t="shared" si="161"/>
        <v>4</v>
      </c>
      <c r="BP260" s="4">
        <f t="shared" si="162"/>
        <v>4</v>
      </c>
      <c r="BQ260" s="4">
        <f t="shared" si="163"/>
        <v>6</v>
      </c>
      <c r="BR260" s="4">
        <f t="shared" si="164"/>
        <v>4</v>
      </c>
      <c r="BS260" s="4">
        <f t="shared" si="165"/>
        <v>4</v>
      </c>
      <c r="BT260" s="4">
        <f t="shared" si="166"/>
        <v>4</v>
      </c>
      <c r="BU260" s="4">
        <f t="shared" si="167"/>
        <v>4</v>
      </c>
      <c r="BV260" s="4" t="str">
        <f t="shared" si="168"/>
        <v>0</v>
      </c>
      <c r="BW260" s="4">
        <f t="shared" si="169"/>
        <v>6</v>
      </c>
      <c r="BX260" s="4">
        <f t="shared" si="170"/>
        <v>0</v>
      </c>
      <c r="BY260" s="4">
        <f t="shared" si="171"/>
        <v>0</v>
      </c>
      <c r="BZ260" s="37">
        <f t="shared" si="172"/>
        <v>90</v>
      </c>
      <c r="CA260" s="32" t="str">
        <f>VLOOKUP(J:J,'Agent wise'!A:C,3,0)</f>
        <v>Shakeer</v>
      </c>
      <c r="CB260" s="32">
        <f t="shared" si="173"/>
        <v>45935</v>
      </c>
      <c r="CC260" t="str">
        <f t="shared" si="174"/>
        <v>Good</v>
      </c>
      <c r="CE260" s="32"/>
      <c r="CJ260">
        <f t="shared" ref="CJ260:CJ323" si="175">DAY(E260)</f>
        <v>5</v>
      </c>
      <c r="CK260">
        <f t="shared" ref="CK260:CK323" si="176">MONTH(E260)</f>
        <v>10</v>
      </c>
      <c r="CL260">
        <f t="shared" ref="CL260:CL323" si="177">YEAR(E260)</f>
        <v>2025</v>
      </c>
    </row>
    <row r="261" spans="1:90" ht="15" customHeight="1" x14ac:dyDescent="0.35">
      <c r="A261" s="40">
        <v>45787.751712962963</v>
      </c>
      <c r="B261" t="s">
        <v>100</v>
      </c>
      <c r="C261" t="s">
        <v>214</v>
      </c>
      <c r="D261" t="s">
        <v>101</v>
      </c>
      <c r="E261" s="32">
        <v>45935</v>
      </c>
      <c r="F261" t="s">
        <v>222</v>
      </c>
      <c r="G261" s="2">
        <v>45757</v>
      </c>
      <c r="H261">
        <v>7510522349</v>
      </c>
      <c r="I261">
        <v>168</v>
      </c>
      <c r="J261" t="s">
        <v>653</v>
      </c>
      <c r="K261" t="s">
        <v>57</v>
      </c>
      <c r="L261" t="s">
        <v>58</v>
      </c>
      <c r="M261" t="s">
        <v>59</v>
      </c>
      <c r="N261" t="s">
        <v>59</v>
      </c>
      <c r="O261" t="s">
        <v>59</v>
      </c>
      <c r="P261" t="s">
        <v>59</v>
      </c>
      <c r="Q261" t="s">
        <v>59</v>
      </c>
      <c r="R261" t="s">
        <v>59</v>
      </c>
      <c r="S261" t="s">
        <v>59</v>
      </c>
      <c r="T261" t="s">
        <v>59</v>
      </c>
      <c r="U261" t="s">
        <v>59</v>
      </c>
      <c r="V261" t="s">
        <v>59</v>
      </c>
      <c r="W261" t="s">
        <v>59</v>
      </c>
      <c r="X261" t="s">
        <v>59</v>
      </c>
      <c r="Y261" t="s">
        <v>59</v>
      </c>
      <c r="Z261" t="s">
        <v>59</v>
      </c>
      <c r="AA261" t="s">
        <v>60</v>
      </c>
      <c r="AB261" t="s">
        <v>59</v>
      </c>
      <c r="AC261" t="s">
        <v>59</v>
      </c>
      <c r="AD261" t="s">
        <v>59</v>
      </c>
      <c r="AE261" t="s">
        <v>59</v>
      </c>
      <c r="AF261" t="s">
        <v>59</v>
      </c>
      <c r="AG261" t="s">
        <v>59</v>
      </c>
      <c r="AH261" t="s">
        <v>59</v>
      </c>
      <c r="AI261" t="s">
        <v>59</v>
      </c>
      <c r="AJ261" t="s">
        <v>59</v>
      </c>
      <c r="AK261" t="s">
        <v>59</v>
      </c>
      <c r="AL261" t="s">
        <v>59</v>
      </c>
      <c r="AM261" t="s">
        <v>59</v>
      </c>
      <c r="AN261" t="s">
        <v>59</v>
      </c>
      <c r="AO261" t="s">
        <v>59</v>
      </c>
      <c r="AP261" t="s">
        <v>526</v>
      </c>
      <c r="AQ261" s="1" t="s">
        <v>791</v>
      </c>
      <c r="AR261" t="s">
        <v>226</v>
      </c>
      <c r="AS261" t="s">
        <v>352</v>
      </c>
      <c r="AT261" t="s">
        <v>352</v>
      </c>
      <c r="AU261" t="s">
        <v>219</v>
      </c>
      <c r="AW261" s="4">
        <f t="shared" si="143"/>
        <v>6</v>
      </c>
      <c r="AX261" s="4">
        <f t="shared" si="144"/>
        <v>4</v>
      </c>
      <c r="AY261" s="4">
        <f t="shared" si="145"/>
        <v>4</v>
      </c>
      <c r="AZ261" s="4">
        <f t="shared" si="146"/>
        <v>2</v>
      </c>
      <c r="BA261" s="4">
        <f t="shared" si="147"/>
        <v>4</v>
      </c>
      <c r="BB261" s="4">
        <f t="shared" si="148"/>
        <v>4</v>
      </c>
      <c r="BC261" s="4">
        <f t="shared" si="149"/>
        <v>4</v>
      </c>
      <c r="BD261" s="4">
        <f t="shared" si="150"/>
        <v>2</v>
      </c>
      <c r="BE261" s="4">
        <f t="shared" si="151"/>
        <v>4</v>
      </c>
      <c r="BF261" s="4">
        <f t="shared" si="152"/>
        <v>2</v>
      </c>
      <c r="BG261" s="4">
        <f t="shared" si="153"/>
        <v>4</v>
      </c>
      <c r="BH261" s="4">
        <f t="shared" si="154"/>
        <v>4</v>
      </c>
      <c r="BI261" s="4">
        <f t="shared" si="155"/>
        <v>4</v>
      </c>
      <c r="BJ261" s="4">
        <f t="shared" si="156"/>
        <v>2</v>
      </c>
      <c r="BK261" s="4" t="str">
        <f t="shared" si="157"/>
        <v>0</v>
      </c>
      <c r="BL261" s="4">
        <f t="shared" si="158"/>
        <v>2</v>
      </c>
      <c r="BM261" s="4">
        <f t="shared" si="159"/>
        <v>4</v>
      </c>
      <c r="BN261" s="4">
        <f t="shared" si="160"/>
        <v>4</v>
      </c>
      <c r="BO261" s="4">
        <f t="shared" si="161"/>
        <v>4</v>
      </c>
      <c r="BP261" s="4">
        <f t="shared" si="162"/>
        <v>4</v>
      </c>
      <c r="BQ261" s="4">
        <f t="shared" si="163"/>
        <v>6</v>
      </c>
      <c r="BR261" s="4">
        <f t="shared" si="164"/>
        <v>4</v>
      </c>
      <c r="BS261" s="4">
        <f t="shared" si="165"/>
        <v>4</v>
      </c>
      <c r="BT261" s="4">
        <f t="shared" si="166"/>
        <v>4</v>
      </c>
      <c r="BU261" s="4">
        <f t="shared" si="167"/>
        <v>4</v>
      </c>
      <c r="BV261" s="4">
        <f t="shared" si="168"/>
        <v>0</v>
      </c>
      <c r="BW261" s="4">
        <f t="shared" si="169"/>
        <v>6</v>
      </c>
      <c r="BX261" s="4">
        <f t="shared" si="170"/>
        <v>0</v>
      </c>
      <c r="BY261" s="4">
        <f t="shared" si="171"/>
        <v>0</v>
      </c>
      <c r="BZ261" s="37">
        <f t="shared" si="172"/>
        <v>96</v>
      </c>
      <c r="CA261" s="32" t="str">
        <f>VLOOKUP(J:J,'Agent wise'!A:C,3,0)</f>
        <v>Saran S</v>
      </c>
      <c r="CB261" s="32">
        <f t="shared" si="173"/>
        <v>45935</v>
      </c>
      <c r="CC261" t="str">
        <f t="shared" si="174"/>
        <v>Excellent</v>
      </c>
      <c r="CE261" s="32"/>
      <c r="CJ261">
        <f t="shared" si="175"/>
        <v>5</v>
      </c>
      <c r="CK261">
        <f t="shared" si="176"/>
        <v>10</v>
      </c>
      <c r="CL261">
        <f t="shared" si="177"/>
        <v>2025</v>
      </c>
    </row>
    <row r="262" spans="1:90" ht="15" customHeight="1" x14ac:dyDescent="0.35">
      <c r="A262" s="40">
        <v>45787.754837962973</v>
      </c>
      <c r="B262" t="s">
        <v>100</v>
      </c>
      <c r="C262" t="s">
        <v>214</v>
      </c>
      <c r="D262" t="s">
        <v>101</v>
      </c>
      <c r="E262" s="32">
        <v>45935</v>
      </c>
      <c r="F262" t="s">
        <v>222</v>
      </c>
      <c r="G262" s="2">
        <v>45757</v>
      </c>
      <c r="H262">
        <v>9946742252</v>
      </c>
      <c r="I262">
        <v>167</v>
      </c>
      <c r="J262" t="s">
        <v>353</v>
      </c>
      <c r="K262" t="s">
        <v>57</v>
      </c>
      <c r="L262" t="s">
        <v>58</v>
      </c>
      <c r="M262" t="s">
        <v>59</v>
      </c>
      <c r="N262" t="s">
        <v>59</v>
      </c>
      <c r="O262" t="s">
        <v>59</v>
      </c>
      <c r="P262" t="s">
        <v>59</v>
      </c>
      <c r="Q262" t="s">
        <v>59</v>
      </c>
      <c r="R262" t="s">
        <v>59</v>
      </c>
      <c r="S262" t="s">
        <v>59</v>
      </c>
      <c r="T262" t="s">
        <v>59</v>
      </c>
      <c r="U262" t="s">
        <v>59</v>
      </c>
      <c r="V262" t="s">
        <v>59</v>
      </c>
      <c r="W262" t="s">
        <v>59</v>
      </c>
      <c r="X262" t="s">
        <v>59</v>
      </c>
      <c r="Y262" t="s">
        <v>59</v>
      </c>
      <c r="Z262" t="s">
        <v>59</v>
      </c>
      <c r="AA262" t="s">
        <v>60</v>
      </c>
      <c r="AB262" t="s">
        <v>59</v>
      </c>
      <c r="AC262" t="s">
        <v>59</v>
      </c>
      <c r="AD262" t="s">
        <v>59</v>
      </c>
      <c r="AE262" t="s">
        <v>59</v>
      </c>
      <c r="AF262" t="s">
        <v>59</v>
      </c>
      <c r="AG262" t="s">
        <v>59</v>
      </c>
      <c r="AH262" t="s">
        <v>59</v>
      </c>
      <c r="AI262" t="s">
        <v>60</v>
      </c>
      <c r="AJ262" t="s">
        <v>59</v>
      </c>
      <c r="AK262" t="s">
        <v>59</v>
      </c>
      <c r="AL262" t="s">
        <v>59</v>
      </c>
      <c r="AM262" t="s">
        <v>59</v>
      </c>
      <c r="AN262" t="s">
        <v>59</v>
      </c>
      <c r="AO262" t="s">
        <v>59</v>
      </c>
      <c r="AP262" t="s">
        <v>449</v>
      </c>
      <c r="AQ262" s="1" t="s">
        <v>792</v>
      </c>
      <c r="AR262" t="s">
        <v>226</v>
      </c>
      <c r="AS262" t="s">
        <v>352</v>
      </c>
      <c r="AT262" t="s">
        <v>352</v>
      </c>
      <c r="AU262" t="s">
        <v>219</v>
      </c>
      <c r="AW262" s="4">
        <f t="shared" si="143"/>
        <v>6</v>
      </c>
      <c r="AX262" s="4">
        <f t="shared" si="144"/>
        <v>4</v>
      </c>
      <c r="AY262" s="4">
        <f t="shared" si="145"/>
        <v>4</v>
      </c>
      <c r="AZ262" s="4">
        <f t="shared" si="146"/>
        <v>2</v>
      </c>
      <c r="BA262" s="4">
        <f t="shared" si="147"/>
        <v>4</v>
      </c>
      <c r="BB262" s="4">
        <f t="shared" si="148"/>
        <v>4</v>
      </c>
      <c r="BC262" s="4">
        <f t="shared" si="149"/>
        <v>4</v>
      </c>
      <c r="BD262" s="4">
        <f t="shared" si="150"/>
        <v>2</v>
      </c>
      <c r="BE262" s="4">
        <f t="shared" si="151"/>
        <v>4</v>
      </c>
      <c r="BF262" s="4">
        <f t="shared" si="152"/>
        <v>2</v>
      </c>
      <c r="BG262" s="4">
        <f t="shared" si="153"/>
        <v>4</v>
      </c>
      <c r="BH262" s="4">
        <f t="shared" si="154"/>
        <v>4</v>
      </c>
      <c r="BI262" s="4">
        <f t="shared" si="155"/>
        <v>4</v>
      </c>
      <c r="BJ262" s="4">
        <f t="shared" si="156"/>
        <v>2</v>
      </c>
      <c r="BK262" s="4" t="str">
        <f t="shared" si="157"/>
        <v>0</v>
      </c>
      <c r="BL262" s="4">
        <f t="shared" si="158"/>
        <v>2</v>
      </c>
      <c r="BM262" s="4">
        <f t="shared" si="159"/>
        <v>4</v>
      </c>
      <c r="BN262" s="4">
        <f t="shared" si="160"/>
        <v>4</v>
      </c>
      <c r="BO262" s="4">
        <f t="shared" si="161"/>
        <v>4</v>
      </c>
      <c r="BP262" s="4">
        <f t="shared" si="162"/>
        <v>4</v>
      </c>
      <c r="BQ262" s="4">
        <f t="shared" si="163"/>
        <v>6</v>
      </c>
      <c r="BR262" s="4">
        <f t="shared" si="164"/>
        <v>4</v>
      </c>
      <c r="BS262" s="4" t="str">
        <f t="shared" si="165"/>
        <v>0</v>
      </c>
      <c r="BT262" s="4">
        <f t="shared" si="166"/>
        <v>4</v>
      </c>
      <c r="BU262" s="4">
        <f t="shared" si="167"/>
        <v>4</v>
      </c>
      <c r="BV262" s="4">
        <f t="shared" si="168"/>
        <v>0</v>
      </c>
      <c r="BW262" s="4">
        <f t="shared" si="169"/>
        <v>6</v>
      </c>
      <c r="BX262" s="4">
        <f t="shared" si="170"/>
        <v>0</v>
      </c>
      <c r="BY262" s="4">
        <f t="shared" si="171"/>
        <v>0</v>
      </c>
      <c r="BZ262" s="37">
        <f t="shared" si="172"/>
        <v>92</v>
      </c>
      <c r="CA262" s="32" t="str">
        <f>VLOOKUP(J:J,'Agent wise'!A:C,3,0)</f>
        <v>Amal</v>
      </c>
      <c r="CB262" s="32">
        <f t="shared" si="173"/>
        <v>45935</v>
      </c>
      <c r="CC262" t="str">
        <f t="shared" si="174"/>
        <v>Good</v>
      </c>
      <c r="CE262" s="32"/>
      <c r="CJ262">
        <f t="shared" si="175"/>
        <v>5</v>
      </c>
      <c r="CK262">
        <f t="shared" si="176"/>
        <v>10</v>
      </c>
      <c r="CL262">
        <f t="shared" si="177"/>
        <v>2025</v>
      </c>
    </row>
    <row r="263" spans="1:90" ht="15" customHeight="1" x14ac:dyDescent="0.35">
      <c r="A263" s="40">
        <v>45787.758206018523</v>
      </c>
      <c r="B263" t="s">
        <v>100</v>
      </c>
      <c r="C263" t="s">
        <v>214</v>
      </c>
      <c r="D263" t="s">
        <v>101</v>
      </c>
      <c r="E263" s="32">
        <v>45935</v>
      </c>
      <c r="F263" t="s">
        <v>222</v>
      </c>
      <c r="G263" s="2">
        <v>45757</v>
      </c>
      <c r="H263">
        <v>8943336077</v>
      </c>
      <c r="I263">
        <v>130</v>
      </c>
      <c r="J263" t="s">
        <v>313</v>
      </c>
      <c r="K263" t="s">
        <v>57</v>
      </c>
      <c r="L263" t="s">
        <v>58</v>
      </c>
      <c r="M263" t="s">
        <v>60</v>
      </c>
      <c r="N263" t="s">
        <v>59</v>
      </c>
      <c r="O263" t="s">
        <v>59</v>
      </c>
      <c r="P263" t="s">
        <v>59</v>
      </c>
      <c r="Q263" t="s">
        <v>59</v>
      </c>
      <c r="R263" t="s">
        <v>59</v>
      </c>
      <c r="S263" t="s">
        <v>59</v>
      </c>
      <c r="T263" t="s">
        <v>59</v>
      </c>
      <c r="U263" t="s">
        <v>59</v>
      </c>
      <c r="V263" t="s">
        <v>59</v>
      </c>
      <c r="W263" t="s">
        <v>59</v>
      </c>
      <c r="X263" t="s">
        <v>59</v>
      </c>
      <c r="Y263" t="s">
        <v>59</v>
      </c>
      <c r="Z263" t="s">
        <v>59</v>
      </c>
      <c r="AA263" t="s">
        <v>59</v>
      </c>
      <c r="AB263" t="s">
        <v>59</v>
      </c>
      <c r="AC263" t="s">
        <v>59</v>
      </c>
      <c r="AD263" t="s">
        <v>59</v>
      </c>
      <c r="AE263" t="s">
        <v>59</v>
      </c>
      <c r="AF263" t="s">
        <v>59</v>
      </c>
      <c r="AG263" t="s">
        <v>59</v>
      </c>
      <c r="AH263" t="s">
        <v>59</v>
      </c>
      <c r="AI263" t="s">
        <v>59</v>
      </c>
      <c r="AJ263" t="s">
        <v>59</v>
      </c>
      <c r="AK263" t="s">
        <v>59</v>
      </c>
      <c r="AL263" t="s">
        <v>59</v>
      </c>
      <c r="AM263" t="s">
        <v>59</v>
      </c>
      <c r="AN263" t="s">
        <v>59</v>
      </c>
      <c r="AO263" t="s">
        <v>59</v>
      </c>
      <c r="AP263" t="s">
        <v>793</v>
      </c>
      <c r="AQ263" s="1" t="s">
        <v>794</v>
      </c>
      <c r="AR263" t="s">
        <v>226</v>
      </c>
      <c r="AS263" t="s">
        <v>352</v>
      </c>
      <c r="AT263" t="s">
        <v>352</v>
      </c>
      <c r="AU263" t="s">
        <v>219</v>
      </c>
      <c r="AW263" s="4" t="str">
        <f t="shared" si="143"/>
        <v>0</v>
      </c>
      <c r="AX263" s="4">
        <f t="shared" si="144"/>
        <v>4</v>
      </c>
      <c r="AY263" s="4">
        <f t="shared" si="145"/>
        <v>4</v>
      </c>
      <c r="AZ263" s="4">
        <f t="shared" si="146"/>
        <v>2</v>
      </c>
      <c r="BA263" s="4">
        <f t="shared" si="147"/>
        <v>4</v>
      </c>
      <c r="BB263" s="4">
        <f t="shared" si="148"/>
        <v>4</v>
      </c>
      <c r="BC263" s="4">
        <f t="shared" si="149"/>
        <v>4</v>
      </c>
      <c r="BD263" s="4">
        <f t="shared" si="150"/>
        <v>2</v>
      </c>
      <c r="BE263" s="4">
        <f t="shared" si="151"/>
        <v>4</v>
      </c>
      <c r="BF263" s="4">
        <f t="shared" si="152"/>
        <v>2</v>
      </c>
      <c r="BG263" s="4">
        <f t="shared" si="153"/>
        <v>4</v>
      </c>
      <c r="BH263" s="4">
        <f t="shared" si="154"/>
        <v>4</v>
      </c>
      <c r="BI263" s="4">
        <f t="shared" si="155"/>
        <v>4</v>
      </c>
      <c r="BJ263" s="4">
        <f t="shared" si="156"/>
        <v>2</v>
      </c>
      <c r="BK263" s="4">
        <f t="shared" si="157"/>
        <v>4</v>
      </c>
      <c r="BL263" s="4">
        <f t="shared" si="158"/>
        <v>2</v>
      </c>
      <c r="BM263" s="4">
        <f t="shared" si="159"/>
        <v>4</v>
      </c>
      <c r="BN263" s="4">
        <f t="shared" si="160"/>
        <v>4</v>
      </c>
      <c r="BO263" s="4">
        <f t="shared" si="161"/>
        <v>4</v>
      </c>
      <c r="BP263" s="4">
        <f t="shared" si="162"/>
        <v>4</v>
      </c>
      <c r="BQ263" s="4">
        <f t="shared" si="163"/>
        <v>6</v>
      </c>
      <c r="BR263" s="4">
        <f t="shared" si="164"/>
        <v>4</v>
      </c>
      <c r="BS263" s="4">
        <f t="shared" si="165"/>
        <v>4</v>
      </c>
      <c r="BT263" s="4">
        <f t="shared" si="166"/>
        <v>4</v>
      </c>
      <c r="BU263" s="4">
        <f t="shared" si="167"/>
        <v>4</v>
      </c>
      <c r="BV263" s="4">
        <f t="shared" si="168"/>
        <v>0</v>
      </c>
      <c r="BW263" s="4">
        <f t="shared" si="169"/>
        <v>6</v>
      </c>
      <c r="BX263" s="4">
        <f t="shared" si="170"/>
        <v>0</v>
      </c>
      <c r="BY263" s="4">
        <f t="shared" si="171"/>
        <v>0</v>
      </c>
      <c r="BZ263" s="37">
        <f t="shared" si="172"/>
        <v>94</v>
      </c>
      <c r="CA263" s="32" t="str">
        <f>VLOOKUP(J:J,'Agent wise'!A:C,3,0)</f>
        <v>Shakeer</v>
      </c>
      <c r="CB263" s="32">
        <f t="shared" si="173"/>
        <v>45935</v>
      </c>
      <c r="CC263" t="str">
        <f t="shared" si="174"/>
        <v>Good</v>
      </c>
      <c r="CE263" s="32"/>
      <c r="CJ263">
        <f t="shared" si="175"/>
        <v>5</v>
      </c>
      <c r="CK263">
        <f t="shared" si="176"/>
        <v>10</v>
      </c>
      <c r="CL263">
        <f t="shared" si="177"/>
        <v>2025</v>
      </c>
    </row>
    <row r="264" spans="1:90" ht="15" customHeight="1" x14ac:dyDescent="0.35">
      <c r="A264" s="40">
        <v>45787.759062500001</v>
      </c>
      <c r="B264" t="s">
        <v>250</v>
      </c>
      <c r="C264" t="s">
        <v>214</v>
      </c>
      <c r="D264" t="s">
        <v>251</v>
      </c>
      <c r="E264" s="32">
        <v>45935</v>
      </c>
      <c r="F264" t="s">
        <v>54</v>
      </c>
      <c r="G264" s="2">
        <v>45757</v>
      </c>
      <c r="H264">
        <v>9498357257</v>
      </c>
      <c r="I264">
        <v>146</v>
      </c>
      <c r="J264" t="s">
        <v>108</v>
      </c>
      <c r="K264" t="s">
        <v>71</v>
      </c>
      <c r="L264" t="s">
        <v>72</v>
      </c>
      <c r="M264" t="s">
        <v>60</v>
      </c>
      <c r="N264" t="s">
        <v>59</v>
      </c>
      <c r="O264" t="s">
        <v>59</v>
      </c>
      <c r="P264" t="s">
        <v>59</v>
      </c>
      <c r="Q264" t="s">
        <v>59</v>
      </c>
      <c r="R264" t="s">
        <v>59</v>
      </c>
      <c r="S264" t="s">
        <v>59</v>
      </c>
      <c r="T264" t="s">
        <v>59</v>
      </c>
      <c r="U264" t="s">
        <v>60</v>
      </c>
      <c r="V264" t="s">
        <v>59</v>
      </c>
      <c r="W264" t="s">
        <v>59</v>
      </c>
      <c r="X264" t="s">
        <v>59</v>
      </c>
      <c r="Y264" t="s">
        <v>59</v>
      </c>
      <c r="Z264" t="s">
        <v>59</v>
      </c>
      <c r="AA264" t="s">
        <v>59</v>
      </c>
      <c r="AB264" t="s">
        <v>59</v>
      </c>
      <c r="AC264" t="s">
        <v>59</v>
      </c>
      <c r="AD264" t="s">
        <v>59</v>
      </c>
      <c r="AE264" t="s">
        <v>59</v>
      </c>
      <c r="AF264" t="s">
        <v>59</v>
      </c>
      <c r="AG264" t="s">
        <v>59</v>
      </c>
      <c r="AH264" t="s">
        <v>61</v>
      </c>
      <c r="AI264" t="s">
        <v>61</v>
      </c>
      <c r="AJ264" t="s">
        <v>59</v>
      </c>
      <c r="AK264" t="s">
        <v>59</v>
      </c>
      <c r="AL264" t="s">
        <v>59</v>
      </c>
      <c r="AM264" t="s">
        <v>59</v>
      </c>
      <c r="AN264" t="s">
        <v>59</v>
      </c>
      <c r="AO264" t="s">
        <v>59</v>
      </c>
      <c r="AP264" t="s">
        <v>795</v>
      </c>
      <c r="AQ264" t="s">
        <v>796</v>
      </c>
      <c r="AR264" t="s">
        <v>64</v>
      </c>
      <c r="AS264" t="s">
        <v>115</v>
      </c>
      <c r="AT264" t="s">
        <v>797</v>
      </c>
      <c r="AU264" t="s">
        <v>219</v>
      </c>
      <c r="AW264" s="4" t="str">
        <f t="shared" si="143"/>
        <v>0</v>
      </c>
      <c r="AX264" s="4">
        <f t="shared" si="144"/>
        <v>4</v>
      </c>
      <c r="AY264" s="4">
        <f t="shared" si="145"/>
        <v>4</v>
      </c>
      <c r="AZ264" s="4">
        <f t="shared" si="146"/>
        <v>2</v>
      </c>
      <c r="BA264" s="4">
        <f t="shared" si="147"/>
        <v>4</v>
      </c>
      <c r="BB264" s="4">
        <f t="shared" si="148"/>
        <v>4</v>
      </c>
      <c r="BC264" s="4">
        <f t="shared" si="149"/>
        <v>4</v>
      </c>
      <c r="BD264" s="4">
        <f t="shared" si="150"/>
        <v>2</v>
      </c>
      <c r="BE264" s="4" t="str">
        <f t="shared" si="151"/>
        <v>0</v>
      </c>
      <c r="BF264" s="4">
        <f t="shared" si="152"/>
        <v>2</v>
      </c>
      <c r="BG264" s="4">
        <f t="shared" si="153"/>
        <v>4</v>
      </c>
      <c r="BH264" s="4">
        <f t="shared" si="154"/>
        <v>4</v>
      </c>
      <c r="BI264" s="4">
        <f t="shared" si="155"/>
        <v>4</v>
      </c>
      <c r="BJ264" s="4">
        <f t="shared" si="156"/>
        <v>2</v>
      </c>
      <c r="BK264" s="4">
        <f t="shared" si="157"/>
        <v>4</v>
      </c>
      <c r="BL264" s="4">
        <f t="shared" si="158"/>
        <v>2</v>
      </c>
      <c r="BM264" s="4">
        <f t="shared" si="159"/>
        <v>4</v>
      </c>
      <c r="BN264" s="4">
        <f t="shared" si="160"/>
        <v>4</v>
      </c>
      <c r="BO264" s="4">
        <f t="shared" si="161"/>
        <v>4</v>
      </c>
      <c r="BP264" s="4">
        <f t="shared" si="162"/>
        <v>4</v>
      </c>
      <c r="BQ264" s="4">
        <f t="shared" si="163"/>
        <v>6</v>
      </c>
      <c r="BR264" s="4">
        <f t="shared" si="164"/>
        <v>4</v>
      </c>
      <c r="BS264" s="4">
        <f t="shared" si="165"/>
        <v>4</v>
      </c>
      <c r="BT264" s="4">
        <f t="shared" si="166"/>
        <v>4</v>
      </c>
      <c r="BU264" s="4">
        <f t="shared" si="167"/>
        <v>4</v>
      </c>
      <c r="BV264" s="4">
        <f t="shared" si="168"/>
        <v>0</v>
      </c>
      <c r="BW264" s="4">
        <f t="shared" si="169"/>
        <v>6</v>
      </c>
      <c r="BX264" s="4">
        <f t="shared" si="170"/>
        <v>0</v>
      </c>
      <c r="BY264" s="4">
        <f t="shared" si="171"/>
        <v>0</v>
      </c>
      <c r="BZ264" s="37">
        <f t="shared" si="172"/>
        <v>90</v>
      </c>
      <c r="CA264" s="32" t="str">
        <f>VLOOKUP(J:J,'Agent wise'!A:C,3,0)</f>
        <v xml:space="preserve">Shiny </v>
      </c>
      <c r="CB264" s="32">
        <f t="shared" si="173"/>
        <v>45935</v>
      </c>
      <c r="CC264" t="str">
        <f t="shared" si="174"/>
        <v>Good</v>
      </c>
      <c r="CE264" s="32"/>
      <c r="CJ264">
        <f t="shared" si="175"/>
        <v>5</v>
      </c>
      <c r="CK264">
        <f t="shared" si="176"/>
        <v>10</v>
      </c>
      <c r="CL264">
        <f t="shared" si="177"/>
        <v>2025</v>
      </c>
    </row>
    <row r="265" spans="1:90" ht="15" customHeight="1" x14ac:dyDescent="0.35">
      <c r="A265" s="40">
        <v>45787.76326388889</v>
      </c>
      <c r="B265" t="s">
        <v>100</v>
      </c>
      <c r="C265" t="s">
        <v>214</v>
      </c>
      <c r="D265" t="s">
        <v>101</v>
      </c>
      <c r="E265" s="32">
        <v>45935</v>
      </c>
      <c r="F265" t="s">
        <v>222</v>
      </c>
      <c r="G265" s="2">
        <v>45757</v>
      </c>
      <c r="H265">
        <v>9150112662</v>
      </c>
      <c r="I265">
        <v>163</v>
      </c>
      <c r="J265" t="s">
        <v>439</v>
      </c>
      <c r="K265" t="s">
        <v>71</v>
      </c>
      <c r="L265" t="s">
        <v>72</v>
      </c>
      <c r="M265" t="s">
        <v>59</v>
      </c>
      <c r="N265" t="s">
        <v>59</v>
      </c>
      <c r="O265" t="s">
        <v>59</v>
      </c>
      <c r="P265" t="s">
        <v>59</v>
      </c>
      <c r="Q265" t="s">
        <v>59</v>
      </c>
      <c r="R265" t="s">
        <v>59</v>
      </c>
      <c r="S265" t="s">
        <v>59</v>
      </c>
      <c r="T265" t="s">
        <v>59</v>
      </c>
      <c r="U265" t="s">
        <v>59</v>
      </c>
      <c r="V265" t="s">
        <v>59</v>
      </c>
      <c r="W265" t="s">
        <v>59</v>
      </c>
      <c r="X265" t="s">
        <v>59</v>
      </c>
      <c r="Y265" t="s">
        <v>59</v>
      </c>
      <c r="Z265" t="s">
        <v>59</v>
      </c>
      <c r="AA265" t="s">
        <v>60</v>
      </c>
      <c r="AB265" t="s">
        <v>60</v>
      </c>
      <c r="AC265" t="s">
        <v>60</v>
      </c>
      <c r="AD265" t="s">
        <v>59</v>
      </c>
      <c r="AE265" t="s">
        <v>59</v>
      </c>
      <c r="AF265" t="s">
        <v>59</v>
      </c>
      <c r="AG265" t="s">
        <v>59</v>
      </c>
      <c r="AH265" t="s">
        <v>59</v>
      </c>
      <c r="AI265" t="s">
        <v>59</v>
      </c>
      <c r="AJ265" t="s">
        <v>59</v>
      </c>
      <c r="AK265" t="s">
        <v>59</v>
      </c>
      <c r="AL265" t="s">
        <v>59</v>
      </c>
      <c r="AM265" t="s">
        <v>59</v>
      </c>
      <c r="AN265" t="s">
        <v>59</v>
      </c>
      <c r="AO265" t="s">
        <v>59</v>
      </c>
      <c r="AP265" t="s">
        <v>798</v>
      </c>
      <c r="AQ265" s="1" t="s">
        <v>799</v>
      </c>
      <c r="AR265" t="s">
        <v>226</v>
      </c>
      <c r="AS265" t="s">
        <v>352</v>
      </c>
      <c r="AT265" t="s">
        <v>352</v>
      </c>
      <c r="AU265" t="s">
        <v>219</v>
      </c>
      <c r="AW265" s="4">
        <f t="shared" si="143"/>
        <v>6</v>
      </c>
      <c r="AX265" s="4">
        <f t="shared" si="144"/>
        <v>4</v>
      </c>
      <c r="AY265" s="4">
        <f t="shared" si="145"/>
        <v>4</v>
      </c>
      <c r="AZ265" s="4">
        <f t="shared" si="146"/>
        <v>2</v>
      </c>
      <c r="BA265" s="4">
        <f t="shared" si="147"/>
        <v>4</v>
      </c>
      <c r="BB265" s="4">
        <f t="shared" si="148"/>
        <v>4</v>
      </c>
      <c r="BC265" s="4">
        <f t="shared" si="149"/>
        <v>4</v>
      </c>
      <c r="BD265" s="4">
        <f t="shared" si="150"/>
        <v>2</v>
      </c>
      <c r="BE265" s="4">
        <f t="shared" si="151"/>
        <v>4</v>
      </c>
      <c r="BF265" s="4">
        <f t="shared" si="152"/>
        <v>2</v>
      </c>
      <c r="BG265" s="4">
        <f t="shared" si="153"/>
        <v>4</v>
      </c>
      <c r="BH265" s="4">
        <f t="shared" si="154"/>
        <v>4</v>
      </c>
      <c r="BI265" s="4">
        <f t="shared" si="155"/>
        <v>4</v>
      </c>
      <c r="BJ265" s="4">
        <f t="shared" si="156"/>
        <v>2</v>
      </c>
      <c r="BK265" s="4" t="str">
        <f t="shared" si="157"/>
        <v>0</v>
      </c>
      <c r="BL265" s="4" t="str">
        <f t="shared" si="158"/>
        <v>0</v>
      </c>
      <c r="BM265" s="4" t="str">
        <f t="shared" si="159"/>
        <v>0</v>
      </c>
      <c r="BN265" s="4">
        <f t="shared" si="160"/>
        <v>4</v>
      </c>
      <c r="BO265" s="4">
        <f t="shared" si="161"/>
        <v>4</v>
      </c>
      <c r="BP265" s="4">
        <f t="shared" si="162"/>
        <v>4</v>
      </c>
      <c r="BQ265" s="4">
        <f t="shared" si="163"/>
        <v>6</v>
      </c>
      <c r="BR265" s="4">
        <f t="shared" si="164"/>
        <v>4</v>
      </c>
      <c r="BS265" s="4">
        <f t="shared" si="165"/>
        <v>4</v>
      </c>
      <c r="BT265" s="4">
        <f t="shared" si="166"/>
        <v>4</v>
      </c>
      <c r="BU265" s="4">
        <f t="shared" si="167"/>
        <v>4</v>
      </c>
      <c r="BV265" s="4">
        <f t="shared" si="168"/>
        <v>0</v>
      </c>
      <c r="BW265" s="4">
        <f t="shared" si="169"/>
        <v>6</v>
      </c>
      <c r="BX265" s="4">
        <f t="shared" si="170"/>
        <v>0</v>
      </c>
      <c r="BY265" s="4">
        <f t="shared" si="171"/>
        <v>0</v>
      </c>
      <c r="BZ265" s="37">
        <f t="shared" si="172"/>
        <v>90</v>
      </c>
      <c r="CA265" s="32" t="str">
        <f>VLOOKUP(J:J,'Agent wise'!A:C,3,0)</f>
        <v>Saran S</v>
      </c>
      <c r="CB265" s="32">
        <f t="shared" si="173"/>
        <v>45935</v>
      </c>
      <c r="CC265" t="str">
        <f t="shared" si="174"/>
        <v>Good</v>
      </c>
      <c r="CE265" s="32"/>
      <c r="CJ265">
        <f t="shared" si="175"/>
        <v>5</v>
      </c>
      <c r="CK265">
        <f t="shared" si="176"/>
        <v>10</v>
      </c>
      <c r="CL265">
        <f t="shared" si="177"/>
        <v>2025</v>
      </c>
    </row>
    <row r="266" spans="1:90" ht="15" customHeight="1" x14ac:dyDescent="0.35">
      <c r="A266" s="40">
        <v>45787.764120370368</v>
      </c>
      <c r="B266" t="s">
        <v>250</v>
      </c>
      <c r="C266" t="s">
        <v>214</v>
      </c>
      <c r="D266" t="s">
        <v>251</v>
      </c>
      <c r="E266" s="32">
        <v>45935</v>
      </c>
      <c r="F266" t="s">
        <v>306</v>
      </c>
      <c r="G266" s="2">
        <v>45698</v>
      </c>
      <c r="H266">
        <v>8762347575</v>
      </c>
      <c r="I266">
        <v>145</v>
      </c>
      <c r="J266" t="s">
        <v>307</v>
      </c>
      <c r="K266" t="s">
        <v>71</v>
      </c>
      <c r="L266" t="s">
        <v>72</v>
      </c>
      <c r="M266" t="s">
        <v>59</v>
      </c>
      <c r="N266" t="s">
        <v>59</v>
      </c>
      <c r="O266" t="s">
        <v>59</v>
      </c>
      <c r="P266" t="s">
        <v>59</v>
      </c>
      <c r="Q266" t="s">
        <v>59</v>
      </c>
      <c r="R266" t="s">
        <v>59</v>
      </c>
      <c r="S266" t="s">
        <v>59</v>
      </c>
      <c r="T266" t="s">
        <v>59</v>
      </c>
      <c r="U266" t="s">
        <v>59</v>
      </c>
      <c r="V266" t="s">
        <v>59</v>
      </c>
      <c r="W266" t="s">
        <v>59</v>
      </c>
      <c r="X266" t="s">
        <v>59</v>
      </c>
      <c r="Y266" t="s">
        <v>59</v>
      </c>
      <c r="Z266" t="s">
        <v>59</v>
      </c>
      <c r="AA266" t="s">
        <v>59</v>
      </c>
      <c r="AB266" t="s">
        <v>59</v>
      </c>
      <c r="AC266" t="s">
        <v>59</v>
      </c>
      <c r="AD266" t="s">
        <v>59</v>
      </c>
      <c r="AE266" t="s">
        <v>59</v>
      </c>
      <c r="AF266" t="s">
        <v>59</v>
      </c>
      <c r="AG266" t="s">
        <v>59</v>
      </c>
      <c r="AH266" t="s">
        <v>61</v>
      </c>
      <c r="AI266" t="s">
        <v>60</v>
      </c>
      <c r="AJ266" t="s">
        <v>59</v>
      </c>
      <c r="AK266" t="s">
        <v>59</v>
      </c>
      <c r="AL266" t="s">
        <v>59</v>
      </c>
      <c r="AM266" t="s">
        <v>59</v>
      </c>
      <c r="AN266" t="s">
        <v>59</v>
      </c>
      <c r="AO266" t="s">
        <v>59</v>
      </c>
      <c r="AP266" t="s">
        <v>270</v>
      </c>
      <c r="AQ266" t="s">
        <v>800</v>
      </c>
      <c r="AR266" t="s">
        <v>64</v>
      </c>
      <c r="AS266" t="s">
        <v>801</v>
      </c>
      <c r="AT266" t="s">
        <v>802</v>
      </c>
      <c r="AU266" t="s">
        <v>219</v>
      </c>
      <c r="AW266" s="4">
        <f t="shared" si="143"/>
        <v>6</v>
      </c>
      <c r="AX266" s="4">
        <f t="shared" si="144"/>
        <v>4</v>
      </c>
      <c r="AY266" s="4">
        <f t="shared" si="145"/>
        <v>4</v>
      </c>
      <c r="AZ266" s="4">
        <f t="shared" si="146"/>
        <v>2</v>
      </c>
      <c r="BA266" s="4">
        <f t="shared" si="147"/>
        <v>4</v>
      </c>
      <c r="BB266" s="4">
        <f t="shared" si="148"/>
        <v>4</v>
      </c>
      <c r="BC266" s="4">
        <f t="shared" si="149"/>
        <v>4</v>
      </c>
      <c r="BD266" s="4">
        <f t="shared" si="150"/>
        <v>2</v>
      </c>
      <c r="BE266" s="4">
        <f t="shared" si="151"/>
        <v>4</v>
      </c>
      <c r="BF266" s="4">
        <f t="shared" si="152"/>
        <v>2</v>
      </c>
      <c r="BG266" s="4">
        <f t="shared" si="153"/>
        <v>4</v>
      </c>
      <c r="BH266" s="4">
        <f t="shared" si="154"/>
        <v>4</v>
      </c>
      <c r="BI266" s="4">
        <f t="shared" si="155"/>
        <v>4</v>
      </c>
      <c r="BJ266" s="4">
        <f t="shared" si="156"/>
        <v>2</v>
      </c>
      <c r="BK266" s="4">
        <f t="shared" si="157"/>
        <v>4</v>
      </c>
      <c r="BL266" s="4">
        <f t="shared" si="158"/>
        <v>2</v>
      </c>
      <c r="BM266" s="4">
        <f t="shared" si="159"/>
        <v>4</v>
      </c>
      <c r="BN266" s="4">
        <f t="shared" si="160"/>
        <v>4</v>
      </c>
      <c r="BO266" s="4">
        <f t="shared" si="161"/>
        <v>4</v>
      </c>
      <c r="BP266" s="4">
        <f t="shared" si="162"/>
        <v>4</v>
      </c>
      <c r="BQ266" s="4">
        <f t="shared" si="163"/>
        <v>6</v>
      </c>
      <c r="BR266" s="4">
        <f t="shared" si="164"/>
        <v>4</v>
      </c>
      <c r="BS266" s="4" t="str">
        <f t="shared" si="165"/>
        <v>0</v>
      </c>
      <c r="BT266" s="4">
        <f t="shared" si="166"/>
        <v>4</v>
      </c>
      <c r="BU266" s="4">
        <f t="shared" si="167"/>
        <v>4</v>
      </c>
      <c r="BV266" s="4">
        <f t="shared" si="168"/>
        <v>0</v>
      </c>
      <c r="BW266" s="4">
        <f t="shared" si="169"/>
        <v>6</v>
      </c>
      <c r="BX266" s="4">
        <f t="shared" si="170"/>
        <v>0</v>
      </c>
      <c r="BY266" s="4">
        <f t="shared" si="171"/>
        <v>0</v>
      </c>
      <c r="BZ266" s="37">
        <f t="shared" si="172"/>
        <v>96</v>
      </c>
      <c r="CA266" s="32" t="str">
        <f>VLOOKUP(J:J,'Agent wise'!A:C,3,0)</f>
        <v>Amal</v>
      </c>
      <c r="CB266" s="32">
        <f t="shared" si="173"/>
        <v>45935</v>
      </c>
      <c r="CC266" t="str">
        <f t="shared" si="174"/>
        <v>Excellent</v>
      </c>
      <c r="CE266" s="32"/>
      <c r="CJ266">
        <f t="shared" si="175"/>
        <v>5</v>
      </c>
      <c r="CK266">
        <f t="shared" si="176"/>
        <v>10</v>
      </c>
      <c r="CL266">
        <f t="shared" si="177"/>
        <v>2025</v>
      </c>
    </row>
    <row r="267" spans="1:90" ht="15" customHeight="1" x14ac:dyDescent="0.35">
      <c r="A267" s="40">
        <v>45787.768553240741</v>
      </c>
      <c r="B267" t="s">
        <v>250</v>
      </c>
      <c r="C267" t="s">
        <v>214</v>
      </c>
      <c r="D267" t="s">
        <v>251</v>
      </c>
      <c r="E267" s="32">
        <v>45935</v>
      </c>
      <c r="F267" t="s">
        <v>306</v>
      </c>
      <c r="G267" s="2">
        <v>45698</v>
      </c>
      <c r="H267">
        <v>8508700804</v>
      </c>
      <c r="I267">
        <v>147</v>
      </c>
      <c r="J267" t="s">
        <v>246</v>
      </c>
      <c r="K267" t="s">
        <v>71</v>
      </c>
      <c r="L267" t="s">
        <v>72</v>
      </c>
      <c r="M267" t="s">
        <v>59</v>
      </c>
      <c r="N267" t="s">
        <v>59</v>
      </c>
      <c r="O267" t="s">
        <v>59</v>
      </c>
      <c r="P267" t="s">
        <v>59</v>
      </c>
      <c r="Q267" t="s">
        <v>59</v>
      </c>
      <c r="R267" t="s">
        <v>59</v>
      </c>
      <c r="S267" t="s">
        <v>59</v>
      </c>
      <c r="T267" t="s">
        <v>59</v>
      </c>
      <c r="U267" t="s">
        <v>59</v>
      </c>
      <c r="V267" t="s">
        <v>59</v>
      </c>
      <c r="W267" t="s">
        <v>59</v>
      </c>
      <c r="X267" t="s">
        <v>59</v>
      </c>
      <c r="Y267" t="s">
        <v>59</v>
      </c>
      <c r="Z267" t="s">
        <v>59</v>
      </c>
      <c r="AA267" t="s">
        <v>59</v>
      </c>
      <c r="AB267" t="s">
        <v>59</v>
      </c>
      <c r="AC267" t="s">
        <v>59</v>
      </c>
      <c r="AD267" t="s">
        <v>59</v>
      </c>
      <c r="AE267" t="s">
        <v>59</v>
      </c>
      <c r="AF267" t="s">
        <v>59</v>
      </c>
      <c r="AG267" t="s">
        <v>59</v>
      </c>
      <c r="AH267" t="s">
        <v>61</v>
      </c>
      <c r="AI267" t="s">
        <v>61</v>
      </c>
      <c r="AJ267" t="s">
        <v>59</v>
      </c>
      <c r="AK267" t="s">
        <v>59</v>
      </c>
      <c r="AL267" t="s">
        <v>60</v>
      </c>
      <c r="AM267" t="s">
        <v>59</v>
      </c>
      <c r="AN267" t="s">
        <v>59</v>
      </c>
      <c r="AO267" t="s">
        <v>59</v>
      </c>
      <c r="AP267" t="s">
        <v>803</v>
      </c>
      <c r="AQ267" t="s">
        <v>804</v>
      </c>
      <c r="AR267" t="s">
        <v>226</v>
      </c>
      <c r="AS267" t="s">
        <v>805</v>
      </c>
      <c r="AT267" t="s">
        <v>805</v>
      </c>
      <c r="AU267" t="s">
        <v>219</v>
      </c>
      <c r="AW267" s="4">
        <f t="shared" si="143"/>
        <v>6</v>
      </c>
      <c r="AX267" s="4">
        <f t="shared" si="144"/>
        <v>4</v>
      </c>
      <c r="AY267" s="4">
        <f t="shared" si="145"/>
        <v>4</v>
      </c>
      <c r="AZ267" s="4">
        <f t="shared" si="146"/>
        <v>2</v>
      </c>
      <c r="BA267" s="4">
        <f t="shared" si="147"/>
        <v>4</v>
      </c>
      <c r="BB267" s="4">
        <f t="shared" si="148"/>
        <v>4</v>
      </c>
      <c r="BC267" s="4">
        <f t="shared" si="149"/>
        <v>4</v>
      </c>
      <c r="BD267" s="4">
        <f t="shared" si="150"/>
        <v>2</v>
      </c>
      <c r="BE267" s="4">
        <f t="shared" si="151"/>
        <v>4</v>
      </c>
      <c r="BF267" s="4">
        <f t="shared" si="152"/>
        <v>2</v>
      </c>
      <c r="BG267" s="4">
        <f t="shared" si="153"/>
        <v>4</v>
      </c>
      <c r="BH267" s="4">
        <f t="shared" si="154"/>
        <v>4</v>
      </c>
      <c r="BI267" s="4">
        <f t="shared" si="155"/>
        <v>4</v>
      </c>
      <c r="BJ267" s="4">
        <f t="shared" si="156"/>
        <v>2</v>
      </c>
      <c r="BK267" s="4">
        <f t="shared" si="157"/>
        <v>4</v>
      </c>
      <c r="BL267" s="4">
        <f t="shared" si="158"/>
        <v>2</v>
      </c>
      <c r="BM267" s="4">
        <f t="shared" si="159"/>
        <v>4</v>
      </c>
      <c r="BN267" s="4">
        <f t="shared" si="160"/>
        <v>4</v>
      </c>
      <c r="BO267" s="4">
        <f t="shared" si="161"/>
        <v>4</v>
      </c>
      <c r="BP267" s="4">
        <f t="shared" si="162"/>
        <v>4</v>
      </c>
      <c r="BQ267" s="4">
        <f t="shared" si="163"/>
        <v>6</v>
      </c>
      <c r="BR267" s="4">
        <f t="shared" si="164"/>
        <v>4</v>
      </c>
      <c r="BS267" s="4">
        <f t="shared" si="165"/>
        <v>4</v>
      </c>
      <c r="BT267" s="4">
        <f t="shared" si="166"/>
        <v>4</v>
      </c>
      <c r="BU267" s="4">
        <f t="shared" si="167"/>
        <v>4</v>
      </c>
      <c r="BV267" s="4" t="str">
        <f t="shared" si="168"/>
        <v>0</v>
      </c>
      <c r="BW267" s="4">
        <f t="shared" si="169"/>
        <v>6</v>
      </c>
      <c r="BX267" s="4">
        <f t="shared" si="170"/>
        <v>0</v>
      </c>
      <c r="BY267" s="4">
        <f t="shared" si="171"/>
        <v>0</v>
      </c>
      <c r="BZ267" s="37">
        <f t="shared" si="172"/>
        <v>100</v>
      </c>
      <c r="CA267" s="32" t="str">
        <f>VLOOKUP(J:J,'Agent wise'!A:C,3,0)</f>
        <v>Amal</v>
      </c>
      <c r="CB267" s="32">
        <f t="shared" si="173"/>
        <v>45935</v>
      </c>
      <c r="CC267" t="str">
        <f t="shared" si="174"/>
        <v>Excellent</v>
      </c>
      <c r="CE267" s="32"/>
      <c r="CJ267">
        <f t="shared" si="175"/>
        <v>5</v>
      </c>
      <c r="CK267">
        <f t="shared" si="176"/>
        <v>10</v>
      </c>
      <c r="CL267">
        <f t="shared" si="177"/>
        <v>2025</v>
      </c>
    </row>
    <row r="268" spans="1:90" ht="15" customHeight="1" x14ac:dyDescent="0.35">
      <c r="A268" s="40">
        <v>45787.771377314813</v>
      </c>
      <c r="B268" t="s">
        <v>250</v>
      </c>
      <c r="C268" t="s">
        <v>214</v>
      </c>
      <c r="D268" t="s">
        <v>251</v>
      </c>
      <c r="E268" s="32">
        <v>45935</v>
      </c>
      <c r="F268" t="s">
        <v>306</v>
      </c>
      <c r="G268" s="2">
        <v>45726</v>
      </c>
      <c r="H268">
        <v>9994838104</v>
      </c>
      <c r="I268">
        <v>161</v>
      </c>
      <c r="J268" t="s">
        <v>246</v>
      </c>
      <c r="K268" t="s">
        <v>71</v>
      </c>
      <c r="L268" t="s">
        <v>72</v>
      </c>
      <c r="M268" t="s">
        <v>59</v>
      </c>
      <c r="N268" t="s">
        <v>59</v>
      </c>
      <c r="O268" t="s">
        <v>59</v>
      </c>
      <c r="P268" t="s">
        <v>59</v>
      </c>
      <c r="Q268" t="s">
        <v>59</v>
      </c>
      <c r="R268" t="s">
        <v>59</v>
      </c>
      <c r="S268" t="s">
        <v>59</v>
      </c>
      <c r="T268" t="s">
        <v>59</v>
      </c>
      <c r="U268" t="s">
        <v>59</v>
      </c>
      <c r="V268" t="s">
        <v>59</v>
      </c>
      <c r="W268" t="s">
        <v>59</v>
      </c>
      <c r="X268" t="s">
        <v>59</v>
      </c>
      <c r="Y268" t="s">
        <v>59</v>
      </c>
      <c r="Z268" t="s">
        <v>59</v>
      </c>
      <c r="AA268" t="s">
        <v>59</v>
      </c>
      <c r="AB268" t="s">
        <v>59</v>
      </c>
      <c r="AC268" t="s">
        <v>59</v>
      </c>
      <c r="AD268" t="s">
        <v>59</v>
      </c>
      <c r="AE268" t="s">
        <v>59</v>
      </c>
      <c r="AF268" t="s">
        <v>59</v>
      </c>
      <c r="AG268" t="s">
        <v>59</v>
      </c>
      <c r="AH268" t="s">
        <v>61</v>
      </c>
      <c r="AI268" t="s">
        <v>61</v>
      </c>
      <c r="AJ268" t="s">
        <v>59</v>
      </c>
      <c r="AK268" t="s">
        <v>59</v>
      </c>
      <c r="AL268" t="s">
        <v>59</v>
      </c>
      <c r="AM268" t="s">
        <v>59</v>
      </c>
      <c r="AN268" t="s">
        <v>59</v>
      </c>
      <c r="AO268" t="s">
        <v>59</v>
      </c>
      <c r="AP268" t="s">
        <v>806</v>
      </c>
      <c r="AQ268" s="1" t="s">
        <v>807</v>
      </c>
      <c r="AR268" t="s">
        <v>64</v>
      </c>
      <c r="AS268" t="s">
        <v>808</v>
      </c>
      <c r="AT268" t="s">
        <v>808</v>
      </c>
      <c r="AU268" t="s">
        <v>219</v>
      </c>
      <c r="AW268" s="4">
        <f t="shared" si="143"/>
        <v>6</v>
      </c>
      <c r="AX268" s="4">
        <f t="shared" si="144"/>
        <v>4</v>
      </c>
      <c r="AY268" s="4">
        <f t="shared" si="145"/>
        <v>4</v>
      </c>
      <c r="AZ268" s="4">
        <f t="shared" si="146"/>
        <v>2</v>
      </c>
      <c r="BA268" s="4">
        <f t="shared" si="147"/>
        <v>4</v>
      </c>
      <c r="BB268" s="4">
        <f t="shared" si="148"/>
        <v>4</v>
      </c>
      <c r="BC268" s="4">
        <f t="shared" si="149"/>
        <v>4</v>
      </c>
      <c r="BD268" s="4">
        <f t="shared" si="150"/>
        <v>2</v>
      </c>
      <c r="BE268" s="4">
        <f t="shared" si="151"/>
        <v>4</v>
      </c>
      <c r="BF268" s="4">
        <f t="shared" si="152"/>
        <v>2</v>
      </c>
      <c r="BG268" s="4">
        <f t="shared" si="153"/>
        <v>4</v>
      </c>
      <c r="BH268" s="4">
        <f t="shared" si="154"/>
        <v>4</v>
      </c>
      <c r="BI268" s="4">
        <f t="shared" si="155"/>
        <v>4</v>
      </c>
      <c r="BJ268" s="4">
        <f t="shared" si="156"/>
        <v>2</v>
      </c>
      <c r="BK268" s="4">
        <f t="shared" si="157"/>
        <v>4</v>
      </c>
      <c r="BL268" s="4">
        <f t="shared" si="158"/>
        <v>2</v>
      </c>
      <c r="BM268" s="4">
        <f t="shared" si="159"/>
        <v>4</v>
      </c>
      <c r="BN268" s="4">
        <f t="shared" si="160"/>
        <v>4</v>
      </c>
      <c r="BO268" s="4">
        <f t="shared" si="161"/>
        <v>4</v>
      </c>
      <c r="BP268" s="4">
        <f t="shared" si="162"/>
        <v>4</v>
      </c>
      <c r="BQ268" s="4">
        <f t="shared" si="163"/>
        <v>6</v>
      </c>
      <c r="BR268" s="4">
        <f t="shared" si="164"/>
        <v>4</v>
      </c>
      <c r="BS268" s="4">
        <f t="shared" si="165"/>
        <v>4</v>
      </c>
      <c r="BT268" s="4">
        <f t="shared" si="166"/>
        <v>4</v>
      </c>
      <c r="BU268" s="4">
        <f t="shared" si="167"/>
        <v>4</v>
      </c>
      <c r="BV268" s="4">
        <f t="shared" si="168"/>
        <v>0</v>
      </c>
      <c r="BW268" s="4">
        <f t="shared" si="169"/>
        <v>6</v>
      </c>
      <c r="BX268" s="4">
        <f t="shared" si="170"/>
        <v>0</v>
      </c>
      <c r="BY268" s="4">
        <f t="shared" si="171"/>
        <v>0</v>
      </c>
      <c r="BZ268" s="37">
        <f t="shared" si="172"/>
        <v>100</v>
      </c>
      <c r="CA268" s="32" t="str">
        <f>VLOOKUP(J:J,'Agent wise'!A:C,3,0)</f>
        <v>Amal</v>
      </c>
      <c r="CB268" s="32">
        <f t="shared" si="173"/>
        <v>45935</v>
      </c>
      <c r="CC268" t="str">
        <f t="shared" si="174"/>
        <v>Excellent</v>
      </c>
      <c r="CE268" s="32"/>
      <c r="CJ268">
        <f t="shared" si="175"/>
        <v>5</v>
      </c>
      <c r="CK268">
        <f t="shared" si="176"/>
        <v>10</v>
      </c>
      <c r="CL268">
        <f t="shared" si="177"/>
        <v>2025</v>
      </c>
    </row>
    <row r="269" spans="1:90" ht="15" customHeight="1" x14ac:dyDescent="0.35">
      <c r="A269" s="40">
        <v>45787.77171296296</v>
      </c>
      <c r="B269" t="s">
        <v>100</v>
      </c>
      <c r="C269" t="s">
        <v>214</v>
      </c>
      <c r="D269" t="s">
        <v>101</v>
      </c>
      <c r="E269" s="32">
        <v>45935</v>
      </c>
      <c r="F269" t="s">
        <v>222</v>
      </c>
      <c r="G269" s="2">
        <v>45757</v>
      </c>
      <c r="H269">
        <v>8072124503</v>
      </c>
      <c r="I269">
        <v>142</v>
      </c>
      <c r="J269" t="s">
        <v>575</v>
      </c>
      <c r="K269" t="s">
        <v>71</v>
      </c>
      <c r="L269" t="s">
        <v>72</v>
      </c>
      <c r="M269" t="s">
        <v>60</v>
      </c>
      <c r="N269" t="s">
        <v>59</v>
      </c>
      <c r="O269" t="s">
        <v>59</v>
      </c>
      <c r="P269" t="s">
        <v>59</v>
      </c>
      <c r="Q269" t="s">
        <v>59</v>
      </c>
      <c r="R269" t="s">
        <v>59</v>
      </c>
      <c r="S269" t="s">
        <v>59</v>
      </c>
      <c r="T269" t="s">
        <v>59</v>
      </c>
      <c r="U269" t="s">
        <v>59</v>
      </c>
      <c r="V269" t="s">
        <v>59</v>
      </c>
      <c r="W269" t="s">
        <v>59</v>
      </c>
      <c r="X269" t="s">
        <v>59</v>
      </c>
      <c r="Y269" t="s">
        <v>59</v>
      </c>
      <c r="Z269" t="s">
        <v>59</v>
      </c>
      <c r="AA269" t="s">
        <v>60</v>
      </c>
      <c r="AB269" t="s">
        <v>60</v>
      </c>
      <c r="AC269" t="s">
        <v>59</v>
      </c>
      <c r="AD269" t="s">
        <v>59</v>
      </c>
      <c r="AE269" t="s">
        <v>59</v>
      </c>
      <c r="AF269" t="s">
        <v>59</v>
      </c>
      <c r="AG269" t="s">
        <v>59</v>
      </c>
      <c r="AH269" t="s">
        <v>59</v>
      </c>
      <c r="AI269" t="s">
        <v>61</v>
      </c>
      <c r="AJ269" t="s">
        <v>59</v>
      </c>
      <c r="AK269" t="s">
        <v>59</v>
      </c>
      <c r="AL269" t="s">
        <v>59</v>
      </c>
      <c r="AM269" t="s">
        <v>59</v>
      </c>
      <c r="AN269" t="s">
        <v>59</v>
      </c>
      <c r="AO269" t="s">
        <v>59</v>
      </c>
      <c r="AP269" t="s">
        <v>793</v>
      </c>
      <c r="AQ269" s="1" t="s">
        <v>809</v>
      </c>
      <c r="AR269" t="s">
        <v>226</v>
      </c>
      <c r="AS269" t="s">
        <v>352</v>
      </c>
      <c r="AT269" t="s">
        <v>352</v>
      </c>
      <c r="AU269" t="s">
        <v>219</v>
      </c>
      <c r="AW269" s="4" t="str">
        <f t="shared" si="143"/>
        <v>0</v>
      </c>
      <c r="AX269" s="4">
        <f t="shared" si="144"/>
        <v>4</v>
      </c>
      <c r="AY269" s="4">
        <f t="shared" si="145"/>
        <v>4</v>
      </c>
      <c r="AZ269" s="4">
        <f t="shared" si="146"/>
        <v>2</v>
      </c>
      <c r="BA269" s="4">
        <f t="shared" si="147"/>
        <v>4</v>
      </c>
      <c r="BB269" s="4">
        <f t="shared" si="148"/>
        <v>4</v>
      </c>
      <c r="BC269" s="4">
        <f t="shared" si="149"/>
        <v>4</v>
      </c>
      <c r="BD269" s="4">
        <f t="shared" si="150"/>
        <v>2</v>
      </c>
      <c r="BE269" s="4">
        <f t="shared" si="151"/>
        <v>4</v>
      </c>
      <c r="BF269" s="4">
        <f t="shared" si="152"/>
        <v>2</v>
      </c>
      <c r="BG269" s="4">
        <f t="shared" si="153"/>
        <v>4</v>
      </c>
      <c r="BH269" s="4">
        <f t="shared" si="154"/>
        <v>4</v>
      </c>
      <c r="BI269" s="4">
        <f t="shared" si="155"/>
        <v>4</v>
      </c>
      <c r="BJ269" s="4">
        <f t="shared" si="156"/>
        <v>2</v>
      </c>
      <c r="BK269" s="4" t="str">
        <f t="shared" si="157"/>
        <v>0</v>
      </c>
      <c r="BL269" s="4" t="str">
        <f t="shared" si="158"/>
        <v>0</v>
      </c>
      <c r="BM269" s="4">
        <f t="shared" si="159"/>
        <v>4</v>
      </c>
      <c r="BN269" s="4">
        <f t="shared" si="160"/>
        <v>4</v>
      </c>
      <c r="BO269" s="4">
        <f t="shared" si="161"/>
        <v>4</v>
      </c>
      <c r="BP269" s="4">
        <f t="shared" si="162"/>
        <v>4</v>
      </c>
      <c r="BQ269" s="4">
        <f t="shared" si="163"/>
        <v>6</v>
      </c>
      <c r="BR269" s="4">
        <f t="shared" si="164"/>
        <v>4</v>
      </c>
      <c r="BS269" s="4">
        <f t="shared" si="165"/>
        <v>4</v>
      </c>
      <c r="BT269" s="4">
        <f t="shared" si="166"/>
        <v>4</v>
      </c>
      <c r="BU269" s="4">
        <f t="shared" si="167"/>
        <v>4</v>
      </c>
      <c r="BV269" s="4">
        <f t="shared" si="168"/>
        <v>0</v>
      </c>
      <c r="BW269" s="4">
        <f t="shared" si="169"/>
        <v>6</v>
      </c>
      <c r="BX269" s="4">
        <f t="shared" si="170"/>
        <v>0</v>
      </c>
      <c r="BY269" s="4">
        <f t="shared" si="171"/>
        <v>0</v>
      </c>
      <c r="BZ269" s="37">
        <f t="shared" si="172"/>
        <v>88</v>
      </c>
      <c r="CA269" s="32" t="str">
        <f>VLOOKUP(J:J,'Agent wise'!A:C,3,0)</f>
        <v>Shakeer</v>
      </c>
      <c r="CB269" s="32">
        <f t="shared" si="173"/>
        <v>45935</v>
      </c>
      <c r="CC269" t="str">
        <f t="shared" si="174"/>
        <v>Average</v>
      </c>
      <c r="CE269" s="32"/>
      <c r="CJ269">
        <f t="shared" si="175"/>
        <v>5</v>
      </c>
      <c r="CK269">
        <f t="shared" si="176"/>
        <v>10</v>
      </c>
      <c r="CL269">
        <f t="shared" si="177"/>
        <v>2025</v>
      </c>
    </row>
    <row r="270" spans="1:90" ht="15" customHeight="1" x14ac:dyDescent="0.35">
      <c r="A270" s="40">
        <v>45787.775821759264</v>
      </c>
      <c r="B270" t="s">
        <v>250</v>
      </c>
      <c r="C270" t="s">
        <v>214</v>
      </c>
      <c r="D270" t="s">
        <v>251</v>
      </c>
      <c r="E270" s="32">
        <v>45935</v>
      </c>
      <c r="F270" t="s">
        <v>306</v>
      </c>
      <c r="G270" s="2">
        <v>45726</v>
      </c>
      <c r="H270">
        <v>9976222010</v>
      </c>
      <c r="I270">
        <v>134</v>
      </c>
      <c r="J270" t="s">
        <v>307</v>
      </c>
      <c r="K270" t="s">
        <v>71</v>
      </c>
      <c r="L270" t="s">
        <v>72</v>
      </c>
      <c r="M270" t="s">
        <v>59</v>
      </c>
      <c r="N270" t="s">
        <v>59</v>
      </c>
      <c r="O270" t="s">
        <v>59</v>
      </c>
      <c r="P270" t="s">
        <v>59</v>
      </c>
      <c r="Q270" t="s">
        <v>59</v>
      </c>
      <c r="R270" t="s">
        <v>59</v>
      </c>
      <c r="S270" t="s">
        <v>59</v>
      </c>
      <c r="T270" t="s">
        <v>59</v>
      </c>
      <c r="U270" t="s">
        <v>59</v>
      </c>
      <c r="V270" t="s">
        <v>59</v>
      </c>
      <c r="W270" t="s">
        <v>59</v>
      </c>
      <c r="X270" t="s">
        <v>59</v>
      </c>
      <c r="Y270" t="s">
        <v>59</v>
      </c>
      <c r="Z270" t="s">
        <v>59</v>
      </c>
      <c r="AA270" t="s">
        <v>59</v>
      </c>
      <c r="AB270" t="s">
        <v>59</v>
      </c>
      <c r="AC270" t="s">
        <v>59</v>
      </c>
      <c r="AD270" t="s">
        <v>59</v>
      </c>
      <c r="AE270" t="s">
        <v>59</v>
      </c>
      <c r="AF270" t="s">
        <v>59</v>
      </c>
      <c r="AG270" t="s">
        <v>59</v>
      </c>
      <c r="AH270" t="s">
        <v>61</v>
      </c>
      <c r="AI270" t="s">
        <v>61</v>
      </c>
      <c r="AJ270" t="s">
        <v>59</v>
      </c>
      <c r="AK270" t="s">
        <v>59</v>
      </c>
      <c r="AL270" t="s">
        <v>59</v>
      </c>
      <c r="AM270" t="s">
        <v>59</v>
      </c>
      <c r="AN270" t="s">
        <v>59</v>
      </c>
      <c r="AO270" t="s">
        <v>59</v>
      </c>
      <c r="AP270" t="s">
        <v>810</v>
      </c>
      <c r="AQ270" t="s">
        <v>811</v>
      </c>
      <c r="AR270" t="s">
        <v>226</v>
      </c>
      <c r="AS270" t="s">
        <v>808</v>
      </c>
      <c r="AT270" t="s">
        <v>808</v>
      </c>
      <c r="AU270" t="s">
        <v>219</v>
      </c>
      <c r="AW270" s="4">
        <f t="shared" si="143"/>
        <v>6</v>
      </c>
      <c r="AX270" s="4">
        <f t="shared" si="144"/>
        <v>4</v>
      </c>
      <c r="AY270" s="4">
        <f t="shared" si="145"/>
        <v>4</v>
      </c>
      <c r="AZ270" s="4">
        <f t="shared" si="146"/>
        <v>2</v>
      </c>
      <c r="BA270" s="4">
        <f t="shared" si="147"/>
        <v>4</v>
      </c>
      <c r="BB270" s="4">
        <f t="shared" si="148"/>
        <v>4</v>
      </c>
      <c r="BC270" s="4">
        <f t="shared" si="149"/>
        <v>4</v>
      </c>
      <c r="BD270" s="4">
        <f t="shared" si="150"/>
        <v>2</v>
      </c>
      <c r="BE270" s="4">
        <f t="shared" si="151"/>
        <v>4</v>
      </c>
      <c r="BF270" s="4">
        <f t="shared" si="152"/>
        <v>2</v>
      </c>
      <c r="BG270" s="4">
        <f t="shared" si="153"/>
        <v>4</v>
      </c>
      <c r="BH270" s="4">
        <f t="shared" si="154"/>
        <v>4</v>
      </c>
      <c r="BI270" s="4">
        <f t="shared" si="155"/>
        <v>4</v>
      </c>
      <c r="BJ270" s="4">
        <f t="shared" si="156"/>
        <v>2</v>
      </c>
      <c r="BK270" s="4">
        <f t="shared" si="157"/>
        <v>4</v>
      </c>
      <c r="BL270" s="4">
        <f t="shared" si="158"/>
        <v>2</v>
      </c>
      <c r="BM270" s="4">
        <f t="shared" si="159"/>
        <v>4</v>
      </c>
      <c r="BN270" s="4">
        <f t="shared" si="160"/>
        <v>4</v>
      </c>
      <c r="BO270" s="4">
        <f t="shared" si="161"/>
        <v>4</v>
      </c>
      <c r="BP270" s="4">
        <f t="shared" si="162"/>
        <v>4</v>
      </c>
      <c r="BQ270" s="4">
        <f t="shared" si="163"/>
        <v>6</v>
      </c>
      <c r="BR270" s="4">
        <f t="shared" si="164"/>
        <v>4</v>
      </c>
      <c r="BS270" s="4">
        <f t="shared" si="165"/>
        <v>4</v>
      </c>
      <c r="BT270" s="4">
        <f t="shared" si="166"/>
        <v>4</v>
      </c>
      <c r="BU270" s="4">
        <f t="shared" si="167"/>
        <v>4</v>
      </c>
      <c r="BV270" s="4">
        <f t="shared" si="168"/>
        <v>0</v>
      </c>
      <c r="BW270" s="4">
        <f t="shared" si="169"/>
        <v>6</v>
      </c>
      <c r="BX270" s="4">
        <f t="shared" si="170"/>
        <v>0</v>
      </c>
      <c r="BY270" s="4">
        <f t="shared" si="171"/>
        <v>0</v>
      </c>
      <c r="BZ270" s="37">
        <f t="shared" si="172"/>
        <v>100</v>
      </c>
      <c r="CA270" s="32" t="str">
        <f>VLOOKUP(J:J,'Agent wise'!A:C,3,0)</f>
        <v>Amal</v>
      </c>
      <c r="CB270" s="32">
        <f t="shared" si="173"/>
        <v>45935</v>
      </c>
      <c r="CC270" t="str">
        <f t="shared" si="174"/>
        <v>Excellent</v>
      </c>
      <c r="CE270" s="32"/>
      <c r="CJ270">
        <f t="shared" si="175"/>
        <v>5</v>
      </c>
      <c r="CK270">
        <f t="shared" si="176"/>
        <v>10</v>
      </c>
      <c r="CL270">
        <f t="shared" si="177"/>
        <v>2025</v>
      </c>
    </row>
    <row r="271" spans="1:90" ht="15" customHeight="1" x14ac:dyDescent="0.35">
      <c r="A271" s="40">
        <v>45787.778611111113</v>
      </c>
      <c r="B271" t="s">
        <v>250</v>
      </c>
      <c r="C271" t="s">
        <v>214</v>
      </c>
      <c r="D271" t="s">
        <v>251</v>
      </c>
      <c r="E271" s="32">
        <v>45935</v>
      </c>
      <c r="F271" t="s">
        <v>306</v>
      </c>
      <c r="G271" s="2">
        <v>45757</v>
      </c>
      <c r="H271">
        <v>9442906783</v>
      </c>
      <c r="I271">
        <v>166</v>
      </c>
      <c r="J271" t="s">
        <v>307</v>
      </c>
      <c r="K271" t="s">
        <v>71</v>
      </c>
      <c r="L271" t="s">
        <v>72</v>
      </c>
      <c r="M271" t="s">
        <v>59</v>
      </c>
      <c r="N271" t="s">
        <v>59</v>
      </c>
      <c r="O271" t="s">
        <v>59</v>
      </c>
      <c r="P271" t="s">
        <v>59</v>
      </c>
      <c r="Q271" t="s">
        <v>59</v>
      </c>
      <c r="R271" t="s">
        <v>59</v>
      </c>
      <c r="S271" t="s">
        <v>59</v>
      </c>
      <c r="T271" t="s">
        <v>59</v>
      </c>
      <c r="U271" t="s">
        <v>59</v>
      </c>
      <c r="V271" t="s">
        <v>59</v>
      </c>
      <c r="W271" t="s">
        <v>59</v>
      </c>
      <c r="X271" t="s">
        <v>59</v>
      </c>
      <c r="Y271" t="s">
        <v>59</v>
      </c>
      <c r="Z271" t="s">
        <v>59</v>
      </c>
      <c r="AA271" t="s">
        <v>59</v>
      </c>
      <c r="AB271" t="s">
        <v>59</v>
      </c>
      <c r="AC271" t="s">
        <v>59</v>
      </c>
      <c r="AD271" t="s">
        <v>59</v>
      </c>
      <c r="AE271" t="s">
        <v>59</v>
      </c>
      <c r="AF271" t="s">
        <v>59</v>
      </c>
      <c r="AG271" t="s">
        <v>59</v>
      </c>
      <c r="AH271" t="s">
        <v>61</v>
      </c>
      <c r="AI271" t="s">
        <v>61</v>
      </c>
      <c r="AJ271" t="s">
        <v>59</v>
      </c>
      <c r="AK271" t="s">
        <v>59</v>
      </c>
      <c r="AL271" t="s">
        <v>59</v>
      </c>
      <c r="AM271" t="s">
        <v>59</v>
      </c>
      <c r="AN271" t="s">
        <v>59</v>
      </c>
      <c r="AO271" t="s">
        <v>59</v>
      </c>
      <c r="AP271" t="s">
        <v>496</v>
      </c>
      <c r="AQ271" s="1" t="s">
        <v>812</v>
      </c>
      <c r="AR271" t="s">
        <v>226</v>
      </c>
      <c r="AS271" t="s">
        <v>813</v>
      </c>
      <c r="AT271" t="s">
        <v>813</v>
      </c>
      <c r="AU271" t="s">
        <v>219</v>
      </c>
      <c r="AW271" s="4">
        <f t="shared" si="143"/>
        <v>6</v>
      </c>
      <c r="AX271" s="4">
        <f t="shared" si="144"/>
        <v>4</v>
      </c>
      <c r="AY271" s="4">
        <f t="shared" si="145"/>
        <v>4</v>
      </c>
      <c r="AZ271" s="4">
        <f t="shared" si="146"/>
        <v>2</v>
      </c>
      <c r="BA271" s="4">
        <f t="shared" si="147"/>
        <v>4</v>
      </c>
      <c r="BB271" s="4">
        <f t="shared" si="148"/>
        <v>4</v>
      </c>
      <c r="BC271" s="4">
        <f t="shared" si="149"/>
        <v>4</v>
      </c>
      <c r="BD271" s="4">
        <f t="shared" si="150"/>
        <v>2</v>
      </c>
      <c r="BE271" s="4">
        <f t="shared" si="151"/>
        <v>4</v>
      </c>
      <c r="BF271" s="4">
        <f t="shared" si="152"/>
        <v>2</v>
      </c>
      <c r="BG271" s="4">
        <f t="shared" si="153"/>
        <v>4</v>
      </c>
      <c r="BH271" s="4">
        <f t="shared" si="154"/>
        <v>4</v>
      </c>
      <c r="BI271" s="4">
        <f t="shared" si="155"/>
        <v>4</v>
      </c>
      <c r="BJ271" s="4">
        <f t="shared" si="156"/>
        <v>2</v>
      </c>
      <c r="BK271" s="4">
        <f t="shared" si="157"/>
        <v>4</v>
      </c>
      <c r="BL271" s="4">
        <f t="shared" si="158"/>
        <v>2</v>
      </c>
      <c r="BM271" s="4">
        <f t="shared" si="159"/>
        <v>4</v>
      </c>
      <c r="BN271" s="4">
        <f t="shared" si="160"/>
        <v>4</v>
      </c>
      <c r="BO271" s="4">
        <f t="shared" si="161"/>
        <v>4</v>
      </c>
      <c r="BP271" s="4">
        <f t="shared" si="162"/>
        <v>4</v>
      </c>
      <c r="BQ271" s="4">
        <f t="shared" si="163"/>
        <v>6</v>
      </c>
      <c r="BR271" s="4">
        <f t="shared" si="164"/>
        <v>4</v>
      </c>
      <c r="BS271" s="4">
        <f t="shared" si="165"/>
        <v>4</v>
      </c>
      <c r="BT271" s="4">
        <f t="shared" si="166"/>
        <v>4</v>
      </c>
      <c r="BU271" s="4">
        <f t="shared" si="167"/>
        <v>4</v>
      </c>
      <c r="BV271" s="4">
        <f t="shared" si="168"/>
        <v>0</v>
      </c>
      <c r="BW271" s="4">
        <f t="shared" si="169"/>
        <v>6</v>
      </c>
      <c r="BX271" s="4">
        <f t="shared" si="170"/>
        <v>0</v>
      </c>
      <c r="BY271" s="4">
        <f t="shared" si="171"/>
        <v>0</v>
      </c>
      <c r="BZ271" s="37">
        <f t="shared" si="172"/>
        <v>100</v>
      </c>
      <c r="CA271" s="32" t="str">
        <f>VLOOKUP(J:J,'Agent wise'!A:C,3,0)</f>
        <v>Amal</v>
      </c>
      <c r="CB271" s="32">
        <f t="shared" si="173"/>
        <v>45935</v>
      </c>
      <c r="CC271" t="str">
        <f t="shared" si="174"/>
        <v>Excellent</v>
      </c>
      <c r="CE271" s="32"/>
      <c r="CJ271">
        <f t="shared" si="175"/>
        <v>5</v>
      </c>
      <c r="CK271">
        <f t="shared" si="176"/>
        <v>10</v>
      </c>
      <c r="CL271">
        <f t="shared" si="177"/>
        <v>2025</v>
      </c>
    </row>
    <row r="272" spans="1:90" ht="15" customHeight="1" x14ac:dyDescent="0.35">
      <c r="A272" s="40">
        <v>45787.779027777768</v>
      </c>
      <c r="B272" t="s">
        <v>100</v>
      </c>
      <c r="C272" t="s">
        <v>214</v>
      </c>
      <c r="D272" t="s">
        <v>101</v>
      </c>
      <c r="E272" s="32">
        <v>45935</v>
      </c>
      <c r="F272" t="s">
        <v>222</v>
      </c>
      <c r="G272" s="2">
        <v>45726</v>
      </c>
      <c r="H272">
        <v>7736749529</v>
      </c>
      <c r="I272">
        <v>138</v>
      </c>
      <c r="J272" t="s">
        <v>391</v>
      </c>
      <c r="K272" t="s">
        <v>57</v>
      </c>
      <c r="L272" t="s">
        <v>58</v>
      </c>
      <c r="M272" t="s">
        <v>59</v>
      </c>
      <c r="N272" t="s">
        <v>59</v>
      </c>
      <c r="O272" t="s">
        <v>59</v>
      </c>
      <c r="P272" t="s">
        <v>59</v>
      </c>
      <c r="Q272" t="s">
        <v>59</v>
      </c>
      <c r="R272" t="s">
        <v>59</v>
      </c>
      <c r="S272" t="s">
        <v>59</v>
      </c>
      <c r="T272" t="s">
        <v>59</v>
      </c>
      <c r="U272" t="s">
        <v>59</v>
      </c>
      <c r="V272" t="s">
        <v>59</v>
      </c>
      <c r="W272" t="s">
        <v>59</v>
      </c>
      <c r="X272" t="s">
        <v>59</v>
      </c>
      <c r="Y272" t="s">
        <v>59</v>
      </c>
      <c r="Z272" t="s">
        <v>59</v>
      </c>
      <c r="AA272" t="s">
        <v>60</v>
      </c>
      <c r="AB272" t="s">
        <v>59</v>
      </c>
      <c r="AC272" t="s">
        <v>59</v>
      </c>
      <c r="AD272" t="s">
        <v>61</v>
      </c>
      <c r="AE272" t="s">
        <v>59</v>
      </c>
      <c r="AF272" t="s">
        <v>59</v>
      </c>
      <c r="AG272" t="s">
        <v>59</v>
      </c>
      <c r="AH272" t="s">
        <v>59</v>
      </c>
      <c r="AI272" t="s">
        <v>61</v>
      </c>
      <c r="AJ272" t="s">
        <v>59</v>
      </c>
      <c r="AK272" t="s">
        <v>59</v>
      </c>
      <c r="AL272" t="s">
        <v>60</v>
      </c>
      <c r="AM272" t="s">
        <v>59</v>
      </c>
      <c r="AN272" t="s">
        <v>59</v>
      </c>
      <c r="AO272" t="s">
        <v>59</v>
      </c>
      <c r="AP272" t="s">
        <v>526</v>
      </c>
      <c r="AQ272" s="1" t="s">
        <v>814</v>
      </c>
      <c r="AR272" t="s">
        <v>226</v>
      </c>
      <c r="AS272" t="s">
        <v>352</v>
      </c>
      <c r="AT272" t="s">
        <v>352</v>
      </c>
      <c r="AU272" t="s">
        <v>219</v>
      </c>
      <c r="AW272" s="4">
        <f t="shared" si="143"/>
        <v>6</v>
      </c>
      <c r="AX272" s="4">
        <f t="shared" si="144"/>
        <v>4</v>
      </c>
      <c r="AY272" s="4">
        <f t="shared" si="145"/>
        <v>4</v>
      </c>
      <c r="AZ272" s="4">
        <f t="shared" si="146"/>
        <v>2</v>
      </c>
      <c r="BA272" s="4">
        <f t="shared" si="147"/>
        <v>4</v>
      </c>
      <c r="BB272" s="4">
        <f t="shared" si="148"/>
        <v>4</v>
      </c>
      <c r="BC272" s="4">
        <f t="shared" si="149"/>
        <v>4</v>
      </c>
      <c r="BD272" s="4">
        <f t="shared" si="150"/>
        <v>2</v>
      </c>
      <c r="BE272" s="4">
        <f t="shared" si="151"/>
        <v>4</v>
      </c>
      <c r="BF272" s="4">
        <f t="shared" si="152"/>
        <v>2</v>
      </c>
      <c r="BG272" s="4">
        <f t="shared" si="153"/>
        <v>4</v>
      </c>
      <c r="BH272" s="4">
        <f t="shared" si="154"/>
        <v>4</v>
      </c>
      <c r="BI272" s="4">
        <f t="shared" si="155"/>
        <v>4</v>
      </c>
      <c r="BJ272" s="4">
        <f t="shared" si="156"/>
        <v>2</v>
      </c>
      <c r="BK272" s="4" t="str">
        <f t="shared" si="157"/>
        <v>0</v>
      </c>
      <c r="BL272" s="4">
        <f t="shared" si="158"/>
        <v>2</v>
      </c>
      <c r="BM272" s="4">
        <f t="shared" si="159"/>
        <v>4</v>
      </c>
      <c r="BN272" s="4">
        <f t="shared" si="160"/>
        <v>4</v>
      </c>
      <c r="BO272" s="4">
        <f t="shared" si="161"/>
        <v>4</v>
      </c>
      <c r="BP272" s="4">
        <f t="shared" si="162"/>
        <v>4</v>
      </c>
      <c r="BQ272" s="4">
        <f t="shared" si="163"/>
        <v>6</v>
      </c>
      <c r="BR272" s="4">
        <f t="shared" si="164"/>
        <v>4</v>
      </c>
      <c r="BS272" s="4">
        <f t="shared" si="165"/>
        <v>4</v>
      </c>
      <c r="BT272" s="4">
        <f t="shared" si="166"/>
        <v>4</v>
      </c>
      <c r="BU272" s="4">
        <f t="shared" si="167"/>
        <v>4</v>
      </c>
      <c r="BV272" s="4" t="str">
        <f t="shared" si="168"/>
        <v>0</v>
      </c>
      <c r="BW272" s="4">
        <f t="shared" si="169"/>
        <v>6</v>
      </c>
      <c r="BX272" s="4">
        <f t="shared" si="170"/>
        <v>0</v>
      </c>
      <c r="BY272" s="4">
        <f t="shared" si="171"/>
        <v>0</v>
      </c>
      <c r="BZ272" s="37">
        <f t="shared" si="172"/>
        <v>96</v>
      </c>
      <c r="CA272" s="32" t="str">
        <f>VLOOKUP(J:J,'Agent wise'!A:C,3,0)</f>
        <v>Amal</v>
      </c>
      <c r="CB272" s="32">
        <f t="shared" si="173"/>
        <v>45935</v>
      </c>
      <c r="CC272" t="str">
        <f t="shared" si="174"/>
        <v>Excellent</v>
      </c>
      <c r="CE272" s="32"/>
      <c r="CJ272">
        <f t="shared" si="175"/>
        <v>5</v>
      </c>
      <c r="CK272">
        <f t="shared" si="176"/>
        <v>10</v>
      </c>
      <c r="CL272">
        <f t="shared" si="177"/>
        <v>2025</v>
      </c>
    </row>
    <row r="273" spans="1:90" ht="15" customHeight="1" x14ac:dyDescent="0.35">
      <c r="A273" s="40">
        <v>45787.780821759261</v>
      </c>
      <c r="B273" t="s">
        <v>250</v>
      </c>
      <c r="C273" t="s">
        <v>214</v>
      </c>
      <c r="D273" t="s">
        <v>251</v>
      </c>
      <c r="E273" s="32">
        <v>45935</v>
      </c>
      <c r="F273" t="s">
        <v>306</v>
      </c>
      <c r="G273" s="2">
        <v>45757</v>
      </c>
      <c r="H273">
        <v>9445941540</v>
      </c>
      <c r="I273">
        <v>196</v>
      </c>
      <c r="J273" t="s">
        <v>149</v>
      </c>
      <c r="K273" t="s">
        <v>71</v>
      </c>
      <c r="L273" t="s">
        <v>72</v>
      </c>
      <c r="M273" t="s">
        <v>59</v>
      </c>
      <c r="N273" t="s">
        <v>59</v>
      </c>
      <c r="O273" t="s">
        <v>59</v>
      </c>
      <c r="P273" t="s">
        <v>59</v>
      </c>
      <c r="Q273" t="s">
        <v>59</v>
      </c>
      <c r="R273" t="s">
        <v>59</v>
      </c>
      <c r="S273" t="s">
        <v>59</v>
      </c>
      <c r="T273" t="s">
        <v>59</v>
      </c>
      <c r="U273" t="s">
        <v>60</v>
      </c>
      <c r="V273" t="s">
        <v>59</v>
      </c>
      <c r="W273" t="s">
        <v>59</v>
      </c>
      <c r="X273" t="s">
        <v>59</v>
      </c>
      <c r="Y273" t="s">
        <v>59</v>
      </c>
      <c r="Z273" t="s">
        <v>60</v>
      </c>
      <c r="AA273" t="s">
        <v>59</v>
      </c>
      <c r="AB273" t="s">
        <v>59</v>
      </c>
      <c r="AC273" t="s">
        <v>59</v>
      </c>
      <c r="AD273" t="s">
        <v>59</v>
      </c>
      <c r="AE273" t="s">
        <v>59</v>
      </c>
      <c r="AF273" t="s">
        <v>59</v>
      </c>
      <c r="AG273" t="s">
        <v>59</v>
      </c>
      <c r="AH273" t="s">
        <v>61</v>
      </c>
      <c r="AI273" t="s">
        <v>61</v>
      </c>
      <c r="AJ273" t="s">
        <v>59</v>
      </c>
      <c r="AK273" t="s">
        <v>59</v>
      </c>
      <c r="AL273" t="s">
        <v>60</v>
      </c>
      <c r="AM273" t="s">
        <v>59</v>
      </c>
      <c r="AN273" t="s">
        <v>59</v>
      </c>
      <c r="AO273" t="s">
        <v>59</v>
      </c>
      <c r="AP273" t="s">
        <v>815</v>
      </c>
      <c r="AQ273" t="s">
        <v>816</v>
      </c>
      <c r="AR273" t="s">
        <v>226</v>
      </c>
      <c r="AS273" t="s">
        <v>808</v>
      </c>
      <c r="AT273" t="s">
        <v>808</v>
      </c>
      <c r="AU273" t="s">
        <v>219</v>
      </c>
      <c r="AW273" s="4">
        <f t="shared" si="143"/>
        <v>6</v>
      </c>
      <c r="AX273" s="4">
        <f t="shared" si="144"/>
        <v>4</v>
      </c>
      <c r="AY273" s="4">
        <f t="shared" si="145"/>
        <v>4</v>
      </c>
      <c r="AZ273" s="4">
        <f t="shared" si="146"/>
        <v>2</v>
      </c>
      <c r="BA273" s="4">
        <f t="shared" si="147"/>
        <v>4</v>
      </c>
      <c r="BB273" s="4">
        <f t="shared" si="148"/>
        <v>4</v>
      </c>
      <c r="BC273" s="4">
        <f t="shared" si="149"/>
        <v>4</v>
      </c>
      <c r="BD273" s="4">
        <f t="shared" si="150"/>
        <v>2</v>
      </c>
      <c r="BE273" s="4" t="str">
        <f t="shared" si="151"/>
        <v>0</v>
      </c>
      <c r="BF273" s="4">
        <f t="shared" si="152"/>
        <v>2</v>
      </c>
      <c r="BG273" s="4">
        <f t="shared" si="153"/>
        <v>4</v>
      </c>
      <c r="BH273" s="4">
        <f t="shared" si="154"/>
        <v>4</v>
      </c>
      <c r="BI273" s="4">
        <f t="shared" si="155"/>
        <v>4</v>
      </c>
      <c r="BJ273" s="4" t="str">
        <f t="shared" si="156"/>
        <v>0</v>
      </c>
      <c r="BK273" s="4">
        <f t="shared" si="157"/>
        <v>4</v>
      </c>
      <c r="BL273" s="4">
        <f t="shared" si="158"/>
        <v>2</v>
      </c>
      <c r="BM273" s="4">
        <f t="shared" si="159"/>
        <v>4</v>
      </c>
      <c r="BN273" s="4">
        <f t="shared" si="160"/>
        <v>4</v>
      </c>
      <c r="BO273" s="4">
        <f t="shared" si="161"/>
        <v>4</v>
      </c>
      <c r="BP273" s="4">
        <f t="shared" si="162"/>
        <v>4</v>
      </c>
      <c r="BQ273" s="4">
        <f t="shared" si="163"/>
        <v>6</v>
      </c>
      <c r="BR273" s="4">
        <f t="shared" si="164"/>
        <v>4</v>
      </c>
      <c r="BS273" s="4">
        <f t="shared" si="165"/>
        <v>4</v>
      </c>
      <c r="BT273" s="4">
        <f t="shared" si="166"/>
        <v>4</v>
      </c>
      <c r="BU273" s="4">
        <f t="shared" si="167"/>
        <v>4</v>
      </c>
      <c r="BV273" s="4" t="str">
        <f t="shared" si="168"/>
        <v>0</v>
      </c>
      <c r="BW273" s="4">
        <f t="shared" si="169"/>
        <v>6</v>
      </c>
      <c r="BX273" s="4">
        <f t="shared" si="170"/>
        <v>0</v>
      </c>
      <c r="BY273" s="4">
        <f t="shared" si="171"/>
        <v>0</v>
      </c>
      <c r="BZ273" s="37">
        <f t="shared" si="172"/>
        <v>94</v>
      </c>
      <c r="CA273" s="32" t="str">
        <f>VLOOKUP(J:J,'Agent wise'!A:C,3,0)</f>
        <v>Shakeer</v>
      </c>
      <c r="CB273" s="32">
        <f t="shared" si="173"/>
        <v>45935</v>
      </c>
      <c r="CC273" t="str">
        <f t="shared" si="174"/>
        <v>Good</v>
      </c>
      <c r="CE273" s="32"/>
      <c r="CJ273">
        <f t="shared" si="175"/>
        <v>5</v>
      </c>
      <c r="CK273">
        <f t="shared" si="176"/>
        <v>10</v>
      </c>
      <c r="CL273">
        <f t="shared" si="177"/>
        <v>2025</v>
      </c>
    </row>
    <row r="274" spans="1:90" ht="15" customHeight="1" x14ac:dyDescent="0.35">
      <c r="A274" s="40">
        <v>45787.783460648148</v>
      </c>
      <c r="B274" t="s">
        <v>100</v>
      </c>
      <c r="C274" t="s">
        <v>214</v>
      </c>
      <c r="D274" t="s">
        <v>101</v>
      </c>
      <c r="E274" s="32">
        <v>45935</v>
      </c>
      <c r="F274" t="s">
        <v>222</v>
      </c>
      <c r="G274" s="2">
        <v>45726</v>
      </c>
      <c r="H274">
        <v>8547517703</v>
      </c>
      <c r="I274">
        <v>134</v>
      </c>
      <c r="J274" t="s">
        <v>208</v>
      </c>
      <c r="K274" t="s">
        <v>57</v>
      </c>
      <c r="L274" t="s">
        <v>58</v>
      </c>
      <c r="M274" t="s">
        <v>59</v>
      </c>
      <c r="N274" t="s">
        <v>59</v>
      </c>
      <c r="O274" t="s">
        <v>59</v>
      </c>
      <c r="P274" t="s">
        <v>59</v>
      </c>
      <c r="Q274" t="s">
        <v>59</v>
      </c>
      <c r="R274" t="s">
        <v>59</v>
      </c>
      <c r="S274" t="s">
        <v>59</v>
      </c>
      <c r="T274" t="s">
        <v>59</v>
      </c>
      <c r="U274" t="s">
        <v>59</v>
      </c>
      <c r="V274" t="s">
        <v>59</v>
      </c>
      <c r="W274" t="s">
        <v>59</v>
      </c>
      <c r="X274" t="s">
        <v>59</v>
      </c>
      <c r="Y274" t="s">
        <v>59</v>
      </c>
      <c r="Z274" t="s">
        <v>59</v>
      </c>
      <c r="AA274" t="s">
        <v>60</v>
      </c>
      <c r="AB274" t="s">
        <v>60</v>
      </c>
      <c r="AC274" t="s">
        <v>59</v>
      </c>
      <c r="AD274" t="s">
        <v>59</v>
      </c>
      <c r="AE274" t="s">
        <v>59</v>
      </c>
      <c r="AF274" t="s">
        <v>59</v>
      </c>
      <c r="AG274" t="s">
        <v>59</v>
      </c>
      <c r="AH274" t="s">
        <v>59</v>
      </c>
      <c r="AI274" t="s">
        <v>60</v>
      </c>
      <c r="AJ274" t="s">
        <v>59</v>
      </c>
      <c r="AK274" t="s">
        <v>59</v>
      </c>
      <c r="AL274" t="s">
        <v>59</v>
      </c>
      <c r="AM274" t="s">
        <v>59</v>
      </c>
      <c r="AN274" t="s">
        <v>59</v>
      </c>
      <c r="AO274" t="s">
        <v>59</v>
      </c>
      <c r="AP274" t="s">
        <v>449</v>
      </c>
      <c r="AQ274" s="1" t="s">
        <v>817</v>
      </c>
      <c r="AR274" t="s">
        <v>226</v>
      </c>
      <c r="AS274" t="s">
        <v>352</v>
      </c>
      <c r="AT274" t="s">
        <v>352</v>
      </c>
      <c r="AU274" t="s">
        <v>219</v>
      </c>
      <c r="AW274" s="4">
        <f t="shared" si="143"/>
        <v>6</v>
      </c>
      <c r="AX274" s="4">
        <f t="shared" si="144"/>
        <v>4</v>
      </c>
      <c r="AY274" s="4">
        <f t="shared" si="145"/>
        <v>4</v>
      </c>
      <c r="AZ274" s="4">
        <f t="shared" si="146"/>
        <v>2</v>
      </c>
      <c r="BA274" s="4">
        <f t="shared" si="147"/>
        <v>4</v>
      </c>
      <c r="BB274" s="4">
        <f t="shared" si="148"/>
        <v>4</v>
      </c>
      <c r="BC274" s="4">
        <f t="shared" si="149"/>
        <v>4</v>
      </c>
      <c r="BD274" s="4">
        <f t="shared" si="150"/>
        <v>2</v>
      </c>
      <c r="BE274" s="4">
        <f t="shared" si="151"/>
        <v>4</v>
      </c>
      <c r="BF274" s="4">
        <f t="shared" si="152"/>
        <v>2</v>
      </c>
      <c r="BG274" s="4">
        <f t="shared" si="153"/>
        <v>4</v>
      </c>
      <c r="BH274" s="4">
        <f t="shared" si="154"/>
        <v>4</v>
      </c>
      <c r="BI274" s="4">
        <f t="shared" si="155"/>
        <v>4</v>
      </c>
      <c r="BJ274" s="4">
        <f t="shared" si="156"/>
        <v>2</v>
      </c>
      <c r="BK274" s="4" t="str">
        <f t="shared" si="157"/>
        <v>0</v>
      </c>
      <c r="BL274" s="4" t="str">
        <f t="shared" si="158"/>
        <v>0</v>
      </c>
      <c r="BM274" s="4">
        <f t="shared" si="159"/>
        <v>4</v>
      </c>
      <c r="BN274" s="4">
        <f t="shared" si="160"/>
        <v>4</v>
      </c>
      <c r="BO274" s="4">
        <f t="shared" si="161"/>
        <v>4</v>
      </c>
      <c r="BP274" s="4">
        <f t="shared" si="162"/>
        <v>4</v>
      </c>
      <c r="BQ274" s="4">
        <f t="shared" si="163"/>
        <v>6</v>
      </c>
      <c r="BR274" s="4">
        <f t="shared" si="164"/>
        <v>4</v>
      </c>
      <c r="BS274" s="4" t="str">
        <f t="shared" si="165"/>
        <v>0</v>
      </c>
      <c r="BT274" s="4">
        <f t="shared" si="166"/>
        <v>4</v>
      </c>
      <c r="BU274" s="4">
        <f t="shared" si="167"/>
        <v>4</v>
      </c>
      <c r="BV274" s="4">
        <f t="shared" si="168"/>
        <v>0</v>
      </c>
      <c r="BW274" s="4">
        <f t="shared" si="169"/>
        <v>6</v>
      </c>
      <c r="BX274" s="4">
        <f t="shared" si="170"/>
        <v>0</v>
      </c>
      <c r="BY274" s="4">
        <f t="shared" si="171"/>
        <v>0</v>
      </c>
      <c r="BZ274" s="37">
        <f t="shared" si="172"/>
        <v>90</v>
      </c>
      <c r="CA274" s="32" t="str">
        <f>VLOOKUP(J:J,'Agent wise'!A:C,3,0)</f>
        <v>Adharsh</v>
      </c>
      <c r="CB274" s="32">
        <f t="shared" si="173"/>
        <v>45935</v>
      </c>
      <c r="CC274" t="str">
        <f t="shared" si="174"/>
        <v>Good</v>
      </c>
      <c r="CE274" s="32"/>
      <c r="CJ274">
        <f t="shared" si="175"/>
        <v>5</v>
      </c>
      <c r="CK274">
        <f t="shared" si="176"/>
        <v>10</v>
      </c>
      <c r="CL274">
        <f t="shared" si="177"/>
        <v>2025</v>
      </c>
    </row>
    <row r="275" spans="1:90" ht="15" customHeight="1" x14ac:dyDescent="0.35">
      <c r="A275" s="40">
        <v>45787.786921296298</v>
      </c>
      <c r="B275" t="s">
        <v>100</v>
      </c>
      <c r="C275" t="s">
        <v>214</v>
      </c>
      <c r="D275" t="s">
        <v>101</v>
      </c>
      <c r="E275" s="32">
        <v>45935</v>
      </c>
      <c r="F275" t="s">
        <v>222</v>
      </c>
      <c r="G275" s="2">
        <v>45726</v>
      </c>
      <c r="H275">
        <v>8667864193</v>
      </c>
      <c r="I275">
        <v>133</v>
      </c>
      <c r="J275" t="s">
        <v>242</v>
      </c>
      <c r="K275" t="s">
        <v>71</v>
      </c>
      <c r="L275" t="s">
        <v>72</v>
      </c>
      <c r="M275" t="s">
        <v>59</v>
      </c>
      <c r="N275" t="s">
        <v>59</v>
      </c>
      <c r="O275" t="s">
        <v>59</v>
      </c>
      <c r="P275" t="s">
        <v>59</v>
      </c>
      <c r="Q275" t="s">
        <v>59</v>
      </c>
      <c r="R275" t="s">
        <v>59</v>
      </c>
      <c r="S275" t="s">
        <v>59</v>
      </c>
      <c r="T275" t="s">
        <v>59</v>
      </c>
      <c r="U275" t="s">
        <v>59</v>
      </c>
      <c r="V275" t="s">
        <v>59</v>
      </c>
      <c r="W275" t="s">
        <v>59</v>
      </c>
      <c r="X275" t="s">
        <v>59</v>
      </c>
      <c r="Y275" t="s">
        <v>59</v>
      </c>
      <c r="Z275" t="s">
        <v>59</v>
      </c>
      <c r="AA275" t="s">
        <v>59</v>
      </c>
      <c r="AB275" t="s">
        <v>60</v>
      </c>
      <c r="AC275" t="s">
        <v>59</v>
      </c>
      <c r="AD275" t="s">
        <v>59</v>
      </c>
      <c r="AE275" t="s">
        <v>59</v>
      </c>
      <c r="AF275" t="s">
        <v>59</v>
      </c>
      <c r="AG275" t="s">
        <v>59</v>
      </c>
      <c r="AH275" t="s">
        <v>59</v>
      </c>
      <c r="AI275" t="s">
        <v>59</v>
      </c>
      <c r="AJ275" t="s">
        <v>59</v>
      </c>
      <c r="AK275" t="s">
        <v>59</v>
      </c>
      <c r="AL275" t="s">
        <v>59</v>
      </c>
      <c r="AM275" t="s">
        <v>59</v>
      </c>
      <c r="AN275" t="s">
        <v>59</v>
      </c>
      <c r="AO275" t="s">
        <v>59</v>
      </c>
      <c r="AP275" t="s">
        <v>818</v>
      </c>
      <c r="AQ275" s="1" t="s">
        <v>819</v>
      </c>
      <c r="AR275" t="s">
        <v>226</v>
      </c>
      <c r="AS275" t="s">
        <v>352</v>
      </c>
      <c r="AT275" t="s">
        <v>352</v>
      </c>
      <c r="AU275" t="s">
        <v>219</v>
      </c>
      <c r="AW275" s="4">
        <f t="shared" si="143"/>
        <v>6</v>
      </c>
      <c r="AX275" s="4">
        <f t="shared" si="144"/>
        <v>4</v>
      </c>
      <c r="AY275" s="4">
        <f t="shared" si="145"/>
        <v>4</v>
      </c>
      <c r="AZ275" s="4">
        <f t="shared" si="146"/>
        <v>2</v>
      </c>
      <c r="BA275" s="4">
        <f t="shared" si="147"/>
        <v>4</v>
      </c>
      <c r="BB275" s="4">
        <f t="shared" si="148"/>
        <v>4</v>
      </c>
      <c r="BC275" s="4">
        <f t="shared" si="149"/>
        <v>4</v>
      </c>
      <c r="BD275" s="4">
        <f t="shared" si="150"/>
        <v>2</v>
      </c>
      <c r="BE275" s="4">
        <f t="shared" si="151"/>
        <v>4</v>
      </c>
      <c r="BF275" s="4">
        <f t="shared" si="152"/>
        <v>2</v>
      </c>
      <c r="BG275" s="4">
        <f t="shared" si="153"/>
        <v>4</v>
      </c>
      <c r="BH275" s="4">
        <f t="shared" si="154"/>
        <v>4</v>
      </c>
      <c r="BI275" s="4">
        <f t="shared" si="155"/>
        <v>4</v>
      </c>
      <c r="BJ275" s="4">
        <f t="shared" si="156"/>
        <v>2</v>
      </c>
      <c r="BK275" s="4">
        <f t="shared" si="157"/>
        <v>4</v>
      </c>
      <c r="BL275" s="4" t="str">
        <f t="shared" si="158"/>
        <v>0</v>
      </c>
      <c r="BM275" s="4">
        <f t="shared" si="159"/>
        <v>4</v>
      </c>
      <c r="BN275" s="4">
        <f t="shared" si="160"/>
        <v>4</v>
      </c>
      <c r="BO275" s="4">
        <f t="shared" si="161"/>
        <v>4</v>
      </c>
      <c r="BP275" s="4">
        <f t="shared" si="162"/>
        <v>4</v>
      </c>
      <c r="BQ275" s="4">
        <f t="shared" si="163"/>
        <v>6</v>
      </c>
      <c r="BR275" s="4">
        <f t="shared" si="164"/>
        <v>4</v>
      </c>
      <c r="BS275" s="4">
        <f t="shared" si="165"/>
        <v>4</v>
      </c>
      <c r="BT275" s="4">
        <f t="shared" si="166"/>
        <v>4</v>
      </c>
      <c r="BU275" s="4">
        <f t="shared" si="167"/>
        <v>4</v>
      </c>
      <c r="BV275" s="4">
        <f t="shared" si="168"/>
        <v>0</v>
      </c>
      <c r="BW275" s="4">
        <f t="shared" si="169"/>
        <v>6</v>
      </c>
      <c r="BX275" s="4">
        <f t="shared" si="170"/>
        <v>0</v>
      </c>
      <c r="BY275" s="4">
        <f t="shared" si="171"/>
        <v>0</v>
      </c>
      <c r="BZ275" s="37">
        <f t="shared" si="172"/>
        <v>98</v>
      </c>
      <c r="CA275" s="32" t="str">
        <f>VLOOKUP(J:J,'Agent wise'!A:C,3,0)</f>
        <v>Amal</v>
      </c>
      <c r="CB275" s="32">
        <f t="shared" si="173"/>
        <v>45935</v>
      </c>
      <c r="CC275" t="str">
        <f t="shared" si="174"/>
        <v>Excellent</v>
      </c>
      <c r="CE275" s="32"/>
      <c r="CJ275">
        <f t="shared" si="175"/>
        <v>5</v>
      </c>
      <c r="CK275">
        <f t="shared" si="176"/>
        <v>10</v>
      </c>
      <c r="CL275">
        <f t="shared" si="177"/>
        <v>2025</v>
      </c>
    </row>
    <row r="276" spans="1:90" ht="15" customHeight="1" x14ac:dyDescent="0.35">
      <c r="A276" s="40">
        <v>45787.787719907406</v>
      </c>
      <c r="B276" t="s">
        <v>250</v>
      </c>
      <c r="C276" t="s">
        <v>214</v>
      </c>
      <c r="D276" t="s">
        <v>251</v>
      </c>
      <c r="E276" s="32">
        <v>45935</v>
      </c>
      <c r="F276" t="s">
        <v>90</v>
      </c>
      <c r="G276" s="2">
        <v>45757</v>
      </c>
      <c r="H276">
        <v>7598701190</v>
      </c>
      <c r="I276">
        <v>110</v>
      </c>
      <c r="J276" t="s">
        <v>91</v>
      </c>
      <c r="K276" t="s">
        <v>71</v>
      </c>
      <c r="L276" t="s">
        <v>72</v>
      </c>
      <c r="M276" t="s">
        <v>59</v>
      </c>
      <c r="N276" t="s">
        <v>59</v>
      </c>
      <c r="O276" t="s">
        <v>59</v>
      </c>
      <c r="P276" t="s">
        <v>59</v>
      </c>
      <c r="Q276" t="s">
        <v>59</v>
      </c>
      <c r="R276" t="s">
        <v>59</v>
      </c>
      <c r="S276" t="s">
        <v>59</v>
      </c>
      <c r="T276" t="s">
        <v>59</v>
      </c>
      <c r="U276" t="s">
        <v>60</v>
      </c>
      <c r="V276" t="s">
        <v>59</v>
      </c>
      <c r="W276" t="s">
        <v>59</v>
      </c>
      <c r="X276" t="s">
        <v>59</v>
      </c>
      <c r="Y276" t="s">
        <v>59</v>
      </c>
      <c r="Z276" t="s">
        <v>59</v>
      </c>
      <c r="AA276" t="s">
        <v>59</v>
      </c>
      <c r="AB276" t="s">
        <v>60</v>
      </c>
      <c r="AC276" t="s">
        <v>59</v>
      </c>
      <c r="AD276" t="s">
        <v>59</v>
      </c>
      <c r="AE276" t="s">
        <v>59</v>
      </c>
      <c r="AF276" t="s">
        <v>59</v>
      </c>
      <c r="AG276" t="s">
        <v>59</v>
      </c>
      <c r="AH276" t="s">
        <v>61</v>
      </c>
      <c r="AI276" t="s">
        <v>61</v>
      </c>
      <c r="AJ276" t="s">
        <v>59</v>
      </c>
      <c r="AK276" t="s">
        <v>59</v>
      </c>
      <c r="AL276" t="s">
        <v>59</v>
      </c>
      <c r="AM276" t="s">
        <v>59</v>
      </c>
      <c r="AN276" t="s">
        <v>59</v>
      </c>
      <c r="AO276" t="s">
        <v>59</v>
      </c>
      <c r="AP276" t="s">
        <v>820</v>
      </c>
      <c r="AQ276" t="s">
        <v>821</v>
      </c>
      <c r="AR276" t="s">
        <v>64</v>
      </c>
      <c r="AS276" t="s">
        <v>602</v>
      </c>
      <c r="AT276" t="s">
        <v>603</v>
      </c>
      <c r="AU276" t="s">
        <v>219</v>
      </c>
      <c r="AW276" s="4">
        <f t="shared" si="143"/>
        <v>6</v>
      </c>
      <c r="AX276" s="4">
        <f t="shared" si="144"/>
        <v>4</v>
      </c>
      <c r="AY276" s="4">
        <f t="shared" si="145"/>
        <v>4</v>
      </c>
      <c r="AZ276" s="4">
        <f t="shared" si="146"/>
        <v>2</v>
      </c>
      <c r="BA276" s="4">
        <f t="shared" si="147"/>
        <v>4</v>
      </c>
      <c r="BB276" s="4">
        <f t="shared" si="148"/>
        <v>4</v>
      </c>
      <c r="BC276" s="4">
        <f t="shared" si="149"/>
        <v>4</v>
      </c>
      <c r="BD276" s="4">
        <f t="shared" si="150"/>
        <v>2</v>
      </c>
      <c r="BE276" s="4" t="str">
        <f t="shared" si="151"/>
        <v>0</v>
      </c>
      <c r="BF276" s="4">
        <f t="shared" si="152"/>
        <v>2</v>
      </c>
      <c r="BG276" s="4">
        <f t="shared" si="153"/>
        <v>4</v>
      </c>
      <c r="BH276" s="4">
        <f t="shared" si="154"/>
        <v>4</v>
      </c>
      <c r="BI276" s="4">
        <f t="shared" si="155"/>
        <v>4</v>
      </c>
      <c r="BJ276" s="4">
        <f t="shared" si="156"/>
        <v>2</v>
      </c>
      <c r="BK276" s="4">
        <f t="shared" si="157"/>
        <v>4</v>
      </c>
      <c r="BL276" s="4" t="str">
        <f t="shared" si="158"/>
        <v>0</v>
      </c>
      <c r="BM276" s="4">
        <f t="shared" si="159"/>
        <v>4</v>
      </c>
      <c r="BN276" s="4">
        <f t="shared" si="160"/>
        <v>4</v>
      </c>
      <c r="BO276" s="4">
        <f t="shared" si="161"/>
        <v>4</v>
      </c>
      <c r="BP276" s="4">
        <f t="shared" si="162"/>
        <v>4</v>
      </c>
      <c r="BQ276" s="4">
        <f t="shared" si="163"/>
        <v>6</v>
      </c>
      <c r="BR276" s="4">
        <f t="shared" si="164"/>
        <v>4</v>
      </c>
      <c r="BS276" s="4">
        <f t="shared" si="165"/>
        <v>4</v>
      </c>
      <c r="BT276" s="4">
        <f t="shared" si="166"/>
        <v>4</v>
      </c>
      <c r="BU276" s="4">
        <f t="shared" si="167"/>
        <v>4</v>
      </c>
      <c r="BV276" s="4">
        <f t="shared" si="168"/>
        <v>0</v>
      </c>
      <c r="BW276" s="4">
        <f t="shared" si="169"/>
        <v>6</v>
      </c>
      <c r="BX276" s="4">
        <f t="shared" si="170"/>
        <v>0</v>
      </c>
      <c r="BY276" s="4">
        <f t="shared" si="171"/>
        <v>0</v>
      </c>
      <c r="BZ276" s="37">
        <f t="shared" si="172"/>
        <v>94</v>
      </c>
      <c r="CA276" s="32" t="str">
        <f>VLOOKUP(J:J,'Agent wise'!A:C,3,0)</f>
        <v>Saran S</v>
      </c>
      <c r="CB276" s="32">
        <f t="shared" si="173"/>
        <v>45935</v>
      </c>
      <c r="CC276" t="str">
        <f t="shared" si="174"/>
        <v>Good</v>
      </c>
      <c r="CE276" s="32"/>
      <c r="CJ276">
        <f t="shared" si="175"/>
        <v>5</v>
      </c>
      <c r="CK276">
        <f t="shared" si="176"/>
        <v>10</v>
      </c>
      <c r="CL276">
        <f t="shared" si="177"/>
        <v>2025</v>
      </c>
    </row>
    <row r="277" spans="1:90" ht="15" customHeight="1" x14ac:dyDescent="0.35">
      <c r="A277" s="40">
        <v>45787.791817129633</v>
      </c>
      <c r="B277" t="s">
        <v>100</v>
      </c>
      <c r="C277" t="s">
        <v>214</v>
      </c>
      <c r="D277" t="s">
        <v>101</v>
      </c>
      <c r="E277" s="32">
        <v>45935</v>
      </c>
      <c r="F277" t="s">
        <v>222</v>
      </c>
      <c r="G277" s="2">
        <v>45726</v>
      </c>
      <c r="H277">
        <v>9447632365</v>
      </c>
      <c r="I277">
        <v>130</v>
      </c>
      <c r="J277" t="s">
        <v>223</v>
      </c>
      <c r="K277" t="s">
        <v>57</v>
      </c>
      <c r="L277" t="s">
        <v>58</v>
      </c>
      <c r="M277" t="s">
        <v>59</v>
      </c>
      <c r="N277" t="s">
        <v>59</v>
      </c>
      <c r="O277" t="s">
        <v>59</v>
      </c>
      <c r="P277" t="s">
        <v>59</v>
      </c>
      <c r="Q277" t="s">
        <v>59</v>
      </c>
      <c r="R277" t="s">
        <v>59</v>
      </c>
      <c r="S277" t="s">
        <v>59</v>
      </c>
      <c r="T277" t="s">
        <v>59</v>
      </c>
      <c r="U277" t="s">
        <v>59</v>
      </c>
      <c r="V277" t="s">
        <v>59</v>
      </c>
      <c r="W277" t="s">
        <v>59</v>
      </c>
      <c r="X277" t="s">
        <v>59</v>
      </c>
      <c r="Y277" t="s">
        <v>59</v>
      </c>
      <c r="Z277" t="s">
        <v>59</v>
      </c>
      <c r="AA277" t="s">
        <v>59</v>
      </c>
      <c r="AB277" t="s">
        <v>60</v>
      </c>
      <c r="AC277" t="s">
        <v>59</v>
      </c>
      <c r="AD277" t="s">
        <v>59</v>
      </c>
      <c r="AE277" t="s">
        <v>59</v>
      </c>
      <c r="AF277" t="s">
        <v>59</v>
      </c>
      <c r="AG277" t="s">
        <v>59</v>
      </c>
      <c r="AH277" t="s">
        <v>59</v>
      </c>
      <c r="AI277" t="s">
        <v>61</v>
      </c>
      <c r="AJ277" t="s">
        <v>59</v>
      </c>
      <c r="AK277" t="s">
        <v>59</v>
      </c>
      <c r="AL277" t="s">
        <v>59</v>
      </c>
      <c r="AM277" t="s">
        <v>59</v>
      </c>
      <c r="AN277" t="s">
        <v>59</v>
      </c>
      <c r="AO277" t="s">
        <v>59</v>
      </c>
      <c r="AP277" t="s">
        <v>818</v>
      </c>
      <c r="AQ277" s="1" t="s">
        <v>822</v>
      </c>
      <c r="AR277" t="s">
        <v>226</v>
      </c>
      <c r="AS277" t="s">
        <v>352</v>
      </c>
      <c r="AT277" t="s">
        <v>352</v>
      </c>
      <c r="AU277" t="s">
        <v>219</v>
      </c>
      <c r="AW277" s="4">
        <f t="shared" si="143"/>
        <v>6</v>
      </c>
      <c r="AX277" s="4">
        <f t="shared" si="144"/>
        <v>4</v>
      </c>
      <c r="AY277" s="4">
        <f t="shared" si="145"/>
        <v>4</v>
      </c>
      <c r="AZ277" s="4">
        <f t="shared" si="146"/>
        <v>2</v>
      </c>
      <c r="BA277" s="4">
        <f t="shared" si="147"/>
        <v>4</v>
      </c>
      <c r="BB277" s="4">
        <f t="shared" si="148"/>
        <v>4</v>
      </c>
      <c r="BC277" s="4">
        <f t="shared" si="149"/>
        <v>4</v>
      </c>
      <c r="BD277" s="4">
        <f t="shared" si="150"/>
        <v>2</v>
      </c>
      <c r="BE277" s="4">
        <f t="shared" si="151"/>
        <v>4</v>
      </c>
      <c r="BF277" s="4">
        <f t="shared" si="152"/>
        <v>2</v>
      </c>
      <c r="BG277" s="4">
        <f t="shared" si="153"/>
        <v>4</v>
      </c>
      <c r="BH277" s="4">
        <f t="shared" si="154"/>
        <v>4</v>
      </c>
      <c r="BI277" s="4">
        <f t="shared" si="155"/>
        <v>4</v>
      </c>
      <c r="BJ277" s="4">
        <f t="shared" si="156"/>
        <v>2</v>
      </c>
      <c r="BK277" s="4">
        <f t="shared" si="157"/>
        <v>4</v>
      </c>
      <c r="BL277" s="4" t="str">
        <f t="shared" si="158"/>
        <v>0</v>
      </c>
      <c r="BM277" s="4">
        <f t="shared" si="159"/>
        <v>4</v>
      </c>
      <c r="BN277" s="4">
        <f t="shared" si="160"/>
        <v>4</v>
      </c>
      <c r="BO277" s="4">
        <f t="shared" si="161"/>
        <v>4</v>
      </c>
      <c r="BP277" s="4">
        <f t="shared" si="162"/>
        <v>4</v>
      </c>
      <c r="BQ277" s="4">
        <f t="shared" si="163"/>
        <v>6</v>
      </c>
      <c r="BR277" s="4">
        <f t="shared" si="164"/>
        <v>4</v>
      </c>
      <c r="BS277" s="4">
        <f t="shared" si="165"/>
        <v>4</v>
      </c>
      <c r="BT277" s="4">
        <f t="shared" si="166"/>
        <v>4</v>
      </c>
      <c r="BU277" s="4">
        <f t="shared" si="167"/>
        <v>4</v>
      </c>
      <c r="BV277" s="4">
        <f t="shared" si="168"/>
        <v>0</v>
      </c>
      <c r="BW277" s="4">
        <f t="shared" si="169"/>
        <v>6</v>
      </c>
      <c r="BX277" s="4">
        <f t="shared" si="170"/>
        <v>0</v>
      </c>
      <c r="BY277" s="4">
        <f t="shared" si="171"/>
        <v>0</v>
      </c>
      <c r="BZ277" s="37">
        <f t="shared" si="172"/>
        <v>98</v>
      </c>
      <c r="CA277" s="32" t="str">
        <f>VLOOKUP(J:J,'Agent wise'!A:C,3,0)</f>
        <v>Amal</v>
      </c>
      <c r="CB277" s="32">
        <f t="shared" si="173"/>
        <v>45935</v>
      </c>
      <c r="CC277" t="str">
        <f t="shared" si="174"/>
        <v>Excellent</v>
      </c>
      <c r="CE277" s="32"/>
      <c r="CJ277">
        <f t="shared" si="175"/>
        <v>5</v>
      </c>
      <c r="CK277">
        <f t="shared" si="176"/>
        <v>10</v>
      </c>
      <c r="CL277">
        <f t="shared" si="177"/>
        <v>2025</v>
      </c>
    </row>
    <row r="278" spans="1:90" ht="15" customHeight="1" x14ac:dyDescent="0.35">
      <c r="A278" s="40">
        <v>45787.793078703697</v>
      </c>
      <c r="B278" t="s">
        <v>250</v>
      </c>
      <c r="C278" t="s">
        <v>214</v>
      </c>
      <c r="D278" t="s">
        <v>251</v>
      </c>
      <c r="E278" s="32">
        <v>45935</v>
      </c>
      <c r="F278" t="s">
        <v>90</v>
      </c>
      <c r="G278" s="2">
        <v>45757</v>
      </c>
      <c r="H278">
        <v>9487114489</v>
      </c>
      <c r="I278">
        <v>234</v>
      </c>
      <c r="J278" t="s">
        <v>472</v>
      </c>
      <c r="K278" t="s">
        <v>71</v>
      </c>
      <c r="L278" t="s">
        <v>72</v>
      </c>
      <c r="M278" t="s">
        <v>59</v>
      </c>
      <c r="N278" t="s">
        <v>59</v>
      </c>
      <c r="O278" t="s">
        <v>59</v>
      </c>
      <c r="P278" t="s">
        <v>59</v>
      </c>
      <c r="Q278" t="s">
        <v>59</v>
      </c>
      <c r="R278" t="s">
        <v>59</v>
      </c>
      <c r="S278" t="s">
        <v>59</v>
      </c>
      <c r="T278" t="s">
        <v>59</v>
      </c>
      <c r="U278" t="s">
        <v>60</v>
      </c>
      <c r="V278" t="s">
        <v>59</v>
      </c>
      <c r="W278" t="s">
        <v>59</v>
      </c>
      <c r="X278" t="s">
        <v>59</v>
      </c>
      <c r="Y278" t="s">
        <v>59</v>
      </c>
      <c r="Z278" t="s">
        <v>59</v>
      </c>
      <c r="AA278" t="s">
        <v>59</v>
      </c>
      <c r="AB278" t="s">
        <v>59</v>
      </c>
      <c r="AC278" t="s">
        <v>59</v>
      </c>
      <c r="AD278" t="s">
        <v>59</v>
      </c>
      <c r="AE278" t="s">
        <v>59</v>
      </c>
      <c r="AF278" t="s">
        <v>59</v>
      </c>
      <c r="AG278" t="s">
        <v>59</v>
      </c>
      <c r="AH278" t="s">
        <v>61</v>
      </c>
      <c r="AI278" t="s">
        <v>61</v>
      </c>
      <c r="AJ278" t="s">
        <v>59</v>
      </c>
      <c r="AK278" t="s">
        <v>59</v>
      </c>
      <c r="AL278" t="s">
        <v>59</v>
      </c>
      <c r="AM278" t="s">
        <v>59</v>
      </c>
      <c r="AN278" t="s">
        <v>59</v>
      </c>
      <c r="AO278" t="s">
        <v>59</v>
      </c>
      <c r="AP278" t="s">
        <v>803</v>
      </c>
      <c r="AQ278" t="s">
        <v>823</v>
      </c>
      <c r="AR278" t="s">
        <v>226</v>
      </c>
      <c r="AS278" t="s">
        <v>602</v>
      </c>
      <c r="AT278" t="s">
        <v>603</v>
      </c>
      <c r="AU278" t="s">
        <v>219</v>
      </c>
      <c r="AW278" s="4">
        <f t="shared" si="143"/>
        <v>6</v>
      </c>
      <c r="AX278" s="4">
        <f t="shared" si="144"/>
        <v>4</v>
      </c>
      <c r="AY278" s="4">
        <f t="shared" si="145"/>
        <v>4</v>
      </c>
      <c r="AZ278" s="4">
        <f t="shared" si="146"/>
        <v>2</v>
      </c>
      <c r="BA278" s="4">
        <f t="shared" si="147"/>
        <v>4</v>
      </c>
      <c r="BB278" s="4">
        <f t="shared" si="148"/>
        <v>4</v>
      </c>
      <c r="BC278" s="4">
        <f t="shared" si="149"/>
        <v>4</v>
      </c>
      <c r="BD278" s="4">
        <f t="shared" si="150"/>
        <v>2</v>
      </c>
      <c r="BE278" s="4" t="str">
        <f t="shared" si="151"/>
        <v>0</v>
      </c>
      <c r="BF278" s="4">
        <f t="shared" si="152"/>
        <v>2</v>
      </c>
      <c r="BG278" s="4">
        <f t="shared" si="153"/>
        <v>4</v>
      </c>
      <c r="BH278" s="4">
        <f t="shared" si="154"/>
        <v>4</v>
      </c>
      <c r="BI278" s="4">
        <f t="shared" si="155"/>
        <v>4</v>
      </c>
      <c r="BJ278" s="4">
        <f t="shared" si="156"/>
        <v>2</v>
      </c>
      <c r="BK278" s="4">
        <f t="shared" si="157"/>
        <v>4</v>
      </c>
      <c r="BL278" s="4">
        <f t="shared" si="158"/>
        <v>2</v>
      </c>
      <c r="BM278" s="4">
        <f t="shared" si="159"/>
        <v>4</v>
      </c>
      <c r="BN278" s="4">
        <f t="shared" si="160"/>
        <v>4</v>
      </c>
      <c r="BO278" s="4">
        <f t="shared" si="161"/>
        <v>4</v>
      </c>
      <c r="BP278" s="4">
        <f t="shared" si="162"/>
        <v>4</v>
      </c>
      <c r="BQ278" s="4">
        <f t="shared" si="163"/>
        <v>6</v>
      </c>
      <c r="BR278" s="4">
        <f t="shared" si="164"/>
        <v>4</v>
      </c>
      <c r="BS278" s="4">
        <f t="shared" si="165"/>
        <v>4</v>
      </c>
      <c r="BT278" s="4">
        <f t="shared" si="166"/>
        <v>4</v>
      </c>
      <c r="BU278" s="4">
        <f t="shared" si="167"/>
        <v>4</v>
      </c>
      <c r="BV278" s="4">
        <f t="shared" si="168"/>
        <v>0</v>
      </c>
      <c r="BW278" s="4">
        <f t="shared" si="169"/>
        <v>6</v>
      </c>
      <c r="BX278" s="4">
        <f t="shared" si="170"/>
        <v>0</v>
      </c>
      <c r="BY278" s="4">
        <f t="shared" si="171"/>
        <v>0</v>
      </c>
      <c r="BZ278" s="37">
        <f t="shared" si="172"/>
        <v>96</v>
      </c>
      <c r="CA278" s="32" t="str">
        <f>VLOOKUP(J:J,'Agent wise'!A:C,3,0)</f>
        <v>Saran S</v>
      </c>
      <c r="CB278" s="32">
        <f t="shared" si="173"/>
        <v>45935</v>
      </c>
      <c r="CC278" t="str">
        <f t="shared" si="174"/>
        <v>Excellent</v>
      </c>
      <c r="CE278" s="32"/>
      <c r="CJ278">
        <f t="shared" si="175"/>
        <v>5</v>
      </c>
      <c r="CK278">
        <f t="shared" si="176"/>
        <v>10</v>
      </c>
      <c r="CL278">
        <f t="shared" si="177"/>
        <v>2025</v>
      </c>
    </row>
    <row r="279" spans="1:90" ht="15" customHeight="1" x14ac:dyDescent="0.35">
      <c r="A279" s="40">
        <v>45787.793287037042</v>
      </c>
      <c r="B279" t="s">
        <v>100</v>
      </c>
      <c r="C279" t="s">
        <v>214</v>
      </c>
      <c r="D279" t="s">
        <v>101</v>
      </c>
      <c r="E279" s="32">
        <v>45935</v>
      </c>
      <c r="F279" t="s">
        <v>222</v>
      </c>
      <c r="G279" s="2">
        <v>45726</v>
      </c>
      <c r="H279">
        <v>9488759020</v>
      </c>
      <c r="I279">
        <v>143</v>
      </c>
      <c r="J279" t="s">
        <v>420</v>
      </c>
      <c r="K279" t="s">
        <v>71</v>
      </c>
      <c r="L279" t="s">
        <v>72</v>
      </c>
      <c r="M279" t="s">
        <v>59</v>
      </c>
      <c r="N279" t="s">
        <v>59</v>
      </c>
      <c r="O279" t="s">
        <v>59</v>
      </c>
      <c r="P279" t="s">
        <v>59</v>
      </c>
      <c r="Q279" t="s">
        <v>59</v>
      </c>
      <c r="R279" t="s">
        <v>59</v>
      </c>
      <c r="S279" t="s">
        <v>59</v>
      </c>
      <c r="T279" t="s">
        <v>59</v>
      </c>
      <c r="U279" t="s">
        <v>59</v>
      </c>
      <c r="V279" t="s">
        <v>59</v>
      </c>
      <c r="W279" t="s">
        <v>59</v>
      </c>
      <c r="X279" t="s">
        <v>59</v>
      </c>
      <c r="Y279" t="s">
        <v>59</v>
      </c>
      <c r="Z279" t="s">
        <v>59</v>
      </c>
      <c r="AA279" t="s">
        <v>60</v>
      </c>
      <c r="AB279" t="s">
        <v>59</v>
      </c>
      <c r="AC279" t="s">
        <v>59</v>
      </c>
      <c r="AD279" t="s">
        <v>59</v>
      </c>
      <c r="AE279" t="s">
        <v>59</v>
      </c>
      <c r="AF279" t="s">
        <v>59</v>
      </c>
      <c r="AG279" t="s">
        <v>59</v>
      </c>
      <c r="AH279" t="s">
        <v>59</v>
      </c>
      <c r="AI279" t="s">
        <v>61</v>
      </c>
      <c r="AJ279" t="s">
        <v>59</v>
      </c>
      <c r="AK279" t="s">
        <v>59</v>
      </c>
      <c r="AL279" t="s">
        <v>59</v>
      </c>
      <c r="AM279" t="s">
        <v>59</v>
      </c>
      <c r="AN279" t="s">
        <v>59</v>
      </c>
      <c r="AO279" t="s">
        <v>59</v>
      </c>
      <c r="AP279" t="s">
        <v>188</v>
      </c>
      <c r="AQ279" s="1" t="s">
        <v>824</v>
      </c>
      <c r="AR279" t="s">
        <v>226</v>
      </c>
      <c r="AS279" t="s">
        <v>352</v>
      </c>
      <c r="AT279" t="s">
        <v>352</v>
      </c>
      <c r="AU279" t="s">
        <v>219</v>
      </c>
      <c r="AW279" s="4">
        <f t="shared" si="143"/>
        <v>6</v>
      </c>
      <c r="AX279" s="4">
        <f t="shared" si="144"/>
        <v>4</v>
      </c>
      <c r="AY279" s="4">
        <f t="shared" si="145"/>
        <v>4</v>
      </c>
      <c r="AZ279" s="4">
        <f t="shared" si="146"/>
        <v>2</v>
      </c>
      <c r="BA279" s="4">
        <f t="shared" si="147"/>
        <v>4</v>
      </c>
      <c r="BB279" s="4">
        <f t="shared" si="148"/>
        <v>4</v>
      </c>
      <c r="BC279" s="4">
        <f t="shared" si="149"/>
        <v>4</v>
      </c>
      <c r="BD279" s="4">
        <f t="shared" si="150"/>
        <v>2</v>
      </c>
      <c r="BE279" s="4">
        <f t="shared" si="151"/>
        <v>4</v>
      </c>
      <c r="BF279" s="4">
        <f t="shared" si="152"/>
        <v>2</v>
      </c>
      <c r="BG279" s="4">
        <f t="shared" si="153"/>
        <v>4</v>
      </c>
      <c r="BH279" s="4">
        <f t="shared" si="154"/>
        <v>4</v>
      </c>
      <c r="BI279" s="4">
        <f t="shared" si="155"/>
        <v>4</v>
      </c>
      <c r="BJ279" s="4">
        <f t="shared" si="156"/>
        <v>2</v>
      </c>
      <c r="BK279" s="4" t="str">
        <f t="shared" si="157"/>
        <v>0</v>
      </c>
      <c r="BL279" s="4">
        <f t="shared" si="158"/>
        <v>2</v>
      </c>
      <c r="BM279" s="4">
        <f t="shared" si="159"/>
        <v>4</v>
      </c>
      <c r="BN279" s="4">
        <f t="shared" si="160"/>
        <v>4</v>
      </c>
      <c r="BO279" s="4">
        <f t="shared" si="161"/>
        <v>4</v>
      </c>
      <c r="BP279" s="4">
        <f t="shared" si="162"/>
        <v>4</v>
      </c>
      <c r="BQ279" s="4">
        <f t="shared" si="163"/>
        <v>6</v>
      </c>
      <c r="BR279" s="4">
        <f t="shared" si="164"/>
        <v>4</v>
      </c>
      <c r="BS279" s="4">
        <f t="shared" si="165"/>
        <v>4</v>
      </c>
      <c r="BT279" s="4">
        <f t="shared" si="166"/>
        <v>4</v>
      </c>
      <c r="BU279" s="4">
        <f t="shared" si="167"/>
        <v>4</v>
      </c>
      <c r="BV279" s="4">
        <f t="shared" si="168"/>
        <v>0</v>
      </c>
      <c r="BW279" s="4">
        <f t="shared" si="169"/>
        <v>6</v>
      </c>
      <c r="BX279" s="4">
        <f t="shared" si="170"/>
        <v>0</v>
      </c>
      <c r="BY279" s="4">
        <f t="shared" si="171"/>
        <v>0</v>
      </c>
      <c r="BZ279" s="37">
        <f t="shared" si="172"/>
        <v>96</v>
      </c>
      <c r="CA279" s="32" t="str">
        <f>VLOOKUP(J:J,'Agent wise'!A:C,3,0)</f>
        <v>Amal</v>
      </c>
      <c r="CB279" s="32">
        <f t="shared" si="173"/>
        <v>45935</v>
      </c>
      <c r="CC279" t="str">
        <f t="shared" si="174"/>
        <v>Excellent</v>
      </c>
      <c r="CE279" s="32"/>
      <c r="CJ279">
        <f t="shared" si="175"/>
        <v>5</v>
      </c>
      <c r="CK279">
        <f t="shared" si="176"/>
        <v>10</v>
      </c>
      <c r="CL279">
        <f t="shared" si="177"/>
        <v>2025</v>
      </c>
    </row>
    <row r="280" spans="1:90" ht="15" customHeight="1" x14ac:dyDescent="0.35">
      <c r="A280" s="40">
        <v>45787.798819444448</v>
      </c>
      <c r="B280" t="s">
        <v>250</v>
      </c>
      <c r="C280" t="s">
        <v>214</v>
      </c>
      <c r="D280" t="s">
        <v>251</v>
      </c>
      <c r="E280" s="32">
        <v>45935</v>
      </c>
      <c r="F280" t="s">
        <v>90</v>
      </c>
      <c r="G280" s="2">
        <v>45757</v>
      </c>
      <c r="H280">
        <v>9344759520</v>
      </c>
      <c r="I280">
        <v>185</v>
      </c>
      <c r="J280" t="s">
        <v>533</v>
      </c>
      <c r="K280" t="s">
        <v>71</v>
      </c>
      <c r="L280" t="s">
        <v>72</v>
      </c>
      <c r="M280" t="s">
        <v>59</v>
      </c>
      <c r="N280" t="s">
        <v>59</v>
      </c>
      <c r="O280" t="s">
        <v>59</v>
      </c>
      <c r="P280" t="s">
        <v>59</v>
      </c>
      <c r="Q280" t="s">
        <v>59</v>
      </c>
      <c r="R280" t="s">
        <v>59</v>
      </c>
      <c r="S280" t="s">
        <v>59</v>
      </c>
      <c r="T280" t="s">
        <v>59</v>
      </c>
      <c r="U280" t="s">
        <v>59</v>
      </c>
      <c r="V280" t="s">
        <v>59</v>
      </c>
      <c r="W280" t="s">
        <v>59</v>
      </c>
      <c r="X280" t="s">
        <v>59</v>
      </c>
      <c r="Y280" t="s">
        <v>59</v>
      </c>
      <c r="Z280" t="s">
        <v>60</v>
      </c>
      <c r="AA280" t="s">
        <v>59</v>
      </c>
      <c r="AB280" t="s">
        <v>59</v>
      </c>
      <c r="AC280" t="s">
        <v>59</v>
      </c>
      <c r="AD280" t="s">
        <v>59</v>
      </c>
      <c r="AE280" t="s">
        <v>59</v>
      </c>
      <c r="AF280" t="s">
        <v>59</v>
      </c>
      <c r="AG280" t="s">
        <v>59</v>
      </c>
      <c r="AH280" t="s">
        <v>59</v>
      </c>
      <c r="AI280" t="s">
        <v>61</v>
      </c>
      <c r="AJ280" t="s">
        <v>59</v>
      </c>
      <c r="AK280" t="s">
        <v>59</v>
      </c>
      <c r="AL280" t="s">
        <v>59</v>
      </c>
      <c r="AM280" t="s">
        <v>59</v>
      </c>
      <c r="AN280" t="s">
        <v>59</v>
      </c>
      <c r="AO280" t="s">
        <v>59</v>
      </c>
      <c r="AP280" t="s">
        <v>825</v>
      </c>
      <c r="AQ280" t="s">
        <v>826</v>
      </c>
      <c r="AR280" t="s">
        <v>64</v>
      </c>
      <c r="AS280" t="s">
        <v>602</v>
      </c>
      <c r="AT280" t="s">
        <v>603</v>
      </c>
      <c r="AU280" t="s">
        <v>219</v>
      </c>
      <c r="AW280" s="4">
        <f t="shared" si="143"/>
        <v>6</v>
      </c>
      <c r="AX280" s="4">
        <f t="shared" si="144"/>
        <v>4</v>
      </c>
      <c r="AY280" s="4">
        <f t="shared" si="145"/>
        <v>4</v>
      </c>
      <c r="AZ280" s="4">
        <f t="shared" si="146"/>
        <v>2</v>
      </c>
      <c r="BA280" s="4">
        <f t="shared" si="147"/>
        <v>4</v>
      </c>
      <c r="BB280" s="4">
        <f t="shared" si="148"/>
        <v>4</v>
      </c>
      <c r="BC280" s="4">
        <f t="shared" si="149"/>
        <v>4</v>
      </c>
      <c r="BD280" s="4">
        <f t="shared" si="150"/>
        <v>2</v>
      </c>
      <c r="BE280" s="4">
        <f t="shared" si="151"/>
        <v>4</v>
      </c>
      <c r="BF280" s="4">
        <f t="shared" si="152"/>
        <v>2</v>
      </c>
      <c r="BG280" s="4">
        <f t="shared" si="153"/>
        <v>4</v>
      </c>
      <c r="BH280" s="4">
        <f t="shared" si="154"/>
        <v>4</v>
      </c>
      <c r="BI280" s="4">
        <f t="shared" si="155"/>
        <v>4</v>
      </c>
      <c r="BJ280" s="4" t="str">
        <f t="shared" si="156"/>
        <v>0</v>
      </c>
      <c r="BK280" s="4">
        <f t="shared" si="157"/>
        <v>4</v>
      </c>
      <c r="BL280" s="4">
        <f t="shared" si="158"/>
        <v>2</v>
      </c>
      <c r="BM280" s="4">
        <f t="shared" si="159"/>
        <v>4</v>
      </c>
      <c r="BN280" s="4">
        <f t="shared" si="160"/>
        <v>4</v>
      </c>
      <c r="BO280" s="4">
        <f t="shared" si="161"/>
        <v>4</v>
      </c>
      <c r="BP280" s="4">
        <f t="shared" si="162"/>
        <v>4</v>
      </c>
      <c r="BQ280" s="4">
        <f t="shared" si="163"/>
        <v>6</v>
      </c>
      <c r="BR280" s="4">
        <f t="shared" si="164"/>
        <v>4</v>
      </c>
      <c r="BS280" s="4">
        <f t="shared" si="165"/>
        <v>4</v>
      </c>
      <c r="BT280" s="4">
        <f t="shared" si="166"/>
        <v>4</v>
      </c>
      <c r="BU280" s="4">
        <f t="shared" si="167"/>
        <v>4</v>
      </c>
      <c r="BV280" s="4">
        <f t="shared" si="168"/>
        <v>0</v>
      </c>
      <c r="BW280" s="4">
        <f t="shared" si="169"/>
        <v>6</v>
      </c>
      <c r="BX280" s="4">
        <f t="shared" si="170"/>
        <v>0</v>
      </c>
      <c r="BY280" s="4">
        <f t="shared" si="171"/>
        <v>0</v>
      </c>
      <c r="BZ280" s="37">
        <f t="shared" si="172"/>
        <v>98</v>
      </c>
      <c r="CA280" s="32" t="str">
        <f>VLOOKUP(J:J,'Agent wise'!A:C,3,0)</f>
        <v xml:space="preserve">Shiny </v>
      </c>
      <c r="CB280" s="32">
        <f t="shared" si="173"/>
        <v>45935</v>
      </c>
      <c r="CC280" t="str">
        <f t="shared" si="174"/>
        <v>Excellent</v>
      </c>
      <c r="CE280" s="32"/>
      <c r="CJ280">
        <f t="shared" si="175"/>
        <v>5</v>
      </c>
      <c r="CK280">
        <f t="shared" si="176"/>
        <v>10</v>
      </c>
      <c r="CL280">
        <f t="shared" si="177"/>
        <v>2025</v>
      </c>
    </row>
    <row r="281" spans="1:90" ht="15" customHeight="1" x14ac:dyDescent="0.35">
      <c r="A281" s="40">
        <v>45787.914155092592</v>
      </c>
      <c r="B281" t="s">
        <v>106</v>
      </c>
      <c r="C281" t="s">
        <v>214</v>
      </c>
      <c r="D281" t="s">
        <v>107</v>
      </c>
      <c r="E281" s="32">
        <v>45935</v>
      </c>
      <c r="F281" t="s">
        <v>54</v>
      </c>
      <c r="G281" s="2">
        <v>45787</v>
      </c>
      <c r="H281">
        <v>9400152954</v>
      </c>
      <c r="I281">
        <v>135</v>
      </c>
      <c r="J281" t="s">
        <v>636</v>
      </c>
      <c r="K281" t="s">
        <v>57</v>
      </c>
      <c r="L281" t="s">
        <v>58</v>
      </c>
      <c r="M281" t="s">
        <v>59</v>
      </c>
      <c r="N281" t="s">
        <v>59</v>
      </c>
      <c r="O281" t="s">
        <v>59</v>
      </c>
      <c r="P281" t="s">
        <v>59</v>
      </c>
      <c r="Q281" t="s">
        <v>59</v>
      </c>
      <c r="R281" t="s">
        <v>59</v>
      </c>
      <c r="S281" t="s">
        <v>59</v>
      </c>
      <c r="T281" t="s">
        <v>59</v>
      </c>
      <c r="U281" t="s">
        <v>60</v>
      </c>
      <c r="V281" t="s">
        <v>59</v>
      </c>
      <c r="W281" t="s">
        <v>59</v>
      </c>
      <c r="X281" t="s">
        <v>61</v>
      </c>
      <c r="Y281" t="s">
        <v>59</v>
      </c>
      <c r="Z281" t="s">
        <v>60</v>
      </c>
      <c r="AA281" t="s">
        <v>60</v>
      </c>
      <c r="AB281" t="s">
        <v>59</v>
      </c>
      <c r="AC281" t="s">
        <v>61</v>
      </c>
      <c r="AD281" t="s">
        <v>61</v>
      </c>
      <c r="AE281" t="s">
        <v>59</v>
      </c>
      <c r="AF281" t="s">
        <v>61</v>
      </c>
      <c r="AG281" t="s">
        <v>59</v>
      </c>
      <c r="AH281" t="s">
        <v>61</v>
      </c>
      <c r="AI281" t="s">
        <v>61</v>
      </c>
      <c r="AJ281" t="s">
        <v>59</v>
      </c>
      <c r="AK281" t="s">
        <v>59</v>
      </c>
      <c r="AL281" t="s">
        <v>60</v>
      </c>
      <c r="AM281" t="s">
        <v>59</v>
      </c>
      <c r="AN281" t="s">
        <v>59</v>
      </c>
      <c r="AO281" t="s">
        <v>59</v>
      </c>
      <c r="AP281" t="s">
        <v>827</v>
      </c>
      <c r="AQ281" t="s">
        <v>828</v>
      </c>
      <c r="AR281" t="s">
        <v>64</v>
      </c>
      <c r="AS281" t="s">
        <v>457</v>
      </c>
      <c r="AT281" t="s">
        <v>471</v>
      </c>
      <c r="AU281" t="s">
        <v>387</v>
      </c>
      <c r="AW281" s="4">
        <f t="shared" si="143"/>
        <v>6</v>
      </c>
      <c r="AX281" s="4">
        <f t="shared" si="144"/>
        <v>4</v>
      </c>
      <c r="AY281" s="4">
        <f t="shared" si="145"/>
        <v>4</v>
      </c>
      <c r="AZ281" s="4">
        <f t="shared" si="146"/>
        <v>2</v>
      </c>
      <c r="BA281" s="4">
        <f t="shared" si="147"/>
        <v>4</v>
      </c>
      <c r="BB281" s="4">
        <f t="shared" si="148"/>
        <v>4</v>
      </c>
      <c r="BC281" s="4">
        <f t="shared" si="149"/>
        <v>4</v>
      </c>
      <c r="BD281" s="4">
        <f t="shared" si="150"/>
        <v>2</v>
      </c>
      <c r="BE281" s="4" t="str">
        <f t="shared" si="151"/>
        <v>0</v>
      </c>
      <c r="BF281" s="4">
        <f t="shared" si="152"/>
        <v>2</v>
      </c>
      <c r="BG281" s="4">
        <f t="shared" si="153"/>
        <v>4</v>
      </c>
      <c r="BH281" s="4">
        <f t="shared" si="154"/>
        <v>4</v>
      </c>
      <c r="BI281" s="4">
        <f t="shared" si="155"/>
        <v>4</v>
      </c>
      <c r="BJ281" s="4" t="str">
        <f t="shared" si="156"/>
        <v>0</v>
      </c>
      <c r="BK281" s="4" t="str">
        <f t="shared" si="157"/>
        <v>0</v>
      </c>
      <c r="BL281" s="4">
        <f t="shared" si="158"/>
        <v>2</v>
      </c>
      <c r="BM281" s="4">
        <f t="shared" si="159"/>
        <v>4</v>
      </c>
      <c r="BN281" s="4">
        <f t="shared" si="160"/>
        <v>4</v>
      </c>
      <c r="BO281" s="4">
        <f t="shared" si="161"/>
        <v>4</v>
      </c>
      <c r="BP281" s="4">
        <f t="shared" si="162"/>
        <v>4</v>
      </c>
      <c r="BQ281" s="4">
        <f t="shared" si="163"/>
        <v>6</v>
      </c>
      <c r="BR281" s="4">
        <f t="shared" si="164"/>
        <v>4</v>
      </c>
      <c r="BS281" s="4">
        <f t="shared" si="165"/>
        <v>4</v>
      </c>
      <c r="BT281" s="4">
        <f t="shared" si="166"/>
        <v>4</v>
      </c>
      <c r="BU281" s="4">
        <f t="shared" si="167"/>
        <v>4</v>
      </c>
      <c r="BV281" s="4" t="str">
        <f t="shared" si="168"/>
        <v>0</v>
      </c>
      <c r="BW281" s="4">
        <f t="shared" si="169"/>
        <v>6</v>
      </c>
      <c r="BX281" s="4">
        <f t="shared" si="170"/>
        <v>0</v>
      </c>
      <c r="BY281" s="4">
        <f t="shared" si="171"/>
        <v>0</v>
      </c>
      <c r="BZ281" s="37">
        <f t="shared" si="172"/>
        <v>90</v>
      </c>
      <c r="CA281" s="32" t="str">
        <f>VLOOKUP(J:J,'Agent wise'!A:C,3,0)</f>
        <v>Shakeer</v>
      </c>
      <c r="CB281" s="32">
        <f t="shared" si="173"/>
        <v>45935</v>
      </c>
      <c r="CC281" t="str">
        <f t="shared" si="174"/>
        <v>Good</v>
      </c>
      <c r="CE281" s="32"/>
      <c r="CJ281">
        <f t="shared" si="175"/>
        <v>5</v>
      </c>
      <c r="CK281">
        <f t="shared" si="176"/>
        <v>10</v>
      </c>
      <c r="CL281">
        <f t="shared" si="177"/>
        <v>2025</v>
      </c>
    </row>
    <row r="282" spans="1:90" ht="15" customHeight="1" x14ac:dyDescent="0.35">
      <c r="A282" s="40">
        <v>45787.918217592603</v>
      </c>
      <c r="B282" t="s">
        <v>106</v>
      </c>
      <c r="C282" t="s">
        <v>214</v>
      </c>
      <c r="D282" t="s">
        <v>107</v>
      </c>
      <c r="E282" s="32">
        <v>45935</v>
      </c>
      <c r="F282" t="s">
        <v>54</v>
      </c>
      <c r="G282" s="2">
        <v>45787</v>
      </c>
      <c r="H282">
        <v>9497124500</v>
      </c>
      <c r="I282">
        <v>160</v>
      </c>
      <c r="J282" t="s">
        <v>636</v>
      </c>
      <c r="K282" t="s">
        <v>57</v>
      </c>
      <c r="L282" t="s">
        <v>58</v>
      </c>
      <c r="M282" t="s">
        <v>59</v>
      </c>
      <c r="N282" t="s">
        <v>59</v>
      </c>
      <c r="O282" t="s">
        <v>59</v>
      </c>
      <c r="P282" t="s">
        <v>59</v>
      </c>
      <c r="Q282" t="s">
        <v>59</v>
      </c>
      <c r="R282" t="s">
        <v>59</v>
      </c>
      <c r="S282" t="s">
        <v>59</v>
      </c>
      <c r="T282" t="s">
        <v>59</v>
      </c>
      <c r="U282" t="s">
        <v>60</v>
      </c>
      <c r="V282" t="s">
        <v>59</v>
      </c>
      <c r="W282" t="s">
        <v>59</v>
      </c>
      <c r="X282" t="s">
        <v>61</v>
      </c>
      <c r="Y282" t="s">
        <v>59</v>
      </c>
      <c r="Z282" t="s">
        <v>59</v>
      </c>
      <c r="AA282" t="s">
        <v>60</v>
      </c>
      <c r="AB282" t="s">
        <v>59</v>
      </c>
      <c r="AC282" t="s">
        <v>60</v>
      </c>
      <c r="AD282" t="s">
        <v>61</v>
      </c>
      <c r="AE282" t="s">
        <v>59</v>
      </c>
      <c r="AF282" t="s">
        <v>61</v>
      </c>
      <c r="AG282" t="s">
        <v>59</v>
      </c>
      <c r="AH282" t="s">
        <v>61</v>
      </c>
      <c r="AI282" t="s">
        <v>59</v>
      </c>
      <c r="AJ282" t="s">
        <v>59</v>
      </c>
      <c r="AK282" t="s">
        <v>59</v>
      </c>
      <c r="AL282" t="s">
        <v>60</v>
      </c>
      <c r="AM282" t="s">
        <v>59</v>
      </c>
      <c r="AN282" t="s">
        <v>59</v>
      </c>
      <c r="AO282" t="s">
        <v>59</v>
      </c>
      <c r="AP282" t="s">
        <v>829</v>
      </c>
      <c r="AQ282" t="s">
        <v>830</v>
      </c>
      <c r="AR282" t="s">
        <v>64</v>
      </c>
      <c r="AS282" t="s">
        <v>122</v>
      </c>
      <c r="AT282" t="s">
        <v>123</v>
      </c>
      <c r="AU282" t="s">
        <v>219</v>
      </c>
      <c r="AW282" s="4">
        <f t="shared" si="143"/>
        <v>6</v>
      </c>
      <c r="AX282" s="4">
        <f t="shared" si="144"/>
        <v>4</v>
      </c>
      <c r="AY282" s="4">
        <f t="shared" si="145"/>
        <v>4</v>
      </c>
      <c r="AZ282" s="4">
        <f t="shared" si="146"/>
        <v>2</v>
      </c>
      <c r="BA282" s="4">
        <f t="shared" si="147"/>
        <v>4</v>
      </c>
      <c r="BB282" s="4">
        <f t="shared" si="148"/>
        <v>4</v>
      </c>
      <c r="BC282" s="4">
        <f t="shared" si="149"/>
        <v>4</v>
      </c>
      <c r="BD282" s="4">
        <f t="shared" si="150"/>
        <v>2</v>
      </c>
      <c r="BE282" s="4" t="str">
        <f t="shared" si="151"/>
        <v>0</v>
      </c>
      <c r="BF282" s="4">
        <f t="shared" si="152"/>
        <v>2</v>
      </c>
      <c r="BG282" s="4">
        <f t="shared" si="153"/>
        <v>4</v>
      </c>
      <c r="BH282" s="4">
        <f t="shared" si="154"/>
        <v>4</v>
      </c>
      <c r="BI282" s="4">
        <f t="shared" si="155"/>
        <v>4</v>
      </c>
      <c r="BJ282" s="4">
        <f t="shared" si="156"/>
        <v>2</v>
      </c>
      <c r="BK282" s="4" t="str">
        <f t="shared" si="157"/>
        <v>0</v>
      </c>
      <c r="BL282" s="4">
        <f t="shared" si="158"/>
        <v>2</v>
      </c>
      <c r="BM282" s="4" t="str">
        <f t="shared" si="159"/>
        <v>0</v>
      </c>
      <c r="BN282" s="4">
        <f t="shared" si="160"/>
        <v>4</v>
      </c>
      <c r="BO282" s="4">
        <f t="shared" si="161"/>
        <v>4</v>
      </c>
      <c r="BP282" s="4">
        <f t="shared" si="162"/>
        <v>4</v>
      </c>
      <c r="BQ282" s="4">
        <f t="shared" si="163"/>
        <v>6</v>
      </c>
      <c r="BR282" s="4">
        <f t="shared" si="164"/>
        <v>4</v>
      </c>
      <c r="BS282" s="4">
        <f t="shared" si="165"/>
        <v>4</v>
      </c>
      <c r="BT282" s="4">
        <f t="shared" si="166"/>
        <v>4</v>
      </c>
      <c r="BU282" s="4">
        <f t="shared" si="167"/>
        <v>4</v>
      </c>
      <c r="BV282" s="4" t="str">
        <f t="shared" si="168"/>
        <v>0</v>
      </c>
      <c r="BW282" s="4">
        <f t="shared" si="169"/>
        <v>6</v>
      </c>
      <c r="BX282" s="4">
        <f t="shared" si="170"/>
        <v>0</v>
      </c>
      <c r="BY282" s="4">
        <f t="shared" si="171"/>
        <v>0</v>
      </c>
      <c r="BZ282" s="37">
        <f t="shared" si="172"/>
        <v>88</v>
      </c>
      <c r="CA282" s="32" t="str">
        <f>VLOOKUP(J:J,'Agent wise'!A:C,3,0)</f>
        <v>Shakeer</v>
      </c>
      <c r="CB282" s="32">
        <f t="shared" si="173"/>
        <v>45935</v>
      </c>
      <c r="CC282" t="str">
        <f t="shared" si="174"/>
        <v>Average</v>
      </c>
      <c r="CE282" s="32"/>
      <c r="CJ282">
        <f t="shared" si="175"/>
        <v>5</v>
      </c>
      <c r="CK282">
        <f t="shared" si="176"/>
        <v>10</v>
      </c>
      <c r="CL282">
        <f t="shared" si="177"/>
        <v>2025</v>
      </c>
    </row>
    <row r="283" spans="1:90" ht="15" customHeight="1" x14ac:dyDescent="0.35">
      <c r="A283" s="40">
        <v>45787.926840277767</v>
      </c>
      <c r="B283" t="s">
        <v>106</v>
      </c>
      <c r="C283" t="s">
        <v>214</v>
      </c>
      <c r="D283" t="s">
        <v>107</v>
      </c>
      <c r="E283" s="32">
        <v>45935</v>
      </c>
      <c r="F283" t="s">
        <v>54</v>
      </c>
      <c r="G283" s="2">
        <v>45787</v>
      </c>
      <c r="H283">
        <v>9961196825</v>
      </c>
      <c r="I283">
        <v>131</v>
      </c>
      <c r="J283" t="s">
        <v>546</v>
      </c>
      <c r="K283" t="s">
        <v>57</v>
      </c>
      <c r="L283" t="s">
        <v>58</v>
      </c>
      <c r="M283" t="s">
        <v>59</v>
      </c>
      <c r="N283" t="s">
        <v>59</v>
      </c>
      <c r="O283" t="s">
        <v>59</v>
      </c>
      <c r="P283" t="s">
        <v>59</v>
      </c>
      <c r="Q283" t="s">
        <v>59</v>
      </c>
      <c r="R283" t="s">
        <v>59</v>
      </c>
      <c r="S283" t="s">
        <v>59</v>
      </c>
      <c r="T283" t="s">
        <v>59</v>
      </c>
      <c r="U283" t="s">
        <v>60</v>
      </c>
      <c r="V283" t="s">
        <v>59</v>
      </c>
      <c r="W283" t="s">
        <v>59</v>
      </c>
      <c r="X283" t="s">
        <v>61</v>
      </c>
      <c r="Y283" t="s">
        <v>59</v>
      </c>
      <c r="Z283" t="s">
        <v>59</v>
      </c>
      <c r="AA283" t="s">
        <v>59</v>
      </c>
      <c r="AB283" t="s">
        <v>59</v>
      </c>
      <c r="AC283" t="s">
        <v>60</v>
      </c>
      <c r="AD283" t="s">
        <v>61</v>
      </c>
      <c r="AE283" t="s">
        <v>59</v>
      </c>
      <c r="AF283" t="s">
        <v>61</v>
      </c>
      <c r="AG283" t="s">
        <v>59</v>
      </c>
      <c r="AH283" t="s">
        <v>61</v>
      </c>
      <c r="AI283" t="s">
        <v>61</v>
      </c>
      <c r="AJ283" t="s">
        <v>59</v>
      </c>
      <c r="AK283" t="s">
        <v>59</v>
      </c>
      <c r="AL283" t="s">
        <v>59</v>
      </c>
      <c r="AM283" t="s">
        <v>59</v>
      </c>
      <c r="AN283" t="s">
        <v>59</v>
      </c>
      <c r="AO283" t="s">
        <v>59</v>
      </c>
      <c r="AP283" t="s">
        <v>428</v>
      </c>
      <c r="AQ283" t="s">
        <v>831</v>
      </c>
      <c r="AR283" t="s">
        <v>64</v>
      </c>
      <c r="AS283" t="s">
        <v>111</v>
      </c>
      <c r="AT283" t="s">
        <v>377</v>
      </c>
      <c r="AU283" t="s">
        <v>219</v>
      </c>
      <c r="AW283" s="4">
        <f t="shared" si="143"/>
        <v>6</v>
      </c>
      <c r="AX283" s="4">
        <f t="shared" si="144"/>
        <v>4</v>
      </c>
      <c r="AY283" s="4">
        <f t="shared" si="145"/>
        <v>4</v>
      </c>
      <c r="AZ283" s="4">
        <f t="shared" si="146"/>
        <v>2</v>
      </c>
      <c r="BA283" s="4">
        <f t="shared" si="147"/>
        <v>4</v>
      </c>
      <c r="BB283" s="4">
        <f t="shared" si="148"/>
        <v>4</v>
      </c>
      <c r="BC283" s="4">
        <f t="shared" si="149"/>
        <v>4</v>
      </c>
      <c r="BD283" s="4">
        <f t="shared" si="150"/>
        <v>2</v>
      </c>
      <c r="BE283" s="4" t="str">
        <f t="shared" si="151"/>
        <v>0</v>
      </c>
      <c r="BF283" s="4">
        <f t="shared" si="152"/>
        <v>2</v>
      </c>
      <c r="BG283" s="4">
        <f t="shared" si="153"/>
        <v>4</v>
      </c>
      <c r="BH283" s="4">
        <f t="shared" si="154"/>
        <v>4</v>
      </c>
      <c r="BI283" s="4">
        <f t="shared" si="155"/>
        <v>4</v>
      </c>
      <c r="BJ283" s="4">
        <f t="shared" si="156"/>
        <v>2</v>
      </c>
      <c r="BK283" s="4">
        <f t="shared" si="157"/>
        <v>4</v>
      </c>
      <c r="BL283" s="4">
        <f t="shared" si="158"/>
        <v>2</v>
      </c>
      <c r="BM283" s="4" t="str">
        <f t="shared" si="159"/>
        <v>0</v>
      </c>
      <c r="BN283" s="4">
        <f t="shared" si="160"/>
        <v>4</v>
      </c>
      <c r="BO283" s="4">
        <f t="shared" si="161"/>
        <v>4</v>
      </c>
      <c r="BP283" s="4">
        <f t="shared" si="162"/>
        <v>4</v>
      </c>
      <c r="BQ283" s="4">
        <f t="shared" si="163"/>
        <v>6</v>
      </c>
      <c r="BR283" s="4">
        <f t="shared" si="164"/>
        <v>4</v>
      </c>
      <c r="BS283" s="4">
        <f t="shared" si="165"/>
        <v>4</v>
      </c>
      <c r="BT283" s="4">
        <f t="shared" si="166"/>
        <v>4</v>
      </c>
      <c r="BU283" s="4">
        <f t="shared" si="167"/>
        <v>4</v>
      </c>
      <c r="BV283" s="4">
        <f t="shared" si="168"/>
        <v>0</v>
      </c>
      <c r="BW283" s="4">
        <f t="shared" si="169"/>
        <v>6</v>
      </c>
      <c r="BX283" s="4">
        <f t="shared" si="170"/>
        <v>0</v>
      </c>
      <c r="BY283" s="4">
        <f t="shared" si="171"/>
        <v>0</v>
      </c>
      <c r="BZ283" s="37">
        <f t="shared" si="172"/>
        <v>92</v>
      </c>
      <c r="CA283" s="32" t="str">
        <f>VLOOKUP(J:J,'Agent wise'!A:C,3,0)</f>
        <v>Shakeer</v>
      </c>
      <c r="CB283" s="32">
        <f t="shared" si="173"/>
        <v>45935</v>
      </c>
      <c r="CC283" t="str">
        <f t="shared" si="174"/>
        <v>Good</v>
      </c>
      <c r="CE283" s="32"/>
      <c r="CJ283">
        <f t="shared" si="175"/>
        <v>5</v>
      </c>
      <c r="CK283">
        <f t="shared" si="176"/>
        <v>10</v>
      </c>
      <c r="CL283">
        <f t="shared" si="177"/>
        <v>2025</v>
      </c>
    </row>
    <row r="284" spans="1:90" ht="15" customHeight="1" x14ac:dyDescent="0.35">
      <c r="A284" s="40">
        <v>45787.929965277777</v>
      </c>
      <c r="B284" t="s">
        <v>106</v>
      </c>
      <c r="C284" t="s">
        <v>214</v>
      </c>
      <c r="D284" t="s">
        <v>107</v>
      </c>
      <c r="E284" s="32">
        <v>45935</v>
      </c>
      <c r="F284" t="s">
        <v>54</v>
      </c>
      <c r="G284" s="2">
        <v>45787</v>
      </c>
      <c r="H284">
        <v>9846453000</v>
      </c>
      <c r="I284">
        <v>169</v>
      </c>
      <c r="J284" t="s">
        <v>546</v>
      </c>
      <c r="K284" t="s">
        <v>57</v>
      </c>
      <c r="L284" t="s">
        <v>58</v>
      </c>
      <c r="M284" t="s">
        <v>59</v>
      </c>
      <c r="N284" t="s">
        <v>59</v>
      </c>
      <c r="O284" t="s">
        <v>59</v>
      </c>
      <c r="P284" t="s">
        <v>59</v>
      </c>
      <c r="Q284" t="s">
        <v>59</v>
      </c>
      <c r="R284" t="s">
        <v>59</v>
      </c>
      <c r="S284" t="s">
        <v>59</v>
      </c>
      <c r="T284" t="s">
        <v>59</v>
      </c>
      <c r="U284" t="s">
        <v>59</v>
      </c>
      <c r="V284" t="s">
        <v>59</v>
      </c>
      <c r="W284" t="s">
        <v>59</v>
      </c>
      <c r="X284" t="s">
        <v>61</v>
      </c>
      <c r="Y284" t="s">
        <v>59</v>
      </c>
      <c r="Z284" t="s">
        <v>59</v>
      </c>
      <c r="AA284" t="s">
        <v>59</v>
      </c>
      <c r="AB284" t="s">
        <v>59</v>
      </c>
      <c r="AC284" t="s">
        <v>61</v>
      </c>
      <c r="AD284" t="s">
        <v>59</v>
      </c>
      <c r="AE284" t="s">
        <v>59</v>
      </c>
      <c r="AF284" t="s">
        <v>59</v>
      </c>
      <c r="AG284" t="s">
        <v>59</v>
      </c>
      <c r="AH284" t="s">
        <v>61</v>
      </c>
      <c r="AI284" t="s">
        <v>59</v>
      </c>
      <c r="AJ284" t="s">
        <v>59</v>
      </c>
      <c r="AK284" t="s">
        <v>59</v>
      </c>
      <c r="AL284" t="s">
        <v>59</v>
      </c>
      <c r="AM284" t="s">
        <v>59</v>
      </c>
      <c r="AN284" t="s">
        <v>59</v>
      </c>
      <c r="AO284" t="s">
        <v>59</v>
      </c>
      <c r="AP284" t="s">
        <v>375</v>
      </c>
      <c r="AQ284" t="s">
        <v>832</v>
      </c>
      <c r="AR284" t="s">
        <v>64</v>
      </c>
      <c r="AS284" t="s">
        <v>122</v>
      </c>
      <c r="AT284" t="s">
        <v>390</v>
      </c>
      <c r="AU284" t="s">
        <v>219</v>
      </c>
      <c r="AW284" s="4">
        <f t="shared" si="143"/>
        <v>6</v>
      </c>
      <c r="AX284" s="4">
        <f t="shared" si="144"/>
        <v>4</v>
      </c>
      <c r="AY284" s="4">
        <f t="shared" si="145"/>
        <v>4</v>
      </c>
      <c r="AZ284" s="4">
        <f t="shared" si="146"/>
        <v>2</v>
      </c>
      <c r="BA284" s="4">
        <f t="shared" si="147"/>
        <v>4</v>
      </c>
      <c r="BB284" s="4">
        <f t="shared" si="148"/>
        <v>4</v>
      </c>
      <c r="BC284" s="4">
        <f t="shared" si="149"/>
        <v>4</v>
      </c>
      <c r="BD284" s="4">
        <f t="shared" si="150"/>
        <v>2</v>
      </c>
      <c r="BE284" s="4">
        <f t="shared" si="151"/>
        <v>4</v>
      </c>
      <c r="BF284" s="4">
        <f t="shared" si="152"/>
        <v>2</v>
      </c>
      <c r="BG284" s="4">
        <f t="shared" si="153"/>
        <v>4</v>
      </c>
      <c r="BH284" s="4">
        <f t="shared" si="154"/>
        <v>4</v>
      </c>
      <c r="BI284" s="4">
        <f t="shared" si="155"/>
        <v>4</v>
      </c>
      <c r="BJ284" s="4">
        <f t="shared" si="156"/>
        <v>2</v>
      </c>
      <c r="BK284" s="4">
        <f t="shared" si="157"/>
        <v>4</v>
      </c>
      <c r="BL284" s="4">
        <f t="shared" si="158"/>
        <v>2</v>
      </c>
      <c r="BM284" s="4">
        <f t="shared" si="159"/>
        <v>4</v>
      </c>
      <c r="BN284" s="4">
        <f t="shared" si="160"/>
        <v>4</v>
      </c>
      <c r="BO284" s="4">
        <f t="shared" si="161"/>
        <v>4</v>
      </c>
      <c r="BP284" s="4">
        <f t="shared" si="162"/>
        <v>4</v>
      </c>
      <c r="BQ284" s="4">
        <f t="shared" si="163"/>
        <v>6</v>
      </c>
      <c r="BR284" s="4">
        <f t="shared" si="164"/>
        <v>4</v>
      </c>
      <c r="BS284" s="4">
        <f t="shared" si="165"/>
        <v>4</v>
      </c>
      <c r="BT284" s="4">
        <f t="shared" si="166"/>
        <v>4</v>
      </c>
      <c r="BU284" s="4">
        <f t="shared" si="167"/>
        <v>4</v>
      </c>
      <c r="BV284" s="4">
        <f t="shared" si="168"/>
        <v>0</v>
      </c>
      <c r="BW284" s="4">
        <f t="shared" si="169"/>
        <v>6</v>
      </c>
      <c r="BX284" s="4">
        <f t="shared" si="170"/>
        <v>0</v>
      </c>
      <c r="BY284" s="4">
        <f t="shared" si="171"/>
        <v>0</v>
      </c>
      <c r="BZ284" s="37">
        <f t="shared" si="172"/>
        <v>100</v>
      </c>
      <c r="CA284" s="32" t="str">
        <f>VLOOKUP(J:J,'Agent wise'!A:C,3,0)</f>
        <v>Shakeer</v>
      </c>
      <c r="CB284" s="32">
        <f t="shared" si="173"/>
        <v>45935</v>
      </c>
      <c r="CC284" t="str">
        <f t="shared" si="174"/>
        <v>Excellent</v>
      </c>
      <c r="CE284" s="32"/>
      <c r="CJ284">
        <f t="shared" si="175"/>
        <v>5</v>
      </c>
      <c r="CK284">
        <f t="shared" si="176"/>
        <v>10</v>
      </c>
      <c r="CL284">
        <f t="shared" si="177"/>
        <v>2025</v>
      </c>
    </row>
    <row r="285" spans="1:90" ht="15" customHeight="1" x14ac:dyDescent="0.35">
      <c r="A285" s="40">
        <v>45787.932002314818</v>
      </c>
      <c r="B285" t="s">
        <v>106</v>
      </c>
      <c r="C285" t="s">
        <v>214</v>
      </c>
      <c r="D285" t="s">
        <v>107</v>
      </c>
      <c r="E285" s="32">
        <v>45935</v>
      </c>
      <c r="F285" t="s">
        <v>54</v>
      </c>
      <c r="G285" s="2">
        <v>45787</v>
      </c>
      <c r="H285">
        <v>8304823041</v>
      </c>
      <c r="I285">
        <v>146</v>
      </c>
      <c r="J285" t="s">
        <v>442</v>
      </c>
      <c r="K285" t="s">
        <v>57</v>
      </c>
      <c r="L285" t="s">
        <v>58</v>
      </c>
      <c r="M285" t="s">
        <v>59</v>
      </c>
      <c r="N285" t="s">
        <v>59</v>
      </c>
      <c r="O285" t="s">
        <v>59</v>
      </c>
      <c r="P285" t="s">
        <v>59</v>
      </c>
      <c r="Q285" t="s">
        <v>59</v>
      </c>
      <c r="R285" t="s">
        <v>59</v>
      </c>
      <c r="S285" t="s">
        <v>59</v>
      </c>
      <c r="T285" t="s">
        <v>59</v>
      </c>
      <c r="U285" t="s">
        <v>60</v>
      </c>
      <c r="V285" t="s">
        <v>59</v>
      </c>
      <c r="W285" t="s">
        <v>59</v>
      </c>
      <c r="X285" t="s">
        <v>61</v>
      </c>
      <c r="Y285" t="s">
        <v>59</v>
      </c>
      <c r="Z285" t="s">
        <v>60</v>
      </c>
      <c r="AA285" t="s">
        <v>59</v>
      </c>
      <c r="AB285" t="s">
        <v>59</v>
      </c>
      <c r="AC285" t="s">
        <v>61</v>
      </c>
      <c r="AD285" t="s">
        <v>61</v>
      </c>
      <c r="AE285" t="s">
        <v>59</v>
      </c>
      <c r="AF285" t="s">
        <v>61</v>
      </c>
      <c r="AG285" t="s">
        <v>59</v>
      </c>
      <c r="AH285" t="s">
        <v>61</v>
      </c>
      <c r="AI285" t="s">
        <v>61</v>
      </c>
      <c r="AJ285" t="s">
        <v>59</v>
      </c>
      <c r="AK285" t="s">
        <v>59</v>
      </c>
      <c r="AL285" t="s">
        <v>59</v>
      </c>
      <c r="AM285" t="s">
        <v>59</v>
      </c>
      <c r="AN285" t="s">
        <v>59</v>
      </c>
      <c r="AO285" t="s">
        <v>59</v>
      </c>
      <c r="AP285" t="s">
        <v>388</v>
      </c>
      <c r="AQ285" t="s">
        <v>833</v>
      </c>
      <c r="AR285" t="s">
        <v>64</v>
      </c>
      <c r="AS285" t="s">
        <v>255</v>
      </c>
      <c r="AT285" t="s">
        <v>834</v>
      </c>
      <c r="AU285" t="s">
        <v>268</v>
      </c>
      <c r="AW285" s="4">
        <f t="shared" si="143"/>
        <v>6</v>
      </c>
      <c r="AX285" s="4">
        <f t="shared" si="144"/>
        <v>4</v>
      </c>
      <c r="AY285" s="4">
        <f t="shared" si="145"/>
        <v>4</v>
      </c>
      <c r="AZ285" s="4">
        <f t="shared" si="146"/>
        <v>2</v>
      </c>
      <c r="BA285" s="4">
        <f t="shared" si="147"/>
        <v>4</v>
      </c>
      <c r="BB285" s="4">
        <f t="shared" si="148"/>
        <v>4</v>
      </c>
      <c r="BC285" s="4">
        <f t="shared" si="149"/>
        <v>4</v>
      </c>
      <c r="BD285" s="4">
        <f t="shared" si="150"/>
        <v>2</v>
      </c>
      <c r="BE285" s="4" t="str">
        <f t="shared" si="151"/>
        <v>0</v>
      </c>
      <c r="BF285" s="4">
        <f t="shared" si="152"/>
        <v>2</v>
      </c>
      <c r="BG285" s="4">
        <f t="shared" si="153"/>
        <v>4</v>
      </c>
      <c r="BH285" s="4">
        <f t="shared" si="154"/>
        <v>4</v>
      </c>
      <c r="BI285" s="4">
        <f t="shared" si="155"/>
        <v>4</v>
      </c>
      <c r="BJ285" s="4" t="str">
        <f t="shared" si="156"/>
        <v>0</v>
      </c>
      <c r="BK285" s="4">
        <f t="shared" si="157"/>
        <v>4</v>
      </c>
      <c r="BL285" s="4">
        <f t="shared" si="158"/>
        <v>2</v>
      </c>
      <c r="BM285" s="4">
        <f t="shared" si="159"/>
        <v>4</v>
      </c>
      <c r="BN285" s="4">
        <f t="shared" si="160"/>
        <v>4</v>
      </c>
      <c r="BO285" s="4">
        <f t="shared" si="161"/>
        <v>4</v>
      </c>
      <c r="BP285" s="4">
        <f t="shared" si="162"/>
        <v>4</v>
      </c>
      <c r="BQ285" s="4">
        <f t="shared" si="163"/>
        <v>6</v>
      </c>
      <c r="BR285" s="4">
        <f t="shared" si="164"/>
        <v>4</v>
      </c>
      <c r="BS285" s="4">
        <f t="shared" si="165"/>
        <v>4</v>
      </c>
      <c r="BT285" s="4">
        <f t="shared" si="166"/>
        <v>4</v>
      </c>
      <c r="BU285" s="4">
        <f t="shared" si="167"/>
        <v>4</v>
      </c>
      <c r="BV285" s="4">
        <f t="shared" si="168"/>
        <v>0</v>
      </c>
      <c r="BW285" s="4">
        <f t="shared" si="169"/>
        <v>6</v>
      </c>
      <c r="BX285" s="4">
        <f t="shared" si="170"/>
        <v>0</v>
      </c>
      <c r="BY285" s="4">
        <f t="shared" si="171"/>
        <v>0</v>
      </c>
      <c r="BZ285" s="37">
        <f t="shared" si="172"/>
        <v>94</v>
      </c>
      <c r="CA285" s="32" t="str">
        <f>VLOOKUP(J:J,'Agent wise'!A:C,3,0)</f>
        <v>Shakeer</v>
      </c>
      <c r="CB285" s="32">
        <f t="shared" si="173"/>
        <v>45935</v>
      </c>
      <c r="CC285" t="str">
        <f t="shared" si="174"/>
        <v>Good</v>
      </c>
      <c r="CE285" s="32"/>
      <c r="CJ285">
        <f t="shared" si="175"/>
        <v>5</v>
      </c>
      <c r="CK285">
        <f t="shared" si="176"/>
        <v>10</v>
      </c>
      <c r="CL285">
        <f t="shared" si="177"/>
        <v>2025</v>
      </c>
    </row>
    <row r="286" spans="1:90" ht="15" customHeight="1" x14ac:dyDescent="0.35">
      <c r="A286" s="40">
        <v>45787.935115740736</v>
      </c>
      <c r="B286" t="s">
        <v>106</v>
      </c>
      <c r="C286" t="s">
        <v>214</v>
      </c>
      <c r="D286" t="s">
        <v>107</v>
      </c>
      <c r="E286" s="32">
        <v>45935</v>
      </c>
      <c r="F286" t="s">
        <v>54</v>
      </c>
      <c r="G286" s="2">
        <v>45787</v>
      </c>
      <c r="H286">
        <v>9544036703</v>
      </c>
      <c r="I286">
        <v>147</v>
      </c>
      <c r="J286" t="s">
        <v>442</v>
      </c>
      <c r="K286" t="s">
        <v>57</v>
      </c>
      <c r="L286" t="s">
        <v>58</v>
      </c>
      <c r="M286" t="s">
        <v>59</v>
      </c>
      <c r="N286" t="s">
        <v>59</v>
      </c>
      <c r="O286" t="s">
        <v>59</v>
      </c>
      <c r="P286" t="s">
        <v>59</v>
      </c>
      <c r="Q286" t="s">
        <v>59</v>
      </c>
      <c r="R286" t="s">
        <v>59</v>
      </c>
      <c r="S286" t="s">
        <v>59</v>
      </c>
      <c r="T286" t="s">
        <v>59</v>
      </c>
      <c r="U286" t="s">
        <v>60</v>
      </c>
      <c r="V286" t="s">
        <v>59</v>
      </c>
      <c r="W286" t="s">
        <v>59</v>
      </c>
      <c r="X286" t="s">
        <v>61</v>
      </c>
      <c r="Y286" t="s">
        <v>59</v>
      </c>
      <c r="Z286" t="s">
        <v>60</v>
      </c>
      <c r="AA286" t="s">
        <v>59</v>
      </c>
      <c r="AB286" t="s">
        <v>59</v>
      </c>
      <c r="AC286" t="s">
        <v>61</v>
      </c>
      <c r="AD286" t="s">
        <v>61</v>
      </c>
      <c r="AE286" t="s">
        <v>59</v>
      </c>
      <c r="AF286" t="s">
        <v>61</v>
      </c>
      <c r="AG286" t="s">
        <v>59</v>
      </c>
      <c r="AH286" t="s">
        <v>61</v>
      </c>
      <c r="AI286" t="s">
        <v>59</v>
      </c>
      <c r="AJ286" t="s">
        <v>59</v>
      </c>
      <c r="AK286" t="s">
        <v>59</v>
      </c>
      <c r="AL286" t="s">
        <v>60</v>
      </c>
      <c r="AM286" t="s">
        <v>59</v>
      </c>
      <c r="AN286" t="s">
        <v>59</v>
      </c>
      <c r="AO286" t="s">
        <v>59</v>
      </c>
      <c r="AP286" t="s">
        <v>835</v>
      </c>
      <c r="AQ286" t="s">
        <v>836</v>
      </c>
      <c r="AR286" t="s">
        <v>64</v>
      </c>
      <c r="AS286" t="s">
        <v>122</v>
      </c>
      <c r="AT286" t="s">
        <v>390</v>
      </c>
      <c r="AU286" t="s">
        <v>387</v>
      </c>
      <c r="AW286" s="4">
        <f t="shared" si="143"/>
        <v>6</v>
      </c>
      <c r="AX286" s="4">
        <f t="shared" si="144"/>
        <v>4</v>
      </c>
      <c r="AY286" s="4">
        <f t="shared" si="145"/>
        <v>4</v>
      </c>
      <c r="AZ286" s="4">
        <f t="shared" si="146"/>
        <v>2</v>
      </c>
      <c r="BA286" s="4">
        <f t="shared" si="147"/>
        <v>4</v>
      </c>
      <c r="BB286" s="4">
        <f t="shared" si="148"/>
        <v>4</v>
      </c>
      <c r="BC286" s="4">
        <f t="shared" si="149"/>
        <v>4</v>
      </c>
      <c r="BD286" s="4">
        <f t="shared" si="150"/>
        <v>2</v>
      </c>
      <c r="BE286" s="4" t="str">
        <f t="shared" si="151"/>
        <v>0</v>
      </c>
      <c r="BF286" s="4">
        <f t="shared" si="152"/>
        <v>2</v>
      </c>
      <c r="BG286" s="4">
        <f t="shared" si="153"/>
        <v>4</v>
      </c>
      <c r="BH286" s="4">
        <f t="shared" si="154"/>
        <v>4</v>
      </c>
      <c r="BI286" s="4">
        <f t="shared" si="155"/>
        <v>4</v>
      </c>
      <c r="BJ286" s="4" t="str">
        <f t="shared" si="156"/>
        <v>0</v>
      </c>
      <c r="BK286" s="4">
        <f t="shared" si="157"/>
        <v>4</v>
      </c>
      <c r="BL286" s="4">
        <f t="shared" si="158"/>
        <v>2</v>
      </c>
      <c r="BM286" s="4">
        <f t="shared" si="159"/>
        <v>4</v>
      </c>
      <c r="BN286" s="4">
        <f t="shared" si="160"/>
        <v>4</v>
      </c>
      <c r="BO286" s="4">
        <f t="shared" si="161"/>
        <v>4</v>
      </c>
      <c r="BP286" s="4">
        <f t="shared" si="162"/>
        <v>4</v>
      </c>
      <c r="BQ286" s="4">
        <f t="shared" si="163"/>
        <v>6</v>
      </c>
      <c r="BR286" s="4">
        <f t="shared" si="164"/>
        <v>4</v>
      </c>
      <c r="BS286" s="4">
        <f t="shared" si="165"/>
        <v>4</v>
      </c>
      <c r="BT286" s="4">
        <f t="shared" si="166"/>
        <v>4</v>
      </c>
      <c r="BU286" s="4">
        <f t="shared" si="167"/>
        <v>4</v>
      </c>
      <c r="BV286" s="4" t="str">
        <f t="shared" si="168"/>
        <v>0</v>
      </c>
      <c r="BW286" s="4">
        <f t="shared" si="169"/>
        <v>6</v>
      </c>
      <c r="BX286" s="4">
        <f t="shared" si="170"/>
        <v>0</v>
      </c>
      <c r="BY286" s="4">
        <f t="shared" si="171"/>
        <v>0</v>
      </c>
      <c r="BZ286" s="37">
        <f t="shared" si="172"/>
        <v>94</v>
      </c>
      <c r="CA286" s="32" t="str">
        <f>VLOOKUP(J:J,'Agent wise'!A:C,3,0)</f>
        <v>Shakeer</v>
      </c>
      <c r="CB286" s="32">
        <f t="shared" si="173"/>
        <v>45935</v>
      </c>
      <c r="CC286" t="str">
        <f t="shared" si="174"/>
        <v>Good</v>
      </c>
      <c r="CE286" s="32"/>
      <c r="CJ286">
        <f t="shared" si="175"/>
        <v>5</v>
      </c>
      <c r="CK286">
        <f t="shared" si="176"/>
        <v>10</v>
      </c>
      <c r="CL286">
        <f t="shared" si="177"/>
        <v>2025</v>
      </c>
    </row>
    <row r="287" spans="1:90" ht="15" customHeight="1" x14ac:dyDescent="0.35">
      <c r="A287" s="40">
        <v>45787.937430555547</v>
      </c>
      <c r="B287" t="s">
        <v>106</v>
      </c>
      <c r="C287" t="s">
        <v>214</v>
      </c>
      <c r="D287" t="s">
        <v>107</v>
      </c>
      <c r="E287" s="32">
        <v>45935</v>
      </c>
      <c r="F287" t="s">
        <v>54</v>
      </c>
      <c r="G287" s="2">
        <v>45787</v>
      </c>
      <c r="H287">
        <v>9446795264</v>
      </c>
      <c r="I287">
        <v>140</v>
      </c>
      <c r="J287" t="s">
        <v>149</v>
      </c>
      <c r="K287" t="s">
        <v>57</v>
      </c>
      <c r="L287" t="s">
        <v>58</v>
      </c>
      <c r="M287" t="s">
        <v>59</v>
      </c>
      <c r="N287" t="s">
        <v>59</v>
      </c>
      <c r="O287" t="s">
        <v>59</v>
      </c>
      <c r="P287" t="s">
        <v>59</v>
      </c>
      <c r="Q287" t="s">
        <v>59</v>
      </c>
      <c r="R287" t="s">
        <v>59</v>
      </c>
      <c r="S287" t="s">
        <v>59</v>
      </c>
      <c r="T287" t="s">
        <v>59</v>
      </c>
      <c r="U287" t="s">
        <v>60</v>
      </c>
      <c r="V287" t="s">
        <v>59</v>
      </c>
      <c r="W287" t="s">
        <v>59</v>
      </c>
      <c r="X287" t="s">
        <v>61</v>
      </c>
      <c r="Y287" t="s">
        <v>59</v>
      </c>
      <c r="Z287" t="s">
        <v>60</v>
      </c>
      <c r="AA287" t="s">
        <v>60</v>
      </c>
      <c r="AB287" t="s">
        <v>59</v>
      </c>
      <c r="AC287" t="s">
        <v>61</v>
      </c>
      <c r="AD287" t="s">
        <v>61</v>
      </c>
      <c r="AE287" t="s">
        <v>59</v>
      </c>
      <c r="AF287" t="s">
        <v>61</v>
      </c>
      <c r="AG287" t="s">
        <v>59</v>
      </c>
      <c r="AH287" t="s">
        <v>61</v>
      </c>
      <c r="AI287" t="s">
        <v>61</v>
      </c>
      <c r="AJ287" t="s">
        <v>59</v>
      </c>
      <c r="AK287" t="s">
        <v>59</v>
      </c>
      <c r="AL287" t="s">
        <v>60</v>
      </c>
      <c r="AM287" t="s">
        <v>59</v>
      </c>
      <c r="AN287" t="s">
        <v>59</v>
      </c>
      <c r="AO287" t="s">
        <v>59</v>
      </c>
      <c r="AP287" t="s">
        <v>837</v>
      </c>
      <c r="AQ287" t="s">
        <v>838</v>
      </c>
      <c r="AR287" t="s">
        <v>64</v>
      </c>
      <c r="AS287" t="s">
        <v>111</v>
      </c>
      <c r="AT287" t="s">
        <v>112</v>
      </c>
      <c r="AU287" t="s">
        <v>387</v>
      </c>
      <c r="AW287" s="4">
        <f t="shared" si="143"/>
        <v>6</v>
      </c>
      <c r="AX287" s="4">
        <f t="shared" si="144"/>
        <v>4</v>
      </c>
      <c r="AY287" s="4">
        <f t="shared" si="145"/>
        <v>4</v>
      </c>
      <c r="AZ287" s="4">
        <f t="shared" si="146"/>
        <v>2</v>
      </c>
      <c r="BA287" s="4">
        <f t="shared" si="147"/>
        <v>4</v>
      </c>
      <c r="BB287" s="4">
        <f t="shared" si="148"/>
        <v>4</v>
      </c>
      <c r="BC287" s="4">
        <f t="shared" si="149"/>
        <v>4</v>
      </c>
      <c r="BD287" s="4">
        <f t="shared" si="150"/>
        <v>2</v>
      </c>
      <c r="BE287" s="4" t="str">
        <f t="shared" si="151"/>
        <v>0</v>
      </c>
      <c r="BF287" s="4">
        <f t="shared" si="152"/>
        <v>2</v>
      </c>
      <c r="BG287" s="4">
        <f t="shared" si="153"/>
        <v>4</v>
      </c>
      <c r="BH287" s="4">
        <f t="shared" si="154"/>
        <v>4</v>
      </c>
      <c r="BI287" s="4">
        <f t="shared" si="155"/>
        <v>4</v>
      </c>
      <c r="BJ287" s="4" t="str">
        <f t="shared" si="156"/>
        <v>0</v>
      </c>
      <c r="BK287" s="4" t="str">
        <f t="shared" si="157"/>
        <v>0</v>
      </c>
      <c r="BL287" s="4">
        <f t="shared" si="158"/>
        <v>2</v>
      </c>
      <c r="BM287" s="4">
        <f t="shared" si="159"/>
        <v>4</v>
      </c>
      <c r="BN287" s="4">
        <f t="shared" si="160"/>
        <v>4</v>
      </c>
      <c r="BO287" s="4">
        <f t="shared" si="161"/>
        <v>4</v>
      </c>
      <c r="BP287" s="4">
        <f t="shared" si="162"/>
        <v>4</v>
      </c>
      <c r="BQ287" s="4">
        <f t="shared" si="163"/>
        <v>6</v>
      </c>
      <c r="BR287" s="4">
        <f t="shared" si="164"/>
        <v>4</v>
      </c>
      <c r="BS287" s="4">
        <f t="shared" si="165"/>
        <v>4</v>
      </c>
      <c r="BT287" s="4">
        <f t="shared" si="166"/>
        <v>4</v>
      </c>
      <c r="BU287" s="4">
        <f t="shared" si="167"/>
        <v>4</v>
      </c>
      <c r="BV287" s="4" t="str">
        <f t="shared" si="168"/>
        <v>0</v>
      </c>
      <c r="BW287" s="4">
        <f t="shared" si="169"/>
        <v>6</v>
      </c>
      <c r="BX287" s="4">
        <f t="shared" si="170"/>
        <v>0</v>
      </c>
      <c r="BY287" s="4">
        <f t="shared" si="171"/>
        <v>0</v>
      </c>
      <c r="BZ287" s="37">
        <f t="shared" si="172"/>
        <v>90</v>
      </c>
      <c r="CA287" s="32" t="str">
        <f>VLOOKUP(J:J,'Agent wise'!A:C,3,0)</f>
        <v>Shakeer</v>
      </c>
      <c r="CB287" s="32">
        <f t="shared" si="173"/>
        <v>45935</v>
      </c>
      <c r="CC287" t="str">
        <f t="shared" si="174"/>
        <v>Good</v>
      </c>
      <c r="CE287" s="32"/>
      <c r="CJ287">
        <f t="shared" si="175"/>
        <v>5</v>
      </c>
      <c r="CK287">
        <f t="shared" si="176"/>
        <v>10</v>
      </c>
      <c r="CL287">
        <f t="shared" si="177"/>
        <v>2025</v>
      </c>
    </row>
    <row r="288" spans="1:90" ht="15" customHeight="1" x14ac:dyDescent="0.35">
      <c r="A288" s="40">
        <v>45787.940138888887</v>
      </c>
      <c r="B288" t="s">
        <v>106</v>
      </c>
      <c r="C288" t="s">
        <v>214</v>
      </c>
      <c r="D288" t="s">
        <v>107</v>
      </c>
      <c r="E288" s="32">
        <v>45935</v>
      </c>
      <c r="F288" t="s">
        <v>54</v>
      </c>
      <c r="G288" s="2">
        <v>45787</v>
      </c>
      <c r="H288">
        <v>9495650429</v>
      </c>
      <c r="I288">
        <v>172</v>
      </c>
      <c r="J288" t="s">
        <v>149</v>
      </c>
      <c r="K288" t="s">
        <v>57</v>
      </c>
      <c r="L288" t="s">
        <v>58</v>
      </c>
      <c r="M288" t="s">
        <v>59</v>
      </c>
      <c r="N288" t="s">
        <v>59</v>
      </c>
      <c r="O288" t="s">
        <v>59</v>
      </c>
      <c r="P288" t="s">
        <v>59</v>
      </c>
      <c r="Q288" t="s">
        <v>59</v>
      </c>
      <c r="R288" t="s">
        <v>59</v>
      </c>
      <c r="S288" t="s">
        <v>59</v>
      </c>
      <c r="T288" t="s">
        <v>59</v>
      </c>
      <c r="U288" t="s">
        <v>60</v>
      </c>
      <c r="V288" t="s">
        <v>59</v>
      </c>
      <c r="W288" t="s">
        <v>59</v>
      </c>
      <c r="X288" t="s">
        <v>61</v>
      </c>
      <c r="Y288" t="s">
        <v>59</v>
      </c>
      <c r="Z288" t="s">
        <v>60</v>
      </c>
      <c r="AA288" t="s">
        <v>59</v>
      </c>
      <c r="AB288" t="s">
        <v>59</v>
      </c>
      <c r="AC288" t="s">
        <v>61</v>
      </c>
      <c r="AD288" t="s">
        <v>59</v>
      </c>
      <c r="AE288" t="s">
        <v>59</v>
      </c>
      <c r="AF288" t="s">
        <v>61</v>
      </c>
      <c r="AG288" t="s">
        <v>59</v>
      </c>
      <c r="AH288" t="s">
        <v>61</v>
      </c>
      <c r="AI288" t="s">
        <v>59</v>
      </c>
      <c r="AJ288" t="s">
        <v>59</v>
      </c>
      <c r="AK288" t="s">
        <v>59</v>
      </c>
      <c r="AL288" t="s">
        <v>60</v>
      </c>
      <c r="AM288" t="s">
        <v>59</v>
      </c>
      <c r="AN288" t="s">
        <v>59</v>
      </c>
      <c r="AO288" t="s">
        <v>59</v>
      </c>
      <c r="AP288" t="s">
        <v>388</v>
      </c>
      <c r="AQ288" t="s">
        <v>839</v>
      </c>
      <c r="AR288" t="s">
        <v>64</v>
      </c>
      <c r="AS288" t="s">
        <v>122</v>
      </c>
      <c r="AT288" t="s">
        <v>123</v>
      </c>
      <c r="AU288" t="s">
        <v>387</v>
      </c>
      <c r="AW288" s="4">
        <f t="shared" si="143"/>
        <v>6</v>
      </c>
      <c r="AX288" s="4">
        <f t="shared" si="144"/>
        <v>4</v>
      </c>
      <c r="AY288" s="4">
        <f t="shared" si="145"/>
        <v>4</v>
      </c>
      <c r="AZ288" s="4">
        <f t="shared" si="146"/>
        <v>2</v>
      </c>
      <c r="BA288" s="4">
        <f t="shared" si="147"/>
        <v>4</v>
      </c>
      <c r="BB288" s="4">
        <f t="shared" si="148"/>
        <v>4</v>
      </c>
      <c r="BC288" s="4">
        <f t="shared" si="149"/>
        <v>4</v>
      </c>
      <c r="BD288" s="4">
        <f t="shared" si="150"/>
        <v>2</v>
      </c>
      <c r="BE288" s="4" t="str">
        <f t="shared" si="151"/>
        <v>0</v>
      </c>
      <c r="BF288" s="4">
        <f t="shared" si="152"/>
        <v>2</v>
      </c>
      <c r="BG288" s="4">
        <f t="shared" si="153"/>
        <v>4</v>
      </c>
      <c r="BH288" s="4">
        <f t="shared" si="154"/>
        <v>4</v>
      </c>
      <c r="BI288" s="4">
        <f t="shared" si="155"/>
        <v>4</v>
      </c>
      <c r="BJ288" s="4" t="str">
        <f t="shared" si="156"/>
        <v>0</v>
      </c>
      <c r="BK288" s="4">
        <f t="shared" si="157"/>
        <v>4</v>
      </c>
      <c r="BL288" s="4">
        <f t="shared" si="158"/>
        <v>2</v>
      </c>
      <c r="BM288" s="4">
        <f t="shared" si="159"/>
        <v>4</v>
      </c>
      <c r="BN288" s="4">
        <f t="shared" si="160"/>
        <v>4</v>
      </c>
      <c r="BO288" s="4">
        <f t="shared" si="161"/>
        <v>4</v>
      </c>
      <c r="BP288" s="4">
        <f t="shared" si="162"/>
        <v>4</v>
      </c>
      <c r="BQ288" s="4">
        <f t="shared" si="163"/>
        <v>6</v>
      </c>
      <c r="BR288" s="4">
        <f t="shared" si="164"/>
        <v>4</v>
      </c>
      <c r="BS288" s="4">
        <f t="shared" si="165"/>
        <v>4</v>
      </c>
      <c r="BT288" s="4">
        <f t="shared" si="166"/>
        <v>4</v>
      </c>
      <c r="BU288" s="4">
        <f t="shared" si="167"/>
        <v>4</v>
      </c>
      <c r="BV288" s="4" t="str">
        <f t="shared" si="168"/>
        <v>0</v>
      </c>
      <c r="BW288" s="4">
        <f t="shared" si="169"/>
        <v>6</v>
      </c>
      <c r="BX288" s="4">
        <f t="shared" si="170"/>
        <v>0</v>
      </c>
      <c r="BY288" s="4">
        <f t="shared" si="171"/>
        <v>0</v>
      </c>
      <c r="BZ288" s="37">
        <f t="shared" si="172"/>
        <v>94</v>
      </c>
      <c r="CA288" s="32" t="str">
        <f>VLOOKUP(J:J,'Agent wise'!A:C,3,0)</f>
        <v>Shakeer</v>
      </c>
      <c r="CB288" s="32">
        <f t="shared" si="173"/>
        <v>45935</v>
      </c>
      <c r="CC288" t="str">
        <f t="shared" si="174"/>
        <v>Good</v>
      </c>
      <c r="CE288" s="32"/>
      <c r="CJ288">
        <f t="shared" si="175"/>
        <v>5</v>
      </c>
      <c r="CK288">
        <f t="shared" si="176"/>
        <v>10</v>
      </c>
      <c r="CL288">
        <f t="shared" si="177"/>
        <v>2025</v>
      </c>
    </row>
    <row r="289" spans="1:90" ht="15" customHeight="1" x14ac:dyDescent="0.35">
      <c r="A289" s="40">
        <v>45787.95480324074</v>
      </c>
      <c r="B289" t="s">
        <v>130</v>
      </c>
      <c r="C289" t="s">
        <v>214</v>
      </c>
      <c r="D289" t="s">
        <v>131</v>
      </c>
      <c r="E289" s="32">
        <v>45935</v>
      </c>
      <c r="F289" t="s">
        <v>54</v>
      </c>
      <c r="G289" s="2">
        <v>45787</v>
      </c>
      <c r="H289">
        <v>9962014302</v>
      </c>
      <c r="I289">
        <v>131</v>
      </c>
      <c r="J289" t="s">
        <v>533</v>
      </c>
      <c r="K289" t="s">
        <v>71</v>
      </c>
      <c r="L289" t="s">
        <v>72</v>
      </c>
      <c r="M289" t="s">
        <v>59</v>
      </c>
      <c r="N289" t="s">
        <v>59</v>
      </c>
      <c r="O289" t="s">
        <v>59</v>
      </c>
      <c r="P289" t="s">
        <v>59</v>
      </c>
      <c r="Q289" t="s">
        <v>59</v>
      </c>
      <c r="R289" t="s">
        <v>59</v>
      </c>
      <c r="S289" t="s">
        <v>59</v>
      </c>
      <c r="T289" t="s">
        <v>59</v>
      </c>
      <c r="U289" t="s">
        <v>60</v>
      </c>
      <c r="V289" t="s">
        <v>59</v>
      </c>
      <c r="W289" t="s">
        <v>59</v>
      </c>
      <c r="X289" t="s">
        <v>59</v>
      </c>
      <c r="Y289" t="s">
        <v>59</v>
      </c>
      <c r="Z289" t="s">
        <v>59</v>
      </c>
      <c r="AA289" t="s">
        <v>59</v>
      </c>
      <c r="AB289" t="s">
        <v>59</v>
      </c>
      <c r="AC289" t="s">
        <v>59</v>
      </c>
      <c r="AD289" t="s">
        <v>59</v>
      </c>
      <c r="AE289" t="s">
        <v>59</v>
      </c>
      <c r="AF289" t="s">
        <v>61</v>
      </c>
      <c r="AG289" t="s">
        <v>59</v>
      </c>
      <c r="AH289" t="s">
        <v>61</v>
      </c>
      <c r="AI289" t="s">
        <v>61</v>
      </c>
      <c r="AJ289" t="s">
        <v>59</v>
      </c>
      <c r="AK289" t="s">
        <v>59</v>
      </c>
      <c r="AL289" t="s">
        <v>60</v>
      </c>
      <c r="AM289" t="s">
        <v>59</v>
      </c>
      <c r="AN289" t="s">
        <v>59</v>
      </c>
      <c r="AO289" t="s">
        <v>59</v>
      </c>
      <c r="AP289" t="s">
        <v>840</v>
      </c>
      <c r="AQ289" s="1" t="s">
        <v>407</v>
      </c>
      <c r="AR289" t="s">
        <v>64</v>
      </c>
      <c r="AS289" t="s">
        <v>198</v>
      </c>
      <c r="AT289" t="s">
        <v>199</v>
      </c>
      <c r="AU289" t="s">
        <v>219</v>
      </c>
      <c r="AW289" s="4">
        <f t="shared" si="143"/>
        <v>6</v>
      </c>
      <c r="AX289" s="4">
        <f t="shared" si="144"/>
        <v>4</v>
      </c>
      <c r="AY289" s="4">
        <f t="shared" si="145"/>
        <v>4</v>
      </c>
      <c r="AZ289" s="4">
        <f t="shared" si="146"/>
        <v>2</v>
      </c>
      <c r="BA289" s="4">
        <f t="shared" si="147"/>
        <v>4</v>
      </c>
      <c r="BB289" s="4">
        <f t="shared" si="148"/>
        <v>4</v>
      </c>
      <c r="BC289" s="4">
        <f t="shared" si="149"/>
        <v>4</v>
      </c>
      <c r="BD289" s="4">
        <f t="shared" si="150"/>
        <v>2</v>
      </c>
      <c r="BE289" s="4" t="str">
        <f t="shared" si="151"/>
        <v>0</v>
      </c>
      <c r="BF289" s="4">
        <f t="shared" si="152"/>
        <v>2</v>
      </c>
      <c r="BG289" s="4">
        <f t="shared" si="153"/>
        <v>4</v>
      </c>
      <c r="BH289" s="4">
        <f t="shared" si="154"/>
        <v>4</v>
      </c>
      <c r="BI289" s="4">
        <f t="shared" si="155"/>
        <v>4</v>
      </c>
      <c r="BJ289" s="4">
        <f t="shared" si="156"/>
        <v>2</v>
      </c>
      <c r="BK289" s="4">
        <f t="shared" si="157"/>
        <v>4</v>
      </c>
      <c r="BL289" s="4">
        <f t="shared" si="158"/>
        <v>2</v>
      </c>
      <c r="BM289" s="4">
        <f t="shared" si="159"/>
        <v>4</v>
      </c>
      <c r="BN289" s="4">
        <f t="shared" si="160"/>
        <v>4</v>
      </c>
      <c r="BO289" s="4">
        <f t="shared" si="161"/>
        <v>4</v>
      </c>
      <c r="BP289" s="4">
        <f t="shared" si="162"/>
        <v>4</v>
      </c>
      <c r="BQ289" s="4">
        <f t="shared" si="163"/>
        <v>6</v>
      </c>
      <c r="BR289" s="4">
        <f t="shared" si="164"/>
        <v>4</v>
      </c>
      <c r="BS289" s="4">
        <f t="shared" si="165"/>
        <v>4</v>
      </c>
      <c r="BT289" s="4">
        <f t="shared" si="166"/>
        <v>4</v>
      </c>
      <c r="BU289" s="4">
        <f t="shared" si="167"/>
        <v>4</v>
      </c>
      <c r="BV289" s="4" t="str">
        <f t="shared" si="168"/>
        <v>0</v>
      </c>
      <c r="BW289" s="4">
        <f t="shared" si="169"/>
        <v>6</v>
      </c>
      <c r="BX289" s="4">
        <f t="shared" si="170"/>
        <v>0</v>
      </c>
      <c r="BY289" s="4">
        <f t="shared" si="171"/>
        <v>0</v>
      </c>
      <c r="BZ289" s="37">
        <f t="shared" si="172"/>
        <v>96</v>
      </c>
      <c r="CA289" s="32" t="str">
        <f>VLOOKUP(J:J,'Agent wise'!A:C,3,0)</f>
        <v xml:space="preserve">Shiny </v>
      </c>
      <c r="CB289" s="32">
        <f t="shared" si="173"/>
        <v>45935</v>
      </c>
      <c r="CC289" t="str">
        <f t="shared" si="174"/>
        <v>Excellent</v>
      </c>
      <c r="CE289" s="32"/>
      <c r="CJ289">
        <f t="shared" si="175"/>
        <v>5</v>
      </c>
      <c r="CK289">
        <f t="shared" si="176"/>
        <v>10</v>
      </c>
      <c r="CL289">
        <f t="shared" si="177"/>
        <v>2025</v>
      </c>
    </row>
    <row r="290" spans="1:90" ht="15" customHeight="1" x14ac:dyDescent="0.35">
      <c r="A290" s="40">
        <v>45787.957094907397</v>
      </c>
      <c r="B290" t="s">
        <v>130</v>
      </c>
      <c r="C290" t="s">
        <v>214</v>
      </c>
      <c r="D290" t="s">
        <v>131</v>
      </c>
      <c r="E290" s="32">
        <v>45935</v>
      </c>
      <c r="F290" t="s">
        <v>54</v>
      </c>
      <c r="G290" s="2">
        <v>45787</v>
      </c>
      <c r="H290">
        <v>9171295837</v>
      </c>
      <c r="I290">
        <v>135</v>
      </c>
      <c r="J290" t="s">
        <v>451</v>
      </c>
      <c r="K290" t="s">
        <v>71</v>
      </c>
      <c r="L290" t="s">
        <v>72</v>
      </c>
      <c r="M290" t="s">
        <v>59</v>
      </c>
      <c r="N290" t="s">
        <v>59</v>
      </c>
      <c r="O290" t="s">
        <v>59</v>
      </c>
      <c r="P290" t="s">
        <v>59</v>
      </c>
      <c r="Q290" t="s">
        <v>59</v>
      </c>
      <c r="R290" t="s">
        <v>59</v>
      </c>
      <c r="S290" t="s">
        <v>59</v>
      </c>
      <c r="T290" t="s">
        <v>59</v>
      </c>
      <c r="U290" t="s">
        <v>60</v>
      </c>
      <c r="V290" t="s">
        <v>59</v>
      </c>
      <c r="W290" t="s">
        <v>59</v>
      </c>
      <c r="X290" t="s">
        <v>59</v>
      </c>
      <c r="Y290" t="s">
        <v>59</v>
      </c>
      <c r="Z290" t="s">
        <v>59</v>
      </c>
      <c r="AA290" t="s">
        <v>59</v>
      </c>
      <c r="AB290" t="s">
        <v>59</v>
      </c>
      <c r="AC290" t="s">
        <v>61</v>
      </c>
      <c r="AD290" t="s">
        <v>59</v>
      </c>
      <c r="AE290" t="s">
        <v>59</v>
      </c>
      <c r="AF290" t="s">
        <v>61</v>
      </c>
      <c r="AG290" t="s">
        <v>60</v>
      </c>
      <c r="AH290" t="s">
        <v>61</v>
      </c>
      <c r="AI290" t="s">
        <v>61</v>
      </c>
      <c r="AJ290" t="s">
        <v>59</v>
      </c>
      <c r="AK290" t="s">
        <v>59</v>
      </c>
      <c r="AL290" t="s">
        <v>60</v>
      </c>
      <c r="AM290" t="s">
        <v>59</v>
      </c>
      <c r="AN290" t="s">
        <v>59</v>
      </c>
      <c r="AO290" t="s">
        <v>59</v>
      </c>
      <c r="AP290" t="s">
        <v>841</v>
      </c>
      <c r="AQ290" s="1" t="s">
        <v>161</v>
      </c>
      <c r="AR290" t="s">
        <v>64</v>
      </c>
      <c r="AS290" t="s">
        <v>135</v>
      </c>
      <c r="AT290" t="s">
        <v>194</v>
      </c>
      <c r="AU290" t="s">
        <v>219</v>
      </c>
      <c r="AW290" s="4">
        <f t="shared" si="143"/>
        <v>6</v>
      </c>
      <c r="AX290" s="4">
        <f t="shared" si="144"/>
        <v>4</v>
      </c>
      <c r="AY290" s="4">
        <f t="shared" si="145"/>
        <v>4</v>
      </c>
      <c r="AZ290" s="4">
        <f t="shared" si="146"/>
        <v>2</v>
      </c>
      <c r="BA290" s="4">
        <f t="shared" si="147"/>
        <v>4</v>
      </c>
      <c r="BB290" s="4">
        <f t="shared" si="148"/>
        <v>4</v>
      </c>
      <c r="BC290" s="4">
        <f t="shared" si="149"/>
        <v>4</v>
      </c>
      <c r="BD290" s="4">
        <f t="shared" si="150"/>
        <v>2</v>
      </c>
      <c r="BE290" s="4" t="str">
        <f t="shared" si="151"/>
        <v>0</v>
      </c>
      <c r="BF290" s="4">
        <f t="shared" si="152"/>
        <v>2</v>
      </c>
      <c r="BG290" s="4">
        <f t="shared" si="153"/>
        <v>4</v>
      </c>
      <c r="BH290" s="4">
        <f t="shared" si="154"/>
        <v>4</v>
      </c>
      <c r="BI290" s="4">
        <f t="shared" si="155"/>
        <v>4</v>
      </c>
      <c r="BJ290" s="4">
        <f t="shared" si="156"/>
        <v>2</v>
      </c>
      <c r="BK290" s="4">
        <f t="shared" si="157"/>
        <v>4</v>
      </c>
      <c r="BL290" s="4">
        <f t="shared" si="158"/>
        <v>2</v>
      </c>
      <c r="BM290" s="4">
        <f t="shared" si="159"/>
        <v>4</v>
      </c>
      <c r="BN290" s="4">
        <f t="shared" si="160"/>
        <v>4</v>
      </c>
      <c r="BO290" s="4">
        <f t="shared" si="161"/>
        <v>4</v>
      </c>
      <c r="BP290" s="4">
        <f t="shared" si="162"/>
        <v>4</v>
      </c>
      <c r="BQ290" s="4" t="str">
        <f t="shared" si="163"/>
        <v>0</v>
      </c>
      <c r="BR290" s="4">
        <f t="shared" si="164"/>
        <v>4</v>
      </c>
      <c r="BS290" s="4">
        <f t="shared" si="165"/>
        <v>4</v>
      </c>
      <c r="BT290" s="4">
        <f t="shared" si="166"/>
        <v>4</v>
      </c>
      <c r="BU290" s="4">
        <f t="shared" si="167"/>
        <v>4</v>
      </c>
      <c r="BV290" s="4" t="str">
        <f t="shared" si="168"/>
        <v>0</v>
      </c>
      <c r="BW290" s="4">
        <f t="shared" si="169"/>
        <v>6</v>
      </c>
      <c r="BX290" s="4">
        <f t="shared" si="170"/>
        <v>0</v>
      </c>
      <c r="BY290" s="4">
        <f t="shared" si="171"/>
        <v>0</v>
      </c>
      <c r="BZ290" s="37">
        <f t="shared" si="172"/>
        <v>90</v>
      </c>
      <c r="CA290" s="32" t="str">
        <f>VLOOKUP(J:J,'Agent wise'!A:C,3,0)</f>
        <v xml:space="preserve">Shiny </v>
      </c>
      <c r="CB290" s="32">
        <f t="shared" si="173"/>
        <v>45935</v>
      </c>
      <c r="CC290" t="str">
        <f t="shared" si="174"/>
        <v>Good</v>
      </c>
      <c r="CE290" s="32"/>
      <c r="CJ290">
        <f t="shared" si="175"/>
        <v>5</v>
      </c>
      <c r="CK290">
        <f t="shared" si="176"/>
        <v>10</v>
      </c>
      <c r="CL290">
        <f t="shared" si="177"/>
        <v>2025</v>
      </c>
    </row>
    <row r="291" spans="1:90" ht="15" customHeight="1" x14ac:dyDescent="0.35">
      <c r="A291" s="40">
        <v>45787.960231481477</v>
      </c>
      <c r="B291" t="s">
        <v>130</v>
      </c>
      <c r="C291" t="s">
        <v>214</v>
      </c>
      <c r="D291" t="s">
        <v>131</v>
      </c>
      <c r="E291" s="32">
        <v>45935</v>
      </c>
      <c r="F291" t="s">
        <v>54</v>
      </c>
      <c r="G291" s="2">
        <v>45787</v>
      </c>
      <c r="H291">
        <v>6282130913</v>
      </c>
      <c r="I291">
        <v>136</v>
      </c>
      <c r="J291" t="s">
        <v>204</v>
      </c>
      <c r="K291" t="s">
        <v>57</v>
      </c>
      <c r="L291" t="s">
        <v>58</v>
      </c>
      <c r="M291" t="s">
        <v>59</v>
      </c>
      <c r="N291" t="s">
        <v>59</v>
      </c>
      <c r="O291" t="s">
        <v>59</v>
      </c>
      <c r="P291" t="s">
        <v>59</v>
      </c>
      <c r="Q291" t="s">
        <v>59</v>
      </c>
      <c r="R291" t="s">
        <v>59</v>
      </c>
      <c r="S291" t="s">
        <v>59</v>
      </c>
      <c r="T291" t="s">
        <v>59</v>
      </c>
      <c r="U291" t="s">
        <v>59</v>
      </c>
      <c r="V291" t="s">
        <v>59</v>
      </c>
      <c r="W291" t="s">
        <v>59</v>
      </c>
      <c r="X291" t="s">
        <v>59</v>
      </c>
      <c r="Y291" t="s">
        <v>59</v>
      </c>
      <c r="Z291" t="s">
        <v>59</v>
      </c>
      <c r="AA291" t="s">
        <v>59</v>
      </c>
      <c r="AB291" t="s">
        <v>59</v>
      </c>
      <c r="AC291" t="s">
        <v>59</v>
      </c>
      <c r="AD291" t="s">
        <v>59</v>
      </c>
      <c r="AE291" t="s">
        <v>59</v>
      </c>
      <c r="AF291" t="s">
        <v>61</v>
      </c>
      <c r="AG291" t="s">
        <v>59</v>
      </c>
      <c r="AH291" t="s">
        <v>61</v>
      </c>
      <c r="AI291" t="s">
        <v>61</v>
      </c>
      <c r="AJ291" t="s">
        <v>59</v>
      </c>
      <c r="AK291" t="s">
        <v>59</v>
      </c>
      <c r="AL291" t="s">
        <v>59</v>
      </c>
      <c r="AM291" t="s">
        <v>59</v>
      </c>
      <c r="AN291" t="s">
        <v>59</v>
      </c>
      <c r="AO291" t="s">
        <v>59</v>
      </c>
      <c r="AP291" t="s">
        <v>270</v>
      </c>
      <c r="AQ291" s="1" t="s">
        <v>842</v>
      </c>
      <c r="AR291" t="s">
        <v>64</v>
      </c>
      <c r="AS291" t="s">
        <v>89</v>
      </c>
      <c r="AT291" t="s">
        <v>84</v>
      </c>
      <c r="AU291" t="s">
        <v>219</v>
      </c>
      <c r="AW291" s="4">
        <f t="shared" si="143"/>
        <v>6</v>
      </c>
      <c r="AX291" s="4">
        <f t="shared" si="144"/>
        <v>4</v>
      </c>
      <c r="AY291" s="4">
        <f t="shared" si="145"/>
        <v>4</v>
      </c>
      <c r="AZ291" s="4">
        <f t="shared" si="146"/>
        <v>2</v>
      </c>
      <c r="BA291" s="4">
        <f t="shared" si="147"/>
        <v>4</v>
      </c>
      <c r="BB291" s="4">
        <f t="shared" si="148"/>
        <v>4</v>
      </c>
      <c r="BC291" s="4">
        <f t="shared" si="149"/>
        <v>4</v>
      </c>
      <c r="BD291" s="4">
        <f t="shared" si="150"/>
        <v>2</v>
      </c>
      <c r="BE291" s="4">
        <f t="shared" si="151"/>
        <v>4</v>
      </c>
      <c r="BF291" s="4">
        <f t="shared" si="152"/>
        <v>2</v>
      </c>
      <c r="BG291" s="4">
        <f t="shared" si="153"/>
        <v>4</v>
      </c>
      <c r="BH291" s="4">
        <f t="shared" si="154"/>
        <v>4</v>
      </c>
      <c r="BI291" s="4">
        <f t="shared" si="155"/>
        <v>4</v>
      </c>
      <c r="BJ291" s="4">
        <f t="shared" si="156"/>
        <v>2</v>
      </c>
      <c r="BK291" s="4">
        <f t="shared" si="157"/>
        <v>4</v>
      </c>
      <c r="BL291" s="4">
        <f t="shared" si="158"/>
        <v>2</v>
      </c>
      <c r="BM291" s="4">
        <f t="shared" si="159"/>
        <v>4</v>
      </c>
      <c r="BN291" s="4">
        <f t="shared" si="160"/>
        <v>4</v>
      </c>
      <c r="BO291" s="4">
        <f t="shared" si="161"/>
        <v>4</v>
      </c>
      <c r="BP291" s="4">
        <f t="shared" si="162"/>
        <v>4</v>
      </c>
      <c r="BQ291" s="4">
        <f t="shared" si="163"/>
        <v>6</v>
      </c>
      <c r="BR291" s="4">
        <f t="shared" si="164"/>
        <v>4</v>
      </c>
      <c r="BS291" s="4">
        <f t="shared" si="165"/>
        <v>4</v>
      </c>
      <c r="BT291" s="4">
        <f t="shared" si="166"/>
        <v>4</v>
      </c>
      <c r="BU291" s="4">
        <f t="shared" si="167"/>
        <v>4</v>
      </c>
      <c r="BV291" s="4">
        <f t="shared" si="168"/>
        <v>0</v>
      </c>
      <c r="BW291" s="4">
        <f t="shared" si="169"/>
        <v>6</v>
      </c>
      <c r="BX291" s="4">
        <f t="shared" si="170"/>
        <v>0</v>
      </c>
      <c r="BY291" s="4">
        <f t="shared" si="171"/>
        <v>0</v>
      </c>
      <c r="BZ291" s="37">
        <f t="shared" si="172"/>
        <v>100</v>
      </c>
      <c r="CA291" s="32" t="str">
        <f>VLOOKUP(J:J,'Agent wise'!A:C,3,0)</f>
        <v xml:space="preserve">Shiny </v>
      </c>
      <c r="CB291" s="32">
        <f t="shared" si="173"/>
        <v>45935</v>
      </c>
      <c r="CC291" t="str">
        <f t="shared" si="174"/>
        <v>Excellent</v>
      </c>
      <c r="CE291" s="32"/>
      <c r="CJ291">
        <f t="shared" si="175"/>
        <v>5</v>
      </c>
      <c r="CK291">
        <f t="shared" si="176"/>
        <v>10</v>
      </c>
      <c r="CL291">
        <f t="shared" si="177"/>
        <v>2025</v>
      </c>
    </row>
    <row r="292" spans="1:90" ht="15" customHeight="1" x14ac:dyDescent="0.35">
      <c r="A292" s="40">
        <v>45787.965138888889</v>
      </c>
      <c r="B292" t="s">
        <v>130</v>
      </c>
      <c r="C292" t="s">
        <v>214</v>
      </c>
      <c r="D292" t="s">
        <v>131</v>
      </c>
      <c r="E292" s="32">
        <v>45935</v>
      </c>
      <c r="F292" t="s">
        <v>54</v>
      </c>
      <c r="G292" s="2">
        <v>45787</v>
      </c>
      <c r="H292">
        <v>9488781704</v>
      </c>
      <c r="I292">
        <v>126</v>
      </c>
      <c r="J292" t="s">
        <v>662</v>
      </c>
      <c r="K292" t="s">
        <v>71</v>
      </c>
      <c r="L292" t="s">
        <v>72</v>
      </c>
      <c r="M292" t="s">
        <v>59</v>
      </c>
      <c r="N292" t="s">
        <v>59</v>
      </c>
      <c r="O292" t="s">
        <v>59</v>
      </c>
      <c r="P292" t="s">
        <v>59</v>
      </c>
      <c r="Q292" t="s">
        <v>59</v>
      </c>
      <c r="R292" t="s">
        <v>59</v>
      </c>
      <c r="S292" t="s">
        <v>59</v>
      </c>
      <c r="T292" t="s">
        <v>59</v>
      </c>
      <c r="U292" t="s">
        <v>60</v>
      </c>
      <c r="V292" t="s">
        <v>59</v>
      </c>
      <c r="W292" t="s">
        <v>59</v>
      </c>
      <c r="X292" t="s">
        <v>59</v>
      </c>
      <c r="Y292" t="s">
        <v>59</v>
      </c>
      <c r="Z292" t="s">
        <v>59</v>
      </c>
      <c r="AA292" t="s">
        <v>59</v>
      </c>
      <c r="AB292" t="s">
        <v>61</v>
      </c>
      <c r="AC292" t="s">
        <v>60</v>
      </c>
      <c r="AD292" t="s">
        <v>59</v>
      </c>
      <c r="AE292" t="s">
        <v>60</v>
      </c>
      <c r="AF292" t="s">
        <v>61</v>
      </c>
      <c r="AG292" t="s">
        <v>59</v>
      </c>
      <c r="AH292" t="s">
        <v>61</v>
      </c>
      <c r="AI292" t="s">
        <v>61</v>
      </c>
      <c r="AJ292" t="s">
        <v>59</v>
      </c>
      <c r="AK292" t="s">
        <v>59</v>
      </c>
      <c r="AL292" t="s">
        <v>60</v>
      </c>
      <c r="AM292" t="s">
        <v>59</v>
      </c>
      <c r="AN292" t="s">
        <v>59</v>
      </c>
      <c r="AO292" t="s">
        <v>59</v>
      </c>
      <c r="AP292" t="s">
        <v>843</v>
      </c>
      <c r="AQ292" s="1" t="s">
        <v>844</v>
      </c>
      <c r="AR292" t="s">
        <v>64</v>
      </c>
      <c r="AS292" t="s">
        <v>845</v>
      </c>
      <c r="AT292" t="s">
        <v>846</v>
      </c>
      <c r="AU292" t="s">
        <v>219</v>
      </c>
      <c r="AW292" s="4">
        <f t="shared" si="143"/>
        <v>6</v>
      </c>
      <c r="AX292" s="4">
        <f t="shared" si="144"/>
        <v>4</v>
      </c>
      <c r="AY292" s="4">
        <f t="shared" si="145"/>
        <v>4</v>
      </c>
      <c r="AZ292" s="4">
        <f t="shared" si="146"/>
        <v>2</v>
      </c>
      <c r="BA292" s="4">
        <f t="shared" si="147"/>
        <v>4</v>
      </c>
      <c r="BB292" s="4">
        <f t="shared" si="148"/>
        <v>4</v>
      </c>
      <c r="BC292" s="4">
        <f t="shared" si="149"/>
        <v>4</v>
      </c>
      <c r="BD292" s="4">
        <f t="shared" si="150"/>
        <v>2</v>
      </c>
      <c r="BE292" s="4" t="str">
        <f t="shared" si="151"/>
        <v>0</v>
      </c>
      <c r="BF292" s="4">
        <f t="shared" si="152"/>
        <v>2</v>
      </c>
      <c r="BG292" s="4">
        <f t="shared" si="153"/>
        <v>4</v>
      </c>
      <c r="BH292" s="4">
        <f t="shared" si="154"/>
        <v>4</v>
      </c>
      <c r="BI292" s="4">
        <f t="shared" si="155"/>
        <v>4</v>
      </c>
      <c r="BJ292" s="4">
        <f t="shared" si="156"/>
        <v>2</v>
      </c>
      <c r="BK292" s="4">
        <f t="shared" si="157"/>
        <v>4</v>
      </c>
      <c r="BL292" s="4">
        <f t="shared" si="158"/>
        <v>2</v>
      </c>
      <c r="BM292" s="4" t="str">
        <f t="shared" si="159"/>
        <v>0</v>
      </c>
      <c r="BN292" s="4">
        <f t="shared" si="160"/>
        <v>4</v>
      </c>
      <c r="BO292" s="4" t="str">
        <f t="shared" si="161"/>
        <v>0</v>
      </c>
      <c r="BP292" s="4">
        <f t="shared" si="162"/>
        <v>4</v>
      </c>
      <c r="BQ292" s="4">
        <f t="shared" si="163"/>
        <v>6</v>
      </c>
      <c r="BR292" s="4">
        <f t="shared" si="164"/>
        <v>4</v>
      </c>
      <c r="BS292" s="4">
        <f t="shared" si="165"/>
        <v>4</v>
      </c>
      <c r="BT292" s="4">
        <f t="shared" si="166"/>
        <v>4</v>
      </c>
      <c r="BU292" s="4">
        <f t="shared" si="167"/>
        <v>4</v>
      </c>
      <c r="BV292" s="4" t="str">
        <f t="shared" si="168"/>
        <v>0</v>
      </c>
      <c r="BW292" s="4">
        <f t="shared" si="169"/>
        <v>6</v>
      </c>
      <c r="BX292" s="4">
        <f t="shared" si="170"/>
        <v>0</v>
      </c>
      <c r="BY292" s="4">
        <f t="shared" si="171"/>
        <v>0</v>
      </c>
      <c r="BZ292" s="37">
        <f t="shared" si="172"/>
        <v>88</v>
      </c>
      <c r="CA292" s="32" t="str">
        <f>VLOOKUP(J:J,'Agent wise'!A:C,3,0)</f>
        <v xml:space="preserve">Shiny </v>
      </c>
      <c r="CB292" s="32">
        <f t="shared" si="173"/>
        <v>45935</v>
      </c>
      <c r="CC292" t="str">
        <f t="shared" si="174"/>
        <v>Average</v>
      </c>
      <c r="CE292" s="32"/>
      <c r="CJ292">
        <f t="shared" si="175"/>
        <v>5</v>
      </c>
      <c r="CK292">
        <f t="shared" si="176"/>
        <v>10</v>
      </c>
      <c r="CL292">
        <f t="shared" si="177"/>
        <v>2025</v>
      </c>
    </row>
    <row r="293" spans="1:90" ht="15" customHeight="1" x14ac:dyDescent="0.35">
      <c r="A293" s="40">
        <v>45787.967951388891</v>
      </c>
      <c r="B293" t="s">
        <v>130</v>
      </c>
      <c r="C293" t="s">
        <v>214</v>
      </c>
      <c r="D293" t="s">
        <v>131</v>
      </c>
      <c r="E293" s="32">
        <v>45935</v>
      </c>
      <c r="F293" t="s">
        <v>54</v>
      </c>
      <c r="G293" s="2">
        <v>45787</v>
      </c>
      <c r="H293">
        <v>9895846009</v>
      </c>
      <c r="I293">
        <v>131</v>
      </c>
      <c r="J293" t="s">
        <v>559</v>
      </c>
      <c r="K293" t="s">
        <v>57</v>
      </c>
      <c r="L293" t="s">
        <v>58</v>
      </c>
      <c r="M293" t="s">
        <v>59</v>
      </c>
      <c r="N293" t="s">
        <v>59</v>
      </c>
      <c r="O293" t="s">
        <v>59</v>
      </c>
      <c r="P293" t="s">
        <v>59</v>
      </c>
      <c r="Q293" t="s">
        <v>59</v>
      </c>
      <c r="R293" t="s">
        <v>59</v>
      </c>
      <c r="S293" t="s">
        <v>59</v>
      </c>
      <c r="T293" t="s">
        <v>59</v>
      </c>
      <c r="U293" t="s">
        <v>60</v>
      </c>
      <c r="V293" t="s">
        <v>59</v>
      </c>
      <c r="W293" t="s">
        <v>59</v>
      </c>
      <c r="X293" t="s">
        <v>59</v>
      </c>
      <c r="Y293" t="s">
        <v>59</v>
      </c>
      <c r="Z293" t="s">
        <v>59</v>
      </c>
      <c r="AA293" t="s">
        <v>60</v>
      </c>
      <c r="AB293" t="s">
        <v>60</v>
      </c>
      <c r="AC293" t="s">
        <v>61</v>
      </c>
      <c r="AD293" t="s">
        <v>59</v>
      </c>
      <c r="AE293" t="s">
        <v>59</v>
      </c>
      <c r="AF293" t="s">
        <v>61</v>
      </c>
      <c r="AG293" t="s">
        <v>60</v>
      </c>
      <c r="AH293" t="s">
        <v>61</v>
      </c>
      <c r="AI293" t="s">
        <v>61</v>
      </c>
      <c r="AJ293" t="s">
        <v>59</v>
      </c>
      <c r="AK293" t="s">
        <v>59</v>
      </c>
      <c r="AL293" t="s">
        <v>60</v>
      </c>
      <c r="AM293" t="s">
        <v>59</v>
      </c>
      <c r="AN293" t="s">
        <v>59</v>
      </c>
      <c r="AO293" t="s">
        <v>59</v>
      </c>
      <c r="AP293" t="s">
        <v>847</v>
      </c>
      <c r="AQ293" s="1" t="s">
        <v>848</v>
      </c>
      <c r="AR293" t="s">
        <v>64</v>
      </c>
      <c r="AS293" t="s">
        <v>272</v>
      </c>
      <c r="AT293" t="s">
        <v>849</v>
      </c>
      <c r="AU293" t="s">
        <v>593</v>
      </c>
      <c r="AW293" s="4">
        <f t="shared" si="143"/>
        <v>6</v>
      </c>
      <c r="AX293" s="4">
        <f t="shared" si="144"/>
        <v>4</v>
      </c>
      <c r="AY293" s="4">
        <f t="shared" si="145"/>
        <v>4</v>
      </c>
      <c r="AZ293" s="4">
        <f t="shared" si="146"/>
        <v>2</v>
      </c>
      <c r="BA293" s="4">
        <f t="shared" si="147"/>
        <v>4</v>
      </c>
      <c r="BB293" s="4">
        <f t="shared" si="148"/>
        <v>4</v>
      </c>
      <c r="BC293" s="4">
        <f t="shared" si="149"/>
        <v>4</v>
      </c>
      <c r="BD293" s="4">
        <f t="shared" si="150"/>
        <v>2</v>
      </c>
      <c r="BE293" s="4" t="str">
        <f t="shared" si="151"/>
        <v>0</v>
      </c>
      <c r="BF293" s="4">
        <f t="shared" si="152"/>
        <v>2</v>
      </c>
      <c r="BG293" s="4">
        <f t="shared" si="153"/>
        <v>4</v>
      </c>
      <c r="BH293" s="4">
        <f t="shared" si="154"/>
        <v>4</v>
      </c>
      <c r="BI293" s="4">
        <f t="shared" si="155"/>
        <v>4</v>
      </c>
      <c r="BJ293" s="4">
        <f t="shared" si="156"/>
        <v>2</v>
      </c>
      <c r="BK293" s="4" t="str">
        <f t="shared" si="157"/>
        <v>0</v>
      </c>
      <c r="BL293" s="4" t="str">
        <f t="shared" si="158"/>
        <v>0</v>
      </c>
      <c r="BM293" s="4">
        <f t="shared" si="159"/>
        <v>4</v>
      </c>
      <c r="BN293" s="4">
        <f t="shared" si="160"/>
        <v>4</v>
      </c>
      <c r="BO293" s="4">
        <f t="shared" si="161"/>
        <v>4</v>
      </c>
      <c r="BP293" s="4">
        <f t="shared" si="162"/>
        <v>4</v>
      </c>
      <c r="BQ293" s="4" t="str">
        <f t="shared" si="163"/>
        <v>0</v>
      </c>
      <c r="BR293" s="4">
        <f t="shared" si="164"/>
        <v>4</v>
      </c>
      <c r="BS293" s="4">
        <f t="shared" si="165"/>
        <v>4</v>
      </c>
      <c r="BT293" s="4">
        <f t="shared" si="166"/>
        <v>4</v>
      </c>
      <c r="BU293" s="4">
        <f t="shared" si="167"/>
        <v>4</v>
      </c>
      <c r="BV293" s="4" t="str">
        <f t="shared" si="168"/>
        <v>0</v>
      </c>
      <c r="BW293" s="4">
        <f t="shared" si="169"/>
        <v>6</v>
      </c>
      <c r="BX293" s="4">
        <f t="shared" si="170"/>
        <v>0</v>
      </c>
      <c r="BY293" s="4">
        <f t="shared" si="171"/>
        <v>0</v>
      </c>
      <c r="BZ293" s="37">
        <f t="shared" si="172"/>
        <v>84</v>
      </c>
      <c r="CA293" s="32" t="str">
        <f>VLOOKUP(J:J,'Agent wise'!A:C,3,0)</f>
        <v xml:space="preserve">Shiny </v>
      </c>
      <c r="CB293" s="32">
        <f t="shared" si="173"/>
        <v>45935</v>
      </c>
      <c r="CC293" t="str">
        <f t="shared" si="174"/>
        <v>FC</v>
      </c>
      <c r="CE293" s="32"/>
      <c r="CJ293">
        <f t="shared" si="175"/>
        <v>5</v>
      </c>
      <c r="CK293">
        <f t="shared" si="176"/>
        <v>10</v>
      </c>
      <c r="CL293">
        <f t="shared" si="177"/>
        <v>2025</v>
      </c>
    </row>
    <row r="294" spans="1:90" ht="15" customHeight="1" x14ac:dyDescent="0.35">
      <c r="A294" s="40">
        <v>45787.970486111109</v>
      </c>
      <c r="B294" t="s">
        <v>130</v>
      </c>
      <c r="C294" t="s">
        <v>214</v>
      </c>
      <c r="D294" t="s">
        <v>131</v>
      </c>
      <c r="E294" s="32">
        <v>45935</v>
      </c>
      <c r="F294" t="s">
        <v>54</v>
      </c>
      <c r="G294" s="2">
        <v>45787</v>
      </c>
      <c r="H294">
        <v>8301905731</v>
      </c>
      <c r="I294">
        <v>126</v>
      </c>
      <c r="J294" t="s">
        <v>144</v>
      </c>
      <c r="K294" t="s">
        <v>57</v>
      </c>
      <c r="L294" t="s">
        <v>58</v>
      </c>
      <c r="M294" t="s">
        <v>59</v>
      </c>
      <c r="N294" t="s">
        <v>59</v>
      </c>
      <c r="O294" t="s">
        <v>59</v>
      </c>
      <c r="P294" t="s">
        <v>59</v>
      </c>
      <c r="Q294" t="s">
        <v>59</v>
      </c>
      <c r="R294" t="s">
        <v>59</v>
      </c>
      <c r="S294" t="s">
        <v>59</v>
      </c>
      <c r="T294" t="s">
        <v>59</v>
      </c>
      <c r="U294" t="s">
        <v>60</v>
      </c>
      <c r="V294" t="s">
        <v>59</v>
      </c>
      <c r="W294" t="s">
        <v>59</v>
      </c>
      <c r="X294" t="s">
        <v>59</v>
      </c>
      <c r="Y294" t="s">
        <v>59</v>
      </c>
      <c r="Z294" t="s">
        <v>59</v>
      </c>
      <c r="AA294" t="s">
        <v>59</v>
      </c>
      <c r="AB294" t="s">
        <v>59</v>
      </c>
      <c r="AC294" t="s">
        <v>60</v>
      </c>
      <c r="AD294" t="s">
        <v>59</v>
      </c>
      <c r="AE294" t="s">
        <v>59</v>
      </c>
      <c r="AF294" t="s">
        <v>61</v>
      </c>
      <c r="AG294" t="s">
        <v>59</v>
      </c>
      <c r="AH294" t="s">
        <v>61</v>
      </c>
      <c r="AI294" t="s">
        <v>61</v>
      </c>
      <c r="AJ294" t="s">
        <v>59</v>
      </c>
      <c r="AK294" t="s">
        <v>59</v>
      </c>
      <c r="AL294" t="s">
        <v>60</v>
      </c>
      <c r="AM294" t="s">
        <v>59</v>
      </c>
      <c r="AN294" t="s">
        <v>59</v>
      </c>
      <c r="AO294" t="s">
        <v>59</v>
      </c>
      <c r="AP294" t="s">
        <v>850</v>
      </c>
      <c r="AQ294" s="1" t="s">
        <v>851</v>
      </c>
      <c r="AR294" t="s">
        <v>64</v>
      </c>
      <c r="AS294" t="s">
        <v>135</v>
      </c>
      <c r="AT294" t="s">
        <v>136</v>
      </c>
      <c r="AU294" t="s">
        <v>219</v>
      </c>
      <c r="AW294" s="4">
        <f t="shared" si="143"/>
        <v>6</v>
      </c>
      <c r="AX294" s="4">
        <f t="shared" si="144"/>
        <v>4</v>
      </c>
      <c r="AY294" s="4">
        <f t="shared" si="145"/>
        <v>4</v>
      </c>
      <c r="AZ294" s="4">
        <f t="shared" si="146"/>
        <v>2</v>
      </c>
      <c r="BA294" s="4">
        <f t="shared" si="147"/>
        <v>4</v>
      </c>
      <c r="BB294" s="4">
        <f t="shared" si="148"/>
        <v>4</v>
      </c>
      <c r="BC294" s="4">
        <f t="shared" si="149"/>
        <v>4</v>
      </c>
      <c r="BD294" s="4">
        <f t="shared" si="150"/>
        <v>2</v>
      </c>
      <c r="BE294" s="4" t="str">
        <f t="shared" si="151"/>
        <v>0</v>
      </c>
      <c r="BF294" s="4">
        <f t="shared" si="152"/>
        <v>2</v>
      </c>
      <c r="BG294" s="4">
        <f t="shared" si="153"/>
        <v>4</v>
      </c>
      <c r="BH294" s="4">
        <f t="shared" si="154"/>
        <v>4</v>
      </c>
      <c r="BI294" s="4">
        <f t="shared" si="155"/>
        <v>4</v>
      </c>
      <c r="BJ294" s="4">
        <f t="shared" si="156"/>
        <v>2</v>
      </c>
      <c r="BK294" s="4">
        <f t="shared" si="157"/>
        <v>4</v>
      </c>
      <c r="BL294" s="4">
        <f t="shared" si="158"/>
        <v>2</v>
      </c>
      <c r="BM294" s="4" t="str">
        <f t="shared" si="159"/>
        <v>0</v>
      </c>
      <c r="BN294" s="4">
        <f t="shared" si="160"/>
        <v>4</v>
      </c>
      <c r="BO294" s="4">
        <f t="shared" si="161"/>
        <v>4</v>
      </c>
      <c r="BP294" s="4">
        <f t="shared" si="162"/>
        <v>4</v>
      </c>
      <c r="BQ294" s="4">
        <f t="shared" si="163"/>
        <v>6</v>
      </c>
      <c r="BR294" s="4">
        <f t="shared" si="164"/>
        <v>4</v>
      </c>
      <c r="BS294" s="4">
        <f t="shared" si="165"/>
        <v>4</v>
      </c>
      <c r="BT294" s="4">
        <f t="shared" si="166"/>
        <v>4</v>
      </c>
      <c r="BU294" s="4">
        <f t="shared" si="167"/>
        <v>4</v>
      </c>
      <c r="BV294" s="4" t="str">
        <f t="shared" si="168"/>
        <v>0</v>
      </c>
      <c r="BW294" s="4">
        <f t="shared" si="169"/>
        <v>6</v>
      </c>
      <c r="BX294" s="4">
        <f t="shared" si="170"/>
        <v>0</v>
      </c>
      <c r="BY294" s="4">
        <f t="shared" si="171"/>
        <v>0</v>
      </c>
      <c r="BZ294" s="37">
        <f t="shared" si="172"/>
        <v>92</v>
      </c>
      <c r="CA294" s="32" t="str">
        <f>VLOOKUP(J:J,'Agent wise'!A:C,3,0)</f>
        <v xml:space="preserve">Shiny </v>
      </c>
      <c r="CB294" s="32">
        <f t="shared" si="173"/>
        <v>45935</v>
      </c>
      <c r="CC294" t="str">
        <f t="shared" si="174"/>
        <v>Good</v>
      </c>
      <c r="CE294" s="32"/>
      <c r="CJ294">
        <f t="shared" si="175"/>
        <v>5</v>
      </c>
      <c r="CK294">
        <f t="shared" si="176"/>
        <v>10</v>
      </c>
      <c r="CL294">
        <f t="shared" si="177"/>
        <v>2025</v>
      </c>
    </row>
    <row r="295" spans="1:90" ht="15" customHeight="1" x14ac:dyDescent="0.35">
      <c r="A295" s="40">
        <v>45787.972754629627</v>
      </c>
      <c r="B295" t="s">
        <v>130</v>
      </c>
      <c r="C295" t="s">
        <v>214</v>
      </c>
      <c r="D295" t="s">
        <v>131</v>
      </c>
      <c r="E295" s="32">
        <v>45935</v>
      </c>
      <c r="F295" t="s">
        <v>54</v>
      </c>
      <c r="G295" s="2">
        <v>45787</v>
      </c>
      <c r="H295">
        <v>9605102993</v>
      </c>
      <c r="I295">
        <v>131</v>
      </c>
      <c r="J295" t="s">
        <v>291</v>
      </c>
      <c r="K295" t="s">
        <v>57</v>
      </c>
      <c r="L295" t="s">
        <v>58</v>
      </c>
      <c r="M295" t="s">
        <v>59</v>
      </c>
      <c r="N295" t="s">
        <v>59</v>
      </c>
      <c r="O295" t="s">
        <v>59</v>
      </c>
      <c r="P295" t="s">
        <v>59</v>
      </c>
      <c r="Q295" t="s">
        <v>59</v>
      </c>
      <c r="R295" t="s">
        <v>59</v>
      </c>
      <c r="S295" t="s">
        <v>59</v>
      </c>
      <c r="T295" t="s">
        <v>59</v>
      </c>
      <c r="U295" t="s">
        <v>60</v>
      </c>
      <c r="V295" t="s">
        <v>59</v>
      </c>
      <c r="W295" t="s">
        <v>59</v>
      </c>
      <c r="X295" t="s">
        <v>59</v>
      </c>
      <c r="Y295" t="s">
        <v>59</v>
      </c>
      <c r="Z295" t="s">
        <v>59</v>
      </c>
      <c r="AA295" t="s">
        <v>59</v>
      </c>
      <c r="AB295" t="s">
        <v>60</v>
      </c>
      <c r="AC295" t="s">
        <v>60</v>
      </c>
      <c r="AD295" t="s">
        <v>59</v>
      </c>
      <c r="AE295" t="s">
        <v>59</v>
      </c>
      <c r="AF295" t="s">
        <v>61</v>
      </c>
      <c r="AG295" t="s">
        <v>59</v>
      </c>
      <c r="AH295" t="s">
        <v>61</v>
      </c>
      <c r="AI295" t="s">
        <v>61</v>
      </c>
      <c r="AJ295" t="s">
        <v>59</v>
      </c>
      <c r="AK295" t="s">
        <v>59</v>
      </c>
      <c r="AL295" t="s">
        <v>60</v>
      </c>
      <c r="AM295" t="s">
        <v>59</v>
      </c>
      <c r="AN295" t="s">
        <v>59</v>
      </c>
      <c r="AO295" t="s">
        <v>59</v>
      </c>
      <c r="AP295" t="s">
        <v>852</v>
      </c>
      <c r="AQ295" s="1" t="s">
        <v>853</v>
      </c>
      <c r="AR295" t="s">
        <v>64</v>
      </c>
      <c r="AS295" t="s">
        <v>89</v>
      </c>
      <c r="AT295" t="s">
        <v>293</v>
      </c>
      <c r="AU295" t="s">
        <v>219</v>
      </c>
      <c r="AW295" s="4">
        <f t="shared" si="143"/>
        <v>6</v>
      </c>
      <c r="AX295" s="4">
        <f t="shared" si="144"/>
        <v>4</v>
      </c>
      <c r="AY295" s="4">
        <f t="shared" si="145"/>
        <v>4</v>
      </c>
      <c r="AZ295" s="4">
        <f t="shared" si="146"/>
        <v>2</v>
      </c>
      <c r="BA295" s="4">
        <f t="shared" si="147"/>
        <v>4</v>
      </c>
      <c r="BB295" s="4">
        <f t="shared" si="148"/>
        <v>4</v>
      </c>
      <c r="BC295" s="4">
        <f t="shared" si="149"/>
        <v>4</v>
      </c>
      <c r="BD295" s="4">
        <f t="shared" si="150"/>
        <v>2</v>
      </c>
      <c r="BE295" s="4" t="str">
        <f t="shared" si="151"/>
        <v>0</v>
      </c>
      <c r="BF295" s="4">
        <f t="shared" si="152"/>
        <v>2</v>
      </c>
      <c r="BG295" s="4">
        <f t="shared" si="153"/>
        <v>4</v>
      </c>
      <c r="BH295" s="4">
        <f t="shared" si="154"/>
        <v>4</v>
      </c>
      <c r="BI295" s="4">
        <f t="shared" si="155"/>
        <v>4</v>
      </c>
      <c r="BJ295" s="4">
        <f t="shared" si="156"/>
        <v>2</v>
      </c>
      <c r="BK295" s="4">
        <f t="shared" si="157"/>
        <v>4</v>
      </c>
      <c r="BL295" s="4" t="str">
        <f t="shared" si="158"/>
        <v>0</v>
      </c>
      <c r="BM295" s="4" t="str">
        <f t="shared" si="159"/>
        <v>0</v>
      </c>
      <c r="BN295" s="4">
        <f t="shared" si="160"/>
        <v>4</v>
      </c>
      <c r="BO295" s="4">
        <f t="shared" si="161"/>
        <v>4</v>
      </c>
      <c r="BP295" s="4">
        <f t="shared" si="162"/>
        <v>4</v>
      </c>
      <c r="BQ295" s="4">
        <f t="shared" si="163"/>
        <v>6</v>
      </c>
      <c r="BR295" s="4">
        <f t="shared" si="164"/>
        <v>4</v>
      </c>
      <c r="BS295" s="4">
        <f t="shared" si="165"/>
        <v>4</v>
      </c>
      <c r="BT295" s="4">
        <f t="shared" si="166"/>
        <v>4</v>
      </c>
      <c r="BU295" s="4">
        <f t="shared" si="167"/>
        <v>4</v>
      </c>
      <c r="BV295" s="4" t="str">
        <f t="shared" si="168"/>
        <v>0</v>
      </c>
      <c r="BW295" s="4">
        <f t="shared" si="169"/>
        <v>6</v>
      </c>
      <c r="BX295" s="4">
        <f t="shared" si="170"/>
        <v>0</v>
      </c>
      <c r="BY295" s="4">
        <f t="shared" si="171"/>
        <v>0</v>
      </c>
      <c r="BZ295" s="37">
        <f t="shared" si="172"/>
        <v>90</v>
      </c>
      <c r="CA295" s="32" t="str">
        <f>VLOOKUP(J:J,'Agent wise'!A:C,3,0)</f>
        <v xml:space="preserve">Shiny </v>
      </c>
      <c r="CB295" s="32">
        <f t="shared" si="173"/>
        <v>45935</v>
      </c>
      <c r="CC295" t="str">
        <f t="shared" si="174"/>
        <v>Good</v>
      </c>
      <c r="CE295" s="32"/>
      <c r="CJ295">
        <f t="shared" si="175"/>
        <v>5</v>
      </c>
      <c r="CK295">
        <f t="shared" si="176"/>
        <v>10</v>
      </c>
      <c r="CL295">
        <f t="shared" si="177"/>
        <v>2025</v>
      </c>
    </row>
    <row r="296" spans="1:90" ht="15" customHeight="1" x14ac:dyDescent="0.35">
      <c r="A296" s="40">
        <v>45787.976655092592</v>
      </c>
      <c r="B296" t="s">
        <v>130</v>
      </c>
      <c r="C296" t="s">
        <v>214</v>
      </c>
      <c r="D296" t="s">
        <v>131</v>
      </c>
      <c r="E296" s="32">
        <v>45935</v>
      </c>
      <c r="F296" t="s">
        <v>54</v>
      </c>
      <c r="G296" s="2">
        <v>45787</v>
      </c>
      <c r="H296">
        <v>9444540334</v>
      </c>
      <c r="I296">
        <v>128</v>
      </c>
      <c r="J296" t="s">
        <v>749</v>
      </c>
      <c r="K296" t="s">
        <v>71</v>
      </c>
      <c r="L296" t="s">
        <v>72</v>
      </c>
      <c r="M296" t="s">
        <v>59</v>
      </c>
      <c r="N296" t="s">
        <v>59</v>
      </c>
      <c r="O296" t="s">
        <v>59</v>
      </c>
      <c r="P296" t="s">
        <v>59</v>
      </c>
      <c r="Q296" t="s">
        <v>59</v>
      </c>
      <c r="R296" t="s">
        <v>59</v>
      </c>
      <c r="S296" t="s">
        <v>59</v>
      </c>
      <c r="T296" t="s">
        <v>59</v>
      </c>
      <c r="U296" t="s">
        <v>60</v>
      </c>
      <c r="V296" t="s">
        <v>59</v>
      </c>
      <c r="W296" t="s">
        <v>59</v>
      </c>
      <c r="X296" t="s">
        <v>59</v>
      </c>
      <c r="Y296" t="s">
        <v>59</v>
      </c>
      <c r="Z296" t="s">
        <v>59</v>
      </c>
      <c r="AA296" t="s">
        <v>60</v>
      </c>
      <c r="AB296" t="s">
        <v>61</v>
      </c>
      <c r="AC296" t="s">
        <v>59</v>
      </c>
      <c r="AD296" t="s">
        <v>59</v>
      </c>
      <c r="AE296" t="s">
        <v>59</v>
      </c>
      <c r="AF296" t="s">
        <v>61</v>
      </c>
      <c r="AG296" t="s">
        <v>59</v>
      </c>
      <c r="AH296" t="s">
        <v>61</v>
      </c>
      <c r="AI296" t="s">
        <v>61</v>
      </c>
      <c r="AJ296" t="s">
        <v>59</v>
      </c>
      <c r="AK296" t="s">
        <v>59</v>
      </c>
      <c r="AL296" t="s">
        <v>60</v>
      </c>
      <c r="AM296" t="s">
        <v>59</v>
      </c>
      <c r="AN296" t="s">
        <v>59</v>
      </c>
      <c r="AO296" t="s">
        <v>59</v>
      </c>
      <c r="AP296" t="s">
        <v>854</v>
      </c>
      <c r="AQ296" s="1" t="s">
        <v>855</v>
      </c>
      <c r="AR296" t="s">
        <v>64</v>
      </c>
      <c r="AS296" t="s">
        <v>157</v>
      </c>
      <c r="AT296" t="s">
        <v>856</v>
      </c>
      <c r="AU296" t="s">
        <v>219</v>
      </c>
      <c r="AW296" s="4">
        <f t="shared" si="143"/>
        <v>6</v>
      </c>
      <c r="AX296" s="4">
        <f t="shared" si="144"/>
        <v>4</v>
      </c>
      <c r="AY296" s="4">
        <f t="shared" si="145"/>
        <v>4</v>
      </c>
      <c r="AZ296" s="4">
        <f t="shared" si="146"/>
        <v>2</v>
      </c>
      <c r="BA296" s="4">
        <f t="shared" si="147"/>
        <v>4</v>
      </c>
      <c r="BB296" s="4">
        <f t="shared" si="148"/>
        <v>4</v>
      </c>
      <c r="BC296" s="4">
        <f t="shared" si="149"/>
        <v>4</v>
      </c>
      <c r="BD296" s="4">
        <f t="shared" si="150"/>
        <v>2</v>
      </c>
      <c r="BE296" s="4" t="str">
        <f t="shared" si="151"/>
        <v>0</v>
      </c>
      <c r="BF296" s="4">
        <f t="shared" si="152"/>
        <v>2</v>
      </c>
      <c r="BG296" s="4">
        <f t="shared" si="153"/>
        <v>4</v>
      </c>
      <c r="BH296" s="4">
        <f t="shared" si="154"/>
        <v>4</v>
      </c>
      <c r="BI296" s="4">
        <f t="shared" si="155"/>
        <v>4</v>
      </c>
      <c r="BJ296" s="4">
        <f t="shared" si="156"/>
        <v>2</v>
      </c>
      <c r="BK296" s="4" t="str">
        <f t="shared" si="157"/>
        <v>0</v>
      </c>
      <c r="BL296" s="4">
        <f t="shared" si="158"/>
        <v>2</v>
      </c>
      <c r="BM296" s="4">
        <f t="shared" si="159"/>
        <v>4</v>
      </c>
      <c r="BN296" s="4">
        <f t="shared" si="160"/>
        <v>4</v>
      </c>
      <c r="BO296" s="4">
        <f t="shared" si="161"/>
        <v>4</v>
      </c>
      <c r="BP296" s="4">
        <f t="shared" si="162"/>
        <v>4</v>
      </c>
      <c r="BQ296" s="4">
        <f t="shared" si="163"/>
        <v>6</v>
      </c>
      <c r="BR296" s="4">
        <f t="shared" si="164"/>
        <v>4</v>
      </c>
      <c r="BS296" s="4">
        <f t="shared" si="165"/>
        <v>4</v>
      </c>
      <c r="BT296" s="4">
        <f t="shared" si="166"/>
        <v>4</v>
      </c>
      <c r="BU296" s="4">
        <f t="shared" si="167"/>
        <v>4</v>
      </c>
      <c r="BV296" s="4" t="str">
        <f t="shared" si="168"/>
        <v>0</v>
      </c>
      <c r="BW296" s="4">
        <f t="shared" si="169"/>
        <v>6</v>
      </c>
      <c r="BX296" s="4">
        <f t="shared" si="170"/>
        <v>0</v>
      </c>
      <c r="BY296" s="4">
        <f t="shared" si="171"/>
        <v>0</v>
      </c>
      <c r="BZ296" s="37">
        <f t="shared" si="172"/>
        <v>92</v>
      </c>
      <c r="CA296" s="32" t="str">
        <f>VLOOKUP(J:J,'Agent wise'!A:C,3,0)</f>
        <v xml:space="preserve">Shiny </v>
      </c>
      <c r="CB296" s="32">
        <f t="shared" si="173"/>
        <v>45935</v>
      </c>
      <c r="CC296" t="str">
        <f t="shared" si="174"/>
        <v>Good</v>
      </c>
      <c r="CE296" s="32"/>
      <c r="CJ296">
        <f t="shared" si="175"/>
        <v>5</v>
      </c>
      <c r="CK296">
        <f t="shared" si="176"/>
        <v>10</v>
      </c>
      <c r="CL296">
        <f t="shared" si="177"/>
        <v>2025</v>
      </c>
    </row>
    <row r="297" spans="1:90" ht="15" customHeight="1" x14ac:dyDescent="0.35">
      <c r="A297" s="40">
        <v>45818.485625000001</v>
      </c>
      <c r="B297" t="s">
        <v>51</v>
      </c>
      <c r="C297" t="s">
        <v>214</v>
      </c>
      <c r="D297" t="s">
        <v>53</v>
      </c>
      <c r="E297" s="32">
        <v>45936</v>
      </c>
      <c r="F297" t="s">
        <v>54</v>
      </c>
      <c r="G297" s="2">
        <v>45787</v>
      </c>
      <c r="H297">
        <v>8547145525</v>
      </c>
      <c r="I297">
        <v>218</v>
      </c>
      <c r="J297" t="s">
        <v>638</v>
      </c>
      <c r="K297" t="s">
        <v>57</v>
      </c>
      <c r="L297" t="s">
        <v>58</v>
      </c>
      <c r="M297" t="s">
        <v>59</v>
      </c>
      <c r="N297" t="s">
        <v>59</v>
      </c>
      <c r="O297" t="s">
        <v>59</v>
      </c>
      <c r="P297" t="s">
        <v>59</v>
      </c>
      <c r="Q297" t="s">
        <v>59</v>
      </c>
      <c r="R297" t="s">
        <v>60</v>
      </c>
      <c r="S297" t="s">
        <v>59</v>
      </c>
      <c r="T297" t="s">
        <v>59</v>
      </c>
      <c r="U297" t="s">
        <v>59</v>
      </c>
      <c r="V297" t="s">
        <v>59</v>
      </c>
      <c r="W297" t="s">
        <v>59</v>
      </c>
      <c r="X297" t="s">
        <v>59</v>
      </c>
      <c r="Y297" t="s">
        <v>59</v>
      </c>
      <c r="Z297" t="s">
        <v>59</v>
      </c>
      <c r="AA297" t="s">
        <v>59</v>
      </c>
      <c r="AB297" t="s">
        <v>59</v>
      </c>
      <c r="AC297" t="s">
        <v>61</v>
      </c>
      <c r="AD297" t="s">
        <v>59</v>
      </c>
      <c r="AE297" t="s">
        <v>59</v>
      </c>
      <c r="AF297" t="s">
        <v>61</v>
      </c>
      <c r="AG297" t="s">
        <v>59</v>
      </c>
      <c r="AH297" t="s">
        <v>61</v>
      </c>
      <c r="AI297" t="s">
        <v>60</v>
      </c>
      <c r="AJ297" t="s">
        <v>59</v>
      </c>
      <c r="AK297" t="s">
        <v>61</v>
      </c>
      <c r="AL297" t="s">
        <v>60</v>
      </c>
      <c r="AM297" t="s">
        <v>59</v>
      </c>
      <c r="AN297" t="s">
        <v>59</v>
      </c>
      <c r="AO297" t="s">
        <v>59</v>
      </c>
      <c r="AP297" t="s">
        <v>857</v>
      </c>
      <c r="AQ297" t="s">
        <v>509</v>
      </c>
      <c r="AR297" t="s">
        <v>64</v>
      </c>
      <c r="AS297" t="s">
        <v>325</v>
      </c>
      <c r="AT297" t="s">
        <v>858</v>
      </c>
      <c r="AU297" t="s">
        <v>387</v>
      </c>
      <c r="AW297" s="4">
        <f t="shared" si="143"/>
        <v>6</v>
      </c>
      <c r="AX297" s="4">
        <f t="shared" si="144"/>
        <v>4</v>
      </c>
      <c r="AY297" s="4">
        <f t="shared" si="145"/>
        <v>4</v>
      </c>
      <c r="AZ297" s="4">
        <f t="shared" si="146"/>
        <v>2</v>
      </c>
      <c r="BA297" s="4">
        <f t="shared" si="147"/>
        <v>4</v>
      </c>
      <c r="BB297" s="4" t="str">
        <f t="shared" si="148"/>
        <v>0</v>
      </c>
      <c r="BC297" s="4">
        <f t="shared" si="149"/>
        <v>4</v>
      </c>
      <c r="BD297" s="4">
        <f t="shared" si="150"/>
        <v>2</v>
      </c>
      <c r="BE297" s="4">
        <f t="shared" si="151"/>
        <v>4</v>
      </c>
      <c r="BF297" s="4">
        <f t="shared" si="152"/>
        <v>2</v>
      </c>
      <c r="BG297" s="4">
        <f t="shared" si="153"/>
        <v>4</v>
      </c>
      <c r="BH297" s="4">
        <f t="shared" si="154"/>
        <v>4</v>
      </c>
      <c r="BI297" s="4">
        <f t="shared" si="155"/>
        <v>4</v>
      </c>
      <c r="BJ297" s="4">
        <f t="shared" si="156"/>
        <v>2</v>
      </c>
      <c r="BK297" s="4">
        <f t="shared" si="157"/>
        <v>4</v>
      </c>
      <c r="BL297" s="4">
        <f t="shared" si="158"/>
        <v>2</v>
      </c>
      <c r="BM297" s="4">
        <f t="shared" si="159"/>
        <v>4</v>
      </c>
      <c r="BN297" s="4">
        <f t="shared" si="160"/>
        <v>4</v>
      </c>
      <c r="BO297" s="4">
        <f t="shared" si="161"/>
        <v>4</v>
      </c>
      <c r="BP297" s="4">
        <f t="shared" si="162"/>
        <v>4</v>
      </c>
      <c r="BQ297" s="4">
        <f t="shared" si="163"/>
        <v>6</v>
      </c>
      <c r="BR297" s="4">
        <f t="shared" si="164"/>
        <v>4</v>
      </c>
      <c r="BS297" s="4" t="str">
        <f t="shared" si="165"/>
        <v>0</v>
      </c>
      <c r="BT297" s="4">
        <f t="shared" si="166"/>
        <v>4</v>
      </c>
      <c r="BU297" s="4">
        <f t="shared" si="167"/>
        <v>4</v>
      </c>
      <c r="BV297" s="4" t="str">
        <f t="shared" si="168"/>
        <v>0</v>
      </c>
      <c r="BW297" s="4">
        <f t="shared" si="169"/>
        <v>6</v>
      </c>
      <c r="BX297" s="4">
        <f t="shared" si="170"/>
        <v>0</v>
      </c>
      <c r="BY297" s="4">
        <f t="shared" si="171"/>
        <v>0</v>
      </c>
      <c r="BZ297" s="37">
        <f t="shared" si="172"/>
        <v>92</v>
      </c>
      <c r="CA297" s="32" t="str">
        <f>VLOOKUP(J:J,'Agent wise'!A:C,3,0)</f>
        <v>Adharsh</v>
      </c>
      <c r="CB297" s="32">
        <f t="shared" si="173"/>
        <v>45936</v>
      </c>
      <c r="CC297" t="str">
        <f t="shared" si="174"/>
        <v>Good</v>
      </c>
      <c r="CE297" s="32"/>
      <c r="CJ297">
        <f t="shared" si="175"/>
        <v>6</v>
      </c>
      <c r="CK297">
        <f t="shared" si="176"/>
        <v>10</v>
      </c>
      <c r="CL297">
        <f t="shared" si="177"/>
        <v>2025</v>
      </c>
    </row>
    <row r="298" spans="1:90" ht="15" customHeight="1" x14ac:dyDescent="0.35">
      <c r="A298" s="40">
        <v>45818.492800925917</v>
      </c>
      <c r="B298" t="s">
        <v>51</v>
      </c>
      <c r="C298" t="s">
        <v>214</v>
      </c>
      <c r="D298" t="s">
        <v>53</v>
      </c>
      <c r="E298" s="32">
        <v>45936</v>
      </c>
      <c r="F298" t="s">
        <v>54</v>
      </c>
      <c r="G298" s="2">
        <v>45787</v>
      </c>
      <c r="H298">
        <v>8122762357</v>
      </c>
      <c r="I298">
        <v>184</v>
      </c>
      <c r="J298" t="s">
        <v>548</v>
      </c>
      <c r="K298" t="s">
        <v>71</v>
      </c>
      <c r="L298" t="s">
        <v>72</v>
      </c>
      <c r="M298" t="s">
        <v>59</v>
      </c>
      <c r="N298" t="s">
        <v>59</v>
      </c>
      <c r="O298" t="s">
        <v>59</v>
      </c>
      <c r="P298" t="s">
        <v>59</v>
      </c>
      <c r="Q298" t="s">
        <v>59</v>
      </c>
      <c r="R298" t="s">
        <v>59</v>
      </c>
      <c r="S298" t="s">
        <v>59</v>
      </c>
      <c r="T298" t="s">
        <v>59</v>
      </c>
      <c r="U298" t="s">
        <v>59</v>
      </c>
      <c r="V298" t="s">
        <v>59</v>
      </c>
      <c r="W298" t="s">
        <v>59</v>
      </c>
      <c r="X298" t="s">
        <v>59</v>
      </c>
      <c r="Y298" t="s">
        <v>59</v>
      </c>
      <c r="Z298" t="s">
        <v>59</v>
      </c>
      <c r="AA298" t="s">
        <v>59</v>
      </c>
      <c r="AB298" t="s">
        <v>59</v>
      </c>
      <c r="AC298" t="s">
        <v>60</v>
      </c>
      <c r="AD298" t="s">
        <v>59</v>
      </c>
      <c r="AE298" t="s">
        <v>60</v>
      </c>
      <c r="AF298" t="s">
        <v>61</v>
      </c>
      <c r="AG298" t="s">
        <v>59</v>
      </c>
      <c r="AH298" t="s">
        <v>61</v>
      </c>
      <c r="AI298" t="s">
        <v>60</v>
      </c>
      <c r="AJ298" t="s">
        <v>59</v>
      </c>
      <c r="AK298" t="s">
        <v>61</v>
      </c>
      <c r="AL298" t="s">
        <v>60</v>
      </c>
      <c r="AM298" t="s">
        <v>59</v>
      </c>
      <c r="AN298" t="s">
        <v>59</v>
      </c>
      <c r="AO298" t="s">
        <v>59</v>
      </c>
      <c r="AP298" t="s">
        <v>859</v>
      </c>
      <c r="AQ298" t="s">
        <v>860</v>
      </c>
      <c r="AR298" t="s">
        <v>64</v>
      </c>
      <c r="AS298" t="s">
        <v>861</v>
      </c>
      <c r="AT298" t="s">
        <v>862</v>
      </c>
      <c r="AU298" t="s">
        <v>387</v>
      </c>
      <c r="AW298" s="4">
        <f t="shared" si="143"/>
        <v>6</v>
      </c>
      <c r="AX298" s="4">
        <f t="shared" si="144"/>
        <v>4</v>
      </c>
      <c r="AY298" s="4">
        <f t="shared" si="145"/>
        <v>4</v>
      </c>
      <c r="AZ298" s="4">
        <f t="shared" si="146"/>
        <v>2</v>
      </c>
      <c r="BA298" s="4">
        <f t="shared" si="147"/>
        <v>4</v>
      </c>
      <c r="BB298" s="4">
        <f t="shared" si="148"/>
        <v>4</v>
      </c>
      <c r="BC298" s="4">
        <f t="shared" si="149"/>
        <v>4</v>
      </c>
      <c r="BD298" s="4">
        <f t="shared" si="150"/>
        <v>2</v>
      </c>
      <c r="BE298" s="4">
        <f t="shared" si="151"/>
        <v>4</v>
      </c>
      <c r="BF298" s="4">
        <f t="shared" si="152"/>
        <v>2</v>
      </c>
      <c r="BG298" s="4">
        <f t="shared" si="153"/>
        <v>4</v>
      </c>
      <c r="BH298" s="4">
        <f t="shared" si="154"/>
        <v>4</v>
      </c>
      <c r="BI298" s="4">
        <f t="shared" si="155"/>
        <v>4</v>
      </c>
      <c r="BJ298" s="4">
        <f t="shared" si="156"/>
        <v>2</v>
      </c>
      <c r="BK298" s="4">
        <f t="shared" si="157"/>
        <v>4</v>
      </c>
      <c r="BL298" s="4">
        <f t="shared" si="158"/>
        <v>2</v>
      </c>
      <c r="BM298" s="4" t="str">
        <f t="shared" si="159"/>
        <v>0</v>
      </c>
      <c r="BN298" s="4">
        <f t="shared" si="160"/>
        <v>4</v>
      </c>
      <c r="BO298" s="4" t="str">
        <f t="shared" si="161"/>
        <v>0</v>
      </c>
      <c r="BP298" s="4">
        <f t="shared" si="162"/>
        <v>4</v>
      </c>
      <c r="BQ298" s="4">
        <f t="shared" si="163"/>
        <v>6</v>
      </c>
      <c r="BR298" s="4">
        <f t="shared" si="164"/>
        <v>4</v>
      </c>
      <c r="BS298" s="4" t="str">
        <f t="shared" si="165"/>
        <v>0</v>
      </c>
      <c r="BT298" s="4">
        <f t="shared" si="166"/>
        <v>4</v>
      </c>
      <c r="BU298" s="4">
        <f t="shared" si="167"/>
        <v>4</v>
      </c>
      <c r="BV298" s="4" t="str">
        <f t="shared" si="168"/>
        <v>0</v>
      </c>
      <c r="BW298" s="4">
        <f t="shared" si="169"/>
        <v>6</v>
      </c>
      <c r="BX298" s="4">
        <f t="shared" si="170"/>
        <v>0</v>
      </c>
      <c r="BY298" s="4">
        <f t="shared" si="171"/>
        <v>0</v>
      </c>
      <c r="BZ298" s="37">
        <f t="shared" si="172"/>
        <v>88</v>
      </c>
      <c r="CA298" s="32" t="str">
        <f>VLOOKUP(J:J,'Agent wise'!A:C,3,0)</f>
        <v>Adharsh</v>
      </c>
      <c r="CB298" s="32">
        <f t="shared" si="173"/>
        <v>45936</v>
      </c>
      <c r="CC298" t="str">
        <f t="shared" si="174"/>
        <v>Average</v>
      </c>
      <c r="CE298" s="32"/>
      <c r="CJ298">
        <f t="shared" si="175"/>
        <v>6</v>
      </c>
      <c r="CK298">
        <f t="shared" si="176"/>
        <v>10</v>
      </c>
      <c r="CL298">
        <f t="shared" si="177"/>
        <v>2025</v>
      </c>
    </row>
    <row r="299" spans="1:90" ht="15" customHeight="1" x14ac:dyDescent="0.35">
      <c r="A299" s="40">
        <v>45818.503298611111</v>
      </c>
      <c r="B299" t="s">
        <v>51</v>
      </c>
      <c r="C299" t="s">
        <v>214</v>
      </c>
      <c r="D299" t="s">
        <v>53</v>
      </c>
      <c r="E299" s="32">
        <v>45936</v>
      </c>
      <c r="F299" t="s">
        <v>54</v>
      </c>
      <c r="G299" s="2">
        <v>45787</v>
      </c>
      <c r="H299">
        <v>9037416123</v>
      </c>
      <c r="I299">
        <v>216</v>
      </c>
      <c r="J299" t="s">
        <v>640</v>
      </c>
      <c r="K299" t="s">
        <v>57</v>
      </c>
      <c r="L299" t="s">
        <v>58</v>
      </c>
      <c r="M299" t="s">
        <v>59</v>
      </c>
      <c r="N299" t="s">
        <v>59</v>
      </c>
      <c r="O299" t="s">
        <v>59</v>
      </c>
      <c r="P299" t="s">
        <v>59</v>
      </c>
      <c r="Q299" t="s">
        <v>59</v>
      </c>
      <c r="R299" t="s">
        <v>60</v>
      </c>
      <c r="S299" t="s">
        <v>59</v>
      </c>
      <c r="T299" t="s">
        <v>59</v>
      </c>
      <c r="U299" t="s">
        <v>59</v>
      </c>
      <c r="V299" t="s">
        <v>59</v>
      </c>
      <c r="W299" t="s">
        <v>59</v>
      </c>
      <c r="X299" t="s">
        <v>59</v>
      </c>
      <c r="Y299" t="s">
        <v>59</v>
      </c>
      <c r="Z299" t="s">
        <v>59</v>
      </c>
      <c r="AA299" t="s">
        <v>60</v>
      </c>
      <c r="AB299" t="s">
        <v>60</v>
      </c>
      <c r="AC299" t="s">
        <v>61</v>
      </c>
      <c r="AD299" t="s">
        <v>59</v>
      </c>
      <c r="AE299" t="s">
        <v>60</v>
      </c>
      <c r="AF299" t="s">
        <v>61</v>
      </c>
      <c r="AG299" t="s">
        <v>59</v>
      </c>
      <c r="AH299" t="s">
        <v>61</v>
      </c>
      <c r="AI299" t="s">
        <v>60</v>
      </c>
      <c r="AJ299" t="s">
        <v>61</v>
      </c>
      <c r="AK299" t="s">
        <v>61</v>
      </c>
      <c r="AL299" t="s">
        <v>60</v>
      </c>
      <c r="AM299" t="s">
        <v>59</v>
      </c>
      <c r="AN299" t="s">
        <v>59</v>
      </c>
      <c r="AO299" t="s">
        <v>59</v>
      </c>
      <c r="AP299" t="s">
        <v>863</v>
      </c>
      <c r="AQ299" t="s">
        <v>864</v>
      </c>
      <c r="AR299" t="s">
        <v>64</v>
      </c>
      <c r="AS299" t="s">
        <v>65</v>
      </c>
      <c r="AT299" t="s">
        <v>66</v>
      </c>
      <c r="AU299" t="s">
        <v>593</v>
      </c>
      <c r="AW299" s="4">
        <f t="shared" si="143"/>
        <v>6</v>
      </c>
      <c r="AX299" s="4">
        <f t="shared" si="144"/>
        <v>4</v>
      </c>
      <c r="AY299" s="4">
        <f t="shared" si="145"/>
        <v>4</v>
      </c>
      <c r="AZ299" s="4">
        <f t="shared" si="146"/>
        <v>2</v>
      </c>
      <c r="BA299" s="4">
        <f t="shared" si="147"/>
        <v>4</v>
      </c>
      <c r="BB299" s="4" t="str">
        <f t="shared" si="148"/>
        <v>0</v>
      </c>
      <c r="BC299" s="4">
        <f t="shared" si="149"/>
        <v>4</v>
      </c>
      <c r="BD299" s="4">
        <f t="shared" si="150"/>
        <v>2</v>
      </c>
      <c r="BE299" s="4">
        <f t="shared" si="151"/>
        <v>4</v>
      </c>
      <c r="BF299" s="4">
        <f t="shared" si="152"/>
        <v>2</v>
      </c>
      <c r="BG299" s="4">
        <f t="shared" si="153"/>
        <v>4</v>
      </c>
      <c r="BH299" s="4">
        <f t="shared" si="154"/>
        <v>4</v>
      </c>
      <c r="BI299" s="4">
        <f t="shared" si="155"/>
        <v>4</v>
      </c>
      <c r="BJ299" s="4">
        <f t="shared" si="156"/>
        <v>2</v>
      </c>
      <c r="BK299" s="4" t="str">
        <f t="shared" si="157"/>
        <v>0</v>
      </c>
      <c r="BL299" s="4" t="str">
        <f t="shared" si="158"/>
        <v>0</v>
      </c>
      <c r="BM299" s="4">
        <f t="shared" si="159"/>
        <v>4</v>
      </c>
      <c r="BN299" s="4">
        <f t="shared" si="160"/>
        <v>4</v>
      </c>
      <c r="BO299" s="4" t="str">
        <f t="shared" si="161"/>
        <v>0</v>
      </c>
      <c r="BP299" s="4">
        <f t="shared" si="162"/>
        <v>4</v>
      </c>
      <c r="BQ299" s="4">
        <f t="shared" si="163"/>
        <v>6</v>
      </c>
      <c r="BR299" s="4">
        <f t="shared" si="164"/>
        <v>4</v>
      </c>
      <c r="BS299" s="4" t="str">
        <f t="shared" si="165"/>
        <v>0</v>
      </c>
      <c r="BT299" s="4">
        <f t="shared" si="166"/>
        <v>4</v>
      </c>
      <c r="BU299" s="4">
        <f t="shared" si="167"/>
        <v>4</v>
      </c>
      <c r="BV299" s="4" t="str">
        <f t="shared" si="168"/>
        <v>0</v>
      </c>
      <c r="BW299" s="4">
        <f t="shared" si="169"/>
        <v>6</v>
      </c>
      <c r="BX299" s="4">
        <f t="shared" si="170"/>
        <v>0</v>
      </c>
      <c r="BY299" s="4">
        <f t="shared" si="171"/>
        <v>0</v>
      </c>
      <c r="BZ299" s="37">
        <f t="shared" si="172"/>
        <v>82</v>
      </c>
      <c r="CA299" s="32" t="str">
        <f>VLOOKUP(J:J,'Agent wise'!A:C,3,0)</f>
        <v>Adharsh</v>
      </c>
      <c r="CB299" s="32">
        <f t="shared" si="173"/>
        <v>45936</v>
      </c>
      <c r="CC299" t="str">
        <f t="shared" si="174"/>
        <v>FC</v>
      </c>
      <c r="CE299" s="32"/>
      <c r="CJ299">
        <f t="shared" si="175"/>
        <v>6</v>
      </c>
      <c r="CK299">
        <f t="shared" si="176"/>
        <v>10</v>
      </c>
      <c r="CL299">
        <f t="shared" si="177"/>
        <v>2025</v>
      </c>
    </row>
    <row r="300" spans="1:90" ht="15" customHeight="1" x14ac:dyDescent="0.35">
      <c r="A300" s="40">
        <v>45818.505972222221</v>
      </c>
      <c r="B300" t="s">
        <v>51</v>
      </c>
      <c r="C300" t="s">
        <v>214</v>
      </c>
      <c r="D300" t="s">
        <v>53</v>
      </c>
      <c r="E300" s="32">
        <v>45936</v>
      </c>
      <c r="F300" t="s">
        <v>54</v>
      </c>
      <c r="G300" s="2">
        <v>45787</v>
      </c>
      <c r="H300">
        <v>8301087334</v>
      </c>
      <c r="I300">
        <v>149</v>
      </c>
      <c r="J300" t="s">
        <v>464</v>
      </c>
      <c r="K300" t="s">
        <v>57</v>
      </c>
      <c r="L300" t="s">
        <v>58</v>
      </c>
      <c r="M300" t="s">
        <v>59</v>
      </c>
      <c r="N300" t="s">
        <v>59</v>
      </c>
      <c r="O300" t="s">
        <v>59</v>
      </c>
      <c r="P300" t="s">
        <v>59</v>
      </c>
      <c r="Q300" t="s">
        <v>59</v>
      </c>
      <c r="R300" t="s">
        <v>60</v>
      </c>
      <c r="S300" t="s">
        <v>59</v>
      </c>
      <c r="T300" t="s">
        <v>59</v>
      </c>
      <c r="U300" t="s">
        <v>59</v>
      </c>
      <c r="V300" t="s">
        <v>59</v>
      </c>
      <c r="W300" t="s">
        <v>59</v>
      </c>
      <c r="X300" t="s">
        <v>59</v>
      </c>
      <c r="Y300" t="s">
        <v>59</v>
      </c>
      <c r="Z300" t="s">
        <v>59</v>
      </c>
      <c r="AA300" t="s">
        <v>59</v>
      </c>
      <c r="AB300" t="s">
        <v>60</v>
      </c>
      <c r="AC300" t="s">
        <v>61</v>
      </c>
      <c r="AD300" t="s">
        <v>59</v>
      </c>
      <c r="AE300" t="s">
        <v>59</v>
      </c>
      <c r="AF300" t="s">
        <v>59</v>
      </c>
      <c r="AG300" t="s">
        <v>59</v>
      </c>
      <c r="AH300" t="s">
        <v>61</v>
      </c>
      <c r="AI300" t="s">
        <v>60</v>
      </c>
      <c r="AJ300" t="s">
        <v>59</v>
      </c>
      <c r="AK300" t="s">
        <v>61</v>
      </c>
      <c r="AL300" t="s">
        <v>60</v>
      </c>
      <c r="AM300" t="s">
        <v>59</v>
      </c>
      <c r="AN300" t="s">
        <v>59</v>
      </c>
      <c r="AO300" t="s">
        <v>59</v>
      </c>
      <c r="AP300" t="s">
        <v>743</v>
      </c>
      <c r="AQ300" t="s">
        <v>865</v>
      </c>
      <c r="AR300" t="s">
        <v>64</v>
      </c>
      <c r="AS300" t="s">
        <v>325</v>
      </c>
      <c r="AT300" t="s">
        <v>510</v>
      </c>
      <c r="AU300" t="s">
        <v>299</v>
      </c>
      <c r="AW300" s="4">
        <f t="shared" si="143"/>
        <v>6</v>
      </c>
      <c r="AX300" s="4">
        <f t="shared" si="144"/>
        <v>4</v>
      </c>
      <c r="AY300" s="4">
        <f t="shared" si="145"/>
        <v>4</v>
      </c>
      <c r="AZ300" s="4">
        <f t="shared" si="146"/>
        <v>2</v>
      </c>
      <c r="BA300" s="4">
        <f t="shared" si="147"/>
        <v>4</v>
      </c>
      <c r="BB300" s="4" t="str">
        <f t="shared" si="148"/>
        <v>0</v>
      </c>
      <c r="BC300" s="4">
        <f t="shared" si="149"/>
        <v>4</v>
      </c>
      <c r="BD300" s="4">
        <f t="shared" si="150"/>
        <v>2</v>
      </c>
      <c r="BE300" s="4">
        <f t="shared" si="151"/>
        <v>4</v>
      </c>
      <c r="BF300" s="4">
        <f t="shared" si="152"/>
        <v>2</v>
      </c>
      <c r="BG300" s="4">
        <f t="shared" si="153"/>
        <v>4</v>
      </c>
      <c r="BH300" s="4">
        <f t="shared" si="154"/>
        <v>4</v>
      </c>
      <c r="BI300" s="4">
        <f t="shared" si="155"/>
        <v>4</v>
      </c>
      <c r="BJ300" s="4">
        <f t="shared" si="156"/>
        <v>2</v>
      </c>
      <c r="BK300" s="4">
        <f t="shared" si="157"/>
        <v>4</v>
      </c>
      <c r="BL300" s="4" t="str">
        <f t="shared" si="158"/>
        <v>0</v>
      </c>
      <c r="BM300" s="4">
        <f t="shared" si="159"/>
        <v>4</v>
      </c>
      <c r="BN300" s="4">
        <f t="shared" si="160"/>
        <v>4</v>
      </c>
      <c r="BO300" s="4">
        <f t="shared" si="161"/>
        <v>4</v>
      </c>
      <c r="BP300" s="4">
        <f t="shared" si="162"/>
        <v>4</v>
      </c>
      <c r="BQ300" s="4">
        <f t="shared" si="163"/>
        <v>6</v>
      </c>
      <c r="BR300" s="4">
        <f t="shared" si="164"/>
        <v>4</v>
      </c>
      <c r="BS300" s="4" t="str">
        <f t="shared" si="165"/>
        <v>0</v>
      </c>
      <c r="BT300" s="4">
        <f t="shared" si="166"/>
        <v>4</v>
      </c>
      <c r="BU300" s="4">
        <f t="shared" si="167"/>
        <v>4</v>
      </c>
      <c r="BV300" s="4" t="str">
        <f t="shared" si="168"/>
        <v>0</v>
      </c>
      <c r="BW300" s="4">
        <f t="shared" si="169"/>
        <v>6</v>
      </c>
      <c r="BX300" s="4">
        <f t="shared" si="170"/>
        <v>0</v>
      </c>
      <c r="BY300" s="4">
        <f t="shared" si="171"/>
        <v>0</v>
      </c>
      <c r="BZ300" s="37">
        <f t="shared" si="172"/>
        <v>90</v>
      </c>
      <c r="CA300" s="32" t="str">
        <f>VLOOKUP(J:J,'Agent wise'!A:C,3,0)</f>
        <v>Adharsh</v>
      </c>
      <c r="CB300" s="32">
        <f t="shared" si="173"/>
        <v>45936</v>
      </c>
      <c r="CC300" t="str">
        <f t="shared" si="174"/>
        <v>Good</v>
      </c>
      <c r="CE300" s="32"/>
      <c r="CJ300">
        <f t="shared" si="175"/>
        <v>6</v>
      </c>
      <c r="CK300">
        <f t="shared" si="176"/>
        <v>10</v>
      </c>
      <c r="CL300">
        <f t="shared" si="177"/>
        <v>2025</v>
      </c>
    </row>
    <row r="301" spans="1:90" ht="15" customHeight="1" x14ac:dyDescent="0.35">
      <c r="A301" s="40">
        <v>45818.536458333343</v>
      </c>
      <c r="B301" t="s">
        <v>51</v>
      </c>
      <c r="C301" t="s">
        <v>214</v>
      </c>
      <c r="D301" t="s">
        <v>53</v>
      </c>
      <c r="E301" s="32">
        <v>45936</v>
      </c>
      <c r="F301" t="s">
        <v>54</v>
      </c>
      <c r="G301" s="2">
        <v>45787</v>
      </c>
      <c r="H301">
        <v>8304823041</v>
      </c>
      <c r="I301">
        <v>150</v>
      </c>
      <c r="J301" t="s">
        <v>179</v>
      </c>
      <c r="K301" t="s">
        <v>57</v>
      </c>
      <c r="L301" t="s">
        <v>58</v>
      </c>
      <c r="M301" t="s">
        <v>59</v>
      </c>
      <c r="N301" t="s">
        <v>59</v>
      </c>
      <c r="O301" t="s">
        <v>59</v>
      </c>
      <c r="P301" t="s">
        <v>59</v>
      </c>
      <c r="Q301" t="s">
        <v>59</v>
      </c>
      <c r="R301" t="s">
        <v>60</v>
      </c>
      <c r="S301" t="s">
        <v>59</v>
      </c>
      <c r="T301" t="s">
        <v>59</v>
      </c>
      <c r="U301" t="s">
        <v>60</v>
      </c>
      <c r="V301" t="s">
        <v>59</v>
      </c>
      <c r="W301" t="s">
        <v>59</v>
      </c>
      <c r="X301" t="s">
        <v>59</v>
      </c>
      <c r="Y301" t="s">
        <v>59</v>
      </c>
      <c r="Z301" t="s">
        <v>59</v>
      </c>
      <c r="AA301" t="s">
        <v>60</v>
      </c>
      <c r="AB301" t="s">
        <v>61</v>
      </c>
      <c r="AC301" t="s">
        <v>61</v>
      </c>
      <c r="AD301" t="s">
        <v>59</v>
      </c>
      <c r="AE301" t="s">
        <v>59</v>
      </c>
      <c r="AF301" t="s">
        <v>61</v>
      </c>
      <c r="AG301" t="s">
        <v>59</v>
      </c>
      <c r="AH301" t="s">
        <v>61</v>
      </c>
      <c r="AI301" t="s">
        <v>61</v>
      </c>
      <c r="AJ301" t="s">
        <v>59</v>
      </c>
      <c r="AK301" t="s">
        <v>61</v>
      </c>
      <c r="AL301" t="s">
        <v>60</v>
      </c>
      <c r="AM301" t="s">
        <v>59</v>
      </c>
      <c r="AN301" t="s">
        <v>59</v>
      </c>
      <c r="AO301" t="s">
        <v>59</v>
      </c>
      <c r="AP301" t="s">
        <v>866</v>
      </c>
      <c r="AQ301" t="s">
        <v>867</v>
      </c>
      <c r="AR301" t="s">
        <v>64</v>
      </c>
      <c r="AS301" t="s">
        <v>171</v>
      </c>
      <c r="AT301" t="s">
        <v>172</v>
      </c>
      <c r="AU301" t="s">
        <v>515</v>
      </c>
      <c r="AW301" s="4">
        <f t="shared" si="143"/>
        <v>6</v>
      </c>
      <c r="AX301" s="4">
        <f t="shared" si="144"/>
        <v>4</v>
      </c>
      <c r="AY301" s="4">
        <f t="shared" si="145"/>
        <v>4</v>
      </c>
      <c r="AZ301" s="4">
        <f t="shared" si="146"/>
        <v>2</v>
      </c>
      <c r="BA301" s="4">
        <f t="shared" si="147"/>
        <v>4</v>
      </c>
      <c r="BB301" s="4" t="str">
        <f t="shared" si="148"/>
        <v>0</v>
      </c>
      <c r="BC301" s="4">
        <f t="shared" si="149"/>
        <v>4</v>
      </c>
      <c r="BD301" s="4">
        <f t="shared" si="150"/>
        <v>2</v>
      </c>
      <c r="BE301" s="4" t="str">
        <f t="shared" si="151"/>
        <v>0</v>
      </c>
      <c r="BF301" s="4">
        <f t="shared" si="152"/>
        <v>2</v>
      </c>
      <c r="BG301" s="4">
        <f t="shared" si="153"/>
        <v>4</v>
      </c>
      <c r="BH301" s="4">
        <f t="shared" si="154"/>
        <v>4</v>
      </c>
      <c r="BI301" s="4">
        <f t="shared" si="155"/>
        <v>4</v>
      </c>
      <c r="BJ301" s="4">
        <f t="shared" si="156"/>
        <v>2</v>
      </c>
      <c r="BK301" s="4" t="str">
        <f t="shared" si="157"/>
        <v>0</v>
      </c>
      <c r="BL301" s="4">
        <f t="shared" si="158"/>
        <v>2</v>
      </c>
      <c r="BM301" s="4">
        <f t="shared" si="159"/>
        <v>4</v>
      </c>
      <c r="BN301" s="4">
        <f t="shared" si="160"/>
        <v>4</v>
      </c>
      <c r="BO301" s="4">
        <f t="shared" si="161"/>
        <v>4</v>
      </c>
      <c r="BP301" s="4">
        <f t="shared" si="162"/>
        <v>4</v>
      </c>
      <c r="BQ301" s="4">
        <f t="shared" si="163"/>
        <v>6</v>
      </c>
      <c r="BR301" s="4">
        <f t="shared" si="164"/>
        <v>4</v>
      </c>
      <c r="BS301" s="4">
        <f t="shared" si="165"/>
        <v>4</v>
      </c>
      <c r="BT301" s="4">
        <f t="shared" si="166"/>
        <v>4</v>
      </c>
      <c r="BU301" s="4">
        <f t="shared" si="167"/>
        <v>4</v>
      </c>
      <c r="BV301" s="4" t="str">
        <f t="shared" si="168"/>
        <v>0</v>
      </c>
      <c r="BW301" s="4">
        <f t="shared" si="169"/>
        <v>6</v>
      </c>
      <c r="BX301" s="4">
        <f t="shared" si="170"/>
        <v>0</v>
      </c>
      <c r="BY301" s="4">
        <f t="shared" si="171"/>
        <v>0</v>
      </c>
      <c r="BZ301" s="37">
        <f t="shared" si="172"/>
        <v>88</v>
      </c>
      <c r="CA301" s="32" t="str">
        <f>VLOOKUP(J:J,'Agent wise'!A:C,3,0)</f>
        <v>Adharsh</v>
      </c>
      <c r="CB301" s="32">
        <f t="shared" si="173"/>
        <v>45936</v>
      </c>
      <c r="CC301" t="str">
        <f t="shared" si="174"/>
        <v>Average</v>
      </c>
      <c r="CE301" s="32"/>
      <c r="CJ301">
        <f t="shared" si="175"/>
        <v>6</v>
      </c>
      <c r="CK301">
        <f t="shared" si="176"/>
        <v>10</v>
      </c>
      <c r="CL301">
        <f t="shared" si="177"/>
        <v>2025</v>
      </c>
    </row>
    <row r="302" spans="1:90" ht="15" customHeight="1" x14ac:dyDescent="0.35">
      <c r="A302" s="40">
        <v>45818.552905092591</v>
      </c>
      <c r="B302" t="s">
        <v>51</v>
      </c>
      <c r="C302" t="s">
        <v>214</v>
      </c>
      <c r="D302" t="s">
        <v>53</v>
      </c>
      <c r="E302" s="32">
        <v>45936</v>
      </c>
      <c r="F302" t="s">
        <v>54</v>
      </c>
      <c r="G302" s="2">
        <v>45787</v>
      </c>
      <c r="H302">
        <v>9446928182</v>
      </c>
      <c r="I302">
        <v>150</v>
      </c>
      <c r="J302" t="s">
        <v>528</v>
      </c>
      <c r="K302" t="s">
        <v>57</v>
      </c>
      <c r="L302" t="s">
        <v>58</v>
      </c>
      <c r="M302" t="s">
        <v>59</v>
      </c>
      <c r="N302" t="s">
        <v>59</v>
      </c>
      <c r="O302" t="s">
        <v>59</v>
      </c>
      <c r="P302" t="s">
        <v>59</v>
      </c>
      <c r="Q302" t="s">
        <v>59</v>
      </c>
      <c r="R302" t="s">
        <v>60</v>
      </c>
      <c r="S302" t="s">
        <v>59</v>
      </c>
      <c r="T302" t="s">
        <v>59</v>
      </c>
      <c r="U302" t="s">
        <v>59</v>
      </c>
      <c r="V302" t="s">
        <v>59</v>
      </c>
      <c r="W302" t="s">
        <v>59</v>
      </c>
      <c r="X302" t="s">
        <v>59</v>
      </c>
      <c r="Y302" t="s">
        <v>59</v>
      </c>
      <c r="Z302" t="s">
        <v>59</v>
      </c>
      <c r="AA302" t="s">
        <v>59</v>
      </c>
      <c r="AB302" t="s">
        <v>61</v>
      </c>
      <c r="AC302" t="s">
        <v>60</v>
      </c>
      <c r="AD302" t="s">
        <v>59</v>
      </c>
      <c r="AE302" t="s">
        <v>59</v>
      </c>
      <c r="AF302" t="s">
        <v>61</v>
      </c>
      <c r="AG302" t="s">
        <v>59</v>
      </c>
      <c r="AH302" t="s">
        <v>61</v>
      </c>
      <c r="AI302" t="s">
        <v>60</v>
      </c>
      <c r="AJ302" t="s">
        <v>59</v>
      </c>
      <c r="AK302" t="s">
        <v>61</v>
      </c>
      <c r="AL302" t="s">
        <v>60</v>
      </c>
      <c r="AM302" t="s">
        <v>59</v>
      </c>
      <c r="AN302" t="s">
        <v>59</v>
      </c>
      <c r="AO302" t="s">
        <v>59</v>
      </c>
      <c r="AP302" t="s">
        <v>868</v>
      </c>
      <c r="AQ302" t="s">
        <v>869</v>
      </c>
      <c r="AR302" t="s">
        <v>64</v>
      </c>
      <c r="AS302" t="s">
        <v>171</v>
      </c>
      <c r="AT302" t="s">
        <v>190</v>
      </c>
      <c r="AU302" t="s">
        <v>299</v>
      </c>
      <c r="AW302" s="4">
        <f t="shared" si="143"/>
        <v>6</v>
      </c>
      <c r="AX302" s="4">
        <f t="shared" si="144"/>
        <v>4</v>
      </c>
      <c r="AY302" s="4">
        <f t="shared" si="145"/>
        <v>4</v>
      </c>
      <c r="AZ302" s="4">
        <f t="shared" si="146"/>
        <v>2</v>
      </c>
      <c r="BA302" s="4">
        <f t="shared" si="147"/>
        <v>4</v>
      </c>
      <c r="BB302" s="4" t="str">
        <f t="shared" si="148"/>
        <v>0</v>
      </c>
      <c r="BC302" s="4">
        <f t="shared" si="149"/>
        <v>4</v>
      </c>
      <c r="BD302" s="4">
        <f t="shared" si="150"/>
        <v>2</v>
      </c>
      <c r="BE302" s="4">
        <f t="shared" si="151"/>
        <v>4</v>
      </c>
      <c r="BF302" s="4">
        <f t="shared" si="152"/>
        <v>2</v>
      </c>
      <c r="BG302" s="4">
        <f t="shared" si="153"/>
        <v>4</v>
      </c>
      <c r="BH302" s="4">
        <f t="shared" si="154"/>
        <v>4</v>
      </c>
      <c r="BI302" s="4">
        <f t="shared" si="155"/>
        <v>4</v>
      </c>
      <c r="BJ302" s="4">
        <f t="shared" si="156"/>
        <v>2</v>
      </c>
      <c r="BK302" s="4">
        <f t="shared" si="157"/>
        <v>4</v>
      </c>
      <c r="BL302" s="4">
        <f t="shared" si="158"/>
        <v>2</v>
      </c>
      <c r="BM302" s="4" t="str">
        <f t="shared" si="159"/>
        <v>0</v>
      </c>
      <c r="BN302" s="4">
        <f t="shared" si="160"/>
        <v>4</v>
      </c>
      <c r="BO302" s="4">
        <f t="shared" si="161"/>
        <v>4</v>
      </c>
      <c r="BP302" s="4">
        <f t="shared" si="162"/>
        <v>4</v>
      </c>
      <c r="BQ302" s="4">
        <f t="shared" si="163"/>
        <v>6</v>
      </c>
      <c r="BR302" s="4">
        <f t="shared" si="164"/>
        <v>4</v>
      </c>
      <c r="BS302" s="4" t="str">
        <f t="shared" si="165"/>
        <v>0</v>
      </c>
      <c r="BT302" s="4">
        <f t="shared" si="166"/>
        <v>4</v>
      </c>
      <c r="BU302" s="4">
        <f t="shared" si="167"/>
        <v>4</v>
      </c>
      <c r="BV302" s="4" t="str">
        <f t="shared" si="168"/>
        <v>0</v>
      </c>
      <c r="BW302" s="4">
        <f t="shared" si="169"/>
        <v>6</v>
      </c>
      <c r="BX302" s="4">
        <f t="shared" si="170"/>
        <v>0</v>
      </c>
      <c r="BY302" s="4">
        <f t="shared" si="171"/>
        <v>0</v>
      </c>
      <c r="BZ302" s="37">
        <f t="shared" si="172"/>
        <v>88</v>
      </c>
      <c r="CA302" s="32" t="str">
        <f>VLOOKUP(J:J,'Agent wise'!A:C,3,0)</f>
        <v>Adharsh</v>
      </c>
      <c r="CB302" s="32">
        <f t="shared" si="173"/>
        <v>45936</v>
      </c>
      <c r="CC302" t="str">
        <f t="shared" si="174"/>
        <v>Average</v>
      </c>
      <c r="CE302" s="32"/>
      <c r="CJ302">
        <f t="shared" si="175"/>
        <v>6</v>
      </c>
      <c r="CK302">
        <f t="shared" si="176"/>
        <v>10</v>
      </c>
      <c r="CL302">
        <f t="shared" si="177"/>
        <v>2025</v>
      </c>
    </row>
    <row r="303" spans="1:90" ht="15" customHeight="1" x14ac:dyDescent="0.35">
      <c r="A303" s="40">
        <v>45818.575486111113</v>
      </c>
      <c r="B303" t="s">
        <v>51</v>
      </c>
      <c r="C303" t="s">
        <v>214</v>
      </c>
      <c r="D303" t="s">
        <v>53</v>
      </c>
      <c r="E303" s="32">
        <v>45936</v>
      </c>
      <c r="F303" t="s">
        <v>90</v>
      </c>
      <c r="G303" s="2">
        <v>45787</v>
      </c>
      <c r="H303">
        <v>9443216964</v>
      </c>
      <c r="I303">
        <v>324</v>
      </c>
      <c r="J303" t="s">
        <v>208</v>
      </c>
      <c r="K303" t="s">
        <v>71</v>
      </c>
      <c r="L303" t="s">
        <v>72</v>
      </c>
      <c r="M303" t="s">
        <v>59</v>
      </c>
      <c r="N303" t="s">
        <v>59</v>
      </c>
      <c r="O303" t="s">
        <v>59</v>
      </c>
      <c r="P303" t="s">
        <v>59</v>
      </c>
      <c r="Q303" t="s">
        <v>59</v>
      </c>
      <c r="R303" t="s">
        <v>60</v>
      </c>
      <c r="S303" t="s">
        <v>59</v>
      </c>
      <c r="T303" t="s">
        <v>59</v>
      </c>
      <c r="U303" t="s">
        <v>59</v>
      </c>
      <c r="V303" t="s">
        <v>59</v>
      </c>
      <c r="W303" t="s">
        <v>59</v>
      </c>
      <c r="X303" t="s">
        <v>59</v>
      </c>
      <c r="Y303" t="s">
        <v>59</v>
      </c>
      <c r="Z303" t="s">
        <v>59</v>
      </c>
      <c r="AA303" t="s">
        <v>59</v>
      </c>
      <c r="AB303" t="s">
        <v>60</v>
      </c>
      <c r="AC303" t="s">
        <v>61</v>
      </c>
      <c r="AD303" t="s">
        <v>59</v>
      </c>
      <c r="AE303" t="s">
        <v>60</v>
      </c>
      <c r="AF303" t="s">
        <v>61</v>
      </c>
      <c r="AG303" t="s">
        <v>59</v>
      </c>
      <c r="AH303" t="s">
        <v>61</v>
      </c>
      <c r="AI303" t="s">
        <v>60</v>
      </c>
      <c r="AJ303" t="s">
        <v>59</v>
      </c>
      <c r="AK303" t="s">
        <v>61</v>
      </c>
      <c r="AL303" t="s">
        <v>60</v>
      </c>
      <c r="AM303" t="s">
        <v>59</v>
      </c>
      <c r="AN303" t="s">
        <v>59</v>
      </c>
      <c r="AO303" t="s">
        <v>59</v>
      </c>
      <c r="AP303" t="s">
        <v>870</v>
      </c>
      <c r="AQ303" t="s">
        <v>871</v>
      </c>
      <c r="AR303" t="s">
        <v>64</v>
      </c>
      <c r="AS303" t="s">
        <v>94</v>
      </c>
      <c r="AT303" t="s">
        <v>95</v>
      </c>
      <c r="AU303" t="s">
        <v>299</v>
      </c>
      <c r="AW303" s="4">
        <f t="shared" si="143"/>
        <v>6</v>
      </c>
      <c r="AX303" s="4">
        <f t="shared" si="144"/>
        <v>4</v>
      </c>
      <c r="AY303" s="4">
        <f t="shared" si="145"/>
        <v>4</v>
      </c>
      <c r="AZ303" s="4">
        <f t="shared" si="146"/>
        <v>2</v>
      </c>
      <c r="BA303" s="4">
        <f t="shared" si="147"/>
        <v>4</v>
      </c>
      <c r="BB303" s="4" t="str">
        <f t="shared" si="148"/>
        <v>0</v>
      </c>
      <c r="BC303" s="4">
        <f t="shared" si="149"/>
        <v>4</v>
      </c>
      <c r="BD303" s="4">
        <f t="shared" si="150"/>
        <v>2</v>
      </c>
      <c r="BE303" s="4">
        <f t="shared" si="151"/>
        <v>4</v>
      </c>
      <c r="BF303" s="4">
        <f t="shared" si="152"/>
        <v>2</v>
      </c>
      <c r="BG303" s="4">
        <f t="shared" si="153"/>
        <v>4</v>
      </c>
      <c r="BH303" s="4">
        <f t="shared" si="154"/>
        <v>4</v>
      </c>
      <c r="BI303" s="4">
        <f t="shared" si="155"/>
        <v>4</v>
      </c>
      <c r="BJ303" s="4">
        <f t="shared" si="156"/>
        <v>2</v>
      </c>
      <c r="BK303" s="4">
        <f t="shared" si="157"/>
        <v>4</v>
      </c>
      <c r="BL303" s="4" t="str">
        <f t="shared" si="158"/>
        <v>0</v>
      </c>
      <c r="BM303" s="4">
        <f t="shared" si="159"/>
        <v>4</v>
      </c>
      <c r="BN303" s="4">
        <f t="shared" si="160"/>
        <v>4</v>
      </c>
      <c r="BO303" s="4" t="str">
        <f t="shared" si="161"/>
        <v>0</v>
      </c>
      <c r="BP303" s="4">
        <f t="shared" si="162"/>
        <v>4</v>
      </c>
      <c r="BQ303" s="4">
        <f t="shared" si="163"/>
        <v>6</v>
      </c>
      <c r="BR303" s="4">
        <f t="shared" si="164"/>
        <v>4</v>
      </c>
      <c r="BS303" s="4" t="str">
        <f t="shared" si="165"/>
        <v>0</v>
      </c>
      <c r="BT303" s="4">
        <f t="shared" si="166"/>
        <v>4</v>
      </c>
      <c r="BU303" s="4">
        <f t="shared" si="167"/>
        <v>4</v>
      </c>
      <c r="BV303" s="4" t="str">
        <f t="shared" si="168"/>
        <v>0</v>
      </c>
      <c r="BW303" s="4">
        <f t="shared" si="169"/>
        <v>6</v>
      </c>
      <c r="BX303" s="4">
        <f t="shared" si="170"/>
        <v>0</v>
      </c>
      <c r="BY303" s="4">
        <f t="shared" si="171"/>
        <v>0</v>
      </c>
      <c r="BZ303" s="37">
        <f t="shared" si="172"/>
        <v>86</v>
      </c>
      <c r="CA303" s="32" t="str">
        <f>VLOOKUP(J:J,'Agent wise'!A:C,3,0)</f>
        <v>Adharsh</v>
      </c>
      <c r="CB303" s="32">
        <f t="shared" si="173"/>
        <v>45936</v>
      </c>
      <c r="CC303" t="str">
        <f t="shared" si="174"/>
        <v>Average</v>
      </c>
      <c r="CE303" s="32"/>
      <c r="CJ303">
        <f t="shared" si="175"/>
        <v>6</v>
      </c>
      <c r="CK303">
        <f t="shared" si="176"/>
        <v>10</v>
      </c>
      <c r="CL303">
        <f t="shared" si="177"/>
        <v>2025</v>
      </c>
    </row>
    <row r="304" spans="1:90" ht="15" customHeight="1" x14ac:dyDescent="0.35">
      <c r="A304" s="40">
        <v>45818.595972222232</v>
      </c>
      <c r="B304" t="s">
        <v>51</v>
      </c>
      <c r="C304" t="s">
        <v>214</v>
      </c>
      <c r="D304" t="s">
        <v>53</v>
      </c>
      <c r="E304" s="32">
        <v>45936</v>
      </c>
      <c r="F304" t="s">
        <v>90</v>
      </c>
      <c r="G304" s="2">
        <v>45787</v>
      </c>
      <c r="H304">
        <v>9385568902</v>
      </c>
      <c r="I304">
        <v>255</v>
      </c>
      <c r="J304" t="s">
        <v>552</v>
      </c>
      <c r="K304" t="s">
        <v>71</v>
      </c>
      <c r="L304" t="s">
        <v>72</v>
      </c>
      <c r="M304" t="s">
        <v>59</v>
      </c>
      <c r="N304" t="s">
        <v>59</v>
      </c>
      <c r="O304" t="s">
        <v>59</v>
      </c>
      <c r="P304" t="s">
        <v>59</v>
      </c>
      <c r="Q304" t="s">
        <v>59</v>
      </c>
      <c r="R304" t="s">
        <v>60</v>
      </c>
      <c r="S304" t="s">
        <v>59</v>
      </c>
      <c r="T304" t="s">
        <v>59</v>
      </c>
      <c r="U304" t="s">
        <v>59</v>
      </c>
      <c r="V304" t="s">
        <v>59</v>
      </c>
      <c r="W304" t="s">
        <v>59</v>
      </c>
      <c r="X304" t="s">
        <v>59</v>
      </c>
      <c r="Y304" t="s">
        <v>59</v>
      </c>
      <c r="Z304" t="s">
        <v>59</v>
      </c>
      <c r="AA304" t="s">
        <v>59</v>
      </c>
      <c r="AB304" t="s">
        <v>60</v>
      </c>
      <c r="AC304" t="s">
        <v>61</v>
      </c>
      <c r="AD304" t="s">
        <v>59</v>
      </c>
      <c r="AE304" t="s">
        <v>59</v>
      </c>
      <c r="AF304" t="s">
        <v>61</v>
      </c>
      <c r="AG304" t="s">
        <v>59</v>
      </c>
      <c r="AH304" t="s">
        <v>61</v>
      </c>
      <c r="AI304" t="s">
        <v>61</v>
      </c>
      <c r="AJ304" t="s">
        <v>59</v>
      </c>
      <c r="AK304" t="s">
        <v>61</v>
      </c>
      <c r="AL304" t="s">
        <v>60</v>
      </c>
      <c r="AM304" t="s">
        <v>59</v>
      </c>
      <c r="AN304" t="s">
        <v>59</v>
      </c>
      <c r="AO304" t="s">
        <v>59</v>
      </c>
      <c r="AP304" t="s">
        <v>743</v>
      </c>
      <c r="AQ304" t="s">
        <v>532</v>
      </c>
      <c r="AR304" t="s">
        <v>64</v>
      </c>
      <c r="AS304" t="s">
        <v>94</v>
      </c>
      <c r="AT304" t="s">
        <v>95</v>
      </c>
      <c r="AU304" t="s">
        <v>872</v>
      </c>
      <c r="AW304" s="4">
        <f t="shared" si="143"/>
        <v>6</v>
      </c>
      <c r="AX304" s="4">
        <f t="shared" si="144"/>
        <v>4</v>
      </c>
      <c r="AY304" s="4">
        <f t="shared" si="145"/>
        <v>4</v>
      </c>
      <c r="AZ304" s="4">
        <f t="shared" si="146"/>
        <v>2</v>
      </c>
      <c r="BA304" s="4">
        <f t="shared" si="147"/>
        <v>4</v>
      </c>
      <c r="BB304" s="4" t="str">
        <f t="shared" si="148"/>
        <v>0</v>
      </c>
      <c r="BC304" s="4">
        <f t="shared" si="149"/>
        <v>4</v>
      </c>
      <c r="BD304" s="4">
        <f t="shared" si="150"/>
        <v>2</v>
      </c>
      <c r="BE304" s="4">
        <f t="shared" si="151"/>
        <v>4</v>
      </c>
      <c r="BF304" s="4">
        <f t="shared" si="152"/>
        <v>2</v>
      </c>
      <c r="BG304" s="4">
        <f t="shared" si="153"/>
        <v>4</v>
      </c>
      <c r="BH304" s="4">
        <f t="shared" si="154"/>
        <v>4</v>
      </c>
      <c r="BI304" s="4">
        <f t="shared" si="155"/>
        <v>4</v>
      </c>
      <c r="BJ304" s="4">
        <f t="shared" si="156"/>
        <v>2</v>
      </c>
      <c r="BK304" s="4">
        <f t="shared" si="157"/>
        <v>4</v>
      </c>
      <c r="BL304" s="4" t="str">
        <f t="shared" si="158"/>
        <v>0</v>
      </c>
      <c r="BM304" s="4">
        <f t="shared" si="159"/>
        <v>4</v>
      </c>
      <c r="BN304" s="4">
        <f t="shared" si="160"/>
        <v>4</v>
      </c>
      <c r="BO304" s="4">
        <f t="shared" si="161"/>
        <v>4</v>
      </c>
      <c r="BP304" s="4">
        <f t="shared" si="162"/>
        <v>4</v>
      </c>
      <c r="BQ304" s="4">
        <f t="shared" si="163"/>
        <v>6</v>
      </c>
      <c r="BR304" s="4">
        <f t="shared" si="164"/>
        <v>4</v>
      </c>
      <c r="BS304" s="4">
        <f t="shared" si="165"/>
        <v>4</v>
      </c>
      <c r="BT304" s="4">
        <f t="shared" si="166"/>
        <v>4</v>
      </c>
      <c r="BU304" s="4">
        <f t="shared" si="167"/>
        <v>4</v>
      </c>
      <c r="BV304" s="4" t="str">
        <f t="shared" si="168"/>
        <v>0</v>
      </c>
      <c r="BW304" s="4">
        <f t="shared" si="169"/>
        <v>6</v>
      </c>
      <c r="BX304" s="4">
        <f t="shared" si="170"/>
        <v>0</v>
      </c>
      <c r="BY304" s="4">
        <f t="shared" si="171"/>
        <v>0</v>
      </c>
      <c r="BZ304" s="37">
        <f t="shared" si="172"/>
        <v>94</v>
      </c>
      <c r="CA304" s="32" t="str">
        <f>VLOOKUP(J:J,'Agent wise'!A:C,3,0)</f>
        <v xml:space="preserve">Shiny </v>
      </c>
      <c r="CB304" s="32">
        <f t="shared" si="173"/>
        <v>45936</v>
      </c>
      <c r="CC304" t="str">
        <f t="shared" si="174"/>
        <v>Good</v>
      </c>
      <c r="CE304" s="32"/>
      <c r="CJ304">
        <f t="shared" si="175"/>
        <v>6</v>
      </c>
      <c r="CK304">
        <f t="shared" si="176"/>
        <v>10</v>
      </c>
      <c r="CL304">
        <f t="shared" si="177"/>
        <v>2025</v>
      </c>
    </row>
    <row r="305" spans="1:90" ht="15" customHeight="1" x14ac:dyDescent="0.35">
      <c r="A305" s="40">
        <v>45818.645231481481</v>
      </c>
      <c r="B305" t="s">
        <v>100</v>
      </c>
      <c r="C305" t="s">
        <v>214</v>
      </c>
      <c r="D305" t="s">
        <v>101</v>
      </c>
      <c r="E305" s="32">
        <v>45936</v>
      </c>
      <c r="F305" t="s">
        <v>54</v>
      </c>
      <c r="G305" s="2">
        <v>45757</v>
      </c>
      <c r="H305">
        <v>8547839798</v>
      </c>
      <c r="I305">
        <v>147</v>
      </c>
      <c r="J305" t="s">
        <v>873</v>
      </c>
      <c r="K305" t="s">
        <v>57</v>
      </c>
      <c r="L305" t="s">
        <v>58</v>
      </c>
      <c r="M305" t="s">
        <v>59</v>
      </c>
      <c r="N305" t="s">
        <v>59</v>
      </c>
      <c r="O305" t="s">
        <v>59</v>
      </c>
      <c r="P305" t="s">
        <v>59</v>
      </c>
      <c r="Q305" t="s">
        <v>59</v>
      </c>
      <c r="R305" t="s">
        <v>60</v>
      </c>
      <c r="S305" t="s">
        <v>59</v>
      </c>
      <c r="T305" t="s">
        <v>59</v>
      </c>
      <c r="U305" t="s">
        <v>59</v>
      </c>
      <c r="V305" t="s">
        <v>59</v>
      </c>
      <c r="W305" t="s">
        <v>59</v>
      </c>
      <c r="X305" t="s">
        <v>59</v>
      </c>
      <c r="Y305" t="s">
        <v>59</v>
      </c>
      <c r="Z305" t="s">
        <v>59</v>
      </c>
      <c r="AA305" t="s">
        <v>59</v>
      </c>
      <c r="AB305" t="s">
        <v>59</v>
      </c>
      <c r="AC305" t="s">
        <v>60</v>
      </c>
      <c r="AD305" t="s">
        <v>59</v>
      </c>
      <c r="AE305" t="s">
        <v>59</v>
      </c>
      <c r="AF305" t="s">
        <v>59</v>
      </c>
      <c r="AG305" t="s">
        <v>59</v>
      </c>
      <c r="AH305" t="s">
        <v>59</v>
      </c>
      <c r="AI305" t="s">
        <v>61</v>
      </c>
      <c r="AJ305" t="s">
        <v>59</v>
      </c>
      <c r="AK305" t="s">
        <v>59</v>
      </c>
      <c r="AL305" t="s">
        <v>59</v>
      </c>
      <c r="AM305" t="s">
        <v>59</v>
      </c>
      <c r="AN305" t="s">
        <v>59</v>
      </c>
      <c r="AO305" t="s">
        <v>59</v>
      </c>
      <c r="AP305" t="s">
        <v>874</v>
      </c>
      <c r="AQ305" s="1" t="s">
        <v>875</v>
      </c>
      <c r="AR305" t="s">
        <v>64</v>
      </c>
      <c r="AS305" t="s">
        <v>241</v>
      </c>
      <c r="AT305" t="s">
        <v>186</v>
      </c>
      <c r="AU305" t="s">
        <v>219</v>
      </c>
      <c r="AW305" s="4">
        <f t="shared" si="143"/>
        <v>6</v>
      </c>
      <c r="AX305" s="4">
        <f t="shared" si="144"/>
        <v>4</v>
      </c>
      <c r="AY305" s="4">
        <f t="shared" si="145"/>
        <v>4</v>
      </c>
      <c r="AZ305" s="4">
        <f t="shared" si="146"/>
        <v>2</v>
      </c>
      <c r="BA305" s="4">
        <f t="shared" si="147"/>
        <v>4</v>
      </c>
      <c r="BB305" s="4" t="str">
        <f t="shared" si="148"/>
        <v>0</v>
      </c>
      <c r="BC305" s="4">
        <f t="shared" si="149"/>
        <v>4</v>
      </c>
      <c r="BD305" s="4">
        <f t="shared" si="150"/>
        <v>2</v>
      </c>
      <c r="BE305" s="4">
        <f t="shared" si="151"/>
        <v>4</v>
      </c>
      <c r="BF305" s="4">
        <f t="shared" si="152"/>
        <v>2</v>
      </c>
      <c r="BG305" s="4">
        <f t="shared" si="153"/>
        <v>4</v>
      </c>
      <c r="BH305" s="4">
        <f t="shared" si="154"/>
        <v>4</v>
      </c>
      <c r="BI305" s="4">
        <f t="shared" si="155"/>
        <v>4</v>
      </c>
      <c r="BJ305" s="4">
        <f t="shared" si="156"/>
        <v>2</v>
      </c>
      <c r="BK305" s="4">
        <f t="shared" si="157"/>
        <v>4</v>
      </c>
      <c r="BL305" s="4">
        <f t="shared" si="158"/>
        <v>2</v>
      </c>
      <c r="BM305" s="4" t="str">
        <f t="shared" si="159"/>
        <v>0</v>
      </c>
      <c r="BN305" s="4">
        <f t="shared" si="160"/>
        <v>4</v>
      </c>
      <c r="BO305" s="4">
        <f t="shared" si="161"/>
        <v>4</v>
      </c>
      <c r="BP305" s="4">
        <f t="shared" si="162"/>
        <v>4</v>
      </c>
      <c r="BQ305" s="4">
        <f t="shared" si="163"/>
        <v>6</v>
      </c>
      <c r="BR305" s="4">
        <f t="shared" si="164"/>
        <v>4</v>
      </c>
      <c r="BS305" s="4">
        <f t="shared" si="165"/>
        <v>4</v>
      </c>
      <c r="BT305" s="4">
        <f t="shared" si="166"/>
        <v>4</v>
      </c>
      <c r="BU305" s="4">
        <f t="shared" si="167"/>
        <v>4</v>
      </c>
      <c r="BV305" s="4">
        <f t="shared" si="168"/>
        <v>0</v>
      </c>
      <c r="BW305" s="4">
        <f t="shared" si="169"/>
        <v>6</v>
      </c>
      <c r="BX305" s="4">
        <f t="shared" si="170"/>
        <v>0</v>
      </c>
      <c r="BY305" s="4">
        <f t="shared" si="171"/>
        <v>0</v>
      </c>
      <c r="BZ305" s="37">
        <f t="shared" si="172"/>
        <v>92</v>
      </c>
      <c r="CA305" s="32" t="str">
        <f>VLOOKUP(J:J,'Agent wise'!A:C,3,0)</f>
        <v xml:space="preserve">Shiny </v>
      </c>
      <c r="CB305" s="32">
        <f t="shared" si="173"/>
        <v>45936</v>
      </c>
      <c r="CC305" t="str">
        <f t="shared" si="174"/>
        <v>Good</v>
      </c>
      <c r="CE305" s="32"/>
      <c r="CJ305">
        <f t="shared" si="175"/>
        <v>6</v>
      </c>
      <c r="CK305">
        <f t="shared" si="176"/>
        <v>10</v>
      </c>
      <c r="CL305">
        <f t="shared" si="177"/>
        <v>2025</v>
      </c>
    </row>
    <row r="306" spans="1:90" ht="15" customHeight="1" x14ac:dyDescent="0.35">
      <c r="A306" s="40">
        <v>45818.654050925928</v>
      </c>
      <c r="B306" t="s">
        <v>100</v>
      </c>
      <c r="C306" t="s">
        <v>214</v>
      </c>
      <c r="D306" t="s">
        <v>101</v>
      </c>
      <c r="E306" s="32">
        <v>45936</v>
      </c>
      <c r="F306" t="s">
        <v>54</v>
      </c>
      <c r="G306" s="2">
        <v>45787</v>
      </c>
      <c r="H306">
        <v>9447876322</v>
      </c>
      <c r="I306">
        <v>156</v>
      </c>
      <c r="J306" t="s">
        <v>238</v>
      </c>
      <c r="K306" t="s">
        <v>57</v>
      </c>
      <c r="L306" t="s">
        <v>58</v>
      </c>
      <c r="M306" t="s">
        <v>59</v>
      </c>
      <c r="N306" t="s">
        <v>59</v>
      </c>
      <c r="O306" t="s">
        <v>59</v>
      </c>
      <c r="P306" t="s">
        <v>59</v>
      </c>
      <c r="Q306" t="s">
        <v>59</v>
      </c>
      <c r="R306" t="s">
        <v>59</v>
      </c>
      <c r="S306" t="s">
        <v>59</v>
      </c>
      <c r="T306" t="s">
        <v>59</v>
      </c>
      <c r="U306" t="s">
        <v>59</v>
      </c>
      <c r="V306" t="s">
        <v>59</v>
      </c>
      <c r="W306" t="s">
        <v>59</v>
      </c>
      <c r="X306" t="s">
        <v>59</v>
      </c>
      <c r="Y306" t="s">
        <v>59</v>
      </c>
      <c r="Z306" t="s">
        <v>59</v>
      </c>
      <c r="AA306" t="s">
        <v>60</v>
      </c>
      <c r="AB306" t="s">
        <v>59</v>
      </c>
      <c r="AC306" t="s">
        <v>60</v>
      </c>
      <c r="AD306" t="s">
        <v>59</v>
      </c>
      <c r="AE306" t="s">
        <v>59</v>
      </c>
      <c r="AF306" t="s">
        <v>59</v>
      </c>
      <c r="AG306" t="s">
        <v>59</v>
      </c>
      <c r="AH306" t="s">
        <v>59</v>
      </c>
      <c r="AI306" t="s">
        <v>61</v>
      </c>
      <c r="AJ306" t="s">
        <v>59</v>
      </c>
      <c r="AK306" t="s">
        <v>59</v>
      </c>
      <c r="AL306" t="s">
        <v>59</v>
      </c>
      <c r="AM306" t="s">
        <v>59</v>
      </c>
      <c r="AN306" t="s">
        <v>59</v>
      </c>
      <c r="AO306" t="s">
        <v>59</v>
      </c>
      <c r="AP306" t="s">
        <v>239</v>
      </c>
      <c r="AQ306" s="1" t="s">
        <v>876</v>
      </c>
      <c r="AR306" t="s">
        <v>64</v>
      </c>
      <c r="AS306" t="s">
        <v>135</v>
      </c>
      <c r="AT306" t="s">
        <v>194</v>
      </c>
      <c r="AU306" t="s">
        <v>219</v>
      </c>
      <c r="AW306" s="4">
        <f t="shared" si="143"/>
        <v>6</v>
      </c>
      <c r="AX306" s="4">
        <f t="shared" si="144"/>
        <v>4</v>
      </c>
      <c r="AY306" s="4">
        <f t="shared" si="145"/>
        <v>4</v>
      </c>
      <c r="AZ306" s="4">
        <f t="shared" si="146"/>
        <v>2</v>
      </c>
      <c r="BA306" s="4">
        <f t="shared" si="147"/>
        <v>4</v>
      </c>
      <c r="BB306" s="4">
        <f t="shared" si="148"/>
        <v>4</v>
      </c>
      <c r="BC306" s="4">
        <f t="shared" si="149"/>
        <v>4</v>
      </c>
      <c r="BD306" s="4">
        <f t="shared" si="150"/>
        <v>2</v>
      </c>
      <c r="BE306" s="4">
        <f t="shared" si="151"/>
        <v>4</v>
      </c>
      <c r="BF306" s="4">
        <f t="shared" si="152"/>
        <v>2</v>
      </c>
      <c r="BG306" s="4">
        <f t="shared" si="153"/>
        <v>4</v>
      </c>
      <c r="BH306" s="4">
        <f t="shared" si="154"/>
        <v>4</v>
      </c>
      <c r="BI306" s="4">
        <f t="shared" si="155"/>
        <v>4</v>
      </c>
      <c r="BJ306" s="4">
        <f t="shared" si="156"/>
        <v>2</v>
      </c>
      <c r="BK306" s="4" t="str">
        <f t="shared" si="157"/>
        <v>0</v>
      </c>
      <c r="BL306" s="4">
        <f t="shared" si="158"/>
        <v>2</v>
      </c>
      <c r="BM306" s="4" t="str">
        <f t="shared" si="159"/>
        <v>0</v>
      </c>
      <c r="BN306" s="4">
        <f t="shared" si="160"/>
        <v>4</v>
      </c>
      <c r="BO306" s="4">
        <f t="shared" si="161"/>
        <v>4</v>
      </c>
      <c r="BP306" s="4">
        <f t="shared" si="162"/>
        <v>4</v>
      </c>
      <c r="BQ306" s="4">
        <f t="shared" si="163"/>
        <v>6</v>
      </c>
      <c r="BR306" s="4">
        <f t="shared" si="164"/>
        <v>4</v>
      </c>
      <c r="BS306" s="4">
        <f t="shared" si="165"/>
        <v>4</v>
      </c>
      <c r="BT306" s="4">
        <f t="shared" si="166"/>
        <v>4</v>
      </c>
      <c r="BU306" s="4">
        <f t="shared" si="167"/>
        <v>4</v>
      </c>
      <c r="BV306" s="4">
        <f t="shared" si="168"/>
        <v>0</v>
      </c>
      <c r="BW306" s="4">
        <f t="shared" si="169"/>
        <v>6</v>
      </c>
      <c r="BX306" s="4">
        <f t="shared" si="170"/>
        <v>0</v>
      </c>
      <c r="BY306" s="4">
        <f t="shared" si="171"/>
        <v>0</v>
      </c>
      <c r="BZ306" s="37">
        <f t="shared" si="172"/>
        <v>92</v>
      </c>
      <c r="CA306" s="32" t="str">
        <f>VLOOKUP(J:J,'Agent wise'!A:C,3,0)</f>
        <v xml:space="preserve">Shiny </v>
      </c>
      <c r="CB306" s="32">
        <f t="shared" si="173"/>
        <v>45936</v>
      </c>
      <c r="CC306" t="str">
        <f t="shared" si="174"/>
        <v>Good</v>
      </c>
      <c r="CE306" s="32"/>
      <c r="CJ306">
        <f t="shared" si="175"/>
        <v>6</v>
      </c>
      <c r="CK306">
        <f t="shared" si="176"/>
        <v>10</v>
      </c>
      <c r="CL306">
        <f t="shared" si="177"/>
        <v>2025</v>
      </c>
    </row>
    <row r="307" spans="1:90" ht="15" customHeight="1" x14ac:dyDescent="0.35">
      <c r="A307" s="40">
        <v>45818.656967592593</v>
      </c>
      <c r="B307" t="s">
        <v>100</v>
      </c>
      <c r="C307" t="s">
        <v>214</v>
      </c>
      <c r="D307" t="s">
        <v>101</v>
      </c>
      <c r="E307" s="32">
        <v>45936</v>
      </c>
      <c r="F307" t="s">
        <v>54</v>
      </c>
      <c r="G307" s="2">
        <v>45787</v>
      </c>
      <c r="H307">
        <v>8838171975</v>
      </c>
      <c r="I307">
        <v>175</v>
      </c>
      <c r="J307" t="s">
        <v>546</v>
      </c>
      <c r="K307" t="s">
        <v>71</v>
      </c>
      <c r="L307" t="s">
        <v>72</v>
      </c>
      <c r="M307" t="s">
        <v>59</v>
      </c>
      <c r="N307" t="s">
        <v>59</v>
      </c>
      <c r="O307" t="s">
        <v>59</v>
      </c>
      <c r="P307" t="s">
        <v>59</v>
      </c>
      <c r="Q307" t="s">
        <v>59</v>
      </c>
      <c r="R307" t="s">
        <v>60</v>
      </c>
      <c r="S307" t="s">
        <v>59</v>
      </c>
      <c r="T307" t="s">
        <v>59</v>
      </c>
      <c r="U307" t="s">
        <v>59</v>
      </c>
      <c r="V307" t="s">
        <v>59</v>
      </c>
      <c r="W307" t="s">
        <v>59</v>
      </c>
      <c r="X307" t="s">
        <v>59</v>
      </c>
      <c r="Y307" t="s">
        <v>59</v>
      </c>
      <c r="Z307" t="s">
        <v>59</v>
      </c>
      <c r="AA307" t="s">
        <v>59</v>
      </c>
      <c r="AB307" t="s">
        <v>59</v>
      </c>
      <c r="AC307" t="s">
        <v>59</v>
      </c>
      <c r="AD307" t="s">
        <v>59</v>
      </c>
      <c r="AE307" t="s">
        <v>59</v>
      </c>
      <c r="AF307" t="s">
        <v>59</v>
      </c>
      <c r="AG307" t="s">
        <v>59</v>
      </c>
      <c r="AH307" t="s">
        <v>59</v>
      </c>
      <c r="AI307" t="s">
        <v>61</v>
      </c>
      <c r="AJ307" t="s">
        <v>59</v>
      </c>
      <c r="AK307" t="s">
        <v>59</v>
      </c>
      <c r="AL307" t="s">
        <v>59</v>
      </c>
      <c r="AM307" t="s">
        <v>59</v>
      </c>
      <c r="AN307" t="s">
        <v>59</v>
      </c>
      <c r="AO307" t="s">
        <v>59</v>
      </c>
      <c r="AP307" t="s">
        <v>537</v>
      </c>
      <c r="AQ307" s="1" t="s">
        <v>877</v>
      </c>
      <c r="AR307" t="s">
        <v>64</v>
      </c>
      <c r="AS307" t="s">
        <v>89</v>
      </c>
      <c r="AT307" t="s">
        <v>84</v>
      </c>
      <c r="AU307" t="s">
        <v>219</v>
      </c>
      <c r="AW307" s="4">
        <f t="shared" si="143"/>
        <v>6</v>
      </c>
      <c r="AX307" s="4">
        <f t="shared" si="144"/>
        <v>4</v>
      </c>
      <c r="AY307" s="4">
        <f t="shared" si="145"/>
        <v>4</v>
      </c>
      <c r="AZ307" s="4">
        <f t="shared" si="146"/>
        <v>2</v>
      </c>
      <c r="BA307" s="4">
        <f t="shared" si="147"/>
        <v>4</v>
      </c>
      <c r="BB307" s="4" t="str">
        <f t="shared" si="148"/>
        <v>0</v>
      </c>
      <c r="BC307" s="4">
        <f t="shared" si="149"/>
        <v>4</v>
      </c>
      <c r="BD307" s="4">
        <f t="shared" si="150"/>
        <v>2</v>
      </c>
      <c r="BE307" s="4">
        <f t="shared" si="151"/>
        <v>4</v>
      </c>
      <c r="BF307" s="4">
        <f t="shared" si="152"/>
        <v>2</v>
      </c>
      <c r="BG307" s="4">
        <f t="shared" si="153"/>
        <v>4</v>
      </c>
      <c r="BH307" s="4">
        <f t="shared" si="154"/>
        <v>4</v>
      </c>
      <c r="BI307" s="4">
        <f t="shared" si="155"/>
        <v>4</v>
      </c>
      <c r="BJ307" s="4">
        <f t="shared" si="156"/>
        <v>2</v>
      </c>
      <c r="BK307" s="4">
        <f t="shared" si="157"/>
        <v>4</v>
      </c>
      <c r="BL307" s="4">
        <f t="shared" si="158"/>
        <v>2</v>
      </c>
      <c r="BM307" s="4">
        <f t="shared" si="159"/>
        <v>4</v>
      </c>
      <c r="BN307" s="4">
        <f t="shared" si="160"/>
        <v>4</v>
      </c>
      <c r="BO307" s="4">
        <f t="shared" si="161"/>
        <v>4</v>
      </c>
      <c r="BP307" s="4">
        <f t="shared" si="162"/>
        <v>4</v>
      </c>
      <c r="BQ307" s="4">
        <f t="shared" si="163"/>
        <v>6</v>
      </c>
      <c r="BR307" s="4">
        <f t="shared" si="164"/>
        <v>4</v>
      </c>
      <c r="BS307" s="4">
        <f t="shared" si="165"/>
        <v>4</v>
      </c>
      <c r="BT307" s="4">
        <f t="shared" si="166"/>
        <v>4</v>
      </c>
      <c r="BU307" s="4">
        <f t="shared" si="167"/>
        <v>4</v>
      </c>
      <c r="BV307" s="4">
        <f t="shared" si="168"/>
        <v>0</v>
      </c>
      <c r="BW307" s="4">
        <f t="shared" si="169"/>
        <v>6</v>
      </c>
      <c r="BX307" s="4">
        <f t="shared" si="170"/>
        <v>0</v>
      </c>
      <c r="BY307" s="4">
        <f t="shared" si="171"/>
        <v>0</v>
      </c>
      <c r="BZ307" s="37">
        <f t="shared" si="172"/>
        <v>96</v>
      </c>
      <c r="CA307" s="32" t="str">
        <f>VLOOKUP(J:J,'Agent wise'!A:C,3,0)</f>
        <v>Shakeer</v>
      </c>
      <c r="CB307" s="32">
        <f t="shared" si="173"/>
        <v>45936</v>
      </c>
      <c r="CC307" t="str">
        <f t="shared" si="174"/>
        <v>Excellent</v>
      </c>
      <c r="CE307" s="32"/>
      <c r="CJ307">
        <f t="shared" si="175"/>
        <v>6</v>
      </c>
      <c r="CK307">
        <f t="shared" si="176"/>
        <v>10</v>
      </c>
      <c r="CL307">
        <f t="shared" si="177"/>
        <v>2025</v>
      </c>
    </row>
    <row r="308" spans="1:90" ht="15" customHeight="1" x14ac:dyDescent="0.35">
      <c r="A308" s="40">
        <v>45818.662627314807</v>
      </c>
      <c r="B308" t="s">
        <v>100</v>
      </c>
      <c r="C308" t="s">
        <v>214</v>
      </c>
      <c r="D308" t="s">
        <v>101</v>
      </c>
      <c r="E308" s="32">
        <v>45936</v>
      </c>
      <c r="F308" t="s">
        <v>54</v>
      </c>
      <c r="G308" s="2">
        <v>45787</v>
      </c>
      <c r="H308">
        <v>9489800711</v>
      </c>
      <c r="I308">
        <v>141</v>
      </c>
      <c r="J308" t="s">
        <v>548</v>
      </c>
      <c r="K308" t="s">
        <v>71</v>
      </c>
      <c r="L308" t="s">
        <v>72</v>
      </c>
      <c r="M308" t="s">
        <v>59</v>
      </c>
      <c r="N308" t="s">
        <v>59</v>
      </c>
      <c r="O308" t="s">
        <v>59</v>
      </c>
      <c r="P308" t="s">
        <v>59</v>
      </c>
      <c r="Q308" t="s">
        <v>59</v>
      </c>
      <c r="R308" t="s">
        <v>60</v>
      </c>
      <c r="S308" t="s">
        <v>59</v>
      </c>
      <c r="T308" t="s">
        <v>59</v>
      </c>
      <c r="U308" t="s">
        <v>59</v>
      </c>
      <c r="V308" t="s">
        <v>59</v>
      </c>
      <c r="W308" t="s">
        <v>59</v>
      </c>
      <c r="X308" t="s">
        <v>59</v>
      </c>
      <c r="Y308" t="s">
        <v>59</v>
      </c>
      <c r="Z308" t="s">
        <v>59</v>
      </c>
      <c r="AA308" t="s">
        <v>59</v>
      </c>
      <c r="AB308" t="s">
        <v>59</v>
      </c>
      <c r="AC308" t="s">
        <v>59</v>
      </c>
      <c r="AD308" t="s">
        <v>59</v>
      </c>
      <c r="AE308" t="s">
        <v>59</v>
      </c>
      <c r="AF308" t="s">
        <v>59</v>
      </c>
      <c r="AG308" t="s">
        <v>59</v>
      </c>
      <c r="AH308" t="s">
        <v>59</v>
      </c>
      <c r="AI308" t="s">
        <v>61</v>
      </c>
      <c r="AJ308" t="s">
        <v>59</v>
      </c>
      <c r="AK308" t="s">
        <v>59</v>
      </c>
      <c r="AL308" t="s">
        <v>59</v>
      </c>
      <c r="AM308" t="s">
        <v>59</v>
      </c>
      <c r="AN308" t="s">
        <v>59</v>
      </c>
      <c r="AO308" t="s">
        <v>59</v>
      </c>
      <c r="AP308" s="1" t="s">
        <v>878</v>
      </c>
      <c r="AQ308" s="1" t="s">
        <v>879</v>
      </c>
      <c r="AR308" t="s">
        <v>64</v>
      </c>
      <c r="AS308" t="s">
        <v>272</v>
      </c>
      <c r="AT308" t="s">
        <v>880</v>
      </c>
      <c r="AU308" t="s">
        <v>219</v>
      </c>
      <c r="AW308" s="4">
        <f t="shared" si="143"/>
        <v>6</v>
      </c>
      <c r="AX308" s="4">
        <f t="shared" si="144"/>
        <v>4</v>
      </c>
      <c r="AY308" s="4">
        <f t="shared" si="145"/>
        <v>4</v>
      </c>
      <c r="AZ308" s="4">
        <f t="shared" si="146"/>
        <v>2</v>
      </c>
      <c r="BA308" s="4">
        <f t="shared" si="147"/>
        <v>4</v>
      </c>
      <c r="BB308" s="4" t="str">
        <f t="shared" si="148"/>
        <v>0</v>
      </c>
      <c r="BC308" s="4">
        <f t="shared" si="149"/>
        <v>4</v>
      </c>
      <c r="BD308" s="4">
        <f t="shared" si="150"/>
        <v>2</v>
      </c>
      <c r="BE308" s="4">
        <f t="shared" si="151"/>
        <v>4</v>
      </c>
      <c r="BF308" s="4">
        <f t="shared" si="152"/>
        <v>2</v>
      </c>
      <c r="BG308" s="4">
        <f t="shared" si="153"/>
        <v>4</v>
      </c>
      <c r="BH308" s="4">
        <f t="shared" si="154"/>
        <v>4</v>
      </c>
      <c r="BI308" s="4">
        <f t="shared" si="155"/>
        <v>4</v>
      </c>
      <c r="BJ308" s="4">
        <f t="shared" si="156"/>
        <v>2</v>
      </c>
      <c r="BK308" s="4">
        <f t="shared" si="157"/>
        <v>4</v>
      </c>
      <c r="BL308" s="4">
        <f t="shared" si="158"/>
        <v>2</v>
      </c>
      <c r="BM308" s="4">
        <f t="shared" si="159"/>
        <v>4</v>
      </c>
      <c r="BN308" s="4">
        <f t="shared" si="160"/>
        <v>4</v>
      </c>
      <c r="BO308" s="4">
        <f t="shared" si="161"/>
        <v>4</v>
      </c>
      <c r="BP308" s="4">
        <f t="shared" si="162"/>
        <v>4</v>
      </c>
      <c r="BQ308" s="4">
        <f t="shared" si="163"/>
        <v>6</v>
      </c>
      <c r="BR308" s="4">
        <f t="shared" si="164"/>
        <v>4</v>
      </c>
      <c r="BS308" s="4">
        <f t="shared" si="165"/>
        <v>4</v>
      </c>
      <c r="BT308" s="4">
        <f t="shared" si="166"/>
        <v>4</v>
      </c>
      <c r="BU308" s="4">
        <f t="shared" si="167"/>
        <v>4</v>
      </c>
      <c r="BV308" s="4">
        <f t="shared" si="168"/>
        <v>0</v>
      </c>
      <c r="BW308" s="4">
        <f t="shared" si="169"/>
        <v>6</v>
      </c>
      <c r="BX308" s="4">
        <f t="shared" si="170"/>
        <v>0</v>
      </c>
      <c r="BY308" s="4">
        <f t="shared" si="171"/>
        <v>0</v>
      </c>
      <c r="BZ308" s="37">
        <f t="shared" si="172"/>
        <v>96</v>
      </c>
      <c r="CA308" s="32" t="str">
        <f>VLOOKUP(J:J,'Agent wise'!A:C,3,0)</f>
        <v>Adharsh</v>
      </c>
      <c r="CB308" s="32">
        <f t="shared" si="173"/>
        <v>45936</v>
      </c>
      <c r="CC308" t="str">
        <f t="shared" si="174"/>
        <v>Excellent</v>
      </c>
      <c r="CE308" s="32"/>
      <c r="CJ308">
        <f t="shared" si="175"/>
        <v>6</v>
      </c>
      <c r="CK308">
        <f t="shared" si="176"/>
        <v>10</v>
      </c>
      <c r="CL308">
        <f t="shared" si="177"/>
        <v>2025</v>
      </c>
    </row>
    <row r="309" spans="1:90" ht="15" customHeight="1" x14ac:dyDescent="0.35">
      <c r="A309" s="40">
        <v>45818.681747685187</v>
      </c>
      <c r="B309" t="s">
        <v>100</v>
      </c>
      <c r="C309" t="s">
        <v>214</v>
      </c>
      <c r="D309" t="s">
        <v>101</v>
      </c>
      <c r="E309" s="32">
        <v>45936</v>
      </c>
      <c r="F309" t="s">
        <v>54</v>
      </c>
      <c r="G309" s="2">
        <v>45757</v>
      </c>
      <c r="H309">
        <v>8547202747</v>
      </c>
      <c r="I309">
        <v>157</v>
      </c>
      <c r="J309" t="s">
        <v>252</v>
      </c>
      <c r="K309" t="s">
        <v>57</v>
      </c>
      <c r="L309" t="s">
        <v>58</v>
      </c>
      <c r="M309" t="s">
        <v>59</v>
      </c>
      <c r="N309" t="s">
        <v>59</v>
      </c>
      <c r="O309" t="s">
        <v>59</v>
      </c>
      <c r="P309" t="s">
        <v>59</v>
      </c>
      <c r="Q309" t="s">
        <v>59</v>
      </c>
      <c r="R309" t="s">
        <v>59</v>
      </c>
      <c r="S309" t="s">
        <v>59</v>
      </c>
      <c r="T309" t="s">
        <v>59</v>
      </c>
      <c r="U309" t="s">
        <v>59</v>
      </c>
      <c r="V309" t="s">
        <v>59</v>
      </c>
      <c r="W309" t="s">
        <v>59</v>
      </c>
      <c r="X309" t="s">
        <v>59</v>
      </c>
      <c r="Y309" t="s">
        <v>59</v>
      </c>
      <c r="Z309" t="s">
        <v>59</v>
      </c>
      <c r="AA309" t="s">
        <v>60</v>
      </c>
      <c r="AB309" t="s">
        <v>59</v>
      </c>
      <c r="AC309" t="s">
        <v>59</v>
      </c>
      <c r="AD309" t="s">
        <v>59</v>
      </c>
      <c r="AE309" t="s">
        <v>59</v>
      </c>
      <c r="AF309" t="s">
        <v>59</v>
      </c>
      <c r="AG309" t="s">
        <v>59</v>
      </c>
      <c r="AH309" t="s">
        <v>59</v>
      </c>
      <c r="AI309" t="s">
        <v>61</v>
      </c>
      <c r="AJ309" t="s">
        <v>59</v>
      </c>
      <c r="AK309" t="s">
        <v>59</v>
      </c>
      <c r="AL309" t="s">
        <v>59</v>
      </c>
      <c r="AM309" t="s">
        <v>59</v>
      </c>
      <c r="AN309" t="s">
        <v>59</v>
      </c>
      <c r="AO309" t="s">
        <v>59</v>
      </c>
      <c r="AP309" t="s">
        <v>526</v>
      </c>
      <c r="AQ309" s="1" t="s">
        <v>881</v>
      </c>
      <c r="AR309" t="s">
        <v>64</v>
      </c>
      <c r="AS309" t="s">
        <v>171</v>
      </c>
      <c r="AT309" t="s">
        <v>190</v>
      </c>
      <c r="AU309" t="s">
        <v>219</v>
      </c>
      <c r="AW309" s="4">
        <f t="shared" si="143"/>
        <v>6</v>
      </c>
      <c r="AX309" s="4">
        <f t="shared" si="144"/>
        <v>4</v>
      </c>
      <c r="AY309" s="4">
        <f t="shared" si="145"/>
        <v>4</v>
      </c>
      <c r="AZ309" s="4">
        <f t="shared" si="146"/>
        <v>2</v>
      </c>
      <c r="BA309" s="4">
        <f t="shared" si="147"/>
        <v>4</v>
      </c>
      <c r="BB309" s="4">
        <f t="shared" si="148"/>
        <v>4</v>
      </c>
      <c r="BC309" s="4">
        <f t="shared" si="149"/>
        <v>4</v>
      </c>
      <c r="BD309" s="4">
        <f t="shared" si="150"/>
        <v>2</v>
      </c>
      <c r="BE309" s="4">
        <f t="shared" si="151"/>
        <v>4</v>
      </c>
      <c r="BF309" s="4">
        <f t="shared" si="152"/>
        <v>2</v>
      </c>
      <c r="BG309" s="4">
        <f t="shared" si="153"/>
        <v>4</v>
      </c>
      <c r="BH309" s="4">
        <f t="shared" si="154"/>
        <v>4</v>
      </c>
      <c r="BI309" s="4">
        <f t="shared" si="155"/>
        <v>4</v>
      </c>
      <c r="BJ309" s="4">
        <f t="shared" si="156"/>
        <v>2</v>
      </c>
      <c r="BK309" s="4" t="str">
        <f t="shared" si="157"/>
        <v>0</v>
      </c>
      <c r="BL309" s="4">
        <f t="shared" si="158"/>
        <v>2</v>
      </c>
      <c r="BM309" s="4">
        <f t="shared" si="159"/>
        <v>4</v>
      </c>
      <c r="BN309" s="4">
        <f t="shared" si="160"/>
        <v>4</v>
      </c>
      <c r="BO309" s="4">
        <f t="shared" si="161"/>
        <v>4</v>
      </c>
      <c r="BP309" s="4">
        <f t="shared" si="162"/>
        <v>4</v>
      </c>
      <c r="BQ309" s="4">
        <f t="shared" si="163"/>
        <v>6</v>
      </c>
      <c r="BR309" s="4">
        <f t="shared" si="164"/>
        <v>4</v>
      </c>
      <c r="BS309" s="4">
        <f t="shared" si="165"/>
        <v>4</v>
      </c>
      <c r="BT309" s="4">
        <f t="shared" si="166"/>
        <v>4</v>
      </c>
      <c r="BU309" s="4">
        <f t="shared" si="167"/>
        <v>4</v>
      </c>
      <c r="BV309" s="4">
        <f t="shared" si="168"/>
        <v>0</v>
      </c>
      <c r="BW309" s="4">
        <f t="shared" si="169"/>
        <v>6</v>
      </c>
      <c r="BX309" s="4">
        <f t="shared" si="170"/>
        <v>0</v>
      </c>
      <c r="BY309" s="4">
        <f t="shared" si="171"/>
        <v>0</v>
      </c>
      <c r="BZ309" s="37">
        <f t="shared" si="172"/>
        <v>96</v>
      </c>
      <c r="CA309" s="32" t="str">
        <f>VLOOKUP(J:J,'Agent wise'!A:C,3,0)</f>
        <v xml:space="preserve">Shiny </v>
      </c>
      <c r="CB309" s="32">
        <f t="shared" si="173"/>
        <v>45936</v>
      </c>
      <c r="CC309" t="str">
        <f t="shared" si="174"/>
        <v>Excellent</v>
      </c>
      <c r="CE309" s="32"/>
      <c r="CJ309">
        <f t="shared" si="175"/>
        <v>6</v>
      </c>
      <c r="CK309">
        <f t="shared" si="176"/>
        <v>10</v>
      </c>
      <c r="CL309">
        <f t="shared" si="177"/>
        <v>2025</v>
      </c>
    </row>
    <row r="310" spans="1:90" ht="15" customHeight="1" x14ac:dyDescent="0.35">
      <c r="A310" s="40">
        <v>45818.682893518519</v>
      </c>
      <c r="B310" t="s">
        <v>250</v>
      </c>
      <c r="C310" t="s">
        <v>214</v>
      </c>
      <c r="D310" t="s">
        <v>251</v>
      </c>
      <c r="E310" s="32">
        <v>45936</v>
      </c>
      <c r="F310" t="s">
        <v>306</v>
      </c>
      <c r="G310" s="2">
        <v>45787</v>
      </c>
      <c r="H310">
        <v>9400268504</v>
      </c>
      <c r="I310">
        <v>148</v>
      </c>
      <c r="J310" t="s">
        <v>873</v>
      </c>
      <c r="K310" t="s">
        <v>71</v>
      </c>
      <c r="L310" t="s">
        <v>72</v>
      </c>
      <c r="M310" t="s">
        <v>59</v>
      </c>
      <c r="N310" t="s">
        <v>59</v>
      </c>
      <c r="O310" t="s">
        <v>59</v>
      </c>
      <c r="P310" t="s">
        <v>59</v>
      </c>
      <c r="Q310" t="s">
        <v>59</v>
      </c>
      <c r="R310" t="s">
        <v>59</v>
      </c>
      <c r="S310" t="s">
        <v>59</v>
      </c>
      <c r="T310" t="s">
        <v>59</v>
      </c>
      <c r="U310" t="s">
        <v>60</v>
      </c>
      <c r="V310" t="s">
        <v>59</v>
      </c>
      <c r="W310" t="s">
        <v>59</v>
      </c>
      <c r="X310" t="s">
        <v>59</v>
      </c>
      <c r="Y310" t="s">
        <v>59</v>
      </c>
      <c r="Z310" t="s">
        <v>59</v>
      </c>
      <c r="AA310" t="s">
        <v>59</v>
      </c>
      <c r="AB310" t="s">
        <v>60</v>
      </c>
      <c r="AC310" t="s">
        <v>59</v>
      </c>
      <c r="AD310" t="s">
        <v>59</v>
      </c>
      <c r="AE310" t="s">
        <v>59</v>
      </c>
      <c r="AF310" t="s">
        <v>59</v>
      </c>
      <c r="AG310" t="s">
        <v>59</v>
      </c>
      <c r="AH310" t="s">
        <v>61</v>
      </c>
      <c r="AI310" t="s">
        <v>61</v>
      </c>
      <c r="AJ310" t="s">
        <v>59</v>
      </c>
      <c r="AK310" t="s">
        <v>59</v>
      </c>
      <c r="AL310" t="s">
        <v>59</v>
      </c>
      <c r="AM310" t="s">
        <v>59</v>
      </c>
      <c r="AN310" t="s">
        <v>59</v>
      </c>
      <c r="AO310" t="s">
        <v>59</v>
      </c>
      <c r="AP310" t="s">
        <v>467</v>
      </c>
      <c r="AQ310" t="s">
        <v>882</v>
      </c>
      <c r="AR310" t="s">
        <v>64</v>
      </c>
      <c r="AS310" t="s">
        <v>883</v>
      </c>
      <c r="AT310" t="s">
        <v>883</v>
      </c>
      <c r="AU310" t="s">
        <v>219</v>
      </c>
      <c r="AW310" s="4">
        <f t="shared" si="143"/>
        <v>6</v>
      </c>
      <c r="AX310" s="4">
        <f t="shared" si="144"/>
        <v>4</v>
      </c>
      <c r="AY310" s="4">
        <f t="shared" si="145"/>
        <v>4</v>
      </c>
      <c r="AZ310" s="4">
        <f t="shared" si="146"/>
        <v>2</v>
      </c>
      <c r="BA310" s="4">
        <f t="shared" si="147"/>
        <v>4</v>
      </c>
      <c r="BB310" s="4">
        <f t="shared" si="148"/>
        <v>4</v>
      </c>
      <c r="BC310" s="4">
        <f t="shared" si="149"/>
        <v>4</v>
      </c>
      <c r="BD310" s="4">
        <f t="shared" si="150"/>
        <v>2</v>
      </c>
      <c r="BE310" s="4" t="str">
        <f t="shared" si="151"/>
        <v>0</v>
      </c>
      <c r="BF310" s="4">
        <f t="shared" si="152"/>
        <v>2</v>
      </c>
      <c r="BG310" s="4">
        <f t="shared" si="153"/>
        <v>4</v>
      </c>
      <c r="BH310" s="4">
        <f t="shared" si="154"/>
        <v>4</v>
      </c>
      <c r="BI310" s="4">
        <f t="shared" si="155"/>
        <v>4</v>
      </c>
      <c r="BJ310" s="4">
        <f t="shared" si="156"/>
        <v>2</v>
      </c>
      <c r="BK310" s="4">
        <f t="shared" si="157"/>
        <v>4</v>
      </c>
      <c r="BL310" s="4" t="str">
        <f t="shared" si="158"/>
        <v>0</v>
      </c>
      <c r="BM310" s="4">
        <f t="shared" si="159"/>
        <v>4</v>
      </c>
      <c r="BN310" s="4">
        <f t="shared" si="160"/>
        <v>4</v>
      </c>
      <c r="BO310" s="4">
        <f t="shared" si="161"/>
        <v>4</v>
      </c>
      <c r="BP310" s="4">
        <f t="shared" si="162"/>
        <v>4</v>
      </c>
      <c r="BQ310" s="4">
        <f t="shared" si="163"/>
        <v>6</v>
      </c>
      <c r="BR310" s="4">
        <f t="shared" si="164"/>
        <v>4</v>
      </c>
      <c r="BS310" s="4">
        <f t="shared" si="165"/>
        <v>4</v>
      </c>
      <c r="BT310" s="4">
        <f t="shared" si="166"/>
        <v>4</v>
      </c>
      <c r="BU310" s="4">
        <f t="shared" si="167"/>
        <v>4</v>
      </c>
      <c r="BV310" s="4">
        <f t="shared" si="168"/>
        <v>0</v>
      </c>
      <c r="BW310" s="4">
        <f t="shared" si="169"/>
        <v>6</v>
      </c>
      <c r="BX310" s="4">
        <f t="shared" si="170"/>
        <v>0</v>
      </c>
      <c r="BY310" s="4">
        <f t="shared" si="171"/>
        <v>0</v>
      </c>
      <c r="BZ310" s="37">
        <f t="shared" si="172"/>
        <v>94</v>
      </c>
      <c r="CA310" s="32" t="str">
        <f>VLOOKUP(J:J,'Agent wise'!A:C,3,0)</f>
        <v xml:space="preserve">Shiny </v>
      </c>
      <c r="CB310" s="32">
        <f t="shared" si="173"/>
        <v>45936</v>
      </c>
      <c r="CC310" t="str">
        <f t="shared" si="174"/>
        <v>Good</v>
      </c>
      <c r="CE310" s="32"/>
      <c r="CJ310">
        <f t="shared" si="175"/>
        <v>6</v>
      </c>
      <c r="CK310">
        <f t="shared" si="176"/>
        <v>10</v>
      </c>
      <c r="CL310">
        <f t="shared" si="177"/>
        <v>2025</v>
      </c>
    </row>
    <row r="311" spans="1:90" ht="15" customHeight="1" x14ac:dyDescent="0.35">
      <c r="A311" s="40">
        <v>45818.688576388893</v>
      </c>
      <c r="B311" t="s">
        <v>100</v>
      </c>
      <c r="C311" t="s">
        <v>214</v>
      </c>
      <c r="D311" t="s">
        <v>101</v>
      </c>
      <c r="E311" s="32">
        <v>45936</v>
      </c>
      <c r="F311" t="s">
        <v>54</v>
      </c>
      <c r="G311" s="2">
        <v>45787</v>
      </c>
      <c r="H311">
        <v>9363079563</v>
      </c>
      <c r="I311">
        <v>157</v>
      </c>
      <c r="J311" t="s">
        <v>557</v>
      </c>
      <c r="K311" t="s">
        <v>71</v>
      </c>
      <c r="L311" t="s">
        <v>72</v>
      </c>
      <c r="M311" t="s">
        <v>59</v>
      </c>
      <c r="N311" t="s">
        <v>59</v>
      </c>
      <c r="O311" t="s">
        <v>59</v>
      </c>
      <c r="P311" t="s">
        <v>59</v>
      </c>
      <c r="Q311" t="s">
        <v>59</v>
      </c>
      <c r="R311" t="s">
        <v>59</v>
      </c>
      <c r="S311" t="s">
        <v>59</v>
      </c>
      <c r="T311" t="s">
        <v>59</v>
      </c>
      <c r="U311" t="s">
        <v>59</v>
      </c>
      <c r="V311" t="s">
        <v>59</v>
      </c>
      <c r="W311" t="s">
        <v>59</v>
      </c>
      <c r="X311" t="s">
        <v>59</v>
      </c>
      <c r="Y311" t="s">
        <v>59</v>
      </c>
      <c r="Z311" t="s">
        <v>59</v>
      </c>
      <c r="AA311" t="s">
        <v>60</v>
      </c>
      <c r="AB311" t="s">
        <v>59</v>
      </c>
      <c r="AC311" t="s">
        <v>59</v>
      </c>
      <c r="AD311" t="s">
        <v>59</v>
      </c>
      <c r="AE311" t="s">
        <v>59</v>
      </c>
      <c r="AF311" t="s">
        <v>59</v>
      </c>
      <c r="AG311" t="s">
        <v>59</v>
      </c>
      <c r="AH311" t="s">
        <v>59</v>
      </c>
      <c r="AI311" t="s">
        <v>61</v>
      </c>
      <c r="AJ311" t="s">
        <v>59</v>
      </c>
      <c r="AK311" t="s">
        <v>59</v>
      </c>
      <c r="AL311" t="s">
        <v>59</v>
      </c>
      <c r="AM311" t="s">
        <v>59</v>
      </c>
      <c r="AN311" t="s">
        <v>59</v>
      </c>
      <c r="AO311" t="s">
        <v>59</v>
      </c>
      <c r="AP311" t="s">
        <v>526</v>
      </c>
      <c r="AQ311" s="1" t="s">
        <v>884</v>
      </c>
      <c r="AR311" t="s">
        <v>64</v>
      </c>
      <c r="AS311" t="s">
        <v>171</v>
      </c>
      <c r="AT311" t="s">
        <v>172</v>
      </c>
      <c r="AU311" t="s">
        <v>219</v>
      </c>
      <c r="AW311" s="4">
        <f t="shared" si="143"/>
        <v>6</v>
      </c>
      <c r="AX311" s="4">
        <f t="shared" si="144"/>
        <v>4</v>
      </c>
      <c r="AY311" s="4">
        <f t="shared" si="145"/>
        <v>4</v>
      </c>
      <c r="AZ311" s="4">
        <f t="shared" si="146"/>
        <v>2</v>
      </c>
      <c r="BA311" s="4">
        <f t="shared" si="147"/>
        <v>4</v>
      </c>
      <c r="BB311" s="4">
        <f t="shared" si="148"/>
        <v>4</v>
      </c>
      <c r="BC311" s="4">
        <f t="shared" si="149"/>
        <v>4</v>
      </c>
      <c r="BD311" s="4">
        <f t="shared" si="150"/>
        <v>2</v>
      </c>
      <c r="BE311" s="4">
        <f t="shared" si="151"/>
        <v>4</v>
      </c>
      <c r="BF311" s="4">
        <f t="shared" si="152"/>
        <v>2</v>
      </c>
      <c r="BG311" s="4">
        <f t="shared" si="153"/>
        <v>4</v>
      </c>
      <c r="BH311" s="4">
        <f t="shared" si="154"/>
        <v>4</v>
      </c>
      <c r="BI311" s="4">
        <f t="shared" si="155"/>
        <v>4</v>
      </c>
      <c r="BJ311" s="4">
        <f t="shared" si="156"/>
        <v>2</v>
      </c>
      <c r="BK311" s="4" t="str">
        <f t="shared" si="157"/>
        <v>0</v>
      </c>
      <c r="BL311" s="4">
        <f t="shared" si="158"/>
        <v>2</v>
      </c>
      <c r="BM311" s="4">
        <f t="shared" si="159"/>
        <v>4</v>
      </c>
      <c r="BN311" s="4">
        <f t="shared" si="160"/>
        <v>4</v>
      </c>
      <c r="BO311" s="4">
        <f t="shared" si="161"/>
        <v>4</v>
      </c>
      <c r="BP311" s="4">
        <f t="shared" si="162"/>
        <v>4</v>
      </c>
      <c r="BQ311" s="4">
        <f t="shared" si="163"/>
        <v>6</v>
      </c>
      <c r="BR311" s="4">
        <f t="shared" si="164"/>
        <v>4</v>
      </c>
      <c r="BS311" s="4">
        <f t="shared" si="165"/>
        <v>4</v>
      </c>
      <c r="BT311" s="4">
        <f t="shared" si="166"/>
        <v>4</v>
      </c>
      <c r="BU311" s="4">
        <f t="shared" si="167"/>
        <v>4</v>
      </c>
      <c r="BV311" s="4">
        <f t="shared" si="168"/>
        <v>0</v>
      </c>
      <c r="BW311" s="4">
        <f t="shared" si="169"/>
        <v>6</v>
      </c>
      <c r="BX311" s="4">
        <f t="shared" si="170"/>
        <v>0</v>
      </c>
      <c r="BY311" s="4">
        <f t="shared" si="171"/>
        <v>0</v>
      </c>
      <c r="BZ311" s="37">
        <f t="shared" si="172"/>
        <v>96</v>
      </c>
      <c r="CA311" s="32" t="str">
        <f>VLOOKUP(J:J,'Agent wise'!A:C,3,0)</f>
        <v xml:space="preserve">Shiny </v>
      </c>
      <c r="CB311" s="32">
        <f t="shared" si="173"/>
        <v>45936</v>
      </c>
      <c r="CC311" t="str">
        <f t="shared" si="174"/>
        <v>Excellent</v>
      </c>
      <c r="CE311" s="32"/>
      <c r="CJ311">
        <f t="shared" si="175"/>
        <v>6</v>
      </c>
      <c r="CK311">
        <f t="shared" si="176"/>
        <v>10</v>
      </c>
      <c r="CL311">
        <f t="shared" si="177"/>
        <v>2025</v>
      </c>
    </row>
    <row r="312" spans="1:90" ht="15" customHeight="1" x14ac:dyDescent="0.35">
      <c r="A312" s="40">
        <v>45818.693483796298</v>
      </c>
      <c r="B312" t="s">
        <v>100</v>
      </c>
      <c r="C312" t="s">
        <v>214</v>
      </c>
      <c r="D312" t="s">
        <v>101</v>
      </c>
      <c r="E312" s="32">
        <v>45936</v>
      </c>
      <c r="F312" t="s">
        <v>54</v>
      </c>
      <c r="G312" s="2">
        <v>45787</v>
      </c>
      <c r="H312">
        <v>9025437702</v>
      </c>
      <c r="I312">
        <v>153</v>
      </c>
      <c r="J312" t="s">
        <v>559</v>
      </c>
      <c r="K312" t="s">
        <v>71</v>
      </c>
      <c r="L312" t="s">
        <v>72</v>
      </c>
      <c r="M312" t="s">
        <v>59</v>
      </c>
      <c r="N312" t="s">
        <v>59</v>
      </c>
      <c r="O312" t="s">
        <v>59</v>
      </c>
      <c r="P312" t="s">
        <v>59</v>
      </c>
      <c r="Q312" t="s">
        <v>59</v>
      </c>
      <c r="R312" t="s">
        <v>59</v>
      </c>
      <c r="S312" t="s">
        <v>59</v>
      </c>
      <c r="T312" t="s">
        <v>59</v>
      </c>
      <c r="U312" t="s">
        <v>59</v>
      </c>
      <c r="V312" t="s">
        <v>59</v>
      </c>
      <c r="W312" t="s">
        <v>59</v>
      </c>
      <c r="X312" t="s">
        <v>59</v>
      </c>
      <c r="Y312" t="s">
        <v>59</v>
      </c>
      <c r="Z312" t="s">
        <v>59</v>
      </c>
      <c r="AA312" t="s">
        <v>60</v>
      </c>
      <c r="AB312" t="s">
        <v>59</v>
      </c>
      <c r="AC312" t="s">
        <v>59</v>
      </c>
      <c r="AD312" t="s">
        <v>59</v>
      </c>
      <c r="AE312" t="s">
        <v>59</v>
      </c>
      <c r="AF312" t="s">
        <v>59</v>
      </c>
      <c r="AG312" t="s">
        <v>59</v>
      </c>
      <c r="AH312" t="s">
        <v>59</v>
      </c>
      <c r="AI312" t="s">
        <v>61</v>
      </c>
      <c r="AJ312" t="s">
        <v>59</v>
      </c>
      <c r="AK312" t="s">
        <v>59</v>
      </c>
      <c r="AL312" t="s">
        <v>59</v>
      </c>
      <c r="AM312" t="s">
        <v>59</v>
      </c>
      <c r="AN312" t="s">
        <v>59</v>
      </c>
      <c r="AO312" t="s">
        <v>59</v>
      </c>
      <c r="AP312" s="1" t="s">
        <v>885</v>
      </c>
      <c r="AQ312" s="1" t="s">
        <v>886</v>
      </c>
      <c r="AR312" t="s">
        <v>64</v>
      </c>
      <c r="AS312" t="s">
        <v>175</v>
      </c>
      <c r="AT312" t="s">
        <v>887</v>
      </c>
      <c r="AU312" t="s">
        <v>219</v>
      </c>
      <c r="AW312" s="4">
        <f t="shared" si="143"/>
        <v>6</v>
      </c>
      <c r="AX312" s="4">
        <f t="shared" si="144"/>
        <v>4</v>
      </c>
      <c r="AY312" s="4">
        <f t="shared" si="145"/>
        <v>4</v>
      </c>
      <c r="AZ312" s="4">
        <f t="shared" si="146"/>
        <v>2</v>
      </c>
      <c r="BA312" s="4">
        <f t="shared" si="147"/>
        <v>4</v>
      </c>
      <c r="BB312" s="4">
        <f t="shared" si="148"/>
        <v>4</v>
      </c>
      <c r="BC312" s="4">
        <f t="shared" si="149"/>
        <v>4</v>
      </c>
      <c r="BD312" s="4">
        <f t="shared" si="150"/>
        <v>2</v>
      </c>
      <c r="BE312" s="4">
        <f t="shared" si="151"/>
        <v>4</v>
      </c>
      <c r="BF312" s="4">
        <f t="shared" si="152"/>
        <v>2</v>
      </c>
      <c r="BG312" s="4">
        <f t="shared" si="153"/>
        <v>4</v>
      </c>
      <c r="BH312" s="4">
        <f t="shared" si="154"/>
        <v>4</v>
      </c>
      <c r="BI312" s="4">
        <f t="shared" si="155"/>
        <v>4</v>
      </c>
      <c r="BJ312" s="4">
        <f t="shared" si="156"/>
        <v>2</v>
      </c>
      <c r="BK312" s="4" t="str">
        <f t="shared" si="157"/>
        <v>0</v>
      </c>
      <c r="BL312" s="4">
        <f t="shared" si="158"/>
        <v>2</v>
      </c>
      <c r="BM312" s="4">
        <f t="shared" si="159"/>
        <v>4</v>
      </c>
      <c r="BN312" s="4">
        <f t="shared" si="160"/>
        <v>4</v>
      </c>
      <c r="BO312" s="4">
        <f t="shared" si="161"/>
        <v>4</v>
      </c>
      <c r="BP312" s="4">
        <f t="shared" si="162"/>
        <v>4</v>
      </c>
      <c r="BQ312" s="4">
        <f t="shared" si="163"/>
        <v>6</v>
      </c>
      <c r="BR312" s="4">
        <f t="shared" si="164"/>
        <v>4</v>
      </c>
      <c r="BS312" s="4">
        <f t="shared" si="165"/>
        <v>4</v>
      </c>
      <c r="BT312" s="4">
        <f t="shared" si="166"/>
        <v>4</v>
      </c>
      <c r="BU312" s="4">
        <f t="shared" si="167"/>
        <v>4</v>
      </c>
      <c r="BV312" s="4">
        <f t="shared" si="168"/>
        <v>0</v>
      </c>
      <c r="BW312" s="4">
        <f t="shared" si="169"/>
        <v>6</v>
      </c>
      <c r="BX312" s="4">
        <f t="shared" si="170"/>
        <v>0</v>
      </c>
      <c r="BY312" s="4">
        <f t="shared" si="171"/>
        <v>0</v>
      </c>
      <c r="BZ312" s="37">
        <f t="shared" si="172"/>
        <v>96</v>
      </c>
      <c r="CA312" s="32" t="str">
        <f>VLOOKUP(J:J,'Agent wise'!A:C,3,0)</f>
        <v xml:space="preserve">Shiny </v>
      </c>
      <c r="CB312" s="32">
        <f t="shared" si="173"/>
        <v>45936</v>
      </c>
      <c r="CC312" t="str">
        <f t="shared" si="174"/>
        <v>Excellent</v>
      </c>
      <c r="CE312" s="32"/>
      <c r="CJ312">
        <f t="shared" si="175"/>
        <v>6</v>
      </c>
      <c r="CK312">
        <f t="shared" si="176"/>
        <v>10</v>
      </c>
      <c r="CL312">
        <f t="shared" si="177"/>
        <v>2025</v>
      </c>
    </row>
    <row r="313" spans="1:90" ht="15" customHeight="1" x14ac:dyDescent="0.35">
      <c r="A313" s="40">
        <v>45818.695914351847</v>
      </c>
      <c r="B313" t="s">
        <v>250</v>
      </c>
      <c r="C313" t="s">
        <v>214</v>
      </c>
      <c r="D313" t="s">
        <v>251</v>
      </c>
      <c r="E313" s="32">
        <v>45936</v>
      </c>
      <c r="F313" t="s">
        <v>54</v>
      </c>
      <c r="G313" s="2">
        <v>45787</v>
      </c>
      <c r="H313">
        <v>9446779028</v>
      </c>
      <c r="I313">
        <v>191</v>
      </c>
      <c r="J313" t="s">
        <v>749</v>
      </c>
      <c r="K313" t="s">
        <v>57</v>
      </c>
      <c r="L313" t="s">
        <v>58</v>
      </c>
      <c r="M313" t="s">
        <v>59</v>
      </c>
      <c r="N313" t="s">
        <v>59</v>
      </c>
      <c r="O313" t="s">
        <v>59</v>
      </c>
      <c r="P313" t="s">
        <v>59</v>
      </c>
      <c r="Q313" t="s">
        <v>59</v>
      </c>
      <c r="R313" t="s">
        <v>59</v>
      </c>
      <c r="S313" t="s">
        <v>59</v>
      </c>
      <c r="T313" t="s">
        <v>59</v>
      </c>
      <c r="U313" t="s">
        <v>60</v>
      </c>
      <c r="V313" t="s">
        <v>59</v>
      </c>
      <c r="W313" t="s">
        <v>59</v>
      </c>
      <c r="X313" t="s">
        <v>59</v>
      </c>
      <c r="Y313" t="s">
        <v>59</v>
      </c>
      <c r="Z313" t="s">
        <v>59</v>
      </c>
      <c r="AA313" t="s">
        <v>59</v>
      </c>
      <c r="AB313" t="s">
        <v>60</v>
      </c>
      <c r="AC313" t="s">
        <v>59</v>
      </c>
      <c r="AD313" t="s">
        <v>59</v>
      </c>
      <c r="AE313" t="s">
        <v>59</v>
      </c>
      <c r="AF313" t="s">
        <v>59</v>
      </c>
      <c r="AG313" t="s">
        <v>59</v>
      </c>
      <c r="AH313" t="s">
        <v>61</v>
      </c>
      <c r="AI313" t="s">
        <v>61</v>
      </c>
      <c r="AJ313" t="s">
        <v>59</v>
      </c>
      <c r="AK313" t="s">
        <v>59</v>
      </c>
      <c r="AL313" t="s">
        <v>59</v>
      </c>
      <c r="AM313" t="s">
        <v>59</v>
      </c>
      <c r="AN313" t="s">
        <v>59</v>
      </c>
      <c r="AO313" t="s">
        <v>59</v>
      </c>
      <c r="AP313" t="s">
        <v>467</v>
      </c>
      <c r="AQ313" t="s">
        <v>888</v>
      </c>
      <c r="AR313" t="s">
        <v>64</v>
      </c>
      <c r="AS313" t="s">
        <v>889</v>
      </c>
      <c r="AT313" t="s">
        <v>890</v>
      </c>
      <c r="AU313" t="s">
        <v>219</v>
      </c>
      <c r="AW313" s="4">
        <f t="shared" si="143"/>
        <v>6</v>
      </c>
      <c r="AX313" s="4">
        <f t="shared" si="144"/>
        <v>4</v>
      </c>
      <c r="AY313" s="4">
        <f t="shared" si="145"/>
        <v>4</v>
      </c>
      <c r="AZ313" s="4">
        <f t="shared" si="146"/>
        <v>2</v>
      </c>
      <c r="BA313" s="4">
        <f t="shared" si="147"/>
        <v>4</v>
      </c>
      <c r="BB313" s="4">
        <f t="shared" si="148"/>
        <v>4</v>
      </c>
      <c r="BC313" s="4">
        <f t="shared" si="149"/>
        <v>4</v>
      </c>
      <c r="BD313" s="4">
        <f t="shared" si="150"/>
        <v>2</v>
      </c>
      <c r="BE313" s="4" t="str">
        <f t="shared" si="151"/>
        <v>0</v>
      </c>
      <c r="BF313" s="4">
        <f t="shared" si="152"/>
        <v>2</v>
      </c>
      <c r="BG313" s="4">
        <f t="shared" si="153"/>
        <v>4</v>
      </c>
      <c r="BH313" s="4">
        <f t="shared" si="154"/>
        <v>4</v>
      </c>
      <c r="BI313" s="4">
        <f t="shared" si="155"/>
        <v>4</v>
      </c>
      <c r="BJ313" s="4">
        <f t="shared" si="156"/>
        <v>2</v>
      </c>
      <c r="BK313" s="4">
        <f t="shared" si="157"/>
        <v>4</v>
      </c>
      <c r="BL313" s="4" t="str">
        <f t="shared" si="158"/>
        <v>0</v>
      </c>
      <c r="BM313" s="4">
        <f t="shared" si="159"/>
        <v>4</v>
      </c>
      <c r="BN313" s="4">
        <f t="shared" si="160"/>
        <v>4</v>
      </c>
      <c r="BO313" s="4">
        <f t="shared" si="161"/>
        <v>4</v>
      </c>
      <c r="BP313" s="4">
        <f t="shared" si="162"/>
        <v>4</v>
      </c>
      <c r="BQ313" s="4">
        <f t="shared" si="163"/>
        <v>6</v>
      </c>
      <c r="BR313" s="4">
        <f t="shared" si="164"/>
        <v>4</v>
      </c>
      <c r="BS313" s="4">
        <f t="shared" si="165"/>
        <v>4</v>
      </c>
      <c r="BT313" s="4">
        <f t="shared" si="166"/>
        <v>4</v>
      </c>
      <c r="BU313" s="4">
        <f t="shared" si="167"/>
        <v>4</v>
      </c>
      <c r="BV313" s="4">
        <f t="shared" si="168"/>
        <v>0</v>
      </c>
      <c r="BW313" s="4">
        <f t="shared" si="169"/>
        <v>6</v>
      </c>
      <c r="BX313" s="4">
        <f t="shared" si="170"/>
        <v>0</v>
      </c>
      <c r="BY313" s="4">
        <f t="shared" si="171"/>
        <v>0</v>
      </c>
      <c r="BZ313" s="37">
        <f t="shared" si="172"/>
        <v>94</v>
      </c>
      <c r="CA313" s="32" t="str">
        <f>VLOOKUP(J:J,'Agent wise'!A:C,3,0)</f>
        <v xml:space="preserve">Shiny </v>
      </c>
      <c r="CB313" s="32">
        <f t="shared" si="173"/>
        <v>45936</v>
      </c>
      <c r="CC313" t="str">
        <f t="shared" si="174"/>
        <v>Good</v>
      </c>
      <c r="CE313" s="32"/>
      <c r="CJ313">
        <f t="shared" si="175"/>
        <v>6</v>
      </c>
      <c r="CK313">
        <f t="shared" si="176"/>
        <v>10</v>
      </c>
      <c r="CL313">
        <f t="shared" si="177"/>
        <v>2025</v>
      </c>
    </row>
    <row r="314" spans="1:90" ht="15" customHeight="1" x14ac:dyDescent="0.35">
      <c r="A314" s="40">
        <v>45818.698993055557</v>
      </c>
      <c r="B314" t="s">
        <v>100</v>
      </c>
      <c r="C314" t="s">
        <v>214</v>
      </c>
      <c r="D314" t="s">
        <v>101</v>
      </c>
      <c r="E314" s="32">
        <v>45936</v>
      </c>
      <c r="F314" t="s">
        <v>54</v>
      </c>
      <c r="G314" s="2">
        <v>45787</v>
      </c>
      <c r="H314">
        <v>8304823041</v>
      </c>
      <c r="I314">
        <v>146</v>
      </c>
      <c r="J314" t="s">
        <v>442</v>
      </c>
      <c r="K314" t="s">
        <v>57</v>
      </c>
      <c r="L314" t="s">
        <v>58</v>
      </c>
      <c r="M314" t="s">
        <v>59</v>
      </c>
      <c r="N314" t="s">
        <v>59</v>
      </c>
      <c r="O314" t="s">
        <v>59</v>
      </c>
      <c r="P314" t="s">
        <v>59</v>
      </c>
      <c r="Q314" t="s">
        <v>59</v>
      </c>
      <c r="R314" t="s">
        <v>60</v>
      </c>
      <c r="S314" t="s">
        <v>59</v>
      </c>
      <c r="T314" t="s">
        <v>59</v>
      </c>
      <c r="U314" t="s">
        <v>59</v>
      </c>
      <c r="V314" t="s">
        <v>59</v>
      </c>
      <c r="W314" t="s">
        <v>59</v>
      </c>
      <c r="X314" t="s">
        <v>59</v>
      </c>
      <c r="Y314" t="s">
        <v>59</v>
      </c>
      <c r="Z314" t="s">
        <v>59</v>
      </c>
      <c r="AA314" t="s">
        <v>59</v>
      </c>
      <c r="AB314" t="s">
        <v>59</v>
      </c>
      <c r="AC314" t="s">
        <v>59</v>
      </c>
      <c r="AD314" t="s">
        <v>59</v>
      </c>
      <c r="AE314" t="s">
        <v>59</v>
      </c>
      <c r="AF314" t="s">
        <v>59</v>
      </c>
      <c r="AG314" t="s">
        <v>59</v>
      </c>
      <c r="AH314" t="s">
        <v>59</v>
      </c>
      <c r="AI314" t="s">
        <v>61</v>
      </c>
      <c r="AJ314" t="s">
        <v>59</v>
      </c>
      <c r="AK314" t="s">
        <v>59</v>
      </c>
      <c r="AL314" t="s">
        <v>59</v>
      </c>
      <c r="AM314" t="s">
        <v>59</v>
      </c>
      <c r="AN314" t="s">
        <v>59</v>
      </c>
      <c r="AO314" t="s">
        <v>59</v>
      </c>
      <c r="AP314" t="s">
        <v>437</v>
      </c>
      <c r="AQ314" s="1" t="s">
        <v>891</v>
      </c>
      <c r="AR314" t="s">
        <v>64</v>
      </c>
      <c r="AS314" t="s">
        <v>175</v>
      </c>
      <c r="AT314" t="s">
        <v>176</v>
      </c>
      <c r="AU314" t="s">
        <v>219</v>
      </c>
      <c r="AW314" s="4">
        <f t="shared" si="143"/>
        <v>6</v>
      </c>
      <c r="AX314" s="4">
        <f t="shared" si="144"/>
        <v>4</v>
      </c>
      <c r="AY314" s="4">
        <f t="shared" si="145"/>
        <v>4</v>
      </c>
      <c r="AZ314" s="4">
        <f t="shared" si="146"/>
        <v>2</v>
      </c>
      <c r="BA314" s="4">
        <f t="shared" si="147"/>
        <v>4</v>
      </c>
      <c r="BB314" s="4" t="str">
        <f t="shared" si="148"/>
        <v>0</v>
      </c>
      <c r="BC314" s="4">
        <f t="shared" si="149"/>
        <v>4</v>
      </c>
      <c r="BD314" s="4">
        <f t="shared" si="150"/>
        <v>2</v>
      </c>
      <c r="BE314" s="4">
        <f t="shared" si="151"/>
        <v>4</v>
      </c>
      <c r="BF314" s="4">
        <f t="shared" si="152"/>
        <v>2</v>
      </c>
      <c r="BG314" s="4">
        <f t="shared" si="153"/>
        <v>4</v>
      </c>
      <c r="BH314" s="4">
        <f t="shared" si="154"/>
        <v>4</v>
      </c>
      <c r="BI314" s="4">
        <f t="shared" si="155"/>
        <v>4</v>
      </c>
      <c r="BJ314" s="4">
        <f t="shared" si="156"/>
        <v>2</v>
      </c>
      <c r="BK314" s="4">
        <f t="shared" si="157"/>
        <v>4</v>
      </c>
      <c r="BL314" s="4">
        <f t="shared" si="158"/>
        <v>2</v>
      </c>
      <c r="BM314" s="4">
        <f t="shared" si="159"/>
        <v>4</v>
      </c>
      <c r="BN314" s="4">
        <f t="shared" si="160"/>
        <v>4</v>
      </c>
      <c r="BO314" s="4">
        <f t="shared" si="161"/>
        <v>4</v>
      </c>
      <c r="BP314" s="4">
        <f t="shared" si="162"/>
        <v>4</v>
      </c>
      <c r="BQ314" s="4">
        <f t="shared" si="163"/>
        <v>6</v>
      </c>
      <c r="BR314" s="4">
        <f t="shared" si="164"/>
        <v>4</v>
      </c>
      <c r="BS314" s="4">
        <f t="shared" si="165"/>
        <v>4</v>
      </c>
      <c r="BT314" s="4">
        <f t="shared" si="166"/>
        <v>4</v>
      </c>
      <c r="BU314" s="4">
        <f t="shared" si="167"/>
        <v>4</v>
      </c>
      <c r="BV314" s="4">
        <f t="shared" si="168"/>
        <v>0</v>
      </c>
      <c r="BW314" s="4">
        <f t="shared" si="169"/>
        <v>6</v>
      </c>
      <c r="BX314" s="4">
        <f t="shared" si="170"/>
        <v>0</v>
      </c>
      <c r="BY314" s="4">
        <f t="shared" si="171"/>
        <v>0</v>
      </c>
      <c r="BZ314" s="37">
        <f t="shared" si="172"/>
        <v>96</v>
      </c>
      <c r="CA314" s="32" t="str">
        <f>VLOOKUP(J:J,'Agent wise'!A:C,3,0)</f>
        <v>Shakeer</v>
      </c>
      <c r="CB314" s="32">
        <f t="shared" si="173"/>
        <v>45936</v>
      </c>
      <c r="CC314" t="str">
        <f t="shared" si="174"/>
        <v>Excellent</v>
      </c>
      <c r="CE314" s="32"/>
      <c r="CJ314">
        <f t="shared" si="175"/>
        <v>6</v>
      </c>
      <c r="CK314">
        <f t="shared" si="176"/>
        <v>10</v>
      </c>
      <c r="CL314">
        <f t="shared" si="177"/>
        <v>2025</v>
      </c>
    </row>
    <row r="315" spans="1:90" ht="15" customHeight="1" x14ac:dyDescent="0.35">
      <c r="A315" s="40">
        <v>45818.702152777783</v>
      </c>
      <c r="B315" t="s">
        <v>250</v>
      </c>
      <c r="C315" t="s">
        <v>214</v>
      </c>
      <c r="D315" t="s">
        <v>251</v>
      </c>
      <c r="E315" s="32">
        <v>45936</v>
      </c>
      <c r="F315" t="s">
        <v>54</v>
      </c>
      <c r="G315" s="2">
        <v>45787</v>
      </c>
      <c r="H315">
        <v>8086862001</v>
      </c>
      <c r="I315">
        <v>172</v>
      </c>
      <c r="J315" t="s">
        <v>183</v>
      </c>
      <c r="K315" t="s">
        <v>57</v>
      </c>
      <c r="L315" t="s">
        <v>58</v>
      </c>
      <c r="M315" t="s">
        <v>59</v>
      </c>
      <c r="N315" t="s">
        <v>59</v>
      </c>
      <c r="O315" t="s">
        <v>59</v>
      </c>
      <c r="P315" t="s">
        <v>59</v>
      </c>
      <c r="Q315" t="s">
        <v>59</v>
      </c>
      <c r="R315" t="s">
        <v>59</v>
      </c>
      <c r="S315" t="s">
        <v>59</v>
      </c>
      <c r="T315" t="s">
        <v>59</v>
      </c>
      <c r="U315" t="s">
        <v>60</v>
      </c>
      <c r="V315" t="s">
        <v>59</v>
      </c>
      <c r="W315" t="s">
        <v>59</v>
      </c>
      <c r="X315" t="s">
        <v>59</v>
      </c>
      <c r="Y315" t="s">
        <v>59</v>
      </c>
      <c r="Z315" t="s">
        <v>60</v>
      </c>
      <c r="AA315" t="s">
        <v>59</v>
      </c>
      <c r="AB315" t="s">
        <v>60</v>
      </c>
      <c r="AC315" t="s">
        <v>59</v>
      </c>
      <c r="AD315" t="s">
        <v>59</v>
      </c>
      <c r="AE315" t="s">
        <v>59</v>
      </c>
      <c r="AF315" t="s">
        <v>59</v>
      </c>
      <c r="AG315" t="s">
        <v>59</v>
      </c>
      <c r="AH315" t="s">
        <v>61</v>
      </c>
      <c r="AI315" t="s">
        <v>59</v>
      </c>
      <c r="AJ315" t="s">
        <v>59</v>
      </c>
      <c r="AK315" t="s">
        <v>59</v>
      </c>
      <c r="AL315" t="s">
        <v>60</v>
      </c>
      <c r="AM315" t="s">
        <v>59</v>
      </c>
      <c r="AN315" t="s">
        <v>59</v>
      </c>
      <c r="AO315" t="s">
        <v>59</v>
      </c>
      <c r="AP315" t="s">
        <v>892</v>
      </c>
      <c r="AQ315" t="s">
        <v>893</v>
      </c>
      <c r="AR315" t="s">
        <v>64</v>
      </c>
      <c r="AS315" t="s">
        <v>255</v>
      </c>
      <c r="AT315" t="s">
        <v>256</v>
      </c>
      <c r="AU315" t="s">
        <v>219</v>
      </c>
      <c r="AW315" s="4">
        <f t="shared" si="143"/>
        <v>6</v>
      </c>
      <c r="AX315" s="4">
        <f t="shared" si="144"/>
        <v>4</v>
      </c>
      <c r="AY315" s="4">
        <f t="shared" si="145"/>
        <v>4</v>
      </c>
      <c r="AZ315" s="4">
        <f t="shared" si="146"/>
        <v>2</v>
      </c>
      <c r="BA315" s="4">
        <f t="shared" si="147"/>
        <v>4</v>
      </c>
      <c r="BB315" s="4">
        <f t="shared" si="148"/>
        <v>4</v>
      </c>
      <c r="BC315" s="4">
        <f t="shared" si="149"/>
        <v>4</v>
      </c>
      <c r="BD315" s="4">
        <f t="shared" si="150"/>
        <v>2</v>
      </c>
      <c r="BE315" s="4" t="str">
        <f t="shared" si="151"/>
        <v>0</v>
      </c>
      <c r="BF315" s="4">
        <f t="shared" si="152"/>
        <v>2</v>
      </c>
      <c r="BG315" s="4">
        <f t="shared" si="153"/>
        <v>4</v>
      </c>
      <c r="BH315" s="4">
        <f t="shared" si="154"/>
        <v>4</v>
      </c>
      <c r="BI315" s="4">
        <f t="shared" si="155"/>
        <v>4</v>
      </c>
      <c r="BJ315" s="4" t="str">
        <f t="shared" si="156"/>
        <v>0</v>
      </c>
      <c r="BK315" s="4">
        <f t="shared" si="157"/>
        <v>4</v>
      </c>
      <c r="BL315" s="4" t="str">
        <f t="shared" si="158"/>
        <v>0</v>
      </c>
      <c r="BM315" s="4">
        <f t="shared" si="159"/>
        <v>4</v>
      </c>
      <c r="BN315" s="4">
        <f t="shared" si="160"/>
        <v>4</v>
      </c>
      <c r="BO315" s="4">
        <f t="shared" si="161"/>
        <v>4</v>
      </c>
      <c r="BP315" s="4">
        <f t="shared" si="162"/>
        <v>4</v>
      </c>
      <c r="BQ315" s="4">
        <f t="shared" si="163"/>
        <v>6</v>
      </c>
      <c r="BR315" s="4">
        <f t="shared" si="164"/>
        <v>4</v>
      </c>
      <c r="BS315" s="4">
        <f t="shared" si="165"/>
        <v>4</v>
      </c>
      <c r="BT315" s="4">
        <f t="shared" si="166"/>
        <v>4</v>
      </c>
      <c r="BU315" s="4">
        <f t="shared" si="167"/>
        <v>4</v>
      </c>
      <c r="BV315" s="4" t="str">
        <f t="shared" si="168"/>
        <v>0</v>
      </c>
      <c r="BW315" s="4">
        <f t="shared" si="169"/>
        <v>6</v>
      </c>
      <c r="BX315" s="4">
        <f t="shared" si="170"/>
        <v>0</v>
      </c>
      <c r="BY315" s="4">
        <f t="shared" si="171"/>
        <v>0</v>
      </c>
      <c r="BZ315" s="37">
        <f t="shared" si="172"/>
        <v>92</v>
      </c>
      <c r="CA315" s="32" t="str">
        <f>VLOOKUP(J:J,'Agent wise'!A:C,3,0)</f>
        <v>Adharsh</v>
      </c>
      <c r="CB315" s="32">
        <f t="shared" si="173"/>
        <v>45936</v>
      </c>
      <c r="CC315" t="str">
        <f t="shared" si="174"/>
        <v>Good</v>
      </c>
      <c r="CE315" s="32"/>
      <c r="CJ315">
        <f t="shared" si="175"/>
        <v>6</v>
      </c>
      <c r="CK315">
        <f t="shared" si="176"/>
        <v>10</v>
      </c>
      <c r="CL315">
        <f t="shared" si="177"/>
        <v>2025</v>
      </c>
    </row>
    <row r="316" spans="1:90" ht="15" customHeight="1" x14ac:dyDescent="0.35">
      <c r="A316" s="40">
        <v>45818.704444444447</v>
      </c>
      <c r="B316" t="s">
        <v>100</v>
      </c>
      <c r="C316" t="s">
        <v>214</v>
      </c>
      <c r="D316" t="s">
        <v>101</v>
      </c>
      <c r="E316" s="32">
        <v>45936</v>
      </c>
      <c r="F316" t="s">
        <v>54</v>
      </c>
      <c r="G316" s="2">
        <v>45787</v>
      </c>
      <c r="H316">
        <v>7907658863</v>
      </c>
      <c r="I316">
        <v>143</v>
      </c>
      <c r="J316" t="s">
        <v>464</v>
      </c>
      <c r="K316" t="s">
        <v>57</v>
      </c>
      <c r="L316" t="s">
        <v>58</v>
      </c>
      <c r="M316" t="s">
        <v>59</v>
      </c>
      <c r="N316" t="s">
        <v>59</v>
      </c>
      <c r="O316" t="s">
        <v>59</v>
      </c>
      <c r="P316" t="s">
        <v>59</v>
      </c>
      <c r="Q316" t="s">
        <v>59</v>
      </c>
      <c r="R316" t="s">
        <v>59</v>
      </c>
      <c r="S316" t="s">
        <v>59</v>
      </c>
      <c r="T316" t="s">
        <v>59</v>
      </c>
      <c r="U316" t="s">
        <v>59</v>
      </c>
      <c r="V316" t="s">
        <v>59</v>
      </c>
      <c r="W316" t="s">
        <v>59</v>
      </c>
      <c r="X316" t="s">
        <v>59</v>
      </c>
      <c r="Y316" t="s">
        <v>59</v>
      </c>
      <c r="Z316" t="s">
        <v>59</v>
      </c>
      <c r="AA316" t="s">
        <v>60</v>
      </c>
      <c r="AB316" t="s">
        <v>60</v>
      </c>
      <c r="AC316" t="s">
        <v>59</v>
      </c>
      <c r="AD316" t="s">
        <v>59</v>
      </c>
      <c r="AE316" t="s">
        <v>59</v>
      </c>
      <c r="AF316" t="s">
        <v>59</v>
      </c>
      <c r="AG316" t="s">
        <v>59</v>
      </c>
      <c r="AH316" t="s">
        <v>59</v>
      </c>
      <c r="AI316" t="s">
        <v>61</v>
      </c>
      <c r="AJ316" t="s">
        <v>59</v>
      </c>
      <c r="AK316" t="s">
        <v>59</v>
      </c>
      <c r="AL316" t="s">
        <v>59</v>
      </c>
      <c r="AM316" t="s">
        <v>59</v>
      </c>
      <c r="AN316" t="s">
        <v>59</v>
      </c>
      <c r="AO316" t="s">
        <v>59</v>
      </c>
      <c r="AP316" s="1" t="s">
        <v>894</v>
      </c>
      <c r="AQ316" s="1" t="s">
        <v>895</v>
      </c>
      <c r="AR316" t="s">
        <v>64</v>
      </c>
      <c r="AS316" t="s">
        <v>325</v>
      </c>
      <c r="AT316" t="s">
        <v>324</v>
      </c>
      <c r="AU316" t="s">
        <v>219</v>
      </c>
      <c r="AW316" s="4">
        <f t="shared" si="143"/>
        <v>6</v>
      </c>
      <c r="AX316" s="4">
        <f t="shared" si="144"/>
        <v>4</v>
      </c>
      <c r="AY316" s="4">
        <f t="shared" si="145"/>
        <v>4</v>
      </c>
      <c r="AZ316" s="4">
        <f t="shared" si="146"/>
        <v>2</v>
      </c>
      <c r="BA316" s="4">
        <f t="shared" si="147"/>
        <v>4</v>
      </c>
      <c r="BB316" s="4">
        <f t="shared" si="148"/>
        <v>4</v>
      </c>
      <c r="BC316" s="4">
        <f t="shared" si="149"/>
        <v>4</v>
      </c>
      <c r="BD316" s="4">
        <f t="shared" si="150"/>
        <v>2</v>
      </c>
      <c r="BE316" s="4">
        <f t="shared" si="151"/>
        <v>4</v>
      </c>
      <c r="BF316" s="4">
        <f t="shared" si="152"/>
        <v>2</v>
      </c>
      <c r="BG316" s="4">
        <f t="shared" si="153"/>
        <v>4</v>
      </c>
      <c r="BH316" s="4">
        <f t="shared" si="154"/>
        <v>4</v>
      </c>
      <c r="BI316" s="4">
        <f t="shared" si="155"/>
        <v>4</v>
      </c>
      <c r="BJ316" s="4">
        <f t="shared" si="156"/>
        <v>2</v>
      </c>
      <c r="BK316" s="4" t="str">
        <f t="shared" si="157"/>
        <v>0</v>
      </c>
      <c r="BL316" s="4" t="str">
        <f t="shared" si="158"/>
        <v>0</v>
      </c>
      <c r="BM316" s="4">
        <f t="shared" si="159"/>
        <v>4</v>
      </c>
      <c r="BN316" s="4">
        <f t="shared" si="160"/>
        <v>4</v>
      </c>
      <c r="BO316" s="4">
        <f t="shared" si="161"/>
        <v>4</v>
      </c>
      <c r="BP316" s="4">
        <f t="shared" si="162"/>
        <v>4</v>
      </c>
      <c r="BQ316" s="4">
        <f t="shared" si="163"/>
        <v>6</v>
      </c>
      <c r="BR316" s="4">
        <f t="shared" si="164"/>
        <v>4</v>
      </c>
      <c r="BS316" s="4">
        <f t="shared" si="165"/>
        <v>4</v>
      </c>
      <c r="BT316" s="4">
        <f t="shared" si="166"/>
        <v>4</v>
      </c>
      <c r="BU316" s="4">
        <f t="shared" si="167"/>
        <v>4</v>
      </c>
      <c r="BV316" s="4">
        <f t="shared" si="168"/>
        <v>0</v>
      </c>
      <c r="BW316" s="4">
        <f t="shared" si="169"/>
        <v>6</v>
      </c>
      <c r="BX316" s="4">
        <f t="shared" si="170"/>
        <v>0</v>
      </c>
      <c r="BY316" s="4">
        <f t="shared" si="171"/>
        <v>0</v>
      </c>
      <c r="BZ316" s="37">
        <f t="shared" si="172"/>
        <v>94</v>
      </c>
      <c r="CA316" s="32" t="str">
        <f>VLOOKUP(J:J,'Agent wise'!A:C,3,0)</f>
        <v>Adharsh</v>
      </c>
      <c r="CB316" s="32">
        <f t="shared" si="173"/>
        <v>45936</v>
      </c>
      <c r="CC316" t="str">
        <f t="shared" si="174"/>
        <v>Good</v>
      </c>
      <c r="CE316" s="32"/>
      <c r="CJ316">
        <f t="shared" si="175"/>
        <v>6</v>
      </c>
      <c r="CK316">
        <f t="shared" si="176"/>
        <v>10</v>
      </c>
      <c r="CL316">
        <f t="shared" si="177"/>
        <v>2025</v>
      </c>
    </row>
    <row r="317" spans="1:90" ht="15" customHeight="1" x14ac:dyDescent="0.35">
      <c r="A317" s="40">
        <v>45818.706562500003</v>
      </c>
      <c r="B317" t="s">
        <v>250</v>
      </c>
      <c r="C317" t="s">
        <v>214</v>
      </c>
      <c r="D317" t="s">
        <v>251</v>
      </c>
      <c r="E317" s="32">
        <v>45936</v>
      </c>
      <c r="F317" t="s">
        <v>54</v>
      </c>
      <c r="G317" s="2">
        <v>45787</v>
      </c>
      <c r="H317">
        <v>8078963634</v>
      </c>
      <c r="I317">
        <v>167</v>
      </c>
      <c r="J317" t="s">
        <v>195</v>
      </c>
      <c r="K317" t="s">
        <v>57</v>
      </c>
      <c r="L317" t="s">
        <v>58</v>
      </c>
      <c r="M317" t="s">
        <v>59</v>
      </c>
      <c r="N317" t="s">
        <v>59</v>
      </c>
      <c r="O317" t="s">
        <v>59</v>
      </c>
      <c r="P317" t="s">
        <v>59</v>
      </c>
      <c r="Q317" t="s">
        <v>59</v>
      </c>
      <c r="R317" t="s">
        <v>59</v>
      </c>
      <c r="S317" t="s">
        <v>59</v>
      </c>
      <c r="T317" t="s">
        <v>59</v>
      </c>
      <c r="U317" t="s">
        <v>60</v>
      </c>
      <c r="V317" t="s">
        <v>59</v>
      </c>
      <c r="W317" t="s">
        <v>59</v>
      </c>
      <c r="X317" t="s">
        <v>59</v>
      </c>
      <c r="Y317" t="s">
        <v>59</v>
      </c>
      <c r="Z317" t="s">
        <v>59</v>
      </c>
      <c r="AA317" t="s">
        <v>60</v>
      </c>
      <c r="AB317" t="s">
        <v>61</v>
      </c>
      <c r="AC317" t="s">
        <v>59</v>
      </c>
      <c r="AD317" t="s">
        <v>59</v>
      </c>
      <c r="AE317" t="s">
        <v>59</v>
      </c>
      <c r="AF317" t="s">
        <v>59</v>
      </c>
      <c r="AG317" t="s">
        <v>59</v>
      </c>
      <c r="AH317" t="s">
        <v>61</v>
      </c>
      <c r="AI317" t="s">
        <v>61</v>
      </c>
      <c r="AJ317" t="s">
        <v>59</v>
      </c>
      <c r="AK317" t="s">
        <v>59</v>
      </c>
      <c r="AL317" t="s">
        <v>59</v>
      </c>
      <c r="AM317" t="s">
        <v>59</v>
      </c>
      <c r="AN317" t="s">
        <v>59</v>
      </c>
      <c r="AO317" t="s">
        <v>59</v>
      </c>
      <c r="AP317" t="s">
        <v>896</v>
      </c>
      <c r="AQ317" t="s">
        <v>897</v>
      </c>
      <c r="AR317" t="s">
        <v>64</v>
      </c>
      <c r="AS317" t="s">
        <v>255</v>
      </c>
      <c r="AT317" t="s">
        <v>256</v>
      </c>
      <c r="AU317" t="s">
        <v>219</v>
      </c>
      <c r="AW317" s="4">
        <f t="shared" si="143"/>
        <v>6</v>
      </c>
      <c r="AX317" s="4">
        <f t="shared" si="144"/>
        <v>4</v>
      </c>
      <c r="AY317" s="4">
        <f t="shared" si="145"/>
        <v>4</v>
      </c>
      <c r="AZ317" s="4">
        <f t="shared" si="146"/>
        <v>2</v>
      </c>
      <c r="BA317" s="4">
        <f t="shared" si="147"/>
        <v>4</v>
      </c>
      <c r="BB317" s="4">
        <f t="shared" si="148"/>
        <v>4</v>
      </c>
      <c r="BC317" s="4">
        <f t="shared" si="149"/>
        <v>4</v>
      </c>
      <c r="BD317" s="4">
        <f t="shared" si="150"/>
        <v>2</v>
      </c>
      <c r="BE317" s="4" t="str">
        <f t="shared" si="151"/>
        <v>0</v>
      </c>
      <c r="BF317" s="4">
        <f t="shared" si="152"/>
        <v>2</v>
      </c>
      <c r="BG317" s="4">
        <f t="shared" si="153"/>
        <v>4</v>
      </c>
      <c r="BH317" s="4">
        <f t="shared" si="154"/>
        <v>4</v>
      </c>
      <c r="BI317" s="4">
        <f t="shared" si="155"/>
        <v>4</v>
      </c>
      <c r="BJ317" s="4">
        <f t="shared" si="156"/>
        <v>2</v>
      </c>
      <c r="BK317" s="4" t="str">
        <f t="shared" si="157"/>
        <v>0</v>
      </c>
      <c r="BL317" s="4">
        <f t="shared" si="158"/>
        <v>2</v>
      </c>
      <c r="BM317" s="4">
        <f t="shared" si="159"/>
        <v>4</v>
      </c>
      <c r="BN317" s="4">
        <f t="shared" si="160"/>
        <v>4</v>
      </c>
      <c r="BO317" s="4">
        <f t="shared" si="161"/>
        <v>4</v>
      </c>
      <c r="BP317" s="4">
        <f t="shared" si="162"/>
        <v>4</v>
      </c>
      <c r="BQ317" s="4">
        <f t="shared" si="163"/>
        <v>6</v>
      </c>
      <c r="BR317" s="4">
        <f t="shared" si="164"/>
        <v>4</v>
      </c>
      <c r="BS317" s="4">
        <f t="shared" si="165"/>
        <v>4</v>
      </c>
      <c r="BT317" s="4">
        <f t="shared" si="166"/>
        <v>4</v>
      </c>
      <c r="BU317" s="4">
        <f t="shared" si="167"/>
        <v>4</v>
      </c>
      <c r="BV317" s="4">
        <f t="shared" si="168"/>
        <v>0</v>
      </c>
      <c r="BW317" s="4">
        <f t="shared" si="169"/>
        <v>6</v>
      </c>
      <c r="BX317" s="4">
        <f t="shared" si="170"/>
        <v>0</v>
      </c>
      <c r="BY317" s="4">
        <f t="shared" si="171"/>
        <v>0</v>
      </c>
      <c r="BZ317" s="37">
        <f t="shared" si="172"/>
        <v>92</v>
      </c>
      <c r="CA317" s="32" t="str">
        <f>VLOOKUP(J:J,'Agent wise'!A:C,3,0)</f>
        <v>Adharsh</v>
      </c>
      <c r="CB317" s="32">
        <f t="shared" si="173"/>
        <v>45936</v>
      </c>
      <c r="CC317" t="str">
        <f t="shared" si="174"/>
        <v>Good</v>
      </c>
      <c r="CE317" s="32"/>
      <c r="CJ317">
        <f t="shared" si="175"/>
        <v>6</v>
      </c>
      <c r="CK317">
        <f t="shared" si="176"/>
        <v>10</v>
      </c>
      <c r="CL317">
        <f t="shared" si="177"/>
        <v>2025</v>
      </c>
    </row>
    <row r="318" spans="1:90" ht="15" customHeight="1" x14ac:dyDescent="0.35">
      <c r="A318" s="40">
        <v>45818.707129629627</v>
      </c>
      <c r="B318" t="s">
        <v>100</v>
      </c>
      <c r="C318" t="s">
        <v>214</v>
      </c>
      <c r="D318" t="s">
        <v>101</v>
      </c>
      <c r="E318" s="32">
        <v>45936</v>
      </c>
      <c r="F318" t="s">
        <v>54</v>
      </c>
      <c r="G318" s="2">
        <v>45787</v>
      </c>
      <c r="H318">
        <v>9495012504</v>
      </c>
      <c r="I318">
        <v>131</v>
      </c>
      <c r="J318" t="s">
        <v>646</v>
      </c>
      <c r="K318" t="s">
        <v>57</v>
      </c>
      <c r="L318" t="s">
        <v>58</v>
      </c>
      <c r="M318" t="s">
        <v>59</v>
      </c>
      <c r="N318" t="s">
        <v>59</v>
      </c>
      <c r="O318" t="s">
        <v>59</v>
      </c>
      <c r="P318" t="s">
        <v>59</v>
      </c>
      <c r="Q318" t="s">
        <v>59</v>
      </c>
      <c r="R318" t="s">
        <v>59</v>
      </c>
      <c r="S318" t="s">
        <v>59</v>
      </c>
      <c r="T318" t="s">
        <v>59</v>
      </c>
      <c r="U318" t="s">
        <v>59</v>
      </c>
      <c r="V318" t="s">
        <v>59</v>
      </c>
      <c r="W318" t="s">
        <v>59</v>
      </c>
      <c r="X318" t="s">
        <v>59</v>
      </c>
      <c r="Y318" t="s">
        <v>59</v>
      </c>
      <c r="Z318" t="s">
        <v>59</v>
      </c>
      <c r="AA318" t="s">
        <v>60</v>
      </c>
      <c r="AB318" t="s">
        <v>59</v>
      </c>
      <c r="AC318" t="s">
        <v>59</v>
      </c>
      <c r="AD318" t="s">
        <v>59</v>
      </c>
      <c r="AE318" t="s">
        <v>59</v>
      </c>
      <c r="AF318" t="s">
        <v>59</v>
      </c>
      <c r="AG318" t="s">
        <v>59</v>
      </c>
      <c r="AH318" t="s">
        <v>59</v>
      </c>
      <c r="AI318" t="s">
        <v>61</v>
      </c>
      <c r="AJ318" t="s">
        <v>59</v>
      </c>
      <c r="AK318" t="s">
        <v>59</v>
      </c>
      <c r="AL318" t="s">
        <v>59</v>
      </c>
      <c r="AM318" t="s">
        <v>59</v>
      </c>
      <c r="AN318" t="s">
        <v>59</v>
      </c>
      <c r="AO318" t="s">
        <v>59</v>
      </c>
      <c r="AP318" t="s">
        <v>188</v>
      </c>
      <c r="AQ318" s="1" t="s">
        <v>898</v>
      </c>
      <c r="AR318" t="s">
        <v>64</v>
      </c>
      <c r="AS318" t="s">
        <v>89</v>
      </c>
      <c r="AT318" t="s">
        <v>899</v>
      </c>
      <c r="AU318" t="s">
        <v>219</v>
      </c>
      <c r="AW318" s="4">
        <f t="shared" si="143"/>
        <v>6</v>
      </c>
      <c r="AX318" s="4">
        <f t="shared" si="144"/>
        <v>4</v>
      </c>
      <c r="AY318" s="4">
        <f t="shared" si="145"/>
        <v>4</v>
      </c>
      <c r="AZ318" s="4">
        <f t="shared" si="146"/>
        <v>2</v>
      </c>
      <c r="BA318" s="4">
        <f t="shared" si="147"/>
        <v>4</v>
      </c>
      <c r="BB318" s="4">
        <f t="shared" si="148"/>
        <v>4</v>
      </c>
      <c r="BC318" s="4">
        <f t="shared" si="149"/>
        <v>4</v>
      </c>
      <c r="BD318" s="4">
        <f t="shared" si="150"/>
        <v>2</v>
      </c>
      <c r="BE318" s="4">
        <f t="shared" si="151"/>
        <v>4</v>
      </c>
      <c r="BF318" s="4">
        <f t="shared" si="152"/>
        <v>2</v>
      </c>
      <c r="BG318" s="4">
        <f t="shared" si="153"/>
        <v>4</v>
      </c>
      <c r="BH318" s="4">
        <f t="shared" si="154"/>
        <v>4</v>
      </c>
      <c r="BI318" s="4">
        <f t="shared" si="155"/>
        <v>4</v>
      </c>
      <c r="BJ318" s="4">
        <f t="shared" si="156"/>
        <v>2</v>
      </c>
      <c r="BK318" s="4" t="str">
        <f t="shared" si="157"/>
        <v>0</v>
      </c>
      <c r="BL318" s="4">
        <f t="shared" si="158"/>
        <v>2</v>
      </c>
      <c r="BM318" s="4">
        <f t="shared" si="159"/>
        <v>4</v>
      </c>
      <c r="BN318" s="4">
        <f t="shared" si="160"/>
        <v>4</v>
      </c>
      <c r="BO318" s="4">
        <f t="shared" si="161"/>
        <v>4</v>
      </c>
      <c r="BP318" s="4">
        <f t="shared" si="162"/>
        <v>4</v>
      </c>
      <c r="BQ318" s="4">
        <f t="shared" si="163"/>
        <v>6</v>
      </c>
      <c r="BR318" s="4">
        <f t="shared" si="164"/>
        <v>4</v>
      </c>
      <c r="BS318" s="4">
        <f t="shared" si="165"/>
        <v>4</v>
      </c>
      <c r="BT318" s="4">
        <f t="shared" si="166"/>
        <v>4</v>
      </c>
      <c r="BU318" s="4">
        <f t="shared" si="167"/>
        <v>4</v>
      </c>
      <c r="BV318" s="4">
        <f t="shared" si="168"/>
        <v>0</v>
      </c>
      <c r="BW318" s="4">
        <f t="shared" si="169"/>
        <v>6</v>
      </c>
      <c r="BX318" s="4">
        <f t="shared" si="170"/>
        <v>0</v>
      </c>
      <c r="BY318" s="4">
        <f t="shared" si="171"/>
        <v>0</v>
      </c>
      <c r="BZ318" s="37">
        <f t="shared" si="172"/>
        <v>96</v>
      </c>
      <c r="CA318" s="32" t="str">
        <f>VLOOKUP(J:J,'Agent wise'!A:C,3,0)</f>
        <v xml:space="preserve">Shiny </v>
      </c>
      <c r="CB318" s="32">
        <f t="shared" si="173"/>
        <v>45936</v>
      </c>
      <c r="CC318" t="str">
        <f t="shared" si="174"/>
        <v>Excellent</v>
      </c>
      <c r="CE318" s="32"/>
      <c r="CJ318">
        <f t="shared" si="175"/>
        <v>6</v>
      </c>
      <c r="CK318">
        <f t="shared" si="176"/>
        <v>10</v>
      </c>
      <c r="CL318">
        <f t="shared" si="177"/>
        <v>2025</v>
      </c>
    </row>
    <row r="319" spans="1:90" ht="15" customHeight="1" x14ac:dyDescent="0.35">
      <c r="A319" s="40">
        <v>45818.715682870366</v>
      </c>
      <c r="B319" t="s">
        <v>100</v>
      </c>
      <c r="C319" t="s">
        <v>214</v>
      </c>
      <c r="D319" t="s">
        <v>101</v>
      </c>
      <c r="E319" s="32">
        <v>45936</v>
      </c>
      <c r="F319" t="s">
        <v>54</v>
      </c>
      <c r="G319" s="2">
        <v>45787</v>
      </c>
      <c r="H319">
        <v>9344076887</v>
      </c>
      <c r="I319">
        <v>131</v>
      </c>
      <c r="J319" t="s">
        <v>660</v>
      </c>
      <c r="K319" t="s">
        <v>71</v>
      </c>
      <c r="L319" t="s">
        <v>72</v>
      </c>
      <c r="M319" t="s">
        <v>59</v>
      </c>
      <c r="N319" t="s">
        <v>59</v>
      </c>
      <c r="O319" t="s">
        <v>59</v>
      </c>
      <c r="P319" t="s">
        <v>59</v>
      </c>
      <c r="Q319" t="s">
        <v>59</v>
      </c>
      <c r="R319" t="s">
        <v>59</v>
      </c>
      <c r="S319" t="s">
        <v>59</v>
      </c>
      <c r="T319" t="s">
        <v>59</v>
      </c>
      <c r="U319" t="s">
        <v>59</v>
      </c>
      <c r="V319" t="s">
        <v>59</v>
      </c>
      <c r="W319" t="s">
        <v>59</v>
      </c>
      <c r="X319" t="s">
        <v>59</v>
      </c>
      <c r="Y319" t="s">
        <v>59</v>
      </c>
      <c r="Z319" t="s">
        <v>59</v>
      </c>
      <c r="AA319" t="s">
        <v>60</v>
      </c>
      <c r="AB319" t="s">
        <v>59</v>
      </c>
      <c r="AC319" t="s">
        <v>59</v>
      </c>
      <c r="AD319" t="s">
        <v>59</v>
      </c>
      <c r="AE319" t="s">
        <v>59</v>
      </c>
      <c r="AF319" t="s">
        <v>59</v>
      </c>
      <c r="AG319" t="s">
        <v>59</v>
      </c>
      <c r="AH319" t="s">
        <v>59</v>
      </c>
      <c r="AI319" t="s">
        <v>61</v>
      </c>
      <c r="AJ319" t="s">
        <v>59</v>
      </c>
      <c r="AK319" t="s">
        <v>59</v>
      </c>
      <c r="AL319" t="s">
        <v>59</v>
      </c>
      <c r="AM319" t="s">
        <v>59</v>
      </c>
      <c r="AN319" t="s">
        <v>59</v>
      </c>
      <c r="AO319" t="s">
        <v>60</v>
      </c>
      <c r="AP319" t="s">
        <v>900</v>
      </c>
      <c r="AQ319" s="1" t="s">
        <v>901</v>
      </c>
      <c r="AR319" t="s">
        <v>64</v>
      </c>
      <c r="AS319" t="s">
        <v>555</v>
      </c>
      <c r="AT319" t="s">
        <v>556</v>
      </c>
      <c r="AU319" t="s">
        <v>219</v>
      </c>
      <c r="AW319" s="4">
        <f t="shared" si="143"/>
        <v>6</v>
      </c>
      <c r="AX319" s="4">
        <f t="shared" si="144"/>
        <v>4</v>
      </c>
      <c r="AY319" s="4">
        <f t="shared" si="145"/>
        <v>4</v>
      </c>
      <c r="AZ319" s="4">
        <f t="shared" si="146"/>
        <v>2</v>
      </c>
      <c r="BA319" s="4">
        <f t="shared" si="147"/>
        <v>4</v>
      </c>
      <c r="BB319" s="4">
        <f t="shared" si="148"/>
        <v>4</v>
      </c>
      <c r="BC319" s="4">
        <f t="shared" si="149"/>
        <v>4</v>
      </c>
      <c r="BD319" s="4">
        <f t="shared" si="150"/>
        <v>2</v>
      </c>
      <c r="BE319" s="4">
        <f t="shared" si="151"/>
        <v>4</v>
      </c>
      <c r="BF319" s="4">
        <f t="shared" si="152"/>
        <v>2</v>
      </c>
      <c r="BG319" s="4">
        <f t="shared" si="153"/>
        <v>4</v>
      </c>
      <c r="BH319" s="4">
        <f t="shared" si="154"/>
        <v>4</v>
      </c>
      <c r="BI319" s="4">
        <f t="shared" si="155"/>
        <v>4</v>
      </c>
      <c r="BJ319" s="4">
        <f t="shared" si="156"/>
        <v>2</v>
      </c>
      <c r="BK319" s="4" t="str">
        <f t="shared" si="157"/>
        <v>0</v>
      </c>
      <c r="BL319" s="4">
        <f t="shared" si="158"/>
        <v>2</v>
      </c>
      <c r="BM319" s="4">
        <f t="shared" si="159"/>
        <v>4</v>
      </c>
      <c r="BN319" s="4">
        <f t="shared" si="160"/>
        <v>4</v>
      </c>
      <c r="BO319" s="4">
        <f t="shared" si="161"/>
        <v>4</v>
      </c>
      <c r="BP319" s="4">
        <f t="shared" si="162"/>
        <v>4</v>
      </c>
      <c r="BQ319" s="4">
        <f t="shared" si="163"/>
        <v>6</v>
      </c>
      <c r="BR319" s="4">
        <f t="shared" si="164"/>
        <v>4</v>
      </c>
      <c r="BS319" s="4">
        <f t="shared" si="165"/>
        <v>4</v>
      </c>
      <c r="BT319" s="4">
        <f t="shared" si="166"/>
        <v>4</v>
      </c>
      <c r="BU319" s="4">
        <f t="shared" si="167"/>
        <v>4</v>
      </c>
      <c r="BV319" s="4">
        <f t="shared" si="168"/>
        <v>0</v>
      </c>
      <c r="BW319" s="4">
        <f t="shared" si="169"/>
        <v>6</v>
      </c>
      <c r="BX319" s="4">
        <f t="shared" si="170"/>
        <v>0</v>
      </c>
      <c r="BY319" s="4" t="str">
        <f t="shared" si="171"/>
        <v>0</v>
      </c>
      <c r="BZ319" s="37">
        <f t="shared" si="172"/>
        <v>96</v>
      </c>
      <c r="CA319" s="32" t="str">
        <f>VLOOKUP(J:J,'Agent wise'!A:C,3,0)</f>
        <v>Adharsh</v>
      </c>
      <c r="CB319" s="32">
        <f t="shared" si="173"/>
        <v>45936</v>
      </c>
      <c r="CC319" t="str">
        <f t="shared" si="174"/>
        <v>Excellent</v>
      </c>
      <c r="CE319" s="32"/>
      <c r="CJ319">
        <f t="shared" si="175"/>
        <v>6</v>
      </c>
      <c r="CK319">
        <f t="shared" si="176"/>
        <v>10</v>
      </c>
      <c r="CL319">
        <f t="shared" si="177"/>
        <v>2025</v>
      </c>
    </row>
    <row r="320" spans="1:90" ht="15" customHeight="1" x14ac:dyDescent="0.35">
      <c r="A320" s="40">
        <v>45818.719537037039</v>
      </c>
      <c r="B320" t="s">
        <v>100</v>
      </c>
      <c r="C320" t="s">
        <v>214</v>
      </c>
      <c r="D320" t="s">
        <v>101</v>
      </c>
      <c r="E320" s="32">
        <v>45936</v>
      </c>
      <c r="F320" t="s">
        <v>222</v>
      </c>
      <c r="G320" s="2">
        <v>45787</v>
      </c>
      <c r="H320">
        <v>9953065412</v>
      </c>
      <c r="I320">
        <v>141</v>
      </c>
      <c r="J320" t="s">
        <v>313</v>
      </c>
      <c r="K320" t="s">
        <v>71</v>
      </c>
      <c r="L320" t="s">
        <v>72</v>
      </c>
      <c r="M320" t="s">
        <v>59</v>
      </c>
      <c r="N320" t="s">
        <v>59</v>
      </c>
      <c r="O320" t="s">
        <v>59</v>
      </c>
      <c r="P320" t="s">
        <v>59</v>
      </c>
      <c r="Q320" t="s">
        <v>59</v>
      </c>
      <c r="R320" t="s">
        <v>59</v>
      </c>
      <c r="S320" t="s">
        <v>59</v>
      </c>
      <c r="T320" t="s">
        <v>59</v>
      </c>
      <c r="U320" t="s">
        <v>59</v>
      </c>
      <c r="V320" t="s">
        <v>59</v>
      </c>
      <c r="W320" t="s">
        <v>59</v>
      </c>
      <c r="X320" t="s">
        <v>59</v>
      </c>
      <c r="Y320" t="s">
        <v>59</v>
      </c>
      <c r="Z320" t="s">
        <v>59</v>
      </c>
      <c r="AA320" t="s">
        <v>60</v>
      </c>
      <c r="AB320" t="s">
        <v>59</v>
      </c>
      <c r="AC320" t="s">
        <v>59</v>
      </c>
      <c r="AD320" t="s">
        <v>59</v>
      </c>
      <c r="AE320" t="s">
        <v>59</v>
      </c>
      <c r="AF320" t="s">
        <v>59</v>
      </c>
      <c r="AG320" t="s">
        <v>59</v>
      </c>
      <c r="AH320" t="s">
        <v>59</v>
      </c>
      <c r="AI320" t="s">
        <v>61</v>
      </c>
      <c r="AJ320" t="s">
        <v>59</v>
      </c>
      <c r="AK320" t="s">
        <v>59</v>
      </c>
      <c r="AL320" t="s">
        <v>59</v>
      </c>
      <c r="AM320" t="s">
        <v>59</v>
      </c>
      <c r="AN320" t="s">
        <v>59</v>
      </c>
      <c r="AO320" t="s">
        <v>59</v>
      </c>
      <c r="AP320" t="s">
        <v>188</v>
      </c>
      <c r="AQ320" s="1" t="s">
        <v>902</v>
      </c>
      <c r="AR320" t="s">
        <v>226</v>
      </c>
      <c r="AS320" t="s">
        <v>352</v>
      </c>
      <c r="AT320" t="s">
        <v>352</v>
      </c>
      <c r="AU320" t="s">
        <v>219</v>
      </c>
      <c r="AW320" s="4">
        <f t="shared" si="143"/>
        <v>6</v>
      </c>
      <c r="AX320" s="4">
        <f t="shared" si="144"/>
        <v>4</v>
      </c>
      <c r="AY320" s="4">
        <f t="shared" si="145"/>
        <v>4</v>
      </c>
      <c r="AZ320" s="4">
        <f t="shared" si="146"/>
        <v>2</v>
      </c>
      <c r="BA320" s="4">
        <f t="shared" si="147"/>
        <v>4</v>
      </c>
      <c r="BB320" s="4">
        <f t="shared" si="148"/>
        <v>4</v>
      </c>
      <c r="BC320" s="4">
        <f t="shared" si="149"/>
        <v>4</v>
      </c>
      <c r="BD320" s="4">
        <f t="shared" si="150"/>
        <v>2</v>
      </c>
      <c r="BE320" s="4">
        <f t="shared" si="151"/>
        <v>4</v>
      </c>
      <c r="BF320" s="4">
        <f t="shared" si="152"/>
        <v>2</v>
      </c>
      <c r="BG320" s="4">
        <f t="shared" si="153"/>
        <v>4</v>
      </c>
      <c r="BH320" s="4">
        <f t="shared" si="154"/>
        <v>4</v>
      </c>
      <c r="BI320" s="4">
        <f t="shared" si="155"/>
        <v>4</v>
      </c>
      <c r="BJ320" s="4">
        <f t="shared" si="156"/>
        <v>2</v>
      </c>
      <c r="BK320" s="4" t="str">
        <f t="shared" si="157"/>
        <v>0</v>
      </c>
      <c r="BL320" s="4">
        <f t="shared" si="158"/>
        <v>2</v>
      </c>
      <c r="BM320" s="4">
        <f t="shared" si="159"/>
        <v>4</v>
      </c>
      <c r="BN320" s="4">
        <f t="shared" si="160"/>
        <v>4</v>
      </c>
      <c r="BO320" s="4">
        <f t="shared" si="161"/>
        <v>4</v>
      </c>
      <c r="BP320" s="4">
        <f t="shared" si="162"/>
        <v>4</v>
      </c>
      <c r="BQ320" s="4">
        <f t="shared" si="163"/>
        <v>6</v>
      </c>
      <c r="BR320" s="4">
        <f t="shared" si="164"/>
        <v>4</v>
      </c>
      <c r="BS320" s="4">
        <f t="shared" si="165"/>
        <v>4</v>
      </c>
      <c r="BT320" s="4">
        <f t="shared" si="166"/>
        <v>4</v>
      </c>
      <c r="BU320" s="4">
        <f t="shared" si="167"/>
        <v>4</v>
      </c>
      <c r="BV320" s="4">
        <f t="shared" si="168"/>
        <v>0</v>
      </c>
      <c r="BW320" s="4">
        <f t="shared" si="169"/>
        <v>6</v>
      </c>
      <c r="BX320" s="4">
        <f t="shared" si="170"/>
        <v>0</v>
      </c>
      <c r="BY320" s="4">
        <f t="shared" si="171"/>
        <v>0</v>
      </c>
      <c r="BZ320" s="37">
        <f t="shared" si="172"/>
        <v>96</v>
      </c>
      <c r="CA320" s="32" t="str">
        <f>VLOOKUP(J:J,'Agent wise'!A:C,3,0)</f>
        <v>Shakeer</v>
      </c>
      <c r="CB320" s="32">
        <f t="shared" si="173"/>
        <v>45936</v>
      </c>
      <c r="CC320" t="str">
        <f t="shared" si="174"/>
        <v>Excellent</v>
      </c>
      <c r="CE320" s="32"/>
      <c r="CJ320">
        <f t="shared" si="175"/>
        <v>6</v>
      </c>
      <c r="CK320">
        <f t="shared" si="176"/>
        <v>10</v>
      </c>
      <c r="CL320">
        <f t="shared" si="177"/>
        <v>2025</v>
      </c>
    </row>
    <row r="321" spans="1:90" ht="15" customHeight="1" x14ac:dyDescent="0.35">
      <c r="A321" s="40">
        <v>45818.727546296293</v>
      </c>
      <c r="B321" t="s">
        <v>100</v>
      </c>
      <c r="C321" t="s">
        <v>214</v>
      </c>
      <c r="D321" t="s">
        <v>101</v>
      </c>
      <c r="E321" s="32">
        <v>45936</v>
      </c>
      <c r="F321" t="s">
        <v>222</v>
      </c>
      <c r="G321" s="2">
        <v>45787</v>
      </c>
      <c r="H321">
        <v>8848074746</v>
      </c>
      <c r="I321">
        <v>138</v>
      </c>
      <c r="J321" t="s">
        <v>653</v>
      </c>
      <c r="K321" t="s">
        <v>57</v>
      </c>
      <c r="L321" t="s">
        <v>58</v>
      </c>
      <c r="M321" t="s">
        <v>59</v>
      </c>
      <c r="N321" t="s">
        <v>59</v>
      </c>
      <c r="O321" t="s">
        <v>59</v>
      </c>
      <c r="P321" t="s">
        <v>59</v>
      </c>
      <c r="Q321" t="s">
        <v>59</v>
      </c>
      <c r="R321" t="s">
        <v>59</v>
      </c>
      <c r="S321" t="s">
        <v>59</v>
      </c>
      <c r="T321" t="s">
        <v>59</v>
      </c>
      <c r="U321" t="s">
        <v>59</v>
      </c>
      <c r="V321" t="s">
        <v>59</v>
      </c>
      <c r="W321" t="s">
        <v>59</v>
      </c>
      <c r="X321" t="s">
        <v>59</v>
      </c>
      <c r="Y321" t="s">
        <v>59</v>
      </c>
      <c r="Z321" t="s">
        <v>59</v>
      </c>
      <c r="AA321" t="s">
        <v>59</v>
      </c>
      <c r="AB321" t="s">
        <v>60</v>
      </c>
      <c r="AC321" t="s">
        <v>59</v>
      </c>
      <c r="AD321" t="s">
        <v>59</v>
      </c>
      <c r="AE321" t="s">
        <v>59</v>
      </c>
      <c r="AF321" t="s">
        <v>59</v>
      </c>
      <c r="AG321" t="s">
        <v>59</v>
      </c>
      <c r="AH321" t="s">
        <v>59</v>
      </c>
      <c r="AI321" t="s">
        <v>59</v>
      </c>
      <c r="AJ321" t="s">
        <v>59</v>
      </c>
      <c r="AK321" t="s">
        <v>59</v>
      </c>
      <c r="AL321" t="s">
        <v>59</v>
      </c>
      <c r="AM321" t="s">
        <v>59</v>
      </c>
      <c r="AN321" t="s">
        <v>59</v>
      </c>
      <c r="AO321" t="s">
        <v>59</v>
      </c>
      <c r="AP321" s="1" t="s">
        <v>903</v>
      </c>
      <c r="AQ321" s="1" t="s">
        <v>904</v>
      </c>
      <c r="AR321" t="s">
        <v>226</v>
      </c>
      <c r="AS321" t="s">
        <v>352</v>
      </c>
      <c r="AT321" t="s">
        <v>352</v>
      </c>
      <c r="AU321" t="s">
        <v>219</v>
      </c>
      <c r="AW321" s="4">
        <f t="shared" si="143"/>
        <v>6</v>
      </c>
      <c r="AX321" s="4">
        <f t="shared" si="144"/>
        <v>4</v>
      </c>
      <c r="AY321" s="4">
        <f t="shared" si="145"/>
        <v>4</v>
      </c>
      <c r="AZ321" s="4">
        <f t="shared" si="146"/>
        <v>2</v>
      </c>
      <c r="BA321" s="4">
        <f t="shared" si="147"/>
        <v>4</v>
      </c>
      <c r="BB321" s="4">
        <f t="shared" si="148"/>
        <v>4</v>
      </c>
      <c r="BC321" s="4">
        <f t="shared" si="149"/>
        <v>4</v>
      </c>
      <c r="BD321" s="4">
        <f t="shared" si="150"/>
        <v>2</v>
      </c>
      <c r="BE321" s="4">
        <f t="shared" si="151"/>
        <v>4</v>
      </c>
      <c r="BF321" s="4">
        <f t="shared" si="152"/>
        <v>2</v>
      </c>
      <c r="BG321" s="4">
        <f t="shared" si="153"/>
        <v>4</v>
      </c>
      <c r="BH321" s="4">
        <f t="shared" si="154"/>
        <v>4</v>
      </c>
      <c r="BI321" s="4">
        <f t="shared" si="155"/>
        <v>4</v>
      </c>
      <c r="BJ321" s="4">
        <f t="shared" si="156"/>
        <v>2</v>
      </c>
      <c r="BK321" s="4">
        <f t="shared" si="157"/>
        <v>4</v>
      </c>
      <c r="BL321" s="4" t="str">
        <f t="shared" si="158"/>
        <v>0</v>
      </c>
      <c r="BM321" s="4">
        <f t="shared" si="159"/>
        <v>4</v>
      </c>
      <c r="BN321" s="4">
        <f t="shared" si="160"/>
        <v>4</v>
      </c>
      <c r="BO321" s="4">
        <f t="shared" si="161"/>
        <v>4</v>
      </c>
      <c r="BP321" s="4">
        <f t="shared" si="162"/>
        <v>4</v>
      </c>
      <c r="BQ321" s="4">
        <f t="shared" si="163"/>
        <v>6</v>
      </c>
      <c r="BR321" s="4">
        <f t="shared" si="164"/>
        <v>4</v>
      </c>
      <c r="BS321" s="4">
        <f t="shared" si="165"/>
        <v>4</v>
      </c>
      <c r="BT321" s="4">
        <f t="shared" si="166"/>
        <v>4</v>
      </c>
      <c r="BU321" s="4">
        <f t="shared" si="167"/>
        <v>4</v>
      </c>
      <c r="BV321" s="4">
        <f t="shared" si="168"/>
        <v>0</v>
      </c>
      <c r="BW321" s="4">
        <f t="shared" si="169"/>
        <v>6</v>
      </c>
      <c r="BX321" s="4">
        <f t="shared" si="170"/>
        <v>0</v>
      </c>
      <c r="BY321" s="4">
        <f t="shared" si="171"/>
        <v>0</v>
      </c>
      <c r="BZ321" s="37">
        <f t="shared" si="172"/>
        <v>98</v>
      </c>
      <c r="CA321" s="32" t="str">
        <f>VLOOKUP(J:J,'Agent wise'!A:C,3,0)</f>
        <v>Saran S</v>
      </c>
      <c r="CB321" s="32">
        <f t="shared" si="173"/>
        <v>45936</v>
      </c>
      <c r="CC321" t="str">
        <f t="shared" si="174"/>
        <v>Excellent</v>
      </c>
      <c r="CE321" s="32"/>
      <c r="CJ321">
        <f t="shared" si="175"/>
        <v>6</v>
      </c>
      <c r="CK321">
        <f t="shared" si="176"/>
        <v>10</v>
      </c>
      <c r="CL321">
        <f t="shared" si="177"/>
        <v>2025</v>
      </c>
    </row>
    <row r="322" spans="1:90" ht="15" customHeight="1" x14ac:dyDescent="0.35">
      <c r="A322" s="40">
        <v>45818.73233796296</v>
      </c>
      <c r="B322" t="s">
        <v>100</v>
      </c>
      <c r="C322" t="s">
        <v>214</v>
      </c>
      <c r="D322" t="s">
        <v>101</v>
      </c>
      <c r="E322" s="32">
        <v>45936</v>
      </c>
      <c r="F322" t="s">
        <v>222</v>
      </c>
      <c r="G322" s="2">
        <v>45787</v>
      </c>
      <c r="H322">
        <v>8807085317</v>
      </c>
      <c r="I322">
        <v>135</v>
      </c>
      <c r="J322" t="s">
        <v>353</v>
      </c>
      <c r="K322" t="s">
        <v>71</v>
      </c>
      <c r="L322" t="s">
        <v>72</v>
      </c>
      <c r="M322" t="s">
        <v>59</v>
      </c>
      <c r="N322" t="s">
        <v>59</v>
      </c>
      <c r="O322" t="s">
        <v>59</v>
      </c>
      <c r="P322" t="s">
        <v>59</v>
      </c>
      <c r="Q322" t="s">
        <v>59</v>
      </c>
      <c r="R322" t="s">
        <v>59</v>
      </c>
      <c r="S322" t="s">
        <v>59</v>
      </c>
      <c r="T322" t="s">
        <v>59</v>
      </c>
      <c r="U322" t="s">
        <v>59</v>
      </c>
      <c r="V322" t="s">
        <v>59</v>
      </c>
      <c r="W322" t="s">
        <v>59</v>
      </c>
      <c r="X322" t="s">
        <v>59</v>
      </c>
      <c r="Y322" t="s">
        <v>59</v>
      </c>
      <c r="Z322" t="s">
        <v>59</v>
      </c>
      <c r="AA322" t="s">
        <v>60</v>
      </c>
      <c r="AB322" t="s">
        <v>60</v>
      </c>
      <c r="AC322" t="s">
        <v>59</v>
      </c>
      <c r="AD322" t="s">
        <v>59</v>
      </c>
      <c r="AE322" t="s">
        <v>59</v>
      </c>
      <c r="AF322" t="s">
        <v>59</v>
      </c>
      <c r="AG322" t="s">
        <v>59</v>
      </c>
      <c r="AH322" t="s">
        <v>59</v>
      </c>
      <c r="AI322" t="s">
        <v>60</v>
      </c>
      <c r="AJ322" t="s">
        <v>59</v>
      </c>
      <c r="AK322" t="s">
        <v>59</v>
      </c>
      <c r="AL322" t="s">
        <v>59</v>
      </c>
      <c r="AM322" t="s">
        <v>59</v>
      </c>
      <c r="AN322" t="s">
        <v>59</v>
      </c>
      <c r="AO322" t="s">
        <v>59</v>
      </c>
      <c r="AP322" s="1" t="s">
        <v>905</v>
      </c>
      <c r="AQ322" s="1" t="s">
        <v>906</v>
      </c>
      <c r="AR322" t="s">
        <v>226</v>
      </c>
      <c r="AS322" t="s">
        <v>352</v>
      </c>
      <c r="AT322" t="s">
        <v>352</v>
      </c>
      <c r="AU322" t="s">
        <v>219</v>
      </c>
      <c r="AW322" s="4">
        <f t="shared" si="143"/>
        <v>6</v>
      </c>
      <c r="AX322" s="4">
        <f t="shared" si="144"/>
        <v>4</v>
      </c>
      <c r="AY322" s="4">
        <f t="shared" si="145"/>
        <v>4</v>
      </c>
      <c r="AZ322" s="4">
        <f t="shared" si="146"/>
        <v>2</v>
      </c>
      <c r="BA322" s="4">
        <f t="shared" si="147"/>
        <v>4</v>
      </c>
      <c r="BB322" s="4">
        <f t="shared" si="148"/>
        <v>4</v>
      </c>
      <c r="BC322" s="4">
        <f t="shared" si="149"/>
        <v>4</v>
      </c>
      <c r="BD322" s="4">
        <f t="shared" si="150"/>
        <v>2</v>
      </c>
      <c r="BE322" s="4">
        <f t="shared" si="151"/>
        <v>4</v>
      </c>
      <c r="BF322" s="4">
        <f t="shared" si="152"/>
        <v>2</v>
      </c>
      <c r="BG322" s="4">
        <f t="shared" si="153"/>
        <v>4</v>
      </c>
      <c r="BH322" s="4">
        <f t="shared" si="154"/>
        <v>4</v>
      </c>
      <c r="BI322" s="4">
        <f t="shared" si="155"/>
        <v>4</v>
      </c>
      <c r="BJ322" s="4">
        <f t="shared" si="156"/>
        <v>2</v>
      </c>
      <c r="BK322" s="4" t="str">
        <f t="shared" si="157"/>
        <v>0</v>
      </c>
      <c r="BL322" s="4" t="str">
        <f t="shared" si="158"/>
        <v>0</v>
      </c>
      <c r="BM322" s="4">
        <f t="shared" si="159"/>
        <v>4</v>
      </c>
      <c r="BN322" s="4">
        <f t="shared" si="160"/>
        <v>4</v>
      </c>
      <c r="BO322" s="4">
        <f t="shared" si="161"/>
        <v>4</v>
      </c>
      <c r="BP322" s="4">
        <f t="shared" si="162"/>
        <v>4</v>
      </c>
      <c r="BQ322" s="4">
        <f t="shared" si="163"/>
        <v>6</v>
      </c>
      <c r="BR322" s="4">
        <f t="shared" si="164"/>
        <v>4</v>
      </c>
      <c r="BS322" s="4" t="str">
        <f t="shared" si="165"/>
        <v>0</v>
      </c>
      <c r="BT322" s="4">
        <f t="shared" si="166"/>
        <v>4</v>
      </c>
      <c r="BU322" s="4">
        <f t="shared" si="167"/>
        <v>4</v>
      </c>
      <c r="BV322" s="4">
        <f t="shared" si="168"/>
        <v>0</v>
      </c>
      <c r="BW322" s="4">
        <f t="shared" si="169"/>
        <v>6</v>
      </c>
      <c r="BX322" s="4">
        <f t="shared" si="170"/>
        <v>0</v>
      </c>
      <c r="BY322" s="4">
        <f t="shared" si="171"/>
        <v>0</v>
      </c>
      <c r="BZ322" s="37">
        <f t="shared" si="172"/>
        <v>90</v>
      </c>
      <c r="CA322" s="32" t="str">
        <f>VLOOKUP(J:J,'Agent wise'!A:C,3,0)</f>
        <v>Amal</v>
      </c>
      <c r="CB322" s="32">
        <f t="shared" si="173"/>
        <v>45936</v>
      </c>
      <c r="CC322" t="str">
        <f t="shared" si="174"/>
        <v>Good</v>
      </c>
      <c r="CE322" s="32"/>
      <c r="CJ322">
        <f t="shared" si="175"/>
        <v>6</v>
      </c>
      <c r="CK322">
        <f t="shared" si="176"/>
        <v>10</v>
      </c>
      <c r="CL322">
        <f t="shared" si="177"/>
        <v>2025</v>
      </c>
    </row>
    <row r="323" spans="1:90" ht="15" customHeight="1" x14ac:dyDescent="0.35">
      <c r="A323" s="40">
        <v>45818.738587962973</v>
      </c>
      <c r="B323" t="s">
        <v>100</v>
      </c>
      <c r="C323" t="s">
        <v>214</v>
      </c>
      <c r="D323" t="s">
        <v>101</v>
      </c>
      <c r="E323" s="32">
        <v>45936</v>
      </c>
      <c r="F323" t="s">
        <v>222</v>
      </c>
      <c r="G323" s="2">
        <v>45787</v>
      </c>
      <c r="H323">
        <v>8667253837</v>
      </c>
      <c r="I323">
        <v>152</v>
      </c>
      <c r="J323" t="s">
        <v>439</v>
      </c>
      <c r="K323" t="s">
        <v>71</v>
      </c>
      <c r="L323" t="s">
        <v>72</v>
      </c>
      <c r="M323" t="s">
        <v>60</v>
      </c>
      <c r="N323" t="s">
        <v>60</v>
      </c>
      <c r="O323" t="s">
        <v>60</v>
      </c>
      <c r="P323" t="s">
        <v>60</v>
      </c>
      <c r="Q323" t="s">
        <v>59</v>
      </c>
      <c r="R323" t="s">
        <v>59</v>
      </c>
      <c r="S323" t="s">
        <v>59</v>
      </c>
      <c r="T323" t="s">
        <v>59</v>
      </c>
      <c r="U323" t="s">
        <v>59</v>
      </c>
      <c r="V323" t="s">
        <v>59</v>
      </c>
      <c r="W323" t="s">
        <v>59</v>
      </c>
      <c r="X323" t="s">
        <v>59</v>
      </c>
      <c r="Y323" t="s">
        <v>59</v>
      </c>
      <c r="Z323" t="s">
        <v>59</v>
      </c>
      <c r="AA323" t="s">
        <v>60</v>
      </c>
      <c r="AB323" t="s">
        <v>59</v>
      </c>
      <c r="AC323" t="s">
        <v>60</v>
      </c>
      <c r="AD323" t="s">
        <v>59</v>
      </c>
      <c r="AE323" t="s">
        <v>59</v>
      </c>
      <c r="AF323" t="s">
        <v>59</v>
      </c>
      <c r="AG323" t="s">
        <v>59</v>
      </c>
      <c r="AH323" t="s">
        <v>59</v>
      </c>
      <c r="AI323" t="s">
        <v>61</v>
      </c>
      <c r="AJ323" t="s">
        <v>59</v>
      </c>
      <c r="AK323" t="s">
        <v>59</v>
      </c>
      <c r="AL323" t="s">
        <v>59</v>
      </c>
      <c r="AM323" t="s">
        <v>59</v>
      </c>
      <c r="AN323" t="s">
        <v>59</v>
      </c>
      <c r="AO323" t="s">
        <v>59</v>
      </c>
      <c r="AP323" t="s">
        <v>907</v>
      </c>
      <c r="AQ323" s="1" t="s">
        <v>908</v>
      </c>
      <c r="AR323" t="s">
        <v>226</v>
      </c>
      <c r="AS323" t="s">
        <v>352</v>
      </c>
      <c r="AT323" t="s">
        <v>352</v>
      </c>
      <c r="AU323" t="s">
        <v>219</v>
      </c>
      <c r="AW323" s="4" t="str">
        <f t="shared" ref="AW323:AW386" si="178">IF(OR(M323="YES", M323="Not Applicable"), AW$1, "0")</f>
        <v>0</v>
      </c>
      <c r="AX323" s="4" t="str">
        <f t="shared" ref="AX323:AX386" si="179">IF(OR(N323="YES", N323="Not Applicable"), AX$1, "0")</f>
        <v>0</v>
      </c>
      <c r="AY323" s="4" t="str">
        <f t="shared" ref="AY323:AY386" si="180">IF(OR(O323="YES", O323="Not Applicable"), AY$1, "0")</f>
        <v>0</v>
      </c>
      <c r="AZ323" s="4" t="str">
        <f t="shared" ref="AZ323:AZ386" si="181">IF(OR(P323="YES", P323="Not Applicable"), AZ$1, "0")</f>
        <v>0</v>
      </c>
      <c r="BA323" s="4">
        <f t="shared" ref="BA323:BA386" si="182">IF(OR(Q323="YES", Q323="Not Applicable"), BA$1, "0")</f>
        <v>4</v>
      </c>
      <c r="BB323" s="4">
        <f t="shared" ref="BB323:BB386" si="183">IF(OR(R323="YES", R323="Not Applicable"), BB$1, "0")</f>
        <v>4</v>
      </c>
      <c r="BC323" s="4">
        <f t="shared" ref="BC323:BC386" si="184">IF(OR(S323="YES", S323="Not Applicable"), BC$1, "0")</f>
        <v>4</v>
      </c>
      <c r="BD323" s="4">
        <f t="shared" ref="BD323:BD386" si="185">IF(OR(T323="YES", T323="Not Applicable"), BD$1, "0")</f>
        <v>2</v>
      </c>
      <c r="BE323" s="4">
        <f t="shared" ref="BE323:BE386" si="186">IF(OR(U323="YES", U323="Not Applicable"), BE$1, "0")</f>
        <v>4</v>
      </c>
      <c r="BF323" s="4">
        <f t="shared" ref="BF323:BF386" si="187">IF(OR(V323="YES", V323="Not Applicable"), BF$1, "0")</f>
        <v>2</v>
      </c>
      <c r="BG323" s="4">
        <f t="shared" ref="BG323:BG386" si="188">IF(OR(W323="YES", W323="Not Applicable"), BG$1, "0")</f>
        <v>4</v>
      </c>
      <c r="BH323" s="4">
        <f t="shared" ref="BH323:BH386" si="189">IF(OR(X323="YES", X323="Not Applicable"), BH$1, "0")</f>
        <v>4</v>
      </c>
      <c r="BI323" s="4">
        <f t="shared" ref="BI323:BI386" si="190">IF(OR(Y323="YES", Y323="Not Applicable"), BI$1, "0")</f>
        <v>4</v>
      </c>
      <c r="BJ323" s="4">
        <f t="shared" ref="BJ323:BJ386" si="191">IF(OR(Z323="YES", Z323="Not Applicable"), BJ$1, "0")</f>
        <v>2</v>
      </c>
      <c r="BK323" s="4" t="str">
        <f t="shared" ref="BK323:BK386" si="192">IF(OR(AA323="YES", AA323="Not Applicable"), BK$1, "0")</f>
        <v>0</v>
      </c>
      <c r="BL323" s="4">
        <f t="shared" ref="BL323:BL386" si="193">IF(OR(AB323="YES", AB323="Not Applicable"), BL$1, "0")</f>
        <v>2</v>
      </c>
      <c r="BM323" s="4" t="str">
        <f t="shared" ref="BM323:BM386" si="194">IF(OR(AC323="YES", AC323="Not Applicable"), BM$1, "0")</f>
        <v>0</v>
      </c>
      <c r="BN323" s="4">
        <f t="shared" ref="BN323:BN386" si="195">IF(OR(AD323="YES", AD323="Not Applicable"), BN$1, "0")</f>
        <v>4</v>
      </c>
      <c r="BO323" s="4">
        <f t="shared" ref="BO323:BO386" si="196">IF(OR(AE323="YES", AE323="Not Applicable"), BO$1, "0")</f>
        <v>4</v>
      </c>
      <c r="BP323" s="4">
        <f t="shared" ref="BP323:BP386" si="197">IF(OR(AF323="YES", AF323="Not Applicable"), BP$1, "0")</f>
        <v>4</v>
      </c>
      <c r="BQ323" s="4">
        <f t="shared" ref="BQ323:BQ386" si="198">IF(OR(AG323="YES", AG323="Not Applicable"), BQ$1, "0")</f>
        <v>6</v>
      </c>
      <c r="BR323" s="4">
        <f t="shared" ref="BR323:BR386" si="199">IF(OR(AH323="YES", AH323="Not Applicable"), BR$1, "0")</f>
        <v>4</v>
      </c>
      <c r="BS323" s="4">
        <f t="shared" ref="BS323:BS386" si="200">IF(OR(AI323="YES", AI323="Not Applicable"), BS$1, "0")</f>
        <v>4</v>
      </c>
      <c r="BT323" s="4">
        <f t="shared" ref="BT323:BT386" si="201">IF(OR(AJ323="YES", AJ323="Not Applicable"), BT$1, "0")</f>
        <v>4</v>
      </c>
      <c r="BU323" s="4">
        <f t="shared" ref="BU323:BU386" si="202">IF(OR(AK323="YES", AK323="Not Applicable"), BU$1, "0")</f>
        <v>4</v>
      </c>
      <c r="BV323" s="4">
        <f t="shared" ref="BV323:BV386" si="203">IF(OR(AL323="YES", AL323="Not Applicable"), BV$1, "0")</f>
        <v>0</v>
      </c>
      <c r="BW323" s="4">
        <f t="shared" ref="BW323:BW386" si="204">IF(OR(AM323="YES", AM323="Not Applicable"), BW$1, "0")</f>
        <v>6</v>
      </c>
      <c r="BX323" s="4">
        <f t="shared" ref="BX323:BX386" si="205">IF(OR(AN323="YES", AN323="Not Applicable"), BX$1, "0")</f>
        <v>0</v>
      </c>
      <c r="BY323" s="4">
        <f t="shared" ref="BY323:BY386" si="206">IF(OR(AO323="YES", AO323="Not Applicable"), BY$1, "0")</f>
        <v>0</v>
      </c>
      <c r="BZ323" s="37">
        <f t="shared" ref="BZ323:BZ386" si="207">SUM(AW323:BY323)</f>
        <v>76</v>
      </c>
      <c r="CA323" s="32" t="str">
        <f>VLOOKUP(J:J,'Agent wise'!A:C,3,0)</f>
        <v>Saran S</v>
      </c>
      <c r="CB323" s="32">
        <f t="shared" ref="CB323:CB386" si="208">INT(E323)</f>
        <v>45936</v>
      </c>
      <c r="CC323" t="str">
        <f t="shared" ref="CC323:CC386" si="209">IF(BZ323&gt;=94.5, "Excellent", IF(BZ323&gt;89.5, "Good", IF(BZ323&gt;84.5, "Average", "FC")))</f>
        <v>FC</v>
      </c>
      <c r="CE323" s="32"/>
      <c r="CJ323">
        <f t="shared" si="175"/>
        <v>6</v>
      </c>
      <c r="CK323">
        <f t="shared" si="176"/>
        <v>10</v>
      </c>
      <c r="CL323">
        <f t="shared" si="177"/>
        <v>2025</v>
      </c>
    </row>
    <row r="324" spans="1:90" ht="15" customHeight="1" x14ac:dyDescent="0.35">
      <c r="A324" s="40">
        <v>45818.74019675926</v>
      </c>
      <c r="B324" t="s">
        <v>250</v>
      </c>
      <c r="C324" t="s">
        <v>214</v>
      </c>
      <c r="D324" t="s">
        <v>251</v>
      </c>
      <c r="E324" s="32">
        <v>45936</v>
      </c>
      <c r="F324" t="s">
        <v>54</v>
      </c>
      <c r="G324" s="2">
        <v>45787</v>
      </c>
      <c r="H324">
        <v>9497427732</v>
      </c>
      <c r="I324">
        <v>137</v>
      </c>
      <c r="J324" t="s">
        <v>238</v>
      </c>
      <c r="K324" t="s">
        <v>57</v>
      </c>
      <c r="L324" t="s">
        <v>58</v>
      </c>
      <c r="M324" t="s">
        <v>59</v>
      </c>
      <c r="N324" t="s">
        <v>59</v>
      </c>
      <c r="O324" t="s">
        <v>60</v>
      </c>
      <c r="P324" t="s">
        <v>59</v>
      </c>
      <c r="Q324" t="s">
        <v>59</v>
      </c>
      <c r="R324" t="s">
        <v>59</v>
      </c>
      <c r="S324" t="s">
        <v>59</v>
      </c>
      <c r="T324" t="s">
        <v>59</v>
      </c>
      <c r="U324" t="s">
        <v>60</v>
      </c>
      <c r="V324" t="s">
        <v>59</v>
      </c>
      <c r="W324" t="s">
        <v>59</v>
      </c>
      <c r="X324" t="s">
        <v>59</v>
      </c>
      <c r="Y324" t="s">
        <v>60</v>
      </c>
      <c r="Z324" t="s">
        <v>60</v>
      </c>
      <c r="AA324" t="s">
        <v>59</v>
      </c>
      <c r="AB324" t="s">
        <v>60</v>
      </c>
      <c r="AC324" t="s">
        <v>61</v>
      </c>
      <c r="AD324" t="s">
        <v>60</v>
      </c>
      <c r="AE324" t="s">
        <v>60</v>
      </c>
      <c r="AF324" t="s">
        <v>60</v>
      </c>
      <c r="AG324" t="s">
        <v>60</v>
      </c>
      <c r="AH324" t="s">
        <v>61</v>
      </c>
      <c r="AI324" t="s">
        <v>61</v>
      </c>
      <c r="AJ324" t="s">
        <v>59</v>
      </c>
      <c r="AK324" t="s">
        <v>61</v>
      </c>
      <c r="AL324" t="s">
        <v>59</v>
      </c>
      <c r="AM324" t="s">
        <v>59</v>
      </c>
      <c r="AN324" t="s">
        <v>59</v>
      </c>
      <c r="AO324" t="s">
        <v>59</v>
      </c>
      <c r="AP324" t="s">
        <v>909</v>
      </c>
      <c r="AQ324" t="s">
        <v>910</v>
      </c>
      <c r="AR324" t="s">
        <v>64</v>
      </c>
      <c r="AS324" t="s">
        <v>417</v>
      </c>
      <c r="AT324" t="s">
        <v>911</v>
      </c>
      <c r="AU324" t="s">
        <v>912</v>
      </c>
      <c r="AW324" s="4">
        <f t="shared" si="178"/>
        <v>6</v>
      </c>
      <c r="AX324" s="4">
        <f t="shared" si="179"/>
        <v>4</v>
      </c>
      <c r="AY324" s="4" t="str">
        <f t="shared" si="180"/>
        <v>0</v>
      </c>
      <c r="AZ324" s="4">
        <f t="shared" si="181"/>
        <v>2</v>
      </c>
      <c r="BA324" s="4">
        <f t="shared" si="182"/>
        <v>4</v>
      </c>
      <c r="BB324" s="4">
        <f t="shared" si="183"/>
        <v>4</v>
      </c>
      <c r="BC324" s="4">
        <f t="shared" si="184"/>
        <v>4</v>
      </c>
      <c r="BD324" s="4">
        <f t="shared" si="185"/>
        <v>2</v>
      </c>
      <c r="BE324" s="4" t="str">
        <f t="shared" si="186"/>
        <v>0</v>
      </c>
      <c r="BF324" s="4">
        <f t="shared" si="187"/>
        <v>2</v>
      </c>
      <c r="BG324" s="4">
        <f t="shared" si="188"/>
        <v>4</v>
      </c>
      <c r="BH324" s="4">
        <f t="shared" si="189"/>
        <v>4</v>
      </c>
      <c r="BI324" s="4" t="str">
        <f t="shared" si="190"/>
        <v>0</v>
      </c>
      <c r="BJ324" s="4" t="str">
        <f t="shared" si="191"/>
        <v>0</v>
      </c>
      <c r="BK324" s="4">
        <f t="shared" si="192"/>
        <v>4</v>
      </c>
      <c r="BL324" s="4" t="str">
        <f t="shared" si="193"/>
        <v>0</v>
      </c>
      <c r="BM324" s="4">
        <f t="shared" si="194"/>
        <v>4</v>
      </c>
      <c r="BN324" s="4" t="str">
        <f t="shared" si="195"/>
        <v>0</v>
      </c>
      <c r="BO324" s="4" t="str">
        <f t="shared" si="196"/>
        <v>0</v>
      </c>
      <c r="BP324" s="4" t="str">
        <f t="shared" si="197"/>
        <v>0</v>
      </c>
      <c r="BQ324" s="4" t="str">
        <f t="shared" si="198"/>
        <v>0</v>
      </c>
      <c r="BR324" s="4">
        <f t="shared" si="199"/>
        <v>4</v>
      </c>
      <c r="BS324" s="4">
        <f t="shared" si="200"/>
        <v>4</v>
      </c>
      <c r="BT324" s="4">
        <f t="shared" si="201"/>
        <v>4</v>
      </c>
      <c r="BU324" s="4">
        <f t="shared" si="202"/>
        <v>4</v>
      </c>
      <c r="BV324" s="4">
        <f t="shared" si="203"/>
        <v>0</v>
      </c>
      <c r="BW324" s="4">
        <f t="shared" si="204"/>
        <v>6</v>
      </c>
      <c r="BX324" s="4">
        <f t="shared" si="205"/>
        <v>0</v>
      </c>
      <c r="BY324" s="4">
        <f t="shared" si="206"/>
        <v>0</v>
      </c>
      <c r="BZ324" s="37">
        <f t="shared" si="207"/>
        <v>66</v>
      </c>
      <c r="CA324" s="32" t="str">
        <f>VLOOKUP(J:J,'Agent wise'!A:C,3,0)</f>
        <v xml:space="preserve">Shiny </v>
      </c>
      <c r="CB324" s="32">
        <f t="shared" si="208"/>
        <v>45936</v>
      </c>
      <c r="CC324" t="str">
        <f t="shared" si="209"/>
        <v>FC</v>
      </c>
      <c r="CE324" s="32"/>
      <c r="CJ324">
        <f t="shared" ref="CJ324:CJ387" si="210">DAY(E324)</f>
        <v>6</v>
      </c>
      <c r="CK324">
        <f t="shared" ref="CK324:CK387" si="211">MONTH(E324)</f>
        <v>10</v>
      </c>
      <c r="CL324">
        <f t="shared" ref="CL324:CL387" si="212">YEAR(E324)</f>
        <v>2025</v>
      </c>
    </row>
    <row r="325" spans="1:90" ht="15" customHeight="1" x14ac:dyDescent="0.35">
      <c r="A325" s="40">
        <v>45818.741342592592</v>
      </c>
      <c r="B325" t="s">
        <v>100</v>
      </c>
      <c r="C325" t="s">
        <v>214</v>
      </c>
      <c r="D325" t="s">
        <v>101</v>
      </c>
      <c r="E325" s="32">
        <v>45936</v>
      </c>
      <c r="F325" t="s">
        <v>222</v>
      </c>
      <c r="G325" s="2">
        <v>45787</v>
      </c>
      <c r="H325">
        <v>8304046174</v>
      </c>
      <c r="I325">
        <v>135</v>
      </c>
      <c r="J325" t="s">
        <v>575</v>
      </c>
      <c r="K325" t="s">
        <v>57</v>
      </c>
      <c r="L325" t="s">
        <v>58</v>
      </c>
      <c r="M325" t="s">
        <v>59</v>
      </c>
      <c r="N325" t="s">
        <v>59</v>
      </c>
      <c r="O325" t="s">
        <v>59</v>
      </c>
      <c r="P325" t="s">
        <v>59</v>
      </c>
      <c r="Q325" t="s">
        <v>59</v>
      </c>
      <c r="R325" t="s">
        <v>59</v>
      </c>
      <c r="S325" t="s">
        <v>59</v>
      </c>
      <c r="T325" t="s">
        <v>59</v>
      </c>
      <c r="U325" t="s">
        <v>59</v>
      </c>
      <c r="V325" t="s">
        <v>59</v>
      </c>
      <c r="W325" t="s">
        <v>59</v>
      </c>
      <c r="X325" t="s">
        <v>59</v>
      </c>
      <c r="Y325" t="s">
        <v>59</v>
      </c>
      <c r="Z325" t="s">
        <v>59</v>
      </c>
      <c r="AA325" t="s">
        <v>59</v>
      </c>
      <c r="AB325" t="s">
        <v>60</v>
      </c>
      <c r="AC325" t="s">
        <v>59</v>
      </c>
      <c r="AD325" t="s">
        <v>59</v>
      </c>
      <c r="AE325" t="s">
        <v>59</v>
      </c>
      <c r="AF325" t="s">
        <v>59</v>
      </c>
      <c r="AG325" t="s">
        <v>59</v>
      </c>
      <c r="AH325" t="s">
        <v>59</v>
      </c>
      <c r="AI325" t="s">
        <v>60</v>
      </c>
      <c r="AJ325" t="s">
        <v>59</v>
      </c>
      <c r="AK325" t="s">
        <v>59</v>
      </c>
      <c r="AL325" t="s">
        <v>59</v>
      </c>
      <c r="AM325" t="s">
        <v>59</v>
      </c>
      <c r="AN325" t="s">
        <v>59</v>
      </c>
      <c r="AO325" t="s">
        <v>59</v>
      </c>
      <c r="AP325" s="1" t="s">
        <v>913</v>
      </c>
      <c r="AQ325" s="1" t="s">
        <v>914</v>
      </c>
      <c r="AR325" t="s">
        <v>226</v>
      </c>
      <c r="AS325" t="s">
        <v>352</v>
      </c>
      <c r="AT325" t="s">
        <v>352</v>
      </c>
      <c r="AU325" t="s">
        <v>219</v>
      </c>
      <c r="AW325" s="4">
        <f t="shared" si="178"/>
        <v>6</v>
      </c>
      <c r="AX325" s="4">
        <f t="shared" si="179"/>
        <v>4</v>
      </c>
      <c r="AY325" s="4">
        <f t="shared" si="180"/>
        <v>4</v>
      </c>
      <c r="AZ325" s="4">
        <f t="shared" si="181"/>
        <v>2</v>
      </c>
      <c r="BA325" s="4">
        <f t="shared" si="182"/>
        <v>4</v>
      </c>
      <c r="BB325" s="4">
        <f t="shared" si="183"/>
        <v>4</v>
      </c>
      <c r="BC325" s="4">
        <f t="shared" si="184"/>
        <v>4</v>
      </c>
      <c r="BD325" s="4">
        <f t="shared" si="185"/>
        <v>2</v>
      </c>
      <c r="BE325" s="4">
        <f t="shared" si="186"/>
        <v>4</v>
      </c>
      <c r="BF325" s="4">
        <f t="shared" si="187"/>
        <v>2</v>
      </c>
      <c r="BG325" s="4">
        <f t="shared" si="188"/>
        <v>4</v>
      </c>
      <c r="BH325" s="4">
        <f t="shared" si="189"/>
        <v>4</v>
      </c>
      <c r="BI325" s="4">
        <f t="shared" si="190"/>
        <v>4</v>
      </c>
      <c r="BJ325" s="4">
        <f t="shared" si="191"/>
        <v>2</v>
      </c>
      <c r="BK325" s="4">
        <f t="shared" si="192"/>
        <v>4</v>
      </c>
      <c r="BL325" s="4" t="str">
        <f t="shared" si="193"/>
        <v>0</v>
      </c>
      <c r="BM325" s="4">
        <f t="shared" si="194"/>
        <v>4</v>
      </c>
      <c r="BN325" s="4">
        <f t="shared" si="195"/>
        <v>4</v>
      </c>
      <c r="BO325" s="4">
        <f t="shared" si="196"/>
        <v>4</v>
      </c>
      <c r="BP325" s="4">
        <f t="shared" si="197"/>
        <v>4</v>
      </c>
      <c r="BQ325" s="4">
        <f t="shared" si="198"/>
        <v>6</v>
      </c>
      <c r="BR325" s="4">
        <f t="shared" si="199"/>
        <v>4</v>
      </c>
      <c r="BS325" s="4" t="str">
        <f t="shared" si="200"/>
        <v>0</v>
      </c>
      <c r="BT325" s="4">
        <f t="shared" si="201"/>
        <v>4</v>
      </c>
      <c r="BU325" s="4">
        <f t="shared" si="202"/>
        <v>4</v>
      </c>
      <c r="BV325" s="4">
        <f t="shared" si="203"/>
        <v>0</v>
      </c>
      <c r="BW325" s="4">
        <f t="shared" si="204"/>
        <v>6</v>
      </c>
      <c r="BX325" s="4">
        <f t="shared" si="205"/>
        <v>0</v>
      </c>
      <c r="BY325" s="4">
        <f t="shared" si="206"/>
        <v>0</v>
      </c>
      <c r="BZ325" s="37">
        <f t="shared" si="207"/>
        <v>94</v>
      </c>
      <c r="CA325" s="32" t="str">
        <f>VLOOKUP(J:J,'Agent wise'!A:C,3,0)</f>
        <v>Shakeer</v>
      </c>
      <c r="CB325" s="32">
        <f t="shared" si="208"/>
        <v>45936</v>
      </c>
      <c r="CC325" t="str">
        <f t="shared" si="209"/>
        <v>Good</v>
      </c>
      <c r="CE325" s="32"/>
      <c r="CJ325">
        <f t="shared" si="210"/>
        <v>6</v>
      </c>
      <c r="CK325">
        <f t="shared" si="211"/>
        <v>10</v>
      </c>
      <c r="CL325">
        <f t="shared" si="212"/>
        <v>2025</v>
      </c>
    </row>
    <row r="326" spans="1:90" ht="15" customHeight="1" x14ac:dyDescent="0.35">
      <c r="A326" s="40">
        <v>45818.743506944447</v>
      </c>
      <c r="B326" t="s">
        <v>250</v>
      </c>
      <c r="C326" t="s">
        <v>214</v>
      </c>
      <c r="D326" t="s">
        <v>251</v>
      </c>
      <c r="E326" s="32">
        <v>45936</v>
      </c>
      <c r="F326" t="s">
        <v>54</v>
      </c>
      <c r="G326" s="2">
        <v>45787</v>
      </c>
      <c r="H326">
        <v>9487743772</v>
      </c>
      <c r="I326">
        <v>139</v>
      </c>
      <c r="J326" t="s">
        <v>321</v>
      </c>
      <c r="K326" t="s">
        <v>71</v>
      </c>
      <c r="L326" t="s">
        <v>72</v>
      </c>
      <c r="M326" t="s">
        <v>59</v>
      </c>
      <c r="N326" t="s">
        <v>59</v>
      </c>
      <c r="O326" t="s">
        <v>59</v>
      </c>
      <c r="P326" t="s">
        <v>59</v>
      </c>
      <c r="Q326" t="s">
        <v>59</v>
      </c>
      <c r="R326" t="s">
        <v>59</v>
      </c>
      <c r="S326" t="s">
        <v>59</v>
      </c>
      <c r="T326" t="s">
        <v>59</v>
      </c>
      <c r="U326" t="s">
        <v>60</v>
      </c>
      <c r="V326" t="s">
        <v>59</v>
      </c>
      <c r="W326" t="s">
        <v>59</v>
      </c>
      <c r="X326" t="s">
        <v>59</v>
      </c>
      <c r="Y326" t="s">
        <v>59</v>
      </c>
      <c r="Z326" t="s">
        <v>59</v>
      </c>
      <c r="AA326" t="s">
        <v>60</v>
      </c>
      <c r="AB326" t="s">
        <v>60</v>
      </c>
      <c r="AC326" t="s">
        <v>59</v>
      </c>
      <c r="AD326" t="s">
        <v>59</v>
      </c>
      <c r="AE326" t="s">
        <v>59</v>
      </c>
      <c r="AF326" t="s">
        <v>59</v>
      </c>
      <c r="AG326" t="s">
        <v>59</v>
      </c>
      <c r="AH326" t="s">
        <v>61</v>
      </c>
      <c r="AI326" t="s">
        <v>61</v>
      </c>
      <c r="AJ326" t="s">
        <v>59</v>
      </c>
      <c r="AK326" t="s">
        <v>59</v>
      </c>
      <c r="AL326" t="s">
        <v>60</v>
      </c>
      <c r="AM326" t="s">
        <v>59</v>
      </c>
      <c r="AN326" t="s">
        <v>59</v>
      </c>
      <c r="AO326" t="s">
        <v>59</v>
      </c>
      <c r="AP326" t="s">
        <v>915</v>
      </c>
      <c r="AQ326" t="s">
        <v>916</v>
      </c>
      <c r="AR326" t="s">
        <v>64</v>
      </c>
      <c r="AS326" t="s">
        <v>255</v>
      </c>
      <c r="AT326" t="s">
        <v>256</v>
      </c>
      <c r="AU326" t="s">
        <v>219</v>
      </c>
      <c r="AW326" s="4">
        <f t="shared" si="178"/>
        <v>6</v>
      </c>
      <c r="AX326" s="4">
        <f t="shared" si="179"/>
        <v>4</v>
      </c>
      <c r="AY326" s="4">
        <f t="shared" si="180"/>
        <v>4</v>
      </c>
      <c r="AZ326" s="4">
        <f t="shared" si="181"/>
        <v>2</v>
      </c>
      <c r="BA326" s="4">
        <f t="shared" si="182"/>
        <v>4</v>
      </c>
      <c r="BB326" s="4">
        <f t="shared" si="183"/>
        <v>4</v>
      </c>
      <c r="BC326" s="4">
        <f t="shared" si="184"/>
        <v>4</v>
      </c>
      <c r="BD326" s="4">
        <f t="shared" si="185"/>
        <v>2</v>
      </c>
      <c r="BE326" s="4" t="str">
        <f t="shared" si="186"/>
        <v>0</v>
      </c>
      <c r="BF326" s="4">
        <f t="shared" si="187"/>
        <v>2</v>
      </c>
      <c r="BG326" s="4">
        <f t="shared" si="188"/>
        <v>4</v>
      </c>
      <c r="BH326" s="4">
        <f t="shared" si="189"/>
        <v>4</v>
      </c>
      <c r="BI326" s="4">
        <f t="shared" si="190"/>
        <v>4</v>
      </c>
      <c r="BJ326" s="4">
        <f t="shared" si="191"/>
        <v>2</v>
      </c>
      <c r="BK326" s="4" t="str">
        <f t="shared" si="192"/>
        <v>0</v>
      </c>
      <c r="BL326" s="4" t="str">
        <f t="shared" si="193"/>
        <v>0</v>
      </c>
      <c r="BM326" s="4">
        <f t="shared" si="194"/>
        <v>4</v>
      </c>
      <c r="BN326" s="4">
        <f t="shared" si="195"/>
        <v>4</v>
      </c>
      <c r="BO326" s="4">
        <f t="shared" si="196"/>
        <v>4</v>
      </c>
      <c r="BP326" s="4">
        <f t="shared" si="197"/>
        <v>4</v>
      </c>
      <c r="BQ326" s="4">
        <f t="shared" si="198"/>
        <v>6</v>
      </c>
      <c r="BR326" s="4">
        <f t="shared" si="199"/>
        <v>4</v>
      </c>
      <c r="BS326" s="4">
        <f t="shared" si="200"/>
        <v>4</v>
      </c>
      <c r="BT326" s="4">
        <f t="shared" si="201"/>
        <v>4</v>
      </c>
      <c r="BU326" s="4">
        <f t="shared" si="202"/>
        <v>4</v>
      </c>
      <c r="BV326" s="4" t="str">
        <f t="shared" si="203"/>
        <v>0</v>
      </c>
      <c r="BW326" s="4">
        <f t="shared" si="204"/>
        <v>6</v>
      </c>
      <c r="BX326" s="4">
        <f t="shared" si="205"/>
        <v>0</v>
      </c>
      <c r="BY326" s="4">
        <f t="shared" si="206"/>
        <v>0</v>
      </c>
      <c r="BZ326" s="37">
        <f t="shared" si="207"/>
        <v>90</v>
      </c>
      <c r="CA326" s="32" t="str">
        <f>VLOOKUP(J:J,'Agent wise'!A:C,3,0)</f>
        <v>Saran S</v>
      </c>
      <c r="CB326" s="32">
        <f t="shared" si="208"/>
        <v>45936</v>
      </c>
      <c r="CC326" t="str">
        <f t="shared" si="209"/>
        <v>Good</v>
      </c>
      <c r="CE326" s="32"/>
      <c r="CJ326">
        <f t="shared" si="210"/>
        <v>6</v>
      </c>
      <c r="CK326">
        <f t="shared" si="211"/>
        <v>10</v>
      </c>
      <c r="CL326">
        <f t="shared" si="212"/>
        <v>2025</v>
      </c>
    </row>
    <row r="327" spans="1:90" ht="15" customHeight="1" x14ac:dyDescent="0.35">
      <c r="A327" s="40">
        <v>45818.745462962957</v>
      </c>
      <c r="B327" t="s">
        <v>100</v>
      </c>
      <c r="C327" t="s">
        <v>214</v>
      </c>
      <c r="D327" t="s">
        <v>101</v>
      </c>
      <c r="E327" s="32">
        <v>45936</v>
      </c>
      <c r="F327" t="s">
        <v>222</v>
      </c>
      <c r="G327" s="2">
        <v>45787</v>
      </c>
      <c r="H327">
        <v>8089173778</v>
      </c>
      <c r="I327">
        <v>133</v>
      </c>
      <c r="J327" t="s">
        <v>208</v>
      </c>
      <c r="K327" t="s">
        <v>57</v>
      </c>
      <c r="L327" t="s">
        <v>58</v>
      </c>
      <c r="M327" t="s">
        <v>59</v>
      </c>
      <c r="N327" t="s">
        <v>59</v>
      </c>
      <c r="O327" t="s">
        <v>59</v>
      </c>
      <c r="P327" t="s">
        <v>59</v>
      </c>
      <c r="Q327" t="s">
        <v>59</v>
      </c>
      <c r="R327" t="s">
        <v>60</v>
      </c>
      <c r="S327" t="s">
        <v>59</v>
      </c>
      <c r="T327" t="s">
        <v>59</v>
      </c>
      <c r="U327" t="s">
        <v>59</v>
      </c>
      <c r="V327" t="s">
        <v>59</v>
      </c>
      <c r="W327" t="s">
        <v>59</v>
      </c>
      <c r="X327" t="s">
        <v>59</v>
      </c>
      <c r="Y327" t="s">
        <v>59</v>
      </c>
      <c r="Z327" t="s">
        <v>59</v>
      </c>
      <c r="AA327" t="s">
        <v>59</v>
      </c>
      <c r="AB327" t="s">
        <v>59</v>
      </c>
      <c r="AC327" t="s">
        <v>59</v>
      </c>
      <c r="AD327" t="s">
        <v>59</v>
      </c>
      <c r="AE327" t="s">
        <v>59</v>
      </c>
      <c r="AF327" t="s">
        <v>59</v>
      </c>
      <c r="AG327" t="s">
        <v>59</v>
      </c>
      <c r="AH327" t="s">
        <v>59</v>
      </c>
      <c r="AI327" t="s">
        <v>61</v>
      </c>
      <c r="AJ327" t="s">
        <v>59</v>
      </c>
      <c r="AK327" t="s">
        <v>59</v>
      </c>
      <c r="AL327" t="s">
        <v>59</v>
      </c>
      <c r="AM327" t="s">
        <v>59</v>
      </c>
      <c r="AN327" t="s">
        <v>59</v>
      </c>
      <c r="AO327" t="s">
        <v>59</v>
      </c>
      <c r="AP327" t="s">
        <v>917</v>
      </c>
      <c r="AQ327" s="1" t="s">
        <v>918</v>
      </c>
      <c r="AR327" t="s">
        <v>226</v>
      </c>
      <c r="AS327" t="s">
        <v>352</v>
      </c>
      <c r="AT327" t="s">
        <v>352</v>
      </c>
      <c r="AU327" t="s">
        <v>219</v>
      </c>
      <c r="AW327" s="4">
        <f t="shared" si="178"/>
        <v>6</v>
      </c>
      <c r="AX327" s="4">
        <f t="shared" si="179"/>
        <v>4</v>
      </c>
      <c r="AY327" s="4">
        <f t="shared" si="180"/>
        <v>4</v>
      </c>
      <c r="AZ327" s="4">
        <f t="shared" si="181"/>
        <v>2</v>
      </c>
      <c r="BA327" s="4">
        <f t="shared" si="182"/>
        <v>4</v>
      </c>
      <c r="BB327" s="4" t="str">
        <f t="shared" si="183"/>
        <v>0</v>
      </c>
      <c r="BC327" s="4">
        <f t="shared" si="184"/>
        <v>4</v>
      </c>
      <c r="BD327" s="4">
        <f t="shared" si="185"/>
        <v>2</v>
      </c>
      <c r="BE327" s="4">
        <f t="shared" si="186"/>
        <v>4</v>
      </c>
      <c r="BF327" s="4">
        <f t="shared" si="187"/>
        <v>2</v>
      </c>
      <c r="BG327" s="4">
        <f t="shared" si="188"/>
        <v>4</v>
      </c>
      <c r="BH327" s="4">
        <f t="shared" si="189"/>
        <v>4</v>
      </c>
      <c r="BI327" s="4">
        <f t="shared" si="190"/>
        <v>4</v>
      </c>
      <c r="BJ327" s="4">
        <f t="shared" si="191"/>
        <v>2</v>
      </c>
      <c r="BK327" s="4">
        <f t="shared" si="192"/>
        <v>4</v>
      </c>
      <c r="BL327" s="4">
        <f t="shared" si="193"/>
        <v>2</v>
      </c>
      <c r="BM327" s="4">
        <f t="shared" si="194"/>
        <v>4</v>
      </c>
      <c r="BN327" s="4">
        <f t="shared" si="195"/>
        <v>4</v>
      </c>
      <c r="BO327" s="4">
        <f t="shared" si="196"/>
        <v>4</v>
      </c>
      <c r="BP327" s="4">
        <f t="shared" si="197"/>
        <v>4</v>
      </c>
      <c r="BQ327" s="4">
        <f t="shared" si="198"/>
        <v>6</v>
      </c>
      <c r="BR327" s="4">
        <f t="shared" si="199"/>
        <v>4</v>
      </c>
      <c r="BS327" s="4">
        <f t="shared" si="200"/>
        <v>4</v>
      </c>
      <c r="BT327" s="4">
        <f t="shared" si="201"/>
        <v>4</v>
      </c>
      <c r="BU327" s="4">
        <f t="shared" si="202"/>
        <v>4</v>
      </c>
      <c r="BV327" s="4">
        <f t="shared" si="203"/>
        <v>0</v>
      </c>
      <c r="BW327" s="4">
        <f t="shared" si="204"/>
        <v>6</v>
      </c>
      <c r="BX327" s="4">
        <f t="shared" si="205"/>
        <v>0</v>
      </c>
      <c r="BY327" s="4">
        <f t="shared" si="206"/>
        <v>0</v>
      </c>
      <c r="BZ327" s="37">
        <f t="shared" si="207"/>
        <v>96</v>
      </c>
      <c r="CA327" s="32" t="str">
        <f>VLOOKUP(J:J,'Agent wise'!A:C,3,0)</f>
        <v>Adharsh</v>
      </c>
      <c r="CB327" s="32">
        <f t="shared" si="208"/>
        <v>45936</v>
      </c>
      <c r="CC327" t="str">
        <f t="shared" si="209"/>
        <v>Excellent</v>
      </c>
      <c r="CE327" s="32"/>
      <c r="CJ327">
        <f t="shared" si="210"/>
        <v>6</v>
      </c>
      <c r="CK327">
        <f t="shared" si="211"/>
        <v>10</v>
      </c>
      <c r="CL327">
        <f t="shared" si="212"/>
        <v>2025</v>
      </c>
    </row>
    <row r="328" spans="1:90" ht="15" customHeight="1" x14ac:dyDescent="0.35">
      <c r="A328" s="40">
        <v>45818.75</v>
      </c>
      <c r="B328" t="s">
        <v>250</v>
      </c>
      <c r="C328" t="s">
        <v>214</v>
      </c>
      <c r="D328" t="s">
        <v>251</v>
      </c>
      <c r="E328" s="32">
        <v>45936</v>
      </c>
      <c r="F328" t="s">
        <v>54</v>
      </c>
      <c r="G328" s="2">
        <v>45787</v>
      </c>
      <c r="H328">
        <v>9446092346</v>
      </c>
      <c r="I328">
        <v>178</v>
      </c>
      <c r="J328" t="s">
        <v>291</v>
      </c>
      <c r="K328" t="s">
        <v>57</v>
      </c>
      <c r="L328" t="s">
        <v>58</v>
      </c>
      <c r="M328" t="s">
        <v>59</v>
      </c>
      <c r="N328" t="s">
        <v>59</v>
      </c>
      <c r="O328" t="s">
        <v>59</v>
      </c>
      <c r="P328" t="s">
        <v>59</v>
      </c>
      <c r="Q328" t="s">
        <v>59</v>
      </c>
      <c r="R328" t="s">
        <v>59</v>
      </c>
      <c r="S328" t="s">
        <v>59</v>
      </c>
      <c r="T328" t="s">
        <v>59</v>
      </c>
      <c r="U328" t="s">
        <v>60</v>
      </c>
      <c r="V328" t="s">
        <v>59</v>
      </c>
      <c r="W328" t="s">
        <v>59</v>
      </c>
      <c r="X328" t="s">
        <v>59</v>
      </c>
      <c r="Y328" t="s">
        <v>59</v>
      </c>
      <c r="Z328" t="s">
        <v>59</v>
      </c>
      <c r="AA328" t="s">
        <v>60</v>
      </c>
      <c r="AB328" t="s">
        <v>59</v>
      </c>
      <c r="AC328" t="s">
        <v>59</v>
      </c>
      <c r="AD328" t="s">
        <v>59</v>
      </c>
      <c r="AE328" t="s">
        <v>59</v>
      </c>
      <c r="AF328" t="s">
        <v>59</v>
      </c>
      <c r="AG328" t="s">
        <v>59</v>
      </c>
      <c r="AH328" t="s">
        <v>61</v>
      </c>
      <c r="AI328" t="s">
        <v>59</v>
      </c>
      <c r="AJ328" t="s">
        <v>59</v>
      </c>
      <c r="AK328" t="s">
        <v>59</v>
      </c>
      <c r="AL328" t="s">
        <v>60</v>
      </c>
      <c r="AM328" t="s">
        <v>59</v>
      </c>
      <c r="AN328" t="s">
        <v>59</v>
      </c>
      <c r="AO328" t="s">
        <v>59</v>
      </c>
      <c r="AP328" t="s">
        <v>919</v>
      </c>
      <c r="AQ328" t="s">
        <v>920</v>
      </c>
      <c r="AR328" t="s">
        <v>64</v>
      </c>
      <c r="AS328" t="s">
        <v>115</v>
      </c>
      <c r="AT328" t="s">
        <v>116</v>
      </c>
      <c r="AU328" t="s">
        <v>219</v>
      </c>
      <c r="AW328" s="4">
        <f t="shared" si="178"/>
        <v>6</v>
      </c>
      <c r="AX328" s="4">
        <f t="shared" si="179"/>
        <v>4</v>
      </c>
      <c r="AY328" s="4">
        <f t="shared" si="180"/>
        <v>4</v>
      </c>
      <c r="AZ328" s="4">
        <f t="shared" si="181"/>
        <v>2</v>
      </c>
      <c r="BA328" s="4">
        <f t="shared" si="182"/>
        <v>4</v>
      </c>
      <c r="BB328" s="4">
        <f t="shared" si="183"/>
        <v>4</v>
      </c>
      <c r="BC328" s="4">
        <f t="shared" si="184"/>
        <v>4</v>
      </c>
      <c r="BD328" s="4">
        <f t="shared" si="185"/>
        <v>2</v>
      </c>
      <c r="BE328" s="4" t="str">
        <f t="shared" si="186"/>
        <v>0</v>
      </c>
      <c r="BF328" s="4">
        <f t="shared" si="187"/>
        <v>2</v>
      </c>
      <c r="BG328" s="4">
        <f t="shared" si="188"/>
        <v>4</v>
      </c>
      <c r="BH328" s="4">
        <f t="shared" si="189"/>
        <v>4</v>
      </c>
      <c r="BI328" s="4">
        <f t="shared" si="190"/>
        <v>4</v>
      </c>
      <c r="BJ328" s="4">
        <f t="shared" si="191"/>
        <v>2</v>
      </c>
      <c r="BK328" s="4" t="str">
        <f t="shared" si="192"/>
        <v>0</v>
      </c>
      <c r="BL328" s="4">
        <f t="shared" si="193"/>
        <v>2</v>
      </c>
      <c r="BM328" s="4">
        <f t="shared" si="194"/>
        <v>4</v>
      </c>
      <c r="BN328" s="4">
        <f t="shared" si="195"/>
        <v>4</v>
      </c>
      <c r="BO328" s="4">
        <f t="shared" si="196"/>
        <v>4</v>
      </c>
      <c r="BP328" s="4">
        <f t="shared" si="197"/>
        <v>4</v>
      </c>
      <c r="BQ328" s="4">
        <f t="shared" si="198"/>
        <v>6</v>
      </c>
      <c r="BR328" s="4">
        <f t="shared" si="199"/>
        <v>4</v>
      </c>
      <c r="BS328" s="4">
        <f t="shared" si="200"/>
        <v>4</v>
      </c>
      <c r="BT328" s="4">
        <f t="shared" si="201"/>
        <v>4</v>
      </c>
      <c r="BU328" s="4">
        <f t="shared" si="202"/>
        <v>4</v>
      </c>
      <c r="BV328" s="4" t="str">
        <f t="shared" si="203"/>
        <v>0</v>
      </c>
      <c r="BW328" s="4">
        <f t="shared" si="204"/>
        <v>6</v>
      </c>
      <c r="BX328" s="4">
        <f t="shared" si="205"/>
        <v>0</v>
      </c>
      <c r="BY328" s="4">
        <f t="shared" si="206"/>
        <v>0</v>
      </c>
      <c r="BZ328" s="37">
        <f t="shared" si="207"/>
        <v>92</v>
      </c>
      <c r="CA328" s="32" t="str">
        <f>VLOOKUP(J:J,'Agent wise'!A:C,3,0)</f>
        <v xml:space="preserve">Shiny </v>
      </c>
      <c r="CB328" s="32">
        <f t="shared" si="208"/>
        <v>45936</v>
      </c>
      <c r="CC328" t="str">
        <f t="shared" si="209"/>
        <v>Good</v>
      </c>
      <c r="CE328" s="32"/>
      <c r="CJ328">
        <f t="shared" si="210"/>
        <v>6</v>
      </c>
      <c r="CK328">
        <f t="shared" si="211"/>
        <v>10</v>
      </c>
      <c r="CL328">
        <f t="shared" si="212"/>
        <v>2025</v>
      </c>
    </row>
    <row r="329" spans="1:90" ht="15" customHeight="1" x14ac:dyDescent="0.35">
      <c r="A329" s="40">
        <v>45818.753194444442</v>
      </c>
      <c r="B329" t="s">
        <v>250</v>
      </c>
      <c r="C329" t="s">
        <v>214</v>
      </c>
      <c r="D329" t="s">
        <v>251</v>
      </c>
      <c r="E329" s="32">
        <v>45936</v>
      </c>
      <c r="F329" t="s">
        <v>54</v>
      </c>
      <c r="G329" s="2">
        <v>45787</v>
      </c>
      <c r="H329">
        <v>9446190536</v>
      </c>
      <c r="I329">
        <v>204</v>
      </c>
      <c r="J329" t="s">
        <v>370</v>
      </c>
      <c r="K329" t="s">
        <v>57</v>
      </c>
      <c r="L329" t="s">
        <v>58</v>
      </c>
      <c r="M329" t="s">
        <v>59</v>
      </c>
      <c r="N329" t="s">
        <v>59</v>
      </c>
      <c r="O329" t="s">
        <v>59</v>
      </c>
      <c r="P329" t="s">
        <v>59</v>
      </c>
      <c r="Q329" t="s">
        <v>59</v>
      </c>
      <c r="R329" t="s">
        <v>59</v>
      </c>
      <c r="S329" t="s">
        <v>59</v>
      </c>
      <c r="T329" t="s">
        <v>59</v>
      </c>
      <c r="U329" t="s">
        <v>60</v>
      </c>
      <c r="V329" t="s">
        <v>59</v>
      </c>
      <c r="W329" t="s">
        <v>59</v>
      </c>
      <c r="X329" t="s">
        <v>59</v>
      </c>
      <c r="Y329" t="s">
        <v>59</v>
      </c>
      <c r="Z329" t="s">
        <v>59</v>
      </c>
      <c r="AA329" t="s">
        <v>60</v>
      </c>
      <c r="AB329" t="s">
        <v>59</v>
      </c>
      <c r="AC329" t="s">
        <v>60</v>
      </c>
      <c r="AD329" t="s">
        <v>59</v>
      </c>
      <c r="AE329" t="s">
        <v>59</v>
      </c>
      <c r="AF329" t="s">
        <v>59</v>
      </c>
      <c r="AG329" t="s">
        <v>59</v>
      </c>
      <c r="AH329" t="s">
        <v>61</v>
      </c>
      <c r="AI329" t="s">
        <v>61</v>
      </c>
      <c r="AJ329" t="s">
        <v>59</v>
      </c>
      <c r="AK329" t="s">
        <v>59</v>
      </c>
      <c r="AL329" t="s">
        <v>60</v>
      </c>
      <c r="AM329" t="s">
        <v>59</v>
      </c>
      <c r="AN329" t="s">
        <v>59</v>
      </c>
      <c r="AO329" t="s">
        <v>59</v>
      </c>
      <c r="AP329" t="s">
        <v>921</v>
      </c>
      <c r="AQ329" t="s">
        <v>922</v>
      </c>
      <c r="AR329" t="s">
        <v>64</v>
      </c>
      <c r="AS329" t="s">
        <v>255</v>
      </c>
      <c r="AT329" t="s">
        <v>256</v>
      </c>
      <c r="AU329" t="s">
        <v>299</v>
      </c>
      <c r="AW329" s="4">
        <f t="shared" si="178"/>
        <v>6</v>
      </c>
      <c r="AX329" s="4">
        <f t="shared" si="179"/>
        <v>4</v>
      </c>
      <c r="AY329" s="4">
        <f t="shared" si="180"/>
        <v>4</v>
      </c>
      <c r="AZ329" s="4">
        <f t="shared" si="181"/>
        <v>2</v>
      </c>
      <c r="BA329" s="4">
        <f t="shared" si="182"/>
        <v>4</v>
      </c>
      <c r="BB329" s="4">
        <f t="shared" si="183"/>
        <v>4</v>
      </c>
      <c r="BC329" s="4">
        <f t="shared" si="184"/>
        <v>4</v>
      </c>
      <c r="BD329" s="4">
        <f t="shared" si="185"/>
        <v>2</v>
      </c>
      <c r="BE329" s="4" t="str">
        <f t="shared" si="186"/>
        <v>0</v>
      </c>
      <c r="BF329" s="4">
        <f t="shared" si="187"/>
        <v>2</v>
      </c>
      <c r="BG329" s="4">
        <f t="shared" si="188"/>
        <v>4</v>
      </c>
      <c r="BH329" s="4">
        <f t="shared" si="189"/>
        <v>4</v>
      </c>
      <c r="BI329" s="4">
        <f t="shared" si="190"/>
        <v>4</v>
      </c>
      <c r="BJ329" s="4">
        <f t="shared" si="191"/>
        <v>2</v>
      </c>
      <c r="BK329" s="4" t="str">
        <f t="shared" si="192"/>
        <v>0</v>
      </c>
      <c r="BL329" s="4">
        <f t="shared" si="193"/>
        <v>2</v>
      </c>
      <c r="BM329" s="4" t="str">
        <f t="shared" si="194"/>
        <v>0</v>
      </c>
      <c r="BN329" s="4">
        <f t="shared" si="195"/>
        <v>4</v>
      </c>
      <c r="BO329" s="4">
        <f t="shared" si="196"/>
        <v>4</v>
      </c>
      <c r="BP329" s="4">
        <f t="shared" si="197"/>
        <v>4</v>
      </c>
      <c r="BQ329" s="4">
        <f t="shared" si="198"/>
        <v>6</v>
      </c>
      <c r="BR329" s="4">
        <f t="shared" si="199"/>
        <v>4</v>
      </c>
      <c r="BS329" s="4">
        <f t="shared" si="200"/>
        <v>4</v>
      </c>
      <c r="BT329" s="4">
        <f t="shared" si="201"/>
        <v>4</v>
      </c>
      <c r="BU329" s="4">
        <f t="shared" si="202"/>
        <v>4</v>
      </c>
      <c r="BV329" s="4" t="str">
        <f t="shared" si="203"/>
        <v>0</v>
      </c>
      <c r="BW329" s="4">
        <f t="shared" si="204"/>
        <v>6</v>
      </c>
      <c r="BX329" s="4">
        <f t="shared" si="205"/>
        <v>0</v>
      </c>
      <c r="BY329" s="4">
        <f t="shared" si="206"/>
        <v>0</v>
      </c>
      <c r="BZ329" s="37">
        <f t="shared" si="207"/>
        <v>88</v>
      </c>
      <c r="CA329" s="32" t="str">
        <f>VLOOKUP(J:J,'Agent wise'!A:C,3,0)</f>
        <v>Saran S</v>
      </c>
      <c r="CB329" s="32">
        <f t="shared" si="208"/>
        <v>45936</v>
      </c>
      <c r="CC329" t="str">
        <f t="shared" si="209"/>
        <v>Average</v>
      </c>
      <c r="CE329" s="32"/>
      <c r="CJ329">
        <f t="shared" si="210"/>
        <v>6</v>
      </c>
      <c r="CK329">
        <f t="shared" si="211"/>
        <v>10</v>
      </c>
      <c r="CL329">
        <f t="shared" si="212"/>
        <v>2025</v>
      </c>
    </row>
    <row r="330" spans="1:90" ht="15" customHeight="1" x14ac:dyDescent="0.35">
      <c r="A330" s="40">
        <v>45818.753472222219</v>
      </c>
      <c r="B330" t="s">
        <v>100</v>
      </c>
      <c r="C330" t="s">
        <v>214</v>
      </c>
      <c r="D330" t="s">
        <v>101</v>
      </c>
      <c r="E330" s="32">
        <v>45936</v>
      </c>
      <c r="F330" t="s">
        <v>222</v>
      </c>
      <c r="G330" s="2">
        <v>45787</v>
      </c>
      <c r="H330">
        <v>4712722515</v>
      </c>
      <c r="I330">
        <v>147</v>
      </c>
      <c r="J330" t="s">
        <v>149</v>
      </c>
      <c r="K330" t="s">
        <v>57</v>
      </c>
      <c r="L330" t="s">
        <v>58</v>
      </c>
      <c r="M330" t="s">
        <v>59</v>
      </c>
      <c r="N330" t="s">
        <v>59</v>
      </c>
      <c r="O330" t="s">
        <v>59</v>
      </c>
      <c r="P330" t="s">
        <v>59</v>
      </c>
      <c r="Q330" t="s">
        <v>59</v>
      </c>
      <c r="R330" t="s">
        <v>59</v>
      </c>
      <c r="S330" t="s">
        <v>59</v>
      </c>
      <c r="T330" t="s">
        <v>59</v>
      </c>
      <c r="U330" t="s">
        <v>59</v>
      </c>
      <c r="V330" t="s">
        <v>59</v>
      </c>
      <c r="W330" t="s">
        <v>59</v>
      </c>
      <c r="X330" t="s">
        <v>59</v>
      </c>
      <c r="Y330" t="s">
        <v>59</v>
      </c>
      <c r="Z330" t="s">
        <v>59</v>
      </c>
      <c r="AA330" t="s">
        <v>60</v>
      </c>
      <c r="AB330" t="s">
        <v>59</v>
      </c>
      <c r="AC330" t="s">
        <v>59</v>
      </c>
      <c r="AD330" t="s">
        <v>59</v>
      </c>
      <c r="AE330" t="s">
        <v>59</v>
      </c>
      <c r="AF330" t="s">
        <v>59</v>
      </c>
      <c r="AG330" t="s">
        <v>59</v>
      </c>
      <c r="AH330" t="s">
        <v>59</v>
      </c>
      <c r="AI330" t="s">
        <v>61</v>
      </c>
      <c r="AJ330" t="s">
        <v>59</v>
      </c>
      <c r="AK330" t="s">
        <v>59</v>
      </c>
      <c r="AL330" t="s">
        <v>59</v>
      </c>
      <c r="AM330" t="s">
        <v>59</v>
      </c>
      <c r="AN330" t="s">
        <v>59</v>
      </c>
      <c r="AO330" t="s">
        <v>59</v>
      </c>
      <c r="AP330" t="s">
        <v>526</v>
      </c>
      <c r="AQ330" s="1" t="s">
        <v>923</v>
      </c>
      <c r="AR330" t="s">
        <v>226</v>
      </c>
      <c r="AS330" t="s">
        <v>352</v>
      </c>
      <c r="AT330" t="s">
        <v>352</v>
      </c>
      <c r="AU330" t="s">
        <v>219</v>
      </c>
      <c r="AW330" s="4">
        <f t="shared" si="178"/>
        <v>6</v>
      </c>
      <c r="AX330" s="4">
        <f t="shared" si="179"/>
        <v>4</v>
      </c>
      <c r="AY330" s="4">
        <f t="shared" si="180"/>
        <v>4</v>
      </c>
      <c r="AZ330" s="4">
        <f t="shared" si="181"/>
        <v>2</v>
      </c>
      <c r="BA330" s="4">
        <f t="shared" si="182"/>
        <v>4</v>
      </c>
      <c r="BB330" s="4">
        <f t="shared" si="183"/>
        <v>4</v>
      </c>
      <c r="BC330" s="4">
        <f t="shared" si="184"/>
        <v>4</v>
      </c>
      <c r="BD330" s="4">
        <f t="shared" si="185"/>
        <v>2</v>
      </c>
      <c r="BE330" s="4">
        <f t="shared" si="186"/>
        <v>4</v>
      </c>
      <c r="BF330" s="4">
        <f t="shared" si="187"/>
        <v>2</v>
      </c>
      <c r="BG330" s="4">
        <f t="shared" si="188"/>
        <v>4</v>
      </c>
      <c r="BH330" s="4">
        <f t="shared" si="189"/>
        <v>4</v>
      </c>
      <c r="BI330" s="4">
        <f t="shared" si="190"/>
        <v>4</v>
      </c>
      <c r="BJ330" s="4">
        <f t="shared" si="191"/>
        <v>2</v>
      </c>
      <c r="BK330" s="4" t="str">
        <f t="shared" si="192"/>
        <v>0</v>
      </c>
      <c r="BL330" s="4">
        <f t="shared" si="193"/>
        <v>2</v>
      </c>
      <c r="BM330" s="4">
        <f t="shared" si="194"/>
        <v>4</v>
      </c>
      <c r="BN330" s="4">
        <f t="shared" si="195"/>
        <v>4</v>
      </c>
      <c r="BO330" s="4">
        <f t="shared" si="196"/>
        <v>4</v>
      </c>
      <c r="BP330" s="4">
        <f t="shared" si="197"/>
        <v>4</v>
      </c>
      <c r="BQ330" s="4">
        <f t="shared" si="198"/>
        <v>6</v>
      </c>
      <c r="BR330" s="4">
        <f t="shared" si="199"/>
        <v>4</v>
      </c>
      <c r="BS330" s="4">
        <f t="shared" si="200"/>
        <v>4</v>
      </c>
      <c r="BT330" s="4">
        <f t="shared" si="201"/>
        <v>4</v>
      </c>
      <c r="BU330" s="4">
        <f t="shared" si="202"/>
        <v>4</v>
      </c>
      <c r="BV330" s="4">
        <f t="shared" si="203"/>
        <v>0</v>
      </c>
      <c r="BW330" s="4">
        <f t="shared" si="204"/>
        <v>6</v>
      </c>
      <c r="BX330" s="4">
        <f t="shared" si="205"/>
        <v>0</v>
      </c>
      <c r="BY330" s="4">
        <f t="shared" si="206"/>
        <v>0</v>
      </c>
      <c r="BZ330" s="37">
        <f t="shared" si="207"/>
        <v>96</v>
      </c>
      <c r="CA330" s="32" t="str">
        <f>VLOOKUP(J:J,'Agent wise'!A:C,3,0)</f>
        <v>Shakeer</v>
      </c>
      <c r="CB330" s="32">
        <f t="shared" si="208"/>
        <v>45936</v>
      </c>
      <c r="CC330" t="str">
        <f t="shared" si="209"/>
        <v>Excellent</v>
      </c>
      <c r="CE330" s="32"/>
      <c r="CJ330">
        <f t="shared" si="210"/>
        <v>6</v>
      </c>
      <c r="CK330">
        <f t="shared" si="211"/>
        <v>10</v>
      </c>
      <c r="CL330">
        <f t="shared" si="212"/>
        <v>2025</v>
      </c>
    </row>
    <row r="331" spans="1:90" ht="15" customHeight="1" x14ac:dyDescent="0.35">
      <c r="A331" s="40">
        <v>45818.758969907409</v>
      </c>
      <c r="B331" t="s">
        <v>250</v>
      </c>
      <c r="C331" t="s">
        <v>214</v>
      </c>
      <c r="D331" t="s">
        <v>251</v>
      </c>
      <c r="E331" s="32">
        <v>45936</v>
      </c>
      <c r="F331" t="s">
        <v>54</v>
      </c>
      <c r="G331" s="2">
        <v>45787</v>
      </c>
      <c r="H331">
        <v>9444154771</v>
      </c>
      <c r="I331">
        <v>153</v>
      </c>
      <c r="J331" t="s">
        <v>924</v>
      </c>
      <c r="K331" t="s">
        <v>71</v>
      </c>
      <c r="L331" t="s">
        <v>72</v>
      </c>
      <c r="M331" t="s">
        <v>59</v>
      </c>
      <c r="N331" t="s">
        <v>59</v>
      </c>
      <c r="O331" t="s">
        <v>59</v>
      </c>
      <c r="P331" t="s">
        <v>59</v>
      </c>
      <c r="Q331" t="s">
        <v>59</v>
      </c>
      <c r="R331" t="s">
        <v>59</v>
      </c>
      <c r="S331" t="s">
        <v>59</v>
      </c>
      <c r="T331" t="s">
        <v>59</v>
      </c>
      <c r="U331" t="s">
        <v>60</v>
      </c>
      <c r="V331" t="s">
        <v>59</v>
      </c>
      <c r="W331" t="s">
        <v>59</v>
      </c>
      <c r="X331" t="s">
        <v>59</v>
      </c>
      <c r="Y331" t="s">
        <v>59</v>
      </c>
      <c r="Z331" t="s">
        <v>59</v>
      </c>
      <c r="AA331" t="s">
        <v>60</v>
      </c>
      <c r="AB331" t="s">
        <v>59</v>
      </c>
      <c r="AC331" t="s">
        <v>60</v>
      </c>
      <c r="AD331" t="s">
        <v>59</v>
      </c>
      <c r="AE331" t="s">
        <v>59</v>
      </c>
      <c r="AF331" t="s">
        <v>59</v>
      </c>
      <c r="AG331" t="s">
        <v>59</v>
      </c>
      <c r="AH331" t="s">
        <v>61</v>
      </c>
      <c r="AI331" t="s">
        <v>61</v>
      </c>
      <c r="AJ331" t="s">
        <v>59</v>
      </c>
      <c r="AK331" t="s">
        <v>59</v>
      </c>
      <c r="AL331" t="s">
        <v>60</v>
      </c>
      <c r="AM331" t="s">
        <v>59</v>
      </c>
      <c r="AN331" t="s">
        <v>59</v>
      </c>
      <c r="AO331" t="s">
        <v>59</v>
      </c>
      <c r="AP331" t="s">
        <v>925</v>
      </c>
      <c r="AQ331" t="s">
        <v>926</v>
      </c>
      <c r="AR331" t="s">
        <v>64</v>
      </c>
      <c r="AS331" t="s">
        <v>889</v>
      </c>
      <c r="AT331" t="s">
        <v>927</v>
      </c>
      <c r="AU331" t="s">
        <v>219</v>
      </c>
      <c r="AW331" s="4">
        <f t="shared" si="178"/>
        <v>6</v>
      </c>
      <c r="AX331" s="4">
        <f t="shared" si="179"/>
        <v>4</v>
      </c>
      <c r="AY331" s="4">
        <f t="shared" si="180"/>
        <v>4</v>
      </c>
      <c r="AZ331" s="4">
        <f t="shared" si="181"/>
        <v>2</v>
      </c>
      <c r="BA331" s="4">
        <f t="shared" si="182"/>
        <v>4</v>
      </c>
      <c r="BB331" s="4">
        <f t="shared" si="183"/>
        <v>4</v>
      </c>
      <c r="BC331" s="4">
        <f t="shared" si="184"/>
        <v>4</v>
      </c>
      <c r="BD331" s="4">
        <f t="shared" si="185"/>
        <v>2</v>
      </c>
      <c r="BE331" s="4" t="str">
        <f t="shared" si="186"/>
        <v>0</v>
      </c>
      <c r="BF331" s="4">
        <f t="shared" si="187"/>
        <v>2</v>
      </c>
      <c r="BG331" s="4">
        <f t="shared" si="188"/>
        <v>4</v>
      </c>
      <c r="BH331" s="4">
        <f t="shared" si="189"/>
        <v>4</v>
      </c>
      <c r="BI331" s="4">
        <f t="shared" si="190"/>
        <v>4</v>
      </c>
      <c r="BJ331" s="4">
        <f t="shared" si="191"/>
        <v>2</v>
      </c>
      <c r="BK331" s="4" t="str">
        <f t="shared" si="192"/>
        <v>0</v>
      </c>
      <c r="BL331" s="4">
        <f t="shared" si="193"/>
        <v>2</v>
      </c>
      <c r="BM331" s="4" t="str">
        <f t="shared" si="194"/>
        <v>0</v>
      </c>
      <c r="BN331" s="4">
        <f t="shared" si="195"/>
        <v>4</v>
      </c>
      <c r="BO331" s="4">
        <f t="shared" si="196"/>
        <v>4</v>
      </c>
      <c r="BP331" s="4">
        <f t="shared" si="197"/>
        <v>4</v>
      </c>
      <c r="BQ331" s="4">
        <f t="shared" si="198"/>
        <v>6</v>
      </c>
      <c r="BR331" s="4">
        <f t="shared" si="199"/>
        <v>4</v>
      </c>
      <c r="BS331" s="4">
        <f t="shared" si="200"/>
        <v>4</v>
      </c>
      <c r="BT331" s="4">
        <f t="shared" si="201"/>
        <v>4</v>
      </c>
      <c r="BU331" s="4">
        <f t="shared" si="202"/>
        <v>4</v>
      </c>
      <c r="BV331" s="4" t="str">
        <f t="shared" si="203"/>
        <v>0</v>
      </c>
      <c r="BW331" s="4">
        <f t="shared" si="204"/>
        <v>6</v>
      </c>
      <c r="BX331" s="4">
        <f t="shared" si="205"/>
        <v>0</v>
      </c>
      <c r="BY331" s="4">
        <f t="shared" si="206"/>
        <v>0</v>
      </c>
      <c r="BZ331" s="37">
        <f t="shared" si="207"/>
        <v>88</v>
      </c>
      <c r="CA331" s="32" t="e">
        <f>VLOOKUP(J:J,'Agent wise'!A:C,3,0)</f>
        <v>#N/A</v>
      </c>
      <c r="CB331" s="32">
        <f t="shared" si="208"/>
        <v>45936</v>
      </c>
      <c r="CC331" t="str">
        <f t="shared" si="209"/>
        <v>Average</v>
      </c>
      <c r="CE331" s="32"/>
      <c r="CJ331">
        <f t="shared" si="210"/>
        <v>6</v>
      </c>
      <c r="CK331">
        <f t="shared" si="211"/>
        <v>10</v>
      </c>
      <c r="CL331">
        <f t="shared" si="212"/>
        <v>2025</v>
      </c>
    </row>
    <row r="332" spans="1:90" ht="15" customHeight="1" x14ac:dyDescent="0.35">
      <c r="A332" s="40">
        <v>45818.773136574076</v>
      </c>
      <c r="B332" t="s">
        <v>250</v>
      </c>
      <c r="C332" t="s">
        <v>214</v>
      </c>
      <c r="D332" t="s">
        <v>251</v>
      </c>
      <c r="E332" s="32">
        <v>45936</v>
      </c>
      <c r="F332" t="s">
        <v>54</v>
      </c>
      <c r="G332" s="2">
        <v>45787</v>
      </c>
      <c r="H332">
        <v>9487986348</v>
      </c>
      <c r="I332">
        <v>148</v>
      </c>
      <c r="J332" t="s">
        <v>493</v>
      </c>
      <c r="K332" t="s">
        <v>71</v>
      </c>
      <c r="L332" t="s">
        <v>72</v>
      </c>
      <c r="M332" t="s">
        <v>60</v>
      </c>
      <c r="N332" t="s">
        <v>59</v>
      </c>
      <c r="O332" t="s">
        <v>60</v>
      </c>
      <c r="P332" t="s">
        <v>59</v>
      </c>
      <c r="Q332" t="s">
        <v>59</v>
      </c>
      <c r="R332" t="s">
        <v>59</v>
      </c>
      <c r="S332" t="s">
        <v>59</v>
      </c>
      <c r="T332" t="s">
        <v>59</v>
      </c>
      <c r="U332" t="s">
        <v>60</v>
      </c>
      <c r="V332" t="s">
        <v>59</v>
      </c>
      <c r="W332" t="s">
        <v>59</v>
      </c>
      <c r="X332" t="s">
        <v>59</v>
      </c>
      <c r="Y332" t="s">
        <v>59</v>
      </c>
      <c r="Z332" t="s">
        <v>59</v>
      </c>
      <c r="AA332" t="s">
        <v>59</v>
      </c>
      <c r="AB332" t="s">
        <v>59</v>
      </c>
      <c r="AC332" t="s">
        <v>59</v>
      </c>
      <c r="AD332" t="s">
        <v>59</v>
      </c>
      <c r="AE332" t="s">
        <v>59</v>
      </c>
      <c r="AF332" t="s">
        <v>59</v>
      </c>
      <c r="AG332" t="s">
        <v>59</v>
      </c>
      <c r="AH332" t="s">
        <v>59</v>
      </c>
      <c r="AI332" t="s">
        <v>61</v>
      </c>
      <c r="AJ332" t="s">
        <v>59</v>
      </c>
      <c r="AK332" t="s">
        <v>59</v>
      </c>
      <c r="AL332" t="s">
        <v>59</v>
      </c>
      <c r="AM332" t="s">
        <v>59</v>
      </c>
      <c r="AN332" t="s">
        <v>59</v>
      </c>
      <c r="AO332" t="s">
        <v>59</v>
      </c>
      <c r="AP332" t="s">
        <v>928</v>
      </c>
      <c r="AQ332" t="s">
        <v>929</v>
      </c>
      <c r="AR332" t="s">
        <v>64</v>
      </c>
      <c r="AS332" t="s">
        <v>111</v>
      </c>
      <c r="AT332" t="s">
        <v>112</v>
      </c>
      <c r="AU332" t="s">
        <v>219</v>
      </c>
      <c r="AW332" s="4" t="str">
        <f t="shared" si="178"/>
        <v>0</v>
      </c>
      <c r="AX332" s="4">
        <f t="shared" si="179"/>
        <v>4</v>
      </c>
      <c r="AY332" s="4" t="str">
        <f t="shared" si="180"/>
        <v>0</v>
      </c>
      <c r="AZ332" s="4">
        <f t="shared" si="181"/>
        <v>2</v>
      </c>
      <c r="BA332" s="4">
        <f t="shared" si="182"/>
        <v>4</v>
      </c>
      <c r="BB332" s="4">
        <f t="shared" si="183"/>
        <v>4</v>
      </c>
      <c r="BC332" s="4">
        <f t="shared" si="184"/>
        <v>4</v>
      </c>
      <c r="BD332" s="4">
        <f t="shared" si="185"/>
        <v>2</v>
      </c>
      <c r="BE332" s="4" t="str">
        <f t="shared" si="186"/>
        <v>0</v>
      </c>
      <c r="BF332" s="4">
        <f t="shared" si="187"/>
        <v>2</v>
      </c>
      <c r="BG332" s="4">
        <f t="shared" si="188"/>
        <v>4</v>
      </c>
      <c r="BH332" s="4">
        <f t="shared" si="189"/>
        <v>4</v>
      </c>
      <c r="BI332" s="4">
        <f t="shared" si="190"/>
        <v>4</v>
      </c>
      <c r="BJ332" s="4">
        <f t="shared" si="191"/>
        <v>2</v>
      </c>
      <c r="BK332" s="4">
        <f t="shared" si="192"/>
        <v>4</v>
      </c>
      <c r="BL332" s="4">
        <f t="shared" si="193"/>
        <v>2</v>
      </c>
      <c r="BM332" s="4">
        <f t="shared" si="194"/>
        <v>4</v>
      </c>
      <c r="BN332" s="4">
        <f t="shared" si="195"/>
        <v>4</v>
      </c>
      <c r="BO332" s="4">
        <f t="shared" si="196"/>
        <v>4</v>
      </c>
      <c r="BP332" s="4">
        <f t="shared" si="197"/>
        <v>4</v>
      </c>
      <c r="BQ332" s="4">
        <f t="shared" si="198"/>
        <v>6</v>
      </c>
      <c r="BR332" s="4">
        <f t="shared" si="199"/>
        <v>4</v>
      </c>
      <c r="BS332" s="4">
        <f t="shared" si="200"/>
        <v>4</v>
      </c>
      <c r="BT332" s="4">
        <f t="shared" si="201"/>
        <v>4</v>
      </c>
      <c r="BU332" s="4">
        <f t="shared" si="202"/>
        <v>4</v>
      </c>
      <c r="BV332" s="4">
        <f t="shared" si="203"/>
        <v>0</v>
      </c>
      <c r="BW332" s="4">
        <f t="shared" si="204"/>
        <v>6</v>
      </c>
      <c r="BX332" s="4">
        <f t="shared" si="205"/>
        <v>0</v>
      </c>
      <c r="BY332" s="4">
        <f t="shared" si="206"/>
        <v>0</v>
      </c>
      <c r="BZ332" s="37">
        <f t="shared" si="207"/>
        <v>86</v>
      </c>
      <c r="CA332" s="32" t="str">
        <f>VLOOKUP(J:J,'Agent wise'!A:C,3,0)</f>
        <v>Saran S</v>
      </c>
      <c r="CB332" s="32">
        <f t="shared" si="208"/>
        <v>45936</v>
      </c>
      <c r="CC332" t="str">
        <f t="shared" si="209"/>
        <v>Average</v>
      </c>
      <c r="CE332" s="32"/>
      <c r="CJ332">
        <f t="shared" si="210"/>
        <v>6</v>
      </c>
      <c r="CK332">
        <f t="shared" si="211"/>
        <v>10</v>
      </c>
      <c r="CL332">
        <f t="shared" si="212"/>
        <v>2025</v>
      </c>
    </row>
    <row r="333" spans="1:90" ht="15" customHeight="1" x14ac:dyDescent="0.35">
      <c r="A333" s="40">
        <v>45818.774363425917</v>
      </c>
      <c r="B333" t="s">
        <v>100</v>
      </c>
      <c r="C333" t="s">
        <v>214</v>
      </c>
      <c r="D333" t="s">
        <v>101</v>
      </c>
      <c r="E333" s="32">
        <v>45936</v>
      </c>
      <c r="F333" t="s">
        <v>222</v>
      </c>
      <c r="G333" s="2">
        <v>45787</v>
      </c>
      <c r="H333">
        <v>9447415895</v>
      </c>
      <c r="I333">
        <v>139</v>
      </c>
      <c r="J333" t="s">
        <v>67</v>
      </c>
      <c r="K333" t="s">
        <v>57</v>
      </c>
      <c r="L333" t="s">
        <v>58</v>
      </c>
      <c r="M333" t="s">
        <v>59</v>
      </c>
      <c r="N333" t="s">
        <v>59</v>
      </c>
      <c r="O333" t="s">
        <v>59</v>
      </c>
      <c r="P333" t="s">
        <v>59</v>
      </c>
      <c r="Q333" t="s">
        <v>59</v>
      </c>
      <c r="R333" t="s">
        <v>59</v>
      </c>
      <c r="S333" t="s">
        <v>59</v>
      </c>
      <c r="T333" t="s">
        <v>59</v>
      </c>
      <c r="U333" t="s">
        <v>59</v>
      </c>
      <c r="V333" t="s">
        <v>59</v>
      </c>
      <c r="W333" t="s">
        <v>59</v>
      </c>
      <c r="X333" t="s">
        <v>59</v>
      </c>
      <c r="Y333" t="s">
        <v>59</v>
      </c>
      <c r="Z333" t="s">
        <v>59</v>
      </c>
      <c r="AA333" t="s">
        <v>60</v>
      </c>
      <c r="AB333" t="s">
        <v>59</v>
      </c>
      <c r="AC333" t="s">
        <v>59</v>
      </c>
      <c r="AD333" t="s">
        <v>59</v>
      </c>
      <c r="AE333" t="s">
        <v>59</v>
      </c>
      <c r="AF333" t="s">
        <v>59</v>
      </c>
      <c r="AG333" t="s">
        <v>59</v>
      </c>
      <c r="AH333" t="s">
        <v>59</v>
      </c>
      <c r="AI333" t="s">
        <v>61</v>
      </c>
      <c r="AJ333" t="s">
        <v>59</v>
      </c>
      <c r="AK333" t="s">
        <v>59</v>
      </c>
      <c r="AL333" t="s">
        <v>59</v>
      </c>
      <c r="AM333" t="s">
        <v>59</v>
      </c>
      <c r="AN333" t="s">
        <v>59</v>
      </c>
      <c r="AO333" t="s">
        <v>59</v>
      </c>
      <c r="AP333" t="s">
        <v>188</v>
      </c>
      <c r="AQ333" s="1" t="s">
        <v>930</v>
      </c>
      <c r="AR333" t="s">
        <v>226</v>
      </c>
      <c r="AS333" t="s">
        <v>352</v>
      </c>
      <c r="AT333" t="s">
        <v>352</v>
      </c>
      <c r="AU333" t="s">
        <v>219</v>
      </c>
      <c r="AW333" s="4">
        <f t="shared" si="178"/>
        <v>6</v>
      </c>
      <c r="AX333" s="4">
        <f t="shared" si="179"/>
        <v>4</v>
      </c>
      <c r="AY333" s="4">
        <f t="shared" si="180"/>
        <v>4</v>
      </c>
      <c r="AZ333" s="4">
        <f t="shared" si="181"/>
        <v>2</v>
      </c>
      <c r="BA333" s="4">
        <f t="shared" si="182"/>
        <v>4</v>
      </c>
      <c r="BB333" s="4">
        <f t="shared" si="183"/>
        <v>4</v>
      </c>
      <c r="BC333" s="4">
        <f t="shared" si="184"/>
        <v>4</v>
      </c>
      <c r="BD333" s="4">
        <f t="shared" si="185"/>
        <v>2</v>
      </c>
      <c r="BE333" s="4">
        <f t="shared" si="186"/>
        <v>4</v>
      </c>
      <c r="BF333" s="4">
        <f t="shared" si="187"/>
        <v>2</v>
      </c>
      <c r="BG333" s="4">
        <f t="shared" si="188"/>
        <v>4</v>
      </c>
      <c r="BH333" s="4">
        <f t="shared" si="189"/>
        <v>4</v>
      </c>
      <c r="BI333" s="4">
        <f t="shared" si="190"/>
        <v>4</v>
      </c>
      <c r="BJ333" s="4">
        <f t="shared" si="191"/>
        <v>2</v>
      </c>
      <c r="BK333" s="4" t="str">
        <f t="shared" si="192"/>
        <v>0</v>
      </c>
      <c r="BL333" s="4">
        <f t="shared" si="193"/>
        <v>2</v>
      </c>
      <c r="BM333" s="4">
        <f t="shared" si="194"/>
        <v>4</v>
      </c>
      <c r="BN333" s="4">
        <f t="shared" si="195"/>
        <v>4</v>
      </c>
      <c r="BO333" s="4">
        <f t="shared" si="196"/>
        <v>4</v>
      </c>
      <c r="BP333" s="4">
        <f t="shared" si="197"/>
        <v>4</v>
      </c>
      <c r="BQ333" s="4">
        <f t="shared" si="198"/>
        <v>6</v>
      </c>
      <c r="BR333" s="4">
        <f t="shared" si="199"/>
        <v>4</v>
      </c>
      <c r="BS333" s="4">
        <f t="shared" si="200"/>
        <v>4</v>
      </c>
      <c r="BT333" s="4">
        <f t="shared" si="201"/>
        <v>4</v>
      </c>
      <c r="BU333" s="4">
        <f t="shared" si="202"/>
        <v>4</v>
      </c>
      <c r="BV333" s="4">
        <f t="shared" si="203"/>
        <v>0</v>
      </c>
      <c r="BW333" s="4">
        <f t="shared" si="204"/>
        <v>6</v>
      </c>
      <c r="BX333" s="4">
        <f t="shared" si="205"/>
        <v>0</v>
      </c>
      <c r="BY333" s="4">
        <f t="shared" si="206"/>
        <v>0</v>
      </c>
      <c r="BZ333" s="37">
        <f t="shared" si="207"/>
        <v>96</v>
      </c>
      <c r="CA333" s="32" t="str">
        <f>VLOOKUP(J:J,'Agent wise'!A:C,3,0)</f>
        <v>Saran S</v>
      </c>
      <c r="CB333" s="32">
        <f t="shared" si="208"/>
        <v>45936</v>
      </c>
      <c r="CC333" t="str">
        <f t="shared" si="209"/>
        <v>Excellent</v>
      </c>
      <c r="CE333" s="32"/>
      <c r="CJ333">
        <f t="shared" si="210"/>
        <v>6</v>
      </c>
      <c r="CK333">
        <f t="shared" si="211"/>
        <v>10</v>
      </c>
      <c r="CL333">
        <f t="shared" si="212"/>
        <v>2025</v>
      </c>
    </row>
    <row r="334" spans="1:90" ht="15" customHeight="1" x14ac:dyDescent="0.35">
      <c r="A334" s="40">
        <v>45818.777129629627</v>
      </c>
      <c r="B334" t="s">
        <v>100</v>
      </c>
      <c r="C334" t="s">
        <v>214</v>
      </c>
      <c r="D334" t="s">
        <v>101</v>
      </c>
      <c r="E334" s="32">
        <v>45936</v>
      </c>
      <c r="F334" t="s">
        <v>222</v>
      </c>
      <c r="G334" s="2">
        <v>45787</v>
      </c>
      <c r="H334">
        <v>6383345212</v>
      </c>
      <c r="I334">
        <v>151</v>
      </c>
      <c r="J334" t="s">
        <v>931</v>
      </c>
      <c r="K334" t="s">
        <v>71</v>
      </c>
      <c r="L334" t="s">
        <v>72</v>
      </c>
      <c r="M334" t="s">
        <v>59</v>
      </c>
      <c r="N334" t="s">
        <v>59</v>
      </c>
      <c r="O334" t="s">
        <v>59</v>
      </c>
      <c r="P334" t="s">
        <v>59</v>
      </c>
      <c r="Q334" t="s">
        <v>59</v>
      </c>
      <c r="R334" t="s">
        <v>59</v>
      </c>
      <c r="S334" t="s">
        <v>59</v>
      </c>
      <c r="T334" t="s">
        <v>59</v>
      </c>
      <c r="U334" t="s">
        <v>59</v>
      </c>
      <c r="V334" t="s">
        <v>59</v>
      </c>
      <c r="W334" t="s">
        <v>59</v>
      </c>
      <c r="X334" t="s">
        <v>59</v>
      </c>
      <c r="Y334" t="s">
        <v>59</v>
      </c>
      <c r="Z334" t="s">
        <v>59</v>
      </c>
      <c r="AA334" t="s">
        <v>60</v>
      </c>
      <c r="AB334" t="s">
        <v>59</v>
      </c>
      <c r="AC334" t="s">
        <v>59</v>
      </c>
      <c r="AD334" t="s">
        <v>59</v>
      </c>
      <c r="AE334" t="s">
        <v>59</v>
      </c>
      <c r="AF334" t="s">
        <v>59</v>
      </c>
      <c r="AG334" t="s">
        <v>59</v>
      </c>
      <c r="AH334" t="s">
        <v>59</v>
      </c>
      <c r="AI334" t="s">
        <v>61</v>
      </c>
      <c r="AJ334" t="s">
        <v>59</v>
      </c>
      <c r="AK334" t="s">
        <v>59</v>
      </c>
      <c r="AL334" t="s">
        <v>59</v>
      </c>
      <c r="AM334" t="s">
        <v>59</v>
      </c>
      <c r="AN334" t="s">
        <v>59</v>
      </c>
      <c r="AO334" t="s">
        <v>59</v>
      </c>
      <c r="AP334" t="s">
        <v>188</v>
      </c>
      <c r="AQ334" s="1" t="s">
        <v>932</v>
      </c>
      <c r="AR334" t="s">
        <v>64</v>
      </c>
      <c r="AS334" t="s">
        <v>352</v>
      </c>
      <c r="AT334" t="s">
        <v>352</v>
      </c>
      <c r="AU334" t="s">
        <v>219</v>
      </c>
      <c r="AW334" s="4">
        <f t="shared" si="178"/>
        <v>6</v>
      </c>
      <c r="AX334" s="4">
        <f t="shared" si="179"/>
        <v>4</v>
      </c>
      <c r="AY334" s="4">
        <f t="shared" si="180"/>
        <v>4</v>
      </c>
      <c r="AZ334" s="4">
        <f t="shared" si="181"/>
        <v>2</v>
      </c>
      <c r="BA334" s="4">
        <f t="shared" si="182"/>
        <v>4</v>
      </c>
      <c r="BB334" s="4">
        <f t="shared" si="183"/>
        <v>4</v>
      </c>
      <c r="BC334" s="4">
        <f t="shared" si="184"/>
        <v>4</v>
      </c>
      <c r="BD334" s="4">
        <f t="shared" si="185"/>
        <v>2</v>
      </c>
      <c r="BE334" s="4">
        <f t="shared" si="186"/>
        <v>4</v>
      </c>
      <c r="BF334" s="4">
        <f t="shared" si="187"/>
        <v>2</v>
      </c>
      <c r="BG334" s="4">
        <f t="shared" si="188"/>
        <v>4</v>
      </c>
      <c r="BH334" s="4">
        <f t="shared" si="189"/>
        <v>4</v>
      </c>
      <c r="BI334" s="4">
        <f t="shared" si="190"/>
        <v>4</v>
      </c>
      <c r="BJ334" s="4">
        <f t="shared" si="191"/>
        <v>2</v>
      </c>
      <c r="BK334" s="4" t="str">
        <f t="shared" si="192"/>
        <v>0</v>
      </c>
      <c r="BL334" s="4">
        <f t="shared" si="193"/>
        <v>2</v>
      </c>
      <c r="BM334" s="4">
        <f t="shared" si="194"/>
        <v>4</v>
      </c>
      <c r="BN334" s="4">
        <f t="shared" si="195"/>
        <v>4</v>
      </c>
      <c r="BO334" s="4">
        <f t="shared" si="196"/>
        <v>4</v>
      </c>
      <c r="BP334" s="4">
        <f t="shared" si="197"/>
        <v>4</v>
      </c>
      <c r="BQ334" s="4">
        <f t="shared" si="198"/>
        <v>6</v>
      </c>
      <c r="BR334" s="4">
        <f t="shared" si="199"/>
        <v>4</v>
      </c>
      <c r="BS334" s="4">
        <f t="shared" si="200"/>
        <v>4</v>
      </c>
      <c r="BT334" s="4">
        <f t="shared" si="201"/>
        <v>4</v>
      </c>
      <c r="BU334" s="4">
        <f t="shared" si="202"/>
        <v>4</v>
      </c>
      <c r="BV334" s="4">
        <f t="shared" si="203"/>
        <v>0</v>
      </c>
      <c r="BW334" s="4">
        <f t="shared" si="204"/>
        <v>6</v>
      </c>
      <c r="BX334" s="4">
        <f t="shared" si="205"/>
        <v>0</v>
      </c>
      <c r="BY334" s="4">
        <f t="shared" si="206"/>
        <v>0</v>
      </c>
      <c r="BZ334" s="37">
        <f t="shared" si="207"/>
        <v>96</v>
      </c>
      <c r="CA334" s="32" t="e">
        <f>VLOOKUP(J:J,'Agent wise'!A:C,3,0)</f>
        <v>#N/A</v>
      </c>
      <c r="CB334" s="32">
        <f t="shared" si="208"/>
        <v>45936</v>
      </c>
      <c r="CC334" t="str">
        <f t="shared" si="209"/>
        <v>Excellent</v>
      </c>
      <c r="CE334" s="32"/>
      <c r="CJ334">
        <f t="shared" si="210"/>
        <v>6</v>
      </c>
      <c r="CK334">
        <f t="shared" si="211"/>
        <v>10</v>
      </c>
      <c r="CL334">
        <f t="shared" si="212"/>
        <v>2025</v>
      </c>
    </row>
    <row r="335" spans="1:90" ht="15" customHeight="1" x14ac:dyDescent="0.35">
      <c r="A335" s="40">
        <v>45818.780300925922</v>
      </c>
      <c r="B335" t="s">
        <v>250</v>
      </c>
      <c r="C335" t="s">
        <v>214</v>
      </c>
      <c r="D335" t="s">
        <v>251</v>
      </c>
      <c r="E335" s="32">
        <v>45936</v>
      </c>
      <c r="F335" t="s">
        <v>54</v>
      </c>
      <c r="G335" s="2">
        <v>45787</v>
      </c>
      <c r="H335">
        <v>9442087354</v>
      </c>
      <c r="I335">
        <v>142</v>
      </c>
      <c r="J335" t="s">
        <v>367</v>
      </c>
      <c r="K335" t="s">
        <v>71</v>
      </c>
      <c r="L335" t="s">
        <v>72</v>
      </c>
      <c r="M335" t="s">
        <v>59</v>
      </c>
      <c r="N335" t="s">
        <v>59</v>
      </c>
      <c r="O335" t="s">
        <v>59</v>
      </c>
      <c r="P335" t="s">
        <v>59</v>
      </c>
      <c r="Q335" t="s">
        <v>59</v>
      </c>
      <c r="R335" t="s">
        <v>59</v>
      </c>
      <c r="S335" t="s">
        <v>59</v>
      </c>
      <c r="T335" t="s">
        <v>59</v>
      </c>
      <c r="U335" t="s">
        <v>60</v>
      </c>
      <c r="V335" t="s">
        <v>59</v>
      </c>
      <c r="W335" t="s">
        <v>59</v>
      </c>
      <c r="X335" t="s">
        <v>59</v>
      </c>
      <c r="Y335" t="s">
        <v>59</v>
      </c>
      <c r="Z335" t="s">
        <v>59</v>
      </c>
      <c r="AA335" t="s">
        <v>60</v>
      </c>
      <c r="AB335" t="s">
        <v>59</v>
      </c>
      <c r="AC335" t="s">
        <v>59</v>
      </c>
      <c r="AD335" t="s">
        <v>59</v>
      </c>
      <c r="AE335" t="s">
        <v>59</v>
      </c>
      <c r="AF335" t="s">
        <v>59</v>
      </c>
      <c r="AG335" t="s">
        <v>59</v>
      </c>
      <c r="AH335" t="s">
        <v>59</v>
      </c>
      <c r="AI335" t="s">
        <v>61</v>
      </c>
      <c r="AJ335" t="s">
        <v>59</v>
      </c>
      <c r="AK335" t="s">
        <v>59</v>
      </c>
      <c r="AL335" t="s">
        <v>60</v>
      </c>
      <c r="AM335" t="s">
        <v>59</v>
      </c>
      <c r="AN335" t="s">
        <v>59</v>
      </c>
      <c r="AO335" t="s">
        <v>59</v>
      </c>
      <c r="AP335" t="s">
        <v>933</v>
      </c>
      <c r="AQ335" t="s">
        <v>934</v>
      </c>
      <c r="AR335" t="s">
        <v>64</v>
      </c>
      <c r="AS335" t="s">
        <v>397</v>
      </c>
      <c r="AT335" t="s">
        <v>649</v>
      </c>
      <c r="AU335" t="s">
        <v>219</v>
      </c>
      <c r="AW335" s="4">
        <f t="shared" si="178"/>
        <v>6</v>
      </c>
      <c r="AX335" s="4">
        <f t="shared" si="179"/>
        <v>4</v>
      </c>
      <c r="AY335" s="4">
        <f t="shared" si="180"/>
        <v>4</v>
      </c>
      <c r="AZ335" s="4">
        <f t="shared" si="181"/>
        <v>2</v>
      </c>
      <c r="BA335" s="4">
        <f t="shared" si="182"/>
        <v>4</v>
      </c>
      <c r="BB335" s="4">
        <f t="shared" si="183"/>
        <v>4</v>
      </c>
      <c r="BC335" s="4">
        <f t="shared" si="184"/>
        <v>4</v>
      </c>
      <c r="BD335" s="4">
        <f t="shared" si="185"/>
        <v>2</v>
      </c>
      <c r="BE335" s="4" t="str">
        <f t="shared" si="186"/>
        <v>0</v>
      </c>
      <c r="BF335" s="4">
        <f t="shared" si="187"/>
        <v>2</v>
      </c>
      <c r="BG335" s="4">
        <f t="shared" si="188"/>
        <v>4</v>
      </c>
      <c r="BH335" s="4">
        <f t="shared" si="189"/>
        <v>4</v>
      </c>
      <c r="BI335" s="4">
        <f t="shared" si="190"/>
        <v>4</v>
      </c>
      <c r="BJ335" s="4">
        <f t="shared" si="191"/>
        <v>2</v>
      </c>
      <c r="BK335" s="4" t="str">
        <f t="shared" si="192"/>
        <v>0</v>
      </c>
      <c r="BL335" s="4">
        <f t="shared" si="193"/>
        <v>2</v>
      </c>
      <c r="BM335" s="4">
        <f t="shared" si="194"/>
        <v>4</v>
      </c>
      <c r="BN335" s="4">
        <f t="shared" si="195"/>
        <v>4</v>
      </c>
      <c r="BO335" s="4">
        <f t="shared" si="196"/>
        <v>4</v>
      </c>
      <c r="BP335" s="4">
        <f t="shared" si="197"/>
        <v>4</v>
      </c>
      <c r="BQ335" s="4">
        <f t="shared" si="198"/>
        <v>6</v>
      </c>
      <c r="BR335" s="4">
        <f t="shared" si="199"/>
        <v>4</v>
      </c>
      <c r="BS335" s="4">
        <f t="shared" si="200"/>
        <v>4</v>
      </c>
      <c r="BT335" s="4">
        <f t="shared" si="201"/>
        <v>4</v>
      </c>
      <c r="BU335" s="4">
        <f t="shared" si="202"/>
        <v>4</v>
      </c>
      <c r="BV335" s="4" t="str">
        <f t="shared" si="203"/>
        <v>0</v>
      </c>
      <c r="BW335" s="4">
        <f t="shared" si="204"/>
        <v>6</v>
      </c>
      <c r="BX335" s="4">
        <f t="shared" si="205"/>
        <v>0</v>
      </c>
      <c r="BY335" s="4">
        <f t="shared" si="206"/>
        <v>0</v>
      </c>
      <c r="BZ335" s="37">
        <f t="shared" si="207"/>
        <v>92</v>
      </c>
      <c r="CA335" s="32" t="str">
        <f>VLOOKUP(J:J,'Agent wise'!A:C,3,0)</f>
        <v>Saran S</v>
      </c>
      <c r="CB335" s="32">
        <f t="shared" si="208"/>
        <v>45936</v>
      </c>
      <c r="CC335" t="str">
        <f t="shared" si="209"/>
        <v>Good</v>
      </c>
      <c r="CE335" s="32"/>
      <c r="CJ335">
        <f t="shared" si="210"/>
        <v>6</v>
      </c>
      <c r="CK335">
        <f t="shared" si="211"/>
        <v>10</v>
      </c>
      <c r="CL335">
        <f t="shared" si="212"/>
        <v>2025</v>
      </c>
    </row>
    <row r="336" spans="1:90" ht="15" customHeight="1" x14ac:dyDescent="0.35">
      <c r="A336" s="40">
        <v>45818.791516203702</v>
      </c>
      <c r="B336" t="s">
        <v>250</v>
      </c>
      <c r="C336" t="s">
        <v>214</v>
      </c>
      <c r="D336" t="s">
        <v>251</v>
      </c>
      <c r="E336" s="32">
        <v>45936</v>
      </c>
      <c r="F336" t="s">
        <v>222</v>
      </c>
      <c r="G336" s="2">
        <v>45787</v>
      </c>
      <c r="H336">
        <v>9976488151</v>
      </c>
      <c r="I336">
        <v>164</v>
      </c>
      <c r="J336" t="s">
        <v>570</v>
      </c>
      <c r="K336" t="s">
        <v>71</v>
      </c>
      <c r="L336" t="s">
        <v>72</v>
      </c>
      <c r="M336" t="s">
        <v>59</v>
      </c>
      <c r="N336" t="s">
        <v>59</v>
      </c>
      <c r="O336" t="s">
        <v>59</v>
      </c>
      <c r="P336" t="s">
        <v>59</v>
      </c>
      <c r="Q336" t="s">
        <v>59</v>
      </c>
      <c r="R336" t="s">
        <v>59</v>
      </c>
      <c r="S336" t="s">
        <v>59</v>
      </c>
      <c r="T336" t="s">
        <v>59</v>
      </c>
      <c r="U336" t="s">
        <v>60</v>
      </c>
      <c r="V336" t="s">
        <v>59</v>
      </c>
      <c r="W336" t="s">
        <v>59</v>
      </c>
      <c r="X336" t="s">
        <v>59</v>
      </c>
      <c r="Y336" t="s">
        <v>59</v>
      </c>
      <c r="Z336" t="s">
        <v>59</v>
      </c>
      <c r="AA336" t="s">
        <v>60</v>
      </c>
      <c r="AB336" t="s">
        <v>59</v>
      </c>
      <c r="AC336" t="s">
        <v>59</v>
      </c>
      <c r="AD336" t="s">
        <v>59</v>
      </c>
      <c r="AE336" t="s">
        <v>59</v>
      </c>
      <c r="AF336" t="s">
        <v>59</v>
      </c>
      <c r="AG336" t="s">
        <v>59</v>
      </c>
      <c r="AH336" t="s">
        <v>61</v>
      </c>
      <c r="AI336" t="s">
        <v>61</v>
      </c>
      <c r="AJ336" t="s">
        <v>59</v>
      </c>
      <c r="AK336" t="s">
        <v>59</v>
      </c>
      <c r="AL336" t="s">
        <v>60</v>
      </c>
      <c r="AM336" t="s">
        <v>59</v>
      </c>
      <c r="AN336" t="s">
        <v>59</v>
      </c>
      <c r="AO336" t="s">
        <v>59</v>
      </c>
      <c r="AP336" t="s">
        <v>783</v>
      </c>
      <c r="AQ336" t="s">
        <v>935</v>
      </c>
      <c r="AR336" t="s">
        <v>64</v>
      </c>
      <c r="AS336" t="s">
        <v>249</v>
      </c>
      <c r="AT336" t="s">
        <v>404</v>
      </c>
      <c r="AU336" t="s">
        <v>219</v>
      </c>
      <c r="AW336" s="4">
        <f t="shared" si="178"/>
        <v>6</v>
      </c>
      <c r="AX336" s="4">
        <f t="shared" si="179"/>
        <v>4</v>
      </c>
      <c r="AY336" s="4">
        <f t="shared" si="180"/>
        <v>4</v>
      </c>
      <c r="AZ336" s="4">
        <f t="shared" si="181"/>
        <v>2</v>
      </c>
      <c r="BA336" s="4">
        <f t="shared" si="182"/>
        <v>4</v>
      </c>
      <c r="BB336" s="4">
        <f t="shared" si="183"/>
        <v>4</v>
      </c>
      <c r="BC336" s="4">
        <f t="shared" si="184"/>
        <v>4</v>
      </c>
      <c r="BD336" s="4">
        <f t="shared" si="185"/>
        <v>2</v>
      </c>
      <c r="BE336" s="4" t="str">
        <f t="shared" si="186"/>
        <v>0</v>
      </c>
      <c r="BF336" s="4">
        <f t="shared" si="187"/>
        <v>2</v>
      </c>
      <c r="BG336" s="4">
        <f t="shared" si="188"/>
        <v>4</v>
      </c>
      <c r="BH336" s="4">
        <f t="shared" si="189"/>
        <v>4</v>
      </c>
      <c r="BI336" s="4">
        <f t="shared" si="190"/>
        <v>4</v>
      </c>
      <c r="BJ336" s="4">
        <f t="shared" si="191"/>
        <v>2</v>
      </c>
      <c r="BK336" s="4" t="str">
        <f t="shared" si="192"/>
        <v>0</v>
      </c>
      <c r="BL336" s="4">
        <f t="shared" si="193"/>
        <v>2</v>
      </c>
      <c r="BM336" s="4">
        <f t="shared" si="194"/>
        <v>4</v>
      </c>
      <c r="BN336" s="4">
        <f t="shared" si="195"/>
        <v>4</v>
      </c>
      <c r="BO336" s="4">
        <f t="shared" si="196"/>
        <v>4</v>
      </c>
      <c r="BP336" s="4">
        <f t="shared" si="197"/>
        <v>4</v>
      </c>
      <c r="BQ336" s="4">
        <f t="shared" si="198"/>
        <v>6</v>
      </c>
      <c r="BR336" s="4">
        <f t="shared" si="199"/>
        <v>4</v>
      </c>
      <c r="BS336" s="4">
        <f t="shared" si="200"/>
        <v>4</v>
      </c>
      <c r="BT336" s="4">
        <f t="shared" si="201"/>
        <v>4</v>
      </c>
      <c r="BU336" s="4">
        <f t="shared" si="202"/>
        <v>4</v>
      </c>
      <c r="BV336" s="4" t="str">
        <f t="shared" si="203"/>
        <v>0</v>
      </c>
      <c r="BW336" s="4">
        <f t="shared" si="204"/>
        <v>6</v>
      </c>
      <c r="BX336" s="4">
        <f t="shared" si="205"/>
        <v>0</v>
      </c>
      <c r="BY336" s="4">
        <f t="shared" si="206"/>
        <v>0</v>
      </c>
      <c r="BZ336" s="37">
        <f t="shared" si="207"/>
        <v>92</v>
      </c>
      <c r="CA336" s="32" t="str">
        <f>VLOOKUP(J:J,'Agent wise'!A:C,3,0)</f>
        <v>Amal</v>
      </c>
      <c r="CB336" s="32">
        <f t="shared" si="208"/>
        <v>45936</v>
      </c>
      <c r="CC336" t="str">
        <f t="shared" si="209"/>
        <v>Good</v>
      </c>
      <c r="CE336" s="32"/>
      <c r="CJ336">
        <f t="shared" si="210"/>
        <v>6</v>
      </c>
      <c r="CK336">
        <f t="shared" si="211"/>
        <v>10</v>
      </c>
      <c r="CL336">
        <f t="shared" si="212"/>
        <v>2025</v>
      </c>
    </row>
    <row r="337" spans="1:90" ht="15" customHeight="1" x14ac:dyDescent="0.35">
      <c r="A337" s="40">
        <v>45818.796770833331</v>
      </c>
      <c r="B337" t="s">
        <v>250</v>
      </c>
      <c r="C337" t="s">
        <v>214</v>
      </c>
      <c r="D337" t="s">
        <v>251</v>
      </c>
      <c r="E337" s="32">
        <v>45936</v>
      </c>
      <c r="F337" t="s">
        <v>222</v>
      </c>
      <c r="G337" s="2">
        <v>45787</v>
      </c>
      <c r="H337">
        <v>9994555665</v>
      </c>
      <c r="I337">
        <v>130</v>
      </c>
      <c r="J337" t="s">
        <v>568</v>
      </c>
      <c r="K337" t="s">
        <v>71</v>
      </c>
      <c r="L337" t="s">
        <v>72</v>
      </c>
      <c r="M337" t="s">
        <v>59</v>
      </c>
      <c r="N337" t="s">
        <v>59</v>
      </c>
      <c r="O337" t="s">
        <v>59</v>
      </c>
      <c r="P337" t="s">
        <v>59</v>
      </c>
      <c r="Q337" t="s">
        <v>59</v>
      </c>
      <c r="R337" t="s">
        <v>59</v>
      </c>
      <c r="S337" t="s">
        <v>59</v>
      </c>
      <c r="T337" t="s">
        <v>59</v>
      </c>
      <c r="U337" t="s">
        <v>60</v>
      </c>
      <c r="V337" t="s">
        <v>59</v>
      </c>
      <c r="W337" t="s">
        <v>59</v>
      </c>
      <c r="X337" t="s">
        <v>59</v>
      </c>
      <c r="Y337" t="s">
        <v>59</v>
      </c>
      <c r="Z337" t="s">
        <v>59</v>
      </c>
      <c r="AA337" t="s">
        <v>60</v>
      </c>
      <c r="AB337" t="s">
        <v>59</v>
      </c>
      <c r="AC337" t="s">
        <v>59</v>
      </c>
      <c r="AD337" t="s">
        <v>59</v>
      </c>
      <c r="AE337" t="s">
        <v>59</v>
      </c>
      <c r="AF337" t="s">
        <v>59</v>
      </c>
      <c r="AG337" t="s">
        <v>59</v>
      </c>
      <c r="AH337" t="s">
        <v>61</v>
      </c>
      <c r="AI337" t="s">
        <v>61</v>
      </c>
      <c r="AJ337" t="s">
        <v>59</v>
      </c>
      <c r="AK337" t="s">
        <v>59</v>
      </c>
      <c r="AL337" t="s">
        <v>59</v>
      </c>
      <c r="AM337" t="s">
        <v>59</v>
      </c>
      <c r="AN337" t="s">
        <v>59</v>
      </c>
      <c r="AO337" t="s">
        <v>59</v>
      </c>
      <c r="AP337" t="s">
        <v>936</v>
      </c>
      <c r="AQ337" t="s">
        <v>937</v>
      </c>
      <c r="AR337" t="s">
        <v>226</v>
      </c>
      <c r="AS337" t="s">
        <v>938</v>
      </c>
      <c r="AT337" t="s">
        <v>404</v>
      </c>
      <c r="AU337" t="s">
        <v>219</v>
      </c>
      <c r="AW337" s="4">
        <f t="shared" si="178"/>
        <v>6</v>
      </c>
      <c r="AX337" s="4">
        <f t="shared" si="179"/>
        <v>4</v>
      </c>
      <c r="AY337" s="4">
        <f t="shared" si="180"/>
        <v>4</v>
      </c>
      <c r="AZ337" s="4">
        <f t="shared" si="181"/>
        <v>2</v>
      </c>
      <c r="BA337" s="4">
        <f t="shared" si="182"/>
        <v>4</v>
      </c>
      <c r="BB337" s="4">
        <f t="shared" si="183"/>
        <v>4</v>
      </c>
      <c r="BC337" s="4">
        <f t="shared" si="184"/>
        <v>4</v>
      </c>
      <c r="BD337" s="4">
        <f t="shared" si="185"/>
        <v>2</v>
      </c>
      <c r="BE337" s="4" t="str">
        <f t="shared" si="186"/>
        <v>0</v>
      </c>
      <c r="BF337" s="4">
        <f t="shared" si="187"/>
        <v>2</v>
      </c>
      <c r="BG337" s="4">
        <f t="shared" si="188"/>
        <v>4</v>
      </c>
      <c r="BH337" s="4">
        <f t="shared" si="189"/>
        <v>4</v>
      </c>
      <c r="BI337" s="4">
        <f t="shared" si="190"/>
        <v>4</v>
      </c>
      <c r="BJ337" s="4">
        <f t="shared" si="191"/>
        <v>2</v>
      </c>
      <c r="BK337" s="4" t="str">
        <f t="shared" si="192"/>
        <v>0</v>
      </c>
      <c r="BL337" s="4">
        <f t="shared" si="193"/>
        <v>2</v>
      </c>
      <c r="BM337" s="4">
        <f t="shared" si="194"/>
        <v>4</v>
      </c>
      <c r="BN337" s="4">
        <f t="shared" si="195"/>
        <v>4</v>
      </c>
      <c r="BO337" s="4">
        <f t="shared" si="196"/>
        <v>4</v>
      </c>
      <c r="BP337" s="4">
        <f t="shared" si="197"/>
        <v>4</v>
      </c>
      <c r="BQ337" s="4">
        <f t="shared" si="198"/>
        <v>6</v>
      </c>
      <c r="BR337" s="4">
        <f t="shared" si="199"/>
        <v>4</v>
      </c>
      <c r="BS337" s="4">
        <f t="shared" si="200"/>
        <v>4</v>
      </c>
      <c r="BT337" s="4">
        <f t="shared" si="201"/>
        <v>4</v>
      </c>
      <c r="BU337" s="4">
        <f t="shared" si="202"/>
        <v>4</v>
      </c>
      <c r="BV337" s="4">
        <f t="shared" si="203"/>
        <v>0</v>
      </c>
      <c r="BW337" s="4">
        <f t="shared" si="204"/>
        <v>6</v>
      </c>
      <c r="BX337" s="4">
        <f t="shared" si="205"/>
        <v>0</v>
      </c>
      <c r="BY337" s="4">
        <f t="shared" si="206"/>
        <v>0</v>
      </c>
      <c r="BZ337" s="37">
        <f t="shared" si="207"/>
        <v>92</v>
      </c>
      <c r="CA337" s="32" t="str">
        <f>VLOOKUP(J:J,'Agent wise'!A:C,3,0)</f>
        <v>Amal</v>
      </c>
      <c r="CB337" s="32">
        <f t="shared" si="208"/>
        <v>45936</v>
      </c>
      <c r="CC337" t="str">
        <f t="shared" si="209"/>
        <v>Good</v>
      </c>
      <c r="CE337" s="32"/>
      <c r="CJ337">
        <f t="shared" si="210"/>
        <v>6</v>
      </c>
      <c r="CK337">
        <f t="shared" si="211"/>
        <v>10</v>
      </c>
      <c r="CL337">
        <f t="shared" si="212"/>
        <v>2025</v>
      </c>
    </row>
    <row r="338" spans="1:90" ht="15" customHeight="1" x14ac:dyDescent="0.35">
      <c r="A338" s="40">
        <v>45818.799050925933</v>
      </c>
      <c r="B338" t="s">
        <v>100</v>
      </c>
      <c r="C338" t="s">
        <v>214</v>
      </c>
      <c r="D338" t="s">
        <v>101</v>
      </c>
      <c r="E338" s="32">
        <v>45936</v>
      </c>
      <c r="F338" t="s">
        <v>90</v>
      </c>
      <c r="G338" s="2">
        <v>45787</v>
      </c>
      <c r="H338">
        <v>9840463454</v>
      </c>
      <c r="I338">
        <v>131</v>
      </c>
      <c r="J338" t="s">
        <v>269</v>
      </c>
      <c r="K338" t="s">
        <v>71</v>
      </c>
      <c r="L338" t="s">
        <v>72</v>
      </c>
      <c r="M338" t="s">
        <v>59</v>
      </c>
      <c r="N338" t="s">
        <v>59</v>
      </c>
      <c r="O338" t="s">
        <v>59</v>
      </c>
      <c r="P338" t="s">
        <v>59</v>
      </c>
      <c r="Q338" t="s">
        <v>59</v>
      </c>
      <c r="R338" t="s">
        <v>60</v>
      </c>
      <c r="S338" t="s">
        <v>59</v>
      </c>
      <c r="T338" t="s">
        <v>59</v>
      </c>
      <c r="U338" t="s">
        <v>59</v>
      </c>
      <c r="V338" t="s">
        <v>59</v>
      </c>
      <c r="W338" t="s">
        <v>59</v>
      </c>
      <c r="X338" t="s">
        <v>59</v>
      </c>
      <c r="Y338" t="s">
        <v>59</v>
      </c>
      <c r="Z338" t="s">
        <v>59</v>
      </c>
      <c r="AA338" t="s">
        <v>60</v>
      </c>
      <c r="AB338" t="s">
        <v>59</v>
      </c>
      <c r="AC338" t="s">
        <v>59</v>
      </c>
      <c r="AD338" t="s">
        <v>59</v>
      </c>
      <c r="AE338" t="s">
        <v>59</v>
      </c>
      <c r="AF338" t="s">
        <v>59</v>
      </c>
      <c r="AG338" t="s">
        <v>60</v>
      </c>
      <c r="AH338" t="s">
        <v>59</v>
      </c>
      <c r="AI338" t="s">
        <v>61</v>
      </c>
      <c r="AJ338" t="s">
        <v>59</v>
      </c>
      <c r="AK338" t="s">
        <v>59</v>
      </c>
      <c r="AL338" t="s">
        <v>59</v>
      </c>
      <c r="AM338" t="s">
        <v>59</v>
      </c>
      <c r="AN338" t="s">
        <v>59</v>
      </c>
      <c r="AO338" t="s">
        <v>59</v>
      </c>
      <c r="AP338" t="s">
        <v>939</v>
      </c>
      <c r="AQ338" t="s">
        <v>939</v>
      </c>
      <c r="AR338" t="s">
        <v>64</v>
      </c>
      <c r="AS338" t="s">
        <v>94</v>
      </c>
      <c r="AT338" t="s">
        <v>597</v>
      </c>
      <c r="AU338" t="s">
        <v>219</v>
      </c>
      <c r="AW338" s="4">
        <f t="shared" si="178"/>
        <v>6</v>
      </c>
      <c r="AX338" s="4">
        <f t="shared" si="179"/>
        <v>4</v>
      </c>
      <c r="AY338" s="4">
        <f t="shared" si="180"/>
        <v>4</v>
      </c>
      <c r="AZ338" s="4">
        <f t="shared" si="181"/>
        <v>2</v>
      </c>
      <c r="BA338" s="4">
        <f t="shared" si="182"/>
        <v>4</v>
      </c>
      <c r="BB338" s="4" t="str">
        <f t="shared" si="183"/>
        <v>0</v>
      </c>
      <c r="BC338" s="4">
        <f t="shared" si="184"/>
        <v>4</v>
      </c>
      <c r="BD338" s="4">
        <f t="shared" si="185"/>
        <v>2</v>
      </c>
      <c r="BE338" s="4">
        <f t="shared" si="186"/>
        <v>4</v>
      </c>
      <c r="BF338" s="4">
        <f t="shared" si="187"/>
        <v>2</v>
      </c>
      <c r="BG338" s="4">
        <f t="shared" si="188"/>
        <v>4</v>
      </c>
      <c r="BH338" s="4">
        <f t="shared" si="189"/>
        <v>4</v>
      </c>
      <c r="BI338" s="4">
        <f t="shared" si="190"/>
        <v>4</v>
      </c>
      <c r="BJ338" s="4">
        <f t="shared" si="191"/>
        <v>2</v>
      </c>
      <c r="BK338" s="4" t="str">
        <f t="shared" si="192"/>
        <v>0</v>
      </c>
      <c r="BL338" s="4">
        <f t="shared" si="193"/>
        <v>2</v>
      </c>
      <c r="BM338" s="4">
        <f t="shared" si="194"/>
        <v>4</v>
      </c>
      <c r="BN338" s="4">
        <f t="shared" si="195"/>
        <v>4</v>
      </c>
      <c r="BO338" s="4">
        <f t="shared" si="196"/>
        <v>4</v>
      </c>
      <c r="BP338" s="4">
        <f t="shared" si="197"/>
        <v>4</v>
      </c>
      <c r="BQ338" s="4" t="str">
        <f t="shared" si="198"/>
        <v>0</v>
      </c>
      <c r="BR338" s="4">
        <f t="shared" si="199"/>
        <v>4</v>
      </c>
      <c r="BS338" s="4">
        <f t="shared" si="200"/>
        <v>4</v>
      </c>
      <c r="BT338" s="4">
        <f t="shared" si="201"/>
        <v>4</v>
      </c>
      <c r="BU338" s="4">
        <f t="shared" si="202"/>
        <v>4</v>
      </c>
      <c r="BV338" s="4">
        <f t="shared" si="203"/>
        <v>0</v>
      </c>
      <c r="BW338" s="4">
        <f t="shared" si="204"/>
        <v>6</v>
      </c>
      <c r="BX338" s="4">
        <f t="shared" si="205"/>
        <v>0</v>
      </c>
      <c r="BY338" s="4">
        <f t="shared" si="206"/>
        <v>0</v>
      </c>
      <c r="BZ338" s="37">
        <f t="shared" si="207"/>
        <v>86</v>
      </c>
      <c r="CA338" s="32" t="str">
        <f>VLOOKUP(J:J,'Agent wise'!A:C,3,0)</f>
        <v xml:space="preserve">Shiny </v>
      </c>
      <c r="CB338" s="32">
        <f t="shared" si="208"/>
        <v>45936</v>
      </c>
      <c r="CC338" t="str">
        <f t="shared" si="209"/>
        <v>Average</v>
      </c>
      <c r="CE338" s="32"/>
      <c r="CJ338">
        <f t="shared" si="210"/>
        <v>6</v>
      </c>
      <c r="CK338">
        <f t="shared" si="211"/>
        <v>10</v>
      </c>
      <c r="CL338">
        <f t="shared" si="212"/>
        <v>2025</v>
      </c>
    </row>
    <row r="339" spans="1:90" ht="15" customHeight="1" x14ac:dyDescent="0.35">
      <c r="A339" s="40">
        <v>45818.799583333333</v>
      </c>
      <c r="B339" t="s">
        <v>250</v>
      </c>
      <c r="C339" t="s">
        <v>214</v>
      </c>
      <c r="D339" t="s">
        <v>251</v>
      </c>
      <c r="E339" s="32">
        <v>45936</v>
      </c>
      <c r="F339" t="s">
        <v>222</v>
      </c>
      <c r="G339" s="2">
        <v>45787</v>
      </c>
      <c r="H339">
        <v>8089165052</v>
      </c>
      <c r="I339">
        <v>137</v>
      </c>
      <c r="J339" t="s">
        <v>234</v>
      </c>
      <c r="K339" t="s">
        <v>57</v>
      </c>
      <c r="L339" t="s">
        <v>58</v>
      </c>
      <c r="M339" t="s">
        <v>59</v>
      </c>
      <c r="N339" t="s">
        <v>59</v>
      </c>
      <c r="O339" t="s">
        <v>59</v>
      </c>
      <c r="P339" t="s">
        <v>59</v>
      </c>
      <c r="Q339" t="s">
        <v>59</v>
      </c>
      <c r="R339" t="s">
        <v>59</v>
      </c>
      <c r="S339" t="s">
        <v>59</v>
      </c>
      <c r="T339" t="s">
        <v>59</v>
      </c>
      <c r="U339" t="s">
        <v>60</v>
      </c>
      <c r="V339" t="s">
        <v>59</v>
      </c>
      <c r="W339" t="s">
        <v>59</v>
      </c>
      <c r="X339" t="s">
        <v>59</v>
      </c>
      <c r="Y339" t="s">
        <v>59</v>
      </c>
      <c r="Z339" t="s">
        <v>59</v>
      </c>
      <c r="AA339" t="s">
        <v>59</v>
      </c>
      <c r="AB339" t="s">
        <v>60</v>
      </c>
      <c r="AC339" t="s">
        <v>59</v>
      </c>
      <c r="AD339" t="s">
        <v>59</v>
      </c>
      <c r="AE339" t="s">
        <v>59</v>
      </c>
      <c r="AF339" t="s">
        <v>59</v>
      </c>
      <c r="AG339" t="s">
        <v>59</v>
      </c>
      <c r="AH339" t="s">
        <v>61</v>
      </c>
      <c r="AI339" t="s">
        <v>61</v>
      </c>
      <c r="AJ339" t="s">
        <v>59</v>
      </c>
      <c r="AK339" t="s">
        <v>59</v>
      </c>
      <c r="AL339" t="s">
        <v>60</v>
      </c>
      <c r="AM339" t="s">
        <v>59</v>
      </c>
      <c r="AN339" t="s">
        <v>59</v>
      </c>
      <c r="AO339" t="s">
        <v>59</v>
      </c>
      <c r="AP339" t="s">
        <v>467</v>
      </c>
      <c r="AQ339" t="s">
        <v>940</v>
      </c>
      <c r="AR339" t="s">
        <v>226</v>
      </c>
      <c r="AS339" t="s">
        <v>395</v>
      </c>
      <c r="AT339" t="s">
        <v>404</v>
      </c>
      <c r="AU339" t="s">
        <v>219</v>
      </c>
      <c r="AW339" s="4">
        <f t="shared" si="178"/>
        <v>6</v>
      </c>
      <c r="AX339" s="4">
        <f t="shared" si="179"/>
        <v>4</v>
      </c>
      <c r="AY339" s="4">
        <f t="shared" si="180"/>
        <v>4</v>
      </c>
      <c r="AZ339" s="4">
        <f t="shared" si="181"/>
        <v>2</v>
      </c>
      <c r="BA339" s="4">
        <f t="shared" si="182"/>
        <v>4</v>
      </c>
      <c r="BB339" s="4">
        <f t="shared" si="183"/>
        <v>4</v>
      </c>
      <c r="BC339" s="4">
        <f t="shared" si="184"/>
        <v>4</v>
      </c>
      <c r="BD339" s="4">
        <f t="shared" si="185"/>
        <v>2</v>
      </c>
      <c r="BE339" s="4" t="str">
        <f t="shared" si="186"/>
        <v>0</v>
      </c>
      <c r="BF339" s="4">
        <f t="shared" si="187"/>
        <v>2</v>
      </c>
      <c r="BG339" s="4">
        <f t="shared" si="188"/>
        <v>4</v>
      </c>
      <c r="BH339" s="4">
        <f t="shared" si="189"/>
        <v>4</v>
      </c>
      <c r="BI339" s="4">
        <f t="shared" si="190"/>
        <v>4</v>
      </c>
      <c r="BJ339" s="4">
        <f t="shared" si="191"/>
        <v>2</v>
      </c>
      <c r="BK339" s="4">
        <f t="shared" si="192"/>
        <v>4</v>
      </c>
      <c r="BL339" s="4" t="str">
        <f t="shared" si="193"/>
        <v>0</v>
      </c>
      <c r="BM339" s="4">
        <f t="shared" si="194"/>
        <v>4</v>
      </c>
      <c r="BN339" s="4">
        <f t="shared" si="195"/>
        <v>4</v>
      </c>
      <c r="BO339" s="4">
        <f t="shared" si="196"/>
        <v>4</v>
      </c>
      <c r="BP339" s="4">
        <f t="shared" si="197"/>
        <v>4</v>
      </c>
      <c r="BQ339" s="4">
        <f t="shared" si="198"/>
        <v>6</v>
      </c>
      <c r="BR339" s="4">
        <f t="shared" si="199"/>
        <v>4</v>
      </c>
      <c r="BS339" s="4">
        <f t="shared" si="200"/>
        <v>4</v>
      </c>
      <c r="BT339" s="4">
        <f t="shared" si="201"/>
        <v>4</v>
      </c>
      <c r="BU339" s="4">
        <f t="shared" si="202"/>
        <v>4</v>
      </c>
      <c r="BV339" s="4" t="str">
        <f t="shared" si="203"/>
        <v>0</v>
      </c>
      <c r="BW339" s="4">
        <f t="shared" si="204"/>
        <v>6</v>
      </c>
      <c r="BX339" s="4">
        <f t="shared" si="205"/>
        <v>0</v>
      </c>
      <c r="BY339" s="4">
        <f t="shared" si="206"/>
        <v>0</v>
      </c>
      <c r="BZ339" s="37">
        <f t="shared" si="207"/>
        <v>94</v>
      </c>
      <c r="CA339" s="32" t="str">
        <f>VLOOKUP(J:J,'Agent wise'!A:C,3,0)</f>
        <v>Amal</v>
      </c>
      <c r="CB339" s="32">
        <f t="shared" si="208"/>
        <v>45936</v>
      </c>
      <c r="CC339" t="str">
        <f t="shared" si="209"/>
        <v>Good</v>
      </c>
      <c r="CE339" s="32"/>
      <c r="CJ339">
        <f t="shared" si="210"/>
        <v>6</v>
      </c>
      <c r="CK339">
        <f t="shared" si="211"/>
        <v>10</v>
      </c>
      <c r="CL339">
        <f t="shared" si="212"/>
        <v>2025</v>
      </c>
    </row>
    <row r="340" spans="1:90" ht="15" customHeight="1" x14ac:dyDescent="0.35">
      <c r="A340" s="40">
        <v>45818.803611111107</v>
      </c>
      <c r="B340" t="s">
        <v>250</v>
      </c>
      <c r="C340" t="s">
        <v>214</v>
      </c>
      <c r="D340" t="s">
        <v>251</v>
      </c>
      <c r="E340" s="32">
        <v>45936</v>
      </c>
      <c r="F340" t="s">
        <v>222</v>
      </c>
      <c r="G340" s="2">
        <v>45787</v>
      </c>
      <c r="H340">
        <v>9282412529</v>
      </c>
      <c r="I340">
        <v>148</v>
      </c>
      <c r="J340" t="s">
        <v>307</v>
      </c>
      <c r="K340" t="s">
        <v>86</v>
      </c>
      <c r="L340" t="s">
        <v>58</v>
      </c>
      <c r="M340" t="s">
        <v>59</v>
      </c>
      <c r="N340" t="s">
        <v>59</v>
      </c>
      <c r="O340" t="s">
        <v>60</v>
      </c>
      <c r="P340" t="s">
        <v>59</v>
      </c>
      <c r="Q340" t="s">
        <v>59</v>
      </c>
      <c r="R340" t="s">
        <v>59</v>
      </c>
      <c r="S340" t="s">
        <v>59</v>
      </c>
      <c r="T340" t="s">
        <v>59</v>
      </c>
      <c r="U340" t="s">
        <v>60</v>
      </c>
      <c r="V340" t="s">
        <v>59</v>
      </c>
      <c r="W340" t="s">
        <v>59</v>
      </c>
      <c r="X340" t="s">
        <v>59</v>
      </c>
      <c r="Y340" t="s">
        <v>59</v>
      </c>
      <c r="Z340" t="s">
        <v>59</v>
      </c>
      <c r="AA340" t="s">
        <v>59</v>
      </c>
      <c r="AB340" t="s">
        <v>59</v>
      </c>
      <c r="AC340" t="s">
        <v>59</v>
      </c>
      <c r="AD340" t="s">
        <v>59</v>
      </c>
      <c r="AE340" t="s">
        <v>59</v>
      </c>
      <c r="AF340" t="s">
        <v>59</v>
      </c>
      <c r="AG340" t="s">
        <v>59</v>
      </c>
      <c r="AH340" t="s">
        <v>61</v>
      </c>
      <c r="AI340" t="s">
        <v>61</v>
      </c>
      <c r="AJ340" t="s">
        <v>59</v>
      </c>
      <c r="AK340" t="s">
        <v>59</v>
      </c>
      <c r="AL340" t="s">
        <v>60</v>
      </c>
      <c r="AM340" t="s">
        <v>59</v>
      </c>
      <c r="AN340" t="s">
        <v>59</v>
      </c>
      <c r="AO340" t="s">
        <v>59</v>
      </c>
      <c r="AP340" t="s">
        <v>270</v>
      </c>
      <c r="AQ340" t="s">
        <v>941</v>
      </c>
      <c r="AR340" t="s">
        <v>64</v>
      </c>
      <c r="AS340" t="s">
        <v>942</v>
      </c>
      <c r="AT340" t="s">
        <v>404</v>
      </c>
      <c r="AU340" t="s">
        <v>219</v>
      </c>
      <c r="AW340" s="4">
        <f t="shared" si="178"/>
        <v>6</v>
      </c>
      <c r="AX340" s="4">
        <f t="shared" si="179"/>
        <v>4</v>
      </c>
      <c r="AY340" s="4" t="str">
        <f t="shared" si="180"/>
        <v>0</v>
      </c>
      <c r="AZ340" s="4">
        <f t="shared" si="181"/>
        <v>2</v>
      </c>
      <c r="BA340" s="4">
        <f t="shared" si="182"/>
        <v>4</v>
      </c>
      <c r="BB340" s="4">
        <f t="shared" si="183"/>
        <v>4</v>
      </c>
      <c r="BC340" s="4">
        <f t="shared" si="184"/>
        <v>4</v>
      </c>
      <c r="BD340" s="4">
        <f t="shared" si="185"/>
        <v>2</v>
      </c>
      <c r="BE340" s="4" t="str">
        <f t="shared" si="186"/>
        <v>0</v>
      </c>
      <c r="BF340" s="4">
        <f t="shared" si="187"/>
        <v>2</v>
      </c>
      <c r="BG340" s="4">
        <f t="shared" si="188"/>
        <v>4</v>
      </c>
      <c r="BH340" s="4">
        <f t="shared" si="189"/>
        <v>4</v>
      </c>
      <c r="BI340" s="4">
        <f t="shared" si="190"/>
        <v>4</v>
      </c>
      <c r="BJ340" s="4">
        <f t="shared" si="191"/>
        <v>2</v>
      </c>
      <c r="BK340" s="4">
        <f t="shared" si="192"/>
        <v>4</v>
      </c>
      <c r="BL340" s="4">
        <f t="shared" si="193"/>
        <v>2</v>
      </c>
      <c r="BM340" s="4">
        <f t="shared" si="194"/>
        <v>4</v>
      </c>
      <c r="BN340" s="4">
        <f t="shared" si="195"/>
        <v>4</v>
      </c>
      <c r="BO340" s="4">
        <f t="shared" si="196"/>
        <v>4</v>
      </c>
      <c r="BP340" s="4">
        <f t="shared" si="197"/>
        <v>4</v>
      </c>
      <c r="BQ340" s="4">
        <f t="shared" si="198"/>
        <v>6</v>
      </c>
      <c r="BR340" s="4">
        <f t="shared" si="199"/>
        <v>4</v>
      </c>
      <c r="BS340" s="4">
        <f t="shared" si="200"/>
        <v>4</v>
      </c>
      <c r="BT340" s="4">
        <f t="shared" si="201"/>
        <v>4</v>
      </c>
      <c r="BU340" s="4">
        <f t="shared" si="202"/>
        <v>4</v>
      </c>
      <c r="BV340" s="4" t="str">
        <f t="shared" si="203"/>
        <v>0</v>
      </c>
      <c r="BW340" s="4">
        <f t="shared" si="204"/>
        <v>6</v>
      </c>
      <c r="BX340" s="4">
        <f t="shared" si="205"/>
        <v>0</v>
      </c>
      <c r="BY340" s="4">
        <f t="shared" si="206"/>
        <v>0</v>
      </c>
      <c r="BZ340" s="37">
        <f t="shared" si="207"/>
        <v>92</v>
      </c>
      <c r="CA340" s="32" t="str">
        <f>VLOOKUP(J:J,'Agent wise'!A:C,3,0)</f>
        <v>Amal</v>
      </c>
      <c r="CB340" s="32">
        <f t="shared" si="208"/>
        <v>45936</v>
      </c>
      <c r="CC340" t="str">
        <f t="shared" si="209"/>
        <v>Good</v>
      </c>
      <c r="CE340" s="32"/>
      <c r="CJ340">
        <f t="shared" si="210"/>
        <v>6</v>
      </c>
      <c r="CK340">
        <f t="shared" si="211"/>
        <v>10</v>
      </c>
      <c r="CL340">
        <f t="shared" si="212"/>
        <v>2025</v>
      </c>
    </row>
    <row r="341" spans="1:90" ht="15" customHeight="1" x14ac:dyDescent="0.35">
      <c r="A341" s="40">
        <v>45818.80568287037</v>
      </c>
      <c r="B341" t="s">
        <v>250</v>
      </c>
      <c r="C341" t="s">
        <v>214</v>
      </c>
      <c r="D341" t="s">
        <v>251</v>
      </c>
      <c r="E341" s="32">
        <v>45936</v>
      </c>
      <c r="F341" t="s">
        <v>222</v>
      </c>
      <c r="G341" s="2">
        <v>45787</v>
      </c>
      <c r="H341">
        <v>9388689075</v>
      </c>
      <c r="I341">
        <v>150</v>
      </c>
      <c r="J341" t="s">
        <v>246</v>
      </c>
      <c r="K341" t="s">
        <v>57</v>
      </c>
      <c r="L341" t="s">
        <v>58</v>
      </c>
      <c r="M341" t="s">
        <v>59</v>
      </c>
      <c r="N341" t="s">
        <v>59</v>
      </c>
      <c r="O341" t="s">
        <v>59</v>
      </c>
      <c r="P341" t="s">
        <v>59</v>
      </c>
      <c r="Q341" t="s">
        <v>59</v>
      </c>
      <c r="R341" t="s">
        <v>59</v>
      </c>
      <c r="S341" t="s">
        <v>59</v>
      </c>
      <c r="T341" t="s">
        <v>59</v>
      </c>
      <c r="U341" t="s">
        <v>59</v>
      </c>
      <c r="V341" t="s">
        <v>59</v>
      </c>
      <c r="W341" t="s">
        <v>59</v>
      </c>
      <c r="X341" t="s">
        <v>59</v>
      </c>
      <c r="Y341" t="s">
        <v>59</v>
      </c>
      <c r="Z341" t="s">
        <v>59</v>
      </c>
      <c r="AA341" t="s">
        <v>59</v>
      </c>
      <c r="AB341" t="s">
        <v>59</v>
      </c>
      <c r="AC341" t="s">
        <v>59</v>
      </c>
      <c r="AD341" t="s">
        <v>59</v>
      </c>
      <c r="AE341" t="s">
        <v>59</v>
      </c>
      <c r="AF341" t="s">
        <v>59</v>
      </c>
      <c r="AG341" t="s">
        <v>59</v>
      </c>
      <c r="AH341" t="s">
        <v>61</v>
      </c>
      <c r="AI341" t="s">
        <v>61</v>
      </c>
      <c r="AJ341" t="s">
        <v>59</v>
      </c>
      <c r="AK341" t="s">
        <v>59</v>
      </c>
      <c r="AL341" t="s">
        <v>59</v>
      </c>
      <c r="AM341" t="s">
        <v>59</v>
      </c>
      <c r="AN341" t="s">
        <v>59</v>
      </c>
      <c r="AO341" t="s">
        <v>59</v>
      </c>
      <c r="AP341" t="s">
        <v>270</v>
      </c>
      <c r="AQ341" t="s">
        <v>943</v>
      </c>
      <c r="AR341" t="s">
        <v>226</v>
      </c>
      <c r="AS341" t="s">
        <v>249</v>
      </c>
      <c r="AT341" t="s">
        <v>404</v>
      </c>
      <c r="AU341" t="s">
        <v>219</v>
      </c>
      <c r="AW341" s="4">
        <f t="shared" si="178"/>
        <v>6</v>
      </c>
      <c r="AX341" s="4">
        <f t="shared" si="179"/>
        <v>4</v>
      </c>
      <c r="AY341" s="4">
        <f t="shared" si="180"/>
        <v>4</v>
      </c>
      <c r="AZ341" s="4">
        <f t="shared" si="181"/>
        <v>2</v>
      </c>
      <c r="BA341" s="4">
        <f t="shared" si="182"/>
        <v>4</v>
      </c>
      <c r="BB341" s="4">
        <f t="shared" si="183"/>
        <v>4</v>
      </c>
      <c r="BC341" s="4">
        <f t="shared" si="184"/>
        <v>4</v>
      </c>
      <c r="BD341" s="4">
        <f t="shared" si="185"/>
        <v>2</v>
      </c>
      <c r="BE341" s="4">
        <f t="shared" si="186"/>
        <v>4</v>
      </c>
      <c r="BF341" s="4">
        <f t="shared" si="187"/>
        <v>2</v>
      </c>
      <c r="BG341" s="4">
        <f t="shared" si="188"/>
        <v>4</v>
      </c>
      <c r="BH341" s="4">
        <f t="shared" si="189"/>
        <v>4</v>
      </c>
      <c r="BI341" s="4">
        <f t="shared" si="190"/>
        <v>4</v>
      </c>
      <c r="BJ341" s="4">
        <f t="shared" si="191"/>
        <v>2</v>
      </c>
      <c r="BK341" s="4">
        <f t="shared" si="192"/>
        <v>4</v>
      </c>
      <c r="BL341" s="4">
        <f t="shared" si="193"/>
        <v>2</v>
      </c>
      <c r="BM341" s="4">
        <f t="shared" si="194"/>
        <v>4</v>
      </c>
      <c r="BN341" s="4">
        <f t="shared" si="195"/>
        <v>4</v>
      </c>
      <c r="BO341" s="4">
        <f t="shared" si="196"/>
        <v>4</v>
      </c>
      <c r="BP341" s="4">
        <f t="shared" si="197"/>
        <v>4</v>
      </c>
      <c r="BQ341" s="4">
        <f t="shared" si="198"/>
        <v>6</v>
      </c>
      <c r="BR341" s="4">
        <f t="shared" si="199"/>
        <v>4</v>
      </c>
      <c r="BS341" s="4">
        <f t="shared" si="200"/>
        <v>4</v>
      </c>
      <c r="BT341" s="4">
        <f t="shared" si="201"/>
        <v>4</v>
      </c>
      <c r="BU341" s="4">
        <f t="shared" si="202"/>
        <v>4</v>
      </c>
      <c r="BV341" s="4">
        <f t="shared" si="203"/>
        <v>0</v>
      </c>
      <c r="BW341" s="4">
        <f t="shared" si="204"/>
        <v>6</v>
      </c>
      <c r="BX341" s="4">
        <f t="shared" si="205"/>
        <v>0</v>
      </c>
      <c r="BY341" s="4">
        <f t="shared" si="206"/>
        <v>0</v>
      </c>
      <c r="BZ341" s="37">
        <f t="shared" si="207"/>
        <v>100</v>
      </c>
      <c r="CA341" s="32" t="str">
        <f>VLOOKUP(J:J,'Agent wise'!A:C,3,0)</f>
        <v>Amal</v>
      </c>
      <c r="CB341" s="32">
        <f t="shared" si="208"/>
        <v>45936</v>
      </c>
      <c r="CC341" t="str">
        <f t="shared" si="209"/>
        <v>Excellent</v>
      </c>
      <c r="CE341" s="32"/>
      <c r="CJ341">
        <f t="shared" si="210"/>
        <v>6</v>
      </c>
      <c r="CK341">
        <f t="shared" si="211"/>
        <v>10</v>
      </c>
      <c r="CL341">
        <f t="shared" si="212"/>
        <v>2025</v>
      </c>
    </row>
    <row r="342" spans="1:90" ht="15" customHeight="1" x14ac:dyDescent="0.35">
      <c r="A342" s="40">
        <v>45818.806516203702</v>
      </c>
      <c r="B342" t="s">
        <v>100</v>
      </c>
      <c r="C342" t="s">
        <v>214</v>
      </c>
      <c r="D342" t="s">
        <v>101</v>
      </c>
      <c r="E342" s="32">
        <v>45936</v>
      </c>
      <c r="F342" t="s">
        <v>90</v>
      </c>
      <c r="G342" s="2">
        <v>45787</v>
      </c>
      <c r="H342">
        <v>9488594829</v>
      </c>
      <c r="I342">
        <v>163</v>
      </c>
      <c r="J342" t="s">
        <v>208</v>
      </c>
      <c r="K342" t="s">
        <v>71</v>
      </c>
      <c r="L342" t="s">
        <v>72</v>
      </c>
      <c r="M342" t="s">
        <v>59</v>
      </c>
      <c r="N342" t="s">
        <v>59</v>
      </c>
      <c r="O342" t="s">
        <v>59</v>
      </c>
      <c r="P342" t="s">
        <v>59</v>
      </c>
      <c r="Q342" t="s">
        <v>59</v>
      </c>
      <c r="R342" t="s">
        <v>59</v>
      </c>
      <c r="S342" t="s">
        <v>59</v>
      </c>
      <c r="T342" t="s">
        <v>59</v>
      </c>
      <c r="U342" t="s">
        <v>59</v>
      </c>
      <c r="V342" t="s">
        <v>59</v>
      </c>
      <c r="W342" t="s">
        <v>59</v>
      </c>
      <c r="X342" t="s">
        <v>59</v>
      </c>
      <c r="Y342" t="s">
        <v>59</v>
      </c>
      <c r="Z342" t="s">
        <v>59</v>
      </c>
      <c r="AA342" t="s">
        <v>60</v>
      </c>
      <c r="AB342" t="s">
        <v>59</v>
      </c>
      <c r="AC342" t="s">
        <v>59</v>
      </c>
      <c r="AD342" t="s">
        <v>59</v>
      </c>
      <c r="AE342" t="s">
        <v>59</v>
      </c>
      <c r="AF342" t="s">
        <v>59</v>
      </c>
      <c r="AG342" t="s">
        <v>59</v>
      </c>
      <c r="AH342" t="s">
        <v>59</v>
      </c>
      <c r="AI342" t="s">
        <v>61</v>
      </c>
      <c r="AJ342" t="s">
        <v>59</v>
      </c>
      <c r="AK342" t="s">
        <v>59</v>
      </c>
      <c r="AL342" t="s">
        <v>59</v>
      </c>
      <c r="AM342" t="s">
        <v>59</v>
      </c>
      <c r="AN342" t="s">
        <v>59</v>
      </c>
      <c r="AO342" t="s">
        <v>59</v>
      </c>
      <c r="AP342" s="1" t="s">
        <v>944</v>
      </c>
      <c r="AQ342" s="1" t="s">
        <v>944</v>
      </c>
      <c r="AR342" t="s">
        <v>64</v>
      </c>
      <c r="AS342" t="s">
        <v>945</v>
      </c>
      <c r="AT342" t="s">
        <v>211</v>
      </c>
      <c r="AU342" t="s">
        <v>219</v>
      </c>
      <c r="AW342" s="4">
        <f t="shared" si="178"/>
        <v>6</v>
      </c>
      <c r="AX342" s="4">
        <f t="shared" si="179"/>
        <v>4</v>
      </c>
      <c r="AY342" s="4">
        <f t="shared" si="180"/>
        <v>4</v>
      </c>
      <c r="AZ342" s="4">
        <f t="shared" si="181"/>
        <v>2</v>
      </c>
      <c r="BA342" s="4">
        <f t="shared" si="182"/>
        <v>4</v>
      </c>
      <c r="BB342" s="4">
        <f t="shared" si="183"/>
        <v>4</v>
      </c>
      <c r="BC342" s="4">
        <f t="shared" si="184"/>
        <v>4</v>
      </c>
      <c r="BD342" s="4">
        <f t="shared" si="185"/>
        <v>2</v>
      </c>
      <c r="BE342" s="4">
        <f t="shared" si="186"/>
        <v>4</v>
      </c>
      <c r="BF342" s="4">
        <f t="shared" si="187"/>
        <v>2</v>
      </c>
      <c r="BG342" s="4">
        <f t="shared" si="188"/>
        <v>4</v>
      </c>
      <c r="BH342" s="4">
        <f t="shared" si="189"/>
        <v>4</v>
      </c>
      <c r="BI342" s="4">
        <f t="shared" si="190"/>
        <v>4</v>
      </c>
      <c r="BJ342" s="4">
        <f t="shared" si="191"/>
        <v>2</v>
      </c>
      <c r="BK342" s="4" t="str">
        <f t="shared" si="192"/>
        <v>0</v>
      </c>
      <c r="BL342" s="4">
        <f t="shared" si="193"/>
        <v>2</v>
      </c>
      <c r="BM342" s="4">
        <f t="shared" si="194"/>
        <v>4</v>
      </c>
      <c r="BN342" s="4">
        <f t="shared" si="195"/>
        <v>4</v>
      </c>
      <c r="BO342" s="4">
        <f t="shared" si="196"/>
        <v>4</v>
      </c>
      <c r="BP342" s="4">
        <f t="shared" si="197"/>
        <v>4</v>
      </c>
      <c r="BQ342" s="4">
        <f t="shared" si="198"/>
        <v>6</v>
      </c>
      <c r="BR342" s="4">
        <f t="shared" si="199"/>
        <v>4</v>
      </c>
      <c r="BS342" s="4">
        <f t="shared" si="200"/>
        <v>4</v>
      </c>
      <c r="BT342" s="4">
        <f t="shared" si="201"/>
        <v>4</v>
      </c>
      <c r="BU342" s="4">
        <f t="shared" si="202"/>
        <v>4</v>
      </c>
      <c r="BV342" s="4">
        <f t="shared" si="203"/>
        <v>0</v>
      </c>
      <c r="BW342" s="4">
        <f t="shared" si="204"/>
        <v>6</v>
      </c>
      <c r="BX342" s="4">
        <f t="shared" si="205"/>
        <v>0</v>
      </c>
      <c r="BY342" s="4">
        <f t="shared" si="206"/>
        <v>0</v>
      </c>
      <c r="BZ342" s="37">
        <f t="shared" si="207"/>
        <v>96</v>
      </c>
      <c r="CA342" s="32" t="str">
        <f>VLOOKUP(J:J,'Agent wise'!A:C,3,0)</f>
        <v>Adharsh</v>
      </c>
      <c r="CB342" s="32">
        <f t="shared" si="208"/>
        <v>45936</v>
      </c>
      <c r="CC342" t="str">
        <f t="shared" si="209"/>
        <v>Excellent</v>
      </c>
      <c r="CE342" s="32"/>
      <c r="CJ342">
        <f t="shared" si="210"/>
        <v>6</v>
      </c>
      <c r="CK342">
        <f t="shared" si="211"/>
        <v>10</v>
      </c>
      <c r="CL342">
        <f t="shared" si="212"/>
        <v>2025</v>
      </c>
    </row>
    <row r="343" spans="1:90" ht="15" customHeight="1" x14ac:dyDescent="0.35">
      <c r="A343" s="40">
        <v>45818.807986111111</v>
      </c>
      <c r="B343" t="s">
        <v>250</v>
      </c>
      <c r="C343" t="s">
        <v>214</v>
      </c>
      <c r="D343" t="s">
        <v>251</v>
      </c>
      <c r="E343" s="32">
        <v>45936</v>
      </c>
      <c r="F343" t="s">
        <v>222</v>
      </c>
      <c r="G343" s="2">
        <v>45787</v>
      </c>
      <c r="H343">
        <v>9061833313</v>
      </c>
      <c r="I343">
        <v>151</v>
      </c>
      <c r="J343" t="s">
        <v>420</v>
      </c>
      <c r="K343" t="s">
        <v>57</v>
      </c>
      <c r="L343" t="s">
        <v>58</v>
      </c>
      <c r="M343" t="s">
        <v>59</v>
      </c>
      <c r="N343" t="s">
        <v>59</v>
      </c>
      <c r="O343" t="s">
        <v>59</v>
      </c>
      <c r="P343" t="s">
        <v>59</v>
      </c>
      <c r="Q343" t="s">
        <v>59</v>
      </c>
      <c r="R343" t="s">
        <v>59</v>
      </c>
      <c r="S343" t="s">
        <v>59</v>
      </c>
      <c r="T343" t="s">
        <v>59</v>
      </c>
      <c r="U343" t="s">
        <v>59</v>
      </c>
      <c r="V343" t="s">
        <v>59</v>
      </c>
      <c r="W343" t="s">
        <v>59</v>
      </c>
      <c r="X343" t="s">
        <v>59</v>
      </c>
      <c r="Y343" t="s">
        <v>59</v>
      </c>
      <c r="Z343" t="s">
        <v>59</v>
      </c>
      <c r="AA343" t="s">
        <v>59</v>
      </c>
      <c r="AB343" t="s">
        <v>59</v>
      </c>
      <c r="AC343" t="s">
        <v>59</v>
      </c>
      <c r="AD343" t="s">
        <v>59</v>
      </c>
      <c r="AE343" t="s">
        <v>59</v>
      </c>
      <c r="AF343" t="s">
        <v>59</v>
      </c>
      <c r="AG343" t="s">
        <v>59</v>
      </c>
      <c r="AH343" t="s">
        <v>61</v>
      </c>
      <c r="AI343" t="s">
        <v>61</v>
      </c>
      <c r="AJ343" t="s">
        <v>59</v>
      </c>
      <c r="AK343" t="s">
        <v>59</v>
      </c>
      <c r="AL343" t="s">
        <v>59</v>
      </c>
      <c r="AM343" t="s">
        <v>59</v>
      </c>
      <c r="AN343" t="s">
        <v>59</v>
      </c>
      <c r="AO343" t="s">
        <v>59</v>
      </c>
      <c r="AP343" t="s">
        <v>270</v>
      </c>
      <c r="AQ343" t="s">
        <v>946</v>
      </c>
      <c r="AR343" t="s">
        <v>64</v>
      </c>
      <c r="AS343" t="s">
        <v>947</v>
      </c>
      <c r="AT343" t="s">
        <v>394</v>
      </c>
      <c r="AU343" t="s">
        <v>219</v>
      </c>
      <c r="AW343" s="4">
        <f t="shared" si="178"/>
        <v>6</v>
      </c>
      <c r="AX343" s="4">
        <f t="shared" si="179"/>
        <v>4</v>
      </c>
      <c r="AY343" s="4">
        <f t="shared" si="180"/>
        <v>4</v>
      </c>
      <c r="AZ343" s="4">
        <f t="shared" si="181"/>
        <v>2</v>
      </c>
      <c r="BA343" s="4">
        <f t="shared" si="182"/>
        <v>4</v>
      </c>
      <c r="BB343" s="4">
        <f t="shared" si="183"/>
        <v>4</v>
      </c>
      <c r="BC343" s="4">
        <f t="shared" si="184"/>
        <v>4</v>
      </c>
      <c r="BD343" s="4">
        <f t="shared" si="185"/>
        <v>2</v>
      </c>
      <c r="BE343" s="4">
        <f t="shared" si="186"/>
        <v>4</v>
      </c>
      <c r="BF343" s="4">
        <f t="shared" si="187"/>
        <v>2</v>
      </c>
      <c r="BG343" s="4">
        <f t="shared" si="188"/>
        <v>4</v>
      </c>
      <c r="BH343" s="4">
        <f t="shared" si="189"/>
        <v>4</v>
      </c>
      <c r="BI343" s="4">
        <f t="shared" si="190"/>
        <v>4</v>
      </c>
      <c r="BJ343" s="4">
        <f t="shared" si="191"/>
        <v>2</v>
      </c>
      <c r="BK343" s="4">
        <f t="shared" si="192"/>
        <v>4</v>
      </c>
      <c r="BL343" s="4">
        <f t="shared" si="193"/>
        <v>2</v>
      </c>
      <c r="BM343" s="4">
        <f t="shared" si="194"/>
        <v>4</v>
      </c>
      <c r="BN343" s="4">
        <f t="shared" si="195"/>
        <v>4</v>
      </c>
      <c r="BO343" s="4">
        <f t="shared" si="196"/>
        <v>4</v>
      </c>
      <c r="BP343" s="4">
        <f t="shared" si="197"/>
        <v>4</v>
      </c>
      <c r="BQ343" s="4">
        <f t="shared" si="198"/>
        <v>6</v>
      </c>
      <c r="BR343" s="4">
        <f t="shared" si="199"/>
        <v>4</v>
      </c>
      <c r="BS343" s="4">
        <f t="shared" si="200"/>
        <v>4</v>
      </c>
      <c r="BT343" s="4">
        <f t="shared" si="201"/>
        <v>4</v>
      </c>
      <c r="BU343" s="4">
        <f t="shared" si="202"/>
        <v>4</v>
      </c>
      <c r="BV343" s="4">
        <f t="shared" si="203"/>
        <v>0</v>
      </c>
      <c r="BW343" s="4">
        <f t="shared" si="204"/>
        <v>6</v>
      </c>
      <c r="BX343" s="4">
        <f t="shared" si="205"/>
        <v>0</v>
      </c>
      <c r="BY343" s="4">
        <f t="shared" si="206"/>
        <v>0</v>
      </c>
      <c r="BZ343" s="37">
        <f t="shared" si="207"/>
        <v>100</v>
      </c>
      <c r="CA343" s="32" t="str">
        <f>VLOOKUP(J:J,'Agent wise'!A:C,3,0)</f>
        <v>Amal</v>
      </c>
      <c r="CB343" s="32">
        <f t="shared" si="208"/>
        <v>45936</v>
      </c>
      <c r="CC343" t="str">
        <f t="shared" si="209"/>
        <v>Excellent</v>
      </c>
      <c r="CE343" s="32"/>
      <c r="CJ343">
        <f t="shared" si="210"/>
        <v>6</v>
      </c>
      <c r="CK343">
        <f t="shared" si="211"/>
        <v>10</v>
      </c>
      <c r="CL343">
        <f t="shared" si="212"/>
        <v>2025</v>
      </c>
    </row>
    <row r="344" spans="1:90" ht="15" customHeight="1" x14ac:dyDescent="0.35">
      <c r="A344" s="40">
        <v>45818.809120370373</v>
      </c>
      <c r="B344" t="s">
        <v>100</v>
      </c>
      <c r="C344" t="s">
        <v>214</v>
      </c>
      <c r="D344" t="s">
        <v>101</v>
      </c>
      <c r="E344" s="32">
        <v>45936</v>
      </c>
      <c r="F344" t="s">
        <v>90</v>
      </c>
      <c r="G344" s="2">
        <v>45787</v>
      </c>
      <c r="H344">
        <v>9944468405</v>
      </c>
      <c r="I344">
        <v>140</v>
      </c>
      <c r="J344" t="s">
        <v>208</v>
      </c>
      <c r="K344" t="s">
        <v>71</v>
      </c>
      <c r="L344" t="s">
        <v>72</v>
      </c>
      <c r="M344" t="s">
        <v>59</v>
      </c>
      <c r="N344" t="s">
        <v>59</v>
      </c>
      <c r="O344" t="s">
        <v>59</v>
      </c>
      <c r="P344" t="s">
        <v>59</v>
      </c>
      <c r="Q344" t="s">
        <v>59</v>
      </c>
      <c r="R344" t="s">
        <v>60</v>
      </c>
      <c r="S344" t="s">
        <v>59</v>
      </c>
      <c r="T344" t="s">
        <v>59</v>
      </c>
      <c r="U344" t="s">
        <v>59</v>
      </c>
      <c r="V344" t="s">
        <v>59</v>
      </c>
      <c r="W344" t="s">
        <v>59</v>
      </c>
      <c r="X344" t="s">
        <v>59</v>
      </c>
      <c r="Y344" t="s">
        <v>59</v>
      </c>
      <c r="Z344" t="s">
        <v>59</v>
      </c>
      <c r="AA344" t="s">
        <v>59</v>
      </c>
      <c r="AB344" t="s">
        <v>59</v>
      </c>
      <c r="AC344" t="s">
        <v>59</v>
      </c>
      <c r="AD344" t="s">
        <v>59</v>
      </c>
      <c r="AE344" t="s">
        <v>59</v>
      </c>
      <c r="AF344" t="s">
        <v>59</v>
      </c>
      <c r="AG344" t="s">
        <v>59</v>
      </c>
      <c r="AH344" t="s">
        <v>59</v>
      </c>
      <c r="AI344" t="s">
        <v>61</v>
      </c>
      <c r="AJ344" t="s">
        <v>59</v>
      </c>
      <c r="AK344" t="s">
        <v>59</v>
      </c>
      <c r="AL344" t="s">
        <v>59</v>
      </c>
      <c r="AM344" t="s">
        <v>59</v>
      </c>
      <c r="AN344" t="s">
        <v>59</v>
      </c>
      <c r="AO344" t="s">
        <v>59</v>
      </c>
      <c r="AP344" t="s">
        <v>948</v>
      </c>
      <c r="AQ344" t="s">
        <v>948</v>
      </c>
      <c r="AR344" t="s">
        <v>64</v>
      </c>
      <c r="AS344" t="s">
        <v>210</v>
      </c>
      <c r="AT344" t="s">
        <v>211</v>
      </c>
      <c r="AU344" t="s">
        <v>219</v>
      </c>
      <c r="AW344" s="4">
        <f t="shared" si="178"/>
        <v>6</v>
      </c>
      <c r="AX344" s="4">
        <f t="shared" si="179"/>
        <v>4</v>
      </c>
      <c r="AY344" s="4">
        <f t="shared" si="180"/>
        <v>4</v>
      </c>
      <c r="AZ344" s="4">
        <f t="shared" si="181"/>
        <v>2</v>
      </c>
      <c r="BA344" s="4">
        <f t="shared" si="182"/>
        <v>4</v>
      </c>
      <c r="BB344" s="4" t="str">
        <f t="shared" si="183"/>
        <v>0</v>
      </c>
      <c r="BC344" s="4">
        <f t="shared" si="184"/>
        <v>4</v>
      </c>
      <c r="BD344" s="4">
        <f t="shared" si="185"/>
        <v>2</v>
      </c>
      <c r="BE344" s="4">
        <f t="shared" si="186"/>
        <v>4</v>
      </c>
      <c r="BF344" s="4">
        <f t="shared" si="187"/>
        <v>2</v>
      </c>
      <c r="BG344" s="4">
        <f t="shared" si="188"/>
        <v>4</v>
      </c>
      <c r="BH344" s="4">
        <f t="shared" si="189"/>
        <v>4</v>
      </c>
      <c r="BI344" s="4">
        <f t="shared" si="190"/>
        <v>4</v>
      </c>
      <c r="BJ344" s="4">
        <f t="shared" si="191"/>
        <v>2</v>
      </c>
      <c r="BK344" s="4">
        <f t="shared" si="192"/>
        <v>4</v>
      </c>
      <c r="BL344" s="4">
        <f t="shared" si="193"/>
        <v>2</v>
      </c>
      <c r="BM344" s="4">
        <f t="shared" si="194"/>
        <v>4</v>
      </c>
      <c r="BN344" s="4">
        <f t="shared" si="195"/>
        <v>4</v>
      </c>
      <c r="BO344" s="4">
        <f t="shared" si="196"/>
        <v>4</v>
      </c>
      <c r="BP344" s="4">
        <f t="shared" si="197"/>
        <v>4</v>
      </c>
      <c r="BQ344" s="4">
        <f t="shared" si="198"/>
        <v>6</v>
      </c>
      <c r="BR344" s="4">
        <f t="shared" si="199"/>
        <v>4</v>
      </c>
      <c r="BS344" s="4">
        <f t="shared" si="200"/>
        <v>4</v>
      </c>
      <c r="BT344" s="4">
        <f t="shared" si="201"/>
        <v>4</v>
      </c>
      <c r="BU344" s="4">
        <f t="shared" si="202"/>
        <v>4</v>
      </c>
      <c r="BV344" s="4">
        <f t="shared" si="203"/>
        <v>0</v>
      </c>
      <c r="BW344" s="4">
        <f t="shared" si="204"/>
        <v>6</v>
      </c>
      <c r="BX344" s="4">
        <f t="shared" si="205"/>
        <v>0</v>
      </c>
      <c r="BY344" s="4">
        <f t="shared" si="206"/>
        <v>0</v>
      </c>
      <c r="BZ344" s="37">
        <f t="shared" si="207"/>
        <v>96</v>
      </c>
      <c r="CA344" s="32" t="str">
        <f>VLOOKUP(J:J,'Agent wise'!A:C,3,0)</f>
        <v>Adharsh</v>
      </c>
      <c r="CB344" s="32">
        <f t="shared" si="208"/>
        <v>45936</v>
      </c>
      <c r="CC344" t="str">
        <f t="shared" si="209"/>
        <v>Excellent</v>
      </c>
      <c r="CE344" s="32"/>
      <c r="CJ344">
        <f t="shared" si="210"/>
        <v>6</v>
      </c>
      <c r="CK344">
        <f t="shared" si="211"/>
        <v>10</v>
      </c>
      <c r="CL344">
        <f t="shared" si="212"/>
        <v>2025</v>
      </c>
    </row>
    <row r="345" spans="1:90" ht="15" customHeight="1" x14ac:dyDescent="0.35">
      <c r="A345" s="40">
        <v>45818.811180555553</v>
      </c>
      <c r="B345" t="s">
        <v>250</v>
      </c>
      <c r="C345" t="s">
        <v>214</v>
      </c>
      <c r="D345" t="s">
        <v>251</v>
      </c>
      <c r="E345" s="32">
        <v>45936</v>
      </c>
      <c r="F345" t="s">
        <v>222</v>
      </c>
      <c r="G345" s="2">
        <v>45787</v>
      </c>
      <c r="H345">
        <v>9445652473</v>
      </c>
      <c r="I345">
        <v>167</v>
      </c>
      <c r="J345" t="s">
        <v>501</v>
      </c>
      <c r="K345" t="s">
        <v>71</v>
      </c>
      <c r="L345" t="s">
        <v>72</v>
      </c>
      <c r="M345" t="s">
        <v>59</v>
      </c>
      <c r="N345" t="s">
        <v>59</v>
      </c>
      <c r="O345" t="s">
        <v>59</v>
      </c>
      <c r="P345" t="s">
        <v>59</v>
      </c>
      <c r="Q345" t="s">
        <v>59</v>
      </c>
      <c r="R345" t="s">
        <v>60</v>
      </c>
      <c r="S345" t="s">
        <v>59</v>
      </c>
      <c r="T345" t="s">
        <v>59</v>
      </c>
      <c r="U345" t="s">
        <v>60</v>
      </c>
      <c r="V345" t="s">
        <v>59</v>
      </c>
      <c r="W345" t="s">
        <v>59</v>
      </c>
      <c r="X345" t="s">
        <v>59</v>
      </c>
      <c r="Y345" t="s">
        <v>59</v>
      </c>
      <c r="Z345" t="s">
        <v>60</v>
      </c>
      <c r="AA345" t="s">
        <v>59</v>
      </c>
      <c r="AB345" t="s">
        <v>59</v>
      </c>
      <c r="AC345" t="s">
        <v>59</v>
      </c>
      <c r="AD345" t="s">
        <v>59</v>
      </c>
      <c r="AE345" t="s">
        <v>59</v>
      </c>
      <c r="AF345" t="s">
        <v>59</v>
      </c>
      <c r="AG345" t="s">
        <v>59</v>
      </c>
      <c r="AH345" t="s">
        <v>61</v>
      </c>
      <c r="AI345" t="s">
        <v>61</v>
      </c>
      <c r="AJ345" t="s">
        <v>59</v>
      </c>
      <c r="AK345" t="s">
        <v>59</v>
      </c>
      <c r="AL345" t="s">
        <v>60</v>
      </c>
      <c r="AM345" t="s">
        <v>59</v>
      </c>
      <c r="AN345" t="s">
        <v>59</v>
      </c>
      <c r="AO345" t="s">
        <v>59</v>
      </c>
      <c r="AP345" t="s">
        <v>949</v>
      </c>
      <c r="AQ345" t="s">
        <v>950</v>
      </c>
      <c r="AR345" t="s">
        <v>226</v>
      </c>
      <c r="AS345" t="s">
        <v>249</v>
      </c>
      <c r="AT345" t="s">
        <v>404</v>
      </c>
      <c r="AU345" t="s">
        <v>387</v>
      </c>
      <c r="AW345" s="4">
        <f t="shared" si="178"/>
        <v>6</v>
      </c>
      <c r="AX345" s="4">
        <f t="shared" si="179"/>
        <v>4</v>
      </c>
      <c r="AY345" s="4">
        <f t="shared" si="180"/>
        <v>4</v>
      </c>
      <c r="AZ345" s="4">
        <f t="shared" si="181"/>
        <v>2</v>
      </c>
      <c r="BA345" s="4">
        <f t="shared" si="182"/>
        <v>4</v>
      </c>
      <c r="BB345" s="4" t="str">
        <f t="shared" si="183"/>
        <v>0</v>
      </c>
      <c r="BC345" s="4">
        <f t="shared" si="184"/>
        <v>4</v>
      </c>
      <c r="BD345" s="4">
        <f t="shared" si="185"/>
        <v>2</v>
      </c>
      <c r="BE345" s="4" t="str">
        <f t="shared" si="186"/>
        <v>0</v>
      </c>
      <c r="BF345" s="4">
        <f t="shared" si="187"/>
        <v>2</v>
      </c>
      <c r="BG345" s="4">
        <f t="shared" si="188"/>
        <v>4</v>
      </c>
      <c r="BH345" s="4">
        <f t="shared" si="189"/>
        <v>4</v>
      </c>
      <c r="BI345" s="4">
        <f t="shared" si="190"/>
        <v>4</v>
      </c>
      <c r="BJ345" s="4" t="str">
        <f t="shared" si="191"/>
        <v>0</v>
      </c>
      <c r="BK345" s="4">
        <f t="shared" si="192"/>
        <v>4</v>
      </c>
      <c r="BL345" s="4">
        <f t="shared" si="193"/>
        <v>2</v>
      </c>
      <c r="BM345" s="4">
        <f t="shared" si="194"/>
        <v>4</v>
      </c>
      <c r="BN345" s="4">
        <f t="shared" si="195"/>
        <v>4</v>
      </c>
      <c r="BO345" s="4">
        <f t="shared" si="196"/>
        <v>4</v>
      </c>
      <c r="BP345" s="4">
        <f t="shared" si="197"/>
        <v>4</v>
      </c>
      <c r="BQ345" s="4">
        <f t="shared" si="198"/>
        <v>6</v>
      </c>
      <c r="BR345" s="4">
        <f t="shared" si="199"/>
        <v>4</v>
      </c>
      <c r="BS345" s="4">
        <f t="shared" si="200"/>
        <v>4</v>
      </c>
      <c r="BT345" s="4">
        <f t="shared" si="201"/>
        <v>4</v>
      </c>
      <c r="BU345" s="4">
        <f t="shared" si="202"/>
        <v>4</v>
      </c>
      <c r="BV345" s="4" t="str">
        <f t="shared" si="203"/>
        <v>0</v>
      </c>
      <c r="BW345" s="4">
        <f t="shared" si="204"/>
        <v>6</v>
      </c>
      <c r="BX345" s="4">
        <f t="shared" si="205"/>
        <v>0</v>
      </c>
      <c r="BY345" s="4">
        <f t="shared" si="206"/>
        <v>0</v>
      </c>
      <c r="BZ345" s="37">
        <f t="shared" si="207"/>
        <v>90</v>
      </c>
      <c r="CA345" s="32" t="str">
        <f>VLOOKUP(J:J,'Agent wise'!A:C,3,0)</f>
        <v>Amal</v>
      </c>
      <c r="CB345" s="32">
        <f t="shared" si="208"/>
        <v>45936</v>
      </c>
      <c r="CC345" t="str">
        <f t="shared" si="209"/>
        <v>Good</v>
      </c>
      <c r="CE345" s="32"/>
      <c r="CJ345">
        <f t="shared" si="210"/>
        <v>6</v>
      </c>
      <c r="CK345">
        <f t="shared" si="211"/>
        <v>10</v>
      </c>
      <c r="CL345">
        <f t="shared" si="212"/>
        <v>2025</v>
      </c>
    </row>
    <row r="346" spans="1:90" ht="15" customHeight="1" x14ac:dyDescent="0.35">
      <c r="A346" s="40">
        <v>45818.814363425918</v>
      </c>
      <c r="B346" t="s">
        <v>250</v>
      </c>
      <c r="C346" t="s">
        <v>214</v>
      </c>
      <c r="D346" t="s">
        <v>251</v>
      </c>
      <c r="E346" s="32">
        <v>45936</v>
      </c>
      <c r="F346" t="s">
        <v>222</v>
      </c>
      <c r="G346" s="2">
        <v>45787</v>
      </c>
      <c r="H346">
        <v>9495072304</v>
      </c>
      <c r="I346">
        <v>151</v>
      </c>
      <c r="J346" t="s">
        <v>356</v>
      </c>
      <c r="K346" t="s">
        <v>57</v>
      </c>
      <c r="L346" t="s">
        <v>58</v>
      </c>
      <c r="M346" t="s">
        <v>59</v>
      </c>
      <c r="N346" t="s">
        <v>59</v>
      </c>
      <c r="O346" t="s">
        <v>59</v>
      </c>
      <c r="P346" t="s">
        <v>59</v>
      </c>
      <c r="Q346" t="s">
        <v>59</v>
      </c>
      <c r="R346" t="s">
        <v>59</v>
      </c>
      <c r="S346" t="s">
        <v>59</v>
      </c>
      <c r="T346" t="s">
        <v>59</v>
      </c>
      <c r="U346" t="s">
        <v>60</v>
      </c>
      <c r="V346" t="s">
        <v>59</v>
      </c>
      <c r="W346" t="s">
        <v>59</v>
      </c>
      <c r="X346" t="s">
        <v>59</v>
      </c>
      <c r="Y346" t="s">
        <v>59</v>
      </c>
      <c r="Z346" t="s">
        <v>59</v>
      </c>
      <c r="AA346" t="s">
        <v>59</v>
      </c>
      <c r="AB346" t="s">
        <v>60</v>
      </c>
      <c r="AC346" t="s">
        <v>60</v>
      </c>
      <c r="AD346" t="s">
        <v>59</v>
      </c>
      <c r="AE346" t="s">
        <v>59</v>
      </c>
      <c r="AF346" t="s">
        <v>59</v>
      </c>
      <c r="AG346" t="s">
        <v>59</v>
      </c>
      <c r="AH346" t="s">
        <v>61</v>
      </c>
      <c r="AI346" t="s">
        <v>61</v>
      </c>
      <c r="AJ346" t="s">
        <v>59</v>
      </c>
      <c r="AK346" t="s">
        <v>59</v>
      </c>
      <c r="AL346" t="s">
        <v>60</v>
      </c>
      <c r="AM346" t="s">
        <v>59</v>
      </c>
      <c r="AN346" t="s">
        <v>59</v>
      </c>
      <c r="AO346" t="s">
        <v>59</v>
      </c>
      <c r="AP346" t="s">
        <v>951</v>
      </c>
      <c r="AQ346" t="s">
        <v>952</v>
      </c>
      <c r="AR346" t="s">
        <v>226</v>
      </c>
      <c r="AS346" t="s">
        <v>695</v>
      </c>
      <c r="AT346" t="s">
        <v>331</v>
      </c>
      <c r="AU346" t="s">
        <v>219</v>
      </c>
      <c r="AW346" s="4">
        <f t="shared" si="178"/>
        <v>6</v>
      </c>
      <c r="AX346" s="4">
        <f t="shared" si="179"/>
        <v>4</v>
      </c>
      <c r="AY346" s="4">
        <f t="shared" si="180"/>
        <v>4</v>
      </c>
      <c r="AZ346" s="4">
        <f t="shared" si="181"/>
        <v>2</v>
      </c>
      <c r="BA346" s="4">
        <f t="shared" si="182"/>
        <v>4</v>
      </c>
      <c r="BB346" s="4">
        <f t="shared" si="183"/>
        <v>4</v>
      </c>
      <c r="BC346" s="4">
        <f t="shared" si="184"/>
        <v>4</v>
      </c>
      <c r="BD346" s="4">
        <f t="shared" si="185"/>
        <v>2</v>
      </c>
      <c r="BE346" s="4" t="str">
        <f t="shared" si="186"/>
        <v>0</v>
      </c>
      <c r="BF346" s="4">
        <f t="shared" si="187"/>
        <v>2</v>
      </c>
      <c r="BG346" s="4">
        <f t="shared" si="188"/>
        <v>4</v>
      </c>
      <c r="BH346" s="4">
        <f t="shared" si="189"/>
        <v>4</v>
      </c>
      <c r="BI346" s="4">
        <f t="shared" si="190"/>
        <v>4</v>
      </c>
      <c r="BJ346" s="4">
        <f t="shared" si="191"/>
        <v>2</v>
      </c>
      <c r="BK346" s="4">
        <f t="shared" si="192"/>
        <v>4</v>
      </c>
      <c r="BL346" s="4" t="str">
        <f t="shared" si="193"/>
        <v>0</v>
      </c>
      <c r="BM346" s="4" t="str">
        <f t="shared" si="194"/>
        <v>0</v>
      </c>
      <c r="BN346" s="4">
        <f t="shared" si="195"/>
        <v>4</v>
      </c>
      <c r="BO346" s="4">
        <f t="shared" si="196"/>
        <v>4</v>
      </c>
      <c r="BP346" s="4">
        <f t="shared" si="197"/>
        <v>4</v>
      </c>
      <c r="BQ346" s="4">
        <f t="shared" si="198"/>
        <v>6</v>
      </c>
      <c r="BR346" s="4">
        <f t="shared" si="199"/>
        <v>4</v>
      </c>
      <c r="BS346" s="4">
        <f t="shared" si="200"/>
        <v>4</v>
      </c>
      <c r="BT346" s="4">
        <f t="shared" si="201"/>
        <v>4</v>
      </c>
      <c r="BU346" s="4">
        <f t="shared" si="202"/>
        <v>4</v>
      </c>
      <c r="BV346" s="4" t="str">
        <f t="shared" si="203"/>
        <v>0</v>
      </c>
      <c r="BW346" s="4">
        <f t="shared" si="204"/>
        <v>6</v>
      </c>
      <c r="BX346" s="4">
        <f t="shared" si="205"/>
        <v>0</v>
      </c>
      <c r="BY346" s="4">
        <f t="shared" si="206"/>
        <v>0</v>
      </c>
      <c r="BZ346" s="37">
        <f t="shared" si="207"/>
        <v>90</v>
      </c>
      <c r="CA346" s="32" t="str">
        <f>VLOOKUP(J:J,'Agent wise'!A:C,3,0)</f>
        <v>Amal</v>
      </c>
      <c r="CB346" s="32">
        <f t="shared" si="208"/>
        <v>45936</v>
      </c>
      <c r="CC346" t="str">
        <f t="shared" si="209"/>
        <v>Good</v>
      </c>
      <c r="CE346" s="32"/>
      <c r="CJ346">
        <f t="shared" si="210"/>
        <v>6</v>
      </c>
      <c r="CK346">
        <f t="shared" si="211"/>
        <v>10</v>
      </c>
      <c r="CL346">
        <f t="shared" si="212"/>
        <v>2025</v>
      </c>
    </row>
    <row r="347" spans="1:90" ht="15" customHeight="1" x14ac:dyDescent="0.35">
      <c r="A347" s="40">
        <v>45818.815416666657</v>
      </c>
      <c r="B347" t="s">
        <v>100</v>
      </c>
      <c r="C347" t="s">
        <v>214</v>
      </c>
      <c r="D347" t="s">
        <v>101</v>
      </c>
      <c r="E347" s="32">
        <v>45936</v>
      </c>
      <c r="F347" t="s">
        <v>90</v>
      </c>
      <c r="G347" s="2">
        <v>45787</v>
      </c>
      <c r="H347">
        <v>9489016750</v>
      </c>
      <c r="I347">
        <v>131</v>
      </c>
      <c r="J347" t="s">
        <v>490</v>
      </c>
      <c r="K347" t="s">
        <v>71</v>
      </c>
      <c r="L347" t="s">
        <v>72</v>
      </c>
      <c r="M347" t="s">
        <v>59</v>
      </c>
      <c r="N347" t="s">
        <v>59</v>
      </c>
      <c r="O347" t="s">
        <v>59</v>
      </c>
      <c r="P347" t="s">
        <v>59</v>
      </c>
      <c r="Q347" t="s">
        <v>59</v>
      </c>
      <c r="R347" t="s">
        <v>59</v>
      </c>
      <c r="S347" t="s">
        <v>59</v>
      </c>
      <c r="T347" t="s">
        <v>59</v>
      </c>
      <c r="U347" t="s">
        <v>59</v>
      </c>
      <c r="V347" t="s">
        <v>59</v>
      </c>
      <c r="W347" t="s">
        <v>59</v>
      </c>
      <c r="X347" t="s">
        <v>59</v>
      </c>
      <c r="Y347" t="s">
        <v>59</v>
      </c>
      <c r="Z347" t="s">
        <v>59</v>
      </c>
      <c r="AA347" t="s">
        <v>60</v>
      </c>
      <c r="AB347" t="s">
        <v>59</v>
      </c>
      <c r="AC347" t="s">
        <v>59</v>
      </c>
      <c r="AD347" t="s">
        <v>59</v>
      </c>
      <c r="AE347" t="s">
        <v>59</v>
      </c>
      <c r="AF347" t="s">
        <v>59</v>
      </c>
      <c r="AG347" t="s">
        <v>59</v>
      </c>
      <c r="AH347" t="s">
        <v>59</v>
      </c>
      <c r="AI347" t="s">
        <v>61</v>
      </c>
      <c r="AJ347" t="s">
        <v>59</v>
      </c>
      <c r="AK347" t="s">
        <v>59</v>
      </c>
      <c r="AL347" t="s">
        <v>59</v>
      </c>
      <c r="AM347" t="s">
        <v>59</v>
      </c>
      <c r="AN347" t="s">
        <v>59</v>
      </c>
      <c r="AO347" t="s">
        <v>59</v>
      </c>
      <c r="AP347" s="1" t="s">
        <v>953</v>
      </c>
      <c r="AQ347" s="1" t="s">
        <v>953</v>
      </c>
      <c r="AR347" t="s">
        <v>64</v>
      </c>
      <c r="AS347" t="s">
        <v>210</v>
      </c>
      <c r="AT347" t="s">
        <v>211</v>
      </c>
      <c r="AU347" t="s">
        <v>219</v>
      </c>
      <c r="AW347" s="4">
        <f t="shared" si="178"/>
        <v>6</v>
      </c>
      <c r="AX347" s="4">
        <f t="shared" si="179"/>
        <v>4</v>
      </c>
      <c r="AY347" s="4">
        <f t="shared" si="180"/>
        <v>4</v>
      </c>
      <c r="AZ347" s="4">
        <f t="shared" si="181"/>
        <v>2</v>
      </c>
      <c r="BA347" s="4">
        <f t="shared" si="182"/>
        <v>4</v>
      </c>
      <c r="BB347" s="4">
        <f t="shared" si="183"/>
        <v>4</v>
      </c>
      <c r="BC347" s="4">
        <f t="shared" si="184"/>
        <v>4</v>
      </c>
      <c r="BD347" s="4">
        <f t="shared" si="185"/>
        <v>2</v>
      </c>
      <c r="BE347" s="4">
        <f t="shared" si="186"/>
        <v>4</v>
      </c>
      <c r="BF347" s="4">
        <f t="shared" si="187"/>
        <v>2</v>
      </c>
      <c r="BG347" s="4">
        <f t="shared" si="188"/>
        <v>4</v>
      </c>
      <c r="BH347" s="4">
        <f t="shared" si="189"/>
        <v>4</v>
      </c>
      <c r="BI347" s="4">
        <f t="shared" si="190"/>
        <v>4</v>
      </c>
      <c r="BJ347" s="4">
        <f t="shared" si="191"/>
        <v>2</v>
      </c>
      <c r="BK347" s="4" t="str">
        <f t="shared" si="192"/>
        <v>0</v>
      </c>
      <c r="BL347" s="4">
        <f t="shared" si="193"/>
        <v>2</v>
      </c>
      <c r="BM347" s="4">
        <f t="shared" si="194"/>
        <v>4</v>
      </c>
      <c r="BN347" s="4">
        <f t="shared" si="195"/>
        <v>4</v>
      </c>
      <c r="BO347" s="4">
        <f t="shared" si="196"/>
        <v>4</v>
      </c>
      <c r="BP347" s="4">
        <f t="shared" si="197"/>
        <v>4</v>
      </c>
      <c r="BQ347" s="4">
        <f t="shared" si="198"/>
        <v>6</v>
      </c>
      <c r="BR347" s="4">
        <f t="shared" si="199"/>
        <v>4</v>
      </c>
      <c r="BS347" s="4">
        <f t="shared" si="200"/>
        <v>4</v>
      </c>
      <c r="BT347" s="4">
        <f t="shared" si="201"/>
        <v>4</v>
      </c>
      <c r="BU347" s="4">
        <f t="shared" si="202"/>
        <v>4</v>
      </c>
      <c r="BV347" s="4">
        <f t="shared" si="203"/>
        <v>0</v>
      </c>
      <c r="BW347" s="4">
        <f t="shared" si="204"/>
        <v>6</v>
      </c>
      <c r="BX347" s="4">
        <f t="shared" si="205"/>
        <v>0</v>
      </c>
      <c r="BY347" s="4">
        <f t="shared" si="206"/>
        <v>0</v>
      </c>
      <c r="BZ347" s="37">
        <f t="shared" si="207"/>
        <v>96</v>
      </c>
      <c r="CA347" s="32" t="str">
        <f>VLOOKUP(J:J,'Agent wise'!A:C,3,0)</f>
        <v>Saran S</v>
      </c>
      <c r="CB347" s="32">
        <f t="shared" si="208"/>
        <v>45936</v>
      </c>
      <c r="CC347" t="str">
        <f t="shared" si="209"/>
        <v>Excellent</v>
      </c>
      <c r="CE347" s="32"/>
      <c r="CJ347">
        <f t="shared" si="210"/>
        <v>6</v>
      </c>
      <c r="CK347">
        <f t="shared" si="211"/>
        <v>10</v>
      </c>
      <c r="CL347">
        <f t="shared" si="212"/>
        <v>2025</v>
      </c>
    </row>
    <row r="348" spans="1:90" ht="15" customHeight="1" x14ac:dyDescent="0.35">
      <c r="A348" s="40">
        <v>45818.81658564815</v>
      </c>
      <c r="B348" t="s">
        <v>250</v>
      </c>
      <c r="C348" t="s">
        <v>214</v>
      </c>
      <c r="D348" t="s">
        <v>251</v>
      </c>
      <c r="E348" s="32">
        <v>45936</v>
      </c>
      <c r="F348" t="s">
        <v>222</v>
      </c>
      <c r="G348" s="2">
        <v>45787</v>
      </c>
      <c r="H348">
        <v>9745483553</v>
      </c>
      <c r="I348">
        <v>150</v>
      </c>
      <c r="J348" t="s">
        <v>353</v>
      </c>
      <c r="K348" t="s">
        <v>57</v>
      </c>
      <c r="L348" t="s">
        <v>58</v>
      </c>
      <c r="M348" t="s">
        <v>59</v>
      </c>
      <c r="N348" t="s">
        <v>59</v>
      </c>
      <c r="O348" t="s">
        <v>59</v>
      </c>
      <c r="P348" t="s">
        <v>59</v>
      </c>
      <c r="Q348" t="s">
        <v>59</v>
      </c>
      <c r="R348" t="s">
        <v>59</v>
      </c>
      <c r="S348" t="s">
        <v>59</v>
      </c>
      <c r="T348" t="s">
        <v>59</v>
      </c>
      <c r="U348" t="s">
        <v>60</v>
      </c>
      <c r="V348" t="s">
        <v>59</v>
      </c>
      <c r="W348" t="s">
        <v>59</v>
      </c>
      <c r="X348" t="s">
        <v>59</v>
      </c>
      <c r="Y348" t="s">
        <v>59</v>
      </c>
      <c r="Z348" t="s">
        <v>59</v>
      </c>
      <c r="AA348" t="s">
        <v>59</v>
      </c>
      <c r="AB348" t="s">
        <v>60</v>
      </c>
      <c r="AC348" t="s">
        <v>59</v>
      </c>
      <c r="AD348" t="s">
        <v>59</v>
      </c>
      <c r="AE348" t="s">
        <v>59</v>
      </c>
      <c r="AF348" t="s">
        <v>59</v>
      </c>
      <c r="AG348" t="s">
        <v>59</v>
      </c>
      <c r="AH348" t="s">
        <v>61</v>
      </c>
      <c r="AI348" t="s">
        <v>60</v>
      </c>
      <c r="AJ348" t="s">
        <v>59</v>
      </c>
      <c r="AK348" t="s">
        <v>59</v>
      </c>
      <c r="AL348" t="s">
        <v>60</v>
      </c>
      <c r="AM348" t="s">
        <v>59</v>
      </c>
      <c r="AN348" t="s">
        <v>59</v>
      </c>
      <c r="AO348" t="s">
        <v>59</v>
      </c>
      <c r="AP348" t="s">
        <v>954</v>
      </c>
      <c r="AQ348" t="s">
        <v>955</v>
      </c>
      <c r="AR348" t="s">
        <v>226</v>
      </c>
      <c r="AS348" t="s">
        <v>249</v>
      </c>
      <c r="AT348" t="s">
        <v>404</v>
      </c>
      <c r="AU348" t="s">
        <v>387</v>
      </c>
      <c r="AW348" s="4">
        <f t="shared" si="178"/>
        <v>6</v>
      </c>
      <c r="AX348" s="4">
        <f t="shared" si="179"/>
        <v>4</v>
      </c>
      <c r="AY348" s="4">
        <f t="shared" si="180"/>
        <v>4</v>
      </c>
      <c r="AZ348" s="4">
        <f t="shared" si="181"/>
        <v>2</v>
      </c>
      <c r="BA348" s="4">
        <f t="shared" si="182"/>
        <v>4</v>
      </c>
      <c r="BB348" s="4">
        <f t="shared" si="183"/>
        <v>4</v>
      </c>
      <c r="BC348" s="4">
        <f t="shared" si="184"/>
        <v>4</v>
      </c>
      <c r="BD348" s="4">
        <f t="shared" si="185"/>
        <v>2</v>
      </c>
      <c r="BE348" s="4" t="str">
        <f t="shared" si="186"/>
        <v>0</v>
      </c>
      <c r="BF348" s="4">
        <f t="shared" si="187"/>
        <v>2</v>
      </c>
      <c r="BG348" s="4">
        <f t="shared" si="188"/>
        <v>4</v>
      </c>
      <c r="BH348" s="4">
        <f t="shared" si="189"/>
        <v>4</v>
      </c>
      <c r="BI348" s="4">
        <f t="shared" si="190"/>
        <v>4</v>
      </c>
      <c r="BJ348" s="4">
        <f t="shared" si="191"/>
        <v>2</v>
      </c>
      <c r="BK348" s="4">
        <f t="shared" si="192"/>
        <v>4</v>
      </c>
      <c r="BL348" s="4" t="str">
        <f t="shared" si="193"/>
        <v>0</v>
      </c>
      <c r="BM348" s="4">
        <f t="shared" si="194"/>
        <v>4</v>
      </c>
      <c r="BN348" s="4">
        <f t="shared" si="195"/>
        <v>4</v>
      </c>
      <c r="BO348" s="4">
        <f t="shared" si="196"/>
        <v>4</v>
      </c>
      <c r="BP348" s="4">
        <f t="shared" si="197"/>
        <v>4</v>
      </c>
      <c r="BQ348" s="4">
        <f t="shared" si="198"/>
        <v>6</v>
      </c>
      <c r="BR348" s="4">
        <f t="shared" si="199"/>
        <v>4</v>
      </c>
      <c r="BS348" s="4" t="str">
        <f t="shared" si="200"/>
        <v>0</v>
      </c>
      <c r="BT348" s="4">
        <f t="shared" si="201"/>
        <v>4</v>
      </c>
      <c r="BU348" s="4">
        <f t="shared" si="202"/>
        <v>4</v>
      </c>
      <c r="BV348" s="4" t="str">
        <f t="shared" si="203"/>
        <v>0</v>
      </c>
      <c r="BW348" s="4">
        <f t="shared" si="204"/>
        <v>6</v>
      </c>
      <c r="BX348" s="4">
        <f t="shared" si="205"/>
        <v>0</v>
      </c>
      <c r="BY348" s="4">
        <f t="shared" si="206"/>
        <v>0</v>
      </c>
      <c r="BZ348" s="37">
        <f t="shared" si="207"/>
        <v>90</v>
      </c>
      <c r="CA348" s="32" t="str">
        <f>VLOOKUP(J:J,'Agent wise'!A:C,3,0)</f>
        <v>Amal</v>
      </c>
      <c r="CB348" s="32">
        <f t="shared" si="208"/>
        <v>45936</v>
      </c>
      <c r="CC348" t="str">
        <f t="shared" si="209"/>
        <v>Good</v>
      </c>
      <c r="CE348" s="32"/>
      <c r="CJ348">
        <f t="shared" si="210"/>
        <v>6</v>
      </c>
      <c r="CK348">
        <f t="shared" si="211"/>
        <v>10</v>
      </c>
      <c r="CL348">
        <f t="shared" si="212"/>
        <v>2025</v>
      </c>
    </row>
    <row r="349" spans="1:90" ht="15" customHeight="1" x14ac:dyDescent="0.35">
      <c r="A349" s="40">
        <v>45818.818923611107</v>
      </c>
      <c r="B349" t="s">
        <v>250</v>
      </c>
      <c r="C349" t="s">
        <v>214</v>
      </c>
      <c r="D349" t="s">
        <v>251</v>
      </c>
      <c r="E349" s="32">
        <v>45936</v>
      </c>
      <c r="F349" t="s">
        <v>222</v>
      </c>
      <c r="G349" s="2">
        <v>45787</v>
      </c>
      <c r="H349">
        <v>9746225229</v>
      </c>
      <c r="I349">
        <v>130</v>
      </c>
      <c r="J349" t="s">
        <v>313</v>
      </c>
      <c r="K349" t="s">
        <v>57</v>
      </c>
      <c r="L349" t="s">
        <v>58</v>
      </c>
      <c r="M349" t="s">
        <v>59</v>
      </c>
      <c r="N349" t="s">
        <v>59</v>
      </c>
      <c r="O349" t="s">
        <v>59</v>
      </c>
      <c r="P349" t="s">
        <v>59</v>
      </c>
      <c r="Q349" t="s">
        <v>59</v>
      </c>
      <c r="R349" t="s">
        <v>59</v>
      </c>
      <c r="S349" t="s">
        <v>59</v>
      </c>
      <c r="T349" t="s">
        <v>59</v>
      </c>
      <c r="U349" t="s">
        <v>59</v>
      </c>
      <c r="V349" t="s">
        <v>59</v>
      </c>
      <c r="W349" t="s">
        <v>59</v>
      </c>
      <c r="X349" t="s">
        <v>59</v>
      </c>
      <c r="Y349" t="s">
        <v>59</v>
      </c>
      <c r="Z349" t="s">
        <v>59</v>
      </c>
      <c r="AA349" t="s">
        <v>59</v>
      </c>
      <c r="AB349" t="s">
        <v>59</v>
      </c>
      <c r="AC349" t="s">
        <v>59</v>
      </c>
      <c r="AD349" t="s">
        <v>59</v>
      </c>
      <c r="AE349" t="s">
        <v>59</v>
      </c>
      <c r="AF349" t="s">
        <v>59</v>
      </c>
      <c r="AG349" t="s">
        <v>59</v>
      </c>
      <c r="AH349" t="s">
        <v>61</v>
      </c>
      <c r="AI349" t="s">
        <v>61</v>
      </c>
      <c r="AJ349" t="s">
        <v>59</v>
      </c>
      <c r="AK349" t="s">
        <v>59</v>
      </c>
      <c r="AL349" t="s">
        <v>60</v>
      </c>
      <c r="AM349" t="s">
        <v>59</v>
      </c>
      <c r="AN349" t="s">
        <v>59</v>
      </c>
      <c r="AO349" t="s">
        <v>59</v>
      </c>
      <c r="AP349" t="s">
        <v>563</v>
      </c>
      <c r="AQ349" t="s">
        <v>956</v>
      </c>
      <c r="AR349" t="s">
        <v>226</v>
      </c>
      <c r="AS349" t="s">
        <v>746</v>
      </c>
      <c r="AT349" t="s">
        <v>404</v>
      </c>
      <c r="AU349" t="s">
        <v>219</v>
      </c>
      <c r="AW349" s="4">
        <f t="shared" si="178"/>
        <v>6</v>
      </c>
      <c r="AX349" s="4">
        <f t="shared" si="179"/>
        <v>4</v>
      </c>
      <c r="AY349" s="4">
        <f t="shared" si="180"/>
        <v>4</v>
      </c>
      <c r="AZ349" s="4">
        <f t="shared" si="181"/>
        <v>2</v>
      </c>
      <c r="BA349" s="4">
        <f t="shared" si="182"/>
        <v>4</v>
      </c>
      <c r="BB349" s="4">
        <f t="shared" si="183"/>
        <v>4</v>
      </c>
      <c r="BC349" s="4">
        <f t="shared" si="184"/>
        <v>4</v>
      </c>
      <c r="BD349" s="4">
        <f t="shared" si="185"/>
        <v>2</v>
      </c>
      <c r="BE349" s="4">
        <f t="shared" si="186"/>
        <v>4</v>
      </c>
      <c r="BF349" s="4">
        <f t="shared" si="187"/>
        <v>2</v>
      </c>
      <c r="BG349" s="4">
        <f t="shared" si="188"/>
        <v>4</v>
      </c>
      <c r="BH349" s="4">
        <f t="shared" si="189"/>
        <v>4</v>
      </c>
      <c r="BI349" s="4">
        <f t="shared" si="190"/>
        <v>4</v>
      </c>
      <c r="BJ349" s="4">
        <f t="shared" si="191"/>
        <v>2</v>
      </c>
      <c r="BK349" s="4">
        <f t="shared" si="192"/>
        <v>4</v>
      </c>
      <c r="BL349" s="4">
        <f t="shared" si="193"/>
        <v>2</v>
      </c>
      <c r="BM349" s="4">
        <f t="shared" si="194"/>
        <v>4</v>
      </c>
      <c r="BN349" s="4">
        <f t="shared" si="195"/>
        <v>4</v>
      </c>
      <c r="BO349" s="4">
        <f t="shared" si="196"/>
        <v>4</v>
      </c>
      <c r="BP349" s="4">
        <f t="shared" si="197"/>
        <v>4</v>
      </c>
      <c r="BQ349" s="4">
        <f t="shared" si="198"/>
        <v>6</v>
      </c>
      <c r="BR349" s="4">
        <f t="shared" si="199"/>
        <v>4</v>
      </c>
      <c r="BS349" s="4">
        <f t="shared" si="200"/>
        <v>4</v>
      </c>
      <c r="BT349" s="4">
        <f t="shared" si="201"/>
        <v>4</v>
      </c>
      <c r="BU349" s="4">
        <f t="shared" si="202"/>
        <v>4</v>
      </c>
      <c r="BV349" s="4" t="str">
        <f t="shared" si="203"/>
        <v>0</v>
      </c>
      <c r="BW349" s="4">
        <f t="shared" si="204"/>
        <v>6</v>
      </c>
      <c r="BX349" s="4">
        <f t="shared" si="205"/>
        <v>0</v>
      </c>
      <c r="BY349" s="4">
        <f t="shared" si="206"/>
        <v>0</v>
      </c>
      <c r="BZ349" s="37">
        <f t="shared" si="207"/>
        <v>100</v>
      </c>
      <c r="CA349" s="32" t="str">
        <f>VLOOKUP(J:J,'Agent wise'!A:C,3,0)</f>
        <v>Shakeer</v>
      </c>
      <c r="CB349" s="32">
        <f t="shared" si="208"/>
        <v>45936</v>
      </c>
      <c r="CC349" t="str">
        <f t="shared" si="209"/>
        <v>Excellent</v>
      </c>
      <c r="CE349" s="32"/>
      <c r="CJ349">
        <f t="shared" si="210"/>
        <v>6</v>
      </c>
      <c r="CK349">
        <f t="shared" si="211"/>
        <v>10</v>
      </c>
      <c r="CL349">
        <f t="shared" si="212"/>
        <v>2025</v>
      </c>
    </row>
    <row r="350" spans="1:90" ht="15" customHeight="1" x14ac:dyDescent="0.35">
      <c r="A350" s="40">
        <v>45818.820694444446</v>
      </c>
      <c r="B350" t="s">
        <v>100</v>
      </c>
      <c r="C350" t="s">
        <v>214</v>
      </c>
      <c r="D350" t="s">
        <v>101</v>
      </c>
      <c r="E350" s="32">
        <v>45936</v>
      </c>
      <c r="F350" t="s">
        <v>90</v>
      </c>
      <c r="G350" s="2">
        <v>45787</v>
      </c>
      <c r="H350">
        <v>9789604693</v>
      </c>
      <c r="I350">
        <v>132</v>
      </c>
      <c r="J350" t="s">
        <v>533</v>
      </c>
      <c r="K350" t="s">
        <v>71</v>
      </c>
      <c r="L350" t="s">
        <v>72</v>
      </c>
      <c r="M350" t="s">
        <v>59</v>
      </c>
      <c r="N350" t="s">
        <v>59</v>
      </c>
      <c r="O350" t="s">
        <v>59</v>
      </c>
      <c r="P350" t="s">
        <v>59</v>
      </c>
      <c r="Q350" t="s">
        <v>59</v>
      </c>
      <c r="R350" t="s">
        <v>60</v>
      </c>
      <c r="S350" t="s">
        <v>59</v>
      </c>
      <c r="T350" t="s">
        <v>59</v>
      </c>
      <c r="U350" t="s">
        <v>59</v>
      </c>
      <c r="V350" t="s">
        <v>59</v>
      </c>
      <c r="W350" t="s">
        <v>59</v>
      </c>
      <c r="X350" t="s">
        <v>59</v>
      </c>
      <c r="Y350" t="s">
        <v>59</v>
      </c>
      <c r="Z350" t="s">
        <v>59</v>
      </c>
      <c r="AA350" t="s">
        <v>60</v>
      </c>
      <c r="AB350" t="s">
        <v>59</v>
      </c>
      <c r="AC350" t="s">
        <v>59</v>
      </c>
      <c r="AD350" t="s">
        <v>59</v>
      </c>
      <c r="AE350" t="s">
        <v>59</v>
      </c>
      <c r="AF350" t="s">
        <v>59</v>
      </c>
      <c r="AG350" t="s">
        <v>59</v>
      </c>
      <c r="AH350" t="s">
        <v>59</v>
      </c>
      <c r="AI350" t="s">
        <v>61</v>
      </c>
      <c r="AJ350" t="s">
        <v>59</v>
      </c>
      <c r="AK350" t="s">
        <v>59</v>
      </c>
      <c r="AL350" t="s">
        <v>59</v>
      </c>
      <c r="AM350" t="s">
        <v>59</v>
      </c>
      <c r="AN350" t="s">
        <v>59</v>
      </c>
      <c r="AO350" t="s">
        <v>59</v>
      </c>
      <c r="AP350" s="1" t="s">
        <v>957</v>
      </c>
      <c r="AQ350" s="1" t="s">
        <v>957</v>
      </c>
      <c r="AR350" t="s">
        <v>64</v>
      </c>
      <c r="AS350" t="s">
        <v>202</v>
      </c>
      <c r="AT350" t="s">
        <v>203</v>
      </c>
      <c r="AU350" t="s">
        <v>219</v>
      </c>
      <c r="AW350" s="4">
        <f t="shared" si="178"/>
        <v>6</v>
      </c>
      <c r="AX350" s="4">
        <f t="shared" si="179"/>
        <v>4</v>
      </c>
      <c r="AY350" s="4">
        <f t="shared" si="180"/>
        <v>4</v>
      </c>
      <c r="AZ350" s="4">
        <f t="shared" si="181"/>
        <v>2</v>
      </c>
      <c r="BA350" s="4">
        <f t="shared" si="182"/>
        <v>4</v>
      </c>
      <c r="BB350" s="4" t="str">
        <f t="shared" si="183"/>
        <v>0</v>
      </c>
      <c r="BC350" s="4">
        <f t="shared" si="184"/>
        <v>4</v>
      </c>
      <c r="BD350" s="4">
        <f t="shared" si="185"/>
        <v>2</v>
      </c>
      <c r="BE350" s="4">
        <f t="shared" si="186"/>
        <v>4</v>
      </c>
      <c r="BF350" s="4">
        <f t="shared" si="187"/>
        <v>2</v>
      </c>
      <c r="BG350" s="4">
        <f t="shared" si="188"/>
        <v>4</v>
      </c>
      <c r="BH350" s="4">
        <f t="shared" si="189"/>
        <v>4</v>
      </c>
      <c r="BI350" s="4">
        <f t="shared" si="190"/>
        <v>4</v>
      </c>
      <c r="BJ350" s="4">
        <f t="shared" si="191"/>
        <v>2</v>
      </c>
      <c r="BK350" s="4" t="str">
        <f t="shared" si="192"/>
        <v>0</v>
      </c>
      <c r="BL350" s="4">
        <f t="shared" si="193"/>
        <v>2</v>
      </c>
      <c r="BM350" s="4">
        <f t="shared" si="194"/>
        <v>4</v>
      </c>
      <c r="BN350" s="4">
        <f t="shared" si="195"/>
        <v>4</v>
      </c>
      <c r="BO350" s="4">
        <f t="shared" si="196"/>
        <v>4</v>
      </c>
      <c r="BP350" s="4">
        <f t="shared" si="197"/>
        <v>4</v>
      </c>
      <c r="BQ350" s="4">
        <f t="shared" si="198"/>
        <v>6</v>
      </c>
      <c r="BR350" s="4">
        <f t="shared" si="199"/>
        <v>4</v>
      </c>
      <c r="BS350" s="4">
        <f t="shared" si="200"/>
        <v>4</v>
      </c>
      <c r="BT350" s="4">
        <f t="shared" si="201"/>
        <v>4</v>
      </c>
      <c r="BU350" s="4">
        <f t="shared" si="202"/>
        <v>4</v>
      </c>
      <c r="BV350" s="4">
        <f t="shared" si="203"/>
        <v>0</v>
      </c>
      <c r="BW350" s="4">
        <f t="shared" si="204"/>
        <v>6</v>
      </c>
      <c r="BX350" s="4">
        <f t="shared" si="205"/>
        <v>0</v>
      </c>
      <c r="BY350" s="4">
        <f t="shared" si="206"/>
        <v>0</v>
      </c>
      <c r="BZ350" s="37">
        <f t="shared" si="207"/>
        <v>92</v>
      </c>
      <c r="CA350" s="32" t="str">
        <f>VLOOKUP(J:J,'Agent wise'!A:C,3,0)</f>
        <v xml:space="preserve">Shiny </v>
      </c>
      <c r="CB350" s="32">
        <f t="shared" si="208"/>
        <v>45936</v>
      </c>
      <c r="CC350" t="str">
        <f t="shared" si="209"/>
        <v>Good</v>
      </c>
      <c r="CE350" s="32"/>
      <c r="CJ350">
        <f t="shared" si="210"/>
        <v>6</v>
      </c>
      <c r="CK350">
        <f t="shared" si="211"/>
        <v>10</v>
      </c>
      <c r="CL350">
        <f t="shared" si="212"/>
        <v>2025</v>
      </c>
    </row>
    <row r="351" spans="1:90" ht="15" customHeight="1" x14ac:dyDescent="0.35">
      <c r="A351" s="40">
        <v>45818.823599537027</v>
      </c>
      <c r="B351" t="s">
        <v>100</v>
      </c>
      <c r="C351" t="s">
        <v>214</v>
      </c>
      <c r="D351" t="s">
        <v>101</v>
      </c>
      <c r="E351" s="32">
        <v>45936</v>
      </c>
      <c r="F351" t="s">
        <v>90</v>
      </c>
      <c r="G351" s="2">
        <v>45787</v>
      </c>
      <c r="H351">
        <v>9994682379</v>
      </c>
      <c r="I351">
        <v>164</v>
      </c>
      <c r="J351" t="s">
        <v>552</v>
      </c>
      <c r="K351" t="s">
        <v>71</v>
      </c>
      <c r="L351" t="s">
        <v>72</v>
      </c>
      <c r="M351" t="s">
        <v>59</v>
      </c>
      <c r="N351" t="s">
        <v>59</v>
      </c>
      <c r="O351" t="s">
        <v>59</v>
      </c>
      <c r="P351" t="s">
        <v>59</v>
      </c>
      <c r="Q351" t="s">
        <v>59</v>
      </c>
      <c r="R351" t="s">
        <v>60</v>
      </c>
      <c r="S351" t="s">
        <v>59</v>
      </c>
      <c r="T351" t="s">
        <v>59</v>
      </c>
      <c r="U351" t="s">
        <v>59</v>
      </c>
      <c r="V351" t="s">
        <v>59</v>
      </c>
      <c r="W351" t="s">
        <v>59</v>
      </c>
      <c r="X351" t="s">
        <v>59</v>
      </c>
      <c r="Y351" t="s">
        <v>59</v>
      </c>
      <c r="Z351" t="s">
        <v>59</v>
      </c>
      <c r="AA351" t="s">
        <v>60</v>
      </c>
      <c r="AB351" t="s">
        <v>59</v>
      </c>
      <c r="AC351" t="s">
        <v>59</v>
      </c>
      <c r="AD351" t="s">
        <v>59</v>
      </c>
      <c r="AE351" t="s">
        <v>59</v>
      </c>
      <c r="AF351" t="s">
        <v>59</v>
      </c>
      <c r="AG351" t="s">
        <v>59</v>
      </c>
      <c r="AH351" t="s">
        <v>59</v>
      </c>
      <c r="AI351" t="s">
        <v>61</v>
      </c>
      <c r="AJ351" t="s">
        <v>59</v>
      </c>
      <c r="AK351" t="s">
        <v>59</v>
      </c>
      <c r="AL351" t="s">
        <v>59</v>
      </c>
      <c r="AM351" t="s">
        <v>59</v>
      </c>
      <c r="AN351" t="s">
        <v>59</v>
      </c>
      <c r="AO351" t="s">
        <v>59</v>
      </c>
      <c r="AP351" s="1" t="s">
        <v>958</v>
      </c>
      <c r="AQ351" s="1" t="s">
        <v>958</v>
      </c>
      <c r="AR351" t="s">
        <v>64</v>
      </c>
      <c r="AS351" t="s">
        <v>210</v>
      </c>
      <c r="AT351" t="s">
        <v>211</v>
      </c>
      <c r="AU351" t="s">
        <v>219</v>
      </c>
      <c r="AW351" s="4">
        <f t="shared" si="178"/>
        <v>6</v>
      </c>
      <c r="AX351" s="4">
        <f t="shared" si="179"/>
        <v>4</v>
      </c>
      <c r="AY351" s="4">
        <f t="shared" si="180"/>
        <v>4</v>
      </c>
      <c r="AZ351" s="4">
        <f t="shared" si="181"/>
        <v>2</v>
      </c>
      <c r="BA351" s="4">
        <f t="shared" si="182"/>
        <v>4</v>
      </c>
      <c r="BB351" s="4" t="str">
        <f t="shared" si="183"/>
        <v>0</v>
      </c>
      <c r="BC351" s="4">
        <f t="shared" si="184"/>
        <v>4</v>
      </c>
      <c r="BD351" s="4">
        <f t="shared" si="185"/>
        <v>2</v>
      </c>
      <c r="BE351" s="4">
        <f t="shared" si="186"/>
        <v>4</v>
      </c>
      <c r="BF351" s="4">
        <f t="shared" si="187"/>
        <v>2</v>
      </c>
      <c r="BG351" s="4">
        <f t="shared" si="188"/>
        <v>4</v>
      </c>
      <c r="BH351" s="4">
        <f t="shared" si="189"/>
        <v>4</v>
      </c>
      <c r="BI351" s="4">
        <f t="shared" si="190"/>
        <v>4</v>
      </c>
      <c r="BJ351" s="4">
        <f t="shared" si="191"/>
        <v>2</v>
      </c>
      <c r="BK351" s="4" t="str">
        <f t="shared" si="192"/>
        <v>0</v>
      </c>
      <c r="BL351" s="4">
        <f t="shared" si="193"/>
        <v>2</v>
      </c>
      <c r="BM351" s="4">
        <f t="shared" si="194"/>
        <v>4</v>
      </c>
      <c r="BN351" s="4">
        <f t="shared" si="195"/>
        <v>4</v>
      </c>
      <c r="BO351" s="4">
        <f t="shared" si="196"/>
        <v>4</v>
      </c>
      <c r="BP351" s="4">
        <f t="shared" si="197"/>
        <v>4</v>
      </c>
      <c r="BQ351" s="4">
        <f t="shared" si="198"/>
        <v>6</v>
      </c>
      <c r="BR351" s="4">
        <f t="shared" si="199"/>
        <v>4</v>
      </c>
      <c r="BS351" s="4">
        <f t="shared" si="200"/>
        <v>4</v>
      </c>
      <c r="BT351" s="4">
        <f t="shared" si="201"/>
        <v>4</v>
      </c>
      <c r="BU351" s="4">
        <f t="shared" si="202"/>
        <v>4</v>
      </c>
      <c r="BV351" s="4">
        <f t="shared" si="203"/>
        <v>0</v>
      </c>
      <c r="BW351" s="4">
        <f t="shared" si="204"/>
        <v>6</v>
      </c>
      <c r="BX351" s="4">
        <f t="shared" si="205"/>
        <v>0</v>
      </c>
      <c r="BY351" s="4">
        <f t="shared" si="206"/>
        <v>0</v>
      </c>
      <c r="BZ351" s="37">
        <f t="shared" si="207"/>
        <v>92</v>
      </c>
      <c r="CA351" s="32" t="str">
        <f>VLOOKUP(J:J,'Agent wise'!A:C,3,0)</f>
        <v xml:space="preserve">Shiny </v>
      </c>
      <c r="CB351" s="32">
        <f t="shared" si="208"/>
        <v>45936</v>
      </c>
      <c r="CC351" t="str">
        <f t="shared" si="209"/>
        <v>Good</v>
      </c>
      <c r="CE351" s="32"/>
      <c r="CJ351">
        <f t="shared" si="210"/>
        <v>6</v>
      </c>
      <c r="CK351">
        <f t="shared" si="211"/>
        <v>10</v>
      </c>
      <c r="CL351">
        <f t="shared" si="212"/>
        <v>2025</v>
      </c>
    </row>
    <row r="352" spans="1:90" ht="15" customHeight="1" x14ac:dyDescent="0.35">
      <c r="A352" s="40">
        <v>45818.826840277783</v>
      </c>
      <c r="B352" t="s">
        <v>100</v>
      </c>
      <c r="C352" t="s">
        <v>214</v>
      </c>
      <c r="D352" t="s">
        <v>101</v>
      </c>
      <c r="E352" s="32">
        <v>45936</v>
      </c>
      <c r="F352" t="s">
        <v>90</v>
      </c>
      <c r="G352" s="2">
        <v>45818</v>
      </c>
      <c r="H352">
        <v>9487147033</v>
      </c>
      <c r="I352">
        <v>162</v>
      </c>
      <c r="J352" t="s">
        <v>643</v>
      </c>
      <c r="K352" t="s">
        <v>71</v>
      </c>
      <c r="L352" t="s">
        <v>72</v>
      </c>
      <c r="M352" t="s">
        <v>59</v>
      </c>
      <c r="N352" t="s">
        <v>59</v>
      </c>
      <c r="O352" t="s">
        <v>59</v>
      </c>
      <c r="P352" t="s">
        <v>59</v>
      </c>
      <c r="Q352" t="s">
        <v>59</v>
      </c>
      <c r="R352" t="s">
        <v>60</v>
      </c>
      <c r="S352" t="s">
        <v>59</v>
      </c>
      <c r="T352" t="s">
        <v>59</v>
      </c>
      <c r="U352" t="s">
        <v>59</v>
      </c>
      <c r="V352" t="s">
        <v>59</v>
      </c>
      <c r="W352" t="s">
        <v>59</v>
      </c>
      <c r="X352" t="s">
        <v>59</v>
      </c>
      <c r="Y352" t="s">
        <v>59</v>
      </c>
      <c r="Z352" t="s">
        <v>59</v>
      </c>
      <c r="AA352" t="s">
        <v>59</v>
      </c>
      <c r="AB352" t="s">
        <v>59</v>
      </c>
      <c r="AC352" t="s">
        <v>60</v>
      </c>
      <c r="AD352" t="s">
        <v>59</v>
      </c>
      <c r="AE352" t="s">
        <v>59</v>
      </c>
      <c r="AF352" t="s">
        <v>59</v>
      </c>
      <c r="AG352" t="s">
        <v>59</v>
      </c>
      <c r="AH352" t="s">
        <v>59</v>
      </c>
      <c r="AI352" t="s">
        <v>61</v>
      </c>
      <c r="AJ352" t="s">
        <v>59</v>
      </c>
      <c r="AK352" t="s">
        <v>59</v>
      </c>
      <c r="AL352" t="s">
        <v>59</v>
      </c>
      <c r="AM352" t="s">
        <v>59</v>
      </c>
      <c r="AN352" t="s">
        <v>59</v>
      </c>
      <c r="AO352" t="s">
        <v>59</v>
      </c>
      <c r="AP352" s="1" t="s">
        <v>878</v>
      </c>
      <c r="AQ352" s="1" t="s">
        <v>878</v>
      </c>
      <c r="AR352" t="s">
        <v>64</v>
      </c>
      <c r="AS352" t="s">
        <v>94</v>
      </c>
      <c r="AT352" t="s">
        <v>95</v>
      </c>
      <c r="AU352" t="s">
        <v>219</v>
      </c>
      <c r="AW352" s="4">
        <f t="shared" si="178"/>
        <v>6</v>
      </c>
      <c r="AX352" s="4">
        <f t="shared" si="179"/>
        <v>4</v>
      </c>
      <c r="AY352" s="4">
        <f t="shared" si="180"/>
        <v>4</v>
      </c>
      <c r="AZ352" s="4">
        <f t="shared" si="181"/>
        <v>2</v>
      </c>
      <c r="BA352" s="4">
        <f t="shared" si="182"/>
        <v>4</v>
      </c>
      <c r="BB352" s="4" t="str">
        <f t="shared" si="183"/>
        <v>0</v>
      </c>
      <c r="BC352" s="4">
        <f t="shared" si="184"/>
        <v>4</v>
      </c>
      <c r="BD352" s="4">
        <f t="shared" si="185"/>
        <v>2</v>
      </c>
      <c r="BE352" s="4">
        <f t="shared" si="186"/>
        <v>4</v>
      </c>
      <c r="BF352" s="4">
        <f t="shared" si="187"/>
        <v>2</v>
      </c>
      <c r="BG352" s="4">
        <f t="shared" si="188"/>
        <v>4</v>
      </c>
      <c r="BH352" s="4">
        <f t="shared" si="189"/>
        <v>4</v>
      </c>
      <c r="BI352" s="4">
        <f t="shared" si="190"/>
        <v>4</v>
      </c>
      <c r="BJ352" s="4">
        <f t="shared" si="191"/>
        <v>2</v>
      </c>
      <c r="BK352" s="4">
        <f t="shared" si="192"/>
        <v>4</v>
      </c>
      <c r="BL352" s="4">
        <f t="shared" si="193"/>
        <v>2</v>
      </c>
      <c r="BM352" s="4" t="str">
        <f t="shared" si="194"/>
        <v>0</v>
      </c>
      <c r="BN352" s="4">
        <f t="shared" si="195"/>
        <v>4</v>
      </c>
      <c r="BO352" s="4">
        <f t="shared" si="196"/>
        <v>4</v>
      </c>
      <c r="BP352" s="4">
        <f t="shared" si="197"/>
        <v>4</v>
      </c>
      <c r="BQ352" s="4">
        <f t="shared" si="198"/>
        <v>6</v>
      </c>
      <c r="BR352" s="4">
        <f t="shared" si="199"/>
        <v>4</v>
      </c>
      <c r="BS352" s="4">
        <f t="shared" si="200"/>
        <v>4</v>
      </c>
      <c r="BT352" s="4">
        <f t="shared" si="201"/>
        <v>4</v>
      </c>
      <c r="BU352" s="4">
        <f t="shared" si="202"/>
        <v>4</v>
      </c>
      <c r="BV352" s="4">
        <f t="shared" si="203"/>
        <v>0</v>
      </c>
      <c r="BW352" s="4">
        <f t="shared" si="204"/>
        <v>6</v>
      </c>
      <c r="BX352" s="4">
        <f t="shared" si="205"/>
        <v>0</v>
      </c>
      <c r="BY352" s="4">
        <f t="shared" si="206"/>
        <v>0</v>
      </c>
      <c r="BZ352" s="37">
        <f t="shared" si="207"/>
        <v>92</v>
      </c>
      <c r="CA352" s="32" t="str">
        <f>VLOOKUP(J:J,'Agent wise'!A:C,3,0)</f>
        <v xml:space="preserve">Shiny </v>
      </c>
      <c r="CB352" s="32">
        <f t="shared" si="208"/>
        <v>45936</v>
      </c>
      <c r="CC352" t="str">
        <f t="shared" si="209"/>
        <v>Good</v>
      </c>
      <c r="CE352" s="32"/>
      <c r="CJ352">
        <f t="shared" si="210"/>
        <v>6</v>
      </c>
      <c r="CK352">
        <f t="shared" si="211"/>
        <v>10</v>
      </c>
      <c r="CL352">
        <f t="shared" si="212"/>
        <v>2025</v>
      </c>
    </row>
    <row r="353" spans="1:90" ht="15" customHeight="1" x14ac:dyDescent="0.35">
      <c r="A353" s="40">
        <v>45818.902337962973</v>
      </c>
      <c r="B353" t="s">
        <v>698</v>
      </c>
      <c r="C353" t="s">
        <v>214</v>
      </c>
      <c r="D353" t="s">
        <v>221</v>
      </c>
      <c r="E353" s="32">
        <v>45934</v>
      </c>
      <c r="F353" t="s">
        <v>222</v>
      </c>
      <c r="G353" s="2">
        <v>45757</v>
      </c>
      <c r="H353">
        <v>8056984203</v>
      </c>
      <c r="I353">
        <v>178</v>
      </c>
      <c r="J353" t="s">
        <v>132</v>
      </c>
      <c r="K353" t="s">
        <v>71</v>
      </c>
      <c r="L353" t="s">
        <v>72</v>
      </c>
      <c r="M353" t="s">
        <v>59</v>
      </c>
      <c r="N353" t="s">
        <v>59</v>
      </c>
      <c r="O353" t="s">
        <v>59</v>
      </c>
      <c r="P353" t="s">
        <v>59</v>
      </c>
      <c r="Q353" t="s">
        <v>59</v>
      </c>
      <c r="R353" t="s">
        <v>59</v>
      </c>
      <c r="S353" t="s">
        <v>59</v>
      </c>
      <c r="T353" t="s">
        <v>59</v>
      </c>
      <c r="U353" t="s">
        <v>59</v>
      </c>
      <c r="V353" t="s">
        <v>59</v>
      </c>
      <c r="W353" t="s">
        <v>59</v>
      </c>
      <c r="X353" t="s">
        <v>59</v>
      </c>
      <c r="Y353" t="s">
        <v>59</v>
      </c>
      <c r="Z353" t="s">
        <v>59</v>
      </c>
      <c r="AA353" t="s">
        <v>59</v>
      </c>
      <c r="AB353" t="s">
        <v>59</v>
      </c>
      <c r="AC353" t="s">
        <v>59</v>
      </c>
      <c r="AD353" t="s">
        <v>59</v>
      </c>
      <c r="AE353" t="s">
        <v>59</v>
      </c>
      <c r="AF353" t="s">
        <v>59</v>
      </c>
      <c r="AG353" t="s">
        <v>59</v>
      </c>
      <c r="AH353" t="s">
        <v>61</v>
      </c>
      <c r="AI353" t="s">
        <v>61</v>
      </c>
      <c r="AJ353" t="s">
        <v>59</v>
      </c>
      <c r="AK353" t="s">
        <v>59</v>
      </c>
      <c r="AL353" t="s">
        <v>59</v>
      </c>
      <c r="AM353" t="s">
        <v>59</v>
      </c>
      <c r="AN353" t="s">
        <v>59</v>
      </c>
      <c r="AO353" t="s">
        <v>59</v>
      </c>
      <c r="AP353" t="s">
        <v>704</v>
      </c>
      <c r="AQ353" t="s">
        <v>959</v>
      </c>
      <c r="AR353" t="s">
        <v>226</v>
      </c>
      <c r="AS353" t="s">
        <v>245</v>
      </c>
      <c r="AT353" t="s">
        <v>245</v>
      </c>
      <c r="AU353" t="s">
        <v>219</v>
      </c>
      <c r="AW353" s="4">
        <f t="shared" si="178"/>
        <v>6</v>
      </c>
      <c r="AX353" s="4">
        <f t="shared" si="179"/>
        <v>4</v>
      </c>
      <c r="AY353" s="4">
        <f t="shared" si="180"/>
        <v>4</v>
      </c>
      <c r="AZ353" s="4">
        <f t="shared" si="181"/>
        <v>2</v>
      </c>
      <c r="BA353" s="4">
        <f t="shared" si="182"/>
        <v>4</v>
      </c>
      <c r="BB353" s="4">
        <f t="shared" si="183"/>
        <v>4</v>
      </c>
      <c r="BC353" s="4">
        <f t="shared" si="184"/>
        <v>4</v>
      </c>
      <c r="BD353" s="4">
        <f t="shared" si="185"/>
        <v>2</v>
      </c>
      <c r="BE353" s="4">
        <f t="shared" si="186"/>
        <v>4</v>
      </c>
      <c r="BF353" s="4">
        <f t="shared" si="187"/>
        <v>2</v>
      </c>
      <c r="BG353" s="4">
        <f t="shared" si="188"/>
        <v>4</v>
      </c>
      <c r="BH353" s="4">
        <f t="shared" si="189"/>
        <v>4</v>
      </c>
      <c r="BI353" s="4">
        <f t="shared" si="190"/>
        <v>4</v>
      </c>
      <c r="BJ353" s="4">
        <f t="shared" si="191"/>
        <v>2</v>
      </c>
      <c r="BK353" s="4">
        <f t="shared" si="192"/>
        <v>4</v>
      </c>
      <c r="BL353" s="4">
        <f t="shared" si="193"/>
        <v>2</v>
      </c>
      <c r="BM353" s="4">
        <f t="shared" si="194"/>
        <v>4</v>
      </c>
      <c r="BN353" s="4">
        <f t="shared" si="195"/>
        <v>4</v>
      </c>
      <c r="BO353" s="4">
        <f t="shared" si="196"/>
        <v>4</v>
      </c>
      <c r="BP353" s="4">
        <f t="shared" si="197"/>
        <v>4</v>
      </c>
      <c r="BQ353" s="4">
        <f t="shared" si="198"/>
        <v>6</v>
      </c>
      <c r="BR353" s="4">
        <f t="shared" si="199"/>
        <v>4</v>
      </c>
      <c r="BS353" s="4">
        <f t="shared" si="200"/>
        <v>4</v>
      </c>
      <c r="BT353" s="4">
        <f t="shared" si="201"/>
        <v>4</v>
      </c>
      <c r="BU353" s="4">
        <f t="shared" si="202"/>
        <v>4</v>
      </c>
      <c r="BV353" s="4">
        <f t="shared" si="203"/>
        <v>0</v>
      </c>
      <c r="BW353" s="4">
        <f t="shared" si="204"/>
        <v>6</v>
      </c>
      <c r="BX353" s="4">
        <f t="shared" si="205"/>
        <v>0</v>
      </c>
      <c r="BY353" s="4">
        <f t="shared" si="206"/>
        <v>0</v>
      </c>
      <c r="BZ353" s="37">
        <f t="shared" si="207"/>
        <v>100</v>
      </c>
      <c r="CA353" s="32" t="str">
        <f>VLOOKUP(J:J,'Agent wise'!A:C,3,0)</f>
        <v>Shakeer</v>
      </c>
      <c r="CB353" s="32">
        <f t="shared" si="208"/>
        <v>45934</v>
      </c>
      <c r="CC353" t="str">
        <f t="shared" si="209"/>
        <v>Excellent</v>
      </c>
      <c r="CE353" s="32"/>
      <c r="CJ353">
        <f t="shared" si="210"/>
        <v>4</v>
      </c>
      <c r="CK353">
        <f t="shared" si="211"/>
        <v>10</v>
      </c>
      <c r="CL353">
        <f t="shared" si="212"/>
        <v>2025</v>
      </c>
    </row>
    <row r="354" spans="1:90" ht="15" customHeight="1" x14ac:dyDescent="0.35">
      <c r="A354" s="40">
        <v>45818.904988425929</v>
      </c>
      <c r="B354" t="s">
        <v>698</v>
      </c>
      <c r="C354" t="s">
        <v>214</v>
      </c>
      <c r="D354" t="s">
        <v>221</v>
      </c>
      <c r="E354" s="32">
        <v>45934</v>
      </c>
      <c r="F354" t="s">
        <v>222</v>
      </c>
      <c r="G354" s="2">
        <v>45757</v>
      </c>
      <c r="H354">
        <v>9744521432</v>
      </c>
      <c r="I354">
        <v>185</v>
      </c>
      <c r="J354" t="s">
        <v>132</v>
      </c>
      <c r="K354" t="s">
        <v>57</v>
      </c>
      <c r="L354" t="s">
        <v>58</v>
      </c>
      <c r="M354" t="s">
        <v>59</v>
      </c>
      <c r="N354" t="s">
        <v>59</v>
      </c>
      <c r="O354" t="s">
        <v>59</v>
      </c>
      <c r="P354" t="s">
        <v>59</v>
      </c>
      <c r="Q354" t="s">
        <v>59</v>
      </c>
      <c r="R354" t="s">
        <v>59</v>
      </c>
      <c r="S354" t="s">
        <v>59</v>
      </c>
      <c r="T354" t="s">
        <v>59</v>
      </c>
      <c r="U354" t="s">
        <v>59</v>
      </c>
      <c r="V354" t="s">
        <v>59</v>
      </c>
      <c r="W354" t="s">
        <v>59</v>
      </c>
      <c r="X354" t="s">
        <v>59</v>
      </c>
      <c r="Y354" t="s">
        <v>59</v>
      </c>
      <c r="Z354" t="s">
        <v>59</v>
      </c>
      <c r="AA354" t="s">
        <v>59</v>
      </c>
      <c r="AB354" t="s">
        <v>59</v>
      </c>
      <c r="AC354" t="s">
        <v>59</v>
      </c>
      <c r="AD354" t="s">
        <v>59</v>
      </c>
      <c r="AE354" t="s">
        <v>59</v>
      </c>
      <c r="AF354" t="s">
        <v>59</v>
      </c>
      <c r="AG354" t="s">
        <v>59</v>
      </c>
      <c r="AH354" t="s">
        <v>61</v>
      </c>
      <c r="AI354" t="s">
        <v>59</v>
      </c>
      <c r="AJ354" t="s">
        <v>59</v>
      </c>
      <c r="AK354" t="s">
        <v>59</v>
      </c>
      <c r="AL354" t="s">
        <v>59</v>
      </c>
      <c r="AM354" t="s">
        <v>59</v>
      </c>
      <c r="AN354" t="s">
        <v>59</v>
      </c>
      <c r="AO354" t="s">
        <v>59</v>
      </c>
      <c r="AP354" t="s">
        <v>518</v>
      </c>
      <c r="AQ354" t="s">
        <v>960</v>
      </c>
      <c r="AR354" t="s">
        <v>226</v>
      </c>
      <c r="AS354" t="s">
        <v>249</v>
      </c>
      <c r="AT354" t="s">
        <v>249</v>
      </c>
      <c r="AU354" t="s">
        <v>518</v>
      </c>
      <c r="AW354" s="4">
        <f t="shared" si="178"/>
        <v>6</v>
      </c>
      <c r="AX354" s="4">
        <f t="shared" si="179"/>
        <v>4</v>
      </c>
      <c r="AY354" s="4">
        <f t="shared" si="180"/>
        <v>4</v>
      </c>
      <c r="AZ354" s="4">
        <f t="shared" si="181"/>
        <v>2</v>
      </c>
      <c r="BA354" s="4">
        <f t="shared" si="182"/>
        <v>4</v>
      </c>
      <c r="BB354" s="4">
        <f t="shared" si="183"/>
        <v>4</v>
      </c>
      <c r="BC354" s="4">
        <f t="shared" si="184"/>
        <v>4</v>
      </c>
      <c r="BD354" s="4">
        <f t="shared" si="185"/>
        <v>2</v>
      </c>
      <c r="BE354" s="4">
        <f t="shared" si="186"/>
        <v>4</v>
      </c>
      <c r="BF354" s="4">
        <f t="shared" si="187"/>
        <v>2</v>
      </c>
      <c r="BG354" s="4">
        <f t="shared" si="188"/>
        <v>4</v>
      </c>
      <c r="BH354" s="4">
        <f t="shared" si="189"/>
        <v>4</v>
      </c>
      <c r="BI354" s="4">
        <f t="shared" si="190"/>
        <v>4</v>
      </c>
      <c r="BJ354" s="4">
        <f t="shared" si="191"/>
        <v>2</v>
      </c>
      <c r="BK354" s="4">
        <f t="shared" si="192"/>
        <v>4</v>
      </c>
      <c r="BL354" s="4">
        <f t="shared" si="193"/>
        <v>2</v>
      </c>
      <c r="BM354" s="4">
        <f t="shared" si="194"/>
        <v>4</v>
      </c>
      <c r="BN354" s="4">
        <f t="shared" si="195"/>
        <v>4</v>
      </c>
      <c r="BO354" s="4">
        <f t="shared" si="196"/>
        <v>4</v>
      </c>
      <c r="BP354" s="4">
        <f t="shared" si="197"/>
        <v>4</v>
      </c>
      <c r="BQ354" s="4">
        <f t="shared" si="198"/>
        <v>6</v>
      </c>
      <c r="BR354" s="4">
        <f t="shared" si="199"/>
        <v>4</v>
      </c>
      <c r="BS354" s="4">
        <f t="shared" si="200"/>
        <v>4</v>
      </c>
      <c r="BT354" s="4">
        <f t="shared" si="201"/>
        <v>4</v>
      </c>
      <c r="BU354" s="4">
        <f t="shared" si="202"/>
        <v>4</v>
      </c>
      <c r="BV354" s="4">
        <f t="shared" si="203"/>
        <v>0</v>
      </c>
      <c r="BW354" s="4">
        <f t="shared" si="204"/>
        <v>6</v>
      </c>
      <c r="BX354" s="4">
        <f t="shared" si="205"/>
        <v>0</v>
      </c>
      <c r="BY354" s="4">
        <f t="shared" si="206"/>
        <v>0</v>
      </c>
      <c r="BZ354" s="37">
        <f t="shared" si="207"/>
        <v>100</v>
      </c>
      <c r="CA354" s="32" t="str">
        <f>VLOOKUP(J:J,'Agent wise'!A:C,3,0)</f>
        <v>Shakeer</v>
      </c>
      <c r="CB354" s="32">
        <f t="shared" si="208"/>
        <v>45934</v>
      </c>
      <c r="CC354" t="str">
        <f t="shared" si="209"/>
        <v>Excellent</v>
      </c>
      <c r="CE354" s="32"/>
      <c r="CJ354">
        <f t="shared" si="210"/>
        <v>4</v>
      </c>
      <c r="CK354">
        <f t="shared" si="211"/>
        <v>10</v>
      </c>
      <c r="CL354">
        <f t="shared" si="212"/>
        <v>2025</v>
      </c>
    </row>
    <row r="355" spans="1:90" ht="15" customHeight="1" x14ac:dyDescent="0.35">
      <c r="A355" s="40">
        <v>45818.908703703702</v>
      </c>
      <c r="B355" t="s">
        <v>698</v>
      </c>
      <c r="C355" t="s">
        <v>214</v>
      </c>
      <c r="D355" t="s">
        <v>221</v>
      </c>
      <c r="E355" s="32">
        <v>45934</v>
      </c>
      <c r="F355" t="s">
        <v>222</v>
      </c>
      <c r="G355" s="2">
        <v>45757</v>
      </c>
      <c r="H355">
        <v>8883992968</v>
      </c>
      <c r="I355">
        <v>173</v>
      </c>
      <c r="J355" t="s">
        <v>653</v>
      </c>
      <c r="K355" t="s">
        <v>71</v>
      </c>
      <c r="L355" t="s">
        <v>72</v>
      </c>
      <c r="M355" t="s">
        <v>59</v>
      </c>
      <c r="N355" t="s">
        <v>59</v>
      </c>
      <c r="O355" t="s">
        <v>59</v>
      </c>
      <c r="P355" t="s">
        <v>59</v>
      </c>
      <c r="Q355" t="s">
        <v>59</v>
      </c>
      <c r="R355" t="s">
        <v>59</v>
      </c>
      <c r="S355" t="s">
        <v>59</v>
      </c>
      <c r="T355" t="s">
        <v>59</v>
      </c>
      <c r="U355" t="s">
        <v>59</v>
      </c>
      <c r="V355" t="s">
        <v>59</v>
      </c>
      <c r="W355" t="s">
        <v>59</v>
      </c>
      <c r="X355" t="s">
        <v>59</v>
      </c>
      <c r="Y355" t="s">
        <v>59</v>
      </c>
      <c r="Z355" t="s">
        <v>59</v>
      </c>
      <c r="AA355" t="s">
        <v>59</v>
      </c>
      <c r="AB355" t="s">
        <v>59</v>
      </c>
      <c r="AC355" t="s">
        <v>60</v>
      </c>
      <c r="AD355" t="s">
        <v>59</v>
      </c>
      <c r="AE355" t="s">
        <v>59</v>
      </c>
      <c r="AF355" t="s">
        <v>59</v>
      </c>
      <c r="AG355" t="s">
        <v>59</v>
      </c>
      <c r="AH355" t="s">
        <v>61</v>
      </c>
      <c r="AI355" t="s">
        <v>61</v>
      </c>
      <c r="AJ355" t="s">
        <v>59</v>
      </c>
      <c r="AK355" t="s">
        <v>59</v>
      </c>
      <c r="AL355" t="s">
        <v>60</v>
      </c>
      <c r="AM355" t="s">
        <v>59</v>
      </c>
      <c r="AN355" t="s">
        <v>59</v>
      </c>
      <c r="AO355" t="s">
        <v>59</v>
      </c>
      <c r="AP355" t="s">
        <v>961</v>
      </c>
      <c r="AQ355" t="s">
        <v>962</v>
      </c>
      <c r="AR355" t="s">
        <v>226</v>
      </c>
      <c r="AS355" t="s">
        <v>245</v>
      </c>
      <c r="AT355" t="s">
        <v>245</v>
      </c>
      <c r="AU355" t="s">
        <v>219</v>
      </c>
      <c r="AW355" s="4">
        <f t="shared" si="178"/>
        <v>6</v>
      </c>
      <c r="AX355" s="4">
        <f t="shared" si="179"/>
        <v>4</v>
      </c>
      <c r="AY355" s="4">
        <f t="shared" si="180"/>
        <v>4</v>
      </c>
      <c r="AZ355" s="4">
        <f t="shared" si="181"/>
        <v>2</v>
      </c>
      <c r="BA355" s="4">
        <f t="shared" si="182"/>
        <v>4</v>
      </c>
      <c r="BB355" s="4">
        <f t="shared" si="183"/>
        <v>4</v>
      </c>
      <c r="BC355" s="4">
        <f t="shared" si="184"/>
        <v>4</v>
      </c>
      <c r="BD355" s="4">
        <f t="shared" si="185"/>
        <v>2</v>
      </c>
      <c r="BE355" s="4">
        <f t="shared" si="186"/>
        <v>4</v>
      </c>
      <c r="BF355" s="4">
        <f t="shared" si="187"/>
        <v>2</v>
      </c>
      <c r="BG355" s="4">
        <f t="shared" si="188"/>
        <v>4</v>
      </c>
      <c r="BH355" s="4">
        <f t="shared" si="189"/>
        <v>4</v>
      </c>
      <c r="BI355" s="4">
        <f t="shared" si="190"/>
        <v>4</v>
      </c>
      <c r="BJ355" s="4">
        <f t="shared" si="191"/>
        <v>2</v>
      </c>
      <c r="BK355" s="4">
        <f t="shared" si="192"/>
        <v>4</v>
      </c>
      <c r="BL355" s="4">
        <f t="shared" si="193"/>
        <v>2</v>
      </c>
      <c r="BM355" s="4" t="str">
        <f t="shared" si="194"/>
        <v>0</v>
      </c>
      <c r="BN355" s="4">
        <f t="shared" si="195"/>
        <v>4</v>
      </c>
      <c r="BO355" s="4">
        <f t="shared" si="196"/>
        <v>4</v>
      </c>
      <c r="BP355" s="4">
        <f t="shared" si="197"/>
        <v>4</v>
      </c>
      <c r="BQ355" s="4">
        <f t="shared" si="198"/>
        <v>6</v>
      </c>
      <c r="BR355" s="4">
        <f t="shared" si="199"/>
        <v>4</v>
      </c>
      <c r="BS355" s="4">
        <f t="shared" si="200"/>
        <v>4</v>
      </c>
      <c r="BT355" s="4">
        <f t="shared" si="201"/>
        <v>4</v>
      </c>
      <c r="BU355" s="4">
        <f t="shared" si="202"/>
        <v>4</v>
      </c>
      <c r="BV355" s="4" t="str">
        <f t="shared" si="203"/>
        <v>0</v>
      </c>
      <c r="BW355" s="4">
        <f t="shared" si="204"/>
        <v>6</v>
      </c>
      <c r="BX355" s="4">
        <f t="shared" si="205"/>
        <v>0</v>
      </c>
      <c r="BY355" s="4">
        <f t="shared" si="206"/>
        <v>0</v>
      </c>
      <c r="BZ355" s="37">
        <f t="shared" si="207"/>
        <v>96</v>
      </c>
      <c r="CA355" s="32" t="str">
        <f>VLOOKUP(J:J,'Agent wise'!A:C,3,0)</f>
        <v>Saran S</v>
      </c>
      <c r="CB355" s="32">
        <f t="shared" si="208"/>
        <v>45934</v>
      </c>
      <c r="CC355" t="str">
        <f t="shared" si="209"/>
        <v>Excellent</v>
      </c>
      <c r="CE355" s="32"/>
      <c r="CJ355">
        <f t="shared" si="210"/>
        <v>4</v>
      </c>
      <c r="CK355">
        <f t="shared" si="211"/>
        <v>10</v>
      </c>
      <c r="CL355">
        <f t="shared" si="212"/>
        <v>2025</v>
      </c>
    </row>
    <row r="356" spans="1:90" ht="15" customHeight="1" x14ac:dyDescent="0.35">
      <c r="A356" s="40">
        <v>45818.910520833328</v>
      </c>
      <c r="B356" t="s">
        <v>698</v>
      </c>
      <c r="C356" t="s">
        <v>214</v>
      </c>
      <c r="D356" t="s">
        <v>221</v>
      </c>
      <c r="E356" s="32">
        <v>45934</v>
      </c>
      <c r="F356" t="s">
        <v>222</v>
      </c>
      <c r="G356" s="2">
        <v>45757</v>
      </c>
      <c r="H356">
        <v>9895153215</v>
      </c>
      <c r="I356">
        <v>168</v>
      </c>
      <c r="J356" t="s">
        <v>653</v>
      </c>
      <c r="K356" t="s">
        <v>57</v>
      </c>
      <c r="L356" t="s">
        <v>58</v>
      </c>
      <c r="M356" t="s">
        <v>59</v>
      </c>
      <c r="N356" t="s">
        <v>59</v>
      </c>
      <c r="O356" t="s">
        <v>59</v>
      </c>
      <c r="P356" t="s">
        <v>59</v>
      </c>
      <c r="Q356" t="s">
        <v>59</v>
      </c>
      <c r="R356" t="s">
        <v>59</v>
      </c>
      <c r="S356" t="s">
        <v>59</v>
      </c>
      <c r="T356" t="s">
        <v>59</v>
      </c>
      <c r="U356" t="s">
        <v>59</v>
      </c>
      <c r="V356" t="s">
        <v>59</v>
      </c>
      <c r="W356" t="s">
        <v>59</v>
      </c>
      <c r="X356" t="s">
        <v>59</v>
      </c>
      <c r="Y356" t="s">
        <v>59</v>
      </c>
      <c r="Z356" t="s">
        <v>59</v>
      </c>
      <c r="AA356" t="s">
        <v>59</v>
      </c>
      <c r="AB356" t="s">
        <v>59</v>
      </c>
      <c r="AC356" t="s">
        <v>60</v>
      </c>
      <c r="AD356" t="s">
        <v>59</v>
      </c>
      <c r="AE356" t="s">
        <v>59</v>
      </c>
      <c r="AF356" t="s">
        <v>59</v>
      </c>
      <c r="AG356" t="s">
        <v>59</v>
      </c>
      <c r="AH356" t="s">
        <v>61</v>
      </c>
      <c r="AI356" t="s">
        <v>61</v>
      </c>
      <c r="AJ356" t="s">
        <v>59</v>
      </c>
      <c r="AK356" t="s">
        <v>59</v>
      </c>
      <c r="AL356" t="s">
        <v>60</v>
      </c>
      <c r="AM356" t="s">
        <v>59</v>
      </c>
      <c r="AN356" t="s">
        <v>59</v>
      </c>
      <c r="AO356" t="s">
        <v>59</v>
      </c>
      <c r="AP356" t="s">
        <v>963</v>
      </c>
      <c r="AQ356" t="s">
        <v>960</v>
      </c>
      <c r="AR356" t="s">
        <v>226</v>
      </c>
      <c r="AS356" t="s">
        <v>249</v>
      </c>
      <c r="AT356" t="s">
        <v>249</v>
      </c>
      <c r="AU356" t="s">
        <v>219</v>
      </c>
      <c r="AW356" s="4">
        <f t="shared" si="178"/>
        <v>6</v>
      </c>
      <c r="AX356" s="4">
        <f t="shared" si="179"/>
        <v>4</v>
      </c>
      <c r="AY356" s="4">
        <f t="shared" si="180"/>
        <v>4</v>
      </c>
      <c r="AZ356" s="4">
        <f t="shared" si="181"/>
        <v>2</v>
      </c>
      <c r="BA356" s="4">
        <f t="shared" si="182"/>
        <v>4</v>
      </c>
      <c r="BB356" s="4">
        <f t="shared" si="183"/>
        <v>4</v>
      </c>
      <c r="BC356" s="4">
        <f t="shared" si="184"/>
        <v>4</v>
      </c>
      <c r="BD356" s="4">
        <f t="shared" si="185"/>
        <v>2</v>
      </c>
      <c r="BE356" s="4">
        <f t="shared" si="186"/>
        <v>4</v>
      </c>
      <c r="BF356" s="4">
        <f t="shared" si="187"/>
        <v>2</v>
      </c>
      <c r="BG356" s="4">
        <f t="shared" si="188"/>
        <v>4</v>
      </c>
      <c r="BH356" s="4">
        <f t="shared" si="189"/>
        <v>4</v>
      </c>
      <c r="BI356" s="4">
        <f t="shared" si="190"/>
        <v>4</v>
      </c>
      <c r="BJ356" s="4">
        <f t="shared" si="191"/>
        <v>2</v>
      </c>
      <c r="BK356" s="4">
        <f t="shared" si="192"/>
        <v>4</v>
      </c>
      <c r="BL356" s="4">
        <f t="shared" si="193"/>
        <v>2</v>
      </c>
      <c r="BM356" s="4" t="str">
        <f t="shared" si="194"/>
        <v>0</v>
      </c>
      <c r="BN356" s="4">
        <f t="shared" si="195"/>
        <v>4</v>
      </c>
      <c r="BO356" s="4">
        <f t="shared" si="196"/>
        <v>4</v>
      </c>
      <c r="BP356" s="4">
        <f t="shared" si="197"/>
        <v>4</v>
      </c>
      <c r="BQ356" s="4">
        <f t="shared" si="198"/>
        <v>6</v>
      </c>
      <c r="BR356" s="4">
        <f t="shared" si="199"/>
        <v>4</v>
      </c>
      <c r="BS356" s="4">
        <f t="shared" si="200"/>
        <v>4</v>
      </c>
      <c r="BT356" s="4">
        <f t="shared" si="201"/>
        <v>4</v>
      </c>
      <c r="BU356" s="4">
        <f t="shared" si="202"/>
        <v>4</v>
      </c>
      <c r="BV356" s="4" t="str">
        <f t="shared" si="203"/>
        <v>0</v>
      </c>
      <c r="BW356" s="4">
        <f t="shared" si="204"/>
        <v>6</v>
      </c>
      <c r="BX356" s="4">
        <f t="shared" si="205"/>
        <v>0</v>
      </c>
      <c r="BY356" s="4">
        <f t="shared" si="206"/>
        <v>0</v>
      </c>
      <c r="BZ356" s="37">
        <f t="shared" si="207"/>
        <v>96</v>
      </c>
      <c r="CA356" s="32" t="str">
        <f>VLOOKUP(J:J,'Agent wise'!A:C,3,0)</f>
        <v>Saran S</v>
      </c>
      <c r="CB356" s="32">
        <f t="shared" si="208"/>
        <v>45934</v>
      </c>
      <c r="CC356" t="str">
        <f t="shared" si="209"/>
        <v>Excellent</v>
      </c>
      <c r="CE356" s="32"/>
      <c r="CJ356">
        <f t="shared" si="210"/>
        <v>4</v>
      </c>
      <c r="CK356">
        <f t="shared" si="211"/>
        <v>10</v>
      </c>
      <c r="CL356">
        <f t="shared" si="212"/>
        <v>2025</v>
      </c>
    </row>
    <row r="357" spans="1:90" ht="15" customHeight="1" x14ac:dyDescent="0.35">
      <c r="A357" s="40">
        <v>45818.917893518519</v>
      </c>
      <c r="B357" t="s">
        <v>698</v>
      </c>
      <c r="C357" t="s">
        <v>214</v>
      </c>
      <c r="D357" t="s">
        <v>221</v>
      </c>
      <c r="E357" s="32">
        <v>45934</v>
      </c>
      <c r="F357" t="s">
        <v>222</v>
      </c>
      <c r="G357" s="2">
        <v>45757</v>
      </c>
      <c r="H357">
        <v>9946742252</v>
      </c>
      <c r="I357">
        <v>159</v>
      </c>
      <c r="J357" t="s">
        <v>353</v>
      </c>
      <c r="K357" t="s">
        <v>57</v>
      </c>
      <c r="L357" t="s">
        <v>58</v>
      </c>
      <c r="M357" t="s">
        <v>59</v>
      </c>
      <c r="N357" t="s">
        <v>59</v>
      </c>
      <c r="O357" t="s">
        <v>60</v>
      </c>
      <c r="P357" t="s">
        <v>59</v>
      </c>
      <c r="Q357" t="s">
        <v>59</v>
      </c>
      <c r="R357" t="s">
        <v>59</v>
      </c>
      <c r="S357" t="s">
        <v>59</v>
      </c>
      <c r="T357" t="s">
        <v>59</v>
      </c>
      <c r="U357" t="s">
        <v>59</v>
      </c>
      <c r="V357" t="s">
        <v>59</v>
      </c>
      <c r="W357" t="s">
        <v>59</v>
      </c>
      <c r="X357" t="s">
        <v>59</v>
      </c>
      <c r="Y357" t="s">
        <v>59</v>
      </c>
      <c r="Z357" t="s">
        <v>59</v>
      </c>
      <c r="AA357" t="s">
        <v>60</v>
      </c>
      <c r="AB357" t="s">
        <v>60</v>
      </c>
      <c r="AC357" t="s">
        <v>59</v>
      </c>
      <c r="AD357" t="s">
        <v>61</v>
      </c>
      <c r="AE357" t="s">
        <v>59</v>
      </c>
      <c r="AF357" t="s">
        <v>59</v>
      </c>
      <c r="AG357" t="s">
        <v>59</v>
      </c>
      <c r="AH357" t="s">
        <v>61</v>
      </c>
      <c r="AI357" t="s">
        <v>60</v>
      </c>
      <c r="AJ357" t="s">
        <v>59</v>
      </c>
      <c r="AK357" t="s">
        <v>59</v>
      </c>
      <c r="AL357" t="s">
        <v>60</v>
      </c>
      <c r="AM357" t="s">
        <v>59</v>
      </c>
      <c r="AN357" t="s">
        <v>59</v>
      </c>
      <c r="AO357" t="s">
        <v>59</v>
      </c>
      <c r="AP357" s="1" t="s">
        <v>964</v>
      </c>
      <c r="AQ357" t="s">
        <v>960</v>
      </c>
      <c r="AR357" t="s">
        <v>226</v>
      </c>
      <c r="AS357" t="s">
        <v>249</v>
      </c>
      <c r="AT357" t="s">
        <v>249</v>
      </c>
      <c r="AU357" t="s">
        <v>219</v>
      </c>
      <c r="AW357" s="4">
        <f t="shared" si="178"/>
        <v>6</v>
      </c>
      <c r="AX357" s="4">
        <f t="shared" si="179"/>
        <v>4</v>
      </c>
      <c r="AY357" s="4" t="str">
        <f t="shared" si="180"/>
        <v>0</v>
      </c>
      <c r="AZ357" s="4">
        <f t="shared" si="181"/>
        <v>2</v>
      </c>
      <c r="BA357" s="4">
        <f t="shared" si="182"/>
        <v>4</v>
      </c>
      <c r="BB357" s="4">
        <f t="shared" si="183"/>
        <v>4</v>
      </c>
      <c r="BC357" s="4">
        <f t="shared" si="184"/>
        <v>4</v>
      </c>
      <c r="BD357" s="4">
        <f t="shared" si="185"/>
        <v>2</v>
      </c>
      <c r="BE357" s="4">
        <f t="shared" si="186"/>
        <v>4</v>
      </c>
      <c r="BF357" s="4">
        <f t="shared" si="187"/>
        <v>2</v>
      </c>
      <c r="BG357" s="4">
        <f t="shared" si="188"/>
        <v>4</v>
      </c>
      <c r="BH357" s="4">
        <f t="shared" si="189"/>
        <v>4</v>
      </c>
      <c r="BI357" s="4">
        <f t="shared" si="190"/>
        <v>4</v>
      </c>
      <c r="BJ357" s="4">
        <f t="shared" si="191"/>
        <v>2</v>
      </c>
      <c r="BK357" s="4" t="str">
        <f t="shared" si="192"/>
        <v>0</v>
      </c>
      <c r="BL357" s="4" t="str">
        <f t="shared" si="193"/>
        <v>0</v>
      </c>
      <c r="BM357" s="4">
        <f t="shared" si="194"/>
        <v>4</v>
      </c>
      <c r="BN357" s="4">
        <f t="shared" si="195"/>
        <v>4</v>
      </c>
      <c r="BO357" s="4">
        <f t="shared" si="196"/>
        <v>4</v>
      </c>
      <c r="BP357" s="4">
        <f t="shared" si="197"/>
        <v>4</v>
      </c>
      <c r="BQ357" s="4">
        <f t="shared" si="198"/>
        <v>6</v>
      </c>
      <c r="BR357" s="4">
        <f t="shared" si="199"/>
        <v>4</v>
      </c>
      <c r="BS357" s="4" t="str">
        <f t="shared" si="200"/>
        <v>0</v>
      </c>
      <c r="BT357" s="4">
        <f t="shared" si="201"/>
        <v>4</v>
      </c>
      <c r="BU357" s="4">
        <f t="shared" si="202"/>
        <v>4</v>
      </c>
      <c r="BV357" s="4" t="str">
        <f t="shared" si="203"/>
        <v>0</v>
      </c>
      <c r="BW357" s="4">
        <f t="shared" si="204"/>
        <v>6</v>
      </c>
      <c r="BX357" s="4">
        <f t="shared" si="205"/>
        <v>0</v>
      </c>
      <c r="BY357" s="4">
        <f t="shared" si="206"/>
        <v>0</v>
      </c>
      <c r="BZ357" s="37">
        <f t="shared" si="207"/>
        <v>86</v>
      </c>
      <c r="CA357" s="32" t="str">
        <f>VLOOKUP(J:J,'Agent wise'!A:C,3,0)</f>
        <v>Amal</v>
      </c>
      <c r="CB357" s="32">
        <f t="shared" si="208"/>
        <v>45934</v>
      </c>
      <c r="CC357" t="str">
        <f t="shared" si="209"/>
        <v>Average</v>
      </c>
      <c r="CE357" s="32"/>
      <c r="CJ357">
        <f t="shared" si="210"/>
        <v>4</v>
      </c>
      <c r="CK357">
        <f t="shared" si="211"/>
        <v>10</v>
      </c>
      <c r="CL357">
        <f t="shared" si="212"/>
        <v>2025</v>
      </c>
    </row>
    <row r="358" spans="1:90" ht="15" customHeight="1" x14ac:dyDescent="0.35">
      <c r="A358" s="40">
        <v>45818.920763888891</v>
      </c>
      <c r="B358" t="s">
        <v>698</v>
      </c>
      <c r="C358" t="s">
        <v>214</v>
      </c>
      <c r="D358" t="s">
        <v>221</v>
      </c>
      <c r="E358" s="32">
        <v>45935</v>
      </c>
      <c r="F358" t="s">
        <v>222</v>
      </c>
      <c r="G358" s="2">
        <v>45787</v>
      </c>
      <c r="H358">
        <v>9447452532</v>
      </c>
      <c r="I358">
        <v>138</v>
      </c>
      <c r="J358" t="s">
        <v>67</v>
      </c>
      <c r="K358" t="s">
        <v>57</v>
      </c>
      <c r="L358" t="s">
        <v>58</v>
      </c>
      <c r="M358" t="s">
        <v>59</v>
      </c>
      <c r="N358" t="s">
        <v>59</v>
      </c>
      <c r="O358" t="s">
        <v>59</v>
      </c>
      <c r="P358" t="s">
        <v>59</v>
      </c>
      <c r="Q358" t="s">
        <v>59</v>
      </c>
      <c r="R358" t="s">
        <v>59</v>
      </c>
      <c r="S358" t="s">
        <v>59</v>
      </c>
      <c r="T358" t="s">
        <v>59</v>
      </c>
      <c r="U358" t="s">
        <v>59</v>
      </c>
      <c r="V358" t="s">
        <v>59</v>
      </c>
      <c r="W358" t="s">
        <v>59</v>
      </c>
      <c r="X358" t="s">
        <v>59</v>
      </c>
      <c r="Y358" t="s">
        <v>59</v>
      </c>
      <c r="Z358" t="s">
        <v>59</v>
      </c>
      <c r="AA358" t="s">
        <v>59</v>
      </c>
      <c r="AB358" t="s">
        <v>59</v>
      </c>
      <c r="AC358" t="s">
        <v>59</v>
      </c>
      <c r="AD358" t="s">
        <v>61</v>
      </c>
      <c r="AE358" t="s">
        <v>59</v>
      </c>
      <c r="AF358" t="s">
        <v>59</v>
      </c>
      <c r="AG358" t="s">
        <v>59</v>
      </c>
      <c r="AH358" t="s">
        <v>61</v>
      </c>
      <c r="AI358" t="s">
        <v>60</v>
      </c>
      <c r="AJ358" t="s">
        <v>59</v>
      </c>
      <c r="AK358" t="s">
        <v>59</v>
      </c>
      <c r="AL358" t="s">
        <v>60</v>
      </c>
      <c r="AM358" t="s">
        <v>59</v>
      </c>
      <c r="AN358" t="s">
        <v>59</v>
      </c>
      <c r="AO358" t="s">
        <v>59</v>
      </c>
      <c r="AP358" t="s">
        <v>965</v>
      </c>
      <c r="AQ358" t="s">
        <v>960</v>
      </c>
      <c r="AR358" t="s">
        <v>226</v>
      </c>
      <c r="AS358" t="s">
        <v>249</v>
      </c>
      <c r="AT358" t="s">
        <v>249</v>
      </c>
      <c r="AU358" t="s">
        <v>219</v>
      </c>
      <c r="AW358" s="4">
        <f t="shared" si="178"/>
        <v>6</v>
      </c>
      <c r="AX358" s="4">
        <f t="shared" si="179"/>
        <v>4</v>
      </c>
      <c r="AY358" s="4">
        <f t="shared" si="180"/>
        <v>4</v>
      </c>
      <c r="AZ358" s="4">
        <f t="shared" si="181"/>
        <v>2</v>
      </c>
      <c r="BA358" s="4">
        <f t="shared" si="182"/>
        <v>4</v>
      </c>
      <c r="BB358" s="4">
        <f t="shared" si="183"/>
        <v>4</v>
      </c>
      <c r="BC358" s="4">
        <f t="shared" si="184"/>
        <v>4</v>
      </c>
      <c r="BD358" s="4">
        <f t="shared" si="185"/>
        <v>2</v>
      </c>
      <c r="BE358" s="4">
        <f t="shared" si="186"/>
        <v>4</v>
      </c>
      <c r="BF358" s="4">
        <f t="shared" si="187"/>
        <v>2</v>
      </c>
      <c r="BG358" s="4">
        <f t="shared" si="188"/>
        <v>4</v>
      </c>
      <c r="BH358" s="4">
        <f t="shared" si="189"/>
        <v>4</v>
      </c>
      <c r="BI358" s="4">
        <f t="shared" si="190"/>
        <v>4</v>
      </c>
      <c r="BJ358" s="4">
        <f t="shared" si="191"/>
        <v>2</v>
      </c>
      <c r="BK358" s="4">
        <f t="shared" si="192"/>
        <v>4</v>
      </c>
      <c r="BL358" s="4">
        <f t="shared" si="193"/>
        <v>2</v>
      </c>
      <c r="BM358" s="4">
        <f t="shared" si="194"/>
        <v>4</v>
      </c>
      <c r="BN358" s="4">
        <f t="shared" si="195"/>
        <v>4</v>
      </c>
      <c r="BO358" s="4">
        <f t="shared" si="196"/>
        <v>4</v>
      </c>
      <c r="BP358" s="4">
        <f t="shared" si="197"/>
        <v>4</v>
      </c>
      <c r="BQ358" s="4">
        <f t="shared" si="198"/>
        <v>6</v>
      </c>
      <c r="BR358" s="4">
        <f t="shared" si="199"/>
        <v>4</v>
      </c>
      <c r="BS358" s="4" t="str">
        <f t="shared" si="200"/>
        <v>0</v>
      </c>
      <c r="BT358" s="4">
        <f t="shared" si="201"/>
        <v>4</v>
      </c>
      <c r="BU358" s="4">
        <f t="shared" si="202"/>
        <v>4</v>
      </c>
      <c r="BV358" s="4" t="str">
        <f t="shared" si="203"/>
        <v>0</v>
      </c>
      <c r="BW358" s="4">
        <f t="shared" si="204"/>
        <v>6</v>
      </c>
      <c r="BX358" s="4">
        <f t="shared" si="205"/>
        <v>0</v>
      </c>
      <c r="BY358" s="4">
        <f t="shared" si="206"/>
        <v>0</v>
      </c>
      <c r="BZ358" s="37">
        <f t="shared" si="207"/>
        <v>96</v>
      </c>
      <c r="CA358" s="32" t="str">
        <f>VLOOKUP(J:J,'Agent wise'!A:C,3,0)</f>
        <v>Saran S</v>
      </c>
      <c r="CB358" s="32">
        <f t="shared" si="208"/>
        <v>45935</v>
      </c>
      <c r="CC358" t="str">
        <f t="shared" si="209"/>
        <v>Excellent</v>
      </c>
      <c r="CE358" s="32"/>
      <c r="CJ358">
        <f t="shared" si="210"/>
        <v>5</v>
      </c>
      <c r="CK358">
        <f t="shared" si="211"/>
        <v>10</v>
      </c>
      <c r="CL358">
        <f t="shared" si="212"/>
        <v>2025</v>
      </c>
    </row>
    <row r="359" spans="1:90" ht="15" customHeight="1" x14ac:dyDescent="0.35">
      <c r="A359" s="40">
        <v>45818.924050925933</v>
      </c>
      <c r="B359" t="s">
        <v>698</v>
      </c>
      <c r="C359" t="s">
        <v>214</v>
      </c>
      <c r="D359" t="s">
        <v>221</v>
      </c>
      <c r="E359" s="32">
        <v>45935</v>
      </c>
      <c r="F359" t="s">
        <v>222</v>
      </c>
      <c r="G359" s="2">
        <v>45787</v>
      </c>
      <c r="H359">
        <v>9943817971</v>
      </c>
      <c r="I359">
        <v>248</v>
      </c>
      <c r="J359" t="s">
        <v>67</v>
      </c>
      <c r="K359" t="s">
        <v>71</v>
      </c>
      <c r="L359" t="s">
        <v>72</v>
      </c>
      <c r="M359" t="s">
        <v>59</v>
      </c>
      <c r="N359" t="s">
        <v>59</v>
      </c>
      <c r="O359" t="s">
        <v>59</v>
      </c>
      <c r="P359" t="s">
        <v>59</v>
      </c>
      <c r="Q359" t="s">
        <v>59</v>
      </c>
      <c r="R359" t="s">
        <v>59</v>
      </c>
      <c r="S359" t="s">
        <v>59</v>
      </c>
      <c r="T359" t="s">
        <v>59</v>
      </c>
      <c r="U359" t="s">
        <v>59</v>
      </c>
      <c r="V359" t="s">
        <v>59</v>
      </c>
      <c r="W359" t="s">
        <v>59</v>
      </c>
      <c r="X359" t="s">
        <v>59</v>
      </c>
      <c r="Y359" t="s">
        <v>59</v>
      </c>
      <c r="Z359" t="s">
        <v>59</v>
      </c>
      <c r="AA359" t="s">
        <v>59</v>
      </c>
      <c r="AB359" t="s">
        <v>59</v>
      </c>
      <c r="AC359" t="s">
        <v>60</v>
      </c>
      <c r="AD359" t="s">
        <v>59</v>
      </c>
      <c r="AE359" t="s">
        <v>59</v>
      </c>
      <c r="AF359" t="s">
        <v>59</v>
      </c>
      <c r="AG359" t="s">
        <v>59</v>
      </c>
      <c r="AH359" t="s">
        <v>61</v>
      </c>
      <c r="AI359" t="s">
        <v>59</v>
      </c>
      <c r="AJ359" t="s">
        <v>61</v>
      </c>
      <c r="AK359" t="s">
        <v>59</v>
      </c>
      <c r="AL359" t="s">
        <v>60</v>
      </c>
      <c r="AM359" t="s">
        <v>59</v>
      </c>
      <c r="AN359" t="s">
        <v>59</v>
      </c>
      <c r="AO359" t="s">
        <v>59</v>
      </c>
      <c r="AP359" t="s">
        <v>966</v>
      </c>
      <c r="AQ359" t="s">
        <v>967</v>
      </c>
      <c r="AR359" t="s">
        <v>226</v>
      </c>
      <c r="AS359" t="s">
        <v>968</v>
      </c>
      <c r="AT359" t="s">
        <v>968</v>
      </c>
      <c r="AU359" t="s">
        <v>219</v>
      </c>
      <c r="AW359" s="4">
        <f t="shared" si="178"/>
        <v>6</v>
      </c>
      <c r="AX359" s="4">
        <f t="shared" si="179"/>
        <v>4</v>
      </c>
      <c r="AY359" s="4">
        <f t="shared" si="180"/>
        <v>4</v>
      </c>
      <c r="AZ359" s="4">
        <f t="shared" si="181"/>
        <v>2</v>
      </c>
      <c r="BA359" s="4">
        <f t="shared" si="182"/>
        <v>4</v>
      </c>
      <c r="BB359" s="4">
        <f t="shared" si="183"/>
        <v>4</v>
      </c>
      <c r="BC359" s="4">
        <f t="shared" si="184"/>
        <v>4</v>
      </c>
      <c r="BD359" s="4">
        <f t="shared" si="185"/>
        <v>2</v>
      </c>
      <c r="BE359" s="4">
        <f t="shared" si="186"/>
        <v>4</v>
      </c>
      <c r="BF359" s="4">
        <f t="shared" si="187"/>
        <v>2</v>
      </c>
      <c r="BG359" s="4">
        <f t="shared" si="188"/>
        <v>4</v>
      </c>
      <c r="BH359" s="4">
        <f t="shared" si="189"/>
        <v>4</v>
      </c>
      <c r="BI359" s="4">
        <f t="shared" si="190"/>
        <v>4</v>
      </c>
      <c r="BJ359" s="4">
        <f t="shared" si="191"/>
        <v>2</v>
      </c>
      <c r="BK359" s="4">
        <f t="shared" si="192"/>
        <v>4</v>
      </c>
      <c r="BL359" s="4">
        <f t="shared" si="193"/>
        <v>2</v>
      </c>
      <c r="BM359" s="4" t="str">
        <f t="shared" si="194"/>
        <v>0</v>
      </c>
      <c r="BN359" s="4">
        <f t="shared" si="195"/>
        <v>4</v>
      </c>
      <c r="BO359" s="4">
        <f t="shared" si="196"/>
        <v>4</v>
      </c>
      <c r="BP359" s="4">
        <f t="shared" si="197"/>
        <v>4</v>
      </c>
      <c r="BQ359" s="4">
        <f t="shared" si="198"/>
        <v>6</v>
      </c>
      <c r="BR359" s="4">
        <f t="shared" si="199"/>
        <v>4</v>
      </c>
      <c r="BS359" s="4">
        <f t="shared" si="200"/>
        <v>4</v>
      </c>
      <c r="BT359" s="4">
        <f t="shared" si="201"/>
        <v>4</v>
      </c>
      <c r="BU359" s="4">
        <f t="shared" si="202"/>
        <v>4</v>
      </c>
      <c r="BV359" s="4" t="str">
        <f t="shared" si="203"/>
        <v>0</v>
      </c>
      <c r="BW359" s="4">
        <f t="shared" si="204"/>
        <v>6</v>
      </c>
      <c r="BX359" s="4">
        <f t="shared" si="205"/>
        <v>0</v>
      </c>
      <c r="BY359" s="4">
        <f t="shared" si="206"/>
        <v>0</v>
      </c>
      <c r="BZ359" s="37">
        <f t="shared" si="207"/>
        <v>96</v>
      </c>
      <c r="CA359" s="32" t="str">
        <f>VLOOKUP(J:J,'Agent wise'!A:C,3,0)</f>
        <v>Saran S</v>
      </c>
      <c r="CB359" s="32">
        <f t="shared" si="208"/>
        <v>45935</v>
      </c>
      <c r="CC359" t="str">
        <f t="shared" si="209"/>
        <v>Excellent</v>
      </c>
      <c r="CE359" s="32"/>
      <c r="CJ359">
        <f t="shared" si="210"/>
        <v>5</v>
      </c>
      <c r="CK359">
        <f t="shared" si="211"/>
        <v>10</v>
      </c>
      <c r="CL359">
        <f t="shared" si="212"/>
        <v>2025</v>
      </c>
    </row>
    <row r="360" spans="1:90" ht="15" customHeight="1" x14ac:dyDescent="0.35">
      <c r="A360" s="40">
        <v>45818.927557870367</v>
      </c>
      <c r="B360" t="s">
        <v>698</v>
      </c>
      <c r="C360" t="s">
        <v>214</v>
      </c>
      <c r="D360" t="s">
        <v>221</v>
      </c>
      <c r="E360" s="32">
        <v>45935</v>
      </c>
      <c r="F360" t="s">
        <v>222</v>
      </c>
      <c r="G360" s="2">
        <v>45787</v>
      </c>
      <c r="H360">
        <v>9843616909</v>
      </c>
      <c r="I360">
        <v>284</v>
      </c>
      <c r="J360">
        <v>9843616909</v>
      </c>
      <c r="K360" t="s">
        <v>86</v>
      </c>
      <c r="L360" t="s">
        <v>72</v>
      </c>
      <c r="M360" t="s">
        <v>59</v>
      </c>
      <c r="N360" t="s">
        <v>59</v>
      </c>
      <c r="O360" t="s">
        <v>59</v>
      </c>
      <c r="P360" t="s">
        <v>59</v>
      </c>
      <c r="Q360" t="s">
        <v>59</v>
      </c>
      <c r="R360" t="s">
        <v>59</v>
      </c>
      <c r="S360" t="s">
        <v>59</v>
      </c>
      <c r="T360" t="s">
        <v>59</v>
      </c>
      <c r="U360" t="s">
        <v>59</v>
      </c>
      <c r="V360" t="s">
        <v>59</v>
      </c>
      <c r="W360" t="s">
        <v>59</v>
      </c>
      <c r="X360" t="s">
        <v>59</v>
      </c>
      <c r="Y360" t="s">
        <v>59</v>
      </c>
      <c r="Z360" t="s">
        <v>59</v>
      </c>
      <c r="AA360" t="s">
        <v>59</v>
      </c>
      <c r="AB360" t="s">
        <v>59</v>
      </c>
      <c r="AC360" t="s">
        <v>59</v>
      </c>
      <c r="AD360" t="s">
        <v>59</v>
      </c>
      <c r="AE360" t="s">
        <v>59</v>
      </c>
      <c r="AF360" t="s">
        <v>59</v>
      </c>
      <c r="AG360" t="s">
        <v>59</v>
      </c>
      <c r="AH360" t="s">
        <v>61</v>
      </c>
      <c r="AI360" t="s">
        <v>61</v>
      </c>
      <c r="AJ360" t="s">
        <v>59</v>
      </c>
      <c r="AK360" t="s">
        <v>59</v>
      </c>
      <c r="AL360" t="s">
        <v>59</v>
      </c>
      <c r="AM360" t="s">
        <v>59</v>
      </c>
      <c r="AN360" t="s">
        <v>59</v>
      </c>
      <c r="AO360" t="s">
        <v>59</v>
      </c>
      <c r="AP360" t="s">
        <v>247</v>
      </c>
      <c r="AQ360" t="s">
        <v>969</v>
      </c>
      <c r="AR360" t="s">
        <v>226</v>
      </c>
      <c r="AS360" t="s">
        <v>970</v>
      </c>
      <c r="AT360" t="s">
        <v>970</v>
      </c>
      <c r="AU360" t="s">
        <v>518</v>
      </c>
      <c r="AW360" s="4">
        <f t="shared" si="178"/>
        <v>6</v>
      </c>
      <c r="AX360" s="4">
        <f t="shared" si="179"/>
        <v>4</v>
      </c>
      <c r="AY360" s="4">
        <f t="shared" si="180"/>
        <v>4</v>
      </c>
      <c r="AZ360" s="4">
        <f t="shared" si="181"/>
        <v>2</v>
      </c>
      <c r="BA360" s="4">
        <f t="shared" si="182"/>
        <v>4</v>
      </c>
      <c r="BB360" s="4">
        <f t="shared" si="183"/>
        <v>4</v>
      </c>
      <c r="BC360" s="4">
        <f t="shared" si="184"/>
        <v>4</v>
      </c>
      <c r="BD360" s="4">
        <f t="shared" si="185"/>
        <v>2</v>
      </c>
      <c r="BE360" s="4">
        <f t="shared" si="186"/>
        <v>4</v>
      </c>
      <c r="BF360" s="4">
        <f t="shared" si="187"/>
        <v>2</v>
      </c>
      <c r="BG360" s="4">
        <f t="shared" si="188"/>
        <v>4</v>
      </c>
      <c r="BH360" s="4">
        <f t="shared" si="189"/>
        <v>4</v>
      </c>
      <c r="BI360" s="4">
        <f t="shared" si="190"/>
        <v>4</v>
      </c>
      <c r="BJ360" s="4">
        <f t="shared" si="191"/>
        <v>2</v>
      </c>
      <c r="BK360" s="4">
        <f t="shared" si="192"/>
        <v>4</v>
      </c>
      <c r="BL360" s="4">
        <f t="shared" si="193"/>
        <v>2</v>
      </c>
      <c r="BM360" s="4">
        <f t="shared" si="194"/>
        <v>4</v>
      </c>
      <c r="BN360" s="4">
        <f t="shared" si="195"/>
        <v>4</v>
      </c>
      <c r="BO360" s="4">
        <f t="shared" si="196"/>
        <v>4</v>
      </c>
      <c r="BP360" s="4">
        <f t="shared" si="197"/>
        <v>4</v>
      </c>
      <c r="BQ360" s="4">
        <f t="shared" si="198"/>
        <v>6</v>
      </c>
      <c r="BR360" s="4">
        <f t="shared" si="199"/>
        <v>4</v>
      </c>
      <c r="BS360" s="4">
        <f t="shared" si="200"/>
        <v>4</v>
      </c>
      <c r="BT360" s="4">
        <f t="shared" si="201"/>
        <v>4</v>
      </c>
      <c r="BU360" s="4">
        <f t="shared" si="202"/>
        <v>4</v>
      </c>
      <c r="BV360" s="4">
        <f t="shared" si="203"/>
        <v>0</v>
      </c>
      <c r="BW360" s="4">
        <f t="shared" si="204"/>
        <v>6</v>
      </c>
      <c r="BX360" s="4">
        <f t="shared" si="205"/>
        <v>0</v>
      </c>
      <c r="BY360" s="4">
        <f t="shared" si="206"/>
        <v>0</v>
      </c>
      <c r="BZ360" s="37">
        <f t="shared" si="207"/>
        <v>100</v>
      </c>
      <c r="CA360" s="32" t="e">
        <f>VLOOKUP(J:J,'Agent wise'!A:C,3,0)</f>
        <v>#N/A</v>
      </c>
      <c r="CB360" s="32">
        <f t="shared" si="208"/>
        <v>45935</v>
      </c>
      <c r="CC360" t="str">
        <f t="shared" si="209"/>
        <v>Excellent</v>
      </c>
      <c r="CE360" s="32"/>
      <c r="CJ360">
        <f t="shared" si="210"/>
        <v>5</v>
      </c>
      <c r="CK360">
        <f t="shared" si="211"/>
        <v>10</v>
      </c>
      <c r="CL360">
        <f t="shared" si="212"/>
        <v>2025</v>
      </c>
    </row>
    <row r="361" spans="1:90" ht="15" customHeight="1" x14ac:dyDescent="0.35">
      <c r="A361" s="40">
        <v>45818.929884259262</v>
      </c>
      <c r="B361" t="s">
        <v>698</v>
      </c>
      <c r="C361" t="s">
        <v>214</v>
      </c>
      <c r="D361" t="s">
        <v>221</v>
      </c>
      <c r="E361" s="32">
        <v>45935</v>
      </c>
      <c r="F361" t="s">
        <v>222</v>
      </c>
      <c r="G361" s="2">
        <v>45787</v>
      </c>
      <c r="H361">
        <v>9947178201</v>
      </c>
      <c r="I361">
        <v>186</v>
      </c>
      <c r="J361" t="s">
        <v>246</v>
      </c>
      <c r="K361" t="s">
        <v>57</v>
      </c>
      <c r="L361" t="s">
        <v>58</v>
      </c>
      <c r="M361" t="s">
        <v>59</v>
      </c>
      <c r="N361" t="s">
        <v>59</v>
      </c>
      <c r="O361" t="s">
        <v>59</v>
      </c>
      <c r="P361" t="s">
        <v>59</v>
      </c>
      <c r="Q361" t="s">
        <v>59</v>
      </c>
      <c r="R361" t="s">
        <v>59</v>
      </c>
      <c r="S361" t="s">
        <v>59</v>
      </c>
      <c r="T361" t="s">
        <v>59</v>
      </c>
      <c r="U361" t="s">
        <v>59</v>
      </c>
      <c r="V361" t="s">
        <v>59</v>
      </c>
      <c r="W361" t="s">
        <v>59</v>
      </c>
      <c r="X361" t="s">
        <v>59</v>
      </c>
      <c r="Y361" t="s">
        <v>59</v>
      </c>
      <c r="Z361" t="s">
        <v>59</v>
      </c>
      <c r="AA361" t="s">
        <v>59</v>
      </c>
      <c r="AB361" t="s">
        <v>59</v>
      </c>
      <c r="AC361" t="s">
        <v>59</v>
      </c>
      <c r="AD361" t="s">
        <v>59</v>
      </c>
      <c r="AE361" t="s">
        <v>59</v>
      </c>
      <c r="AF361" t="s">
        <v>59</v>
      </c>
      <c r="AG361" t="s">
        <v>59</v>
      </c>
      <c r="AH361" t="s">
        <v>61</v>
      </c>
      <c r="AI361" t="s">
        <v>59</v>
      </c>
      <c r="AJ361" t="s">
        <v>59</v>
      </c>
      <c r="AK361" t="s">
        <v>59</v>
      </c>
      <c r="AL361" t="s">
        <v>59</v>
      </c>
      <c r="AM361" t="s">
        <v>59</v>
      </c>
      <c r="AN361" t="s">
        <v>59</v>
      </c>
      <c r="AO361" t="s">
        <v>59</v>
      </c>
      <c r="AP361" t="s">
        <v>971</v>
      </c>
      <c r="AQ361" t="s">
        <v>960</v>
      </c>
      <c r="AR361" t="s">
        <v>226</v>
      </c>
      <c r="AS361" t="s">
        <v>249</v>
      </c>
      <c r="AT361" t="s">
        <v>249</v>
      </c>
      <c r="AU361" t="s">
        <v>219</v>
      </c>
      <c r="AW361" s="4">
        <f t="shared" si="178"/>
        <v>6</v>
      </c>
      <c r="AX361" s="4">
        <f t="shared" si="179"/>
        <v>4</v>
      </c>
      <c r="AY361" s="4">
        <f t="shared" si="180"/>
        <v>4</v>
      </c>
      <c r="AZ361" s="4">
        <f t="shared" si="181"/>
        <v>2</v>
      </c>
      <c r="BA361" s="4">
        <f t="shared" si="182"/>
        <v>4</v>
      </c>
      <c r="BB361" s="4">
        <f t="shared" si="183"/>
        <v>4</v>
      </c>
      <c r="BC361" s="4">
        <f t="shared" si="184"/>
        <v>4</v>
      </c>
      <c r="BD361" s="4">
        <f t="shared" si="185"/>
        <v>2</v>
      </c>
      <c r="BE361" s="4">
        <f t="shared" si="186"/>
        <v>4</v>
      </c>
      <c r="BF361" s="4">
        <f t="shared" si="187"/>
        <v>2</v>
      </c>
      <c r="BG361" s="4">
        <f t="shared" si="188"/>
        <v>4</v>
      </c>
      <c r="BH361" s="4">
        <f t="shared" si="189"/>
        <v>4</v>
      </c>
      <c r="BI361" s="4">
        <f t="shared" si="190"/>
        <v>4</v>
      </c>
      <c r="BJ361" s="4">
        <f t="shared" si="191"/>
        <v>2</v>
      </c>
      <c r="BK361" s="4">
        <f t="shared" si="192"/>
        <v>4</v>
      </c>
      <c r="BL361" s="4">
        <f t="shared" si="193"/>
        <v>2</v>
      </c>
      <c r="BM361" s="4">
        <f t="shared" si="194"/>
        <v>4</v>
      </c>
      <c r="BN361" s="4">
        <f t="shared" si="195"/>
        <v>4</v>
      </c>
      <c r="BO361" s="4">
        <f t="shared" si="196"/>
        <v>4</v>
      </c>
      <c r="BP361" s="4">
        <f t="shared" si="197"/>
        <v>4</v>
      </c>
      <c r="BQ361" s="4">
        <f t="shared" si="198"/>
        <v>6</v>
      </c>
      <c r="BR361" s="4">
        <f t="shared" si="199"/>
        <v>4</v>
      </c>
      <c r="BS361" s="4">
        <f t="shared" si="200"/>
        <v>4</v>
      </c>
      <c r="BT361" s="4">
        <f t="shared" si="201"/>
        <v>4</v>
      </c>
      <c r="BU361" s="4">
        <f t="shared" si="202"/>
        <v>4</v>
      </c>
      <c r="BV361" s="4">
        <f t="shared" si="203"/>
        <v>0</v>
      </c>
      <c r="BW361" s="4">
        <f t="shared" si="204"/>
        <v>6</v>
      </c>
      <c r="BX361" s="4">
        <f t="shared" si="205"/>
        <v>0</v>
      </c>
      <c r="BY361" s="4">
        <f t="shared" si="206"/>
        <v>0</v>
      </c>
      <c r="BZ361" s="37">
        <f t="shared" si="207"/>
        <v>100</v>
      </c>
      <c r="CA361" s="32" t="str">
        <f>VLOOKUP(J:J,'Agent wise'!A:C,3,0)</f>
        <v>Amal</v>
      </c>
      <c r="CB361" s="32">
        <f t="shared" si="208"/>
        <v>45935</v>
      </c>
      <c r="CC361" t="str">
        <f t="shared" si="209"/>
        <v>Excellent</v>
      </c>
      <c r="CE361" s="32"/>
      <c r="CJ361">
        <f t="shared" si="210"/>
        <v>5</v>
      </c>
      <c r="CK361">
        <f t="shared" si="211"/>
        <v>10</v>
      </c>
      <c r="CL361">
        <f t="shared" si="212"/>
        <v>2025</v>
      </c>
    </row>
    <row r="362" spans="1:90" ht="15" customHeight="1" x14ac:dyDescent="0.35">
      <c r="A362" s="40">
        <v>45818.932615740741</v>
      </c>
      <c r="B362" t="s">
        <v>698</v>
      </c>
      <c r="C362" t="s">
        <v>214</v>
      </c>
      <c r="D362" t="s">
        <v>221</v>
      </c>
      <c r="E362" s="32">
        <v>45935</v>
      </c>
      <c r="F362" t="s">
        <v>222</v>
      </c>
      <c r="G362" s="2">
        <v>45787</v>
      </c>
      <c r="H362">
        <v>9843616909</v>
      </c>
      <c r="I362">
        <v>248</v>
      </c>
      <c r="J362" t="s">
        <v>246</v>
      </c>
      <c r="K362" t="s">
        <v>86</v>
      </c>
      <c r="L362" t="s">
        <v>72</v>
      </c>
      <c r="M362" t="s">
        <v>59</v>
      </c>
      <c r="N362" t="s">
        <v>59</v>
      </c>
      <c r="O362" t="s">
        <v>59</v>
      </c>
      <c r="P362" t="s">
        <v>59</v>
      </c>
      <c r="Q362" t="s">
        <v>59</v>
      </c>
      <c r="R362" t="s">
        <v>59</v>
      </c>
      <c r="S362" t="s">
        <v>59</v>
      </c>
      <c r="T362" t="s">
        <v>59</v>
      </c>
      <c r="U362" t="s">
        <v>59</v>
      </c>
      <c r="V362" t="s">
        <v>59</v>
      </c>
      <c r="W362" t="s">
        <v>59</v>
      </c>
      <c r="X362" t="s">
        <v>59</v>
      </c>
      <c r="Y362" t="s">
        <v>59</v>
      </c>
      <c r="Z362" t="s">
        <v>59</v>
      </c>
      <c r="AA362" t="s">
        <v>59</v>
      </c>
      <c r="AB362" t="s">
        <v>59</v>
      </c>
      <c r="AC362" t="s">
        <v>59</v>
      </c>
      <c r="AD362" t="s">
        <v>59</v>
      </c>
      <c r="AE362" t="s">
        <v>59</v>
      </c>
      <c r="AF362" t="s">
        <v>59</v>
      </c>
      <c r="AG362" t="s">
        <v>59</v>
      </c>
      <c r="AH362" t="s">
        <v>61</v>
      </c>
      <c r="AI362" t="s">
        <v>61</v>
      </c>
      <c r="AJ362" t="s">
        <v>59</v>
      </c>
      <c r="AK362" t="s">
        <v>59</v>
      </c>
      <c r="AL362" t="s">
        <v>59</v>
      </c>
      <c r="AM362" t="s">
        <v>59</v>
      </c>
      <c r="AN362" t="s">
        <v>59</v>
      </c>
      <c r="AO362" t="s">
        <v>59</v>
      </c>
      <c r="AP362" t="s">
        <v>247</v>
      </c>
      <c r="AQ362" t="s">
        <v>972</v>
      </c>
      <c r="AR362" t="s">
        <v>226</v>
      </c>
      <c r="AS362" t="s">
        <v>970</v>
      </c>
      <c r="AT362" t="s">
        <v>970</v>
      </c>
      <c r="AU362" t="s">
        <v>518</v>
      </c>
      <c r="AW362" s="4">
        <f t="shared" si="178"/>
        <v>6</v>
      </c>
      <c r="AX362" s="4">
        <f t="shared" si="179"/>
        <v>4</v>
      </c>
      <c r="AY362" s="4">
        <f t="shared" si="180"/>
        <v>4</v>
      </c>
      <c r="AZ362" s="4">
        <f t="shared" si="181"/>
        <v>2</v>
      </c>
      <c r="BA362" s="4">
        <f t="shared" si="182"/>
        <v>4</v>
      </c>
      <c r="BB362" s="4">
        <f t="shared" si="183"/>
        <v>4</v>
      </c>
      <c r="BC362" s="4">
        <f t="shared" si="184"/>
        <v>4</v>
      </c>
      <c r="BD362" s="4">
        <f t="shared" si="185"/>
        <v>2</v>
      </c>
      <c r="BE362" s="4">
        <f t="shared" si="186"/>
        <v>4</v>
      </c>
      <c r="BF362" s="4">
        <f t="shared" si="187"/>
        <v>2</v>
      </c>
      <c r="BG362" s="4">
        <f t="shared" si="188"/>
        <v>4</v>
      </c>
      <c r="BH362" s="4">
        <f t="shared" si="189"/>
        <v>4</v>
      </c>
      <c r="BI362" s="4">
        <f t="shared" si="190"/>
        <v>4</v>
      </c>
      <c r="BJ362" s="4">
        <f t="shared" si="191"/>
        <v>2</v>
      </c>
      <c r="BK362" s="4">
        <f t="shared" si="192"/>
        <v>4</v>
      </c>
      <c r="BL362" s="4">
        <f t="shared" si="193"/>
        <v>2</v>
      </c>
      <c r="BM362" s="4">
        <f t="shared" si="194"/>
        <v>4</v>
      </c>
      <c r="BN362" s="4">
        <f t="shared" si="195"/>
        <v>4</v>
      </c>
      <c r="BO362" s="4">
        <f t="shared" si="196"/>
        <v>4</v>
      </c>
      <c r="BP362" s="4">
        <f t="shared" si="197"/>
        <v>4</v>
      </c>
      <c r="BQ362" s="4">
        <f t="shared" si="198"/>
        <v>6</v>
      </c>
      <c r="BR362" s="4">
        <f t="shared" si="199"/>
        <v>4</v>
      </c>
      <c r="BS362" s="4">
        <f t="shared" si="200"/>
        <v>4</v>
      </c>
      <c r="BT362" s="4">
        <f t="shared" si="201"/>
        <v>4</v>
      </c>
      <c r="BU362" s="4">
        <f t="shared" si="202"/>
        <v>4</v>
      </c>
      <c r="BV362" s="4">
        <f t="shared" si="203"/>
        <v>0</v>
      </c>
      <c r="BW362" s="4">
        <f t="shared" si="204"/>
        <v>6</v>
      </c>
      <c r="BX362" s="4">
        <f t="shared" si="205"/>
        <v>0</v>
      </c>
      <c r="BY362" s="4">
        <f t="shared" si="206"/>
        <v>0</v>
      </c>
      <c r="BZ362" s="37">
        <f t="shared" si="207"/>
        <v>100</v>
      </c>
      <c r="CA362" s="32" t="str">
        <f>VLOOKUP(J:J,'Agent wise'!A:C,3,0)</f>
        <v>Amal</v>
      </c>
      <c r="CB362" s="32">
        <f t="shared" si="208"/>
        <v>45935</v>
      </c>
      <c r="CC362" t="str">
        <f t="shared" si="209"/>
        <v>Excellent</v>
      </c>
      <c r="CE362" s="32"/>
      <c r="CJ362">
        <f t="shared" si="210"/>
        <v>5</v>
      </c>
      <c r="CK362">
        <f t="shared" si="211"/>
        <v>10</v>
      </c>
      <c r="CL362">
        <f t="shared" si="212"/>
        <v>2025</v>
      </c>
    </row>
    <row r="363" spans="1:90" ht="15" customHeight="1" x14ac:dyDescent="0.35">
      <c r="A363" s="40">
        <v>45818.936064814807</v>
      </c>
      <c r="B363" t="s">
        <v>698</v>
      </c>
      <c r="C363" t="s">
        <v>214</v>
      </c>
      <c r="D363" t="s">
        <v>221</v>
      </c>
      <c r="E363" s="32">
        <v>45935</v>
      </c>
      <c r="F363" t="s">
        <v>222</v>
      </c>
      <c r="G363" s="2">
        <v>45787</v>
      </c>
      <c r="H363">
        <v>7559809784</v>
      </c>
      <c r="I363">
        <v>148</v>
      </c>
      <c r="J363" t="s">
        <v>442</v>
      </c>
      <c r="K363" t="s">
        <v>57</v>
      </c>
      <c r="L363" t="s">
        <v>58</v>
      </c>
      <c r="M363" t="s">
        <v>59</v>
      </c>
      <c r="N363" t="s">
        <v>59</v>
      </c>
      <c r="O363" t="s">
        <v>59</v>
      </c>
      <c r="P363" t="s">
        <v>59</v>
      </c>
      <c r="Q363" t="s">
        <v>59</v>
      </c>
      <c r="R363" t="s">
        <v>59</v>
      </c>
      <c r="S363" t="s">
        <v>59</v>
      </c>
      <c r="T363" t="s">
        <v>59</v>
      </c>
      <c r="U363" t="s">
        <v>59</v>
      </c>
      <c r="V363" t="s">
        <v>59</v>
      </c>
      <c r="W363" t="s">
        <v>59</v>
      </c>
      <c r="X363" t="s">
        <v>59</v>
      </c>
      <c r="Y363" t="s">
        <v>59</v>
      </c>
      <c r="Z363" t="s">
        <v>59</v>
      </c>
      <c r="AA363" t="s">
        <v>59</v>
      </c>
      <c r="AB363" t="s">
        <v>60</v>
      </c>
      <c r="AC363" t="s">
        <v>59</v>
      </c>
      <c r="AD363" t="s">
        <v>59</v>
      </c>
      <c r="AE363" t="s">
        <v>59</v>
      </c>
      <c r="AF363" t="s">
        <v>59</v>
      </c>
      <c r="AG363" t="s">
        <v>59</v>
      </c>
      <c r="AH363" t="s">
        <v>61</v>
      </c>
      <c r="AI363" t="s">
        <v>60</v>
      </c>
      <c r="AJ363" t="s">
        <v>59</v>
      </c>
      <c r="AK363" t="s">
        <v>59</v>
      </c>
      <c r="AL363" t="s">
        <v>60</v>
      </c>
      <c r="AM363" t="s">
        <v>59</v>
      </c>
      <c r="AN363" t="s">
        <v>59</v>
      </c>
      <c r="AO363" t="s">
        <v>59</v>
      </c>
      <c r="AP363" t="s">
        <v>973</v>
      </c>
      <c r="AQ363" t="s">
        <v>960</v>
      </c>
      <c r="AR363" t="s">
        <v>226</v>
      </c>
      <c r="AS363" t="s">
        <v>249</v>
      </c>
      <c r="AT363" t="s">
        <v>249</v>
      </c>
      <c r="AU363" t="s">
        <v>219</v>
      </c>
      <c r="AW363" s="4">
        <f t="shared" si="178"/>
        <v>6</v>
      </c>
      <c r="AX363" s="4">
        <f t="shared" si="179"/>
        <v>4</v>
      </c>
      <c r="AY363" s="4">
        <f t="shared" si="180"/>
        <v>4</v>
      </c>
      <c r="AZ363" s="4">
        <f t="shared" si="181"/>
        <v>2</v>
      </c>
      <c r="BA363" s="4">
        <f t="shared" si="182"/>
        <v>4</v>
      </c>
      <c r="BB363" s="4">
        <f t="shared" si="183"/>
        <v>4</v>
      </c>
      <c r="BC363" s="4">
        <f t="shared" si="184"/>
        <v>4</v>
      </c>
      <c r="BD363" s="4">
        <f t="shared" si="185"/>
        <v>2</v>
      </c>
      <c r="BE363" s="4">
        <f t="shared" si="186"/>
        <v>4</v>
      </c>
      <c r="BF363" s="4">
        <f t="shared" si="187"/>
        <v>2</v>
      </c>
      <c r="BG363" s="4">
        <f t="shared" si="188"/>
        <v>4</v>
      </c>
      <c r="BH363" s="4">
        <f t="shared" si="189"/>
        <v>4</v>
      </c>
      <c r="BI363" s="4">
        <f t="shared" si="190"/>
        <v>4</v>
      </c>
      <c r="BJ363" s="4">
        <f t="shared" si="191"/>
        <v>2</v>
      </c>
      <c r="BK363" s="4">
        <f t="shared" si="192"/>
        <v>4</v>
      </c>
      <c r="BL363" s="4" t="str">
        <f t="shared" si="193"/>
        <v>0</v>
      </c>
      <c r="BM363" s="4">
        <f t="shared" si="194"/>
        <v>4</v>
      </c>
      <c r="BN363" s="4">
        <f t="shared" si="195"/>
        <v>4</v>
      </c>
      <c r="BO363" s="4">
        <f t="shared" si="196"/>
        <v>4</v>
      </c>
      <c r="BP363" s="4">
        <f t="shared" si="197"/>
        <v>4</v>
      </c>
      <c r="BQ363" s="4">
        <f t="shared" si="198"/>
        <v>6</v>
      </c>
      <c r="BR363" s="4">
        <f t="shared" si="199"/>
        <v>4</v>
      </c>
      <c r="BS363" s="4" t="str">
        <f t="shared" si="200"/>
        <v>0</v>
      </c>
      <c r="BT363" s="4">
        <f t="shared" si="201"/>
        <v>4</v>
      </c>
      <c r="BU363" s="4">
        <f t="shared" si="202"/>
        <v>4</v>
      </c>
      <c r="BV363" s="4" t="str">
        <f t="shared" si="203"/>
        <v>0</v>
      </c>
      <c r="BW363" s="4">
        <f t="shared" si="204"/>
        <v>6</v>
      </c>
      <c r="BX363" s="4">
        <f t="shared" si="205"/>
        <v>0</v>
      </c>
      <c r="BY363" s="4">
        <f t="shared" si="206"/>
        <v>0</v>
      </c>
      <c r="BZ363" s="37">
        <f t="shared" si="207"/>
        <v>94</v>
      </c>
      <c r="CA363" s="32" t="str">
        <f>VLOOKUP(J:J,'Agent wise'!A:C,3,0)</f>
        <v>Shakeer</v>
      </c>
      <c r="CB363" s="32">
        <f t="shared" si="208"/>
        <v>45935</v>
      </c>
      <c r="CC363" t="str">
        <f t="shared" si="209"/>
        <v>Good</v>
      </c>
      <c r="CE363" s="32"/>
      <c r="CJ363">
        <f t="shared" si="210"/>
        <v>5</v>
      </c>
      <c r="CK363">
        <f t="shared" si="211"/>
        <v>10</v>
      </c>
      <c r="CL363">
        <f t="shared" si="212"/>
        <v>2025</v>
      </c>
    </row>
    <row r="364" spans="1:90" ht="15" customHeight="1" x14ac:dyDescent="0.35">
      <c r="A364" s="40">
        <v>45818.93949074074</v>
      </c>
      <c r="B364" t="s">
        <v>698</v>
      </c>
      <c r="C364" t="s">
        <v>214</v>
      </c>
      <c r="D364" t="s">
        <v>221</v>
      </c>
      <c r="E364" s="32">
        <v>45936</v>
      </c>
      <c r="F364" t="s">
        <v>222</v>
      </c>
      <c r="G364" s="2">
        <v>45818</v>
      </c>
      <c r="H364">
        <v>9940640635</v>
      </c>
      <c r="I364">
        <v>156</v>
      </c>
      <c r="J364" t="s">
        <v>223</v>
      </c>
      <c r="K364" t="s">
        <v>71</v>
      </c>
      <c r="L364" t="s">
        <v>72</v>
      </c>
      <c r="M364" t="s">
        <v>59</v>
      </c>
      <c r="N364" t="s">
        <v>59</v>
      </c>
      <c r="O364" t="s">
        <v>59</v>
      </c>
      <c r="P364" t="s">
        <v>59</v>
      </c>
      <c r="Q364" t="s">
        <v>59</v>
      </c>
      <c r="R364" t="s">
        <v>59</v>
      </c>
      <c r="S364" t="s">
        <v>59</v>
      </c>
      <c r="T364" t="s">
        <v>59</v>
      </c>
      <c r="U364" t="s">
        <v>59</v>
      </c>
      <c r="V364" t="s">
        <v>59</v>
      </c>
      <c r="W364" t="s">
        <v>59</v>
      </c>
      <c r="X364" t="s">
        <v>59</v>
      </c>
      <c r="Y364" t="s">
        <v>59</v>
      </c>
      <c r="Z364" t="s">
        <v>59</v>
      </c>
      <c r="AA364" t="s">
        <v>59</v>
      </c>
      <c r="AB364" t="s">
        <v>59</v>
      </c>
      <c r="AC364" t="s">
        <v>59</v>
      </c>
      <c r="AD364" t="s">
        <v>59</v>
      </c>
      <c r="AE364" t="s">
        <v>59</v>
      </c>
      <c r="AF364" t="s">
        <v>59</v>
      </c>
      <c r="AG364" t="s">
        <v>59</v>
      </c>
      <c r="AH364" t="s">
        <v>61</v>
      </c>
      <c r="AI364" t="s">
        <v>59</v>
      </c>
      <c r="AJ364" t="s">
        <v>59</v>
      </c>
      <c r="AK364" t="s">
        <v>59</v>
      </c>
      <c r="AL364" t="s">
        <v>59</v>
      </c>
      <c r="AM364" t="s">
        <v>59</v>
      </c>
      <c r="AN364" t="s">
        <v>59</v>
      </c>
      <c r="AO364" t="s">
        <v>59</v>
      </c>
      <c r="AP364" t="s">
        <v>518</v>
      </c>
      <c r="AQ364" t="s">
        <v>974</v>
      </c>
      <c r="AR364" t="s">
        <v>226</v>
      </c>
      <c r="AS364" t="s">
        <v>402</v>
      </c>
      <c r="AT364" t="s">
        <v>402</v>
      </c>
      <c r="AU364" t="s">
        <v>518</v>
      </c>
      <c r="AW364" s="4">
        <f t="shared" si="178"/>
        <v>6</v>
      </c>
      <c r="AX364" s="4">
        <f t="shared" si="179"/>
        <v>4</v>
      </c>
      <c r="AY364" s="4">
        <f t="shared" si="180"/>
        <v>4</v>
      </c>
      <c r="AZ364" s="4">
        <f t="shared" si="181"/>
        <v>2</v>
      </c>
      <c r="BA364" s="4">
        <f t="shared" si="182"/>
        <v>4</v>
      </c>
      <c r="BB364" s="4">
        <f t="shared" si="183"/>
        <v>4</v>
      </c>
      <c r="BC364" s="4">
        <f t="shared" si="184"/>
        <v>4</v>
      </c>
      <c r="BD364" s="4">
        <f t="shared" si="185"/>
        <v>2</v>
      </c>
      <c r="BE364" s="4">
        <f t="shared" si="186"/>
        <v>4</v>
      </c>
      <c r="BF364" s="4">
        <f t="shared" si="187"/>
        <v>2</v>
      </c>
      <c r="BG364" s="4">
        <f t="shared" si="188"/>
        <v>4</v>
      </c>
      <c r="BH364" s="4">
        <f t="shared" si="189"/>
        <v>4</v>
      </c>
      <c r="BI364" s="4">
        <f t="shared" si="190"/>
        <v>4</v>
      </c>
      <c r="BJ364" s="4">
        <f t="shared" si="191"/>
        <v>2</v>
      </c>
      <c r="BK364" s="4">
        <f t="shared" si="192"/>
        <v>4</v>
      </c>
      <c r="BL364" s="4">
        <f t="shared" si="193"/>
        <v>2</v>
      </c>
      <c r="BM364" s="4">
        <f t="shared" si="194"/>
        <v>4</v>
      </c>
      <c r="BN364" s="4">
        <f t="shared" si="195"/>
        <v>4</v>
      </c>
      <c r="BO364" s="4">
        <f t="shared" si="196"/>
        <v>4</v>
      </c>
      <c r="BP364" s="4">
        <f t="shared" si="197"/>
        <v>4</v>
      </c>
      <c r="BQ364" s="4">
        <f t="shared" si="198"/>
        <v>6</v>
      </c>
      <c r="BR364" s="4">
        <f t="shared" si="199"/>
        <v>4</v>
      </c>
      <c r="BS364" s="4">
        <f t="shared" si="200"/>
        <v>4</v>
      </c>
      <c r="BT364" s="4">
        <f t="shared" si="201"/>
        <v>4</v>
      </c>
      <c r="BU364" s="4">
        <f t="shared" si="202"/>
        <v>4</v>
      </c>
      <c r="BV364" s="4">
        <f t="shared" si="203"/>
        <v>0</v>
      </c>
      <c r="BW364" s="4">
        <f t="shared" si="204"/>
        <v>6</v>
      </c>
      <c r="BX364" s="4">
        <f t="shared" si="205"/>
        <v>0</v>
      </c>
      <c r="BY364" s="4">
        <f t="shared" si="206"/>
        <v>0</v>
      </c>
      <c r="BZ364" s="37">
        <f t="shared" si="207"/>
        <v>100</v>
      </c>
      <c r="CA364" s="32" t="str">
        <f>VLOOKUP(J:J,'Agent wise'!A:C,3,0)</f>
        <v>Amal</v>
      </c>
      <c r="CB364" s="32">
        <f t="shared" si="208"/>
        <v>45936</v>
      </c>
      <c r="CC364" t="str">
        <f t="shared" si="209"/>
        <v>Excellent</v>
      </c>
      <c r="CE364" s="32"/>
      <c r="CJ364">
        <f t="shared" si="210"/>
        <v>6</v>
      </c>
      <c r="CK364">
        <f t="shared" si="211"/>
        <v>10</v>
      </c>
      <c r="CL364">
        <f t="shared" si="212"/>
        <v>2025</v>
      </c>
    </row>
    <row r="365" spans="1:90" ht="15" customHeight="1" x14ac:dyDescent="0.35">
      <c r="A365" s="40">
        <v>45818.941168981481</v>
      </c>
      <c r="B365" t="s">
        <v>698</v>
      </c>
      <c r="C365" t="s">
        <v>214</v>
      </c>
      <c r="D365" t="s">
        <v>221</v>
      </c>
      <c r="E365" s="32">
        <v>45936</v>
      </c>
      <c r="F365" t="s">
        <v>222</v>
      </c>
      <c r="G365" s="2">
        <v>45818</v>
      </c>
      <c r="H365">
        <v>9025927792</v>
      </c>
      <c r="I365">
        <v>137</v>
      </c>
      <c r="J365" t="s">
        <v>223</v>
      </c>
      <c r="K365" t="s">
        <v>71</v>
      </c>
      <c r="L365" t="s">
        <v>72</v>
      </c>
      <c r="M365" t="s">
        <v>59</v>
      </c>
      <c r="N365" t="s">
        <v>59</v>
      </c>
      <c r="O365" t="s">
        <v>59</v>
      </c>
      <c r="P365" t="s">
        <v>59</v>
      </c>
      <c r="Q365" t="s">
        <v>59</v>
      </c>
      <c r="R365" t="s">
        <v>59</v>
      </c>
      <c r="S365" t="s">
        <v>59</v>
      </c>
      <c r="T365" t="s">
        <v>59</v>
      </c>
      <c r="U365" t="s">
        <v>59</v>
      </c>
      <c r="V365" t="s">
        <v>59</v>
      </c>
      <c r="W365" t="s">
        <v>59</v>
      </c>
      <c r="X365" t="s">
        <v>59</v>
      </c>
      <c r="Y365" t="s">
        <v>59</v>
      </c>
      <c r="Z365" t="s">
        <v>59</v>
      </c>
      <c r="AA365" t="s">
        <v>59</v>
      </c>
      <c r="AB365" t="s">
        <v>59</v>
      </c>
      <c r="AC365" t="s">
        <v>59</v>
      </c>
      <c r="AD365" t="s">
        <v>59</v>
      </c>
      <c r="AE365" t="s">
        <v>59</v>
      </c>
      <c r="AF365" t="s">
        <v>59</v>
      </c>
      <c r="AG365" t="s">
        <v>59</v>
      </c>
      <c r="AH365" t="s">
        <v>61</v>
      </c>
      <c r="AI365" t="s">
        <v>59</v>
      </c>
      <c r="AJ365" t="s">
        <v>59</v>
      </c>
      <c r="AK365" t="s">
        <v>59</v>
      </c>
      <c r="AL365" t="s">
        <v>59</v>
      </c>
      <c r="AM365" t="s">
        <v>59</v>
      </c>
      <c r="AN365" t="s">
        <v>59</v>
      </c>
      <c r="AO365" t="s">
        <v>59</v>
      </c>
      <c r="AP365" t="s">
        <v>219</v>
      </c>
      <c r="AQ365" t="s">
        <v>960</v>
      </c>
      <c r="AR365" t="s">
        <v>226</v>
      </c>
      <c r="AS365" t="s">
        <v>249</v>
      </c>
      <c r="AT365" t="s">
        <v>249</v>
      </c>
      <c r="AU365" t="s">
        <v>219</v>
      </c>
      <c r="AW365" s="4">
        <f t="shared" si="178"/>
        <v>6</v>
      </c>
      <c r="AX365" s="4">
        <f t="shared" si="179"/>
        <v>4</v>
      </c>
      <c r="AY365" s="4">
        <f t="shared" si="180"/>
        <v>4</v>
      </c>
      <c r="AZ365" s="4">
        <f t="shared" si="181"/>
        <v>2</v>
      </c>
      <c r="BA365" s="4">
        <f t="shared" si="182"/>
        <v>4</v>
      </c>
      <c r="BB365" s="4">
        <f t="shared" si="183"/>
        <v>4</v>
      </c>
      <c r="BC365" s="4">
        <f t="shared" si="184"/>
        <v>4</v>
      </c>
      <c r="BD365" s="4">
        <f t="shared" si="185"/>
        <v>2</v>
      </c>
      <c r="BE365" s="4">
        <f t="shared" si="186"/>
        <v>4</v>
      </c>
      <c r="BF365" s="4">
        <f t="shared" si="187"/>
        <v>2</v>
      </c>
      <c r="BG365" s="4">
        <f t="shared" si="188"/>
        <v>4</v>
      </c>
      <c r="BH365" s="4">
        <f t="shared" si="189"/>
        <v>4</v>
      </c>
      <c r="BI365" s="4">
        <f t="shared" si="190"/>
        <v>4</v>
      </c>
      <c r="BJ365" s="4">
        <f t="shared" si="191"/>
        <v>2</v>
      </c>
      <c r="BK365" s="4">
        <f t="shared" si="192"/>
        <v>4</v>
      </c>
      <c r="BL365" s="4">
        <f t="shared" si="193"/>
        <v>2</v>
      </c>
      <c r="BM365" s="4">
        <f t="shared" si="194"/>
        <v>4</v>
      </c>
      <c r="BN365" s="4">
        <f t="shared" si="195"/>
        <v>4</v>
      </c>
      <c r="BO365" s="4">
        <f t="shared" si="196"/>
        <v>4</v>
      </c>
      <c r="BP365" s="4">
        <f t="shared" si="197"/>
        <v>4</v>
      </c>
      <c r="BQ365" s="4">
        <f t="shared" si="198"/>
        <v>6</v>
      </c>
      <c r="BR365" s="4">
        <f t="shared" si="199"/>
        <v>4</v>
      </c>
      <c r="BS365" s="4">
        <f t="shared" si="200"/>
        <v>4</v>
      </c>
      <c r="BT365" s="4">
        <f t="shared" si="201"/>
        <v>4</v>
      </c>
      <c r="BU365" s="4">
        <f t="shared" si="202"/>
        <v>4</v>
      </c>
      <c r="BV365" s="4">
        <f t="shared" si="203"/>
        <v>0</v>
      </c>
      <c r="BW365" s="4">
        <f t="shared" si="204"/>
        <v>6</v>
      </c>
      <c r="BX365" s="4">
        <f t="shared" si="205"/>
        <v>0</v>
      </c>
      <c r="BY365" s="4">
        <f t="shared" si="206"/>
        <v>0</v>
      </c>
      <c r="BZ365" s="37">
        <f t="shared" si="207"/>
        <v>100</v>
      </c>
      <c r="CA365" s="32" t="str">
        <f>VLOOKUP(J:J,'Agent wise'!A:C,3,0)</f>
        <v>Amal</v>
      </c>
      <c r="CB365" s="32">
        <f t="shared" si="208"/>
        <v>45936</v>
      </c>
      <c r="CC365" t="str">
        <f t="shared" si="209"/>
        <v>Excellent</v>
      </c>
      <c r="CE365" s="32"/>
      <c r="CJ365">
        <f t="shared" si="210"/>
        <v>6</v>
      </c>
      <c r="CK365">
        <f t="shared" si="211"/>
        <v>10</v>
      </c>
      <c r="CL365">
        <f t="shared" si="212"/>
        <v>2025</v>
      </c>
    </row>
    <row r="366" spans="1:90" ht="15" customHeight="1" x14ac:dyDescent="0.35">
      <c r="A366" s="40">
        <v>45818.944247685176</v>
      </c>
      <c r="B366" t="s">
        <v>698</v>
      </c>
      <c r="C366" t="s">
        <v>214</v>
      </c>
      <c r="D366" t="s">
        <v>221</v>
      </c>
      <c r="E366" s="32">
        <v>45936</v>
      </c>
      <c r="F366" t="s">
        <v>222</v>
      </c>
      <c r="G366" s="2">
        <v>45818</v>
      </c>
      <c r="H366">
        <v>8281890550</v>
      </c>
      <c r="I366">
        <v>169</v>
      </c>
      <c r="J366" t="s">
        <v>149</v>
      </c>
      <c r="K366" t="s">
        <v>57</v>
      </c>
      <c r="L366" t="s">
        <v>58</v>
      </c>
      <c r="M366" t="s">
        <v>59</v>
      </c>
      <c r="N366" t="s">
        <v>59</v>
      </c>
      <c r="O366" t="s">
        <v>59</v>
      </c>
      <c r="P366" t="s">
        <v>59</v>
      </c>
      <c r="Q366" t="s">
        <v>59</v>
      </c>
      <c r="R366" t="s">
        <v>59</v>
      </c>
      <c r="S366" t="s">
        <v>59</v>
      </c>
      <c r="T366" t="s">
        <v>59</v>
      </c>
      <c r="U366" t="s">
        <v>59</v>
      </c>
      <c r="V366" t="s">
        <v>59</v>
      </c>
      <c r="W366" t="s">
        <v>59</v>
      </c>
      <c r="X366" t="s">
        <v>59</v>
      </c>
      <c r="Y366" t="s">
        <v>59</v>
      </c>
      <c r="Z366" t="s">
        <v>59</v>
      </c>
      <c r="AA366" t="s">
        <v>59</v>
      </c>
      <c r="AB366" t="s">
        <v>59</v>
      </c>
      <c r="AC366" t="s">
        <v>59</v>
      </c>
      <c r="AD366" t="s">
        <v>59</v>
      </c>
      <c r="AE366" t="s">
        <v>59</v>
      </c>
      <c r="AF366" t="s">
        <v>59</v>
      </c>
      <c r="AG366" t="s">
        <v>59</v>
      </c>
      <c r="AH366" t="s">
        <v>61</v>
      </c>
      <c r="AI366" t="s">
        <v>61</v>
      </c>
      <c r="AJ366" t="s">
        <v>59</v>
      </c>
      <c r="AK366" t="s">
        <v>59</v>
      </c>
      <c r="AL366" t="s">
        <v>59</v>
      </c>
      <c r="AM366" t="s">
        <v>59</v>
      </c>
      <c r="AN366" t="s">
        <v>59</v>
      </c>
      <c r="AO366" t="s">
        <v>59</v>
      </c>
      <c r="AP366" t="s">
        <v>219</v>
      </c>
      <c r="AQ366" t="s">
        <v>975</v>
      </c>
      <c r="AR366" t="s">
        <v>226</v>
      </c>
      <c r="AS366" t="s">
        <v>565</v>
      </c>
      <c r="AT366" t="s">
        <v>565</v>
      </c>
      <c r="AU366" t="s">
        <v>219</v>
      </c>
      <c r="AW366" s="4">
        <f t="shared" si="178"/>
        <v>6</v>
      </c>
      <c r="AX366" s="4">
        <f t="shared" si="179"/>
        <v>4</v>
      </c>
      <c r="AY366" s="4">
        <f t="shared" si="180"/>
        <v>4</v>
      </c>
      <c r="AZ366" s="4">
        <f t="shared" si="181"/>
        <v>2</v>
      </c>
      <c r="BA366" s="4">
        <f t="shared" si="182"/>
        <v>4</v>
      </c>
      <c r="BB366" s="4">
        <f t="shared" si="183"/>
        <v>4</v>
      </c>
      <c r="BC366" s="4">
        <f t="shared" si="184"/>
        <v>4</v>
      </c>
      <c r="BD366" s="4">
        <f t="shared" si="185"/>
        <v>2</v>
      </c>
      <c r="BE366" s="4">
        <f t="shared" si="186"/>
        <v>4</v>
      </c>
      <c r="BF366" s="4">
        <f t="shared" si="187"/>
        <v>2</v>
      </c>
      <c r="BG366" s="4">
        <f t="shared" si="188"/>
        <v>4</v>
      </c>
      <c r="BH366" s="4">
        <f t="shared" si="189"/>
        <v>4</v>
      </c>
      <c r="BI366" s="4">
        <f t="shared" si="190"/>
        <v>4</v>
      </c>
      <c r="BJ366" s="4">
        <f t="shared" si="191"/>
        <v>2</v>
      </c>
      <c r="BK366" s="4">
        <f t="shared" si="192"/>
        <v>4</v>
      </c>
      <c r="BL366" s="4">
        <f t="shared" si="193"/>
        <v>2</v>
      </c>
      <c r="BM366" s="4">
        <f t="shared" si="194"/>
        <v>4</v>
      </c>
      <c r="BN366" s="4">
        <f t="shared" si="195"/>
        <v>4</v>
      </c>
      <c r="BO366" s="4">
        <f t="shared" si="196"/>
        <v>4</v>
      </c>
      <c r="BP366" s="4">
        <f t="shared" si="197"/>
        <v>4</v>
      </c>
      <c r="BQ366" s="4">
        <f t="shared" si="198"/>
        <v>6</v>
      </c>
      <c r="BR366" s="4">
        <f t="shared" si="199"/>
        <v>4</v>
      </c>
      <c r="BS366" s="4">
        <f t="shared" si="200"/>
        <v>4</v>
      </c>
      <c r="BT366" s="4">
        <f t="shared" si="201"/>
        <v>4</v>
      </c>
      <c r="BU366" s="4">
        <f t="shared" si="202"/>
        <v>4</v>
      </c>
      <c r="BV366" s="4">
        <f t="shared" si="203"/>
        <v>0</v>
      </c>
      <c r="BW366" s="4">
        <f t="shared" si="204"/>
        <v>6</v>
      </c>
      <c r="BX366" s="4">
        <f t="shared" si="205"/>
        <v>0</v>
      </c>
      <c r="BY366" s="4">
        <f t="shared" si="206"/>
        <v>0</v>
      </c>
      <c r="BZ366" s="37">
        <f t="shared" si="207"/>
        <v>100</v>
      </c>
      <c r="CA366" s="32" t="str">
        <f>VLOOKUP(J:J,'Agent wise'!A:C,3,0)</f>
        <v>Shakeer</v>
      </c>
      <c r="CB366" s="32">
        <f t="shared" si="208"/>
        <v>45936</v>
      </c>
      <c r="CC366" t="str">
        <f t="shared" si="209"/>
        <v>Excellent</v>
      </c>
      <c r="CE366" s="32"/>
      <c r="CJ366">
        <f t="shared" si="210"/>
        <v>6</v>
      </c>
      <c r="CK366">
        <f t="shared" si="211"/>
        <v>10</v>
      </c>
      <c r="CL366">
        <f t="shared" si="212"/>
        <v>2025</v>
      </c>
    </row>
    <row r="367" spans="1:90" ht="15" customHeight="1" x14ac:dyDescent="0.35">
      <c r="A367" s="40">
        <v>45818.944398148153</v>
      </c>
      <c r="B367" t="s">
        <v>130</v>
      </c>
      <c r="C367" t="s">
        <v>214</v>
      </c>
      <c r="D367" t="s">
        <v>131</v>
      </c>
      <c r="E367" s="32">
        <v>45936</v>
      </c>
      <c r="F367" t="s">
        <v>54</v>
      </c>
      <c r="G367" s="2">
        <v>45818</v>
      </c>
      <c r="H367">
        <v>9444554266</v>
      </c>
      <c r="I367">
        <v>152</v>
      </c>
      <c r="J367" t="s">
        <v>557</v>
      </c>
      <c r="K367" t="s">
        <v>71</v>
      </c>
      <c r="L367" t="s">
        <v>72</v>
      </c>
      <c r="M367" t="s">
        <v>59</v>
      </c>
      <c r="N367" t="s">
        <v>59</v>
      </c>
      <c r="O367" t="s">
        <v>59</v>
      </c>
      <c r="P367" t="s">
        <v>59</v>
      </c>
      <c r="Q367" t="s">
        <v>59</v>
      </c>
      <c r="R367" t="s">
        <v>59</v>
      </c>
      <c r="S367" t="s">
        <v>59</v>
      </c>
      <c r="T367" t="s">
        <v>59</v>
      </c>
      <c r="U367" t="s">
        <v>60</v>
      </c>
      <c r="V367" t="s">
        <v>59</v>
      </c>
      <c r="W367" t="s">
        <v>59</v>
      </c>
      <c r="X367" t="s">
        <v>59</v>
      </c>
      <c r="Y367" t="s">
        <v>59</v>
      </c>
      <c r="Z367" t="s">
        <v>59</v>
      </c>
      <c r="AA367" t="s">
        <v>59</v>
      </c>
      <c r="AB367" t="s">
        <v>59</v>
      </c>
      <c r="AC367" t="s">
        <v>60</v>
      </c>
      <c r="AD367" t="s">
        <v>59</v>
      </c>
      <c r="AE367" t="s">
        <v>59</v>
      </c>
      <c r="AF367" t="s">
        <v>61</v>
      </c>
      <c r="AG367" t="s">
        <v>59</v>
      </c>
      <c r="AH367" t="s">
        <v>61</v>
      </c>
      <c r="AI367" t="s">
        <v>61</v>
      </c>
      <c r="AJ367" t="s">
        <v>59</v>
      </c>
      <c r="AK367" t="s">
        <v>59</v>
      </c>
      <c r="AL367" t="s">
        <v>60</v>
      </c>
      <c r="AM367" t="s">
        <v>59</v>
      </c>
      <c r="AN367" t="s">
        <v>59</v>
      </c>
      <c r="AO367" t="s">
        <v>59</v>
      </c>
      <c r="AP367" t="s">
        <v>678</v>
      </c>
      <c r="AQ367" s="1" t="s">
        <v>174</v>
      </c>
      <c r="AR367" t="s">
        <v>64</v>
      </c>
      <c r="AS367" t="s">
        <v>175</v>
      </c>
      <c r="AT367" t="s">
        <v>334</v>
      </c>
      <c r="AU367" t="s">
        <v>219</v>
      </c>
      <c r="AW367" s="4">
        <f t="shared" si="178"/>
        <v>6</v>
      </c>
      <c r="AX367" s="4">
        <f t="shared" si="179"/>
        <v>4</v>
      </c>
      <c r="AY367" s="4">
        <f t="shared" si="180"/>
        <v>4</v>
      </c>
      <c r="AZ367" s="4">
        <f t="shared" si="181"/>
        <v>2</v>
      </c>
      <c r="BA367" s="4">
        <f t="shared" si="182"/>
        <v>4</v>
      </c>
      <c r="BB367" s="4">
        <f t="shared" si="183"/>
        <v>4</v>
      </c>
      <c r="BC367" s="4">
        <f t="shared" si="184"/>
        <v>4</v>
      </c>
      <c r="BD367" s="4">
        <f t="shared" si="185"/>
        <v>2</v>
      </c>
      <c r="BE367" s="4" t="str">
        <f t="shared" si="186"/>
        <v>0</v>
      </c>
      <c r="BF367" s="4">
        <f t="shared" si="187"/>
        <v>2</v>
      </c>
      <c r="BG367" s="4">
        <f t="shared" si="188"/>
        <v>4</v>
      </c>
      <c r="BH367" s="4">
        <f t="shared" si="189"/>
        <v>4</v>
      </c>
      <c r="BI367" s="4">
        <f t="shared" si="190"/>
        <v>4</v>
      </c>
      <c r="BJ367" s="4">
        <f t="shared" si="191"/>
        <v>2</v>
      </c>
      <c r="BK367" s="4">
        <f t="shared" si="192"/>
        <v>4</v>
      </c>
      <c r="BL367" s="4">
        <f t="shared" si="193"/>
        <v>2</v>
      </c>
      <c r="BM367" s="4" t="str">
        <f t="shared" si="194"/>
        <v>0</v>
      </c>
      <c r="BN367" s="4">
        <f t="shared" si="195"/>
        <v>4</v>
      </c>
      <c r="BO367" s="4">
        <f t="shared" si="196"/>
        <v>4</v>
      </c>
      <c r="BP367" s="4">
        <f t="shared" si="197"/>
        <v>4</v>
      </c>
      <c r="BQ367" s="4">
        <f t="shared" si="198"/>
        <v>6</v>
      </c>
      <c r="BR367" s="4">
        <f t="shared" si="199"/>
        <v>4</v>
      </c>
      <c r="BS367" s="4">
        <f t="shared" si="200"/>
        <v>4</v>
      </c>
      <c r="BT367" s="4">
        <f t="shared" si="201"/>
        <v>4</v>
      </c>
      <c r="BU367" s="4">
        <f t="shared" si="202"/>
        <v>4</v>
      </c>
      <c r="BV367" s="4" t="str">
        <f t="shared" si="203"/>
        <v>0</v>
      </c>
      <c r="BW367" s="4">
        <f t="shared" si="204"/>
        <v>6</v>
      </c>
      <c r="BX367" s="4">
        <f t="shared" si="205"/>
        <v>0</v>
      </c>
      <c r="BY367" s="4">
        <f t="shared" si="206"/>
        <v>0</v>
      </c>
      <c r="BZ367" s="37">
        <f t="shared" si="207"/>
        <v>92</v>
      </c>
      <c r="CA367" s="32" t="str">
        <f>VLOOKUP(J:J,'Agent wise'!A:C,3,0)</f>
        <v xml:space="preserve">Shiny </v>
      </c>
      <c r="CB367" s="32">
        <f t="shared" si="208"/>
        <v>45936</v>
      </c>
      <c r="CC367" t="str">
        <f t="shared" si="209"/>
        <v>Good</v>
      </c>
      <c r="CE367" s="32"/>
      <c r="CJ367">
        <f t="shared" si="210"/>
        <v>6</v>
      </c>
      <c r="CK367">
        <f t="shared" si="211"/>
        <v>10</v>
      </c>
      <c r="CL367">
        <f t="shared" si="212"/>
        <v>2025</v>
      </c>
    </row>
    <row r="368" spans="1:90" ht="15" customHeight="1" x14ac:dyDescent="0.35">
      <c r="A368" s="40">
        <v>45818.946770833332</v>
      </c>
      <c r="B368" t="s">
        <v>698</v>
      </c>
      <c r="C368" t="s">
        <v>214</v>
      </c>
      <c r="D368" t="s">
        <v>221</v>
      </c>
      <c r="E368" s="32">
        <v>45936</v>
      </c>
      <c r="F368" t="s">
        <v>222</v>
      </c>
      <c r="G368" s="2">
        <v>45818</v>
      </c>
      <c r="H368">
        <v>9786621199</v>
      </c>
      <c r="I368">
        <v>169</v>
      </c>
      <c r="J368" t="s">
        <v>548</v>
      </c>
      <c r="K368" t="s">
        <v>71</v>
      </c>
      <c r="L368" t="s">
        <v>72</v>
      </c>
      <c r="M368" t="s">
        <v>59</v>
      </c>
      <c r="N368" t="s">
        <v>59</v>
      </c>
      <c r="O368" t="s">
        <v>59</v>
      </c>
      <c r="P368" t="s">
        <v>59</v>
      </c>
      <c r="Q368" t="s">
        <v>59</v>
      </c>
      <c r="R368" t="s">
        <v>59</v>
      </c>
      <c r="S368" t="s">
        <v>59</v>
      </c>
      <c r="T368" t="s">
        <v>59</v>
      </c>
      <c r="U368" t="s">
        <v>59</v>
      </c>
      <c r="V368" t="s">
        <v>59</v>
      </c>
      <c r="W368" t="s">
        <v>59</v>
      </c>
      <c r="X368" t="s">
        <v>59</v>
      </c>
      <c r="Y368" t="s">
        <v>59</v>
      </c>
      <c r="Z368" t="s">
        <v>59</v>
      </c>
      <c r="AA368" t="s">
        <v>59</v>
      </c>
      <c r="AB368" t="s">
        <v>59</v>
      </c>
      <c r="AC368" t="s">
        <v>59</v>
      </c>
      <c r="AD368" t="s">
        <v>59</v>
      </c>
      <c r="AE368" t="s">
        <v>59</v>
      </c>
      <c r="AF368" t="s">
        <v>59</v>
      </c>
      <c r="AG368" t="s">
        <v>59</v>
      </c>
      <c r="AH368" t="s">
        <v>61</v>
      </c>
      <c r="AI368" t="s">
        <v>60</v>
      </c>
      <c r="AJ368" t="s">
        <v>59</v>
      </c>
      <c r="AK368" t="s">
        <v>59</v>
      </c>
      <c r="AL368" t="s">
        <v>60</v>
      </c>
      <c r="AM368" t="s">
        <v>59</v>
      </c>
      <c r="AN368" t="s">
        <v>59</v>
      </c>
      <c r="AO368" t="s">
        <v>59</v>
      </c>
      <c r="AP368" t="s">
        <v>976</v>
      </c>
      <c r="AQ368" t="s">
        <v>960</v>
      </c>
      <c r="AR368" t="s">
        <v>226</v>
      </c>
      <c r="AS368" t="s">
        <v>249</v>
      </c>
      <c r="AT368" t="s">
        <v>249</v>
      </c>
      <c r="AU368" t="s">
        <v>219</v>
      </c>
      <c r="AW368" s="4">
        <f t="shared" si="178"/>
        <v>6</v>
      </c>
      <c r="AX368" s="4">
        <f t="shared" si="179"/>
        <v>4</v>
      </c>
      <c r="AY368" s="4">
        <f t="shared" si="180"/>
        <v>4</v>
      </c>
      <c r="AZ368" s="4">
        <f t="shared" si="181"/>
        <v>2</v>
      </c>
      <c r="BA368" s="4">
        <f t="shared" si="182"/>
        <v>4</v>
      </c>
      <c r="BB368" s="4">
        <f t="shared" si="183"/>
        <v>4</v>
      </c>
      <c r="BC368" s="4">
        <f t="shared" si="184"/>
        <v>4</v>
      </c>
      <c r="BD368" s="4">
        <f t="shared" si="185"/>
        <v>2</v>
      </c>
      <c r="BE368" s="4">
        <f t="shared" si="186"/>
        <v>4</v>
      </c>
      <c r="BF368" s="4">
        <f t="shared" si="187"/>
        <v>2</v>
      </c>
      <c r="BG368" s="4">
        <f t="shared" si="188"/>
        <v>4</v>
      </c>
      <c r="BH368" s="4">
        <f t="shared" si="189"/>
        <v>4</v>
      </c>
      <c r="BI368" s="4">
        <f t="shared" si="190"/>
        <v>4</v>
      </c>
      <c r="BJ368" s="4">
        <f t="shared" si="191"/>
        <v>2</v>
      </c>
      <c r="BK368" s="4">
        <f t="shared" si="192"/>
        <v>4</v>
      </c>
      <c r="BL368" s="4">
        <f t="shared" si="193"/>
        <v>2</v>
      </c>
      <c r="BM368" s="4">
        <f t="shared" si="194"/>
        <v>4</v>
      </c>
      <c r="BN368" s="4">
        <f t="shared" si="195"/>
        <v>4</v>
      </c>
      <c r="BO368" s="4">
        <f t="shared" si="196"/>
        <v>4</v>
      </c>
      <c r="BP368" s="4">
        <f t="shared" si="197"/>
        <v>4</v>
      </c>
      <c r="BQ368" s="4">
        <f t="shared" si="198"/>
        <v>6</v>
      </c>
      <c r="BR368" s="4">
        <f t="shared" si="199"/>
        <v>4</v>
      </c>
      <c r="BS368" s="4" t="str">
        <f t="shared" si="200"/>
        <v>0</v>
      </c>
      <c r="BT368" s="4">
        <f t="shared" si="201"/>
        <v>4</v>
      </c>
      <c r="BU368" s="4">
        <f t="shared" si="202"/>
        <v>4</v>
      </c>
      <c r="BV368" s="4" t="str">
        <f t="shared" si="203"/>
        <v>0</v>
      </c>
      <c r="BW368" s="4">
        <f t="shared" si="204"/>
        <v>6</v>
      </c>
      <c r="BX368" s="4">
        <f t="shared" si="205"/>
        <v>0</v>
      </c>
      <c r="BY368" s="4">
        <f t="shared" si="206"/>
        <v>0</v>
      </c>
      <c r="BZ368" s="37">
        <f t="shared" si="207"/>
        <v>96</v>
      </c>
      <c r="CA368" s="32" t="str">
        <f>VLOOKUP(J:J,'Agent wise'!A:C,3,0)</f>
        <v>Adharsh</v>
      </c>
      <c r="CB368" s="32">
        <f t="shared" si="208"/>
        <v>45936</v>
      </c>
      <c r="CC368" t="str">
        <f t="shared" si="209"/>
        <v>Excellent</v>
      </c>
      <c r="CE368" s="32"/>
      <c r="CJ368">
        <f t="shared" si="210"/>
        <v>6</v>
      </c>
      <c r="CK368">
        <f t="shared" si="211"/>
        <v>10</v>
      </c>
      <c r="CL368">
        <f t="shared" si="212"/>
        <v>2025</v>
      </c>
    </row>
    <row r="369" spans="1:90" ht="15" customHeight="1" x14ac:dyDescent="0.35">
      <c r="A369" s="40">
        <v>45818.94730324074</v>
      </c>
      <c r="B369" t="s">
        <v>130</v>
      </c>
      <c r="C369" t="s">
        <v>214</v>
      </c>
      <c r="D369" t="s">
        <v>131</v>
      </c>
      <c r="E369" s="32">
        <v>45936</v>
      </c>
      <c r="F369" t="s">
        <v>54</v>
      </c>
      <c r="G369" s="2">
        <v>45818</v>
      </c>
      <c r="H369">
        <v>9655956117</v>
      </c>
      <c r="I369">
        <v>126</v>
      </c>
      <c r="J369" t="s">
        <v>646</v>
      </c>
      <c r="K369" t="s">
        <v>71</v>
      </c>
      <c r="L369" t="s">
        <v>72</v>
      </c>
      <c r="M369" t="s">
        <v>59</v>
      </c>
      <c r="N369" t="s">
        <v>59</v>
      </c>
      <c r="O369" t="s">
        <v>59</v>
      </c>
      <c r="P369" t="s">
        <v>59</v>
      </c>
      <c r="Q369" t="s">
        <v>59</v>
      </c>
      <c r="R369" t="s">
        <v>59</v>
      </c>
      <c r="S369" t="s">
        <v>59</v>
      </c>
      <c r="T369" t="s">
        <v>59</v>
      </c>
      <c r="U369" t="s">
        <v>60</v>
      </c>
      <c r="V369" t="s">
        <v>59</v>
      </c>
      <c r="W369" t="s">
        <v>59</v>
      </c>
      <c r="X369" t="s">
        <v>59</v>
      </c>
      <c r="Y369" t="s">
        <v>59</v>
      </c>
      <c r="Z369" t="s">
        <v>59</v>
      </c>
      <c r="AA369" t="s">
        <v>60</v>
      </c>
      <c r="AB369" t="s">
        <v>59</v>
      </c>
      <c r="AC369" t="s">
        <v>59</v>
      </c>
      <c r="AD369" t="s">
        <v>59</v>
      </c>
      <c r="AE369" t="s">
        <v>59</v>
      </c>
      <c r="AF369" t="s">
        <v>61</v>
      </c>
      <c r="AG369" t="s">
        <v>59</v>
      </c>
      <c r="AH369" t="s">
        <v>61</v>
      </c>
      <c r="AI369" t="s">
        <v>61</v>
      </c>
      <c r="AJ369" t="s">
        <v>59</v>
      </c>
      <c r="AK369" t="s">
        <v>59</v>
      </c>
      <c r="AL369" t="s">
        <v>60</v>
      </c>
      <c r="AM369" t="s">
        <v>59</v>
      </c>
      <c r="AN369" t="s">
        <v>59</v>
      </c>
      <c r="AO369" t="s">
        <v>59</v>
      </c>
      <c r="AP369" t="s">
        <v>977</v>
      </c>
      <c r="AQ369" s="1" t="s">
        <v>978</v>
      </c>
      <c r="AR369" t="s">
        <v>64</v>
      </c>
      <c r="AS369" t="s">
        <v>171</v>
      </c>
      <c r="AT369" t="s">
        <v>979</v>
      </c>
      <c r="AU369" t="s">
        <v>219</v>
      </c>
      <c r="AW369" s="4">
        <f t="shared" si="178"/>
        <v>6</v>
      </c>
      <c r="AX369" s="4">
        <f t="shared" si="179"/>
        <v>4</v>
      </c>
      <c r="AY369" s="4">
        <f t="shared" si="180"/>
        <v>4</v>
      </c>
      <c r="AZ369" s="4">
        <f t="shared" si="181"/>
        <v>2</v>
      </c>
      <c r="BA369" s="4">
        <f t="shared" si="182"/>
        <v>4</v>
      </c>
      <c r="BB369" s="4">
        <f t="shared" si="183"/>
        <v>4</v>
      </c>
      <c r="BC369" s="4">
        <f t="shared" si="184"/>
        <v>4</v>
      </c>
      <c r="BD369" s="4">
        <f t="shared" si="185"/>
        <v>2</v>
      </c>
      <c r="BE369" s="4" t="str">
        <f t="shared" si="186"/>
        <v>0</v>
      </c>
      <c r="BF369" s="4">
        <f t="shared" si="187"/>
        <v>2</v>
      </c>
      <c r="BG369" s="4">
        <f t="shared" si="188"/>
        <v>4</v>
      </c>
      <c r="BH369" s="4">
        <f t="shared" si="189"/>
        <v>4</v>
      </c>
      <c r="BI369" s="4">
        <f t="shared" si="190"/>
        <v>4</v>
      </c>
      <c r="BJ369" s="4">
        <f t="shared" si="191"/>
        <v>2</v>
      </c>
      <c r="BK369" s="4" t="str">
        <f t="shared" si="192"/>
        <v>0</v>
      </c>
      <c r="BL369" s="4">
        <f t="shared" si="193"/>
        <v>2</v>
      </c>
      <c r="BM369" s="4">
        <f t="shared" si="194"/>
        <v>4</v>
      </c>
      <c r="BN369" s="4">
        <f t="shared" si="195"/>
        <v>4</v>
      </c>
      <c r="BO369" s="4">
        <f t="shared" si="196"/>
        <v>4</v>
      </c>
      <c r="BP369" s="4">
        <f t="shared" si="197"/>
        <v>4</v>
      </c>
      <c r="BQ369" s="4">
        <f t="shared" si="198"/>
        <v>6</v>
      </c>
      <c r="BR369" s="4">
        <f t="shared" si="199"/>
        <v>4</v>
      </c>
      <c r="BS369" s="4">
        <f t="shared" si="200"/>
        <v>4</v>
      </c>
      <c r="BT369" s="4">
        <f t="shared" si="201"/>
        <v>4</v>
      </c>
      <c r="BU369" s="4">
        <f t="shared" si="202"/>
        <v>4</v>
      </c>
      <c r="BV369" s="4" t="str">
        <f t="shared" si="203"/>
        <v>0</v>
      </c>
      <c r="BW369" s="4">
        <f t="shared" si="204"/>
        <v>6</v>
      </c>
      <c r="BX369" s="4">
        <f t="shared" si="205"/>
        <v>0</v>
      </c>
      <c r="BY369" s="4">
        <f t="shared" si="206"/>
        <v>0</v>
      </c>
      <c r="BZ369" s="37">
        <f t="shared" si="207"/>
        <v>92</v>
      </c>
      <c r="CA369" s="32" t="str">
        <f>VLOOKUP(J:J,'Agent wise'!A:C,3,0)</f>
        <v xml:space="preserve">Shiny </v>
      </c>
      <c r="CB369" s="32">
        <f t="shared" si="208"/>
        <v>45936</v>
      </c>
      <c r="CC369" t="str">
        <f t="shared" si="209"/>
        <v>Good</v>
      </c>
      <c r="CE369" s="32"/>
      <c r="CJ369">
        <f t="shared" si="210"/>
        <v>6</v>
      </c>
      <c r="CK369">
        <f t="shared" si="211"/>
        <v>10</v>
      </c>
      <c r="CL369">
        <f t="shared" si="212"/>
        <v>2025</v>
      </c>
    </row>
    <row r="370" spans="1:90" ht="15" customHeight="1" x14ac:dyDescent="0.35">
      <c r="A370" s="40">
        <v>45818.950520833343</v>
      </c>
      <c r="B370" t="s">
        <v>698</v>
      </c>
      <c r="C370" t="s">
        <v>214</v>
      </c>
      <c r="D370" t="s">
        <v>221</v>
      </c>
      <c r="E370" s="32">
        <v>45936</v>
      </c>
      <c r="F370" t="s">
        <v>222</v>
      </c>
      <c r="G370" s="2">
        <v>45818</v>
      </c>
      <c r="H370">
        <v>6300632226</v>
      </c>
      <c r="I370">
        <v>138</v>
      </c>
      <c r="J370" t="s">
        <v>548</v>
      </c>
      <c r="K370" t="s">
        <v>86</v>
      </c>
      <c r="L370" t="s">
        <v>72</v>
      </c>
      <c r="M370" t="s">
        <v>59</v>
      </c>
      <c r="N370" t="s">
        <v>59</v>
      </c>
      <c r="O370" t="s">
        <v>59</v>
      </c>
      <c r="P370" t="s">
        <v>59</v>
      </c>
      <c r="Q370" t="s">
        <v>59</v>
      </c>
      <c r="R370" t="s">
        <v>59</v>
      </c>
      <c r="S370" t="s">
        <v>59</v>
      </c>
      <c r="T370" t="s">
        <v>59</v>
      </c>
      <c r="U370" t="s">
        <v>59</v>
      </c>
      <c r="V370" t="s">
        <v>59</v>
      </c>
      <c r="W370" t="s">
        <v>60</v>
      </c>
      <c r="X370" t="s">
        <v>59</v>
      </c>
      <c r="Y370" t="s">
        <v>59</v>
      </c>
      <c r="Z370" t="s">
        <v>59</v>
      </c>
      <c r="AA370" t="s">
        <v>60</v>
      </c>
      <c r="AB370" t="s">
        <v>60</v>
      </c>
      <c r="AC370" t="s">
        <v>59</v>
      </c>
      <c r="AD370" t="s">
        <v>61</v>
      </c>
      <c r="AE370" t="s">
        <v>59</v>
      </c>
      <c r="AF370" t="s">
        <v>59</v>
      </c>
      <c r="AG370" t="s">
        <v>59</v>
      </c>
      <c r="AH370" t="s">
        <v>61</v>
      </c>
      <c r="AI370" t="s">
        <v>61</v>
      </c>
      <c r="AJ370" t="s">
        <v>59</v>
      </c>
      <c r="AK370" t="s">
        <v>59</v>
      </c>
      <c r="AL370" t="s">
        <v>59</v>
      </c>
      <c r="AM370" t="s">
        <v>59</v>
      </c>
      <c r="AN370" t="s">
        <v>59</v>
      </c>
      <c r="AO370" t="s">
        <v>59</v>
      </c>
      <c r="AP370" t="s">
        <v>980</v>
      </c>
      <c r="AQ370" t="s">
        <v>981</v>
      </c>
      <c r="AR370" t="s">
        <v>226</v>
      </c>
      <c r="AS370" t="s">
        <v>982</v>
      </c>
      <c r="AT370" t="s">
        <v>982</v>
      </c>
      <c r="AU370" t="s">
        <v>219</v>
      </c>
      <c r="AW370" s="4">
        <f t="shared" si="178"/>
        <v>6</v>
      </c>
      <c r="AX370" s="4">
        <f t="shared" si="179"/>
        <v>4</v>
      </c>
      <c r="AY370" s="4">
        <f t="shared" si="180"/>
        <v>4</v>
      </c>
      <c r="AZ370" s="4">
        <f t="shared" si="181"/>
        <v>2</v>
      </c>
      <c r="BA370" s="4">
        <f t="shared" si="182"/>
        <v>4</v>
      </c>
      <c r="BB370" s="4">
        <f t="shared" si="183"/>
        <v>4</v>
      </c>
      <c r="BC370" s="4">
        <f t="shared" si="184"/>
        <v>4</v>
      </c>
      <c r="BD370" s="4">
        <f t="shared" si="185"/>
        <v>2</v>
      </c>
      <c r="BE370" s="4">
        <f t="shared" si="186"/>
        <v>4</v>
      </c>
      <c r="BF370" s="4">
        <f t="shared" si="187"/>
        <v>2</v>
      </c>
      <c r="BG370" s="4" t="str">
        <f t="shared" si="188"/>
        <v>0</v>
      </c>
      <c r="BH370" s="4">
        <f t="shared" si="189"/>
        <v>4</v>
      </c>
      <c r="BI370" s="4">
        <f t="shared" si="190"/>
        <v>4</v>
      </c>
      <c r="BJ370" s="4">
        <f t="shared" si="191"/>
        <v>2</v>
      </c>
      <c r="BK370" s="4" t="str">
        <f t="shared" si="192"/>
        <v>0</v>
      </c>
      <c r="BL370" s="4" t="str">
        <f t="shared" si="193"/>
        <v>0</v>
      </c>
      <c r="BM370" s="4">
        <f t="shared" si="194"/>
        <v>4</v>
      </c>
      <c r="BN370" s="4">
        <f t="shared" si="195"/>
        <v>4</v>
      </c>
      <c r="BO370" s="4">
        <f t="shared" si="196"/>
        <v>4</v>
      </c>
      <c r="BP370" s="4">
        <f t="shared" si="197"/>
        <v>4</v>
      </c>
      <c r="BQ370" s="4">
        <f t="shared" si="198"/>
        <v>6</v>
      </c>
      <c r="BR370" s="4">
        <f t="shared" si="199"/>
        <v>4</v>
      </c>
      <c r="BS370" s="4">
        <f t="shared" si="200"/>
        <v>4</v>
      </c>
      <c r="BT370" s="4">
        <f t="shared" si="201"/>
        <v>4</v>
      </c>
      <c r="BU370" s="4">
        <f t="shared" si="202"/>
        <v>4</v>
      </c>
      <c r="BV370" s="4">
        <f t="shared" si="203"/>
        <v>0</v>
      </c>
      <c r="BW370" s="4">
        <f t="shared" si="204"/>
        <v>6</v>
      </c>
      <c r="BX370" s="4">
        <f t="shared" si="205"/>
        <v>0</v>
      </c>
      <c r="BY370" s="4">
        <f t="shared" si="206"/>
        <v>0</v>
      </c>
      <c r="BZ370" s="37">
        <f t="shared" si="207"/>
        <v>90</v>
      </c>
      <c r="CA370" s="32" t="str">
        <f>VLOOKUP(J:J,'Agent wise'!A:C,3,0)</f>
        <v>Adharsh</v>
      </c>
      <c r="CB370" s="32">
        <f t="shared" si="208"/>
        <v>45936</v>
      </c>
      <c r="CC370" t="str">
        <f t="shared" si="209"/>
        <v>Good</v>
      </c>
      <c r="CE370" s="32"/>
      <c r="CJ370">
        <f t="shared" si="210"/>
        <v>6</v>
      </c>
      <c r="CK370">
        <f t="shared" si="211"/>
        <v>10</v>
      </c>
      <c r="CL370">
        <f t="shared" si="212"/>
        <v>2025</v>
      </c>
    </row>
    <row r="371" spans="1:90" ht="15" customHeight="1" x14ac:dyDescent="0.35">
      <c r="A371" s="40">
        <v>45818.951550925929</v>
      </c>
      <c r="B371" t="s">
        <v>130</v>
      </c>
      <c r="C371" t="s">
        <v>214</v>
      </c>
      <c r="D371" t="s">
        <v>131</v>
      </c>
      <c r="E371" s="32">
        <v>45936</v>
      </c>
      <c r="F371" t="s">
        <v>54</v>
      </c>
      <c r="G371" s="2">
        <v>45818</v>
      </c>
      <c r="H371">
        <v>9486789044</v>
      </c>
      <c r="I371">
        <v>166</v>
      </c>
      <c r="J371" t="s">
        <v>269</v>
      </c>
      <c r="K371" t="s">
        <v>71</v>
      </c>
      <c r="L371" t="s">
        <v>72</v>
      </c>
      <c r="M371" t="s">
        <v>59</v>
      </c>
      <c r="N371" t="s">
        <v>59</v>
      </c>
      <c r="O371" t="s">
        <v>59</v>
      </c>
      <c r="P371" t="s">
        <v>59</v>
      </c>
      <c r="Q371" t="s">
        <v>59</v>
      </c>
      <c r="R371" t="s">
        <v>59</v>
      </c>
      <c r="S371" t="s">
        <v>59</v>
      </c>
      <c r="T371" t="s">
        <v>59</v>
      </c>
      <c r="U371" t="s">
        <v>60</v>
      </c>
      <c r="V371" t="s">
        <v>59</v>
      </c>
      <c r="W371" t="s">
        <v>59</v>
      </c>
      <c r="X371" t="s">
        <v>59</v>
      </c>
      <c r="Y371" t="s">
        <v>59</v>
      </c>
      <c r="Z371" t="s">
        <v>59</v>
      </c>
      <c r="AA371" t="s">
        <v>59</v>
      </c>
      <c r="AB371" t="s">
        <v>60</v>
      </c>
      <c r="AC371" t="s">
        <v>60</v>
      </c>
      <c r="AD371" t="s">
        <v>59</v>
      </c>
      <c r="AE371" t="s">
        <v>59</v>
      </c>
      <c r="AF371" t="s">
        <v>61</v>
      </c>
      <c r="AG371" t="s">
        <v>59</v>
      </c>
      <c r="AH371" t="s">
        <v>61</v>
      </c>
      <c r="AI371" t="s">
        <v>59</v>
      </c>
      <c r="AJ371" t="s">
        <v>59</v>
      </c>
      <c r="AK371" t="s">
        <v>59</v>
      </c>
      <c r="AL371" t="s">
        <v>60</v>
      </c>
      <c r="AM371" t="s">
        <v>59</v>
      </c>
      <c r="AN371" t="s">
        <v>59</v>
      </c>
      <c r="AO371" t="s">
        <v>59</v>
      </c>
      <c r="AP371" t="s">
        <v>983</v>
      </c>
      <c r="AQ371" s="1" t="s">
        <v>984</v>
      </c>
      <c r="AR371" t="s">
        <v>64</v>
      </c>
      <c r="AS371" t="s">
        <v>65</v>
      </c>
      <c r="AT371" t="s">
        <v>66</v>
      </c>
      <c r="AU371" t="s">
        <v>219</v>
      </c>
      <c r="AW371" s="4">
        <f t="shared" si="178"/>
        <v>6</v>
      </c>
      <c r="AX371" s="4">
        <f t="shared" si="179"/>
        <v>4</v>
      </c>
      <c r="AY371" s="4">
        <f t="shared" si="180"/>
        <v>4</v>
      </c>
      <c r="AZ371" s="4">
        <f t="shared" si="181"/>
        <v>2</v>
      </c>
      <c r="BA371" s="4">
        <f t="shared" si="182"/>
        <v>4</v>
      </c>
      <c r="BB371" s="4">
        <f t="shared" si="183"/>
        <v>4</v>
      </c>
      <c r="BC371" s="4">
        <f t="shared" si="184"/>
        <v>4</v>
      </c>
      <c r="BD371" s="4">
        <f t="shared" si="185"/>
        <v>2</v>
      </c>
      <c r="BE371" s="4" t="str">
        <f t="shared" si="186"/>
        <v>0</v>
      </c>
      <c r="BF371" s="4">
        <f t="shared" si="187"/>
        <v>2</v>
      </c>
      <c r="BG371" s="4">
        <f t="shared" si="188"/>
        <v>4</v>
      </c>
      <c r="BH371" s="4">
        <f t="shared" si="189"/>
        <v>4</v>
      </c>
      <c r="BI371" s="4">
        <f t="shared" si="190"/>
        <v>4</v>
      </c>
      <c r="BJ371" s="4">
        <f t="shared" si="191"/>
        <v>2</v>
      </c>
      <c r="BK371" s="4">
        <f t="shared" si="192"/>
        <v>4</v>
      </c>
      <c r="BL371" s="4" t="str">
        <f t="shared" si="193"/>
        <v>0</v>
      </c>
      <c r="BM371" s="4" t="str">
        <f t="shared" si="194"/>
        <v>0</v>
      </c>
      <c r="BN371" s="4">
        <f t="shared" si="195"/>
        <v>4</v>
      </c>
      <c r="BO371" s="4">
        <f t="shared" si="196"/>
        <v>4</v>
      </c>
      <c r="BP371" s="4">
        <f t="shared" si="197"/>
        <v>4</v>
      </c>
      <c r="BQ371" s="4">
        <f t="shared" si="198"/>
        <v>6</v>
      </c>
      <c r="BR371" s="4">
        <f t="shared" si="199"/>
        <v>4</v>
      </c>
      <c r="BS371" s="4">
        <f t="shared" si="200"/>
        <v>4</v>
      </c>
      <c r="BT371" s="4">
        <f t="shared" si="201"/>
        <v>4</v>
      </c>
      <c r="BU371" s="4">
        <f t="shared" si="202"/>
        <v>4</v>
      </c>
      <c r="BV371" s="4" t="str">
        <f t="shared" si="203"/>
        <v>0</v>
      </c>
      <c r="BW371" s="4">
        <f t="shared" si="204"/>
        <v>6</v>
      </c>
      <c r="BX371" s="4">
        <f t="shared" si="205"/>
        <v>0</v>
      </c>
      <c r="BY371" s="4">
        <f t="shared" si="206"/>
        <v>0</v>
      </c>
      <c r="BZ371" s="37">
        <f t="shared" si="207"/>
        <v>90</v>
      </c>
      <c r="CA371" s="32" t="str">
        <f>VLOOKUP(J:J,'Agent wise'!A:C,3,0)</f>
        <v xml:space="preserve">Shiny </v>
      </c>
      <c r="CB371" s="32">
        <f t="shared" si="208"/>
        <v>45936</v>
      </c>
      <c r="CC371" t="str">
        <f t="shared" si="209"/>
        <v>Good</v>
      </c>
      <c r="CE371" s="32"/>
      <c r="CJ371">
        <f t="shared" si="210"/>
        <v>6</v>
      </c>
      <c r="CK371">
        <f t="shared" si="211"/>
        <v>10</v>
      </c>
      <c r="CL371">
        <f t="shared" si="212"/>
        <v>2025</v>
      </c>
    </row>
    <row r="372" spans="1:90" ht="15" customHeight="1" x14ac:dyDescent="0.35">
      <c r="A372" s="40">
        <v>45818.954594907409</v>
      </c>
      <c r="B372" t="s">
        <v>130</v>
      </c>
      <c r="C372" t="s">
        <v>214</v>
      </c>
      <c r="D372" t="s">
        <v>131</v>
      </c>
      <c r="E372" s="32">
        <v>45936</v>
      </c>
      <c r="F372" t="s">
        <v>54</v>
      </c>
      <c r="G372" s="2">
        <v>45818</v>
      </c>
      <c r="H372">
        <v>9443432456</v>
      </c>
      <c r="I372">
        <v>130</v>
      </c>
      <c r="J372" t="s">
        <v>335</v>
      </c>
      <c r="K372" t="s">
        <v>71</v>
      </c>
      <c r="L372" t="s">
        <v>72</v>
      </c>
      <c r="M372" t="s">
        <v>59</v>
      </c>
      <c r="N372" t="s">
        <v>59</v>
      </c>
      <c r="O372" t="s">
        <v>59</v>
      </c>
      <c r="P372" t="s">
        <v>59</v>
      </c>
      <c r="Q372" t="s">
        <v>59</v>
      </c>
      <c r="R372" t="s">
        <v>59</v>
      </c>
      <c r="S372" t="s">
        <v>59</v>
      </c>
      <c r="T372" t="s">
        <v>59</v>
      </c>
      <c r="U372" t="s">
        <v>60</v>
      </c>
      <c r="V372" t="s">
        <v>59</v>
      </c>
      <c r="W372" t="s">
        <v>59</v>
      </c>
      <c r="X372" t="s">
        <v>59</v>
      </c>
      <c r="Y372" t="s">
        <v>59</v>
      </c>
      <c r="Z372" t="s">
        <v>59</v>
      </c>
      <c r="AA372" t="s">
        <v>60</v>
      </c>
      <c r="AB372" t="s">
        <v>61</v>
      </c>
      <c r="AC372" t="s">
        <v>60</v>
      </c>
      <c r="AD372" t="s">
        <v>59</v>
      </c>
      <c r="AE372" t="s">
        <v>59</v>
      </c>
      <c r="AF372" t="s">
        <v>61</v>
      </c>
      <c r="AG372" t="s">
        <v>59</v>
      </c>
      <c r="AH372" t="s">
        <v>61</v>
      </c>
      <c r="AI372" t="s">
        <v>61</v>
      </c>
      <c r="AJ372" t="s">
        <v>59</v>
      </c>
      <c r="AK372" t="s">
        <v>59</v>
      </c>
      <c r="AL372" t="s">
        <v>60</v>
      </c>
      <c r="AM372" t="s">
        <v>59</v>
      </c>
      <c r="AN372" t="s">
        <v>59</v>
      </c>
      <c r="AO372" t="s">
        <v>59</v>
      </c>
      <c r="AP372" t="s">
        <v>985</v>
      </c>
      <c r="AQ372" s="1" t="s">
        <v>986</v>
      </c>
      <c r="AR372" t="s">
        <v>64</v>
      </c>
      <c r="AS372" t="s">
        <v>171</v>
      </c>
      <c r="AT372" t="s">
        <v>190</v>
      </c>
      <c r="AU372" t="s">
        <v>219</v>
      </c>
      <c r="AW372" s="4">
        <f t="shared" si="178"/>
        <v>6</v>
      </c>
      <c r="AX372" s="4">
        <f t="shared" si="179"/>
        <v>4</v>
      </c>
      <c r="AY372" s="4">
        <f t="shared" si="180"/>
        <v>4</v>
      </c>
      <c r="AZ372" s="4">
        <f t="shared" si="181"/>
        <v>2</v>
      </c>
      <c r="BA372" s="4">
        <f t="shared" si="182"/>
        <v>4</v>
      </c>
      <c r="BB372" s="4">
        <f t="shared" si="183"/>
        <v>4</v>
      </c>
      <c r="BC372" s="4">
        <f t="shared" si="184"/>
        <v>4</v>
      </c>
      <c r="BD372" s="4">
        <f t="shared" si="185"/>
        <v>2</v>
      </c>
      <c r="BE372" s="4" t="str">
        <f t="shared" si="186"/>
        <v>0</v>
      </c>
      <c r="BF372" s="4">
        <f t="shared" si="187"/>
        <v>2</v>
      </c>
      <c r="BG372" s="4">
        <f t="shared" si="188"/>
        <v>4</v>
      </c>
      <c r="BH372" s="4">
        <f t="shared" si="189"/>
        <v>4</v>
      </c>
      <c r="BI372" s="4">
        <f t="shared" si="190"/>
        <v>4</v>
      </c>
      <c r="BJ372" s="4">
        <f t="shared" si="191"/>
        <v>2</v>
      </c>
      <c r="BK372" s="4" t="str">
        <f t="shared" si="192"/>
        <v>0</v>
      </c>
      <c r="BL372" s="4">
        <f t="shared" si="193"/>
        <v>2</v>
      </c>
      <c r="BM372" s="4" t="str">
        <f t="shared" si="194"/>
        <v>0</v>
      </c>
      <c r="BN372" s="4">
        <f t="shared" si="195"/>
        <v>4</v>
      </c>
      <c r="BO372" s="4">
        <f t="shared" si="196"/>
        <v>4</v>
      </c>
      <c r="BP372" s="4">
        <f t="shared" si="197"/>
        <v>4</v>
      </c>
      <c r="BQ372" s="4">
        <f t="shared" si="198"/>
        <v>6</v>
      </c>
      <c r="BR372" s="4">
        <f t="shared" si="199"/>
        <v>4</v>
      </c>
      <c r="BS372" s="4">
        <f t="shared" si="200"/>
        <v>4</v>
      </c>
      <c r="BT372" s="4">
        <f t="shared" si="201"/>
        <v>4</v>
      </c>
      <c r="BU372" s="4">
        <f t="shared" si="202"/>
        <v>4</v>
      </c>
      <c r="BV372" s="4" t="str">
        <f t="shared" si="203"/>
        <v>0</v>
      </c>
      <c r="BW372" s="4">
        <f t="shared" si="204"/>
        <v>6</v>
      </c>
      <c r="BX372" s="4">
        <f t="shared" si="205"/>
        <v>0</v>
      </c>
      <c r="BY372" s="4">
        <f t="shared" si="206"/>
        <v>0</v>
      </c>
      <c r="BZ372" s="37">
        <f t="shared" si="207"/>
        <v>88</v>
      </c>
      <c r="CA372" s="32" t="str">
        <f>VLOOKUP(J:J,'Agent wise'!A:C,3,0)</f>
        <v xml:space="preserve">Shiny </v>
      </c>
      <c r="CB372" s="32">
        <f t="shared" si="208"/>
        <v>45936</v>
      </c>
      <c r="CC372" t="str">
        <f t="shared" si="209"/>
        <v>Average</v>
      </c>
      <c r="CE372" s="32"/>
      <c r="CJ372">
        <f t="shared" si="210"/>
        <v>6</v>
      </c>
      <c r="CK372">
        <f t="shared" si="211"/>
        <v>10</v>
      </c>
      <c r="CL372">
        <f t="shared" si="212"/>
        <v>2025</v>
      </c>
    </row>
    <row r="373" spans="1:90" ht="15" customHeight="1" x14ac:dyDescent="0.35">
      <c r="A373" s="40">
        <v>45818.959733796299</v>
      </c>
      <c r="B373" t="s">
        <v>130</v>
      </c>
      <c r="C373" t="s">
        <v>214</v>
      </c>
      <c r="D373" t="s">
        <v>131</v>
      </c>
      <c r="E373" s="32">
        <v>45936</v>
      </c>
      <c r="F373" t="s">
        <v>54</v>
      </c>
      <c r="G373" s="2">
        <v>45818</v>
      </c>
      <c r="H373">
        <v>6369212997</v>
      </c>
      <c r="I373">
        <v>139</v>
      </c>
      <c r="J373" t="s">
        <v>108</v>
      </c>
      <c r="K373" t="s">
        <v>71</v>
      </c>
      <c r="L373" t="s">
        <v>72</v>
      </c>
      <c r="M373" t="s">
        <v>59</v>
      </c>
      <c r="N373" t="s">
        <v>59</v>
      </c>
      <c r="O373" t="s">
        <v>59</v>
      </c>
      <c r="P373" t="s">
        <v>59</v>
      </c>
      <c r="Q373" t="s">
        <v>59</v>
      </c>
      <c r="R373" t="s">
        <v>59</v>
      </c>
      <c r="S373" t="s">
        <v>59</v>
      </c>
      <c r="T373" t="s">
        <v>59</v>
      </c>
      <c r="U373" t="s">
        <v>60</v>
      </c>
      <c r="V373" t="s">
        <v>59</v>
      </c>
      <c r="W373" t="s">
        <v>59</v>
      </c>
      <c r="X373" t="s">
        <v>59</v>
      </c>
      <c r="Y373" t="s">
        <v>59</v>
      </c>
      <c r="Z373" t="s">
        <v>59</v>
      </c>
      <c r="AA373" t="s">
        <v>59</v>
      </c>
      <c r="AB373" t="s">
        <v>60</v>
      </c>
      <c r="AC373" t="s">
        <v>61</v>
      </c>
      <c r="AD373" t="s">
        <v>59</v>
      </c>
      <c r="AE373" t="s">
        <v>59</v>
      </c>
      <c r="AF373" t="s">
        <v>61</v>
      </c>
      <c r="AG373" t="s">
        <v>59</v>
      </c>
      <c r="AH373" t="s">
        <v>61</v>
      </c>
      <c r="AI373" t="s">
        <v>61</v>
      </c>
      <c r="AJ373" t="s">
        <v>59</v>
      </c>
      <c r="AK373" t="s">
        <v>59</v>
      </c>
      <c r="AL373" t="s">
        <v>60</v>
      </c>
      <c r="AM373" t="s">
        <v>59</v>
      </c>
      <c r="AN373" t="s">
        <v>59</v>
      </c>
      <c r="AO373" t="s">
        <v>59</v>
      </c>
      <c r="AP373" t="s">
        <v>987</v>
      </c>
      <c r="AQ373" s="1" t="s">
        <v>988</v>
      </c>
      <c r="AR373" t="s">
        <v>64</v>
      </c>
      <c r="AS373" t="s">
        <v>175</v>
      </c>
      <c r="AT373" t="s">
        <v>334</v>
      </c>
      <c r="AU373" t="s">
        <v>219</v>
      </c>
      <c r="AW373" s="4">
        <f t="shared" si="178"/>
        <v>6</v>
      </c>
      <c r="AX373" s="4">
        <f t="shared" si="179"/>
        <v>4</v>
      </c>
      <c r="AY373" s="4">
        <f t="shared" si="180"/>
        <v>4</v>
      </c>
      <c r="AZ373" s="4">
        <f t="shared" si="181"/>
        <v>2</v>
      </c>
      <c r="BA373" s="4">
        <f t="shared" si="182"/>
        <v>4</v>
      </c>
      <c r="BB373" s="4">
        <f t="shared" si="183"/>
        <v>4</v>
      </c>
      <c r="BC373" s="4">
        <f t="shared" si="184"/>
        <v>4</v>
      </c>
      <c r="BD373" s="4">
        <f t="shared" si="185"/>
        <v>2</v>
      </c>
      <c r="BE373" s="4" t="str">
        <f t="shared" si="186"/>
        <v>0</v>
      </c>
      <c r="BF373" s="4">
        <f t="shared" si="187"/>
        <v>2</v>
      </c>
      <c r="BG373" s="4">
        <f t="shared" si="188"/>
        <v>4</v>
      </c>
      <c r="BH373" s="4">
        <f t="shared" si="189"/>
        <v>4</v>
      </c>
      <c r="BI373" s="4">
        <f t="shared" si="190"/>
        <v>4</v>
      </c>
      <c r="BJ373" s="4">
        <f t="shared" si="191"/>
        <v>2</v>
      </c>
      <c r="BK373" s="4">
        <f t="shared" si="192"/>
        <v>4</v>
      </c>
      <c r="BL373" s="4" t="str">
        <f t="shared" si="193"/>
        <v>0</v>
      </c>
      <c r="BM373" s="4">
        <f t="shared" si="194"/>
        <v>4</v>
      </c>
      <c r="BN373" s="4">
        <f t="shared" si="195"/>
        <v>4</v>
      </c>
      <c r="BO373" s="4">
        <f t="shared" si="196"/>
        <v>4</v>
      </c>
      <c r="BP373" s="4">
        <f t="shared" si="197"/>
        <v>4</v>
      </c>
      <c r="BQ373" s="4">
        <f t="shared" si="198"/>
        <v>6</v>
      </c>
      <c r="BR373" s="4">
        <f t="shared" si="199"/>
        <v>4</v>
      </c>
      <c r="BS373" s="4">
        <f t="shared" si="200"/>
        <v>4</v>
      </c>
      <c r="BT373" s="4">
        <f t="shared" si="201"/>
        <v>4</v>
      </c>
      <c r="BU373" s="4">
        <f t="shared" si="202"/>
        <v>4</v>
      </c>
      <c r="BV373" s="4" t="str">
        <f t="shared" si="203"/>
        <v>0</v>
      </c>
      <c r="BW373" s="4">
        <f t="shared" si="204"/>
        <v>6</v>
      </c>
      <c r="BX373" s="4">
        <f t="shared" si="205"/>
        <v>0</v>
      </c>
      <c r="BY373" s="4">
        <f t="shared" si="206"/>
        <v>0</v>
      </c>
      <c r="BZ373" s="37">
        <f t="shared" si="207"/>
        <v>94</v>
      </c>
      <c r="CA373" s="32" t="str">
        <f>VLOOKUP(J:J,'Agent wise'!A:C,3,0)</f>
        <v xml:space="preserve">Shiny </v>
      </c>
      <c r="CB373" s="32">
        <f t="shared" si="208"/>
        <v>45936</v>
      </c>
      <c r="CC373" t="str">
        <f t="shared" si="209"/>
        <v>Good</v>
      </c>
      <c r="CE373" s="32"/>
      <c r="CJ373">
        <f t="shared" si="210"/>
        <v>6</v>
      </c>
      <c r="CK373">
        <f t="shared" si="211"/>
        <v>10</v>
      </c>
      <c r="CL373">
        <f t="shared" si="212"/>
        <v>2025</v>
      </c>
    </row>
    <row r="374" spans="1:90" ht="15" customHeight="1" x14ac:dyDescent="0.35">
      <c r="A374" s="40">
        <v>45818.979085648149</v>
      </c>
      <c r="B374" t="s">
        <v>106</v>
      </c>
      <c r="C374" t="s">
        <v>214</v>
      </c>
      <c r="D374" t="s">
        <v>107</v>
      </c>
      <c r="E374" s="32">
        <v>45936</v>
      </c>
      <c r="F374" t="s">
        <v>54</v>
      </c>
      <c r="G374" s="2">
        <v>45818</v>
      </c>
      <c r="H374">
        <v>9778763332</v>
      </c>
      <c r="I374">
        <v>155</v>
      </c>
      <c r="J374" t="s">
        <v>117</v>
      </c>
      <c r="K374" t="s">
        <v>57</v>
      </c>
      <c r="L374" t="s">
        <v>58</v>
      </c>
      <c r="M374" t="s">
        <v>59</v>
      </c>
      <c r="N374" t="s">
        <v>59</v>
      </c>
      <c r="O374" t="s">
        <v>59</v>
      </c>
      <c r="P374" t="s">
        <v>59</v>
      </c>
      <c r="Q374" t="s">
        <v>59</v>
      </c>
      <c r="R374" t="s">
        <v>59</v>
      </c>
      <c r="S374" t="s">
        <v>59</v>
      </c>
      <c r="T374" t="s">
        <v>59</v>
      </c>
      <c r="U374" t="s">
        <v>60</v>
      </c>
      <c r="V374" t="s">
        <v>59</v>
      </c>
      <c r="W374" t="s">
        <v>59</v>
      </c>
      <c r="X374" t="s">
        <v>61</v>
      </c>
      <c r="Y374" t="s">
        <v>59</v>
      </c>
      <c r="Z374" t="s">
        <v>60</v>
      </c>
      <c r="AA374" t="s">
        <v>59</v>
      </c>
      <c r="AB374" t="s">
        <v>59</v>
      </c>
      <c r="AC374" t="s">
        <v>61</v>
      </c>
      <c r="AD374" t="s">
        <v>61</v>
      </c>
      <c r="AE374" t="s">
        <v>59</v>
      </c>
      <c r="AF374" t="s">
        <v>61</v>
      </c>
      <c r="AG374" t="s">
        <v>59</v>
      </c>
      <c r="AH374" t="s">
        <v>61</v>
      </c>
      <c r="AI374" t="s">
        <v>61</v>
      </c>
      <c r="AJ374" t="s">
        <v>59</v>
      </c>
      <c r="AK374" t="s">
        <v>59</v>
      </c>
      <c r="AL374" t="s">
        <v>60</v>
      </c>
      <c r="AM374" t="s">
        <v>59</v>
      </c>
      <c r="AN374" t="s">
        <v>59</v>
      </c>
      <c r="AO374" t="s">
        <v>59</v>
      </c>
      <c r="AP374" t="s">
        <v>989</v>
      </c>
      <c r="AQ374" t="s">
        <v>990</v>
      </c>
      <c r="AR374" t="s">
        <v>64</v>
      </c>
      <c r="AS374" t="s">
        <v>462</v>
      </c>
      <c r="AT374" t="s">
        <v>991</v>
      </c>
      <c r="AU374" t="s">
        <v>387</v>
      </c>
      <c r="AW374" s="4">
        <f t="shared" si="178"/>
        <v>6</v>
      </c>
      <c r="AX374" s="4">
        <f t="shared" si="179"/>
        <v>4</v>
      </c>
      <c r="AY374" s="4">
        <f t="shared" si="180"/>
        <v>4</v>
      </c>
      <c r="AZ374" s="4">
        <f t="shared" si="181"/>
        <v>2</v>
      </c>
      <c r="BA374" s="4">
        <f t="shared" si="182"/>
        <v>4</v>
      </c>
      <c r="BB374" s="4">
        <f t="shared" si="183"/>
        <v>4</v>
      </c>
      <c r="BC374" s="4">
        <f t="shared" si="184"/>
        <v>4</v>
      </c>
      <c r="BD374" s="4">
        <f t="shared" si="185"/>
        <v>2</v>
      </c>
      <c r="BE374" s="4" t="str">
        <f t="shared" si="186"/>
        <v>0</v>
      </c>
      <c r="BF374" s="4">
        <f t="shared" si="187"/>
        <v>2</v>
      </c>
      <c r="BG374" s="4">
        <f t="shared" si="188"/>
        <v>4</v>
      </c>
      <c r="BH374" s="4">
        <f t="shared" si="189"/>
        <v>4</v>
      </c>
      <c r="BI374" s="4">
        <f t="shared" si="190"/>
        <v>4</v>
      </c>
      <c r="BJ374" s="4" t="str">
        <f t="shared" si="191"/>
        <v>0</v>
      </c>
      <c r="BK374" s="4">
        <f t="shared" si="192"/>
        <v>4</v>
      </c>
      <c r="BL374" s="4">
        <f t="shared" si="193"/>
        <v>2</v>
      </c>
      <c r="BM374" s="4">
        <f t="shared" si="194"/>
        <v>4</v>
      </c>
      <c r="BN374" s="4">
        <f t="shared" si="195"/>
        <v>4</v>
      </c>
      <c r="BO374" s="4">
        <f t="shared" si="196"/>
        <v>4</v>
      </c>
      <c r="BP374" s="4">
        <f t="shared" si="197"/>
        <v>4</v>
      </c>
      <c r="BQ374" s="4">
        <f t="shared" si="198"/>
        <v>6</v>
      </c>
      <c r="BR374" s="4">
        <f t="shared" si="199"/>
        <v>4</v>
      </c>
      <c r="BS374" s="4">
        <f t="shared" si="200"/>
        <v>4</v>
      </c>
      <c r="BT374" s="4">
        <f t="shared" si="201"/>
        <v>4</v>
      </c>
      <c r="BU374" s="4">
        <f t="shared" si="202"/>
        <v>4</v>
      </c>
      <c r="BV374" s="4" t="str">
        <f t="shared" si="203"/>
        <v>0</v>
      </c>
      <c r="BW374" s="4">
        <f t="shared" si="204"/>
        <v>6</v>
      </c>
      <c r="BX374" s="4">
        <f t="shared" si="205"/>
        <v>0</v>
      </c>
      <c r="BY374" s="4">
        <f t="shared" si="206"/>
        <v>0</v>
      </c>
      <c r="BZ374" s="37">
        <f t="shared" si="207"/>
        <v>94</v>
      </c>
      <c r="CA374" s="32" t="str">
        <f>VLOOKUP(J:J,'Agent wise'!A:C,3,0)</f>
        <v>Saran S</v>
      </c>
      <c r="CB374" s="32">
        <f t="shared" si="208"/>
        <v>45936</v>
      </c>
      <c r="CC374" t="str">
        <f t="shared" si="209"/>
        <v>Good</v>
      </c>
      <c r="CE374" s="32"/>
      <c r="CJ374">
        <f t="shared" si="210"/>
        <v>6</v>
      </c>
      <c r="CK374">
        <f t="shared" si="211"/>
        <v>10</v>
      </c>
      <c r="CL374">
        <f t="shared" si="212"/>
        <v>2025</v>
      </c>
    </row>
    <row r="375" spans="1:90" ht="15" customHeight="1" x14ac:dyDescent="0.35">
      <c r="A375" s="40">
        <v>45818.981736111113</v>
      </c>
      <c r="B375" t="s">
        <v>106</v>
      </c>
      <c r="C375" t="s">
        <v>214</v>
      </c>
      <c r="D375" t="s">
        <v>107</v>
      </c>
      <c r="E375" s="32">
        <v>45936</v>
      </c>
      <c r="F375" t="s">
        <v>54</v>
      </c>
      <c r="G375" s="2">
        <v>45818</v>
      </c>
      <c r="H375">
        <v>7012309261</v>
      </c>
      <c r="I375">
        <v>155</v>
      </c>
      <c r="J375" t="s">
        <v>117</v>
      </c>
      <c r="K375" t="s">
        <v>57</v>
      </c>
      <c r="L375" t="s">
        <v>58</v>
      </c>
      <c r="M375" t="s">
        <v>59</v>
      </c>
      <c r="N375" t="s">
        <v>59</v>
      </c>
      <c r="O375" t="s">
        <v>59</v>
      </c>
      <c r="P375" t="s">
        <v>59</v>
      </c>
      <c r="Q375" t="s">
        <v>59</v>
      </c>
      <c r="R375" t="s">
        <v>59</v>
      </c>
      <c r="S375" t="s">
        <v>59</v>
      </c>
      <c r="T375" t="s">
        <v>59</v>
      </c>
      <c r="U375" t="s">
        <v>60</v>
      </c>
      <c r="V375" t="s">
        <v>59</v>
      </c>
      <c r="W375" t="s">
        <v>59</v>
      </c>
      <c r="X375" t="s">
        <v>61</v>
      </c>
      <c r="Y375" t="s">
        <v>59</v>
      </c>
      <c r="Z375" t="s">
        <v>59</v>
      </c>
      <c r="AA375" t="s">
        <v>60</v>
      </c>
      <c r="AB375" t="s">
        <v>59</v>
      </c>
      <c r="AC375" t="s">
        <v>60</v>
      </c>
      <c r="AD375" t="s">
        <v>59</v>
      </c>
      <c r="AE375" t="s">
        <v>59</v>
      </c>
      <c r="AF375" t="s">
        <v>59</v>
      </c>
      <c r="AG375" t="s">
        <v>59</v>
      </c>
      <c r="AH375" t="s">
        <v>61</v>
      </c>
      <c r="AI375" t="s">
        <v>59</v>
      </c>
      <c r="AJ375" t="s">
        <v>59</v>
      </c>
      <c r="AK375" t="s">
        <v>59</v>
      </c>
      <c r="AL375" t="s">
        <v>60</v>
      </c>
      <c r="AM375" t="s">
        <v>59</v>
      </c>
      <c r="AN375" t="s">
        <v>59</v>
      </c>
      <c r="AO375" t="s">
        <v>59</v>
      </c>
      <c r="AP375" t="s">
        <v>992</v>
      </c>
      <c r="AQ375" s="1" t="s">
        <v>993</v>
      </c>
      <c r="AR375" t="s">
        <v>64</v>
      </c>
      <c r="AS375" t="s">
        <v>122</v>
      </c>
      <c r="AT375" t="s">
        <v>390</v>
      </c>
      <c r="AU375" t="s">
        <v>219</v>
      </c>
      <c r="AW375" s="4">
        <f t="shared" si="178"/>
        <v>6</v>
      </c>
      <c r="AX375" s="4">
        <f t="shared" si="179"/>
        <v>4</v>
      </c>
      <c r="AY375" s="4">
        <f t="shared" si="180"/>
        <v>4</v>
      </c>
      <c r="AZ375" s="4">
        <f t="shared" si="181"/>
        <v>2</v>
      </c>
      <c r="BA375" s="4">
        <f t="shared" si="182"/>
        <v>4</v>
      </c>
      <c r="BB375" s="4">
        <f t="shared" si="183"/>
        <v>4</v>
      </c>
      <c r="BC375" s="4">
        <f t="shared" si="184"/>
        <v>4</v>
      </c>
      <c r="BD375" s="4">
        <f t="shared" si="185"/>
        <v>2</v>
      </c>
      <c r="BE375" s="4" t="str">
        <f t="shared" si="186"/>
        <v>0</v>
      </c>
      <c r="BF375" s="4">
        <f t="shared" si="187"/>
        <v>2</v>
      </c>
      <c r="BG375" s="4">
        <f t="shared" si="188"/>
        <v>4</v>
      </c>
      <c r="BH375" s="4">
        <f t="shared" si="189"/>
        <v>4</v>
      </c>
      <c r="BI375" s="4">
        <f t="shared" si="190"/>
        <v>4</v>
      </c>
      <c r="BJ375" s="4">
        <f t="shared" si="191"/>
        <v>2</v>
      </c>
      <c r="BK375" s="4" t="str">
        <f t="shared" si="192"/>
        <v>0</v>
      </c>
      <c r="BL375" s="4">
        <f t="shared" si="193"/>
        <v>2</v>
      </c>
      <c r="BM375" s="4" t="str">
        <f t="shared" si="194"/>
        <v>0</v>
      </c>
      <c r="BN375" s="4">
        <f t="shared" si="195"/>
        <v>4</v>
      </c>
      <c r="BO375" s="4">
        <f t="shared" si="196"/>
        <v>4</v>
      </c>
      <c r="BP375" s="4">
        <f t="shared" si="197"/>
        <v>4</v>
      </c>
      <c r="BQ375" s="4">
        <f t="shared" si="198"/>
        <v>6</v>
      </c>
      <c r="BR375" s="4">
        <f t="shared" si="199"/>
        <v>4</v>
      </c>
      <c r="BS375" s="4">
        <f t="shared" si="200"/>
        <v>4</v>
      </c>
      <c r="BT375" s="4">
        <f t="shared" si="201"/>
        <v>4</v>
      </c>
      <c r="BU375" s="4">
        <f t="shared" si="202"/>
        <v>4</v>
      </c>
      <c r="BV375" s="4" t="str">
        <f t="shared" si="203"/>
        <v>0</v>
      </c>
      <c r="BW375" s="4">
        <f t="shared" si="204"/>
        <v>6</v>
      </c>
      <c r="BX375" s="4">
        <f t="shared" si="205"/>
        <v>0</v>
      </c>
      <c r="BY375" s="4">
        <f t="shared" si="206"/>
        <v>0</v>
      </c>
      <c r="BZ375" s="37">
        <f t="shared" si="207"/>
        <v>88</v>
      </c>
      <c r="CA375" s="32" t="str">
        <f>VLOOKUP(J:J,'Agent wise'!A:C,3,0)</f>
        <v>Saran S</v>
      </c>
      <c r="CB375" s="32">
        <f t="shared" si="208"/>
        <v>45936</v>
      </c>
      <c r="CC375" t="str">
        <f t="shared" si="209"/>
        <v>Average</v>
      </c>
      <c r="CE375" s="32"/>
      <c r="CJ375">
        <f t="shared" si="210"/>
        <v>6</v>
      </c>
      <c r="CK375">
        <f t="shared" si="211"/>
        <v>10</v>
      </c>
      <c r="CL375">
        <f t="shared" si="212"/>
        <v>2025</v>
      </c>
    </row>
    <row r="376" spans="1:90" ht="15" customHeight="1" x14ac:dyDescent="0.35">
      <c r="A376" s="40">
        <v>45818.988298611112</v>
      </c>
      <c r="B376" t="s">
        <v>106</v>
      </c>
      <c r="C376" t="s">
        <v>214</v>
      </c>
      <c r="D376" t="s">
        <v>107</v>
      </c>
      <c r="E376" s="32">
        <v>45936</v>
      </c>
      <c r="F376" t="s">
        <v>54</v>
      </c>
      <c r="G376" s="2">
        <v>45818</v>
      </c>
      <c r="H376">
        <v>9385420158</v>
      </c>
      <c r="I376">
        <v>140</v>
      </c>
      <c r="J376" t="s">
        <v>427</v>
      </c>
      <c r="K376" t="s">
        <v>71</v>
      </c>
      <c r="L376" t="s">
        <v>72</v>
      </c>
      <c r="M376" t="s">
        <v>59</v>
      </c>
      <c r="N376" t="s">
        <v>59</v>
      </c>
      <c r="O376" t="s">
        <v>59</v>
      </c>
      <c r="P376" t="s">
        <v>59</v>
      </c>
      <c r="Q376" t="s">
        <v>59</v>
      </c>
      <c r="R376" t="s">
        <v>59</v>
      </c>
      <c r="S376" t="s">
        <v>59</v>
      </c>
      <c r="T376" t="s">
        <v>59</v>
      </c>
      <c r="U376" t="s">
        <v>59</v>
      </c>
      <c r="V376" t="s">
        <v>59</v>
      </c>
      <c r="W376" t="s">
        <v>59</v>
      </c>
      <c r="X376" t="s">
        <v>61</v>
      </c>
      <c r="Y376" t="s">
        <v>59</v>
      </c>
      <c r="Z376" t="s">
        <v>59</v>
      </c>
      <c r="AA376" t="s">
        <v>59</v>
      </c>
      <c r="AB376" t="s">
        <v>59</v>
      </c>
      <c r="AC376" t="s">
        <v>61</v>
      </c>
      <c r="AD376" t="s">
        <v>61</v>
      </c>
      <c r="AE376" t="s">
        <v>59</v>
      </c>
      <c r="AF376" t="s">
        <v>61</v>
      </c>
      <c r="AG376" t="s">
        <v>59</v>
      </c>
      <c r="AH376" t="s">
        <v>61</v>
      </c>
      <c r="AI376" t="s">
        <v>61</v>
      </c>
      <c r="AJ376" t="s">
        <v>59</v>
      </c>
      <c r="AK376" t="s">
        <v>59</v>
      </c>
      <c r="AL376" t="s">
        <v>59</v>
      </c>
      <c r="AM376" t="s">
        <v>59</v>
      </c>
      <c r="AN376" t="s">
        <v>59</v>
      </c>
      <c r="AO376" t="s">
        <v>59</v>
      </c>
      <c r="AP376" t="s">
        <v>375</v>
      </c>
      <c r="AQ376" t="s">
        <v>994</v>
      </c>
      <c r="AR376" t="s">
        <v>64</v>
      </c>
      <c r="AS376" t="s">
        <v>255</v>
      </c>
      <c r="AT376" t="s">
        <v>297</v>
      </c>
      <c r="AU376" t="s">
        <v>219</v>
      </c>
      <c r="AW376" s="4">
        <f t="shared" si="178"/>
        <v>6</v>
      </c>
      <c r="AX376" s="4">
        <f t="shared" si="179"/>
        <v>4</v>
      </c>
      <c r="AY376" s="4">
        <f t="shared" si="180"/>
        <v>4</v>
      </c>
      <c r="AZ376" s="4">
        <f t="shared" si="181"/>
        <v>2</v>
      </c>
      <c r="BA376" s="4">
        <f t="shared" si="182"/>
        <v>4</v>
      </c>
      <c r="BB376" s="4">
        <f t="shared" si="183"/>
        <v>4</v>
      </c>
      <c r="BC376" s="4">
        <f t="shared" si="184"/>
        <v>4</v>
      </c>
      <c r="BD376" s="4">
        <f t="shared" si="185"/>
        <v>2</v>
      </c>
      <c r="BE376" s="4">
        <f t="shared" si="186"/>
        <v>4</v>
      </c>
      <c r="BF376" s="4">
        <f t="shared" si="187"/>
        <v>2</v>
      </c>
      <c r="BG376" s="4">
        <f t="shared" si="188"/>
        <v>4</v>
      </c>
      <c r="BH376" s="4">
        <f t="shared" si="189"/>
        <v>4</v>
      </c>
      <c r="BI376" s="4">
        <f t="shared" si="190"/>
        <v>4</v>
      </c>
      <c r="BJ376" s="4">
        <f t="shared" si="191"/>
        <v>2</v>
      </c>
      <c r="BK376" s="4">
        <f t="shared" si="192"/>
        <v>4</v>
      </c>
      <c r="BL376" s="4">
        <f t="shared" si="193"/>
        <v>2</v>
      </c>
      <c r="BM376" s="4">
        <f t="shared" si="194"/>
        <v>4</v>
      </c>
      <c r="BN376" s="4">
        <f t="shared" si="195"/>
        <v>4</v>
      </c>
      <c r="BO376" s="4">
        <f t="shared" si="196"/>
        <v>4</v>
      </c>
      <c r="BP376" s="4">
        <f t="shared" si="197"/>
        <v>4</v>
      </c>
      <c r="BQ376" s="4">
        <f t="shared" si="198"/>
        <v>6</v>
      </c>
      <c r="BR376" s="4">
        <f t="shared" si="199"/>
        <v>4</v>
      </c>
      <c r="BS376" s="4">
        <f t="shared" si="200"/>
        <v>4</v>
      </c>
      <c r="BT376" s="4">
        <f t="shared" si="201"/>
        <v>4</v>
      </c>
      <c r="BU376" s="4">
        <f t="shared" si="202"/>
        <v>4</v>
      </c>
      <c r="BV376" s="4">
        <f t="shared" si="203"/>
        <v>0</v>
      </c>
      <c r="BW376" s="4">
        <f t="shared" si="204"/>
        <v>6</v>
      </c>
      <c r="BX376" s="4">
        <f t="shared" si="205"/>
        <v>0</v>
      </c>
      <c r="BY376" s="4">
        <f t="shared" si="206"/>
        <v>0</v>
      </c>
      <c r="BZ376" s="37">
        <f t="shared" si="207"/>
        <v>100</v>
      </c>
      <c r="CA376" s="32" t="str">
        <f>VLOOKUP(J:J,'Agent wise'!A:C,3,0)</f>
        <v>Shakeer</v>
      </c>
      <c r="CB376" s="32">
        <f t="shared" si="208"/>
        <v>45936</v>
      </c>
      <c r="CC376" t="str">
        <f t="shared" si="209"/>
        <v>Excellent</v>
      </c>
      <c r="CE376" s="32"/>
      <c r="CJ376">
        <f t="shared" si="210"/>
        <v>6</v>
      </c>
      <c r="CK376">
        <f t="shared" si="211"/>
        <v>10</v>
      </c>
      <c r="CL376">
        <f t="shared" si="212"/>
        <v>2025</v>
      </c>
    </row>
    <row r="377" spans="1:90" ht="15" customHeight="1" x14ac:dyDescent="0.35">
      <c r="A377" s="40">
        <v>45818.991319444453</v>
      </c>
      <c r="B377" t="s">
        <v>106</v>
      </c>
      <c r="C377" t="s">
        <v>214</v>
      </c>
      <c r="D377" t="s">
        <v>107</v>
      </c>
      <c r="E377" s="32">
        <v>45936</v>
      </c>
      <c r="F377" t="s">
        <v>54</v>
      </c>
      <c r="G377" s="2">
        <v>45818</v>
      </c>
      <c r="H377">
        <v>9080331611</v>
      </c>
      <c r="I377">
        <v>269</v>
      </c>
      <c r="J377" t="s">
        <v>427</v>
      </c>
      <c r="K377" t="s">
        <v>71</v>
      </c>
      <c r="L377" t="s">
        <v>72</v>
      </c>
      <c r="M377" t="s">
        <v>59</v>
      </c>
      <c r="N377" t="s">
        <v>59</v>
      </c>
      <c r="O377" t="s">
        <v>59</v>
      </c>
      <c r="P377" t="s">
        <v>59</v>
      </c>
      <c r="Q377" t="s">
        <v>59</v>
      </c>
      <c r="R377" t="s">
        <v>59</v>
      </c>
      <c r="S377" t="s">
        <v>59</v>
      </c>
      <c r="T377" t="s">
        <v>59</v>
      </c>
      <c r="U377" t="s">
        <v>60</v>
      </c>
      <c r="V377" t="s">
        <v>59</v>
      </c>
      <c r="W377" t="s">
        <v>59</v>
      </c>
      <c r="X377" t="s">
        <v>61</v>
      </c>
      <c r="Y377" t="s">
        <v>59</v>
      </c>
      <c r="Z377" t="s">
        <v>59</v>
      </c>
      <c r="AA377" t="s">
        <v>59</v>
      </c>
      <c r="AB377" t="s">
        <v>59</v>
      </c>
      <c r="AC377" t="s">
        <v>60</v>
      </c>
      <c r="AD377" t="s">
        <v>61</v>
      </c>
      <c r="AE377" t="s">
        <v>59</v>
      </c>
      <c r="AF377" t="s">
        <v>59</v>
      </c>
      <c r="AG377" t="s">
        <v>59</v>
      </c>
      <c r="AH377" t="s">
        <v>59</v>
      </c>
      <c r="AI377" t="s">
        <v>59</v>
      </c>
      <c r="AJ377" t="s">
        <v>59</v>
      </c>
      <c r="AK377" t="s">
        <v>59</v>
      </c>
      <c r="AL377" t="s">
        <v>59</v>
      </c>
      <c r="AM377" t="s">
        <v>59</v>
      </c>
      <c r="AN377" t="s">
        <v>59</v>
      </c>
      <c r="AO377" t="s">
        <v>59</v>
      </c>
      <c r="AP377" t="s">
        <v>428</v>
      </c>
      <c r="AQ377" t="s">
        <v>995</v>
      </c>
      <c r="AR377" t="s">
        <v>64</v>
      </c>
      <c r="AS377" t="s">
        <v>122</v>
      </c>
      <c r="AT377" t="s">
        <v>390</v>
      </c>
      <c r="AU377" t="s">
        <v>219</v>
      </c>
      <c r="AW377" s="4">
        <f t="shared" si="178"/>
        <v>6</v>
      </c>
      <c r="AX377" s="4">
        <f t="shared" si="179"/>
        <v>4</v>
      </c>
      <c r="AY377" s="4">
        <f t="shared" si="180"/>
        <v>4</v>
      </c>
      <c r="AZ377" s="4">
        <f t="shared" si="181"/>
        <v>2</v>
      </c>
      <c r="BA377" s="4">
        <f t="shared" si="182"/>
        <v>4</v>
      </c>
      <c r="BB377" s="4">
        <f t="shared" si="183"/>
        <v>4</v>
      </c>
      <c r="BC377" s="4">
        <f t="shared" si="184"/>
        <v>4</v>
      </c>
      <c r="BD377" s="4">
        <f t="shared" si="185"/>
        <v>2</v>
      </c>
      <c r="BE377" s="4" t="str">
        <f t="shared" si="186"/>
        <v>0</v>
      </c>
      <c r="BF377" s="4">
        <f t="shared" si="187"/>
        <v>2</v>
      </c>
      <c r="BG377" s="4">
        <f t="shared" si="188"/>
        <v>4</v>
      </c>
      <c r="BH377" s="4">
        <f t="shared" si="189"/>
        <v>4</v>
      </c>
      <c r="BI377" s="4">
        <f t="shared" si="190"/>
        <v>4</v>
      </c>
      <c r="BJ377" s="4">
        <f t="shared" si="191"/>
        <v>2</v>
      </c>
      <c r="BK377" s="4">
        <f t="shared" si="192"/>
        <v>4</v>
      </c>
      <c r="BL377" s="4">
        <f t="shared" si="193"/>
        <v>2</v>
      </c>
      <c r="BM377" s="4" t="str">
        <f t="shared" si="194"/>
        <v>0</v>
      </c>
      <c r="BN377" s="4">
        <f t="shared" si="195"/>
        <v>4</v>
      </c>
      <c r="BO377" s="4">
        <f t="shared" si="196"/>
        <v>4</v>
      </c>
      <c r="BP377" s="4">
        <f t="shared" si="197"/>
        <v>4</v>
      </c>
      <c r="BQ377" s="4">
        <f t="shared" si="198"/>
        <v>6</v>
      </c>
      <c r="BR377" s="4">
        <f t="shared" si="199"/>
        <v>4</v>
      </c>
      <c r="BS377" s="4">
        <f t="shared" si="200"/>
        <v>4</v>
      </c>
      <c r="BT377" s="4">
        <f t="shared" si="201"/>
        <v>4</v>
      </c>
      <c r="BU377" s="4">
        <f t="shared" si="202"/>
        <v>4</v>
      </c>
      <c r="BV377" s="4">
        <f t="shared" si="203"/>
        <v>0</v>
      </c>
      <c r="BW377" s="4">
        <f t="shared" si="204"/>
        <v>6</v>
      </c>
      <c r="BX377" s="4">
        <f t="shared" si="205"/>
        <v>0</v>
      </c>
      <c r="BY377" s="4">
        <f t="shared" si="206"/>
        <v>0</v>
      </c>
      <c r="BZ377" s="37">
        <f t="shared" si="207"/>
        <v>92</v>
      </c>
      <c r="CA377" s="32" t="str">
        <f>VLOOKUP(J:J,'Agent wise'!A:C,3,0)</f>
        <v>Shakeer</v>
      </c>
      <c r="CB377" s="32">
        <f t="shared" si="208"/>
        <v>45936</v>
      </c>
      <c r="CC377" t="str">
        <f t="shared" si="209"/>
        <v>Good</v>
      </c>
      <c r="CE377" s="32"/>
      <c r="CJ377">
        <f t="shared" si="210"/>
        <v>6</v>
      </c>
      <c r="CK377">
        <f t="shared" si="211"/>
        <v>10</v>
      </c>
      <c r="CL377">
        <f t="shared" si="212"/>
        <v>2025</v>
      </c>
    </row>
    <row r="378" spans="1:90" ht="15" customHeight="1" x14ac:dyDescent="0.35">
      <c r="A378" s="40">
        <v>45818.994722222233</v>
      </c>
      <c r="B378" t="s">
        <v>106</v>
      </c>
      <c r="C378" t="s">
        <v>214</v>
      </c>
      <c r="D378" t="s">
        <v>107</v>
      </c>
      <c r="E378" s="32">
        <v>45936</v>
      </c>
      <c r="F378" t="s">
        <v>54</v>
      </c>
      <c r="G378" s="2">
        <v>45818</v>
      </c>
      <c r="H378">
        <v>7598186497</v>
      </c>
      <c r="I378">
        <v>271</v>
      </c>
      <c r="J378" t="s">
        <v>108</v>
      </c>
      <c r="K378" t="s">
        <v>71</v>
      </c>
      <c r="L378" t="s">
        <v>72</v>
      </c>
      <c r="M378" t="s">
        <v>59</v>
      </c>
      <c r="N378" t="s">
        <v>59</v>
      </c>
      <c r="O378" t="s">
        <v>60</v>
      </c>
      <c r="P378" t="s">
        <v>59</v>
      </c>
      <c r="Q378" t="s">
        <v>59</v>
      </c>
      <c r="R378" t="s">
        <v>59</v>
      </c>
      <c r="S378" t="s">
        <v>59</v>
      </c>
      <c r="T378" t="s">
        <v>59</v>
      </c>
      <c r="U378" t="s">
        <v>60</v>
      </c>
      <c r="V378" t="s">
        <v>59</v>
      </c>
      <c r="W378" t="s">
        <v>59</v>
      </c>
      <c r="X378" t="s">
        <v>61</v>
      </c>
      <c r="Y378" t="s">
        <v>59</v>
      </c>
      <c r="Z378" t="s">
        <v>60</v>
      </c>
      <c r="AA378" t="s">
        <v>59</v>
      </c>
      <c r="AB378" t="s">
        <v>59</v>
      </c>
      <c r="AC378" t="s">
        <v>60</v>
      </c>
      <c r="AD378" t="s">
        <v>61</v>
      </c>
      <c r="AE378" t="s">
        <v>59</v>
      </c>
      <c r="AF378" t="s">
        <v>59</v>
      </c>
      <c r="AG378" t="s">
        <v>59</v>
      </c>
      <c r="AH378" t="s">
        <v>61</v>
      </c>
      <c r="AI378" t="s">
        <v>59</v>
      </c>
      <c r="AJ378" t="s">
        <v>59</v>
      </c>
      <c r="AK378" t="s">
        <v>59</v>
      </c>
      <c r="AL378" t="s">
        <v>60</v>
      </c>
      <c r="AM378" t="s">
        <v>59</v>
      </c>
      <c r="AN378" t="s">
        <v>59</v>
      </c>
      <c r="AO378" t="s">
        <v>59</v>
      </c>
      <c r="AP378" t="s">
        <v>996</v>
      </c>
      <c r="AQ378" s="1" t="s">
        <v>997</v>
      </c>
      <c r="AR378" t="s">
        <v>64</v>
      </c>
      <c r="AS378" t="s">
        <v>122</v>
      </c>
      <c r="AT378" t="s">
        <v>390</v>
      </c>
      <c r="AU378" t="s">
        <v>593</v>
      </c>
      <c r="AW378" s="4">
        <f t="shared" si="178"/>
        <v>6</v>
      </c>
      <c r="AX378" s="4">
        <f t="shared" si="179"/>
        <v>4</v>
      </c>
      <c r="AY378" s="4" t="str">
        <f t="shared" si="180"/>
        <v>0</v>
      </c>
      <c r="AZ378" s="4">
        <f t="shared" si="181"/>
        <v>2</v>
      </c>
      <c r="BA378" s="4">
        <f t="shared" si="182"/>
        <v>4</v>
      </c>
      <c r="BB378" s="4">
        <f t="shared" si="183"/>
        <v>4</v>
      </c>
      <c r="BC378" s="4">
        <f t="shared" si="184"/>
        <v>4</v>
      </c>
      <c r="BD378" s="4">
        <f t="shared" si="185"/>
        <v>2</v>
      </c>
      <c r="BE378" s="4" t="str">
        <f t="shared" si="186"/>
        <v>0</v>
      </c>
      <c r="BF378" s="4">
        <f t="shared" si="187"/>
        <v>2</v>
      </c>
      <c r="BG378" s="4">
        <f t="shared" si="188"/>
        <v>4</v>
      </c>
      <c r="BH378" s="4">
        <f t="shared" si="189"/>
        <v>4</v>
      </c>
      <c r="BI378" s="4">
        <f t="shared" si="190"/>
        <v>4</v>
      </c>
      <c r="BJ378" s="4" t="str">
        <f t="shared" si="191"/>
        <v>0</v>
      </c>
      <c r="BK378" s="4">
        <f t="shared" si="192"/>
        <v>4</v>
      </c>
      <c r="BL378" s="4">
        <f t="shared" si="193"/>
        <v>2</v>
      </c>
      <c r="BM378" s="4" t="str">
        <f t="shared" si="194"/>
        <v>0</v>
      </c>
      <c r="BN378" s="4">
        <f t="shared" si="195"/>
        <v>4</v>
      </c>
      <c r="BO378" s="4">
        <f t="shared" si="196"/>
        <v>4</v>
      </c>
      <c r="BP378" s="4">
        <f t="shared" si="197"/>
        <v>4</v>
      </c>
      <c r="BQ378" s="4">
        <f t="shared" si="198"/>
        <v>6</v>
      </c>
      <c r="BR378" s="4">
        <f t="shared" si="199"/>
        <v>4</v>
      </c>
      <c r="BS378" s="4">
        <f t="shared" si="200"/>
        <v>4</v>
      </c>
      <c r="BT378" s="4">
        <f t="shared" si="201"/>
        <v>4</v>
      </c>
      <c r="BU378" s="4">
        <f t="shared" si="202"/>
        <v>4</v>
      </c>
      <c r="BV378" s="4" t="str">
        <f t="shared" si="203"/>
        <v>0</v>
      </c>
      <c r="BW378" s="4">
        <f t="shared" si="204"/>
        <v>6</v>
      </c>
      <c r="BX378" s="4">
        <f t="shared" si="205"/>
        <v>0</v>
      </c>
      <c r="BY378" s="4">
        <f t="shared" si="206"/>
        <v>0</v>
      </c>
      <c r="BZ378" s="37">
        <f t="shared" si="207"/>
        <v>86</v>
      </c>
      <c r="CA378" s="32" t="str">
        <f>VLOOKUP(J:J,'Agent wise'!A:C,3,0)</f>
        <v xml:space="preserve">Shiny </v>
      </c>
      <c r="CB378" s="32">
        <f t="shared" si="208"/>
        <v>45936</v>
      </c>
      <c r="CC378" t="str">
        <f t="shared" si="209"/>
        <v>Average</v>
      </c>
      <c r="CE378" s="32"/>
      <c r="CJ378">
        <f t="shared" si="210"/>
        <v>6</v>
      </c>
      <c r="CK378">
        <f t="shared" si="211"/>
        <v>10</v>
      </c>
      <c r="CL378">
        <f t="shared" si="212"/>
        <v>2025</v>
      </c>
    </row>
    <row r="379" spans="1:90" ht="15" customHeight="1" x14ac:dyDescent="0.35">
      <c r="A379" s="40">
        <v>45848.439293981479</v>
      </c>
      <c r="B379" t="s">
        <v>250</v>
      </c>
      <c r="C379" t="s">
        <v>214</v>
      </c>
      <c r="D379" t="s">
        <v>251</v>
      </c>
      <c r="E379" s="32">
        <v>45937</v>
      </c>
      <c r="F379" t="s">
        <v>54</v>
      </c>
      <c r="G379" s="2">
        <v>45848</v>
      </c>
      <c r="H379">
        <v>9566822441</v>
      </c>
      <c r="I379">
        <v>170</v>
      </c>
      <c r="J379" t="s">
        <v>998</v>
      </c>
      <c r="K379" t="s">
        <v>71</v>
      </c>
      <c r="L379" t="s">
        <v>72</v>
      </c>
      <c r="M379" t="s">
        <v>59</v>
      </c>
      <c r="N379" t="s">
        <v>59</v>
      </c>
      <c r="O379" t="s">
        <v>59</v>
      </c>
      <c r="P379" t="s">
        <v>59</v>
      </c>
      <c r="Q379" t="s">
        <v>59</v>
      </c>
      <c r="R379" t="s">
        <v>59</v>
      </c>
      <c r="S379" t="s">
        <v>59</v>
      </c>
      <c r="T379" t="s">
        <v>59</v>
      </c>
      <c r="U379" t="s">
        <v>60</v>
      </c>
      <c r="V379" t="s">
        <v>59</v>
      </c>
      <c r="W379" t="s">
        <v>59</v>
      </c>
      <c r="X379" t="s">
        <v>59</v>
      </c>
      <c r="Y379" t="s">
        <v>59</v>
      </c>
      <c r="Z379" t="s">
        <v>59</v>
      </c>
      <c r="AA379" t="s">
        <v>60</v>
      </c>
      <c r="AB379" t="s">
        <v>59</v>
      </c>
      <c r="AC379" t="s">
        <v>59</v>
      </c>
      <c r="AD379" t="s">
        <v>59</v>
      </c>
      <c r="AE379" t="s">
        <v>59</v>
      </c>
      <c r="AF379" t="s">
        <v>59</v>
      </c>
      <c r="AG379" t="s">
        <v>59</v>
      </c>
      <c r="AH379" t="s">
        <v>61</v>
      </c>
      <c r="AI379" t="s">
        <v>61</v>
      </c>
      <c r="AJ379" t="s">
        <v>59</v>
      </c>
      <c r="AK379" t="s">
        <v>59</v>
      </c>
      <c r="AL379" t="s">
        <v>60</v>
      </c>
      <c r="AM379" t="s">
        <v>59</v>
      </c>
      <c r="AN379" t="s">
        <v>59</v>
      </c>
      <c r="AO379" t="s">
        <v>59</v>
      </c>
      <c r="AP379" t="s">
        <v>999</v>
      </c>
      <c r="AQ379" t="s">
        <v>1000</v>
      </c>
      <c r="AR379" t="s">
        <v>64</v>
      </c>
      <c r="AS379" t="s">
        <v>397</v>
      </c>
      <c r="AT379" t="s">
        <v>649</v>
      </c>
      <c r="AU379" t="s">
        <v>219</v>
      </c>
      <c r="AW379" s="4">
        <f t="shared" si="178"/>
        <v>6</v>
      </c>
      <c r="AX379" s="4">
        <f t="shared" si="179"/>
        <v>4</v>
      </c>
      <c r="AY379" s="4">
        <f t="shared" si="180"/>
        <v>4</v>
      </c>
      <c r="AZ379" s="4">
        <f t="shared" si="181"/>
        <v>2</v>
      </c>
      <c r="BA379" s="4">
        <f t="shared" si="182"/>
        <v>4</v>
      </c>
      <c r="BB379" s="4">
        <f t="shared" si="183"/>
        <v>4</v>
      </c>
      <c r="BC379" s="4">
        <f t="shared" si="184"/>
        <v>4</v>
      </c>
      <c r="BD379" s="4">
        <f t="shared" si="185"/>
        <v>2</v>
      </c>
      <c r="BE379" s="4" t="str">
        <f t="shared" si="186"/>
        <v>0</v>
      </c>
      <c r="BF379" s="4">
        <f t="shared" si="187"/>
        <v>2</v>
      </c>
      <c r="BG379" s="4">
        <f t="shared" si="188"/>
        <v>4</v>
      </c>
      <c r="BH379" s="4">
        <f t="shared" si="189"/>
        <v>4</v>
      </c>
      <c r="BI379" s="4">
        <f t="shared" si="190"/>
        <v>4</v>
      </c>
      <c r="BJ379" s="4">
        <f t="shared" si="191"/>
        <v>2</v>
      </c>
      <c r="BK379" s="4" t="str">
        <f t="shared" si="192"/>
        <v>0</v>
      </c>
      <c r="BL379" s="4">
        <f t="shared" si="193"/>
        <v>2</v>
      </c>
      <c r="BM379" s="4">
        <f t="shared" si="194"/>
        <v>4</v>
      </c>
      <c r="BN379" s="4">
        <f t="shared" si="195"/>
        <v>4</v>
      </c>
      <c r="BO379" s="4">
        <f t="shared" si="196"/>
        <v>4</v>
      </c>
      <c r="BP379" s="4">
        <f t="shared" si="197"/>
        <v>4</v>
      </c>
      <c r="BQ379" s="4">
        <f t="shared" si="198"/>
        <v>6</v>
      </c>
      <c r="BR379" s="4">
        <f t="shared" si="199"/>
        <v>4</v>
      </c>
      <c r="BS379" s="4">
        <f t="shared" si="200"/>
        <v>4</v>
      </c>
      <c r="BT379" s="4">
        <f t="shared" si="201"/>
        <v>4</v>
      </c>
      <c r="BU379" s="4">
        <f t="shared" si="202"/>
        <v>4</v>
      </c>
      <c r="BV379" s="4" t="str">
        <f t="shared" si="203"/>
        <v>0</v>
      </c>
      <c r="BW379" s="4">
        <f t="shared" si="204"/>
        <v>6</v>
      </c>
      <c r="BX379" s="4">
        <f t="shared" si="205"/>
        <v>0</v>
      </c>
      <c r="BY379" s="4">
        <f t="shared" si="206"/>
        <v>0</v>
      </c>
      <c r="BZ379" s="37">
        <f t="shared" si="207"/>
        <v>92</v>
      </c>
      <c r="CA379" s="32" t="str">
        <f>VLOOKUP(J:J,'Agent wise'!A:C,3,0)</f>
        <v>Anusha</v>
      </c>
      <c r="CB379" s="32">
        <f t="shared" si="208"/>
        <v>45937</v>
      </c>
      <c r="CC379" t="str">
        <f t="shared" si="209"/>
        <v>Good</v>
      </c>
      <c r="CE379" s="32"/>
      <c r="CJ379">
        <f t="shared" si="210"/>
        <v>7</v>
      </c>
      <c r="CK379">
        <f t="shared" si="211"/>
        <v>10</v>
      </c>
      <c r="CL379">
        <f t="shared" si="212"/>
        <v>2025</v>
      </c>
    </row>
    <row r="380" spans="1:90" ht="15" customHeight="1" x14ac:dyDescent="0.35">
      <c r="A380" s="40">
        <v>45848.447488425933</v>
      </c>
      <c r="B380" t="s">
        <v>250</v>
      </c>
      <c r="C380" t="s">
        <v>214</v>
      </c>
      <c r="D380" t="s">
        <v>251</v>
      </c>
      <c r="E380" s="32">
        <v>45937</v>
      </c>
      <c r="F380" t="s">
        <v>54</v>
      </c>
      <c r="G380" s="2">
        <v>45818</v>
      </c>
      <c r="H380">
        <v>9488403397</v>
      </c>
      <c r="I380">
        <v>177</v>
      </c>
      <c r="J380" t="s">
        <v>998</v>
      </c>
      <c r="K380" t="s">
        <v>71</v>
      </c>
      <c r="L380" t="s">
        <v>72</v>
      </c>
      <c r="M380" t="s">
        <v>59</v>
      </c>
      <c r="N380" t="s">
        <v>59</v>
      </c>
      <c r="O380" t="s">
        <v>59</v>
      </c>
      <c r="P380" t="s">
        <v>59</v>
      </c>
      <c r="Q380" t="s">
        <v>59</v>
      </c>
      <c r="R380" t="s">
        <v>59</v>
      </c>
      <c r="S380" t="s">
        <v>59</v>
      </c>
      <c r="T380" t="s">
        <v>59</v>
      </c>
      <c r="U380" t="s">
        <v>60</v>
      </c>
      <c r="V380" t="s">
        <v>59</v>
      </c>
      <c r="W380" t="s">
        <v>59</v>
      </c>
      <c r="X380" t="s">
        <v>59</v>
      </c>
      <c r="Y380" t="s">
        <v>59</v>
      </c>
      <c r="Z380" t="s">
        <v>59</v>
      </c>
      <c r="AA380" t="s">
        <v>60</v>
      </c>
      <c r="AB380" t="s">
        <v>60</v>
      </c>
      <c r="AC380" t="s">
        <v>59</v>
      </c>
      <c r="AD380" t="s">
        <v>59</v>
      </c>
      <c r="AE380" t="s">
        <v>59</v>
      </c>
      <c r="AF380" t="s">
        <v>59</v>
      </c>
      <c r="AG380" t="s">
        <v>59</v>
      </c>
      <c r="AH380" t="s">
        <v>61</v>
      </c>
      <c r="AI380" t="s">
        <v>61</v>
      </c>
      <c r="AJ380" t="s">
        <v>59</v>
      </c>
      <c r="AK380" t="s">
        <v>59</v>
      </c>
      <c r="AL380" t="s">
        <v>60</v>
      </c>
      <c r="AM380" t="s">
        <v>59</v>
      </c>
      <c r="AN380" t="s">
        <v>59</v>
      </c>
      <c r="AO380" t="s">
        <v>59</v>
      </c>
      <c r="AP380" t="s">
        <v>1001</v>
      </c>
      <c r="AQ380" t="s">
        <v>1002</v>
      </c>
      <c r="AR380" t="s">
        <v>64</v>
      </c>
      <c r="AS380" t="s">
        <v>255</v>
      </c>
      <c r="AT380" t="s">
        <v>297</v>
      </c>
      <c r="AU380" t="s">
        <v>593</v>
      </c>
      <c r="AW380" s="4">
        <f t="shared" si="178"/>
        <v>6</v>
      </c>
      <c r="AX380" s="4">
        <f t="shared" si="179"/>
        <v>4</v>
      </c>
      <c r="AY380" s="4">
        <f t="shared" si="180"/>
        <v>4</v>
      </c>
      <c r="AZ380" s="4">
        <f t="shared" si="181"/>
        <v>2</v>
      </c>
      <c r="BA380" s="4">
        <f t="shared" si="182"/>
        <v>4</v>
      </c>
      <c r="BB380" s="4">
        <f t="shared" si="183"/>
        <v>4</v>
      </c>
      <c r="BC380" s="4">
        <f t="shared" si="184"/>
        <v>4</v>
      </c>
      <c r="BD380" s="4">
        <f t="shared" si="185"/>
        <v>2</v>
      </c>
      <c r="BE380" s="4" t="str">
        <f t="shared" si="186"/>
        <v>0</v>
      </c>
      <c r="BF380" s="4">
        <f t="shared" si="187"/>
        <v>2</v>
      </c>
      <c r="BG380" s="4">
        <f t="shared" si="188"/>
        <v>4</v>
      </c>
      <c r="BH380" s="4">
        <f t="shared" si="189"/>
        <v>4</v>
      </c>
      <c r="BI380" s="4">
        <f t="shared" si="190"/>
        <v>4</v>
      </c>
      <c r="BJ380" s="4">
        <f t="shared" si="191"/>
        <v>2</v>
      </c>
      <c r="BK380" s="4" t="str">
        <f t="shared" si="192"/>
        <v>0</v>
      </c>
      <c r="BL380" s="4" t="str">
        <f t="shared" si="193"/>
        <v>0</v>
      </c>
      <c r="BM380" s="4">
        <f t="shared" si="194"/>
        <v>4</v>
      </c>
      <c r="BN380" s="4">
        <f t="shared" si="195"/>
        <v>4</v>
      </c>
      <c r="BO380" s="4">
        <f t="shared" si="196"/>
        <v>4</v>
      </c>
      <c r="BP380" s="4">
        <f t="shared" si="197"/>
        <v>4</v>
      </c>
      <c r="BQ380" s="4">
        <f t="shared" si="198"/>
        <v>6</v>
      </c>
      <c r="BR380" s="4">
        <f t="shared" si="199"/>
        <v>4</v>
      </c>
      <c r="BS380" s="4">
        <f t="shared" si="200"/>
        <v>4</v>
      </c>
      <c r="BT380" s="4">
        <f t="shared" si="201"/>
        <v>4</v>
      </c>
      <c r="BU380" s="4">
        <f t="shared" si="202"/>
        <v>4</v>
      </c>
      <c r="BV380" s="4" t="str">
        <f t="shared" si="203"/>
        <v>0</v>
      </c>
      <c r="BW380" s="4">
        <f t="shared" si="204"/>
        <v>6</v>
      </c>
      <c r="BX380" s="4">
        <f t="shared" si="205"/>
        <v>0</v>
      </c>
      <c r="BY380" s="4">
        <f t="shared" si="206"/>
        <v>0</v>
      </c>
      <c r="BZ380" s="37">
        <f t="shared" si="207"/>
        <v>90</v>
      </c>
      <c r="CA380" s="32" t="str">
        <f>VLOOKUP(J:J,'Agent wise'!A:C,3,0)</f>
        <v>Anusha</v>
      </c>
      <c r="CB380" s="32">
        <f t="shared" si="208"/>
        <v>45937</v>
      </c>
      <c r="CC380" t="str">
        <f t="shared" si="209"/>
        <v>Good</v>
      </c>
      <c r="CE380" s="32"/>
      <c r="CJ380">
        <f t="shared" si="210"/>
        <v>7</v>
      </c>
      <c r="CK380">
        <f t="shared" si="211"/>
        <v>10</v>
      </c>
      <c r="CL380">
        <f t="shared" si="212"/>
        <v>2025</v>
      </c>
    </row>
    <row r="381" spans="1:90" ht="15" customHeight="1" x14ac:dyDescent="0.35">
      <c r="A381" s="40">
        <v>45848.4925</v>
      </c>
      <c r="B381" t="s">
        <v>100</v>
      </c>
      <c r="C381" t="s">
        <v>214</v>
      </c>
      <c r="D381" t="s">
        <v>101</v>
      </c>
      <c r="E381" s="32">
        <v>45937</v>
      </c>
      <c r="F381" t="s">
        <v>90</v>
      </c>
      <c r="G381" s="2">
        <v>45818</v>
      </c>
      <c r="H381">
        <v>8903637972</v>
      </c>
      <c r="I381">
        <v>130</v>
      </c>
      <c r="J381" t="s">
        <v>108</v>
      </c>
      <c r="K381" t="s">
        <v>71</v>
      </c>
      <c r="L381" t="s">
        <v>72</v>
      </c>
      <c r="M381" t="s">
        <v>59</v>
      </c>
      <c r="N381" t="s">
        <v>59</v>
      </c>
      <c r="O381" t="s">
        <v>59</v>
      </c>
      <c r="P381" t="s">
        <v>59</v>
      </c>
      <c r="Q381" t="s">
        <v>59</v>
      </c>
      <c r="R381" t="s">
        <v>60</v>
      </c>
      <c r="S381" t="s">
        <v>59</v>
      </c>
      <c r="T381" t="s">
        <v>59</v>
      </c>
      <c r="U381" t="s">
        <v>60</v>
      </c>
      <c r="V381" t="s">
        <v>59</v>
      </c>
      <c r="W381" t="s">
        <v>59</v>
      </c>
      <c r="X381" t="s">
        <v>59</v>
      </c>
      <c r="Y381" t="s">
        <v>59</v>
      </c>
      <c r="Z381" t="s">
        <v>59</v>
      </c>
      <c r="AA381" t="s">
        <v>60</v>
      </c>
      <c r="AB381" t="s">
        <v>60</v>
      </c>
      <c r="AC381" t="s">
        <v>59</v>
      </c>
      <c r="AD381" t="s">
        <v>59</v>
      </c>
      <c r="AE381" t="s">
        <v>59</v>
      </c>
      <c r="AF381" t="s">
        <v>59</v>
      </c>
      <c r="AG381" t="s">
        <v>59</v>
      </c>
      <c r="AH381" t="s">
        <v>59</v>
      </c>
      <c r="AI381" t="s">
        <v>61</v>
      </c>
      <c r="AJ381" t="s">
        <v>59</v>
      </c>
      <c r="AK381" t="s">
        <v>59</v>
      </c>
      <c r="AL381" t="s">
        <v>60</v>
      </c>
      <c r="AM381" t="s">
        <v>59</v>
      </c>
      <c r="AN381" t="s">
        <v>59</v>
      </c>
      <c r="AO381" t="s">
        <v>59</v>
      </c>
      <c r="AP381" t="s">
        <v>1003</v>
      </c>
      <c r="AQ381" t="s">
        <v>1003</v>
      </c>
      <c r="AR381" t="s">
        <v>64</v>
      </c>
      <c r="AS381" t="s">
        <v>94</v>
      </c>
      <c r="AT381" t="s">
        <v>95</v>
      </c>
      <c r="AU381" t="s">
        <v>219</v>
      </c>
      <c r="AW381" s="4">
        <f t="shared" si="178"/>
        <v>6</v>
      </c>
      <c r="AX381" s="4">
        <f t="shared" si="179"/>
        <v>4</v>
      </c>
      <c r="AY381" s="4">
        <f t="shared" si="180"/>
        <v>4</v>
      </c>
      <c r="AZ381" s="4">
        <f t="shared" si="181"/>
        <v>2</v>
      </c>
      <c r="BA381" s="4">
        <f t="shared" si="182"/>
        <v>4</v>
      </c>
      <c r="BB381" s="4" t="str">
        <f t="shared" si="183"/>
        <v>0</v>
      </c>
      <c r="BC381" s="4">
        <f t="shared" si="184"/>
        <v>4</v>
      </c>
      <c r="BD381" s="4">
        <f t="shared" si="185"/>
        <v>2</v>
      </c>
      <c r="BE381" s="4" t="str">
        <f t="shared" si="186"/>
        <v>0</v>
      </c>
      <c r="BF381" s="4">
        <f t="shared" si="187"/>
        <v>2</v>
      </c>
      <c r="BG381" s="4">
        <f t="shared" si="188"/>
        <v>4</v>
      </c>
      <c r="BH381" s="4">
        <f t="shared" si="189"/>
        <v>4</v>
      </c>
      <c r="BI381" s="4">
        <f t="shared" si="190"/>
        <v>4</v>
      </c>
      <c r="BJ381" s="4">
        <f t="shared" si="191"/>
        <v>2</v>
      </c>
      <c r="BK381" s="4" t="str">
        <f t="shared" si="192"/>
        <v>0</v>
      </c>
      <c r="BL381" s="4" t="str">
        <f t="shared" si="193"/>
        <v>0</v>
      </c>
      <c r="BM381" s="4">
        <f t="shared" si="194"/>
        <v>4</v>
      </c>
      <c r="BN381" s="4">
        <f t="shared" si="195"/>
        <v>4</v>
      </c>
      <c r="BO381" s="4">
        <f t="shared" si="196"/>
        <v>4</v>
      </c>
      <c r="BP381" s="4">
        <f t="shared" si="197"/>
        <v>4</v>
      </c>
      <c r="BQ381" s="4">
        <f t="shared" si="198"/>
        <v>6</v>
      </c>
      <c r="BR381" s="4">
        <f t="shared" si="199"/>
        <v>4</v>
      </c>
      <c r="BS381" s="4">
        <f t="shared" si="200"/>
        <v>4</v>
      </c>
      <c r="BT381" s="4">
        <f t="shared" si="201"/>
        <v>4</v>
      </c>
      <c r="BU381" s="4">
        <f t="shared" si="202"/>
        <v>4</v>
      </c>
      <c r="BV381" s="4" t="str">
        <f t="shared" si="203"/>
        <v>0</v>
      </c>
      <c r="BW381" s="4">
        <f t="shared" si="204"/>
        <v>6</v>
      </c>
      <c r="BX381" s="4">
        <f t="shared" si="205"/>
        <v>0</v>
      </c>
      <c r="BY381" s="4">
        <f t="shared" si="206"/>
        <v>0</v>
      </c>
      <c r="BZ381" s="37">
        <f t="shared" si="207"/>
        <v>86</v>
      </c>
      <c r="CA381" s="32" t="str">
        <f>VLOOKUP(J:J,'Agent wise'!A:C,3,0)</f>
        <v xml:space="preserve">Shiny </v>
      </c>
      <c r="CB381" s="32">
        <f t="shared" si="208"/>
        <v>45937</v>
      </c>
      <c r="CC381" t="str">
        <f t="shared" si="209"/>
        <v>Average</v>
      </c>
      <c r="CE381" s="32"/>
      <c r="CJ381">
        <f t="shared" si="210"/>
        <v>7</v>
      </c>
      <c r="CK381">
        <f t="shared" si="211"/>
        <v>10</v>
      </c>
      <c r="CL381">
        <f t="shared" si="212"/>
        <v>2025</v>
      </c>
    </row>
    <row r="382" spans="1:90" ht="15" customHeight="1" x14ac:dyDescent="0.35">
      <c r="A382" s="40">
        <v>45848.497442129628</v>
      </c>
      <c r="B382" t="s">
        <v>250</v>
      </c>
      <c r="C382" t="s">
        <v>214</v>
      </c>
      <c r="D382" t="s">
        <v>251</v>
      </c>
      <c r="E382" s="32">
        <v>45937</v>
      </c>
      <c r="F382" t="s">
        <v>54</v>
      </c>
      <c r="G382" s="2">
        <v>45818</v>
      </c>
      <c r="H382">
        <v>9488403397</v>
      </c>
      <c r="I382">
        <v>222</v>
      </c>
      <c r="J382">
        <v>7639942386</v>
      </c>
      <c r="K382" t="s">
        <v>71</v>
      </c>
      <c r="L382" t="s">
        <v>72</v>
      </c>
      <c r="M382" t="s">
        <v>59</v>
      </c>
      <c r="N382" t="s">
        <v>59</v>
      </c>
      <c r="O382" t="s">
        <v>59</v>
      </c>
      <c r="P382" t="s">
        <v>59</v>
      </c>
      <c r="Q382" t="s">
        <v>59</v>
      </c>
      <c r="R382" t="s">
        <v>59</v>
      </c>
      <c r="S382" t="s">
        <v>59</v>
      </c>
      <c r="T382" t="s">
        <v>59</v>
      </c>
      <c r="U382" t="s">
        <v>60</v>
      </c>
      <c r="V382" t="s">
        <v>59</v>
      </c>
      <c r="W382" t="s">
        <v>59</v>
      </c>
      <c r="X382" t="s">
        <v>59</v>
      </c>
      <c r="Y382" t="s">
        <v>59</v>
      </c>
      <c r="Z382" t="s">
        <v>59</v>
      </c>
      <c r="AA382" t="s">
        <v>59</v>
      </c>
      <c r="AB382" t="s">
        <v>59</v>
      </c>
      <c r="AC382" t="s">
        <v>61</v>
      </c>
      <c r="AD382" t="s">
        <v>59</v>
      </c>
      <c r="AE382" t="s">
        <v>59</v>
      </c>
      <c r="AF382" t="s">
        <v>59</v>
      </c>
      <c r="AG382" t="s">
        <v>59</v>
      </c>
      <c r="AH382" t="s">
        <v>61</v>
      </c>
      <c r="AI382" t="s">
        <v>61</v>
      </c>
      <c r="AJ382" t="s">
        <v>59</v>
      </c>
      <c r="AK382" t="s">
        <v>59</v>
      </c>
      <c r="AL382" t="s">
        <v>59</v>
      </c>
      <c r="AM382" t="s">
        <v>60</v>
      </c>
      <c r="AN382" t="s">
        <v>60</v>
      </c>
      <c r="AO382" t="s">
        <v>60</v>
      </c>
      <c r="AP382" t="s">
        <v>1004</v>
      </c>
      <c r="AQ382" t="s">
        <v>1005</v>
      </c>
      <c r="AR382" t="s">
        <v>64</v>
      </c>
      <c r="AS382" t="s">
        <v>417</v>
      </c>
      <c r="AT382" t="s">
        <v>418</v>
      </c>
      <c r="AU382" t="s">
        <v>219</v>
      </c>
      <c r="AW382" s="4">
        <f t="shared" si="178"/>
        <v>6</v>
      </c>
      <c r="AX382" s="4">
        <f t="shared" si="179"/>
        <v>4</v>
      </c>
      <c r="AY382" s="4">
        <f t="shared" si="180"/>
        <v>4</v>
      </c>
      <c r="AZ382" s="4">
        <f t="shared" si="181"/>
        <v>2</v>
      </c>
      <c r="BA382" s="4">
        <f t="shared" si="182"/>
        <v>4</v>
      </c>
      <c r="BB382" s="4">
        <f t="shared" si="183"/>
        <v>4</v>
      </c>
      <c r="BC382" s="4">
        <f t="shared" si="184"/>
        <v>4</v>
      </c>
      <c r="BD382" s="4">
        <f t="shared" si="185"/>
        <v>2</v>
      </c>
      <c r="BE382" s="4" t="str">
        <f t="shared" si="186"/>
        <v>0</v>
      </c>
      <c r="BF382" s="4">
        <f t="shared" si="187"/>
        <v>2</v>
      </c>
      <c r="BG382" s="4">
        <f t="shared" si="188"/>
        <v>4</v>
      </c>
      <c r="BH382" s="4">
        <f t="shared" si="189"/>
        <v>4</v>
      </c>
      <c r="BI382" s="4">
        <f t="shared" si="190"/>
        <v>4</v>
      </c>
      <c r="BJ382" s="4">
        <f t="shared" si="191"/>
        <v>2</v>
      </c>
      <c r="BK382" s="4">
        <f t="shared" si="192"/>
        <v>4</v>
      </c>
      <c r="BL382" s="4">
        <f t="shared" si="193"/>
        <v>2</v>
      </c>
      <c r="BM382" s="4">
        <f t="shared" si="194"/>
        <v>4</v>
      </c>
      <c r="BN382" s="4">
        <f t="shared" si="195"/>
        <v>4</v>
      </c>
      <c r="BO382" s="4">
        <f t="shared" si="196"/>
        <v>4</v>
      </c>
      <c r="BP382" s="4">
        <f t="shared" si="197"/>
        <v>4</v>
      </c>
      <c r="BQ382" s="4">
        <f t="shared" si="198"/>
        <v>6</v>
      </c>
      <c r="BR382" s="4">
        <f t="shared" si="199"/>
        <v>4</v>
      </c>
      <c r="BS382" s="4">
        <f t="shared" si="200"/>
        <v>4</v>
      </c>
      <c r="BT382" s="4">
        <f t="shared" si="201"/>
        <v>4</v>
      </c>
      <c r="BU382" s="4">
        <f t="shared" si="202"/>
        <v>4</v>
      </c>
      <c r="BV382" s="4">
        <f t="shared" si="203"/>
        <v>0</v>
      </c>
      <c r="BW382" s="4" t="str">
        <f t="shared" si="204"/>
        <v>0</v>
      </c>
      <c r="BX382" s="4" t="str">
        <f t="shared" si="205"/>
        <v>0</v>
      </c>
      <c r="BY382" s="4" t="str">
        <f t="shared" si="206"/>
        <v>0</v>
      </c>
      <c r="BZ382" s="37">
        <f t="shared" si="207"/>
        <v>90</v>
      </c>
      <c r="CA382" s="32" t="e">
        <f>VLOOKUP(J:J,'Agent wise'!A:C,3,0)</f>
        <v>#N/A</v>
      </c>
      <c r="CB382" s="32">
        <f t="shared" si="208"/>
        <v>45937</v>
      </c>
      <c r="CC382" t="str">
        <f t="shared" si="209"/>
        <v>Good</v>
      </c>
      <c r="CE382" s="32"/>
      <c r="CJ382">
        <f t="shared" si="210"/>
        <v>7</v>
      </c>
      <c r="CK382">
        <f t="shared" si="211"/>
        <v>10</v>
      </c>
      <c r="CL382">
        <f t="shared" si="212"/>
        <v>2025</v>
      </c>
    </row>
    <row r="383" spans="1:90" ht="15" customHeight="1" x14ac:dyDescent="0.35">
      <c r="A383" s="40">
        <v>45848.503587962958</v>
      </c>
      <c r="B383" t="s">
        <v>100</v>
      </c>
      <c r="C383" t="s">
        <v>214</v>
      </c>
      <c r="D383" t="s">
        <v>101</v>
      </c>
      <c r="E383" s="32">
        <v>45937</v>
      </c>
      <c r="F383" t="s">
        <v>90</v>
      </c>
      <c r="G383" s="2">
        <v>45818</v>
      </c>
      <c r="H383">
        <v>9787280957</v>
      </c>
      <c r="I383">
        <v>168</v>
      </c>
      <c r="J383" t="s">
        <v>124</v>
      </c>
      <c r="K383" t="s">
        <v>71</v>
      </c>
      <c r="L383" t="s">
        <v>72</v>
      </c>
      <c r="M383" t="s">
        <v>59</v>
      </c>
      <c r="N383" t="s">
        <v>59</v>
      </c>
      <c r="O383" t="s">
        <v>60</v>
      </c>
      <c r="P383" t="s">
        <v>59</v>
      </c>
      <c r="Q383" t="s">
        <v>59</v>
      </c>
      <c r="R383" t="s">
        <v>60</v>
      </c>
      <c r="S383" t="s">
        <v>59</v>
      </c>
      <c r="T383" t="s">
        <v>59</v>
      </c>
      <c r="U383" t="s">
        <v>59</v>
      </c>
      <c r="V383" t="s">
        <v>59</v>
      </c>
      <c r="W383" t="s">
        <v>59</v>
      </c>
      <c r="X383" t="s">
        <v>59</v>
      </c>
      <c r="Y383" t="s">
        <v>59</v>
      </c>
      <c r="Z383" t="s">
        <v>59</v>
      </c>
      <c r="AA383" t="s">
        <v>60</v>
      </c>
      <c r="AB383" t="s">
        <v>60</v>
      </c>
      <c r="AC383" t="s">
        <v>59</v>
      </c>
      <c r="AD383" t="s">
        <v>59</v>
      </c>
      <c r="AE383" t="s">
        <v>60</v>
      </c>
      <c r="AF383" t="s">
        <v>59</v>
      </c>
      <c r="AG383" t="s">
        <v>59</v>
      </c>
      <c r="AH383" t="s">
        <v>59</v>
      </c>
      <c r="AI383" t="s">
        <v>61</v>
      </c>
      <c r="AJ383" t="s">
        <v>59</v>
      </c>
      <c r="AK383" t="s">
        <v>59</v>
      </c>
      <c r="AL383" t="s">
        <v>60</v>
      </c>
      <c r="AM383" t="s">
        <v>59</v>
      </c>
      <c r="AN383" t="s">
        <v>59</v>
      </c>
      <c r="AO383" t="s">
        <v>60</v>
      </c>
      <c r="AP383" t="s">
        <v>1006</v>
      </c>
      <c r="AQ383" t="s">
        <v>1006</v>
      </c>
      <c r="AR383" t="s">
        <v>64</v>
      </c>
      <c r="AS383" t="s">
        <v>94</v>
      </c>
      <c r="AT383" t="s">
        <v>95</v>
      </c>
      <c r="AU383" t="s">
        <v>219</v>
      </c>
      <c r="AW383" s="4">
        <f t="shared" si="178"/>
        <v>6</v>
      </c>
      <c r="AX383" s="4">
        <f t="shared" si="179"/>
        <v>4</v>
      </c>
      <c r="AY383" s="4" t="str">
        <f t="shared" si="180"/>
        <v>0</v>
      </c>
      <c r="AZ383" s="4">
        <f t="shared" si="181"/>
        <v>2</v>
      </c>
      <c r="BA383" s="4">
        <f t="shared" si="182"/>
        <v>4</v>
      </c>
      <c r="BB383" s="4" t="str">
        <f t="shared" si="183"/>
        <v>0</v>
      </c>
      <c r="BC383" s="4">
        <f t="shared" si="184"/>
        <v>4</v>
      </c>
      <c r="BD383" s="4">
        <f t="shared" si="185"/>
        <v>2</v>
      </c>
      <c r="BE383" s="4">
        <f t="shared" si="186"/>
        <v>4</v>
      </c>
      <c r="BF383" s="4">
        <f t="shared" si="187"/>
        <v>2</v>
      </c>
      <c r="BG383" s="4">
        <f t="shared" si="188"/>
        <v>4</v>
      </c>
      <c r="BH383" s="4">
        <f t="shared" si="189"/>
        <v>4</v>
      </c>
      <c r="BI383" s="4">
        <f t="shared" si="190"/>
        <v>4</v>
      </c>
      <c r="BJ383" s="4">
        <f t="shared" si="191"/>
        <v>2</v>
      </c>
      <c r="BK383" s="4" t="str">
        <f t="shared" si="192"/>
        <v>0</v>
      </c>
      <c r="BL383" s="4" t="str">
        <f t="shared" si="193"/>
        <v>0</v>
      </c>
      <c r="BM383" s="4">
        <f t="shared" si="194"/>
        <v>4</v>
      </c>
      <c r="BN383" s="4">
        <f t="shared" si="195"/>
        <v>4</v>
      </c>
      <c r="BO383" s="4" t="str">
        <f t="shared" si="196"/>
        <v>0</v>
      </c>
      <c r="BP383" s="4">
        <f t="shared" si="197"/>
        <v>4</v>
      </c>
      <c r="BQ383" s="4">
        <f t="shared" si="198"/>
        <v>6</v>
      </c>
      <c r="BR383" s="4">
        <f t="shared" si="199"/>
        <v>4</v>
      </c>
      <c r="BS383" s="4">
        <f t="shared" si="200"/>
        <v>4</v>
      </c>
      <c r="BT383" s="4">
        <f t="shared" si="201"/>
        <v>4</v>
      </c>
      <c r="BU383" s="4">
        <f t="shared" si="202"/>
        <v>4</v>
      </c>
      <c r="BV383" s="4" t="str">
        <f t="shared" si="203"/>
        <v>0</v>
      </c>
      <c r="BW383" s="4">
        <f t="shared" si="204"/>
        <v>6</v>
      </c>
      <c r="BX383" s="4">
        <f t="shared" si="205"/>
        <v>0</v>
      </c>
      <c r="BY383" s="4" t="str">
        <f t="shared" si="206"/>
        <v>0</v>
      </c>
      <c r="BZ383" s="37">
        <f t="shared" si="207"/>
        <v>82</v>
      </c>
      <c r="CA383" s="32" t="str">
        <f>VLOOKUP(J:J,'Agent wise'!A:C,3,0)</f>
        <v>Saran S</v>
      </c>
      <c r="CB383" s="32">
        <f t="shared" si="208"/>
        <v>45937</v>
      </c>
      <c r="CC383" t="str">
        <f t="shared" si="209"/>
        <v>FC</v>
      </c>
      <c r="CE383" s="32"/>
      <c r="CJ383">
        <f t="shared" si="210"/>
        <v>7</v>
      </c>
      <c r="CK383">
        <f t="shared" si="211"/>
        <v>10</v>
      </c>
      <c r="CL383">
        <f t="shared" si="212"/>
        <v>2025</v>
      </c>
    </row>
    <row r="384" spans="1:90" ht="15" customHeight="1" x14ac:dyDescent="0.35">
      <c r="A384" s="40">
        <v>45848.513252314813</v>
      </c>
      <c r="B384" t="s">
        <v>698</v>
      </c>
      <c r="C384" t="s">
        <v>214</v>
      </c>
      <c r="D384" t="s">
        <v>221</v>
      </c>
      <c r="E384" s="32">
        <v>45937</v>
      </c>
      <c r="F384" t="s">
        <v>222</v>
      </c>
      <c r="G384" s="2">
        <v>45848</v>
      </c>
      <c r="H384">
        <v>9633724963</v>
      </c>
      <c r="I384">
        <v>140</v>
      </c>
      <c r="J384" t="s">
        <v>234</v>
      </c>
      <c r="K384" t="s">
        <v>57</v>
      </c>
      <c r="L384" t="s">
        <v>58</v>
      </c>
      <c r="M384" t="s">
        <v>59</v>
      </c>
      <c r="N384" t="s">
        <v>59</v>
      </c>
      <c r="O384" t="s">
        <v>60</v>
      </c>
      <c r="P384" t="s">
        <v>59</v>
      </c>
      <c r="Q384" t="s">
        <v>59</v>
      </c>
      <c r="R384" t="s">
        <v>59</v>
      </c>
      <c r="S384" t="s">
        <v>59</v>
      </c>
      <c r="T384" t="s">
        <v>59</v>
      </c>
      <c r="U384" t="s">
        <v>59</v>
      </c>
      <c r="V384" t="s">
        <v>59</v>
      </c>
      <c r="W384" t="s">
        <v>59</v>
      </c>
      <c r="X384" t="s">
        <v>59</v>
      </c>
      <c r="Y384" t="s">
        <v>59</v>
      </c>
      <c r="Z384" t="s">
        <v>59</v>
      </c>
      <c r="AA384" t="s">
        <v>59</v>
      </c>
      <c r="AB384" t="s">
        <v>61</v>
      </c>
      <c r="AC384" t="s">
        <v>59</v>
      </c>
      <c r="AD384" t="s">
        <v>61</v>
      </c>
      <c r="AE384" t="s">
        <v>59</v>
      </c>
      <c r="AF384" t="s">
        <v>59</v>
      </c>
      <c r="AG384" t="s">
        <v>59</v>
      </c>
      <c r="AH384" t="s">
        <v>61</v>
      </c>
      <c r="AI384" t="s">
        <v>61</v>
      </c>
      <c r="AJ384" t="s">
        <v>59</v>
      </c>
      <c r="AK384" t="s">
        <v>59</v>
      </c>
      <c r="AL384" t="s">
        <v>60</v>
      </c>
      <c r="AM384" t="s">
        <v>59</v>
      </c>
      <c r="AN384" t="s">
        <v>59</v>
      </c>
      <c r="AO384" t="s">
        <v>59</v>
      </c>
      <c r="AP384" t="s">
        <v>1007</v>
      </c>
      <c r="AQ384" t="s">
        <v>1008</v>
      </c>
      <c r="AR384" t="s">
        <v>226</v>
      </c>
      <c r="AS384" t="s">
        <v>565</v>
      </c>
      <c r="AT384" t="s">
        <v>565</v>
      </c>
      <c r="AU384" t="s">
        <v>219</v>
      </c>
      <c r="AW384" s="4">
        <f t="shared" si="178"/>
        <v>6</v>
      </c>
      <c r="AX384" s="4">
        <f t="shared" si="179"/>
        <v>4</v>
      </c>
      <c r="AY384" s="4" t="str">
        <f t="shared" si="180"/>
        <v>0</v>
      </c>
      <c r="AZ384" s="4">
        <f t="shared" si="181"/>
        <v>2</v>
      </c>
      <c r="BA384" s="4">
        <f t="shared" si="182"/>
        <v>4</v>
      </c>
      <c r="BB384" s="4">
        <f t="shared" si="183"/>
        <v>4</v>
      </c>
      <c r="BC384" s="4">
        <f t="shared" si="184"/>
        <v>4</v>
      </c>
      <c r="BD384" s="4">
        <f t="shared" si="185"/>
        <v>2</v>
      </c>
      <c r="BE384" s="4">
        <f t="shared" si="186"/>
        <v>4</v>
      </c>
      <c r="BF384" s="4">
        <f t="shared" si="187"/>
        <v>2</v>
      </c>
      <c r="BG384" s="4">
        <f t="shared" si="188"/>
        <v>4</v>
      </c>
      <c r="BH384" s="4">
        <f t="shared" si="189"/>
        <v>4</v>
      </c>
      <c r="BI384" s="4">
        <f t="shared" si="190"/>
        <v>4</v>
      </c>
      <c r="BJ384" s="4">
        <f t="shared" si="191"/>
        <v>2</v>
      </c>
      <c r="BK384" s="4">
        <f t="shared" si="192"/>
        <v>4</v>
      </c>
      <c r="BL384" s="4">
        <f t="shared" si="193"/>
        <v>2</v>
      </c>
      <c r="BM384" s="4">
        <f t="shared" si="194"/>
        <v>4</v>
      </c>
      <c r="BN384" s="4">
        <f t="shared" si="195"/>
        <v>4</v>
      </c>
      <c r="BO384" s="4">
        <f t="shared" si="196"/>
        <v>4</v>
      </c>
      <c r="BP384" s="4">
        <f t="shared" si="197"/>
        <v>4</v>
      </c>
      <c r="BQ384" s="4">
        <f t="shared" si="198"/>
        <v>6</v>
      </c>
      <c r="BR384" s="4">
        <f t="shared" si="199"/>
        <v>4</v>
      </c>
      <c r="BS384" s="4">
        <f t="shared" si="200"/>
        <v>4</v>
      </c>
      <c r="BT384" s="4">
        <f t="shared" si="201"/>
        <v>4</v>
      </c>
      <c r="BU384" s="4">
        <f t="shared" si="202"/>
        <v>4</v>
      </c>
      <c r="BV384" s="4" t="str">
        <f t="shared" si="203"/>
        <v>0</v>
      </c>
      <c r="BW384" s="4">
        <f t="shared" si="204"/>
        <v>6</v>
      </c>
      <c r="BX384" s="4">
        <f t="shared" si="205"/>
        <v>0</v>
      </c>
      <c r="BY384" s="4">
        <f t="shared" si="206"/>
        <v>0</v>
      </c>
      <c r="BZ384" s="37">
        <f t="shared" si="207"/>
        <v>96</v>
      </c>
      <c r="CA384" s="32" t="str">
        <f>VLOOKUP(J:J,'Agent wise'!A:C,3,0)</f>
        <v>Amal</v>
      </c>
      <c r="CB384" s="32">
        <f t="shared" si="208"/>
        <v>45937</v>
      </c>
      <c r="CC384" t="str">
        <f t="shared" si="209"/>
        <v>Excellent</v>
      </c>
      <c r="CE384" s="32"/>
      <c r="CJ384">
        <f t="shared" si="210"/>
        <v>7</v>
      </c>
      <c r="CK384">
        <f t="shared" si="211"/>
        <v>10</v>
      </c>
      <c r="CL384">
        <f t="shared" si="212"/>
        <v>2025</v>
      </c>
    </row>
    <row r="385" spans="1:90" ht="15" customHeight="1" x14ac:dyDescent="0.35">
      <c r="A385" s="40">
        <v>45848.515509259261</v>
      </c>
      <c r="B385" t="s">
        <v>250</v>
      </c>
      <c r="C385" t="s">
        <v>214</v>
      </c>
      <c r="D385" t="s">
        <v>251</v>
      </c>
      <c r="E385" s="32">
        <v>45937</v>
      </c>
      <c r="F385" t="s">
        <v>54</v>
      </c>
      <c r="G385" s="2">
        <v>45818</v>
      </c>
      <c r="H385">
        <v>8129243739</v>
      </c>
      <c r="I385">
        <v>251</v>
      </c>
      <c r="J385" t="s">
        <v>1009</v>
      </c>
      <c r="K385" t="s">
        <v>57</v>
      </c>
      <c r="L385" t="s">
        <v>58</v>
      </c>
      <c r="M385" t="s">
        <v>59</v>
      </c>
      <c r="N385" t="s">
        <v>59</v>
      </c>
      <c r="O385" t="s">
        <v>59</v>
      </c>
      <c r="P385" t="s">
        <v>59</v>
      </c>
      <c r="Q385" t="s">
        <v>59</v>
      </c>
      <c r="R385" t="s">
        <v>59</v>
      </c>
      <c r="S385" t="s">
        <v>59</v>
      </c>
      <c r="T385" t="s">
        <v>59</v>
      </c>
      <c r="U385" t="s">
        <v>60</v>
      </c>
      <c r="V385" t="s">
        <v>59</v>
      </c>
      <c r="W385" t="s">
        <v>59</v>
      </c>
      <c r="X385" t="s">
        <v>59</v>
      </c>
      <c r="Y385" t="s">
        <v>59</v>
      </c>
      <c r="Z385" t="s">
        <v>59</v>
      </c>
      <c r="AA385" t="s">
        <v>60</v>
      </c>
      <c r="AB385" t="s">
        <v>59</v>
      </c>
      <c r="AC385" t="s">
        <v>59</v>
      </c>
      <c r="AD385" t="s">
        <v>59</v>
      </c>
      <c r="AE385" t="s">
        <v>59</v>
      </c>
      <c r="AF385" t="s">
        <v>59</v>
      </c>
      <c r="AG385" t="s">
        <v>60</v>
      </c>
      <c r="AH385" t="s">
        <v>61</v>
      </c>
      <c r="AI385" t="s">
        <v>61</v>
      </c>
      <c r="AJ385" t="s">
        <v>59</v>
      </c>
      <c r="AK385" t="s">
        <v>59</v>
      </c>
      <c r="AL385" t="s">
        <v>60</v>
      </c>
      <c r="AM385" t="s">
        <v>60</v>
      </c>
      <c r="AN385" t="s">
        <v>60</v>
      </c>
      <c r="AO385" t="s">
        <v>60</v>
      </c>
      <c r="AP385" t="s">
        <v>1010</v>
      </c>
      <c r="AQ385" t="s">
        <v>1011</v>
      </c>
      <c r="AR385" t="s">
        <v>64</v>
      </c>
      <c r="AS385" t="s">
        <v>65</v>
      </c>
      <c r="AT385" t="s">
        <v>79</v>
      </c>
      <c r="AU385" t="s">
        <v>593</v>
      </c>
      <c r="AW385" s="4">
        <f t="shared" si="178"/>
        <v>6</v>
      </c>
      <c r="AX385" s="4">
        <f t="shared" si="179"/>
        <v>4</v>
      </c>
      <c r="AY385" s="4">
        <f t="shared" si="180"/>
        <v>4</v>
      </c>
      <c r="AZ385" s="4">
        <f t="shared" si="181"/>
        <v>2</v>
      </c>
      <c r="BA385" s="4">
        <f t="shared" si="182"/>
        <v>4</v>
      </c>
      <c r="BB385" s="4">
        <f t="shared" si="183"/>
        <v>4</v>
      </c>
      <c r="BC385" s="4">
        <f t="shared" si="184"/>
        <v>4</v>
      </c>
      <c r="BD385" s="4">
        <f t="shared" si="185"/>
        <v>2</v>
      </c>
      <c r="BE385" s="4" t="str">
        <f t="shared" si="186"/>
        <v>0</v>
      </c>
      <c r="BF385" s="4">
        <f t="shared" si="187"/>
        <v>2</v>
      </c>
      <c r="BG385" s="4">
        <f t="shared" si="188"/>
        <v>4</v>
      </c>
      <c r="BH385" s="4">
        <f t="shared" si="189"/>
        <v>4</v>
      </c>
      <c r="BI385" s="4">
        <f t="shared" si="190"/>
        <v>4</v>
      </c>
      <c r="BJ385" s="4">
        <f t="shared" si="191"/>
        <v>2</v>
      </c>
      <c r="BK385" s="4" t="str">
        <f t="shared" si="192"/>
        <v>0</v>
      </c>
      <c r="BL385" s="4">
        <f t="shared" si="193"/>
        <v>2</v>
      </c>
      <c r="BM385" s="4">
        <f t="shared" si="194"/>
        <v>4</v>
      </c>
      <c r="BN385" s="4">
        <f t="shared" si="195"/>
        <v>4</v>
      </c>
      <c r="BO385" s="4">
        <f t="shared" si="196"/>
        <v>4</v>
      </c>
      <c r="BP385" s="4">
        <f t="shared" si="197"/>
        <v>4</v>
      </c>
      <c r="BQ385" s="4" t="str">
        <f t="shared" si="198"/>
        <v>0</v>
      </c>
      <c r="BR385" s="4">
        <f t="shared" si="199"/>
        <v>4</v>
      </c>
      <c r="BS385" s="4">
        <f t="shared" si="200"/>
        <v>4</v>
      </c>
      <c r="BT385" s="4">
        <f t="shared" si="201"/>
        <v>4</v>
      </c>
      <c r="BU385" s="4">
        <f t="shared" si="202"/>
        <v>4</v>
      </c>
      <c r="BV385" s="4" t="str">
        <f t="shared" si="203"/>
        <v>0</v>
      </c>
      <c r="BW385" s="4" t="str">
        <f t="shared" si="204"/>
        <v>0</v>
      </c>
      <c r="BX385" s="4" t="str">
        <f t="shared" si="205"/>
        <v>0</v>
      </c>
      <c r="BY385" s="4" t="str">
        <f t="shared" si="206"/>
        <v>0</v>
      </c>
      <c r="BZ385" s="37">
        <f t="shared" si="207"/>
        <v>80</v>
      </c>
      <c r="CA385" s="32" t="str">
        <f>VLOOKUP(J:J,'Agent wise'!A:C,3,0)</f>
        <v>Anusha</v>
      </c>
      <c r="CB385" s="32">
        <f t="shared" si="208"/>
        <v>45937</v>
      </c>
      <c r="CC385" t="str">
        <f t="shared" si="209"/>
        <v>FC</v>
      </c>
      <c r="CE385" s="32"/>
      <c r="CJ385">
        <f t="shared" si="210"/>
        <v>7</v>
      </c>
      <c r="CK385">
        <f t="shared" si="211"/>
        <v>10</v>
      </c>
      <c r="CL385">
        <f t="shared" si="212"/>
        <v>2025</v>
      </c>
    </row>
    <row r="386" spans="1:90" ht="15" customHeight="1" x14ac:dyDescent="0.35">
      <c r="A386" s="40">
        <v>45848.518449074072</v>
      </c>
      <c r="B386" t="s">
        <v>698</v>
      </c>
      <c r="C386" t="s">
        <v>214</v>
      </c>
      <c r="D386" t="s">
        <v>221</v>
      </c>
      <c r="E386" s="32">
        <v>45937</v>
      </c>
      <c r="F386" t="s">
        <v>222</v>
      </c>
      <c r="G386" s="2">
        <v>45848</v>
      </c>
      <c r="H386">
        <v>9567521388</v>
      </c>
      <c r="I386">
        <v>135</v>
      </c>
      <c r="J386" t="s">
        <v>208</v>
      </c>
      <c r="K386" t="s">
        <v>57</v>
      </c>
      <c r="L386" t="s">
        <v>58</v>
      </c>
      <c r="M386" t="s">
        <v>59</v>
      </c>
      <c r="N386" t="s">
        <v>59</v>
      </c>
      <c r="O386" t="s">
        <v>60</v>
      </c>
      <c r="P386" t="s">
        <v>59</v>
      </c>
      <c r="Q386" t="s">
        <v>59</v>
      </c>
      <c r="R386" t="s">
        <v>59</v>
      </c>
      <c r="S386" t="s">
        <v>59</v>
      </c>
      <c r="T386" t="s">
        <v>59</v>
      </c>
      <c r="U386" t="s">
        <v>59</v>
      </c>
      <c r="V386" t="s">
        <v>59</v>
      </c>
      <c r="W386" t="s">
        <v>59</v>
      </c>
      <c r="X386" t="s">
        <v>59</v>
      </c>
      <c r="Y386" t="s">
        <v>59</v>
      </c>
      <c r="Z386" t="s">
        <v>59</v>
      </c>
      <c r="AA386" t="s">
        <v>59</v>
      </c>
      <c r="AB386" t="s">
        <v>59</v>
      </c>
      <c r="AC386" t="s">
        <v>59</v>
      </c>
      <c r="AD386" t="s">
        <v>59</v>
      </c>
      <c r="AE386" t="s">
        <v>59</v>
      </c>
      <c r="AF386" t="s">
        <v>59</v>
      </c>
      <c r="AG386" t="s">
        <v>59</v>
      </c>
      <c r="AH386" t="s">
        <v>61</v>
      </c>
      <c r="AI386" t="s">
        <v>61</v>
      </c>
      <c r="AJ386" t="s">
        <v>59</v>
      </c>
      <c r="AK386" t="s">
        <v>59</v>
      </c>
      <c r="AL386" t="s">
        <v>60</v>
      </c>
      <c r="AM386" t="s">
        <v>59</v>
      </c>
      <c r="AN386" t="s">
        <v>59</v>
      </c>
      <c r="AO386" t="s">
        <v>59</v>
      </c>
      <c r="AP386" t="s">
        <v>1012</v>
      </c>
      <c r="AQ386" t="s">
        <v>1013</v>
      </c>
      <c r="AR386" t="s">
        <v>226</v>
      </c>
      <c r="AS386" t="s">
        <v>249</v>
      </c>
      <c r="AT386" t="s">
        <v>249</v>
      </c>
      <c r="AU386" t="s">
        <v>219</v>
      </c>
      <c r="AW386" s="4">
        <f t="shared" si="178"/>
        <v>6</v>
      </c>
      <c r="AX386" s="4">
        <f t="shared" si="179"/>
        <v>4</v>
      </c>
      <c r="AY386" s="4" t="str">
        <f t="shared" si="180"/>
        <v>0</v>
      </c>
      <c r="AZ386" s="4">
        <f t="shared" si="181"/>
        <v>2</v>
      </c>
      <c r="BA386" s="4">
        <f t="shared" si="182"/>
        <v>4</v>
      </c>
      <c r="BB386" s="4">
        <f t="shared" si="183"/>
        <v>4</v>
      </c>
      <c r="BC386" s="4">
        <f t="shared" si="184"/>
        <v>4</v>
      </c>
      <c r="BD386" s="4">
        <f t="shared" si="185"/>
        <v>2</v>
      </c>
      <c r="BE386" s="4">
        <f t="shared" si="186"/>
        <v>4</v>
      </c>
      <c r="BF386" s="4">
        <f t="shared" si="187"/>
        <v>2</v>
      </c>
      <c r="BG386" s="4">
        <f t="shared" si="188"/>
        <v>4</v>
      </c>
      <c r="BH386" s="4">
        <f t="shared" si="189"/>
        <v>4</v>
      </c>
      <c r="BI386" s="4">
        <f t="shared" si="190"/>
        <v>4</v>
      </c>
      <c r="BJ386" s="4">
        <f t="shared" si="191"/>
        <v>2</v>
      </c>
      <c r="BK386" s="4">
        <f t="shared" si="192"/>
        <v>4</v>
      </c>
      <c r="BL386" s="4">
        <f t="shared" si="193"/>
        <v>2</v>
      </c>
      <c r="BM386" s="4">
        <f t="shared" si="194"/>
        <v>4</v>
      </c>
      <c r="BN386" s="4">
        <f t="shared" si="195"/>
        <v>4</v>
      </c>
      <c r="BO386" s="4">
        <f t="shared" si="196"/>
        <v>4</v>
      </c>
      <c r="BP386" s="4">
        <f t="shared" si="197"/>
        <v>4</v>
      </c>
      <c r="BQ386" s="4">
        <f t="shared" si="198"/>
        <v>6</v>
      </c>
      <c r="BR386" s="4">
        <f t="shared" si="199"/>
        <v>4</v>
      </c>
      <c r="BS386" s="4">
        <f t="shared" si="200"/>
        <v>4</v>
      </c>
      <c r="BT386" s="4">
        <f t="shared" si="201"/>
        <v>4</v>
      </c>
      <c r="BU386" s="4">
        <f t="shared" si="202"/>
        <v>4</v>
      </c>
      <c r="BV386" s="4" t="str">
        <f t="shared" si="203"/>
        <v>0</v>
      </c>
      <c r="BW386" s="4">
        <f t="shared" si="204"/>
        <v>6</v>
      </c>
      <c r="BX386" s="4">
        <f t="shared" si="205"/>
        <v>0</v>
      </c>
      <c r="BY386" s="4">
        <f t="shared" si="206"/>
        <v>0</v>
      </c>
      <c r="BZ386" s="37">
        <f t="shared" si="207"/>
        <v>96</v>
      </c>
      <c r="CA386" s="32" t="str">
        <f>VLOOKUP(J:J,'Agent wise'!A:C,3,0)</f>
        <v>Adharsh</v>
      </c>
      <c r="CB386" s="32">
        <f t="shared" si="208"/>
        <v>45937</v>
      </c>
      <c r="CC386" t="str">
        <f t="shared" si="209"/>
        <v>Excellent</v>
      </c>
      <c r="CE386" s="32"/>
      <c r="CJ386">
        <f t="shared" si="210"/>
        <v>7</v>
      </c>
      <c r="CK386">
        <f t="shared" si="211"/>
        <v>10</v>
      </c>
      <c r="CL386">
        <f t="shared" si="212"/>
        <v>2025</v>
      </c>
    </row>
    <row r="387" spans="1:90" ht="15" customHeight="1" x14ac:dyDescent="0.35">
      <c r="A387" s="40">
        <v>45848.521828703713</v>
      </c>
      <c r="B387" t="s">
        <v>250</v>
      </c>
      <c r="C387" t="s">
        <v>214</v>
      </c>
      <c r="D387" t="s">
        <v>251</v>
      </c>
      <c r="E387" s="32">
        <v>45937</v>
      </c>
      <c r="F387" t="s">
        <v>54</v>
      </c>
      <c r="G387" s="2">
        <v>45818</v>
      </c>
      <c r="H387">
        <v>9567786584</v>
      </c>
      <c r="I387">
        <v>186</v>
      </c>
      <c r="J387" t="s">
        <v>1009</v>
      </c>
      <c r="K387" t="s">
        <v>57</v>
      </c>
      <c r="L387" t="s">
        <v>58</v>
      </c>
      <c r="M387" t="s">
        <v>59</v>
      </c>
      <c r="N387" t="s">
        <v>59</v>
      </c>
      <c r="O387" t="s">
        <v>59</v>
      </c>
      <c r="P387" t="s">
        <v>59</v>
      </c>
      <c r="Q387" t="s">
        <v>59</v>
      </c>
      <c r="R387" t="s">
        <v>59</v>
      </c>
      <c r="S387" t="s">
        <v>59</v>
      </c>
      <c r="T387" t="s">
        <v>59</v>
      </c>
      <c r="U387" t="s">
        <v>60</v>
      </c>
      <c r="V387" t="s">
        <v>59</v>
      </c>
      <c r="W387" t="s">
        <v>59</v>
      </c>
      <c r="X387" t="s">
        <v>59</v>
      </c>
      <c r="Y387" t="s">
        <v>59</v>
      </c>
      <c r="Z387" t="s">
        <v>59</v>
      </c>
      <c r="AA387" t="s">
        <v>60</v>
      </c>
      <c r="AB387" t="s">
        <v>59</v>
      </c>
      <c r="AC387" t="s">
        <v>59</v>
      </c>
      <c r="AD387" t="s">
        <v>59</v>
      </c>
      <c r="AE387" t="s">
        <v>59</v>
      </c>
      <c r="AF387" t="s">
        <v>59</v>
      </c>
      <c r="AG387" t="s">
        <v>59</v>
      </c>
      <c r="AH387" t="s">
        <v>61</v>
      </c>
      <c r="AI387" t="s">
        <v>61</v>
      </c>
      <c r="AJ387" t="s">
        <v>59</v>
      </c>
      <c r="AK387" t="s">
        <v>59</v>
      </c>
      <c r="AL387" t="s">
        <v>59</v>
      </c>
      <c r="AM387" t="s">
        <v>59</v>
      </c>
      <c r="AN387" t="s">
        <v>59</v>
      </c>
      <c r="AO387" t="s">
        <v>59</v>
      </c>
      <c r="AP387" t="s">
        <v>1014</v>
      </c>
      <c r="AQ387" t="s">
        <v>1015</v>
      </c>
      <c r="AR387" t="s">
        <v>226</v>
      </c>
      <c r="AS387" t="s">
        <v>111</v>
      </c>
      <c r="AT387" t="s">
        <v>377</v>
      </c>
      <c r="AU387" t="s">
        <v>219</v>
      </c>
      <c r="AW387" s="4">
        <f t="shared" ref="AW387:AW450" si="213">IF(OR(M387="YES", M387="Not Applicable"), AW$1, "0")</f>
        <v>6</v>
      </c>
      <c r="AX387" s="4">
        <f t="shared" ref="AX387:AX450" si="214">IF(OR(N387="YES", N387="Not Applicable"), AX$1, "0")</f>
        <v>4</v>
      </c>
      <c r="AY387" s="4">
        <f t="shared" ref="AY387:AY450" si="215">IF(OR(O387="YES", O387="Not Applicable"), AY$1, "0")</f>
        <v>4</v>
      </c>
      <c r="AZ387" s="4">
        <f t="shared" ref="AZ387:AZ450" si="216">IF(OR(P387="YES", P387="Not Applicable"), AZ$1, "0")</f>
        <v>2</v>
      </c>
      <c r="BA387" s="4">
        <f t="shared" ref="BA387:BA450" si="217">IF(OR(Q387="YES", Q387="Not Applicable"), BA$1, "0")</f>
        <v>4</v>
      </c>
      <c r="BB387" s="4">
        <f t="shared" ref="BB387:BB450" si="218">IF(OR(R387="YES", R387="Not Applicable"), BB$1, "0")</f>
        <v>4</v>
      </c>
      <c r="BC387" s="4">
        <f t="shared" ref="BC387:BC450" si="219">IF(OR(S387="YES", S387="Not Applicable"), BC$1, "0")</f>
        <v>4</v>
      </c>
      <c r="BD387" s="4">
        <f t="shared" ref="BD387:BD450" si="220">IF(OR(T387="YES", T387="Not Applicable"), BD$1, "0")</f>
        <v>2</v>
      </c>
      <c r="BE387" s="4" t="str">
        <f t="shared" ref="BE387:BE450" si="221">IF(OR(U387="YES", U387="Not Applicable"), BE$1, "0")</f>
        <v>0</v>
      </c>
      <c r="BF387" s="4">
        <f t="shared" ref="BF387:BF450" si="222">IF(OR(V387="YES", V387="Not Applicable"), BF$1, "0")</f>
        <v>2</v>
      </c>
      <c r="BG387" s="4">
        <f t="shared" ref="BG387:BG450" si="223">IF(OR(W387="YES", W387="Not Applicable"), BG$1, "0")</f>
        <v>4</v>
      </c>
      <c r="BH387" s="4">
        <f t="shared" ref="BH387:BH450" si="224">IF(OR(X387="YES", X387="Not Applicable"), BH$1, "0")</f>
        <v>4</v>
      </c>
      <c r="BI387" s="4">
        <f t="shared" ref="BI387:BI450" si="225">IF(OR(Y387="YES", Y387="Not Applicable"), BI$1, "0")</f>
        <v>4</v>
      </c>
      <c r="BJ387" s="4">
        <f t="shared" ref="BJ387:BJ450" si="226">IF(OR(Z387="YES", Z387="Not Applicable"), BJ$1, "0")</f>
        <v>2</v>
      </c>
      <c r="BK387" s="4" t="str">
        <f t="shared" ref="BK387:BK450" si="227">IF(OR(AA387="YES", AA387="Not Applicable"), BK$1, "0")</f>
        <v>0</v>
      </c>
      <c r="BL387" s="4">
        <f t="shared" ref="BL387:BL450" si="228">IF(OR(AB387="YES", AB387="Not Applicable"), BL$1, "0")</f>
        <v>2</v>
      </c>
      <c r="BM387" s="4">
        <f t="shared" ref="BM387:BM450" si="229">IF(OR(AC387="YES", AC387="Not Applicable"), BM$1, "0")</f>
        <v>4</v>
      </c>
      <c r="BN387" s="4">
        <f t="shared" ref="BN387:BN450" si="230">IF(OR(AD387="YES", AD387="Not Applicable"), BN$1, "0")</f>
        <v>4</v>
      </c>
      <c r="BO387" s="4">
        <f t="shared" ref="BO387:BO450" si="231">IF(OR(AE387="YES", AE387="Not Applicable"), BO$1, "0")</f>
        <v>4</v>
      </c>
      <c r="BP387" s="4">
        <f t="shared" ref="BP387:BP450" si="232">IF(OR(AF387="YES", AF387="Not Applicable"), BP$1, "0")</f>
        <v>4</v>
      </c>
      <c r="BQ387" s="4">
        <f t="shared" ref="BQ387:BQ450" si="233">IF(OR(AG387="YES", AG387="Not Applicable"), BQ$1, "0")</f>
        <v>6</v>
      </c>
      <c r="BR387" s="4">
        <f t="shared" ref="BR387:BR450" si="234">IF(OR(AH387="YES", AH387="Not Applicable"), BR$1, "0")</f>
        <v>4</v>
      </c>
      <c r="BS387" s="4">
        <f t="shared" ref="BS387:BS450" si="235">IF(OR(AI387="YES", AI387="Not Applicable"), BS$1, "0")</f>
        <v>4</v>
      </c>
      <c r="BT387" s="4">
        <f t="shared" ref="BT387:BT450" si="236">IF(OR(AJ387="YES", AJ387="Not Applicable"), BT$1, "0")</f>
        <v>4</v>
      </c>
      <c r="BU387" s="4">
        <f t="shared" ref="BU387:BU450" si="237">IF(OR(AK387="YES", AK387="Not Applicable"), BU$1, "0")</f>
        <v>4</v>
      </c>
      <c r="BV387" s="4">
        <f t="shared" ref="BV387:BV450" si="238">IF(OR(AL387="YES", AL387="Not Applicable"), BV$1, "0")</f>
        <v>0</v>
      </c>
      <c r="BW387" s="4">
        <f t="shared" ref="BW387:BW450" si="239">IF(OR(AM387="YES", AM387="Not Applicable"), BW$1, "0")</f>
        <v>6</v>
      </c>
      <c r="BX387" s="4">
        <f t="shared" ref="BX387:BX450" si="240">IF(OR(AN387="YES", AN387="Not Applicable"), BX$1, "0")</f>
        <v>0</v>
      </c>
      <c r="BY387" s="4">
        <f t="shared" ref="BY387:BY450" si="241">IF(OR(AO387="YES", AO387="Not Applicable"), BY$1, "0")</f>
        <v>0</v>
      </c>
      <c r="BZ387" s="37">
        <f t="shared" ref="BZ387:BZ450" si="242">SUM(AW387:BY387)</f>
        <v>92</v>
      </c>
      <c r="CA387" s="32" t="str">
        <f>VLOOKUP(J:J,'Agent wise'!A:C,3,0)</f>
        <v>Anusha</v>
      </c>
      <c r="CB387" s="32">
        <f t="shared" ref="CB387:CB450" si="243">INT(E387)</f>
        <v>45937</v>
      </c>
      <c r="CC387" t="str">
        <f t="shared" ref="CC387:CC450" si="244">IF(BZ387&gt;=94.5, "Excellent", IF(BZ387&gt;89.5, "Good", IF(BZ387&gt;84.5, "Average", "FC")))</f>
        <v>Good</v>
      </c>
      <c r="CE387" s="32"/>
      <c r="CJ387">
        <f t="shared" si="210"/>
        <v>7</v>
      </c>
      <c r="CK387">
        <f t="shared" si="211"/>
        <v>10</v>
      </c>
      <c r="CL387">
        <f t="shared" si="212"/>
        <v>2025</v>
      </c>
    </row>
    <row r="388" spans="1:90" ht="15" customHeight="1" x14ac:dyDescent="0.35">
      <c r="A388" s="40">
        <v>45848.521886574083</v>
      </c>
      <c r="B388" t="s">
        <v>698</v>
      </c>
      <c r="C388" t="s">
        <v>214</v>
      </c>
      <c r="D388" t="s">
        <v>221</v>
      </c>
      <c r="E388" s="32">
        <v>45937</v>
      </c>
      <c r="F388" t="s">
        <v>222</v>
      </c>
      <c r="G388" s="2">
        <v>45848</v>
      </c>
      <c r="H388">
        <v>9840377324</v>
      </c>
      <c r="I388">
        <v>191</v>
      </c>
      <c r="J388" t="s">
        <v>234</v>
      </c>
      <c r="K388" t="s">
        <v>71</v>
      </c>
      <c r="L388" t="s">
        <v>72</v>
      </c>
      <c r="M388" t="s">
        <v>59</v>
      </c>
      <c r="N388" t="s">
        <v>59</v>
      </c>
      <c r="O388" t="s">
        <v>60</v>
      </c>
      <c r="P388" t="s">
        <v>59</v>
      </c>
      <c r="Q388" t="s">
        <v>59</v>
      </c>
      <c r="R388" t="s">
        <v>59</v>
      </c>
      <c r="S388" t="s">
        <v>59</v>
      </c>
      <c r="T388" t="s">
        <v>59</v>
      </c>
      <c r="U388" t="s">
        <v>59</v>
      </c>
      <c r="V388" t="s">
        <v>59</v>
      </c>
      <c r="W388" t="s">
        <v>59</v>
      </c>
      <c r="X388" t="s">
        <v>59</v>
      </c>
      <c r="Y388" t="s">
        <v>59</v>
      </c>
      <c r="Z388" t="s">
        <v>59</v>
      </c>
      <c r="AA388" t="s">
        <v>59</v>
      </c>
      <c r="AB388" t="s">
        <v>59</v>
      </c>
      <c r="AC388" t="s">
        <v>59</v>
      </c>
      <c r="AD388" t="s">
        <v>61</v>
      </c>
      <c r="AE388" t="s">
        <v>59</v>
      </c>
      <c r="AF388" t="s">
        <v>59</v>
      </c>
      <c r="AG388" t="s">
        <v>59</v>
      </c>
      <c r="AH388" t="s">
        <v>61</v>
      </c>
      <c r="AI388" t="s">
        <v>61</v>
      </c>
      <c r="AJ388" t="s">
        <v>59</v>
      </c>
      <c r="AK388" t="s">
        <v>59</v>
      </c>
      <c r="AL388" t="s">
        <v>60</v>
      </c>
      <c r="AM388" t="s">
        <v>59</v>
      </c>
      <c r="AN388" t="s">
        <v>59</v>
      </c>
      <c r="AO388" t="s">
        <v>59</v>
      </c>
      <c r="AP388" t="s">
        <v>1012</v>
      </c>
      <c r="AQ388" t="s">
        <v>1016</v>
      </c>
      <c r="AR388" t="s">
        <v>226</v>
      </c>
      <c r="AS388" t="s">
        <v>982</v>
      </c>
      <c r="AT388" t="s">
        <v>982</v>
      </c>
      <c r="AU388" t="s">
        <v>219</v>
      </c>
      <c r="AW388" s="4">
        <f t="shared" si="213"/>
        <v>6</v>
      </c>
      <c r="AX388" s="4">
        <f t="shared" si="214"/>
        <v>4</v>
      </c>
      <c r="AY388" s="4" t="str">
        <f t="shared" si="215"/>
        <v>0</v>
      </c>
      <c r="AZ388" s="4">
        <f t="shared" si="216"/>
        <v>2</v>
      </c>
      <c r="BA388" s="4">
        <f t="shared" si="217"/>
        <v>4</v>
      </c>
      <c r="BB388" s="4">
        <f t="shared" si="218"/>
        <v>4</v>
      </c>
      <c r="BC388" s="4">
        <f t="shared" si="219"/>
        <v>4</v>
      </c>
      <c r="BD388" s="4">
        <f t="shared" si="220"/>
        <v>2</v>
      </c>
      <c r="BE388" s="4">
        <f t="shared" si="221"/>
        <v>4</v>
      </c>
      <c r="BF388" s="4">
        <f t="shared" si="222"/>
        <v>2</v>
      </c>
      <c r="BG388" s="4">
        <f t="shared" si="223"/>
        <v>4</v>
      </c>
      <c r="BH388" s="4">
        <f t="shared" si="224"/>
        <v>4</v>
      </c>
      <c r="BI388" s="4">
        <f t="shared" si="225"/>
        <v>4</v>
      </c>
      <c r="BJ388" s="4">
        <f t="shared" si="226"/>
        <v>2</v>
      </c>
      <c r="BK388" s="4">
        <f t="shared" si="227"/>
        <v>4</v>
      </c>
      <c r="BL388" s="4">
        <f t="shared" si="228"/>
        <v>2</v>
      </c>
      <c r="BM388" s="4">
        <f t="shared" si="229"/>
        <v>4</v>
      </c>
      <c r="BN388" s="4">
        <f t="shared" si="230"/>
        <v>4</v>
      </c>
      <c r="BO388" s="4">
        <f t="shared" si="231"/>
        <v>4</v>
      </c>
      <c r="BP388" s="4">
        <f t="shared" si="232"/>
        <v>4</v>
      </c>
      <c r="BQ388" s="4">
        <f t="shared" si="233"/>
        <v>6</v>
      </c>
      <c r="BR388" s="4">
        <f t="shared" si="234"/>
        <v>4</v>
      </c>
      <c r="BS388" s="4">
        <f t="shared" si="235"/>
        <v>4</v>
      </c>
      <c r="BT388" s="4">
        <f t="shared" si="236"/>
        <v>4</v>
      </c>
      <c r="BU388" s="4">
        <f t="shared" si="237"/>
        <v>4</v>
      </c>
      <c r="BV388" s="4" t="str">
        <f t="shared" si="238"/>
        <v>0</v>
      </c>
      <c r="BW388" s="4">
        <f t="shared" si="239"/>
        <v>6</v>
      </c>
      <c r="BX388" s="4">
        <f t="shared" si="240"/>
        <v>0</v>
      </c>
      <c r="BY388" s="4">
        <f t="shared" si="241"/>
        <v>0</v>
      </c>
      <c r="BZ388" s="37">
        <f t="shared" si="242"/>
        <v>96</v>
      </c>
      <c r="CA388" s="32" t="str">
        <f>VLOOKUP(J:J,'Agent wise'!A:C,3,0)</f>
        <v>Amal</v>
      </c>
      <c r="CB388" s="32">
        <f t="shared" si="243"/>
        <v>45937</v>
      </c>
      <c r="CC388" t="str">
        <f t="shared" si="244"/>
        <v>Excellent</v>
      </c>
      <c r="CE388" s="32"/>
      <c r="CJ388">
        <f t="shared" ref="CJ388:CJ451" si="245">DAY(E388)</f>
        <v>7</v>
      </c>
      <c r="CK388">
        <f t="shared" ref="CK388:CK451" si="246">MONTH(E388)</f>
        <v>10</v>
      </c>
      <c r="CL388">
        <f t="shared" ref="CL388:CL451" si="247">YEAR(E388)</f>
        <v>2025</v>
      </c>
    </row>
    <row r="389" spans="1:90" ht="15" customHeight="1" x14ac:dyDescent="0.35">
      <c r="A389" s="40">
        <v>45848.524629629632</v>
      </c>
      <c r="B389" t="s">
        <v>698</v>
      </c>
      <c r="C389" t="s">
        <v>214</v>
      </c>
      <c r="D389" t="s">
        <v>221</v>
      </c>
      <c r="E389" s="32">
        <v>45937</v>
      </c>
      <c r="F389" t="s">
        <v>222</v>
      </c>
      <c r="G389" s="2">
        <v>45848</v>
      </c>
      <c r="H389">
        <v>8086455552</v>
      </c>
      <c r="I389">
        <v>161</v>
      </c>
      <c r="J389" t="s">
        <v>149</v>
      </c>
      <c r="K389" t="s">
        <v>57</v>
      </c>
      <c r="L389" t="s">
        <v>58</v>
      </c>
      <c r="M389" t="s">
        <v>59</v>
      </c>
      <c r="N389" t="s">
        <v>59</v>
      </c>
      <c r="O389" t="s">
        <v>59</v>
      </c>
      <c r="P389" t="s">
        <v>59</v>
      </c>
      <c r="Q389" t="s">
        <v>59</v>
      </c>
      <c r="R389" t="s">
        <v>59</v>
      </c>
      <c r="S389" t="s">
        <v>59</v>
      </c>
      <c r="T389" t="s">
        <v>59</v>
      </c>
      <c r="U389" t="s">
        <v>59</v>
      </c>
      <c r="V389" t="s">
        <v>59</v>
      </c>
      <c r="W389" t="s">
        <v>59</v>
      </c>
      <c r="X389" t="s">
        <v>59</v>
      </c>
      <c r="Y389" t="s">
        <v>59</v>
      </c>
      <c r="Z389" t="s">
        <v>59</v>
      </c>
      <c r="AA389" t="s">
        <v>59</v>
      </c>
      <c r="AB389" t="s">
        <v>59</v>
      </c>
      <c r="AC389" t="s">
        <v>59</v>
      </c>
      <c r="AD389" t="s">
        <v>59</v>
      </c>
      <c r="AE389" t="s">
        <v>59</v>
      </c>
      <c r="AF389" t="s">
        <v>59</v>
      </c>
      <c r="AG389" t="s">
        <v>59</v>
      </c>
      <c r="AH389" t="s">
        <v>61</v>
      </c>
      <c r="AI389" t="s">
        <v>61</v>
      </c>
      <c r="AJ389" t="s">
        <v>59</v>
      </c>
      <c r="AK389" t="s">
        <v>59</v>
      </c>
      <c r="AL389" t="s">
        <v>59</v>
      </c>
      <c r="AM389" t="s">
        <v>59</v>
      </c>
      <c r="AN389" t="s">
        <v>59</v>
      </c>
      <c r="AO389" t="s">
        <v>59</v>
      </c>
      <c r="AP389" t="s">
        <v>219</v>
      </c>
      <c r="AQ389" t="s">
        <v>1017</v>
      </c>
      <c r="AR389" t="s">
        <v>226</v>
      </c>
      <c r="AS389" t="s">
        <v>245</v>
      </c>
      <c r="AT389" t="s">
        <v>245</v>
      </c>
      <c r="AU389" t="s">
        <v>219</v>
      </c>
      <c r="AW389" s="4">
        <f t="shared" si="213"/>
        <v>6</v>
      </c>
      <c r="AX389" s="4">
        <f t="shared" si="214"/>
        <v>4</v>
      </c>
      <c r="AY389" s="4">
        <f t="shared" si="215"/>
        <v>4</v>
      </c>
      <c r="AZ389" s="4">
        <f t="shared" si="216"/>
        <v>2</v>
      </c>
      <c r="BA389" s="4">
        <f t="shared" si="217"/>
        <v>4</v>
      </c>
      <c r="BB389" s="4">
        <f t="shared" si="218"/>
        <v>4</v>
      </c>
      <c r="BC389" s="4">
        <f t="shared" si="219"/>
        <v>4</v>
      </c>
      <c r="BD389" s="4">
        <f t="shared" si="220"/>
        <v>2</v>
      </c>
      <c r="BE389" s="4">
        <f t="shared" si="221"/>
        <v>4</v>
      </c>
      <c r="BF389" s="4">
        <f t="shared" si="222"/>
        <v>2</v>
      </c>
      <c r="BG389" s="4">
        <f t="shared" si="223"/>
        <v>4</v>
      </c>
      <c r="BH389" s="4">
        <f t="shared" si="224"/>
        <v>4</v>
      </c>
      <c r="BI389" s="4">
        <f t="shared" si="225"/>
        <v>4</v>
      </c>
      <c r="BJ389" s="4">
        <f t="shared" si="226"/>
        <v>2</v>
      </c>
      <c r="BK389" s="4">
        <f t="shared" si="227"/>
        <v>4</v>
      </c>
      <c r="BL389" s="4">
        <f t="shared" si="228"/>
        <v>2</v>
      </c>
      <c r="BM389" s="4">
        <f t="shared" si="229"/>
        <v>4</v>
      </c>
      <c r="BN389" s="4">
        <f t="shared" si="230"/>
        <v>4</v>
      </c>
      <c r="BO389" s="4">
        <f t="shared" si="231"/>
        <v>4</v>
      </c>
      <c r="BP389" s="4">
        <f t="shared" si="232"/>
        <v>4</v>
      </c>
      <c r="BQ389" s="4">
        <f t="shared" si="233"/>
        <v>6</v>
      </c>
      <c r="BR389" s="4">
        <f t="shared" si="234"/>
        <v>4</v>
      </c>
      <c r="BS389" s="4">
        <f t="shared" si="235"/>
        <v>4</v>
      </c>
      <c r="BT389" s="4">
        <f t="shared" si="236"/>
        <v>4</v>
      </c>
      <c r="BU389" s="4">
        <f t="shared" si="237"/>
        <v>4</v>
      </c>
      <c r="BV389" s="4">
        <f t="shared" si="238"/>
        <v>0</v>
      </c>
      <c r="BW389" s="4">
        <f t="shared" si="239"/>
        <v>6</v>
      </c>
      <c r="BX389" s="4">
        <f t="shared" si="240"/>
        <v>0</v>
      </c>
      <c r="BY389" s="4">
        <f t="shared" si="241"/>
        <v>0</v>
      </c>
      <c r="BZ389" s="37">
        <f t="shared" si="242"/>
        <v>100</v>
      </c>
      <c r="CA389" s="32" t="str">
        <f>VLOOKUP(J:J,'Agent wise'!A:C,3,0)</f>
        <v>Shakeer</v>
      </c>
      <c r="CB389" s="32">
        <f t="shared" si="243"/>
        <v>45937</v>
      </c>
      <c r="CC389" t="str">
        <f t="shared" si="244"/>
        <v>Excellent</v>
      </c>
      <c r="CE389" s="32"/>
      <c r="CJ389">
        <f t="shared" si="245"/>
        <v>7</v>
      </c>
      <c r="CK389">
        <f t="shared" si="246"/>
        <v>10</v>
      </c>
      <c r="CL389">
        <f t="shared" si="247"/>
        <v>2025</v>
      </c>
    </row>
    <row r="390" spans="1:90" ht="15" customHeight="1" x14ac:dyDescent="0.35">
      <c r="A390" s="40">
        <v>45848.527592592603</v>
      </c>
      <c r="B390" t="s">
        <v>100</v>
      </c>
      <c r="C390" t="s">
        <v>214</v>
      </c>
      <c r="D390" t="s">
        <v>101</v>
      </c>
      <c r="E390" s="32">
        <v>45937</v>
      </c>
      <c r="F390" t="s">
        <v>90</v>
      </c>
      <c r="G390" s="2">
        <v>45818</v>
      </c>
      <c r="H390">
        <v>9443132526</v>
      </c>
      <c r="I390">
        <v>180</v>
      </c>
      <c r="J390" t="s">
        <v>557</v>
      </c>
      <c r="K390" t="s">
        <v>71</v>
      </c>
      <c r="L390" t="s">
        <v>72</v>
      </c>
      <c r="M390" t="s">
        <v>59</v>
      </c>
      <c r="N390" t="s">
        <v>59</v>
      </c>
      <c r="O390" t="s">
        <v>59</v>
      </c>
      <c r="P390" t="s">
        <v>59</v>
      </c>
      <c r="Q390" t="s">
        <v>59</v>
      </c>
      <c r="R390" t="s">
        <v>59</v>
      </c>
      <c r="S390" t="s">
        <v>59</v>
      </c>
      <c r="T390" t="s">
        <v>59</v>
      </c>
      <c r="U390" t="s">
        <v>59</v>
      </c>
      <c r="V390" t="s">
        <v>59</v>
      </c>
      <c r="W390" t="s">
        <v>59</v>
      </c>
      <c r="X390" t="s">
        <v>59</v>
      </c>
      <c r="Y390" t="s">
        <v>59</v>
      </c>
      <c r="Z390" t="s">
        <v>59</v>
      </c>
      <c r="AA390" t="s">
        <v>59</v>
      </c>
      <c r="AB390" t="s">
        <v>60</v>
      </c>
      <c r="AC390" t="s">
        <v>59</v>
      </c>
      <c r="AD390" t="s">
        <v>59</v>
      </c>
      <c r="AE390" t="s">
        <v>59</v>
      </c>
      <c r="AF390" t="s">
        <v>59</v>
      </c>
      <c r="AG390" t="s">
        <v>59</v>
      </c>
      <c r="AH390" t="s">
        <v>59</v>
      </c>
      <c r="AI390" t="s">
        <v>61</v>
      </c>
      <c r="AJ390" t="s">
        <v>59</v>
      </c>
      <c r="AK390" t="s">
        <v>59</v>
      </c>
      <c r="AL390" t="s">
        <v>59</v>
      </c>
      <c r="AM390" t="s">
        <v>59</v>
      </c>
      <c r="AN390" t="s">
        <v>59</v>
      </c>
      <c r="AO390" t="s">
        <v>59</v>
      </c>
      <c r="AP390" t="s">
        <v>1006</v>
      </c>
      <c r="AQ390" t="s">
        <v>1006</v>
      </c>
      <c r="AR390" t="s">
        <v>64</v>
      </c>
      <c r="AS390" t="s">
        <v>1018</v>
      </c>
      <c r="AT390" t="s">
        <v>1019</v>
      </c>
      <c r="AU390" t="s">
        <v>219</v>
      </c>
      <c r="AW390" s="4">
        <f t="shared" si="213"/>
        <v>6</v>
      </c>
      <c r="AX390" s="4">
        <f t="shared" si="214"/>
        <v>4</v>
      </c>
      <c r="AY390" s="4">
        <f t="shared" si="215"/>
        <v>4</v>
      </c>
      <c r="AZ390" s="4">
        <f t="shared" si="216"/>
        <v>2</v>
      </c>
      <c r="BA390" s="4">
        <f t="shared" si="217"/>
        <v>4</v>
      </c>
      <c r="BB390" s="4">
        <f t="shared" si="218"/>
        <v>4</v>
      </c>
      <c r="BC390" s="4">
        <f t="shared" si="219"/>
        <v>4</v>
      </c>
      <c r="BD390" s="4">
        <f t="shared" si="220"/>
        <v>2</v>
      </c>
      <c r="BE390" s="4">
        <f t="shared" si="221"/>
        <v>4</v>
      </c>
      <c r="BF390" s="4">
        <f t="shared" si="222"/>
        <v>2</v>
      </c>
      <c r="BG390" s="4">
        <f t="shared" si="223"/>
        <v>4</v>
      </c>
      <c r="BH390" s="4">
        <f t="shared" si="224"/>
        <v>4</v>
      </c>
      <c r="BI390" s="4">
        <f t="shared" si="225"/>
        <v>4</v>
      </c>
      <c r="BJ390" s="4">
        <f t="shared" si="226"/>
        <v>2</v>
      </c>
      <c r="BK390" s="4">
        <f t="shared" si="227"/>
        <v>4</v>
      </c>
      <c r="BL390" s="4" t="str">
        <f t="shared" si="228"/>
        <v>0</v>
      </c>
      <c r="BM390" s="4">
        <f t="shared" si="229"/>
        <v>4</v>
      </c>
      <c r="BN390" s="4">
        <f t="shared" si="230"/>
        <v>4</v>
      </c>
      <c r="BO390" s="4">
        <f t="shared" si="231"/>
        <v>4</v>
      </c>
      <c r="BP390" s="4">
        <f t="shared" si="232"/>
        <v>4</v>
      </c>
      <c r="BQ390" s="4">
        <f t="shared" si="233"/>
        <v>6</v>
      </c>
      <c r="BR390" s="4">
        <f t="shared" si="234"/>
        <v>4</v>
      </c>
      <c r="BS390" s="4">
        <f t="shared" si="235"/>
        <v>4</v>
      </c>
      <c r="BT390" s="4">
        <f t="shared" si="236"/>
        <v>4</v>
      </c>
      <c r="BU390" s="4">
        <f t="shared" si="237"/>
        <v>4</v>
      </c>
      <c r="BV390" s="4">
        <f t="shared" si="238"/>
        <v>0</v>
      </c>
      <c r="BW390" s="4">
        <f t="shared" si="239"/>
        <v>6</v>
      </c>
      <c r="BX390" s="4">
        <f t="shared" si="240"/>
        <v>0</v>
      </c>
      <c r="BY390" s="4">
        <f t="shared" si="241"/>
        <v>0</v>
      </c>
      <c r="BZ390" s="37">
        <f t="shared" si="242"/>
        <v>98</v>
      </c>
      <c r="CA390" s="32" t="str">
        <f>VLOOKUP(J:J,'Agent wise'!A:C,3,0)</f>
        <v xml:space="preserve">Shiny </v>
      </c>
      <c r="CB390" s="32">
        <f t="shared" si="243"/>
        <v>45937</v>
      </c>
      <c r="CC390" t="str">
        <f t="shared" si="244"/>
        <v>Excellent</v>
      </c>
      <c r="CE390" s="32"/>
      <c r="CJ390">
        <f t="shared" si="245"/>
        <v>7</v>
      </c>
      <c r="CK390">
        <f t="shared" si="246"/>
        <v>10</v>
      </c>
      <c r="CL390">
        <f t="shared" si="247"/>
        <v>2025</v>
      </c>
    </row>
    <row r="391" spans="1:90" ht="15" customHeight="1" x14ac:dyDescent="0.35">
      <c r="A391" s="40">
        <v>45848.528831018521</v>
      </c>
      <c r="B391" t="s">
        <v>698</v>
      </c>
      <c r="C391" t="s">
        <v>214</v>
      </c>
      <c r="D391" t="s">
        <v>221</v>
      </c>
      <c r="E391" s="32">
        <v>45937</v>
      </c>
      <c r="F391" t="s">
        <v>222</v>
      </c>
      <c r="G391" s="2">
        <v>45848</v>
      </c>
      <c r="H391">
        <v>8281265031</v>
      </c>
      <c r="I391">
        <v>188</v>
      </c>
      <c r="J391" t="s">
        <v>420</v>
      </c>
      <c r="K391" t="s">
        <v>57</v>
      </c>
      <c r="L391" t="s">
        <v>58</v>
      </c>
      <c r="M391" t="s">
        <v>59</v>
      </c>
      <c r="N391" t="s">
        <v>59</v>
      </c>
      <c r="O391" t="s">
        <v>60</v>
      </c>
      <c r="P391" t="s">
        <v>59</v>
      </c>
      <c r="Q391" t="s">
        <v>59</v>
      </c>
      <c r="R391" t="s">
        <v>59</v>
      </c>
      <c r="S391" t="s">
        <v>59</v>
      </c>
      <c r="T391" t="s">
        <v>59</v>
      </c>
      <c r="U391" t="s">
        <v>59</v>
      </c>
      <c r="V391" t="s">
        <v>59</v>
      </c>
      <c r="W391" t="s">
        <v>59</v>
      </c>
      <c r="X391" t="s">
        <v>59</v>
      </c>
      <c r="Y391" t="s">
        <v>59</v>
      </c>
      <c r="Z391" t="s">
        <v>59</v>
      </c>
      <c r="AA391" t="s">
        <v>59</v>
      </c>
      <c r="AB391" t="s">
        <v>59</v>
      </c>
      <c r="AC391" t="s">
        <v>59</v>
      </c>
      <c r="AD391" t="s">
        <v>61</v>
      </c>
      <c r="AE391" t="s">
        <v>59</v>
      </c>
      <c r="AF391" t="s">
        <v>59</v>
      </c>
      <c r="AG391" t="s">
        <v>59</v>
      </c>
      <c r="AH391" t="s">
        <v>61</v>
      </c>
      <c r="AI391" t="s">
        <v>59</v>
      </c>
      <c r="AJ391" t="s">
        <v>59</v>
      </c>
      <c r="AK391" t="s">
        <v>59</v>
      </c>
      <c r="AL391" t="s">
        <v>59</v>
      </c>
      <c r="AM391" t="s">
        <v>59</v>
      </c>
      <c r="AN391" t="s">
        <v>59</v>
      </c>
      <c r="AO391" t="s">
        <v>59</v>
      </c>
      <c r="AP391" t="s">
        <v>1020</v>
      </c>
      <c r="AQ391" t="s">
        <v>960</v>
      </c>
      <c r="AR391" t="s">
        <v>226</v>
      </c>
      <c r="AS391" t="s">
        <v>249</v>
      </c>
      <c r="AT391" t="s">
        <v>249</v>
      </c>
      <c r="AU391" t="s">
        <v>219</v>
      </c>
      <c r="AW391" s="4">
        <f t="shared" si="213"/>
        <v>6</v>
      </c>
      <c r="AX391" s="4">
        <f t="shared" si="214"/>
        <v>4</v>
      </c>
      <c r="AY391" s="4" t="str">
        <f t="shared" si="215"/>
        <v>0</v>
      </c>
      <c r="AZ391" s="4">
        <f t="shared" si="216"/>
        <v>2</v>
      </c>
      <c r="BA391" s="4">
        <f t="shared" si="217"/>
        <v>4</v>
      </c>
      <c r="BB391" s="4">
        <f t="shared" si="218"/>
        <v>4</v>
      </c>
      <c r="BC391" s="4">
        <f t="shared" si="219"/>
        <v>4</v>
      </c>
      <c r="BD391" s="4">
        <f t="shared" si="220"/>
        <v>2</v>
      </c>
      <c r="BE391" s="4">
        <f t="shared" si="221"/>
        <v>4</v>
      </c>
      <c r="BF391" s="4">
        <f t="shared" si="222"/>
        <v>2</v>
      </c>
      <c r="BG391" s="4">
        <f t="shared" si="223"/>
        <v>4</v>
      </c>
      <c r="BH391" s="4">
        <f t="shared" si="224"/>
        <v>4</v>
      </c>
      <c r="BI391" s="4">
        <f t="shared" si="225"/>
        <v>4</v>
      </c>
      <c r="BJ391" s="4">
        <f t="shared" si="226"/>
        <v>2</v>
      </c>
      <c r="BK391" s="4">
        <f t="shared" si="227"/>
        <v>4</v>
      </c>
      <c r="BL391" s="4">
        <f t="shared" si="228"/>
        <v>2</v>
      </c>
      <c r="BM391" s="4">
        <f t="shared" si="229"/>
        <v>4</v>
      </c>
      <c r="BN391" s="4">
        <f t="shared" si="230"/>
        <v>4</v>
      </c>
      <c r="BO391" s="4">
        <f t="shared" si="231"/>
        <v>4</v>
      </c>
      <c r="BP391" s="4">
        <f t="shared" si="232"/>
        <v>4</v>
      </c>
      <c r="BQ391" s="4">
        <f t="shared" si="233"/>
        <v>6</v>
      </c>
      <c r="BR391" s="4">
        <f t="shared" si="234"/>
        <v>4</v>
      </c>
      <c r="BS391" s="4">
        <f t="shared" si="235"/>
        <v>4</v>
      </c>
      <c r="BT391" s="4">
        <f t="shared" si="236"/>
        <v>4</v>
      </c>
      <c r="BU391" s="4">
        <f t="shared" si="237"/>
        <v>4</v>
      </c>
      <c r="BV391" s="4">
        <f t="shared" si="238"/>
        <v>0</v>
      </c>
      <c r="BW391" s="4">
        <f t="shared" si="239"/>
        <v>6</v>
      </c>
      <c r="BX391" s="4">
        <f t="shared" si="240"/>
        <v>0</v>
      </c>
      <c r="BY391" s="4">
        <f t="shared" si="241"/>
        <v>0</v>
      </c>
      <c r="BZ391" s="37">
        <f t="shared" si="242"/>
        <v>96</v>
      </c>
      <c r="CA391" s="32" t="str">
        <f>VLOOKUP(J:J,'Agent wise'!A:C,3,0)</f>
        <v>Amal</v>
      </c>
      <c r="CB391" s="32">
        <f t="shared" si="243"/>
        <v>45937</v>
      </c>
      <c r="CC391" t="str">
        <f t="shared" si="244"/>
        <v>Excellent</v>
      </c>
      <c r="CE391" s="32"/>
      <c r="CJ391">
        <f t="shared" si="245"/>
        <v>7</v>
      </c>
      <c r="CK391">
        <f t="shared" si="246"/>
        <v>10</v>
      </c>
      <c r="CL391">
        <f t="shared" si="247"/>
        <v>2025</v>
      </c>
    </row>
    <row r="392" spans="1:90" ht="15" customHeight="1" x14ac:dyDescent="0.35">
      <c r="A392" s="40">
        <v>45848.529976851853</v>
      </c>
      <c r="B392" t="s">
        <v>250</v>
      </c>
      <c r="C392" t="s">
        <v>214</v>
      </c>
      <c r="D392" t="s">
        <v>251</v>
      </c>
      <c r="E392" s="32">
        <v>45937</v>
      </c>
      <c r="F392" t="s">
        <v>54</v>
      </c>
      <c r="G392" s="2">
        <v>45818</v>
      </c>
      <c r="H392">
        <v>9497355713</v>
      </c>
      <c r="I392">
        <v>150</v>
      </c>
      <c r="J392" t="s">
        <v>1009</v>
      </c>
      <c r="K392" t="s">
        <v>57</v>
      </c>
      <c r="L392" t="s">
        <v>58</v>
      </c>
      <c r="M392" t="s">
        <v>59</v>
      </c>
      <c r="N392" t="s">
        <v>59</v>
      </c>
      <c r="O392" t="s">
        <v>59</v>
      </c>
      <c r="P392" t="s">
        <v>59</v>
      </c>
      <c r="Q392" t="s">
        <v>59</v>
      </c>
      <c r="R392" t="s">
        <v>59</v>
      </c>
      <c r="S392" t="s">
        <v>59</v>
      </c>
      <c r="T392" t="s">
        <v>59</v>
      </c>
      <c r="U392" t="s">
        <v>60</v>
      </c>
      <c r="V392" t="s">
        <v>59</v>
      </c>
      <c r="W392" t="s">
        <v>59</v>
      </c>
      <c r="X392" t="s">
        <v>59</v>
      </c>
      <c r="Y392" t="s">
        <v>59</v>
      </c>
      <c r="Z392" t="s">
        <v>59</v>
      </c>
      <c r="AA392" t="s">
        <v>60</v>
      </c>
      <c r="AB392" t="s">
        <v>59</v>
      </c>
      <c r="AC392" t="s">
        <v>59</v>
      </c>
      <c r="AD392" t="s">
        <v>59</v>
      </c>
      <c r="AE392" t="s">
        <v>59</v>
      </c>
      <c r="AF392" t="s">
        <v>59</v>
      </c>
      <c r="AG392" t="s">
        <v>59</v>
      </c>
      <c r="AH392" t="s">
        <v>61</v>
      </c>
      <c r="AI392" t="s">
        <v>59</v>
      </c>
      <c r="AJ392" t="s">
        <v>59</v>
      </c>
      <c r="AK392" t="s">
        <v>59</v>
      </c>
      <c r="AL392" t="s">
        <v>59</v>
      </c>
      <c r="AM392" t="s">
        <v>59</v>
      </c>
      <c r="AN392" t="s">
        <v>59</v>
      </c>
      <c r="AO392" t="s">
        <v>59</v>
      </c>
      <c r="AP392" t="s">
        <v>783</v>
      </c>
      <c r="AQ392" t="s">
        <v>1021</v>
      </c>
      <c r="AR392" t="s">
        <v>64</v>
      </c>
      <c r="AS392" t="s">
        <v>889</v>
      </c>
      <c r="AT392" t="s">
        <v>675</v>
      </c>
      <c r="AU392" t="s">
        <v>219</v>
      </c>
      <c r="AW392" s="4">
        <f t="shared" si="213"/>
        <v>6</v>
      </c>
      <c r="AX392" s="4">
        <f t="shared" si="214"/>
        <v>4</v>
      </c>
      <c r="AY392" s="4">
        <f t="shared" si="215"/>
        <v>4</v>
      </c>
      <c r="AZ392" s="4">
        <f t="shared" si="216"/>
        <v>2</v>
      </c>
      <c r="BA392" s="4">
        <f t="shared" si="217"/>
        <v>4</v>
      </c>
      <c r="BB392" s="4">
        <f t="shared" si="218"/>
        <v>4</v>
      </c>
      <c r="BC392" s="4">
        <f t="shared" si="219"/>
        <v>4</v>
      </c>
      <c r="BD392" s="4">
        <f t="shared" si="220"/>
        <v>2</v>
      </c>
      <c r="BE392" s="4" t="str">
        <f t="shared" si="221"/>
        <v>0</v>
      </c>
      <c r="BF392" s="4">
        <f t="shared" si="222"/>
        <v>2</v>
      </c>
      <c r="BG392" s="4">
        <f t="shared" si="223"/>
        <v>4</v>
      </c>
      <c r="BH392" s="4">
        <f t="shared" si="224"/>
        <v>4</v>
      </c>
      <c r="BI392" s="4">
        <f t="shared" si="225"/>
        <v>4</v>
      </c>
      <c r="BJ392" s="4">
        <f t="shared" si="226"/>
        <v>2</v>
      </c>
      <c r="BK392" s="4" t="str">
        <f t="shared" si="227"/>
        <v>0</v>
      </c>
      <c r="BL392" s="4">
        <f t="shared" si="228"/>
        <v>2</v>
      </c>
      <c r="BM392" s="4">
        <f t="shared" si="229"/>
        <v>4</v>
      </c>
      <c r="BN392" s="4">
        <f t="shared" si="230"/>
        <v>4</v>
      </c>
      <c r="BO392" s="4">
        <f t="shared" si="231"/>
        <v>4</v>
      </c>
      <c r="BP392" s="4">
        <f t="shared" si="232"/>
        <v>4</v>
      </c>
      <c r="BQ392" s="4">
        <f t="shared" si="233"/>
        <v>6</v>
      </c>
      <c r="BR392" s="4">
        <f t="shared" si="234"/>
        <v>4</v>
      </c>
      <c r="BS392" s="4">
        <f t="shared" si="235"/>
        <v>4</v>
      </c>
      <c r="BT392" s="4">
        <f t="shared" si="236"/>
        <v>4</v>
      </c>
      <c r="BU392" s="4">
        <f t="shared" si="237"/>
        <v>4</v>
      </c>
      <c r="BV392" s="4">
        <f t="shared" si="238"/>
        <v>0</v>
      </c>
      <c r="BW392" s="4">
        <f t="shared" si="239"/>
        <v>6</v>
      </c>
      <c r="BX392" s="4">
        <f t="shared" si="240"/>
        <v>0</v>
      </c>
      <c r="BY392" s="4">
        <f t="shared" si="241"/>
        <v>0</v>
      </c>
      <c r="BZ392" s="37">
        <f t="shared" si="242"/>
        <v>92</v>
      </c>
      <c r="CA392" s="32" t="str">
        <f>VLOOKUP(J:J,'Agent wise'!A:C,3,0)</f>
        <v>Anusha</v>
      </c>
      <c r="CB392" s="32">
        <f t="shared" si="243"/>
        <v>45937</v>
      </c>
      <c r="CC392" t="str">
        <f t="shared" si="244"/>
        <v>Good</v>
      </c>
      <c r="CE392" s="32"/>
      <c r="CJ392">
        <f t="shared" si="245"/>
        <v>7</v>
      </c>
      <c r="CK392">
        <f t="shared" si="246"/>
        <v>10</v>
      </c>
      <c r="CL392">
        <f t="shared" si="247"/>
        <v>2025</v>
      </c>
    </row>
    <row r="393" spans="1:90" ht="15" customHeight="1" x14ac:dyDescent="0.35">
      <c r="A393" s="40">
        <v>45848.531111111108</v>
      </c>
      <c r="B393" t="s">
        <v>100</v>
      </c>
      <c r="C393" t="s">
        <v>214</v>
      </c>
      <c r="D393" t="s">
        <v>101</v>
      </c>
      <c r="E393" s="32">
        <v>45937</v>
      </c>
      <c r="F393" t="s">
        <v>90</v>
      </c>
      <c r="G393" s="2">
        <v>45818</v>
      </c>
      <c r="H393">
        <v>9443468262</v>
      </c>
      <c r="I393">
        <v>170</v>
      </c>
      <c r="J393" t="s">
        <v>96</v>
      </c>
      <c r="K393" t="s">
        <v>71</v>
      </c>
      <c r="L393" t="s">
        <v>72</v>
      </c>
      <c r="M393" t="s">
        <v>59</v>
      </c>
      <c r="N393" t="s">
        <v>59</v>
      </c>
      <c r="O393" t="s">
        <v>59</v>
      </c>
      <c r="P393" t="s">
        <v>59</v>
      </c>
      <c r="Q393" t="s">
        <v>59</v>
      </c>
      <c r="R393" t="s">
        <v>59</v>
      </c>
      <c r="S393" t="s">
        <v>59</v>
      </c>
      <c r="T393" t="s">
        <v>59</v>
      </c>
      <c r="U393" t="s">
        <v>59</v>
      </c>
      <c r="V393" t="s">
        <v>59</v>
      </c>
      <c r="W393" t="s">
        <v>59</v>
      </c>
      <c r="X393" t="s">
        <v>59</v>
      </c>
      <c r="Y393" t="s">
        <v>59</v>
      </c>
      <c r="Z393" t="s">
        <v>59</v>
      </c>
      <c r="AA393" t="s">
        <v>60</v>
      </c>
      <c r="AB393" t="s">
        <v>59</v>
      </c>
      <c r="AC393" t="s">
        <v>59</v>
      </c>
      <c r="AD393" t="s">
        <v>59</v>
      </c>
      <c r="AE393" t="s">
        <v>59</v>
      </c>
      <c r="AF393" t="s">
        <v>59</v>
      </c>
      <c r="AG393" t="s">
        <v>59</v>
      </c>
      <c r="AH393" t="s">
        <v>59</v>
      </c>
      <c r="AI393" t="s">
        <v>61</v>
      </c>
      <c r="AJ393" t="s">
        <v>59</v>
      </c>
      <c r="AK393" t="s">
        <v>59</v>
      </c>
      <c r="AL393" t="s">
        <v>59</v>
      </c>
      <c r="AM393" t="s">
        <v>59</v>
      </c>
      <c r="AN393" t="s">
        <v>59</v>
      </c>
      <c r="AO393" t="s">
        <v>59</v>
      </c>
      <c r="AP393" t="s">
        <v>526</v>
      </c>
      <c r="AQ393" t="s">
        <v>526</v>
      </c>
      <c r="AR393" t="s">
        <v>64</v>
      </c>
      <c r="AS393" t="s">
        <v>94</v>
      </c>
      <c r="AT393" t="s">
        <v>95</v>
      </c>
      <c r="AU393" t="s">
        <v>219</v>
      </c>
      <c r="AW393" s="4">
        <f t="shared" si="213"/>
        <v>6</v>
      </c>
      <c r="AX393" s="4">
        <f t="shared" si="214"/>
        <v>4</v>
      </c>
      <c r="AY393" s="4">
        <f t="shared" si="215"/>
        <v>4</v>
      </c>
      <c r="AZ393" s="4">
        <f t="shared" si="216"/>
        <v>2</v>
      </c>
      <c r="BA393" s="4">
        <f t="shared" si="217"/>
        <v>4</v>
      </c>
      <c r="BB393" s="4">
        <f t="shared" si="218"/>
        <v>4</v>
      </c>
      <c r="BC393" s="4">
        <f t="shared" si="219"/>
        <v>4</v>
      </c>
      <c r="BD393" s="4">
        <f t="shared" si="220"/>
        <v>2</v>
      </c>
      <c r="BE393" s="4">
        <f t="shared" si="221"/>
        <v>4</v>
      </c>
      <c r="BF393" s="4">
        <f t="shared" si="222"/>
        <v>2</v>
      </c>
      <c r="BG393" s="4">
        <f t="shared" si="223"/>
        <v>4</v>
      </c>
      <c r="BH393" s="4">
        <f t="shared" si="224"/>
        <v>4</v>
      </c>
      <c r="BI393" s="4">
        <f t="shared" si="225"/>
        <v>4</v>
      </c>
      <c r="BJ393" s="4">
        <f t="shared" si="226"/>
        <v>2</v>
      </c>
      <c r="BK393" s="4" t="str">
        <f t="shared" si="227"/>
        <v>0</v>
      </c>
      <c r="BL393" s="4">
        <f t="shared" si="228"/>
        <v>2</v>
      </c>
      <c r="BM393" s="4">
        <f t="shared" si="229"/>
        <v>4</v>
      </c>
      <c r="BN393" s="4">
        <f t="shared" si="230"/>
        <v>4</v>
      </c>
      <c r="BO393" s="4">
        <f t="shared" si="231"/>
        <v>4</v>
      </c>
      <c r="BP393" s="4">
        <f t="shared" si="232"/>
        <v>4</v>
      </c>
      <c r="BQ393" s="4">
        <f t="shared" si="233"/>
        <v>6</v>
      </c>
      <c r="BR393" s="4">
        <f t="shared" si="234"/>
        <v>4</v>
      </c>
      <c r="BS393" s="4">
        <f t="shared" si="235"/>
        <v>4</v>
      </c>
      <c r="BT393" s="4">
        <f t="shared" si="236"/>
        <v>4</v>
      </c>
      <c r="BU393" s="4">
        <f t="shared" si="237"/>
        <v>4</v>
      </c>
      <c r="BV393" s="4">
        <f t="shared" si="238"/>
        <v>0</v>
      </c>
      <c r="BW393" s="4">
        <f t="shared" si="239"/>
        <v>6</v>
      </c>
      <c r="BX393" s="4">
        <f t="shared" si="240"/>
        <v>0</v>
      </c>
      <c r="BY393" s="4">
        <f t="shared" si="241"/>
        <v>0</v>
      </c>
      <c r="BZ393" s="37">
        <f t="shared" si="242"/>
        <v>96</v>
      </c>
      <c r="CA393" s="32" t="str">
        <f>VLOOKUP(J:J,'Agent wise'!A:C,3,0)</f>
        <v xml:space="preserve">Shiny </v>
      </c>
      <c r="CB393" s="32">
        <f t="shared" si="243"/>
        <v>45937</v>
      </c>
      <c r="CC393" t="str">
        <f t="shared" si="244"/>
        <v>Excellent</v>
      </c>
      <c r="CE393" s="32"/>
      <c r="CJ393">
        <f t="shared" si="245"/>
        <v>7</v>
      </c>
      <c r="CK393">
        <f t="shared" si="246"/>
        <v>10</v>
      </c>
      <c r="CL393">
        <f t="shared" si="247"/>
        <v>2025</v>
      </c>
    </row>
    <row r="394" spans="1:90" ht="15" customHeight="1" x14ac:dyDescent="0.35">
      <c r="A394" s="40">
        <v>45848.533599537041</v>
      </c>
      <c r="B394" t="s">
        <v>250</v>
      </c>
      <c r="C394" t="s">
        <v>214</v>
      </c>
      <c r="D394" t="s">
        <v>251</v>
      </c>
      <c r="E394" s="32">
        <v>45937</v>
      </c>
      <c r="F394" t="s">
        <v>54</v>
      </c>
      <c r="G394" s="2">
        <v>45818</v>
      </c>
      <c r="H394">
        <v>7558853510</v>
      </c>
      <c r="I394">
        <v>141</v>
      </c>
      <c r="J394" t="s">
        <v>1022</v>
      </c>
      <c r="K394" t="s">
        <v>57</v>
      </c>
      <c r="L394" t="s">
        <v>58</v>
      </c>
      <c r="M394" t="s">
        <v>59</v>
      </c>
      <c r="N394" t="s">
        <v>59</v>
      </c>
      <c r="O394" t="s">
        <v>59</v>
      </c>
      <c r="P394" t="s">
        <v>59</v>
      </c>
      <c r="Q394" t="s">
        <v>59</v>
      </c>
      <c r="R394" t="s">
        <v>59</v>
      </c>
      <c r="S394" t="s">
        <v>59</v>
      </c>
      <c r="T394" t="s">
        <v>59</v>
      </c>
      <c r="U394" t="s">
        <v>60</v>
      </c>
      <c r="V394" t="s">
        <v>59</v>
      </c>
      <c r="W394" t="s">
        <v>59</v>
      </c>
      <c r="X394" t="s">
        <v>59</v>
      </c>
      <c r="Y394" t="s">
        <v>59</v>
      </c>
      <c r="Z394" t="s">
        <v>59</v>
      </c>
      <c r="AA394" t="s">
        <v>60</v>
      </c>
      <c r="AB394" t="s">
        <v>61</v>
      </c>
      <c r="AC394" t="s">
        <v>61</v>
      </c>
      <c r="AD394" t="s">
        <v>59</v>
      </c>
      <c r="AE394" t="s">
        <v>59</v>
      </c>
      <c r="AF394" t="s">
        <v>59</v>
      </c>
      <c r="AG394" t="s">
        <v>59</v>
      </c>
      <c r="AH394" t="s">
        <v>61</v>
      </c>
      <c r="AI394" t="s">
        <v>61</v>
      </c>
      <c r="AJ394" t="s">
        <v>59</v>
      </c>
      <c r="AK394" t="s">
        <v>59</v>
      </c>
      <c r="AL394" t="s">
        <v>60</v>
      </c>
      <c r="AM394" t="s">
        <v>59</v>
      </c>
      <c r="AN394" t="s">
        <v>59</v>
      </c>
      <c r="AO394" t="s">
        <v>59</v>
      </c>
      <c r="AP394" t="s">
        <v>696</v>
      </c>
      <c r="AQ394" t="s">
        <v>1023</v>
      </c>
      <c r="AR394" t="s">
        <v>64</v>
      </c>
      <c r="AS394" t="s">
        <v>198</v>
      </c>
      <c r="AT394" t="s">
        <v>777</v>
      </c>
      <c r="AU394" t="s">
        <v>219</v>
      </c>
      <c r="AW394" s="4">
        <f t="shared" si="213"/>
        <v>6</v>
      </c>
      <c r="AX394" s="4">
        <f t="shared" si="214"/>
        <v>4</v>
      </c>
      <c r="AY394" s="4">
        <f t="shared" si="215"/>
        <v>4</v>
      </c>
      <c r="AZ394" s="4">
        <f t="shared" si="216"/>
        <v>2</v>
      </c>
      <c r="BA394" s="4">
        <f t="shared" si="217"/>
        <v>4</v>
      </c>
      <c r="BB394" s="4">
        <f t="shared" si="218"/>
        <v>4</v>
      </c>
      <c r="BC394" s="4">
        <f t="shared" si="219"/>
        <v>4</v>
      </c>
      <c r="BD394" s="4">
        <f t="shared" si="220"/>
        <v>2</v>
      </c>
      <c r="BE394" s="4" t="str">
        <f t="shared" si="221"/>
        <v>0</v>
      </c>
      <c r="BF394" s="4">
        <f t="shared" si="222"/>
        <v>2</v>
      </c>
      <c r="BG394" s="4">
        <f t="shared" si="223"/>
        <v>4</v>
      </c>
      <c r="BH394" s="4">
        <f t="shared" si="224"/>
        <v>4</v>
      </c>
      <c r="BI394" s="4">
        <f t="shared" si="225"/>
        <v>4</v>
      </c>
      <c r="BJ394" s="4">
        <f t="shared" si="226"/>
        <v>2</v>
      </c>
      <c r="BK394" s="4" t="str">
        <f t="shared" si="227"/>
        <v>0</v>
      </c>
      <c r="BL394" s="4">
        <f t="shared" si="228"/>
        <v>2</v>
      </c>
      <c r="BM394" s="4">
        <f t="shared" si="229"/>
        <v>4</v>
      </c>
      <c r="BN394" s="4">
        <f t="shared" si="230"/>
        <v>4</v>
      </c>
      <c r="BO394" s="4">
        <f t="shared" si="231"/>
        <v>4</v>
      </c>
      <c r="BP394" s="4">
        <f t="shared" si="232"/>
        <v>4</v>
      </c>
      <c r="BQ394" s="4">
        <f t="shared" si="233"/>
        <v>6</v>
      </c>
      <c r="BR394" s="4">
        <f t="shared" si="234"/>
        <v>4</v>
      </c>
      <c r="BS394" s="4">
        <f t="shared" si="235"/>
        <v>4</v>
      </c>
      <c r="BT394" s="4">
        <f t="shared" si="236"/>
        <v>4</v>
      </c>
      <c r="BU394" s="4">
        <f t="shared" si="237"/>
        <v>4</v>
      </c>
      <c r="BV394" s="4" t="str">
        <f t="shared" si="238"/>
        <v>0</v>
      </c>
      <c r="BW394" s="4">
        <f t="shared" si="239"/>
        <v>6</v>
      </c>
      <c r="BX394" s="4">
        <f t="shared" si="240"/>
        <v>0</v>
      </c>
      <c r="BY394" s="4">
        <f t="shared" si="241"/>
        <v>0</v>
      </c>
      <c r="BZ394" s="37">
        <f t="shared" si="242"/>
        <v>92</v>
      </c>
      <c r="CA394" s="32" t="str">
        <f>VLOOKUP(J:J,'Agent wise'!A:C,3,0)</f>
        <v>Anusha</v>
      </c>
      <c r="CB394" s="32">
        <f t="shared" si="243"/>
        <v>45937</v>
      </c>
      <c r="CC394" t="str">
        <f t="shared" si="244"/>
        <v>Good</v>
      </c>
      <c r="CE394" s="32"/>
      <c r="CJ394">
        <f t="shared" si="245"/>
        <v>7</v>
      </c>
      <c r="CK394">
        <f t="shared" si="246"/>
        <v>10</v>
      </c>
      <c r="CL394">
        <f t="shared" si="247"/>
        <v>2025</v>
      </c>
    </row>
    <row r="395" spans="1:90" ht="15" customHeight="1" x14ac:dyDescent="0.35">
      <c r="A395" s="40">
        <v>45848.545208333337</v>
      </c>
      <c r="B395" t="s">
        <v>250</v>
      </c>
      <c r="C395" t="s">
        <v>214</v>
      </c>
      <c r="D395" t="s">
        <v>251</v>
      </c>
      <c r="E395" s="32">
        <v>45937</v>
      </c>
      <c r="F395" t="s">
        <v>54</v>
      </c>
      <c r="G395" s="2">
        <v>45818</v>
      </c>
      <c r="H395">
        <v>9495944096</v>
      </c>
      <c r="I395">
        <v>268</v>
      </c>
      <c r="J395" t="s">
        <v>1022</v>
      </c>
      <c r="K395" t="s">
        <v>57</v>
      </c>
      <c r="L395" t="s">
        <v>58</v>
      </c>
      <c r="M395" t="s">
        <v>59</v>
      </c>
      <c r="N395" t="s">
        <v>59</v>
      </c>
      <c r="O395" t="s">
        <v>59</v>
      </c>
      <c r="P395" t="s">
        <v>59</v>
      </c>
      <c r="Q395" t="s">
        <v>59</v>
      </c>
      <c r="R395" t="s">
        <v>59</v>
      </c>
      <c r="S395" t="s">
        <v>59</v>
      </c>
      <c r="T395" t="s">
        <v>59</v>
      </c>
      <c r="U395" t="s">
        <v>60</v>
      </c>
      <c r="V395" t="s">
        <v>59</v>
      </c>
      <c r="W395" t="s">
        <v>59</v>
      </c>
      <c r="X395" t="s">
        <v>59</v>
      </c>
      <c r="Y395" t="s">
        <v>59</v>
      </c>
      <c r="Z395" t="s">
        <v>59</v>
      </c>
      <c r="AA395" t="s">
        <v>60</v>
      </c>
      <c r="AB395" t="s">
        <v>60</v>
      </c>
      <c r="AC395" t="s">
        <v>59</v>
      </c>
      <c r="AD395" t="s">
        <v>59</v>
      </c>
      <c r="AE395" t="s">
        <v>59</v>
      </c>
      <c r="AF395" t="s">
        <v>59</v>
      </c>
      <c r="AG395" t="s">
        <v>59</v>
      </c>
      <c r="AH395" t="s">
        <v>61</v>
      </c>
      <c r="AI395" t="s">
        <v>61</v>
      </c>
      <c r="AJ395" t="s">
        <v>59</v>
      </c>
      <c r="AK395" t="s">
        <v>59</v>
      </c>
      <c r="AL395" t="s">
        <v>59</v>
      </c>
      <c r="AM395" t="s">
        <v>59</v>
      </c>
      <c r="AN395" t="s">
        <v>59</v>
      </c>
      <c r="AO395" t="s">
        <v>59</v>
      </c>
      <c r="AP395" t="s">
        <v>1024</v>
      </c>
      <c r="AQ395" t="s">
        <v>1025</v>
      </c>
      <c r="AR395" t="s">
        <v>64</v>
      </c>
      <c r="AS395" t="s">
        <v>255</v>
      </c>
      <c r="AT395" t="s">
        <v>305</v>
      </c>
      <c r="AU395" t="s">
        <v>219</v>
      </c>
      <c r="AW395" s="4">
        <f t="shared" si="213"/>
        <v>6</v>
      </c>
      <c r="AX395" s="4">
        <f t="shared" si="214"/>
        <v>4</v>
      </c>
      <c r="AY395" s="4">
        <f t="shared" si="215"/>
        <v>4</v>
      </c>
      <c r="AZ395" s="4">
        <f t="shared" si="216"/>
        <v>2</v>
      </c>
      <c r="BA395" s="4">
        <f t="shared" si="217"/>
        <v>4</v>
      </c>
      <c r="BB395" s="4">
        <f t="shared" si="218"/>
        <v>4</v>
      </c>
      <c r="BC395" s="4">
        <f t="shared" si="219"/>
        <v>4</v>
      </c>
      <c r="BD395" s="4">
        <f t="shared" si="220"/>
        <v>2</v>
      </c>
      <c r="BE395" s="4" t="str">
        <f t="shared" si="221"/>
        <v>0</v>
      </c>
      <c r="BF395" s="4">
        <f t="shared" si="222"/>
        <v>2</v>
      </c>
      <c r="BG395" s="4">
        <f t="shared" si="223"/>
        <v>4</v>
      </c>
      <c r="BH395" s="4">
        <f t="shared" si="224"/>
        <v>4</v>
      </c>
      <c r="BI395" s="4">
        <f t="shared" si="225"/>
        <v>4</v>
      </c>
      <c r="BJ395" s="4">
        <f t="shared" si="226"/>
        <v>2</v>
      </c>
      <c r="BK395" s="4" t="str">
        <f t="shared" si="227"/>
        <v>0</v>
      </c>
      <c r="BL395" s="4" t="str">
        <f t="shared" si="228"/>
        <v>0</v>
      </c>
      <c r="BM395" s="4">
        <f t="shared" si="229"/>
        <v>4</v>
      </c>
      <c r="BN395" s="4">
        <f t="shared" si="230"/>
        <v>4</v>
      </c>
      <c r="BO395" s="4">
        <f t="shared" si="231"/>
        <v>4</v>
      </c>
      <c r="BP395" s="4">
        <f t="shared" si="232"/>
        <v>4</v>
      </c>
      <c r="BQ395" s="4">
        <f t="shared" si="233"/>
        <v>6</v>
      </c>
      <c r="BR395" s="4">
        <f t="shared" si="234"/>
        <v>4</v>
      </c>
      <c r="BS395" s="4">
        <f t="shared" si="235"/>
        <v>4</v>
      </c>
      <c r="BT395" s="4">
        <f t="shared" si="236"/>
        <v>4</v>
      </c>
      <c r="BU395" s="4">
        <f t="shared" si="237"/>
        <v>4</v>
      </c>
      <c r="BV395" s="4">
        <f t="shared" si="238"/>
        <v>0</v>
      </c>
      <c r="BW395" s="4">
        <f t="shared" si="239"/>
        <v>6</v>
      </c>
      <c r="BX395" s="4">
        <f t="shared" si="240"/>
        <v>0</v>
      </c>
      <c r="BY395" s="4">
        <f t="shared" si="241"/>
        <v>0</v>
      </c>
      <c r="BZ395" s="37">
        <f t="shared" si="242"/>
        <v>90</v>
      </c>
      <c r="CA395" s="32" t="str">
        <f>VLOOKUP(J:J,'Agent wise'!A:C,3,0)</f>
        <v>Anusha</v>
      </c>
      <c r="CB395" s="32">
        <f t="shared" si="243"/>
        <v>45937</v>
      </c>
      <c r="CC395" t="str">
        <f t="shared" si="244"/>
        <v>Good</v>
      </c>
      <c r="CE395" s="32"/>
      <c r="CJ395">
        <f t="shared" si="245"/>
        <v>7</v>
      </c>
      <c r="CK395">
        <f t="shared" si="246"/>
        <v>10</v>
      </c>
      <c r="CL395">
        <f t="shared" si="247"/>
        <v>2025</v>
      </c>
    </row>
    <row r="396" spans="1:90" ht="15" customHeight="1" x14ac:dyDescent="0.35">
      <c r="A396" s="40">
        <v>45848.5544212963</v>
      </c>
      <c r="B396" t="s">
        <v>250</v>
      </c>
      <c r="C396" t="s">
        <v>214</v>
      </c>
      <c r="D396" t="s">
        <v>251</v>
      </c>
      <c r="E396" s="32">
        <v>45937</v>
      </c>
      <c r="F396" t="s">
        <v>54</v>
      </c>
      <c r="G396" s="2">
        <v>45818</v>
      </c>
      <c r="H396">
        <v>8138081996</v>
      </c>
      <c r="I396">
        <v>256</v>
      </c>
      <c r="J396" t="s">
        <v>1022</v>
      </c>
      <c r="K396" t="s">
        <v>57</v>
      </c>
      <c r="L396" t="s">
        <v>58</v>
      </c>
      <c r="M396" t="s">
        <v>59</v>
      </c>
      <c r="N396" t="s">
        <v>59</v>
      </c>
      <c r="O396" t="s">
        <v>59</v>
      </c>
      <c r="P396" t="s">
        <v>59</v>
      </c>
      <c r="Q396" t="s">
        <v>59</v>
      </c>
      <c r="R396" t="s">
        <v>59</v>
      </c>
      <c r="S396" t="s">
        <v>59</v>
      </c>
      <c r="T396" t="s">
        <v>59</v>
      </c>
      <c r="U396" t="s">
        <v>60</v>
      </c>
      <c r="V396" t="s">
        <v>59</v>
      </c>
      <c r="W396" t="s">
        <v>59</v>
      </c>
      <c r="X396" t="s">
        <v>59</v>
      </c>
      <c r="Y396" t="s">
        <v>59</v>
      </c>
      <c r="Z396" t="s">
        <v>59</v>
      </c>
      <c r="AA396" t="s">
        <v>60</v>
      </c>
      <c r="AB396" t="s">
        <v>61</v>
      </c>
      <c r="AC396" t="s">
        <v>60</v>
      </c>
      <c r="AD396" t="s">
        <v>59</v>
      </c>
      <c r="AE396" t="s">
        <v>59</v>
      </c>
      <c r="AF396" t="s">
        <v>59</v>
      </c>
      <c r="AG396" t="s">
        <v>59</v>
      </c>
      <c r="AH396" t="s">
        <v>61</v>
      </c>
      <c r="AI396" t="s">
        <v>61</v>
      </c>
      <c r="AJ396" t="s">
        <v>59</v>
      </c>
      <c r="AK396" t="s">
        <v>59</v>
      </c>
      <c r="AL396" t="s">
        <v>60</v>
      </c>
      <c r="AM396" t="s">
        <v>59</v>
      </c>
      <c r="AN396" t="s">
        <v>59</v>
      </c>
      <c r="AO396" t="s">
        <v>59</v>
      </c>
      <c r="AP396" t="s">
        <v>1026</v>
      </c>
      <c r="AQ396" t="s">
        <v>1027</v>
      </c>
      <c r="AR396" t="s">
        <v>64</v>
      </c>
      <c r="AS396" t="s">
        <v>397</v>
      </c>
      <c r="AT396" t="s">
        <v>649</v>
      </c>
      <c r="AU396" t="s">
        <v>219</v>
      </c>
      <c r="AW396" s="4">
        <f t="shared" si="213"/>
        <v>6</v>
      </c>
      <c r="AX396" s="4">
        <f t="shared" si="214"/>
        <v>4</v>
      </c>
      <c r="AY396" s="4">
        <f t="shared" si="215"/>
        <v>4</v>
      </c>
      <c r="AZ396" s="4">
        <f t="shared" si="216"/>
        <v>2</v>
      </c>
      <c r="BA396" s="4">
        <f t="shared" si="217"/>
        <v>4</v>
      </c>
      <c r="BB396" s="4">
        <f t="shared" si="218"/>
        <v>4</v>
      </c>
      <c r="BC396" s="4">
        <f t="shared" si="219"/>
        <v>4</v>
      </c>
      <c r="BD396" s="4">
        <f t="shared" si="220"/>
        <v>2</v>
      </c>
      <c r="BE396" s="4" t="str">
        <f t="shared" si="221"/>
        <v>0</v>
      </c>
      <c r="BF396" s="4">
        <f t="shared" si="222"/>
        <v>2</v>
      </c>
      <c r="BG396" s="4">
        <f t="shared" si="223"/>
        <v>4</v>
      </c>
      <c r="BH396" s="4">
        <f t="shared" si="224"/>
        <v>4</v>
      </c>
      <c r="BI396" s="4">
        <f t="shared" si="225"/>
        <v>4</v>
      </c>
      <c r="BJ396" s="4">
        <f t="shared" si="226"/>
        <v>2</v>
      </c>
      <c r="BK396" s="4" t="str">
        <f t="shared" si="227"/>
        <v>0</v>
      </c>
      <c r="BL396" s="4">
        <f t="shared" si="228"/>
        <v>2</v>
      </c>
      <c r="BM396" s="4" t="str">
        <f t="shared" si="229"/>
        <v>0</v>
      </c>
      <c r="BN396" s="4">
        <f t="shared" si="230"/>
        <v>4</v>
      </c>
      <c r="BO396" s="4">
        <f t="shared" si="231"/>
        <v>4</v>
      </c>
      <c r="BP396" s="4">
        <f t="shared" si="232"/>
        <v>4</v>
      </c>
      <c r="BQ396" s="4">
        <f t="shared" si="233"/>
        <v>6</v>
      </c>
      <c r="BR396" s="4">
        <f t="shared" si="234"/>
        <v>4</v>
      </c>
      <c r="BS396" s="4">
        <f t="shared" si="235"/>
        <v>4</v>
      </c>
      <c r="BT396" s="4">
        <f t="shared" si="236"/>
        <v>4</v>
      </c>
      <c r="BU396" s="4">
        <f t="shared" si="237"/>
        <v>4</v>
      </c>
      <c r="BV396" s="4" t="str">
        <f t="shared" si="238"/>
        <v>0</v>
      </c>
      <c r="BW396" s="4">
        <f t="shared" si="239"/>
        <v>6</v>
      </c>
      <c r="BX396" s="4">
        <f t="shared" si="240"/>
        <v>0</v>
      </c>
      <c r="BY396" s="4">
        <f t="shared" si="241"/>
        <v>0</v>
      </c>
      <c r="BZ396" s="37">
        <f t="shared" si="242"/>
        <v>88</v>
      </c>
      <c r="CA396" s="32" t="str">
        <f>VLOOKUP(J:J,'Agent wise'!A:C,3,0)</f>
        <v>Anusha</v>
      </c>
      <c r="CB396" s="32">
        <f t="shared" si="243"/>
        <v>45937</v>
      </c>
      <c r="CC396" t="str">
        <f t="shared" si="244"/>
        <v>Average</v>
      </c>
      <c r="CE396" s="32"/>
      <c r="CJ396">
        <f t="shared" si="245"/>
        <v>7</v>
      </c>
      <c r="CK396">
        <f t="shared" si="246"/>
        <v>10</v>
      </c>
      <c r="CL396">
        <f t="shared" si="247"/>
        <v>2025</v>
      </c>
    </row>
    <row r="397" spans="1:90" ht="15" customHeight="1" x14ac:dyDescent="0.35">
      <c r="A397" s="40">
        <v>45848.563564814824</v>
      </c>
      <c r="B397" t="s">
        <v>100</v>
      </c>
      <c r="C397" t="s">
        <v>214</v>
      </c>
      <c r="D397" t="s">
        <v>101</v>
      </c>
      <c r="E397" s="32">
        <v>45937</v>
      </c>
      <c r="F397" t="s">
        <v>90</v>
      </c>
      <c r="G397" s="2">
        <v>45818</v>
      </c>
      <c r="H397">
        <v>9486989219</v>
      </c>
      <c r="I397">
        <v>133</v>
      </c>
      <c r="J397" t="s">
        <v>91</v>
      </c>
      <c r="K397" t="s">
        <v>71</v>
      </c>
      <c r="L397" t="s">
        <v>72</v>
      </c>
      <c r="M397" t="s">
        <v>59</v>
      </c>
      <c r="N397" t="s">
        <v>59</v>
      </c>
      <c r="O397" t="s">
        <v>59</v>
      </c>
      <c r="P397" t="s">
        <v>59</v>
      </c>
      <c r="Q397" t="s">
        <v>59</v>
      </c>
      <c r="R397" t="s">
        <v>60</v>
      </c>
      <c r="S397" t="s">
        <v>59</v>
      </c>
      <c r="T397" t="s">
        <v>59</v>
      </c>
      <c r="U397" t="s">
        <v>59</v>
      </c>
      <c r="V397" t="s">
        <v>59</v>
      </c>
      <c r="W397" t="s">
        <v>59</v>
      </c>
      <c r="X397" t="s">
        <v>59</v>
      </c>
      <c r="Y397" t="s">
        <v>59</v>
      </c>
      <c r="Z397" t="s">
        <v>59</v>
      </c>
      <c r="AA397" t="s">
        <v>59</v>
      </c>
      <c r="AB397" t="s">
        <v>60</v>
      </c>
      <c r="AC397" t="s">
        <v>59</v>
      </c>
      <c r="AD397" t="s">
        <v>59</v>
      </c>
      <c r="AE397" t="s">
        <v>59</v>
      </c>
      <c r="AF397" t="s">
        <v>59</v>
      </c>
      <c r="AG397" t="s">
        <v>59</v>
      </c>
      <c r="AH397" t="s">
        <v>59</v>
      </c>
      <c r="AI397" t="s">
        <v>61</v>
      </c>
      <c r="AJ397" t="s">
        <v>59</v>
      </c>
      <c r="AK397" t="s">
        <v>59</v>
      </c>
      <c r="AL397" t="s">
        <v>60</v>
      </c>
      <c r="AM397" t="s">
        <v>59</v>
      </c>
      <c r="AN397" t="s">
        <v>59</v>
      </c>
      <c r="AO397" t="s">
        <v>59</v>
      </c>
      <c r="AP397" s="1" t="s">
        <v>1028</v>
      </c>
      <c r="AQ397" s="1" t="s">
        <v>1029</v>
      </c>
      <c r="AR397" t="s">
        <v>64</v>
      </c>
      <c r="AS397" t="s">
        <v>202</v>
      </c>
      <c r="AT397" t="s">
        <v>203</v>
      </c>
      <c r="AU397" t="s">
        <v>219</v>
      </c>
      <c r="AW397" s="4">
        <f t="shared" si="213"/>
        <v>6</v>
      </c>
      <c r="AX397" s="4">
        <f t="shared" si="214"/>
        <v>4</v>
      </c>
      <c r="AY397" s="4">
        <f t="shared" si="215"/>
        <v>4</v>
      </c>
      <c r="AZ397" s="4">
        <f t="shared" si="216"/>
        <v>2</v>
      </c>
      <c r="BA397" s="4">
        <f t="shared" si="217"/>
        <v>4</v>
      </c>
      <c r="BB397" s="4" t="str">
        <f t="shared" si="218"/>
        <v>0</v>
      </c>
      <c r="BC397" s="4">
        <f t="shared" si="219"/>
        <v>4</v>
      </c>
      <c r="BD397" s="4">
        <f t="shared" si="220"/>
        <v>2</v>
      </c>
      <c r="BE397" s="4">
        <f t="shared" si="221"/>
        <v>4</v>
      </c>
      <c r="BF397" s="4">
        <f t="shared" si="222"/>
        <v>2</v>
      </c>
      <c r="BG397" s="4">
        <f t="shared" si="223"/>
        <v>4</v>
      </c>
      <c r="BH397" s="4">
        <f t="shared" si="224"/>
        <v>4</v>
      </c>
      <c r="BI397" s="4">
        <f t="shared" si="225"/>
        <v>4</v>
      </c>
      <c r="BJ397" s="4">
        <f t="shared" si="226"/>
        <v>2</v>
      </c>
      <c r="BK397" s="4">
        <f t="shared" si="227"/>
        <v>4</v>
      </c>
      <c r="BL397" s="4" t="str">
        <f t="shared" si="228"/>
        <v>0</v>
      </c>
      <c r="BM397" s="4">
        <f t="shared" si="229"/>
        <v>4</v>
      </c>
      <c r="BN397" s="4">
        <f t="shared" si="230"/>
        <v>4</v>
      </c>
      <c r="BO397" s="4">
        <f t="shared" si="231"/>
        <v>4</v>
      </c>
      <c r="BP397" s="4">
        <f t="shared" si="232"/>
        <v>4</v>
      </c>
      <c r="BQ397" s="4">
        <f t="shared" si="233"/>
        <v>6</v>
      </c>
      <c r="BR397" s="4">
        <f t="shared" si="234"/>
        <v>4</v>
      </c>
      <c r="BS397" s="4">
        <f t="shared" si="235"/>
        <v>4</v>
      </c>
      <c r="BT397" s="4">
        <f t="shared" si="236"/>
        <v>4</v>
      </c>
      <c r="BU397" s="4">
        <f t="shared" si="237"/>
        <v>4</v>
      </c>
      <c r="BV397" s="4" t="str">
        <f t="shared" si="238"/>
        <v>0</v>
      </c>
      <c r="BW397" s="4">
        <f t="shared" si="239"/>
        <v>6</v>
      </c>
      <c r="BX397" s="4">
        <f t="shared" si="240"/>
        <v>0</v>
      </c>
      <c r="BY397" s="4">
        <f t="shared" si="241"/>
        <v>0</v>
      </c>
      <c r="BZ397" s="37">
        <f t="shared" si="242"/>
        <v>94</v>
      </c>
      <c r="CA397" s="32" t="str">
        <f>VLOOKUP(J:J,'Agent wise'!A:C,3,0)</f>
        <v>Saran S</v>
      </c>
      <c r="CB397" s="32">
        <f t="shared" si="243"/>
        <v>45937</v>
      </c>
      <c r="CC397" t="str">
        <f t="shared" si="244"/>
        <v>Good</v>
      </c>
      <c r="CE397" s="32"/>
      <c r="CJ397">
        <f t="shared" si="245"/>
        <v>7</v>
      </c>
      <c r="CK397">
        <f t="shared" si="246"/>
        <v>10</v>
      </c>
      <c r="CL397">
        <f t="shared" si="247"/>
        <v>2025</v>
      </c>
    </row>
    <row r="398" spans="1:90" ht="15" customHeight="1" x14ac:dyDescent="0.35">
      <c r="A398" s="40">
        <v>45848.565891203703</v>
      </c>
      <c r="B398" t="s">
        <v>250</v>
      </c>
      <c r="C398" t="s">
        <v>214</v>
      </c>
      <c r="D398" t="s">
        <v>251</v>
      </c>
      <c r="E398" s="32">
        <v>45937</v>
      </c>
      <c r="F398" t="s">
        <v>54</v>
      </c>
      <c r="G398" s="2">
        <v>45818</v>
      </c>
      <c r="H398">
        <v>9489388324</v>
      </c>
      <c r="I398">
        <v>158</v>
      </c>
      <c r="J398" t="s">
        <v>1030</v>
      </c>
      <c r="K398" t="s">
        <v>71</v>
      </c>
      <c r="L398" t="s">
        <v>72</v>
      </c>
      <c r="M398" t="s">
        <v>59</v>
      </c>
      <c r="N398" t="s">
        <v>59</v>
      </c>
      <c r="O398" t="s">
        <v>59</v>
      </c>
      <c r="P398" t="s">
        <v>59</v>
      </c>
      <c r="Q398" t="s">
        <v>59</v>
      </c>
      <c r="R398" t="s">
        <v>59</v>
      </c>
      <c r="S398" t="s">
        <v>59</v>
      </c>
      <c r="T398" t="s">
        <v>59</v>
      </c>
      <c r="U398" t="s">
        <v>60</v>
      </c>
      <c r="V398" t="s">
        <v>59</v>
      </c>
      <c r="W398" t="s">
        <v>59</v>
      </c>
      <c r="X398" t="s">
        <v>59</v>
      </c>
      <c r="Y398" t="s">
        <v>59</v>
      </c>
      <c r="Z398" t="s">
        <v>59</v>
      </c>
      <c r="AA398" t="s">
        <v>60</v>
      </c>
      <c r="AB398" t="s">
        <v>59</v>
      </c>
      <c r="AC398" t="s">
        <v>59</v>
      </c>
      <c r="AD398" t="s">
        <v>59</v>
      </c>
      <c r="AE398" t="s">
        <v>59</v>
      </c>
      <c r="AF398" t="s">
        <v>59</v>
      </c>
      <c r="AG398" t="s">
        <v>59</v>
      </c>
      <c r="AH398" t="s">
        <v>61</v>
      </c>
      <c r="AI398" t="s">
        <v>61</v>
      </c>
      <c r="AJ398" t="s">
        <v>60</v>
      </c>
      <c r="AK398" t="s">
        <v>59</v>
      </c>
      <c r="AL398" t="s">
        <v>60</v>
      </c>
      <c r="AM398" t="s">
        <v>60</v>
      </c>
      <c r="AN398" t="s">
        <v>60</v>
      </c>
      <c r="AO398" t="s">
        <v>60</v>
      </c>
      <c r="AP398" t="s">
        <v>1031</v>
      </c>
      <c r="AQ398" s="1" t="s">
        <v>1032</v>
      </c>
      <c r="AR398" t="s">
        <v>64</v>
      </c>
      <c r="AS398" t="s">
        <v>417</v>
      </c>
      <c r="AT398" t="s">
        <v>489</v>
      </c>
      <c r="AU398" t="s">
        <v>219</v>
      </c>
      <c r="AW398" s="4">
        <f t="shared" si="213"/>
        <v>6</v>
      </c>
      <c r="AX398" s="4">
        <f t="shared" si="214"/>
        <v>4</v>
      </c>
      <c r="AY398" s="4">
        <f t="shared" si="215"/>
        <v>4</v>
      </c>
      <c r="AZ398" s="4">
        <f t="shared" si="216"/>
        <v>2</v>
      </c>
      <c r="BA398" s="4">
        <f t="shared" si="217"/>
        <v>4</v>
      </c>
      <c r="BB398" s="4">
        <f t="shared" si="218"/>
        <v>4</v>
      </c>
      <c r="BC398" s="4">
        <f t="shared" si="219"/>
        <v>4</v>
      </c>
      <c r="BD398" s="4">
        <f t="shared" si="220"/>
        <v>2</v>
      </c>
      <c r="BE398" s="4" t="str">
        <f t="shared" si="221"/>
        <v>0</v>
      </c>
      <c r="BF398" s="4">
        <f t="shared" si="222"/>
        <v>2</v>
      </c>
      <c r="BG398" s="4">
        <f t="shared" si="223"/>
        <v>4</v>
      </c>
      <c r="BH398" s="4">
        <f t="shared" si="224"/>
        <v>4</v>
      </c>
      <c r="BI398" s="4">
        <f t="shared" si="225"/>
        <v>4</v>
      </c>
      <c r="BJ398" s="4">
        <f t="shared" si="226"/>
        <v>2</v>
      </c>
      <c r="BK398" s="4" t="str">
        <f t="shared" si="227"/>
        <v>0</v>
      </c>
      <c r="BL398" s="4">
        <f t="shared" si="228"/>
        <v>2</v>
      </c>
      <c r="BM398" s="4">
        <f t="shared" si="229"/>
        <v>4</v>
      </c>
      <c r="BN398" s="4">
        <f t="shared" si="230"/>
        <v>4</v>
      </c>
      <c r="BO398" s="4">
        <f t="shared" si="231"/>
        <v>4</v>
      </c>
      <c r="BP398" s="4">
        <f t="shared" si="232"/>
        <v>4</v>
      </c>
      <c r="BQ398" s="4">
        <f t="shared" si="233"/>
        <v>6</v>
      </c>
      <c r="BR398" s="4">
        <f t="shared" si="234"/>
        <v>4</v>
      </c>
      <c r="BS398" s="4">
        <f t="shared" si="235"/>
        <v>4</v>
      </c>
      <c r="BT398" s="4" t="str">
        <f t="shared" si="236"/>
        <v>0</v>
      </c>
      <c r="BU398" s="4">
        <f t="shared" si="237"/>
        <v>4</v>
      </c>
      <c r="BV398" s="4" t="str">
        <f t="shared" si="238"/>
        <v>0</v>
      </c>
      <c r="BW398" s="4" t="str">
        <f t="shared" si="239"/>
        <v>0</v>
      </c>
      <c r="BX398" s="4" t="str">
        <f t="shared" si="240"/>
        <v>0</v>
      </c>
      <c r="BY398" s="4" t="str">
        <f t="shared" si="241"/>
        <v>0</v>
      </c>
      <c r="BZ398" s="37">
        <f t="shared" si="242"/>
        <v>82</v>
      </c>
      <c r="CA398" s="32" t="str">
        <f>VLOOKUP(J:J,'Agent wise'!A:C,3,0)</f>
        <v>Anusha</v>
      </c>
      <c r="CB398" s="32">
        <f t="shared" si="243"/>
        <v>45937</v>
      </c>
      <c r="CC398" t="str">
        <f t="shared" si="244"/>
        <v>FC</v>
      </c>
      <c r="CE398" s="32"/>
      <c r="CJ398">
        <f t="shared" si="245"/>
        <v>7</v>
      </c>
      <c r="CK398">
        <f t="shared" si="246"/>
        <v>10</v>
      </c>
      <c r="CL398">
        <f t="shared" si="247"/>
        <v>2025</v>
      </c>
    </row>
    <row r="399" spans="1:90" ht="15" customHeight="1" x14ac:dyDescent="0.35">
      <c r="A399" s="40">
        <v>45848.568935185183</v>
      </c>
      <c r="B399" t="s">
        <v>250</v>
      </c>
      <c r="C399" t="s">
        <v>214</v>
      </c>
      <c r="D399" t="s">
        <v>251</v>
      </c>
      <c r="E399" s="32">
        <v>45937</v>
      </c>
      <c r="F399" t="s">
        <v>54</v>
      </c>
      <c r="G399" s="2">
        <v>45818</v>
      </c>
      <c r="H399">
        <v>7373123422</v>
      </c>
      <c r="I399">
        <v>1566</v>
      </c>
      <c r="J399" t="s">
        <v>1030</v>
      </c>
      <c r="K399" t="s">
        <v>71</v>
      </c>
      <c r="L399" t="s">
        <v>72</v>
      </c>
      <c r="M399" t="s">
        <v>59</v>
      </c>
      <c r="N399" t="s">
        <v>59</v>
      </c>
      <c r="O399" t="s">
        <v>59</v>
      </c>
      <c r="P399" t="s">
        <v>59</v>
      </c>
      <c r="Q399" t="s">
        <v>59</v>
      </c>
      <c r="R399" t="s">
        <v>59</v>
      </c>
      <c r="S399" t="s">
        <v>59</v>
      </c>
      <c r="T399" t="s">
        <v>59</v>
      </c>
      <c r="U399" t="s">
        <v>60</v>
      </c>
      <c r="V399" t="s">
        <v>59</v>
      </c>
      <c r="W399" t="s">
        <v>59</v>
      </c>
      <c r="X399" t="s">
        <v>59</v>
      </c>
      <c r="Y399" t="s">
        <v>59</v>
      </c>
      <c r="Z399" t="s">
        <v>59</v>
      </c>
      <c r="AA399" t="s">
        <v>60</v>
      </c>
      <c r="AB399" t="s">
        <v>59</v>
      </c>
      <c r="AC399" t="s">
        <v>60</v>
      </c>
      <c r="AD399" t="s">
        <v>59</v>
      </c>
      <c r="AE399" t="s">
        <v>59</v>
      </c>
      <c r="AF399" t="s">
        <v>59</v>
      </c>
      <c r="AG399" t="s">
        <v>59</v>
      </c>
      <c r="AH399" t="s">
        <v>61</v>
      </c>
      <c r="AI399" t="s">
        <v>61</v>
      </c>
      <c r="AJ399" t="s">
        <v>59</v>
      </c>
      <c r="AK399" t="s">
        <v>59</v>
      </c>
      <c r="AL399" t="s">
        <v>60</v>
      </c>
      <c r="AM399" t="s">
        <v>59</v>
      </c>
      <c r="AN399" t="s">
        <v>59</v>
      </c>
      <c r="AO399" t="s">
        <v>59</v>
      </c>
      <c r="AP399" t="s">
        <v>1033</v>
      </c>
      <c r="AQ399" t="s">
        <v>1034</v>
      </c>
      <c r="AR399" t="s">
        <v>64</v>
      </c>
      <c r="AS399" t="s">
        <v>255</v>
      </c>
      <c r="AT399" t="s">
        <v>834</v>
      </c>
      <c r="AU399" t="s">
        <v>219</v>
      </c>
      <c r="AW399" s="4">
        <f t="shared" si="213"/>
        <v>6</v>
      </c>
      <c r="AX399" s="4">
        <f t="shared" si="214"/>
        <v>4</v>
      </c>
      <c r="AY399" s="4">
        <f t="shared" si="215"/>
        <v>4</v>
      </c>
      <c r="AZ399" s="4">
        <f t="shared" si="216"/>
        <v>2</v>
      </c>
      <c r="BA399" s="4">
        <f t="shared" si="217"/>
        <v>4</v>
      </c>
      <c r="BB399" s="4">
        <f t="shared" si="218"/>
        <v>4</v>
      </c>
      <c r="BC399" s="4">
        <f t="shared" si="219"/>
        <v>4</v>
      </c>
      <c r="BD399" s="4">
        <f t="shared" si="220"/>
        <v>2</v>
      </c>
      <c r="BE399" s="4" t="str">
        <f t="shared" si="221"/>
        <v>0</v>
      </c>
      <c r="BF399" s="4">
        <f t="shared" si="222"/>
        <v>2</v>
      </c>
      <c r="BG399" s="4">
        <f t="shared" si="223"/>
        <v>4</v>
      </c>
      <c r="BH399" s="4">
        <f t="shared" si="224"/>
        <v>4</v>
      </c>
      <c r="BI399" s="4">
        <f t="shared" si="225"/>
        <v>4</v>
      </c>
      <c r="BJ399" s="4">
        <f t="shared" si="226"/>
        <v>2</v>
      </c>
      <c r="BK399" s="4" t="str">
        <f t="shared" si="227"/>
        <v>0</v>
      </c>
      <c r="BL399" s="4">
        <f t="shared" si="228"/>
        <v>2</v>
      </c>
      <c r="BM399" s="4" t="str">
        <f t="shared" si="229"/>
        <v>0</v>
      </c>
      <c r="BN399" s="4">
        <f t="shared" si="230"/>
        <v>4</v>
      </c>
      <c r="BO399" s="4">
        <f t="shared" si="231"/>
        <v>4</v>
      </c>
      <c r="BP399" s="4">
        <f t="shared" si="232"/>
        <v>4</v>
      </c>
      <c r="BQ399" s="4">
        <f t="shared" si="233"/>
        <v>6</v>
      </c>
      <c r="BR399" s="4">
        <f t="shared" si="234"/>
        <v>4</v>
      </c>
      <c r="BS399" s="4">
        <f t="shared" si="235"/>
        <v>4</v>
      </c>
      <c r="BT399" s="4">
        <f t="shared" si="236"/>
        <v>4</v>
      </c>
      <c r="BU399" s="4">
        <f t="shared" si="237"/>
        <v>4</v>
      </c>
      <c r="BV399" s="4" t="str">
        <f t="shared" si="238"/>
        <v>0</v>
      </c>
      <c r="BW399" s="4">
        <f t="shared" si="239"/>
        <v>6</v>
      </c>
      <c r="BX399" s="4">
        <f t="shared" si="240"/>
        <v>0</v>
      </c>
      <c r="BY399" s="4">
        <f t="shared" si="241"/>
        <v>0</v>
      </c>
      <c r="BZ399" s="37">
        <f t="shared" si="242"/>
        <v>88</v>
      </c>
      <c r="CA399" s="32" t="str">
        <f>VLOOKUP(J:J,'Agent wise'!A:C,3,0)</f>
        <v>Anusha</v>
      </c>
      <c r="CB399" s="32">
        <f t="shared" si="243"/>
        <v>45937</v>
      </c>
      <c r="CC399" t="str">
        <f t="shared" si="244"/>
        <v>Average</v>
      </c>
      <c r="CE399" s="32"/>
      <c r="CJ399">
        <f t="shared" si="245"/>
        <v>7</v>
      </c>
      <c r="CK399">
        <f t="shared" si="246"/>
        <v>10</v>
      </c>
      <c r="CL399">
        <f t="shared" si="247"/>
        <v>2025</v>
      </c>
    </row>
    <row r="400" spans="1:90" ht="15" customHeight="1" x14ac:dyDescent="0.35">
      <c r="A400" s="40">
        <v>45848.574131944442</v>
      </c>
      <c r="B400" t="s">
        <v>250</v>
      </c>
      <c r="C400" t="s">
        <v>214</v>
      </c>
      <c r="D400" t="s">
        <v>251</v>
      </c>
      <c r="E400" s="32">
        <v>45937</v>
      </c>
      <c r="F400" t="s">
        <v>54</v>
      </c>
      <c r="G400" s="2">
        <v>45818</v>
      </c>
      <c r="H400">
        <v>8124247761</v>
      </c>
      <c r="I400">
        <v>219</v>
      </c>
      <c r="J400" t="s">
        <v>1030</v>
      </c>
      <c r="K400" t="s">
        <v>71</v>
      </c>
      <c r="L400" t="s">
        <v>72</v>
      </c>
      <c r="M400" t="s">
        <v>59</v>
      </c>
      <c r="N400" t="s">
        <v>59</v>
      </c>
      <c r="O400" t="s">
        <v>60</v>
      </c>
      <c r="P400" t="s">
        <v>59</v>
      </c>
      <c r="Q400" t="s">
        <v>59</v>
      </c>
      <c r="R400" t="s">
        <v>59</v>
      </c>
      <c r="S400" t="s">
        <v>59</v>
      </c>
      <c r="T400" t="s">
        <v>59</v>
      </c>
      <c r="U400" t="s">
        <v>60</v>
      </c>
      <c r="V400" t="s">
        <v>59</v>
      </c>
      <c r="W400" t="s">
        <v>59</v>
      </c>
      <c r="X400" t="s">
        <v>59</v>
      </c>
      <c r="Y400" t="s">
        <v>59</v>
      </c>
      <c r="Z400" t="s">
        <v>59</v>
      </c>
      <c r="AA400" t="s">
        <v>60</v>
      </c>
      <c r="AB400" t="s">
        <v>59</v>
      </c>
      <c r="AC400" t="s">
        <v>60</v>
      </c>
      <c r="AD400" t="s">
        <v>59</v>
      </c>
      <c r="AE400" t="s">
        <v>59</v>
      </c>
      <c r="AF400" t="s">
        <v>59</v>
      </c>
      <c r="AG400" t="s">
        <v>59</v>
      </c>
      <c r="AH400" t="s">
        <v>61</v>
      </c>
      <c r="AI400" t="s">
        <v>61</v>
      </c>
      <c r="AJ400" t="s">
        <v>59</v>
      </c>
      <c r="AK400" t="s">
        <v>59</v>
      </c>
      <c r="AL400" t="s">
        <v>59</v>
      </c>
      <c r="AM400" t="s">
        <v>59</v>
      </c>
      <c r="AN400" t="s">
        <v>59</v>
      </c>
      <c r="AO400" t="s">
        <v>59</v>
      </c>
      <c r="AP400" t="s">
        <v>1035</v>
      </c>
      <c r="AQ400" t="s">
        <v>1036</v>
      </c>
      <c r="AR400" t="s">
        <v>64</v>
      </c>
      <c r="AS400" t="s">
        <v>771</v>
      </c>
      <c r="AT400" t="s">
        <v>790</v>
      </c>
      <c r="AU400" t="s">
        <v>219</v>
      </c>
      <c r="AW400" s="4">
        <f t="shared" si="213"/>
        <v>6</v>
      </c>
      <c r="AX400" s="4">
        <f t="shared" si="214"/>
        <v>4</v>
      </c>
      <c r="AY400" s="4" t="str">
        <f t="shared" si="215"/>
        <v>0</v>
      </c>
      <c r="AZ400" s="4">
        <f t="shared" si="216"/>
        <v>2</v>
      </c>
      <c r="BA400" s="4">
        <f t="shared" si="217"/>
        <v>4</v>
      </c>
      <c r="BB400" s="4">
        <f t="shared" si="218"/>
        <v>4</v>
      </c>
      <c r="BC400" s="4">
        <f t="shared" si="219"/>
        <v>4</v>
      </c>
      <c r="BD400" s="4">
        <f t="shared" si="220"/>
        <v>2</v>
      </c>
      <c r="BE400" s="4" t="str">
        <f t="shared" si="221"/>
        <v>0</v>
      </c>
      <c r="BF400" s="4">
        <f t="shared" si="222"/>
        <v>2</v>
      </c>
      <c r="BG400" s="4">
        <f t="shared" si="223"/>
        <v>4</v>
      </c>
      <c r="BH400" s="4">
        <f t="shared" si="224"/>
        <v>4</v>
      </c>
      <c r="BI400" s="4">
        <f t="shared" si="225"/>
        <v>4</v>
      </c>
      <c r="BJ400" s="4">
        <f t="shared" si="226"/>
        <v>2</v>
      </c>
      <c r="BK400" s="4" t="str">
        <f t="shared" si="227"/>
        <v>0</v>
      </c>
      <c r="BL400" s="4">
        <f t="shared" si="228"/>
        <v>2</v>
      </c>
      <c r="BM400" s="4" t="str">
        <f t="shared" si="229"/>
        <v>0</v>
      </c>
      <c r="BN400" s="4">
        <f t="shared" si="230"/>
        <v>4</v>
      </c>
      <c r="BO400" s="4">
        <f t="shared" si="231"/>
        <v>4</v>
      </c>
      <c r="BP400" s="4">
        <f t="shared" si="232"/>
        <v>4</v>
      </c>
      <c r="BQ400" s="4">
        <f t="shared" si="233"/>
        <v>6</v>
      </c>
      <c r="BR400" s="4">
        <f t="shared" si="234"/>
        <v>4</v>
      </c>
      <c r="BS400" s="4">
        <f t="shared" si="235"/>
        <v>4</v>
      </c>
      <c r="BT400" s="4">
        <f t="shared" si="236"/>
        <v>4</v>
      </c>
      <c r="BU400" s="4">
        <f t="shared" si="237"/>
        <v>4</v>
      </c>
      <c r="BV400" s="4">
        <f t="shared" si="238"/>
        <v>0</v>
      </c>
      <c r="BW400" s="4">
        <f t="shared" si="239"/>
        <v>6</v>
      </c>
      <c r="BX400" s="4">
        <f t="shared" si="240"/>
        <v>0</v>
      </c>
      <c r="BY400" s="4">
        <f t="shared" si="241"/>
        <v>0</v>
      </c>
      <c r="BZ400" s="37">
        <f t="shared" si="242"/>
        <v>84</v>
      </c>
      <c r="CA400" s="32" t="str">
        <f>VLOOKUP(J:J,'Agent wise'!A:C,3,0)</f>
        <v>Anusha</v>
      </c>
      <c r="CB400" s="32">
        <f t="shared" si="243"/>
        <v>45937</v>
      </c>
      <c r="CC400" t="str">
        <f t="shared" si="244"/>
        <v>FC</v>
      </c>
      <c r="CE400" s="32"/>
      <c r="CJ400">
        <f t="shared" si="245"/>
        <v>7</v>
      </c>
      <c r="CK400">
        <f t="shared" si="246"/>
        <v>10</v>
      </c>
      <c r="CL400">
        <f t="shared" si="247"/>
        <v>2025</v>
      </c>
    </row>
    <row r="401" spans="1:90" ht="15" customHeight="1" x14ac:dyDescent="0.35">
      <c r="A401" s="40">
        <v>45848.582407407397</v>
      </c>
      <c r="B401" t="s">
        <v>100</v>
      </c>
      <c r="C401" t="s">
        <v>214</v>
      </c>
      <c r="D401" t="s">
        <v>101</v>
      </c>
      <c r="E401" s="32">
        <v>45937</v>
      </c>
      <c r="F401" t="s">
        <v>90</v>
      </c>
      <c r="G401" s="2">
        <v>45818</v>
      </c>
      <c r="H401">
        <v>9486151381</v>
      </c>
      <c r="I401">
        <v>158</v>
      </c>
      <c r="J401" t="s">
        <v>274</v>
      </c>
      <c r="K401" t="s">
        <v>71</v>
      </c>
      <c r="L401" t="s">
        <v>72</v>
      </c>
      <c r="M401" t="s">
        <v>59</v>
      </c>
      <c r="N401" t="s">
        <v>59</v>
      </c>
      <c r="O401" t="s">
        <v>59</v>
      </c>
      <c r="P401" t="s">
        <v>59</v>
      </c>
      <c r="Q401" t="s">
        <v>59</v>
      </c>
      <c r="R401" t="s">
        <v>59</v>
      </c>
      <c r="S401" t="s">
        <v>59</v>
      </c>
      <c r="T401" t="s">
        <v>59</v>
      </c>
      <c r="U401" t="s">
        <v>59</v>
      </c>
      <c r="V401" t="s">
        <v>59</v>
      </c>
      <c r="W401" t="s">
        <v>59</v>
      </c>
      <c r="X401" t="s">
        <v>59</v>
      </c>
      <c r="Y401" t="s">
        <v>59</v>
      </c>
      <c r="Z401" t="s">
        <v>59</v>
      </c>
      <c r="AA401" t="s">
        <v>59</v>
      </c>
      <c r="AB401" t="s">
        <v>59</v>
      </c>
      <c r="AC401" t="s">
        <v>59</v>
      </c>
      <c r="AD401" t="s">
        <v>59</v>
      </c>
      <c r="AE401" t="s">
        <v>59</v>
      </c>
      <c r="AF401" t="s">
        <v>59</v>
      </c>
      <c r="AG401" t="s">
        <v>59</v>
      </c>
      <c r="AH401" t="s">
        <v>59</v>
      </c>
      <c r="AI401" t="s">
        <v>61</v>
      </c>
      <c r="AJ401" t="s">
        <v>59</v>
      </c>
      <c r="AK401" t="s">
        <v>59</v>
      </c>
      <c r="AL401" t="s">
        <v>60</v>
      </c>
      <c r="AM401" t="s">
        <v>59</v>
      </c>
      <c r="AN401" t="s">
        <v>59</v>
      </c>
      <c r="AO401" t="s">
        <v>59</v>
      </c>
      <c r="AP401" t="s">
        <v>1037</v>
      </c>
      <c r="AQ401" t="s">
        <v>1037</v>
      </c>
      <c r="AR401" t="s">
        <v>64</v>
      </c>
      <c r="AS401" t="s">
        <v>202</v>
      </c>
      <c r="AT401" t="s">
        <v>203</v>
      </c>
      <c r="AU401" t="s">
        <v>219</v>
      </c>
      <c r="AW401" s="4">
        <f t="shared" si="213"/>
        <v>6</v>
      </c>
      <c r="AX401" s="4">
        <f t="shared" si="214"/>
        <v>4</v>
      </c>
      <c r="AY401" s="4">
        <f t="shared" si="215"/>
        <v>4</v>
      </c>
      <c r="AZ401" s="4">
        <f t="shared" si="216"/>
        <v>2</v>
      </c>
      <c r="BA401" s="4">
        <f t="shared" si="217"/>
        <v>4</v>
      </c>
      <c r="BB401" s="4">
        <f t="shared" si="218"/>
        <v>4</v>
      </c>
      <c r="BC401" s="4">
        <f t="shared" si="219"/>
        <v>4</v>
      </c>
      <c r="BD401" s="4">
        <f t="shared" si="220"/>
        <v>2</v>
      </c>
      <c r="BE401" s="4">
        <f t="shared" si="221"/>
        <v>4</v>
      </c>
      <c r="BF401" s="4">
        <f t="shared" si="222"/>
        <v>2</v>
      </c>
      <c r="BG401" s="4">
        <f t="shared" si="223"/>
        <v>4</v>
      </c>
      <c r="BH401" s="4">
        <f t="shared" si="224"/>
        <v>4</v>
      </c>
      <c r="BI401" s="4">
        <f t="shared" si="225"/>
        <v>4</v>
      </c>
      <c r="BJ401" s="4">
        <f t="shared" si="226"/>
        <v>2</v>
      </c>
      <c r="BK401" s="4">
        <f t="shared" si="227"/>
        <v>4</v>
      </c>
      <c r="BL401" s="4">
        <f t="shared" si="228"/>
        <v>2</v>
      </c>
      <c r="BM401" s="4">
        <f t="shared" si="229"/>
        <v>4</v>
      </c>
      <c r="BN401" s="4">
        <f t="shared" si="230"/>
        <v>4</v>
      </c>
      <c r="BO401" s="4">
        <f t="shared" si="231"/>
        <v>4</v>
      </c>
      <c r="BP401" s="4">
        <f t="shared" si="232"/>
        <v>4</v>
      </c>
      <c r="BQ401" s="4">
        <f t="shared" si="233"/>
        <v>6</v>
      </c>
      <c r="BR401" s="4">
        <f t="shared" si="234"/>
        <v>4</v>
      </c>
      <c r="BS401" s="4">
        <f t="shared" si="235"/>
        <v>4</v>
      </c>
      <c r="BT401" s="4">
        <f t="shared" si="236"/>
        <v>4</v>
      </c>
      <c r="BU401" s="4">
        <f t="shared" si="237"/>
        <v>4</v>
      </c>
      <c r="BV401" s="4" t="str">
        <f t="shared" si="238"/>
        <v>0</v>
      </c>
      <c r="BW401" s="4">
        <f t="shared" si="239"/>
        <v>6</v>
      </c>
      <c r="BX401" s="4">
        <f t="shared" si="240"/>
        <v>0</v>
      </c>
      <c r="BY401" s="4">
        <f t="shared" si="241"/>
        <v>0</v>
      </c>
      <c r="BZ401" s="37">
        <f t="shared" si="242"/>
        <v>100</v>
      </c>
      <c r="CA401" s="32" t="str">
        <f>VLOOKUP(J:J,'Agent wise'!A:C,3,0)</f>
        <v>Shakeer</v>
      </c>
      <c r="CB401" s="32">
        <f t="shared" si="243"/>
        <v>45937</v>
      </c>
      <c r="CC401" t="str">
        <f t="shared" si="244"/>
        <v>Excellent</v>
      </c>
      <c r="CE401" s="32"/>
      <c r="CJ401">
        <f t="shared" si="245"/>
        <v>7</v>
      </c>
      <c r="CK401">
        <f t="shared" si="246"/>
        <v>10</v>
      </c>
      <c r="CL401">
        <f t="shared" si="247"/>
        <v>2025</v>
      </c>
    </row>
    <row r="402" spans="1:90" ht="15" customHeight="1" x14ac:dyDescent="0.35">
      <c r="A402" s="40">
        <v>45848.583958333344</v>
      </c>
      <c r="B402" t="s">
        <v>51</v>
      </c>
      <c r="C402" t="s">
        <v>214</v>
      </c>
      <c r="D402" t="s">
        <v>53</v>
      </c>
      <c r="E402" s="32">
        <v>45937</v>
      </c>
      <c r="F402" t="s">
        <v>54</v>
      </c>
      <c r="G402" s="2">
        <v>45818</v>
      </c>
      <c r="H402">
        <v>9447778898</v>
      </c>
      <c r="I402">
        <v>258</v>
      </c>
      <c r="J402" t="s">
        <v>636</v>
      </c>
      <c r="K402" t="s">
        <v>57</v>
      </c>
      <c r="L402" t="s">
        <v>58</v>
      </c>
      <c r="M402" t="s">
        <v>59</v>
      </c>
      <c r="N402" t="s">
        <v>59</v>
      </c>
      <c r="O402" t="s">
        <v>59</v>
      </c>
      <c r="P402" t="s">
        <v>59</v>
      </c>
      <c r="Q402" t="s">
        <v>59</v>
      </c>
      <c r="R402" t="s">
        <v>60</v>
      </c>
      <c r="S402" t="s">
        <v>59</v>
      </c>
      <c r="T402" t="s">
        <v>59</v>
      </c>
      <c r="U402" t="s">
        <v>59</v>
      </c>
      <c r="V402" t="s">
        <v>59</v>
      </c>
      <c r="W402" t="s">
        <v>59</v>
      </c>
      <c r="X402" t="s">
        <v>61</v>
      </c>
      <c r="Y402" t="s">
        <v>59</v>
      </c>
      <c r="Z402" t="s">
        <v>59</v>
      </c>
      <c r="AA402" t="s">
        <v>59</v>
      </c>
      <c r="AB402" t="s">
        <v>60</v>
      </c>
      <c r="AC402" t="s">
        <v>60</v>
      </c>
      <c r="AD402" t="s">
        <v>59</v>
      </c>
      <c r="AE402" t="s">
        <v>60</v>
      </c>
      <c r="AF402" t="s">
        <v>61</v>
      </c>
      <c r="AG402" t="s">
        <v>59</v>
      </c>
      <c r="AH402" t="s">
        <v>61</v>
      </c>
      <c r="AI402" t="s">
        <v>60</v>
      </c>
      <c r="AJ402" t="s">
        <v>59</v>
      </c>
      <c r="AK402" t="s">
        <v>61</v>
      </c>
      <c r="AL402" t="s">
        <v>60</v>
      </c>
      <c r="AM402" t="s">
        <v>59</v>
      </c>
      <c r="AN402" t="s">
        <v>59</v>
      </c>
      <c r="AO402" t="s">
        <v>59</v>
      </c>
      <c r="AP402" t="s">
        <v>1038</v>
      </c>
      <c r="AQ402" t="s">
        <v>506</v>
      </c>
      <c r="AR402" t="s">
        <v>64</v>
      </c>
      <c r="AS402" t="s">
        <v>65</v>
      </c>
      <c r="AT402" t="s">
        <v>66</v>
      </c>
      <c r="AU402" t="s">
        <v>448</v>
      </c>
      <c r="AW402" s="4">
        <f t="shared" si="213"/>
        <v>6</v>
      </c>
      <c r="AX402" s="4">
        <f t="shared" si="214"/>
        <v>4</v>
      </c>
      <c r="AY402" s="4">
        <f t="shared" si="215"/>
        <v>4</v>
      </c>
      <c r="AZ402" s="4">
        <f t="shared" si="216"/>
        <v>2</v>
      </c>
      <c r="BA402" s="4">
        <f t="shared" si="217"/>
        <v>4</v>
      </c>
      <c r="BB402" s="4" t="str">
        <f t="shared" si="218"/>
        <v>0</v>
      </c>
      <c r="BC402" s="4">
        <f t="shared" si="219"/>
        <v>4</v>
      </c>
      <c r="BD402" s="4">
        <f t="shared" si="220"/>
        <v>2</v>
      </c>
      <c r="BE402" s="4">
        <f t="shared" si="221"/>
        <v>4</v>
      </c>
      <c r="BF402" s="4">
        <f t="shared" si="222"/>
        <v>2</v>
      </c>
      <c r="BG402" s="4">
        <f t="shared" si="223"/>
        <v>4</v>
      </c>
      <c r="BH402" s="4">
        <f t="shared" si="224"/>
        <v>4</v>
      </c>
      <c r="BI402" s="4">
        <f t="shared" si="225"/>
        <v>4</v>
      </c>
      <c r="BJ402" s="4">
        <f t="shared" si="226"/>
        <v>2</v>
      </c>
      <c r="BK402" s="4">
        <f t="shared" si="227"/>
        <v>4</v>
      </c>
      <c r="BL402" s="4" t="str">
        <f t="shared" si="228"/>
        <v>0</v>
      </c>
      <c r="BM402" s="4" t="str">
        <f t="shared" si="229"/>
        <v>0</v>
      </c>
      <c r="BN402" s="4">
        <f t="shared" si="230"/>
        <v>4</v>
      </c>
      <c r="BO402" s="4" t="str">
        <f t="shared" si="231"/>
        <v>0</v>
      </c>
      <c r="BP402" s="4">
        <f t="shared" si="232"/>
        <v>4</v>
      </c>
      <c r="BQ402" s="4">
        <f t="shared" si="233"/>
        <v>6</v>
      </c>
      <c r="BR402" s="4">
        <f t="shared" si="234"/>
        <v>4</v>
      </c>
      <c r="BS402" s="4" t="str">
        <f t="shared" si="235"/>
        <v>0</v>
      </c>
      <c r="BT402" s="4">
        <f t="shared" si="236"/>
        <v>4</v>
      </c>
      <c r="BU402" s="4">
        <f t="shared" si="237"/>
        <v>4</v>
      </c>
      <c r="BV402" s="4" t="str">
        <f t="shared" si="238"/>
        <v>0</v>
      </c>
      <c r="BW402" s="4">
        <f t="shared" si="239"/>
        <v>6</v>
      </c>
      <c r="BX402" s="4">
        <f t="shared" si="240"/>
        <v>0</v>
      </c>
      <c r="BY402" s="4">
        <f t="shared" si="241"/>
        <v>0</v>
      </c>
      <c r="BZ402" s="37">
        <f t="shared" si="242"/>
        <v>82</v>
      </c>
      <c r="CA402" s="32" t="str">
        <f>VLOOKUP(J:J,'Agent wise'!A:C,3,0)</f>
        <v>Shakeer</v>
      </c>
      <c r="CB402" s="32">
        <f t="shared" si="243"/>
        <v>45937</v>
      </c>
      <c r="CC402" t="str">
        <f t="shared" si="244"/>
        <v>FC</v>
      </c>
      <c r="CE402" s="32"/>
      <c r="CJ402">
        <f t="shared" si="245"/>
        <v>7</v>
      </c>
      <c r="CK402">
        <f t="shared" si="246"/>
        <v>10</v>
      </c>
      <c r="CL402">
        <f t="shared" si="247"/>
        <v>2025</v>
      </c>
    </row>
    <row r="403" spans="1:90" ht="15" customHeight="1" x14ac:dyDescent="0.35">
      <c r="A403" s="40">
        <v>45848.586458333331</v>
      </c>
      <c r="B403" t="s">
        <v>100</v>
      </c>
      <c r="C403" t="s">
        <v>214</v>
      </c>
      <c r="D403" t="s">
        <v>101</v>
      </c>
      <c r="E403" s="32">
        <v>45937</v>
      </c>
      <c r="F403" t="s">
        <v>90</v>
      </c>
      <c r="G403" s="2">
        <v>45818</v>
      </c>
      <c r="H403">
        <v>9344769901</v>
      </c>
      <c r="I403">
        <v>152</v>
      </c>
      <c r="J403" t="s">
        <v>643</v>
      </c>
      <c r="K403" t="s">
        <v>71</v>
      </c>
      <c r="L403" t="s">
        <v>72</v>
      </c>
      <c r="M403" t="s">
        <v>59</v>
      </c>
      <c r="N403" t="s">
        <v>59</v>
      </c>
      <c r="O403" t="s">
        <v>59</v>
      </c>
      <c r="P403" t="s">
        <v>59</v>
      </c>
      <c r="Q403" t="s">
        <v>59</v>
      </c>
      <c r="R403" t="s">
        <v>59</v>
      </c>
      <c r="S403" t="s">
        <v>59</v>
      </c>
      <c r="T403" t="s">
        <v>59</v>
      </c>
      <c r="U403" t="s">
        <v>59</v>
      </c>
      <c r="V403" t="s">
        <v>59</v>
      </c>
      <c r="W403" t="s">
        <v>59</v>
      </c>
      <c r="X403" t="s">
        <v>59</v>
      </c>
      <c r="Y403" t="s">
        <v>59</v>
      </c>
      <c r="Z403" t="s">
        <v>59</v>
      </c>
      <c r="AA403" t="s">
        <v>60</v>
      </c>
      <c r="AB403" t="s">
        <v>60</v>
      </c>
      <c r="AC403" t="s">
        <v>59</v>
      </c>
      <c r="AD403" t="s">
        <v>59</v>
      </c>
      <c r="AE403" t="s">
        <v>59</v>
      </c>
      <c r="AF403" t="s">
        <v>59</v>
      </c>
      <c r="AG403" t="s">
        <v>59</v>
      </c>
      <c r="AH403" t="s">
        <v>59</v>
      </c>
      <c r="AI403" t="s">
        <v>61</v>
      </c>
      <c r="AJ403" t="s">
        <v>59</v>
      </c>
      <c r="AK403" t="s">
        <v>59</v>
      </c>
      <c r="AL403" t="s">
        <v>60</v>
      </c>
      <c r="AM403" t="s">
        <v>59</v>
      </c>
      <c r="AN403" t="s">
        <v>59</v>
      </c>
      <c r="AO403" t="s">
        <v>59</v>
      </c>
      <c r="AP403" t="s">
        <v>1037</v>
      </c>
      <c r="AQ403" t="s">
        <v>1037</v>
      </c>
      <c r="AR403" t="s">
        <v>64</v>
      </c>
      <c r="AS403" t="s">
        <v>94</v>
      </c>
      <c r="AT403" t="s">
        <v>95</v>
      </c>
      <c r="AU403" t="s">
        <v>219</v>
      </c>
      <c r="AW403" s="4">
        <f t="shared" si="213"/>
        <v>6</v>
      </c>
      <c r="AX403" s="4">
        <f t="shared" si="214"/>
        <v>4</v>
      </c>
      <c r="AY403" s="4">
        <f t="shared" si="215"/>
        <v>4</v>
      </c>
      <c r="AZ403" s="4">
        <f t="shared" si="216"/>
        <v>2</v>
      </c>
      <c r="BA403" s="4">
        <f t="shared" si="217"/>
        <v>4</v>
      </c>
      <c r="BB403" s="4">
        <f t="shared" si="218"/>
        <v>4</v>
      </c>
      <c r="BC403" s="4">
        <f t="shared" si="219"/>
        <v>4</v>
      </c>
      <c r="BD403" s="4">
        <f t="shared" si="220"/>
        <v>2</v>
      </c>
      <c r="BE403" s="4">
        <f t="shared" si="221"/>
        <v>4</v>
      </c>
      <c r="BF403" s="4">
        <f t="shared" si="222"/>
        <v>2</v>
      </c>
      <c r="BG403" s="4">
        <f t="shared" si="223"/>
        <v>4</v>
      </c>
      <c r="BH403" s="4">
        <f t="shared" si="224"/>
        <v>4</v>
      </c>
      <c r="BI403" s="4">
        <f t="shared" si="225"/>
        <v>4</v>
      </c>
      <c r="BJ403" s="4">
        <f t="shared" si="226"/>
        <v>2</v>
      </c>
      <c r="BK403" s="4" t="str">
        <f t="shared" si="227"/>
        <v>0</v>
      </c>
      <c r="BL403" s="4" t="str">
        <f t="shared" si="228"/>
        <v>0</v>
      </c>
      <c r="BM403" s="4">
        <f t="shared" si="229"/>
        <v>4</v>
      </c>
      <c r="BN403" s="4">
        <f t="shared" si="230"/>
        <v>4</v>
      </c>
      <c r="BO403" s="4">
        <f t="shared" si="231"/>
        <v>4</v>
      </c>
      <c r="BP403" s="4">
        <f t="shared" si="232"/>
        <v>4</v>
      </c>
      <c r="BQ403" s="4">
        <f t="shared" si="233"/>
        <v>6</v>
      </c>
      <c r="BR403" s="4">
        <f t="shared" si="234"/>
        <v>4</v>
      </c>
      <c r="BS403" s="4">
        <f t="shared" si="235"/>
        <v>4</v>
      </c>
      <c r="BT403" s="4">
        <f t="shared" si="236"/>
        <v>4</v>
      </c>
      <c r="BU403" s="4">
        <f t="shared" si="237"/>
        <v>4</v>
      </c>
      <c r="BV403" s="4" t="str">
        <f t="shared" si="238"/>
        <v>0</v>
      </c>
      <c r="BW403" s="4">
        <f t="shared" si="239"/>
        <v>6</v>
      </c>
      <c r="BX403" s="4">
        <f t="shared" si="240"/>
        <v>0</v>
      </c>
      <c r="BY403" s="4">
        <f t="shared" si="241"/>
        <v>0</v>
      </c>
      <c r="BZ403" s="37">
        <f t="shared" si="242"/>
        <v>94</v>
      </c>
      <c r="CA403" s="32" t="str">
        <f>VLOOKUP(J:J,'Agent wise'!A:C,3,0)</f>
        <v xml:space="preserve">Shiny </v>
      </c>
      <c r="CB403" s="32">
        <f t="shared" si="243"/>
        <v>45937</v>
      </c>
      <c r="CC403" t="str">
        <f t="shared" si="244"/>
        <v>Good</v>
      </c>
      <c r="CE403" s="32"/>
      <c r="CJ403">
        <f t="shared" si="245"/>
        <v>7</v>
      </c>
      <c r="CK403">
        <f t="shared" si="246"/>
        <v>10</v>
      </c>
      <c r="CL403">
        <f t="shared" si="247"/>
        <v>2025</v>
      </c>
    </row>
    <row r="404" spans="1:90" ht="15" customHeight="1" x14ac:dyDescent="0.35">
      <c r="A404" s="40">
        <v>45848.592719907407</v>
      </c>
      <c r="B404" t="s">
        <v>100</v>
      </c>
      <c r="C404" t="s">
        <v>214</v>
      </c>
      <c r="D404" t="s">
        <v>101</v>
      </c>
      <c r="E404" s="32">
        <v>45937</v>
      </c>
      <c r="F404" t="s">
        <v>90</v>
      </c>
      <c r="G404" s="2">
        <v>45818</v>
      </c>
      <c r="H404">
        <v>9042151748</v>
      </c>
      <c r="I404">
        <v>145</v>
      </c>
      <c r="J404" t="s">
        <v>643</v>
      </c>
      <c r="K404" t="s">
        <v>71</v>
      </c>
      <c r="L404" t="s">
        <v>72</v>
      </c>
      <c r="M404" t="s">
        <v>59</v>
      </c>
      <c r="N404" t="s">
        <v>59</v>
      </c>
      <c r="O404" t="s">
        <v>59</v>
      </c>
      <c r="P404" t="s">
        <v>59</v>
      </c>
      <c r="Q404" t="s">
        <v>59</v>
      </c>
      <c r="R404" t="s">
        <v>60</v>
      </c>
      <c r="S404" t="s">
        <v>59</v>
      </c>
      <c r="T404" t="s">
        <v>59</v>
      </c>
      <c r="U404" t="s">
        <v>59</v>
      </c>
      <c r="V404" t="s">
        <v>59</v>
      </c>
      <c r="W404" t="s">
        <v>59</v>
      </c>
      <c r="X404" t="s">
        <v>59</v>
      </c>
      <c r="Y404" t="s">
        <v>59</v>
      </c>
      <c r="Z404" t="s">
        <v>59</v>
      </c>
      <c r="AA404" t="s">
        <v>59</v>
      </c>
      <c r="AB404" t="s">
        <v>59</v>
      </c>
      <c r="AC404" t="s">
        <v>59</v>
      </c>
      <c r="AD404" t="s">
        <v>59</v>
      </c>
      <c r="AE404" t="s">
        <v>59</v>
      </c>
      <c r="AF404" t="s">
        <v>59</v>
      </c>
      <c r="AG404" t="s">
        <v>59</v>
      </c>
      <c r="AH404" t="s">
        <v>59</v>
      </c>
      <c r="AI404" t="s">
        <v>61</v>
      </c>
      <c r="AJ404" t="s">
        <v>59</v>
      </c>
      <c r="AK404" t="s">
        <v>59</v>
      </c>
      <c r="AL404" t="s">
        <v>59</v>
      </c>
      <c r="AM404" t="s">
        <v>59</v>
      </c>
      <c r="AN404" t="s">
        <v>59</v>
      </c>
      <c r="AO404" t="s">
        <v>59</v>
      </c>
      <c r="AP404" t="s">
        <v>554</v>
      </c>
      <c r="AQ404" t="s">
        <v>554</v>
      </c>
      <c r="AR404" t="s">
        <v>64</v>
      </c>
      <c r="AS404" t="s">
        <v>210</v>
      </c>
      <c r="AT404" t="s">
        <v>211</v>
      </c>
      <c r="AU404" t="s">
        <v>219</v>
      </c>
      <c r="AW404" s="4">
        <f t="shared" si="213"/>
        <v>6</v>
      </c>
      <c r="AX404" s="4">
        <f t="shared" si="214"/>
        <v>4</v>
      </c>
      <c r="AY404" s="4">
        <f t="shared" si="215"/>
        <v>4</v>
      </c>
      <c r="AZ404" s="4">
        <f t="shared" si="216"/>
        <v>2</v>
      </c>
      <c r="BA404" s="4">
        <f t="shared" si="217"/>
        <v>4</v>
      </c>
      <c r="BB404" s="4" t="str">
        <f t="shared" si="218"/>
        <v>0</v>
      </c>
      <c r="BC404" s="4">
        <f t="shared" si="219"/>
        <v>4</v>
      </c>
      <c r="BD404" s="4">
        <f t="shared" si="220"/>
        <v>2</v>
      </c>
      <c r="BE404" s="4">
        <f t="shared" si="221"/>
        <v>4</v>
      </c>
      <c r="BF404" s="4">
        <f t="shared" si="222"/>
        <v>2</v>
      </c>
      <c r="BG404" s="4">
        <f t="shared" si="223"/>
        <v>4</v>
      </c>
      <c r="BH404" s="4">
        <f t="shared" si="224"/>
        <v>4</v>
      </c>
      <c r="BI404" s="4">
        <f t="shared" si="225"/>
        <v>4</v>
      </c>
      <c r="BJ404" s="4">
        <f t="shared" si="226"/>
        <v>2</v>
      </c>
      <c r="BK404" s="4">
        <f t="shared" si="227"/>
        <v>4</v>
      </c>
      <c r="BL404" s="4">
        <f t="shared" si="228"/>
        <v>2</v>
      </c>
      <c r="BM404" s="4">
        <f t="shared" si="229"/>
        <v>4</v>
      </c>
      <c r="BN404" s="4">
        <f t="shared" si="230"/>
        <v>4</v>
      </c>
      <c r="BO404" s="4">
        <f t="shared" si="231"/>
        <v>4</v>
      </c>
      <c r="BP404" s="4">
        <f t="shared" si="232"/>
        <v>4</v>
      </c>
      <c r="BQ404" s="4">
        <f t="shared" si="233"/>
        <v>6</v>
      </c>
      <c r="BR404" s="4">
        <f t="shared" si="234"/>
        <v>4</v>
      </c>
      <c r="BS404" s="4">
        <f t="shared" si="235"/>
        <v>4</v>
      </c>
      <c r="BT404" s="4">
        <f t="shared" si="236"/>
        <v>4</v>
      </c>
      <c r="BU404" s="4">
        <f t="shared" si="237"/>
        <v>4</v>
      </c>
      <c r="BV404" s="4">
        <f t="shared" si="238"/>
        <v>0</v>
      </c>
      <c r="BW404" s="4">
        <f t="shared" si="239"/>
        <v>6</v>
      </c>
      <c r="BX404" s="4">
        <f t="shared" si="240"/>
        <v>0</v>
      </c>
      <c r="BY404" s="4">
        <f t="shared" si="241"/>
        <v>0</v>
      </c>
      <c r="BZ404" s="37">
        <f t="shared" si="242"/>
        <v>96</v>
      </c>
      <c r="CA404" s="32" t="str">
        <f>VLOOKUP(J:J,'Agent wise'!A:C,3,0)</f>
        <v xml:space="preserve">Shiny </v>
      </c>
      <c r="CB404" s="32">
        <f t="shared" si="243"/>
        <v>45937</v>
      </c>
      <c r="CC404" t="str">
        <f t="shared" si="244"/>
        <v>Excellent</v>
      </c>
      <c r="CE404" s="32"/>
      <c r="CJ404">
        <f t="shared" si="245"/>
        <v>7</v>
      </c>
      <c r="CK404">
        <f t="shared" si="246"/>
        <v>10</v>
      </c>
      <c r="CL404">
        <f t="shared" si="247"/>
        <v>2025</v>
      </c>
    </row>
    <row r="405" spans="1:90" ht="15" customHeight="1" x14ac:dyDescent="0.35">
      <c r="A405" s="40">
        <v>45848.596238425933</v>
      </c>
      <c r="B405" t="s">
        <v>100</v>
      </c>
      <c r="C405" t="s">
        <v>214</v>
      </c>
      <c r="D405" t="s">
        <v>101</v>
      </c>
      <c r="E405" s="32">
        <v>45937</v>
      </c>
      <c r="F405" t="s">
        <v>90</v>
      </c>
      <c r="G405" s="2">
        <v>45818</v>
      </c>
      <c r="H405">
        <v>7401485548</v>
      </c>
      <c r="I405">
        <v>133</v>
      </c>
      <c r="J405" t="s">
        <v>552</v>
      </c>
      <c r="K405" t="s">
        <v>71</v>
      </c>
      <c r="L405" t="s">
        <v>72</v>
      </c>
      <c r="M405" t="s">
        <v>59</v>
      </c>
      <c r="N405" t="s">
        <v>59</v>
      </c>
      <c r="O405" t="s">
        <v>59</v>
      </c>
      <c r="P405" t="s">
        <v>59</v>
      </c>
      <c r="Q405" t="s">
        <v>59</v>
      </c>
      <c r="R405" t="s">
        <v>59</v>
      </c>
      <c r="S405" t="s">
        <v>59</v>
      </c>
      <c r="T405" t="s">
        <v>59</v>
      </c>
      <c r="U405" t="s">
        <v>59</v>
      </c>
      <c r="V405" t="s">
        <v>59</v>
      </c>
      <c r="W405" t="s">
        <v>59</v>
      </c>
      <c r="X405" t="s">
        <v>59</v>
      </c>
      <c r="Y405" t="s">
        <v>59</v>
      </c>
      <c r="Z405" t="s">
        <v>59</v>
      </c>
      <c r="AA405" t="s">
        <v>60</v>
      </c>
      <c r="AB405" t="s">
        <v>59</v>
      </c>
      <c r="AC405" t="s">
        <v>59</v>
      </c>
      <c r="AD405" t="s">
        <v>59</v>
      </c>
      <c r="AE405" t="s">
        <v>59</v>
      </c>
      <c r="AF405" t="s">
        <v>59</v>
      </c>
      <c r="AG405" t="s">
        <v>59</v>
      </c>
      <c r="AH405" t="s">
        <v>59</v>
      </c>
      <c r="AI405" t="s">
        <v>61</v>
      </c>
      <c r="AJ405" t="s">
        <v>59</v>
      </c>
      <c r="AK405" t="s">
        <v>59</v>
      </c>
      <c r="AL405" t="s">
        <v>60</v>
      </c>
      <c r="AM405" t="s">
        <v>59</v>
      </c>
      <c r="AN405" t="s">
        <v>59</v>
      </c>
      <c r="AO405" t="s">
        <v>59</v>
      </c>
      <c r="AP405" t="s">
        <v>1039</v>
      </c>
      <c r="AQ405" t="s">
        <v>1039</v>
      </c>
      <c r="AR405" t="s">
        <v>64</v>
      </c>
      <c r="AS405" t="s">
        <v>202</v>
      </c>
      <c r="AT405" t="s">
        <v>203</v>
      </c>
      <c r="AU405" t="s">
        <v>219</v>
      </c>
      <c r="AW405" s="4">
        <f t="shared" si="213"/>
        <v>6</v>
      </c>
      <c r="AX405" s="4">
        <f t="shared" si="214"/>
        <v>4</v>
      </c>
      <c r="AY405" s="4">
        <f t="shared" si="215"/>
        <v>4</v>
      </c>
      <c r="AZ405" s="4">
        <f t="shared" si="216"/>
        <v>2</v>
      </c>
      <c r="BA405" s="4">
        <f t="shared" si="217"/>
        <v>4</v>
      </c>
      <c r="BB405" s="4">
        <f t="shared" si="218"/>
        <v>4</v>
      </c>
      <c r="BC405" s="4">
        <f t="shared" si="219"/>
        <v>4</v>
      </c>
      <c r="BD405" s="4">
        <f t="shared" si="220"/>
        <v>2</v>
      </c>
      <c r="BE405" s="4">
        <f t="shared" si="221"/>
        <v>4</v>
      </c>
      <c r="BF405" s="4">
        <f t="shared" si="222"/>
        <v>2</v>
      </c>
      <c r="BG405" s="4">
        <f t="shared" si="223"/>
        <v>4</v>
      </c>
      <c r="BH405" s="4">
        <f t="shared" si="224"/>
        <v>4</v>
      </c>
      <c r="BI405" s="4">
        <f t="shared" si="225"/>
        <v>4</v>
      </c>
      <c r="BJ405" s="4">
        <f t="shared" si="226"/>
        <v>2</v>
      </c>
      <c r="BK405" s="4" t="str">
        <f t="shared" si="227"/>
        <v>0</v>
      </c>
      <c r="BL405" s="4">
        <f t="shared" si="228"/>
        <v>2</v>
      </c>
      <c r="BM405" s="4">
        <f t="shared" si="229"/>
        <v>4</v>
      </c>
      <c r="BN405" s="4">
        <f t="shared" si="230"/>
        <v>4</v>
      </c>
      <c r="BO405" s="4">
        <f t="shared" si="231"/>
        <v>4</v>
      </c>
      <c r="BP405" s="4">
        <f t="shared" si="232"/>
        <v>4</v>
      </c>
      <c r="BQ405" s="4">
        <f t="shared" si="233"/>
        <v>6</v>
      </c>
      <c r="BR405" s="4">
        <f t="shared" si="234"/>
        <v>4</v>
      </c>
      <c r="BS405" s="4">
        <f t="shared" si="235"/>
        <v>4</v>
      </c>
      <c r="BT405" s="4">
        <f t="shared" si="236"/>
        <v>4</v>
      </c>
      <c r="BU405" s="4">
        <f t="shared" si="237"/>
        <v>4</v>
      </c>
      <c r="BV405" s="4" t="str">
        <f t="shared" si="238"/>
        <v>0</v>
      </c>
      <c r="BW405" s="4">
        <f t="shared" si="239"/>
        <v>6</v>
      </c>
      <c r="BX405" s="4">
        <f t="shared" si="240"/>
        <v>0</v>
      </c>
      <c r="BY405" s="4">
        <f t="shared" si="241"/>
        <v>0</v>
      </c>
      <c r="BZ405" s="37">
        <f t="shared" si="242"/>
        <v>96</v>
      </c>
      <c r="CA405" s="32" t="str">
        <f>VLOOKUP(J:J,'Agent wise'!A:C,3,0)</f>
        <v xml:space="preserve">Shiny </v>
      </c>
      <c r="CB405" s="32">
        <f t="shared" si="243"/>
        <v>45937</v>
      </c>
      <c r="CC405" t="str">
        <f t="shared" si="244"/>
        <v>Excellent</v>
      </c>
      <c r="CE405" s="32"/>
      <c r="CJ405">
        <f t="shared" si="245"/>
        <v>7</v>
      </c>
      <c r="CK405">
        <f t="shared" si="246"/>
        <v>10</v>
      </c>
      <c r="CL405">
        <f t="shared" si="247"/>
        <v>2025</v>
      </c>
    </row>
    <row r="406" spans="1:90" ht="15" customHeight="1" x14ac:dyDescent="0.35">
      <c r="A406" s="40">
        <v>45848.599930555552</v>
      </c>
      <c r="B406" t="s">
        <v>51</v>
      </c>
      <c r="C406" t="s">
        <v>214</v>
      </c>
      <c r="D406" t="s">
        <v>53</v>
      </c>
      <c r="E406" s="32">
        <v>45937</v>
      </c>
      <c r="F406" t="s">
        <v>54</v>
      </c>
      <c r="G406" s="2">
        <v>45818</v>
      </c>
      <c r="H406">
        <v>9446735161</v>
      </c>
      <c r="I406">
        <v>184</v>
      </c>
      <c r="J406" t="s">
        <v>546</v>
      </c>
      <c r="K406" t="s">
        <v>57</v>
      </c>
      <c r="L406" t="s">
        <v>58</v>
      </c>
      <c r="M406" t="s">
        <v>59</v>
      </c>
      <c r="N406" t="s">
        <v>59</v>
      </c>
      <c r="O406" t="s">
        <v>59</v>
      </c>
      <c r="P406" t="s">
        <v>59</v>
      </c>
      <c r="Q406" t="s">
        <v>59</v>
      </c>
      <c r="R406" t="s">
        <v>60</v>
      </c>
      <c r="S406" t="s">
        <v>59</v>
      </c>
      <c r="T406" t="s">
        <v>59</v>
      </c>
      <c r="U406" t="s">
        <v>59</v>
      </c>
      <c r="V406" t="s">
        <v>59</v>
      </c>
      <c r="W406" t="s">
        <v>59</v>
      </c>
      <c r="X406" t="s">
        <v>59</v>
      </c>
      <c r="Y406" t="s">
        <v>59</v>
      </c>
      <c r="Z406" t="s">
        <v>59</v>
      </c>
      <c r="AA406" t="s">
        <v>59</v>
      </c>
      <c r="AB406" t="s">
        <v>59</v>
      </c>
      <c r="AC406" t="s">
        <v>61</v>
      </c>
      <c r="AD406" t="s">
        <v>59</v>
      </c>
      <c r="AE406" t="s">
        <v>60</v>
      </c>
      <c r="AF406" t="s">
        <v>61</v>
      </c>
      <c r="AG406" t="s">
        <v>59</v>
      </c>
      <c r="AH406" t="s">
        <v>61</v>
      </c>
      <c r="AI406" t="s">
        <v>60</v>
      </c>
      <c r="AJ406" t="s">
        <v>59</v>
      </c>
      <c r="AK406" t="s">
        <v>61</v>
      </c>
      <c r="AL406" t="s">
        <v>60</v>
      </c>
      <c r="AM406" t="s">
        <v>59</v>
      </c>
      <c r="AN406" t="s">
        <v>59</v>
      </c>
      <c r="AO406" t="s">
        <v>59</v>
      </c>
      <c r="AP406" t="s">
        <v>1040</v>
      </c>
      <c r="AQ406" t="s">
        <v>509</v>
      </c>
      <c r="AR406" t="s">
        <v>64</v>
      </c>
      <c r="AS406" t="s">
        <v>325</v>
      </c>
      <c r="AT406" t="s">
        <v>510</v>
      </c>
      <c r="AU406" t="s">
        <v>387</v>
      </c>
      <c r="AW406" s="4">
        <f t="shared" si="213"/>
        <v>6</v>
      </c>
      <c r="AX406" s="4">
        <f t="shared" si="214"/>
        <v>4</v>
      </c>
      <c r="AY406" s="4">
        <f t="shared" si="215"/>
        <v>4</v>
      </c>
      <c r="AZ406" s="4">
        <f t="shared" si="216"/>
        <v>2</v>
      </c>
      <c r="BA406" s="4">
        <f t="shared" si="217"/>
        <v>4</v>
      </c>
      <c r="BB406" s="4" t="str">
        <f t="shared" si="218"/>
        <v>0</v>
      </c>
      <c r="BC406" s="4">
        <f t="shared" si="219"/>
        <v>4</v>
      </c>
      <c r="BD406" s="4">
        <f t="shared" si="220"/>
        <v>2</v>
      </c>
      <c r="BE406" s="4">
        <f t="shared" si="221"/>
        <v>4</v>
      </c>
      <c r="BF406" s="4">
        <f t="shared" si="222"/>
        <v>2</v>
      </c>
      <c r="BG406" s="4">
        <f t="shared" si="223"/>
        <v>4</v>
      </c>
      <c r="BH406" s="4">
        <f t="shared" si="224"/>
        <v>4</v>
      </c>
      <c r="BI406" s="4">
        <f t="shared" si="225"/>
        <v>4</v>
      </c>
      <c r="BJ406" s="4">
        <f t="shared" si="226"/>
        <v>2</v>
      </c>
      <c r="BK406" s="4">
        <f t="shared" si="227"/>
        <v>4</v>
      </c>
      <c r="BL406" s="4">
        <f t="shared" si="228"/>
        <v>2</v>
      </c>
      <c r="BM406" s="4">
        <f t="shared" si="229"/>
        <v>4</v>
      </c>
      <c r="BN406" s="4">
        <f t="shared" si="230"/>
        <v>4</v>
      </c>
      <c r="BO406" s="4" t="str">
        <f t="shared" si="231"/>
        <v>0</v>
      </c>
      <c r="BP406" s="4">
        <f t="shared" si="232"/>
        <v>4</v>
      </c>
      <c r="BQ406" s="4">
        <f t="shared" si="233"/>
        <v>6</v>
      </c>
      <c r="BR406" s="4">
        <f t="shared" si="234"/>
        <v>4</v>
      </c>
      <c r="BS406" s="4" t="str">
        <f t="shared" si="235"/>
        <v>0</v>
      </c>
      <c r="BT406" s="4">
        <f t="shared" si="236"/>
        <v>4</v>
      </c>
      <c r="BU406" s="4">
        <f t="shared" si="237"/>
        <v>4</v>
      </c>
      <c r="BV406" s="4" t="str">
        <f t="shared" si="238"/>
        <v>0</v>
      </c>
      <c r="BW406" s="4">
        <f t="shared" si="239"/>
        <v>6</v>
      </c>
      <c r="BX406" s="4">
        <f t="shared" si="240"/>
        <v>0</v>
      </c>
      <c r="BY406" s="4">
        <f t="shared" si="241"/>
        <v>0</v>
      </c>
      <c r="BZ406" s="37">
        <f t="shared" si="242"/>
        <v>88</v>
      </c>
      <c r="CA406" s="32" t="str">
        <f>VLOOKUP(J:J,'Agent wise'!A:C,3,0)</f>
        <v>Shakeer</v>
      </c>
      <c r="CB406" s="32">
        <f t="shared" si="243"/>
        <v>45937</v>
      </c>
      <c r="CC406" t="str">
        <f t="shared" si="244"/>
        <v>Average</v>
      </c>
      <c r="CE406" s="32"/>
      <c r="CJ406">
        <f t="shared" si="245"/>
        <v>7</v>
      </c>
      <c r="CK406">
        <f t="shared" si="246"/>
        <v>10</v>
      </c>
      <c r="CL406">
        <f t="shared" si="247"/>
        <v>2025</v>
      </c>
    </row>
    <row r="407" spans="1:90" ht="15" customHeight="1" x14ac:dyDescent="0.35">
      <c r="A407" s="40">
        <v>45848.601736111108</v>
      </c>
      <c r="B407" t="s">
        <v>100</v>
      </c>
      <c r="C407" t="s">
        <v>214</v>
      </c>
      <c r="D407" t="s">
        <v>101</v>
      </c>
      <c r="E407" s="32">
        <v>45937</v>
      </c>
      <c r="F407" t="s">
        <v>90</v>
      </c>
      <c r="G407" s="2">
        <v>45848</v>
      </c>
      <c r="H407">
        <v>9486457311</v>
      </c>
      <c r="I407">
        <v>176</v>
      </c>
      <c r="J407" t="s">
        <v>533</v>
      </c>
      <c r="K407" t="s">
        <v>71</v>
      </c>
      <c r="L407" t="s">
        <v>72</v>
      </c>
      <c r="M407" t="s">
        <v>59</v>
      </c>
      <c r="N407" t="s">
        <v>59</v>
      </c>
      <c r="O407" t="s">
        <v>59</v>
      </c>
      <c r="P407" t="s">
        <v>59</v>
      </c>
      <c r="Q407" t="s">
        <v>59</v>
      </c>
      <c r="R407" t="s">
        <v>59</v>
      </c>
      <c r="S407" t="s">
        <v>59</v>
      </c>
      <c r="T407" t="s">
        <v>59</v>
      </c>
      <c r="U407" t="s">
        <v>59</v>
      </c>
      <c r="V407" t="s">
        <v>59</v>
      </c>
      <c r="W407" t="s">
        <v>59</v>
      </c>
      <c r="X407" t="s">
        <v>59</v>
      </c>
      <c r="Y407" t="s">
        <v>59</v>
      </c>
      <c r="Z407" t="s">
        <v>59</v>
      </c>
      <c r="AA407" t="s">
        <v>59</v>
      </c>
      <c r="AB407" t="s">
        <v>60</v>
      </c>
      <c r="AC407" t="s">
        <v>59</v>
      </c>
      <c r="AD407" t="s">
        <v>59</v>
      </c>
      <c r="AE407" t="s">
        <v>59</v>
      </c>
      <c r="AF407" t="s">
        <v>59</v>
      </c>
      <c r="AG407" t="s">
        <v>59</v>
      </c>
      <c r="AH407" t="s">
        <v>59</v>
      </c>
      <c r="AI407" t="s">
        <v>61</v>
      </c>
      <c r="AJ407" t="s">
        <v>59</v>
      </c>
      <c r="AK407" t="s">
        <v>59</v>
      </c>
      <c r="AL407" t="s">
        <v>59</v>
      </c>
      <c r="AM407" t="s">
        <v>59</v>
      </c>
      <c r="AN407" t="s">
        <v>59</v>
      </c>
      <c r="AO407" t="s">
        <v>59</v>
      </c>
      <c r="AP407" t="s">
        <v>1041</v>
      </c>
      <c r="AQ407" t="s">
        <v>1041</v>
      </c>
      <c r="AR407" t="s">
        <v>64</v>
      </c>
      <c r="AS407" t="s">
        <v>210</v>
      </c>
      <c r="AT407" t="s">
        <v>211</v>
      </c>
      <c r="AU407" t="s">
        <v>219</v>
      </c>
      <c r="AW407" s="4">
        <f t="shared" si="213"/>
        <v>6</v>
      </c>
      <c r="AX407" s="4">
        <f t="shared" si="214"/>
        <v>4</v>
      </c>
      <c r="AY407" s="4">
        <f t="shared" si="215"/>
        <v>4</v>
      </c>
      <c r="AZ407" s="4">
        <f t="shared" si="216"/>
        <v>2</v>
      </c>
      <c r="BA407" s="4">
        <f t="shared" si="217"/>
        <v>4</v>
      </c>
      <c r="BB407" s="4">
        <f t="shared" si="218"/>
        <v>4</v>
      </c>
      <c r="BC407" s="4">
        <f t="shared" si="219"/>
        <v>4</v>
      </c>
      <c r="BD407" s="4">
        <f t="shared" si="220"/>
        <v>2</v>
      </c>
      <c r="BE407" s="4">
        <f t="shared" si="221"/>
        <v>4</v>
      </c>
      <c r="BF407" s="4">
        <f t="shared" si="222"/>
        <v>2</v>
      </c>
      <c r="BG407" s="4">
        <f t="shared" si="223"/>
        <v>4</v>
      </c>
      <c r="BH407" s="4">
        <f t="shared" si="224"/>
        <v>4</v>
      </c>
      <c r="BI407" s="4">
        <f t="shared" si="225"/>
        <v>4</v>
      </c>
      <c r="BJ407" s="4">
        <f t="shared" si="226"/>
        <v>2</v>
      </c>
      <c r="BK407" s="4">
        <f t="shared" si="227"/>
        <v>4</v>
      </c>
      <c r="BL407" s="4" t="str">
        <f t="shared" si="228"/>
        <v>0</v>
      </c>
      <c r="BM407" s="4">
        <f t="shared" si="229"/>
        <v>4</v>
      </c>
      <c r="BN407" s="4">
        <f t="shared" si="230"/>
        <v>4</v>
      </c>
      <c r="BO407" s="4">
        <f t="shared" si="231"/>
        <v>4</v>
      </c>
      <c r="BP407" s="4">
        <f t="shared" si="232"/>
        <v>4</v>
      </c>
      <c r="BQ407" s="4">
        <f t="shared" si="233"/>
        <v>6</v>
      </c>
      <c r="BR407" s="4">
        <f t="shared" si="234"/>
        <v>4</v>
      </c>
      <c r="BS407" s="4">
        <f t="shared" si="235"/>
        <v>4</v>
      </c>
      <c r="BT407" s="4">
        <f t="shared" si="236"/>
        <v>4</v>
      </c>
      <c r="BU407" s="4">
        <f t="shared" si="237"/>
        <v>4</v>
      </c>
      <c r="BV407" s="4">
        <f t="shared" si="238"/>
        <v>0</v>
      </c>
      <c r="BW407" s="4">
        <f t="shared" si="239"/>
        <v>6</v>
      </c>
      <c r="BX407" s="4">
        <f t="shared" si="240"/>
        <v>0</v>
      </c>
      <c r="BY407" s="4">
        <f t="shared" si="241"/>
        <v>0</v>
      </c>
      <c r="BZ407" s="37">
        <f t="shared" si="242"/>
        <v>98</v>
      </c>
      <c r="CA407" s="32" t="str">
        <f>VLOOKUP(J:J,'Agent wise'!A:C,3,0)</f>
        <v xml:space="preserve">Shiny </v>
      </c>
      <c r="CB407" s="32">
        <f t="shared" si="243"/>
        <v>45937</v>
      </c>
      <c r="CC407" t="str">
        <f t="shared" si="244"/>
        <v>Excellent</v>
      </c>
      <c r="CE407" s="32"/>
      <c r="CJ407">
        <f t="shared" si="245"/>
        <v>7</v>
      </c>
      <c r="CK407">
        <f t="shared" si="246"/>
        <v>10</v>
      </c>
      <c r="CL407">
        <f t="shared" si="247"/>
        <v>2025</v>
      </c>
    </row>
    <row r="408" spans="1:90" ht="15" customHeight="1" x14ac:dyDescent="0.35">
      <c r="A408" s="40">
        <v>45848.602476851847</v>
      </c>
      <c r="B408" t="s">
        <v>51</v>
      </c>
      <c r="C408" t="s">
        <v>214</v>
      </c>
      <c r="D408" t="s">
        <v>53</v>
      </c>
      <c r="E408" s="32">
        <v>45937</v>
      </c>
      <c r="F408" t="s">
        <v>54</v>
      </c>
      <c r="G408" s="2">
        <v>45818</v>
      </c>
      <c r="H408">
        <v>9207740833</v>
      </c>
      <c r="I408">
        <v>153</v>
      </c>
      <c r="J408" t="s">
        <v>149</v>
      </c>
      <c r="K408" t="s">
        <v>57</v>
      </c>
      <c r="L408" t="s">
        <v>58</v>
      </c>
      <c r="M408" t="s">
        <v>59</v>
      </c>
      <c r="N408" t="s">
        <v>59</v>
      </c>
      <c r="O408" t="s">
        <v>59</v>
      </c>
      <c r="P408" t="s">
        <v>59</v>
      </c>
      <c r="Q408" t="s">
        <v>59</v>
      </c>
      <c r="R408" t="s">
        <v>60</v>
      </c>
      <c r="S408" t="s">
        <v>59</v>
      </c>
      <c r="T408" t="s">
        <v>59</v>
      </c>
      <c r="U408" t="s">
        <v>59</v>
      </c>
      <c r="V408" t="s">
        <v>59</v>
      </c>
      <c r="W408" t="s">
        <v>59</v>
      </c>
      <c r="X408" t="s">
        <v>59</v>
      </c>
      <c r="Y408" t="s">
        <v>59</v>
      </c>
      <c r="Z408" t="s">
        <v>59</v>
      </c>
      <c r="AA408" t="s">
        <v>59</v>
      </c>
      <c r="AB408" t="s">
        <v>59</v>
      </c>
      <c r="AC408" t="s">
        <v>61</v>
      </c>
      <c r="AD408" t="s">
        <v>59</v>
      </c>
      <c r="AE408" t="s">
        <v>59</v>
      </c>
      <c r="AF408" t="s">
        <v>61</v>
      </c>
      <c r="AG408" t="s">
        <v>59</v>
      </c>
      <c r="AH408" t="s">
        <v>61</v>
      </c>
      <c r="AI408" t="s">
        <v>59</v>
      </c>
      <c r="AJ408" t="s">
        <v>59</v>
      </c>
      <c r="AK408" t="s">
        <v>61</v>
      </c>
      <c r="AL408" t="s">
        <v>60</v>
      </c>
      <c r="AM408" t="s">
        <v>59</v>
      </c>
      <c r="AN408" t="s">
        <v>59</v>
      </c>
      <c r="AO408" t="s">
        <v>59</v>
      </c>
      <c r="AP408" t="s">
        <v>68</v>
      </c>
      <c r="AQ408" t="s">
        <v>506</v>
      </c>
      <c r="AR408" t="s">
        <v>64</v>
      </c>
      <c r="AS408" t="s">
        <v>325</v>
      </c>
      <c r="AT408" t="s">
        <v>858</v>
      </c>
      <c r="AU408" t="s">
        <v>299</v>
      </c>
      <c r="AW408" s="4">
        <f t="shared" si="213"/>
        <v>6</v>
      </c>
      <c r="AX408" s="4">
        <f t="shared" si="214"/>
        <v>4</v>
      </c>
      <c r="AY408" s="4">
        <f t="shared" si="215"/>
        <v>4</v>
      </c>
      <c r="AZ408" s="4">
        <f t="shared" si="216"/>
        <v>2</v>
      </c>
      <c r="BA408" s="4">
        <f t="shared" si="217"/>
        <v>4</v>
      </c>
      <c r="BB408" s="4" t="str">
        <f t="shared" si="218"/>
        <v>0</v>
      </c>
      <c r="BC408" s="4">
        <f t="shared" si="219"/>
        <v>4</v>
      </c>
      <c r="BD408" s="4">
        <f t="shared" si="220"/>
        <v>2</v>
      </c>
      <c r="BE408" s="4">
        <f t="shared" si="221"/>
        <v>4</v>
      </c>
      <c r="BF408" s="4">
        <f t="shared" si="222"/>
        <v>2</v>
      </c>
      <c r="BG408" s="4">
        <f t="shared" si="223"/>
        <v>4</v>
      </c>
      <c r="BH408" s="4">
        <f t="shared" si="224"/>
        <v>4</v>
      </c>
      <c r="BI408" s="4">
        <f t="shared" si="225"/>
        <v>4</v>
      </c>
      <c r="BJ408" s="4">
        <f t="shared" si="226"/>
        <v>2</v>
      </c>
      <c r="BK408" s="4">
        <f t="shared" si="227"/>
        <v>4</v>
      </c>
      <c r="BL408" s="4">
        <f t="shared" si="228"/>
        <v>2</v>
      </c>
      <c r="BM408" s="4">
        <f t="shared" si="229"/>
        <v>4</v>
      </c>
      <c r="BN408" s="4">
        <f t="shared" si="230"/>
        <v>4</v>
      </c>
      <c r="BO408" s="4">
        <f t="shared" si="231"/>
        <v>4</v>
      </c>
      <c r="BP408" s="4">
        <f t="shared" si="232"/>
        <v>4</v>
      </c>
      <c r="BQ408" s="4">
        <f t="shared" si="233"/>
        <v>6</v>
      </c>
      <c r="BR408" s="4">
        <f t="shared" si="234"/>
        <v>4</v>
      </c>
      <c r="BS408" s="4">
        <f t="shared" si="235"/>
        <v>4</v>
      </c>
      <c r="BT408" s="4">
        <f t="shared" si="236"/>
        <v>4</v>
      </c>
      <c r="BU408" s="4">
        <f t="shared" si="237"/>
        <v>4</v>
      </c>
      <c r="BV408" s="4" t="str">
        <f t="shared" si="238"/>
        <v>0</v>
      </c>
      <c r="BW408" s="4">
        <f t="shared" si="239"/>
        <v>6</v>
      </c>
      <c r="BX408" s="4">
        <f t="shared" si="240"/>
        <v>0</v>
      </c>
      <c r="BY408" s="4">
        <f t="shared" si="241"/>
        <v>0</v>
      </c>
      <c r="BZ408" s="37">
        <f t="shared" si="242"/>
        <v>96</v>
      </c>
      <c r="CA408" s="32" t="str">
        <f>VLOOKUP(J:J,'Agent wise'!A:C,3,0)</f>
        <v>Shakeer</v>
      </c>
      <c r="CB408" s="32">
        <f t="shared" si="243"/>
        <v>45937</v>
      </c>
      <c r="CC408" t="str">
        <f t="shared" si="244"/>
        <v>Excellent</v>
      </c>
      <c r="CE408" s="32"/>
      <c r="CJ408">
        <f t="shared" si="245"/>
        <v>7</v>
      </c>
      <c r="CK408">
        <f t="shared" si="246"/>
        <v>10</v>
      </c>
      <c r="CL408">
        <f t="shared" si="247"/>
        <v>2025</v>
      </c>
    </row>
    <row r="409" spans="1:90" ht="15" customHeight="1" x14ac:dyDescent="0.35">
      <c r="A409" s="40">
        <v>45848.610011574077</v>
      </c>
      <c r="B409" t="s">
        <v>51</v>
      </c>
      <c r="C409" t="s">
        <v>214</v>
      </c>
      <c r="D409" t="s">
        <v>53</v>
      </c>
      <c r="E409" s="32">
        <v>45937</v>
      </c>
      <c r="F409" t="s">
        <v>54</v>
      </c>
      <c r="G409" s="2">
        <v>45818</v>
      </c>
      <c r="H409">
        <v>8078108559</v>
      </c>
      <c r="I409">
        <v>141</v>
      </c>
      <c r="J409" t="s">
        <v>442</v>
      </c>
      <c r="K409" t="s">
        <v>57</v>
      </c>
      <c r="L409" t="s">
        <v>58</v>
      </c>
      <c r="M409" t="s">
        <v>59</v>
      </c>
      <c r="N409" t="s">
        <v>59</v>
      </c>
      <c r="O409" t="s">
        <v>59</v>
      </c>
      <c r="P409" t="s">
        <v>59</v>
      </c>
      <c r="Q409" t="s">
        <v>59</v>
      </c>
      <c r="R409" t="s">
        <v>60</v>
      </c>
      <c r="S409" t="s">
        <v>59</v>
      </c>
      <c r="T409" t="s">
        <v>59</v>
      </c>
      <c r="U409" t="s">
        <v>59</v>
      </c>
      <c r="V409" t="s">
        <v>59</v>
      </c>
      <c r="W409" t="s">
        <v>59</v>
      </c>
      <c r="X409" t="s">
        <v>59</v>
      </c>
      <c r="Y409" t="s">
        <v>59</v>
      </c>
      <c r="Z409" t="s">
        <v>59</v>
      </c>
      <c r="AA409" t="s">
        <v>60</v>
      </c>
      <c r="AB409" t="s">
        <v>59</v>
      </c>
      <c r="AC409" t="s">
        <v>61</v>
      </c>
      <c r="AD409" t="s">
        <v>59</v>
      </c>
      <c r="AE409" t="s">
        <v>59</v>
      </c>
      <c r="AF409" t="s">
        <v>61</v>
      </c>
      <c r="AG409" t="s">
        <v>59</v>
      </c>
      <c r="AH409" t="s">
        <v>61</v>
      </c>
      <c r="AI409" t="s">
        <v>60</v>
      </c>
      <c r="AJ409" t="s">
        <v>59</v>
      </c>
      <c r="AK409" t="s">
        <v>61</v>
      </c>
      <c r="AL409" t="s">
        <v>60</v>
      </c>
      <c r="AM409" t="s">
        <v>59</v>
      </c>
      <c r="AN409" t="s">
        <v>59</v>
      </c>
      <c r="AO409" t="s">
        <v>59</v>
      </c>
      <c r="AP409" t="s">
        <v>1042</v>
      </c>
      <c r="AQ409" t="s">
        <v>509</v>
      </c>
      <c r="AR409" t="s">
        <v>64</v>
      </c>
      <c r="AS409" t="s">
        <v>319</v>
      </c>
      <c r="AT409" t="s">
        <v>510</v>
      </c>
      <c r="AU409" t="s">
        <v>299</v>
      </c>
      <c r="AW409" s="4">
        <f t="shared" si="213"/>
        <v>6</v>
      </c>
      <c r="AX409" s="4">
        <f t="shared" si="214"/>
        <v>4</v>
      </c>
      <c r="AY409" s="4">
        <f t="shared" si="215"/>
        <v>4</v>
      </c>
      <c r="AZ409" s="4">
        <f t="shared" si="216"/>
        <v>2</v>
      </c>
      <c r="BA409" s="4">
        <f t="shared" si="217"/>
        <v>4</v>
      </c>
      <c r="BB409" s="4" t="str">
        <f t="shared" si="218"/>
        <v>0</v>
      </c>
      <c r="BC409" s="4">
        <f t="shared" si="219"/>
        <v>4</v>
      </c>
      <c r="BD409" s="4">
        <f t="shared" si="220"/>
        <v>2</v>
      </c>
      <c r="BE409" s="4">
        <f t="shared" si="221"/>
        <v>4</v>
      </c>
      <c r="BF409" s="4">
        <f t="shared" si="222"/>
        <v>2</v>
      </c>
      <c r="BG409" s="4">
        <f t="shared" si="223"/>
        <v>4</v>
      </c>
      <c r="BH409" s="4">
        <f t="shared" si="224"/>
        <v>4</v>
      </c>
      <c r="BI409" s="4">
        <f t="shared" si="225"/>
        <v>4</v>
      </c>
      <c r="BJ409" s="4">
        <f t="shared" si="226"/>
        <v>2</v>
      </c>
      <c r="BK409" s="4" t="str">
        <f t="shared" si="227"/>
        <v>0</v>
      </c>
      <c r="BL409" s="4">
        <f t="shared" si="228"/>
        <v>2</v>
      </c>
      <c r="BM409" s="4">
        <f t="shared" si="229"/>
        <v>4</v>
      </c>
      <c r="BN409" s="4">
        <f t="shared" si="230"/>
        <v>4</v>
      </c>
      <c r="BO409" s="4">
        <f t="shared" si="231"/>
        <v>4</v>
      </c>
      <c r="BP409" s="4">
        <f t="shared" si="232"/>
        <v>4</v>
      </c>
      <c r="BQ409" s="4">
        <f t="shared" si="233"/>
        <v>6</v>
      </c>
      <c r="BR409" s="4">
        <f t="shared" si="234"/>
        <v>4</v>
      </c>
      <c r="BS409" s="4" t="str">
        <f t="shared" si="235"/>
        <v>0</v>
      </c>
      <c r="BT409" s="4">
        <f t="shared" si="236"/>
        <v>4</v>
      </c>
      <c r="BU409" s="4">
        <f t="shared" si="237"/>
        <v>4</v>
      </c>
      <c r="BV409" s="4" t="str">
        <f t="shared" si="238"/>
        <v>0</v>
      </c>
      <c r="BW409" s="4">
        <f t="shared" si="239"/>
        <v>6</v>
      </c>
      <c r="BX409" s="4">
        <f t="shared" si="240"/>
        <v>0</v>
      </c>
      <c r="BY409" s="4">
        <f t="shared" si="241"/>
        <v>0</v>
      </c>
      <c r="BZ409" s="37">
        <f t="shared" si="242"/>
        <v>88</v>
      </c>
      <c r="CA409" s="32" t="str">
        <f>VLOOKUP(J:J,'Agent wise'!A:C,3,0)</f>
        <v>Shakeer</v>
      </c>
      <c r="CB409" s="32">
        <f t="shared" si="243"/>
        <v>45937</v>
      </c>
      <c r="CC409" t="str">
        <f t="shared" si="244"/>
        <v>Average</v>
      </c>
      <c r="CE409" s="32"/>
      <c r="CJ409">
        <f t="shared" si="245"/>
        <v>7</v>
      </c>
      <c r="CK409">
        <f t="shared" si="246"/>
        <v>10</v>
      </c>
      <c r="CL409">
        <f t="shared" si="247"/>
        <v>2025</v>
      </c>
    </row>
    <row r="410" spans="1:90" ht="15" customHeight="1" x14ac:dyDescent="0.35">
      <c r="A410" s="40">
        <v>45848.616539351853</v>
      </c>
      <c r="B410" t="s">
        <v>51</v>
      </c>
      <c r="C410" t="s">
        <v>214</v>
      </c>
      <c r="D410" t="s">
        <v>53</v>
      </c>
      <c r="E410" s="32">
        <v>45937</v>
      </c>
      <c r="F410" t="s">
        <v>90</v>
      </c>
      <c r="G410" s="2">
        <v>45818</v>
      </c>
      <c r="H410">
        <v>9688534042</v>
      </c>
      <c r="I410">
        <v>239</v>
      </c>
      <c r="J410" t="s">
        <v>274</v>
      </c>
      <c r="K410" t="s">
        <v>71</v>
      </c>
      <c r="L410" t="s">
        <v>72</v>
      </c>
      <c r="M410" t="s">
        <v>59</v>
      </c>
      <c r="N410" t="s">
        <v>59</v>
      </c>
      <c r="O410" t="s">
        <v>59</v>
      </c>
      <c r="P410" t="s">
        <v>59</v>
      </c>
      <c r="Q410" t="s">
        <v>59</v>
      </c>
      <c r="R410" t="s">
        <v>60</v>
      </c>
      <c r="S410" t="s">
        <v>59</v>
      </c>
      <c r="T410" t="s">
        <v>59</v>
      </c>
      <c r="U410" t="s">
        <v>60</v>
      </c>
      <c r="V410" t="s">
        <v>59</v>
      </c>
      <c r="W410" t="s">
        <v>59</v>
      </c>
      <c r="X410" t="s">
        <v>59</v>
      </c>
      <c r="Y410" t="s">
        <v>59</v>
      </c>
      <c r="Z410" t="s">
        <v>59</v>
      </c>
      <c r="AA410" t="s">
        <v>60</v>
      </c>
      <c r="AB410" t="s">
        <v>59</v>
      </c>
      <c r="AC410" t="s">
        <v>61</v>
      </c>
      <c r="AD410" t="s">
        <v>60</v>
      </c>
      <c r="AE410" t="s">
        <v>59</v>
      </c>
      <c r="AF410" t="s">
        <v>61</v>
      </c>
      <c r="AG410" t="s">
        <v>59</v>
      </c>
      <c r="AH410" t="s">
        <v>61</v>
      </c>
      <c r="AI410" t="s">
        <v>60</v>
      </c>
      <c r="AJ410" t="s">
        <v>59</v>
      </c>
      <c r="AK410" t="s">
        <v>61</v>
      </c>
      <c r="AL410" t="s">
        <v>60</v>
      </c>
      <c r="AM410" t="s">
        <v>59</v>
      </c>
      <c r="AN410" t="s">
        <v>59</v>
      </c>
      <c r="AO410" t="s">
        <v>59</v>
      </c>
      <c r="AP410" t="s">
        <v>1043</v>
      </c>
      <c r="AQ410" t="s">
        <v>506</v>
      </c>
      <c r="AR410" t="s">
        <v>64</v>
      </c>
      <c r="AS410" t="s">
        <v>94</v>
      </c>
      <c r="AT410" t="s">
        <v>95</v>
      </c>
      <c r="AU410" t="s">
        <v>299</v>
      </c>
      <c r="AW410" s="4">
        <f t="shared" si="213"/>
        <v>6</v>
      </c>
      <c r="AX410" s="4">
        <f t="shared" si="214"/>
        <v>4</v>
      </c>
      <c r="AY410" s="4">
        <f t="shared" si="215"/>
        <v>4</v>
      </c>
      <c r="AZ410" s="4">
        <f t="shared" si="216"/>
        <v>2</v>
      </c>
      <c r="BA410" s="4">
        <f t="shared" si="217"/>
        <v>4</v>
      </c>
      <c r="BB410" s="4" t="str">
        <f t="shared" si="218"/>
        <v>0</v>
      </c>
      <c r="BC410" s="4">
        <f t="shared" si="219"/>
        <v>4</v>
      </c>
      <c r="BD410" s="4">
        <f t="shared" si="220"/>
        <v>2</v>
      </c>
      <c r="BE410" s="4" t="str">
        <f t="shared" si="221"/>
        <v>0</v>
      </c>
      <c r="BF410" s="4">
        <f t="shared" si="222"/>
        <v>2</v>
      </c>
      <c r="BG410" s="4">
        <f t="shared" si="223"/>
        <v>4</v>
      </c>
      <c r="BH410" s="4">
        <f t="shared" si="224"/>
        <v>4</v>
      </c>
      <c r="BI410" s="4">
        <f t="shared" si="225"/>
        <v>4</v>
      </c>
      <c r="BJ410" s="4">
        <f t="shared" si="226"/>
        <v>2</v>
      </c>
      <c r="BK410" s="4" t="str">
        <f t="shared" si="227"/>
        <v>0</v>
      </c>
      <c r="BL410" s="4">
        <f t="shared" si="228"/>
        <v>2</v>
      </c>
      <c r="BM410" s="4">
        <f t="shared" si="229"/>
        <v>4</v>
      </c>
      <c r="BN410" s="4" t="str">
        <f t="shared" si="230"/>
        <v>0</v>
      </c>
      <c r="BO410" s="4">
        <f t="shared" si="231"/>
        <v>4</v>
      </c>
      <c r="BP410" s="4">
        <f t="shared" si="232"/>
        <v>4</v>
      </c>
      <c r="BQ410" s="4">
        <f t="shared" si="233"/>
        <v>6</v>
      </c>
      <c r="BR410" s="4">
        <f t="shared" si="234"/>
        <v>4</v>
      </c>
      <c r="BS410" s="4" t="str">
        <f t="shared" si="235"/>
        <v>0</v>
      </c>
      <c r="BT410" s="4">
        <f t="shared" si="236"/>
        <v>4</v>
      </c>
      <c r="BU410" s="4">
        <f t="shared" si="237"/>
        <v>4</v>
      </c>
      <c r="BV410" s="4" t="str">
        <f t="shared" si="238"/>
        <v>0</v>
      </c>
      <c r="BW410" s="4">
        <f t="shared" si="239"/>
        <v>6</v>
      </c>
      <c r="BX410" s="4">
        <f t="shared" si="240"/>
        <v>0</v>
      </c>
      <c r="BY410" s="4">
        <f t="shared" si="241"/>
        <v>0</v>
      </c>
      <c r="BZ410" s="37">
        <f t="shared" si="242"/>
        <v>80</v>
      </c>
      <c r="CA410" s="32" t="str">
        <f>VLOOKUP(J:J,'Agent wise'!A:C,3,0)</f>
        <v>Shakeer</v>
      </c>
      <c r="CB410" s="32">
        <f t="shared" si="243"/>
        <v>45937</v>
      </c>
      <c r="CC410" t="str">
        <f t="shared" si="244"/>
        <v>FC</v>
      </c>
      <c r="CE410" s="32"/>
      <c r="CJ410">
        <f t="shared" si="245"/>
        <v>7</v>
      </c>
      <c r="CK410">
        <f t="shared" si="246"/>
        <v>10</v>
      </c>
      <c r="CL410">
        <f t="shared" si="247"/>
        <v>2025</v>
      </c>
    </row>
    <row r="411" spans="1:90" ht="15" customHeight="1" x14ac:dyDescent="0.35">
      <c r="A411" s="40">
        <v>45848.654803240737</v>
      </c>
      <c r="B411" t="s">
        <v>100</v>
      </c>
      <c r="C411" t="s">
        <v>214</v>
      </c>
      <c r="D411" t="s">
        <v>101</v>
      </c>
      <c r="E411" s="32">
        <v>45937</v>
      </c>
      <c r="F411" t="s">
        <v>90</v>
      </c>
      <c r="G411" s="2">
        <v>45818</v>
      </c>
      <c r="H411">
        <v>9444975596</v>
      </c>
      <c r="I411">
        <v>168</v>
      </c>
      <c r="J411" t="s">
        <v>490</v>
      </c>
      <c r="K411" t="s">
        <v>71</v>
      </c>
      <c r="L411" t="s">
        <v>72</v>
      </c>
      <c r="M411" t="s">
        <v>59</v>
      </c>
      <c r="N411" t="s">
        <v>59</v>
      </c>
      <c r="O411" t="s">
        <v>59</v>
      </c>
      <c r="P411" t="s">
        <v>59</v>
      </c>
      <c r="Q411" t="s">
        <v>59</v>
      </c>
      <c r="R411" t="s">
        <v>59</v>
      </c>
      <c r="S411" t="s">
        <v>59</v>
      </c>
      <c r="T411" t="s">
        <v>59</v>
      </c>
      <c r="U411" t="s">
        <v>59</v>
      </c>
      <c r="V411" t="s">
        <v>59</v>
      </c>
      <c r="W411" t="s">
        <v>59</v>
      </c>
      <c r="X411" t="s">
        <v>59</v>
      </c>
      <c r="Y411" t="s">
        <v>59</v>
      </c>
      <c r="Z411" t="s">
        <v>59</v>
      </c>
      <c r="AA411" t="s">
        <v>60</v>
      </c>
      <c r="AB411" t="s">
        <v>59</v>
      </c>
      <c r="AC411" t="s">
        <v>59</v>
      </c>
      <c r="AD411" t="s">
        <v>59</v>
      </c>
      <c r="AE411" t="s">
        <v>59</v>
      </c>
      <c r="AF411" t="s">
        <v>59</v>
      </c>
      <c r="AG411" t="s">
        <v>59</v>
      </c>
      <c r="AH411" t="s">
        <v>59</v>
      </c>
      <c r="AI411" t="s">
        <v>61</v>
      </c>
      <c r="AJ411" t="s">
        <v>59</v>
      </c>
      <c r="AK411" t="s">
        <v>59</v>
      </c>
      <c r="AL411" t="s">
        <v>59</v>
      </c>
      <c r="AM411" t="s">
        <v>59</v>
      </c>
      <c r="AN411" t="s">
        <v>59</v>
      </c>
      <c r="AO411" t="s">
        <v>59</v>
      </c>
      <c r="AP411" t="s">
        <v>1044</v>
      </c>
      <c r="AQ411" t="s">
        <v>1039</v>
      </c>
      <c r="AR411" t="s">
        <v>64</v>
      </c>
      <c r="AS411" t="s">
        <v>202</v>
      </c>
      <c r="AT411" t="s">
        <v>203</v>
      </c>
      <c r="AU411" t="s">
        <v>299</v>
      </c>
      <c r="AW411" s="4">
        <f t="shared" si="213"/>
        <v>6</v>
      </c>
      <c r="AX411" s="4">
        <f t="shared" si="214"/>
        <v>4</v>
      </c>
      <c r="AY411" s="4">
        <f t="shared" si="215"/>
        <v>4</v>
      </c>
      <c r="AZ411" s="4">
        <f t="shared" si="216"/>
        <v>2</v>
      </c>
      <c r="BA411" s="4">
        <f t="shared" si="217"/>
        <v>4</v>
      </c>
      <c r="BB411" s="4">
        <f t="shared" si="218"/>
        <v>4</v>
      </c>
      <c r="BC411" s="4">
        <f t="shared" si="219"/>
        <v>4</v>
      </c>
      <c r="BD411" s="4">
        <f t="shared" si="220"/>
        <v>2</v>
      </c>
      <c r="BE411" s="4">
        <f t="shared" si="221"/>
        <v>4</v>
      </c>
      <c r="BF411" s="4">
        <f t="shared" si="222"/>
        <v>2</v>
      </c>
      <c r="BG411" s="4">
        <f t="shared" si="223"/>
        <v>4</v>
      </c>
      <c r="BH411" s="4">
        <f t="shared" si="224"/>
        <v>4</v>
      </c>
      <c r="BI411" s="4">
        <f t="shared" si="225"/>
        <v>4</v>
      </c>
      <c r="BJ411" s="4">
        <f t="shared" si="226"/>
        <v>2</v>
      </c>
      <c r="BK411" s="4" t="str">
        <f t="shared" si="227"/>
        <v>0</v>
      </c>
      <c r="BL411" s="4">
        <f t="shared" si="228"/>
        <v>2</v>
      </c>
      <c r="BM411" s="4">
        <f t="shared" si="229"/>
        <v>4</v>
      </c>
      <c r="BN411" s="4">
        <f t="shared" si="230"/>
        <v>4</v>
      </c>
      <c r="BO411" s="4">
        <f t="shared" si="231"/>
        <v>4</v>
      </c>
      <c r="BP411" s="4">
        <f t="shared" si="232"/>
        <v>4</v>
      </c>
      <c r="BQ411" s="4">
        <f t="shared" si="233"/>
        <v>6</v>
      </c>
      <c r="BR411" s="4">
        <f t="shared" si="234"/>
        <v>4</v>
      </c>
      <c r="BS411" s="4">
        <f t="shared" si="235"/>
        <v>4</v>
      </c>
      <c r="BT411" s="4">
        <f t="shared" si="236"/>
        <v>4</v>
      </c>
      <c r="BU411" s="4">
        <f t="shared" si="237"/>
        <v>4</v>
      </c>
      <c r="BV411" s="4">
        <f t="shared" si="238"/>
        <v>0</v>
      </c>
      <c r="BW411" s="4">
        <f t="shared" si="239"/>
        <v>6</v>
      </c>
      <c r="BX411" s="4">
        <f t="shared" si="240"/>
        <v>0</v>
      </c>
      <c r="BY411" s="4">
        <f t="shared" si="241"/>
        <v>0</v>
      </c>
      <c r="BZ411" s="37">
        <f t="shared" si="242"/>
        <v>96</v>
      </c>
      <c r="CA411" s="32" t="str">
        <f>VLOOKUP(J:J,'Agent wise'!A:C,3,0)</f>
        <v>Saran S</v>
      </c>
      <c r="CB411" s="32">
        <f t="shared" si="243"/>
        <v>45937</v>
      </c>
      <c r="CC411" t="str">
        <f t="shared" si="244"/>
        <v>Excellent</v>
      </c>
      <c r="CE411" s="32"/>
      <c r="CJ411">
        <f t="shared" si="245"/>
        <v>7</v>
      </c>
      <c r="CK411">
        <f t="shared" si="246"/>
        <v>10</v>
      </c>
      <c r="CL411">
        <f t="shared" si="247"/>
        <v>2025</v>
      </c>
    </row>
    <row r="412" spans="1:90" ht="15" customHeight="1" x14ac:dyDescent="0.35">
      <c r="A412" s="40">
        <v>45848.67696759259</v>
      </c>
      <c r="B412" t="s">
        <v>100</v>
      </c>
      <c r="C412" t="s">
        <v>214</v>
      </c>
      <c r="D412" t="s">
        <v>101</v>
      </c>
      <c r="E412" s="32">
        <v>45937</v>
      </c>
      <c r="F412" t="s">
        <v>90</v>
      </c>
      <c r="G412" s="2">
        <v>45757</v>
      </c>
      <c r="H412">
        <v>7402340050</v>
      </c>
      <c r="I412">
        <v>147</v>
      </c>
      <c r="J412" t="s">
        <v>108</v>
      </c>
      <c r="K412" t="s">
        <v>71</v>
      </c>
      <c r="L412" t="s">
        <v>72</v>
      </c>
      <c r="M412" t="s">
        <v>59</v>
      </c>
      <c r="N412" t="s">
        <v>59</v>
      </c>
      <c r="O412" t="s">
        <v>59</v>
      </c>
      <c r="P412" t="s">
        <v>59</v>
      </c>
      <c r="Q412" t="s">
        <v>59</v>
      </c>
      <c r="R412" t="s">
        <v>60</v>
      </c>
      <c r="S412" t="s">
        <v>59</v>
      </c>
      <c r="T412" t="s">
        <v>59</v>
      </c>
      <c r="U412" t="s">
        <v>59</v>
      </c>
      <c r="V412" t="s">
        <v>59</v>
      </c>
      <c r="W412" t="s">
        <v>59</v>
      </c>
      <c r="X412" t="s">
        <v>59</v>
      </c>
      <c r="Y412" t="s">
        <v>59</v>
      </c>
      <c r="Z412" t="s">
        <v>59</v>
      </c>
      <c r="AA412" t="s">
        <v>59</v>
      </c>
      <c r="AB412" t="s">
        <v>59</v>
      </c>
      <c r="AC412" t="s">
        <v>59</v>
      </c>
      <c r="AD412" t="s">
        <v>59</v>
      </c>
      <c r="AE412" t="s">
        <v>59</v>
      </c>
      <c r="AF412" t="s">
        <v>59</v>
      </c>
      <c r="AG412" t="s">
        <v>59</v>
      </c>
      <c r="AH412" t="s">
        <v>59</v>
      </c>
      <c r="AI412" t="s">
        <v>61</v>
      </c>
      <c r="AJ412" t="s">
        <v>59</v>
      </c>
      <c r="AK412" t="s">
        <v>59</v>
      </c>
      <c r="AL412" t="s">
        <v>59</v>
      </c>
      <c r="AM412" t="s">
        <v>59</v>
      </c>
      <c r="AN412" t="s">
        <v>59</v>
      </c>
      <c r="AO412" t="s">
        <v>59</v>
      </c>
      <c r="AP412" t="s">
        <v>1045</v>
      </c>
      <c r="AQ412" t="s">
        <v>1045</v>
      </c>
      <c r="AR412" t="s">
        <v>64</v>
      </c>
      <c r="AS412" t="s">
        <v>94</v>
      </c>
      <c r="AT412" t="s">
        <v>95</v>
      </c>
      <c r="AU412" t="s">
        <v>219</v>
      </c>
      <c r="AW412" s="4">
        <f t="shared" si="213"/>
        <v>6</v>
      </c>
      <c r="AX412" s="4">
        <f t="shared" si="214"/>
        <v>4</v>
      </c>
      <c r="AY412" s="4">
        <f t="shared" si="215"/>
        <v>4</v>
      </c>
      <c r="AZ412" s="4">
        <f t="shared" si="216"/>
        <v>2</v>
      </c>
      <c r="BA412" s="4">
        <f t="shared" si="217"/>
        <v>4</v>
      </c>
      <c r="BB412" s="4" t="str">
        <f t="shared" si="218"/>
        <v>0</v>
      </c>
      <c r="BC412" s="4">
        <f t="shared" si="219"/>
        <v>4</v>
      </c>
      <c r="BD412" s="4">
        <f t="shared" si="220"/>
        <v>2</v>
      </c>
      <c r="BE412" s="4">
        <f t="shared" si="221"/>
        <v>4</v>
      </c>
      <c r="BF412" s="4">
        <f t="shared" si="222"/>
        <v>2</v>
      </c>
      <c r="BG412" s="4">
        <f t="shared" si="223"/>
        <v>4</v>
      </c>
      <c r="BH412" s="4">
        <f t="shared" si="224"/>
        <v>4</v>
      </c>
      <c r="BI412" s="4">
        <f t="shared" si="225"/>
        <v>4</v>
      </c>
      <c r="BJ412" s="4">
        <f t="shared" si="226"/>
        <v>2</v>
      </c>
      <c r="BK412" s="4">
        <f t="shared" si="227"/>
        <v>4</v>
      </c>
      <c r="BL412" s="4">
        <f t="shared" si="228"/>
        <v>2</v>
      </c>
      <c r="BM412" s="4">
        <f t="shared" si="229"/>
        <v>4</v>
      </c>
      <c r="BN412" s="4">
        <f t="shared" si="230"/>
        <v>4</v>
      </c>
      <c r="BO412" s="4">
        <f t="shared" si="231"/>
        <v>4</v>
      </c>
      <c r="BP412" s="4">
        <f t="shared" si="232"/>
        <v>4</v>
      </c>
      <c r="BQ412" s="4">
        <f t="shared" si="233"/>
        <v>6</v>
      </c>
      <c r="BR412" s="4">
        <f t="shared" si="234"/>
        <v>4</v>
      </c>
      <c r="BS412" s="4">
        <f t="shared" si="235"/>
        <v>4</v>
      </c>
      <c r="BT412" s="4">
        <f t="shared" si="236"/>
        <v>4</v>
      </c>
      <c r="BU412" s="4">
        <f t="shared" si="237"/>
        <v>4</v>
      </c>
      <c r="BV412" s="4">
        <f t="shared" si="238"/>
        <v>0</v>
      </c>
      <c r="BW412" s="4">
        <f t="shared" si="239"/>
        <v>6</v>
      </c>
      <c r="BX412" s="4">
        <f t="shared" si="240"/>
        <v>0</v>
      </c>
      <c r="BY412" s="4">
        <f t="shared" si="241"/>
        <v>0</v>
      </c>
      <c r="BZ412" s="37">
        <f t="shared" si="242"/>
        <v>96</v>
      </c>
      <c r="CA412" s="32" t="str">
        <f>VLOOKUP(J:J,'Agent wise'!A:C,3,0)</f>
        <v xml:space="preserve">Shiny </v>
      </c>
      <c r="CB412" s="32">
        <f t="shared" si="243"/>
        <v>45937</v>
      </c>
      <c r="CC412" t="str">
        <f t="shared" si="244"/>
        <v>Excellent</v>
      </c>
      <c r="CE412" s="32"/>
      <c r="CJ412">
        <f t="shared" si="245"/>
        <v>7</v>
      </c>
      <c r="CK412">
        <f t="shared" si="246"/>
        <v>10</v>
      </c>
      <c r="CL412">
        <f t="shared" si="247"/>
        <v>2025</v>
      </c>
    </row>
    <row r="413" spans="1:90" ht="15" customHeight="1" x14ac:dyDescent="0.35">
      <c r="A413" s="40">
        <v>45848.677835648137</v>
      </c>
      <c r="B413" t="s">
        <v>250</v>
      </c>
      <c r="C413" t="s">
        <v>214</v>
      </c>
      <c r="D413" t="s">
        <v>251</v>
      </c>
      <c r="E413" s="32">
        <v>45936</v>
      </c>
      <c r="F413" t="s">
        <v>222</v>
      </c>
      <c r="G413" s="2">
        <v>45818</v>
      </c>
      <c r="H413">
        <v>143</v>
      </c>
      <c r="I413">
        <v>9778546260</v>
      </c>
      <c r="J413" t="s">
        <v>570</v>
      </c>
      <c r="K413" t="s">
        <v>57</v>
      </c>
      <c r="L413" t="s">
        <v>58</v>
      </c>
      <c r="M413" t="s">
        <v>59</v>
      </c>
      <c r="N413" t="s">
        <v>59</v>
      </c>
      <c r="O413" t="s">
        <v>59</v>
      </c>
      <c r="P413" t="s">
        <v>59</v>
      </c>
      <c r="Q413" t="s">
        <v>59</v>
      </c>
      <c r="R413" t="s">
        <v>59</v>
      </c>
      <c r="S413" t="s">
        <v>59</v>
      </c>
      <c r="T413" t="s">
        <v>59</v>
      </c>
      <c r="U413" t="s">
        <v>60</v>
      </c>
      <c r="V413" t="s">
        <v>59</v>
      </c>
      <c r="W413" t="s">
        <v>59</v>
      </c>
      <c r="X413" t="s">
        <v>59</v>
      </c>
      <c r="Y413" t="s">
        <v>59</v>
      </c>
      <c r="Z413" t="s">
        <v>59</v>
      </c>
      <c r="AA413" t="s">
        <v>60</v>
      </c>
      <c r="AB413" t="s">
        <v>59</v>
      </c>
      <c r="AC413" t="s">
        <v>59</v>
      </c>
      <c r="AD413" t="s">
        <v>59</v>
      </c>
      <c r="AE413" t="s">
        <v>59</v>
      </c>
      <c r="AF413" t="s">
        <v>59</v>
      </c>
      <c r="AG413" t="s">
        <v>59</v>
      </c>
      <c r="AH413" t="s">
        <v>61</v>
      </c>
      <c r="AI413" t="s">
        <v>61</v>
      </c>
      <c r="AJ413" t="s">
        <v>59</v>
      </c>
      <c r="AK413" t="s">
        <v>59</v>
      </c>
      <c r="AL413" t="s">
        <v>60</v>
      </c>
      <c r="AM413" t="s">
        <v>59</v>
      </c>
      <c r="AN413" t="s">
        <v>59</v>
      </c>
      <c r="AO413" t="s">
        <v>59</v>
      </c>
      <c r="AP413" t="s">
        <v>783</v>
      </c>
      <c r="AQ413" t="s">
        <v>1046</v>
      </c>
      <c r="AR413" t="s">
        <v>64</v>
      </c>
      <c r="AS413" t="s">
        <v>249</v>
      </c>
      <c r="AT413" t="s">
        <v>404</v>
      </c>
      <c r="AU413" t="s">
        <v>219</v>
      </c>
      <c r="AW413" s="4">
        <f t="shared" si="213"/>
        <v>6</v>
      </c>
      <c r="AX413" s="4">
        <f t="shared" si="214"/>
        <v>4</v>
      </c>
      <c r="AY413" s="4">
        <f t="shared" si="215"/>
        <v>4</v>
      </c>
      <c r="AZ413" s="4">
        <f t="shared" si="216"/>
        <v>2</v>
      </c>
      <c r="BA413" s="4">
        <f t="shared" si="217"/>
        <v>4</v>
      </c>
      <c r="BB413" s="4">
        <f t="shared" si="218"/>
        <v>4</v>
      </c>
      <c r="BC413" s="4">
        <f t="shared" si="219"/>
        <v>4</v>
      </c>
      <c r="BD413" s="4">
        <f t="shared" si="220"/>
        <v>2</v>
      </c>
      <c r="BE413" s="4" t="str">
        <f t="shared" si="221"/>
        <v>0</v>
      </c>
      <c r="BF413" s="4">
        <f t="shared" si="222"/>
        <v>2</v>
      </c>
      <c r="BG413" s="4">
        <f t="shared" si="223"/>
        <v>4</v>
      </c>
      <c r="BH413" s="4">
        <f t="shared" si="224"/>
        <v>4</v>
      </c>
      <c r="BI413" s="4">
        <f t="shared" si="225"/>
        <v>4</v>
      </c>
      <c r="BJ413" s="4">
        <f t="shared" si="226"/>
        <v>2</v>
      </c>
      <c r="BK413" s="4" t="str">
        <f t="shared" si="227"/>
        <v>0</v>
      </c>
      <c r="BL413" s="4">
        <f t="shared" si="228"/>
        <v>2</v>
      </c>
      <c r="BM413" s="4">
        <f t="shared" si="229"/>
        <v>4</v>
      </c>
      <c r="BN413" s="4">
        <f t="shared" si="230"/>
        <v>4</v>
      </c>
      <c r="BO413" s="4">
        <f t="shared" si="231"/>
        <v>4</v>
      </c>
      <c r="BP413" s="4">
        <f t="shared" si="232"/>
        <v>4</v>
      </c>
      <c r="BQ413" s="4">
        <f t="shared" si="233"/>
        <v>6</v>
      </c>
      <c r="BR413" s="4">
        <f t="shared" si="234"/>
        <v>4</v>
      </c>
      <c r="BS413" s="4">
        <f t="shared" si="235"/>
        <v>4</v>
      </c>
      <c r="BT413" s="4">
        <f t="shared" si="236"/>
        <v>4</v>
      </c>
      <c r="BU413" s="4">
        <f t="shared" si="237"/>
        <v>4</v>
      </c>
      <c r="BV413" s="4" t="str">
        <f t="shared" si="238"/>
        <v>0</v>
      </c>
      <c r="BW413" s="4">
        <f t="shared" si="239"/>
        <v>6</v>
      </c>
      <c r="BX413" s="4">
        <f t="shared" si="240"/>
        <v>0</v>
      </c>
      <c r="BY413" s="4">
        <f t="shared" si="241"/>
        <v>0</v>
      </c>
      <c r="BZ413" s="37">
        <f t="shared" si="242"/>
        <v>92</v>
      </c>
      <c r="CA413" s="32" t="str">
        <f>VLOOKUP(J:J,'Agent wise'!A:C,3,0)</f>
        <v>Amal</v>
      </c>
      <c r="CB413" s="32">
        <f t="shared" si="243"/>
        <v>45936</v>
      </c>
      <c r="CC413" t="str">
        <f t="shared" si="244"/>
        <v>Good</v>
      </c>
      <c r="CE413" s="32"/>
      <c r="CJ413">
        <f t="shared" si="245"/>
        <v>6</v>
      </c>
      <c r="CK413">
        <f t="shared" si="246"/>
        <v>10</v>
      </c>
      <c r="CL413">
        <f t="shared" si="247"/>
        <v>2025</v>
      </c>
    </row>
    <row r="414" spans="1:90" ht="15" customHeight="1" x14ac:dyDescent="0.35">
      <c r="A414" s="40">
        <v>45848.680428240739</v>
      </c>
      <c r="B414" t="s">
        <v>100</v>
      </c>
      <c r="C414" t="s">
        <v>214</v>
      </c>
      <c r="D414" t="s">
        <v>101</v>
      </c>
      <c r="E414" s="32">
        <v>45937</v>
      </c>
      <c r="F414" t="s">
        <v>90</v>
      </c>
      <c r="G414" s="2">
        <v>45757</v>
      </c>
      <c r="H414">
        <v>8300070704</v>
      </c>
      <c r="I414">
        <v>147</v>
      </c>
      <c r="J414" t="s">
        <v>108</v>
      </c>
      <c r="K414" t="s">
        <v>71</v>
      </c>
      <c r="L414" t="s">
        <v>72</v>
      </c>
      <c r="M414" t="s">
        <v>59</v>
      </c>
      <c r="N414" t="s">
        <v>59</v>
      </c>
      <c r="O414" t="s">
        <v>59</v>
      </c>
      <c r="P414" t="s">
        <v>59</v>
      </c>
      <c r="Q414" t="s">
        <v>59</v>
      </c>
      <c r="R414" t="s">
        <v>60</v>
      </c>
      <c r="S414" t="s">
        <v>59</v>
      </c>
      <c r="T414" t="s">
        <v>59</v>
      </c>
      <c r="U414" t="s">
        <v>59</v>
      </c>
      <c r="V414" t="s">
        <v>59</v>
      </c>
      <c r="W414" t="s">
        <v>59</v>
      </c>
      <c r="X414" t="s">
        <v>59</v>
      </c>
      <c r="Y414" t="s">
        <v>59</v>
      </c>
      <c r="Z414" t="s">
        <v>59</v>
      </c>
      <c r="AA414" t="s">
        <v>59</v>
      </c>
      <c r="AB414" t="s">
        <v>60</v>
      </c>
      <c r="AC414" t="s">
        <v>59</v>
      </c>
      <c r="AD414" t="s">
        <v>59</v>
      </c>
      <c r="AE414" t="s">
        <v>59</v>
      </c>
      <c r="AF414" t="s">
        <v>59</v>
      </c>
      <c r="AG414" t="s">
        <v>59</v>
      </c>
      <c r="AH414" t="s">
        <v>59</v>
      </c>
      <c r="AI414" t="s">
        <v>61</v>
      </c>
      <c r="AJ414" t="s">
        <v>59</v>
      </c>
      <c r="AK414" t="s">
        <v>59</v>
      </c>
      <c r="AL414" t="s">
        <v>59</v>
      </c>
      <c r="AM414" t="s">
        <v>59</v>
      </c>
      <c r="AN414" t="s">
        <v>59</v>
      </c>
      <c r="AO414" t="s">
        <v>59</v>
      </c>
      <c r="AP414" t="s">
        <v>1039</v>
      </c>
      <c r="AQ414" t="s">
        <v>1047</v>
      </c>
      <c r="AR414" t="s">
        <v>64</v>
      </c>
      <c r="AS414" t="s">
        <v>94</v>
      </c>
      <c r="AT414" t="s">
        <v>95</v>
      </c>
      <c r="AU414" t="s">
        <v>299</v>
      </c>
      <c r="AW414" s="4">
        <f t="shared" si="213"/>
        <v>6</v>
      </c>
      <c r="AX414" s="4">
        <f t="shared" si="214"/>
        <v>4</v>
      </c>
      <c r="AY414" s="4">
        <f t="shared" si="215"/>
        <v>4</v>
      </c>
      <c r="AZ414" s="4">
        <f t="shared" si="216"/>
        <v>2</v>
      </c>
      <c r="BA414" s="4">
        <f t="shared" si="217"/>
        <v>4</v>
      </c>
      <c r="BB414" s="4" t="str">
        <f t="shared" si="218"/>
        <v>0</v>
      </c>
      <c r="BC414" s="4">
        <f t="shared" si="219"/>
        <v>4</v>
      </c>
      <c r="BD414" s="4">
        <f t="shared" si="220"/>
        <v>2</v>
      </c>
      <c r="BE414" s="4">
        <f t="shared" si="221"/>
        <v>4</v>
      </c>
      <c r="BF414" s="4">
        <f t="shared" si="222"/>
        <v>2</v>
      </c>
      <c r="BG414" s="4">
        <f t="shared" si="223"/>
        <v>4</v>
      </c>
      <c r="BH414" s="4">
        <f t="shared" si="224"/>
        <v>4</v>
      </c>
      <c r="BI414" s="4">
        <f t="shared" si="225"/>
        <v>4</v>
      </c>
      <c r="BJ414" s="4">
        <f t="shared" si="226"/>
        <v>2</v>
      </c>
      <c r="BK414" s="4">
        <f t="shared" si="227"/>
        <v>4</v>
      </c>
      <c r="BL414" s="4" t="str">
        <f t="shared" si="228"/>
        <v>0</v>
      </c>
      <c r="BM414" s="4">
        <f t="shared" si="229"/>
        <v>4</v>
      </c>
      <c r="BN414" s="4">
        <f t="shared" si="230"/>
        <v>4</v>
      </c>
      <c r="BO414" s="4">
        <f t="shared" si="231"/>
        <v>4</v>
      </c>
      <c r="BP414" s="4">
        <f t="shared" si="232"/>
        <v>4</v>
      </c>
      <c r="BQ414" s="4">
        <f t="shared" si="233"/>
        <v>6</v>
      </c>
      <c r="BR414" s="4">
        <f t="shared" si="234"/>
        <v>4</v>
      </c>
      <c r="BS414" s="4">
        <f t="shared" si="235"/>
        <v>4</v>
      </c>
      <c r="BT414" s="4">
        <f t="shared" si="236"/>
        <v>4</v>
      </c>
      <c r="BU414" s="4">
        <f t="shared" si="237"/>
        <v>4</v>
      </c>
      <c r="BV414" s="4">
        <f t="shared" si="238"/>
        <v>0</v>
      </c>
      <c r="BW414" s="4">
        <f t="shared" si="239"/>
        <v>6</v>
      </c>
      <c r="BX414" s="4">
        <f t="shared" si="240"/>
        <v>0</v>
      </c>
      <c r="BY414" s="4">
        <f t="shared" si="241"/>
        <v>0</v>
      </c>
      <c r="BZ414" s="37">
        <f t="shared" si="242"/>
        <v>94</v>
      </c>
      <c r="CA414" s="32" t="str">
        <f>VLOOKUP(J:J,'Agent wise'!A:C,3,0)</f>
        <v xml:space="preserve">Shiny </v>
      </c>
      <c r="CB414" s="32">
        <f t="shared" si="243"/>
        <v>45937</v>
      </c>
      <c r="CC414" t="str">
        <f t="shared" si="244"/>
        <v>Good</v>
      </c>
      <c r="CE414" s="32"/>
      <c r="CJ414">
        <f t="shared" si="245"/>
        <v>7</v>
      </c>
      <c r="CK414">
        <f t="shared" si="246"/>
        <v>10</v>
      </c>
      <c r="CL414">
        <f t="shared" si="247"/>
        <v>2025</v>
      </c>
    </row>
    <row r="415" spans="1:90" ht="15" customHeight="1" x14ac:dyDescent="0.35">
      <c r="A415" s="40">
        <v>45848.688171296293</v>
      </c>
      <c r="B415" t="s">
        <v>1048</v>
      </c>
      <c r="C415" t="s">
        <v>214</v>
      </c>
      <c r="D415" t="s">
        <v>101</v>
      </c>
      <c r="E415" s="32">
        <v>45937</v>
      </c>
      <c r="F415" t="s">
        <v>90</v>
      </c>
      <c r="G415" s="2">
        <v>45726</v>
      </c>
      <c r="H415">
        <v>9940338924</v>
      </c>
      <c r="I415">
        <v>138</v>
      </c>
      <c r="J415" t="s">
        <v>124</v>
      </c>
      <c r="K415" t="s">
        <v>71</v>
      </c>
      <c r="L415" t="s">
        <v>72</v>
      </c>
      <c r="M415" t="s">
        <v>59</v>
      </c>
      <c r="N415" t="s">
        <v>59</v>
      </c>
      <c r="O415" t="s">
        <v>59</v>
      </c>
      <c r="P415" t="s">
        <v>59</v>
      </c>
      <c r="Q415" t="s">
        <v>59</v>
      </c>
      <c r="R415" t="s">
        <v>60</v>
      </c>
      <c r="S415" t="s">
        <v>59</v>
      </c>
      <c r="T415" t="s">
        <v>59</v>
      </c>
      <c r="U415" t="s">
        <v>59</v>
      </c>
      <c r="V415" t="s">
        <v>59</v>
      </c>
      <c r="W415" t="s">
        <v>59</v>
      </c>
      <c r="X415" t="s">
        <v>59</v>
      </c>
      <c r="Y415" t="s">
        <v>59</v>
      </c>
      <c r="Z415" t="s">
        <v>59</v>
      </c>
      <c r="AA415" t="s">
        <v>59</v>
      </c>
      <c r="AB415" t="s">
        <v>60</v>
      </c>
      <c r="AC415" t="s">
        <v>59</v>
      </c>
      <c r="AD415" t="s">
        <v>59</v>
      </c>
      <c r="AE415" t="s">
        <v>59</v>
      </c>
      <c r="AF415" t="s">
        <v>59</v>
      </c>
      <c r="AG415" t="s">
        <v>59</v>
      </c>
      <c r="AH415" t="s">
        <v>59</v>
      </c>
      <c r="AI415" t="s">
        <v>61</v>
      </c>
      <c r="AJ415" t="s">
        <v>59</v>
      </c>
      <c r="AK415" t="s">
        <v>59</v>
      </c>
      <c r="AL415" t="s">
        <v>59</v>
      </c>
      <c r="AM415" t="s">
        <v>59</v>
      </c>
      <c r="AN415" t="s">
        <v>59</v>
      </c>
      <c r="AO415" t="s">
        <v>60</v>
      </c>
      <c r="AP415" t="s">
        <v>1049</v>
      </c>
      <c r="AQ415" t="s">
        <v>1047</v>
      </c>
      <c r="AR415" t="s">
        <v>64</v>
      </c>
      <c r="AS415" t="s">
        <v>94</v>
      </c>
      <c r="AT415" t="s">
        <v>95</v>
      </c>
      <c r="AU415" t="s">
        <v>299</v>
      </c>
      <c r="AW415" s="4">
        <f t="shared" si="213"/>
        <v>6</v>
      </c>
      <c r="AX415" s="4">
        <f t="shared" si="214"/>
        <v>4</v>
      </c>
      <c r="AY415" s="4">
        <f t="shared" si="215"/>
        <v>4</v>
      </c>
      <c r="AZ415" s="4">
        <f t="shared" si="216"/>
        <v>2</v>
      </c>
      <c r="BA415" s="4">
        <f t="shared" si="217"/>
        <v>4</v>
      </c>
      <c r="BB415" s="4" t="str">
        <f t="shared" si="218"/>
        <v>0</v>
      </c>
      <c r="BC415" s="4">
        <f t="shared" si="219"/>
        <v>4</v>
      </c>
      <c r="BD415" s="4">
        <f t="shared" si="220"/>
        <v>2</v>
      </c>
      <c r="BE415" s="4">
        <f t="shared" si="221"/>
        <v>4</v>
      </c>
      <c r="BF415" s="4">
        <f t="shared" si="222"/>
        <v>2</v>
      </c>
      <c r="BG415" s="4">
        <f t="shared" si="223"/>
        <v>4</v>
      </c>
      <c r="BH415" s="4">
        <f t="shared" si="224"/>
        <v>4</v>
      </c>
      <c r="BI415" s="4">
        <f t="shared" si="225"/>
        <v>4</v>
      </c>
      <c r="BJ415" s="4">
        <f t="shared" si="226"/>
        <v>2</v>
      </c>
      <c r="BK415" s="4">
        <f t="shared" si="227"/>
        <v>4</v>
      </c>
      <c r="BL415" s="4" t="str">
        <f t="shared" si="228"/>
        <v>0</v>
      </c>
      <c r="BM415" s="4">
        <f t="shared" si="229"/>
        <v>4</v>
      </c>
      <c r="BN415" s="4">
        <f t="shared" si="230"/>
        <v>4</v>
      </c>
      <c r="BO415" s="4">
        <f t="shared" si="231"/>
        <v>4</v>
      </c>
      <c r="BP415" s="4">
        <f t="shared" si="232"/>
        <v>4</v>
      </c>
      <c r="BQ415" s="4">
        <f t="shared" si="233"/>
        <v>6</v>
      </c>
      <c r="BR415" s="4">
        <f t="shared" si="234"/>
        <v>4</v>
      </c>
      <c r="BS415" s="4">
        <f t="shared" si="235"/>
        <v>4</v>
      </c>
      <c r="BT415" s="4">
        <f t="shared" si="236"/>
        <v>4</v>
      </c>
      <c r="BU415" s="4">
        <f t="shared" si="237"/>
        <v>4</v>
      </c>
      <c r="BV415" s="4">
        <f t="shared" si="238"/>
        <v>0</v>
      </c>
      <c r="BW415" s="4">
        <f t="shared" si="239"/>
        <v>6</v>
      </c>
      <c r="BX415" s="4">
        <f t="shared" si="240"/>
        <v>0</v>
      </c>
      <c r="BY415" s="4" t="str">
        <f t="shared" si="241"/>
        <v>0</v>
      </c>
      <c r="BZ415" s="37">
        <f t="shared" si="242"/>
        <v>94</v>
      </c>
      <c r="CA415" s="32" t="str">
        <f>VLOOKUP(J:J,'Agent wise'!A:C,3,0)</f>
        <v>Saran S</v>
      </c>
      <c r="CB415" s="32">
        <f t="shared" si="243"/>
        <v>45937</v>
      </c>
      <c r="CC415" t="str">
        <f t="shared" si="244"/>
        <v>Good</v>
      </c>
      <c r="CE415" s="32"/>
      <c r="CJ415">
        <f t="shared" si="245"/>
        <v>7</v>
      </c>
      <c r="CK415">
        <f t="shared" si="246"/>
        <v>10</v>
      </c>
      <c r="CL415">
        <f t="shared" si="247"/>
        <v>2025</v>
      </c>
    </row>
    <row r="416" spans="1:90" ht="15" customHeight="1" x14ac:dyDescent="0.35">
      <c r="A416" s="40">
        <v>45848.700150462973</v>
      </c>
      <c r="B416" t="s">
        <v>100</v>
      </c>
      <c r="C416" t="s">
        <v>214</v>
      </c>
      <c r="D416" t="s">
        <v>101</v>
      </c>
      <c r="E416" s="32">
        <v>45937</v>
      </c>
      <c r="F416" t="s">
        <v>90</v>
      </c>
      <c r="G416" s="2">
        <v>45726</v>
      </c>
      <c r="H416">
        <v>9489263799</v>
      </c>
      <c r="I416">
        <v>155</v>
      </c>
      <c r="J416" t="s">
        <v>124</v>
      </c>
      <c r="K416" t="s">
        <v>71</v>
      </c>
      <c r="L416" t="s">
        <v>72</v>
      </c>
      <c r="M416" t="s">
        <v>59</v>
      </c>
      <c r="N416" t="s">
        <v>59</v>
      </c>
      <c r="O416" t="s">
        <v>59</v>
      </c>
      <c r="P416" t="s">
        <v>59</v>
      </c>
      <c r="Q416" t="s">
        <v>59</v>
      </c>
      <c r="R416" t="s">
        <v>60</v>
      </c>
      <c r="S416" t="s">
        <v>59</v>
      </c>
      <c r="T416" t="s">
        <v>59</v>
      </c>
      <c r="U416" t="s">
        <v>59</v>
      </c>
      <c r="V416" t="s">
        <v>59</v>
      </c>
      <c r="W416" t="s">
        <v>59</v>
      </c>
      <c r="X416" t="s">
        <v>59</v>
      </c>
      <c r="Y416" t="s">
        <v>59</v>
      </c>
      <c r="Z416" t="s">
        <v>59</v>
      </c>
      <c r="AA416" t="s">
        <v>60</v>
      </c>
      <c r="AB416" t="s">
        <v>60</v>
      </c>
      <c r="AC416" t="s">
        <v>59</v>
      </c>
      <c r="AD416" t="s">
        <v>59</v>
      </c>
      <c r="AE416" t="s">
        <v>59</v>
      </c>
      <c r="AF416" t="s">
        <v>59</v>
      </c>
      <c r="AG416" t="s">
        <v>59</v>
      </c>
      <c r="AH416" t="s">
        <v>59</v>
      </c>
      <c r="AI416" t="s">
        <v>61</v>
      </c>
      <c r="AJ416" t="s">
        <v>59</v>
      </c>
      <c r="AK416" t="s">
        <v>59</v>
      </c>
      <c r="AL416" t="s">
        <v>59</v>
      </c>
      <c r="AM416" t="s">
        <v>59</v>
      </c>
      <c r="AN416" t="s">
        <v>59</v>
      </c>
      <c r="AO416" t="s">
        <v>59</v>
      </c>
      <c r="AP416" s="1" t="s">
        <v>1050</v>
      </c>
      <c r="AQ416" t="s">
        <v>1047</v>
      </c>
      <c r="AR416" t="s">
        <v>64</v>
      </c>
      <c r="AS416" t="s">
        <v>94</v>
      </c>
      <c r="AT416" t="s">
        <v>95</v>
      </c>
      <c r="AU416" t="s">
        <v>299</v>
      </c>
      <c r="AW416" s="4">
        <f t="shared" si="213"/>
        <v>6</v>
      </c>
      <c r="AX416" s="4">
        <f t="shared" si="214"/>
        <v>4</v>
      </c>
      <c r="AY416" s="4">
        <f t="shared" si="215"/>
        <v>4</v>
      </c>
      <c r="AZ416" s="4">
        <f t="shared" si="216"/>
        <v>2</v>
      </c>
      <c r="BA416" s="4">
        <f t="shared" si="217"/>
        <v>4</v>
      </c>
      <c r="BB416" s="4" t="str">
        <f t="shared" si="218"/>
        <v>0</v>
      </c>
      <c r="BC416" s="4">
        <f t="shared" si="219"/>
        <v>4</v>
      </c>
      <c r="BD416" s="4">
        <f t="shared" si="220"/>
        <v>2</v>
      </c>
      <c r="BE416" s="4">
        <f t="shared" si="221"/>
        <v>4</v>
      </c>
      <c r="BF416" s="4">
        <f t="shared" si="222"/>
        <v>2</v>
      </c>
      <c r="BG416" s="4">
        <f t="shared" si="223"/>
        <v>4</v>
      </c>
      <c r="BH416" s="4">
        <f t="shared" si="224"/>
        <v>4</v>
      </c>
      <c r="BI416" s="4">
        <f t="shared" si="225"/>
        <v>4</v>
      </c>
      <c r="BJ416" s="4">
        <f t="shared" si="226"/>
        <v>2</v>
      </c>
      <c r="BK416" s="4" t="str">
        <f t="shared" si="227"/>
        <v>0</v>
      </c>
      <c r="BL416" s="4" t="str">
        <f t="shared" si="228"/>
        <v>0</v>
      </c>
      <c r="BM416" s="4">
        <f t="shared" si="229"/>
        <v>4</v>
      </c>
      <c r="BN416" s="4">
        <f t="shared" si="230"/>
        <v>4</v>
      </c>
      <c r="BO416" s="4">
        <f t="shared" si="231"/>
        <v>4</v>
      </c>
      <c r="BP416" s="4">
        <f t="shared" si="232"/>
        <v>4</v>
      </c>
      <c r="BQ416" s="4">
        <f t="shared" si="233"/>
        <v>6</v>
      </c>
      <c r="BR416" s="4">
        <f t="shared" si="234"/>
        <v>4</v>
      </c>
      <c r="BS416" s="4">
        <f t="shared" si="235"/>
        <v>4</v>
      </c>
      <c r="BT416" s="4">
        <f t="shared" si="236"/>
        <v>4</v>
      </c>
      <c r="BU416" s="4">
        <f t="shared" si="237"/>
        <v>4</v>
      </c>
      <c r="BV416" s="4">
        <f t="shared" si="238"/>
        <v>0</v>
      </c>
      <c r="BW416" s="4">
        <f t="shared" si="239"/>
        <v>6</v>
      </c>
      <c r="BX416" s="4">
        <f t="shared" si="240"/>
        <v>0</v>
      </c>
      <c r="BY416" s="4">
        <f t="shared" si="241"/>
        <v>0</v>
      </c>
      <c r="BZ416" s="37">
        <f t="shared" si="242"/>
        <v>90</v>
      </c>
      <c r="CA416" s="32" t="str">
        <f>VLOOKUP(J:J,'Agent wise'!A:C,3,0)</f>
        <v>Saran S</v>
      </c>
      <c r="CB416" s="32">
        <f t="shared" si="243"/>
        <v>45937</v>
      </c>
      <c r="CC416" t="str">
        <f t="shared" si="244"/>
        <v>Good</v>
      </c>
      <c r="CE416" s="32"/>
      <c r="CJ416">
        <f t="shared" si="245"/>
        <v>7</v>
      </c>
      <c r="CK416">
        <f t="shared" si="246"/>
        <v>10</v>
      </c>
      <c r="CL416">
        <f t="shared" si="247"/>
        <v>2025</v>
      </c>
    </row>
    <row r="417" spans="1:90" ht="15" customHeight="1" x14ac:dyDescent="0.35">
      <c r="A417" s="40">
        <v>45848.727372685193</v>
      </c>
      <c r="B417" t="s">
        <v>100</v>
      </c>
      <c r="C417" t="s">
        <v>214</v>
      </c>
      <c r="D417" t="s">
        <v>101</v>
      </c>
      <c r="E417" s="32">
        <v>45937</v>
      </c>
      <c r="F417" t="s">
        <v>222</v>
      </c>
      <c r="G417" s="2">
        <v>45818</v>
      </c>
      <c r="H417">
        <v>9043429105</v>
      </c>
      <c r="I417">
        <v>143</v>
      </c>
      <c r="J417" t="s">
        <v>80</v>
      </c>
      <c r="K417" t="s">
        <v>57</v>
      </c>
      <c r="L417" t="s">
        <v>58</v>
      </c>
      <c r="M417" t="s">
        <v>59</v>
      </c>
      <c r="N417" t="s">
        <v>59</v>
      </c>
      <c r="O417" t="s">
        <v>59</v>
      </c>
      <c r="P417" t="s">
        <v>59</v>
      </c>
      <c r="Q417" t="s">
        <v>59</v>
      </c>
      <c r="R417" t="s">
        <v>59</v>
      </c>
      <c r="S417" t="s">
        <v>59</v>
      </c>
      <c r="T417" t="s">
        <v>59</v>
      </c>
      <c r="U417" t="s">
        <v>59</v>
      </c>
      <c r="V417" t="s">
        <v>59</v>
      </c>
      <c r="W417" t="s">
        <v>59</v>
      </c>
      <c r="X417" t="s">
        <v>59</v>
      </c>
      <c r="Y417" t="s">
        <v>59</v>
      </c>
      <c r="Z417" t="s">
        <v>59</v>
      </c>
      <c r="AA417" t="s">
        <v>59</v>
      </c>
      <c r="AB417" t="s">
        <v>59</v>
      </c>
      <c r="AC417" t="s">
        <v>59</v>
      </c>
      <c r="AD417" t="s">
        <v>59</v>
      </c>
      <c r="AE417" t="s">
        <v>59</v>
      </c>
      <c r="AF417" t="s">
        <v>59</v>
      </c>
      <c r="AG417" t="s">
        <v>59</v>
      </c>
      <c r="AH417" t="s">
        <v>59</v>
      </c>
      <c r="AI417" t="s">
        <v>60</v>
      </c>
      <c r="AJ417" t="s">
        <v>59</v>
      </c>
      <c r="AK417" t="s">
        <v>59</v>
      </c>
      <c r="AL417" t="s">
        <v>59</v>
      </c>
      <c r="AM417" t="s">
        <v>59</v>
      </c>
      <c r="AN417" t="s">
        <v>59</v>
      </c>
      <c r="AO417" t="s">
        <v>59</v>
      </c>
      <c r="AP417" t="s">
        <v>1051</v>
      </c>
      <c r="AQ417" t="s">
        <v>1052</v>
      </c>
      <c r="AR417" t="s">
        <v>226</v>
      </c>
      <c r="AS417" t="s">
        <v>352</v>
      </c>
      <c r="AT417" t="s">
        <v>352</v>
      </c>
      <c r="AU417" t="s">
        <v>219</v>
      </c>
      <c r="AW417" s="4">
        <f t="shared" si="213"/>
        <v>6</v>
      </c>
      <c r="AX417" s="4">
        <f t="shared" si="214"/>
        <v>4</v>
      </c>
      <c r="AY417" s="4">
        <f t="shared" si="215"/>
        <v>4</v>
      </c>
      <c r="AZ417" s="4">
        <f t="shared" si="216"/>
        <v>2</v>
      </c>
      <c r="BA417" s="4">
        <f t="shared" si="217"/>
        <v>4</v>
      </c>
      <c r="BB417" s="4">
        <f t="shared" si="218"/>
        <v>4</v>
      </c>
      <c r="BC417" s="4">
        <f t="shared" si="219"/>
        <v>4</v>
      </c>
      <c r="BD417" s="4">
        <f t="shared" si="220"/>
        <v>2</v>
      </c>
      <c r="BE417" s="4">
        <f t="shared" si="221"/>
        <v>4</v>
      </c>
      <c r="BF417" s="4">
        <f t="shared" si="222"/>
        <v>2</v>
      </c>
      <c r="BG417" s="4">
        <f t="shared" si="223"/>
        <v>4</v>
      </c>
      <c r="BH417" s="4">
        <f t="shared" si="224"/>
        <v>4</v>
      </c>
      <c r="BI417" s="4">
        <f t="shared" si="225"/>
        <v>4</v>
      </c>
      <c r="BJ417" s="4">
        <f t="shared" si="226"/>
        <v>2</v>
      </c>
      <c r="BK417" s="4">
        <f t="shared" si="227"/>
        <v>4</v>
      </c>
      <c r="BL417" s="4">
        <f t="shared" si="228"/>
        <v>2</v>
      </c>
      <c r="BM417" s="4">
        <f t="shared" si="229"/>
        <v>4</v>
      </c>
      <c r="BN417" s="4">
        <f t="shared" si="230"/>
        <v>4</v>
      </c>
      <c r="BO417" s="4">
        <f t="shared" si="231"/>
        <v>4</v>
      </c>
      <c r="BP417" s="4">
        <f t="shared" si="232"/>
        <v>4</v>
      </c>
      <c r="BQ417" s="4">
        <f t="shared" si="233"/>
        <v>6</v>
      </c>
      <c r="BR417" s="4">
        <f t="shared" si="234"/>
        <v>4</v>
      </c>
      <c r="BS417" s="4" t="str">
        <f t="shared" si="235"/>
        <v>0</v>
      </c>
      <c r="BT417" s="4">
        <f t="shared" si="236"/>
        <v>4</v>
      </c>
      <c r="BU417" s="4">
        <f t="shared" si="237"/>
        <v>4</v>
      </c>
      <c r="BV417" s="4">
        <f t="shared" si="238"/>
        <v>0</v>
      </c>
      <c r="BW417" s="4">
        <f t="shared" si="239"/>
        <v>6</v>
      </c>
      <c r="BX417" s="4">
        <f t="shared" si="240"/>
        <v>0</v>
      </c>
      <c r="BY417" s="4">
        <f t="shared" si="241"/>
        <v>0</v>
      </c>
      <c r="BZ417" s="37">
        <f t="shared" si="242"/>
        <v>96</v>
      </c>
      <c r="CA417" s="32" t="str">
        <f>VLOOKUP(J:J,'Agent wise'!A:C,3,0)</f>
        <v>Saran S</v>
      </c>
      <c r="CB417" s="32">
        <f t="shared" si="243"/>
        <v>45937</v>
      </c>
      <c r="CC417" t="str">
        <f t="shared" si="244"/>
        <v>Excellent</v>
      </c>
      <c r="CE417" s="32"/>
      <c r="CJ417">
        <f t="shared" si="245"/>
        <v>7</v>
      </c>
      <c r="CK417">
        <f t="shared" si="246"/>
        <v>10</v>
      </c>
      <c r="CL417">
        <f t="shared" si="247"/>
        <v>2025</v>
      </c>
    </row>
    <row r="418" spans="1:90" ht="15" customHeight="1" x14ac:dyDescent="0.35">
      <c r="A418" s="40">
        <v>45848.730486111112</v>
      </c>
      <c r="B418" t="s">
        <v>100</v>
      </c>
      <c r="C418" t="s">
        <v>214</v>
      </c>
      <c r="D418" t="s">
        <v>101</v>
      </c>
      <c r="E418" s="32">
        <v>45937</v>
      </c>
      <c r="F418" t="s">
        <v>222</v>
      </c>
      <c r="G418" s="2">
        <v>45818</v>
      </c>
      <c r="H418">
        <v>9400238899</v>
      </c>
      <c r="I418">
        <v>135</v>
      </c>
      <c r="J418" t="s">
        <v>1053</v>
      </c>
      <c r="K418" t="s">
        <v>86</v>
      </c>
      <c r="L418" t="s">
        <v>58</v>
      </c>
      <c r="M418" t="s">
        <v>59</v>
      </c>
      <c r="N418" t="s">
        <v>59</v>
      </c>
      <c r="O418" t="s">
        <v>59</v>
      </c>
      <c r="P418" t="s">
        <v>59</v>
      </c>
      <c r="Q418" t="s">
        <v>59</v>
      </c>
      <c r="R418" t="s">
        <v>60</v>
      </c>
      <c r="S418" t="s">
        <v>59</v>
      </c>
      <c r="T418" t="s">
        <v>59</v>
      </c>
      <c r="U418" t="s">
        <v>59</v>
      </c>
      <c r="V418" t="s">
        <v>59</v>
      </c>
      <c r="W418" t="s">
        <v>59</v>
      </c>
      <c r="X418" t="s">
        <v>59</v>
      </c>
      <c r="Y418" t="s">
        <v>59</v>
      </c>
      <c r="Z418" t="s">
        <v>59</v>
      </c>
      <c r="AA418" t="s">
        <v>60</v>
      </c>
      <c r="AB418" t="s">
        <v>59</v>
      </c>
      <c r="AC418" t="s">
        <v>59</v>
      </c>
      <c r="AD418" t="s">
        <v>59</v>
      </c>
      <c r="AE418" t="s">
        <v>59</v>
      </c>
      <c r="AF418" t="s">
        <v>59</v>
      </c>
      <c r="AG418" t="s">
        <v>59</v>
      </c>
      <c r="AH418" t="s">
        <v>59</v>
      </c>
      <c r="AI418" t="s">
        <v>60</v>
      </c>
      <c r="AJ418" t="s">
        <v>59</v>
      </c>
      <c r="AK418" t="s">
        <v>59</v>
      </c>
      <c r="AL418" t="s">
        <v>59</v>
      </c>
      <c r="AM418" t="s">
        <v>59</v>
      </c>
      <c r="AN418" t="s">
        <v>59</v>
      </c>
      <c r="AO418" t="s">
        <v>59</v>
      </c>
      <c r="AP418" t="s">
        <v>1054</v>
      </c>
      <c r="AQ418" t="s">
        <v>1055</v>
      </c>
      <c r="AR418" t="s">
        <v>226</v>
      </c>
      <c r="AS418" t="s">
        <v>375</v>
      </c>
      <c r="AT418" t="s">
        <v>375</v>
      </c>
      <c r="AU418" t="s">
        <v>299</v>
      </c>
      <c r="AW418" s="4">
        <f t="shared" si="213"/>
        <v>6</v>
      </c>
      <c r="AX418" s="4">
        <f t="shared" si="214"/>
        <v>4</v>
      </c>
      <c r="AY418" s="4">
        <f t="shared" si="215"/>
        <v>4</v>
      </c>
      <c r="AZ418" s="4">
        <f t="shared" si="216"/>
        <v>2</v>
      </c>
      <c r="BA418" s="4">
        <f t="shared" si="217"/>
        <v>4</v>
      </c>
      <c r="BB418" s="4" t="str">
        <f t="shared" si="218"/>
        <v>0</v>
      </c>
      <c r="BC418" s="4">
        <f t="shared" si="219"/>
        <v>4</v>
      </c>
      <c r="BD418" s="4">
        <f t="shared" si="220"/>
        <v>2</v>
      </c>
      <c r="BE418" s="4">
        <f t="shared" si="221"/>
        <v>4</v>
      </c>
      <c r="BF418" s="4">
        <f t="shared" si="222"/>
        <v>2</v>
      </c>
      <c r="BG418" s="4">
        <f t="shared" si="223"/>
        <v>4</v>
      </c>
      <c r="BH418" s="4">
        <f t="shared" si="224"/>
        <v>4</v>
      </c>
      <c r="BI418" s="4">
        <f t="shared" si="225"/>
        <v>4</v>
      </c>
      <c r="BJ418" s="4">
        <f t="shared" si="226"/>
        <v>2</v>
      </c>
      <c r="BK418" s="4" t="str">
        <f t="shared" si="227"/>
        <v>0</v>
      </c>
      <c r="BL418" s="4">
        <f t="shared" si="228"/>
        <v>2</v>
      </c>
      <c r="BM418" s="4">
        <f t="shared" si="229"/>
        <v>4</v>
      </c>
      <c r="BN418" s="4">
        <f t="shared" si="230"/>
        <v>4</v>
      </c>
      <c r="BO418" s="4">
        <f t="shared" si="231"/>
        <v>4</v>
      </c>
      <c r="BP418" s="4">
        <f t="shared" si="232"/>
        <v>4</v>
      </c>
      <c r="BQ418" s="4">
        <f t="shared" si="233"/>
        <v>6</v>
      </c>
      <c r="BR418" s="4">
        <f t="shared" si="234"/>
        <v>4</v>
      </c>
      <c r="BS418" s="4" t="str">
        <f t="shared" si="235"/>
        <v>0</v>
      </c>
      <c r="BT418" s="4">
        <f t="shared" si="236"/>
        <v>4</v>
      </c>
      <c r="BU418" s="4">
        <f t="shared" si="237"/>
        <v>4</v>
      </c>
      <c r="BV418" s="4">
        <f t="shared" si="238"/>
        <v>0</v>
      </c>
      <c r="BW418" s="4">
        <f t="shared" si="239"/>
        <v>6</v>
      </c>
      <c r="BX418" s="4">
        <f t="shared" si="240"/>
        <v>0</v>
      </c>
      <c r="BY418" s="4">
        <f t="shared" si="241"/>
        <v>0</v>
      </c>
      <c r="BZ418" s="37">
        <f t="shared" si="242"/>
        <v>88</v>
      </c>
      <c r="CA418" s="32" t="e">
        <f>VLOOKUP(J:J,'Agent wise'!A:C,3,0)</f>
        <v>#N/A</v>
      </c>
      <c r="CB418" s="32">
        <f t="shared" si="243"/>
        <v>45937</v>
      </c>
      <c r="CC418" t="str">
        <f t="shared" si="244"/>
        <v>Average</v>
      </c>
      <c r="CE418" s="32"/>
      <c r="CJ418">
        <f t="shared" si="245"/>
        <v>7</v>
      </c>
      <c r="CK418">
        <f t="shared" si="246"/>
        <v>10</v>
      </c>
      <c r="CL418">
        <f t="shared" si="247"/>
        <v>2025</v>
      </c>
    </row>
    <row r="419" spans="1:90" ht="15" customHeight="1" x14ac:dyDescent="0.35">
      <c r="A419" s="40">
        <v>45848.733749999999</v>
      </c>
      <c r="B419" t="s">
        <v>250</v>
      </c>
      <c r="C419" t="s">
        <v>214</v>
      </c>
      <c r="D419" t="s">
        <v>251</v>
      </c>
      <c r="E419" s="32">
        <v>45937</v>
      </c>
      <c r="F419" t="s">
        <v>222</v>
      </c>
      <c r="G419" s="2">
        <v>45818</v>
      </c>
      <c r="H419">
        <v>9645330339</v>
      </c>
      <c r="I419">
        <v>164</v>
      </c>
      <c r="J419" t="s">
        <v>568</v>
      </c>
      <c r="K419" t="s">
        <v>57</v>
      </c>
      <c r="L419" t="s">
        <v>58</v>
      </c>
      <c r="M419" t="s">
        <v>59</v>
      </c>
      <c r="N419" t="s">
        <v>59</v>
      </c>
      <c r="O419" t="s">
        <v>59</v>
      </c>
      <c r="P419" t="s">
        <v>59</v>
      </c>
      <c r="Q419" t="s">
        <v>59</v>
      </c>
      <c r="R419" t="s">
        <v>59</v>
      </c>
      <c r="S419" t="s">
        <v>59</v>
      </c>
      <c r="T419" t="s">
        <v>59</v>
      </c>
      <c r="U419" t="s">
        <v>60</v>
      </c>
      <c r="V419" t="s">
        <v>59</v>
      </c>
      <c r="W419" t="s">
        <v>59</v>
      </c>
      <c r="X419" t="s">
        <v>59</v>
      </c>
      <c r="Y419" t="s">
        <v>59</v>
      </c>
      <c r="Z419" t="s">
        <v>59</v>
      </c>
      <c r="AA419" t="s">
        <v>60</v>
      </c>
      <c r="AB419" t="s">
        <v>59</v>
      </c>
      <c r="AC419" t="s">
        <v>59</v>
      </c>
      <c r="AD419" t="s">
        <v>59</v>
      </c>
      <c r="AE419" t="s">
        <v>59</v>
      </c>
      <c r="AF419" t="s">
        <v>59</v>
      </c>
      <c r="AG419" t="s">
        <v>59</v>
      </c>
      <c r="AH419" t="s">
        <v>61</v>
      </c>
      <c r="AI419" t="s">
        <v>61</v>
      </c>
      <c r="AJ419" t="s">
        <v>59</v>
      </c>
      <c r="AK419" t="s">
        <v>59</v>
      </c>
      <c r="AL419" t="s">
        <v>59</v>
      </c>
      <c r="AM419" t="s">
        <v>59</v>
      </c>
      <c r="AN419" t="s">
        <v>59</v>
      </c>
      <c r="AO419" t="s">
        <v>59</v>
      </c>
      <c r="AP419" t="s">
        <v>1056</v>
      </c>
      <c r="AQ419" t="s">
        <v>1057</v>
      </c>
      <c r="AR419" t="s">
        <v>226</v>
      </c>
      <c r="AS419" t="s">
        <v>405</v>
      </c>
      <c r="AT419" t="s">
        <v>404</v>
      </c>
      <c r="AU419" t="s">
        <v>219</v>
      </c>
      <c r="AW419" s="4">
        <f t="shared" si="213"/>
        <v>6</v>
      </c>
      <c r="AX419" s="4">
        <f t="shared" si="214"/>
        <v>4</v>
      </c>
      <c r="AY419" s="4">
        <f t="shared" si="215"/>
        <v>4</v>
      </c>
      <c r="AZ419" s="4">
        <f t="shared" si="216"/>
        <v>2</v>
      </c>
      <c r="BA419" s="4">
        <f t="shared" si="217"/>
        <v>4</v>
      </c>
      <c r="BB419" s="4">
        <f t="shared" si="218"/>
        <v>4</v>
      </c>
      <c r="BC419" s="4">
        <f t="shared" si="219"/>
        <v>4</v>
      </c>
      <c r="BD419" s="4">
        <f t="shared" si="220"/>
        <v>2</v>
      </c>
      <c r="BE419" s="4" t="str">
        <f t="shared" si="221"/>
        <v>0</v>
      </c>
      <c r="BF419" s="4">
        <f t="shared" si="222"/>
        <v>2</v>
      </c>
      <c r="BG419" s="4">
        <f t="shared" si="223"/>
        <v>4</v>
      </c>
      <c r="BH419" s="4">
        <f t="shared" si="224"/>
        <v>4</v>
      </c>
      <c r="BI419" s="4">
        <f t="shared" si="225"/>
        <v>4</v>
      </c>
      <c r="BJ419" s="4">
        <f t="shared" si="226"/>
        <v>2</v>
      </c>
      <c r="BK419" s="4" t="str">
        <f t="shared" si="227"/>
        <v>0</v>
      </c>
      <c r="BL419" s="4">
        <f t="shared" si="228"/>
        <v>2</v>
      </c>
      <c r="BM419" s="4">
        <f t="shared" si="229"/>
        <v>4</v>
      </c>
      <c r="BN419" s="4">
        <f t="shared" si="230"/>
        <v>4</v>
      </c>
      <c r="BO419" s="4">
        <f t="shared" si="231"/>
        <v>4</v>
      </c>
      <c r="BP419" s="4">
        <f t="shared" si="232"/>
        <v>4</v>
      </c>
      <c r="BQ419" s="4">
        <f t="shared" si="233"/>
        <v>6</v>
      </c>
      <c r="BR419" s="4">
        <f t="shared" si="234"/>
        <v>4</v>
      </c>
      <c r="BS419" s="4">
        <f t="shared" si="235"/>
        <v>4</v>
      </c>
      <c r="BT419" s="4">
        <f t="shared" si="236"/>
        <v>4</v>
      </c>
      <c r="BU419" s="4">
        <f t="shared" si="237"/>
        <v>4</v>
      </c>
      <c r="BV419" s="4">
        <f t="shared" si="238"/>
        <v>0</v>
      </c>
      <c r="BW419" s="4">
        <f t="shared" si="239"/>
        <v>6</v>
      </c>
      <c r="BX419" s="4">
        <f t="shared" si="240"/>
        <v>0</v>
      </c>
      <c r="BY419" s="4">
        <f t="shared" si="241"/>
        <v>0</v>
      </c>
      <c r="BZ419" s="37">
        <f t="shared" si="242"/>
        <v>92</v>
      </c>
      <c r="CA419" s="32" t="str">
        <f>VLOOKUP(J:J,'Agent wise'!A:C,3,0)</f>
        <v>Amal</v>
      </c>
      <c r="CB419" s="32">
        <f t="shared" si="243"/>
        <v>45937</v>
      </c>
      <c r="CC419" t="str">
        <f t="shared" si="244"/>
        <v>Good</v>
      </c>
      <c r="CE419" s="32"/>
      <c r="CJ419">
        <f t="shared" si="245"/>
        <v>7</v>
      </c>
      <c r="CK419">
        <f t="shared" si="246"/>
        <v>10</v>
      </c>
      <c r="CL419">
        <f t="shared" si="247"/>
        <v>2025</v>
      </c>
    </row>
    <row r="420" spans="1:90" ht="15" customHeight="1" x14ac:dyDescent="0.35">
      <c r="A420" s="40">
        <v>45848.735983796287</v>
      </c>
      <c r="B420" t="s">
        <v>100</v>
      </c>
      <c r="C420" t="s">
        <v>214</v>
      </c>
      <c r="D420" t="s">
        <v>101</v>
      </c>
      <c r="E420" s="32">
        <v>45937</v>
      </c>
      <c r="F420" t="s">
        <v>222</v>
      </c>
      <c r="G420" s="2">
        <v>45818</v>
      </c>
      <c r="H420">
        <v>9444903488</v>
      </c>
      <c r="I420">
        <v>144</v>
      </c>
      <c r="J420" t="s">
        <v>653</v>
      </c>
      <c r="K420" t="s">
        <v>86</v>
      </c>
      <c r="L420" t="s">
        <v>58</v>
      </c>
      <c r="M420" t="s">
        <v>59</v>
      </c>
      <c r="N420" t="s">
        <v>59</v>
      </c>
      <c r="O420" t="s">
        <v>59</v>
      </c>
      <c r="P420" t="s">
        <v>59</v>
      </c>
      <c r="Q420" t="s">
        <v>59</v>
      </c>
      <c r="R420" t="s">
        <v>59</v>
      </c>
      <c r="S420" t="s">
        <v>59</v>
      </c>
      <c r="T420" t="s">
        <v>59</v>
      </c>
      <c r="U420" t="s">
        <v>59</v>
      </c>
      <c r="V420" t="s">
        <v>59</v>
      </c>
      <c r="W420" t="s">
        <v>59</v>
      </c>
      <c r="X420" t="s">
        <v>59</v>
      </c>
      <c r="Y420" t="s">
        <v>59</v>
      </c>
      <c r="Z420" t="s">
        <v>59</v>
      </c>
      <c r="AA420" t="s">
        <v>59</v>
      </c>
      <c r="AB420" t="s">
        <v>60</v>
      </c>
      <c r="AC420" t="s">
        <v>59</v>
      </c>
      <c r="AD420" t="s">
        <v>59</v>
      </c>
      <c r="AE420" t="s">
        <v>59</v>
      </c>
      <c r="AF420" t="s">
        <v>59</v>
      </c>
      <c r="AG420" t="s">
        <v>59</v>
      </c>
      <c r="AH420" t="s">
        <v>59</v>
      </c>
      <c r="AI420" t="s">
        <v>61</v>
      </c>
      <c r="AJ420" t="s">
        <v>59</v>
      </c>
      <c r="AK420" t="s">
        <v>59</v>
      </c>
      <c r="AL420" t="s">
        <v>59</v>
      </c>
      <c r="AM420" t="s">
        <v>59</v>
      </c>
      <c r="AN420" t="s">
        <v>59</v>
      </c>
      <c r="AO420" t="s">
        <v>59</v>
      </c>
      <c r="AP420" t="s">
        <v>1058</v>
      </c>
      <c r="AQ420" t="s">
        <v>1052</v>
      </c>
      <c r="AR420" t="s">
        <v>226</v>
      </c>
      <c r="AS420" t="s">
        <v>352</v>
      </c>
      <c r="AT420" t="s">
        <v>352</v>
      </c>
      <c r="AU420" t="s">
        <v>219</v>
      </c>
      <c r="AW420" s="4">
        <f t="shared" si="213"/>
        <v>6</v>
      </c>
      <c r="AX420" s="4">
        <f t="shared" si="214"/>
        <v>4</v>
      </c>
      <c r="AY420" s="4">
        <f t="shared" si="215"/>
        <v>4</v>
      </c>
      <c r="AZ420" s="4">
        <f t="shared" si="216"/>
        <v>2</v>
      </c>
      <c r="BA420" s="4">
        <f t="shared" si="217"/>
        <v>4</v>
      </c>
      <c r="BB420" s="4">
        <f t="shared" si="218"/>
        <v>4</v>
      </c>
      <c r="BC420" s="4">
        <f t="shared" si="219"/>
        <v>4</v>
      </c>
      <c r="BD420" s="4">
        <f t="shared" si="220"/>
        <v>2</v>
      </c>
      <c r="BE420" s="4">
        <f t="shared" si="221"/>
        <v>4</v>
      </c>
      <c r="BF420" s="4">
        <f t="shared" si="222"/>
        <v>2</v>
      </c>
      <c r="BG420" s="4">
        <f t="shared" si="223"/>
        <v>4</v>
      </c>
      <c r="BH420" s="4">
        <f t="shared" si="224"/>
        <v>4</v>
      </c>
      <c r="BI420" s="4">
        <f t="shared" si="225"/>
        <v>4</v>
      </c>
      <c r="BJ420" s="4">
        <f t="shared" si="226"/>
        <v>2</v>
      </c>
      <c r="BK420" s="4">
        <f t="shared" si="227"/>
        <v>4</v>
      </c>
      <c r="BL420" s="4" t="str">
        <f t="shared" si="228"/>
        <v>0</v>
      </c>
      <c r="BM420" s="4">
        <f t="shared" si="229"/>
        <v>4</v>
      </c>
      <c r="BN420" s="4">
        <f t="shared" si="230"/>
        <v>4</v>
      </c>
      <c r="BO420" s="4">
        <f t="shared" si="231"/>
        <v>4</v>
      </c>
      <c r="BP420" s="4">
        <f t="shared" si="232"/>
        <v>4</v>
      </c>
      <c r="BQ420" s="4">
        <f t="shared" si="233"/>
        <v>6</v>
      </c>
      <c r="BR420" s="4">
        <f t="shared" si="234"/>
        <v>4</v>
      </c>
      <c r="BS420" s="4">
        <f t="shared" si="235"/>
        <v>4</v>
      </c>
      <c r="BT420" s="4">
        <f t="shared" si="236"/>
        <v>4</v>
      </c>
      <c r="BU420" s="4">
        <f t="shared" si="237"/>
        <v>4</v>
      </c>
      <c r="BV420" s="4">
        <f t="shared" si="238"/>
        <v>0</v>
      </c>
      <c r="BW420" s="4">
        <f t="shared" si="239"/>
        <v>6</v>
      </c>
      <c r="BX420" s="4">
        <f t="shared" si="240"/>
        <v>0</v>
      </c>
      <c r="BY420" s="4">
        <f t="shared" si="241"/>
        <v>0</v>
      </c>
      <c r="BZ420" s="37">
        <f t="shared" si="242"/>
        <v>98</v>
      </c>
      <c r="CA420" s="32" t="str">
        <f>VLOOKUP(J:J,'Agent wise'!A:C,3,0)</f>
        <v>Saran S</v>
      </c>
      <c r="CB420" s="32">
        <f t="shared" si="243"/>
        <v>45937</v>
      </c>
      <c r="CC420" t="str">
        <f t="shared" si="244"/>
        <v>Excellent</v>
      </c>
      <c r="CE420" s="32"/>
      <c r="CJ420">
        <f t="shared" si="245"/>
        <v>7</v>
      </c>
      <c r="CK420">
        <f t="shared" si="246"/>
        <v>10</v>
      </c>
      <c r="CL420">
        <f t="shared" si="247"/>
        <v>2025</v>
      </c>
    </row>
    <row r="421" spans="1:90" ht="15" customHeight="1" x14ac:dyDescent="0.35">
      <c r="A421" s="40">
        <v>45848.740636574083</v>
      </c>
      <c r="B421" t="s">
        <v>250</v>
      </c>
      <c r="C421" t="s">
        <v>214</v>
      </c>
      <c r="D421" t="s">
        <v>251</v>
      </c>
      <c r="E421" s="32">
        <v>45937</v>
      </c>
      <c r="F421" t="s">
        <v>222</v>
      </c>
      <c r="G421" s="2">
        <v>45818</v>
      </c>
      <c r="H421">
        <v>9656555987</v>
      </c>
      <c r="I421">
        <v>138</v>
      </c>
      <c r="J421" t="s">
        <v>501</v>
      </c>
      <c r="K421" t="s">
        <v>57</v>
      </c>
      <c r="L421" t="s">
        <v>58</v>
      </c>
      <c r="M421" t="s">
        <v>59</v>
      </c>
      <c r="N421" t="s">
        <v>59</v>
      </c>
      <c r="O421" t="s">
        <v>59</v>
      </c>
      <c r="P421" t="s">
        <v>59</v>
      </c>
      <c r="Q421" t="s">
        <v>59</v>
      </c>
      <c r="R421" t="s">
        <v>59</v>
      </c>
      <c r="S421" t="s">
        <v>59</v>
      </c>
      <c r="T421" t="s">
        <v>59</v>
      </c>
      <c r="U421" t="s">
        <v>60</v>
      </c>
      <c r="V421" t="s">
        <v>59</v>
      </c>
      <c r="W421" t="s">
        <v>59</v>
      </c>
      <c r="X421" t="s">
        <v>59</v>
      </c>
      <c r="Y421" t="s">
        <v>59</v>
      </c>
      <c r="Z421" t="s">
        <v>59</v>
      </c>
      <c r="AA421" t="s">
        <v>59</v>
      </c>
      <c r="AB421" t="s">
        <v>60</v>
      </c>
      <c r="AC421" t="s">
        <v>59</v>
      </c>
      <c r="AD421" t="s">
        <v>59</v>
      </c>
      <c r="AE421" t="s">
        <v>59</v>
      </c>
      <c r="AF421" t="s">
        <v>59</v>
      </c>
      <c r="AG421" t="s">
        <v>59</v>
      </c>
      <c r="AH421" t="s">
        <v>61</v>
      </c>
      <c r="AI421" t="s">
        <v>59</v>
      </c>
      <c r="AJ421" t="s">
        <v>59</v>
      </c>
      <c r="AK421" t="s">
        <v>59</v>
      </c>
      <c r="AL421" t="s">
        <v>60</v>
      </c>
      <c r="AM421" t="s">
        <v>59</v>
      </c>
      <c r="AN421" t="s">
        <v>59</v>
      </c>
      <c r="AO421" t="s">
        <v>59</v>
      </c>
      <c r="AP421" t="s">
        <v>1059</v>
      </c>
      <c r="AQ421" t="s">
        <v>1060</v>
      </c>
      <c r="AR421" t="s">
        <v>64</v>
      </c>
      <c r="AS421" t="s">
        <v>249</v>
      </c>
      <c r="AT421" t="s">
        <v>404</v>
      </c>
      <c r="AU421" t="s">
        <v>219</v>
      </c>
      <c r="AW421" s="4">
        <f t="shared" si="213"/>
        <v>6</v>
      </c>
      <c r="AX421" s="4">
        <f t="shared" si="214"/>
        <v>4</v>
      </c>
      <c r="AY421" s="4">
        <f t="shared" si="215"/>
        <v>4</v>
      </c>
      <c r="AZ421" s="4">
        <f t="shared" si="216"/>
        <v>2</v>
      </c>
      <c r="BA421" s="4">
        <f t="shared" si="217"/>
        <v>4</v>
      </c>
      <c r="BB421" s="4">
        <f t="shared" si="218"/>
        <v>4</v>
      </c>
      <c r="BC421" s="4">
        <f t="shared" si="219"/>
        <v>4</v>
      </c>
      <c r="BD421" s="4">
        <f t="shared" si="220"/>
        <v>2</v>
      </c>
      <c r="BE421" s="4" t="str">
        <f t="shared" si="221"/>
        <v>0</v>
      </c>
      <c r="BF421" s="4">
        <f t="shared" si="222"/>
        <v>2</v>
      </c>
      <c r="BG421" s="4">
        <f t="shared" si="223"/>
        <v>4</v>
      </c>
      <c r="BH421" s="4">
        <f t="shared" si="224"/>
        <v>4</v>
      </c>
      <c r="BI421" s="4">
        <f t="shared" si="225"/>
        <v>4</v>
      </c>
      <c r="BJ421" s="4">
        <f t="shared" si="226"/>
        <v>2</v>
      </c>
      <c r="BK421" s="4">
        <f t="shared" si="227"/>
        <v>4</v>
      </c>
      <c r="BL421" s="4" t="str">
        <f t="shared" si="228"/>
        <v>0</v>
      </c>
      <c r="BM421" s="4">
        <f t="shared" si="229"/>
        <v>4</v>
      </c>
      <c r="BN421" s="4">
        <f t="shared" si="230"/>
        <v>4</v>
      </c>
      <c r="BO421" s="4">
        <f t="shared" si="231"/>
        <v>4</v>
      </c>
      <c r="BP421" s="4">
        <f t="shared" si="232"/>
        <v>4</v>
      </c>
      <c r="BQ421" s="4">
        <f t="shared" si="233"/>
        <v>6</v>
      </c>
      <c r="BR421" s="4">
        <f t="shared" si="234"/>
        <v>4</v>
      </c>
      <c r="BS421" s="4">
        <f t="shared" si="235"/>
        <v>4</v>
      </c>
      <c r="BT421" s="4">
        <f t="shared" si="236"/>
        <v>4</v>
      </c>
      <c r="BU421" s="4">
        <f t="shared" si="237"/>
        <v>4</v>
      </c>
      <c r="BV421" s="4" t="str">
        <f t="shared" si="238"/>
        <v>0</v>
      </c>
      <c r="BW421" s="4">
        <f t="shared" si="239"/>
        <v>6</v>
      </c>
      <c r="BX421" s="4">
        <f t="shared" si="240"/>
        <v>0</v>
      </c>
      <c r="BY421" s="4">
        <f t="shared" si="241"/>
        <v>0</v>
      </c>
      <c r="BZ421" s="37">
        <f t="shared" si="242"/>
        <v>94</v>
      </c>
      <c r="CA421" s="32" t="str">
        <f>VLOOKUP(J:J,'Agent wise'!A:C,3,0)</f>
        <v>Amal</v>
      </c>
      <c r="CB421" s="32">
        <f t="shared" si="243"/>
        <v>45937</v>
      </c>
      <c r="CC421" t="str">
        <f t="shared" si="244"/>
        <v>Good</v>
      </c>
      <c r="CE421" s="32"/>
      <c r="CJ421">
        <f t="shared" si="245"/>
        <v>7</v>
      </c>
      <c r="CK421">
        <f t="shared" si="246"/>
        <v>10</v>
      </c>
      <c r="CL421">
        <f t="shared" si="247"/>
        <v>2025</v>
      </c>
    </row>
    <row r="422" spans="1:90" ht="15" customHeight="1" x14ac:dyDescent="0.35">
      <c r="A422" s="40">
        <v>45848.74114583333</v>
      </c>
      <c r="B422" t="s">
        <v>100</v>
      </c>
      <c r="C422" t="s">
        <v>214</v>
      </c>
      <c r="D422" t="s">
        <v>101</v>
      </c>
      <c r="E422" s="32">
        <v>45937</v>
      </c>
      <c r="F422" t="s">
        <v>222</v>
      </c>
      <c r="G422" s="2">
        <v>45818</v>
      </c>
      <c r="H422">
        <v>7200503811</v>
      </c>
      <c r="I422">
        <v>133</v>
      </c>
      <c r="J422" t="s">
        <v>353</v>
      </c>
      <c r="K422" t="s">
        <v>1061</v>
      </c>
      <c r="L422" t="s">
        <v>72</v>
      </c>
      <c r="M422" t="s">
        <v>59</v>
      </c>
      <c r="N422" t="s">
        <v>59</v>
      </c>
      <c r="O422" t="s">
        <v>59</v>
      </c>
      <c r="P422" t="s">
        <v>59</v>
      </c>
      <c r="Q422" t="s">
        <v>59</v>
      </c>
      <c r="R422" t="s">
        <v>59</v>
      </c>
      <c r="S422" t="s">
        <v>59</v>
      </c>
      <c r="T422" t="s">
        <v>59</v>
      </c>
      <c r="U422" t="s">
        <v>59</v>
      </c>
      <c r="V422" t="s">
        <v>59</v>
      </c>
      <c r="W422" t="s">
        <v>59</v>
      </c>
      <c r="X422" t="s">
        <v>59</v>
      </c>
      <c r="Y422" t="s">
        <v>59</v>
      </c>
      <c r="Z422" t="s">
        <v>59</v>
      </c>
      <c r="AA422" t="s">
        <v>60</v>
      </c>
      <c r="AB422" t="s">
        <v>60</v>
      </c>
      <c r="AC422" t="s">
        <v>59</v>
      </c>
      <c r="AD422" t="s">
        <v>59</v>
      </c>
      <c r="AE422" t="s">
        <v>59</v>
      </c>
      <c r="AF422" t="s">
        <v>59</v>
      </c>
      <c r="AG422" t="s">
        <v>59</v>
      </c>
      <c r="AH422" t="s">
        <v>59</v>
      </c>
      <c r="AI422" t="s">
        <v>61</v>
      </c>
      <c r="AJ422" t="s">
        <v>59</v>
      </c>
      <c r="AK422" t="s">
        <v>59</v>
      </c>
      <c r="AL422" t="s">
        <v>59</v>
      </c>
      <c r="AM422" t="s">
        <v>59</v>
      </c>
      <c r="AN422" t="s">
        <v>59</v>
      </c>
      <c r="AO422" t="s">
        <v>59</v>
      </c>
      <c r="AP422" s="1" t="s">
        <v>1062</v>
      </c>
      <c r="AQ422" t="s">
        <v>1063</v>
      </c>
      <c r="AR422" t="s">
        <v>226</v>
      </c>
      <c r="AS422" t="s">
        <v>352</v>
      </c>
      <c r="AT422" t="s">
        <v>352</v>
      </c>
      <c r="AU422" t="s">
        <v>299</v>
      </c>
      <c r="AW422" s="4">
        <f t="shared" si="213"/>
        <v>6</v>
      </c>
      <c r="AX422" s="4">
        <f t="shared" si="214"/>
        <v>4</v>
      </c>
      <c r="AY422" s="4">
        <f t="shared" si="215"/>
        <v>4</v>
      </c>
      <c r="AZ422" s="4">
        <f t="shared" si="216"/>
        <v>2</v>
      </c>
      <c r="BA422" s="4">
        <f t="shared" si="217"/>
        <v>4</v>
      </c>
      <c r="BB422" s="4">
        <f t="shared" si="218"/>
        <v>4</v>
      </c>
      <c r="BC422" s="4">
        <f t="shared" si="219"/>
        <v>4</v>
      </c>
      <c r="BD422" s="4">
        <f t="shared" si="220"/>
        <v>2</v>
      </c>
      <c r="BE422" s="4">
        <f t="shared" si="221"/>
        <v>4</v>
      </c>
      <c r="BF422" s="4">
        <f t="shared" si="222"/>
        <v>2</v>
      </c>
      <c r="BG422" s="4">
        <f t="shared" si="223"/>
        <v>4</v>
      </c>
      <c r="BH422" s="4">
        <f t="shared" si="224"/>
        <v>4</v>
      </c>
      <c r="BI422" s="4">
        <f t="shared" si="225"/>
        <v>4</v>
      </c>
      <c r="BJ422" s="4">
        <f t="shared" si="226"/>
        <v>2</v>
      </c>
      <c r="BK422" s="4" t="str">
        <f t="shared" si="227"/>
        <v>0</v>
      </c>
      <c r="BL422" s="4" t="str">
        <f t="shared" si="228"/>
        <v>0</v>
      </c>
      <c r="BM422" s="4">
        <f t="shared" si="229"/>
        <v>4</v>
      </c>
      <c r="BN422" s="4">
        <f t="shared" si="230"/>
        <v>4</v>
      </c>
      <c r="BO422" s="4">
        <f t="shared" si="231"/>
        <v>4</v>
      </c>
      <c r="BP422" s="4">
        <f t="shared" si="232"/>
        <v>4</v>
      </c>
      <c r="BQ422" s="4">
        <f t="shared" si="233"/>
        <v>6</v>
      </c>
      <c r="BR422" s="4">
        <f t="shared" si="234"/>
        <v>4</v>
      </c>
      <c r="BS422" s="4">
        <f t="shared" si="235"/>
        <v>4</v>
      </c>
      <c r="BT422" s="4">
        <f t="shared" si="236"/>
        <v>4</v>
      </c>
      <c r="BU422" s="4">
        <f t="shared" si="237"/>
        <v>4</v>
      </c>
      <c r="BV422" s="4">
        <f t="shared" si="238"/>
        <v>0</v>
      </c>
      <c r="BW422" s="4">
        <f t="shared" si="239"/>
        <v>6</v>
      </c>
      <c r="BX422" s="4">
        <f t="shared" si="240"/>
        <v>0</v>
      </c>
      <c r="BY422" s="4">
        <f t="shared" si="241"/>
        <v>0</v>
      </c>
      <c r="BZ422" s="37">
        <f t="shared" si="242"/>
        <v>94</v>
      </c>
      <c r="CA422" s="32" t="str">
        <f>VLOOKUP(J:J,'Agent wise'!A:C,3,0)</f>
        <v>Amal</v>
      </c>
      <c r="CB422" s="32">
        <f t="shared" si="243"/>
        <v>45937</v>
      </c>
      <c r="CC422" t="str">
        <f t="shared" si="244"/>
        <v>Good</v>
      </c>
      <c r="CE422" s="32"/>
      <c r="CJ422">
        <f t="shared" si="245"/>
        <v>7</v>
      </c>
      <c r="CK422">
        <f t="shared" si="246"/>
        <v>10</v>
      </c>
      <c r="CL422">
        <f t="shared" si="247"/>
        <v>2025</v>
      </c>
    </row>
    <row r="423" spans="1:90" ht="15" customHeight="1" x14ac:dyDescent="0.35">
      <c r="A423" s="40">
        <v>45848.743634259263</v>
      </c>
      <c r="B423" t="s">
        <v>100</v>
      </c>
      <c r="C423" t="s">
        <v>214</v>
      </c>
      <c r="D423" t="s">
        <v>101</v>
      </c>
      <c r="E423" s="32">
        <v>45937</v>
      </c>
      <c r="F423" t="s">
        <v>222</v>
      </c>
      <c r="G423" s="2">
        <v>45818</v>
      </c>
      <c r="H423">
        <v>8589823244</v>
      </c>
      <c r="I423">
        <v>144</v>
      </c>
      <c r="J423" t="s">
        <v>313</v>
      </c>
      <c r="K423" t="s">
        <v>57</v>
      </c>
      <c r="L423" t="s">
        <v>58</v>
      </c>
      <c r="M423" t="s">
        <v>59</v>
      </c>
      <c r="N423" t="s">
        <v>59</v>
      </c>
      <c r="O423" t="s">
        <v>59</v>
      </c>
      <c r="P423" t="s">
        <v>59</v>
      </c>
      <c r="Q423" t="s">
        <v>59</v>
      </c>
      <c r="R423" t="s">
        <v>59</v>
      </c>
      <c r="S423" t="s">
        <v>59</v>
      </c>
      <c r="T423" t="s">
        <v>59</v>
      </c>
      <c r="U423" t="s">
        <v>59</v>
      </c>
      <c r="V423" t="s">
        <v>59</v>
      </c>
      <c r="W423" t="s">
        <v>59</v>
      </c>
      <c r="X423" t="s">
        <v>59</v>
      </c>
      <c r="Y423" t="s">
        <v>59</v>
      </c>
      <c r="Z423" t="s">
        <v>59</v>
      </c>
      <c r="AA423" t="s">
        <v>59</v>
      </c>
      <c r="AB423" t="s">
        <v>59</v>
      </c>
      <c r="AC423" t="s">
        <v>59</v>
      </c>
      <c r="AD423" t="s">
        <v>59</v>
      </c>
      <c r="AE423" t="s">
        <v>59</v>
      </c>
      <c r="AF423" t="s">
        <v>59</v>
      </c>
      <c r="AG423" t="s">
        <v>59</v>
      </c>
      <c r="AH423" t="s">
        <v>59</v>
      </c>
      <c r="AI423" t="s">
        <v>59</v>
      </c>
      <c r="AJ423" t="s">
        <v>59</v>
      </c>
      <c r="AK423" t="s">
        <v>59</v>
      </c>
      <c r="AL423" t="s">
        <v>59</v>
      </c>
      <c r="AM423" t="s">
        <v>59</v>
      </c>
      <c r="AN423" t="s">
        <v>59</v>
      </c>
      <c r="AO423" t="s">
        <v>59</v>
      </c>
      <c r="AP423" t="s">
        <v>541</v>
      </c>
      <c r="AQ423" t="s">
        <v>1052</v>
      </c>
      <c r="AR423" t="s">
        <v>226</v>
      </c>
      <c r="AS423" t="s">
        <v>352</v>
      </c>
      <c r="AT423" t="s">
        <v>352</v>
      </c>
      <c r="AU423" t="s">
        <v>219</v>
      </c>
      <c r="AW423" s="4">
        <f t="shared" si="213"/>
        <v>6</v>
      </c>
      <c r="AX423" s="4">
        <f t="shared" si="214"/>
        <v>4</v>
      </c>
      <c r="AY423" s="4">
        <f t="shared" si="215"/>
        <v>4</v>
      </c>
      <c r="AZ423" s="4">
        <f t="shared" si="216"/>
        <v>2</v>
      </c>
      <c r="BA423" s="4">
        <f t="shared" si="217"/>
        <v>4</v>
      </c>
      <c r="BB423" s="4">
        <f t="shared" si="218"/>
        <v>4</v>
      </c>
      <c r="BC423" s="4">
        <f t="shared" si="219"/>
        <v>4</v>
      </c>
      <c r="BD423" s="4">
        <f t="shared" si="220"/>
        <v>2</v>
      </c>
      <c r="BE423" s="4">
        <f t="shared" si="221"/>
        <v>4</v>
      </c>
      <c r="BF423" s="4">
        <f t="shared" si="222"/>
        <v>2</v>
      </c>
      <c r="BG423" s="4">
        <f t="shared" si="223"/>
        <v>4</v>
      </c>
      <c r="BH423" s="4">
        <f t="shared" si="224"/>
        <v>4</v>
      </c>
      <c r="BI423" s="4">
        <f t="shared" si="225"/>
        <v>4</v>
      </c>
      <c r="BJ423" s="4">
        <f t="shared" si="226"/>
        <v>2</v>
      </c>
      <c r="BK423" s="4">
        <f t="shared" si="227"/>
        <v>4</v>
      </c>
      <c r="BL423" s="4">
        <f t="shared" si="228"/>
        <v>2</v>
      </c>
      <c r="BM423" s="4">
        <f t="shared" si="229"/>
        <v>4</v>
      </c>
      <c r="BN423" s="4">
        <f t="shared" si="230"/>
        <v>4</v>
      </c>
      <c r="BO423" s="4">
        <f t="shared" si="231"/>
        <v>4</v>
      </c>
      <c r="BP423" s="4">
        <f t="shared" si="232"/>
        <v>4</v>
      </c>
      <c r="BQ423" s="4">
        <f t="shared" si="233"/>
        <v>6</v>
      </c>
      <c r="BR423" s="4">
        <f t="shared" si="234"/>
        <v>4</v>
      </c>
      <c r="BS423" s="4">
        <f t="shared" si="235"/>
        <v>4</v>
      </c>
      <c r="BT423" s="4">
        <f t="shared" si="236"/>
        <v>4</v>
      </c>
      <c r="BU423" s="4">
        <f t="shared" si="237"/>
        <v>4</v>
      </c>
      <c r="BV423" s="4">
        <f t="shared" si="238"/>
        <v>0</v>
      </c>
      <c r="BW423" s="4">
        <f t="shared" si="239"/>
        <v>6</v>
      </c>
      <c r="BX423" s="4">
        <f t="shared" si="240"/>
        <v>0</v>
      </c>
      <c r="BY423" s="4">
        <f t="shared" si="241"/>
        <v>0</v>
      </c>
      <c r="BZ423" s="37">
        <f t="shared" si="242"/>
        <v>100</v>
      </c>
      <c r="CA423" s="32" t="str">
        <f>VLOOKUP(J:J,'Agent wise'!A:C,3,0)</f>
        <v>Shakeer</v>
      </c>
      <c r="CB423" s="32">
        <f t="shared" si="243"/>
        <v>45937</v>
      </c>
      <c r="CC423" t="str">
        <f t="shared" si="244"/>
        <v>Excellent</v>
      </c>
      <c r="CE423" s="32"/>
      <c r="CJ423">
        <f t="shared" si="245"/>
        <v>7</v>
      </c>
      <c r="CK423">
        <f t="shared" si="246"/>
        <v>10</v>
      </c>
      <c r="CL423">
        <f t="shared" si="247"/>
        <v>2025</v>
      </c>
    </row>
    <row r="424" spans="1:90" ht="15" customHeight="1" x14ac:dyDescent="0.35">
      <c r="A424" s="40">
        <v>45848.744247685187</v>
      </c>
      <c r="B424" t="s">
        <v>250</v>
      </c>
      <c r="C424" t="s">
        <v>214</v>
      </c>
      <c r="D424" t="s">
        <v>251</v>
      </c>
      <c r="E424" s="32">
        <v>45937</v>
      </c>
      <c r="F424" t="s">
        <v>222</v>
      </c>
      <c r="G424" s="2">
        <v>45818</v>
      </c>
      <c r="H424">
        <v>9003271083</v>
      </c>
      <c r="I424">
        <v>160</v>
      </c>
      <c r="J424" t="s">
        <v>420</v>
      </c>
      <c r="K424" t="s">
        <v>71</v>
      </c>
      <c r="L424" t="s">
        <v>72</v>
      </c>
      <c r="M424" t="s">
        <v>59</v>
      </c>
      <c r="N424" t="s">
        <v>59</v>
      </c>
      <c r="O424" t="s">
        <v>59</v>
      </c>
      <c r="P424" t="s">
        <v>59</v>
      </c>
      <c r="Q424" t="s">
        <v>59</v>
      </c>
      <c r="R424" t="s">
        <v>59</v>
      </c>
      <c r="S424" t="s">
        <v>59</v>
      </c>
      <c r="T424" t="s">
        <v>59</v>
      </c>
      <c r="U424" t="s">
        <v>60</v>
      </c>
      <c r="V424" t="s">
        <v>59</v>
      </c>
      <c r="W424" t="s">
        <v>59</v>
      </c>
      <c r="X424" t="s">
        <v>59</v>
      </c>
      <c r="Y424" t="s">
        <v>59</v>
      </c>
      <c r="Z424" t="s">
        <v>59</v>
      </c>
      <c r="AA424" t="s">
        <v>60</v>
      </c>
      <c r="AB424" t="s">
        <v>59</v>
      </c>
      <c r="AC424" t="s">
        <v>59</v>
      </c>
      <c r="AD424" t="s">
        <v>59</v>
      </c>
      <c r="AE424" t="s">
        <v>59</v>
      </c>
      <c r="AF424" t="s">
        <v>59</v>
      </c>
      <c r="AG424" t="s">
        <v>59</v>
      </c>
      <c r="AH424" t="s">
        <v>61</v>
      </c>
      <c r="AI424" t="s">
        <v>61</v>
      </c>
      <c r="AJ424" t="s">
        <v>59</v>
      </c>
      <c r="AK424" t="s">
        <v>59</v>
      </c>
      <c r="AL424" t="s">
        <v>59</v>
      </c>
      <c r="AM424" t="s">
        <v>59</v>
      </c>
      <c r="AN424" t="s">
        <v>59</v>
      </c>
      <c r="AO424" t="s">
        <v>59</v>
      </c>
      <c r="AP424" t="s">
        <v>696</v>
      </c>
      <c r="AQ424" t="s">
        <v>1064</v>
      </c>
      <c r="AR424" t="s">
        <v>64</v>
      </c>
      <c r="AS424" t="s">
        <v>695</v>
      </c>
      <c r="AT424" t="s">
        <v>331</v>
      </c>
      <c r="AU424" t="s">
        <v>219</v>
      </c>
      <c r="AW424" s="4">
        <f t="shared" si="213"/>
        <v>6</v>
      </c>
      <c r="AX424" s="4">
        <f t="shared" si="214"/>
        <v>4</v>
      </c>
      <c r="AY424" s="4">
        <f t="shared" si="215"/>
        <v>4</v>
      </c>
      <c r="AZ424" s="4">
        <f t="shared" si="216"/>
        <v>2</v>
      </c>
      <c r="BA424" s="4">
        <f t="shared" si="217"/>
        <v>4</v>
      </c>
      <c r="BB424" s="4">
        <f t="shared" si="218"/>
        <v>4</v>
      </c>
      <c r="BC424" s="4">
        <f t="shared" si="219"/>
        <v>4</v>
      </c>
      <c r="BD424" s="4">
        <f t="shared" si="220"/>
        <v>2</v>
      </c>
      <c r="BE424" s="4" t="str">
        <f t="shared" si="221"/>
        <v>0</v>
      </c>
      <c r="BF424" s="4">
        <f t="shared" si="222"/>
        <v>2</v>
      </c>
      <c r="BG424" s="4">
        <f t="shared" si="223"/>
        <v>4</v>
      </c>
      <c r="BH424" s="4">
        <f t="shared" si="224"/>
        <v>4</v>
      </c>
      <c r="BI424" s="4">
        <f t="shared" si="225"/>
        <v>4</v>
      </c>
      <c r="BJ424" s="4">
        <f t="shared" si="226"/>
        <v>2</v>
      </c>
      <c r="BK424" s="4" t="str">
        <f t="shared" si="227"/>
        <v>0</v>
      </c>
      <c r="BL424" s="4">
        <f t="shared" si="228"/>
        <v>2</v>
      </c>
      <c r="BM424" s="4">
        <f t="shared" si="229"/>
        <v>4</v>
      </c>
      <c r="BN424" s="4">
        <f t="shared" si="230"/>
        <v>4</v>
      </c>
      <c r="BO424" s="4">
        <f t="shared" si="231"/>
        <v>4</v>
      </c>
      <c r="BP424" s="4">
        <f t="shared" si="232"/>
        <v>4</v>
      </c>
      <c r="BQ424" s="4">
        <f t="shared" si="233"/>
        <v>6</v>
      </c>
      <c r="BR424" s="4">
        <f t="shared" si="234"/>
        <v>4</v>
      </c>
      <c r="BS424" s="4">
        <f t="shared" si="235"/>
        <v>4</v>
      </c>
      <c r="BT424" s="4">
        <f t="shared" si="236"/>
        <v>4</v>
      </c>
      <c r="BU424" s="4">
        <f t="shared" si="237"/>
        <v>4</v>
      </c>
      <c r="BV424" s="4">
        <f t="shared" si="238"/>
        <v>0</v>
      </c>
      <c r="BW424" s="4">
        <f t="shared" si="239"/>
        <v>6</v>
      </c>
      <c r="BX424" s="4">
        <f t="shared" si="240"/>
        <v>0</v>
      </c>
      <c r="BY424" s="4">
        <f t="shared" si="241"/>
        <v>0</v>
      </c>
      <c r="BZ424" s="37">
        <f t="shared" si="242"/>
        <v>92</v>
      </c>
      <c r="CA424" s="32" t="str">
        <f>VLOOKUP(J:J,'Agent wise'!A:C,3,0)</f>
        <v>Amal</v>
      </c>
      <c r="CB424" s="32">
        <f t="shared" si="243"/>
        <v>45937</v>
      </c>
      <c r="CC424" t="str">
        <f t="shared" si="244"/>
        <v>Good</v>
      </c>
      <c r="CE424" s="32"/>
      <c r="CJ424">
        <f t="shared" si="245"/>
        <v>7</v>
      </c>
      <c r="CK424">
        <f t="shared" si="246"/>
        <v>10</v>
      </c>
      <c r="CL424">
        <f t="shared" si="247"/>
        <v>2025</v>
      </c>
    </row>
    <row r="425" spans="1:90" ht="15" customHeight="1" x14ac:dyDescent="0.35">
      <c r="A425" s="40">
        <v>45848.747141203698</v>
      </c>
      <c r="B425" t="s">
        <v>250</v>
      </c>
      <c r="C425" t="s">
        <v>214</v>
      </c>
      <c r="D425" t="s">
        <v>251</v>
      </c>
      <c r="E425" s="32">
        <v>45937</v>
      </c>
      <c r="F425" t="s">
        <v>222</v>
      </c>
      <c r="G425" s="2">
        <v>45818</v>
      </c>
      <c r="H425">
        <v>8608165951</v>
      </c>
      <c r="I425">
        <v>134</v>
      </c>
      <c r="J425" t="s">
        <v>234</v>
      </c>
      <c r="K425" t="s">
        <v>71</v>
      </c>
      <c r="L425" t="s">
        <v>72</v>
      </c>
      <c r="M425" t="s">
        <v>59</v>
      </c>
      <c r="N425" t="s">
        <v>59</v>
      </c>
      <c r="O425" t="s">
        <v>59</v>
      </c>
      <c r="P425" t="s">
        <v>59</v>
      </c>
      <c r="Q425" t="s">
        <v>59</v>
      </c>
      <c r="R425" t="s">
        <v>59</v>
      </c>
      <c r="S425" t="s">
        <v>59</v>
      </c>
      <c r="T425" t="s">
        <v>59</v>
      </c>
      <c r="U425" t="s">
        <v>60</v>
      </c>
      <c r="V425" t="s">
        <v>59</v>
      </c>
      <c r="W425" t="s">
        <v>59</v>
      </c>
      <c r="X425" t="s">
        <v>59</v>
      </c>
      <c r="Y425" t="s">
        <v>59</v>
      </c>
      <c r="Z425" t="s">
        <v>59</v>
      </c>
      <c r="AA425" t="s">
        <v>60</v>
      </c>
      <c r="AB425" t="s">
        <v>59</v>
      </c>
      <c r="AC425" t="s">
        <v>59</v>
      </c>
      <c r="AD425" t="s">
        <v>59</v>
      </c>
      <c r="AE425" t="s">
        <v>59</v>
      </c>
      <c r="AF425" t="s">
        <v>59</v>
      </c>
      <c r="AG425" t="s">
        <v>59</v>
      </c>
      <c r="AH425" t="s">
        <v>61</v>
      </c>
      <c r="AI425" t="s">
        <v>59</v>
      </c>
      <c r="AJ425" t="s">
        <v>59</v>
      </c>
      <c r="AK425" t="s">
        <v>59</v>
      </c>
      <c r="AL425" t="s">
        <v>59</v>
      </c>
      <c r="AM425" t="s">
        <v>59</v>
      </c>
      <c r="AN425" t="s">
        <v>59</v>
      </c>
      <c r="AO425" t="s">
        <v>59</v>
      </c>
      <c r="AP425" t="s">
        <v>696</v>
      </c>
      <c r="AQ425" t="s">
        <v>1065</v>
      </c>
      <c r="AR425" t="s">
        <v>64</v>
      </c>
      <c r="AS425" t="s">
        <v>249</v>
      </c>
      <c r="AT425" t="s">
        <v>687</v>
      </c>
      <c r="AU425" t="s">
        <v>219</v>
      </c>
      <c r="AW425" s="4">
        <f t="shared" si="213"/>
        <v>6</v>
      </c>
      <c r="AX425" s="4">
        <f t="shared" si="214"/>
        <v>4</v>
      </c>
      <c r="AY425" s="4">
        <f t="shared" si="215"/>
        <v>4</v>
      </c>
      <c r="AZ425" s="4">
        <f t="shared" si="216"/>
        <v>2</v>
      </c>
      <c r="BA425" s="4">
        <f t="shared" si="217"/>
        <v>4</v>
      </c>
      <c r="BB425" s="4">
        <f t="shared" si="218"/>
        <v>4</v>
      </c>
      <c r="BC425" s="4">
        <f t="shared" si="219"/>
        <v>4</v>
      </c>
      <c r="BD425" s="4">
        <f t="shared" si="220"/>
        <v>2</v>
      </c>
      <c r="BE425" s="4" t="str">
        <f t="shared" si="221"/>
        <v>0</v>
      </c>
      <c r="BF425" s="4">
        <f t="shared" si="222"/>
        <v>2</v>
      </c>
      <c r="BG425" s="4">
        <f t="shared" si="223"/>
        <v>4</v>
      </c>
      <c r="BH425" s="4">
        <f t="shared" si="224"/>
        <v>4</v>
      </c>
      <c r="BI425" s="4">
        <f t="shared" si="225"/>
        <v>4</v>
      </c>
      <c r="BJ425" s="4">
        <f t="shared" si="226"/>
        <v>2</v>
      </c>
      <c r="BK425" s="4" t="str">
        <f t="shared" si="227"/>
        <v>0</v>
      </c>
      <c r="BL425" s="4">
        <f t="shared" si="228"/>
        <v>2</v>
      </c>
      <c r="BM425" s="4">
        <f t="shared" si="229"/>
        <v>4</v>
      </c>
      <c r="BN425" s="4">
        <f t="shared" si="230"/>
        <v>4</v>
      </c>
      <c r="BO425" s="4">
        <f t="shared" si="231"/>
        <v>4</v>
      </c>
      <c r="BP425" s="4">
        <f t="shared" si="232"/>
        <v>4</v>
      </c>
      <c r="BQ425" s="4">
        <f t="shared" si="233"/>
        <v>6</v>
      </c>
      <c r="BR425" s="4">
        <f t="shared" si="234"/>
        <v>4</v>
      </c>
      <c r="BS425" s="4">
        <f t="shared" si="235"/>
        <v>4</v>
      </c>
      <c r="BT425" s="4">
        <f t="shared" si="236"/>
        <v>4</v>
      </c>
      <c r="BU425" s="4">
        <f t="shared" si="237"/>
        <v>4</v>
      </c>
      <c r="BV425" s="4">
        <f t="shared" si="238"/>
        <v>0</v>
      </c>
      <c r="BW425" s="4">
        <f t="shared" si="239"/>
        <v>6</v>
      </c>
      <c r="BX425" s="4">
        <f t="shared" si="240"/>
        <v>0</v>
      </c>
      <c r="BY425" s="4">
        <f t="shared" si="241"/>
        <v>0</v>
      </c>
      <c r="BZ425" s="37">
        <f t="shared" si="242"/>
        <v>92</v>
      </c>
      <c r="CA425" s="32" t="str">
        <f>VLOOKUP(J:J,'Agent wise'!A:C,3,0)</f>
        <v>Amal</v>
      </c>
      <c r="CB425" s="32">
        <f t="shared" si="243"/>
        <v>45937</v>
      </c>
      <c r="CC425" t="str">
        <f t="shared" si="244"/>
        <v>Good</v>
      </c>
      <c r="CE425" s="32"/>
      <c r="CJ425">
        <f t="shared" si="245"/>
        <v>7</v>
      </c>
      <c r="CK425">
        <f t="shared" si="246"/>
        <v>10</v>
      </c>
      <c r="CL425">
        <f t="shared" si="247"/>
        <v>2025</v>
      </c>
    </row>
    <row r="426" spans="1:90" ht="15" customHeight="1" x14ac:dyDescent="0.35">
      <c r="A426" s="40">
        <v>45848.748807870368</v>
      </c>
      <c r="B426" t="s">
        <v>100</v>
      </c>
      <c r="C426" t="s">
        <v>214</v>
      </c>
      <c r="D426" t="s">
        <v>101</v>
      </c>
      <c r="E426" s="32">
        <v>45937</v>
      </c>
      <c r="F426" t="s">
        <v>222</v>
      </c>
      <c r="G426" s="2">
        <v>45818</v>
      </c>
      <c r="H426">
        <v>9447206566</v>
      </c>
      <c r="I426">
        <v>138</v>
      </c>
      <c r="J426" t="s">
        <v>575</v>
      </c>
      <c r="K426" t="s">
        <v>57</v>
      </c>
      <c r="L426" t="s">
        <v>58</v>
      </c>
      <c r="M426" t="s">
        <v>59</v>
      </c>
      <c r="N426" t="s">
        <v>59</v>
      </c>
      <c r="O426" t="s">
        <v>59</v>
      </c>
      <c r="P426" t="s">
        <v>59</v>
      </c>
      <c r="Q426" t="s">
        <v>59</v>
      </c>
      <c r="R426" t="s">
        <v>59</v>
      </c>
      <c r="S426" t="s">
        <v>59</v>
      </c>
      <c r="T426" t="s">
        <v>59</v>
      </c>
      <c r="U426" t="s">
        <v>59</v>
      </c>
      <c r="V426" t="s">
        <v>59</v>
      </c>
      <c r="W426" t="s">
        <v>59</v>
      </c>
      <c r="X426" t="s">
        <v>59</v>
      </c>
      <c r="Y426" t="s">
        <v>59</v>
      </c>
      <c r="Z426" t="s">
        <v>59</v>
      </c>
      <c r="AA426" t="s">
        <v>60</v>
      </c>
      <c r="AB426" t="s">
        <v>59</v>
      </c>
      <c r="AC426" t="s">
        <v>59</v>
      </c>
      <c r="AD426" t="s">
        <v>59</v>
      </c>
      <c r="AE426" t="s">
        <v>59</v>
      </c>
      <c r="AF426" t="s">
        <v>59</v>
      </c>
      <c r="AG426" t="s">
        <v>59</v>
      </c>
      <c r="AH426" t="s">
        <v>59</v>
      </c>
      <c r="AI426" t="s">
        <v>61</v>
      </c>
      <c r="AJ426" t="s">
        <v>59</v>
      </c>
      <c r="AK426" t="s">
        <v>59</v>
      </c>
      <c r="AL426" t="s">
        <v>59</v>
      </c>
      <c r="AM426" t="s">
        <v>59</v>
      </c>
      <c r="AN426" t="s">
        <v>59</v>
      </c>
      <c r="AO426" t="s">
        <v>59</v>
      </c>
      <c r="AP426" t="s">
        <v>1039</v>
      </c>
      <c r="AQ426" t="s">
        <v>1066</v>
      </c>
      <c r="AR426" t="s">
        <v>226</v>
      </c>
      <c r="AS426" t="s">
        <v>352</v>
      </c>
      <c r="AT426" t="s">
        <v>352</v>
      </c>
      <c r="AU426" t="s">
        <v>299</v>
      </c>
      <c r="AW426" s="4">
        <f t="shared" si="213"/>
        <v>6</v>
      </c>
      <c r="AX426" s="4">
        <f t="shared" si="214"/>
        <v>4</v>
      </c>
      <c r="AY426" s="4">
        <f t="shared" si="215"/>
        <v>4</v>
      </c>
      <c r="AZ426" s="4">
        <f t="shared" si="216"/>
        <v>2</v>
      </c>
      <c r="BA426" s="4">
        <f t="shared" si="217"/>
        <v>4</v>
      </c>
      <c r="BB426" s="4">
        <f t="shared" si="218"/>
        <v>4</v>
      </c>
      <c r="BC426" s="4">
        <f t="shared" si="219"/>
        <v>4</v>
      </c>
      <c r="BD426" s="4">
        <f t="shared" si="220"/>
        <v>2</v>
      </c>
      <c r="BE426" s="4">
        <f t="shared" si="221"/>
        <v>4</v>
      </c>
      <c r="BF426" s="4">
        <f t="shared" si="222"/>
        <v>2</v>
      </c>
      <c r="BG426" s="4">
        <f t="shared" si="223"/>
        <v>4</v>
      </c>
      <c r="BH426" s="4">
        <f t="shared" si="224"/>
        <v>4</v>
      </c>
      <c r="BI426" s="4">
        <f t="shared" si="225"/>
        <v>4</v>
      </c>
      <c r="BJ426" s="4">
        <f t="shared" si="226"/>
        <v>2</v>
      </c>
      <c r="BK426" s="4" t="str">
        <f t="shared" si="227"/>
        <v>0</v>
      </c>
      <c r="BL426" s="4">
        <f t="shared" si="228"/>
        <v>2</v>
      </c>
      <c r="BM426" s="4">
        <f t="shared" si="229"/>
        <v>4</v>
      </c>
      <c r="BN426" s="4">
        <f t="shared" si="230"/>
        <v>4</v>
      </c>
      <c r="BO426" s="4">
        <f t="shared" si="231"/>
        <v>4</v>
      </c>
      <c r="BP426" s="4">
        <f t="shared" si="232"/>
        <v>4</v>
      </c>
      <c r="BQ426" s="4">
        <f t="shared" si="233"/>
        <v>6</v>
      </c>
      <c r="BR426" s="4">
        <f t="shared" si="234"/>
        <v>4</v>
      </c>
      <c r="BS426" s="4">
        <f t="shared" si="235"/>
        <v>4</v>
      </c>
      <c r="BT426" s="4">
        <f t="shared" si="236"/>
        <v>4</v>
      </c>
      <c r="BU426" s="4">
        <f t="shared" si="237"/>
        <v>4</v>
      </c>
      <c r="BV426" s="4">
        <f t="shared" si="238"/>
        <v>0</v>
      </c>
      <c r="BW426" s="4">
        <f t="shared" si="239"/>
        <v>6</v>
      </c>
      <c r="BX426" s="4">
        <f t="shared" si="240"/>
        <v>0</v>
      </c>
      <c r="BY426" s="4">
        <f t="shared" si="241"/>
        <v>0</v>
      </c>
      <c r="BZ426" s="37">
        <f t="shared" si="242"/>
        <v>96</v>
      </c>
      <c r="CA426" s="32" t="str">
        <f>VLOOKUP(J:J,'Agent wise'!A:C,3,0)</f>
        <v>Shakeer</v>
      </c>
      <c r="CB426" s="32">
        <f t="shared" si="243"/>
        <v>45937</v>
      </c>
      <c r="CC426" t="str">
        <f t="shared" si="244"/>
        <v>Excellent</v>
      </c>
      <c r="CE426" s="32"/>
      <c r="CJ426">
        <f t="shared" si="245"/>
        <v>7</v>
      </c>
      <c r="CK426">
        <f t="shared" si="246"/>
        <v>10</v>
      </c>
      <c r="CL426">
        <f t="shared" si="247"/>
        <v>2025</v>
      </c>
    </row>
    <row r="427" spans="1:90" ht="15" customHeight="1" x14ac:dyDescent="0.35">
      <c r="A427" s="40">
        <v>45848.750567129631</v>
      </c>
      <c r="B427" t="s">
        <v>250</v>
      </c>
      <c r="C427" t="s">
        <v>214</v>
      </c>
      <c r="D427" t="s">
        <v>251</v>
      </c>
      <c r="E427" s="32">
        <v>45936</v>
      </c>
      <c r="F427" t="s">
        <v>222</v>
      </c>
      <c r="G427" s="2">
        <v>45818</v>
      </c>
      <c r="H427">
        <v>9952990076</v>
      </c>
      <c r="I427">
        <v>151</v>
      </c>
      <c r="J427" t="s">
        <v>307</v>
      </c>
      <c r="K427" t="s">
        <v>71</v>
      </c>
      <c r="L427" t="s">
        <v>72</v>
      </c>
      <c r="M427" t="s">
        <v>59</v>
      </c>
      <c r="N427" t="s">
        <v>59</v>
      </c>
      <c r="O427" t="s">
        <v>59</v>
      </c>
      <c r="P427" t="s">
        <v>59</v>
      </c>
      <c r="Q427" t="s">
        <v>59</v>
      </c>
      <c r="R427" t="s">
        <v>59</v>
      </c>
      <c r="S427" t="s">
        <v>59</v>
      </c>
      <c r="T427" t="s">
        <v>59</v>
      </c>
      <c r="U427" t="s">
        <v>60</v>
      </c>
      <c r="V427" t="s">
        <v>59</v>
      </c>
      <c r="W427" t="s">
        <v>59</v>
      </c>
      <c r="X427" t="s">
        <v>59</v>
      </c>
      <c r="Y427" t="s">
        <v>59</v>
      </c>
      <c r="Z427" t="s">
        <v>59</v>
      </c>
      <c r="AA427" t="s">
        <v>60</v>
      </c>
      <c r="AB427" t="s">
        <v>59</v>
      </c>
      <c r="AC427" t="s">
        <v>59</v>
      </c>
      <c r="AD427" t="s">
        <v>59</v>
      </c>
      <c r="AE427" t="s">
        <v>59</v>
      </c>
      <c r="AF427" t="s">
        <v>59</v>
      </c>
      <c r="AG427" t="s">
        <v>59</v>
      </c>
      <c r="AH427" t="s">
        <v>61</v>
      </c>
      <c r="AI427" t="s">
        <v>61</v>
      </c>
      <c r="AJ427" t="s">
        <v>59</v>
      </c>
      <c r="AK427" t="s">
        <v>59</v>
      </c>
      <c r="AL427" t="s">
        <v>60</v>
      </c>
      <c r="AM427" t="s">
        <v>59</v>
      </c>
      <c r="AN427" t="s">
        <v>59</v>
      </c>
      <c r="AO427" t="s">
        <v>59</v>
      </c>
      <c r="AP427" t="s">
        <v>783</v>
      </c>
      <c r="AQ427" t="s">
        <v>1067</v>
      </c>
      <c r="AR427" t="s">
        <v>226</v>
      </c>
      <c r="AS427" t="s">
        <v>245</v>
      </c>
      <c r="AT427" t="s">
        <v>404</v>
      </c>
      <c r="AU427" t="s">
        <v>219</v>
      </c>
      <c r="AW427" s="4">
        <f t="shared" si="213"/>
        <v>6</v>
      </c>
      <c r="AX427" s="4">
        <f t="shared" si="214"/>
        <v>4</v>
      </c>
      <c r="AY427" s="4">
        <f t="shared" si="215"/>
        <v>4</v>
      </c>
      <c r="AZ427" s="4">
        <f t="shared" si="216"/>
        <v>2</v>
      </c>
      <c r="BA427" s="4">
        <f t="shared" si="217"/>
        <v>4</v>
      </c>
      <c r="BB427" s="4">
        <f t="shared" si="218"/>
        <v>4</v>
      </c>
      <c r="BC427" s="4">
        <f t="shared" si="219"/>
        <v>4</v>
      </c>
      <c r="BD427" s="4">
        <f t="shared" si="220"/>
        <v>2</v>
      </c>
      <c r="BE427" s="4" t="str">
        <f t="shared" si="221"/>
        <v>0</v>
      </c>
      <c r="BF427" s="4">
        <f t="shared" si="222"/>
        <v>2</v>
      </c>
      <c r="BG427" s="4">
        <f t="shared" si="223"/>
        <v>4</v>
      </c>
      <c r="BH427" s="4">
        <f t="shared" si="224"/>
        <v>4</v>
      </c>
      <c r="BI427" s="4">
        <f t="shared" si="225"/>
        <v>4</v>
      </c>
      <c r="BJ427" s="4">
        <f t="shared" si="226"/>
        <v>2</v>
      </c>
      <c r="BK427" s="4" t="str">
        <f t="shared" si="227"/>
        <v>0</v>
      </c>
      <c r="BL427" s="4">
        <f t="shared" si="228"/>
        <v>2</v>
      </c>
      <c r="BM427" s="4">
        <f t="shared" si="229"/>
        <v>4</v>
      </c>
      <c r="BN427" s="4">
        <f t="shared" si="230"/>
        <v>4</v>
      </c>
      <c r="BO427" s="4">
        <f t="shared" si="231"/>
        <v>4</v>
      </c>
      <c r="BP427" s="4">
        <f t="shared" si="232"/>
        <v>4</v>
      </c>
      <c r="BQ427" s="4">
        <f t="shared" si="233"/>
        <v>6</v>
      </c>
      <c r="BR427" s="4">
        <f t="shared" si="234"/>
        <v>4</v>
      </c>
      <c r="BS427" s="4">
        <f t="shared" si="235"/>
        <v>4</v>
      </c>
      <c r="BT427" s="4">
        <f t="shared" si="236"/>
        <v>4</v>
      </c>
      <c r="BU427" s="4">
        <f t="shared" si="237"/>
        <v>4</v>
      </c>
      <c r="BV427" s="4" t="str">
        <f t="shared" si="238"/>
        <v>0</v>
      </c>
      <c r="BW427" s="4">
        <f t="shared" si="239"/>
        <v>6</v>
      </c>
      <c r="BX427" s="4">
        <f t="shared" si="240"/>
        <v>0</v>
      </c>
      <c r="BY427" s="4">
        <f t="shared" si="241"/>
        <v>0</v>
      </c>
      <c r="BZ427" s="37">
        <f t="shared" si="242"/>
        <v>92</v>
      </c>
      <c r="CA427" s="32" t="str">
        <f>VLOOKUP(J:J,'Agent wise'!A:C,3,0)</f>
        <v>Amal</v>
      </c>
      <c r="CB427" s="32">
        <f t="shared" si="243"/>
        <v>45936</v>
      </c>
      <c r="CC427" t="str">
        <f t="shared" si="244"/>
        <v>Good</v>
      </c>
      <c r="CE427" s="32"/>
      <c r="CJ427">
        <f t="shared" si="245"/>
        <v>6</v>
      </c>
      <c r="CK427">
        <f t="shared" si="246"/>
        <v>10</v>
      </c>
      <c r="CL427">
        <f t="shared" si="247"/>
        <v>2025</v>
      </c>
    </row>
    <row r="428" spans="1:90" ht="15" customHeight="1" x14ac:dyDescent="0.35">
      <c r="A428" s="40">
        <v>45848.75273148148</v>
      </c>
      <c r="B428" t="s">
        <v>100</v>
      </c>
      <c r="C428" t="s">
        <v>214</v>
      </c>
      <c r="D428" t="s">
        <v>101</v>
      </c>
      <c r="E428" s="32">
        <v>45937</v>
      </c>
      <c r="F428" t="s">
        <v>222</v>
      </c>
      <c r="G428" s="2">
        <v>45818</v>
      </c>
      <c r="H428">
        <v>9995356660</v>
      </c>
      <c r="I428">
        <v>146</v>
      </c>
      <c r="J428" t="s">
        <v>391</v>
      </c>
      <c r="K428" t="s">
        <v>57</v>
      </c>
      <c r="L428" t="s">
        <v>58</v>
      </c>
      <c r="M428" t="s">
        <v>60</v>
      </c>
      <c r="N428" t="s">
        <v>59</v>
      </c>
      <c r="O428" t="s">
        <v>60</v>
      </c>
      <c r="P428" t="s">
        <v>59</v>
      </c>
      <c r="Q428" t="s">
        <v>59</v>
      </c>
      <c r="R428" t="s">
        <v>59</v>
      </c>
      <c r="S428" t="s">
        <v>59</v>
      </c>
      <c r="T428" t="s">
        <v>59</v>
      </c>
      <c r="U428" t="s">
        <v>59</v>
      </c>
      <c r="V428" t="s">
        <v>59</v>
      </c>
      <c r="W428" t="s">
        <v>59</v>
      </c>
      <c r="X428" t="s">
        <v>59</v>
      </c>
      <c r="Y428" t="s">
        <v>59</v>
      </c>
      <c r="Z428" t="s">
        <v>59</v>
      </c>
      <c r="AA428" t="s">
        <v>60</v>
      </c>
      <c r="AB428" t="s">
        <v>59</v>
      </c>
      <c r="AC428" t="s">
        <v>59</v>
      </c>
      <c r="AD428" t="s">
        <v>59</v>
      </c>
      <c r="AE428" t="s">
        <v>59</v>
      </c>
      <c r="AF428" t="s">
        <v>59</v>
      </c>
      <c r="AG428" t="s">
        <v>59</v>
      </c>
      <c r="AH428" t="s">
        <v>59</v>
      </c>
      <c r="AI428" t="s">
        <v>61</v>
      </c>
      <c r="AJ428" t="s">
        <v>59</v>
      </c>
      <c r="AK428" t="s">
        <v>59</v>
      </c>
      <c r="AL428" t="s">
        <v>59</v>
      </c>
      <c r="AM428" t="s">
        <v>59</v>
      </c>
      <c r="AN428" t="s">
        <v>59</v>
      </c>
      <c r="AO428" t="s">
        <v>59</v>
      </c>
      <c r="AP428" t="s">
        <v>1068</v>
      </c>
      <c r="AQ428" s="1" t="s">
        <v>1069</v>
      </c>
      <c r="AR428" t="s">
        <v>226</v>
      </c>
      <c r="AS428" t="s">
        <v>352</v>
      </c>
      <c r="AT428" t="s">
        <v>352</v>
      </c>
      <c r="AU428" t="s">
        <v>299</v>
      </c>
      <c r="AW428" s="4" t="str">
        <f t="shared" si="213"/>
        <v>0</v>
      </c>
      <c r="AX428" s="4">
        <f t="shared" si="214"/>
        <v>4</v>
      </c>
      <c r="AY428" s="4" t="str">
        <f t="shared" si="215"/>
        <v>0</v>
      </c>
      <c r="AZ428" s="4">
        <f t="shared" si="216"/>
        <v>2</v>
      </c>
      <c r="BA428" s="4">
        <f t="shared" si="217"/>
        <v>4</v>
      </c>
      <c r="BB428" s="4">
        <f t="shared" si="218"/>
        <v>4</v>
      </c>
      <c r="BC428" s="4">
        <f t="shared" si="219"/>
        <v>4</v>
      </c>
      <c r="BD428" s="4">
        <f t="shared" si="220"/>
        <v>2</v>
      </c>
      <c r="BE428" s="4">
        <f t="shared" si="221"/>
        <v>4</v>
      </c>
      <c r="BF428" s="4">
        <f t="shared" si="222"/>
        <v>2</v>
      </c>
      <c r="BG428" s="4">
        <f t="shared" si="223"/>
        <v>4</v>
      </c>
      <c r="BH428" s="4">
        <f t="shared" si="224"/>
        <v>4</v>
      </c>
      <c r="BI428" s="4">
        <f t="shared" si="225"/>
        <v>4</v>
      </c>
      <c r="BJ428" s="4">
        <f t="shared" si="226"/>
        <v>2</v>
      </c>
      <c r="BK428" s="4" t="str">
        <f t="shared" si="227"/>
        <v>0</v>
      </c>
      <c r="BL428" s="4">
        <f t="shared" si="228"/>
        <v>2</v>
      </c>
      <c r="BM428" s="4">
        <f t="shared" si="229"/>
        <v>4</v>
      </c>
      <c r="BN428" s="4">
        <f t="shared" si="230"/>
        <v>4</v>
      </c>
      <c r="BO428" s="4">
        <f t="shared" si="231"/>
        <v>4</v>
      </c>
      <c r="BP428" s="4">
        <f t="shared" si="232"/>
        <v>4</v>
      </c>
      <c r="BQ428" s="4">
        <f t="shared" si="233"/>
        <v>6</v>
      </c>
      <c r="BR428" s="4">
        <f t="shared" si="234"/>
        <v>4</v>
      </c>
      <c r="BS428" s="4">
        <f t="shared" si="235"/>
        <v>4</v>
      </c>
      <c r="BT428" s="4">
        <f t="shared" si="236"/>
        <v>4</v>
      </c>
      <c r="BU428" s="4">
        <f t="shared" si="237"/>
        <v>4</v>
      </c>
      <c r="BV428" s="4">
        <f t="shared" si="238"/>
        <v>0</v>
      </c>
      <c r="BW428" s="4">
        <f t="shared" si="239"/>
        <v>6</v>
      </c>
      <c r="BX428" s="4">
        <f t="shared" si="240"/>
        <v>0</v>
      </c>
      <c r="BY428" s="4">
        <f t="shared" si="241"/>
        <v>0</v>
      </c>
      <c r="BZ428" s="37">
        <f t="shared" si="242"/>
        <v>86</v>
      </c>
      <c r="CA428" s="32" t="str">
        <f>VLOOKUP(J:J,'Agent wise'!A:C,3,0)</f>
        <v>Amal</v>
      </c>
      <c r="CB428" s="32">
        <f t="shared" si="243"/>
        <v>45937</v>
      </c>
      <c r="CC428" t="str">
        <f t="shared" si="244"/>
        <v>Average</v>
      </c>
      <c r="CE428" s="32"/>
      <c r="CJ428">
        <f t="shared" si="245"/>
        <v>7</v>
      </c>
      <c r="CK428">
        <f t="shared" si="246"/>
        <v>10</v>
      </c>
      <c r="CL428">
        <f t="shared" si="247"/>
        <v>2025</v>
      </c>
    </row>
    <row r="429" spans="1:90" ht="15" customHeight="1" x14ac:dyDescent="0.35">
      <c r="A429" s="40">
        <v>45848.753101851849</v>
      </c>
      <c r="B429" t="s">
        <v>250</v>
      </c>
      <c r="C429" t="s">
        <v>214</v>
      </c>
      <c r="D429" t="s">
        <v>251</v>
      </c>
      <c r="E429" s="32">
        <v>45937</v>
      </c>
      <c r="F429" t="s">
        <v>222</v>
      </c>
      <c r="G429" s="2">
        <v>45818</v>
      </c>
      <c r="H429">
        <v>8589823244</v>
      </c>
      <c r="I429">
        <v>144</v>
      </c>
      <c r="J429" t="s">
        <v>313</v>
      </c>
      <c r="K429" t="s">
        <v>57</v>
      </c>
      <c r="L429" t="s">
        <v>58</v>
      </c>
      <c r="M429" t="s">
        <v>59</v>
      </c>
      <c r="N429" t="s">
        <v>59</v>
      </c>
      <c r="O429" t="s">
        <v>59</v>
      </c>
      <c r="P429" t="s">
        <v>59</v>
      </c>
      <c r="Q429" t="s">
        <v>59</v>
      </c>
      <c r="R429" t="s">
        <v>59</v>
      </c>
      <c r="S429" t="s">
        <v>59</v>
      </c>
      <c r="T429" t="s">
        <v>59</v>
      </c>
      <c r="U429" t="s">
        <v>60</v>
      </c>
      <c r="V429" t="s">
        <v>59</v>
      </c>
      <c r="W429" t="s">
        <v>59</v>
      </c>
      <c r="X429" t="s">
        <v>59</v>
      </c>
      <c r="Y429" t="s">
        <v>59</v>
      </c>
      <c r="Z429" t="s">
        <v>59</v>
      </c>
      <c r="AA429" t="s">
        <v>60</v>
      </c>
      <c r="AB429" t="s">
        <v>59</v>
      </c>
      <c r="AC429" t="s">
        <v>59</v>
      </c>
      <c r="AD429" t="s">
        <v>59</v>
      </c>
      <c r="AE429" t="s">
        <v>59</v>
      </c>
      <c r="AF429" t="s">
        <v>59</v>
      </c>
      <c r="AG429" t="s">
        <v>59</v>
      </c>
      <c r="AH429" t="s">
        <v>61</v>
      </c>
      <c r="AI429" t="s">
        <v>61</v>
      </c>
      <c r="AJ429" t="s">
        <v>59</v>
      </c>
      <c r="AK429" t="s">
        <v>59</v>
      </c>
      <c r="AL429" t="s">
        <v>59</v>
      </c>
      <c r="AM429" t="s">
        <v>59</v>
      </c>
      <c r="AN429" t="s">
        <v>59</v>
      </c>
      <c r="AO429" t="s">
        <v>59</v>
      </c>
      <c r="AP429" t="s">
        <v>696</v>
      </c>
      <c r="AQ429" t="s">
        <v>1070</v>
      </c>
      <c r="AR429" t="s">
        <v>226</v>
      </c>
      <c r="AS429" t="s">
        <v>249</v>
      </c>
      <c r="AT429" t="s">
        <v>404</v>
      </c>
      <c r="AU429" t="s">
        <v>219</v>
      </c>
      <c r="AW429" s="4">
        <f t="shared" si="213"/>
        <v>6</v>
      </c>
      <c r="AX429" s="4">
        <f t="shared" si="214"/>
        <v>4</v>
      </c>
      <c r="AY429" s="4">
        <f t="shared" si="215"/>
        <v>4</v>
      </c>
      <c r="AZ429" s="4">
        <f t="shared" si="216"/>
        <v>2</v>
      </c>
      <c r="BA429" s="4">
        <f t="shared" si="217"/>
        <v>4</v>
      </c>
      <c r="BB429" s="4">
        <f t="shared" si="218"/>
        <v>4</v>
      </c>
      <c r="BC429" s="4">
        <f t="shared" si="219"/>
        <v>4</v>
      </c>
      <c r="BD429" s="4">
        <f t="shared" si="220"/>
        <v>2</v>
      </c>
      <c r="BE429" s="4" t="str">
        <f t="shared" si="221"/>
        <v>0</v>
      </c>
      <c r="BF429" s="4">
        <f t="shared" si="222"/>
        <v>2</v>
      </c>
      <c r="BG429" s="4">
        <f t="shared" si="223"/>
        <v>4</v>
      </c>
      <c r="BH429" s="4">
        <f t="shared" si="224"/>
        <v>4</v>
      </c>
      <c r="BI429" s="4">
        <f t="shared" si="225"/>
        <v>4</v>
      </c>
      <c r="BJ429" s="4">
        <f t="shared" si="226"/>
        <v>2</v>
      </c>
      <c r="BK429" s="4" t="str">
        <f t="shared" si="227"/>
        <v>0</v>
      </c>
      <c r="BL429" s="4">
        <f t="shared" si="228"/>
        <v>2</v>
      </c>
      <c r="BM429" s="4">
        <f t="shared" si="229"/>
        <v>4</v>
      </c>
      <c r="BN429" s="4">
        <f t="shared" si="230"/>
        <v>4</v>
      </c>
      <c r="BO429" s="4">
        <f t="shared" si="231"/>
        <v>4</v>
      </c>
      <c r="BP429" s="4">
        <f t="shared" si="232"/>
        <v>4</v>
      </c>
      <c r="BQ429" s="4">
        <f t="shared" si="233"/>
        <v>6</v>
      </c>
      <c r="BR429" s="4">
        <f t="shared" si="234"/>
        <v>4</v>
      </c>
      <c r="BS429" s="4">
        <f t="shared" si="235"/>
        <v>4</v>
      </c>
      <c r="BT429" s="4">
        <f t="shared" si="236"/>
        <v>4</v>
      </c>
      <c r="BU429" s="4">
        <f t="shared" si="237"/>
        <v>4</v>
      </c>
      <c r="BV429" s="4">
        <f t="shared" si="238"/>
        <v>0</v>
      </c>
      <c r="BW429" s="4">
        <f t="shared" si="239"/>
        <v>6</v>
      </c>
      <c r="BX429" s="4">
        <f t="shared" si="240"/>
        <v>0</v>
      </c>
      <c r="BY429" s="4">
        <f t="shared" si="241"/>
        <v>0</v>
      </c>
      <c r="BZ429" s="37">
        <f t="shared" si="242"/>
        <v>92</v>
      </c>
      <c r="CA429" s="32" t="str">
        <f>VLOOKUP(J:J,'Agent wise'!A:C,3,0)</f>
        <v>Shakeer</v>
      </c>
      <c r="CB429" s="32">
        <f t="shared" si="243"/>
        <v>45937</v>
      </c>
      <c r="CC429" t="str">
        <f t="shared" si="244"/>
        <v>Good</v>
      </c>
      <c r="CE429" s="32"/>
      <c r="CJ429">
        <f t="shared" si="245"/>
        <v>7</v>
      </c>
      <c r="CK429">
        <f t="shared" si="246"/>
        <v>10</v>
      </c>
      <c r="CL429">
        <f t="shared" si="247"/>
        <v>2025</v>
      </c>
    </row>
    <row r="430" spans="1:90" ht="15" customHeight="1" x14ac:dyDescent="0.35">
      <c r="A430" s="40">
        <v>45848.755879629629</v>
      </c>
      <c r="B430" t="s">
        <v>250</v>
      </c>
      <c r="C430" t="s">
        <v>214</v>
      </c>
      <c r="D430" t="s">
        <v>251</v>
      </c>
      <c r="E430" s="32">
        <v>45937</v>
      </c>
      <c r="F430" t="s">
        <v>222</v>
      </c>
      <c r="G430" s="2">
        <v>45818</v>
      </c>
      <c r="H430">
        <v>9567767117</v>
      </c>
      <c r="I430">
        <v>144</v>
      </c>
      <c r="J430" t="s">
        <v>356</v>
      </c>
      <c r="K430" t="s">
        <v>57</v>
      </c>
      <c r="L430" t="s">
        <v>58</v>
      </c>
      <c r="M430" t="s">
        <v>59</v>
      </c>
      <c r="N430" t="s">
        <v>59</v>
      </c>
      <c r="O430" t="s">
        <v>59</v>
      </c>
      <c r="P430" t="s">
        <v>59</v>
      </c>
      <c r="Q430" t="s">
        <v>59</v>
      </c>
      <c r="R430" t="s">
        <v>59</v>
      </c>
      <c r="S430" t="s">
        <v>59</v>
      </c>
      <c r="T430" t="s">
        <v>59</v>
      </c>
      <c r="U430" t="s">
        <v>59</v>
      </c>
      <c r="V430" t="s">
        <v>59</v>
      </c>
      <c r="W430" t="s">
        <v>59</v>
      </c>
      <c r="X430" t="s">
        <v>59</v>
      </c>
      <c r="Y430" t="s">
        <v>59</v>
      </c>
      <c r="Z430" t="s">
        <v>59</v>
      </c>
      <c r="AA430" t="s">
        <v>59</v>
      </c>
      <c r="AB430" t="s">
        <v>59</v>
      </c>
      <c r="AC430" t="s">
        <v>59</v>
      </c>
      <c r="AD430" t="s">
        <v>59</v>
      </c>
      <c r="AE430" t="s">
        <v>59</v>
      </c>
      <c r="AF430" t="s">
        <v>59</v>
      </c>
      <c r="AG430" t="s">
        <v>59</v>
      </c>
      <c r="AH430" t="s">
        <v>61</v>
      </c>
      <c r="AI430" t="s">
        <v>61</v>
      </c>
      <c r="AJ430" t="s">
        <v>59</v>
      </c>
      <c r="AK430" t="s">
        <v>59</v>
      </c>
      <c r="AL430" t="s">
        <v>59</v>
      </c>
      <c r="AM430" t="s">
        <v>59</v>
      </c>
      <c r="AN430" t="s">
        <v>59</v>
      </c>
      <c r="AO430" t="s">
        <v>59</v>
      </c>
      <c r="AP430" t="s">
        <v>496</v>
      </c>
      <c r="AQ430" t="s">
        <v>1071</v>
      </c>
      <c r="AR430" t="s">
        <v>226</v>
      </c>
      <c r="AS430" t="s">
        <v>245</v>
      </c>
      <c r="AT430" t="s">
        <v>404</v>
      </c>
      <c r="AU430" t="s">
        <v>219</v>
      </c>
      <c r="AW430" s="4">
        <f t="shared" si="213"/>
        <v>6</v>
      </c>
      <c r="AX430" s="4">
        <f t="shared" si="214"/>
        <v>4</v>
      </c>
      <c r="AY430" s="4">
        <f t="shared" si="215"/>
        <v>4</v>
      </c>
      <c r="AZ430" s="4">
        <f t="shared" si="216"/>
        <v>2</v>
      </c>
      <c r="BA430" s="4">
        <f t="shared" si="217"/>
        <v>4</v>
      </c>
      <c r="BB430" s="4">
        <f t="shared" si="218"/>
        <v>4</v>
      </c>
      <c r="BC430" s="4">
        <f t="shared" si="219"/>
        <v>4</v>
      </c>
      <c r="BD430" s="4">
        <f t="shared" si="220"/>
        <v>2</v>
      </c>
      <c r="BE430" s="4">
        <f t="shared" si="221"/>
        <v>4</v>
      </c>
      <c r="BF430" s="4">
        <f t="shared" si="222"/>
        <v>2</v>
      </c>
      <c r="BG430" s="4">
        <f t="shared" si="223"/>
        <v>4</v>
      </c>
      <c r="BH430" s="4">
        <f t="shared" si="224"/>
        <v>4</v>
      </c>
      <c r="BI430" s="4">
        <f t="shared" si="225"/>
        <v>4</v>
      </c>
      <c r="BJ430" s="4">
        <f t="shared" si="226"/>
        <v>2</v>
      </c>
      <c r="BK430" s="4">
        <f t="shared" si="227"/>
        <v>4</v>
      </c>
      <c r="BL430" s="4">
        <f t="shared" si="228"/>
        <v>2</v>
      </c>
      <c r="BM430" s="4">
        <f t="shared" si="229"/>
        <v>4</v>
      </c>
      <c r="BN430" s="4">
        <f t="shared" si="230"/>
        <v>4</v>
      </c>
      <c r="BO430" s="4">
        <f t="shared" si="231"/>
        <v>4</v>
      </c>
      <c r="BP430" s="4">
        <f t="shared" si="232"/>
        <v>4</v>
      </c>
      <c r="BQ430" s="4">
        <f t="shared" si="233"/>
        <v>6</v>
      </c>
      <c r="BR430" s="4">
        <f t="shared" si="234"/>
        <v>4</v>
      </c>
      <c r="BS430" s="4">
        <f t="shared" si="235"/>
        <v>4</v>
      </c>
      <c r="BT430" s="4">
        <f t="shared" si="236"/>
        <v>4</v>
      </c>
      <c r="BU430" s="4">
        <f t="shared" si="237"/>
        <v>4</v>
      </c>
      <c r="BV430" s="4">
        <f t="shared" si="238"/>
        <v>0</v>
      </c>
      <c r="BW430" s="4">
        <f t="shared" si="239"/>
        <v>6</v>
      </c>
      <c r="BX430" s="4">
        <f t="shared" si="240"/>
        <v>0</v>
      </c>
      <c r="BY430" s="4">
        <f t="shared" si="241"/>
        <v>0</v>
      </c>
      <c r="BZ430" s="37">
        <f t="shared" si="242"/>
        <v>100</v>
      </c>
      <c r="CA430" s="32" t="str">
        <f>VLOOKUP(J:J,'Agent wise'!A:C,3,0)</f>
        <v>Amal</v>
      </c>
      <c r="CB430" s="32">
        <f t="shared" si="243"/>
        <v>45937</v>
      </c>
      <c r="CC430" t="str">
        <f t="shared" si="244"/>
        <v>Excellent</v>
      </c>
      <c r="CE430" s="32"/>
      <c r="CJ430">
        <f t="shared" si="245"/>
        <v>7</v>
      </c>
      <c r="CK430">
        <f t="shared" si="246"/>
        <v>10</v>
      </c>
      <c r="CL430">
        <f t="shared" si="247"/>
        <v>2025</v>
      </c>
    </row>
    <row r="431" spans="1:90" ht="15" customHeight="1" x14ac:dyDescent="0.35">
      <c r="A431" s="40">
        <v>45848.760034722232</v>
      </c>
      <c r="B431" t="s">
        <v>250</v>
      </c>
      <c r="C431" t="s">
        <v>214</v>
      </c>
      <c r="D431" t="s">
        <v>251</v>
      </c>
      <c r="E431" s="32">
        <v>45937</v>
      </c>
      <c r="F431" t="s">
        <v>222</v>
      </c>
      <c r="G431" s="2">
        <v>45818</v>
      </c>
      <c r="H431">
        <v>9400743745</v>
      </c>
      <c r="I431">
        <v>160</v>
      </c>
      <c r="J431" t="s">
        <v>242</v>
      </c>
      <c r="K431" t="s">
        <v>57</v>
      </c>
      <c r="L431" t="s">
        <v>58</v>
      </c>
      <c r="M431" t="s">
        <v>59</v>
      </c>
      <c r="N431" t="s">
        <v>59</v>
      </c>
      <c r="O431" t="s">
        <v>59</v>
      </c>
      <c r="P431" t="s">
        <v>59</v>
      </c>
      <c r="Q431" t="s">
        <v>59</v>
      </c>
      <c r="R431" t="s">
        <v>59</v>
      </c>
      <c r="S431" t="s">
        <v>59</v>
      </c>
      <c r="T431" t="s">
        <v>59</v>
      </c>
      <c r="U431" t="s">
        <v>60</v>
      </c>
      <c r="V431" t="s">
        <v>59</v>
      </c>
      <c r="W431" t="s">
        <v>59</v>
      </c>
      <c r="X431" t="s">
        <v>59</v>
      </c>
      <c r="Y431" t="s">
        <v>59</v>
      </c>
      <c r="Z431" t="s">
        <v>59</v>
      </c>
      <c r="AA431" t="s">
        <v>59</v>
      </c>
      <c r="AB431" t="s">
        <v>60</v>
      </c>
      <c r="AC431" t="s">
        <v>59</v>
      </c>
      <c r="AD431" t="s">
        <v>59</v>
      </c>
      <c r="AE431" t="s">
        <v>59</v>
      </c>
      <c r="AF431" t="s">
        <v>59</v>
      </c>
      <c r="AG431" t="s">
        <v>59</v>
      </c>
      <c r="AH431" t="s">
        <v>61</v>
      </c>
      <c r="AI431" t="s">
        <v>61</v>
      </c>
      <c r="AJ431" t="s">
        <v>59</v>
      </c>
      <c r="AK431" t="s">
        <v>59</v>
      </c>
      <c r="AL431" t="s">
        <v>60</v>
      </c>
      <c r="AM431" t="s">
        <v>59</v>
      </c>
      <c r="AN431" t="s">
        <v>59</v>
      </c>
      <c r="AO431" t="s">
        <v>59</v>
      </c>
      <c r="AP431" t="s">
        <v>467</v>
      </c>
      <c r="AQ431" t="s">
        <v>1072</v>
      </c>
      <c r="AR431" t="s">
        <v>226</v>
      </c>
      <c r="AS431" t="s">
        <v>720</v>
      </c>
      <c r="AT431" t="s">
        <v>331</v>
      </c>
      <c r="AU431" t="s">
        <v>219</v>
      </c>
      <c r="AW431" s="4">
        <f t="shared" si="213"/>
        <v>6</v>
      </c>
      <c r="AX431" s="4">
        <f t="shared" si="214"/>
        <v>4</v>
      </c>
      <c r="AY431" s="4">
        <f t="shared" si="215"/>
        <v>4</v>
      </c>
      <c r="AZ431" s="4">
        <f t="shared" si="216"/>
        <v>2</v>
      </c>
      <c r="BA431" s="4">
        <f t="shared" si="217"/>
        <v>4</v>
      </c>
      <c r="BB431" s="4">
        <f t="shared" si="218"/>
        <v>4</v>
      </c>
      <c r="BC431" s="4">
        <f t="shared" si="219"/>
        <v>4</v>
      </c>
      <c r="BD431" s="4">
        <f t="shared" si="220"/>
        <v>2</v>
      </c>
      <c r="BE431" s="4" t="str">
        <f t="shared" si="221"/>
        <v>0</v>
      </c>
      <c r="BF431" s="4">
        <f t="shared" si="222"/>
        <v>2</v>
      </c>
      <c r="BG431" s="4">
        <f t="shared" si="223"/>
        <v>4</v>
      </c>
      <c r="BH431" s="4">
        <f t="shared" si="224"/>
        <v>4</v>
      </c>
      <c r="BI431" s="4">
        <f t="shared" si="225"/>
        <v>4</v>
      </c>
      <c r="BJ431" s="4">
        <f t="shared" si="226"/>
        <v>2</v>
      </c>
      <c r="BK431" s="4">
        <f t="shared" si="227"/>
        <v>4</v>
      </c>
      <c r="BL431" s="4" t="str">
        <f t="shared" si="228"/>
        <v>0</v>
      </c>
      <c r="BM431" s="4">
        <f t="shared" si="229"/>
        <v>4</v>
      </c>
      <c r="BN431" s="4">
        <f t="shared" si="230"/>
        <v>4</v>
      </c>
      <c r="BO431" s="4">
        <f t="shared" si="231"/>
        <v>4</v>
      </c>
      <c r="BP431" s="4">
        <f t="shared" si="232"/>
        <v>4</v>
      </c>
      <c r="BQ431" s="4">
        <f t="shared" si="233"/>
        <v>6</v>
      </c>
      <c r="BR431" s="4">
        <f t="shared" si="234"/>
        <v>4</v>
      </c>
      <c r="BS431" s="4">
        <f t="shared" si="235"/>
        <v>4</v>
      </c>
      <c r="BT431" s="4">
        <f t="shared" si="236"/>
        <v>4</v>
      </c>
      <c r="BU431" s="4">
        <f t="shared" si="237"/>
        <v>4</v>
      </c>
      <c r="BV431" s="4" t="str">
        <f t="shared" si="238"/>
        <v>0</v>
      </c>
      <c r="BW431" s="4">
        <f t="shared" si="239"/>
        <v>6</v>
      </c>
      <c r="BX431" s="4">
        <f t="shared" si="240"/>
        <v>0</v>
      </c>
      <c r="BY431" s="4">
        <f t="shared" si="241"/>
        <v>0</v>
      </c>
      <c r="BZ431" s="37">
        <f t="shared" si="242"/>
        <v>94</v>
      </c>
      <c r="CA431" s="32" t="str">
        <f>VLOOKUP(J:J,'Agent wise'!A:C,3,0)</f>
        <v>Amal</v>
      </c>
      <c r="CB431" s="32">
        <f t="shared" si="243"/>
        <v>45937</v>
      </c>
      <c r="CC431" t="str">
        <f t="shared" si="244"/>
        <v>Good</v>
      </c>
      <c r="CE431" s="32"/>
      <c r="CJ431">
        <f t="shared" si="245"/>
        <v>7</v>
      </c>
      <c r="CK431">
        <f t="shared" si="246"/>
        <v>10</v>
      </c>
      <c r="CL431">
        <f t="shared" si="247"/>
        <v>2025</v>
      </c>
    </row>
    <row r="432" spans="1:90" ht="15" customHeight="1" x14ac:dyDescent="0.35">
      <c r="A432" s="40">
        <v>45848.76284722222</v>
      </c>
      <c r="B432" t="s">
        <v>100</v>
      </c>
      <c r="C432" t="s">
        <v>214</v>
      </c>
      <c r="D432" t="s">
        <v>101</v>
      </c>
      <c r="E432" s="32">
        <v>45937</v>
      </c>
      <c r="F432" t="s">
        <v>222</v>
      </c>
      <c r="G432" s="2">
        <v>45818</v>
      </c>
      <c r="H432">
        <v>9790982418</v>
      </c>
      <c r="I432">
        <v>148</v>
      </c>
      <c r="J432" t="s">
        <v>1073</v>
      </c>
      <c r="K432" t="s">
        <v>71</v>
      </c>
      <c r="L432" t="s">
        <v>72</v>
      </c>
      <c r="M432" t="s">
        <v>59</v>
      </c>
      <c r="N432" t="s">
        <v>59</v>
      </c>
      <c r="O432" t="s">
        <v>59</v>
      </c>
      <c r="P432" t="s">
        <v>59</v>
      </c>
      <c r="Q432" t="s">
        <v>59</v>
      </c>
      <c r="R432" t="s">
        <v>59</v>
      </c>
      <c r="S432" t="s">
        <v>59</v>
      </c>
      <c r="T432" t="s">
        <v>59</v>
      </c>
      <c r="U432" t="s">
        <v>59</v>
      </c>
      <c r="V432" t="s">
        <v>59</v>
      </c>
      <c r="W432" t="s">
        <v>59</v>
      </c>
      <c r="X432" t="s">
        <v>59</v>
      </c>
      <c r="Y432" t="s">
        <v>59</v>
      </c>
      <c r="Z432" t="s">
        <v>59</v>
      </c>
      <c r="AA432" t="s">
        <v>60</v>
      </c>
      <c r="AB432" t="s">
        <v>59</v>
      </c>
      <c r="AC432" t="s">
        <v>59</v>
      </c>
      <c r="AD432" t="s">
        <v>59</v>
      </c>
      <c r="AE432" t="s">
        <v>59</v>
      </c>
      <c r="AF432" t="s">
        <v>59</v>
      </c>
      <c r="AG432" t="s">
        <v>59</v>
      </c>
      <c r="AH432" t="s">
        <v>59</v>
      </c>
      <c r="AI432" t="s">
        <v>61</v>
      </c>
      <c r="AJ432" t="s">
        <v>59</v>
      </c>
      <c r="AK432" t="s">
        <v>59</v>
      </c>
      <c r="AL432" t="s">
        <v>59</v>
      </c>
      <c r="AM432" t="s">
        <v>59</v>
      </c>
      <c r="AN432" t="s">
        <v>59</v>
      </c>
      <c r="AO432" t="s">
        <v>59</v>
      </c>
      <c r="AP432" t="s">
        <v>1039</v>
      </c>
      <c r="AQ432" t="s">
        <v>1074</v>
      </c>
      <c r="AR432" t="s">
        <v>226</v>
      </c>
      <c r="AS432" t="s">
        <v>352</v>
      </c>
      <c r="AT432" t="s">
        <v>352</v>
      </c>
      <c r="AU432" t="s">
        <v>219</v>
      </c>
      <c r="AW432" s="4">
        <f t="shared" si="213"/>
        <v>6</v>
      </c>
      <c r="AX432" s="4">
        <f t="shared" si="214"/>
        <v>4</v>
      </c>
      <c r="AY432" s="4">
        <f t="shared" si="215"/>
        <v>4</v>
      </c>
      <c r="AZ432" s="4">
        <f t="shared" si="216"/>
        <v>2</v>
      </c>
      <c r="BA432" s="4">
        <f t="shared" si="217"/>
        <v>4</v>
      </c>
      <c r="BB432" s="4">
        <f t="shared" si="218"/>
        <v>4</v>
      </c>
      <c r="BC432" s="4">
        <f t="shared" si="219"/>
        <v>4</v>
      </c>
      <c r="BD432" s="4">
        <f t="shared" si="220"/>
        <v>2</v>
      </c>
      <c r="BE432" s="4">
        <f t="shared" si="221"/>
        <v>4</v>
      </c>
      <c r="BF432" s="4">
        <f t="shared" si="222"/>
        <v>2</v>
      </c>
      <c r="BG432" s="4">
        <f t="shared" si="223"/>
        <v>4</v>
      </c>
      <c r="BH432" s="4">
        <f t="shared" si="224"/>
        <v>4</v>
      </c>
      <c r="BI432" s="4">
        <f t="shared" si="225"/>
        <v>4</v>
      </c>
      <c r="BJ432" s="4">
        <f t="shared" si="226"/>
        <v>2</v>
      </c>
      <c r="BK432" s="4" t="str">
        <f t="shared" si="227"/>
        <v>0</v>
      </c>
      <c r="BL432" s="4">
        <f t="shared" si="228"/>
        <v>2</v>
      </c>
      <c r="BM432" s="4">
        <f t="shared" si="229"/>
        <v>4</v>
      </c>
      <c r="BN432" s="4">
        <f t="shared" si="230"/>
        <v>4</v>
      </c>
      <c r="BO432" s="4">
        <f t="shared" si="231"/>
        <v>4</v>
      </c>
      <c r="BP432" s="4">
        <f t="shared" si="232"/>
        <v>4</v>
      </c>
      <c r="BQ432" s="4">
        <f t="shared" si="233"/>
        <v>6</v>
      </c>
      <c r="BR432" s="4">
        <f t="shared" si="234"/>
        <v>4</v>
      </c>
      <c r="BS432" s="4">
        <f t="shared" si="235"/>
        <v>4</v>
      </c>
      <c r="BT432" s="4">
        <f t="shared" si="236"/>
        <v>4</v>
      </c>
      <c r="BU432" s="4">
        <f t="shared" si="237"/>
        <v>4</v>
      </c>
      <c r="BV432" s="4">
        <f t="shared" si="238"/>
        <v>0</v>
      </c>
      <c r="BW432" s="4">
        <f t="shared" si="239"/>
        <v>6</v>
      </c>
      <c r="BX432" s="4">
        <f t="shared" si="240"/>
        <v>0</v>
      </c>
      <c r="BY432" s="4">
        <f t="shared" si="241"/>
        <v>0</v>
      </c>
      <c r="BZ432" s="37">
        <f t="shared" si="242"/>
        <v>96</v>
      </c>
      <c r="CA432" s="32" t="e">
        <f>VLOOKUP(J:J,'Agent wise'!A:C,3,0)</f>
        <v>#N/A</v>
      </c>
      <c r="CB432" s="32">
        <f t="shared" si="243"/>
        <v>45937</v>
      </c>
      <c r="CC432" t="str">
        <f t="shared" si="244"/>
        <v>Excellent</v>
      </c>
      <c r="CE432" s="32"/>
      <c r="CJ432">
        <f t="shared" si="245"/>
        <v>7</v>
      </c>
      <c r="CK432">
        <f t="shared" si="246"/>
        <v>10</v>
      </c>
      <c r="CL432">
        <f t="shared" si="247"/>
        <v>2025</v>
      </c>
    </row>
    <row r="433" spans="1:90" ht="15" customHeight="1" x14ac:dyDescent="0.35">
      <c r="A433" s="40">
        <v>45848.764594907407</v>
      </c>
      <c r="B433" t="s">
        <v>100</v>
      </c>
      <c r="C433" t="s">
        <v>214</v>
      </c>
      <c r="D433" t="s">
        <v>101</v>
      </c>
      <c r="E433" s="32">
        <v>45937</v>
      </c>
      <c r="F433" t="s">
        <v>222</v>
      </c>
      <c r="G433" s="2">
        <v>45818</v>
      </c>
      <c r="H433">
        <v>9841755357</v>
      </c>
      <c r="I433">
        <v>140</v>
      </c>
      <c r="J433" t="s">
        <v>149</v>
      </c>
      <c r="K433" t="s">
        <v>71</v>
      </c>
      <c r="L433" t="s">
        <v>72</v>
      </c>
      <c r="M433" t="s">
        <v>59</v>
      </c>
      <c r="N433" t="s">
        <v>59</v>
      </c>
      <c r="O433" t="s">
        <v>59</v>
      </c>
      <c r="P433" t="s">
        <v>59</v>
      </c>
      <c r="Q433" t="s">
        <v>59</v>
      </c>
      <c r="R433" t="s">
        <v>59</v>
      </c>
      <c r="S433" t="s">
        <v>59</v>
      </c>
      <c r="T433" t="s">
        <v>59</v>
      </c>
      <c r="U433" t="s">
        <v>59</v>
      </c>
      <c r="V433" t="s">
        <v>59</v>
      </c>
      <c r="W433" t="s">
        <v>59</v>
      </c>
      <c r="X433" t="s">
        <v>59</v>
      </c>
      <c r="Y433" t="s">
        <v>59</v>
      </c>
      <c r="Z433" t="s">
        <v>59</v>
      </c>
      <c r="AA433" t="s">
        <v>59</v>
      </c>
      <c r="AB433" t="s">
        <v>59</v>
      </c>
      <c r="AC433" t="s">
        <v>59</v>
      </c>
      <c r="AD433" t="s">
        <v>59</v>
      </c>
      <c r="AE433" t="s">
        <v>59</v>
      </c>
      <c r="AF433" t="s">
        <v>59</v>
      </c>
      <c r="AG433" t="s">
        <v>59</v>
      </c>
      <c r="AH433" t="s">
        <v>59</v>
      </c>
      <c r="AI433" t="s">
        <v>60</v>
      </c>
      <c r="AJ433" t="s">
        <v>59</v>
      </c>
      <c r="AK433" t="s">
        <v>59</v>
      </c>
      <c r="AL433" t="s">
        <v>59</v>
      </c>
      <c r="AM433" t="s">
        <v>59</v>
      </c>
      <c r="AN433" t="s">
        <v>59</v>
      </c>
      <c r="AO433" t="s">
        <v>59</v>
      </c>
      <c r="AP433" t="s">
        <v>1075</v>
      </c>
      <c r="AQ433" t="s">
        <v>1051</v>
      </c>
      <c r="AR433" t="s">
        <v>226</v>
      </c>
      <c r="AS433" t="s">
        <v>352</v>
      </c>
      <c r="AT433" t="s">
        <v>352</v>
      </c>
      <c r="AU433" t="s">
        <v>219</v>
      </c>
      <c r="AW433" s="4">
        <f t="shared" si="213"/>
        <v>6</v>
      </c>
      <c r="AX433" s="4">
        <f t="shared" si="214"/>
        <v>4</v>
      </c>
      <c r="AY433" s="4">
        <f t="shared" si="215"/>
        <v>4</v>
      </c>
      <c r="AZ433" s="4">
        <f t="shared" si="216"/>
        <v>2</v>
      </c>
      <c r="BA433" s="4">
        <f t="shared" si="217"/>
        <v>4</v>
      </c>
      <c r="BB433" s="4">
        <f t="shared" si="218"/>
        <v>4</v>
      </c>
      <c r="BC433" s="4">
        <f t="shared" si="219"/>
        <v>4</v>
      </c>
      <c r="BD433" s="4">
        <f t="shared" si="220"/>
        <v>2</v>
      </c>
      <c r="BE433" s="4">
        <f t="shared" si="221"/>
        <v>4</v>
      </c>
      <c r="BF433" s="4">
        <f t="shared" si="222"/>
        <v>2</v>
      </c>
      <c r="BG433" s="4">
        <f t="shared" si="223"/>
        <v>4</v>
      </c>
      <c r="BH433" s="4">
        <f t="shared" si="224"/>
        <v>4</v>
      </c>
      <c r="BI433" s="4">
        <f t="shared" si="225"/>
        <v>4</v>
      </c>
      <c r="BJ433" s="4">
        <f t="shared" si="226"/>
        <v>2</v>
      </c>
      <c r="BK433" s="4">
        <f t="shared" si="227"/>
        <v>4</v>
      </c>
      <c r="BL433" s="4">
        <f t="shared" si="228"/>
        <v>2</v>
      </c>
      <c r="BM433" s="4">
        <f t="shared" si="229"/>
        <v>4</v>
      </c>
      <c r="BN433" s="4">
        <f t="shared" si="230"/>
        <v>4</v>
      </c>
      <c r="BO433" s="4">
        <f t="shared" si="231"/>
        <v>4</v>
      </c>
      <c r="BP433" s="4">
        <f t="shared" si="232"/>
        <v>4</v>
      </c>
      <c r="BQ433" s="4">
        <f t="shared" si="233"/>
        <v>6</v>
      </c>
      <c r="BR433" s="4">
        <f t="shared" si="234"/>
        <v>4</v>
      </c>
      <c r="BS433" s="4" t="str">
        <f t="shared" si="235"/>
        <v>0</v>
      </c>
      <c r="BT433" s="4">
        <f t="shared" si="236"/>
        <v>4</v>
      </c>
      <c r="BU433" s="4">
        <f t="shared" si="237"/>
        <v>4</v>
      </c>
      <c r="BV433" s="4">
        <f t="shared" si="238"/>
        <v>0</v>
      </c>
      <c r="BW433" s="4">
        <f t="shared" si="239"/>
        <v>6</v>
      </c>
      <c r="BX433" s="4">
        <f t="shared" si="240"/>
        <v>0</v>
      </c>
      <c r="BY433" s="4">
        <f t="shared" si="241"/>
        <v>0</v>
      </c>
      <c r="BZ433" s="37">
        <f t="shared" si="242"/>
        <v>96</v>
      </c>
      <c r="CA433" s="32" t="str">
        <f>VLOOKUP(J:J,'Agent wise'!A:C,3,0)</f>
        <v>Shakeer</v>
      </c>
      <c r="CB433" s="32">
        <f t="shared" si="243"/>
        <v>45937</v>
      </c>
      <c r="CC433" t="str">
        <f t="shared" si="244"/>
        <v>Excellent</v>
      </c>
      <c r="CE433" s="32"/>
      <c r="CJ433">
        <f t="shared" si="245"/>
        <v>7</v>
      </c>
      <c r="CK433">
        <f t="shared" si="246"/>
        <v>10</v>
      </c>
      <c r="CL433">
        <f t="shared" si="247"/>
        <v>2025</v>
      </c>
    </row>
    <row r="434" spans="1:90" ht="15" customHeight="1" x14ac:dyDescent="0.35">
      <c r="A434" s="40">
        <v>45848.766076388893</v>
      </c>
      <c r="B434" t="s">
        <v>1076</v>
      </c>
      <c r="C434" t="s">
        <v>214</v>
      </c>
      <c r="D434" t="s">
        <v>101</v>
      </c>
      <c r="E434" s="32">
        <v>45937</v>
      </c>
      <c r="F434" t="s">
        <v>222</v>
      </c>
      <c r="G434" s="2">
        <v>45818</v>
      </c>
      <c r="H434">
        <v>9884222655</v>
      </c>
      <c r="I434">
        <v>136</v>
      </c>
      <c r="J434" t="s">
        <v>1077</v>
      </c>
      <c r="K434" t="s">
        <v>71</v>
      </c>
      <c r="L434" t="s">
        <v>72</v>
      </c>
      <c r="M434" t="s">
        <v>59</v>
      </c>
      <c r="N434" t="s">
        <v>59</v>
      </c>
      <c r="O434" t="s">
        <v>59</v>
      </c>
      <c r="P434" t="s">
        <v>59</v>
      </c>
      <c r="Q434" t="s">
        <v>59</v>
      </c>
      <c r="R434" t="s">
        <v>59</v>
      </c>
      <c r="S434" t="s">
        <v>59</v>
      </c>
      <c r="T434" t="s">
        <v>59</v>
      </c>
      <c r="U434" t="s">
        <v>59</v>
      </c>
      <c r="V434" t="s">
        <v>59</v>
      </c>
      <c r="W434" t="s">
        <v>59</v>
      </c>
      <c r="X434" t="s">
        <v>59</v>
      </c>
      <c r="Y434" t="s">
        <v>59</v>
      </c>
      <c r="Z434" t="s">
        <v>59</v>
      </c>
      <c r="AA434" t="s">
        <v>59</v>
      </c>
      <c r="AB434" t="s">
        <v>59</v>
      </c>
      <c r="AC434" t="s">
        <v>59</v>
      </c>
      <c r="AD434" t="s">
        <v>59</v>
      </c>
      <c r="AE434" t="s">
        <v>59</v>
      </c>
      <c r="AF434" t="s">
        <v>59</v>
      </c>
      <c r="AG434" t="s">
        <v>59</v>
      </c>
      <c r="AH434" t="s">
        <v>59</v>
      </c>
      <c r="AI434" t="s">
        <v>61</v>
      </c>
      <c r="AJ434" t="s">
        <v>59</v>
      </c>
      <c r="AK434" t="s">
        <v>59</v>
      </c>
      <c r="AL434" t="s">
        <v>59</v>
      </c>
      <c r="AM434" t="s">
        <v>59</v>
      </c>
      <c r="AN434" t="s">
        <v>59</v>
      </c>
      <c r="AO434" t="s">
        <v>59</v>
      </c>
      <c r="AP434" t="s">
        <v>1039</v>
      </c>
      <c r="AQ434" t="s">
        <v>1078</v>
      </c>
      <c r="AR434" t="s">
        <v>226</v>
      </c>
      <c r="AS434" t="s">
        <v>352</v>
      </c>
      <c r="AT434" t="s">
        <v>352</v>
      </c>
      <c r="AU434" t="s">
        <v>219</v>
      </c>
      <c r="AW434" s="4">
        <f t="shared" si="213"/>
        <v>6</v>
      </c>
      <c r="AX434" s="4">
        <f t="shared" si="214"/>
        <v>4</v>
      </c>
      <c r="AY434" s="4">
        <f t="shared" si="215"/>
        <v>4</v>
      </c>
      <c r="AZ434" s="4">
        <f t="shared" si="216"/>
        <v>2</v>
      </c>
      <c r="BA434" s="4">
        <f t="shared" si="217"/>
        <v>4</v>
      </c>
      <c r="BB434" s="4">
        <f t="shared" si="218"/>
        <v>4</v>
      </c>
      <c r="BC434" s="4">
        <f t="shared" si="219"/>
        <v>4</v>
      </c>
      <c r="BD434" s="4">
        <f t="shared" si="220"/>
        <v>2</v>
      </c>
      <c r="BE434" s="4">
        <f t="shared" si="221"/>
        <v>4</v>
      </c>
      <c r="BF434" s="4">
        <f t="shared" si="222"/>
        <v>2</v>
      </c>
      <c r="BG434" s="4">
        <f t="shared" si="223"/>
        <v>4</v>
      </c>
      <c r="BH434" s="4">
        <f t="shared" si="224"/>
        <v>4</v>
      </c>
      <c r="BI434" s="4">
        <f t="shared" si="225"/>
        <v>4</v>
      </c>
      <c r="BJ434" s="4">
        <f t="shared" si="226"/>
        <v>2</v>
      </c>
      <c r="BK434" s="4">
        <f t="shared" si="227"/>
        <v>4</v>
      </c>
      <c r="BL434" s="4">
        <f t="shared" si="228"/>
        <v>2</v>
      </c>
      <c r="BM434" s="4">
        <f t="shared" si="229"/>
        <v>4</v>
      </c>
      <c r="BN434" s="4">
        <f t="shared" si="230"/>
        <v>4</v>
      </c>
      <c r="BO434" s="4">
        <f t="shared" si="231"/>
        <v>4</v>
      </c>
      <c r="BP434" s="4">
        <f t="shared" si="232"/>
        <v>4</v>
      </c>
      <c r="BQ434" s="4">
        <f t="shared" si="233"/>
        <v>6</v>
      </c>
      <c r="BR434" s="4">
        <f t="shared" si="234"/>
        <v>4</v>
      </c>
      <c r="BS434" s="4">
        <f t="shared" si="235"/>
        <v>4</v>
      </c>
      <c r="BT434" s="4">
        <f t="shared" si="236"/>
        <v>4</v>
      </c>
      <c r="BU434" s="4">
        <f t="shared" si="237"/>
        <v>4</v>
      </c>
      <c r="BV434" s="4">
        <f t="shared" si="238"/>
        <v>0</v>
      </c>
      <c r="BW434" s="4">
        <f t="shared" si="239"/>
        <v>6</v>
      </c>
      <c r="BX434" s="4">
        <f t="shared" si="240"/>
        <v>0</v>
      </c>
      <c r="BY434" s="4">
        <f t="shared" si="241"/>
        <v>0</v>
      </c>
      <c r="BZ434" s="37">
        <f t="shared" si="242"/>
        <v>100</v>
      </c>
      <c r="CA434" s="32" t="e">
        <f>VLOOKUP(J:J,'Agent wise'!A:C,3,0)</f>
        <v>#N/A</v>
      </c>
      <c r="CB434" s="32">
        <f t="shared" si="243"/>
        <v>45937</v>
      </c>
      <c r="CC434" t="str">
        <f t="shared" si="244"/>
        <v>Excellent</v>
      </c>
      <c r="CE434" s="32"/>
      <c r="CJ434">
        <f t="shared" si="245"/>
        <v>7</v>
      </c>
      <c r="CK434">
        <f t="shared" si="246"/>
        <v>10</v>
      </c>
      <c r="CL434">
        <f t="shared" si="247"/>
        <v>2025</v>
      </c>
    </row>
    <row r="435" spans="1:90" ht="15" customHeight="1" x14ac:dyDescent="0.35">
      <c r="A435" s="40">
        <v>45848.767025462963</v>
      </c>
      <c r="B435" t="s">
        <v>250</v>
      </c>
      <c r="C435" t="s">
        <v>214</v>
      </c>
      <c r="D435" t="s">
        <v>251</v>
      </c>
      <c r="E435" s="32">
        <v>45937</v>
      </c>
      <c r="F435" t="s">
        <v>222</v>
      </c>
      <c r="G435" s="2">
        <v>45818</v>
      </c>
      <c r="H435">
        <v>8589086651</v>
      </c>
      <c r="I435">
        <v>144</v>
      </c>
      <c r="J435" t="s">
        <v>353</v>
      </c>
      <c r="K435" t="s">
        <v>57</v>
      </c>
      <c r="L435" t="s">
        <v>58</v>
      </c>
      <c r="M435" t="s">
        <v>59</v>
      </c>
      <c r="N435" t="s">
        <v>59</v>
      </c>
      <c r="O435" t="s">
        <v>59</v>
      </c>
      <c r="P435" t="s">
        <v>59</v>
      </c>
      <c r="Q435" t="s">
        <v>59</v>
      </c>
      <c r="R435" t="s">
        <v>59</v>
      </c>
      <c r="S435" t="s">
        <v>59</v>
      </c>
      <c r="T435" t="s">
        <v>59</v>
      </c>
      <c r="U435" t="s">
        <v>60</v>
      </c>
      <c r="V435" t="s">
        <v>59</v>
      </c>
      <c r="W435" t="s">
        <v>59</v>
      </c>
      <c r="X435" t="s">
        <v>59</v>
      </c>
      <c r="Y435" t="s">
        <v>60</v>
      </c>
      <c r="Z435" t="s">
        <v>59</v>
      </c>
      <c r="AA435" t="s">
        <v>60</v>
      </c>
      <c r="AB435" t="s">
        <v>59</v>
      </c>
      <c r="AC435" t="s">
        <v>59</v>
      </c>
      <c r="AD435" t="s">
        <v>59</v>
      </c>
      <c r="AE435" t="s">
        <v>59</v>
      </c>
      <c r="AF435" t="s">
        <v>59</v>
      </c>
      <c r="AG435" t="s">
        <v>59</v>
      </c>
      <c r="AH435" t="s">
        <v>61</v>
      </c>
      <c r="AI435" t="s">
        <v>59</v>
      </c>
      <c r="AJ435" t="s">
        <v>59</v>
      </c>
      <c r="AK435" t="s">
        <v>59</v>
      </c>
      <c r="AL435" t="s">
        <v>59</v>
      </c>
      <c r="AM435" t="s">
        <v>59</v>
      </c>
      <c r="AN435" t="s">
        <v>59</v>
      </c>
      <c r="AO435" t="s">
        <v>59</v>
      </c>
      <c r="AP435" t="s">
        <v>1079</v>
      </c>
      <c r="AQ435" t="s">
        <v>1080</v>
      </c>
      <c r="AR435" t="s">
        <v>226</v>
      </c>
      <c r="AS435" t="s">
        <v>565</v>
      </c>
      <c r="AT435" t="s">
        <v>394</v>
      </c>
      <c r="AU435" t="s">
        <v>219</v>
      </c>
      <c r="AW435" s="4">
        <f t="shared" si="213"/>
        <v>6</v>
      </c>
      <c r="AX435" s="4">
        <f t="shared" si="214"/>
        <v>4</v>
      </c>
      <c r="AY435" s="4">
        <f t="shared" si="215"/>
        <v>4</v>
      </c>
      <c r="AZ435" s="4">
        <f t="shared" si="216"/>
        <v>2</v>
      </c>
      <c r="BA435" s="4">
        <f t="shared" si="217"/>
        <v>4</v>
      </c>
      <c r="BB435" s="4">
        <f t="shared" si="218"/>
        <v>4</v>
      </c>
      <c r="BC435" s="4">
        <f t="shared" si="219"/>
        <v>4</v>
      </c>
      <c r="BD435" s="4">
        <f t="shared" si="220"/>
        <v>2</v>
      </c>
      <c r="BE435" s="4" t="str">
        <f t="shared" si="221"/>
        <v>0</v>
      </c>
      <c r="BF435" s="4">
        <f t="shared" si="222"/>
        <v>2</v>
      </c>
      <c r="BG435" s="4">
        <f t="shared" si="223"/>
        <v>4</v>
      </c>
      <c r="BH435" s="4">
        <f t="shared" si="224"/>
        <v>4</v>
      </c>
      <c r="BI435" s="4" t="str">
        <f t="shared" si="225"/>
        <v>0</v>
      </c>
      <c r="BJ435" s="4">
        <f t="shared" si="226"/>
        <v>2</v>
      </c>
      <c r="BK435" s="4" t="str">
        <f t="shared" si="227"/>
        <v>0</v>
      </c>
      <c r="BL435" s="4">
        <f t="shared" si="228"/>
        <v>2</v>
      </c>
      <c r="BM435" s="4">
        <f t="shared" si="229"/>
        <v>4</v>
      </c>
      <c r="BN435" s="4">
        <f t="shared" si="230"/>
        <v>4</v>
      </c>
      <c r="BO435" s="4">
        <f t="shared" si="231"/>
        <v>4</v>
      </c>
      <c r="BP435" s="4">
        <f t="shared" si="232"/>
        <v>4</v>
      </c>
      <c r="BQ435" s="4">
        <f t="shared" si="233"/>
        <v>6</v>
      </c>
      <c r="BR435" s="4">
        <f t="shared" si="234"/>
        <v>4</v>
      </c>
      <c r="BS435" s="4">
        <f t="shared" si="235"/>
        <v>4</v>
      </c>
      <c r="BT435" s="4">
        <f t="shared" si="236"/>
        <v>4</v>
      </c>
      <c r="BU435" s="4">
        <f t="shared" si="237"/>
        <v>4</v>
      </c>
      <c r="BV435" s="4">
        <f t="shared" si="238"/>
        <v>0</v>
      </c>
      <c r="BW435" s="4">
        <f t="shared" si="239"/>
        <v>6</v>
      </c>
      <c r="BX435" s="4">
        <f t="shared" si="240"/>
        <v>0</v>
      </c>
      <c r="BY435" s="4">
        <f t="shared" si="241"/>
        <v>0</v>
      </c>
      <c r="BZ435" s="37">
        <f t="shared" si="242"/>
        <v>88</v>
      </c>
      <c r="CA435" s="32" t="str">
        <f>VLOOKUP(J:J,'Agent wise'!A:C,3,0)</f>
        <v>Amal</v>
      </c>
      <c r="CB435" s="32">
        <f t="shared" si="243"/>
        <v>45937</v>
      </c>
      <c r="CC435" t="str">
        <f t="shared" si="244"/>
        <v>Average</v>
      </c>
      <c r="CE435" s="32"/>
      <c r="CJ435">
        <f t="shared" si="245"/>
        <v>7</v>
      </c>
      <c r="CK435">
        <f t="shared" si="246"/>
        <v>10</v>
      </c>
      <c r="CL435">
        <f t="shared" si="247"/>
        <v>2025</v>
      </c>
    </row>
    <row r="436" spans="1:90" ht="15" customHeight="1" x14ac:dyDescent="0.35">
      <c r="A436" s="40">
        <v>45848.773101851853</v>
      </c>
      <c r="B436" t="s">
        <v>250</v>
      </c>
      <c r="C436" t="s">
        <v>214</v>
      </c>
      <c r="D436" t="s">
        <v>251</v>
      </c>
      <c r="E436" s="32">
        <v>45937</v>
      </c>
      <c r="F436" t="s">
        <v>306</v>
      </c>
      <c r="G436" s="2">
        <v>45818</v>
      </c>
      <c r="H436">
        <v>9207601108</v>
      </c>
      <c r="I436">
        <v>142</v>
      </c>
      <c r="J436" t="s">
        <v>307</v>
      </c>
      <c r="K436" t="s">
        <v>57</v>
      </c>
      <c r="L436" t="s">
        <v>58</v>
      </c>
      <c r="M436" t="s">
        <v>59</v>
      </c>
      <c r="N436" t="s">
        <v>59</v>
      </c>
      <c r="O436" t="s">
        <v>60</v>
      </c>
      <c r="P436" t="s">
        <v>59</v>
      </c>
      <c r="Q436" t="s">
        <v>59</v>
      </c>
      <c r="R436" t="s">
        <v>59</v>
      </c>
      <c r="S436" t="s">
        <v>59</v>
      </c>
      <c r="T436" t="s">
        <v>59</v>
      </c>
      <c r="U436" t="s">
        <v>60</v>
      </c>
      <c r="V436" t="s">
        <v>59</v>
      </c>
      <c r="W436" t="s">
        <v>59</v>
      </c>
      <c r="X436" t="s">
        <v>59</v>
      </c>
      <c r="Y436" t="s">
        <v>59</v>
      </c>
      <c r="Z436" t="s">
        <v>59</v>
      </c>
      <c r="AA436" t="s">
        <v>59</v>
      </c>
      <c r="AB436" t="s">
        <v>61</v>
      </c>
      <c r="AC436" t="s">
        <v>59</v>
      </c>
      <c r="AD436" t="s">
        <v>59</v>
      </c>
      <c r="AE436" t="s">
        <v>59</v>
      </c>
      <c r="AF436" t="s">
        <v>59</v>
      </c>
      <c r="AG436" t="s">
        <v>59</v>
      </c>
      <c r="AH436" t="s">
        <v>61</v>
      </c>
      <c r="AI436" t="s">
        <v>61</v>
      </c>
      <c r="AJ436" t="s">
        <v>59</v>
      </c>
      <c r="AK436" t="s">
        <v>59</v>
      </c>
      <c r="AL436" t="s">
        <v>60</v>
      </c>
      <c r="AM436" t="s">
        <v>59</v>
      </c>
      <c r="AN436" t="s">
        <v>59</v>
      </c>
      <c r="AO436" t="s">
        <v>59</v>
      </c>
      <c r="AP436" t="s">
        <v>1081</v>
      </c>
      <c r="AQ436" t="s">
        <v>1082</v>
      </c>
      <c r="AR436" t="s">
        <v>226</v>
      </c>
      <c r="AS436" t="s">
        <v>1083</v>
      </c>
      <c r="AT436" t="s">
        <v>1084</v>
      </c>
      <c r="AU436" t="s">
        <v>219</v>
      </c>
      <c r="AW436" s="4">
        <f t="shared" si="213"/>
        <v>6</v>
      </c>
      <c r="AX436" s="4">
        <f t="shared" si="214"/>
        <v>4</v>
      </c>
      <c r="AY436" s="4" t="str">
        <f t="shared" si="215"/>
        <v>0</v>
      </c>
      <c r="AZ436" s="4">
        <f t="shared" si="216"/>
        <v>2</v>
      </c>
      <c r="BA436" s="4">
        <f t="shared" si="217"/>
        <v>4</v>
      </c>
      <c r="BB436" s="4">
        <f t="shared" si="218"/>
        <v>4</v>
      </c>
      <c r="BC436" s="4">
        <f t="shared" si="219"/>
        <v>4</v>
      </c>
      <c r="BD436" s="4">
        <f t="shared" si="220"/>
        <v>2</v>
      </c>
      <c r="BE436" s="4" t="str">
        <f t="shared" si="221"/>
        <v>0</v>
      </c>
      <c r="BF436" s="4">
        <f t="shared" si="222"/>
        <v>2</v>
      </c>
      <c r="BG436" s="4">
        <f t="shared" si="223"/>
        <v>4</v>
      </c>
      <c r="BH436" s="4">
        <f t="shared" si="224"/>
        <v>4</v>
      </c>
      <c r="BI436" s="4">
        <f t="shared" si="225"/>
        <v>4</v>
      </c>
      <c r="BJ436" s="4">
        <f t="shared" si="226"/>
        <v>2</v>
      </c>
      <c r="BK436" s="4">
        <f t="shared" si="227"/>
        <v>4</v>
      </c>
      <c r="BL436" s="4">
        <f t="shared" si="228"/>
        <v>2</v>
      </c>
      <c r="BM436" s="4">
        <f t="shared" si="229"/>
        <v>4</v>
      </c>
      <c r="BN436" s="4">
        <f t="shared" si="230"/>
        <v>4</v>
      </c>
      <c r="BO436" s="4">
        <f t="shared" si="231"/>
        <v>4</v>
      </c>
      <c r="BP436" s="4">
        <f t="shared" si="232"/>
        <v>4</v>
      </c>
      <c r="BQ436" s="4">
        <f t="shared" si="233"/>
        <v>6</v>
      </c>
      <c r="BR436" s="4">
        <f t="shared" si="234"/>
        <v>4</v>
      </c>
      <c r="BS436" s="4">
        <f t="shared" si="235"/>
        <v>4</v>
      </c>
      <c r="BT436" s="4">
        <f t="shared" si="236"/>
        <v>4</v>
      </c>
      <c r="BU436" s="4">
        <f t="shared" si="237"/>
        <v>4</v>
      </c>
      <c r="BV436" s="4" t="str">
        <f t="shared" si="238"/>
        <v>0</v>
      </c>
      <c r="BW436" s="4">
        <f t="shared" si="239"/>
        <v>6</v>
      </c>
      <c r="BX436" s="4">
        <f t="shared" si="240"/>
        <v>0</v>
      </c>
      <c r="BY436" s="4">
        <f t="shared" si="241"/>
        <v>0</v>
      </c>
      <c r="BZ436" s="37">
        <f t="shared" si="242"/>
        <v>92</v>
      </c>
      <c r="CA436" s="32" t="str">
        <f>VLOOKUP(J:J,'Agent wise'!A:C,3,0)</f>
        <v>Amal</v>
      </c>
      <c r="CB436" s="32">
        <f t="shared" si="243"/>
        <v>45937</v>
      </c>
      <c r="CC436" t="str">
        <f t="shared" si="244"/>
        <v>Good</v>
      </c>
      <c r="CE436" s="32"/>
      <c r="CJ436">
        <f t="shared" si="245"/>
        <v>7</v>
      </c>
      <c r="CK436">
        <f t="shared" si="246"/>
        <v>10</v>
      </c>
      <c r="CL436">
        <f t="shared" si="247"/>
        <v>2025</v>
      </c>
    </row>
    <row r="437" spans="1:90" ht="15" customHeight="1" x14ac:dyDescent="0.35">
      <c r="A437" s="40">
        <v>45848.773935185192</v>
      </c>
      <c r="B437" t="s">
        <v>100</v>
      </c>
      <c r="C437" t="s">
        <v>214</v>
      </c>
      <c r="D437" t="s">
        <v>101</v>
      </c>
      <c r="E437" s="32">
        <v>45937</v>
      </c>
      <c r="F437" t="s">
        <v>54</v>
      </c>
      <c r="G437" s="2">
        <v>45818</v>
      </c>
      <c r="H437">
        <v>8078342947</v>
      </c>
      <c r="I437">
        <v>157</v>
      </c>
      <c r="J437" t="s">
        <v>412</v>
      </c>
      <c r="K437" t="s">
        <v>57</v>
      </c>
      <c r="L437" t="s">
        <v>58</v>
      </c>
      <c r="M437" t="s">
        <v>59</v>
      </c>
      <c r="N437" t="s">
        <v>59</v>
      </c>
      <c r="O437" t="s">
        <v>59</v>
      </c>
      <c r="P437" t="s">
        <v>59</v>
      </c>
      <c r="Q437" t="s">
        <v>59</v>
      </c>
      <c r="R437" t="s">
        <v>59</v>
      </c>
      <c r="S437" t="s">
        <v>59</v>
      </c>
      <c r="T437" t="s">
        <v>59</v>
      </c>
      <c r="U437" t="s">
        <v>59</v>
      </c>
      <c r="V437" t="s">
        <v>59</v>
      </c>
      <c r="W437" t="s">
        <v>59</v>
      </c>
      <c r="X437" t="s">
        <v>59</v>
      </c>
      <c r="Y437" t="s">
        <v>59</v>
      </c>
      <c r="Z437" t="s">
        <v>59</v>
      </c>
      <c r="AA437" t="s">
        <v>60</v>
      </c>
      <c r="AB437" t="s">
        <v>59</v>
      </c>
      <c r="AC437" t="s">
        <v>59</v>
      </c>
      <c r="AD437" t="s">
        <v>61</v>
      </c>
      <c r="AE437" t="s">
        <v>59</v>
      </c>
      <c r="AF437" t="s">
        <v>59</v>
      </c>
      <c r="AG437" t="s">
        <v>59</v>
      </c>
      <c r="AH437" t="s">
        <v>59</v>
      </c>
      <c r="AI437" t="s">
        <v>61</v>
      </c>
      <c r="AJ437" t="s">
        <v>59</v>
      </c>
      <c r="AK437" t="s">
        <v>59</v>
      </c>
      <c r="AL437" t="s">
        <v>59</v>
      </c>
      <c r="AM437" t="s">
        <v>59</v>
      </c>
      <c r="AN437" t="s">
        <v>59</v>
      </c>
      <c r="AO437" t="s">
        <v>59</v>
      </c>
      <c r="AP437" t="s">
        <v>1085</v>
      </c>
      <c r="AQ437" t="s">
        <v>1086</v>
      </c>
      <c r="AR437" t="s">
        <v>64</v>
      </c>
      <c r="AS437" t="s">
        <v>152</v>
      </c>
      <c r="AT437" t="s">
        <v>267</v>
      </c>
      <c r="AU437" t="s">
        <v>387</v>
      </c>
      <c r="AW437" s="4">
        <f t="shared" si="213"/>
        <v>6</v>
      </c>
      <c r="AX437" s="4">
        <f t="shared" si="214"/>
        <v>4</v>
      </c>
      <c r="AY437" s="4">
        <f t="shared" si="215"/>
        <v>4</v>
      </c>
      <c r="AZ437" s="4">
        <f t="shared" si="216"/>
        <v>2</v>
      </c>
      <c r="BA437" s="4">
        <f t="shared" si="217"/>
        <v>4</v>
      </c>
      <c r="BB437" s="4">
        <f t="shared" si="218"/>
        <v>4</v>
      </c>
      <c r="BC437" s="4">
        <f t="shared" si="219"/>
        <v>4</v>
      </c>
      <c r="BD437" s="4">
        <f t="shared" si="220"/>
        <v>2</v>
      </c>
      <c r="BE437" s="4">
        <f t="shared" si="221"/>
        <v>4</v>
      </c>
      <c r="BF437" s="4">
        <f t="shared" si="222"/>
        <v>2</v>
      </c>
      <c r="BG437" s="4">
        <f t="shared" si="223"/>
        <v>4</v>
      </c>
      <c r="BH437" s="4">
        <f t="shared" si="224"/>
        <v>4</v>
      </c>
      <c r="BI437" s="4">
        <f t="shared" si="225"/>
        <v>4</v>
      </c>
      <c r="BJ437" s="4">
        <f t="shared" si="226"/>
        <v>2</v>
      </c>
      <c r="BK437" s="4" t="str">
        <f t="shared" si="227"/>
        <v>0</v>
      </c>
      <c r="BL437" s="4">
        <f t="shared" si="228"/>
        <v>2</v>
      </c>
      <c r="BM437" s="4">
        <f t="shared" si="229"/>
        <v>4</v>
      </c>
      <c r="BN437" s="4">
        <f t="shared" si="230"/>
        <v>4</v>
      </c>
      <c r="BO437" s="4">
        <f t="shared" si="231"/>
        <v>4</v>
      </c>
      <c r="BP437" s="4">
        <f t="shared" si="232"/>
        <v>4</v>
      </c>
      <c r="BQ437" s="4">
        <f t="shared" si="233"/>
        <v>6</v>
      </c>
      <c r="BR437" s="4">
        <f t="shared" si="234"/>
        <v>4</v>
      </c>
      <c r="BS437" s="4">
        <f t="shared" si="235"/>
        <v>4</v>
      </c>
      <c r="BT437" s="4">
        <f t="shared" si="236"/>
        <v>4</v>
      </c>
      <c r="BU437" s="4">
        <f t="shared" si="237"/>
        <v>4</v>
      </c>
      <c r="BV437" s="4">
        <f t="shared" si="238"/>
        <v>0</v>
      </c>
      <c r="BW437" s="4">
        <f t="shared" si="239"/>
        <v>6</v>
      </c>
      <c r="BX437" s="4">
        <f t="shared" si="240"/>
        <v>0</v>
      </c>
      <c r="BY437" s="4">
        <f t="shared" si="241"/>
        <v>0</v>
      </c>
      <c r="BZ437" s="37">
        <f t="shared" si="242"/>
        <v>96</v>
      </c>
      <c r="CA437" s="32" t="str">
        <f>VLOOKUP(J:J,'Agent wise'!A:C,3,0)</f>
        <v>Saran S</v>
      </c>
      <c r="CB437" s="32">
        <f t="shared" si="243"/>
        <v>45937</v>
      </c>
      <c r="CC437" t="str">
        <f t="shared" si="244"/>
        <v>Excellent</v>
      </c>
      <c r="CE437" s="32"/>
      <c r="CJ437">
        <f t="shared" si="245"/>
        <v>7</v>
      </c>
      <c r="CK437">
        <f t="shared" si="246"/>
        <v>10</v>
      </c>
      <c r="CL437">
        <f t="shared" si="247"/>
        <v>2025</v>
      </c>
    </row>
    <row r="438" spans="1:90" ht="15" customHeight="1" x14ac:dyDescent="0.35">
      <c r="A438" s="40">
        <v>45848.781759259262</v>
      </c>
      <c r="B438" t="s">
        <v>100</v>
      </c>
      <c r="C438" t="s">
        <v>214</v>
      </c>
      <c r="D438" t="s">
        <v>101</v>
      </c>
      <c r="E438" s="32">
        <v>45937</v>
      </c>
      <c r="F438" t="s">
        <v>54</v>
      </c>
      <c r="G438" s="2">
        <v>45818</v>
      </c>
      <c r="H438">
        <v>8304878288</v>
      </c>
      <c r="I438">
        <v>159</v>
      </c>
      <c r="J438" t="s">
        <v>412</v>
      </c>
      <c r="K438" t="s">
        <v>57</v>
      </c>
      <c r="L438" t="s">
        <v>58</v>
      </c>
      <c r="M438" t="s">
        <v>59</v>
      </c>
      <c r="N438" t="s">
        <v>59</v>
      </c>
      <c r="O438" t="s">
        <v>59</v>
      </c>
      <c r="P438" t="s">
        <v>59</v>
      </c>
      <c r="Q438" t="s">
        <v>59</v>
      </c>
      <c r="R438" t="s">
        <v>59</v>
      </c>
      <c r="S438" t="s">
        <v>59</v>
      </c>
      <c r="T438" t="s">
        <v>59</v>
      </c>
      <c r="U438" t="s">
        <v>59</v>
      </c>
      <c r="V438" t="s">
        <v>59</v>
      </c>
      <c r="W438" t="s">
        <v>59</v>
      </c>
      <c r="X438" t="s">
        <v>59</v>
      </c>
      <c r="Y438" t="s">
        <v>59</v>
      </c>
      <c r="Z438" t="s">
        <v>59</v>
      </c>
      <c r="AA438" t="s">
        <v>60</v>
      </c>
      <c r="AB438" t="s">
        <v>59</v>
      </c>
      <c r="AC438" t="s">
        <v>59</v>
      </c>
      <c r="AD438" t="s">
        <v>59</v>
      </c>
      <c r="AE438" t="s">
        <v>59</v>
      </c>
      <c r="AF438" t="s">
        <v>59</v>
      </c>
      <c r="AG438" t="s">
        <v>59</v>
      </c>
      <c r="AH438" t="s">
        <v>59</v>
      </c>
      <c r="AI438" t="s">
        <v>61</v>
      </c>
      <c r="AJ438" t="s">
        <v>59</v>
      </c>
      <c r="AK438" t="s">
        <v>59</v>
      </c>
      <c r="AL438" t="s">
        <v>60</v>
      </c>
      <c r="AM438" t="s">
        <v>59</v>
      </c>
      <c r="AN438" t="s">
        <v>59</v>
      </c>
      <c r="AO438" t="s">
        <v>59</v>
      </c>
      <c r="AP438" t="s">
        <v>1039</v>
      </c>
      <c r="AQ438" t="s">
        <v>1087</v>
      </c>
      <c r="AR438" t="s">
        <v>64</v>
      </c>
      <c r="AS438" t="s">
        <v>171</v>
      </c>
      <c r="AT438" t="s">
        <v>190</v>
      </c>
      <c r="AU438" t="s">
        <v>299</v>
      </c>
      <c r="AW438" s="4">
        <f t="shared" si="213"/>
        <v>6</v>
      </c>
      <c r="AX438" s="4">
        <f t="shared" si="214"/>
        <v>4</v>
      </c>
      <c r="AY438" s="4">
        <f t="shared" si="215"/>
        <v>4</v>
      </c>
      <c r="AZ438" s="4">
        <f t="shared" si="216"/>
        <v>2</v>
      </c>
      <c r="BA438" s="4">
        <f t="shared" si="217"/>
        <v>4</v>
      </c>
      <c r="BB438" s="4">
        <f t="shared" si="218"/>
        <v>4</v>
      </c>
      <c r="BC438" s="4">
        <f t="shared" si="219"/>
        <v>4</v>
      </c>
      <c r="BD438" s="4">
        <f t="shared" si="220"/>
        <v>2</v>
      </c>
      <c r="BE438" s="4">
        <f t="shared" si="221"/>
        <v>4</v>
      </c>
      <c r="BF438" s="4">
        <f t="shared" si="222"/>
        <v>2</v>
      </c>
      <c r="BG438" s="4">
        <f t="shared" si="223"/>
        <v>4</v>
      </c>
      <c r="BH438" s="4">
        <f t="shared" si="224"/>
        <v>4</v>
      </c>
      <c r="BI438" s="4">
        <f t="shared" si="225"/>
        <v>4</v>
      </c>
      <c r="BJ438" s="4">
        <f t="shared" si="226"/>
        <v>2</v>
      </c>
      <c r="BK438" s="4" t="str">
        <f t="shared" si="227"/>
        <v>0</v>
      </c>
      <c r="BL438" s="4">
        <f t="shared" si="228"/>
        <v>2</v>
      </c>
      <c r="BM438" s="4">
        <f t="shared" si="229"/>
        <v>4</v>
      </c>
      <c r="BN438" s="4">
        <f t="shared" si="230"/>
        <v>4</v>
      </c>
      <c r="BO438" s="4">
        <f t="shared" si="231"/>
        <v>4</v>
      </c>
      <c r="BP438" s="4">
        <f t="shared" si="232"/>
        <v>4</v>
      </c>
      <c r="BQ438" s="4">
        <f t="shared" si="233"/>
        <v>6</v>
      </c>
      <c r="BR438" s="4">
        <f t="shared" si="234"/>
        <v>4</v>
      </c>
      <c r="BS438" s="4">
        <f t="shared" si="235"/>
        <v>4</v>
      </c>
      <c r="BT438" s="4">
        <f t="shared" si="236"/>
        <v>4</v>
      </c>
      <c r="BU438" s="4">
        <f t="shared" si="237"/>
        <v>4</v>
      </c>
      <c r="BV438" s="4" t="str">
        <f t="shared" si="238"/>
        <v>0</v>
      </c>
      <c r="BW438" s="4">
        <f t="shared" si="239"/>
        <v>6</v>
      </c>
      <c r="BX438" s="4">
        <f t="shared" si="240"/>
        <v>0</v>
      </c>
      <c r="BY438" s="4">
        <f t="shared" si="241"/>
        <v>0</v>
      </c>
      <c r="BZ438" s="37">
        <f t="shared" si="242"/>
        <v>96</v>
      </c>
      <c r="CA438" s="32" t="str">
        <f>VLOOKUP(J:J,'Agent wise'!A:C,3,0)</f>
        <v>Saran S</v>
      </c>
      <c r="CB438" s="32">
        <f t="shared" si="243"/>
        <v>45937</v>
      </c>
      <c r="CC438" t="str">
        <f t="shared" si="244"/>
        <v>Excellent</v>
      </c>
      <c r="CE438" s="32"/>
      <c r="CJ438">
        <f t="shared" si="245"/>
        <v>7</v>
      </c>
      <c r="CK438">
        <f t="shared" si="246"/>
        <v>10</v>
      </c>
      <c r="CL438">
        <f t="shared" si="247"/>
        <v>2025</v>
      </c>
    </row>
    <row r="439" spans="1:90" ht="15" customHeight="1" x14ac:dyDescent="0.35">
      <c r="A439" s="40">
        <v>45848.783090277779</v>
      </c>
      <c r="B439" t="s">
        <v>250</v>
      </c>
      <c r="C439" t="s">
        <v>214</v>
      </c>
      <c r="D439" t="s">
        <v>251</v>
      </c>
      <c r="E439" s="32">
        <v>45937</v>
      </c>
      <c r="F439" t="s">
        <v>306</v>
      </c>
      <c r="G439" s="2">
        <v>45787</v>
      </c>
      <c r="H439">
        <v>7034096031</v>
      </c>
      <c r="I439">
        <v>373</v>
      </c>
      <c r="J439" t="s">
        <v>149</v>
      </c>
      <c r="K439" t="s">
        <v>57</v>
      </c>
      <c r="L439" t="s">
        <v>58</v>
      </c>
      <c r="M439" t="s">
        <v>60</v>
      </c>
      <c r="N439" t="s">
        <v>59</v>
      </c>
      <c r="O439" t="s">
        <v>59</v>
      </c>
      <c r="P439" t="s">
        <v>59</v>
      </c>
      <c r="Q439" t="s">
        <v>59</v>
      </c>
      <c r="R439" t="s">
        <v>59</v>
      </c>
      <c r="S439" t="s">
        <v>59</v>
      </c>
      <c r="T439" t="s">
        <v>59</v>
      </c>
      <c r="U439" t="s">
        <v>60</v>
      </c>
      <c r="V439" t="s">
        <v>59</v>
      </c>
      <c r="W439" t="s">
        <v>59</v>
      </c>
      <c r="X439" t="s">
        <v>59</v>
      </c>
      <c r="Y439" t="s">
        <v>59</v>
      </c>
      <c r="Z439" t="s">
        <v>59</v>
      </c>
      <c r="AA439" t="s">
        <v>59</v>
      </c>
      <c r="AB439" t="s">
        <v>59</v>
      </c>
      <c r="AC439" t="s">
        <v>60</v>
      </c>
      <c r="AD439" t="s">
        <v>59</v>
      </c>
      <c r="AE439" t="s">
        <v>59</v>
      </c>
      <c r="AF439" t="s">
        <v>59</v>
      </c>
      <c r="AG439" t="s">
        <v>59</v>
      </c>
      <c r="AH439" t="s">
        <v>61</v>
      </c>
      <c r="AI439" t="s">
        <v>61</v>
      </c>
      <c r="AJ439" t="s">
        <v>59</v>
      </c>
      <c r="AK439" t="s">
        <v>59</v>
      </c>
      <c r="AL439" t="s">
        <v>60</v>
      </c>
      <c r="AM439" t="s">
        <v>59</v>
      </c>
      <c r="AN439" t="s">
        <v>59</v>
      </c>
      <c r="AO439" t="s">
        <v>59</v>
      </c>
      <c r="AP439" t="s">
        <v>428</v>
      </c>
      <c r="AQ439" t="s">
        <v>1088</v>
      </c>
      <c r="AR439" t="s">
        <v>64</v>
      </c>
      <c r="AS439" t="s">
        <v>1083</v>
      </c>
      <c r="AT439" t="s">
        <v>801</v>
      </c>
      <c r="AU439" t="s">
        <v>219</v>
      </c>
      <c r="AW439" s="4" t="str">
        <f t="shared" si="213"/>
        <v>0</v>
      </c>
      <c r="AX439" s="4">
        <f t="shared" si="214"/>
        <v>4</v>
      </c>
      <c r="AY439" s="4">
        <f t="shared" si="215"/>
        <v>4</v>
      </c>
      <c r="AZ439" s="4">
        <f t="shared" si="216"/>
        <v>2</v>
      </c>
      <c r="BA439" s="4">
        <f t="shared" si="217"/>
        <v>4</v>
      </c>
      <c r="BB439" s="4">
        <f t="shared" si="218"/>
        <v>4</v>
      </c>
      <c r="BC439" s="4">
        <f t="shared" si="219"/>
        <v>4</v>
      </c>
      <c r="BD439" s="4">
        <f t="shared" si="220"/>
        <v>2</v>
      </c>
      <c r="BE439" s="4" t="str">
        <f t="shared" si="221"/>
        <v>0</v>
      </c>
      <c r="BF439" s="4">
        <f t="shared" si="222"/>
        <v>2</v>
      </c>
      <c r="BG439" s="4">
        <f t="shared" si="223"/>
        <v>4</v>
      </c>
      <c r="BH439" s="4">
        <f t="shared" si="224"/>
        <v>4</v>
      </c>
      <c r="BI439" s="4">
        <f t="shared" si="225"/>
        <v>4</v>
      </c>
      <c r="BJ439" s="4">
        <f t="shared" si="226"/>
        <v>2</v>
      </c>
      <c r="BK439" s="4">
        <f t="shared" si="227"/>
        <v>4</v>
      </c>
      <c r="BL439" s="4">
        <f t="shared" si="228"/>
        <v>2</v>
      </c>
      <c r="BM439" s="4" t="str">
        <f t="shared" si="229"/>
        <v>0</v>
      </c>
      <c r="BN439" s="4">
        <f t="shared" si="230"/>
        <v>4</v>
      </c>
      <c r="BO439" s="4">
        <f t="shared" si="231"/>
        <v>4</v>
      </c>
      <c r="BP439" s="4">
        <f t="shared" si="232"/>
        <v>4</v>
      </c>
      <c r="BQ439" s="4">
        <f t="shared" si="233"/>
        <v>6</v>
      </c>
      <c r="BR439" s="4">
        <f t="shared" si="234"/>
        <v>4</v>
      </c>
      <c r="BS439" s="4">
        <f t="shared" si="235"/>
        <v>4</v>
      </c>
      <c r="BT439" s="4">
        <f t="shared" si="236"/>
        <v>4</v>
      </c>
      <c r="BU439" s="4">
        <f t="shared" si="237"/>
        <v>4</v>
      </c>
      <c r="BV439" s="4" t="str">
        <f t="shared" si="238"/>
        <v>0</v>
      </c>
      <c r="BW439" s="4">
        <f t="shared" si="239"/>
        <v>6</v>
      </c>
      <c r="BX439" s="4">
        <f t="shared" si="240"/>
        <v>0</v>
      </c>
      <c r="BY439" s="4">
        <f t="shared" si="241"/>
        <v>0</v>
      </c>
      <c r="BZ439" s="37">
        <f t="shared" si="242"/>
        <v>86</v>
      </c>
      <c r="CA439" s="32" t="str">
        <f>VLOOKUP(J:J,'Agent wise'!A:C,3,0)</f>
        <v>Shakeer</v>
      </c>
      <c r="CB439" s="32">
        <f t="shared" si="243"/>
        <v>45937</v>
      </c>
      <c r="CC439" t="str">
        <f t="shared" si="244"/>
        <v>Average</v>
      </c>
      <c r="CE439" s="32"/>
      <c r="CJ439">
        <f t="shared" si="245"/>
        <v>7</v>
      </c>
      <c r="CK439">
        <f t="shared" si="246"/>
        <v>10</v>
      </c>
      <c r="CL439">
        <f t="shared" si="247"/>
        <v>2025</v>
      </c>
    </row>
    <row r="440" spans="1:90" ht="15" customHeight="1" x14ac:dyDescent="0.35">
      <c r="A440" s="40">
        <v>45848.783645833333</v>
      </c>
      <c r="B440" t="s">
        <v>100</v>
      </c>
      <c r="C440" t="s">
        <v>214</v>
      </c>
      <c r="D440" t="s">
        <v>101</v>
      </c>
      <c r="E440" s="32">
        <v>45937</v>
      </c>
      <c r="F440" t="s">
        <v>54</v>
      </c>
      <c r="G440" s="2">
        <v>45818</v>
      </c>
      <c r="H440">
        <v>9487894500</v>
      </c>
      <c r="I440">
        <v>134</v>
      </c>
      <c r="J440" t="s">
        <v>191</v>
      </c>
      <c r="K440" t="s">
        <v>71</v>
      </c>
      <c r="L440" t="s">
        <v>72</v>
      </c>
      <c r="M440" t="s">
        <v>59</v>
      </c>
      <c r="N440" t="s">
        <v>59</v>
      </c>
      <c r="O440" t="s">
        <v>59</v>
      </c>
      <c r="P440" t="s">
        <v>59</v>
      </c>
      <c r="Q440" t="s">
        <v>59</v>
      </c>
      <c r="R440" t="s">
        <v>60</v>
      </c>
      <c r="S440" t="s">
        <v>59</v>
      </c>
      <c r="T440" t="s">
        <v>59</v>
      </c>
      <c r="U440" t="s">
        <v>59</v>
      </c>
      <c r="V440" t="s">
        <v>59</v>
      </c>
      <c r="W440" t="s">
        <v>59</v>
      </c>
      <c r="X440" t="s">
        <v>59</v>
      </c>
      <c r="Y440" t="s">
        <v>59</v>
      </c>
      <c r="Z440" t="s">
        <v>59</v>
      </c>
      <c r="AA440" t="s">
        <v>60</v>
      </c>
      <c r="AB440" t="s">
        <v>59</v>
      </c>
      <c r="AC440" t="s">
        <v>59</v>
      </c>
      <c r="AD440" t="s">
        <v>59</v>
      </c>
      <c r="AE440" t="s">
        <v>59</v>
      </c>
      <c r="AF440" t="s">
        <v>59</v>
      </c>
      <c r="AG440" t="s">
        <v>59</v>
      </c>
      <c r="AH440" t="s">
        <v>59</v>
      </c>
      <c r="AI440" t="s">
        <v>61</v>
      </c>
      <c r="AJ440" t="s">
        <v>59</v>
      </c>
      <c r="AK440" t="s">
        <v>59</v>
      </c>
      <c r="AL440" t="s">
        <v>59</v>
      </c>
      <c r="AM440" t="s">
        <v>59</v>
      </c>
      <c r="AN440" t="s">
        <v>59</v>
      </c>
      <c r="AO440" t="s">
        <v>59</v>
      </c>
      <c r="AP440" t="s">
        <v>1039</v>
      </c>
      <c r="AQ440" t="s">
        <v>1089</v>
      </c>
      <c r="AR440" t="s">
        <v>64</v>
      </c>
      <c r="AS440" t="s">
        <v>175</v>
      </c>
      <c r="AT440" t="s">
        <v>334</v>
      </c>
      <c r="AU440" t="s">
        <v>299</v>
      </c>
      <c r="AW440" s="4">
        <f t="shared" si="213"/>
        <v>6</v>
      </c>
      <c r="AX440" s="4">
        <f t="shared" si="214"/>
        <v>4</v>
      </c>
      <c r="AY440" s="4">
        <f t="shared" si="215"/>
        <v>4</v>
      </c>
      <c r="AZ440" s="4">
        <f t="shared" si="216"/>
        <v>2</v>
      </c>
      <c r="BA440" s="4">
        <f t="shared" si="217"/>
        <v>4</v>
      </c>
      <c r="BB440" s="4" t="str">
        <f t="shared" si="218"/>
        <v>0</v>
      </c>
      <c r="BC440" s="4">
        <f t="shared" si="219"/>
        <v>4</v>
      </c>
      <c r="BD440" s="4">
        <f t="shared" si="220"/>
        <v>2</v>
      </c>
      <c r="BE440" s="4">
        <f t="shared" si="221"/>
        <v>4</v>
      </c>
      <c r="BF440" s="4">
        <f t="shared" si="222"/>
        <v>2</v>
      </c>
      <c r="BG440" s="4">
        <f t="shared" si="223"/>
        <v>4</v>
      </c>
      <c r="BH440" s="4">
        <f t="shared" si="224"/>
        <v>4</v>
      </c>
      <c r="BI440" s="4">
        <f t="shared" si="225"/>
        <v>4</v>
      </c>
      <c r="BJ440" s="4">
        <f t="shared" si="226"/>
        <v>2</v>
      </c>
      <c r="BK440" s="4" t="str">
        <f t="shared" si="227"/>
        <v>0</v>
      </c>
      <c r="BL440" s="4">
        <f t="shared" si="228"/>
        <v>2</v>
      </c>
      <c r="BM440" s="4">
        <f t="shared" si="229"/>
        <v>4</v>
      </c>
      <c r="BN440" s="4">
        <f t="shared" si="230"/>
        <v>4</v>
      </c>
      <c r="BO440" s="4">
        <f t="shared" si="231"/>
        <v>4</v>
      </c>
      <c r="BP440" s="4">
        <f t="shared" si="232"/>
        <v>4</v>
      </c>
      <c r="BQ440" s="4">
        <f t="shared" si="233"/>
        <v>6</v>
      </c>
      <c r="BR440" s="4">
        <f t="shared" si="234"/>
        <v>4</v>
      </c>
      <c r="BS440" s="4">
        <f t="shared" si="235"/>
        <v>4</v>
      </c>
      <c r="BT440" s="4">
        <f t="shared" si="236"/>
        <v>4</v>
      </c>
      <c r="BU440" s="4">
        <f t="shared" si="237"/>
        <v>4</v>
      </c>
      <c r="BV440" s="4">
        <f t="shared" si="238"/>
        <v>0</v>
      </c>
      <c r="BW440" s="4">
        <f t="shared" si="239"/>
        <v>6</v>
      </c>
      <c r="BX440" s="4">
        <f t="shared" si="240"/>
        <v>0</v>
      </c>
      <c r="BY440" s="4">
        <f t="shared" si="241"/>
        <v>0</v>
      </c>
      <c r="BZ440" s="37">
        <f t="shared" si="242"/>
        <v>92</v>
      </c>
      <c r="CA440" s="32" t="str">
        <f>VLOOKUP(J:J,'Agent wise'!A:C,3,0)</f>
        <v>Saran S</v>
      </c>
      <c r="CB440" s="32">
        <f t="shared" si="243"/>
        <v>45937</v>
      </c>
      <c r="CC440" t="str">
        <f t="shared" si="244"/>
        <v>Good</v>
      </c>
      <c r="CE440" s="32"/>
      <c r="CJ440">
        <f t="shared" si="245"/>
        <v>7</v>
      </c>
      <c r="CK440">
        <f t="shared" si="246"/>
        <v>10</v>
      </c>
      <c r="CL440">
        <f t="shared" si="247"/>
        <v>2025</v>
      </c>
    </row>
    <row r="441" spans="1:90" ht="15" customHeight="1" x14ac:dyDescent="0.35">
      <c r="A441" s="40">
        <v>45848.786863425928</v>
      </c>
      <c r="B441" t="s">
        <v>250</v>
      </c>
      <c r="C441" t="s">
        <v>214</v>
      </c>
      <c r="D441" t="s">
        <v>251</v>
      </c>
      <c r="E441" s="32">
        <v>45937</v>
      </c>
      <c r="F441" t="s">
        <v>306</v>
      </c>
      <c r="G441" s="2">
        <v>45818</v>
      </c>
      <c r="H441">
        <v>9442448701</v>
      </c>
      <c r="I441">
        <v>198</v>
      </c>
      <c r="J441" t="s">
        <v>307</v>
      </c>
      <c r="K441" t="s">
        <v>71</v>
      </c>
      <c r="L441" t="s">
        <v>72</v>
      </c>
      <c r="M441" t="s">
        <v>59</v>
      </c>
      <c r="N441" t="s">
        <v>59</v>
      </c>
      <c r="O441" t="s">
        <v>59</v>
      </c>
      <c r="P441" t="s">
        <v>59</v>
      </c>
      <c r="Q441" t="s">
        <v>59</v>
      </c>
      <c r="R441" t="s">
        <v>59</v>
      </c>
      <c r="S441" t="s">
        <v>59</v>
      </c>
      <c r="T441" t="s">
        <v>59</v>
      </c>
      <c r="U441" t="s">
        <v>59</v>
      </c>
      <c r="V441" t="s">
        <v>59</v>
      </c>
      <c r="W441" t="s">
        <v>59</v>
      </c>
      <c r="X441" t="s">
        <v>59</v>
      </c>
      <c r="Y441" t="s">
        <v>59</v>
      </c>
      <c r="Z441" t="s">
        <v>59</v>
      </c>
      <c r="AA441" t="s">
        <v>59</v>
      </c>
      <c r="AB441" t="s">
        <v>59</v>
      </c>
      <c r="AC441" t="s">
        <v>59</v>
      </c>
      <c r="AD441" t="s">
        <v>59</v>
      </c>
      <c r="AE441" t="s">
        <v>59</v>
      </c>
      <c r="AF441" t="s">
        <v>59</v>
      </c>
      <c r="AG441" t="s">
        <v>59</v>
      </c>
      <c r="AH441" t="s">
        <v>61</v>
      </c>
      <c r="AI441" t="s">
        <v>61</v>
      </c>
      <c r="AJ441" t="s">
        <v>59</v>
      </c>
      <c r="AK441" t="s">
        <v>59</v>
      </c>
      <c r="AL441" t="s">
        <v>59</v>
      </c>
      <c r="AM441" t="s">
        <v>59</v>
      </c>
      <c r="AN441" t="s">
        <v>59</v>
      </c>
      <c r="AO441" t="s">
        <v>59</v>
      </c>
      <c r="AP441" t="s">
        <v>496</v>
      </c>
      <c r="AQ441" t="s">
        <v>1090</v>
      </c>
      <c r="AR441" t="s">
        <v>226</v>
      </c>
      <c r="AS441" t="s">
        <v>1091</v>
      </c>
      <c r="AT441" t="s">
        <v>808</v>
      </c>
      <c r="AU441" t="s">
        <v>219</v>
      </c>
      <c r="AW441" s="4">
        <f t="shared" si="213"/>
        <v>6</v>
      </c>
      <c r="AX441" s="4">
        <f t="shared" si="214"/>
        <v>4</v>
      </c>
      <c r="AY441" s="4">
        <f t="shared" si="215"/>
        <v>4</v>
      </c>
      <c r="AZ441" s="4">
        <f t="shared" si="216"/>
        <v>2</v>
      </c>
      <c r="BA441" s="4">
        <f t="shared" si="217"/>
        <v>4</v>
      </c>
      <c r="BB441" s="4">
        <f t="shared" si="218"/>
        <v>4</v>
      </c>
      <c r="BC441" s="4">
        <f t="shared" si="219"/>
        <v>4</v>
      </c>
      <c r="BD441" s="4">
        <f t="shared" si="220"/>
        <v>2</v>
      </c>
      <c r="BE441" s="4">
        <f t="shared" si="221"/>
        <v>4</v>
      </c>
      <c r="BF441" s="4">
        <f t="shared" si="222"/>
        <v>2</v>
      </c>
      <c r="BG441" s="4">
        <f t="shared" si="223"/>
        <v>4</v>
      </c>
      <c r="BH441" s="4">
        <f t="shared" si="224"/>
        <v>4</v>
      </c>
      <c r="BI441" s="4">
        <f t="shared" si="225"/>
        <v>4</v>
      </c>
      <c r="BJ441" s="4">
        <f t="shared" si="226"/>
        <v>2</v>
      </c>
      <c r="BK441" s="4">
        <f t="shared" si="227"/>
        <v>4</v>
      </c>
      <c r="BL441" s="4">
        <f t="shared" si="228"/>
        <v>2</v>
      </c>
      <c r="BM441" s="4">
        <f t="shared" si="229"/>
        <v>4</v>
      </c>
      <c r="BN441" s="4">
        <f t="shared" si="230"/>
        <v>4</v>
      </c>
      <c r="BO441" s="4">
        <f t="shared" si="231"/>
        <v>4</v>
      </c>
      <c r="BP441" s="4">
        <f t="shared" si="232"/>
        <v>4</v>
      </c>
      <c r="BQ441" s="4">
        <f t="shared" si="233"/>
        <v>6</v>
      </c>
      <c r="BR441" s="4">
        <f t="shared" si="234"/>
        <v>4</v>
      </c>
      <c r="BS441" s="4">
        <f t="shared" si="235"/>
        <v>4</v>
      </c>
      <c r="BT441" s="4">
        <f t="shared" si="236"/>
        <v>4</v>
      </c>
      <c r="BU441" s="4">
        <f t="shared" si="237"/>
        <v>4</v>
      </c>
      <c r="BV441" s="4">
        <f t="shared" si="238"/>
        <v>0</v>
      </c>
      <c r="BW441" s="4">
        <f t="shared" si="239"/>
        <v>6</v>
      </c>
      <c r="BX441" s="4">
        <f t="shared" si="240"/>
        <v>0</v>
      </c>
      <c r="BY441" s="4">
        <f t="shared" si="241"/>
        <v>0</v>
      </c>
      <c r="BZ441" s="37">
        <f t="shared" si="242"/>
        <v>100</v>
      </c>
      <c r="CA441" s="32" t="str">
        <f>VLOOKUP(J:J,'Agent wise'!A:C,3,0)</f>
        <v>Amal</v>
      </c>
      <c r="CB441" s="32">
        <f t="shared" si="243"/>
        <v>45937</v>
      </c>
      <c r="CC441" t="str">
        <f t="shared" si="244"/>
        <v>Excellent</v>
      </c>
      <c r="CE441" s="32"/>
      <c r="CJ441">
        <f t="shared" si="245"/>
        <v>7</v>
      </c>
      <c r="CK441">
        <f t="shared" si="246"/>
        <v>10</v>
      </c>
      <c r="CL441">
        <f t="shared" si="247"/>
        <v>2025</v>
      </c>
    </row>
    <row r="442" spans="1:90" ht="15" customHeight="1" x14ac:dyDescent="0.35">
      <c r="A442" s="40">
        <v>45848.786921296298</v>
      </c>
      <c r="B442" t="s">
        <v>100</v>
      </c>
      <c r="C442" t="s">
        <v>214</v>
      </c>
      <c r="D442" t="s">
        <v>101</v>
      </c>
      <c r="E442" s="32">
        <v>45937</v>
      </c>
      <c r="F442" t="s">
        <v>54</v>
      </c>
      <c r="G442" s="2">
        <v>45818</v>
      </c>
      <c r="H442">
        <v>8593843804</v>
      </c>
      <c r="I442">
        <v>131</v>
      </c>
      <c r="J442" t="s">
        <v>873</v>
      </c>
      <c r="K442" t="s">
        <v>57</v>
      </c>
      <c r="L442" t="s">
        <v>58</v>
      </c>
      <c r="M442" t="s">
        <v>59</v>
      </c>
      <c r="N442" t="s">
        <v>59</v>
      </c>
      <c r="O442" t="s">
        <v>59</v>
      </c>
      <c r="P442" t="s">
        <v>59</v>
      </c>
      <c r="Q442" t="s">
        <v>59</v>
      </c>
      <c r="R442" t="s">
        <v>60</v>
      </c>
      <c r="S442" t="s">
        <v>59</v>
      </c>
      <c r="T442" t="s">
        <v>59</v>
      </c>
      <c r="U442" t="s">
        <v>59</v>
      </c>
      <c r="V442" t="s">
        <v>59</v>
      </c>
      <c r="W442" t="s">
        <v>59</v>
      </c>
      <c r="X442" t="s">
        <v>59</v>
      </c>
      <c r="Y442" t="s">
        <v>59</v>
      </c>
      <c r="Z442" t="s">
        <v>59</v>
      </c>
      <c r="AA442" t="s">
        <v>60</v>
      </c>
      <c r="AB442" t="s">
        <v>59</v>
      </c>
      <c r="AC442" t="s">
        <v>60</v>
      </c>
      <c r="AD442" t="s">
        <v>59</v>
      </c>
      <c r="AE442" t="s">
        <v>59</v>
      </c>
      <c r="AF442" t="s">
        <v>59</v>
      </c>
      <c r="AG442" t="s">
        <v>59</v>
      </c>
      <c r="AH442" t="s">
        <v>59</v>
      </c>
      <c r="AI442" t="s">
        <v>61</v>
      </c>
      <c r="AJ442" t="s">
        <v>59</v>
      </c>
      <c r="AK442" t="s">
        <v>59</v>
      </c>
      <c r="AL442" t="s">
        <v>59</v>
      </c>
      <c r="AM442" t="s">
        <v>59</v>
      </c>
      <c r="AN442" t="s">
        <v>59</v>
      </c>
      <c r="AO442" t="s">
        <v>59</v>
      </c>
      <c r="AP442" t="s">
        <v>1092</v>
      </c>
      <c r="AQ442" t="s">
        <v>1087</v>
      </c>
      <c r="AR442" t="s">
        <v>64</v>
      </c>
      <c r="AS442" t="s">
        <v>152</v>
      </c>
      <c r="AT442" t="s">
        <v>267</v>
      </c>
      <c r="AU442" t="s">
        <v>219</v>
      </c>
      <c r="AW442" s="4">
        <f t="shared" si="213"/>
        <v>6</v>
      </c>
      <c r="AX442" s="4">
        <f t="shared" si="214"/>
        <v>4</v>
      </c>
      <c r="AY442" s="4">
        <f t="shared" si="215"/>
        <v>4</v>
      </c>
      <c r="AZ442" s="4">
        <f t="shared" si="216"/>
        <v>2</v>
      </c>
      <c r="BA442" s="4">
        <f t="shared" si="217"/>
        <v>4</v>
      </c>
      <c r="BB442" s="4" t="str">
        <f t="shared" si="218"/>
        <v>0</v>
      </c>
      <c r="BC442" s="4">
        <f t="shared" si="219"/>
        <v>4</v>
      </c>
      <c r="BD442" s="4">
        <f t="shared" si="220"/>
        <v>2</v>
      </c>
      <c r="BE442" s="4">
        <f t="shared" si="221"/>
        <v>4</v>
      </c>
      <c r="BF442" s="4">
        <f t="shared" si="222"/>
        <v>2</v>
      </c>
      <c r="BG442" s="4">
        <f t="shared" si="223"/>
        <v>4</v>
      </c>
      <c r="BH442" s="4">
        <f t="shared" si="224"/>
        <v>4</v>
      </c>
      <c r="BI442" s="4">
        <f t="shared" si="225"/>
        <v>4</v>
      </c>
      <c r="BJ442" s="4">
        <f t="shared" si="226"/>
        <v>2</v>
      </c>
      <c r="BK442" s="4" t="str">
        <f t="shared" si="227"/>
        <v>0</v>
      </c>
      <c r="BL442" s="4">
        <f t="shared" si="228"/>
        <v>2</v>
      </c>
      <c r="BM442" s="4" t="str">
        <f t="shared" si="229"/>
        <v>0</v>
      </c>
      <c r="BN442" s="4">
        <f t="shared" si="230"/>
        <v>4</v>
      </c>
      <c r="BO442" s="4">
        <f t="shared" si="231"/>
        <v>4</v>
      </c>
      <c r="BP442" s="4">
        <f t="shared" si="232"/>
        <v>4</v>
      </c>
      <c r="BQ442" s="4">
        <f t="shared" si="233"/>
        <v>6</v>
      </c>
      <c r="BR442" s="4">
        <f t="shared" si="234"/>
        <v>4</v>
      </c>
      <c r="BS442" s="4">
        <f t="shared" si="235"/>
        <v>4</v>
      </c>
      <c r="BT442" s="4">
        <f t="shared" si="236"/>
        <v>4</v>
      </c>
      <c r="BU442" s="4">
        <f t="shared" si="237"/>
        <v>4</v>
      </c>
      <c r="BV442" s="4">
        <f t="shared" si="238"/>
        <v>0</v>
      </c>
      <c r="BW442" s="4">
        <f t="shared" si="239"/>
        <v>6</v>
      </c>
      <c r="BX442" s="4">
        <f t="shared" si="240"/>
        <v>0</v>
      </c>
      <c r="BY442" s="4">
        <f t="shared" si="241"/>
        <v>0</v>
      </c>
      <c r="BZ442" s="37">
        <f t="shared" si="242"/>
        <v>88</v>
      </c>
      <c r="CA442" s="32" t="str">
        <f>VLOOKUP(J:J,'Agent wise'!A:C,3,0)</f>
        <v xml:space="preserve">Shiny </v>
      </c>
      <c r="CB442" s="32">
        <f t="shared" si="243"/>
        <v>45937</v>
      </c>
      <c r="CC442" t="str">
        <f t="shared" si="244"/>
        <v>Average</v>
      </c>
      <c r="CE442" s="32"/>
      <c r="CJ442">
        <f t="shared" si="245"/>
        <v>7</v>
      </c>
      <c r="CK442">
        <f t="shared" si="246"/>
        <v>10</v>
      </c>
      <c r="CL442">
        <f t="shared" si="247"/>
        <v>2025</v>
      </c>
    </row>
    <row r="443" spans="1:90" ht="15" customHeight="1" x14ac:dyDescent="0.35">
      <c r="A443" s="40">
        <v>45848.789224537039</v>
      </c>
      <c r="B443" t="s">
        <v>250</v>
      </c>
      <c r="C443" t="s">
        <v>214</v>
      </c>
      <c r="D443" t="s">
        <v>251</v>
      </c>
      <c r="E443" s="32">
        <v>45937</v>
      </c>
      <c r="F443" t="s">
        <v>306</v>
      </c>
      <c r="G443" s="2">
        <v>45818</v>
      </c>
      <c r="H443">
        <v>8248766885</v>
      </c>
      <c r="I443">
        <v>208</v>
      </c>
      <c r="J443" t="s">
        <v>246</v>
      </c>
      <c r="K443" t="s">
        <v>71</v>
      </c>
      <c r="L443" t="s">
        <v>72</v>
      </c>
      <c r="M443" t="s">
        <v>59</v>
      </c>
      <c r="N443" t="s">
        <v>59</v>
      </c>
      <c r="O443" t="s">
        <v>59</v>
      </c>
      <c r="P443" t="s">
        <v>59</v>
      </c>
      <c r="Q443" t="s">
        <v>59</v>
      </c>
      <c r="R443" t="s">
        <v>59</v>
      </c>
      <c r="S443" t="s">
        <v>59</v>
      </c>
      <c r="T443" t="s">
        <v>59</v>
      </c>
      <c r="U443" t="s">
        <v>60</v>
      </c>
      <c r="V443" t="s">
        <v>59</v>
      </c>
      <c r="W443" t="s">
        <v>59</v>
      </c>
      <c r="X443" t="s">
        <v>59</v>
      </c>
      <c r="Y443" t="s">
        <v>59</v>
      </c>
      <c r="Z443" t="s">
        <v>59</v>
      </c>
      <c r="AA443" t="s">
        <v>59</v>
      </c>
      <c r="AB443" t="s">
        <v>59</v>
      </c>
      <c r="AC443" t="s">
        <v>59</v>
      </c>
      <c r="AD443" t="s">
        <v>59</v>
      </c>
      <c r="AE443" t="s">
        <v>59</v>
      </c>
      <c r="AF443" t="s">
        <v>59</v>
      </c>
      <c r="AG443" t="s">
        <v>59</v>
      </c>
      <c r="AH443" t="s">
        <v>61</v>
      </c>
      <c r="AI443" t="s">
        <v>61</v>
      </c>
      <c r="AJ443" t="s">
        <v>59</v>
      </c>
      <c r="AK443" t="s">
        <v>59</v>
      </c>
      <c r="AL443" t="s">
        <v>60</v>
      </c>
      <c r="AM443" t="s">
        <v>59</v>
      </c>
      <c r="AN443" t="s">
        <v>59</v>
      </c>
      <c r="AO443" t="s">
        <v>59</v>
      </c>
      <c r="AP443" t="s">
        <v>496</v>
      </c>
      <c r="AQ443" t="s">
        <v>1093</v>
      </c>
      <c r="AR443" t="s">
        <v>226</v>
      </c>
      <c r="AS443" t="s">
        <v>808</v>
      </c>
      <c r="AT443" t="s">
        <v>808</v>
      </c>
      <c r="AU443" t="s">
        <v>219</v>
      </c>
      <c r="AW443" s="4">
        <f t="shared" si="213"/>
        <v>6</v>
      </c>
      <c r="AX443" s="4">
        <f t="shared" si="214"/>
        <v>4</v>
      </c>
      <c r="AY443" s="4">
        <f t="shared" si="215"/>
        <v>4</v>
      </c>
      <c r="AZ443" s="4">
        <f t="shared" si="216"/>
        <v>2</v>
      </c>
      <c r="BA443" s="4">
        <f t="shared" si="217"/>
        <v>4</v>
      </c>
      <c r="BB443" s="4">
        <f t="shared" si="218"/>
        <v>4</v>
      </c>
      <c r="BC443" s="4">
        <f t="shared" si="219"/>
        <v>4</v>
      </c>
      <c r="BD443" s="4">
        <f t="shared" si="220"/>
        <v>2</v>
      </c>
      <c r="BE443" s="4" t="str">
        <f t="shared" si="221"/>
        <v>0</v>
      </c>
      <c r="BF443" s="4">
        <f t="shared" si="222"/>
        <v>2</v>
      </c>
      <c r="BG443" s="4">
        <f t="shared" si="223"/>
        <v>4</v>
      </c>
      <c r="BH443" s="4">
        <f t="shared" si="224"/>
        <v>4</v>
      </c>
      <c r="BI443" s="4">
        <f t="shared" si="225"/>
        <v>4</v>
      </c>
      <c r="BJ443" s="4">
        <f t="shared" si="226"/>
        <v>2</v>
      </c>
      <c r="BK443" s="4">
        <f t="shared" si="227"/>
        <v>4</v>
      </c>
      <c r="BL443" s="4">
        <f t="shared" si="228"/>
        <v>2</v>
      </c>
      <c r="BM443" s="4">
        <f t="shared" si="229"/>
        <v>4</v>
      </c>
      <c r="BN443" s="4">
        <f t="shared" si="230"/>
        <v>4</v>
      </c>
      <c r="BO443" s="4">
        <f t="shared" si="231"/>
        <v>4</v>
      </c>
      <c r="BP443" s="4">
        <f t="shared" si="232"/>
        <v>4</v>
      </c>
      <c r="BQ443" s="4">
        <f t="shared" si="233"/>
        <v>6</v>
      </c>
      <c r="BR443" s="4">
        <f t="shared" si="234"/>
        <v>4</v>
      </c>
      <c r="BS443" s="4">
        <f t="shared" si="235"/>
        <v>4</v>
      </c>
      <c r="BT443" s="4">
        <f t="shared" si="236"/>
        <v>4</v>
      </c>
      <c r="BU443" s="4">
        <f t="shared" si="237"/>
        <v>4</v>
      </c>
      <c r="BV443" s="4" t="str">
        <f t="shared" si="238"/>
        <v>0</v>
      </c>
      <c r="BW443" s="4">
        <f t="shared" si="239"/>
        <v>6</v>
      </c>
      <c r="BX443" s="4">
        <f t="shared" si="240"/>
        <v>0</v>
      </c>
      <c r="BY443" s="4">
        <f t="shared" si="241"/>
        <v>0</v>
      </c>
      <c r="BZ443" s="37">
        <f t="shared" si="242"/>
        <v>96</v>
      </c>
      <c r="CA443" s="32" t="str">
        <f>VLOOKUP(J:J,'Agent wise'!A:C,3,0)</f>
        <v>Amal</v>
      </c>
      <c r="CB443" s="32">
        <f t="shared" si="243"/>
        <v>45937</v>
      </c>
      <c r="CC443" t="str">
        <f t="shared" si="244"/>
        <v>Excellent</v>
      </c>
      <c r="CE443" s="32"/>
      <c r="CJ443">
        <f t="shared" si="245"/>
        <v>7</v>
      </c>
      <c r="CK443">
        <f t="shared" si="246"/>
        <v>10</v>
      </c>
      <c r="CL443">
        <f t="shared" si="247"/>
        <v>2025</v>
      </c>
    </row>
    <row r="444" spans="1:90" ht="15" customHeight="1" x14ac:dyDescent="0.35">
      <c r="A444" s="40">
        <v>45848.790972222218</v>
      </c>
      <c r="B444" t="s">
        <v>100</v>
      </c>
      <c r="C444" t="s">
        <v>214</v>
      </c>
      <c r="D444" t="s">
        <v>101</v>
      </c>
      <c r="E444" s="32">
        <v>45937</v>
      </c>
      <c r="F444" t="s">
        <v>54</v>
      </c>
      <c r="G444" s="2">
        <v>45818</v>
      </c>
      <c r="H444">
        <v>9965038969</v>
      </c>
      <c r="I444">
        <v>142</v>
      </c>
      <c r="J444" t="s">
        <v>302</v>
      </c>
      <c r="K444" t="s">
        <v>71</v>
      </c>
      <c r="L444" t="s">
        <v>72</v>
      </c>
      <c r="M444" t="s">
        <v>59</v>
      </c>
      <c r="N444" t="s">
        <v>59</v>
      </c>
      <c r="O444" t="s">
        <v>59</v>
      </c>
      <c r="P444" t="s">
        <v>59</v>
      </c>
      <c r="Q444" t="s">
        <v>59</v>
      </c>
      <c r="R444" t="s">
        <v>60</v>
      </c>
      <c r="S444" t="s">
        <v>59</v>
      </c>
      <c r="T444" t="s">
        <v>59</v>
      </c>
      <c r="U444" t="s">
        <v>59</v>
      </c>
      <c r="V444" t="s">
        <v>59</v>
      </c>
      <c r="W444" t="s">
        <v>59</v>
      </c>
      <c r="X444" t="s">
        <v>59</v>
      </c>
      <c r="Y444" t="s">
        <v>59</v>
      </c>
      <c r="Z444" t="s">
        <v>59</v>
      </c>
      <c r="AA444" t="s">
        <v>60</v>
      </c>
      <c r="AB444" t="s">
        <v>60</v>
      </c>
      <c r="AC444" t="s">
        <v>59</v>
      </c>
      <c r="AD444" t="s">
        <v>59</v>
      </c>
      <c r="AE444" t="s">
        <v>59</v>
      </c>
      <c r="AF444" t="s">
        <v>59</v>
      </c>
      <c r="AG444" t="s">
        <v>59</v>
      </c>
      <c r="AH444" t="s">
        <v>59</v>
      </c>
      <c r="AI444" t="s">
        <v>61</v>
      </c>
      <c r="AJ444" t="s">
        <v>59</v>
      </c>
      <c r="AK444" t="s">
        <v>59</v>
      </c>
      <c r="AL444" t="s">
        <v>59</v>
      </c>
      <c r="AM444" t="s">
        <v>59</v>
      </c>
      <c r="AN444" t="s">
        <v>59</v>
      </c>
      <c r="AO444" t="s">
        <v>59</v>
      </c>
      <c r="AP444" t="s">
        <v>1094</v>
      </c>
      <c r="AQ444" t="s">
        <v>1047</v>
      </c>
      <c r="AR444" t="s">
        <v>64</v>
      </c>
      <c r="AS444" t="s">
        <v>175</v>
      </c>
      <c r="AT444" t="s">
        <v>1095</v>
      </c>
      <c r="AU444" t="s">
        <v>387</v>
      </c>
      <c r="AW444" s="4">
        <f t="shared" si="213"/>
        <v>6</v>
      </c>
      <c r="AX444" s="4">
        <f t="shared" si="214"/>
        <v>4</v>
      </c>
      <c r="AY444" s="4">
        <f t="shared" si="215"/>
        <v>4</v>
      </c>
      <c r="AZ444" s="4">
        <f t="shared" si="216"/>
        <v>2</v>
      </c>
      <c r="BA444" s="4">
        <f t="shared" si="217"/>
        <v>4</v>
      </c>
      <c r="BB444" s="4" t="str">
        <f t="shared" si="218"/>
        <v>0</v>
      </c>
      <c r="BC444" s="4">
        <f t="shared" si="219"/>
        <v>4</v>
      </c>
      <c r="BD444" s="4">
        <f t="shared" si="220"/>
        <v>2</v>
      </c>
      <c r="BE444" s="4">
        <f t="shared" si="221"/>
        <v>4</v>
      </c>
      <c r="BF444" s="4">
        <f t="shared" si="222"/>
        <v>2</v>
      </c>
      <c r="BG444" s="4">
        <f t="shared" si="223"/>
        <v>4</v>
      </c>
      <c r="BH444" s="4">
        <f t="shared" si="224"/>
        <v>4</v>
      </c>
      <c r="BI444" s="4">
        <f t="shared" si="225"/>
        <v>4</v>
      </c>
      <c r="BJ444" s="4">
        <f t="shared" si="226"/>
        <v>2</v>
      </c>
      <c r="BK444" s="4" t="str">
        <f t="shared" si="227"/>
        <v>0</v>
      </c>
      <c r="BL444" s="4" t="str">
        <f t="shared" si="228"/>
        <v>0</v>
      </c>
      <c r="BM444" s="4">
        <f t="shared" si="229"/>
        <v>4</v>
      </c>
      <c r="BN444" s="4">
        <f t="shared" si="230"/>
        <v>4</v>
      </c>
      <c r="BO444" s="4">
        <f t="shared" si="231"/>
        <v>4</v>
      </c>
      <c r="BP444" s="4">
        <f t="shared" si="232"/>
        <v>4</v>
      </c>
      <c r="BQ444" s="4">
        <f t="shared" si="233"/>
        <v>6</v>
      </c>
      <c r="BR444" s="4">
        <f t="shared" si="234"/>
        <v>4</v>
      </c>
      <c r="BS444" s="4">
        <f t="shared" si="235"/>
        <v>4</v>
      </c>
      <c r="BT444" s="4">
        <f t="shared" si="236"/>
        <v>4</v>
      </c>
      <c r="BU444" s="4">
        <f t="shared" si="237"/>
        <v>4</v>
      </c>
      <c r="BV444" s="4">
        <f t="shared" si="238"/>
        <v>0</v>
      </c>
      <c r="BW444" s="4">
        <f t="shared" si="239"/>
        <v>6</v>
      </c>
      <c r="BX444" s="4">
        <f t="shared" si="240"/>
        <v>0</v>
      </c>
      <c r="BY444" s="4">
        <f t="shared" si="241"/>
        <v>0</v>
      </c>
      <c r="BZ444" s="37">
        <f t="shared" si="242"/>
        <v>90</v>
      </c>
      <c r="CA444" s="32" t="str">
        <f>VLOOKUP(J:J,'Agent wise'!A:C,3,0)</f>
        <v>Shakeer</v>
      </c>
      <c r="CB444" s="32">
        <f t="shared" si="243"/>
        <v>45937</v>
      </c>
      <c r="CC444" t="str">
        <f t="shared" si="244"/>
        <v>Good</v>
      </c>
      <c r="CE444" s="32"/>
      <c r="CJ444">
        <f t="shared" si="245"/>
        <v>7</v>
      </c>
      <c r="CK444">
        <f t="shared" si="246"/>
        <v>10</v>
      </c>
      <c r="CL444">
        <f t="shared" si="247"/>
        <v>2025</v>
      </c>
    </row>
    <row r="445" spans="1:90" ht="15" customHeight="1" x14ac:dyDescent="0.35">
      <c r="A445" s="40">
        <v>45848.793703703697</v>
      </c>
      <c r="B445" t="s">
        <v>100</v>
      </c>
      <c r="C445" t="s">
        <v>214</v>
      </c>
      <c r="D445" t="s">
        <v>101</v>
      </c>
      <c r="E445" s="32">
        <v>45937</v>
      </c>
      <c r="F445" t="s">
        <v>54</v>
      </c>
      <c r="G445" s="2">
        <v>45818</v>
      </c>
      <c r="H445">
        <v>9488552101</v>
      </c>
      <c r="I445">
        <v>155</v>
      </c>
      <c r="J445" t="s">
        <v>302</v>
      </c>
      <c r="K445" t="s">
        <v>71</v>
      </c>
      <c r="L445" t="s">
        <v>72</v>
      </c>
      <c r="M445" t="s">
        <v>59</v>
      </c>
      <c r="N445" t="s">
        <v>59</v>
      </c>
      <c r="O445" t="s">
        <v>59</v>
      </c>
      <c r="P445" t="s">
        <v>59</v>
      </c>
      <c r="Q445" t="s">
        <v>59</v>
      </c>
      <c r="R445" t="s">
        <v>60</v>
      </c>
      <c r="S445" t="s">
        <v>59</v>
      </c>
      <c r="T445" t="s">
        <v>59</v>
      </c>
      <c r="U445" t="s">
        <v>59</v>
      </c>
      <c r="V445" t="s">
        <v>59</v>
      </c>
      <c r="W445" t="s">
        <v>59</v>
      </c>
      <c r="X445" t="s">
        <v>59</v>
      </c>
      <c r="Y445" t="s">
        <v>59</v>
      </c>
      <c r="Z445" t="s">
        <v>59</v>
      </c>
      <c r="AA445" t="s">
        <v>60</v>
      </c>
      <c r="AB445" t="s">
        <v>59</v>
      </c>
      <c r="AC445" t="s">
        <v>60</v>
      </c>
      <c r="AD445" t="s">
        <v>59</v>
      </c>
      <c r="AE445" t="s">
        <v>59</v>
      </c>
      <c r="AF445" t="s">
        <v>59</v>
      </c>
      <c r="AG445" t="s">
        <v>59</v>
      </c>
      <c r="AH445" t="s">
        <v>59</v>
      </c>
      <c r="AI445" t="s">
        <v>61</v>
      </c>
      <c r="AJ445" t="s">
        <v>59</v>
      </c>
      <c r="AK445" t="s">
        <v>59</v>
      </c>
      <c r="AL445" t="s">
        <v>59</v>
      </c>
      <c r="AM445" t="s">
        <v>59</v>
      </c>
      <c r="AN445" t="s">
        <v>59</v>
      </c>
      <c r="AO445" t="s">
        <v>59</v>
      </c>
      <c r="AP445" t="s">
        <v>1096</v>
      </c>
      <c r="AQ445" t="s">
        <v>1097</v>
      </c>
      <c r="AR445" t="s">
        <v>64</v>
      </c>
      <c r="AS445" t="s">
        <v>524</v>
      </c>
      <c r="AT445" t="s">
        <v>525</v>
      </c>
      <c r="AU445" t="s">
        <v>387</v>
      </c>
      <c r="AW445" s="4">
        <f t="shared" si="213"/>
        <v>6</v>
      </c>
      <c r="AX445" s="4">
        <f t="shared" si="214"/>
        <v>4</v>
      </c>
      <c r="AY445" s="4">
        <f t="shared" si="215"/>
        <v>4</v>
      </c>
      <c r="AZ445" s="4">
        <f t="shared" si="216"/>
        <v>2</v>
      </c>
      <c r="BA445" s="4">
        <f t="shared" si="217"/>
        <v>4</v>
      </c>
      <c r="BB445" s="4" t="str">
        <f t="shared" si="218"/>
        <v>0</v>
      </c>
      <c r="BC445" s="4">
        <f t="shared" si="219"/>
        <v>4</v>
      </c>
      <c r="BD445" s="4">
        <f t="shared" si="220"/>
        <v>2</v>
      </c>
      <c r="BE445" s="4">
        <f t="shared" si="221"/>
        <v>4</v>
      </c>
      <c r="BF445" s="4">
        <f t="shared" si="222"/>
        <v>2</v>
      </c>
      <c r="BG445" s="4">
        <f t="shared" si="223"/>
        <v>4</v>
      </c>
      <c r="BH445" s="4">
        <f t="shared" si="224"/>
        <v>4</v>
      </c>
      <c r="BI445" s="4">
        <f t="shared" si="225"/>
        <v>4</v>
      </c>
      <c r="BJ445" s="4">
        <f t="shared" si="226"/>
        <v>2</v>
      </c>
      <c r="BK445" s="4" t="str">
        <f t="shared" si="227"/>
        <v>0</v>
      </c>
      <c r="BL445" s="4">
        <f t="shared" si="228"/>
        <v>2</v>
      </c>
      <c r="BM445" s="4" t="str">
        <f t="shared" si="229"/>
        <v>0</v>
      </c>
      <c r="BN445" s="4">
        <f t="shared" si="230"/>
        <v>4</v>
      </c>
      <c r="BO445" s="4">
        <f t="shared" si="231"/>
        <v>4</v>
      </c>
      <c r="BP445" s="4">
        <f t="shared" si="232"/>
        <v>4</v>
      </c>
      <c r="BQ445" s="4">
        <f t="shared" si="233"/>
        <v>6</v>
      </c>
      <c r="BR445" s="4">
        <f t="shared" si="234"/>
        <v>4</v>
      </c>
      <c r="BS445" s="4">
        <f t="shared" si="235"/>
        <v>4</v>
      </c>
      <c r="BT445" s="4">
        <f t="shared" si="236"/>
        <v>4</v>
      </c>
      <c r="BU445" s="4">
        <f t="shared" si="237"/>
        <v>4</v>
      </c>
      <c r="BV445" s="4">
        <f t="shared" si="238"/>
        <v>0</v>
      </c>
      <c r="BW445" s="4">
        <f t="shared" si="239"/>
        <v>6</v>
      </c>
      <c r="BX445" s="4">
        <f t="shared" si="240"/>
        <v>0</v>
      </c>
      <c r="BY445" s="4">
        <f t="shared" si="241"/>
        <v>0</v>
      </c>
      <c r="BZ445" s="37">
        <f t="shared" si="242"/>
        <v>88</v>
      </c>
      <c r="CA445" s="32" t="str">
        <f>VLOOKUP(J:J,'Agent wise'!A:C,3,0)</f>
        <v>Shakeer</v>
      </c>
      <c r="CB445" s="32">
        <f t="shared" si="243"/>
        <v>45937</v>
      </c>
      <c r="CC445" t="str">
        <f t="shared" si="244"/>
        <v>Average</v>
      </c>
      <c r="CE445" s="32"/>
      <c r="CJ445">
        <f t="shared" si="245"/>
        <v>7</v>
      </c>
      <c r="CK445">
        <f t="shared" si="246"/>
        <v>10</v>
      </c>
      <c r="CL445">
        <f t="shared" si="247"/>
        <v>2025</v>
      </c>
    </row>
    <row r="446" spans="1:90" ht="15" customHeight="1" x14ac:dyDescent="0.35">
      <c r="A446" s="40">
        <v>45848.798252314817</v>
      </c>
      <c r="B446" t="s">
        <v>100</v>
      </c>
      <c r="C446" t="s">
        <v>214</v>
      </c>
      <c r="D446" t="s">
        <v>101</v>
      </c>
      <c r="E446" s="32">
        <v>45937</v>
      </c>
      <c r="F446" t="s">
        <v>54</v>
      </c>
      <c r="G446" s="2">
        <v>45818</v>
      </c>
      <c r="H446">
        <v>9095480196</v>
      </c>
      <c r="I446">
        <v>175</v>
      </c>
      <c r="J446" t="s">
        <v>1098</v>
      </c>
      <c r="K446" t="s">
        <v>71</v>
      </c>
      <c r="L446" t="s">
        <v>72</v>
      </c>
      <c r="M446" t="s">
        <v>59</v>
      </c>
      <c r="N446" t="s">
        <v>59</v>
      </c>
      <c r="O446" t="s">
        <v>59</v>
      </c>
      <c r="P446" t="s">
        <v>59</v>
      </c>
      <c r="Q446" t="s">
        <v>59</v>
      </c>
      <c r="R446" t="s">
        <v>60</v>
      </c>
      <c r="S446" t="s">
        <v>59</v>
      </c>
      <c r="T446" t="s">
        <v>59</v>
      </c>
      <c r="U446" t="s">
        <v>59</v>
      </c>
      <c r="V446" t="s">
        <v>59</v>
      </c>
      <c r="W446" t="s">
        <v>59</v>
      </c>
      <c r="X446" t="s">
        <v>59</v>
      </c>
      <c r="Y446" t="s">
        <v>59</v>
      </c>
      <c r="Z446" t="s">
        <v>59</v>
      </c>
      <c r="AA446" t="s">
        <v>60</v>
      </c>
      <c r="AB446" t="s">
        <v>59</v>
      </c>
      <c r="AC446" t="s">
        <v>59</v>
      </c>
      <c r="AD446" t="s">
        <v>59</v>
      </c>
      <c r="AE446" t="s">
        <v>59</v>
      </c>
      <c r="AF446" t="s">
        <v>59</v>
      </c>
      <c r="AG446" t="s">
        <v>59</v>
      </c>
      <c r="AH446" t="s">
        <v>59</v>
      </c>
      <c r="AI446" t="s">
        <v>61</v>
      </c>
      <c r="AJ446" t="s">
        <v>59</v>
      </c>
      <c r="AK446" t="s">
        <v>59</v>
      </c>
      <c r="AL446" t="s">
        <v>59</v>
      </c>
      <c r="AM446" t="s">
        <v>59</v>
      </c>
      <c r="AN446" t="s">
        <v>59</v>
      </c>
      <c r="AO446" t="s">
        <v>59</v>
      </c>
      <c r="AP446" t="s">
        <v>1099</v>
      </c>
      <c r="AQ446" t="s">
        <v>1100</v>
      </c>
      <c r="AR446" t="s">
        <v>64</v>
      </c>
      <c r="AS446" t="s">
        <v>175</v>
      </c>
      <c r="AT446" t="s">
        <v>167</v>
      </c>
      <c r="AU446" t="s">
        <v>299</v>
      </c>
      <c r="AW446" s="4">
        <f t="shared" si="213"/>
        <v>6</v>
      </c>
      <c r="AX446" s="4">
        <f t="shared" si="214"/>
        <v>4</v>
      </c>
      <c r="AY446" s="4">
        <f t="shared" si="215"/>
        <v>4</v>
      </c>
      <c r="AZ446" s="4">
        <f t="shared" si="216"/>
        <v>2</v>
      </c>
      <c r="BA446" s="4">
        <f t="shared" si="217"/>
        <v>4</v>
      </c>
      <c r="BB446" s="4" t="str">
        <f t="shared" si="218"/>
        <v>0</v>
      </c>
      <c r="BC446" s="4">
        <f t="shared" si="219"/>
        <v>4</v>
      </c>
      <c r="BD446" s="4">
        <f t="shared" si="220"/>
        <v>2</v>
      </c>
      <c r="BE446" s="4">
        <f t="shared" si="221"/>
        <v>4</v>
      </c>
      <c r="BF446" s="4">
        <f t="shared" si="222"/>
        <v>2</v>
      </c>
      <c r="BG446" s="4">
        <f t="shared" si="223"/>
        <v>4</v>
      </c>
      <c r="BH446" s="4">
        <f t="shared" si="224"/>
        <v>4</v>
      </c>
      <c r="BI446" s="4">
        <f t="shared" si="225"/>
        <v>4</v>
      </c>
      <c r="BJ446" s="4">
        <f t="shared" si="226"/>
        <v>2</v>
      </c>
      <c r="BK446" s="4" t="str">
        <f t="shared" si="227"/>
        <v>0</v>
      </c>
      <c r="BL446" s="4">
        <f t="shared" si="228"/>
        <v>2</v>
      </c>
      <c r="BM446" s="4">
        <f t="shared" si="229"/>
        <v>4</v>
      </c>
      <c r="BN446" s="4">
        <f t="shared" si="230"/>
        <v>4</v>
      </c>
      <c r="BO446" s="4">
        <f t="shared" si="231"/>
        <v>4</v>
      </c>
      <c r="BP446" s="4">
        <f t="shared" si="232"/>
        <v>4</v>
      </c>
      <c r="BQ446" s="4">
        <f t="shared" si="233"/>
        <v>6</v>
      </c>
      <c r="BR446" s="4">
        <f t="shared" si="234"/>
        <v>4</v>
      </c>
      <c r="BS446" s="4">
        <f t="shared" si="235"/>
        <v>4</v>
      </c>
      <c r="BT446" s="4">
        <f t="shared" si="236"/>
        <v>4</v>
      </c>
      <c r="BU446" s="4">
        <f t="shared" si="237"/>
        <v>4</v>
      </c>
      <c r="BV446" s="4">
        <f t="shared" si="238"/>
        <v>0</v>
      </c>
      <c r="BW446" s="4">
        <f t="shared" si="239"/>
        <v>6</v>
      </c>
      <c r="BX446" s="4">
        <f t="shared" si="240"/>
        <v>0</v>
      </c>
      <c r="BY446" s="4">
        <f t="shared" si="241"/>
        <v>0</v>
      </c>
      <c r="BZ446" s="37">
        <f t="shared" si="242"/>
        <v>92</v>
      </c>
      <c r="CA446" s="32" t="str">
        <f>VLOOKUP(J:J,'Agent wise'!A:C,3,0)</f>
        <v>Anusha</v>
      </c>
      <c r="CB446" s="32">
        <f t="shared" si="243"/>
        <v>45937</v>
      </c>
      <c r="CC446" t="str">
        <f t="shared" si="244"/>
        <v>Good</v>
      </c>
      <c r="CE446" s="32"/>
      <c r="CJ446">
        <f t="shared" si="245"/>
        <v>7</v>
      </c>
      <c r="CK446">
        <f t="shared" si="246"/>
        <v>10</v>
      </c>
      <c r="CL446">
        <f t="shared" si="247"/>
        <v>2025</v>
      </c>
    </row>
    <row r="447" spans="1:90" ht="15" customHeight="1" x14ac:dyDescent="0.35">
      <c r="A447" s="40">
        <v>45848.802557870367</v>
      </c>
      <c r="B447" t="s">
        <v>100</v>
      </c>
      <c r="C447" t="s">
        <v>214</v>
      </c>
      <c r="D447" t="s">
        <v>101</v>
      </c>
      <c r="E447" s="32">
        <v>45937</v>
      </c>
      <c r="F447" t="s">
        <v>54</v>
      </c>
      <c r="G447" s="2">
        <v>45818</v>
      </c>
      <c r="H447">
        <v>8903494604</v>
      </c>
      <c r="I447">
        <v>295</v>
      </c>
      <c r="J447" t="s">
        <v>1098</v>
      </c>
      <c r="K447" t="s">
        <v>71</v>
      </c>
      <c r="L447" t="s">
        <v>72</v>
      </c>
      <c r="M447" t="s">
        <v>60</v>
      </c>
      <c r="N447" t="s">
        <v>59</v>
      </c>
      <c r="O447" t="s">
        <v>60</v>
      </c>
      <c r="P447" t="s">
        <v>59</v>
      </c>
      <c r="Q447" t="s">
        <v>59</v>
      </c>
      <c r="R447" t="s">
        <v>59</v>
      </c>
      <c r="S447" t="s">
        <v>59</v>
      </c>
      <c r="T447" t="s">
        <v>59</v>
      </c>
      <c r="U447" t="s">
        <v>60</v>
      </c>
      <c r="V447" t="s">
        <v>59</v>
      </c>
      <c r="W447" t="s">
        <v>59</v>
      </c>
      <c r="X447" t="s">
        <v>59</v>
      </c>
      <c r="Y447" t="s">
        <v>59</v>
      </c>
      <c r="Z447" t="s">
        <v>59</v>
      </c>
      <c r="AA447" t="s">
        <v>60</v>
      </c>
      <c r="AB447" t="s">
        <v>60</v>
      </c>
      <c r="AC447" t="s">
        <v>60</v>
      </c>
      <c r="AD447" t="s">
        <v>59</v>
      </c>
      <c r="AE447" t="s">
        <v>60</v>
      </c>
      <c r="AF447" t="s">
        <v>59</v>
      </c>
      <c r="AG447" t="s">
        <v>59</v>
      </c>
      <c r="AH447" t="s">
        <v>59</v>
      </c>
      <c r="AI447" t="s">
        <v>60</v>
      </c>
      <c r="AJ447" t="s">
        <v>59</v>
      </c>
      <c r="AK447" t="s">
        <v>59</v>
      </c>
      <c r="AL447" t="s">
        <v>59</v>
      </c>
      <c r="AM447" t="s">
        <v>59</v>
      </c>
      <c r="AN447" t="s">
        <v>59</v>
      </c>
      <c r="AO447" t="s">
        <v>59</v>
      </c>
      <c r="AP447" t="s">
        <v>1101</v>
      </c>
      <c r="AQ447" t="s">
        <v>1047</v>
      </c>
      <c r="AR447" t="s">
        <v>64</v>
      </c>
      <c r="AS447" t="s">
        <v>1102</v>
      </c>
      <c r="AT447" t="s">
        <v>1102</v>
      </c>
      <c r="AU447" t="s">
        <v>299</v>
      </c>
      <c r="AW447" s="4" t="str">
        <f t="shared" si="213"/>
        <v>0</v>
      </c>
      <c r="AX447" s="4">
        <f t="shared" si="214"/>
        <v>4</v>
      </c>
      <c r="AY447" s="4" t="str">
        <f t="shared" si="215"/>
        <v>0</v>
      </c>
      <c r="AZ447" s="4">
        <f t="shared" si="216"/>
        <v>2</v>
      </c>
      <c r="BA447" s="4">
        <f t="shared" si="217"/>
        <v>4</v>
      </c>
      <c r="BB447" s="4">
        <f t="shared" si="218"/>
        <v>4</v>
      </c>
      <c r="BC447" s="4">
        <f t="shared" si="219"/>
        <v>4</v>
      </c>
      <c r="BD447" s="4">
        <f t="shared" si="220"/>
        <v>2</v>
      </c>
      <c r="BE447" s="4" t="str">
        <f t="shared" si="221"/>
        <v>0</v>
      </c>
      <c r="BF447" s="4">
        <f t="shared" si="222"/>
        <v>2</v>
      </c>
      <c r="BG447" s="4">
        <f t="shared" si="223"/>
        <v>4</v>
      </c>
      <c r="BH447" s="4">
        <f t="shared" si="224"/>
        <v>4</v>
      </c>
      <c r="BI447" s="4">
        <f t="shared" si="225"/>
        <v>4</v>
      </c>
      <c r="BJ447" s="4">
        <f t="shared" si="226"/>
        <v>2</v>
      </c>
      <c r="BK447" s="4" t="str">
        <f t="shared" si="227"/>
        <v>0</v>
      </c>
      <c r="BL447" s="4" t="str">
        <f t="shared" si="228"/>
        <v>0</v>
      </c>
      <c r="BM447" s="4" t="str">
        <f t="shared" si="229"/>
        <v>0</v>
      </c>
      <c r="BN447" s="4">
        <f t="shared" si="230"/>
        <v>4</v>
      </c>
      <c r="BO447" s="4" t="str">
        <f t="shared" si="231"/>
        <v>0</v>
      </c>
      <c r="BP447" s="4">
        <f t="shared" si="232"/>
        <v>4</v>
      </c>
      <c r="BQ447" s="4">
        <f t="shared" si="233"/>
        <v>6</v>
      </c>
      <c r="BR447" s="4">
        <f t="shared" si="234"/>
        <v>4</v>
      </c>
      <c r="BS447" s="4" t="str">
        <f t="shared" si="235"/>
        <v>0</v>
      </c>
      <c r="BT447" s="4">
        <f t="shared" si="236"/>
        <v>4</v>
      </c>
      <c r="BU447" s="4">
        <f t="shared" si="237"/>
        <v>4</v>
      </c>
      <c r="BV447" s="4">
        <f t="shared" si="238"/>
        <v>0</v>
      </c>
      <c r="BW447" s="4">
        <f t="shared" si="239"/>
        <v>6</v>
      </c>
      <c r="BX447" s="4">
        <f t="shared" si="240"/>
        <v>0</v>
      </c>
      <c r="BY447" s="4">
        <f t="shared" si="241"/>
        <v>0</v>
      </c>
      <c r="BZ447" s="37">
        <f t="shared" si="242"/>
        <v>68</v>
      </c>
      <c r="CA447" s="32" t="str">
        <f>VLOOKUP(J:J,'Agent wise'!A:C,3,0)</f>
        <v>Anusha</v>
      </c>
      <c r="CB447" s="32">
        <f t="shared" si="243"/>
        <v>45937</v>
      </c>
      <c r="CC447" t="str">
        <f t="shared" si="244"/>
        <v>FC</v>
      </c>
      <c r="CE447" s="32"/>
      <c r="CJ447">
        <f t="shared" si="245"/>
        <v>7</v>
      </c>
      <c r="CK447">
        <f t="shared" si="246"/>
        <v>10</v>
      </c>
      <c r="CL447">
        <f t="shared" si="247"/>
        <v>2025</v>
      </c>
    </row>
    <row r="448" spans="1:90" ht="15" customHeight="1" x14ac:dyDescent="0.35">
      <c r="A448" s="40">
        <v>45848.805821759262</v>
      </c>
      <c r="B448" t="s">
        <v>100</v>
      </c>
      <c r="C448" t="s">
        <v>214</v>
      </c>
      <c r="D448" t="s">
        <v>101</v>
      </c>
      <c r="E448" s="32">
        <v>45937</v>
      </c>
      <c r="F448" t="s">
        <v>54</v>
      </c>
      <c r="G448" s="2">
        <v>45818</v>
      </c>
      <c r="H448">
        <v>9842239110</v>
      </c>
      <c r="I448">
        <v>248</v>
      </c>
      <c r="J448" t="s">
        <v>1098</v>
      </c>
      <c r="K448" t="s">
        <v>71</v>
      </c>
      <c r="L448" t="s">
        <v>72</v>
      </c>
      <c r="M448" t="s">
        <v>59</v>
      </c>
      <c r="N448" t="s">
        <v>59</v>
      </c>
      <c r="O448" t="s">
        <v>59</v>
      </c>
      <c r="P448" t="s">
        <v>59</v>
      </c>
      <c r="Q448" t="s">
        <v>59</v>
      </c>
      <c r="R448" t="s">
        <v>60</v>
      </c>
      <c r="S448" t="s">
        <v>59</v>
      </c>
      <c r="T448" t="s">
        <v>59</v>
      </c>
      <c r="U448" t="s">
        <v>59</v>
      </c>
      <c r="V448" t="s">
        <v>59</v>
      </c>
      <c r="W448" t="s">
        <v>59</v>
      </c>
      <c r="X448" t="s">
        <v>59</v>
      </c>
      <c r="Y448" t="s">
        <v>59</v>
      </c>
      <c r="Z448" t="s">
        <v>59</v>
      </c>
      <c r="AA448" t="s">
        <v>59</v>
      </c>
      <c r="AB448" t="s">
        <v>59</v>
      </c>
      <c r="AC448" t="s">
        <v>60</v>
      </c>
      <c r="AD448" t="s">
        <v>59</v>
      </c>
      <c r="AE448" t="s">
        <v>59</v>
      </c>
      <c r="AF448" t="s">
        <v>59</v>
      </c>
      <c r="AG448" t="s">
        <v>59</v>
      </c>
      <c r="AH448" t="s">
        <v>59</v>
      </c>
      <c r="AI448" t="s">
        <v>61</v>
      </c>
      <c r="AJ448" t="s">
        <v>59</v>
      </c>
      <c r="AK448" t="s">
        <v>59</v>
      </c>
      <c r="AL448" t="s">
        <v>59</v>
      </c>
      <c r="AM448" t="s">
        <v>59</v>
      </c>
      <c r="AN448" t="s">
        <v>59</v>
      </c>
      <c r="AO448" t="s">
        <v>59</v>
      </c>
      <c r="AP448" t="s">
        <v>1103</v>
      </c>
      <c r="AQ448" t="s">
        <v>1104</v>
      </c>
      <c r="AR448" t="s">
        <v>64</v>
      </c>
      <c r="AS448" t="s">
        <v>171</v>
      </c>
      <c r="AT448" t="s">
        <v>172</v>
      </c>
      <c r="AU448" t="s">
        <v>299</v>
      </c>
      <c r="AW448" s="4">
        <f t="shared" si="213"/>
        <v>6</v>
      </c>
      <c r="AX448" s="4">
        <f t="shared" si="214"/>
        <v>4</v>
      </c>
      <c r="AY448" s="4">
        <f t="shared" si="215"/>
        <v>4</v>
      </c>
      <c r="AZ448" s="4">
        <f t="shared" si="216"/>
        <v>2</v>
      </c>
      <c r="BA448" s="4">
        <f t="shared" si="217"/>
        <v>4</v>
      </c>
      <c r="BB448" s="4" t="str">
        <f t="shared" si="218"/>
        <v>0</v>
      </c>
      <c r="BC448" s="4">
        <f t="shared" si="219"/>
        <v>4</v>
      </c>
      <c r="BD448" s="4">
        <f t="shared" si="220"/>
        <v>2</v>
      </c>
      <c r="BE448" s="4">
        <f t="shared" si="221"/>
        <v>4</v>
      </c>
      <c r="BF448" s="4">
        <f t="shared" si="222"/>
        <v>2</v>
      </c>
      <c r="BG448" s="4">
        <f t="shared" si="223"/>
        <v>4</v>
      </c>
      <c r="BH448" s="4">
        <f t="shared" si="224"/>
        <v>4</v>
      </c>
      <c r="BI448" s="4">
        <f t="shared" si="225"/>
        <v>4</v>
      </c>
      <c r="BJ448" s="4">
        <f t="shared" si="226"/>
        <v>2</v>
      </c>
      <c r="BK448" s="4">
        <f t="shared" si="227"/>
        <v>4</v>
      </c>
      <c r="BL448" s="4">
        <f t="shared" si="228"/>
        <v>2</v>
      </c>
      <c r="BM448" s="4" t="str">
        <f t="shared" si="229"/>
        <v>0</v>
      </c>
      <c r="BN448" s="4">
        <f t="shared" si="230"/>
        <v>4</v>
      </c>
      <c r="BO448" s="4">
        <f t="shared" si="231"/>
        <v>4</v>
      </c>
      <c r="BP448" s="4">
        <f t="shared" si="232"/>
        <v>4</v>
      </c>
      <c r="BQ448" s="4">
        <f t="shared" si="233"/>
        <v>6</v>
      </c>
      <c r="BR448" s="4">
        <f t="shared" si="234"/>
        <v>4</v>
      </c>
      <c r="BS448" s="4">
        <f t="shared" si="235"/>
        <v>4</v>
      </c>
      <c r="BT448" s="4">
        <f t="shared" si="236"/>
        <v>4</v>
      </c>
      <c r="BU448" s="4">
        <f t="shared" si="237"/>
        <v>4</v>
      </c>
      <c r="BV448" s="4">
        <f t="shared" si="238"/>
        <v>0</v>
      </c>
      <c r="BW448" s="4">
        <f t="shared" si="239"/>
        <v>6</v>
      </c>
      <c r="BX448" s="4">
        <f t="shared" si="240"/>
        <v>0</v>
      </c>
      <c r="BY448" s="4">
        <f t="shared" si="241"/>
        <v>0</v>
      </c>
      <c r="BZ448" s="37">
        <f t="shared" si="242"/>
        <v>92</v>
      </c>
      <c r="CA448" s="32" t="str">
        <f>VLOOKUP(J:J,'Agent wise'!A:C,3,0)</f>
        <v>Anusha</v>
      </c>
      <c r="CB448" s="32">
        <f t="shared" si="243"/>
        <v>45937</v>
      </c>
      <c r="CC448" t="str">
        <f t="shared" si="244"/>
        <v>Good</v>
      </c>
      <c r="CE448" s="32"/>
      <c r="CJ448">
        <f t="shared" si="245"/>
        <v>7</v>
      </c>
      <c r="CK448">
        <f t="shared" si="246"/>
        <v>10</v>
      </c>
      <c r="CL448">
        <f t="shared" si="247"/>
        <v>2025</v>
      </c>
    </row>
    <row r="449" spans="1:90" ht="15" customHeight="1" x14ac:dyDescent="0.35">
      <c r="A449" s="40">
        <v>45848.98201388889</v>
      </c>
      <c r="B449" t="s">
        <v>130</v>
      </c>
      <c r="C449" t="s">
        <v>214</v>
      </c>
      <c r="D449" t="s">
        <v>131</v>
      </c>
      <c r="E449" s="32">
        <v>45937</v>
      </c>
      <c r="F449" t="s">
        <v>54</v>
      </c>
      <c r="G449" s="2">
        <v>45848</v>
      </c>
      <c r="H449">
        <v>8146356650</v>
      </c>
      <c r="I449">
        <v>128</v>
      </c>
      <c r="J449" t="s">
        <v>638</v>
      </c>
      <c r="K449" t="s">
        <v>57</v>
      </c>
      <c r="L449" t="s">
        <v>58</v>
      </c>
      <c r="M449" t="s">
        <v>59</v>
      </c>
      <c r="N449" t="s">
        <v>59</v>
      </c>
      <c r="O449" t="s">
        <v>59</v>
      </c>
      <c r="P449" t="s">
        <v>59</v>
      </c>
      <c r="Q449" t="s">
        <v>59</v>
      </c>
      <c r="R449" t="s">
        <v>59</v>
      </c>
      <c r="S449" t="s">
        <v>59</v>
      </c>
      <c r="T449" t="s">
        <v>59</v>
      </c>
      <c r="U449" t="s">
        <v>60</v>
      </c>
      <c r="V449" t="s">
        <v>59</v>
      </c>
      <c r="W449" t="s">
        <v>59</v>
      </c>
      <c r="X449" t="s">
        <v>59</v>
      </c>
      <c r="Y449" t="s">
        <v>59</v>
      </c>
      <c r="Z449" t="s">
        <v>59</v>
      </c>
      <c r="AA449" t="s">
        <v>59</v>
      </c>
      <c r="AB449" t="s">
        <v>59</v>
      </c>
      <c r="AC449" t="s">
        <v>61</v>
      </c>
      <c r="AD449" t="s">
        <v>59</v>
      </c>
      <c r="AE449" t="s">
        <v>60</v>
      </c>
      <c r="AF449" t="s">
        <v>61</v>
      </c>
      <c r="AG449" t="s">
        <v>60</v>
      </c>
      <c r="AH449" t="s">
        <v>61</v>
      </c>
      <c r="AI449" t="s">
        <v>61</v>
      </c>
      <c r="AJ449" t="s">
        <v>59</v>
      </c>
      <c r="AK449" t="s">
        <v>59</v>
      </c>
      <c r="AL449" t="s">
        <v>60</v>
      </c>
      <c r="AM449" t="s">
        <v>59</v>
      </c>
      <c r="AN449" t="s">
        <v>59</v>
      </c>
      <c r="AO449" t="s">
        <v>59</v>
      </c>
      <c r="AP449" t="s">
        <v>1105</v>
      </c>
      <c r="AQ449" s="1" t="s">
        <v>1106</v>
      </c>
      <c r="AR449" t="s">
        <v>64</v>
      </c>
      <c r="AS449" t="s">
        <v>175</v>
      </c>
      <c r="AT449" t="s">
        <v>558</v>
      </c>
      <c r="AU449" t="s">
        <v>219</v>
      </c>
      <c r="AW449" s="4">
        <f t="shared" si="213"/>
        <v>6</v>
      </c>
      <c r="AX449" s="4">
        <f t="shared" si="214"/>
        <v>4</v>
      </c>
      <c r="AY449" s="4">
        <f t="shared" si="215"/>
        <v>4</v>
      </c>
      <c r="AZ449" s="4">
        <f t="shared" si="216"/>
        <v>2</v>
      </c>
      <c r="BA449" s="4">
        <f t="shared" si="217"/>
        <v>4</v>
      </c>
      <c r="BB449" s="4">
        <f t="shared" si="218"/>
        <v>4</v>
      </c>
      <c r="BC449" s="4">
        <f t="shared" si="219"/>
        <v>4</v>
      </c>
      <c r="BD449" s="4">
        <f t="shared" si="220"/>
        <v>2</v>
      </c>
      <c r="BE449" s="4" t="str">
        <f t="shared" si="221"/>
        <v>0</v>
      </c>
      <c r="BF449" s="4">
        <f t="shared" si="222"/>
        <v>2</v>
      </c>
      <c r="BG449" s="4">
        <f t="shared" si="223"/>
        <v>4</v>
      </c>
      <c r="BH449" s="4">
        <f t="shared" si="224"/>
        <v>4</v>
      </c>
      <c r="BI449" s="4">
        <f t="shared" si="225"/>
        <v>4</v>
      </c>
      <c r="BJ449" s="4">
        <f t="shared" si="226"/>
        <v>2</v>
      </c>
      <c r="BK449" s="4">
        <f t="shared" si="227"/>
        <v>4</v>
      </c>
      <c r="BL449" s="4">
        <f t="shared" si="228"/>
        <v>2</v>
      </c>
      <c r="BM449" s="4">
        <f t="shared" si="229"/>
        <v>4</v>
      </c>
      <c r="BN449" s="4">
        <f t="shared" si="230"/>
        <v>4</v>
      </c>
      <c r="BO449" s="4" t="str">
        <f t="shared" si="231"/>
        <v>0</v>
      </c>
      <c r="BP449" s="4">
        <f t="shared" si="232"/>
        <v>4</v>
      </c>
      <c r="BQ449" s="4" t="str">
        <f t="shared" si="233"/>
        <v>0</v>
      </c>
      <c r="BR449" s="4">
        <f t="shared" si="234"/>
        <v>4</v>
      </c>
      <c r="BS449" s="4">
        <f t="shared" si="235"/>
        <v>4</v>
      </c>
      <c r="BT449" s="4">
        <f t="shared" si="236"/>
        <v>4</v>
      </c>
      <c r="BU449" s="4">
        <f t="shared" si="237"/>
        <v>4</v>
      </c>
      <c r="BV449" s="4" t="str">
        <f t="shared" si="238"/>
        <v>0</v>
      </c>
      <c r="BW449" s="4">
        <f t="shared" si="239"/>
        <v>6</v>
      </c>
      <c r="BX449" s="4">
        <f t="shared" si="240"/>
        <v>0</v>
      </c>
      <c r="BY449" s="4">
        <f t="shared" si="241"/>
        <v>0</v>
      </c>
      <c r="BZ449" s="37">
        <f t="shared" si="242"/>
        <v>86</v>
      </c>
      <c r="CA449" s="32" t="str">
        <f>VLOOKUP(J:J,'Agent wise'!A:C,3,0)</f>
        <v>Adharsh</v>
      </c>
      <c r="CB449" s="32">
        <f t="shared" si="243"/>
        <v>45937</v>
      </c>
      <c r="CC449" t="str">
        <f t="shared" si="244"/>
        <v>Average</v>
      </c>
      <c r="CE449" s="32"/>
      <c r="CJ449">
        <f t="shared" si="245"/>
        <v>7</v>
      </c>
      <c r="CK449">
        <f t="shared" si="246"/>
        <v>10</v>
      </c>
      <c r="CL449">
        <f t="shared" si="247"/>
        <v>2025</v>
      </c>
    </row>
    <row r="450" spans="1:90" ht="15" customHeight="1" x14ac:dyDescent="0.35">
      <c r="A450" s="40">
        <v>45848.982268518521</v>
      </c>
      <c r="B450" t="s">
        <v>106</v>
      </c>
      <c r="C450" t="s">
        <v>214</v>
      </c>
      <c r="D450" t="s">
        <v>107</v>
      </c>
      <c r="E450" s="32">
        <v>45937</v>
      </c>
      <c r="F450" t="s">
        <v>54</v>
      </c>
      <c r="G450" s="2">
        <v>45848</v>
      </c>
      <c r="H450">
        <v>9442937937</v>
      </c>
      <c r="I450">
        <v>143</v>
      </c>
      <c r="J450" t="s">
        <v>139</v>
      </c>
      <c r="K450" t="s">
        <v>71</v>
      </c>
      <c r="L450" t="s">
        <v>72</v>
      </c>
      <c r="M450" t="s">
        <v>59</v>
      </c>
      <c r="N450" t="s">
        <v>59</v>
      </c>
      <c r="O450" t="s">
        <v>59</v>
      </c>
      <c r="P450" t="s">
        <v>59</v>
      </c>
      <c r="Q450" t="s">
        <v>59</v>
      </c>
      <c r="R450" t="s">
        <v>59</v>
      </c>
      <c r="S450" t="s">
        <v>59</v>
      </c>
      <c r="T450" t="s">
        <v>59</v>
      </c>
      <c r="U450" t="s">
        <v>59</v>
      </c>
      <c r="V450" t="s">
        <v>59</v>
      </c>
      <c r="W450" t="s">
        <v>59</v>
      </c>
      <c r="X450" t="s">
        <v>61</v>
      </c>
      <c r="Y450" t="s">
        <v>59</v>
      </c>
      <c r="Z450" t="s">
        <v>59</v>
      </c>
      <c r="AA450" t="s">
        <v>59</v>
      </c>
      <c r="AB450" t="s">
        <v>59</v>
      </c>
      <c r="AC450" t="s">
        <v>61</v>
      </c>
      <c r="AD450" t="s">
        <v>61</v>
      </c>
      <c r="AE450" t="s">
        <v>59</v>
      </c>
      <c r="AF450" t="s">
        <v>61</v>
      </c>
      <c r="AG450" t="s">
        <v>59</v>
      </c>
      <c r="AH450" t="s">
        <v>61</v>
      </c>
      <c r="AI450" t="s">
        <v>61</v>
      </c>
      <c r="AJ450" t="s">
        <v>59</v>
      </c>
      <c r="AK450" t="s">
        <v>59</v>
      </c>
      <c r="AL450" t="s">
        <v>59</v>
      </c>
      <c r="AM450" t="s">
        <v>59</v>
      </c>
      <c r="AN450" t="s">
        <v>59</v>
      </c>
      <c r="AO450" t="s">
        <v>59</v>
      </c>
      <c r="AP450" t="s">
        <v>375</v>
      </c>
      <c r="AQ450" t="s">
        <v>1107</v>
      </c>
      <c r="AR450" t="s">
        <v>64</v>
      </c>
      <c r="AS450" t="s">
        <v>771</v>
      </c>
      <c r="AT450" t="s">
        <v>772</v>
      </c>
      <c r="AU450" t="s">
        <v>219</v>
      </c>
      <c r="AW450" s="4">
        <f t="shared" si="213"/>
        <v>6</v>
      </c>
      <c r="AX450" s="4">
        <f t="shared" si="214"/>
        <v>4</v>
      </c>
      <c r="AY450" s="4">
        <f t="shared" si="215"/>
        <v>4</v>
      </c>
      <c r="AZ450" s="4">
        <f t="shared" si="216"/>
        <v>2</v>
      </c>
      <c r="BA450" s="4">
        <f t="shared" si="217"/>
        <v>4</v>
      </c>
      <c r="BB450" s="4">
        <f t="shared" si="218"/>
        <v>4</v>
      </c>
      <c r="BC450" s="4">
        <f t="shared" si="219"/>
        <v>4</v>
      </c>
      <c r="BD450" s="4">
        <f t="shared" si="220"/>
        <v>2</v>
      </c>
      <c r="BE450" s="4">
        <f t="shared" si="221"/>
        <v>4</v>
      </c>
      <c r="BF450" s="4">
        <f t="shared" si="222"/>
        <v>2</v>
      </c>
      <c r="BG450" s="4">
        <f t="shared" si="223"/>
        <v>4</v>
      </c>
      <c r="BH450" s="4">
        <f t="shared" si="224"/>
        <v>4</v>
      </c>
      <c r="BI450" s="4">
        <f t="shared" si="225"/>
        <v>4</v>
      </c>
      <c r="BJ450" s="4">
        <f t="shared" si="226"/>
        <v>2</v>
      </c>
      <c r="BK450" s="4">
        <f t="shared" si="227"/>
        <v>4</v>
      </c>
      <c r="BL450" s="4">
        <f t="shared" si="228"/>
        <v>2</v>
      </c>
      <c r="BM450" s="4">
        <f t="shared" si="229"/>
        <v>4</v>
      </c>
      <c r="BN450" s="4">
        <f t="shared" si="230"/>
        <v>4</v>
      </c>
      <c r="BO450" s="4">
        <f t="shared" si="231"/>
        <v>4</v>
      </c>
      <c r="BP450" s="4">
        <f t="shared" si="232"/>
        <v>4</v>
      </c>
      <c r="BQ450" s="4">
        <f t="shared" si="233"/>
        <v>6</v>
      </c>
      <c r="BR450" s="4">
        <f t="shared" si="234"/>
        <v>4</v>
      </c>
      <c r="BS450" s="4">
        <f t="shared" si="235"/>
        <v>4</v>
      </c>
      <c r="BT450" s="4">
        <f t="shared" si="236"/>
        <v>4</v>
      </c>
      <c r="BU450" s="4">
        <f t="shared" si="237"/>
        <v>4</v>
      </c>
      <c r="BV450" s="4">
        <f t="shared" si="238"/>
        <v>0</v>
      </c>
      <c r="BW450" s="4">
        <f t="shared" si="239"/>
        <v>6</v>
      </c>
      <c r="BX450" s="4">
        <f t="shared" si="240"/>
        <v>0</v>
      </c>
      <c r="BY450" s="4">
        <f t="shared" si="241"/>
        <v>0</v>
      </c>
      <c r="BZ450" s="37">
        <f t="shared" si="242"/>
        <v>100</v>
      </c>
      <c r="CA450" s="32" t="str">
        <f>VLOOKUP(J:J,'Agent wise'!A:C,3,0)</f>
        <v>Shakeer</v>
      </c>
      <c r="CB450" s="32">
        <f t="shared" si="243"/>
        <v>45937</v>
      </c>
      <c r="CC450" t="str">
        <f t="shared" si="244"/>
        <v>Excellent</v>
      </c>
      <c r="CE450" s="32"/>
      <c r="CJ450">
        <f t="shared" si="245"/>
        <v>7</v>
      </c>
      <c r="CK450">
        <f t="shared" si="246"/>
        <v>10</v>
      </c>
      <c r="CL450">
        <f t="shared" si="247"/>
        <v>2025</v>
      </c>
    </row>
    <row r="451" spans="1:90" ht="15" customHeight="1" x14ac:dyDescent="0.35">
      <c r="A451" s="40">
        <v>45848.984224537038</v>
      </c>
      <c r="B451" t="s">
        <v>106</v>
      </c>
      <c r="C451" t="s">
        <v>214</v>
      </c>
      <c r="D451" t="s">
        <v>107</v>
      </c>
      <c r="E451" s="32">
        <v>45937</v>
      </c>
      <c r="F451" t="s">
        <v>54</v>
      </c>
      <c r="G451" s="2">
        <v>45848</v>
      </c>
      <c r="H451">
        <v>9445433034</v>
      </c>
      <c r="I451">
        <v>164</v>
      </c>
      <c r="J451" t="s">
        <v>139</v>
      </c>
      <c r="K451" t="s">
        <v>71</v>
      </c>
      <c r="L451" t="s">
        <v>72</v>
      </c>
      <c r="M451" t="s">
        <v>59</v>
      </c>
      <c r="N451" t="s">
        <v>59</v>
      </c>
      <c r="O451" t="s">
        <v>59</v>
      </c>
      <c r="P451" t="s">
        <v>59</v>
      </c>
      <c r="Q451" t="s">
        <v>59</v>
      </c>
      <c r="R451" t="s">
        <v>59</v>
      </c>
      <c r="S451" t="s">
        <v>59</v>
      </c>
      <c r="T451" t="s">
        <v>59</v>
      </c>
      <c r="U451" t="s">
        <v>60</v>
      </c>
      <c r="V451" t="s">
        <v>59</v>
      </c>
      <c r="W451" t="s">
        <v>59</v>
      </c>
      <c r="X451" t="s">
        <v>61</v>
      </c>
      <c r="Y451" t="s">
        <v>59</v>
      </c>
      <c r="Z451" t="s">
        <v>60</v>
      </c>
      <c r="AA451" t="s">
        <v>59</v>
      </c>
      <c r="AB451" t="s">
        <v>59</v>
      </c>
      <c r="AC451" t="s">
        <v>61</v>
      </c>
      <c r="AD451" t="s">
        <v>61</v>
      </c>
      <c r="AE451" t="s">
        <v>59</v>
      </c>
      <c r="AF451" t="s">
        <v>61</v>
      </c>
      <c r="AG451" t="s">
        <v>59</v>
      </c>
      <c r="AH451" t="s">
        <v>61</v>
      </c>
      <c r="AI451" t="s">
        <v>59</v>
      </c>
      <c r="AJ451" t="s">
        <v>59</v>
      </c>
      <c r="AK451" t="s">
        <v>59</v>
      </c>
      <c r="AL451" t="s">
        <v>59</v>
      </c>
      <c r="AM451" t="s">
        <v>59</v>
      </c>
      <c r="AN451" t="s">
        <v>59</v>
      </c>
      <c r="AO451" t="s">
        <v>59</v>
      </c>
      <c r="AP451" t="s">
        <v>388</v>
      </c>
      <c r="AQ451" t="s">
        <v>1108</v>
      </c>
      <c r="AR451" t="s">
        <v>64</v>
      </c>
      <c r="AS451" t="s">
        <v>122</v>
      </c>
      <c r="AT451" t="s">
        <v>390</v>
      </c>
      <c r="AU451" t="s">
        <v>387</v>
      </c>
      <c r="AW451" s="4">
        <f t="shared" ref="AW451:AW514" si="248">IF(OR(M451="YES", M451="Not Applicable"), AW$1, "0")</f>
        <v>6</v>
      </c>
      <c r="AX451" s="4">
        <f t="shared" ref="AX451:AX514" si="249">IF(OR(N451="YES", N451="Not Applicable"), AX$1, "0")</f>
        <v>4</v>
      </c>
      <c r="AY451" s="4">
        <f t="shared" ref="AY451:AY514" si="250">IF(OR(O451="YES", O451="Not Applicable"), AY$1, "0")</f>
        <v>4</v>
      </c>
      <c r="AZ451" s="4">
        <f t="shared" ref="AZ451:AZ514" si="251">IF(OR(P451="YES", P451="Not Applicable"), AZ$1, "0")</f>
        <v>2</v>
      </c>
      <c r="BA451" s="4">
        <f t="shared" ref="BA451:BA514" si="252">IF(OR(Q451="YES", Q451="Not Applicable"), BA$1, "0")</f>
        <v>4</v>
      </c>
      <c r="BB451" s="4">
        <f t="shared" ref="BB451:BB514" si="253">IF(OR(R451="YES", R451="Not Applicable"), BB$1, "0")</f>
        <v>4</v>
      </c>
      <c r="BC451" s="4">
        <f t="shared" ref="BC451:BC514" si="254">IF(OR(S451="YES", S451="Not Applicable"), BC$1, "0")</f>
        <v>4</v>
      </c>
      <c r="BD451" s="4">
        <f t="shared" ref="BD451:BD514" si="255">IF(OR(T451="YES", T451="Not Applicable"), BD$1, "0")</f>
        <v>2</v>
      </c>
      <c r="BE451" s="4" t="str">
        <f t="shared" ref="BE451:BE514" si="256">IF(OR(U451="YES", U451="Not Applicable"), BE$1, "0")</f>
        <v>0</v>
      </c>
      <c r="BF451" s="4">
        <f t="shared" ref="BF451:BF514" si="257">IF(OR(V451="YES", V451="Not Applicable"), BF$1, "0")</f>
        <v>2</v>
      </c>
      <c r="BG451" s="4">
        <f t="shared" ref="BG451:BG514" si="258">IF(OR(W451="YES", W451="Not Applicable"), BG$1, "0")</f>
        <v>4</v>
      </c>
      <c r="BH451" s="4">
        <f t="shared" ref="BH451:BH514" si="259">IF(OR(X451="YES", X451="Not Applicable"), BH$1, "0")</f>
        <v>4</v>
      </c>
      <c r="BI451" s="4">
        <f t="shared" ref="BI451:BI514" si="260">IF(OR(Y451="YES", Y451="Not Applicable"), BI$1, "0")</f>
        <v>4</v>
      </c>
      <c r="BJ451" s="4" t="str">
        <f t="shared" ref="BJ451:BJ514" si="261">IF(OR(Z451="YES", Z451="Not Applicable"), BJ$1, "0")</f>
        <v>0</v>
      </c>
      <c r="BK451" s="4">
        <f t="shared" ref="BK451:BK514" si="262">IF(OR(AA451="YES", AA451="Not Applicable"), BK$1, "0")</f>
        <v>4</v>
      </c>
      <c r="BL451" s="4">
        <f t="shared" ref="BL451:BL514" si="263">IF(OR(AB451="YES", AB451="Not Applicable"), BL$1, "0")</f>
        <v>2</v>
      </c>
      <c r="BM451" s="4">
        <f t="shared" ref="BM451:BM514" si="264">IF(OR(AC451="YES", AC451="Not Applicable"), BM$1, "0")</f>
        <v>4</v>
      </c>
      <c r="BN451" s="4">
        <f t="shared" ref="BN451:BN514" si="265">IF(OR(AD451="YES", AD451="Not Applicable"), BN$1, "0")</f>
        <v>4</v>
      </c>
      <c r="BO451" s="4">
        <f t="shared" ref="BO451:BO514" si="266">IF(OR(AE451="YES", AE451="Not Applicable"), BO$1, "0")</f>
        <v>4</v>
      </c>
      <c r="BP451" s="4">
        <f t="shared" ref="BP451:BP514" si="267">IF(OR(AF451="YES", AF451="Not Applicable"), BP$1, "0")</f>
        <v>4</v>
      </c>
      <c r="BQ451" s="4">
        <f t="shared" ref="BQ451:BQ514" si="268">IF(OR(AG451="YES", AG451="Not Applicable"), BQ$1, "0")</f>
        <v>6</v>
      </c>
      <c r="BR451" s="4">
        <f t="shared" ref="BR451:BR514" si="269">IF(OR(AH451="YES", AH451="Not Applicable"), BR$1, "0")</f>
        <v>4</v>
      </c>
      <c r="BS451" s="4">
        <f t="shared" ref="BS451:BS514" si="270">IF(OR(AI451="YES", AI451="Not Applicable"), BS$1, "0")</f>
        <v>4</v>
      </c>
      <c r="BT451" s="4">
        <f t="shared" ref="BT451:BT514" si="271">IF(OR(AJ451="YES", AJ451="Not Applicable"), BT$1, "0")</f>
        <v>4</v>
      </c>
      <c r="BU451" s="4">
        <f t="shared" ref="BU451:BU514" si="272">IF(OR(AK451="YES", AK451="Not Applicable"), BU$1, "0")</f>
        <v>4</v>
      </c>
      <c r="BV451" s="4">
        <f t="shared" ref="BV451:BV514" si="273">IF(OR(AL451="YES", AL451="Not Applicable"), BV$1, "0")</f>
        <v>0</v>
      </c>
      <c r="BW451" s="4">
        <f t="shared" ref="BW451:BW514" si="274">IF(OR(AM451="YES", AM451="Not Applicable"), BW$1, "0")</f>
        <v>6</v>
      </c>
      <c r="BX451" s="4">
        <f t="shared" ref="BX451:BX514" si="275">IF(OR(AN451="YES", AN451="Not Applicable"), BX$1, "0")</f>
        <v>0</v>
      </c>
      <c r="BY451" s="4">
        <f t="shared" ref="BY451:BY514" si="276">IF(OR(AO451="YES", AO451="Not Applicable"), BY$1, "0")</f>
        <v>0</v>
      </c>
      <c r="BZ451" s="37">
        <f t="shared" ref="BZ451:BZ514" si="277">SUM(AW451:BY451)</f>
        <v>94</v>
      </c>
      <c r="CA451" s="32" t="str">
        <f>VLOOKUP(J:J,'Agent wise'!A:C,3,0)</f>
        <v>Shakeer</v>
      </c>
      <c r="CB451" s="32">
        <f t="shared" ref="CB451:CB514" si="278">INT(E451)</f>
        <v>45937</v>
      </c>
      <c r="CC451" t="str">
        <f t="shared" ref="CC451:CC514" si="279">IF(BZ451&gt;=94.5, "Excellent", IF(BZ451&gt;89.5, "Good", IF(BZ451&gt;84.5, "Average", "FC")))</f>
        <v>Good</v>
      </c>
      <c r="CE451" s="32"/>
      <c r="CJ451">
        <f t="shared" si="245"/>
        <v>7</v>
      </c>
      <c r="CK451">
        <f t="shared" si="246"/>
        <v>10</v>
      </c>
      <c r="CL451">
        <f t="shared" si="247"/>
        <v>2025</v>
      </c>
    </row>
    <row r="452" spans="1:90" ht="15" customHeight="1" x14ac:dyDescent="0.35">
      <c r="A452" s="40">
        <v>45848.98646990741</v>
      </c>
      <c r="B452" t="s">
        <v>130</v>
      </c>
      <c r="C452" t="s">
        <v>214</v>
      </c>
      <c r="D452" t="s">
        <v>131</v>
      </c>
      <c r="E452" s="32">
        <v>45937</v>
      </c>
      <c r="F452" t="s">
        <v>54</v>
      </c>
      <c r="G452" s="2">
        <v>45848</v>
      </c>
      <c r="H452">
        <v>9656733916</v>
      </c>
      <c r="I452">
        <v>120</v>
      </c>
      <c r="J452" t="s">
        <v>484</v>
      </c>
      <c r="K452" t="s">
        <v>57</v>
      </c>
      <c r="L452" t="s">
        <v>58</v>
      </c>
      <c r="M452" t="s">
        <v>59</v>
      </c>
      <c r="N452" t="s">
        <v>59</v>
      </c>
      <c r="O452" t="s">
        <v>59</v>
      </c>
      <c r="P452" t="s">
        <v>59</v>
      </c>
      <c r="Q452" t="s">
        <v>59</v>
      </c>
      <c r="R452" t="s">
        <v>59</v>
      </c>
      <c r="S452" t="s">
        <v>59</v>
      </c>
      <c r="T452" t="s">
        <v>59</v>
      </c>
      <c r="U452" t="s">
        <v>60</v>
      </c>
      <c r="V452" t="s">
        <v>59</v>
      </c>
      <c r="W452" t="s">
        <v>59</v>
      </c>
      <c r="X452" t="s">
        <v>59</v>
      </c>
      <c r="Y452" t="s">
        <v>59</v>
      </c>
      <c r="Z452" t="s">
        <v>59</v>
      </c>
      <c r="AA452" t="s">
        <v>59</v>
      </c>
      <c r="AB452" t="s">
        <v>60</v>
      </c>
      <c r="AC452" t="s">
        <v>61</v>
      </c>
      <c r="AD452" t="s">
        <v>59</v>
      </c>
      <c r="AE452" t="s">
        <v>59</v>
      </c>
      <c r="AF452" t="s">
        <v>61</v>
      </c>
      <c r="AG452" t="s">
        <v>59</v>
      </c>
      <c r="AH452" t="s">
        <v>61</v>
      </c>
      <c r="AI452" t="s">
        <v>61</v>
      </c>
      <c r="AJ452" t="s">
        <v>59</v>
      </c>
      <c r="AK452" t="s">
        <v>59</v>
      </c>
      <c r="AL452" t="s">
        <v>60</v>
      </c>
      <c r="AM452" t="s">
        <v>59</v>
      </c>
      <c r="AN452" t="s">
        <v>59</v>
      </c>
      <c r="AO452" t="s">
        <v>59</v>
      </c>
      <c r="AP452" t="s">
        <v>1109</v>
      </c>
      <c r="AQ452" s="1" t="s">
        <v>1110</v>
      </c>
      <c r="AR452" t="s">
        <v>64</v>
      </c>
      <c r="AS452" t="s">
        <v>89</v>
      </c>
      <c r="AT452" t="s">
        <v>84</v>
      </c>
      <c r="AU452" t="s">
        <v>219</v>
      </c>
      <c r="AW452" s="4">
        <f t="shared" si="248"/>
        <v>6</v>
      </c>
      <c r="AX452" s="4">
        <f t="shared" si="249"/>
        <v>4</v>
      </c>
      <c r="AY452" s="4">
        <f t="shared" si="250"/>
        <v>4</v>
      </c>
      <c r="AZ452" s="4">
        <f t="shared" si="251"/>
        <v>2</v>
      </c>
      <c r="BA452" s="4">
        <f t="shared" si="252"/>
        <v>4</v>
      </c>
      <c r="BB452" s="4">
        <f t="shared" si="253"/>
        <v>4</v>
      </c>
      <c r="BC452" s="4">
        <f t="shared" si="254"/>
        <v>4</v>
      </c>
      <c r="BD452" s="4">
        <f t="shared" si="255"/>
        <v>2</v>
      </c>
      <c r="BE452" s="4" t="str">
        <f t="shared" si="256"/>
        <v>0</v>
      </c>
      <c r="BF452" s="4">
        <f t="shared" si="257"/>
        <v>2</v>
      </c>
      <c r="BG452" s="4">
        <f t="shared" si="258"/>
        <v>4</v>
      </c>
      <c r="BH452" s="4">
        <f t="shared" si="259"/>
        <v>4</v>
      </c>
      <c r="BI452" s="4">
        <f t="shared" si="260"/>
        <v>4</v>
      </c>
      <c r="BJ452" s="4">
        <f t="shared" si="261"/>
        <v>2</v>
      </c>
      <c r="BK452" s="4">
        <f t="shared" si="262"/>
        <v>4</v>
      </c>
      <c r="BL452" s="4" t="str">
        <f t="shared" si="263"/>
        <v>0</v>
      </c>
      <c r="BM452" s="4">
        <f t="shared" si="264"/>
        <v>4</v>
      </c>
      <c r="BN452" s="4">
        <f t="shared" si="265"/>
        <v>4</v>
      </c>
      <c r="BO452" s="4">
        <f t="shared" si="266"/>
        <v>4</v>
      </c>
      <c r="BP452" s="4">
        <f t="shared" si="267"/>
        <v>4</v>
      </c>
      <c r="BQ452" s="4">
        <f t="shared" si="268"/>
        <v>6</v>
      </c>
      <c r="BR452" s="4">
        <f t="shared" si="269"/>
        <v>4</v>
      </c>
      <c r="BS452" s="4">
        <f t="shared" si="270"/>
        <v>4</v>
      </c>
      <c r="BT452" s="4">
        <f t="shared" si="271"/>
        <v>4</v>
      </c>
      <c r="BU452" s="4">
        <f t="shared" si="272"/>
        <v>4</v>
      </c>
      <c r="BV452" s="4" t="str">
        <f t="shared" si="273"/>
        <v>0</v>
      </c>
      <c r="BW452" s="4">
        <f t="shared" si="274"/>
        <v>6</v>
      </c>
      <c r="BX452" s="4">
        <f t="shared" si="275"/>
        <v>0</v>
      </c>
      <c r="BY452" s="4">
        <f t="shared" si="276"/>
        <v>0</v>
      </c>
      <c r="BZ452" s="37">
        <f t="shared" si="277"/>
        <v>94</v>
      </c>
      <c r="CA452" s="32" t="str">
        <f>VLOOKUP(J:J,'Agent wise'!A:C,3,0)</f>
        <v>Adharsh</v>
      </c>
      <c r="CB452" s="32">
        <f t="shared" si="278"/>
        <v>45937</v>
      </c>
      <c r="CC452" t="str">
        <f t="shared" si="279"/>
        <v>Good</v>
      </c>
      <c r="CE452" s="32"/>
      <c r="CJ452">
        <f t="shared" ref="CJ452:CJ515" si="280">DAY(E452)</f>
        <v>7</v>
      </c>
      <c r="CK452">
        <f t="shared" ref="CK452:CK515" si="281">MONTH(E452)</f>
        <v>10</v>
      </c>
      <c r="CL452">
        <f t="shared" ref="CL452:CL515" si="282">YEAR(E452)</f>
        <v>2025</v>
      </c>
    </row>
    <row r="453" spans="1:90" ht="15" customHeight="1" x14ac:dyDescent="0.35">
      <c r="A453" s="40">
        <v>45848.988668981481</v>
      </c>
      <c r="B453" t="s">
        <v>106</v>
      </c>
      <c r="C453" t="s">
        <v>214</v>
      </c>
      <c r="D453" t="s">
        <v>107</v>
      </c>
      <c r="E453" s="32">
        <v>45937</v>
      </c>
      <c r="F453" t="s">
        <v>54</v>
      </c>
      <c r="G453" s="2">
        <v>45848</v>
      </c>
      <c r="H453">
        <v>9847254786</v>
      </c>
      <c r="I453">
        <v>141</v>
      </c>
      <c r="J453" t="s">
        <v>263</v>
      </c>
      <c r="K453" t="s">
        <v>57</v>
      </c>
      <c r="L453" t="s">
        <v>58</v>
      </c>
      <c r="M453" t="s">
        <v>59</v>
      </c>
      <c r="N453" t="s">
        <v>59</v>
      </c>
      <c r="O453" t="s">
        <v>60</v>
      </c>
      <c r="P453" t="s">
        <v>60</v>
      </c>
      <c r="Q453" t="s">
        <v>60</v>
      </c>
      <c r="R453" t="s">
        <v>59</v>
      </c>
      <c r="S453" t="s">
        <v>60</v>
      </c>
      <c r="T453" t="s">
        <v>60</v>
      </c>
      <c r="U453" t="s">
        <v>60</v>
      </c>
      <c r="V453" t="s">
        <v>60</v>
      </c>
      <c r="W453" t="s">
        <v>60</v>
      </c>
      <c r="X453" t="s">
        <v>60</v>
      </c>
      <c r="Y453" t="s">
        <v>59</v>
      </c>
      <c r="Z453" t="s">
        <v>60</v>
      </c>
      <c r="AA453" t="s">
        <v>60</v>
      </c>
      <c r="AB453" t="s">
        <v>60</v>
      </c>
      <c r="AC453" t="s">
        <v>61</v>
      </c>
      <c r="AD453" t="s">
        <v>61</v>
      </c>
      <c r="AE453" t="s">
        <v>59</v>
      </c>
      <c r="AF453" t="s">
        <v>61</v>
      </c>
      <c r="AG453" t="s">
        <v>59</v>
      </c>
      <c r="AH453" t="s">
        <v>61</v>
      </c>
      <c r="AI453" t="s">
        <v>61</v>
      </c>
      <c r="AJ453" t="s">
        <v>59</v>
      </c>
      <c r="AK453" t="s">
        <v>59</v>
      </c>
      <c r="AL453" t="s">
        <v>60</v>
      </c>
      <c r="AM453" t="s">
        <v>59</v>
      </c>
      <c r="AN453" t="s">
        <v>59</v>
      </c>
      <c r="AO453" t="s">
        <v>59</v>
      </c>
      <c r="AP453" t="s">
        <v>1111</v>
      </c>
      <c r="AQ453" t="s">
        <v>1112</v>
      </c>
      <c r="AR453" t="s">
        <v>64</v>
      </c>
      <c r="AS453" t="s">
        <v>111</v>
      </c>
      <c r="AT453" t="s">
        <v>377</v>
      </c>
      <c r="AU453" t="s">
        <v>1113</v>
      </c>
      <c r="AW453" s="4">
        <f t="shared" si="248"/>
        <v>6</v>
      </c>
      <c r="AX453" s="4">
        <f t="shared" si="249"/>
        <v>4</v>
      </c>
      <c r="AY453" s="4" t="str">
        <f t="shared" si="250"/>
        <v>0</v>
      </c>
      <c r="AZ453" s="4" t="str">
        <f t="shared" si="251"/>
        <v>0</v>
      </c>
      <c r="BA453" s="4" t="str">
        <f t="shared" si="252"/>
        <v>0</v>
      </c>
      <c r="BB453" s="4">
        <f t="shared" si="253"/>
        <v>4</v>
      </c>
      <c r="BC453" s="4" t="str">
        <f t="shared" si="254"/>
        <v>0</v>
      </c>
      <c r="BD453" s="4" t="str">
        <f t="shared" si="255"/>
        <v>0</v>
      </c>
      <c r="BE453" s="4" t="str">
        <f t="shared" si="256"/>
        <v>0</v>
      </c>
      <c r="BF453" s="4" t="str">
        <f t="shared" si="257"/>
        <v>0</v>
      </c>
      <c r="BG453" s="4" t="str">
        <f t="shared" si="258"/>
        <v>0</v>
      </c>
      <c r="BH453" s="4" t="str">
        <f t="shared" si="259"/>
        <v>0</v>
      </c>
      <c r="BI453" s="4">
        <f t="shared" si="260"/>
        <v>4</v>
      </c>
      <c r="BJ453" s="4" t="str">
        <f t="shared" si="261"/>
        <v>0</v>
      </c>
      <c r="BK453" s="4" t="str">
        <f t="shared" si="262"/>
        <v>0</v>
      </c>
      <c r="BL453" s="4" t="str">
        <f t="shared" si="263"/>
        <v>0</v>
      </c>
      <c r="BM453" s="4">
        <f t="shared" si="264"/>
        <v>4</v>
      </c>
      <c r="BN453" s="4">
        <f t="shared" si="265"/>
        <v>4</v>
      </c>
      <c r="BO453" s="4">
        <f t="shared" si="266"/>
        <v>4</v>
      </c>
      <c r="BP453" s="4">
        <f t="shared" si="267"/>
        <v>4</v>
      </c>
      <c r="BQ453" s="4">
        <f t="shared" si="268"/>
        <v>6</v>
      </c>
      <c r="BR453" s="4">
        <f t="shared" si="269"/>
        <v>4</v>
      </c>
      <c r="BS453" s="4">
        <f t="shared" si="270"/>
        <v>4</v>
      </c>
      <c r="BT453" s="4">
        <f t="shared" si="271"/>
        <v>4</v>
      </c>
      <c r="BU453" s="4">
        <f t="shared" si="272"/>
        <v>4</v>
      </c>
      <c r="BV453" s="4" t="str">
        <f t="shared" si="273"/>
        <v>0</v>
      </c>
      <c r="BW453" s="4">
        <f t="shared" si="274"/>
        <v>6</v>
      </c>
      <c r="BX453" s="4">
        <f t="shared" si="275"/>
        <v>0</v>
      </c>
      <c r="BY453" s="4">
        <f t="shared" si="276"/>
        <v>0</v>
      </c>
      <c r="BZ453" s="37">
        <f t="shared" si="277"/>
        <v>62</v>
      </c>
      <c r="CA453" s="32" t="str">
        <f>VLOOKUP(J:J,'Agent wise'!A:C,3,0)</f>
        <v>Adharsh</v>
      </c>
      <c r="CB453" s="32">
        <f t="shared" si="278"/>
        <v>45937</v>
      </c>
      <c r="CC453" t="str">
        <f t="shared" si="279"/>
        <v>FC</v>
      </c>
      <c r="CE453" s="32"/>
      <c r="CJ453">
        <f t="shared" si="280"/>
        <v>7</v>
      </c>
      <c r="CK453">
        <f t="shared" si="281"/>
        <v>10</v>
      </c>
      <c r="CL453">
        <f t="shared" si="282"/>
        <v>2025</v>
      </c>
    </row>
    <row r="454" spans="1:90" ht="15" customHeight="1" x14ac:dyDescent="0.35">
      <c r="A454" s="40">
        <v>45848.989791666667</v>
      </c>
      <c r="B454" t="s">
        <v>130</v>
      </c>
      <c r="C454" t="s">
        <v>214</v>
      </c>
      <c r="D454" t="s">
        <v>131</v>
      </c>
      <c r="E454" s="32">
        <v>45937</v>
      </c>
      <c r="F454" t="s">
        <v>54</v>
      </c>
      <c r="G454" s="2">
        <v>45848</v>
      </c>
      <c r="H454">
        <v>9495211917</v>
      </c>
      <c r="I454">
        <v>136</v>
      </c>
      <c r="J454" t="s">
        <v>528</v>
      </c>
      <c r="K454" t="s">
        <v>57</v>
      </c>
      <c r="L454" t="s">
        <v>58</v>
      </c>
      <c r="M454" t="s">
        <v>59</v>
      </c>
      <c r="N454" t="s">
        <v>59</v>
      </c>
      <c r="O454" t="s">
        <v>59</v>
      </c>
      <c r="P454" t="s">
        <v>59</v>
      </c>
      <c r="Q454" t="s">
        <v>59</v>
      </c>
      <c r="R454" t="s">
        <v>59</v>
      </c>
      <c r="S454" t="s">
        <v>59</v>
      </c>
      <c r="T454" t="s">
        <v>59</v>
      </c>
      <c r="U454" t="s">
        <v>60</v>
      </c>
      <c r="V454" t="s">
        <v>59</v>
      </c>
      <c r="W454" t="s">
        <v>59</v>
      </c>
      <c r="X454" t="s">
        <v>59</v>
      </c>
      <c r="Y454" t="s">
        <v>59</v>
      </c>
      <c r="Z454" t="s">
        <v>59</v>
      </c>
      <c r="AA454" t="s">
        <v>59</v>
      </c>
      <c r="AB454" t="s">
        <v>59</v>
      </c>
      <c r="AC454" t="s">
        <v>61</v>
      </c>
      <c r="AD454" t="s">
        <v>59</v>
      </c>
      <c r="AE454" t="s">
        <v>59</v>
      </c>
      <c r="AF454" t="s">
        <v>61</v>
      </c>
      <c r="AG454" t="s">
        <v>60</v>
      </c>
      <c r="AH454" t="s">
        <v>61</v>
      </c>
      <c r="AI454" t="s">
        <v>61</v>
      </c>
      <c r="AJ454" t="s">
        <v>59</v>
      </c>
      <c r="AK454" t="s">
        <v>59</v>
      </c>
      <c r="AL454" t="s">
        <v>60</v>
      </c>
      <c r="AM454" t="s">
        <v>59</v>
      </c>
      <c r="AN454" t="s">
        <v>59</v>
      </c>
      <c r="AO454" t="s">
        <v>59</v>
      </c>
      <c r="AP454" t="s">
        <v>1114</v>
      </c>
      <c r="AQ454" s="1" t="s">
        <v>842</v>
      </c>
      <c r="AR454" t="s">
        <v>64</v>
      </c>
      <c r="AS454" t="s">
        <v>89</v>
      </c>
      <c r="AT454" t="s">
        <v>742</v>
      </c>
      <c r="AU454" t="s">
        <v>219</v>
      </c>
      <c r="AW454" s="4">
        <f t="shared" si="248"/>
        <v>6</v>
      </c>
      <c r="AX454" s="4">
        <f t="shared" si="249"/>
        <v>4</v>
      </c>
      <c r="AY454" s="4">
        <f t="shared" si="250"/>
        <v>4</v>
      </c>
      <c r="AZ454" s="4">
        <f t="shared" si="251"/>
        <v>2</v>
      </c>
      <c r="BA454" s="4">
        <f t="shared" si="252"/>
        <v>4</v>
      </c>
      <c r="BB454" s="4">
        <f t="shared" si="253"/>
        <v>4</v>
      </c>
      <c r="BC454" s="4">
        <f t="shared" si="254"/>
        <v>4</v>
      </c>
      <c r="BD454" s="4">
        <f t="shared" si="255"/>
        <v>2</v>
      </c>
      <c r="BE454" s="4" t="str">
        <f t="shared" si="256"/>
        <v>0</v>
      </c>
      <c r="BF454" s="4">
        <f t="shared" si="257"/>
        <v>2</v>
      </c>
      <c r="BG454" s="4">
        <f t="shared" si="258"/>
        <v>4</v>
      </c>
      <c r="BH454" s="4">
        <f t="shared" si="259"/>
        <v>4</v>
      </c>
      <c r="BI454" s="4">
        <f t="shared" si="260"/>
        <v>4</v>
      </c>
      <c r="BJ454" s="4">
        <f t="shared" si="261"/>
        <v>2</v>
      </c>
      <c r="BK454" s="4">
        <f t="shared" si="262"/>
        <v>4</v>
      </c>
      <c r="BL454" s="4">
        <f t="shared" si="263"/>
        <v>2</v>
      </c>
      <c r="BM454" s="4">
        <f t="shared" si="264"/>
        <v>4</v>
      </c>
      <c r="BN454" s="4">
        <f t="shared" si="265"/>
        <v>4</v>
      </c>
      <c r="BO454" s="4">
        <f t="shared" si="266"/>
        <v>4</v>
      </c>
      <c r="BP454" s="4">
        <f t="shared" si="267"/>
        <v>4</v>
      </c>
      <c r="BQ454" s="4" t="str">
        <f t="shared" si="268"/>
        <v>0</v>
      </c>
      <c r="BR454" s="4">
        <f t="shared" si="269"/>
        <v>4</v>
      </c>
      <c r="BS454" s="4">
        <f t="shared" si="270"/>
        <v>4</v>
      </c>
      <c r="BT454" s="4">
        <f t="shared" si="271"/>
        <v>4</v>
      </c>
      <c r="BU454" s="4">
        <f t="shared" si="272"/>
        <v>4</v>
      </c>
      <c r="BV454" s="4" t="str">
        <f t="shared" si="273"/>
        <v>0</v>
      </c>
      <c r="BW454" s="4">
        <f t="shared" si="274"/>
        <v>6</v>
      </c>
      <c r="BX454" s="4">
        <f t="shared" si="275"/>
        <v>0</v>
      </c>
      <c r="BY454" s="4">
        <f t="shared" si="276"/>
        <v>0</v>
      </c>
      <c r="BZ454" s="37">
        <f t="shared" si="277"/>
        <v>90</v>
      </c>
      <c r="CA454" s="32" t="str">
        <f>VLOOKUP(J:J,'Agent wise'!A:C,3,0)</f>
        <v>Adharsh</v>
      </c>
      <c r="CB454" s="32">
        <f t="shared" si="278"/>
        <v>45937</v>
      </c>
      <c r="CC454" t="str">
        <f t="shared" si="279"/>
        <v>Good</v>
      </c>
      <c r="CE454" s="32"/>
      <c r="CJ454">
        <f t="shared" si="280"/>
        <v>7</v>
      </c>
      <c r="CK454">
        <f t="shared" si="281"/>
        <v>10</v>
      </c>
      <c r="CL454">
        <f t="shared" si="282"/>
        <v>2025</v>
      </c>
    </row>
    <row r="455" spans="1:90" ht="15" customHeight="1" x14ac:dyDescent="0.35">
      <c r="A455" s="40">
        <v>45848.991631944453</v>
      </c>
      <c r="B455" t="s">
        <v>130</v>
      </c>
      <c r="C455" t="s">
        <v>214</v>
      </c>
      <c r="D455" t="s">
        <v>131</v>
      </c>
      <c r="E455" s="32">
        <v>45937</v>
      </c>
      <c r="F455" t="s">
        <v>54</v>
      </c>
      <c r="G455" s="2">
        <v>45848</v>
      </c>
      <c r="H455">
        <v>9497687809</v>
      </c>
      <c r="I455">
        <v>131</v>
      </c>
      <c r="J455" t="s">
        <v>195</v>
      </c>
      <c r="K455" t="s">
        <v>57</v>
      </c>
      <c r="L455" t="s">
        <v>58</v>
      </c>
      <c r="M455" t="s">
        <v>59</v>
      </c>
      <c r="N455" t="s">
        <v>59</v>
      </c>
      <c r="O455" t="s">
        <v>59</v>
      </c>
      <c r="P455" t="s">
        <v>59</v>
      </c>
      <c r="Q455" t="s">
        <v>59</v>
      </c>
      <c r="R455" t="s">
        <v>59</v>
      </c>
      <c r="S455" t="s">
        <v>59</v>
      </c>
      <c r="T455" t="s">
        <v>59</v>
      </c>
      <c r="U455" t="s">
        <v>60</v>
      </c>
      <c r="V455" t="s">
        <v>59</v>
      </c>
      <c r="W455" t="s">
        <v>59</v>
      </c>
      <c r="X455" t="s">
        <v>59</v>
      </c>
      <c r="Y455" t="s">
        <v>59</v>
      </c>
      <c r="Z455" t="s">
        <v>59</v>
      </c>
      <c r="AA455" t="s">
        <v>60</v>
      </c>
      <c r="AB455" t="s">
        <v>60</v>
      </c>
      <c r="AC455" t="s">
        <v>61</v>
      </c>
      <c r="AD455" t="s">
        <v>59</v>
      </c>
      <c r="AE455" t="s">
        <v>59</v>
      </c>
      <c r="AF455" t="s">
        <v>61</v>
      </c>
      <c r="AG455" t="s">
        <v>59</v>
      </c>
      <c r="AH455" t="s">
        <v>61</v>
      </c>
      <c r="AI455" t="s">
        <v>61</v>
      </c>
      <c r="AJ455" t="s">
        <v>59</v>
      </c>
      <c r="AK455" t="s">
        <v>59</v>
      </c>
      <c r="AL455" t="s">
        <v>60</v>
      </c>
      <c r="AM455" t="s">
        <v>59</v>
      </c>
      <c r="AN455" t="s">
        <v>59</v>
      </c>
      <c r="AO455" t="s">
        <v>59</v>
      </c>
      <c r="AP455" t="s">
        <v>406</v>
      </c>
      <c r="AQ455" s="1" t="s">
        <v>1115</v>
      </c>
      <c r="AR455" t="s">
        <v>64</v>
      </c>
      <c r="AS455" t="s">
        <v>175</v>
      </c>
      <c r="AT455" t="s">
        <v>558</v>
      </c>
      <c r="AU455" t="s">
        <v>299</v>
      </c>
      <c r="AW455" s="4">
        <f t="shared" si="248"/>
        <v>6</v>
      </c>
      <c r="AX455" s="4">
        <f t="shared" si="249"/>
        <v>4</v>
      </c>
      <c r="AY455" s="4">
        <f t="shared" si="250"/>
        <v>4</v>
      </c>
      <c r="AZ455" s="4">
        <f t="shared" si="251"/>
        <v>2</v>
      </c>
      <c r="BA455" s="4">
        <f t="shared" si="252"/>
        <v>4</v>
      </c>
      <c r="BB455" s="4">
        <f t="shared" si="253"/>
        <v>4</v>
      </c>
      <c r="BC455" s="4">
        <f t="shared" si="254"/>
        <v>4</v>
      </c>
      <c r="BD455" s="4">
        <f t="shared" si="255"/>
        <v>2</v>
      </c>
      <c r="BE455" s="4" t="str">
        <f t="shared" si="256"/>
        <v>0</v>
      </c>
      <c r="BF455" s="4">
        <f t="shared" si="257"/>
        <v>2</v>
      </c>
      <c r="BG455" s="4">
        <f t="shared" si="258"/>
        <v>4</v>
      </c>
      <c r="BH455" s="4">
        <f t="shared" si="259"/>
        <v>4</v>
      </c>
      <c r="BI455" s="4">
        <f t="shared" si="260"/>
        <v>4</v>
      </c>
      <c r="BJ455" s="4">
        <f t="shared" si="261"/>
        <v>2</v>
      </c>
      <c r="BK455" s="4" t="str">
        <f t="shared" si="262"/>
        <v>0</v>
      </c>
      <c r="BL455" s="4" t="str">
        <f t="shared" si="263"/>
        <v>0</v>
      </c>
      <c r="BM455" s="4">
        <f t="shared" si="264"/>
        <v>4</v>
      </c>
      <c r="BN455" s="4">
        <f t="shared" si="265"/>
        <v>4</v>
      </c>
      <c r="BO455" s="4">
        <f t="shared" si="266"/>
        <v>4</v>
      </c>
      <c r="BP455" s="4">
        <f t="shared" si="267"/>
        <v>4</v>
      </c>
      <c r="BQ455" s="4">
        <f t="shared" si="268"/>
        <v>6</v>
      </c>
      <c r="BR455" s="4">
        <f t="shared" si="269"/>
        <v>4</v>
      </c>
      <c r="BS455" s="4">
        <f t="shared" si="270"/>
        <v>4</v>
      </c>
      <c r="BT455" s="4">
        <f t="shared" si="271"/>
        <v>4</v>
      </c>
      <c r="BU455" s="4">
        <f t="shared" si="272"/>
        <v>4</v>
      </c>
      <c r="BV455" s="4" t="str">
        <f t="shared" si="273"/>
        <v>0</v>
      </c>
      <c r="BW455" s="4">
        <f t="shared" si="274"/>
        <v>6</v>
      </c>
      <c r="BX455" s="4">
        <f t="shared" si="275"/>
        <v>0</v>
      </c>
      <c r="BY455" s="4">
        <f t="shared" si="276"/>
        <v>0</v>
      </c>
      <c r="BZ455" s="37">
        <f t="shared" si="277"/>
        <v>90</v>
      </c>
      <c r="CA455" s="32" t="str">
        <f>VLOOKUP(J:J,'Agent wise'!A:C,3,0)</f>
        <v>Adharsh</v>
      </c>
      <c r="CB455" s="32">
        <f t="shared" si="278"/>
        <v>45937</v>
      </c>
      <c r="CC455" t="str">
        <f t="shared" si="279"/>
        <v>Good</v>
      </c>
      <c r="CE455" s="32"/>
      <c r="CJ455">
        <f t="shared" si="280"/>
        <v>7</v>
      </c>
      <c r="CK455">
        <f t="shared" si="281"/>
        <v>10</v>
      </c>
      <c r="CL455">
        <f t="shared" si="282"/>
        <v>2025</v>
      </c>
    </row>
    <row r="456" spans="1:90" ht="15" customHeight="1" x14ac:dyDescent="0.35">
      <c r="A456" s="40">
        <v>45848.994097222218</v>
      </c>
      <c r="B456" t="s">
        <v>106</v>
      </c>
      <c r="C456" t="s">
        <v>214</v>
      </c>
      <c r="D456" t="s">
        <v>107</v>
      </c>
      <c r="E456" s="32">
        <v>45937</v>
      </c>
      <c r="F456" t="s">
        <v>54</v>
      </c>
      <c r="G456" s="2">
        <v>45848</v>
      </c>
      <c r="H456">
        <v>9400680593</v>
      </c>
      <c r="I456">
        <v>162</v>
      </c>
      <c r="J456" t="s">
        <v>263</v>
      </c>
      <c r="K456" t="s">
        <v>57</v>
      </c>
      <c r="L456" t="s">
        <v>58</v>
      </c>
      <c r="M456" t="s">
        <v>59</v>
      </c>
      <c r="N456" t="s">
        <v>59</v>
      </c>
      <c r="O456" t="s">
        <v>59</v>
      </c>
      <c r="P456" t="s">
        <v>59</v>
      </c>
      <c r="Q456" t="s">
        <v>59</v>
      </c>
      <c r="R456" t="s">
        <v>59</v>
      </c>
      <c r="S456" t="s">
        <v>59</v>
      </c>
      <c r="T456" t="s">
        <v>59</v>
      </c>
      <c r="U456" t="s">
        <v>60</v>
      </c>
      <c r="V456" t="s">
        <v>59</v>
      </c>
      <c r="W456" t="s">
        <v>59</v>
      </c>
      <c r="X456" t="s">
        <v>61</v>
      </c>
      <c r="Y456" t="s">
        <v>59</v>
      </c>
      <c r="Z456" t="s">
        <v>60</v>
      </c>
      <c r="AA456" t="s">
        <v>60</v>
      </c>
      <c r="AB456" t="s">
        <v>60</v>
      </c>
      <c r="AC456" t="s">
        <v>60</v>
      </c>
      <c r="AD456" t="s">
        <v>61</v>
      </c>
      <c r="AE456" t="s">
        <v>59</v>
      </c>
      <c r="AF456" t="s">
        <v>61</v>
      </c>
      <c r="AG456" t="s">
        <v>59</v>
      </c>
      <c r="AH456" t="s">
        <v>61</v>
      </c>
      <c r="AI456" t="s">
        <v>59</v>
      </c>
      <c r="AJ456" t="s">
        <v>59</v>
      </c>
      <c r="AK456" t="s">
        <v>59</v>
      </c>
      <c r="AL456" t="s">
        <v>60</v>
      </c>
      <c r="AM456" t="s">
        <v>59</v>
      </c>
      <c r="AN456" t="s">
        <v>59</v>
      </c>
      <c r="AO456" t="s">
        <v>59</v>
      </c>
      <c r="AP456" t="s">
        <v>1116</v>
      </c>
      <c r="AQ456" t="s">
        <v>1117</v>
      </c>
      <c r="AR456" t="s">
        <v>64</v>
      </c>
      <c r="AS456" t="s">
        <v>122</v>
      </c>
      <c r="AT456" t="s">
        <v>123</v>
      </c>
      <c r="AU456" t="s">
        <v>387</v>
      </c>
      <c r="AW456" s="4">
        <f t="shared" si="248"/>
        <v>6</v>
      </c>
      <c r="AX456" s="4">
        <f t="shared" si="249"/>
        <v>4</v>
      </c>
      <c r="AY456" s="4">
        <f t="shared" si="250"/>
        <v>4</v>
      </c>
      <c r="AZ456" s="4">
        <f t="shared" si="251"/>
        <v>2</v>
      </c>
      <c r="BA456" s="4">
        <f t="shared" si="252"/>
        <v>4</v>
      </c>
      <c r="BB456" s="4">
        <f t="shared" si="253"/>
        <v>4</v>
      </c>
      <c r="BC456" s="4">
        <f t="shared" si="254"/>
        <v>4</v>
      </c>
      <c r="BD456" s="4">
        <f t="shared" si="255"/>
        <v>2</v>
      </c>
      <c r="BE456" s="4" t="str">
        <f t="shared" si="256"/>
        <v>0</v>
      </c>
      <c r="BF456" s="4">
        <f t="shared" si="257"/>
        <v>2</v>
      </c>
      <c r="BG456" s="4">
        <f t="shared" si="258"/>
        <v>4</v>
      </c>
      <c r="BH456" s="4">
        <f t="shared" si="259"/>
        <v>4</v>
      </c>
      <c r="BI456" s="4">
        <f t="shared" si="260"/>
        <v>4</v>
      </c>
      <c r="BJ456" s="4" t="str">
        <f t="shared" si="261"/>
        <v>0</v>
      </c>
      <c r="BK456" s="4" t="str">
        <f t="shared" si="262"/>
        <v>0</v>
      </c>
      <c r="BL456" s="4" t="str">
        <f t="shared" si="263"/>
        <v>0</v>
      </c>
      <c r="BM456" s="4" t="str">
        <f t="shared" si="264"/>
        <v>0</v>
      </c>
      <c r="BN456" s="4">
        <f t="shared" si="265"/>
        <v>4</v>
      </c>
      <c r="BO456" s="4">
        <f t="shared" si="266"/>
        <v>4</v>
      </c>
      <c r="BP456" s="4">
        <f t="shared" si="267"/>
        <v>4</v>
      </c>
      <c r="BQ456" s="4">
        <f t="shared" si="268"/>
        <v>6</v>
      </c>
      <c r="BR456" s="4">
        <f t="shared" si="269"/>
        <v>4</v>
      </c>
      <c r="BS456" s="4">
        <f t="shared" si="270"/>
        <v>4</v>
      </c>
      <c r="BT456" s="4">
        <f t="shared" si="271"/>
        <v>4</v>
      </c>
      <c r="BU456" s="4">
        <f t="shared" si="272"/>
        <v>4</v>
      </c>
      <c r="BV456" s="4" t="str">
        <f t="shared" si="273"/>
        <v>0</v>
      </c>
      <c r="BW456" s="4">
        <f t="shared" si="274"/>
        <v>6</v>
      </c>
      <c r="BX456" s="4">
        <f t="shared" si="275"/>
        <v>0</v>
      </c>
      <c r="BY456" s="4">
        <f t="shared" si="276"/>
        <v>0</v>
      </c>
      <c r="BZ456" s="37">
        <f t="shared" si="277"/>
        <v>84</v>
      </c>
      <c r="CA456" s="32" t="str">
        <f>VLOOKUP(J:J,'Agent wise'!A:C,3,0)</f>
        <v>Adharsh</v>
      </c>
      <c r="CB456" s="32">
        <f t="shared" si="278"/>
        <v>45937</v>
      </c>
      <c r="CC456" t="str">
        <f t="shared" si="279"/>
        <v>FC</v>
      </c>
      <c r="CE456" s="32"/>
      <c r="CJ456">
        <f t="shared" si="280"/>
        <v>7</v>
      </c>
      <c r="CK456">
        <f t="shared" si="281"/>
        <v>10</v>
      </c>
      <c r="CL456">
        <f t="shared" si="282"/>
        <v>2025</v>
      </c>
    </row>
    <row r="457" spans="1:90" ht="15" customHeight="1" x14ac:dyDescent="0.35">
      <c r="A457" s="40">
        <v>45848.99523148148</v>
      </c>
      <c r="B457" t="s">
        <v>130</v>
      </c>
      <c r="C457" t="s">
        <v>214</v>
      </c>
      <c r="D457" t="s">
        <v>131</v>
      </c>
      <c r="E457" s="32">
        <v>45937</v>
      </c>
      <c r="F457" t="s">
        <v>54</v>
      </c>
      <c r="G457" s="2">
        <v>45848</v>
      </c>
      <c r="H457">
        <v>9444774555</v>
      </c>
      <c r="I457">
        <v>129</v>
      </c>
      <c r="J457" t="s">
        <v>1118</v>
      </c>
      <c r="K457" t="s">
        <v>71</v>
      </c>
      <c r="L457" t="s">
        <v>72</v>
      </c>
      <c r="M457" t="s">
        <v>59</v>
      </c>
      <c r="N457" t="s">
        <v>59</v>
      </c>
      <c r="O457" t="s">
        <v>59</v>
      </c>
      <c r="P457" t="s">
        <v>59</v>
      </c>
      <c r="Q457" t="s">
        <v>59</v>
      </c>
      <c r="R457" t="s">
        <v>59</v>
      </c>
      <c r="S457" t="s">
        <v>59</v>
      </c>
      <c r="T457" t="s">
        <v>59</v>
      </c>
      <c r="U457" t="s">
        <v>60</v>
      </c>
      <c r="V457" t="s">
        <v>59</v>
      </c>
      <c r="W457" t="s">
        <v>59</v>
      </c>
      <c r="X457" t="s">
        <v>59</v>
      </c>
      <c r="Y457" t="s">
        <v>59</v>
      </c>
      <c r="Z457" t="s">
        <v>59</v>
      </c>
      <c r="AA457" t="s">
        <v>59</v>
      </c>
      <c r="AB457" t="s">
        <v>60</v>
      </c>
      <c r="AC457" t="s">
        <v>61</v>
      </c>
      <c r="AD457" t="s">
        <v>59</v>
      </c>
      <c r="AE457" t="s">
        <v>59</v>
      </c>
      <c r="AF457" t="s">
        <v>61</v>
      </c>
      <c r="AG457" t="s">
        <v>59</v>
      </c>
      <c r="AH457" t="s">
        <v>61</v>
      </c>
      <c r="AI457" t="s">
        <v>61</v>
      </c>
      <c r="AJ457" t="s">
        <v>59</v>
      </c>
      <c r="AK457" t="s">
        <v>59</v>
      </c>
      <c r="AL457" t="s">
        <v>60</v>
      </c>
      <c r="AM457" t="s">
        <v>59</v>
      </c>
      <c r="AN457" t="s">
        <v>59</v>
      </c>
      <c r="AO457" t="s">
        <v>59</v>
      </c>
      <c r="AP457" t="s">
        <v>1119</v>
      </c>
      <c r="AQ457" s="1" t="s">
        <v>1120</v>
      </c>
      <c r="AR457" t="s">
        <v>64</v>
      </c>
      <c r="AS457" t="s">
        <v>1121</v>
      </c>
      <c r="AT457" t="s">
        <v>1122</v>
      </c>
      <c r="AU457" t="s">
        <v>219</v>
      </c>
      <c r="AW457" s="4">
        <f t="shared" si="248"/>
        <v>6</v>
      </c>
      <c r="AX457" s="4">
        <f t="shared" si="249"/>
        <v>4</v>
      </c>
      <c r="AY457" s="4">
        <f t="shared" si="250"/>
        <v>4</v>
      </c>
      <c r="AZ457" s="4">
        <f t="shared" si="251"/>
        <v>2</v>
      </c>
      <c r="BA457" s="4">
        <f t="shared" si="252"/>
        <v>4</v>
      </c>
      <c r="BB457" s="4">
        <f t="shared" si="253"/>
        <v>4</v>
      </c>
      <c r="BC457" s="4">
        <f t="shared" si="254"/>
        <v>4</v>
      </c>
      <c r="BD457" s="4">
        <f t="shared" si="255"/>
        <v>2</v>
      </c>
      <c r="BE457" s="4" t="str">
        <f t="shared" si="256"/>
        <v>0</v>
      </c>
      <c r="BF457" s="4">
        <f t="shared" si="257"/>
        <v>2</v>
      </c>
      <c r="BG457" s="4">
        <f t="shared" si="258"/>
        <v>4</v>
      </c>
      <c r="BH457" s="4">
        <f t="shared" si="259"/>
        <v>4</v>
      </c>
      <c r="BI457" s="4">
        <f t="shared" si="260"/>
        <v>4</v>
      </c>
      <c r="BJ457" s="4">
        <f t="shared" si="261"/>
        <v>2</v>
      </c>
      <c r="BK457" s="4">
        <f t="shared" si="262"/>
        <v>4</v>
      </c>
      <c r="BL457" s="4" t="str">
        <f t="shared" si="263"/>
        <v>0</v>
      </c>
      <c r="BM457" s="4">
        <f t="shared" si="264"/>
        <v>4</v>
      </c>
      <c r="BN457" s="4">
        <f t="shared" si="265"/>
        <v>4</v>
      </c>
      <c r="BO457" s="4">
        <f t="shared" si="266"/>
        <v>4</v>
      </c>
      <c r="BP457" s="4">
        <f t="shared" si="267"/>
        <v>4</v>
      </c>
      <c r="BQ457" s="4">
        <f t="shared" si="268"/>
        <v>6</v>
      </c>
      <c r="BR457" s="4">
        <f t="shared" si="269"/>
        <v>4</v>
      </c>
      <c r="BS457" s="4">
        <f t="shared" si="270"/>
        <v>4</v>
      </c>
      <c r="BT457" s="4">
        <f t="shared" si="271"/>
        <v>4</v>
      </c>
      <c r="BU457" s="4">
        <f t="shared" si="272"/>
        <v>4</v>
      </c>
      <c r="BV457" s="4" t="str">
        <f t="shared" si="273"/>
        <v>0</v>
      </c>
      <c r="BW457" s="4">
        <f t="shared" si="274"/>
        <v>6</v>
      </c>
      <c r="BX457" s="4">
        <f t="shared" si="275"/>
        <v>0</v>
      </c>
      <c r="BY457" s="4">
        <f t="shared" si="276"/>
        <v>0</v>
      </c>
      <c r="BZ457" s="37">
        <f t="shared" si="277"/>
        <v>94</v>
      </c>
      <c r="CA457" s="32" t="e">
        <f>VLOOKUP(J:J,'Agent wise'!A:C,3,0)</f>
        <v>#N/A</v>
      </c>
      <c r="CB457" s="32">
        <f t="shared" si="278"/>
        <v>45937</v>
      </c>
      <c r="CC457" t="str">
        <f t="shared" si="279"/>
        <v>Good</v>
      </c>
      <c r="CE457" s="32"/>
      <c r="CJ457">
        <f t="shared" si="280"/>
        <v>7</v>
      </c>
      <c r="CK457">
        <f t="shared" si="281"/>
        <v>10</v>
      </c>
      <c r="CL457">
        <f t="shared" si="282"/>
        <v>2025</v>
      </c>
    </row>
    <row r="458" spans="1:90" ht="15" customHeight="1" x14ac:dyDescent="0.35">
      <c r="A458" s="40">
        <v>45848.998252314806</v>
      </c>
      <c r="B458" t="s">
        <v>106</v>
      </c>
      <c r="C458" t="s">
        <v>214</v>
      </c>
      <c r="D458" t="s">
        <v>107</v>
      </c>
      <c r="E458" s="32">
        <v>45937</v>
      </c>
      <c r="F458" t="s">
        <v>54</v>
      </c>
      <c r="G458" s="2">
        <v>45848</v>
      </c>
      <c r="H458">
        <v>9080729490</v>
      </c>
      <c r="I458">
        <v>125</v>
      </c>
      <c r="J458" t="s">
        <v>108</v>
      </c>
      <c r="K458" t="s">
        <v>71</v>
      </c>
      <c r="L458" t="s">
        <v>72</v>
      </c>
      <c r="M458" t="s">
        <v>59</v>
      </c>
      <c r="N458" t="s">
        <v>59</v>
      </c>
      <c r="O458" t="s">
        <v>60</v>
      </c>
      <c r="P458" t="s">
        <v>59</v>
      </c>
      <c r="Q458" t="s">
        <v>59</v>
      </c>
      <c r="R458" t="s">
        <v>59</v>
      </c>
      <c r="S458" t="s">
        <v>59</v>
      </c>
      <c r="T458" t="s">
        <v>59</v>
      </c>
      <c r="U458" t="s">
        <v>60</v>
      </c>
      <c r="V458" t="s">
        <v>59</v>
      </c>
      <c r="W458" t="s">
        <v>59</v>
      </c>
      <c r="X458" t="s">
        <v>61</v>
      </c>
      <c r="Y458" t="s">
        <v>59</v>
      </c>
      <c r="Z458" t="s">
        <v>60</v>
      </c>
      <c r="AA458" t="s">
        <v>59</v>
      </c>
      <c r="AB458" t="s">
        <v>59</v>
      </c>
      <c r="AC458" t="s">
        <v>61</v>
      </c>
      <c r="AD458" t="s">
        <v>61</v>
      </c>
      <c r="AE458" t="s">
        <v>59</v>
      </c>
      <c r="AF458" t="s">
        <v>61</v>
      </c>
      <c r="AG458" t="s">
        <v>59</v>
      </c>
      <c r="AH458" t="s">
        <v>61</v>
      </c>
      <c r="AI458" t="s">
        <v>61</v>
      </c>
      <c r="AJ458" t="s">
        <v>59</v>
      </c>
      <c r="AK458" t="s">
        <v>59</v>
      </c>
      <c r="AL458" t="s">
        <v>60</v>
      </c>
      <c r="AM458" t="s">
        <v>59</v>
      </c>
      <c r="AN458" t="s">
        <v>59</v>
      </c>
      <c r="AO458" t="s">
        <v>59</v>
      </c>
      <c r="AP458" t="s">
        <v>1123</v>
      </c>
      <c r="AQ458" t="s">
        <v>833</v>
      </c>
      <c r="AR458" t="s">
        <v>64</v>
      </c>
      <c r="AS458" t="s">
        <v>397</v>
      </c>
      <c r="AT458" t="s">
        <v>649</v>
      </c>
      <c r="AU458" t="s">
        <v>387</v>
      </c>
      <c r="AW458" s="4">
        <f t="shared" si="248"/>
        <v>6</v>
      </c>
      <c r="AX458" s="4">
        <f t="shared" si="249"/>
        <v>4</v>
      </c>
      <c r="AY458" s="4" t="str">
        <f t="shared" si="250"/>
        <v>0</v>
      </c>
      <c r="AZ458" s="4">
        <f t="shared" si="251"/>
        <v>2</v>
      </c>
      <c r="BA458" s="4">
        <f t="shared" si="252"/>
        <v>4</v>
      </c>
      <c r="BB458" s="4">
        <f t="shared" si="253"/>
        <v>4</v>
      </c>
      <c r="BC458" s="4">
        <f t="shared" si="254"/>
        <v>4</v>
      </c>
      <c r="BD458" s="4">
        <f t="shared" si="255"/>
        <v>2</v>
      </c>
      <c r="BE458" s="4" t="str">
        <f t="shared" si="256"/>
        <v>0</v>
      </c>
      <c r="BF458" s="4">
        <f t="shared" si="257"/>
        <v>2</v>
      </c>
      <c r="BG458" s="4">
        <f t="shared" si="258"/>
        <v>4</v>
      </c>
      <c r="BH458" s="4">
        <f t="shared" si="259"/>
        <v>4</v>
      </c>
      <c r="BI458" s="4">
        <f t="shared" si="260"/>
        <v>4</v>
      </c>
      <c r="BJ458" s="4" t="str">
        <f t="shared" si="261"/>
        <v>0</v>
      </c>
      <c r="BK458" s="4">
        <f t="shared" si="262"/>
        <v>4</v>
      </c>
      <c r="BL458" s="4">
        <f t="shared" si="263"/>
        <v>2</v>
      </c>
      <c r="BM458" s="4">
        <f t="shared" si="264"/>
        <v>4</v>
      </c>
      <c r="BN458" s="4">
        <f t="shared" si="265"/>
        <v>4</v>
      </c>
      <c r="BO458" s="4">
        <f t="shared" si="266"/>
        <v>4</v>
      </c>
      <c r="BP458" s="4">
        <f t="shared" si="267"/>
        <v>4</v>
      </c>
      <c r="BQ458" s="4">
        <f t="shared" si="268"/>
        <v>6</v>
      </c>
      <c r="BR458" s="4">
        <f t="shared" si="269"/>
        <v>4</v>
      </c>
      <c r="BS458" s="4">
        <f t="shared" si="270"/>
        <v>4</v>
      </c>
      <c r="BT458" s="4">
        <f t="shared" si="271"/>
        <v>4</v>
      </c>
      <c r="BU458" s="4">
        <f t="shared" si="272"/>
        <v>4</v>
      </c>
      <c r="BV458" s="4" t="str">
        <f t="shared" si="273"/>
        <v>0</v>
      </c>
      <c r="BW458" s="4">
        <f t="shared" si="274"/>
        <v>6</v>
      </c>
      <c r="BX458" s="4">
        <f t="shared" si="275"/>
        <v>0</v>
      </c>
      <c r="BY458" s="4">
        <f t="shared" si="276"/>
        <v>0</v>
      </c>
      <c r="BZ458" s="37">
        <f t="shared" si="277"/>
        <v>90</v>
      </c>
      <c r="CA458" s="32" t="str">
        <f>VLOOKUP(J:J,'Agent wise'!A:C,3,0)</f>
        <v xml:space="preserve">Shiny </v>
      </c>
      <c r="CB458" s="32">
        <f t="shared" si="278"/>
        <v>45937</v>
      </c>
      <c r="CC458" t="str">
        <f t="shared" si="279"/>
        <v>Good</v>
      </c>
      <c r="CE458" s="32"/>
      <c r="CJ458">
        <f t="shared" si="280"/>
        <v>7</v>
      </c>
      <c r="CK458">
        <f t="shared" si="281"/>
        <v>10</v>
      </c>
      <c r="CL458">
        <f t="shared" si="282"/>
        <v>2025</v>
      </c>
    </row>
    <row r="459" spans="1:90" ht="15" customHeight="1" x14ac:dyDescent="0.35">
      <c r="A459" s="40">
        <v>45879.438113425917</v>
      </c>
      <c r="B459" t="s">
        <v>100</v>
      </c>
      <c r="C459" t="s">
        <v>214</v>
      </c>
      <c r="D459" t="s">
        <v>101</v>
      </c>
      <c r="E459" s="32">
        <v>45938</v>
      </c>
      <c r="F459" t="s">
        <v>54</v>
      </c>
      <c r="G459" s="2">
        <v>45848</v>
      </c>
      <c r="H459">
        <v>8220305518</v>
      </c>
      <c r="I459">
        <v>288</v>
      </c>
      <c r="J459" t="s">
        <v>1098</v>
      </c>
      <c r="K459" t="s">
        <v>71</v>
      </c>
      <c r="L459" t="s">
        <v>72</v>
      </c>
      <c r="M459" t="s">
        <v>59</v>
      </c>
      <c r="N459" t="s">
        <v>59</v>
      </c>
      <c r="O459" t="s">
        <v>59</v>
      </c>
      <c r="P459" t="s">
        <v>59</v>
      </c>
      <c r="Q459" t="s">
        <v>59</v>
      </c>
      <c r="R459" t="s">
        <v>59</v>
      </c>
      <c r="S459" t="s">
        <v>59</v>
      </c>
      <c r="T459" t="s">
        <v>59</v>
      </c>
      <c r="U459" t="s">
        <v>59</v>
      </c>
      <c r="V459" t="s">
        <v>59</v>
      </c>
      <c r="W459" t="s">
        <v>59</v>
      </c>
      <c r="X459" t="s">
        <v>59</v>
      </c>
      <c r="Y459" t="s">
        <v>59</v>
      </c>
      <c r="Z459" t="s">
        <v>59</v>
      </c>
      <c r="AA459" t="s">
        <v>59</v>
      </c>
      <c r="AB459" t="s">
        <v>59</v>
      </c>
      <c r="AC459" t="s">
        <v>60</v>
      </c>
      <c r="AD459" t="s">
        <v>59</v>
      </c>
      <c r="AE459" t="s">
        <v>59</v>
      </c>
      <c r="AF459" t="s">
        <v>59</v>
      </c>
      <c r="AG459" t="s">
        <v>60</v>
      </c>
      <c r="AH459" t="s">
        <v>59</v>
      </c>
      <c r="AI459" t="s">
        <v>59</v>
      </c>
      <c r="AJ459" t="s">
        <v>59</v>
      </c>
      <c r="AK459" t="s">
        <v>59</v>
      </c>
      <c r="AL459" t="s">
        <v>59</v>
      </c>
      <c r="AM459" t="s">
        <v>59</v>
      </c>
      <c r="AN459" t="s">
        <v>59</v>
      </c>
      <c r="AO459" t="s">
        <v>59</v>
      </c>
      <c r="AP459" t="s">
        <v>547</v>
      </c>
      <c r="AQ459" t="s">
        <v>1124</v>
      </c>
      <c r="AR459" t="s">
        <v>64</v>
      </c>
      <c r="AS459" t="s">
        <v>344</v>
      </c>
      <c r="AT459" t="s">
        <v>172</v>
      </c>
      <c r="AU459" t="s">
        <v>299</v>
      </c>
      <c r="AW459" s="4">
        <f t="shared" si="248"/>
        <v>6</v>
      </c>
      <c r="AX459" s="4">
        <f t="shared" si="249"/>
        <v>4</v>
      </c>
      <c r="AY459" s="4">
        <f t="shared" si="250"/>
        <v>4</v>
      </c>
      <c r="AZ459" s="4">
        <f t="shared" si="251"/>
        <v>2</v>
      </c>
      <c r="BA459" s="4">
        <f t="shared" si="252"/>
        <v>4</v>
      </c>
      <c r="BB459" s="4">
        <f t="shared" si="253"/>
        <v>4</v>
      </c>
      <c r="BC459" s="4">
        <f t="shared" si="254"/>
        <v>4</v>
      </c>
      <c r="BD459" s="4">
        <f t="shared" si="255"/>
        <v>2</v>
      </c>
      <c r="BE459" s="4">
        <f t="shared" si="256"/>
        <v>4</v>
      </c>
      <c r="BF459" s="4">
        <f t="shared" si="257"/>
        <v>2</v>
      </c>
      <c r="BG459" s="4">
        <f t="shared" si="258"/>
        <v>4</v>
      </c>
      <c r="BH459" s="4">
        <f t="shared" si="259"/>
        <v>4</v>
      </c>
      <c r="BI459" s="4">
        <f t="shared" si="260"/>
        <v>4</v>
      </c>
      <c r="BJ459" s="4">
        <f t="shared" si="261"/>
        <v>2</v>
      </c>
      <c r="BK459" s="4">
        <f t="shared" si="262"/>
        <v>4</v>
      </c>
      <c r="BL459" s="4">
        <f t="shared" si="263"/>
        <v>2</v>
      </c>
      <c r="BM459" s="4" t="str">
        <f t="shared" si="264"/>
        <v>0</v>
      </c>
      <c r="BN459" s="4">
        <f t="shared" si="265"/>
        <v>4</v>
      </c>
      <c r="BO459" s="4">
        <f t="shared" si="266"/>
        <v>4</v>
      </c>
      <c r="BP459" s="4">
        <f t="shared" si="267"/>
        <v>4</v>
      </c>
      <c r="BQ459" s="4" t="str">
        <f t="shared" si="268"/>
        <v>0</v>
      </c>
      <c r="BR459" s="4">
        <f t="shared" si="269"/>
        <v>4</v>
      </c>
      <c r="BS459" s="4">
        <f t="shared" si="270"/>
        <v>4</v>
      </c>
      <c r="BT459" s="4">
        <f t="shared" si="271"/>
        <v>4</v>
      </c>
      <c r="BU459" s="4">
        <f t="shared" si="272"/>
        <v>4</v>
      </c>
      <c r="BV459" s="4">
        <f t="shared" si="273"/>
        <v>0</v>
      </c>
      <c r="BW459" s="4">
        <f t="shared" si="274"/>
        <v>6</v>
      </c>
      <c r="BX459" s="4">
        <f t="shared" si="275"/>
        <v>0</v>
      </c>
      <c r="BY459" s="4">
        <f t="shared" si="276"/>
        <v>0</v>
      </c>
      <c r="BZ459" s="37">
        <f t="shared" si="277"/>
        <v>90</v>
      </c>
      <c r="CA459" s="32" t="str">
        <f>VLOOKUP(J:J,'Agent wise'!A:C,3,0)</f>
        <v>Anusha</v>
      </c>
      <c r="CB459" s="32">
        <f t="shared" si="278"/>
        <v>45938</v>
      </c>
      <c r="CC459" t="str">
        <f t="shared" si="279"/>
        <v>Good</v>
      </c>
      <c r="CE459" s="32"/>
      <c r="CJ459">
        <f t="shared" si="280"/>
        <v>8</v>
      </c>
      <c r="CK459">
        <f t="shared" si="281"/>
        <v>10</v>
      </c>
      <c r="CL459">
        <f t="shared" si="282"/>
        <v>2025</v>
      </c>
    </row>
    <row r="460" spans="1:90" ht="15" customHeight="1" x14ac:dyDescent="0.35">
      <c r="A460" s="40">
        <v>45879.442488425928</v>
      </c>
      <c r="B460" t="s">
        <v>100</v>
      </c>
      <c r="C460" t="s">
        <v>214</v>
      </c>
      <c r="D460" t="s">
        <v>101</v>
      </c>
      <c r="E460" s="32">
        <v>45938</v>
      </c>
      <c r="F460" t="s">
        <v>54</v>
      </c>
      <c r="G460" s="2">
        <v>45848</v>
      </c>
      <c r="H460">
        <v>9486639731</v>
      </c>
      <c r="I460">
        <v>327</v>
      </c>
      <c r="J460" t="s">
        <v>1098</v>
      </c>
      <c r="K460" t="s">
        <v>71</v>
      </c>
      <c r="L460" t="s">
        <v>72</v>
      </c>
      <c r="M460" t="s">
        <v>59</v>
      </c>
      <c r="N460" t="s">
        <v>59</v>
      </c>
      <c r="O460" t="s">
        <v>59</v>
      </c>
      <c r="P460" t="s">
        <v>59</v>
      </c>
      <c r="Q460" t="s">
        <v>59</v>
      </c>
      <c r="R460" t="s">
        <v>59</v>
      </c>
      <c r="S460" t="s">
        <v>59</v>
      </c>
      <c r="T460" t="s">
        <v>59</v>
      </c>
      <c r="U460" t="s">
        <v>59</v>
      </c>
      <c r="V460" t="s">
        <v>59</v>
      </c>
      <c r="W460" t="s">
        <v>59</v>
      </c>
      <c r="X460" t="s">
        <v>59</v>
      </c>
      <c r="Y460" t="s">
        <v>59</v>
      </c>
      <c r="Z460" t="s">
        <v>59</v>
      </c>
      <c r="AA460" t="s">
        <v>59</v>
      </c>
      <c r="AB460" t="s">
        <v>59</v>
      </c>
      <c r="AC460" t="s">
        <v>60</v>
      </c>
      <c r="AD460" t="s">
        <v>59</v>
      </c>
      <c r="AE460" t="s">
        <v>59</v>
      </c>
      <c r="AF460" t="s">
        <v>59</v>
      </c>
      <c r="AG460" t="s">
        <v>59</v>
      </c>
      <c r="AH460" t="s">
        <v>59</v>
      </c>
      <c r="AI460" t="s">
        <v>61</v>
      </c>
      <c r="AJ460" t="s">
        <v>59</v>
      </c>
      <c r="AK460" t="s">
        <v>59</v>
      </c>
      <c r="AL460" t="s">
        <v>59</v>
      </c>
      <c r="AM460" t="s">
        <v>59</v>
      </c>
      <c r="AN460" t="s">
        <v>59</v>
      </c>
      <c r="AO460" t="s">
        <v>59</v>
      </c>
      <c r="AP460" t="s">
        <v>547</v>
      </c>
      <c r="AQ460" t="s">
        <v>1125</v>
      </c>
      <c r="AR460" t="s">
        <v>64</v>
      </c>
      <c r="AS460" t="s">
        <v>89</v>
      </c>
      <c r="AT460" t="s">
        <v>293</v>
      </c>
      <c r="AU460" t="s">
        <v>299</v>
      </c>
      <c r="AW460" s="4">
        <f t="shared" si="248"/>
        <v>6</v>
      </c>
      <c r="AX460" s="4">
        <f t="shared" si="249"/>
        <v>4</v>
      </c>
      <c r="AY460" s="4">
        <f t="shared" si="250"/>
        <v>4</v>
      </c>
      <c r="AZ460" s="4">
        <f t="shared" si="251"/>
        <v>2</v>
      </c>
      <c r="BA460" s="4">
        <f t="shared" si="252"/>
        <v>4</v>
      </c>
      <c r="BB460" s="4">
        <f t="shared" si="253"/>
        <v>4</v>
      </c>
      <c r="BC460" s="4">
        <f t="shared" si="254"/>
        <v>4</v>
      </c>
      <c r="BD460" s="4">
        <f t="shared" si="255"/>
        <v>2</v>
      </c>
      <c r="BE460" s="4">
        <f t="shared" si="256"/>
        <v>4</v>
      </c>
      <c r="BF460" s="4">
        <f t="shared" si="257"/>
        <v>2</v>
      </c>
      <c r="BG460" s="4">
        <f t="shared" si="258"/>
        <v>4</v>
      </c>
      <c r="BH460" s="4">
        <f t="shared" si="259"/>
        <v>4</v>
      </c>
      <c r="BI460" s="4">
        <f t="shared" si="260"/>
        <v>4</v>
      </c>
      <c r="BJ460" s="4">
        <f t="shared" si="261"/>
        <v>2</v>
      </c>
      <c r="BK460" s="4">
        <f t="shared" si="262"/>
        <v>4</v>
      </c>
      <c r="BL460" s="4">
        <f t="shared" si="263"/>
        <v>2</v>
      </c>
      <c r="BM460" s="4" t="str">
        <f t="shared" si="264"/>
        <v>0</v>
      </c>
      <c r="BN460" s="4">
        <f t="shared" si="265"/>
        <v>4</v>
      </c>
      <c r="BO460" s="4">
        <f t="shared" si="266"/>
        <v>4</v>
      </c>
      <c r="BP460" s="4">
        <f t="shared" si="267"/>
        <v>4</v>
      </c>
      <c r="BQ460" s="4">
        <f t="shared" si="268"/>
        <v>6</v>
      </c>
      <c r="BR460" s="4">
        <f t="shared" si="269"/>
        <v>4</v>
      </c>
      <c r="BS460" s="4">
        <f t="shared" si="270"/>
        <v>4</v>
      </c>
      <c r="BT460" s="4">
        <f t="shared" si="271"/>
        <v>4</v>
      </c>
      <c r="BU460" s="4">
        <f t="shared" si="272"/>
        <v>4</v>
      </c>
      <c r="BV460" s="4">
        <f t="shared" si="273"/>
        <v>0</v>
      </c>
      <c r="BW460" s="4">
        <f t="shared" si="274"/>
        <v>6</v>
      </c>
      <c r="BX460" s="4">
        <f t="shared" si="275"/>
        <v>0</v>
      </c>
      <c r="BY460" s="4">
        <f t="shared" si="276"/>
        <v>0</v>
      </c>
      <c r="BZ460" s="37">
        <f t="shared" si="277"/>
        <v>96</v>
      </c>
      <c r="CA460" s="32" t="str">
        <f>VLOOKUP(J:J,'Agent wise'!A:C,3,0)</f>
        <v>Anusha</v>
      </c>
      <c r="CB460" s="32">
        <f t="shared" si="278"/>
        <v>45938</v>
      </c>
      <c r="CC460" t="str">
        <f t="shared" si="279"/>
        <v>Excellent</v>
      </c>
      <c r="CE460" s="32"/>
      <c r="CJ460">
        <f t="shared" si="280"/>
        <v>8</v>
      </c>
      <c r="CK460">
        <f t="shared" si="281"/>
        <v>10</v>
      </c>
      <c r="CL460">
        <f t="shared" si="282"/>
        <v>2025</v>
      </c>
    </row>
    <row r="461" spans="1:90" ht="15" customHeight="1" x14ac:dyDescent="0.35">
      <c r="A461" s="40">
        <v>45879.480833333328</v>
      </c>
      <c r="B461" t="s">
        <v>250</v>
      </c>
      <c r="C461" t="s">
        <v>214</v>
      </c>
      <c r="D461" t="s">
        <v>251</v>
      </c>
      <c r="E461" s="32">
        <v>45938</v>
      </c>
      <c r="F461" t="s">
        <v>222</v>
      </c>
      <c r="G461" s="2">
        <v>45848</v>
      </c>
      <c r="H461">
        <v>9489830755</v>
      </c>
      <c r="I461">
        <v>225</v>
      </c>
      <c r="J461" t="s">
        <v>998</v>
      </c>
      <c r="K461" t="s">
        <v>71</v>
      </c>
      <c r="L461" t="s">
        <v>72</v>
      </c>
      <c r="M461" t="s">
        <v>59</v>
      </c>
      <c r="N461" t="s">
        <v>59</v>
      </c>
      <c r="O461" t="s">
        <v>60</v>
      </c>
      <c r="P461" t="s">
        <v>59</v>
      </c>
      <c r="Q461" t="s">
        <v>59</v>
      </c>
      <c r="R461" t="s">
        <v>59</v>
      </c>
      <c r="S461" t="s">
        <v>59</v>
      </c>
      <c r="T461" t="s">
        <v>59</v>
      </c>
      <c r="U461" t="s">
        <v>60</v>
      </c>
      <c r="V461" t="s">
        <v>59</v>
      </c>
      <c r="W461" t="s">
        <v>59</v>
      </c>
      <c r="X461" t="s">
        <v>59</v>
      </c>
      <c r="Y461" t="s">
        <v>59</v>
      </c>
      <c r="Z461" t="s">
        <v>59</v>
      </c>
      <c r="AA461" t="s">
        <v>60</v>
      </c>
      <c r="AB461" t="s">
        <v>60</v>
      </c>
      <c r="AC461" t="s">
        <v>59</v>
      </c>
      <c r="AD461" t="s">
        <v>59</v>
      </c>
      <c r="AE461" t="s">
        <v>59</v>
      </c>
      <c r="AF461" t="s">
        <v>59</v>
      </c>
      <c r="AG461" t="s">
        <v>59</v>
      </c>
      <c r="AH461" t="s">
        <v>61</v>
      </c>
      <c r="AI461" t="s">
        <v>60</v>
      </c>
      <c r="AJ461" t="s">
        <v>59</v>
      </c>
      <c r="AK461" t="s">
        <v>59</v>
      </c>
      <c r="AL461" t="s">
        <v>60</v>
      </c>
      <c r="AM461" t="s">
        <v>59</v>
      </c>
      <c r="AN461" t="s">
        <v>59</v>
      </c>
      <c r="AO461" t="s">
        <v>59</v>
      </c>
      <c r="AP461" t="s">
        <v>1126</v>
      </c>
      <c r="AQ461" t="s">
        <v>1127</v>
      </c>
      <c r="AR461" t="s">
        <v>64</v>
      </c>
      <c r="AS461" t="s">
        <v>402</v>
      </c>
      <c r="AT461" t="s">
        <v>404</v>
      </c>
      <c r="AU461" t="s">
        <v>219</v>
      </c>
      <c r="AW461" s="4">
        <f t="shared" si="248"/>
        <v>6</v>
      </c>
      <c r="AX461" s="4">
        <f t="shared" si="249"/>
        <v>4</v>
      </c>
      <c r="AY461" s="4" t="str">
        <f t="shared" si="250"/>
        <v>0</v>
      </c>
      <c r="AZ461" s="4">
        <f t="shared" si="251"/>
        <v>2</v>
      </c>
      <c r="BA461" s="4">
        <f t="shared" si="252"/>
        <v>4</v>
      </c>
      <c r="BB461" s="4">
        <f t="shared" si="253"/>
        <v>4</v>
      </c>
      <c r="BC461" s="4">
        <f t="shared" si="254"/>
        <v>4</v>
      </c>
      <c r="BD461" s="4">
        <f t="shared" si="255"/>
        <v>2</v>
      </c>
      <c r="BE461" s="4" t="str">
        <f t="shared" si="256"/>
        <v>0</v>
      </c>
      <c r="BF461" s="4">
        <f t="shared" si="257"/>
        <v>2</v>
      </c>
      <c r="BG461" s="4">
        <f t="shared" si="258"/>
        <v>4</v>
      </c>
      <c r="BH461" s="4">
        <f t="shared" si="259"/>
        <v>4</v>
      </c>
      <c r="BI461" s="4">
        <f t="shared" si="260"/>
        <v>4</v>
      </c>
      <c r="BJ461" s="4">
        <f t="shared" si="261"/>
        <v>2</v>
      </c>
      <c r="BK461" s="4" t="str">
        <f t="shared" si="262"/>
        <v>0</v>
      </c>
      <c r="BL461" s="4" t="str">
        <f t="shared" si="263"/>
        <v>0</v>
      </c>
      <c r="BM461" s="4">
        <f t="shared" si="264"/>
        <v>4</v>
      </c>
      <c r="BN461" s="4">
        <f t="shared" si="265"/>
        <v>4</v>
      </c>
      <c r="BO461" s="4">
        <f t="shared" si="266"/>
        <v>4</v>
      </c>
      <c r="BP461" s="4">
        <f t="shared" si="267"/>
        <v>4</v>
      </c>
      <c r="BQ461" s="4">
        <f t="shared" si="268"/>
        <v>6</v>
      </c>
      <c r="BR461" s="4">
        <f t="shared" si="269"/>
        <v>4</v>
      </c>
      <c r="BS461" s="4" t="str">
        <f t="shared" si="270"/>
        <v>0</v>
      </c>
      <c r="BT461" s="4">
        <f t="shared" si="271"/>
        <v>4</v>
      </c>
      <c r="BU461" s="4">
        <f t="shared" si="272"/>
        <v>4</v>
      </c>
      <c r="BV461" s="4" t="str">
        <f t="shared" si="273"/>
        <v>0</v>
      </c>
      <c r="BW461" s="4">
        <f t="shared" si="274"/>
        <v>6</v>
      </c>
      <c r="BX461" s="4">
        <f t="shared" si="275"/>
        <v>0</v>
      </c>
      <c r="BY461" s="4">
        <f t="shared" si="276"/>
        <v>0</v>
      </c>
      <c r="BZ461" s="37">
        <f t="shared" si="277"/>
        <v>82</v>
      </c>
      <c r="CA461" s="32" t="str">
        <f>VLOOKUP(J:J,'Agent wise'!A:C,3,0)</f>
        <v>Anusha</v>
      </c>
      <c r="CB461" s="32">
        <f t="shared" si="278"/>
        <v>45938</v>
      </c>
      <c r="CC461" t="str">
        <f t="shared" si="279"/>
        <v>FC</v>
      </c>
      <c r="CE461" s="32"/>
      <c r="CJ461">
        <f t="shared" si="280"/>
        <v>8</v>
      </c>
      <c r="CK461">
        <f t="shared" si="281"/>
        <v>10</v>
      </c>
      <c r="CL461">
        <f t="shared" si="282"/>
        <v>2025</v>
      </c>
    </row>
    <row r="462" spans="1:90" ht="15" customHeight="1" x14ac:dyDescent="0.35">
      <c r="A462" s="40">
        <v>45879.569108796299</v>
      </c>
      <c r="B462" t="s">
        <v>51</v>
      </c>
      <c r="C462" t="s">
        <v>214</v>
      </c>
      <c r="D462" t="s">
        <v>53</v>
      </c>
      <c r="E462" s="32">
        <v>45938</v>
      </c>
      <c r="F462" t="s">
        <v>54</v>
      </c>
      <c r="G462" s="2">
        <v>45848</v>
      </c>
      <c r="H462">
        <v>8281815266</v>
      </c>
      <c r="I462">
        <v>374</v>
      </c>
      <c r="J462" t="s">
        <v>650</v>
      </c>
      <c r="K462" t="s">
        <v>57</v>
      </c>
      <c r="L462" t="s">
        <v>58</v>
      </c>
      <c r="M462" t="s">
        <v>59</v>
      </c>
      <c r="N462" t="s">
        <v>59</v>
      </c>
      <c r="O462" t="s">
        <v>59</v>
      </c>
      <c r="P462" t="s">
        <v>59</v>
      </c>
      <c r="Q462" t="s">
        <v>59</v>
      </c>
      <c r="R462" t="s">
        <v>60</v>
      </c>
      <c r="S462" t="s">
        <v>59</v>
      </c>
      <c r="T462" t="s">
        <v>59</v>
      </c>
      <c r="U462" t="s">
        <v>60</v>
      </c>
      <c r="V462" t="s">
        <v>59</v>
      </c>
      <c r="W462" t="s">
        <v>59</v>
      </c>
      <c r="X462" t="s">
        <v>59</v>
      </c>
      <c r="Y462" t="s">
        <v>59</v>
      </c>
      <c r="Z462" t="s">
        <v>59</v>
      </c>
      <c r="AA462" t="s">
        <v>60</v>
      </c>
      <c r="AB462" t="s">
        <v>60</v>
      </c>
      <c r="AC462" t="s">
        <v>60</v>
      </c>
      <c r="AD462" t="s">
        <v>59</v>
      </c>
      <c r="AE462" t="s">
        <v>59</v>
      </c>
      <c r="AF462" t="s">
        <v>61</v>
      </c>
      <c r="AG462" t="s">
        <v>59</v>
      </c>
      <c r="AH462" t="s">
        <v>61</v>
      </c>
      <c r="AI462" t="s">
        <v>60</v>
      </c>
      <c r="AJ462" t="s">
        <v>59</v>
      </c>
      <c r="AK462" t="s">
        <v>61</v>
      </c>
      <c r="AL462" t="s">
        <v>60</v>
      </c>
      <c r="AM462" t="s">
        <v>59</v>
      </c>
      <c r="AN462" t="s">
        <v>59</v>
      </c>
      <c r="AO462" t="s">
        <v>59</v>
      </c>
      <c r="AP462" t="s">
        <v>520</v>
      </c>
      <c r="AQ462" t="s">
        <v>1128</v>
      </c>
      <c r="AR462" t="s">
        <v>64</v>
      </c>
      <c r="AS462" t="s">
        <v>65</v>
      </c>
      <c r="AT462" t="s">
        <v>66</v>
      </c>
      <c r="AU462" t="s">
        <v>299</v>
      </c>
      <c r="AW462" s="4">
        <f t="shared" si="248"/>
        <v>6</v>
      </c>
      <c r="AX462" s="4">
        <f t="shared" si="249"/>
        <v>4</v>
      </c>
      <c r="AY462" s="4">
        <f t="shared" si="250"/>
        <v>4</v>
      </c>
      <c r="AZ462" s="4">
        <f t="shared" si="251"/>
        <v>2</v>
      </c>
      <c r="BA462" s="4">
        <f t="shared" si="252"/>
        <v>4</v>
      </c>
      <c r="BB462" s="4" t="str">
        <f t="shared" si="253"/>
        <v>0</v>
      </c>
      <c r="BC462" s="4">
        <f t="shared" si="254"/>
        <v>4</v>
      </c>
      <c r="BD462" s="4">
        <f t="shared" si="255"/>
        <v>2</v>
      </c>
      <c r="BE462" s="4" t="str">
        <f t="shared" si="256"/>
        <v>0</v>
      </c>
      <c r="BF462" s="4">
        <f t="shared" si="257"/>
        <v>2</v>
      </c>
      <c r="BG462" s="4">
        <f t="shared" si="258"/>
        <v>4</v>
      </c>
      <c r="BH462" s="4">
        <f t="shared" si="259"/>
        <v>4</v>
      </c>
      <c r="BI462" s="4">
        <f t="shared" si="260"/>
        <v>4</v>
      </c>
      <c r="BJ462" s="4">
        <f t="shared" si="261"/>
        <v>2</v>
      </c>
      <c r="BK462" s="4" t="str">
        <f t="shared" si="262"/>
        <v>0</v>
      </c>
      <c r="BL462" s="4" t="str">
        <f t="shared" si="263"/>
        <v>0</v>
      </c>
      <c r="BM462" s="4" t="str">
        <f t="shared" si="264"/>
        <v>0</v>
      </c>
      <c r="BN462" s="4">
        <f t="shared" si="265"/>
        <v>4</v>
      </c>
      <c r="BO462" s="4">
        <f t="shared" si="266"/>
        <v>4</v>
      </c>
      <c r="BP462" s="4">
        <f t="shared" si="267"/>
        <v>4</v>
      </c>
      <c r="BQ462" s="4">
        <f t="shared" si="268"/>
        <v>6</v>
      </c>
      <c r="BR462" s="4">
        <f t="shared" si="269"/>
        <v>4</v>
      </c>
      <c r="BS462" s="4" t="str">
        <f t="shared" si="270"/>
        <v>0</v>
      </c>
      <c r="BT462" s="4">
        <f t="shared" si="271"/>
        <v>4</v>
      </c>
      <c r="BU462" s="4">
        <f t="shared" si="272"/>
        <v>4</v>
      </c>
      <c r="BV462" s="4" t="str">
        <f t="shared" si="273"/>
        <v>0</v>
      </c>
      <c r="BW462" s="4">
        <f t="shared" si="274"/>
        <v>6</v>
      </c>
      <c r="BX462" s="4">
        <f t="shared" si="275"/>
        <v>0</v>
      </c>
      <c r="BY462" s="4">
        <f t="shared" si="276"/>
        <v>0</v>
      </c>
      <c r="BZ462" s="37">
        <f t="shared" si="277"/>
        <v>78</v>
      </c>
      <c r="CA462" s="32" t="str">
        <f>VLOOKUP(J:J,'Agent wise'!A:C,3,0)</f>
        <v>Adharsh</v>
      </c>
      <c r="CB462" s="32">
        <f t="shared" si="278"/>
        <v>45938</v>
      </c>
      <c r="CC462" t="str">
        <f t="shared" si="279"/>
        <v>FC</v>
      </c>
      <c r="CE462" s="32"/>
      <c r="CJ462">
        <f t="shared" si="280"/>
        <v>8</v>
      </c>
      <c r="CK462">
        <f t="shared" si="281"/>
        <v>10</v>
      </c>
      <c r="CL462">
        <f t="shared" si="282"/>
        <v>2025</v>
      </c>
    </row>
    <row r="463" spans="1:90" ht="15" customHeight="1" x14ac:dyDescent="0.35">
      <c r="A463" s="40">
        <v>45879.592870370368</v>
      </c>
      <c r="B463" t="s">
        <v>51</v>
      </c>
      <c r="C463" t="s">
        <v>214</v>
      </c>
      <c r="D463" t="s">
        <v>53</v>
      </c>
      <c r="E463" s="32">
        <v>45938</v>
      </c>
      <c r="F463" t="s">
        <v>54</v>
      </c>
      <c r="G463" s="2">
        <v>45848</v>
      </c>
      <c r="H463">
        <v>9442895038</v>
      </c>
      <c r="I463">
        <v>195</v>
      </c>
      <c r="J463" t="s">
        <v>263</v>
      </c>
      <c r="K463" t="s">
        <v>71</v>
      </c>
      <c r="L463" t="s">
        <v>72</v>
      </c>
      <c r="M463" t="s">
        <v>59</v>
      </c>
      <c r="N463" t="s">
        <v>59</v>
      </c>
      <c r="O463" t="s">
        <v>60</v>
      </c>
      <c r="P463" t="s">
        <v>59</v>
      </c>
      <c r="Q463" t="s">
        <v>59</v>
      </c>
      <c r="R463" t="s">
        <v>60</v>
      </c>
      <c r="S463" t="s">
        <v>59</v>
      </c>
      <c r="T463" t="s">
        <v>59</v>
      </c>
      <c r="U463" t="s">
        <v>60</v>
      </c>
      <c r="V463" t="s">
        <v>59</v>
      </c>
      <c r="W463" t="s">
        <v>59</v>
      </c>
      <c r="X463" t="s">
        <v>59</v>
      </c>
      <c r="Y463" t="s">
        <v>59</v>
      </c>
      <c r="Z463" t="s">
        <v>59</v>
      </c>
      <c r="AA463" t="s">
        <v>60</v>
      </c>
      <c r="AB463" t="s">
        <v>60</v>
      </c>
      <c r="AC463" t="s">
        <v>60</v>
      </c>
      <c r="AD463" t="s">
        <v>59</v>
      </c>
      <c r="AE463" t="s">
        <v>59</v>
      </c>
      <c r="AF463" t="s">
        <v>61</v>
      </c>
      <c r="AG463" t="s">
        <v>59</v>
      </c>
      <c r="AH463" t="s">
        <v>61</v>
      </c>
      <c r="AI463" t="s">
        <v>60</v>
      </c>
      <c r="AJ463" t="s">
        <v>59</v>
      </c>
      <c r="AK463" t="s">
        <v>61</v>
      </c>
      <c r="AL463" t="s">
        <v>60</v>
      </c>
      <c r="AM463" t="s">
        <v>60</v>
      </c>
      <c r="AN463" t="s">
        <v>59</v>
      </c>
      <c r="AO463" t="s">
        <v>59</v>
      </c>
      <c r="AP463" t="s">
        <v>1129</v>
      </c>
      <c r="AQ463" t="s">
        <v>506</v>
      </c>
      <c r="AR463" t="s">
        <v>64</v>
      </c>
      <c r="AS463" t="s">
        <v>65</v>
      </c>
      <c r="AT463" t="s">
        <v>66</v>
      </c>
      <c r="AU463" t="s">
        <v>515</v>
      </c>
      <c r="AW463" s="4">
        <f t="shared" si="248"/>
        <v>6</v>
      </c>
      <c r="AX463" s="4">
        <f t="shared" si="249"/>
        <v>4</v>
      </c>
      <c r="AY463" s="4" t="str">
        <f t="shared" si="250"/>
        <v>0</v>
      </c>
      <c r="AZ463" s="4">
        <f t="shared" si="251"/>
        <v>2</v>
      </c>
      <c r="BA463" s="4">
        <f t="shared" si="252"/>
        <v>4</v>
      </c>
      <c r="BB463" s="4" t="str">
        <f t="shared" si="253"/>
        <v>0</v>
      </c>
      <c r="BC463" s="4">
        <f t="shared" si="254"/>
        <v>4</v>
      </c>
      <c r="BD463" s="4">
        <f t="shared" si="255"/>
        <v>2</v>
      </c>
      <c r="BE463" s="4" t="str">
        <f t="shared" si="256"/>
        <v>0</v>
      </c>
      <c r="BF463" s="4">
        <f t="shared" si="257"/>
        <v>2</v>
      </c>
      <c r="BG463" s="4">
        <f t="shared" si="258"/>
        <v>4</v>
      </c>
      <c r="BH463" s="4">
        <f t="shared" si="259"/>
        <v>4</v>
      </c>
      <c r="BI463" s="4">
        <f t="shared" si="260"/>
        <v>4</v>
      </c>
      <c r="BJ463" s="4">
        <f t="shared" si="261"/>
        <v>2</v>
      </c>
      <c r="BK463" s="4" t="str">
        <f t="shared" si="262"/>
        <v>0</v>
      </c>
      <c r="BL463" s="4" t="str">
        <f t="shared" si="263"/>
        <v>0</v>
      </c>
      <c r="BM463" s="4" t="str">
        <f t="shared" si="264"/>
        <v>0</v>
      </c>
      <c r="BN463" s="4">
        <f t="shared" si="265"/>
        <v>4</v>
      </c>
      <c r="BO463" s="4">
        <f t="shared" si="266"/>
        <v>4</v>
      </c>
      <c r="BP463" s="4">
        <f t="shared" si="267"/>
        <v>4</v>
      </c>
      <c r="BQ463" s="4">
        <f t="shared" si="268"/>
        <v>6</v>
      </c>
      <c r="BR463" s="4">
        <f t="shared" si="269"/>
        <v>4</v>
      </c>
      <c r="BS463" s="4" t="str">
        <f t="shared" si="270"/>
        <v>0</v>
      </c>
      <c r="BT463" s="4">
        <f t="shared" si="271"/>
        <v>4</v>
      </c>
      <c r="BU463" s="4">
        <f t="shared" si="272"/>
        <v>4</v>
      </c>
      <c r="BV463" s="4" t="str">
        <f t="shared" si="273"/>
        <v>0</v>
      </c>
      <c r="BW463" s="4" t="str">
        <f t="shared" si="274"/>
        <v>0</v>
      </c>
      <c r="BX463" s="4">
        <f t="shared" si="275"/>
        <v>0</v>
      </c>
      <c r="BY463" s="4">
        <f t="shared" si="276"/>
        <v>0</v>
      </c>
      <c r="BZ463" s="37">
        <f t="shared" si="277"/>
        <v>68</v>
      </c>
      <c r="CA463" s="32" t="str">
        <f>VLOOKUP(J:J,'Agent wise'!A:C,3,0)</f>
        <v>Adharsh</v>
      </c>
      <c r="CB463" s="32">
        <f t="shared" si="278"/>
        <v>45938</v>
      </c>
      <c r="CC463" t="str">
        <f t="shared" si="279"/>
        <v>FC</v>
      </c>
      <c r="CE463" s="32"/>
      <c r="CJ463">
        <f t="shared" si="280"/>
        <v>8</v>
      </c>
      <c r="CK463">
        <f t="shared" si="281"/>
        <v>10</v>
      </c>
      <c r="CL463">
        <f t="shared" si="282"/>
        <v>2025</v>
      </c>
    </row>
    <row r="464" spans="1:90" ht="15" customHeight="1" x14ac:dyDescent="0.35">
      <c r="A464" s="40">
        <v>45879.595937500002</v>
      </c>
      <c r="B464" t="s">
        <v>51</v>
      </c>
      <c r="C464" t="s">
        <v>214</v>
      </c>
      <c r="D464" t="s">
        <v>53</v>
      </c>
      <c r="E464" s="32">
        <v>45938</v>
      </c>
      <c r="F464" t="s">
        <v>54</v>
      </c>
      <c r="G464" s="2">
        <v>45848</v>
      </c>
      <c r="H464">
        <v>9495211917</v>
      </c>
      <c r="I464">
        <v>136</v>
      </c>
      <c r="J464" t="s">
        <v>528</v>
      </c>
      <c r="K464" t="s">
        <v>57</v>
      </c>
      <c r="L464" t="s">
        <v>58</v>
      </c>
      <c r="M464" t="s">
        <v>59</v>
      </c>
      <c r="N464" t="s">
        <v>59</v>
      </c>
      <c r="O464" t="s">
        <v>60</v>
      </c>
      <c r="P464" t="s">
        <v>59</v>
      </c>
      <c r="Q464" t="s">
        <v>59</v>
      </c>
      <c r="R464" t="s">
        <v>59</v>
      </c>
      <c r="S464" t="s">
        <v>59</v>
      </c>
      <c r="T464" t="s">
        <v>59</v>
      </c>
      <c r="U464" t="s">
        <v>59</v>
      </c>
      <c r="V464" t="s">
        <v>59</v>
      </c>
      <c r="W464" t="s">
        <v>59</v>
      </c>
      <c r="X464" t="s">
        <v>59</v>
      </c>
      <c r="Y464" t="s">
        <v>59</v>
      </c>
      <c r="Z464" t="s">
        <v>59</v>
      </c>
      <c r="AA464" t="s">
        <v>59</v>
      </c>
      <c r="AB464" t="s">
        <v>60</v>
      </c>
      <c r="AC464" t="s">
        <v>61</v>
      </c>
      <c r="AD464" t="s">
        <v>59</v>
      </c>
      <c r="AE464" t="s">
        <v>59</v>
      </c>
      <c r="AF464" t="s">
        <v>61</v>
      </c>
      <c r="AG464" t="s">
        <v>59</v>
      </c>
      <c r="AH464" t="s">
        <v>61</v>
      </c>
      <c r="AI464" t="s">
        <v>60</v>
      </c>
      <c r="AJ464" t="s">
        <v>59</v>
      </c>
      <c r="AK464" t="s">
        <v>61</v>
      </c>
      <c r="AL464" t="s">
        <v>60</v>
      </c>
      <c r="AM464" t="s">
        <v>59</v>
      </c>
      <c r="AN464" t="s">
        <v>59</v>
      </c>
      <c r="AO464" t="s">
        <v>59</v>
      </c>
      <c r="AP464" t="s">
        <v>1130</v>
      </c>
      <c r="AQ464" t="s">
        <v>1131</v>
      </c>
      <c r="AR464" t="s">
        <v>64</v>
      </c>
      <c r="AS464" t="s">
        <v>89</v>
      </c>
      <c r="AT464" t="s">
        <v>742</v>
      </c>
      <c r="AU464" t="s">
        <v>299</v>
      </c>
      <c r="AW464" s="4">
        <f t="shared" si="248"/>
        <v>6</v>
      </c>
      <c r="AX464" s="4">
        <f t="shared" si="249"/>
        <v>4</v>
      </c>
      <c r="AY464" s="4" t="str">
        <f t="shared" si="250"/>
        <v>0</v>
      </c>
      <c r="AZ464" s="4">
        <f t="shared" si="251"/>
        <v>2</v>
      </c>
      <c r="BA464" s="4">
        <f t="shared" si="252"/>
        <v>4</v>
      </c>
      <c r="BB464" s="4">
        <f t="shared" si="253"/>
        <v>4</v>
      </c>
      <c r="BC464" s="4">
        <f t="shared" si="254"/>
        <v>4</v>
      </c>
      <c r="BD464" s="4">
        <f t="shared" si="255"/>
        <v>2</v>
      </c>
      <c r="BE464" s="4">
        <f t="shared" si="256"/>
        <v>4</v>
      </c>
      <c r="BF464" s="4">
        <f t="shared" si="257"/>
        <v>2</v>
      </c>
      <c r="BG464" s="4">
        <f t="shared" si="258"/>
        <v>4</v>
      </c>
      <c r="BH464" s="4">
        <f t="shared" si="259"/>
        <v>4</v>
      </c>
      <c r="BI464" s="4">
        <f t="shared" si="260"/>
        <v>4</v>
      </c>
      <c r="BJ464" s="4">
        <f t="shared" si="261"/>
        <v>2</v>
      </c>
      <c r="BK464" s="4">
        <f t="shared" si="262"/>
        <v>4</v>
      </c>
      <c r="BL464" s="4" t="str">
        <f t="shared" si="263"/>
        <v>0</v>
      </c>
      <c r="BM464" s="4">
        <f t="shared" si="264"/>
        <v>4</v>
      </c>
      <c r="BN464" s="4">
        <f t="shared" si="265"/>
        <v>4</v>
      </c>
      <c r="BO464" s="4">
        <f t="shared" si="266"/>
        <v>4</v>
      </c>
      <c r="BP464" s="4">
        <f t="shared" si="267"/>
        <v>4</v>
      </c>
      <c r="BQ464" s="4">
        <f t="shared" si="268"/>
        <v>6</v>
      </c>
      <c r="BR464" s="4">
        <f t="shared" si="269"/>
        <v>4</v>
      </c>
      <c r="BS464" s="4" t="str">
        <f t="shared" si="270"/>
        <v>0</v>
      </c>
      <c r="BT464" s="4">
        <f t="shared" si="271"/>
        <v>4</v>
      </c>
      <c r="BU464" s="4">
        <f t="shared" si="272"/>
        <v>4</v>
      </c>
      <c r="BV464" s="4" t="str">
        <f t="shared" si="273"/>
        <v>0</v>
      </c>
      <c r="BW464" s="4">
        <f t="shared" si="274"/>
        <v>6</v>
      </c>
      <c r="BX464" s="4">
        <f t="shared" si="275"/>
        <v>0</v>
      </c>
      <c r="BY464" s="4">
        <f t="shared" si="276"/>
        <v>0</v>
      </c>
      <c r="BZ464" s="37">
        <f t="shared" si="277"/>
        <v>90</v>
      </c>
      <c r="CA464" s="32" t="str">
        <f>VLOOKUP(J:J,'Agent wise'!A:C,3,0)</f>
        <v>Adharsh</v>
      </c>
      <c r="CB464" s="32">
        <f t="shared" si="278"/>
        <v>45938</v>
      </c>
      <c r="CC464" t="str">
        <f t="shared" si="279"/>
        <v>Good</v>
      </c>
      <c r="CE464" s="32"/>
      <c r="CJ464">
        <f t="shared" si="280"/>
        <v>8</v>
      </c>
      <c r="CK464">
        <f t="shared" si="281"/>
        <v>10</v>
      </c>
      <c r="CL464">
        <f t="shared" si="282"/>
        <v>2025</v>
      </c>
    </row>
    <row r="465" spans="1:90" ht="15" customHeight="1" x14ac:dyDescent="0.35">
      <c r="A465" s="40">
        <v>45879.603379629632</v>
      </c>
      <c r="B465" t="s">
        <v>51</v>
      </c>
      <c r="C465" t="s">
        <v>214</v>
      </c>
      <c r="D465" t="s">
        <v>53</v>
      </c>
      <c r="E465" s="32">
        <v>45938</v>
      </c>
      <c r="F465" t="s">
        <v>54</v>
      </c>
      <c r="G465" s="2">
        <v>45848</v>
      </c>
      <c r="H465">
        <v>8078498568</v>
      </c>
      <c r="I465">
        <v>139</v>
      </c>
      <c r="J465" t="s">
        <v>519</v>
      </c>
      <c r="K465" t="s">
        <v>57</v>
      </c>
      <c r="L465" t="s">
        <v>58</v>
      </c>
      <c r="M465" t="s">
        <v>60</v>
      </c>
      <c r="N465" t="s">
        <v>59</v>
      </c>
      <c r="O465" t="s">
        <v>59</v>
      </c>
      <c r="P465" t="s">
        <v>59</v>
      </c>
      <c r="Q465" t="s">
        <v>59</v>
      </c>
      <c r="R465" t="s">
        <v>59</v>
      </c>
      <c r="S465" t="s">
        <v>59</v>
      </c>
      <c r="T465" t="s">
        <v>59</v>
      </c>
      <c r="U465" t="s">
        <v>60</v>
      </c>
      <c r="V465" t="s">
        <v>59</v>
      </c>
      <c r="W465" t="s">
        <v>59</v>
      </c>
      <c r="X465" t="s">
        <v>59</v>
      </c>
      <c r="Y465" t="s">
        <v>59</v>
      </c>
      <c r="Z465" t="s">
        <v>59</v>
      </c>
      <c r="AA465" t="s">
        <v>60</v>
      </c>
      <c r="AB465" t="s">
        <v>60</v>
      </c>
      <c r="AC465" t="s">
        <v>61</v>
      </c>
      <c r="AD465" t="s">
        <v>59</v>
      </c>
      <c r="AE465" t="s">
        <v>60</v>
      </c>
      <c r="AF465" t="s">
        <v>61</v>
      </c>
      <c r="AG465" t="s">
        <v>59</v>
      </c>
      <c r="AH465" t="s">
        <v>61</v>
      </c>
      <c r="AI465" t="s">
        <v>61</v>
      </c>
      <c r="AJ465" t="s">
        <v>59</v>
      </c>
      <c r="AK465" t="s">
        <v>61</v>
      </c>
      <c r="AL465" t="s">
        <v>60</v>
      </c>
      <c r="AM465" t="s">
        <v>59</v>
      </c>
      <c r="AN465" t="s">
        <v>59</v>
      </c>
      <c r="AO465" t="s">
        <v>59</v>
      </c>
      <c r="AP465" t="s">
        <v>1132</v>
      </c>
      <c r="AQ465" t="s">
        <v>1133</v>
      </c>
      <c r="AR465" t="s">
        <v>64</v>
      </c>
      <c r="AS465" t="s">
        <v>241</v>
      </c>
      <c r="AT465" t="s">
        <v>153</v>
      </c>
      <c r="AU465" t="s">
        <v>387</v>
      </c>
      <c r="AW465" s="4" t="str">
        <f t="shared" si="248"/>
        <v>0</v>
      </c>
      <c r="AX465" s="4">
        <f t="shared" si="249"/>
        <v>4</v>
      </c>
      <c r="AY465" s="4">
        <f t="shared" si="250"/>
        <v>4</v>
      </c>
      <c r="AZ465" s="4">
        <f t="shared" si="251"/>
        <v>2</v>
      </c>
      <c r="BA465" s="4">
        <f t="shared" si="252"/>
        <v>4</v>
      </c>
      <c r="BB465" s="4">
        <f t="shared" si="253"/>
        <v>4</v>
      </c>
      <c r="BC465" s="4">
        <f t="shared" si="254"/>
        <v>4</v>
      </c>
      <c r="BD465" s="4">
        <f t="shared" si="255"/>
        <v>2</v>
      </c>
      <c r="BE465" s="4" t="str">
        <f t="shared" si="256"/>
        <v>0</v>
      </c>
      <c r="BF465" s="4">
        <f t="shared" si="257"/>
        <v>2</v>
      </c>
      <c r="BG465" s="4">
        <f t="shared" si="258"/>
        <v>4</v>
      </c>
      <c r="BH465" s="4">
        <f t="shared" si="259"/>
        <v>4</v>
      </c>
      <c r="BI465" s="4">
        <f t="shared" si="260"/>
        <v>4</v>
      </c>
      <c r="BJ465" s="4">
        <f t="shared" si="261"/>
        <v>2</v>
      </c>
      <c r="BK465" s="4" t="str">
        <f t="shared" si="262"/>
        <v>0</v>
      </c>
      <c r="BL465" s="4" t="str">
        <f t="shared" si="263"/>
        <v>0</v>
      </c>
      <c r="BM465" s="4">
        <f t="shared" si="264"/>
        <v>4</v>
      </c>
      <c r="BN465" s="4">
        <f t="shared" si="265"/>
        <v>4</v>
      </c>
      <c r="BO465" s="4" t="str">
        <f t="shared" si="266"/>
        <v>0</v>
      </c>
      <c r="BP465" s="4">
        <f t="shared" si="267"/>
        <v>4</v>
      </c>
      <c r="BQ465" s="4">
        <f t="shared" si="268"/>
        <v>6</v>
      </c>
      <c r="BR465" s="4">
        <f t="shared" si="269"/>
        <v>4</v>
      </c>
      <c r="BS465" s="4">
        <f t="shared" si="270"/>
        <v>4</v>
      </c>
      <c r="BT465" s="4">
        <f t="shared" si="271"/>
        <v>4</v>
      </c>
      <c r="BU465" s="4">
        <f t="shared" si="272"/>
        <v>4</v>
      </c>
      <c r="BV465" s="4" t="str">
        <f t="shared" si="273"/>
        <v>0</v>
      </c>
      <c r="BW465" s="4">
        <f t="shared" si="274"/>
        <v>6</v>
      </c>
      <c r="BX465" s="4">
        <f t="shared" si="275"/>
        <v>0</v>
      </c>
      <c r="BY465" s="4">
        <f t="shared" si="276"/>
        <v>0</v>
      </c>
      <c r="BZ465" s="37">
        <f t="shared" si="277"/>
        <v>80</v>
      </c>
      <c r="CA465" s="32" t="str">
        <f>VLOOKUP(J:J,'Agent wise'!A:C,3,0)</f>
        <v>Adharsh</v>
      </c>
      <c r="CB465" s="32">
        <f t="shared" si="278"/>
        <v>45938</v>
      </c>
      <c r="CC465" t="str">
        <f t="shared" si="279"/>
        <v>FC</v>
      </c>
      <c r="CE465" s="32"/>
      <c r="CJ465">
        <f t="shared" si="280"/>
        <v>8</v>
      </c>
      <c r="CK465">
        <f t="shared" si="281"/>
        <v>10</v>
      </c>
      <c r="CL465">
        <f t="shared" si="282"/>
        <v>2025</v>
      </c>
    </row>
    <row r="466" spans="1:90" ht="15" customHeight="1" x14ac:dyDescent="0.35">
      <c r="A466" s="40">
        <v>45879.610868055563</v>
      </c>
      <c r="B466" t="s">
        <v>51</v>
      </c>
      <c r="C466" t="s">
        <v>214</v>
      </c>
      <c r="D466" t="s">
        <v>53</v>
      </c>
      <c r="E466" s="32">
        <v>45938</v>
      </c>
      <c r="F466" t="s">
        <v>90</v>
      </c>
      <c r="G466" s="2">
        <v>45848</v>
      </c>
      <c r="H466">
        <v>9444581987</v>
      </c>
      <c r="I466">
        <v>365</v>
      </c>
      <c r="J466" t="s">
        <v>472</v>
      </c>
      <c r="K466" t="s">
        <v>71</v>
      </c>
      <c r="L466" t="s">
        <v>72</v>
      </c>
      <c r="M466" t="s">
        <v>59</v>
      </c>
      <c r="N466" t="s">
        <v>59</v>
      </c>
      <c r="O466" t="s">
        <v>60</v>
      </c>
      <c r="P466" t="s">
        <v>59</v>
      </c>
      <c r="Q466" t="s">
        <v>59</v>
      </c>
      <c r="R466" t="s">
        <v>60</v>
      </c>
      <c r="S466" t="s">
        <v>59</v>
      </c>
      <c r="T466" t="s">
        <v>59</v>
      </c>
      <c r="U466" t="s">
        <v>60</v>
      </c>
      <c r="V466" t="s">
        <v>59</v>
      </c>
      <c r="W466" t="s">
        <v>59</v>
      </c>
      <c r="X466" t="s">
        <v>59</v>
      </c>
      <c r="Y466" t="s">
        <v>59</v>
      </c>
      <c r="Z466" t="s">
        <v>59</v>
      </c>
      <c r="AA466" t="s">
        <v>59</v>
      </c>
      <c r="AB466" t="s">
        <v>60</v>
      </c>
      <c r="AC466" t="s">
        <v>61</v>
      </c>
      <c r="AD466" t="s">
        <v>59</v>
      </c>
      <c r="AE466" t="s">
        <v>59</v>
      </c>
      <c r="AF466" t="s">
        <v>61</v>
      </c>
      <c r="AG466" t="s">
        <v>59</v>
      </c>
      <c r="AH466" t="s">
        <v>61</v>
      </c>
      <c r="AI466" t="s">
        <v>61</v>
      </c>
      <c r="AJ466" t="s">
        <v>59</v>
      </c>
      <c r="AK466" t="s">
        <v>61</v>
      </c>
      <c r="AL466" t="s">
        <v>60</v>
      </c>
      <c r="AM466" t="s">
        <v>59</v>
      </c>
      <c r="AN466" t="s">
        <v>59</v>
      </c>
      <c r="AO466" t="s">
        <v>59</v>
      </c>
      <c r="AP466" t="s">
        <v>1134</v>
      </c>
      <c r="AQ466" t="s">
        <v>1135</v>
      </c>
      <c r="AR466" t="s">
        <v>64</v>
      </c>
      <c r="AS466" t="s">
        <v>94</v>
      </c>
      <c r="AT466" t="s">
        <v>597</v>
      </c>
      <c r="AU466" t="s">
        <v>299</v>
      </c>
      <c r="AW466" s="4">
        <f t="shared" si="248"/>
        <v>6</v>
      </c>
      <c r="AX466" s="4">
        <f t="shared" si="249"/>
        <v>4</v>
      </c>
      <c r="AY466" s="4" t="str">
        <f t="shared" si="250"/>
        <v>0</v>
      </c>
      <c r="AZ466" s="4">
        <f t="shared" si="251"/>
        <v>2</v>
      </c>
      <c r="BA466" s="4">
        <f t="shared" si="252"/>
        <v>4</v>
      </c>
      <c r="BB466" s="4" t="str">
        <f t="shared" si="253"/>
        <v>0</v>
      </c>
      <c r="BC466" s="4">
        <f t="shared" si="254"/>
        <v>4</v>
      </c>
      <c r="BD466" s="4">
        <f t="shared" si="255"/>
        <v>2</v>
      </c>
      <c r="BE466" s="4" t="str">
        <f t="shared" si="256"/>
        <v>0</v>
      </c>
      <c r="BF466" s="4">
        <f t="shared" si="257"/>
        <v>2</v>
      </c>
      <c r="BG466" s="4">
        <f t="shared" si="258"/>
        <v>4</v>
      </c>
      <c r="BH466" s="4">
        <f t="shared" si="259"/>
        <v>4</v>
      </c>
      <c r="BI466" s="4">
        <f t="shared" si="260"/>
        <v>4</v>
      </c>
      <c r="BJ466" s="4">
        <f t="shared" si="261"/>
        <v>2</v>
      </c>
      <c r="BK466" s="4">
        <f t="shared" si="262"/>
        <v>4</v>
      </c>
      <c r="BL466" s="4" t="str">
        <f t="shared" si="263"/>
        <v>0</v>
      </c>
      <c r="BM466" s="4">
        <f t="shared" si="264"/>
        <v>4</v>
      </c>
      <c r="BN466" s="4">
        <f t="shared" si="265"/>
        <v>4</v>
      </c>
      <c r="BO466" s="4">
        <f t="shared" si="266"/>
        <v>4</v>
      </c>
      <c r="BP466" s="4">
        <f t="shared" si="267"/>
        <v>4</v>
      </c>
      <c r="BQ466" s="4">
        <f t="shared" si="268"/>
        <v>6</v>
      </c>
      <c r="BR466" s="4">
        <f t="shared" si="269"/>
        <v>4</v>
      </c>
      <c r="BS466" s="4">
        <f t="shared" si="270"/>
        <v>4</v>
      </c>
      <c r="BT466" s="4">
        <f t="shared" si="271"/>
        <v>4</v>
      </c>
      <c r="BU466" s="4">
        <f t="shared" si="272"/>
        <v>4</v>
      </c>
      <c r="BV466" s="4" t="str">
        <f t="shared" si="273"/>
        <v>0</v>
      </c>
      <c r="BW466" s="4">
        <f t="shared" si="274"/>
        <v>6</v>
      </c>
      <c r="BX466" s="4">
        <f t="shared" si="275"/>
        <v>0</v>
      </c>
      <c r="BY466" s="4">
        <f t="shared" si="276"/>
        <v>0</v>
      </c>
      <c r="BZ466" s="37">
        <f t="shared" si="277"/>
        <v>86</v>
      </c>
      <c r="CA466" s="32" t="str">
        <f>VLOOKUP(J:J,'Agent wise'!A:C,3,0)</f>
        <v>Saran S</v>
      </c>
      <c r="CB466" s="32">
        <f t="shared" si="278"/>
        <v>45938</v>
      </c>
      <c r="CC466" t="str">
        <f t="shared" si="279"/>
        <v>Average</v>
      </c>
      <c r="CE466" s="32"/>
      <c r="CJ466">
        <f t="shared" si="280"/>
        <v>8</v>
      </c>
      <c r="CK466">
        <f t="shared" si="281"/>
        <v>10</v>
      </c>
      <c r="CL466">
        <f t="shared" si="282"/>
        <v>2025</v>
      </c>
    </row>
    <row r="467" spans="1:90" ht="15" customHeight="1" x14ac:dyDescent="0.35">
      <c r="A467" s="40">
        <v>45879.713171296287</v>
      </c>
      <c r="B467" t="s">
        <v>250</v>
      </c>
      <c r="C467" t="s">
        <v>214</v>
      </c>
      <c r="D467" t="s">
        <v>251</v>
      </c>
      <c r="E467" s="32">
        <v>45938</v>
      </c>
      <c r="F467" t="s">
        <v>222</v>
      </c>
      <c r="G467" s="2">
        <v>45848</v>
      </c>
      <c r="H467">
        <v>9489954433</v>
      </c>
      <c r="I467">
        <v>165</v>
      </c>
      <c r="J467" t="s">
        <v>1009</v>
      </c>
      <c r="K467" t="s">
        <v>71</v>
      </c>
      <c r="L467" t="s">
        <v>72</v>
      </c>
      <c r="M467" t="s">
        <v>59</v>
      </c>
      <c r="N467" t="s">
        <v>59</v>
      </c>
      <c r="O467" t="s">
        <v>59</v>
      </c>
      <c r="P467" t="s">
        <v>59</v>
      </c>
      <c r="Q467" t="s">
        <v>59</v>
      </c>
      <c r="R467" t="s">
        <v>59</v>
      </c>
      <c r="S467" t="s">
        <v>59</v>
      </c>
      <c r="T467" t="s">
        <v>59</v>
      </c>
      <c r="U467" t="s">
        <v>60</v>
      </c>
      <c r="V467" t="s">
        <v>59</v>
      </c>
      <c r="W467" t="s">
        <v>59</v>
      </c>
      <c r="X467" t="s">
        <v>59</v>
      </c>
      <c r="Y467" t="s">
        <v>59</v>
      </c>
      <c r="Z467" t="s">
        <v>59</v>
      </c>
      <c r="AA467" t="s">
        <v>60</v>
      </c>
      <c r="AB467" t="s">
        <v>59</v>
      </c>
      <c r="AC467" t="s">
        <v>60</v>
      </c>
      <c r="AD467" t="s">
        <v>59</v>
      </c>
      <c r="AE467" t="s">
        <v>59</v>
      </c>
      <c r="AF467" t="s">
        <v>59</v>
      </c>
      <c r="AG467" t="s">
        <v>59</v>
      </c>
      <c r="AH467" t="s">
        <v>59</v>
      </c>
      <c r="AI467" t="s">
        <v>61</v>
      </c>
      <c r="AJ467" t="s">
        <v>59</v>
      </c>
      <c r="AK467" t="s">
        <v>59</v>
      </c>
      <c r="AL467" t="s">
        <v>60</v>
      </c>
      <c r="AM467" t="s">
        <v>59</v>
      </c>
      <c r="AN467" t="s">
        <v>59</v>
      </c>
      <c r="AO467" t="s">
        <v>59</v>
      </c>
      <c r="AP467" t="s">
        <v>1136</v>
      </c>
      <c r="AQ467" t="s">
        <v>1137</v>
      </c>
      <c r="AR467" t="s">
        <v>64</v>
      </c>
      <c r="AS467" t="s">
        <v>1138</v>
      </c>
      <c r="AT467" t="s">
        <v>1138</v>
      </c>
      <c r="AU467" t="s">
        <v>219</v>
      </c>
      <c r="AW467" s="4">
        <f t="shared" si="248"/>
        <v>6</v>
      </c>
      <c r="AX467" s="4">
        <f t="shared" si="249"/>
        <v>4</v>
      </c>
      <c r="AY467" s="4">
        <f t="shared" si="250"/>
        <v>4</v>
      </c>
      <c r="AZ467" s="4">
        <f t="shared" si="251"/>
        <v>2</v>
      </c>
      <c r="BA467" s="4">
        <f t="shared" si="252"/>
        <v>4</v>
      </c>
      <c r="BB467" s="4">
        <f t="shared" si="253"/>
        <v>4</v>
      </c>
      <c r="BC467" s="4">
        <f t="shared" si="254"/>
        <v>4</v>
      </c>
      <c r="BD467" s="4">
        <f t="shared" si="255"/>
        <v>2</v>
      </c>
      <c r="BE467" s="4" t="str">
        <f t="shared" si="256"/>
        <v>0</v>
      </c>
      <c r="BF467" s="4">
        <f t="shared" si="257"/>
        <v>2</v>
      </c>
      <c r="BG467" s="4">
        <f t="shared" si="258"/>
        <v>4</v>
      </c>
      <c r="BH467" s="4">
        <f t="shared" si="259"/>
        <v>4</v>
      </c>
      <c r="BI467" s="4">
        <f t="shared" si="260"/>
        <v>4</v>
      </c>
      <c r="BJ467" s="4">
        <f t="shared" si="261"/>
        <v>2</v>
      </c>
      <c r="BK467" s="4" t="str">
        <f t="shared" si="262"/>
        <v>0</v>
      </c>
      <c r="BL467" s="4">
        <f t="shared" si="263"/>
        <v>2</v>
      </c>
      <c r="BM467" s="4" t="str">
        <f t="shared" si="264"/>
        <v>0</v>
      </c>
      <c r="BN467" s="4">
        <f t="shared" si="265"/>
        <v>4</v>
      </c>
      <c r="BO467" s="4">
        <f t="shared" si="266"/>
        <v>4</v>
      </c>
      <c r="BP467" s="4">
        <f t="shared" si="267"/>
        <v>4</v>
      </c>
      <c r="BQ467" s="4">
        <f t="shared" si="268"/>
        <v>6</v>
      </c>
      <c r="BR467" s="4">
        <f t="shared" si="269"/>
        <v>4</v>
      </c>
      <c r="BS467" s="4">
        <f t="shared" si="270"/>
        <v>4</v>
      </c>
      <c r="BT467" s="4">
        <f t="shared" si="271"/>
        <v>4</v>
      </c>
      <c r="BU467" s="4">
        <f t="shared" si="272"/>
        <v>4</v>
      </c>
      <c r="BV467" s="4" t="str">
        <f t="shared" si="273"/>
        <v>0</v>
      </c>
      <c r="BW467" s="4">
        <f t="shared" si="274"/>
        <v>6</v>
      </c>
      <c r="BX467" s="4">
        <f t="shared" si="275"/>
        <v>0</v>
      </c>
      <c r="BY467" s="4">
        <f t="shared" si="276"/>
        <v>0</v>
      </c>
      <c r="BZ467" s="37">
        <f t="shared" si="277"/>
        <v>88</v>
      </c>
      <c r="CA467" s="32" t="str">
        <f>VLOOKUP(J:J,'Agent wise'!A:C,3,0)</f>
        <v>Anusha</v>
      </c>
      <c r="CB467" s="32">
        <f t="shared" si="278"/>
        <v>45938</v>
      </c>
      <c r="CC467" t="str">
        <f t="shared" si="279"/>
        <v>Average</v>
      </c>
      <c r="CE467" s="32"/>
      <c r="CJ467">
        <f t="shared" si="280"/>
        <v>8</v>
      </c>
      <c r="CK467">
        <f t="shared" si="281"/>
        <v>10</v>
      </c>
      <c r="CL467">
        <f t="shared" si="282"/>
        <v>2025</v>
      </c>
    </row>
    <row r="468" spans="1:90" ht="15" customHeight="1" x14ac:dyDescent="0.35">
      <c r="A468" s="40">
        <v>45879.724074074067</v>
      </c>
      <c r="B468" t="s">
        <v>100</v>
      </c>
      <c r="C468" t="s">
        <v>214</v>
      </c>
      <c r="D468" t="s">
        <v>101</v>
      </c>
      <c r="E468" s="32">
        <v>45938</v>
      </c>
      <c r="F468" t="s">
        <v>54</v>
      </c>
      <c r="G468" s="2">
        <v>45848</v>
      </c>
      <c r="H468">
        <v>8113985124</v>
      </c>
      <c r="I468">
        <v>133</v>
      </c>
      <c r="J468" t="s">
        <v>589</v>
      </c>
      <c r="K468" t="s">
        <v>57</v>
      </c>
      <c r="L468" t="s">
        <v>58</v>
      </c>
      <c r="M468" t="s">
        <v>59</v>
      </c>
      <c r="N468" t="s">
        <v>59</v>
      </c>
      <c r="O468" t="s">
        <v>59</v>
      </c>
      <c r="P468" t="s">
        <v>60</v>
      </c>
      <c r="Q468" t="s">
        <v>60</v>
      </c>
      <c r="R468" t="s">
        <v>60</v>
      </c>
      <c r="S468" t="s">
        <v>60</v>
      </c>
      <c r="T468" t="s">
        <v>59</v>
      </c>
      <c r="U468" t="s">
        <v>60</v>
      </c>
      <c r="V468" t="s">
        <v>60</v>
      </c>
      <c r="W468" t="s">
        <v>60</v>
      </c>
      <c r="X468" t="s">
        <v>61</v>
      </c>
      <c r="Y468" t="s">
        <v>59</v>
      </c>
      <c r="Z468" t="s">
        <v>59</v>
      </c>
      <c r="AA468" t="s">
        <v>59</v>
      </c>
      <c r="AB468" t="s">
        <v>61</v>
      </c>
      <c r="AC468" t="s">
        <v>61</v>
      </c>
      <c r="AD468" t="s">
        <v>61</v>
      </c>
      <c r="AE468" t="s">
        <v>60</v>
      </c>
      <c r="AF468" t="s">
        <v>60</v>
      </c>
      <c r="AG468" t="s">
        <v>60</v>
      </c>
      <c r="AH468" t="s">
        <v>61</v>
      </c>
      <c r="AI468" t="s">
        <v>61</v>
      </c>
      <c r="AJ468" t="s">
        <v>59</v>
      </c>
      <c r="AK468" t="s">
        <v>59</v>
      </c>
      <c r="AL468" t="s">
        <v>60</v>
      </c>
      <c r="AM468" t="s">
        <v>59</v>
      </c>
      <c r="AN468" t="s">
        <v>59</v>
      </c>
      <c r="AO468" t="s">
        <v>59</v>
      </c>
      <c r="AP468" s="1" t="s">
        <v>1139</v>
      </c>
      <c r="AQ468" t="s">
        <v>1140</v>
      </c>
      <c r="AR468" t="s">
        <v>64</v>
      </c>
      <c r="AS468" t="s">
        <v>171</v>
      </c>
      <c r="AT468" t="s">
        <v>190</v>
      </c>
      <c r="AU468" t="s">
        <v>387</v>
      </c>
      <c r="AW468" s="4">
        <f t="shared" si="248"/>
        <v>6</v>
      </c>
      <c r="AX468" s="4">
        <f t="shared" si="249"/>
        <v>4</v>
      </c>
      <c r="AY468" s="4">
        <f t="shared" si="250"/>
        <v>4</v>
      </c>
      <c r="AZ468" s="4" t="str">
        <f t="shared" si="251"/>
        <v>0</v>
      </c>
      <c r="BA468" s="4" t="str">
        <f t="shared" si="252"/>
        <v>0</v>
      </c>
      <c r="BB468" s="4" t="str">
        <f t="shared" si="253"/>
        <v>0</v>
      </c>
      <c r="BC468" s="4" t="str">
        <f t="shared" si="254"/>
        <v>0</v>
      </c>
      <c r="BD468" s="4">
        <f t="shared" si="255"/>
        <v>2</v>
      </c>
      <c r="BE468" s="4" t="str">
        <f t="shared" si="256"/>
        <v>0</v>
      </c>
      <c r="BF468" s="4" t="str">
        <f t="shared" si="257"/>
        <v>0</v>
      </c>
      <c r="BG468" s="4" t="str">
        <f t="shared" si="258"/>
        <v>0</v>
      </c>
      <c r="BH468" s="4">
        <f t="shared" si="259"/>
        <v>4</v>
      </c>
      <c r="BI468" s="4">
        <f t="shared" si="260"/>
        <v>4</v>
      </c>
      <c r="BJ468" s="4">
        <f t="shared" si="261"/>
        <v>2</v>
      </c>
      <c r="BK468" s="4">
        <f t="shared" si="262"/>
        <v>4</v>
      </c>
      <c r="BL468" s="4">
        <f t="shared" si="263"/>
        <v>2</v>
      </c>
      <c r="BM468" s="4">
        <f t="shared" si="264"/>
        <v>4</v>
      </c>
      <c r="BN468" s="4">
        <f t="shared" si="265"/>
        <v>4</v>
      </c>
      <c r="BO468" s="4" t="str">
        <f t="shared" si="266"/>
        <v>0</v>
      </c>
      <c r="BP468" s="4" t="str">
        <f t="shared" si="267"/>
        <v>0</v>
      </c>
      <c r="BQ468" s="4" t="str">
        <f t="shared" si="268"/>
        <v>0</v>
      </c>
      <c r="BR468" s="4">
        <f t="shared" si="269"/>
        <v>4</v>
      </c>
      <c r="BS468" s="4">
        <f t="shared" si="270"/>
        <v>4</v>
      </c>
      <c r="BT468" s="4">
        <f t="shared" si="271"/>
        <v>4</v>
      </c>
      <c r="BU468" s="4">
        <f t="shared" si="272"/>
        <v>4</v>
      </c>
      <c r="BV468" s="4" t="str">
        <f t="shared" si="273"/>
        <v>0</v>
      </c>
      <c r="BW468" s="4">
        <f t="shared" si="274"/>
        <v>6</v>
      </c>
      <c r="BX468" s="4">
        <f t="shared" si="275"/>
        <v>0</v>
      </c>
      <c r="BY468" s="4">
        <f t="shared" si="276"/>
        <v>0</v>
      </c>
      <c r="BZ468" s="37">
        <f t="shared" si="277"/>
        <v>62</v>
      </c>
      <c r="CA468" s="32" t="str">
        <f>VLOOKUP(J:J,'Agent wise'!A:C,3,0)</f>
        <v>Shakeer</v>
      </c>
      <c r="CB468" s="32">
        <f t="shared" si="278"/>
        <v>45938</v>
      </c>
      <c r="CC468" t="str">
        <f t="shared" si="279"/>
        <v>FC</v>
      </c>
      <c r="CE468" s="32"/>
      <c r="CJ468">
        <f t="shared" si="280"/>
        <v>8</v>
      </c>
      <c r="CK468">
        <f t="shared" si="281"/>
        <v>10</v>
      </c>
      <c r="CL468">
        <f t="shared" si="282"/>
        <v>2025</v>
      </c>
    </row>
    <row r="469" spans="1:90" ht="15" customHeight="1" x14ac:dyDescent="0.35">
      <c r="A469" s="40">
        <v>45879.725451388891</v>
      </c>
      <c r="B469" t="s">
        <v>250</v>
      </c>
      <c r="C469" t="s">
        <v>214</v>
      </c>
      <c r="D469" t="s">
        <v>251</v>
      </c>
      <c r="E469" s="32">
        <v>45938</v>
      </c>
      <c r="F469" t="s">
        <v>54</v>
      </c>
      <c r="G469" s="2">
        <v>45879</v>
      </c>
      <c r="H469">
        <v>9895146357</v>
      </c>
      <c r="I469">
        <v>175</v>
      </c>
      <c r="J469" t="s">
        <v>1009</v>
      </c>
      <c r="K469" t="s">
        <v>57</v>
      </c>
      <c r="L469" t="s">
        <v>58</v>
      </c>
      <c r="M469" t="s">
        <v>59</v>
      </c>
      <c r="N469" t="s">
        <v>59</v>
      </c>
      <c r="O469" t="s">
        <v>59</v>
      </c>
      <c r="P469" t="s">
        <v>59</v>
      </c>
      <c r="Q469" t="s">
        <v>59</v>
      </c>
      <c r="R469" t="s">
        <v>59</v>
      </c>
      <c r="S469" t="s">
        <v>59</v>
      </c>
      <c r="T469" t="s">
        <v>59</v>
      </c>
      <c r="U469" t="s">
        <v>60</v>
      </c>
      <c r="V469" t="s">
        <v>59</v>
      </c>
      <c r="W469" t="s">
        <v>59</v>
      </c>
      <c r="X469" t="s">
        <v>59</v>
      </c>
      <c r="Y469" t="s">
        <v>59</v>
      </c>
      <c r="Z469" t="s">
        <v>59</v>
      </c>
      <c r="AA469" t="s">
        <v>60</v>
      </c>
      <c r="AB469" t="s">
        <v>59</v>
      </c>
      <c r="AC469" t="s">
        <v>60</v>
      </c>
      <c r="AD469" t="s">
        <v>59</v>
      </c>
      <c r="AE469" t="s">
        <v>59</v>
      </c>
      <c r="AF469" t="s">
        <v>59</v>
      </c>
      <c r="AG469" t="s">
        <v>59</v>
      </c>
      <c r="AH469" t="s">
        <v>61</v>
      </c>
      <c r="AI469" t="s">
        <v>61</v>
      </c>
      <c r="AJ469" t="s">
        <v>59</v>
      </c>
      <c r="AK469" t="s">
        <v>59</v>
      </c>
      <c r="AL469" t="s">
        <v>59</v>
      </c>
      <c r="AM469" t="s">
        <v>59</v>
      </c>
      <c r="AN469" t="s">
        <v>59</v>
      </c>
      <c r="AO469" t="s">
        <v>59</v>
      </c>
      <c r="AP469" t="s">
        <v>1141</v>
      </c>
      <c r="AQ469" t="s">
        <v>1142</v>
      </c>
      <c r="AR469" t="s">
        <v>226</v>
      </c>
      <c r="AS469" t="s">
        <v>695</v>
      </c>
      <c r="AT469" t="s">
        <v>331</v>
      </c>
      <c r="AU469" t="s">
        <v>387</v>
      </c>
      <c r="AW469" s="4">
        <f t="shared" si="248"/>
        <v>6</v>
      </c>
      <c r="AX469" s="4">
        <f t="shared" si="249"/>
        <v>4</v>
      </c>
      <c r="AY469" s="4">
        <f t="shared" si="250"/>
        <v>4</v>
      </c>
      <c r="AZ469" s="4">
        <f t="shared" si="251"/>
        <v>2</v>
      </c>
      <c r="BA469" s="4">
        <f t="shared" si="252"/>
        <v>4</v>
      </c>
      <c r="BB469" s="4">
        <f t="shared" si="253"/>
        <v>4</v>
      </c>
      <c r="BC469" s="4">
        <f t="shared" si="254"/>
        <v>4</v>
      </c>
      <c r="BD469" s="4">
        <f t="shared" si="255"/>
        <v>2</v>
      </c>
      <c r="BE469" s="4" t="str">
        <f t="shared" si="256"/>
        <v>0</v>
      </c>
      <c r="BF469" s="4">
        <f t="shared" si="257"/>
        <v>2</v>
      </c>
      <c r="BG469" s="4">
        <f t="shared" si="258"/>
        <v>4</v>
      </c>
      <c r="BH469" s="4">
        <f t="shared" si="259"/>
        <v>4</v>
      </c>
      <c r="BI469" s="4">
        <f t="shared" si="260"/>
        <v>4</v>
      </c>
      <c r="BJ469" s="4">
        <f t="shared" si="261"/>
        <v>2</v>
      </c>
      <c r="BK469" s="4" t="str">
        <f t="shared" si="262"/>
        <v>0</v>
      </c>
      <c r="BL469" s="4">
        <f t="shared" si="263"/>
        <v>2</v>
      </c>
      <c r="BM469" s="4" t="str">
        <f t="shared" si="264"/>
        <v>0</v>
      </c>
      <c r="BN469" s="4">
        <f t="shared" si="265"/>
        <v>4</v>
      </c>
      <c r="BO469" s="4">
        <f t="shared" si="266"/>
        <v>4</v>
      </c>
      <c r="BP469" s="4">
        <f t="shared" si="267"/>
        <v>4</v>
      </c>
      <c r="BQ469" s="4">
        <f t="shared" si="268"/>
        <v>6</v>
      </c>
      <c r="BR469" s="4">
        <f t="shared" si="269"/>
        <v>4</v>
      </c>
      <c r="BS469" s="4">
        <f t="shared" si="270"/>
        <v>4</v>
      </c>
      <c r="BT469" s="4">
        <f t="shared" si="271"/>
        <v>4</v>
      </c>
      <c r="BU469" s="4">
        <f t="shared" si="272"/>
        <v>4</v>
      </c>
      <c r="BV469" s="4">
        <f t="shared" si="273"/>
        <v>0</v>
      </c>
      <c r="BW469" s="4">
        <f t="shared" si="274"/>
        <v>6</v>
      </c>
      <c r="BX469" s="4">
        <f t="shared" si="275"/>
        <v>0</v>
      </c>
      <c r="BY469" s="4">
        <f t="shared" si="276"/>
        <v>0</v>
      </c>
      <c r="BZ469" s="37">
        <f t="shared" si="277"/>
        <v>88</v>
      </c>
      <c r="CA469" s="32" t="str">
        <f>VLOOKUP(J:J,'Agent wise'!A:C,3,0)</f>
        <v>Anusha</v>
      </c>
      <c r="CB469" s="32">
        <f t="shared" si="278"/>
        <v>45938</v>
      </c>
      <c r="CC469" t="str">
        <f t="shared" si="279"/>
        <v>Average</v>
      </c>
      <c r="CE469" s="32"/>
      <c r="CJ469">
        <f t="shared" si="280"/>
        <v>8</v>
      </c>
      <c r="CK469">
        <f t="shared" si="281"/>
        <v>10</v>
      </c>
      <c r="CL469">
        <f t="shared" si="282"/>
        <v>2025</v>
      </c>
    </row>
    <row r="470" spans="1:90" ht="15" customHeight="1" x14ac:dyDescent="0.35">
      <c r="A470" s="40">
        <v>45879.729756944442</v>
      </c>
      <c r="B470" t="s">
        <v>250</v>
      </c>
      <c r="C470" t="s">
        <v>214</v>
      </c>
      <c r="D470" t="s">
        <v>251</v>
      </c>
      <c r="E470" s="32">
        <v>45938</v>
      </c>
      <c r="F470" t="s">
        <v>222</v>
      </c>
      <c r="G470" s="2">
        <v>45848</v>
      </c>
      <c r="H470">
        <v>9745002430</v>
      </c>
      <c r="I470">
        <v>170</v>
      </c>
      <c r="J470" t="s">
        <v>1009</v>
      </c>
      <c r="K470" t="s">
        <v>57</v>
      </c>
      <c r="L470" t="s">
        <v>58</v>
      </c>
      <c r="M470" t="s">
        <v>59</v>
      </c>
      <c r="N470" t="s">
        <v>59</v>
      </c>
      <c r="O470" t="s">
        <v>59</v>
      </c>
      <c r="P470" t="s">
        <v>59</v>
      </c>
      <c r="Q470" t="s">
        <v>59</v>
      </c>
      <c r="R470" t="s">
        <v>59</v>
      </c>
      <c r="S470" t="s">
        <v>59</v>
      </c>
      <c r="T470" t="s">
        <v>59</v>
      </c>
      <c r="U470" t="s">
        <v>60</v>
      </c>
      <c r="V470" t="s">
        <v>59</v>
      </c>
      <c r="W470" t="s">
        <v>59</v>
      </c>
      <c r="X470" t="s">
        <v>59</v>
      </c>
      <c r="Y470" t="s">
        <v>59</v>
      </c>
      <c r="Z470" t="s">
        <v>59</v>
      </c>
      <c r="AA470" t="s">
        <v>60</v>
      </c>
      <c r="AB470" t="s">
        <v>59</v>
      </c>
      <c r="AC470" t="s">
        <v>59</v>
      </c>
      <c r="AD470" t="s">
        <v>59</v>
      </c>
      <c r="AE470" t="s">
        <v>59</v>
      </c>
      <c r="AF470" t="s">
        <v>59</v>
      </c>
      <c r="AG470" t="s">
        <v>59</v>
      </c>
      <c r="AH470" t="s">
        <v>61</v>
      </c>
      <c r="AI470" t="s">
        <v>61</v>
      </c>
      <c r="AJ470" t="s">
        <v>59</v>
      </c>
      <c r="AK470" t="s">
        <v>59</v>
      </c>
      <c r="AL470" t="s">
        <v>60</v>
      </c>
      <c r="AM470" t="s">
        <v>59</v>
      </c>
      <c r="AN470" t="s">
        <v>59</v>
      </c>
      <c r="AO470" t="s">
        <v>59</v>
      </c>
      <c r="AP470" t="s">
        <v>1143</v>
      </c>
      <c r="AQ470" t="s">
        <v>1144</v>
      </c>
      <c r="AR470" t="s">
        <v>64</v>
      </c>
      <c r="AS470" t="s">
        <v>1145</v>
      </c>
      <c r="AT470" t="s">
        <v>404</v>
      </c>
      <c r="AU470" t="s">
        <v>219</v>
      </c>
      <c r="AW470" s="4">
        <f t="shared" si="248"/>
        <v>6</v>
      </c>
      <c r="AX470" s="4">
        <f t="shared" si="249"/>
        <v>4</v>
      </c>
      <c r="AY470" s="4">
        <f t="shared" si="250"/>
        <v>4</v>
      </c>
      <c r="AZ470" s="4">
        <f t="shared" si="251"/>
        <v>2</v>
      </c>
      <c r="BA470" s="4">
        <f t="shared" si="252"/>
        <v>4</v>
      </c>
      <c r="BB470" s="4">
        <f t="shared" si="253"/>
        <v>4</v>
      </c>
      <c r="BC470" s="4">
        <f t="shared" si="254"/>
        <v>4</v>
      </c>
      <c r="BD470" s="4">
        <f t="shared" si="255"/>
        <v>2</v>
      </c>
      <c r="BE470" s="4" t="str">
        <f t="shared" si="256"/>
        <v>0</v>
      </c>
      <c r="BF470" s="4">
        <f t="shared" si="257"/>
        <v>2</v>
      </c>
      <c r="BG470" s="4">
        <f t="shared" si="258"/>
        <v>4</v>
      </c>
      <c r="BH470" s="4">
        <f t="shared" si="259"/>
        <v>4</v>
      </c>
      <c r="BI470" s="4">
        <f t="shared" si="260"/>
        <v>4</v>
      </c>
      <c r="BJ470" s="4">
        <f t="shared" si="261"/>
        <v>2</v>
      </c>
      <c r="BK470" s="4" t="str">
        <f t="shared" si="262"/>
        <v>0</v>
      </c>
      <c r="BL470" s="4">
        <f t="shared" si="263"/>
        <v>2</v>
      </c>
      <c r="BM470" s="4">
        <f t="shared" si="264"/>
        <v>4</v>
      </c>
      <c r="BN470" s="4">
        <f t="shared" si="265"/>
        <v>4</v>
      </c>
      <c r="BO470" s="4">
        <f t="shared" si="266"/>
        <v>4</v>
      </c>
      <c r="BP470" s="4">
        <f t="shared" si="267"/>
        <v>4</v>
      </c>
      <c r="BQ470" s="4">
        <f t="shared" si="268"/>
        <v>6</v>
      </c>
      <c r="BR470" s="4">
        <f t="shared" si="269"/>
        <v>4</v>
      </c>
      <c r="BS470" s="4">
        <f t="shared" si="270"/>
        <v>4</v>
      </c>
      <c r="BT470" s="4">
        <f t="shared" si="271"/>
        <v>4</v>
      </c>
      <c r="BU470" s="4">
        <f t="shared" si="272"/>
        <v>4</v>
      </c>
      <c r="BV470" s="4" t="str">
        <f t="shared" si="273"/>
        <v>0</v>
      </c>
      <c r="BW470" s="4">
        <f t="shared" si="274"/>
        <v>6</v>
      </c>
      <c r="BX470" s="4">
        <f t="shared" si="275"/>
        <v>0</v>
      </c>
      <c r="BY470" s="4">
        <f t="shared" si="276"/>
        <v>0</v>
      </c>
      <c r="BZ470" s="37">
        <f t="shared" si="277"/>
        <v>92</v>
      </c>
      <c r="CA470" s="32" t="str">
        <f>VLOOKUP(J:J,'Agent wise'!A:C,3,0)</f>
        <v>Anusha</v>
      </c>
      <c r="CB470" s="32">
        <f t="shared" si="278"/>
        <v>45938</v>
      </c>
      <c r="CC470" t="str">
        <f t="shared" si="279"/>
        <v>Good</v>
      </c>
      <c r="CE470" s="32"/>
      <c r="CJ470">
        <f t="shared" si="280"/>
        <v>8</v>
      </c>
      <c r="CK470">
        <f t="shared" si="281"/>
        <v>10</v>
      </c>
      <c r="CL470">
        <f t="shared" si="282"/>
        <v>2025</v>
      </c>
    </row>
    <row r="471" spans="1:90" ht="15" customHeight="1" x14ac:dyDescent="0.35">
      <c r="A471" s="40">
        <v>45879.745798611111</v>
      </c>
      <c r="B471" t="s">
        <v>100</v>
      </c>
      <c r="C471" t="s">
        <v>214</v>
      </c>
      <c r="D471" t="s">
        <v>101</v>
      </c>
      <c r="E471" s="32">
        <v>45938</v>
      </c>
      <c r="F471" t="s">
        <v>54</v>
      </c>
      <c r="G471" s="2">
        <v>45848</v>
      </c>
      <c r="H471">
        <v>9894466651</v>
      </c>
      <c r="I471">
        <v>141</v>
      </c>
      <c r="J471" t="s">
        <v>665</v>
      </c>
      <c r="K471" t="s">
        <v>71</v>
      </c>
      <c r="L471" t="s">
        <v>72</v>
      </c>
      <c r="M471" t="s">
        <v>59</v>
      </c>
      <c r="N471" t="s">
        <v>59</v>
      </c>
      <c r="O471" t="s">
        <v>59</v>
      </c>
      <c r="P471" t="s">
        <v>59</v>
      </c>
      <c r="Q471" t="s">
        <v>59</v>
      </c>
      <c r="R471" t="s">
        <v>60</v>
      </c>
      <c r="S471" t="s">
        <v>60</v>
      </c>
      <c r="T471" t="s">
        <v>59</v>
      </c>
      <c r="U471" t="s">
        <v>60</v>
      </c>
      <c r="V471" t="s">
        <v>59</v>
      </c>
      <c r="W471" t="s">
        <v>59</v>
      </c>
      <c r="X471" t="s">
        <v>61</v>
      </c>
      <c r="Y471" t="s">
        <v>59</v>
      </c>
      <c r="Z471" t="s">
        <v>59</v>
      </c>
      <c r="AA471" t="s">
        <v>60</v>
      </c>
      <c r="AB471" t="s">
        <v>60</v>
      </c>
      <c r="AC471" t="s">
        <v>61</v>
      </c>
      <c r="AD471" t="s">
        <v>59</v>
      </c>
      <c r="AE471" t="s">
        <v>60</v>
      </c>
      <c r="AF471" t="s">
        <v>59</v>
      </c>
      <c r="AG471" t="s">
        <v>60</v>
      </c>
      <c r="AH471" t="s">
        <v>59</v>
      </c>
      <c r="AI471" t="s">
        <v>61</v>
      </c>
      <c r="AJ471" t="s">
        <v>59</v>
      </c>
      <c r="AK471" t="s">
        <v>59</v>
      </c>
      <c r="AL471" t="s">
        <v>59</v>
      </c>
      <c r="AM471" t="s">
        <v>59</v>
      </c>
      <c r="AN471" t="s">
        <v>59</v>
      </c>
      <c r="AO471" t="s">
        <v>59</v>
      </c>
      <c r="AP471" t="s">
        <v>1146</v>
      </c>
      <c r="AQ471" t="s">
        <v>1147</v>
      </c>
      <c r="AR471" t="s">
        <v>64</v>
      </c>
      <c r="AS471" t="s">
        <v>142</v>
      </c>
      <c r="AT471" t="s">
        <v>471</v>
      </c>
      <c r="AU471" t="s">
        <v>387</v>
      </c>
      <c r="AW471" s="4">
        <f t="shared" si="248"/>
        <v>6</v>
      </c>
      <c r="AX471" s="4">
        <f t="shared" si="249"/>
        <v>4</v>
      </c>
      <c r="AY471" s="4">
        <f t="shared" si="250"/>
        <v>4</v>
      </c>
      <c r="AZ471" s="4">
        <f t="shared" si="251"/>
        <v>2</v>
      </c>
      <c r="BA471" s="4">
        <f t="shared" si="252"/>
        <v>4</v>
      </c>
      <c r="BB471" s="4" t="str">
        <f t="shared" si="253"/>
        <v>0</v>
      </c>
      <c r="BC471" s="4" t="str">
        <f t="shared" si="254"/>
        <v>0</v>
      </c>
      <c r="BD471" s="4">
        <f t="shared" si="255"/>
        <v>2</v>
      </c>
      <c r="BE471" s="4" t="str">
        <f t="shared" si="256"/>
        <v>0</v>
      </c>
      <c r="BF471" s="4">
        <f t="shared" si="257"/>
        <v>2</v>
      </c>
      <c r="BG471" s="4">
        <f t="shared" si="258"/>
        <v>4</v>
      </c>
      <c r="BH471" s="4">
        <f t="shared" si="259"/>
        <v>4</v>
      </c>
      <c r="BI471" s="4">
        <f t="shared" si="260"/>
        <v>4</v>
      </c>
      <c r="BJ471" s="4">
        <f t="shared" si="261"/>
        <v>2</v>
      </c>
      <c r="BK471" s="4" t="str">
        <f t="shared" si="262"/>
        <v>0</v>
      </c>
      <c r="BL471" s="4" t="str">
        <f t="shared" si="263"/>
        <v>0</v>
      </c>
      <c r="BM471" s="4">
        <f t="shared" si="264"/>
        <v>4</v>
      </c>
      <c r="BN471" s="4">
        <f t="shared" si="265"/>
        <v>4</v>
      </c>
      <c r="BO471" s="4" t="str">
        <f t="shared" si="266"/>
        <v>0</v>
      </c>
      <c r="BP471" s="4">
        <f t="shared" si="267"/>
        <v>4</v>
      </c>
      <c r="BQ471" s="4" t="str">
        <f t="shared" si="268"/>
        <v>0</v>
      </c>
      <c r="BR471" s="4">
        <f t="shared" si="269"/>
        <v>4</v>
      </c>
      <c r="BS471" s="4">
        <f t="shared" si="270"/>
        <v>4</v>
      </c>
      <c r="BT471" s="4">
        <f t="shared" si="271"/>
        <v>4</v>
      </c>
      <c r="BU471" s="4">
        <f t="shared" si="272"/>
        <v>4</v>
      </c>
      <c r="BV471" s="4">
        <f t="shared" si="273"/>
        <v>0</v>
      </c>
      <c r="BW471" s="4">
        <f t="shared" si="274"/>
        <v>6</v>
      </c>
      <c r="BX471" s="4">
        <f t="shared" si="275"/>
        <v>0</v>
      </c>
      <c r="BY471" s="4">
        <f t="shared" si="276"/>
        <v>0</v>
      </c>
      <c r="BZ471" s="37">
        <f t="shared" si="277"/>
        <v>72</v>
      </c>
      <c r="CA471" s="32" t="str">
        <f>VLOOKUP(J:J,'Agent wise'!A:C,3,0)</f>
        <v>Adharsh</v>
      </c>
      <c r="CB471" s="32">
        <f t="shared" si="278"/>
        <v>45938</v>
      </c>
      <c r="CC471" t="str">
        <f t="shared" si="279"/>
        <v>FC</v>
      </c>
      <c r="CE471" s="32"/>
      <c r="CJ471">
        <f t="shared" si="280"/>
        <v>8</v>
      </c>
      <c r="CK471">
        <f t="shared" si="281"/>
        <v>10</v>
      </c>
      <c r="CL471">
        <f t="shared" si="282"/>
        <v>2025</v>
      </c>
    </row>
    <row r="472" spans="1:90" ht="15" customHeight="1" x14ac:dyDescent="0.35">
      <c r="A472" s="40">
        <v>45879.748240740737</v>
      </c>
      <c r="B472" t="s">
        <v>250</v>
      </c>
      <c r="C472" t="s">
        <v>214</v>
      </c>
      <c r="D472" t="s">
        <v>251</v>
      </c>
      <c r="E472" s="32">
        <v>45938</v>
      </c>
      <c r="F472" t="s">
        <v>222</v>
      </c>
      <c r="G472" s="2">
        <v>45848</v>
      </c>
      <c r="H472">
        <v>9447259188</v>
      </c>
      <c r="I472">
        <v>157</v>
      </c>
      <c r="J472" t="s">
        <v>1022</v>
      </c>
      <c r="K472" t="s">
        <v>71</v>
      </c>
      <c r="L472" t="s">
        <v>72</v>
      </c>
      <c r="M472" t="s">
        <v>59</v>
      </c>
      <c r="N472" t="s">
        <v>59</v>
      </c>
      <c r="O472" t="s">
        <v>59</v>
      </c>
      <c r="P472" t="s">
        <v>59</v>
      </c>
      <c r="Q472" t="s">
        <v>59</v>
      </c>
      <c r="R472" t="s">
        <v>59</v>
      </c>
      <c r="S472" t="s">
        <v>59</v>
      </c>
      <c r="T472" t="s">
        <v>59</v>
      </c>
      <c r="U472" t="s">
        <v>60</v>
      </c>
      <c r="V472" t="s">
        <v>59</v>
      </c>
      <c r="W472" t="s">
        <v>59</v>
      </c>
      <c r="X472" t="s">
        <v>59</v>
      </c>
      <c r="Y472" t="s">
        <v>59</v>
      </c>
      <c r="Z472" t="s">
        <v>59</v>
      </c>
      <c r="AA472" t="s">
        <v>59</v>
      </c>
      <c r="AB472" t="s">
        <v>60</v>
      </c>
      <c r="AC472" t="s">
        <v>59</v>
      </c>
      <c r="AD472" t="s">
        <v>59</v>
      </c>
      <c r="AE472" t="s">
        <v>59</v>
      </c>
      <c r="AF472" t="s">
        <v>59</v>
      </c>
      <c r="AG472" t="s">
        <v>59</v>
      </c>
      <c r="AH472" t="s">
        <v>61</v>
      </c>
      <c r="AI472" t="s">
        <v>61</v>
      </c>
      <c r="AJ472" t="s">
        <v>59</v>
      </c>
      <c r="AK472" t="s">
        <v>59</v>
      </c>
      <c r="AL472" t="s">
        <v>60</v>
      </c>
      <c r="AM472" t="s">
        <v>59</v>
      </c>
      <c r="AN472" t="s">
        <v>59</v>
      </c>
      <c r="AO472" t="s">
        <v>59</v>
      </c>
      <c r="AP472" t="s">
        <v>1148</v>
      </c>
      <c r="AQ472" t="s">
        <v>1149</v>
      </c>
      <c r="AR472" t="s">
        <v>226</v>
      </c>
      <c r="AS472" t="s">
        <v>746</v>
      </c>
      <c r="AT472" t="s">
        <v>1150</v>
      </c>
      <c r="AU472" t="s">
        <v>219</v>
      </c>
      <c r="AW472" s="4">
        <f t="shared" si="248"/>
        <v>6</v>
      </c>
      <c r="AX472" s="4">
        <f t="shared" si="249"/>
        <v>4</v>
      </c>
      <c r="AY472" s="4">
        <f t="shared" si="250"/>
        <v>4</v>
      </c>
      <c r="AZ472" s="4">
        <f t="shared" si="251"/>
        <v>2</v>
      </c>
      <c r="BA472" s="4">
        <f t="shared" si="252"/>
        <v>4</v>
      </c>
      <c r="BB472" s="4">
        <f t="shared" si="253"/>
        <v>4</v>
      </c>
      <c r="BC472" s="4">
        <f t="shared" si="254"/>
        <v>4</v>
      </c>
      <c r="BD472" s="4">
        <f t="shared" si="255"/>
        <v>2</v>
      </c>
      <c r="BE472" s="4" t="str">
        <f t="shared" si="256"/>
        <v>0</v>
      </c>
      <c r="BF472" s="4">
        <f t="shared" si="257"/>
        <v>2</v>
      </c>
      <c r="BG472" s="4">
        <f t="shared" si="258"/>
        <v>4</v>
      </c>
      <c r="BH472" s="4">
        <f t="shared" si="259"/>
        <v>4</v>
      </c>
      <c r="BI472" s="4">
        <f t="shared" si="260"/>
        <v>4</v>
      </c>
      <c r="BJ472" s="4">
        <f t="shared" si="261"/>
        <v>2</v>
      </c>
      <c r="BK472" s="4">
        <f t="shared" si="262"/>
        <v>4</v>
      </c>
      <c r="BL472" s="4" t="str">
        <f t="shared" si="263"/>
        <v>0</v>
      </c>
      <c r="BM472" s="4">
        <f t="shared" si="264"/>
        <v>4</v>
      </c>
      <c r="BN472" s="4">
        <f t="shared" si="265"/>
        <v>4</v>
      </c>
      <c r="BO472" s="4">
        <f t="shared" si="266"/>
        <v>4</v>
      </c>
      <c r="BP472" s="4">
        <f t="shared" si="267"/>
        <v>4</v>
      </c>
      <c r="BQ472" s="4">
        <f t="shared" si="268"/>
        <v>6</v>
      </c>
      <c r="BR472" s="4">
        <f t="shared" si="269"/>
        <v>4</v>
      </c>
      <c r="BS472" s="4">
        <f t="shared" si="270"/>
        <v>4</v>
      </c>
      <c r="BT472" s="4">
        <f t="shared" si="271"/>
        <v>4</v>
      </c>
      <c r="BU472" s="4">
        <f t="shared" si="272"/>
        <v>4</v>
      </c>
      <c r="BV472" s="4" t="str">
        <f t="shared" si="273"/>
        <v>0</v>
      </c>
      <c r="BW472" s="4">
        <f t="shared" si="274"/>
        <v>6</v>
      </c>
      <c r="BX472" s="4">
        <f t="shared" si="275"/>
        <v>0</v>
      </c>
      <c r="BY472" s="4">
        <f t="shared" si="276"/>
        <v>0</v>
      </c>
      <c r="BZ472" s="37">
        <f t="shared" si="277"/>
        <v>94</v>
      </c>
      <c r="CA472" s="32" t="str">
        <f>VLOOKUP(J:J,'Agent wise'!A:C,3,0)</f>
        <v>Anusha</v>
      </c>
      <c r="CB472" s="32">
        <f t="shared" si="278"/>
        <v>45938</v>
      </c>
      <c r="CC472" t="str">
        <f t="shared" si="279"/>
        <v>Good</v>
      </c>
      <c r="CE472" s="32"/>
      <c r="CJ472">
        <f t="shared" si="280"/>
        <v>8</v>
      </c>
      <c r="CK472">
        <f t="shared" si="281"/>
        <v>10</v>
      </c>
      <c r="CL472">
        <f t="shared" si="282"/>
        <v>2025</v>
      </c>
    </row>
    <row r="473" spans="1:90" ht="15" customHeight="1" x14ac:dyDescent="0.35">
      <c r="A473" s="40">
        <v>45879.754664351851</v>
      </c>
      <c r="B473" t="s">
        <v>250</v>
      </c>
      <c r="C473" t="s">
        <v>214</v>
      </c>
      <c r="D473" t="s">
        <v>251</v>
      </c>
      <c r="E473" s="32">
        <v>45938</v>
      </c>
      <c r="F473" t="s">
        <v>222</v>
      </c>
      <c r="G473" s="2">
        <v>45848</v>
      </c>
      <c r="H473">
        <v>9400436523</v>
      </c>
      <c r="I473">
        <v>164</v>
      </c>
      <c r="J473" t="s">
        <v>1022</v>
      </c>
      <c r="K473" t="s">
        <v>57</v>
      </c>
      <c r="L473" t="s">
        <v>58</v>
      </c>
      <c r="M473" t="s">
        <v>59</v>
      </c>
      <c r="N473" t="s">
        <v>59</v>
      </c>
      <c r="O473" t="s">
        <v>60</v>
      </c>
      <c r="P473" t="s">
        <v>59</v>
      </c>
      <c r="Q473" t="s">
        <v>59</v>
      </c>
      <c r="R473" t="s">
        <v>59</v>
      </c>
      <c r="S473" t="s">
        <v>59</v>
      </c>
      <c r="T473" t="s">
        <v>59</v>
      </c>
      <c r="U473" t="s">
        <v>60</v>
      </c>
      <c r="V473" t="s">
        <v>59</v>
      </c>
      <c r="W473" t="s">
        <v>59</v>
      </c>
      <c r="X473" t="s">
        <v>59</v>
      </c>
      <c r="Y473" t="s">
        <v>59</v>
      </c>
      <c r="Z473" t="s">
        <v>59</v>
      </c>
      <c r="AA473" t="s">
        <v>60</v>
      </c>
      <c r="AB473" t="s">
        <v>61</v>
      </c>
      <c r="AC473" t="s">
        <v>60</v>
      </c>
      <c r="AD473" t="s">
        <v>59</v>
      </c>
      <c r="AE473" t="s">
        <v>59</v>
      </c>
      <c r="AF473" t="s">
        <v>59</v>
      </c>
      <c r="AG473" t="s">
        <v>59</v>
      </c>
      <c r="AH473" t="s">
        <v>61</v>
      </c>
      <c r="AI473" t="s">
        <v>61</v>
      </c>
      <c r="AJ473" t="s">
        <v>59</v>
      </c>
      <c r="AK473" t="s">
        <v>59</v>
      </c>
      <c r="AL473" t="s">
        <v>60</v>
      </c>
      <c r="AM473" t="s">
        <v>59</v>
      </c>
      <c r="AN473" t="s">
        <v>59</v>
      </c>
      <c r="AO473" t="s">
        <v>59</v>
      </c>
      <c r="AP473" t="s">
        <v>1151</v>
      </c>
      <c r="AQ473" t="s">
        <v>1152</v>
      </c>
      <c r="AR473" t="s">
        <v>226</v>
      </c>
      <c r="AS473" t="s">
        <v>746</v>
      </c>
      <c r="AT473" t="s">
        <v>404</v>
      </c>
      <c r="AU473" t="s">
        <v>219</v>
      </c>
      <c r="AW473" s="4">
        <f t="shared" si="248"/>
        <v>6</v>
      </c>
      <c r="AX473" s="4">
        <f t="shared" si="249"/>
        <v>4</v>
      </c>
      <c r="AY473" s="4" t="str">
        <f t="shared" si="250"/>
        <v>0</v>
      </c>
      <c r="AZ473" s="4">
        <f t="shared" si="251"/>
        <v>2</v>
      </c>
      <c r="BA473" s="4">
        <f t="shared" si="252"/>
        <v>4</v>
      </c>
      <c r="BB473" s="4">
        <f t="shared" si="253"/>
        <v>4</v>
      </c>
      <c r="BC473" s="4">
        <f t="shared" si="254"/>
        <v>4</v>
      </c>
      <c r="BD473" s="4">
        <f t="shared" si="255"/>
        <v>2</v>
      </c>
      <c r="BE473" s="4" t="str">
        <f t="shared" si="256"/>
        <v>0</v>
      </c>
      <c r="BF473" s="4">
        <f t="shared" si="257"/>
        <v>2</v>
      </c>
      <c r="BG473" s="4">
        <f t="shared" si="258"/>
        <v>4</v>
      </c>
      <c r="BH473" s="4">
        <f t="shared" si="259"/>
        <v>4</v>
      </c>
      <c r="BI473" s="4">
        <f t="shared" si="260"/>
        <v>4</v>
      </c>
      <c r="BJ473" s="4">
        <f t="shared" si="261"/>
        <v>2</v>
      </c>
      <c r="BK473" s="4" t="str">
        <f t="shared" si="262"/>
        <v>0</v>
      </c>
      <c r="BL473" s="4">
        <f t="shared" si="263"/>
        <v>2</v>
      </c>
      <c r="BM473" s="4" t="str">
        <f t="shared" si="264"/>
        <v>0</v>
      </c>
      <c r="BN473" s="4">
        <f t="shared" si="265"/>
        <v>4</v>
      </c>
      <c r="BO473" s="4">
        <f t="shared" si="266"/>
        <v>4</v>
      </c>
      <c r="BP473" s="4">
        <f t="shared" si="267"/>
        <v>4</v>
      </c>
      <c r="BQ473" s="4">
        <f t="shared" si="268"/>
        <v>6</v>
      </c>
      <c r="BR473" s="4">
        <f t="shared" si="269"/>
        <v>4</v>
      </c>
      <c r="BS473" s="4">
        <f t="shared" si="270"/>
        <v>4</v>
      </c>
      <c r="BT473" s="4">
        <f t="shared" si="271"/>
        <v>4</v>
      </c>
      <c r="BU473" s="4">
        <f t="shared" si="272"/>
        <v>4</v>
      </c>
      <c r="BV473" s="4" t="str">
        <f t="shared" si="273"/>
        <v>0</v>
      </c>
      <c r="BW473" s="4">
        <f t="shared" si="274"/>
        <v>6</v>
      </c>
      <c r="BX473" s="4">
        <f t="shared" si="275"/>
        <v>0</v>
      </c>
      <c r="BY473" s="4">
        <f t="shared" si="276"/>
        <v>0</v>
      </c>
      <c r="BZ473" s="37">
        <f t="shared" si="277"/>
        <v>84</v>
      </c>
      <c r="CA473" s="32" t="str">
        <f>VLOOKUP(J:J,'Agent wise'!A:C,3,0)</f>
        <v>Anusha</v>
      </c>
      <c r="CB473" s="32">
        <f t="shared" si="278"/>
        <v>45938</v>
      </c>
      <c r="CC473" t="str">
        <f t="shared" si="279"/>
        <v>FC</v>
      </c>
      <c r="CE473" s="32"/>
      <c r="CJ473">
        <f t="shared" si="280"/>
        <v>8</v>
      </c>
      <c r="CK473">
        <f t="shared" si="281"/>
        <v>10</v>
      </c>
      <c r="CL473">
        <f t="shared" si="282"/>
        <v>2025</v>
      </c>
    </row>
    <row r="474" spans="1:90" ht="15" customHeight="1" x14ac:dyDescent="0.35">
      <c r="A474" s="40">
        <v>45879.757685185177</v>
      </c>
      <c r="B474" t="s">
        <v>100</v>
      </c>
      <c r="C474" t="s">
        <v>214</v>
      </c>
      <c r="D474" t="s">
        <v>101</v>
      </c>
      <c r="E474" s="32">
        <v>45938</v>
      </c>
      <c r="F474" t="s">
        <v>54</v>
      </c>
      <c r="G474" s="2">
        <v>45848</v>
      </c>
      <c r="H474">
        <v>9498117731</v>
      </c>
      <c r="I474">
        <v>134</v>
      </c>
      <c r="J474" t="s">
        <v>280</v>
      </c>
      <c r="K474" t="s">
        <v>71</v>
      </c>
      <c r="L474" t="s">
        <v>72</v>
      </c>
      <c r="M474" t="s">
        <v>59</v>
      </c>
      <c r="N474" t="s">
        <v>59</v>
      </c>
      <c r="O474" t="s">
        <v>60</v>
      </c>
      <c r="P474" t="s">
        <v>61</v>
      </c>
      <c r="Q474" t="s">
        <v>61</v>
      </c>
      <c r="R474" t="s">
        <v>60</v>
      </c>
      <c r="S474" t="s">
        <v>59</v>
      </c>
      <c r="T474" t="s">
        <v>59</v>
      </c>
      <c r="U474" t="s">
        <v>59</v>
      </c>
      <c r="V474" t="s">
        <v>59</v>
      </c>
      <c r="W474" t="s">
        <v>59</v>
      </c>
      <c r="X474" t="s">
        <v>61</v>
      </c>
      <c r="Y474" t="s">
        <v>59</v>
      </c>
      <c r="Z474" t="s">
        <v>59</v>
      </c>
      <c r="AA474" t="s">
        <v>60</v>
      </c>
      <c r="AB474" t="s">
        <v>60</v>
      </c>
      <c r="AC474" t="s">
        <v>59</v>
      </c>
      <c r="AD474" t="s">
        <v>61</v>
      </c>
      <c r="AE474" t="s">
        <v>60</v>
      </c>
      <c r="AF474" t="s">
        <v>59</v>
      </c>
      <c r="AG474" t="s">
        <v>60</v>
      </c>
      <c r="AH474" t="s">
        <v>59</v>
      </c>
      <c r="AI474" t="s">
        <v>61</v>
      </c>
      <c r="AJ474" t="s">
        <v>59</v>
      </c>
      <c r="AK474" t="s">
        <v>59</v>
      </c>
      <c r="AL474" t="s">
        <v>60</v>
      </c>
      <c r="AM474" t="s">
        <v>60</v>
      </c>
      <c r="AN474" t="s">
        <v>60</v>
      </c>
      <c r="AO474" t="s">
        <v>60</v>
      </c>
      <c r="AP474" t="s">
        <v>1153</v>
      </c>
      <c r="AQ474" t="s">
        <v>1154</v>
      </c>
      <c r="AR474" t="s">
        <v>64</v>
      </c>
      <c r="AS474" t="s">
        <v>89</v>
      </c>
      <c r="AT474" t="s">
        <v>84</v>
      </c>
      <c r="AU474" t="s">
        <v>299</v>
      </c>
      <c r="AW474" s="4">
        <f t="shared" si="248"/>
        <v>6</v>
      </c>
      <c r="AX474" s="4">
        <f t="shared" si="249"/>
        <v>4</v>
      </c>
      <c r="AY474" s="4" t="str">
        <f t="shared" si="250"/>
        <v>0</v>
      </c>
      <c r="AZ474" s="4">
        <f t="shared" si="251"/>
        <v>2</v>
      </c>
      <c r="BA474" s="4">
        <f t="shared" si="252"/>
        <v>4</v>
      </c>
      <c r="BB474" s="4" t="str">
        <f t="shared" si="253"/>
        <v>0</v>
      </c>
      <c r="BC474" s="4">
        <f t="shared" si="254"/>
        <v>4</v>
      </c>
      <c r="BD474" s="4">
        <f t="shared" si="255"/>
        <v>2</v>
      </c>
      <c r="BE474" s="4">
        <f t="shared" si="256"/>
        <v>4</v>
      </c>
      <c r="BF474" s="4">
        <f t="shared" si="257"/>
        <v>2</v>
      </c>
      <c r="BG474" s="4">
        <f t="shared" si="258"/>
        <v>4</v>
      </c>
      <c r="BH474" s="4">
        <f t="shared" si="259"/>
        <v>4</v>
      </c>
      <c r="BI474" s="4">
        <f t="shared" si="260"/>
        <v>4</v>
      </c>
      <c r="BJ474" s="4">
        <f t="shared" si="261"/>
        <v>2</v>
      </c>
      <c r="BK474" s="4" t="str">
        <f t="shared" si="262"/>
        <v>0</v>
      </c>
      <c r="BL474" s="4" t="str">
        <f t="shared" si="263"/>
        <v>0</v>
      </c>
      <c r="BM474" s="4">
        <f t="shared" si="264"/>
        <v>4</v>
      </c>
      <c r="BN474" s="4">
        <f t="shared" si="265"/>
        <v>4</v>
      </c>
      <c r="BO474" s="4" t="str">
        <f t="shared" si="266"/>
        <v>0</v>
      </c>
      <c r="BP474" s="4">
        <f t="shared" si="267"/>
        <v>4</v>
      </c>
      <c r="BQ474" s="4" t="str">
        <f t="shared" si="268"/>
        <v>0</v>
      </c>
      <c r="BR474" s="4">
        <f t="shared" si="269"/>
        <v>4</v>
      </c>
      <c r="BS474" s="4">
        <f t="shared" si="270"/>
        <v>4</v>
      </c>
      <c r="BT474" s="4">
        <f t="shared" si="271"/>
        <v>4</v>
      </c>
      <c r="BU474" s="4">
        <f t="shared" si="272"/>
        <v>4</v>
      </c>
      <c r="BV474" s="4" t="str">
        <f t="shared" si="273"/>
        <v>0</v>
      </c>
      <c r="BW474" s="4" t="str">
        <f t="shared" si="274"/>
        <v>0</v>
      </c>
      <c r="BX474" s="4" t="str">
        <f t="shared" si="275"/>
        <v>0</v>
      </c>
      <c r="BY474" s="4" t="str">
        <f t="shared" si="276"/>
        <v>0</v>
      </c>
      <c r="BZ474" s="37">
        <f t="shared" si="277"/>
        <v>70</v>
      </c>
      <c r="CA474" s="32" t="str">
        <f>VLOOKUP(J:J,'Agent wise'!A:C,3,0)</f>
        <v>Saran S</v>
      </c>
      <c r="CB474" s="32">
        <f t="shared" si="278"/>
        <v>45938</v>
      </c>
      <c r="CC474" t="str">
        <f t="shared" si="279"/>
        <v>FC</v>
      </c>
      <c r="CE474" s="32"/>
      <c r="CJ474">
        <f t="shared" si="280"/>
        <v>8</v>
      </c>
      <c r="CK474">
        <f t="shared" si="281"/>
        <v>10</v>
      </c>
      <c r="CL474">
        <f t="shared" si="282"/>
        <v>2025</v>
      </c>
    </row>
    <row r="475" spans="1:90" ht="15" customHeight="1" x14ac:dyDescent="0.35">
      <c r="A475" s="40">
        <v>45879.772881944453</v>
      </c>
      <c r="B475" t="s">
        <v>250</v>
      </c>
      <c r="C475" t="s">
        <v>214</v>
      </c>
      <c r="D475" t="s">
        <v>251</v>
      </c>
      <c r="E475" s="32">
        <v>45938</v>
      </c>
      <c r="F475" t="s">
        <v>222</v>
      </c>
      <c r="G475" s="2">
        <v>45848</v>
      </c>
      <c r="H475">
        <v>9495709659</v>
      </c>
      <c r="I475">
        <v>160</v>
      </c>
      <c r="J475" t="s">
        <v>1030</v>
      </c>
      <c r="K475" t="s">
        <v>57</v>
      </c>
      <c r="L475" t="s">
        <v>58</v>
      </c>
      <c r="M475" t="s">
        <v>60</v>
      </c>
      <c r="N475" t="s">
        <v>59</v>
      </c>
      <c r="O475" t="s">
        <v>59</v>
      </c>
      <c r="P475" t="s">
        <v>59</v>
      </c>
      <c r="Q475" t="s">
        <v>59</v>
      </c>
      <c r="R475" t="s">
        <v>60</v>
      </c>
      <c r="S475" t="s">
        <v>59</v>
      </c>
      <c r="T475" t="s">
        <v>59</v>
      </c>
      <c r="U475" t="s">
        <v>60</v>
      </c>
      <c r="V475" t="s">
        <v>59</v>
      </c>
      <c r="W475" t="s">
        <v>59</v>
      </c>
      <c r="X475" t="s">
        <v>59</v>
      </c>
      <c r="Y475" t="s">
        <v>59</v>
      </c>
      <c r="Z475" t="s">
        <v>59</v>
      </c>
      <c r="AA475" t="s">
        <v>60</v>
      </c>
      <c r="AB475" t="s">
        <v>61</v>
      </c>
      <c r="AC475" t="s">
        <v>61</v>
      </c>
      <c r="AD475" t="s">
        <v>59</v>
      </c>
      <c r="AE475" t="s">
        <v>59</v>
      </c>
      <c r="AF475" t="s">
        <v>59</v>
      </c>
      <c r="AG475" t="s">
        <v>59</v>
      </c>
      <c r="AH475" t="s">
        <v>61</v>
      </c>
      <c r="AI475" t="s">
        <v>61</v>
      </c>
      <c r="AJ475" t="s">
        <v>59</v>
      </c>
      <c r="AK475" t="s">
        <v>59</v>
      </c>
      <c r="AL475" t="s">
        <v>60</v>
      </c>
      <c r="AM475" t="s">
        <v>59</v>
      </c>
      <c r="AN475" t="s">
        <v>59</v>
      </c>
      <c r="AO475" t="s">
        <v>59</v>
      </c>
      <c r="AP475" t="s">
        <v>1155</v>
      </c>
      <c r="AQ475" t="s">
        <v>1156</v>
      </c>
      <c r="AR475" t="s">
        <v>226</v>
      </c>
      <c r="AS475" t="s">
        <v>1157</v>
      </c>
      <c r="AT475" t="s">
        <v>1158</v>
      </c>
      <c r="AU475" t="s">
        <v>219</v>
      </c>
      <c r="AW475" s="4" t="str">
        <f t="shared" si="248"/>
        <v>0</v>
      </c>
      <c r="AX475" s="4">
        <f t="shared" si="249"/>
        <v>4</v>
      </c>
      <c r="AY475" s="4">
        <f t="shared" si="250"/>
        <v>4</v>
      </c>
      <c r="AZ475" s="4">
        <f t="shared" si="251"/>
        <v>2</v>
      </c>
      <c r="BA475" s="4">
        <f t="shared" si="252"/>
        <v>4</v>
      </c>
      <c r="BB475" s="4" t="str">
        <f t="shared" si="253"/>
        <v>0</v>
      </c>
      <c r="BC475" s="4">
        <f t="shared" si="254"/>
        <v>4</v>
      </c>
      <c r="BD475" s="4">
        <f t="shared" si="255"/>
        <v>2</v>
      </c>
      <c r="BE475" s="4" t="str">
        <f t="shared" si="256"/>
        <v>0</v>
      </c>
      <c r="BF475" s="4">
        <f t="shared" si="257"/>
        <v>2</v>
      </c>
      <c r="BG475" s="4">
        <f t="shared" si="258"/>
        <v>4</v>
      </c>
      <c r="BH475" s="4">
        <f t="shared" si="259"/>
        <v>4</v>
      </c>
      <c r="BI475" s="4">
        <f t="shared" si="260"/>
        <v>4</v>
      </c>
      <c r="BJ475" s="4">
        <f t="shared" si="261"/>
        <v>2</v>
      </c>
      <c r="BK475" s="4" t="str">
        <f t="shared" si="262"/>
        <v>0</v>
      </c>
      <c r="BL475" s="4">
        <f t="shared" si="263"/>
        <v>2</v>
      </c>
      <c r="BM475" s="4">
        <f t="shared" si="264"/>
        <v>4</v>
      </c>
      <c r="BN475" s="4">
        <f t="shared" si="265"/>
        <v>4</v>
      </c>
      <c r="BO475" s="4">
        <f t="shared" si="266"/>
        <v>4</v>
      </c>
      <c r="BP475" s="4">
        <f t="shared" si="267"/>
        <v>4</v>
      </c>
      <c r="BQ475" s="4">
        <f t="shared" si="268"/>
        <v>6</v>
      </c>
      <c r="BR475" s="4">
        <f t="shared" si="269"/>
        <v>4</v>
      </c>
      <c r="BS475" s="4">
        <f t="shared" si="270"/>
        <v>4</v>
      </c>
      <c r="BT475" s="4">
        <f t="shared" si="271"/>
        <v>4</v>
      </c>
      <c r="BU475" s="4">
        <f t="shared" si="272"/>
        <v>4</v>
      </c>
      <c r="BV475" s="4" t="str">
        <f t="shared" si="273"/>
        <v>0</v>
      </c>
      <c r="BW475" s="4">
        <f t="shared" si="274"/>
        <v>6</v>
      </c>
      <c r="BX475" s="4">
        <f t="shared" si="275"/>
        <v>0</v>
      </c>
      <c r="BY475" s="4">
        <f t="shared" si="276"/>
        <v>0</v>
      </c>
      <c r="BZ475" s="37">
        <f t="shared" si="277"/>
        <v>82</v>
      </c>
      <c r="CA475" s="32" t="str">
        <f>VLOOKUP(J:J,'Agent wise'!A:C,3,0)</f>
        <v>Anusha</v>
      </c>
      <c r="CB475" s="32">
        <f t="shared" si="278"/>
        <v>45938</v>
      </c>
      <c r="CC475" t="str">
        <f t="shared" si="279"/>
        <v>FC</v>
      </c>
      <c r="CE475" s="32"/>
      <c r="CJ475">
        <f t="shared" si="280"/>
        <v>8</v>
      </c>
      <c r="CK475">
        <f t="shared" si="281"/>
        <v>10</v>
      </c>
      <c r="CL475">
        <f t="shared" si="282"/>
        <v>2025</v>
      </c>
    </row>
    <row r="476" spans="1:90" ht="15" customHeight="1" x14ac:dyDescent="0.35">
      <c r="A476" s="40">
        <v>45879.779583333337</v>
      </c>
      <c r="B476" t="s">
        <v>250</v>
      </c>
      <c r="C476" t="s">
        <v>214</v>
      </c>
      <c r="D476" t="s">
        <v>251</v>
      </c>
      <c r="E476" s="32">
        <v>45938</v>
      </c>
      <c r="F476" t="s">
        <v>222</v>
      </c>
      <c r="G476" s="2">
        <v>45848</v>
      </c>
      <c r="H476">
        <v>8848033988</v>
      </c>
      <c r="I476">
        <v>128</v>
      </c>
      <c r="J476" t="s">
        <v>998</v>
      </c>
      <c r="K476" t="s">
        <v>57</v>
      </c>
      <c r="L476" t="s">
        <v>58</v>
      </c>
      <c r="M476" t="s">
        <v>59</v>
      </c>
      <c r="N476" t="s">
        <v>59</v>
      </c>
      <c r="O476" t="s">
        <v>61</v>
      </c>
      <c r="P476" t="s">
        <v>61</v>
      </c>
      <c r="Q476" t="s">
        <v>59</v>
      </c>
      <c r="R476" t="s">
        <v>59</v>
      </c>
      <c r="S476" t="s">
        <v>59</v>
      </c>
      <c r="T476" t="s">
        <v>59</v>
      </c>
      <c r="U476" t="s">
        <v>60</v>
      </c>
      <c r="V476" t="s">
        <v>59</v>
      </c>
      <c r="W476" t="s">
        <v>59</v>
      </c>
      <c r="X476" t="s">
        <v>59</v>
      </c>
      <c r="Y476" t="s">
        <v>59</v>
      </c>
      <c r="Z476" t="s">
        <v>59</v>
      </c>
      <c r="AA476" t="s">
        <v>60</v>
      </c>
      <c r="AB476" t="s">
        <v>59</v>
      </c>
      <c r="AC476" t="s">
        <v>59</v>
      </c>
      <c r="AD476" t="s">
        <v>59</v>
      </c>
      <c r="AE476" t="s">
        <v>59</v>
      </c>
      <c r="AF476" t="s">
        <v>59</v>
      </c>
      <c r="AG476" t="s">
        <v>59</v>
      </c>
      <c r="AH476" t="s">
        <v>61</v>
      </c>
      <c r="AI476" t="s">
        <v>61</v>
      </c>
      <c r="AJ476" t="s">
        <v>59</v>
      </c>
      <c r="AK476" t="s">
        <v>59</v>
      </c>
      <c r="AL476" t="s">
        <v>60</v>
      </c>
      <c r="AM476" t="s">
        <v>59</v>
      </c>
      <c r="AN476" t="s">
        <v>59</v>
      </c>
      <c r="AO476" t="s">
        <v>59</v>
      </c>
      <c r="AP476" t="s">
        <v>936</v>
      </c>
      <c r="AQ476" t="s">
        <v>1159</v>
      </c>
      <c r="AR476" t="s">
        <v>64</v>
      </c>
      <c r="AS476" t="s">
        <v>1160</v>
      </c>
      <c r="AT476" t="s">
        <v>394</v>
      </c>
      <c r="AU476" t="s">
        <v>219</v>
      </c>
      <c r="AW476" s="4">
        <f t="shared" si="248"/>
        <v>6</v>
      </c>
      <c r="AX476" s="4">
        <f t="shared" si="249"/>
        <v>4</v>
      </c>
      <c r="AY476" s="4">
        <f t="shared" si="250"/>
        <v>4</v>
      </c>
      <c r="AZ476" s="4">
        <f t="shared" si="251"/>
        <v>2</v>
      </c>
      <c r="BA476" s="4">
        <f t="shared" si="252"/>
        <v>4</v>
      </c>
      <c r="BB476" s="4">
        <f t="shared" si="253"/>
        <v>4</v>
      </c>
      <c r="BC476" s="4">
        <f t="shared" si="254"/>
        <v>4</v>
      </c>
      <c r="BD476" s="4">
        <f t="shared" si="255"/>
        <v>2</v>
      </c>
      <c r="BE476" s="4" t="str">
        <f t="shared" si="256"/>
        <v>0</v>
      </c>
      <c r="BF476" s="4">
        <f t="shared" si="257"/>
        <v>2</v>
      </c>
      <c r="BG476" s="4">
        <f t="shared" si="258"/>
        <v>4</v>
      </c>
      <c r="BH476" s="4">
        <f t="shared" si="259"/>
        <v>4</v>
      </c>
      <c r="BI476" s="4">
        <f t="shared" si="260"/>
        <v>4</v>
      </c>
      <c r="BJ476" s="4">
        <f t="shared" si="261"/>
        <v>2</v>
      </c>
      <c r="BK476" s="4" t="str">
        <f t="shared" si="262"/>
        <v>0</v>
      </c>
      <c r="BL476" s="4">
        <f t="shared" si="263"/>
        <v>2</v>
      </c>
      <c r="BM476" s="4">
        <f t="shared" si="264"/>
        <v>4</v>
      </c>
      <c r="BN476" s="4">
        <f t="shared" si="265"/>
        <v>4</v>
      </c>
      <c r="BO476" s="4">
        <f t="shared" si="266"/>
        <v>4</v>
      </c>
      <c r="BP476" s="4">
        <f t="shared" si="267"/>
        <v>4</v>
      </c>
      <c r="BQ476" s="4">
        <f t="shared" si="268"/>
        <v>6</v>
      </c>
      <c r="BR476" s="4">
        <f t="shared" si="269"/>
        <v>4</v>
      </c>
      <c r="BS476" s="4">
        <f t="shared" si="270"/>
        <v>4</v>
      </c>
      <c r="BT476" s="4">
        <f t="shared" si="271"/>
        <v>4</v>
      </c>
      <c r="BU476" s="4">
        <f t="shared" si="272"/>
        <v>4</v>
      </c>
      <c r="BV476" s="4" t="str">
        <f t="shared" si="273"/>
        <v>0</v>
      </c>
      <c r="BW476" s="4">
        <f t="shared" si="274"/>
        <v>6</v>
      </c>
      <c r="BX476" s="4">
        <f t="shared" si="275"/>
        <v>0</v>
      </c>
      <c r="BY476" s="4">
        <f t="shared" si="276"/>
        <v>0</v>
      </c>
      <c r="BZ476" s="37">
        <f t="shared" si="277"/>
        <v>92</v>
      </c>
      <c r="CA476" s="32" t="str">
        <f>VLOOKUP(J:J,'Agent wise'!A:C,3,0)</f>
        <v>Anusha</v>
      </c>
      <c r="CB476" s="32">
        <f t="shared" si="278"/>
        <v>45938</v>
      </c>
      <c r="CC476" t="str">
        <f t="shared" si="279"/>
        <v>Good</v>
      </c>
      <c r="CE476" s="32"/>
      <c r="CJ476">
        <f t="shared" si="280"/>
        <v>8</v>
      </c>
      <c r="CK476">
        <f t="shared" si="281"/>
        <v>10</v>
      </c>
      <c r="CL476">
        <f t="shared" si="282"/>
        <v>2025</v>
      </c>
    </row>
    <row r="477" spans="1:90" ht="15" customHeight="1" x14ac:dyDescent="0.35">
      <c r="A477" s="40">
        <v>45879.783252314817</v>
      </c>
      <c r="B477" t="s">
        <v>250</v>
      </c>
      <c r="C477" t="s">
        <v>214</v>
      </c>
      <c r="D477" t="s">
        <v>251</v>
      </c>
      <c r="E477" s="32">
        <v>45938</v>
      </c>
      <c r="F477" t="s">
        <v>222</v>
      </c>
      <c r="G477" s="2">
        <v>45848</v>
      </c>
      <c r="H477">
        <v>8438222840</v>
      </c>
      <c r="I477">
        <v>203</v>
      </c>
      <c r="J477" t="s">
        <v>1030</v>
      </c>
      <c r="K477" t="s">
        <v>71</v>
      </c>
      <c r="L477" t="s">
        <v>72</v>
      </c>
      <c r="M477" t="s">
        <v>59</v>
      </c>
      <c r="N477" t="s">
        <v>59</v>
      </c>
      <c r="O477" t="s">
        <v>59</v>
      </c>
      <c r="P477" t="s">
        <v>59</v>
      </c>
      <c r="Q477" t="s">
        <v>59</v>
      </c>
      <c r="R477" t="s">
        <v>59</v>
      </c>
      <c r="S477" t="s">
        <v>59</v>
      </c>
      <c r="T477" t="s">
        <v>59</v>
      </c>
      <c r="U477" t="s">
        <v>60</v>
      </c>
      <c r="V477" t="s">
        <v>59</v>
      </c>
      <c r="W477" t="s">
        <v>59</v>
      </c>
      <c r="X477" t="s">
        <v>59</v>
      </c>
      <c r="Y477" t="s">
        <v>59</v>
      </c>
      <c r="Z477" t="s">
        <v>59</v>
      </c>
      <c r="AA477" t="s">
        <v>60</v>
      </c>
      <c r="AB477" t="s">
        <v>59</v>
      </c>
      <c r="AC477" t="s">
        <v>60</v>
      </c>
      <c r="AD477" t="s">
        <v>59</v>
      </c>
      <c r="AE477" t="s">
        <v>59</v>
      </c>
      <c r="AF477" t="s">
        <v>59</v>
      </c>
      <c r="AG477" t="s">
        <v>59</v>
      </c>
      <c r="AH477" t="s">
        <v>61</v>
      </c>
      <c r="AI477" t="s">
        <v>61</v>
      </c>
      <c r="AJ477" t="s">
        <v>59</v>
      </c>
      <c r="AK477" t="s">
        <v>59</v>
      </c>
      <c r="AL477" t="s">
        <v>59</v>
      </c>
      <c r="AM477" t="s">
        <v>59</v>
      </c>
      <c r="AN477" t="s">
        <v>59</v>
      </c>
      <c r="AO477" t="s">
        <v>59</v>
      </c>
      <c r="AP477" t="s">
        <v>1161</v>
      </c>
      <c r="AQ477" t="s">
        <v>1162</v>
      </c>
      <c r="AR477" t="s">
        <v>226</v>
      </c>
      <c r="AS477" t="s">
        <v>1163</v>
      </c>
      <c r="AT477" t="s">
        <v>404</v>
      </c>
      <c r="AU477" t="s">
        <v>219</v>
      </c>
      <c r="AW477" s="4">
        <f t="shared" si="248"/>
        <v>6</v>
      </c>
      <c r="AX477" s="4">
        <f t="shared" si="249"/>
        <v>4</v>
      </c>
      <c r="AY477" s="4">
        <f t="shared" si="250"/>
        <v>4</v>
      </c>
      <c r="AZ477" s="4">
        <f t="shared" si="251"/>
        <v>2</v>
      </c>
      <c r="BA477" s="4">
        <f t="shared" si="252"/>
        <v>4</v>
      </c>
      <c r="BB477" s="4">
        <f t="shared" si="253"/>
        <v>4</v>
      </c>
      <c r="BC477" s="4">
        <f t="shared" si="254"/>
        <v>4</v>
      </c>
      <c r="BD477" s="4">
        <f t="shared" si="255"/>
        <v>2</v>
      </c>
      <c r="BE477" s="4" t="str">
        <f t="shared" si="256"/>
        <v>0</v>
      </c>
      <c r="BF477" s="4">
        <f t="shared" si="257"/>
        <v>2</v>
      </c>
      <c r="BG477" s="4">
        <f t="shared" si="258"/>
        <v>4</v>
      </c>
      <c r="BH477" s="4">
        <f t="shared" si="259"/>
        <v>4</v>
      </c>
      <c r="BI477" s="4">
        <f t="shared" si="260"/>
        <v>4</v>
      </c>
      <c r="BJ477" s="4">
        <f t="shared" si="261"/>
        <v>2</v>
      </c>
      <c r="BK477" s="4" t="str">
        <f t="shared" si="262"/>
        <v>0</v>
      </c>
      <c r="BL477" s="4">
        <f t="shared" si="263"/>
        <v>2</v>
      </c>
      <c r="BM477" s="4" t="str">
        <f t="shared" si="264"/>
        <v>0</v>
      </c>
      <c r="BN477" s="4">
        <f t="shared" si="265"/>
        <v>4</v>
      </c>
      <c r="BO477" s="4">
        <f t="shared" si="266"/>
        <v>4</v>
      </c>
      <c r="BP477" s="4">
        <f t="shared" si="267"/>
        <v>4</v>
      </c>
      <c r="BQ477" s="4">
        <f t="shared" si="268"/>
        <v>6</v>
      </c>
      <c r="BR477" s="4">
        <f t="shared" si="269"/>
        <v>4</v>
      </c>
      <c r="BS477" s="4">
        <f t="shared" si="270"/>
        <v>4</v>
      </c>
      <c r="BT477" s="4">
        <f t="shared" si="271"/>
        <v>4</v>
      </c>
      <c r="BU477" s="4">
        <f t="shared" si="272"/>
        <v>4</v>
      </c>
      <c r="BV477" s="4">
        <f t="shared" si="273"/>
        <v>0</v>
      </c>
      <c r="BW477" s="4">
        <f t="shared" si="274"/>
        <v>6</v>
      </c>
      <c r="BX477" s="4">
        <f t="shared" si="275"/>
        <v>0</v>
      </c>
      <c r="BY477" s="4">
        <f t="shared" si="276"/>
        <v>0</v>
      </c>
      <c r="BZ477" s="37">
        <f t="shared" si="277"/>
        <v>88</v>
      </c>
      <c r="CA477" s="32" t="str">
        <f>VLOOKUP(J:J,'Agent wise'!A:C,3,0)</f>
        <v>Anusha</v>
      </c>
      <c r="CB477" s="32">
        <f t="shared" si="278"/>
        <v>45938</v>
      </c>
      <c r="CC477" t="str">
        <f t="shared" si="279"/>
        <v>Average</v>
      </c>
      <c r="CE477" s="32"/>
      <c r="CJ477">
        <f t="shared" si="280"/>
        <v>8</v>
      </c>
      <c r="CK477">
        <f t="shared" si="281"/>
        <v>10</v>
      </c>
      <c r="CL477">
        <f t="shared" si="282"/>
        <v>2025</v>
      </c>
    </row>
    <row r="478" spans="1:90" ht="15" customHeight="1" x14ac:dyDescent="0.35">
      <c r="A478" s="40">
        <v>45879.792199074072</v>
      </c>
      <c r="B478" t="s">
        <v>250</v>
      </c>
      <c r="C478" t="s">
        <v>214</v>
      </c>
      <c r="D478" t="s">
        <v>251</v>
      </c>
      <c r="E478" s="32">
        <v>45938</v>
      </c>
      <c r="F478" t="s">
        <v>222</v>
      </c>
      <c r="G478" s="2">
        <v>45848</v>
      </c>
      <c r="H478">
        <v>9787062770</v>
      </c>
      <c r="I478">
        <v>131</v>
      </c>
      <c r="J478" t="s">
        <v>391</v>
      </c>
      <c r="K478" t="s">
        <v>71</v>
      </c>
      <c r="L478" t="s">
        <v>72</v>
      </c>
      <c r="M478" t="s">
        <v>59</v>
      </c>
      <c r="N478" t="s">
        <v>59</v>
      </c>
      <c r="O478" t="s">
        <v>59</v>
      </c>
      <c r="P478" t="s">
        <v>59</v>
      </c>
      <c r="Q478" t="s">
        <v>59</v>
      </c>
      <c r="R478" t="s">
        <v>59</v>
      </c>
      <c r="S478" t="s">
        <v>59</v>
      </c>
      <c r="T478" t="s">
        <v>59</v>
      </c>
      <c r="U478" t="s">
        <v>60</v>
      </c>
      <c r="V478" t="s">
        <v>59</v>
      </c>
      <c r="W478" t="s">
        <v>59</v>
      </c>
      <c r="X478" t="s">
        <v>59</v>
      </c>
      <c r="Y478" t="s">
        <v>59</v>
      </c>
      <c r="Z478" t="s">
        <v>59</v>
      </c>
      <c r="AA478" t="s">
        <v>60</v>
      </c>
      <c r="AB478" t="s">
        <v>59</v>
      </c>
      <c r="AC478" t="s">
        <v>59</v>
      </c>
      <c r="AD478" t="s">
        <v>59</v>
      </c>
      <c r="AE478" t="s">
        <v>59</v>
      </c>
      <c r="AF478" t="s">
        <v>59</v>
      </c>
      <c r="AG478" t="s">
        <v>59</v>
      </c>
      <c r="AH478" t="s">
        <v>61</v>
      </c>
      <c r="AI478" t="s">
        <v>61</v>
      </c>
      <c r="AJ478" t="s">
        <v>59</v>
      </c>
      <c r="AK478" t="s">
        <v>59</v>
      </c>
      <c r="AL478" t="s">
        <v>59</v>
      </c>
      <c r="AM478" t="s">
        <v>59</v>
      </c>
      <c r="AN478" t="s">
        <v>59</v>
      </c>
      <c r="AO478" t="s">
        <v>59</v>
      </c>
      <c r="AP478" t="s">
        <v>1164</v>
      </c>
      <c r="AQ478" t="s">
        <v>1165</v>
      </c>
      <c r="AR478" t="s">
        <v>226</v>
      </c>
      <c r="AS478" t="s">
        <v>746</v>
      </c>
      <c r="AT478" t="s">
        <v>404</v>
      </c>
      <c r="AU478" t="s">
        <v>593</v>
      </c>
      <c r="AW478" s="4">
        <f t="shared" si="248"/>
        <v>6</v>
      </c>
      <c r="AX478" s="4">
        <f t="shared" si="249"/>
        <v>4</v>
      </c>
      <c r="AY478" s="4">
        <f t="shared" si="250"/>
        <v>4</v>
      </c>
      <c r="AZ478" s="4">
        <f t="shared" si="251"/>
        <v>2</v>
      </c>
      <c r="BA478" s="4">
        <f t="shared" si="252"/>
        <v>4</v>
      </c>
      <c r="BB478" s="4">
        <f t="shared" si="253"/>
        <v>4</v>
      </c>
      <c r="BC478" s="4">
        <f t="shared" si="254"/>
        <v>4</v>
      </c>
      <c r="BD478" s="4">
        <f t="shared" si="255"/>
        <v>2</v>
      </c>
      <c r="BE478" s="4" t="str">
        <f t="shared" si="256"/>
        <v>0</v>
      </c>
      <c r="BF478" s="4">
        <f t="shared" si="257"/>
        <v>2</v>
      </c>
      <c r="BG478" s="4">
        <f t="shared" si="258"/>
        <v>4</v>
      </c>
      <c r="BH478" s="4">
        <f t="shared" si="259"/>
        <v>4</v>
      </c>
      <c r="BI478" s="4">
        <f t="shared" si="260"/>
        <v>4</v>
      </c>
      <c r="BJ478" s="4">
        <f t="shared" si="261"/>
        <v>2</v>
      </c>
      <c r="BK478" s="4" t="str">
        <f t="shared" si="262"/>
        <v>0</v>
      </c>
      <c r="BL478" s="4">
        <f t="shared" si="263"/>
        <v>2</v>
      </c>
      <c r="BM478" s="4">
        <f t="shared" si="264"/>
        <v>4</v>
      </c>
      <c r="BN478" s="4">
        <f t="shared" si="265"/>
        <v>4</v>
      </c>
      <c r="BO478" s="4">
        <f t="shared" si="266"/>
        <v>4</v>
      </c>
      <c r="BP478" s="4">
        <f t="shared" si="267"/>
        <v>4</v>
      </c>
      <c r="BQ478" s="4">
        <f t="shared" si="268"/>
        <v>6</v>
      </c>
      <c r="BR478" s="4">
        <f t="shared" si="269"/>
        <v>4</v>
      </c>
      <c r="BS478" s="4">
        <f t="shared" si="270"/>
        <v>4</v>
      </c>
      <c r="BT478" s="4">
        <f t="shared" si="271"/>
        <v>4</v>
      </c>
      <c r="BU478" s="4">
        <f t="shared" si="272"/>
        <v>4</v>
      </c>
      <c r="BV478" s="4">
        <f t="shared" si="273"/>
        <v>0</v>
      </c>
      <c r="BW478" s="4">
        <f t="shared" si="274"/>
        <v>6</v>
      </c>
      <c r="BX478" s="4">
        <f t="shared" si="275"/>
        <v>0</v>
      </c>
      <c r="BY478" s="4">
        <f t="shared" si="276"/>
        <v>0</v>
      </c>
      <c r="BZ478" s="37">
        <f t="shared" si="277"/>
        <v>92</v>
      </c>
      <c r="CA478" s="32" t="str">
        <f>VLOOKUP(J:J,'Agent wise'!A:C,3,0)</f>
        <v>Amal</v>
      </c>
      <c r="CB478" s="32">
        <f t="shared" si="278"/>
        <v>45938</v>
      </c>
      <c r="CC478" t="str">
        <f t="shared" si="279"/>
        <v>Good</v>
      </c>
      <c r="CE478" s="32"/>
      <c r="CJ478">
        <f t="shared" si="280"/>
        <v>8</v>
      </c>
      <c r="CK478">
        <f t="shared" si="281"/>
        <v>10</v>
      </c>
      <c r="CL478">
        <f t="shared" si="282"/>
        <v>2025</v>
      </c>
    </row>
    <row r="479" spans="1:90" ht="15" customHeight="1" x14ac:dyDescent="0.35">
      <c r="A479" s="40">
        <v>45879.80195601852</v>
      </c>
      <c r="B479" t="s">
        <v>250</v>
      </c>
      <c r="C479" t="s">
        <v>214</v>
      </c>
      <c r="D479" t="s">
        <v>251</v>
      </c>
      <c r="E479" s="32">
        <v>45938</v>
      </c>
      <c r="F479" t="s">
        <v>222</v>
      </c>
      <c r="G479" s="2">
        <v>45848</v>
      </c>
      <c r="H479">
        <v>9446694320</v>
      </c>
      <c r="I479">
        <v>171</v>
      </c>
      <c r="J479" t="s">
        <v>356</v>
      </c>
      <c r="K479" t="s">
        <v>86</v>
      </c>
      <c r="L479" t="s">
        <v>72</v>
      </c>
      <c r="M479" t="s">
        <v>59</v>
      </c>
      <c r="N479" t="s">
        <v>59</v>
      </c>
      <c r="O479" t="s">
        <v>59</v>
      </c>
      <c r="P479" t="s">
        <v>59</v>
      </c>
      <c r="Q479" t="s">
        <v>59</v>
      </c>
      <c r="R479" t="s">
        <v>59</v>
      </c>
      <c r="S479" t="s">
        <v>59</v>
      </c>
      <c r="T479" t="s">
        <v>59</v>
      </c>
      <c r="U479" t="s">
        <v>60</v>
      </c>
      <c r="V479" t="s">
        <v>59</v>
      </c>
      <c r="W479" t="s">
        <v>59</v>
      </c>
      <c r="X479" t="s">
        <v>59</v>
      </c>
      <c r="Y479" t="s">
        <v>59</v>
      </c>
      <c r="Z479" t="s">
        <v>59</v>
      </c>
      <c r="AA479" t="s">
        <v>60</v>
      </c>
      <c r="AB479" t="s">
        <v>59</v>
      </c>
      <c r="AC479" t="s">
        <v>59</v>
      </c>
      <c r="AD479" t="s">
        <v>59</v>
      </c>
      <c r="AE479" t="s">
        <v>59</v>
      </c>
      <c r="AF479" t="s">
        <v>59</v>
      </c>
      <c r="AG479" t="s">
        <v>59</v>
      </c>
      <c r="AH479" t="s">
        <v>61</v>
      </c>
      <c r="AI479" t="s">
        <v>61</v>
      </c>
      <c r="AJ479" t="s">
        <v>59</v>
      </c>
      <c r="AK479" t="s">
        <v>59</v>
      </c>
      <c r="AL479" t="s">
        <v>60</v>
      </c>
      <c r="AM479" t="s">
        <v>59</v>
      </c>
      <c r="AN479" t="s">
        <v>59</v>
      </c>
      <c r="AO479" t="s">
        <v>59</v>
      </c>
      <c r="AP479" t="s">
        <v>1166</v>
      </c>
      <c r="AQ479" t="s">
        <v>1167</v>
      </c>
      <c r="AR479" t="s">
        <v>64</v>
      </c>
      <c r="AS479" t="s">
        <v>405</v>
      </c>
      <c r="AT479" t="s">
        <v>394</v>
      </c>
      <c r="AU479" t="s">
        <v>219</v>
      </c>
      <c r="AW479" s="4">
        <f t="shared" si="248"/>
        <v>6</v>
      </c>
      <c r="AX479" s="4">
        <f t="shared" si="249"/>
        <v>4</v>
      </c>
      <c r="AY479" s="4">
        <f t="shared" si="250"/>
        <v>4</v>
      </c>
      <c r="AZ479" s="4">
        <f t="shared" si="251"/>
        <v>2</v>
      </c>
      <c r="BA479" s="4">
        <f t="shared" si="252"/>
        <v>4</v>
      </c>
      <c r="BB479" s="4">
        <f t="shared" si="253"/>
        <v>4</v>
      </c>
      <c r="BC479" s="4">
        <f t="shared" si="254"/>
        <v>4</v>
      </c>
      <c r="BD479" s="4">
        <f t="shared" si="255"/>
        <v>2</v>
      </c>
      <c r="BE479" s="4" t="str">
        <f t="shared" si="256"/>
        <v>0</v>
      </c>
      <c r="BF479" s="4">
        <f t="shared" si="257"/>
        <v>2</v>
      </c>
      <c r="BG479" s="4">
        <f t="shared" si="258"/>
        <v>4</v>
      </c>
      <c r="BH479" s="4">
        <f t="shared" si="259"/>
        <v>4</v>
      </c>
      <c r="BI479" s="4">
        <f t="shared" si="260"/>
        <v>4</v>
      </c>
      <c r="BJ479" s="4">
        <f t="shared" si="261"/>
        <v>2</v>
      </c>
      <c r="BK479" s="4" t="str">
        <f t="shared" si="262"/>
        <v>0</v>
      </c>
      <c r="BL479" s="4">
        <f t="shared" si="263"/>
        <v>2</v>
      </c>
      <c r="BM479" s="4">
        <f t="shared" si="264"/>
        <v>4</v>
      </c>
      <c r="BN479" s="4">
        <f t="shared" si="265"/>
        <v>4</v>
      </c>
      <c r="BO479" s="4">
        <f t="shared" si="266"/>
        <v>4</v>
      </c>
      <c r="BP479" s="4">
        <f t="shared" si="267"/>
        <v>4</v>
      </c>
      <c r="BQ479" s="4">
        <f t="shared" si="268"/>
        <v>6</v>
      </c>
      <c r="BR479" s="4">
        <f t="shared" si="269"/>
        <v>4</v>
      </c>
      <c r="BS479" s="4">
        <f t="shared" si="270"/>
        <v>4</v>
      </c>
      <c r="BT479" s="4">
        <f t="shared" si="271"/>
        <v>4</v>
      </c>
      <c r="BU479" s="4">
        <f t="shared" si="272"/>
        <v>4</v>
      </c>
      <c r="BV479" s="4" t="str">
        <f t="shared" si="273"/>
        <v>0</v>
      </c>
      <c r="BW479" s="4">
        <f t="shared" si="274"/>
        <v>6</v>
      </c>
      <c r="BX479" s="4">
        <f t="shared" si="275"/>
        <v>0</v>
      </c>
      <c r="BY479" s="4">
        <f t="shared" si="276"/>
        <v>0</v>
      </c>
      <c r="BZ479" s="37">
        <f t="shared" si="277"/>
        <v>92</v>
      </c>
      <c r="CA479" s="32" t="str">
        <f>VLOOKUP(J:J,'Agent wise'!A:C,3,0)</f>
        <v>Amal</v>
      </c>
      <c r="CB479" s="32">
        <f t="shared" si="278"/>
        <v>45938</v>
      </c>
      <c r="CC479" t="str">
        <f t="shared" si="279"/>
        <v>Good</v>
      </c>
      <c r="CE479" s="32"/>
      <c r="CJ479">
        <f t="shared" si="280"/>
        <v>8</v>
      </c>
      <c r="CK479">
        <f t="shared" si="281"/>
        <v>10</v>
      </c>
      <c r="CL479">
        <f t="shared" si="282"/>
        <v>2025</v>
      </c>
    </row>
    <row r="480" spans="1:90" ht="15" customHeight="1" x14ac:dyDescent="0.35">
      <c r="A480" s="40">
        <v>45879.809884259259</v>
      </c>
      <c r="B480" t="s">
        <v>250</v>
      </c>
      <c r="C480" t="s">
        <v>214</v>
      </c>
      <c r="D480" t="s">
        <v>251</v>
      </c>
      <c r="E480" s="32">
        <v>45937</v>
      </c>
      <c r="F480" t="s">
        <v>54</v>
      </c>
      <c r="G480" s="2">
        <v>45848</v>
      </c>
      <c r="H480">
        <v>8330850702</v>
      </c>
      <c r="I480">
        <v>158</v>
      </c>
      <c r="J480" t="s">
        <v>56</v>
      </c>
      <c r="K480" t="s">
        <v>57</v>
      </c>
      <c r="L480" t="s">
        <v>58</v>
      </c>
      <c r="M480" t="s">
        <v>59</v>
      </c>
      <c r="N480" t="s">
        <v>59</v>
      </c>
      <c r="O480" t="s">
        <v>59</v>
      </c>
      <c r="P480" t="s">
        <v>59</v>
      </c>
      <c r="Q480" t="s">
        <v>59</v>
      </c>
      <c r="R480" t="s">
        <v>59</v>
      </c>
      <c r="S480" t="s">
        <v>59</v>
      </c>
      <c r="T480" t="s">
        <v>59</v>
      </c>
      <c r="U480" t="s">
        <v>60</v>
      </c>
      <c r="V480" t="s">
        <v>59</v>
      </c>
      <c r="W480" t="s">
        <v>59</v>
      </c>
      <c r="X480" t="s">
        <v>59</v>
      </c>
      <c r="Y480" t="s">
        <v>59</v>
      </c>
      <c r="Z480" t="s">
        <v>60</v>
      </c>
      <c r="AA480" t="s">
        <v>59</v>
      </c>
      <c r="AB480" t="s">
        <v>59</v>
      </c>
      <c r="AC480" t="s">
        <v>59</v>
      </c>
      <c r="AD480" t="s">
        <v>59</v>
      </c>
      <c r="AE480" t="s">
        <v>59</v>
      </c>
      <c r="AF480" t="s">
        <v>59</v>
      </c>
      <c r="AG480" t="s">
        <v>59</v>
      </c>
      <c r="AH480" t="s">
        <v>60</v>
      </c>
      <c r="AI480" t="s">
        <v>59</v>
      </c>
      <c r="AJ480" t="s">
        <v>59</v>
      </c>
      <c r="AK480" t="s">
        <v>59</v>
      </c>
      <c r="AL480" t="s">
        <v>60</v>
      </c>
      <c r="AM480" t="s">
        <v>59</v>
      </c>
      <c r="AN480" t="s">
        <v>59</v>
      </c>
      <c r="AO480" t="s">
        <v>59</v>
      </c>
      <c r="AP480" t="s">
        <v>1168</v>
      </c>
      <c r="AQ480" t="s">
        <v>1169</v>
      </c>
      <c r="AR480" t="s">
        <v>64</v>
      </c>
      <c r="AS480" t="s">
        <v>397</v>
      </c>
      <c r="AT480" t="s">
        <v>649</v>
      </c>
      <c r="AU480" t="s">
        <v>1113</v>
      </c>
      <c r="AW480" s="4">
        <f t="shared" si="248"/>
        <v>6</v>
      </c>
      <c r="AX480" s="4">
        <f t="shared" si="249"/>
        <v>4</v>
      </c>
      <c r="AY480" s="4">
        <f t="shared" si="250"/>
        <v>4</v>
      </c>
      <c r="AZ480" s="4">
        <f t="shared" si="251"/>
        <v>2</v>
      </c>
      <c r="BA480" s="4">
        <f t="shared" si="252"/>
        <v>4</v>
      </c>
      <c r="BB480" s="4">
        <f t="shared" si="253"/>
        <v>4</v>
      </c>
      <c r="BC480" s="4">
        <f t="shared" si="254"/>
        <v>4</v>
      </c>
      <c r="BD480" s="4">
        <f t="shared" si="255"/>
        <v>2</v>
      </c>
      <c r="BE480" s="4" t="str">
        <f t="shared" si="256"/>
        <v>0</v>
      </c>
      <c r="BF480" s="4">
        <f t="shared" si="257"/>
        <v>2</v>
      </c>
      <c r="BG480" s="4">
        <f t="shared" si="258"/>
        <v>4</v>
      </c>
      <c r="BH480" s="4">
        <f t="shared" si="259"/>
        <v>4</v>
      </c>
      <c r="BI480" s="4">
        <f t="shared" si="260"/>
        <v>4</v>
      </c>
      <c r="BJ480" s="4" t="str">
        <f t="shared" si="261"/>
        <v>0</v>
      </c>
      <c r="BK480" s="4">
        <f t="shared" si="262"/>
        <v>4</v>
      </c>
      <c r="BL480" s="4">
        <f t="shared" si="263"/>
        <v>2</v>
      </c>
      <c r="BM480" s="4">
        <f t="shared" si="264"/>
        <v>4</v>
      </c>
      <c r="BN480" s="4">
        <f t="shared" si="265"/>
        <v>4</v>
      </c>
      <c r="BO480" s="4">
        <f t="shared" si="266"/>
        <v>4</v>
      </c>
      <c r="BP480" s="4">
        <f t="shared" si="267"/>
        <v>4</v>
      </c>
      <c r="BQ480" s="4">
        <f t="shared" si="268"/>
        <v>6</v>
      </c>
      <c r="BR480" s="4" t="str">
        <f t="shared" si="269"/>
        <v>0</v>
      </c>
      <c r="BS480" s="4">
        <f t="shared" si="270"/>
        <v>4</v>
      </c>
      <c r="BT480" s="4">
        <f t="shared" si="271"/>
        <v>4</v>
      </c>
      <c r="BU480" s="4">
        <f t="shared" si="272"/>
        <v>4</v>
      </c>
      <c r="BV480" s="4" t="str">
        <f t="shared" si="273"/>
        <v>0</v>
      </c>
      <c r="BW480" s="4">
        <f t="shared" si="274"/>
        <v>6</v>
      </c>
      <c r="BX480" s="4">
        <f t="shared" si="275"/>
        <v>0</v>
      </c>
      <c r="BY480" s="4">
        <f t="shared" si="276"/>
        <v>0</v>
      </c>
      <c r="BZ480" s="37">
        <f t="shared" si="277"/>
        <v>90</v>
      </c>
      <c r="CA480" s="32" t="str">
        <f>VLOOKUP(J:J,'Agent wise'!A:C,3,0)</f>
        <v>Saran S</v>
      </c>
      <c r="CB480" s="32">
        <f t="shared" si="278"/>
        <v>45937</v>
      </c>
      <c r="CC480" t="str">
        <f t="shared" si="279"/>
        <v>Good</v>
      </c>
      <c r="CE480" s="32"/>
      <c r="CJ480">
        <f t="shared" si="280"/>
        <v>7</v>
      </c>
      <c r="CK480">
        <f t="shared" si="281"/>
        <v>10</v>
      </c>
      <c r="CL480">
        <f t="shared" si="282"/>
        <v>2025</v>
      </c>
    </row>
    <row r="481" spans="1:90" ht="15" customHeight="1" x14ac:dyDescent="0.35">
      <c r="A481" s="40">
        <v>45879.812060185177</v>
      </c>
      <c r="B481" t="s">
        <v>250</v>
      </c>
      <c r="C481" t="s">
        <v>214</v>
      </c>
      <c r="D481" t="s">
        <v>251</v>
      </c>
      <c r="E481" s="32">
        <v>45938</v>
      </c>
      <c r="F481" t="s">
        <v>54</v>
      </c>
      <c r="G481" s="2">
        <v>45848</v>
      </c>
      <c r="H481">
        <v>9385372052</v>
      </c>
      <c r="I481">
        <v>162</v>
      </c>
      <c r="J481" t="s">
        <v>466</v>
      </c>
      <c r="K481" t="s">
        <v>71</v>
      </c>
      <c r="L481" t="s">
        <v>72</v>
      </c>
      <c r="M481" t="s">
        <v>59</v>
      </c>
      <c r="N481" t="s">
        <v>59</v>
      </c>
      <c r="O481" t="s">
        <v>59</v>
      </c>
      <c r="P481" t="s">
        <v>59</v>
      </c>
      <c r="Q481" t="s">
        <v>59</v>
      </c>
      <c r="R481" t="s">
        <v>59</v>
      </c>
      <c r="S481" t="s">
        <v>59</v>
      </c>
      <c r="T481" t="s">
        <v>59</v>
      </c>
      <c r="U481" t="s">
        <v>60</v>
      </c>
      <c r="V481" t="s">
        <v>59</v>
      </c>
      <c r="W481" t="s">
        <v>59</v>
      </c>
      <c r="X481" t="s">
        <v>59</v>
      </c>
      <c r="Y481" t="s">
        <v>59</v>
      </c>
      <c r="Z481" t="s">
        <v>59</v>
      </c>
      <c r="AA481" t="s">
        <v>59</v>
      </c>
      <c r="AB481" t="s">
        <v>60</v>
      </c>
      <c r="AC481" t="s">
        <v>59</v>
      </c>
      <c r="AD481" t="s">
        <v>59</v>
      </c>
      <c r="AE481" t="s">
        <v>59</v>
      </c>
      <c r="AF481" t="s">
        <v>59</v>
      </c>
      <c r="AG481" t="s">
        <v>59</v>
      </c>
      <c r="AH481" t="s">
        <v>61</v>
      </c>
      <c r="AI481" t="s">
        <v>61</v>
      </c>
      <c r="AJ481" t="s">
        <v>59</v>
      </c>
      <c r="AK481" t="s">
        <v>59</v>
      </c>
      <c r="AL481" t="s">
        <v>60</v>
      </c>
      <c r="AM481" t="s">
        <v>59</v>
      </c>
      <c r="AN481" t="s">
        <v>59</v>
      </c>
      <c r="AO481" t="s">
        <v>59</v>
      </c>
      <c r="AP481" t="s">
        <v>1170</v>
      </c>
      <c r="AQ481" t="s">
        <v>1171</v>
      </c>
      <c r="AR481" t="s">
        <v>64</v>
      </c>
      <c r="AS481" t="s">
        <v>457</v>
      </c>
      <c r="AT481" t="s">
        <v>1172</v>
      </c>
      <c r="AU481" t="s">
        <v>219</v>
      </c>
      <c r="AW481" s="4">
        <f t="shared" si="248"/>
        <v>6</v>
      </c>
      <c r="AX481" s="4">
        <f t="shared" si="249"/>
        <v>4</v>
      </c>
      <c r="AY481" s="4">
        <f t="shared" si="250"/>
        <v>4</v>
      </c>
      <c r="AZ481" s="4">
        <f t="shared" si="251"/>
        <v>2</v>
      </c>
      <c r="BA481" s="4">
        <f t="shared" si="252"/>
        <v>4</v>
      </c>
      <c r="BB481" s="4">
        <f t="shared" si="253"/>
        <v>4</v>
      </c>
      <c r="BC481" s="4">
        <f t="shared" si="254"/>
        <v>4</v>
      </c>
      <c r="BD481" s="4">
        <f t="shared" si="255"/>
        <v>2</v>
      </c>
      <c r="BE481" s="4" t="str">
        <f t="shared" si="256"/>
        <v>0</v>
      </c>
      <c r="BF481" s="4">
        <f t="shared" si="257"/>
        <v>2</v>
      </c>
      <c r="BG481" s="4">
        <f t="shared" si="258"/>
        <v>4</v>
      </c>
      <c r="BH481" s="4">
        <f t="shared" si="259"/>
        <v>4</v>
      </c>
      <c r="BI481" s="4">
        <f t="shared" si="260"/>
        <v>4</v>
      </c>
      <c r="BJ481" s="4">
        <f t="shared" si="261"/>
        <v>2</v>
      </c>
      <c r="BK481" s="4">
        <f t="shared" si="262"/>
        <v>4</v>
      </c>
      <c r="BL481" s="4" t="str">
        <f t="shared" si="263"/>
        <v>0</v>
      </c>
      <c r="BM481" s="4">
        <f t="shared" si="264"/>
        <v>4</v>
      </c>
      <c r="BN481" s="4">
        <f t="shared" si="265"/>
        <v>4</v>
      </c>
      <c r="BO481" s="4">
        <f t="shared" si="266"/>
        <v>4</v>
      </c>
      <c r="BP481" s="4">
        <f t="shared" si="267"/>
        <v>4</v>
      </c>
      <c r="BQ481" s="4">
        <f t="shared" si="268"/>
        <v>6</v>
      </c>
      <c r="BR481" s="4">
        <f t="shared" si="269"/>
        <v>4</v>
      </c>
      <c r="BS481" s="4">
        <f t="shared" si="270"/>
        <v>4</v>
      </c>
      <c r="BT481" s="4">
        <f t="shared" si="271"/>
        <v>4</v>
      </c>
      <c r="BU481" s="4">
        <f t="shared" si="272"/>
        <v>4</v>
      </c>
      <c r="BV481" s="4" t="str">
        <f t="shared" si="273"/>
        <v>0</v>
      </c>
      <c r="BW481" s="4">
        <f t="shared" si="274"/>
        <v>6</v>
      </c>
      <c r="BX481" s="4">
        <f t="shared" si="275"/>
        <v>0</v>
      </c>
      <c r="BY481" s="4">
        <f t="shared" si="276"/>
        <v>0</v>
      </c>
      <c r="BZ481" s="37">
        <f t="shared" si="277"/>
        <v>94</v>
      </c>
      <c r="CA481" s="32" t="str">
        <f>VLOOKUP(J:J,'Agent wise'!A:C,3,0)</f>
        <v>Adharsh</v>
      </c>
      <c r="CB481" s="32">
        <f t="shared" si="278"/>
        <v>45938</v>
      </c>
      <c r="CC481" t="str">
        <f t="shared" si="279"/>
        <v>Good</v>
      </c>
      <c r="CE481" s="32"/>
      <c r="CJ481">
        <f t="shared" si="280"/>
        <v>8</v>
      </c>
      <c r="CK481">
        <f t="shared" si="281"/>
        <v>10</v>
      </c>
      <c r="CL481">
        <f t="shared" si="282"/>
        <v>2025</v>
      </c>
    </row>
    <row r="482" spans="1:90" ht="15" customHeight="1" x14ac:dyDescent="0.35">
      <c r="A482" s="40">
        <v>45879.814768518518</v>
      </c>
      <c r="B482" t="s">
        <v>250</v>
      </c>
      <c r="C482" t="s">
        <v>214</v>
      </c>
      <c r="D482" t="s">
        <v>251</v>
      </c>
      <c r="E482" s="32">
        <v>45938</v>
      </c>
      <c r="F482" t="s">
        <v>54</v>
      </c>
      <c r="G482" s="2">
        <v>45848</v>
      </c>
      <c r="H482">
        <v>9443327165</v>
      </c>
      <c r="I482">
        <v>154</v>
      </c>
      <c r="J482" t="s">
        <v>91</v>
      </c>
      <c r="K482" t="s">
        <v>57</v>
      </c>
      <c r="L482" t="s">
        <v>58</v>
      </c>
      <c r="M482" t="s">
        <v>59</v>
      </c>
      <c r="N482" t="s">
        <v>60</v>
      </c>
      <c r="O482" t="s">
        <v>59</v>
      </c>
      <c r="P482" t="s">
        <v>59</v>
      </c>
      <c r="Q482" t="s">
        <v>59</v>
      </c>
      <c r="R482" t="s">
        <v>59</v>
      </c>
      <c r="S482" t="s">
        <v>59</v>
      </c>
      <c r="T482" t="s">
        <v>59</v>
      </c>
      <c r="U482" t="s">
        <v>60</v>
      </c>
      <c r="V482" t="s">
        <v>59</v>
      </c>
      <c r="W482" t="s">
        <v>59</v>
      </c>
      <c r="X482" t="s">
        <v>59</v>
      </c>
      <c r="Y482" t="s">
        <v>59</v>
      </c>
      <c r="Z482" t="s">
        <v>59</v>
      </c>
      <c r="AA482" t="s">
        <v>60</v>
      </c>
      <c r="AB482" t="s">
        <v>59</v>
      </c>
      <c r="AC482" t="s">
        <v>60</v>
      </c>
      <c r="AD482" t="s">
        <v>59</v>
      </c>
      <c r="AE482" t="s">
        <v>59</v>
      </c>
      <c r="AF482" t="s">
        <v>59</v>
      </c>
      <c r="AG482" t="s">
        <v>59</v>
      </c>
      <c r="AH482" t="s">
        <v>61</v>
      </c>
      <c r="AI482" t="s">
        <v>61</v>
      </c>
      <c r="AJ482" t="s">
        <v>59</v>
      </c>
      <c r="AK482" t="s">
        <v>59</v>
      </c>
      <c r="AL482" t="s">
        <v>60</v>
      </c>
      <c r="AM482" t="s">
        <v>59</v>
      </c>
      <c r="AN482" t="s">
        <v>59</v>
      </c>
      <c r="AO482" t="s">
        <v>59</v>
      </c>
      <c r="AP482" t="s">
        <v>1173</v>
      </c>
      <c r="AQ482" t="s">
        <v>1174</v>
      </c>
      <c r="AR482" t="s">
        <v>226</v>
      </c>
      <c r="AS482" t="s">
        <v>889</v>
      </c>
      <c r="AT482" t="s">
        <v>1175</v>
      </c>
      <c r="AU482" t="s">
        <v>219</v>
      </c>
      <c r="AW482" s="4">
        <f t="shared" si="248"/>
        <v>6</v>
      </c>
      <c r="AX482" s="4" t="str">
        <f t="shared" si="249"/>
        <v>0</v>
      </c>
      <c r="AY482" s="4">
        <f t="shared" si="250"/>
        <v>4</v>
      </c>
      <c r="AZ482" s="4">
        <f t="shared" si="251"/>
        <v>2</v>
      </c>
      <c r="BA482" s="4">
        <f t="shared" si="252"/>
        <v>4</v>
      </c>
      <c r="BB482" s="4">
        <f t="shared" si="253"/>
        <v>4</v>
      </c>
      <c r="BC482" s="4">
        <f t="shared" si="254"/>
        <v>4</v>
      </c>
      <c r="BD482" s="4">
        <f t="shared" si="255"/>
        <v>2</v>
      </c>
      <c r="BE482" s="4" t="str">
        <f t="shared" si="256"/>
        <v>0</v>
      </c>
      <c r="BF482" s="4">
        <f t="shared" si="257"/>
        <v>2</v>
      </c>
      <c r="BG482" s="4">
        <f t="shared" si="258"/>
        <v>4</v>
      </c>
      <c r="BH482" s="4">
        <f t="shared" si="259"/>
        <v>4</v>
      </c>
      <c r="BI482" s="4">
        <f t="shared" si="260"/>
        <v>4</v>
      </c>
      <c r="BJ482" s="4">
        <f t="shared" si="261"/>
        <v>2</v>
      </c>
      <c r="BK482" s="4" t="str">
        <f t="shared" si="262"/>
        <v>0</v>
      </c>
      <c r="BL482" s="4">
        <f t="shared" si="263"/>
        <v>2</v>
      </c>
      <c r="BM482" s="4" t="str">
        <f t="shared" si="264"/>
        <v>0</v>
      </c>
      <c r="BN482" s="4">
        <f t="shared" si="265"/>
        <v>4</v>
      </c>
      <c r="BO482" s="4">
        <f t="shared" si="266"/>
        <v>4</v>
      </c>
      <c r="BP482" s="4">
        <f t="shared" si="267"/>
        <v>4</v>
      </c>
      <c r="BQ482" s="4">
        <f t="shared" si="268"/>
        <v>6</v>
      </c>
      <c r="BR482" s="4">
        <f t="shared" si="269"/>
        <v>4</v>
      </c>
      <c r="BS482" s="4">
        <f t="shared" si="270"/>
        <v>4</v>
      </c>
      <c r="BT482" s="4">
        <f t="shared" si="271"/>
        <v>4</v>
      </c>
      <c r="BU482" s="4">
        <f t="shared" si="272"/>
        <v>4</v>
      </c>
      <c r="BV482" s="4" t="str">
        <f t="shared" si="273"/>
        <v>0</v>
      </c>
      <c r="BW482" s="4">
        <f t="shared" si="274"/>
        <v>6</v>
      </c>
      <c r="BX482" s="4">
        <f t="shared" si="275"/>
        <v>0</v>
      </c>
      <c r="BY482" s="4">
        <f t="shared" si="276"/>
        <v>0</v>
      </c>
      <c r="BZ482" s="37">
        <f t="shared" si="277"/>
        <v>84</v>
      </c>
      <c r="CA482" s="32" t="str">
        <f>VLOOKUP(J:J,'Agent wise'!A:C,3,0)</f>
        <v>Saran S</v>
      </c>
      <c r="CB482" s="32">
        <f t="shared" si="278"/>
        <v>45938</v>
      </c>
      <c r="CC482" t="str">
        <f t="shared" si="279"/>
        <v>FC</v>
      </c>
      <c r="CE482" s="32"/>
      <c r="CJ482">
        <f t="shared" si="280"/>
        <v>8</v>
      </c>
      <c r="CK482">
        <f t="shared" si="281"/>
        <v>10</v>
      </c>
      <c r="CL482">
        <f t="shared" si="282"/>
        <v>2025</v>
      </c>
    </row>
    <row r="483" spans="1:90" ht="15" customHeight="1" x14ac:dyDescent="0.35">
      <c r="A483" s="40">
        <v>45879.817743055559</v>
      </c>
      <c r="B483" t="s">
        <v>250</v>
      </c>
      <c r="C483" t="s">
        <v>214</v>
      </c>
      <c r="D483" t="s">
        <v>251</v>
      </c>
      <c r="E483" s="32">
        <v>45937</v>
      </c>
      <c r="F483" t="s">
        <v>54</v>
      </c>
      <c r="G483" s="2">
        <v>45848</v>
      </c>
      <c r="H483">
        <v>9499913267</v>
      </c>
      <c r="I483">
        <v>167</v>
      </c>
      <c r="J483" t="s">
        <v>1176</v>
      </c>
      <c r="K483" t="s">
        <v>71</v>
      </c>
      <c r="L483" t="s">
        <v>72</v>
      </c>
      <c r="M483" t="s">
        <v>59</v>
      </c>
      <c r="N483" t="s">
        <v>59</v>
      </c>
      <c r="O483" t="s">
        <v>59</v>
      </c>
      <c r="P483" t="s">
        <v>59</v>
      </c>
      <c r="Q483" t="s">
        <v>59</v>
      </c>
      <c r="R483" t="s">
        <v>59</v>
      </c>
      <c r="S483" t="s">
        <v>59</v>
      </c>
      <c r="T483" t="s">
        <v>59</v>
      </c>
      <c r="U483" t="s">
        <v>60</v>
      </c>
      <c r="V483" t="s">
        <v>59</v>
      </c>
      <c r="W483" t="s">
        <v>59</v>
      </c>
      <c r="X483" t="s">
        <v>59</v>
      </c>
      <c r="Y483" t="s">
        <v>59</v>
      </c>
      <c r="Z483" t="s">
        <v>60</v>
      </c>
      <c r="AA483" t="s">
        <v>60</v>
      </c>
      <c r="AB483" t="s">
        <v>59</v>
      </c>
      <c r="AC483" t="s">
        <v>59</v>
      </c>
      <c r="AD483" t="s">
        <v>59</v>
      </c>
      <c r="AE483" t="s">
        <v>59</v>
      </c>
      <c r="AF483" t="s">
        <v>59</v>
      </c>
      <c r="AG483" t="s">
        <v>59</v>
      </c>
      <c r="AH483" t="s">
        <v>61</v>
      </c>
      <c r="AI483" t="s">
        <v>61</v>
      </c>
      <c r="AJ483" t="s">
        <v>59</v>
      </c>
      <c r="AK483" t="s">
        <v>59</v>
      </c>
      <c r="AL483" t="s">
        <v>60</v>
      </c>
      <c r="AM483" t="s">
        <v>59</v>
      </c>
      <c r="AN483" t="s">
        <v>59</v>
      </c>
      <c r="AO483" t="s">
        <v>59</v>
      </c>
      <c r="AP483" t="s">
        <v>1177</v>
      </c>
      <c r="AQ483" t="s">
        <v>1178</v>
      </c>
      <c r="AR483" t="s">
        <v>64</v>
      </c>
      <c r="AS483" t="s">
        <v>255</v>
      </c>
      <c r="AT483" t="s">
        <v>256</v>
      </c>
      <c r="AU483" t="s">
        <v>219</v>
      </c>
      <c r="AW483" s="4">
        <f t="shared" si="248"/>
        <v>6</v>
      </c>
      <c r="AX483" s="4">
        <f t="shared" si="249"/>
        <v>4</v>
      </c>
      <c r="AY483" s="4">
        <f t="shared" si="250"/>
        <v>4</v>
      </c>
      <c r="AZ483" s="4">
        <f t="shared" si="251"/>
        <v>2</v>
      </c>
      <c r="BA483" s="4">
        <f t="shared" si="252"/>
        <v>4</v>
      </c>
      <c r="BB483" s="4">
        <f t="shared" si="253"/>
        <v>4</v>
      </c>
      <c r="BC483" s="4">
        <f t="shared" si="254"/>
        <v>4</v>
      </c>
      <c r="BD483" s="4">
        <f t="shared" si="255"/>
        <v>2</v>
      </c>
      <c r="BE483" s="4" t="str">
        <f t="shared" si="256"/>
        <v>0</v>
      </c>
      <c r="BF483" s="4">
        <f t="shared" si="257"/>
        <v>2</v>
      </c>
      <c r="BG483" s="4">
        <f t="shared" si="258"/>
        <v>4</v>
      </c>
      <c r="BH483" s="4">
        <f t="shared" si="259"/>
        <v>4</v>
      </c>
      <c r="BI483" s="4">
        <f t="shared" si="260"/>
        <v>4</v>
      </c>
      <c r="BJ483" s="4" t="str">
        <f t="shared" si="261"/>
        <v>0</v>
      </c>
      <c r="BK483" s="4" t="str">
        <f t="shared" si="262"/>
        <v>0</v>
      </c>
      <c r="BL483" s="4">
        <f t="shared" si="263"/>
        <v>2</v>
      </c>
      <c r="BM483" s="4">
        <f t="shared" si="264"/>
        <v>4</v>
      </c>
      <c r="BN483" s="4">
        <f t="shared" si="265"/>
        <v>4</v>
      </c>
      <c r="BO483" s="4">
        <f t="shared" si="266"/>
        <v>4</v>
      </c>
      <c r="BP483" s="4">
        <f t="shared" si="267"/>
        <v>4</v>
      </c>
      <c r="BQ483" s="4">
        <f t="shared" si="268"/>
        <v>6</v>
      </c>
      <c r="BR483" s="4">
        <f t="shared" si="269"/>
        <v>4</v>
      </c>
      <c r="BS483" s="4">
        <f t="shared" si="270"/>
        <v>4</v>
      </c>
      <c r="BT483" s="4">
        <f t="shared" si="271"/>
        <v>4</v>
      </c>
      <c r="BU483" s="4">
        <f t="shared" si="272"/>
        <v>4</v>
      </c>
      <c r="BV483" s="4" t="str">
        <f t="shared" si="273"/>
        <v>0</v>
      </c>
      <c r="BW483" s="4">
        <f t="shared" si="274"/>
        <v>6</v>
      </c>
      <c r="BX483" s="4">
        <f t="shared" si="275"/>
        <v>0</v>
      </c>
      <c r="BY483" s="4">
        <f t="shared" si="276"/>
        <v>0</v>
      </c>
      <c r="BZ483" s="37">
        <f t="shared" si="277"/>
        <v>90</v>
      </c>
      <c r="CA483" s="32" t="e">
        <f>VLOOKUP(J:J,'Agent wise'!A:C,3,0)</f>
        <v>#N/A</v>
      </c>
      <c r="CB483" s="32">
        <f t="shared" si="278"/>
        <v>45937</v>
      </c>
      <c r="CC483" t="str">
        <f t="shared" si="279"/>
        <v>Good</v>
      </c>
      <c r="CE483" s="32"/>
      <c r="CJ483">
        <f t="shared" si="280"/>
        <v>7</v>
      </c>
      <c r="CK483">
        <f t="shared" si="281"/>
        <v>10</v>
      </c>
      <c r="CL483">
        <f t="shared" si="282"/>
        <v>2025</v>
      </c>
    </row>
    <row r="484" spans="1:90" ht="15" customHeight="1" x14ac:dyDescent="0.35">
      <c r="A484" s="40">
        <v>45879.820115740738</v>
      </c>
      <c r="B484" t="s">
        <v>250</v>
      </c>
      <c r="C484" t="s">
        <v>214</v>
      </c>
      <c r="D484" t="s">
        <v>251</v>
      </c>
      <c r="E484" s="32">
        <v>45938</v>
      </c>
      <c r="F484" t="s">
        <v>54</v>
      </c>
      <c r="G484" s="2">
        <v>45848</v>
      </c>
      <c r="H484">
        <v>8281878683</v>
      </c>
      <c r="I484">
        <v>143</v>
      </c>
      <c r="J484" t="s">
        <v>75</v>
      </c>
      <c r="K484" t="s">
        <v>57</v>
      </c>
      <c r="L484" t="s">
        <v>58</v>
      </c>
      <c r="M484" t="s">
        <v>59</v>
      </c>
      <c r="N484" t="s">
        <v>59</v>
      </c>
      <c r="O484" t="s">
        <v>59</v>
      </c>
      <c r="P484" t="s">
        <v>59</v>
      </c>
      <c r="Q484" t="s">
        <v>59</v>
      </c>
      <c r="R484" t="s">
        <v>59</v>
      </c>
      <c r="S484" t="s">
        <v>59</v>
      </c>
      <c r="T484" t="s">
        <v>59</v>
      </c>
      <c r="U484" t="s">
        <v>60</v>
      </c>
      <c r="V484" t="s">
        <v>59</v>
      </c>
      <c r="W484" t="s">
        <v>59</v>
      </c>
      <c r="X484" t="s">
        <v>59</v>
      </c>
      <c r="Y484" t="s">
        <v>59</v>
      </c>
      <c r="Z484" t="s">
        <v>59</v>
      </c>
      <c r="AA484" t="s">
        <v>59</v>
      </c>
      <c r="AB484" t="s">
        <v>60</v>
      </c>
      <c r="AC484" t="s">
        <v>59</v>
      </c>
      <c r="AD484" t="s">
        <v>59</v>
      </c>
      <c r="AE484" t="s">
        <v>59</v>
      </c>
      <c r="AF484" t="s">
        <v>59</v>
      </c>
      <c r="AG484" t="s">
        <v>59</v>
      </c>
      <c r="AH484" t="s">
        <v>61</v>
      </c>
      <c r="AI484" t="s">
        <v>61</v>
      </c>
      <c r="AJ484" t="s">
        <v>59</v>
      </c>
      <c r="AK484" t="s">
        <v>59</v>
      </c>
      <c r="AL484" t="s">
        <v>59</v>
      </c>
      <c r="AM484" t="s">
        <v>59</v>
      </c>
      <c r="AN484" t="s">
        <v>59</v>
      </c>
      <c r="AO484" t="s">
        <v>59</v>
      </c>
      <c r="AP484" t="s">
        <v>314</v>
      </c>
      <c r="AQ484" t="s">
        <v>1179</v>
      </c>
      <c r="AR484" t="s">
        <v>64</v>
      </c>
      <c r="AS484" t="s">
        <v>417</v>
      </c>
      <c r="AT484" t="s">
        <v>418</v>
      </c>
      <c r="AU484" t="s">
        <v>219</v>
      </c>
      <c r="AW484" s="4">
        <f t="shared" si="248"/>
        <v>6</v>
      </c>
      <c r="AX484" s="4">
        <f t="shared" si="249"/>
        <v>4</v>
      </c>
      <c r="AY484" s="4">
        <f t="shared" si="250"/>
        <v>4</v>
      </c>
      <c r="AZ484" s="4">
        <f t="shared" si="251"/>
        <v>2</v>
      </c>
      <c r="BA484" s="4">
        <f t="shared" si="252"/>
        <v>4</v>
      </c>
      <c r="BB484" s="4">
        <f t="shared" si="253"/>
        <v>4</v>
      </c>
      <c r="BC484" s="4">
        <f t="shared" si="254"/>
        <v>4</v>
      </c>
      <c r="BD484" s="4">
        <f t="shared" si="255"/>
        <v>2</v>
      </c>
      <c r="BE484" s="4" t="str">
        <f t="shared" si="256"/>
        <v>0</v>
      </c>
      <c r="BF484" s="4">
        <f t="shared" si="257"/>
        <v>2</v>
      </c>
      <c r="BG484" s="4">
        <f t="shared" si="258"/>
        <v>4</v>
      </c>
      <c r="BH484" s="4">
        <f t="shared" si="259"/>
        <v>4</v>
      </c>
      <c r="BI484" s="4">
        <f t="shared" si="260"/>
        <v>4</v>
      </c>
      <c r="BJ484" s="4">
        <f t="shared" si="261"/>
        <v>2</v>
      </c>
      <c r="BK484" s="4">
        <f t="shared" si="262"/>
        <v>4</v>
      </c>
      <c r="BL484" s="4" t="str">
        <f t="shared" si="263"/>
        <v>0</v>
      </c>
      <c r="BM484" s="4">
        <f t="shared" si="264"/>
        <v>4</v>
      </c>
      <c r="BN484" s="4">
        <f t="shared" si="265"/>
        <v>4</v>
      </c>
      <c r="BO484" s="4">
        <f t="shared" si="266"/>
        <v>4</v>
      </c>
      <c r="BP484" s="4">
        <f t="shared" si="267"/>
        <v>4</v>
      </c>
      <c r="BQ484" s="4">
        <f t="shared" si="268"/>
        <v>6</v>
      </c>
      <c r="BR484" s="4">
        <f t="shared" si="269"/>
        <v>4</v>
      </c>
      <c r="BS484" s="4">
        <f t="shared" si="270"/>
        <v>4</v>
      </c>
      <c r="BT484" s="4">
        <f t="shared" si="271"/>
        <v>4</v>
      </c>
      <c r="BU484" s="4">
        <f t="shared" si="272"/>
        <v>4</v>
      </c>
      <c r="BV484" s="4">
        <f t="shared" si="273"/>
        <v>0</v>
      </c>
      <c r="BW484" s="4">
        <f t="shared" si="274"/>
        <v>6</v>
      </c>
      <c r="BX484" s="4">
        <f t="shared" si="275"/>
        <v>0</v>
      </c>
      <c r="BY484" s="4">
        <f t="shared" si="276"/>
        <v>0</v>
      </c>
      <c r="BZ484" s="37">
        <f t="shared" si="277"/>
        <v>94</v>
      </c>
      <c r="CA484" s="32" t="str">
        <f>VLOOKUP(J:J,'Agent wise'!A:C,3,0)</f>
        <v>Saran S</v>
      </c>
      <c r="CB484" s="32">
        <f t="shared" si="278"/>
        <v>45938</v>
      </c>
      <c r="CC484" t="str">
        <f t="shared" si="279"/>
        <v>Good</v>
      </c>
      <c r="CE484" s="32"/>
      <c r="CJ484">
        <f t="shared" si="280"/>
        <v>8</v>
      </c>
      <c r="CK484">
        <f t="shared" si="281"/>
        <v>10</v>
      </c>
      <c r="CL484">
        <f t="shared" si="282"/>
        <v>2025</v>
      </c>
    </row>
    <row r="485" spans="1:90" ht="15" customHeight="1" x14ac:dyDescent="0.35">
      <c r="A485" s="40">
        <v>45879.824594907397</v>
      </c>
      <c r="B485" t="s">
        <v>698</v>
      </c>
      <c r="C485" t="s">
        <v>214</v>
      </c>
      <c r="D485" t="s">
        <v>221</v>
      </c>
      <c r="E485" s="32">
        <v>45938</v>
      </c>
      <c r="F485" t="s">
        <v>222</v>
      </c>
      <c r="G485" s="2">
        <v>45879</v>
      </c>
      <c r="H485">
        <v>8078585518</v>
      </c>
      <c r="I485">
        <v>159</v>
      </c>
      <c r="J485" t="s">
        <v>242</v>
      </c>
      <c r="K485" t="s">
        <v>57</v>
      </c>
      <c r="L485" t="s">
        <v>58</v>
      </c>
      <c r="M485" t="s">
        <v>59</v>
      </c>
      <c r="N485" t="s">
        <v>59</v>
      </c>
      <c r="O485" t="s">
        <v>59</v>
      </c>
      <c r="P485" t="s">
        <v>59</v>
      </c>
      <c r="Q485" t="s">
        <v>59</v>
      </c>
      <c r="R485" t="s">
        <v>59</v>
      </c>
      <c r="S485" t="s">
        <v>59</v>
      </c>
      <c r="T485" t="s">
        <v>59</v>
      </c>
      <c r="U485" t="s">
        <v>59</v>
      </c>
      <c r="V485" t="s">
        <v>59</v>
      </c>
      <c r="W485" t="s">
        <v>59</v>
      </c>
      <c r="X485" t="s">
        <v>59</v>
      </c>
      <c r="Y485" t="s">
        <v>59</v>
      </c>
      <c r="Z485" t="s">
        <v>59</v>
      </c>
      <c r="AA485" t="s">
        <v>59</v>
      </c>
      <c r="AB485" t="s">
        <v>59</v>
      </c>
      <c r="AC485" t="s">
        <v>59</v>
      </c>
      <c r="AD485" t="s">
        <v>59</v>
      </c>
      <c r="AE485" t="s">
        <v>59</v>
      </c>
      <c r="AF485" t="s">
        <v>59</v>
      </c>
      <c r="AG485" t="s">
        <v>59</v>
      </c>
      <c r="AH485" t="s">
        <v>61</v>
      </c>
      <c r="AI485" t="s">
        <v>59</v>
      </c>
      <c r="AJ485" t="s">
        <v>59</v>
      </c>
      <c r="AK485" t="s">
        <v>59</v>
      </c>
      <c r="AL485" t="s">
        <v>59</v>
      </c>
      <c r="AM485" t="s">
        <v>59</v>
      </c>
      <c r="AN485" t="s">
        <v>59</v>
      </c>
      <c r="AO485" t="s">
        <v>59</v>
      </c>
      <c r="AP485" t="s">
        <v>219</v>
      </c>
      <c r="AQ485" t="s">
        <v>1180</v>
      </c>
      <c r="AR485" t="s">
        <v>226</v>
      </c>
      <c r="AS485" t="s">
        <v>249</v>
      </c>
      <c r="AT485" t="s">
        <v>249</v>
      </c>
      <c r="AU485" t="s">
        <v>219</v>
      </c>
      <c r="AW485" s="4">
        <f t="shared" si="248"/>
        <v>6</v>
      </c>
      <c r="AX485" s="4">
        <f t="shared" si="249"/>
        <v>4</v>
      </c>
      <c r="AY485" s="4">
        <f t="shared" si="250"/>
        <v>4</v>
      </c>
      <c r="AZ485" s="4">
        <f t="shared" si="251"/>
        <v>2</v>
      </c>
      <c r="BA485" s="4">
        <f t="shared" si="252"/>
        <v>4</v>
      </c>
      <c r="BB485" s="4">
        <f t="shared" si="253"/>
        <v>4</v>
      </c>
      <c r="BC485" s="4">
        <f t="shared" si="254"/>
        <v>4</v>
      </c>
      <c r="BD485" s="4">
        <f t="shared" si="255"/>
        <v>2</v>
      </c>
      <c r="BE485" s="4">
        <f t="shared" si="256"/>
        <v>4</v>
      </c>
      <c r="BF485" s="4">
        <f t="shared" si="257"/>
        <v>2</v>
      </c>
      <c r="BG485" s="4">
        <f t="shared" si="258"/>
        <v>4</v>
      </c>
      <c r="BH485" s="4">
        <f t="shared" si="259"/>
        <v>4</v>
      </c>
      <c r="BI485" s="4">
        <f t="shared" si="260"/>
        <v>4</v>
      </c>
      <c r="BJ485" s="4">
        <f t="shared" si="261"/>
        <v>2</v>
      </c>
      <c r="BK485" s="4">
        <f t="shared" si="262"/>
        <v>4</v>
      </c>
      <c r="BL485" s="4">
        <f t="shared" si="263"/>
        <v>2</v>
      </c>
      <c r="BM485" s="4">
        <f t="shared" si="264"/>
        <v>4</v>
      </c>
      <c r="BN485" s="4">
        <f t="shared" si="265"/>
        <v>4</v>
      </c>
      <c r="BO485" s="4">
        <f t="shared" si="266"/>
        <v>4</v>
      </c>
      <c r="BP485" s="4">
        <f t="shared" si="267"/>
        <v>4</v>
      </c>
      <c r="BQ485" s="4">
        <f t="shared" si="268"/>
        <v>6</v>
      </c>
      <c r="BR485" s="4">
        <f t="shared" si="269"/>
        <v>4</v>
      </c>
      <c r="BS485" s="4">
        <f t="shared" si="270"/>
        <v>4</v>
      </c>
      <c r="BT485" s="4">
        <f t="shared" si="271"/>
        <v>4</v>
      </c>
      <c r="BU485" s="4">
        <f t="shared" si="272"/>
        <v>4</v>
      </c>
      <c r="BV485" s="4">
        <f t="shared" si="273"/>
        <v>0</v>
      </c>
      <c r="BW485" s="4">
        <f t="shared" si="274"/>
        <v>6</v>
      </c>
      <c r="BX485" s="4">
        <f t="shared" si="275"/>
        <v>0</v>
      </c>
      <c r="BY485" s="4">
        <f t="shared" si="276"/>
        <v>0</v>
      </c>
      <c r="BZ485" s="37">
        <f t="shared" si="277"/>
        <v>100</v>
      </c>
      <c r="CA485" s="32" t="str">
        <f>VLOOKUP(J:J,'Agent wise'!A:C,3,0)</f>
        <v>Amal</v>
      </c>
      <c r="CB485" s="32">
        <f t="shared" si="278"/>
        <v>45938</v>
      </c>
      <c r="CC485" t="str">
        <f t="shared" si="279"/>
        <v>Excellent</v>
      </c>
      <c r="CE485" s="32"/>
      <c r="CJ485">
        <f t="shared" si="280"/>
        <v>8</v>
      </c>
      <c r="CK485">
        <f t="shared" si="281"/>
        <v>10</v>
      </c>
      <c r="CL485">
        <f t="shared" si="282"/>
        <v>2025</v>
      </c>
    </row>
    <row r="486" spans="1:90" ht="15" customHeight="1" x14ac:dyDescent="0.35">
      <c r="A486" s="40">
        <v>45879.828206018523</v>
      </c>
      <c r="B486" t="s">
        <v>698</v>
      </c>
      <c r="C486" t="s">
        <v>214</v>
      </c>
      <c r="D486" t="s">
        <v>221</v>
      </c>
      <c r="E486" s="32">
        <v>45938</v>
      </c>
      <c r="F486" t="s">
        <v>222</v>
      </c>
      <c r="G486" s="2">
        <v>45879</v>
      </c>
      <c r="H486">
        <v>9544789508</v>
      </c>
      <c r="I486">
        <v>168</v>
      </c>
      <c r="J486" t="s">
        <v>391</v>
      </c>
      <c r="K486" t="s">
        <v>57</v>
      </c>
      <c r="L486" t="s">
        <v>58</v>
      </c>
      <c r="M486" t="s">
        <v>59</v>
      </c>
      <c r="N486" t="s">
        <v>59</v>
      </c>
      <c r="O486" t="s">
        <v>60</v>
      </c>
      <c r="P486" t="s">
        <v>59</v>
      </c>
      <c r="Q486" t="s">
        <v>59</v>
      </c>
      <c r="R486" t="s">
        <v>59</v>
      </c>
      <c r="S486" t="s">
        <v>59</v>
      </c>
      <c r="T486" t="s">
        <v>59</v>
      </c>
      <c r="U486" t="s">
        <v>59</v>
      </c>
      <c r="V486" t="s">
        <v>59</v>
      </c>
      <c r="W486" t="s">
        <v>59</v>
      </c>
      <c r="X486" t="s">
        <v>59</v>
      </c>
      <c r="Y486" t="s">
        <v>59</v>
      </c>
      <c r="Z486" t="s">
        <v>59</v>
      </c>
      <c r="AA486" t="s">
        <v>60</v>
      </c>
      <c r="AB486" t="s">
        <v>59</v>
      </c>
      <c r="AC486" t="s">
        <v>59</v>
      </c>
      <c r="AD486" t="s">
        <v>61</v>
      </c>
      <c r="AE486" t="s">
        <v>59</v>
      </c>
      <c r="AF486" t="s">
        <v>59</v>
      </c>
      <c r="AG486" t="s">
        <v>59</v>
      </c>
      <c r="AH486" t="s">
        <v>61</v>
      </c>
      <c r="AI486" t="s">
        <v>61</v>
      </c>
      <c r="AJ486" t="s">
        <v>59</v>
      </c>
      <c r="AK486" t="s">
        <v>59</v>
      </c>
      <c r="AL486" t="s">
        <v>60</v>
      </c>
      <c r="AM486" t="s">
        <v>59</v>
      </c>
      <c r="AN486" t="s">
        <v>59</v>
      </c>
      <c r="AO486" t="s">
        <v>59</v>
      </c>
      <c r="AP486" t="s">
        <v>1181</v>
      </c>
      <c r="AQ486" t="s">
        <v>1182</v>
      </c>
      <c r="AR486" t="s">
        <v>226</v>
      </c>
      <c r="AS486" t="s">
        <v>394</v>
      </c>
      <c r="AT486" t="s">
        <v>394</v>
      </c>
      <c r="AU486" t="s">
        <v>219</v>
      </c>
      <c r="AW486" s="4">
        <f t="shared" si="248"/>
        <v>6</v>
      </c>
      <c r="AX486" s="4">
        <f t="shared" si="249"/>
        <v>4</v>
      </c>
      <c r="AY486" s="4" t="str">
        <f t="shared" si="250"/>
        <v>0</v>
      </c>
      <c r="AZ486" s="4">
        <f t="shared" si="251"/>
        <v>2</v>
      </c>
      <c r="BA486" s="4">
        <f t="shared" si="252"/>
        <v>4</v>
      </c>
      <c r="BB486" s="4">
        <f t="shared" si="253"/>
        <v>4</v>
      </c>
      <c r="BC486" s="4">
        <f t="shared" si="254"/>
        <v>4</v>
      </c>
      <c r="BD486" s="4">
        <f t="shared" si="255"/>
        <v>2</v>
      </c>
      <c r="BE486" s="4">
        <f t="shared" si="256"/>
        <v>4</v>
      </c>
      <c r="BF486" s="4">
        <f t="shared" si="257"/>
        <v>2</v>
      </c>
      <c r="BG486" s="4">
        <f t="shared" si="258"/>
        <v>4</v>
      </c>
      <c r="BH486" s="4">
        <f t="shared" si="259"/>
        <v>4</v>
      </c>
      <c r="BI486" s="4">
        <f t="shared" si="260"/>
        <v>4</v>
      </c>
      <c r="BJ486" s="4">
        <f t="shared" si="261"/>
        <v>2</v>
      </c>
      <c r="BK486" s="4" t="str">
        <f t="shared" si="262"/>
        <v>0</v>
      </c>
      <c r="BL486" s="4">
        <f t="shared" si="263"/>
        <v>2</v>
      </c>
      <c r="BM486" s="4">
        <f t="shared" si="264"/>
        <v>4</v>
      </c>
      <c r="BN486" s="4">
        <f t="shared" si="265"/>
        <v>4</v>
      </c>
      <c r="BO486" s="4">
        <f t="shared" si="266"/>
        <v>4</v>
      </c>
      <c r="BP486" s="4">
        <f t="shared" si="267"/>
        <v>4</v>
      </c>
      <c r="BQ486" s="4">
        <f t="shared" si="268"/>
        <v>6</v>
      </c>
      <c r="BR486" s="4">
        <f t="shared" si="269"/>
        <v>4</v>
      </c>
      <c r="BS486" s="4">
        <f t="shared" si="270"/>
        <v>4</v>
      </c>
      <c r="BT486" s="4">
        <f t="shared" si="271"/>
        <v>4</v>
      </c>
      <c r="BU486" s="4">
        <f t="shared" si="272"/>
        <v>4</v>
      </c>
      <c r="BV486" s="4" t="str">
        <f t="shared" si="273"/>
        <v>0</v>
      </c>
      <c r="BW486" s="4">
        <f t="shared" si="274"/>
        <v>6</v>
      </c>
      <c r="BX486" s="4">
        <f t="shared" si="275"/>
        <v>0</v>
      </c>
      <c r="BY486" s="4">
        <f t="shared" si="276"/>
        <v>0</v>
      </c>
      <c r="BZ486" s="37">
        <f t="shared" si="277"/>
        <v>92</v>
      </c>
      <c r="CA486" s="32" t="str">
        <f>VLOOKUP(J:J,'Agent wise'!A:C,3,0)</f>
        <v>Amal</v>
      </c>
      <c r="CB486" s="32">
        <f t="shared" si="278"/>
        <v>45938</v>
      </c>
      <c r="CC486" t="str">
        <f t="shared" si="279"/>
        <v>Good</v>
      </c>
      <c r="CE486" s="32"/>
      <c r="CJ486">
        <f t="shared" si="280"/>
        <v>8</v>
      </c>
      <c r="CK486">
        <f t="shared" si="281"/>
        <v>10</v>
      </c>
      <c r="CL486">
        <f t="shared" si="282"/>
        <v>2025</v>
      </c>
    </row>
    <row r="487" spans="1:90" ht="15" customHeight="1" x14ac:dyDescent="0.35">
      <c r="A487" s="40">
        <v>45879.83</v>
      </c>
      <c r="B487" t="s">
        <v>698</v>
      </c>
      <c r="C487" t="s">
        <v>214</v>
      </c>
      <c r="D487" t="s">
        <v>221</v>
      </c>
      <c r="E487" s="32">
        <v>45938</v>
      </c>
      <c r="F487" t="s">
        <v>222</v>
      </c>
      <c r="G487" s="2">
        <v>45879</v>
      </c>
      <c r="H487">
        <v>9597674728</v>
      </c>
      <c r="I487">
        <v>174</v>
      </c>
      <c r="J487" t="s">
        <v>409</v>
      </c>
      <c r="K487" t="s">
        <v>71</v>
      </c>
      <c r="L487" t="s">
        <v>72</v>
      </c>
      <c r="M487" t="s">
        <v>59</v>
      </c>
      <c r="N487" t="s">
        <v>59</v>
      </c>
      <c r="O487" t="s">
        <v>59</v>
      </c>
      <c r="P487" t="s">
        <v>59</v>
      </c>
      <c r="Q487" t="s">
        <v>59</v>
      </c>
      <c r="R487" t="s">
        <v>59</v>
      </c>
      <c r="S487" t="s">
        <v>59</v>
      </c>
      <c r="T487" t="s">
        <v>59</v>
      </c>
      <c r="U487" t="s">
        <v>59</v>
      </c>
      <c r="V487" t="s">
        <v>59</v>
      </c>
      <c r="W487" t="s">
        <v>59</v>
      </c>
      <c r="X487" t="s">
        <v>59</v>
      </c>
      <c r="Y487" t="s">
        <v>59</v>
      </c>
      <c r="Z487" t="s">
        <v>59</v>
      </c>
      <c r="AA487" t="s">
        <v>59</v>
      </c>
      <c r="AB487" t="s">
        <v>59</v>
      </c>
      <c r="AC487" t="s">
        <v>59</v>
      </c>
      <c r="AD487" t="s">
        <v>59</v>
      </c>
      <c r="AE487" t="s">
        <v>59</v>
      </c>
      <c r="AF487" t="s">
        <v>59</v>
      </c>
      <c r="AG487" t="s">
        <v>59</v>
      </c>
      <c r="AH487" t="s">
        <v>61</v>
      </c>
      <c r="AI487" t="s">
        <v>59</v>
      </c>
      <c r="AJ487" t="s">
        <v>59</v>
      </c>
      <c r="AK487" t="s">
        <v>59</v>
      </c>
      <c r="AL487" t="s">
        <v>59</v>
      </c>
      <c r="AM487" t="s">
        <v>59</v>
      </c>
      <c r="AN487" t="s">
        <v>59</v>
      </c>
      <c r="AO487" t="s">
        <v>59</v>
      </c>
      <c r="AP487" t="s">
        <v>228</v>
      </c>
      <c r="AQ487" t="s">
        <v>960</v>
      </c>
      <c r="AR487" t="s">
        <v>226</v>
      </c>
      <c r="AS487" t="s">
        <v>249</v>
      </c>
      <c r="AT487" t="s">
        <v>249</v>
      </c>
      <c r="AU487" t="s">
        <v>219</v>
      </c>
      <c r="AW487" s="4">
        <f t="shared" si="248"/>
        <v>6</v>
      </c>
      <c r="AX487" s="4">
        <f t="shared" si="249"/>
        <v>4</v>
      </c>
      <c r="AY487" s="4">
        <f t="shared" si="250"/>
        <v>4</v>
      </c>
      <c r="AZ487" s="4">
        <f t="shared" si="251"/>
        <v>2</v>
      </c>
      <c r="BA487" s="4">
        <f t="shared" si="252"/>
        <v>4</v>
      </c>
      <c r="BB487" s="4">
        <f t="shared" si="253"/>
        <v>4</v>
      </c>
      <c r="BC487" s="4">
        <f t="shared" si="254"/>
        <v>4</v>
      </c>
      <c r="BD487" s="4">
        <f t="shared" si="255"/>
        <v>2</v>
      </c>
      <c r="BE487" s="4">
        <f t="shared" si="256"/>
        <v>4</v>
      </c>
      <c r="BF487" s="4">
        <f t="shared" si="257"/>
        <v>2</v>
      </c>
      <c r="BG487" s="4">
        <f t="shared" si="258"/>
        <v>4</v>
      </c>
      <c r="BH487" s="4">
        <f t="shared" si="259"/>
        <v>4</v>
      </c>
      <c r="BI487" s="4">
        <f t="shared" si="260"/>
        <v>4</v>
      </c>
      <c r="BJ487" s="4">
        <f t="shared" si="261"/>
        <v>2</v>
      </c>
      <c r="BK487" s="4">
        <f t="shared" si="262"/>
        <v>4</v>
      </c>
      <c r="BL487" s="4">
        <f t="shared" si="263"/>
        <v>2</v>
      </c>
      <c r="BM487" s="4">
        <f t="shared" si="264"/>
        <v>4</v>
      </c>
      <c r="BN487" s="4">
        <f t="shared" si="265"/>
        <v>4</v>
      </c>
      <c r="BO487" s="4">
        <f t="shared" si="266"/>
        <v>4</v>
      </c>
      <c r="BP487" s="4">
        <f t="shared" si="267"/>
        <v>4</v>
      </c>
      <c r="BQ487" s="4">
        <f t="shared" si="268"/>
        <v>6</v>
      </c>
      <c r="BR487" s="4">
        <f t="shared" si="269"/>
        <v>4</v>
      </c>
      <c r="BS487" s="4">
        <f t="shared" si="270"/>
        <v>4</v>
      </c>
      <c r="BT487" s="4">
        <f t="shared" si="271"/>
        <v>4</v>
      </c>
      <c r="BU487" s="4">
        <f t="shared" si="272"/>
        <v>4</v>
      </c>
      <c r="BV487" s="4">
        <f t="shared" si="273"/>
        <v>0</v>
      </c>
      <c r="BW487" s="4">
        <f t="shared" si="274"/>
        <v>6</v>
      </c>
      <c r="BX487" s="4">
        <f t="shared" si="275"/>
        <v>0</v>
      </c>
      <c r="BY487" s="4">
        <f t="shared" si="276"/>
        <v>0</v>
      </c>
      <c r="BZ487" s="37">
        <f t="shared" si="277"/>
        <v>100</v>
      </c>
      <c r="CA487" s="32" t="str">
        <f>VLOOKUP(J:J,'Agent wise'!A:C,3,0)</f>
        <v>Amal</v>
      </c>
      <c r="CB487" s="32">
        <f t="shared" si="278"/>
        <v>45938</v>
      </c>
      <c r="CC487" t="str">
        <f t="shared" si="279"/>
        <v>Excellent</v>
      </c>
      <c r="CE487" s="32"/>
      <c r="CJ487">
        <f t="shared" si="280"/>
        <v>8</v>
      </c>
      <c r="CK487">
        <f t="shared" si="281"/>
        <v>10</v>
      </c>
      <c r="CL487">
        <f t="shared" si="282"/>
        <v>2025</v>
      </c>
    </row>
    <row r="488" spans="1:90" ht="15" customHeight="1" x14ac:dyDescent="0.35">
      <c r="A488" s="40">
        <v>45879.833043981482</v>
      </c>
      <c r="B488" t="s">
        <v>698</v>
      </c>
      <c r="C488" t="s">
        <v>214</v>
      </c>
      <c r="D488" t="s">
        <v>221</v>
      </c>
      <c r="E488" s="32">
        <v>45938</v>
      </c>
      <c r="F488" t="s">
        <v>222</v>
      </c>
      <c r="G488" s="2">
        <v>45879</v>
      </c>
      <c r="H488">
        <v>8547816224</v>
      </c>
      <c r="I488">
        <v>179</v>
      </c>
      <c r="J488" t="s">
        <v>420</v>
      </c>
      <c r="K488" t="s">
        <v>57</v>
      </c>
      <c r="L488" t="s">
        <v>58</v>
      </c>
      <c r="M488" t="s">
        <v>59</v>
      </c>
      <c r="N488" t="s">
        <v>59</v>
      </c>
      <c r="O488" t="s">
        <v>59</v>
      </c>
      <c r="P488" t="s">
        <v>59</v>
      </c>
      <c r="Q488" t="s">
        <v>59</v>
      </c>
      <c r="R488" t="s">
        <v>59</v>
      </c>
      <c r="S488" t="s">
        <v>59</v>
      </c>
      <c r="T488" t="s">
        <v>59</v>
      </c>
      <c r="U488" t="s">
        <v>59</v>
      </c>
      <c r="V488" t="s">
        <v>59</v>
      </c>
      <c r="W488" t="s">
        <v>59</v>
      </c>
      <c r="X488" t="s">
        <v>59</v>
      </c>
      <c r="Y488" t="s">
        <v>59</v>
      </c>
      <c r="Z488" t="s">
        <v>59</v>
      </c>
      <c r="AA488" t="s">
        <v>59</v>
      </c>
      <c r="AB488" t="s">
        <v>59</v>
      </c>
      <c r="AC488" t="s">
        <v>59</v>
      </c>
      <c r="AD488" t="s">
        <v>59</v>
      </c>
      <c r="AE488" t="s">
        <v>59</v>
      </c>
      <c r="AF488" t="s">
        <v>59</v>
      </c>
      <c r="AG488" t="s">
        <v>59</v>
      </c>
      <c r="AH488" t="s">
        <v>61</v>
      </c>
      <c r="AI488" t="s">
        <v>59</v>
      </c>
      <c r="AJ488" t="s">
        <v>59</v>
      </c>
      <c r="AK488" t="s">
        <v>59</v>
      </c>
      <c r="AL488" t="s">
        <v>59</v>
      </c>
      <c r="AM488" t="s">
        <v>59</v>
      </c>
      <c r="AN488" t="s">
        <v>59</v>
      </c>
      <c r="AO488" t="s">
        <v>59</v>
      </c>
      <c r="AP488" t="s">
        <v>228</v>
      </c>
      <c r="AQ488" t="s">
        <v>1183</v>
      </c>
      <c r="AR488" t="s">
        <v>226</v>
      </c>
      <c r="AS488" t="s">
        <v>717</v>
      </c>
      <c r="AT488" t="s">
        <v>717</v>
      </c>
      <c r="AU488" t="s">
        <v>219</v>
      </c>
      <c r="AW488" s="4">
        <f t="shared" si="248"/>
        <v>6</v>
      </c>
      <c r="AX488" s="4">
        <f t="shared" si="249"/>
        <v>4</v>
      </c>
      <c r="AY488" s="4">
        <f t="shared" si="250"/>
        <v>4</v>
      </c>
      <c r="AZ488" s="4">
        <f t="shared" si="251"/>
        <v>2</v>
      </c>
      <c r="BA488" s="4">
        <f t="shared" si="252"/>
        <v>4</v>
      </c>
      <c r="BB488" s="4">
        <f t="shared" si="253"/>
        <v>4</v>
      </c>
      <c r="BC488" s="4">
        <f t="shared" si="254"/>
        <v>4</v>
      </c>
      <c r="BD488" s="4">
        <f t="shared" si="255"/>
        <v>2</v>
      </c>
      <c r="BE488" s="4">
        <f t="shared" si="256"/>
        <v>4</v>
      </c>
      <c r="BF488" s="4">
        <f t="shared" si="257"/>
        <v>2</v>
      </c>
      <c r="BG488" s="4">
        <f t="shared" si="258"/>
        <v>4</v>
      </c>
      <c r="BH488" s="4">
        <f t="shared" si="259"/>
        <v>4</v>
      </c>
      <c r="BI488" s="4">
        <f t="shared" si="260"/>
        <v>4</v>
      </c>
      <c r="BJ488" s="4">
        <f t="shared" si="261"/>
        <v>2</v>
      </c>
      <c r="BK488" s="4">
        <f t="shared" si="262"/>
        <v>4</v>
      </c>
      <c r="BL488" s="4">
        <f t="shared" si="263"/>
        <v>2</v>
      </c>
      <c r="BM488" s="4">
        <f t="shared" si="264"/>
        <v>4</v>
      </c>
      <c r="BN488" s="4">
        <f t="shared" si="265"/>
        <v>4</v>
      </c>
      <c r="BO488" s="4">
        <f t="shared" si="266"/>
        <v>4</v>
      </c>
      <c r="BP488" s="4">
        <f t="shared" si="267"/>
        <v>4</v>
      </c>
      <c r="BQ488" s="4">
        <f t="shared" si="268"/>
        <v>6</v>
      </c>
      <c r="BR488" s="4">
        <f t="shared" si="269"/>
        <v>4</v>
      </c>
      <c r="BS488" s="4">
        <f t="shared" si="270"/>
        <v>4</v>
      </c>
      <c r="BT488" s="4">
        <f t="shared" si="271"/>
        <v>4</v>
      </c>
      <c r="BU488" s="4">
        <f t="shared" si="272"/>
        <v>4</v>
      </c>
      <c r="BV488" s="4">
        <f t="shared" si="273"/>
        <v>0</v>
      </c>
      <c r="BW488" s="4">
        <f t="shared" si="274"/>
        <v>6</v>
      </c>
      <c r="BX488" s="4">
        <f t="shared" si="275"/>
        <v>0</v>
      </c>
      <c r="BY488" s="4">
        <f t="shared" si="276"/>
        <v>0</v>
      </c>
      <c r="BZ488" s="37">
        <f t="shared" si="277"/>
        <v>100</v>
      </c>
      <c r="CA488" s="32" t="str">
        <f>VLOOKUP(J:J,'Agent wise'!A:C,3,0)</f>
        <v>Amal</v>
      </c>
      <c r="CB488" s="32">
        <f t="shared" si="278"/>
        <v>45938</v>
      </c>
      <c r="CC488" t="str">
        <f t="shared" si="279"/>
        <v>Excellent</v>
      </c>
      <c r="CE488" s="32"/>
      <c r="CJ488">
        <f t="shared" si="280"/>
        <v>8</v>
      </c>
      <c r="CK488">
        <f t="shared" si="281"/>
        <v>10</v>
      </c>
      <c r="CL488">
        <f t="shared" si="282"/>
        <v>2025</v>
      </c>
    </row>
    <row r="489" spans="1:90" ht="15" customHeight="1" x14ac:dyDescent="0.35">
      <c r="A489" s="40">
        <v>45879.835081018522</v>
      </c>
      <c r="B489" t="s">
        <v>698</v>
      </c>
      <c r="C489" t="s">
        <v>214</v>
      </c>
      <c r="D489" t="s">
        <v>221</v>
      </c>
      <c r="E489" s="32">
        <v>45938</v>
      </c>
      <c r="F489" t="s">
        <v>222</v>
      </c>
      <c r="G489" s="2">
        <v>45879</v>
      </c>
      <c r="H489">
        <v>9442942929</v>
      </c>
      <c r="I489">
        <v>159</v>
      </c>
      <c r="J489" t="s">
        <v>568</v>
      </c>
      <c r="K489" t="s">
        <v>71</v>
      </c>
      <c r="L489" t="s">
        <v>72</v>
      </c>
      <c r="M489" t="s">
        <v>59</v>
      </c>
      <c r="N489" t="s">
        <v>59</v>
      </c>
      <c r="O489" t="s">
        <v>59</v>
      </c>
      <c r="P489" t="s">
        <v>59</v>
      </c>
      <c r="Q489" t="s">
        <v>59</v>
      </c>
      <c r="R489" t="s">
        <v>59</v>
      </c>
      <c r="S489" t="s">
        <v>59</v>
      </c>
      <c r="T489" t="s">
        <v>59</v>
      </c>
      <c r="U489" t="s">
        <v>59</v>
      </c>
      <c r="V489" t="s">
        <v>59</v>
      </c>
      <c r="W489" t="s">
        <v>59</v>
      </c>
      <c r="X489" t="s">
        <v>59</v>
      </c>
      <c r="Y489" t="s">
        <v>59</v>
      </c>
      <c r="Z489" t="s">
        <v>59</v>
      </c>
      <c r="AA489" t="s">
        <v>59</v>
      </c>
      <c r="AB489" t="s">
        <v>59</v>
      </c>
      <c r="AC489" t="s">
        <v>59</v>
      </c>
      <c r="AD489" t="s">
        <v>61</v>
      </c>
      <c r="AE489" t="s">
        <v>59</v>
      </c>
      <c r="AF489" t="s">
        <v>59</v>
      </c>
      <c r="AG489" t="s">
        <v>59</v>
      </c>
      <c r="AH489" t="s">
        <v>61</v>
      </c>
      <c r="AI489" t="s">
        <v>59</v>
      </c>
      <c r="AJ489" t="s">
        <v>59</v>
      </c>
      <c r="AK489" t="s">
        <v>59</v>
      </c>
      <c r="AL489" t="s">
        <v>59</v>
      </c>
      <c r="AM489" t="s">
        <v>59</v>
      </c>
      <c r="AN489" t="s">
        <v>59</v>
      </c>
      <c r="AO489" t="s">
        <v>59</v>
      </c>
      <c r="AP489" t="s">
        <v>971</v>
      </c>
      <c r="AQ489" t="s">
        <v>960</v>
      </c>
      <c r="AR489" t="s">
        <v>226</v>
      </c>
      <c r="AS489" t="s">
        <v>249</v>
      </c>
      <c r="AT489" t="s">
        <v>249</v>
      </c>
      <c r="AU489" t="s">
        <v>219</v>
      </c>
      <c r="AW489" s="4">
        <f t="shared" si="248"/>
        <v>6</v>
      </c>
      <c r="AX489" s="4">
        <f t="shared" si="249"/>
        <v>4</v>
      </c>
      <c r="AY489" s="4">
        <f t="shared" si="250"/>
        <v>4</v>
      </c>
      <c r="AZ489" s="4">
        <f t="shared" si="251"/>
        <v>2</v>
      </c>
      <c r="BA489" s="4">
        <f t="shared" si="252"/>
        <v>4</v>
      </c>
      <c r="BB489" s="4">
        <f t="shared" si="253"/>
        <v>4</v>
      </c>
      <c r="BC489" s="4">
        <f t="shared" si="254"/>
        <v>4</v>
      </c>
      <c r="BD489" s="4">
        <f t="shared" si="255"/>
        <v>2</v>
      </c>
      <c r="BE489" s="4">
        <f t="shared" si="256"/>
        <v>4</v>
      </c>
      <c r="BF489" s="4">
        <f t="shared" si="257"/>
        <v>2</v>
      </c>
      <c r="BG489" s="4">
        <f t="shared" si="258"/>
        <v>4</v>
      </c>
      <c r="BH489" s="4">
        <f t="shared" si="259"/>
        <v>4</v>
      </c>
      <c r="BI489" s="4">
        <f t="shared" si="260"/>
        <v>4</v>
      </c>
      <c r="BJ489" s="4">
        <f t="shared" si="261"/>
        <v>2</v>
      </c>
      <c r="BK489" s="4">
        <f t="shared" si="262"/>
        <v>4</v>
      </c>
      <c r="BL489" s="4">
        <f t="shared" si="263"/>
        <v>2</v>
      </c>
      <c r="BM489" s="4">
        <f t="shared" si="264"/>
        <v>4</v>
      </c>
      <c r="BN489" s="4">
        <f t="shared" si="265"/>
        <v>4</v>
      </c>
      <c r="BO489" s="4">
        <f t="shared" si="266"/>
        <v>4</v>
      </c>
      <c r="BP489" s="4">
        <f t="shared" si="267"/>
        <v>4</v>
      </c>
      <c r="BQ489" s="4">
        <f t="shared" si="268"/>
        <v>6</v>
      </c>
      <c r="BR489" s="4">
        <f t="shared" si="269"/>
        <v>4</v>
      </c>
      <c r="BS489" s="4">
        <f t="shared" si="270"/>
        <v>4</v>
      </c>
      <c r="BT489" s="4">
        <f t="shared" si="271"/>
        <v>4</v>
      </c>
      <c r="BU489" s="4">
        <f t="shared" si="272"/>
        <v>4</v>
      </c>
      <c r="BV489" s="4">
        <f t="shared" si="273"/>
        <v>0</v>
      </c>
      <c r="BW489" s="4">
        <f t="shared" si="274"/>
        <v>6</v>
      </c>
      <c r="BX489" s="4">
        <f t="shared" si="275"/>
        <v>0</v>
      </c>
      <c r="BY489" s="4">
        <f t="shared" si="276"/>
        <v>0</v>
      </c>
      <c r="BZ489" s="37">
        <f t="shared" si="277"/>
        <v>100</v>
      </c>
      <c r="CA489" s="32" t="str">
        <f>VLOOKUP(J:J,'Agent wise'!A:C,3,0)</f>
        <v>Amal</v>
      </c>
      <c r="CB489" s="32">
        <f t="shared" si="278"/>
        <v>45938</v>
      </c>
      <c r="CC489" t="str">
        <f t="shared" si="279"/>
        <v>Excellent</v>
      </c>
      <c r="CE489" s="32"/>
      <c r="CJ489">
        <f t="shared" si="280"/>
        <v>8</v>
      </c>
      <c r="CK489">
        <f t="shared" si="281"/>
        <v>10</v>
      </c>
      <c r="CL489">
        <f t="shared" si="282"/>
        <v>2025</v>
      </c>
    </row>
    <row r="490" spans="1:90" ht="15" customHeight="1" x14ac:dyDescent="0.35">
      <c r="A490" s="40">
        <v>45879.94568287037</v>
      </c>
      <c r="B490" t="s">
        <v>130</v>
      </c>
      <c r="C490" t="s">
        <v>214</v>
      </c>
      <c r="D490" t="s">
        <v>131</v>
      </c>
      <c r="E490" s="32">
        <v>45938</v>
      </c>
      <c r="F490" t="s">
        <v>54</v>
      </c>
      <c r="G490" s="2">
        <v>45879</v>
      </c>
      <c r="H490">
        <v>9633639141</v>
      </c>
      <c r="I490">
        <v>135</v>
      </c>
      <c r="J490" t="s">
        <v>80</v>
      </c>
      <c r="K490" t="s">
        <v>57</v>
      </c>
      <c r="L490" t="s">
        <v>58</v>
      </c>
      <c r="M490" t="s">
        <v>59</v>
      </c>
      <c r="N490" t="s">
        <v>59</v>
      </c>
      <c r="O490" t="s">
        <v>59</v>
      </c>
      <c r="P490" t="s">
        <v>59</v>
      </c>
      <c r="Q490" t="s">
        <v>59</v>
      </c>
      <c r="R490" t="s">
        <v>59</v>
      </c>
      <c r="S490" t="s">
        <v>59</v>
      </c>
      <c r="T490" t="s">
        <v>59</v>
      </c>
      <c r="U490" t="s">
        <v>60</v>
      </c>
      <c r="V490" t="s">
        <v>59</v>
      </c>
      <c r="W490" t="s">
        <v>59</v>
      </c>
      <c r="X490" t="s">
        <v>59</v>
      </c>
      <c r="Y490" t="s">
        <v>59</v>
      </c>
      <c r="Z490" t="s">
        <v>59</v>
      </c>
      <c r="AA490" t="s">
        <v>59</v>
      </c>
      <c r="AB490" t="s">
        <v>59</v>
      </c>
      <c r="AC490" t="s">
        <v>60</v>
      </c>
      <c r="AD490" t="s">
        <v>59</v>
      </c>
      <c r="AE490" t="s">
        <v>59</v>
      </c>
      <c r="AF490" t="s">
        <v>61</v>
      </c>
      <c r="AG490" t="s">
        <v>59</v>
      </c>
      <c r="AH490" t="s">
        <v>61</v>
      </c>
      <c r="AI490" t="s">
        <v>61</v>
      </c>
      <c r="AJ490" t="s">
        <v>59</v>
      </c>
      <c r="AK490" t="s">
        <v>59</v>
      </c>
      <c r="AL490" t="s">
        <v>60</v>
      </c>
      <c r="AM490" t="s">
        <v>59</v>
      </c>
      <c r="AN490" t="s">
        <v>59</v>
      </c>
      <c r="AO490" t="s">
        <v>59</v>
      </c>
      <c r="AP490" t="s">
        <v>678</v>
      </c>
      <c r="AQ490" s="1" t="s">
        <v>1184</v>
      </c>
      <c r="AR490" t="s">
        <v>64</v>
      </c>
      <c r="AS490" t="s">
        <v>135</v>
      </c>
      <c r="AT490" t="s">
        <v>1185</v>
      </c>
      <c r="AU490" t="s">
        <v>219</v>
      </c>
      <c r="AW490" s="4">
        <f t="shared" si="248"/>
        <v>6</v>
      </c>
      <c r="AX490" s="4">
        <f t="shared" si="249"/>
        <v>4</v>
      </c>
      <c r="AY490" s="4">
        <f t="shared" si="250"/>
        <v>4</v>
      </c>
      <c r="AZ490" s="4">
        <f t="shared" si="251"/>
        <v>2</v>
      </c>
      <c r="BA490" s="4">
        <f t="shared" si="252"/>
        <v>4</v>
      </c>
      <c r="BB490" s="4">
        <f t="shared" si="253"/>
        <v>4</v>
      </c>
      <c r="BC490" s="4">
        <f t="shared" si="254"/>
        <v>4</v>
      </c>
      <c r="BD490" s="4">
        <f t="shared" si="255"/>
        <v>2</v>
      </c>
      <c r="BE490" s="4" t="str">
        <f t="shared" si="256"/>
        <v>0</v>
      </c>
      <c r="BF490" s="4">
        <f t="shared" si="257"/>
        <v>2</v>
      </c>
      <c r="BG490" s="4">
        <f t="shared" si="258"/>
        <v>4</v>
      </c>
      <c r="BH490" s="4">
        <f t="shared" si="259"/>
        <v>4</v>
      </c>
      <c r="BI490" s="4">
        <f t="shared" si="260"/>
        <v>4</v>
      </c>
      <c r="BJ490" s="4">
        <f t="shared" si="261"/>
        <v>2</v>
      </c>
      <c r="BK490" s="4">
        <f t="shared" si="262"/>
        <v>4</v>
      </c>
      <c r="BL490" s="4">
        <f t="shared" si="263"/>
        <v>2</v>
      </c>
      <c r="BM490" s="4" t="str">
        <f t="shared" si="264"/>
        <v>0</v>
      </c>
      <c r="BN490" s="4">
        <f t="shared" si="265"/>
        <v>4</v>
      </c>
      <c r="BO490" s="4">
        <f t="shared" si="266"/>
        <v>4</v>
      </c>
      <c r="BP490" s="4">
        <f t="shared" si="267"/>
        <v>4</v>
      </c>
      <c r="BQ490" s="4">
        <f t="shared" si="268"/>
        <v>6</v>
      </c>
      <c r="BR490" s="4">
        <f t="shared" si="269"/>
        <v>4</v>
      </c>
      <c r="BS490" s="4">
        <f t="shared" si="270"/>
        <v>4</v>
      </c>
      <c r="BT490" s="4">
        <f t="shared" si="271"/>
        <v>4</v>
      </c>
      <c r="BU490" s="4">
        <f t="shared" si="272"/>
        <v>4</v>
      </c>
      <c r="BV490" s="4" t="str">
        <f t="shared" si="273"/>
        <v>0</v>
      </c>
      <c r="BW490" s="4">
        <f t="shared" si="274"/>
        <v>6</v>
      </c>
      <c r="BX490" s="4">
        <f t="shared" si="275"/>
        <v>0</v>
      </c>
      <c r="BY490" s="4">
        <f t="shared" si="276"/>
        <v>0</v>
      </c>
      <c r="BZ490" s="37">
        <f t="shared" si="277"/>
        <v>92</v>
      </c>
      <c r="CA490" s="32" t="str">
        <f>VLOOKUP(J:J,'Agent wise'!A:C,3,0)</f>
        <v>Saran S</v>
      </c>
      <c r="CB490" s="32">
        <f t="shared" si="278"/>
        <v>45938</v>
      </c>
      <c r="CC490" t="str">
        <f t="shared" si="279"/>
        <v>Good</v>
      </c>
      <c r="CE490" s="32"/>
      <c r="CJ490">
        <f t="shared" si="280"/>
        <v>8</v>
      </c>
      <c r="CK490">
        <f t="shared" si="281"/>
        <v>10</v>
      </c>
      <c r="CL490">
        <f t="shared" si="282"/>
        <v>2025</v>
      </c>
    </row>
    <row r="491" spans="1:90" ht="15" customHeight="1" x14ac:dyDescent="0.35">
      <c r="A491" s="40">
        <v>45879.94840277778</v>
      </c>
      <c r="B491" t="s">
        <v>130</v>
      </c>
      <c r="C491" t="s">
        <v>214</v>
      </c>
      <c r="D491" t="s">
        <v>131</v>
      </c>
      <c r="E491" s="32">
        <v>45938</v>
      </c>
      <c r="F491" t="s">
        <v>54</v>
      </c>
      <c r="G491" s="2">
        <v>45879</v>
      </c>
      <c r="H491">
        <v>9442422023</v>
      </c>
      <c r="I491">
        <v>127</v>
      </c>
      <c r="J491" t="s">
        <v>367</v>
      </c>
      <c r="K491" t="s">
        <v>71</v>
      </c>
      <c r="L491" t="s">
        <v>72</v>
      </c>
      <c r="M491" t="s">
        <v>59</v>
      </c>
      <c r="N491" t="s">
        <v>59</v>
      </c>
      <c r="O491" t="s">
        <v>59</v>
      </c>
      <c r="P491" t="s">
        <v>59</v>
      </c>
      <c r="Q491" t="s">
        <v>59</v>
      </c>
      <c r="R491" t="s">
        <v>59</v>
      </c>
      <c r="S491" t="s">
        <v>59</v>
      </c>
      <c r="T491" t="s">
        <v>59</v>
      </c>
      <c r="U491" t="s">
        <v>60</v>
      </c>
      <c r="V491" t="s">
        <v>59</v>
      </c>
      <c r="W491" t="s">
        <v>59</v>
      </c>
      <c r="X491" t="s">
        <v>59</v>
      </c>
      <c r="Y491" t="s">
        <v>59</v>
      </c>
      <c r="Z491" t="s">
        <v>59</v>
      </c>
      <c r="AA491" t="s">
        <v>59</v>
      </c>
      <c r="AB491" t="s">
        <v>59</v>
      </c>
      <c r="AC491" t="s">
        <v>60</v>
      </c>
      <c r="AD491" t="s">
        <v>59</v>
      </c>
      <c r="AE491" t="s">
        <v>59</v>
      </c>
      <c r="AF491" t="s">
        <v>61</v>
      </c>
      <c r="AG491" t="s">
        <v>59</v>
      </c>
      <c r="AH491" t="s">
        <v>61</v>
      </c>
      <c r="AI491" t="s">
        <v>61</v>
      </c>
      <c r="AJ491" t="s">
        <v>59</v>
      </c>
      <c r="AK491" t="s">
        <v>59</v>
      </c>
      <c r="AL491" t="s">
        <v>60</v>
      </c>
      <c r="AM491" t="s">
        <v>59</v>
      </c>
      <c r="AN491" t="s">
        <v>59</v>
      </c>
      <c r="AO491" t="s">
        <v>59</v>
      </c>
      <c r="AP491" t="s">
        <v>1186</v>
      </c>
      <c r="AQ491" s="1" t="s">
        <v>1184</v>
      </c>
      <c r="AR491" t="s">
        <v>64</v>
      </c>
      <c r="AS491" t="s">
        <v>135</v>
      </c>
      <c r="AT491" t="s">
        <v>194</v>
      </c>
      <c r="AU491" t="s">
        <v>219</v>
      </c>
      <c r="AW491" s="4">
        <f t="shared" si="248"/>
        <v>6</v>
      </c>
      <c r="AX491" s="4">
        <f t="shared" si="249"/>
        <v>4</v>
      </c>
      <c r="AY491" s="4">
        <f t="shared" si="250"/>
        <v>4</v>
      </c>
      <c r="AZ491" s="4">
        <f t="shared" si="251"/>
        <v>2</v>
      </c>
      <c r="BA491" s="4">
        <f t="shared" si="252"/>
        <v>4</v>
      </c>
      <c r="BB491" s="4">
        <f t="shared" si="253"/>
        <v>4</v>
      </c>
      <c r="BC491" s="4">
        <f t="shared" si="254"/>
        <v>4</v>
      </c>
      <c r="BD491" s="4">
        <f t="shared" si="255"/>
        <v>2</v>
      </c>
      <c r="BE491" s="4" t="str">
        <f t="shared" si="256"/>
        <v>0</v>
      </c>
      <c r="BF491" s="4">
        <f t="shared" si="257"/>
        <v>2</v>
      </c>
      <c r="BG491" s="4">
        <f t="shared" si="258"/>
        <v>4</v>
      </c>
      <c r="BH491" s="4">
        <f t="shared" si="259"/>
        <v>4</v>
      </c>
      <c r="BI491" s="4">
        <f t="shared" si="260"/>
        <v>4</v>
      </c>
      <c r="BJ491" s="4">
        <f t="shared" si="261"/>
        <v>2</v>
      </c>
      <c r="BK491" s="4">
        <f t="shared" si="262"/>
        <v>4</v>
      </c>
      <c r="BL491" s="4">
        <f t="shared" si="263"/>
        <v>2</v>
      </c>
      <c r="BM491" s="4" t="str">
        <f t="shared" si="264"/>
        <v>0</v>
      </c>
      <c r="BN491" s="4">
        <f t="shared" si="265"/>
        <v>4</v>
      </c>
      <c r="BO491" s="4">
        <f t="shared" si="266"/>
        <v>4</v>
      </c>
      <c r="BP491" s="4">
        <f t="shared" si="267"/>
        <v>4</v>
      </c>
      <c r="BQ491" s="4">
        <f t="shared" si="268"/>
        <v>6</v>
      </c>
      <c r="BR491" s="4">
        <f t="shared" si="269"/>
        <v>4</v>
      </c>
      <c r="BS491" s="4">
        <f t="shared" si="270"/>
        <v>4</v>
      </c>
      <c r="BT491" s="4">
        <f t="shared" si="271"/>
        <v>4</v>
      </c>
      <c r="BU491" s="4">
        <f t="shared" si="272"/>
        <v>4</v>
      </c>
      <c r="BV491" s="4" t="str">
        <f t="shared" si="273"/>
        <v>0</v>
      </c>
      <c r="BW491" s="4">
        <f t="shared" si="274"/>
        <v>6</v>
      </c>
      <c r="BX491" s="4">
        <f t="shared" si="275"/>
        <v>0</v>
      </c>
      <c r="BY491" s="4">
        <f t="shared" si="276"/>
        <v>0</v>
      </c>
      <c r="BZ491" s="37">
        <f t="shared" si="277"/>
        <v>92</v>
      </c>
      <c r="CA491" s="32" t="str">
        <f>VLOOKUP(J:J,'Agent wise'!A:C,3,0)</f>
        <v>Saran S</v>
      </c>
      <c r="CB491" s="32">
        <f t="shared" si="278"/>
        <v>45938</v>
      </c>
      <c r="CC491" t="str">
        <f t="shared" si="279"/>
        <v>Good</v>
      </c>
      <c r="CE491" s="32"/>
      <c r="CJ491">
        <f t="shared" si="280"/>
        <v>8</v>
      </c>
      <c r="CK491">
        <f t="shared" si="281"/>
        <v>10</v>
      </c>
      <c r="CL491">
        <f t="shared" si="282"/>
        <v>2025</v>
      </c>
    </row>
    <row r="492" spans="1:90" ht="15" customHeight="1" x14ac:dyDescent="0.35">
      <c r="A492" s="40">
        <v>45879.956261574072</v>
      </c>
      <c r="B492" t="s">
        <v>130</v>
      </c>
      <c r="C492" t="s">
        <v>214</v>
      </c>
      <c r="D492" t="s">
        <v>131</v>
      </c>
      <c r="E492" s="32">
        <v>45938</v>
      </c>
      <c r="F492" t="s">
        <v>54</v>
      </c>
      <c r="G492" s="2">
        <v>45879</v>
      </c>
      <c r="H492">
        <v>8547653837</v>
      </c>
      <c r="I492">
        <v>127</v>
      </c>
      <c r="J492" t="s">
        <v>370</v>
      </c>
      <c r="K492" t="s">
        <v>57</v>
      </c>
      <c r="L492" t="s">
        <v>58</v>
      </c>
      <c r="M492" t="s">
        <v>59</v>
      </c>
      <c r="N492" t="s">
        <v>59</v>
      </c>
      <c r="O492" t="s">
        <v>59</v>
      </c>
      <c r="P492" t="s">
        <v>59</v>
      </c>
      <c r="Q492" t="s">
        <v>59</v>
      </c>
      <c r="R492" t="s">
        <v>59</v>
      </c>
      <c r="S492" t="s">
        <v>59</v>
      </c>
      <c r="T492" t="s">
        <v>59</v>
      </c>
      <c r="U492" t="s">
        <v>60</v>
      </c>
      <c r="V492" t="s">
        <v>59</v>
      </c>
      <c r="W492" t="s">
        <v>59</v>
      </c>
      <c r="X492" t="s">
        <v>59</v>
      </c>
      <c r="Y492" t="s">
        <v>59</v>
      </c>
      <c r="Z492" t="s">
        <v>59</v>
      </c>
      <c r="AA492" t="s">
        <v>60</v>
      </c>
      <c r="AB492" t="s">
        <v>60</v>
      </c>
      <c r="AC492" t="s">
        <v>60</v>
      </c>
      <c r="AD492" t="s">
        <v>59</v>
      </c>
      <c r="AE492" t="s">
        <v>59</v>
      </c>
      <c r="AF492" t="s">
        <v>61</v>
      </c>
      <c r="AG492" t="s">
        <v>59</v>
      </c>
      <c r="AH492" t="s">
        <v>61</v>
      </c>
      <c r="AI492" t="s">
        <v>61</v>
      </c>
      <c r="AJ492" t="s">
        <v>59</v>
      </c>
      <c r="AK492" t="s">
        <v>59</v>
      </c>
      <c r="AL492" t="s">
        <v>60</v>
      </c>
      <c r="AM492" t="s">
        <v>59</v>
      </c>
      <c r="AN492" t="s">
        <v>59</v>
      </c>
      <c r="AO492" t="s">
        <v>59</v>
      </c>
      <c r="AP492" t="s">
        <v>1187</v>
      </c>
      <c r="AQ492" s="1" t="s">
        <v>1188</v>
      </c>
      <c r="AR492" t="s">
        <v>64</v>
      </c>
      <c r="AS492" t="s">
        <v>89</v>
      </c>
      <c r="AT492" t="s">
        <v>84</v>
      </c>
      <c r="AU492" t="s">
        <v>219</v>
      </c>
      <c r="AW492" s="4">
        <f t="shared" si="248"/>
        <v>6</v>
      </c>
      <c r="AX492" s="4">
        <f t="shared" si="249"/>
        <v>4</v>
      </c>
      <c r="AY492" s="4">
        <f t="shared" si="250"/>
        <v>4</v>
      </c>
      <c r="AZ492" s="4">
        <f t="shared" si="251"/>
        <v>2</v>
      </c>
      <c r="BA492" s="4">
        <f t="shared" si="252"/>
        <v>4</v>
      </c>
      <c r="BB492" s="4">
        <f t="shared" si="253"/>
        <v>4</v>
      </c>
      <c r="BC492" s="4">
        <f t="shared" si="254"/>
        <v>4</v>
      </c>
      <c r="BD492" s="4">
        <f t="shared" si="255"/>
        <v>2</v>
      </c>
      <c r="BE492" s="4" t="str">
        <f t="shared" si="256"/>
        <v>0</v>
      </c>
      <c r="BF492" s="4">
        <f t="shared" si="257"/>
        <v>2</v>
      </c>
      <c r="BG492" s="4">
        <f t="shared" si="258"/>
        <v>4</v>
      </c>
      <c r="BH492" s="4">
        <f t="shared" si="259"/>
        <v>4</v>
      </c>
      <c r="BI492" s="4">
        <f t="shared" si="260"/>
        <v>4</v>
      </c>
      <c r="BJ492" s="4">
        <f t="shared" si="261"/>
        <v>2</v>
      </c>
      <c r="BK492" s="4" t="str">
        <f t="shared" si="262"/>
        <v>0</v>
      </c>
      <c r="BL492" s="4" t="str">
        <f t="shared" si="263"/>
        <v>0</v>
      </c>
      <c r="BM492" s="4" t="str">
        <f t="shared" si="264"/>
        <v>0</v>
      </c>
      <c r="BN492" s="4">
        <f t="shared" si="265"/>
        <v>4</v>
      </c>
      <c r="BO492" s="4">
        <f t="shared" si="266"/>
        <v>4</v>
      </c>
      <c r="BP492" s="4">
        <f t="shared" si="267"/>
        <v>4</v>
      </c>
      <c r="BQ492" s="4">
        <f t="shared" si="268"/>
        <v>6</v>
      </c>
      <c r="BR492" s="4">
        <f t="shared" si="269"/>
        <v>4</v>
      </c>
      <c r="BS492" s="4">
        <f t="shared" si="270"/>
        <v>4</v>
      </c>
      <c r="BT492" s="4">
        <f t="shared" si="271"/>
        <v>4</v>
      </c>
      <c r="BU492" s="4">
        <f t="shared" si="272"/>
        <v>4</v>
      </c>
      <c r="BV492" s="4" t="str">
        <f t="shared" si="273"/>
        <v>0</v>
      </c>
      <c r="BW492" s="4">
        <f t="shared" si="274"/>
        <v>6</v>
      </c>
      <c r="BX492" s="4">
        <f t="shared" si="275"/>
        <v>0</v>
      </c>
      <c r="BY492" s="4">
        <f t="shared" si="276"/>
        <v>0</v>
      </c>
      <c r="BZ492" s="37">
        <f t="shared" si="277"/>
        <v>86</v>
      </c>
      <c r="CA492" s="32" t="str">
        <f>VLOOKUP(J:J,'Agent wise'!A:C,3,0)</f>
        <v>Saran S</v>
      </c>
      <c r="CB492" s="32">
        <f t="shared" si="278"/>
        <v>45938</v>
      </c>
      <c r="CC492" t="str">
        <f t="shared" si="279"/>
        <v>Average</v>
      </c>
      <c r="CE492" s="32"/>
      <c r="CJ492">
        <f t="shared" si="280"/>
        <v>8</v>
      </c>
      <c r="CK492">
        <f t="shared" si="281"/>
        <v>10</v>
      </c>
      <c r="CL492">
        <f t="shared" si="282"/>
        <v>2025</v>
      </c>
    </row>
    <row r="493" spans="1:90" ht="15" customHeight="1" x14ac:dyDescent="0.35">
      <c r="A493" s="40">
        <v>45879.979189814818</v>
      </c>
      <c r="B493" t="s">
        <v>130</v>
      </c>
      <c r="C493" t="s">
        <v>214</v>
      </c>
      <c r="D493" t="s">
        <v>131</v>
      </c>
      <c r="E493" s="32">
        <v>45938</v>
      </c>
      <c r="F493" t="s">
        <v>54</v>
      </c>
      <c r="G493" s="2">
        <v>45879</v>
      </c>
      <c r="H493">
        <v>9496512146</v>
      </c>
      <c r="I493">
        <v>133</v>
      </c>
      <c r="J493" t="s">
        <v>326</v>
      </c>
      <c r="K493" t="s">
        <v>57</v>
      </c>
      <c r="L493" t="s">
        <v>58</v>
      </c>
      <c r="M493" t="s">
        <v>59</v>
      </c>
      <c r="N493" t="s">
        <v>59</v>
      </c>
      <c r="O493" t="s">
        <v>59</v>
      </c>
      <c r="P493" t="s">
        <v>59</v>
      </c>
      <c r="Q493" t="s">
        <v>59</v>
      </c>
      <c r="R493" t="s">
        <v>59</v>
      </c>
      <c r="S493" t="s">
        <v>59</v>
      </c>
      <c r="T493" t="s">
        <v>59</v>
      </c>
      <c r="U493" t="s">
        <v>60</v>
      </c>
      <c r="V493" t="s">
        <v>59</v>
      </c>
      <c r="W493" t="s">
        <v>59</v>
      </c>
      <c r="X493" t="s">
        <v>59</v>
      </c>
      <c r="Y493" t="s">
        <v>59</v>
      </c>
      <c r="Z493" t="s">
        <v>59</v>
      </c>
      <c r="AA493" t="s">
        <v>60</v>
      </c>
      <c r="AB493" t="s">
        <v>60</v>
      </c>
      <c r="AC493" t="s">
        <v>60</v>
      </c>
      <c r="AD493" t="s">
        <v>59</v>
      </c>
      <c r="AE493" t="s">
        <v>59</v>
      </c>
      <c r="AF493" t="s">
        <v>61</v>
      </c>
      <c r="AG493" t="s">
        <v>59</v>
      </c>
      <c r="AH493" t="s">
        <v>61</v>
      </c>
      <c r="AI493" t="s">
        <v>61</v>
      </c>
      <c r="AJ493" t="s">
        <v>59</v>
      </c>
      <c r="AK493" t="s">
        <v>59</v>
      </c>
      <c r="AL493" t="s">
        <v>60</v>
      </c>
      <c r="AM493" t="s">
        <v>59</v>
      </c>
      <c r="AN493" t="s">
        <v>59</v>
      </c>
      <c r="AO493" t="s">
        <v>59</v>
      </c>
      <c r="AP493" t="s">
        <v>1189</v>
      </c>
      <c r="AQ493" s="1" t="s">
        <v>1190</v>
      </c>
      <c r="AR493" t="s">
        <v>64</v>
      </c>
      <c r="AS493" t="s">
        <v>175</v>
      </c>
      <c r="AT493" t="s">
        <v>1095</v>
      </c>
      <c r="AU493" t="s">
        <v>219</v>
      </c>
      <c r="AW493" s="4">
        <f t="shared" si="248"/>
        <v>6</v>
      </c>
      <c r="AX493" s="4">
        <f t="shared" si="249"/>
        <v>4</v>
      </c>
      <c r="AY493" s="4">
        <f t="shared" si="250"/>
        <v>4</v>
      </c>
      <c r="AZ493" s="4">
        <f t="shared" si="251"/>
        <v>2</v>
      </c>
      <c r="BA493" s="4">
        <f t="shared" si="252"/>
        <v>4</v>
      </c>
      <c r="BB493" s="4">
        <f t="shared" si="253"/>
        <v>4</v>
      </c>
      <c r="BC493" s="4">
        <f t="shared" si="254"/>
        <v>4</v>
      </c>
      <c r="BD493" s="4">
        <f t="shared" si="255"/>
        <v>2</v>
      </c>
      <c r="BE493" s="4" t="str">
        <f t="shared" si="256"/>
        <v>0</v>
      </c>
      <c r="BF493" s="4">
        <f t="shared" si="257"/>
        <v>2</v>
      </c>
      <c r="BG493" s="4">
        <f t="shared" si="258"/>
        <v>4</v>
      </c>
      <c r="BH493" s="4">
        <f t="shared" si="259"/>
        <v>4</v>
      </c>
      <c r="BI493" s="4">
        <f t="shared" si="260"/>
        <v>4</v>
      </c>
      <c r="BJ493" s="4">
        <f t="shared" si="261"/>
        <v>2</v>
      </c>
      <c r="BK493" s="4" t="str">
        <f t="shared" si="262"/>
        <v>0</v>
      </c>
      <c r="BL493" s="4" t="str">
        <f t="shared" si="263"/>
        <v>0</v>
      </c>
      <c r="BM493" s="4" t="str">
        <f t="shared" si="264"/>
        <v>0</v>
      </c>
      <c r="BN493" s="4">
        <f t="shared" si="265"/>
        <v>4</v>
      </c>
      <c r="BO493" s="4">
        <f t="shared" si="266"/>
        <v>4</v>
      </c>
      <c r="BP493" s="4">
        <f t="shared" si="267"/>
        <v>4</v>
      </c>
      <c r="BQ493" s="4">
        <f t="shared" si="268"/>
        <v>6</v>
      </c>
      <c r="BR493" s="4">
        <f t="shared" si="269"/>
        <v>4</v>
      </c>
      <c r="BS493" s="4">
        <f t="shared" si="270"/>
        <v>4</v>
      </c>
      <c r="BT493" s="4">
        <f t="shared" si="271"/>
        <v>4</v>
      </c>
      <c r="BU493" s="4">
        <f t="shared" si="272"/>
        <v>4</v>
      </c>
      <c r="BV493" s="4" t="str">
        <f t="shared" si="273"/>
        <v>0</v>
      </c>
      <c r="BW493" s="4">
        <f t="shared" si="274"/>
        <v>6</v>
      </c>
      <c r="BX493" s="4">
        <f t="shared" si="275"/>
        <v>0</v>
      </c>
      <c r="BY493" s="4">
        <f t="shared" si="276"/>
        <v>0</v>
      </c>
      <c r="BZ493" s="37">
        <f t="shared" si="277"/>
        <v>86</v>
      </c>
      <c r="CA493" s="32" t="str">
        <f>VLOOKUP(J:J,'Agent wise'!A:C,3,0)</f>
        <v>Saran S</v>
      </c>
      <c r="CB493" s="32">
        <f t="shared" si="278"/>
        <v>45938</v>
      </c>
      <c r="CC493" t="str">
        <f t="shared" si="279"/>
        <v>Average</v>
      </c>
      <c r="CE493" s="32"/>
      <c r="CJ493">
        <f t="shared" si="280"/>
        <v>8</v>
      </c>
      <c r="CK493">
        <f t="shared" si="281"/>
        <v>10</v>
      </c>
      <c r="CL493">
        <f t="shared" si="282"/>
        <v>2025</v>
      </c>
    </row>
    <row r="494" spans="1:90" ht="15" customHeight="1" x14ac:dyDescent="0.35">
      <c r="A494" s="40">
        <v>45879.995138888888</v>
      </c>
      <c r="B494" t="s">
        <v>130</v>
      </c>
      <c r="C494" t="s">
        <v>214</v>
      </c>
      <c r="D494" t="s">
        <v>131</v>
      </c>
      <c r="E494" s="32">
        <v>45938</v>
      </c>
      <c r="F494" t="s">
        <v>54</v>
      </c>
      <c r="G494" s="2">
        <v>45879</v>
      </c>
      <c r="H494">
        <v>9487966353</v>
      </c>
      <c r="I494">
        <v>129</v>
      </c>
      <c r="J494" t="s">
        <v>191</v>
      </c>
      <c r="K494" t="s">
        <v>71</v>
      </c>
      <c r="L494" t="s">
        <v>72</v>
      </c>
      <c r="M494" t="s">
        <v>59</v>
      </c>
      <c r="N494" t="s">
        <v>59</v>
      </c>
      <c r="O494" t="s">
        <v>59</v>
      </c>
      <c r="P494" t="s">
        <v>59</v>
      </c>
      <c r="Q494" t="s">
        <v>59</v>
      </c>
      <c r="R494" t="s">
        <v>59</v>
      </c>
      <c r="S494" t="s">
        <v>59</v>
      </c>
      <c r="T494" t="s">
        <v>59</v>
      </c>
      <c r="U494" t="s">
        <v>60</v>
      </c>
      <c r="V494" t="s">
        <v>59</v>
      </c>
      <c r="W494" t="s">
        <v>59</v>
      </c>
      <c r="X494" t="s">
        <v>59</v>
      </c>
      <c r="Y494" t="s">
        <v>59</v>
      </c>
      <c r="Z494" t="s">
        <v>59</v>
      </c>
      <c r="AA494" t="s">
        <v>60</v>
      </c>
      <c r="AB494" t="s">
        <v>60</v>
      </c>
      <c r="AC494" t="s">
        <v>61</v>
      </c>
      <c r="AD494" t="s">
        <v>59</v>
      </c>
      <c r="AE494" t="s">
        <v>59</v>
      </c>
      <c r="AF494" t="s">
        <v>61</v>
      </c>
      <c r="AG494" t="s">
        <v>60</v>
      </c>
      <c r="AH494" t="s">
        <v>61</v>
      </c>
      <c r="AI494" t="s">
        <v>61</v>
      </c>
      <c r="AJ494" t="s">
        <v>59</v>
      </c>
      <c r="AK494" t="s">
        <v>59</v>
      </c>
      <c r="AL494" t="s">
        <v>60</v>
      </c>
      <c r="AM494" t="s">
        <v>59</v>
      </c>
      <c r="AN494" t="s">
        <v>59</v>
      </c>
      <c r="AO494" t="s">
        <v>59</v>
      </c>
      <c r="AP494" t="s">
        <v>1191</v>
      </c>
      <c r="AQ494" s="1" t="s">
        <v>1192</v>
      </c>
      <c r="AR494" t="s">
        <v>64</v>
      </c>
      <c r="AS494" t="s">
        <v>198</v>
      </c>
      <c r="AT494" t="s">
        <v>408</v>
      </c>
      <c r="AU494" t="s">
        <v>219</v>
      </c>
      <c r="AW494" s="4">
        <f t="shared" si="248"/>
        <v>6</v>
      </c>
      <c r="AX494" s="4">
        <f t="shared" si="249"/>
        <v>4</v>
      </c>
      <c r="AY494" s="4">
        <f t="shared" si="250"/>
        <v>4</v>
      </c>
      <c r="AZ494" s="4">
        <f t="shared" si="251"/>
        <v>2</v>
      </c>
      <c r="BA494" s="4">
        <f t="shared" si="252"/>
        <v>4</v>
      </c>
      <c r="BB494" s="4">
        <f t="shared" si="253"/>
        <v>4</v>
      </c>
      <c r="BC494" s="4">
        <f t="shared" si="254"/>
        <v>4</v>
      </c>
      <c r="BD494" s="4">
        <f t="shared" si="255"/>
        <v>2</v>
      </c>
      <c r="BE494" s="4" t="str">
        <f t="shared" si="256"/>
        <v>0</v>
      </c>
      <c r="BF494" s="4">
        <f t="shared" si="257"/>
        <v>2</v>
      </c>
      <c r="BG494" s="4">
        <f t="shared" si="258"/>
        <v>4</v>
      </c>
      <c r="BH494" s="4">
        <f t="shared" si="259"/>
        <v>4</v>
      </c>
      <c r="BI494" s="4">
        <f t="shared" si="260"/>
        <v>4</v>
      </c>
      <c r="BJ494" s="4">
        <f t="shared" si="261"/>
        <v>2</v>
      </c>
      <c r="BK494" s="4" t="str">
        <f t="shared" si="262"/>
        <v>0</v>
      </c>
      <c r="BL494" s="4" t="str">
        <f t="shared" si="263"/>
        <v>0</v>
      </c>
      <c r="BM494" s="4">
        <f t="shared" si="264"/>
        <v>4</v>
      </c>
      <c r="BN494" s="4">
        <f t="shared" si="265"/>
        <v>4</v>
      </c>
      <c r="BO494" s="4">
        <f t="shared" si="266"/>
        <v>4</v>
      </c>
      <c r="BP494" s="4">
        <f t="shared" si="267"/>
        <v>4</v>
      </c>
      <c r="BQ494" s="4" t="str">
        <f t="shared" si="268"/>
        <v>0</v>
      </c>
      <c r="BR494" s="4">
        <f t="shared" si="269"/>
        <v>4</v>
      </c>
      <c r="BS494" s="4">
        <f t="shared" si="270"/>
        <v>4</v>
      </c>
      <c r="BT494" s="4">
        <f t="shared" si="271"/>
        <v>4</v>
      </c>
      <c r="BU494" s="4">
        <f t="shared" si="272"/>
        <v>4</v>
      </c>
      <c r="BV494" s="4" t="str">
        <f t="shared" si="273"/>
        <v>0</v>
      </c>
      <c r="BW494" s="4">
        <f t="shared" si="274"/>
        <v>6</v>
      </c>
      <c r="BX494" s="4">
        <f t="shared" si="275"/>
        <v>0</v>
      </c>
      <c r="BY494" s="4">
        <f t="shared" si="276"/>
        <v>0</v>
      </c>
      <c r="BZ494" s="37">
        <f t="shared" si="277"/>
        <v>84</v>
      </c>
      <c r="CA494" s="32" t="str">
        <f>VLOOKUP(J:J,'Agent wise'!A:C,3,0)</f>
        <v>Saran S</v>
      </c>
      <c r="CB494" s="32">
        <f t="shared" si="278"/>
        <v>45938</v>
      </c>
      <c r="CC494" t="str">
        <f t="shared" si="279"/>
        <v>FC</v>
      </c>
      <c r="CE494" s="32"/>
      <c r="CJ494">
        <f t="shared" si="280"/>
        <v>8</v>
      </c>
      <c r="CK494">
        <f t="shared" si="281"/>
        <v>10</v>
      </c>
      <c r="CL494">
        <f t="shared" si="282"/>
        <v>2025</v>
      </c>
    </row>
    <row r="495" spans="1:90" ht="15" customHeight="1" x14ac:dyDescent="0.35">
      <c r="A495" s="40">
        <v>45910.373020833344</v>
      </c>
      <c r="B495" t="s">
        <v>177</v>
      </c>
      <c r="C495" t="s">
        <v>214</v>
      </c>
      <c r="D495" t="s">
        <v>178</v>
      </c>
      <c r="E495" s="32">
        <v>45933</v>
      </c>
      <c r="F495" t="s">
        <v>90</v>
      </c>
      <c r="G495" s="2">
        <v>45698</v>
      </c>
      <c r="H495">
        <v>8903311873</v>
      </c>
      <c r="I495">
        <v>140</v>
      </c>
      <c r="J495" t="s">
        <v>274</v>
      </c>
      <c r="K495" t="s">
        <v>71</v>
      </c>
      <c r="L495" t="s">
        <v>72</v>
      </c>
      <c r="M495" t="s">
        <v>59</v>
      </c>
      <c r="N495" t="s">
        <v>59</v>
      </c>
      <c r="O495" t="s">
        <v>59</v>
      </c>
      <c r="P495" t="s">
        <v>59</v>
      </c>
      <c r="Q495" t="s">
        <v>59</v>
      </c>
      <c r="R495" t="s">
        <v>59</v>
      </c>
      <c r="S495" t="s">
        <v>59</v>
      </c>
      <c r="T495" t="s">
        <v>59</v>
      </c>
      <c r="U495" t="s">
        <v>59</v>
      </c>
      <c r="V495" t="s">
        <v>59</v>
      </c>
      <c r="W495" t="s">
        <v>59</v>
      </c>
      <c r="X495" t="s">
        <v>59</v>
      </c>
      <c r="Y495" t="s">
        <v>59</v>
      </c>
      <c r="Z495" t="s">
        <v>59</v>
      </c>
      <c r="AA495" t="s">
        <v>59</v>
      </c>
      <c r="AB495" t="s">
        <v>59</v>
      </c>
      <c r="AC495" t="s">
        <v>61</v>
      </c>
      <c r="AD495" t="s">
        <v>59</v>
      </c>
      <c r="AE495" t="s">
        <v>59</v>
      </c>
      <c r="AF495" t="s">
        <v>59</v>
      </c>
      <c r="AG495" t="s">
        <v>59</v>
      </c>
      <c r="AH495" t="s">
        <v>61</v>
      </c>
      <c r="AI495" t="s">
        <v>61</v>
      </c>
      <c r="AJ495" t="s">
        <v>59</v>
      </c>
      <c r="AK495" t="s">
        <v>59</v>
      </c>
      <c r="AL495" t="s">
        <v>59</v>
      </c>
      <c r="AM495" t="s">
        <v>59</v>
      </c>
      <c r="AN495" t="s">
        <v>59</v>
      </c>
      <c r="AO495" t="s">
        <v>59</v>
      </c>
      <c r="AP495" t="s">
        <v>270</v>
      </c>
      <c r="AQ495" s="1" t="s">
        <v>1193</v>
      </c>
      <c r="AR495" t="s">
        <v>64</v>
      </c>
      <c r="AS495" t="s">
        <v>94</v>
      </c>
      <c r="AT495" t="s">
        <v>95</v>
      </c>
      <c r="AU495" t="s">
        <v>219</v>
      </c>
      <c r="AW495" s="4">
        <f t="shared" si="248"/>
        <v>6</v>
      </c>
      <c r="AX495" s="4">
        <f t="shared" si="249"/>
        <v>4</v>
      </c>
      <c r="AY495" s="4">
        <f t="shared" si="250"/>
        <v>4</v>
      </c>
      <c r="AZ495" s="4">
        <f t="shared" si="251"/>
        <v>2</v>
      </c>
      <c r="BA495" s="4">
        <f t="shared" si="252"/>
        <v>4</v>
      </c>
      <c r="BB495" s="4">
        <f t="shared" si="253"/>
        <v>4</v>
      </c>
      <c r="BC495" s="4">
        <f t="shared" si="254"/>
        <v>4</v>
      </c>
      <c r="BD495" s="4">
        <f t="shared" si="255"/>
        <v>2</v>
      </c>
      <c r="BE495" s="4">
        <f t="shared" si="256"/>
        <v>4</v>
      </c>
      <c r="BF495" s="4">
        <f t="shared" si="257"/>
        <v>2</v>
      </c>
      <c r="BG495" s="4">
        <f t="shared" si="258"/>
        <v>4</v>
      </c>
      <c r="BH495" s="4">
        <f t="shared" si="259"/>
        <v>4</v>
      </c>
      <c r="BI495" s="4">
        <f t="shared" si="260"/>
        <v>4</v>
      </c>
      <c r="BJ495" s="4">
        <f t="shared" si="261"/>
        <v>2</v>
      </c>
      <c r="BK495" s="4">
        <f t="shared" si="262"/>
        <v>4</v>
      </c>
      <c r="BL495" s="4">
        <f t="shared" si="263"/>
        <v>2</v>
      </c>
      <c r="BM495" s="4">
        <f t="shared" si="264"/>
        <v>4</v>
      </c>
      <c r="BN495" s="4">
        <f t="shared" si="265"/>
        <v>4</v>
      </c>
      <c r="BO495" s="4">
        <f t="shared" si="266"/>
        <v>4</v>
      </c>
      <c r="BP495" s="4">
        <f t="shared" si="267"/>
        <v>4</v>
      </c>
      <c r="BQ495" s="4">
        <f t="shared" si="268"/>
        <v>6</v>
      </c>
      <c r="BR495" s="4">
        <f t="shared" si="269"/>
        <v>4</v>
      </c>
      <c r="BS495" s="4">
        <f t="shared" si="270"/>
        <v>4</v>
      </c>
      <c r="BT495" s="4">
        <f t="shared" si="271"/>
        <v>4</v>
      </c>
      <c r="BU495" s="4">
        <f t="shared" si="272"/>
        <v>4</v>
      </c>
      <c r="BV495" s="4">
        <f t="shared" si="273"/>
        <v>0</v>
      </c>
      <c r="BW495" s="4">
        <f t="shared" si="274"/>
        <v>6</v>
      </c>
      <c r="BX495" s="4">
        <f t="shared" si="275"/>
        <v>0</v>
      </c>
      <c r="BY495" s="4">
        <f t="shared" si="276"/>
        <v>0</v>
      </c>
      <c r="BZ495" s="37">
        <f t="shared" si="277"/>
        <v>100</v>
      </c>
      <c r="CA495" s="32" t="str">
        <f>VLOOKUP(J:J,'Agent wise'!A:C,3,0)</f>
        <v>Shakeer</v>
      </c>
      <c r="CB495" s="32">
        <f t="shared" si="278"/>
        <v>45933</v>
      </c>
      <c r="CC495" t="str">
        <f t="shared" si="279"/>
        <v>Excellent</v>
      </c>
      <c r="CE495" s="32"/>
      <c r="CJ495">
        <f t="shared" si="280"/>
        <v>3</v>
      </c>
      <c r="CK495">
        <f t="shared" si="281"/>
        <v>10</v>
      </c>
      <c r="CL495">
        <f t="shared" si="282"/>
        <v>2025</v>
      </c>
    </row>
    <row r="496" spans="1:90" ht="15" customHeight="1" x14ac:dyDescent="0.35">
      <c r="A496" s="40">
        <v>45910.381145833337</v>
      </c>
      <c r="B496" t="s">
        <v>177</v>
      </c>
      <c r="C496" t="s">
        <v>214</v>
      </c>
      <c r="D496" t="s">
        <v>178</v>
      </c>
      <c r="E496" s="32">
        <v>45933</v>
      </c>
      <c r="F496" t="s">
        <v>90</v>
      </c>
      <c r="G496" s="2">
        <v>45698</v>
      </c>
      <c r="H496">
        <v>9488090894</v>
      </c>
      <c r="I496">
        <v>147</v>
      </c>
      <c r="J496" t="s">
        <v>533</v>
      </c>
      <c r="K496" t="s">
        <v>71</v>
      </c>
      <c r="L496" t="s">
        <v>72</v>
      </c>
      <c r="M496" t="s">
        <v>59</v>
      </c>
      <c r="N496" t="s">
        <v>59</v>
      </c>
      <c r="O496" t="s">
        <v>59</v>
      </c>
      <c r="P496" t="s">
        <v>59</v>
      </c>
      <c r="Q496" t="s">
        <v>59</v>
      </c>
      <c r="R496" t="s">
        <v>59</v>
      </c>
      <c r="S496" t="s">
        <v>59</v>
      </c>
      <c r="T496" t="s">
        <v>59</v>
      </c>
      <c r="U496" t="s">
        <v>59</v>
      </c>
      <c r="V496" t="s">
        <v>59</v>
      </c>
      <c r="W496" t="s">
        <v>59</v>
      </c>
      <c r="X496" t="s">
        <v>59</v>
      </c>
      <c r="Y496" t="s">
        <v>59</v>
      </c>
      <c r="Z496" t="s">
        <v>60</v>
      </c>
      <c r="AA496" t="s">
        <v>59</v>
      </c>
      <c r="AB496" t="s">
        <v>59</v>
      </c>
      <c r="AC496" t="s">
        <v>60</v>
      </c>
      <c r="AD496" t="s">
        <v>59</v>
      </c>
      <c r="AE496" t="s">
        <v>60</v>
      </c>
      <c r="AF496" t="s">
        <v>59</v>
      </c>
      <c r="AG496" t="s">
        <v>59</v>
      </c>
      <c r="AH496" t="s">
        <v>61</v>
      </c>
      <c r="AI496" t="s">
        <v>61</v>
      </c>
      <c r="AJ496" t="s">
        <v>59</v>
      </c>
      <c r="AK496" t="s">
        <v>59</v>
      </c>
      <c r="AL496" t="s">
        <v>59</v>
      </c>
      <c r="AM496" t="s">
        <v>59</v>
      </c>
      <c r="AN496" t="s">
        <v>59</v>
      </c>
      <c r="AO496" t="s">
        <v>59</v>
      </c>
      <c r="AP496" t="s">
        <v>1194</v>
      </c>
      <c r="AQ496" s="1" t="s">
        <v>201</v>
      </c>
      <c r="AR496" t="s">
        <v>64</v>
      </c>
      <c r="AS496" t="s">
        <v>210</v>
      </c>
      <c r="AT496" t="s">
        <v>211</v>
      </c>
      <c r="AU496" t="s">
        <v>593</v>
      </c>
      <c r="AW496" s="4">
        <f t="shared" si="248"/>
        <v>6</v>
      </c>
      <c r="AX496" s="4">
        <f t="shared" si="249"/>
        <v>4</v>
      </c>
      <c r="AY496" s="4">
        <f t="shared" si="250"/>
        <v>4</v>
      </c>
      <c r="AZ496" s="4">
        <f t="shared" si="251"/>
        <v>2</v>
      </c>
      <c r="BA496" s="4">
        <f t="shared" si="252"/>
        <v>4</v>
      </c>
      <c r="BB496" s="4">
        <f t="shared" si="253"/>
        <v>4</v>
      </c>
      <c r="BC496" s="4">
        <f t="shared" si="254"/>
        <v>4</v>
      </c>
      <c r="BD496" s="4">
        <f t="shared" si="255"/>
        <v>2</v>
      </c>
      <c r="BE496" s="4">
        <f t="shared" si="256"/>
        <v>4</v>
      </c>
      <c r="BF496" s="4">
        <f t="shared" si="257"/>
        <v>2</v>
      </c>
      <c r="BG496" s="4">
        <f t="shared" si="258"/>
        <v>4</v>
      </c>
      <c r="BH496" s="4">
        <f t="shared" si="259"/>
        <v>4</v>
      </c>
      <c r="BI496" s="4">
        <f t="shared" si="260"/>
        <v>4</v>
      </c>
      <c r="BJ496" s="4" t="str">
        <f t="shared" si="261"/>
        <v>0</v>
      </c>
      <c r="BK496" s="4">
        <f t="shared" si="262"/>
        <v>4</v>
      </c>
      <c r="BL496" s="4">
        <f t="shared" si="263"/>
        <v>2</v>
      </c>
      <c r="BM496" s="4" t="str">
        <f t="shared" si="264"/>
        <v>0</v>
      </c>
      <c r="BN496" s="4">
        <f t="shared" si="265"/>
        <v>4</v>
      </c>
      <c r="BO496" s="4" t="str">
        <f t="shared" si="266"/>
        <v>0</v>
      </c>
      <c r="BP496" s="4">
        <f t="shared" si="267"/>
        <v>4</v>
      </c>
      <c r="BQ496" s="4">
        <f t="shared" si="268"/>
        <v>6</v>
      </c>
      <c r="BR496" s="4">
        <f t="shared" si="269"/>
        <v>4</v>
      </c>
      <c r="BS496" s="4">
        <f t="shared" si="270"/>
        <v>4</v>
      </c>
      <c r="BT496" s="4">
        <f t="shared" si="271"/>
        <v>4</v>
      </c>
      <c r="BU496" s="4">
        <f t="shared" si="272"/>
        <v>4</v>
      </c>
      <c r="BV496" s="4">
        <f t="shared" si="273"/>
        <v>0</v>
      </c>
      <c r="BW496" s="4">
        <f t="shared" si="274"/>
        <v>6</v>
      </c>
      <c r="BX496" s="4">
        <f t="shared" si="275"/>
        <v>0</v>
      </c>
      <c r="BY496" s="4">
        <f t="shared" si="276"/>
        <v>0</v>
      </c>
      <c r="BZ496" s="37">
        <f t="shared" si="277"/>
        <v>90</v>
      </c>
      <c r="CA496" s="32" t="str">
        <f>VLOOKUP(J:J,'Agent wise'!A:C,3,0)</f>
        <v xml:space="preserve">Shiny </v>
      </c>
      <c r="CB496" s="32">
        <f t="shared" si="278"/>
        <v>45933</v>
      </c>
      <c r="CC496" t="str">
        <f t="shared" si="279"/>
        <v>Good</v>
      </c>
      <c r="CE496" s="32"/>
      <c r="CJ496">
        <f t="shared" si="280"/>
        <v>3</v>
      </c>
      <c r="CK496">
        <f t="shared" si="281"/>
        <v>10</v>
      </c>
      <c r="CL496">
        <f t="shared" si="282"/>
        <v>2025</v>
      </c>
    </row>
    <row r="497" spans="1:90" ht="15" customHeight="1" x14ac:dyDescent="0.35">
      <c r="A497" s="40">
        <v>45910.411458333343</v>
      </c>
      <c r="B497" t="s">
        <v>100</v>
      </c>
      <c r="C497" t="s">
        <v>214</v>
      </c>
      <c r="D497" t="s">
        <v>101</v>
      </c>
      <c r="E497" s="32">
        <v>45939</v>
      </c>
      <c r="F497" t="s">
        <v>54</v>
      </c>
      <c r="G497" s="2">
        <v>45879</v>
      </c>
      <c r="H497">
        <v>8547879360</v>
      </c>
      <c r="I497">
        <v>143</v>
      </c>
      <c r="J497" t="s">
        <v>102</v>
      </c>
      <c r="K497" t="s">
        <v>57</v>
      </c>
      <c r="L497" t="s">
        <v>58</v>
      </c>
      <c r="M497" t="s">
        <v>59</v>
      </c>
      <c r="N497" t="s">
        <v>59</v>
      </c>
      <c r="O497" t="s">
        <v>60</v>
      </c>
      <c r="P497" t="s">
        <v>59</v>
      </c>
      <c r="Q497" t="s">
        <v>59</v>
      </c>
      <c r="R497" t="s">
        <v>60</v>
      </c>
      <c r="S497" t="s">
        <v>59</v>
      </c>
      <c r="T497" t="s">
        <v>59</v>
      </c>
      <c r="U497" t="s">
        <v>60</v>
      </c>
      <c r="V497" t="s">
        <v>59</v>
      </c>
      <c r="W497" t="s">
        <v>59</v>
      </c>
      <c r="X497" t="s">
        <v>59</v>
      </c>
      <c r="Y497" t="s">
        <v>59</v>
      </c>
      <c r="Z497" t="s">
        <v>59</v>
      </c>
      <c r="AA497" t="s">
        <v>60</v>
      </c>
      <c r="AB497" t="s">
        <v>60</v>
      </c>
      <c r="AC497" t="s">
        <v>60</v>
      </c>
      <c r="AD497" t="s">
        <v>61</v>
      </c>
      <c r="AE497" t="s">
        <v>59</v>
      </c>
      <c r="AF497" t="s">
        <v>61</v>
      </c>
      <c r="AG497" t="s">
        <v>60</v>
      </c>
      <c r="AH497" t="s">
        <v>59</v>
      </c>
      <c r="AI497" t="s">
        <v>61</v>
      </c>
      <c r="AJ497" t="s">
        <v>59</v>
      </c>
      <c r="AK497" t="s">
        <v>59</v>
      </c>
      <c r="AL497" t="s">
        <v>59</v>
      </c>
      <c r="AM497" t="s">
        <v>59</v>
      </c>
      <c r="AN497" t="s">
        <v>59</v>
      </c>
      <c r="AO497" t="s">
        <v>59</v>
      </c>
      <c r="AP497" t="s">
        <v>1094</v>
      </c>
      <c r="AQ497" t="s">
        <v>1195</v>
      </c>
      <c r="AR497" t="s">
        <v>64</v>
      </c>
      <c r="AS497" t="s">
        <v>89</v>
      </c>
      <c r="AT497" t="s">
        <v>84</v>
      </c>
      <c r="AU497" t="s">
        <v>448</v>
      </c>
      <c r="AW497" s="4">
        <f t="shared" si="248"/>
        <v>6</v>
      </c>
      <c r="AX497" s="4">
        <f t="shared" si="249"/>
        <v>4</v>
      </c>
      <c r="AY497" s="4" t="str">
        <f t="shared" si="250"/>
        <v>0</v>
      </c>
      <c r="AZ497" s="4">
        <f t="shared" si="251"/>
        <v>2</v>
      </c>
      <c r="BA497" s="4">
        <f t="shared" si="252"/>
        <v>4</v>
      </c>
      <c r="BB497" s="4" t="str">
        <f t="shared" si="253"/>
        <v>0</v>
      </c>
      <c r="BC497" s="4">
        <f t="shared" si="254"/>
        <v>4</v>
      </c>
      <c r="BD497" s="4">
        <f t="shared" si="255"/>
        <v>2</v>
      </c>
      <c r="BE497" s="4" t="str">
        <f t="shared" si="256"/>
        <v>0</v>
      </c>
      <c r="BF497" s="4">
        <f t="shared" si="257"/>
        <v>2</v>
      </c>
      <c r="BG497" s="4">
        <f t="shared" si="258"/>
        <v>4</v>
      </c>
      <c r="BH497" s="4">
        <f t="shared" si="259"/>
        <v>4</v>
      </c>
      <c r="BI497" s="4">
        <f t="shared" si="260"/>
        <v>4</v>
      </c>
      <c r="BJ497" s="4">
        <f t="shared" si="261"/>
        <v>2</v>
      </c>
      <c r="BK497" s="4" t="str">
        <f t="shared" si="262"/>
        <v>0</v>
      </c>
      <c r="BL497" s="4" t="str">
        <f t="shared" si="263"/>
        <v>0</v>
      </c>
      <c r="BM497" s="4" t="str">
        <f t="shared" si="264"/>
        <v>0</v>
      </c>
      <c r="BN497" s="4">
        <f t="shared" si="265"/>
        <v>4</v>
      </c>
      <c r="BO497" s="4">
        <f t="shared" si="266"/>
        <v>4</v>
      </c>
      <c r="BP497" s="4">
        <f t="shared" si="267"/>
        <v>4</v>
      </c>
      <c r="BQ497" s="4" t="str">
        <f t="shared" si="268"/>
        <v>0</v>
      </c>
      <c r="BR497" s="4">
        <f t="shared" si="269"/>
        <v>4</v>
      </c>
      <c r="BS497" s="4">
        <f t="shared" si="270"/>
        <v>4</v>
      </c>
      <c r="BT497" s="4">
        <f t="shared" si="271"/>
        <v>4</v>
      </c>
      <c r="BU497" s="4">
        <f t="shared" si="272"/>
        <v>4</v>
      </c>
      <c r="BV497" s="4">
        <f t="shared" si="273"/>
        <v>0</v>
      </c>
      <c r="BW497" s="4">
        <f t="shared" si="274"/>
        <v>6</v>
      </c>
      <c r="BX497" s="4">
        <f t="shared" si="275"/>
        <v>0</v>
      </c>
      <c r="BY497" s="4">
        <f t="shared" si="276"/>
        <v>0</v>
      </c>
      <c r="BZ497" s="37">
        <f t="shared" si="277"/>
        <v>72</v>
      </c>
      <c r="CA497" s="32" t="str">
        <f>VLOOKUP(J:J,'Agent wise'!A:C,3,0)</f>
        <v>Shakeer</v>
      </c>
      <c r="CB497" s="32">
        <f t="shared" si="278"/>
        <v>45939</v>
      </c>
      <c r="CC497" t="str">
        <f t="shared" si="279"/>
        <v>FC</v>
      </c>
      <c r="CE497" s="32"/>
      <c r="CJ497">
        <f t="shared" si="280"/>
        <v>9</v>
      </c>
      <c r="CK497">
        <f t="shared" si="281"/>
        <v>10</v>
      </c>
      <c r="CL497">
        <f t="shared" si="282"/>
        <v>2025</v>
      </c>
    </row>
    <row r="498" spans="1:90" ht="15" customHeight="1" x14ac:dyDescent="0.35">
      <c r="A498" s="40">
        <v>45910.412754629629</v>
      </c>
      <c r="B498" t="s">
        <v>177</v>
      </c>
      <c r="C498" t="s">
        <v>214</v>
      </c>
      <c r="D498" t="s">
        <v>178</v>
      </c>
      <c r="E498" s="32">
        <v>45934</v>
      </c>
      <c r="F498" t="s">
        <v>90</v>
      </c>
      <c r="G498" s="2">
        <v>45726</v>
      </c>
      <c r="H498">
        <v>9442509706</v>
      </c>
      <c r="I498">
        <v>177</v>
      </c>
      <c r="J498" t="s">
        <v>96</v>
      </c>
      <c r="K498" t="s">
        <v>71</v>
      </c>
      <c r="L498" t="s">
        <v>72</v>
      </c>
      <c r="M498" t="s">
        <v>59</v>
      </c>
      <c r="N498" t="s">
        <v>59</v>
      </c>
      <c r="O498" t="s">
        <v>59</v>
      </c>
      <c r="P498" t="s">
        <v>59</v>
      </c>
      <c r="Q498" t="s">
        <v>59</v>
      </c>
      <c r="R498" t="s">
        <v>59</v>
      </c>
      <c r="S498" t="s">
        <v>59</v>
      </c>
      <c r="T498" t="s">
        <v>59</v>
      </c>
      <c r="U498" t="s">
        <v>59</v>
      </c>
      <c r="V498" t="s">
        <v>59</v>
      </c>
      <c r="W498" t="s">
        <v>59</v>
      </c>
      <c r="X498" t="s">
        <v>59</v>
      </c>
      <c r="Y498" t="s">
        <v>59</v>
      </c>
      <c r="Z498" t="s">
        <v>59</v>
      </c>
      <c r="AA498" t="s">
        <v>59</v>
      </c>
      <c r="AB498" t="s">
        <v>59</v>
      </c>
      <c r="AC498" t="s">
        <v>59</v>
      </c>
      <c r="AD498" t="s">
        <v>59</v>
      </c>
      <c r="AE498" t="s">
        <v>59</v>
      </c>
      <c r="AF498" t="s">
        <v>59</v>
      </c>
      <c r="AG498" t="s">
        <v>59</v>
      </c>
      <c r="AH498" t="s">
        <v>61</v>
      </c>
      <c r="AI498" t="s">
        <v>61</v>
      </c>
      <c r="AJ498" t="s">
        <v>59</v>
      </c>
      <c r="AK498" t="s">
        <v>59</v>
      </c>
      <c r="AL498" t="s">
        <v>60</v>
      </c>
      <c r="AM498" t="s">
        <v>59</v>
      </c>
      <c r="AN498" t="s">
        <v>59</v>
      </c>
      <c r="AO498" t="s">
        <v>59</v>
      </c>
      <c r="AP498" t="s">
        <v>37</v>
      </c>
      <c r="AQ498" s="1" t="s">
        <v>1193</v>
      </c>
      <c r="AR498" t="s">
        <v>64</v>
      </c>
      <c r="AS498" t="s">
        <v>94</v>
      </c>
      <c r="AT498" t="s">
        <v>95</v>
      </c>
      <c r="AU498" t="s">
        <v>387</v>
      </c>
      <c r="AW498" s="4">
        <f t="shared" si="248"/>
        <v>6</v>
      </c>
      <c r="AX498" s="4">
        <f t="shared" si="249"/>
        <v>4</v>
      </c>
      <c r="AY498" s="4">
        <f t="shared" si="250"/>
        <v>4</v>
      </c>
      <c r="AZ498" s="4">
        <f t="shared" si="251"/>
        <v>2</v>
      </c>
      <c r="BA498" s="4">
        <f t="shared" si="252"/>
        <v>4</v>
      </c>
      <c r="BB498" s="4">
        <f t="shared" si="253"/>
        <v>4</v>
      </c>
      <c r="BC498" s="4">
        <f t="shared" si="254"/>
        <v>4</v>
      </c>
      <c r="BD498" s="4">
        <f t="shared" si="255"/>
        <v>2</v>
      </c>
      <c r="BE498" s="4">
        <f t="shared" si="256"/>
        <v>4</v>
      </c>
      <c r="BF498" s="4">
        <f t="shared" si="257"/>
        <v>2</v>
      </c>
      <c r="BG498" s="4">
        <f t="shared" si="258"/>
        <v>4</v>
      </c>
      <c r="BH498" s="4">
        <f t="shared" si="259"/>
        <v>4</v>
      </c>
      <c r="BI498" s="4">
        <f t="shared" si="260"/>
        <v>4</v>
      </c>
      <c r="BJ498" s="4">
        <f t="shared" si="261"/>
        <v>2</v>
      </c>
      <c r="BK498" s="4">
        <f t="shared" si="262"/>
        <v>4</v>
      </c>
      <c r="BL498" s="4">
        <f t="shared" si="263"/>
        <v>2</v>
      </c>
      <c r="BM498" s="4">
        <f t="shared" si="264"/>
        <v>4</v>
      </c>
      <c r="BN498" s="4">
        <f t="shared" si="265"/>
        <v>4</v>
      </c>
      <c r="BO498" s="4">
        <f t="shared" si="266"/>
        <v>4</v>
      </c>
      <c r="BP498" s="4">
        <f t="shared" si="267"/>
        <v>4</v>
      </c>
      <c r="BQ498" s="4">
        <f t="shared" si="268"/>
        <v>6</v>
      </c>
      <c r="BR498" s="4">
        <f t="shared" si="269"/>
        <v>4</v>
      </c>
      <c r="BS498" s="4">
        <f t="shared" si="270"/>
        <v>4</v>
      </c>
      <c r="BT498" s="4">
        <f t="shared" si="271"/>
        <v>4</v>
      </c>
      <c r="BU498" s="4">
        <f t="shared" si="272"/>
        <v>4</v>
      </c>
      <c r="BV498" s="4" t="str">
        <f t="shared" si="273"/>
        <v>0</v>
      </c>
      <c r="BW498" s="4">
        <f t="shared" si="274"/>
        <v>6</v>
      </c>
      <c r="BX498" s="4">
        <f t="shared" si="275"/>
        <v>0</v>
      </c>
      <c r="BY498" s="4">
        <f t="shared" si="276"/>
        <v>0</v>
      </c>
      <c r="BZ498" s="37">
        <f t="shared" si="277"/>
        <v>100</v>
      </c>
      <c r="CA498" s="32" t="str">
        <f>VLOOKUP(J:J,'Agent wise'!A:C,3,0)</f>
        <v xml:space="preserve">Shiny </v>
      </c>
      <c r="CB498" s="32">
        <f t="shared" si="278"/>
        <v>45934</v>
      </c>
      <c r="CC498" t="str">
        <f t="shared" si="279"/>
        <v>Excellent</v>
      </c>
      <c r="CE498" s="32"/>
      <c r="CJ498">
        <f t="shared" si="280"/>
        <v>4</v>
      </c>
      <c r="CK498">
        <f t="shared" si="281"/>
        <v>10</v>
      </c>
      <c r="CL498">
        <f t="shared" si="282"/>
        <v>2025</v>
      </c>
    </row>
    <row r="499" spans="1:90" ht="15" customHeight="1" x14ac:dyDescent="0.35">
      <c r="A499" s="40">
        <v>45910.426365740743</v>
      </c>
      <c r="B499" t="s">
        <v>100</v>
      </c>
      <c r="C499" t="s">
        <v>214</v>
      </c>
      <c r="D499" t="s">
        <v>101</v>
      </c>
      <c r="E499" s="32">
        <v>45939</v>
      </c>
      <c r="F499" t="s">
        <v>54</v>
      </c>
      <c r="G499" s="2">
        <v>45848</v>
      </c>
      <c r="H499">
        <v>9497613719</v>
      </c>
      <c r="I499">
        <v>150</v>
      </c>
      <c r="J499" t="s">
        <v>183</v>
      </c>
      <c r="K499" t="s">
        <v>57</v>
      </c>
      <c r="L499" t="s">
        <v>58</v>
      </c>
      <c r="M499" t="s">
        <v>59</v>
      </c>
      <c r="N499" t="s">
        <v>59</v>
      </c>
      <c r="O499" t="s">
        <v>59</v>
      </c>
      <c r="P499" t="s">
        <v>59</v>
      </c>
      <c r="Q499" t="s">
        <v>59</v>
      </c>
      <c r="R499" t="s">
        <v>60</v>
      </c>
      <c r="S499" t="s">
        <v>59</v>
      </c>
      <c r="T499" t="s">
        <v>59</v>
      </c>
      <c r="U499" t="s">
        <v>60</v>
      </c>
      <c r="V499" t="s">
        <v>59</v>
      </c>
      <c r="W499" t="s">
        <v>59</v>
      </c>
      <c r="X499" t="s">
        <v>59</v>
      </c>
      <c r="Y499" t="s">
        <v>59</v>
      </c>
      <c r="Z499" t="s">
        <v>59</v>
      </c>
      <c r="AA499" t="s">
        <v>60</v>
      </c>
      <c r="AB499" t="s">
        <v>59</v>
      </c>
      <c r="AC499" t="s">
        <v>60</v>
      </c>
      <c r="AD499" t="s">
        <v>61</v>
      </c>
      <c r="AE499" t="s">
        <v>59</v>
      </c>
      <c r="AF499" t="s">
        <v>59</v>
      </c>
      <c r="AG499" t="s">
        <v>60</v>
      </c>
      <c r="AH499" t="s">
        <v>59</v>
      </c>
      <c r="AI499" t="s">
        <v>61</v>
      </c>
      <c r="AJ499" t="s">
        <v>59</v>
      </c>
      <c r="AK499" t="s">
        <v>59</v>
      </c>
      <c r="AL499" t="s">
        <v>59</v>
      </c>
      <c r="AM499" t="s">
        <v>59</v>
      </c>
      <c r="AN499" t="s">
        <v>60</v>
      </c>
      <c r="AO499" t="s">
        <v>60</v>
      </c>
      <c r="AP499" t="s">
        <v>1196</v>
      </c>
      <c r="AQ499" t="s">
        <v>1197</v>
      </c>
      <c r="AR499" t="s">
        <v>64</v>
      </c>
      <c r="AS499" t="s">
        <v>89</v>
      </c>
      <c r="AT499" t="s">
        <v>514</v>
      </c>
      <c r="AU499" t="s">
        <v>299</v>
      </c>
      <c r="AW499" s="4">
        <f t="shared" si="248"/>
        <v>6</v>
      </c>
      <c r="AX499" s="4">
        <f t="shared" si="249"/>
        <v>4</v>
      </c>
      <c r="AY499" s="4">
        <f t="shared" si="250"/>
        <v>4</v>
      </c>
      <c r="AZ499" s="4">
        <f t="shared" si="251"/>
        <v>2</v>
      </c>
      <c r="BA499" s="4">
        <f t="shared" si="252"/>
        <v>4</v>
      </c>
      <c r="BB499" s="4" t="str">
        <f t="shared" si="253"/>
        <v>0</v>
      </c>
      <c r="BC499" s="4">
        <f t="shared" si="254"/>
        <v>4</v>
      </c>
      <c r="BD499" s="4">
        <f t="shared" si="255"/>
        <v>2</v>
      </c>
      <c r="BE499" s="4" t="str">
        <f t="shared" si="256"/>
        <v>0</v>
      </c>
      <c r="BF499" s="4">
        <f t="shared" si="257"/>
        <v>2</v>
      </c>
      <c r="BG499" s="4">
        <f t="shared" si="258"/>
        <v>4</v>
      </c>
      <c r="BH499" s="4">
        <f t="shared" si="259"/>
        <v>4</v>
      </c>
      <c r="BI499" s="4">
        <f t="shared" si="260"/>
        <v>4</v>
      </c>
      <c r="BJ499" s="4">
        <f t="shared" si="261"/>
        <v>2</v>
      </c>
      <c r="BK499" s="4" t="str">
        <f t="shared" si="262"/>
        <v>0</v>
      </c>
      <c r="BL499" s="4">
        <f t="shared" si="263"/>
        <v>2</v>
      </c>
      <c r="BM499" s="4" t="str">
        <f t="shared" si="264"/>
        <v>0</v>
      </c>
      <c r="BN499" s="4">
        <f t="shared" si="265"/>
        <v>4</v>
      </c>
      <c r="BO499" s="4">
        <f t="shared" si="266"/>
        <v>4</v>
      </c>
      <c r="BP499" s="4">
        <f t="shared" si="267"/>
        <v>4</v>
      </c>
      <c r="BQ499" s="4" t="str">
        <f t="shared" si="268"/>
        <v>0</v>
      </c>
      <c r="BR499" s="4">
        <f t="shared" si="269"/>
        <v>4</v>
      </c>
      <c r="BS499" s="4">
        <f t="shared" si="270"/>
        <v>4</v>
      </c>
      <c r="BT499" s="4">
        <f t="shared" si="271"/>
        <v>4</v>
      </c>
      <c r="BU499" s="4">
        <f t="shared" si="272"/>
        <v>4</v>
      </c>
      <c r="BV499" s="4">
        <f t="shared" si="273"/>
        <v>0</v>
      </c>
      <c r="BW499" s="4">
        <f t="shared" si="274"/>
        <v>6</v>
      </c>
      <c r="BX499" s="4" t="str">
        <f t="shared" si="275"/>
        <v>0</v>
      </c>
      <c r="BY499" s="4" t="str">
        <f t="shared" si="276"/>
        <v>0</v>
      </c>
      <c r="BZ499" s="37">
        <f t="shared" si="277"/>
        <v>78</v>
      </c>
      <c r="CA499" s="32" t="str">
        <f>VLOOKUP(J:J,'Agent wise'!A:C,3,0)</f>
        <v>Adharsh</v>
      </c>
      <c r="CB499" s="32">
        <f t="shared" si="278"/>
        <v>45939</v>
      </c>
      <c r="CC499" t="str">
        <f t="shared" si="279"/>
        <v>FC</v>
      </c>
      <c r="CE499" s="32"/>
      <c r="CJ499">
        <f t="shared" si="280"/>
        <v>9</v>
      </c>
      <c r="CK499">
        <f t="shared" si="281"/>
        <v>10</v>
      </c>
      <c r="CL499">
        <f t="shared" si="282"/>
        <v>2025</v>
      </c>
    </row>
    <row r="500" spans="1:90" ht="15" customHeight="1" x14ac:dyDescent="0.35">
      <c r="A500" s="40">
        <v>45910.439062500001</v>
      </c>
      <c r="B500" t="s">
        <v>100</v>
      </c>
      <c r="C500" t="s">
        <v>214</v>
      </c>
      <c r="D500" t="s">
        <v>101</v>
      </c>
      <c r="E500" s="32">
        <v>45939</v>
      </c>
      <c r="F500" t="s">
        <v>54</v>
      </c>
      <c r="G500" s="2">
        <v>45879</v>
      </c>
      <c r="H500">
        <v>8547724543</v>
      </c>
      <c r="I500">
        <v>153</v>
      </c>
      <c r="J500" t="s">
        <v>195</v>
      </c>
      <c r="K500" t="s">
        <v>71</v>
      </c>
      <c r="L500" t="s">
        <v>72</v>
      </c>
      <c r="M500" t="s">
        <v>59</v>
      </c>
      <c r="N500" t="s">
        <v>59</v>
      </c>
      <c r="O500" t="s">
        <v>60</v>
      </c>
      <c r="P500" t="s">
        <v>59</v>
      </c>
      <c r="Q500" t="s">
        <v>59</v>
      </c>
      <c r="R500" t="s">
        <v>60</v>
      </c>
      <c r="S500" t="s">
        <v>59</v>
      </c>
      <c r="T500" t="s">
        <v>59</v>
      </c>
      <c r="U500" t="s">
        <v>59</v>
      </c>
      <c r="V500" t="s">
        <v>59</v>
      </c>
      <c r="W500" t="s">
        <v>59</v>
      </c>
      <c r="X500" t="s">
        <v>59</v>
      </c>
      <c r="Y500" t="s">
        <v>59</v>
      </c>
      <c r="Z500" t="s">
        <v>59</v>
      </c>
      <c r="AA500" t="s">
        <v>60</v>
      </c>
      <c r="AB500" t="s">
        <v>59</v>
      </c>
      <c r="AC500" t="s">
        <v>59</v>
      </c>
      <c r="AD500" t="s">
        <v>59</v>
      </c>
      <c r="AE500" t="s">
        <v>59</v>
      </c>
      <c r="AF500" t="s">
        <v>59</v>
      </c>
      <c r="AG500" t="s">
        <v>59</v>
      </c>
      <c r="AH500" t="s">
        <v>59</v>
      </c>
      <c r="AI500" t="s">
        <v>61</v>
      </c>
      <c r="AJ500" t="s">
        <v>59</v>
      </c>
      <c r="AK500" t="s">
        <v>59</v>
      </c>
      <c r="AL500" t="s">
        <v>59</v>
      </c>
      <c r="AM500" t="s">
        <v>59</v>
      </c>
      <c r="AN500" t="s">
        <v>59</v>
      </c>
      <c r="AO500" t="s">
        <v>59</v>
      </c>
      <c r="AP500" t="s">
        <v>1198</v>
      </c>
      <c r="AQ500" t="s">
        <v>1199</v>
      </c>
      <c r="AR500" t="s">
        <v>64</v>
      </c>
      <c r="AS500" t="s">
        <v>171</v>
      </c>
      <c r="AT500" t="s">
        <v>190</v>
      </c>
      <c r="AU500" t="s">
        <v>299</v>
      </c>
      <c r="AW500" s="4">
        <f t="shared" si="248"/>
        <v>6</v>
      </c>
      <c r="AX500" s="4">
        <f t="shared" si="249"/>
        <v>4</v>
      </c>
      <c r="AY500" s="4" t="str">
        <f t="shared" si="250"/>
        <v>0</v>
      </c>
      <c r="AZ500" s="4">
        <f t="shared" si="251"/>
        <v>2</v>
      </c>
      <c r="BA500" s="4">
        <f t="shared" si="252"/>
        <v>4</v>
      </c>
      <c r="BB500" s="4" t="str">
        <f t="shared" si="253"/>
        <v>0</v>
      </c>
      <c r="BC500" s="4">
        <f t="shared" si="254"/>
        <v>4</v>
      </c>
      <c r="BD500" s="4">
        <f t="shared" si="255"/>
        <v>2</v>
      </c>
      <c r="BE500" s="4">
        <f t="shared" si="256"/>
        <v>4</v>
      </c>
      <c r="BF500" s="4">
        <f t="shared" si="257"/>
        <v>2</v>
      </c>
      <c r="BG500" s="4">
        <f t="shared" si="258"/>
        <v>4</v>
      </c>
      <c r="BH500" s="4">
        <f t="shared" si="259"/>
        <v>4</v>
      </c>
      <c r="BI500" s="4">
        <f t="shared" si="260"/>
        <v>4</v>
      </c>
      <c r="BJ500" s="4">
        <f t="shared" si="261"/>
        <v>2</v>
      </c>
      <c r="BK500" s="4" t="str">
        <f t="shared" si="262"/>
        <v>0</v>
      </c>
      <c r="BL500" s="4">
        <f t="shared" si="263"/>
        <v>2</v>
      </c>
      <c r="BM500" s="4">
        <f t="shared" si="264"/>
        <v>4</v>
      </c>
      <c r="BN500" s="4">
        <f t="shared" si="265"/>
        <v>4</v>
      </c>
      <c r="BO500" s="4">
        <f t="shared" si="266"/>
        <v>4</v>
      </c>
      <c r="BP500" s="4">
        <f t="shared" si="267"/>
        <v>4</v>
      </c>
      <c r="BQ500" s="4">
        <f t="shared" si="268"/>
        <v>6</v>
      </c>
      <c r="BR500" s="4">
        <f t="shared" si="269"/>
        <v>4</v>
      </c>
      <c r="BS500" s="4">
        <f t="shared" si="270"/>
        <v>4</v>
      </c>
      <c r="BT500" s="4">
        <f t="shared" si="271"/>
        <v>4</v>
      </c>
      <c r="BU500" s="4">
        <f t="shared" si="272"/>
        <v>4</v>
      </c>
      <c r="BV500" s="4">
        <f t="shared" si="273"/>
        <v>0</v>
      </c>
      <c r="BW500" s="4">
        <f t="shared" si="274"/>
        <v>6</v>
      </c>
      <c r="BX500" s="4">
        <f t="shared" si="275"/>
        <v>0</v>
      </c>
      <c r="BY500" s="4">
        <f t="shared" si="276"/>
        <v>0</v>
      </c>
      <c r="BZ500" s="37">
        <f t="shared" si="277"/>
        <v>88</v>
      </c>
      <c r="CA500" s="32" t="str">
        <f>VLOOKUP(J:J,'Agent wise'!A:C,3,0)</f>
        <v>Adharsh</v>
      </c>
      <c r="CB500" s="32">
        <f t="shared" si="278"/>
        <v>45939</v>
      </c>
      <c r="CC500" t="str">
        <f t="shared" si="279"/>
        <v>Average</v>
      </c>
      <c r="CE500" s="32"/>
      <c r="CJ500">
        <f t="shared" si="280"/>
        <v>9</v>
      </c>
      <c r="CK500">
        <f t="shared" si="281"/>
        <v>10</v>
      </c>
      <c r="CL500">
        <f t="shared" si="282"/>
        <v>2025</v>
      </c>
    </row>
    <row r="501" spans="1:90" ht="15" customHeight="1" x14ac:dyDescent="0.35">
      <c r="A501" s="40">
        <v>45910.568391203713</v>
      </c>
      <c r="B501" t="s">
        <v>250</v>
      </c>
      <c r="C501" t="s">
        <v>214</v>
      </c>
      <c r="D501" t="s">
        <v>251</v>
      </c>
      <c r="E501" s="32">
        <v>45939</v>
      </c>
      <c r="F501" t="s">
        <v>222</v>
      </c>
      <c r="G501" s="2">
        <v>45848</v>
      </c>
      <c r="H501">
        <v>9207021715</v>
      </c>
      <c r="I501">
        <v>162</v>
      </c>
      <c r="J501" t="s">
        <v>75</v>
      </c>
      <c r="K501" t="s">
        <v>57</v>
      </c>
      <c r="L501" t="s">
        <v>58</v>
      </c>
      <c r="M501" t="s">
        <v>59</v>
      </c>
      <c r="N501" t="s">
        <v>59</v>
      </c>
      <c r="O501" t="s">
        <v>59</v>
      </c>
      <c r="P501" t="s">
        <v>59</v>
      </c>
      <c r="Q501" t="s">
        <v>59</v>
      </c>
      <c r="R501" t="s">
        <v>59</v>
      </c>
      <c r="S501" t="s">
        <v>59</v>
      </c>
      <c r="T501" t="s">
        <v>59</v>
      </c>
      <c r="U501" t="s">
        <v>60</v>
      </c>
      <c r="V501" t="s">
        <v>59</v>
      </c>
      <c r="W501" t="s">
        <v>59</v>
      </c>
      <c r="X501" t="s">
        <v>59</v>
      </c>
      <c r="Y501" t="s">
        <v>59</v>
      </c>
      <c r="Z501" t="s">
        <v>59</v>
      </c>
      <c r="AA501" t="s">
        <v>60</v>
      </c>
      <c r="AB501" t="s">
        <v>59</v>
      </c>
      <c r="AC501" t="s">
        <v>59</v>
      </c>
      <c r="AD501" t="s">
        <v>59</v>
      </c>
      <c r="AE501" t="s">
        <v>59</v>
      </c>
      <c r="AF501" t="s">
        <v>59</v>
      </c>
      <c r="AG501" t="s">
        <v>59</v>
      </c>
      <c r="AH501" t="s">
        <v>61</v>
      </c>
      <c r="AI501" t="s">
        <v>61</v>
      </c>
      <c r="AJ501" t="s">
        <v>59</v>
      </c>
      <c r="AK501" t="s">
        <v>59</v>
      </c>
      <c r="AL501" t="s">
        <v>60</v>
      </c>
      <c r="AM501" t="s">
        <v>59</v>
      </c>
      <c r="AN501" t="s">
        <v>59</v>
      </c>
      <c r="AO501" t="s">
        <v>59</v>
      </c>
      <c r="AP501" t="s">
        <v>696</v>
      </c>
      <c r="AQ501" t="s">
        <v>1200</v>
      </c>
      <c r="AR501" t="s">
        <v>64</v>
      </c>
      <c r="AS501" t="s">
        <v>111</v>
      </c>
      <c r="AT501" t="s">
        <v>1201</v>
      </c>
      <c r="AU501" t="s">
        <v>219</v>
      </c>
      <c r="AW501" s="4">
        <f t="shared" si="248"/>
        <v>6</v>
      </c>
      <c r="AX501" s="4">
        <f t="shared" si="249"/>
        <v>4</v>
      </c>
      <c r="AY501" s="4">
        <f t="shared" si="250"/>
        <v>4</v>
      </c>
      <c r="AZ501" s="4">
        <f t="shared" si="251"/>
        <v>2</v>
      </c>
      <c r="BA501" s="4">
        <f t="shared" si="252"/>
        <v>4</v>
      </c>
      <c r="BB501" s="4">
        <f t="shared" si="253"/>
        <v>4</v>
      </c>
      <c r="BC501" s="4">
        <f t="shared" si="254"/>
        <v>4</v>
      </c>
      <c r="BD501" s="4">
        <f t="shared" si="255"/>
        <v>2</v>
      </c>
      <c r="BE501" s="4" t="str">
        <f t="shared" si="256"/>
        <v>0</v>
      </c>
      <c r="BF501" s="4">
        <f t="shared" si="257"/>
        <v>2</v>
      </c>
      <c r="BG501" s="4">
        <f t="shared" si="258"/>
        <v>4</v>
      </c>
      <c r="BH501" s="4">
        <f t="shared" si="259"/>
        <v>4</v>
      </c>
      <c r="BI501" s="4">
        <f t="shared" si="260"/>
        <v>4</v>
      </c>
      <c r="BJ501" s="4">
        <f t="shared" si="261"/>
        <v>2</v>
      </c>
      <c r="BK501" s="4" t="str">
        <f t="shared" si="262"/>
        <v>0</v>
      </c>
      <c r="BL501" s="4">
        <f t="shared" si="263"/>
        <v>2</v>
      </c>
      <c r="BM501" s="4">
        <f t="shared" si="264"/>
        <v>4</v>
      </c>
      <c r="BN501" s="4">
        <f t="shared" si="265"/>
        <v>4</v>
      </c>
      <c r="BO501" s="4">
        <f t="shared" si="266"/>
        <v>4</v>
      </c>
      <c r="BP501" s="4">
        <f t="shared" si="267"/>
        <v>4</v>
      </c>
      <c r="BQ501" s="4">
        <f t="shared" si="268"/>
        <v>6</v>
      </c>
      <c r="BR501" s="4">
        <f t="shared" si="269"/>
        <v>4</v>
      </c>
      <c r="BS501" s="4">
        <f t="shared" si="270"/>
        <v>4</v>
      </c>
      <c r="BT501" s="4">
        <f t="shared" si="271"/>
        <v>4</v>
      </c>
      <c r="BU501" s="4">
        <f t="shared" si="272"/>
        <v>4</v>
      </c>
      <c r="BV501" s="4" t="str">
        <f t="shared" si="273"/>
        <v>0</v>
      </c>
      <c r="BW501" s="4">
        <f t="shared" si="274"/>
        <v>6</v>
      </c>
      <c r="BX501" s="4">
        <f t="shared" si="275"/>
        <v>0</v>
      </c>
      <c r="BY501" s="4">
        <f t="shared" si="276"/>
        <v>0</v>
      </c>
      <c r="BZ501" s="37">
        <f t="shared" si="277"/>
        <v>92</v>
      </c>
      <c r="CA501" s="32" t="str">
        <f>VLOOKUP(J:J,'Agent wise'!A:C,3,0)</f>
        <v>Saran S</v>
      </c>
      <c r="CB501" s="32">
        <f t="shared" si="278"/>
        <v>45939</v>
      </c>
      <c r="CC501" t="str">
        <f t="shared" si="279"/>
        <v>Good</v>
      </c>
      <c r="CE501" s="32"/>
      <c r="CJ501">
        <f t="shared" si="280"/>
        <v>9</v>
      </c>
      <c r="CK501">
        <f t="shared" si="281"/>
        <v>10</v>
      </c>
      <c r="CL501">
        <f t="shared" si="282"/>
        <v>2025</v>
      </c>
    </row>
    <row r="502" spans="1:90" ht="15" customHeight="1" x14ac:dyDescent="0.35">
      <c r="A502" s="40">
        <v>45910.574317129627</v>
      </c>
      <c r="B502" t="s">
        <v>250</v>
      </c>
      <c r="C502" t="s">
        <v>214</v>
      </c>
      <c r="D502" t="s">
        <v>251</v>
      </c>
      <c r="E502" s="32">
        <v>45939</v>
      </c>
      <c r="F502" t="s">
        <v>54</v>
      </c>
      <c r="G502" s="2">
        <v>45848</v>
      </c>
      <c r="H502">
        <v>7012052242</v>
      </c>
      <c r="I502">
        <v>178</v>
      </c>
      <c r="J502" t="s">
        <v>636</v>
      </c>
      <c r="K502" t="s">
        <v>57</v>
      </c>
      <c r="L502" t="s">
        <v>58</v>
      </c>
      <c r="M502" t="s">
        <v>60</v>
      </c>
      <c r="N502" t="s">
        <v>59</v>
      </c>
      <c r="O502" t="s">
        <v>59</v>
      </c>
      <c r="P502" t="s">
        <v>59</v>
      </c>
      <c r="Q502" t="s">
        <v>59</v>
      </c>
      <c r="R502" t="s">
        <v>59</v>
      </c>
      <c r="S502" t="s">
        <v>59</v>
      </c>
      <c r="T502" t="s">
        <v>59</v>
      </c>
      <c r="U502" t="s">
        <v>60</v>
      </c>
      <c r="V502" t="s">
        <v>59</v>
      </c>
      <c r="W502" t="s">
        <v>59</v>
      </c>
      <c r="X502" t="s">
        <v>59</v>
      </c>
      <c r="Y502" t="s">
        <v>59</v>
      </c>
      <c r="Z502" t="s">
        <v>59</v>
      </c>
      <c r="AA502" t="s">
        <v>59</v>
      </c>
      <c r="AB502" t="s">
        <v>59</v>
      </c>
      <c r="AC502" t="s">
        <v>59</v>
      </c>
      <c r="AD502" t="s">
        <v>59</v>
      </c>
      <c r="AE502" t="s">
        <v>59</v>
      </c>
      <c r="AF502" t="s">
        <v>59</v>
      </c>
      <c r="AG502" t="s">
        <v>59</v>
      </c>
      <c r="AH502" t="s">
        <v>61</v>
      </c>
      <c r="AI502" t="s">
        <v>60</v>
      </c>
      <c r="AJ502" t="s">
        <v>59</v>
      </c>
      <c r="AK502" t="s">
        <v>59</v>
      </c>
      <c r="AL502" t="s">
        <v>60</v>
      </c>
      <c r="AM502" t="s">
        <v>59</v>
      </c>
      <c r="AN502" t="s">
        <v>59</v>
      </c>
      <c r="AO502" t="s">
        <v>59</v>
      </c>
      <c r="AP502" t="s">
        <v>1202</v>
      </c>
      <c r="AQ502" t="s">
        <v>1203</v>
      </c>
      <c r="AR502" t="s">
        <v>64</v>
      </c>
      <c r="AS502" t="s">
        <v>279</v>
      </c>
      <c r="AT502" t="s">
        <v>123</v>
      </c>
      <c r="AU502" t="s">
        <v>219</v>
      </c>
      <c r="AW502" s="4" t="str">
        <f t="shared" si="248"/>
        <v>0</v>
      </c>
      <c r="AX502" s="4">
        <f t="shared" si="249"/>
        <v>4</v>
      </c>
      <c r="AY502" s="4">
        <f t="shared" si="250"/>
        <v>4</v>
      </c>
      <c r="AZ502" s="4">
        <f t="shared" si="251"/>
        <v>2</v>
      </c>
      <c r="BA502" s="4">
        <f t="shared" si="252"/>
        <v>4</v>
      </c>
      <c r="BB502" s="4">
        <f t="shared" si="253"/>
        <v>4</v>
      </c>
      <c r="BC502" s="4">
        <f t="shared" si="254"/>
        <v>4</v>
      </c>
      <c r="BD502" s="4">
        <f t="shared" si="255"/>
        <v>2</v>
      </c>
      <c r="BE502" s="4" t="str">
        <f t="shared" si="256"/>
        <v>0</v>
      </c>
      <c r="BF502" s="4">
        <f t="shared" si="257"/>
        <v>2</v>
      </c>
      <c r="BG502" s="4">
        <f t="shared" si="258"/>
        <v>4</v>
      </c>
      <c r="BH502" s="4">
        <f t="shared" si="259"/>
        <v>4</v>
      </c>
      <c r="BI502" s="4">
        <f t="shared" si="260"/>
        <v>4</v>
      </c>
      <c r="BJ502" s="4">
        <f t="shared" si="261"/>
        <v>2</v>
      </c>
      <c r="BK502" s="4">
        <f t="shared" si="262"/>
        <v>4</v>
      </c>
      <c r="BL502" s="4">
        <f t="shared" si="263"/>
        <v>2</v>
      </c>
      <c r="BM502" s="4">
        <f t="shared" si="264"/>
        <v>4</v>
      </c>
      <c r="BN502" s="4">
        <f t="shared" si="265"/>
        <v>4</v>
      </c>
      <c r="BO502" s="4">
        <f t="shared" si="266"/>
        <v>4</v>
      </c>
      <c r="BP502" s="4">
        <f t="shared" si="267"/>
        <v>4</v>
      </c>
      <c r="BQ502" s="4">
        <f t="shared" si="268"/>
        <v>6</v>
      </c>
      <c r="BR502" s="4">
        <f t="shared" si="269"/>
        <v>4</v>
      </c>
      <c r="BS502" s="4" t="str">
        <f t="shared" si="270"/>
        <v>0</v>
      </c>
      <c r="BT502" s="4">
        <f t="shared" si="271"/>
        <v>4</v>
      </c>
      <c r="BU502" s="4">
        <f t="shared" si="272"/>
        <v>4</v>
      </c>
      <c r="BV502" s="4" t="str">
        <f t="shared" si="273"/>
        <v>0</v>
      </c>
      <c r="BW502" s="4">
        <f t="shared" si="274"/>
        <v>6</v>
      </c>
      <c r="BX502" s="4">
        <f t="shared" si="275"/>
        <v>0</v>
      </c>
      <c r="BY502" s="4">
        <f t="shared" si="276"/>
        <v>0</v>
      </c>
      <c r="BZ502" s="37">
        <f t="shared" si="277"/>
        <v>86</v>
      </c>
      <c r="CA502" s="32" t="str">
        <f>VLOOKUP(J:J,'Agent wise'!A:C,3,0)</f>
        <v>Shakeer</v>
      </c>
      <c r="CB502" s="32">
        <f t="shared" si="278"/>
        <v>45939</v>
      </c>
      <c r="CC502" t="str">
        <f t="shared" si="279"/>
        <v>Average</v>
      </c>
      <c r="CE502" s="32"/>
      <c r="CJ502">
        <f t="shared" si="280"/>
        <v>9</v>
      </c>
      <c r="CK502">
        <f t="shared" si="281"/>
        <v>10</v>
      </c>
      <c r="CL502">
        <f t="shared" si="282"/>
        <v>2025</v>
      </c>
    </row>
    <row r="503" spans="1:90" ht="15" customHeight="1" x14ac:dyDescent="0.35">
      <c r="A503" s="40">
        <v>45910.576979166668</v>
      </c>
      <c r="B503" t="s">
        <v>250</v>
      </c>
      <c r="C503" t="s">
        <v>214</v>
      </c>
      <c r="D503" t="s">
        <v>251</v>
      </c>
      <c r="E503" s="32">
        <v>45939</v>
      </c>
      <c r="F503" t="s">
        <v>54</v>
      </c>
      <c r="G503" s="2">
        <v>45848</v>
      </c>
      <c r="H503">
        <v>9446847892</v>
      </c>
      <c r="I503">
        <v>172</v>
      </c>
      <c r="J503" t="s">
        <v>638</v>
      </c>
      <c r="K503" t="s">
        <v>57</v>
      </c>
      <c r="L503" t="s">
        <v>58</v>
      </c>
      <c r="M503" t="s">
        <v>59</v>
      </c>
      <c r="N503" t="s">
        <v>59</v>
      </c>
      <c r="O503" t="s">
        <v>59</v>
      </c>
      <c r="P503" t="s">
        <v>59</v>
      </c>
      <c r="Q503" t="s">
        <v>59</v>
      </c>
      <c r="R503" t="s">
        <v>59</v>
      </c>
      <c r="S503" t="s">
        <v>59</v>
      </c>
      <c r="T503" t="s">
        <v>59</v>
      </c>
      <c r="U503" t="s">
        <v>60</v>
      </c>
      <c r="V503" t="s">
        <v>59</v>
      </c>
      <c r="W503" t="s">
        <v>59</v>
      </c>
      <c r="X503" t="s">
        <v>59</v>
      </c>
      <c r="Y503" t="s">
        <v>59</v>
      </c>
      <c r="Z503" t="s">
        <v>59</v>
      </c>
      <c r="AA503" t="s">
        <v>60</v>
      </c>
      <c r="AB503" t="s">
        <v>59</v>
      </c>
      <c r="AC503" t="s">
        <v>59</v>
      </c>
      <c r="AD503" t="s">
        <v>59</v>
      </c>
      <c r="AE503" t="s">
        <v>59</v>
      </c>
      <c r="AF503" t="s">
        <v>59</v>
      </c>
      <c r="AG503" t="s">
        <v>59</v>
      </c>
      <c r="AH503" t="s">
        <v>61</v>
      </c>
      <c r="AI503" t="s">
        <v>61</v>
      </c>
      <c r="AJ503" t="s">
        <v>59</v>
      </c>
      <c r="AK503" t="s">
        <v>59</v>
      </c>
      <c r="AL503" t="s">
        <v>60</v>
      </c>
      <c r="AM503" t="s">
        <v>59</v>
      </c>
      <c r="AN503" t="s">
        <v>59</v>
      </c>
      <c r="AO503" t="s">
        <v>59</v>
      </c>
      <c r="AP503" t="s">
        <v>1204</v>
      </c>
      <c r="AQ503" t="s">
        <v>1205</v>
      </c>
      <c r="AR503" t="s">
        <v>64</v>
      </c>
      <c r="AS503" t="s">
        <v>771</v>
      </c>
      <c r="AT503" t="s">
        <v>790</v>
      </c>
      <c r="AU503" t="s">
        <v>219</v>
      </c>
      <c r="AW503" s="4">
        <f t="shared" si="248"/>
        <v>6</v>
      </c>
      <c r="AX503" s="4">
        <f t="shared" si="249"/>
        <v>4</v>
      </c>
      <c r="AY503" s="4">
        <f t="shared" si="250"/>
        <v>4</v>
      </c>
      <c r="AZ503" s="4">
        <f t="shared" si="251"/>
        <v>2</v>
      </c>
      <c r="BA503" s="4">
        <f t="shared" si="252"/>
        <v>4</v>
      </c>
      <c r="BB503" s="4">
        <f t="shared" si="253"/>
        <v>4</v>
      </c>
      <c r="BC503" s="4">
        <f t="shared" si="254"/>
        <v>4</v>
      </c>
      <c r="BD503" s="4">
        <f t="shared" si="255"/>
        <v>2</v>
      </c>
      <c r="BE503" s="4" t="str">
        <f t="shared" si="256"/>
        <v>0</v>
      </c>
      <c r="BF503" s="4">
        <f t="shared" si="257"/>
        <v>2</v>
      </c>
      <c r="BG503" s="4">
        <f t="shared" si="258"/>
        <v>4</v>
      </c>
      <c r="BH503" s="4">
        <f t="shared" si="259"/>
        <v>4</v>
      </c>
      <c r="BI503" s="4">
        <f t="shared" si="260"/>
        <v>4</v>
      </c>
      <c r="BJ503" s="4">
        <f t="shared" si="261"/>
        <v>2</v>
      </c>
      <c r="BK503" s="4" t="str">
        <f t="shared" si="262"/>
        <v>0</v>
      </c>
      <c r="BL503" s="4">
        <f t="shared" si="263"/>
        <v>2</v>
      </c>
      <c r="BM503" s="4">
        <f t="shared" si="264"/>
        <v>4</v>
      </c>
      <c r="BN503" s="4">
        <f t="shared" si="265"/>
        <v>4</v>
      </c>
      <c r="BO503" s="4">
        <f t="shared" si="266"/>
        <v>4</v>
      </c>
      <c r="BP503" s="4">
        <f t="shared" si="267"/>
        <v>4</v>
      </c>
      <c r="BQ503" s="4">
        <f t="shared" si="268"/>
        <v>6</v>
      </c>
      <c r="BR503" s="4">
        <f t="shared" si="269"/>
        <v>4</v>
      </c>
      <c r="BS503" s="4">
        <f t="shared" si="270"/>
        <v>4</v>
      </c>
      <c r="BT503" s="4">
        <f t="shared" si="271"/>
        <v>4</v>
      </c>
      <c r="BU503" s="4">
        <f t="shared" si="272"/>
        <v>4</v>
      </c>
      <c r="BV503" s="4" t="str">
        <f t="shared" si="273"/>
        <v>0</v>
      </c>
      <c r="BW503" s="4">
        <f t="shared" si="274"/>
        <v>6</v>
      </c>
      <c r="BX503" s="4">
        <f t="shared" si="275"/>
        <v>0</v>
      </c>
      <c r="BY503" s="4">
        <f t="shared" si="276"/>
        <v>0</v>
      </c>
      <c r="BZ503" s="37">
        <f t="shared" si="277"/>
        <v>92</v>
      </c>
      <c r="CA503" s="32" t="str">
        <f>VLOOKUP(J:J,'Agent wise'!A:C,3,0)</f>
        <v>Adharsh</v>
      </c>
      <c r="CB503" s="32">
        <f t="shared" si="278"/>
        <v>45939</v>
      </c>
      <c r="CC503" t="str">
        <f t="shared" si="279"/>
        <v>Good</v>
      </c>
      <c r="CE503" s="32"/>
      <c r="CJ503">
        <f t="shared" si="280"/>
        <v>9</v>
      </c>
      <c r="CK503">
        <f t="shared" si="281"/>
        <v>10</v>
      </c>
      <c r="CL503">
        <f t="shared" si="282"/>
        <v>2025</v>
      </c>
    </row>
    <row r="504" spans="1:90" ht="15" customHeight="1" x14ac:dyDescent="0.35">
      <c r="A504" s="40">
        <v>45910.632118055553</v>
      </c>
      <c r="B504" t="s">
        <v>250</v>
      </c>
      <c r="C504" t="s">
        <v>214</v>
      </c>
      <c r="D504" t="s">
        <v>251</v>
      </c>
      <c r="E504" s="32">
        <v>45939</v>
      </c>
      <c r="F504" t="s">
        <v>54</v>
      </c>
      <c r="G504" s="2">
        <v>45848</v>
      </c>
      <c r="H504">
        <v>9633009777</v>
      </c>
      <c r="I504">
        <v>158</v>
      </c>
      <c r="J504" t="s">
        <v>484</v>
      </c>
      <c r="K504" t="s">
        <v>57</v>
      </c>
      <c r="L504" t="s">
        <v>58</v>
      </c>
      <c r="M504" t="s">
        <v>59</v>
      </c>
      <c r="N504" t="s">
        <v>59</v>
      </c>
      <c r="O504" t="s">
        <v>59</v>
      </c>
      <c r="P504" t="s">
        <v>59</v>
      </c>
      <c r="Q504" t="s">
        <v>59</v>
      </c>
      <c r="R504" t="s">
        <v>59</v>
      </c>
      <c r="S504" t="s">
        <v>59</v>
      </c>
      <c r="T504" t="s">
        <v>59</v>
      </c>
      <c r="U504" t="s">
        <v>60</v>
      </c>
      <c r="V504" t="s">
        <v>59</v>
      </c>
      <c r="W504" t="s">
        <v>59</v>
      </c>
      <c r="X504" t="s">
        <v>59</v>
      </c>
      <c r="Y504" t="s">
        <v>59</v>
      </c>
      <c r="Z504" t="s">
        <v>59</v>
      </c>
      <c r="AA504" t="s">
        <v>59</v>
      </c>
      <c r="AB504" t="s">
        <v>60</v>
      </c>
      <c r="AC504" t="s">
        <v>59</v>
      </c>
      <c r="AD504" t="s">
        <v>59</v>
      </c>
      <c r="AE504" t="s">
        <v>59</v>
      </c>
      <c r="AF504" t="s">
        <v>59</v>
      </c>
      <c r="AG504" t="s">
        <v>59</v>
      </c>
      <c r="AH504" t="s">
        <v>61</v>
      </c>
      <c r="AI504" t="s">
        <v>61</v>
      </c>
      <c r="AJ504" t="s">
        <v>59</v>
      </c>
      <c r="AK504" t="s">
        <v>59</v>
      </c>
      <c r="AL504" t="s">
        <v>60</v>
      </c>
      <c r="AM504" t="s">
        <v>59</v>
      </c>
      <c r="AN504" t="s">
        <v>59</v>
      </c>
      <c r="AO504" t="s">
        <v>59</v>
      </c>
      <c r="AP504" t="s">
        <v>1206</v>
      </c>
      <c r="AQ504" t="s">
        <v>1207</v>
      </c>
      <c r="AR504" t="s">
        <v>64</v>
      </c>
      <c r="AS504" t="s">
        <v>417</v>
      </c>
      <c r="AT504" t="s">
        <v>418</v>
      </c>
      <c r="AU504" t="s">
        <v>219</v>
      </c>
      <c r="AW504" s="4">
        <f t="shared" si="248"/>
        <v>6</v>
      </c>
      <c r="AX504" s="4">
        <f t="shared" si="249"/>
        <v>4</v>
      </c>
      <c r="AY504" s="4">
        <f t="shared" si="250"/>
        <v>4</v>
      </c>
      <c r="AZ504" s="4">
        <f t="shared" si="251"/>
        <v>2</v>
      </c>
      <c r="BA504" s="4">
        <f t="shared" si="252"/>
        <v>4</v>
      </c>
      <c r="BB504" s="4">
        <f t="shared" si="253"/>
        <v>4</v>
      </c>
      <c r="BC504" s="4">
        <f t="shared" si="254"/>
        <v>4</v>
      </c>
      <c r="BD504" s="4">
        <f t="shared" si="255"/>
        <v>2</v>
      </c>
      <c r="BE504" s="4" t="str">
        <f t="shared" si="256"/>
        <v>0</v>
      </c>
      <c r="BF504" s="4">
        <f t="shared" si="257"/>
        <v>2</v>
      </c>
      <c r="BG504" s="4">
        <f t="shared" si="258"/>
        <v>4</v>
      </c>
      <c r="BH504" s="4">
        <f t="shared" si="259"/>
        <v>4</v>
      </c>
      <c r="BI504" s="4">
        <f t="shared" si="260"/>
        <v>4</v>
      </c>
      <c r="BJ504" s="4">
        <f t="shared" si="261"/>
        <v>2</v>
      </c>
      <c r="BK504" s="4">
        <f t="shared" si="262"/>
        <v>4</v>
      </c>
      <c r="BL504" s="4" t="str">
        <f t="shared" si="263"/>
        <v>0</v>
      </c>
      <c r="BM504" s="4">
        <f t="shared" si="264"/>
        <v>4</v>
      </c>
      <c r="BN504" s="4">
        <f t="shared" si="265"/>
        <v>4</v>
      </c>
      <c r="BO504" s="4">
        <f t="shared" si="266"/>
        <v>4</v>
      </c>
      <c r="BP504" s="4">
        <f t="shared" si="267"/>
        <v>4</v>
      </c>
      <c r="BQ504" s="4">
        <f t="shared" si="268"/>
        <v>6</v>
      </c>
      <c r="BR504" s="4">
        <f t="shared" si="269"/>
        <v>4</v>
      </c>
      <c r="BS504" s="4">
        <f t="shared" si="270"/>
        <v>4</v>
      </c>
      <c r="BT504" s="4">
        <f t="shared" si="271"/>
        <v>4</v>
      </c>
      <c r="BU504" s="4">
        <f t="shared" si="272"/>
        <v>4</v>
      </c>
      <c r="BV504" s="4" t="str">
        <f t="shared" si="273"/>
        <v>0</v>
      </c>
      <c r="BW504" s="4">
        <f t="shared" si="274"/>
        <v>6</v>
      </c>
      <c r="BX504" s="4">
        <f t="shared" si="275"/>
        <v>0</v>
      </c>
      <c r="BY504" s="4">
        <f t="shared" si="276"/>
        <v>0</v>
      </c>
      <c r="BZ504" s="37">
        <f t="shared" si="277"/>
        <v>94</v>
      </c>
      <c r="CA504" s="32" t="str">
        <f>VLOOKUP(J:J,'Agent wise'!A:C,3,0)</f>
        <v>Adharsh</v>
      </c>
      <c r="CB504" s="32">
        <f t="shared" si="278"/>
        <v>45939</v>
      </c>
      <c r="CC504" t="str">
        <f t="shared" si="279"/>
        <v>Good</v>
      </c>
      <c r="CE504" s="32"/>
      <c r="CJ504">
        <f t="shared" si="280"/>
        <v>9</v>
      </c>
      <c r="CK504">
        <f t="shared" si="281"/>
        <v>10</v>
      </c>
      <c r="CL504">
        <f t="shared" si="282"/>
        <v>2025</v>
      </c>
    </row>
    <row r="505" spans="1:90" ht="15" customHeight="1" x14ac:dyDescent="0.35">
      <c r="A505" s="40">
        <v>45910.685150462959</v>
      </c>
      <c r="B505" t="s">
        <v>250</v>
      </c>
      <c r="C505" t="s">
        <v>214</v>
      </c>
      <c r="D505" t="s">
        <v>251</v>
      </c>
      <c r="E505" s="32">
        <v>45939</v>
      </c>
      <c r="F505" t="s">
        <v>54</v>
      </c>
      <c r="G505" s="2">
        <v>45848</v>
      </c>
      <c r="H505">
        <v>8075795902</v>
      </c>
      <c r="I505">
        <v>147</v>
      </c>
      <c r="J505" t="s">
        <v>80</v>
      </c>
      <c r="K505" t="s">
        <v>57</v>
      </c>
      <c r="L505" t="s">
        <v>58</v>
      </c>
      <c r="M505" t="s">
        <v>59</v>
      </c>
      <c r="N505" t="s">
        <v>59</v>
      </c>
      <c r="O505" t="s">
        <v>59</v>
      </c>
      <c r="P505" t="s">
        <v>59</v>
      </c>
      <c r="Q505" t="s">
        <v>59</v>
      </c>
      <c r="R505" t="s">
        <v>59</v>
      </c>
      <c r="S505" t="s">
        <v>59</v>
      </c>
      <c r="T505" t="s">
        <v>59</v>
      </c>
      <c r="U505" t="s">
        <v>60</v>
      </c>
      <c r="V505" t="s">
        <v>59</v>
      </c>
      <c r="W505" t="s">
        <v>59</v>
      </c>
      <c r="X505" t="s">
        <v>59</v>
      </c>
      <c r="Y505" t="s">
        <v>59</v>
      </c>
      <c r="Z505" t="s">
        <v>59</v>
      </c>
      <c r="AA505" t="s">
        <v>59</v>
      </c>
      <c r="AB505" t="s">
        <v>60</v>
      </c>
      <c r="AC505" t="s">
        <v>59</v>
      </c>
      <c r="AD505" t="s">
        <v>59</v>
      </c>
      <c r="AE505" t="s">
        <v>59</v>
      </c>
      <c r="AF505" t="s">
        <v>59</v>
      </c>
      <c r="AG505" t="s">
        <v>59</v>
      </c>
      <c r="AH505" t="s">
        <v>61</v>
      </c>
      <c r="AI505" t="s">
        <v>61</v>
      </c>
      <c r="AJ505" t="s">
        <v>59</v>
      </c>
      <c r="AK505" t="s">
        <v>59</v>
      </c>
      <c r="AL505" t="s">
        <v>60</v>
      </c>
      <c r="AM505" t="s">
        <v>59</v>
      </c>
      <c r="AN505" t="s">
        <v>59</v>
      </c>
      <c r="AO505" t="s">
        <v>59</v>
      </c>
      <c r="AP505" t="s">
        <v>467</v>
      </c>
      <c r="AQ505" t="s">
        <v>1208</v>
      </c>
      <c r="AR505" t="s">
        <v>64</v>
      </c>
      <c r="AS505" t="s">
        <v>1209</v>
      </c>
      <c r="AT505" t="s">
        <v>1210</v>
      </c>
      <c r="AU505" t="s">
        <v>387</v>
      </c>
      <c r="AW505" s="4">
        <f t="shared" si="248"/>
        <v>6</v>
      </c>
      <c r="AX505" s="4">
        <f t="shared" si="249"/>
        <v>4</v>
      </c>
      <c r="AY505" s="4">
        <f t="shared" si="250"/>
        <v>4</v>
      </c>
      <c r="AZ505" s="4">
        <f t="shared" si="251"/>
        <v>2</v>
      </c>
      <c r="BA505" s="4">
        <f t="shared" si="252"/>
        <v>4</v>
      </c>
      <c r="BB505" s="4">
        <f t="shared" si="253"/>
        <v>4</v>
      </c>
      <c r="BC505" s="4">
        <f t="shared" si="254"/>
        <v>4</v>
      </c>
      <c r="BD505" s="4">
        <f t="shared" si="255"/>
        <v>2</v>
      </c>
      <c r="BE505" s="4" t="str">
        <f t="shared" si="256"/>
        <v>0</v>
      </c>
      <c r="BF505" s="4">
        <f t="shared" si="257"/>
        <v>2</v>
      </c>
      <c r="BG505" s="4">
        <f t="shared" si="258"/>
        <v>4</v>
      </c>
      <c r="BH505" s="4">
        <f t="shared" si="259"/>
        <v>4</v>
      </c>
      <c r="BI505" s="4">
        <f t="shared" si="260"/>
        <v>4</v>
      </c>
      <c r="BJ505" s="4">
        <f t="shared" si="261"/>
        <v>2</v>
      </c>
      <c r="BK505" s="4">
        <f t="shared" si="262"/>
        <v>4</v>
      </c>
      <c r="BL505" s="4" t="str">
        <f t="shared" si="263"/>
        <v>0</v>
      </c>
      <c r="BM505" s="4">
        <f t="shared" si="264"/>
        <v>4</v>
      </c>
      <c r="BN505" s="4">
        <f t="shared" si="265"/>
        <v>4</v>
      </c>
      <c r="BO505" s="4">
        <f t="shared" si="266"/>
        <v>4</v>
      </c>
      <c r="BP505" s="4">
        <f t="shared" si="267"/>
        <v>4</v>
      </c>
      <c r="BQ505" s="4">
        <f t="shared" si="268"/>
        <v>6</v>
      </c>
      <c r="BR505" s="4">
        <f t="shared" si="269"/>
        <v>4</v>
      </c>
      <c r="BS505" s="4">
        <f t="shared" si="270"/>
        <v>4</v>
      </c>
      <c r="BT505" s="4">
        <f t="shared" si="271"/>
        <v>4</v>
      </c>
      <c r="BU505" s="4">
        <f t="shared" si="272"/>
        <v>4</v>
      </c>
      <c r="BV505" s="4" t="str">
        <f t="shared" si="273"/>
        <v>0</v>
      </c>
      <c r="BW505" s="4">
        <f t="shared" si="274"/>
        <v>6</v>
      </c>
      <c r="BX505" s="4">
        <f t="shared" si="275"/>
        <v>0</v>
      </c>
      <c r="BY505" s="4">
        <f t="shared" si="276"/>
        <v>0</v>
      </c>
      <c r="BZ505" s="37">
        <f t="shared" si="277"/>
        <v>94</v>
      </c>
      <c r="CA505" s="32" t="str">
        <f>VLOOKUP(J:J,'Agent wise'!A:C,3,0)</f>
        <v>Saran S</v>
      </c>
      <c r="CB505" s="32">
        <f t="shared" si="278"/>
        <v>45939</v>
      </c>
      <c r="CC505" t="str">
        <f t="shared" si="279"/>
        <v>Good</v>
      </c>
      <c r="CE505" s="32"/>
      <c r="CJ505">
        <f t="shared" si="280"/>
        <v>9</v>
      </c>
      <c r="CK505">
        <f t="shared" si="281"/>
        <v>10</v>
      </c>
      <c r="CL505">
        <f t="shared" si="282"/>
        <v>2025</v>
      </c>
    </row>
    <row r="506" spans="1:90" ht="15" customHeight="1" x14ac:dyDescent="0.35">
      <c r="A506" s="40">
        <v>45910.771944444437</v>
      </c>
      <c r="B506" t="s">
        <v>250</v>
      </c>
      <c r="C506" t="s">
        <v>214</v>
      </c>
      <c r="D506" t="s">
        <v>251</v>
      </c>
      <c r="E506" s="32">
        <v>45939</v>
      </c>
      <c r="F506" t="s">
        <v>54</v>
      </c>
      <c r="G506" s="2">
        <v>45879</v>
      </c>
      <c r="H506">
        <v>9444404602</v>
      </c>
      <c r="I506">
        <v>198</v>
      </c>
      <c r="J506" t="s">
        <v>490</v>
      </c>
      <c r="K506" t="s">
        <v>71</v>
      </c>
      <c r="L506" t="s">
        <v>72</v>
      </c>
      <c r="M506" t="s">
        <v>59</v>
      </c>
      <c r="N506" t="s">
        <v>59</v>
      </c>
      <c r="O506" t="s">
        <v>59</v>
      </c>
      <c r="P506" t="s">
        <v>59</v>
      </c>
      <c r="Q506" t="s">
        <v>59</v>
      </c>
      <c r="R506" t="s">
        <v>59</v>
      </c>
      <c r="S506" t="s">
        <v>59</v>
      </c>
      <c r="T506" t="s">
        <v>59</v>
      </c>
      <c r="U506" t="s">
        <v>60</v>
      </c>
      <c r="V506" t="s">
        <v>59</v>
      </c>
      <c r="W506" t="s">
        <v>59</v>
      </c>
      <c r="X506" t="s">
        <v>59</v>
      </c>
      <c r="Y506" t="s">
        <v>59</v>
      </c>
      <c r="Z506" t="s">
        <v>59</v>
      </c>
      <c r="AA506" t="s">
        <v>60</v>
      </c>
      <c r="AB506" t="s">
        <v>59</v>
      </c>
      <c r="AC506" t="s">
        <v>59</v>
      </c>
      <c r="AD506" t="s">
        <v>59</v>
      </c>
      <c r="AE506" t="s">
        <v>59</v>
      </c>
      <c r="AF506" t="s">
        <v>59</v>
      </c>
      <c r="AG506" t="s">
        <v>59</v>
      </c>
      <c r="AH506" t="s">
        <v>61</v>
      </c>
      <c r="AI506" t="s">
        <v>61</v>
      </c>
      <c r="AJ506" t="s">
        <v>59</v>
      </c>
      <c r="AK506" t="s">
        <v>59</v>
      </c>
      <c r="AL506" t="s">
        <v>59</v>
      </c>
      <c r="AM506" t="s">
        <v>59</v>
      </c>
      <c r="AN506" t="s">
        <v>59</v>
      </c>
      <c r="AO506" t="s">
        <v>59</v>
      </c>
      <c r="AP506" t="s">
        <v>1211</v>
      </c>
      <c r="AQ506" t="s">
        <v>1212</v>
      </c>
      <c r="AR506" t="s">
        <v>64</v>
      </c>
      <c r="AS506" t="s">
        <v>255</v>
      </c>
      <c r="AT506" t="s">
        <v>256</v>
      </c>
      <c r="AU506" t="s">
        <v>219</v>
      </c>
      <c r="AW506" s="4">
        <f t="shared" si="248"/>
        <v>6</v>
      </c>
      <c r="AX506" s="4">
        <f t="shared" si="249"/>
        <v>4</v>
      </c>
      <c r="AY506" s="4">
        <f t="shared" si="250"/>
        <v>4</v>
      </c>
      <c r="AZ506" s="4">
        <f t="shared" si="251"/>
        <v>2</v>
      </c>
      <c r="BA506" s="4">
        <f t="shared" si="252"/>
        <v>4</v>
      </c>
      <c r="BB506" s="4">
        <f t="shared" si="253"/>
        <v>4</v>
      </c>
      <c r="BC506" s="4">
        <f t="shared" si="254"/>
        <v>4</v>
      </c>
      <c r="BD506" s="4">
        <f t="shared" si="255"/>
        <v>2</v>
      </c>
      <c r="BE506" s="4" t="str">
        <f t="shared" si="256"/>
        <v>0</v>
      </c>
      <c r="BF506" s="4">
        <f t="shared" si="257"/>
        <v>2</v>
      </c>
      <c r="BG506" s="4">
        <f t="shared" si="258"/>
        <v>4</v>
      </c>
      <c r="BH506" s="4">
        <f t="shared" si="259"/>
        <v>4</v>
      </c>
      <c r="BI506" s="4">
        <f t="shared" si="260"/>
        <v>4</v>
      </c>
      <c r="BJ506" s="4">
        <f t="shared" si="261"/>
        <v>2</v>
      </c>
      <c r="BK506" s="4" t="str">
        <f t="shared" si="262"/>
        <v>0</v>
      </c>
      <c r="BL506" s="4">
        <f t="shared" si="263"/>
        <v>2</v>
      </c>
      <c r="BM506" s="4">
        <f t="shared" si="264"/>
        <v>4</v>
      </c>
      <c r="BN506" s="4">
        <f t="shared" si="265"/>
        <v>4</v>
      </c>
      <c r="BO506" s="4">
        <f t="shared" si="266"/>
        <v>4</v>
      </c>
      <c r="BP506" s="4">
        <f t="shared" si="267"/>
        <v>4</v>
      </c>
      <c r="BQ506" s="4">
        <f t="shared" si="268"/>
        <v>6</v>
      </c>
      <c r="BR506" s="4">
        <f t="shared" si="269"/>
        <v>4</v>
      </c>
      <c r="BS506" s="4">
        <f t="shared" si="270"/>
        <v>4</v>
      </c>
      <c r="BT506" s="4">
        <f t="shared" si="271"/>
        <v>4</v>
      </c>
      <c r="BU506" s="4">
        <f t="shared" si="272"/>
        <v>4</v>
      </c>
      <c r="BV506" s="4">
        <f t="shared" si="273"/>
        <v>0</v>
      </c>
      <c r="BW506" s="4">
        <f t="shared" si="274"/>
        <v>6</v>
      </c>
      <c r="BX506" s="4">
        <f t="shared" si="275"/>
        <v>0</v>
      </c>
      <c r="BY506" s="4">
        <f t="shared" si="276"/>
        <v>0</v>
      </c>
      <c r="BZ506" s="37">
        <f t="shared" si="277"/>
        <v>92</v>
      </c>
      <c r="CA506" s="32" t="str">
        <f>VLOOKUP(J:J,'Agent wise'!A:C,3,0)</f>
        <v>Saran S</v>
      </c>
      <c r="CB506" s="32">
        <f t="shared" si="278"/>
        <v>45939</v>
      </c>
      <c r="CC506" t="str">
        <f t="shared" si="279"/>
        <v>Good</v>
      </c>
      <c r="CE506" s="32"/>
      <c r="CJ506">
        <f t="shared" si="280"/>
        <v>9</v>
      </c>
      <c r="CK506">
        <f t="shared" si="281"/>
        <v>10</v>
      </c>
      <c r="CL506">
        <f t="shared" si="282"/>
        <v>2025</v>
      </c>
    </row>
    <row r="507" spans="1:90" ht="15" customHeight="1" x14ac:dyDescent="0.35">
      <c r="A507" s="40">
        <v>45910.778969907413</v>
      </c>
      <c r="B507" t="s">
        <v>250</v>
      </c>
      <c r="C507" t="s">
        <v>214</v>
      </c>
      <c r="D507" t="s">
        <v>251</v>
      </c>
      <c r="E507" s="32">
        <v>45939</v>
      </c>
      <c r="F507" t="s">
        <v>54</v>
      </c>
      <c r="G507" s="2">
        <v>45879</v>
      </c>
      <c r="H507">
        <v>9444634102</v>
      </c>
      <c r="I507">
        <v>174</v>
      </c>
      <c r="J507" t="s">
        <v>208</v>
      </c>
      <c r="K507" t="s">
        <v>71</v>
      </c>
      <c r="L507" t="s">
        <v>72</v>
      </c>
      <c r="M507" t="s">
        <v>59</v>
      </c>
      <c r="N507" t="s">
        <v>59</v>
      </c>
      <c r="O507" t="s">
        <v>59</v>
      </c>
      <c r="P507" t="s">
        <v>59</v>
      </c>
      <c r="Q507" t="s">
        <v>59</v>
      </c>
      <c r="R507" t="s">
        <v>59</v>
      </c>
      <c r="S507" t="s">
        <v>59</v>
      </c>
      <c r="T507" t="s">
        <v>59</v>
      </c>
      <c r="U507" t="s">
        <v>59</v>
      </c>
      <c r="V507" t="s">
        <v>59</v>
      </c>
      <c r="W507" t="s">
        <v>59</v>
      </c>
      <c r="X507" t="s">
        <v>59</v>
      </c>
      <c r="Y507" t="s">
        <v>59</v>
      </c>
      <c r="Z507" t="s">
        <v>59</v>
      </c>
      <c r="AA507" t="s">
        <v>59</v>
      </c>
      <c r="AB507" t="s">
        <v>59</v>
      </c>
      <c r="AC507" t="s">
        <v>59</v>
      </c>
      <c r="AD507" t="s">
        <v>59</v>
      </c>
      <c r="AE507" t="s">
        <v>59</v>
      </c>
      <c r="AF507" t="s">
        <v>59</v>
      </c>
      <c r="AG507" t="s">
        <v>59</v>
      </c>
      <c r="AH507" t="s">
        <v>61</v>
      </c>
      <c r="AI507" t="s">
        <v>61</v>
      </c>
      <c r="AJ507" t="s">
        <v>59</v>
      </c>
      <c r="AK507" t="s">
        <v>59</v>
      </c>
      <c r="AL507" t="s">
        <v>60</v>
      </c>
      <c r="AM507" t="s">
        <v>59</v>
      </c>
      <c r="AN507" t="s">
        <v>59</v>
      </c>
      <c r="AO507" t="s">
        <v>59</v>
      </c>
      <c r="AP507" t="s">
        <v>270</v>
      </c>
      <c r="AQ507" t="s">
        <v>1213</v>
      </c>
      <c r="AR507" t="s">
        <v>64</v>
      </c>
      <c r="AS507" t="s">
        <v>771</v>
      </c>
      <c r="AT507" t="s">
        <v>1214</v>
      </c>
      <c r="AU507" t="s">
        <v>219</v>
      </c>
      <c r="AW507" s="4">
        <f t="shared" si="248"/>
        <v>6</v>
      </c>
      <c r="AX507" s="4">
        <f t="shared" si="249"/>
        <v>4</v>
      </c>
      <c r="AY507" s="4">
        <f t="shared" si="250"/>
        <v>4</v>
      </c>
      <c r="AZ507" s="4">
        <f t="shared" si="251"/>
        <v>2</v>
      </c>
      <c r="BA507" s="4">
        <f t="shared" si="252"/>
        <v>4</v>
      </c>
      <c r="BB507" s="4">
        <f t="shared" si="253"/>
        <v>4</v>
      </c>
      <c r="BC507" s="4">
        <f t="shared" si="254"/>
        <v>4</v>
      </c>
      <c r="BD507" s="4">
        <f t="shared" si="255"/>
        <v>2</v>
      </c>
      <c r="BE507" s="4">
        <f t="shared" si="256"/>
        <v>4</v>
      </c>
      <c r="BF507" s="4">
        <f t="shared" si="257"/>
        <v>2</v>
      </c>
      <c r="BG507" s="4">
        <f t="shared" si="258"/>
        <v>4</v>
      </c>
      <c r="BH507" s="4">
        <f t="shared" si="259"/>
        <v>4</v>
      </c>
      <c r="BI507" s="4">
        <f t="shared" si="260"/>
        <v>4</v>
      </c>
      <c r="BJ507" s="4">
        <f t="shared" si="261"/>
        <v>2</v>
      </c>
      <c r="BK507" s="4">
        <f t="shared" si="262"/>
        <v>4</v>
      </c>
      <c r="BL507" s="4">
        <f t="shared" si="263"/>
        <v>2</v>
      </c>
      <c r="BM507" s="4">
        <f t="shared" si="264"/>
        <v>4</v>
      </c>
      <c r="BN507" s="4">
        <f t="shared" si="265"/>
        <v>4</v>
      </c>
      <c r="BO507" s="4">
        <f t="shared" si="266"/>
        <v>4</v>
      </c>
      <c r="BP507" s="4">
        <f t="shared" si="267"/>
        <v>4</v>
      </c>
      <c r="BQ507" s="4">
        <f t="shared" si="268"/>
        <v>6</v>
      </c>
      <c r="BR507" s="4">
        <f t="shared" si="269"/>
        <v>4</v>
      </c>
      <c r="BS507" s="4">
        <f t="shared" si="270"/>
        <v>4</v>
      </c>
      <c r="BT507" s="4">
        <f t="shared" si="271"/>
        <v>4</v>
      </c>
      <c r="BU507" s="4">
        <f t="shared" si="272"/>
        <v>4</v>
      </c>
      <c r="BV507" s="4" t="str">
        <f t="shared" si="273"/>
        <v>0</v>
      </c>
      <c r="BW507" s="4">
        <f t="shared" si="274"/>
        <v>6</v>
      </c>
      <c r="BX507" s="4">
        <f t="shared" si="275"/>
        <v>0</v>
      </c>
      <c r="BY507" s="4">
        <f t="shared" si="276"/>
        <v>0</v>
      </c>
      <c r="BZ507" s="37">
        <f t="shared" si="277"/>
        <v>100</v>
      </c>
      <c r="CA507" s="32" t="str">
        <f>VLOOKUP(J:J,'Agent wise'!A:C,3,0)</f>
        <v>Adharsh</v>
      </c>
      <c r="CB507" s="32">
        <f t="shared" si="278"/>
        <v>45939</v>
      </c>
      <c r="CC507" t="str">
        <f t="shared" si="279"/>
        <v>Excellent</v>
      </c>
      <c r="CE507" s="32"/>
      <c r="CJ507">
        <f t="shared" si="280"/>
        <v>9</v>
      </c>
      <c r="CK507">
        <f t="shared" si="281"/>
        <v>10</v>
      </c>
      <c r="CL507">
        <f t="shared" si="282"/>
        <v>2025</v>
      </c>
    </row>
    <row r="508" spans="1:90" ht="15" customHeight="1" x14ac:dyDescent="0.35">
      <c r="A508" s="40">
        <v>45910.7815625</v>
      </c>
      <c r="B508" t="s">
        <v>250</v>
      </c>
      <c r="C508" t="s">
        <v>214</v>
      </c>
      <c r="D508" t="s">
        <v>251</v>
      </c>
      <c r="E508" s="32">
        <v>45939</v>
      </c>
      <c r="F508" t="s">
        <v>54</v>
      </c>
      <c r="G508" s="2">
        <v>45879</v>
      </c>
      <c r="H508">
        <v>9496440161</v>
      </c>
      <c r="I508">
        <v>408</v>
      </c>
      <c r="J508" t="s">
        <v>159</v>
      </c>
      <c r="K508" t="s">
        <v>57</v>
      </c>
      <c r="L508" t="s">
        <v>58</v>
      </c>
      <c r="M508" t="s">
        <v>59</v>
      </c>
      <c r="N508" t="s">
        <v>59</v>
      </c>
      <c r="O508" t="s">
        <v>59</v>
      </c>
      <c r="P508" t="s">
        <v>59</v>
      </c>
      <c r="Q508" t="s">
        <v>59</v>
      </c>
      <c r="R508" t="s">
        <v>60</v>
      </c>
      <c r="S508" t="s">
        <v>59</v>
      </c>
      <c r="T508" t="s">
        <v>59</v>
      </c>
      <c r="U508" t="s">
        <v>60</v>
      </c>
      <c r="V508" t="s">
        <v>59</v>
      </c>
      <c r="W508" t="s">
        <v>59</v>
      </c>
      <c r="X508" t="s">
        <v>59</v>
      </c>
      <c r="Y508" t="s">
        <v>59</v>
      </c>
      <c r="Z508" t="s">
        <v>60</v>
      </c>
      <c r="AA508" t="s">
        <v>60</v>
      </c>
      <c r="AB508" t="s">
        <v>60</v>
      </c>
      <c r="AC508" t="s">
        <v>59</v>
      </c>
      <c r="AD508" t="s">
        <v>59</v>
      </c>
      <c r="AE508" t="s">
        <v>59</v>
      </c>
      <c r="AF508" t="s">
        <v>59</v>
      </c>
      <c r="AG508" t="s">
        <v>59</v>
      </c>
      <c r="AH508" t="s">
        <v>61</v>
      </c>
      <c r="AI508" t="s">
        <v>60</v>
      </c>
      <c r="AJ508" t="s">
        <v>59</v>
      </c>
      <c r="AK508" t="s">
        <v>59</v>
      </c>
      <c r="AL508" t="s">
        <v>60</v>
      </c>
      <c r="AM508" t="s">
        <v>59</v>
      </c>
      <c r="AN508" t="s">
        <v>59</v>
      </c>
      <c r="AO508" t="s">
        <v>59</v>
      </c>
      <c r="AP508" t="s">
        <v>1215</v>
      </c>
      <c r="AQ508" t="s">
        <v>1216</v>
      </c>
      <c r="AR508" t="s">
        <v>64</v>
      </c>
      <c r="AS508" t="s">
        <v>1217</v>
      </c>
      <c r="AT508" t="s">
        <v>1218</v>
      </c>
      <c r="AU508" t="s">
        <v>387</v>
      </c>
      <c r="AW508" s="4">
        <f t="shared" si="248"/>
        <v>6</v>
      </c>
      <c r="AX508" s="4">
        <f t="shared" si="249"/>
        <v>4</v>
      </c>
      <c r="AY508" s="4">
        <f t="shared" si="250"/>
        <v>4</v>
      </c>
      <c r="AZ508" s="4">
        <f t="shared" si="251"/>
        <v>2</v>
      </c>
      <c r="BA508" s="4">
        <f t="shared" si="252"/>
        <v>4</v>
      </c>
      <c r="BB508" s="4" t="str">
        <f t="shared" si="253"/>
        <v>0</v>
      </c>
      <c r="BC508" s="4">
        <f t="shared" si="254"/>
        <v>4</v>
      </c>
      <c r="BD508" s="4">
        <f t="shared" si="255"/>
        <v>2</v>
      </c>
      <c r="BE508" s="4" t="str">
        <f t="shared" si="256"/>
        <v>0</v>
      </c>
      <c r="BF508" s="4">
        <f t="shared" si="257"/>
        <v>2</v>
      </c>
      <c r="BG508" s="4">
        <f t="shared" si="258"/>
        <v>4</v>
      </c>
      <c r="BH508" s="4">
        <f t="shared" si="259"/>
        <v>4</v>
      </c>
      <c r="BI508" s="4">
        <f t="shared" si="260"/>
        <v>4</v>
      </c>
      <c r="BJ508" s="4" t="str">
        <f t="shared" si="261"/>
        <v>0</v>
      </c>
      <c r="BK508" s="4" t="str">
        <f t="shared" si="262"/>
        <v>0</v>
      </c>
      <c r="BL508" s="4" t="str">
        <f t="shared" si="263"/>
        <v>0</v>
      </c>
      <c r="BM508" s="4">
        <f t="shared" si="264"/>
        <v>4</v>
      </c>
      <c r="BN508" s="4">
        <f t="shared" si="265"/>
        <v>4</v>
      </c>
      <c r="BO508" s="4">
        <f t="shared" si="266"/>
        <v>4</v>
      </c>
      <c r="BP508" s="4">
        <f t="shared" si="267"/>
        <v>4</v>
      </c>
      <c r="BQ508" s="4">
        <f t="shared" si="268"/>
        <v>6</v>
      </c>
      <c r="BR508" s="4">
        <f t="shared" si="269"/>
        <v>4</v>
      </c>
      <c r="BS508" s="4" t="str">
        <f t="shared" si="270"/>
        <v>0</v>
      </c>
      <c r="BT508" s="4">
        <f t="shared" si="271"/>
        <v>4</v>
      </c>
      <c r="BU508" s="4">
        <f t="shared" si="272"/>
        <v>4</v>
      </c>
      <c r="BV508" s="4" t="str">
        <f t="shared" si="273"/>
        <v>0</v>
      </c>
      <c r="BW508" s="4">
        <f t="shared" si="274"/>
        <v>6</v>
      </c>
      <c r="BX508" s="4">
        <f t="shared" si="275"/>
        <v>0</v>
      </c>
      <c r="BY508" s="4">
        <f t="shared" si="276"/>
        <v>0</v>
      </c>
      <c r="BZ508" s="37">
        <f t="shared" si="277"/>
        <v>80</v>
      </c>
      <c r="CA508" s="32" t="str">
        <f>VLOOKUP(J:J,'Agent wise'!A:C,3,0)</f>
        <v>Shakeer</v>
      </c>
      <c r="CB508" s="32">
        <f t="shared" si="278"/>
        <v>45939</v>
      </c>
      <c r="CC508" t="str">
        <f t="shared" si="279"/>
        <v>FC</v>
      </c>
      <c r="CE508" s="32"/>
      <c r="CJ508">
        <f t="shared" si="280"/>
        <v>9</v>
      </c>
      <c r="CK508">
        <f t="shared" si="281"/>
        <v>10</v>
      </c>
      <c r="CL508">
        <f t="shared" si="282"/>
        <v>2025</v>
      </c>
    </row>
    <row r="509" spans="1:90" ht="15" customHeight="1" x14ac:dyDescent="0.35">
      <c r="A509" s="40">
        <v>45910.783946759257</v>
      </c>
      <c r="B509" t="s">
        <v>250</v>
      </c>
      <c r="C509" t="s">
        <v>214</v>
      </c>
      <c r="D509" t="s">
        <v>251</v>
      </c>
      <c r="E509" s="32">
        <v>45939</v>
      </c>
      <c r="F509" t="s">
        <v>54</v>
      </c>
      <c r="G509" s="2">
        <v>45879</v>
      </c>
      <c r="H509">
        <v>8925715947</v>
      </c>
      <c r="I509">
        <v>153</v>
      </c>
      <c r="J509" t="s">
        <v>472</v>
      </c>
      <c r="K509" t="s">
        <v>71</v>
      </c>
      <c r="L509" t="s">
        <v>72</v>
      </c>
      <c r="M509" t="s">
        <v>59</v>
      </c>
      <c r="N509" t="s">
        <v>59</v>
      </c>
      <c r="O509" t="s">
        <v>59</v>
      </c>
      <c r="P509" t="s">
        <v>59</v>
      </c>
      <c r="Q509" t="s">
        <v>59</v>
      </c>
      <c r="R509" t="s">
        <v>59</v>
      </c>
      <c r="S509" t="s">
        <v>59</v>
      </c>
      <c r="T509" t="s">
        <v>59</v>
      </c>
      <c r="U509" t="s">
        <v>59</v>
      </c>
      <c r="V509" t="s">
        <v>59</v>
      </c>
      <c r="W509" t="s">
        <v>59</v>
      </c>
      <c r="X509" t="s">
        <v>59</v>
      </c>
      <c r="Y509" t="s">
        <v>59</v>
      </c>
      <c r="Z509" t="s">
        <v>59</v>
      </c>
      <c r="AA509" t="s">
        <v>59</v>
      </c>
      <c r="AB509" t="s">
        <v>60</v>
      </c>
      <c r="AC509" t="s">
        <v>59</v>
      </c>
      <c r="AD509" t="s">
        <v>59</v>
      </c>
      <c r="AE509" t="s">
        <v>59</v>
      </c>
      <c r="AF509" t="s">
        <v>59</v>
      </c>
      <c r="AG509" t="s">
        <v>59</v>
      </c>
      <c r="AH509" t="s">
        <v>61</v>
      </c>
      <c r="AI509" t="s">
        <v>61</v>
      </c>
      <c r="AJ509" t="s">
        <v>59</v>
      </c>
      <c r="AK509" t="s">
        <v>59</v>
      </c>
      <c r="AL509" t="s">
        <v>60</v>
      </c>
      <c r="AM509" t="s">
        <v>59</v>
      </c>
      <c r="AN509" t="s">
        <v>59</v>
      </c>
      <c r="AO509" t="s">
        <v>59</v>
      </c>
      <c r="AP509" t="s">
        <v>1219</v>
      </c>
      <c r="AQ509" t="s">
        <v>1220</v>
      </c>
      <c r="AR509" t="s">
        <v>64</v>
      </c>
      <c r="AS509" t="s">
        <v>255</v>
      </c>
      <c r="AT509" t="s">
        <v>1221</v>
      </c>
      <c r="AU509" t="s">
        <v>1222</v>
      </c>
      <c r="AW509" s="4">
        <f t="shared" si="248"/>
        <v>6</v>
      </c>
      <c r="AX509" s="4">
        <f t="shared" si="249"/>
        <v>4</v>
      </c>
      <c r="AY509" s="4">
        <f t="shared" si="250"/>
        <v>4</v>
      </c>
      <c r="AZ509" s="4">
        <f t="shared" si="251"/>
        <v>2</v>
      </c>
      <c r="BA509" s="4">
        <f t="shared" si="252"/>
        <v>4</v>
      </c>
      <c r="BB509" s="4">
        <f t="shared" si="253"/>
        <v>4</v>
      </c>
      <c r="BC509" s="4">
        <f t="shared" si="254"/>
        <v>4</v>
      </c>
      <c r="BD509" s="4">
        <f t="shared" si="255"/>
        <v>2</v>
      </c>
      <c r="BE509" s="4">
        <f t="shared" si="256"/>
        <v>4</v>
      </c>
      <c r="BF509" s="4">
        <f t="shared" si="257"/>
        <v>2</v>
      </c>
      <c r="BG509" s="4">
        <f t="shared" si="258"/>
        <v>4</v>
      </c>
      <c r="BH509" s="4">
        <f t="shared" si="259"/>
        <v>4</v>
      </c>
      <c r="BI509" s="4">
        <f t="shared" si="260"/>
        <v>4</v>
      </c>
      <c r="BJ509" s="4">
        <f t="shared" si="261"/>
        <v>2</v>
      </c>
      <c r="BK509" s="4">
        <f t="shared" si="262"/>
        <v>4</v>
      </c>
      <c r="BL509" s="4" t="str">
        <f t="shared" si="263"/>
        <v>0</v>
      </c>
      <c r="BM509" s="4">
        <f t="shared" si="264"/>
        <v>4</v>
      </c>
      <c r="BN509" s="4">
        <f t="shared" si="265"/>
        <v>4</v>
      </c>
      <c r="BO509" s="4">
        <f t="shared" si="266"/>
        <v>4</v>
      </c>
      <c r="BP509" s="4">
        <f t="shared" si="267"/>
        <v>4</v>
      </c>
      <c r="BQ509" s="4">
        <f t="shared" si="268"/>
        <v>6</v>
      </c>
      <c r="BR509" s="4">
        <f t="shared" si="269"/>
        <v>4</v>
      </c>
      <c r="BS509" s="4">
        <f t="shared" si="270"/>
        <v>4</v>
      </c>
      <c r="BT509" s="4">
        <f t="shared" si="271"/>
        <v>4</v>
      </c>
      <c r="BU509" s="4">
        <f t="shared" si="272"/>
        <v>4</v>
      </c>
      <c r="BV509" s="4" t="str">
        <f t="shared" si="273"/>
        <v>0</v>
      </c>
      <c r="BW509" s="4">
        <f t="shared" si="274"/>
        <v>6</v>
      </c>
      <c r="BX509" s="4">
        <f t="shared" si="275"/>
        <v>0</v>
      </c>
      <c r="BY509" s="4">
        <f t="shared" si="276"/>
        <v>0</v>
      </c>
      <c r="BZ509" s="37">
        <f t="shared" si="277"/>
        <v>98</v>
      </c>
      <c r="CA509" s="32" t="str">
        <f>VLOOKUP(J:J,'Agent wise'!A:C,3,0)</f>
        <v>Saran S</v>
      </c>
      <c r="CB509" s="32">
        <f t="shared" si="278"/>
        <v>45939</v>
      </c>
      <c r="CC509" t="str">
        <f t="shared" si="279"/>
        <v>Excellent</v>
      </c>
      <c r="CE509" s="32"/>
      <c r="CJ509">
        <f t="shared" si="280"/>
        <v>9</v>
      </c>
      <c r="CK509">
        <f t="shared" si="281"/>
        <v>10</v>
      </c>
      <c r="CL509">
        <f t="shared" si="282"/>
        <v>2025</v>
      </c>
    </row>
    <row r="510" spans="1:90" ht="15" customHeight="1" x14ac:dyDescent="0.35">
      <c r="A510" s="40">
        <v>45910.787395833337</v>
      </c>
      <c r="B510" t="s">
        <v>250</v>
      </c>
      <c r="C510" t="s">
        <v>214</v>
      </c>
      <c r="D510" t="s">
        <v>251</v>
      </c>
      <c r="E510" s="32">
        <v>45939</v>
      </c>
      <c r="F510" t="s">
        <v>54</v>
      </c>
      <c r="G510" s="2">
        <v>45879</v>
      </c>
      <c r="H510">
        <v>9486114187</v>
      </c>
      <c r="I510">
        <v>153</v>
      </c>
      <c r="J510" t="s">
        <v>548</v>
      </c>
      <c r="K510" t="s">
        <v>71</v>
      </c>
      <c r="L510" t="s">
        <v>72</v>
      </c>
      <c r="M510" t="s">
        <v>59</v>
      </c>
      <c r="N510" t="s">
        <v>59</v>
      </c>
      <c r="O510" t="s">
        <v>59</v>
      </c>
      <c r="P510" t="s">
        <v>59</v>
      </c>
      <c r="Q510" t="s">
        <v>59</v>
      </c>
      <c r="R510" t="s">
        <v>59</v>
      </c>
      <c r="S510" t="s">
        <v>59</v>
      </c>
      <c r="T510" t="s">
        <v>59</v>
      </c>
      <c r="U510" t="s">
        <v>60</v>
      </c>
      <c r="V510" t="s">
        <v>59</v>
      </c>
      <c r="W510" t="s">
        <v>59</v>
      </c>
      <c r="X510" t="s">
        <v>59</v>
      </c>
      <c r="Y510" t="s">
        <v>59</v>
      </c>
      <c r="Z510" t="s">
        <v>59</v>
      </c>
      <c r="AA510" t="s">
        <v>59</v>
      </c>
      <c r="AB510" t="s">
        <v>61</v>
      </c>
      <c r="AC510" t="s">
        <v>59</v>
      </c>
      <c r="AD510" t="s">
        <v>59</v>
      </c>
      <c r="AE510" t="s">
        <v>59</v>
      </c>
      <c r="AF510" t="s">
        <v>59</v>
      </c>
      <c r="AG510" t="s">
        <v>59</v>
      </c>
      <c r="AH510" t="s">
        <v>61</v>
      </c>
      <c r="AI510" t="s">
        <v>61</v>
      </c>
      <c r="AJ510" t="s">
        <v>59</v>
      </c>
      <c r="AK510" t="s">
        <v>59</v>
      </c>
      <c r="AL510" t="s">
        <v>60</v>
      </c>
      <c r="AM510" t="s">
        <v>59</v>
      </c>
      <c r="AN510" t="s">
        <v>59</v>
      </c>
      <c r="AO510" t="s">
        <v>59</v>
      </c>
      <c r="AP510" t="s">
        <v>209</v>
      </c>
      <c r="AQ510" t="s">
        <v>1223</v>
      </c>
      <c r="AR510" t="s">
        <v>64</v>
      </c>
      <c r="AS510" t="s">
        <v>111</v>
      </c>
      <c r="AT510" t="s">
        <v>377</v>
      </c>
      <c r="AU510" t="s">
        <v>219</v>
      </c>
      <c r="AW510" s="4">
        <f t="shared" si="248"/>
        <v>6</v>
      </c>
      <c r="AX510" s="4">
        <f t="shared" si="249"/>
        <v>4</v>
      </c>
      <c r="AY510" s="4">
        <f t="shared" si="250"/>
        <v>4</v>
      </c>
      <c r="AZ510" s="4">
        <f t="shared" si="251"/>
        <v>2</v>
      </c>
      <c r="BA510" s="4">
        <f t="shared" si="252"/>
        <v>4</v>
      </c>
      <c r="BB510" s="4">
        <f t="shared" si="253"/>
        <v>4</v>
      </c>
      <c r="BC510" s="4">
        <f t="shared" si="254"/>
        <v>4</v>
      </c>
      <c r="BD510" s="4">
        <f t="shared" si="255"/>
        <v>2</v>
      </c>
      <c r="BE510" s="4" t="str">
        <f t="shared" si="256"/>
        <v>0</v>
      </c>
      <c r="BF510" s="4">
        <f t="shared" si="257"/>
        <v>2</v>
      </c>
      <c r="BG510" s="4">
        <f t="shared" si="258"/>
        <v>4</v>
      </c>
      <c r="BH510" s="4">
        <f t="shared" si="259"/>
        <v>4</v>
      </c>
      <c r="BI510" s="4">
        <f t="shared" si="260"/>
        <v>4</v>
      </c>
      <c r="BJ510" s="4">
        <f t="shared" si="261"/>
        <v>2</v>
      </c>
      <c r="BK510" s="4">
        <f t="shared" si="262"/>
        <v>4</v>
      </c>
      <c r="BL510" s="4">
        <f t="shared" si="263"/>
        <v>2</v>
      </c>
      <c r="BM510" s="4">
        <f t="shared" si="264"/>
        <v>4</v>
      </c>
      <c r="BN510" s="4">
        <f t="shared" si="265"/>
        <v>4</v>
      </c>
      <c r="BO510" s="4">
        <f t="shared" si="266"/>
        <v>4</v>
      </c>
      <c r="BP510" s="4">
        <f t="shared" si="267"/>
        <v>4</v>
      </c>
      <c r="BQ510" s="4">
        <f t="shared" si="268"/>
        <v>6</v>
      </c>
      <c r="BR510" s="4">
        <f t="shared" si="269"/>
        <v>4</v>
      </c>
      <c r="BS510" s="4">
        <f t="shared" si="270"/>
        <v>4</v>
      </c>
      <c r="BT510" s="4">
        <f t="shared" si="271"/>
        <v>4</v>
      </c>
      <c r="BU510" s="4">
        <f t="shared" si="272"/>
        <v>4</v>
      </c>
      <c r="BV510" s="4" t="str">
        <f t="shared" si="273"/>
        <v>0</v>
      </c>
      <c r="BW510" s="4">
        <f t="shared" si="274"/>
        <v>6</v>
      </c>
      <c r="BX510" s="4">
        <f t="shared" si="275"/>
        <v>0</v>
      </c>
      <c r="BY510" s="4">
        <f t="shared" si="276"/>
        <v>0</v>
      </c>
      <c r="BZ510" s="37">
        <f t="shared" si="277"/>
        <v>96</v>
      </c>
      <c r="CA510" s="32" t="str">
        <f>VLOOKUP(J:J,'Agent wise'!A:C,3,0)</f>
        <v>Adharsh</v>
      </c>
      <c r="CB510" s="32">
        <f t="shared" si="278"/>
        <v>45939</v>
      </c>
      <c r="CC510" t="str">
        <f t="shared" si="279"/>
        <v>Excellent</v>
      </c>
      <c r="CE510" s="32"/>
      <c r="CJ510">
        <f t="shared" si="280"/>
        <v>9</v>
      </c>
      <c r="CK510">
        <f t="shared" si="281"/>
        <v>10</v>
      </c>
      <c r="CL510">
        <f t="shared" si="282"/>
        <v>2025</v>
      </c>
    </row>
    <row r="511" spans="1:90" ht="15" customHeight="1" x14ac:dyDescent="0.35">
      <c r="A511" s="40">
        <v>45910.789837962962</v>
      </c>
      <c r="B511" t="s">
        <v>250</v>
      </c>
      <c r="C511" t="s">
        <v>214</v>
      </c>
      <c r="D511" t="s">
        <v>251</v>
      </c>
      <c r="E511" s="32">
        <v>45939</v>
      </c>
      <c r="F511" t="s">
        <v>54</v>
      </c>
      <c r="G511" s="2">
        <v>45879</v>
      </c>
      <c r="H511">
        <v>8754810373</v>
      </c>
      <c r="I511">
        <v>174</v>
      </c>
      <c r="J511" t="s">
        <v>85</v>
      </c>
      <c r="K511" t="s">
        <v>71</v>
      </c>
      <c r="L511" t="s">
        <v>72</v>
      </c>
      <c r="M511" t="s">
        <v>59</v>
      </c>
      <c r="N511" t="s">
        <v>59</v>
      </c>
      <c r="O511" t="s">
        <v>59</v>
      </c>
      <c r="P511" t="s">
        <v>59</v>
      </c>
      <c r="Q511" t="s">
        <v>59</v>
      </c>
      <c r="R511" t="s">
        <v>59</v>
      </c>
      <c r="S511" t="s">
        <v>59</v>
      </c>
      <c r="T511" t="s">
        <v>59</v>
      </c>
      <c r="U511" t="s">
        <v>60</v>
      </c>
      <c r="V511" t="s">
        <v>59</v>
      </c>
      <c r="W511" t="s">
        <v>59</v>
      </c>
      <c r="X511" t="s">
        <v>59</v>
      </c>
      <c r="Y511" t="s">
        <v>59</v>
      </c>
      <c r="Z511" t="s">
        <v>59</v>
      </c>
      <c r="AA511" t="s">
        <v>59</v>
      </c>
      <c r="AB511" t="s">
        <v>60</v>
      </c>
      <c r="AC511" t="s">
        <v>59</v>
      </c>
      <c r="AD511" t="s">
        <v>59</v>
      </c>
      <c r="AE511" t="s">
        <v>59</v>
      </c>
      <c r="AF511" t="s">
        <v>59</v>
      </c>
      <c r="AG511" t="s">
        <v>59</v>
      </c>
      <c r="AH511" t="s">
        <v>61</v>
      </c>
      <c r="AI511" t="s">
        <v>61</v>
      </c>
      <c r="AJ511" t="s">
        <v>59</v>
      </c>
      <c r="AK511" t="s">
        <v>59</v>
      </c>
      <c r="AL511" t="s">
        <v>60</v>
      </c>
      <c r="AM511" t="s">
        <v>59</v>
      </c>
      <c r="AN511" t="s">
        <v>59</v>
      </c>
      <c r="AO511" t="s">
        <v>59</v>
      </c>
      <c r="AP511" t="s">
        <v>314</v>
      </c>
      <c r="AQ511" t="s">
        <v>1224</v>
      </c>
      <c r="AR511" t="s">
        <v>64</v>
      </c>
      <c r="AS511" t="s">
        <v>198</v>
      </c>
      <c r="AT511" t="s">
        <v>262</v>
      </c>
      <c r="AU511" t="s">
        <v>219</v>
      </c>
      <c r="AW511" s="4">
        <f t="shared" si="248"/>
        <v>6</v>
      </c>
      <c r="AX511" s="4">
        <f t="shared" si="249"/>
        <v>4</v>
      </c>
      <c r="AY511" s="4">
        <f t="shared" si="250"/>
        <v>4</v>
      </c>
      <c r="AZ511" s="4">
        <f t="shared" si="251"/>
        <v>2</v>
      </c>
      <c r="BA511" s="4">
        <f t="shared" si="252"/>
        <v>4</v>
      </c>
      <c r="BB511" s="4">
        <f t="shared" si="253"/>
        <v>4</v>
      </c>
      <c r="BC511" s="4">
        <f t="shared" si="254"/>
        <v>4</v>
      </c>
      <c r="BD511" s="4">
        <f t="shared" si="255"/>
        <v>2</v>
      </c>
      <c r="BE511" s="4" t="str">
        <f t="shared" si="256"/>
        <v>0</v>
      </c>
      <c r="BF511" s="4">
        <f t="shared" si="257"/>
        <v>2</v>
      </c>
      <c r="BG511" s="4">
        <f t="shared" si="258"/>
        <v>4</v>
      </c>
      <c r="BH511" s="4">
        <f t="shared" si="259"/>
        <v>4</v>
      </c>
      <c r="BI511" s="4">
        <f t="shared" si="260"/>
        <v>4</v>
      </c>
      <c r="BJ511" s="4">
        <f t="shared" si="261"/>
        <v>2</v>
      </c>
      <c r="BK511" s="4">
        <f t="shared" si="262"/>
        <v>4</v>
      </c>
      <c r="BL511" s="4" t="str">
        <f t="shared" si="263"/>
        <v>0</v>
      </c>
      <c r="BM511" s="4">
        <f t="shared" si="264"/>
        <v>4</v>
      </c>
      <c r="BN511" s="4">
        <f t="shared" si="265"/>
        <v>4</v>
      </c>
      <c r="BO511" s="4">
        <f t="shared" si="266"/>
        <v>4</v>
      </c>
      <c r="BP511" s="4">
        <f t="shared" si="267"/>
        <v>4</v>
      </c>
      <c r="BQ511" s="4">
        <f t="shared" si="268"/>
        <v>6</v>
      </c>
      <c r="BR511" s="4">
        <f t="shared" si="269"/>
        <v>4</v>
      </c>
      <c r="BS511" s="4">
        <f t="shared" si="270"/>
        <v>4</v>
      </c>
      <c r="BT511" s="4">
        <f t="shared" si="271"/>
        <v>4</v>
      </c>
      <c r="BU511" s="4">
        <f t="shared" si="272"/>
        <v>4</v>
      </c>
      <c r="BV511" s="4" t="str">
        <f t="shared" si="273"/>
        <v>0</v>
      </c>
      <c r="BW511" s="4">
        <f t="shared" si="274"/>
        <v>6</v>
      </c>
      <c r="BX511" s="4">
        <f t="shared" si="275"/>
        <v>0</v>
      </c>
      <c r="BY511" s="4">
        <f t="shared" si="276"/>
        <v>0</v>
      </c>
      <c r="BZ511" s="37">
        <f t="shared" si="277"/>
        <v>94</v>
      </c>
      <c r="CA511" s="32" t="str">
        <f>VLOOKUP(J:J,'Agent wise'!A:C,3,0)</f>
        <v>Saran S</v>
      </c>
      <c r="CB511" s="32">
        <f t="shared" si="278"/>
        <v>45939</v>
      </c>
      <c r="CC511" t="str">
        <f t="shared" si="279"/>
        <v>Good</v>
      </c>
      <c r="CE511" s="32"/>
      <c r="CJ511">
        <f t="shared" si="280"/>
        <v>9</v>
      </c>
      <c r="CK511">
        <f t="shared" si="281"/>
        <v>10</v>
      </c>
      <c r="CL511">
        <f t="shared" si="282"/>
        <v>2025</v>
      </c>
    </row>
    <row r="512" spans="1:90" ht="15" customHeight="1" x14ac:dyDescent="0.35">
      <c r="A512" s="40">
        <v>45910.803530092591</v>
      </c>
      <c r="B512" t="s">
        <v>250</v>
      </c>
      <c r="C512" t="s">
        <v>214</v>
      </c>
      <c r="D512" t="s">
        <v>251</v>
      </c>
      <c r="E512" s="32">
        <v>45939</v>
      </c>
      <c r="F512" t="s">
        <v>54</v>
      </c>
      <c r="G512" s="2">
        <v>45879</v>
      </c>
      <c r="H512">
        <v>9443536150</v>
      </c>
      <c r="I512">
        <v>181</v>
      </c>
      <c r="J512" t="s">
        <v>252</v>
      </c>
      <c r="K512" t="s">
        <v>71</v>
      </c>
      <c r="L512" t="s">
        <v>72</v>
      </c>
      <c r="M512" t="s">
        <v>60</v>
      </c>
      <c r="N512" t="s">
        <v>59</v>
      </c>
      <c r="O512" t="s">
        <v>59</v>
      </c>
      <c r="P512" t="s">
        <v>59</v>
      </c>
      <c r="Q512" t="s">
        <v>59</v>
      </c>
      <c r="R512" t="s">
        <v>60</v>
      </c>
      <c r="S512" t="s">
        <v>59</v>
      </c>
      <c r="T512" t="s">
        <v>59</v>
      </c>
      <c r="U512" t="s">
        <v>60</v>
      </c>
      <c r="V512" t="s">
        <v>59</v>
      </c>
      <c r="W512" t="s">
        <v>59</v>
      </c>
      <c r="X512" t="s">
        <v>59</v>
      </c>
      <c r="Y512" t="s">
        <v>59</v>
      </c>
      <c r="Z512" t="s">
        <v>59</v>
      </c>
      <c r="AA512" t="s">
        <v>59</v>
      </c>
      <c r="AB512" t="s">
        <v>61</v>
      </c>
      <c r="AC512" t="s">
        <v>59</v>
      </c>
      <c r="AD512" t="s">
        <v>59</v>
      </c>
      <c r="AE512" t="s">
        <v>59</v>
      </c>
      <c r="AF512" t="s">
        <v>59</v>
      </c>
      <c r="AG512" t="s">
        <v>59</v>
      </c>
      <c r="AH512" t="s">
        <v>61</v>
      </c>
      <c r="AI512" t="s">
        <v>61</v>
      </c>
      <c r="AJ512" t="s">
        <v>59</v>
      </c>
      <c r="AK512" t="s">
        <v>59</v>
      </c>
      <c r="AL512" t="s">
        <v>60</v>
      </c>
      <c r="AM512" t="s">
        <v>59</v>
      </c>
      <c r="AN512" t="s">
        <v>59</v>
      </c>
      <c r="AO512" t="s">
        <v>59</v>
      </c>
      <c r="AP512" t="s">
        <v>1225</v>
      </c>
      <c r="AQ512" t="s">
        <v>1226</v>
      </c>
      <c r="AR512" t="s">
        <v>64</v>
      </c>
      <c r="AS512" t="s">
        <v>111</v>
      </c>
      <c r="AT512" t="s">
        <v>112</v>
      </c>
      <c r="AU512" t="s">
        <v>219</v>
      </c>
      <c r="AW512" s="4" t="str">
        <f t="shared" si="248"/>
        <v>0</v>
      </c>
      <c r="AX512" s="4">
        <f t="shared" si="249"/>
        <v>4</v>
      </c>
      <c r="AY512" s="4">
        <f t="shared" si="250"/>
        <v>4</v>
      </c>
      <c r="AZ512" s="4">
        <f t="shared" si="251"/>
        <v>2</v>
      </c>
      <c r="BA512" s="4">
        <f t="shared" si="252"/>
        <v>4</v>
      </c>
      <c r="BB512" s="4" t="str">
        <f t="shared" si="253"/>
        <v>0</v>
      </c>
      <c r="BC512" s="4">
        <f t="shared" si="254"/>
        <v>4</v>
      </c>
      <c r="BD512" s="4">
        <f t="shared" si="255"/>
        <v>2</v>
      </c>
      <c r="BE512" s="4" t="str">
        <f t="shared" si="256"/>
        <v>0</v>
      </c>
      <c r="BF512" s="4">
        <f t="shared" si="257"/>
        <v>2</v>
      </c>
      <c r="BG512" s="4">
        <f t="shared" si="258"/>
        <v>4</v>
      </c>
      <c r="BH512" s="4">
        <f t="shared" si="259"/>
        <v>4</v>
      </c>
      <c r="BI512" s="4">
        <f t="shared" si="260"/>
        <v>4</v>
      </c>
      <c r="BJ512" s="4">
        <f t="shared" si="261"/>
        <v>2</v>
      </c>
      <c r="BK512" s="4">
        <f t="shared" si="262"/>
        <v>4</v>
      </c>
      <c r="BL512" s="4">
        <f t="shared" si="263"/>
        <v>2</v>
      </c>
      <c r="BM512" s="4">
        <f t="shared" si="264"/>
        <v>4</v>
      </c>
      <c r="BN512" s="4">
        <f t="shared" si="265"/>
        <v>4</v>
      </c>
      <c r="BO512" s="4">
        <f t="shared" si="266"/>
        <v>4</v>
      </c>
      <c r="BP512" s="4">
        <f t="shared" si="267"/>
        <v>4</v>
      </c>
      <c r="BQ512" s="4">
        <f t="shared" si="268"/>
        <v>6</v>
      </c>
      <c r="BR512" s="4">
        <f t="shared" si="269"/>
        <v>4</v>
      </c>
      <c r="BS512" s="4">
        <f t="shared" si="270"/>
        <v>4</v>
      </c>
      <c r="BT512" s="4">
        <f t="shared" si="271"/>
        <v>4</v>
      </c>
      <c r="BU512" s="4">
        <f t="shared" si="272"/>
        <v>4</v>
      </c>
      <c r="BV512" s="4" t="str">
        <f t="shared" si="273"/>
        <v>0</v>
      </c>
      <c r="BW512" s="4">
        <f t="shared" si="274"/>
        <v>6</v>
      </c>
      <c r="BX512" s="4">
        <f t="shared" si="275"/>
        <v>0</v>
      </c>
      <c r="BY512" s="4">
        <f t="shared" si="276"/>
        <v>0</v>
      </c>
      <c r="BZ512" s="37">
        <f t="shared" si="277"/>
        <v>86</v>
      </c>
      <c r="CA512" s="32" t="str">
        <f>VLOOKUP(J:J,'Agent wise'!A:C,3,0)</f>
        <v xml:space="preserve">Shiny </v>
      </c>
      <c r="CB512" s="32">
        <f t="shared" si="278"/>
        <v>45939</v>
      </c>
      <c r="CC512" t="str">
        <f t="shared" si="279"/>
        <v>Average</v>
      </c>
      <c r="CE512" s="32"/>
      <c r="CJ512">
        <f t="shared" si="280"/>
        <v>9</v>
      </c>
      <c r="CK512">
        <f t="shared" si="281"/>
        <v>10</v>
      </c>
      <c r="CL512">
        <f t="shared" si="282"/>
        <v>2025</v>
      </c>
    </row>
    <row r="513" spans="1:90" ht="15" customHeight="1" x14ac:dyDescent="0.35">
      <c r="A513" s="40">
        <v>45910.811666666668</v>
      </c>
      <c r="B513" t="s">
        <v>250</v>
      </c>
      <c r="C513" t="s">
        <v>214</v>
      </c>
      <c r="D513" t="s">
        <v>251</v>
      </c>
      <c r="E513" s="32">
        <v>45939</v>
      </c>
      <c r="F513" t="s">
        <v>54</v>
      </c>
      <c r="G513" s="2">
        <v>45879</v>
      </c>
      <c r="H513">
        <v>9941490662</v>
      </c>
      <c r="I513">
        <v>189</v>
      </c>
      <c r="J513" t="s">
        <v>552</v>
      </c>
      <c r="K513" t="s">
        <v>71</v>
      </c>
      <c r="L513" t="s">
        <v>72</v>
      </c>
      <c r="M513" t="s">
        <v>59</v>
      </c>
      <c r="N513" t="s">
        <v>59</v>
      </c>
      <c r="O513" t="s">
        <v>59</v>
      </c>
      <c r="P513" t="s">
        <v>59</v>
      </c>
      <c r="Q513" t="s">
        <v>59</v>
      </c>
      <c r="R513" t="s">
        <v>59</v>
      </c>
      <c r="S513" t="s">
        <v>59</v>
      </c>
      <c r="T513" t="s">
        <v>59</v>
      </c>
      <c r="U513" t="s">
        <v>60</v>
      </c>
      <c r="V513" t="s">
        <v>59</v>
      </c>
      <c r="W513" t="s">
        <v>59</v>
      </c>
      <c r="X513" t="s">
        <v>59</v>
      </c>
      <c r="Y513" t="s">
        <v>59</v>
      </c>
      <c r="Z513" t="s">
        <v>59</v>
      </c>
      <c r="AA513" t="s">
        <v>60</v>
      </c>
      <c r="AB513" t="s">
        <v>59</v>
      </c>
      <c r="AC513" t="s">
        <v>59</v>
      </c>
      <c r="AD513" t="s">
        <v>59</v>
      </c>
      <c r="AE513" t="s">
        <v>59</v>
      </c>
      <c r="AF513" t="s">
        <v>59</v>
      </c>
      <c r="AG513" t="s">
        <v>59</v>
      </c>
      <c r="AH513" t="s">
        <v>61</v>
      </c>
      <c r="AI513" t="s">
        <v>60</v>
      </c>
      <c r="AJ513" t="s">
        <v>59</v>
      </c>
      <c r="AK513" t="s">
        <v>59</v>
      </c>
      <c r="AL513" t="s">
        <v>60</v>
      </c>
      <c r="AM513" t="s">
        <v>59</v>
      </c>
      <c r="AN513" t="s">
        <v>59</v>
      </c>
      <c r="AO513" t="s">
        <v>59</v>
      </c>
      <c r="AP513" t="s">
        <v>1227</v>
      </c>
      <c r="AQ513" t="s">
        <v>1228</v>
      </c>
      <c r="AR513" t="s">
        <v>64</v>
      </c>
      <c r="AS513" t="s">
        <v>1217</v>
      </c>
      <c r="AT513" t="s">
        <v>380</v>
      </c>
      <c r="AU513" t="s">
        <v>219</v>
      </c>
      <c r="AW513" s="4">
        <f t="shared" si="248"/>
        <v>6</v>
      </c>
      <c r="AX513" s="4">
        <f t="shared" si="249"/>
        <v>4</v>
      </c>
      <c r="AY513" s="4">
        <f t="shared" si="250"/>
        <v>4</v>
      </c>
      <c r="AZ513" s="4">
        <f t="shared" si="251"/>
        <v>2</v>
      </c>
      <c r="BA513" s="4">
        <f t="shared" si="252"/>
        <v>4</v>
      </c>
      <c r="BB513" s="4">
        <f t="shared" si="253"/>
        <v>4</v>
      </c>
      <c r="BC513" s="4">
        <f t="shared" si="254"/>
        <v>4</v>
      </c>
      <c r="BD513" s="4">
        <f t="shared" si="255"/>
        <v>2</v>
      </c>
      <c r="BE513" s="4" t="str">
        <f t="shared" si="256"/>
        <v>0</v>
      </c>
      <c r="BF513" s="4">
        <f t="shared" si="257"/>
        <v>2</v>
      </c>
      <c r="BG513" s="4">
        <f t="shared" si="258"/>
        <v>4</v>
      </c>
      <c r="BH513" s="4">
        <f t="shared" si="259"/>
        <v>4</v>
      </c>
      <c r="BI513" s="4">
        <f t="shared" si="260"/>
        <v>4</v>
      </c>
      <c r="BJ513" s="4">
        <f t="shared" si="261"/>
        <v>2</v>
      </c>
      <c r="BK513" s="4" t="str">
        <f t="shared" si="262"/>
        <v>0</v>
      </c>
      <c r="BL513" s="4">
        <f t="shared" si="263"/>
        <v>2</v>
      </c>
      <c r="BM513" s="4">
        <f t="shared" si="264"/>
        <v>4</v>
      </c>
      <c r="BN513" s="4">
        <f t="shared" si="265"/>
        <v>4</v>
      </c>
      <c r="BO513" s="4">
        <f t="shared" si="266"/>
        <v>4</v>
      </c>
      <c r="BP513" s="4">
        <f t="shared" si="267"/>
        <v>4</v>
      </c>
      <c r="BQ513" s="4">
        <f t="shared" si="268"/>
        <v>6</v>
      </c>
      <c r="BR513" s="4">
        <f t="shared" si="269"/>
        <v>4</v>
      </c>
      <c r="BS513" s="4" t="str">
        <f t="shared" si="270"/>
        <v>0</v>
      </c>
      <c r="BT513" s="4">
        <f t="shared" si="271"/>
        <v>4</v>
      </c>
      <c r="BU513" s="4">
        <f t="shared" si="272"/>
        <v>4</v>
      </c>
      <c r="BV513" s="4" t="str">
        <f t="shared" si="273"/>
        <v>0</v>
      </c>
      <c r="BW513" s="4">
        <f t="shared" si="274"/>
        <v>6</v>
      </c>
      <c r="BX513" s="4">
        <f t="shared" si="275"/>
        <v>0</v>
      </c>
      <c r="BY513" s="4">
        <f t="shared" si="276"/>
        <v>0</v>
      </c>
      <c r="BZ513" s="37">
        <f t="shared" si="277"/>
        <v>88</v>
      </c>
      <c r="CA513" s="32" t="str">
        <f>VLOOKUP(J:J,'Agent wise'!A:C,3,0)</f>
        <v xml:space="preserve">Shiny </v>
      </c>
      <c r="CB513" s="32">
        <f t="shared" si="278"/>
        <v>45939</v>
      </c>
      <c r="CC513" t="str">
        <f t="shared" si="279"/>
        <v>Average</v>
      </c>
      <c r="CE513" s="32"/>
      <c r="CJ513">
        <f t="shared" si="280"/>
        <v>9</v>
      </c>
      <c r="CK513">
        <f t="shared" si="281"/>
        <v>10</v>
      </c>
      <c r="CL513">
        <f t="shared" si="282"/>
        <v>2025</v>
      </c>
    </row>
    <row r="514" spans="1:90" ht="15" customHeight="1" x14ac:dyDescent="0.35">
      <c r="A514" s="40">
        <v>45910.813287037039</v>
      </c>
      <c r="B514" t="s">
        <v>250</v>
      </c>
      <c r="C514" t="s">
        <v>214</v>
      </c>
      <c r="D514" t="s">
        <v>251</v>
      </c>
      <c r="E514" s="32">
        <v>45939</v>
      </c>
      <c r="F514" t="s">
        <v>54</v>
      </c>
      <c r="G514" s="2">
        <v>45879</v>
      </c>
      <c r="H514">
        <v>9901022665</v>
      </c>
      <c r="I514">
        <v>190</v>
      </c>
      <c r="J514" t="s">
        <v>533</v>
      </c>
      <c r="K514" t="s">
        <v>71</v>
      </c>
      <c r="L514" t="s">
        <v>72</v>
      </c>
      <c r="M514" t="s">
        <v>59</v>
      </c>
      <c r="N514" t="s">
        <v>59</v>
      </c>
      <c r="O514" t="s">
        <v>59</v>
      </c>
      <c r="P514" t="s">
        <v>59</v>
      </c>
      <c r="Q514" t="s">
        <v>59</v>
      </c>
      <c r="R514" t="s">
        <v>59</v>
      </c>
      <c r="S514" t="s">
        <v>59</v>
      </c>
      <c r="T514" t="s">
        <v>59</v>
      </c>
      <c r="U514" t="s">
        <v>60</v>
      </c>
      <c r="V514" t="s">
        <v>59</v>
      </c>
      <c r="W514" t="s">
        <v>59</v>
      </c>
      <c r="X514" t="s">
        <v>59</v>
      </c>
      <c r="Y514" t="s">
        <v>59</v>
      </c>
      <c r="Z514" t="s">
        <v>60</v>
      </c>
      <c r="AA514" t="s">
        <v>59</v>
      </c>
      <c r="AB514" t="s">
        <v>59</v>
      </c>
      <c r="AC514" t="s">
        <v>61</v>
      </c>
      <c r="AD514" t="s">
        <v>59</v>
      </c>
      <c r="AE514" t="s">
        <v>59</v>
      </c>
      <c r="AF514" t="s">
        <v>59</v>
      </c>
      <c r="AG514" t="s">
        <v>59</v>
      </c>
      <c r="AH514" t="s">
        <v>61</v>
      </c>
      <c r="AI514" t="s">
        <v>61</v>
      </c>
      <c r="AJ514" t="s">
        <v>59</v>
      </c>
      <c r="AK514" t="s">
        <v>59</v>
      </c>
      <c r="AL514" t="s">
        <v>59</v>
      </c>
      <c r="AM514" t="s">
        <v>59</v>
      </c>
      <c r="AN514" t="s">
        <v>59</v>
      </c>
      <c r="AO514" t="s">
        <v>59</v>
      </c>
      <c r="AP514" t="s">
        <v>1229</v>
      </c>
      <c r="AQ514" t="s">
        <v>1230</v>
      </c>
      <c r="AR514" t="s">
        <v>64</v>
      </c>
      <c r="AS514" t="s">
        <v>385</v>
      </c>
      <c r="AT514" t="s">
        <v>479</v>
      </c>
      <c r="AU514" t="s">
        <v>219</v>
      </c>
      <c r="AW514" s="4">
        <f t="shared" si="248"/>
        <v>6</v>
      </c>
      <c r="AX514" s="4">
        <f t="shared" si="249"/>
        <v>4</v>
      </c>
      <c r="AY514" s="4">
        <f t="shared" si="250"/>
        <v>4</v>
      </c>
      <c r="AZ514" s="4">
        <f t="shared" si="251"/>
        <v>2</v>
      </c>
      <c r="BA514" s="4">
        <f t="shared" si="252"/>
        <v>4</v>
      </c>
      <c r="BB514" s="4">
        <f t="shared" si="253"/>
        <v>4</v>
      </c>
      <c r="BC514" s="4">
        <f t="shared" si="254"/>
        <v>4</v>
      </c>
      <c r="BD514" s="4">
        <f t="shared" si="255"/>
        <v>2</v>
      </c>
      <c r="BE514" s="4" t="str">
        <f t="shared" si="256"/>
        <v>0</v>
      </c>
      <c r="BF514" s="4">
        <f t="shared" si="257"/>
        <v>2</v>
      </c>
      <c r="BG514" s="4">
        <f t="shared" si="258"/>
        <v>4</v>
      </c>
      <c r="BH514" s="4">
        <f t="shared" si="259"/>
        <v>4</v>
      </c>
      <c r="BI514" s="4">
        <f t="shared" si="260"/>
        <v>4</v>
      </c>
      <c r="BJ514" s="4" t="str">
        <f t="shared" si="261"/>
        <v>0</v>
      </c>
      <c r="BK514" s="4">
        <f t="shared" si="262"/>
        <v>4</v>
      </c>
      <c r="BL514" s="4">
        <f t="shared" si="263"/>
        <v>2</v>
      </c>
      <c r="BM514" s="4">
        <f t="shared" si="264"/>
        <v>4</v>
      </c>
      <c r="BN514" s="4">
        <f t="shared" si="265"/>
        <v>4</v>
      </c>
      <c r="BO514" s="4">
        <f t="shared" si="266"/>
        <v>4</v>
      </c>
      <c r="BP514" s="4">
        <f t="shared" si="267"/>
        <v>4</v>
      </c>
      <c r="BQ514" s="4">
        <f t="shared" si="268"/>
        <v>6</v>
      </c>
      <c r="BR514" s="4">
        <f t="shared" si="269"/>
        <v>4</v>
      </c>
      <c r="BS514" s="4">
        <f t="shared" si="270"/>
        <v>4</v>
      </c>
      <c r="BT514" s="4">
        <f t="shared" si="271"/>
        <v>4</v>
      </c>
      <c r="BU514" s="4">
        <f t="shared" si="272"/>
        <v>4</v>
      </c>
      <c r="BV514" s="4">
        <f t="shared" si="273"/>
        <v>0</v>
      </c>
      <c r="BW514" s="4">
        <f t="shared" si="274"/>
        <v>6</v>
      </c>
      <c r="BX514" s="4">
        <f t="shared" si="275"/>
        <v>0</v>
      </c>
      <c r="BY514" s="4">
        <f t="shared" si="276"/>
        <v>0</v>
      </c>
      <c r="BZ514" s="37">
        <f t="shared" si="277"/>
        <v>94</v>
      </c>
      <c r="CA514" s="32" t="str">
        <f>VLOOKUP(J:J,'Agent wise'!A:C,3,0)</f>
        <v xml:space="preserve">Shiny </v>
      </c>
      <c r="CB514" s="32">
        <f t="shared" si="278"/>
        <v>45939</v>
      </c>
      <c r="CC514" t="str">
        <f t="shared" si="279"/>
        <v>Good</v>
      </c>
      <c r="CE514" s="32"/>
      <c r="CJ514">
        <f t="shared" si="280"/>
        <v>9</v>
      </c>
      <c r="CK514">
        <f t="shared" si="281"/>
        <v>10</v>
      </c>
      <c r="CL514">
        <f t="shared" si="282"/>
        <v>2025</v>
      </c>
    </row>
    <row r="515" spans="1:90" ht="15" customHeight="1" x14ac:dyDescent="0.35">
      <c r="A515" s="40">
        <v>45910.81591435185</v>
      </c>
      <c r="B515" t="s">
        <v>250</v>
      </c>
      <c r="C515" t="s">
        <v>214</v>
      </c>
      <c r="D515" t="s">
        <v>251</v>
      </c>
      <c r="E515" s="32">
        <v>45939</v>
      </c>
      <c r="F515" t="s">
        <v>54</v>
      </c>
      <c r="G515" s="2">
        <v>45879</v>
      </c>
      <c r="H515">
        <v>7708004050</v>
      </c>
      <c r="I515">
        <v>177</v>
      </c>
      <c r="J515" t="s">
        <v>451</v>
      </c>
      <c r="K515" t="s">
        <v>71</v>
      </c>
      <c r="L515" t="s">
        <v>72</v>
      </c>
      <c r="M515" t="s">
        <v>59</v>
      </c>
      <c r="N515" t="s">
        <v>59</v>
      </c>
      <c r="O515" t="s">
        <v>59</v>
      </c>
      <c r="P515" t="s">
        <v>59</v>
      </c>
      <c r="Q515" t="s">
        <v>59</v>
      </c>
      <c r="R515" t="s">
        <v>59</v>
      </c>
      <c r="S515" t="s">
        <v>59</v>
      </c>
      <c r="T515" t="s">
        <v>59</v>
      </c>
      <c r="U515" t="s">
        <v>60</v>
      </c>
      <c r="V515" t="s">
        <v>59</v>
      </c>
      <c r="W515" t="s">
        <v>59</v>
      </c>
      <c r="X515" t="s">
        <v>59</v>
      </c>
      <c r="Y515" t="s">
        <v>59</v>
      </c>
      <c r="Z515" t="s">
        <v>59</v>
      </c>
      <c r="AA515" t="s">
        <v>59</v>
      </c>
      <c r="AB515" t="s">
        <v>59</v>
      </c>
      <c r="AC515" t="s">
        <v>60</v>
      </c>
      <c r="AD515" t="s">
        <v>61</v>
      </c>
      <c r="AE515" t="s">
        <v>59</v>
      </c>
      <c r="AF515" t="s">
        <v>59</v>
      </c>
      <c r="AG515" t="s">
        <v>59</v>
      </c>
      <c r="AH515" t="s">
        <v>61</v>
      </c>
      <c r="AI515" t="s">
        <v>61</v>
      </c>
      <c r="AJ515" t="s">
        <v>59</v>
      </c>
      <c r="AK515" t="s">
        <v>59</v>
      </c>
      <c r="AL515" t="s">
        <v>60</v>
      </c>
      <c r="AM515" t="s">
        <v>59</v>
      </c>
      <c r="AN515" t="s">
        <v>59</v>
      </c>
      <c r="AO515" t="s">
        <v>59</v>
      </c>
      <c r="AP515" t="s">
        <v>1231</v>
      </c>
      <c r="AQ515" t="s">
        <v>1232</v>
      </c>
      <c r="AR515" t="s">
        <v>64</v>
      </c>
      <c r="AS515" t="s">
        <v>397</v>
      </c>
      <c r="AT515" t="s">
        <v>398</v>
      </c>
      <c r="AU515" t="s">
        <v>219</v>
      </c>
      <c r="AW515" s="4">
        <f t="shared" ref="AW515:AW578" si="283">IF(OR(M515="YES", M515="Not Applicable"), AW$1, "0")</f>
        <v>6</v>
      </c>
      <c r="AX515" s="4">
        <f t="shared" ref="AX515:AX578" si="284">IF(OR(N515="YES", N515="Not Applicable"), AX$1, "0")</f>
        <v>4</v>
      </c>
      <c r="AY515" s="4">
        <f t="shared" ref="AY515:AY578" si="285">IF(OR(O515="YES", O515="Not Applicable"), AY$1, "0")</f>
        <v>4</v>
      </c>
      <c r="AZ515" s="4">
        <f t="shared" ref="AZ515:AZ578" si="286">IF(OR(P515="YES", P515="Not Applicable"), AZ$1, "0")</f>
        <v>2</v>
      </c>
      <c r="BA515" s="4">
        <f t="shared" ref="BA515:BA578" si="287">IF(OR(Q515="YES", Q515="Not Applicable"), BA$1, "0")</f>
        <v>4</v>
      </c>
      <c r="BB515" s="4">
        <f t="shared" ref="BB515:BB578" si="288">IF(OR(R515="YES", R515="Not Applicable"), BB$1, "0")</f>
        <v>4</v>
      </c>
      <c r="BC515" s="4">
        <f t="shared" ref="BC515:BC578" si="289">IF(OR(S515="YES", S515="Not Applicable"), BC$1, "0")</f>
        <v>4</v>
      </c>
      <c r="BD515" s="4">
        <f t="shared" ref="BD515:BD578" si="290">IF(OR(T515="YES", T515="Not Applicable"), BD$1, "0")</f>
        <v>2</v>
      </c>
      <c r="BE515" s="4" t="str">
        <f t="shared" ref="BE515:BE578" si="291">IF(OR(U515="YES", U515="Not Applicable"), BE$1, "0")</f>
        <v>0</v>
      </c>
      <c r="BF515" s="4">
        <f t="shared" ref="BF515:BF578" si="292">IF(OR(V515="YES", V515="Not Applicable"), BF$1, "0")</f>
        <v>2</v>
      </c>
      <c r="BG515" s="4">
        <f t="shared" ref="BG515:BG578" si="293">IF(OR(W515="YES", W515="Not Applicable"), BG$1, "0")</f>
        <v>4</v>
      </c>
      <c r="BH515" s="4">
        <f t="shared" ref="BH515:BH578" si="294">IF(OR(X515="YES", X515="Not Applicable"), BH$1, "0")</f>
        <v>4</v>
      </c>
      <c r="BI515" s="4">
        <f t="shared" ref="BI515:BI578" si="295">IF(OR(Y515="YES", Y515="Not Applicable"), BI$1, "0")</f>
        <v>4</v>
      </c>
      <c r="BJ515" s="4">
        <f t="shared" ref="BJ515:BJ578" si="296">IF(OR(Z515="YES", Z515="Not Applicable"), BJ$1, "0")</f>
        <v>2</v>
      </c>
      <c r="BK515" s="4">
        <f t="shared" ref="BK515:BK578" si="297">IF(OR(AA515="YES", AA515="Not Applicable"), BK$1, "0")</f>
        <v>4</v>
      </c>
      <c r="BL515" s="4">
        <f t="shared" ref="BL515:BL578" si="298">IF(OR(AB515="YES", AB515="Not Applicable"), BL$1, "0")</f>
        <v>2</v>
      </c>
      <c r="BM515" s="4" t="str">
        <f t="shared" ref="BM515:BM578" si="299">IF(OR(AC515="YES", AC515="Not Applicable"), BM$1, "0")</f>
        <v>0</v>
      </c>
      <c r="BN515" s="4">
        <f t="shared" ref="BN515:BN578" si="300">IF(OR(AD515="YES", AD515="Not Applicable"), BN$1, "0")</f>
        <v>4</v>
      </c>
      <c r="BO515" s="4">
        <f t="shared" ref="BO515:BO578" si="301">IF(OR(AE515="YES", AE515="Not Applicable"), BO$1, "0")</f>
        <v>4</v>
      </c>
      <c r="BP515" s="4">
        <f t="shared" ref="BP515:BP578" si="302">IF(OR(AF515="YES", AF515="Not Applicable"), BP$1, "0")</f>
        <v>4</v>
      </c>
      <c r="BQ515" s="4">
        <f t="shared" ref="BQ515:BQ578" si="303">IF(OR(AG515="YES", AG515="Not Applicable"), BQ$1, "0")</f>
        <v>6</v>
      </c>
      <c r="BR515" s="4">
        <f t="shared" ref="BR515:BR578" si="304">IF(OR(AH515="YES", AH515="Not Applicable"), BR$1, "0")</f>
        <v>4</v>
      </c>
      <c r="BS515" s="4">
        <f t="shared" ref="BS515:BS578" si="305">IF(OR(AI515="YES", AI515="Not Applicable"), BS$1, "0")</f>
        <v>4</v>
      </c>
      <c r="BT515" s="4">
        <f t="shared" ref="BT515:BT578" si="306">IF(OR(AJ515="YES", AJ515="Not Applicable"), BT$1, "0")</f>
        <v>4</v>
      </c>
      <c r="BU515" s="4">
        <f t="shared" ref="BU515:BU578" si="307">IF(OR(AK515="YES", AK515="Not Applicable"), BU$1, "0")</f>
        <v>4</v>
      </c>
      <c r="BV515" s="4" t="str">
        <f t="shared" ref="BV515:BV578" si="308">IF(OR(AL515="YES", AL515="Not Applicable"), BV$1, "0")</f>
        <v>0</v>
      </c>
      <c r="BW515" s="4">
        <f t="shared" ref="BW515:BW578" si="309">IF(OR(AM515="YES", AM515="Not Applicable"), BW$1, "0")</f>
        <v>6</v>
      </c>
      <c r="BX515" s="4">
        <f t="shared" ref="BX515:BX578" si="310">IF(OR(AN515="YES", AN515="Not Applicable"), BX$1, "0")</f>
        <v>0</v>
      </c>
      <c r="BY515" s="4">
        <f t="shared" ref="BY515:BY578" si="311">IF(OR(AO515="YES", AO515="Not Applicable"), BY$1, "0")</f>
        <v>0</v>
      </c>
      <c r="BZ515" s="37">
        <f t="shared" ref="BZ515:BZ578" si="312">SUM(AW515:BY515)</f>
        <v>92</v>
      </c>
      <c r="CA515" s="32" t="str">
        <f>VLOOKUP(J:J,'Agent wise'!A:C,3,0)</f>
        <v xml:space="preserve">Shiny </v>
      </c>
      <c r="CB515" s="32">
        <f t="shared" ref="CB515:CB578" si="313">INT(E515)</f>
        <v>45939</v>
      </c>
      <c r="CC515" t="str">
        <f t="shared" ref="CC515:CC578" si="314">IF(BZ515&gt;=94.5, "Excellent", IF(BZ515&gt;89.5, "Good", IF(BZ515&gt;84.5, "Average", "FC")))</f>
        <v>Good</v>
      </c>
      <c r="CE515" s="32"/>
      <c r="CJ515">
        <f t="shared" si="280"/>
        <v>9</v>
      </c>
      <c r="CK515">
        <f t="shared" si="281"/>
        <v>10</v>
      </c>
      <c r="CL515">
        <f t="shared" si="282"/>
        <v>2025</v>
      </c>
    </row>
    <row r="516" spans="1:90" ht="15" customHeight="1" x14ac:dyDescent="0.35">
      <c r="A516" s="40">
        <v>45910.924953703703</v>
      </c>
      <c r="B516" t="s">
        <v>698</v>
      </c>
      <c r="C516" t="s">
        <v>214</v>
      </c>
      <c r="D516" t="s">
        <v>221</v>
      </c>
      <c r="E516" s="32">
        <v>45939</v>
      </c>
      <c r="F516" t="s">
        <v>222</v>
      </c>
      <c r="G516" s="2">
        <v>45910</v>
      </c>
      <c r="H516">
        <v>7708639606</v>
      </c>
      <c r="I516">
        <v>176</v>
      </c>
      <c r="J516" t="s">
        <v>356</v>
      </c>
      <c r="K516" t="s">
        <v>71</v>
      </c>
      <c r="L516" t="s">
        <v>72</v>
      </c>
      <c r="M516" t="s">
        <v>59</v>
      </c>
      <c r="N516" t="s">
        <v>59</v>
      </c>
      <c r="O516" t="s">
        <v>59</v>
      </c>
      <c r="P516" t="s">
        <v>59</v>
      </c>
      <c r="Q516" t="s">
        <v>59</v>
      </c>
      <c r="R516" t="s">
        <v>59</v>
      </c>
      <c r="S516" t="s">
        <v>59</v>
      </c>
      <c r="T516" t="s">
        <v>59</v>
      </c>
      <c r="U516" t="s">
        <v>59</v>
      </c>
      <c r="V516" t="s">
        <v>59</v>
      </c>
      <c r="W516" t="s">
        <v>59</v>
      </c>
      <c r="X516" t="s">
        <v>59</v>
      </c>
      <c r="Y516" t="s">
        <v>59</v>
      </c>
      <c r="Z516" t="s">
        <v>59</v>
      </c>
      <c r="AA516" t="s">
        <v>59</v>
      </c>
      <c r="AB516" t="s">
        <v>59</v>
      </c>
      <c r="AC516" t="s">
        <v>59</v>
      </c>
      <c r="AD516" t="s">
        <v>59</v>
      </c>
      <c r="AE516" t="s">
        <v>59</v>
      </c>
      <c r="AF516" t="s">
        <v>59</v>
      </c>
      <c r="AG516" t="s">
        <v>59</v>
      </c>
      <c r="AH516" t="s">
        <v>61</v>
      </c>
      <c r="AI516" t="s">
        <v>60</v>
      </c>
      <c r="AJ516" t="s">
        <v>59</v>
      </c>
      <c r="AK516" t="s">
        <v>59</v>
      </c>
      <c r="AL516" t="s">
        <v>59</v>
      </c>
      <c r="AM516" t="s">
        <v>59</v>
      </c>
      <c r="AN516" t="s">
        <v>59</v>
      </c>
      <c r="AO516" t="s">
        <v>59</v>
      </c>
      <c r="AP516" t="s">
        <v>1233</v>
      </c>
      <c r="AQ516" t="s">
        <v>960</v>
      </c>
      <c r="AR516" t="s">
        <v>226</v>
      </c>
      <c r="AS516" t="s">
        <v>249</v>
      </c>
      <c r="AT516" t="s">
        <v>249</v>
      </c>
      <c r="AU516" t="s">
        <v>219</v>
      </c>
      <c r="AW516" s="4">
        <f t="shared" si="283"/>
        <v>6</v>
      </c>
      <c r="AX516" s="4">
        <f t="shared" si="284"/>
        <v>4</v>
      </c>
      <c r="AY516" s="4">
        <f t="shared" si="285"/>
        <v>4</v>
      </c>
      <c r="AZ516" s="4">
        <f t="shared" si="286"/>
        <v>2</v>
      </c>
      <c r="BA516" s="4">
        <f t="shared" si="287"/>
        <v>4</v>
      </c>
      <c r="BB516" s="4">
        <f t="shared" si="288"/>
        <v>4</v>
      </c>
      <c r="BC516" s="4">
        <f t="shared" si="289"/>
        <v>4</v>
      </c>
      <c r="BD516" s="4">
        <f t="shared" si="290"/>
        <v>2</v>
      </c>
      <c r="BE516" s="4">
        <f t="shared" si="291"/>
        <v>4</v>
      </c>
      <c r="BF516" s="4">
        <f t="shared" si="292"/>
        <v>2</v>
      </c>
      <c r="BG516" s="4">
        <f t="shared" si="293"/>
        <v>4</v>
      </c>
      <c r="BH516" s="4">
        <f t="shared" si="294"/>
        <v>4</v>
      </c>
      <c r="BI516" s="4">
        <f t="shared" si="295"/>
        <v>4</v>
      </c>
      <c r="BJ516" s="4">
        <f t="shared" si="296"/>
        <v>2</v>
      </c>
      <c r="BK516" s="4">
        <f t="shared" si="297"/>
        <v>4</v>
      </c>
      <c r="BL516" s="4">
        <f t="shared" si="298"/>
        <v>2</v>
      </c>
      <c r="BM516" s="4">
        <f t="shared" si="299"/>
        <v>4</v>
      </c>
      <c r="BN516" s="4">
        <f t="shared" si="300"/>
        <v>4</v>
      </c>
      <c r="BO516" s="4">
        <f t="shared" si="301"/>
        <v>4</v>
      </c>
      <c r="BP516" s="4">
        <f t="shared" si="302"/>
        <v>4</v>
      </c>
      <c r="BQ516" s="4">
        <f t="shared" si="303"/>
        <v>6</v>
      </c>
      <c r="BR516" s="4">
        <f t="shared" si="304"/>
        <v>4</v>
      </c>
      <c r="BS516" s="4" t="str">
        <f t="shared" si="305"/>
        <v>0</v>
      </c>
      <c r="BT516" s="4">
        <f t="shared" si="306"/>
        <v>4</v>
      </c>
      <c r="BU516" s="4">
        <f t="shared" si="307"/>
        <v>4</v>
      </c>
      <c r="BV516" s="4">
        <f t="shared" si="308"/>
        <v>0</v>
      </c>
      <c r="BW516" s="4">
        <f t="shared" si="309"/>
        <v>6</v>
      </c>
      <c r="BX516" s="4">
        <f t="shared" si="310"/>
        <v>0</v>
      </c>
      <c r="BY516" s="4">
        <f t="shared" si="311"/>
        <v>0</v>
      </c>
      <c r="BZ516" s="37">
        <f t="shared" si="312"/>
        <v>96</v>
      </c>
      <c r="CA516" s="32" t="str">
        <f>VLOOKUP(J:J,'Agent wise'!A:C,3,0)</f>
        <v>Amal</v>
      </c>
      <c r="CB516" s="32">
        <f t="shared" si="313"/>
        <v>45939</v>
      </c>
      <c r="CC516" t="str">
        <f t="shared" si="314"/>
        <v>Excellent</v>
      </c>
      <c r="CE516" s="32"/>
      <c r="CJ516">
        <f t="shared" ref="CJ516:CJ579" si="315">DAY(E516)</f>
        <v>9</v>
      </c>
      <c r="CK516">
        <f t="shared" ref="CK516:CK579" si="316">MONTH(E516)</f>
        <v>10</v>
      </c>
      <c r="CL516">
        <f t="shared" ref="CL516:CL579" si="317">YEAR(E516)</f>
        <v>2025</v>
      </c>
    </row>
    <row r="517" spans="1:90" ht="15" customHeight="1" x14ac:dyDescent="0.35">
      <c r="A517" s="40">
        <v>45910.927974537037</v>
      </c>
      <c r="B517" t="s">
        <v>698</v>
      </c>
      <c r="C517" t="s">
        <v>214</v>
      </c>
      <c r="D517" t="s">
        <v>221</v>
      </c>
      <c r="E517" s="32">
        <v>45939</v>
      </c>
      <c r="F517" t="s">
        <v>222</v>
      </c>
      <c r="G517" s="2">
        <v>45910</v>
      </c>
      <c r="H517">
        <v>9487385312</v>
      </c>
      <c r="I517">
        <v>168</v>
      </c>
      <c r="J517" t="s">
        <v>501</v>
      </c>
      <c r="K517" t="s">
        <v>71</v>
      </c>
      <c r="L517" t="s">
        <v>72</v>
      </c>
      <c r="M517" t="s">
        <v>59</v>
      </c>
      <c r="N517" t="s">
        <v>59</v>
      </c>
      <c r="O517" t="s">
        <v>59</v>
      </c>
      <c r="P517" t="s">
        <v>59</v>
      </c>
      <c r="Q517" t="s">
        <v>59</v>
      </c>
      <c r="R517" t="s">
        <v>59</v>
      </c>
      <c r="S517" t="s">
        <v>59</v>
      </c>
      <c r="T517" t="s">
        <v>59</v>
      </c>
      <c r="U517" t="s">
        <v>59</v>
      </c>
      <c r="V517" t="s">
        <v>59</v>
      </c>
      <c r="W517" t="s">
        <v>59</v>
      </c>
      <c r="X517" t="s">
        <v>59</v>
      </c>
      <c r="Y517" t="s">
        <v>59</v>
      </c>
      <c r="Z517" t="s">
        <v>60</v>
      </c>
      <c r="AA517" t="s">
        <v>59</v>
      </c>
      <c r="AB517" t="s">
        <v>59</v>
      </c>
      <c r="AC517" t="s">
        <v>59</v>
      </c>
      <c r="AD517" t="s">
        <v>61</v>
      </c>
      <c r="AE517" t="s">
        <v>59</v>
      </c>
      <c r="AF517" t="s">
        <v>59</v>
      </c>
      <c r="AG517" t="s">
        <v>59</v>
      </c>
      <c r="AH517" t="s">
        <v>61</v>
      </c>
      <c r="AI517" t="s">
        <v>61</v>
      </c>
      <c r="AJ517" t="s">
        <v>59</v>
      </c>
      <c r="AK517" t="s">
        <v>59</v>
      </c>
      <c r="AL517" t="s">
        <v>60</v>
      </c>
      <c r="AM517" t="s">
        <v>59</v>
      </c>
      <c r="AN517" t="s">
        <v>59</v>
      </c>
      <c r="AO517" t="s">
        <v>59</v>
      </c>
      <c r="AP517" t="s">
        <v>1234</v>
      </c>
      <c r="AQ517" t="s">
        <v>1235</v>
      </c>
      <c r="AR517" t="s">
        <v>226</v>
      </c>
      <c r="AS517" t="s">
        <v>1236</v>
      </c>
      <c r="AT517" t="s">
        <v>1236</v>
      </c>
      <c r="AU517" t="s">
        <v>219</v>
      </c>
      <c r="AW517" s="4">
        <f t="shared" si="283"/>
        <v>6</v>
      </c>
      <c r="AX517" s="4">
        <f t="shared" si="284"/>
        <v>4</v>
      </c>
      <c r="AY517" s="4">
        <f t="shared" si="285"/>
        <v>4</v>
      </c>
      <c r="AZ517" s="4">
        <f t="shared" si="286"/>
        <v>2</v>
      </c>
      <c r="BA517" s="4">
        <f t="shared" si="287"/>
        <v>4</v>
      </c>
      <c r="BB517" s="4">
        <f t="shared" si="288"/>
        <v>4</v>
      </c>
      <c r="BC517" s="4">
        <f t="shared" si="289"/>
        <v>4</v>
      </c>
      <c r="BD517" s="4">
        <f t="shared" si="290"/>
        <v>2</v>
      </c>
      <c r="BE517" s="4">
        <f t="shared" si="291"/>
        <v>4</v>
      </c>
      <c r="BF517" s="4">
        <f t="shared" si="292"/>
        <v>2</v>
      </c>
      <c r="BG517" s="4">
        <f t="shared" si="293"/>
        <v>4</v>
      </c>
      <c r="BH517" s="4">
        <f t="shared" si="294"/>
        <v>4</v>
      </c>
      <c r="BI517" s="4">
        <f t="shared" si="295"/>
        <v>4</v>
      </c>
      <c r="BJ517" s="4" t="str">
        <f t="shared" si="296"/>
        <v>0</v>
      </c>
      <c r="BK517" s="4">
        <f t="shared" si="297"/>
        <v>4</v>
      </c>
      <c r="BL517" s="4">
        <f t="shared" si="298"/>
        <v>2</v>
      </c>
      <c r="BM517" s="4">
        <f t="shared" si="299"/>
        <v>4</v>
      </c>
      <c r="BN517" s="4">
        <f t="shared" si="300"/>
        <v>4</v>
      </c>
      <c r="BO517" s="4">
        <f t="shared" si="301"/>
        <v>4</v>
      </c>
      <c r="BP517" s="4">
        <f t="shared" si="302"/>
        <v>4</v>
      </c>
      <c r="BQ517" s="4">
        <f t="shared" si="303"/>
        <v>6</v>
      </c>
      <c r="BR517" s="4">
        <f t="shared" si="304"/>
        <v>4</v>
      </c>
      <c r="BS517" s="4">
        <f t="shared" si="305"/>
        <v>4</v>
      </c>
      <c r="BT517" s="4">
        <f t="shared" si="306"/>
        <v>4</v>
      </c>
      <c r="BU517" s="4">
        <f t="shared" si="307"/>
        <v>4</v>
      </c>
      <c r="BV517" s="4" t="str">
        <f t="shared" si="308"/>
        <v>0</v>
      </c>
      <c r="BW517" s="4">
        <f t="shared" si="309"/>
        <v>6</v>
      </c>
      <c r="BX517" s="4">
        <f t="shared" si="310"/>
        <v>0</v>
      </c>
      <c r="BY517" s="4">
        <f t="shared" si="311"/>
        <v>0</v>
      </c>
      <c r="BZ517" s="37">
        <f t="shared" si="312"/>
        <v>98</v>
      </c>
      <c r="CA517" s="32" t="str">
        <f>VLOOKUP(J:J,'Agent wise'!A:C,3,0)</f>
        <v>Amal</v>
      </c>
      <c r="CB517" s="32">
        <f t="shared" si="313"/>
        <v>45939</v>
      </c>
      <c r="CC517" t="str">
        <f t="shared" si="314"/>
        <v>Excellent</v>
      </c>
      <c r="CE517" s="32"/>
      <c r="CJ517">
        <f t="shared" si="315"/>
        <v>9</v>
      </c>
      <c r="CK517">
        <f t="shared" si="316"/>
        <v>10</v>
      </c>
      <c r="CL517">
        <f t="shared" si="317"/>
        <v>2025</v>
      </c>
    </row>
    <row r="518" spans="1:90" ht="15" customHeight="1" x14ac:dyDescent="0.35">
      <c r="A518" s="40">
        <v>45910.930590277778</v>
      </c>
      <c r="B518" t="s">
        <v>698</v>
      </c>
      <c r="C518" t="s">
        <v>214</v>
      </c>
      <c r="D518" t="s">
        <v>221</v>
      </c>
      <c r="E518" s="32">
        <v>45939</v>
      </c>
      <c r="F518" t="s">
        <v>222</v>
      </c>
      <c r="G518" s="2">
        <v>45910</v>
      </c>
      <c r="H518">
        <v>9843120218</v>
      </c>
      <c r="I518">
        <v>189</v>
      </c>
      <c r="J518" t="s">
        <v>208</v>
      </c>
      <c r="K518" t="s">
        <v>71</v>
      </c>
      <c r="L518" t="s">
        <v>72</v>
      </c>
      <c r="M518" t="s">
        <v>59</v>
      </c>
      <c r="N518" t="s">
        <v>59</v>
      </c>
      <c r="O518" t="s">
        <v>59</v>
      </c>
      <c r="P518" t="s">
        <v>59</v>
      </c>
      <c r="Q518" t="s">
        <v>59</v>
      </c>
      <c r="R518" t="s">
        <v>59</v>
      </c>
      <c r="S518" t="s">
        <v>59</v>
      </c>
      <c r="T518" t="s">
        <v>59</v>
      </c>
      <c r="U518" t="s">
        <v>59</v>
      </c>
      <c r="V518" t="s">
        <v>59</v>
      </c>
      <c r="W518" t="s">
        <v>59</v>
      </c>
      <c r="X518" t="s">
        <v>59</v>
      </c>
      <c r="Y518" t="s">
        <v>59</v>
      </c>
      <c r="Z518" t="s">
        <v>59</v>
      </c>
      <c r="AA518" t="s">
        <v>59</v>
      </c>
      <c r="AB518" t="s">
        <v>61</v>
      </c>
      <c r="AC518" t="s">
        <v>59</v>
      </c>
      <c r="AD518" t="s">
        <v>61</v>
      </c>
      <c r="AE518" t="s">
        <v>59</v>
      </c>
      <c r="AF518" t="s">
        <v>59</v>
      </c>
      <c r="AG518" t="s">
        <v>59</v>
      </c>
      <c r="AH518" t="s">
        <v>61</v>
      </c>
      <c r="AI518" t="s">
        <v>61</v>
      </c>
      <c r="AJ518" t="s">
        <v>59</v>
      </c>
      <c r="AK518" t="s">
        <v>59</v>
      </c>
      <c r="AL518" t="s">
        <v>59</v>
      </c>
      <c r="AM518" t="s">
        <v>59</v>
      </c>
      <c r="AN518" t="s">
        <v>59</v>
      </c>
      <c r="AO518" t="s">
        <v>59</v>
      </c>
      <c r="AP518" t="s">
        <v>228</v>
      </c>
      <c r="AQ518" t="s">
        <v>962</v>
      </c>
      <c r="AR518" t="s">
        <v>226</v>
      </c>
      <c r="AS518" t="s">
        <v>395</v>
      </c>
      <c r="AT518" t="s">
        <v>395</v>
      </c>
      <c r="AU518" t="s">
        <v>219</v>
      </c>
      <c r="AW518" s="4">
        <f t="shared" si="283"/>
        <v>6</v>
      </c>
      <c r="AX518" s="4">
        <f t="shared" si="284"/>
        <v>4</v>
      </c>
      <c r="AY518" s="4">
        <f t="shared" si="285"/>
        <v>4</v>
      </c>
      <c r="AZ518" s="4">
        <f t="shared" si="286"/>
        <v>2</v>
      </c>
      <c r="BA518" s="4">
        <f t="shared" si="287"/>
        <v>4</v>
      </c>
      <c r="BB518" s="4">
        <f t="shared" si="288"/>
        <v>4</v>
      </c>
      <c r="BC518" s="4">
        <f t="shared" si="289"/>
        <v>4</v>
      </c>
      <c r="BD518" s="4">
        <f t="shared" si="290"/>
        <v>2</v>
      </c>
      <c r="BE518" s="4">
        <f t="shared" si="291"/>
        <v>4</v>
      </c>
      <c r="BF518" s="4">
        <f t="shared" si="292"/>
        <v>2</v>
      </c>
      <c r="BG518" s="4">
        <f t="shared" si="293"/>
        <v>4</v>
      </c>
      <c r="BH518" s="4">
        <f t="shared" si="294"/>
        <v>4</v>
      </c>
      <c r="BI518" s="4">
        <f t="shared" si="295"/>
        <v>4</v>
      </c>
      <c r="BJ518" s="4">
        <f t="shared" si="296"/>
        <v>2</v>
      </c>
      <c r="BK518" s="4">
        <f t="shared" si="297"/>
        <v>4</v>
      </c>
      <c r="BL518" s="4">
        <f t="shared" si="298"/>
        <v>2</v>
      </c>
      <c r="BM518" s="4">
        <f t="shared" si="299"/>
        <v>4</v>
      </c>
      <c r="BN518" s="4">
        <f t="shared" si="300"/>
        <v>4</v>
      </c>
      <c r="BO518" s="4">
        <f t="shared" si="301"/>
        <v>4</v>
      </c>
      <c r="BP518" s="4">
        <f t="shared" si="302"/>
        <v>4</v>
      </c>
      <c r="BQ518" s="4">
        <f t="shared" si="303"/>
        <v>6</v>
      </c>
      <c r="BR518" s="4">
        <f t="shared" si="304"/>
        <v>4</v>
      </c>
      <c r="BS518" s="4">
        <f t="shared" si="305"/>
        <v>4</v>
      </c>
      <c r="BT518" s="4">
        <f t="shared" si="306"/>
        <v>4</v>
      </c>
      <c r="BU518" s="4">
        <f t="shared" si="307"/>
        <v>4</v>
      </c>
      <c r="BV518" s="4">
        <f t="shared" si="308"/>
        <v>0</v>
      </c>
      <c r="BW518" s="4">
        <f t="shared" si="309"/>
        <v>6</v>
      </c>
      <c r="BX518" s="4">
        <f t="shared" si="310"/>
        <v>0</v>
      </c>
      <c r="BY518" s="4">
        <f t="shared" si="311"/>
        <v>0</v>
      </c>
      <c r="BZ518" s="37">
        <f t="shared" si="312"/>
        <v>100</v>
      </c>
      <c r="CA518" s="32" t="str">
        <f>VLOOKUP(J:J,'Agent wise'!A:C,3,0)</f>
        <v>Adharsh</v>
      </c>
      <c r="CB518" s="32">
        <f t="shared" si="313"/>
        <v>45939</v>
      </c>
      <c r="CC518" t="str">
        <f t="shared" si="314"/>
        <v>Excellent</v>
      </c>
      <c r="CE518" s="32"/>
      <c r="CJ518">
        <f t="shared" si="315"/>
        <v>9</v>
      </c>
      <c r="CK518">
        <f t="shared" si="316"/>
        <v>10</v>
      </c>
      <c r="CL518">
        <f t="shared" si="317"/>
        <v>2025</v>
      </c>
    </row>
    <row r="519" spans="1:90" ht="15" customHeight="1" x14ac:dyDescent="0.35">
      <c r="A519" s="40">
        <v>45910.933807870373</v>
      </c>
      <c r="B519" t="s">
        <v>698</v>
      </c>
      <c r="C519" t="s">
        <v>214</v>
      </c>
      <c r="D519" t="s">
        <v>221</v>
      </c>
      <c r="E519" s="32">
        <v>45939</v>
      </c>
      <c r="F519" t="s">
        <v>222</v>
      </c>
      <c r="G519" s="2">
        <v>45910</v>
      </c>
      <c r="H519">
        <v>9003160529</v>
      </c>
      <c r="I519">
        <v>156</v>
      </c>
      <c r="J519" t="s">
        <v>575</v>
      </c>
      <c r="K519" t="s">
        <v>57</v>
      </c>
      <c r="L519" t="s">
        <v>58</v>
      </c>
      <c r="M519" t="s">
        <v>59</v>
      </c>
      <c r="N519" t="s">
        <v>59</v>
      </c>
      <c r="O519" t="s">
        <v>59</v>
      </c>
      <c r="P519" t="s">
        <v>59</v>
      </c>
      <c r="Q519" t="s">
        <v>59</v>
      </c>
      <c r="R519" t="s">
        <v>59</v>
      </c>
      <c r="S519" t="s">
        <v>59</v>
      </c>
      <c r="T519" t="s">
        <v>59</v>
      </c>
      <c r="U519" t="s">
        <v>59</v>
      </c>
      <c r="V519" t="s">
        <v>59</v>
      </c>
      <c r="W519" t="s">
        <v>59</v>
      </c>
      <c r="X519" t="s">
        <v>59</v>
      </c>
      <c r="Y519" t="s">
        <v>59</v>
      </c>
      <c r="Z519" t="s">
        <v>59</v>
      </c>
      <c r="AA519" t="s">
        <v>60</v>
      </c>
      <c r="AB519" t="s">
        <v>59</v>
      </c>
      <c r="AC519" t="s">
        <v>59</v>
      </c>
      <c r="AD519" t="s">
        <v>61</v>
      </c>
      <c r="AE519" t="s">
        <v>59</v>
      </c>
      <c r="AF519" t="s">
        <v>59</v>
      </c>
      <c r="AG519" t="s">
        <v>59</v>
      </c>
      <c r="AH519" t="s">
        <v>61</v>
      </c>
      <c r="AI519" t="s">
        <v>61</v>
      </c>
      <c r="AJ519" t="s">
        <v>59</v>
      </c>
      <c r="AK519" t="s">
        <v>59</v>
      </c>
      <c r="AL519" t="s">
        <v>60</v>
      </c>
      <c r="AM519" t="s">
        <v>59</v>
      </c>
      <c r="AN519" t="s">
        <v>59</v>
      </c>
      <c r="AO519" t="s">
        <v>59</v>
      </c>
      <c r="AP519" t="s">
        <v>1237</v>
      </c>
      <c r="AQ519" t="s">
        <v>1238</v>
      </c>
      <c r="AR519" t="s">
        <v>226</v>
      </c>
      <c r="AS519" t="s">
        <v>245</v>
      </c>
      <c r="AT519" t="s">
        <v>245</v>
      </c>
      <c r="AU519" t="s">
        <v>219</v>
      </c>
      <c r="AW519" s="4">
        <f t="shared" si="283"/>
        <v>6</v>
      </c>
      <c r="AX519" s="4">
        <f t="shared" si="284"/>
        <v>4</v>
      </c>
      <c r="AY519" s="4">
        <f t="shared" si="285"/>
        <v>4</v>
      </c>
      <c r="AZ519" s="4">
        <f t="shared" si="286"/>
        <v>2</v>
      </c>
      <c r="BA519" s="4">
        <f t="shared" si="287"/>
        <v>4</v>
      </c>
      <c r="BB519" s="4">
        <f t="shared" si="288"/>
        <v>4</v>
      </c>
      <c r="BC519" s="4">
        <f t="shared" si="289"/>
        <v>4</v>
      </c>
      <c r="BD519" s="4">
        <f t="shared" si="290"/>
        <v>2</v>
      </c>
      <c r="BE519" s="4">
        <f t="shared" si="291"/>
        <v>4</v>
      </c>
      <c r="BF519" s="4">
        <f t="shared" si="292"/>
        <v>2</v>
      </c>
      <c r="BG519" s="4">
        <f t="shared" si="293"/>
        <v>4</v>
      </c>
      <c r="BH519" s="4">
        <f t="shared" si="294"/>
        <v>4</v>
      </c>
      <c r="BI519" s="4">
        <f t="shared" si="295"/>
        <v>4</v>
      </c>
      <c r="BJ519" s="4">
        <f t="shared" si="296"/>
        <v>2</v>
      </c>
      <c r="BK519" s="4" t="str">
        <f t="shared" si="297"/>
        <v>0</v>
      </c>
      <c r="BL519" s="4">
        <f t="shared" si="298"/>
        <v>2</v>
      </c>
      <c r="BM519" s="4">
        <f t="shared" si="299"/>
        <v>4</v>
      </c>
      <c r="BN519" s="4">
        <f t="shared" si="300"/>
        <v>4</v>
      </c>
      <c r="BO519" s="4">
        <f t="shared" si="301"/>
        <v>4</v>
      </c>
      <c r="BP519" s="4">
        <f t="shared" si="302"/>
        <v>4</v>
      </c>
      <c r="BQ519" s="4">
        <f t="shared" si="303"/>
        <v>6</v>
      </c>
      <c r="BR519" s="4">
        <f t="shared" si="304"/>
        <v>4</v>
      </c>
      <c r="BS519" s="4">
        <f t="shared" si="305"/>
        <v>4</v>
      </c>
      <c r="BT519" s="4">
        <f t="shared" si="306"/>
        <v>4</v>
      </c>
      <c r="BU519" s="4">
        <f t="shared" si="307"/>
        <v>4</v>
      </c>
      <c r="BV519" s="4" t="str">
        <f t="shared" si="308"/>
        <v>0</v>
      </c>
      <c r="BW519" s="4">
        <f t="shared" si="309"/>
        <v>6</v>
      </c>
      <c r="BX519" s="4">
        <f t="shared" si="310"/>
        <v>0</v>
      </c>
      <c r="BY519" s="4">
        <f t="shared" si="311"/>
        <v>0</v>
      </c>
      <c r="BZ519" s="37">
        <f t="shared" si="312"/>
        <v>96</v>
      </c>
      <c r="CA519" s="32" t="str">
        <f>VLOOKUP(J:J,'Agent wise'!A:C,3,0)</f>
        <v>Shakeer</v>
      </c>
      <c r="CB519" s="32">
        <f t="shared" si="313"/>
        <v>45939</v>
      </c>
      <c r="CC519" t="str">
        <f t="shared" si="314"/>
        <v>Excellent</v>
      </c>
      <c r="CE519" s="32"/>
      <c r="CJ519">
        <f t="shared" si="315"/>
        <v>9</v>
      </c>
      <c r="CK519">
        <f t="shared" si="316"/>
        <v>10</v>
      </c>
      <c r="CL519">
        <f t="shared" si="317"/>
        <v>2025</v>
      </c>
    </row>
    <row r="520" spans="1:90" ht="15" customHeight="1" x14ac:dyDescent="0.35">
      <c r="A520" s="40">
        <v>45910.93886574074</v>
      </c>
      <c r="B520" t="s">
        <v>106</v>
      </c>
      <c r="C520" t="s">
        <v>214</v>
      </c>
      <c r="D520" t="s">
        <v>107</v>
      </c>
      <c r="E520" s="32">
        <v>45939</v>
      </c>
      <c r="F520" t="s">
        <v>54</v>
      </c>
      <c r="G520" s="2">
        <v>45910</v>
      </c>
      <c r="H520">
        <v>9444853585</v>
      </c>
      <c r="I520">
        <v>139</v>
      </c>
      <c r="J520" t="s">
        <v>480</v>
      </c>
      <c r="K520" t="s">
        <v>71</v>
      </c>
      <c r="L520" t="s">
        <v>72</v>
      </c>
      <c r="M520" t="s">
        <v>59</v>
      </c>
      <c r="N520" t="s">
        <v>59</v>
      </c>
      <c r="O520" t="s">
        <v>60</v>
      </c>
      <c r="P520" t="s">
        <v>59</v>
      </c>
      <c r="Q520" t="s">
        <v>59</v>
      </c>
      <c r="R520" t="s">
        <v>59</v>
      </c>
      <c r="S520" t="s">
        <v>59</v>
      </c>
      <c r="T520" t="s">
        <v>59</v>
      </c>
      <c r="U520" t="s">
        <v>60</v>
      </c>
      <c r="V520" t="s">
        <v>59</v>
      </c>
      <c r="W520" t="s">
        <v>59</v>
      </c>
      <c r="X520" t="s">
        <v>61</v>
      </c>
      <c r="Y520" t="s">
        <v>59</v>
      </c>
      <c r="Z520" t="s">
        <v>59</v>
      </c>
      <c r="AA520" t="s">
        <v>60</v>
      </c>
      <c r="AB520" t="s">
        <v>59</v>
      </c>
      <c r="AC520" t="s">
        <v>61</v>
      </c>
      <c r="AD520" t="s">
        <v>61</v>
      </c>
      <c r="AE520" t="s">
        <v>59</v>
      </c>
      <c r="AF520" t="s">
        <v>61</v>
      </c>
      <c r="AG520" t="s">
        <v>59</v>
      </c>
      <c r="AH520" t="s">
        <v>61</v>
      </c>
      <c r="AI520" t="s">
        <v>61</v>
      </c>
      <c r="AJ520" t="s">
        <v>59</v>
      </c>
      <c r="AK520" t="s">
        <v>59</v>
      </c>
      <c r="AL520" t="s">
        <v>60</v>
      </c>
      <c r="AM520" t="s">
        <v>59</v>
      </c>
      <c r="AN520" t="s">
        <v>59</v>
      </c>
      <c r="AO520" t="s">
        <v>59</v>
      </c>
      <c r="AP520" t="s">
        <v>1239</v>
      </c>
      <c r="AQ520" t="s">
        <v>1240</v>
      </c>
      <c r="AR520" t="s">
        <v>64</v>
      </c>
      <c r="AS520" t="s">
        <v>255</v>
      </c>
      <c r="AT520" t="s">
        <v>256</v>
      </c>
      <c r="AU520" t="s">
        <v>219</v>
      </c>
      <c r="AW520" s="4">
        <f t="shared" si="283"/>
        <v>6</v>
      </c>
      <c r="AX520" s="4">
        <f t="shared" si="284"/>
        <v>4</v>
      </c>
      <c r="AY520" s="4" t="str">
        <f t="shared" si="285"/>
        <v>0</v>
      </c>
      <c r="AZ520" s="4">
        <f t="shared" si="286"/>
        <v>2</v>
      </c>
      <c r="BA520" s="4">
        <f t="shared" si="287"/>
        <v>4</v>
      </c>
      <c r="BB520" s="4">
        <f t="shared" si="288"/>
        <v>4</v>
      </c>
      <c r="BC520" s="4">
        <f t="shared" si="289"/>
        <v>4</v>
      </c>
      <c r="BD520" s="4">
        <f t="shared" si="290"/>
        <v>2</v>
      </c>
      <c r="BE520" s="4" t="str">
        <f t="shared" si="291"/>
        <v>0</v>
      </c>
      <c r="BF520" s="4">
        <f t="shared" si="292"/>
        <v>2</v>
      </c>
      <c r="BG520" s="4">
        <f t="shared" si="293"/>
        <v>4</v>
      </c>
      <c r="BH520" s="4">
        <f t="shared" si="294"/>
        <v>4</v>
      </c>
      <c r="BI520" s="4">
        <f t="shared" si="295"/>
        <v>4</v>
      </c>
      <c r="BJ520" s="4">
        <f t="shared" si="296"/>
        <v>2</v>
      </c>
      <c r="BK520" s="4" t="str">
        <f t="shared" si="297"/>
        <v>0</v>
      </c>
      <c r="BL520" s="4">
        <f t="shared" si="298"/>
        <v>2</v>
      </c>
      <c r="BM520" s="4">
        <f t="shared" si="299"/>
        <v>4</v>
      </c>
      <c r="BN520" s="4">
        <f t="shared" si="300"/>
        <v>4</v>
      </c>
      <c r="BO520" s="4">
        <f t="shared" si="301"/>
        <v>4</v>
      </c>
      <c r="BP520" s="4">
        <f t="shared" si="302"/>
        <v>4</v>
      </c>
      <c r="BQ520" s="4">
        <f t="shared" si="303"/>
        <v>6</v>
      </c>
      <c r="BR520" s="4">
        <f t="shared" si="304"/>
        <v>4</v>
      </c>
      <c r="BS520" s="4">
        <f t="shared" si="305"/>
        <v>4</v>
      </c>
      <c r="BT520" s="4">
        <f t="shared" si="306"/>
        <v>4</v>
      </c>
      <c r="BU520" s="4">
        <f t="shared" si="307"/>
        <v>4</v>
      </c>
      <c r="BV520" s="4" t="str">
        <f t="shared" si="308"/>
        <v>0</v>
      </c>
      <c r="BW520" s="4">
        <f t="shared" si="309"/>
        <v>6</v>
      </c>
      <c r="BX520" s="4">
        <f t="shared" si="310"/>
        <v>0</v>
      </c>
      <c r="BY520" s="4">
        <f t="shared" si="311"/>
        <v>0</v>
      </c>
      <c r="BZ520" s="37">
        <f t="shared" si="312"/>
        <v>88</v>
      </c>
      <c r="CA520" s="32" t="str">
        <f>VLOOKUP(J:J,'Agent wise'!A:C,3,0)</f>
        <v>Shakeer</v>
      </c>
      <c r="CB520" s="32">
        <f t="shared" si="313"/>
        <v>45939</v>
      </c>
      <c r="CC520" t="str">
        <f t="shared" si="314"/>
        <v>Average</v>
      </c>
      <c r="CE520" s="32"/>
      <c r="CJ520">
        <f t="shared" si="315"/>
        <v>9</v>
      </c>
      <c r="CK520">
        <f t="shared" si="316"/>
        <v>10</v>
      </c>
      <c r="CL520">
        <f t="shared" si="317"/>
        <v>2025</v>
      </c>
    </row>
    <row r="521" spans="1:90" ht="15" customHeight="1" x14ac:dyDescent="0.35">
      <c r="A521" s="40">
        <v>45910.942372685182</v>
      </c>
      <c r="B521" t="s">
        <v>106</v>
      </c>
      <c r="C521" t="s">
        <v>214</v>
      </c>
      <c r="D521" t="s">
        <v>107</v>
      </c>
      <c r="E521" s="32">
        <v>45939</v>
      </c>
      <c r="F521" t="s">
        <v>54</v>
      </c>
      <c r="G521" s="2">
        <v>45910</v>
      </c>
      <c r="H521">
        <v>9500248366</v>
      </c>
      <c r="I521">
        <v>124</v>
      </c>
      <c r="J521" t="s">
        <v>480</v>
      </c>
      <c r="K521" t="s">
        <v>71</v>
      </c>
      <c r="L521" t="s">
        <v>72</v>
      </c>
      <c r="M521" t="s">
        <v>59</v>
      </c>
      <c r="N521" t="s">
        <v>59</v>
      </c>
      <c r="O521" t="s">
        <v>59</v>
      </c>
      <c r="P521" t="s">
        <v>59</v>
      </c>
      <c r="Q521" t="s">
        <v>59</v>
      </c>
      <c r="R521" t="s">
        <v>59</v>
      </c>
      <c r="S521" t="s">
        <v>59</v>
      </c>
      <c r="T521" t="s">
        <v>59</v>
      </c>
      <c r="U521" t="s">
        <v>60</v>
      </c>
      <c r="V521" t="s">
        <v>59</v>
      </c>
      <c r="W521" t="s">
        <v>59</v>
      </c>
      <c r="X521" t="s">
        <v>61</v>
      </c>
      <c r="Y521" t="s">
        <v>59</v>
      </c>
      <c r="Z521" t="s">
        <v>60</v>
      </c>
      <c r="AA521" t="s">
        <v>60</v>
      </c>
      <c r="AB521" t="s">
        <v>60</v>
      </c>
      <c r="AC521" t="s">
        <v>60</v>
      </c>
      <c r="AD521" t="s">
        <v>61</v>
      </c>
      <c r="AE521" t="s">
        <v>59</v>
      </c>
      <c r="AF521" t="s">
        <v>61</v>
      </c>
      <c r="AG521" t="s">
        <v>59</v>
      </c>
      <c r="AH521" t="s">
        <v>61</v>
      </c>
      <c r="AI521" t="s">
        <v>59</v>
      </c>
      <c r="AJ521" t="s">
        <v>59</v>
      </c>
      <c r="AK521" t="s">
        <v>59</v>
      </c>
      <c r="AL521" t="s">
        <v>60</v>
      </c>
      <c r="AM521" t="s">
        <v>59</v>
      </c>
      <c r="AN521" t="s">
        <v>59</v>
      </c>
      <c r="AO521" t="s">
        <v>59</v>
      </c>
      <c r="AP521" t="s">
        <v>1241</v>
      </c>
      <c r="AQ521" t="s">
        <v>426</v>
      </c>
      <c r="AR521" t="s">
        <v>64</v>
      </c>
      <c r="AS521" t="s">
        <v>122</v>
      </c>
      <c r="AT521" t="s">
        <v>123</v>
      </c>
      <c r="AU521" t="s">
        <v>387</v>
      </c>
      <c r="AW521" s="4">
        <f t="shared" si="283"/>
        <v>6</v>
      </c>
      <c r="AX521" s="4">
        <f t="shared" si="284"/>
        <v>4</v>
      </c>
      <c r="AY521" s="4">
        <f t="shared" si="285"/>
        <v>4</v>
      </c>
      <c r="AZ521" s="4">
        <f t="shared" si="286"/>
        <v>2</v>
      </c>
      <c r="BA521" s="4">
        <f t="shared" si="287"/>
        <v>4</v>
      </c>
      <c r="BB521" s="4">
        <f t="shared" si="288"/>
        <v>4</v>
      </c>
      <c r="BC521" s="4">
        <f t="shared" si="289"/>
        <v>4</v>
      </c>
      <c r="BD521" s="4">
        <f t="shared" si="290"/>
        <v>2</v>
      </c>
      <c r="BE521" s="4" t="str">
        <f t="shared" si="291"/>
        <v>0</v>
      </c>
      <c r="BF521" s="4">
        <f t="shared" si="292"/>
        <v>2</v>
      </c>
      <c r="BG521" s="4">
        <f t="shared" si="293"/>
        <v>4</v>
      </c>
      <c r="BH521" s="4">
        <f t="shared" si="294"/>
        <v>4</v>
      </c>
      <c r="BI521" s="4">
        <f t="shared" si="295"/>
        <v>4</v>
      </c>
      <c r="BJ521" s="4" t="str">
        <f t="shared" si="296"/>
        <v>0</v>
      </c>
      <c r="BK521" s="4" t="str">
        <f t="shared" si="297"/>
        <v>0</v>
      </c>
      <c r="BL521" s="4" t="str">
        <f t="shared" si="298"/>
        <v>0</v>
      </c>
      <c r="BM521" s="4" t="str">
        <f t="shared" si="299"/>
        <v>0</v>
      </c>
      <c r="BN521" s="4">
        <f t="shared" si="300"/>
        <v>4</v>
      </c>
      <c r="BO521" s="4">
        <f t="shared" si="301"/>
        <v>4</v>
      </c>
      <c r="BP521" s="4">
        <f t="shared" si="302"/>
        <v>4</v>
      </c>
      <c r="BQ521" s="4">
        <f t="shared" si="303"/>
        <v>6</v>
      </c>
      <c r="BR521" s="4">
        <f t="shared" si="304"/>
        <v>4</v>
      </c>
      <c r="BS521" s="4">
        <f t="shared" si="305"/>
        <v>4</v>
      </c>
      <c r="BT521" s="4">
        <f t="shared" si="306"/>
        <v>4</v>
      </c>
      <c r="BU521" s="4">
        <f t="shared" si="307"/>
        <v>4</v>
      </c>
      <c r="BV521" s="4" t="str">
        <f t="shared" si="308"/>
        <v>0</v>
      </c>
      <c r="BW521" s="4">
        <f t="shared" si="309"/>
        <v>6</v>
      </c>
      <c r="BX521" s="4">
        <f t="shared" si="310"/>
        <v>0</v>
      </c>
      <c r="BY521" s="4">
        <f t="shared" si="311"/>
        <v>0</v>
      </c>
      <c r="BZ521" s="37">
        <f t="shared" si="312"/>
        <v>84</v>
      </c>
      <c r="CA521" s="32" t="str">
        <f>VLOOKUP(J:J,'Agent wise'!A:C,3,0)</f>
        <v>Shakeer</v>
      </c>
      <c r="CB521" s="32">
        <f t="shared" si="313"/>
        <v>45939</v>
      </c>
      <c r="CC521" t="str">
        <f t="shared" si="314"/>
        <v>FC</v>
      </c>
      <c r="CE521" s="32"/>
      <c r="CJ521">
        <f t="shared" si="315"/>
        <v>9</v>
      </c>
      <c r="CK521">
        <f t="shared" si="316"/>
        <v>10</v>
      </c>
      <c r="CL521">
        <f t="shared" si="317"/>
        <v>2025</v>
      </c>
    </row>
    <row r="522" spans="1:90" ht="15" customHeight="1" x14ac:dyDescent="0.35">
      <c r="A522" s="40">
        <v>45910.944965277777</v>
      </c>
      <c r="B522" t="s">
        <v>106</v>
      </c>
      <c r="C522" t="s">
        <v>214</v>
      </c>
      <c r="D522" t="s">
        <v>107</v>
      </c>
      <c r="E522" s="32">
        <v>45939</v>
      </c>
      <c r="F522" t="s">
        <v>54</v>
      </c>
      <c r="G522" s="2">
        <v>45910</v>
      </c>
      <c r="H522">
        <v>8903701541</v>
      </c>
      <c r="I522">
        <v>134</v>
      </c>
      <c r="J522" t="s">
        <v>173</v>
      </c>
      <c r="K522" t="s">
        <v>71</v>
      </c>
      <c r="L522" t="s">
        <v>72</v>
      </c>
      <c r="M522" t="s">
        <v>59</v>
      </c>
      <c r="N522" t="s">
        <v>59</v>
      </c>
      <c r="O522" t="s">
        <v>60</v>
      </c>
      <c r="P522" t="s">
        <v>59</v>
      </c>
      <c r="Q522" t="s">
        <v>59</v>
      </c>
      <c r="R522" t="s">
        <v>59</v>
      </c>
      <c r="S522" t="s">
        <v>59</v>
      </c>
      <c r="T522" t="s">
        <v>59</v>
      </c>
      <c r="U522" t="s">
        <v>60</v>
      </c>
      <c r="V522" t="s">
        <v>59</v>
      </c>
      <c r="W522" t="s">
        <v>59</v>
      </c>
      <c r="X522" t="s">
        <v>61</v>
      </c>
      <c r="Y522" t="s">
        <v>59</v>
      </c>
      <c r="Z522" t="s">
        <v>59</v>
      </c>
      <c r="AA522" t="s">
        <v>60</v>
      </c>
      <c r="AB522" t="s">
        <v>60</v>
      </c>
      <c r="AC522" t="s">
        <v>60</v>
      </c>
      <c r="AD522" t="s">
        <v>61</v>
      </c>
      <c r="AE522" t="s">
        <v>59</v>
      </c>
      <c r="AF522" t="s">
        <v>61</v>
      </c>
      <c r="AG522" t="s">
        <v>59</v>
      </c>
      <c r="AH522" t="s">
        <v>61</v>
      </c>
      <c r="AI522" t="s">
        <v>61</v>
      </c>
      <c r="AJ522" t="s">
        <v>59</v>
      </c>
      <c r="AK522" t="s">
        <v>59</v>
      </c>
      <c r="AL522" t="s">
        <v>60</v>
      </c>
      <c r="AM522" t="s">
        <v>59</v>
      </c>
      <c r="AN522" t="s">
        <v>59</v>
      </c>
      <c r="AO522" t="s">
        <v>59</v>
      </c>
      <c r="AP522" t="s">
        <v>1242</v>
      </c>
      <c r="AQ522" t="s">
        <v>1243</v>
      </c>
      <c r="AR522" t="s">
        <v>64</v>
      </c>
      <c r="AS522" t="s">
        <v>397</v>
      </c>
      <c r="AT522" t="s">
        <v>398</v>
      </c>
      <c r="AU522" t="s">
        <v>219</v>
      </c>
      <c r="AW522" s="4">
        <f t="shared" si="283"/>
        <v>6</v>
      </c>
      <c r="AX522" s="4">
        <f t="shared" si="284"/>
        <v>4</v>
      </c>
      <c r="AY522" s="4" t="str">
        <f t="shared" si="285"/>
        <v>0</v>
      </c>
      <c r="AZ522" s="4">
        <f t="shared" si="286"/>
        <v>2</v>
      </c>
      <c r="BA522" s="4">
        <f t="shared" si="287"/>
        <v>4</v>
      </c>
      <c r="BB522" s="4">
        <f t="shared" si="288"/>
        <v>4</v>
      </c>
      <c r="BC522" s="4">
        <f t="shared" si="289"/>
        <v>4</v>
      </c>
      <c r="BD522" s="4">
        <f t="shared" si="290"/>
        <v>2</v>
      </c>
      <c r="BE522" s="4" t="str">
        <f t="shared" si="291"/>
        <v>0</v>
      </c>
      <c r="BF522" s="4">
        <f t="shared" si="292"/>
        <v>2</v>
      </c>
      <c r="BG522" s="4">
        <f t="shared" si="293"/>
        <v>4</v>
      </c>
      <c r="BH522" s="4">
        <f t="shared" si="294"/>
        <v>4</v>
      </c>
      <c r="BI522" s="4">
        <f t="shared" si="295"/>
        <v>4</v>
      </c>
      <c r="BJ522" s="4">
        <f t="shared" si="296"/>
        <v>2</v>
      </c>
      <c r="BK522" s="4" t="str">
        <f t="shared" si="297"/>
        <v>0</v>
      </c>
      <c r="BL522" s="4" t="str">
        <f t="shared" si="298"/>
        <v>0</v>
      </c>
      <c r="BM522" s="4" t="str">
        <f t="shared" si="299"/>
        <v>0</v>
      </c>
      <c r="BN522" s="4">
        <f t="shared" si="300"/>
        <v>4</v>
      </c>
      <c r="BO522" s="4">
        <f t="shared" si="301"/>
        <v>4</v>
      </c>
      <c r="BP522" s="4">
        <f t="shared" si="302"/>
        <v>4</v>
      </c>
      <c r="BQ522" s="4">
        <f t="shared" si="303"/>
        <v>6</v>
      </c>
      <c r="BR522" s="4">
        <f t="shared" si="304"/>
        <v>4</v>
      </c>
      <c r="BS522" s="4">
        <f t="shared" si="305"/>
        <v>4</v>
      </c>
      <c r="BT522" s="4">
        <f t="shared" si="306"/>
        <v>4</v>
      </c>
      <c r="BU522" s="4">
        <f t="shared" si="307"/>
        <v>4</v>
      </c>
      <c r="BV522" s="4" t="str">
        <f t="shared" si="308"/>
        <v>0</v>
      </c>
      <c r="BW522" s="4">
        <f t="shared" si="309"/>
        <v>6</v>
      </c>
      <c r="BX522" s="4">
        <f t="shared" si="310"/>
        <v>0</v>
      </c>
      <c r="BY522" s="4">
        <f t="shared" si="311"/>
        <v>0</v>
      </c>
      <c r="BZ522" s="37">
        <f t="shared" si="312"/>
        <v>82</v>
      </c>
      <c r="CA522" s="32" t="str">
        <f>VLOOKUP(J:J,'Agent wise'!A:C,3,0)</f>
        <v>Shakeer</v>
      </c>
      <c r="CB522" s="32">
        <f t="shared" si="313"/>
        <v>45939</v>
      </c>
      <c r="CC522" t="str">
        <f t="shared" si="314"/>
        <v>FC</v>
      </c>
      <c r="CE522" s="32"/>
      <c r="CJ522">
        <f t="shared" si="315"/>
        <v>9</v>
      </c>
      <c r="CK522">
        <f t="shared" si="316"/>
        <v>10</v>
      </c>
      <c r="CL522">
        <f t="shared" si="317"/>
        <v>2025</v>
      </c>
    </row>
    <row r="523" spans="1:90" ht="15" customHeight="1" x14ac:dyDescent="0.35">
      <c r="A523" s="40">
        <v>45910.948483796303</v>
      </c>
      <c r="B523" t="s">
        <v>106</v>
      </c>
      <c r="C523" t="s">
        <v>214</v>
      </c>
      <c r="D523" t="s">
        <v>107</v>
      </c>
      <c r="E523" s="32">
        <v>45939</v>
      </c>
      <c r="F523" t="s">
        <v>54</v>
      </c>
      <c r="G523" s="2">
        <v>45910</v>
      </c>
      <c r="H523">
        <v>9344233916</v>
      </c>
      <c r="I523">
        <v>146</v>
      </c>
      <c r="J523" t="s">
        <v>173</v>
      </c>
      <c r="K523" t="s">
        <v>71</v>
      </c>
      <c r="L523" t="s">
        <v>72</v>
      </c>
      <c r="M523" t="s">
        <v>59</v>
      </c>
      <c r="N523" t="s">
        <v>59</v>
      </c>
      <c r="O523" t="s">
        <v>59</v>
      </c>
      <c r="P523" t="s">
        <v>59</v>
      </c>
      <c r="Q523" t="s">
        <v>59</v>
      </c>
      <c r="R523" t="s">
        <v>59</v>
      </c>
      <c r="S523" t="s">
        <v>59</v>
      </c>
      <c r="T523" t="s">
        <v>59</v>
      </c>
      <c r="U523" t="s">
        <v>60</v>
      </c>
      <c r="V523" t="s">
        <v>59</v>
      </c>
      <c r="W523" t="s">
        <v>59</v>
      </c>
      <c r="X523" t="s">
        <v>61</v>
      </c>
      <c r="Y523" t="s">
        <v>59</v>
      </c>
      <c r="Z523" t="s">
        <v>60</v>
      </c>
      <c r="AA523" t="s">
        <v>60</v>
      </c>
      <c r="AB523" t="s">
        <v>60</v>
      </c>
      <c r="AC523" t="s">
        <v>60</v>
      </c>
      <c r="AD523" t="s">
        <v>61</v>
      </c>
      <c r="AE523" t="s">
        <v>59</v>
      </c>
      <c r="AF523" t="s">
        <v>61</v>
      </c>
      <c r="AG523" t="s">
        <v>59</v>
      </c>
      <c r="AH523" t="s">
        <v>61</v>
      </c>
      <c r="AI523" t="s">
        <v>61</v>
      </c>
      <c r="AJ523" t="s">
        <v>59</v>
      </c>
      <c r="AK523" t="s">
        <v>59</v>
      </c>
      <c r="AL523" t="s">
        <v>60</v>
      </c>
      <c r="AM523" t="s">
        <v>59</v>
      </c>
      <c r="AN523" t="s">
        <v>59</v>
      </c>
      <c r="AO523" t="s">
        <v>59</v>
      </c>
      <c r="AP523" t="s">
        <v>1244</v>
      </c>
      <c r="AQ523" t="s">
        <v>1245</v>
      </c>
      <c r="AR523" t="s">
        <v>64</v>
      </c>
      <c r="AS523" t="s">
        <v>255</v>
      </c>
      <c r="AT523" t="s">
        <v>256</v>
      </c>
      <c r="AU523" t="s">
        <v>593</v>
      </c>
      <c r="AW523" s="4">
        <f t="shared" si="283"/>
        <v>6</v>
      </c>
      <c r="AX523" s="4">
        <f t="shared" si="284"/>
        <v>4</v>
      </c>
      <c r="AY523" s="4">
        <f t="shared" si="285"/>
        <v>4</v>
      </c>
      <c r="AZ523" s="4">
        <f t="shared" si="286"/>
        <v>2</v>
      </c>
      <c r="BA523" s="4">
        <f t="shared" si="287"/>
        <v>4</v>
      </c>
      <c r="BB523" s="4">
        <f t="shared" si="288"/>
        <v>4</v>
      </c>
      <c r="BC523" s="4">
        <f t="shared" si="289"/>
        <v>4</v>
      </c>
      <c r="BD523" s="4">
        <f t="shared" si="290"/>
        <v>2</v>
      </c>
      <c r="BE523" s="4" t="str">
        <f t="shared" si="291"/>
        <v>0</v>
      </c>
      <c r="BF523" s="4">
        <f t="shared" si="292"/>
        <v>2</v>
      </c>
      <c r="BG523" s="4">
        <f t="shared" si="293"/>
        <v>4</v>
      </c>
      <c r="BH523" s="4">
        <f t="shared" si="294"/>
        <v>4</v>
      </c>
      <c r="BI523" s="4">
        <f t="shared" si="295"/>
        <v>4</v>
      </c>
      <c r="BJ523" s="4" t="str">
        <f t="shared" si="296"/>
        <v>0</v>
      </c>
      <c r="BK523" s="4" t="str">
        <f t="shared" si="297"/>
        <v>0</v>
      </c>
      <c r="BL523" s="4" t="str">
        <f t="shared" si="298"/>
        <v>0</v>
      </c>
      <c r="BM523" s="4" t="str">
        <f t="shared" si="299"/>
        <v>0</v>
      </c>
      <c r="BN523" s="4">
        <f t="shared" si="300"/>
        <v>4</v>
      </c>
      <c r="BO523" s="4">
        <f t="shared" si="301"/>
        <v>4</v>
      </c>
      <c r="BP523" s="4">
        <f t="shared" si="302"/>
        <v>4</v>
      </c>
      <c r="BQ523" s="4">
        <f t="shared" si="303"/>
        <v>6</v>
      </c>
      <c r="BR523" s="4">
        <f t="shared" si="304"/>
        <v>4</v>
      </c>
      <c r="BS523" s="4">
        <f t="shared" si="305"/>
        <v>4</v>
      </c>
      <c r="BT523" s="4">
        <f t="shared" si="306"/>
        <v>4</v>
      </c>
      <c r="BU523" s="4">
        <f t="shared" si="307"/>
        <v>4</v>
      </c>
      <c r="BV523" s="4" t="str">
        <f t="shared" si="308"/>
        <v>0</v>
      </c>
      <c r="BW523" s="4">
        <f t="shared" si="309"/>
        <v>6</v>
      </c>
      <c r="BX523" s="4">
        <f t="shared" si="310"/>
        <v>0</v>
      </c>
      <c r="BY523" s="4">
        <f t="shared" si="311"/>
        <v>0</v>
      </c>
      <c r="BZ523" s="37">
        <f t="shared" si="312"/>
        <v>84</v>
      </c>
      <c r="CA523" s="32" t="str">
        <f>VLOOKUP(J:J,'Agent wise'!A:C,3,0)</f>
        <v>Shakeer</v>
      </c>
      <c r="CB523" s="32">
        <f t="shared" si="313"/>
        <v>45939</v>
      </c>
      <c r="CC523" t="str">
        <f t="shared" si="314"/>
        <v>FC</v>
      </c>
      <c r="CE523" s="32"/>
      <c r="CJ523">
        <f t="shared" si="315"/>
        <v>9</v>
      </c>
      <c r="CK523">
        <f t="shared" si="316"/>
        <v>10</v>
      </c>
      <c r="CL523">
        <f t="shared" si="317"/>
        <v>2025</v>
      </c>
    </row>
    <row r="524" spans="1:90" ht="15" customHeight="1" x14ac:dyDescent="0.35">
      <c r="A524" s="40">
        <v>45910.950520833343</v>
      </c>
      <c r="B524" t="s">
        <v>106</v>
      </c>
      <c r="C524" t="s">
        <v>214</v>
      </c>
      <c r="D524" t="s">
        <v>107</v>
      </c>
      <c r="E524" s="32">
        <v>45939</v>
      </c>
      <c r="F524" t="s">
        <v>54</v>
      </c>
      <c r="G524" s="2">
        <v>45910</v>
      </c>
      <c r="H524">
        <v>9444881067</v>
      </c>
      <c r="I524">
        <v>126</v>
      </c>
      <c r="J524" t="s">
        <v>208</v>
      </c>
      <c r="K524" t="s">
        <v>71</v>
      </c>
      <c r="L524" t="s">
        <v>72</v>
      </c>
      <c r="M524" t="s">
        <v>59</v>
      </c>
      <c r="N524" t="s">
        <v>59</v>
      </c>
      <c r="O524" t="s">
        <v>59</v>
      </c>
      <c r="P524" t="s">
        <v>59</v>
      </c>
      <c r="Q524" t="s">
        <v>59</v>
      </c>
      <c r="R524" t="s">
        <v>59</v>
      </c>
      <c r="S524" t="s">
        <v>59</v>
      </c>
      <c r="T524" t="s">
        <v>59</v>
      </c>
      <c r="U524" t="s">
        <v>60</v>
      </c>
      <c r="V524" t="s">
        <v>59</v>
      </c>
      <c r="W524" t="s">
        <v>59</v>
      </c>
      <c r="X524" t="s">
        <v>61</v>
      </c>
      <c r="Y524" t="s">
        <v>59</v>
      </c>
      <c r="Z524" t="s">
        <v>59</v>
      </c>
      <c r="AA524" t="s">
        <v>59</v>
      </c>
      <c r="AB524" t="s">
        <v>59</v>
      </c>
      <c r="AC524" t="s">
        <v>60</v>
      </c>
      <c r="AD524" t="s">
        <v>61</v>
      </c>
      <c r="AE524" t="s">
        <v>59</v>
      </c>
      <c r="AF524" t="s">
        <v>61</v>
      </c>
      <c r="AG524" t="s">
        <v>59</v>
      </c>
      <c r="AH524" t="s">
        <v>61</v>
      </c>
      <c r="AI524" t="s">
        <v>59</v>
      </c>
      <c r="AJ524" t="s">
        <v>59</v>
      </c>
      <c r="AK524" t="s">
        <v>59</v>
      </c>
      <c r="AL524" t="s">
        <v>59</v>
      </c>
      <c r="AM524" t="s">
        <v>59</v>
      </c>
      <c r="AN524" t="s">
        <v>59</v>
      </c>
      <c r="AO524" t="s">
        <v>59</v>
      </c>
      <c r="AP524" t="s">
        <v>428</v>
      </c>
      <c r="AQ524" t="s">
        <v>1246</v>
      </c>
      <c r="AR524" t="s">
        <v>64</v>
      </c>
      <c r="AS524" t="s">
        <v>122</v>
      </c>
      <c r="AT524" t="s">
        <v>390</v>
      </c>
      <c r="AU524" t="s">
        <v>219</v>
      </c>
      <c r="AW524" s="4">
        <f t="shared" si="283"/>
        <v>6</v>
      </c>
      <c r="AX524" s="4">
        <f t="shared" si="284"/>
        <v>4</v>
      </c>
      <c r="AY524" s="4">
        <f t="shared" si="285"/>
        <v>4</v>
      </c>
      <c r="AZ524" s="4">
        <f t="shared" si="286"/>
        <v>2</v>
      </c>
      <c r="BA524" s="4">
        <f t="shared" si="287"/>
        <v>4</v>
      </c>
      <c r="BB524" s="4">
        <f t="shared" si="288"/>
        <v>4</v>
      </c>
      <c r="BC524" s="4">
        <f t="shared" si="289"/>
        <v>4</v>
      </c>
      <c r="BD524" s="4">
        <f t="shared" si="290"/>
        <v>2</v>
      </c>
      <c r="BE524" s="4" t="str">
        <f t="shared" si="291"/>
        <v>0</v>
      </c>
      <c r="BF524" s="4">
        <f t="shared" si="292"/>
        <v>2</v>
      </c>
      <c r="BG524" s="4">
        <f t="shared" si="293"/>
        <v>4</v>
      </c>
      <c r="BH524" s="4">
        <f t="shared" si="294"/>
        <v>4</v>
      </c>
      <c r="BI524" s="4">
        <f t="shared" si="295"/>
        <v>4</v>
      </c>
      <c r="BJ524" s="4">
        <f t="shared" si="296"/>
        <v>2</v>
      </c>
      <c r="BK524" s="4">
        <f t="shared" si="297"/>
        <v>4</v>
      </c>
      <c r="BL524" s="4">
        <f t="shared" si="298"/>
        <v>2</v>
      </c>
      <c r="BM524" s="4" t="str">
        <f t="shared" si="299"/>
        <v>0</v>
      </c>
      <c r="BN524" s="4">
        <f t="shared" si="300"/>
        <v>4</v>
      </c>
      <c r="BO524" s="4">
        <f t="shared" si="301"/>
        <v>4</v>
      </c>
      <c r="BP524" s="4">
        <f t="shared" si="302"/>
        <v>4</v>
      </c>
      <c r="BQ524" s="4">
        <f t="shared" si="303"/>
        <v>6</v>
      </c>
      <c r="BR524" s="4">
        <f t="shared" si="304"/>
        <v>4</v>
      </c>
      <c r="BS524" s="4">
        <f t="shared" si="305"/>
        <v>4</v>
      </c>
      <c r="BT524" s="4">
        <f t="shared" si="306"/>
        <v>4</v>
      </c>
      <c r="BU524" s="4">
        <f t="shared" si="307"/>
        <v>4</v>
      </c>
      <c r="BV524" s="4">
        <f t="shared" si="308"/>
        <v>0</v>
      </c>
      <c r="BW524" s="4">
        <f t="shared" si="309"/>
        <v>6</v>
      </c>
      <c r="BX524" s="4">
        <f t="shared" si="310"/>
        <v>0</v>
      </c>
      <c r="BY524" s="4">
        <f t="shared" si="311"/>
        <v>0</v>
      </c>
      <c r="BZ524" s="37">
        <f t="shared" si="312"/>
        <v>92</v>
      </c>
      <c r="CA524" s="32" t="str">
        <f>VLOOKUP(J:J,'Agent wise'!A:C,3,0)</f>
        <v>Adharsh</v>
      </c>
      <c r="CB524" s="32">
        <f t="shared" si="313"/>
        <v>45939</v>
      </c>
      <c r="CC524" t="str">
        <f t="shared" si="314"/>
        <v>Good</v>
      </c>
      <c r="CE524" s="32"/>
      <c r="CJ524">
        <f t="shared" si="315"/>
        <v>9</v>
      </c>
      <c r="CK524">
        <f t="shared" si="316"/>
        <v>10</v>
      </c>
      <c r="CL524">
        <f t="shared" si="317"/>
        <v>2025</v>
      </c>
    </row>
    <row r="525" spans="1:90" ht="15" customHeight="1" x14ac:dyDescent="0.35">
      <c r="A525" s="40">
        <v>45910.991585648153</v>
      </c>
      <c r="B525" t="s">
        <v>130</v>
      </c>
      <c r="C525" t="s">
        <v>214</v>
      </c>
      <c r="D525" t="s">
        <v>131</v>
      </c>
      <c r="E525" s="32">
        <v>45939</v>
      </c>
      <c r="F525" t="s">
        <v>54</v>
      </c>
      <c r="G525" s="2">
        <v>45910</v>
      </c>
      <c r="H525">
        <v>9446616538</v>
      </c>
      <c r="I525">
        <v>129</v>
      </c>
      <c r="J525" t="s">
        <v>291</v>
      </c>
      <c r="K525" t="s">
        <v>57</v>
      </c>
      <c r="L525" t="s">
        <v>58</v>
      </c>
      <c r="M525" t="s">
        <v>59</v>
      </c>
      <c r="N525" t="s">
        <v>59</v>
      </c>
      <c r="O525" t="s">
        <v>59</v>
      </c>
      <c r="P525" t="s">
        <v>59</v>
      </c>
      <c r="Q525" t="s">
        <v>59</v>
      </c>
      <c r="R525" t="s">
        <v>59</v>
      </c>
      <c r="S525" t="s">
        <v>59</v>
      </c>
      <c r="T525" t="s">
        <v>59</v>
      </c>
      <c r="U525" t="s">
        <v>60</v>
      </c>
      <c r="V525" t="s">
        <v>59</v>
      </c>
      <c r="W525" t="s">
        <v>59</v>
      </c>
      <c r="X525" t="s">
        <v>59</v>
      </c>
      <c r="Y525" t="s">
        <v>59</v>
      </c>
      <c r="Z525" t="s">
        <v>59</v>
      </c>
      <c r="AA525" t="s">
        <v>59</v>
      </c>
      <c r="AB525" t="s">
        <v>61</v>
      </c>
      <c r="AC525" t="s">
        <v>61</v>
      </c>
      <c r="AD525" t="s">
        <v>59</v>
      </c>
      <c r="AE525" t="s">
        <v>59</v>
      </c>
      <c r="AF525" t="s">
        <v>61</v>
      </c>
      <c r="AG525" t="s">
        <v>59</v>
      </c>
      <c r="AH525" t="s">
        <v>61</v>
      </c>
      <c r="AI525" t="s">
        <v>61</v>
      </c>
      <c r="AJ525" t="s">
        <v>59</v>
      </c>
      <c r="AK525" t="s">
        <v>59</v>
      </c>
      <c r="AL525" t="s">
        <v>60</v>
      </c>
      <c r="AM525" t="s">
        <v>59</v>
      </c>
      <c r="AN525" t="s">
        <v>59</v>
      </c>
      <c r="AO525" t="s">
        <v>59</v>
      </c>
      <c r="AP525" t="s">
        <v>150</v>
      </c>
      <c r="AQ525" s="1" t="s">
        <v>1247</v>
      </c>
      <c r="AR525" t="s">
        <v>64</v>
      </c>
      <c r="AS525" t="s">
        <v>171</v>
      </c>
      <c r="AT525" t="s">
        <v>190</v>
      </c>
      <c r="AU525" t="s">
        <v>219</v>
      </c>
      <c r="AW525" s="4">
        <f t="shared" si="283"/>
        <v>6</v>
      </c>
      <c r="AX525" s="4">
        <f t="shared" si="284"/>
        <v>4</v>
      </c>
      <c r="AY525" s="4">
        <f t="shared" si="285"/>
        <v>4</v>
      </c>
      <c r="AZ525" s="4">
        <f t="shared" si="286"/>
        <v>2</v>
      </c>
      <c r="BA525" s="4">
        <f t="shared" si="287"/>
        <v>4</v>
      </c>
      <c r="BB525" s="4">
        <f t="shared" si="288"/>
        <v>4</v>
      </c>
      <c r="BC525" s="4">
        <f t="shared" si="289"/>
        <v>4</v>
      </c>
      <c r="BD525" s="4">
        <f t="shared" si="290"/>
        <v>2</v>
      </c>
      <c r="BE525" s="4" t="str">
        <f t="shared" si="291"/>
        <v>0</v>
      </c>
      <c r="BF525" s="4">
        <f t="shared" si="292"/>
        <v>2</v>
      </c>
      <c r="BG525" s="4">
        <f t="shared" si="293"/>
        <v>4</v>
      </c>
      <c r="BH525" s="4">
        <f t="shared" si="294"/>
        <v>4</v>
      </c>
      <c r="BI525" s="4">
        <f t="shared" si="295"/>
        <v>4</v>
      </c>
      <c r="BJ525" s="4">
        <f t="shared" si="296"/>
        <v>2</v>
      </c>
      <c r="BK525" s="4">
        <f t="shared" si="297"/>
        <v>4</v>
      </c>
      <c r="BL525" s="4">
        <f t="shared" si="298"/>
        <v>2</v>
      </c>
      <c r="BM525" s="4">
        <f t="shared" si="299"/>
        <v>4</v>
      </c>
      <c r="BN525" s="4">
        <f t="shared" si="300"/>
        <v>4</v>
      </c>
      <c r="BO525" s="4">
        <f t="shared" si="301"/>
        <v>4</v>
      </c>
      <c r="BP525" s="4">
        <f t="shared" si="302"/>
        <v>4</v>
      </c>
      <c r="BQ525" s="4">
        <f t="shared" si="303"/>
        <v>6</v>
      </c>
      <c r="BR525" s="4">
        <f t="shared" si="304"/>
        <v>4</v>
      </c>
      <c r="BS525" s="4">
        <f t="shared" si="305"/>
        <v>4</v>
      </c>
      <c r="BT525" s="4">
        <f t="shared" si="306"/>
        <v>4</v>
      </c>
      <c r="BU525" s="4">
        <f t="shared" si="307"/>
        <v>4</v>
      </c>
      <c r="BV525" s="4" t="str">
        <f t="shared" si="308"/>
        <v>0</v>
      </c>
      <c r="BW525" s="4">
        <f t="shared" si="309"/>
        <v>6</v>
      </c>
      <c r="BX525" s="4">
        <f t="shared" si="310"/>
        <v>0</v>
      </c>
      <c r="BY525" s="4">
        <f t="shared" si="311"/>
        <v>0</v>
      </c>
      <c r="BZ525" s="37">
        <f t="shared" si="312"/>
        <v>96</v>
      </c>
      <c r="CA525" s="32" t="str">
        <f>VLOOKUP(J:J,'Agent wise'!A:C,3,0)</f>
        <v xml:space="preserve">Shiny </v>
      </c>
      <c r="CB525" s="32">
        <f t="shared" si="313"/>
        <v>45939</v>
      </c>
      <c r="CC525" t="str">
        <f t="shared" si="314"/>
        <v>Excellent</v>
      </c>
      <c r="CE525" s="32"/>
      <c r="CJ525">
        <f t="shared" si="315"/>
        <v>9</v>
      </c>
      <c r="CK525">
        <f t="shared" si="316"/>
        <v>10</v>
      </c>
      <c r="CL525">
        <f t="shared" si="317"/>
        <v>2025</v>
      </c>
    </row>
    <row r="526" spans="1:90" ht="15" customHeight="1" x14ac:dyDescent="0.35">
      <c r="A526" s="40">
        <v>45910.993541666663</v>
      </c>
      <c r="B526" t="s">
        <v>130</v>
      </c>
      <c r="C526" t="s">
        <v>214</v>
      </c>
      <c r="D526" t="s">
        <v>131</v>
      </c>
      <c r="E526" s="32">
        <v>45939</v>
      </c>
      <c r="F526" t="s">
        <v>54</v>
      </c>
      <c r="G526" s="2">
        <v>45910</v>
      </c>
      <c r="H526">
        <v>9447904891</v>
      </c>
      <c r="I526">
        <v>133</v>
      </c>
      <c r="J526" t="s">
        <v>873</v>
      </c>
      <c r="K526" t="s">
        <v>57</v>
      </c>
      <c r="L526" t="s">
        <v>58</v>
      </c>
      <c r="M526" t="s">
        <v>59</v>
      </c>
      <c r="N526" t="s">
        <v>59</v>
      </c>
      <c r="O526" t="s">
        <v>59</v>
      </c>
      <c r="P526" t="s">
        <v>59</v>
      </c>
      <c r="Q526" t="s">
        <v>59</v>
      </c>
      <c r="R526" t="s">
        <v>59</v>
      </c>
      <c r="S526" t="s">
        <v>59</v>
      </c>
      <c r="T526" t="s">
        <v>59</v>
      </c>
      <c r="U526" t="s">
        <v>60</v>
      </c>
      <c r="V526" t="s">
        <v>59</v>
      </c>
      <c r="W526" t="s">
        <v>59</v>
      </c>
      <c r="X526" t="s">
        <v>59</v>
      </c>
      <c r="Y526" t="s">
        <v>59</v>
      </c>
      <c r="Z526" t="s">
        <v>59</v>
      </c>
      <c r="AA526" t="s">
        <v>59</v>
      </c>
      <c r="AB526" t="s">
        <v>60</v>
      </c>
      <c r="AC526" t="s">
        <v>60</v>
      </c>
      <c r="AD526" t="s">
        <v>59</v>
      </c>
      <c r="AE526" t="s">
        <v>59</v>
      </c>
      <c r="AF526" t="s">
        <v>61</v>
      </c>
      <c r="AG526" t="s">
        <v>59</v>
      </c>
      <c r="AH526" t="s">
        <v>61</v>
      </c>
      <c r="AI526" t="s">
        <v>61</v>
      </c>
      <c r="AJ526" t="s">
        <v>59</v>
      </c>
      <c r="AK526" t="s">
        <v>59</v>
      </c>
      <c r="AL526" t="s">
        <v>60</v>
      </c>
      <c r="AM526" t="s">
        <v>59</v>
      </c>
      <c r="AN526" t="s">
        <v>59</v>
      </c>
      <c r="AO526" t="s">
        <v>59</v>
      </c>
      <c r="AP526" t="s">
        <v>1248</v>
      </c>
      <c r="AQ526" s="1" t="s">
        <v>1249</v>
      </c>
      <c r="AR526" t="s">
        <v>64</v>
      </c>
      <c r="AS526" t="s">
        <v>272</v>
      </c>
      <c r="AT526" t="s">
        <v>880</v>
      </c>
      <c r="AU526" t="s">
        <v>219</v>
      </c>
      <c r="AW526" s="4">
        <f t="shared" si="283"/>
        <v>6</v>
      </c>
      <c r="AX526" s="4">
        <f t="shared" si="284"/>
        <v>4</v>
      </c>
      <c r="AY526" s="4">
        <f t="shared" si="285"/>
        <v>4</v>
      </c>
      <c r="AZ526" s="4">
        <f t="shared" si="286"/>
        <v>2</v>
      </c>
      <c r="BA526" s="4">
        <f t="shared" si="287"/>
        <v>4</v>
      </c>
      <c r="BB526" s="4">
        <f t="shared" si="288"/>
        <v>4</v>
      </c>
      <c r="BC526" s="4">
        <f t="shared" si="289"/>
        <v>4</v>
      </c>
      <c r="BD526" s="4">
        <f t="shared" si="290"/>
        <v>2</v>
      </c>
      <c r="BE526" s="4" t="str">
        <f t="shared" si="291"/>
        <v>0</v>
      </c>
      <c r="BF526" s="4">
        <f t="shared" si="292"/>
        <v>2</v>
      </c>
      <c r="BG526" s="4">
        <f t="shared" si="293"/>
        <v>4</v>
      </c>
      <c r="BH526" s="4">
        <f t="shared" si="294"/>
        <v>4</v>
      </c>
      <c r="BI526" s="4">
        <f t="shared" si="295"/>
        <v>4</v>
      </c>
      <c r="BJ526" s="4">
        <f t="shared" si="296"/>
        <v>2</v>
      </c>
      <c r="BK526" s="4">
        <f t="shared" si="297"/>
        <v>4</v>
      </c>
      <c r="BL526" s="4" t="str">
        <f t="shared" si="298"/>
        <v>0</v>
      </c>
      <c r="BM526" s="4" t="str">
        <f t="shared" si="299"/>
        <v>0</v>
      </c>
      <c r="BN526" s="4">
        <f t="shared" si="300"/>
        <v>4</v>
      </c>
      <c r="BO526" s="4">
        <f t="shared" si="301"/>
        <v>4</v>
      </c>
      <c r="BP526" s="4">
        <f t="shared" si="302"/>
        <v>4</v>
      </c>
      <c r="BQ526" s="4">
        <f t="shared" si="303"/>
        <v>6</v>
      </c>
      <c r="BR526" s="4">
        <f t="shared" si="304"/>
        <v>4</v>
      </c>
      <c r="BS526" s="4">
        <f t="shared" si="305"/>
        <v>4</v>
      </c>
      <c r="BT526" s="4">
        <f t="shared" si="306"/>
        <v>4</v>
      </c>
      <c r="BU526" s="4">
        <f t="shared" si="307"/>
        <v>4</v>
      </c>
      <c r="BV526" s="4" t="str">
        <f t="shared" si="308"/>
        <v>0</v>
      </c>
      <c r="BW526" s="4">
        <f t="shared" si="309"/>
        <v>6</v>
      </c>
      <c r="BX526" s="4">
        <f t="shared" si="310"/>
        <v>0</v>
      </c>
      <c r="BY526" s="4">
        <f t="shared" si="311"/>
        <v>0</v>
      </c>
      <c r="BZ526" s="37">
        <f t="shared" si="312"/>
        <v>90</v>
      </c>
      <c r="CA526" s="32" t="str">
        <f>VLOOKUP(J:J,'Agent wise'!A:C,3,0)</f>
        <v xml:space="preserve">Shiny </v>
      </c>
      <c r="CB526" s="32">
        <f t="shared" si="313"/>
        <v>45939</v>
      </c>
      <c r="CC526" t="str">
        <f t="shared" si="314"/>
        <v>Good</v>
      </c>
      <c r="CE526" s="32"/>
      <c r="CJ526">
        <f t="shared" si="315"/>
        <v>9</v>
      </c>
      <c r="CK526">
        <f t="shared" si="316"/>
        <v>10</v>
      </c>
      <c r="CL526">
        <f t="shared" si="317"/>
        <v>2025</v>
      </c>
    </row>
    <row r="527" spans="1:90" ht="15" customHeight="1" x14ac:dyDescent="0.35">
      <c r="A527" s="40">
        <v>45910.996157407397</v>
      </c>
      <c r="B527" t="s">
        <v>130</v>
      </c>
      <c r="C527" t="s">
        <v>214</v>
      </c>
      <c r="D527" t="s">
        <v>131</v>
      </c>
      <c r="E527" s="32">
        <v>45939</v>
      </c>
      <c r="F527" t="s">
        <v>54</v>
      </c>
      <c r="G527" s="2">
        <v>45910</v>
      </c>
      <c r="H527">
        <v>9442730189</v>
      </c>
      <c r="I527">
        <v>128</v>
      </c>
      <c r="J527" t="s">
        <v>258</v>
      </c>
      <c r="K527" t="s">
        <v>71</v>
      </c>
      <c r="L527" t="s">
        <v>72</v>
      </c>
      <c r="M527" t="s">
        <v>59</v>
      </c>
      <c r="N527" t="s">
        <v>59</v>
      </c>
      <c r="O527" t="s">
        <v>59</v>
      </c>
      <c r="P527" t="s">
        <v>59</v>
      </c>
      <c r="Q527" t="s">
        <v>59</v>
      </c>
      <c r="R527" t="s">
        <v>59</v>
      </c>
      <c r="S527" t="s">
        <v>59</v>
      </c>
      <c r="T527" t="s">
        <v>59</v>
      </c>
      <c r="U527" t="s">
        <v>60</v>
      </c>
      <c r="V527" t="s">
        <v>59</v>
      </c>
      <c r="W527" t="s">
        <v>59</v>
      </c>
      <c r="X527" t="s">
        <v>59</v>
      </c>
      <c r="Y527" t="s">
        <v>59</v>
      </c>
      <c r="Z527" t="s">
        <v>59</v>
      </c>
      <c r="AA527" t="s">
        <v>59</v>
      </c>
      <c r="AB527" t="s">
        <v>60</v>
      </c>
      <c r="AC527" t="s">
        <v>61</v>
      </c>
      <c r="AD527" t="s">
        <v>60</v>
      </c>
      <c r="AE527" t="s">
        <v>59</v>
      </c>
      <c r="AF527" t="s">
        <v>61</v>
      </c>
      <c r="AG527" t="s">
        <v>59</v>
      </c>
      <c r="AH527" t="s">
        <v>61</v>
      </c>
      <c r="AI527" t="s">
        <v>61</v>
      </c>
      <c r="AJ527" t="s">
        <v>59</v>
      </c>
      <c r="AK527" t="s">
        <v>59</v>
      </c>
      <c r="AL527" t="s">
        <v>60</v>
      </c>
      <c r="AM527" t="s">
        <v>59</v>
      </c>
      <c r="AN527" t="s">
        <v>59</v>
      </c>
      <c r="AO527" t="s">
        <v>59</v>
      </c>
      <c r="AP527" s="1" t="s">
        <v>1250</v>
      </c>
      <c r="AQ527" s="1" t="s">
        <v>161</v>
      </c>
      <c r="AR527" t="s">
        <v>64</v>
      </c>
      <c r="AS527" t="s">
        <v>135</v>
      </c>
      <c r="AT527" t="s">
        <v>1251</v>
      </c>
      <c r="AU527" t="s">
        <v>219</v>
      </c>
      <c r="AW527" s="4">
        <f t="shared" si="283"/>
        <v>6</v>
      </c>
      <c r="AX527" s="4">
        <f t="shared" si="284"/>
        <v>4</v>
      </c>
      <c r="AY527" s="4">
        <f t="shared" si="285"/>
        <v>4</v>
      </c>
      <c r="AZ527" s="4">
        <f t="shared" si="286"/>
        <v>2</v>
      </c>
      <c r="BA527" s="4">
        <f t="shared" si="287"/>
        <v>4</v>
      </c>
      <c r="BB527" s="4">
        <f t="shared" si="288"/>
        <v>4</v>
      </c>
      <c r="BC527" s="4">
        <f t="shared" si="289"/>
        <v>4</v>
      </c>
      <c r="BD527" s="4">
        <f t="shared" si="290"/>
        <v>2</v>
      </c>
      <c r="BE527" s="4" t="str">
        <f t="shared" si="291"/>
        <v>0</v>
      </c>
      <c r="BF527" s="4">
        <f t="shared" si="292"/>
        <v>2</v>
      </c>
      <c r="BG527" s="4">
        <f t="shared" si="293"/>
        <v>4</v>
      </c>
      <c r="BH527" s="4">
        <f t="shared" si="294"/>
        <v>4</v>
      </c>
      <c r="BI527" s="4">
        <f t="shared" si="295"/>
        <v>4</v>
      </c>
      <c r="BJ527" s="4">
        <f t="shared" si="296"/>
        <v>2</v>
      </c>
      <c r="BK527" s="4">
        <f t="shared" si="297"/>
        <v>4</v>
      </c>
      <c r="BL527" s="4" t="str">
        <f t="shared" si="298"/>
        <v>0</v>
      </c>
      <c r="BM527" s="4">
        <f t="shared" si="299"/>
        <v>4</v>
      </c>
      <c r="BN527" s="4" t="str">
        <f t="shared" si="300"/>
        <v>0</v>
      </c>
      <c r="BO527" s="4">
        <f t="shared" si="301"/>
        <v>4</v>
      </c>
      <c r="BP527" s="4">
        <f t="shared" si="302"/>
        <v>4</v>
      </c>
      <c r="BQ527" s="4">
        <f t="shared" si="303"/>
        <v>6</v>
      </c>
      <c r="BR527" s="4">
        <f t="shared" si="304"/>
        <v>4</v>
      </c>
      <c r="BS527" s="4">
        <f t="shared" si="305"/>
        <v>4</v>
      </c>
      <c r="BT527" s="4">
        <f t="shared" si="306"/>
        <v>4</v>
      </c>
      <c r="BU527" s="4">
        <f t="shared" si="307"/>
        <v>4</v>
      </c>
      <c r="BV527" s="4" t="str">
        <f t="shared" si="308"/>
        <v>0</v>
      </c>
      <c r="BW527" s="4">
        <f t="shared" si="309"/>
        <v>6</v>
      </c>
      <c r="BX527" s="4">
        <f t="shared" si="310"/>
        <v>0</v>
      </c>
      <c r="BY527" s="4">
        <f t="shared" si="311"/>
        <v>0</v>
      </c>
      <c r="BZ527" s="37">
        <f t="shared" si="312"/>
        <v>90</v>
      </c>
      <c r="CA527" s="32" t="str">
        <f>VLOOKUP(J:J,'Agent wise'!A:C,3,0)</f>
        <v xml:space="preserve">Shiny </v>
      </c>
      <c r="CB527" s="32">
        <f t="shared" si="313"/>
        <v>45939</v>
      </c>
      <c r="CC527" t="str">
        <f t="shared" si="314"/>
        <v>Good</v>
      </c>
      <c r="CE527" s="32"/>
      <c r="CJ527">
        <f t="shared" si="315"/>
        <v>9</v>
      </c>
      <c r="CK527">
        <f t="shared" si="316"/>
        <v>10</v>
      </c>
      <c r="CL527">
        <f t="shared" si="317"/>
        <v>2025</v>
      </c>
    </row>
    <row r="528" spans="1:90" ht="15" customHeight="1" x14ac:dyDescent="0.35">
      <c r="A528" s="40">
        <v>45910.998738425929</v>
      </c>
      <c r="B528" t="s">
        <v>130</v>
      </c>
      <c r="C528" t="s">
        <v>214</v>
      </c>
      <c r="D528" t="s">
        <v>131</v>
      </c>
      <c r="E528" s="32">
        <v>45939</v>
      </c>
      <c r="F528" t="s">
        <v>54</v>
      </c>
      <c r="G528" s="2">
        <v>45910</v>
      </c>
      <c r="H528">
        <v>9514201404</v>
      </c>
      <c r="I528">
        <v>129</v>
      </c>
      <c r="J528" t="s">
        <v>749</v>
      </c>
      <c r="K528" t="s">
        <v>71</v>
      </c>
      <c r="L528" t="s">
        <v>72</v>
      </c>
      <c r="M528" t="s">
        <v>59</v>
      </c>
      <c r="N528" t="s">
        <v>59</v>
      </c>
      <c r="O528" t="s">
        <v>59</v>
      </c>
      <c r="P528" t="s">
        <v>59</v>
      </c>
      <c r="Q528" t="s">
        <v>59</v>
      </c>
      <c r="R528" t="s">
        <v>59</v>
      </c>
      <c r="S528" t="s">
        <v>59</v>
      </c>
      <c r="T528" t="s">
        <v>59</v>
      </c>
      <c r="U528" t="s">
        <v>60</v>
      </c>
      <c r="V528" t="s">
        <v>59</v>
      </c>
      <c r="W528" t="s">
        <v>59</v>
      </c>
      <c r="X528" t="s">
        <v>59</v>
      </c>
      <c r="Y528" t="s">
        <v>59</v>
      </c>
      <c r="Z528" t="s">
        <v>59</v>
      </c>
      <c r="AA528" t="s">
        <v>59</v>
      </c>
      <c r="AB528" t="s">
        <v>59</v>
      </c>
      <c r="AC528" t="s">
        <v>60</v>
      </c>
      <c r="AD528" t="s">
        <v>59</v>
      </c>
      <c r="AE528" t="s">
        <v>59</v>
      </c>
      <c r="AF528" t="s">
        <v>61</v>
      </c>
      <c r="AG528" t="s">
        <v>59</v>
      </c>
      <c r="AH528" t="s">
        <v>61</v>
      </c>
      <c r="AI528" t="s">
        <v>61</v>
      </c>
      <c r="AJ528" t="s">
        <v>59</v>
      </c>
      <c r="AK528" t="s">
        <v>59</v>
      </c>
      <c r="AL528" t="s">
        <v>60</v>
      </c>
      <c r="AM528" t="s">
        <v>59</v>
      </c>
      <c r="AN528" t="s">
        <v>59</v>
      </c>
      <c r="AO528" t="s">
        <v>59</v>
      </c>
      <c r="AP528" t="s">
        <v>678</v>
      </c>
      <c r="AQ528" s="1" t="s">
        <v>1252</v>
      </c>
      <c r="AR528" t="s">
        <v>64</v>
      </c>
      <c r="AS528" t="s">
        <v>89</v>
      </c>
      <c r="AT528" t="s">
        <v>293</v>
      </c>
      <c r="AU528" t="s">
        <v>219</v>
      </c>
      <c r="AW528" s="4">
        <f t="shared" si="283"/>
        <v>6</v>
      </c>
      <c r="AX528" s="4">
        <f t="shared" si="284"/>
        <v>4</v>
      </c>
      <c r="AY528" s="4">
        <f t="shared" si="285"/>
        <v>4</v>
      </c>
      <c r="AZ528" s="4">
        <f t="shared" si="286"/>
        <v>2</v>
      </c>
      <c r="BA528" s="4">
        <f t="shared" si="287"/>
        <v>4</v>
      </c>
      <c r="BB528" s="4">
        <f t="shared" si="288"/>
        <v>4</v>
      </c>
      <c r="BC528" s="4">
        <f t="shared" si="289"/>
        <v>4</v>
      </c>
      <c r="BD528" s="4">
        <f t="shared" si="290"/>
        <v>2</v>
      </c>
      <c r="BE528" s="4" t="str">
        <f t="shared" si="291"/>
        <v>0</v>
      </c>
      <c r="BF528" s="4">
        <f t="shared" si="292"/>
        <v>2</v>
      </c>
      <c r="BG528" s="4">
        <f t="shared" si="293"/>
        <v>4</v>
      </c>
      <c r="BH528" s="4">
        <f t="shared" si="294"/>
        <v>4</v>
      </c>
      <c r="BI528" s="4">
        <f t="shared" si="295"/>
        <v>4</v>
      </c>
      <c r="BJ528" s="4">
        <f t="shared" si="296"/>
        <v>2</v>
      </c>
      <c r="BK528" s="4">
        <f t="shared" si="297"/>
        <v>4</v>
      </c>
      <c r="BL528" s="4">
        <f t="shared" si="298"/>
        <v>2</v>
      </c>
      <c r="BM528" s="4" t="str">
        <f t="shared" si="299"/>
        <v>0</v>
      </c>
      <c r="BN528" s="4">
        <f t="shared" si="300"/>
        <v>4</v>
      </c>
      <c r="BO528" s="4">
        <f t="shared" si="301"/>
        <v>4</v>
      </c>
      <c r="BP528" s="4">
        <f t="shared" si="302"/>
        <v>4</v>
      </c>
      <c r="BQ528" s="4">
        <f t="shared" si="303"/>
        <v>6</v>
      </c>
      <c r="BR528" s="4">
        <f t="shared" si="304"/>
        <v>4</v>
      </c>
      <c r="BS528" s="4">
        <f t="shared" si="305"/>
        <v>4</v>
      </c>
      <c r="BT528" s="4">
        <f t="shared" si="306"/>
        <v>4</v>
      </c>
      <c r="BU528" s="4">
        <f t="shared" si="307"/>
        <v>4</v>
      </c>
      <c r="BV528" s="4" t="str">
        <f t="shared" si="308"/>
        <v>0</v>
      </c>
      <c r="BW528" s="4">
        <f t="shared" si="309"/>
        <v>6</v>
      </c>
      <c r="BX528" s="4">
        <f t="shared" si="310"/>
        <v>0</v>
      </c>
      <c r="BY528" s="4">
        <f t="shared" si="311"/>
        <v>0</v>
      </c>
      <c r="BZ528" s="37">
        <f t="shared" si="312"/>
        <v>92</v>
      </c>
      <c r="CA528" s="32" t="str">
        <f>VLOOKUP(J:J,'Agent wise'!A:C,3,0)</f>
        <v xml:space="preserve">Shiny </v>
      </c>
      <c r="CB528" s="32">
        <f t="shared" si="313"/>
        <v>45939</v>
      </c>
      <c r="CC528" t="str">
        <f t="shared" si="314"/>
        <v>Good</v>
      </c>
      <c r="CE528" s="32"/>
      <c r="CJ528">
        <f t="shared" si="315"/>
        <v>9</v>
      </c>
      <c r="CK528">
        <f t="shared" si="316"/>
        <v>10</v>
      </c>
      <c r="CL528">
        <f t="shared" si="317"/>
        <v>2025</v>
      </c>
    </row>
    <row r="529" spans="1:90" ht="15" customHeight="1" x14ac:dyDescent="0.35">
      <c r="A529" s="40">
        <v>45940.002708333333</v>
      </c>
      <c r="B529" t="s">
        <v>130</v>
      </c>
      <c r="C529" t="s">
        <v>214</v>
      </c>
      <c r="D529" t="s">
        <v>131</v>
      </c>
      <c r="E529" s="32">
        <v>45939</v>
      </c>
      <c r="F529" t="s">
        <v>54</v>
      </c>
      <c r="G529" s="2">
        <v>45910</v>
      </c>
      <c r="H529">
        <v>7034244033</v>
      </c>
      <c r="I529">
        <v>133</v>
      </c>
      <c r="J529" t="s">
        <v>238</v>
      </c>
      <c r="K529" t="s">
        <v>57</v>
      </c>
      <c r="L529" t="s">
        <v>58</v>
      </c>
      <c r="M529" t="s">
        <v>59</v>
      </c>
      <c r="N529" t="s">
        <v>59</v>
      </c>
      <c r="O529" t="s">
        <v>59</v>
      </c>
      <c r="P529" t="s">
        <v>59</v>
      </c>
      <c r="Q529" t="s">
        <v>59</v>
      </c>
      <c r="R529" t="s">
        <v>59</v>
      </c>
      <c r="S529" t="s">
        <v>59</v>
      </c>
      <c r="T529" t="s">
        <v>59</v>
      </c>
      <c r="U529" t="s">
        <v>60</v>
      </c>
      <c r="V529" t="s">
        <v>59</v>
      </c>
      <c r="W529" t="s">
        <v>59</v>
      </c>
      <c r="X529" t="s">
        <v>59</v>
      </c>
      <c r="Y529" t="s">
        <v>59</v>
      </c>
      <c r="Z529" t="s">
        <v>59</v>
      </c>
      <c r="AA529" t="s">
        <v>60</v>
      </c>
      <c r="AB529" t="s">
        <v>60</v>
      </c>
      <c r="AC529" t="s">
        <v>60</v>
      </c>
      <c r="AD529" t="s">
        <v>59</v>
      </c>
      <c r="AE529" t="s">
        <v>59</v>
      </c>
      <c r="AF529" t="s">
        <v>61</v>
      </c>
      <c r="AG529" t="s">
        <v>60</v>
      </c>
      <c r="AH529" t="s">
        <v>61</v>
      </c>
      <c r="AI529" t="s">
        <v>61</v>
      </c>
      <c r="AJ529" t="s">
        <v>59</v>
      </c>
      <c r="AK529" t="s">
        <v>59</v>
      </c>
      <c r="AL529" t="s">
        <v>60</v>
      </c>
      <c r="AM529" t="s">
        <v>59</v>
      </c>
      <c r="AN529" t="s">
        <v>59</v>
      </c>
      <c r="AO529" t="s">
        <v>59</v>
      </c>
      <c r="AP529" t="s">
        <v>1253</v>
      </c>
      <c r="AQ529" s="1" t="s">
        <v>842</v>
      </c>
      <c r="AR529" t="s">
        <v>64</v>
      </c>
      <c r="AS529" t="s">
        <v>89</v>
      </c>
      <c r="AT529" t="s">
        <v>84</v>
      </c>
      <c r="AU529" t="s">
        <v>593</v>
      </c>
      <c r="AW529" s="4">
        <f t="shared" si="283"/>
        <v>6</v>
      </c>
      <c r="AX529" s="4">
        <f t="shared" si="284"/>
        <v>4</v>
      </c>
      <c r="AY529" s="4">
        <f t="shared" si="285"/>
        <v>4</v>
      </c>
      <c r="AZ529" s="4">
        <f t="shared" si="286"/>
        <v>2</v>
      </c>
      <c r="BA529" s="4">
        <f t="shared" si="287"/>
        <v>4</v>
      </c>
      <c r="BB529" s="4">
        <f t="shared" si="288"/>
        <v>4</v>
      </c>
      <c r="BC529" s="4">
        <f t="shared" si="289"/>
        <v>4</v>
      </c>
      <c r="BD529" s="4">
        <f t="shared" si="290"/>
        <v>2</v>
      </c>
      <c r="BE529" s="4" t="str">
        <f t="shared" si="291"/>
        <v>0</v>
      </c>
      <c r="BF529" s="4">
        <f t="shared" si="292"/>
        <v>2</v>
      </c>
      <c r="BG529" s="4">
        <f t="shared" si="293"/>
        <v>4</v>
      </c>
      <c r="BH529" s="4">
        <f t="shared" si="294"/>
        <v>4</v>
      </c>
      <c r="BI529" s="4">
        <f t="shared" si="295"/>
        <v>4</v>
      </c>
      <c r="BJ529" s="4">
        <f t="shared" si="296"/>
        <v>2</v>
      </c>
      <c r="BK529" s="4" t="str">
        <f t="shared" si="297"/>
        <v>0</v>
      </c>
      <c r="BL529" s="4" t="str">
        <f t="shared" si="298"/>
        <v>0</v>
      </c>
      <c r="BM529" s="4" t="str">
        <f t="shared" si="299"/>
        <v>0</v>
      </c>
      <c r="BN529" s="4">
        <f t="shared" si="300"/>
        <v>4</v>
      </c>
      <c r="BO529" s="4">
        <f t="shared" si="301"/>
        <v>4</v>
      </c>
      <c r="BP529" s="4">
        <f t="shared" si="302"/>
        <v>4</v>
      </c>
      <c r="BQ529" s="4" t="str">
        <f t="shared" si="303"/>
        <v>0</v>
      </c>
      <c r="BR529" s="4">
        <f t="shared" si="304"/>
        <v>4</v>
      </c>
      <c r="BS529" s="4">
        <f t="shared" si="305"/>
        <v>4</v>
      </c>
      <c r="BT529" s="4">
        <f t="shared" si="306"/>
        <v>4</v>
      </c>
      <c r="BU529" s="4">
        <f t="shared" si="307"/>
        <v>4</v>
      </c>
      <c r="BV529" s="4" t="str">
        <f t="shared" si="308"/>
        <v>0</v>
      </c>
      <c r="BW529" s="4">
        <f t="shared" si="309"/>
        <v>6</v>
      </c>
      <c r="BX529" s="4">
        <f t="shared" si="310"/>
        <v>0</v>
      </c>
      <c r="BY529" s="4">
        <f t="shared" si="311"/>
        <v>0</v>
      </c>
      <c r="BZ529" s="37">
        <f t="shared" si="312"/>
        <v>80</v>
      </c>
      <c r="CA529" s="32" t="str">
        <f>VLOOKUP(J:J,'Agent wise'!A:C,3,0)</f>
        <v xml:space="preserve">Shiny </v>
      </c>
      <c r="CB529" s="32">
        <f t="shared" si="313"/>
        <v>45939</v>
      </c>
      <c r="CC529" t="str">
        <f t="shared" si="314"/>
        <v>FC</v>
      </c>
      <c r="CE529" s="32"/>
      <c r="CJ529">
        <f t="shared" si="315"/>
        <v>9</v>
      </c>
      <c r="CK529">
        <f t="shared" si="316"/>
        <v>10</v>
      </c>
      <c r="CL529">
        <f t="shared" si="317"/>
        <v>2025</v>
      </c>
    </row>
    <row r="530" spans="1:90" ht="15" customHeight="1" x14ac:dyDescent="0.35">
      <c r="A530" s="40">
        <v>45940.384363425917</v>
      </c>
      <c r="B530" t="s">
        <v>250</v>
      </c>
      <c r="C530" t="s">
        <v>214</v>
      </c>
      <c r="D530" t="s">
        <v>251</v>
      </c>
      <c r="E530" s="32">
        <v>45940</v>
      </c>
      <c r="F530" t="s">
        <v>54</v>
      </c>
      <c r="G530" s="2">
        <v>45757</v>
      </c>
      <c r="H530">
        <v>9385323082</v>
      </c>
      <c r="I530">
        <v>241</v>
      </c>
      <c r="J530" t="s">
        <v>274</v>
      </c>
      <c r="K530" t="s">
        <v>71</v>
      </c>
      <c r="L530" t="s">
        <v>72</v>
      </c>
      <c r="M530" t="s">
        <v>59</v>
      </c>
      <c r="N530" t="s">
        <v>59</v>
      </c>
      <c r="O530" t="s">
        <v>59</v>
      </c>
      <c r="P530" t="s">
        <v>59</v>
      </c>
      <c r="Q530" t="s">
        <v>59</v>
      </c>
      <c r="R530" t="s">
        <v>59</v>
      </c>
      <c r="S530" t="s">
        <v>59</v>
      </c>
      <c r="T530" t="s">
        <v>59</v>
      </c>
      <c r="U530" t="s">
        <v>60</v>
      </c>
      <c r="V530" t="s">
        <v>59</v>
      </c>
      <c r="W530" t="s">
        <v>59</v>
      </c>
      <c r="X530" t="s">
        <v>59</v>
      </c>
      <c r="Y530" t="s">
        <v>59</v>
      </c>
      <c r="Z530" t="s">
        <v>59</v>
      </c>
      <c r="AA530" t="s">
        <v>59</v>
      </c>
      <c r="AB530" t="s">
        <v>59</v>
      </c>
      <c r="AC530" t="s">
        <v>59</v>
      </c>
      <c r="AD530" t="s">
        <v>59</v>
      </c>
      <c r="AE530" t="s">
        <v>59</v>
      </c>
      <c r="AF530" t="s">
        <v>59</v>
      </c>
      <c r="AG530" t="s">
        <v>59</v>
      </c>
      <c r="AH530" t="s">
        <v>61</v>
      </c>
      <c r="AI530" t="s">
        <v>61</v>
      </c>
      <c r="AJ530" t="s">
        <v>59</v>
      </c>
      <c r="AK530" t="s">
        <v>59</v>
      </c>
      <c r="AL530" t="s">
        <v>60</v>
      </c>
      <c r="AM530" t="s">
        <v>59</v>
      </c>
      <c r="AN530" t="s">
        <v>59</v>
      </c>
      <c r="AO530" t="s">
        <v>59</v>
      </c>
      <c r="AP530" t="s">
        <v>1254</v>
      </c>
      <c r="AQ530" t="s">
        <v>1255</v>
      </c>
      <c r="AR530" t="s">
        <v>64</v>
      </c>
      <c r="AS530" t="s">
        <v>602</v>
      </c>
      <c r="AT530" t="s">
        <v>603</v>
      </c>
      <c r="AU530" t="s">
        <v>219</v>
      </c>
      <c r="AW530" s="4">
        <f t="shared" si="283"/>
        <v>6</v>
      </c>
      <c r="AX530" s="4">
        <f t="shared" si="284"/>
        <v>4</v>
      </c>
      <c r="AY530" s="4">
        <f t="shared" si="285"/>
        <v>4</v>
      </c>
      <c r="AZ530" s="4">
        <f t="shared" si="286"/>
        <v>2</v>
      </c>
      <c r="BA530" s="4">
        <f t="shared" si="287"/>
        <v>4</v>
      </c>
      <c r="BB530" s="4">
        <f t="shared" si="288"/>
        <v>4</v>
      </c>
      <c r="BC530" s="4">
        <f t="shared" si="289"/>
        <v>4</v>
      </c>
      <c r="BD530" s="4">
        <f t="shared" si="290"/>
        <v>2</v>
      </c>
      <c r="BE530" s="4" t="str">
        <f t="shared" si="291"/>
        <v>0</v>
      </c>
      <c r="BF530" s="4">
        <f t="shared" si="292"/>
        <v>2</v>
      </c>
      <c r="BG530" s="4">
        <f t="shared" si="293"/>
        <v>4</v>
      </c>
      <c r="BH530" s="4">
        <f t="shared" si="294"/>
        <v>4</v>
      </c>
      <c r="BI530" s="4">
        <f t="shared" si="295"/>
        <v>4</v>
      </c>
      <c r="BJ530" s="4">
        <f t="shared" si="296"/>
        <v>2</v>
      </c>
      <c r="BK530" s="4">
        <f t="shared" si="297"/>
        <v>4</v>
      </c>
      <c r="BL530" s="4">
        <f t="shared" si="298"/>
        <v>2</v>
      </c>
      <c r="BM530" s="4">
        <f t="shared" si="299"/>
        <v>4</v>
      </c>
      <c r="BN530" s="4">
        <f t="shared" si="300"/>
        <v>4</v>
      </c>
      <c r="BO530" s="4">
        <f t="shared" si="301"/>
        <v>4</v>
      </c>
      <c r="BP530" s="4">
        <f t="shared" si="302"/>
        <v>4</v>
      </c>
      <c r="BQ530" s="4">
        <f t="shared" si="303"/>
        <v>6</v>
      </c>
      <c r="BR530" s="4">
        <f t="shared" si="304"/>
        <v>4</v>
      </c>
      <c r="BS530" s="4">
        <f t="shared" si="305"/>
        <v>4</v>
      </c>
      <c r="BT530" s="4">
        <f t="shared" si="306"/>
        <v>4</v>
      </c>
      <c r="BU530" s="4">
        <f t="shared" si="307"/>
        <v>4</v>
      </c>
      <c r="BV530" s="4" t="str">
        <f t="shared" si="308"/>
        <v>0</v>
      </c>
      <c r="BW530" s="4">
        <f t="shared" si="309"/>
        <v>6</v>
      </c>
      <c r="BX530" s="4">
        <f t="shared" si="310"/>
        <v>0</v>
      </c>
      <c r="BY530" s="4">
        <f t="shared" si="311"/>
        <v>0</v>
      </c>
      <c r="BZ530" s="37">
        <f t="shared" si="312"/>
        <v>96</v>
      </c>
      <c r="CA530" s="32" t="str">
        <f>VLOOKUP(J:J,'Agent wise'!A:C,3,0)</f>
        <v>Shakeer</v>
      </c>
      <c r="CB530" s="32">
        <f t="shared" si="313"/>
        <v>45940</v>
      </c>
      <c r="CC530" t="str">
        <f t="shared" si="314"/>
        <v>Excellent</v>
      </c>
      <c r="CE530" s="32"/>
      <c r="CJ530">
        <f t="shared" si="315"/>
        <v>10</v>
      </c>
      <c r="CK530">
        <f t="shared" si="316"/>
        <v>10</v>
      </c>
      <c r="CL530">
        <f t="shared" si="317"/>
        <v>2025</v>
      </c>
    </row>
    <row r="531" spans="1:90" ht="15" customHeight="1" x14ac:dyDescent="0.35">
      <c r="A531" s="40">
        <v>45940.388657407413</v>
      </c>
      <c r="B531" t="s">
        <v>250</v>
      </c>
      <c r="C531" t="s">
        <v>214</v>
      </c>
      <c r="D531" t="s">
        <v>251</v>
      </c>
      <c r="E531" s="32">
        <v>45940</v>
      </c>
      <c r="F531" t="s">
        <v>54</v>
      </c>
      <c r="G531" s="2">
        <v>45757</v>
      </c>
      <c r="H531">
        <v>9003028152</v>
      </c>
      <c r="I531">
        <v>197</v>
      </c>
      <c r="J531" t="s">
        <v>269</v>
      </c>
      <c r="K531" t="s">
        <v>71</v>
      </c>
      <c r="L531" t="s">
        <v>72</v>
      </c>
      <c r="M531" t="s">
        <v>59</v>
      </c>
      <c r="N531" t="s">
        <v>59</v>
      </c>
      <c r="O531" t="s">
        <v>59</v>
      </c>
      <c r="P531" t="s">
        <v>59</v>
      </c>
      <c r="Q531" t="s">
        <v>59</v>
      </c>
      <c r="R531" t="s">
        <v>59</v>
      </c>
      <c r="S531" t="s">
        <v>59</v>
      </c>
      <c r="T531" t="s">
        <v>59</v>
      </c>
      <c r="U531" t="s">
        <v>59</v>
      </c>
      <c r="V531" t="s">
        <v>59</v>
      </c>
      <c r="W531" t="s">
        <v>59</v>
      </c>
      <c r="X531" t="s">
        <v>59</v>
      </c>
      <c r="Y531" t="s">
        <v>59</v>
      </c>
      <c r="Z531" t="s">
        <v>59</v>
      </c>
      <c r="AA531" t="s">
        <v>59</v>
      </c>
      <c r="AB531" t="s">
        <v>59</v>
      </c>
      <c r="AC531" t="s">
        <v>59</v>
      </c>
      <c r="AD531" t="s">
        <v>59</v>
      </c>
      <c r="AE531" t="s">
        <v>59</v>
      </c>
      <c r="AF531" t="s">
        <v>59</v>
      </c>
      <c r="AG531" t="s">
        <v>59</v>
      </c>
      <c r="AH531" t="s">
        <v>61</v>
      </c>
      <c r="AI531" t="s">
        <v>61</v>
      </c>
      <c r="AJ531" t="s">
        <v>59</v>
      </c>
      <c r="AK531" t="s">
        <v>59</v>
      </c>
      <c r="AL531" t="s">
        <v>59</v>
      </c>
      <c r="AM531" t="s">
        <v>59</v>
      </c>
      <c r="AN531" t="s">
        <v>59</v>
      </c>
      <c r="AO531" t="s">
        <v>59</v>
      </c>
      <c r="AP531" t="s">
        <v>1256</v>
      </c>
      <c r="AQ531" t="s">
        <v>1255</v>
      </c>
      <c r="AR531" t="s">
        <v>64</v>
      </c>
      <c r="AS531" t="s">
        <v>602</v>
      </c>
      <c r="AT531" t="s">
        <v>603</v>
      </c>
      <c r="AU531" t="s">
        <v>219</v>
      </c>
      <c r="AW531" s="4">
        <f t="shared" si="283"/>
        <v>6</v>
      </c>
      <c r="AX531" s="4">
        <f t="shared" si="284"/>
        <v>4</v>
      </c>
      <c r="AY531" s="4">
        <f t="shared" si="285"/>
        <v>4</v>
      </c>
      <c r="AZ531" s="4">
        <f t="shared" si="286"/>
        <v>2</v>
      </c>
      <c r="BA531" s="4">
        <f t="shared" si="287"/>
        <v>4</v>
      </c>
      <c r="BB531" s="4">
        <f t="shared" si="288"/>
        <v>4</v>
      </c>
      <c r="BC531" s="4">
        <f t="shared" si="289"/>
        <v>4</v>
      </c>
      <c r="BD531" s="4">
        <f t="shared" si="290"/>
        <v>2</v>
      </c>
      <c r="BE531" s="4">
        <f t="shared" si="291"/>
        <v>4</v>
      </c>
      <c r="BF531" s="4">
        <f t="shared" si="292"/>
        <v>2</v>
      </c>
      <c r="BG531" s="4">
        <f t="shared" si="293"/>
        <v>4</v>
      </c>
      <c r="BH531" s="4">
        <f t="shared" si="294"/>
        <v>4</v>
      </c>
      <c r="BI531" s="4">
        <f t="shared" si="295"/>
        <v>4</v>
      </c>
      <c r="BJ531" s="4">
        <f t="shared" si="296"/>
        <v>2</v>
      </c>
      <c r="BK531" s="4">
        <f t="shared" si="297"/>
        <v>4</v>
      </c>
      <c r="BL531" s="4">
        <f t="shared" si="298"/>
        <v>2</v>
      </c>
      <c r="BM531" s="4">
        <f t="shared" si="299"/>
        <v>4</v>
      </c>
      <c r="BN531" s="4">
        <f t="shared" si="300"/>
        <v>4</v>
      </c>
      <c r="BO531" s="4">
        <f t="shared" si="301"/>
        <v>4</v>
      </c>
      <c r="BP531" s="4">
        <f t="shared" si="302"/>
        <v>4</v>
      </c>
      <c r="BQ531" s="4">
        <f t="shared" si="303"/>
        <v>6</v>
      </c>
      <c r="BR531" s="4">
        <f t="shared" si="304"/>
        <v>4</v>
      </c>
      <c r="BS531" s="4">
        <f t="shared" si="305"/>
        <v>4</v>
      </c>
      <c r="BT531" s="4">
        <f t="shared" si="306"/>
        <v>4</v>
      </c>
      <c r="BU531" s="4">
        <f t="shared" si="307"/>
        <v>4</v>
      </c>
      <c r="BV531" s="4">
        <f t="shared" si="308"/>
        <v>0</v>
      </c>
      <c r="BW531" s="4">
        <f t="shared" si="309"/>
        <v>6</v>
      </c>
      <c r="BX531" s="4">
        <f t="shared" si="310"/>
        <v>0</v>
      </c>
      <c r="BY531" s="4">
        <f t="shared" si="311"/>
        <v>0</v>
      </c>
      <c r="BZ531" s="37">
        <f t="shared" si="312"/>
        <v>100</v>
      </c>
      <c r="CA531" s="32" t="str">
        <f>VLOOKUP(J:J,'Agent wise'!A:C,3,0)</f>
        <v xml:space="preserve">Shiny </v>
      </c>
      <c r="CB531" s="32">
        <f t="shared" si="313"/>
        <v>45940</v>
      </c>
      <c r="CC531" t="str">
        <f t="shared" si="314"/>
        <v>Excellent</v>
      </c>
      <c r="CE531" s="32"/>
      <c r="CJ531">
        <f t="shared" si="315"/>
        <v>10</v>
      </c>
      <c r="CK531">
        <f t="shared" si="316"/>
        <v>10</v>
      </c>
      <c r="CL531">
        <f t="shared" si="317"/>
        <v>2025</v>
      </c>
    </row>
    <row r="532" spans="1:90" ht="15" customHeight="1" x14ac:dyDescent="0.35">
      <c r="A532" s="40">
        <v>45940.393750000003</v>
      </c>
      <c r="B532" t="s">
        <v>250</v>
      </c>
      <c r="C532" t="s">
        <v>214</v>
      </c>
      <c r="D532" t="s">
        <v>251</v>
      </c>
      <c r="E532" s="32">
        <v>45940</v>
      </c>
      <c r="F532" t="s">
        <v>90</v>
      </c>
      <c r="G532" s="2">
        <v>45787</v>
      </c>
      <c r="H532">
        <v>9094009006</v>
      </c>
      <c r="I532">
        <v>213</v>
      </c>
      <c r="J532" t="s">
        <v>108</v>
      </c>
      <c r="K532" t="s">
        <v>71</v>
      </c>
      <c r="L532" t="s">
        <v>72</v>
      </c>
      <c r="M532" t="s">
        <v>59</v>
      </c>
      <c r="N532" t="s">
        <v>59</v>
      </c>
      <c r="O532" t="s">
        <v>61</v>
      </c>
      <c r="P532" t="s">
        <v>59</v>
      </c>
      <c r="Q532" t="s">
        <v>59</v>
      </c>
      <c r="R532" t="s">
        <v>59</v>
      </c>
      <c r="S532" t="s">
        <v>59</v>
      </c>
      <c r="T532" t="s">
        <v>59</v>
      </c>
      <c r="U532" t="s">
        <v>60</v>
      </c>
      <c r="V532" t="s">
        <v>59</v>
      </c>
      <c r="W532" t="s">
        <v>59</v>
      </c>
      <c r="X532" t="s">
        <v>59</v>
      </c>
      <c r="Y532" t="s">
        <v>59</v>
      </c>
      <c r="Z532" t="s">
        <v>59</v>
      </c>
      <c r="AA532" t="s">
        <v>59</v>
      </c>
      <c r="AB532" t="s">
        <v>60</v>
      </c>
      <c r="AC532" t="s">
        <v>59</v>
      </c>
      <c r="AD532" t="s">
        <v>59</v>
      </c>
      <c r="AE532" t="s">
        <v>59</v>
      </c>
      <c r="AF532" t="s">
        <v>59</v>
      </c>
      <c r="AG532" t="s">
        <v>59</v>
      </c>
      <c r="AH532" t="s">
        <v>61</v>
      </c>
      <c r="AI532" t="s">
        <v>61</v>
      </c>
      <c r="AJ532" t="s">
        <v>59</v>
      </c>
      <c r="AK532" t="s">
        <v>59</v>
      </c>
      <c r="AL532" t="s">
        <v>60</v>
      </c>
      <c r="AM532" t="s">
        <v>59</v>
      </c>
      <c r="AN532" t="s">
        <v>59</v>
      </c>
      <c r="AO532" t="s">
        <v>59</v>
      </c>
      <c r="AP532" t="s">
        <v>1257</v>
      </c>
      <c r="AQ532" t="s">
        <v>1255</v>
      </c>
      <c r="AR532" t="s">
        <v>64</v>
      </c>
      <c r="AS532" t="s">
        <v>602</v>
      </c>
      <c r="AT532" t="s">
        <v>603</v>
      </c>
      <c r="AU532" t="s">
        <v>219</v>
      </c>
      <c r="AW532" s="4">
        <f t="shared" si="283"/>
        <v>6</v>
      </c>
      <c r="AX532" s="4">
        <f t="shared" si="284"/>
        <v>4</v>
      </c>
      <c r="AY532" s="4">
        <f t="shared" si="285"/>
        <v>4</v>
      </c>
      <c r="AZ532" s="4">
        <f t="shared" si="286"/>
        <v>2</v>
      </c>
      <c r="BA532" s="4">
        <f t="shared" si="287"/>
        <v>4</v>
      </c>
      <c r="BB532" s="4">
        <f t="shared" si="288"/>
        <v>4</v>
      </c>
      <c r="BC532" s="4">
        <f t="shared" si="289"/>
        <v>4</v>
      </c>
      <c r="BD532" s="4">
        <f t="shared" si="290"/>
        <v>2</v>
      </c>
      <c r="BE532" s="4" t="str">
        <f t="shared" si="291"/>
        <v>0</v>
      </c>
      <c r="BF532" s="4">
        <f t="shared" si="292"/>
        <v>2</v>
      </c>
      <c r="BG532" s="4">
        <f t="shared" si="293"/>
        <v>4</v>
      </c>
      <c r="BH532" s="4">
        <f t="shared" si="294"/>
        <v>4</v>
      </c>
      <c r="BI532" s="4">
        <f t="shared" si="295"/>
        <v>4</v>
      </c>
      <c r="BJ532" s="4">
        <f t="shared" si="296"/>
        <v>2</v>
      </c>
      <c r="BK532" s="4">
        <f t="shared" si="297"/>
        <v>4</v>
      </c>
      <c r="BL532" s="4" t="str">
        <f t="shared" si="298"/>
        <v>0</v>
      </c>
      <c r="BM532" s="4">
        <f t="shared" si="299"/>
        <v>4</v>
      </c>
      <c r="BN532" s="4">
        <f t="shared" si="300"/>
        <v>4</v>
      </c>
      <c r="BO532" s="4">
        <f t="shared" si="301"/>
        <v>4</v>
      </c>
      <c r="BP532" s="4">
        <f t="shared" si="302"/>
        <v>4</v>
      </c>
      <c r="BQ532" s="4">
        <f t="shared" si="303"/>
        <v>6</v>
      </c>
      <c r="BR532" s="4">
        <f t="shared" si="304"/>
        <v>4</v>
      </c>
      <c r="BS532" s="4">
        <f t="shared" si="305"/>
        <v>4</v>
      </c>
      <c r="BT532" s="4">
        <f t="shared" si="306"/>
        <v>4</v>
      </c>
      <c r="BU532" s="4">
        <f t="shared" si="307"/>
        <v>4</v>
      </c>
      <c r="BV532" s="4" t="str">
        <f t="shared" si="308"/>
        <v>0</v>
      </c>
      <c r="BW532" s="4">
        <f t="shared" si="309"/>
        <v>6</v>
      </c>
      <c r="BX532" s="4">
        <f t="shared" si="310"/>
        <v>0</v>
      </c>
      <c r="BY532" s="4">
        <f t="shared" si="311"/>
        <v>0</v>
      </c>
      <c r="BZ532" s="37">
        <f t="shared" si="312"/>
        <v>94</v>
      </c>
      <c r="CA532" s="32" t="str">
        <f>VLOOKUP(J:J,'Agent wise'!A:C,3,0)</f>
        <v xml:space="preserve">Shiny </v>
      </c>
      <c r="CB532" s="32">
        <f t="shared" si="313"/>
        <v>45940</v>
      </c>
      <c r="CC532" t="str">
        <f t="shared" si="314"/>
        <v>Good</v>
      </c>
      <c r="CE532" s="32"/>
      <c r="CJ532">
        <f t="shared" si="315"/>
        <v>10</v>
      </c>
      <c r="CK532">
        <f t="shared" si="316"/>
        <v>10</v>
      </c>
      <c r="CL532">
        <f t="shared" si="317"/>
        <v>2025</v>
      </c>
    </row>
    <row r="533" spans="1:90" ht="15" customHeight="1" x14ac:dyDescent="0.35">
      <c r="A533" s="40">
        <v>45940.399710648147</v>
      </c>
      <c r="B533" t="s">
        <v>250</v>
      </c>
      <c r="C533" t="s">
        <v>214</v>
      </c>
      <c r="D533" t="s">
        <v>251</v>
      </c>
      <c r="E533" s="32">
        <v>45940</v>
      </c>
      <c r="F533" t="s">
        <v>90</v>
      </c>
      <c r="G533" s="2">
        <v>45787</v>
      </c>
      <c r="H533">
        <v>9488808937</v>
      </c>
      <c r="I533">
        <v>201</v>
      </c>
      <c r="J533" t="s">
        <v>643</v>
      </c>
      <c r="K533" t="s">
        <v>71</v>
      </c>
      <c r="L533" t="s">
        <v>72</v>
      </c>
      <c r="M533" t="s">
        <v>59</v>
      </c>
      <c r="N533" t="s">
        <v>59</v>
      </c>
      <c r="O533" t="s">
        <v>59</v>
      </c>
      <c r="P533" t="s">
        <v>59</v>
      </c>
      <c r="Q533" t="s">
        <v>59</v>
      </c>
      <c r="R533" t="s">
        <v>59</v>
      </c>
      <c r="S533" t="s">
        <v>59</v>
      </c>
      <c r="T533" t="s">
        <v>59</v>
      </c>
      <c r="U533" t="s">
        <v>60</v>
      </c>
      <c r="V533" t="s">
        <v>59</v>
      </c>
      <c r="W533" t="s">
        <v>59</v>
      </c>
      <c r="X533" t="s">
        <v>59</v>
      </c>
      <c r="Y533" t="s">
        <v>59</v>
      </c>
      <c r="Z533" t="s">
        <v>59</v>
      </c>
      <c r="AA533" t="s">
        <v>59</v>
      </c>
      <c r="AB533" t="s">
        <v>60</v>
      </c>
      <c r="AC533" t="s">
        <v>59</v>
      </c>
      <c r="AD533" t="s">
        <v>59</v>
      </c>
      <c r="AE533" t="s">
        <v>59</v>
      </c>
      <c r="AF533" t="s">
        <v>59</v>
      </c>
      <c r="AG533" t="s">
        <v>59</v>
      </c>
      <c r="AH533" t="s">
        <v>61</v>
      </c>
      <c r="AI533" t="s">
        <v>61</v>
      </c>
      <c r="AJ533" t="s">
        <v>59</v>
      </c>
      <c r="AK533" t="s">
        <v>59</v>
      </c>
      <c r="AL533" t="s">
        <v>60</v>
      </c>
      <c r="AM533" t="s">
        <v>59</v>
      </c>
      <c r="AN533" t="s">
        <v>59</v>
      </c>
      <c r="AO533" t="s">
        <v>59</v>
      </c>
      <c r="AP533" t="s">
        <v>467</v>
      </c>
      <c r="AQ533" t="s">
        <v>1258</v>
      </c>
      <c r="AR533" t="s">
        <v>64</v>
      </c>
      <c r="AS533" t="s">
        <v>602</v>
      </c>
      <c r="AT533" t="s">
        <v>603</v>
      </c>
      <c r="AU533" t="s">
        <v>219</v>
      </c>
      <c r="AW533" s="4">
        <f t="shared" si="283"/>
        <v>6</v>
      </c>
      <c r="AX533" s="4">
        <f t="shared" si="284"/>
        <v>4</v>
      </c>
      <c r="AY533" s="4">
        <f t="shared" si="285"/>
        <v>4</v>
      </c>
      <c r="AZ533" s="4">
        <f t="shared" si="286"/>
        <v>2</v>
      </c>
      <c r="BA533" s="4">
        <f t="shared" si="287"/>
        <v>4</v>
      </c>
      <c r="BB533" s="4">
        <f t="shared" si="288"/>
        <v>4</v>
      </c>
      <c r="BC533" s="4">
        <f t="shared" si="289"/>
        <v>4</v>
      </c>
      <c r="BD533" s="4">
        <f t="shared" si="290"/>
        <v>2</v>
      </c>
      <c r="BE533" s="4" t="str">
        <f t="shared" si="291"/>
        <v>0</v>
      </c>
      <c r="BF533" s="4">
        <f t="shared" si="292"/>
        <v>2</v>
      </c>
      <c r="BG533" s="4">
        <f t="shared" si="293"/>
        <v>4</v>
      </c>
      <c r="BH533" s="4">
        <f t="shared" si="294"/>
        <v>4</v>
      </c>
      <c r="BI533" s="4">
        <f t="shared" si="295"/>
        <v>4</v>
      </c>
      <c r="BJ533" s="4">
        <f t="shared" si="296"/>
        <v>2</v>
      </c>
      <c r="BK533" s="4">
        <f t="shared" si="297"/>
        <v>4</v>
      </c>
      <c r="BL533" s="4" t="str">
        <f t="shared" si="298"/>
        <v>0</v>
      </c>
      <c r="BM533" s="4">
        <f t="shared" si="299"/>
        <v>4</v>
      </c>
      <c r="BN533" s="4">
        <f t="shared" si="300"/>
        <v>4</v>
      </c>
      <c r="BO533" s="4">
        <f t="shared" si="301"/>
        <v>4</v>
      </c>
      <c r="BP533" s="4">
        <f t="shared" si="302"/>
        <v>4</v>
      </c>
      <c r="BQ533" s="4">
        <f t="shared" si="303"/>
        <v>6</v>
      </c>
      <c r="BR533" s="4">
        <f t="shared" si="304"/>
        <v>4</v>
      </c>
      <c r="BS533" s="4">
        <f t="shared" si="305"/>
        <v>4</v>
      </c>
      <c r="BT533" s="4">
        <f t="shared" si="306"/>
        <v>4</v>
      </c>
      <c r="BU533" s="4">
        <f t="shared" si="307"/>
        <v>4</v>
      </c>
      <c r="BV533" s="4" t="str">
        <f t="shared" si="308"/>
        <v>0</v>
      </c>
      <c r="BW533" s="4">
        <f t="shared" si="309"/>
        <v>6</v>
      </c>
      <c r="BX533" s="4">
        <f t="shared" si="310"/>
        <v>0</v>
      </c>
      <c r="BY533" s="4">
        <f t="shared" si="311"/>
        <v>0</v>
      </c>
      <c r="BZ533" s="37">
        <f t="shared" si="312"/>
        <v>94</v>
      </c>
      <c r="CA533" s="32" t="str">
        <f>VLOOKUP(J:J,'Agent wise'!A:C,3,0)</f>
        <v xml:space="preserve">Shiny </v>
      </c>
      <c r="CB533" s="32">
        <f t="shared" si="313"/>
        <v>45940</v>
      </c>
      <c r="CC533" t="str">
        <f t="shared" si="314"/>
        <v>Good</v>
      </c>
      <c r="CE533" s="32"/>
      <c r="CJ533">
        <f t="shared" si="315"/>
        <v>10</v>
      </c>
      <c r="CK533">
        <f t="shared" si="316"/>
        <v>10</v>
      </c>
      <c r="CL533">
        <f t="shared" si="317"/>
        <v>2025</v>
      </c>
    </row>
    <row r="534" spans="1:90" ht="15" customHeight="1" x14ac:dyDescent="0.35">
      <c r="A534" s="40">
        <v>45940.413854166669</v>
      </c>
      <c r="B534" t="s">
        <v>250</v>
      </c>
      <c r="C534" t="s">
        <v>214</v>
      </c>
      <c r="D534" t="s">
        <v>251</v>
      </c>
      <c r="E534" s="32">
        <v>45940</v>
      </c>
      <c r="F534" t="s">
        <v>90</v>
      </c>
      <c r="G534" s="2">
        <v>45787</v>
      </c>
      <c r="H534">
        <v>6382789862</v>
      </c>
      <c r="I534">
        <v>134</v>
      </c>
      <c r="J534" t="s">
        <v>96</v>
      </c>
      <c r="K534" t="s">
        <v>71</v>
      </c>
      <c r="L534" t="s">
        <v>72</v>
      </c>
      <c r="M534" t="s">
        <v>59</v>
      </c>
      <c r="N534" t="s">
        <v>59</v>
      </c>
      <c r="O534" t="s">
        <v>59</v>
      </c>
      <c r="P534" t="s">
        <v>59</v>
      </c>
      <c r="Q534" t="s">
        <v>59</v>
      </c>
      <c r="R534" t="s">
        <v>60</v>
      </c>
      <c r="S534" t="s">
        <v>59</v>
      </c>
      <c r="T534" t="s">
        <v>59</v>
      </c>
      <c r="U534" t="s">
        <v>59</v>
      </c>
      <c r="V534" t="s">
        <v>59</v>
      </c>
      <c r="W534" t="s">
        <v>59</v>
      </c>
      <c r="X534" t="s">
        <v>59</v>
      </c>
      <c r="Y534" t="s">
        <v>59</v>
      </c>
      <c r="Z534" t="s">
        <v>59</v>
      </c>
      <c r="AA534" t="s">
        <v>59</v>
      </c>
      <c r="AB534" t="s">
        <v>59</v>
      </c>
      <c r="AC534" t="s">
        <v>59</v>
      </c>
      <c r="AD534" t="s">
        <v>59</v>
      </c>
      <c r="AE534" t="s">
        <v>59</v>
      </c>
      <c r="AF534" t="s">
        <v>59</v>
      </c>
      <c r="AG534" t="s">
        <v>59</v>
      </c>
      <c r="AH534" t="s">
        <v>61</v>
      </c>
      <c r="AI534" t="s">
        <v>61</v>
      </c>
      <c r="AJ534" t="s">
        <v>59</v>
      </c>
      <c r="AK534" t="s">
        <v>59</v>
      </c>
      <c r="AL534" t="s">
        <v>60</v>
      </c>
      <c r="AM534" t="s">
        <v>59</v>
      </c>
      <c r="AN534" t="s">
        <v>59</v>
      </c>
      <c r="AO534" t="s">
        <v>59</v>
      </c>
      <c r="AP534" t="s">
        <v>1259</v>
      </c>
      <c r="AQ534" t="s">
        <v>1255</v>
      </c>
      <c r="AR534" t="s">
        <v>64</v>
      </c>
      <c r="AS534" t="s">
        <v>602</v>
      </c>
      <c r="AT534" t="s">
        <v>603</v>
      </c>
      <c r="AU534" t="s">
        <v>219</v>
      </c>
      <c r="AW534" s="4">
        <f t="shared" si="283"/>
        <v>6</v>
      </c>
      <c r="AX534" s="4">
        <f t="shared" si="284"/>
        <v>4</v>
      </c>
      <c r="AY534" s="4">
        <f t="shared" si="285"/>
        <v>4</v>
      </c>
      <c r="AZ534" s="4">
        <f t="shared" si="286"/>
        <v>2</v>
      </c>
      <c r="BA534" s="4">
        <f t="shared" si="287"/>
        <v>4</v>
      </c>
      <c r="BB534" s="4" t="str">
        <f t="shared" si="288"/>
        <v>0</v>
      </c>
      <c r="BC534" s="4">
        <f t="shared" si="289"/>
        <v>4</v>
      </c>
      <c r="BD534" s="4">
        <f t="shared" si="290"/>
        <v>2</v>
      </c>
      <c r="BE534" s="4">
        <f t="shared" si="291"/>
        <v>4</v>
      </c>
      <c r="BF534" s="4">
        <f t="shared" si="292"/>
        <v>2</v>
      </c>
      <c r="BG534" s="4">
        <f t="shared" si="293"/>
        <v>4</v>
      </c>
      <c r="BH534" s="4">
        <f t="shared" si="294"/>
        <v>4</v>
      </c>
      <c r="BI534" s="4">
        <f t="shared" si="295"/>
        <v>4</v>
      </c>
      <c r="BJ534" s="4">
        <f t="shared" si="296"/>
        <v>2</v>
      </c>
      <c r="BK534" s="4">
        <f t="shared" si="297"/>
        <v>4</v>
      </c>
      <c r="BL534" s="4">
        <f t="shared" si="298"/>
        <v>2</v>
      </c>
      <c r="BM534" s="4">
        <f t="shared" si="299"/>
        <v>4</v>
      </c>
      <c r="BN534" s="4">
        <f t="shared" si="300"/>
        <v>4</v>
      </c>
      <c r="BO534" s="4">
        <f t="shared" si="301"/>
        <v>4</v>
      </c>
      <c r="BP534" s="4">
        <f t="shared" si="302"/>
        <v>4</v>
      </c>
      <c r="BQ534" s="4">
        <f t="shared" si="303"/>
        <v>6</v>
      </c>
      <c r="BR534" s="4">
        <f t="shared" si="304"/>
        <v>4</v>
      </c>
      <c r="BS534" s="4">
        <f t="shared" si="305"/>
        <v>4</v>
      </c>
      <c r="BT534" s="4">
        <f t="shared" si="306"/>
        <v>4</v>
      </c>
      <c r="BU534" s="4">
        <f t="shared" si="307"/>
        <v>4</v>
      </c>
      <c r="BV534" s="4" t="str">
        <f t="shared" si="308"/>
        <v>0</v>
      </c>
      <c r="BW534" s="4">
        <f t="shared" si="309"/>
        <v>6</v>
      </c>
      <c r="BX534" s="4">
        <f t="shared" si="310"/>
        <v>0</v>
      </c>
      <c r="BY534" s="4">
        <f t="shared" si="311"/>
        <v>0</v>
      </c>
      <c r="BZ534" s="37">
        <f t="shared" si="312"/>
        <v>96</v>
      </c>
      <c r="CA534" s="32" t="str">
        <f>VLOOKUP(J:J,'Agent wise'!A:C,3,0)</f>
        <v xml:space="preserve">Shiny </v>
      </c>
      <c r="CB534" s="32">
        <f t="shared" si="313"/>
        <v>45940</v>
      </c>
      <c r="CC534" t="str">
        <f t="shared" si="314"/>
        <v>Excellent</v>
      </c>
      <c r="CE534" s="32"/>
      <c r="CJ534">
        <f t="shared" si="315"/>
        <v>10</v>
      </c>
      <c r="CK534">
        <f t="shared" si="316"/>
        <v>10</v>
      </c>
      <c r="CL534">
        <f t="shared" si="317"/>
        <v>2025</v>
      </c>
    </row>
    <row r="535" spans="1:90" ht="15" customHeight="1" x14ac:dyDescent="0.35">
      <c r="A535" s="40">
        <v>45940.419571759259</v>
      </c>
      <c r="B535" t="s">
        <v>250</v>
      </c>
      <c r="C535" t="s">
        <v>214</v>
      </c>
      <c r="D535" t="s">
        <v>251</v>
      </c>
      <c r="E535" s="32">
        <v>45940</v>
      </c>
      <c r="F535" t="s">
        <v>90</v>
      </c>
      <c r="G535" s="2">
        <v>45787</v>
      </c>
      <c r="H535">
        <v>9443080350</v>
      </c>
      <c r="I535">
        <v>123</v>
      </c>
      <c r="J535" t="s">
        <v>533</v>
      </c>
      <c r="K535" t="s">
        <v>71</v>
      </c>
      <c r="L535" t="s">
        <v>72</v>
      </c>
      <c r="M535" t="s">
        <v>59</v>
      </c>
      <c r="N535" t="s">
        <v>59</v>
      </c>
      <c r="O535" t="s">
        <v>61</v>
      </c>
      <c r="P535" t="s">
        <v>59</v>
      </c>
      <c r="Q535" t="s">
        <v>59</v>
      </c>
      <c r="R535" t="s">
        <v>59</v>
      </c>
      <c r="S535" t="s">
        <v>59</v>
      </c>
      <c r="T535" t="s">
        <v>59</v>
      </c>
      <c r="U535" t="s">
        <v>60</v>
      </c>
      <c r="V535" t="s">
        <v>59</v>
      </c>
      <c r="W535" t="s">
        <v>59</v>
      </c>
      <c r="X535" t="s">
        <v>59</v>
      </c>
      <c r="Y535" t="s">
        <v>59</v>
      </c>
      <c r="Z535" t="s">
        <v>59</v>
      </c>
      <c r="AA535" t="s">
        <v>59</v>
      </c>
      <c r="AB535" t="s">
        <v>59</v>
      </c>
      <c r="AC535" t="s">
        <v>59</v>
      </c>
      <c r="AD535" t="s">
        <v>59</v>
      </c>
      <c r="AE535" t="s">
        <v>59</v>
      </c>
      <c r="AF535" t="s">
        <v>61</v>
      </c>
      <c r="AG535" t="s">
        <v>59</v>
      </c>
      <c r="AH535" t="s">
        <v>61</v>
      </c>
      <c r="AI535" t="s">
        <v>61</v>
      </c>
      <c r="AJ535" t="s">
        <v>59</v>
      </c>
      <c r="AK535" t="s">
        <v>59</v>
      </c>
      <c r="AL535" t="s">
        <v>60</v>
      </c>
      <c r="AM535" t="s">
        <v>59</v>
      </c>
      <c r="AN535" t="s">
        <v>59</v>
      </c>
      <c r="AO535" t="s">
        <v>59</v>
      </c>
      <c r="AP535" t="s">
        <v>1260</v>
      </c>
      <c r="AQ535" t="s">
        <v>1261</v>
      </c>
      <c r="AR535" t="s">
        <v>64</v>
      </c>
      <c r="AS535" t="s">
        <v>602</v>
      </c>
      <c r="AT535" t="s">
        <v>603</v>
      </c>
      <c r="AU535" t="s">
        <v>219</v>
      </c>
      <c r="AW535" s="4">
        <f t="shared" si="283"/>
        <v>6</v>
      </c>
      <c r="AX535" s="4">
        <f t="shared" si="284"/>
        <v>4</v>
      </c>
      <c r="AY535" s="4">
        <f t="shared" si="285"/>
        <v>4</v>
      </c>
      <c r="AZ535" s="4">
        <f t="shared" si="286"/>
        <v>2</v>
      </c>
      <c r="BA535" s="4">
        <f t="shared" si="287"/>
        <v>4</v>
      </c>
      <c r="BB535" s="4">
        <f t="shared" si="288"/>
        <v>4</v>
      </c>
      <c r="BC535" s="4">
        <f t="shared" si="289"/>
        <v>4</v>
      </c>
      <c r="BD535" s="4">
        <f t="shared" si="290"/>
        <v>2</v>
      </c>
      <c r="BE535" s="4" t="str">
        <f t="shared" si="291"/>
        <v>0</v>
      </c>
      <c r="BF535" s="4">
        <f t="shared" si="292"/>
        <v>2</v>
      </c>
      <c r="BG535" s="4">
        <f t="shared" si="293"/>
        <v>4</v>
      </c>
      <c r="BH535" s="4">
        <f t="shared" si="294"/>
        <v>4</v>
      </c>
      <c r="BI535" s="4">
        <f t="shared" si="295"/>
        <v>4</v>
      </c>
      <c r="BJ535" s="4">
        <f t="shared" si="296"/>
        <v>2</v>
      </c>
      <c r="BK535" s="4">
        <f t="shared" si="297"/>
        <v>4</v>
      </c>
      <c r="BL535" s="4">
        <f t="shared" si="298"/>
        <v>2</v>
      </c>
      <c r="BM535" s="4">
        <f t="shared" si="299"/>
        <v>4</v>
      </c>
      <c r="BN535" s="4">
        <f t="shared" si="300"/>
        <v>4</v>
      </c>
      <c r="BO535" s="4">
        <f t="shared" si="301"/>
        <v>4</v>
      </c>
      <c r="BP535" s="4">
        <f t="shared" si="302"/>
        <v>4</v>
      </c>
      <c r="BQ535" s="4">
        <f t="shared" si="303"/>
        <v>6</v>
      </c>
      <c r="BR535" s="4">
        <f t="shared" si="304"/>
        <v>4</v>
      </c>
      <c r="BS535" s="4">
        <f t="shared" si="305"/>
        <v>4</v>
      </c>
      <c r="BT535" s="4">
        <f t="shared" si="306"/>
        <v>4</v>
      </c>
      <c r="BU535" s="4">
        <f t="shared" si="307"/>
        <v>4</v>
      </c>
      <c r="BV535" s="4" t="str">
        <f t="shared" si="308"/>
        <v>0</v>
      </c>
      <c r="BW535" s="4">
        <f t="shared" si="309"/>
        <v>6</v>
      </c>
      <c r="BX535" s="4">
        <f t="shared" si="310"/>
        <v>0</v>
      </c>
      <c r="BY535" s="4">
        <f t="shared" si="311"/>
        <v>0</v>
      </c>
      <c r="BZ535" s="37">
        <f t="shared" si="312"/>
        <v>96</v>
      </c>
      <c r="CA535" s="32" t="str">
        <f>VLOOKUP(J:J,'Agent wise'!A:C,3,0)</f>
        <v xml:space="preserve">Shiny </v>
      </c>
      <c r="CB535" s="32">
        <f t="shared" si="313"/>
        <v>45940</v>
      </c>
      <c r="CC535" t="str">
        <f t="shared" si="314"/>
        <v>Excellent</v>
      </c>
      <c r="CE535" s="32"/>
      <c r="CJ535">
        <f t="shared" si="315"/>
        <v>10</v>
      </c>
      <c r="CK535">
        <f t="shared" si="316"/>
        <v>10</v>
      </c>
      <c r="CL535">
        <f t="shared" si="317"/>
        <v>2025</v>
      </c>
    </row>
    <row r="536" spans="1:90" ht="15" customHeight="1" x14ac:dyDescent="0.35">
      <c r="A536" s="40">
        <v>45940.420520833337</v>
      </c>
      <c r="B536" t="s">
        <v>177</v>
      </c>
      <c r="C536" t="s">
        <v>214</v>
      </c>
      <c r="D536" t="s">
        <v>178</v>
      </c>
      <c r="E536" s="32">
        <v>45934</v>
      </c>
      <c r="F536" t="s">
        <v>90</v>
      </c>
      <c r="G536" s="2">
        <v>45726</v>
      </c>
      <c r="H536">
        <v>8508467230</v>
      </c>
      <c r="I536">
        <v>156</v>
      </c>
      <c r="J536" t="s">
        <v>91</v>
      </c>
      <c r="K536" t="s">
        <v>71</v>
      </c>
      <c r="L536" t="s">
        <v>72</v>
      </c>
      <c r="M536" t="s">
        <v>59</v>
      </c>
      <c r="N536" t="s">
        <v>59</v>
      </c>
      <c r="O536" t="s">
        <v>59</v>
      </c>
      <c r="P536" t="s">
        <v>59</v>
      </c>
      <c r="Q536" t="s">
        <v>59</v>
      </c>
      <c r="R536" t="s">
        <v>59</v>
      </c>
      <c r="S536" t="s">
        <v>59</v>
      </c>
      <c r="T536" t="s">
        <v>59</v>
      </c>
      <c r="U536" t="s">
        <v>59</v>
      </c>
      <c r="V536" t="s">
        <v>59</v>
      </c>
      <c r="W536" t="s">
        <v>59</v>
      </c>
      <c r="X536" t="s">
        <v>59</v>
      </c>
      <c r="Y536" t="s">
        <v>59</v>
      </c>
      <c r="Z536" t="s">
        <v>59</v>
      </c>
      <c r="AA536" t="s">
        <v>59</v>
      </c>
      <c r="AB536" t="s">
        <v>59</v>
      </c>
      <c r="AC536" t="s">
        <v>60</v>
      </c>
      <c r="AD536" t="s">
        <v>60</v>
      </c>
      <c r="AE536" t="s">
        <v>59</v>
      </c>
      <c r="AF536" t="s">
        <v>59</v>
      </c>
      <c r="AG536" t="s">
        <v>60</v>
      </c>
      <c r="AH536" t="s">
        <v>61</v>
      </c>
      <c r="AI536" t="s">
        <v>61</v>
      </c>
      <c r="AJ536" t="s">
        <v>59</v>
      </c>
      <c r="AK536" t="s">
        <v>59</v>
      </c>
      <c r="AL536" t="s">
        <v>59</v>
      </c>
      <c r="AM536" t="s">
        <v>59</v>
      </c>
      <c r="AN536" t="s">
        <v>59</v>
      </c>
      <c r="AO536" t="s">
        <v>59</v>
      </c>
      <c r="AP536" t="s">
        <v>1262</v>
      </c>
      <c r="AQ536" s="1" t="s">
        <v>1263</v>
      </c>
      <c r="AR536" t="s">
        <v>64</v>
      </c>
      <c r="AS536" t="s">
        <v>94</v>
      </c>
      <c r="AT536" t="s">
        <v>95</v>
      </c>
      <c r="AU536" t="s">
        <v>1264</v>
      </c>
      <c r="AW536" s="4">
        <f t="shared" si="283"/>
        <v>6</v>
      </c>
      <c r="AX536" s="4">
        <f t="shared" si="284"/>
        <v>4</v>
      </c>
      <c r="AY536" s="4">
        <f t="shared" si="285"/>
        <v>4</v>
      </c>
      <c r="AZ536" s="4">
        <f t="shared" si="286"/>
        <v>2</v>
      </c>
      <c r="BA536" s="4">
        <f t="shared" si="287"/>
        <v>4</v>
      </c>
      <c r="BB536" s="4">
        <f t="shared" si="288"/>
        <v>4</v>
      </c>
      <c r="BC536" s="4">
        <f t="shared" si="289"/>
        <v>4</v>
      </c>
      <c r="BD536" s="4">
        <f t="shared" si="290"/>
        <v>2</v>
      </c>
      <c r="BE536" s="4">
        <f t="shared" si="291"/>
        <v>4</v>
      </c>
      <c r="BF536" s="4">
        <f t="shared" si="292"/>
        <v>2</v>
      </c>
      <c r="BG536" s="4">
        <f t="shared" si="293"/>
        <v>4</v>
      </c>
      <c r="BH536" s="4">
        <f t="shared" si="294"/>
        <v>4</v>
      </c>
      <c r="BI536" s="4">
        <f t="shared" si="295"/>
        <v>4</v>
      </c>
      <c r="BJ536" s="4">
        <f t="shared" si="296"/>
        <v>2</v>
      </c>
      <c r="BK536" s="4">
        <f t="shared" si="297"/>
        <v>4</v>
      </c>
      <c r="BL536" s="4">
        <f t="shared" si="298"/>
        <v>2</v>
      </c>
      <c r="BM536" s="4" t="str">
        <f t="shared" si="299"/>
        <v>0</v>
      </c>
      <c r="BN536" s="4" t="str">
        <f t="shared" si="300"/>
        <v>0</v>
      </c>
      <c r="BO536" s="4">
        <f t="shared" si="301"/>
        <v>4</v>
      </c>
      <c r="BP536" s="4">
        <f t="shared" si="302"/>
        <v>4</v>
      </c>
      <c r="BQ536" s="4" t="str">
        <f t="shared" si="303"/>
        <v>0</v>
      </c>
      <c r="BR536" s="4">
        <f t="shared" si="304"/>
        <v>4</v>
      </c>
      <c r="BS536" s="4">
        <f t="shared" si="305"/>
        <v>4</v>
      </c>
      <c r="BT536" s="4">
        <f t="shared" si="306"/>
        <v>4</v>
      </c>
      <c r="BU536" s="4">
        <f t="shared" si="307"/>
        <v>4</v>
      </c>
      <c r="BV536" s="4">
        <f t="shared" si="308"/>
        <v>0</v>
      </c>
      <c r="BW536" s="4">
        <f t="shared" si="309"/>
        <v>6</v>
      </c>
      <c r="BX536" s="4">
        <f t="shared" si="310"/>
        <v>0</v>
      </c>
      <c r="BY536" s="4">
        <f t="shared" si="311"/>
        <v>0</v>
      </c>
      <c r="BZ536" s="37">
        <f t="shared" si="312"/>
        <v>86</v>
      </c>
      <c r="CA536" s="32" t="str">
        <f>VLOOKUP(J:J,'Agent wise'!A:C,3,0)</f>
        <v>Saran S</v>
      </c>
      <c r="CB536" s="32">
        <f t="shared" si="313"/>
        <v>45934</v>
      </c>
      <c r="CC536" t="str">
        <f t="shared" si="314"/>
        <v>Average</v>
      </c>
      <c r="CE536" s="32"/>
      <c r="CJ536">
        <f t="shared" si="315"/>
        <v>4</v>
      </c>
      <c r="CK536">
        <f t="shared" si="316"/>
        <v>10</v>
      </c>
      <c r="CL536">
        <f t="shared" si="317"/>
        <v>2025</v>
      </c>
    </row>
    <row r="537" spans="1:90" ht="15" customHeight="1" x14ac:dyDescent="0.35">
      <c r="A537" s="40">
        <v>45940.42701388889</v>
      </c>
      <c r="B537" t="s">
        <v>250</v>
      </c>
      <c r="C537" t="s">
        <v>214</v>
      </c>
      <c r="D537" t="s">
        <v>251</v>
      </c>
      <c r="E537" s="32">
        <v>45940</v>
      </c>
      <c r="F537" t="s">
        <v>90</v>
      </c>
      <c r="G537" s="2">
        <v>45787</v>
      </c>
      <c r="H537">
        <v>9443334638</v>
      </c>
      <c r="I537">
        <v>154</v>
      </c>
      <c r="J537" t="s">
        <v>552</v>
      </c>
      <c r="K537" t="s">
        <v>71</v>
      </c>
      <c r="L537" t="s">
        <v>72</v>
      </c>
      <c r="M537" t="s">
        <v>59</v>
      </c>
      <c r="N537" t="s">
        <v>59</v>
      </c>
      <c r="O537" t="s">
        <v>59</v>
      </c>
      <c r="P537" t="s">
        <v>59</v>
      </c>
      <c r="Q537" t="s">
        <v>59</v>
      </c>
      <c r="R537" t="s">
        <v>59</v>
      </c>
      <c r="S537" t="s">
        <v>59</v>
      </c>
      <c r="T537" t="s">
        <v>59</v>
      </c>
      <c r="U537" t="s">
        <v>60</v>
      </c>
      <c r="V537" t="s">
        <v>59</v>
      </c>
      <c r="W537" t="s">
        <v>59</v>
      </c>
      <c r="X537" t="s">
        <v>59</v>
      </c>
      <c r="Y537" t="s">
        <v>59</v>
      </c>
      <c r="Z537" t="s">
        <v>59</v>
      </c>
      <c r="AA537" t="s">
        <v>60</v>
      </c>
      <c r="AB537" t="s">
        <v>59</v>
      </c>
      <c r="AC537" t="s">
        <v>59</v>
      </c>
      <c r="AD537" t="s">
        <v>59</v>
      </c>
      <c r="AE537" t="s">
        <v>59</v>
      </c>
      <c r="AF537" t="s">
        <v>59</v>
      </c>
      <c r="AG537" t="s">
        <v>59</v>
      </c>
      <c r="AH537" t="s">
        <v>61</v>
      </c>
      <c r="AI537" t="s">
        <v>61</v>
      </c>
      <c r="AJ537" t="s">
        <v>59</v>
      </c>
      <c r="AK537" t="s">
        <v>59</v>
      </c>
      <c r="AL537" t="s">
        <v>60</v>
      </c>
      <c r="AM537" t="s">
        <v>59</v>
      </c>
      <c r="AN537" t="s">
        <v>59</v>
      </c>
      <c r="AO537" t="s">
        <v>59</v>
      </c>
      <c r="AP537" t="s">
        <v>1265</v>
      </c>
      <c r="AQ537" t="s">
        <v>1266</v>
      </c>
      <c r="AR537" t="s">
        <v>64</v>
      </c>
      <c r="AS537" t="s">
        <v>602</v>
      </c>
      <c r="AT537" t="s">
        <v>603</v>
      </c>
      <c r="AU537" t="s">
        <v>219</v>
      </c>
      <c r="AW537" s="4">
        <f t="shared" si="283"/>
        <v>6</v>
      </c>
      <c r="AX537" s="4">
        <f t="shared" si="284"/>
        <v>4</v>
      </c>
      <c r="AY537" s="4">
        <f t="shared" si="285"/>
        <v>4</v>
      </c>
      <c r="AZ537" s="4">
        <f t="shared" si="286"/>
        <v>2</v>
      </c>
      <c r="BA537" s="4">
        <f t="shared" si="287"/>
        <v>4</v>
      </c>
      <c r="BB537" s="4">
        <f t="shared" si="288"/>
        <v>4</v>
      </c>
      <c r="BC537" s="4">
        <f t="shared" si="289"/>
        <v>4</v>
      </c>
      <c r="BD537" s="4">
        <f t="shared" si="290"/>
        <v>2</v>
      </c>
      <c r="BE537" s="4" t="str">
        <f t="shared" si="291"/>
        <v>0</v>
      </c>
      <c r="BF537" s="4">
        <f t="shared" si="292"/>
        <v>2</v>
      </c>
      <c r="BG537" s="4">
        <f t="shared" si="293"/>
        <v>4</v>
      </c>
      <c r="BH537" s="4">
        <f t="shared" si="294"/>
        <v>4</v>
      </c>
      <c r="BI537" s="4">
        <f t="shared" si="295"/>
        <v>4</v>
      </c>
      <c r="BJ537" s="4">
        <f t="shared" si="296"/>
        <v>2</v>
      </c>
      <c r="BK537" s="4" t="str">
        <f t="shared" si="297"/>
        <v>0</v>
      </c>
      <c r="BL537" s="4">
        <f t="shared" si="298"/>
        <v>2</v>
      </c>
      <c r="BM537" s="4">
        <f t="shared" si="299"/>
        <v>4</v>
      </c>
      <c r="BN537" s="4">
        <f t="shared" si="300"/>
        <v>4</v>
      </c>
      <c r="BO537" s="4">
        <f t="shared" si="301"/>
        <v>4</v>
      </c>
      <c r="BP537" s="4">
        <f t="shared" si="302"/>
        <v>4</v>
      </c>
      <c r="BQ537" s="4">
        <f t="shared" si="303"/>
        <v>6</v>
      </c>
      <c r="BR537" s="4">
        <f t="shared" si="304"/>
        <v>4</v>
      </c>
      <c r="BS537" s="4">
        <f t="shared" si="305"/>
        <v>4</v>
      </c>
      <c r="BT537" s="4">
        <f t="shared" si="306"/>
        <v>4</v>
      </c>
      <c r="BU537" s="4">
        <f t="shared" si="307"/>
        <v>4</v>
      </c>
      <c r="BV537" s="4" t="str">
        <f t="shared" si="308"/>
        <v>0</v>
      </c>
      <c r="BW537" s="4">
        <f t="shared" si="309"/>
        <v>6</v>
      </c>
      <c r="BX537" s="4">
        <f t="shared" si="310"/>
        <v>0</v>
      </c>
      <c r="BY537" s="4">
        <f t="shared" si="311"/>
        <v>0</v>
      </c>
      <c r="BZ537" s="37">
        <f t="shared" si="312"/>
        <v>92</v>
      </c>
      <c r="CA537" s="32" t="str">
        <f>VLOOKUP(J:J,'Agent wise'!A:C,3,0)</f>
        <v xml:space="preserve">Shiny </v>
      </c>
      <c r="CB537" s="32">
        <f t="shared" si="313"/>
        <v>45940</v>
      </c>
      <c r="CC537" t="str">
        <f t="shared" si="314"/>
        <v>Good</v>
      </c>
      <c r="CE537" s="32"/>
      <c r="CJ537">
        <f t="shared" si="315"/>
        <v>10</v>
      </c>
      <c r="CK537">
        <f t="shared" si="316"/>
        <v>10</v>
      </c>
      <c r="CL537">
        <f t="shared" si="317"/>
        <v>2025</v>
      </c>
    </row>
    <row r="538" spans="1:90" ht="15" customHeight="1" x14ac:dyDescent="0.35">
      <c r="A538" s="40">
        <v>45940.433229166672</v>
      </c>
      <c r="B538" t="s">
        <v>177</v>
      </c>
      <c r="C538" t="s">
        <v>214</v>
      </c>
      <c r="D538" t="s">
        <v>178</v>
      </c>
      <c r="E538" s="32">
        <v>45935</v>
      </c>
      <c r="F538" t="s">
        <v>90</v>
      </c>
      <c r="G538" s="2">
        <v>45757</v>
      </c>
      <c r="H538">
        <v>9788373120</v>
      </c>
      <c r="I538">
        <v>141</v>
      </c>
      <c r="J538" t="s">
        <v>269</v>
      </c>
      <c r="K538" t="s">
        <v>71</v>
      </c>
      <c r="L538" t="s">
        <v>72</v>
      </c>
      <c r="M538" t="s">
        <v>59</v>
      </c>
      <c r="N538" t="s">
        <v>59</v>
      </c>
      <c r="O538" t="s">
        <v>59</v>
      </c>
      <c r="P538" t="s">
        <v>59</v>
      </c>
      <c r="Q538" t="s">
        <v>59</v>
      </c>
      <c r="R538" t="s">
        <v>59</v>
      </c>
      <c r="S538" t="s">
        <v>59</v>
      </c>
      <c r="T538" t="s">
        <v>59</v>
      </c>
      <c r="U538" t="s">
        <v>59</v>
      </c>
      <c r="V538" t="s">
        <v>59</v>
      </c>
      <c r="W538" t="s">
        <v>59</v>
      </c>
      <c r="X538" t="s">
        <v>59</v>
      </c>
      <c r="Y538" t="s">
        <v>59</v>
      </c>
      <c r="Z538" t="s">
        <v>59</v>
      </c>
      <c r="AA538" t="s">
        <v>59</v>
      </c>
      <c r="AB538" t="s">
        <v>59</v>
      </c>
      <c r="AC538" t="s">
        <v>59</v>
      </c>
      <c r="AD538" t="s">
        <v>59</v>
      </c>
      <c r="AE538" t="s">
        <v>59</v>
      </c>
      <c r="AF538" t="s">
        <v>59</v>
      </c>
      <c r="AG538" t="s">
        <v>59</v>
      </c>
      <c r="AH538" t="s">
        <v>59</v>
      </c>
      <c r="AI538" t="s">
        <v>61</v>
      </c>
      <c r="AJ538" t="s">
        <v>59</v>
      </c>
      <c r="AK538" t="s">
        <v>59</v>
      </c>
      <c r="AL538" t="s">
        <v>60</v>
      </c>
      <c r="AM538" t="s">
        <v>59</v>
      </c>
      <c r="AN538" t="s">
        <v>59</v>
      </c>
      <c r="AO538" t="s">
        <v>59</v>
      </c>
      <c r="AP538" t="s">
        <v>1267</v>
      </c>
      <c r="AQ538" s="1" t="s">
        <v>1193</v>
      </c>
      <c r="AR538" t="s">
        <v>64</v>
      </c>
      <c r="AS538" t="s">
        <v>202</v>
      </c>
      <c r="AT538" t="s">
        <v>203</v>
      </c>
      <c r="AU538" t="s">
        <v>299</v>
      </c>
      <c r="AW538" s="4">
        <f t="shared" si="283"/>
        <v>6</v>
      </c>
      <c r="AX538" s="4">
        <f t="shared" si="284"/>
        <v>4</v>
      </c>
      <c r="AY538" s="4">
        <f t="shared" si="285"/>
        <v>4</v>
      </c>
      <c r="AZ538" s="4">
        <f t="shared" si="286"/>
        <v>2</v>
      </c>
      <c r="BA538" s="4">
        <f t="shared" si="287"/>
        <v>4</v>
      </c>
      <c r="BB538" s="4">
        <f t="shared" si="288"/>
        <v>4</v>
      </c>
      <c r="BC538" s="4">
        <f t="shared" si="289"/>
        <v>4</v>
      </c>
      <c r="BD538" s="4">
        <f t="shared" si="290"/>
        <v>2</v>
      </c>
      <c r="BE538" s="4">
        <f t="shared" si="291"/>
        <v>4</v>
      </c>
      <c r="BF538" s="4">
        <f t="shared" si="292"/>
        <v>2</v>
      </c>
      <c r="BG538" s="4">
        <f t="shared" si="293"/>
        <v>4</v>
      </c>
      <c r="BH538" s="4">
        <f t="shared" si="294"/>
        <v>4</v>
      </c>
      <c r="BI538" s="4">
        <f t="shared" si="295"/>
        <v>4</v>
      </c>
      <c r="BJ538" s="4">
        <f t="shared" si="296"/>
        <v>2</v>
      </c>
      <c r="BK538" s="4">
        <f t="shared" si="297"/>
        <v>4</v>
      </c>
      <c r="BL538" s="4">
        <f t="shared" si="298"/>
        <v>2</v>
      </c>
      <c r="BM538" s="4">
        <f t="shared" si="299"/>
        <v>4</v>
      </c>
      <c r="BN538" s="4">
        <f t="shared" si="300"/>
        <v>4</v>
      </c>
      <c r="BO538" s="4">
        <f t="shared" si="301"/>
        <v>4</v>
      </c>
      <c r="BP538" s="4">
        <f t="shared" si="302"/>
        <v>4</v>
      </c>
      <c r="BQ538" s="4">
        <f t="shared" si="303"/>
        <v>6</v>
      </c>
      <c r="BR538" s="4">
        <f t="shared" si="304"/>
        <v>4</v>
      </c>
      <c r="BS538" s="4">
        <f t="shared" si="305"/>
        <v>4</v>
      </c>
      <c r="BT538" s="4">
        <f t="shared" si="306"/>
        <v>4</v>
      </c>
      <c r="BU538" s="4">
        <f t="shared" si="307"/>
        <v>4</v>
      </c>
      <c r="BV538" s="4" t="str">
        <f t="shared" si="308"/>
        <v>0</v>
      </c>
      <c r="BW538" s="4">
        <f t="shared" si="309"/>
        <v>6</v>
      </c>
      <c r="BX538" s="4">
        <f t="shared" si="310"/>
        <v>0</v>
      </c>
      <c r="BY538" s="4">
        <f t="shared" si="311"/>
        <v>0</v>
      </c>
      <c r="BZ538" s="37">
        <f t="shared" si="312"/>
        <v>100</v>
      </c>
      <c r="CA538" s="32" t="str">
        <f>VLOOKUP(J:J,'Agent wise'!A:C,3,0)</f>
        <v xml:space="preserve">Shiny </v>
      </c>
      <c r="CB538" s="32">
        <f t="shared" si="313"/>
        <v>45935</v>
      </c>
      <c r="CC538" t="str">
        <f t="shared" si="314"/>
        <v>Excellent</v>
      </c>
      <c r="CE538" s="32"/>
      <c r="CJ538">
        <f t="shared" si="315"/>
        <v>5</v>
      </c>
      <c r="CK538">
        <f t="shared" si="316"/>
        <v>10</v>
      </c>
      <c r="CL538">
        <f t="shared" si="317"/>
        <v>2025</v>
      </c>
    </row>
    <row r="539" spans="1:90" ht="15" customHeight="1" x14ac:dyDescent="0.35">
      <c r="A539" s="40">
        <v>45940.440289351849</v>
      </c>
      <c r="B539" t="s">
        <v>177</v>
      </c>
      <c r="C539" t="s">
        <v>214</v>
      </c>
      <c r="D539" t="s">
        <v>178</v>
      </c>
      <c r="E539" s="32">
        <v>45935</v>
      </c>
      <c r="F539" t="s">
        <v>90</v>
      </c>
      <c r="G539" s="2">
        <v>45757</v>
      </c>
      <c r="H539">
        <v>9444155261</v>
      </c>
      <c r="I539">
        <v>167</v>
      </c>
      <c r="J539" t="s">
        <v>208</v>
      </c>
      <c r="K539" t="s">
        <v>71</v>
      </c>
      <c r="L539" t="s">
        <v>72</v>
      </c>
      <c r="M539" t="s">
        <v>59</v>
      </c>
      <c r="N539" t="s">
        <v>59</v>
      </c>
      <c r="O539" t="s">
        <v>59</v>
      </c>
      <c r="P539" t="s">
        <v>59</v>
      </c>
      <c r="Q539" t="s">
        <v>59</v>
      </c>
      <c r="R539" t="s">
        <v>59</v>
      </c>
      <c r="S539" t="s">
        <v>59</v>
      </c>
      <c r="T539" t="s">
        <v>59</v>
      </c>
      <c r="U539" t="s">
        <v>59</v>
      </c>
      <c r="V539" t="s">
        <v>59</v>
      </c>
      <c r="W539" t="s">
        <v>59</v>
      </c>
      <c r="X539" t="s">
        <v>59</v>
      </c>
      <c r="Y539" t="s">
        <v>59</v>
      </c>
      <c r="Z539" t="s">
        <v>59</v>
      </c>
      <c r="AA539" t="s">
        <v>59</v>
      </c>
      <c r="AB539" t="s">
        <v>59</v>
      </c>
      <c r="AC539" t="s">
        <v>59</v>
      </c>
      <c r="AD539" t="s">
        <v>59</v>
      </c>
      <c r="AE539" t="s">
        <v>59</v>
      </c>
      <c r="AF539" t="s">
        <v>59</v>
      </c>
      <c r="AG539" t="s">
        <v>59</v>
      </c>
      <c r="AH539" t="s">
        <v>61</v>
      </c>
      <c r="AI539" t="s">
        <v>61</v>
      </c>
      <c r="AJ539" t="s">
        <v>59</v>
      </c>
      <c r="AK539" t="s">
        <v>59</v>
      </c>
      <c r="AL539" t="s">
        <v>60</v>
      </c>
      <c r="AM539" t="s">
        <v>59</v>
      </c>
      <c r="AN539" t="s">
        <v>59</v>
      </c>
      <c r="AO539" t="s">
        <v>59</v>
      </c>
      <c r="AP539" t="s">
        <v>37</v>
      </c>
      <c r="AQ539" s="1" t="s">
        <v>1268</v>
      </c>
      <c r="AR539" t="s">
        <v>64</v>
      </c>
      <c r="AS539" t="s">
        <v>94</v>
      </c>
      <c r="AT539" t="s">
        <v>95</v>
      </c>
      <c r="AU539" t="s">
        <v>299</v>
      </c>
      <c r="AW539" s="4">
        <f t="shared" si="283"/>
        <v>6</v>
      </c>
      <c r="AX539" s="4">
        <f t="shared" si="284"/>
        <v>4</v>
      </c>
      <c r="AY539" s="4">
        <f t="shared" si="285"/>
        <v>4</v>
      </c>
      <c r="AZ539" s="4">
        <f t="shared" si="286"/>
        <v>2</v>
      </c>
      <c r="BA539" s="4">
        <f t="shared" si="287"/>
        <v>4</v>
      </c>
      <c r="BB539" s="4">
        <f t="shared" si="288"/>
        <v>4</v>
      </c>
      <c r="BC539" s="4">
        <f t="shared" si="289"/>
        <v>4</v>
      </c>
      <c r="BD539" s="4">
        <f t="shared" si="290"/>
        <v>2</v>
      </c>
      <c r="BE539" s="4">
        <f t="shared" si="291"/>
        <v>4</v>
      </c>
      <c r="BF539" s="4">
        <f t="shared" si="292"/>
        <v>2</v>
      </c>
      <c r="BG539" s="4">
        <f t="shared" si="293"/>
        <v>4</v>
      </c>
      <c r="BH539" s="4">
        <f t="shared" si="294"/>
        <v>4</v>
      </c>
      <c r="BI539" s="4">
        <f t="shared" si="295"/>
        <v>4</v>
      </c>
      <c r="BJ539" s="4">
        <f t="shared" si="296"/>
        <v>2</v>
      </c>
      <c r="BK539" s="4">
        <f t="shared" si="297"/>
        <v>4</v>
      </c>
      <c r="BL539" s="4">
        <f t="shared" si="298"/>
        <v>2</v>
      </c>
      <c r="BM539" s="4">
        <f t="shared" si="299"/>
        <v>4</v>
      </c>
      <c r="BN539" s="4">
        <f t="shared" si="300"/>
        <v>4</v>
      </c>
      <c r="BO539" s="4">
        <f t="shared" si="301"/>
        <v>4</v>
      </c>
      <c r="BP539" s="4">
        <f t="shared" si="302"/>
        <v>4</v>
      </c>
      <c r="BQ539" s="4">
        <f t="shared" si="303"/>
        <v>6</v>
      </c>
      <c r="BR539" s="4">
        <f t="shared" si="304"/>
        <v>4</v>
      </c>
      <c r="BS539" s="4">
        <f t="shared" si="305"/>
        <v>4</v>
      </c>
      <c r="BT539" s="4">
        <f t="shared" si="306"/>
        <v>4</v>
      </c>
      <c r="BU539" s="4">
        <f t="shared" si="307"/>
        <v>4</v>
      </c>
      <c r="BV539" s="4" t="str">
        <f t="shared" si="308"/>
        <v>0</v>
      </c>
      <c r="BW539" s="4">
        <f t="shared" si="309"/>
        <v>6</v>
      </c>
      <c r="BX539" s="4">
        <f t="shared" si="310"/>
        <v>0</v>
      </c>
      <c r="BY539" s="4">
        <f t="shared" si="311"/>
        <v>0</v>
      </c>
      <c r="BZ539" s="37">
        <f t="shared" si="312"/>
        <v>100</v>
      </c>
      <c r="CA539" s="32" t="str">
        <f>VLOOKUP(J:J,'Agent wise'!A:C,3,0)</f>
        <v>Adharsh</v>
      </c>
      <c r="CB539" s="32">
        <f t="shared" si="313"/>
        <v>45935</v>
      </c>
      <c r="CC539" t="str">
        <f t="shared" si="314"/>
        <v>Excellent</v>
      </c>
      <c r="CE539" s="32"/>
      <c r="CJ539">
        <f t="shared" si="315"/>
        <v>5</v>
      </c>
      <c r="CK539">
        <f t="shared" si="316"/>
        <v>10</v>
      </c>
      <c r="CL539">
        <f t="shared" si="317"/>
        <v>2025</v>
      </c>
    </row>
    <row r="540" spans="1:90" ht="15" customHeight="1" x14ac:dyDescent="0.35">
      <c r="A540" s="40">
        <v>45940.473761574067</v>
      </c>
      <c r="B540" t="s">
        <v>177</v>
      </c>
      <c r="C540" t="s">
        <v>214</v>
      </c>
      <c r="D540" t="s">
        <v>178</v>
      </c>
      <c r="E540" s="32">
        <v>45936</v>
      </c>
      <c r="F540" t="s">
        <v>90</v>
      </c>
      <c r="G540" s="2">
        <v>45787</v>
      </c>
      <c r="H540">
        <v>9994682379</v>
      </c>
      <c r="I540">
        <v>164</v>
      </c>
      <c r="J540" t="s">
        <v>552</v>
      </c>
      <c r="K540" t="s">
        <v>71</v>
      </c>
      <c r="L540" t="s">
        <v>72</v>
      </c>
      <c r="M540" t="s">
        <v>59</v>
      </c>
      <c r="N540" t="s">
        <v>59</v>
      </c>
      <c r="O540" t="s">
        <v>59</v>
      </c>
      <c r="P540" t="s">
        <v>59</v>
      </c>
      <c r="Q540" t="s">
        <v>59</v>
      </c>
      <c r="R540" t="s">
        <v>59</v>
      </c>
      <c r="S540" t="s">
        <v>59</v>
      </c>
      <c r="T540" t="s">
        <v>59</v>
      </c>
      <c r="U540" t="s">
        <v>59</v>
      </c>
      <c r="V540" t="s">
        <v>59</v>
      </c>
      <c r="W540" t="s">
        <v>59</v>
      </c>
      <c r="X540" t="s">
        <v>59</v>
      </c>
      <c r="Y540" t="s">
        <v>59</v>
      </c>
      <c r="Z540" t="s">
        <v>59</v>
      </c>
      <c r="AA540" t="s">
        <v>59</v>
      </c>
      <c r="AB540" t="s">
        <v>59</v>
      </c>
      <c r="AC540" t="s">
        <v>59</v>
      </c>
      <c r="AD540" t="s">
        <v>59</v>
      </c>
      <c r="AE540" t="s">
        <v>59</v>
      </c>
      <c r="AF540" t="s">
        <v>59</v>
      </c>
      <c r="AG540" t="s">
        <v>59</v>
      </c>
      <c r="AH540" t="s">
        <v>59</v>
      </c>
      <c r="AI540" t="s">
        <v>61</v>
      </c>
      <c r="AJ540" t="s">
        <v>59</v>
      </c>
      <c r="AK540" t="s">
        <v>59</v>
      </c>
      <c r="AL540" t="s">
        <v>60</v>
      </c>
      <c r="AM540" t="s">
        <v>59</v>
      </c>
      <c r="AN540" t="s">
        <v>59</v>
      </c>
      <c r="AO540" t="s">
        <v>59</v>
      </c>
      <c r="AP540" t="s">
        <v>1267</v>
      </c>
      <c r="AQ540" s="1" t="s">
        <v>1269</v>
      </c>
      <c r="AR540" t="s">
        <v>64</v>
      </c>
      <c r="AS540" t="s">
        <v>210</v>
      </c>
      <c r="AT540" t="s">
        <v>211</v>
      </c>
      <c r="AU540" t="s">
        <v>219</v>
      </c>
      <c r="AW540" s="4">
        <f t="shared" si="283"/>
        <v>6</v>
      </c>
      <c r="AX540" s="4">
        <f t="shared" si="284"/>
        <v>4</v>
      </c>
      <c r="AY540" s="4">
        <f t="shared" si="285"/>
        <v>4</v>
      </c>
      <c r="AZ540" s="4">
        <f t="shared" si="286"/>
        <v>2</v>
      </c>
      <c r="BA540" s="4">
        <f t="shared" si="287"/>
        <v>4</v>
      </c>
      <c r="BB540" s="4">
        <f t="shared" si="288"/>
        <v>4</v>
      </c>
      <c r="BC540" s="4">
        <f t="shared" si="289"/>
        <v>4</v>
      </c>
      <c r="BD540" s="4">
        <f t="shared" si="290"/>
        <v>2</v>
      </c>
      <c r="BE540" s="4">
        <f t="shared" si="291"/>
        <v>4</v>
      </c>
      <c r="BF540" s="4">
        <f t="shared" si="292"/>
        <v>2</v>
      </c>
      <c r="BG540" s="4">
        <f t="shared" si="293"/>
        <v>4</v>
      </c>
      <c r="BH540" s="4">
        <f t="shared" si="294"/>
        <v>4</v>
      </c>
      <c r="BI540" s="4">
        <f t="shared" si="295"/>
        <v>4</v>
      </c>
      <c r="BJ540" s="4">
        <f t="shared" si="296"/>
        <v>2</v>
      </c>
      <c r="BK540" s="4">
        <f t="shared" si="297"/>
        <v>4</v>
      </c>
      <c r="BL540" s="4">
        <f t="shared" si="298"/>
        <v>2</v>
      </c>
      <c r="BM540" s="4">
        <f t="shared" si="299"/>
        <v>4</v>
      </c>
      <c r="BN540" s="4">
        <f t="shared" si="300"/>
        <v>4</v>
      </c>
      <c r="BO540" s="4">
        <f t="shared" si="301"/>
        <v>4</v>
      </c>
      <c r="BP540" s="4">
        <f t="shared" si="302"/>
        <v>4</v>
      </c>
      <c r="BQ540" s="4">
        <f t="shared" si="303"/>
        <v>6</v>
      </c>
      <c r="BR540" s="4">
        <f t="shared" si="304"/>
        <v>4</v>
      </c>
      <c r="BS540" s="4">
        <f t="shared" si="305"/>
        <v>4</v>
      </c>
      <c r="BT540" s="4">
        <f t="shared" si="306"/>
        <v>4</v>
      </c>
      <c r="BU540" s="4">
        <f t="shared" si="307"/>
        <v>4</v>
      </c>
      <c r="BV540" s="4" t="str">
        <f t="shared" si="308"/>
        <v>0</v>
      </c>
      <c r="BW540" s="4">
        <f t="shared" si="309"/>
        <v>6</v>
      </c>
      <c r="BX540" s="4">
        <f t="shared" si="310"/>
        <v>0</v>
      </c>
      <c r="BY540" s="4">
        <f t="shared" si="311"/>
        <v>0</v>
      </c>
      <c r="BZ540" s="37">
        <f t="shared" si="312"/>
        <v>100</v>
      </c>
      <c r="CA540" s="32" t="str">
        <f>VLOOKUP(J:J,'Agent wise'!A:C,3,0)</f>
        <v xml:space="preserve">Shiny </v>
      </c>
      <c r="CB540" s="32">
        <f t="shared" si="313"/>
        <v>45936</v>
      </c>
      <c r="CC540" t="str">
        <f t="shared" si="314"/>
        <v>Excellent</v>
      </c>
      <c r="CE540" s="32"/>
      <c r="CJ540">
        <f t="shared" si="315"/>
        <v>6</v>
      </c>
      <c r="CK540">
        <f t="shared" si="316"/>
        <v>10</v>
      </c>
      <c r="CL540">
        <f t="shared" si="317"/>
        <v>2025</v>
      </c>
    </row>
    <row r="541" spans="1:90" ht="15" customHeight="1" x14ac:dyDescent="0.35">
      <c r="A541" s="40">
        <v>45940.478009259263</v>
      </c>
      <c r="B541" t="s">
        <v>177</v>
      </c>
      <c r="C541" t="s">
        <v>214</v>
      </c>
      <c r="D541" t="s">
        <v>178</v>
      </c>
      <c r="E541" s="32">
        <v>45936</v>
      </c>
      <c r="F541" t="s">
        <v>90</v>
      </c>
      <c r="G541" s="2">
        <v>45787</v>
      </c>
      <c r="H541">
        <v>9840414314</v>
      </c>
      <c r="I541">
        <v>183</v>
      </c>
      <c r="J541" t="s">
        <v>108</v>
      </c>
      <c r="K541" t="s">
        <v>71</v>
      </c>
      <c r="L541" t="s">
        <v>72</v>
      </c>
      <c r="M541" t="s">
        <v>59</v>
      </c>
      <c r="N541" t="s">
        <v>59</v>
      </c>
      <c r="O541" t="s">
        <v>59</v>
      </c>
      <c r="P541" t="s">
        <v>59</v>
      </c>
      <c r="Q541" t="s">
        <v>59</v>
      </c>
      <c r="R541" t="s">
        <v>59</v>
      </c>
      <c r="S541" t="s">
        <v>59</v>
      </c>
      <c r="T541" t="s">
        <v>59</v>
      </c>
      <c r="U541" t="s">
        <v>59</v>
      </c>
      <c r="V541" t="s">
        <v>59</v>
      </c>
      <c r="W541" t="s">
        <v>59</v>
      </c>
      <c r="X541" t="s">
        <v>59</v>
      </c>
      <c r="Y541" t="s">
        <v>59</v>
      </c>
      <c r="Z541" t="s">
        <v>59</v>
      </c>
      <c r="AA541" t="s">
        <v>59</v>
      </c>
      <c r="AB541" t="s">
        <v>59</v>
      </c>
      <c r="AC541" t="s">
        <v>61</v>
      </c>
      <c r="AD541" t="s">
        <v>59</v>
      </c>
      <c r="AE541" t="s">
        <v>59</v>
      </c>
      <c r="AF541" t="s">
        <v>59</v>
      </c>
      <c r="AG541" t="s">
        <v>59</v>
      </c>
      <c r="AH541" t="s">
        <v>61</v>
      </c>
      <c r="AI541" t="s">
        <v>61</v>
      </c>
      <c r="AJ541" t="s">
        <v>59</v>
      </c>
      <c r="AK541" t="s">
        <v>59</v>
      </c>
      <c r="AL541" t="s">
        <v>60</v>
      </c>
      <c r="AM541" t="s">
        <v>59</v>
      </c>
      <c r="AN541" t="s">
        <v>59</v>
      </c>
      <c r="AO541" t="s">
        <v>59</v>
      </c>
      <c r="AP541" t="s">
        <v>37</v>
      </c>
      <c r="AQ541" s="1" t="s">
        <v>1270</v>
      </c>
      <c r="AR541" t="s">
        <v>64</v>
      </c>
      <c r="AS541" t="s">
        <v>94</v>
      </c>
      <c r="AT541" t="s">
        <v>95</v>
      </c>
      <c r="AU541" t="s">
        <v>219</v>
      </c>
      <c r="AW541" s="4">
        <f t="shared" si="283"/>
        <v>6</v>
      </c>
      <c r="AX541" s="4">
        <f t="shared" si="284"/>
        <v>4</v>
      </c>
      <c r="AY541" s="4">
        <f t="shared" si="285"/>
        <v>4</v>
      </c>
      <c r="AZ541" s="4">
        <f t="shared" si="286"/>
        <v>2</v>
      </c>
      <c r="BA541" s="4">
        <f t="shared" si="287"/>
        <v>4</v>
      </c>
      <c r="BB541" s="4">
        <f t="shared" si="288"/>
        <v>4</v>
      </c>
      <c r="BC541" s="4">
        <f t="shared" si="289"/>
        <v>4</v>
      </c>
      <c r="BD541" s="4">
        <f t="shared" si="290"/>
        <v>2</v>
      </c>
      <c r="BE541" s="4">
        <f t="shared" si="291"/>
        <v>4</v>
      </c>
      <c r="BF541" s="4">
        <f t="shared" si="292"/>
        <v>2</v>
      </c>
      <c r="BG541" s="4">
        <f t="shared" si="293"/>
        <v>4</v>
      </c>
      <c r="BH541" s="4">
        <f t="shared" si="294"/>
        <v>4</v>
      </c>
      <c r="BI541" s="4">
        <f t="shared" si="295"/>
        <v>4</v>
      </c>
      <c r="BJ541" s="4">
        <f t="shared" si="296"/>
        <v>2</v>
      </c>
      <c r="BK541" s="4">
        <f t="shared" si="297"/>
        <v>4</v>
      </c>
      <c r="BL541" s="4">
        <f t="shared" si="298"/>
        <v>2</v>
      </c>
      <c r="BM541" s="4">
        <f t="shared" si="299"/>
        <v>4</v>
      </c>
      <c r="BN541" s="4">
        <f t="shared" si="300"/>
        <v>4</v>
      </c>
      <c r="BO541" s="4">
        <f t="shared" si="301"/>
        <v>4</v>
      </c>
      <c r="BP541" s="4">
        <f t="shared" si="302"/>
        <v>4</v>
      </c>
      <c r="BQ541" s="4">
        <f t="shared" si="303"/>
        <v>6</v>
      </c>
      <c r="BR541" s="4">
        <f t="shared" si="304"/>
        <v>4</v>
      </c>
      <c r="BS541" s="4">
        <f t="shared" si="305"/>
        <v>4</v>
      </c>
      <c r="BT541" s="4">
        <f t="shared" si="306"/>
        <v>4</v>
      </c>
      <c r="BU541" s="4">
        <f t="shared" si="307"/>
        <v>4</v>
      </c>
      <c r="BV541" s="4" t="str">
        <f t="shared" si="308"/>
        <v>0</v>
      </c>
      <c r="BW541" s="4">
        <f t="shared" si="309"/>
        <v>6</v>
      </c>
      <c r="BX541" s="4">
        <f t="shared" si="310"/>
        <v>0</v>
      </c>
      <c r="BY541" s="4">
        <f t="shared" si="311"/>
        <v>0</v>
      </c>
      <c r="BZ541" s="37">
        <f t="shared" si="312"/>
        <v>100</v>
      </c>
      <c r="CA541" s="32" t="str">
        <f>VLOOKUP(J:J,'Agent wise'!A:C,3,0)</f>
        <v xml:space="preserve">Shiny </v>
      </c>
      <c r="CB541" s="32">
        <f t="shared" si="313"/>
        <v>45936</v>
      </c>
      <c r="CC541" t="str">
        <f t="shared" si="314"/>
        <v>Excellent</v>
      </c>
      <c r="CE541" s="32"/>
      <c r="CJ541">
        <f t="shared" si="315"/>
        <v>6</v>
      </c>
      <c r="CK541">
        <f t="shared" si="316"/>
        <v>10</v>
      </c>
      <c r="CL541">
        <f t="shared" si="317"/>
        <v>2025</v>
      </c>
    </row>
    <row r="542" spans="1:90" ht="15" customHeight="1" x14ac:dyDescent="0.35">
      <c r="A542" s="40">
        <v>45940.482523148137</v>
      </c>
      <c r="B542" t="s">
        <v>177</v>
      </c>
      <c r="C542" t="s">
        <v>214</v>
      </c>
      <c r="D542" t="s">
        <v>178</v>
      </c>
      <c r="E542" s="32">
        <v>45938</v>
      </c>
      <c r="F542" t="s">
        <v>90</v>
      </c>
      <c r="G542" s="2">
        <v>45848</v>
      </c>
      <c r="H542">
        <v>9445841578</v>
      </c>
      <c r="I542">
        <v>108</v>
      </c>
      <c r="J542" t="s">
        <v>490</v>
      </c>
      <c r="K542" t="s">
        <v>71</v>
      </c>
      <c r="L542" t="s">
        <v>72</v>
      </c>
      <c r="M542" t="s">
        <v>59</v>
      </c>
      <c r="N542" t="s">
        <v>59</v>
      </c>
      <c r="O542" t="s">
        <v>59</v>
      </c>
      <c r="P542" t="s">
        <v>59</v>
      </c>
      <c r="Q542" t="s">
        <v>59</v>
      </c>
      <c r="R542" t="s">
        <v>59</v>
      </c>
      <c r="S542" t="s">
        <v>59</v>
      </c>
      <c r="T542" t="s">
        <v>59</v>
      </c>
      <c r="U542" t="s">
        <v>59</v>
      </c>
      <c r="V542" t="s">
        <v>59</v>
      </c>
      <c r="W542" t="s">
        <v>59</v>
      </c>
      <c r="X542" t="s">
        <v>59</v>
      </c>
      <c r="Y542" t="s">
        <v>59</v>
      </c>
      <c r="Z542" t="s">
        <v>59</v>
      </c>
      <c r="AA542" t="s">
        <v>59</v>
      </c>
      <c r="AB542" t="s">
        <v>59</v>
      </c>
      <c r="AC542" t="s">
        <v>59</v>
      </c>
      <c r="AD542" t="s">
        <v>59</v>
      </c>
      <c r="AE542" t="s">
        <v>59</v>
      </c>
      <c r="AF542" t="s">
        <v>59</v>
      </c>
      <c r="AG542" t="s">
        <v>60</v>
      </c>
      <c r="AH542" t="s">
        <v>61</v>
      </c>
      <c r="AI542" t="s">
        <v>61</v>
      </c>
      <c r="AJ542" t="s">
        <v>59</v>
      </c>
      <c r="AK542" t="s">
        <v>59</v>
      </c>
      <c r="AL542" t="s">
        <v>60</v>
      </c>
      <c r="AM542" t="s">
        <v>59</v>
      </c>
      <c r="AN542" t="s">
        <v>59</v>
      </c>
      <c r="AO542" t="s">
        <v>59</v>
      </c>
      <c r="AP542" t="s">
        <v>1271</v>
      </c>
      <c r="AQ542" s="1" t="s">
        <v>201</v>
      </c>
      <c r="AR542" t="s">
        <v>64</v>
      </c>
      <c r="AS542" t="s">
        <v>210</v>
      </c>
      <c r="AT542" t="s">
        <v>1272</v>
      </c>
      <c r="AU542" t="s">
        <v>387</v>
      </c>
      <c r="AW542" s="4">
        <f t="shared" si="283"/>
        <v>6</v>
      </c>
      <c r="AX542" s="4">
        <f t="shared" si="284"/>
        <v>4</v>
      </c>
      <c r="AY542" s="4">
        <f t="shared" si="285"/>
        <v>4</v>
      </c>
      <c r="AZ542" s="4">
        <f t="shared" si="286"/>
        <v>2</v>
      </c>
      <c r="BA542" s="4">
        <f t="shared" si="287"/>
        <v>4</v>
      </c>
      <c r="BB542" s="4">
        <f t="shared" si="288"/>
        <v>4</v>
      </c>
      <c r="BC542" s="4">
        <f t="shared" si="289"/>
        <v>4</v>
      </c>
      <c r="BD542" s="4">
        <f t="shared" si="290"/>
        <v>2</v>
      </c>
      <c r="BE542" s="4">
        <f t="shared" si="291"/>
        <v>4</v>
      </c>
      <c r="BF542" s="4">
        <f t="shared" si="292"/>
        <v>2</v>
      </c>
      <c r="BG542" s="4">
        <f t="shared" si="293"/>
        <v>4</v>
      </c>
      <c r="BH542" s="4">
        <f t="shared" si="294"/>
        <v>4</v>
      </c>
      <c r="BI542" s="4">
        <f t="shared" si="295"/>
        <v>4</v>
      </c>
      <c r="BJ542" s="4">
        <f t="shared" si="296"/>
        <v>2</v>
      </c>
      <c r="BK542" s="4">
        <f t="shared" si="297"/>
        <v>4</v>
      </c>
      <c r="BL542" s="4">
        <f t="shared" si="298"/>
        <v>2</v>
      </c>
      <c r="BM542" s="4">
        <f t="shared" si="299"/>
        <v>4</v>
      </c>
      <c r="BN542" s="4">
        <f t="shared" si="300"/>
        <v>4</v>
      </c>
      <c r="BO542" s="4">
        <f t="shared" si="301"/>
        <v>4</v>
      </c>
      <c r="BP542" s="4">
        <f t="shared" si="302"/>
        <v>4</v>
      </c>
      <c r="BQ542" s="4" t="str">
        <f t="shared" si="303"/>
        <v>0</v>
      </c>
      <c r="BR542" s="4">
        <f t="shared" si="304"/>
        <v>4</v>
      </c>
      <c r="BS542" s="4">
        <f t="shared" si="305"/>
        <v>4</v>
      </c>
      <c r="BT542" s="4">
        <f t="shared" si="306"/>
        <v>4</v>
      </c>
      <c r="BU542" s="4">
        <f t="shared" si="307"/>
        <v>4</v>
      </c>
      <c r="BV542" s="4" t="str">
        <f t="shared" si="308"/>
        <v>0</v>
      </c>
      <c r="BW542" s="4">
        <f t="shared" si="309"/>
        <v>6</v>
      </c>
      <c r="BX542" s="4">
        <f t="shared" si="310"/>
        <v>0</v>
      </c>
      <c r="BY542" s="4">
        <f t="shared" si="311"/>
        <v>0</v>
      </c>
      <c r="BZ542" s="37">
        <f t="shared" si="312"/>
        <v>94</v>
      </c>
      <c r="CA542" s="32" t="str">
        <f>VLOOKUP(J:J,'Agent wise'!A:C,3,0)</f>
        <v>Saran S</v>
      </c>
      <c r="CB542" s="32">
        <f t="shared" si="313"/>
        <v>45938</v>
      </c>
      <c r="CC542" t="str">
        <f t="shared" si="314"/>
        <v>Good</v>
      </c>
      <c r="CE542" s="32"/>
      <c r="CJ542">
        <f t="shared" si="315"/>
        <v>8</v>
      </c>
      <c r="CK542">
        <f t="shared" si="316"/>
        <v>10</v>
      </c>
      <c r="CL542">
        <f t="shared" si="317"/>
        <v>2025</v>
      </c>
    </row>
    <row r="543" spans="1:90" ht="15" customHeight="1" x14ac:dyDescent="0.35">
      <c r="A543" s="40">
        <v>45940.486898148149</v>
      </c>
      <c r="B543" t="s">
        <v>51</v>
      </c>
      <c r="C543" t="s">
        <v>214</v>
      </c>
      <c r="D543" t="s">
        <v>53</v>
      </c>
      <c r="E543" s="32">
        <v>45940</v>
      </c>
      <c r="F543" t="s">
        <v>54</v>
      </c>
      <c r="G543" s="2">
        <v>45910</v>
      </c>
      <c r="H543">
        <v>8547040211</v>
      </c>
      <c r="I543">
        <v>253</v>
      </c>
      <c r="J543" t="s">
        <v>204</v>
      </c>
      <c r="K543" t="s">
        <v>57</v>
      </c>
      <c r="L543" t="s">
        <v>58</v>
      </c>
      <c r="M543" t="s">
        <v>59</v>
      </c>
      <c r="N543" t="s">
        <v>59</v>
      </c>
      <c r="O543" t="s">
        <v>59</v>
      </c>
      <c r="P543" t="s">
        <v>59</v>
      </c>
      <c r="Q543" t="s">
        <v>59</v>
      </c>
      <c r="R543" t="s">
        <v>60</v>
      </c>
      <c r="S543" t="s">
        <v>59</v>
      </c>
      <c r="T543" t="s">
        <v>59</v>
      </c>
      <c r="U543" t="s">
        <v>60</v>
      </c>
      <c r="V543" t="s">
        <v>59</v>
      </c>
      <c r="W543" t="s">
        <v>59</v>
      </c>
      <c r="X543" t="s">
        <v>59</v>
      </c>
      <c r="Y543" t="s">
        <v>59</v>
      </c>
      <c r="Z543" t="s">
        <v>59</v>
      </c>
      <c r="AA543" t="s">
        <v>59</v>
      </c>
      <c r="AB543" t="s">
        <v>59</v>
      </c>
      <c r="AC543" t="s">
        <v>61</v>
      </c>
      <c r="AD543" t="s">
        <v>59</v>
      </c>
      <c r="AE543" t="s">
        <v>60</v>
      </c>
      <c r="AF543" t="s">
        <v>61</v>
      </c>
      <c r="AG543" t="s">
        <v>59</v>
      </c>
      <c r="AH543" t="s">
        <v>61</v>
      </c>
      <c r="AI543" t="s">
        <v>60</v>
      </c>
      <c r="AJ543" t="s">
        <v>59</v>
      </c>
      <c r="AK543" t="s">
        <v>61</v>
      </c>
      <c r="AL543" t="s">
        <v>60</v>
      </c>
      <c r="AM543" t="s">
        <v>59</v>
      </c>
      <c r="AN543" t="s">
        <v>59</v>
      </c>
      <c r="AO543" t="s">
        <v>59</v>
      </c>
      <c r="AP543" t="s">
        <v>1273</v>
      </c>
      <c r="AQ543" t="s">
        <v>506</v>
      </c>
      <c r="AR543" t="s">
        <v>64</v>
      </c>
      <c r="AS543" t="s">
        <v>78</v>
      </c>
      <c r="AT543" t="s">
        <v>507</v>
      </c>
      <c r="AU543" t="s">
        <v>448</v>
      </c>
      <c r="AW543" s="4">
        <f t="shared" si="283"/>
        <v>6</v>
      </c>
      <c r="AX543" s="4">
        <f t="shared" si="284"/>
        <v>4</v>
      </c>
      <c r="AY543" s="4">
        <f t="shared" si="285"/>
        <v>4</v>
      </c>
      <c r="AZ543" s="4">
        <f t="shared" si="286"/>
        <v>2</v>
      </c>
      <c r="BA543" s="4">
        <f t="shared" si="287"/>
        <v>4</v>
      </c>
      <c r="BB543" s="4" t="str">
        <f t="shared" si="288"/>
        <v>0</v>
      </c>
      <c r="BC543" s="4">
        <f t="shared" si="289"/>
        <v>4</v>
      </c>
      <c r="BD543" s="4">
        <f t="shared" si="290"/>
        <v>2</v>
      </c>
      <c r="BE543" s="4" t="str">
        <f t="shared" si="291"/>
        <v>0</v>
      </c>
      <c r="BF543" s="4">
        <f t="shared" si="292"/>
        <v>2</v>
      </c>
      <c r="BG543" s="4">
        <f t="shared" si="293"/>
        <v>4</v>
      </c>
      <c r="BH543" s="4">
        <f t="shared" si="294"/>
        <v>4</v>
      </c>
      <c r="BI543" s="4">
        <f t="shared" si="295"/>
        <v>4</v>
      </c>
      <c r="BJ543" s="4">
        <f t="shared" si="296"/>
        <v>2</v>
      </c>
      <c r="BK543" s="4">
        <f t="shared" si="297"/>
        <v>4</v>
      </c>
      <c r="BL543" s="4">
        <f t="shared" si="298"/>
        <v>2</v>
      </c>
      <c r="BM543" s="4">
        <f t="shared" si="299"/>
        <v>4</v>
      </c>
      <c r="BN543" s="4">
        <f t="shared" si="300"/>
        <v>4</v>
      </c>
      <c r="BO543" s="4" t="str">
        <f t="shared" si="301"/>
        <v>0</v>
      </c>
      <c r="BP543" s="4">
        <f t="shared" si="302"/>
        <v>4</v>
      </c>
      <c r="BQ543" s="4">
        <f t="shared" si="303"/>
        <v>6</v>
      </c>
      <c r="BR543" s="4">
        <f t="shared" si="304"/>
        <v>4</v>
      </c>
      <c r="BS543" s="4" t="str">
        <f t="shared" si="305"/>
        <v>0</v>
      </c>
      <c r="BT543" s="4">
        <f t="shared" si="306"/>
        <v>4</v>
      </c>
      <c r="BU543" s="4">
        <f t="shared" si="307"/>
        <v>4</v>
      </c>
      <c r="BV543" s="4" t="str">
        <f t="shared" si="308"/>
        <v>0</v>
      </c>
      <c r="BW543" s="4">
        <f t="shared" si="309"/>
        <v>6</v>
      </c>
      <c r="BX543" s="4">
        <f t="shared" si="310"/>
        <v>0</v>
      </c>
      <c r="BY543" s="4">
        <f t="shared" si="311"/>
        <v>0</v>
      </c>
      <c r="BZ543" s="37">
        <f t="shared" si="312"/>
        <v>84</v>
      </c>
      <c r="CA543" s="32" t="str">
        <f>VLOOKUP(J:J,'Agent wise'!A:C,3,0)</f>
        <v xml:space="preserve">Shiny </v>
      </c>
      <c r="CB543" s="32">
        <f t="shared" si="313"/>
        <v>45940</v>
      </c>
      <c r="CC543" t="str">
        <f t="shared" si="314"/>
        <v>FC</v>
      </c>
      <c r="CE543" s="32"/>
      <c r="CJ543">
        <f t="shared" si="315"/>
        <v>10</v>
      </c>
      <c r="CK543">
        <f t="shared" si="316"/>
        <v>10</v>
      </c>
      <c r="CL543">
        <f t="shared" si="317"/>
        <v>2025</v>
      </c>
    </row>
    <row r="544" spans="1:90" ht="15" customHeight="1" x14ac:dyDescent="0.35">
      <c r="A544" s="40">
        <v>45940.497465277767</v>
      </c>
      <c r="B544" t="s">
        <v>177</v>
      </c>
      <c r="C544" t="s">
        <v>214</v>
      </c>
      <c r="D544" t="s">
        <v>178</v>
      </c>
      <c r="E544" s="32">
        <v>45938</v>
      </c>
      <c r="F544" t="s">
        <v>90</v>
      </c>
      <c r="G544" s="2">
        <v>45848</v>
      </c>
      <c r="H544">
        <v>9442025547</v>
      </c>
      <c r="I544">
        <v>164</v>
      </c>
      <c r="J544" t="s">
        <v>643</v>
      </c>
      <c r="K544" t="s">
        <v>71</v>
      </c>
      <c r="L544" t="s">
        <v>72</v>
      </c>
      <c r="M544" t="s">
        <v>59</v>
      </c>
      <c r="N544" t="s">
        <v>59</v>
      </c>
      <c r="O544" t="s">
        <v>59</v>
      </c>
      <c r="P544" t="s">
        <v>59</v>
      </c>
      <c r="Q544" t="s">
        <v>59</v>
      </c>
      <c r="R544" t="s">
        <v>59</v>
      </c>
      <c r="S544" t="s">
        <v>59</v>
      </c>
      <c r="T544" t="s">
        <v>59</v>
      </c>
      <c r="U544" t="s">
        <v>59</v>
      </c>
      <c r="V544" t="s">
        <v>59</v>
      </c>
      <c r="W544" t="s">
        <v>59</v>
      </c>
      <c r="X544" t="s">
        <v>59</v>
      </c>
      <c r="Y544" t="s">
        <v>59</v>
      </c>
      <c r="Z544" t="s">
        <v>59</v>
      </c>
      <c r="AA544" t="s">
        <v>59</v>
      </c>
      <c r="AB544" t="s">
        <v>59</v>
      </c>
      <c r="AC544" t="s">
        <v>59</v>
      </c>
      <c r="AD544" t="s">
        <v>59</v>
      </c>
      <c r="AE544" t="s">
        <v>59</v>
      </c>
      <c r="AF544" t="s">
        <v>59</v>
      </c>
      <c r="AG544" t="s">
        <v>59</v>
      </c>
      <c r="AH544" t="s">
        <v>61</v>
      </c>
      <c r="AI544" t="s">
        <v>61</v>
      </c>
      <c r="AJ544" t="s">
        <v>59</v>
      </c>
      <c r="AK544" t="s">
        <v>59</v>
      </c>
      <c r="AL544" t="s">
        <v>60</v>
      </c>
      <c r="AM544" t="s">
        <v>59</v>
      </c>
      <c r="AN544" t="s">
        <v>59</v>
      </c>
      <c r="AO544" t="s">
        <v>59</v>
      </c>
      <c r="AP544" t="s">
        <v>37</v>
      </c>
      <c r="AQ544" s="1" t="s">
        <v>1274</v>
      </c>
      <c r="AR544" t="s">
        <v>64</v>
      </c>
      <c r="AS544" t="s">
        <v>202</v>
      </c>
      <c r="AT544" t="s">
        <v>203</v>
      </c>
      <c r="AU544" t="s">
        <v>299</v>
      </c>
      <c r="AW544" s="4">
        <f t="shared" si="283"/>
        <v>6</v>
      </c>
      <c r="AX544" s="4">
        <f t="shared" si="284"/>
        <v>4</v>
      </c>
      <c r="AY544" s="4">
        <f t="shared" si="285"/>
        <v>4</v>
      </c>
      <c r="AZ544" s="4">
        <f t="shared" si="286"/>
        <v>2</v>
      </c>
      <c r="BA544" s="4">
        <f t="shared" si="287"/>
        <v>4</v>
      </c>
      <c r="BB544" s="4">
        <f t="shared" si="288"/>
        <v>4</v>
      </c>
      <c r="BC544" s="4">
        <f t="shared" si="289"/>
        <v>4</v>
      </c>
      <c r="BD544" s="4">
        <f t="shared" si="290"/>
        <v>2</v>
      </c>
      <c r="BE544" s="4">
        <f t="shared" si="291"/>
        <v>4</v>
      </c>
      <c r="BF544" s="4">
        <f t="shared" si="292"/>
        <v>2</v>
      </c>
      <c r="BG544" s="4">
        <f t="shared" si="293"/>
        <v>4</v>
      </c>
      <c r="BH544" s="4">
        <f t="shared" si="294"/>
        <v>4</v>
      </c>
      <c r="BI544" s="4">
        <f t="shared" si="295"/>
        <v>4</v>
      </c>
      <c r="BJ544" s="4">
        <f t="shared" si="296"/>
        <v>2</v>
      </c>
      <c r="BK544" s="4">
        <f t="shared" si="297"/>
        <v>4</v>
      </c>
      <c r="BL544" s="4">
        <f t="shared" si="298"/>
        <v>2</v>
      </c>
      <c r="BM544" s="4">
        <f t="shared" si="299"/>
        <v>4</v>
      </c>
      <c r="BN544" s="4">
        <f t="shared" si="300"/>
        <v>4</v>
      </c>
      <c r="BO544" s="4">
        <f t="shared" si="301"/>
        <v>4</v>
      </c>
      <c r="BP544" s="4">
        <f t="shared" si="302"/>
        <v>4</v>
      </c>
      <c r="BQ544" s="4">
        <f t="shared" si="303"/>
        <v>6</v>
      </c>
      <c r="BR544" s="4">
        <f t="shared" si="304"/>
        <v>4</v>
      </c>
      <c r="BS544" s="4">
        <f t="shared" si="305"/>
        <v>4</v>
      </c>
      <c r="BT544" s="4">
        <f t="shared" si="306"/>
        <v>4</v>
      </c>
      <c r="BU544" s="4">
        <f t="shared" si="307"/>
        <v>4</v>
      </c>
      <c r="BV544" s="4" t="str">
        <f t="shared" si="308"/>
        <v>0</v>
      </c>
      <c r="BW544" s="4">
        <f t="shared" si="309"/>
        <v>6</v>
      </c>
      <c r="BX544" s="4">
        <f t="shared" si="310"/>
        <v>0</v>
      </c>
      <c r="BY544" s="4">
        <f t="shared" si="311"/>
        <v>0</v>
      </c>
      <c r="BZ544" s="37">
        <f t="shared" si="312"/>
        <v>100</v>
      </c>
      <c r="CA544" s="32" t="str">
        <f>VLOOKUP(J:J,'Agent wise'!A:C,3,0)</f>
        <v xml:space="preserve">Shiny </v>
      </c>
      <c r="CB544" s="32">
        <f t="shared" si="313"/>
        <v>45938</v>
      </c>
      <c r="CC544" t="str">
        <f t="shared" si="314"/>
        <v>Excellent</v>
      </c>
      <c r="CE544" s="32"/>
      <c r="CJ544">
        <f t="shared" si="315"/>
        <v>8</v>
      </c>
      <c r="CK544">
        <f t="shared" si="316"/>
        <v>10</v>
      </c>
      <c r="CL544">
        <f t="shared" si="317"/>
        <v>2025</v>
      </c>
    </row>
    <row r="545" spans="1:90" ht="15" customHeight="1" x14ac:dyDescent="0.35">
      <c r="A545" s="40">
        <v>45940.499548611107</v>
      </c>
      <c r="B545" t="s">
        <v>51</v>
      </c>
      <c r="C545" t="s">
        <v>214</v>
      </c>
      <c r="D545" t="s">
        <v>53</v>
      </c>
      <c r="E545" s="32">
        <v>45940</v>
      </c>
      <c r="F545" t="s">
        <v>54</v>
      </c>
      <c r="G545" s="2">
        <v>45910</v>
      </c>
      <c r="H545">
        <v>8289836560</v>
      </c>
      <c r="I545">
        <v>143</v>
      </c>
      <c r="J545" t="s">
        <v>238</v>
      </c>
      <c r="K545" t="s">
        <v>57</v>
      </c>
      <c r="L545" t="s">
        <v>58</v>
      </c>
      <c r="M545" t="s">
        <v>59</v>
      </c>
      <c r="N545" t="s">
        <v>59</v>
      </c>
      <c r="O545" t="s">
        <v>59</v>
      </c>
      <c r="P545" t="s">
        <v>59</v>
      </c>
      <c r="Q545" t="s">
        <v>59</v>
      </c>
      <c r="R545" t="s">
        <v>60</v>
      </c>
      <c r="S545" t="s">
        <v>59</v>
      </c>
      <c r="T545" t="s">
        <v>59</v>
      </c>
      <c r="U545" t="s">
        <v>60</v>
      </c>
      <c r="V545" t="s">
        <v>60</v>
      </c>
      <c r="W545" t="s">
        <v>59</v>
      </c>
      <c r="X545" t="s">
        <v>59</v>
      </c>
      <c r="Y545" t="s">
        <v>59</v>
      </c>
      <c r="Z545" t="s">
        <v>59</v>
      </c>
      <c r="AA545" t="s">
        <v>60</v>
      </c>
      <c r="AB545" t="s">
        <v>60</v>
      </c>
      <c r="AC545" t="s">
        <v>61</v>
      </c>
      <c r="AD545" t="s">
        <v>59</v>
      </c>
      <c r="AE545" t="s">
        <v>59</v>
      </c>
      <c r="AF545" t="s">
        <v>61</v>
      </c>
      <c r="AG545" t="s">
        <v>59</v>
      </c>
      <c r="AH545" t="s">
        <v>61</v>
      </c>
      <c r="AI545" t="s">
        <v>61</v>
      </c>
      <c r="AJ545" t="s">
        <v>59</v>
      </c>
      <c r="AK545" t="s">
        <v>61</v>
      </c>
      <c r="AL545" t="s">
        <v>60</v>
      </c>
      <c r="AM545" t="s">
        <v>59</v>
      </c>
      <c r="AN545" t="s">
        <v>59</v>
      </c>
      <c r="AO545" t="s">
        <v>59</v>
      </c>
      <c r="AP545" t="s">
        <v>1275</v>
      </c>
      <c r="AQ545" t="s">
        <v>1276</v>
      </c>
      <c r="AR545" t="s">
        <v>64</v>
      </c>
      <c r="AS545" t="s">
        <v>135</v>
      </c>
      <c r="AT545" t="s">
        <v>194</v>
      </c>
      <c r="AU545" t="s">
        <v>299</v>
      </c>
      <c r="AW545" s="4">
        <f t="shared" si="283"/>
        <v>6</v>
      </c>
      <c r="AX545" s="4">
        <f t="shared" si="284"/>
        <v>4</v>
      </c>
      <c r="AY545" s="4">
        <f t="shared" si="285"/>
        <v>4</v>
      </c>
      <c r="AZ545" s="4">
        <f t="shared" si="286"/>
        <v>2</v>
      </c>
      <c r="BA545" s="4">
        <f t="shared" si="287"/>
        <v>4</v>
      </c>
      <c r="BB545" s="4" t="str">
        <f t="shared" si="288"/>
        <v>0</v>
      </c>
      <c r="BC545" s="4">
        <f t="shared" si="289"/>
        <v>4</v>
      </c>
      <c r="BD545" s="4">
        <f t="shared" si="290"/>
        <v>2</v>
      </c>
      <c r="BE545" s="4" t="str">
        <f t="shared" si="291"/>
        <v>0</v>
      </c>
      <c r="BF545" s="4" t="str">
        <f t="shared" si="292"/>
        <v>0</v>
      </c>
      <c r="BG545" s="4">
        <f t="shared" si="293"/>
        <v>4</v>
      </c>
      <c r="BH545" s="4">
        <f t="shared" si="294"/>
        <v>4</v>
      </c>
      <c r="BI545" s="4">
        <f t="shared" si="295"/>
        <v>4</v>
      </c>
      <c r="BJ545" s="4">
        <f t="shared" si="296"/>
        <v>2</v>
      </c>
      <c r="BK545" s="4" t="str">
        <f t="shared" si="297"/>
        <v>0</v>
      </c>
      <c r="BL545" s="4" t="str">
        <f t="shared" si="298"/>
        <v>0</v>
      </c>
      <c r="BM545" s="4">
        <f t="shared" si="299"/>
        <v>4</v>
      </c>
      <c r="BN545" s="4">
        <f t="shared" si="300"/>
        <v>4</v>
      </c>
      <c r="BO545" s="4">
        <f t="shared" si="301"/>
        <v>4</v>
      </c>
      <c r="BP545" s="4">
        <f t="shared" si="302"/>
        <v>4</v>
      </c>
      <c r="BQ545" s="4">
        <f t="shared" si="303"/>
        <v>6</v>
      </c>
      <c r="BR545" s="4">
        <f t="shared" si="304"/>
        <v>4</v>
      </c>
      <c r="BS545" s="4">
        <f t="shared" si="305"/>
        <v>4</v>
      </c>
      <c r="BT545" s="4">
        <f t="shared" si="306"/>
        <v>4</v>
      </c>
      <c r="BU545" s="4">
        <f t="shared" si="307"/>
        <v>4</v>
      </c>
      <c r="BV545" s="4" t="str">
        <f t="shared" si="308"/>
        <v>0</v>
      </c>
      <c r="BW545" s="4">
        <f t="shared" si="309"/>
        <v>6</v>
      </c>
      <c r="BX545" s="4">
        <f t="shared" si="310"/>
        <v>0</v>
      </c>
      <c r="BY545" s="4">
        <f t="shared" si="311"/>
        <v>0</v>
      </c>
      <c r="BZ545" s="37">
        <f t="shared" si="312"/>
        <v>84</v>
      </c>
      <c r="CA545" s="32" t="str">
        <f>VLOOKUP(J:J,'Agent wise'!A:C,3,0)</f>
        <v xml:space="preserve">Shiny </v>
      </c>
      <c r="CB545" s="32">
        <f t="shared" si="313"/>
        <v>45940</v>
      </c>
      <c r="CC545" t="str">
        <f t="shared" si="314"/>
        <v>FC</v>
      </c>
      <c r="CE545" s="32"/>
      <c r="CJ545">
        <f t="shared" si="315"/>
        <v>10</v>
      </c>
      <c r="CK545">
        <f t="shared" si="316"/>
        <v>10</v>
      </c>
      <c r="CL545">
        <f t="shared" si="317"/>
        <v>2025</v>
      </c>
    </row>
    <row r="546" spans="1:90" ht="15" customHeight="1" x14ac:dyDescent="0.35">
      <c r="A546" s="40">
        <v>45940.508067129631</v>
      </c>
      <c r="B546" t="s">
        <v>51</v>
      </c>
      <c r="C546" t="s">
        <v>214</v>
      </c>
      <c r="D546" t="s">
        <v>53</v>
      </c>
      <c r="E546" s="32">
        <v>45940</v>
      </c>
      <c r="F546" t="s">
        <v>54</v>
      </c>
      <c r="G546" s="2">
        <v>45910</v>
      </c>
      <c r="H546">
        <v>8078860882</v>
      </c>
      <c r="I546">
        <v>356</v>
      </c>
      <c r="J546" t="s">
        <v>873</v>
      </c>
      <c r="K546" t="s">
        <v>57</v>
      </c>
      <c r="L546" t="s">
        <v>58</v>
      </c>
      <c r="M546" t="s">
        <v>59</v>
      </c>
      <c r="N546" t="s">
        <v>59</v>
      </c>
      <c r="O546" t="s">
        <v>59</v>
      </c>
      <c r="P546" t="s">
        <v>59</v>
      </c>
      <c r="Q546" t="s">
        <v>59</v>
      </c>
      <c r="R546" t="s">
        <v>59</v>
      </c>
      <c r="S546" t="s">
        <v>59</v>
      </c>
      <c r="T546" t="s">
        <v>59</v>
      </c>
      <c r="U546" t="s">
        <v>60</v>
      </c>
      <c r="V546" t="s">
        <v>59</v>
      </c>
      <c r="W546" t="s">
        <v>59</v>
      </c>
      <c r="X546" t="s">
        <v>59</v>
      </c>
      <c r="Y546" t="s">
        <v>59</v>
      </c>
      <c r="Z546" t="s">
        <v>59</v>
      </c>
      <c r="AA546" t="s">
        <v>59</v>
      </c>
      <c r="AB546" t="s">
        <v>59</v>
      </c>
      <c r="AC546" t="s">
        <v>60</v>
      </c>
      <c r="AD546" t="s">
        <v>59</v>
      </c>
      <c r="AE546" t="s">
        <v>59</v>
      </c>
      <c r="AF546" t="s">
        <v>61</v>
      </c>
      <c r="AG546" t="s">
        <v>59</v>
      </c>
      <c r="AH546" t="s">
        <v>61</v>
      </c>
      <c r="AI546" t="s">
        <v>60</v>
      </c>
      <c r="AJ546" t="s">
        <v>59</v>
      </c>
      <c r="AK546" t="s">
        <v>61</v>
      </c>
      <c r="AL546" t="s">
        <v>60</v>
      </c>
      <c r="AM546" t="s">
        <v>59</v>
      </c>
      <c r="AN546" t="s">
        <v>59</v>
      </c>
      <c r="AO546" t="s">
        <v>59</v>
      </c>
      <c r="AP546" t="s">
        <v>1277</v>
      </c>
      <c r="AQ546" t="s">
        <v>506</v>
      </c>
      <c r="AR546" t="s">
        <v>64</v>
      </c>
      <c r="AS546" t="s">
        <v>78</v>
      </c>
      <c r="AT546" t="s">
        <v>66</v>
      </c>
      <c r="AU546" t="s">
        <v>448</v>
      </c>
      <c r="AW546" s="4">
        <f t="shared" si="283"/>
        <v>6</v>
      </c>
      <c r="AX546" s="4">
        <f t="shared" si="284"/>
        <v>4</v>
      </c>
      <c r="AY546" s="4">
        <f t="shared" si="285"/>
        <v>4</v>
      </c>
      <c r="AZ546" s="4">
        <f t="shared" si="286"/>
        <v>2</v>
      </c>
      <c r="BA546" s="4">
        <f t="shared" si="287"/>
        <v>4</v>
      </c>
      <c r="BB546" s="4">
        <f t="shared" si="288"/>
        <v>4</v>
      </c>
      <c r="BC546" s="4">
        <f t="shared" si="289"/>
        <v>4</v>
      </c>
      <c r="BD546" s="4">
        <f t="shared" si="290"/>
        <v>2</v>
      </c>
      <c r="BE546" s="4" t="str">
        <f t="shared" si="291"/>
        <v>0</v>
      </c>
      <c r="BF546" s="4">
        <f t="shared" si="292"/>
        <v>2</v>
      </c>
      <c r="BG546" s="4">
        <f t="shared" si="293"/>
        <v>4</v>
      </c>
      <c r="BH546" s="4">
        <f t="shared" si="294"/>
        <v>4</v>
      </c>
      <c r="BI546" s="4">
        <f t="shared" si="295"/>
        <v>4</v>
      </c>
      <c r="BJ546" s="4">
        <f t="shared" si="296"/>
        <v>2</v>
      </c>
      <c r="BK546" s="4">
        <f t="shared" si="297"/>
        <v>4</v>
      </c>
      <c r="BL546" s="4">
        <f t="shared" si="298"/>
        <v>2</v>
      </c>
      <c r="BM546" s="4" t="str">
        <f t="shared" si="299"/>
        <v>0</v>
      </c>
      <c r="BN546" s="4">
        <f t="shared" si="300"/>
        <v>4</v>
      </c>
      <c r="BO546" s="4">
        <f t="shared" si="301"/>
        <v>4</v>
      </c>
      <c r="BP546" s="4">
        <f t="shared" si="302"/>
        <v>4</v>
      </c>
      <c r="BQ546" s="4">
        <f t="shared" si="303"/>
        <v>6</v>
      </c>
      <c r="BR546" s="4">
        <f t="shared" si="304"/>
        <v>4</v>
      </c>
      <c r="BS546" s="4" t="str">
        <f t="shared" si="305"/>
        <v>0</v>
      </c>
      <c r="BT546" s="4">
        <f t="shared" si="306"/>
        <v>4</v>
      </c>
      <c r="BU546" s="4">
        <f t="shared" si="307"/>
        <v>4</v>
      </c>
      <c r="BV546" s="4" t="str">
        <f t="shared" si="308"/>
        <v>0</v>
      </c>
      <c r="BW546" s="4">
        <f t="shared" si="309"/>
        <v>6</v>
      </c>
      <c r="BX546" s="4">
        <f t="shared" si="310"/>
        <v>0</v>
      </c>
      <c r="BY546" s="4">
        <f t="shared" si="311"/>
        <v>0</v>
      </c>
      <c r="BZ546" s="37">
        <f t="shared" si="312"/>
        <v>88</v>
      </c>
      <c r="CA546" s="32" t="str">
        <f>VLOOKUP(J:J,'Agent wise'!A:C,3,0)</f>
        <v xml:space="preserve">Shiny </v>
      </c>
      <c r="CB546" s="32">
        <f t="shared" si="313"/>
        <v>45940</v>
      </c>
      <c r="CC546" t="str">
        <f t="shared" si="314"/>
        <v>Average</v>
      </c>
      <c r="CE546" s="32"/>
      <c r="CJ546">
        <f t="shared" si="315"/>
        <v>10</v>
      </c>
      <c r="CK546">
        <f t="shared" si="316"/>
        <v>10</v>
      </c>
      <c r="CL546">
        <f t="shared" si="317"/>
        <v>2025</v>
      </c>
    </row>
    <row r="547" spans="1:90" ht="15" customHeight="1" x14ac:dyDescent="0.35">
      <c r="A547" s="40">
        <v>45940.532013888893</v>
      </c>
      <c r="B547" t="s">
        <v>51</v>
      </c>
      <c r="C547" t="s">
        <v>214</v>
      </c>
      <c r="D547" t="s">
        <v>53</v>
      </c>
      <c r="E547" s="32">
        <v>45940</v>
      </c>
      <c r="F547" t="s">
        <v>54</v>
      </c>
      <c r="G547" s="2">
        <v>45910</v>
      </c>
      <c r="H547">
        <v>9446980969</v>
      </c>
      <c r="I547">
        <v>133</v>
      </c>
      <c r="J547" t="s">
        <v>291</v>
      </c>
      <c r="K547" t="s">
        <v>57</v>
      </c>
      <c r="L547" t="s">
        <v>58</v>
      </c>
      <c r="M547" t="s">
        <v>59</v>
      </c>
      <c r="N547" t="s">
        <v>59</v>
      </c>
      <c r="O547" t="s">
        <v>59</v>
      </c>
      <c r="P547" t="s">
        <v>59</v>
      </c>
      <c r="Q547" t="s">
        <v>59</v>
      </c>
      <c r="R547" t="s">
        <v>60</v>
      </c>
      <c r="S547" t="s">
        <v>59</v>
      </c>
      <c r="T547" t="s">
        <v>59</v>
      </c>
      <c r="U547" t="s">
        <v>59</v>
      </c>
      <c r="V547" t="s">
        <v>59</v>
      </c>
      <c r="W547" t="s">
        <v>59</v>
      </c>
      <c r="X547" t="s">
        <v>59</v>
      </c>
      <c r="Y547" t="s">
        <v>59</v>
      </c>
      <c r="Z547" t="s">
        <v>59</v>
      </c>
      <c r="AA547" t="s">
        <v>59</v>
      </c>
      <c r="AB547" t="s">
        <v>59</v>
      </c>
      <c r="AC547" t="s">
        <v>61</v>
      </c>
      <c r="AD547" t="s">
        <v>59</v>
      </c>
      <c r="AE547" t="s">
        <v>59</v>
      </c>
      <c r="AF547" t="s">
        <v>61</v>
      </c>
      <c r="AG547" t="s">
        <v>59</v>
      </c>
      <c r="AH547" t="s">
        <v>61</v>
      </c>
      <c r="AI547" t="s">
        <v>61</v>
      </c>
      <c r="AJ547" t="s">
        <v>59</v>
      </c>
      <c r="AK547" t="s">
        <v>61</v>
      </c>
      <c r="AL547" t="s">
        <v>60</v>
      </c>
      <c r="AM547" t="s">
        <v>59</v>
      </c>
      <c r="AN547" t="s">
        <v>59</v>
      </c>
      <c r="AO547" t="s">
        <v>59</v>
      </c>
      <c r="AP547" t="s">
        <v>1278</v>
      </c>
      <c r="AQ547" t="s">
        <v>1279</v>
      </c>
      <c r="AR547" t="s">
        <v>64</v>
      </c>
      <c r="AS547" t="s">
        <v>175</v>
      </c>
      <c r="AT547" t="s">
        <v>334</v>
      </c>
      <c r="AU547" t="s">
        <v>387</v>
      </c>
      <c r="AW547" s="4">
        <f t="shared" si="283"/>
        <v>6</v>
      </c>
      <c r="AX547" s="4">
        <f t="shared" si="284"/>
        <v>4</v>
      </c>
      <c r="AY547" s="4">
        <f t="shared" si="285"/>
        <v>4</v>
      </c>
      <c r="AZ547" s="4">
        <f t="shared" si="286"/>
        <v>2</v>
      </c>
      <c r="BA547" s="4">
        <f t="shared" si="287"/>
        <v>4</v>
      </c>
      <c r="BB547" s="4" t="str">
        <f t="shared" si="288"/>
        <v>0</v>
      </c>
      <c r="BC547" s="4">
        <f t="shared" si="289"/>
        <v>4</v>
      </c>
      <c r="BD547" s="4">
        <f t="shared" si="290"/>
        <v>2</v>
      </c>
      <c r="BE547" s="4">
        <f t="shared" si="291"/>
        <v>4</v>
      </c>
      <c r="BF547" s="4">
        <f t="shared" si="292"/>
        <v>2</v>
      </c>
      <c r="BG547" s="4">
        <f t="shared" si="293"/>
        <v>4</v>
      </c>
      <c r="BH547" s="4">
        <f t="shared" si="294"/>
        <v>4</v>
      </c>
      <c r="BI547" s="4">
        <f t="shared" si="295"/>
        <v>4</v>
      </c>
      <c r="BJ547" s="4">
        <f t="shared" si="296"/>
        <v>2</v>
      </c>
      <c r="BK547" s="4">
        <f t="shared" si="297"/>
        <v>4</v>
      </c>
      <c r="BL547" s="4">
        <f t="shared" si="298"/>
        <v>2</v>
      </c>
      <c r="BM547" s="4">
        <f t="shared" si="299"/>
        <v>4</v>
      </c>
      <c r="BN547" s="4">
        <f t="shared" si="300"/>
        <v>4</v>
      </c>
      <c r="BO547" s="4">
        <f t="shared" si="301"/>
        <v>4</v>
      </c>
      <c r="BP547" s="4">
        <f t="shared" si="302"/>
        <v>4</v>
      </c>
      <c r="BQ547" s="4">
        <f t="shared" si="303"/>
        <v>6</v>
      </c>
      <c r="BR547" s="4">
        <f t="shared" si="304"/>
        <v>4</v>
      </c>
      <c r="BS547" s="4">
        <f t="shared" si="305"/>
        <v>4</v>
      </c>
      <c r="BT547" s="4">
        <f t="shared" si="306"/>
        <v>4</v>
      </c>
      <c r="BU547" s="4">
        <f t="shared" si="307"/>
        <v>4</v>
      </c>
      <c r="BV547" s="4" t="str">
        <f t="shared" si="308"/>
        <v>0</v>
      </c>
      <c r="BW547" s="4">
        <f t="shared" si="309"/>
        <v>6</v>
      </c>
      <c r="BX547" s="4">
        <f t="shared" si="310"/>
        <v>0</v>
      </c>
      <c r="BY547" s="4">
        <f t="shared" si="311"/>
        <v>0</v>
      </c>
      <c r="BZ547" s="37">
        <f t="shared" si="312"/>
        <v>96</v>
      </c>
      <c r="CA547" s="32" t="str">
        <f>VLOOKUP(J:J,'Agent wise'!A:C,3,0)</f>
        <v xml:space="preserve">Shiny </v>
      </c>
      <c r="CB547" s="32">
        <f t="shared" si="313"/>
        <v>45940</v>
      </c>
      <c r="CC547" t="str">
        <f t="shared" si="314"/>
        <v>Excellent</v>
      </c>
      <c r="CE547" s="32"/>
      <c r="CJ547">
        <f t="shared" si="315"/>
        <v>10</v>
      </c>
      <c r="CK547">
        <f t="shared" si="316"/>
        <v>10</v>
      </c>
      <c r="CL547">
        <f t="shared" si="317"/>
        <v>2025</v>
      </c>
    </row>
    <row r="548" spans="1:90" ht="15" customHeight="1" x14ac:dyDescent="0.35">
      <c r="A548" s="40">
        <v>45940.536122685182</v>
      </c>
      <c r="B548" t="s">
        <v>51</v>
      </c>
      <c r="C548" t="s">
        <v>214</v>
      </c>
      <c r="D548" t="s">
        <v>53</v>
      </c>
      <c r="E548" s="32">
        <v>45940</v>
      </c>
      <c r="F548" t="s">
        <v>90</v>
      </c>
      <c r="G548" s="2">
        <v>45910</v>
      </c>
      <c r="H548">
        <v>9965648526</v>
      </c>
      <c r="I548">
        <v>288</v>
      </c>
      <c r="J548" t="s">
        <v>269</v>
      </c>
      <c r="K548" t="s">
        <v>71</v>
      </c>
      <c r="L548" t="s">
        <v>72</v>
      </c>
      <c r="M548" t="s">
        <v>59</v>
      </c>
      <c r="N548" t="s">
        <v>59</v>
      </c>
      <c r="O548" t="s">
        <v>60</v>
      </c>
      <c r="P548" t="s">
        <v>59</v>
      </c>
      <c r="Q548" t="s">
        <v>59</v>
      </c>
      <c r="R548" t="s">
        <v>60</v>
      </c>
      <c r="S548" t="s">
        <v>59</v>
      </c>
      <c r="T548" t="s">
        <v>59</v>
      </c>
      <c r="U548" t="s">
        <v>60</v>
      </c>
      <c r="V548" t="s">
        <v>59</v>
      </c>
      <c r="W548" t="s">
        <v>59</v>
      </c>
      <c r="X548" t="s">
        <v>59</v>
      </c>
      <c r="Y548" t="s">
        <v>59</v>
      </c>
      <c r="Z548" t="s">
        <v>59</v>
      </c>
      <c r="AA548" t="s">
        <v>60</v>
      </c>
      <c r="AB548" t="s">
        <v>59</v>
      </c>
      <c r="AC548" t="s">
        <v>61</v>
      </c>
      <c r="AD548" t="s">
        <v>59</v>
      </c>
      <c r="AE548" t="s">
        <v>59</v>
      </c>
      <c r="AF548" t="s">
        <v>61</v>
      </c>
      <c r="AG548" t="s">
        <v>59</v>
      </c>
      <c r="AH548" t="s">
        <v>61</v>
      </c>
      <c r="AI548" t="s">
        <v>60</v>
      </c>
      <c r="AJ548" t="s">
        <v>59</v>
      </c>
      <c r="AK548" t="s">
        <v>61</v>
      </c>
      <c r="AL548" t="s">
        <v>60</v>
      </c>
      <c r="AM548" t="s">
        <v>59</v>
      </c>
      <c r="AN548" t="s">
        <v>59</v>
      </c>
      <c r="AO548" t="s">
        <v>59</v>
      </c>
      <c r="AP548" t="s">
        <v>68</v>
      </c>
      <c r="AQ548" t="s">
        <v>506</v>
      </c>
      <c r="AR548" t="s">
        <v>64</v>
      </c>
      <c r="AS548" t="s">
        <v>99</v>
      </c>
      <c r="AT548" t="s">
        <v>95</v>
      </c>
      <c r="AU548" t="s">
        <v>299</v>
      </c>
      <c r="AW548" s="4">
        <f t="shared" si="283"/>
        <v>6</v>
      </c>
      <c r="AX548" s="4">
        <f t="shared" si="284"/>
        <v>4</v>
      </c>
      <c r="AY548" s="4" t="str">
        <f t="shared" si="285"/>
        <v>0</v>
      </c>
      <c r="AZ548" s="4">
        <f t="shared" si="286"/>
        <v>2</v>
      </c>
      <c r="BA548" s="4">
        <f t="shared" si="287"/>
        <v>4</v>
      </c>
      <c r="BB548" s="4" t="str">
        <f t="shared" si="288"/>
        <v>0</v>
      </c>
      <c r="BC548" s="4">
        <f t="shared" si="289"/>
        <v>4</v>
      </c>
      <c r="BD548" s="4">
        <f t="shared" si="290"/>
        <v>2</v>
      </c>
      <c r="BE548" s="4" t="str">
        <f t="shared" si="291"/>
        <v>0</v>
      </c>
      <c r="BF548" s="4">
        <f t="shared" si="292"/>
        <v>2</v>
      </c>
      <c r="BG548" s="4">
        <f t="shared" si="293"/>
        <v>4</v>
      </c>
      <c r="BH548" s="4">
        <f t="shared" si="294"/>
        <v>4</v>
      </c>
      <c r="BI548" s="4">
        <f t="shared" si="295"/>
        <v>4</v>
      </c>
      <c r="BJ548" s="4">
        <f t="shared" si="296"/>
        <v>2</v>
      </c>
      <c r="BK548" s="4" t="str">
        <f t="shared" si="297"/>
        <v>0</v>
      </c>
      <c r="BL548" s="4">
        <f t="shared" si="298"/>
        <v>2</v>
      </c>
      <c r="BM548" s="4">
        <f t="shared" si="299"/>
        <v>4</v>
      </c>
      <c r="BN548" s="4">
        <f t="shared" si="300"/>
        <v>4</v>
      </c>
      <c r="BO548" s="4">
        <f t="shared" si="301"/>
        <v>4</v>
      </c>
      <c r="BP548" s="4">
        <f t="shared" si="302"/>
        <v>4</v>
      </c>
      <c r="BQ548" s="4">
        <f t="shared" si="303"/>
        <v>6</v>
      </c>
      <c r="BR548" s="4">
        <f t="shared" si="304"/>
        <v>4</v>
      </c>
      <c r="BS548" s="4" t="str">
        <f t="shared" si="305"/>
        <v>0</v>
      </c>
      <c r="BT548" s="4">
        <f t="shared" si="306"/>
        <v>4</v>
      </c>
      <c r="BU548" s="4">
        <f t="shared" si="307"/>
        <v>4</v>
      </c>
      <c r="BV548" s="4" t="str">
        <f t="shared" si="308"/>
        <v>0</v>
      </c>
      <c r="BW548" s="4">
        <f t="shared" si="309"/>
        <v>6</v>
      </c>
      <c r="BX548" s="4">
        <f t="shared" si="310"/>
        <v>0</v>
      </c>
      <c r="BY548" s="4">
        <f t="shared" si="311"/>
        <v>0</v>
      </c>
      <c r="BZ548" s="37">
        <f t="shared" si="312"/>
        <v>80</v>
      </c>
      <c r="CA548" s="32" t="str">
        <f>VLOOKUP(J:J,'Agent wise'!A:C,3,0)</f>
        <v xml:space="preserve">Shiny </v>
      </c>
      <c r="CB548" s="32">
        <f t="shared" si="313"/>
        <v>45940</v>
      </c>
      <c r="CC548" t="str">
        <f t="shared" si="314"/>
        <v>FC</v>
      </c>
      <c r="CE548" s="32"/>
      <c r="CJ548">
        <f t="shared" si="315"/>
        <v>10</v>
      </c>
      <c r="CK548">
        <f t="shared" si="316"/>
        <v>10</v>
      </c>
      <c r="CL548">
        <f t="shared" si="317"/>
        <v>2025</v>
      </c>
    </row>
    <row r="549" spans="1:90" ht="15" customHeight="1" x14ac:dyDescent="0.35">
      <c r="A549" s="40">
        <v>45940.561388888891</v>
      </c>
      <c r="B549" t="s">
        <v>177</v>
      </c>
      <c r="C549" t="s">
        <v>214</v>
      </c>
      <c r="D549" t="s">
        <v>178</v>
      </c>
      <c r="E549" s="32">
        <v>45939</v>
      </c>
      <c r="F549" t="s">
        <v>90</v>
      </c>
      <c r="G549" s="2">
        <v>45879</v>
      </c>
      <c r="H549">
        <v>9524449727</v>
      </c>
      <c r="I549">
        <v>143</v>
      </c>
      <c r="J549" t="s">
        <v>552</v>
      </c>
      <c r="K549" t="s">
        <v>71</v>
      </c>
      <c r="L549" t="s">
        <v>72</v>
      </c>
      <c r="M549" t="s">
        <v>59</v>
      </c>
      <c r="N549" t="s">
        <v>59</v>
      </c>
      <c r="O549" t="s">
        <v>59</v>
      </c>
      <c r="P549" t="s">
        <v>59</v>
      </c>
      <c r="Q549" t="s">
        <v>59</v>
      </c>
      <c r="R549" t="s">
        <v>59</v>
      </c>
      <c r="S549" t="s">
        <v>59</v>
      </c>
      <c r="T549" t="s">
        <v>59</v>
      </c>
      <c r="U549" t="s">
        <v>59</v>
      </c>
      <c r="V549" t="s">
        <v>59</v>
      </c>
      <c r="W549" t="s">
        <v>59</v>
      </c>
      <c r="X549" t="s">
        <v>59</v>
      </c>
      <c r="Y549" t="s">
        <v>59</v>
      </c>
      <c r="Z549" t="s">
        <v>59</v>
      </c>
      <c r="AA549" t="s">
        <v>59</v>
      </c>
      <c r="AB549" t="s">
        <v>59</v>
      </c>
      <c r="AC549" t="s">
        <v>59</v>
      </c>
      <c r="AD549" t="s">
        <v>59</v>
      </c>
      <c r="AE549" t="s">
        <v>59</v>
      </c>
      <c r="AF549" t="s">
        <v>59</v>
      </c>
      <c r="AG549" t="s">
        <v>59</v>
      </c>
      <c r="AH549" t="s">
        <v>61</v>
      </c>
      <c r="AI549" t="s">
        <v>61</v>
      </c>
      <c r="AJ549" t="s">
        <v>59</v>
      </c>
      <c r="AK549" t="s">
        <v>59</v>
      </c>
      <c r="AL549" t="s">
        <v>59</v>
      </c>
      <c r="AM549" t="s">
        <v>59</v>
      </c>
      <c r="AN549" t="s">
        <v>59</v>
      </c>
      <c r="AO549" t="s">
        <v>59</v>
      </c>
      <c r="AP549" t="s">
        <v>270</v>
      </c>
      <c r="AQ549" t="s">
        <v>1280</v>
      </c>
      <c r="AR549" t="s">
        <v>64</v>
      </c>
      <c r="AS549" t="s">
        <v>210</v>
      </c>
      <c r="AT549" t="s">
        <v>211</v>
      </c>
      <c r="AU549" t="s">
        <v>219</v>
      </c>
      <c r="AW549" s="4">
        <f t="shared" si="283"/>
        <v>6</v>
      </c>
      <c r="AX549" s="4">
        <f t="shared" si="284"/>
        <v>4</v>
      </c>
      <c r="AY549" s="4">
        <f t="shared" si="285"/>
        <v>4</v>
      </c>
      <c r="AZ549" s="4">
        <f t="shared" si="286"/>
        <v>2</v>
      </c>
      <c r="BA549" s="4">
        <f t="shared" si="287"/>
        <v>4</v>
      </c>
      <c r="BB549" s="4">
        <f t="shared" si="288"/>
        <v>4</v>
      </c>
      <c r="BC549" s="4">
        <f t="shared" si="289"/>
        <v>4</v>
      </c>
      <c r="BD549" s="4">
        <f t="shared" si="290"/>
        <v>2</v>
      </c>
      <c r="BE549" s="4">
        <f t="shared" si="291"/>
        <v>4</v>
      </c>
      <c r="BF549" s="4">
        <f t="shared" si="292"/>
        <v>2</v>
      </c>
      <c r="BG549" s="4">
        <f t="shared" si="293"/>
        <v>4</v>
      </c>
      <c r="BH549" s="4">
        <f t="shared" si="294"/>
        <v>4</v>
      </c>
      <c r="BI549" s="4">
        <f t="shared" si="295"/>
        <v>4</v>
      </c>
      <c r="BJ549" s="4">
        <f t="shared" si="296"/>
        <v>2</v>
      </c>
      <c r="BK549" s="4">
        <f t="shared" si="297"/>
        <v>4</v>
      </c>
      <c r="BL549" s="4">
        <f t="shared" si="298"/>
        <v>2</v>
      </c>
      <c r="BM549" s="4">
        <f t="shared" si="299"/>
        <v>4</v>
      </c>
      <c r="BN549" s="4">
        <f t="shared" si="300"/>
        <v>4</v>
      </c>
      <c r="BO549" s="4">
        <f t="shared" si="301"/>
        <v>4</v>
      </c>
      <c r="BP549" s="4">
        <f t="shared" si="302"/>
        <v>4</v>
      </c>
      <c r="BQ549" s="4">
        <f t="shared" si="303"/>
        <v>6</v>
      </c>
      <c r="BR549" s="4">
        <f t="shared" si="304"/>
        <v>4</v>
      </c>
      <c r="BS549" s="4">
        <f t="shared" si="305"/>
        <v>4</v>
      </c>
      <c r="BT549" s="4">
        <f t="shared" si="306"/>
        <v>4</v>
      </c>
      <c r="BU549" s="4">
        <f t="shared" si="307"/>
        <v>4</v>
      </c>
      <c r="BV549" s="4">
        <f t="shared" si="308"/>
        <v>0</v>
      </c>
      <c r="BW549" s="4">
        <f t="shared" si="309"/>
        <v>6</v>
      </c>
      <c r="BX549" s="4">
        <f t="shared" si="310"/>
        <v>0</v>
      </c>
      <c r="BY549" s="4">
        <f t="shared" si="311"/>
        <v>0</v>
      </c>
      <c r="BZ549" s="37">
        <f t="shared" si="312"/>
        <v>100</v>
      </c>
      <c r="CA549" s="32" t="str">
        <f>VLOOKUP(J:J,'Agent wise'!A:C,3,0)</f>
        <v xml:space="preserve">Shiny </v>
      </c>
      <c r="CB549" s="32">
        <f t="shared" si="313"/>
        <v>45939</v>
      </c>
      <c r="CC549" t="str">
        <f t="shared" si="314"/>
        <v>Excellent</v>
      </c>
      <c r="CE549" s="32"/>
      <c r="CJ549">
        <f t="shared" si="315"/>
        <v>9</v>
      </c>
      <c r="CK549">
        <f t="shared" si="316"/>
        <v>10</v>
      </c>
      <c r="CL549">
        <f t="shared" si="317"/>
        <v>2025</v>
      </c>
    </row>
    <row r="550" spans="1:90" ht="15" customHeight="1" x14ac:dyDescent="0.35">
      <c r="A550" s="40">
        <v>45940.56150462963</v>
      </c>
      <c r="B550" t="s">
        <v>250</v>
      </c>
      <c r="C550" t="s">
        <v>214</v>
      </c>
      <c r="D550" t="s">
        <v>251</v>
      </c>
      <c r="E550" s="32">
        <v>45940</v>
      </c>
      <c r="F550" t="s">
        <v>54</v>
      </c>
      <c r="G550" s="2">
        <v>45818</v>
      </c>
      <c r="H550">
        <v>9445851339</v>
      </c>
      <c r="I550">
        <v>213</v>
      </c>
      <c r="J550" t="s">
        <v>552</v>
      </c>
      <c r="K550" t="s">
        <v>71</v>
      </c>
      <c r="L550" t="s">
        <v>72</v>
      </c>
      <c r="M550" t="s">
        <v>59</v>
      </c>
      <c r="N550" t="s">
        <v>59</v>
      </c>
      <c r="O550" t="s">
        <v>61</v>
      </c>
      <c r="P550" t="s">
        <v>59</v>
      </c>
      <c r="Q550" t="s">
        <v>59</v>
      </c>
      <c r="R550" t="s">
        <v>59</v>
      </c>
      <c r="S550" t="s">
        <v>59</v>
      </c>
      <c r="T550" t="s">
        <v>59</v>
      </c>
      <c r="U550" t="s">
        <v>60</v>
      </c>
      <c r="V550" t="s">
        <v>59</v>
      </c>
      <c r="W550" t="s">
        <v>59</v>
      </c>
      <c r="X550" t="s">
        <v>59</v>
      </c>
      <c r="Y550" t="s">
        <v>59</v>
      </c>
      <c r="Z550" t="s">
        <v>59</v>
      </c>
      <c r="AA550" t="s">
        <v>59</v>
      </c>
      <c r="AB550" t="s">
        <v>60</v>
      </c>
      <c r="AC550" t="s">
        <v>59</v>
      </c>
      <c r="AD550" t="s">
        <v>59</v>
      </c>
      <c r="AE550" t="s">
        <v>59</v>
      </c>
      <c r="AF550" t="s">
        <v>59</v>
      </c>
      <c r="AG550" t="s">
        <v>59</v>
      </c>
      <c r="AH550" t="s">
        <v>59</v>
      </c>
      <c r="AI550" t="s">
        <v>61</v>
      </c>
      <c r="AJ550" t="s">
        <v>59</v>
      </c>
      <c r="AK550" t="s">
        <v>59</v>
      </c>
      <c r="AL550" t="s">
        <v>60</v>
      </c>
      <c r="AM550" t="s">
        <v>59</v>
      </c>
      <c r="AN550" t="s">
        <v>59</v>
      </c>
      <c r="AO550" t="s">
        <v>59</v>
      </c>
      <c r="AP550" t="s">
        <v>1281</v>
      </c>
      <c r="AQ550" t="s">
        <v>1282</v>
      </c>
      <c r="AR550" t="s">
        <v>64</v>
      </c>
      <c r="AS550" t="s">
        <v>602</v>
      </c>
      <c r="AT550" t="s">
        <v>603</v>
      </c>
      <c r="AU550" t="s">
        <v>387</v>
      </c>
      <c r="AW550" s="4">
        <f t="shared" si="283"/>
        <v>6</v>
      </c>
      <c r="AX550" s="4">
        <f t="shared" si="284"/>
        <v>4</v>
      </c>
      <c r="AY550" s="4">
        <f t="shared" si="285"/>
        <v>4</v>
      </c>
      <c r="AZ550" s="4">
        <f t="shared" si="286"/>
        <v>2</v>
      </c>
      <c r="BA550" s="4">
        <f t="shared" si="287"/>
        <v>4</v>
      </c>
      <c r="BB550" s="4">
        <f t="shared" si="288"/>
        <v>4</v>
      </c>
      <c r="BC550" s="4">
        <f t="shared" si="289"/>
        <v>4</v>
      </c>
      <c r="BD550" s="4">
        <f t="shared" si="290"/>
        <v>2</v>
      </c>
      <c r="BE550" s="4" t="str">
        <f t="shared" si="291"/>
        <v>0</v>
      </c>
      <c r="BF550" s="4">
        <f t="shared" si="292"/>
        <v>2</v>
      </c>
      <c r="BG550" s="4">
        <f t="shared" si="293"/>
        <v>4</v>
      </c>
      <c r="BH550" s="4">
        <f t="shared" si="294"/>
        <v>4</v>
      </c>
      <c r="BI550" s="4">
        <f t="shared" si="295"/>
        <v>4</v>
      </c>
      <c r="BJ550" s="4">
        <f t="shared" si="296"/>
        <v>2</v>
      </c>
      <c r="BK550" s="4">
        <f t="shared" si="297"/>
        <v>4</v>
      </c>
      <c r="BL550" s="4" t="str">
        <f t="shared" si="298"/>
        <v>0</v>
      </c>
      <c r="BM550" s="4">
        <f t="shared" si="299"/>
        <v>4</v>
      </c>
      <c r="BN550" s="4">
        <f t="shared" si="300"/>
        <v>4</v>
      </c>
      <c r="BO550" s="4">
        <f t="shared" si="301"/>
        <v>4</v>
      </c>
      <c r="BP550" s="4">
        <f t="shared" si="302"/>
        <v>4</v>
      </c>
      <c r="BQ550" s="4">
        <f t="shared" si="303"/>
        <v>6</v>
      </c>
      <c r="BR550" s="4">
        <f t="shared" si="304"/>
        <v>4</v>
      </c>
      <c r="BS550" s="4">
        <f t="shared" si="305"/>
        <v>4</v>
      </c>
      <c r="BT550" s="4">
        <f t="shared" si="306"/>
        <v>4</v>
      </c>
      <c r="BU550" s="4">
        <f t="shared" si="307"/>
        <v>4</v>
      </c>
      <c r="BV550" s="4" t="str">
        <f t="shared" si="308"/>
        <v>0</v>
      </c>
      <c r="BW550" s="4">
        <f t="shared" si="309"/>
        <v>6</v>
      </c>
      <c r="BX550" s="4">
        <f t="shared" si="310"/>
        <v>0</v>
      </c>
      <c r="BY550" s="4">
        <f t="shared" si="311"/>
        <v>0</v>
      </c>
      <c r="BZ550" s="37">
        <f t="shared" si="312"/>
        <v>94</v>
      </c>
      <c r="CA550" s="32" t="str">
        <f>VLOOKUP(J:J,'Agent wise'!A:C,3,0)</f>
        <v xml:space="preserve">Shiny </v>
      </c>
      <c r="CB550" s="32">
        <f t="shared" si="313"/>
        <v>45940</v>
      </c>
      <c r="CC550" t="str">
        <f t="shared" si="314"/>
        <v>Good</v>
      </c>
      <c r="CE550" s="32"/>
      <c r="CJ550">
        <f t="shared" si="315"/>
        <v>10</v>
      </c>
      <c r="CK550">
        <f t="shared" si="316"/>
        <v>10</v>
      </c>
      <c r="CL550">
        <f t="shared" si="317"/>
        <v>2025</v>
      </c>
    </row>
    <row r="551" spans="1:90" ht="15" customHeight="1" x14ac:dyDescent="0.35">
      <c r="A551" s="40">
        <v>45940.566863425927</v>
      </c>
      <c r="B551" t="s">
        <v>250</v>
      </c>
      <c r="C551" t="s">
        <v>214</v>
      </c>
      <c r="D551" t="s">
        <v>251</v>
      </c>
      <c r="E551" s="32">
        <v>45940</v>
      </c>
      <c r="F551" t="s">
        <v>90</v>
      </c>
      <c r="G551" s="2">
        <v>45818</v>
      </c>
      <c r="H551">
        <v>8760668456</v>
      </c>
      <c r="I551">
        <v>215</v>
      </c>
      <c r="J551" t="s">
        <v>490</v>
      </c>
      <c r="K551" t="s">
        <v>71</v>
      </c>
      <c r="L551" t="s">
        <v>72</v>
      </c>
      <c r="M551" t="s">
        <v>59</v>
      </c>
      <c r="N551" t="s">
        <v>59</v>
      </c>
      <c r="O551" t="s">
        <v>59</v>
      </c>
      <c r="P551" t="s">
        <v>59</v>
      </c>
      <c r="Q551" t="s">
        <v>59</v>
      </c>
      <c r="R551" t="s">
        <v>59</v>
      </c>
      <c r="S551" t="s">
        <v>59</v>
      </c>
      <c r="T551" t="s">
        <v>59</v>
      </c>
      <c r="U551" t="s">
        <v>60</v>
      </c>
      <c r="V551" t="s">
        <v>59</v>
      </c>
      <c r="W551" t="s">
        <v>59</v>
      </c>
      <c r="X551" t="s">
        <v>59</v>
      </c>
      <c r="Y551" t="s">
        <v>59</v>
      </c>
      <c r="Z551" t="s">
        <v>59</v>
      </c>
      <c r="AA551" t="s">
        <v>59</v>
      </c>
      <c r="AB551" t="s">
        <v>59</v>
      </c>
      <c r="AC551" t="s">
        <v>59</v>
      </c>
      <c r="AD551" t="s">
        <v>59</v>
      </c>
      <c r="AE551" t="s">
        <v>59</v>
      </c>
      <c r="AF551" t="s">
        <v>59</v>
      </c>
      <c r="AG551" t="s">
        <v>59</v>
      </c>
      <c r="AH551" t="s">
        <v>61</v>
      </c>
      <c r="AI551" t="s">
        <v>61</v>
      </c>
      <c r="AJ551" t="s">
        <v>59</v>
      </c>
      <c r="AK551" t="s">
        <v>59</v>
      </c>
      <c r="AL551" t="s">
        <v>59</v>
      </c>
      <c r="AM551" t="s">
        <v>59</v>
      </c>
      <c r="AN551" t="s">
        <v>59</v>
      </c>
      <c r="AO551" t="s">
        <v>59</v>
      </c>
      <c r="AP551" t="s">
        <v>1283</v>
      </c>
      <c r="AQ551" t="s">
        <v>1255</v>
      </c>
      <c r="AR551" t="s">
        <v>64</v>
      </c>
      <c r="AS551" t="s">
        <v>602</v>
      </c>
      <c r="AT551" t="s">
        <v>603</v>
      </c>
      <c r="AU551" t="s">
        <v>219</v>
      </c>
      <c r="AW551" s="4">
        <f t="shared" si="283"/>
        <v>6</v>
      </c>
      <c r="AX551" s="4">
        <f t="shared" si="284"/>
        <v>4</v>
      </c>
      <c r="AY551" s="4">
        <f t="shared" si="285"/>
        <v>4</v>
      </c>
      <c r="AZ551" s="4">
        <f t="shared" si="286"/>
        <v>2</v>
      </c>
      <c r="BA551" s="4">
        <f t="shared" si="287"/>
        <v>4</v>
      </c>
      <c r="BB551" s="4">
        <f t="shared" si="288"/>
        <v>4</v>
      </c>
      <c r="BC551" s="4">
        <f t="shared" si="289"/>
        <v>4</v>
      </c>
      <c r="BD551" s="4">
        <f t="shared" si="290"/>
        <v>2</v>
      </c>
      <c r="BE551" s="4" t="str">
        <f t="shared" si="291"/>
        <v>0</v>
      </c>
      <c r="BF551" s="4">
        <f t="shared" si="292"/>
        <v>2</v>
      </c>
      <c r="BG551" s="4">
        <f t="shared" si="293"/>
        <v>4</v>
      </c>
      <c r="BH551" s="4">
        <f t="shared" si="294"/>
        <v>4</v>
      </c>
      <c r="BI551" s="4">
        <f t="shared" si="295"/>
        <v>4</v>
      </c>
      <c r="BJ551" s="4">
        <f t="shared" si="296"/>
        <v>2</v>
      </c>
      <c r="BK551" s="4">
        <f t="shared" si="297"/>
        <v>4</v>
      </c>
      <c r="BL551" s="4">
        <f t="shared" si="298"/>
        <v>2</v>
      </c>
      <c r="BM551" s="4">
        <f t="shared" si="299"/>
        <v>4</v>
      </c>
      <c r="BN551" s="4">
        <f t="shared" si="300"/>
        <v>4</v>
      </c>
      <c r="BO551" s="4">
        <f t="shared" si="301"/>
        <v>4</v>
      </c>
      <c r="BP551" s="4">
        <f t="shared" si="302"/>
        <v>4</v>
      </c>
      <c r="BQ551" s="4">
        <f t="shared" si="303"/>
        <v>6</v>
      </c>
      <c r="BR551" s="4">
        <f t="shared" si="304"/>
        <v>4</v>
      </c>
      <c r="BS551" s="4">
        <f t="shared" si="305"/>
        <v>4</v>
      </c>
      <c r="BT551" s="4">
        <f t="shared" si="306"/>
        <v>4</v>
      </c>
      <c r="BU551" s="4">
        <f t="shared" si="307"/>
        <v>4</v>
      </c>
      <c r="BV551" s="4">
        <f t="shared" si="308"/>
        <v>0</v>
      </c>
      <c r="BW551" s="4">
        <f t="shared" si="309"/>
        <v>6</v>
      </c>
      <c r="BX551" s="4">
        <f t="shared" si="310"/>
        <v>0</v>
      </c>
      <c r="BY551" s="4">
        <f t="shared" si="311"/>
        <v>0</v>
      </c>
      <c r="BZ551" s="37">
        <f t="shared" si="312"/>
        <v>96</v>
      </c>
      <c r="CA551" s="32" t="str">
        <f>VLOOKUP(J:J,'Agent wise'!A:C,3,0)</f>
        <v>Saran S</v>
      </c>
      <c r="CB551" s="32">
        <f t="shared" si="313"/>
        <v>45940</v>
      </c>
      <c r="CC551" t="str">
        <f t="shared" si="314"/>
        <v>Excellent</v>
      </c>
      <c r="CE551" s="32"/>
      <c r="CJ551">
        <f t="shared" si="315"/>
        <v>10</v>
      </c>
      <c r="CK551">
        <f t="shared" si="316"/>
        <v>10</v>
      </c>
      <c r="CL551">
        <f t="shared" si="317"/>
        <v>2025</v>
      </c>
    </row>
    <row r="552" spans="1:90" ht="15" customHeight="1" x14ac:dyDescent="0.35">
      <c r="A552" s="40">
        <v>45940.567557870367</v>
      </c>
      <c r="B552" t="s">
        <v>177</v>
      </c>
      <c r="C552" t="s">
        <v>214</v>
      </c>
      <c r="D552" t="s">
        <v>178</v>
      </c>
      <c r="E552" s="32">
        <v>45939</v>
      </c>
      <c r="F552" t="s">
        <v>90</v>
      </c>
      <c r="G552" s="2">
        <v>45879</v>
      </c>
      <c r="H552">
        <v>9750514512</v>
      </c>
      <c r="I552">
        <v>180</v>
      </c>
      <c r="J552" t="s">
        <v>472</v>
      </c>
      <c r="K552" t="s">
        <v>71</v>
      </c>
      <c r="L552" t="s">
        <v>72</v>
      </c>
      <c r="M552" t="s">
        <v>59</v>
      </c>
      <c r="N552" t="s">
        <v>59</v>
      </c>
      <c r="O552" t="s">
        <v>59</v>
      </c>
      <c r="P552" t="s">
        <v>59</v>
      </c>
      <c r="Q552" t="s">
        <v>59</v>
      </c>
      <c r="R552" t="s">
        <v>59</v>
      </c>
      <c r="S552" t="s">
        <v>59</v>
      </c>
      <c r="T552" t="s">
        <v>59</v>
      </c>
      <c r="U552" t="s">
        <v>59</v>
      </c>
      <c r="V552" t="s">
        <v>59</v>
      </c>
      <c r="W552" t="s">
        <v>59</v>
      </c>
      <c r="X552" t="s">
        <v>59</v>
      </c>
      <c r="Y552" t="s">
        <v>59</v>
      </c>
      <c r="Z552" t="s">
        <v>59</v>
      </c>
      <c r="AA552" t="s">
        <v>59</v>
      </c>
      <c r="AB552" t="s">
        <v>59</v>
      </c>
      <c r="AC552" t="s">
        <v>61</v>
      </c>
      <c r="AD552" t="s">
        <v>59</v>
      </c>
      <c r="AE552" t="s">
        <v>59</v>
      </c>
      <c r="AF552" t="s">
        <v>59</v>
      </c>
      <c r="AG552" t="s">
        <v>59</v>
      </c>
      <c r="AH552" t="s">
        <v>61</v>
      </c>
      <c r="AI552" t="s">
        <v>61</v>
      </c>
      <c r="AJ552" t="s">
        <v>59</v>
      </c>
      <c r="AK552" t="s">
        <v>59</v>
      </c>
      <c r="AL552" t="s">
        <v>60</v>
      </c>
      <c r="AM552" t="s">
        <v>59</v>
      </c>
      <c r="AN552" t="s">
        <v>59</v>
      </c>
      <c r="AO552" t="s">
        <v>59</v>
      </c>
      <c r="AP552" t="s">
        <v>37</v>
      </c>
      <c r="AQ552" s="1" t="s">
        <v>1193</v>
      </c>
      <c r="AR552" t="s">
        <v>64</v>
      </c>
      <c r="AS552" t="s">
        <v>94</v>
      </c>
      <c r="AT552" t="s">
        <v>95</v>
      </c>
      <c r="AU552" t="s">
        <v>387</v>
      </c>
      <c r="AW552" s="4">
        <f t="shared" si="283"/>
        <v>6</v>
      </c>
      <c r="AX552" s="4">
        <f t="shared" si="284"/>
        <v>4</v>
      </c>
      <c r="AY552" s="4">
        <f t="shared" si="285"/>
        <v>4</v>
      </c>
      <c r="AZ552" s="4">
        <f t="shared" si="286"/>
        <v>2</v>
      </c>
      <c r="BA552" s="4">
        <f t="shared" si="287"/>
        <v>4</v>
      </c>
      <c r="BB552" s="4">
        <f t="shared" si="288"/>
        <v>4</v>
      </c>
      <c r="BC552" s="4">
        <f t="shared" si="289"/>
        <v>4</v>
      </c>
      <c r="BD552" s="4">
        <f t="shared" si="290"/>
        <v>2</v>
      </c>
      <c r="BE552" s="4">
        <f t="shared" si="291"/>
        <v>4</v>
      </c>
      <c r="BF552" s="4">
        <f t="shared" si="292"/>
        <v>2</v>
      </c>
      <c r="BG552" s="4">
        <f t="shared" si="293"/>
        <v>4</v>
      </c>
      <c r="BH552" s="4">
        <f t="shared" si="294"/>
        <v>4</v>
      </c>
      <c r="BI552" s="4">
        <f t="shared" si="295"/>
        <v>4</v>
      </c>
      <c r="BJ552" s="4">
        <f t="shared" si="296"/>
        <v>2</v>
      </c>
      <c r="BK552" s="4">
        <f t="shared" si="297"/>
        <v>4</v>
      </c>
      <c r="BL552" s="4">
        <f t="shared" si="298"/>
        <v>2</v>
      </c>
      <c r="BM552" s="4">
        <f t="shared" si="299"/>
        <v>4</v>
      </c>
      <c r="BN552" s="4">
        <f t="shared" si="300"/>
        <v>4</v>
      </c>
      <c r="BO552" s="4">
        <f t="shared" si="301"/>
        <v>4</v>
      </c>
      <c r="BP552" s="4">
        <f t="shared" si="302"/>
        <v>4</v>
      </c>
      <c r="BQ552" s="4">
        <f t="shared" si="303"/>
        <v>6</v>
      </c>
      <c r="BR552" s="4">
        <f t="shared" si="304"/>
        <v>4</v>
      </c>
      <c r="BS552" s="4">
        <f t="shared" si="305"/>
        <v>4</v>
      </c>
      <c r="BT552" s="4">
        <f t="shared" si="306"/>
        <v>4</v>
      </c>
      <c r="BU552" s="4">
        <f t="shared" si="307"/>
        <v>4</v>
      </c>
      <c r="BV552" s="4" t="str">
        <f t="shared" si="308"/>
        <v>0</v>
      </c>
      <c r="BW552" s="4">
        <f t="shared" si="309"/>
        <v>6</v>
      </c>
      <c r="BX552" s="4">
        <f t="shared" si="310"/>
        <v>0</v>
      </c>
      <c r="BY552" s="4">
        <f t="shared" si="311"/>
        <v>0</v>
      </c>
      <c r="BZ552" s="37">
        <f t="shared" si="312"/>
        <v>100</v>
      </c>
      <c r="CA552" s="32" t="str">
        <f>VLOOKUP(J:J,'Agent wise'!A:C,3,0)</f>
        <v>Saran S</v>
      </c>
      <c r="CB552" s="32">
        <f t="shared" si="313"/>
        <v>45939</v>
      </c>
      <c r="CC552" t="str">
        <f t="shared" si="314"/>
        <v>Excellent</v>
      </c>
      <c r="CE552" s="32"/>
      <c r="CJ552">
        <f t="shared" si="315"/>
        <v>9</v>
      </c>
      <c r="CK552">
        <f t="shared" si="316"/>
        <v>10</v>
      </c>
      <c r="CL552">
        <f t="shared" si="317"/>
        <v>2025</v>
      </c>
    </row>
    <row r="553" spans="1:90" ht="15" customHeight="1" x14ac:dyDescent="0.35">
      <c r="A553" s="40">
        <v>45940.569050925929</v>
      </c>
      <c r="B553" t="s">
        <v>250</v>
      </c>
      <c r="C553" t="s">
        <v>214</v>
      </c>
      <c r="D553" t="s">
        <v>251</v>
      </c>
      <c r="E553" s="32">
        <v>45940</v>
      </c>
      <c r="F553" t="s">
        <v>90</v>
      </c>
      <c r="G553" s="2">
        <v>45818</v>
      </c>
      <c r="H553">
        <v>9524057758</v>
      </c>
      <c r="I553">
        <v>153</v>
      </c>
      <c r="J553" t="s">
        <v>91</v>
      </c>
      <c r="K553" t="s">
        <v>71</v>
      </c>
      <c r="L553" t="s">
        <v>72</v>
      </c>
      <c r="M553" t="s">
        <v>59</v>
      </c>
      <c r="N553" t="s">
        <v>59</v>
      </c>
      <c r="O553" t="s">
        <v>61</v>
      </c>
      <c r="P553" t="s">
        <v>59</v>
      </c>
      <c r="Q553" t="s">
        <v>59</v>
      </c>
      <c r="R553" t="s">
        <v>59</v>
      </c>
      <c r="S553" t="s">
        <v>59</v>
      </c>
      <c r="T553" t="s">
        <v>59</v>
      </c>
      <c r="U553" t="s">
        <v>60</v>
      </c>
      <c r="V553" t="s">
        <v>59</v>
      </c>
      <c r="W553" t="s">
        <v>59</v>
      </c>
      <c r="X553" t="s">
        <v>59</v>
      </c>
      <c r="Y553" t="s">
        <v>59</v>
      </c>
      <c r="Z553" t="s">
        <v>59</v>
      </c>
      <c r="AA553" t="s">
        <v>59</v>
      </c>
      <c r="AB553" t="s">
        <v>60</v>
      </c>
      <c r="AC553" t="s">
        <v>59</v>
      </c>
      <c r="AD553" t="s">
        <v>59</v>
      </c>
      <c r="AE553" t="s">
        <v>59</v>
      </c>
      <c r="AF553" t="s">
        <v>59</v>
      </c>
      <c r="AG553" t="s">
        <v>59</v>
      </c>
      <c r="AH553" t="s">
        <v>59</v>
      </c>
      <c r="AI553" t="s">
        <v>61</v>
      </c>
      <c r="AJ553" t="s">
        <v>59</v>
      </c>
      <c r="AK553" t="s">
        <v>59</v>
      </c>
      <c r="AL553" t="s">
        <v>60</v>
      </c>
      <c r="AM553" t="s">
        <v>59</v>
      </c>
      <c r="AN553" t="s">
        <v>59</v>
      </c>
      <c r="AO553" t="s">
        <v>59</v>
      </c>
      <c r="AP553" t="s">
        <v>1284</v>
      </c>
      <c r="AQ553" t="s">
        <v>1255</v>
      </c>
      <c r="AR553" t="s">
        <v>64</v>
      </c>
      <c r="AS553" t="s">
        <v>602</v>
      </c>
      <c r="AT553" t="s">
        <v>603</v>
      </c>
      <c r="AU553" t="s">
        <v>219</v>
      </c>
      <c r="AW553" s="4">
        <f t="shared" si="283"/>
        <v>6</v>
      </c>
      <c r="AX553" s="4">
        <f t="shared" si="284"/>
        <v>4</v>
      </c>
      <c r="AY553" s="4">
        <f t="shared" si="285"/>
        <v>4</v>
      </c>
      <c r="AZ553" s="4">
        <f t="shared" si="286"/>
        <v>2</v>
      </c>
      <c r="BA553" s="4">
        <f t="shared" si="287"/>
        <v>4</v>
      </c>
      <c r="BB553" s="4">
        <f t="shared" si="288"/>
        <v>4</v>
      </c>
      <c r="BC553" s="4">
        <f t="shared" si="289"/>
        <v>4</v>
      </c>
      <c r="BD553" s="4">
        <f t="shared" si="290"/>
        <v>2</v>
      </c>
      <c r="BE553" s="4" t="str">
        <f t="shared" si="291"/>
        <v>0</v>
      </c>
      <c r="BF553" s="4">
        <f t="shared" si="292"/>
        <v>2</v>
      </c>
      <c r="BG553" s="4">
        <f t="shared" si="293"/>
        <v>4</v>
      </c>
      <c r="BH553" s="4">
        <f t="shared" si="294"/>
        <v>4</v>
      </c>
      <c r="BI553" s="4">
        <f t="shared" si="295"/>
        <v>4</v>
      </c>
      <c r="BJ553" s="4">
        <f t="shared" si="296"/>
        <v>2</v>
      </c>
      <c r="BK553" s="4">
        <f t="shared" si="297"/>
        <v>4</v>
      </c>
      <c r="BL553" s="4" t="str">
        <f t="shared" si="298"/>
        <v>0</v>
      </c>
      <c r="BM553" s="4">
        <f t="shared" si="299"/>
        <v>4</v>
      </c>
      <c r="BN553" s="4">
        <f t="shared" si="300"/>
        <v>4</v>
      </c>
      <c r="BO553" s="4">
        <f t="shared" si="301"/>
        <v>4</v>
      </c>
      <c r="BP553" s="4">
        <f t="shared" si="302"/>
        <v>4</v>
      </c>
      <c r="BQ553" s="4">
        <f t="shared" si="303"/>
        <v>6</v>
      </c>
      <c r="BR553" s="4">
        <f t="shared" si="304"/>
        <v>4</v>
      </c>
      <c r="BS553" s="4">
        <f t="shared" si="305"/>
        <v>4</v>
      </c>
      <c r="BT553" s="4">
        <f t="shared" si="306"/>
        <v>4</v>
      </c>
      <c r="BU553" s="4">
        <f t="shared" si="307"/>
        <v>4</v>
      </c>
      <c r="BV553" s="4" t="str">
        <f t="shared" si="308"/>
        <v>0</v>
      </c>
      <c r="BW553" s="4">
        <f t="shared" si="309"/>
        <v>6</v>
      </c>
      <c r="BX553" s="4">
        <f t="shared" si="310"/>
        <v>0</v>
      </c>
      <c r="BY553" s="4">
        <f t="shared" si="311"/>
        <v>0</v>
      </c>
      <c r="BZ553" s="37">
        <f t="shared" si="312"/>
        <v>94</v>
      </c>
      <c r="CA553" s="32" t="str">
        <f>VLOOKUP(J:J,'Agent wise'!A:C,3,0)</f>
        <v>Saran S</v>
      </c>
      <c r="CB553" s="32">
        <f t="shared" si="313"/>
        <v>45940</v>
      </c>
      <c r="CC553" t="str">
        <f t="shared" si="314"/>
        <v>Good</v>
      </c>
      <c r="CE553" s="32"/>
      <c r="CJ553">
        <f t="shared" si="315"/>
        <v>10</v>
      </c>
      <c r="CK553">
        <f t="shared" si="316"/>
        <v>10</v>
      </c>
      <c r="CL553">
        <f t="shared" si="317"/>
        <v>2025</v>
      </c>
    </row>
    <row r="554" spans="1:90" ht="15" customHeight="1" x14ac:dyDescent="0.35">
      <c r="A554" s="40">
        <v>45940.571203703701</v>
      </c>
      <c r="B554" t="s">
        <v>177</v>
      </c>
      <c r="C554" t="s">
        <v>214</v>
      </c>
      <c r="D554" t="s">
        <v>178</v>
      </c>
      <c r="E554" s="32">
        <v>45940</v>
      </c>
      <c r="F554" t="s">
        <v>90</v>
      </c>
      <c r="G554" s="2">
        <v>45910</v>
      </c>
      <c r="H554">
        <v>9047409715</v>
      </c>
      <c r="I554">
        <v>118</v>
      </c>
      <c r="J554" t="s">
        <v>124</v>
      </c>
      <c r="K554" t="s">
        <v>71</v>
      </c>
      <c r="L554" t="s">
        <v>72</v>
      </c>
      <c r="M554" t="s">
        <v>59</v>
      </c>
      <c r="N554" t="s">
        <v>59</v>
      </c>
      <c r="O554" t="s">
        <v>59</v>
      </c>
      <c r="P554" t="s">
        <v>59</v>
      </c>
      <c r="Q554" t="s">
        <v>59</v>
      </c>
      <c r="R554" t="s">
        <v>59</v>
      </c>
      <c r="S554" t="s">
        <v>59</v>
      </c>
      <c r="T554" t="s">
        <v>59</v>
      </c>
      <c r="U554" t="s">
        <v>59</v>
      </c>
      <c r="V554" t="s">
        <v>59</v>
      </c>
      <c r="W554" t="s">
        <v>59</v>
      </c>
      <c r="X554" t="s">
        <v>59</v>
      </c>
      <c r="Y554" t="s">
        <v>59</v>
      </c>
      <c r="Z554" t="s">
        <v>59</v>
      </c>
      <c r="AA554" t="s">
        <v>59</v>
      </c>
      <c r="AB554" t="s">
        <v>59</v>
      </c>
      <c r="AC554" t="s">
        <v>59</v>
      </c>
      <c r="AD554" t="s">
        <v>59</v>
      </c>
      <c r="AE554" t="s">
        <v>59</v>
      </c>
      <c r="AF554" t="s">
        <v>59</v>
      </c>
      <c r="AG554" t="s">
        <v>59</v>
      </c>
      <c r="AH554" t="s">
        <v>59</v>
      </c>
      <c r="AI554" t="s">
        <v>61</v>
      </c>
      <c r="AJ554" t="s">
        <v>59</v>
      </c>
      <c r="AK554" t="s">
        <v>59</v>
      </c>
      <c r="AL554" t="s">
        <v>59</v>
      </c>
      <c r="AM554" t="s">
        <v>59</v>
      </c>
      <c r="AN554" t="s">
        <v>59</v>
      </c>
      <c r="AO554" t="s">
        <v>59</v>
      </c>
      <c r="AP554" t="s">
        <v>270</v>
      </c>
      <c r="AQ554" s="1" t="s">
        <v>1193</v>
      </c>
      <c r="AR554" t="s">
        <v>64</v>
      </c>
      <c r="AS554" t="s">
        <v>94</v>
      </c>
      <c r="AT554" t="s">
        <v>95</v>
      </c>
      <c r="AU554" t="s">
        <v>299</v>
      </c>
      <c r="AW554" s="4">
        <f t="shared" si="283"/>
        <v>6</v>
      </c>
      <c r="AX554" s="4">
        <f t="shared" si="284"/>
        <v>4</v>
      </c>
      <c r="AY554" s="4">
        <f t="shared" si="285"/>
        <v>4</v>
      </c>
      <c r="AZ554" s="4">
        <f t="shared" si="286"/>
        <v>2</v>
      </c>
      <c r="BA554" s="4">
        <f t="shared" si="287"/>
        <v>4</v>
      </c>
      <c r="BB554" s="4">
        <f t="shared" si="288"/>
        <v>4</v>
      </c>
      <c r="BC554" s="4">
        <f t="shared" si="289"/>
        <v>4</v>
      </c>
      <c r="BD554" s="4">
        <f t="shared" si="290"/>
        <v>2</v>
      </c>
      <c r="BE554" s="4">
        <f t="shared" si="291"/>
        <v>4</v>
      </c>
      <c r="BF554" s="4">
        <f t="shared" si="292"/>
        <v>2</v>
      </c>
      <c r="BG554" s="4">
        <f t="shared" si="293"/>
        <v>4</v>
      </c>
      <c r="BH554" s="4">
        <f t="shared" si="294"/>
        <v>4</v>
      </c>
      <c r="BI554" s="4">
        <f t="shared" si="295"/>
        <v>4</v>
      </c>
      <c r="BJ554" s="4">
        <f t="shared" si="296"/>
        <v>2</v>
      </c>
      <c r="BK554" s="4">
        <f t="shared" si="297"/>
        <v>4</v>
      </c>
      <c r="BL554" s="4">
        <f t="shared" si="298"/>
        <v>2</v>
      </c>
      <c r="BM554" s="4">
        <f t="shared" si="299"/>
        <v>4</v>
      </c>
      <c r="BN554" s="4">
        <f t="shared" si="300"/>
        <v>4</v>
      </c>
      <c r="BO554" s="4">
        <f t="shared" si="301"/>
        <v>4</v>
      </c>
      <c r="BP554" s="4">
        <f t="shared" si="302"/>
        <v>4</v>
      </c>
      <c r="BQ554" s="4">
        <f t="shared" si="303"/>
        <v>6</v>
      </c>
      <c r="BR554" s="4">
        <f t="shared" si="304"/>
        <v>4</v>
      </c>
      <c r="BS554" s="4">
        <f t="shared" si="305"/>
        <v>4</v>
      </c>
      <c r="BT554" s="4">
        <f t="shared" si="306"/>
        <v>4</v>
      </c>
      <c r="BU554" s="4">
        <f t="shared" si="307"/>
        <v>4</v>
      </c>
      <c r="BV554" s="4">
        <f t="shared" si="308"/>
        <v>0</v>
      </c>
      <c r="BW554" s="4">
        <f t="shared" si="309"/>
        <v>6</v>
      </c>
      <c r="BX554" s="4">
        <f t="shared" si="310"/>
        <v>0</v>
      </c>
      <c r="BY554" s="4">
        <f t="shared" si="311"/>
        <v>0</v>
      </c>
      <c r="BZ554" s="37">
        <f t="shared" si="312"/>
        <v>100</v>
      </c>
      <c r="CA554" s="32" t="str">
        <f>VLOOKUP(J:J,'Agent wise'!A:C,3,0)</f>
        <v>Saran S</v>
      </c>
      <c r="CB554" s="32">
        <f t="shared" si="313"/>
        <v>45940</v>
      </c>
      <c r="CC554" t="str">
        <f t="shared" si="314"/>
        <v>Excellent</v>
      </c>
      <c r="CE554" s="32"/>
      <c r="CJ554">
        <f t="shared" si="315"/>
        <v>10</v>
      </c>
      <c r="CK554">
        <f t="shared" si="316"/>
        <v>10</v>
      </c>
      <c r="CL554">
        <f t="shared" si="317"/>
        <v>2025</v>
      </c>
    </row>
    <row r="555" spans="1:90" ht="15" customHeight="1" x14ac:dyDescent="0.35">
      <c r="A555" s="40">
        <v>45940.606851851851</v>
      </c>
      <c r="B555" t="s">
        <v>250</v>
      </c>
      <c r="C555" t="s">
        <v>214</v>
      </c>
      <c r="D555" t="s">
        <v>251</v>
      </c>
      <c r="E555" s="32">
        <v>45940</v>
      </c>
      <c r="F555" t="s">
        <v>90</v>
      </c>
      <c r="G555" s="2">
        <v>45818</v>
      </c>
      <c r="H555">
        <v>9499949248</v>
      </c>
      <c r="I555">
        <v>295</v>
      </c>
      <c r="J555" t="s">
        <v>490</v>
      </c>
      <c r="K555" t="s">
        <v>71</v>
      </c>
      <c r="L555" t="s">
        <v>72</v>
      </c>
      <c r="M555" t="s">
        <v>59</v>
      </c>
      <c r="N555" t="s">
        <v>59</v>
      </c>
      <c r="O555" t="s">
        <v>59</v>
      </c>
      <c r="P555" t="s">
        <v>59</v>
      </c>
      <c r="Q555" t="s">
        <v>59</v>
      </c>
      <c r="R555" t="s">
        <v>59</v>
      </c>
      <c r="S555" t="s">
        <v>59</v>
      </c>
      <c r="T555" t="s">
        <v>59</v>
      </c>
      <c r="U555" t="s">
        <v>60</v>
      </c>
      <c r="V555" t="s">
        <v>59</v>
      </c>
      <c r="W555" t="s">
        <v>59</v>
      </c>
      <c r="X555" t="s">
        <v>59</v>
      </c>
      <c r="Y555" t="s">
        <v>59</v>
      </c>
      <c r="Z555" t="s">
        <v>59</v>
      </c>
      <c r="AA555" t="s">
        <v>59</v>
      </c>
      <c r="AB555" t="s">
        <v>60</v>
      </c>
      <c r="AC555" t="s">
        <v>59</v>
      </c>
      <c r="AD555" t="s">
        <v>59</v>
      </c>
      <c r="AE555" t="s">
        <v>59</v>
      </c>
      <c r="AF555" t="s">
        <v>59</v>
      </c>
      <c r="AG555" t="s">
        <v>59</v>
      </c>
      <c r="AH555" t="s">
        <v>61</v>
      </c>
      <c r="AI555" t="s">
        <v>61</v>
      </c>
      <c r="AJ555" t="s">
        <v>59</v>
      </c>
      <c r="AK555" t="s">
        <v>59</v>
      </c>
      <c r="AL555" t="s">
        <v>60</v>
      </c>
      <c r="AM555" t="s">
        <v>59</v>
      </c>
      <c r="AN555" t="s">
        <v>59</v>
      </c>
      <c r="AO555" t="s">
        <v>59</v>
      </c>
      <c r="AP555" t="s">
        <v>467</v>
      </c>
      <c r="AQ555" t="s">
        <v>1285</v>
      </c>
      <c r="AR555" t="s">
        <v>64</v>
      </c>
      <c r="AS555" t="s">
        <v>279</v>
      </c>
      <c r="AT555" t="s">
        <v>123</v>
      </c>
      <c r="AU555" t="s">
        <v>219</v>
      </c>
      <c r="AW555" s="4">
        <f t="shared" si="283"/>
        <v>6</v>
      </c>
      <c r="AX555" s="4">
        <f t="shared" si="284"/>
        <v>4</v>
      </c>
      <c r="AY555" s="4">
        <f t="shared" si="285"/>
        <v>4</v>
      </c>
      <c r="AZ555" s="4">
        <f t="shared" si="286"/>
        <v>2</v>
      </c>
      <c r="BA555" s="4">
        <f t="shared" si="287"/>
        <v>4</v>
      </c>
      <c r="BB555" s="4">
        <f t="shared" si="288"/>
        <v>4</v>
      </c>
      <c r="BC555" s="4">
        <f t="shared" si="289"/>
        <v>4</v>
      </c>
      <c r="BD555" s="4">
        <f t="shared" si="290"/>
        <v>2</v>
      </c>
      <c r="BE555" s="4" t="str">
        <f t="shared" si="291"/>
        <v>0</v>
      </c>
      <c r="BF555" s="4">
        <f t="shared" si="292"/>
        <v>2</v>
      </c>
      <c r="BG555" s="4">
        <f t="shared" si="293"/>
        <v>4</v>
      </c>
      <c r="BH555" s="4">
        <f t="shared" si="294"/>
        <v>4</v>
      </c>
      <c r="BI555" s="4">
        <f t="shared" si="295"/>
        <v>4</v>
      </c>
      <c r="BJ555" s="4">
        <f t="shared" si="296"/>
        <v>2</v>
      </c>
      <c r="BK555" s="4">
        <f t="shared" si="297"/>
        <v>4</v>
      </c>
      <c r="BL555" s="4" t="str">
        <f t="shared" si="298"/>
        <v>0</v>
      </c>
      <c r="BM555" s="4">
        <f t="shared" si="299"/>
        <v>4</v>
      </c>
      <c r="BN555" s="4">
        <f t="shared" si="300"/>
        <v>4</v>
      </c>
      <c r="BO555" s="4">
        <f t="shared" si="301"/>
        <v>4</v>
      </c>
      <c r="BP555" s="4">
        <f t="shared" si="302"/>
        <v>4</v>
      </c>
      <c r="BQ555" s="4">
        <f t="shared" si="303"/>
        <v>6</v>
      </c>
      <c r="BR555" s="4">
        <f t="shared" si="304"/>
        <v>4</v>
      </c>
      <c r="BS555" s="4">
        <f t="shared" si="305"/>
        <v>4</v>
      </c>
      <c r="BT555" s="4">
        <f t="shared" si="306"/>
        <v>4</v>
      </c>
      <c r="BU555" s="4">
        <f t="shared" si="307"/>
        <v>4</v>
      </c>
      <c r="BV555" s="4" t="str">
        <f t="shared" si="308"/>
        <v>0</v>
      </c>
      <c r="BW555" s="4">
        <f t="shared" si="309"/>
        <v>6</v>
      </c>
      <c r="BX555" s="4">
        <f t="shared" si="310"/>
        <v>0</v>
      </c>
      <c r="BY555" s="4">
        <f t="shared" si="311"/>
        <v>0</v>
      </c>
      <c r="BZ555" s="37">
        <f t="shared" si="312"/>
        <v>94</v>
      </c>
      <c r="CA555" s="32" t="str">
        <f>VLOOKUP(J:J,'Agent wise'!A:C,3,0)</f>
        <v>Saran S</v>
      </c>
      <c r="CB555" s="32">
        <f t="shared" si="313"/>
        <v>45940</v>
      </c>
      <c r="CC555" t="str">
        <f t="shared" si="314"/>
        <v>Good</v>
      </c>
      <c r="CE555" s="32"/>
      <c r="CJ555">
        <f t="shared" si="315"/>
        <v>10</v>
      </c>
      <c r="CK555">
        <f t="shared" si="316"/>
        <v>10</v>
      </c>
      <c r="CL555">
        <f t="shared" si="317"/>
        <v>2025</v>
      </c>
    </row>
    <row r="556" spans="1:90" ht="15" customHeight="1" x14ac:dyDescent="0.35">
      <c r="A556" s="40">
        <v>45940.610983796287</v>
      </c>
      <c r="B556" t="s">
        <v>250</v>
      </c>
      <c r="C556" t="s">
        <v>214</v>
      </c>
      <c r="D556" t="s">
        <v>251</v>
      </c>
      <c r="E556" s="32">
        <v>45940</v>
      </c>
      <c r="F556" t="s">
        <v>90</v>
      </c>
      <c r="G556" s="2">
        <v>45818</v>
      </c>
      <c r="H556">
        <v>9500319937</v>
      </c>
      <c r="I556">
        <v>186</v>
      </c>
      <c r="J556" t="s">
        <v>274</v>
      </c>
      <c r="K556" t="s">
        <v>71</v>
      </c>
      <c r="L556" t="s">
        <v>72</v>
      </c>
      <c r="M556" t="s">
        <v>59</v>
      </c>
      <c r="N556" t="s">
        <v>59</v>
      </c>
      <c r="O556" t="s">
        <v>59</v>
      </c>
      <c r="P556" t="s">
        <v>59</v>
      </c>
      <c r="Q556" t="s">
        <v>59</v>
      </c>
      <c r="R556" t="s">
        <v>59</v>
      </c>
      <c r="S556" t="s">
        <v>59</v>
      </c>
      <c r="T556" t="s">
        <v>59</v>
      </c>
      <c r="U556" t="s">
        <v>60</v>
      </c>
      <c r="V556" t="s">
        <v>59</v>
      </c>
      <c r="W556" t="s">
        <v>59</v>
      </c>
      <c r="X556" t="s">
        <v>59</v>
      </c>
      <c r="Y556" t="s">
        <v>59</v>
      </c>
      <c r="Z556" t="s">
        <v>59</v>
      </c>
      <c r="AA556" t="s">
        <v>60</v>
      </c>
      <c r="AB556" t="s">
        <v>59</v>
      </c>
      <c r="AC556" t="s">
        <v>59</v>
      </c>
      <c r="AD556" t="s">
        <v>59</v>
      </c>
      <c r="AE556" t="s">
        <v>59</v>
      </c>
      <c r="AF556" t="s">
        <v>59</v>
      </c>
      <c r="AG556" t="s">
        <v>59</v>
      </c>
      <c r="AH556" t="s">
        <v>61</v>
      </c>
      <c r="AI556" t="s">
        <v>61</v>
      </c>
      <c r="AJ556" t="s">
        <v>59</v>
      </c>
      <c r="AK556" t="s">
        <v>59</v>
      </c>
      <c r="AL556" t="s">
        <v>60</v>
      </c>
      <c r="AM556" t="s">
        <v>59</v>
      </c>
      <c r="AN556" t="s">
        <v>59</v>
      </c>
      <c r="AO556" t="s">
        <v>59</v>
      </c>
      <c r="AP556" t="s">
        <v>783</v>
      </c>
      <c r="AQ556" t="s">
        <v>1255</v>
      </c>
      <c r="AR556" t="s">
        <v>64</v>
      </c>
      <c r="AS556" t="s">
        <v>602</v>
      </c>
      <c r="AT556" t="s">
        <v>603</v>
      </c>
      <c r="AU556" t="s">
        <v>219</v>
      </c>
      <c r="AW556" s="4">
        <f t="shared" si="283"/>
        <v>6</v>
      </c>
      <c r="AX556" s="4">
        <f t="shared" si="284"/>
        <v>4</v>
      </c>
      <c r="AY556" s="4">
        <f t="shared" si="285"/>
        <v>4</v>
      </c>
      <c r="AZ556" s="4">
        <f t="shared" si="286"/>
        <v>2</v>
      </c>
      <c r="BA556" s="4">
        <f t="shared" si="287"/>
        <v>4</v>
      </c>
      <c r="BB556" s="4">
        <f t="shared" si="288"/>
        <v>4</v>
      </c>
      <c r="BC556" s="4">
        <f t="shared" si="289"/>
        <v>4</v>
      </c>
      <c r="BD556" s="4">
        <f t="shared" si="290"/>
        <v>2</v>
      </c>
      <c r="BE556" s="4" t="str">
        <f t="shared" si="291"/>
        <v>0</v>
      </c>
      <c r="BF556" s="4">
        <f t="shared" si="292"/>
        <v>2</v>
      </c>
      <c r="BG556" s="4">
        <f t="shared" si="293"/>
        <v>4</v>
      </c>
      <c r="BH556" s="4">
        <f t="shared" si="294"/>
        <v>4</v>
      </c>
      <c r="BI556" s="4">
        <f t="shared" si="295"/>
        <v>4</v>
      </c>
      <c r="BJ556" s="4">
        <f t="shared" si="296"/>
        <v>2</v>
      </c>
      <c r="BK556" s="4" t="str">
        <f t="shared" si="297"/>
        <v>0</v>
      </c>
      <c r="BL556" s="4">
        <f t="shared" si="298"/>
        <v>2</v>
      </c>
      <c r="BM556" s="4">
        <f t="shared" si="299"/>
        <v>4</v>
      </c>
      <c r="BN556" s="4">
        <f t="shared" si="300"/>
        <v>4</v>
      </c>
      <c r="BO556" s="4">
        <f t="shared" si="301"/>
        <v>4</v>
      </c>
      <c r="BP556" s="4">
        <f t="shared" si="302"/>
        <v>4</v>
      </c>
      <c r="BQ556" s="4">
        <f t="shared" si="303"/>
        <v>6</v>
      </c>
      <c r="BR556" s="4">
        <f t="shared" si="304"/>
        <v>4</v>
      </c>
      <c r="BS556" s="4">
        <f t="shared" si="305"/>
        <v>4</v>
      </c>
      <c r="BT556" s="4">
        <f t="shared" si="306"/>
        <v>4</v>
      </c>
      <c r="BU556" s="4">
        <f t="shared" si="307"/>
        <v>4</v>
      </c>
      <c r="BV556" s="4" t="str">
        <f t="shared" si="308"/>
        <v>0</v>
      </c>
      <c r="BW556" s="4">
        <f t="shared" si="309"/>
        <v>6</v>
      </c>
      <c r="BX556" s="4">
        <f t="shared" si="310"/>
        <v>0</v>
      </c>
      <c r="BY556" s="4">
        <f t="shared" si="311"/>
        <v>0</v>
      </c>
      <c r="BZ556" s="37">
        <f t="shared" si="312"/>
        <v>92</v>
      </c>
      <c r="CA556" s="32" t="str">
        <f>VLOOKUP(J:J,'Agent wise'!A:C,3,0)</f>
        <v>Shakeer</v>
      </c>
      <c r="CB556" s="32">
        <f t="shared" si="313"/>
        <v>45940</v>
      </c>
      <c r="CC556" t="str">
        <f t="shared" si="314"/>
        <v>Good</v>
      </c>
      <c r="CE556" s="32"/>
      <c r="CJ556">
        <f t="shared" si="315"/>
        <v>10</v>
      </c>
      <c r="CK556">
        <f t="shared" si="316"/>
        <v>10</v>
      </c>
      <c r="CL556">
        <f t="shared" si="317"/>
        <v>2025</v>
      </c>
    </row>
    <row r="557" spans="1:90" ht="15" customHeight="1" x14ac:dyDescent="0.35">
      <c r="A557" s="40">
        <v>45940.614479166667</v>
      </c>
      <c r="B557" t="s">
        <v>177</v>
      </c>
      <c r="C557" t="s">
        <v>214</v>
      </c>
      <c r="D557" t="s">
        <v>178</v>
      </c>
      <c r="E557" s="32">
        <v>45940</v>
      </c>
      <c r="F557" t="s">
        <v>90</v>
      </c>
      <c r="G557" s="2">
        <v>45910</v>
      </c>
      <c r="H557">
        <v>9488000614</v>
      </c>
      <c r="I557">
        <v>130</v>
      </c>
      <c r="J557" t="s">
        <v>108</v>
      </c>
      <c r="K557" t="s">
        <v>71</v>
      </c>
      <c r="L557" t="s">
        <v>72</v>
      </c>
      <c r="M557" t="s">
        <v>59</v>
      </c>
      <c r="N557" t="s">
        <v>59</v>
      </c>
      <c r="O557" t="s">
        <v>59</v>
      </c>
      <c r="P557" t="s">
        <v>59</v>
      </c>
      <c r="Q557" t="s">
        <v>59</v>
      </c>
      <c r="R557" t="s">
        <v>59</v>
      </c>
      <c r="S557" t="s">
        <v>59</v>
      </c>
      <c r="T557" t="s">
        <v>59</v>
      </c>
      <c r="U557" t="s">
        <v>59</v>
      </c>
      <c r="V557" t="s">
        <v>59</v>
      </c>
      <c r="W557" t="s">
        <v>59</v>
      </c>
      <c r="X557" t="s">
        <v>59</v>
      </c>
      <c r="Y557" t="s">
        <v>59</v>
      </c>
      <c r="Z557" t="s">
        <v>59</v>
      </c>
      <c r="AA557" t="s">
        <v>59</v>
      </c>
      <c r="AB557" t="s">
        <v>59</v>
      </c>
      <c r="AC557" t="s">
        <v>59</v>
      </c>
      <c r="AD557" t="s">
        <v>59</v>
      </c>
      <c r="AE557" t="s">
        <v>59</v>
      </c>
      <c r="AF557" t="s">
        <v>59</v>
      </c>
      <c r="AG557" t="s">
        <v>59</v>
      </c>
      <c r="AH557" t="s">
        <v>59</v>
      </c>
      <c r="AI557" t="s">
        <v>61</v>
      </c>
      <c r="AJ557" t="s">
        <v>59</v>
      </c>
      <c r="AK557" t="s">
        <v>59</v>
      </c>
      <c r="AL557" t="s">
        <v>60</v>
      </c>
      <c r="AM557" t="s">
        <v>59</v>
      </c>
      <c r="AN557" t="s">
        <v>59</v>
      </c>
      <c r="AO557" t="s">
        <v>59</v>
      </c>
      <c r="AP557" t="s">
        <v>37</v>
      </c>
      <c r="AQ557" s="1" t="s">
        <v>1193</v>
      </c>
      <c r="AR557" t="s">
        <v>64</v>
      </c>
      <c r="AS557" t="s">
        <v>94</v>
      </c>
      <c r="AT557" t="s">
        <v>95</v>
      </c>
      <c r="AU557" t="s">
        <v>219</v>
      </c>
      <c r="AW557" s="4">
        <f t="shared" si="283"/>
        <v>6</v>
      </c>
      <c r="AX557" s="4">
        <f t="shared" si="284"/>
        <v>4</v>
      </c>
      <c r="AY557" s="4">
        <f t="shared" si="285"/>
        <v>4</v>
      </c>
      <c r="AZ557" s="4">
        <f t="shared" si="286"/>
        <v>2</v>
      </c>
      <c r="BA557" s="4">
        <f t="shared" si="287"/>
        <v>4</v>
      </c>
      <c r="BB557" s="4">
        <f t="shared" si="288"/>
        <v>4</v>
      </c>
      <c r="BC557" s="4">
        <f t="shared" si="289"/>
        <v>4</v>
      </c>
      <c r="BD557" s="4">
        <f t="shared" si="290"/>
        <v>2</v>
      </c>
      <c r="BE557" s="4">
        <f t="shared" si="291"/>
        <v>4</v>
      </c>
      <c r="BF557" s="4">
        <f t="shared" si="292"/>
        <v>2</v>
      </c>
      <c r="BG557" s="4">
        <f t="shared" si="293"/>
        <v>4</v>
      </c>
      <c r="BH557" s="4">
        <f t="shared" si="294"/>
        <v>4</v>
      </c>
      <c r="BI557" s="4">
        <f t="shared" si="295"/>
        <v>4</v>
      </c>
      <c r="BJ557" s="4">
        <f t="shared" si="296"/>
        <v>2</v>
      </c>
      <c r="BK557" s="4">
        <f t="shared" si="297"/>
        <v>4</v>
      </c>
      <c r="BL557" s="4">
        <f t="shared" si="298"/>
        <v>2</v>
      </c>
      <c r="BM557" s="4">
        <f t="shared" si="299"/>
        <v>4</v>
      </c>
      <c r="BN557" s="4">
        <f t="shared" si="300"/>
        <v>4</v>
      </c>
      <c r="BO557" s="4">
        <f t="shared" si="301"/>
        <v>4</v>
      </c>
      <c r="BP557" s="4">
        <f t="shared" si="302"/>
        <v>4</v>
      </c>
      <c r="BQ557" s="4">
        <f t="shared" si="303"/>
        <v>6</v>
      </c>
      <c r="BR557" s="4">
        <f t="shared" si="304"/>
        <v>4</v>
      </c>
      <c r="BS557" s="4">
        <f t="shared" si="305"/>
        <v>4</v>
      </c>
      <c r="BT557" s="4">
        <f t="shared" si="306"/>
        <v>4</v>
      </c>
      <c r="BU557" s="4">
        <f t="shared" si="307"/>
        <v>4</v>
      </c>
      <c r="BV557" s="4" t="str">
        <f t="shared" si="308"/>
        <v>0</v>
      </c>
      <c r="BW557" s="4">
        <f t="shared" si="309"/>
        <v>6</v>
      </c>
      <c r="BX557" s="4">
        <f t="shared" si="310"/>
        <v>0</v>
      </c>
      <c r="BY557" s="4">
        <f t="shared" si="311"/>
        <v>0</v>
      </c>
      <c r="BZ557" s="37">
        <f t="shared" si="312"/>
        <v>100</v>
      </c>
      <c r="CA557" s="32" t="str">
        <f>VLOOKUP(J:J,'Agent wise'!A:C,3,0)</f>
        <v xml:space="preserve">Shiny </v>
      </c>
      <c r="CB557" s="32">
        <f t="shared" si="313"/>
        <v>45940</v>
      </c>
      <c r="CC557" t="str">
        <f t="shared" si="314"/>
        <v>Excellent</v>
      </c>
      <c r="CE557" s="32"/>
      <c r="CJ557">
        <f t="shared" si="315"/>
        <v>10</v>
      </c>
      <c r="CK557">
        <f t="shared" si="316"/>
        <v>10</v>
      </c>
      <c r="CL557">
        <f t="shared" si="317"/>
        <v>2025</v>
      </c>
    </row>
    <row r="558" spans="1:90" ht="15" customHeight="1" x14ac:dyDescent="0.35">
      <c r="A558" s="40">
        <v>45940.630243055559</v>
      </c>
      <c r="B558" t="s">
        <v>177</v>
      </c>
      <c r="C558" t="s">
        <v>214</v>
      </c>
      <c r="D558" t="s">
        <v>178</v>
      </c>
      <c r="E558" s="32">
        <v>45940</v>
      </c>
      <c r="F558" t="s">
        <v>90</v>
      </c>
      <c r="G558" s="2">
        <v>45910</v>
      </c>
      <c r="H558">
        <v>7305582919</v>
      </c>
      <c r="I558">
        <v>191</v>
      </c>
      <c r="J558" t="s">
        <v>533</v>
      </c>
      <c r="K558" t="s">
        <v>71</v>
      </c>
      <c r="L558" t="s">
        <v>72</v>
      </c>
      <c r="M558" t="s">
        <v>59</v>
      </c>
      <c r="N558" t="s">
        <v>59</v>
      </c>
      <c r="O558" t="s">
        <v>59</v>
      </c>
      <c r="P558" t="s">
        <v>59</v>
      </c>
      <c r="Q558" t="s">
        <v>59</v>
      </c>
      <c r="R558" t="s">
        <v>59</v>
      </c>
      <c r="S558" t="s">
        <v>59</v>
      </c>
      <c r="T558" t="s">
        <v>59</v>
      </c>
      <c r="U558" t="s">
        <v>59</v>
      </c>
      <c r="V558" t="s">
        <v>59</v>
      </c>
      <c r="W558" t="s">
        <v>59</v>
      </c>
      <c r="X558" t="s">
        <v>59</v>
      </c>
      <c r="Y558" t="s">
        <v>59</v>
      </c>
      <c r="Z558" t="s">
        <v>59</v>
      </c>
      <c r="AA558" t="s">
        <v>59</v>
      </c>
      <c r="AB558" t="s">
        <v>59</v>
      </c>
      <c r="AC558" t="s">
        <v>61</v>
      </c>
      <c r="AD558" t="s">
        <v>59</v>
      </c>
      <c r="AE558" t="s">
        <v>59</v>
      </c>
      <c r="AF558" t="s">
        <v>59</v>
      </c>
      <c r="AG558" t="s">
        <v>59</v>
      </c>
      <c r="AH558" t="s">
        <v>61</v>
      </c>
      <c r="AI558" t="s">
        <v>61</v>
      </c>
      <c r="AJ558" t="s">
        <v>59</v>
      </c>
      <c r="AK558" t="s">
        <v>59</v>
      </c>
      <c r="AL558" t="s">
        <v>60</v>
      </c>
      <c r="AM558" t="s">
        <v>59</v>
      </c>
      <c r="AN558" t="s">
        <v>59</v>
      </c>
      <c r="AO558" t="s">
        <v>59</v>
      </c>
      <c r="AP558" t="s">
        <v>37</v>
      </c>
      <c r="AQ558" s="1" t="s">
        <v>1193</v>
      </c>
      <c r="AR558" t="s">
        <v>64</v>
      </c>
      <c r="AS558" t="s">
        <v>94</v>
      </c>
      <c r="AT558" t="s">
        <v>95</v>
      </c>
      <c r="AU558" t="s">
        <v>219</v>
      </c>
      <c r="AW558" s="4">
        <f t="shared" si="283"/>
        <v>6</v>
      </c>
      <c r="AX558" s="4">
        <f t="shared" si="284"/>
        <v>4</v>
      </c>
      <c r="AY558" s="4">
        <f t="shared" si="285"/>
        <v>4</v>
      </c>
      <c r="AZ558" s="4">
        <f t="shared" si="286"/>
        <v>2</v>
      </c>
      <c r="BA558" s="4">
        <f t="shared" si="287"/>
        <v>4</v>
      </c>
      <c r="BB558" s="4">
        <f t="shared" si="288"/>
        <v>4</v>
      </c>
      <c r="BC558" s="4">
        <f t="shared" si="289"/>
        <v>4</v>
      </c>
      <c r="BD558" s="4">
        <f t="shared" si="290"/>
        <v>2</v>
      </c>
      <c r="BE558" s="4">
        <f t="shared" si="291"/>
        <v>4</v>
      </c>
      <c r="BF558" s="4">
        <f t="shared" si="292"/>
        <v>2</v>
      </c>
      <c r="BG558" s="4">
        <f t="shared" si="293"/>
        <v>4</v>
      </c>
      <c r="BH558" s="4">
        <f t="shared" si="294"/>
        <v>4</v>
      </c>
      <c r="BI558" s="4">
        <f t="shared" si="295"/>
        <v>4</v>
      </c>
      <c r="BJ558" s="4">
        <f t="shared" si="296"/>
        <v>2</v>
      </c>
      <c r="BK558" s="4">
        <f t="shared" si="297"/>
        <v>4</v>
      </c>
      <c r="BL558" s="4">
        <f t="shared" si="298"/>
        <v>2</v>
      </c>
      <c r="BM558" s="4">
        <f t="shared" si="299"/>
        <v>4</v>
      </c>
      <c r="BN558" s="4">
        <f t="shared" si="300"/>
        <v>4</v>
      </c>
      <c r="BO558" s="4">
        <f t="shared" si="301"/>
        <v>4</v>
      </c>
      <c r="BP558" s="4">
        <f t="shared" si="302"/>
        <v>4</v>
      </c>
      <c r="BQ558" s="4">
        <f t="shared" si="303"/>
        <v>6</v>
      </c>
      <c r="BR558" s="4">
        <f t="shared" si="304"/>
        <v>4</v>
      </c>
      <c r="BS558" s="4">
        <f t="shared" si="305"/>
        <v>4</v>
      </c>
      <c r="BT558" s="4">
        <f t="shared" si="306"/>
        <v>4</v>
      </c>
      <c r="BU558" s="4">
        <f t="shared" si="307"/>
        <v>4</v>
      </c>
      <c r="BV558" s="4" t="str">
        <f t="shared" si="308"/>
        <v>0</v>
      </c>
      <c r="BW558" s="4">
        <f t="shared" si="309"/>
        <v>6</v>
      </c>
      <c r="BX558" s="4">
        <f t="shared" si="310"/>
        <v>0</v>
      </c>
      <c r="BY558" s="4">
        <f t="shared" si="311"/>
        <v>0</v>
      </c>
      <c r="BZ558" s="37">
        <f t="shared" si="312"/>
        <v>100</v>
      </c>
      <c r="CA558" s="32" t="str">
        <f>VLOOKUP(J:J,'Agent wise'!A:C,3,0)</f>
        <v xml:space="preserve">Shiny </v>
      </c>
      <c r="CB558" s="32">
        <f t="shared" si="313"/>
        <v>45940</v>
      </c>
      <c r="CC558" t="str">
        <f t="shared" si="314"/>
        <v>Excellent</v>
      </c>
      <c r="CE558" s="32"/>
      <c r="CJ558">
        <f t="shared" si="315"/>
        <v>10</v>
      </c>
      <c r="CK558">
        <f t="shared" si="316"/>
        <v>10</v>
      </c>
      <c r="CL558">
        <f t="shared" si="317"/>
        <v>2025</v>
      </c>
    </row>
    <row r="559" spans="1:90" ht="15" customHeight="1" x14ac:dyDescent="0.35">
      <c r="A559" s="40">
        <v>45940.819733796299</v>
      </c>
      <c r="B559" t="s">
        <v>698</v>
      </c>
      <c r="C559" t="s">
        <v>214</v>
      </c>
      <c r="D559" t="s">
        <v>221</v>
      </c>
      <c r="E559" s="32">
        <v>45940</v>
      </c>
      <c r="F559" t="s">
        <v>222</v>
      </c>
      <c r="G559" s="2">
        <v>45940</v>
      </c>
      <c r="H559">
        <v>8056153581</v>
      </c>
      <c r="I559">
        <v>169</v>
      </c>
      <c r="J559" t="s">
        <v>451</v>
      </c>
      <c r="K559" t="s">
        <v>71</v>
      </c>
      <c r="L559" t="s">
        <v>72</v>
      </c>
      <c r="M559" t="s">
        <v>59</v>
      </c>
      <c r="N559" t="s">
        <v>59</v>
      </c>
      <c r="O559" t="s">
        <v>59</v>
      </c>
      <c r="P559" t="s">
        <v>59</v>
      </c>
      <c r="Q559" t="s">
        <v>59</v>
      </c>
      <c r="R559" t="s">
        <v>59</v>
      </c>
      <c r="S559" t="s">
        <v>59</v>
      </c>
      <c r="T559" t="s">
        <v>59</v>
      </c>
      <c r="U559" t="s">
        <v>59</v>
      </c>
      <c r="V559" t="s">
        <v>59</v>
      </c>
      <c r="W559" t="s">
        <v>59</v>
      </c>
      <c r="X559" t="s">
        <v>59</v>
      </c>
      <c r="Y559" t="s">
        <v>59</v>
      </c>
      <c r="Z559" t="s">
        <v>59</v>
      </c>
      <c r="AA559" t="s">
        <v>59</v>
      </c>
      <c r="AB559" t="s">
        <v>59</v>
      </c>
      <c r="AC559" t="s">
        <v>59</v>
      </c>
      <c r="AD559" t="s">
        <v>59</v>
      </c>
      <c r="AE559" t="s">
        <v>59</v>
      </c>
      <c r="AF559" t="s">
        <v>59</v>
      </c>
      <c r="AG559" t="s">
        <v>59</v>
      </c>
      <c r="AH559" t="s">
        <v>61</v>
      </c>
      <c r="AI559" t="s">
        <v>61</v>
      </c>
      <c r="AJ559" t="s">
        <v>59</v>
      </c>
      <c r="AK559" t="s">
        <v>59</v>
      </c>
      <c r="AL559" t="s">
        <v>60</v>
      </c>
      <c r="AM559" t="s">
        <v>59</v>
      </c>
      <c r="AN559" t="s">
        <v>59</v>
      </c>
      <c r="AO559" t="s">
        <v>59</v>
      </c>
      <c r="AP559" t="s">
        <v>37</v>
      </c>
      <c r="AQ559" t="s">
        <v>1286</v>
      </c>
      <c r="AR559" t="s">
        <v>64</v>
      </c>
      <c r="AS559" t="s">
        <v>245</v>
      </c>
      <c r="AT559" t="s">
        <v>245</v>
      </c>
      <c r="AU559" t="s">
        <v>219</v>
      </c>
      <c r="AW559" s="4">
        <f t="shared" si="283"/>
        <v>6</v>
      </c>
      <c r="AX559" s="4">
        <f t="shared" si="284"/>
        <v>4</v>
      </c>
      <c r="AY559" s="4">
        <f t="shared" si="285"/>
        <v>4</v>
      </c>
      <c r="AZ559" s="4">
        <f t="shared" si="286"/>
        <v>2</v>
      </c>
      <c r="BA559" s="4">
        <f t="shared" si="287"/>
        <v>4</v>
      </c>
      <c r="BB559" s="4">
        <f t="shared" si="288"/>
        <v>4</v>
      </c>
      <c r="BC559" s="4">
        <f t="shared" si="289"/>
        <v>4</v>
      </c>
      <c r="BD559" s="4">
        <f t="shared" si="290"/>
        <v>2</v>
      </c>
      <c r="BE559" s="4">
        <f t="shared" si="291"/>
        <v>4</v>
      </c>
      <c r="BF559" s="4">
        <f t="shared" si="292"/>
        <v>2</v>
      </c>
      <c r="BG559" s="4">
        <f t="shared" si="293"/>
        <v>4</v>
      </c>
      <c r="BH559" s="4">
        <f t="shared" si="294"/>
        <v>4</v>
      </c>
      <c r="BI559" s="4">
        <f t="shared" si="295"/>
        <v>4</v>
      </c>
      <c r="BJ559" s="4">
        <f t="shared" si="296"/>
        <v>2</v>
      </c>
      <c r="BK559" s="4">
        <f t="shared" si="297"/>
        <v>4</v>
      </c>
      <c r="BL559" s="4">
        <f t="shared" si="298"/>
        <v>2</v>
      </c>
      <c r="BM559" s="4">
        <f t="shared" si="299"/>
        <v>4</v>
      </c>
      <c r="BN559" s="4">
        <f t="shared" si="300"/>
        <v>4</v>
      </c>
      <c r="BO559" s="4">
        <f t="shared" si="301"/>
        <v>4</v>
      </c>
      <c r="BP559" s="4">
        <f t="shared" si="302"/>
        <v>4</v>
      </c>
      <c r="BQ559" s="4">
        <f t="shared" si="303"/>
        <v>6</v>
      </c>
      <c r="BR559" s="4">
        <f t="shared" si="304"/>
        <v>4</v>
      </c>
      <c r="BS559" s="4">
        <f t="shared" si="305"/>
        <v>4</v>
      </c>
      <c r="BT559" s="4">
        <f t="shared" si="306"/>
        <v>4</v>
      </c>
      <c r="BU559" s="4">
        <f t="shared" si="307"/>
        <v>4</v>
      </c>
      <c r="BV559" s="4" t="str">
        <f t="shared" si="308"/>
        <v>0</v>
      </c>
      <c r="BW559" s="4">
        <f t="shared" si="309"/>
        <v>6</v>
      </c>
      <c r="BX559" s="4">
        <f t="shared" si="310"/>
        <v>0</v>
      </c>
      <c r="BY559" s="4">
        <f t="shared" si="311"/>
        <v>0</v>
      </c>
      <c r="BZ559" s="37">
        <f t="shared" si="312"/>
        <v>100</v>
      </c>
      <c r="CA559" s="32" t="str">
        <f>VLOOKUP(J:J,'Agent wise'!A:C,3,0)</f>
        <v xml:space="preserve">Shiny </v>
      </c>
      <c r="CB559" s="32">
        <f t="shared" si="313"/>
        <v>45940</v>
      </c>
      <c r="CC559" t="str">
        <f t="shared" si="314"/>
        <v>Excellent</v>
      </c>
      <c r="CE559" s="32"/>
      <c r="CJ559">
        <f t="shared" si="315"/>
        <v>10</v>
      </c>
      <c r="CK559">
        <f t="shared" si="316"/>
        <v>10</v>
      </c>
      <c r="CL559">
        <f t="shared" si="317"/>
        <v>2025</v>
      </c>
    </row>
    <row r="560" spans="1:90" ht="15" customHeight="1" x14ac:dyDescent="0.35">
      <c r="A560" s="40">
        <v>45940.823379629634</v>
      </c>
      <c r="B560" t="s">
        <v>698</v>
      </c>
      <c r="C560" t="s">
        <v>214</v>
      </c>
      <c r="D560" t="s">
        <v>221</v>
      </c>
      <c r="E560" s="32">
        <v>45940</v>
      </c>
      <c r="F560" t="s">
        <v>222</v>
      </c>
      <c r="G560" s="2">
        <v>45940</v>
      </c>
      <c r="H560">
        <v>9946733694</v>
      </c>
      <c r="I560">
        <v>165</v>
      </c>
      <c r="J560" t="s">
        <v>451</v>
      </c>
      <c r="K560" t="s">
        <v>57</v>
      </c>
      <c r="L560" t="s">
        <v>58</v>
      </c>
      <c r="M560" t="s">
        <v>59</v>
      </c>
      <c r="N560" t="s">
        <v>59</v>
      </c>
      <c r="O560" t="s">
        <v>59</v>
      </c>
      <c r="P560" t="s">
        <v>59</v>
      </c>
      <c r="Q560" t="s">
        <v>59</v>
      </c>
      <c r="R560" t="s">
        <v>59</v>
      </c>
      <c r="S560" t="s">
        <v>59</v>
      </c>
      <c r="T560" t="s">
        <v>59</v>
      </c>
      <c r="U560" t="s">
        <v>59</v>
      </c>
      <c r="V560" t="s">
        <v>59</v>
      </c>
      <c r="W560" t="s">
        <v>59</v>
      </c>
      <c r="X560" t="s">
        <v>59</v>
      </c>
      <c r="Y560" t="s">
        <v>59</v>
      </c>
      <c r="Z560" t="s">
        <v>60</v>
      </c>
      <c r="AA560" t="s">
        <v>59</v>
      </c>
      <c r="AB560" t="s">
        <v>59</v>
      </c>
      <c r="AC560" t="s">
        <v>59</v>
      </c>
      <c r="AD560" t="s">
        <v>61</v>
      </c>
      <c r="AE560" t="s">
        <v>59</v>
      </c>
      <c r="AF560" t="s">
        <v>59</v>
      </c>
      <c r="AG560" t="s">
        <v>59</v>
      </c>
      <c r="AH560" t="s">
        <v>61</v>
      </c>
      <c r="AI560" t="s">
        <v>59</v>
      </c>
      <c r="AJ560" t="s">
        <v>59</v>
      </c>
      <c r="AK560" t="s">
        <v>59</v>
      </c>
      <c r="AL560" t="s">
        <v>60</v>
      </c>
      <c r="AM560" t="s">
        <v>59</v>
      </c>
      <c r="AN560" t="s">
        <v>59</v>
      </c>
      <c r="AO560" t="s">
        <v>59</v>
      </c>
      <c r="AP560" t="s">
        <v>1287</v>
      </c>
      <c r="AQ560" t="s">
        <v>960</v>
      </c>
      <c r="AR560" t="s">
        <v>226</v>
      </c>
      <c r="AS560" t="s">
        <v>249</v>
      </c>
      <c r="AT560" t="s">
        <v>249</v>
      </c>
      <c r="AU560" t="s">
        <v>219</v>
      </c>
      <c r="AW560" s="4">
        <f t="shared" si="283"/>
        <v>6</v>
      </c>
      <c r="AX560" s="4">
        <f t="shared" si="284"/>
        <v>4</v>
      </c>
      <c r="AY560" s="4">
        <f t="shared" si="285"/>
        <v>4</v>
      </c>
      <c r="AZ560" s="4">
        <f t="shared" si="286"/>
        <v>2</v>
      </c>
      <c r="BA560" s="4">
        <f t="shared" si="287"/>
        <v>4</v>
      </c>
      <c r="BB560" s="4">
        <f t="shared" si="288"/>
        <v>4</v>
      </c>
      <c r="BC560" s="4">
        <f t="shared" si="289"/>
        <v>4</v>
      </c>
      <c r="BD560" s="4">
        <f t="shared" si="290"/>
        <v>2</v>
      </c>
      <c r="BE560" s="4">
        <f t="shared" si="291"/>
        <v>4</v>
      </c>
      <c r="BF560" s="4">
        <f t="shared" si="292"/>
        <v>2</v>
      </c>
      <c r="BG560" s="4">
        <f t="shared" si="293"/>
        <v>4</v>
      </c>
      <c r="BH560" s="4">
        <f t="shared" si="294"/>
        <v>4</v>
      </c>
      <c r="BI560" s="4">
        <f t="shared" si="295"/>
        <v>4</v>
      </c>
      <c r="BJ560" s="4" t="str">
        <f t="shared" si="296"/>
        <v>0</v>
      </c>
      <c r="BK560" s="4">
        <f t="shared" si="297"/>
        <v>4</v>
      </c>
      <c r="BL560" s="4">
        <f t="shared" si="298"/>
        <v>2</v>
      </c>
      <c r="BM560" s="4">
        <f t="shared" si="299"/>
        <v>4</v>
      </c>
      <c r="BN560" s="4">
        <f t="shared" si="300"/>
        <v>4</v>
      </c>
      <c r="BO560" s="4">
        <f t="shared" si="301"/>
        <v>4</v>
      </c>
      <c r="BP560" s="4">
        <f t="shared" si="302"/>
        <v>4</v>
      </c>
      <c r="BQ560" s="4">
        <f t="shared" si="303"/>
        <v>6</v>
      </c>
      <c r="BR560" s="4">
        <f t="shared" si="304"/>
        <v>4</v>
      </c>
      <c r="BS560" s="4">
        <f t="shared" si="305"/>
        <v>4</v>
      </c>
      <c r="BT560" s="4">
        <f t="shared" si="306"/>
        <v>4</v>
      </c>
      <c r="BU560" s="4">
        <f t="shared" si="307"/>
        <v>4</v>
      </c>
      <c r="BV560" s="4" t="str">
        <f t="shared" si="308"/>
        <v>0</v>
      </c>
      <c r="BW560" s="4">
        <f t="shared" si="309"/>
        <v>6</v>
      </c>
      <c r="BX560" s="4">
        <f t="shared" si="310"/>
        <v>0</v>
      </c>
      <c r="BY560" s="4">
        <f t="shared" si="311"/>
        <v>0</v>
      </c>
      <c r="BZ560" s="37">
        <f t="shared" si="312"/>
        <v>98</v>
      </c>
      <c r="CA560" s="32" t="str">
        <f>VLOOKUP(J:J,'Agent wise'!A:C,3,0)</f>
        <v xml:space="preserve">Shiny </v>
      </c>
      <c r="CB560" s="32">
        <f t="shared" si="313"/>
        <v>45940</v>
      </c>
      <c r="CC560" t="str">
        <f t="shared" si="314"/>
        <v>Excellent</v>
      </c>
      <c r="CE560" s="32"/>
      <c r="CJ560">
        <f t="shared" si="315"/>
        <v>10</v>
      </c>
      <c r="CK560">
        <f t="shared" si="316"/>
        <v>10</v>
      </c>
      <c r="CL560">
        <f t="shared" si="317"/>
        <v>2025</v>
      </c>
    </row>
    <row r="561" spans="1:90" ht="15" customHeight="1" x14ac:dyDescent="0.35">
      <c r="A561" s="40">
        <v>45940.825231481482</v>
      </c>
      <c r="B561" t="s">
        <v>698</v>
      </c>
      <c r="C561" t="s">
        <v>214</v>
      </c>
      <c r="D561" t="s">
        <v>221</v>
      </c>
      <c r="E561" s="32">
        <v>45940</v>
      </c>
      <c r="F561" t="s">
        <v>222</v>
      </c>
      <c r="G561" s="2">
        <v>45940</v>
      </c>
      <c r="H561">
        <v>9846309349</v>
      </c>
      <c r="I561">
        <v>136</v>
      </c>
      <c r="J561" t="s">
        <v>80</v>
      </c>
      <c r="K561" t="s">
        <v>57</v>
      </c>
      <c r="L561" t="s">
        <v>58</v>
      </c>
      <c r="M561" t="s">
        <v>59</v>
      </c>
      <c r="N561" t="s">
        <v>59</v>
      </c>
      <c r="O561" t="s">
        <v>59</v>
      </c>
      <c r="P561" t="s">
        <v>59</v>
      </c>
      <c r="Q561" t="s">
        <v>59</v>
      </c>
      <c r="R561" t="s">
        <v>59</v>
      </c>
      <c r="S561" t="s">
        <v>59</v>
      </c>
      <c r="T561" t="s">
        <v>59</v>
      </c>
      <c r="U561" t="s">
        <v>59</v>
      </c>
      <c r="V561" t="s">
        <v>59</v>
      </c>
      <c r="W561" t="s">
        <v>59</v>
      </c>
      <c r="X561" t="s">
        <v>59</v>
      </c>
      <c r="Y561" t="s">
        <v>59</v>
      </c>
      <c r="Z561" t="s">
        <v>59</v>
      </c>
      <c r="AA561" t="s">
        <v>60</v>
      </c>
      <c r="AB561" t="s">
        <v>59</v>
      </c>
      <c r="AC561" t="s">
        <v>59</v>
      </c>
      <c r="AD561" t="s">
        <v>61</v>
      </c>
      <c r="AE561" t="s">
        <v>59</v>
      </c>
      <c r="AF561" t="s">
        <v>59</v>
      </c>
      <c r="AG561" t="s">
        <v>59</v>
      </c>
      <c r="AH561" t="s">
        <v>61</v>
      </c>
      <c r="AI561" t="s">
        <v>61</v>
      </c>
      <c r="AJ561" t="s">
        <v>59</v>
      </c>
      <c r="AK561" t="s">
        <v>59</v>
      </c>
      <c r="AL561" t="s">
        <v>60</v>
      </c>
      <c r="AM561" t="s">
        <v>59</v>
      </c>
      <c r="AN561" t="s">
        <v>59</v>
      </c>
      <c r="AO561" t="s">
        <v>59</v>
      </c>
      <c r="AP561" t="s">
        <v>1288</v>
      </c>
      <c r="AQ561" t="s">
        <v>960</v>
      </c>
      <c r="AR561" t="s">
        <v>226</v>
      </c>
      <c r="AS561" t="s">
        <v>249</v>
      </c>
      <c r="AT561" t="s">
        <v>249</v>
      </c>
      <c r="AU561" t="s">
        <v>219</v>
      </c>
      <c r="AW561" s="4">
        <f t="shared" si="283"/>
        <v>6</v>
      </c>
      <c r="AX561" s="4">
        <f t="shared" si="284"/>
        <v>4</v>
      </c>
      <c r="AY561" s="4">
        <f t="shared" si="285"/>
        <v>4</v>
      </c>
      <c r="AZ561" s="4">
        <f t="shared" si="286"/>
        <v>2</v>
      </c>
      <c r="BA561" s="4">
        <f t="shared" si="287"/>
        <v>4</v>
      </c>
      <c r="BB561" s="4">
        <f t="shared" si="288"/>
        <v>4</v>
      </c>
      <c r="BC561" s="4">
        <f t="shared" si="289"/>
        <v>4</v>
      </c>
      <c r="BD561" s="4">
        <f t="shared" si="290"/>
        <v>2</v>
      </c>
      <c r="BE561" s="4">
        <f t="shared" si="291"/>
        <v>4</v>
      </c>
      <c r="BF561" s="4">
        <f t="shared" si="292"/>
        <v>2</v>
      </c>
      <c r="BG561" s="4">
        <f t="shared" si="293"/>
        <v>4</v>
      </c>
      <c r="BH561" s="4">
        <f t="shared" si="294"/>
        <v>4</v>
      </c>
      <c r="BI561" s="4">
        <f t="shared" si="295"/>
        <v>4</v>
      </c>
      <c r="BJ561" s="4">
        <f t="shared" si="296"/>
        <v>2</v>
      </c>
      <c r="BK561" s="4" t="str">
        <f t="shared" si="297"/>
        <v>0</v>
      </c>
      <c r="BL561" s="4">
        <f t="shared" si="298"/>
        <v>2</v>
      </c>
      <c r="BM561" s="4">
        <f t="shared" si="299"/>
        <v>4</v>
      </c>
      <c r="BN561" s="4">
        <f t="shared" si="300"/>
        <v>4</v>
      </c>
      <c r="BO561" s="4">
        <f t="shared" si="301"/>
        <v>4</v>
      </c>
      <c r="BP561" s="4">
        <f t="shared" si="302"/>
        <v>4</v>
      </c>
      <c r="BQ561" s="4">
        <f t="shared" si="303"/>
        <v>6</v>
      </c>
      <c r="BR561" s="4">
        <f t="shared" si="304"/>
        <v>4</v>
      </c>
      <c r="BS561" s="4">
        <f t="shared" si="305"/>
        <v>4</v>
      </c>
      <c r="BT561" s="4">
        <f t="shared" si="306"/>
        <v>4</v>
      </c>
      <c r="BU561" s="4">
        <f t="shared" si="307"/>
        <v>4</v>
      </c>
      <c r="BV561" s="4" t="str">
        <f t="shared" si="308"/>
        <v>0</v>
      </c>
      <c r="BW561" s="4">
        <f t="shared" si="309"/>
        <v>6</v>
      </c>
      <c r="BX561" s="4">
        <f t="shared" si="310"/>
        <v>0</v>
      </c>
      <c r="BY561" s="4">
        <f t="shared" si="311"/>
        <v>0</v>
      </c>
      <c r="BZ561" s="37">
        <f t="shared" si="312"/>
        <v>96</v>
      </c>
      <c r="CA561" s="32" t="str">
        <f>VLOOKUP(J:J,'Agent wise'!A:C,3,0)</f>
        <v>Saran S</v>
      </c>
      <c r="CB561" s="32">
        <f t="shared" si="313"/>
        <v>45940</v>
      </c>
      <c r="CC561" t="str">
        <f t="shared" si="314"/>
        <v>Excellent</v>
      </c>
      <c r="CE561" s="32"/>
      <c r="CJ561">
        <f t="shared" si="315"/>
        <v>10</v>
      </c>
      <c r="CK561">
        <f t="shared" si="316"/>
        <v>10</v>
      </c>
      <c r="CL561">
        <f t="shared" si="317"/>
        <v>2025</v>
      </c>
    </row>
    <row r="562" spans="1:90" ht="15" customHeight="1" x14ac:dyDescent="0.35">
      <c r="A562" s="40">
        <v>45940.83216435185</v>
      </c>
      <c r="B562" t="s">
        <v>698</v>
      </c>
      <c r="C562" t="s">
        <v>214</v>
      </c>
      <c r="D562" t="s">
        <v>221</v>
      </c>
      <c r="E562" s="32">
        <v>45940</v>
      </c>
      <c r="F562" t="s">
        <v>222</v>
      </c>
      <c r="G562" s="2">
        <v>45940</v>
      </c>
      <c r="H562">
        <v>9444354133</v>
      </c>
      <c r="I562">
        <v>178</v>
      </c>
      <c r="J562" t="s">
        <v>234</v>
      </c>
      <c r="K562" t="s">
        <v>71</v>
      </c>
      <c r="L562" t="s">
        <v>72</v>
      </c>
      <c r="M562" t="s">
        <v>59</v>
      </c>
      <c r="N562" t="s">
        <v>59</v>
      </c>
      <c r="O562" t="s">
        <v>59</v>
      </c>
      <c r="P562" t="s">
        <v>59</v>
      </c>
      <c r="Q562" t="s">
        <v>59</v>
      </c>
      <c r="R562" t="s">
        <v>59</v>
      </c>
      <c r="S562" t="s">
        <v>59</v>
      </c>
      <c r="T562" t="s">
        <v>59</v>
      </c>
      <c r="U562" t="s">
        <v>59</v>
      </c>
      <c r="V562" t="s">
        <v>59</v>
      </c>
      <c r="W562" t="s">
        <v>59</v>
      </c>
      <c r="X562" t="s">
        <v>59</v>
      </c>
      <c r="Y562" t="s">
        <v>59</v>
      </c>
      <c r="Z562" t="s">
        <v>59</v>
      </c>
      <c r="AA562" t="s">
        <v>59</v>
      </c>
      <c r="AB562" t="s">
        <v>60</v>
      </c>
      <c r="AC562" t="s">
        <v>60</v>
      </c>
      <c r="AD562" t="s">
        <v>61</v>
      </c>
      <c r="AE562" t="s">
        <v>59</v>
      </c>
      <c r="AF562" t="s">
        <v>59</v>
      </c>
      <c r="AG562" t="s">
        <v>59</v>
      </c>
      <c r="AH562" t="s">
        <v>61</v>
      </c>
      <c r="AI562" t="s">
        <v>61</v>
      </c>
      <c r="AJ562" t="s">
        <v>59</v>
      </c>
      <c r="AK562" t="s">
        <v>59</v>
      </c>
      <c r="AL562" t="s">
        <v>60</v>
      </c>
      <c r="AM562" t="s">
        <v>59</v>
      </c>
      <c r="AN562" t="s">
        <v>59</v>
      </c>
      <c r="AO562" t="s">
        <v>59</v>
      </c>
      <c r="AP562" t="s">
        <v>1289</v>
      </c>
      <c r="AQ562" t="s">
        <v>1290</v>
      </c>
      <c r="AR562" t="s">
        <v>226</v>
      </c>
      <c r="AS562" t="s">
        <v>249</v>
      </c>
      <c r="AT562" t="s">
        <v>249</v>
      </c>
      <c r="AU562" t="s">
        <v>219</v>
      </c>
      <c r="AW562" s="4">
        <f t="shared" si="283"/>
        <v>6</v>
      </c>
      <c r="AX562" s="4">
        <f t="shared" si="284"/>
        <v>4</v>
      </c>
      <c r="AY562" s="4">
        <f t="shared" si="285"/>
        <v>4</v>
      </c>
      <c r="AZ562" s="4">
        <f t="shared" si="286"/>
        <v>2</v>
      </c>
      <c r="BA562" s="4">
        <f t="shared" si="287"/>
        <v>4</v>
      </c>
      <c r="BB562" s="4">
        <f t="shared" si="288"/>
        <v>4</v>
      </c>
      <c r="BC562" s="4">
        <f t="shared" si="289"/>
        <v>4</v>
      </c>
      <c r="BD562" s="4">
        <f t="shared" si="290"/>
        <v>2</v>
      </c>
      <c r="BE562" s="4">
        <f t="shared" si="291"/>
        <v>4</v>
      </c>
      <c r="BF562" s="4">
        <f t="shared" si="292"/>
        <v>2</v>
      </c>
      <c r="BG562" s="4">
        <f t="shared" si="293"/>
        <v>4</v>
      </c>
      <c r="BH562" s="4">
        <f t="shared" si="294"/>
        <v>4</v>
      </c>
      <c r="BI562" s="4">
        <f t="shared" si="295"/>
        <v>4</v>
      </c>
      <c r="BJ562" s="4">
        <f t="shared" si="296"/>
        <v>2</v>
      </c>
      <c r="BK562" s="4">
        <f t="shared" si="297"/>
        <v>4</v>
      </c>
      <c r="BL562" s="4" t="str">
        <f t="shared" si="298"/>
        <v>0</v>
      </c>
      <c r="BM562" s="4" t="str">
        <f t="shared" si="299"/>
        <v>0</v>
      </c>
      <c r="BN562" s="4">
        <f t="shared" si="300"/>
        <v>4</v>
      </c>
      <c r="BO562" s="4">
        <f t="shared" si="301"/>
        <v>4</v>
      </c>
      <c r="BP562" s="4">
        <f t="shared" si="302"/>
        <v>4</v>
      </c>
      <c r="BQ562" s="4">
        <f t="shared" si="303"/>
        <v>6</v>
      </c>
      <c r="BR562" s="4">
        <f t="shared" si="304"/>
        <v>4</v>
      </c>
      <c r="BS562" s="4">
        <f t="shared" si="305"/>
        <v>4</v>
      </c>
      <c r="BT562" s="4">
        <f t="shared" si="306"/>
        <v>4</v>
      </c>
      <c r="BU562" s="4">
        <f t="shared" si="307"/>
        <v>4</v>
      </c>
      <c r="BV562" s="4" t="str">
        <f t="shared" si="308"/>
        <v>0</v>
      </c>
      <c r="BW562" s="4">
        <f t="shared" si="309"/>
        <v>6</v>
      </c>
      <c r="BX562" s="4">
        <f t="shared" si="310"/>
        <v>0</v>
      </c>
      <c r="BY562" s="4">
        <f t="shared" si="311"/>
        <v>0</v>
      </c>
      <c r="BZ562" s="37">
        <f t="shared" si="312"/>
        <v>94</v>
      </c>
      <c r="CA562" s="32" t="str">
        <f>VLOOKUP(J:J,'Agent wise'!A:C,3,0)</f>
        <v>Amal</v>
      </c>
      <c r="CB562" s="32">
        <f t="shared" si="313"/>
        <v>45940</v>
      </c>
      <c r="CC562" t="str">
        <f t="shared" si="314"/>
        <v>Good</v>
      </c>
      <c r="CE562" s="32"/>
      <c r="CJ562">
        <f t="shared" si="315"/>
        <v>10</v>
      </c>
      <c r="CK562">
        <f t="shared" si="316"/>
        <v>10</v>
      </c>
      <c r="CL562">
        <f t="shared" si="317"/>
        <v>2025</v>
      </c>
    </row>
    <row r="563" spans="1:90" ht="15" customHeight="1" x14ac:dyDescent="0.35">
      <c r="A563" s="40">
        <v>45940.834247685183</v>
      </c>
      <c r="B563" t="s">
        <v>698</v>
      </c>
      <c r="C563" t="s">
        <v>214</v>
      </c>
      <c r="D563" t="s">
        <v>221</v>
      </c>
      <c r="E563" s="32">
        <v>45940</v>
      </c>
      <c r="F563" t="s">
        <v>222</v>
      </c>
      <c r="G563" s="2">
        <v>45940</v>
      </c>
      <c r="H563">
        <v>6369578298</v>
      </c>
      <c r="I563">
        <v>164</v>
      </c>
      <c r="J563" t="s">
        <v>234</v>
      </c>
      <c r="K563" t="s">
        <v>71</v>
      </c>
      <c r="L563" t="s">
        <v>72</v>
      </c>
      <c r="M563" t="s">
        <v>59</v>
      </c>
      <c r="N563" t="s">
        <v>59</v>
      </c>
      <c r="O563" t="s">
        <v>59</v>
      </c>
      <c r="P563" t="s">
        <v>59</v>
      </c>
      <c r="Q563" t="s">
        <v>59</v>
      </c>
      <c r="R563" t="s">
        <v>59</v>
      </c>
      <c r="S563" t="s">
        <v>59</v>
      </c>
      <c r="T563" t="s">
        <v>59</v>
      </c>
      <c r="U563" t="s">
        <v>59</v>
      </c>
      <c r="V563" t="s">
        <v>59</v>
      </c>
      <c r="W563" t="s">
        <v>59</v>
      </c>
      <c r="X563" t="s">
        <v>59</v>
      </c>
      <c r="Y563" t="s">
        <v>59</v>
      </c>
      <c r="Z563" t="s">
        <v>59</v>
      </c>
      <c r="AA563" t="s">
        <v>59</v>
      </c>
      <c r="AB563" t="s">
        <v>59</v>
      </c>
      <c r="AC563" t="s">
        <v>59</v>
      </c>
      <c r="AD563" t="s">
        <v>59</v>
      </c>
      <c r="AE563" t="s">
        <v>59</v>
      </c>
      <c r="AF563" t="s">
        <v>59</v>
      </c>
      <c r="AG563" t="s">
        <v>59</v>
      </c>
      <c r="AH563" t="s">
        <v>61</v>
      </c>
      <c r="AI563" t="s">
        <v>61</v>
      </c>
      <c r="AJ563" t="s">
        <v>59</v>
      </c>
      <c r="AK563" t="s">
        <v>59</v>
      </c>
      <c r="AL563" t="s">
        <v>59</v>
      </c>
      <c r="AM563" t="s">
        <v>59</v>
      </c>
      <c r="AN563" t="s">
        <v>59</v>
      </c>
      <c r="AO563" t="s">
        <v>59</v>
      </c>
      <c r="AP563" t="s">
        <v>247</v>
      </c>
      <c r="AQ563" t="s">
        <v>1291</v>
      </c>
      <c r="AR563" t="s">
        <v>226</v>
      </c>
      <c r="AS563" t="s">
        <v>1292</v>
      </c>
      <c r="AT563" t="s">
        <v>1292</v>
      </c>
      <c r="AU563" t="s">
        <v>219</v>
      </c>
      <c r="AW563" s="4">
        <f t="shared" si="283"/>
        <v>6</v>
      </c>
      <c r="AX563" s="4">
        <f t="shared" si="284"/>
        <v>4</v>
      </c>
      <c r="AY563" s="4">
        <f t="shared" si="285"/>
        <v>4</v>
      </c>
      <c r="AZ563" s="4">
        <f t="shared" si="286"/>
        <v>2</v>
      </c>
      <c r="BA563" s="4">
        <f t="shared" si="287"/>
        <v>4</v>
      </c>
      <c r="BB563" s="4">
        <f t="shared" si="288"/>
        <v>4</v>
      </c>
      <c r="BC563" s="4">
        <f t="shared" si="289"/>
        <v>4</v>
      </c>
      <c r="BD563" s="4">
        <f t="shared" si="290"/>
        <v>2</v>
      </c>
      <c r="BE563" s="4">
        <f t="shared" si="291"/>
        <v>4</v>
      </c>
      <c r="BF563" s="4">
        <f t="shared" si="292"/>
        <v>2</v>
      </c>
      <c r="BG563" s="4">
        <f t="shared" si="293"/>
        <v>4</v>
      </c>
      <c r="BH563" s="4">
        <f t="shared" si="294"/>
        <v>4</v>
      </c>
      <c r="BI563" s="4">
        <f t="shared" si="295"/>
        <v>4</v>
      </c>
      <c r="BJ563" s="4">
        <f t="shared" si="296"/>
        <v>2</v>
      </c>
      <c r="BK563" s="4">
        <f t="shared" si="297"/>
        <v>4</v>
      </c>
      <c r="BL563" s="4">
        <f t="shared" si="298"/>
        <v>2</v>
      </c>
      <c r="BM563" s="4">
        <f t="shared" si="299"/>
        <v>4</v>
      </c>
      <c r="BN563" s="4">
        <f t="shared" si="300"/>
        <v>4</v>
      </c>
      <c r="BO563" s="4">
        <f t="shared" si="301"/>
        <v>4</v>
      </c>
      <c r="BP563" s="4">
        <f t="shared" si="302"/>
        <v>4</v>
      </c>
      <c r="BQ563" s="4">
        <f t="shared" si="303"/>
        <v>6</v>
      </c>
      <c r="BR563" s="4">
        <f t="shared" si="304"/>
        <v>4</v>
      </c>
      <c r="BS563" s="4">
        <f t="shared" si="305"/>
        <v>4</v>
      </c>
      <c r="BT563" s="4">
        <f t="shared" si="306"/>
        <v>4</v>
      </c>
      <c r="BU563" s="4">
        <f t="shared" si="307"/>
        <v>4</v>
      </c>
      <c r="BV563" s="4">
        <f t="shared" si="308"/>
        <v>0</v>
      </c>
      <c r="BW563" s="4">
        <f t="shared" si="309"/>
        <v>6</v>
      </c>
      <c r="BX563" s="4">
        <f t="shared" si="310"/>
        <v>0</v>
      </c>
      <c r="BY563" s="4">
        <f t="shared" si="311"/>
        <v>0</v>
      </c>
      <c r="BZ563" s="37">
        <f t="shared" si="312"/>
        <v>100</v>
      </c>
      <c r="CA563" s="32" t="str">
        <f>VLOOKUP(J:J,'Agent wise'!A:C,3,0)</f>
        <v>Amal</v>
      </c>
      <c r="CB563" s="32">
        <f t="shared" si="313"/>
        <v>45940</v>
      </c>
      <c r="CC563" t="str">
        <f t="shared" si="314"/>
        <v>Excellent</v>
      </c>
      <c r="CE563" s="32"/>
      <c r="CJ563">
        <f t="shared" si="315"/>
        <v>10</v>
      </c>
      <c r="CK563">
        <f t="shared" si="316"/>
        <v>10</v>
      </c>
      <c r="CL563">
        <f t="shared" si="317"/>
        <v>2025</v>
      </c>
    </row>
    <row r="564" spans="1:90" ht="15" customHeight="1" x14ac:dyDescent="0.35">
      <c r="A564" s="40">
        <v>45940.927939814806</v>
      </c>
      <c r="B564" t="s">
        <v>106</v>
      </c>
      <c r="C564" t="s">
        <v>214</v>
      </c>
      <c r="D564" t="s">
        <v>107</v>
      </c>
      <c r="E564" s="32">
        <v>45940</v>
      </c>
      <c r="F564" t="s">
        <v>54</v>
      </c>
      <c r="G564" s="2">
        <v>45940</v>
      </c>
      <c r="H564">
        <v>9486804138</v>
      </c>
      <c r="I564">
        <v>136</v>
      </c>
      <c r="J564" t="s">
        <v>472</v>
      </c>
      <c r="K564" t="s">
        <v>71</v>
      </c>
      <c r="L564" t="s">
        <v>72</v>
      </c>
      <c r="M564" t="s">
        <v>59</v>
      </c>
      <c r="N564" t="s">
        <v>59</v>
      </c>
      <c r="O564" t="s">
        <v>59</v>
      </c>
      <c r="P564" t="s">
        <v>59</v>
      </c>
      <c r="Q564" t="s">
        <v>59</v>
      </c>
      <c r="R564" t="s">
        <v>59</v>
      </c>
      <c r="S564" t="s">
        <v>59</v>
      </c>
      <c r="T564" t="s">
        <v>59</v>
      </c>
      <c r="U564" t="s">
        <v>59</v>
      </c>
      <c r="V564" t="s">
        <v>59</v>
      </c>
      <c r="W564" t="s">
        <v>59</v>
      </c>
      <c r="X564" t="s">
        <v>61</v>
      </c>
      <c r="Y564" t="s">
        <v>59</v>
      </c>
      <c r="Z564" t="s">
        <v>59</v>
      </c>
      <c r="AA564" t="s">
        <v>59</v>
      </c>
      <c r="AB564" t="s">
        <v>59</v>
      </c>
      <c r="AC564" t="s">
        <v>59</v>
      </c>
      <c r="AD564" t="s">
        <v>61</v>
      </c>
      <c r="AE564" t="s">
        <v>59</v>
      </c>
      <c r="AF564" t="s">
        <v>61</v>
      </c>
      <c r="AG564" t="s">
        <v>59</v>
      </c>
      <c r="AH564" t="s">
        <v>61</v>
      </c>
      <c r="AI564" t="s">
        <v>61</v>
      </c>
      <c r="AJ564" t="s">
        <v>59</v>
      </c>
      <c r="AK564" t="s">
        <v>59</v>
      </c>
      <c r="AL564" t="s">
        <v>59</v>
      </c>
      <c r="AM564" t="s">
        <v>59</v>
      </c>
      <c r="AN564" t="s">
        <v>59</v>
      </c>
      <c r="AO564" t="s">
        <v>59</v>
      </c>
      <c r="AP564" t="s">
        <v>375</v>
      </c>
      <c r="AQ564" t="s">
        <v>1293</v>
      </c>
      <c r="AR564" t="s">
        <v>64</v>
      </c>
      <c r="AS564" t="s">
        <v>111</v>
      </c>
      <c r="AT564" t="s">
        <v>377</v>
      </c>
      <c r="AU564" t="s">
        <v>219</v>
      </c>
      <c r="AW564" s="4">
        <f t="shared" si="283"/>
        <v>6</v>
      </c>
      <c r="AX564" s="4">
        <f t="shared" si="284"/>
        <v>4</v>
      </c>
      <c r="AY564" s="4">
        <f t="shared" si="285"/>
        <v>4</v>
      </c>
      <c r="AZ564" s="4">
        <f t="shared" si="286"/>
        <v>2</v>
      </c>
      <c r="BA564" s="4">
        <f t="shared" si="287"/>
        <v>4</v>
      </c>
      <c r="BB564" s="4">
        <f t="shared" si="288"/>
        <v>4</v>
      </c>
      <c r="BC564" s="4">
        <f t="shared" si="289"/>
        <v>4</v>
      </c>
      <c r="BD564" s="4">
        <f t="shared" si="290"/>
        <v>2</v>
      </c>
      <c r="BE564" s="4">
        <f t="shared" si="291"/>
        <v>4</v>
      </c>
      <c r="BF564" s="4">
        <f t="shared" si="292"/>
        <v>2</v>
      </c>
      <c r="BG564" s="4">
        <f t="shared" si="293"/>
        <v>4</v>
      </c>
      <c r="BH564" s="4">
        <f t="shared" si="294"/>
        <v>4</v>
      </c>
      <c r="BI564" s="4">
        <f t="shared" si="295"/>
        <v>4</v>
      </c>
      <c r="BJ564" s="4">
        <f t="shared" si="296"/>
        <v>2</v>
      </c>
      <c r="BK564" s="4">
        <f t="shared" si="297"/>
        <v>4</v>
      </c>
      <c r="BL564" s="4">
        <f t="shared" si="298"/>
        <v>2</v>
      </c>
      <c r="BM564" s="4">
        <f t="shared" si="299"/>
        <v>4</v>
      </c>
      <c r="BN564" s="4">
        <f t="shared" si="300"/>
        <v>4</v>
      </c>
      <c r="BO564" s="4">
        <f t="shared" si="301"/>
        <v>4</v>
      </c>
      <c r="BP564" s="4">
        <f t="shared" si="302"/>
        <v>4</v>
      </c>
      <c r="BQ564" s="4">
        <f t="shared" si="303"/>
        <v>6</v>
      </c>
      <c r="BR564" s="4">
        <f t="shared" si="304"/>
        <v>4</v>
      </c>
      <c r="BS564" s="4">
        <f t="shared" si="305"/>
        <v>4</v>
      </c>
      <c r="BT564" s="4">
        <f t="shared" si="306"/>
        <v>4</v>
      </c>
      <c r="BU564" s="4">
        <f t="shared" si="307"/>
        <v>4</v>
      </c>
      <c r="BV564" s="4">
        <f t="shared" si="308"/>
        <v>0</v>
      </c>
      <c r="BW564" s="4">
        <f t="shared" si="309"/>
        <v>6</v>
      </c>
      <c r="BX564" s="4">
        <f t="shared" si="310"/>
        <v>0</v>
      </c>
      <c r="BY564" s="4">
        <f t="shared" si="311"/>
        <v>0</v>
      </c>
      <c r="BZ564" s="37">
        <f t="shared" si="312"/>
        <v>100</v>
      </c>
      <c r="CA564" s="32" t="str">
        <f>VLOOKUP(J:J,'Agent wise'!A:C,3,0)</f>
        <v>Saran S</v>
      </c>
      <c r="CB564" s="32">
        <f t="shared" si="313"/>
        <v>45940</v>
      </c>
      <c r="CC564" t="str">
        <f t="shared" si="314"/>
        <v>Excellent</v>
      </c>
      <c r="CE564" s="32"/>
      <c r="CJ564">
        <f t="shared" si="315"/>
        <v>10</v>
      </c>
      <c r="CK564">
        <f t="shared" si="316"/>
        <v>10</v>
      </c>
      <c r="CL564">
        <f t="shared" si="317"/>
        <v>2025</v>
      </c>
    </row>
    <row r="565" spans="1:90" ht="15" customHeight="1" x14ac:dyDescent="0.35">
      <c r="A565" s="40">
        <v>45940.929988425924</v>
      </c>
      <c r="B565" t="s">
        <v>106</v>
      </c>
      <c r="C565" t="s">
        <v>214</v>
      </c>
      <c r="D565" t="s">
        <v>107</v>
      </c>
      <c r="E565" s="32">
        <v>45940</v>
      </c>
      <c r="F565" t="s">
        <v>54</v>
      </c>
      <c r="G565" s="2">
        <v>45940</v>
      </c>
      <c r="H565">
        <v>9442936076</v>
      </c>
      <c r="I565">
        <v>130</v>
      </c>
      <c r="J565" t="s">
        <v>472</v>
      </c>
      <c r="K565" t="s">
        <v>71</v>
      </c>
      <c r="L565" t="s">
        <v>72</v>
      </c>
      <c r="M565" t="s">
        <v>59</v>
      </c>
      <c r="N565" t="s">
        <v>59</v>
      </c>
      <c r="O565" t="s">
        <v>59</v>
      </c>
      <c r="P565" t="s">
        <v>59</v>
      </c>
      <c r="Q565" t="s">
        <v>59</v>
      </c>
      <c r="R565" t="s">
        <v>59</v>
      </c>
      <c r="S565" t="s">
        <v>59</v>
      </c>
      <c r="T565" t="s">
        <v>59</v>
      </c>
      <c r="U565" t="s">
        <v>60</v>
      </c>
      <c r="V565" t="s">
        <v>59</v>
      </c>
      <c r="W565" t="s">
        <v>59</v>
      </c>
      <c r="X565" t="s">
        <v>61</v>
      </c>
      <c r="Y565" t="s">
        <v>59</v>
      </c>
      <c r="Z565" t="s">
        <v>60</v>
      </c>
      <c r="AA565" t="s">
        <v>59</v>
      </c>
      <c r="AB565" t="s">
        <v>59</v>
      </c>
      <c r="AC565" t="s">
        <v>61</v>
      </c>
      <c r="AD565" t="s">
        <v>59</v>
      </c>
      <c r="AE565" t="s">
        <v>59</v>
      </c>
      <c r="AF565" t="s">
        <v>61</v>
      </c>
      <c r="AG565" t="s">
        <v>59</v>
      </c>
      <c r="AH565" t="s">
        <v>61</v>
      </c>
      <c r="AI565" t="s">
        <v>61</v>
      </c>
      <c r="AJ565" t="s">
        <v>59</v>
      </c>
      <c r="AK565" t="s">
        <v>59</v>
      </c>
      <c r="AL565" t="s">
        <v>59</v>
      </c>
      <c r="AM565" t="s">
        <v>59</v>
      </c>
      <c r="AN565" t="s">
        <v>59</v>
      </c>
      <c r="AO565" t="s">
        <v>59</v>
      </c>
      <c r="AP565" t="s">
        <v>388</v>
      </c>
      <c r="AQ565" t="s">
        <v>1294</v>
      </c>
      <c r="AR565" t="s">
        <v>64</v>
      </c>
      <c r="AS565" t="s">
        <v>111</v>
      </c>
      <c r="AT565" t="s">
        <v>377</v>
      </c>
      <c r="AU565" t="s">
        <v>387</v>
      </c>
      <c r="AW565" s="4">
        <f t="shared" si="283"/>
        <v>6</v>
      </c>
      <c r="AX565" s="4">
        <f t="shared" si="284"/>
        <v>4</v>
      </c>
      <c r="AY565" s="4">
        <f t="shared" si="285"/>
        <v>4</v>
      </c>
      <c r="AZ565" s="4">
        <f t="shared" si="286"/>
        <v>2</v>
      </c>
      <c r="BA565" s="4">
        <f t="shared" si="287"/>
        <v>4</v>
      </c>
      <c r="BB565" s="4">
        <f t="shared" si="288"/>
        <v>4</v>
      </c>
      <c r="BC565" s="4">
        <f t="shared" si="289"/>
        <v>4</v>
      </c>
      <c r="BD565" s="4">
        <f t="shared" si="290"/>
        <v>2</v>
      </c>
      <c r="BE565" s="4" t="str">
        <f t="shared" si="291"/>
        <v>0</v>
      </c>
      <c r="BF565" s="4">
        <f t="shared" si="292"/>
        <v>2</v>
      </c>
      <c r="BG565" s="4">
        <f t="shared" si="293"/>
        <v>4</v>
      </c>
      <c r="BH565" s="4">
        <f t="shared" si="294"/>
        <v>4</v>
      </c>
      <c r="BI565" s="4">
        <f t="shared" si="295"/>
        <v>4</v>
      </c>
      <c r="BJ565" s="4" t="str">
        <f t="shared" si="296"/>
        <v>0</v>
      </c>
      <c r="BK565" s="4">
        <f t="shared" si="297"/>
        <v>4</v>
      </c>
      <c r="BL565" s="4">
        <f t="shared" si="298"/>
        <v>2</v>
      </c>
      <c r="BM565" s="4">
        <f t="shared" si="299"/>
        <v>4</v>
      </c>
      <c r="BN565" s="4">
        <f t="shared" si="300"/>
        <v>4</v>
      </c>
      <c r="BO565" s="4">
        <f t="shared" si="301"/>
        <v>4</v>
      </c>
      <c r="BP565" s="4">
        <f t="shared" si="302"/>
        <v>4</v>
      </c>
      <c r="BQ565" s="4">
        <f t="shared" si="303"/>
        <v>6</v>
      </c>
      <c r="BR565" s="4">
        <f t="shared" si="304"/>
        <v>4</v>
      </c>
      <c r="BS565" s="4">
        <f t="shared" si="305"/>
        <v>4</v>
      </c>
      <c r="BT565" s="4">
        <f t="shared" si="306"/>
        <v>4</v>
      </c>
      <c r="BU565" s="4">
        <f t="shared" si="307"/>
        <v>4</v>
      </c>
      <c r="BV565" s="4">
        <f t="shared" si="308"/>
        <v>0</v>
      </c>
      <c r="BW565" s="4">
        <f t="shared" si="309"/>
        <v>6</v>
      </c>
      <c r="BX565" s="4">
        <f t="shared" si="310"/>
        <v>0</v>
      </c>
      <c r="BY565" s="4">
        <f t="shared" si="311"/>
        <v>0</v>
      </c>
      <c r="BZ565" s="37">
        <f t="shared" si="312"/>
        <v>94</v>
      </c>
      <c r="CA565" s="32" t="str">
        <f>VLOOKUP(J:J,'Agent wise'!A:C,3,0)</f>
        <v>Saran S</v>
      </c>
      <c r="CB565" s="32">
        <f t="shared" si="313"/>
        <v>45940</v>
      </c>
      <c r="CC565" t="str">
        <f t="shared" si="314"/>
        <v>Good</v>
      </c>
      <c r="CE565" s="32"/>
      <c r="CJ565">
        <f t="shared" si="315"/>
        <v>10</v>
      </c>
      <c r="CK565">
        <f t="shared" si="316"/>
        <v>10</v>
      </c>
      <c r="CL565">
        <f t="shared" si="317"/>
        <v>2025</v>
      </c>
    </row>
    <row r="566" spans="1:90" ht="15" customHeight="1" x14ac:dyDescent="0.35">
      <c r="A566" s="40">
        <v>45940.932175925933</v>
      </c>
      <c r="B566" t="s">
        <v>106</v>
      </c>
      <c r="C566" t="s">
        <v>214</v>
      </c>
      <c r="D566" t="s">
        <v>107</v>
      </c>
      <c r="E566" s="32">
        <v>45940</v>
      </c>
      <c r="F566" t="s">
        <v>54</v>
      </c>
      <c r="G566" s="2">
        <v>45940</v>
      </c>
      <c r="H566">
        <v>9488917226</v>
      </c>
      <c r="I566">
        <v>134</v>
      </c>
      <c r="J566" t="s">
        <v>124</v>
      </c>
      <c r="K566" t="s">
        <v>71</v>
      </c>
      <c r="L566" t="s">
        <v>72</v>
      </c>
      <c r="M566" t="s">
        <v>59</v>
      </c>
      <c r="N566" t="s">
        <v>59</v>
      </c>
      <c r="O566" t="s">
        <v>60</v>
      </c>
      <c r="P566" t="s">
        <v>59</v>
      </c>
      <c r="Q566" t="s">
        <v>59</v>
      </c>
      <c r="R566" t="s">
        <v>59</v>
      </c>
      <c r="S566" t="s">
        <v>59</v>
      </c>
      <c r="T566" t="s">
        <v>59</v>
      </c>
      <c r="U566" t="s">
        <v>60</v>
      </c>
      <c r="V566" t="s">
        <v>59</v>
      </c>
      <c r="W566" t="s">
        <v>59</v>
      </c>
      <c r="X566" t="s">
        <v>61</v>
      </c>
      <c r="Y566" t="s">
        <v>59</v>
      </c>
      <c r="Z566" t="s">
        <v>59</v>
      </c>
      <c r="AA566" t="s">
        <v>60</v>
      </c>
      <c r="AB566" t="s">
        <v>60</v>
      </c>
      <c r="AC566" t="s">
        <v>61</v>
      </c>
      <c r="AD566" t="s">
        <v>61</v>
      </c>
      <c r="AE566" t="s">
        <v>59</v>
      </c>
      <c r="AF566" t="s">
        <v>61</v>
      </c>
      <c r="AG566" t="s">
        <v>59</v>
      </c>
      <c r="AH566" t="s">
        <v>61</v>
      </c>
      <c r="AI566" t="s">
        <v>61</v>
      </c>
      <c r="AJ566" t="s">
        <v>59</v>
      </c>
      <c r="AK566" t="s">
        <v>59</v>
      </c>
      <c r="AL566" t="s">
        <v>60</v>
      </c>
      <c r="AM566" t="s">
        <v>59</v>
      </c>
      <c r="AN566" t="s">
        <v>59</v>
      </c>
      <c r="AO566" t="s">
        <v>59</v>
      </c>
      <c r="AP566" t="s">
        <v>1295</v>
      </c>
      <c r="AQ566" t="s">
        <v>1296</v>
      </c>
      <c r="AR566" t="s">
        <v>64</v>
      </c>
      <c r="AS566" t="s">
        <v>457</v>
      </c>
      <c r="AT566" t="s">
        <v>456</v>
      </c>
      <c r="AU566" t="s">
        <v>593</v>
      </c>
      <c r="AW566" s="4">
        <f t="shared" si="283"/>
        <v>6</v>
      </c>
      <c r="AX566" s="4">
        <f t="shared" si="284"/>
        <v>4</v>
      </c>
      <c r="AY566" s="4" t="str">
        <f t="shared" si="285"/>
        <v>0</v>
      </c>
      <c r="AZ566" s="4">
        <f t="shared" si="286"/>
        <v>2</v>
      </c>
      <c r="BA566" s="4">
        <f t="shared" si="287"/>
        <v>4</v>
      </c>
      <c r="BB566" s="4">
        <f t="shared" si="288"/>
        <v>4</v>
      </c>
      <c r="BC566" s="4">
        <f t="shared" si="289"/>
        <v>4</v>
      </c>
      <c r="BD566" s="4">
        <f t="shared" si="290"/>
        <v>2</v>
      </c>
      <c r="BE566" s="4" t="str">
        <f t="shared" si="291"/>
        <v>0</v>
      </c>
      <c r="BF566" s="4">
        <f t="shared" si="292"/>
        <v>2</v>
      </c>
      <c r="BG566" s="4">
        <f t="shared" si="293"/>
        <v>4</v>
      </c>
      <c r="BH566" s="4">
        <f t="shared" si="294"/>
        <v>4</v>
      </c>
      <c r="BI566" s="4">
        <f t="shared" si="295"/>
        <v>4</v>
      </c>
      <c r="BJ566" s="4">
        <f t="shared" si="296"/>
        <v>2</v>
      </c>
      <c r="BK566" s="4" t="str">
        <f t="shared" si="297"/>
        <v>0</v>
      </c>
      <c r="BL566" s="4" t="str">
        <f t="shared" si="298"/>
        <v>0</v>
      </c>
      <c r="BM566" s="4">
        <f t="shared" si="299"/>
        <v>4</v>
      </c>
      <c r="BN566" s="4">
        <f t="shared" si="300"/>
        <v>4</v>
      </c>
      <c r="BO566" s="4">
        <f t="shared" si="301"/>
        <v>4</v>
      </c>
      <c r="BP566" s="4">
        <f t="shared" si="302"/>
        <v>4</v>
      </c>
      <c r="BQ566" s="4">
        <f t="shared" si="303"/>
        <v>6</v>
      </c>
      <c r="BR566" s="4">
        <f t="shared" si="304"/>
        <v>4</v>
      </c>
      <c r="BS566" s="4">
        <f t="shared" si="305"/>
        <v>4</v>
      </c>
      <c r="BT566" s="4">
        <f t="shared" si="306"/>
        <v>4</v>
      </c>
      <c r="BU566" s="4">
        <f t="shared" si="307"/>
        <v>4</v>
      </c>
      <c r="BV566" s="4" t="str">
        <f t="shared" si="308"/>
        <v>0</v>
      </c>
      <c r="BW566" s="4">
        <f t="shared" si="309"/>
        <v>6</v>
      </c>
      <c r="BX566" s="4">
        <f t="shared" si="310"/>
        <v>0</v>
      </c>
      <c r="BY566" s="4">
        <f t="shared" si="311"/>
        <v>0</v>
      </c>
      <c r="BZ566" s="37">
        <f t="shared" si="312"/>
        <v>86</v>
      </c>
      <c r="CA566" s="32" t="str">
        <f>VLOOKUP(J:J,'Agent wise'!A:C,3,0)</f>
        <v>Saran S</v>
      </c>
      <c r="CB566" s="32">
        <f t="shared" si="313"/>
        <v>45940</v>
      </c>
      <c r="CC566" t="str">
        <f t="shared" si="314"/>
        <v>Average</v>
      </c>
      <c r="CE566" s="32"/>
      <c r="CJ566">
        <f t="shared" si="315"/>
        <v>10</v>
      </c>
      <c r="CK566">
        <f t="shared" si="316"/>
        <v>10</v>
      </c>
      <c r="CL566">
        <f t="shared" si="317"/>
        <v>2025</v>
      </c>
    </row>
    <row r="567" spans="1:90" ht="15" customHeight="1" x14ac:dyDescent="0.35">
      <c r="A567" s="40">
        <v>45940.934525462973</v>
      </c>
      <c r="B567" t="s">
        <v>106</v>
      </c>
      <c r="C567" t="s">
        <v>214</v>
      </c>
      <c r="D567" t="s">
        <v>107</v>
      </c>
      <c r="E567" s="32">
        <v>45940</v>
      </c>
      <c r="F567" t="s">
        <v>54</v>
      </c>
      <c r="G567" s="2">
        <v>45940</v>
      </c>
      <c r="H567">
        <v>9486878210</v>
      </c>
      <c r="I567">
        <v>104</v>
      </c>
      <c r="J567" t="s">
        <v>124</v>
      </c>
      <c r="K567" t="s">
        <v>71</v>
      </c>
      <c r="L567" t="s">
        <v>72</v>
      </c>
      <c r="M567" t="s">
        <v>59</v>
      </c>
      <c r="N567" t="s">
        <v>59</v>
      </c>
      <c r="O567" t="s">
        <v>59</v>
      </c>
      <c r="P567" t="s">
        <v>59</v>
      </c>
      <c r="Q567" t="s">
        <v>59</v>
      </c>
      <c r="R567" t="s">
        <v>59</v>
      </c>
      <c r="S567" t="s">
        <v>59</v>
      </c>
      <c r="T567" t="s">
        <v>59</v>
      </c>
      <c r="U567" t="s">
        <v>60</v>
      </c>
      <c r="V567" t="s">
        <v>59</v>
      </c>
      <c r="W567" t="s">
        <v>59</v>
      </c>
      <c r="X567" t="s">
        <v>61</v>
      </c>
      <c r="Y567" t="s">
        <v>59</v>
      </c>
      <c r="Z567" t="s">
        <v>59</v>
      </c>
      <c r="AA567" t="s">
        <v>60</v>
      </c>
      <c r="AB567" t="s">
        <v>60</v>
      </c>
      <c r="AC567" t="s">
        <v>60</v>
      </c>
      <c r="AD567" t="s">
        <v>61</v>
      </c>
      <c r="AE567" t="s">
        <v>59</v>
      </c>
      <c r="AF567" t="s">
        <v>61</v>
      </c>
      <c r="AG567" t="s">
        <v>59</v>
      </c>
      <c r="AH567" t="s">
        <v>61</v>
      </c>
      <c r="AI567" t="s">
        <v>59</v>
      </c>
      <c r="AJ567" t="s">
        <v>60</v>
      </c>
      <c r="AK567" t="s">
        <v>59</v>
      </c>
      <c r="AL567" t="s">
        <v>60</v>
      </c>
      <c r="AM567" t="s">
        <v>59</v>
      </c>
      <c r="AN567" t="s">
        <v>59</v>
      </c>
      <c r="AO567" t="s">
        <v>59</v>
      </c>
      <c r="AP567" t="s">
        <v>1297</v>
      </c>
      <c r="AQ567" t="s">
        <v>1298</v>
      </c>
      <c r="AR567" t="s">
        <v>64</v>
      </c>
      <c r="AS567" t="s">
        <v>122</v>
      </c>
      <c r="AT567" t="s">
        <v>772</v>
      </c>
      <c r="AU567" t="s">
        <v>593</v>
      </c>
      <c r="AW567" s="4">
        <f t="shared" si="283"/>
        <v>6</v>
      </c>
      <c r="AX567" s="4">
        <f t="shared" si="284"/>
        <v>4</v>
      </c>
      <c r="AY567" s="4">
        <f t="shared" si="285"/>
        <v>4</v>
      </c>
      <c r="AZ567" s="4">
        <f t="shared" si="286"/>
        <v>2</v>
      </c>
      <c r="BA567" s="4">
        <f t="shared" si="287"/>
        <v>4</v>
      </c>
      <c r="BB567" s="4">
        <f t="shared" si="288"/>
        <v>4</v>
      </c>
      <c r="BC567" s="4">
        <f t="shared" si="289"/>
        <v>4</v>
      </c>
      <c r="BD567" s="4">
        <f t="shared" si="290"/>
        <v>2</v>
      </c>
      <c r="BE567" s="4" t="str">
        <f t="shared" si="291"/>
        <v>0</v>
      </c>
      <c r="BF567" s="4">
        <f t="shared" si="292"/>
        <v>2</v>
      </c>
      <c r="BG567" s="4">
        <f t="shared" si="293"/>
        <v>4</v>
      </c>
      <c r="BH567" s="4">
        <f t="shared" si="294"/>
        <v>4</v>
      </c>
      <c r="BI567" s="4">
        <f t="shared" si="295"/>
        <v>4</v>
      </c>
      <c r="BJ567" s="4">
        <f t="shared" si="296"/>
        <v>2</v>
      </c>
      <c r="BK567" s="4" t="str">
        <f t="shared" si="297"/>
        <v>0</v>
      </c>
      <c r="BL567" s="4" t="str">
        <f t="shared" si="298"/>
        <v>0</v>
      </c>
      <c r="BM567" s="4" t="str">
        <f t="shared" si="299"/>
        <v>0</v>
      </c>
      <c r="BN567" s="4">
        <f t="shared" si="300"/>
        <v>4</v>
      </c>
      <c r="BO567" s="4">
        <f t="shared" si="301"/>
        <v>4</v>
      </c>
      <c r="BP567" s="4">
        <f t="shared" si="302"/>
        <v>4</v>
      </c>
      <c r="BQ567" s="4">
        <f t="shared" si="303"/>
        <v>6</v>
      </c>
      <c r="BR567" s="4">
        <f t="shared" si="304"/>
        <v>4</v>
      </c>
      <c r="BS567" s="4">
        <f t="shared" si="305"/>
        <v>4</v>
      </c>
      <c r="BT567" s="4" t="str">
        <f t="shared" si="306"/>
        <v>0</v>
      </c>
      <c r="BU567" s="4">
        <f t="shared" si="307"/>
        <v>4</v>
      </c>
      <c r="BV567" s="4" t="str">
        <f t="shared" si="308"/>
        <v>0</v>
      </c>
      <c r="BW567" s="4">
        <f t="shared" si="309"/>
        <v>6</v>
      </c>
      <c r="BX567" s="4">
        <f t="shared" si="310"/>
        <v>0</v>
      </c>
      <c r="BY567" s="4">
        <f t="shared" si="311"/>
        <v>0</v>
      </c>
      <c r="BZ567" s="37">
        <f t="shared" si="312"/>
        <v>82</v>
      </c>
      <c r="CA567" s="32" t="str">
        <f>VLOOKUP(J:J,'Agent wise'!A:C,3,0)</f>
        <v>Saran S</v>
      </c>
      <c r="CB567" s="32">
        <f t="shared" si="313"/>
        <v>45940</v>
      </c>
      <c r="CC567" t="str">
        <f t="shared" si="314"/>
        <v>FC</v>
      </c>
      <c r="CE567" s="32"/>
      <c r="CJ567">
        <f t="shared" si="315"/>
        <v>10</v>
      </c>
      <c r="CK567">
        <f t="shared" si="316"/>
        <v>10</v>
      </c>
      <c r="CL567">
        <f t="shared" si="317"/>
        <v>2025</v>
      </c>
    </row>
    <row r="568" spans="1:90" ht="15" customHeight="1" x14ac:dyDescent="0.35">
      <c r="A568" s="40">
        <v>45940.936435185176</v>
      </c>
      <c r="B568" t="s">
        <v>106</v>
      </c>
      <c r="C568" t="s">
        <v>214</v>
      </c>
      <c r="D568" t="s">
        <v>107</v>
      </c>
      <c r="E568" s="32">
        <v>45940</v>
      </c>
      <c r="F568" t="s">
        <v>54</v>
      </c>
      <c r="G568" s="2">
        <v>45940</v>
      </c>
      <c r="H568">
        <v>8072224680</v>
      </c>
      <c r="I568">
        <v>123</v>
      </c>
      <c r="J568" t="s">
        <v>85</v>
      </c>
      <c r="K568" t="s">
        <v>71</v>
      </c>
      <c r="L568" t="s">
        <v>72</v>
      </c>
      <c r="M568" t="s">
        <v>59</v>
      </c>
      <c r="N568" t="s">
        <v>59</v>
      </c>
      <c r="O568" t="s">
        <v>59</v>
      </c>
      <c r="P568" t="s">
        <v>59</v>
      </c>
      <c r="Q568" t="s">
        <v>59</v>
      </c>
      <c r="R568" t="s">
        <v>59</v>
      </c>
      <c r="S568" t="s">
        <v>59</v>
      </c>
      <c r="T568" t="s">
        <v>59</v>
      </c>
      <c r="U568" t="s">
        <v>60</v>
      </c>
      <c r="V568" t="s">
        <v>59</v>
      </c>
      <c r="W568" t="s">
        <v>59</v>
      </c>
      <c r="X568" t="s">
        <v>61</v>
      </c>
      <c r="Y568" t="s">
        <v>59</v>
      </c>
      <c r="Z568" t="s">
        <v>60</v>
      </c>
      <c r="AA568" t="s">
        <v>60</v>
      </c>
      <c r="AB568" t="s">
        <v>59</v>
      </c>
      <c r="AC568" t="s">
        <v>61</v>
      </c>
      <c r="AD568" t="s">
        <v>61</v>
      </c>
      <c r="AE568" t="s">
        <v>59</v>
      </c>
      <c r="AF568" t="s">
        <v>61</v>
      </c>
      <c r="AG568" t="s">
        <v>59</v>
      </c>
      <c r="AH568" t="s">
        <v>61</v>
      </c>
      <c r="AI568" t="s">
        <v>59</v>
      </c>
      <c r="AJ568" t="s">
        <v>59</v>
      </c>
      <c r="AK568" t="s">
        <v>59</v>
      </c>
      <c r="AL568" t="s">
        <v>60</v>
      </c>
      <c r="AM568" t="s">
        <v>59</v>
      </c>
      <c r="AN568" t="s">
        <v>59</v>
      </c>
      <c r="AO568" t="s">
        <v>59</v>
      </c>
      <c r="AP568" t="s">
        <v>1299</v>
      </c>
      <c r="AQ568" t="s">
        <v>1108</v>
      </c>
      <c r="AR568" t="s">
        <v>64</v>
      </c>
      <c r="AS568" t="s">
        <v>122</v>
      </c>
      <c r="AT568" t="s">
        <v>390</v>
      </c>
      <c r="AU568" t="s">
        <v>219</v>
      </c>
      <c r="AW568" s="4">
        <f t="shared" si="283"/>
        <v>6</v>
      </c>
      <c r="AX568" s="4">
        <f t="shared" si="284"/>
        <v>4</v>
      </c>
      <c r="AY568" s="4">
        <f t="shared" si="285"/>
        <v>4</v>
      </c>
      <c r="AZ568" s="4">
        <f t="shared" si="286"/>
        <v>2</v>
      </c>
      <c r="BA568" s="4">
        <f t="shared" si="287"/>
        <v>4</v>
      </c>
      <c r="BB568" s="4">
        <f t="shared" si="288"/>
        <v>4</v>
      </c>
      <c r="BC568" s="4">
        <f t="shared" si="289"/>
        <v>4</v>
      </c>
      <c r="BD568" s="4">
        <f t="shared" si="290"/>
        <v>2</v>
      </c>
      <c r="BE568" s="4" t="str">
        <f t="shared" si="291"/>
        <v>0</v>
      </c>
      <c r="BF568" s="4">
        <f t="shared" si="292"/>
        <v>2</v>
      </c>
      <c r="BG568" s="4">
        <f t="shared" si="293"/>
        <v>4</v>
      </c>
      <c r="BH568" s="4">
        <f t="shared" si="294"/>
        <v>4</v>
      </c>
      <c r="BI568" s="4">
        <f t="shared" si="295"/>
        <v>4</v>
      </c>
      <c r="BJ568" s="4" t="str">
        <f t="shared" si="296"/>
        <v>0</v>
      </c>
      <c r="BK568" s="4" t="str">
        <f t="shared" si="297"/>
        <v>0</v>
      </c>
      <c r="BL568" s="4">
        <f t="shared" si="298"/>
        <v>2</v>
      </c>
      <c r="BM568" s="4">
        <f t="shared" si="299"/>
        <v>4</v>
      </c>
      <c r="BN568" s="4">
        <f t="shared" si="300"/>
        <v>4</v>
      </c>
      <c r="BO568" s="4">
        <f t="shared" si="301"/>
        <v>4</v>
      </c>
      <c r="BP568" s="4">
        <f t="shared" si="302"/>
        <v>4</v>
      </c>
      <c r="BQ568" s="4">
        <f t="shared" si="303"/>
        <v>6</v>
      </c>
      <c r="BR568" s="4">
        <f t="shared" si="304"/>
        <v>4</v>
      </c>
      <c r="BS568" s="4">
        <f t="shared" si="305"/>
        <v>4</v>
      </c>
      <c r="BT568" s="4">
        <f t="shared" si="306"/>
        <v>4</v>
      </c>
      <c r="BU568" s="4">
        <f t="shared" si="307"/>
        <v>4</v>
      </c>
      <c r="BV568" s="4" t="str">
        <f t="shared" si="308"/>
        <v>0</v>
      </c>
      <c r="BW568" s="4">
        <f t="shared" si="309"/>
        <v>6</v>
      </c>
      <c r="BX568" s="4">
        <f t="shared" si="310"/>
        <v>0</v>
      </c>
      <c r="BY568" s="4">
        <f t="shared" si="311"/>
        <v>0</v>
      </c>
      <c r="BZ568" s="37">
        <f t="shared" si="312"/>
        <v>90</v>
      </c>
      <c r="CA568" s="32" t="str">
        <f>VLOOKUP(J:J,'Agent wise'!A:C,3,0)</f>
        <v>Saran S</v>
      </c>
      <c r="CB568" s="32">
        <f t="shared" si="313"/>
        <v>45940</v>
      </c>
      <c r="CC568" t="str">
        <f t="shared" si="314"/>
        <v>Good</v>
      </c>
      <c r="CE568" s="32"/>
      <c r="CJ568">
        <f t="shared" si="315"/>
        <v>10</v>
      </c>
      <c r="CK568">
        <f t="shared" si="316"/>
        <v>10</v>
      </c>
      <c r="CL568">
        <f t="shared" si="317"/>
        <v>2025</v>
      </c>
    </row>
    <row r="569" spans="1:90" ht="15" customHeight="1" x14ac:dyDescent="0.35">
      <c r="A569" s="40">
        <v>45971.417881944442</v>
      </c>
      <c r="B569" t="s">
        <v>177</v>
      </c>
      <c r="C569" t="s">
        <v>214</v>
      </c>
      <c r="D569" t="s">
        <v>178</v>
      </c>
      <c r="E569" s="32">
        <v>45934</v>
      </c>
      <c r="F569" t="s">
        <v>54</v>
      </c>
      <c r="G569" s="32">
        <v>45933</v>
      </c>
      <c r="H569">
        <v>8590524486</v>
      </c>
      <c r="I569">
        <v>145</v>
      </c>
      <c r="J569" t="s">
        <v>586</v>
      </c>
      <c r="K569" t="s">
        <v>57</v>
      </c>
      <c r="L569" t="s">
        <v>58</v>
      </c>
      <c r="M569" t="s">
        <v>59</v>
      </c>
      <c r="N569" t="s">
        <v>59</v>
      </c>
      <c r="O569" t="s">
        <v>59</v>
      </c>
      <c r="P569" t="s">
        <v>59</v>
      </c>
      <c r="Q569" t="s">
        <v>59</v>
      </c>
      <c r="R569" t="s">
        <v>59</v>
      </c>
      <c r="S569" t="s">
        <v>59</v>
      </c>
      <c r="T569" t="s">
        <v>59</v>
      </c>
      <c r="U569" t="s">
        <v>59</v>
      </c>
      <c r="V569" t="s">
        <v>59</v>
      </c>
      <c r="W569" t="s">
        <v>59</v>
      </c>
      <c r="X569" t="s">
        <v>59</v>
      </c>
      <c r="Y569" t="s">
        <v>60</v>
      </c>
      <c r="Z569" t="s">
        <v>59</v>
      </c>
      <c r="AA569" t="s">
        <v>59</v>
      </c>
      <c r="AB569" t="s">
        <v>59</v>
      </c>
      <c r="AC569" t="s">
        <v>61</v>
      </c>
      <c r="AD569" t="s">
        <v>59</v>
      </c>
      <c r="AE569" t="s">
        <v>59</v>
      </c>
      <c r="AF569" t="s">
        <v>59</v>
      </c>
      <c r="AG569" t="s">
        <v>59</v>
      </c>
      <c r="AH569" t="s">
        <v>61</v>
      </c>
      <c r="AI569" t="s">
        <v>61</v>
      </c>
      <c r="AJ569" t="s">
        <v>59</v>
      </c>
      <c r="AK569" t="s">
        <v>59</v>
      </c>
      <c r="AL569" t="s">
        <v>59</v>
      </c>
      <c r="AM569" t="s">
        <v>59</v>
      </c>
      <c r="AN569" t="s">
        <v>59</v>
      </c>
      <c r="AO569" t="s">
        <v>59</v>
      </c>
      <c r="AP569" t="s">
        <v>1300</v>
      </c>
      <c r="AQ569" t="s">
        <v>1301</v>
      </c>
      <c r="AR569" t="s">
        <v>64</v>
      </c>
      <c r="AS569" t="s">
        <v>157</v>
      </c>
      <c r="AT569" t="s">
        <v>1302</v>
      </c>
      <c r="AU569" t="s">
        <v>387</v>
      </c>
      <c r="AW569" s="4">
        <f t="shared" si="283"/>
        <v>6</v>
      </c>
      <c r="AX569" s="4">
        <f t="shared" si="284"/>
        <v>4</v>
      </c>
      <c r="AY569" s="4">
        <f t="shared" si="285"/>
        <v>4</v>
      </c>
      <c r="AZ569" s="4">
        <f t="shared" si="286"/>
        <v>2</v>
      </c>
      <c r="BA569" s="4">
        <f t="shared" si="287"/>
        <v>4</v>
      </c>
      <c r="BB569" s="4">
        <f t="shared" si="288"/>
        <v>4</v>
      </c>
      <c r="BC569" s="4">
        <f t="shared" si="289"/>
        <v>4</v>
      </c>
      <c r="BD569" s="4">
        <f t="shared" si="290"/>
        <v>2</v>
      </c>
      <c r="BE569" s="4">
        <f t="shared" si="291"/>
        <v>4</v>
      </c>
      <c r="BF569" s="4">
        <f t="shared" si="292"/>
        <v>2</v>
      </c>
      <c r="BG569" s="4">
        <f t="shared" si="293"/>
        <v>4</v>
      </c>
      <c r="BH569" s="4">
        <f t="shared" si="294"/>
        <v>4</v>
      </c>
      <c r="BI569" s="4" t="str">
        <f t="shared" si="295"/>
        <v>0</v>
      </c>
      <c r="BJ569" s="4">
        <f t="shared" si="296"/>
        <v>2</v>
      </c>
      <c r="BK569" s="4">
        <f t="shared" si="297"/>
        <v>4</v>
      </c>
      <c r="BL569" s="4">
        <f t="shared" si="298"/>
        <v>2</v>
      </c>
      <c r="BM569" s="4">
        <f t="shared" si="299"/>
        <v>4</v>
      </c>
      <c r="BN569" s="4">
        <f t="shared" si="300"/>
        <v>4</v>
      </c>
      <c r="BO569" s="4">
        <f t="shared" si="301"/>
        <v>4</v>
      </c>
      <c r="BP569" s="4">
        <f t="shared" si="302"/>
        <v>4</v>
      </c>
      <c r="BQ569" s="4">
        <f t="shared" si="303"/>
        <v>6</v>
      </c>
      <c r="BR569" s="4">
        <f t="shared" si="304"/>
        <v>4</v>
      </c>
      <c r="BS569" s="4">
        <f t="shared" si="305"/>
        <v>4</v>
      </c>
      <c r="BT569" s="4">
        <f t="shared" si="306"/>
        <v>4</v>
      </c>
      <c r="BU569" s="4">
        <f t="shared" si="307"/>
        <v>4</v>
      </c>
      <c r="BV569" s="4">
        <f t="shared" si="308"/>
        <v>0</v>
      </c>
      <c r="BW569" s="4">
        <f t="shared" si="309"/>
        <v>6</v>
      </c>
      <c r="BX569" s="4">
        <f t="shared" si="310"/>
        <v>0</v>
      </c>
      <c r="BY569" s="4">
        <f t="shared" si="311"/>
        <v>0</v>
      </c>
      <c r="BZ569" s="37">
        <f t="shared" si="312"/>
        <v>96</v>
      </c>
      <c r="CA569" s="32" t="str">
        <f>VLOOKUP(J:J,'Agent wise'!A:C,3,0)</f>
        <v>Shakeer</v>
      </c>
      <c r="CB569" s="32">
        <f t="shared" si="313"/>
        <v>45934</v>
      </c>
      <c r="CC569" t="str">
        <f t="shared" si="314"/>
        <v>Excellent</v>
      </c>
      <c r="CE569" s="32"/>
      <c r="CJ569">
        <f t="shared" si="315"/>
        <v>4</v>
      </c>
      <c r="CK569">
        <f t="shared" si="316"/>
        <v>10</v>
      </c>
      <c r="CL569">
        <f t="shared" si="317"/>
        <v>2025</v>
      </c>
    </row>
    <row r="570" spans="1:90" ht="15" customHeight="1" x14ac:dyDescent="0.35">
      <c r="A570" s="40">
        <v>45971.421597222223</v>
      </c>
      <c r="B570" t="s">
        <v>177</v>
      </c>
      <c r="C570" t="s">
        <v>214</v>
      </c>
      <c r="D570" t="s">
        <v>178</v>
      </c>
      <c r="E570" s="32">
        <v>45934</v>
      </c>
      <c r="F570" t="s">
        <v>54</v>
      </c>
      <c r="G570" s="32">
        <v>45933</v>
      </c>
      <c r="H570">
        <v>8078972998</v>
      </c>
      <c r="I570">
        <v>132</v>
      </c>
      <c r="J570" t="s">
        <v>204</v>
      </c>
      <c r="K570" t="s">
        <v>57</v>
      </c>
      <c r="L570" t="s">
        <v>58</v>
      </c>
      <c r="M570" t="s">
        <v>59</v>
      </c>
      <c r="N570" t="s">
        <v>59</v>
      </c>
      <c r="O570" t="s">
        <v>59</v>
      </c>
      <c r="P570" t="s">
        <v>59</v>
      </c>
      <c r="Q570" t="s">
        <v>59</v>
      </c>
      <c r="R570" t="s">
        <v>59</v>
      </c>
      <c r="S570" t="s">
        <v>59</v>
      </c>
      <c r="T570" t="s">
        <v>59</v>
      </c>
      <c r="U570" t="s">
        <v>59</v>
      </c>
      <c r="V570" t="s">
        <v>59</v>
      </c>
      <c r="W570" t="s">
        <v>59</v>
      </c>
      <c r="X570" t="s">
        <v>59</v>
      </c>
      <c r="Y570" t="s">
        <v>59</v>
      </c>
      <c r="Z570" t="s">
        <v>59</v>
      </c>
      <c r="AA570" t="s">
        <v>59</v>
      </c>
      <c r="AB570" t="s">
        <v>59</v>
      </c>
      <c r="AC570" t="s">
        <v>60</v>
      </c>
      <c r="AD570" t="s">
        <v>59</v>
      </c>
      <c r="AE570" t="s">
        <v>59</v>
      </c>
      <c r="AF570" t="s">
        <v>59</v>
      </c>
      <c r="AG570" t="s">
        <v>59</v>
      </c>
      <c r="AH570" t="s">
        <v>61</v>
      </c>
      <c r="AI570" t="s">
        <v>61</v>
      </c>
      <c r="AJ570" t="s">
        <v>59</v>
      </c>
      <c r="AK570" t="s">
        <v>59</v>
      </c>
      <c r="AL570" t="s">
        <v>59</v>
      </c>
      <c r="AM570" t="s">
        <v>59</v>
      </c>
      <c r="AN570" t="s">
        <v>59</v>
      </c>
      <c r="AO570" t="s">
        <v>59</v>
      </c>
      <c r="AP570" t="s">
        <v>499</v>
      </c>
      <c r="AQ570" t="s">
        <v>1303</v>
      </c>
      <c r="AR570" t="s">
        <v>64</v>
      </c>
      <c r="AS570" t="s">
        <v>171</v>
      </c>
      <c r="AT570" t="s">
        <v>190</v>
      </c>
      <c r="AU570" t="s">
        <v>299</v>
      </c>
      <c r="AW570" s="4">
        <f t="shared" si="283"/>
        <v>6</v>
      </c>
      <c r="AX570" s="4">
        <f t="shared" si="284"/>
        <v>4</v>
      </c>
      <c r="AY570" s="4">
        <f t="shared" si="285"/>
        <v>4</v>
      </c>
      <c r="AZ570" s="4">
        <f t="shared" si="286"/>
        <v>2</v>
      </c>
      <c r="BA570" s="4">
        <f t="shared" si="287"/>
        <v>4</v>
      </c>
      <c r="BB570" s="4">
        <f t="shared" si="288"/>
        <v>4</v>
      </c>
      <c r="BC570" s="4">
        <f t="shared" si="289"/>
        <v>4</v>
      </c>
      <c r="BD570" s="4">
        <f t="shared" si="290"/>
        <v>2</v>
      </c>
      <c r="BE570" s="4">
        <f t="shared" si="291"/>
        <v>4</v>
      </c>
      <c r="BF570" s="4">
        <f t="shared" si="292"/>
        <v>2</v>
      </c>
      <c r="BG570" s="4">
        <f t="shared" si="293"/>
        <v>4</v>
      </c>
      <c r="BH570" s="4">
        <f t="shared" si="294"/>
        <v>4</v>
      </c>
      <c r="BI570" s="4">
        <f t="shared" si="295"/>
        <v>4</v>
      </c>
      <c r="BJ570" s="4">
        <f t="shared" si="296"/>
        <v>2</v>
      </c>
      <c r="BK570" s="4">
        <f t="shared" si="297"/>
        <v>4</v>
      </c>
      <c r="BL570" s="4">
        <f t="shared" si="298"/>
        <v>2</v>
      </c>
      <c r="BM570" s="4" t="str">
        <f t="shared" si="299"/>
        <v>0</v>
      </c>
      <c r="BN570" s="4">
        <f t="shared" si="300"/>
        <v>4</v>
      </c>
      <c r="BO570" s="4">
        <f t="shared" si="301"/>
        <v>4</v>
      </c>
      <c r="BP570" s="4">
        <f t="shared" si="302"/>
        <v>4</v>
      </c>
      <c r="BQ570" s="4">
        <f t="shared" si="303"/>
        <v>6</v>
      </c>
      <c r="BR570" s="4">
        <f t="shared" si="304"/>
        <v>4</v>
      </c>
      <c r="BS570" s="4">
        <f t="shared" si="305"/>
        <v>4</v>
      </c>
      <c r="BT570" s="4">
        <f t="shared" si="306"/>
        <v>4</v>
      </c>
      <c r="BU570" s="4">
        <f t="shared" si="307"/>
        <v>4</v>
      </c>
      <c r="BV570" s="4">
        <f t="shared" si="308"/>
        <v>0</v>
      </c>
      <c r="BW570" s="4">
        <f t="shared" si="309"/>
        <v>6</v>
      </c>
      <c r="BX570" s="4">
        <f t="shared" si="310"/>
        <v>0</v>
      </c>
      <c r="BY570" s="4">
        <f t="shared" si="311"/>
        <v>0</v>
      </c>
      <c r="BZ570" s="37">
        <f t="shared" si="312"/>
        <v>96</v>
      </c>
      <c r="CA570" s="32" t="str">
        <f>VLOOKUP(J:J,'Agent wise'!A:C,3,0)</f>
        <v xml:space="preserve">Shiny </v>
      </c>
      <c r="CB570" s="32">
        <f t="shared" si="313"/>
        <v>45934</v>
      </c>
      <c r="CC570" t="str">
        <f t="shared" si="314"/>
        <v>Excellent</v>
      </c>
      <c r="CE570" s="32"/>
      <c r="CJ570">
        <f t="shared" si="315"/>
        <v>4</v>
      </c>
      <c r="CK570">
        <f t="shared" si="316"/>
        <v>10</v>
      </c>
      <c r="CL570">
        <f t="shared" si="317"/>
        <v>2025</v>
      </c>
    </row>
    <row r="571" spans="1:90" ht="15" customHeight="1" x14ac:dyDescent="0.35">
      <c r="A571" s="40">
        <v>45971.4219212963</v>
      </c>
      <c r="B571" t="s">
        <v>51</v>
      </c>
      <c r="C571" t="s">
        <v>214</v>
      </c>
      <c r="D571" t="s">
        <v>53</v>
      </c>
      <c r="E571" s="32">
        <v>45941</v>
      </c>
      <c r="F571" t="s">
        <v>54</v>
      </c>
      <c r="G571" s="32">
        <v>45940</v>
      </c>
      <c r="H571">
        <v>8098997080</v>
      </c>
      <c r="I571">
        <v>289</v>
      </c>
      <c r="J571" t="s">
        <v>335</v>
      </c>
      <c r="K571" t="s">
        <v>71</v>
      </c>
      <c r="L571" t="s">
        <v>72</v>
      </c>
      <c r="M571" t="s">
        <v>59</v>
      </c>
      <c r="N571" t="s">
        <v>59</v>
      </c>
      <c r="O571" t="s">
        <v>59</v>
      </c>
      <c r="P571" t="s">
        <v>59</v>
      </c>
      <c r="Q571" t="s">
        <v>59</v>
      </c>
      <c r="R571" t="s">
        <v>60</v>
      </c>
      <c r="S571" t="s">
        <v>59</v>
      </c>
      <c r="T571" t="s">
        <v>59</v>
      </c>
      <c r="U571" t="s">
        <v>59</v>
      </c>
      <c r="V571" t="s">
        <v>59</v>
      </c>
      <c r="W571" t="s">
        <v>59</v>
      </c>
      <c r="X571" t="s">
        <v>59</v>
      </c>
      <c r="Y571" t="s">
        <v>59</v>
      </c>
      <c r="Z571" t="s">
        <v>59</v>
      </c>
      <c r="AA571" t="s">
        <v>59</v>
      </c>
      <c r="AB571" t="s">
        <v>59</v>
      </c>
      <c r="AC571" t="s">
        <v>60</v>
      </c>
      <c r="AD571" t="s">
        <v>59</v>
      </c>
      <c r="AE571" t="s">
        <v>59</v>
      </c>
      <c r="AF571" t="s">
        <v>59</v>
      </c>
      <c r="AG571" t="s">
        <v>59</v>
      </c>
      <c r="AH571" t="s">
        <v>61</v>
      </c>
      <c r="AI571" t="s">
        <v>60</v>
      </c>
      <c r="AJ571" t="s">
        <v>59</v>
      </c>
      <c r="AK571" t="s">
        <v>61</v>
      </c>
      <c r="AL571" t="s">
        <v>60</v>
      </c>
      <c r="AM571" t="s">
        <v>59</v>
      </c>
      <c r="AN571" t="s">
        <v>60</v>
      </c>
      <c r="AO571" t="s">
        <v>60</v>
      </c>
      <c r="AP571" t="s">
        <v>1304</v>
      </c>
      <c r="AQ571" t="s">
        <v>77</v>
      </c>
      <c r="AR571" t="s">
        <v>64</v>
      </c>
      <c r="AS571" t="s">
        <v>65</v>
      </c>
      <c r="AT571" t="s">
        <v>66</v>
      </c>
      <c r="AU571" t="s">
        <v>299</v>
      </c>
      <c r="AW571" s="4">
        <f t="shared" si="283"/>
        <v>6</v>
      </c>
      <c r="AX571" s="4">
        <f t="shared" si="284"/>
        <v>4</v>
      </c>
      <c r="AY571" s="4">
        <f t="shared" si="285"/>
        <v>4</v>
      </c>
      <c r="AZ571" s="4">
        <f t="shared" si="286"/>
        <v>2</v>
      </c>
      <c r="BA571" s="4">
        <f t="shared" si="287"/>
        <v>4</v>
      </c>
      <c r="BB571" s="4" t="str">
        <f t="shared" si="288"/>
        <v>0</v>
      </c>
      <c r="BC571" s="4">
        <f t="shared" si="289"/>
        <v>4</v>
      </c>
      <c r="BD571" s="4">
        <f t="shared" si="290"/>
        <v>2</v>
      </c>
      <c r="BE571" s="4">
        <f t="shared" si="291"/>
        <v>4</v>
      </c>
      <c r="BF571" s="4">
        <f t="shared" si="292"/>
        <v>2</v>
      </c>
      <c r="BG571" s="4">
        <f t="shared" si="293"/>
        <v>4</v>
      </c>
      <c r="BH571" s="4">
        <f t="shared" si="294"/>
        <v>4</v>
      </c>
      <c r="BI571" s="4">
        <f t="shared" si="295"/>
        <v>4</v>
      </c>
      <c r="BJ571" s="4">
        <f t="shared" si="296"/>
        <v>2</v>
      </c>
      <c r="BK571" s="4">
        <f t="shared" si="297"/>
        <v>4</v>
      </c>
      <c r="BL571" s="4">
        <f t="shared" si="298"/>
        <v>2</v>
      </c>
      <c r="BM571" s="4" t="str">
        <f t="shared" si="299"/>
        <v>0</v>
      </c>
      <c r="BN571" s="4">
        <f t="shared" si="300"/>
        <v>4</v>
      </c>
      <c r="BO571" s="4">
        <f t="shared" si="301"/>
        <v>4</v>
      </c>
      <c r="BP571" s="4">
        <f t="shared" si="302"/>
        <v>4</v>
      </c>
      <c r="BQ571" s="4">
        <f t="shared" si="303"/>
        <v>6</v>
      </c>
      <c r="BR571" s="4">
        <f t="shared" si="304"/>
        <v>4</v>
      </c>
      <c r="BS571" s="4" t="str">
        <f t="shared" si="305"/>
        <v>0</v>
      </c>
      <c r="BT571" s="4">
        <f t="shared" si="306"/>
        <v>4</v>
      </c>
      <c r="BU571" s="4">
        <f t="shared" si="307"/>
        <v>4</v>
      </c>
      <c r="BV571" s="4" t="str">
        <f t="shared" si="308"/>
        <v>0</v>
      </c>
      <c r="BW571" s="4">
        <f t="shared" si="309"/>
        <v>6</v>
      </c>
      <c r="BX571" s="4" t="str">
        <f t="shared" si="310"/>
        <v>0</v>
      </c>
      <c r="BY571" s="4" t="str">
        <f t="shared" si="311"/>
        <v>0</v>
      </c>
      <c r="BZ571" s="37">
        <f t="shared" si="312"/>
        <v>88</v>
      </c>
      <c r="CA571" s="32" t="str">
        <f>VLOOKUP(J:J,'Agent wise'!A:C,3,0)</f>
        <v xml:space="preserve">Shiny </v>
      </c>
      <c r="CB571" s="32">
        <f t="shared" si="313"/>
        <v>45941</v>
      </c>
      <c r="CC571" t="str">
        <f t="shared" si="314"/>
        <v>Average</v>
      </c>
      <c r="CE571" s="32"/>
      <c r="CJ571">
        <f t="shared" si="315"/>
        <v>11</v>
      </c>
      <c r="CK571">
        <f t="shared" si="316"/>
        <v>10</v>
      </c>
      <c r="CL571">
        <f t="shared" si="317"/>
        <v>2025</v>
      </c>
    </row>
    <row r="572" spans="1:90" ht="15" customHeight="1" x14ac:dyDescent="0.35">
      <c r="A572" s="40">
        <v>45971.424687500003</v>
      </c>
      <c r="B572" t="s">
        <v>51</v>
      </c>
      <c r="C572" t="s">
        <v>214</v>
      </c>
      <c r="D572" t="s">
        <v>53</v>
      </c>
      <c r="E572" s="32">
        <v>45941</v>
      </c>
      <c r="F572" t="s">
        <v>54</v>
      </c>
      <c r="G572" s="32">
        <v>45940</v>
      </c>
      <c r="H572">
        <v>9486613530</v>
      </c>
      <c r="I572">
        <v>165</v>
      </c>
      <c r="J572" t="s">
        <v>749</v>
      </c>
      <c r="K572" t="s">
        <v>71</v>
      </c>
      <c r="L572" t="s">
        <v>72</v>
      </c>
      <c r="M572" t="s">
        <v>59</v>
      </c>
      <c r="N572" t="s">
        <v>59</v>
      </c>
      <c r="O572" t="s">
        <v>59</v>
      </c>
      <c r="P572" t="s">
        <v>59</v>
      </c>
      <c r="Q572" t="s">
        <v>59</v>
      </c>
      <c r="R572" t="s">
        <v>60</v>
      </c>
      <c r="S572" t="s">
        <v>59</v>
      </c>
      <c r="T572" t="s">
        <v>59</v>
      </c>
      <c r="U572" t="s">
        <v>60</v>
      </c>
      <c r="V572" t="s">
        <v>59</v>
      </c>
      <c r="W572" t="s">
        <v>59</v>
      </c>
      <c r="X572" t="s">
        <v>59</v>
      </c>
      <c r="Y572" t="s">
        <v>59</v>
      </c>
      <c r="Z572" t="s">
        <v>59</v>
      </c>
      <c r="AA572" t="s">
        <v>59</v>
      </c>
      <c r="AB572" t="s">
        <v>59</v>
      </c>
      <c r="AC572" t="s">
        <v>60</v>
      </c>
      <c r="AD572" t="s">
        <v>59</v>
      </c>
      <c r="AE572" t="s">
        <v>59</v>
      </c>
      <c r="AF572" t="s">
        <v>61</v>
      </c>
      <c r="AG572" t="s">
        <v>59</v>
      </c>
      <c r="AH572" t="s">
        <v>61</v>
      </c>
      <c r="AI572" t="s">
        <v>60</v>
      </c>
      <c r="AJ572" t="s">
        <v>59</v>
      </c>
      <c r="AK572" t="s">
        <v>61</v>
      </c>
      <c r="AL572" t="s">
        <v>60</v>
      </c>
      <c r="AM572" t="s">
        <v>59</v>
      </c>
      <c r="AN572" t="s">
        <v>59</v>
      </c>
      <c r="AO572" t="s">
        <v>60</v>
      </c>
      <c r="AP572" t="s">
        <v>1305</v>
      </c>
      <c r="AQ572" t="s">
        <v>506</v>
      </c>
      <c r="AR572" t="s">
        <v>64</v>
      </c>
      <c r="AS572" t="s">
        <v>65</v>
      </c>
      <c r="AT572" t="s">
        <v>66</v>
      </c>
      <c r="AU572" t="s">
        <v>299</v>
      </c>
      <c r="AW572" s="4">
        <f t="shared" si="283"/>
        <v>6</v>
      </c>
      <c r="AX572" s="4">
        <f t="shared" si="284"/>
        <v>4</v>
      </c>
      <c r="AY572" s="4">
        <f t="shared" si="285"/>
        <v>4</v>
      </c>
      <c r="AZ572" s="4">
        <f t="shared" si="286"/>
        <v>2</v>
      </c>
      <c r="BA572" s="4">
        <f t="shared" si="287"/>
        <v>4</v>
      </c>
      <c r="BB572" s="4" t="str">
        <f t="shared" si="288"/>
        <v>0</v>
      </c>
      <c r="BC572" s="4">
        <f t="shared" si="289"/>
        <v>4</v>
      </c>
      <c r="BD572" s="4">
        <f t="shared" si="290"/>
        <v>2</v>
      </c>
      <c r="BE572" s="4" t="str">
        <f t="shared" si="291"/>
        <v>0</v>
      </c>
      <c r="BF572" s="4">
        <f t="shared" si="292"/>
        <v>2</v>
      </c>
      <c r="BG572" s="4">
        <f t="shared" si="293"/>
        <v>4</v>
      </c>
      <c r="BH572" s="4">
        <f t="shared" si="294"/>
        <v>4</v>
      </c>
      <c r="BI572" s="4">
        <f t="shared" si="295"/>
        <v>4</v>
      </c>
      <c r="BJ572" s="4">
        <f t="shared" si="296"/>
        <v>2</v>
      </c>
      <c r="BK572" s="4">
        <f t="shared" si="297"/>
        <v>4</v>
      </c>
      <c r="BL572" s="4">
        <f t="shared" si="298"/>
        <v>2</v>
      </c>
      <c r="BM572" s="4" t="str">
        <f t="shared" si="299"/>
        <v>0</v>
      </c>
      <c r="BN572" s="4">
        <f t="shared" si="300"/>
        <v>4</v>
      </c>
      <c r="BO572" s="4">
        <f t="shared" si="301"/>
        <v>4</v>
      </c>
      <c r="BP572" s="4">
        <f t="shared" si="302"/>
        <v>4</v>
      </c>
      <c r="BQ572" s="4">
        <f t="shared" si="303"/>
        <v>6</v>
      </c>
      <c r="BR572" s="4">
        <f t="shared" si="304"/>
        <v>4</v>
      </c>
      <c r="BS572" s="4" t="str">
        <f t="shared" si="305"/>
        <v>0</v>
      </c>
      <c r="BT572" s="4">
        <f t="shared" si="306"/>
        <v>4</v>
      </c>
      <c r="BU572" s="4">
        <f t="shared" si="307"/>
        <v>4</v>
      </c>
      <c r="BV572" s="4" t="str">
        <f t="shared" si="308"/>
        <v>0</v>
      </c>
      <c r="BW572" s="4">
        <f t="shared" si="309"/>
        <v>6</v>
      </c>
      <c r="BX572" s="4">
        <f t="shared" si="310"/>
        <v>0</v>
      </c>
      <c r="BY572" s="4" t="str">
        <f t="shared" si="311"/>
        <v>0</v>
      </c>
      <c r="BZ572" s="37">
        <f t="shared" si="312"/>
        <v>84</v>
      </c>
      <c r="CA572" s="32" t="str">
        <f>VLOOKUP(J:J,'Agent wise'!A:C,3,0)</f>
        <v xml:space="preserve">Shiny </v>
      </c>
      <c r="CB572" s="32">
        <f t="shared" si="313"/>
        <v>45941</v>
      </c>
      <c r="CC572" t="str">
        <f t="shared" si="314"/>
        <v>FC</v>
      </c>
      <c r="CE572" s="32"/>
      <c r="CJ572">
        <f t="shared" si="315"/>
        <v>11</v>
      </c>
      <c r="CK572">
        <f t="shared" si="316"/>
        <v>10</v>
      </c>
      <c r="CL572">
        <f t="shared" si="317"/>
        <v>2025</v>
      </c>
    </row>
    <row r="573" spans="1:90" ht="15" customHeight="1" x14ac:dyDescent="0.35">
      <c r="A573" s="40">
        <v>45971.458194444444</v>
      </c>
      <c r="B573" t="s">
        <v>177</v>
      </c>
      <c r="C573" t="s">
        <v>214</v>
      </c>
      <c r="D573" t="s">
        <v>178</v>
      </c>
      <c r="E573" s="32">
        <v>45935</v>
      </c>
      <c r="F573" t="s">
        <v>54</v>
      </c>
      <c r="G573" s="32">
        <v>45934</v>
      </c>
      <c r="H573">
        <v>9562786516</v>
      </c>
      <c r="I573">
        <v>128</v>
      </c>
      <c r="J573" t="s">
        <v>195</v>
      </c>
      <c r="K573" t="s">
        <v>57</v>
      </c>
      <c r="L573" t="s">
        <v>58</v>
      </c>
      <c r="M573" t="s">
        <v>59</v>
      </c>
      <c r="N573" t="s">
        <v>59</v>
      </c>
      <c r="O573" t="s">
        <v>59</v>
      </c>
      <c r="P573" t="s">
        <v>59</v>
      </c>
      <c r="Q573" t="s">
        <v>59</v>
      </c>
      <c r="R573" t="s">
        <v>59</v>
      </c>
      <c r="S573" t="s">
        <v>59</v>
      </c>
      <c r="T573" t="s">
        <v>59</v>
      </c>
      <c r="U573" t="s">
        <v>59</v>
      </c>
      <c r="V573" t="s">
        <v>59</v>
      </c>
      <c r="W573" t="s">
        <v>59</v>
      </c>
      <c r="X573" t="s">
        <v>59</v>
      </c>
      <c r="Y573" t="s">
        <v>59</v>
      </c>
      <c r="Z573" t="s">
        <v>59</v>
      </c>
      <c r="AA573" t="s">
        <v>59</v>
      </c>
      <c r="AB573" t="s">
        <v>59</v>
      </c>
      <c r="AC573" t="s">
        <v>59</v>
      </c>
      <c r="AD573" t="s">
        <v>61</v>
      </c>
      <c r="AE573" t="s">
        <v>59</v>
      </c>
      <c r="AF573" t="s">
        <v>59</v>
      </c>
      <c r="AG573" t="s">
        <v>59</v>
      </c>
      <c r="AH573" t="s">
        <v>59</v>
      </c>
      <c r="AI573" t="s">
        <v>61</v>
      </c>
      <c r="AJ573" t="s">
        <v>59</v>
      </c>
      <c r="AK573" t="s">
        <v>59</v>
      </c>
      <c r="AL573" t="s">
        <v>59</v>
      </c>
      <c r="AM573" t="s">
        <v>59</v>
      </c>
      <c r="AN573" t="s">
        <v>59</v>
      </c>
      <c r="AO573" t="s">
        <v>59</v>
      </c>
      <c r="AP573" t="s">
        <v>209</v>
      </c>
      <c r="AQ573" t="s">
        <v>1306</v>
      </c>
      <c r="AR573" t="s">
        <v>64</v>
      </c>
      <c r="AS573" t="s">
        <v>152</v>
      </c>
      <c r="AT573" t="s">
        <v>267</v>
      </c>
      <c r="AU573" t="s">
        <v>387</v>
      </c>
      <c r="AW573" s="4">
        <f t="shared" si="283"/>
        <v>6</v>
      </c>
      <c r="AX573" s="4">
        <f t="shared" si="284"/>
        <v>4</v>
      </c>
      <c r="AY573" s="4">
        <f t="shared" si="285"/>
        <v>4</v>
      </c>
      <c r="AZ573" s="4">
        <f t="shared" si="286"/>
        <v>2</v>
      </c>
      <c r="BA573" s="4">
        <f t="shared" si="287"/>
        <v>4</v>
      </c>
      <c r="BB573" s="4">
        <f t="shared" si="288"/>
        <v>4</v>
      </c>
      <c r="BC573" s="4">
        <f t="shared" si="289"/>
        <v>4</v>
      </c>
      <c r="BD573" s="4">
        <f t="shared" si="290"/>
        <v>2</v>
      </c>
      <c r="BE573" s="4">
        <f t="shared" si="291"/>
        <v>4</v>
      </c>
      <c r="BF573" s="4">
        <f t="shared" si="292"/>
        <v>2</v>
      </c>
      <c r="BG573" s="4">
        <f t="shared" si="293"/>
        <v>4</v>
      </c>
      <c r="BH573" s="4">
        <f t="shared" si="294"/>
        <v>4</v>
      </c>
      <c r="BI573" s="4">
        <f t="shared" si="295"/>
        <v>4</v>
      </c>
      <c r="BJ573" s="4">
        <f t="shared" si="296"/>
        <v>2</v>
      </c>
      <c r="BK573" s="4">
        <f t="shared" si="297"/>
        <v>4</v>
      </c>
      <c r="BL573" s="4">
        <f t="shared" si="298"/>
        <v>2</v>
      </c>
      <c r="BM573" s="4">
        <f t="shared" si="299"/>
        <v>4</v>
      </c>
      <c r="BN573" s="4">
        <f t="shared" si="300"/>
        <v>4</v>
      </c>
      <c r="BO573" s="4">
        <f t="shared" si="301"/>
        <v>4</v>
      </c>
      <c r="BP573" s="4">
        <f t="shared" si="302"/>
        <v>4</v>
      </c>
      <c r="BQ573" s="4">
        <f t="shared" si="303"/>
        <v>6</v>
      </c>
      <c r="BR573" s="4">
        <f t="shared" si="304"/>
        <v>4</v>
      </c>
      <c r="BS573" s="4">
        <f t="shared" si="305"/>
        <v>4</v>
      </c>
      <c r="BT573" s="4">
        <f t="shared" si="306"/>
        <v>4</v>
      </c>
      <c r="BU573" s="4">
        <f t="shared" si="307"/>
        <v>4</v>
      </c>
      <c r="BV573" s="4">
        <f t="shared" si="308"/>
        <v>0</v>
      </c>
      <c r="BW573" s="4">
        <f t="shared" si="309"/>
        <v>6</v>
      </c>
      <c r="BX573" s="4">
        <f t="shared" si="310"/>
        <v>0</v>
      </c>
      <c r="BY573" s="4">
        <f t="shared" si="311"/>
        <v>0</v>
      </c>
      <c r="BZ573" s="37">
        <f t="shared" si="312"/>
        <v>100</v>
      </c>
      <c r="CA573" s="32" t="str">
        <f>VLOOKUP(J:J,'Agent wise'!A:C,3,0)</f>
        <v>Adharsh</v>
      </c>
      <c r="CB573" s="32">
        <f t="shared" si="313"/>
        <v>45935</v>
      </c>
      <c r="CC573" t="str">
        <f t="shared" si="314"/>
        <v>Excellent</v>
      </c>
      <c r="CE573" s="32"/>
      <c r="CJ573">
        <f t="shared" si="315"/>
        <v>5</v>
      </c>
      <c r="CK573">
        <f t="shared" si="316"/>
        <v>10</v>
      </c>
      <c r="CL573">
        <f t="shared" si="317"/>
        <v>2025</v>
      </c>
    </row>
    <row r="574" spans="1:90" ht="15" customHeight="1" x14ac:dyDescent="0.35">
      <c r="A574" s="40">
        <v>45971.45957175926</v>
      </c>
      <c r="B574" t="s">
        <v>51</v>
      </c>
      <c r="C574" t="s">
        <v>214</v>
      </c>
      <c r="D574" t="s">
        <v>53</v>
      </c>
      <c r="E574" s="32">
        <v>45941</v>
      </c>
      <c r="F574" t="s">
        <v>54</v>
      </c>
      <c r="G574" s="32">
        <v>45940</v>
      </c>
      <c r="H574">
        <v>9479200515</v>
      </c>
      <c r="I574">
        <v>156</v>
      </c>
      <c r="J574" t="s">
        <v>662</v>
      </c>
      <c r="K574" t="s">
        <v>71</v>
      </c>
      <c r="L574" t="s">
        <v>72</v>
      </c>
      <c r="M574" t="s">
        <v>59</v>
      </c>
      <c r="N574" t="s">
        <v>59</v>
      </c>
      <c r="O574" t="s">
        <v>59</v>
      </c>
      <c r="P574" t="s">
        <v>59</v>
      </c>
      <c r="Q574" t="s">
        <v>59</v>
      </c>
      <c r="R574" t="s">
        <v>60</v>
      </c>
      <c r="S574" t="s">
        <v>59</v>
      </c>
      <c r="T574" t="s">
        <v>59</v>
      </c>
      <c r="U574" t="s">
        <v>59</v>
      </c>
      <c r="V574" t="s">
        <v>59</v>
      </c>
      <c r="W574" t="s">
        <v>59</v>
      </c>
      <c r="X574" t="s">
        <v>59</v>
      </c>
      <c r="Y574" t="s">
        <v>59</v>
      </c>
      <c r="Z574" t="s">
        <v>59</v>
      </c>
      <c r="AA574" t="s">
        <v>59</v>
      </c>
      <c r="AB574" t="s">
        <v>61</v>
      </c>
      <c r="AC574" t="s">
        <v>61</v>
      </c>
      <c r="AD574" t="s">
        <v>59</v>
      </c>
      <c r="AE574" t="s">
        <v>59</v>
      </c>
      <c r="AF574" t="s">
        <v>61</v>
      </c>
      <c r="AG574" t="s">
        <v>60</v>
      </c>
      <c r="AH574" t="s">
        <v>61</v>
      </c>
      <c r="AI574" t="s">
        <v>61</v>
      </c>
      <c r="AJ574" t="s">
        <v>59</v>
      </c>
      <c r="AK574" t="s">
        <v>61</v>
      </c>
      <c r="AL574" t="s">
        <v>60</v>
      </c>
      <c r="AM574" t="s">
        <v>59</v>
      </c>
      <c r="AN574" t="s">
        <v>59</v>
      </c>
      <c r="AO574" t="s">
        <v>59</v>
      </c>
      <c r="AP574" t="s">
        <v>1307</v>
      </c>
      <c r="AQ574" t="s">
        <v>1308</v>
      </c>
      <c r="AR574" t="s">
        <v>64</v>
      </c>
      <c r="AS574" t="s">
        <v>152</v>
      </c>
      <c r="AT574" t="s">
        <v>267</v>
      </c>
      <c r="AU574" t="s">
        <v>387</v>
      </c>
      <c r="AW574" s="4">
        <f t="shared" si="283"/>
        <v>6</v>
      </c>
      <c r="AX574" s="4">
        <f t="shared" si="284"/>
        <v>4</v>
      </c>
      <c r="AY574" s="4">
        <f t="shared" si="285"/>
        <v>4</v>
      </c>
      <c r="AZ574" s="4">
        <f t="shared" si="286"/>
        <v>2</v>
      </c>
      <c r="BA574" s="4">
        <f t="shared" si="287"/>
        <v>4</v>
      </c>
      <c r="BB574" s="4" t="str">
        <f t="shared" si="288"/>
        <v>0</v>
      </c>
      <c r="BC574" s="4">
        <f t="shared" si="289"/>
        <v>4</v>
      </c>
      <c r="BD574" s="4">
        <f t="shared" si="290"/>
        <v>2</v>
      </c>
      <c r="BE574" s="4">
        <f t="shared" si="291"/>
        <v>4</v>
      </c>
      <c r="BF574" s="4">
        <f t="shared" si="292"/>
        <v>2</v>
      </c>
      <c r="BG574" s="4">
        <f t="shared" si="293"/>
        <v>4</v>
      </c>
      <c r="BH574" s="4">
        <f t="shared" si="294"/>
        <v>4</v>
      </c>
      <c r="BI574" s="4">
        <f t="shared" si="295"/>
        <v>4</v>
      </c>
      <c r="BJ574" s="4">
        <f t="shared" si="296"/>
        <v>2</v>
      </c>
      <c r="BK574" s="4">
        <f t="shared" si="297"/>
        <v>4</v>
      </c>
      <c r="BL574" s="4">
        <f t="shared" si="298"/>
        <v>2</v>
      </c>
      <c r="BM574" s="4">
        <f t="shared" si="299"/>
        <v>4</v>
      </c>
      <c r="BN574" s="4">
        <f t="shared" si="300"/>
        <v>4</v>
      </c>
      <c r="BO574" s="4">
        <f t="shared" si="301"/>
        <v>4</v>
      </c>
      <c r="BP574" s="4">
        <f t="shared" si="302"/>
        <v>4</v>
      </c>
      <c r="BQ574" s="4" t="str">
        <f t="shared" si="303"/>
        <v>0</v>
      </c>
      <c r="BR574" s="4">
        <f t="shared" si="304"/>
        <v>4</v>
      </c>
      <c r="BS574" s="4">
        <f t="shared" si="305"/>
        <v>4</v>
      </c>
      <c r="BT574" s="4">
        <f t="shared" si="306"/>
        <v>4</v>
      </c>
      <c r="BU574" s="4">
        <f t="shared" si="307"/>
        <v>4</v>
      </c>
      <c r="BV574" s="4" t="str">
        <f t="shared" si="308"/>
        <v>0</v>
      </c>
      <c r="BW574" s="4">
        <f t="shared" si="309"/>
        <v>6</v>
      </c>
      <c r="BX574" s="4">
        <f t="shared" si="310"/>
        <v>0</v>
      </c>
      <c r="BY574" s="4">
        <f t="shared" si="311"/>
        <v>0</v>
      </c>
      <c r="BZ574" s="37">
        <f t="shared" si="312"/>
        <v>90</v>
      </c>
      <c r="CA574" s="32" t="str">
        <f>VLOOKUP(J:J,'Agent wise'!A:C,3,0)</f>
        <v xml:space="preserve">Shiny </v>
      </c>
      <c r="CB574" s="32">
        <f t="shared" si="313"/>
        <v>45941</v>
      </c>
      <c r="CC574" t="str">
        <f t="shared" si="314"/>
        <v>Good</v>
      </c>
      <c r="CE574" s="32"/>
      <c r="CJ574">
        <f t="shared" si="315"/>
        <v>11</v>
      </c>
      <c r="CK574">
        <f t="shared" si="316"/>
        <v>10</v>
      </c>
      <c r="CL574">
        <f t="shared" si="317"/>
        <v>2025</v>
      </c>
    </row>
    <row r="575" spans="1:90" ht="15" customHeight="1" x14ac:dyDescent="0.35">
      <c r="A575" s="40">
        <v>45971.464872685188</v>
      </c>
      <c r="B575" t="s">
        <v>100</v>
      </c>
      <c r="C575" t="s">
        <v>214</v>
      </c>
      <c r="D575" t="s">
        <v>101</v>
      </c>
      <c r="E575" s="32">
        <v>45941</v>
      </c>
      <c r="F575" t="s">
        <v>54</v>
      </c>
      <c r="G575" s="32">
        <v>45940</v>
      </c>
      <c r="H575">
        <v>8129994319</v>
      </c>
      <c r="I575">
        <v>135</v>
      </c>
      <c r="J575" t="s">
        <v>56</v>
      </c>
      <c r="K575" t="s">
        <v>57</v>
      </c>
      <c r="L575" t="s">
        <v>58</v>
      </c>
      <c r="M575" t="s">
        <v>59</v>
      </c>
      <c r="N575" t="s">
        <v>59</v>
      </c>
      <c r="O575" t="s">
        <v>59</v>
      </c>
      <c r="P575" t="s">
        <v>59</v>
      </c>
      <c r="Q575" t="s">
        <v>59</v>
      </c>
      <c r="R575" t="s">
        <v>59</v>
      </c>
      <c r="S575" t="s">
        <v>59</v>
      </c>
      <c r="T575" t="s">
        <v>59</v>
      </c>
      <c r="U575" t="s">
        <v>59</v>
      </c>
      <c r="V575" t="s">
        <v>59</v>
      </c>
      <c r="W575" t="s">
        <v>59</v>
      </c>
      <c r="X575" t="s">
        <v>59</v>
      </c>
      <c r="Y575" t="s">
        <v>59</v>
      </c>
      <c r="Z575" t="s">
        <v>59</v>
      </c>
      <c r="AA575" t="s">
        <v>59</v>
      </c>
      <c r="AB575" t="s">
        <v>59</v>
      </c>
      <c r="AC575" t="s">
        <v>59</v>
      </c>
      <c r="AD575" t="s">
        <v>59</v>
      </c>
      <c r="AE575" t="s">
        <v>59</v>
      </c>
      <c r="AF575" t="s">
        <v>59</v>
      </c>
      <c r="AG575" t="s">
        <v>59</v>
      </c>
      <c r="AH575" t="s">
        <v>59</v>
      </c>
      <c r="AI575" t="s">
        <v>61</v>
      </c>
      <c r="AJ575" t="s">
        <v>59</v>
      </c>
      <c r="AK575" t="s">
        <v>59</v>
      </c>
      <c r="AL575" t="s">
        <v>59</v>
      </c>
      <c r="AM575" t="s">
        <v>59</v>
      </c>
      <c r="AN575" t="s">
        <v>59</v>
      </c>
      <c r="AO575" t="s">
        <v>59</v>
      </c>
      <c r="AP575" t="s">
        <v>1309</v>
      </c>
      <c r="AQ575" t="s">
        <v>1310</v>
      </c>
      <c r="AR575" t="s">
        <v>64</v>
      </c>
      <c r="AS575" t="s">
        <v>89</v>
      </c>
      <c r="AT575" t="s">
        <v>293</v>
      </c>
      <c r="AU575" t="s">
        <v>299</v>
      </c>
      <c r="AW575" s="4">
        <f t="shared" si="283"/>
        <v>6</v>
      </c>
      <c r="AX575" s="4">
        <f t="shared" si="284"/>
        <v>4</v>
      </c>
      <c r="AY575" s="4">
        <f t="shared" si="285"/>
        <v>4</v>
      </c>
      <c r="AZ575" s="4">
        <f t="shared" si="286"/>
        <v>2</v>
      </c>
      <c r="BA575" s="4">
        <f t="shared" si="287"/>
        <v>4</v>
      </c>
      <c r="BB575" s="4">
        <f t="shared" si="288"/>
        <v>4</v>
      </c>
      <c r="BC575" s="4">
        <f t="shared" si="289"/>
        <v>4</v>
      </c>
      <c r="BD575" s="4">
        <f t="shared" si="290"/>
        <v>2</v>
      </c>
      <c r="BE575" s="4">
        <f t="shared" si="291"/>
        <v>4</v>
      </c>
      <c r="BF575" s="4">
        <f t="shared" si="292"/>
        <v>2</v>
      </c>
      <c r="BG575" s="4">
        <f t="shared" si="293"/>
        <v>4</v>
      </c>
      <c r="BH575" s="4">
        <f t="shared" si="294"/>
        <v>4</v>
      </c>
      <c r="BI575" s="4">
        <f t="shared" si="295"/>
        <v>4</v>
      </c>
      <c r="BJ575" s="4">
        <f t="shared" si="296"/>
        <v>2</v>
      </c>
      <c r="BK575" s="4">
        <f t="shared" si="297"/>
        <v>4</v>
      </c>
      <c r="BL575" s="4">
        <f t="shared" si="298"/>
        <v>2</v>
      </c>
      <c r="BM575" s="4">
        <f t="shared" si="299"/>
        <v>4</v>
      </c>
      <c r="BN575" s="4">
        <f t="shared" si="300"/>
        <v>4</v>
      </c>
      <c r="BO575" s="4">
        <f t="shared" si="301"/>
        <v>4</v>
      </c>
      <c r="BP575" s="4">
        <f t="shared" si="302"/>
        <v>4</v>
      </c>
      <c r="BQ575" s="4">
        <f t="shared" si="303"/>
        <v>6</v>
      </c>
      <c r="BR575" s="4">
        <f t="shared" si="304"/>
        <v>4</v>
      </c>
      <c r="BS575" s="4">
        <f t="shared" si="305"/>
        <v>4</v>
      </c>
      <c r="BT575" s="4">
        <f t="shared" si="306"/>
        <v>4</v>
      </c>
      <c r="BU575" s="4">
        <f t="shared" si="307"/>
        <v>4</v>
      </c>
      <c r="BV575" s="4">
        <f t="shared" si="308"/>
        <v>0</v>
      </c>
      <c r="BW575" s="4">
        <f t="shared" si="309"/>
        <v>6</v>
      </c>
      <c r="BX575" s="4">
        <f t="shared" si="310"/>
        <v>0</v>
      </c>
      <c r="BY575" s="4">
        <f t="shared" si="311"/>
        <v>0</v>
      </c>
      <c r="BZ575" s="37">
        <f t="shared" si="312"/>
        <v>100</v>
      </c>
      <c r="CA575" s="32" t="str">
        <f>VLOOKUP(J:J,'Agent wise'!A:C,3,0)</f>
        <v>Saran S</v>
      </c>
      <c r="CB575" s="32">
        <f t="shared" si="313"/>
        <v>45941</v>
      </c>
      <c r="CC575" t="str">
        <f t="shared" si="314"/>
        <v>Excellent</v>
      </c>
      <c r="CE575" s="32"/>
      <c r="CJ575">
        <f t="shared" si="315"/>
        <v>11</v>
      </c>
      <c r="CK575">
        <f t="shared" si="316"/>
        <v>10</v>
      </c>
      <c r="CL575">
        <f t="shared" si="317"/>
        <v>2025</v>
      </c>
    </row>
    <row r="576" spans="1:90" ht="15" customHeight="1" x14ac:dyDescent="0.35">
      <c r="A576" s="40">
        <v>45971.489849537043</v>
      </c>
      <c r="B576" t="s">
        <v>177</v>
      </c>
      <c r="C576" t="s">
        <v>214</v>
      </c>
      <c r="D576" t="s">
        <v>178</v>
      </c>
      <c r="E576" s="32">
        <v>45934</v>
      </c>
      <c r="F576" t="s">
        <v>54</v>
      </c>
      <c r="G576" s="32">
        <v>45933</v>
      </c>
      <c r="H576">
        <v>9446583365</v>
      </c>
      <c r="I576">
        <v>125</v>
      </c>
      <c r="J576" t="s">
        <v>1311</v>
      </c>
      <c r="K576" t="s">
        <v>57</v>
      </c>
      <c r="L576" t="s">
        <v>58</v>
      </c>
      <c r="M576" t="s">
        <v>59</v>
      </c>
      <c r="N576" t="s">
        <v>59</v>
      </c>
      <c r="O576" t="s">
        <v>59</v>
      </c>
      <c r="P576" t="s">
        <v>59</v>
      </c>
      <c r="Q576" t="s">
        <v>59</v>
      </c>
      <c r="R576" t="s">
        <v>59</v>
      </c>
      <c r="S576" t="s">
        <v>59</v>
      </c>
      <c r="T576" t="s">
        <v>59</v>
      </c>
      <c r="U576" t="s">
        <v>59</v>
      </c>
      <c r="V576" t="s">
        <v>59</v>
      </c>
      <c r="W576" t="s">
        <v>59</v>
      </c>
      <c r="X576" t="s">
        <v>59</v>
      </c>
      <c r="Y576" t="s">
        <v>59</v>
      </c>
      <c r="Z576" t="s">
        <v>59</v>
      </c>
      <c r="AA576" t="s">
        <v>59</v>
      </c>
      <c r="AB576" t="s">
        <v>59</v>
      </c>
      <c r="AC576" t="s">
        <v>59</v>
      </c>
      <c r="AD576" t="s">
        <v>59</v>
      </c>
      <c r="AE576" t="s">
        <v>59</v>
      </c>
      <c r="AF576" t="s">
        <v>59</v>
      </c>
      <c r="AG576" t="s">
        <v>59</v>
      </c>
      <c r="AH576" t="s">
        <v>61</v>
      </c>
      <c r="AI576" t="s">
        <v>61</v>
      </c>
      <c r="AJ576" t="s">
        <v>59</v>
      </c>
      <c r="AK576" t="s">
        <v>59</v>
      </c>
      <c r="AL576" t="s">
        <v>59</v>
      </c>
      <c r="AM576" t="s">
        <v>59</v>
      </c>
      <c r="AN576" t="s">
        <v>59</v>
      </c>
      <c r="AO576" t="s">
        <v>59</v>
      </c>
      <c r="AP576" t="s">
        <v>209</v>
      </c>
      <c r="AQ576" t="s">
        <v>1312</v>
      </c>
      <c r="AR576" t="s">
        <v>64</v>
      </c>
      <c r="AS576" t="s">
        <v>1313</v>
      </c>
      <c r="AT576" t="s">
        <v>1314</v>
      </c>
      <c r="AU576" t="s">
        <v>219</v>
      </c>
      <c r="AW576" s="4">
        <f t="shared" si="283"/>
        <v>6</v>
      </c>
      <c r="AX576" s="4">
        <f t="shared" si="284"/>
        <v>4</v>
      </c>
      <c r="AY576" s="4">
        <f t="shared" si="285"/>
        <v>4</v>
      </c>
      <c r="AZ576" s="4">
        <f t="shared" si="286"/>
        <v>2</v>
      </c>
      <c r="BA576" s="4">
        <f t="shared" si="287"/>
        <v>4</v>
      </c>
      <c r="BB576" s="4">
        <f t="shared" si="288"/>
        <v>4</v>
      </c>
      <c r="BC576" s="4">
        <f t="shared" si="289"/>
        <v>4</v>
      </c>
      <c r="BD576" s="4">
        <f t="shared" si="290"/>
        <v>2</v>
      </c>
      <c r="BE576" s="4">
        <f t="shared" si="291"/>
        <v>4</v>
      </c>
      <c r="BF576" s="4">
        <f t="shared" si="292"/>
        <v>2</v>
      </c>
      <c r="BG576" s="4">
        <f t="shared" si="293"/>
        <v>4</v>
      </c>
      <c r="BH576" s="4">
        <f t="shared" si="294"/>
        <v>4</v>
      </c>
      <c r="BI576" s="4">
        <f t="shared" si="295"/>
        <v>4</v>
      </c>
      <c r="BJ576" s="4">
        <f t="shared" si="296"/>
        <v>2</v>
      </c>
      <c r="BK576" s="4">
        <f t="shared" si="297"/>
        <v>4</v>
      </c>
      <c r="BL576" s="4">
        <f t="shared" si="298"/>
        <v>2</v>
      </c>
      <c r="BM576" s="4">
        <f t="shared" si="299"/>
        <v>4</v>
      </c>
      <c r="BN576" s="4">
        <f t="shared" si="300"/>
        <v>4</v>
      </c>
      <c r="BO576" s="4">
        <f t="shared" si="301"/>
        <v>4</v>
      </c>
      <c r="BP576" s="4">
        <f t="shared" si="302"/>
        <v>4</v>
      </c>
      <c r="BQ576" s="4">
        <f t="shared" si="303"/>
        <v>6</v>
      </c>
      <c r="BR576" s="4">
        <f t="shared" si="304"/>
        <v>4</v>
      </c>
      <c r="BS576" s="4">
        <f t="shared" si="305"/>
        <v>4</v>
      </c>
      <c r="BT576" s="4">
        <f t="shared" si="306"/>
        <v>4</v>
      </c>
      <c r="BU576" s="4">
        <f t="shared" si="307"/>
        <v>4</v>
      </c>
      <c r="BV576" s="4">
        <f t="shared" si="308"/>
        <v>0</v>
      </c>
      <c r="BW576" s="4">
        <f t="shared" si="309"/>
        <v>6</v>
      </c>
      <c r="BX576" s="4">
        <f t="shared" si="310"/>
        <v>0</v>
      </c>
      <c r="BY576" s="4">
        <f t="shared" si="311"/>
        <v>0</v>
      </c>
      <c r="BZ576" s="37">
        <f t="shared" si="312"/>
        <v>100</v>
      </c>
      <c r="CA576" s="32" t="e">
        <f>VLOOKUP(J:J,'Agent wise'!A:C,3,0)</f>
        <v>#N/A</v>
      </c>
      <c r="CB576" s="32">
        <f t="shared" si="313"/>
        <v>45934</v>
      </c>
      <c r="CC576" t="str">
        <f t="shared" si="314"/>
        <v>Excellent</v>
      </c>
      <c r="CE576" s="32"/>
      <c r="CJ576">
        <f t="shared" si="315"/>
        <v>4</v>
      </c>
      <c r="CK576">
        <f t="shared" si="316"/>
        <v>10</v>
      </c>
      <c r="CL576">
        <f t="shared" si="317"/>
        <v>2025</v>
      </c>
    </row>
    <row r="577" spans="1:90" ht="15" customHeight="1" x14ac:dyDescent="0.35">
      <c r="A577" s="40">
        <v>45971.505902777782</v>
      </c>
      <c r="B577" t="s">
        <v>51</v>
      </c>
      <c r="C577" t="s">
        <v>214</v>
      </c>
      <c r="D577" t="s">
        <v>53</v>
      </c>
      <c r="E577" s="32">
        <v>45941</v>
      </c>
      <c r="F577" t="s">
        <v>54</v>
      </c>
      <c r="G577" s="32">
        <v>45940</v>
      </c>
      <c r="H577">
        <v>8547329692</v>
      </c>
      <c r="I577">
        <v>133</v>
      </c>
      <c r="J577" t="s">
        <v>646</v>
      </c>
      <c r="K577" t="s">
        <v>57</v>
      </c>
      <c r="L577" t="s">
        <v>58</v>
      </c>
      <c r="M577" t="s">
        <v>59</v>
      </c>
      <c r="N577" t="s">
        <v>59</v>
      </c>
      <c r="O577" t="s">
        <v>59</v>
      </c>
      <c r="P577" t="s">
        <v>59</v>
      </c>
      <c r="Q577" t="s">
        <v>59</v>
      </c>
      <c r="R577" t="s">
        <v>60</v>
      </c>
      <c r="S577" t="s">
        <v>59</v>
      </c>
      <c r="T577" t="s">
        <v>59</v>
      </c>
      <c r="U577" t="s">
        <v>59</v>
      </c>
      <c r="V577" t="s">
        <v>59</v>
      </c>
      <c r="W577" t="s">
        <v>59</v>
      </c>
      <c r="X577" t="s">
        <v>59</v>
      </c>
      <c r="Y577" t="s">
        <v>59</v>
      </c>
      <c r="Z577" t="s">
        <v>60</v>
      </c>
      <c r="AA577" t="s">
        <v>59</v>
      </c>
      <c r="AB577" t="s">
        <v>59</v>
      </c>
      <c r="AC577" t="s">
        <v>61</v>
      </c>
      <c r="AD577" t="s">
        <v>61</v>
      </c>
      <c r="AE577" t="s">
        <v>60</v>
      </c>
      <c r="AF577" t="s">
        <v>61</v>
      </c>
      <c r="AG577" t="s">
        <v>60</v>
      </c>
      <c r="AH577" t="s">
        <v>61</v>
      </c>
      <c r="AI577" t="s">
        <v>61</v>
      </c>
      <c r="AJ577" t="s">
        <v>59</v>
      </c>
      <c r="AK577" t="s">
        <v>61</v>
      </c>
      <c r="AL577" t="s">
        <v>60</v>
      </c>
      <c r="AM577" t="s">
        <v>59</v>
      </c>
      <c r="AN577" t="s">
        <v>59</v>
      </c>
      <c r="AO577" t="s">
        <v>59</v>
      </c>
      <c r="AP577" t="s">
        <v>1315</v>
      </c>
      <c r="AQ577" t="s">
        <v>1316</v>
      </c>
      <c r="AR577" t="s">
        <v>64</v>
      </c>
      <c r="AS577" t="s">
        <v>89</v>
      </c>
      <c r="AT577" t="s">
        <v>1317</v>
      </c>
      <c r="AU577" t="s">
        <v>387</v>
      </c>
      <c r="AW577" s="4">
        <f t="shared" si="283"/>
        <v>6</v>
      </c>
      <c r="AX577" s="4">
        <f t="shared" si="284"/>
        <v>4</v>
      </c>
      <c r="AY577" s="4">
        <f t="shared" si="285"/>
        <v>4</v>
      </c>
      <c r="AZ577" s="4">
        <f t="shared" si="286"/>
        <v>2</v>
      </c>
      <c r="BA577" s="4">
        <f t="shared" si="287"/>
        <v>4</v>
      </c>
      <c r="BB577" s="4" t="str">
        <f t="shared" si="288"/>
        <v>0</v>
      </c>
      <c r="BC577" s="4">
        <f t="shared" si="289"/>
        <v>4</v>
      </c>
      <c r="BD577" s="4">
        <f t="shared" si="290"/>
        <v>2</v>
      </c>
      <c r="BE577" s="4">
        <f t="shared" si="291"/>
        <v>4</v>
      </c>
      <c r="BF577" s="4">
        <f t="shared" si="292"/>
        <v>2</v>
      </c>
      <c r="BG577" s="4">
        <f t="shared" si="293"/>
        <v>4</v>
      </c>
      <c r="BH577" s="4">
        <f t="shared" si="294"/>
        <v>4</v>
      </c>
      <c r="BI577" s="4">
        <f t="shared" si="295"/>
        <v>4</v>
      </c>
      <c r="BJ577" s="4" t="str">
        <f t="shared" si="296"/>
        <v>0</v>
      </c>
      <c r="BK577" s="4">
        <f t="shared" si="297"/>
        <v>4</v>
      </c>
      <c r="BL577" s="4">
        <f t="shared" si="298"/>
        <v>2</v>
      </c>
      <c r="BM577" s="4">
        <f t="shared" si="299"/>
        <v>4</v>
      </c>
      <c r="BN577" s="4">
        <f t="shared" si="300"/>
        <v>4</v>
      </c>
      <c r="BO577" s="4" t="str">
        <f t="shared" si="301"/>
        <v>0</v>
      </c>
      <c r="BP577" s="4">
        <f t="shared" si="302"/>
        <v>4</v>
      </c>
      <c r="BQ577" s="4" t="str">
        <f t="shared" si="303"/>
        <v>0</v>
      </c>
      <c r="BR577" s="4">
        <f t="shared" si="304"/>
        <v>4</v>
      </c>
      <c r="BS577" s="4">
        <f t="shared" si="305"/>
        <v>4</v>
      </c>
      <c r="BT577" s="4">
        <f t="shared" si="306"/>
        <v>4</v>
      </c>
      <c r="BU577" s="4">
        <f t="shared" si="307"/>
        <v>4</v>
      </c>
      <c r="BV577" s="4" t="str">
        <f t="shared" si="308"/>
        <v>0</v>
      </c>
      <c r="BW577" s="4">
        <f t="shared" si="309"/>
        <v>6</v>
      </c>
      <c r="BX577" s="4">
        <f t="shared" si="310"/>
        <v>0</v>
      </c>
      <c r="BY577" s="4">
        <f t="shared" si="311"/>
        <v>0</v>
      </c>
      <c r="BZ577" s="37">
        <f t="shared" si="312"/>
        <v>84</v>
      </c>
      <c r="CA577" s="32" t="str">
        <f>VLOOKUP(J:J,'Agent wise'!A:C,3,0)</f>
        <v xml:space="preserve">Shiny </v>
      </c>
      <c r="CB577" s="32">
        <f t="shared" si="313"/>
        <v>45941</v>
      </c>
      <c r="CC577" t="str">
        <f t="shared" si="314"/>
        <v>FC</v>
      </c>
      <c r="CE577" s="32"/>
      <c r="CJ577">
        <f t="shared" si="315"/>
        <v>11</v>
      </c>
      <c r="CK577">
        <f t="shared" si="316"/>
        <v>10</v>
      </c>
      <c r="CL577">
        <f t="shared" si="317"/>
        <v>2025</v>
      </c>
    </row>
    <row r="578" spans="1:90" ht="15" customHeight="1" x14ac:dyDescent="0.35">
      <c r="A578" s="40">
        <v>45971.518912037027</v>
      </c>
      <c r="B578" t="s">
        <v>100</v>
      </c>
      <c r="C578" t="s">
        <v>214</v>
      </c>
      <c r="D578" t="s">
        <v>101</v>
      </c>
      <c r="E578" s="32">
        <v>45941</v>
      </c>
      <c r="F578" t="s">
        <v>54</v>
      </c>
      <c r="G578" s="32">
        <v>45941</v>
      </c>
      <c r="H578">
        <v>9947614877</v>
      </c>
      <c r="I578">
        <v>139</v>
      </c>
      <c r="J578" t="s">
        <v>56</v>
      </c>
      <c r="K578" t="s">
        <v>57</v>
      </c>
      <c r="L578" t="s">
        <v>58</v>
      </c>
      <c r="M578" t="s">
        <v>59</v>
      </c>
      <c r="N578" t="s">
        <v>59</v>
      </c>
      <c r="O578" t="s">
        <v>59</v>
      </c>
      <c r="P578" t="s">
        <v>59</v>
      </c>
      <c r="Q578" t="s">
        <v>59</v>
      </c>
      <c r="R578" t="s">
        <v>60</v>
      </c>
      <c r="S578" t="s">
        <v>59</v>
      </c>
      <c r="T578" t="s">
        <v>59</v>
      </c>
      <c r="U578" t="s">
        <v>59</v>
      </c>
      <c r="V578" t="s">
        <v>59</v>
      </c>
      <c r="W578" t="s">
        <v>59</v>
      </c>
      <c r="X578" t="s">
        <v>59</v>
      </c>
      <c r="Y578" t="s">
        <v>59</v>
      </c>
      <c r="Z578" t="s">
        <v>59</v>
      </c>
      <c r="AA578" t="s">
        <v>59</v>
      </c>
      <c r="AB578" t="s">
        <v>59</v>
      </c>
      <c r="AC578" t="s">
        <v>59</v>
      </c>
      <c r="AD578" t="s">
        <v>59</v>
      </c>
      <c r="AE578" t="s">
        <v>59</v>
      </c>
      <c r="AF578" t="s">
        <v>59</v>
      </c>
      <c r="AG578" t="s">
        <v>59</v>
      </c>
      <c r="AH578" t="s">
        <v>59</v>
      </c>
      <c r="AI578" t="s">
        <v>60</v>
      </c>
      <c r="AJ578" t="s">
        <v>61</v>
      </c>
      <c r="AK578" t="s">
        <v>59</v>
      </c>
      <c r="AL578" t="s">
        <v>59</v>
      </c>
      <c r="AM578" t="s">
        <v>59</v>
      </c>
      <c r="AN578" t="s">
        <v>59</v>
      </c>
      <c r="AO578" t="s">
        <v>59</v>
      </c>
      <c r="AP578" t="s">
        <v>1051</v>
      </c>
      <c r="AQ578" t="s">
        <v>1318</v>
      </c>
      <c r="AR578" t="s">
        <v>64</v>
      </c>
      <c r="AS578" t="s">
        <v>65</v>
      </c>
      <c r="AT578" t="s">
        <v>66</v>
      </c>
      <c r="AU578" t="s">
        <v>299</v>
      </c>
      <c r="AW578" s="4">
        <f t="shared" si="283"/>
        <v>6</v>
      </c>
      <c r="AX578" s="4">
        <f t="shared" si="284"/>
        <v>4</v>
      </c>
      <c r="AY578" s="4">
        <f t="shared" si="285"/>
        <v>4</v>
      </c>
      <c r="AZ578" s="4">
        <f t="shared" si="286"/>
        <v>2</v>
      </c>
      <c r="BA578" s="4">
        <f t="shared" si="287"/>
        <v>4</v>
      </c>
      <c r="BB578" s="4" t="str">
        <f t="shared" si="288"/>
        <v>0</v>
      </c>
      <c r="BC578" s="4">
        <f t="shared" si="289"/>
        <v>4</v>
      </c>
      <c r="BD578" s="4">
        <f t="shared" si="290"/>
        <v>2</v>
      </c>
      <c r="BE578" s="4">
        <f t="shared" si="291"/>
        <v>4</v>
      </c>
      <c r="BF578" s="4">
        <f t="shared" si="292"/>
        <v>2</v>
      </c>
      <c r="BG578" s="4">
        <f t="shared" si="293"/>
        <v>4</v>
      </c>
      <c r="BH578" s="4">
        <f t="shared" si="294"/>
        <v>4</v>
      </c>
      <c r="BI578" s="4">
        <f t="shared" si="295"/>
        <v>4</v>
      </c>
      <c r="BJ578" s="4">
        <f t="shared" si="296"/>
        <v>2</v>
      </c>
      <c r="BK578" s="4">
        <f t="shared" si="297"/>
        <v>4</v>
      </c>
      <c r="BL578" s="4">
        <f t="shared" si="298"/>
        <v>2</v>
      </c>
      <c r="BM578" s="4">
        <f t="shared" si="299"/>
        <v>4</v>
      </c>
      <c r="BN578" s="4">
        <f t="shared" si="300"/>
        <v>4</v>
      </c>
      <c r="BO578" s="4">
        <f t="shared" si="301"/>
        <v>4</v>
      </c>
      <c r="BP578" s="4">
        <f t="shared" si="302"/>
        <v>4</v>
      </c>
      <c r="BQ578" s="4">
        <f t="shared" si="303"/>
        <v>6</v>
      </c>
      <c r="BR578" s="4">
        <f t="shared" si="304"/>
        <v>4</v>
      </c>
      <c r="BS578" s="4" t="str">
        <f t="shared" si="305"/>
        <v>0</v>
      </c>
      <c r="BT578" s="4">
        <f t="shared" si="306"/>
        <v>4</v>
      </c>
      <c r="BU578" s="4">
        <f t="shared" si="307"/>
        <v>4</v>
      </c>
      <c r="BV578" s="4">
        <f t="shared" si="308"/>
        <v>0</v>
      </c>
      <c r="BW578" s="4">
        <f t="shared" si="309"/>
        <v>6</v>
      </c>
      <c r="BX578" s="4">
        <f t="shared" si="310"/>
        <v>0</v>
      </c>
      <c r="BY578" s="4">
        <f t="shared" si="311"/>
        <v>0</v>
      </c>
      <c r="BZ578" s="37">
        <f t="shared" si="312"/>
        <v>92</v>
      </c>
      <c r="CA578" s="32" t="str">
        <f>VLOOKUP(J:J,'Agent wise'!A:C,3,0)</f>
        <v>Saran S</v>
      </c>
      <c r="CB578" s="32">
        <f t="shared" si="313"/>
        <v>45941</v>
      </c>
      <c r="CC578" t="str">
        <f t="shared" si="314"/>
        <v>Good</v>
      </c>
      <c r="CE578" s="32"/>
      <c r="CJ578">
        <f t="shared" si="315"/>
        <v>11</v>
      </c>
      <c r="CK578">
        <f t="shared" si="316"/>
        <v>10</v>
      </c>
      <c r="CL578">
        <f t="shared" si="317"/>
        <v>2025</v>
      </c>
    </row>
    <row r="579" spans="1:90" ht="15" customHeight="1" x14ac:dyDescent="0.35">
      <c r="A579" s="40">
        <v>45971.522581018522</v>
      </c>
      <c r="B579" t="s">
        <v>51</v>
      </c>
      <c r="C579" t="s">
        <v>214</v>
      </c>
      <c r="D579" t="s">
        <v>53</v>
      </c>
      <c r="E579" s="32">
        <v>45941</v>
      </c>
      <c r="F579" t="s">
        <v>90</v>
      </c>
      <c r="G579" s="32">
        <v>45940</v>
      </c>
      <c r="H579">
        <v>8300213645</v>
      </c>
      <c r="I579">
        <v>196</v>
      </c>
      <c r="J579" t="s">
        <v>533</v>
      </c>
      <c r="K579" t="s">
        <v>71</v>
      </c>
      <c r="L579" t="s">
        <v>72</v>
      </c>
      <c r="M579" t="s">
        <v>59</v>
      </c>
      <c r="N579" t="s">
        <v>59</v>
      </c>
      <c r="O579" t="s">
        <v>60</v>
      </c>
      <c r="P579" t="s">
        <v>59</v>
      </c>
      <c r="Q579" t="s">
        <v>59</v>
      </c>
      <c r="R579" t="s">
        <v>60</v>
      </c>
      <c r="S579" t="s">
        <v>59</v>
      </c>
      <c r="T579" t="s">
        <v>59</v>
      </c>
      <c r="U579" t="s">
        <v>60</v>
      </c>
      <c r="V579" t="s">
        <v>59</v>
      </c>
      <c r="W579" t="s">
        <v>59</v>
      </c>
      <c r="X579" t="s">
        <v>59</v>
      </c>
      <c r="Y579" t="s">
        <v>59</v>
      </c>
      <c r="Z579" t="s">
        <v>59</v>
      </c>
      <c r="AA579" t="s">
        <v>60</v>
      </c>
      <c r="AB579" t="s">
        <v>59</v>
      </c>
      <c r="AC579" t="s">
        <v>61</v>
      </c>
      <c r="AD579" t="s">
        <v>60</v>
      </c>
      <c r="AE579" t="s">
        <v>60</v>
      </c>
      <c r="AF579" t="s">
        <v>61</v>
      </c>
      <c r="AG579" t="s">
        <v>59</v>
      </c>
      <c r="AH579" t="s">
        <v>61</v>
      </c>
      <c r="AI579" t="s">
        <v>61</v>
      </c>
      <c r="AJ579" t="s">
        <v>59</v>
      </c>
      <c r="AK579" t="s">
        <v>61</v>
      </c>
      <c r="AL579" t="s">
        <v>60</v>
      </c>
      <c r="AM579" t="s">
        <v>59</v>
      </c>
      <c r="AN579" t="s">
        <v>59</v>
      </c>
      <c r="AO579" t="s">
        <v>59</v>
      </c>
      <c r="AP579" t="s">
        <v>1319</v>
      </c>
      <c r="AQ579" t="s">
        <v>1320</v>
      </c>
      <c r="AR579" t="s">
        <v>64</v>
      </c>
      <c r="AS579" t="s">
        <v>210</v>
      </c>
      <c r="AT579" t="s">
        <v>211</v>
      </c>
      <c r="AU579" t="s">
        <v>1113</v>
      </c>
      <c r="AW579" s="4">
        <f t="shared" ref="AW579:AW642" si="318">IF(OR(M579="YES", M579="Not Applicable"), AW$1, "0")</f>
        <v>6</v>
      </c>
      <c r="AX579" s="4">
        <f t="shared" ref="AX579:AX642" si="319">IF(OR(N579="YES", N579="Not Applicable"), AX$1, "0")</f>
        <v>4</v>
      </c>
      <c r="AY579" s="4" t="str">
        <f t="shared" ref="AY579:AY642" si="320">IF(OR(O579="YES", O579="Not Applicable"), AY$1, "0")</f>
        <v>0</v>
      </c>
      <c r="AZ579" s="4">
        <f t="shared" ref="AZ579:AZ642" si="321">IF(OR(P579="YES", P579="Not Applicable"), AZ$1, "0")</f>
        <v>2</v>
      </c>
      <c r="BA579" s="4">
        <f t="shared" ref="BA579:BA642" si="322">IF(OR(Q579="YES", Q579="Not Applicable"), BA$1, "0")</f>
        <v>4</v>
      </c>
      <c r="BB579" s="4" t="str">
        <f t="shared" ref="BB579:BB642" si="323">IF(OR(R579="YES", R579="Not Applicable"), BB$1, "0")</f>
        <v>0</v>
      </c>
      <c r="BC579" s="4">
        <f t="shared" ref="BC579:BC642" si="324">IF(OR(S579="YES", S579="Not Applicable"), BC$1, "0")</f>
        <v>4</v>
      </c>
      <c r="BD579" s="4">
        <f t="shared" ref="BD579:BD642" si="325">IF(OR(T579="YES", T579="Not Applicable"), BD$1, "0")</f>
        <v>2</v>
      </c>
      <c r="BE579" s="4" t="str">
        <f t="shared" ref="BE579:BE642" si="326">IF(OR(U579="YES", U579="Not Applicable"), BE$1, "0")</f>
        <v>0</v>
      </c>
      <c r="BF579" s="4">
        <f t="shared" ref="BF579:BF642" si="327">IF(OR(V579="YES", V579="Not Applicable"), BF$1, "0")</f>
        <v>2</v>
      </c>
      <c r="BG579" s="4">
        <f t="shared" ref="BG579:BG642" si="328">IF(OR(W579="YES", W579="Not Applicable"), BG$1, "0")</f>
        <v>4</v>
      </c>
      <c r="BH579" s="4">
        <f t="shared" ref="BH579:BH642" si="329">IF(OR(X579="YES", X579="Not Applicable"), BH$1, "0")</f>
        <v>4</v>
      </c>
      <c r="BI579" s="4">
        <f t="shared" ref="BI579:BI642" si="330">IF(OR(Y579="YES", Y579="Not Applicable"), BI$1, "0")</f>
        <v>4</v>
      </c>
      <c r="BJ579" s="4">
        <f t="shared" ref="BJ579:BJ642" si="331">IF(OR(Z579="YES", Z579="Not Applicable"), BJ$1, "0")</f>
        <v>2</v>
      </c>
      <c r="BK579" s="4" t="str">
        <f t="shared" ref="BK579:BK642" si="332">IF(OR(AA579="YES", AA579="Not Applicable"), BK$1, "0")</f>
        <v>0</v>
      </c>
      <c r="BL579" s="4">
        <f t="shared" ref="BL579:BL642" si="333">IF(OR(AB579="YES", AB579="Not Applicable"), BL$1, "0")</f>
        <v>2</v>
      </c>
      <c r="BM579" s="4">
        <f t="shared" ref="BM579:BM642" si="334">IF(OR(AC579="YES", AC579="Not Applicable"), BM$1, "0")</f>
        <v>4</v>
      </c>
      <c r="BN579" s="4" t="str">
        <f t="shared" ref="BN579:BN642" si="335">IF(OR(AD579="YES", AD579="Not Applicable"), BN$1, "0")</f>
        <v>0</v>
      </c>
      <c r="BO579" s="4" t="str">
        <f t="shared" ref="BO579:BO642" si="336">IF(OR(AE579="YES", AE579="Not Applicable"), BO$1, "0")</f>
        <v>0</v>
      </c>
      <c r="BP579" s="4">
        <f t="shared" ref="BP579:BP642" si="337">IF(OR(AF579="YES", AF579="Not Applicable"), BP$1, "0")</f>
        <v>4</v>
      </c>
      <c r="BQ579" s="4">
        <f t="shared" ref="BQ579:BQ642" si="338">IF(OR(AG579="YES", AG579="Not Applicable"), BQ$1, "0")</f>
        <v>6</v>
      </c>
      <c r="BR579" s="4">
        <f t="shared" ref="BR579:BR642" si="339">IF(OR(AH579="YES", AH579="Not Applicable"), BR$1, "0")</f>
        <v>4</v>
      </c>
      <c r="BS579" s="4">
        <f t="shared" ref="BS579:BS642" si="340">IF(OR(AI579="YES", AI579="Not Applicable"), BS$1, "0")</f>
        <v>4</v>
      </c>
      <c r="BT579" s="4">
        <f t="shared" ref="BT579:BT642" si="341">IF(OR(AJ579="YES", AJ579="Not Applicable"), BT$1, "0")</f>
        <v>4</v>
      </c>
      <c r="BU579" s="4">
        <f t="shared" ref="BU579:BU642" si="342">IF(OR(AK579="YES", AK579="Not Applicable"), BU$1, "0")</f>
        <v>4</v>
      </c>
      <c r="BV579" s="4" t="str">
        <f t="shared" ref="BV579:BV642" si="343">IF(OR(AL579="YES", AL579="Not Applicable"), BV$1, "0")</f>
        <v>0</v>
      </c>
      <c r="BW579" s="4">
        <f t="shared" ref="BW579:BW642" si="344">IF(OR(AM579="YES", AM579="Not Applicable"), BW$1, "0")</f>
        <v>6</v>
      </c>
      <c r="BX579" s="4">
        <f t="shared" ref="BX579:BX642" si="345">IF(OR(AN579="YES", AN579="Not Applicable"), BX$1, "0")</f>
        <v>0</v>
      </c>
      <c r="BY579" s="4">
        <f t="shared" ref="BY579:BY642" si="346">IF(OR(AO579="YES", AO579="Not Applicable"), BY$1, "0")</f>
        <v>0</v>
      </c>
      <c r="BZ579" s="37">
        <f t="shared" ref="BZ579:BZ642" si="347">SUM(AW579:BY579)</f>
        <v>76</v>
      </c>
      <c r="CA579" s="32" t="str">
        <f>VLOOKUP(J:J,'Agent wise'!A:C,3,0)</f>
        <v xml:space="preserve">Shiny </v>
      </c>
      <c r="CB579" s="32">
        <f t="shared" ref="CB579:CB642" si="348">INT(E579)</f>
        <v>45941</v>
      </c>
      <c r="CC579" t="str">
        <f t="shared" ref="CC579:CC642" si="349">IF(BZ579&gt;=94.5, "Excellent", IF(BZ579&gt;89.5, "Good", IF(BZ579&gt;84.5, "Average", "FC")))</f>
        <v>FC</v>
      </c>
      <c r="CE579" s="32"/>
      <c r="CJ579">
        <f t="shared" si="315"/>
        <v>11</v>
      </c>
      <c r="CK579">
        <f t="shared" si="316"/>
        <v>10</v>
      </c>
      <c r="CL579">
        <f t="shared" si="317"/>
        <v>2025</v>
      </c>
    </row>
    <row r="580" spans="1:90" ht="15" customHeight="1" x14ac:dyDescent="0.35">
      <c r="A580" s="40">
        <v>45971.542037037027</v>
      </c>
      <c r="B580" t="s">
        <v>100</v>
      </c>
      <c r="C580" t="s">
        <v>214</v>
      </c>
      <c r="D580" t="s">
        <v>101</v>
      </c>
      <c r="E580" s="32">
        <v>45941</v>
      </c>
      <c r="F580" t="s">
        <v>54</v>
      </c>
      <c r="G580" s="32">
        <v>45940</v>
      </c>
      <c r="H580">
        <v>6380375436</v>
      </c>
      <c r="I580">
        <v>139</v>
      </c>
      <c r="J580" t="s">
        <v>466</v>
      </c>
      <c r="K580" t="s">
        <v>71</v>
      </c>
      <c r="L580" t="s">
        <v>72</v>
      </c>
      <c r="M580" t="s">
        <v>59</v>
      </c>
      <c r="N580" t="s">
        <v>59</v>
      </c>
      <c r="O580" t="s">
        <v>59</v>
      </c>
      <c r="P580" t="s">
        <v>59</v>
      </c>
      <c r="Q580" t="s">
        <v>59</v>
      </c>
      <c r="R580" t="s">
        <v>60</v>
      </c>
      <c r="S580" t="s">
        <v>59</v>
      </c>
      <c r="T580" t="s">
        <v>59</v>
      </c>
      <c r="U580" t="s">
        <v>59</v>
      </c>
      <c r="V580" t="s">
        <v>59</v>
      </c>
      <c r="W580" t="s">
        <v>59</v>
      </c>
      <c r="X580" t="s">
        <v>59</v>
      </c>
      <c r="Y580" t="s">
        <v>59</v>
      </c>
      <c r="Z580" t="s">
        <v>59</v>
      </c>
      <c r="AA580" t="s">
        <v>59</v>
      </c>
      <c r="AB580" t="s">
        <v>59</v>
      </c>
      <c r="AC580" t="s">
        <v>59</v>
      </c>
      <c r="AD580" t="s">
        <v>59</v>
      </c>
      <c r="AE580" t="s">
        <v>59</v>
      </c>
      <c r="AF580" t="s">
        <v>59</v>
      </c>
      <c r="AG580" t="s">
        <v>59</v>
      </c>
      <c r="AH580" t="s">
        <v>59</v>
      </c>
      <c r="AI580" t="s">
        <v>61</v>
      </c>
      <c r="AJ580" t="s">
        <v>59</v>
      </c>
      <c r="AK580" t="s">
        <v>59</v>
      </c>
      <c r="AL580" t="s">
        <v>59</v>
      </c>
      <c r="AM580" t="s">
        <v>59</v>
      </c>
      <c r="AN580" t="s">
        <v>59</v>
      </c>
      <c r="AO580" t="s">
        <v>60</v>
      </c>
      <c r="AP580" t="s">
        <v>544</v>
      </c>
      <c r="AQ580" t="s">
        <v>1321</v>
      </c>
      <c r="AR580" t="s">
        <v>64</v>
      </c>
      <c r="AS580" t="s">
        <v>142</v>
      </c>
      <c r="AT580" t="s">
        <v>471</v>
      </c>
      <c r="AU580" t="s">
        <v>299</v>
      </c>
      <c r="AW580" s="4">
        <f t="shared" si="318"/>
        <v>6</v>
      </c>
      <c r="AX580" s="4">
        <f t="shared" si="319"/>
        <v>4</v>
      </c>
      <c r="AY580" s="4">
        <f t="shared" si="320"/>
        <v>4</v>
      </c>
      <c r="AZ580" s="4">
        <f t="shared" si="321"/>
        <v>2</v>
      </c>
      <c r="BA580" s="4">
        <f t="shared" si="322"/>
        <v>4</v>
      </c>
      <c r="BB580" s="4" t="str">
        <f t="shared" si="323"/>
        <v>0</v>
      </c>
      <c r="BC580" s="4">
        <f t="shared" si="324"/>
        <v>4</v>
      </c>
      <c r="BD580" s="4">
        <f t="shared" si="325"/>
        <v>2</v>
      </c>
      <c r="BE580" s="4">
        <f t="shared" si="326"/>
        <v>4</v>
      </c>
      <c r="BF580" s="4">
        <f t="shared" si="327"/>
        <v>2</v>
      </c>
      <c r="BG580" s="4">
        <f t="shared" si="328"/>
        <v>4</v>
      </c>
      <c r="BH580" s="4">
        <f t="shared" si="329"/>
        <v>4</v>
      </c>
      <c r="BI580" s="4">
        <f t="shared" si="330"/>
        <v>4</v>
      </c>
      <c r="BJ580" s="4">
        <f t="shared" si="331"/>
        <v>2</v>
      </c>
      <c r="BK580" s="4">
        <f t="shared" si="332"/>
        <v>4</v>
      </c>
      <c r="BL580" s="4">
        <f t="shared" si="333"/>
        <v>2</v>
      </c>
      <c r="BM580" s="4">
        <f t="shared" si="334"/>
        <v>4</v>
      </c>
      <c r="BN580" s="4">
        <f t="shared" si="335"/>
        <v>4</v>
      </c>
      <c r="BO580" s="4">
        <f t="shared" si="336"/>
        <v>4</v>
      </c>
      <c r="BP580" s="4">
        <f t="shared" si="337"/>
        <v>4</v>
      </c>
      <c r="BQ580" s="4">
        <f t="shared" si="338"/>
        <v>6</v>
      </c>
      <c r="BR580" s="4">
        <f t="shared" si="339"/>
        <v>4</v>
      </c>
      <c r="BS580" s="4">
        <f t="shared" si="340"/>
        <v>4</v>
      </c>
      <c r="BT580" s="4">
        <f t="shared" si="341"/>
        <v>4</v>
      </c>
      <c r="BU580" s="4">
        <f t="shared" si="342"/>
        <v>4</v>
      </c>
      <c r="BV580" s="4">
        <f t="shared" si="343"/>
        <v>0</v>
      </c>
      <c r="BW580" s="4">
        <f t="shared" si="344"/>
        <v>6</v>
      </c>
      <c r="BX580" s="4">
        <f t="shared" si="345"/>
        <v>0</v>
      </c>
      <c r="BY580" s="4" t="str">
        <f t="shared" si="346"/>
        <v>0</v>
      </c>
      <c r="BZ580" s="37">
        <f t="shared" si="347"/>
        <v>96</v>
      </c>
      <c r="CA580" s="32" t="str">
        <f>VLOOKUP(J:J,'Agent wise'!A:C,3,0)</f>
        <v>Adharsh</v>
      </c>
      <c r="CB580" s="32">
        <f t="shared" si="348"/>
        <v>45941</v>
      </c>
      <c r="CC580" t="str">
        <f t="shared" si="349"/>
        <v>Excellent</v>
      </c>
      <c r="CE580" s="32"/>
      <c r="CJ580">
        <f t="shared" ref="CJ580:CJ643" si="350">DAY(E580)</f>
        <v>11</v>
      </c>
      <c r="CK580">
        <f t="shared" ref="CK580:CK643" si="351">MONTH(E580)</f>
        <v>10</v>
      </c>
      <c r="CL580">
        <f t="shared" ref="CL580:CL643" si="352">YEAR(E580)</f>
        <v>2025</v>
      </c>
    </row>
    <row r="581" spans="1:90" ht="15" customHeight="1" x14ac:dyDescent="0.35">
      <c r="A581" s="40">
        <v>45971.550717592603</v>
      </c>
      <c r="B581" t="s">
        <v>100</v>
      </c>
      <c r="C581" t="s">
        <v>214</v>
      </c>
      <c r="D581" t="s">
        <v>101</v>
      </c>
      <c r="E581" s="32">
        <v>45941</v>
      </c>
      <c r="F581" t="s">
        <v>54</v>
      </c>
      <c r="G581" s="32">
        <v>45940</v>
      </c>
      <c r="H581">
        <v>7397083551</v>
      </c>
      <c r="I581">
        <v>145</v>
      </c>
      <c r="J581" t="s">
        <v>466</v>
      </c>
      <c r="K581" t="s">
        <v>71</v>
      </c>
      <c r="L581" t="s">
        <v>72</v>
      </c>
      <c r="M581" t="s">
        <v>59</v>
      </c>
      <c r="N581" t="s">
        <v>59</v>
      </c>
      <c r="O581" t="s">
        <v>59</v>
      </c>
      <c r="P581" t="s">
        <v>59</v>
      </c>
      <c r="Q581" t="s">
        <v>59</v>
      </c>
      <c r="R581" t="s">
        <v>60</v>
      </c>
      <c r="S581" t="s">
        <v>59</v>
      </c>
      <c r="T581" t="s">
        <v>59</v>
      </c>
      <c r="U581" t="s">
        <v>59</v>
      </c>
      <c r="V581" t="s">
        <v>59</v>
      </c>
      <c r="W581" t="s">
        <v>59</v>
      </c>
      <c r="X581" t="s">
        <v>59</v>
      </c>
      <c r="Y581" t="s">
        <v>59</v>
      </c>
      <c r="Z581" t="s">
        <v>59</v>
      </c>
      <c r="AA581" t="s">
        <v>60</v>
      </c>
      <c r="AB581" t="s">
        <v>59</v>
      </c>
      <c r="AC581" t="s">
        <v>59</v>
      </c>
      <c r="AD581" t="s">
        <v>59</v>
      </c>
      <c r="AE581" t="s">
        <v>59</v>
      </c>
      <c r="AF581" t="s">
        <v>59</v>
      </c>
      <c r="AG581" t="s">
        <v>59</v>
      </c>
      <c r="AH581" t="s">
        <v>59</v>
      </c>
      <c r="AI581" t="s">
        <v>61</v>
      </c>
      <c r="AJ581" t="s">
        <v>59</v>
      </c>
      <c r="AK581" t="s">
        <v>59</v>
      </c>
      <c r="AL581" t="s">
        <v>59</v>
      </c>
      <c r="AM581" t="s">
        <v>59</v>
      </c>
      <c r="AN581" t="s">
        <v>59</v>
      </c>
      <c r="AO581" t="s">
        <v>60</v>
      </c>
      <c r="AP581" t="s">
        <v>1322</v>
      </c>
      <c r="AQ581" t="s">
        <v>1323</v>
      </c>
      <c r="AR581" t="s">
        <v>64</v>
      </c>
      <c r="AS581" t="s">
        <v>175</v>
      </c>
      <c r="AT581" t="s">
        <v>167</v>
      </c>
      <c r="AU581" t="s">
        <v>299</v>
      </c>
      <c r="AW581" s="4">
        <f t="shared" si="318"/>
        <v>6</v>
      </c>
      <c r="AX581" s="4">
        <f t="shared" si="319"/>
        <v>4</v>
      </c>
      <c r="AY581" s="4">
        <f t="shared" si="320"/>
        <v>4</v>
      </c>
      <c r="AZ581" s="4">
        <f t="shared" si="321"/>
        <v>2</v>
      </c>
      <c r="BA581" s="4">
        <f t="shared" si="322"/>
        <v>4</v>
      </c>
      <c r="BB581" s="4" t="str">
        <f t="shared" si="323"/>
        <v>0</v>
      </c>
      <c r="BC581" s="4">
        <f t="shared" si="324"/>
        <v>4</v>
      </c>
      <c r="BD581" s="4">
        <f t="shared" si="325"/>
        <v>2</v>
      </c>
      <c r="BE581" s="4">
        <f t="shared" si="326"/>
        <v>4</v>
      </c>
      <c r="BF581" s="4">
        <f t="shared" si="327"/>
        <v>2</v>
      </c>
      <c r="BG581" s="4">
        <f t="shared" si="328"/>
        <v>4</v>
      </c>
      <c r="BH581" s="4">
        <f t="shared" si="329"/>
        <v>4</v>
      </c>
      <c r="BI581" s="4">
        <f t="shared" si="330"/>
        <v>4</v>
      </c>
      <c r="BJ581" s="4">
        <f t="shared" si="331"/>
        <v>2</v>
      </c>
      <c r="BK581" s="4" t="str">
        <f t="shared" si="332"/>
        <v>0</v>
      </c>
      <c r="BL581" s="4">
        <f t="shared" si="333"/>
        <v>2</v>
      </c>
      <c r="BM581" s="4">
        <f t="shared" si="334"/>
        <v>4</v>
      </c>
      <c r="BN581" s="4">
        <f t="shared" si="335"/>
        <v>4</v>
      </c>
      <c r="BO581" s="4">
        <f t="shared" si="336"/>
        <v>4</v>
      </c>
      <c r="BP581" s="4">
        <f t="shared" si="337"/>
        <v>4</v>
      </c>
      <c r="BQ581" s="4">
        <f t="shared" si="338"/>
        <v>6</v>
      </c>
      <c r="BR581" s="4">
        <f t="shared" si="339"/>
        <v>4</v>
      </c>
      <c r="BS581" s="4">
        <f t="shared" si="340"/>
        <v>4</v>
      </c>
      <c r="BT581" s="4">
        <f t="shared" si="341"/>
        <v>4</v>
      </c>
      <c r="BU581" s="4">
        <f t="shared" si="342"/>
        <v>4</v>
      </c>
      <c r="BV581" s="4">
        <f t="shared" si="343"/>
        <v>0</v>
      </c>
      <c r="BW581" s="4">
        <f t="shared" si="344"/>
        <v>6</v>
      </c>
      <c r="BX581" s="4">
        <f t="shared" si="345"/>
        <v>0</v>
      </c>
      <c r="BY581" s="4" t="str">
        <f t="shared" si="346"/>
        <v>0</v>
      </c>
      <c r="BZ581" s="37">
        <f t="shared" si="347"/>
        <v>92</v>
      </c>
      <c r="CA581" s="32" t="str">
        <f>VLOOKUP(J:J,'Agent wise'!A:C,3,0)</f>
        <v>Adharsh</v>
      </c>
      <c r="CB581" s="32">
        <f t="shared" si="348"/>
        <v>45941</v>
      </c>
      <c r="CC581" t="str">
        <f t="shared" si="349"/>
        <v>Good</v>
      </c>
      <c r="CE581" s="32"/>
      <c r="CJ581">
        <f t="shared" si="350"/>
        <v>11</v>
      </c>
      <c r="CK581">
        <f t="shared" si="351"/>
        <v>10</v>
      </c>
      <c r="CL581">
        <f t="shared" si="352"/>
        <v>2025</v>
      </c>
    </row>
    <row r="582" spans="1:90" ht="15" customHeight="1" x14ac:dyDescent="0.35">
      <c r="A582" s="40">
        <v>45971.576562499999</v>
      </c>
      <c r="B582" t="s">
        <v>100</v>
      </c>
      <c r="C582" t="s">
        <v>214</v>
      </c>
      <c r="D582" t="s">
        <v>101</v>
      </c>
      <c r="E582" s="32">
        <v>45941</v>
      </c>
      <c r="F582" t="s">
        <v>54</v>
      </c>
      <c r="G582" s="32">
        <v>45940</v>
      </c>
      <c r="H582">
        <v>9562424342</v>
      </c>
      <c r="I582">
        <v>139</v>
      </c>
      <c r="J582" t="s">
        <v>575</v>
      </c>
      <c r="K582" t="s">
        <v>57</v>
      </c>
      <c r="L582" t="s">
        <v>58</v>
      </c>
      <c r="M582" t="s">
        <v>59</v>
      </c>
      <c r="N582" t="s">
        <v>59</v>
      </c>
      <c r="O582" t="s">
        <v>59</v>
      </c>
      <c r="P582" t="s">
        <v>59</v>
      </c>
      <c r="Q582" t="s">
        <v>59</v>
      </c>
      <c r="R582" t="s">
        <v>59</v>
      </c>
      <c r="S582" t="s">
        <v>59</v>
      </c>
      <c r="T582" t="s">
        <v>59</v>
      </c>
      <c r="U582" t="s">
        <v>59</v>
      </c>
      <c r="V582" t="s">
        <v>59</v>
      </c>
      <c r="W582" t="s">
        <v>59</v>
      </c>
      <c r="X582" t="s">
        <v>59</v>
      </c>
      <c r="Y582" t="s">
        <v>59</v>
      </c>
      <c r="Z582" t="s">
        <v>59</v>
      </c>
      <c r="AA582" t="s">
        <v>60</v>
      </c>
      <c r="AB582" t="s">
        <v>59</v>
      </c>
      <c r="AC582" t="s">
        <v>59</v>
      </c>
      <c r="AD582" t="s">
        <v>61</v>
      </c>
      <c r="AE582" t="s">
        <v>59</v>
      </c>
      <c r="AF582" t="s">
        <v>59</v>
      </c>
      <c r="AG582" t="s">
        <v>60</v>
      </c>
      <c r="AH582" t="s">
        <v>59</v>
      </c>
      <c r="AI582" t="s">
        <v>61</v>
      </c>
      <c r="AJ582" t="s">
        <v>59</v>
      </c>
      <c r="AK582" t="s">
        <v>59</v>
      </c>
      <c r="AL582" t="s">
        <v>59</v>
      </c>
      <c r="AM582" t="s">
        <v>59</v>
      </c>
      <c r="AN582" t="s">
        <v>59</v>
      </c>
      <c r="AO582" t="s">
        <v>59</v>
      </c>
      <c r="AP582" t="s">
        <v>1085</v>
      </c>
      <c r="AQ582" t="s">
        <v>1324</v>
      </c>
      <c r="AR582" t="s">
        <v>64</v>
      </c>
      <c r="AS582" t="s">
        <v>175</v>
      </c>
      <c r="AT582" t="s">
        <v>167</v>
      </c>
      <c r="AU582" t="s">
        <v>299</v>
      </c>
      <c r="AW582" s="4">
        <f t="shared" si="318"/>
        <v>6</v>
      </c>
      <c r="AX582" s="4">
        <f t="shared" si="319"/>
        <v>4</v>
      </c>
      <c r="AY582" s="4">
        <f t="shared" si="320"/>
        <v>4</v>
      </c>
      <c r="AZ582" s="4">
        <f t="shared" si="321"/>
        <v>2</v>
      </c>
      <c r="BA582" s="4">
        <f t="shared" si="322"/>
        <v>4</v>
      </c>
      <c r="BB582" s="4">
        <f t="shared" si="323"/>
        <v>4</v>
      </c>
      <c r="BC582" s="4">
        <f t="shared" si="324"/>
        <v>4</v>
      </c>
      <c r="BD582" s="4">
        <f t="shared" si="325"/>
        <v>2</v>
      </c>
      <c r="BE582" s="4">
        <f t="shared" si="326"/>
        <v>4</v>
      </c>
      <c r="BF582" s="4">
        <f t="shared" si="327"/>
        <v>2</v>
      </c>
      <c r="BG582" s="4">
        <f t="shared" si="328"/>
        <v>4</v>
      </c>
      <c r="BH582" s="4">
        <f t="shared" si="329"/>
        <v>4</v>
      </c>
      <c r="BI582" s="4">
        <f t="shared" si="330"/>
        <v>4</v>
      </c>
      <c r="BJ582" s="4">
        <f t="shared" si="331"/>
        <v>2</v>
      </c>
      <c r="BK582" s="4" t="str">
        <f t="shared" si="332"/>
        <v>0</v>
      </c>
      <c r="BL582" s="4">
        <f t="shared" si="333"/>
        <v>2</v>
      </c>
      <c r="BM582" s="4">
        <f t="shared" si="334"/>
        <v>4</v>
      </c>
      <c r="BN582" s="4">
        <f t="shared" si="335"/>
        <v>4</v>
      </c>
      <c r="BO582" s="4">
        <f t="shared" si="336"/>
        <v>4</v>
      </c>
      <c r="BP582" s="4">
        <f t="shared" si="337"/>
        <v>4</v>
      </c>
      <c r="BQ582" s="4" t="str">
        <f t="shared" si="338"/>
        <v>0</v>
      </c>
      <c r="BR582" s="4">
        <f t="shared" si="339"/>
        <v>4</v>
      </c>
      <c r="BS582" s="4">
        <f t="shared" si="340"/>
        <v>4</v>
      </c>
      <c r="BT582" s="4">
        <f t="shared" si="341"/>
        <v>4</v>
      </c>
      <c r="BU582" s="4">
        <f t="shared" si="342"/>
        <v>4</v>
      </c>
      <c r="BV582" s="4">
        <f t="shared" si="343"/>
        <v>0</v>
      </c>
      <c r="BW582" s="4">
        <f t="shared" si="344"/>
        <v>6</v>
      </c>
      <c r="BX582" s="4">
        <f t="shared" si="345"/>
        <v>0</v>
      </c>
      <c r="BY582" s="4">
        <f t="shared" si="346"/>
        <v>0</v>
      </c>
      <c r="BZ582" s="37">
        <f t="shared" si="347"/>
        <v>90</v>
      </c>
      <c r="CA582" s="32" t="str">
        <f>VLOOKUP(J:J,'Agent wise'!A:C,3,0)</f>
        <v>Shakeer</v>
      </c>
      <c r="CB582" s="32">
        <f t="shared" si="348"/>
        <v>45941</v>
      </c>
      <c r="CC582" t="str">
        <f t="shared" si="349"/>
        <v>Good</v>
      </c>
      <c r="CE582" s="32"/>
      <c r="CJ582">
        <f t="shared" si="350"/>
        <v>11</v>
      </c>
      <c r="CK582">
        <f t="shared" si="351"/>
        <v>10</v>
      </c>
      <c r="CL582">
        <f t="shared" si="352"/>
        <v>2025</v>
      </c>
    </row>
    <row r="583" spans="1:90" ht="15" customHeight="1" x14ac:dyDescent="0.35">
      <c r="A583" s="40">
        <v>45971.587962962964</v>
      </c>
      <c r="B583" t="s">
        <v>100</v>
      </c>
      <c r="C583" t="s">
        <v>214</v>
      </c>
      <c r="D583" t="s">
        <v>101</v>
      </c>
      <c r="E583" s="32">
        <v>45941</v>
      </c>
      <c r="F583" t="s">
        <v>54</v>
      </c>
      <c r="G583" s="32">
        <v>45940</v>
      </c>
      <c r="H583">
        <v>8281513974</v>
      </c>
      <c r="I583">
        <v>136</v>
      </c>
      <c r="J583" t="s">
        <v>575</v>
      </c>
      <c r="K583" t="s">
        <v>57</v>
      </c>
      <c r="L583" t="s">
        <v>58</v>
      </c>
      <c r="M583" t="s">
        <v>59</v>
      </c>
      <c r="N583" t="s">
        <v>59</v>
      </c>
      <c r="O583" t="s">
        <v>59</v>
      </c>
      <c r="P583" t="s">
        <v>59</v>
      </c>
      <c r="Q583" t="s">
        <v>59</v>
      </c>
      <c r="R583" t="s">
        <v>60</v>
      </c>
      <c r="S583" t="s">
        <v>59</v>
      </c>
      <c r="T583" t="s">
        <v>59</v>
      </c>
      <c r="U583" t="s">
        <v>59</v>
      </c>
      <c r="V583" t="s">
        <v>59</v>
      </c>
      <c r="W583" t="s">
        <v>59</v>
      </c>
      <c r="X583" t="s">
        <v>59</v>
      </c>
      <c r="Y583" t="s">
        <v>59</v>
      </c>
      <c r="Z583" t="s">
        <v>60</v>
      </c>
      <c r="AA583" t="s">
        <v>59</v>
      </c>
      <c r="AB583" t="s">
        <v>59</v>
      </c>
      <c r="AC583" t="s">
        <v>60</v>
      </c>
      <c r="AD583" t="s">
        <v>61</v>
      </c>
      <c r="AE583" t="s">
        <v>59</v>
      </c>
      <c r="AF583" t="s">
        <v>59</v>
      </c>
      <c r="AG583" t="s">
        <v>60</v>
      </c>
      <c r="AH583" t="s">
        <v>59</v>
      </c>
      <c r="AI583" t="s">
        <v>61</v>
      </c>
      <c r="AJ583" t="s">
        <v>59</v>
      </c>
      <c r="AK583" t="s">
        <v>59</v>
      </c>
      <c r="AL583" t="s">
        <v>59</v>
      </c>
      <c r="AM583" t="s">
        <v>59</v>
      </c>
      <c r="AN583" t="s">
        <v>59</v>
      </c>
      <c r="AO583" t="s">
        <v>59</v>
      </c>
      <c r="AP583" t="s">
        <v>1325</v>
      </c>
      <c r="AQ583" s="1" t="s">
        <v>1326</v>
      </c>
      <c r="AR583" t="s">
        <v>64</v>
      </c>
      <c r="AS583" t="s">
        <v>175</v>
      </c>
      <c r="AT583" t="s">
        <v>558</v>
      </c>
      <c r="AU583" t="s">
        <v>387</v>
      </c>
      <c r="AW583" s="4">
        <f t="shared" si="318"/>
        <v>6</v>
      </c>
      <c r="AX583" s="4">
        <f t="shared" si="319"/>
        <v>4</v>
      </c>
      <c r="AY583" s="4">
        <f t="shared" si="320"/>
        <v>4</v>
      </c>
      <c r="AZ583" s="4">
        <f t="shared" si="321"/>
        <v>2</v>
      </c>
      <c r="BA583" s="4">
        <f t="shared" si="322"/>
        <v>4</v>
      </c>
      <c r="BB583" s="4" t="str">
        <f t="shared" si="323"/>
        <v>0</v>
      </c>
      <c r="BC583" s="4">
        <f t="shared" si="324"/>
        <v>4</v>
      </c>
      <c r="BD583" s="4">
        <f t="shared" si="325"/>
        <v>2</v>
      </c>
      <c r="BE583" s="4">
        <f t="shared" si="326"/>
        <v>4</v>
      </c>
      <c r="BF583" s="4">
        <f t="shared" si="327"/>
        <v>2</v>
      </c>
      <c r="BG583" s="4">
        <f t="shared" si="328"/>
        <v>4</v>
      </c>
      <c r="BH583" s="4">
        <f t="shared" si="329"/>
        <v>4</v>
      </c>
      <c r="BI583" s="4">
        <f t="shared" si="330"/>
        <v>4</v>
      </c>
      <c r="BJ583" s="4" t="str">
        <f t="shared" si="331"/>
        <v>0</v>
      </c>
      <c r="BK583" s="4">
        <f t="shared" si="332"/>
        <v>4</v>
      </c>
      <c r="BL583" s="4">
        <f t="shared" si="333"/>
        <v>2</v>
      </c>
      <c r="BM583" s="4" t="str">
        <f t="shared" si="334"/>
        <v>0</v>
      </c>
      <c r="BN583" s="4">
        <f t="shared" si="335"/>
        <v>4</v>
      </c>
      <c r="BO583" s="4">
        <f t="shared" si="336"/>
        <v>4</v>
      </c>
      <c r="BP583" s="4">
        <f t="shared" si="337"/>
        <v>4</v>
      </c>
      <c r="BQ583" s="4" t="str">
        <f t="shared" si="338"/>
        <v>0</v>
      </c>
      <c r="BR583" s="4">
        <f t="shared" si="339"/>
        <v>4</v>
      </c>
      <c r="BS583" s="4">
        <f t="shared" si="340"/>
        <v>4</v>
      </c>
      <c r="BT583" s="4">
        <f t="shared" si="341"/>
        <v>4</v>
      </c>
      <c r="BU583" s="4">
        <f t="shared" si="342"/>
        <v>4</v>
      </c>
      <c r="BV583" s="4">
        <f t="shared" si="343"/>
        <v>0</v>
      </c>
      <c r="BW583" s="4">
        <f t="shared" si="344"/>
        <v>6</v>
      </c>
      <c r="BX583" s="4">
        <f t="shared" si="345"/>
        <v>0</v>
      </c>
      <c r="BY583" s="4">
        <f t="shared" si="346"/>
        <v>0</v>
      </c>
      <c r="BZ583" s="37">
        <f t="shared" si="347"/>
        <v>84</v>
      </c>
      <c r="CA583" s="32" t="str">
        <f>VLOOKUP(J:J,'Agent wise'!A:C,3,0)</f>
        <v>Shakeer</v>
      </c>
      <c r="CB583" s="32">
        <f t="shared" si="348"/>
        <v>45941</v>
      </c>
      <c r="CC583" t="str">
        <f t="shared" si="349"/>
        <v>FC</v>
      </c>
      <c r="CE583" s="32"/>
      <c r="CJ583">
        <f t="shared" si="350"/>
        <v>11</v>
      </c>
      <c r="CK583">
        <f t="shared" si="351"/>
        <v>10</v>
      </c>
      <c r="CL583">
        <f t="shared" si="352"/>
        <v>2025</v>
      </c>
    </row>
    <row r="584" spans="1:90" ht="15" customHeight="1" x14ac:dyDescent="0.35">
      <c r="A584" s="40">
        <v>45971.599490740737</v>
      </c>
      <c r="B584" t="s">
        <v>100</v>
      </c>
      <c r="C584" t="s">
        <v>214</v>
      </c>
      <c r="D584" t="s">
        <v>101</v>
      </c>
      <c r="E584" s="32">
        <v>45941</v>
      </c>
      <c r="F584" t="s">
        <v>54</v>
      </c>
      <c r="G584" s="32">
        <v>45940</v>
      </c>
      <c r="H584">
        <v>9446200940</v>
      </c>
      <c r="I584">
        <v>153</v>
      </c>
      <c r="J584" t="s">
        <v>70</v>
      </c>
      <c r="K584" t="s">
        <v>57</v>
      </c>
      <c r="L584" t="s">
        <v>58</v>
      </c>
      <c r="M584" t="s">
        <v>59</v>
      </c>
      <c r="N584" t="s">
        <v>59</v>
      </c>
      <c r="O584" t="s">
        <v>59</v>
      </c>
      <c r="P584" t="s">
        <v>59</v>
      </c>
      <c r="Q584" t="s">
        <v>59</v>
      </c>
      <c r="R584" t="s">
        <v>60</v>
      </c>
      <c r="S584" t="s">
        <v>59</v>
      </c>
      <c r="T584" t="s">
        <v>59</v>
      </c>
      <c r="U584" t="s">
        <v>59</v>
      </c>
      <c r="V584" t="s">
        <v>59</v>
      </c>
      <c r="W584" t="s">
        <v>59</v>
      </c>
      <c r="X584" t="s">
        <v>59</v>
      </c>
      <c r="Y584" t="s">
        <v>59</v>
      </c>
      <c r="Z584" t="s">
        <v>59</v>
      </c>
      <c r="AA584" t="s">
        <v>60</v>
      </c>
      <c r="AB584" t="s">
        <v>59</v>
      </c>
      <c r="AC584" t="s">
        <v>59</v>
      </c>
      <c r="AD584" t="s">
        <v>59</v>
      </c>
      <c r="AE584" t="s">
        <v>59</v>
      </c>
      <c r="AF584" t="s">
        <v>59</v>
      </c>
      <c r="AG584" t="s">
        <v>59</v>
      </c>
      <c r="AH584" t="s">
        <v>59</v>
      </c>
      <c r="AI584" t="s">
        <v>61</v>
      </c>
      <c r="AJ584" t="s">
        <v>59</v>
      </c>
      <c r="AK584" t="s">
        <v>59</v>
      </c>
      <c r="AL584" t="s">
        <v>59</v>
      </c>
      <c r="AM584" t="s">
        <v>59</v>
      </c>
      <c r="AN584" t="s">
        <v>59</v>
      </c>
      <c r="AO584" t="s">
        <v>59</v>
      </c>
      <c r="AP584" t="s">
        <v>1039</v>
      </c>
      <c r="AQ584" s="1" t="s">
        <v>1327</v>
      </c>
      <c r="AR584" t="s">
        <v>64</v>
      </c>
      <c r="AS584" t="s">
        <v>171</v>
      </c>
      <c r="AT584" t="s">
        <v>190</v>
      </c>
      <c r="AU584" t="s">
        <v>299</v>
      </c>
      <c r="AW584" s="4">
        <f t="shared" si="318"/>
        <v>6</v>
      </c>
      <c r="AX584" s="4">
        <f t="shared" si="319"/>
        <v>4</v>
      </c>
      <c r="AY584" s="4">
        <f t="shared" si="320"/>
        <v>4</v>
      </c>
      <c r="AZ584" s="4">
        <f t="shared" si="321"/>
        <v>2</v>
      </c>
      <c r="BA584" s="4">
        <f t="shared" si="322"/>
        <v>4</v>
      </c>
      <c r="BB584" s="4" t="str">
        <f t="shared" si="323"/>
        <v>0</v>
      </c>
      <c r="BC584" s="4">
        <f t="shared" si="324"/>
        <v>4</v>
      </c>
      <c r="BD584" s="4">
        <f t="shared" si="325"/>
        <v>2</v>
      </c>
      <c r="BE584" s="4">
        <f t="shared" si="326"/>
        <v>4</v>
      </c>
      <c r="BF584" s="4">
        <f t="shared" si="327"/>
        <v>2</v>
      </c>
      <c r="BG584" s="4">
        <f t="shared" si="328"/>
        <v>4</v>
      </c>
      <c r="BH584" s="4">
        <f t="shared" si="329"/>
        <v>4</v>
      </c>
      <c r="BI584" s="4">
        <f t="shared" si="330"/>
        <v>4</v>
      </c>
      <c r="BJ584" s="4">
        <f t="shared" si="331"/>
        <v>2</v>
      </c>
      <c r="BK584" s="4" t="str">
        <f t="shared" si="332"/>
        <v>0</v>
      </c>
      <c r="BL584" s="4">
        <f t="shared" si="333"/>
        <v>2</v>
      </c>
      <c r="BM584" s="4">
        <f t="shared" si="334"/>
        <v>4</v>
      </c>
      <c r="BN584" s="4">
        <f t="shared" si="335"/>
        <v>4</v>
      </c>
      <c r="BO584" s="4">
        <f t="shared" si="336"/>
        <v>4</v>
      </c>
      <c r="BP584" s="4">
        <f t="shared" si="337"/>
        <v>4</v>
      </c>
      <c r="BQ584" s="4">
        <f t="shared" si="338"/>
        <v>6</v>
      </c>
      <c r="BR584" s="4">
        <f t="shared" si="339"/>
        <v>4</v>
      </c>
      <c r="BS584" s="4">
        <f t="shared" si="340"/>
        <v>4</v>
      </c>
      <c r="BT584" s="4">
        <f t="shared" si="341"/>
        <v>4</v>
      </c>
      <c r="BU584" s="4">
        <f t="shared" si="342"/>
        <v>4</v>
      </c>
      <c r="BV584" s="4">
        <f t="shared" si="343"/>
        <v>0</v>
      </c>
      <c r="BW584" s="4">
        <f t="shared" si="344"/>
        <v>6</v>
      </c>
      <c r="BX584" s="4">
        <f t="shared" si="345"/>
        <v>0</v>
      </c>
      <c r="BY584" s="4">
        <f t="shared" si="346"/>
        <v>0</v>
      </c>
      <c r="BZ584" s="37">
        <f t="shared" si="347"/>
        <v>92</v>
      </c>
      <c r="CA584" s="32" t="str">
        <f>VLOOKUP(J:J,'Agent wise'!A:C,3,0)</f>
        <v>Saran S</v>
      </c>
      <c r="CB584" s="32">
        <f t="shared" si="348"/>
        <v>45941</v>
      </c>
      <c r="CC584" t="str">
        <f t="shared" si="349"/>
        <v>Good</v>
      </c>
      <c r="CE584" s="32"/>
      <c r="CJ584">
        <f t="shared" si="350"/>
        <v>11</v>
      </c>
      <c r="CK584">
        <f t="shared" si="351"/>
        <v>10</v>
      </c>
      <c r="CL584">
        <f t="shared" si="352"/>
        <v>2025</v>
      </c>
    </row>
    <row r="585" spans="1:90" ht="15" customHeight="1" x14ac:dyDescent="0.35">
      <c r="A585" s="40">
        <v>45971.606585648151</v>
      </c>
      <c r="B585" t="s">
        <v>100</v>
      </c>
      <c r="C585" t="s">
        <v>214</v>
      </c>
      <c r="D585" t="s">
        <v>101</v>
      </c>
      <c r="E585" s="32">
        <v>45941</v>
      </c>
      <c r="F585" t="s">
        <v>54</v>
      </c>
      <c r="G585" s="32">
        <v>45940</v>
      </c>
      <c r="H585">
        <v>8903882110</v>
      </c>
      <c r="I585">
        <v>131</v>
      </c>
      <c r="J585" t="s">
        <v>70</v>
      </c>
      <c r="K585" t="s">
        <v>71</v>
      </c>
      <c r="L585" t="s">
        <v>72</v>
      </c>
      <c r="M585" t="s">
        <v>59</v>
      </c>
      <c r="N585" t="s">
        <v>59</v>
      </c>
      <c r="O585" t="s">
        <v>59</v>
      </c>
      <c r="P585" t="s">
        <v>59</v>
      </c>
      <c r="Q585" t="s">
        <v>59</v>
      </c>
      <c r="R585" t="s">
        <v>60</v>
      </c>
      <c r="S585" t="s">
        <v>59</v>
      </c>
      <c r="T585" t="s">
        <v>59</v>
      </c>
      <c r="U585" t="s">
        <v>59</v>
      </c>
      <c r="V585" t="s">
        <v>59</v>
      </c>
      <c r="W585" t="s">
        <v>59</v>
      </c>
      <c r="X585" t="s">
        <v>59</v>
      </c>
      <c r="Y585" t="s">
        <v>59</v>
      </c>
      <c r="Z585" t="s">
        <v>59</v>
      </c>
      <c r="AA585" t="s">
        <v>59</v>
      </c>
      <c r="AB585" t="s">
        <v>59</v>
      </c>
      <c r="AC585" t="s">
        <v>59</v>
      </c>
      <c r="AD585" t="s">
        <v>59</v>
      </c>
      <c r="AE585" t="s">
        <v>59</v>
      </c>
      <c r="AF585" t="s">
        <v>59</v>
      </c>
      <c r="AG585" t="s">
        <v>59</v>
      </c>
      <c r="AH585" t="s">
        <v>59</v>
      </c>
      <c r="AI585" t="s">
        <v>61</v>
      </c>
      <c r="AJ585" t="s">
        <v>59</v>
      </c>
      <c r="AK585" t="s">
        <v>59</v>
      </c>
      <c r="AL585" t="s">
        <v>59</v>
      </c>
      <c r="AM585" t="s">
        <v>59</v>
      </c>
      <c r="AN585" t="s">
        <v>59</v>
      </c>
      <c r="AO585" t="s">
        <v>59</v>
      </c>
      <c r="AP585" t="s">
        <v>1328</v>
      </c>
      <c r="AQ585" s="1" t="s">
        <v>1329</v>
      </c>
      <c r="AR585" t="s">
        <v>64</v>
      </c>
      <c r="AS585" t="s">
        <v>175</v>
      </c>
      <c r="AT585" t="s">
        <v>167</v>
      </c>
      <c r="AU585" t="s">
        <v>299</v>
      </c>
      <c r="AW585" s="4">
        <f t="shared" si="318"/>
        <v>6</v>
      </c>
      <c r="AX585" s="4">
        <f t="shared" si="319"/>
        <v>4</v>
      </c>
      <c r="AY585" s="4">
        <f t="shared" si="320"/>
        <v>4</v>
      </c>
      <c r="AZ585" s="4">
        <f t="shared" si="321"/>
        <v>2</v>
      </c>
      <c r="BA585" s="4">
        <f t="shared" si="322"/>
        <v>4</v>
      </c>
      <c r="BB585" s="4" t="str">
        <f t="shared" si="323"/>
        <v>0</v>
      </c>
      <c r="BC585" s="4">
        <f t="shared" si="324"/>
        <v>4</v>
      </c>
      <c r="BD585" s="4">
        <f t="shared" si="325"/>
        <v>2</v>
      </c>
      <c r="BE585" s="4">
        <f t="shared" si="326"/>
        <v>4</v>
      </c>
      <c r="BF585" s="4">
        <f t="shared" si="327"/>
        <v>2</v>
      </c>
      <c r="BG585" s="4">
        <f t="shared" si="328"/>
        <v>4</v>
      </c>
      <c r="BH585" s="4">
        <f t="shared" si="329"/>
        <v>4</v>
      </c>
      <c r="BI585" s="4">
        <f t="shared" si="330"/>
        <v>4</v>
      </c>
      <c r="BJ585" s="4">
        <f t="shared" si="331"/>
        <v>2</v>
      </c>
      <c r="BK585" s="4">
        <f t="shared" si="332"/>
        <v>4</v>
      </c>
      <c r="BL585" s="4">
        <f t="shared" si="333"/>
        <v>2</v>
      </c>
      <c r="BM585" s="4">
        <f t="shared" si="334"/>
        <v>4</v>
      </c>
      <c r="BN585" s="4">
        <f t="shared" si="335"/>
        <v>4</v>
      </c>
      <c r="BO585" s="4">
        <f t="shared" si="336"/>
        <v>4</v>
      </c>
      <c r="BP585" s="4">
        <f t="shared" si="337"/>
        <v>4</v>
      </c>
      <c r="BQ585" s="4">
        <f t="shared" si="338"/>
        <v>6</v>
      </c>
      <c r="BR585" s="4">
        <f t="shared" si="339"/>
        <v>4</v>
      </c>
      <c r="BS585" s="4">
        <f t="shared" si="340"/>
        <v>4</v>
      </c>
      <c r="BT585" s="4">
        <f t="shared" si="341"/>
        <v>4</v>
      </c>
      <c r="BU585" s="4">
        <f t="shared" si="342"/>
        <v>4</v>
      </c>
      <c r="BV585" s="4">
        <f t="shared" si="343"/>
        <v>0</v>
      </c>
      <c r="BW585" s="4">
        <f t="shared" si="344"/>
        <v>6</v>
      </c>
      <c r="BX585" s="4">
        <f t="shared" si="345"/>
        <v>0</v>
      </c>
      <c r="BY585" s="4">
        <f t="shared" si="346"/>
        <v>0</v>
      </c>
      <c r="BZ585" s="37">
        <f t="shared" si="347"/>
        <v>96</v>
      </c>
      <c r="CA585" s="32" t="str">
        <f>VLOOKUP(J:J,'Agent wise'!A:C,3,0)</f>
        <v>Saran S</v>
      </c>
      <c r="CB585" s="32">
        <f t="shared" si="348"/>
        <v>45941</v>
      </c>
      <c r="CC585" t="str">
        <f t="shared" si="349"/>
        <v>Excellent</v>
      </c>
      <c r="CE585" s="32"/>
      <c r="CJ585">
        <f t="shared" si="350"/>
        <v>11</v>
      </c>
      <c r="CK585">
        <f t="shared" si="351"/>
        <v>10</v>
      </c>
      <c r="CL585">
        <f t="shared" si="352"/>
        <v>2025</v>
      </c>
    </row>
    <row r="586" spans="1:90" ht="15" customHeight="1" x14ac:dyDescent="0.35">
      <c r="A586" s="40">
        <v>45971.620046296302</v>
      </c>
      <c r="B586" t="s">
        <v>100</v>
      </c>
      <c r="C586" t="s">
        <v>214</v>
      </c>
      <c r="D586" t="s">
        <v>101</v>
      </c>
      <c r="E586" s="32">
        <v>45941</v>
      </c>
      <c r="F586" t="s">
        <v>54</v>
      </c>
      <c r="G586" s="32">
        <v>45940</v>
      </c>
      <c r="H586">
        <v>8760305955</v>
      </c>
      <c r="I586">
        <v>132</v>
      </c>
      <c r="J586" t="s">
        <v>75</v>
      </c>
      <c r="K586" t="s">
        <v>71</v>
      </c>
      <c r="L586" t="s">
        <v>72</v>
      </c>
      <c r="M586" t="s">
        <v>59</v>
      </c>
      <c r="N586" t="s">
        <v>59</v>
      </c>
      <c r="O586" t="s">
        <v>59</v>
      </c>
      <c r="P586" t="s">
        <v>59</v>
      </c>
      <c r="Q586" t="s">
        <v>59</v>
      </c>
      <c r="R586" t="s">
        <v>60</v>
      </c>
      <c r="S586" t="s">
        <v>59</v>
      </c>
      <c r="T586" t="s">
        <v>59</v>
      </c>
      <c r="U586" t="s">
        <v>59</v>
      </c>
      <c r="V586" t="s">
        <v>59</v>
      </c>
      <c r="W586" t="s">
        <v>59</v>
      </c>
      <c r="X586" t="s">
        <v>59</v>
      </c>
      <c r="Y586" t="s">
        <v>59</v>
      </c>
      <c r="Z586" t="s">
        <v>59</v>
      </c>
      <c r="AA586" t="s">
        <v>59</v>
      </c>
      <c r="AB586" t="s">
        <v>59</v>
      </c>
      <c r="AC586" t="s">
        <v>59</v>
      </c>
      <c r="AD586" t="s">
        <v>59</v>
      </c>
      <c r="AE586" t="s">
        <v>59</v>
      </c>
      <c r="AF586" t="s">
        <v>59</v>
      </c>
      <c r="AG586" t="s">
        <v>60</v>
      </c>
      <c r="AH586" t="s">
        <v>59</v>
      </c>
      <c r="AI586" t="s">
        <v>61</v>
      </c>
      <c r="AJ586" t="s">
        <v>59</v>
      </c>
      <c r="AK586" t="s">
        <v>59</v>
      </c>
      <c r="AL586" t="s">
        <v>59</v>
      </c>
      <c r="AM586" t="s">
        <v>59</v>
      </c>
      <c r="AN586" t="s">
        <v>59</v>
      </c>
      <c r="AO586" t="s">
        <v>60</v>
      </c>
      <c r="AP586" t="s">
        <v>1330</v>
      </c>
      <c r="AQ586" s="1" t="s">
        <v>1331</v>
      </c>
      <c r="AR586" t="s">
        <v>64</v>
      </c>
      <c r="AS586" t="s">
        <v>135</v>
      </c>
      <c r="AT586" t="s">
        <v>194</v>
      </c>
      <c r="AU586" t="s">
        <v>299</v>
      </c>
      <c r="AW586" s="4">
        <f t="shared" si="318"/>
        <v>6</v>
      </c>
      <c r="AX586" s="4">
        <f t="shared" si="319"/>
        <v>4</v>
      </c>
      <c r="AY586" s="4">
        <f t="shared" si="320"/>
        <v>4</v>
      </c>
      <c r="AZ586" s="4">
        <f t="shared" si="321"/>
        <v>2</v>
      </c>
      <c r="BA586" s="4">
        <f t="shared" si="322"/>
        <v>4</v>
      </c>
      <c r="BB586" s="4" t="str">
        <f t="shared" si="323"/>
        <v>0</v>
      </c>
      <c r="BC586" s="4">
        <f t="shared" si="324"/>
        <v>4</v>
      </c>
      <c r="BD586" s="4">
        <f t="shared" si="325"/>
        <v>2</v>
      </c>
      <c r="BE586" s="4">
        <f t="shared" si="326"/>
        <v>4</v>
      </c>
      <c r="BF586" s="4">
        <f t="shared" si="327"/>
        <v>2</v>
      </c>
      <c r="BG586" s="4">
        <f t="shared" si="328"/>
        <v>4</v>
      </c>
      <c r="BH586" s="4">
        <f t="shared" si="329"/>
        <v>4</v>
      </c>
      <c r="BI586" s="4">
        <f t="shared" si="330"/>
        <v>4</v>
      </c>
      <c r="BJ586" s="4">
        <f t="shared" si="331"/>
        <v>2</v>
      </c>
      <c r="BK586" s="4">
        <f t="shared" si="332"/>
        <v>4</v>
      </c>
      <c r="BL586" s="4">
        <f t="shared" si="333"/>
        <v>2</v>
      </c>
      <c r="BM586" s="4">
        <f t="shared" si="334"/>
        <v>4</v>
      </c>
      <c r="BN586" s="4">
        <f t="shared" si="335"/>
        <v>4</v>
      </c>
      <c r="BO586" s="4">
        <f t="shared" si="336"/>
        <v>4</v>
      </c>
      <c r="BP586" s="4">
        <f t="shared" si="337"/>
        <v>4</v>
      </c>
      <c r="BQ586" s="4" t="str">
        <f t="shared" si="338"/>
        <v>0</v>
      </c>
      <c r="BR586" s="4">
        <f t="shared" si="339"/>
        <v>4</v>
      </c>
      <c r="BS586" s="4">
        <f t="shared" si="340"/>
        <v>4</v>
      </c>
      <c r="BT586" s="4">
        <f t="shared" si="341"/>
        <v>4</v>
      </c>
      <c r="BU586" s="4">
        <f t="shared" si="342"/>
        <v>4</v>
      </c>
      <c r="BV586" s="4">
        <f t="shared" si="343"/>
        <v>0</v>
      </c>
      <c r="BW586" s="4">
        <f t="shared" si="344"/>
        <v>6</v>
      </c>
      <c r="BX586" s="4">
        <f t="shared" si="345"/>
        <v>0</v>
      </c>
      <c r="BY586" s="4" t="str">
        <f t="shared" si="346"/>
        <v>0</v>
      </c>
      <c r="BZ586" s="37">
        <f t="shared" si="347"/>
        <v>90</v>
      </c>
      <c r="CA586" s="32" t="str">
        <f>VLOOKUP(J:J,'Agent wise'!A:C,3,0)</f>
        <v>Saran S</v>
      </c>
      <c r="CB586" s="32">
        <f t="shared" si="348"/>
        <v>45941</v>
      </c>
      <c r="CC586" t="str">
        <f t="shared" si="349"/>
        <v>Good</v>
      </c>
      <c r="CE586" s="32"/>
      <c r="CJ586">
        <f t="shared" si="350"/>
        <v>11</v>
      </c>
      <c r="CK586">
        <f t="shared" si="351"/>
        <v>10</v>
      </c>
      <c r="CL586">
        <f t="shared" si="352"/>
        <v>2025</v>
      </c>
    </row>
    <row r="587" spans="1:90" ht="15" customHeight="1" x14ac:dyDescent="0.35">
      <c r="A587" s="40">
        <v>45971.621307870373</v>
      </c>
      <c r="B587" t="s">
        <v>250</v>
      </c>
      <c r="C587" t="s">
        <v>214</v>
      </c>
      <c r="D587" t="s">
        <v>251</v>
      </c>
      <c r="E587" s="32">
        <v>45941</v>
      </c>
      <c r="F587" t="s">
        <v>222</v>
      </c>
      <c r="G587" s="32">
        <v>45940</v>
      </c>
      <c r="H587">
        <v>7907499852</v>
      </c>
      <c r="I587">
        <v>170</v>
      </c>
      <c r="J587" t="s">
        <v>570</v>
      </c>
      <c r="K587" t="s">
        <v>57</v>
      </c>
      <c r="L587" t="s">
        <v>58</v>
      </c>
      <c r="M587" t="s">
        <v>59</v>
      </c>
      <c r="N587" t="s">
        <v>59</v>
      </c>
      <c r="O587" t="s">
        <v>59</v>
      </c>
      <c r="P587" t="s">
        <v>59</v>
      </c>
      <c r="Q587" t="s">
        <v>59</v>
      </c>
      <c r="R587" t="s">
        <v>59</v>
      </c>
      <c r="S587" t="s">
        <v>59</v>
      </c>
      <c r="T587" t="s">
        <v>59</v>
      </c>
      <c r="U587" t="s">
        <v>60</v>
      </c>
      <c r="V587" t="s">
        <v>59</v>
      </c>
      <c r="W587" t="s">
        <v>59</v>
      </c>
      <c r="X587" t="s">
        <v>59</v>
      </c>
      <c r="Y587" t="s">
        <v>59</v>
      </c>
      <c r="Z587" t="s">
        <v>59</v>
      </c>
      <c r="AA587" t="s">
        <v>59</v>
      </c>
      <c r="AB587" t="s">
        <v>60</v>
      </c>
      <c r="AC587" t="s">
        <v>59</v>
      </c>
      <c r="AD587" t="s">
        <v>59</v>
      </c>
      <c r="AE587" t="s">
        <v>59</v>
      </c>
      <c r="AF587" t="s">
        <v>59</v>
      </c>
      <c r="AG587" t="s">
        <v>59</v>
      </c>
      <c r="AH587" t="s">
        <v>61</v>
      </c>
      <c r="AI587" t="s">
        <v>60</v>
      </c>
      <c r="AJ587" t="s">
        <v>59</v>
      </c>
      <c r="AK587" t="s">
        <v>59</v>
      </c>
      <c r="AL587" t="s">
        <v>60</v>
      </c>
      <c r="AM587" t="s">
        <v>59</v>
      </c>
      <c r="AN587" t="s">
        <v>59</v>
      </c>
      <c r="AO587" t="s">
        <v>59</v>
      </c>
      <c r="AP587" t="s">
        <v>1332</v>
      </c>
      <c r="AQ587" t="s">
        <v>1333</v>
      </c>
      <c r="AR587" t="s">
        <v>64</v>
      </c>
      <c r="AS587" t="s">
        <v>695</v>
      </c>
      <c r="AT587" t="s">
        <v>331</v>
      </c>
      <c r="AU587" t="s">
        <v>219</v>
      </c>
      <c r="AW587" s="4">
        <f t="shared" si="318"/>
        <v>6</v>
      </c>
      <c r="AX587" s="4">
        <f t="shared" si="319"/>
        <v>4</v>
      </c>
      <c r="AY587" s="4">
        <f t="shared" si="320"/>
        <v>4</v>
      </c>
      <c r="AZ587" s="4">
        <f t="shared" si="321"/>
        <v>2</v>
      </c>
      <c r="BA587" s="4">
        <f t="shared" si="322"/>
        <v>4</v>
      </c>
      <c r="BB587" s="4">
        <f t="shared" si="323"/>
        <v>4</v>
      </c>
      <c r="BC587" s="4">
        <f t="shared" si="324"/>
        <v>4</v>
      </c>
      <c r="BD587" s="4">
        <f t="shared" si="325"/>
        <v>2</v>
      </c>
      <c r="BE587" s="4" t="str">
        <f t="shared" si="326"/>
        <v>0</v>
      </c>
      <c r="BF587" s="4">
        <f t="shared" si="327"/>
        <v>2</v>
      </c>
      <c r="BG587" s="4">
        <f t="shared" si="328"/>
        <v>4</v>
      </c>
      <c r="BH587" s="4">
        <f t="shared" si="329"/>
        <v>4</v>
      </c>
      <c r="BI587" s="4">
        <f t="shared" si="330"/>
        <v>4</v>
      </c>
      <c r="BJ587" s="4">
        <f t="shared" si="331"/>
        <v>2</v>
      </c>
      <c r="BK587" s="4">
        <f t="shared" si="332"/>
        <v>4</v>
      </c>
      <c r="BL587" s="4" t="str">
        <f t="shared" si="333"/>
        <v>0</v>
      </c>
      <c r="BM587" s="4">
        <f t="shared" si="334"/>
        <v>4</v>
      </c>
      <c r="BN587" s="4">
        <f t="shared" si="335"/>
        <v>4</v>
      </c>
      <c r="BO587" s="4">
        <f t="shared" si="336"/>
        <v>4</v>
      </c>
      <c r="BP587" s="4">
        <f t="shared" si="337"/>
        <v>4</v>
      </c>
      <c r="BQ587" s="4">
        <f t="shared" si="338"/>
        <v>6</v>
      </c>
      <c r="BR587" s="4">
        <f t="shared" si="339"/>
        <v>4</v>
      </c>
      <c r="BS587" s="4" t="str">
        <f t="shared" si="340"/>
        <v>0</v>
      </c>
      <c r="BT587" s="4">
        <f t="shared" si="341"/>
        <v>4</v>
      </c>
      <c r="BU587" s="4">
        <f t="shared" si="342"/>
        <v>4</v>
      </c>
      <c r="BV587" s="4" t="str">
        <f t="shared" si="343"/>
        <v>0</v>
      </c>
      <c r="BW587" s="4">
        <f t="shared" si="344"/>
        <v>6</v>
      </c>
      <c r="BX587" s="4">
        <f t="shared" si="345"/>
        <v>0</v>
      </c>
      <c r="BY587" s="4">
        <f t="shared" si="346"/>
        <v>0</v>
      </c>
      <c r="BZ587" s="37">
        <f t="shared" si="347"/>
        <v>90</v>
      </c>
      <c r="CA587" s="32" t="str">
        <f>VLOOKUP(J:J,'Agent wise'!A:C,3,0)</f>
        <v>Amal</v>
      </c>
      <c r="CB587" s="32">
        <f t="shared" si="348"/>
        <v>45941</v>
      </c>
      <c r="CC587" t="str">
        <f t="shared" si="349"/>
        <v>Good</v>
      </c>
      <c r="CE587" s="32"/>
      <c r="CJ587">
        <f t="shared" si="350"/>
        <v>11</v>
      </c>
      <c r="CK587">
        <f t="shared" si="351"/>
        <v>10</v>
      </c>
      <c r="CL587">
        <f t="shared" si="352"/>
        <v>2025</v>
      </c>
    </row>
    <row r="588" spans="1:90" ht="15" customHeight="1" x14ac:dyDescent="0.35">
      <c r="A588" s="40">
        <v>45971.624479166669</v>
      </c>
      <c r="B588" t="s">
        <v>250</v>
      </c>
      <c r="C588" t="s">
        <v>214</v>
      </c>
      <c r="D588" t="s">
        <v>251</v>
      </c>
      <c r="E588" s="32">
        <v>45941</v>
      </c>
      <c r="F588" t="s">
        <v>222</v>
      </c>
      <c r="G588" s="32">
        <v>45940</v>
      </c>
      <c r="H588">
        <v>6369578298</v>
      </c>
      <c r="I588">
        <v>176</v>
      </c>
      <c r="J588" t="s">
        <v>234</v>
      </c>
      <c r="K588" t="s">
        <v>71</v>
      </c>
      <c r="L588" t="s">
        <v>72</v>
      </c>
      <c r="M588" t="s">
        <v>59</v>
      </c>
      <c r="N588" t="s">
        <v>59</v>
      </c>
      <c r="O588" t="s">
        <v>59</v>
      </c>
      <c r="P588" t="s">
        <v>59</v>
      </c>
      <c r="Q588" t="s">
        <v>59</v>
      </c>
      <c r="R588" t="s">
        <v>59</v>
      </c>
      <c r="S588" t="s">
        <v>59</v>
      </c>
      <c r="T588" t="s">
        <v>59</v>
      </c>
      <c r="U588" t="s">
        <v>59</v>
      </c>
      <c r="V588" t="s">
        <v>59</v>
      </c>
      <c r="W588" t="s">
        <v>59</v>
      </c>
      <c r="X588" t="s">
        <v>59</v>
      </c>
      <c r="Y588" t="s">
        <v>59</v>
      </c>
      <c r="Z588" t="s">
        <v>59</v>
      </c>
      <c r="AA588" t="s">
        <v>59</v>
      </c>
      <c r="AB588" t="s">
        <v>59</v>
      </c>
      <c r="AC588" t="s">
        <v>59</v>
      </c>
      <c r="AD588" t="s">
        <v>59</v>
      </c>
      <c r="AE588" t="s">
        <v>59</v>
      </c>
      <c r="AF588" t="s">
        <v>59</v>
      </c>
      <c r="AG588" t="s">
        <v>59</v>
      </c>
      <c r="AH588" t="s">
        <v>59</v>
      </c>
      <c r="AI588" t="s">
        <v>59</v>
      </c>
      <c r="AJ588" t="s">
        <v>59</v>
      </c>
      <c r="AK588" t="s">
        <v>59</v>
      </c>
      <c r="AL588" t="s">
        <v>59</v>
      </c>
      <c r="AM588" t="s">
        <v>59</v>
      </c>
      <c r="AN588" t="s">
        <v>59</v>
      </c>
      <c r="AO588" t="s">
        <v>59</v>
      </c>
      <c r="AP588" t="s">
        <v>803</v>
      </c>
      <c r="AQ588" t="s">
        <v>1334</v>
      </c>
      <c r="AR588" t="s">
        <v>226</v>
      </c>
      <c r="AS588" t="s">
        <v>1292</v>
      </c>
      <c r="AT588" t="s">
        <v>404</v>
      </c>
      <c r="AU588" t="s">
        <v>219</v>
      </c>
      <c r="AW588" s="4">
        <f t="shared" si="318"/>
        <v>6</v>
      </c>
      <c r="AX588" s="4">
        <f t="shared" si="319"/>
        <v>4</v>
      </c>
      <c r="AY588" s="4">
        <f t="shared" si="320"/>
        <v>4</v>
      </c>
      <c r="AZ588" s="4">
        <f t="shared" si="321"/>
        <v>2</v>
      </c>
      <c r="BA588" s="4">
        <f t="shared" si="322"/>
        <v>4</v>
      </c>
      <c r="BB588" s="4">
        <f t="shared" si="323"/>
        <v>4</v>
      </c>
      <c r="BC588" s="4">
        <f t="shared" si="324"/>
        <v>4</v>
      </c>
      <c r="BD588" s="4">
        <f t="shared" si="325"/>
        <v>2</v>
      </c>
      <c r="BE588" s="4">
        <f t="shared" si="326"/>
        <v>4</v>
      </c>
      <c r="BF588" s="4">
        <f t="shared" si="327"/>
        <v>2</v>
      </c>
      <c r="BG588" s="4">
        <f t="shared" si="328"/>
        <v>4</v>
      </c>
      <c r="BH588" s="4">
        <f t="shared" si="329"/>
        <v>4</v>
      </c>
      <c r="BI588" s="4">
        <f t="shared" si="330"/>
        <v>4</v>
      </c>
      <c r="BJ588" s="4">
        <f t="shared" si="331"/>
        <v>2</v>
      </c>
      <c r="BK588" s="4">
        <f t="shared" si="332"/>
        <v>4</v>
      </c>
      <c r="BL588" s="4">
        <f t="shared" si="333"/>
        <v>2</v>
      </c>
      <c r="BM588" s="4">
        <f t="shared" si="334"/>
        <v>4</v>
      </c>
      <c r="BN588" s="4">
        <f t="shared" si="335"/>
        <v>4</v>
      </c>
      <c r="BO588" s="4">
        <f t="shared" si="336"/>
        <v>4</v>
      </c>
      <c r="BP588" s="4">
        <f t="shared" si="337"/>
        <v>4</v>
      </c>
      <c r="BQ588" s="4">
        <f t="shared" si="338"/>
        <v>6</v>
      </c>
      <c r="BR588" s="4">
        <f t="shared" si="339"/>
        <v>4</v>
      </c>
      <c r="BS588" s="4">
        <f t="shared" si="340"/>
        <v>4</v>
      </c>
      <c r="BT588" s="4">
        <f t="shared" si="341"/>
        <v>4</v>
      </c>
      <c r="BU588" s="4">
        <f t="shared" si="342"/>
        <v>4</v>
      </c>
      <c r="BV588" s="4">
        <f t="shared" si="343"/>
        <v>0</v>
      </c>
      <c r="BW588" s="4">
        <f t="shared" si="344"/>
        <v>6</v>
      </c>
      <c r="BX588" s="4">
        <f t="shared" si="345"/>
        <v>0</v>
      </c>
      <c r="BY588" s="4">
        <f t="shared" si="346"/>
        <v>0</v>
      </c>
      <c r="BZ588" s="37">
        <f t="shared" si="347"/>
        <v>100</v>
      </c>
      <c r="CA588" s="32" t="str">
        <f>VLOOKUP(J:J,'Agent wise'!A:C,3,0)</f>
        <v>Amal</v>
      </c>
      <c r="CB588" s="32">
        <f t="shared" si="348"/>
        <v>45941</v>
      </c>
      <c r="CC588" t="str">
        <f t="shared" si="349"/>
        <v>Excellent</v>
      </c>
      <c r="CE588" s="32"/>
      <c r="CJ588">
        <f t="shared" si="350"/>
        <v>11</v>
      </c>
      <c r="CK588">
        <f t="shared" si="351"/>
        <v>10</v>
      </c>
      <c r="CL588">
        <f t="shared" si="352"/>
        <v>2025</v>
      </c>
    </row>
    <row r="589" spans="1:90" ht="15" customHeight="1" x14ac:dyDescent="0.35">
      <c r="A589" s="40">
        <v>45971.628449074073</v>
      </c>
      <c r="B589" t="s">
        <v>250</v>
      </c>
      <c r="C589" t="s">
        <v>214</v>
      </c>
      <c r="D589" t="s">
        <v>251</v>
      </c>
      <c r="E589" s="32">
        <v>45941</v>
      </c>
      <c r="F589" t="s">
        <v>222</v>
      </c>
      <c r="G589" s="32">
        <v>45940</v>
      </c>
      <c r="H589">
        <v>8144028998</v>
      </c>
      <c r="I589">
        <v>161</v>
      </c>
      <c r="J589" t="s">
        <v>307</v>
      </c>
      <c r="K589" t="s">
        <v>57</v>
      </c>
      <c r="L589" t="s">
        <v>58</v>
      </c>
      <c r="M589" t="s">
        <v>59</v>
      </c>
      <c r="N589" t="s">
        <v>59</v>
      </c>
      <c r="O589" t="s">
        <v>59</v>
      </c>
      <c r="P589" t="s">
        <v>59</v>
      </c>
      <c r="Q589" t="s">
        <v>59</v>
      </c>
      <c r="R589" t="s">
        <v>59</v>
      </c>
      <c r="S589" t="s">
        <v>59</v>
      </c>
      <c r="T589" t="s">
        <v>59</v>
      </c>
      <c r="U589" t="s">
        <v>60</v>
      </c>
      <c r="V589" t="s">
        <v>59</v>
      </c>
      <c r="W589" t="s">
        <v>59</v>
      </c>
      <c r="X589" t="s">
        <v>59</v>
      </c>
      <c r="Y589" t="s">
        <v>59</v>
      </c>
      <c r="Z589" t="s">
        <v>59</v>
      </c>
      <c r="AA589" t="s">
        <v>60</v>
      </c>
      <c r="AB589" t="s">
        <v>59</v>
      </c>
      <c r="AC589" t="s">
        <v>59</v>
      </c>
      <c r="AD589" t="s">
        <v>59</v>
      </c>
      <c r="AE589" t="s">
        <v>59</v>
      </c>
      <c r="AF589" t="s">
        <v>59</v>
      </c>
      <c r="AG589" t="s">
        <v>59</v>
      </c>
      <c r="AH589" t="s">
        <v>61</v>
      </c>
      <c r="AI589" t="s">
        <v>61</v>
      </c>
      <c r="AJ589" t="s">
        <v>59</v>
      </c>
      <c r="AK589" t="s">
        <v>59</v>
      </c>
      <c r="AL589" t="s">
        <v>60</v>
      </c>
      <c r="AM589" t="s">
        <v>59</v>
      </c>
      <c r="AN589" t="s">
        <v>59</v>
      </c>
      <c r="AO589" t="s">
        <v>59</v>
      </c>
      <c r="AP589" t="s">
        <v>696</v>
      </c>
      <c r="AQ589" t="s">
        <v>1335</v>
      </c>
      <c r="AR589" t="s">
        <v>226</v>
      </c>
      <c r="AS589" t="s">
        <v>1336</v>
      </c>
      <c r="AT589" t="s">
        <v>394</v>
      </c>
      <c r="AU589" t="s">
        <v>219</v>
      </c>
      <c r="AW589" s="4">
        <f t="shared" si="318"/>
        <v>6</v>
      </c>
      <c r="AX589" s="4">
        <f t="shared" si="319"/>
        <v>4</v>
      </c>
      <c r="AY589" s="4">
        <f t="shared" si="320"/>
        <v>4</v>
      </c>
      <c r="AZ589" s="4">
        <f t="shared" si="321"/>
        <v>2</v>
      </c>
      <c r="BA589" s="4">
        <f t="shared" si="322"/>
        <v>4</v>
      </c>
      <c r="BB589" s="4">
        <f t="shared" si="323"/>
        <v>4</v>
      </c>
      <c r="BC589" s="4">
        <f t="shared" si="324"/>
        <v>4</v>
      </c>
      <c r="BD589" s="4">
        <f t="shared" si="325"/>
        <v>2</v>
      </c>
      <c r="BE589" s="4" t="str">
        <f t="shared" si="326"/>
        <v>0</v>
      </c>
      <c r="BF589" s="4">
        <f t="shared" si="327"/>
        <v>2</v>
      </c>
      <c r="BG589" s="4">
        <f t="shared" si="328"/>
        <v>4</v>
      </c>
      <c r="BH589" s="4">
        <f t="shared" si="329"/>
        <v>4</v>
      </c>
      <c r="BI589" s="4">
        <f t="shared" si="330"/>
        <v>4</v>
      </c>
      <c r="BJ589" s="4">
        <f t="shared" si="331"/>
        <v>2</v>
      </c>
      <c r="BK589" s="4" t="str">
        <f t="shared" si="332"/>
        <v>0</v>
      </c>
      <c r="BL589" s="4">
        <f t="shared" si="333"/>
        <v>2</v>
      </c>
      <c r="BM589" s="4">
        <f t="shared" si="334"/>
        <v>4</v>
      </c>
      <c r="BN589" s="4">
        <f t="shared" si="335"/>
        <v>4</v>
      </c>
      <c r="BO589" s="4">
        <f t="shared" si="336"/>
        <v>4</v>
      </c>
      <c r="BP589" s="4">
        <f t="shared" si="337"/>
        <v>4</v>
      </c>
      <c r="BQ589" s="4">
        <f t="shared" si="338"/>
        <v>6</v>
      </c>
      <c r="BR589" s="4">
        <f t="shared" si="339"/>
        <v>4</v>
      </c>
      <c r="BS589" s="4">
        <f t="shared" si="340"/>
        <v>4</v>
      </c>
      <c r="BT589" s="4">
        <f t="shared" si="341"/>
        <v>4</v>
      </c>
      <c r="BU589" s="4">
        <f t="shared" si="342"/>
        <v>4</v>
      </c>
      <c r="BV589" s="4" t="str">
        <f t="shared" si="343"/>
        <v>0</v>
      </c>
      <c r="BW589" s="4">
        <f t="shared" si="344"/>
        <v>6</v>
      </c>
      <c r="BX589" s="4">
        <f t="shared" si="345"/>
        <v>0</v>
      </c>
      <c r="BY589" s="4">
        <f t="shared" si="346"/>
        <v>0</v>
      </c>
      <c r="BZ589" s="37">
        <f t="shared" si="347"/>
        <v>92</v>
      </c>
      <c r="CA589" s="32" t="str">
        <f>VLOOKUP(J:J,'Agent wise'!A:C,3,0)</f>
        <v>Amal</v>
      </c>
      <c r="CB589" s="32">
        <f t="shared" si="348"/>
        <v>45941</v>
      </c>
      <c r="CC589" t="str">
        <f t="shared" si="349"/>
        <v>Good</v>
      </c>
      <c r="CE589" s="32"/>
      <c r="CJ589">
        <f t="shared" si="350"/>
        <v>11</v>
      </c>
      <c r="CK589">
        <f t="shared" si="351"/>
        <v>10</v>
      </c>
      <c r="CL589">
        <f t="shared" si="352"/>
        <v>2025</v>
      </c>
    </row>
    <row r="590" spans="1:90" ht="15" customHeight="1" x14ac:dyDescent="0.35">
      <c r="A590" s="40">
        <v>45971.629571759258</v>
      </c>
      <c r="B590" t="s">
        <v>100</v>
      </c>
      <c r="C590" t="s">
        <v>214</v>
      </c>
      <c r="D590" t="s">
        <v>101</v>
      </c>
      <c r="E590" s="32">
        <v>45941</v>
      </c>
      <c r="F590" t="s">
        <v>54</v>
      </c>
      <c r="G590" s="32">
        <v>45940</v>
      </c>
      <c r="H590">
        <v>8547375202</v>
      </c>
      <c r="I590">
        <v>145</v>
      </c>
      <c r="J590" t="s">
        <v>636</v>
      </c>
      <c r="K590" t="s">
        <v>57</v>
      </c>
      <c r="L590" t="s">
        <v>58</v>
      </c>
      <c r="M590" t="s">
        <v>60</v>
      </c>
      <c r="N590" t="s">
        <v>59</v>
      </c>
      <c r="O590" t="s">
        <v>59</v>
      </c>
      <c r="P590" t="s">
        <v>59</v>
      </c>
      <c r="Q590" t="s">
        <v>59</v>
      </c>
      <c r="R590" t="s">
        <v>59</v>
      </c>
      <c r="S590" t="s">
        <v>59</v>
      </c>
      <c r="T590" t="s">
        <v>59</v>
      </c>
      <c r="U590" t="s">
        <v>59</v>
      </c>
      <c r="V590" t="s">
        <v>59</v>
      </c>
      <c r="W590" t="s">
        <v>59</v>
      </c>
      <c r="X590" t="s">
        <v>59</v>
      </c>
      <c r="Y590" t="s">
        <v>59</v>
      </c>
      <c r="Z590" t="s">
        <v>59</v>
      </c>
      <c r="AA590" t="s">
        <v>60</v>
      </c>
      <c r="AB590" t="s">
        <v>59</v>
      </c>
      <c r="AC590" t="s">
        <v>59</v>
      </c>
      <c r="AD590" t="s">
        <v>59</v>
      </c>
      <c r="AE590" t="s">
        <v>59</v>
      </c>
      <c r="AF590" t="s">
        <v>59</v>
      </c>
      <c r="AG590" t="s">
        <v>59</v>
      </c>
      <c r="AH590" t="s">
        <v>59</v>
      </c>
      <c r="AI590" t="s">
        <v>61</v>
      </c>
      <c r="AJ590" t="s">
        <v>59</v>
      </c>
      <c r="AK590" t="s">
        <v>59</v>
      </c>
      <c r="AL590" t="s">
        <v>59</v>
      </c>
      <c r="AM590" t="s">
        <v>59</v>
      </c>
      <c r="AN590" t="s">
        <v>59</v>
      </c>
      <c r="AO590" t="s">
        <v>59</v>
      </c>
      <c r="AP590" t="s">
        <v>1337</v>
      </c>
      <c r="AQ590" s="1" t="s">
        <v>1338</v>
      </c>
      <c r="AR590" t="s">
        <v>64</v>
      </c>
      <c r="AS590" t="s">
        <v>89</v>
      </c>
      <c r="AT590" t="s">
        <v>84</v>
      </c>
      <c r="AU590" t="s">
        <v>219</v>
      </c>
      <c r="AW590" s="4" t="str">
        <f t="shared" si="318"/>
        <v>0</v>
      </c>
      <c r="AX590" s="4">
        <f t="shared" si="319"/>
        <v>4</v>
      </c>
      <c r="AY590" s="4">
        <f t="shared" si="320"/>
        <v>4</v>
      </c>
      <c r="AZ590" s="4">
        <f t="shared" si="321"/>
        <v>2</v>
      </c>
      <c r="BA590" s="4">
        <f t="shared" si="322"/>
        <v>4</v>
      </c>
      <c r="BB590" s="4">
        <f t="shared" si="323"/>
        <v>4</v>
      </c>
      <c r="BC590" s="4">
        <f t="shared" si="324"/>
        <v>4</v>
      </c>
      <c r="BD590" s="4">
        <f t="shared" si="325"/>
        <v>2</v>
      </c>
      <c r="BE590" s="4">
        <f t="shared" si="326"/>
        <v>4</v>
      </c>
      <c r="BF590" s="4">
        <f t="shared" si="327"/>
        <v>2</v>
      </c>
      <c r="BG590" s="4">
        <f t="shared" si="328"/>
        <v>4</v>
      </c>
      <c r="BH590" s="4">
        <f t="shared" si="329"/>
        <v>4</v>
      </c>
      <c r="BI590" s="4">
        <f t="shared" si="330"/>
        <v>4</v>
      </c>
      <c r="BJ590" s="4">
        <f t="shared" si="331"/>
        <v>2</v>
      </c>
      <c r="BK590" s="4" t="str">
        <f t="shared" si="332"/>
        <v>0</v>
      </c>
      <c r="BL590" s="4">
        <f t="shared" si="333"/>
        <v>2</v>
      </c>
      <c r="BM590" s="4">
        <f t="shared" si="334"/>
        <v>4</v>
      </c>
      <c r="BN590" s="4">
        <f t="shared" si="335"/>
        <v>4</v>
      </c>
      <c r="BO590" s="4">
        <f t="shared" si="336"/>
        <v>4</v>
      </c>
      <c r="BP590" s="4">
        <f t="shared" si="337"/>
        <v>4</v>
      </c>
      <c r="BQ590" s="4">
        <f t="shared" si="338"/>
        <v>6</v>
      </c>
      <c r="BR590" s="4">
        <f t="shared" si="339"/>
        <v>4</v>
      </c>
      <c r="BS590" s="4">
        <f t="shared" si="340"/>
        <v>4</v>
      </c>
      <c r="BT590" s="4">
        <f t="shared" si="341"/>
        <v>4</v>
      </c>
      <c r="BU590" s="4">
        <f t="shared" si="342"/>
        <v>4</v>
      </c>
      <c r="BV590" s="4">
        <f t="shared" si="343"/>
        <v>0</v>
      </c>
      <c r="BW590" s="4">
        <f t="shared" si="344"/>
        <v>6</v>
      </c>
      <c r="BX590" s="4">
        <f t="shared" si="345"/>
        <v>0</v>
      </c>
      <c r="BY590" s="4">
        <f t="shared" si="346"/>
        <v>0</v>
      </c>
      <c r="BZ590" s="37">
        <f t="shared" si="347"/>
        <v>90</v>
      </c>
      <c r="CA590" s="32" t="str">
        <f>VLOOKUP(J:J,'Agent wise'!A:C,3,0)</f>
        <v>Shakeer</v>
      </c>
      <c r="CB590" s="32">
        <f t="shared" si="348"/>
        <v>45941</v>
      </c>
      <c r="CC590" t="str">
        <f t="shared" si="349"/>
        <v>Good</v>
      </c>
      <c r="CE590" s="32"/>
      <c r="CJ590">
        <f t="shared" si="350"/>
        <v>11</v>
      </c>
      <c r="CK590">
        <f t="shared" si="351"/>
        <v>10</v>
      </c>
      <c r="CL590">
        <f t="shared" si="352"/>
        <v>2025</v>
      </c>
    </row>
    <row r="591" spans="1:90" ht="15" customHeight="1" x14ac:dyDescent="0.35">
      <c r="A591" s="40">
        <v>45971.635752314818</v>
      </c>
      <c r="B591" t="s">
        <v>100</v>
      </c>
      <c r="C591" t="s">
        <v>214</v>
      </c>
      <c r="D591" t="s">
        <v>101</v>
      </c>
      <c r="E591" s="32">
        <v>45941</v>
      </c>
      <c r="F591" t="s">
        <v>54</v>
      </c>
      <c r="G591" s="32">
        <v>45940</v>
      </c>
      <c r="H591">
        <v>8304939017</v>
      </c>
      <c r="I591">
        <v>141</v>
      </c>
      <c r="J591" t="s">
        <v>638</v>
      </c>
      <c r="K591" t="s">
        <v>57</v>
      </c>
      <c r="L591" t="s">
        <v>58</v>
      </c>
      <c r="M591" t="s">
        <v>59</v>
      </c>
      <c r="N591" t="s">
        <v>59</v>
      </c>
      <c r="O591" t="s">
        <v>59</v>
      </c>
      <c r="P591" t="s">
        <v>59</v>
      </c>
      <c r="Q591" t="s">
        <v>59</v>
      </c>
      <c r="R591" t="s">
        <v>60</v>
      </c>
      <c r="S591" t="s">
        <v>59</v>
      </c>
      <c r="T591" t="s">
        <v>59</v>
      </c>
      <c r="U591" t="s">
        <v>59</v>
      </c>
      <c r="V591" t="s">
        <v>59</v>
      </c>
      <c r="W591" t="s">
        <v>59</v>
      </c>
      <c r="X591" t="s">
        <v>59</v>
      </c>
      <c r="Y591" t="s">
        <v>59</v>
      </c>
      <c r="Z591" t="s">
        <v>59</v>
      </c>
      <c r="AA591" t="s">
        <v>59</v>
      </c>
      <c r="AB591" t="s">
        <v>59</v>
      </c>
      <c r="AC591" t="s">
        <v>59</v>
      </c>
      <c r="AD591" t="s">
        <v>59</v>
      </c>
      <c r="AE591" t="s">
        <v>59</v>
      </c>
      <c r="AF591" t="s">
        <v>59</v>
      </c>
      <c r="AG591" t="s">
        <v>59</v>
      </c>
      <c r="AH591" t="s">
        <v>59</v>
      </c>
      <c r="AI591" t="s">
        <v>61</v>
      </c>
      <c r="AJ591" t="s">
        <v>59</v>
      </c>
      <c r="AK591" t="s">
        <v>59</v>
      </c>
      <c r="AL591" t="s">
        <v>59</v>
      </c>
      <c r="AM591" t="s">
        <v>59</v>
      </c>
      <c r="AN591" t="s">
        <v>59</v>
      </c>
      <c r="AO591" t="s">
        <v>59</v>
      </c>
      <c r="AP591" t="s">
        <v>1325</v>
      </c>
      <c r="AQ591" s="1" t="s">
        <v>1339</v>
      </c>
      <c r="AR591" t="s">
        <v>64</v>
      </c>
      <c r="AS591" t="s">
        <v>550</v>
      </c>
      <c r="AT591" t="s">
        <v>1340</v>
      </c>
      <c r="AU591" t="s">
        <v>219</v>
      </c>
      <c r="AW591" s="4">
        <f t="shared" si="318"/>
        <v>6</v>
      </c>
      <c r="AX591" s="4">
        <f t="shared" si="319"/>
        <v>4</v>
      </c>
      <c r="AY591" s="4">
        <f t="shared" si="320"/>
        <v>4</v>
      </c>
      <c r="AZ591" s="4">
        <f t="shared" si="321"/>
        <v>2</v>
      </c>
      <c r="BA591" s="4">
        <f t="shared" si="322"/>
        <v>4</v>
      </c>
      <c r="BB591" s="4" t="str">
        <f t="shared" si="323"/>
        <v>0</v>
      </c>
      <c r="BC591" s="4">
        <f t="shared" si="324"/>
        <v>4</v>
      </c>
      <c r="BD591" s="4">
        <f t="shared" si="325"/>
        <v>2</v>
      </c>
      <c r="BE591" s="4">
        <f t="shared" si="326"/>
        <v>4</v>
      </c>
      <c r="BF591" s="4">
        <f t="shared" si="327"/>
        <v>2</v>
      </c>
      <c r="BG591" s="4">
        <f t="shared" si="328"/>
        <v>4</v>
      </c>
      <c r="BH591" s="4">
        <f t="shared" si="329"/>
        <v>4</v>
      </c>
      <c r="BI591" s="4">
        <f t="shared" si="330"/>
        <v>4</v>
      </c>
      <c r="BJ591" s="4">
        <f t="shared" si="331"/>
        <v>2</v>
      </c>
      <c r="BK591" s="4">
        <f t="shared" si="332"/>
        <v>4</v>
      </c>
      <c r="BL591" s="4">
        <f t="shared" si="333"/>
        <v>2</v>
      </c>
      <c r="BM591" s="4">
        <f t="shared" si="334"/>
        <v>4</v>
      </c>
      <c r="BN591" s="4">
        <f t="shared" si="335"/>
        <v>4</v>
      </c>
      <c r="BO591" s="4">
        <f t="shared" si="336"/>
        <v>4</v>
      </c>
      <c r="BP591" s="4">
        <f t="shared" si="337"/>
        <v>4</v>
      </c>
      <c r="BQ591" s="4">
        <f t="shared" si="338"/>
        <v>6</v>
      </c>
      <c r="BR591" s="4">
        <f t="shared" si="339"/>
        <v>4</v>
      </c>
      <c r="BS591" s="4">
        <f t="shared" si="340"/>
        <v>4</v>
      </c>
      <c r="BT591" s="4">
        <f t="shared" si="341"/>
        <v>4</v>
      </c>
      <c r="BU591" s="4">
        <f t="shared" si="342"/>
        <v>4</v>
      </c>
      <c r="BV591" s="4">
        <f t="shared" si="343"/>
        <v>0</v>
      </c>
      <c r="BW591" s="4">
        <f t="shared" si="344"/>
        <v>6</v>
      </c>
      <c r="BX591" s="4">
        <f t="shared" si="345"/>
        <v>0</v>
      </c>
      <c r="BY591" s="4">
        <f t="shared" si="346"/>
        <v>0</v>
      </c>
      <c r="BZ591" s="37">
        <f t="shared" si="347"/>
        <v>96</v>
      </c>
      <c r="CA591" s="32" t="str">
        <f>VLOOKUP(J:J,'Agent wise'!A:C,3,0)</f>
        <v>Adharsh</v>
      </c>
      <c r="CB591" s="32">
        <f t="shared" si="348"/>
        <v>45941</v>
      </c>
      <c r="CC591" t="str">
        <f t="shared" si="349"/>
        <v>Excellent</v>
      </c>
      <c r="CE591" s="32"/>
      <c r="CJ591">
        <f t="shared" si="350"/>
        <v>11</v>
      </c>
      <c r="CK591">
        <f t="shared" si="351"/>
        <v>10</v>
      </c>
      <c r="CL591">
        <f t="shared" si="352"/>
        <v>2025</v>
      </c>
    </row>
    <row r="592" spans="1:90" ht="15" customHeight="1" x14ac:dyDescent="0.35">
      <c r="A592" s="40">
        <v>45971.640752314823</v>
      </c>
      <c r="B592" t="s">
        <v>250</v>
      </c>
      <c r="C592" t="s">
        <v>214</v>
      </c>
      <c r="D592" t="s">
        <v>251</v>
      </c>
      <c r="E592" s="32">
        <v>45941</v>
      </c>
      <c r="F592" t="s">
        <v>222</v>
      </c>
      <c r="G592" s="32">
        <v>45940</v>
      </c>
      <c r="H592">
        <v>9944800564</v>
      </c>
      <c r="I592">
        <v>169</v>
      </c>
      <c r="J592" t="s">
        <v>420</v>
      </c>
      <c r="K592" t="s">
        <v>71</v>
      </c>
      <c r="L592" t="s">
        <v>72</v>
      </c>
      <c r="M592" t="s">
        <v>59</v>
      </c>
      <c r="N592" t="s">
        <v>59</v>
      </c>
      <c r="O592" t="s">
        <v>59</v>
      </c>
      <c r="P592" t="s">
        <v>59</v>
      </c>
      <c r="Q592" t="s">
        <v>59</v>
      </c>
      <c r="R592" t="s">
        <v>59</v>
      </c>
      <c r="S592" t="s">
        <v>59</v>
      </c>
      <c r="T592" t="s">
        <v>59</v>
      </c>
      <c r="U592" t="s">
        <v>60</v>
      </c>
      <c r="V592" t="s">
        <v>59</v>
      </c>
      <c r="W592" t="s">
        <v>59</v>
      </c>
      <c r="X592" t="s">
        <v>59</v>
      </c>
      <c r="Y592" t="s">
        <v>59</v>
      </c>
      <c r="Z592" t="s">
        <v>60</v>
      </c>
      <c r="AA592" t="s">
        <v>59</v>
      </c>
      <c r="AB592" t="s">
        <v>59</v>
      </c>
      <c r="AC592" t="s">
        <v>59</v>
      </c>
      <c r="AD592" t="s">
        <v>59</v>
      </c>
      <c r="AE592" t="s">
        <v>59</v>
      </c>
      <c r="AF592" t="s">
        <v>59</v>
      </c>
      <c r="AG592" t="s">
        <v>59</v>
      </c>
      <c r="AH592" t="s">
        <v>61</v>
      </c>
      <c r="AI592" t="s">
        <v>61</v>
      </c>
      <c r="AJ592" t="s">
        <v>59</v>
      </c>
      <c r="AK592" t="s">
        <v>59</v>
      </c>
      <c r="AL592" t="s">
        <v>60</v>
      </c>
      <c r="AM592" t="s">
        <v>59</v>
      </c>
      <c r="AN592" t="s">
        <v>59</v>
      </c>
      <c r="AO592" t="s">
        <v>59</v>
      </c>
      <c r="AP592" t="s">
        <v>1341</v>
      </c>
      <c r="AQ592" t="s">
        <v>1342</v>
      </c>
      <c r="AR592" t="s">
        <v>226</v>
      </c>
      <c r="AS592" t="s">
        <v>1343</v>
      </c>
      <c r="AT592" t="s">
        <v>404</v>
      </c>
      <c r="AU592" t="s">
        <v>387</v>
      </c>
      <c r="AW592" s="4">
        <f t="shared" si="318"/>
        <v>6</v>
      </c>
      <c r="AX592" s="4">
        <f t="shared" si="319"/>
        <v>4</v>
      </c>
      <c r="AY592" s="4">
        <f t="shared" si="320"/>
        <v>4</v>
      </c>
      <c r="AZ592" s="4">
        <f t="shared" si="321"/>
        <v>2</v>
      </c>
      <c r="BA592" s="4">
        <f t="shared" si="322"/>
        <v>4</v>
      </c>
      <c r="BB592" s="4">
        <f t="shared" si="323"/>
        <v>4</v>
      </c>
      <c r="BC592" s="4">
        <f t="shared" si="324"/>
        <v>4</v>
      </c>
      <c r="BD592" s="4">
        <f t="shared" si="325"/>
        <v>2</v>
      </c>
      <c r="BE592" s="4" t="str">
        <f t="shared" si="326"/>
        <v>0</v>
      </c>
      <c r="BF592" s="4">
        <f t="shared" si="327"/>
        <v>2</v>
      </c>
      <c r="BG592" s="4">
        <f t="shared" si="328"/>
        <v>4</v>
      </c>
      <c r="BH592" s="4">
        <f t="shared" si="329"/>
        <v>4</v>
      </c>
      <c r="BI592" s="4">
        <f t="shared" si="330"/>
        <v>4</v>
      </c>
      <c r="BJ592" s="4" t="str">
        <f t="shared" si="331"/>
        <v>0</v>
      </c>
      <c r="BK592" s="4">
        <f t="shared" si="332"/>
        <v>4</v>
      </c>
      <c r="BL592" s="4">
        <f t="shared" si="333"/>
        <v>2</v>
      </c>
      <c r="BM592" s="4">
        <f t="shared" si="334"/>
        <v>4</v>
      </c>
      <c r="BN592" s="4">
        <f t="shared" si="335"/>
        <v>4</v>
      </c>
      <c r="BO592" s="4">
        <f t="shared" si="336"/>
        <v>4</v>
      </c>
      <c r="BP592" s="4">
        <f t="shared" si="337"/>
        <v>4</v>
      </c>
      <c r="BQ592" s="4">
        <f t="shared" si="338"/>
        <v>6</v>
      </c>
      <c r="BR592" s="4">
        <f t="shared" si="339"/>
        <v>4</v>
      </c>
      <c r="BS592" s="4">
        <f t="shared" si="340"/>
        <v>4</v>
      </c>
      <c r="BT592" s="4">
        <f t="shared" si="341"/>
        <v>4</v>
      </c>
      <c r="BU592" s="4">
        <f t="shared" si="342"/>
        <v>4</v>
      </c>
      <c r="BV592" s="4" t="str">
        <f t="shared" si="343"/>
        <v>0</v>
      </c>
      <c r="BW592" s="4">
        <f t="shared" si="344"/>
        <v>6</v>
      </c>
      <c r="BX592" s="4">
        <f t="shared" si="345"/>
        <v>0</v>
      </c>
      <c r="BY592" s="4">
        <f t="shared" si="346"/>
        <v>0</v>
      </c>
      <c r="BZ592" s="37">
        <f t="shared" si="347"/>
        <v>94</v>
      </c>
      <c r="CA592" s="32" t="str">
        <f>VLOOKUP(J:J,'Agent wise'!A:C,3,0)</f>
        <v>Amal</v>
      </c>
      <c r="CB592" s="32">
        <f t="shared" si="348"/>
        <v>45941</v>
      </c>
      <c r="CC592" t="str">
        <f t="shared" si="349"/>
        <v>Good</v>
      </c>
      <c r="CE592" s="32"/>
      <c r="CJ592">
        <f t="shared" si="350"/>
        <v>11</v>
      </c>
      <c r="CK592">
        <f t="shared" si="351"/>
        <v>10</v>
      </c>
      <c r="CL592">
        <f t="shared" si="352"/>
        <v>2025</v>
      </c>
    </row>
    <row r="593" spans="1:90" ht="15" customHeight="1" x14ac:dyDescent="0.35">
      <c r="A593" s="40">
        <v>45971.643310185187</v>
      </c>
      <c r="B593" t="s">
        <v>1076</v>
      </c>
      <c r="C593" t="s">
        <v>214</v>
      </c>
      <c r="D593" t="s">
        <v>101</v>
      </c>
      <c r="E593" s="32">
        <v>45941</v>
      </c>
      <c r="F593" t="s">
        <v>54</v>
      </c>
      <c r="G593" s="32">
        <v>45940</v>
      </c>
      <c r="H593">
        <v>8300144947</v>
      </c>
      <c r="I593">
        <v>141</v>
      </c>
      <c r="J593" t="s">
        <v>484</v>
      </c>
      <c r="K593" t="s">
        <v>71</v>
      </c>
      <c r="L593" t="s">
        <v>72</v>
      </c>
      <c r="M593" t="s">
        <v>59</v>
      </c>
      <c r="N593" t="s">
        <v>59</v>
      </c>
      <c r="O593" t="s">
        <v>59</v>
      </c>
      <c r="P593" t="s">
        <v>59</v>
      </c>
      <c r="Q593" t="s">
        <v>59</v>
      </c>
      <c r="R593" t="s">
        <v>60</v>
      </c>
      <c r="S593" t="s">
        <v>59</v>
      </c>
      <c r="T593" t="s">
        <v>59</v>
      </c>
      <c r="U593" t="s">
        <v>59</v>
      </c>
      <c r="V593" t="s">
        <v>59</v>
      </c>
      <c r="W593" t="s">
        <v>59</v>
      </c>
      <c r="X593" t="s">
        <v>59</v>
      </c>
      <c r="Y593" t="s">
        <v>59</v>
      </c>
      <c r="Z593" t="s">
        <v>59</v>
      </c>
      <c r="AA593" t="s">
        <v>60</v>
      </c>
      <c r="AB593" t="s">
        <v>59</v>
      </c>
      <c r="AC593" t="s">
        <v>59</v>
      </c>
      <c r="AD593" t="s">
        <v>59</v>
      </c>
      <c r="AE593" t="s">
        <v>59</v>
      </c>
      <c r="AF593" t="s">
        <v>59</v>
      </c>
      <c r="AG593" t="s">
        <v>59</v>
      </c>
      <c r="AH593" t="s">
        <v>59</v>
      </c>
      <c r="AI593" t="s">
        <v>61</v>
      </c>
      <c r="AJ593" t="s">
        <v>59</v>
      </c>
      <c r="AK593" t="s">
        <v>59</v>
      </c>
      <c r="AL593" t="s">
        <v>59</v>
      </c>
      <c r="AM593" t="s">
        <v>59</v>
      </c>
      <c r="AN593" t="s">
        <v>59</v>
      </c>
      <c r="AO593" t="s">
        <v>59</v>
      </c>
      <c r="AP593" t="s">
        <v>1344</v>
      </c>
      <c r="AQ593" s="1" t="s">
        <v>1345</v>
      </c>
      <c r="AR593" t="s">
        <v>64</v>
      </c>
      <c r="AS593" t="s">
        <v>198</v>
      </c>
      <c r="AT593" t="s">
        <v>199</v>
      </c>
      <c r="AU593" t="s">
        <v>299</v>
      </c>
      <c r="AW593" s="4">
        <f t="shared" si="318"/>
        <v>6</v>
      </c>
      <c r="AX593" s="4">
        <f t="shared" si="319"/>
        <v>4</v>
      </c>
      <c r="AY593" s="4">
        <f t="shared" si="320"/>
        <v>4</v>
      </c>
      <c r="AZ593" s="4">
        <f t="shared" si="321"/>
        <v>2</v>
      </c>
      <c r="BA593" s="4">
        <f t="shared" si="322"/>
        <v>4</v>
      </c>
      <c r="BB593" s="4" t="str">
        <f t="shared" si="323"/>
        <v>0</v>
      </c>
      <c r="BC593" s="4">
        <f t="shared" si="324"/>
        <v>4</v>
      </c>
      <c r="BD593" s="4">
        <f t="shared" si="325"/>
        <v>2</v>
      </c>
      <c r="BE593" s="4">
        <f t="shared" si="326"/>
        <v>4</v>
      </c>
      <c r="BF593" s="4">
        <f t="shared" si="327"/>
        <v>2</v>
      </c>
      <c r="BG593" s="4">
        <f t="shared" si="328"/>
        <v>4</v>
      </c>
      <c r="BH593" s="4">
        <f t="shared" si="329"/>
        <v>4</v>
      </c>
      <c r="BI593" s="4">
        <f t="shared" si="330"/>
        <v>4</v>
      </c>
      <c r="BJ593" s="4">
        <f t="shared" si="331"/>
        <v>2</v>
      </c>
      <c r="BK593" s="4" t="str">
        <f t="shared" si="332"/>
        <v>0</v>
      </c>
      <c r="BL593" s="4">
        <f t="shared" si="333"/>
        <v>2</v>
      </c>
      <c r="BM593" s="4">
        <f t="shared" si="334"/>
        <v>4</v>
      </c>
      <c r="BN593" s="4">
        <f t="shared" si="335"/>
        <v>4</v>
      </c>
      <c r="BO593" s="4">
        <f t="shared" si="336"/>
        <v>4</v>
      </c>
      <c r="BP593" s="4">
        <f t="shared" si="337"/>
        <v>4</v>
      </c>
      <c r="BQ593" s="4">
        <f t="shared" si="338"/>
        <v>6</v>
      </c>
      <c r="BR593" s="4">
        <f t="shared" si="339"/>
        <v>4</v>
      </c>
      <c r="BS593" s="4">
        <f t="shared" si="340"/>
        <v>4</v>
      </c>
      <c r="BT593" s="4">
        <f t="shared" si="341"/>
        <v>4</v>
      </c>
      <c r="BU593" s="4">
        <f t="shared" si="342"/>
        <v>4</v>
      </c>
      <c r="BV593" s="4">
        <f t="shared" si="343"/>
        <v>0</v>
      </c>
      <c r="BW593" s="4">
        <f t="shared" si="344"/>
        <v>6</v>
      </c>
      <c r="BX593" s="4">
        <f t="shared" si="345"/>
        <v>0</v>
      </c>
      <c r="BY593" s="4">
        <f t="shared" si="346"/>
        <v>0</v>
      </c>
      <c r="BZ593" s="37">
        <f t="shared" si="347"/>
        <v>92</v>
      </c>
      <c r="CA593" s="32" t="str">
        <f>VLOOKUP(J:J,'Agent wise'!A:C,3,0)</f>
        <v>Adharsh</v>
      </c>
      <c r="CB593" s="32">
        <f t="shared" si="348"/>
        <v>45941</v>
      </c>
      <c r="CC593" t="str">
        <f t="shared" si="349"/>
        <v>Good</v>
      </c>
      <c r="CE593" s="32"/>
      <c r="CJ593">
        <f t="shared" si="350"/>
        <v>11</v>
      </c>
      <c r="CK593">
        <f t="shared" si="351"/>
        <v>10</v>
      </c>
      <c r="CL593">
        <f t="shared" si="352"/>
        <v>2025</v>
      </c>
    </row>
    <row r="594" spans="1:90" ht="15" customHeight="1" x14ac:dyDescent="0.35">
      <c r="A594" s="40">
        <v>45971.645057870373</v>
      </c>
      <c r="B594" t="s">
        <v>250</v>
      </c>
      <c r="C594" t="s">
        <v>214</v>
      </c>
      <c r="D594" t="s">
        <v>251</v>
      </c>
      <c r="E594" s="32">
        <v>45941</v>
      </c>
      <c r="F594" t="s">
        <v>222</v>
      </c>
      <c r="G594" s="32">
        <v>45940</v>
      </c>
      <c r="H594">
        <v>6381021161</v>
      </c>
      <c r="I594">
        <v>138</v>
      </c>
      <c r="J594" t="s">
        <v>246</v>
      </c>
      <c r="K594" t="s">
        <v>71</v>
      </c>
      <c r="L594" t="s">
        <v>72</v>
      </c>
      <c r="M594" t="s">
        <v>59</v>
      </c>
      <c r="N594" t="s">
        <v>59</v>
      </c>
      <c r="O594" t="s">
        <v>59</v>
      </c>
      <c r="P594" t="s">
        <v>59</v>
      </c>
      <c r="Q594" t="s">
        <v>59</v>
      </c>
      <c r="R594" t="s">
        <v>59</v>
      </c>
      <c r="S594" t="s">
        <v>59</v>
      </c>
      <c r="T594" t="s">
        <v>59</v>
      </c>
      <c r="U594" t="s">
        <v>60</v>
      </c>
      <c r="V594" t="s">
        <v>59</v>
      </c>
      <c r="W594" t="s">
        <v>59</v>
      </c>
      <c r="X594" t="s">
        <v>59</v>
      </c>
      <c r="Y594" t="s">
        <v>59</v>
      </c>
      <c r="Z594" t="s">
        <v>59</v>
      </c>
      <c r="AA594" t="s">
        <v>59</v>
      </c>
      <c r="AB594" t="s">
        <v>60</v>
      </c>
      <c r="AC594" t="s">
        <v>59</v>
      </c>
      <c r="AD594" t="s">
        <v>59</v>
      </c>
      <c r="AE594" t="s">
        <v>59</v>
      </c>
      <c r="AF594" t="s">
        <v>59</v>
      </c>
      <c r="AG594" t="s">
        <v>59</v>
      </c>
      <c r="AH594" t="s">
        <v>61</v>
      </c>
      <c r="AI594" t="s">
        <v>61</v>
      </c>
      <c r="AJ594" t="s">
        <v>59</v>
      </c>
      <c r="AK594" t="s">
        <v>59</v>
      </c>
      <c r="AL594" t="s">
        <v>60</v>
      </c>
      <c r="AM594" t="s">
        <v>59</v>
      </c>
      <c r="AN594" t="s">
        <v>59</v>
      </c>
      <c r="AO594" t="s">
        <v>59</v>
      </c>
      <c r="AP594" t="s">
        <v>1346</v>
      </c>
      <c r="AQ594" t="s">
        <v>1347</v>
      </c>
      <c r="AR594" t="s">
        <v>226</v>
      </c>
      <c r="AS594" t="s">
        <v>402</v>
      </c>
      <c r="AT594" t="s">
        <v>404</v>
      </c>
      <c r="AU594" t="s">
        <v>219</v>
      </c>
      <c r="AW594" s="4">
        <f t="shared" si="318"/>
        <v>6</v>
      </c>
      <c r="AX594" s="4">
        <f t="shared" si="319"/>
        <v>4</v>
      </c>
      <c r="AY594" s="4">
        <f t="shared" si="320"/>
        <v>4</v>
      </c>
      <c r="AZ594" s="4">
        <f t="shared" si="321"/>
        <v>2</v>
      </c>
      <c r="BA594" s="4">
        <f t="shared" si="322"/>
        <v>4</v>
      </c>
      <c r="BB594" s="4">
        <f t="shared" si="323"/>
        <v>4</v>
      </c>
      <c r="BC594" s="4">
        <f t="shared" si="324"/>
        <v>4</v>
      </c>
      <c r="BD594" s="4">
        <f t="shared" si="325"/>
        <v>2</v>
      </c>
      <c r="BE594" s="4" t="str">
        <f t="shared" si="326"/>
        <v>0</v>
      </c>
      <c r="BF594" s="4">
        <f t="shared" si="327"/>
        <v>2</v>
      </c>
      <c r="BG594" s="4">
        <f t="shared" si="328"/>
        <v>4</v>
      </c>
      <c r="BH594" s="4">
        <f t="shared" si="329"/>
        <v>4</v>
      </c>
      <c r="BI594" s="4">
        <f t="shared" si="330"/>
        <v>4</v>
      </c>
      <c r="BJ594" s="4">
        <f t="shared" si="331"/>
        <v>2</v>
      </c>
      <c r="BK594" s="4">
        <f t="shared" si="332"/>
        <v>4</v>
      </c>
      <c r="BL594" s="4" t="str">
        <f t="shared" si="333"/>
        <v>0</v>
      </c>
      <c r="BM594" s="4">
        <f t="shared" si="334"/>
        <v>4</v>
      </c>
      <c r="BN594" s="4">
        <f t="shared" si="335"/>
        <v>4</v>
      </c>
      <c r="BO594" s="4">
        <f t="shared" si="336"/>
        <v>4</v>
      </c>
      <c r="BP594" s="4">
        <f t="shared" si="337"/>
        <v>4</v>
      </c>
      <c r="BQ594" s="4">
        <f t="shared" si="338"/>
        <v>6</v>
      </c>
      <c r="BR594" s="4">
        <f t="shared" si="339"/>
        <v>4</v>
      </c>
      <c r="BS594" s="4">
        <f t="shared" si="340"/>
        <v>4</v>
      </c>
      <c r="BT594" s="4">
        <f t="shared" si="341"/>
        <v>4</v>
      </c>
      <c r="BU594" s="4">
        <f t="shared" si="342"/>
        <v>4</v>
      </c>
      <c r="BV594" s="4" t="str">
        <f t="shared" si="343"/>
        <v>0</v>
      </c>
      <c r="BW594" s="4">
        <f t="shared" si="344"/>
        <v>6</v>
      </c>
      <c r="BX594" s="4">
        <f t="shared" si="345"/>
        <v>0</v>
      </c>
      <c r="BY594" s="4">
        <f t="shared" si="346"/>
        <v>0</v>
      </c>
      <c r="BZ594" s="37">
        <f t="shared" si="347"/>
        <v>94</v>
      </c>
      <c r="CA594" s="32" t="str">
        <f>VLOOKUP(J:J,'Agent wise'!A:C,3,0)</f>
        <v>Amal</v>
      </c>
      <c r="CB594" s="32">
        <f t="shared" si="348"/>
        <v>45941</v>
      </c>
      <c r="CC594" t="str">
        <f t="shared" si="349"/>
        <v>Good</v>
      </c>
      <c r="CE594" s="32"/>
      <c r="CJ594">
        <f t="shared" si="350"/>
        <v>11</v>
      </c>
      <c r="CK594">
        <f t="shared" si="351"/>
        <v>10</v>
      </c>
      <c r="CL594">
        <f t="shared" si="352"/>
        <v>2025</v>
      </c>
    </row>
    <row r="595" spans="1:90" ht="15" customHeight="1" x14ac:dyDescent="0.35">
      <c r="A595" s="40">
        <v>45971.649155092593</v>
      </c>
      <c r="B595" t="s">
        <v>250</v>
      </c>
      <c r="C595" t="s">
        <v>214</v>
      </c>
      <c r="D595" t="s">
        <v>251</v>
      </c>
      <c r="E595" s="32">
        <v>45941</v>
      </c>
      <c r="F595" t="s">
        <v>222</v>
      </c>
      <c r="G595" s="32">
        <v>45940</v>
      </c>
      <c r="H595">
        <v>9962525635</v>
      </c>
      <c r="I595">
        <v>146</v>
      </c>
      <c r="J595" t="s">
        <v>409</v>
      </c>
      <c r="K595" t="s">
        <v>86</v>
      </c>
      <c r="L595" t="s">
        <v>72</v>
      </c>
      <c r="M595" t="s">
        <v>59</v>
      </c>
      <c r="N595" t="s">
        <v>59</v>
      </c>
      <c r="O595" t="s">
        <v>59</v>
      </c>
      <c r="P595" t="s">
        <v>59</v>
      </c>
      <c r="Q595" t="s">
        <v>59</v>
      </c>
      <c r="R595" t="s">
        <v>59</v>
      </c>
      <c r="S595" t="s">
        <v>59</v>
      </c>
      <c r="T595" t="s">
        <v>59</v>
      </c>
      <c r="U595" t="s">
        <v>60</v>
      </c>
      <c r="V595" t="s">
        <v>59</v>
      </c>
      <c r="W595" t="s">
        <v>59</v>
      </c>
      <c r="X595" t="s">
        <v>59</v>
      </c>
      <c r="Y595" t="s">
        <v>59</v>
      </c>
      <c r="Z595" t="s">
        <v>60</v>
      </c>
      <c r="AA595" t="s">
        <v>59</v>
      </c>
      <c r="AB595" t="s">
        <v>59</v>
      </c>
      <c r="AC595" t="s">
        <v>59</v>
      </c>
      <c r="AD595" t="s">
        <v>59</v>
      </c>
      <c r="AE595" t="s">
        <v>59</v>
      </c>
      <c r="AF595" t="s">
        <v>59</v>
      </c>
      <c r="AG595" t="s">
        <v>59</v>
      </c>
      <c r="AH595" t="s">
        <v>61</v>
      </c>
      <c r="AI595" t="s">
        <v>61</v>
      </c>
      <c r="AJ595" t="s">
        <v>59</v>
      </c>
      <c r="AK595" t="s">
        <v>59</v>
      </c>
      <c r="AL595" t="s">
        <v>60</v>
      </c>
      <c r="AM595" t="s">
        <v>59</v>
      </c>
      <c r="AN595" t="s">
        <v>59</v>
      </c>
      <c r="AO595" t="s">
        <v>59</v>
      </c>
      <c r="AP595" t="s">
        <v>1348</v>
      </c>
      <c r="AQ595" t="s">
        <v>1349</v>
      </c>
      <c r="AR595" t="s">
        <v>226</v>
      </c>
      <c r="AS595" t="s">
        <v>720</v>
      </c>
      <c r="AT595" t="s">
        <v>394</v>
      </c>
      <c r="AU595" t="s">
        <v>219</v>
      </c>
      <c r="AW595" s="4">
        <f t="shared" si="318"/>
        <v>6</v>
      </c>
      <c r="AX595" s="4">
        <f t="shared" si="319"/>
        <v>4</v>
      </c>
      <c r="AY595" s="4">
        <f t="shared" si="320"/>
        <v>4</v>
      </c>
      <c r="AZ595" s="4">
        <f t="shared" si="321"/>
        <v>2</v>
      </c>
      <c r="BA595" s="4">
        <f t="shared" si="322"/>
        <v>4</v>
      </c>
      <c r="BB595" s="4">
        <f t="shared" si="323"/>
        <v>4</v>
      </c>
      <c r="BC595" s="4">
        <f t="shared" si="324"/>
        <v>4</v>
      </c>
      <c r="BD595" s="4">
        <f t="shared" si="325"/>
        <v>2</v>
      </c>
      <c r="BE595" s="4" t="str">
        <f t="shared" si="326"/>
        <v>0</v>
      </c>
      <c r="BF595" s="4">
        <f t="shared" si="327"/>
        <v>2</v>
      </c>
      <c r="BG595" s="4">
        <f t="shared" si="328"/>
        <v>4</v>
      </c>
      <c r="BH595" s="4">
        <f t="shared" si="329"/>
        <v>4</v>
      </c>
      <c r="BI595" s="4">
        <f t="shared" si="330"/>
        <v>4</v>
      </c>
      <c r="BJ595" s="4" t="str">
        <f t="shared" si="331"/>
        <v>0</v>
      </c>
      <c r="BK595" s="4">
        <f t="shared" si="332"/>
        <v>4</v>
      </c>
      <c r="BL595" s="4">
        <f t="shared" si="333"/>
        <v>2</v>
      </c>
      <c r="BM595" s="4">
        <f t="shared" si="334"/>
        <v>4</v>
      </c>
      <c r="BN595" s="4">
        <f t="shared" si="335"/>
        <v>4</v>
      </c>
      <c r="BO595" s="4">
        <f t="shared" si="336"/>
        <v>4</v>
      </c>
      <c r="BP595" s="4">
        <f t="shared" si="337"/>
        <v>4</v>
      </c>
      <c r="BQ595" s="4">
        <f t="shared" si="338"/>
        <v>6</v>
      </c>
      <c r="BR595" s="4">
        <f t="shared" si="339"/>
        <v>4</v>
      </c>
      <c r="BS595" s="4">
        <f t="shared" si="340"/>
        <v>4</v>
      </c>
      <c r="BT595" s="4">
        <f t="shared" si="341"/>
        <v>4</v>
      </c>
      <c r="BU595" s="4">
        <f t="shared" si="342"/>
        <v>4</v>
      </c>
      <c r="BV595" s="4" t="str">
        <f t="shared" si="343"/>
        <v>0</v>
      </c>
      <c r="BW595" s="4">
        <f t="shared" si="344"/>
        <v>6</v>
      </c>
      <c r="BX595" s="4">
        <f t="shared" si="345"/>
        <v>0</v>
      </c>
      <c r="BY595" s="4">
        <f t="shared" si="346"/>
        <v>0</v>
      </c>
      <c r="BZ595" s="37">
        <f t="shared" si="347"/>
        <v>94</v>
      </c>
      <c r="CA595" s="32" t="str">
        <f>VLOOKUP(J:J,'Agent wise'!A:C,3,0)</f>
        <v>Amal</v>
      </c>
      <c r="CB595" s="32">
        <f t="shared" si="348"/>
        <v>45941</v>
      </c>
      <c r="CC595" t="str">
        <f t="shared" si="349"/>
        <v>Good</v>
      </c>
      <c r="CE595" s="32"/>
      <c r="CJ595">
        <f t="shared" si="350"/>
        <v>11</v>
      </c>
      <c r="CK595">
        <f t="shared" si="351"/>
        <v>10</v>
      </c>
      <c r="CL595">
        <f t="shared" si="352"/>
        <v>2025</v>
      </c>
    </row>
    <row r="596" spans="1:90" ht="15" customHeight="1" x14ac:dyDescent="0.35">
      <c r="A596" s="40">
        <v>45971.653449074067</v>
      </c>
      <c r="B596" t="s">
        <v>250</v>
      </c>
      <c r="C596" t="s">
        <v>214</v>
      </c>
      <c r="D596" t="s">
        <v>251</v>
      </c>
      <c r="E596" s="32">
        <v>45941</v>
      </c>
      <c r="F596" t="s">
        <v>222</v>
      </c>
      <c r="G596" s="32">
        <v>45940</v>
      </c>
      <c r="H596">
        <v>7449150241</v>
      </c>
      <c r="I596">
        <v>156</v>
      </c>
      <c r="J596" t="s">
        <v>501</v>
      </c>
      <c r="K596" t="s">
        <v>71</v>
      </c>
      <c r="L596" t="s">
        <v>72</v>
      </c>
      <c r="M596" t="s">
        <v>59</v>
      </c>
      <c r="N596" t="s">
        <v>59</v>
      </c>
      <c r="O596" t="s">
        <v>59</v>
      </c>
      <c r="P596" t="s">
        <v>59</v>
      </c>
      <c r="Q596" t="s">
        <v>59</v>
      </c>
      <c r="R596" t="s">
        <v>60</v>
      </c>
      <c r="S596" t="s">
        <v>59</v>
      </c>
      <c r="T596" t="s">
        <v>59</v>
      </c>
      <c r="U596" t="s">
        <v>60</v>
      </c>
      <c r="V596" t="s">
        <v>59</v>
      </c>
      <c r="W596" t="s">
        <v>59</v>
      </c>
      <c r="X596" t="s">
        <v>59</v>
      </c>
      <c r="Y596" t="s">
        <v>59</v>
      </c>
      <c r="Z596" t="s">
        <v>59</v>
      </c>
      <c r="AA596" t="s">
        <v>60</v>
      </c>
      <c r="AB596" t="s">
        <v>59</v>
      </c>
      <c r="AC596" t="s">
        <v>61</v>
      </c>
      <c r="AD596" t="s">
        <v>59</v>
      </c>
      <c r="AE596" t="s">
        <v>59</v>
      </c>
      <c r="AF596" t="s">
        <v>59</v>
      </c>
      <c r="AG596" t="s">
        <v>59</v>
      </c>
      <c r="AH596" t="s">
        <v>61</v>
      </c>
      <c r="AI596" t="s">
        <v>61</v>
      </c>
      <c r="AJ596" t="s">
        <v>59</v>
      </c>
      <c r="AK596" t="s">
        <v>59</v>
      </c>
      <c r="AL596" t="s">
        <v>60</v>
      </c>
      <c r="AM596" t="s">
        <v>59</v>
      </c>
      <c r="AN596" t="s">
        <v>59</v>
      </c>
      <c r="AO596" t="s">
        <v>59</v>
      </c>
      <c r="AP596" t="s">
        <v>1350</v>
      </c>
      <c r="AQ596" t="s">
        <v>1351</v>
      </c>
      <c r="AR596" t="s">
        <v>64</v>
      </c>
      <c r="AS596" t="s">
        <v>1160</v>
      </c>
      <c r="AT596" t="s">
        <v>394</v>
      </c>
      <c r="AU596" t="s">
        <v>219</v>
      </c>
      <c r="AW596" s="4">
        <f t="shared" si="318"/>
        <v>6</v>
      </c>
      <c r="AX596" s="4">
        <f t="shared" si="319"/>
        <v>4</v>
      </c>
      <c r="AY596" s="4">
        <f t="shared" si="320"/>
        <v>4</v>
      </c>
      <c r="AZ596" s="4">
        <f t="shared" si="321"/>
        <v>2</v>
      </c>
      <c r="BA596" s="4">
        <f t="shared" si="322"/>
        <v>4</v>
      </c>
      <c r="BB596" s="4" t="str">
        <f t="shared" si="323"/>
        <v>0</v>
      </c>
      <c r="BC596" s="4">
        <f t="shared" si="324"/>
        <v>4</v>
      </c>
      <c r="BD596" s="4">
        <f t="shared" si="325"/>
        <v>2</v>
      </c>
      <c r="BE596" s="4" t="str">
        <f t="shared" si="326"/>
        <v>0</v>
      </c>
      <c r="BF596" s="4">
        <f t="shared" si="327"/>
        <v>2</v>
      </c>
      <c r="BG596" s="4">
        <f t="shared" si="328"/>
        <v>4</v>
      </c>
      <c r="BH596" s="4">
        <f t="shared" si="329"/>
        <v>4</v>
      </c>
      <c r="BI596" s="4">
        <f t="shared" si="330"/>
        <v>4</v>
      </c>
      <c r="BJ596" s="4">
        <f t="shared" si="331"/>
        <v>2</v>
      </c>
      <c r="BK596" s="4" t="str">
        <f t="shared" si="332"/>
        <v>0</v>
      </c>
      <c r="BL596" s="4">
        <f t="shared" si="333"/>
        <v>2</v>
      </c>
      <c r="BM596" s="4">
        <f t="shared" si="334"/>
        <v>4</v>
      </c>
      <c r="BN596" s="4">
        <f t="shared" si="335"/>
        <v>4</v>
      </c>
      <c r="BO596" s="4">
        <f t="shared" si="336"/>
        <v>4</v>
      </c>
      <c r="BP596" s="4">
        <f t="shared" si="337"/>
        <v>4</v>
      </c>
      <c r="BQ596" s="4">
        <f t="shared" si="338"/>
        <v>6</v>
      </c>
      <c r="BR596" s="4">
        <f t="shared" si="339"/>
        <v>4</v>
      </c>
      <c r="BS596" s="4">
        <f t="shared" si="340"/>
        <v>4</v>
      </c>
      <c r="BT596" s="4">
        <f t="shared" si="341"/>
        <v>4</v>
      </c>
      <c r="BU596" s="4">
        <f t="shared" si="342"/>
        <v>4</v>
      </c>
      <c r="BV596" s="4" t="str">
        <f t="shared" si="343"/>
        <v>0</v>
      </c>
      <c r="BW596" s="4">
        <f t="shared" si="344"/>
        <v>6</v>
      </c>
      <c r="BX596" s="4">
        <f t="shared" si="345"/>
        <v>0</v>
      </c>
      <c r="BY596" s="4">
        <f t="shared" si="346"/>
        <v>0</v>
      </c>
      <c r="BZ596" s="37">
        <f t="shared" si="347"/>
        <v>88</v>
      </c>
      <c r="CA596" s="32" t="str">
        <f>VLOOKUP(J:J,'Agent wise'!A:C,3,0)</f>
        <v>Amal</v>
      </c>
      <c r="CB596" s="32">
        <f t="shared" si="348"/>
        <v>45941</v>
      </c>
      <c r="CC596" t="str">
        <f t="shared" si="349"/>
        <v>Average</v>
      </c>
      <c r="CE596" s="32"/>
      <c r="CJ596">
        <f t="shared" si="350"/>
        <v>11</v>
      </c>
      <c r="CK596">
        <f t="shared" si="351"/>
        <v>10</v>
      </c>
      <c r="CL596">
        <f t="shared" si="352"/>
        <v>2025</v>
      </c>
    </row>
    <row r="597" spans="1:90" ht="15" customHeight="1" x14ac:dyDescent="0.35">
      <c r="A597" s="40">
        <v>45971.66</v>
      </c>
      <c r="B597" t="s">
        <v>100</v>
      </c>
      <c r="C597" t="s">
        <v>214</v>
      </c>
      <c r="D597" t="s">
        <v>101</v>
      </c>
      <c r="E597" s="32">
        <v>45941</v>
      </c>
      <c r="F597" t="s">
        <v>54</v>
      </c>
      <c r="G597" s="32">
        <v>45940</v>
      </c>
      <c r="H597">
        <v>9656546124</v>
      </c>
      <c r="I597">
        <v>150</v>
      </c>
      <c r="J597" t="s">
        <v>80</v>
      </c>
      <c r="K597" t="s">
        <v>57</v>
      </c>
      <c r="L597" t="s">
        <v>58</v>
      </c>
      <c r="M597" t="s">
        <v>60</v>
      </c>
      <c r="N597" t="s">
        <v>59</v>
      </c>
      <c r="O597" t="s">
        <v>59</v>
      </c>
      <c r="P597" t="s">
        <v>59</v>
      </c>
      <c r="Q597" t="s">
        <v>59</v>
      </c>
      <c r="R597" t="s">
        <v>59</v>
      </c>
      <c r="S597" t="s">
        <v>59</v>
      </c>
      <c r="T597" t="s">
        <v>59</v>
      </c>
      <c r="U597" t="s">
        <v>59</v>
      </c>
      <c r="V597" t="s">
        <v>59</v>
      </c>
      <c r="W597" t="s">
        <v>59</v>
      </c>
      <c r="X597" t="s">
        <v>59</v>
      </c>
      <c r="Y597" t="s">
        <v>59</v>
      </c>
      <c r="Z597" t="s">
        <v>59</v>
      </c>
      <c r="AA597" t="s">
        <v>59</v>
      </c>
      <c r="AB597" t="s">
        <v>59</v>
      </c>
      <c r="AC597" t="s">
        <v>59</v>
      </c>
      <c r="AD597" t="s">
        <v>59</v>
      </c>
      <c r="AE597" t="s">
        <v>59</v>
      </c>
      <c r="AF597" t="s">
        <v>59</v>
      </c>
      <c r="AG597" t="s">
        <v>59</v>
      </c>
      <c r="AH597" t="s">
        <v>59</v>
      </c>
      <c r="AI597" t="s">
        <v>61</v>
      </c>
      <c r="AJ597" t="s">
        <v>59</v>
      </c>
      <c r="AK597" t="s">
        <v>59</v>
      </c>
      <c r="AL597" t="s">
        <v>59</v>
      </c>
      <c r="AM597" t="s">
        <v>59</v>
      </c>
      <c r="AN597" t="s">
        <v>59</v>
      </c>
      <c r="AO597" t="s">
        <v>60</v>
      </c>
      <c r="AP597" t="s">
        <v>1352</v>
      </c>
      <c r="AQ597" s="1" t="s">
        <v>1353</v>
      </c>
      <c r="AR597" t="s">
        <v>64</v>
      </c>
      <c r="AS597" t="s">
        <v>89</v>
      </c>
      <c r="AT597" t="s">
        <v>293</v>
      </c>
      <c r="AU597" t="s">
        <v>299</v>
      </c>
      <c r="AW597" s="4" t="str">
        <f t="shared" si="318"/>
        <v>0</v>
      </c>
      <c r="AX597" s="4">
        <f t="shared" si="319"/>
        <v>4</v>
      </c>
      <c r="AY597" s="4">
        <f t="shared" si="320"/>
        <v>4</v>
      </c>
      <c r="AZ597" s="4">
        <f t="shared" si="321"/>
        <v>2</v>
      </c>
      <c r="BA597" s="4">
        <f t="shared" si="322"/>
        <v>4</v>
      </c>
      <c r="BB597" s="4">
        <f t="shared" si="323"/>
        <v>4</v>
      </c>
      <c r="BC597" s="4">
        <f t="shared" si="324"/>
        <v>4</v>
      </c>
      <c r="BD597" s="4">
        <f t="shared" si="325"/>
        <v>2</v>
      </c>
      <c r="BE597" s="4">
        <f t="shared" si="326"/>
        <v>4</v>
      </c>
      <c r="BF597" s="4">
        <f t="shared" si="327"/>
        <v>2</v>
      </c>
      <c r="BG597" s="4">
        <f t="shared" si="328"/>
        <v>4</v>
      </c>
      <c r="BH597" s="4">
        <f t="shared" si="329"/>
        <v>4</v>
      </c>
      <c r="BI597" s="4">
        <f t="shared" si="330"/>
        <v>4</v>
      </c>
      <c r="BJ597" s="4">
        <f t="shared" si="331"/>
        <v>2</v>
      </c>
      <c r="BK597" s="4">
        <f t="shared" si="332"/>
        <v>4</v>
      </c>
      <c r="BL597" s="4">
        <f t="shared" si="333"/>
        <v>2</v>
      </c>
      <c r="BM597" s="4">
        <f t="shared" si="334"/>
        <v>4</v>
      </c>
      <c r="BN597" s="4">
        <f t="shared" si="335"/>
        <v>4</v>
      </c>
      <c r="BO597" s="4">
        <f t="shared" si="336"/>
        <v>4</v>
      </c>
      <c r="BP597" s="4">
        <f t="shared" si="337"/>
        <v>4</v>
      </c>
      <c r="BQ597" s="4">
        <f t="shared" si="338"/>
        <v>6</v>
      </c>
      <c r="BR597" s="4">
        <f t="shared" si="339"/>
        <v>4</v>
      </c>
      <c r="BS597" s="4">
        <f t="shared" si="340"/>
        <v>4</v>
      </c>
      <c r="BT597" s="4">
        <f t="shared" si="341"/>
        <v>4</v>
      </c>
      <c r="BU597" s="4">
        <f t="shared" si="342"/>
        <v>4</v>
      </c>
      <c r="BV597" s="4">
        <f t="shared" si="343"/>
        <v>0</v>
      </c>
      <c r="BW597" s="4">
        <f t="shared" si="344"/>
        <v>6</v>
      </c>
      <c r="BX597" s="4">
        <f t="shared" si="345"/>
        <v>0</v>
      </c>
      <c r="BY597" s="4" t="str">
        <f t="shared" si="346"/>
        <v>0</v>
      </c>
      <c r="BZ597" s="37">
        <f t="shared" si="347"/>
        <v>94</v>
      </c>
      <c r="CA597" s="32" t="str">
        <f>VLOOKUP(J:J,'Agent wise'!A:C,3,0)</f>
        <v>Saran S</v>
      </c>
      <c r="CB597" s="32">
        <f t="shared" si="348"/>
        <v>45941</v>
      </c>
      <c r="CC597" t="str">
        <f t="shared" si="349"/>
        <v>Good</v>
      </c>
      <c r="CE597" s="32"/>
      <c r="CJ597">
        <f t="shared" si="350"/>
        <v>11</v>
      </c>
      <c r="CK597">
        <f t="shared" si="351"/>
        <v>10</v>
      </c>
      <c r="CL597">
        <f t="shared" si="352"/>
        <v>2025</v>
      </c>
    </row>
    <row r="598" spans="1:90" ht="15" customHeight="1" x14ac:dyDescent="0.35">
      <c r="A598" s="40">
        <v>45971.664525462962</v>
      </c>
      <c r="B598" t="s">
        <v>100</v>
      </c>
      <c r="C598" t="s">
        <v>214</v>
      </c>
      <c r="D598" t="s">
        <v>101</v>
      </c>
      <c r="E598" s="32">
        <v>45941</v>
      </c>
      <c r="F598" t="s">
        <v>54</v>
      </c>
      <c r="G598" s="32">
        <v>45940</v>
      </c>
      <c r="H598">
        <v>9524803506</v>
      </c>
      <c r="I598">
        <v>150</v>
      </c>
      <c r="J598" t="s">
        <v>490</v>
      </c>
      <c r="K598" t="s">
        <v>71</v>
      </c>
      <c r="L598" t="s">
        <v>72</v>
      </c>
      <c r="M598" t="s">
        <v>59</v>
      </c>
      <c r="N598" t="s">
        <v>59</v>
      </c>
      <c r="O598" t="s">
        <v>59</v>
      </c>
      <c r="P598" t="s">
        <v>59</v>
      </c>
      <c r="Q598" t="s">
        <v>59</v>
      </c>
      <c r="R598" t="s">
        <v>60</v>
      </c>
      <c r="S598" t="s">
        <v>59</v>
      </c>
      <c r="T598" t="s">
        <v>59</v>
      </c>
      <c r="U598" t="s">
        <v>59</v>
      </c>
      <c r="V598" t="s">
        <v>59</v>
      </c>
      <c r="W598" t="s">
        <v>59</v>
      </c>
      <c r="X598" t="s">
        <v>59</v>
      </c>
      <c r="Y598" t="s">
        <v>59</v>
      </c>
      <c r="Z598" t="s">
        <v>59</v>
      </c>
      <c r="AA598" t="s">
        <v>60</v>
      </c>
      <c r="AB598" t="s">
        <v>60</v>
      </c>
      <c r="AC598" t="s">
        <v>59</v>
      </c>
      <c r="AD598" t="s">
        <v>59</v>
      </c>
      <c r="AE598" t="s">
        <v>59</v>
      </c>
      <c r="AF598" t="s">
        <v>59</v>
      </c>
      <c r="AG598" t="s">
        <v>59</v>
      </c>
      <c r="AH598" t="s">
        <v>59</v>
      </c>
      <c r="AI598" t="s">
        <v>61</v>
      </c>
      <c r="AJ598" t="s">
        <v>59</v>
      </c>
      <c r="AK598" t="s">
        <v>59</v>
      </c>
      <c r="AL598" t="s">
        <v>59</v>
      </c>
      <c r="AM598" t="s">
        <v>59</v>
      </c>
      <c r="AN598" t="s">
        <v>59</v>
      </c>
      <c r="AO598" t="s">
        <v>59</v>
      </c>
      <c r="AP598" t="s">
        <v>1039</v>
      </c>
      <c r="AQ598" s="1" t="s">
        <v>1354</v>
      </c>
      <c r="AR598" t="s">
        <v>64</v>
      </c>
      <c r="AS598" t="s">
        <v>175</v>
      </c>
      <c r="AT598" t="s">
        <v>176</v>
      </c>
      <c r="AU598" t="s">
        <v>299</v>
      </c>
      <c r="AW598" s="4">
        <f t="shared" si="318"/>
        <v>6</v>
      </c>
      <c r="AX598" s="4">
        <f t="shared" si="319"/>
        <v>4</v>
      </c>
      <c r="AY598" s="4">
        <f t="shared" si="320"/>
        <v>4</v>
      </c>
      <c r="AZ598" s="4">
        <f t="shared" si="321"/>
        <v>2</v>
      </c>
      <c r="BA598" s="4">
        <f t="shared" si="322"/>
        <v>4</v>
      </c>
      <c r="BB598" s="4" t="str">
        <f t="shared" si="323"/>
        <v>0</v>
      </c>
      <c r="BC598" s="4">
        <f t="shared" si="324"/>
        <v>4</v>
      </c>
      <c r="BD598" s="4">
        <f t="shared" si="325"/>
        <v>2</v>
      </c>
      <c r="BE598" s="4">
        <f t="shared" si="326"/>
        <v>4</v>
      </c>
      <c r="BF598" s="4">
        <f t="shared" si="327"/>
        <v>2</v>
      </c>
      <c r="BG598" s="4">
        <f t="shared" si="328"/>
        <v>4</v>
      </c>
      <c r="BH598" s="4">
        <f t="shared" si="329"/>
        <v>4</v>
      </c>
      <c r="BI598" s="4">
        <f t="shared" si="330"/>
        <v>4</v>
      </c>
      <c r="BJ598" s="4">
        <f t="shared" si="331"/>
        <v>2</v>
      </c>
      <c r="BK598" s="4" t="str">
        <f t="shared" si="332"/>
        <v>0</v>
      </c>
      <c r="BL598" s="4" t="str">
        <f t="shared" si="333"/>
        <v>0</v>
      </c>
      <c r="BM598" s="4">
        <f t="shared" si="334"/>
        <v>4</v>
      </c>
      <c r="BN598" s="4">
        <f t="shared" si="335"/>
        <v>4</v>
      </c>
      <c r="BO598" s="4">
        <f t="shared" si="336"/>
        <v>4</v>
      </c>
      <c r="BP598" s="4">
        <f t="shared" si="337"/>
        <v>4</v>
      </c>
      <c r="BQ598" s="4">
        <f t="shared" si="338"/>
        <v>6</v>
      </c>
      <c r="BR598" s="4">
        <f t="shared" si="339"/>
        <v>4</v>
      </c>
      <c r="BS598" s="4">
        <f t="shared" si="340"/>
        <v>4</v>
      </c>
      <c r="BT598" s="4">
        <f t="shared" si="341"/>
        <v>4</v>
      </c>
      <c r="BU598" s="4">
        <f t="shared" si="342"/>
        <v>4</v>
      </c>
      <c r="BV598" s="4">
        <f t="shared" si="343"/>
        <v>0</v>
      </c>
      <c r="BW598" s="4">
        <f t="shared" si="344"/>
        <v>6</v>
      </c>
      <c r="BX598" s="4">
        <f t="shared" si="345"/>
        <v>0</v>
      </c>
      <c r="BY598" s="4">
        <f t="shared" si="346"/>
        <v>0</v>
      </c>
      <c r="BZ598" s="37">
        <f t="shared" si="347"/>
        <v>90</v>
      </c>
      <c r="CA598" s="32" t="str">
        <f>VLOOKUP(J:J,'Agent wise'!A:C,3,0)</f>
        <v>Saran S</v>
      </c>
      <c r="CB598" s="32">
        <f t="shared" si="348"/>
        <v>45941</v>
      </c>
      <c r="CC598" t="str">
        <f t="shared" si="349"/>
        <v>Good</v>
      </c>
      <c r="CE598" s="32"/>
      <c r="CJ598">
        <f t="shared" si="350"/>
        <v>11</v>
      </c>
      <c r="CK598">
        <f t="shared" si="351"/>
        <v>10</v>
      </c>
      <c r="CL598">
        <f t="shared" si="352"/>
        <v>2025</v>
      </c>
    </row>
    <row r="599" spans="1:90" ht="15" customHeight="1" x14ac:dyDescent="0.35">
      <c r="A599" s="40">
        <v>45971.669120370367</v>
      </c>
      <c r="B599" t="s">
        <v>177</v>
      </c>
      <c r="C599" t="s">
        <v>214</v>
      </c>
      <c r="D599" t="s">
        <v>178</v>
      </c>
      <c r="E599" s="32">
        <v>45935</v>
      </c>
      <c r="F599" t="s">
        <v>54</v>
      </c>
      <c r="G599" s="32">
        <v>45934</v>
      </c>
      <c r="H599">
        <v>9443759915</v>
      </c>
      <c r="I599">
        <v>129</v>
      </c>
      <c r="J599" t="s">
        <v>208</v>
      </c>
      <c r="K599" t="s">
        <v>71</v>
      </c>
      <c r="L599" t="s">
        <v>72</v>
      </c>
      <c r="M599" t="s">
        <v>59</v>
      </c>
      <c r="N599" t="s">
        <v>59</v>
      </c>
      <c r="O599" t="s">
        <v>59</v>
      </c>
      <c r="P599" t="s">
        <v>59</v>
      </c>
      <c r="Q599" t="s">
        <v>59</v>
      </c>
      <c r="R599" t="s">
        <v>59</v>
      </c>
      <c r="S599" t="s">
        <v>59</v>
      </c>
      <c r="T599" t="s">
        <v>59</v>
      </c>
      <c r="U599" t="s">
        <v>59</v>
      </c>
      <c r="V599" t="s">
        <v>59</v>
      </c>
      <c r="W599" t="s">
        <v>59</v>
      </c>
      <c r="X599" t="s">
        <v>59</v>
      </c>
      <c r="Y599" t="s">
        <v>59</v>
      </c>
      <c r="Z599" t="s">
        <v>59</v>
      </c>
      <c r="AA599" t="s">
        <v>59</v>
      </c>
      <c r="AB599" t="s">
        <v>59</v>
      </c>
      <c r="AC599" t="s">
        <v>61</v>
      </c>
      <c r="AD599" t="s">
        <v>59</v>
      </c>
      <c r="AE599" t="s">
        <v>59</v>
      </c>
      <c r="AF599" t="s">
        <v>59</v>
      </c>
      <c r="AG599" t="s">
        <v>59</v>
      </c>
      <c r="AH599" t="s">
        <v>59</v>
      </c>
      <c r="AI599" t="s">
        <v>61</v>
      </c>
      <c r="AJ599" t="s">
        <v>59</v>
      </c>
      <c r="AK599" t="s">
        <v>59</v>
      </c>
      <c r="AL599" t="s">
        <v>59</v>
      </c>
      <c r="AM599" t="s">
        <v>59</v>
      </c>
      <c r="AN599" t="s">
        <v>59</v>
      </c>
      <c r="AO599" t="s">
        <v>59</v>
      </c>
      <c r="AP599" t="s">
        <v>270</v>
      </c>
      <c r="AQ599" t="s">
        <v>1303</v>
      </c>
      <c r="AR599" t="s">
        <v>64</v>
      </c>
      <c r="AS599" t="s">
        <v>171</v>
      </c>
      <c r="AT599" t="s">
        <v>190</v>
      </c>
      <c r="AU599" t="s">
        <v>219</v>
      </c>
      <c r="AW599" s="4">
        <f t="shared" si="318"/>
        <v>6</v>
      </c>
      <c r="AX599" s="4">
        <f t="shared" si="319"/>
        <v>4</v>
      </c>
      <c r="AY599" s="4">
        <f t="shared" si="320"/>
        <v>4</v>
      </c>
      <c r="AZ599" s="4">
        <f t="shared" si="321"/>
        <v>2</v>
      </c>
      <c r="BA599" s="4">
        <f t="shared" si="322"/>
        <v>4</v>
      </c>
      <c r="BB599" s="4">
        <f t="shared" si="323"/>
        <v>4</v>
      </c>
      <c r="BC599" s="4">
        <f t="shared" si="324"/>
        <v>4</v>
      </c>
      <c r="BD599" s="4">
        <f t="shared" si="325"/>
        <v>2</v>
      </c>
      <c r="BE599" s="4">
        <f t="shared" si="326"/>
        <v>4</v>
      </c>
      <c r="BF599" s="4">
        <f t="shared" si="327"/>
        <v>2</v>
      </c>
      <c r="BG599" s="4">
        <f t="shared" si="328"/>
        <v>4</v>
      </c>
      <c r="BH599" s="4">
        <f t="shared" si="329"/>
        <v>4</v>
      </c>
      <c r="BI599" s="4">
        <f t="shared" si="330"/>
        <v>4</v>
      </c>
      <c r="BJ599" s="4">
        <f t="shared" si="331"/>
        <v>2</v>
      </c>
      <c r="BK599" s="4">
        <f t="shared" si="332"/>
        <v>4</v>
      </c>
      <c r="BL599" s="4">
        <f t="shared" si="333"/>
        <v>2</v>
      </c>
      <c r="BM599" s="4">
        <f t="shared" si="334"/>
        <v>4</v>
      </c>
      <c r="BN599" s="4">
        <f t="shared" si="335"/>
        <v>4</v>
      </c>
      <c r="BO599" s="4">
        <f t="shared" si="336"/>
        <v>4</v>
      </c>
      <c r="BP599" s="4">
        <f t="shared" si="337"/>
        <v>4</v>
      </c>
      <c r="BQ599" s="4">
        <f t="shared" si="338"/>
        <v>6</v>
      </c>
      <c r="BR599" s="4">
        <f t="shared" si="339"/>
        <v>4</v>
      </c>
      <c r="BS599" s="4">
        <f t="shared" si="340"/>
        <v>4</v>
      </c>
      <c r="BT599" s="4">
        <f t="shared" si="341"/>
        <v>4</v>
      </c>
      <c r="BU599" s="4">
        <f t="shared" si="342"/>
        <v>4</v>
      </c>
      <c r="BV599" s="4">
        <f t="shared" si="343"/>
        <v>0</v>
      </c>
      <c r="BW599" s="4">
        <f t="shared" si="344"/>
        <v>6</v>
      </c>
      <c r="BX599" s="4">
        <f t="shared" si="345"/>
        <v>0</v>
      </c>
      <c r="BY599" s="4">
        <f t="shared" si="346"/>
        <v>0</v>
      </c>
      <c r="BZ599" s="37">
        <f t="shared" si="347"/>
        <v>100</v>
      </c>
      <c r="CA599" s="32" t="str">
        <f>VLOOKUP(J:J,'Agent wise'!A:C,3,0)</f>
        <v>Adharsh</v>
      </c>
      <c r="CB599" s="32">
        <f t="shared" si="348"/>
        <v>45935</v>
      </c>
      <c r="CC599" t="str">
        <f t="shared" si="349"/>
        <v>Excellent</v>
      </c>
      <c r="CE599" s="32"/>
      <c r="CJ599">
        <f t="shared" si="350"/>
        <v>5</v>
      </c>
      <c r="CK599">
        <f t="shared" si="351"/>
        <v>10</v>
      </c>
      <c r="CL599">
        <f t="shared" si="352"/>
        <v>2025</v>
      </c>
    </row>
    <row r="600" spans="1:90" ht="15" customHeight="1" x14ac:dyDescent="0.35">
      <c r="A600" s="40">
        <v>45971.684374999997</v>
      </c>
      <c r="B600" t="s">
        <v>100</v>
      </c>
      <c r="C600" t="s">
        <v>214</v>
      </c>
      <c r="D600" t="s">
        <v>101</v>
      </c>
      <c r="E600" s="32">
        <v>45941</v>
      </c>
      <c r="F600" t="s">
        <v>222</v>
      </c>
      <c r="G600" s="32">
        <v>45940</v>
      </c>
      <c r="H600">
        <v>8075975392</v>
      </c>
      <c r="I600">
        <v>130</v>
      </c>
      <c r="J600" t="s">
        <v>80</v>
      </c>
      <c r="K600" t="s">
        <v>57</v>
      </c>
      <c r="L600" t="s">
        <v>58</v>
      </c>
      <c r="M600" t="s">
        <v>59</v>
      </c>
      <c r="N600" t="s">
        <v>59</v>
      </c>
      <c r="O600" t="s">
        <v>59</v>
      </c>
      <c r="P600" t="s">
        <v>59</v>
      </c>
      <c r="Q600" t="s">
        <v>59</v>
      </c>
      <c r="R600" t="s">
        <v>60</v>
      </c>
      <c r="S600" t="s">
        <v>59</v>
      </c>
      <c r="T600" t="s">
        <v>59</v>
      </c>
      <c r="U600" t="s">
        <v>59</v>
      </c>
      <c r="V600" t="s">
        <v>59</v>
      </c>
      <c r="W600" t="s">
        <v>59</v>
      </c>
      <c r="X600" t="s">
        <v>59</v>
      </c>
      <c r="Y600" t="s">
        <v>59</v>
      </c>
      <c r="Z600" t="s">
        <v>59</v>
      </c>
      <c r="AA600" t="s">
        <v>60</v>
      </c>
      <c r="AB600" t="s">
        <v>59</v>
      </c>
      <c r="AC600" t="s">
        <v>59</v>
      </c>
      <c r="AD600" t="s">
        <v>59</v>
      </c>
      <c r="AE600" t="s">
        <v>59</v>
      </c>
      <c r="AF600" t="s">
        <v>59</v>
      </c>
      <c r="AG600" t="s">
        <v>59</v>
      </c>
      <c r="AH600" t="s">
        <v>59</v>
      </c>
      <c r="AI600" t="s">
        <v>61</v>
      </c>
      <c r="AJ600" t="s">
        <v>59</v>
      </c>
      <c r="AK600" t="s">
        <v>59</v>
      </c>
      <c r="AL600" t="s">
        <v>59</v>
      </c>
      <c r="AM600" t="s">
        <v>59</v>
      </c>
      <c r="AN600" t="s">
        <v>59</v>
      </c>
      <c r="AO600" t="s">
        <v>59</v>
      </c>
      <c r="AP600" t="s">
        <v>1344</v>
      </c>
      <c r="AQ600" s="1" t="s">
        <v>1355</v>
      </c>
      <c r="AR600" t="s">
        <v>226</v>
      </c>
      <c r="AS600" t="s">
        <v>352</v>
      </c>
      <c r="AT600" t="s">
        <v>352</v>
      </c>
      <c r="AU600" t="s">
        <v>219</v>
      </c>
      <c r="AW600" s="4">
        <f t="shared" si="318"/>
        <v>6</v>
      </c>
      <c r="AX600" s="4">
        <f t="shared" si="319"/>
        <v>4</v>
      </c>
      <c r="AY600" s="4">
        <f t="shared" si="320"/>
        <v>4</v>
      </c>
      <c r="AZ600" s="4">
        <f t="shared" si="321"/>
        <v>2</v>
      </c>
      <c r="BA600" s="4">
        <f t="shared" si="322"/>
        <v>4</v>
      </c>
      <c r="BB600" s="4" t="str">
        <f t="shared" si="323"/>
        <v>0</v>
      </c>
      <c r="BC600" s="4">
        <f t="shared" si="324"/>
        <v>4</v>
      </c>
      <c r="BD600" s="4">
        <f t="shared" si="325"/>
        <v>2</v>
      </c>
      <c r="BE600" s="4">
        <f t="shared" si="326"/>
        <v>4</v>
      </c>
      <c r="BF600" s="4">
        <f t="shared" si="327"/>
        <v>2</v>
      </c>
      <c r="BG600" s="4">
        <f t="shared" si="328"/>
        <v>4</v>
      </c>
      <c r="BH600" s="4">
        <f t="shared" si="329"/>
        <v>4</v>
      </c>
      <c r="BI600" s="4">
        <f t="shared" si="330"/>
        <v>4</v>
      </c>
      <c r="BJ600" s="4">
        <f t="shared" si="331"/>
        <v>2</v>
      </c>
      <c r="BK600" s="4" t="str">
        <f t="shared" si="332"/>
        <v>0</v>
      </c>
      <c r="BL600" s="4">
        <f t="shared" si="333"/>
        <v>2</v>
      </c>
      <c r="BM600" s="4">
        <f t="shared" si="334"/>
        <v>4</v>
      </c>
      <c r="BN600" s="4">
        <f t="shared" si="335"/>
        <v>4</v>
      </c>
      <c r="BO600" s="4">
        <f t="shared" si="336"/>
        <v>4</v>
      </c>
      <c r="BP600" s="4">
        <f t="shared" si="337"/>
        <v>4</v>
      </c>
      <c r="BQ600" s="4">
        <f t="shared" si="338"/>
        <v>6</v>
      </c>
      <c r="BR600" s="4">
        <f t="shared" si="339"/>
        <v>4</v>
      </c>
      <c r="BS600" s="4">
        <f t="shared" si="340"/>
        <v>4</v>
      </c>
      <c r="BT600" s="4">
        <f t="shared" si="341"/>
        <v>4</v>
      </c>
      <c r="BU600" s="4">
        <f t="shared" si="342"/>
        <v>4</v>
      </c>
      <c r="BV600" s="4">
        <f t="shared" si="343"/>
        <v>0</v>
      </c>
      <c r="BW600" s="4">
        <f t="shared" si="344"/>
        <v>6</v>
      </c>
      <c r="BX600" s="4">
        <f t="shared" si="345"/>
        <v>0</v>
      </c>
      <c r="BY600" s="4">
        <f t="shared" si="346"/>
        <v>0</v>
      </c>
      <c r="BZ600" s="37">
        <f t="shared" si="347"/>
        <v>92</v>
      </c>
      <c r="CA600" s="32" t="str">
        <f>VLOOKUP(J:J,'Agent wise'!A:C,3,0)</f>
        <v>Saran S</v>
      </c>
      <c r="CB600" s="32">
        <f t="shared" si="348"/>
        <v>45941</v>
      </c>
      <c r="CC600" t="str">
        <f t="shared" si="349"/>
        <v>Good</v>
      </c>
      <c r="CE600" s="32"/>
      <c r="CJ600">
        <f t="shared" si="350"/>
        <v>11</v>
      </c>
      <c r="CK600">
        <f t="shared" si="351"/>
        <v>10</v>
      </c>
      <c r="CL600">
        <f t="shared" si="352"/>
        <v>2025</v>
      </c>
    </row>
    <row r="601" spans="1:90" ht="15" customHeight="1" x14ac:dyDescent="0.35">
      <c r="A601" s="40">
        <v>45971.689560185187</v>
      </c>
      <c r="B601" t="s">
        <v>100</v>
      </c>
      <c r="C601" t="s">
        <v>214</v>
      </c>
      <c r="D601" t="s">
        <v>101</v>
      </c>
      <c r="E601" s="32">
        <v>45941</v>
      </c>
      <c r="F601" t="s">
        <v>222</v>
      </c>
      <c r="G601" s="32">
        <v>45940</v>
      </c>
      <c r="H601">
        <v>8072839436</v>
      </c>
      <c r="I601">
        <v>131</v>
      </c>
      <c r="J601" t="s">
        <v>653</v>
      </c>
      <c r="K601" t="s">
        <v>86</v>
      </c>
      <c r="L601" t="s">
        <v>72</v>
      </c>
      <c r="M601" t="s">
        <v>59</v>
      </c>
      <c r="N601" t="s">
        <v>59</v>
      </c>
      <c r="O601" t="s">
        <v>59</v>
      </c>
      <c r="P601" t="s">
        <v>59</v>
      </c>
      <c r="Q601" t="s">
        <v>59</v>
      </c>
      <c r="R601" t="s">
        <v>59</v>
      </c>
      <c r="S601" t="s">
        <v>59</v>
      </c>
      <c r="T601" t="s">
        <v>59</v>
      </c>
      <c r="U601" t="s">
        <v>59</v>
      </c>
      <c r="V601" t="s">
        <v>59</v>
      </c>
      <c r="W601" t="s">
        <v>59</v>
      </c>
      <c r="X601" t="s">
        <v>59</v>
      </c>
      <c r="Y601" t="s">
        <v>59</v>
      </c>
      <c r="Z601" t="s">
        <v>59</v>
      </c>
      <c r="AA601" t="s">
        <v>59</v>
      </c>
      <c r="AB601" t="s">
        <v>60</v>
      </c>
      <c r="AC601" t="s">
        <v>59</v>
      </c>
      <c r="AD601" t="s">
        <v>59</v>
      </c>
      <c r="AE601" t="s">
        <v>59</v>
      </c>
      <c r="AF601" t="s">
        <v>59</v>
      </c>
      <c r="AG601" t="s">
        <v>59</v>
      </c>
      <c r="AH601" t="s">
        <v>59</v>
      </c>
      <c r="AI601" t="s">
        <v>59</v>
      </c>
      <c r="AJ601" t="s">
        <v>59</v>
      </c>
      <c r="AK601" t="s">
        <v>59</v>
      </c>
      <c r="AL601" t="s">
        <v>59</v>
      </c>
      <c r="AM601" t="s">
        <v>59</v>
      </c>
      <c r="AN601" t="s">
        <v>59</v>
      </c>
      <c r="AO601" t="s">
        <v>59</v>
      </c>
      <c r="AP601" t="s">
        <v>1041</v>
      </c>
      <c r="AQ601" s="1" t="s">
        <v>1356</v>
      </c>
      <c r="AR601" t="s">
        <v>226</v>
      </c>
      <c r="AS601" t="s">
        <v>352</v>
      </c>
      <c r="AT601" t="s">
        <v>352</v>
      </c>
      <c r="AU601" t="s">
        <v>299</v>
      </c>
      <c r="AW601" s="4">
        <f t="shared" si="318"/>
        <v>6</v>
      </c>
      <c r="AX601" s="4">
        <f t="shared" si="319"/>
        <v>4</v>
      </c>
      <c r="AY601" s="4">
        <f t="shared" si="320"/>
        <v>4</v>
      </c>
      <c r="AZ601" s="4">
        <f t="shared" si="321"/>
        <v>2</v>
      </c>
      <c r="BA601" s="4">
        <f t="shared" si="322"/>
        <v>4</v>
      </c>
      <c r="BB601" s="4">
        <f t="shared" si="323"/>
        <v>4</v>
      </c>
      <c r="BC601" s="4">
        <f t="shared" si="324"/>
        <v>4</v>
      </c>
      <c r="BD601" s="4">
        <f t="shared" si="325"/>
        <v>2</v>
      </c>
      <c r="BE601" s="4">
        <f t="shared" si="326"/>
        <v>4</v>
      </c>
      <c r="BF601" s="4">
        <f t="shared" si="327"/>
        <v>2</v>
      </c>
      <c r="BG601" s="4">
        <f t="shared" si="328"/>
        <v>4</v>
      </c>
      <c r="BH601" s="4">
        <f t="shared" si="329"/>
        <v>4</v>
      </c>
      <c r="BI601" s="4">
        <f t="shared" si="330"/>
        <v>4</v>
      </c>
      <c r="BJ601" s="4">
        <f t="shared" si="331"/>
        <v>2</v>
      </c>
      <c r="BK601" s="4">
        <f t="shared" si="332"/>
        <v>4</v>
      </c>
      <c r="BL601" s="4" t="str">
        <f t="shared" si="333"/>
        <v>0</v>
      </c>
      <c r="BM601" s="4">
        <f t="shared" si="334"/>
        <v>4</v>
      </c>
      <c r="BN601" s="4">
        <f t="shared" si="335"/>
        <v>4</v>
      </c>
      <c r="BO601" s="4">
        <f t="shared" si="336"/>
        <v>4</v>
      </c>
      <c r="BP601" s="4">
        <f t="shared" si="337"/>
        <v>4</v>
      </c>
      <c r="BQ601" s="4">
        <f t="shared" si="338"/>
        <v>6</v>
      </c>
      <c r="BR601" s="4">
        <f t="shared" si="339"/>
        <v>4</v>
      </c>
      <c r="BS601" s="4">
        <f t="shared" si="340"/>
        <v>4</v>
      </c>
      <c r="BT601" s="4">
        <f t="shared" si="341"/>
        <v>4</v>
      </c>
      <c r="BU601" s="4">
        <f t="shared" si="342"/>
        <v>4</v>
      </c>
      <c r="BV601" s="4">
        <f t="shared" si="343"/>
        <v>0</v>
      </c>
      <c r="BW601" s="4">
        <f t="shared" si="344"/>
        <v>6</v>
      </c>
      <c r="BX601" s="4">
        <f t="shared" si="345"/>
        <v>0</v>
      </c>
      <c r="BY601" s="4">
        <f t="shared" si="346"/>
        <v>0</v>
      </c>
      <c r="BZ601" s="37">
        <f t="shared" si="347"/>
        <v>98</v>
      </c>
      <c r="CA601" s="32" t="str">
        <f>VLOOKUP(J:J,'Agent wise'!A:C,3,0)</f>
        <v>Saran S</v>
      </c>
      <c r="CB601" s="32">
        <f t="shared" si="348"/>
        <v>45941</v>
      </c>
      <c r="CC601" t="str">
        <f t="shared" si="349"/>
        <v>Excellent</v>
      </c>
      <c r="CE601" s="32"/>
      <c r="CJ601">
        <f t="shared" si="350"/>
        <v>11</v>
      </c>
      <c r="CK601">
        <f t="shared" si="351"/>
        <v>10</v>
      </c>
      <c r="CL601">
        <f t="shared" si="352"/>
        <v>2025</v>
      </c>
    </row>
    <row r="602" spans="1:90" ht="15" customHeight="1" x14ac:dyDescent="0.35">
      <c r="A602" s="40">
        <v>45971.70616898148</v>
      </c>
      <c r="B602" t="s">
        <v>250</v>
      </c>
      <c r="C602" t="s">
        <v>214</v>
      </c>
      <c r="D602" t="s">
        <v>251</v>
      </c>
      <c r="E602" s="32">
        <v>45941</v>
      </c>
      <c r="F602" t="s">
        <v>222</v>
      </c>
      <c r="G602" s="32">
        <v>45940</v>
      </c>
      <c r="H602">
        <v>9443270767</v>
      </c>
      <c r="I602">
        <v>178</v>
      </c>
      <c r="J602" t="s">
        <v>356</v>
      </c>
      <c r="K602" t="s">
        <v>71</v>
      </c>
      <c r="L602" t="s">
        <v>72</v>
      </c>
      <c r="M602" t="s">
        <v>59</v>
      </c>
      <c r="N602" t="s">
        <v>59</v>
      </c>
      <c r="O602" t="s">
        <v>59</v>
      </c>
      <c r="P602" t="s">
        <v>59</v>
      </c>
      <c r="Q602" t="s">
        <v>59</v>
      </c>
      <c r="R602" t="s">
        <v>59</v>
      </c>
      <c r="S602" t="s">
        <v>59</v>
      </c>
      <c r="T602" t="s">
        <v>59</v>
      </c>
      <c r="U602" t="s">
        <v>60</v>
      </c>
      <c r="V602" t="s">
        <v>59</v>
      </c>
      <c r="W602" t="s">
        <v>59</v>
      </c>
      <c r="X602" t="s">
        <v>59</v>
      </c>
      <c r="Y602" t="s">
        <v>59</v>
      </c>
      <c r="Z602" t="s">
        <v>59</v>
      </c>
      <c r="AA602" t="s">
        <v>59</v>
      </c>
      <c r="AB602" t="s">
        <v>59</v>
      </c>
      <c r="AC602" t="s">
        <v>61</v>
      </c>
      <c r="AD602" t="s">
        <v>59</v>
      </c>
      <c r="AE602" t="s">
        <v>59</v>
      </c>
      <c r="AF602" t="s">
        <v>59</v>
      </c>
      <c r="AG602" t="s">
        <v>59</v>
      </c>
      <c r="AH602" t="s">
        <v>61</v>
      </c>
      <c r="AI602" t="s">
        <v>61</v>
      </c>
      <c r="AJ602" t="s">
        <v>59</v>
      </c>
      <c r="AK602" t="s">
        <v>59</v>
      </c>
      <c r="AL602" t="s">
        <v>60</v>
      </c>
      <c r="AM602" t="s">
        <v>59</v>
      </c>
      <c r="AN602" t="s">
        <v>59</v>
      </c>
      <c r="AO602" t="s">
        <v>59</v>
      </c>
      <c r="AP602" t="s">
        <v>1357</v>
      </c>
      <c r="AQ602" t="s">
        <v>1358</v>
      </c>
      <c r="AR602" t="s">
        <v>226</v>
      </c>
      <c r="AS602" t="s">
        <v>249</v>
      </c>
      <c r="AT602" t="s">
        <v>404</v>
      </c>
      <c r="AU602" t="s">
        <v>219</v>
      </c>
      <c r="AW602" s="4">
        <f t="shared" si="318"/>
        <v>6</v>
      </c>
      <c r="AX602" s="4">
        <f t="shared" si="319"/>
        <v>4</v>
      </c>
      <c r="AY602" s="4">
        <f t="shared" si="320"/>
        <v>4</v>
      </c>
      <c r="AZ602" s="4">
        <f t="shared" si="321"/>
        <v>2</v>
      </c>
      <c r="BA602" s="4">
        <f t="shared" si="322"/>
        <v>4</v>
      </c>
      <c r="BB602" s="4">
        <f t="shared" si="323"/>
        <v>4</v>
      </c>
      <c r="BC602" s="4">
        <f t="shared" si="324"/>
        <v>4</v>
      </c>
      <c r="BD602" s="4">
        <f t="shared" si="325"/>
        <v>2</v>
      </c>
      <c r="BE602" s="4" t="str">
        <f t="shared" si="326"/>
        <v>0</v>
      </c>
      <c r="BF602" s="4">
        <f t="shared" si="327"/>
        <v>2</v>
      </c>
      <c r="BG602" s="4">
        <f t="shared" si="328"/>
        <v>4</v>
      </c>
      <c r="BH602" s="4">
        <f t="shared" si="329"/>
        <v>4</v>
      </c>
      <c r="BI602" s="4">
        <f t="shared" si="330"/>
        <v>4</v>
      </c>
      <c r="BJ602" s="4">
        <f t="shared" si="331"/>
        <v>2</v>
      </c>
      <c r="BK602" s="4">
        <f t="shared" si="332"/>
        <v>4</v>
      </c>
      <c r="BL602" s="4">
        <f t="shared" si="333"/>
        <v>2</v>
      </c>
      <c r="BM602" s="4">
        <f t="shared" si="334"/>
        <v>4</v>
      </c>
      <c r="BN602" s="4">
        <f t="shared" si="335"/>
        <v>4</v>
      </c>
      <c r="BO602" s="4">
        <f t="shared" si="336"/>
        <v>4</v>
      </c>
      <c r="BP602" s="4">
        <f t="shared" si="337"/>
        <v>4</v>
      </c>
      <c r="BQ602" s="4">
        <f t="shared" si="338"/>
        <v>6</v>
      </c>
      <c r="BR602" s="4">
        <f t="shared" si="339"/>
        <v>4</v>
      </c>
      <c r="BS602" s="4">
        <f t="shared" si="340"/>
        <v>4</v>
      </c>
      <c r="BT602" s="4">
        <f t="shared" si="341"/>
        <v>4</v>
      </c>
      <c r="BU602" s="4">
        <f t="shared" si="342"/>
        <v>4</v>
      </c>
      <c r="BV602" s="4" t="str">
        <f t="shared" si="343"/>
        <v>0</v>
      </c>
      <c r="BW602" s="4">
        <f t="shared" si="344"/>
        <v>6</v>
      </c>
      <c r="BX602" s="4">
        <f t="shared" si="345"/>
        <v>0</v>
      </c>
      <c r="BY602" s="4">
        <f t="shared" si="346"/>
        <v>0</v>
      </c>
      <c r="BZ602" s="37">
        <f t="shared" si="347"/>
        <v>96</v>
      </c>
      <c r="CA602" s="32" t="str">
        <f>VLOOKUP(J:J,'Agent wise'!A:C,3,0)</f>
        <v>Amal</v>
      </c>
      <c r="CB602" s="32">
        <f t="shared" si="348"/>
        <v>45941</v>
      </c>
      <c r="CC602" t="str">
        <f t="shared" si="349"/>
        <v>Excellent</v>
      </c>
      <c r="CE602" s="32"/>
      <c r="CJ602">
        <f t="shared" si="350"/>
        <v>11</v>
      </c>
      <c r="CK602">
        <f t="shared" si="351"/>
        <v>10</v>
      </c>
      <c r="CL602">
        <f t="shared" si="352"/>
        <v>2025</v>
      </c>
    </row>
    <row r="603" spans="1:90" ht="15" customHeight="1" x14ac:dyDescent="0.35">
      <c r="A603" s="40">
        <v>45971.713275462957</v>
      </c>
      <c r="B603" t="s">
        <v>250</v>
      </c>
      <c r="C603" t="s">
        <v>214</v>
      </c>
      <c r="D603" t="s">
        <v>251</v>
      </c>
      <c r="E603" s="32">
        <v>45941</v>
      </c>
      <c r="F603" t="s">
        <v>222</v>
      </c>
      <c r="G603" s="32">
        <v>45940</v>
      </c>
      <c r="H603">
        <v>9445269874</v>
      </c>
      <c r="I603">
        <v>135</v>
      </c>
      <c r="J603" t="s">
        <v>353</v>
      </c>
      <c r="K603" t="s">
        <v>71</v>
      </c>
      <c r="L603" t="s">
        <v>72</v>
      </c>
      <c r="M603" t="s">
        <v>59</v>
      </c>
      <c r="N603" t="s">
        <v>59</v>
      </c>
      <c r="O603" t="s">
        <v>59</v>
      </c>
      <c r="P603" t="s">
        <v>59</v>
      </c>
      <c r="Q603" t="s">
        <v>59</v>
      </c>
      <c r="R603" t="s">
        <v>59</v>
      </c>
      <c r="S603" t="s">
        <v>59</v>
      </c>
      <c r="T603" t="s">
        <v>59</v>
      </c>
      <c r="U603" t="s">
        <v>60</v>
      </c>
      <c r="V603" t="s">
        <v>59</v>
      </c>
      <c r="W603" t="s">
        <v>59</v>
      </c>
      <c r="X603" t="s">
        <v>59</v>
      </c>
      <c r="Y603" t="s">
        <v>59</v>
      </c>
      <c r="Z603" t="s">
        <v>59</v>
      </c>
      <c r="AA603" t="s">
        <v>60</v>
      </c>
      <c r="AB603" t="s">
        <v>59</v>
      </c>
      <c r="AC603" t="s">
        <v>61</v>
      </c>
      <c r="AD603" t="s">
        <v>59</v>
      </c>
      <c r="AE603" t="s">
        <v>59</v>
      </c>
      <c r="AF603" t="s">
        <v>59</v>
      </c>
      <c r="AG603" t="s">
        <v>59</v>
      </c>
      <c r="AH603" t="s">
        <v>61</v>
      </c>
      <c r="AI603" t="s">
        <v>61</v>
      </c>
      <c r="AJ603" t="s">
        <v>59</v>
      </c>
      <c r="AK603" t="s">
        <v>59</v>
      </c>
      <c r="AL603" t="s">
        <v>60</v>
      </c>
      <c r="AM603" t="s">
        <v>59</v>
      </c>
      <c r="AN603" t="s">
        <v>59</v>
      </c>
      <c r="AO603" t="s">
        <v>59</v>
      </c>
      <c r="AP603" t="s">
        <v>1359</v>
      </c>
      <c r="AQ603" t="s">
        <v>1360</v>
      </c>
      <c r="AR603" t="s">
        <v>226</v>
      </c>
      <c r="AS603" t="s">
        <v>695</v>
      </c>
      <c r="AT603" t="s">
        <v>394</v>
      </c>
      <c r="AU603" t="s">
        <v>387</v>
      </c>
      <c r="AW603" s="4">
        <f t="shared" si="318"/>
        <v>6</v>
      </c>
      <c r="AX603" s="4">
        <f t="shared" si="319"/>
        <v>4</v>
      </c>
      <c r="AY603" s="4">
        <f t="shared" si="320"/>
        <v>4</v>
      </c>
      <c r="AZ603" s="4">
        <f t="shared" si="321"/>
        <v>2</v>
      </c>
      <c r="BA603" s="4">
        <f t="shared" si="322"/>
        <v>4</v>
      </c>
      <c r="BB603" s="4">
        <f t="shared" si="323"/>
        <v>4</v>
      </c>
      <c r="BC603" s="4">
        <f t="shared" si="324"/>
        <v>4</v>
      </c>
      <c r="BD603" s="4">
        <f t="shared" si="325"/>
        <v>2</v>
      </c>
      <c r="BE603" s="4" t="str">
        <f t="shared" si="326"/>
        <v>0</v>
      </c>
      <c r="BF603" s="4">
        <f t="shared" si="327"/>
        <v>2</v>
      </c>
      <c r="BG603" s="4">
        <f t="shared" si="328"/>
        <v>4</v>
      </c>
      <c r="BH603" s="4">
        <f t="shared" si="329"/>
        <v>4</v>
      </c>
      <c r="BI603" s="4">
        <f t="shared" si="330"/>
        <v>4</v>
      </c>
      <c r="BJ603" s="4">
        <f t="shared" si="331"/>
        <v>2</v>
      </c>
      <c r="BK603" s="4" t="str">
        <f t="shared" si="332"/>
        <v>0</v>
      </c>
      <c r="BL603" s="4">
        <f t="shared" si="333"/>
        <v>2</v>
      </c>
      <c r="BM603" s="4">
        <f t="shared" si="334"/>
        <v>4</v>
      </c>
      <c r="BN603" s="4">
        <f t="shared" si="335"/>
        <v>4</v>
      </c>
      <c r="BO603" s="4">
        <f t="shared" si="336"/>
        <v>4</v>
      </c>
      <c r="BP603" s="4">
        <f t="shared" si="337"/>
        <v>4</v>
      </c>
      <c r="BQ603" s="4">
        <f t="shared" si="338"/>
        <v>6</v>
      </c>
      <c r="BR603" s="4">
        <f t="shared" si="339"/>
        <v>4</v>
      </c>
      <c r="BS603" s="4">
        <f t="shared" si="340"/>
        <v>4</v>
      </c>
      <c r="BT603" s="4">
        <f t="shared" si="341"/>
        <v>4</v>
      </c>
      <c r="BU603" s="4">
        <f t="shared" si="342"/>
        <v>4</v>
      </c>
      <c r="BV603" s="4" t="str">
        <f t="shared" si="343"/>
        <v>0</v>
      </c>
      <c r="BW603" s="4">
        <f t="shared" si="344"/>
        <v>6</v>
      </c>
      <c r="BX603" s="4">
        <f t="shared" si="345"/>
        <v>0</v>
      </c>
      <c r="BY603" s="4">
        <f t="shared" si="346"/>
        <v>0</v>
      </c>
      <c r="BZ603" s="37">
        <f t="shared" si="347"/>
        <v>92</v>
      </c>
      <c r="CA603" s="32" t="str">
        <f>VLOOKUP(J:J,'Agent wise'!A:C,3,0)</f>
        <v>Amal</v>
      </c>
      <c r="CB603" s="32">
        <f t="shared" si="348"/>
        <v>45941</v>
      </c>
      <c r="CC603" t="str">
        <f t="shared" si="349"/>
        <v>Good</v>
      </c>
      <c r="CE603" s="32"/>
      <c r="CJ603">
        <f t="shared" si="350"/>
        <v>11</v>
      </c>
      <c r="CK603">
        <f t="shared" si="351"/>
        <v>10</v>
      </c>
      <c r="CL603">
        <f t="shared" si="352"/>
        <v>2025</v>
      </c>
    </row>
    <row r="604" spans="1:90" ht="15" customHeight="1" x14ac:dyDescent="0.35">
      <c r="A604" s="40">
        <v>45971.722500000003</v>
      </c>
      <c r="B604" t="s">
        <v>250</v>
      </c>
      <c r="C604" t="s">
        <v>214</v>
      </c>
      <c r="D604" t="s">
        <v>251</v>
      </c>
      <c r="E604" s="32">
        <v>45941</v>
      </c>
      <c r="F604" t="s">
        <v>222</v>
      </c>
      <c r="G604" s="32">
        <v>45940</v>
      </c>
      <c r="H604">
        <v>9363641774</v>
      </c>
      <c r="I604">
        <v>58</v>
      </c>
      <c r="J604" t="s">
        <v>391</v>
      </c>
      <c r="K604" t="s">
        <v>71</v>
      </c>
      <c r="L604" t="s">
        <v>72</v>
      </c>
      <c r="M604" t="s">
        <v>60</v>
      </c>
      <c r="N604" t="s">
        <v>60</v>
      </c>
      <c r="O604" t="s">
        <v>61</v>
      </c>
      <c r="P604" t="s">
        <v>61</v>
      </c>
      <c r="Q604" t="s">
        <v>59</v>
      </c>
      <c r="R604" t="s">
        <v>59</v>
      </c>
      <c r="S604" t="s">
        <v>59</v>
      </c>
      <c r="T604" t="s">
        <v>59</v>
      </c>
      <c r="U604" t="s">
        <v>60</v>
      </c>
      <c r="V604" t="s">
        <v>59</v>
      </c>
      <c r="W604" t="s">
        <v>59</v>
      </c>
      <c r="X604" t="s">
        <v>59</v>
      </c>
      <c r="Y604" t="s">
        <v>59</v>
      </c>
      <c r="Z604" t="s">
        <v>60</v>
      </c>
      <c r="AA604" t="s">
        <v>60</v>
      </c>
      <c r="AB604" t="s">
        <v>59</v>
      </c>
      <c r="AC604" t="s">
        <v>61</v>
      </c>
      <c r="AD604" t="s">
        <v>59</v>
      </c>
      <c r="AE604" t="s">
        <v>59</v>
      </c>
      <c r="AF604" t="s">
        <v>59</v>
      </c>
      <c r="AG604" t="s">
        <v>59</v>
      </c>
      <c r="AH604" t="s">
        <v>61</v>
      </c>
      <c r="AI604" t="s">
        <v>61</v>
      </c>
      <c r="AJ604" t="s">
        <v>59</v>
      </c>
      <c r="AK604" t="s">
        <v>59</v>
      </c>
      <c r="AL604" t="s">
        <v>59</v>
      </c>
      <c r="AM604" t="s">
        <v>59</v>
      </c>
      <c r="AN604" t="s">
        <v>59</v>
      </c>
      <c r="AO604" t="s">
        <v>59</v>
      </c>
      <c r="AP604" t="s">
        <v>1361</v>
      </c>
      <c r="AQ604" t="s">
        <v>1362</v>
      </c>
      <c r="AR604" t="s">
        <v>64</v>
      </c>
      <c r="AS604" t="s">
        <v>1363</v>
      </c>
      <c r="AT604" t="s">
        <v>1363</v>
      </c>
      <c r="AU604" t="s">
        <v>387</v>
      </c>
      <c r="AW604" s="4" t="str">
        <f t="shared" si="318"/>
        <v>0</v>
      </c>
      <c r="AX604" s="4" t="str">
        <f t="shared" si="319"/>
        <v>0</v>
      </c>
      <c r="AY604" s="4">
        <f t="shared" si="320"/>
        <v>4</v>
      </c>
      <c r="AZ604" s="4">
        <f t="shared" si="321"/>
        <v>2</v>
      </c>
      <c r="BA604" s="4">
        <f t="shared" si="322"/>
        <v>4</v>
      </c>
      <c r="BB604" s="4">
        <f t="shared" si="323"/>
        <v>4</v>
      </c>
      <c r="BC604" s="4">
        <f t="shared" si="324"/>
        <v>4</v>
      </c>
      <c r="BD604" s="4">
        <f t="shared" si="325"/>
        <v>2</v>
      </c>
      <c r="BE604" s="4" t="str">
        <f t="shared" si="326"/>
        <v>0</v>
      </c>
      <c r="BF604" s="4">
        <f t="shared" si="327"/>
        <v>2</v>
      </c>
      <c r="BG604" s="4">
        <f t="shared" si="328"/>
        <v>4</v>
      </c>
      <c r="BH604" s="4">
        <f t="shared" si="329"/>
        <v>4</v>
      </c>
      <c r="BI604" s="4">
        <f t="shared" si="330"/>
        <v>4</v>
      </c>
      <c r="BJ604" s="4" t="str">
        <f t="shared" si="331"/>
        <v>0</v>
      </c>
      <c r="BK604" s="4" t="str">
        <f t="shared" si="332"/>
        <v>0</v>
      </c>
      <c r="BL604" s="4">
        <f t="shared" si="333"/>
        <v>2</v>
      </c>
      <c r="BM604" s="4">
        <f t="shared" si="334"/>
        <v>4</v>
      </c>
      <c r="BN604" s="4">
        <f t="shared" si="335"/>
        <v>4</v>
      </c>
      <c r="BO604" s="4">
        <f t="shared" si="336"/>
        <v>4</v>
      </c>
      <c r="BP604" s="4">
        <f t="shared" si="337"/>
        <v>4</v>
      </c>
      <c r="BQ604" s="4">
        <f t="shared" si="338"/>
        <v>6</v>
      </c>
      <c r="BR604" s="4">
        <f t="shared" si="339"/>
        <v>4</v>
      </c>
      <c r="BS604" s="4">
        <f t="shared" si="340"/>
        <v>4</v>
      </c>
      <c r="BT604" s="4">
        <f t="shared" si="341"/>
        <v>4</v>
      </c>
      <c r="BU604" s="4">
        <f t="shared" si="342"/>
        <v>4</v>
      </c>
      <c r="BV604" s="4">
        <f t="shared" si="343"/>
        <v>0</v>
      </c>
      <c r="BW604" s="4">
        <f t="shared" si="344"/>
        <v>6</v>
      </c>
      <c r="BX604" s="4">
        <f t="shared" si="345"/>
        <v>0</v>
      </c>
      <c r="BY604" s="4">
        <f t="shared" si="346"/>
        <v>0</v>
      </c>
      <c r="BZ604" s="37">
        <f t="shared" si="347"/>
        <v>80</v>
      </c>
      <c r="CA604" s="32" t="str">
        <f>VLOOKUP(J:J,'Agent wise'!A:C,3,0)</f>
        <v>Amal</v>
      </c>
      <c r="CB604" s="32">
        <f t="shared" si="348"/>
        <v>45941</v>
      </c>
      <c r="CC604" t="str">
        <f t="shared" si="349"/>
        <v>FC</v>
      </c>
      <c r="CE604" s="32"/>
      <c r="CJ604">
        <f t="shared" si="350"/>
        <v>11</v>
      </c>
      <c r="CK604">
        <f t="shared" si="351"/>
        <v>10</v>
      </c>
      <c r="CL604">
        <f t="shared" si="352"/>
        <v>2025</v>
      </c>
    </row>
    <row r="605" spans="1:90" ht="15" customHeight="1" x14ac:dyDescent="0.35">
      <c r="A605" s="40">
        <v>45971.731111111112</v>
      </c>
      <c r="B605" t="s">
        <v>250</v>
      </c>
      <c r="C605" t="s">
        <v>214</v>
      </c>
      <c r="D605" t="s">
        <v>251</v>
      </c>
      <c r="E605" s="32">
        <v>45941</v>
      </c>
      <c r="F605" t="s">
        <v>222</v>
      </c>
      <c r="G605" s="32">
        <v>45939</v>
      </c>
      <c r="H605">
        <v>9739746907</v>
      </c>
      <c r="I605">
        <v>178</v>
      </c>
      <c r="J605" t="s">
        <v>242</v>
      </c>
      <c r="K605" t="s">
        <v>57</v>
      </c>
      <c r="L605" t="s">
        <v>58</v>
      </c>
      <c r="M605" t="s">
        <v>60</v>
      </c>
      <c r="N605" t="s">
        <v>59</v>
      </c>
      <c r="O605" t="s">
        <v>60</v>
      </c>
      <c r="P605" t="s">
        <v>59</v>
      </c>
      <c r="Q605" t="s">
        <v>59</v>
      </c>
      <c r="R605" t="s">
        <v>59</v>
      </c>
      <c r="S605" t="s">
        <v>59</v>
      </c>
      <c r="T605" t="s">
        <v>59</v>
      </c>
      <c r="U605" t="s">
        <v>60</v>
      </c>
      <c r="V605" t="s">
        <v>59</v>
      </c>
      <c r="W605" t="s">
        <v>59</v>
      </c>
      <c r="X605" t="s">
        <v>59</v>
      </c>
      <c r="Y605" t="s">
        <v>59</v>
      </c>
      <c r="Z605" t="s">
        <v>60</v>
      </c>
      <c r="AA605" t="s">
        <v>59</v>
      </c>
      <c r="AB605" t="s">
        <v>59</v>
      </c>
      <c r="AC605" t="s">
        <v>59</v>
      </c>
      <c r="AD605" t="s">
        <v>59</v>
      </c>
      <c r="AE605" t="s">
        <v>60</v>
      </c>
      <c r="AF605" t="s">
        <v>59</v>
      </c>
      <c r="AG605" t="s">
        <v>59</v>
      </c>
      <c r="AH605" t="s">
        <v>61</v>
      </c>
      <c r="AI605" t="s">
        <v>59</v>
      </c>
      <c r="AJ605" t="s">
        <v>59</v>
      </c>
      <c r="AK605" t="s">
        <v>59</v>
      </c>
      <c r="AL605" t="s">
        <v>60</v>
      </c>
      <c r="AM605" t="s">
        <v>59</v>
      </c>
      <c r="AN605" t="s">
        <v>59</v>
      </c>
      <c r="AO605" t="s">
        <v>59</v>
      </c>
      <c r="AP605" t="s">
        <v>1364</v>
      </c>
      <c r="AQ605" t="s">
        <v>1365</v>
      </c>
      <c r="AR605" t="s">
        <v>64</v>
      </c>
      <c r="AS605" t="s">
        <v>695</v>
      </c>
      <c r="AT605" t="s">
        <v>331</v>
      </c>
      <c r="AU605" t="s">
        <v>219</v>
      </c>
      <c r="AW605" s="4" t="str">
        <f t="shared" si="318"/>
        <v>0</v>
      </c>
      <c r="AX605" s="4">
        <f t="shared" si="319"/>
        <v>4</v>
      </c>
      <c r="AY605" s="4" t="str">
        <f t="shared" si="320"/>
        <v>0</v>
      </c>
      <c r="AZ605" s="4">
        <f t="shared" si="321"/>
        <v>2</v>
      </c>
      <c r="BA605" s="4">
        <f t="shared" si="322"/>
        <v>4</v>
      </c>
      <c r="BB605" s="4">
        <f t="shared" si="323"/>
        <v>4</v>
      </c>
      <c r="BC605" s="4">
        <f t="shared" si="324"/>
        <v>4</v>
      </c>
      <c r="BD605" s="4">
        <f t="shared" si="325"/>
        <v>2</v>
      </c>
      <c r="BE605" s="4" t="str">
        <f t="shared" si="326"/>
        <v>0</v>
      </c>
      <c r="BF605" s="4">
        <f t="shared" si="327"/>
        <v>2</v>
      </c>
      <c r="BG605" s="4">
        <f t="shared" si="328"/>
        <v>4</v>
      </c>
      <c r="BH605" s="4">
        <f t="shared" si="329"/>
        <v>4</v>
      </c>
      <c r="BI605" s="4">
        <f t="shared" si="330"/>
        <v>4</v>
      </c>
      <c r="BJ605" s="4" t="str">
        <f t="shared" si="331"/>
        <v>0</v>
      </c>
      <c r="BK605" s="4">
        <f t="shared" si="332"/>
        <v>4</v>
      </c>
      <c r="BL605" s="4">
        <f t="shared" si="333"/>
        <v>2</v>
      </c>
      <c r="BM605" s="4">
        <f t="shared" si="334"/>
        <v>4</v>
      </c>
      <c r="BN605" s="4">
        <f t="shared" si="335"/>
        <v>4</v>
      </c>
      <c r="BO605" s="4" t="str">
        <f t="shared" si="336"/>
        <v>0</v>
      </c>
      <c r="BP605" s="4">
        <f t="shared" si="337"/>
        <v>4</v>
      </c>
      <c r="BQ605" s="4">
        <f t="shared" si="338"/>
        <v>6</v>
      </c>
      <c r="BR605" s="4">
        <f t="shared" si="339"/>
        <v>4</v>
      </c>
      <c r="BS605" s="4">
        <f t="shared" si="340"/>
        <v>4</v>
      </c>
      <c r="BT605" s="4">
        <f t="shared" si="341"/>
        <v>4</v>
      </c>
      <c r="BU605" s="4">
        <f t="shared" si="342"/>
        <v>4</v>
      </c>
      <c r="BV605" s="4" t="str">
        <f t="shared" si="343"/>
        <v>0</v>
      </c>
      <c r="BW605" s="4">
        <f t="shared" si="344"/>
        <v>6</v>
      </c>
      <c r="BX605" s="4">
        <f t="shared" si="345"/>
        <v>0</v>
      </c>
      <c r="BY605" s="4">
        <f t="shared" si="346"/>
        <v>0</v>
      </c>
      <c r="BZ605" s="37">
        <f t="shared" si="347"/>
        <v>80</v>
      </c>
      <c r="CA605" s="32" t="str">
        <f>VLOOKUP(J:J,'Agent wise'!A:C,3,0)</f>
        <v>Amal</v>
      </c>
      <c r="CB605" s="32">
        <f t="shared" si="348"/>
        <v>45941</v>
      </c>
      <c r="CC605" t="str">
        <f t="shared" si="349"/>
        <v>FC</v>
      </c>
      <c r="CE605" s="32"/>
      <c r="CJ605">
        <f t="shared" si="350"/>
        <v>11</v>
      </c>
      <c r="CK605">
        <f t="shared" si="351"/>
        <v>10</v>
      </c>
      <c r="CL605">
        <f t="shared" si="352"/>
        <v>2025</v>
      </c>
    </row>
    <row r="606" spans="1:90" ht="15" customHeight="1" x14ac:dyDescent="0.35">
      <c r="A606" s="40">
        <v>45971.737604166658</v>
      </c>
      <c r="B606" t="s">
        <v>250</v>
      </c>
      <c r="C606" t="s">
        <v>214</v>
      </c>
      <c r="D606" t="s">
        <v>251</v>
      </c>
      <c r="E606" s="32">
        <v>45941</v>
      </c>
      <c r="F606" t="s">
        <v>222</v>
      </c>
      <c r="G606" s="32">
        <v>45939</v>
      </c>
      <c r="H606">
        <v>9487385312</v>
      </c>
      <c r="I606">
        <v>168</v>
      </c>
      <c r="J606" t="s">
        <v>501</v>
      </c>
      <c r="K606" t="s">
        <v>71</v>
      </c>
      <c r="L606" t="s">
        <v>72</v>
      </c>
      <c r="M606" t="s">
        <v>59</v>
      </c>
      <c r="N606" t="s">
        <v>59</v>
      </c>
      <c r="O606" t="s">
        <v>59</v>
      </c>
      <c r="P606" t="s">
        <v>59</v>
      </c>
      <c r="Q606" t="s">
        <v>59</v>
      </c>
      <c r="R606" t="s">
        <v>59</v>
      </c>
      <c r="S606" t="s">
        <v>59</v>
      </c>
      <c r="T606" t="s">
        <v>59</v>
      </c>
      <c r="U606" t="s">
        <v>60</v>
      </c>
      <c r="V606" t="s">
        <v>59</v>
      </c>
      <c r="W606" t="s">
        <v>59</v>
      </c>
      <c r="X606" t="s">
        <v>59</v>
      </c>
      <c r="Y606" t="s">
        <v>59</v>
      </c>
      <c r="Z606" t="s">
        <v>59</v>
      </c>
      <c r="AA606" t="s">
        <v>60</v>
      </c>
      <c r="AB606" t="s">
        <v>59</v>
      </c>
      <c r="AC606" t="s">
        <v>60</v>
      </c>
      <c r="AD606" t="s">
        <v>59</v>
      </c>
      <c r="AE606" t="s">
        <v>59</v>
      </c>
      <c r="AF606" t="s">
        <v>59</v>
      </c>
      <c r="AG606" t="s">
        <v>59</v>
      </c>
      <c r="AH606" t="s">
        <v>61</v>
      </c>
      <c r="AI606" t="s">
        <v>61</v>
      </c>
      <c r="AJ606" t="s">
        <v>59</v>
      </c>
      <c r="AK606" t="s">
        <v>59</v>
      </c>
      <c r="AL606" t="s">
        <v>60</v>
      </c>
      <c r="AM606" t="s">
        <v>59</v>
      </c>
      <c r="AN606" t="s">
        <v>59</v>
      </c>
      <c r="AO606" t="s">
        <v>59</v>
      </c>
      <c r="AP606" t="s">
        <v>1366</v>
      </c>
      <c r="AQ606" t="s">
        <v>1367</v>
      </c>
      <c r="AR606" t="s">
        <v>226</v>
      </c>
      <c r="AS606" t="s">
        <v>1236</v>
      </c>
      <c r="AT606" t="s">
        <v>404</v>
      </c>
      <c r="AU606" t="s">
        <v>219</v>
      </c>
      <c r="AW606" s="4">
        <f t="shared" si="318"/>
        <v>6</v>
      </c>
      <c r="AX606" s="4">
        <f t="shared" si="319"/>
        <v>4</v>
      </c>
      <c r="AY606" s="4">
        <f t="shared" si="320"/>
        <v>4</v>
      </c>
      <c r="AZ606" s="4">
        <f t="shared" si="321"/>
        <v>2</v>
      </c>
      <c r="BA606" s="4">
        <f t="shared" si="322"/>
        <v>4</v>
      </c>
      <c r="BB606" s="4">
        <f t="shared" si="323"/>
        <v>4</v>
      </c>
      <c r="BC606" s="4">
        <f t="shared" si="324"/>
        <v>4</v>
      </c>
      <c r="BD606" s="4">
        <f t="shared" si="325"/>
        <v>2</v>
      </c>
      <c r="BE606" s="4" t="str">
        <f t="shared" si="326"/>
        <v>0</v>
      </c>
      <c r="BF606" s="4">
        <f t="shared" si="327"/>
        <v>2</v>
      </c>
      <c r="BG606" s="4">
        <f t="shared" si="328"/>
        <v>4</v>
      </c>
      <c r="BH606" s="4">
        <f t="shared" si="329"/>
        <v>4</v>
      </c>
      <c r="BI606" s="4">
        <f t="shared" si="330"/>
        <v>4</v>
      </c>
      <c r="BJ606" s="4">
        <f t="shared" si="331"/>
        <v>2</v>
      </c>
      <c r="BK606" s="4" t="str">
        <f t="shared" si="332"/>
        <v>0</v>
      </c>
      <c r="BL606" s="4">
        <f t="shared" si="333"/>
        <v>2</v>
      </c>
      <c r="BM606" s="4" t="str">
        <f t="shared" si="334"/>
        <v>0</v>
      </c>
      <c r="BN606" s="4">
        <f t="shared" si="335"/>
        <v>4</v>
      </c>
      <c r="BO606" s="4">
        <f t="shared" si="336"/>
        <v>4</v>
      </c>
      <c r="BP606" s="4">
        <f t="shared" si="337"/>
        <v>4</v>
      </c>
      <c r="BQ606" s="4">
        <f t="shared" si="338"/>
        <v>6</v>
      </c>
      <c r="BR606" s="4">
        <f t="shared" si="339"/>
        <v>4</v>
      </c>
      <c r="BS606" s="4">
        <f t="shared" si="340"/>
        <v>4</v>
      </c>
      <c r="BT606" s="4">
        <f t="shared" si="341"/>
        <v>4</v>
      </c>
      <c r="BU606" s="4">
        <f t="shared" si="342"/>
        <v>4</v>
      </c>
      <c r="BV606" s="4" t="str">
        <f t="shared" si="343"/>
        <v>0</v>
      </c>
      <c r="BW606" s="4">
        <f t="shared" si="344"/>
        <v>6</v>
      </c>
      <c r="BX606" s="4">
        <f t="shared" si="345"/>
        <v>0</v>
      </c>
      <c r="BY606" s="4">
        <f t="shared" si="346"/>
        <v>0</v>
      </c>
      <c r="BZ606" s="37">
        <f t="shared" si="347"/>
        <v>88</v>
      </c>
      <c r="CA606" s="32" t="str">
        <f>VLOOKUP(J:J,'Agent wise'!A:C,3,0)</f>
        <v>Amal</v>
      </c>
      <c r="CB606" s="32">
        <f t="shared" si="348"/>
        <v>45941</v>
      </c>
      <c r="CC606" t="str">
        <f t="shared" si="349"/>
        <v>Average</v>
      </c>
      <c r="CE606" s="32"/>
      <c r="CJ606">
        <f t="shared" si="350"/>
        <v>11</v>
      </c>
      <c r="CK606">
        <f t="shared" si="351"/>
        <v>10</v>
      </c>
      <c r="CL606">
        <f t="shared" si="352"/>
        <v>2025</v>
      </c>
    </row>
    <row r="607" spans="1:90" ht="15" customHeight="1" x14ac:dyDescent="0.35">
      <c r="A607" s="40">
        <v>45971.740104166667</v>
      </c>
      <c r="B607" t="s">
        <v>250</v>
      </c>
      <c r="C607" t="s">
        <v>214</v>
      </c>
      <c r="D607" t="s">
        <v>251</v>
      </c>
      <c r="E607" s="32">
        <v>45941</v>
      </c>
      <c r="F607" t="s">
        <v>222</v>
      </c>
      <c r="G607" s="32">
        <v>45939</v>
      </c>
      <c r="H607">
        <v>8300154454</v>
      </c>
      <c r="I607">
        <v>156</v>
      </c>
      <c r="J607" t="s">
        <v>242</v>
      </c>
      <c r="K607" t="s">
        <v>71</v>
      </c>
      <c r="L607" t="s">
        <v>72</v>
      </c>
      <c r="M607" t="s">
        <v>59</v>
      </c>
      <c r="N607" t="s">
        <v>59</v>
      </c>
      <c r="O607" t="s">
        <v>59</v>
      </c>
      <c r="P607" t="s">
        <v>59</v>
      </c>
      <c r="Q607" t="s">
        <v>59</v>
      </c>
      <c r="R607" t="s">
        <v>59</v>
      </c>
      <c r="S607" t="s">
        <v>59</v>
      </c>
      <c r="T607" t="s">
        <v>59</v>
      </c>
      <c r="U607" t="s">
        <v>60</v>
      </c>
      <c r="V607" t="s">
        <v>59</v>
      </c>
      <c r="W607" t="s">
        <v>59</v>
      </c>
      <c r="X607" t="s">
        <v>59</v>
      </c>
      <c r="Y607" t="s">
        <v>59</v>
      </c>
      <c r="Z607" t="s">
        <v>59</v>
      </c>
      <c r="AA607" t="s">
        <v>60</v>
      </c>
      <c r="AB607" t="s">
        <v>59</v>
      </c>
      <c r="AC607" t="s">
        <v>59</v>
      </c>
      <c r="AD607" t="s">
        <v>59</v>
      </c>
      <c r="AE607" t="s">
        <v>59</v>
      </c>
      <c r="AF607" t="s">
        <v>59</v>
      </c>
      <c r="AG607" t="s">
        <v>59</v>
      </c>
      <c r="AH607" t="s">
        <v>61</v>
      </c>
      <c r="AI607" t="s">
        <v>61</v>
      </c>
      <c r="AJ607" t="s">
        <v>59</v>
      </c>
      <c r="AK607" t="s">
        <v>59</v>
      </c>
      <c r="AL607" t="s">
        <v>60</v>
      </c>
      <c r="AM607" t="s">
        <v>59</v>
      </c>
      <c r="AN607" t="s">
        <v>59</v>
      </c>
      <c r="AO607" t="s">
        <v>59</v>
      </c>
      <c r="AP607" t="s">
        <v>783</v>
      </c>
      <c r="AQ607" t="s">
        <v>1368</v>
      </c>
      <c r="AR607" t="s">
        <v>226</v>
      </c>
      <c r="AS607" t="s">
        <v>695</v>
      </c>
      <c r="AT607" t="s">
        <v>331</v>
      </c>
      <c r="AU607" t="s">
        <v>219</v>
      </c>
      <c r="AW607" s="4">
        <f t="shared" si="318"/>
        <v>6</v>
      </c>
      <c r="AX607" s="4">
        <f t="shared" si="319"/>
        <v>4</v>
      </c>
      <c r="AY607" s="4">
        <f t="shared" si="320"/>
        <v>4</v>
      </c>
      <c r="AZ607" s="4">
        <f t="shared" si="321"/>
        <v>2</v>
      </c>
      <c r="BA607" s="4">
        <f t="shared" si="322"/>
        <v>4</v>
      </c>
      <c r="BB607" s="4">
        <f t="shared" si="323"/>
        <v>4</v>
      </c>
      <c r="BC607" s="4">
        <f t="shared" si="324"/>
        <v>4</v>
      </c>
      <c r="BD607" s="4">
        <f t="shared" si="325"/>
        <v>2</v>
      </c>
      <c r="BE607" s="4" t="str">
        <f t="shared" si="326"/>
        <v>0</v>
      </c>
      <c r="BF607" s="4">
        <f t="shared" si="327"/>
        <v>2</v>
      </c>
      <c r="BG607" s="4">
        <f t="shared" si="328"/>
        <v>4</v>
      </c>
      <c r="BH607" s="4">
        <f t="shared" si="329"/>
        <v>4</v>
      </c>
      <c r="BI607" s="4">
        <f t="shared" si="330"/>
        <v>4</v>
      </c>
      <c r="BJ607" s="4">
        <f t="shared" si="331"/>
        <v>2</v>
      </c>
      <c r="BK607" s="4" t="str">
        <f t="shared" si="332"/>
        <v>0</v>
      </c>
      <c r="BL607" s="4">
        <f t="shared" si="333"/>
        <v>2</v>
      </c>
      <c r="BM607" s="4">
        <f t="shared" si="334"/>
        <v>4</v>
      </c>
      <c r="BN607" s="4">
        <f t="shared" si="335"/>
        <v>4</v>
      </c>
      <c r="BO607" s="4">
        <f t="shared" si="336"/>
        <v>4</v>
      </c>
      <c r="BP607" s="4">
        <f t="shared" si="337"/>
        <v>4</v>
      </c>
      <c r="BQ607" s="4">
        <f t="shared" si="338"/>
        <v>6</v>
      </c>
      <c r="BR607" s="4">
        <f t="shared" si="339"/>
        <v>4</v>
      </c>
      <c r="BS607" s="4">
        <f t="shared" si="340"/>
        <v>4</v>
      </c>
      <c r="BT607" s="4">
        <f t="shared" si="341"/>
        <v>4</v>
      </c>
      <c r="BU607" s="4">
        <f t="shared" si="342"/>
        <v>4</v>
      </c>
      <c r="BV607" s="4" t="str">
        <f t="shared" si="343"/>
        <v>0</v>
      </c>
      <c r="BW607" s="4">
        <f t="shared" si="344"/>
        <v>6</v>
      </c>
      <c r="BX607" s="4">
        <f t="shared" si="345"/>
        <v>0</v>
      </c>
      <c r="BY607" s="4">
        <f t="shared" si="346"/>
        <v>0</v>
      </c>
      <c r="BZ607" s="37">
        <f t="shared" si="347"/>
        <v>92</v>
      </c>
      <c r="CA607" s="32" t="str">
        <f>VLOOKUP(J:J,'Agent wise'!A:C,3,0)</f>
        <v>Amal</v>
      </c>
      <c r="CB607" s="32">
        <f t="shared" si="348"/>
        <v>45941</v>
      </c>
      <c r="CC607" t="str">
        <f t="shared" si="349"/>
        <v>Good</v>
      </c>
      <c r="CE607" s="32"/>
      <c r="CJ607">
        <f t="shared" si="350"/>
        <v>11</v>
      </c>
      <c r="CK607">
        <f t="shared" si="351"/>
        <v>10</v>
      </c>
      <c r="CL607">
        <f t="shared" si="352"/>
        <v>2025</v>
      </c>
    </row>
    <row r="608" spans="1:90" ht="15" customHeight="1" x14ac:dyDescent="0.35">
      <c r="A608" s="40">
        <v>45971.740381944437</v>
      </c>
      <c r="B608" t="s">
        <v>100</v>
      </c>
      <c r="C608" t="s">
        <v>214</v>
      </c>
      <c r="D608" t="s">
        <v>101</v>
      </c>
      <c r="E608" s="32">
        <v>45941</v>
      </c>
      <c r="F608" t="s">
        <v>222</v>
      </c>
      <c r="G608" s="32">
        <v>45940</v>
      </c>
      <c r="H608">
        <v>9445269874</v>
      </c>
      <c r="I608">
        <v>135</v>
      </c>
      <c r="J608" t="s">
        <v>353</v>
      </c>
      <c r="K608" t="s">
        <v>86</v>
      </c>
      <c r="L608" t="s">
        <v>72</v>
      </c>
      <c r="M608" t="s">
        <v>59</v>
      </c>
      <c r="N608" t="s">
        <v>59</v>
      </c>
      <c r="O608" t="s">
        <v>59</v>
      </c>
      <c r="P608" t="s">
        <v>59</v>
      </c>
      <c r="Q608" t="s">
        <v>59</v>
      </c>
      <c r="R608" t="s">
        <v>60</v>
      </c>
      <c r="S608" t="s">
        <v>59</v>
      </c>
      <c r="T608" t="s">
        <v>59</v>
      </c>
      <c r="U608" t="s">
        <v>59</v>
      </c>
      <c r="V608" t="s">
        <v>59</v>
      </c>
      <c r="W608" t="s">
        <v>60</v>
      </c>
      <c r="X608" t="s">
        <v>60</v>
      </c>
      <c r="Y608" t="s">
        <v>59</v>
      </c>
      <c r="Z608" t="s">
        <v>59</v>
      </c>
      <c r="AA608" t="s">
        <v>60</v>
      </c>
      <c r="AB608" t="s">
        <v>60</v>
      </c>
      <c r="AC608" t="s">
        <v>61</v>
      </c>
      <c r="AD608" t="s">
        <v>61</v>
      </c>
      <c r="AE608" t="s">
        <v>60</v>
      </c>
      <c r="AF608" t="s">
        <v>59</v>
      </c>
      <c r="AG608" t="s">
        <v>60</v>
      </c>
      <c r="AH608" t="s">
        <v>59</v>
      </c>
      <c r="AI608" t="s">
        <v>60</v>
      </c>
      <c r="AJ608" t="s">
        <v>59</v>
      </c>
      <c r="AK608" t="s">
        <v>59</v>
      </c>
      <c r="AL608" t="s">
        <v>60</v>
      </c>
      <c r="AM608" t="s">
        <v>59</v>
      </c>
      <c r="AN608" t="s">
        <v>59</v>
      </c>
      <c r="AO608" t="s">
        <v>59</v>
      </c>
      <c r="AP608" t="s">
        <v>1369</v>
      </c>
      <c r="AQ608" s="1" t="s">
        <v>1370</v>
      </c>
      <c r="AR608" t="s">
        <v>226</v>
      </c>
      <c r="AS608" t="s">
        <v>352</v>
      </c>
      <c r="AT608" t="s">
        <v>352</v>
      </c>
      <c r="AU608" t="s">
        <v>299</v>
      </c>
      <c r="AW608" s="4">
        <f t="shared" si="318"/>
        <v>6</v>
      </c>
      <c r="AX608" s="4">
        <f t="shared" si="319"/>
        <v>4</v>
      </c>
      <c r="AY608" s="4">
        <f t="shared" si="320"/>
        <v>4</v>
      </c>
      <c r="AZ608" s="4">
        <f t="shared" si="321"/>
        <v>2</v>
      </c>
      <c r="BA608" s="4">
        <f t="shared" si="322"/>
        <v>4</v>
      </c>
      <c r="BB608" s="4" t="str">
        <f t="shared" si="323"/>
        <v>0</v>
      </c>
      <c r="BC608" s="4">
        <f t="shared" si="324"/>
        <v>4</v>
      </c>
      <c r="BD608" s="4">
        <f t="shared" si="325"/>
        <v>2</v>
      </c>
      <c r="BE608" s="4">
        <f t="shared" si="326"/>
        <v>4</v>
      </c>
      <c r="BF608" s="4">
        <f t="shared" si="327"/>
        <v>2</v>
      </c>
      <c r="BG608" s="4" t="str">
        <f t="shared" si="328"/>
        <v>0</v>
      </c>
      <c r="BH608" s="4" t="str">
        <f t="shared" si="329"/>
        <v>0</v>
      </c>
      <c r="BI608" s="4">
        <f t="shared" si="330"/>
        <v>4</v>
      </c>
      <c r="BJ608" s="4">
        <f t="shared" si="331"/>
        <v>2</v>
      </c>
      <c r="BK608" s="4" t="str">
        <f t="shared" si="332"/>
        <v>0</v>
      </c>
      <c r="BL608" s="4" t="str">
        <f t="shared" si="333"/>
        <v>0</v>
      </c>
      <c r="BM608" s="4">
        <f t="shared" si="334"/>
        <v>4</v>
      </c>
      <c r="BN608" s="4">
        <f t="shared" si="335"/>
        <v>4</v>
      </c>
      <c r="BO608" s="4" t="str">
        <f t="shared" si="336"/>
        <v>0</v>
      </c>
      <c r="BP608" s="4">
        <f t="shared" si="337"/>
        <v>4</v>
      </c>
      <c r="BQ608" s="4" t="str">
        <f t="shared" si="338"/>
        <v>0</v>
      </c>
      <c r="BR608" s="4">
        <f t="shared" si="339"/>
        <v>4</v>
      </c>
      <c r="BS608" s="4" t="str">
        <f t="shared" si="340"/>
        <v>0</v>
      </c>
      <c r="BT608" s="4">
        <f t="shared" si="341"/>
        <v>4</v>
      </c>
      <c r="BU608" s="4">
        <f t="shared" si="342"/>
        <v>4</v>
      </c>
      <c r="BV608" s="4" t="str">
        <f t="shared" si="343"/>
        <v>0</v>
      </c>
      <c r="BW608" s="4">
        <f t="shared" si="344"/>
        <v>6</v>
      </c>
      <c r="BX608" s="4">
        <f t="shared" si="345"/>
        <v>0</v>
      </c>
      <c r="BY608" s="4">
        <f t="shared" si="346"/>
        <v>0</v>
      </c>
      <c r="BZ608" s="37">
        <f t="shared" si="347"/>
        <v>68</v>
      </c>
      <c r="CA608" s="32" t="str">
        <f>VLOOKUP(J:J,'Agent wise'!A:C,3,0)</f>
        <v>Amal</v>
      </c>
      <c r="CB608" s="32">
        <f t="shared" si="348"/>
        <v>45941</v>
      </c>
      <c r="CC608" t="str">
        <f t="shared" si="349"/>
        <v>FC</v>
      </c>
      <c r="CE608" s="32"/>
      <c r="CJ608">
        <f t="shared" si="350"/>
        <v>11</v>
      </c>
      <c r="CK608">
        <f t="shared" si="351"/>
        <v>10</v>
      </c>
      <c r="CL608">
        <f t="shared" si="352"/>
        <v>2025</v>
      </c>
    </row>
    <row r="609" spans="1:90" ht="15" customHeight="1" x14ac:dyDescent="0.35">
      <c r="A609" s="40">
        <v>45971.744328703702</v>
      </c>
      <c r="B609" t="s">
        <v>250</v>
      </c>
      <c r="C609" t="s">
        <v>214</v>
      </c>
      <c r="D609" t="s">
        <v>251</v>
      </c>
      <c r="E609" s="32">
        <v>45941</v>
      </c>
      <c r="F609" t="s">
        <v>222</v>
      </c>
      <c r="G609" s="32">
        <v>45939</v>
      </c>
      <c r="H609">
        <v>9447470888</v>
      </c>
      <c r="I609">
        <v>130</v>
      </c>
      <c r="J609" t="s">
        <v>391</v>
      </c>
      <c r="K609" t="s">
        <v>71</v>
      </c>
      <c r="L609" t="s">
        <v>72</v>
      </c>
      <c r="M609" t="s">
        <v>59</v>
      </c>
      <c r="N609" t="s">
        <v>59</v>
      </c>
      <c r="O609" t="s">
        <v>59</v>
      </c>
      <c r="P609" t="s">
        <v>59</v>
      </c>
      <c r="Q609" t="s">
        <v>59</v>
      </c>
      <c r="R609" t="s">
        <v>59</v>
      </c>
      <c r="S609" t="s">
        <v>59</v>
      </c>
      <c r="T609" t="s">
        <v>59</v>
      </c>
      <c r="U609" t="s">
        <v>60</v>
      </c>
      <c r="V609" t="s">
        <v>59</v>
      </c>
      <c r="W609" t="s">
        <v>59</v>
      </c>
      <c r="X609" t="s">
        <v>59</v>
      </c>
      <c r="Y609" t="s">
        <v>59</v>
      </c>
      <c r="Z609" t="s">
        <v>59</v>
      </c>
      <c r="AA609" t="s">
        <v>59</v>
      </c>
      <c r="AB609" t="s">
        <v>60</v>
      </c>
      <c r="AC609" t="s">
        <v>59</v>
      </c>
      <c r="AD609" t="s">
        <v>59</v>
      </c>
      <c r="AE609" t="s">
        <v>59</v>
      </c>
      <c r="AF609" t="s">
        <v>59</v>
      </c>
      <c r="AG609" t="s">
        <v>59</v>
      </c>
      <c r="AH609" t="s">
        <v>61</v>
      </c>
      <c r="AI609" t="s">
        <v>61</v>
      </c>
      <c r="AJ609" t="s">
        <v>59</v>
      </c>
      <c r="AK609" t="s">
        <v>59</v>
      </c>
      <c r="AL609" t="s">
        <v>60</v>
      </c>
      <c r="AM609" t="s">
        <v>59</v>
      </c>
      <c r="AN609" t="s">
        <v>59</v>
      </c>
      <c r="AO609" t="s">
        <v>59</v>
      </c>
      <c r="AP609" t="s">
        <v>314</v>
      </c>
      <c r="AQ609" t="s">
        <v>1371</v>
      </c>
      <c r="AR609" t="s">
        <v>64</v>
      </c>
      <c r="AS609" t="s">
        <v>249</v>
      </c>
      <c r="AT609" t="s">
        <v>404</v>
      </c>
      <c r="AU609" t="s">
        <v>219</v>
      </c>
      <c r="AW609" s="4">
        <f t="shared" si="318"/>
        <v>6</v>
      </c>
      <c r="AX609" s="4">
        <f t="shared" si="319"/>
        <v>4</v>
      </c>
      <c r="AY609" s="4">
        <f t="shared" si="320"/>
        <v>4</v>
      </c>
      <c r="AZ609" s="4">
        <f t="shared" si="321"/>
        <v>2</v>
      </c>
      <c r="BA609" s="4">
        <f t="shared" si="322"/>
        <v>4</v>
      </c>
      <c r="BB609" s="4">
        <f t="shared" si="323"/>
        <v>4</v>
      </c>
      <c r="BC609" s="4">
        <f t="shared" si="324"/>
        <v>4</v>
      </c>
      <c r="BD609" s="4">
        <f t="shared" si="325"/>
        <v>2</v>
      </c>
      <c r="BE609" s="4" t="str">
        <f t="shared" si="326"/>
        <v>0</v>
      </c>
      <c r="BF609" s="4">
        <f t="shared" si="327"/>
        <v>2</v>
      </c>
      <c r="BG609" s="4">
        <f t="shared" si="328"/>
        <v>4</v>
      </c>
      <c r="BH609" s="4">
        <f t="shared" si="329"/>
        <v>4</v>
      </c>
      <c r="BI609" s="4">
        <f t="shared" si="330"/>
        <v>4</v>
      </c>
      <c r="BJ609" s="4">
        <f t="shared" si="331"/>
        <v>2</v>
      </c>
      <c r="BK609" s="4">
        <f t="shared" si="332"/>
        <v>4</v>
      </c>
      <c r="BL609" s="4" t="str">
        <f t="shared" si="333"/>
        <v>0</v>
      </c>
      <c r="BM609" s="4">
        <f t="shared" si="334"/>
        <v>4</v>
      </c>
      <c r="BN609" s="4">
        <f t="shared" si="335"/>
        <v>4</v>
      </c>
      <c r="BO609" s="4">
        <f t="shared" si="336"/>
        <v>4</v>
      </c>
      <c r="BP609" s="4">
        <f t="shared" si="337"/>
        <v>4</v>
      </c>
      <c r="BQ609" s="4">
        <f t="shared" si="338"/>
        <v>6</v>
      </c>
      <c r="BR609" s="4">
        <f t="shared" si="339"/>
        <v>4</v>
      </c>
      <c r="BS609" s="4">
        <f t="shared" si="340"/>
        <v>4</v>
      </c>
      <c r="BT609" s="4">
        <f t="shared" si="341"/>
        <v>4</v>
      </c>
      <c r="BU609" s="4">
        <f t="shared" si="342"/>
        <v>4</v>
      </c>
      <c r="BV609" s="4" t="str">
        <f t="shared" si="343"/>
        <v>0</v>
      </c>
      <c r="BW609" s="4">
        <f t="shared" si="344"/>
        <v>6</v>
      </c>
      <c r="BX609" s="4">
        <f t="shared" si="345"/>
        <v>0</v>
      </c>
      <c r="BY609" s="4">
        <f t="shared" si="346"/>
        <v>0</v>
      </c>
      <c r="BZ609" s="37">
        <f t="shared" si="347"/>
        <v>94</v>
      </c>
      <c r="CA609" s="32" t="str">
        <f>VLOOKUP(J:J,'Agent wise'!A:C,3,0)</f>
        <v>Amal</v>
      </c>
      <c r="CB609" s="32">
        <f t="shared" si="348"/>
        <v>45941</v>
      </c>
      <c r="CC609" t="str">
        <f t="shared" si="349"/>
        <v>Good</v>
      </c>
      <c r="CE609" s="32"/>
      <c r="CJ609">
        <f t="shared" si="350"/>
        <v>11</v>
      </c>
      <c r="CK609">
        <f t="shared" si="351"/>
        <v>10</v>
      </c>
      <c r="CL609">
        <f t="shared" si="352"/>
        <v>2025</v>
      </c>
    </row>
    <row r="610" spans="1:90" ht="15" customHeight="1" x14ac:dyDescent="0.35">
      <c r="A610" s="40">
        <v>45971.746018518519</v>
      </c>
      <c r="B610" t="s">
        <v>100</v>
      </c>
      <c r="C610" t="s">
        <v>214</v>
      </c>
      <c r="D610" t="s">
        <v>101</v>
      </c>
      <c r="E610" s="32">
        <v>45941</v>
      </c>
      <c r="F610" t="s">
        <v>222</v>
      </c>
      <c r="G610" s="32">
        <v>45940</v>
      </c>
      <c r="H610">
        <v>9400477272</v>
      </c>
      <c r="I610">
        <v>131</v>
      </c>
      <c r="J610" t="s">
        <v>353</v>
      </c>
      <c r="K610" t="s">
        <v>57</v>
      </c>
      <c r="L610" t="s">
        <v>58</v>
      </c>
      <c r="M610" t="s">
        <v>59</v>
      </c>
      <c r="N610" t="s">
        <v>59</v>
      </c>
      <c r="O610" t="s">
        <v>59</v>
      </c>
      <c r="P610" t="s">
        <v>59</v>
      </c>
      <c r="Q610" t="s">
        <v>59</v>
      </c>
      <c r="R610" t="s">
        <v>60</v>
      </c>
      <c r="S610" t="s">
        <v>59</v>
      </c>
      <c r="T610" t="s">
        <v>59</v>
      </c>
      <c r="U610" t="s">
        <v>59</v>
      </c>
      <c r="V610" t="s">
        <v>59</v>
      </c>
      <c r="W610" t="s">
        <v>59</v>
      </c>
      <c r="X610" t="s">
        <v>59</v>
      </c>
      <c r="Y610" t="s">
        <v>59</v>
      </c>
      <c r="Z610" t="s">
        <v>59</v>
      </c>
      <c r="AA610" t="s">
        <v>60</v>
      </c>
      <c r="AB610" t="s">
        <v>60</v>
      </c>
      <c r="AC610" t="s">
        <v>59</v>
      </c>
      <c r="AD610" t="s">
        <v>59</v>
      </c>
      <c r="AE610" t="s">
        <v>59</v>
      </c>
      <c r="AF610" t="s">
        <v>59</v>
      </c>
      <c r="AG610" t="s">
        <v>59</v>
      </c>
      <c r="AH610" t="s">
        <v>59</v>
      </c>
      <c r="AI610" t="s">
        <v>61</v>
      </c>
      <c r="AJ610" t="s">
        <v>59</v>
      </c>
      <c r="AK610" t="s">
        <v>59</v>
      </c>
      <c r="AL610" t="s">
        <v>59</v>
      </c>
      <c r="AM610" t="s">
        <v>59</v>
      </c>
      <c r="AN610" t="s">
        <v>59</v>
      </c>
      <c r="AO610" t="s">
        <v>59</v>
      </c>
      <c r="AP610" t="s">
        <v>1372</v>
      </c>
      <c r="AQ610" s="1" t="s">
        <v>1373</v>
      </c>
      <c r="AR610" t="s">
        <v>226</v>
      </c>
      <c r="AS610" t="s">
        <v>352</v>
      </c>
      <c r="AT610" t="s">
        <v>352</v>
      </c>
      <c r="AU610" t="s">
        <v>387</v>
      </c>
      <c r="AW610" s="4">
        <f t="shared" si="318"/>
        <v>6</v>
      </c>
      <c r="AX610" s="4">
        <f t="shared" si="319"/>
        <v>4</v>
      </c>
      <c r="AY610" s="4">
        <f t="shared" si="320"/>
        <v>4</v>
      </c>
      <c r="AZ610" s="4">
        <f t="shared" si="321"/>
        <v>2</v>
      </c>
      <c r="BA610" s="4">
        <f t="shared" si="322"/>
        <v>4</v>
      </c>
      <c r="BB610" s="4" t="str">
        <f t="shared" si="323"/>
        <v>0</v>
      </c>
      <c r="BC610" s="4">
        <f t="shared" si="324"/>
        <v>4</v>
      </c>
      <c r="BD610" s="4">
        <f t="shared" si="325"/>
        <v>2</v>
      </c>
      <c r="BE610" s="4">
        <f t="shared" si="326"/>
        <v>4</v>
      </c>
      <c r="BF610" s="4">
        <f t="shared" si="327"/>
        <v>2</v>
      </c>
      <c r="BG610" s="4">
        <f t="shared" si="328"/>
        <v>4</v>
      </c>
      <c r="BH610" s="4">
        <f t="shared" si="329"/>
        <v>4</v>
      </c>
      <c r="BI610" s="4">
        <f t="shared" si="330"/>
        <v>4</v>
      </c>
      <c r="BJ610" s="4">
        <f t="shared" si="331"/>
        <v>2</v>
      </c>
      <c r="BK610" s="4" t="str">
        <f t="shared" si="332"/>
        <v>0</v>
      </c>
      <c r="BL610" s="4" t="str">
        <f t="shared" si="333"/>
        <v>0</v>
      </c>
      <c r="BM610" s="4">
        <f t="shared" si="334"/>
        <v>4</v>
      </c>
      <c r="BN610" s="4">
        <f t="shared" si="335"/>
        <v>4</v>
      </c>
      <c r="BO610" s="4">
        <f t="shared" si="336"/>
        <v>4</v>
      </c>
      <c r="BP610" s="4">
        <f t="shared" si="337"/>
        <v>4</v>
      </c>
      <c r="BQ610" s="4">
        <f t="shared" si="338"/>
        <v>6</v>
      </c>
      <c r="BR610" s="4">
        <f t="shared" si="339"/>
        <v>4</v>
      </c>
      <c r="BS610" s="4">
        <f t="shared" si="340"/>
        <v>4</v>
      </c>
      <c r="BT610" s="4">
        <f t="shared" si="341"/>
        <v>4</v>
      </c>
      <c r="BU610" s="4">
        <f t="shared" si="342"/>
        <v>4</v>
      </c>
      <c r="BV610" s="4">
        <f t="shared" si="343"/>
        <v>0</v>
      </c>
      <c r="BW610" s="4">
        <f t="shared" si="344"/>
        <v>6</v>
      </c>
      <c r="BX610" s="4">
        <f t="shared" si="345"/>
        <v>0</v>
      </c>
      <c r="BY610" s="4">
        <f t="shared" si="346"/>
        <v>0</v>
      </c>
      <c r="BZ610" s="37">
        <f t="shared" si="347"/>
        <v>90</v>
      </c>
      <c r="CA610" s="32" t="str">
        <f>VLOOKUP(J:J,'Agent wise'!A:C,3,0)</f>
        <v>Amal</v>
      </c>
      <c r="CB610" s="32">
        <f t="shared" si="348"/>
        <v>45941</v>
      </c>
      <c r="CC610" t="str">
        <f t="shared" si="349"/>
        <v>Good</v>
      </c>
      <c r="CE610" s="32"/>
      <c r="CJ610">
        <f t="shared" si="350"/>
        <v>11</v>
      </c>
      <c r="CK610">
        <f t="shared" si="351"/>
        <v>10</v>
      </c>
      <c r="CL610">
        <f t="shared" si="352"/>
        <v>2025</v>
      </c>
    </row>
    <row r="611" spans="1:90" ht="15" customHeight="1" x14ac:dyDescent="0.35">
      <c r="A611" s="40">
        <v>45971.74664351852</v>
      </c>
      <c r="B611" t="s">
        <v>250</v>
      </c>
      <c r="C611" t="s">
        <v>214</v>
      </c>
      <c r="D611" t="s">
        <v>251</v>
      </c>
      <c r="E611" s="32">
        <v>45939</v>
      </c>
      <c r="F611" t="s">
        <v>222</v>
      </c>
      <c r="G611" s="32">
        <v>45939</v>
      </c>
      <c r="H611">
        <v>9847167692</v>
      </c>
      <c r="I611">
        <v>138</v>
      </c>
      <c r="J611" t="s">
        <v>409</v>
      </c>
      <c r="K611" t="s">
        <v>57</v>
      </c>
      <c r="L611" t="s">
        <v>58</v>
      </c>
      <c r="M611" t="s">
        <v>59</v>
      </c>
      <c r="N611" t="s">
        <v>59</v>
      </c>
      <c r="O611" t="s">
        <v>59</v>
      </c>
      <c r="P611" t="s">
        <v>59</v>
      </c>
      <c r="Q611" t="s">
        <v>59</v>
      </c>
      <c r="R611" t="s">
        <v>59</v>
      </c>
      <c r="S611" t="s">
        <v>59</v>
      </c>
      <c r="T611" t="s">
        <v>59</v>
      </c>
      <c r="U611" t="s">
        <v>60</v>
      </c>
      <c r="V611" t="s">
        <v>59</v>
      </c>
      <c r="W611" t="s">
        <v>59</v>
      </c>
      <c r="X611" t="s">
        <v>59</v>
      </c>
      <c r="Y611" t="s">
        <v>59</v>
      </c>
      <c r="Z611" t="s">
        <v>60</v>
      </c>
      <c r="AA611" t="s">
        <v>59</v>
      </c>
      <c r="AB611" t="s">
        <v>59</v>
      </c>
      <c r="AC611" t="s">
        <v>59</v>
      </c>
      <c r="AD611" t="s">
        <v>59</v>
      </c>
      <c r="AE611" t="s">
        <v>59</v>
      </c>
      <c r="AF611" t="s">
        <v>59</v>
      </c>
      <c r="AG611" t="s">
        <v>59</v>
      </c>
      <c r="AH611" t="s">
        <v>61</v>
      </c>
      <c r="AI611" t="s">
        <v>61</v>
      </c>
      <c r="AJ611" t="s">
        <v>59</v>
      </c>
      <c r="AK611" t="s">
        <v>59</v>
      </c>
      <c r="AL611" t="s">
        <v>59</v>
      </c>
      <c r="AM611" t="s">
        <v>59</v>
      </c>
      <c r="AN611" t="s">
        <v>59</v>
      </c>
      <c r="AO611" t="s">
        <v>59</v>
      </c>
      <c r="AP611" t="s">
        <v>1374</v>
      </c>
      <c r="AQ611" t="s">
        <v>1375</v>
      </c>
      <c r="AR611" t="s">
        <v>226</v>
      </c>
      <c r="AS611" t="s">
        <v>249</v>
      </c>
      <c r="AT611" t="s">
        <v>404</v>
      </c>
      <c r="AU611" t="s">
        <v>219</v>
      </c>
      <c r="AW611" s="4">
        <f t="shared" si="318"/>
        <v>6</v>
      </c>
      <c r="AX611" s="4">
        <f t="shared" si="319"/>
        <v>4</v>
      </c>
      <c r="AY611" s="4">
        <f t="shared" si="320"/>
        <v>4</v>
      </c>
      <c r="AZ611" s="4">
        <f t="shared" si="321"/>
        <v>2</v>
      </c>
      <c r="BA611" s="4">
        <f t="shared" si="322"/>
        <v>4</v>
      </c>
      <c r="BB611" s="4">
        <f t="shared" si="323"/>
        <v>4</v>
      </c>
      <c r="BC611" s="4">
        <f t="shared" si="324"/>
        <v>4</v>
      </c>
      <c r="BD611" s="4">
        <f t="shared" si="325"/>
        <v>2</v>
      </c>
      <c r="BE611" s="4" t="str">
        <f t="shared" si="326"/>
        <v>0</v>
      </c>
      <c r="BF611" s="4">
        <f t="shared" si="327"/>
        <v>2</v>
      </c>
      <c r="BG611" s="4">
        <f t="shared" si="328"/>
        <v>4</v>
      </c>
      <c r="BH611" s="4">
        <f t="shared" si="329"/>
        <v>4</v>
      </c>
      <c r="BI611" s="4">
        <f t="shared" si="330"/>
        <v>4</v>
      </c>
      <c r="BJ611" s="4" t="str">
        <f t="shared" si="331"/>
        <v>0</v>
      </c>
      <c r="BK611" s="4">
        <f t="shared" si="332"/>
        <v>4</v>
      </c>
      <c r="BL611" s="4">
        <f t="shared" si="333"/>
        <v>2</v>
      </c>
      <c r="BM611" s="4">
        <f t="shared" si="334"/>
        <v>4</v>
      </c>
      <c r="BN611" s="4">
        <f t="shared" si="335"/>
        <v>4</v>
      </c>
      <c r="BO611" s="4">
        <f t="shared" si="336"/>
        <v>4</v>
      </c>
      <c r="BP611" s="4">
        <f t="shared" si="337"/>
        <v>4</v>
      </c>
      <c r="BQ611" s="4">
        <f t="shared" si="338"/>
        <v>6</v>
      </c>
      <c r="BR611" s="4">
        <f t="shared" si="339"/>
        <v>4</v>
      </c>
      <c r="BS611" s="4">
        <f t="shared" si="340"/>
        <v>4</v>
      </c>
      <c r="BT611" s="4">
        <f t="shared" si="341"/>
        <v>4</v>
      </c>
      <c r="BU611" s="4">
        <f t="shared" si="342"/>
        <v>4</v>
      </c>
      <c r="BV611" s="4">
        <f t="shared" si="343"/>
        <v>0</v>
      </c>
      <c r="BW611" s="4">
        <f t="shared" si="344"/>
        <v>6</v>
      </c>
      <c r="BX611" s="4">
        <f t="shared" si="345"/>
        <v>0</v>
      </c>
      <c r="BY611" s="4">
        <f t="shared" si="346"/>
        <v>0</v>
      </c>
      <c r="BZ611" s="37">
        <f t="shared" si="347"/>
        <v>94</v>
      </c>
      <c r="CA611" s="32" t="str">
        <f>VLOOKUP(J:J,'Agent wise'!A:C,3,0)</f>
        <v>Amal</v>
      </c>
      <c r="CB611" s="32">
        <f t="shared" si="348"/>
        <v>45939</v>
      </c>
      <c r="CC611" t="str">
        <f t="shared" si="349"/>
        <v>Good</v>
      </c>
      <c r="CE611" s="32"/>
      <c r="CJ611">
        <f t="shared" si="350"/>
        <v>9</v>
      </c>
      <c r="CK611">
        <f t="shared" si="351"/>
        <v>10</v>
      </c>
      <c r="CL611">
        <f t="shared" si="352"/>
        <v>2025</v>
      </c>
    </row>
    <row r="612" spans="1:90" ht="15" customHeight="1" x14ac:dyDescent="0.35">
      <c r="A612" s="40">
        <v>45971.749039351853</v>
      </c>
      <c r="B612" t="s">
        <v>100</v>
      </c>
      <c r="C612" t="s">
        <v>214</v>
      </c>
      <c r="D612" t="s">
        <v>101</v>
      </c>
      <c r="E612" s="32">
        <v>45941</v>
      </c>
      <c r="F612" t="s">
        <v>222</v>
      </c>
      <c r="G612" s="32">
        <v>45940</v>
      </c>
      <c r="H612">
        <v>9847172480</v>
      </c>
      <c r="I612">
        <v>130</v>
      </c>
      <c r="J612" t="s">
        <v>313</v>
      </c>
      <c r="K612" t="s">
        <v>57</v>
      </c>
      <c r="L612" t="s">
        <v>58</v>
      </c>
      <c r="M612" t="s">
        <v>59</v>
      </c>
      <c r="N612" t="s">
        <v>59</v>
      </c>
      <c r="O612" t="s">
        <v>59</v>
      </c>
      <c r="P612" t="s">
        <v>59</v>
      </c>
      <c r="Q612" t="s">
        <v>59</v>
      </c>
      <c r="R612" t="s">
        <v>59</v>
      </c>
      <c r="S612" t="s">
        <v>59</v>
      </c>
      <c r="T612" t="s">
        <v>59</v>
      </c>
      <c r="U612" t="s">
        <v>59</v>
      </c>
      <c r="V612" t="s">
        <v>59</v>
      </c>
      <c r="W612" t="s">
        <v>59</v>
      </c>
      <c r="X612" t="s">
        <v>59</v>
      </c>
      <c r="Y612" t="s">
        <v>59</v>
      </c>
      <c r="Z612" t="s">
        <v>59</v>
      </c>
      <c r="AA612" t="s">
        <v>59</v>
      </c>
      <c r="AB612" t="s">
        <v>59</v>
      </c>
      <c r="AC612" t="s">
        <v>59</v>
      </c>
      <c r="AD612" t="s">
        <v>59</v>
      </c>
      <c r="AE612" t="s">
        <v>59</v>
      </c>
      <c r="AF612" t="s">
        <v>59</v>
      </c>
      <c r="AG612" t="s">
        <v>59</v>
      </c>
      <c r="AH612" t="s">
        <v>59</v>
      </c>
      <c r="AI612" t="s">
        <v>60</v>
      </c>
      <c r="AJ612" t="s">
        <v>59</v>
      </c>
      <c r="AK612" t="s">
        <v>59</v>
      </c>
      <c r="AL612" t="s">
        <v>59</v>
      </c>
      <c r="AM612" t="s">
        <v>59</v>
      </c>
      <c r="AN612" t="s">
        <v>59</v>
      </c>
      <c r="AO612" t="s">
        <v>59</v>
      </c>
      <c r="AP612" t="s">
        <v>1376</v>
      </c>
      <c r="AQ612" s="1" t="s">
        <v>1377</v>
      </c>
      <c r="AR612" t="s">
        <v>226</v>
      </c>
      <c r="AS612" t="s">
        <v>352</v>
      </c>
      <c r="AT612" t="s">
        <v>352</v>
      </c>
      <c r="AU612" t="s">
        <v>219</v>
      </c>
      <c r="AW612" s="4">
        <f t="shared" si="318"/>
        <v>6</v>
      </c>
      <c r="AX612" s="4">
        <f t="shared" si="319"/>
        <v>4</v>
      </c>
      <c r="AY612" s="4">
        <f t="shared" si="320"/>
        <v>4</v>
      </c>
      <c r="AZ612" s="4">
        <f t="shared" si="321"/>
        <v>2</v>
      </c>
      <c r="BA612" s="4">
        <f t="shared" si="322"/>
        <v>4</v>
      </c>
      <c r="BB612" s="4">
        <f t="shared" si="323"/>
        <v>4</v>
      </c>
      <c r="BC612" s="4">
        <f t="shared" si="324"/>
        <v>4</v>
      </c>
      <c r="BD612" s="4">
        <f t="shared" si="325"/>
        <v>2</v>
      </c>
      <c r="BE612" s="4">
        <f t="shared" si="326"/>
        <v>4</v>
      </c>
      <c r="BF612" s="4">
        <f t="shared" si="327"/>
        <v>2</v>
      </c>
      <c r="BG612" s="4">
        <f t="shared" si="328"/>
        <v>4</v>
      </c>
      <c r="BH612" s="4">
        <f t="shared" si="329"/>
        <v>4</v>
      </c>
      <c r="BI612" s="4">
        <f t="shared" si="330"/>
        <v>4</v>
      </c>
      <c r="BJ612" s="4">
        <f t="shared" si="331"/>
        <v>2</v>
      </c>
      <c r="BK612" s="4">
        <f t="shared" si="332"/>
        <v>4</v>
      </c>
      <c r="BL612" s="4">
        <f t="shared" si="333"/>
        <v>2</v>
      </c>
      <c r="BM612" s="4">
        <f t="shared" si="334"/>
        <v>4</v>
      </c>
      <c r="BN612" s="4">
        <f t="shared" si="335"/>
        <v>4</v>
      </c>
      <c r="BO612" s="4">
        <f t="shared" si="336"/>
        <v>4</v>
      </c>
      <c r="BP612" s="4">
        <f t="shared" si="337"/>
        <v>4</v>
      </c>
      <c r="BQ612" s="4">
        <f t="shared" si="338"/>
        <v>6</v>
      </c>
      <c r="BR612" s="4">
        <f t="shared" si="339"/>
        <v>4</v>
      </c>
      <c r="BS612" s="4" t="str">
        <f t="shared" si="340"/>
        <v>0</v>
      </c>
      <c r="BT612" s="4">
        <f t="shared" si="341"/>
        <v>4</v>
      </c>
      <c r="BU612" s="4">
        <f t="shared" si="342"/>
        <v>4</v>
      </c>
      <c r="BV612" s="4">
        <f t="shared" si="343"/>
        <v>0</v>
      </c>
      <c r="BW612" s="4">
        <f t="shared" si="344"/>
        <v>6</v>
      </c>
      <c r="BX612" s="4">
        <f t="shared" si="345"/>
        <v>0</v>
      </c>
      <c r="BY612" s="4">
        <f t="shared" si="346"/>
        <v>0</v>
      </c>
      <c r="BZ612" s="37">
        <f t="shared" si="347"/>
        <v>96</v>
      </c>
      <c r="CA612" s="32" t="str">
        <f>VLOOKUP(J:J,'Agent wise'!A:C,3,0)</f>
        <v>Shakeer</v>
      </c>
      <c r="CB612" s="32">
        <f t="shared" si="348"/>
        <v>45941</v>
      </c>
      <c r="CC612" t="str">
        <f t="shared" si="349"/>
        <v>Excellent</v>
      </c>
      <c r="CE612" s="32"/>
      <c r="CJ612">
        <f t="shared" si="350"/>
        <v>11</v>
      </c>
      <c r="CK612">
        <f t="shared" si="351"/>
        <v>10</v>
      </c>
      <c r="CL612">
        <f t="shared" si="352"/>
        <v>2025</v>
      </c>
    </row>
    <row r="613" spans="1:90" ht="15" customHeight="1" x14ac:dyDescent="0.35">
      <c r="A613" s="40">
        <v>45971.756574074083</v>
      </c>
      <c r="B613" t="s">
        <v>250</v>
      </c>
      <c r="C613" t="s">
        <v>214</v>
      </c>
      <c r="D613" t="s">
        <v>251</v>
      </c>
      <c r="E613" s="32">
        <v>45941</v>
      </c>
      <c r="F613" t="s">
        <v>222</v>
      </c>
      <c r="G613" s="32">
        <v>45939</v>
      </c>
      <c r="H613">
        <v>7708903290</v>
      </c>
      <c r="I613">
        <v>176</v>
      </c>
      <c r="J613" t="s">
        <v>246</v>
      </c>
      <c r="K613" t="s">
        <v>71</v>
      </c>
      <c r="L613" t="s">
        <v>72</v>
      </c>
      <c r="M613" t="s">
        <v>59</v>
      </c>
      <c r="N613" t="s">
        <v>59</v>
      </c>
      <c r="O613" t="s">
        <v>59</v>
      </c>
      <c r="P613" t="s">
        <v>59</v>
      </c>
      <c r="Q613" t="s">
        <v>59</v>
      </c>
      <c r="R613" t="s">
        <v>59</v>
      </c>
      <c r="S613" t="s">
        <v>59</v>
      </c>
      <c r="T613" t="s">
        <v>59</v>
      </c>
      <c r="U613" t="s">
        <v>59</v>
      </c>
      <c r="V613" t="s">
        <v>59</v>
      </c>
      <c r="W613" t="s">
        <v>59</v>
      </c>
      <c r="X613" t="s">
        <v>59</v>
      </c>
      <c r="Y613" t="s">
        <v>59</v>
      </c>
      <c r="Z613" t="s">
        <v>59</v>
      </c>
      <c r="AA613" t="s">
        <v>59</v>
      </c>
      <c r="AB613" t="s">
        <v>59</v>
      </c>
      <c r="AC613" t="s">
        <v>59</v>
      </c>
      <c r="AD613" t="s">
        <v>61</v>
      </c>
      <c r="AE613" t="s">
        <v>59</v>
      </c>
      <c r="AF613" t="s">
        <v>59</v>
      </c>
      <c r="AG613" t="s">
        <v>59</v>
      </c>
      <c r="AH613" t="s">
        <v>61</v>
      </c>
      <c r="AI613" t="s">
        <v>61</v>
      </c>
      <c r="AJ613" t="s">
        <v>59</v>
      </c>
      <c r="AK613" t="s">
        <v>59</v>
      </c>
      <c r="AL613" t="s">
        <v>60</v>
      </c>
      <c r="AM613" t="s">
        <v>59</v>
      </c>
      <c r="AN613" t="s">
        <v>59</v>
      </c>
      <c r="AO613" t="s">
        <v>59</v>
      </c>
      <c r="AP613" t="s">
        <v>209</v>
      </c>
      <c r="AQ613" t="s">
        <v>1378</v>
      </c>
      <c r="AR613" t="s">
        <v>64</v>
      </c>
      <c r="AS613" t="s">
        <v>1160</v>
      </c>
      <c r="AT613" t="s">
        <v>394</v>
      </c>
      <c r="AU613" t="s">
        <v>219</v>
      </c>
      <c r="AW613" s="4">
        <f t="shared" si="318"/>
        <v>6</v>
      </c>
      <c r="AX613" s="4">
        <f t="shared" si="319"/>
        <v>4</v>
      </c>
      <c r="AY613" s="4">
        <f t="shared" si="320"/>
        <v>4</v>
      </c>
      <c r="AZ613" s="4">
        <f t="shared" si="321"/>
        <v>2</v>
      </c>
      <c r="BA613" s="4">
        <f t="shared" si="322"/>
        <v>4</v>
      </c>
      <c r="BB613" s="4">
        <f t="shared" si="323"/>
        <v>4</v>
      </c>
      <c r="BC613" s="4">
        <f t="shared" si="324"/>
        <v>4</v>
      </c>
      <c r="BD613" s="4">
        <f t="shared" si="325"/>
        <v>2</v>
      </c>
      <c r="BE613" s="4">
        <f t="shared" si="326"/>
        <v>4</v>
      </c>
      <c r="BF613" s="4">
        <f t="shared" si="327"/>
        <v>2</v>
      </c>
      <c r="BG613" s="4">
        <f t="shared" si="328"/>
        <v>4</v>
      </c>
      <c r="BH613" s="4">
        <f t="shared" si="329"/>
        <v>4</v>
      </c>
      <c r="BI613" s="4">
        <f t="shared" si="330"/>
        <v>4</v>
      </c>
      <c r="BJ613" s="4">
        <f t="shared" si="331"/>
        <v>2</v>
      </c>
      <c r="BK613" s="4">
        <f t="shared" si="332"/>
        <v>4</v>
      </c>
      <c r="BL613" s="4">
        <f t="shared" si="333"/>
        <v>2</v>
      </c>
      <c r="BM613" s="4">
        <f t="shared" si="334"/>
        <v>4</v>
      </c>
      <c r="BN613" s="4">
        <f t="shared" si="335"/>
        <v>4</v>
      </c>
      <c r="BO613" s="4">
        <f t="shared" si="336"/>
        <v>4</v>
      </c>
      <c r="BP613" s="4">
        <f t="shared" si="337"/>
        <v>4</v>
      </c>
      <c r="BQ613" s="4">
        <f t="shared" si="338"/>
        <v>6</v>
      </c>
      <c r="BR613" s="4">
        <f t="shared" si="339"/>
        <v>4</v>
      </c>
      <c r="BS613" s="4">
        <f t="shared" si="340"/>
        <v>4</v>
      </c>
      <c r="BT613" s="4">
        <f t="shared" si="341"/>
        <v>4</v>
      </c>
      <c r="BU613" s="4">
        <f t="shared" si="342"/>
        <v>4</v>
      </c>
      <c r="BV613" s="4" t="str">
        <f t="shared" si="343"/>
        <v>0</v>
      </c>
      <c r="BW613" s="4">
        <f t="shared" si="344"/>
        <v>6</v>
      </c>
      <c r="BX613" s="4">
        <f t="shared" si="345"/>
        <v>0</v>
      </c>
      <c r="BY613" s="4">
        <f t="shared" si="346"/>
        <v>0</v>
      </c>
      <c r="BZ613" s="37">
        <f t="shared" si="347"/>
        <v>100</v>
      </c>
      <c r="CA613" s="32" t="str">
        <f>VLOOKUP(J:J,'Agent wise'!A:C,3,0)</f>
        <v>Amal</v>
      </c>
      <c r="CB613" s="32">
        <f t="shared" si="348"/>
        <v>45941</v>
      </c>
      <c r="CC613" t="str">
        <f t="shared" si="349"/>
        <v>Excellent</v>
      </c>
      <c r="CE613" s="32"/>
      <c r="CJ613">
        <f t="shared" si="350"/>
        <v>11</v>
      </c>
      <c r="CK613">
        <f t="shared" si="351"/>
        <v>10</v>
      </c>
      <c r="CL613">
        <f t="shared" si="352"/>
        <v>2025</v>
      </c>
    </row>
    <row r="614" spans="1:90" ht="15" customHeight="1" x14ac:dyDescent="0.35">
      <c r="A614" s="40">
        <v>45971.758206018523</v>
      </c>
      <c r="B614" t="s">
        <v>100</v>
      </c>
      <c r="C614" t="s">
        <v>214</v>
      </c>
      <c r="D614" t="s">
        <v>101</v>
      </c>
      <c r="E614" s="32">
        <v>45941</v>
      </c>
      <c r="F614" t="s">
        <v>222</v>
      </c>
      <c r="G614" s="32">
        <v>45940</v>
      </c>
      <c r="H614">
        <v>7092064907</v>
      </c>
      <c r="I614">
        <v>161</v>
      </c>
      <c r="J614" t="s">
        <v>439</v>
      </c>
      <c r="K614" t="s">
        <v>71</v>
      </c>
      <c r="L614" t="s">
        <v>72</v>
      </c>
      <c r="M614" t="s">
        <v>59</v>
      </c>
      <c r="N614" t="s">
        <v>59</v>
      </c>
      <c r="O614" t="s">
        <v>59</v>
      </c>
      <c r="P614" t="s">
        <v>59</v>
      </c>
      <c r="Q614" t="s">
        <v>59</v>
      </c>
      <c r="R614" t="s">
        <v>60</v>
      </c>
      <c r="S614" t="s">
        <v>59</v>
      </c>
      <c r="T614" t="s">
        <v>59</v>
      </c>
      <c r="U614" t="s">
        <v>59</v>
      </c>
      <c r="V614" t="s">
        <v>59</v>
      </c>
      <c r="W614" t="s">
        <v>59</v>
      </c>
      <c r="X614" t="s">
        <v>59</v>
      </c>
      <c r="Y614" t="s">
        <v>59</v>
      </c>
      <c r="Z614" t="s">
        <v>59</v>
      </c>
      <c r="AA614" t="s">
        <v>60</v>
      </c>
      <c r="AB614" t="s">
        <v>60</v>
      </c>
      <c r="AC614" t="s">
        <v>59</v>
      </c>
      <c r="AD614" t="s">
        <v>59</v>
      </c>
      <c r="AE614" t="s">
        <v>59</v>
      </c>
      <c r="AF614" t="s">
        <v>59</v>
      </c>
      <c r="AG614" t="s">
        <v>59</v>
      </c>
      <c r="AH614" t="s">
        <v>59</v>
      </c>
      <c r="AI614" t="s">
        <v>60</v>
      </c>
      <c r="AJ614" t="s">
        <v>59</v>
      </c>
      <c r="AK614" t="s">
        <v>59</v>
      </c>
      <c r="AL614" t="s">
        <v>59</v>
      </c>
      <c r="AM614" t="s">
        <v>59</v>
      </c>
      <c r="AN614" t="s">
        <v>59</v>
      </c>
      <c r="AO614" t="s">
        <v>59</v>
      </c>
      <c r="AP614" t="s">
        <v>1379</v>
      </c>
      <c r="AQ614" s="1" t="s">
        <v>1380</v>
      </c>
      <c r="AR614" t="s">
        <v>226</v>
      </c>
      <c r="AS614" t="s">
        <v>352</v>
      </c>
      <c r="AT614" t="s">
        <v>352</v>
      </c>
      <c r="AU614" t="s">
        <v>299</v>
      </c>
      <c r="AW614" s="4">
        <f t="shared" si="318"/>
        <v>6</v>
      </c>
      <c r="AX614" s="4">
        <f t="shared" si="319"/>
        <v>4</v>
      </c>
      <c r="AY614" s="4">
        <f t="shared" si="320"/>
        <v>4</v>
      </c>
      <c r="AZ614" s="4">
        <f t="shared" si="321"/>
        <v>2</v>
      </c>
      <c r="BA614" s="4">
        <f t="shared" si="322"/>
        <v>4</v>
      </c>
      <c r="BB614" s="4" t="str">
        <f t="shared" si="323"/>
        <v>0</v>
      </c>
      <c r="BC614" s="4">
        <f t="shared" si="324"/>
        <v>4</v>
      </c>
      <c r="BD614" s="4">
        <f t="shared" si="325"/>
        <v>2</v>
      </c>
      <c r="BE614" s="4">
        <f t="shared" si="326"/>
        <v>4</v>
      </c>
      <c r="BF614" s="4">
        <f t="shared" si="327"/>
        <v>2</v>
      </c>
      <c r="BG614" s="4">
        <f t="shared" si="328"/>
        <v>4</v>
      </c>
      <c r="BH614" s="4">
        <f t="shared" si="329"/>
        <v>4</v>
      </c>
      <c r="BI614" s="4">
        <f t="shared" si="330"/>
        <v>4</v>
      </c>
      <c r="BJ614" s="4">
        <f t="shared" si="331"/>
        <v>2</v>
      </c>
      <c r="BK614" s="4" t="str">
        <f t="shared" si="332"/>
        <v>0</v>
      </c>
      <c r="BL614" s="4" t="str">
        <f t="shared" si="333"/>
        <v>0</v>
      </c>
      <c r="BM614" s="4">
        <f t="shared" si="334"/>
        <v>4</v>
      </c>
      <c r="BN614" s="4">
        <f t="shared" si="335"/>
        <v>4</v>
      </c>
      <c r="BO614" s="4">
        <f t="shared" si="336"/>
        <v>4</v>
      </c>
      <c r="BP614" s="4">
        <f t="shared" si="337"/>
        <v>4</v>
      </c>
      <c r="BQ614" s="4">
        <f t="shared" si="338"/>
        <v>6</v>
      </c>
      <c r="BR614" s="4">
        <f t="shared" si="339"/>
        <v>4</v>
      </c>
      <c r="BS614" s="4" t="str">
        <f t="shared" si="340"/>
        <v>0</v>
      </c>
      <c r="BT614" s="4">
        <f t="shared" si="341"/>
        <v>4</v>
      </c>
      <c r="BU614" s="4">
        <f t="shared" si="342"/>
        <v>4</v>
      </c>
      <c r="BV614" s="4">
        <f t="shared" si="343"/>
        <v>0</v>
      </c>
      <c r="BW614" s="4">
        <f t="shared" si="344"/>
        <v>6</v>
      </c>
      <c r="BX614" s="4">
        <f t="shared" si="345"/>
        <v>0</v>
      </c>
      <c r="BY614" s="4">
        <f t="shared" si="346"/>
        <v>0</v>
      </c>
      <c r="BZ614" s="37">
        <f t="shared" si="347"/>
        <v>86</v>
      </c>
      <c r="CA614" s="32" t="str">
        <f>VLOOKUP(J:J,'Agent wise'!A:C,3,0)</f>
        <v>Saran S</v>
      </c>
      <c r="CB614" s="32">
        <f t="shared" si="348"/>
        <v>45941</v>
      </c>
      <c r="CC614" t="str">
        <f t="shared" si="349"/>
        <v>Average</v>
      </c>
      <c r="CE614" s="32"/>
      <c r="CJ614">
        <f t="shared" si="350"/>
        <v>11</v>
      </c>
      <c r="CK614">
        <f t="shared" si="351"/>
        <v>10</v>
      </c>
      <c r="CL614">
        <f t="shared" si="352"/>
        <v>2025</v>
      </c>
    </row>
    <row r="615" spans="1:90" ht="15" customHeight="1" x14ac:dyDescent="0.35">
      <c r="A615" s="40">
        <v>45971.764236111107</v>
      </c>
      <c r="B615" t="s">
        <v>250</v>
      </c>
      <c r="C615" t="s">
        <v>214</v>
      </c>
      <c r="D615" t="s">
        <v>251</v>
      </c>
      <c r="E615" s="32">
        <v>45941</v>
      </c>
      <c r="F615" t="s">
        <v>222</v>
      </c>
      <c r="G615" s="32">
        <v>45939</v>
      </c>
      <c r="H615">
        <v>9747574160</v>
      </c>
      <c r="I615">
        <v>168</v>
      </c>
      <c r="J615" t="s">
        <v>420</v>
      </c>
      <c r="K615" t="s">
        <v>57</v>
      </c>
      <c r="L615" t="s">
        <v>58</v>
      </c>
      <c r="M615" t="s">
        <v>59</v>
      </c>
      <c r="N615" t="s">
        <v>59</v>
      </c>
      <c r="O615" t="s">
        <v>59</v>
      </c>
      <c r="P615" t="s">
        <v>59</v>
      </c>
      <c r="Q615" t="s">
        <v>59</v>
      </c>
      <c r="R615" t="s">
        <v>59</v>
      </c>
      <c r="S615" t="s">
        <v>59</v>
      </c>
      <c r="T615" t="s">
        <v>59</v>
      </c>
      <c r="U615" t="s">
        <v>59</v>
      </c>
      <c r="V615" t="s">
        <v>59</v>
      </c>
      <c r="W615" t="s">
        <v>59</v>
      </c>
      <c r="X615" t="s">
        <v>59</v>
      </c>
      <c r="Y615" t="s">
        <v>59</v>
      </c>
      <c r="Z615" t="s">
        <v>59</v>
      </c>
      <c r="AA615" t="s">
        <v>59</v>
      </c>
      <c r="AB615" t="s">
        <v>59</v>
      </c>
      <c r="AC615" t="s">
        <v>59</v>
      </c>
      <c r="AD615" t="s">
        <v>61</v>
      </c>
      <c r="AE615" t="s">
        <v>59</v>
      </c>
      <c r="AF615" t="s">
        <v>59</v>
      </c>
      <c r="AG615" t="s">
        <v>59</v>
      </c>
      <c r="AH615" t="s">
        <v>61</v>
      </c>
      <c r="AI615" t="s">
        <v>59</v>
      </c>
      <c r="AJ615" t="s">
        <v>59</v>
      </c>
      <c r="AK615" t="s">
        <v>59</v>
      </c>
      <c r="AL615" t="s">
        <v>60</v>
      </c>
      <c r="AM615" t="s">
        <v>59</v>
      </c>
      <c r="AN615" t="s">
        <v>59</v>
      </c>
      <c r="AO615" t="s">
        <v>59</v>
      </c>
      <c r="AP615" t="s">
        <v>209</v>
      </c>
      <c r="AQ615" t="s">
        <v>1381</v>
      </c>
      <c r="AR615" t="s">
        <v>64</v>
      </c>
      <c r="AS615" t="s">
        <v>400</v>
      </c>
      <c r="AT615" t="s">
        <v>394</v>
      </c>
      <c r="AU615" t="s">
        <v>219</v>
      </c>
      <c r="AW615" s="4">
        <f t="shared" si="318"/>
        <v>6</v>
      </c>
      <c r="AX615" s="4">
        <f t="shared" si="319"/>
        <v>4</v>
      </c>
      <c r="AY615" s="4">
        <f t="shared" si="320"/>
        <v>4</v>
      </c>
      <c r="AZ615" s="4">
        <f t="shared" si="321"/>
        <v>2</v>
      </c>
      <c r="BA615" s="4">
        <f t="shared" si="322"/>
        <v>4</v>
      </c>
      <c r="BB615" s="4">
        <f t="shared" si="323"/>
        <v>4</v>
      </c>
      <c r="BC615" s="4">
        <f t="shared" si="324"/>
        <v>4</v>
      </c>
      <c r="BD615" s="4">
        <f t="shared" si="325"/>
        <v>2</v>
      </c>
      <c r="BE615" s="4">
        <f t="shared" si="326"/>
        <v>4</v>
      </c>
      <c r="BF615" s="4">
        <f t="shared" si="327"/>
        <v>2</v>
      </c>
      <c r="BG615" s="4">
        <f t="shared" si="328"/>
        <v>4</v>
      </c>
      <c r="BH615" s="4">
        <f t="shared" si="329"/>
        <v>4</v>
      </c>
      <c r="BI615" s="4">
        <f t="shared" si="330"/>
        <v>4</v>
      </c>
      <c r="BJ615" s="4">
        <f t="shared" si="331"/>
        <v>2</v>
      </c>
      <c r="BK615" s="4">
        <f t="shared" si="332"/>
        <v>4</v>
      </c>
      <c r="BL615" s="4">
        <f t="shared" si="333"/>
        <v>2</v>
      </c>
      <c r="BM615" s="4">
        <f t="shared" si="334"/>
        <v>4</v>
      </c>
      <c r="BN615" s="4">
        <f t="shared" si="335"/>
        <v>4</v>
      </c>
      <c r="BO615" s="4">
        <f t="shared" si="336"/>
        <v>4</v>
      </c>
      <c r="BP615" s="4">
        <f t="shared" si="337"/>
        <v>4</v>
      </c>
      <c r="BQ615" s="4">
        <f t="shared" si="338"/>
        <v>6</v>
      </c>
      <c r="BR615" s="4">
        <f t="shared" si="339"/>
        <v>4</v>
      </c>
      <c r="BS615" s="4">
        <f t="shared" si="340"/>
        <v>4</v>
      </c>
      <c r="BT615" s="4">
        <f t="shared" si="341"/>
        <v>4</v>
      </c>
      <c r="BU615" s="4">
        <f t="shared" si="342"/>
        <v>4</v>
      </c>
      <c r="BV615" s="4" t="str">
        <f t="shared" si="343"/>
        <v>0</v>
      </c>
      <c r="BW615" s="4">
        <f t="shared" si="344"/>
        <v>6</v>
      </c>
      <c r="BX615" s="4">
        <f t="shared" si="345"/>
        <v>0</v>
      </c>
      <c r="BY615" s="4">
        <f t="shared" si="346"/>
        <v>0</v>
      </c>
      <c r="BZ615" s="37">
        <f t="shared" si="347"/>
        <v>100</v>
      </c>
      <c r="CA615" s="32" t="str">
        <f>VLOOKUP(J:J,'Agent wise'!A:C,3,0)</f>
        <v>Amal</v>
      </c>
      <c r="CB615" s="32">
        <f t="shared" si="348"/>
        <v>45941</v>
      </c>
      <c r="CC615" t="str">
        <f t="shared" si="349"/>
        <v>Excellent</v>
      </c>
      <c r="CE615" s="32"/>
      <c r="CJ615">
        <f t="shared" si="350"/>
        <v>11</v>
      </c>
      <c r="CK615">
        <f t="shared" si="351"/>
        <v>10</v>
      </c>
      <c r="CL615">
        <f t="shared" si="352"/>
        <v>2025</v>
      </c>
    </row>
    <row r="616" spans="1:90" ht="15" customHeight="1" x14ac:dyDescent="0.35">
      <c r="A616" s="40">
        <v>45971.769259259258</v>
      </c>
      <c r="B616" t="s">
        <v>100</v>
      </c>
      <c r="C616" t="s">
        <v>214</v>
      </c>
      <c r="D616" t="s">
        <v>101</v>
      </c>
      <c r="E616" s="32">
        <v>45941</v>
      </c>
      <c r="F616" t="s">
        <v>222</v>
      </c>
      <c r="G616" s="32">
        <v>45940</v>
      </c>
      <c r="H616">
        <v>9445020948</v>
      </c>
      <c r="I616">
        <v>165</v>
      </c>
      <c r="J616" t="s">
        <v>391</v>
      </c>
      <c r="K616" t="s">
        <v>71</v>
      </c>
      <c r="L616" t="s">
        <v>72</v>
      </c>
      <c r="M616" t="s">
        <v>59</v>
      </c>
      <c r="N616" t="s">
        <v>59</v>
      </c>
      <c r="O616" t="s">
        <v>59</v>
      </c>
      <c r="P616" t="s">
        <v>59</v>
      </c>
      <c r="Q616" t="s">
        <v>59</v>
      </c>
      <c r="R616" t="s">
        <v>59</v>
      </c>
      <c r="S616" t="s">
        <v>59</v>
      </c>
      <c r="T616" t="s">
        <v>59</v>
      </c>
      <c r="U616" t="s">
        <v>59</v>
      </c>
      <c r="V616" t="s">
        <v>59</v>
      </c>
      <c r="W616" t="s">
        <v>59</v>
      </c>
      <c r="X616" t="s">
        <v>59</v>
      </c>
      <c r="Y616" t="s">
        <v>59</v>
      </c>
      <c r="Z616" t="s">
        <v>59</v>
      </c>
      <c r="AA616" t="s">
        <v>60</v>
      </c>
      <c r="AB616" t="s">
        <v>60</v>
      </c>
      <c r="AC616" t="s">
        <v>59</v>
      </c>
      <c r="AD616" t="s">
        <v>59</v>
      </c>
      <c r="AE616" t="s">
        <v>59</v>
      </c>
      <c r="AF616" t="s">
        <v>59</v>
      </c>
      <c r="AG616" t="s">
        <v>59</v>
      </c>
      <c r="AH616" t="s">
        <v>59</v>
      </c>
      <c r="AI616" t="s">
        <v>61</v>
      </c>
      <c r="AJ616" t="s">
        <v>59</v>
      </c>
      <c r="AK616" t="s">
        <v>59</v>
      </c>
      <c r="AL616" t="s">
        <v>59</v>
      </c>
      <c r="AM616" t="s">
        <v>59</v>
      </c>
      <c r="AN616" t="s">
        <v>59</v>
      </c>
      <c r="AO616" t="s">
        <v>59</v>
      </c>
      <c r="AP616" t="s">
        <v>526</v>
      </c>
      <c r="AQ616" s="1" t="s">
        <v>1382</v>
      </c>
      <c r="AR616" t="s">
        <v>226</v>
      </c>
      <c r="AS616" t="s">
        <v>352</v>
      </c>
      <c r="AT616" t="s">
        <v>352</v>
      </c>
      <c r="AU616" t="s">
        <v>299</v>
      </c>
      <c r="AW616" s="4">
        <f t="shared" si="318"/>
        <v>6</v>
      </c>
      <c r="AX616" s="4">
        <f t="shared" si="319"/>
        <v>4</v>
      </c>
      <c r="AY616" s="4">
        <f t="shared" si="320"/>
        <v>4</v>
      </c>
      <c r="AZ616" s="4">
        <f t="shared" si="321"/>
        <v>2</v>
      </c>
      <c r="BA616" s="4">
        <f t="shared" si="322"/>
        <v>4</v>
      </c>
      <c r="BB616" s="4">
        <f t="shared" si="323"/>
        <v>4</v>
      </c>
      <c r="BC616" s="4">
        <f t="shared" si="324"/>
        <v>4</v>
      </c>
      <c r="BD616" s="4">
        <f t="shared" si="325"/>
        <v>2</v>
      </c>
      <c r="BE616" s="4">
        <f t="shared" si="326"/>
        <v>4</v>
      </c>
      <c r="BF616" s="4">
        <f t="shared" si="327"/>
        <v>2</v>
      </c>
      <c r="BG616" s="4">
        <f t="shared" si="328"/>
        <v>4</v>
      </c>
      <c r="BH616" s="4">
        <f t="shared" si="329"/>
        <v>4</v>
      </c>
      <c r="BI616" s="4">
        <f t="shared" si="330"/>
        <v>4</v>
      </c>
      <c r="BJ616" s="4">
        <f t="shared" si="331"/>
        <v>2</v>
      </c>
      <c r="BK616" s="4" t="str">
        <f t="shared" si="332"/>
        <v>0</v>
      </c>
      <c r="BL616" s="4" t="str">
        <f t="shared" si="333"/>
        <v>0</v>
      </c>
      <c r="BM616" s="4">
        <f t="shared" si="334"/>
        <v>4</v>
      </c>
      <c r="BN616" s="4">
        <f t="shared" si="335"/>
        <v>4</v>
      </c>
      <c r="BO616" s="4">
        <f t="shared" si="336"/>
        <v>4</v>
      </c>
      <c r="BP616" s="4">
        <f t="shared" si="337"/>
        <v>4</v>
      </c>
      <c r="BQ616" s="4">
        <f t="shared" si="338"/>
        <v>6</v>
      </c>
      <c r="BR616" s="4">
        <f t="shared" si="339"/>
        <v>4</v>
      </c>
      <c r="BS616" s="4">
        <f t="shared" si="340"/>
        <v>4</v>
      </c>
      <c r="BT616" s="4">
        <f t="shared" si="341"/>
        <v>4</v>
      </c>
      <c r="BU616" s="4">
        <f t="shared" si="342"/>
        <v>4</v>
      </c>
      <c r="BV616" s="4">
        <f t="shared" si="343"/>
        <v>0</v>
      </c>
      <c r="BW616" s="4">
        <f t="shared" si="344"/>
        <v>6</v>
      </c>
      <c r="BX616" s="4">
        <f t="shared" si="345"/>
        <v>0</v>
      </c>
      <c r="BY616" s="4">
        <f t="shared" si="346"/>
        <v>0</v>
      </c>
      <c r="BZ616" s="37">
        <f t="shared" si="347"/>
        <v>94</v>
      </c>
      <c r="CA616" s="32" t="str">
        <f>VLOOKUP(J:J,'Agent wise'!A:C,3,0)</f>
        <v>Amal</v>
      </c>
      <c r="CB616" s="32">
        <f t="shared" si="348"/>
        <v>45941</v>
      </c>
      <c r="CC616" t="str">
        <f t="shared" si="349"/>
        <v>Good</v>
      </c>
      <c r="CE616" s="32"/>
      <c r="CJ616">
        <f t="shared" si="350"/>
        <v>11</v>
      </c>
      <c r="CK616">
        <f t="shared" si="351"/>
        <v>10</v>
      </c>
      <c r="CL616">
        <f t="shared" si="352"/>
        <v>2025</v>
      </c>
    </row>
    <row r="617" spans="1:90" ht="15" customHeight="1" x14ac:dyDescent="0.35">
      <c r="A617" s="40">
        <v>45971.771527777782</v>
      </c>
      <c r="B617" t="s">
        <v>250</v>
      </c>
      <c r="C617" t="s">
        <v>214</v>
      </c>
      <c r="D617" t="s">
        <v>251</v>
      </c>
      <c r="E617" s="32">
        <v>45941</v>
      </c>
      <c r="F617" t="s">
        <v>222</v>
      </c>
      <c r="G617" s="32">
        <v>45939</v>
      </c>
      <c r="H617">
        <v>9566900938</v>
      </c>
      <c r="I617">
        <v>164</v>
      </c>
      <c r="J617" t="s">
        <v>252</v>
      </c>
      <c r="K617" t="s">
        <v>71</v>
      </c>
      <c r="L617" t="s">
        <v>72</v>
      </c>
      <c r="M617" t="s">
        <v>59</v>
      </c>
      <c r="N617" t="s">
        <v>59</v>
      </c>
      <c r="O617" t="s">
        <v>59</v>
      </c>
      <c r="P617" t="s">
        <v>59</v>
      </c>
      <c r="Q617" t="s">
        <v>59</v>
      </c>
      <c r="R617" t="s">
        <v>59</v>
      </c>
      <c r="S617" t="s">
        <v>59</v>
      </c>
      <c r="T617" t="s">
        <v>59</v>
      </c>
      <c r="U617" t="s">
        <v>60</v>
      </c>
      <c r="V617" t="s">
        <v>59</v>
      </c>
      <c r="W617" t="s">
        <v>59</v>
      </c>
      <c r="X617" t="s">
        <v>59</v>
      </c>
      <c r="Y617" t="s">
        <v>59</v>
      </c>
      <c r="Z617" t="s">
        <v>59</v>
      </c>
      <c r="AA617" t="s">
        <v>59</v>
      </c>
      <c r="AB617" t="s">
        <v>59</v>
      </c>
      <c r="AC617" t="s">
        <v>59</v>
      </c>
      <c r="AD617" t="s">
        <v>59</v>
      </c>
      <c r="AE617" t="s">
        <v>59</v>
      </c>
      <c r="AF617" t="s">
        <v>59</v>
      </c>
      <c r="AG617" t="s">
        <v>59</v>
      </c>
      <c r="AH617" t="s">
        <v>61</v>
      </c>
      <c r="AI617" t="s">
        <v>61</v>
      </c>
      <c r="AJ617" t="s">
        <v>59</v>
      </c>
      <c r="AK617" t="s">
        <v>59</v>
      </c>
      <c r="AL617" t="s">
        <v>59</v>
      </c>
      <c r="AM617" t="s">
        <v>59</v>
      </c>
      <c r="AN617" t="s">
        <v>59</v>
      </c>
      <c r="AO617" t="s">
        <v>59</v>
      </c>
      <c r="AP617" t="s">
        <v>1383</v>
      </c>
      <c r="AQ617" t="s">
        <v>1384</v>
      </c>
      <c r="AR617" t="s">
        <v>64</v>
      </c>
      <c r="AS617" t="s">
        <v>245</v>
      </c>
      <c r="AT617" t="s">
        <v>404</v>
      </c>
      <c r="AU617" t="s">
        <v>219</v>
      </c>
      <c r="AW617" s="4">
        <f t="shared" si="318"/>
        <v>6</v>
      </c>
      <c r="AX617" s="4">
        <f t="shared" si="319"/>
        <v>4</v>
      </c>
      <c r="AY617" s="4">
        <f t="shared" si="320"/>
        <v>4</v>
      </c>
      <c r="AZ617" s="4">
        <f t="shared" si="321"/>
        <v>2</v>
      </c>
      <c r="BA617" s="4">
        <f t="shared" si="322"/>
        <v>4</v>
      </c>
      <c r="BB617" s="4">
        <f t="shared" si="323"/>
        <v>4</v>
      </c>
      <c r="BC617" s="4">
        <f t="shared" si="324"/>
        <v>4</v>
      </c>
      <c r="BD617" s="4">
        <f t="shared" si="325"/>
        <v>2</v>
      </c>
      <c r="BE617" s="4" t="str">
        <f t="shared" si="326"/>
        <v>0</v>
      </c>
      <c r="BF617" s="4">
        <f t="shared" si="327"/>
        <v>2</v>
      </c>
      <c r="BG617" s="4">
        <f t="shared" si="328"/>
        <v>4</v>
      </c>
      <c r="BH617" s="4">
        <f t="shared" si="329"/>
        <v>4</v>
      </c>
      <c r="BI617" s="4">
        <f t="shared" si="330"/>
        <v>4</v>
      </c>
      <c r="BJ617" s="4">
        <f t="shared" si="331"/>
        <v>2</v>
      </c>
      <c r="BK617" s="4">
        <f t="shared" si="332"/>
        <v>4</v>
      </c>
      <c r="BL617" s="4">
        <f t="shared" si="333"/>
        <v>2</v>
      </c>
      <c r="BM617" s="4">
        <f t="shared" si="334"/>
        <v>4</v>
      </c>
      <c r="BN617" s="4">
        <f t="shared" si="335"/>
        <v>4</v>
      </c>
      <c r="BO617" s="4">
        <f t="shared" si="336"/>
        <v>4</v>
      </c>
      <c r="BP617" s="4">
        <f t="shared" si="337"/>
        <v>4</v>
      </c>
      <c r="BQ617" s="4">
        <f t="shared" si="338"/>
        <v>6</v>
      </c>
      <c r="BR617" s="4">
        <f t="shared" si="339"/>
        <v>4</v>
      </c>
      <c r="BS617" s="4">
        <f t="shared" si="340"/>
        <v>4</v>
      </c>
      <c r="BT617" s="4">
        <f t="shared" si="341"/>
        <v>4</v>
      </c>
      <c r="BU617" s="4">
        <f t="shared" si="342"/>
        <v>4</v>
      </c>
      <c r="BV617" s="4">
        <f t="shared" si="343"/>
        <v>0</v>
      </c>
      <c r="BW617" s="4">
        <f t="shared" si="344"/>
        <v>6</v>
      </c>
      <c r="BX617" s="4">
        <f t="shared" si="345"/>
        <v>0</v>
      </c>
      <c r="BY617" s="4">
        <f t="shared" si="346"/>
        <v>0</v>
      </c>
      <c r="BZ617" s="37">
        <f t="shared" si="347"/>
        <v>96</v>
      </c>
      <c r="CA617" s="32" t="str">
        <f>VLOOKUP(J:J,'Agent wise'!A:C,3,0)</f>
        <v xml:space="preserve">Shiny </v>
      </c>
      <c r="CB617" s="32">
        <f t="shared" si="348"/>
        <v>45941</v>
      </c>
      <c r="CC617" t="str">
        <f t="shared" si="349"/>
        <v>Excellent</v>
      </c>
      <c r="CE617" s="32"/>
      <c r="CJ617">
        <f t="shared" si="350"/>
        <v>11</v>
      </c>
      <c r="CK617">
        <f t="shared" si="351"/>
        <v>10</v>
      </c>
      <c r="CL617">
        <f t="shared" si="352"/>
        <v>2025</v>
      </c>
    </row>
    <row r="618" spans="1:90" ht="15" customHeight="1" x14ac:dyDescent="0.35">
      <c r="A618" s="40">
        <v>45971.851134259261</v>
      </c>
      <c r="B618" t="s">
        <v>130</v>
      </c>
      <c r="C618" t="s">
        <v>214</v>
      </c>
      <c r="D618" t="s">
        <v>131</v>
      </c>
      <c r="E618" s="32">
        <v>45941</v>
      </c>
      <c r="F618" t="s">
        <v>54</v>
      </c>
      <c r="G618" s="32">
        <v>45941</v>
      </c>
      <c r="H618">
        <v>8903727191</v>
      </c>
      <c r="I618">
        <v>131</v>
      </c>
      <c r="J618" t="s">
        <v>75</v>
      </c>
      <c r="K618" t="s">
        <v>71</v>
      </c>
      <c r="L618" t="s">
        <v>72</v>
      </c>
      <c r="M618" t="s">
        <v>59</v>
      </c>
      <c r="N618" t="s">
        <v>59</v>
      </c>
      <c r="O618" t="s">
        <v>59</v>
      </c>
      <c r="P618" t="s">
        <v>59</v>
      </c>
      <c r="Q618" t="s">
        <v>59</v>
      </c>
      <c r="R618" t="s">
        <v>59</v>
      </c>
      <c r="S618" t="s">
        <v>59</v>
      </c>
      <c r="T618" t="s">
        <v>59</v>
      </c>
      <c r="U618" t="s">
        <v>60</v>
      </c>
      <c r="V618" t="s">
        <v>59</v>
      </c>
      <c r="W618" t="s">
        <v>59</v>
      </c>
      <c r="X618" t="s">
        <v>59</v>
      </c>
      <c r="Y618" t="s">
        <v>59</v>
      </c>
      <c r="Z618" t="s">
        <v>59</v>
      </c>
      <c r="AA618" t="s">
        <v>59</v>
      </c>
      <c r="AB618" t="s">
        <v>59</v>
      </c>
      <c r="AC618" t="s">
        <v>61</v>
      </c>
      <c r="AD618" t="s">
        <v>59</v>
      </c>
      <c r="AE618" t="s">
        <v>59</v>
      </c>
      <c r="AF618" t="s">
        <v>61</v>
      </c>
      <c r="AG618" t="s">
        <v>59</v>
      </c>
      <c r="AH618" t="s">
        <v>61</v>
      </c>
      <c r="AI618" t="s">
        <v>61</v>
      </c>
      <c r="AJ618" t="s">
        <v>59</v>
      </c>
      <c r="AK618" t="s">
        <v>59</v>
      </c>
      <c r="AL618" t="s">
        <v>60</v>
      </c>
      <c r="AM618" t="s">
        <v>59</v>
      </c>
      <c r="AN618" t="s">
        <v>59</v>
      </c>
      <c r="AO618" t="s">
        <v>59</v>
      </c>
      <c r="AP618" t="s">
        <v>150</v>
      </c>
      <c r="AQ618" s="1" t="s">
        <v>1385</v>
      </c>
      <c r="AR618" t="s">
        <v>64</v>
      </c>
      <c r="AS618" t="s">
        <v>152</v>
      </c>
      <c r="AT618" t="s">
        <v>153</v>
      </c>
      <c r="AU618" t="s">
        <v>219</v>
      </c>
      <c r="AW618" s="4">
        <f t="shared" si="318"/>
        <v>6</v>
      </c>
      <c r="AX618" s="4">
        <f t="shared" si="319"/>
        <v>4</v>
      </c>
      <c r="AY618" s="4">
        <f t="shared" si="320"/>
        <v>4</v>
      </c>
      <c r="AZ618" s="4">
        <f t="shared" si="321"/>
        <v>2</v>
      </c>
      <c r="BA618" s="4">
        <f t="shared" si="322"/>
        <v>4</v>
      </c>
      <c r="BB618" s="4">
        <f t="shared" si="323"/>
        <v>4</v>
      </c>
      <c r="BC618" s="4">
        <f t="shared" si="324"/>
        <v>4</v>
      </c>
      <c r="BD618" s="4">
        <f t="shared" si="325"/>
        <v>2</v>
      </c>
      <c r="BE618" s="4" t="str">
        <f t="shared" si="326"/>
        <v>0</v>
      </c>
      <c r="BF618" s="4">
        <f t="shared" si="327"/>
        <v>2</v>
      </c>
      <c r="BG618" s="4">
        <f t="shared" si="328"/>
        <v>4</v>
      </c>
      <c r="BH618" s="4">
        <f t="shared" si="329"/>
        <v>4</v>
      </c>
      <c r="BI618" s="4">
        <f t="shared" si="330"/>
        <v>4</v>
      </c>
      <c r="BJ618" s="4">
        <f t="shared" si="331"/>
        <v>2</v>
      </c>
      <c r="BK618" s="4">
        <f t="shared" si="332"/>
        <v>4</v>
      </c>
      <c r="BL618" s="4">
        <f t="shared" si="333"/>
        <v>2</v>
      </c>
      <c r="BM618" s="4">
        <f t="shared" si="334"/>
        <v>4</v>
      </c>
      <c r="BN618" s="4">
        <f t="shared" si="335"/>
        <v>4</v>
      </c>
      <c r="BO618" s="4">
        <f t="shared" si="336"/>
        <v>4</v>
      </c>
      <c r="BP618" s="4">
        <f t="shared" si="337"/>
        <v>4</v>
      </c>
      <c r="BQ618" s="4">
        <f t="shared" si="338"/>
        <v>6</v>
      </c>
      <c r="BR618" s="4">
        <f t="shared" si="339"/>
        <v>4</v>
      </c>
      <c r="BS618" s="4">
        <f t="shared" si="340"/>
        <v>4</v>
      </c>
      <c r="BT618" s="4">
        <f t="shared" si="341"/>
        <v>4</v>
      </c>
      <c r="BU618" s="4">
        <f t="shared" si="342"/>
        <v>4</v>
      </c>
      <c r="BV618" s="4" t="str">
        <f t="shared" si="343"/>
        <v>0</v>
      </c>
      <c r="BW618" s="4">
        <f t="shared" si="344"/>
        <v>6</v>
      </c>
      <c r="BX618" s="4">
        <f t="shared" si="345"/>
        <v>0</v>
      </c>
      <c r="BY618" s="4">
        <f t="shared" si="346"/>
        <v>0</v>
      </c>
      <c r="BZ618" s="37">
        <f t="shared" si="347"/>
        <v>96</v>
      </c>
      <c r="CA618" s="32" t="str">
        <f>VLOOKUP(J:J,'Agent wise'!A:C,3,0)</f>
        <v>Saran S</v>
      </c>
      <c r="CB618" s="32">
        <f t="shared" si="348"/>
        <v>45941</v>
      </c>
      <c r="CC618" t="str">
        <f t="shared" si="349"/>
        <v>Excellent</v>
      </c>
      <c r="CE618" s="32"/>
      <c r="CJ618">
        <f t="shared" si="350"/>
        <v>11</v>
      </c>
      <c r="CK618">
        <f t="shared" si="351"/>
        <v>10</v>
      </c>
      <c r="CL618">
        <f t="shared" si="352"/>
        <v>2025</v>
      </c>
    </row>
    <row r="619" spans="1:90" ht="15" customHeight="1" x14ac:dyDescent="0.35">
      <c r="A619" s="40">
        <v>45971.859016203707</v>
      </c>
      <c r="B619" t="s">
        <v>130</v>
      </c>
      <c r="C619" t="s">
        <v>214</v>
      </c>
      <c r="D619" t="s">
        <v>131</v>
      </c>
      <c r="E619" s="32">
        <v>45941</v>
      </c>
      <c r="F619" t="s">
        <v>54</v>
      </c>
      <c r="G619" s="32">
        <v>45941</v>
      </c>
      <c r="H619">
        <v>9952413779</v>
      </c>
      <c r="I619">
        <v>135</v>
      </c>
      <c r="J619" t="s">
        <v>472</v>
      </c>
      <c r="K619" t="s">
        <v>71</v>
      </c>
      <c r="L619" t="s">
        <v>72</v>
      </c>
      <c r="M619" t="s">
        <v>59</v>
      </c>
      <c r="N619" t="s">
        <v>59</v>
      </c>
      <c r="O619" t="s">
        <v>59</v>
      </c>
      <c r="P619" t="s">
        <v>59</v>
      </c>
      <c r="Q619" t="s">
        <v>59</v>
      </c>
      <c r="R619" t="s">
        <v>59</v>
      </c>
      <c r="S619" t="s">
        <v>59</v>
      </c>
      <c r="T619" t="s">
        <v>59</v>
      </c>
      <c r="U619" t="s">
        <v>60</v>
      </c>
      <c r="V619" t="s">
        <v>59</v>
      </c>
      <c r="W619" t="s">
        <v>59</v>
      </c>
      <c r="X619" t="s">
        <v>59</v>
      </c>
      <c r="Y619" t="s">
        <v>59</v>
      </c>
      <c r="Z619" t="s">
        <v>59</v>
      </c>
      <c r="AA619" t="s">
        <v>59</v>
      </c>
      <c r="AB619" t="s">
        <v>60</v>
      </c>
      <c r="AC619" t="s">
        <v>59</v>
      </c>
      <c r="AD619" t="s">
        <v>59</v>
      </c>
      <c r="AE619" t="s">
        <v>59</v>
      </c>
      <c r="AF619" t="s">
        <v>61</v>
      </c>
      <c r="AG619" t="s">
        <v>59</v>
      </c>
      <c r="AH619" t="s">
        <v>61</v>
      </c>
      <c r="AI619" t="s">
        <v>61</v>
      </c>
      <c r="AJ619" t="s">
        <v>59</v>
      </c>
      <c r="AK619" t="s">
        <v>59</v>
      </c>
      <c r="AL619" t="s">
        <v>60</v>
      </c>
      <c r="AM619" t="s">
        <v>59</v>
      </c>
      <c r="AN619" t="s">
        <v>59</v>
      </c>
      <c r="AO619" t="s">
        <v>59</v>
      </c>
      <c r="AP619" t="s">
        <v>1386</v>
      </c>
      <c r="AQ619" s="1" t="s">
        <v>1387</v>
      </c>
      <c r="AR619" t="s">
        <v>64</v>
      </c>
      <c r="AS619" t="s">
        <v>171</v>
      </c>
      <c r="AT619" t="s">
        <v>190</v>
      </c>
      <c r="AU619" t="s">
        <v>219</v>
      </c>
      <c r="AW619" s="4">
        <f t="shared" si="318"/>
        <v>6</v>
      </c>
      <c r="AX619" s="4">
        <f t="shared" si="319"/>
        <v>4</v>
      </c>
      <c r="AY619" s="4">
        <f t="shared" si="320"/>
        <v>4</v>
      </c>
      <c r="AZ619" s="4">
        <f t="shared" si="321"/>
        <v>2</v>
      </c>
      <c r="BA619" s="4">
        <f t="shared" si="322"/>
        <v>4</v>
      </c>
      <c r="BB619" s="4">
        <f t="shared" si="323"/>
        <v>4</v>
      </c>
      <c r="BC619" s="4">
        <f t="shared" si="324"/>
        <v>4</v>
      </c>
      <c r="BD619" s="4">
        <f t="shared" si="325"/>
        <v>2</v>
      </c>
      <c r="BE619" s="4" t="str">
        <f t="shared" si="326"/>
        <v>0</v>
      </c>
      <c r="BF619" s="4">
        <f t="shared" si="327"/>
        <v>2</v>
      </c>
      <c r="BG619" s="4">
        <f t="shared" si="328"/>
        <v>4</v>
      </c>
      <c r="BH619" s="4">
        <f t="shared" si="329"/>
        <v>4</v>
      </c>
      <c r="BI619" s="4">
        <f t="shared" si="330"/>
        <v>4</v>
      </c>
      <c r="BJ619" s="4">
        <f t="shared" si="331"/>
        <v>2</v>
      </c>
      <c r="BK619" s="4">
        <f t="shared" si="332"/>
        <v>4</v>
      </c>
      <c r="BL619" s="4" t="str">
        <f t="shared" si="333"/>
        <v>0</v>
      </c>
      <c r="BM619" s="4">
        <f t="shared" si="334"/>
        <v>4</v>
      </c>
      <c r="BN619" s="4">
        <f t="shared" si="335"/>
        <v>4</v>
      </c>
      <c r="BO619" s="4">
        <f t="shared" si="336"/>
        <v>4</v>
      </c>
      <c r="BP619" s="4">
        <f t="shared" si="337"/>
        <v>4</v>
      </c>
      <c r="BQ619" s="4">
        <f t="shared" si="338"/>
        <v>6</v>
      </c>
      <c r="BR619" s="4">
        <f t="shared" si="339"/>
        <v>4</v>
      </c>
      <c r="BS619" s="4">
        <f t="shared" si="340"/>
        <v>4</v>
      </c>
      <c r="BT619" s="4">
        <f t="shared" si="341"/>
        <v>4</v>
      </c>
      <c r="BU619" s="4">
        <f t="shared" si="342"/>
        <v>4</v>
      </c>
      <c r="BV619" s="4" t="str">
        <f t="shared" si="343"/>
        <v>0</v>
      </c>
      <c r="BW619" s="4">
        <f t="shared" si="344"/>
        <v>6</v>
      </c>
      <c r="BX619" s="4">
        <f t="shared" si="345"/>
        <v>0</v>
      </c>
      <c r="BY619" s="4">
        <f t="shared" si="346"/>
        <v>0</v>
      </c>
      <c r="BZ619" s="37">
        <f t="shared" si="347"/>
        <v>94</v>
      </c>
      <c r="CA619" s="32" t="str">
        <f>VLOOKUP(J:J,'Agent wise'!A:C,3,0)</f>
        <v>Saran S</v>
      </c>
      <c r="CB619" s="32">
        <f t="shared" si="348"/>
        <v>45941</v>
      </c>
      <c r="CC619" t="str">
        <f t="shared" si="349"/>
        <v>Good</v>
      </c>
      <c r="CE619" s="32"/>
      <c r="CJ619">
        <f t="shared" si="350"/>
        <v>11</v>
      </c>
      <c r="CK619">
        <f t="shared" si="351"/>
        <v>10</v>
      </c>
      <c r="CL619">
        <f t="shared" si="352"/>
        <v>2025</v>
      </c>
    </row>
    <row r="620" spans="1:90" ht="15" customHeight="1" x14ac:dyDescent="0.35">
      <c r="A620" s="40">
        <v>45971.862488425933</v>
      </c>
      <c r="B620" t="s">
        <v>130</v>
      </c>
      <c r="C620" t="s">
        <v>214</v>
      </c>
      <c r="D620" t="s">
        <v>131</v>
      </c>
      <c r="E620" s="32">
        <v>45941</v>
      </c>
      <c r="F620" t="s">
        <v>54</v>
      </c>
      <c r="G620" s="32">
        <v>45941</v>
      </c>
      <c r="H620">
        <v>9047351200</v>
      </c>
      <c r="I620">
        <v>131</v>
      </c>
      <c r="J620" t="s">
        <v>490</v>
      </c>
      <c r="K620" t="s">
        <v>71</v>
      </c>
      <c r="L620" t="s">
        <v>72</v>
      </c>
      <c r="M620" t="s">
        <v>59</v>
      </c>
      <c r="N620" t="s">
        <v>59</v>
      </c>
      <c r="O620" t="s">
        <v>59</v>
      </c>
      <c r="P620" t="s">
        <v>59</v>
      </c>
      <c r="Q620" t="s">
        <v>59</v>
      </c>
      <c r="R620" t="s">
        <v>59</v>
      </c>
      <c r="S620" t="s">
        <v>59</v>
      </c>
      <c r="T620" t="s">
        <v>59</v>
      </c>
      <c r="U620" t="s">
        <v>60</v>
      </c>
      <c r="V620" t="s">
        <v>59</v>
      </c>
      <c r="W620" t="s">
        <v>59</v>
      </c>
      <c r="X620" t="s">
        <v>59</v>
      </c>
      <c r="Y620" t="s">
        <v>59</v>
      </c>
      <c r="Z620" t="s">
        <v>59</v>
      </c>
      <c r="AA620" t="s">
        <v>59</v>
      </c>
      <c r="AB620" t="s">
        <v>59</v>
      </c>
      <c r="AC620" t="s">
        <v>59</v>
      </c>
      <c r="AD620" t="s">
        <v>59</v>
      </c>
      <c r="AE620" t="s">
        <v>59</v>
      </c>
      <c r="AF620" t="s">
        <v>61</v>
      </c>
      <c r="AG620" t="s">
        <v>59</v>
      </c>
      <c r="AH620" t="s">
        <v>61</v>
      </c>
      <c r="AI620" t="s">
        <v>61</v>
      </c>
      <c r="AJ620" t="s">
        <v>59</v>
      </c>
      <c r="AK620" t="s">
        <v>59</v>
      </c>
      <c r="AL620" t="s">
        <v>60</v>
      </c>
      <c r="AM620" t="s">
        <v>59</v>
      </c>
      <c r="AN620" t="s">
        <v>59</v>
      </c>
      <c r="AO620" t="s">
        <v>60</v>
      </c>
      <c r="AP620" t="s">
        <v>1388</v>
      </c>
      <c r="AQ620" s="1" t="s">
        <v>1389</v>
      </c>
      <c r="AR620" t="s">
        <v>64</v>
      </c>
      <c r="AS620" t="s">
        <v>135</v>
      </c>
      <c r="AT620" t="s">
        <v>194</v>
      </c>
      <c r="AU620" t="s">
        <v>219</v>
      </c>
      <c r="AW620" s="4">
        <f t="shared" si="318"/>
        <v>6</v>
      </c>
      <c r="AX620" s="4">
        <f t="shared" si="319"/>
        <v>4</v>
      </c>
      <c r="AY620" s="4">
        <f t="shared" si="320"/>
        <v>4</v>
      </c>
      <c r="AZ620" s="4">
        <f t="shared" si="321"/>
        <v>2</v>
      </c>
      <c r="BA620" s="4">
        <f t="shared" si="322"/>
        <v>4</v>
      </c>
      <c r="BB620" s="4">
        <f t="shared" si="323"/>
        <v>4</v>
      </c>
      <c r="BC620" s="4">
        <f t="shared" si="324"/>
        <v>4</v>
      </c>
      <c r="BD620" s="4">
        <f t="shared" si="325"/>
        <v>2</v>
      </c>
      <c r="BE620" s="4" t="str">
        <f t="shared" si="326"/>
        <v>0</v>
      </c>
      <c r="BF620" s="4">
        <f t="shared" si="327"/>
        <v>2</v>
      </c>
      <c r="BG620" s="4">
        <f t="shared" si="328"/>
        <v>4</v>
      </c>
      <c r="BH620" s="4">
        <f t="shared" si="329"/>
        <v>4</v>
      </c>
      <c r="BI620" s="4">
        <f t="shared" si="330"/>
        <v>4</v>
      </c>
      <c r="BJ620" s="4">
        <f t="shared" si="331"/>
        <v>2</v>
      </c>
      <c r="BK620" s="4">
        <f t="shared" si="332"/>
        <v>4</v>
      </c>
      <c r="BL620" s="4">
        <f t="shared" si="333"/>
        <v>2</v>
      </c>
      <c r="BM620" s="4">
        <f t="shared" si="334"/>
        <v>4</v>
      </c>
      <c r="BN620" s="4">
        <f t="shared" si="335"/>
        <v>4</v>
      </c>
      <c r="BO620" s="4">
        <f t="shared" si="336"/>
        <v>4</v>
      </c>
      <c r="BP620" s="4">
        <f t="shared" si="337"/>
        <v>4</v>
      </c>
      <c r="BQ620" s="4">
        <f t="shared" si="338"/>
        <v>6</v>
      </c>
      <c r="BR620" s="4">
        <f t="shared" si="339"/>
        <v>4</v>
      </c>
      <c r="BS620" s="4">
        <f t="shared" si="340"/>
        <v>4</v>
      </c>
      <c r="BT620" s="4">
        <f t="shared" si="341"/>
        <v>4</v>
      </c>
      <c r="BU620" s="4">
        <f t="shared" si="342"/>
        <v>4</v>
      </c>
      <c r="BV620" s="4" t="str">
        <f t="shared" si="343"/>
        <v>0</v>
      </c>
      <c r="BW620" s="4">
        <f t="shared" si="344"/>
        <v>6</v>
      </c>
      <c r="BX620" s="4">
        <f t="shared" si="345"/>
        <v>0</v>
      </c>
      <c r="BY620" s="4" t="str">
        <f t="shared" si="346"/>
        <v>0</v>
      </c>
      <c r="BZ620" s="37">
        <f t="shared" si="347"/>
        <v>96</v>
      </c>
      <c r="CA620" s="32" t="str">
        <f>VLOOKUP(J:J,'Agent wise'!A:C,3,0)</f>
        <v>Saran S</v>
      </c>
      <c r="CB620" s="32">
        <f t="shared" si="348"/>
        <v>45941</v>
      </c>
      <c r="CC620" t="str">
        <f t="shared" si="349"/>
        <v>Excellent</v>
      </c>
      <c r="CE620" s="32"/>
      <c r="CJ620">
        <f t="shared" si="350"/>
        <v>11</v>
      </c>
      <c r="CK620">
        <f t="shared" si="351"/>
        <v>10</v>
      </c>
      <c r="CL620">
        <f t="shared" si="352"/>
        <v>2025</v>
      </c>
    </row>
    <row r="621" spans="1:90" ht="15" customHeight="1" x14ac:dyDescent="0.35">
      <c r="A621" s="40">
        <v>45971.864328703698</v>
      </c>
      <c r="B621" t="s">
        <v>130</v>
      </c>
      <c r="C621" t="s">
        <v>214</v>
      </c>
      <c r="D621" t="s">
        <v>131</v>
      </c>
      <c r="E621" s="32">
        <v>45941</v>
      </c>
      <c r="F621" t="s">
        <v>54</v>
      </c>
      <c r="G621" s="32">
        <v>45941</v>
      </c>
      <c r="H621">
        <v>9496073414</v>
      </c>
      <c r="I621">
        <v>127</v>
      </c>
      <c r="J621" t="s">
        <v>56</v>
      </c>
      <c r="K621" t="s">
        <v>57</v>
      </c>
      <c r="L621" t="s">
        <v>58</v>
      </c>
      <c r="M621" t="s">
        <v>59</v>
      </c>
      <c r="N621" t="s">
        <v>59</v>
      </c>
      <c r="O621" t="s">
        <v>59</v>
      </c>
      <c r="P621" t="s">
        <v>59</v>
      </c>
      <c r="Q621" t="s">
        <v>59</v>
      </c>
      <c r="R621" t="s">
        <v>59</v>
      </c>
      <c r="S621" t="s">
        <v>59</v>
      </c>
      <c r="T621" t="s">
        <v>59</v>
      </c>
      <c r="U621" t="s">
        <v>60</v>
      </c>
      <c r="V621" t="s">
        <v>59</v>
      </c>
      <c r="W621" t="s">
        <v>59</v>
      </c>
      <c r="X621" t="s">
        <v>59</v>
      </c>
      <c r="Y621" t="s">
        <v>59</v>
      </c>
      <c r="Z621" t="s">
        <v>60</v>
      </c>
      <c r="AA621" t="s">
        <v>59</v>
      </c>
      <c r="AB621" t="s">
        <v>61</v>
      </c>
      <c r="AC621" t="s">
        <v>61</v>
      </c>
      <c r="AD621" t="s">
        <v>59</v>
      </c>
      <c r="AE621" t="s">
        <v>59</v>
      </c>
      <c r="AF621" t="s">
        <v>61</v>
      </c>
      <c r="AG621" t="s">
        <v>59</v>
      </c>
      <c r="AH621" t="s">
        <v>61</v>
      </c>
      <c r="AI621" t="s">
        <v>61</v>
      </c>
      <c r="AJ621" t="s">
        <v>59</v>
      </c>
      <c r="AK621" t="s">
        <v>59</v>
      </c>
      <c r="AL621" t="s">
        <v>60</v>
      </c>
      <c r="AM621" t="s">
        <v>59</v>
      </c>
      <c r="AN621" t="s">
        <v>59</v>
      </c>
      <c r="AO621" t="s">
        <v>59</v>
      </c>
      <c r="AP621" t="s">
        <v>1390</v>
      </c>
      <c r="AQ621" s="1" t="s">
        <v>1391</v>
      </c>
      <c r="AR621" t="s">
        <v>64</v>
      </c>
      <c r="AS621" t="s">
        <v>171</v>
      </c>
      <c r="AT621" t="s">
        <v>190</v>
      </c>
      <c r="AU621" t="s">
        <v>219</v>
      </c>
      <c r="AW621" s="4">
        <f t="shared" si="318"/>
        <v>6</v>
      </c>
      <c r="AX621" s="4">
        <f t="shared" si="319"/>
        <v>4</v>
      </c>
      <c r="AY621" s="4">
        <f t="shared" si="320"/>
        <v>4</v>
      </c>
      <c r="AZ621" s="4">
        <f t="shared" si="321"/>
        <v>2</v>
      </c>
      <c r="BA621" s="4">
        <f t="shared" si="322"/>
        <v>4</v>
      </c>
      <c r="BB621" s="4">
        <f t="shared" si="323"/>
        <v>4</v>
      </c>
      <c r="BC621" s="4">
        <f t="shared" si="324"/>
        <v>4</v>
      </c>
      <c r="BD621" s="4">
        <f t="shared" si="325"/>
        <v>2</v>
      </c>
      <c r="BE621" s="4" t="str">
        <f t="shared" si="326"/>
        <v>0</v>
      </c>
      <c r="BF621" s="4">
        <f t="shared" si="327"/>
        <v>2</v>
      </c>
      <c r="BG621" s="4">
        <f t="shared" si="328"/>
        <v>4</v>
      </c>
      <c r="BH621" s="4">
        <f t="shared" si="329"/>
        <v>4</v>
      </c>
      <c r="BI621" s="4">
        <f t="shared" si="330"/>
        <v>4</v>
      </c>
      <c r="BJ621" s="4" t="str">
        <f t="shared" si="331"/>
        <v>0</v>
      </c>
      <c r="BK621" s="4">
        <f t="shared" si="332"/>
        <v>4</v>
      </c>
      <c r="BL621" s="4">
        <f t="shared" si="333"/>
        <v>2</v>
      </c>
      <c r="BM621" s="4">
        <f t="shared" si="334"/>
        <v>4</v>
      </c>
      <c r="BN621" s="4">
        <f t="shared" si="335"/>
        <v>4</v>
      </c>
      <c r="BO621" s="4">
        <f t="shared" si="336"/>
        <v>4</v>
      </c>
      <c r="BP621" s="4">
        <f t="shared" si="337"/>
        <v>4</v>
      </c>
      <c r="BQ621" s="4">
        <f t="shared" si="338"/>
        <v>6</v>
      </c>
      <c r="BR621" s="4">
        <f t="shared" si="339"/>
        <v>4</v>
      </c>
      <c r="BS621" s="4">
        <f t="shared" si="340"/>
        <v>4</v>
      </c>
      <c r="BT621" s="4">
        <f t="shared" si="341"/>
        <v>4</v>
      </c>
      <c r="BU621" s="4">
        <f t="shared" si="342"/>
        <v>4</v>
      </c>
      <c r="BV621" s="4" t="str">
        <f t="shared" si="343"/>
        <v>0</v>
      </c>
      <c r="BW621" s="4">
        <f t="shared" si="344"/>
        <v>6</v>
      </c>
      <c r="BX621" s="4">
        <f t="shared" si="345"/>
        <v>0</v>
      </c>
      <c r="BY621" s="4">
        <f t="shared" si="346"/>
        <v>0</v>
      </c>
      <c r="BZ621" s="37">
        <f t="shared" si="347"/>
        <v>94</v>
      </c>
      <c r="CA621" s="32" t="str">
        <f>VLOOKUP(J:J,'Agent wise'!A:C,3,0)</f>
        <v>Saran S</v>
      </c>
      <c r="CB621" s="32">
        <f t="shared" si="348"/>
        <v>45941</v>
      </c>
      <c r="CC621" t="str">
        <f t="shared" si="349"/>
        <v>Good</v>
      </c>
      <c r="CE621" s="32"/>
      <c r="CJ621">
        <f t="shared" si="350"/>
        <v>11</v>
      </c>
      <c r="CK621">
        <f t="shared" si="351"/>
        <v>10</v>
      </c>
      <c r="CL621">
        <f t="shared" si="352"/>
        <v>2025</v>
      </c>
    </row>
    <row r="622" spans="1:90" ht="15" customHeight="1" x14ac:dyDescent="0.35">
      <c r="A622" s="40">
        <v>45971.869675925933</v>
      </c>
      <c r="B622" t="s">
        <v>130</v>
      </c>
      <c r="C622" t="s">
        <v>214</v>
      </c>
      <c r="D622" t="s">
        <v>131</v>
      </c>
      <c r="E622" s="32">
        <v>45941</v>
      </c>
      <c r="F622" t="s">
        <v>54</v>
      </c>
      <c r="G622" s="32">
        <v>45941</v>
      </c>
      <c r="H622">
        <v>9443839157</v>
      </c>
      <c r="I622">
        <v>129</v>
      </c>
      <c r="J622" t="s">
        <v>493</v>
      </c>
      <c r="K622" t="s">
        <v>57</v>
      </c>
      <c r="L622" t="s">
        <v>58</v>
      </c>
      <c r="M622" t="s">
        <v>59</v>
      </c>
      <c r="N622" t="s">
        <v>59</v>
      </c>
      <c r="O622" t="s">
        <v>59</v>
      </c>
      <c r="P622" t="s">
        <v>59</v>
      </c>
      <c r="Q622" t="s">
        <v>59</v>
      </c>
      <c r="R622" t="s">
        <v>59</v>
      </c>
      <c r="S622" t="s">
        <v>59</v>
      </c>
      <c r="T622" t="s">
        <v>59</v>
      </c>
      <c r="U622" t="s">
        <v>60</v>
      </c>
      <c r="V622" t="s">
        <v>59</v>
      </c>
      <c r="W622" t="s">
        <v>59</v>
      </c>
      <c r="X622" t="s">
        <v>59</v>
      </c>
      <c r="Y622" t="s">
        <v>59</v>
      </c>
      <c r="Z622" t="s">
        <v>59</v>
      </c>
      <c r="AA622" t="s">
        <v>60</v>
      </c>
      <c r="AB622" t="s">
        <v>61</v>
      </c>
      <c r="AC622" t="s">
        <v>59</v>
      </c>
      <c r="AD622" t="s">
        <v>59</v>
      </c>
      <c r="AE622" t="s">
        <v>59</v>
      </c>
      <c r="AF622" t="s">
        <v>61</v>
      </c>
      <c r="AG622" t="s">
        <v>59</v>
      </c>
      <c r="AH622" t="s">
        <v>61</v>
      </c>
      <c r="AI622" t="s">
        <v>61</v>
      </c>
      <c r="AJ622" t="s">
        <v>59</v>
      </c>
      <c r="AK622" t="s">
        <v>59</v>
      </c>
      <c r="AL622" t="s">
        <v>60</v>
      </c>
      <c r="AM622" t="s">
        <v>59</v>
      </c>
      <c r="AN622" t="s">
        <v>59</v>
      </c>
      <c r="AO622" t="s">
        <v>59</v>
      </c>
      <c r="AP622" t="s">
        <v>1392</v>
      </c>
      <c r="AQ622" s="1" t="s">
        <v>1393</v>
      </c>
      <c r="AR622" t="s">
        <v>64</v>
      </c>
      <c r="AS622" t="s">
        <v>1121</v>
      </c>
      <c r="AT622" t="s">
        <v>1122</v>
      </c>
      <c r="AU622" t="s">
        <v>219</v>
      </c>
      <c r="AW622" s="4">
        <f t="shared" si="318"/>
        <v>6</v>
      </c>
      <c r="AX622" s="4">
        <f t="shared" si="319"/>
        <v>4</v>
      </c>
      <c r="AY622" s="4">
        <f t="shared" si="320"/>
        <v>4</v>
      </c>
      <c r="AZ622" s="4">
        <f t="shared" si="321"/>
        <v>2</v>
      </c>
      <c r="BA622" s="4">
        <f t="shared" si="322"/>
        <v>4</v>
      </c>
      <c r="BB622" s="4">
        <f t="shared" si="323"/>
        <v>4</v>
      </c>
      <c r="BC622" s="4">
        <f t="shared" si="324"/>
        <v>4</v>
      </c>
      <c r="BD622" s="4">
        <f t="shared" si="325"/>
        <v>2</v>
      </c>
      <c r="BE622" s="4" t="str">
        <f t="shared" si="326"/>
        <v>0</v>
      </c>
      <c r="BF622" s="4">
        <f t="shared" si="327"/>
        <v>2</v>
      </c>
      <c r="BG622" s="4">
        <f t="shared" si="328"/>
        <v>4</v>
      </c>
      <c r="BH622" s="4">
        <f t="shared" si="329"/>
        <v>4</v>
      </c>
      <c r="BI622" s="4">
        <f t="shared" si="330"/>
        <v>4</v>
      </c>
      <c r="BJ622" s="4">
        <f t="shared" si="331"/>
        <v>2</v>
      </c>
      <c r="BK622" s="4" t="str">
        <f t="shared" si="332"/>
        <v>0</v>
      </c>
      <c r="BL622" s="4">
        <f t="shared" si="333"/>
        <v>2</v>
      </c>
      <c r="BM622" s="4">
        <f t="shared" si="334"/>
        <v>4</v>
      </c>
      <c r="BN622" s="4">
        <f t="shared" si="335"/>
        <v>4</v>
      </c>
      <c r="BO622" s="4">
        <f t="shared" si="336"/>
        <v>4</v>
      </c>
      <c r="BP622" s="4">
        <f t="shared" si="337"/>
        <v>4</v>
      </c>
      <c r="BQ622" s="4">
        <f t="shared" si="338"/>
        <v>6</v>
      </c>
      <c r="BR622" s="4">
        <f t="shared" si="339"/>
        <v>4</v>
      </c>
      <c r="BS622" s="4">
        <f t="shared" si="340"/>
        <v>4</v>
      </c>
      <c r="BT622" s="4">
        <f t="shared" si="341"/>
        <v>4</v>
      </c>
      <c r="BU622" s="4">
        <f t="shared" si="342"/>
        <v>4</v>
      </c>
      <c r="BV622" s="4" t="str">
        <f t="shared" si="343"/>
        <v>0</v>
      </c>
      <c r="BW622" s="4">
        <f t="shared" si="344"/>
        <v>6</v>
      </c>
      <c r="BX622" s="4">
        <f t="shared" si="345"/>
        <v>0</v>
      </c>
      <c r="BY622" s="4">
        <f t="shared" si="346"/>
        <v>0</v>
      </c>
      <c r="BZ622" s="37">
        <f t="shared" si="347"/>
        <v>92</v>
      </c>
      <c r="CA622" s="32" t="str">
        <f>VLOOKUP(J:J,'Agent wise'!A:C,3,0)</f>
        <v>Saran S</v>
      </c>
      <c r="CB622" s="32">
        <f t="shared" si="348"/>
        <v>45941</v>
      </c>
      <c r="CC622" t="str">
        <f t="shared" si="349"/>
        <v>Good</v>
      </c>
      <c r="CE622" s="32"/>
      <c r="CJ622">
        <f t="shared" si="350"/>
        <v>11</v>
      </c>
      <c r="CK622">
        <f t="shared" si="351"/>
        <v>10</v>
      </c>
      <c r="CL622">
        <f t="shared" si="352"/>
        <v>2025</v>
      </c>
    </row>
    <row r="623" spans="1:90" ht="15" customHeight="1" x14ac:dyDescent="0.35">
      <c r="A623" s="40">
        <v>46001.445833333331</v>
      </c>
      <c r="B623" t="s">
        <v>100</v>
      </c>
      <c r="C623" t="s">
        <v>214</v>
      </c>
      <c r="D623" t="s">
        <v>101</v>
      </c>
      <c r="E623" s="32">
        <v>45942</v>
      </c>
      <c r="F623" t="s">
        <v>222</v>
      </c>
      <c r="G623" s="32">
        <v>45939</v>
      </c>
      <c r="H623">
        <v>9995433919</v>
      </c>
      <c r="I623">
        <v>186</v>
      </c>
      <c r="J623" t="s">
        <v>80</v>
      </c>
      <c r="K623" t="s">
        <v>57</v>
      </c>
      <c r="L623" t="s">
        <v>58</v>
      </c>
      <c r="M623" t="s">
        <v>59</v>
      </c>
      <c r="N623" t="s">
        <v>59</v>
      </c>
      <c r="O623" t="s">
        <v>59</v>
      </c>
      <c r="P623" t="s">
        <v>59</v>
      </c>
      <c r="Q623" t="s">
        <v>59</v>
      </c>
      <c r="R623" t="s">
        <v>60</v>
      </c>
      <c r="S623" t="s">
        <v>59</v>
      </c>
      <c r="T623" t="s">
        <v>59</v>
      </c>
      <c r="U623" t="s">
        <v>59</v>
      </c>
      <c r="V623" t="s">
        <v>59</v>
      </c>
      <c r="W623" t="s">
        <v>59</v>
      </c>
      <c r="X623" t="s">
        <v>59</v>
      </c>
      <c r="Y623" t="s">
        <v>59</v>
      </c>
      <c r="Z623" t="s">
        <v>59</v>
      </c>
      <c r="AA623" t="s">
        <v>60</v>
      </c>
      <c r="AB623" t="s">
        <v>59</v>
      </c>
      <c r="AC623" t="s">
        <v>59</v>
      </c>
      <c r="AD623" t="s">
        <v>59</v>
      </c>
      <c r="AE623" t="s">
        <v>59</v>
      </c>
      <c r="AF623" t="s">
        <v>59</v>
      </c>
      <c r="AG623" t="s">
        <v>59</v>
      </c>
      <c r="AH623" t="s">
        <v>59</v>
      </c>
      <c r="AI623" t="s">
        <v>61</v>
      </c>
      <c r="AJ623" t="s">
        <v>59</v>
      </c>
      <c r="AK623" t="s">
        <v>59</v>
      </c>
      <c r="AL623" t="s">
        <v>59</v>
      </c>
      <c r="AM623" t="s">
        <v>59</v>
      </c>
      <c r="AN623" t="s">
        <v>59</v>
      </c>
      <c r="AO623" t="s">
        <v>59</v>
      </c>
      <c r="AP623" t="s">
        <v>188</v>
      </c>
      <c r="AQ623" s="1" t="s">
        <v>1394</v>
      </c>
      <c r="AR623" t="s">
        <v>226</v>
      </c>
      <c r="AS623" t="s">
        <v>352</v>
      </c>
      <c r="AT623" t="s">
        <v>352</v>
      </c>
      <c r="AU623" t="s">
        <v>387</v>
      </c>
      <c r="AW623" s="4">
        <f t="shared" si="318"/>
        <v>6</v>
      </c>
      <c r="AX623" s="4">
        <f t="shared" si="319"/>
        <v>4</v>
      </c>
      <c r="AY623" s="4">
        <f t="shared" si="320"/>
        <v>4</v>
      </c>
      <c r="AZ623" s="4">
        <f t="shared" si="321"/>
        <v>2</v>
      </c>
      <c r="BA623" s="4">
        <f t="shared" si="322"/>
        <v>4</v>
      </c>
      <c r="BB623" s="4" t="str">
        <f t="shared" si="323"/>
        <v>0</v>
      </c>
      <c r="BC623" s="4">
        <f t="shared" si="324"/>
        <v>4</v>
      </c>
      <c r="BD623" s="4">
        <f t="shared" si="325"/>
        <v>2</v>
      </c>
      <c r="BE623" s="4">
        <f t="shared" si="326"/>
        <v>4</v>
      </c>
      <c r="BF623" s="4">
        <f t="shared" si="327"/>
        <v>2</v>
      </c>
      <c r="BG623" s="4">
        <f t="shared" si="328"/>
        <v>4</v>
      </c>
      <c r="BH623" s="4">
        <f t="shared" si="329"/>
        <v>4</v>
      </c>
      <c r="BI623" s="4">
        <f t="shared" si="330"/>
        <v>4</v>
      </c>
      <c r="BJ623" s="4">
        <f t="shared" si="331"/>
        <v>2</v>
      </c>
      <c r="BK623" s="4" t="str">
        <f t="shared" si="332"/>
        <v>0</v>
      </c>
      <c r="BL623" s="4">
        <f t="shared" si="333"/>
        <v>2</v>
      </c>
      <c r="BM623" s="4">
        <f t="shared" si="334"/>
        <v>4</v>
      </c>
      <c r="BN623" s="4">
        <f t="shared" si="335"/>
        <v>4</v>
      </c>
      <c r="BO623" s="4">
        <f t="shared" si="336"/>
        <v>4</v>
      </c>
      <c r="BP623" s="4">
        <f t="shared" si="337"/>
        <v>4</v>
      </c>
      <c r="BQ623" s="4">
        <f t="shared" si="338"/>
        <v>6</v>
      </c>
      <c r="BR623" s="4">
        <f t="shared" si="339"/>
        <v>4</v>
      </c>
      <c r="BS623" s="4">
        <f t="shared" si="340"/>
        <v>4</v>
      </c>
      <c r="BT623" s="4">
        <f t="shared" si="341"/>
        <v>4</v>
      </c>
      <c r="BU623" s="4">
        <f t="shared" si="342"/>
        <v>4</v>
      </c>
      <c r="BV623" s="4">
        <f t="shared" si="343"/>
        <v>0</v>
      </c>
      <c r="BW623" s="4">
        <f t="shared" si="344"/>
        <v>6</v>
      </c>
      <c r="BX623" s="4">
        <f t="shared" si="345"/>
        <v>0</v>
      </c>
      <c r="BY623" s="4">
        <f t="shared" si="346"/>
        <v>0</v>
      </c>
      <c r="BZ623" s="37">
        <f t="shared" si="347"/>
        <v>92</v>
      </c>
      <c r="CA623" s="32" t="str">
        <f>VLOOKUP(J:J,'Agent wise'!A:C,3,0)</f>
        <v>Saran S</v>
      </c>
      <c r="CB623" s="32">
        <f t="shared" si="348"/>
        <v>45942</v>
      </c>
      <c r="CC623" t="str">
        <f t="shared" si="349"/>
        <v>Good</v>
      </c>
      <c r="CE623" s="32"/>
      <c r="CJ623">
        <f t="shared" si="350"/>
        <v>12</v>
      </c>
      <c r="CK623">
        <f t="shared" si="351"/>
        <v>10</v>
      </c>
      <c r="CL623">
        <f t="shared" si="352"/>
        <v>2025</v>
      </c>
    </row>
    <row r="624" spans="1:90" ht="15" customHeight="1" x14ac:dyDescent="0.35">
      <c r="A624" s="40">
        <v>46001.452685185177</v>
      </c>
      <c r="B624" t="s">
        <v>100</v>
      </c>
      <c r="C624" t="s">
        <v>214</v>
      </c>
      <c r="D624" t="s">
        <v>101</v>
      </c>
      <c r="E624" s="32">
        <v>45942</v>
      </c>
      <c r="F624" t="s">
        <v>222</v>
      </c>
      <c r="G624" s="32">
        <v>45939</v>
      </c>
      <c r="H624">
        <v>7530082271</v>
      </c>
      <c r="I624">
        <v>131</v>
      </c>
      <c r="J624" t="s">
        <v>653</v>
      </c>
      <c r="K624" t="s">
        <v>71</v>
      </c>
      <c r="L624" t="s">
        <v>72</v>
      </c>
      <c r="M624" t="s">
        <v>59</v>
      </c>
      <c r="N624" t="s">
        <v>59</v>
      </c>
      <c r="O624" t="s">
        <v>60</v>
      </c>
      <c r="P624" t="s">
        <v>59</v>
      </c>
      <c r="Q624" t="s">
        <v>59</v>
      </c>
      <c r="R624" t="s">
        <v>59</v>
      </c>
      <c r="S624" t="s">
        <v>59</v>
      </c>
      <c r="T624" t="s">
        <v>59</v>
      </c>
      <c r="U624" t="s">
        <v>59</v>
      </c>
      <c r="V624" t="s">
        <v>59</v>
      </c>
      <c r="W624" t="s">
        <v>59</v>
      </c>
      <c r="X624" t="s">
        <v>59</v>
      </c>
      <c r="Y624" t="s">
        <v>59</v>
      </c>
      <c r="Z624" t="s">
        <v>59</v>
      </c>
      <c r="AA624" t="s">
        <v>60</v>
      </c>
      <c r="AB624" t="s">
        <v>59</v>
      </c>
      <c r="AC624" t="s">
        <v>59</v>
      </c>
      <c r="AD624" t="s">
        <v>59</v>
      </c>
      <c r="AE624" t="s">
        <v>59</v>
      </c>
      <c r="AF624" t="s">
        <v>59</v>
      </c>
      <c r="AG624" t="s">
        <v>59</v>
      </c>
      <c r="AH624" t="s">
        <v>59</v>
      </c>
      <c r="AI624" t="s">
        <v>61</v>
      </c>
      <c r="AJ624" t="s">
        <v>59</v>
      </c>
      <c r="AK624" t="s">
        <v>59</v>
      </c>
      <c r="AL624" t="s">
        <v>59</v>
      </c>
      <c r="AM624" t="s">
        <v>59</v>
      </c>
      <c r="AN624" t="s">
        <v>59</v>
      </c>
      <c r="AO624" t="s">
        <v>59</v>
      </c>
      <c r="AP624" t="s">
        <v>188</v>
      </c>
      <c r="AQ624" s="1" t="s">
        <v>1395</v>
      </c>
      <c r="AR624" t="s">
        <v>226</v>
      </c>
      <c r="AS624" t="s">
        <v>352</v>
      </c>
      <c r="AT624" t="s">
        <v>352</v>
      </c>
      <c r="AU624" t="s">
        <v>299</v>
      </c>
      <c r="AW624" s="4">
        <f t="shared" si="318"/>
        <v>6</v>
      </c>
      <c r="AX624" s="4">
        <f t="shared" si="319"/>
        <v>4</v>
      </c>
      <c r="AY624" s="4" t="str">
        <f t="shared" si="320"/>
        <v>0</v>
      </c>
      <c r="AZ624" s="4">
        <f t="shared" si="321"/>
        <v>2</v>
      </c>
      <c r="BA624" s="4">
        <f t="shared" si="322"/>
        <v>4</v>
      </c>
      <c r="BB624" s="4">
        <f t="shared" si="323"/>
        <v>4</v>
      </c>
      <c r="BC624" s="4">
        <f t="shared" si="324"/>
        <v>4</v>
      </c>
      <c r="BD624" s="4">
        <f t="shared" si="325"/>
        <v>2</v>
      </c>
      <c r="BE624" s="4">
        <f t="shared" si="326"/>
        <v>4</v>
      </c>
      <c r="BF624" s="4">
        <f t="shared" si="327"/>
        <v>2</v>
      </c>
      <c r="BG624" s="4">
        <f t="shared" si="328"/>
        <v>4</v>
      </c>
      <c r="BH624" s="4">
        <f t="shared" si="329"/>
        <v>4</v>
      </c>
      <c r="BI624" s="4">
        <f t="shared" si="330"/>
        <v>4</v>
      </c>
      <c r="BJ624" s="4">
        <f t="shared" si="331"/>
        <v>2</v>
      </c>
      <c r="BK624" s="4" t="str">
        <f t="shared" si="332"/>
        <v>0</v>
      </c>
      <c r="BL624" s="4">
        <f t="shared" si="333"/>
        <v>2</v>
      </c>
      <c r="BM624" s="4">
        <f t="shared" si="334"/>
        <v>4</v>
      </c>
      <c r="BN624" s="4">
        <f t="shared" si="335"/>
        <v>4</v>
      </c>
      <c r="BO624" s="4">
        <f t="shared" si="336"/>
        <v>4</v>
      </c>
      <c r="BP624" s="4">
        <f t="shared" si="337"/>
        <v>4</v>
      </c>
      <c r="BQ624" s="4">
        <f t="shared" si="338"/>
        <v>6</v>
      </c>
      <c r="BR624" s="4">
        <f t="shared" si="339"/>
        <v>4</v>
      </c>
      <c r="BS624" s="4">
        <f t="shared" si="340"/>
        <v>4</v>
      </c>
      <c r="BT624" s="4">
        <f t="shared" si="341"/>
        <v>4</v>
      </c>
      <c r="BU624" s="4">
        <f t="shared" si="342"/>
        <v>4</v>
      </c>
      <c r="BV624" s="4">
        <f t="shared" si="343"/>
        <v>0</v>
      </c>
      <c r="BW624" s="4">
        <f t="shared" si="344"/>
        <v>6</v>
      </c>
      <c r="BX624" s="4">
        <f t="shared" si="345"/>
        <v>0</v>
      </c>
      <c r="BY624" s="4">
        <f t="shared" si="346"/>
        <v>0</v>
      </c>
      <c r="BZ624" s="37">
        <f t="shared" si="347"/>
        <v>92</v>
      </c>
      <c r="CA624" s="32" t="str">
        <f>VLOOKUP(J:J,'Agent wise'!A:C,3,0)</f>
        <v>Saran S</v>
      </c>
      <c r="CB624" s="32">
        <f t="shared" si="348"/>
        <v>45942</v>
      </c>
      <c r="CC624" t="str">
        <f t="shared" si="349"/>
        <v>Good</v>
      </c>
      <c r="CE624" s="32"/>
      <c r="CJ624">
        <f t="shared" si="350"/>
        <v>12</v>
      </c>
      <c r="CK624">
        <f t="shared" si="351"/>
        <v>10</v>
      </c>
      <c r="CL624">
        <f t="shared" si="352"/>
        <v>2025</v>
      </c>
    </row>
    <row r="625" spans="1:90" ht="15" customHeight="1" x14ac:dyDescent="0.35">
      <c r="A625" s="40">
        <v>46001.455416666657</v>
      </c>
      <c r="B625" t="s">
        <v>51</v>
      </c>
      <c r="C625" t="s">
        <v>214</v>
      </c>
      <c r="D625" t="s">
        <v>53</v>
      </c>
      <c r="E625" s="32">
        <v>45942</v>
      </c>
      <c r="F625" t="s">
        <v>54</v>
      </c>
      <c r="G625" s="32">
        <v>45941</v>
      </c>
      <c r="H625">
        <v>9446574643</v>
      </c>
      <c r="I625">
        <v>321</v>
      </c>
      <c r="J625" t="s">
        <v>195</v>
      </c>
      <c r="K625" t="s">
        <v>57</v>
      </c>
      <c r="L625" t="s">
        <v>58</v>
      </c>
      <c r="M625" t="s">
        <v>59</v>
      </c>
      <c r="N625" t="s">
        <v>59</v>
      </c>
      <c r="O625" t="s">
        <v>59</v>
      </c>
      <c r="P625" t="s">
        <v>59</v>
      </c>
      <c r="Q625" t="s">
        <v>59</v>
      </c>
      <c r="R625" t="s">
        <v>60</v>
      </c>
      <c r="S625" t="s">
        <v>59</v>
      </c>
      <c r="T625" t="s">
        <v>59</v>
      </c>
      <c r="U625" t="s">
        <v>60</v>
      </c>
      <c r="V625" t="s">
        <v>59</v>
      </c>
      <c r="W625" t="s">
        <v>59</v>
      </c>
      <c r="X625" t="s">
        <v>59</v>
      </c>
      <c r="Y625" t="s">
        <v>59</v>
      </c>
      <c r="Z625" t="s">
        <v>59</v>
      </c>
      <c r="AA625" t="s">
        <v>60</v>
      </c>
      <c r="AB625" t="s">
        <v>60</v>
      </c>
      <c r="AC625" t="s">
        <v>60</v>
      </c>
      <c r="AD625" t="s">
        <v>59</v>
      </c>
      <c r="AE625" t="s">
        <v>59</v>
      </c>
      <c r="AF625" t="s">
        <v>61</v>
      </c>
      <c r="AG625" t="s">
        <v>59</v>
      </c>
      <c r="AH625" t="s">
        <v>61</v>
      </c>
      <c r="AI625" t="s">
        <v>60</v>
      </c>
      <c r="AJ625" t="s">
        <v>59</v>
      </c>
      <c r="AK625" t="s">
        <v>61</v>
      </c>
      <c r="AL625" t="s">
        <v>60</v>
      </c>
      <c r="AM625" t="s">
        <v>59</v>
      </c>
      <c r="AN625" t="s">
        <v>59</v>
      </c>
      <c r="AO625" t="s">
        <v>59</v>
      </c>
      <c r="AP625" t="s">
        <v>1396</v>
      </c>
      <c r="AQ625" t="s">
        <v>506</v>
      </c>
      <c r="AR625" t="s">
        <v>64</v>
      </c>
      <c r="AS625" t="s">
        <v>65</v>
      </c>
      <c r="AT625" t="s">
        <v>66</v>
      </c>
      <c r="AU625" t="s">
        <v>1113</v>
      </c>
      <c r="AW625" s="4">
        <f t="shared" si="318"/>
        <v>6</v>
      </c>
      <c r="AX625" s="4">
        <f t="shared" si="319"/>
        <v>4</v>
      </c>
      <c r="AY625" s="4">
        <f t="shared" si="320"/>
        <v>4</v>
      </c>
      <c r="AZ625" s="4">
        <f t="shared" si="321"/>
        <v>2</v>
      </c>
      <c r="BA625" s="4">
        <f t="shared" si="322"/>
        <v>4</v>
      </c>
      <c r="BB625" s="4" t="str">
        <f t="shared" si="323"/>
        <v>0</v>
      </c>
      <c r="BC625" s="4">
        <f t="shared" si="324"/>
        <v>4</v>
      </c>
      <c r="BD625" s="4">
        <f t="shared" si="325"/>
        <v>2</v>
      </c>
      <c r="BE625" s="4" t="str">
        <f t="shared" si="326"/>
        <v>0</v>
      </c>
      <c r="BF625" s="4">
        <f t="shared" si="327"/>
        <v>2</v>
      </c>
      <c r="BG625" s="4">
        <f t="shared" si="328"/>
        <v>4</v>
      </c>
      <c r="BH625" s="4">
        <f t="shared" si="329"/>
        <v>4</v>
      </c>
      <c r="BI625" s="4">
        <f t="shared" si="330"/>
        <v>4</v>
      </c>
      <c r="BJ625" s="4">
        <f t="shared" si="331"/>
        <v>2</v>
      </c>
      <c r="BK625" s="4" t="str">
        <f t="shared" si="332"/>
        <v>0</v>
      </c>
      <c r="BL625" s="4" t="str">
        <f t="shared" si="333"/>
        <v>0</v>
      </c>
      <c r="BM625" s="4" t="str">
        <f t="shared" si="334"/>
        <v>0</v>
      </c>
      <c r="BN625" s="4">
        <f t="shared" si="335"/>
        <v>4</v>
      </c>
      <c r="BO625" s="4">
        <f t="shared" si="336"/>
        <v>4</v>
      </c>
      <c r="BP625" s="4">
        <f t="shared" si="337"/>
        <v>4</v>
      </c>
      <c r="BQ625" s="4">
        <f t="shared" si="338"/>
        <v>6</v>
      </c>
      <c r="BR625" s="4">
        <f t="shared" si="339"/>
        <v>4</v>
      </c>
      <c r="BS625" s="4" t="str">
        <f t="shared" si="340"/>
        <v>0</v>
      </c>
      <c r="BT625" s="4">
        <f t="shared" si="341"/>
        <v>4</v>
      </c>
      <c r="BU625" s="4">
        <f t="shared" si="342"/>
        <v>4</v>
      </c>
      <c r="BV625" s="4" t="str">
        <f t="shared" si="343"/>
        <v>0</v>
      </c>
      <c r="BW625" s="4">
        <f t="shared" si="344"/>
        <v>6</v>
      </c>
      <c r="BX625" s="4">
        <f t="shared" si="345"/>
        <v>0</v>
      </c>
      <c r="BY625" s="4">
        <f t="shared" si="346"/>
        <v>0</v>
      </c>
      <c r="BZ625" s="37">
        <f t="shared" si="347"/>
        <v>78</v>
      </c>
      <c r="CA625" s="32" t="str">
        <f>VLOOKUP(J:J,'Agent wise'!A:C,3,0)</f>
        <v>Adharsh</v>
      </c>
      <c r="CB625" s="32">
        <f t="shared" si="348"/>
        <v>45942</v>
      </c>
      <c r="CC625" t="str">
        <f t="shared" si="349"/>
        <v>FC</v>
      </c>
      <c r="CE625" s="32"/>
      <c r="CJ625">
        <f t="shared" si="350"/>
        <v>12</v>
      </c>
      <c r="CK625">
        <f t="shared" si="351"/>
        <v>10</v>
      </c>
      <c r="CL625">
        <f t="shared" si="352"/>
        <v>2025</v>
      </c>
    </row>
    <row r="626" spans="1:90" ht="15" customHeight="1" x14ac:dyDescent="0.35">
      <c r="A626" s="40">
        <v>46001.458032407398</v>
      </c>
      <c r="B626" t="s">
        <v>100</v>
      </c>
      <c r="C626" t="s">
        <v>214</v>
      </c>
      <c r="D626" t="s">
        <v>101</v>
      </c>
      <c r="E626" s="32">
        <v>45942</v>
      </c>
      <c r="F626" t="s">
        <v>222</v>
      </c>
      <c r="G626" s="32">
        <v>45939</v>
      </c>
      <c r="H626">
        <v>9446113318</v>
      </c>
      <c r="I626">
        <v>145</v>
      </c>
      <c r="J626" t="s">
        <v>653</v>
      </c>
      <c r="K626" t="s">
        <v>57</v>
      </c>
      <c r="L626" t="s">
        <v>58</v>
      </c>
      <c r="M626" t="s">
        <v>59</v>
      </c>
      <c r="N626" t="s">
        <v>59</v>
      </c>
      <c r="O626" t="s">
        <v>60</v>
      </c>
      <c r="P626" t="s">
        <v>60</v>
      </c>
      <c r="Q626" t="s">
        <v>59</v>
      </c>
      <c r="R626" t="s">
        <v>59</v>
      </c>
      <c r="S626" t="s">
        <v>59</v>
      </c>
      <c r="T626" t="s">
        <v>59</v>
      </c>
      <c r="U626" t="s">
        <v>59</v>
      </c>
      <c r="V626" t="s">
        <v>59</v>
      </c>
      <c r="W626" t="s">
        <v>59</v>
      </c>
      <c r="X626" t="s">
        <v>59</v>
      </c>
      <c r="Y626" t="s">
        <v>59</v>
      </c>
      <c r="Z626" t="s">
        <v>59</v>
      </c>
      <c r="AA626" t="s">
        <v>60</v>
      </c>
      <c r="AB626" t="s">
        <v>60</v>
      </c>
      <c r="AC626" t="s">
        <v>59</v>
      </c>
      <c r="AD626" t="s">
        <v>59</v>
      </c>
      <c r="AE626" t="s">
        <v>59</v>
      </c>
      <c r="AF626" t="s">
        <v>59</v>
      </c>
      <c r="AG626" t="s">
        <v>59</v>
      </c>
      <c r="AH626" t="s">
        <v>59</v>
      </c>
      <c r="AI626" t="s">
        <v>61</v>
      </c>
      <c r="AJ626" t="s">
        <v>59</v>
      </c>
      <c r="AK626" t="s">
        <v>59</v>
      </c>
      <c r="AL626" t="s">
        <v>59</v>
      </c>
      <c r="AM626" t="s">
        <v>59</v>
      </c>
      <c r="AN626" t="s">
        <v>59</v>
      </c>
      <c r="AO626" t="s">
        <v>59</v>
      </c>
      <c r="AP626" s="1" t="s">
        <v>894</v>
      </c>
      <c r="AQ626" s="1" t="s">
        <v>1397</v>
      </c>
      <c r="AR626" t="s">
        <v>226</v>
      </c>
      <c r="AS626" t="s">
        <v>352</v>
      </c>
      <c r="AT626" t="s">
        <v>352</v>
      </c>
      <c r="AU626" t="s">
        <v>299</v>
      </c>
      <c r="AW626" s="4">
        <f t="shared" si="318"/>
        <v>6</v>
      </c>
      <c r="AX626" s="4">
        <f t="shared" si="319"/>
        <v>4</v>
      </c>
      <c r="AY626" s="4" t="str">
        <f t="shared" si="320"/>
        <v>0</v>
      </c>
      <c r="AZ626" s="4" t="str">
        <f t="shared" si="321"/>
        <v>0</v>
      </c>
      <c r="BA626" s="4">
        <f t="shared" si="322"/>
        <v>4</v>
      </c>
      <c r="BB626" s="4">
        <f t="shared" si="323"/>
        <v>4</v>
      </c>
      <c r="BC626" s="4">
        <f t="shared" si="324"/>
        <v>4</v>
      </c>
      <c r="BD626" s="4">
        <f t="shared" si="325"/>
        <v>2</v>
      </c>
      <c r="BE626" s="4">
        <f t="shared" si="326"/>
        <v>4</v>
      </c>
      <c r="BF626" s="4">
        <f t="shared" si="327"/>
        <v>2</v>
      </c>
      <c r="BG626" s="4">
        <f t="shared" si="328"/>
        <v>4</v>
      </c>
      <c r="BH626" s="4">
        <f t="shared" si="329"/>
        <v>4</v>
      </c>
      <c r="BI626" s="4">
        <f t="shared" si="330"/>
        <v>4</v>
      </c>
      <c r="BJ626" s="4">
        <f t="shared" si="331"/>
        <v>2</v>
      </c>
      <c r="BK626" s="4" t="str">
        <f t="shared" si="332"/>
        <v>0</v>
      </c>
      <c r="BL626" s="4" t="str">
        <f t="shared" si="333"/>
        <v>0</v>
      </c>
      <c r="BM626" s="4">
        <f t="shared" si="334"/>
        <v>4</v>
      </c>
      <c r="BN626" s="4">
        <f t="shared" si="335"/>
        <v>4</v>
      </c>
      <c r="BO626" s="4">
        <f t="shared" si="336"/>
        <v>4</v>
      </c>
      <c r="BP626" s="4">
        <f t="shared" si="337"/>
        <v>4</v>
      </c>
      <c r="BQ626" s="4">
        <f t="shared" si="338"/>
        <v>6</v>
      </c>
      <c r="BR626" s="4">
        <f t="shared" si="339"/>
        <v>4</v>
      </c>
      <c r="BS626" s="4">
        <f t="shared" si="340"/>
        <v>4</v>
      </c>
      <c r="BT626" s="4">
        <f t="shared" si="341"/>
        <v>4</v>
      </c>
      <c r="BU626" s="4">
        <f t="shared" si="342"/>
        <v>4</v>
      </c>
      <c r="BV626" s="4">
        <f t="shared" si="343"/>
        <v>0</v>
      </c>
      <c r="BW626" s="4">
        <f t="shared" si="344"/>
        <v>6</v>
      </c>
      <c r="BX626" s="4">
        <f t="shared" si="345"/>
        <v>0</v>
      </c>
      <c r="BY626" s="4">
        <f t="shared" si="346"/>
        <v>0</v>
      </c>
      <c r="BZ626" s="37">
        <f t="shared" si="347"/>
        <v>88</v>
      </c>
      <c r="CA626" s="32" t="str">
        <f>VLOOKUP(J:J,'Agent wise'!A:C,3,0)</f>
        <v>Saran S</v>
      </c>
      <c r="CB626" s="32">
        <f t="shared" si="348"/>
        <v>45942</v>
      </c>
      <c r="CC626" t="str">
        <f t="shared" si="349"/>
        <v>Average</v>
      </c>
      <c r="CE626" s="32"/>
      <c r="CJ626">
        <f t="shared" si="350"/>
        <v>12</v>
      </c>
      <c r="CK626">
        <f t="shared" si="351"/>
        <v>10</v>
      </c>
      <c r="CL626">
        <f t="shared" si="352"/>
        <v>2025</v>
      </c>
    </row>
    <row r="627" spans="1:90" ht="15" customHeight="1" x14ac:dyDescent="0.35">
      <c r="A627" s="40">
        <v>46001.462326388893</v>
      </c>
      <c r="B627" t="s">
        <v>51</v>
      </c>
      <c r="C627" t="s">
        <v>214</v>
      </c>
      <c r="D627" t="s">
        <v>53</v>
      </c>
      <c r="E627" s="32">
        <v>45942</v>
      </c>
      <c r="F627" t="s">
        <v>54</v>
      </c>
      <c r="G627" s="32">
        <v>45941</v>
      </c>
      <c r="H627">
        <v>9566216629</v>
      </c>
      <c r="I627">
        <v>193</v>
      </c>
      <c r="J627" t="s">
        <v>484</v>
      </c>
      <c r="K627" t="s">
        <v>71</v>
      </c>
      <c r="L627" t="s">
        <v>72</v>
      </c>
      <c r="M627" t="s">
        <v>59</v>
      </c>
      <c r="N627" t="s">
        <v>59</v>
      </c>
      <c r="O627" t="s">
        <v>59</v>
      </c>
      <c r="P627" t="s">
        <v>59</v>
      </c>
      <c r="Q627" t="s">
        <v>59</v>
      </c>
      <c r="R627" t="s">
        <v>60</v>
      </c>
      <c r="S627" t="s">
        <v>59</v>
      </c>
      <c r="T627" t="s">
        <v>59</v>
      </c>
      <c r="U627" t="s">
        <v>60</v>
      </c>
      <c r="V627" t="s">
        <v>59</v>
      </c>
      <c r="W627" t="s">
        <v>59</v>
      </c>
      <c r="X627" t="s">
        <v>59</v>
      </c>
      <c r="Y627" t="s">
        <v>59</v>
      </c>
      <c r="Z627" t="s">
        <v>59</v>
      </c>
      <c r="AA627" t="s">
        <v>59</v>
      </c>
      <c r="AB627" t="s">
        <v>60</v>
      </c>
      <c r="AC627" t="s">
        <v>60</v>
      </c>
      <c r="AD627" t="s">
        <v>59</v>
      </c>
      <c r="AE627" t="s">
        <v>59</v>
      </c>
      <c r="AF627" t="s">
        <v>61</v>
      </c>
      <c r="AG627" t="s">
        <v>59</v>
      </c>
      <c r="AH627" t="s">
        <v>61</v>
      </c>
      <c r="AI627" t="s">
        <v>60</v>
      </c>
      <c r="AJ627" t="s">
        <v>59</v>
      </c>
      <c r="AK627" t="s">
        <v>61</v>
      </c>
      <c r="AL627" t="s">
        <v>60</v>
      </c>
      <c r="AM627" t="s">
        <v>59</v>
      </c>
      <c r="AN627" t="s">
        <v>59</v>
      </c>
      <c r="AO627" t="s">
        <v>59</v>
      </c>
      <c r="AP627" t="s">
        <v>1398</v>
      </c>
      <c r="AQ627" t="s">
        <v>506</v>
      </c>
      <c r="AR627" t="s">
        <v>64</v>
      </c>
      <c r="AS627" t="s">
        <v>78</v>
      </c>
      <c r="AT627" t="s">
        <v>66</v>
      </c>
      <c r="AU627" t="s">
        <v>299</v>
      </c>
      <c r="AW627" s="4">
        <f t="shared" si="318"/>
        <v>6</v>
      </c>
      <c r="AX627" s="4">
        <f t="shared" si="319"/>
        <v>4</v>
      </c>
      <c r="AY627" s="4">
        <f t="shared" si="320"/>
        <v>4</v>
      </c>
      <c r="AZ627" s="4">
        <f t="shared" si="321"/>
        <v>2</v>
      </c>
      <c r="BA627" s="4">
        <f t="shared" si="322"/>
        <v>4</v>
      </c>
      <c r="BB627" s="4" t="str">
        <f t="shared" si="323"/>
        <v>0</v>
      </c>
      <c r="BC627" s="4">
        <f t="shared" si="324"/>
        <v>4</v>
      </c>
      <c r="BD627" s="4">
        <f t="shared" si="325"/>
        <v>2</v>
      </c>
      <c r="BE627" s="4" t="str">
        <f t="shared" si="326"/>
        <v>0</v>
      </c>
      <c r="BF627" s="4">
        <f t="shared" si="327"/>
        <v>2</v>
      </c>
      <c r="BG627" s="4">
        <f t="shared" si="328"/>
        <v>4</v>
      </c>
      <c r="BH627" s="4">
        <f t="shared" si="329"/>
        <v>4</v>
      </c>
      <c r="BI627" s="4">
        <f t="shared" si="330"/>
        <v>4</v>
      </c>
      <c r="BJ627" s="4">
        <f t="shared" si="331"/>
        <v>2</v>
      </c>
      <c r="BK627" s="4">
        <f t="shared" si="332"/>
        <v>4</v>
      </c>
      <c r="BL627" s="4" t="str">
        <f t="shared" si="333"/>
        <v>0</v>
      </c>
      <c r="BM627" s="4" t="str">
        <f t="shared" si="334"/>
        <v>0</v>
      </c>
      <c r="BN627" s="4">
        <f t="shared" si="335"/>
        <v>4</v>
      </c>
      <c r="BO627" s="4">
        <f t="shared" si="336"/>
        <v>4</v>
      </c>
      <c r="BP627" s="4">
        <f t="shared" si="337"/>
        <v>4</v>
      </c>
      <c r="BQ627" s="4">
        <f t="shared" si="338"/>
        <v>6</v>
      </c>
      <c r="BR627" s="4">
        <f t="shared" si="339"/>
        <v>4</v>
      </c>
      <c r="BS627" s="4" t="str">
        <f t="shared" si="340"/>
        <v>0</v>
      </c>
      <c r="BT627" s="4">
        <f t="shared" si="341"/>
        <v>4</v>
      </c>
      <c r="BU627" s="4">
        <f t="shared" si="342"/>
        <v>4</v>
      </c>
      <c r="BV627" s="4" t="str">
        <f t="shared" si="343"/>
        <v>0</v>
      </c>
      <c r="BW627" s="4">
        <f t="shared" si="344"/>
        <v>6</v>
      </c>
      <c r="BX627" s="4">
        <f t="shared" si="345"/>
        <v>0</v>
      </c>
      <c r="BY627" s="4">
        <f t="shared" si="346"/>
        <v>0</v>
      </c>
      <c r="BZ627" s="37">
        <f t="shared" si="347"/>
        <v>82</v>
      </c>
      <c r="CA627" s="32" t="str">
        <f>VLOOKUP(J:J,'Agent wise'!A:C,3,0)</f>
        <v>Adharsh</v>
      </c>
      <c r="CB627" s="32">
        <f t="shared" si="348"/>
        <v>45942</v>
      </c>
      <c r="CC627" t="str">
        <f t="shared" si="349"/>
        <v>FC</v>
      </c>
      <c r="CE627" s="32"/>
      <c r="CJ627">
        <f t="shared" si="350"/>
        <v>12</v>
      </c>
      <c r="CK627">
        <f t="shared" si="351"/>
        <v>10</v>
      </c>
      <c r="CL627">
        <f t="shared" si="352"/>
        <v>2025</v>
      </c>
    </row>
    <row r="628" spans="1:90" ht="15" customHeight="1" x14ac:dyDescent="0.35">
      <c r="A628" s="40">
        <v>46001.462847222218</v>
      </c>
      <c r="B628" t="s">
        <v>100</v>
      </c>
      <c r="C628" t="s">
        <v>214</v>
      </c>
      <c r="D628" t="s">
        <v>101</v>
      </c>
      <c r="E628" s="32">
        <v>45942</v>
      </c>
      <c r="F628" t="s">
        <v>222</v>
      </c>
      <c r="G628" s="32">
        <v>45939</v>
      </c>
      <c r="H628">
        <v>9551465316</v>
      </c>
      <c r="I628">
        <v>178</v>
      </c>
      <c r="J628" t="s">
        <v>353</v>
      </c>
      <c r="K628" t="s">
        <v>71</v>
      </c>
      <c r="L628" t="s">
        <v>72</v>
      </c>
      <c r="M628" t="s">
        <v>59</v>
      </c>
      <c r="N628" t="s">
        <v>59</v>
      </c>
      <c r="O628" t="s">
        <v>59</v>
      </c>
      <c r="P628" t="s">
        <v>59</v>
      </c>
      <c r="Q628" t="s">
        <v>59</v>
      </c>
      <c r="R628" t="s">
        <v>59</v>
      </c>
      <c r="S628" t="s">
        <v>59</v>
      </c>
      <c r="T628" t="s">
        <v>59</v>
      </c>
      <c r="U628" t="s">
        <v>59</v>
      </c>
      <c r="V628" t="s">
        <v>59</v>
      </c>
      <c r="W628" t="s">
        <v>59</v>
      </c>
      <c r="X628" t="s">
        <v>59</v>
      </c>
      <c r="Y628" t="s">
        <v>59</v>
      </c>
      <c r="Z628" t="s">
        <v>59</v>
      </c>
      <c r="AA628" t="s">
        <v>60</v>
      </c>
      <c r="AB628" t="s">
        <v>60</v>
      </c>
      <c r="AC628" t="s">
        <v>60</v>
      </c>
      <c r="AD628" t="s">
        <v>61</v>
      </c>
      <c r="AE628" t="s">
        <v>59</v>
      </c>
      <c r="AF628" t="s">
        <v>59</v>
      </c>
      <c r="AG628" t="s">
        <v>59</v>
      </c>
      <c r="AH628" t="s">
        <v>59</v>
      </c>
      <c r="AI628" t="s">
        <v>59</v>
      </c>
      <c r="AJ628" t="s">
        <v>59</v>
      </c>
      <c r="AK628" t="s">
        <v>59</v>
      </c>
      <c r="AL628" t="s">
        <v>59</v>
      </c>
      <c r="AM628" t="s">
        <v>59</v>
      </c>
      <c r="AN628" t="s">
        <v>59</v>
      </c>
      <c r="AO628" t="s">
        <v>59</v>
      </c>
      <c r="AP628" t="s">
        <v>798</v>
      </c>
      <c r="AQ628" s="1" t="s">
        <v>1399</v>
      </c>
      <c r="AR628" t="s">
        <v>226</v>
      </c>
      <c r="AS628" t="s">
        <v>352</v>
      </c>
      <c r="AT628" t="s">
        <v>352</v>
      </c>
      <c r="AU628" t="s">
        <v>299</v>
      </c>
      <c r="AW628" s="4">
        <f t="shared" si="318"/>
        <v>6</v>
      </c>
      <c r="AX628" s="4">
        <f t="shared" si="319"/>
        <v>4</v>
      </c>
      <c r="AY628" s="4">
        <f t="shared" si="320"/>
        <v>4</v>
      </c>
      <c r="AZ628" s="4">
        <f t="shared" si="321"/>
        <v>2</v>
      </c>
      <c r="BA628" s="4">
        <f t="shared" si="322"/>
        <v>4</v>
      </c>
      <c r="BB628" s="4">
        <f t="shared" si="323"/>
        <v>4</v>
      </c>
      <c r="BC628" s="4">
        <f t="shared" si="324"/>
        <v>4</v>
      </c>
      <c r="BD628" s="4">
        <f t="shared" si="325"/>
        <v>2</v>
      </c>
      <c r="BE628" s="4">
        <f t="shared" si="326"/>
        <v>4</v>
      </c>
      <c r="BF628" s="4">
        <f t="shared" si="327"/>
        <v>2</v>
      </c>
      <c r="BG628" s="4">
        <f t="shared" si="328"/>
        <v>4</v>
      </c>
      <c r="BH628" s="4">
        <f t="shared" si="329"/>
        <v>4</v>
      </c>
      <c r="BI628" s="4">
        <f t="shared" si="330"/>
        <v>4</v>
      </c>
      <c r="BJ628" s="4">
        <f t="shared" si="331"/>
        <v>2</v>
      </c>
      <c r="BK628" s="4" t="str">
        <f t="shared" si="332"/>
        <v>0</v>
      </c>
      <c r="BL628" s="4" t="str">
        <f t="shared" si="333"/>
        <v>0</v>
      </c>
      <c r="BM628" s="4" t="str">
        <f t="shared" si="334"/>
        <v>0</v>
      </c>
      <c r="BN628" s="4">
        <f t="shared" si="335"/>
        <v>4</v>
      </c>
      <c r="BO628" s="4">
        <f t="shared" si="336"/>
        <v>4</v>
      </c>
      <c r="BP628" s="4">
        <f t="shared" si="337"/>
        <v>4</v>
      </c>
      <c r="BQ628" s="4">
        <f t="shared" si="338"/>
        <v>6</v>
      </c>
      <c r="BR628" s="4">
        <f t="shared" si="339"/>
        <v>4</v>
      </c>
      <c r="BS628" s="4">
        <f t="shared" si="340"/>
        <v>4</v>
      </c>
      <c r="BT628" s="4">
        <f t="shared" si="341"/>
        <v>4</v>
      </c>
      <c r="BU628" s="4">
        <f t="shared" si="342"/>
        <v>4</v>
      </c>
      <c r="BV628" s="4">
        <f t="shared" si="343"/>
        <v>0</v>
      </c>
      <c r="BW628" s="4">
        <f t="shared" si="344"/>
        <v>6</v>
      </c>
      <c r="BX628" s="4">
        <f t="shared" si="345"/>
        <v>0</v>
      </c>
      <c r="BY628" s="4">
        <f t="shared" si="346"/>
        <v>0</v>
      </c>
      <c r="BZ628" s="37">
        <f t="shared" si="347"/>
        <v>90</v>
      </c>
      <c r="CA628" s="32" t="str">
        <f>VLOOKUP(J:J,'Agent wise'!A:C,3,0)</f>
        <v>Amal</v>
      </c>
      <c r="CB628" s="32">
        <f t="shared" si="348"/>
        <v>45942</v>
      </c>
      <c r="CC628" t="str">
        <f t="shared" si="349"/>
        <v>Good</v>
      </c>
      <c r="CE628" s="32"/>
      <c r="CJ628">
        <f t="shared" si="350"/>
        <v>12</v>
      </c>
      <c r="CK628">
        <f t="shared" si="351"/>
        <v>10</v>
      </c>
      <c r="CL628">
        <f t="shared" si="352"/>
        <v>2025</v>
      </c>
    </row>
    <row r="629" spans="1:90" ht="15" customHeight="1" x14ac:dyDescent="0.35">
      <c r="A629" s="40">
        <v>46001.472280092603</v>
      </c>
      <c r="B629" t="s">
        <v>100</v>
      </c>
      <c r="C629" t="s">
        <v>214</v>
      </c>
      <c r="D629" t="s">
        <v>101</v>
      </c>
      <c r="E629" s="32">
        <v>45942</v>
      </c>
      <c r="F629" t="s">
        <v>222</v>
      </c>
      <c r="G629" s="32">
        <v>45939</v>
      </c>
      <c r="H629">
        <v>9544719974</v>
      </c>
      <c r="I629">
        <v>240</v>
      </c>
      <c r="J629" t="s">
        <v>353</v>
      </c>
      <c r="K629" t="s">
        <v>57</v>
      </c>
      <c r="L629" t="s">
        <v>58</v>
      </c>
      <c r="M629" t="s">
        <v>59</v>
      </c>
      <c r="N629" t="s">
        <v>59</v>
      </c>
      <c r="O629" t="s">
        <v>59</v>
      </c>
      <c r="P629" t="s">
        <v>59</v>
      </c>
      <c r="Q629" t="s">
        <v>59</v>
      </c>
      <c r="R629" t="s">
        <v>60</v>
      </c>
      <c r="S629" t="s">
        <v>59</v>
      </c>
      <c r="T629" t="s">
        <v>59</v>
      </c>
      <c r="U629" t="s">
        <v>59</v>
      </c>
      <c r="V629" t="s">
        <v>59</v>
      </c>
      <c r="W629" t="s">
        <v>59</v>
      </c>
      <c r="X629" t="s">
        <v>59</v>
      </c>
      <c r="Y629" t="s">
        <v>59</v>
      </c>
      <c r="Z629" t="s">
        <v>59</v>
      </c>
      <c r="AA629" t="s">
        <v>60</v>
      </c>
      <c r="AB629" t="s">
        <v>61</v>
      </c>
      <c r="AC629" t="s">
        <v>59</v>
      </c>
      <c r="AD629" t="s">
        <v>59</v>
      </c>
      <c r="AE629" t="s">
        <v>59</v>
      </c>
      <c r="AF629" t="s">
        <v>59</v>
      </c>
      <c r="AG629" t="s">
        <v>59</v>
      </c>
      <c r="AH629" t="s">
        <v>59</v>
      </c>
      <c r="AI629" t="s">
        <v>61</v>
      </c>
      <c r="AJ629" t="s">
        <v>59</v>
      </c>
      <c r="AK629" t="s">
        <v>59</v>
      </c>
      <c r="AL629" t="s">
        <v>59</v>
      </c>
      <c r="AM629" t="s">
        <v>59</v>
      </c>
      <c r="AN629" t="s">
        <v>59</v>
      </c>
      <c r="AO629" t="s">
        <v>59</v>
      </c>
      <c r="AP629" t="s">
        <v>1400</v>
      </c>
      <c r="AQ629" s="1" t="s">
        <v>1401</v>
      </c>
      <c r="AR629" t="s">
        <v>226</v>
      </c>
      <c r="AS629" t="s">
        <v>352</v>
      </c>
      <c r="AT629" t="s">
        <v>352</v>
      </c>
      <c r="AU629" t="s">
        <v>299</v>
      </c>
      <c r="AW629" s="4">
        <f t="shared" si="318"/>
        <v>6</v>
      </c>
      <c r="AX629" s="4">
        <f t="shared" si="319"/>
        <v>4</v>
      </c>
      <c r="AY629" s="4">
        <f t="shared" si="320"/>
        <v>4</v>
      </c>
      <c r="AZ629" s="4">
        <f t="shared" si="321"/>
        <v>2</v>
      </c>
      <c r="BA629" s="4">
        <f t="shared" si="322"/>
        <v>4</v>
      </c>
      <c r="BB629" s="4" t="str">
        <f t="shared" si="323"/>
        <v>0</v>
      </c>
      <c r="BC629" s="4">
        <f t="shared" si="324"/>
        <v>4</v>
      </c>
      <c r="BD629" s="4">
        <f t="shared" si="325"/>
        <v>2</v>
      </c>
      <c r="BE629" s="4">
        <f t="shared" si="326"/>
        <v>4</v>
      </c>
      <c r="BF629" s="4">
        <f t="shared" si="327"/>
        <v>2</v>
      </c>
      <c r="BG629" s="4">
        <f t="shared" si="328"/>
        <v>4</v>
      </c>
      <c r="BH629" s="4">
        <f t="shared" si="329"/>
        <v>4</v>
      </c>
      <c r="BI629" s="4">
        <f t="shared" si="330"/>
        <v>4</v>
      </c>
      <c r="BJ629" s="4">
        <f t="shared" si="331"/>
        <v>2</v>
      </c>
      <c r="BK629" s="4" t="str">
        <f t="shared" si="332"/>
        <v>0</v>
      </c>
      <c r="BL629" s="4">
        <f t="shared" si="333"/>
        <v>2</v>
      </c>
      <c r="BM629" s="4">
        <f t="shared" si="334"/>
        <v>4</v>
      </c>
      <c r="BN629" s="4">
        <f t="shared" si="335"/>
        <v>4</v>
      </c>
      <c r="BO629" s="4">
        <f t="shared" si="336"/>
        <v>4</v>
      </c>
      <c r="BP629" s="4">
        <f t="shared" si="337"/>
        <v>4</v>
      </c>
      <c r="BQ629" s="4">
        <f t="shared" si="338"/>
        <v>6</v>
      </c>
      <c r="BR629" s="4">
        <f t="shared" si="339"/>
        <v>4</v>
      </c>
      <c r="BS629" s="4">
        <f t="shared" si="340"/>
        <v>4</v>
      </c>
      <c r="BT629" s="4">
        <f t="shared" si="341"/>
        <v>4</v>
      </c>
      <c r="BU629" s="4">
        <f t="shared" si="342"/>
        <v>4</v>
      </c>
      <c r="BV629" s="4">
        <f t="shared" si="343"/>
        <v>0</v>
      </c>
      <c r="BW629" s="4">
        <f t="shared" si="344"/>
        <v>6</v>
      </c>
      <c r="BX629" s="4">
        <f t="shared" si="345"/>
        <v>0</v>
      </c>
      <c r="BY629" s="4">
        <f t="shared" si="346"/>
        <v>0</v>
      </c>
      <c r="BZ629" s="37">
        <f t="shared" si="347"/>
        <v>92</v>
      </c>
      <c r="CA629" s="32" t="str">
        <f>VLOOKUP(J:J,'Agent wise'!A:C,3,0)</f>
        <v>Amal</v>
      </c>
      <c r="CB629" s="32">
        <f t="shared" si="348"/>
        <v>45942</v>
      </c>
      <c r="CC629" t="str">
        <f t="shared" si="349"/>
        <v>Good</v>
      </c>
      <c r="CE629" s="32"/>
      <c r="CJ629">
        <f t="shared" si="350"/>
        <v>12</v>
      </c>
      <c r="CK629">
        <f t="shared" si="351"/>
        <v>10</v>
      </c>
      <c r="CL629">
        <f t="shared" si="352"/>
        <v>2025</v>
      </c>
    </row>
    <row r="630" spans="1:90" ht="15" customHeight="1" x14ac:dyDescent="0.35">
      <c r="A630" s="40">
        <v>46001.480104166672</v>
      </c>
      <c r="B630" t="s">
        <v>100</v>
      </c>
      <c r="C630" t="s">
        <v>214</v>
      </c>
      <c r="D630" t="s">
        <v>101</v>
      </c>
      <c r="E630" s="32">
        <v>45942</v>
      </c>
      <c r="F630" t="s">
        <v>222</v>
      </c>
      <c r="G630" s="32">
        <v>45939</v>
      </c>
      <c r="H630">
        <v>9207041058</v>
      </c>
      <c r="I630">
        <v>178</v>
      </c>
      <c r="J630" t="s">
        <v>439</v>
      </c>
      <c r="K630" t="s">
        <v>86</v>
      </c>
      <c r="L630" t="s">
        <v>58</v>
      </c>
      <c r="M630" t="s">
        <v>59</v>
      </c>
      <c r="N630" t="s">
        <v>59</v>
      </c>
      <c r="O630" t="s">
        <v>60</v>
      </c>
      <c r="P630" t="s">
        <v>59</v>
      </c>
      <c r="Q630" t="s">
        <v>59</v>
      </c>
      <c r="R630" t="s">
        <v>59</v>
      </c>
      <c r="S630" t="s">
        <v>59</v>
      </c>
      <c r="T630" t="s">
        <v>59</v>
      </c>
      <c r="U630" t="s">
        <v>59</v>
      </c>
      <c r="V630" t="s">
        <v>59</v>
      </c>
      <c r="W630" t="s">
        <v>59</v>
      </c>
      <c r="X630" t="s">
        <v>59</v>
      </c>
      <c r="Y630" t="s">
        <v>59</v>
      </c>
      <c r="Z630" t="s">
        <v>59</v>
      </c>
      <c r="AA630" t="s">
        <v>60</v>
      </c>
      <c r="AB630" t="s">
        <v>59</v>
      </c>
      <c r="AC630" t="s">
        <v>60</v>
      </c>
      <c r="AD630" t="s">
        <v>61</v>
      </c>
      <c r="AE630" t="s">
        <v>59</v>
      </c>
      <c r="AF630" t="s">
        <v>59</v>
      </c>
      <c r="AG630" t="s">
        <v>59</v>
      </c>
      <c r="AH630" t="s">
        <v>59</v>
      </c>
      <c r="AI630" t="s">
        <v>61</v>
      </c>
      <c r="AJ630" t="s">
        <v>59</v>
      </c>
      <c r="AK630" t="s">
        <v>59</v>
      </c>
      <c r="AL630" t="s">
        <v>59</v>
      </c>
      <c r="AM630" t="s">
        <v>59</v>
      </c>
      <c r="AN630" t="s">
        <v>59</v>
      </c>
      <c r="AO630" t="s">
        <v>59</v>
      </c>
      <c r="AP630" t="s">
        <v>188</v>
      </c>
      <c r="AQ630" s="1" t="s">
        <v>1402</v>
      </c>
      <c r="AR630" t="s">
        <v>226</v>
      </c>
      <c r="AS630" t="s">
        <v>352</v>
      </c>
      <c r="AT630" t="s">
        <v>352</v>
      </c>
      <c r="AU630" t="s">
        <v>387</v>
      </c>
      <c r="AW630" s="4">
        <f t="shared" si="318"/>
        <v>6</v>
      </c>
      <c r="AX630" s="4">
        <f t="shared" si="319"/>
        <v>4</v>
      </c>
      <c r="AY630" s="4" t="str">
        <f t="shared" si="320"/>
        <v>0</v>
      </c>
      <c r="AZ630" s="4">
        <f t="shared" si="321"/>
        <v>2</v>
      </c>
      <c r="BA630" s="4">
        <f t="shared" si="322"/>
        <v>4</v>
      </c>
      <c r="BB630" s="4">
        <f t="shared" si="323"/>
        <v>4</v>
      </c>
      <c r="BC630" s="4">
        <f t="shared" si="324"/>
        <v>4</v>
      </c>
      <c r="BD630" s="4">
        <f t="shared" si="325"/>
        <v>2</v>
      </c>
      <c r="BE630" s="4">
        <f t="shared" si="326"/>
        <v>4</v>
      </c>
      <c r="BF630" s="4">
        <f t="shared" si="327"/>
        <v>2</v>
      </c>
      <c r="BG630" s="4">
        <f t="shared" si="328"/>
        <v>4</v>
      </c>
      <c r="BH630" s="4">
        <f t="shared" si="329"/>
        <v>4</v>
      </c>
      <c r="BI630" s="4">
        <f t="shared" si="330"/>
        <v>4</v>
      </c>
      <c r="BJ630" s="4">
        <f t="shared" si="331"/>
        <v>2</v>
      </c>
      <c r="BK630" s="4" t="str">
        <f t="shared" si="332"/>
        <v>0</v>
      </c>
      <c r="BL630" s="4">
        <f t="shared" si="333"/>
        <v>2</v>
      </c>
      <c r="BM630" s="4" t="str">
        <f t="shared" si="334"/>
        <v>0</v>
      </c>
      <c r="BN630" s="4">
        <f t="shared" si="335"/>
        <v>4</v>
      </c>
      <c r="BO630" s="4">
        <f t="shared" si="336"/>
        <v>4</v>
      </c>
      <c r="BP630" s="4">
        <f t="shared" si="337"/>
        <v>4</v>
      </c>
      <c r="BQ630" s="4">
        <f t="shared" si="338"/>
        <v>6</v>
      </c>
      <c r="BR630" s="4">
        <f t="shared" si="339"/>
        <v>4</v>
      </c>
      <c r="BS630" s="4">
        <f t="shared" si="340"/>
        <v>4</v>
      </c>
      <c r="BT630" s="4">
        <f t="shared" si="341"/>
        <v>4</v>
      </c>
      <c r="BU630" s="4">
        <f t="shared" si="342"/>
        <v>4</v>
      </c>
      <c r="BV630" s="4">
        <f t="shared" si="343"/>
        <v>0</v>
      </c>
      <c r="BW630" s="4">
        <f t="shared" si="344"/>
        <v>6</v>
      </c>
      <c r="BX630" s="4">
        <f t="shared" si="345"/>
        <v>0</v>
      </c>
      <c r="BY630" s="4">
        <f t="shared" si="346"/>
        <v>0</v>
      </c>
      <c r="BZ630" s="37">
        <f t="shared" si="347"/>
        <v>88</v>
      </c>
      <c r="CA630" s="32" t="str">
        <f>VLOOKUP(J:J,'Agent wise'!A:C,3,0)</f>
        <v>Saran S</v>
      </c>
      <c r="CB630" s="32">
        <f t="shared" si="348"/>
        <v>45942</v>
      </c>
      <c r="CC630" t="str">
        <f t="shared" si="349"/>
        <v>Average</v>
      </c>
      <c r="CE630" s="32"/>
      <c r="CJ630">
        <f t="shared" si="350"/>
        <v>12</v>
      </c>
      <c r="CK630">
        <f t="shared" si="351"/>
        <v>10</v>
      </c>
      <c r="CL630">
        <f t="shared" si="352"/>
        <v>2025</v>
      </c>
    </row>
    <row r="631" spans="1:90" ht="15" customHeight="1" x14ac:dyDescent="0.35">
      <c r="A631" s="40">
        <v>46001.480381944442</v>
      </c>
      <c r="B631" t="s">
        <v>51</v>
      </c>
      <c r="C631" t="s">
        <v>214</v>
      </c>
      <c r="D631" t="s">
        <v>53</v>
      </c>
      <c r="E631" s="32">
        <v>45942</v>
      </c>
      <c r="F631" t="s">
        <v>54</v>
      </c>
      <c r="G631" s="32">
        <v>45941</v>
      </c>
      <c r="H631">
        <v>9787008313</v>
      </c>
      <c r="I631">
        <v>133</v>
      </c>
      <c r="J631" t="s">
        <v>341</v>
      </c>
      <c r="K631" t="s">
        <v>71</v>
      </c>
      <c r="L631" t="s">
        <v>72</v>
      </c>
      <c r="M631" t="s">
        <v>59</v>
      </c>
      <c r="N631" t="s">
        <v>59</v>
      </c>
      <c r="O631" t="s">
        <v>60</v>
      </c>
      <c r="P631" t="s">
        <v>59</v>
      </c>
      <c r="Q631" t="s">
        <v>59</v>
      </c>
      <c r="R631" t="s">
        <v>60</v>
      </c>
      <c r="S631" t="s">
        <v>59</v>
      </c>
      <c r="T631" t="s">
        <v>59</v>
      </c>
      <c r="U631" t="s">
        <v>60</v>
      </c>
      <c r="V631" t="s">
        <v>59</v>
      </c>
      <c r="W631" t="s">
        <v>59</v>
      </c>
      <c r="X631" t="s">
        <v>59</v>
      </c>
      <c r="Y631" t="s">
        <v>59</v>
      </c>
      <c r="Z631" t="s">
        <v>59</v>
      </c>
      <c r="AA631" t="s">
        <v>60</v>
      </c>
      <c r="AB631" t="s">
        <v>60</v>
      </c>
      <c r="AC631" t="s">
        <v>60</v>
      </c>
      <c r="AD631" t="s">
        <v>59</v>
      </c>
      <c r="AE631" t="s">
        <v>59</v>
      </c>
      <c r="AF631" t="s">
        <v>61</v>
      </c>
      <c r="AG631" t="s">
        <v>60</v>
      </c>
      <c r="AH631" t="s">
        <v>61</v>
      </c>
      <c r="AI631" t="s">
        <v>61</v>
      </c>
      <c r="AJ631" t="s">
        <v>59</v>
      </c>
      <c r="AK631" t="s">
        <v>61</v>
      </c>
      <c r="AL631" t="s">
        <v>60</v>
      </c>
      <c r="AM631" t="s">
        <v>59</v>
      </c>
      <c r="AN631" t="s">
        <v>59</v>
      </c>
      <c r="AO631" t="s">
        <v>60</v>
      </c>
      <c r="AP631" t="s">
        <v>1403</v>
      </c>
      <c r="AQ631" t="s">
        <v>1404</v>
      </c>
      <c r="AR631" t="s">
        <v>64</v>
      </c>
      <c r="AS631" t="s">
        <v>171</v>
      </c>
      <c r="AT631" t="s">
        <v>190</v>
      </c>
      <c r="AU631" t="s">
        <v>299</v>
      </c>
      <c r="AW631" s="4">
        <f t="shared" si="318"/>
        <v>6</v>
      </c>
      <c r="AX631" s="4">
        <f t="shared" si="319"/>
        <v>4</v>
      </c>
      <c r="AY631" s="4" t="str">
        <f t="shared" si="320"/>
        <v>0</v>
      </c>
      <c r="AZ631" s="4">
        <f t="shared" si="321"/>
        <v>2</v>
      </c>
      <c r="BA631" s="4">
        <f t="shared" si="322"/>
        <v>4</v>
      </c>
      <c r="BB631" s="4" t="str">
        <f t="shared" si="323"/>
        <v>0</v>
      </c>
      <c r="BC631" s="4">
        <f t="shared" si="324"/>
        <v>4</v>
      </c>
      <c r="BD631" s="4">
        <f t="shared" si="325"/>
        <v>2</v>
      </c>
      <c r="BE631" s="4" t="str">
        <f t="shared" si="326"/>
        <v>0</v>
      </c>
      <c r="BF631" s="4">
        <f t="shared" si="327"/>
        <v>2</v>
      </c>
      <c r="BG631" s="4">
        <f t="shared" si="328"/>
        <v>4</v>
      </c>
      <c r="BH631" s="4">
        <f t="shared" si="329"/>
        <v>4</v>
      </c>
      <c r="BI631" s="4">
        <f t="shared" si="330"/>
        <v>4</v>
      </c>
      <c r="BJ631" s="4">
        <f t="shared" si="331"/>
        <v>2</v>
      </c>
      <c r="BK631" s="4" t="str">
        <f t="shared" si="332"/>
        <v>0</v>
      </c>
      <c r="BL631" s="4" t="str">
        <f t="shared" si="333"/>
        <v>0</v>
      </c>
      <c r="BM631" s="4" t="str">
        <f t="shared" si="334"/>
        <v>0</v>
      </c>
      <c r="BN631" s="4">
        <f t="shared" si="335"/>
        <v>4</v>
      </c>
      <c r="BO631" s="4">
        <f t="shared" si="336"/>
        <v>4</v>
      </c>
      <c r="BP631" s="4">
        <f t="shared" si="337"/>
        <v>4</v>
      </c>
      <c r="BQ631" s="4" t="str">
        <f t="shared" si="338"/>
        <v>0</v>
      </c>
      <c r="BR631" s="4">
        <f t="shared" si="339"/>
        <v>4</v>
      </c>
      <c r="BS631" s="4">
        <f t="shared" si="340"/>
        <v>4</v>
      </c>
      <c r="BT631" s="4">
        <f t="shared" si="341"/>
        <v>4</v>
      </c>
      <c r="BU631" s="4">
        <f t="shared" si="342"/>
        <v>4</v>
      </c>
      <c r="BV631" s="4" t="str">
        <f t="shared" si="343"/>
        <v>0</v>
      </c>
      <c r="BW631" s="4">
        <f t="shared" si="344"/>
        <v>6</v>
      </c>
      <c r="BX631" s="4">
        <f t="shared" si="345"/>
        <v>0</v>
      </c>
      <c r="BY631" s="4" t="str">
        <f t="shared" si="346"/>
        <v>0</v>
      </c>
      <c r="BZ631" s="37">
        <f t="shared" si="347"/>
        <v>72</v>
      </c>
      <c r="CA631" s="32" t="str">
        <f>VLOOKUP(J:J,'Agent wise'!A:C,3,0)</f>
        <v>Adharsh</v>
      </c>
      <c r="CB631" s="32">
        <f t="shared" si="348"/>
        <v>45942</v>
      </c>
      <c r="CC631" t="str">
        <f t="shared" si="349"/>
        <v>FC</v>
      </c>
      <c r="CE631" s="32"/>
      <c r="CJ631">
        <f t="shared" si="350"/>
        <v>12</v>
      </c>
      <c r="CK631">
        <f t="shared" si="351"/>
        <v>10</v>
      </c>
      <c r="CL631">
        <f t="shared" si="352"/>
        <v>2025</v>
      </c>
    </row>
    <row r="632" spans="1:90" ht="15" customHeight="1" x14ac:dyDescent="0.35">
      <c r="A632" s="40">
        <v>46001.488819444443</v>
      </c>
      <c r="B632" t="s">
        <v>51</v>
      </c>
      <c r="C632" t="s">
        <v>214</v>
      </c>
      <c r="D632" t="s">
        <v>53</v>
      </c>
      <c r="E632" s="32">
        <v>45942</v>
      </c>
      <c r="F632" t="s">
        <v>54</v>
      </c>
      <c r="G632" s="32">
        <v>45941</v>
      </c>
      <c r="H632">
        <v>9496183785</v>
      </c>
      <c r="I632">
        <v>155</v>
      </c>
      <c r="J632" t="s">
        <v>519</v>
      </c>
      <c r="K632" t="s">
        <v>57</v>
      </c>
      <c r="L632" t="s">
        <v>58</v>
      </c>
      <c r="M632" t="s">
        <v>60</v>
      </c>
      <c r="N632" t="s">
        <v>59</v>
      </c>
      <c r="O632" t="s">
        <v>59</v>
      </c>
      <c r="P632" t="s">
        <v>59</v>
      </c>
      <c r="Q632" t="s">
        <v>59</v>
      </c>
      <c r="R632" t="s">
        <v>60</v>
      </c>
      <c r="S632" t="s">
        <v>59</v>
      </c>
      <c r="T632" t="s">
        <v>59</v>
      </c>
      <c r="U632" t="s">
        <v>60</v>
      </c>
      <c r="V632" t="s">
        <v>59</v>
      </c>
      <c r="W632" t="s">
        <v>59</v>
      </c>
      <c r="X632" t="s">
        <v>59</v>
      </c>
      <c r="Y632" t="s">
        <v>59</v>
      </c>
      <c r="Z632" t="s">
        <v>59</v>
      </c>
      <c r="AA632" t="s">
        <v>60</v>
      </c>
      <c r="AB632" t="s">
        <v>60</v>
      </c>
      <c r="AC632" t="s">
        <v>61</v>
      </c>
      <c r="AD632" t="s">
        <v>59</v>
      </c>
      <c r="AE632" t="s">
        <v>59</v>
      </c>
      <c r="AF632" t="s">
        <v>61</v>
      </c>
      <c r="AG632" t="s">
        <v>60</v>
      </c>
      <c r="AH632" t="s">
        <v>61</v>
      </c>
      <c r="AI632" t="s">
        <v>61</v>
      </c>
      <c r="AJ632" t="s">
        <v>59</v>
      </c>
      <c r="AK632" t="s">
        <v>61</v>
      </c>
      <c r="AL632" t="s">
        <v>60</v>
      </c>
      <c r="AM632" t="s">
        <v>59</v>
      </c>
      <c r="AN632" t="s">
        <v>59</v>
      </c>
      <c r="AO632" t="s">
        <v>59</v>
      </c>
      <c r="AP632" t="s">
        <v>1405</v>
      </c>
      <c r="AQ632" t="s">
        <v>1406</v>
      </c>
      <c r="AR632" t="s">
        <v>64</v>
      </c>
      <c r="AS632" t="s">
        <v>89</v>
      </c>
      <c r="AT632" t="s">
        <v>84</v>
      </c>
      <c r="AU632" t="s">
        <v>299</v>
      </c>
      <c r="AW632" s="4" t="str">
        <f t="shared" si="318"/>
        <v>0</v>
      </c>
      <c r="AX632" s="4">
        <f t="shared" si="319"/>
        <v>4</v>
      </c>
      <c r="AY632" s="4">
        <f t="shared" si="320"/>
        <v>4</v>
      </c>
      <c r="AZ632" s="4">
        <f t="shared" si="321"/>
        <v>2</v>
      </c>
      <c r="BA632" s="4">
        <f t="shared" si="322"/>
        <v>4</v>
      </c>
      <c r="BB632" s="4" t="str">
        <f t="shared" si="323"/>
        <v>0</v>
      </c>
      <c r="BC632" s="4">
        <f t="shared" si="324"/>
        <v>4</v>
      </c>
      <c r="BD632" s="4">
        <f t="shared" si="325"/>
        <v>2</v>
      </c>
      <c r="BE632" s="4" t="str">
        <f t="shared" si="326"/>
        <v>0</v>
      </c>
      <c r="BF632" s="4">
        <f t="shared" si="327"/>
        <v>2</v>
      </c>
      <c r="BG632" s="4">
        <f t="shared" si="328"/>
        <v>4</v>
      </c>
      <c r="BH632" s="4">
        <f t="shared" si="329"/>
        <v>4</v>
      </c>
      <c r="BI632" s="4">
        <f t="shared" si="330"/>
        <v>4</v>
      </c>
      <c r="BJ632" s="4">
        <f t="shared" si="331"/>
        <v>2</v>
      </c>
      <c r="BK632" s="4" t="str">
        <f t="shared" si="332"/>
        <v>0</v>
      </c>
      <c r="BL632" s="4" t="str">
        <f t="shared" si="333"/>
        <v>0</v>
      </c>
      <c r="BM632" s="4">
        <f t="shared" si="334"/>
        <v>4</v>
      </c>
      <c r="BN632" s="4">
        <f t="shared" si="335"/>
        <v>4</v>
      </c>
      <c r="BO632" s="4">
        <f t="shared" si="336"/>
        <v>4</v>
      </c>
      <c r="BP632" s="4">
        <f t="shared" si="337"/>
        <v>4</v>
      </c>
      <c r="BQ632" s="4" t="str">
        <f t="shared" si="338"/>
        <v>0</v>
      </c>
      <c r="BR632" s="4">
        <f t="shared" si="339"/>
        <v>4</v>
      </c>
      <c r="BS632" s="4">
        <f t="shared" si="340"/>
        <v>4</v>
      </c>
      <c r="BT632" s="4">
        <f t="shared" si="341"/>
        <v>4</v>
      </c>
      <c r="BU632" s="4">
        <f t="shared" si="342"/>
        <v>4</v>
      </c>
      <c r="BV632" s="4" t="str">
        <f t="shared" si="343"/>
        <v>0</v>
      </c>
      <c r="BW632" s="4">
        <f t="shared" si="344"/>
        <v>6</v>
      </c>
      <c r="BX632" s="4">
        <f t="shared" si="345"/>
        <v>0</v>
      </c>
      <c r="BY632" s="4">
        <f t="shared" si="346"/>
        <v>0</v>
      </c>
      <c r="BZ632" s="37">
        <f t="shared" si="347"/>
        <v>74</v>
      </c>
      <c r="CA632" s="32" t="str">
        <f>VLOOKUP(J:J,'Agent wise'!A:C,3,0)</f>
        <v>Adharsh</v>
      </c>
      <c r="CB632" s="32">
        <f t="shared" si="348"/>
        <v>45942</v>
      </c>
      <c r="CC632" t="str">
        <f t="shared" si="349"/>
        <v>FC</v>
      </c>
      <c r="CE632" s="32"/>
      <c r="CJ632">
        <f t="shared" si="350"/>
        <v>12</v>
      </c>
      <c r="CK632">
        <f t="shared" si="351"/>
        <v>10</v>
      </c>
      <c r="CL632">
        <f t="shared" si="352"/>
        <v>2025</v>
      </c>
    </row>
    <row r="633" spans="1:90" ht="15" customHeight="1" x14ac:dyDescent="0.35">
      <c r="A633" s="40">
        <v>46001.497395833343</v>
      </c>
      <c r="B633" t="s">
        <v>51</v>
      </c>
      <c r="C633" t="s">
        <v>214</v>
      </c>
      <c r="D633" t="s">
        <v>53</v>
      </c>
      <c r="E633" s="32">
        <v>45942</v>
      </c>
      <c r="F633" t="s">
        <v>90</v>
      </c>
      <c r="G633" s="32">
        <v>45941</v>
      </c>
      <c r="H633">
        <v>8122831692</v>
      </c>
      <c r="I633">
        <v>323</v>
      </c>
      <c r="J633" t="s">
        <v>96</v>
      </c>
      <c r="K633" t="s">
        <v>71</v>
      </c>
      <c r="L633" t="s">
        <v>72</v>
      </c>
      <c r="M633" t="s">
        <v>59</v>
      </c>
      <c r="N633" t="s">
        <v>59</v>
      </c>
      <c r="O633" t="s">
        <v>60</v>
      </c>
      <c r="P633" t="s">
        <v>59</v>
      </c>
      <c r="Q633" t="s">
        <v>59</v>
      </c>
      <c r="R633" t="s">
        <v>60</v>
      </c>
      <c r="S633" t="s">
        <v>59</v>
      </c>
      <c r="T633" t="s">
        <v>59</v>
      </c>
      <c r="U633" t="s">
        <v>60</v>
      </c>
      <c r="V633" t="s">
        <v>59</v>
      </c>
      <c r="W633" t="s">
        <v>59</v>
      </c>
      <c r="X633" t="s">
        <v>59</v>
      </c>
      <c r="Y633" t="s">
        <v>59</v>
      </c>
      <c r="Z633" t="s">
        <v>59</v>
      </c>
      <c r="AA633" t="s">
        <v>59</v>
      </c>
      <c r="AB633" t="s">
        <v>59</v>
      </c>
      <c r="AC633" t="s">
        <v>61</v>
      </c>
      <c r="AD633" t="s">
        <v>60</v>
      </c>
      <c r="AE633" t="s">
        <v>59</v>
      </c>
      <c r="AF633" t="s">
        <v>61</v>
      </c>
      <c r="AG633" t="s">
        <v>59</v>
      </c>
      <c r="AH633" t="s">
        <v>61</v>
      </c>
      <c r="AI633" t="s">
        <v>61</v>
      </c>
      <c r="AJ633" t="s">
        <v>59</v>
      </c>
      <c r="AK633" t="s">
        <v>61</v>
      </c>
      <c r="AL633" t="s">
        <v>60</v>
      </c>
      <c r="AM633" t="s">
        <v>59</v>
      </c>
      <c r="AN633" t="s">
        <v>59</v>
      </c>
      <c r="AO633" t="s">
        <v>59</v>
      </c>
      <c r="AP633" t="s">
        <v>1407</v>
      </c>
      <c r="AQ633" t="s">
        <v>532</v>
      </c>
      <c r="AR633" t="s">
        <v>64</v>
      </c>
      <c r="AS633" t="s">
        <v>94</v>
      </c>
      <c r="AT633" t="s">
        <v>95</v>
      </c>
      <c r="AU633" t="s">
        <v>593</v>
      </c>
      <c r="AW633" s="4">
        <f t="shared" si="318"/>
        <v>6</v>
      </c>
      <c r="AX633" s="4">
        <f t="shared" si="319"/>
        <v>4</v>
      </c>
      <c r="AY633" s="4" t="str">
        <f t="shared" si="320"/>
        <v>0</v>
      </c>
      <c r="AZ633" s="4">
        <f t="shared" si="321"/>
        <v>2</v>
      </c>
      <c r="BA633" s="4">
        <f t="shared" si="322"/>
        <v>4</v>
      </c>
      <c r="BB633" s="4" t="str">
        <f t="shared" si="323"/>
        <v>0</v>
      </c>
      <c r="BC633" s="4">
        <f t="shared" si="324"/>
        <v>4</v>
      </c>
      <c r="BD633" s="4">
        <f t="shared" si="325"/>
        <v>2</v>
      </c>
      <c r="BE633" s="4" t="str">
        <f t="shared" si="326"/>
        <v>0</v>
      </c>
      <c r="BF633" s="4">
        <f t="shared" si="327"/>
        <v>2</v>
      </c>
      <c r="BG633" s="4">
        <f t="shared" si="328"/>
        <v>4</v>
      </c>
      <c r="BH633" s="4">
        <f t="shared" si="329"/>
        <v>4</v>
      </c>
      <c r="BI633" s="4">
        <f t="shared" si="330"/>
        <v>4</v>
      </c>
      <c r="BJ633" s="4">
        <f t="shared" si="331"/>
        <v>2</v>
      </c>
      <c r="BK633" s="4">
        <f t="shared" si="332"/>
        <v>4</v>
      </c>
      <c r="BL633" s="4">
        <f t="shared" si="333"/>
        <v>2</v>
      </c>
      <c r="BM633" s="4">
        <f t="shared" si="334"/>
        <v>4</v>
      </c>
      <c r="BN633" s="4" t="str">
        <f t="shared" si="335"/>
        <v>0</v>
      </c>
      <c r="BO633" s="4">
        <f t="shared" si="336"/>
        <v>4</v>
      </c>
      <c r="BP633" s="4">
        <f t="shared" si="337"/>
        <v>4</v>
      </c>
      <c r="BQ633" s="4">
        <f t="shared" si="338"/>
        <v>6</v>
      </c>
      <c r="BR633" s="4">
        <f t="shared" si="339"/>
        <v>4</v>
      </c>
      <c r="BS633" s="4">
        <f t="shared" si="340"/>
        <v>4</v>
      </c>
      <c r="BT633" s="4">
        <f t="shared" si="341"/>
        <v>4</v>
      </c>
      <c r="BU633" s="4">
        <f t="shared" si="342"/>
        <v>4</v>
      </c>
      <c r="BV633" s="4" t="str">
        <f t="shared" si="343"/>
        <v>0</v>
      </c>
      <c r="BW633" s="4">
        <f t="shared" si="344"/>
        <v>6</v>
      </c>
      <c r="BX633" s="4">
        <f t="shared" si="345"/>
        <v>0</v>
      </c>
      <c r="BY633" s="4">
        <f t="shared" si="346"/>
        <v>0</v>
      </c>
      <c r="BZ633" s="37">
        <f t="shared" si="347"/>
        <v>84</v>
      </c>
      <c r="CA633" s="32" t="str">
        <f>VLOOKUP(J:J,'Agent wise'!A:C,3,0)</f>
        <v xml:space="preserve">Shiny </v>
      </c>
      <c r="CB633" s="32">
        <f t="shared" si="348"/>
        <v>45942</v>
      </c>
      <c r="CC633" t="str">
        <f t="shared" si="349"/>
        <v>FC</v>
      </c>
      <c r="CE633" s="32"/>
      <c r="CJ633">
        <f t="shared" si="350"/>
        <v>12</v>
      </c>
      <c r="CK633">
        <f t="shared" si="351"/>
        <v>10</v>
      </c>
      <c r="CL633">
        <f t="shared" si="352"/>
        <v>2025</v>
      </c>
    </row>
    <row r="634" spans="1:90" ht="15" customHeight="1" x14ac:dyDescent="0.35">
      <c r="A634" s="40">
        <v>46001.499212962961</v>
      </c>
      <c r="B634" t="s">
        <v>177</v>
      </c>
      <c r="C634" t="s">
        <v>214</v>
      </c>
      <c r="D634" t="s">
        <v>178</v>
      </c>
      <c r="E634" s="32">
        <v>45935</v>
      </c>
      <c r="F634" t="s">
        <v>54</v>
      </c>
      <c r="G634" s="32">
        <v>45934</v>
      </c>
      <c r="H634">
        <v>9496922866</v>
      </c>
      <c r="I634">
        <v>114</v>
      </c>
      <c r="J634" t="s">
        <v>442</v>
      </c>
      <c r="K634" t="s">
        <v>57</v>
      </c>
      <c r="L634" t="s">
        <v>58</v>
      </c>
      <c r="M634" t="s">
        <v>59</v>
      </c>
      <c r="N634" t="s">
        <v>59</v>
      </c>
      <c r="O634" t="s">
        <v>59</v>
      </c>
      <c r="P634" t="s">
        <v>59</v>
      </c>
      <c r="Q634" t="s">
        <v>59</v>
      </c>
      <c r="R634" t="s">
        <v>59</v>
      </c>
      <c r="S634" t="s">
        <v>59</v>
      </c>
      <c r="T634" t="s">
        <v>59</v>
      </c>
      <c r="U634" t="s">
        <v>59</v>
      </c>
      <c r="V634" t="s">
        <v>59</v>
      </c>
      <c r="W634" t="s">
        <v>59</v>
      </c>
      <c r="X634" t="s">
        <v>59</v>
      </c>
      <c r="Y634" t="s">
        <v>59</v>
      </c>
      <c r="Z634" t="s">
        <v>59</v>
      </c>
      <c r="AA634" t="s">
        <v>59</v>
      </c>
      <c r="AB634" t="s">
        <v>59</v>
      </c>
      <c r="AC634" t="s">
        <v>59</v>
      </c>
      <c r="AD634" t="s">
        <v>59</v>
      </c>
      <c r="AE634" t="s">
        <v>59</v>
      </c>
      <c r="AF634" t="s">
        <v>59</v>
      </c>
      <c r="AG634" t="s">
        <v>59</v>
      </c>
      <c r="AH634" t="s">
        <v>61</v>
      </c>
      <c r="AI634" t="s">
        <v>61</v>
      </c>
      <c r="AJ634" t="s">
        <v>59</v>
      </c>
      <c r="AK634" t="s">
        <v>59</v>
      </c>
      <c r="AL634" t="s">
        <v>60</v>
      </c>
      <c r="AM634" t="s">
        <v>59</v>
      </c>
      <c r="AN634" t="s">
        <v>59</v>
      </c>
      <c r="AO634" t="s">
        <v>59</v>
      </c>
      <c r="AP634" t="s">
        <v>37</v>
      </c>
      <c r="AQ634" t="s">
        <v>1408</v>
      </c>
      <c r="AR634" t="s">
        <v>64</v>
      </c>
      <c r="AS634" t="s">
        <v>175</v>
      </c>
      <c r="AT634" t="s">
        <v>558</v>
      </c>
      <c r="AU634" t="s">
        <v>219</v>
      </c>
      <c r="AW634" s="4">
        <f t="shared" si="318"/>
        <v>6</v>
      </c>
      <c r="AX634" s="4">
        <f t="shared" si="319"/>
        <v>4</v>
      </c>
      <c r="AY634" s="4">
        <f t="shared" si="320"/>
        <v>4</v>
      </c>
      <c r="AZ634" s="4">
        <f t="shared" si="321"/>
        <v>2</v>
      </c>
      <c r="BA634" s="4">
        <f t="shared" si="322"/>
        <v>4</v>
      </c>
      <c r="BB634" s="4">
        <f t="shared" si="323"/>
        <v>4</v>
      </c>
      <c r="BC634" s="4">
        <f t="shared" si="324"/>
        <v>4</v>
      </c>
      <c r="BD634" s="4">
        <f t="shared" si="325"/>
        <v>2</v>
      </c>
      <c r="BE634" s="4">
        <f t="shared" si="326"/>
        <v>4</v>
      </c>
      <c r="BF634" s="4">
        <f t="shared" si="327"/>
        <v>2</v>
      </c>
      <c r="BG634" s="4">
        <f t="shared" si="328"/>
        <v>4</v>
      </c>
      <c r="BH634" s="4">
        <f t="shared" si="329"/>
        <v>4</v>
      </c>
      <c r="BI634" s="4">
        <f t="shared" si="330"/>
        <v>4</v>
      </c>
      <c r="BJ634" s="4">
        <f t="shared" si="331"/>
        <v>2</v>
      </c>
      <c r="BK634" s="4">
        <f t="shared" si="332"/>
        <v>4</v>
      </c>
      <c r="BL634" s="4">
        <f t="shared" si="333"/>
        <v>2</v>
      </c>
      <c r="BM634" s="4">
        <f t="shared" si="334"/>
        <v>4</v>
      </c>
      <c r="BN634" s="4">
        <f t="shared" si="335"/>
        <v>4</v>
      </c>
      <c r="BO634" s="4">
        <f t="shared" si="336"/>
        <v>4</v>
      </c>
      <c r="BP634" s="4">
        <f t="shared" si="337"/>
        <v>4</v>
      </c>
      <c r="BQ634" s="4">
        <f t="shared" si="338"/>
        <v>6</v>
      </c>
      <c r="BR634" s="4">
        <f t="shared" si="339"/>
        <v>4</v>
      </c>
      <c r="BS634" s="4">
        <f t="shared" si="340"/>
        <v>4</v>
      </c>
      <c r="BT634" s="4">
        <f t="shared" si="341"/>
        <v>4</v>
      </c>
      <c r="BU634" s="4">
        <f t="shared" si="342"/>
        <v>4</v>
      </c>
      <c r="BV634" s="4" t="str">
        <f t="shared" si="343"/>
        <v>0</v>
      </c>
      <c r="BW634" s="4">
        <f t="shared" si="344"/>
        <v>6</v>
      </c>
      <c r="BX634" s="4">
        <f t="shared" si="345"/>
        <v>0</v>
      </c>
      <c r="BY634" s="4">
        <f t="shared" si="346"/>
        <v>0</v>
      </c>
      <c r="BZ634" s="37">
        <f t="shared" si="347"/>
        <v>100</v>
      </c>
      <c r="CA634" s="32" t="str">
        <f>VLOOKUP(J:J,'Agent wise'!A:C,3,0)</f>
        <v>Shakeer</v>
      </c>
      <c r="CB634" s="32">
        <f t="shared" si="348"/>
        <v>45935</v>
      </c>
      <c r="CC634" t="str">
        <f t="shared" si="349"/>
        <v>Excellent</v>
      </c>
      <c r="CE634" s="32"/>
      <c r="CJ634">
        <f t="shared" si="350"/>
        <v>5</v>
      </c>
      <c r="CK634">
        <f t="shared" si="351"/>
        <v>10</v>
      </c>
      <c r="CL634">
        <f t="shared" si="352"/>
        <v>2025</v>
      </c>
    </row>
    <row r="635" spans="1:90" ht="15" customHeight="1" x14ac:dyDescent="0.35">
      <c r="A635" s="40">
        <v>46001.500717592593</v>
      </c>
      <c r="B635" t="s">
        <v>100</v>
      </c>
      <c r="C635" t="s">
        <v>214</v>
      </c>
      <c r="D635" t="s">
        <v>101</v>
      </c>
      <c r="E635" s="32">
        <v>45942</v>
      </c>
      <c r="F635" t="s">
        <v>222</v>
      </c>
      <c r="G635" s="32">
        <v>45939</v>
      </c>
      <c r="H635">
        <v>9444039381</v>
      </c>
      <c r="I635">
        <v>158</v>
      </c>
      <c r="J635" t="s">
        <v>439</v>
      </c>
      <c r="K635" t="s">
        <v>86</v>
      </c>
      <c r="L635" t="s">
        <v>72</v>
      </c>
      <c r="M635" t="s">
        <v>59</v>
      </c>
      <c r="N635" t="s">
        <v>59</v>
      </c>
      <c r="O635" t="s">
        <v>60</v>
      </c>
      <c r="P635" t="s">
        <v>59</v>
      </c>
      <c r="Q635" t="s">
        <v>59</v>
      </c>
      <c r="R635" t="s">
        <v>60</v>
      </c>
      <c r="S635" t="s">
        <v>59</v>
      </c>
      <c r="T635" t="s">
        <v>59</v>
      </c>
      <c r="U635" t="s">
        <v>59</v>
      </c>
      <c r="V635" t="s">
        <v>59</v>
      </c>
      <c r="W635" t="s">
        <v>59</v>
      </c>
      <c r="X635" t="s">
        <v>59</v>
      </c>
      <c r="Y635" t="s">
        <v>59</v>
      </c>
      <c r="Z635" t="s">
        <v>59</v>
      </c>
      <c r="AA635" t="s">
        <v>60</v>
      </c>
      <c r="AB635" t="s">
        <v>60</v>
      </c>
      <c r="AC635" t="s">
        <v>61</v>
      </c>
      <c r="AD635" t="s">
        <v>61</v>
      </c>
      <c r="AE635" t="s">
        <v>59</v>
      </c>
      <c r="AF635" t="s">
        <v>59</v>
      </c>
      <c r="AG635" t="s">
        <v>59</v>
      </c>
      <c r="AH635" t="s">
        <v>61</v>
      </c>
      <c r="AI635" t="s">
        <v>61</v>
      </c>
      <c r="AJ635" t="s">
        <v>59</v>
      </c>
      <c r="AK635" t="s">
        <v>59</v>
      </c>
      <c r="AL635" t="s">
        <v>59</v>
      </c>
      <c r="AM635" t="s">
        <v>59</v>
      </c>
      <c r="AN635" t="s">
        <v>59</v>
      </c>
      <c r="AO635" t="s">
        <v>59</v>
      </c>
      <c r="AP635" t="s">
        <v>798</v>
      </c>
      <c r="AQ635" s="1" t="s">
        <v>1409</v>
      </c>
      <c r="AR635" t="s">
        <v>226</v>
      </c>
      <c r="AS635" t="s">
        <v>352</v>
      </c>
      <c r="AT635" t="s">
        <v>352</v>
      </c>
      <c r="AU635" t="s">
        <v>387</v>
      </c>
      <c r="AW635" s="4">
        <f t="shared" si="318"/>
        <v>6</v>
      </c>
      <c r="AX635" s="4">
        <f t="shared" si="319"/>
        <v>4</v>
      </c>
      <c r="AY635" s="4" t="str">
        <f t="shared" si="320"/>
        <v>0</v>
      </c>
      <c r="AZ635" s="4">
        <f t="shared" si="321"/>
        <v>2</v>
      </c>
      <c r="BA635" s="4">
        <f t="shared" si="322"/>
        <v>4</v>
      </c>
      <c r="BB635" s="4" t="str">
        <f t="shared" si="323"/>
        <v>0</v>
      </c>
      <c r="BC635" s="4">
        <f t="shared" si="324"/>
        <v>4</v>
      </c>
      <c r="BD635" s="4">
        <f t="shared" si="325"/>
        <v>2</v>
      </c>
      <c r="BE635" s="4">
        <f t="shared" si="326"/>
        <v>4</v>
      </c>
      <c r="BF635" s="4">
        <f t="shared" si="327"/>
        <v>2</v>
      </c>
      <c r="BG635" s="4">
        <f t="shared" si="328"/>
        <v>4</v>
      </c>
      <c r="BH635" s="4">
        <f t="shared" si="329"/>
        <v>4</v>
      </c>
      <c r="BI635" s="4">
        <f t="shared" si="330"/>
        <v>4</v>
      </c>
      <c r="BJ635" s="4">
        <f t="shared" si="331"/>
        <v>2</v>
      </c>
      <c r="BK635" s="4" t="str">
        <f t="shared" si="332"/>
        <v>0</v>
      </c>
      <c r="BL635" s="4" t="str">
        <f t="shared" si="333"/>
        <v>0</v>
      </c>
      <c r="BM635" s="4">
        <f t="shared" si="334"/>
        <v>4</v>
      </c>
      <c r="BN635" s="4">
        <f t="shared" si="335"/>
        <v>4</v>
      </c>
      <c r="BO635" s="4">
        <f t="shared" si="336"/>
        <v>4</v>
      </c>
      <c r="BP635" s="4">
        <f t="shared" si="337"/>
        <v>4</v>
      </c>
      <c r="BQ635" s="4">
        <f t="shared" si="338"/>
        <v>6</v>
      </c>
      <c r="BR635" s="4">
        <f t="shared" si="339"/>
        <v>4</v>
      </c>
      <c r="BS635" s="4">
        <f t="shared" si="340"/>
        <v>4</v>
      </c>
      <c r="BT635" s="4">
        <f t="shared" si="341"/>
        <v>4</v>
      </c>
      <c r="BU635" s="4">
        <f t="shared" si="342"/>
        <v>4</v>
      </c>
      <c r="BV635" s="4">
        <f t="shared" si="343"/>
        <v>0</v>
      </c>
      <c r="BW635" s="4">
        <f t="shared" si="344"/>
        <v>6</v>
      </c>
      <c r="BX635" s="4">
        <f t="shared" si="345"/>
        <v>0</v>
      </c>
      <c r="BY635" s="4">
        <f t="shared" si="346"/>
        <v>0</v>
      </c>
      <c r="BZ635" s="37">
        <f t="shared" si="347"/>
        <v>86</v>
      </c>
      <c r="CA635" s="32" t="str">
        <f>VLOOKUP(J:J,'Agent wise'!A:C,3,0)</f>
        <v>Saran S</v>
      </c>
      <c r="CB635" s="32">
        <f t="shared" si="348"/>
        <v>45942</v>
      </c>
      <c r="CC635" t="str">
        <f t="shared" si="349"/>
        <v>Average</v>
      </c>
      <c r="CE635" s="32"/>
      <c r="CJ635">
        <f t="shared" si="350"/>
        <v>12</v>
      </c>
      <c r="CK635">
        <f t="shared" si="351"/>
        <v>10</v>
      </c>
      <c r="CL635">
        <f t="shared" si="352"/>
        <v>2025</v>
      </c>
    </row>
    <row r="636" spans="1:90" ht="15" customHeight="1" x14ac:dyDescent="0.35">
      <c r="A636" s="40">
        <v>46001.510254629633</v>
      </c>
      <c r="B636" t="s">
        <v>100</v>
      </c>
      <c r="C636" t="s">
        <v>214</v>
      </c>
      <c r="D636" t="s">
        <v>101</v>
      </c>
      <c r="E636" s="32">
        <v>45942</v>
      </c>
      <c r="F636" t="s">
        <v>222</v>
      </c>
      <c r="G636" s="32">
        <v>45939</v>
      </c>
      <c r="H636">
        <v>9500621603</v>
      </c>
      <c r="I636">
        <v>166</v>
      </c>
      <c r="J636" t="s">
        <v>575</v>
      </c>
      <c r="K636" t="s">
        <v>71</v>
      </c>
      <c r="L636" t="s">
        <v>72</v>
      </c>
      <c r="M636" t="s">
        <v>59</v>
      </c>
      <c r="N636" t="s">
        <v>59</v>
      </c>
      <c r="O636" t="s">
        <v>59</v>
      </c>
      <c r="P636" t="s">
        <v>59</v>
      </c>
      <c r="Q636" t="s">
        <v>59</v>
      </c>
      <c r="R636" t="s">
        <v>59</v>
      </c>
      <c r="S636" t="s">
        <v>59</v>
      </c>
      <c r="T636" t="s">
        <v>59</v>
      </c>
      <c r="U636" t="s">
        <v>59</v>
      </c>
      <c r="V636" t="s">
        <v>59</v>
      </c>
      <c r="W636" t="s">
        <v>59</v>
      </c>
      <c r="X636" t="s">
        <v>59</v>
      </c>
      <c r="Y636" t="s">
        <v>59</v>
      </c>
      <c r="Z636" t="s">
        <v>59</v>
      </c>
      <c r="AA636" t="s">
        <v>60</v>
      </c>
      <c r="AB636" t="s">
        <v>60</v>
      </c>
      <c r="AC636" t="s">
        <v>61</v>
      </c>
      <c r="AD636" t="s">
        <v>61</v>
      </c>
      <c r="AE636" t="s">
        <v>59</v>
      </c>
      <c r="AF636" t="s">
        <v>59</v>
      </c>
      <c r="AG636" t="s">
        <v>59</v>
      </c>
      <c r="AH636" t="s">
        <v>61</v>
      </c>
      <c r="AI636" t="s">
        <v>60</v>
      </c>
      <c r="AJ636" t="s">
        <v>59</v>
      </c>
      <c r="AK636" t="s">
        <v>59</v>
      </c>
      <c r="AL636" t="s">
        <v>59</v>
      </c>
      <c r="AM636" t="s">
        <v>59</v>
      </c>
      <c r="AN636" t="s">
        <v>59</v>
      </c>
      <c r="AO636" t="s">
        <v>59</v>
      </c>
      <c r="AP636" t="s">
        <v>798</v>
      </c>
      <c r="AQ636" s="1" t="s">
        <v>1410</v>
      </c>
      <c r="AR636" t="s">
        <v>226</v>
      </c>
      <c r="AS636" t="s">
        <v>352</v>
      </c>
      <c r="AT636" t="s">
        <v>352</v>
      </c>
      <c r="AU636" t="s">
        <v>299</v>
      </c>
      <c r="AW636" s="4">
        <f t="shared" si="318"/>
        <v>6</v>
      </c>
      <c r="AX636" s="4">
        <f t="shared" si="319"/>
        <v>4</v>
      </c>
      <c r="AY636" s="4">
        <f t="shared" si="320"/>
        <v>4</v>
      </c>
      <c r="AZ636" s="4">
        <f t="shared" si="321"/>
        <v>2</v>
      </c>
      <c r="BA636" s="4">
        <f t="shared" si="322"/>
        <v>4</v>
      </c>
      <c r="BB636" s="4">
        <f t="shared" si="323"/>
        <v>4</v>
      </c>
      <c r="BC636" s="4">
        <f t="shared" si="324"/>
        <v>4</v>
      </c>
      <c r="BD636" s="4">
        <f t="shared" si="325"/>
        <v>2</v>
      </c>
      <c r="BE636" s="4">
        <f t="shared" si="326"/>
        <v>4</v>
      </c>
      <c r="BF636" s="4">
        <f t="shared" si="327"/>
        <v>2</v>
      </c>
      <c r="BG636" s="4">
        <f t="shared" si="328"/>
        <v>4</v>
      </c>
      <c r="BH636" s="4">
        <f t="shared" si="329"/>
        <v>4</v>
      </c>
      <c r="BI636" s="4">
        <f t="shared" si="330"/>
        <v>4</v>
      </c>
      <c r="BJ636" s="4">
        <f t="shared" si="331"/>
        <v>2</v>
      </c>
      <c r="BK636" s="4" t="str">
        <f t="shared" si="332"/>
        <v>0</v>
      </c>
      <c r="BL636" s="4" t="str">
        <f t="shared" si="333"/>
        <v>0</v>
      </c>
      <c r="BM636" s="4">
        <f t="shared" si="334"/>
        <v>4</v>
      </c>
      <c r="BN636" s="4">
        <f t="shared" si="335"/>
        <v>4</v>
      </c>
      <c r="BO636" s="4">
        <f t="shared" si="336"/>
        <v>4</v>
      </c>
      <c r="BP636" s="4">
        <f t="shared" si="337"/>
        <v>4</v>
      </c>
      <c r="BQ636" s="4">
        <f t="shared" si="338"/>
        <v>6</v>
      </c>
      <c r="BR636" s="4">
        <f t="shared" si="339"/>
        <v>4</v>
      </c>
      <c r="BS636" s="4" t="str">
        <f t="shared" si="340"/>
        <v>0</v>
      </c>
      <c r="BT636" s="4">
        <f t="shared" si="341"/>
        <v>4</v>
      </c>
      <c r="BU636" s="4">
        <f t="shared" si="342"/>
        <v>4</v>
      </c>
      <c r="BV636" s="4">
        <f t="shared" si="343"/>
        <v>0</v>
      </c>
      <c r="BW636" s="4">
        <f t="shared" si="344"/>
        <v>6</v>
      </c>
      <c r="BX636" s="4">
        <f t="shared" si="345"/>
        <v>0</v>
      </c>
      <c r="BY636" s="4">
        <f t="shared" si="346"/>
        <v>0</v>
      </c>
      <c r="BZ636" s="37">
        <f t="shared" si="347"/>
        <v>90</v>
      </c>
      <c r="CA636" s="32" t="str">
        <f>VLOOKUP(J:J,'Agent wise'!A:C,3,0)</f>
        <v>Shakeer</v>
      </c>
      <c r="CB636" s="32">
        <f t="shared" si="348"/>
        <v>45942</v>
      </c>
      <c r="CC636" t="str">
        <f t="shared" si="349"/>
        <v>Good</v>
      </c>
      <c r="CE636" s="32"/>
      <c r="CJ636">
        <f t="shared" si="350"/>
        <v>12</v>
      </c>
      <c r="CK636">
        <f t="shared" si="351"/>
        <v>10</v>
      </c>
      <c r="CL636">
        <f t="shared" si="352"/>
        <v>2025</v>
      </c>
    </row>
    <row r="637" spans="1:90" ht="15" customHeight="1" x14ac:dyDescent="0.35">
      <c r="A637" s="40">
        <v>46001.517175925917</v>
      </c>
      <c r="B637" t="s">
        <v>100</v>
      </c>
      <c r="C637" t="s">
        <v>214</v>
      </c>
      <c r="D637" t="s">
        <v>101</v>
      </c>
      <c r="E637" s="32">
        <v>45942</v>
      </c>
      <c r="F637" t="s">
        <v>222</v>
      </c>
      <c r="G637" s="32">
        <v>45939</v>
      </c>
      <c r="H637">
        <v>6380146663</v>
      </c>
      <c r="I637">
        <v>196</v>
      </c>
      <c r="J637" t="s">
        <v>208</v>
      </c>
      <c r="K637" t="s">
        <v>86</v>
      </c>
      <c r="L637" t="s">
        <v>72</v>
      </c>
      <c r="M637" t="s">
        <v>59</v>
      </c>
      <c r="N637" t="s">
        <v>59</v>
      </c>
      <c r="O637" t="s">
        <v>59</v>
      </c>
      <c r="P637" t="s">
        <v>59</v>
      </c>
      <c r="Q637" t="s">
        <v>59</v>
      </c>
      <c r="R637" t="s">
        <v>60</v>
      </c>
      <c r="S637" t="s">
        <v>59</v>
      </c>
      <c r="T637" t="s">
        <v>59</v>
      </c>
      <c r="U637" t="s">
        <v>59</v>
      </c>
      <c r="V637" t="s">
        <v>59</v>
      </c>
      <c r="W637" t="s">
        <v>59</v>
      </c>
      <c r="X637" t="s">
        <v>59</v>
      </c>
      <c r="Y637" t="s">
        <v>59</v>
      </c>
      <c r="Z637" t="s">
        <v>59</v>
      </c>
      <c r="AA637" t="s">
        <v>59</v>
      </c>
      <c r="AB637" t="s">
        <v>59</v>
      </c>
      <c r="AC637" t="s">
        <v>59</v>
      </c>
      <c r="AD637" t="s">
        <v>61</v>
      </c>
      <c r="AE637" t="s">
        <v>59</v>
      </c>
      <c r="AF637" t="s">
        <v>59</v>
      </c>
      <c r="AG637" t="s">
        <v>59</v>
      </c>
      <c r="AH637" t="s">
        <v>59</v>
      </c>
      <c r="AI637" t="s">
        <v>60</v>
      </c>
      <c r="AJ637" t="s">
        <v>59</v>
      </c>
      <c r="AK637" t="s">
        <v>59</v>
      </c>
      <c r="AL637" t="s">
        <v>59</v>
      </c>
      <c r="AM637" t="s">
        <v>59</v>
      </c>
      <c r="AN637" t="s">
        <v>59</v>
      </c>
      <c r="AO637" t="s">
        <v>59</v>
      </c>
      <c r="AP637" t="s">
        <v>1376</v>
      </c>
      <c r="AQ637" s="1" t="s">
        <v>1411</v>
      </c>
      <c r="AR637" t="s">
        <v>226</v>
      </c>
      <c r="AS637" t="s">
        <v>352</v>
      </c>
      <c r="AT637" t="s">
        <v>352</v>
      </c>
      <c r="AU637" t="s">
        <v>299</v>
      </c>
      <c r="AW637" s="4">
        <f t="shared" si="318"/>
        <v>6</v>
      </c>
      <c r="AX637" s="4">
        <f t="shared" si="319"/>
        <v>4</v>
      </c>
      <c r="AY637" s="4">
        <f t="shared" si="320"/>
        <v>4</v>
      </c>
      <c r="AZ637" s="4">
        <f t="shared" si="321"/>
        <v>2</v>
      </c>
      <c r="BA637" s="4">
        <f t="shared" si="322"/>
        <v>4</v>
      </c>
      <c r="BB637" s="4" t="str">
        <f t="shared" si="323"/>
        <v>0</v>
      </c>
      <c r="BC637" s="4">
        <f t="shared" si="324"/>
        <v>4</v>
      </c>
      <c r="BD637" s="4">
        <f t="shared" si="325"/>
        <v>2</v>
      </c>
      <c r="BE637" s="4">
        <f t="shared" si="326"/>
        <v>4</v>
      </c>
      <c r="BF637" s="4">
        <f t="shared" si="327"/>
        <v>2</v>
      </c>
      <c r="BG637" s="4">
        <f t="shared" si="328"/>
        <v>4</v>
      </c>
      <c r="BH637" s="4">
        <f t="shared" si="329"/>
        <v>4</v>
      </c>
      <c r="BI637" s="4">
        <f t="shared" si="330"/>
        <v>4</v>
      </c>
      <c r="BJ637" s="4">
        <f t="shared" si="331"/>
        <v>2</v>
      </c>
      <c r="BK637" s="4">
        <f t="shared" si="332"/>
        <v>4</v>
      </c>
      <c r="BL637" s="4">
        <f t="shared" si="333"/>
        <v>2</v>
      </c>
      <c r="BM637" s="4">
        <f t="shared" si="334"/>
        <v>4</v>
      </c>
      <c r="BN637" s="4">
        <f t="shared" si="335"/>
        <v>4</v>
      </c>
      <c r="BO637" s="4">
        <f t="shared" si="336"/>
        <v>4</v>
      </c>
      <c r="BP637" s="4">
        <f t="shared" si="337"/>
        <v>4</v>
      </c>
      <c r="BQ637" s="4">
        <f t="shared" si="338"/>
        <v>6</v>
      </c>
      <c r="BR637" s="4">
        <f t="shared" si="339"/>
        <v>4</v>
      </c>
      <c r="BS637" s="4" t="str">
        <f t="shared" si="340"/>
        <v>0</v>
      </c>
      <c r="BT637" s="4">
        <f t="shared" si="341"/>
        <v>4</v>
      </c>
      <c r="BU637" s="4">
        <f t="shared" si="342"/>
        <v>4</v>
      </c>
      <c r="BV637" s="4">
        <f t="shared" si="343"/>
        <v>0</v>
      </c>
      <c r="BW637" s="4">
        <f t="shared" si="344"/>
        <v>6</v>
      </c>
      <c r="BX637" s="4">
        <f t="shared" si="345"/>
        <v>0</v>
      </c>
      <c r="BY637" s="4">
        <f t="shared" si="346"/>
        <v>0</v>
      </c>
      <c r="BZ637" s="37">
        <f t="shared" si="347"/>
        <v>92</v>
      </c>
      <c r="CA637" s="32" t="str">
        <f>VLOOKUP(J:J,'Agent wise'!A:C,3,0)</f>
        <v>Adharsh</v>
      </c>
      <c r="CB637" s="32">
        <f t="shared" si="348"/>
        <v>45942</v>
      </c>
      <c r="CC637" t="str">
        <f t="shared" si="349"/>
        <v>Good</v>
      </c>
      <c r="CE637" s="32"/>
      <c r="CJ637">
        <f t="shared" si="350"/>
        <v>12</v>
      </c>
      <c r="CK637">
        <f t="shared" si="351"/>
        <v>10</v>
      </c>
      <c r="CL637">
        <f t="shared" si="352"/>
        <v>2025</v>
      </c>
    </row>
    <row r="638" spans="1:90" ht="15" customHeight="1" x14ac:dyDescent="0.35">
      <c r="A638" s="40">
        <v>46001.547002314823</v>
      </c>
      <c r="B638" t="s">
        <v>100</v>
      </c>
      <c r="C638" t="s">
        <v>214</v>
      </c>
      <c r="D638" t="s">
        <v>101</v>
      </c>
      <c r="E638" s="32">
        <v>45942</v>
      </c>
      <c r="F638" t="s">
        <v>222</v>
      </c>
      <c r="G638" s="32">
        <v>45939</v>
      </c>
      <c r="H638">
        <v>7449150241</v>
      </c>
      <c r="I638">
        <v>156</v>
      </c>
      <c r="J638" t="s">
        <v>501</v>
      </c>
      <c r="K638" t="s">
        <v>71</v>
      </c>
      <c r="L638" t="s">
        <v>72</v>
      </c>
      <c r="M638" t="s">
        <v>59</v>
      </c>
      <c r="N638" t="s">
        <v>59</v>
      </c>
      <c r="O638" t="s">
        <v>59</v>
      </c>
      <c r="P638" t="s">
        <v>59</v>
      </c>
      <c r="Q638" t="s">
        <v>59</v>
      </c>
      <c r="R638" t="s">
        <v>60</v>
      </c>
      <c r="S638" t="s">
        <v>59</v>
      </c>
      <c r="T638" t="s">
        <v>59</v>
      </c>
      <c r="U638" t="s">
        <v>59</v>
      </c>
      <c r="V638" t="s">
        <v>59</v>
      </c>
      <c r="W638" t="s">
        <v>59</v>
      </c>
      <c r="X638" t="s">
        <v>59</v>
      </c>
      <c r="Y638" t="s">
        <v>59</v>
      </c>
      <c r="Z638" t="s">
        <v>59</v>
      </c>
      <c r="AA638" t="s">
        <v>60</v>
      </c>
      <c r="AB638" t="s">
        <v>59</v>
      </c>
      <c r="AC638" t="s">
        <v>59</v>
      </c>
      <c r="AD638" t="s">
        <v>59</v>
      </c>
      <c r="AE638" t="s">
        <v>59</v>
      </c>
      <c r="AF638" t="s">
        <v>59</v>
      </c>
      <c r="AG638" t="s">
        <v>59</v>
      </c>
      <c r="AH638" t="s">
        <v>59</v>
      </c>
      <c r="AI638" t="s">
        <v>61</v>
      </c>
      <c r="AJ638" t="s">
        <v>59</v>
      </c>
      <c r="AK638" t="s">
        <v>59</v>
      </c>
      <c r="AL638" t="s">
        <v>59</v>
      </c>
      <c r="AM638" t="s">
        <v>59</v>
      </c>
      <c r="AN638" t="s">
        <v>59</v>
      </c>
      <c r="AO638" t="s">
        <v>59</v>
      </c>
      <c r="AP638" t="s">
        <v>1039</v>
      </c>
      <c r="AQ638" s="1" t="s">
        <v>1412</v>
      </c>
      <c r="AR638" t="s">
        <v>226</v>
      </c>
      <c r="AS638" t="s">
        <v>352</v>
      </c>
      <c r="AT638" t="s">
        <v>352</v>
      </c>
      <c r="AU638" t="s">
        <v>299</v>
      </c>
      <c r="AW638" s="4">
        <f t="shared" si="318"/>
        <v>6</v>
      </c>
      <c r="AX638" s="4">
        <f t="shared" si="319"/>
        <v>4</v>
      </c>
      <c r="AY638" s="4">
        <f t="shared" si="320"/>
        <v>4</v>
      </c>
      <c r="AZ638" s="4">
        <f t="shared" si="321"/>
        <v>2</v>
      </c>
      <c r="BA638" s="4">
        <f t="shared" si="322"/>
        <v>4</v>
      </c>
      <c r="BB638" s="4" t="str">
        <f t="shared" si="323"/>
        <v>0</v>
      </c>
      <c r="BC638" s="4">
        <f t="shared" si="324"/>
        <v>4</v>
      </c>
      <c r="BD638" s="4">
        <f t="shared" si="325"/>
        <v>2</v>
      </c>
      <c r="BE638" s="4">
        <f t="shared" si="326"/>
        <v>4</v>
      </c>
      <c r="BF638" s="4">
        <f t="shared" si="327"/>
        <v>2</v>
      </c>
      <c r="BG638" s="4">
        <f t="shared" si="328"/>
        <v>4</v>
      </c>
      <c r="BH638" s="4">
        <f t="shared" si="329"/>
        <v>4</v>
      </c>
      <c r="BI638" s="4">
        <f t="shared" si="330"/>
        <v>4</v>
      </c>
      <c r="BJ638" s="4">
        <f t="shared" si="331"/>
        <v>2</v>
      </c>
      <c r="BK638" s="4" t="str">
        <f t="shared" si="332"/>
        <v>0</v>
      </c>
      <c r="BL638" s="4">
        <f t="shared" si="333"/>
        <v>2</v>
      </c>
      <c r="BM638" s="4">
        <f t="shared" si="334"/>
        <v>4</v>
      </c>
      <c r="BN638" s="4">
        <f t="shared" si="335"/>
        <v>4</v>
      </c>
      <c r="BO638" s="4">
        <f t="shared" si="336"/>
        <v>4</v>
      </c>
      <c r="BP638" s="4">
        <f t="shared" si="337"/>
        <v>4</v>
      </c>
      <c r="BQ638" s="4">
        <f t="shared" si="338"/>
        <v>6</v>
      </c>
      <c r="BR638" s="4">
        <f t="shared" si="339"/>
        <v>4</v>
      </c>
      <c r="BS638" s="4">
        <f t="shared" si="340"/>
        <v>4</v>
      </c>
      <c r="BT638" s="4">
        <f t="shared" si="341"/>
        <v>4</v>
      </c>
      <c r="BU638" s="4">
        <f t="shared" si="342"/>
        <v>4</v>
      </c>
      <c r="BV638" s="4">
        <f t="shared" si="343"/>
        <v>0</v>
      </c>
      <c r="BW638" s="4">
        <f t="shared" si="344"/>
        <v>6</v>
      </c>
      <c r="BX638" s="4">
        <f t="shared" si="345"/>
        <v>0</v>
      </c>
      <c r="BY638" s="4">
        <f t="shared" si="346"/>
        <v>0</v>
      </c>
      <c r="BZ638" s="37">
        <f t="shared" si="347"/>
        <v>92</v>
      </c>
      <c r="CA638" s="32" t="str">
        <f>VLOOKUP(J:J,'Agent wise'!A:C,3,0)</f>
        <v>Amal</v>
      </c>
      <c r="CB638" s="32">
        <f t="shared" si="348"/>
        <v>45942</v>
      </c>
      <c r="CC638" t="str">
        <f t="shared" si="349"/>
        <v>Good</v>
      </c>
      <c r="CE638" s="32"/>
      <c r="CJ638">
        <f t="shared" si="350"/>
        <v>12</v>
      </c>
      <c r="CK638">
        <f t="shared" si="351"/>
        <v>10</v>
      </c>
      <c r="CL638">
        <f t="shared" si="352"/>
        <v>2025</v>
      </c>
    </row>
    <row r="639" spans="1:90" ht="15" customHeight="1" x14ac:dyDescent="0.35">
      <c r="A639" s="40">
        <v>46001.554571759261</v>
      </c>
      <c r="B639" t="s">
        <v>100</v>
      </c>
      <c r="C639" t="s">
        <v>214</v>
      </c>
      <c r="D639" t="s">
        <v>101</v>
      </c>
      <c r="E639" s="32">
        <v>45942</v>
      </c>
      <c r="F639" t="s">
        <v>222</v>
      </c>
      <c r="G639" s="32">
        <v>45940</v>
      </c>
      <c r="H639">
        <v>9497853433</v>
      </c>
      <c r="I639">
        <v>141</v>
      </c>
      <c r="J639" t="s">
        <v>501</v>
      </c>
      <c r="K639" t="s">
        <v>57</v>
      </c>
      <c r="L639" t="s">
        <v>58</v>
      </c>
      <c r="M639" t="s">
        <v>59</v>
      </c>
      <c r="N639" t="s">
        <v>59</v>
      </c>
      <c r="O639" t="s">
        <v>59</v>
      </c>
      <c r="P639" t="s">
        <v>59</v>
      </c>
      <c r="Q639" t="s">
        <v>59</v>
      </c>
      <c r="R639" t="s">
        <v>60</v>
      </c>
      <c r="S639" t="s">
        <v>60</v>
      </c>
      <c r="T639" t="s">
        <v>59</v>
      </c>
      <c r="U639" t="s">
        <v>59</v>
      </c>
      <c r="V639" t="s">
        <v>59</v>
      </c>
      <c r="W639" t="s">
        <v>59</v>
      </c>
      <c r="X639" t="s">
        <v>59</v>
      </c>
      <c r="Y639" t="s">
        <v>59</v>
      </c>
      <c r="Z639" t="s">
        <v>59</v>
      </c>
      <c r="AA639" t="s">
        <v>60</v>
      </c>
      <c r="AB639" t="s">
        <v>60</v>
      </c>
      <c r="AC639" t="s">
        <v>61</v>
      </c>
      <c r="AD639" t="s">
        <v>59</v>
      </c>
      <c r="AE639" t="s">
        <v>59</v>
      </c>
      <c r="AF639" t="s">
        <v>59</v>
      </c>
      <c r="AG639" t="s">
        <v>59</v>
      </c>
      <c r="AH639" t="s">
        <v>59</v>
      </c>
      <c r="AI639" t="s">
        <v>60</v>
      </c>
      <c r="AJ639" t="s">
        <v>59</v>
      </c>
      <c r="AK639" t="s">
        <v>59</v>
      </c>
      <c r="AL639" t="s">
        <v>59</v>
      </c>
      <c r="AM639" t="s">
        <v>59</v>
      </c>
      <c r="AN639" t="s">
        <v>59</v>
      </c>
      <c r="AO639" t="s">
        <v>59</v>
      </c>
      <c r="AP639" t="s">
        <v>798</v>
      </c>
      <c r="AQ639" s="1" t="s">
        <v>1413</v>
      </c>
      <c r="AR639" t="s">
        <v>226</v>
      </c>
      <c r="AS639" t="s">
        <v>352</v>
      </c>
      <c r="AT639" t="s">
        <v>352</v>
      </c>
      <c r="AU639" t="s">
        <v>299</v>
      </c>
      <c r="AW639" s="4">
        <f t="shared" si="318"/>
        <v>6</v>
      </c>
      <c r="AX639" s="4">
        <f t="shared" si="319"/>
        <v>4</v>
      </c>
      <c r="AY639" s="4">
        <f t="shared" si="320"/>
        <v>4</v>
      </c>
      <c r="AZ639" s="4">
        <f t="shared" si="321"/>
        <v>2</v>
      </c>
      <c r="BA639" s="4">
        <f t="shared" si="322"/>
        <v>4</v>
      </c>
      <c r="BB639" s="4" t="str">
        <f t="shared" si="323"/>
        <v>0</v>
      </c>
      <c r="BC639" s="4" t="str">
        <f t="shared" si="324"/>
        <v>0</v>
      </c>
      <c r="BD639" s="4">
        <f t="shared" si="325"/>
        <v>2</v>
      </c>
      <c r="BE639" s="4">
        <f t="shared" si="326"/>
        <v>4</v>
      </c>
      <c r="BF639" s="4">
        <f t="shared" si="327"/>
        <v>2</v>
      </c>
      <c r="BG639" s="4">
        <f t="shared" si="328"/>
        <v>4</v>
      </c>
      <c r="BH639" s="4">
        <f t="shared" si="329"/>
        <v>4</v>
      </c>
      <c r="BI639" s="4">
        <f t="shared" si="330"/>
        <v>4</v>
      </c>
      <c r="BJ639" s="4">
        <f t="shared" si="331"/>
        <v>2</v>
      </c>
      <c r="BK639" s="4" t="str">
        <f t="shared" si="332"/>
        <v>0</v>
      </c>
      <c r="BL639" s="4" t="str">
        <f t="shared" si="333"/>
        <v>0</v>
      </c>
      <c r="BM639" s="4">
        <f t="shared" si="334"/>
        <v>4</v>
      </c>
      <c r="BN639" s="4">
        <f t="shared" si="335"/>
        <v>4</v>
      </c>
      <c r="BO639" s="4">
        <f t="shared" si="336"/>
        <v>4</v>
      </c>
      <c r="BP639" s="4">
        <f t="shared" si="337"/>
        <v>4</v>
      </c>
      <c r="BQ639" s="4">
        <f t="shared" si="338"/>
        <v>6</v>
      </c>
      <c r="BR639" s="4">
        <f t="shared" si="339"/>
        <v>4</v>
      </c>
      <c r="BS639" s="4" t="str">
        <f t="shared" si="340"/>
        <v>0</v>
      </c>
      <c r="BT639" s="4">
        <f t="shared" si="341"/>
        <v>4</v>
      </c>
      <c r="BU639" s="4">
        <f t="shared" si="342"/>
        <v>4</v>
      </c>
      <c r="BV639" s="4">
        <f t="shared" si="343"/>
        <v>0</v>
      </c>
      <c r="BW639" s="4">
        <f t="shared" si="344"/>
        <v>6</v>
      </c>
      <c r="BX639" s="4">
        <f t="shared" si="345"/>
        <v>0</v>
      </c>
      <c r="BY639" s="4">
        <f t="shared" si="346"/>
        <v>0</v>
      </c>
      <c r="BZ639" s="37">
        <f t="shared" si="347"/>
        <v>82</v>
      </c>
      <c r="CA639" s="32" t="str">
        <f>VLOOKUP(J:J,'Agent wise'!A:C,3,0)</f>
        <v>Amal</v>
      </c>
      <c r="CB639" s="32">
        <f t="shared" si="348"/>
        <v>45942</v>
      </c>
      <c r="CC639" t="str">
        <f t="shared" si="349"/>
        <v>FC</v>
      </c>
      <c r="CE639" s="32"/>
      <c r="CJ639">
        <f t="shared" si="350"/>
        <v>12</v>
      </c>
      <c r="CK639">
        <f t="shared" si="351"/>
        <v>10</v>
      </c>
      <c r="CL639">
        <f t="shared" si="352"/>
        <v>2025</v>
      </c>
    </row>
    <row r="640" spans="1:90" ht="15" customHeight="1" x14ac:dyDescent="0.35">
      <c r="A640" s="40">
        <v>46001.559317129628</v>
      </c>
      <c r="B640" t="s">
        <v>100</v>
      </c>
      <c r="C640" t="s">
        <v>214</v>
      </c>
      <c r="D640" t="s">
        <v>101</v>
      </c>
      <c r="E640" s="32">
        <v>45942</v>
      </c>
      <c r="F640" t="s">
        <v>222</v>
      </c>
      <c r="G640" s="32">
        <v>45940</v>
      </c>
      <c r="H640">
        <v>8137865566</v>
      </c>
      <c r="I640">
        <v>165</v>
      </c>
      <c r="J640" t="s">
        <v>420</v>
      </c>
      <c r="K640" t="s">
        <v>57</v>
      </c>
      <c r="L640" t="s">
        <v>58</v>
      </c>
      <c r="M640" t="s">
        <v>59</v>
      </c>
      <c r="N640" t="s">
        <v>59</v>
      </c>
      <c r="O640" t="s">
        <v>59</v>
      </c>
      <c r="P640" t="s">
        <v>59</v>
      </c>
      <c r="Q640" t="s">
        <v>59</v>
      </c>
      <c r="R640" t="s">
        <v>59</v>
      </c>
      <c r="S640" t="s">
        <v>59</v>
      </c>
      <c r="T640" t="s">
        <v>59</v>
      </c>
      <c r="U640" t="s">
        <v>59</v>
      </c>
      <c r="V640" t="s">
        <v>59</v>
      </c>
      <c r="W640" t="s">
        <v>59</v>
      </c>
      <c r="X640" t="s">
        <v>59</v>
      </c>
      <c r="Y640" t="s">
        <v>59</v>
      </c>
      <c r="Z640" t="s">
        <v>59</v>
      </c>
      <c r="AA640" t="s">
        <v>59</v>
      </c>
      <c r="AB640" t="s">
        <v>60</v>
      </c>
      <c r="AC640" t="s">
        <v>59</v>
      </c>
      <c r="AD640" t="s">
        <v>59</v>
      </c>
      <c r="AE640" t="s">
        <v>59</v>
      </c>
      <c r="AF640" t="s">
        <v>59</v>
      </c>
      <c r="AG640" t="s">
        <v>59</v>
      </c>
      <c r="AH640" t="s">
        <v>59</v>
      </c>
      <c r="AI640" t="s">
        <v>61</v>
      </c>
      <c r="AJ640" t="s">
        <v>59</v>
      </c>
      <c r="AK640" t="s">
        <v>59</v>
      </c>
      <c r="AL640" t="s">
        <v>59</v>
      </c>
      <c r="AM640" t="s">
        <v>59</v>
      </c>
      <c r="AN640" t="s">
        <v>59</v>
      </c>
      <c r="AO640" t="s">
        <v>59</v>
      </c>
      <c r="AP640" t="s">
        <v>1414</v>
      </c>
      <c r="AQ640" s="1" t="s">
        <v>1415</v>
      </c>
      <c r="AR640" t="s">
        <v>226</v>
      </c>
      <c r="AS640" t="s">
        <v>352</v>
      </c>
      <c r="AT640" t="s">
        <v>352</v>
      </c>
      <c r="AU640" t="s">
        <v>219</v>
      </c>
      <c r="AW640" s="4">
        <f t="shared" si="318"/>
        <v>6</v>
      </c>
      <c r="AX640" s="4">
        <f t="shared" si="319"/>
        <v>4</v>
      </c>
      <c r="AY640" s="4">
        <f t="shared" si="320"/>
        <v>4</v>
      </c>
      <c r="AZ640" s="4">
        <f t="shared" si="321"/>
        <v>2</v>
      </c>
      <c r="BA640" s="4">
        <f t="shared" si="322"/>
        <v>4</v>
      </c>
      <c r="BB640" s="4">
        <f t="shared" si="323"/>
        <v>4</v>
      </c>
      <c r="BC640" s="4">
        <f t="shared" si="324"/>
        <v>4</v>
      </c>
      <c r="BD640" s="4">
        <f t="shared" si="325"/>
        <v>2</v>
      </c>
      <c r="BE640" s="4">
        <f t="shared" si="326"/>
        <v>4</v>
      </c>
      <c r="BF640" s="4">
        <f t="shared" si="327"/>
        <v>2</v>
      </c>
      <c r="BG640" s="4">
        <f t="shared" si="328"/>
        <v>4</v>
      </c>
      <c r="BH640" s="4">
        <f t="shared" si="329"/>
        <v>4</v>
      </c>
      <c r="BI640" s="4">
        <f t="shared" si="330"/>
        <v>4</v>
      </c>
      <c r="BJ640" s="4">
        <f t="shared" si="331"/>
        <v>2</v>
      </c>
      <c r="BK640" s="4">
        <f t="shared" si="332"/>
        <v>4</v>
      </c>
      <c r="BL640" s="4" t="str">
        <f t="shared" si="333"/>
        <v>0</v>
      </c>
      <c r="BM640" s="4">
        <f t="shared" si="334"/>
        <v>4</v>
      </c>
      <c r="BN640" s="4">
        <f t="shared" si="335"/>
        <v>4</v>
      </c>
      <c r="BO640" s="4">
        <f t="shared" si="336"/>
        <v>4</v>
      </c>
      <c r="BP640" s="4">
        <f t="shared" si="337"/>
        <v>4</v>
      </c>
      <c r="BQ640" s="4">
        <f t="shared" si="338"/>
        <v>6</v>
      </c>
      <c r="BR640" s="4">
        <f t="shared" si="339"/>
        <v>4</v>
      </c>
      <c r="BS640" s="4">
        <f t="shared" si="340"/>
        <v>4</v>
      </c>
      <c r="BT640" s="4">
        <f t="shared" si="341"/>
        <v>4</v>
      </c>
      <c r="BU640" s="4">
        <f t="shared" si="342"/>
        <v>4</v>
      </c>
      <c r="BV640" s="4">
        <f t="shared" si="343"/>
        <v>0</v>
      </c>
      <c r="BW640" s="4">
        <f t="shared" si="344"/>
        <v>6</v>
      </c>
      <c r="BX640" s="4">
        <f t="shared" si="345"/>
        <v>0</v>
      </c>
      <c r="BY640" s="4">
        <f t="shared" si="346"/>
        <v>0</v>
      </c>
      <c r="BZ640" s="37">
        <f t="shared" si="347"/>
        <v>98</v>
      </c>
      <c r="CA640" s="32" t="str">
        <f>VLOOKUP(J:J,'Agent wise'!A:C,3,0)</f>
        <v>Amal</v>
      </c>
      <c r="CB640" s="32">
        <f t="shared" si="348"/>
        <v>45942</v>
      </c>
      <c r="CC640" t="str">
        <f t="shared" si="349"/>
        <v>Excellent</v>
      </c>
      <c r="CE640" s="32"/>
      <c r="CJ640">
        <f t="shared" si="350"/>
        <v>12</v>
      </c>
      <c r="CK640">
        <f t="shared" si="351"/>
        <v>10</v>
      </c>
      <c r="CL640">
        <f t="shared" si="352"/>
        <v>2025</v>
      </c>
    </row>
    <row r="641" spans="1:90" ht="15" customHeight="1" x14ac:dyDescent="0.35">
      <c r="A641" s="40">
        <v>46001.563587962963</v>
      </c>
      <c r="B641" t="s">
        <v>100</v>
      </c>
      <c r="C641" t="s">
        <v>214</v>
      </c>
      <c r="D641" t="s">
        <v>101</v>
      </c>
      <c r="E641" s="32">
        <v>45942</v>
      </c>
      <c r="F641" t="s">
        <v>222</v>
      </c>
      <c r="G641" s="32">
        <v>45940</v>
      </c>
      <c r="H641">
        <v>6238600515</v>
      </c>
      <c r="I641">
        <v>168</v>
      </c>
      <c r="J641" t="s">
        <v>420</v>
      </c>
      <c r="K641" t="s">
        <v>57</v>
      </c>
      <c r="L641" t="s">
        <v>58</v>
      </c>
      <c r="M641" t="s">
        <v>59</v>
      </c>
      <c r="N641" t="s">
        <v>59</v>
      </c>
      <c r="O641" t="s">
        <v>59</v>
      </c>
      <c r="P641" t="s">
        <v>59</v>
      </c>
      <c r="Q641" t="s">
        <v>59</v>
      </c>
      <c r="R641" t="s">
        <v>59</v>
      </c>
      <c r="S641" t="s">
        <v>59</v>
      </c>
      <c r="T641" t="s">
        <v>59</v>
      </c>
      <c r="U641" t="s">
        <v>59</v>
      </c>
      <c r="V641" t="s">
        <v>59</v>
      </c>
      <c r="W641" t="s">
        <v>59</v>
      </c>
      <c r="X641" t="s">
        <v>59</v>
      </c>
      <c r="Y641" t="s">
        <v>59</v>
      </c>
      <c r="Z641" t="s">
        <v>59</v>
      </c>
      <c r="AA641" t="s">
        <v>59</v>
      </c>
      <c r="AB641" t="s">
        <v>60</v>
      </c>
      <c r="AC641" t="s">
        <v>59</v>
      </c>
      <c r="AD641" t="s">
        <v>59</v>
      </c>
      <c r="AE641" t="s">
        <v>59</v>
      </c>
      <c r="AF641" t="s">
        <v>59</v>
      </c>
      <c r="AG641" t="s">
        <v>59</v>
      </c>
      <c r="AH641" t="s">
        <v>59</v>
      </c>
      <c r="AI641" t="s">
        <v>61</v>
      </c>
      <c r="AJ641" t="s">
        <v>59</v>
      </c>
      <c r="AK641" t="s">
        <v>59</v>
      </c>
      <c r="AL641" t="s">
        <v>59</v>
      </c>
      <c r="AM641" t="s">
        <v>59</v>
      </c>
      <c r="AN641" t="s">
        <v>59</v>
      </c>
      <c r="AO641" t="s">
        <v>59</v>
      </c>
      <c r="AP641" t="s">
        <v>1416</v>
      </c>
      <c r="AQ641" s="1" t="s">
        <v>1417</v>
      </c>
      <c r="AR641" t="s">
        <v>226</v>
      </c>
      <c r="AS641" t="s">
        <v>352</v>
      </c>
      <c r="AT641" t="s">
        <v>352</v>
      </c>
      <c r="AU641" t="s">
        <v>219</v>
      </c>
      <c r="AW641" s="4">
        <f t="shared" si="318"/>
        <v>6</v>
      </c>
      <c r="AX641" s="4">
        <f t="shared" si="319"/>
        <v>4</v>
      </c>
      <c r="AY641" s="4">
        <f t="shared" si="320"/>
        <v>4</v>
      </c>
      <c r="AZ641" s="4">
        <f t="shared" si="321"/>
        <v>2</v>
      </c>
      <c r="BA641" s="4">
        <f t="shared" si="322"/>
        <v>4</v>
      </c>
      <c r="BB641" s="4">
        <f t="shared" si="323"/>
        <v>4</v>
      </c>
      <c r="BC641" s="4">
        <f t="shared" si="324"/>
        <v>4</v>
      </c>
      <c r="BD641" s="4">
        <f t="shared" si="325"/>
        <v>2</v>
      </c>
      <c r="BE641" s="4">
        <f t="shared" si="326"/>
        <v>4</v>
      </c>
      <c r="BF641" s="4">
        <f t="shared" si="327"/>
        <v>2</v>
      </c>
      <c r="BG641" s="4">
        <f t="shared" si="328"/>
        <v>4</v>
      </c>
      <c r="BH641" s="4">
        <f t="shared" si="329"/>
        <v>4</v>
      </c>
      <c r="BI641" s="4">
        <f t="shared" si="330"/>
        <v>4</v>
      </c>
      <c r="BJ641" s="4">
        <f t="shared" si="331"/>
        <v>2</v>
      </c>
      <c r="BK641" s="4">
        <f t="shared" si="332"/>
        <v>4</v>
      </c>
      <c r="BL641" s="4" t="str">
        <f t="shared" si="333"/>
        <v>0</v>
      </c>
      <c r="BM641" s="4">
        <f t="shared" si="334"/>
        <v>4</v>
      </c>
      <c r="BN641" s="4">
        <f t="shared" si="335"/>
        <v>4</v>
      </c>
      <c r="BO641" s="4">
        <f t="shared" si="336"/>
        <v>4</v>
      </c>
      <c r="BP641" s="4">
        <f t="shared" si="337"/>
        <v>4</v>
      </c>
      <c r="BQ641" s="4">
        <f t="shared" si="338"/>
        <v>6</v>
      </c>
      <c r="BR641" s="4">
        <f t="shared" si="339"/>
        <v>4</v>
      </c>
      <c r="BS641" s="4">
        <f t="shared" si="340"/>
        <v>4</v>
      </c>
      <c r="BT641" s="4">
        <f t="shared" si="341"/>
        <v>4</v>
      </c>
      <c r="BU641" s="4">
        <f t="shared" si="342"/>
        <v>4</v>
      </c>
      <c r="BV641" s="4">
        <f t="shared" si="343"/>
        <v>0</v>
      </c>
      <c r="BW641" s="4">
        <f t="shared" si="344"/>
        <v>6</v>
      </c>
      <c r="BX641" s="4">
        <f t="shared" si="345"/>
        <v>0</v>
      </c>
      <c r="BY641" s="4">
        <f t="shared" si="346"/>
        <v>0</v>
      </c>
      <c r="BZ641" s="37">
        <f t="shared" si="347"/>
        <v>98</v>
      </c>
      <c r="CA641" s="32" t="str">
        <f>VLOOKUP(J:J,'Agent wise'!A:C,3,0)</f>
        <v>Amal</v>
      </c>
      <c r="CB641" s="32">
        <f t="shared" si="348"/>
        <v>45942</v>
      </c>
      <c r="CC641" t="str">
        <f t="shared" si="349"/>
        <v>Excellent</v>
      </c>
      <c r="CE641" s="32"/>
      <c r="CJ641">
        <f t="shared" si="350"/>
        <v>12</v>
      </c>
      <c r="CK641">
        <f t="shared" si="351"/>
        <v>10</v>
      </c>
      <c r="CL641">
        <f t="shared" si="352"/>
        <v>2025</v>
      </c>
    </row>
    <row r="642" spans="1:90" ht="15" customHeight="1" x14ac:dyDescent="0.35">
      <c r="A642" s="40">
        <v>46001.57885416667</v>
      </c>
      <c r="B642" t="s">
        <v>100</v>
      </c>
      <c r="C642" t="s">
        <v>214</v>
      </c>
      <c r="D642" t="s">
        <v>101</v>
      </c>
      <c r="E642" s="32">
        <v>45942</v>
      </c>
      <c r="F642" t="s">
        <v>222</v>
      </c>
      <c r="G642" s="32">
        <v>45940</v>
      </c>
      <c r="H642">
        <v>9488238160</v>
      </c>
      <c r="I642">
        <v>169</v>
      </c>
      <c r="J642" t="s">
        <v>451</v>
      </c>
      <c r="K642" t="s">
        <v>71</v>
      </c>
      <c r="L642" t="s">
        <v>72</v>
      </c>
      <c r="M642" t="s">
        <v>59</v>
      </c>
      <c r="N642" t="s">
        <v>59</v>
      </c>
      <c r="O642" t="s">
        <v>59</v>
      </c>
      <c r="P642" t="s">
        <v>59</v>
      </c>
      <c r="Q642" t="s">
        <v>59</v>
      </c>
      <c r="R642" t="s">
        <v>60</v>
      </c>
      <c r="S642" t="s">
        <v>59</v>
      </c>
      <c r="T642" t="s">
        <v>59</v>
      </c>
      <c r="U642" t="s">
        <v>59</v>
      </c>
      <c r="V642" t="s">
        <v>59</v>
      </c>
      <c r="W642" t="s">
        <v>59</v>
      </c>
      <c r="X642" t="s">
        <v>59</v>
      </c>
      <c r="Y642" t="s">
        <v>59</v>
      </c>
      <c r="Z642" t="s">
        <v>59</v>
      </c>
      <c r="AA642" t="s">
        <v>59</v>
      </c>
      <c r="AB642" t="s">
        <v>59</v>
      </c>
      <c r="AC642" t="s">
        <v>59</v>
      </c>
      <c r="AD642" t="s">
        <v>59</v>
      </c>
      <c r="AE642" t="s">
        <v>59</v>
      </c>
      <c r="AF642" t="s">
        <v>59</v>
      </c>
      <c r="AG642" t="s">
        <v>59</v>
      </c>
      <c r="AH642" t="s">
        <v>59</v>
      </c>
      <c r="AI642" t="s">
        <v>61</v>
      </c>
      <c r="AJ642" t="s">
        <v>59</v>
      </c>
      <c r="AK642" t="s">
        <v>59</v>
      </c>
      <c r="AL642" t="s">
        <v>59</v>
      </c>
      <c r="AM642" t="s">
        <v>59</v>
      </c>
      <c r="AN642" t="s">
        <v>59</v>
      </c>
      <c r="AO642" t="s">
        <v>59</v>
      </c>
      <c r="AP642" t="s">
        <v>437</v>
      </c>
      <c r="AQ642" s="1" t="s">
        <v>1418</v>
      </c>
      <c r="AR642" t="s">
        <v>226</v>
      </c>
      <c r="AS642" t="s">
        <v>352</v>
      </c>
      <c r="AT642" t="s">
        <v>352</v>
      </c>
      <c r="AU642" t="s">
        <v>299</v>
      </c>
      <c r="AW642" s="4">
        <f t="shared" si="318"/>
        <v>6</v>
      </c>
      <c r="AX642" s="4">
        <f t="shared" si="319"/>
        <v>4</v>
      </c>
      <c r="AY642" s="4">
        <f t="shared" si="320"/>
        <v>4</v>
      </c>
      <c r="AZ642" s="4">
        <f t="shared" si="321"/>
        <v>2</v>
      </c>
      <c r="BA642" s="4">
        <f t="shared" si="322"/>
        <v>4</v>
      </c>
      <c r="BB642" s="4" t="str">
        <f t="shared" si="323"/>
        <v>0</v>
      </c>
      <c r="BC642" s="4">
        <f t="shared" si="324"/>
        <v>4</v>
      </c>
      <c r="BD642" s="4">
        <f t="shared" si="325"/>
        <v>2</v>
      </c>
      <c r="BE642" s="4">
        <f t="shared" si="326"/>
        <v>4</v>
      </c>
      <c r="BF642" s="4">
        <f t="shared" si="327"/>
        <v>2</v>
      </c>
      <c r="BG642" s="4">
        <f t="shared" si="328"/>
        <v>4</v>
      </c>
      <c r="BH642" s="4">
        <f t="shared" si="329"/>
        <v>4</v>
      </c>
      <c r="BI642" s="4">
        <f t="shared" si="330"/>
        <v>4</v>
      </c>
      <c r="BJ642" s="4">
        <f t="shared" si="331"/>
        <v>2</v>
      </c>
      <c r="BK642" s="4">
        <f t="shared" si="332"/>
        <v>4</v>
      </c>
      <c r="BL642" s="4">
        <f t="shared" si="333"/>
        <v>2</v>
      </c>
      <c r="BM642" s="4">
        <f t="shared" si="334"/>
        <v>4</v>
      </c>
      <c r="BN642" s="4">
        <f t="shared" si="335"/>
        <v>4</v>
      </c>
      <c r="BO642" s="4">
        <f t="shared" si="336"/>
        <v>4</v>
      </c>
      <c r="BP642" s="4">
        <f t="shared" si="337"/>
        <v>4</v>
      </c>
      <c r="BQ642" s="4">
        <f t="shared" si="338"/>
        <v>6</v>
      </c>
      <c r="BR642" s="4">
        <f t="shared" si="339"/>
        <v>4</v>
      </c>
      <c r="BS642" s="4">
        <f t="shared" si="340"/>
        <v>4</v>
      </c>
      <c r="BT642" s="4">
        <f t="shared" si="341"/>
        <v>4</v>
      </c>
      <c r="BU642" s="4">
        <f t="shared" si="342"/>
        <v>4</v>
      </c>
      <c r="BV642" s="4">
        <f t="shared" si="343"/>
        <v>0</v>
      </c>
      <c r="BW642" s="4">
        <f t="shared" si="344"/>
        <v>6</v>
      </c>
      <c r="BX642" s="4">
        <f t="shared" si="345"/>
        <v>0</v>
      </c>
      <c r="BY642" s="4">
        <f t="shared" si="346"/>
        <v>0</v>
      </c>
      <c r="BZ642" s="37">
        <f t="shared" si="347"/>
        <v>96</v>
      </c>
      <c r="CA642" s="32" t="str">
        <f>VLOOKUP(J:J,'Agent wise'!A:C,3,0)</f>
        <v xml:space="preserve">Shiny </v>
      </c>
      <c r="CB642" s="32">
        <f t="shared" si="348"/>
        <v>45942</v>
      </c>
      <c r="CC642" t="str">
        <f t="shared" si="349"/>
        <v>Excellent</v>
      </c>
      <c r="CE642" s="32"/>
      <c r="CJ642">
        <f t="shared" si="350"/>
        <v>12</v>
      </c>
      <c r="CK642">
        <f t="shared" si="351"/>
        <v>10</v>
      </c>
      <c r="CL642">
        <f t="shared" si="352"/>
        <v>2025</v>
      </c>
    </row>
    <row r="643" spans="1:90" ht="15" customHeight="1" x14ac:dyDescent="0.35">
      <c r="A643" s="40">
        <v>46001.582002314812</v>
      </c>
      <c r="B643" t="s">
        <v>100</v>
      </c>
      <c r="C643" t="s">
        <v>214</v>
      </c>
      <c r="D643" t="s">
        <v>101</v>
      </c>
      <c r="E643" s="32">
        <v>45942</v>
      </c>
      <c r="F643" t="s">
        <v>222</v>
      </c>
      <c r="G643" s="32">
        <v>45940</v>
      </c>
      <c r="H643">
        <v>9447758899</v>
      </c>
      <c r="I643">
        <v>157</v>
      </c>
      <c r="J643" t="s">
        <v>252</v>
      </c>
      <c r="K643" t="s">
        <v>57</v>
      </c>
      <c r="L643" t="s">
        <v>58</v>
      </c>
      <c r="M643" t="s">
        <v>59</v>
      </c>
      <c r="N643" t="s">
        <v>59</v>
      </c>
      <c r="O643" t="s">
        <v>59</v>
      </c>
      <c r="P643" t="s">
        <v>59</v>
      </c>
      <c r="Q643" t="s">
        <v>59</v>
      </c>
      <c r="R643" t="s">
        <v>60</v>
      </c>
      <c r="S643" t="s">
        <v>59</v>
      </c>
      <c r="T643" t="s">
        <v>59</v>
      </c>
      <c r="U643" t="s">
        <v>59</v>
      </c>
      <c r="V643" t="s">
        <v>59</v>
      </c>
      <c r="W643" t="s">
        <v>59</v>
      </c>
      <c r="X643" t="s">
        <v>59</v>
      </c>
      <c r="Y643" t="s">
        <v>59</v>
      </c>
      <c r="Z643" t="s">
        <v>59</v>
      </c>
      <c r="AA643" t="s">
        <v>59</v>
      </c>
      <c r="AB643" t="s">
        <v>59</v>
      </c>
      <c r="AC643" t="s">
        <v>59</v>
      </c>
      <c r="AD643" t="s">
        <v>59</v>
      </c>
      <c r="AE643" t="s">
        <v>59</v>
      </c>
      <c r="AF643" t="s">
        <v>59</v>
      </c>
      <c r="AG643" t="s">
        <v>59</v>
      </c>
      <c r="AH643" t="s">
        <v>59</v>
      </c>
      <c r="AI643" t="s">
        <v>61</v>
      </c>
      <c r="AJ643" t="s">
        <v>59</v>
      </c>
      <c r="AK643" t="s">
        <v>59</v>
      </c>
      <c r="AL643" t="s">
        <v>59</v>
      </c>
      <c r="AM643" t="s">
        <v>59</v>
      </c>
      <c r="AN643" t="s">
        <v>59</v>
      </c>
      <c r="AO643" t="s">
        <v>59</v>
      </c>
      <c r="AP643" t="s">
        <v>437</v>
      </c>
      <c r="AQ643" s="1" t="s">
        <v>1419</v>
      </c>
      <c r="AR643" t="s">
        <v>226</v>
      </c>
      <c r="AS643" t="s">
        <v>352</v>
      </c>
      <c r="AT643" t="s">
        <v>352</v>
      </c>
      <c r="AU643" t="s">
        <v>219</v>
      </c>
      <c r="AW643" s="4">
        <f t="shared" ref="AW643:AW706" si="353">IF(OR(M643="YES", M643="Not Applicable"), AW$1, "0")</f>
        <v>6</v>
      </c>
      <c r="AX643" s="4">
        <f t="shared" ref="AX643:AX706" si="354">IF(OR(N643="YES", N643="Not Applicable"), AX$1, "0")</f>
        <v>4</v>
      </c>
      <c r="AY643" s="4">
        <f t="shared" ref="AY643:AY706" si="355">IF(OR(O643="YES", O643="Not Applicable"), AY$1, "0")</f>
        <v>4</v>
      </c>
      <c r="AZ643" s="4">
        <f t="shared" ref="AZ643:AZ706" si="356">IF(OR(P643="YES", P643="Not Applicable"), AZ$1, "0")</f>
        <v>2</v>
      </c>
      <c r="BA643" s="4">
        <f t="shared" ref="BA643:BA706" si="357">IF(OR(Q643="YES", Q643="Not Applicable"), BA$1, "0")</f>
        <v>4</v>
      </c>
      <c r="BB643" s="4" t="str">
        <f t="shared" ref="BB643:BB706" si="358">IF(OR(R643="YES", R643="Not Applicable"), BB$1, "0")</f>
        <v>0</v>
      </c>
      <c r="BC643" s="4">
        <f t="shared" ref="BC643:BC706" si="359">IF(OR(S643="YES", S643="Not Applicable"), BC$1, "0")</f>
        <v>4</v>
      </c>
      <c r="BD643" s="4">
        <f t="shared" ref="BD643:BD706" si="360">IF(OR(T643="YES", T643="Not Applicable"), BD$1, "0")</f>
        <v>2</v>
      </c>
      <c r="BE643" s="4">
        <f t="shared" ref="BE643:BE706" si="361">IF(OR(U643="YES", U643="Not Applicable"), BE$1, "0")</f>
        <v>4</v>
      </c>
      <c r="BF643" s="4">
        <f t="shared" ref="BF643:BF706" si="362">IF(OR(V643="YES", V643="Not Applicable"), BF$1, "0")</f>
        <v>2</v>
      </c>
      <c r="BG643" s="4">
        <f t="shared" ref="BG643:BG706" si="363">IF(OR(W643="YES", W643="Not Applicable"), BG$1, "0")</f>
        <v>4</v>
      </c>
      <c r="BH643" s="4">
        <f t="shared" ref="BH643:BH706" si="364">IF(OR(X643="YES", X643="Not Applicable"), BH$1, "0")</f>
        <v>4</v>
      </c>
      <c r="BI643" s="4">
        <f t="shared" ref="BI643:BI706" si="365">IF(OR(Y643="YES", Y643="Not Applicable"), BI$1, "0")</f>
        <v>4</v>
      </c>
      <c r="BJ643" s="4">
        <f t="shared" ref="BJ643:BJ706" si="366">IF(OR(Z643="YES", Z643="Not Applicable"), BJ$1, "0")</f>
        <v>2</v>
      </c>
      <c r="BK643" s="4">
        <f t="shared" ref="BK643:BK706" si="367">IF(OR(AA643="YES", AA643="Not Applicable"), BK$1, "0")</f>
        <v>4</v>
      </c>
      <c r="BL643" s="4">
        <f t="shared" ref="BL643:BL706" si="368">IF(OR(AB643="YES", AB643="Not Applicable"), BL$1, "0")</f>
        <v>2</v>
      </c>
      <c r="BM643" s="4">
        <f t="shared" ref="BM643:BM706" si="369">IF(OR(AC643="YES", AC643="Not Applicable"), BM$1, "0")</f>
        <v>4</v>
      </c>
      <c r="BN643" s="4">
        <f t="shared" ref="BN643:BN706" si="370">IF(OR(AD643="YES", AD643="Not Applicable"), BN$1, "0")</f>
        <v>4</v>
      </c>
      <c r="BO643" s="4">
        <f t="shared" ref="BO643:BO706" si="371">IF(OR(AE643="YES", AE643="Not Applicable"), BO$1, "0")</f>
        <v>4</v>
      </c>
      <c r="BP643" s="4">
        <f t="shared" ref="BP643:BP706" si="372">IF(OR(AF643="YES", AF643="Not Applicable"), BP$1, "0")</f>
        <v>4</v>
      </c>
      <c r="BQ643" s="4">
        <f t="shared" ref="BQ643:BQ706" si="373">IF(OR(AG643="YES", AG643="Not Applicable"), BQ$1, "0")</f>
        <v>6</v>
      </c>
      <c r="BR643" s="4">
        <f t="shared" ref="BR643:BR706" si="374">IF(OR(AH643="YES", AH643="Not Applicable"), BR$1, "0")</f>
        <v>4</v>
      </c>
      <c r="BS643" s="4">
        <f t="shared" ref="BS643:BS706" si="375">IF(OR(AI643="YES", AI643="Not Applicable"), BS$1, "0")</f>
        <v>4</v>
      </c>
      <c r="BT643" s="4">
        <f t="shared" ref="BT643:BT706" si="376">IF(OR(AJ643="YES", AJ643="Not Applicable"), BT$1, "0")</f>
        <v>4</v>
      </c>
      <c r="BU643" s="4">
        <f t="shared" ref="BU643:BU706" si="377">IF(OR(AK643="YES", AK643="Not Applicable"), BU$1, "0")</f>
        <v>4</v>
      </c>
      <c r="BV643" s="4">
        <f t="shared" ref="BV643:BV706" si="378">IF(OR(AL643="YES", AL643="Not Applicable"), BV$1, "0")</f>
        <v>0</v>
      </c>
      <c r="BW643" s="4">
        <f t="shared" ref="BW643:BW706" si="379">IF(OR(AM643="YES", AM643="Not Applicable"), BW$1, "0")</f>
        <v>6</v>
      </c>
      <c r="BX643" s="4">
        <f t="shared" ref="BX643:BX706" si="380">IF(OR(AN643="YES", AN643="Not Applicable"), BX$1, "0")</f>
        <v>0</v>
      </c>
      <c r="BY643" s="4">
        <f t="shared" ref="BY643:BY706" si="381">IF(OR(AO643="YES", AO643="Not Applicable"), BY$1, "0")</f>
        <v>0</v>
      </c>
      <c r="BZ643" s="37">
        <f t="shared" ref="BZ643:BZ706" si="382">SUM(AW643:BY643)</f>
        <v>96</v>
      </c>
      <c r="CA643" s="32" t="str">
        <f>VLOOKUP(J:J,'Agent wise'!A:C,3,0)</f>
        <v xml:space="preserve">Shiny </v>
      </c>
      <c r="CB643" s="32">
        <f t="shared" ref="CB643:CB706" si="383">INT(E643)</f>
        <v>45942</v>
      </c>
      <c r="CC643" t="str">
        <f t="shared" ref="CC643:CC706" si="384">IF(BZ643&gt;=94.5, "Excellent", IF(BZ643&gt;89.5, "Good", IF(BZ643&gt;84.5, "Average", "FC")))</f>
        <v>Excellent</v>
      </c>
      <c r="CE643" s="32"/>
      <c r="CJ643">
        <f t="shared" si="350"/>
        <v>12</v>
      </c>
      <c r="CK643">
        <f t="shared" si="351"/>
        <v>10</v>
      </c>
      <c r="CL643">
        <f t="shared" si="352"/>
        <v>2025</v>
      </c>
    </row>
    <row r="644" spans="1:90" ht="15" customHeight="1" x14ac:dyDescent="0.35">
      <c r="A644" s="40">
        <v>46001.647303240738</v>
      </c>
      <c r="B644" t="s">
        <v>100</v>
      </c>
      <c r="C644" t="s">
        <v>214</v>
      </c>
      <c r="D644" t="s">
        <v>101</v>
      </c>
      <c r="E644" s="32">
        <v>45942</v>
      </c>
      <c r="F644" t="s">
        <v>222</v>
      </c>
      <c r="G644" s="32">
        <v>45940</v>
      </c>
      <c r="H644">
        <v>9962525635</v>
      </c>
      <c r="I644">
        <v>146</v>
      </c>
      <c r="J644" t="s">
        <v>409</v>
      </c>
      <c r="K644" t="s">
        <v>86</v>
      </c>
      <c r="L644" t="s">
        <v>72</v>
      </c>
      <c r="M644" t="s">
        <v>59</v>
      </c>
      <c r="N644" t="s">
        <v>59</v>
      </c>
      <c r="O644" t="s">
        <v>59</v>
      </c>
      <c r="P644" t="s">
        <v>59</v>
      </c>
      <c r="Q644" t="s">
        <v>59</v>
      </c>
      <c r="R644" t="s">
        <v>59</v>
      </c>
      <c r="S644" t="s">
        <v>59</v>
      </c>
      <c r="T644" t="s">
        <v>59</v>
      </c>
      <c r="U644" t="s">
        <v>59</v>
      </c>
      <c r="V644" t="s">
        <v>59</v>
      </c>
      <c r="W644" t="s">
        <v>59</v>
      </c>
      <c r="X644" t="s">
        <v>59</v>
      </c>
      <c r="Y644" t="s">
        <v>59</v>
      </c>
      <c r="Z644" t="s">
        <v>59</v>
      </c>
      <c r="AA644" t="s">
        <v>60</v>
      </c>
      <c r="AB644" t="s">
        <v>60</v>
      </c>
      <c r="AC644" t="s">
        <v>59</v>
      </c>
      <c r="AD644" t="s">
        <v>59</v>
      </c>
      <c r="AE644" t="s">
        <v>59</v>
      </c>
      <c r="AF644" t="s">
        <v>59</v>
      </c>
      <c r="AG644" t="s">
        <v>59</v>
      </c>
      <c r="AH644" t="s">
        <v>59</v>
      </c>
      <c r="AI644" t="s">
        <v>60</v>
      </c>
      <c r="AJ644" t="s">
        <v>59</v>
      </c>
      <c r="AK644" t="s">
        <v>59</v>
      </c>
      <c r="AL644" t="s">
        <v>59</v>
      </c>
      <c r="AM644" t="s">
        <v>59</v>
      </c>
      <c r="AN644" t="s">
        <v>59</v>
      </c>
      <c r="AO644" t="s">
        <v>59</v>
      </c>
      <c r="AP644" t="s">
        <v>798</v>
      </c>
      <c r="AQ644" s="1" t="s">
        <v>1420</v>
      </c>
      <c r="AR644" t="s">
        <v>226</v>
      </c>
      <c r="AS644" t="s">
        <v>352</v>
      </c>
      <c r="AT644" t="s">
        <v>352</v>
      </c>
      <c r="AU644" t="s">
        <v>299</v>
      </c>
      <c r="AW644" s="4">
        <f t="shared" si="353"/>
        <v>6</v>
      </c>
      <c r="AX644" s="4">
        <f t="shared" si="354"/>
        <v>4</v>
      </c>
      <c r="AY644" s="4">
        <f t="shared" si="355"/>
        <v>4</v>
      </c>
      <c r="AZ644" s="4">
        <f t="shared" si="356"/>
        <v>2</v>
      </c>
      <c r="BA644" s="4">
        <f t="shared" si="357"/>
        <v>4</v>
      </c>
      <c r="BB644" s="4">
        <f t="shared" si="358"/>
        <v>4</v>
      </c>
      <c r="BC644" s="4">
        <f t="shared" si="359"/>
        <v>4</v>
      </c>
      <c r="BD644" s="4">
        <f t="shared" si="360"/>
        <v>2</v>
      </c>
      <c r="BE644" s="4">
        <f t="shared" si="361"/>
        <v>4</v>
      </c>
      <c r="BF644" s="4">
        <f t="shared" si="362"/>
        <v>2</v>
      </c>
      <c r="BG644" s="4">
        <f t="shared" si="363"/>
        <v>4</v>
      </c>
      <c r="BH644" s="4">
        <f t="shared" si="364"/>
        <v>4</v>
      </c>
      <c r="BI644" s="4">
        <f t="shared" si="365"/>
        <v>4</v>
      </c>
      <c r="BJ644" s="4">
        <f t="shared" si="366"/>
        <v>2</v>
      </c>
      <c r="BK644" s="4" t="str">
        <f t="shared" si="367"/>
        <v>0</v>
      </c>
      <c r="BL644" s="4" t="str">
        <f t="shared" si="368"/>
        <v>0</v>
      </c>
      <c r="BM644" s="4">
        <f t="shared" si="369"/>
        <v>4</v>
      </c>
      <c r="BN644" s="4">
        <f t="shared" si="370"/>
        <v>4</v>
      </c>
      <c r="BO644" s="4">
        <f t="shared" si="371"/>
        <v>4</v>
      </c>
      <c r="BP644" s="4">
        <f t="shared" si="372"/>
        <v>4</v>
      </c>
      <c r="BQ644" s="4">
        <f t="shared" si="373"/>
        <v>6</v>
      </c>
      <c r="BR644" s="4">
        <f t="shared" si="374"/>
        <v>4</v>
      </c>
      <c r="BS644" s="4" t="str">
        <f t="shared" si="375"/>
        <v>0</v>
      </c>
      <c r="BT644" s="4">
        <f t="shared" si="376"/>
        <v>4</v>
      </c>
      <c r="BU644" s="4">
        <f t="shared" si="377"/>
        <v>4</v>
      </c>
      <c r="BV644" s="4">
        <f t="shared" si="378"/>
        <v>0</v>
      </c>
      <c r="BW644" s="4">
        <f t="shared" si="379"/>
        <v>6</v>
      </c>
      <c r="BX644" s="4">
        <f t="shared" si="380"/>
        <v>0</v>
      </c>
      <c r="BY644" s="4">
        <f t="shared" si="381"/>
        <v>0</v>
      </c>
      <c r="BZ644" s="37">
        <f t="shared" si="382"/>
        <v>90</v>
      </c>
      <c r="CA644" s="32" t="str">
        <f>VLOOKUP(J:J,'Agent wise'!A:C,3,0)</f>
        <v>Amal</v>
      </c>
      <c r="CB644" s="32">
        <f t="shared" si="383"/>
        <v>45942</v>
      </c>
      <c r="CC644" t="str">
        <f t="shared" si="384"/>
        <v>Good</v>
      </c>
      <c r="CE644" s="32"/>
      <c r="CJ644">
        <f t="shared" ref="CJ644:CJ707" si="385">DAY(E644)</f>
        <v>12</v>
      </c>
      <c r="CK644">
        <f t="shared" ref="CK644:CK707" si="386">MONTH(E644)</f>
        <v>10</v>
      </c>
      <c r="CL644">
        <f t="shared" ref="CL644:CL707" si="387">YEAR(E644)</f>
        <v>2025</v>
      </c>
    </row>
    <row r="645" spans="1:90" ht="15" customHeight="1" x14ac:dyDescent="0.35">
      <c r="A645" s="40">
        <v>46001.650902777779</v>
      </c>
      <c r="B645" t="s">
        <v>100</v>
      </c>
      <c r="C645" t="s">
        <v>214</v>
      </c>
      <c r="D645" t="s">
        <v>101</v>
      </c>
      <c r="E645" s="32">
        <v>45942</v>
      </c>
      <c r="F645" t="s">
        <v>222</v>
      </c>
      <c r="G645" s="32">
        <v>45941</v>
      </c>
      <c r="H645">
        <v>8129836494</v>
      </c>
      <c r="I645">
        <v>153</v>
      </c>
      <c r="J645" t="s">
        <v>223</v>
      </c>
      <c r="K645" t="s">
        <v>57</v>
      </c>
      <c r="L645" t="s">
        <v>58</v>
      </c>
      <c r="M645" t="s">
        <v>59</v>
      </c>
      <c r="N645" t="s">
        <v>59</v>
      </c>
      <c r="O645" t="s">
        <v>59</v>
      </c>
      <c r="P645" t="s">
        <v>59</v>
      </c>
      <c r="Q645" t="s">
        <v>59</v>
      </c>
      <c r="R645" t="s">
        <v>59</v>
      </c>
      <c r="S645" t="s">
        <v>59</v>
      </c>
      <c r="T645" t="s">
        <v>59</v>
      </c>
      <c r="U645" t="s">
        <v>59</v>
      </c>
      <c r="V645" t="s">
        <v>59</v>
      </c>
      <c r="W645" t="s">
        <v>59</v>
      </c>
      <c r="X645" t="s">
        <v>59</v>
      </c>
      <c r="Y645" t="s">
        <v>59</v>
      </c>
      <c r="Z645" t="s">
        <v>59</v>
      </c>
      <c r="AA645" t="s">
        <v>60</v>
      </c>
      <c r="AB645" t="s">
        <v>60</v>
      </c>
      <c r="AC645" t="s">
        <v>59</v>
      </c>
      <c r="AD645" t="s">
        <v>61</v>
      </c>
      <c r="AE645" t="s">
        <v>59</v>
      </c>
      <c r="AF645" t="s">
        <v>59</v>
      </c>
      <c r="AG645" t="s">
        <v>59</v>
      </c>
      <c r="AH645" t="s">
        <v>59</v>
      </c>
      <c r="AI645" t="s">
        <v>59</v>
      </c>
      <c r="AJ645" t="s">
        <v>59</v>
      </c>
      <c r="AK645" t="s">
        <v>59</v>
      </c>
      <c r="AL645" t="s">
        <v>59</v>
      </c>
      <c r="AM645" t="s">
        <v>59</v>
      </c>
      <c r="AN645" t="s">
        <v>59</v>
      </c>
      <c r="AO645" t="s">
        <v>59</v>
      </c>
      <c r="AP645" t="s">
        <v>1421</v>
      </c>
      <c r="AQ645" s="1" t="s">
        <v>1422</v>
      </c>
      <c r="AR645" t="s">
        <v>226</v>
      </c>
      <c r="AS645" t="s">
        <v>352</v>
      </c>
      <c r="AT645" t="s">
        <v>352</v>
      </c>
      <c r="AU645" t="s">
        <v>219</v>
      </c>
      <c r="AW645" s="4">
        <f t="shared" si="353"/>
        <v>6</v>
      </c>
      <c r="AX645" s="4">
        <f t="shared" si="354"/>
        <v>4</v>
      </c>
      <c r="AY645" s="4">
        <f t="shared" si="355"/>
        <v>4</v>
      </c>
      <c r="AZ645" s="4">
        <f t="shared" si="356"/>
        <v>2</v>
      </c>
      <c r="BA645" s="4">
        <f t="shared" si="357"/>
        <v>4</v>
      </c>
      <c r="BB645" s="4">
        <f t="shared" si="358"/>
        <v>4</v>
      </c>
      <c r="BC645" s="4">
        <f t="shared" si="359"/>
        <v>4</v>
      </c>
      <c r="BD645" s="4">
        <f t="shared" si="360"/>
        <v>2</v>
      </c>
      <c r="BE645" s="4">
        <f t="shared" si="361"/>
        <v>4</v>
      </c>
      <c r="BF645" s="4">
        <f t="shared" si="362"/>
        <v>2</v>
      </c>
      <c r="BG645" s="4">
        <f t="shared" si="363"/>
        <v>4</v>
      </c>
      <c r="BH645" s="4">
        <f t="shared" si="364"/>
        <v>4</v>
      </c>
      <c r="BI645" s="4">
        <f t="shared" si="365"/>
        <v>4</v>
      </c>
      <c r="BJ645" s="4">
        <f t="shared" si="366"/>
        <v>2</v>
      </c>
      <c r="BK645" s="4" t="str">
        <f t="shared" si="367"/>
        <v>0</v>
      </c>
      <c r="BL645" s="4" t="str">
        <f t="shared" si="368"/>
        <v>0</v>
      </c>
      <c r="BM645" s="4">
        <f t="shared" si="369"/>
        <v>4</v>
      </c>
      <c r="BN645" s="4">
        <f t="shared" si="370"/>
        <v>4</v>
      </c>
      <c r="BO645" s="4">
        <f t="shared" si="371"/>
        <v>4</v>
      </c>
      <c r="BP645" s="4">
        <f t="shared" si="372"/>
        <v>4</v>
      </c>
      <c r="BQ645" s="4">
        <f t="shared" si="373"/>
        <v>6</v>
      </c>
      <c r="BR645" s="4">
        <f t="shared" si="374"/>
        <v>4</v>
      </c>
      <c r="BS645" s="4">
        <f t="shared" si="375"/>
        <v>4</v>
      </c>
      <c r="BT645" s="4">
        <f t="shared" si="376"/>
        <v>4</v>
      </c>
      <c r="BU645" s="4">
        <f t="shared" si="377"/>
        <v>4</v>
      </c>
      <c r="BV645" s="4">
        <f t="shared" si="378"/>
        <v>0</v>
      </c>
      <c r="BW645" s="4">
        <f t="shared" si="379"/>
        <v>6</v>
      </c>
      <c r="BX645" s="4">
        <f t="shared" si="380"/>
        <v>0</v>
      </c>
      <c r="BY645" s="4">
        <f t="shared" si="381"/>
        <v>0</v>
      </c>
      <c r="BZ645" s="37">
        <f t="shared" si="382"/>
        <v>94</v>
      </c>
      <c r="CA645" s="32" t="str">
        <f>VLOOKUP(J:J,'Agent wise'!A:C,3,0)</f>
        <v>Amal</v>
      </c>
      <c r="CB645" s="32">
        <f t="shared" si="383"/>
        <v>45942</v>
      </c>
      <c r="CC645" t="str">
        <f t="shared" si="384"/>
        <v>Good</v>
      </c>
      <c r="CE645" s="32"/>
      <c r="CJ645">
        <f t="shared" si="385"/>
        <v>12</v>
      </c>
      <c r="CK645">
        <f t="shared" si="386"/>
        <v>10</v>
      </c>
      <c r="CL645">
        <f t="shared" si="387"/>
        <v>2025</v>
      </c>
    </row>
    <row r="646" spans="1:90" ht="15" customHeight="1" x14ac:dyDescent="0.35">
      <c r="A646" s="40">
        <v>46001.676990740743</v>
      </c>
      <c r="B646" t="s">
        <v>100</v>
      </c>
      <c r="C646" t="s">
        <v>214</v>
      </c>
      <c r="D646" t="s">
        <v>101</v>
      </c>
      <c r="E646" s="32">
        <v>45942</v>
      </c>
      <c r="F646" t="s">
        <v>222</v>
      </c>
      <c r="G646" s="32">
        <v>45941</v>
      </c>
      <c r="H646">
        <v>8943315769</v>
      </c>
      <c r="I646">
        <v>158</v>
      </c>
      <c r="J646" t="s">
        <v>223</v>
      </c>
      <c r="K646" t="s">
        <v>57</v>
      </c>
      <c r="L646" t="s">
        <v>58</v>
      </c>
      <c r="M646" t="s">
        <v>59</v>
      </c>
      <c r="N646" t="s">
        <v>59</v>
      </c>
      <c r="O646" t="s">
        <v>59</v>
      </c>
      <c r="P646" t="s">
        <v>59</v>
      </c>
      <c r="Q646" t="s">
        <v>59</v>
      </c>
      <c r="R646" t="s">
        <v>59</v>
      </c>
      <c r="S646" t="s">
        <v>59</v>
      </c>
      <c r="T646" t="s">
        <v>59</v>
      </c>
      <c r="U646" t="s">
        <v>59</v>
      </c>
      <c r="V646" t="s">
        <v>59</v>
      </c>
      <c r="W646" t="s">
        <v>59</v>
      </c>
      <c r="X646" t="s">
        <v>59</v>
      </c>
      <c r="Y646" t="s">
        <v>59</v>
      </c>
      <c r="Z646" t="s">
        <v>59</v>
      </c>
      <c r="AA646" t="s">
        <v>60</v>
      </c>
      <c r="AB646" t="s">
        <v>59</v>
      </c>
      <c r="AC646" t="s">
        <v>59</v>
      </c>
      <c r="AD646" t="s">
        <v>59</v>
      </c>
      <c r="AE646" t="s">
        <v>59</v>
      </c>
      <c r="AF646" t="s">
        <v>59</v>
      </c>
      <c r="AG646" t="s">
        <v>59</v>
      </c>
      <c r="AH646" t="s">
        <v>59</v>
      </c>
      <c r="AI646" t="s">
        <v>61</v>
      </c>
      <c r="AJ646" t="s">
        <v>59</v>
      </c>
      <c r="AK646" t="s">
        <v>59</v>
      </c>
      <c r="AL646" t="s">
        <v>59</v>
      </c>
      <c r="AM646" t="s">
        <v>59</v>
      </c>
      <c r="AN646" t="s">
        <v>59</v>
      </c>
      <c r="AO646" t="s">
        <v>59</v>
      </c>
      <c r="AP646" t="s">
        <v>526</v>
      </c>
      <c r="AQ646" s="1" t="s">
        <v>1423</v>
      </c>
      <c r="AR646" t="s">
        <v>226</v>
      </c>
      <c r="AS646" t="s">
        <v>352</v>
      </c>
      <c r="AT646" t="s">
        <v>352</v>
      </c>
      <c r="AU646" t="s">
        <v>219</v>
      </c>
      <c r="AW646" s="4">
        <f t="shared" si="353"/>
        <v>6</v>
      </c>
      <c r="AX646" s="4">
        <f t="shared" si="354"/>
        <v>4</v>
      </c>
      <c r="AY646" s="4">
        <f t="shared" si="355"/>
        <v>4</v>
      </c>
      <c r="AZ646" s="4">
        <f t="shared" si="356"/>
        <v>2</v>
      </c>
      <c r="BA646" s="4">
        <f t="shared" si="357"/>
        <v>4</v>
      </c>
      <c r="BB646" s="4">
        <f t="shared" si="358"/>
        <v>4</v>
      </c>
      <c r="BC646" s="4">
        <f t="shared" si="359"/>
        <v>4</v>
      </c>
      <c r="BD646" s="4">
        <f t="shared" si="360"/>
        <v>2</v>
      </c>
      <c r="BE646" s="4">
        <f t="shared" si="361"/>
        <v>4</v>
      </c>
      <c r="BF646" s="4">
        <f t="shared" si="362"/>
        <v>2</v>
      </c>
      <c r="BG646" s="4">
        <f t="shared" si="363"/>
        <v>4</v>
      </c>
      <c r="BH646" s="4">
        <f t="shared" si="364"/>
        <v>4</v>
      </c>
      <c r="BI646" s="4">
        <f t="shared" si="365"/>
        <v>4</v>
      </c>
      <c r="BJ646" s="4">
        <f t="shared" si="366"/>
        <v>2</v>
      </c>
      <c r="BK646" s="4" t="str">
        <f t="shared" si="367"/>
        <v>0</v>
      </c>
      <c r="BL646" s="4">
        <f t="shared" si="368"/>
        <v>2</v>
      </c>
      <c r="BM646" s="4">
        <f t="shared" si="369"/>
        <v>4</v>
      </c>
      <c r="BN646" s="4">
        <f t="shared" si="370"/>
        <v>4</v>
      </c>
      <c r="BO646" s="4">
        <f t="shared" si="371"/>
        <v>4</v>
      </c>
      <c r="BP646" s="4">
        <f t="shared" si="372"/>
        <v>4</v>
      </c>
      <c r="BQ646" s="4">
        <f t="shared" si="373"/>
        <v>6</v>
      </c>
      <c r="BR646" s="4">
        <f t="shared" si="374"/>
        <v>4</v>
      </c>
      <c r="BS646" s="4">
        <f t="shared" si="375"/>
        <v>4</v>
      </c>
      <c r="BT646" s="4">
        <f t="shared" si="376"/>
        <v>4</v>
      </c>
      <c r="BU646" s="4">
        <f t="shared" si="377"/>
        <v>4</v>
      </c>
      <c r="BV646" s="4">
        <f t="shared" si="378"/>
        <v>0</v>
      </c>
      <c r="BW646" s="4">
        <f t="shared" si="379"/>
        <v>6</v>
      </c>
      <c r="BX646" s="4">
        <f t="shared" si="380"/>
        <v>0</v>
      </c>
      <c r="BY646" s="4">
        <f t="shared" si="381"/>
        <v>0</v>
      </c>
      <c r="BZ646" s="37">
        <f t="shared" si="382"/>
        <v>96</v>
      </c>
      <c r="CA646" s="32" t="str">
        <f>VLOOKUP(J:J,'Agent wise'!A:C,3,0)</f>
        <v>Amal</v>
      </c>
      <c r="CB646" s="32">
        <f t="shared" si="383"/>
        <v>45942</v>
      </c>
      <c r="CC646" t="str">
        <f t="shared" si="384"/>
        <v>Excellent</v>
      </c>
      <c r="CE646" s="32"/>
      <c r="CJ646">
        <f t="shared" si="385"/>
        <v>12</v>
      </c>
      <c r="CK646">
        <f t="shared" si="386"/>
        <v>10</v>
      </c>
      <c r="CL646">
        <f t="shared" si="387"/>
        <v>2025</v>
      </c>
    </row>
    <row r="647" spans="1:90" ht="15" customHeight="1" x14ac:dyDescent="0.35">
      <c r="A647" s="40">
        <v>46001.686562499999</v>
      </c>
      <c r="B647" t="s">
        <v>100</v>
      </c>
      <c r="C647" t="s">
        <v>214</v>
      </c>
      <c r="D647" t="s">
        <v>101</v>
      </c>
      <c r="E647" s="32">
        <v>45942</v>
      </c>
      <c r="F647" t="s">
        <v>222</v>
      </c>
      <c r="G647" s="32">
        <v>45941</v>
      </c>
      <c r="H647">
        <v>9995624853</v>
      </c>
      <c r="I647">
        <v>151</v>
      </c>
      <c r="J647" t="s">
        <v>356</v>
      </c>
      <c r="K647" t="s">
        <v>71</v>
      </c>
      <c r="L647" t="s">
        <v>72</v>
      </c>
      <c r="M647" t="s">
        <v>59</v>
      </c>
      <c r="N647" t="s">
        <v>59</v>
      </c>
      <c r="O647" t="s">
        <v>59</v>
      </c>
      <c r="P647" t="s">
        <v>59</v>
      </c>
      <c r="Q647" t="s">
        <v>59</v>
      </c>
      <c r="R647" t="s">
        <v>59</v>
      </c>
      <c r="S647" t="s">
        <v>59</v>
      </c>
      <c r="T647" t="s">
        <v>59</v>
      </c>
      <c r="U647" t="s">
        <v>59</v>
      </c>
      <c r="V647" t="s">
        <v>59</v>
      </c>
      <c r="W647" t="s">
        <v>59</v>
      </c>
      <c r="X647" t="s">
        <v>59</v>
      </c>
      <c r="Y647" t="s">
        <v>59</v>
      </c>
      <c r="Z647" t="s">
        <v>59</v>
      </c>
      <c r="AA647" t="s">
        <v>60</v>
      </c>
      <c r="AB647" t="s">
        <v>60</v>
      </c>
      <c r="AC647" t="s">
        <v>61</v>
      </c>
      <c r="AD647" t="s">
        <v>61</v>
      </c>
      <c r="AE647" t="s">
        <v>59</v>
      </c>
      <c r="AF647" t="s">
        <v>59</v>
      </c>
      <c r="AG647" t="s">
        <v>59</v>
      </c>
      <c r="AH647" t="s">
        <v>59</v>
      </c>
      <c r="AI647" t="s">
        <v>61</v>
      </c>
      <c r="AJ647" t="s">
        <v>59</v>
      </c>
      <c r="AK647" t="s">
        <v>59</v>
      </c>
      <c r="AL647" t="s">
        <v>59</v>
      </c>
      <c r="AM647" t="s">
        <v>59</v>
      </c>
      <c r="AN647" t="s">
        <v>59</v>
      </c>
      <c r="AO647" t="s">
        <v>59</v>
      </c>
      <c r="AP647" t="s">
        <v>1424</v>
      </c>
      <c r="AQ647" s="1" t="s">
        <v>1425</v>
      </c>
      <c r="AR647" t="s">
        <v>226</v>
      </c>
      <c r="AS647" t="s">
        <v>352</v>
      </c>
      <c r="AT647" t="s">
        <v>352</v>
      </c>
      <c r="AU647" t="s">
        <v>299</v>
      </c>
      <c r="AW647" s="4">
        <f t="shared" si="353"/>
        <v>6</v>
      </c>
      <c r="AX647" s="4">
        <f t="shared" si="354"/>
        <v>4</v>
      </c>
      <c r="AY647" s="4">
        <f t="shared" si="355"/>
        <v>4</v>
      </c>
      <c r="AZ647" s="4">
        <f t="shared" si="356"/>
        <v>2</v>
      </c>
      <c r="BA647" s="4">
        <f t="shared" si="357"/>
        <v>4</v>
      </c>
      <c r="BB647" s="4">
        <f t="shared" si="358"/>
        <v>4</v>
      </c>
      <c r="BC647" s="4">
        <f t="shared" si="359"/>
        <v>4</v>
      </c>
      <c r="BD647" s="4">
        <f t="shared" si="360"/>
        <v>2</v>
      </c>
      <c r="BE647" s="4">
        <f t="shared" si="361"/>
        <v>4</v>
      </c>
      <c r="BF647" s="4">
        <f t="shared" si="362"/>
        <v>2</v>
      </c>
      <c r="BG647" s="4">
        <f t="shared" si="363"/>
        <v>4</v>
      </c>
      <c r="BH647" s="4">
        <f t="shared" si="364"/>
        <v>4</v>
      </c>
      <c r="BI647" s="4">
        <f t="shared" si="365"/>
        <v>4</v>
      </c>
      <c r="BJ647" s="4">
        <f t="shared" si="366"/>
        <v>2</v>
      </c>
      <c r="BK647" s="4" t="str">
        <f t="shared" si="367"/>
        <v>0</v>
      </c>
      <c r="BL647" s="4" t="str">
        <f t="shared" si="368"/>
        <v>0</v>
      </c>
      <c r="BM647" s="4">
        <f t="shared" si="369"/>
        <v>4</v>
      </c>
      <c r="BN647" s="4">
        <f t="shared" si="370"/>
        <v>4</v>
      </c>
      <c r="BO647" s="4">
        <f t="shared" si="371"/>
        <v>4</v>
      </c>
      <c r="BP647" s="4">
        <f t="shared" si="372"/>
        <v>4</v>
      </c>
      <c r="BQ647" s="4">
        <f t="shared" si="373"/>
        <v>6</v>
      </c>
      <c r="BR647" s="4">
        <f t="shared" si="374"/>
        <v>4</v>
      </c>
      <c r="BS647" s="4">
        <f t="shared" si="375"/>
        <v>4</v>
      </c>
      <c r="BT647" s="4">
        <f t="shared" si="376"/>
        <v>4</v>
      </c>
      <c r="BU647" s="4">
        <f t="shared" si="377"/>
        <v>4</v>
      </c>
      <c r="BV647" s="4">
        <f t="shared" si="378"/>
        <v>0</v>
      </c>
      <c r="BW647" s="4">
        <f t="shared" si="379"/>
        <v>6</v>
      </c>
      <c r="BX647" s="4">
        <f t="shared" si="380"/>
        <v>0</v>
      </c>
      <c r="BY647" s="4">
        <f t="shared" si="381"/>
        <v>0</v>
      </c>
      <c r="BZ647" s="37">
        <f t="shared" si="382"/>
        <v>94</v>
      </c>
      <c r="CA647" s="32" t="str">
        <f>VLOOKUP(J:J,'Agent wise'!A:C,3,0)</f>
        <v>Amal</v>
      </c>
      <c r="CB647" s="32">
        <f t="shared" si="383"/>
        <v>45942</v>
      </c>
      <c r="CC647" t="str">
        <f t="shared" si="384"/>
        <v>Good</v>
      </c>
      <c r="CE647" s="32"/>
      <c r="CJ647">
        <f t="shared" si="385"/>
        <v>12</v>
      </c>
      <c r="CK647">
        <f t="shared" si="386"/>
        <v>10</v>
      </c>
      <c r="CL647">
        <f t="shared" si="387"/>
        <v>2025</v>
      </c>
    </row>
    <row r="648" spans="1:90" ht="15" customHeight="1" x14ac:dyDescent="0.35">
      <c r="A648" s="40">
        <v>46001.718414351853</v>
      </c>
      <c r="B648" t="s">
        <v>100</v>
      </c>
      <c r="C648" t="s">
        <v>214</v>
      </c>
      <c r="D648" t="s">
        <v>101</v>
      </c>
      <c r="E648" s="32">
        <v>45942</v>
      </c>
      <c r="F648" t="s">
        <v>222</v>
      </c>
      <c r="G648" s="32">
        <v>45941</v>
      </c>
      <c r="H648">
        <v>9159868228</v>
      </c>
      <c r="I648">
        <v>166</v>
      </c>
      <c r="J648" t="s">
        <v>356</v>
      </c>
      <c r="K648" t="s">
        <v>71</v>
      </c>
      <c r="L648" t="s">
        <v>72</v>
      </c>
      <c r="M648" t="s">
        <v>59</v>
      </c>
      <c r="N648" t="s">
        <v>59</v>
      </c>
      <c r="O648" t="s">
        <v>60</v>
      </c>
      <c r="P648" t="s">
        <v>59</v>
      </c>
      <c r="Q648" t="s">
        <v>59</v>
      </c>
      <c r="R648" t="s">
        <v>60</v>
      </c>
      <c r="S648" t="s">
        <v>59</v>
      </c>
      <c r="T648" t="s">
        <v>59</v>
      </c>
      <c r="U648" t="s">
        <v>59</v>
      </c>
      <c r="V648" t="s">
        <v>59</v>
      </c>
      <c r="W648" t="s">
        <v>59</v>
      </c>
      <c r="X648" t="s">
        <v>59</v>
      </c>
      <c r="Y648" t="s">
        <v>59</v>
      </c>
      <c r="Z648" t="s">
        <v>59</v>
      </c>
      <c r="AA648" t="s">
        <v>60</v>
      </c>
      <c r="AB648" t="s">
        <v>59</v>
      </c>
      <c r="AC648" t="s">
        <v>59</v>
      </c>
      <c r="AD648" t="s">
        <v>59</v>
      </c>
      <c r="AE648" t="s">
        <v>59</v>
      </c>
      <c r="AF648" t="s">
        <v>59</v>
      </c>
      <c r="AG648" t="s">
        <v>59</v>
      </c>
      <c r="AH648" t="s">
        <v>59</v>
      </c>
      <c r="AI648" t="s">
        <v>61</v>
      </c>
      <c r="AJ648" t="s">
        <v>59</v>
      </c>
      <c r="AK648" t="s">
        <v>59</v>
      </c>
      <c r="AL648" t="s">
        <v>59</v>
      </c>
      <c r="AM648" t="s">
        <v>59</v>
      </c>
      <c r="AN648" t="s">
        <v>59</v>
      </c>
      <c r="AO648" t="s">
        <v>59</v>
      </c>
      <c r="AP648" t="s">
        <v>1426</v>
      </c>
      <c r="AQ648" s="1" t="s">
        <v>1427</v>
      </c>
      <c r="AR648" t="s">
        <v>226</v>
      </c>
      <c r="AS648" t="s">
        <v>352</v>
      </c>
      <c r="AT648" t="s">
        <v>352</v>
      </c>
      <c r="AU648" t="s">
        <v>299</v>
      </c>
      <c r="AW648" s="4">
        <f t="shared" si="353"/>
        <v>6</v>
      </c>
      <c r="AX648" s="4">
        <f t="shared" si="354"/>
        <v>4</v>
      </c>
      <c r="AY648" s="4" t="str">
        <f t="shared" si="355"/>
        <v>0</v>
      </c>
      <c r="AZ648" s="4">
        <f t="shared" si="356"/>
        <v>2</v>
      </c>
      <c r="BA648" s="4">
        <f t="shared" si="357"/>
        <v>4</v>
      </c>
      <c r="BB648" s="4" t="str">
        <f t="shared" si="358"/>
        <v>0</v>
      </c>
      <c r="BC648" s="4">
        <f t="shared" si="359"/>
        <v>4</v>
      </c>
      <c r="BD648" s="4">
        <f t="shared" si="360"/>
        <v>2</v>
      </c>
      <c r="BE648" s="4">
        <f t="shared" si="361"/>
        <v>4</v>
      </c>
      <c r="BF648" s="4">
        <f t="shared" si="362"/>
        <v>2</v>
      </c>
      <c r="BG648" s="4">
        <f t="shared" si="363"/>
        <v>4</v>
      </c>
      <c r="BH648" s="4">
        <f t="shared" si="364"/>
        <v>4</v>
      </c>
      <c r="BI648" s="4">
        <f t="shared" si="365"/>
        <v>4</v>
      </c>
      <c r="BJ648" s="4">
        <f t="shared" si="366"/>
        <v>2</v>
      </c>
      <c r="BK648" s="4" t="str">
        <f t="shared" si="367"/>
        <v>0</v>
      </c>
      <c r="BL648" s="4">
        <f t="shared" si="368"/>
        <v>2</v>
      </c>
      <c r="BM648" s="4">
        <f t="shared" si="369"/>
        <v>4</v>
      </c>
      <c r="BN648" s="4">
        <f t="shared" si="370"/>
        <v>4</v>
      </c>
      <c r="BO648" s="4">
        <f t="shared" si="371"/>
        <v>4</v>
      </c>
      <c r="BP648" s="4">
        <f t="shared" si="372"/>
        <v>4</v>
      </c>
      <c r="BQ648" s="4">
        <f t="shared" si="373"/>
        <v>6</v>
      </c>
      <c r="BR648" s="4">
        <f t="shared" si="374"/>
        <v>4</v>
      </c>
      <c r="BS648" s="4">
        <f t="shared" si="375"/>
        <v>4</v>
      </c>
      <c r="BT648" s="4">
        <f t="shared" si="376"/>
        <v>4</v>
      </c>
      <c r="BU648" s="4">
        <f t="shared" si="377"/>
        <v>4</v>
      </c>
      <c r="BV648" s="4">
        <f t="shared" si="378"/>
        <v>0</v>
      </c>
      <c r="BW648" s="4">
        <f t="shared" si="379"/>
        <v>6</v>
      </c>
      <c r="BX648" s="4">
        <f t="shared" si="380"/>
        <v>0</v>
      </c>
      <c r="BY648" s="4">
        <f t="shared" si="381"/>
        <v>0</v>
      </c>
      <c r="BZ648" s="37">
        <f t="shared" si="382"/>
        <v>88</v>
      </c>
      <c r="CA648" s="32" t="str">
        <f>VLOOKUP(J:J,'Agent wise'!A:C,3,0)</f>
        <v>Amal</v>
      </c>
      <c r="CB648" s="32">
        <f t="shared" si="383"/>
        <v>45942</v>
      </c>
      <c r="CC648" t="str">
        <f t="shared" si="384"/>
        <v>Average</v>
      </c>
      <c r="CE648" s="32"/>
      <c r="CJ648">
        <f t="shared" si="385"/>
        <v>12</v>
      </c>
      <c r="CK648">
        <f t="shared" si="386"/>
        <v>10</v>
      </c>
      <c r="CL648">
        <f t="shared" si="387"/>
        <v>2025</v>
      </c>
    </row>
    <row r="649" spans="1:90" ht="15" customHeight="1" x14ac:dyDescent="0.35">
      <c r="A649" s="40">
        <v>46001.728912037041</v>
      </c>
      <c r="B649" t="s">
        <v>100</v>
      </c>
      <c r="C649" t="s">
        <v>214</v>
      </c>
      <c r="D649" t="s">
        <v>101</v>
      </c>
      <c r="E649" s="32">
        <v>45942</v>
      </c>
      <c r="F649" t="s">
        <v>54</v>
      </c>
      <c r="G649" s="32">
        <v>45941</v>
      </c>
      <c r="H649">
        <v>9443074996</v>
      </c>
      <c r="I649">
        <v>155</v>
      </c>
      <c r="J649" t="s">
        <v>650</v>
      </c>
      <c r="K649" t="s">
        <v>71</v>
      </c>
      <c r="L649" t="s">
        <v>72</v>
      </c>
      <c r="M649" t="s">
        <v>59</v>
      </c>
      <c r="N649" t="s">
        <v>59</v>
      </c>
      <c r="O649" t="s">
        <v>59</v>
      </c>
      <c r="P649" t="s">
        <v>59</v>
      </c>
      <c r="Q649" t="s">
        <v>59</v>
      </c>
      <c r="R649" t="s">
        <v>59</v>
      </c>
      <c r="S649" t="s">
        <v>59</v>
      </c>
      <c r="T649" t="s">
        <v>59</v>
      </c>
      <c r="U649" t="s">
        <v>59</v>
      </c>
      <c r="V649" t="s">
        <v>59</v>
      </c>
      <c r="W649" t="s">
        <v>59</v>
      </c>
      <c r="X649" t="s">
        <v>59</v>
      </c>
      <c r="Y649" t="s">
        <v>59</v>
      </c>
      <c r="Z649" t="s">
        <v>59</v>
      </c>
      <c r="AA649" t="s">
        <v>60</v>
      </c>
      <c r="AB649" t="s">
        <v>60</v>
      </c>
      <c r="AC649" t="s">
        <v>61</v>
      </c>
      <c r="AD649" t="s">
        <v>61</v>
      </c>
      <c r="AE649" t="s">
        <v>59</v>
      </c>
      <c r="AF649" t="s">
        <v>59</v>
      </c>
      <c r="AG649" t="s">
        <v>59</v>
      </c>
      <c r="AH649" t="s">
        <v>59</v>
      </c>
      <c r="AI649" t="s">
        <v>61</v>
      </c>
      <c r="AJ649" t="s">
        <v>59</v>
      </c>
      <c r="AK649" t="s">
        <v>59</v>
      </c>
      <c r="AL649" t="s">
        <v>59</v>
      </c>
      <c r="AM649" t="s">
        <v>59</v>
      </c>
      <c r="AN649" t="s">
        <v>59</v>
      </c>
      <c r="AO649" t="s">
        <v>59</v>
      </c>
      <c r="AP649" t="s">
        <v>798</v>
      </c>
      <c r="AQ649" s="1" t="s">
        <v>1428</v>
      </c>
      <c r="AR649" t="s">
        <v>226</v>
      </c>
      <c r="AS649" t="s">
        <v>352</v>
      </c>
      <c r="AT649" t="s">
        <v>352</v>
      </c>
      <c r="AU649" t="s">
        <v>219</v>
      </c>
      <c r="AW649" s="4">
        <f t="shared" si="353"/>
        <v>6</v>
      </c>
      <c r="AX649" s="4">
        <f t="shared" si="354"/>
        <v>4</v>
      </c>
      <c r="AY649" s="4">
        <f t="shared" si="355"/>
        <v>4</v>
      </c>
      <c r="AZ649" s="4">
        <f t="shared" si="356"/>
        <v>2</v>
      </c>
      <c r="BA649" s="4">
        <f t="shared" si="357"/>
        <v>4</v>
      </c>
      <c r="BB649" s="4">
        <f t="shared" si="358"/>
        <v>4</v>
      </c>
      <c r="BC649" s="4">
        <f t="shared" si="359"/>
        <v>4</v>
      </c>
      <c r="BD649" s="4">
        <f t="shared" si="360"/>
        <v>2</v>
      </c>
      <c r="BE649" s="4">
        <f t="shared" si="361"/>
        <v>4</v>
      </c>
      <c r="BF649" s="4">
        <f t="shared" si="362"/>
        <v>2</v>
      </c>
      <c r="BG649" s="4">
        <f t="shared" si="363"/>
        <v>4</v>
      </c>
      <c r="BH649" s="4">
        <f t="shared" si="364"/>
        <v>4</v>
      </c>
      <c r="BI649" s="4">
        <f t="shared" si="365"/>
        <v>4</v>
      </c>
      <c r="BJ649" s="4">
        <f t="shared" si="366"/>
        <v>2</v>
      </c>
      <c r="BK649" s="4" t="str">
        <f t="shared" si="367"/>
        <v>0</v>
      </c>
      <c r="BL649" s="4" t="str">
        <f t="shared" si="368"/>
        <v>0</v>
      </c>
      <c r="BM649" s="4">
        <f t="shared" si="369"/>
        <v>4</v>
      </c>
      <c r="BN649" s="4">
        <f t="shared" si="370"/>
        <v>4</v>
      </c>
      <c r="BO649" s="4">
        <f t="shared" si="371"/>
        <v>4</v>
      </c>
      <c r="BP649" s="4">
        <f t="shared" si="372"/>
        <v>4</v>
      </c>
      <c r="BQ649" s="4">
        <f t="shared" si="373"/>
        <v>6</v>
      </c>
      <c r="BR649" s="4">
        <f t="shared" si="374"/>
        <v>4</v>
      </c>
      <c r="BS649" s="4">
        <f t="shared" si="375"/>
        <v>4</v>
      </c>
      <c r="BT649" s="4">
        <f t="shared" si="376"/>
        <v>4</v>
      </c>
      <c r="BU649" s="4">
        <f t="shared" si="377"/>
        <v>4</v>
      </c>
      <c r="BV649" s="4">
        <f t="shared" si="378"/>
        <v>0</v>
      </c>
      <c r="BW649" s="4">
        <f t="shared" si="379"/>
        <v>6</v>
      </c>
      <c r="BX649" s="4">
        <f t="shared" si="380"/>
        <v>0</v>
      </c>
      <c r="BY649" s="4">
        <f t="shared" si="381"/>
        <v>0</v>
      </c>
      <c r="BZ649" s="37">
        <f t="shared" si="382"/>
        <v>94</v>
      </c>
      <c r="CA649" s="32" t="str">
        <f>VLOOKUP(J:J,'Agent wise'!A:C,3,0)</f>
        <v>Adharsh</v>
      </c>
      <c r="CB649" s="32">
        <f t="shared" si="383"/>
        <v>45942</v>
      </c>
      <c r="CC649" t="str">
        <f t="shared" si="384"/>
        <v>Good</v>
      </c>
      <c r="CE649" s="32"/>
      <c r="CJ649">
        <f t="shared" si="385"/>
        <v>12</v>
      </c>
      <c r="CK649">
        <f t="shared" si="386"/>
        <v>10</v>
      </c>
      <c r="CL649">
        <f t="shared" si="387"/>
        <v>2025</v>
      </c>
    </row>
    <row r="650" spans="1:90" ht="15" customHeight="1" x14ac:dyDescent="0.35">
      <c r="A650" s="40">
        <v>46001.743055555547</v>
      </c>
      <c r="B650" t="s">
        <v>100</v>
      </c>
      <c r="C650" t="s">
        <v>214</v>
      </c>
      <c r="D650" t="s">
        <v>101</v>
      </c>
      <c r="E650" s="32">
        <v>45942</v>
      </c>
      <c r="F650" t="s">
        <v>54</v>
      </c>
      <c r="G650" s="32">
        <v>45941</v>
      </c>
      <c r="H650">
        <v>8547758141</v>
      </c>
      <c r="I650">
        <v>133</v>
      </c>
      <c r="J650" t="s">
        <v>154</v>
      </c>
      <c r="K650" t="s">
        <v>57</v>
      </c>
      <c r="L650" t="s">
        <v>58</v>
      </c>
      <c r="M650" t="s">
        <v>59</v>
      </c>
      <c r="N650" t="s">
        <v>59</v>
      </c>
      <c r="O650" t="s">
        <v>59</v>
      </c>
      <c r="P650" t="s">
        <v>59</v>
      </c>
      <c r="Q650" t="s">
        <v>59</v>
      </c>
      <c r="R650" t="s">
        <v>59</v>
      </c>
      <c r="S650" t="s">
        <v>59</v>
      </c>
      <c r="T650" t="s">
        <v>59</v>
      </c>
      <c r="U650" t="s">
        <v>60</v>
      </c>
      <c r="V650" t="s">
        <v>59</v>
      </c>
      <c r="W650" t="s">
        <v>59</v>
      </c>
      <c r="X650" t="s">
        <v>59</v>
      </c>
      <c r="Y650" t="s">
        <v>59</v>
      </c>
      <c r="Z650" t="s">
        <v>59</v>
      </c>
      <c r="AA650" t="s">
        <v>60</v>
      </c>
      <c r="AB650" t="s">
        <v>59</v>
      </c>
      <c r="AC650" t="s">
        <v>59</v>
      </c>
      <c r="AD650" t="s">
        <v>61</v>
      </c>
      <c r="AE650" t="s">
        <v>59</v>
      </c>
      <c r="AF650" t="s">
        <v>59</v>
      </c>
      <c r="AG650" t="s">
        <v>59</v>
      </c>
      <c r="AH650" t="s">
        <v>59</v>
      </c>
      <c r="AI650" t="s">
        <v>61</v>
      </c>
      <c r="AJ650" t="s">
        <v>59</v>
      </c>
      <c r="AK650" t="s">
        <v>59</v>
      </c>
      <c r="AL650" t="s">
        <v>60</v>
      </c>
      <c r="AM650" t="s">
        <v>59</v>
      </c>
      <c r="AN650" t="s">
        <v>59</v>
      </c>
      <c r="AO650" t="s">
        <v>59</v>
      </c>
      <c r="AP650" t="s">
        <v>1429</v>
      </c>
      <c r="AQ650" s="1" t="s">
        <v>1430</v>
      </c>
      <c r="AR650" t="s">
        <v>64</v>
      </c>
      <c r="AS650" t="s">
        <v>135</v>
      </c>
      <c r="AT650" t="s">
        <v>1185</v>
      </c>
      <c r="AU650" t="s">
        <v>299</v>
      </c>
      <c r="AW650" s="4">
        <f t="shared" si="353"/>
        <v>6</v>
      </c>
      <c r="AX650" s="4">
        <f t="shared" si="354"/>
        <v>4</v>
      </c>
      <c r="AY650" s="4">
        <f t="shared" si="355"/>
        <v>4</v>
      </c>
      <c r="AZ650" s="4">
        <f t="shared" si="356"/>
        <v>2</v>
      </c>
      <c r="BA650" s="4">
        <f t="shared" si="357"/>
        <v>4</v>
      </c>
      <c r="BB650" s="4">
        <f t="shared" si="358"/>
        <v>4</v>
      </c>
      <c r="BC650" s="4">
        <f t="shared" si="359"/>
        <v>4</v>
      </c>
      <c r="BD650" s="4">
        <f t="shared" si="360"/>
        <v>2</v>
      </c>
      <c r="BE650" s="4" t="str">
        <f t="shared" si="361"/>
        <v>0</v>
      </c>
      <c r="BF650" s="4">
        <f t="shared" si="362"/>
        <v>2</v>
      </c>
      <c r="BG650" s="4">
        <f t="shared" si="363"/>
        <v>4</v>
      </c>
      <c r="BH650" s="4">
        <f t="shared" si="364"/>
        <v>4</v>
      </c>
      <c r="BI650" s="4">
        <f t="shared" si="365"/>
        <v>4</v>
      </c>
      <c r="BJ650" s="4">
        <f t="shared" si="366"/>
        <v>2</v>
      </c>
      <c r="BK650" s="4" t="str">
        <f t="shared" si="367"/>
        <v>0</v>
      </c>
      <c r="BL650" s="4">
        <f t="shared" si="368"/>
        <v>2</v>
      </c>
      <c r="BM650" s="4">
        <f t="shared" si="369"/>
        <v>4</v>
      </c>
      <c r="BN650" s="4">
        <f t="shared" si="370"/>
        <v>4</v>
      </c>
      <c r="BO650" s="4">
        <f t="shared" si="371"/>
        <v>4</v>
      </c>
      <c r="BP650" s="4">
        <f t="shared" si="372"/>
        <v>4</v>
      </c>
      <c r="BQ650" s="4">
        <f t="shared" si="373"/>
        <v>6</v>
      </c>
      <c r="BR650" s="4">
        <f t="shared" si="374"/>
        <v>4</v>
      </c>
      <c r="BS650" s="4">
        <f t="shared" si="375"/>
        <v>4</v>
      </c>
      <c r="BT650" s="4">
        <f t="shared" si="376"/>
        <v>4</v>
      </c>
      <c r="BU650" s="4">
        <f t="shared" si="377"/>
        <v>4</v>
      </c>
      <c r="BV650" s="4" t="str">
        <f t="shared" si="378"/>
        <v>0</v>
      </c>
      <c r="BW650" s="4">
        <f t="shared" si="379"/>
        <v>6</v>
      </c>
      <c r="BX650" s="4">
        <f t="shared" si="380"/>
        <v>0</v>
      </c>
      <c r="BY650" s="4">
        <f t="shared" si="381"/>
        <v>0</v>
      </c>
      <c r="BZ650" s="37">
        <f t="shared" si="382"/>
        <v>92</v>
      </c>
      <c r="CA650" s="32" t="str">
        <f>VLOOKUP(J:J,'Agent wise'!A:C,3,0)</f>
        <v>Shakeer</v>
      </c>
      <c r="CB650" s="32">
        <f t="shared" si="383"/>
        <v>45942</v>
      </c>
      <c r="CC650" t="str">
        <f t="shared" si="384"/>
        <v>Good</v>
      </c>
      <c r="CE650" s="32"/>
      <c r="CJ650">
        <f t="shared" si="385"/>
        <v>12</v>
      </c>
      <c r="CK650">
        <f t="shared" si="386"/>
        <v>10</v>
      </c>
      <c r="CL650">
        <f t="shared" si="387"/>
        <v>2025</v>
      </c>
    </row>
    <row r="651" spans="1:90" ht="15" customHeight="1" x14ac:dyDescent="0.35">
      <c r="A651" s="40">
        <v>46001.756493055553</v>
      </c>
      <c r="B651" t="s">
        <v>100</v>
      </c>
      <c r="C651" t="s">
        <v>214</v>
      </c>
      <c r="D651" t="s">
        <v>101</v>
      </c>
      <c r="E651" s="32">
        <v>45942</v>
      </c>
      <c r="F651" t="s">
        <v>222</v>
      </c>
      <c r="G651" s="32">
        <v>45939</v>
      </c>
      <c r="H651">
        <v>9400782153</v>
      </c>
      <c r="I651">
        <v>173</v>
      </c>
      <c r="J651" t="s">
        <v>575</v>
      </c>
      <c r="K651" t="s">
        <v>57</v>
      </c>
      <c r="L651" t="s">
        <v>58</v>
      </c>
      <c r="M651" t="s">
        <v>59</v>
      </c>
      <c r="N651" t="s">
        <v>59</v>
      </c>
      <c r="O651" t="s">
        <v>59</v>
      </c>
      <c r="P651" t="s">
        <v>59</v>
      </c>
      <c r="Q651" t="s">
        <v>59</v>
      </c>
      <c r="R651" t="s">
        <v>60</v>
      </c>
      <c r="S651" t="s">
        <v>59</v>
      </c>
      <c r="T651" t="s">
        <v>59</v>
      </c>
      <c r="U651" t="s">
        <v>60</v>
      </c>
      <c r="V651" t="s">
        <v>59</v>
      </c>
      <c r="W651" t="s">
        <v>59</v>
      </c>
      <c r="X651" t="s">
        <v>59</v>
      </c>
      <c r="Y651" t="s">
        <v>59</v>
      </c>
      <c r="Z651" t="s">
        <v>59</v>
      </c>
      <c r="AA651" t="s">
        <v>59</v>
      </c>
      <c r="AB651" t="s">
        <v>59</v>
      </c>
      <c r="AC651" t="s">
        <v>59</v>
      </c>
      <c r="AD651" t="s">
        <v>59</v>
      </c>
      <c r="AE651" t="s">
        <v>59</v>
      </c>
      <c r="AF651" t="s">
        <v>59</v>
      </c>
      <c r="AG651" t="s">
        <v>59</v>
      </c>
      <c r="AH651" t="s">
        <v>59</v>
      </c>
      <c r="AI651" t="s">
        <v>61</v>
      </c>
      <c r="AJ651" t="s">
        <v>59</v>
      </c>
      <c r="AK651" t="s">
        <v>59</v>
      </c>
      <c r="AL651" t="s">
        <v>60</v>
      </c>
      <c r="AM651" t="s">
        <v>59</v>
      </c>
      <c r="AN651" t="s">
        <v>59</v>
      </c>
      <c r="AO651" t="s">
        <v>59</v>
      </c>
      <c r="AP651" t="s">
        <v>1400</v>
      </c>
      <c r="AQ651" s="1" t="s">
        <v>1431</v>
      </c>
      <c r="AR651" t="s">
        <v>226</v>
      </c>
      <c r="AS651" t="s">
        <v>352</v>
      </c>
      <c r="AT651" t="s">
        <v>352</v>
      </c>
      <c r="AU651" t="s">
        <v>299</v>
      </c>
      <c r="AW651" s="4">
        <f t="shared" si="353"/>
        <v>6</v>
      </c>
      <c r="AX651" s="4">
        <f t="shared" si="354"/>
        <v>4</v>
      </c>
      <c r="AY651" s="4">
        <f t="shared" si="355"/>
        <v>4</v>
      </c>
      <c r="AZ651" s="4">
        <f t="shared" si="356"/>
        <v>2</v>
      </c>
      <c r="BA651" s="4">
        <f t="shared" si="357"/>
        <v>4</v>
      </c>
      <c r="BB651" s="4" t="str">
        <f t="shared" si="358"/>
        <v>0</v>
      </c>
      <c r="BC651" s="4">
        <f t="shared" si="359"/>
        <v>4</v>
      </c>
      <c r="BD651" s="4">
        <f t="shared" si="360"/>
        <v>2</v>
      </c>
      <c r="BE651" s="4" t="str">
        <f t="shared" si="361"/>
        <v>0</v>
      </c>
      <c r="BF651" s="4">
        <f t="shared" si="362"/>
        <v>2</v>
      </c>
      <c r="BG651" s="4">
        <f t="shared" si="363"/>
        <v>4</v>
      </c>
      <c r="BH651" s="4">
        <f t="shared" si="364"/>
        <v>4</v>
      </c>
      <c r="BI651" s="4">
        <f t="shared" si="365"/>
        <v>4</v>
      </c>
      <c r="BJ651" s="4">
        <f t="shared" si="366"/>
        <v>2</v>
      </c>
      <c r="BK651" s="4">
        <f t="shared" si="367"/>
        <v>4</v>
      </c>
      <c r="BL651" s="4">
        <f t="shared" si="368"/>
        <v>2</v>
      </c>
      <c r="BM651" s="4">
        <f t="shared" si="369"/>
        <v>4</v>
      </c>
      <c r="BN651" s="4">
        <f t="shared" si="370"/>
        <v>4</v>
      </c>
      <c r="BO651" s="4">
        <f t="shared" si="371"/>
        <v>4</v>
      </c>
      <c r="BP651" s="4">
        <f t="shared" si="372"/>
        <v>4</v>
      </c>
      <c r="BQ651" s="4">
        <f t="shared" si="373"/>
        <v>6</v>
      </c>
      <c r="BR651" s="4">
        <f t="shared" si="374"/>
        <v>4</v>
      </c>
      <c r="BS651" s="4">
        <f t="shared" si="375"/>
        <v>4</v>
      </c>
      <c r="BT651" s="4">
        <f t="shared" si="376"/>
        <v>4</v>
      </c>
      <c r="BU651" s="4">
        <f t="shared" si="377"/>
        <v>4</v>
      </c>
      <c r="BV651" s="4" t="str">
        <f t="shared" si="378"/>
        <v>0</v>
      </c>
      <c r="BW651" s="4">
        <f t="shared" si="379"/>
        <v>6</v>
      </c>
      <c r="BX651" s="4">
        <f t="shared" si="380"/>
        <v>0</v>
      </c>
      <c r="BY651" s="4">
        <f t="shared" si="381"/>
        <v>0</v>
      </c>
      <c r="BZ651" s="37">
        <f t="shared" si="382"/>
        <v>92</v>
      </c>
      <c r="CA651" s="32" t="str">
        <f>VLOOKUP(J:J,'Agent wise'!A:C,3,0)</f>
        <v>Shakeer</v>
      </c>
      <c r="CB651" s="32">
        <f t="shared" si="383"/>
        <v>45942</v>
      </c>
      <c r="CC651" t="str">
        <f t="shared" si="384"/>
        <v>Good</v>
      </c>
      <c r="CE651" s="32"/>
      <c r="CJ651">
        <f t="shared" si="385"/>
        <v>12</v>
      </c>
      <c r="CK651">
        <f t="shared" si="386"/>
        <v>10</v>
      </c>
      <c r="CL651">
        <f t="shared" si="387"/>
        <v>2025</v>
      </c>
    </row>
    <row r="652" spans="1:90" ht="15" customHeight="1" x14ac:dyDescent="0.35">
      <c r="A652" s="40">
        <v>46001.759942129633</v>
      </c>
      <c r="B652" t="s">
        <v>100</v>
      </c>
      <c r="C652" t="s">
        <v>214</v>
      </c>
      <c r="D652" t="s">
        <v>101</v>
      </c>
      <c r="E652" s="32">
        <v>45942</v>
      </c>
      <c r="F652" t="s">
        <v>222</v>
      </c>
      <c r="G652" s="32">
        <v>45940</v>
      </c>
      <c r="H652">
        <v>7449150241</v>
      </c>
      <c r="I652">
        <v>156</v>
      </c>
      <c r="J652" t="s">
        <v>501</v>
      </c>
      <c r="K652" t="s">
        <v>71</v>
      </c>
      <c r="L652" t="s">
        <v>72</v>
      </c>
      <c r="M652" t="s">
        <v>59</v>
      </c>
      <c r="N652" t="s">
        <v>59</v>
      </c>
      <c r="O652" t="s">
        <v>59</v>
      </c>
      <c r="P652" t="s">
        <v>59</v>
      </c>
      <c r="Q652" t="s">
        <v>59</v>
      </c>
      <c r="R652" t="s">
        <v>60</v>
      </c>
      <c r="S652" t="s">
        <v>59</v>
      </c>
      <c r="T652" t="s">
        <v>59</v>
      </c>
      <c r="U652" t="s">
        <v>60</v>
      </c>
      <c r="V652" t="s">
        <v>59</v>
      </c>
      <c r="W652" t="s">
        <v>59</v>
      </c>
      <c r="X652" t="s">
        <v>59</v>
      </c>
      <c r="Y652" t="s">
        <v>59</v>
      </c>
      <c r="Z652" t="s">
        <v>59</v>
      </c>
      <c r="AA652" t="s">
        <v>60</v>
      </c>
      <c r="AB652" t="s">
        <v>59</v>
      </c>
      <c r="AC652" t="s">
        <v>59</v>
      </c>
      <c r="AD652" t="s">
        <v>61</v>
      </c>
      <c r="AE652" t="s">
        <v>59</v>
      </c>
      <c r="AF652" t="s">
        <v>59</v>
      </c>
      <c r="AG652" t="s">
        <v>59</v>
      </c>
      <c r="AH652" t="s">
        <v>59</v>
      </c>
      <c r="AI652" t="s">
        <v>61</v>
      </c>
      <c r="AJ652" t="s">
        <v>59</v>
      </c>
      <c r="AK652" t="s">
        <v>59</v>
      </c>
      <c r="AL652" t="s">
        <v>60</v>
      </c>
      <c r="AM652" t="s">
        <v>59</v>
      </c>
      <c r="AN652" t="s">
        <v>59</v>
      </c>
      <c r="AO652" t="s">
        <v>59</v>
      </c>
      <c r="AP652" t="s">
        <v>1400</v>
      </c>
      <c r="AQ652" s="1" t="s">
        <v>1432</v>
      </c>
      <c r="AR652" t="s">
        <v>64</v>
      </c>
      <c r="AS652" t="s">
        <v>352</v>
      </c>
      <c r="AT652" t="s">
        <v>352</v>
      </c>
      <c r="AU652" t="s">
        <v>299</v>
      </c>
      <c r="AW652" s="4">
        <f t="shared" si="353"/>
        <v>6</v>
      </c>
      <c r="AX652" s="4">
        <f t="shared" si="354"/>
        <v>4</v>
      </c>
      <c r="AY652" s="4">
        <f t="shared" si="355"/>
        <v>4</v>
      </c>
      <c r="AZ652" s="4">
        <f t="shared" si="356"/>
        <v>2</v>
      </c>
      <c r="BA652" s="4">
        <f t="shared" si="357"/>
        <v>4</v>
      </c>
      <c r="BB652" s="4" t="str">
        <f t="shared" si="358"/>
        <v>0</v>
      </c>
      <c r="BC652" s="4">
        <f t="shared" si="359"/>
        <v>4</v>
      </c>
      <c r="BD652" s="4">
        <f t="shared" si="360"/>
        <v>2</v>
      </c>
      <c r="BE652" s="4" t="str">
        <f t="shared" si="361"/>
        <v>0</v>
      </c>
      <c r="BF652" s="4">
        <f t="shared" si="362"/>
        <v>2</v>
      </c>
      <c r="BG652" s="4">
        <f t="shared" si="363"/>
        <v>4</v>
      </c>
      <c r="BH652" s="4">
        <f t="shared" si="364"/>
        <v>4</v>
      </c>
      <c r="BI652" s="4">
        <f t="shared" si="365"/>
        <v>4</v>
      </c>
      <c r="BJ652" s="4">
        <f t="shared" si="366"/>
        <v>2</v>
      </c>
      <c r="BK652" s="4" t="str">
        <f t="shared" si="367"/>
        <v>0</v>
      </c>
      <c r="BL652" s="4">
        <f t="shared" si="368"/>
        <v>2</v>
      </c>
      <c r="BM652" s="4">
        <f t="shared" si="369"/>
        <v>4</v>
      </c>
      <c r="BN652" s="4">
        <f t="shared" si="370"/>
        <v>4</v>
      </c>
      <c r="BO652" s="4">
        <f t="shared" si="371"/>
        <v>4</v>
      </c>
      <c r="BP652" s="4">
        <f t="shared" si="372"/>
        <v>4</v>
      </c>
      <c r="BQ652" s="4">
        <f t="shared" si="373"/>
        <v>6</v>
      </c>
      <c r="BR652" s="4">
        <f t="shared" si="374"/>
        <v>4</v>
      </c>
      <c r="BS652" s="4">
        <f t="shared" si="375"/>
        <v>4</v>
      </c>
      <c r="BT652" s="4">
        <f t="shared" si="376"/>
        <v>4</v>
      </c>
      <c r="BU652" s="4">
        <f t="shared" si="377"/>
        <v>4</v>
      </c>
      <c r="BV652" s="4" t="str">
        <f t="shared" si="378"/>
        <v>0</v>
      </c>
      <c r="BW652" s="4">
        <f t="shared" si="379"/>
        <v>6</v>
      </c>
      <c r="BX652" s="4">
        <f t="shared" si="380"/>
        <v>0</v>
      </c>
      <c r="BY652" s="4">
        <f t="shared" si="381"/>
        <v>0</v>
      </c>
      <c r="BZ652" s="37">
        <f t="shared" si="382"/>
        <v>88</v>
      </c>
      <c r="CA652" s="32" t="str">
        <f>VLOOKUP(J:J,'Agent wise'!A:C,3,0)</f>
        <v>Amal</v>
      </c>
      <c r="CB652" s="32">
        <f t="shared" si="383"/>
        <v>45942</v>
      </c>
      <c r="CC652" t="str">
        <f t="shared" si="384"/>
        <v>Average</v>
      </c>
      <c r="CE652" s="32"/>
      <c r="CJ652">
        <f t="shared" si="385"/>
        <v>12</v>
      </c>
      <c r="CK652">
        <f t="shared" si="386"/>
        <v>10</v>
      </c>
      <c r="CL652">
        <f t="shared" si="387"/>
        <v>2025</v>
      </c>
    </row>
    <row r="653" spans="1:90" ht="15" customHeight="1" x14ac:dyDescent="0.35">
      <c r="A653" s="40">
        <v>46001.761504629627</v>
      </c>
      <c r="B653" t="s">
        <v>100</v>
      </c>
      <c r="C653" t="s">
        <v>214</v>
      </c>
      <c r="D653" t="s">
        <v>101</v>
      </c>
      <c r="E653" s="32">
        <v>45942</v>
      </c>
      <c r="F653" t="s">
        <v>222</v>
      </c>
      <c r="G653" s="32">
        <v>45940</v>
      </c>
      <c r="H653">
        <v>8281855594</v>
      </c>
      <c r="I653">
        <v>147</v>
      </c>
      <c r="J653" t="s">
        <v>409</v>
      </c>
      <c r="K653" t="s">
        <v>57</v>
      </c>
      <c r="L653" t="s">
        <v>58</v>
      </c>
      <c r="M653" t="s">
        <v>59</v>
      </c>
      <c r="N653" t="s">
        <v>59</v>
      </c>
      <c r="O653" t="s">
        <v>59</v>
      </c>
      <c r="P653" t="s">
        <v>59</v>
      </c>
      <c r="Q653" t="s">
        <v>59</v>
      </c>
      <c r="R653" t="s">
        <v>59</v>
      </c>
      <c r="S653" t="s">
        <v>59</v>
      </c>
      <c r="T653" t="s">
        <v>59</v>
      </c>
      <c r="U653" t="s">
        <v>59</v>
      </c>
      <c r="V653" t="s">
        <v>59</v>
      </c>
      <c r="W653" t="s">
        <v>59</v>
      </c>
      <c r="X653" t="s">
        <v>59</v>
      </c>
      <c r="Y653" t="s">
        <v>59</v>
      </c>
      <c r="Z653" t="s">
        <v>59</v>
      </c>
      <c r="AA653" t="s">
        <v>60</v>
      </c>
      <c r="AB653" t="s">
        <v>59</v>
      </c>
      <c r="AC653" t="s">
        <v>59</v>
      </c>
      <c r="AD653" t="s">
        <v>59</v>
      </c>
      <c r="AE653" t="s">
        <v>59</v>
      </c>
      <c r="AF653" t="s">
        <v>59</v>
      </c>
      <c r="AG653" t="s">
        <v>59</v>
      </c>
      <c r="AH653" t="s">
        <v>59</v>
      </c>
      <c r="AI653" t="s">
        <v>61</v>
      </c>
      <c r="AJ653" t="s">
        <v>59</v>
      </c>
      <c r="AK653" t="s">
        <v>59</v>
      </c>
      <c r="AL653" t="s">
        <v>60</v>
      </c>
      <c r="AM653" t="s">
        <v>59</v>
      </c>
      <c r="AN653" t="s">
        <v>59</v>
      </c>
      <c r="AO653" t="s">
        <v>59</v>
      </c>
      <c r="AP653" t="s">
        <v>1433</v>
      </c>
      <c r="AQ653" s="1" t="s">
        <v>1434</v>
      </c>
      <c r="AR653" t="s">
        <v>226</v>
      </c>
      <c r="AS653" t="s">
        <v>352</v>
      </c>
      <c r="AT653" t="s">
        <v>352</v>
      </c>
      <c r="AU653" t="s">
        <v>219</v>
      </c>
      <c r="AW653" s="4">
        <f t="shared" si="353"/>
        <v>6</v>
      </c>
      <c r="AX653" s="4">
        <f t="shared" si="354"/>
        <v>4</v>
      </c>
      <c r="AY653" s="4">
        <f t="shared" si="355"/>
        <v>4</v>
      </c>
      <c r="AZ653" s="4">
        <f t="shared" si="356"/>
        <v>2</v>
      </c>
      <c r="BA653" s="4">
        <f t="shared" si="357"/>
        <v>4</v>
      </c>
      <c r="BB653" s="4">
        <f t="shared" si="358"/>
        <v>4</v>
      </c>
      <c r="BC653" s="4">
        <f t="shared" si="359"/>
        <v>4</v>
      </c>
      <c r="BD653" s="4">
        <f t="shared" si="360"/>
        <v>2</v>
      </c>
      <c r="BE653" s="4">
        <f t="shared" si="361"/>
        <v>4</v>
      </c>
      <c r="BF653" s="4">
        <f t="shared" si="362"/>
        <v>2</v>
      </c>
      <c r="BG653" s="4">
        <f t="shared" si="363"/>
        <v>4</v>
      </c>
      <c r="BH653" s="4">
        <f t="shared" si="364"/>
        <v>4</v>
      </c>
      <c r="BI653" s="4">
        <f t="shared" si="365"/>
        <v>4</v>
      </c>
      <c r="BJ653" s="4">
        <f t="shared" si="366"/>
        <v>2</v>
      </c>
      <c r="BK653" s="4" t="str">
        <f t="shared" si="367"/>
        <v>0</v>
      </c>
      <c r="BL653" s="4">
        <f t="shared" si="368"/>
        <v>2</v>
      </c>
      <c r="BM653" s="4">
        <f t="shared" si="369"/>
        <v>4</v>
      </c>
      <c r="BN653" s="4">
        <f t="shared" si="370"/>
        <v>4</v>
      </c>
      <c r="BO653" s="4">
        <f t="shared" si="371"/>
        <v>4</v>
      </c>
      <c r="BP653" s="4">
        <f t="shared" si="372"/>
        <v>4</v>
      </c>
      <c r="BQ653" s="4">
        <f t="shared" si="373"/>
        <v>6</v>
      </c>
      <c r="BR653" s="4">
        <f t="shared" si="374"/>
        <v>4</v>
      </c>
      <c r="BS653" s="4">
        <f t="shared" si="375"/>
        <v>4</v>
      </c>
      <c r="BT653" s="4">
        <f t="shared" si="376"/>
        <v>4</v>
      </c>
      <c r="BU653" s="4">
        <f t="shared" si="377"/>
        <v>4</v>
      </c>
      <c r="BV653" s="4" t="str">
        <f t="shared" si="378"/>
        <v>0</v>
      </c>
      <c r="BW653" s="4">
        <f t="shared" si="379"/>
        <v>6</v>
      </c>
      <c r="BX653" s="4">
        <f t="shared" si="380"/>
        <v>0</v>
      </c>
      <c r="BY653" s="4">
        <f t="shared" si="381"/>
        <v>0</v>
      </c>
      <c r="BZ653" s="37">
        <f t="shared" si="382"/>
        <v>96</v>
      </c>
      <c r="CA653" s="32" t="str">
        <f>VLOOKUP(J:J,'Agent wise'!A:C,3,0)</f>
        <v>Amal</v>
      </c>
      <c r="CB653" s="32">
        <f t="shared" si="383"/>
        <v>45942</v>
      </c>
      <c r="CC653" t="str">
        <f t="shared" si="384"/>
        <v>Excellent</v>
      </c>
      <c r="CE653" s="32"/>
      <c r="CJ653">
        <f t="shared" si="385"/>
        <v>12</v>
      </c>
      <c r="CK653">
        <f t="shared" si="386"/>
        <v>10</v>
      </c>
      <c r="CL653">
        <f t="shared" si="387"/>
        <v>2025</v>
      </c>
    </row>
    <row r="654" spans="1:90" ht="15" customHeight="1" x14ac:dyDescent="0.35">
      <c r="A654" s="40">
        <v>46001.763460648152</v>
      </c>
      <c r="B654" t="s">
        <v>100</v>
      </c>
      <c r="C654" t="s">
        <v>214</v>
      </c>
      <c r="D654" t="s">
        <v>101</v>
      </c>
      <c r="E654" s="32">
        <v>45942</v>
      </c>
      <c r="F654" t="s">
        <v>222</v>
      </c>
      <c r="G654" s="32">
        <v>45940</v>
      </c>
      <c r="H654">
        <v>9688143152</v>
      </c>
      <c r="I654">
        <v>130</v>
      </c>
      <c r="J654" t="s">
        <v>1435</v>
      </c>
      <c r="K654" t="s">
        <v>71</v>
      </c>
      <c r="L654" t="s">
        <v>72</v>
      </c>
      <c r="M654" t="s">
        <v>59</v>
      </c>
      <c r="N654" t="s">
        <v>59</v>
      </c>
      <c r="O654" t="s">
        <v>59</v>
      </c>
      <c r="P654" t="s">
        <v>59</v>
      </c>
      <c r="Q654" t="s">
        <v>59</v>
      </c>
      <c r="R654" t="s">
        <v>59</v>
      </c>
      <c r="S654" t="s">
        <v>59</v>
      </c>
      <c r="T654" t="s">
        <v>59</v>
      </c>
      <c r="U654" t="s">
        <v>60</v>
      </c>
      <c r="V654" t="s">
        <v>59</v>
      </c>
      <c r="W654" t="s">
        <v>59</v>
      </c>
      <c r="X654" t="s">
        <v>59</v>
      </c>
      <c r="Y654" t="s">
        <v>59</v>
      </c>
      <c r="Z654" t="s">
        <v>59</v>
      </c>
      <c r="AA654" t="s">
        <v>60</v>
      </c>
      <c r="AB654" t="s">
        <v>60</v>
      </c>
      <c r="AC654" t="s">
        <v>61</v>
      </c>
      <c r="AD654" t="s">
        <v>61</v>
      </c>
      <c r="AE654" t="s">
        <v>59</v>
      </c>
      <c r="AF654" t="s">
        <v>59</v>
      </c>
      <c r="AG654" t="s">
        <v>59</v>
      </c>
      <c r="AH654" t="s">
        <v>59</v>
      </c>
      <c r="AI654" t="s">
        <v>61</v>
      </c>
      <c r="AJ654" t="s">
        <v>59</v>
      </c>
      <c r="AK654" t="s">
        <v>59</v>
      </c>
      <c r="AL654" t="s">
        <v>60</v>
      </c>
      <c r="AM654" t="s">
        <v>59</v>
      </c>
      <c r="AN654" t="s">
        <v>59</v>
      </c>
      <c r="AO654" t="s">
        <v>59</v>
      </c>
      <c r="AP654" t="s">
        <v>798</v>
      </c>
      <c r="AQ654" s="1" t="s">
        <v>1436</v>
      </c>
      <c r="AR654" t="s">
        <v>226</v>
      </c>
      <c r="AS654" t="s">
        <v>352</v>
      </c>
      <c r="AT654" t="s">
        <v>352</v>
      </c>
      <c r="AU654" t="s">
        <v>299</v>
      </c>
      <c r="AW654" s="4">
        <f t="shared" si="353"/>
        <v>6</v>
      </c>
      <c r="AX654" s="4">
        <f t="shared" si="354"/>
        <v>4</v>
      </c>
      <c r="AY654" s="4">
        <f t="shared" si="355"/>
        <v>4</v>
      </c>
      <c r="AZ654" s="4">
        <f t="shared" si="356"/>
        <v>2</v>
      </c>
      <c r="BA654" s="4">
        <f t="shared" si="357"/>
        <v>4</v>
      </c>
      <c r="BB654" s="4">
        <f t="shared" si="358"/>
        <v>4</v>
      </c>
      <c r="BC654" s="4">
        <f t="shared" si="359"/>
        <v>4</v>
      </c>
      <c r="BD654" s="4">
        <f t="shared" si="360"/>
        <v>2</v>
      </c>
      <c r="BE654" s="4" t="str">
        <f t="shared" si="361"/>
        <v>0</v>
      </c>
      <c r="BF654" s="4">
        <f t="shared" si="362"/>
        <v>2</v>
      </c>
      <c r="BG654" s="4">
        <f t="shared" si="363"/>
        <v>4</v>
      </c>
      <c r="BH654" s="4">
        <f t="shared" si="364"/>
        <v>4</v>
      </c>
      <c r="BI654" s="4">
        <f t="shared" si="365"/>
        <v>4</v>
      </c>
      <c r="BJ654" s="4">
        <f t="shared" si="366"/>
        <v>2</v>
      </c>
      <c r="BK654" s="4" t="str">
        <f t="shared" si="367"/>
        <v>0</v>
      </c>
      <c r="BL654" s="4" t="str">
        <f t="shared" si="368"/>
        <v>0</v>
      </c>
      <c r="BM654" s="4">
        <f t="shared" si="369"/>
        <v>4</v>
      </c>
      <c r="BN654" s="4">
        <f t="shared" si="370"/>
        <v>4</v>
      </c>
      <c r="BO654" s="4">
        <f t="shared" si="371"/>
        <v>4</v>
      </c>
      <c r="BP654" s="4">
        <f t="shared" si="372"/>
        <v>4</v>
      </c>
      <c r="BQ654" s="4">
        <f t="shared" si="373"/>
        <v>6</v>
      </c>
      <c r="BR654" s="4">
        <f t="shared" si="374"/>
        <v>4</v>
      </c>
      <c r="BS654" s="4">
        <f t="shared" si="375"/>
        <v>4</v>
      </c>
      <c r="BT654" s="4">
        <f t="shared" si="376"/>
        <v>4</v>
      </c>
      <c r="BU654" s="4">
        <f t="shared" si="377"/>
        <v>4</v>
      </c>
      <c r="BV654" s="4" t="str">
        <f t="shared" si="378"/>
        <v>0</v>
      </c>
      <c r="BW654" s="4">
        <f t="shared" si="379"/>
        <v>6</v>
      </c>
      <c r="BX654" s="4">
        <f t="shared" si="380"/>
        <v>0</v>
      </c>
      <c r="BY654" s="4">
        <f t="shared" si="381"/>
        <v>0</v>
      </c>
      <c r="BZ654" s="37">
        <f t="shared" si="382"/>
        <v>90</v>
      </c>
      <c r="CA654" s="32" t="e">
        <f>VLOOKUP(J:J,'Agent wise'!A:C,3,0)</f>
        <v>#N/A</v>
      </c>
      <c r="CB654" s="32">
        <f t="shared" si="383"/>
        <v>45942</v>
      </c>
      <c r="CC654" t="str">
        <f t="shared" si="384"/>
        <v>Good</v>
      </c>
      <c r="CE654" s="32"/>
      <c r="CJ654">
        <f t="shared" si="385"/>
        <v>12</v>
      </c>
      <c r="CK654">
        <f t="shared" si="386"/>
        <v>10</v>
      </c>
      <c r="CL654">
        <f t="shared" si="387"/>
        <v>2025</v>
      </c>
    </row>
    <row r="655" spans="1:90" ht="15" customHeight="1" x14ac:dyDescent="0.35">
      <c r="A655" s="40">
        <v>46001.76525462963</v>
      </c>
      <c r="B655" t="s">
        <v>100</v>
      </c>
      <c r="C655" t="s">
        <v>214</v>
      </c>
      <c r="D655" t="s">
        <v>101</v>
      </c>
      <c r="E655" s="32">
        <v>45942</v>
      </c>
      <c r="F655" t="s">
        <v>222</v>
      </c>
      <c r="G655" s="32">
        <v>45940</v>
      </c>
      <c r="H655">
        <v>7736440446</v>
      </c>
      <c r="I655">
        <v>134</v>
      </c>
      <c r="J655" t="s">
        <v>548</v>
      </c>
      <c r="K655" t="s">
        <v>57</v>
      </c>
      <c r="L655" t="s">
        <v>58</v>
      </c>
      <c r="M655" t="s">
        <v>59</v>
      </c>
      <c r="N655" t="s">
        <v>59</v>
      </c>
      <c r="O655" t="s">
        <v>59</v>
      </c>
      <c r="P655" t="s">
        <v>59</v>
      </c>
      <c r="Q655" t="s">
        <v>59</v>
      </c>
      <c r="R655" t="s">
        <v>59</v>
      </c>
      <c r="S655" t="s">
        <v>59</v>
      </c>
      <c r="T655" t="s">
        <v>59</v>
      </c>
      <c r="U655" t="s">
        <v>60</v>
      </c>
      <c r="V655" t="s">
        <v>59</v>
      </c>
      <c r="W655" t="s">
        <v>59</v>
      </c>
      <c r="X655" t="s">
        <v>59</v>
      </c>
      <c r="Y655" t="s">
        <v>59</v>
      </c>
      <c r="Z655" t="s">
        <v>59</v>
      </c>
      <c r="AA655" t="s">
        <v>60</v>
      </c>
      <c r="AB655" t="s">
        <v>61</v>
      </c>
      <c r="AC655" t="s">
        <v>61</v>
      </c>
      <c r="AD655" t="s">
        <v>61</v>
      </c>
      <c r="AE655" t="s">
        <v>59</v>
      </c>
      <c r="AF655" t="s">
        <v>59</v>
      </c>
      <c r="AG655" t="s">
        <v>59</v>
      </c>
      <c r="AH655" t="s">
        <v>59</v>
      </c>
      <c r="AI655" t="s">
        <v>61</v>
      </c>
      <c r="AJ655" t="s">
        <v>61</v>
      </c>
      <c r="AK655" t="s">
        <v>59</v>
      </c>
      <c r="AL655" t="s">
        <v>60</v>
      </c>
      <c r="AM655" t="s">
        <v>59</v>
      </c>
      <c r="AN655" t="s">
        <v>59</v>
      </c>
      <c r="AO655" t="s">
        <v>59</v>
      </c>
      <c r="AP655" t="s">
        <v>188</v>
      </c>
      <c r="AQ655" s="1" t="s">
        <v>1437</v>
      </c>
      <c r="AR655" t="s">
        <v>226</v>
      </c>
      <c r="AS655" t="s">
        <v>352</v>
      </c>
      <c r="AT655" t="s">
        <v>352</v>
      </c>
      <c r="AU655" t="s">
        <v>219</v>
      </c>
      <c r="AW655" s="4">
        <f t="shared" si="353"/>
        <v>6</v>
      </c>
      <c r="AX655" s="4">
        <f t="shared" si="354"/>
        <v>4</v>
      </c>
      <c r="AY655" s="4">
        <f t="shared" si="355"/>
        <v>4</v>
      </c>
      <c r="AZ655" s="4">
        <f t="shared" si="356"/>
        <v>2</v>
      </c>
      <c r="BA655" s="4">
        <f t="shared" si="357"/>
        <v>4</v>
      </c>
      <c r="BB655" s="4">
        <f t="shared" si="358"/>
        <v>4</v>
      </c>
      <c r="BC655" s="4">
        <f t="shared" si="359"/>
        <v>4</v>
      </c>
      <c r="BD655" s="4">
        <f t="shared" si="360"/>
        <v>2</v>
      </c>
      <c r="BE655" s="4" t="str">
        <f t="shared" si="361"/>
        <v>0</v>
      </c>
      <c r="BF655" s="4">
        <f t="shared" si="362"/>
        <v>2</v>
      </c>
      <c r="BG655" s="4">
        <f t="shared" si="363"/>
        <v>4</v>
      </c>
      <c r="BH655" s="4">
        <f t="shared" si="364"/>
        <v>4</v>
      </c>
      <c r="BI655" s="4">
        <f t="shared" si="365"/>
        <v>4</v>
      </c>
      <c r="BJ655" s="4">
        <f t="shared" si="366"/>
        <v>2</v>
      </c>
      <c r="BK655" s="4" t="str">
        <f t="shared" si="367"/>
        <v>0</v>
      </c>
      <c r="BL655" s="4">
        <f t="shared" si="368"/>
        <v>2</v>
      </c>
      <c r="BM655" s="4">
        <f t="shared" si="369"/>
        <v>4</v>
      </c>
      <c r="BN655" s="4">
        <f t="shared" si="370"/>
        <v>4</v>
      </c>
      <c r="BO655" s="4">
        <f t="shared" si="371"/>
        <v>4</v>
      </c>
      <c r="BP655" s="4">
        <f t="shared" si="372"/>
        <v>4</v>
      </c>
      <c r="BQ655" s="4">
        <f t="shared" si="373"/>
        <v>6</v>
      </c>
      <c r="BR655" s="4">
        <f t="shared" si="374"/>
        <v>4</v>
      </c>
      <c r="BS655" s="4">
        <f t="shared" si="375"/>
        <v>4</v>
      </c>
      <c r="BT655" s="4">
        <f t="shared" si="376"/>
        <v>4</v>
      </c>
      <c r="BU655" s="4">
        <f t="shared" si="377"/>
        <v>4</v>
      </c>
      <c r="BV655" s="4" t="str">
        <f t="shared" si="378"/>
        <v>0</v>
      </c>
      <c r="BW655" s="4">
        <f t="shared" si="379"/>
        <v>6</v>
      </c>
      <c r="BX655" s="4">
        <f t="shared" si="380"/>
        <v>0</v>
      </c>
      <c r="BY655" s="4">
        <f t="shared" si="381"/>
        <v>0</v>
      </c>
      <c r="BZ655" s="37">
        <f t="shared" si="382"/>
        <v>92</v>
      </c>
      <c r="CA655" s="32" t="str">
        <f>VLOOKUP(J:J,'Agent wise'!A:C,3,0)</f>
        <v>Adharsh</v>
      </c>
      <c r="CB655" s="32">
        <f t="shared" si="383"/>
        <v>45942</v>
      </c>
      <c r="CC655" t="str">
        <f t="shared" si="384"/>
        <v>Good</v>
      </c>
      <c r="CE655" s="32"/>
      <c r="CJ655">
        <f t="shared" si="385"/>
        <v>12</v>
      </c>
      <c r="CK655">
        <f t="shared" si="386"/>
        <v>10</v>
      </c>
      <c r="CL655">
        <f t="shared" si="387"/>
        <v>2025</v>
      </c>
    </row>
    <row r="656" spans="1:90" ht="15" customHeight="1" x14ac:dyDescent="0.35">
      <c r="A656" s="40">
        <v>46001.767650462964</v>
      </c>
      <c r="B656" t="s">
        <v>100</v>
      </c>
      <c r="C656" t="s">
        <v>214</v>
      </c>
      <c r="D656" t="s">
        <v>101</v>
      </c>
      <c r="E656" s="32">
        <v>45942</v>
      </c>
      <c r="F656" t="s">
        <v>222</v>
      </c>
      <c r="G656" s="32">
        <v>45940</v>
      </c>
      <c r="H656">
        <v>7736440446</v>
      </c>
      <c r="I656">
        <v>134</v>
      </c>
      <c r="J656" t="s">
        <v>1438</v>
      </c>
      <c r="K656" t="s">
        <v>57</v>
      </c>
      <c r="L656" t="s">
        <v>58</v>
      </c>
      <c r="M656" t="s">
        <v>59</v>
      </c>
      <c r="N656" t="s">
        <v>59</v>
      </c>
      <c r="O656" t="s">
        <v>59</v>
      </c>
      <c r="P656" t="s">
        <v>59</v>
      </c>
      <c r="Q656" t="s">
        <v>59</v>
      </c>
      <c r="R656" t="s">
        <v>59</v>
      </c>
      <c r="S656" t="s">
        <v>59</v>
      </c>
      <c r="T656" t="s">
        <v>59</v>
      </c>
      <c r="U656" t="s">
        <v>60</v>
      </c>
      <c r="V656" t="s">
        <v>59</v>
      </c>
      <c r="W656" t="s">
        <v>59</v>
      </c>
      <c r="X656" t="s">
        <v>61</v>
      </c>
      <c r="Y656" t="s">
        <v>59</v>
      </c>
      <c r="Z656" t="s">
        <v>59</v>
      </c>
      <c r="AA656" t="s">
        <v>60</v>
      </c>
      <c r="AB656" t="s">
        <v>61</v>
      </c>
      <c r="AC656" t="s">
        <v>61</v>
      </c>
      <c r="AD656" t="s">
        <v>59</v>
      </c>
      <c r="AE656" t="s">
        <v>59</v>
      </c>
      <c r="AF656" t="s">
        <v>59</v>
      </c>
      <c r="AG656" t="s">
        <v>59</v>
      </c>
      <c r="AH656" t="s">
        <v>59</v>
      </c>
      <c r="AI656" t="s">
        <v>61</v>
      </c>
      <c r="AJ656" t="s">
        <v>59</v>
      </c>
      <c r="AK656" t="s">
        <v>59</v>
      </c>
      <c r="AL656" t="s">
        <v>60</v>
      </c>
      <c r="AM656" t="s">
        <v>59</v>
      </c>
      <c r="AN656" t="s">
        <v>59</v>
      </c>
      <c r="AO656" t="s">
        <v>59</v>
      </c>
      <c r="AP656" t="s">
        <v>188</v>
      </c>
      <c r="AQ656" s="1" t="s">
        <v>1439</v>
      </c>
      <c r="AR656" t="s">
        <v>226</v>
      </c>
      <c r="AS656" t="s">
        <v>352</v>
      </c>
      <c r="AT656" t="s">
        <v>352</v>
      </c>
      <c r="AU656" t="s">
        <v>219</v>
      </c>
      <c r="AW656" s="4">
        <f t="shared" si="353"/>
        <v>6</v>
      </c>
      <c r="AX656" s="4">
        <f t="shared" si="354"/>
        <v>4</v>
      </c>
      <c r="AY656" s="4">
        <f t="shared" si="355"/>
        <v>4</v>
      </c>
      <c r="AZ656" s="4">
        <f t="shared" si="356"/>
        <v>2</v>
      </c>
      <c r="BA656" s="4">
        <f t="shared" si="357"/>
        <v>4</v>
      </c>
      <c r="BB656" s="4">
        <f t="shared" si="358"/>
        <v>4</v>
      </c>
      <c r="BC656" s="4">
        <f t="shared" si="359"/>
        <v>4</v>
      </c>
      <c r="BD656" s="4">
        <f t="shared" si="360"/>
        <v>2</v>
      </c>
      <c r="BE656" s="4" t="str">
        <f t="shared" si="361"/>
        <v>0</v>
      </c>
      <c r="BF656" s="4">
        <f t="shared" si="362"/>
        <v>2</v>
      </c>
      <c r="BG656" s="4">
        <f t="shared" si="363"/>
        <v>4</v>
      </c>
      <c r="BH656" s="4">
        <f t="shared" si="364"/>
        <v>4</v>
      </c>
      <c r="BI656" s="4">
        <f t="shared" si="365"/>
        <v>4</v>
      </c>
      <c r="BJ656" s="4">
        <f t="shared" si="366"/>
        <v>2</v>
      </c>
      <c r="BK656" s="4" t="str">
        <f t="shared" si="367"/>
        <v>0</v>
      </c>
      <c r="BL656" s="4">
        <f t="shared" si="368"/>
        <v>2</v>
      </c>
      <c r="BM656" s="4">
        <f t="shared" si="369"/>
        <v>4</v>
      </c>
      <c r="BN656" s="4">
        <f t="shared" si="370"/>
        <v>4</v>
      </c>
      <c r="BO656" s="4">
        <f t="shared" si="371"/>
        <v>4</v>
      </c>
      <c r="BP656" s="4">
        <f t="shared" si="372"/>
        <v>4</v>
      </c>
      <c r="BQ656" s="4">
        <f t="shared" si="373"/>
        <v>6</v>
      </c>
      <c r="BR656" s="4">
        <f t="shared" si="374"/>
        <v>4</v>
      </c>
      <c r="BS656" s="4">
        <f t="shared" si="375"/>
        <v>4</v>
      </c>
      <c r="BT656" s="4">
        <f t="shared" si="376"/>
        <v>4</v>
      </c>
      <c r="BU656" s="4">
        <f t="shared" si="377"/>
        <v>4</v>
      </c>
      <c r="BV656" s="4" t="str">
        <f t="shared" si="378"/>
        <v>0</v>
      </c>
      <c r="BW656" s="4">
        <f t="shared" si="379"/>
        <v>6</v>
      </c>
      <c r="BX656" s="4">
        <f t="shared" si="380"/>
        <v>0</v>
      </c>
      <c r="BY656" s="4">
        <f t="shared" si="381"/>
        <v>0</v>
      </c>
      <c r="BZ656" s="37">
        <f t="shared" si="382"/>
        <v>92</v>
      </c>
      <c r="CA656" s="32" t="e">
        <f>VLOOKUP(J:J,'Agent wise'!A:C,3,0)</f>
        <v>#N/A</v>
      </c>
      <c r="CB656" s="32">
        <f t="shared" si="383"/>
        <v>45942</v>
      </c>
      <c r="CC656" t="str">
        <f t="shared" si="384"/>
        <v>Good</v>
      </c>
      <c r="CE656" s="32"/>
      <c r="CJ656">
        <f t="shared" si="385"/>
        <v>12</v>
      </c>
      <c r="CK656">
        <f t="shared" si="386"/>
        <v>10</v>
      </c>
      <c r="CL656">
        <f t="shared" si="387"/>
        <v>2025</v>
      </c>
    </row>
    <row r="657" spans="1:90" ht="15" customHeight="1" x14ac:dyDescent="0.35">
      <c r="A657" t="s">
        <v>1590</v>
      </c>
      <c r="B657" t="s">
        <v>177</v>
      </c>
      <c r="C657" t="s">
        <v>214</v>
      </c>
      <c r="D657" t="s">
        <v>178</v>
      </c>
      <c r="E657" s="32">
        <v>45941</v>
      </c>
      <c r="F657" t="s">
        <v>90</v>
      </c>
      <c r="G657" s="2">
        <v>45940</v>
      </c>
      <c r="H657">
        <v>9443329636</v>
      </c>
      <c r="I657">
        <v>169</v>
      </c>
      <c r="J657" t="s">
        <v>490</v>
      </c>
      <c r="K657" t="s">
        <v>71</v>
      </c>
      <c r="L657" t="s">
        <v>72</v>
      </c>
      <c r="M657" t="s">
        <v>59</v>
      </c>
      <c r="N657" t="s">
        <v>59</v>
      </c>
      <c r="O657" t="s">
        <v>59</v>
      </c>
      <c r="P657" t="s">
        <v>59</v>
      </c>
      <c r="Q657" t="s">
        <v>59</v>
      </c>
      <c r="R657" t="s">
        <v>59</v>
      </c>
      <c r="S657" t="s">
        <v>59</v>
      </c>
      <c r="T657" t="s">
        <v>59</v>
      </c>
      <c r="U657" t="s">
        <v>59</v>
      </c>
      <c r="V657" t="s">
        <v>59</v>
      </c>
      <c r="W657" t="s">
        <v>59</v>
      </c>
      <c r="X657" t="s">
        <v>59</v>
      </c>
      <c r="Y657" t="s">
        <v>59</v>
      </c>
      <c r="Z657" t="s">
        <v>59</v>
      </c>
      <c r="AA657" t="s">
        <v>59</v>
      </c>
      <c r="AB657" t="s">
        <v>59</v>
      </c>
      <c r="AC657" t="s">
        <v>61</v>
      </c>
      <c r="AD657" t="s">
        <v>59</v>
      </c>
      <c r="AE657" t="s">
        <v>60</v>
      </c>
      <c r="AF657" t="s">
        <v>59</v>
      </c>
      <c r="AG657" t="s">
        <v>59</v>
      </c>
      <c r="AH657" t="s">
        <v>61</v>
      </c>
      <c r="AI657" t="s">
        <v>61</v>
      </c>
      <c r="AJ657" t="s">
        <v>59</v>
      </c>
      <c r="AK657" t="s">
        <v>59</v>
      </c>
      <c r="AL657" t="s">
        <v>59</v>
      </c>
      <c r="AM657" t="s">
        <v>59</v>
      </c>
      <c r="AN657" t="s">
        <v>59</v>
      </c>
      <c r="AO657" t="s">
        <v>59</v>
      </c>
      <c r="AP657" t="s">
        <v>180</v>
      </c>
      <c r="AQ657" s="1" t="s">
        <v>1193</v>
      </c>
      <c r="AR657" t="s">
        <v>64</v>
      </c>
      <c r="AS657" t="s">
        <v>94</v>
      </c>
      <c r="AT657" t="s">
        <v>95</v>
      </c>
      <c r="AU657" t="s">
        <v>219</v>
      </c>
      <c r="AW657" s="4">
        <f t="shared" si="353"/>
        <v>6</v>
      </c>
      <c r="AX657" s="4">
        <f t="shared" si="354"/>
        <v>4</v>
      </c>
      <c r="AY657" s="4">
        <f t="shared" si="355"/>
        <v>4</v>
      </c>
      <c r="AZ657" s="4">
        <f t="shared" si="356"/>
        <v>2</v>
      </c>
      <c r="BA657" s="4">
        <f t="shared" si="357"/>
        <v>4</v>
      </c>
      <c r="BB657" s="4">
        <f t="shared" si="358"/>
        <v>4</v>
      </c>
      <c r="BC657" s="4">
        <f t="shared" si="359"/>
        <v>4</v>
      </c>
      <c r="BD657" s="4">
        <f t="shared" si="360"/>
        <v>2</v>
      </c>
      <c r="BE657" s="4">
        <f t="shared" si="361"/>
        <v>4</v>
      </c>
      <c r="BF657" s="4">
        <f t="shared" si="362"/>
        <v>2</v>
      </c>
      <c r="BG657" s="4">
        <f t="shared" si="363"/>
        <v>4</v>
      </c>
      <c r="BH657" s="4">
        <f t="shared" si="364"/>
        <v>4</v>
      </c>
      <c r="BI657" s="4">
        <f t="shared" si="365"/>
        <v>4</v>
      </c>
      <c r="BJ657" s="4">
        <f t="shared" si="366"/>
        <v>2</v>
      </c>
      <c r="BK657" s="4">
        <f t="shared" si="367"/>
        <v>4</v>
      </c>
      <c r="BL657" s="4">
        <f t="shared" si="368"/>
        <v>2</v>
      </c>
      <c r="BM657" s="4">
        <f t="shared" si="369"/>
        <v>4</v>
      </c>
      <c r="BN657" s="4">
        <f t="shared" si="370"/>
        <v>4</v>
      </c>
      <c r="BO657" s="4" t="str">
        <f t="shared" si="371"/>
        <v>0</v>
      </c>
      <c r="BP657" s="4">
        <f t="shared" si="372"/>
        <v>4</v>
      </c>
      <c r="BQ657" s="4">
        <f t="shared" si="373"/>
        <v>6</v>
      </c>
      <c r="BR657" s="4">
        <f t="shared" si="374"/>
        <v>4</v>
      </c>
      <c r="BS657" s="4">
        <f t="shared" si="375"/>
        <v>4</v>
      </c>
      <c r="BT657" s="4">
        <f t="shared" si="376"/>
        <v>4</v>
      </c>
      <c r="BU657" s="4">
        <f t="shared" si="377"/>
        <v>4</v>
      </c>
      <c r="BV657" s="4">
        <f t="shared" si="378"/>
        <v>0</v>
      </c>
      <c r="BW657" s="4">
        <f t="shared" si="379"/>
        <v>6</v>
      </c>
      <c r="BX657" s="4">
        <f t="shared" si="380"/>
        <v>0</v>
      </c>
      <c r="BY657" s="4">
        <f t="shared" si="381"/>
        <v>0</v>
      </c>
      <c r="BZ657" s="37">
        <f t="shared" si="382"/>
        <v>96</v>
      </c>
      <c r="CA657" s="32" t="str">
        <f>VLOOKUP(J:J,'Agent wise'!A:C,3,0)</f>
        <v>Saran S</v>
      </c>
      <c r="CB657" s="32">
        <f t="shared" si="383"/>
        <v>45941</v>
      </c>
      <c r="CC657" t="str">
        <f t="shared" si="384"/>
        <v>Excellent</v>
      </c>
      <c r="CE657" s="32"/>
      <c r="CJ657">
        <f t="shared" si="385"/>
        <v>11</v>
      </c>
      <c r="CK657">
        <f t="shared" si="386"/>
        <v>10</v>
      </c>
      <c r="CL657">
        <f t="shared" si="387"/>
        <v>2025</v>
      </c>
    </row>
    <row r="658" spans="1:90" ht="15" customHeight="1" x14ac:dyDescent="0.35">
      <c r="A658" t="s">
        <v>1591</v>
      </c>
      <c r="B658" t="s">
        <v>51</v>
      </c>
      <c r="C658" t="s">
        <v>214</v>
      </c>
      <c r="D658" t="s">
        <v>53</v>
      </c>
      <c r="E658" s="32">
        <v>45943</v>
      </c>
      <c r="F658" t="s">
        <v>54</v>
      </c>
      <c r="G658" s="2">
        <v>46001</v>
      </c>
      <c r="H658">
        <v>9188038348</v>
      </c>
      <c r="I658">
        <v>207</v>
      </c>
      <c r="J658" t="s">
        <v>168</v>
      </c>
      <c r="K658" t="s">
        <v>57</v>
      </c>
      <c r="L658" t="s">
        <v>58</v>
      </c>
      <c r="M658" t="s">
        <v>59</v>
      </c>
      <c r="N658" t="s">
        <v>59</v>
      </c>
      <c r="O658" t="s">
        <v>59</v>
      </c>
      <c r="P658" t="s">
        <v>59</v>
      </c>
      <c r="Q658" t="s">
        <v>59</v>
      </c>
      <c r="R658" t="s">
        <v>60</v>
      </c>
      <c r="S658" t="s">
        <v>59</v>
      </c>
      <c r="T658" t="s">
        <v>59</v>
      </c>
      <c r="U658" t="s">
        <v>60</v>
      </c>
      <c r="V658" t="s">
        <v>59</v>
      </c>
      <c r="W658" t="s">
        <v>59</v>
      </c>
      <c r="X658" t="s">
        <v>59</v>
      </c>
      <c r="Y658" t="s">
        <v>59</v>
      </c>
      <c r="Z658" t="s">
        <v>59</v>
      </c>
      <c r="AA658" t="s">
        <v>60</v>
      </c>
      <c r="AB658" t="s">
        <v>60</v>
      </c>
      <c r="AC658" t="s">
        <v>61</v>
      </c>
      <c r="AD658" t="s">
        <v>59</v>
      </c>
      <c r="AE658" t="s">
        <v>59</v>
      </c>
      <c r="AF658" t="s">
        <v>61</v>
      </c>
      <c r="AG658" t="s">
        <v>59</v>
      </c>
      <c r="AH658" t="s">
        <v>61</v>
      </c>
      <c r="AI658" t="s">
        <v>60</v>
      </c>
      <c r="AJ658" t="s">
        <v>59</v>
      </c>
      <c r="AK658" t="s">
        <v>61</v>
      </c>
      <c r="AL658" t="s">
        <v>60</v>
      </c>
      <c r="AM658" t="s">
        <v>59</v>
      </c>
      <c r="AN658" t="s">
        <v>59</v>
      </c>
      <c r="AO658" t="s">
        <v>59</v>
      </c>
      <c r="AP658" t="s">
        <v>1593</v>
      </c>
      <c r="AQ658" t="s">
        <v>506</v>
      </c>
      <c r="AR658" t="s">
        <v>64</v>
      </c>
      <c r="AS658" t="s">
        <v>325</v>
      </c>
      <c r="AT658" t="s">
        <v>324</v>
      </c>
      <c r="AU658" t="s">
        <v>299</v>
      </c>
      <c r="AW658" s="4">
        <f t="shared" si="353"/>
        <v>6</v>
      </c>
      <c r="AX658" s="4">
        <f t="shared" si="354"/>
        <v>4</v>
      </c>
      <c r="AY658" s="4">
        <f t="shared" si="355"/>
        <v>4</v>
      </c>
      <c r="AZ658" s="4">
        <f t="shared" si="356"/>
        <v>2</v>
      </c>
      <c r="BA658" s="4">
        <f t="shared" si="357"/>
        <v>4</v>
      </c>
      <c r="BB658" s="4" t="str">
        <f t="shared" si="358"/>
        <v>0</v>
      </c>
      <c r="BC658" s="4">
        <f t="shared" si="359"/>
        <v>4</v>
      </c>
      <c r="BD658" s="4">
        <f t="shared" si="360"/>
        <v>2</v>
      </c>
      <c r="BE658" s="4" t="str">
        <f t="shared" si="361"/>
        <v>0</v>
      </c>
      <c r="BF658" s="4">
        <f t="shared" si="362"/>
        <v>2</v>
      </c>
      <c r="BG658" s="4">
        <f t="shared" si="363"/>
        <v>4</v>
      </c>
      <c r="BH658" s="4">
        <f t="shared" si="364"/>
        <v>4</v>
      </c>
      <c r="BI658" s="4">
        <f t="shared" si="365"/>
        <v>4</v>
      </c>
      <c r="BJ658" s="4">
        <f t="shared" si="366"/>
        <v>2</v>
      </c>
      <c r="BK658" s="4" t="str">
        <f t="shared" si="367"/>
        <v>0</v>
      </c>
      <c r="BL658" s="4" t="str">
        <f t="shared" si="368"/>
        <v>0</v>
      </c>
      <c r="BM658" s="4">
        <f t="shared" si="369"/>
        <v>4</v>
      </c>
      <c r="BN658" s="4">
        <f t="shared" si="370"/>
        <v>4</v>
      </c>
      <c r="BO658" s="4">
        <f t="shared" si="371"/>
        <v>4</v>
      </c>
      <c r="BP658" s="4">
        <f t="shared" si="372"/>
        <v>4</v>
      </c>
      <c r="BQ658" s="4">
        <f t="shared" si="373"/>
        <v>6</v>
      </c>
      <c r="BR658" s="4">
        <f t="shared" si="374"/>
        <v>4</v>
      </c>
      <c r="BS658" s="4" t="str">
        <f t="shared" si="375"/>
        <v>0</v>
      </c>
      <c r="BT658" s="4">
        <f t="shared" si="376"/>
        <v>4</v>
      </c>
      <c r="BU658" s="4">
        <f t="shared" si="377"/>
        <v>4</v>
      </c>
      <c r="BV658" s="4" t="str">
        <f t="shared" si="378"/>
        <v>0</v>
      </c>
      <c r="BW658" s="4">
        <f t="shared" si="379"/>
        <v>6</v>
      </c>
      <c r="BX658" s="4">
        <f t="shared" si="380"/>
        <v>0</v>
      </c>
      <c r="BY658" s="4">
        <f t="shared" si="381"/>
        <v>0</v>
      </c>
      <c r="BZ658" s="37">
        <f t="shared" si="382"/>
        <v>82</v>
      </c>
      <c r="CA658" s="32" t="str">
        <f>VLOOKUP(J:J,'Agent wise'!A:C,3,0)</f>
        <v>Shakeer</v>
      </c>
      <c r="CB658" s="32">
        <f t="shared" si="383"/>
        <v>45943</v>
      </c>
      <c r="CC658" t="str">
        <f t="shared" si="384"/>
        <v>FC</v>
      </c>
      <c r="CE658" s="32"/>
      <c r="CJ658">
        <f t="shared" si="385"/>
        <v>13</v>
      </c>
      <c r="CK658">
        <f t="shared" si="386"/>
        <v>10</v>
      </c>
      <c r="CL658">
        <f t="shared" si="387"/>
        <v>2025</v>
      </c>
    </row>
    <row r="659" spans="1:90" ht="15" customHeight="1" x14ac:dyDescent="0.35">
      <c r="A659" t="s">
        <v>1594</v>
      </c>
      <c r="B659" t="s">
        <v>51</v>
      </c>
      <c r="C659" t="s">
        <v>214</v>
      </c>
      <c r="D659" t="s">
        <v>53</v>
      </c>
      <c r="E659" s="32">
        <v>45943</v>
      </c>
      <c r="F659" t="s">
        <v>54</v>
      </c>
      <c r="G659" s="2">
        <v>46001</v>
      </c>
      <c r="H659">
        <v>8940366417</v>
      </c>
      <c r="I659">
        <v>177</v>
      </c>
      <c r="J659" t="s">
        <v>231</v>
      </c>
      <c r="K659" t="s">
        <v>71</v>
      </c>
      <c r="L659" t="s">
        <v>72</v>
      </c>
      <c r="M659" t="s">
        <v>59</v>
      </c>
      <c r="N659" t="s">
        <v>59</v>
      </c>
      <c r="O659" t="s">
        <v>59</v>
      </c>
      <c r="P659" t="s">
        <v>59</v>
      </c>
      <c r="Q659" t="s">
        <v>59</v>
      </c>
      <c r="R659" t="s">
        <v>60</v>
      </c>
      <c r="S659" t="s">
        <v>59</v>
      </c>
      <c r="T659" t="s">
        <v>59</v>
      </c>
      <c r="U659" t="s">
        <v>60</v>
      </c>
      <c r="V659" t="s">
        <v>59</v>
      </c>
      <c r="W659" t="s">
        <v>59</v>
      </c>
      <c r="X659" t="s">
        <v>59</v>
      </c>
      <c r="Y659" t="s">
        <v>59</v>
      </c>
      <c r="Z659" t="s">
        <v>59</v>
      </c>
      <c r="AA659" t="s">
        <v>60</v>
      </c>
      <c r="AB659" t="s">
        <v>60</v>
      </c>
      <c r="AC659" t="s">
        <v>61</v>
      </c>
      <c r="AD659" t="s">
        <v>59</v>
      </c>
      <c r="AE659" t="s">
        <v>60</v>
      </c>
      <c r="AF659" t="s">
        <v>61</v>
      </c>
      <c r="AG659" t="s">
        <v>59</v>
      </c>
      <c r="AH659" t="s">
        <v>61</v>
      </c>
      <c r="AI659" t="s">
        <v>60</v>
      </c>
      <c r="AJ659" t="s">
        <v>59</v>
      </c>
      <c r="AK659" t="s">
        <v>61</v>
      </c>
      <c r="AL659" t="s">
        <v>60</v>
      </c>
      <c r="AM659" t="s">
        <v>59</v>
      </c>
      <c r="AN659" t="s">
        <v>59</v>
      </c>
      <c r="AO659" t="s">
        <v>59</v>
      </c>
      <c r="AP659" t="s">
        <v>511</v>
      </c>
      <c r="AQ659" t="s">
        <v>506</v>
      </c>
      <c r="AR659" t="s">
        <v>64</v>
      </c>
      <c r="AS659" t="s">
        <v>78</v>
      </c>
      <c r="AT659" t="s">
        <v>79</v>
      </c>
      <c r="AU659" t="s">
        <v>448</v>
      </c>
      <c r="AW659" s="4">
        <f t="shared" si="353"/>
        <v>6</v>
      </c>
      <c r="AX659" s="4">
        <f t="shared" si="354"/>
        <v>4</v>
      </c>
      <c r="AY659" s="4">
        <f t="shared" si="355"/>
        <v>4</v>
      </c>
      <c r="AZ659" s="4">
        <f t="shared" si="356"/>
        <v>2</v>
      </c>
      <c r="BA659" s="4">
        <f t="shared" si="357"/>
        <v>4</v>
      </c>
      <c r="BB659" s="4" t="str">
        <f t="shared" si="358"/>
        <v>0</v>
      </c>
      <c r="BC659" s="4">
        <f t="shared" si="359"/>
        <v>4</v>
      </c>
      <c r="BD659" s="4">
        <f t="shared" si="360"/>
        <v>2</v>
      </c>
      <c r="BE659" s="4" t="str">
        <f t="shared" si="361"/>
        <v>0</v>
      </c>
      <c r="BF659" s="4">
        <f t="shared" si="362"/>
        <v>2</v>
      </c>
      <c r="BG659" s="4">
        <f t="shared" si="363"/>
        <v>4</v>
      </c>
      <c r="BH659" s="4">
        <f t="shared" si="364"/>
        <v>4</v>
      </c>
      <c r="BI659" s="4">
        <f t="shared" si="365"/>
        <v>4</v>
      </c>
      <c r="BJ659" s="4">
        <f t="shared" si="366"/>
        <v>2</v>
      </c>
      <c r="BK659" s="4" t="str">
        <f t="shared" si="367"/>
        <v>0</v>
      </c>
      <c r="BL659" s="4" t="str">
        <f t="shared" si="368"/>
        <v>0</v>
      </c>
      <c r="BM659" s="4">
        <f t="shared" si="369"/>
        <v>4</v>
      </c>
      <c r="BN659" s="4">
        <f t="shared" si="370"/>
        <v>4</v>
      </c>
      <c r="BO659" s="4" t="str">
        <f t="shared" si="371"/>
        <v>0</v>
      </c>
      <c r="BP659" s="4">
        <f t="shared" si="372"/>
        <v>4</v>
      </c>
      <c r="BQ659" s="4">
        <f t="shared" si="373"/>
        <v>6</v>
      </c>
      <c r="BR659" s="4">
        <f t="shared" si="374"/>
        <v>4</v>
      </c>
      <c r="BS659" s="4" t="str">
        <f t="shared" si="375"/>
        <v>0</v>
      </c>
      <c r="BT659" s="4">
        <f t="shared" si="376"/>
        <v>4</v>
      </c>
      <c r="BU659" s="4">
        <f t="shared" si="377"/>
        <v>4</v>
      </c>
      <c r="BV659" s="4" t="str">
        <f t="shared" si="378"/>
        <v>0</v>
      </c>
      <c r="BW659" s="4">
        <f t="shared" si="379"/>
        <v>6</v>
      </c>
      <c r="BX659" s="4">
        <f t="shared" si="380"/>
        <v>0</v>
      </c>
      <c r="BY659" s="4">
        <f t="shared" si="381"/>
        <v>0</v>
      </c>
      <c r="BZ659" s="37">
        <f t="shared" si="382"/>
        <v>78</v>
      </c>
      <c r="CA659" s="32" t="str">
        <f>VLOOKUP(J:J,'Agent wise'!A:C,3,0)</f>
        <v>Shakeer</v>
      </c>
      <c r="CB659" s="32">
        <f t="shared" si="383"/>
        <v>45943</v>
      </c>
      <c r="CC659" t="str">
        <f t="shared" si="384"/>
        <v>FC</v>
      </c>
      <c r="CE659" s="32"/>
      <c r="CJ659">
        <f t="shared" si="385"/>
        <v>13</v>
      </c>
      <c r="CK659">
        <f t="shared" si="386"/>
        <v>10</v>
      </c>
      <c r="CL659">
        <f t="shared" si="387"/>
        <v>2025</v>
      </c>
    </row>
    <row r="660" spans="1:90" ht="15" customHeight="1" x14ac:dyDescent="0.35">
      <c r="A660" t="s">
        <v>1595</v>
      </c>
      <c r="B660" t="s">
        <v>100</v>
      </c>
      <c r="C660" t="s">
        <v>214</v>
      </c>
      <c r="D660" t="s">
        <v>101</v>
      </c>
      <c r="E660" s="32">
        <v>45943</v>
      </c>
      <c r="F660" t="s">
        <v>54</v>
      </c>
      <c r="G660" s="2">
        <v>46001</v>
      </c>
      <c r="H660">
        <v>9444408564</v>
      </c>
      <c r="I660">
        <v>136</v>
      </c>
      <c r="J660" t="s">
        <v>144</v>
      </c>
      <c r="K660" t="s">
        <v>57</v>
      </c>
      <c r="L660" t="s">
        <v>58</v>
      </c>
      <c r="M660" t="s">
        <v>59</v>
      </c>
      <c r="N660" t="s">
        <v>59</v>
      </c>
      <c r="O660" t="s">
        <v>59</v>
      </c>
      <c r="P660" t="s">
        <v>59</v>
      </c>
      <c r="Q660" t="s">
        <v>59</v>
      </c>
      <c r="R660" t="s">
        <v>60</v>
      </c>
      <c r="S660" t="s">
        <v>59</v>
      </c>
      <c r="T660" t="s">
        <v>59</v>
      </c>
      <c r="U660" t="s">
        <v>60</v>
      </c>
      <c r="V660" t="s">
        <v>59</v>
      </c>
      <c r="W660" t="s">
        <v>59</v>
      </c>
      <c r="X660" t="s">
        <v>59</v>
      </c>
      <c r="Y660" t="s">
        <v>59</v>
      </c>
      <c r="Z660" t="s">
        <v>59</v>
      </c>
      <c r="AA660" t="s">
        <v>59</v>
      </c>
      <c r="AB660" t="s">
        <v>59</v>
      </c>
      <c r="AC660" t="s">
        <v>61</v>
      </c>
      <c r="AD660" t="s">
        <v>61</v>
      </c>
      <c r="AE660" t="s">
        <v>59</v>
      </c>
      <c r="AF660" t="s">
        <v>59</v>
      </c>
      <c r="AG660" t="s">
        <v>59</v>
      </c>
      <c r="AH660" t="s">
        <v>59</v>
      </c>
      <c r="AI660" t="s">
        <v>61</v>
      </c>
      <c r="AJ660" t="s">
        <v>59</v>
      </c>
      <c r="AK660" t="s">
        <v>59</v>
      </c>
      <c r="AL660" t="s">
        <v>59</v>
      </c>
      <c r="AM660" t="s">
        <v>59</v>
      </c>
      <c r="AN660" t="s">
        <v>59</v>
      </c>
      <c r="AO660" t="s">
        <v>59</v>
      </c>
      <c r="AP660" t="s">
        <v>1596</v>
      </c>
      <c r="AQ660" s="1" t="s">
        <v>1597</v>
      </c>
      <c r="AR660" t="s">
        <v>64</v>
      </c>
      <c r="AS660" t="s">
        <v>89</v>
      </c>
      <c r="AT660" t="s">
        <v>293</v>
      </c>
      <c r="AU660" t="s">
        <v>387</v>
      </c>
      <c r="AW660" s="4">
        <f t="shared" si="353"/>
        <v>6</v>
      </c>
      <c r="AX660" s="4">
        <f t="shared" si="354"/>
        <v>4</v>
      </c>
      <c r="AY660" s="4">
        <f t="shared" si="355"/>
        <v>4</v>
      </c>
      <c r="AZ660" s="4">
        <f t="shared" si="356"/>
        <v>2</v>
      </c>
      <c r="BA660" s="4">
        <f t="shared" si="357"/>
        <v>4</v>
      </c>
      <c r="BB660" s="4" t="str">
        <f t="shared" si="358"/>
        <v>0</v>
      </c>
      <c r="BC660" s="4">
        <f t="shared" si="359"/>
        <v>4</v>
      </c>
      <c r="BD660" s="4">
        <f t="shared" si="360"/>
        <v>2</v>
      </c>
      <c r="BE660" s="4" t="str">
        <f t="shared" si="361"/>
        <v>0</v>
      </c>
      <c r="BF660" s="4">
        <f t="shared" si="362"/>
        <v>2</v>
      </c>
      <c r="BG660" s="4">
        <f t="shared" si="363"/>
        <v>4</v>
      </c>
      <c r="BH660" s="4">
        <f t="shared" si="364"/>
        <v>4</v>
      </c>
      <c r="BI660" s="4">
        <f t="shared" si="365"/>
        <v>4</v>
      </c>
      <c r="BJ660" s="4">
        <f t="shared" si="366"/>
        <v>2</v>
      </c>
      <c r="BK660" s="4">
        <f t="shared" si="367"/>
        <v>4</v>
      </c>
      <c r="BL660" s="4">
        <f t="shared" si="368"/>
        <v>2</v>
      </c>
      <c r="BM660" s="4">
        <f t="shared" si="369"/>
        <v>4</v>
      </c>
      <c r="BN660" s="4">
        <f t="shared" si="370"/>
        <v>4</v>
      </c>
      <c r="BO660" s="4">
        <f t="shared" si="371"/>
        <v>4</v>
      </c>
      <c r="BP660" s="4">
        <f t="shared" si="372"/>
        <v>4</v>
      </c>
      <c r="BQ660" s="4">
        <f t="shared" si="373"/>
        <v>6</v>
      </c>
      <c r="BR660" s="4">
        <f t="shared" si="374"/>
        <v>4</v>
      </c>
      <c r="BS660" s="4">
        <f t="shared" si="375"/>
        <v>4</v>
      </c>
      <c r="BT660" s="4">
        <f t="shared" si="376"/>
        <v>4</v>
      </c>
      <c r="BU660" s="4">
        <f t="shared" si="377"/>
        <v>4</v>
      </c>
      <c r="BV660" s="4">
        <f t="shared" si="378"/>
        <v>0</v>
      </c>
      <c r="BW660" s="4">
        <f t="shared" si="379"/>
        <v>6</v>
      </c>
      <c r="BX660" s="4">
        <f t="shared" si="380"/>
        <v>0</v>
      </c>
      <c r="BY660" s="4">
        <f t="shared" si="381"/>
        <v>0</v>
      </c>
      <c r="BZ660" s="37">
        <f t="shared" si="382"/>
        <v>92</v>
      </c>
      <c r="CA660" s="32" t="str">
        <f>VLOOKUP(J:J,'Agent wise'!A:C,3,0)</f>
        <v xml:space="preserve">Shiny </v>
      </c>
      <c r="CB660" s="32">
        <f t="shared" si="383"/>
        <v>45943</v>
      </c>
      <c r="CC660" t="str">
        <f t="shared" si="384"/>
        <v>Good</v>
      </c>
      <c r="CE660" s="32"/>
      <c r="CJ660">
        <f t="shared" si="385"/>
        <v>13</v>
      </c>
      <c r="CK660">
        <f t="shared" si="386"/>
        <v>10</v>
      </c>
      <c r="CL660">
        <f t="shared" si="387"/>
        <v>2025</v>
      </c>
    </row>
    <row r="661" spans="1:90" ht="15" customHeight="1" x14ac:dyDescent="0.35">
      <c r="A661" t="s">
        <v>1598</v>
      </c>
      <c r="B661" t="s">
        <v>250</v>
      </c>
      <c r="C661" t="s">
        <v>214</v>
      </c>
      <c r="D661" t="s">
        <v>251</v>
      </c>
      <c r="E661" s="32">
        <v>45943</v>
      </c>
      <c r="F661" t="s">
        <v>54</v>
      </c>
      <c r="G661" s="2">
        <v>46001</v>
      </c>
      <c r="H661">
        <v>9947134871</v>
      </c>
      <c r="I661">
        <v>161</v>
      </c>
      <c r="J661" t="s">
        <v>56</v>
      </c>
      <c r="K661" t="s">
        <v>57</v>
      </c>
      <c r="L661" t="s">
        <v>58</v>
      </c>
      <c r="M661" t="s">
        <v>59</v>
      </c>
      <c r="N661" t="s">
        <v>59</v>
      </c>
      <c r="O661" t="s">
        <v>59</v>
      </c>
      <c r="P661" t="s">
        <v>59</v>
      </c>
      <c r="Q661" t="s">
        <v>59</v>
      </c>
      <c r="R661" t="s">
        <v>59</v>
      </c>
      <c r="S661" t="s">
        <v>59</v>
      </c>
      <c r="T661" t="s">
        <v>59</v>
      </c>
      <c r="U661" t="s">
        <v>60</v>
      </c>
      <c r="V661" t="s">
        <v>59</v>
      </c>
      <c r="W661" t="s">
        <v>59</v>
      </c>
      <c r="X661" t="s">
        <v>59</v>
      </c>
      <c r="Y661" t="s">
        <v>59</v>
      </c>
      <c r="Z661" t="s">
        <v>60</v>
      </c>
      <c r="AA661" t="s">
        <v>59</v>
      </c>
      <c r="AB661" t="s">
        <v>59</v>
      </c>
      <c r="AC661" t="s">
        <v>59</v>
      </c>
      <c r="AD661" t="s">
        <v>59</v>
      </c>
      <c r="AE661" t="s">
        <v>59</v>
      </c>
      <c r="AF661" t="s">
        <v>59</v>
      </c>
      <c r="AG661" t="s">
        <v>59</v>
      </c>
      <c r="AH661" t="s">
        <v>61</v>
      </c>
      <c r="AI661" t="s">
        <v>61</v>
      </c>
      <c r="AJ661" t="s">
        <v>59</v>
      </c>
      <c r="AK661" t="s">
        <v>59</v>
      </c>
      <c r="AL661" t="s">
        <v>60</v>
      </c>
      <c r="AM661" t="s">
        <v>59</v>
      </c>
      <c r="AN661" t="s">
        <v>59</v>
      </c>
      <c r="AO661" t="s">
        <v>59</v>
      </c>
      <c r="AP661" t="s">
        <v>1599</v>
      </c>
      <c r="AQ661" t="s">
        <v>1600</v>
      </c>
      <c r="AR661" t="s">
        <v>64</v>
      </c>
      <c r="AS661" t="s">
        <v>417</v>
      </c>
      <c r="AT661" t="s">
        <v>418</v>
      </c>
      <c r="AU661" t="s">
        <v>387</v>
      </c>
      <c r="AW661" s="4">
        <f t="shared" si="353"/>
        <v>6</v>
      </c>
      <c r="AX661" s="4">
        <f t="shared" si="354"/>
        <v>4</v>
      </c>
      <c r="AY661" s="4">
        <f t="shared" si="355"/>
        <v>4</v>
      </c>
      <c r="AZ661" s="4">
        <f t="shared" si="356"/>
        <v>2</v>
      </c>
      <c r="BA661" s="4">
        <f t="shared" si="357"/>
        <v>4</v>
      </c>
      <c r="BB661" s="4">
        <f t="shared" si="358"/>
        <v>4</v>
      </c>
      <c r="BC661" s="4">
        <f t="shared" si="359"/>
        <v>4</v>
      </c>
      <c r="BD661" s="4">
        <f t="shared" si="360"/>
        <v>2</v>
      </c>
      <c r="BE661" s="4" t="str">
        <f t="shared" si="361"/>
        <v>0</v>
      </c>
      <c r="BF661" s="4">
        <f t="shared" si="362"/>
        <v>2</v>
      </c>
      <c r="BG661" s="4">
        <f t="shared" si="363"/>
        <v>4</v>
      </c>
      <c r="BH661" s="4">
        <f t="shared" si="364"/>
        <v>4</v>
      </c>
      <c r="BI661" s="4">
        <f t="shared" si="365"/>
        <v>4</v>
      </c>
      <c r="BJ661" s="4" t="str">
        <f t="shared" si="366"/>
        <v>0</v>
      </c>
      <c r="BK661" s="4">
        <f t="shared" si="367"/>
        <v>4</v>
      </c>
      <c r="BL661" s="4">
        <f t="shared" si="368"/>
        <v>2</v>
      </c>
      <c r="BM661" s="4">
        <f t="shared" si="369"/>
        <v>4</v>
      </c>
      <c r="BN661" s="4">
        <f t="shared" si="370"/>
        <v>4</v>
      </c>
      <c r="BO661" s="4">
        <f t="shared" si="371"/>
        <v>4</v>
      </c>
      <c r="BP661" s="4">
        <f t="shared" si="372"/>
        <v>4</v>
      </c>
      <c r="BQ661" s="4">
        <f t="shared" si="373"/>
        <v>6</v>
      </c>
      <c r="BR661" s="4">
        <f t="shared" si="374"/>
        <v>4</v>
      </c>
      <c r="BS661" s="4">
        <f t="shared" si="375"/>
        <v>4</v>
      </c>
      <c r="BT661" s="4">
        <f t="shared" si="376"/>
        <v>4</v>
      </c>
      <c r="BU661" s="4">
        <f t="shared" si="377"/>
        <v>4</v>
      </c>
      <c r="BV661" s="4" t="str">
        <f t="shared" si="378"/>
        <v>0</v>
      </c>
      <c r="BW661" s="4">
        <f t="shared" si="379"/>
        <v>6</v>
      </c>
      <c r="BX661" s="4">
        <f t="shared" si="380"/>
        <v>0</v>
      </c>
      <c r="BY661" s="4">
        <f t="shared" si="381"/>
        <v>0</v>
      </c>
      <c r="BZ661" s="37">
        <f t="shared" si="382"/>
        <v>94</v>
      </c>
      <c r="CA661" s="32" t="str">
        <f>VLOOKUP(J:J,'Agent wise'!A:C,3,0)</f>
        <v>Saran S</v>
      </c>
      <c r="CB661" s="32">
        <f t="shared" si="383"/>
        <v>45943</v>
      </c>
      <c r="CC661" t="str">
        <f t="shared" si="384"/>
        <v>Good</v>
      </c>
      <c r="CE661" s="32"/>
      <c r="CJ661">
        <f t="shared" si="385"/>
        <v>13</v>
      </c>
      <c r="CK661">
        <f t="shared" si="386"/>
        <v>10</v>
      </c>
      <c r="CL661">
        <f t="shared" si="387"/>
        <v>2025</v>
      </c>
    </row>
    <row r="662" spans="1:90" ht="15" customHeight="1" x14ac:dyDescent="0.35">
      <c r="A662" t="s">
        <v>1601</v>
      </c>
      <c r="B662" t="s">
        <v>100</v>
      </c>
      <c r="C662" t="s">
        <v>214</v>
      </c>
      <c r="D662" t="s">
        <v>101</v>
      </c>
      <c r="E662" s="32">
        <v>45943</v>
      </c>
      <c r="F662" t="s">
        <v>54</v>
      </c>
      <c r="G662" s="2">
        <v>46001</v>
      </c>
      <c r="H662">
        <v>9895338039</v>
      </c>
      <c r="I662">
        <v>144</v>
      </c>
      <c r="J662" t="s">
        <v>144</v>
      </c>
      <c r="K662" t="s">
        <v>57</v>
      </c>
      <c r="L662" t="s">
        <v>58</v>
      </c>
      <c r="M662" t="s">
        <v>59</v>
      </c>
      <c r="N662" t="s">
        <v>59</v>
      </c>
      <c r="O662" t="s">
        <v>59</v>
      </c>
      <c r="P662" t="s">
        <v>59</v>
      </c>
      <c r="Q662" t="s">
        <v>59</v>
      </c>
      <c r="R662" t="s">
        <v>60</v>
      </c>
      <c r="S662" t="s">
        <v>59</v>
      </c>
      <c r="T662" t="s">
        <v>59</v>
      </c>
      <c r="U662" t="s">
        <v>60</v>
      </c>
      <c r="V662" t="s">
        <v>59</v>
      </c>
      <c r="W662" t="s">
        <v>59</v>
      </c>
      <c r="X662" t="s">
        <v>59</v>
      </c>
      <c r="Y662" t="s">
        <v>59</v>
      </c>
      <c r="Z662" t="s">
        <v>59</v>
      </c>
      <c r="AA662" t="s">
        <v>60</v>
      </c>
      <c r="AB662" t="s">
        <v>61</v>
      </c>
      <c r="AC662" t="s">
        <v>61</v>
      </c>
      <c r="AD662" t="s">
        <v>61</v>
      </c>
      <c r="AE662" t="s">
        <v>59</v>
      </c>
      <c r="AF662" t="s">
        <v>61</v>
      </c>
      <c r="AG662" t="s">
        <v>59</v>
      </c>
      <c r="AH662" t="s">
        <v>61</v>
      </c>
      <c r="AI662" t="s">
        <v>61</v>
      </c>
      <c r="AJ662" t="s">
        <v>59</v>
      </c>
      <c r="AK662" t="s">
        <v>59</v>
      </c>
      <c r="AL662" t="s">
        <v>59</v>
      </c>
      <c r="AM662" t="s">
        <v>59</v>
      </c>
      <c r="AN662" t="s">
        <v>59</v>
      </c>
      <c r="AO662" t="s">
        <v>59</v>
      </c>
      <c r="AP662" t="s">
        <v>1596</v>
      </c>
      <c r="AQ662" s="1" t="s">
        <v>1602</v>
      </c>
      <c r="AR662" t="s">
        <v>64</v>
      </c>
      <c r="AS662" t="s">
        <v>152</v>
      </c>
      <c r="AT662" t="s">
        <v>267</v>
      </c>
      <c r="AU662" t="s">
        <v>299</v>
      </c>
      <c r="AW662" s="4">
        <f t="shared" si="353"/>
        <v>6</v>
      </c>
      <c r="AX662" s="4">
        <f t="shared" si="354"/>
        <v>4</v>
      </c>
      <c r="AY662" s="4">
        <f t="shared" si="355"/>
        <v>4</v>
      </c>
      <c r="AZ662" s="4">
        <f t="shared" si="356"/>
        <v>2</v>
      </c>
      <c r="BA662" s="4">
        <f t="shared" si="357"/>
        <v>4</v>
      </c>
      <c r="BB662" s="4" t="str">
        <f t="shared" si="358"/>
        <v>0</v>
      </c>
      <c r="BC662" s="4">
        <f t="shared" si="359"/>
        <v>4</v>
      </c>
      <c r="BD662" s="4">
        <f t="shared" si="360"/>
        <v>2</v>
      </c>
      <c r="BE662" s="4" t="str">
        <f t="shared" si="361"/>
        <v>0</v>
      </c>
      <c r="BF662" s="4">
        <f t="shared" si="362"/>
        <v>2</v>
      </c>
      <c r="BG662" s="4">
        <f t="shared" si="363"/>
        <v>4</v>
      </c>
      <c r="BH662" s="4">
        <f t="shared" si="364"/>
        <v>4</v>
      </c>
      <c r="BI662" s="4">
        <f t="shared" si="365"/>
        <v>4</v>
      </c>
      <c r="BJ662" s="4">
        <f t="shared" si="366"/>
        <v>2</v>
      </c>
      <c r="BK662" s="4" t="str">
        <f t="shared" si="367"/>
        <v>0</v>
      </c>
      <c r="BL662" s="4">
        <f t="shared" si="368"/>
        <v>2</v>
      </c>
      <c r="BM662" s="4">
        <f t="shared" si="369"/>
        <v>4</v>
      </c>
      <c r="BN662" s="4">
        <f t="shared" si="370"/>
        <v>4</v>
      </c>
      <c r="BO662" s="4">
        <f t="shared" si="371"/>
        <v>4</v>
      </c>
      <c r="BP662" s="4">
        <f t="shared" si="372"/>
        <v>4</v>
      </c>
      <c r="BQ662" s="4">
        <f t="shared" si="373"/>
        <v>6</v>
      </c>
      <c r="BR662" s="4">
        <f t="shared" si="374"/>
        <v>4</v>
      </c>
      <c r="BS662" s="4">
        <f t="shared" si="375"/>
        <v>4</v>
      </c>
      <c r="BT662" s="4">
        <f t="shared" si="376"/>
        <v>4</v>
      </c>
      <c r="BU662" s="4">
        <f t="shared" si="377"/>
        <v>4</v>
      </c>
      <c r="BV662" s="4">
        <f t="shared" si="378"/>
        <v>0</v>
      </c>
      <c r="BW662" s="4">
        <f t="shared" si="379"/>
        <v>6</v>
      </c>
      <c r="BX662" s="4">
        <f t="shared" si="380"/>
        <v>0</v>
      </c>
      <c r="BY662" s="4">
        <f t="shared" si="381"/>
        <v>0</v>
      </c>
      <c r="BZ662" s="37">
        <f t="shared" si="382"/>
        <v>88</v>
      </c>
      <c r="CA662" s="32" t="str">
        <f>VLOOKUP(J:J,'Agent wise'!A:C,3,0)</f>
        <v xml:space="preserve">Shiny </v>
      </c>
      <c r="CB662" s="32">
        <f t="shared" si="383"/>
        <v>45943</v>
      </c>
      <c r="CC662" t="str">
        <f t="shared" si="384"/>
        <v>Average</v>
      </c>
      <c r="CE662" s="32"/>
      <c r="CJ662">
        <f t="shared" si="385"/>
        <v>13</v>
      </c>
      <c r="CK662">
        <f t="shared" si="386"/>
        <v>10</v>
      </c>
      <c r="CL662">
        <f t="shared" si="387"/>
        <v>2025</v>
      </c>
    </row>
    <row r="663" spans="1:90" ht="15" customHeight="1" x14ac:dyDescent="0.35">
      <c r="A663" t="s">
        <v>1603</v>
      </c>
      <c r="B663" t="s">
        <v>51</v>
      </c>
      <c r="C663" t="s">
        <v>214</v>
      </c>
      <c r="D663" t="s">
        <v>53</v>
      </c>
      <c r="E663" s="32">
        <v>45943</v>
      </c>
      <c r="F663" t="s">
        <v>90</v>
      </c>
      <c r="G663" s="2">
        <v>46001</v>
      </c>
      <c r="H663">
        <v>9488914806</v>
      </c>
      <c r="I663">
        <v>320</v>
      </c>
      <c r="J663" t="s">
        <v>288</v>
      </c>
      <c r="K663" t="s">
        <v>71</v>
      </c>
      <c r="L663" t="s">
        <v>72</v>
      </c>
      <c r="M663" t="s">
        <v>59</v>
      </c>
      <c r="N663" t="s">
        <v>59</v>
      </c>
      <c r="O663" t="s">
        <v>60</v>
      </c>
      <c r="P663" t="s">
        <v>59</v>
      </c>
      <c r="Q663" t="s">
        <v>59</v>
      </c>
      <c r="R663" t="s">
        <v>60</v>
      </c>
      <c r="S663" t="s">
        <v>59</v>
      </c>
      <c r="T663" t="s">
        <v>59</v>
      </c>
      <c r="U663" t="s">
        <v>60</v>
      </c>
      <c r="V663" t="s">
        <v>59</v>
      </c>
      <c r="W663" t="s">
        <v>59</v>
      </c>
      <c r="X663" t="s">
        <v>59</v>
      </c>
      <c r="Y663" t="s">
        <v>59</v>
      </c>
      <c r="Z663" t="s">
        <v>59</v>
      </c>
      <c r="AA663" t="s">
        <v>59</v>
      </c>
      <c r="AB663" t="s">
        <v>60</v>
      </c>
      <c r="AC663" t="s">
        <v>60</v>
      </c>
      <c r="AD663" t="s">
        <v>59</v>
      </c>
      <c r="AE663" t="s">
        <v>59</v>
      </c>
      <c r="AF663" t="s">
        <v>61</v>
      </c>
      <c r="AG663" t="s">
        <v>59</v>
      </c>
      <c r="AH663" t="s">
        <v>61</v>
      </c>
      <c r="AI663" t="s">
        <v>60</v>
      </c>
      <c r="AJ663" t="s">
        <v>59</v>
      </c>
      <c r="AK663" t="s">
        <v>61</v>
      </c>
      <c r="AL663" t="s">
        <v>60</v>
      </c>
      <c r="AM663" t="s">
        <v>60</v>
      </c>
      <c r="AN663" t="s">
        <v>59</v>
      </c>
      <c r="AO663" t="s">
        <v>60</v>
      </c>
      <c r="AP663" t="s">
        <v>1604</v>
      </c>
      <c r="AQ663" t="s">
        <v>506</v>
      </c>
      <c r="AR663" t="s">
        <v>64</v>
      </c>
      <c r="AS663" t="s">
        <v>99</v>
      </c>
      <c r="AT663" t="s">
        <v>95</v>
      </c>
      <c r="AU663" t="s">
        <v>299</v>
      </c>
      <c r="AW663" s="4">
        <f t="shared" si="353"/>
        <v>6</v>
      </c>
      <c r="AX663" s="4">
        <f t="shared" si="354"/>
        <v>4</v>
      </c>
      <c r="AY663" s="4" t="str">
        <f t="shared" si="355"/>
        <v>0</v>
      </c>
      <c r="AZ663" s="4">
        <f t="shared" si="356"/>
        <v>2</v>
      </c>
      <c r="BA663" s="4">
        <f t="shared" si="357"/>
        <v>4</v>
      </c>
      <c r="BB663" s="4" t="str">
        <f t="shared" si="358"/>
        <v>0</v>
      </c>
      <c r="BC663" s="4">
        <f t="shared" si="359"/>
        <v>4</v>
      </c>
      <c r="BD663" s="4">
        <f t="shared" si="360"/>
        <v>2</v>
      </c>
      <c r="BE663" s="4" t="str">
        <f t="shared" si="361"/>
        <v>0</v>
      </c>
      <c r="BF663" s="4">
        <f t="shared" si="362"/>
        <v>2</v>
      </c>
      <c r="BG663" s="4">
        <f t="shared" si="363"/>
        <v>4</v>
      </c>
      <c r="BH663" s="4">
        <f t="shared" si="364"/>
        <v>4</v>
      </c>
      <c r="BI663" s="4">
        <f t="shared" si="365"/>
        <v>4</v>
      </c>
      <c r="BJ663" s="4">
        <f t="shared" si="366"/>
        <v>2</v>
      </c>
      <c r="BK663" s="4">
        <f t="shared" si="367"/>
        <v>4</v>
      </c>
      <c r="BL663" s="4" t="str">
        <f t="shared" si="368"/>
        <v>0</v>
      </c>
      <c r="BM663" s="4" t="str">
        <f t="shared" si="369"/>
        <v>0</v>
      </c>
      <c r="BN663" s="4">
        <f t="shared" si="370"/>
        <v>4</v>
      </c>
      <c r="BO663" s="4">
        <f t="shared" si="371"/>
        <v>4</v>
      </c>
      <c r="BP663" s="4">
        <f t="shared" si="372"/>
        <v>4</v>
      </c>
      <c r="BQ663" s="4">
        <f t="shared" si="373"/>
        <v>6</v>
      </c>
      <c r="BR663" s="4">
        <f t="shared" si="374"/>
        <v>4</v>
      </c>
      <c r="BS663" s="4" t="str">
        <f t="shared" si="375"/>
        <v>0</v>
      </c>
      <c r="BT663" s="4">
        <f t="shared" si="376"/>
        <v>4</v>
      </c>
      <c r="BU663" s="4">
        <f t="shared" si="377"/>
        <v>4</v>
      </c>
      <c r="BV663" s="4" t="str">
        <f t="shared" si="378"/>
        <v>0</v>
      </c>
      <c r="BW663" s="4" t="str">
        <f t="shared" si="379"/>
        <v>0</v>
      </c>
      <c r="BX663" s="4">
        <f t="shared" si="380"/>
        <v>0</v>
      </c>
      <c r="BY663" s="4" t="str">
        <f t="shared" si="381"/>
        <v>0</v>
      </c>
      <c r="BZ663" s="37">
        <f t="shared" si="382"/>
        <v>72</v>
      </c>
      <c r="CA663" s="32" t="str">
        <f>VLOOKUP(J:J,'Agent wise'!A:C,3,0)</f>
        <v>Shakeer</v>
      </c>
      <c r="CB663" s="32">
        <f t="shared" si="383"/>
        <v>45943</v>
      </c>
      <c r="CC663" t="str">
        <f t="shared" si="384"/>
        <v>FC</v>
      </c>
      <c r="CE663" s="32"/>
      <c r="CJ663">
        <f t="shared" si="385"/>
        <v>13</v>
      </c>
      <c r="CK663">
        <f t="shared" si="386"/>
        <v>10</v>
      </c>
      <c r="CL663">
        <f t="shared" si="387"/>
        <v>2025</v>
      </c>
    </row>
    <row r="664" spans="1:90" ht="15" customHeight="1" x14ac:dyDescent="0.35">
      <c r="A664" t="s">
        <v>1605</v>
      </c>
      <c r="B664" t="s">
        <v>100</v>
      </c>
      <c r="C664" t="s">
        <v>214</v>
      </c>
      <c r="D664" t="s">
        <v>101</v>
      </c>
      <c r="E664" s="32">
        <v>45943</v>
      </c>
      <c r="F664" t="s">
        <v>54</v>
      </c>
      <c r="G664" s="2">
        <v>46001</v>
      </c>
      <c r="H664">
        <v>7558998093</v>
      </c>
      <c r="I664">
        <v>142</v>
      </c>
      <c r="J664" t="s">
        <v>559</v>
      </c>
      <c r="K664" t="s">
        <v>57</v>
      </c>
      <c r="L664" t="s">
        <v>58</v>
      </c>
      <c r="M664" t="s">
        <v>59</v>
      </c>
      <c r="N664" t="s">
        <v>59</v>
      </c>
      <c r="O664" t="s">
        <v>59</v>
      </c>
      <c r="P664" t="s">
        <v>59</v>
      </c>
      <c r="Q664" t="s">
        <v>59</v>
      </c>
      <c r="R664" t="s">
        <v>59</v>
      </c>
      <c r="S664" t="s">
        <v>59</v>
      </c>
      <c r="T664" t="s">
        <v>59</v>
      </c>
      <c r="U664" t="s">
        <v>60</v>
      </c>
      <c r="V664" t="s">
        <v>59</v>
      </c>
      <c r="W664" t="s">
        <v>59</v>
      </c>
      <c r="X664" t="s">
        <v>59</v>
      </c>
      <c r="Y664" t="s">
        <v>59</v>
      </c>
      <c r="Z664" t="s">
        <v>59</v>
      </c>
      <c r="AA664" t="s">
        <v>59</v>
      </c>
      <c r="AB664" t="s">
        <v>60</v>
      </c>
      <c r="AC664" t="s">
        <v>60</v>
      </c>
      <c r="AD664" t="s">
        <v>61</v>
      </c>
      <c r="AE664" t="s">
        <v>59</v>
      </c>
      <c r="AF664" t="s">
        <v>59</v>
      </c>
      <c r="AG664" t="s">
        <v>59</v>
      </c>
      <c r="AH664" t="s">
        <v>59</v>
      </c>
      <c r="AI664" t="s">
        <v>61</v>
      </c>
      <c r="AJ664" t="s">
        <v>59</v>
      </c>
      <c r="AK664" t="s">
        <v>59</v>
      </c>
      <c r="AL664" t="s">
        <v>60</v>
      </c>
      <c r="AM664" t="s">
        <v>59</v>
      </c>
      <c r="AN664" t="s">
        <v>59</v>
      </c>
      <c r="AO664" t="s">
        <v>59</v>
      </c>
      <c r="AP664" t="s">
        <v>435</v>
      </c>
      <c r="AQ664" s="1" t="s">
        <v>1606</v>
      </c>
      <c r="AR664" t="s">
        <v>64</v>
      </c>
      <c r="AS664" t="s">
        <v>89</v>
      </c>
      <c r="AT664" t="s">
        <v>105</v>
      </c>
      <c r="AU664" t="s">
        <v>299</v>
      </c>
      <c r="AW664" s="4">
        <f t="shared" si="353"/>
        <v>6</v>
      </c>
      <c r="AX664" s="4">
        <f t="shared" si="354"/>
        <v>4</v>
      </c>
      <c r="AY664" s="4">
        <f t="shared" si="355"/>
        <v>4</v>
      </c>
      <c r="AZ664" s="4">
        <f t="shared" si="356"/>
        <v>2</v>
      </c>
      <c r="BA664" s="4">
        <f t="shared" si="357"/>
        <v>4</v>
      </c>
      <c r="BB664" s="4">
        <f t="shared" si="358"/>
        <v>4</v>
      </c>
      <c r="BC664" s="4">
        <f t="shared" si="359"/>
        <v>4</v>
      </c>
      <c r="BD664" s="4">
        <f t="shared" si="360"/>
        <v>2</v>
      </c>
      <c r="BE664" s="4" t="str">
        <f t="shared" si="361"/>
        <v>0</v>
      </c>
      <c r="BF664" s="4">
        <f t="shared" si="362"/>
        <v>2</v>
      </c>
      <c r="BG664" s="4">
        <f t="shared" si="363"/>
        <v>4</v>
      </c>
      <c r="BH664" s="4">
        <f t="shared" si="364"/>
        <v>4</v>
      </c>
      <c r="BI664" s="4">
        <f t="shared" si="365"/>
        <v>4</v>
      </c>
      <c r="BJ664" s="4">
        <f t="shared" si="366"/>
        <v>2</v>
      </c>
      <c r="BK664" s="4">
        <f t="shared" si="367"/>
        <v>4</v>
      </c>
      <c r="BL664" s="4" t="str">
        <f t="shared" si="368"/>
        <v>0</v>
      </c>
      <c r="BM664" s="4" t="str">
        <f t="shared" si="369"/>
        <v>0</v>
      </c>
      <c r="BN664" s="4">
        <f t="shared" si="370"/>
        <v>4</v>
      </c>
      <c r="BO664" s="4">
        <f t="shared" si="371"/>
        <v>4</v>
      </c>
      <c r="BP664" s="4">
        <f t="shared" si="372"/>
        <v>4</v>
      </c>
      <c r="BQ664" s="4">
        <f t="shared" si="373"/>
        <v>6</v>
      </c>
      <c r="BR664" s="4">
        <f t="shared" si="374"/>
        <v>4</v>
      </c>
      <c r="BS664" s="4">
        <f t="shared" si="375"/>
        <v>4</v>
      </c>
      <c r="BT664" s="4">
        <f t="shared" si="376"/>
        <v>4</v>
      </c>
      <c r="BU664" s="4">
        <f t="shared" si="377"/>
        <v>4</v>
      </c>
      <c r="BV664" s="4" t="str">
        <f t="shared" si="378"/>
        <v>0</v>
      </c>
      <c r="BW664" s="4">
        <f t="shared" si="379"/>
        <v>6</v>
      </c>
      <c r="BX664" s="4">
        <f t="shared" si="380"/>
        <v>0</v>
      </c>
      <c r="BY664" s="4">
        <f t="shared" si="381"/>
        <v>0</v>
      </c>
      <c r="BZ664" s="37">
        <f t="shared" si="382"/>
        <v>90</v>
      </c>
      <c r="CA664" s="32" t="str">
        <f>VLOOKUP(J:J,'Agent wise'!A:C,3,0)</f>
        <v xml:space="preserve">Shiny </v>
      </c>
      <c r="CB664" s="32">
        <f t="shared" si="383"/>
        <v>45943</v>
      </c>
      <c r="CC664" t="str">
        <f t="shared" si="384"/>
        <v>Good</v>
      </c>
      <c r="CE664" s="32"/>
      <c r="CJ664">
        <f t="shared" si="385"/>
        <v>13</v>
      </c>
      <c r="CK664">
        <f t="shared" si="386"/>
        <v>10</v>
      </c>
      <c r="CL664">
        <f t="shared" si="387"/>
        <v>2025</v>
      </c>
    </row>
    <row r="665" spans="1:90" ht="15" customHeight="1" x14ac:dyDescent="0.35">
      <c r="A665" t="s">
        <v>1607</v>
      </c>
      <c r="B665" t="s">
        <v>100</v>
      </c>
      <c r="C665" t="s">
        <v>214</v>
      </c>
      <c r="D665" t="s">
        <v>101</v>
      </c>
      <c r="E665" s="32">
        <v>45943</v>
      </c>
      <c r="F665" t="s">
        <v>54</v>
      </c>
      <c r="G665" s="2">
        <v>46001</v>
      </c>
      <c r="H665">
        <v>9738700600</v>
      </c>
      <c r="I665">
        <v>135</v>
      </c>
      <c r="J665" t="s">
        <v>464</v>
      </c>
      <c r="K665" t="s">
        <v>57</v>
      </c>
      <c r="L665" t="s">
        <v>58</v>
      </c>
      <c r="M665" t="s">
        <v>59</v>
      </c>
      <c r="N665" t="s">
        <v>59</v>
      </c>
      <c r="O665" t="s">
        <v>59</v>
      </c>
      <c r="P665" t="s">
        <v>59</v>
      </c>
      <c r="Q665" t="s">
        <v>59</v>
      </c>
      <c r="R665" t="s">
        <v>59</v>
      </c>
      <c r="S665" t="s">
        <v>59</v>
      </c>
      <c r="T665" t="s">
        <v>59</v>
      </c>
      <c r="U665" t="s">
        <v>59</v>
      </c>
      <c r="V665" t="s">
        <v>59</v>
      </c>
      <c r="W665" t="s">
        <v>59</v>
      </c>
      <c r="X665" t="s">
        <v>59</v>
      </c>
      <c r="Y665" t="s">
        <v>59</v>
      </c>
      <c r="Z665" t="s">
        <v>59</v>
      </c>
      <c r="AA665" t="s">
        <v>59</v>
      </c>
      <c r="AB665" t="s">
        <v>61</v>
      </c>
      <c r="AC665" t="s">
        <v>60</v>
      </c>
      <c r="AD665" t="s">
        <v>59</v>
      </c>
      <c r="AE665" t="s">
        <v>59</v>
      </c>
      <c r="AF665" t="s">
        <v>59</v>
      </c>
      <c r="AG665" t="s">
        <v>60</v>
      </c>
      <c r="AH665" t="s">
        <v>61</v>
      </c>
      <c r="AI665" t="s">
        <v>61</v>
      </c>
      <c r="AJ665" t="s">
        <v>59</v>
      </c>
      <c r="AK665" t="s">
        <v>59</v>
      </c>
      <c r="AL665" t="s">
        <v>59</v>
      </c>
      <c r="AM665" t="s">
        <v>59</v>
      </c>
      <c r="AN665" t="s">
        <v>59</v>
      </c>
      <c r="AO665" t="s">
        <v>59</v>
      </c>
      <c r="AP665" t="s">
        <v>1608</v>
      </c>
      <c r="AQ665" s="1" t="s">
        <v>1609</v>
      </c>
      <c r="AR665" t="s">
        <v>64</v>
      </c>
      <c r="AS665" t="s">
        <v>171</v>
      </c>
      <c r="AT665" t="s">
        <v>190</v>
      </c>
      <c r="AU665" t="s">
        <v>299</v>
      </c>
      <c r="AW665" s="4">
        <f t="shared" si="353"/>
        <v>6</v>
      </c>
      <c r="AX665" s="4">
        <f t="shared" si="354"/>
        <v>4</v>
      </c>
      <c r="AY665" s="4">
        <f t="shared" si="355"/>
        <v>4</v>
      </c>
      <c r="AZ665" s="4">
        <f t="shared" si="356"/>
        <v>2</v>
      </c>
      <c r="BA665" s="4">
        <f t="shared" si="357"/>
        <v>4</v>
      </c>
      <c r="BB665" s="4">
        <f t="shared" si="358"/>
        <v>4</v>
      </c>
      <c r="BC665" s="4">
        <f t="shared" si="359"/>
        <v>4</v>
      </c>
      <c r="BD665" s="4">
        <f t="shared" si="360"/>
        <v>2</v>
      </c>
      <c r="BE665" s="4">
        <f t="shared" si="361"/>
        <v>4</v>
      </c>
      <c r="BF665" s="4">
        <f t="shared" si="362"/>
        <v>2</v>
      </c>
      <c r="BG665" s="4">
        <f t="shared" si="363"/>
        <v>4</v>
      </c>
      <c r="BH665" s="4">
        <f t="shared" si="364"/>
        <v>4</v>
      </c>
      <c r="BI665" s="4">
        <f t="shared" si="365"/>
        <v>4</v>
      </c>
      <c r="BJ665" s="4">
        <f t="shared" si="366"/>
        <v>2</v>
      </c>
      <c r="BK665" s="4">
        <f t="shared" si="367"/>
        <v>4</v>
      </c>
      <c r="BL665" s="4">
        <f t="shared" si="368"/>
        <v>2</v>
      </c>
      <c r="BM665" s="4" t="str">
        <f t="shared" si="369"/>
        <v>0</v>
      </c>
      <c r="BN665" s="4">
        <f t="shared" si="370"/>
        <v>4</v>
      </c>
      <c r="BO665" s="4">
        <f t="shared" si="371"/>
        <v>4</v>
      </c>
      <c r="BP665" s="4">
        <f t="shared" si="372"/>
        <v>4</v>
      </c>
      <c r="BQ665" s="4" t="str">
        <f t="shared" si="373"/>
        <v>0</v>
      </c>
      <c r="BR665" s="4">
        <f t="shared" si="374"/>
        <v>4</v>
      </c>
      <c r="BS665" s="4">
        <f t="shared" si="375"/>
        <v>4</v>
      </c>
      <c r="BT665" s="4">
        <f t="shared" si="376"/>
        <v>4</v>
      </c>
      <c r="BU665" s="4">
        <f t="shared" si="377"/>
        <v>4</v>
      </c>
      <c r="BV665" s="4">
        <f t="shared" si="378"/>
        <v>0</v>
      </c>
      <c r="BW665" s="4">
        <f t="shared" si="379"/>
        <v>6</v>
      </c>
      <c r="BX665" s="4">
        <f t="shared" si="380"/>
        <v>0</v>
      </c>
      <c r="BY665" s="4">
        <f t="shared" si="381"/>
        <v>0</v>
      </c>
      <c r="BZ665" s="37">
        <f t="shared" si="382"/>
        <v>90</v>
      </c>
      <c r="CA665" s="32" t="str">
        <f>VLOOKUP(J:J,'Agent wise'!A:C,3,0)</f>
        <v>Adharsh</v>
      </c>
      <c r="CB665" s="32">
        <f t="shared" si="383"/>
        <v>45943</v>
      </c>
      <c r="CC665" t="str">
        <f t="shared" si="384"/>
        <v>Good</v>
      </c>
      <c r="CE665" s="32"/>
      <c r="CJ665">
        <f t="shared" si="385"/>
        <v>13</v>
      </c>
      <c r="CK665">
        <f t="shared" si="386"/>
        <v>10</v>
      </c>
      <c r="CL665">
        <f t="shared" si="387"/>
        <v>2025</v>
      </c>
    </row>
    <row r="666" spans="1:90" ht="15" customHeight="1" x14ac:dyDescent="0.35">
      <c r="A666" t="s">
        <v>1610</v>
      </c>
      <c r="B666" t="s">
        <v>250</v>
      </c>
      <c r="C666" t="s">
        <v>214</v>
      </c>
      <c r="D666" t="s">
        <v>251</v>
      </c>
      <c r="E666" s="32">
        <v>45943</v>
      </c>
      <c r="F666" t="s">
        <v>54</v>
      </c>
      <c r="G666" s="2">
        <v>46001</v>
      </c>
      <c r="H666">
        <v>9385355772</v>
      </c>
      <c r="I666">
        <v>146</v>
      </c>
      <c r="J666" t="s">
        <v>466</v>
      </c>
      <c r="K666" t="s">
        <v>71</v>
      </c>
      <c r="L666" t="s">
        <v>72</v>
      </c>
      <c r="M666" t="s">
        <v>59</v>
      </c>
      <c r="N666" t="s">
        <v>59</v>
      </c>
      <c r="O666" t="s">
        <v>59</v>
      </c>
      <c r="P666" t="s">
        <v>59</v>
      </c>
      <c r="Q666" t="s">
        <v>59</v>
      </c>
      <c r="R666" t="s">
        <v>59</v>
      </c>
      <c r="S666" t="s">
        <v>59</v>
      </c>
      <c r="T666" t="s">
        <v>59</v>
      </c>
      <c r="U666" t="s">
        <v>60</v>
      </c>
      <c r="V666" t="s">
        <v>59</v>
      </c>
      <c r="W666" t="s">
        <v>59</v>
      </c>
      <c r="X666" t="s">
        <v>59</v>
      </c>
      <c r="Y666" t="s">
        <v>59</v>
      </c>
      <c r="Z666" t="s">
        <v>60</v>
      </c>
      <c r="AA666" t="s">
        <v>59</v>
      </c>
      <c r="AB666" t="s">
        <v>59</v>
      </c>
      <c r="AC666" t="s">
        <v>59</v>
      </c>
      <c r="AD666" t="s">
        <v>59</v>
      </c>
      <c r="AE666" t="s">
        <v>59</v>
      </c>
      <c r="AF666" t="s">
        <v>59</v>
      </c>
      <c r="AG666" t="s">
        <v>59</v>
      </c>
      <c r="AH666" t="s">
        <v>61</v>
      </c>
      <c r="AI666" t="s">
        <v>61</v>
      </c>
      <c r="AJ666" t="s">
        <v>59</v>
      </c>
      <c r="AK666" t="s">
        <v>59</v>
      </c>
      <c r="AL666" t="s">
        <v>60</v>
      </c>
      <c r="AM666" t="s">
        <v>59</v>
      </c>
      <c r="AN666" t="s">
        <v>59</v>
      </c>
      <c r="AO666" t="s">
        <v>59</v>
      </c>
      <c r="AP666" t="s">
        <v>1611</v>
      </c>
      <c r="AQ666" t="s">
        <v>1612</v>
      </c>
      <c r="AR666" t="s">
        <v>64</v>
      </c>
      <c r="AS666" t="s">
        <v>111</v>
      </c>
      <c r="AT666" t="s">
        <v>377</v>
      </c>
      <c r="AU666" t="s">
        <v>387</v>
      </c>
      <c r="AW666" s="4">
        <f t="shared" si="353"/>
        <v>6</v>
      </c>
      <c r="AX666" s="4">
        <f t="shared" si="354"/>
        <v>4</v>
      </c>
      <c r="AY666" s="4">
        <f t="shared" si="355"/>
        <v>4</v>
      </c>
      <c r="AZ666" s="4">
        <f t="shared" si="356"/>
        <v>2</v>
      </c>
      <c r="BA666" s="4">
        <f t="shared" si="357"/>
        <v>4</v>
      </c>
      <c r="BB666" s="4">
        <f t="shared" si="358"/>
        <v>4</v>
      </c>
      <c r="BC666" s="4">
        <f t="shared" si="359"/>
        <v>4</v>
      </c>
      <c r="BD666" s="4">
        <f t="shared" si="360"/>
        <v>2</v>
      </c>
      <c r="BE666" s="4" t="str">
        <f t="shared" si="361"/>
        <v>0</v>
      </c>
      <c r="BF666" s="4">
        <f t="shared" si="362"/>
        <v>2</v>
      </c>
      <c r="BG666" s="4">
        <f t="shared" si="363"/>
        <v>4</v>
      </c>
      <c r="BH666" s="4">
        <f t="shared" si="364"/>
        <v>4</v>
      </c>
      <c r="BI666" s="4">
        <f t="shared" si="365"/>
        <v>4</v>
      </c>
      <c r="BJ666" s="4" t="str">
        <f t="shared" si="366"/>
        <v>0</v>
      </c>
      <c r="BK666" s="4">
        <f t="shared" si="367"/>
        <v>4</v>
      </c>
      <c r="BL666" s="4">
        <f t="shared" si="368"/>
        <v>2</v>
      </c>
      <c r="BM666" s="4">
        <f t="shared" si="369"/>
        <v>4</v>
      </c>
      <c r="BN666" s="4">
        <f t="shared" si="370"/>
        <v>4</v>
      </c>
      <c r="BO666" s="4">
        <f t="shared" si="371"/>
        <v>4</v>
      </c>
      <c r="BP666" s="4">
        <f t="shared" si="372"/>
        <v>4</v>
      </c>
      <c r="BQ666" s="4">
        <f t="shared" si="373"/>
        <v>6</v>
      </c>
      <c r="BR666" s="4">
        <f t="shared" si="374"/>
        <v>4</v>
      </c>
      <c r="BS666" s="4">
        <f t="shared" si="375"/>
        <v>4</v>
      </c>
      <c r="BT666" s="4">
        <f t="shared" si="376"/>
        <v>4</v>
      </c>
      <c r="BU666" s="4">
        <f t="shared" si="377"/>
        <v>4</v>
      </c>
      <c r="BV666" s="4" t="str">
        <f t="shared" si="378"/>
        <v>0</v>
      </c>
      <c r="BW666" s="4">
        <f t="shared" si="379"/>
        <v>6</v>
      </c>
      <c r="BX666" s="4">
        <f t="shared" si="380"/>
        <v>0</v>
      </c>
      <c r="BY666" s="4">
        <f t="shared" si="381"/>
        <v>0</v>
      </c>
      <c r="BZ666" s="37">
        <f t="shared" si="382"/>
        <v>94</v>
      </c>
      <c r="CA666" s="32" t="str">
        <f>VLOOKUP(J:J,'Agent wise'!A:C,3,0)</f>
        <v>Adharsh</v>
      </c>
      <c r="CB666" s="32">
        <f t="shared" si="383"/>
        <v>45943</v>
      </c>
      <c r="CC666" t="str">
        <f t="shared" si="384"/>
        <v>Good</v>
      </c>
      <c r="CE666" s="32"/>
      <c r="CJ666">
        <f t="shared" si="385"/>
        <v>13</v>
      </c>
      <c r="CK666">
        <f t="shared" si="386"/>
        <v>10</v>
      </c>
      <c r="CL666">
        <f t="shared" si="387"/>
        <v>2025</v>
      </c>
    </row>
    <row r="667" spans="1:90" ht="15" customHeight="1" x14ac:dyDescent="0.35">
      <c r="A667" t="s">
        <v>1613</v>
      </c>
      <c r="B667" t="s">
        <v>250</v>
      </c>
      <c r="C667" t="s">
        <v>214</v>
      </c>
      <c r="D667" t="s">
        <v>251</v>
      </c>
      <c r="E667" s="32">
        <v>45943</v>
      </c>
      <c r="F667" t="s">
        <v>54</v>
      </c>
      <c r="G667" s="2">
        <v>46001</v>
      </c>
      <c r="H667">
        <v>9445029660</v>
      </c>
      <c r="I667">
        <v>172</v>
      </c>
      <c r="J667" t="s">
        <v>91</v>
      </c>
      <c r="K667" t="s">
        <v>71</v>
      </c>
      <c r="L667" t="s">
        <v>72</v>
      </c>
      <c r="M667" t="s">
        <v>59</v>
      </c>
      <c r="N667" t="s">
        <v>59</v>
      </c>
      <c r="O667" t="s">
        <v>59</v>
      </c>
      <c r="P667" t="s">
        <v>59</v>
      </c>
      <c r="Q667" t="s">
        <v>59</v>
      </c>
      <c r="R667" t="s">
        <v>59</v>
      </c>
      <c r="S667" t="s">
        <v>59</v>
      </c>
      <c r="T667" t="s">
        <v>59</v>
      </c>
      <c r="U667" t="s">
        <v>60</v>
      </c>
      <c r="V667" t="s">
        <v>59</v>
      </c>
      <c r="W667" t="s">
        <v>59</v>
      </c>
      <c r="X667" t="s">
        <v>59</v>
      </c>
      <c r="Y667" t="s">
        <v>59</v>
      </c>
      <c r="Z667" t="s">
        <v>60</v>
      </c>
      <c r="AA667" t="s">
        <v>59</v>
      </c>
      <c r="AB667" t="s">
        <v>60</v>
      </c>
      <c r="AC667" t="s">
        <v>59</v>
      </c>
      <c r="AD667" t="s">
        <v>59</v>
      </c>
      <c r="AE667" t="s">
        <v>59</v>
      </c>
      <c r="AF667" t="s">
        <v>59</v>
      </c>
      <c r="AG667" t="s">
        <v>59</v>
      </c>
      <c r="AH667" t="s">
        <v>61</v>
      </c>
      <c r="AI667" t="s">
        <v>61</v>
      </c>
      <c r="AJ667" t="s">
        <v>59</v>
      </c>
      <c r="AK667" t="s">
        <v>59</v>
      </c>
      <c r="AL667" t="s">
        <v>60</v>
      </c>
      <c r="AM667" t="s">
        <v>59</v>
      </c>
      <c r="AN667" t="s">
        <v>59</v>
      </c>
      <c r="AO667" t="s">
        <v>59</v>
      </c>
      <c r="AP667" t="s">
        <v>1614</v>
      </c>
      <c r="AQ667" t="s">
        <v>1615</v>
      </c>
      <c r="AR667" t="s">
        <v>64</v>
      </c>
      <c r="AS667" t="s">
        <v>771</v>
      </c>
      <c r="AT667" t="s">
        <v>790</v>
      </c>
      <c r="AU667" t="s">
        <v>1113</v>
      </c>
      <c r="AW667" s="4">
        <f t="shared" si="353"/>
        <v>6</v>
      </c>
      <c r="AX667" s="4">
        <f t="shared" si="354"/>
        <v>4</v>
      </c>
      <c r="AY667" s="4">
        <f t="shared" si="355"/>
        <v>4</v>
      </c>
      <c r="AZ667" s="4">
        <f t="shared" si="356"/>
        <v>2</v>
      </c>
      <c r="BA667" s="4">
        <f t="shared" si="357"/>
        <v>4</v>
      </c>
      <c r="BB667" s="4">
        <f t="shared" si="358"/>
        <v>4</v>
      </c>
      <c r="BC667" s="4">
        <f t="shared" si="359"/>
        <v>4</v>
      </c>
      <c r="BD667" s="4">
        <f t="shared" si="360"/>
        <v>2</v>
      </c>
      <c r="BE667" s="4" t="str">
        <f t="shared" si="361"/>
        <v>0</v>
      </c>
      <c r="BF667" s="4">
        <f t="shared" si="362"/>
        <v>2</v>
      </c>
      <c r="BG667" s="4">
        <f t="shared" si="363"/>
        <v>4</v>
      </c>
      <c r="BH667" s="4">
        <f t="shared" si="364"/>
        <v>4</v>
      </c>
      <c r="BI667" s="4">
        <f t="shared" si="365"/>
        <v>4</v>
      </c>
      <c r="BJ667" s="4" t="str">
        <f t="shared" si="366"/>
        <v>0</v>
      </c>
      <c r="BK667" s="4">
        <f t="shared" si="367"/>
        <v>4</v>
      </c>
      <c r="BL667" s="4" t="str">
        <f t="shared" si="368"/>
        <v>0</v>
      </c>
      <c r="BM667" s="4">
        <f t="shared" si="369"/>
        <v>4</v>
      </c>
      <c r="BN667" s="4">
        <f t="shared" si="370"/>
        <v>4</v>
      </c>
      <c r="BO667" s="4">
        <f t="shared" si="371"/>
        <v>4</v>
      </c>
      <c r="BP667" s="4">
        <f t="shared" si="372"/>
        <v>4</v>
      </c>
      <c r="BQ667" s="4">
        <f t="shared" si="373"/>
        <v>6</v>
      </c>
      <c r="BR667" s="4">
        <f t="shared" si="374"/>
        <v>4</v>
      </c>
      <c r="BS667" s="4">
        <f t="shared" si="375"/>
        <v>4</v>
      </c>
      <c r="BT667" s="4">
        <f t="shared" si="376"/>
        <v>4</v>
      </c>
      <c r="BU667" s="4">
        <f t="shared" si="377"/>
        <v>4</v>
      </c>
      <c r="BV667" s="4" t="str">
        <f t="shared" si="378"/>
        <v>0</v>
      </c>
      <c r="BW667" s="4">
        <f t="shared" si="379"/>
        <v>6</v>
      </c>
      <c r="BX667" s="4">
        <f t="shared" si="380"/>
        <v>0</v>
      </c>
      <c r="BY667" s="4">
        <f t="shared" si="381"/>
        <v>0</v>
      </c>
      <c r="BZ667" s="37">
        <f t="shared" si="382"/>
        <v>92</v>
      </c>
      <c r="CA667" s="32" t="str">
        <f>VLOOKUP(J:J,'Agent wise'!A:C,3,0)</f>
        <v>Saran S</v>
      </c>
      <c r="CB667" s="32">
        <f t="shared" si="383"/>
        <v>45943</v>
      </c>
      <c r="CC667" t="str">
        <f t="shared" si="384"/>
        <v>Good</v>
      </c>
      <c r="CE667" s="32"/>
      <c r="CJ667">
        <f t="shared" si="385"/>
        <v>13</v>
      </c>
      <c r="CK667">
        <f t="shared" si="386"/>
        <v>10</v>
      </c>
      <c r="CL667">
        <f t="shared" si="387"/>
        <v>2025</v>
      </c>
    </row>
    <row r="668" spans="1:90" ht="15" customHeight="1" x14ac:dyDescent="0.35">
      <c r="A668" t="s">
        <v>1616</v>
      </c>
      <c r="B668" t="s">
        <v>51</v>
      </c>
      <c r="C668" t="s">
        <v>214</v>
      </c>
      <c r="D668" t="s">
        <v>53</v>
      </c>
      <c r="E668" s="32">
        <v>45943</v>
      </c>
      <c r="F668" t="s">
        <v>54</v>
      </c>
      <c r="G668" s="2">
        <v>46001</v>
      </c>
      <c r="H668">
        <v>9446658508</v>
      </c>
      <c r="I668">
        <v>155</v>
      </c>
      <c r="J668" t="s">
        <v>159</v>
      </c>
      <c r="K668" t="s">
        <v>57</v>
      </c>
      <c r="L668" t="s">
        <v>58</v>
      </c>
      <c r="M668" t="s">
        <v>59</v>
      </c>
      <c r="N668" t="s">
        <v>59</v>
      </c>
      <c r="O668" t="s">
        <v>59</v>
      </c>
      <c r="P668" t="s">
        <v>59</v>
      </c>
      <c r="Q668" t="s">
        <v>59</v>
      </c>
      <c r="R668" t="s">
        <v>60</v>
      </c>
      <c r="S668" t="s">
        <v>59</v>
      </c>
      <c r="T668" t="s">
        <v>59</v>
      </c>
      <c r="U668" t="s">
        <v>60</v>
      </c>
      <c r="V668" t="s">
        <v>59</v>
      </c>
      <c r="W668" t="s">
        <v>59</v>
      </c>
      <c r="X668" t="s">
        <v>59</v>
      </c>
      <c r="Y668" t="s">
        <v>59</v>
      </c>
      <c r="Z668" t="s">
        <v>60</v>
      </c>
      <c r="AA668" t="s">
        <v>60</v>
      </c>
      <c r="AB668" t="s">
        <v>60</v>
      </c>
      <c r="AC668" t="s">
        <v>60</v>
      </c>
      <c r="AD668" t="s">
        <v>59</v>
      </c>
      <c r="AE668" t="s">
        <v>59</v>
      </c>
      <c r="AF668" t="s">
        <v>61</v>
      </c>
      <c r="AG668" t="s">
        <v>60</v>
      </c>
      <c r="AH668" t="s">
        <v>61</v>
      </c>
      <c r="AI668" t="s">
        <v>61</v>
      </c>
      <c r="AJ668" t="s">
        <v>59</v>
      </c>
      <c r="AK668" t="s">
        <v>61</v>
      </c>
      <c r="AL668" t="s">
        <v>60</v>
      </c>
      <c r="AM668" t="s">
        <v>59</v>
      </c>
      <c r="AN668" t="s">
        <v>59</v>
      </c>
      <c r="AO668" t="s">
        <v>59</v>
      </c>
      <c r="AP668" t="s">
        <v>1617</v>
      </c>
      <c r="AQ668" t="s">
        <v>1618</v>
      </c>
      <c r="AR668" t="s">
        <v>64</v>
      </c>
      <c r="AS668" t="s">
        <v>845</v>
      </c>
      <c r="AT668" t="s">
        <v>1619</v>
      </c>
      <c r="AU668" t="s">
        <v>299</v>
      </c>
      <c r="AW668" s="4">
        <f t="shared" si="353"/>
        <v>6</v>
      </c>
      <c r="AX668" s="4">
        <f t="shared" si="354"/>
        <v>4</v>
      </c>
      <c r="AY668" s="4">
        <f t="shared" si="355"/>
        <v>4</v>
      </c>
      <c r="AZ668" s="4">
        <f t="shared" si="356"/>
        <v>2</v>
      </c>
      <c r="BA668" s="4">
        <f t="shared" si="357"/>
        <v>4</v>
      </c>
      <c r="BB668" s="4" t="str">
        <f t="shared" si="358"/>
        <v>0</v>
      </c>
      <c r="BC668" s="4">
        <f t="shared" si="359"/>
        <v>4</v>
      </c>
      <c r="BD668" s="4">
        <f t="shared" si="360"/>
        <v>2</v>
      </c>
      <c r="BE668" s="4" t="str">
        <f t="shared" si="361"/>
        <v>0</v>
      </c>
      <c r="BF668" s="4">
        <f t="shared" si="362"/>
        <v>2</v>
      </c>
      <c r="BG668" s="4">
        <f t="shared" si="363"/>
        <v>4</v>
      </c>
      <c r="BH668" s="4">
        <f t="shared" si="364"/>
        <v>4</v>
      </c>
      <c r="BI668" s="4">
        <f t="shared" si="365"/>
        <v>4</v>
      </c>
      <c r="BJ668" s="4" t="str">
        <f t="shared" si="366"/>
        <v>0</v>
      </c>
      <c r="BK668" s="4" t="str">
        <f t="shared" si="367"/>
        <v>0</v>
      </c>
      <c r="BL668" s="4" t="str">
        <f t="shared" si="368"/>
        <v>0</v>
      </c>
      <c r="BM668" s="4" t="str">
        <f t="shared" si="369"/>
        <v>0</v>
      </c>
      <c r="BN668" s="4">
        <f t="shared" si="370"/>
        <v>4</v>
      </c>
      <c r="BO668" s="4">
        <f t="shared" si="371"/>
        <v>4</v>
      </c>
      <c r="BP668" s="4">
        <f t="shared" si="372"/>
        <v>4</v>
      </c>
      <c r="BQ668" s="4" t="str">
        <f t="shared" si="373"/>
        <v>0</v>
      </c>
      <c r="BR668" s="4">
        <f t="shared" si="374"/>
        <v>4</v>
      </c>
      <c r="BS668" s="4">
        <f t="shared" si="375"/>
        <v>4</v>
      </c>
      <c r="BT668" s="4">
        <f t="shared" si="376"/>
        <v>4</v>
      </c>
      <c r="BU668" s="4">
        <f t="shared" si="377"/>
        <v>4</v>
      </c>
      <c r="BV668" s="4" t="str">
        <f t="shared" si="378"/>
        <v>0</v>
      </c>
      <c r="BW668" s="4">
        <f t="shared" si="379"/>
        <v>6</v>
      </c>
      <c r="BX668" s="4">
        <f t="shared" si="380"/>
        <v>0</v>
      </c>
      <c r="BY668" s="4">
        <f t="shared" si="381"/>
        <v>0</v>
      </c>
      <c r="BZ668" s="37">
        <f t="shared" si="382"/>
        <v>74</v>
      </c>
      <c r="CA668" s="32" t="str">
        <f>VLOOKUP(J:J,'Agent wise'!A:C,3,0)</f>
        <v>Shakeer</v>
      </c>
      <c r="CB668" s="32">
        <f t="shared" si="383"/>
        <v>45943</v>
      </c>
      <c r="CC668" t="str">
        <f t="shared" si="384"/>
        <v>FC</v>
      </c>
      <c r="CE668" s="32"/>
      <c r="CJ668">
        <f t="shared" si="385"/>
        <v>13</v>
      </c>
      <c r="CK668">
        <f t="shared" si="386"/>
        <v>10</v>
      </c>
      <c r="CL668">
        <f t="shared" si="387"/>
        <v>2025</v>
      </c>
    </row>
    <row r="669" spans="1:90" ht="15" customHeight="1" x14ac:dyDescent="0.35">
      <c r="A669" t="s">
        <v>1620</v>
      </c>
      <c r="B669" t="s">
        <v>250</v>
      </c>
      <c r="C669" t="s">
        <v>214</v>
      </c>
      <c r="D669" t="s">
        <v>251</v>
      </c>
      <c r="E669" s="32">
        <v>45943</v>
      </c>
      <c r="F669" t="s">
        <v>54</v>
      </c>
      <c r="G669" s="2">
        <v>46001</v>
      </c>
      <c r="H669">
        <v>9600214217</v>
      </c>
      <c r="I669">
        <v>158</v>
      </c>
      <c r="J669" t="s">
        <v>75</v>
      </c>
      <c r="K669" t="s">
        <v>71</v>
      </c>
      <c r="L669" t="s">
        <v>72</v>
      </c>
      <c r="M669" t="s">
        <v>59</v>
      </c>
      <c r="N669" t="s">
        <v>59</v>
      </c>
      <c r="O669" t="s">
        <v>59</v>
      </c>
      <c r="P669" t="s">
        <v>59</v>
      </c>
      <c r="Q669" t="s">
        <v>59</v>
      </c>
      <c r="R669" t="s">
        <v>59</v>
      </c>
      <c r="S669" t="s">
        <v>59</v>
      </c>
      <c r="T669" t="s">
        <v>59</v>
      </c>
      <c r="U669" t="s">
        <v>60</v>
      </c>
      <c r="V669" t="s">
        <v>59</v>
      </c>
      <c r="W669" t="s">
        <v>59</v>
      </c>
      <c r="X669" t="s">
        <v>59</v>
      </c>
      <c r="Y669" t="s">
        <v>59</v>
      </c>
      <c r="Z669" t="s">
        <v>60</v>
      </c>
      <c r="AA669" t="s">
        <v>59</v>
      </c>
      <c r="AB669" t="s">
        <v>60</v>
      </c>
      <c r="AC669" t="s">
        <v>61</v>
      </c>
      <c r="AD669" t="s">
        <v>61</v>
      </c>
      <c r="AE669" t="s">
        <v>60</v>
      </c>
      <c r="AF669" t="s">
        <v>61</v>
      </c>
      <c r="AG669" t="s">
        <v>60</v>
      </c>
      <c r="AH669" t="s">
        <v>61</v>
      </c>
      <c r="AI669" t="s">
        <v>61</v>
      </c>
      <c r="AJ669" t="s">
        <v>59</v>
      </c>
      <c r="AK669" t="s">
        <v>59</v>
      </c>
      <c r="AL669" t="s">
        <v>60</v>
      </c>
      <c r="AM669" t="s">
        <v>59</v>
      </c>
      <c r="AN669" t="s">
        <v>59</v>
      </c>
      <c r="AO669" t="s">
        <v>59</v>
      </c>
      <c r="AP669" t="s">
        <v>1621</v>
      </c>
      <c r="AQ669" t="s">
        <v>1622</v>
      </c>
      <c r="AR669" t="s">
        <v>64</v>
      </c>
      <c r="AS669" t="s">
        <v>417</v>
      </c>
      <c r="AT669" t="s">
        <v>418</v>
      </c>
      <c r="AU669" t="s">
        <v>299</v>
      </c>
      <c r="AW669" s="4">
        <f t="shared" si="353"/>
        <v>6</v>
      </c>
      <c r="AX669" s="4">
        <f t="shared" si="354"/>
        <v>4</v>
      </c>
      <c r="AY669" s="4">
        <f t="shared" si="355"/>
        <v>4</v>
      </c>
      <c r="AZ669" s="4">
        <f t="shared" si="356"/>
        <v>2</v>
      </c>
      <c r="BA669" s="4">
        <f t="shared" si="357"/>
        <v>4</v>
      </c>
      <c r="BB669" s="4">
        <f t="shared" si="358"/>
        <v>4</v>
      </c>
      <c r="BC669" s="4">
        <f t="shared" si="359"/>
        <v>4</v>
      </c>
      <c r="BD669" s="4">
        <f t="shared" si="360"/>
        <v>2</v>
      </c>
      <c r="BE669" s="4" t="str">
        <f t="shared" si="361"/>
        <v>0</v>
      </c>
      <c r="BF669" s="4">
        <f t="shared" si="362"/>
        <v>2</v>
      </c>
      <c r="BG669" s="4">
        <f t="shared" si="363"/>
        <v>4</v>
      </c>
      <c r="BH669" s="4">
        <f t="shared" si="364"/>
        <v>4</v>
      </c>
      <c r="BI669" s="4">
        <f t="shared" si="365"/>
        <v>4</v>
      </c>
      <c r="BJ669" s="4" t="str">
        <f t="shared" si="366"/>
        <v>0</v>
      </c>
      <c r="BK669" s="4">
        <f t="shared" si="367"/>
        <v>4</v>
      </c>
      <c r="BL669" s="4" t="str">
        <f t="shared" si="368"/>
        <v>0</v>
      </c>
      <c r="BM669" s="4">
        <f t="shared" si="369"/>
        <v>4</v>
      </c>
      <c r="BN669" s="4">
        <f t="shared" si="370"/>
        <v>4</v>
      </c>
      <c r="BO669" s="4" t="str">
        <f t="shared" si="371"/>
        <v>0</v>
      </c>
      <c r="BP669" s="4">
        <f t="shared" si="372"/>
        <v>4</v>
      </c>
      <c r="BQ669" s="4" t="str">
        <f t="shared" si="373"/>
        <v>0</v>
      </c>
      <c r="BR669" s="4">
        <f t="shared" si="374"/>
        <v>4</v>
      </c>
      <c r="BS669" s="4">
        <f t="shared" si="375"/>
        <v>4</v>
      </c>
      <c r="BT669" s="4">
        <f t="shared" si="376"/>
        <v>4</v>
      </c>
      <c r="BU669" s="4">
        <f t="shared" si="377"/>
        <v>4</v>
      </c>
      <c r="BV669" s="4" t="str">
        <f t="shared" si="378"/>
        <v>0</v>
      </c>
      <c r="BW669" s="4">
        <f t="shared" si="379"/>
        <v>6</v>
      </c>
      <c r="BX669" s="4">
        <f t="shared" si="380"/>
        <v>0</v>
      </c>
      <c r="BY669" s="4">
        <f t="shared" si="381"/>
        <v>0</v>
      </c>
      <c r="BZ669" s="37">
        <f t="shared" si="382"/>
        <v>82</v>
      </c>
      <c r="CA669" s="32" t="str">
        <f>VLOOKUP(J:J,'Agent wise'!A:C,3,0)</f>
        <v>Saran S</v>
      </c>
      <c r="CB669" s="32">
        <f t="shared" si="383"/>
        <v>45943</v>
      </c>
      <c r="CC669" t="str">
        <f t="shared" si="384"/>
        <v>FC</v>
      </c>
      <c r="CE669" s="32"/>
      <c r="CJ669">
        <f t="shared" si="385"/>
        <v>13</v>
      </c>
      <c r="CK669">
        <f t="shared" si="386"/>
        <v>10</v>
      </c>
      <c r="CL669">
        <f t="shared" si="387"/>
        <v>2025</v>
      </c>
    </row>
    <row r="670" spans="1:90" ht="15" customHeight="1" x14ac:dyDescent="0.35">
      <c r="A670" t="s">
        <v>1623</v>
      </c>
      <c r="B670" t="s">
        <v>100</v>
      </c>
      <c r="C670" t="s">
        <v>214</v>
      </c>
      <c r="D670" t="s">
        <v>101</v>
      </c>
      <c r="E670" s="32">
        <v>45943</v>
      </c>
      <c r="F670" t="s">
        <v>54</v>
      </c>
      <c r="G670" s="2">
        <v>46001</v>
      </c>
      <c r="H670">
        <v>9443458036</v>
      </c>
      <c r="I670">
        <v>140</v>
      </c>
      <c r="J670" t="s">
        <v>640</v>
      </c>
      <c r="K670" t="s">
        <v>71</v>
      </c>
      <c r="L670" t="s">
        <v>72</v>
      </c>
      <c r="M670" t="s">
        <v>59</v>
      </c>
      <c r="N670" t="s">
        <v>59</v>
      </c>
      <c r="O670" t="s">
        <v>59</v>
      </c>
      <c r="P670" t="s">
        <v>61</v>
      </c>
      <c r="Q670" t="s">
        <v>59</v>
      </c>
      <c r="R670" t="s">
        <v>60</v>
      </c>
      <c r="S670" t="s">
        <v>60</v>
      </c>
      <c r="T670" t="s">
        <v>59</v>
      </c>
      <c r="U670" t="s">
        <v>60</v>
      </c>
      <c r="V670" t="s">
        <v>59</v>
      </c>
      <c r="W670" t="s">
        <v>59</v>
      </c>
      <c r="X670" t="s">
        <v>61</v>
      </c>
      <c r="Y670" t="s">
        <v>59</v>
      </c>
      <c r="Z670" t="s">
        <v>59</v>
      </c>
      <c r="AA670" t="s">
        <v>60</v>
      </c>
      <c r="AB670" t="s">
        <v>60</v>
      </c>
      <c r="AC670" t="s">
        <v>61</v>
      </c>
      <c r="AD670" t="s">
        <v>61</v>
      </c>
      <c r="AE670" t="s">
        <v>60</v>
      </c>
      <c r="AF670" t="s">
        <v>61</v>
      </c>
      <c r="AG670" t="s">
        <v>60</v>
      </c>
      <c r="AH670" t="s">
        <v>61</v>
      </c>
      <c r="AI670" t="s">
        <v>61</v>
      </c>
      <c r="AJ670" t="s">
        <v>59</v>
      </c>
      <c r="AK670" t="s">
        <v>61</v>
      </c>
      <c r="AL670" t="s">
        <v>60</v>
      </c>
      <c r="AM670" t="s">
        <v>60</v>
      </c>
      <c r="AN670" t="s">
        <v>60</v>
      </c>
      <c r="AO670" t="s">
        <v>60</v>
      </c>
      <c r="AP670" t="s">
        <v>1624</v>
      </c>
      <c r="AQ670" s="1" t="s">
        <v>1625</v>
      </c>
      <c r="AR670" t="s">
        <v>64</v>
      </c>
      <c r="AS670" t="s">
        <v>272</v>
      </c>
      <c r="AT670" t="s">
        <v>273</v>
      </c>
      <c r="AU670" t="s">
        <v>387</v>
      </c>
      <c r="AW670" s="4">
        <f t="shared" si="353"/>
        <v>6</v>
      </c>
      <c r="AX670" s="4">
        <f t="shared" si="354"/>
        <v>4</v>
      </c>
      <c r="AY670" s="4">
        <f t="shared" si="355"/>
        <v>4</v>
      </c>
      <c r="AZ670" s="4">
        <f t="shared" si="356"/>
        <v>2</v>
      </c>
      <c r="BA670" s="4">
        <f t="shared" si="357"/>
        <v>4</v>
      </c>
      <c r="BB670" s="4" t="str">
        <f t="shared" si="358"/>
        <v>0</v>
      </c>
      <c r="BC670" s="4" t="str">
        <f t="shared" si="359"/>
        <v>0</v>
      </c>
      <c r="BD670" s="4">
        <f t="shared" si="360"/>
        <v>2</v>
      </c>
      <c r="BE670" s="4" t="str">
        <f t="shared" si="361"/>
        <v>0</v>
      </c>
      <c r="BF670" s="4">
        <f t="shared" si="362"/>
        <v>2</v>
      </c>
      <c r="BG670" s="4">
        <f t="shared" si="363"/>
        <v>4</v>
      </c>
      <c r="BH670" s="4">
        <f t="shared" si="364"/>
        <v>4</v>
      </c>
      <c r="BI670" s="4">
        <f t="shared" si="365"/>
        <v>4</v>
      </c>
      <c r="BJ670" s="4">
        <f t="shared" si="366"/>
        <v>2</v>
      </c>
      <c r="BK670" s="4" t="str">
        <f t="shared" si="367"/>
        <v>0</v>
      </c>
      <c r="BL670" s="4" t="str">
        <f t="shared" si="368"/>
        <v>0</v>
      </c>
      <c r="BM670" s="4">
        <f t="shared" si="369"/>
        <v>4</v>
      </c>
      <c r="BN670" s="4">
        <f t="shared" si="370"/>
        <v>4</v>
      </c>
      <c r="BO670" s="4" t="str">
        <f t="shared" si="371"/>
        <v>0</v>
      </c>
      <c r="BP670" s="4">
        <f t="shared" si="372"/>
        <v>4</v>
      </c>
      <c r="BQ670" s="4" t="str">
        <f t="shared" si="373"/>
        <v>0</v>
      </c>
      <c r="BR670" s="4">
        <f t="shared" si="374"/>
        <v>4</v>
      </c>
      <c r="BS670" s="4">
        <f t="shared" si="375"/>
        <v>4</v>
      </c>
      <c r="BT670" s="4">
        <f t="shared" si="376"/>
        <v>4</v>
      </c>
      <c r="BU670" s="4">
        <f t="shared" si="377"/>
        <v>4</v>
      </c>
      <c r="BV670" s="4" t="str">
        <f t="shared" si="378"/>
        <v>0</v>
      </c>
      <c r="BW670" s="4" t="str">
        <f t="shared" si="379"/>
        <v>0</v>
      </c>
      <c r="BX670" s="4" t="str">
        <f t="shared" si="380"/>
        <v>0</v>
      </c>
      <c r="BY670" s="4" t="str">
        <f t="shared" si="381"/>
        <v>0</v>
      </c>
      <c r="BZ670" s="37">
        <f t="shared" si="382"/>
        <v>66</v>
      </c>
      <c r="CA670" s="32" t="str">
        <f>VLOOKUP(J:J,'Agent wise'!A:C,3,0)</f>
        <v>Adharsh</v>
      </c>
      <c r="CB670" s="32">
        <f t="shared" si="383"/>
        <v>45943</v>
      </c>
      <c r="CC670" t="str">
        <f t="shared" si="384"/>
        <v>FC</v>
      </c>
      <c r="CE670" s="32"/>
      <c r="CJ670">
        <f t="shared" si="385"/>
        <v>13</v>
      </c>
      <c r="CK670">
        <f t="shared" si="386"/>
        <v>10</v>
      </c>
      <c r="CL670">
        <f t="shared" si="387"/>
        <v>2025</v>
      </c>
    </row>
    <row r="671" spans="1:90" ht="15" customHeight="1" x14ac:dyDescent="0.35">
      <c r="A671" t="s">
        <v>1626</v>
      </c>
      <c r="B671" t="s">
        <v>177</v>
      </c>
      <c r="C671" t="s">
        <v>214</v>
      </c>
      <c r="D671" t="s">
        <v>178</v>
      </c>
      <c r="E671" s="32">
        <v>45941</v>
      </c>
      <c r="F671" t="s">
        <v>90</v>
      </c>
      <c r="G671" s="2">
        <v>45940</v>
      </c>
      <c r="H671">
        <v>8681046874</v>
      </c>
      <c r="I671">
        <v>100</v>
      </c>
      <c r="J671" t="s">
        <v>552</v>
      </c>
      <c r="K671" t="s">
        <v>71</v>
      </c>
      <c r="L671" t="s">
        <v>72</v>
      </c>
      <c r="M671" t="s">
        <v>59</v>
      </c>
      <c r="N671" t="s">
        <v>59</v>
      </c>
      <c r="O671" t="s">
        <v>59</v>
      </c>
      <c r="P671" t="s">
        <v>59</v>
      </c>
      <c r="Q671" t="s">
        <v>59</v>
      </c>
      <c r="R671" t="s">
        <v>59</v>
      </c>
      <c r="S671" t="s">
        <v>59</v>
      </c>
      <c r="T671" t="s">
        <v>59</v>
      </c>
      <c r="U671" t="s">
        <v>59</v>
      </c>
      <c r="V671" t="s">
        <v>59</v>
      </c>
      <c r="W671" t="s">
        <v>59</v>
      </c>
      <c r="X671" t="s">
        <v>59</v>
      </c>
      <c r="Y671" t="s">
        <v>59</v>
      </c>
      <c r="Z671" t="s">
        <v>59</v>
      </c>
      <c r="AA671" t="s">
        <v>59</v>
      </c>
      <c r="AB671" t="s">
        <v>59</v>
      </c>
      <c r="AC671" t="s">
        <v>61</v>
      </c>
      <c r="AD671" t="s">
        <v>59</v>
      </c>
      <c r="AE671" t="s">
        <v>60</v>
      </c>
      <c r="AF671" t="s">
        <v>59</v>
      </c>
      <c r="AG671" t="s">
        <v>60</v>
      </c>
      <c r="AH671" t="s">
        <v>61</v>
      </c>
      <c r="AI671" t="s">
        <v>61</v>
      </c>
      <c r="AJ671" t="s">
        <v>59</v>
      </c>
      <c r="AK671" t="s">
        <v>59</v>
      </c>
      <c r="AL671" t="s">
        <v>59</v>
      </c>
      <c r="AM671" t="s">
        <v>59</v>
      </c>
      <c r="AN671" t="s">
        <v>59</v>
      </c>
      <c r="AO671" t="s">
        <v>59</v>
      </c>
      <c r="AP671" t="s">
        <v>1627</v>
      </c>
      <c r="AQ671" s="1" t="s">
        <v>1628</v>
      </c>
      <c r="AR671" t="s">
        <v>64</v>
      </c>
      <c r="AS671" t="s">
        <v>300</v>
      </c>
      <c r="AT671" t="s">
        <v>300</v>
      </c>
      <c r="AU671" t="s">
        <v>593</v>
      </c>
      <c r="AW671" s="4">
        <f t="shared" si="353"/>
        <v>6</v>
      </c>
      <c r="AX671" s="4">
        <f t="shared" si="354"/>
        <v>4</v>
      </c>
      <c r="AY671" s="4">
        <f t="shared" si="355"/>
        <v>4</v>
      </c>
      <c r="AZ671" s="4">
        <f t="shared" si="356"/>
        <v>2</v>
      </c>
      <c r="BA671" s="4">
        <f t="shared" si="357"/>
        <v>4</v>
      </c>
      <c r="BB671" s="4">
        <f t="shared" si="358"/>
        <v>4</v>
      </c>
      <c r="BC671" s="4">
        <f t="shared" si="359"/>
        <v>4</v>
      </c>
      <c r="BD671" s="4">
        <f t="shared" si="360"/>
        <v>2</v>
      </c>
      <c r="BE671" s="4">
        <f t="shared" si="361"/>
        <v>4</v>
      </c>
      <c r="BF671" s="4">
        <f t="shared" si="362"/>
        <v>2</v>
      </c>
      <c r="BG671" s="4">
        <f t="shared" si="363"/>
        <v>4</v>
      </c>
      <c r="BH671" s="4">
        <f t="shared" si="364"/>
        <v>4</v>
      </c>
      <c r="BI671" s="4">
        <f t="shared" si="365"/>
        <v>4</v>
      </c>
      <c r="BJ671" s="4">
        <f t="shared" si="366"/>
        <v>2</v>
      </c>
      <c r="BK671" s="4">
        <f t="shared" si="367"/>
        <v>4</v>
      </c>
      <c r="BL671" s="4">
        <f t="shared" si="368"/>
        <v>2</v>
      </c>
      <c r="BM671" s="4">
        <f t="shared" si="369"/>
        <v>4</v>
      </c>
      <c r="BN671" s="4">
        <f t="shared" si="370"/>
        <v>4</v>
      </c>
      <c r="BO671" s="4" t="str">
        <f t="shared" si="371"/>
        <v>0</v>
      </c>
      <c r="BP671" s="4">
        <f t="shared" si="372"/>
        <v>4</v>
      </c>
      <c r="BQ671" s="4" t="str">
        <f t="shared" si="373"/>
        <v>0</v>
      </c>
      <c r="BR671" s="4">
        <f t="shared" si="374"/>
        <v>4</v>
      </c>
      <c r="BS671" s="4">
        <f t="shared" si="375"/>
        <v>4</v>
      </c>
      <c r="BT671" s="4">
        <f t="shared" si="376"/>
        <v>4</v>
      </c>
      <c r="BU671" s="4">
        <f t="shared" si="377"/>
        <v>4</v>
      </c>
      <c r="BV671" s="4">
        <f t="shared" si="378"/>
        <v>0</v>
      </c>
      <c r="BW671" s="4">
        <f t="shared" si="379"/>
        <v>6</v>
      </c>
      <c r="BX671" s="4">
        <f t="shared" si="380"/>
        <v>0</v>
      </c>
      <c r="BY671" s="4">
        <f t="shared" si="381"/>
        <v>0</v>
      </c>
      <c r="BZ671" s="37">
        <f t="shared" si="382"/>
        <v>90</v>
      </c>
      <c r="CA671" s="32" t="str">
        <f>VLOOKUP(J:J,'Agent wise'!A:C,3,0)</f>
        <v xml:space="preserve">Shiny </v>
      </c>
      <c r="CB671" s="32">
        <f t="shared" si="383"/>
        <v>45941</v>
      </c>
      <c r="CC671" t="str">
        <f t="shared" si="384"/>
        <v>Good</v>
      </c>
      <c r="CE671" s="32"/>
      <c r="CJ671">
        <f t="shared" si="385"/>
        <v>11</v>
      </c>
      <c r="CK671">
        <f t="shared" si="386"/>
        <v>10</v>
      </c>
      <c r="CL671">
        <f t="shared" si="387"/>
        <v>2025</v>
      </c>
    </row>
    <row r="672" spans="1:90" ht="15" customHeight="1" x14ac:dyDescent="0.35">
      <c r="A672" t="s">
        <v>1629</v>
      </c>
      <c r="B672" t="s">
        <v>250</v>
      </c>
      <c r="C672" t="s">
        <v>214</v>
      </c>
      <c r="D672" t="s">
        <v>251</v>
      </c>
      <c r="E672" s="32">
        <v>45943</v>
      </c>
      <c r="F672" t="s">
        <v>54</v>
      </c>
      <c r="G672" s="2">
        <v>46001</v>
      </c>
      <c r="H672">
        <v>7598204864</v>
      </c>
      <c r="I672">
        <v>178</v>
      </c>
      <c r="J672" t="s">
        <v>636</v>
      </c>
      <c r="K672" t="s">
        <v>71</v>
      </c>
      <c r="L672" t="s">
        <v>72</v>
      </c>
      <c r="M672" t="s">
        <v>59</v>
      </c>
      <c r="N672" t="s">
        <v>59</v>
      </c>
      <c r="O672" t="s">
        <v>59</v>
      </c>
      <c r="P672" t="s">
        <v>59</v>
      </c>
      <c r="Q672" t="s">
        <v>59</v>
      </c>
      <c r="R672" t="s">
        <v>60</v>
      </c>
      <c r="S672" t="s">
        <v>59</v>
      </c>
      <c r="T672" t="s">
        <v>59</v>
      </c>
      <c r="U672" t="s">
        <v>60</v>
      </c>
      <c r="V672" t="s">
        <v>59</v>
      </c>
      <c r="W672" t="s">
        <v>59</v>
      </c>
      <c r="X672" t="s">
        <v>59</v>
      </c>
      <c r="Y672" t="s">
        <v>59</v>
      </c>
      <c r="Z672" t="s">
        <v>59</v>
      </c>
      <c r="AA672" t="s">
        <v>59</v>
      </c>
      <c r="AB672" t="s">
        <v>59</v>
      </c>
      <c r="AC672" t="s">
        <v>59</v>
      </c>
      <c r="AD672" t="s">
        <v>59</v>
      </c>
      <c r="AE672" t="s">
        <v>59</v>
      </c>
      <c r="AF672" t="s">
        <v>59</v>
      </c>
      <c r="AG672" t="s">
        <v>59</v>
      </c>
      <c r="AH672" t="s">
        <v>61</v>
      </c>
      <c r="AI672" t="s">
        <v>61</v>
      </c>
      <c r="AJ672" t="s">
        <v>59</v>
      </c>
      <c r="AK672" t="s">
        <v>59</v>
      </c>
      <c r="AL672" t="s">
        <v>60</v>
      </c>
      <c r="AM672" t="s">
        <v>59</v>
      </c>
      <c r="AN672" t="s">
        <v>59</v>
      </c>
      <c r="AO672" t="s">
        <v>59</v>
      </c>
      <c r="AP672" t="s">
        <v>1630</v>
      </c>
      <c r="AQ672" t="s">
        <v>1631</v>
      </c>
      <c r="AR672" t="s">
        <v>64</v>
      </c>
      <c r="AS672" t="s">
        <v>111</v>
      </c>
      <c r="AT672" t="s">
        <v>112</v>
      </c>
      <c r="AU672" t="s">
        <v>219</v>
      </c>
      <c r="AW672" s="4">
        <f t="shared" si="353"/>
        <v>6</v>
      </c>
      <c r="AX672" s="4">
        <f t="shared" si="354"/>
        <v>4</v>
      </c>
      <c r="AY672" s="4">
        <f t="shared" si="355"/>
        <v>4</v>
      </c>
      <c r="AZ672" s="4">
        <f t="shared" si="356"/>
        <v>2</v>
      </c>
      <c r="BA672" s="4">
        <f t="shared" si="357"/>
        <v>4</v>
      </c>
      <c r="BB672" s="4" t="str">
        <f t="shared" si="358"/>
        <v>0</v>
      </c>
      <c r="BC672" s="4">
        <f t="shared" si="359"/>
        <v>4</v>
      </c>
      <c r="BD672" s="4">
        <f t="shared" si="360"/>
        <v>2</v>
      </c>
      <c r="BE672" s="4" t="str">
        <f t="shared" si="361"/>
        <v>0</v>
      </c>
      <c r="BF672" s="4">
        <f t="shared" si="362"/>
        <v>2</v>
      </c>
      <c r="BG672" s="4">
        <f t="shared" si="363"/>
        <v>4</v>
      </c>
      <c r="BH672" s="4">
        <f t="shared" si="364"/>
        <v>4</v>
      </c>
      <c r="BI672" s="4">
        <f t="shared" si="365"/>
        <v>4</v>
      </c>
      <c r="BJ672" s="4">
        <f t="shared" si="366"/>
        <v>2</v>
      </c>
      <c r="BK672" s="4">
        <f t="shared" si="367"/>
        <v>4</v>
      </c>
      <c r="BL672" s="4">
        <f t="shared" si="368"/>
        <v>2</v>
      </c>
      <c r="BM672" s="4">
        <f t="shared" si="369"/>
        <v>4</v>
      </c>
      <c r="BN672" s="4">
        <f t="shared" si="370"/>
        <v>4</v>
      </c>
      <c r="BO672" s="4">
        <f t="shared" si="371"/>
        <v>4</v>
      </c>
      <c r="BP672" s="4">
        <f t="shared" si="372"/>
        <v>4</v>
      </c>
      <c r="BQ672" s="4">
        <f t="shared" si="373"/>
        <v>6</v>
      </c>
      <c r="BR672" s="4">
        <f t="shared" si="374"/>
        <v>4</v>
      </c>
      <c r="BS672" s="4">
        <f t="shared" si="375"/>
        <v>4</v>
      </c>
      <c r="BT672" s="4">
        <f t="shared" si="376"/>
        <v>4</v>
      </c>
      <c r="BU672" s="4">
        <f t="shared" si="377"/>
        <v>4</v>
      </c>
      <c r="BV672" s="4" t="str">
        <f t="shared" si="378"/>
        <v>0</v>
      </c>
      <c r="BW672" s="4">
        <f t="shared" si="379"/>
        <v>6</v>
      </c>
      <c r="BX672" s="4">
        <f t="shared" si="380"/>
        <v>0</v>
      </c>
      <c r="BY672" s="4">
        <f t="shared" si="381"/>
        <v>0</v>
      </c>
      <c r="BZ672" s="37">
        <f t="shared" si="382"/>
        <v>92</v>
      </c>
      <c r="CA672" s="32" t="str">
        <f>VLOOKUP(J:J,'Agent wise'!A:C,3,0)</f>
        <v>Shakeer</v>
      </c>
      <c r="CB672" s="32">
        <f t="shared" si="383"/>
        <v>45943</v>
      </c>
      <c r="CC672" t="str">
        <f t="shared" si="384"/>
        <v>Good</v>
      </c>
      <c r="CE672" s="32"/>
      <c r="CJ672">
        <f t="shared" si="385"/>
        <v>13</v>
      </c>
      <c r="CK672">
        <f t="shared" si="386"/>
        <v>10</v>
      </c>
      <c r="CL672">
        <f t="shared" si="387"/>
        <v>2025</v>
      </c>
    </row>
    <row r="673" spans="1:90" ht="15" customHeight="1" x14ac:dyDescent="0.35">
      <c r="A673" t="s">
        <v>1632</v>
      </c>
      <c r="B673" t="s">
        <v>177</v>
      </c>
      <c r="C673" t="s">
        <v>214</v>
      </c>
      <c r="D673" t="s">
        <v>178</v>
      </c>
      <c r="E673" s="32">
        <v>45942</v>
      </c>
      <c r="F673" t="s">
        <v>90</v>
      </c>
      <c r="G673" s="2">
        <v>45971</v>
      </c>
      <c r="H673">
        <v>9842353266</v>
      </c>
      <c r="I673">
        <v>106</v>
      </c>
      <c r="J673" t="s">
        <v>643</v>
      </c>
      <c r="K673" t="s">
        <v>71</v>
      </c>
      <c r="L673" t="s">
        <v>72</v>
      </c>
      <c r="M673" t="s">
        <v>59</v>
      </c>
      <c r="N673" t="s">
        <v>59</v>
      </c>
      <c r="O673" t="s">
        <v>59</v>
      </c>
      <c r="P673" t="s">
        <v>59</v>
      </c>
      <c r="Q673" t="s">
        <v>59</v>
      </c>
      <c r="R673" t="s">
        <v>59</v>
      </c>
      <c r="S673" t="s">
        <v>59</v>
      </c>
      <c r="T673" t="s">
        <v>59</v>
      </c>
      <c r="U673" t="s">
        <v>59</v>
      </c>
      <c r="V673" t="s">
        <v>59</v>
      </c>
      <c r="W673" t="s">
        <v>59</v>
      </c>
      <c r="X673" t="s">
        <v>59</v>
      </c>
      <c r="Y673" t="s">
        <v>59</v>
      </c>
      <c r="Z673" t="s">
        <v>59</v>
      </c>
      <c r="AA673" t="s">
        <v>59</v>
      </c>
      <c r="AB673" t="s">
        <v>59</v>
      </c>
      <c r="AC673" t="s">
        <v>61</v>
      </c>
      <c r="AD673" t="s">
        <v>59</v>
      </c>
      <c r="AE673" t="s">
        <v>59</v>
      </c>
      <c r="AF673" t="s">
        <v>59</v>
      </c>
      <c r="AG673" t="s">
        <v>59</v>
      </c>
      <c r="AH673" t="s">
        <v>61</v>
      </c>
      <c r="AI673" t="s">
        <v>61</v>
      </c>
      <c r="AJ673" t="s">
        <v>59</v>
      </c>
      <c r="AK673" t="s">
        <v>59</v>
      </c>
      <c r="AL673" t="s">
        <v>59</v>
      </c>
      <c r="AM673" t="s">
        <v>59</v>
      </c>
      <c r="AN673" t="s">
        <v>59</v>
      </c>
      <c r="AO673" t="s">
        <v>59</v>
      </c>
      <c r="AP673" t="s">
        <v>270</v>
      </c>
      <c r="AQ673" s="1" t="s">
        <v>1193</v>
      </c>
      <c r="AR673" t="s">
        <v>64</v>
      </c>
      <c r="AS673" t="s">
        <v>202</v>
      </c>
      <c r="AT673" t="s">
        <v>203</v>
      </c>
      <c r="AU673" t="s">
        <v>219</v>
      </c>
      <c r="AW673" s="4">
        <f t="shared" si="353"/>
        <v>6</v>
      </c>
      <c r="AX673" s="4">
        <f t="shared" si="354"/>
        <v>4</v>
      </c>
      <c r="AY673" s="4">
        <f t="shared" si="355"/>
        <v>4</v>
      </c>
      <c r="AZ673" s="4">
        <f t="shared" si="356"/>
        <v>2</v>
      </c>
      <c r="BA673" s="4">
        <f t="shared" si="357"/>
        <v>4</v>
      </c>
      <c r="BB673" s="4">
        <f t="shared" si="358"/>
        <v>4</v>
      </c>
      <c r="BC673" s="4">
        <f t="shared" si="359"/>
        <v>4</v>
      </c>
      <c r="BD673" s="4">
        <f t="shared" si="360"/>
        <v>2</v>
      </c>
      <c r="BE673" s="4">
        <f t="shared" si="361"/>
        <v>4</v>
      </c>
      <c r="BF673" s="4">
        <f t="shared" si="362"/>
        <v>2</v>
      </c>
      <c r="BG673" s="4">
        <f t="shared" si="363"/>
        <v>4</v>
      </c>
      <c r="BH673" s="4">
        <f t="shared" si="364"/>
        <v>4</v>
      </c>
      <c r="BI673" s="4">
        <f t="shared" si="365"/>
        <v>4</v>
      </c>
      <c r="BJ673" s="4">
        <f t="shared" si="366"/>
        <v>2</v>
      </c>
      <c r="BK673" s="4">
        <f t="shared" si="367"/>
        <v>4</v>
      </c>
      <c r="BL673" s="4">
        <f t="shared" si="368"/>
        <v>2</v>
      </c>
      <c r="BM673" s="4">
        <f t="shared" si="369"/>
        <v>4</v>
      </c>
      <c r="BN673" s="4">
        <f t="shared" si="370"/>
        <v>4</v>
      </c>
      <c r="BO673" s="4">
        <f t="shared" si="371"/>
        <v>4</v>
      </c>
      <c r="BP673" s="4">
        <f t="shared" si="372"/>
        <v>4</v>
      </c>
      <c r="BQ673" s="4">
        <f t="shared" si="373"/>
        <v>6</v>
      </c>
      <c r="BR673" s="4">
        <f t="shared" si="374"/>
        <v>4</v>
      </c>
      <c r="BS673" s="4">
        <f t="shared" si="375"/>
        <v>4</v>
      </c>
      <c r="BT673" s="4">
        <f t="shared" si="376"/>
        <v>4</v>
      </c>
      <c r="BU673" s="4">
        <f t="shared" si="377"/>
        <v>4</v>
      </c>
      <c r="BV673" s="4">
        <f t="shared" si="378"/>
        <v>0</v>
      </c>
      <c r="BW673" s="4">
        <f t="shared" si="379"/>
        <v>6</v>
      </c>
      <c r="BX673" s="4">
        <f t="shared" si="380"/>
        <v>0</v>
      </c>
      <c r="BY673" s="4">
        <f t="shared" si="381"/>
        <v>0</v>
      </c>
      <c r="BZ673" s="37">
        <f t="shared" si="382"/>
        <v>100</v>
      </c>
      <c r="CA673" s="32" t="str">
        <f>VLOOKUP(J:J,'Agent wise'!A:C,3,0)</f>
        <v xml:space="preserve">Shiny </v>
      </c>
      <c r="CB673" s="32">
        <f t="shared" si="383"/>
        <v>45942</v>
      </c>
      <c r="CC673" t="str">
        <f t="shared" si="384"/>
        <v>Excellent</v>
      </c>
      <c r="CE673" s="32"/>
      <c r="CJ673">
        <f t="shared" si="385"/>
        <v>12</v>
      </c>
      <c r="CK673">
        <f t="shared" si="386"/>
        <v>10</v>
      </c>
      <c r="CL673">
        <f t="shared" si="387"/>
        <v>2025</v>
      </c>
    </row>
    <row r="674" spans="1:90" ht="15" customHeight="1" x14ac:dyDescent="0.35">
      <c r="A674" t="s">
        <v>1633</v>
      </c>
      <c r="B674" t="s">
        <v>51</v>
      </c>
      <c r="C674" t="s">
        <v>214</v>
      </c>
      <c r="D674" t="s">
        <v>53</v>
      </c>
      <c r="E674" s="32">
        <v>45943</v>
      </c>
      <c r="F674" t="s">
        <v>54</v>
      </c>
      <c r="G674" s="2">
        <v>46001</v>
      </c>
      <c r="H674">
        <v>9597970749</v>
      </c>
      <c r="I674">
        <v>133</v>
      </c>
      <c r="J674" t="s">
        <v>173</v>
      </c>
      <c r="K674" t="s">
        <v>71</v>
      </c>
      <c r="L674" t="s">
        <v>72</v>
      </c>
      <c r="M674" t="s">
        <v>59</v>
      </c>
      <c r="N674" t="s">
        <v>59</v>
      </c>
      <c r="O674" t="s">
        <v>59</v>
      </c>
      <c r="P674" t="s">
        <v>59</v>
      </c>
      <c r="Q674" t="s">
        <v>59</v>
      </c>
      <c r="R674" t="s">
        <v>59</v>
      </c>
      <c r="S674" t="s">
        <v>59</v>
      </c>
      <c r="T674" t="s">
        <v>59</v>
      </c>
      <c r="U674" t="s">
        <v>60</v>
      </c>
      <c r="V674" t="s">
        <v>59</v>
      </c>
      <c r="W674" t="s">
        <v>59</v>
      </c>
      <c r="X674" t="s">
        <v>59</v>
      </c>
      <c r="Y674" t="s">
        <v>59</v>
      </c>
      <c r="Z674" t="s">
        <v>59</v>
      </c>
      <c r="AA674" t="s">
        <v>60</v>
      </c>
      <c r="AB674" t="s">
        <v>60</v>
      </c>
      <c r="AC674" t="s">
        <v>60</v>
      </c>
      <c r="AD674" t="s">
        <v>59</v>
      </c>
      <c r="AE674" t="s">
        <v>59</v>
      </c>
      <c r="AF674" t="s">
        <v>61</v>
      </c>
      <c r="AG674" t="s">
        <v>59</v>
      </c>
      <c r="AH674" t="s">
        <v>61</v>
      </c>
      <c r="AI674" t="s">
        <v>61</v>
      </c>
      <c r="AJ674" t="s">
        <v>59</v>
      </c>
      <c r="AK674" t="s">
        <v>61</v>
      </c>
      <c r="AL674" t="s">
        <v>60</v>
      </c>
      <c r="AM674" t="s">
        <v>59</v>
      </c>
      <c r="AN674" t="s">
        <v>59</v>
      </c>
      <c r="AO674" t="s">
        <v>59</v>
      </c>
      <c r="AP674" t="s">
        <v>863</v>
      </c>
      <c r="AQ674" t="s">
        <v>1634</v>
      </c>
      <c r="AR674" t="s">
        <v>64</v>
      </c>
      <c r="AS674" t="s">
        <v>152</v>
      </c>
      <c r="AT674" t="s">
        <v>153</v>
      </c>
      <c r="AU674" t="s">
        <v>299</v>
      </c>
      <c r="AW674" s="4">
        <f t="shared" si="353"/>
        <v>6</v>
      </c>
      <c r="AX674" s="4">
        <f t="shared" si="354"/>
        <v>4</v>
      </c>
      <c r="AY674" s="4">
        <f t="shared" si="355"/>
        <v>4</v>
      </c>
      <c r="AZ674" s="4">
        <f t="shared" si="356"/>
        <v>2</v>
      </c>
      <c r="BA674" s="4">
        <f t="shared" si="357"/>
        <v>4</v>
      </c>
      <c r="BB674" s="4">
        <f t="shared" si="358"/>
        <v>4</v>
      </c>
      <c r="BC674" s="4">
        <f t="shared" si="359"/>
        <v>4</v>
      </c>
      <c r="BD674" s="4">
        <f t="shared" si="360"/>
        <v>2</v>
      </c>
      <c r="BE674" s="4" t="str">
        <f t="shared" si="361"/>
        <v>0</v>
      </c>
      <c r="BF674" s="4">
        <f t="shared" si="362"/>
        <v>2</v>
      </c>
      <c r="BG674" s="4">
        <f t="shared" si="363"/>
        <v>4</v>
      </c>
      <c r="BH674" s="4">
        <f t="shared" si="364"/>
        <v>4</v>
      </c>
      <c r="BI674" s="4">
        <f t="shared" si="365"/>
        <v>4</v>
      </c>
      <c r="BJ674" s="4">
        <f t="shared" si="366"/>
        <v>2</v>
      </c>
      <c r="BK674" s="4" t="str">
        <f t="shared" si="367"/>
        <v>0</v>
      </c>
      <c r="BL674" s="4" t="str">
        <f t="shared" si="368"/>
        <v>0</v>
      </c>
      <c r="BM674" s="4" t="str">
        <f t="shared" si="369"/>
        <v>0</v>
      </c>
      <c r="BN674" s="4">
        <f t="shared" si="370"/>
        <v>4</v>
      </c>
      <c r="BO674" s="4">
        <f t="shared" si="371"/>
        <v>4</v>
      </c>
      <c r="BP674" s="4">
        <f t="shared" si="372"/>
        <v>4</v>
      </c>
      <c r="BQ674" s="4">
        <f t="shared" si="373"/>
        <v>6</v>
      </c>
      <c r="BR674" s="4">
        <f t="shared" si="374"/>
        <v>4</v>
      </c>
      <c r="BS674" s="4">
        <f t="shared" si="375"/>
        <v>4</v>
      </c>
      <c r="BT674" s="4">
        <f t="shared" si="376"/>
        <v>4</v>
      </c>
      <c r="BU674" s="4">
        <f t="shared" si="377"/>
        <v>4</v>
      </c>
      <c r="BV674" s="4" t="str">
        <f t="shared" si="378"/>
        <v>0</v>
      </c>
      <c r="BW674" s="4">
        <f t="shared" si="379"/>
        <v>6</v>
      </c>
      <c r="BX674" s="4">
        <f t="shared" si="380"/>
        <v>0</v>
      </c>
      <c r="BY674" s="4">
        <f t="shared" si="381"/>
        <v>0</v>
      </c>
      <c r="BZ674" s="37">
        <f t="shared" si="382"/>
        <v>86</v>
      </c>
      <c r="CA674" s="32" t="str">
        <f>VLOOKUP(J:J,'Agent wise'!A:C,3,0)</f>
        <v>Shakeer</v>
      </c>
      <c r="CB674" s="32">
        <f t="shared" si="383"/>
        <v>45943</v>
      </c>
      <c r="CC674" t="str">
        <f t="shared" si="384"/>
        <v>Average</v>
      </c>
      <c r="CE674" s="32"/>
      <c r="CJ674">
        <f t="shared" si="385"/>
        <v>13</v>
      </c>
      <c r="CK674">
        <f t="shared" si="386"/>
        <v>10</v>
      </c>
      <c r="CL674">
        <f t="shared" si="387"/>
        <v>2025</v>
      </c>
    </row>
    <row r="675" spans="1:90" ht="15" customHeight="1" x14ac:dyDescent="0.35">
      <c r="A675" t="s">
        <v>1635</v>
      </c>
      <c r="B675" t="s">
        <v>177</v>
      </c>
      <c r="C675" t="s">
        <v>214</v>
      </c>
      <c r="D675" t="s">
        <v>178</v>
      </c>
      <c r="E675" s="32">
        <v>45942</v>
      </c>
      <c r="F675" t="s">
        <v>90</v>
      </c>
      <c r="G675" s="2">
        <v>45971</v>
      </c>
      <c r="H675">
        <v>6381932811</v>
      </c>
      <c r="I675">
        <v>150</v>
      </c>
      <c r="J675" t="s">
        <v>533</v>
      </c>
      <c r="K675" t="s">
        <v>71</v>
      </c>
      <c r="L675" t="s">
        <v>72</v>
      </c>
      <c r="M675" t="s">
        <v>59</v>
      </c>
      <c r="N675" t="s">
        <v>59</v>
      </c>
      <c r="O675" t="s">
        <v>59</v>
      </c>
      <c r="P675" t="s">
        <v>59</v>
      </c>
      <c r="Q675" t="s">
        <v>59</v>
      </c>
      <c r="R675" t="s">
        <v>59</v>
      </c>
      <c r="S675" t="s">
        <v>59</v>
      </c>
      <c r="T675" t="s">
        <v>59</v>
      </c>
      <c r="U675" t="s">
        <v>59</v>
      </c>
      <c r="V675" t="s">
        <v>59</v>
      </c>
      <c r="W675" t="s">
        <v>59</v>
      </c>
      <c r="X675" t="s">
        <v>59</v>
      </c>
      <c r="Y675" t="s">
        <v>60</v>
      </c>
      <c r="Z675" t="s">
        <v>59</v>
      </c>
      <c r="AA675" t="s">
        <v>59</v>
      </c>
      <c r="AB675" t="s">
        <v>59</v>
      </c>
      <c r="AC675" t="s">
        <v>61</v>
      </c>
      <c r="AD675" t="s">
        <v>59</v>
      </c>
      <c r="AE675" t="s">
        <v>59</v>
      </c>
      <c r="AF675" t="s">
        <v>59</v>
      </c>
      <c r="AG675" t="s">
        <v>59</v>
      </c>
      <c r="AH675" t="s">
        <v>61</v>
      </c>
      <c r="AI675" t="s">
        <v>61</v>
      </c>
      <c r="AJ675" t="s">
        <v>59</v>
      </c>
      <c r="AK675" t="s">
        <v>59</v>
      </c>
      <c r="AL675" t="s">
        <v>59</v>
      </c>
      <c r="AM675" t="s">
        <v>59</v>
      </c>
      <c r="AN675" t="s">
        <v>59</v>
      </c>
      <c r="AO675" t="s">
        <v>59</v>
      </c>
      <c r="AP675" t="s">
        <v>1636</v>
      </c>
      <c r="AQ675" s="1" t="s">
        <v>201</v>
      </c>
      <c r="AR675" t="s">
        <v>64</v>
      </c>
      <c r="AS675" t="s">
        <v>210</v>
      </c>
      <c r="AT675" t="s">
        <v>1272</v>
      </c>
      <c r="AU675" t="s">
        <v>515</v>
      </c>
      <c r="AW675" s="4">
        <f t="shared" si="353"/>
        <v>6</v>
      </c>
      <c r="AX675" s="4">
        <f t="shared" si="354"/>
        <v>4</v>
      </c>
      <c r="AY675" s="4">
        <f t="shared" si="355"/>
        <v>4</v>
      </c>
      <c r="AZ675" s="4">
        <f t="shared" si="356"/>
        <v>2</v>
      </c>
      <c r="BA675" s="4">
        <f t="shared" si="357"/>
        <v>4</v>
      </c>
      <c r="BB675" s="4">
        <f t="shared" si="358"/>
        <v>4</v>
      </c>
      <c r="BC675" s="4">
        <f t="shared" si="359"/>
        <v>4</v>
      </c>
      <c r="BD675" s="4">
        <f t="shared" si="360"/>
        <v>2</v>
      </c>
      <c r="BE675" s="4">
        <f t="shared" si="361"/>
        <v>4</v>
      </c>
      <c r="BF675" s="4">
        <f t="shared" si="362"/>
        <v>2</v>
      </c>
      <c r="BG675" s="4">
        <f t="shared" si="363"/>
        <v>4</v>
      </c>
      <c r="BH675" s="4">
        <f t="shared" si="364"/>
        <v>4</v>
      </c>
      <c r="BI675" s="4" t="str">
        <f t="shared" si="365"/>
        <v>0</v>
      </c>
      <c r="BJ675" s="4">
        <f t="shared" si="366"/>
        <v>2</v>
      </c>
      <c r="BK675" s="4">
        <f t="shared" si="367"/>
        <v>4</v>
      </c>
      <c r="BL675" s="4">
        <f t="shared" si="368"/>
        <v>2</v>
      </c>
      <c r="BM675" s="4">
        <f t="shared" si="369"/>
        <v>4</v>
      </c>
      <c r="BN675" s="4">
        <f t="shared" si="370"/>
        <v>4</v>
      </c>
      <c r="BO675" s="4">
        <f t="shared" si="371"/>
        <v>4</v>
      </c>
      <c r="BP675" s="4">
        <f t="shared" si="372"/>
        <v>4</v>
      </c>
      <c r="BQ675" s="4">
        <f t="shared" si="373"/>
        <v>6</v>
      </c>
      <c r="BR675" s="4">
        <f t="shared" si="374"/>
        <v>4</v>
      </c>
      <c r="BS675" s="4">
        <f t="shared" si="375"/>
        <v>4</v>
      </c>
      <c r="BT675" s="4">
        <f t="shared" si="376"/>
        <v>4</v>
      </c>
      <c r="BU675" s="4">
        <f t="shared" si="377"/>
        <v>4</v>
      </c>
      <c r="BV675" s="4">
        <f t="shared" si="378"/>
        <v>0</v>
      </c>
      <c r="BW675" s="4">
        <f t="shared" si="379"/>
        <v>6</v>
      </c>
      <c r="BX675" s="4">
        <f t="shared" si="380"/>
        <v>0</v>
      </c>
      <c r="BY675" s="4">
        <f t="shared" si="381"/>
        <v>0</v>
      </c>
      <c r="BZ675" s="37">
        <f t="shared" si="382"/>
        <v>96</v>
      </c>
      <c r="CA675" s="32" t="str">
        <f>VLOOKUP(J:J,'Agent wise'!A:C,3,0)</f>
        <v xml:space="preserve">Shiny </v>
      </c>
      <c r="CB675" s="32">
        <f t="shared" si="383"/>
        <v>45942</v>
      </c>
      <c r="CC675" t="str">
        <f t="shared" si="384"/>
        <v>Excellent</v>
      </c>
      <c r="CE675" s="32"/>
      <c r="CJ675">
        <f t="shared" si="385"/>
        <v>12</v>
      </c>
      <c r="CK675">
        <f t="shared" si="386"/>
        <v>10</v>
      </c>
      <c r="CL675">
        <f t="shared" si="387"/>
        <v>2025</v>
      </c>
    </row>
    <row r="676" spans="1:90" ht="15" customHeight="1" x14ac:dyDescent="0.35">
      <c r="A676" t="s">
        <v>1637</v>
      </c>
      <c r="B676" t="s">
        <v>177</v>
      </c>
      <c r="C676" t="s">
        <v>214</v>
      </c>
      <c r="D676" t="s">
        <v>178</v>
      </c>
      <c r="E676" s="32">
        <v>45943</v>
      </c>
      <c r="F676" t="s">
        <v>90</v>
      </c>
      <c r="G676" s="2">
        <v>45971</v>
      </c>
      <c r="H676">
        <v>9788620639</v>
      </c>
      <c r="I676">
        <v>122</v>
      </c>
      <c r="J676" t="s">
        <v>662</v>
      </c>
      <c r="K676" t="s">
        <v>71</v>
      </c>
      <c r="L676" t="s">
        <v>72</v>
      </c>
      <c r="M676" t="s">
        <v>59</v>
      </c>
      <c r="N676" t="s">
        <v>59</v>
      </c>
      <c r="O676" t="s">
        <v>59</v>
      </c>
      <c r="P676" t="s">
        <v>59</v>
      </c>
      <c r="Q676" t="s">
        <v>59</v>
      </c>
      <c r="R676" t="s">
        <v>59</v>
      </c>
      <c r="S676" t="s">
        <v>59</v>
      </c>
      <c r="T676" t="s">
        <v>59</v>
      </c>
      <c r="U676" t="s">
        <v>59</v>
      </c>
      <c r="V676" t="s">
        <v>59</v>
      </c>
      <c r="W676" t="s">
        <v>59</v>
      </c>
      <c r="X676" t="s">
        <v>59</v>
      </c>
      <c r="Y676" t="s">
        <v>59</v>
      </c>
      <c r="Z676" t="s">
        <v>59</v>
      </c>
      <c r="AA676" t="s">
        <v>59</v>
      </c>
      <c r="AB676" t="s">
        <v>59</v>
      </c>
      <c r="AC676" t="s">
        <v>60</v>
      </c>
      <c r="AD676" t="s">
        <v>59</v>
      </c>
      <c r="AE676" t="s">
        <v>59</v>
      </c>
      <c r="AF676" t="s">
        <v>59</v>
      </c>
      <c r="AG676" t="s">
        <v>59</v>
      </c>
      <c r="AH676" t="s">
        <v>61</v>
      </c>
      <c r="AI676" t="s">
        <v>61</v>
      </c>
      <c r="AJ676" t="s">
        <v>59</v>
      </c>
      <c r="AK676" t="s">
        <v>59</v>
      </c>
      <c r="AL676" t="s">
        <v>60</v>
      </c>
      <c r="AM676" t="s">
        <v>59</v>
      </c>
      <c r="AN676" t="s">
        <v>59</v>
      </c>
      <c r="AO676" t="s">
        <v>59</v>
      </c>
      <c r="AP676" t="s">
        <v>1638</v>
      </c>
      <c r="AQ676" s="1" t="s">
        <v>1193</v>
      </c>
      <c r="AR676" t="s">
        <v>64</v>
      </c>
      <c r="AS676" t="s">
        <v>94</v>
      </c>
      <c r="AT676" t="s">
        <v>95</v>
      </c>
      <c r="AU676" t="s">
        <v>257</v>
      </c>
      <c r="AW676" s="4">
        <f t="shared" si="353"/>
        <v>6</v>
      </c>
      <c r="AX676" s="4">
        <f t="shared" si="354"/>
        <v>4</v>
      </c>
      <c r="AY676" s="4">
        <f t="shared" si="355"/>
        <v>4</v>
      </c>
      <c r="AZ676" s="4">
        <f t="shared" si="356"/>
        <v>2</v>
      </c>
      <c r="BA676" s="4">
        <f t="shared" si="357"/>
        <v>4</v>
      </c>
      <c r="BB676" s="4">
        <f t="shared" si="358"/>
        <v>4</v>
      </c>
      <c r="BC676" s="4">
        <f t="shared" si="359"/>
        <v>4</v>
      </c>
      <c r="BD676" s="4">
        <f t="shared" si="360"/>
        <v>2</v>
      </c>
      <c r="BE676" s="4">
        <f t="shared" si="361"/>
        <v>4</v>
      </c>
      <c r="BF676" s="4">
        <f t="shared" si="362"/>
        <v>2</v>
      </c>
      <c r="BG676" s="4">
        <f t="shared" si="363"/>
        <v>4</v>
      </c>
      <c r="BH676" s="4">
        <f t="shared" si="364"/>
        <v>4</v>
      </c>
      <c r="BI676" s="4">
        <f t="shared" si="365"/>
        <v>4</v>
      </c>
      <c r="BJ676" s="4">
        <f t="shared" si="366"/>
        <v>2</v>
      </c>
      <c r="BK676" s="4">
        <f t="shared" si="367"/>
        <v>4</v>
      </c>
      <c r="BL676" s="4">
        <f t="shared" si="368"/>
        <v>2</v>
      </c>
      <c r="BM676" s="4" t="str">
        <f t="shared" si="369"/>
        <v>0</v>
      </c>
      <c r="BN676" s="4">
        <f t="shared" si="370"/>
        <v>4</v>
      </c>
      <c r="BO676" s="4">
        <f t="shared" si="371"/>
        <v>4</v>
      </c>
      <c r="BP676" s="4">
        <f t="shared" si="372"/>
        <v>4</v>
      </c>
      <c r="BQ676" s="4">
        <f t="shared" si="373"/>
        <v>6</v>
      </c>
      <c r="BR676" s="4">
        <f t="shared" si="374"/>
        <v>4</v>
      </c>
      <c r="BS676" s="4">
        <f t="shared" si="375"/>
        <v>4</v>
      </c>
      <c r="BT676" s="4">
        <f t="shared" si="376"/>
        <v>4</v>
      </c>
      <c r="BU676" s="4">
        <f t="shared" si="377"/>
        <v>4</v>
      </c>
      <c r="BV676" s="4" t="str">
        <f t="shared" si="378"/>
        <v>0</v>
      </c>
      <c r="BW676" s="4">
        <f t="shared" si="379"/>
        <v>6</v>
      </c>
      <c r="BX676" s="4">
        <f t="shared" si="380"/>
        <v>0</v>
      </c>
      <c r="BY676" s="4">
        <f t="shared" si="381"/>
        <v>0</v>
      </c>
      <c r="BZ676" s="37">
        <f t="shared" si="382"/>
        <v>96</v>
      </c>
      <c r="CA676" s="32" t="str">
        <f>VLOOKUP(J:J,'Agent wise'!A:C,3,0)</f>
        <v xml:space="preserve">Shiny </v>
      </c>
      <c r="CB676" s="32">
        <f t="shared" si="383"/>
        <v>45943</v>
      </c>
      <c r="CC676" t="str">
        <f t="shared" si="384"/>
        <v>Excellent</v>
      </c>
      <c r="CE676" s="32"/>
      <c r="CJ676">
        <f t="shared" si="385"/>
        <v>13</v>
      </c>
      <c r="CK676">
        <f t="shared" si="386"/>
        <v>10</v>
      </c>
      <c r="CL676">
        <f t="shared" si="387"/>
        <v>2025</v>
      </c>
    </row>
    <row r="677" spans="1:90" ht="15" customHeight="1" x14ac:dyDescent="0.35">
      <c r="A677" t="s">
        <v>1639</v>
      </c>
      <c r="B677" t="s">
        <v>177</v>
      </c>
      <c r="C677" t="s">
        <v>214</v>
      </c>
      <c r="D677" t="s">
        <v>178</v>
      </c>
      <c r="E677" s="32">
        <v>45943</v>
      </c>
      <c r="F677" t="s">
        <v>90</v>
      </c>
      <c r="G677" s="2">
        <v>46001</v>
      </c>
      <c r="H677">
        <v>9385709442</v>
      </c>
      <c r="I677">
        <v>160</v>
      </c>
      <c r="J677" t="s">
        <v>288</v>
      </c>
      <c r="K677" t="s">
        <v>71</v>
      </c>
      <c r="L677" t="s">
        <v>72</v>
      </c>
      <c r="M677" t="s">
        <v>59</v>
      </c>
      <c r="N677" t="s">
        <v>59</v>
      </c>
      <c r="O677" t="s">
        <v>59</v>
      </c>
      <c r="P677" t="s">
        <v>59</v>
      </c>
      <c r="Q677" t="s">
        <v>59</v>
      </c>
      <c r="R677" t="s">
        <v>59</v>
      </c>
      <c r="S677" t="s">
        <v>59</v>
      </c>
      <c r="T677" t="s">
        <v>59</v>
      </c>
      <c r="U677" t="s">
        <v>59</v>
      </c>
      <c r="V677" t="s">
        <v>59</v>
      </c>
      <c r="W677" t="s">
        <v>59</v>
      </c>
      <c r="X677" t="s">
        <v>59</v>
      </c>
      <c r="Y677" t="s">
        <v>59</v>
      </c>
      <c r="Z677" t="s">
        <v>59</v>
      </c>
      <c r="AA677" t="s">
        <v>59</v>
      </c>
      <c r="AB677" t="s">
        <v>59</v>
      </c>
      <c r="AC677" t="s">
        <v>59</v>
      </c>
      <c r="AD677" t="s">
        <v>59</v>
      </c>
      <c r="AE677" t="s">
        <v>59</v>
      </c>
      <c r="AF677" t="s">
        <v>59</v>
      </c>
      <c r="AG677" t="s">
        <v>59</v>
      </c>
      <c r="AH677" t="s">
        <v>61</v>
      </c>
      <c r="AI677" t="s">
        <v>61</v>
      </c>
      <c r="AJ677" t="s">
        <v>59</v>
      </c>
      <c r="AK677" t="s">
        <v>59</v>
      </c>
      <c r="AL677" t="s">
        <v>59</v>
      </c>
      <c r="AM677" t="s">
        <v>59</v>
      </c>
      <c r="AN677" t="s">
        <v>59</v>
      </c>
      <c r="AO677" t="s">
        <v>59</v>
      </c>
      <c r="AP677" t="s">
        <v>1640</v>
      </c>
      <c r="AQ677" s="1" t="s">
        <v>1193</v>
      </c>
      <c r="AR677" t="s">
        <v>64</v>
      </c>
      <c r="AS677" t="s">
        <v>210</v>
      </c>
      <c r="AT677" t="s">
        <v>1272</v>
      </c>
      <c r="AU677" t="s">
        <v>299</v>
      </c>
      <c r="AW677" s="4">
        <f t="shared" si="353"/>
        <v>6</v>
      </c>
      <c r="AX677" s="4">
        <f t="shared" si="354"/>
        <v>4</v>
      </c>
      <c r="AY677" s="4">
        <f t="shared" si="355"/>
        <v>4</v>
      </c>
      <c r="AZ677" s="4">
        <f t="shared" si="356"/>
        <v>2</v>
      </c>
      <c r="BA677" s="4">
        <f t="shared" si="357"/>
        <v>4</v>
      </c>
      <c r="BB677" s="4">
        <f t="shared" si="358"/>
        <v>4</v>
      </c>
      <c r="BC677" s="4">
        <f t="shared" si="359"/>
        <v>4</v>
      </c>
      <c r="BD677" s="4">
        <f t="shared" si="360"/>
        <v>2</v>
      </c>
      <c r="BE677" s="4">
        <f t="shared" si="361"/>
        <v>4</v>
      </c>
      <c r="BF677" s="4">
        <f t="shared" si="362"/>
        <v>2</v>
      </c>
      <c r="BG677" s="4">
        <f t="shared" si="363"/>
        <v>4</v>
      </c>
      <c r="BH677" s="4">
        <f t="shared" si="364"/>
        <v>4</v>
      </c>
      <c r="BI677" s="4">
        <f t="shared" si="365"/>
        <v>4</v>
      </c>
      <c r="BJ677" s="4">
        <f t="shared" si="366"/>
        <v>2</v>
      </c>
      <c r="BK677" s="4">
        <f t="shared" si="367"/>
        <v>4</v>
      </c>
      <c r="BL677" s="4">
        <f t="shared" si="368"/>
        <v>2</v>
      </c>
      <c r="BM677" s="4">
        <f t="shared" si="369"/>
        <v>4</v>
      </c>
      <c r="BN677" s="4">
        <f t="shared" si="370"/>
        <v>4</v>
      </c>
      <c r="BO677" s="4">
        <f t="shared" si="371"/>
        <v>4</v>
      </c>
      <c r="BP677" s="4">
        <f t="shared" si="372"/>
        <v>4</v>
      </c>
      <c r="BQ677" s="4">
        <f t="shared" si="373"/>
        <v>6</v>
      </c>
      <c r="BR677" s="4">
        <f t="shared" si="374"/>
        <v>4</v>
      </c>
      <c r="BS677" s="4">
        <f t="shared" si="375"/>
        <v>4</v>
      </c>
      <c r="BT677" s="4">
        <f t="shared" si="376"/>
        <v>4</v>
      </c>
      <c r="BU677" s="4">
        <f t="shared" si="377"/>
        <v>4</v>
      </c>
      <c r="BV677" s="4">
        <f t="shared" si="378"/>
        <v>0</v>
      </c>
      <c r="BW677" s="4">
        <f t="shared" si="379"/>
        <v>6</v>
      </c>
      <c r="BX677" s="4">
        <f t="shared" si="380"/>
        <v>0</v>
      </c>
      <c r="BY677" s="4">
        <f t="shared" si="381"/>
        <v>0</v>
      </c>
      <c r="BZ677" s="37">
        <f t="shared" si="382"/>
        <v>100</v>
      </c>
      <c r="CA677" s="32" t="str">
        <f>VLOOKUP(J:J,'Agent wise'!A:C,3,0)</f>
        <v>Shakeer</v>
      </c>
      <c r="CB677" s="32">
        <f t="shared" si="383"/>
        <v>45943</v>
      </c>
      <c r="CC677" t="str">
        <f t="shared" si="384"/>
        <v>Excellent</v>
      </c>
      <c r="CE677" s="32"/>
      <c r="CJ677">
        <f t="shared" si="385"/>
        <v>13</v>
      </c>
      <c r="CK677">
        <f t="shared" si="386"/>
        <v>10</v>
      </c>
      <c r="CL677">
        <f t="shared" si="387"/>
        <v>2025</v>
      </c>
    </row>
    <row r="678" spans="1:90" ht="15" customHeight="1" x14ac:dyDescent="0.35">
      <c r="A678" t="s">
        <v>1641</v>
      </c>
      <c r="B678" t="s">
        <v>250</v>
      </c>
      <c r="C678" t="s">
        <v>214</v>
      </c>
      <c r="D678" t="s">
        <v>251</v>
      </c>
      <c r="E678" s="32">
        <v>45943</v>
      </c>
      <c r="F678" t="s">
        <v>54</v>
      </c>
      <c r="G678" s="2">
        <v>46001</v>
      </c>
      <c r="H678">
        <v>7736989139</v>
      </c>
      <c r="I678">
        <v>156</v>
      </c>
      <c r="J678" t="s">
        <v>484</v>
      </c>
      <c r="K678" t="s">
        <v>57</v>
      </c>
      <c r="L678" t="s">
        <v>58</v>
      </c>
      <c r="M678" t="s">
        <v>59</v>
      </c>
      <c r="N678" t="s">
        <v>59</v>
      </c>
      <c r="O678" t="s">
        <v>59</v>
      </c>
      <c r="P678" t="s">
        <v>59</v>
      </c>
      <c r="Q678" t="s">
        <v>59</v>
      </c>
      <c r="R678" t="s">
        <v>59</v>
      </c>
      <c r="S678" t="s">
        <v>59</v>
      </c>
      <c r="T678" t="s">
        <v>59</v>
      </c>
      <c r="U678" t="s">
        <v>60</v>
      </c>
      <c r="V678" t="s">
        <v>59</v>
      </c>
      <c r="W678" t="s">
        <v>59</v>
      </c>
      <c r="X678" t="s">
        <v>59</v>
      </c>
      <c r="Y678" t="s">
        <v>59</v>
      </c>
      <c r="Z678" t="s">
        <v>59</v>
      </c>
      <c r="AA678" t="s">
        <v>60</v>
      </c>
      <c r="AB678" t="s">
        <v>60</v>
      </c>
      <c r="AC678" t="s">
        <v>59</v>
      </c>
      <c r="AD678" t="s">
        <v>59</v>
      </c>
      <c r="AE678" t="s">
        <v>59</v>
      </c>
      <c r="AF678" t="s">
        <v>59</v>
      </c>
      <c r="AG678" t="s">
        <v>59</v>
      </c>
      <c r="AH678" t="s">
        <v>61</v>
      </c>
      <c r="AI678" t="s">
        <v>61</v>
      </c>
      <c r="AJ678" t="s">
        <v>59</v>
      </c>
      <c r="AK678" t="s">
        <v>59</v>
      </c>
      <c r="AL678" t="s">
        <v>60</v>
      </c>
      <c r="AM678" t="s">
        <v>59</v>
      </c>
      <c r="AN678" t="s">
        <v>59</v>
      </c>
      <c r="AO678" t="s">
        <v>59</v>
      </c>
      <c r="AP678" t="s">
        <v>1642</v>
      </c>
      <c r="AQ678" t="s">
        <v>1643</v>
      </c>
      <c r="AR678" t="s">
        <v>64</v>
      </c>
      <c r="AS678" t="s">
        <v>198</v>
      </c>
      <c r="AT678" t="s">
        <v>479</v>
      </c>
      <c r="AU678" t="s">
        <v>219</v>
      </c>
      <c r="AW678" s="4">
        <f t="shared" si="353"/>
        <v>6</v>
      </c>
      <c r="AX678" s="4">
        <f t="shared" si="354"/>
        <v>4</v>
      </c>
      <c r="AY678" s="4">
        <f t="shared" si="355"/>
        <v>4</v>
      </c>
      <c r="AZ678" s="4">
        <f t="shared" si="356"/>
        <v>2</v>
      </c>
      <c r="BA678" s="4">
        <f t="shared" si="357"/>
        <v>4</v>
      </c>
      <c r="BB678" s="4">
        <f t="shared" si="358"/>
        <v>4</v>
      </c>
      <c r="BC678" s="4">
        <f t="shared" si="359"/>
        <v>4</v>
      </c>
      <c r="BD678" s="4">
        <f t="shared" si="360"/>
        <v>2</v>
      </c>
      <c r="BE678" s="4" t="str">
        <f t="shared" si="361"/>
        <v>0</v>
      </c>
      <c r="BF678" s="4">
        <f t="shared" si="362"/>
        <v>2</v>
      </c>
      <c r="BG678" s="4">
        <f t="shared" si="363"/>
        <v>4</v>
      </c>
      <c r="BH678" s="4">
        <f t="shared" si="364"/>
        <v>4</v>
      </c>
      <c r="BI678" s="4">
        <f t="shared" si="365"/>
        <v>4</v>
      </c>
      <c r="BJ678" s="4">
        <f t="shared" si="366"/>
        <v>2</v>
      </c>
      <c r="BK678" s="4" t="str">
        <f t="shared" si="367"/>
        <v>0</v>
      </c>
      <c r="BL678" s="4" t="str">
        <f t="shared" si="368"/>
        <v>0</v>
      </c>
      <c r="BM678" s="4">
        <f t="shared" si="369"/>
        <v>4</v>
      </c>
      <c r="BN678" s="4">
        <f t="shared" si="370"/>
        <v>4</v>
      </c>
      <c r="BO678" s="4">
        <f t="shared" si="371"/>
        <v>4</v>
      </c>
      <c r="BP678" s="4">
        <f t="shared" si="372"/>
        <v>4</v>
      </c>
      <c r="BQ678" s="4">
        <f t="shared" si="373"/>
        <v>6</v>
      </c>
      <c r="BR678" s="4">
        <f t="shared" si="374"/>
        <v>4</v>
      </c>
      <c r="BS678" s="4">
        <f t="shared" si="375"/>
        <v>4</v>
      </c>
      <c r="BT678" s="4">
        <f t="shared" si="376"/>
        <v>4</v>
      </c>
      <c r="BU678" s="4">
        <f t="shared" si="377"/>
        <v>4</v>
      </c>
      <c r="BV678" s="4" t="str">
        <f t="shared" si="378"/>
        <v>0</v>
      </c>
      <c r="BW678" s="4">
        <f t="shared" si="379"/>
        <v>6</v>
      </c>
      <c r="BX678" s="4">
        <f t="shared" si="380"/>
        <v>0</v>
      </c>
      <c r="BY678" s="4">
        <f t="shared" si="381"/>
        <v>0</v>
      </c>
      <c r="BZ678" s="37">
        <f t="shared" si="382"/>
        <v>90</v>
      </c>
      <c r="CA678" s="32" t="str">
        <f>VLOOKUP(J:J,'Agent wise'!A:C,3,0)</f>
        <v>Adharsh</v>
      </c>
      <c r="CB678" s="32">
        <f t="shared" si="383"/>
        <v>45943</v>
      </c>
      <c r="CC678" t="str">
        <f t="shared" si="384"/>
        <v>Good</v>
      </c>
      <c r="CE678" s="32"/>
      <c r="CJ678">
        <f t="shared" si="385"/>
        <v>13</v>
      </c>
      <c r="CK678">
        <f t="shared" si="386"/>
        <v>10</v>
      </c>
      <c r="CL678">
        <f t="shared" si="387"/>
        <v>2025</v>
      </c>
    </row>
    <row r="679" spans="1:90" ht="15" customHeight="1" x14ac:dyDescent="0.35">
      <c r="A679" t="s">
        <v>1644</v>
      </c>
      <c r="B679" t="s">
        <v>177</v>
      </c>
      <c r="C679" t="s">
        <v>214</v>
      </c>
      <c r="D679" t="s">
        <v>178</v>
      </c>
      <c r="E679" s="32">
        <v>45936</v>
      </c>
      <c r="F679" t="s">
        <v>54</v>
      </c>
      <c r="G679" s="2">
        <v>45787</v>
      </c>
      <c r="H679">
        <v>9952113868</v>
      </c>
      <c r="I679">
        <v>119</v>
      </c>
      <c r="J679" t="s">
        <v>749</v>
      </c>
      <c r="K679" t="s">
        <v>71</v>
      </c>
      <c r="L679" t="s">
        <v>72</v>
      </c>
      <c r="M679" t="s">
        <v>59</v>
      </c>
      <c r="N679" t="s">
        <v>59</v>
      </c>
      <c r="O679" t="s">
        <v>59</v>
      </c>
      <c r="P679" t="s">
        <v>59</v>
      </c>
      <c r="Q679" t="s">
        <v>59</v>
      </c>
      <c r="R679" t="s">
        <v>59</v>
      </c>
      <c r="S679" t="s">
        <v>59</v>
      </c>
      <c r="T679" t="s">
        <v>59</v>
      </c>
      <c r="U679" t="s">
        <v>59</v>
      </c>
      <c r="V679" t="s">
        <v>59</v>
      </c>
      <c r="W679" t="s">
        <v>59</v>
      </c>
      <c r="X679" t="s">
        <v>59</v>
      </c>
      <c r="Y679" t="s">
        <v>59</v>
      </c>
      <c r="Z679" t="s">
        <v>59</v>
      </c>
      <c r="AA679" t="s">
        <v>59</v>
      </c>
      <c r="AB679" t="s">
        <v>59</v>
      </c>
      <c r="AC679" t="s">
        <v>60</v>
      </c>
      <c r="AD679" t="s">
        <v>59</v>
      </c>
      <c r="AE679" t="s">
        <v>59</v>
      </c>
      <c r="AF679" t="s">
        <v>59</v>
      </c>
      <c r="AG679" t="s">
        <v>59</v>
      </c>
      <c r="AH679" t="s">
        <v>61</v>
      </c>
      <c r="AI679" t="s">
        <v>61</v>
      </c>
      <c r="AJ679" t="s">
        <v>59</v>
      </c>
      <c r="AK679" t="s">
        <v>59</v>
      </c>
      <c r="AL679" t="s">
        <v>60</v>
      </c>
      <c r="AM679" t="s">
        <v>59</v>
      </c>
      <c r="AN679" t="s">
        <v>59</v>
      </c>
      <c r="AO679" t="s">
        <v>59</v>
      </c>
      <c r="AP679" t="s">
        <v>1638</v>
      </c>
      <c r="AQ679" t="s">
        <v>1645</v>
      </c>
      <c r="AR679" t="s">
        <v>64</v>
      </c>
      <c r="AS679" t="s">
        <v>171</v>
      </c>
      <c r="AT679" t="s">
        <v>190</v>
      </c>
      <c r="AU679" t="s">
        <v>448</v>
      </c>
      <c r="AW679" s="4">
        <f t="shared" si="353"/>
        <v>6</v>
      </c>
      <c r="AX679" s="4">
        <f t="shared" si="354"/>
        <v>4</v>
      </c>
      <c r="AY679" s="4">
        <f t="shared" si="355"/>
        <v>4</v>
      </c>
      <c r="AZ679" s="4">
        <f t="shared" si="356"/>
        <v>2</v>
      </c>
      <c r="BA679" s="4">
        <f t="shared" si="357"/>
        <v>4</v>
      </c>
      <c r="BB679" s="4">
        <f t="shared" si="358"/>
        <v>4</v>
      </c>
      <c r="BC679" s="4">
        <f t="shared" si="359"/>
        <v>4</v>
      </c>
      <c r="BD679" s="4">
        <f t="shared" si="360"/>
        <v>2</v>
      </c>
      <c r="BE679" s="4">
        <f t="shared" si="361"/>
        <v>4</v>
      </c>
      <c r="BF679" s="4">
        <f t="shared" si="362"/>
        <v>2</v>
      </c>
      <c r="BG679" s="4">
        <f t="shared" si="363"/>
        <v>4</v>
      </c>
      <c r="BH679" s="4">
        <f t="shared" si="364"/>
        <v>4</v>
      </c>
      <c r="BI679" s="4">
        <f t="shared" si="365"/>
        <v>4</v>
      </c>
      <c r="BJ679" s="4">
        <f t="shared" si="366"/>
        <v>2</v>
      </c>
      <c r="BK679" s="4">
        <f t="shared" si="367"/>
        <v>4</v>
      </c>
      <c r="BL679" s="4">
        <f t="shared" si="368"/>
        <v>2</v>
      </c>
      <c r="BM679" s="4" t="str">
        <f t="shared" si="369"/>
        <v>0</v>
      </c>
      <c r="BN679" s="4">
        <f t="shared" si="370"/>
        <v>4</v>
      </c>
      <c r="BO679" s="4">
        <f t="shared" si="371"/>
        <v>4</v>
      </c>
      <c r="BP679" s="4">
        <f t="shared" si="372"/>
        <v>4</v>
      </c>
      <c r="BQ679" s="4">
        <f t="shared" si="373"/>
        <v>6</v>
      </c>
      <c r="BR679" s="4">
        <f t="shared" si="374"/>
        <v>4</v>
      </c>
      <c r="BS679" s="4">
        <f t="shared" si="375"/>
        <v>4</v>
      </c>
      <c r="BT679" s="4">
        <f t="shared" si="376"/>
        <v>4</v>
      </c>
      <c r="BU679" s="4">
        <f t="shared" si="377"/>
        <v>4</v>
      </c>
      <c r="BV679" s="4" t="str">
        <f t="shared" si="378"/>
        <v>0</v>
      </c>
      <c r="BW679" s="4">
        <f t="shared" si="379"/>
        <v>6</v>
      </c>
      <c r="BX679" s="4">
        <f t="shared" si="380"/>
        <v>0</v>
      </c>
      <c r="BY679" s="4">
        <f t="shared" si="381"/>
        <v>0</v>
      </c>
      <c r="BZ679" s="37">
        <f t="shared" si="382"/>
        <v>96</v>
      </c>
      <c r="CA679" s="32" t="str">
        <f>VLOOKUP(J:J,'Agent wise'!A:C,3,0)</f>
        <v xml:space="preserve">Shiny </v>
      </c>
      <c r="CB679" s="32">
        <f t="shared" si="383"/>
        <v>45936</v>
      </c>
      <c r="CC679" t="str">
        <f t="shared" si="384"/>
        <v>Excellent</v>
      </c>
      <c r="CE679" s="32"/>
      <c r="CJ679">
        <f t="shared" si="385"/>
        <v>6</v>
      </c>
      <c r="CK679">
        <f t="shared" si="386"/>
        <v>10</v>
      </c>
      <c r="CL679">
        <f t="shared" si="387"/>
        <v>2025</v>
      </c>
    </row>
    <row r="680" spans="1:90" ht="15" customHeight="1" x14ac:dyDescent="0.35">
      <c r="A680" t="s">
        <v>1646</v>
      </c>
      <c r="B680" t="s">
        <v>250</v>
      </c>
      <c r="C680" t="s">
        <v>214</v>
      </c>
      <c r="D680" t="s">
        <v>251</v>
      </c>
      <c r="E680" s="32">
        <v>45943</v>
      </c>
      <c r="F680" t="s">
        <v>54</v>
      </c>
      <c r="G680" s="2">
        <v>46001</v>
      </c>
      <c r="H680">
        <v>9846458384</v>
      </c>
      <c r="I680">
        <v>165</v>
      </c>
      <c r="J680" t="s">
        <v>80</v>
      </c>
      <c r="K680" t="s">
        <v>57</v>
      </c>
      <c r="L680" t="s">
        <v>58</v>
      </c>
      <c r="M680" t="s">
        <v>59</v>
      </c>
      <c r="N680" t="s">
        <v>60</v>
      </c>
      <c r="O680" t="s">
        <v>59</v>
      </c>
      <c r="P680" t="s">
        <v>59</v>
      </c>
      <c r="Q680" t="s">
        <v>59</v>
      </c>
      <c r="R680" t="s">
        <v>59</v>
      </c>
      <c r="S680" t="s">
        <v>59</v>
      </c>
      <c r="T680" t="s">
        <v>59</v>
      </c>
      <c r="U680" t="s">
        <v>60</v>
      </c>
      <c r="V680" t="s">
        <v>59</v>
      </c>
      <c r="W680" t="s">
        <v>59</v>
      </c>
      <c r="X680" t="s">
        <v>59</v>
      </c>
      <c r="Y680" t="s">
        <v>59</v>
      </c>
      <c r="Z680" t="s">
        <v>59</v>
      </c>
      <c r="AA680" t="s">
        <v>59</v>
      </c>
      <c r="AB680" t="s">
        <v>59</v>
      </c>
      <c r="AC680" t="s">
        <v>59</v>
      </c>
      <c r="AD680" t="s">
        <v>61</v>
      </c>
      <c r="AE680" t="s">
        <v>59</v>
      </c>
      <c r="AF680" t="s">
        <v>59</v>
      </c>
      <c r="AG680" t="s">
        <v>59</v>
      </c>
      <c r="AH680" t="s">
        <v>61</v>
      </c>
      <c r="AI680" t="s">
        <v>61</v>
      </c>
      <c r="AJ680" t="s">
        <v>59</v>
      </c>
      <c r="AK680" t="s">
        <v>59</v>
      </c>
      <c r="AL680" t="s">
        <v>60</v>
      </c>
      <c r="AM680" t="s">
        <v>59</v>
      </c>
      <c r="AN680" t="s">
        <v>59</v>
      </c>
      <c r="AO680" t="s">
        <v>59</v>
      </c>
      <c r="AP680" t="s">
        <v>1647</v>
      </c>
      <c r="AQ680" t="s">
        <v>1648</v>
      </c>
      <c r="AR680" t="s">
        <v>64</v>
      </c>
      <c r="AS680" t="s">
        <v>462</v>
      </c>
      <c r="AT680" t="s">
        <v>463</v>
      </c>
      <c r="AU680" t="s">
        <v>219</v>
      </c>
      <c r="AW680" s="4">
        <f t="shared" si="353"/>
        <v>6</v>
      </c>
      <c r="AX680" s="4" t="str">
        <f t="shared" si="354"/>
        <v>0</v>
      </c>
      <c r="AY680" s="4">
        <f t="shared" si="355"/>
        <v>4</v>
      </c>
      <c r="AZ680" s="4">
        <f t="shared" si="356"/>
        <v>2</v>
      </c>
      <c r="BA680" s="4">
        <f t="shared" si="357"/>
        <v>4</v>
      </c>
      <c r="BB680" s="4">
        <f t="shared" si="358"/>
        <v>4</v>
      </c>
      <c r="BC680" s="4">
        <f t="shared" si="359"/>
        <v>4</v>
      </c>
      <c r="BD680" s="4">
        <f t="shared" si="360"/>
        <v>2</v>
      </c>
      <c r="BE680" s="4" t="str">
        <f t="shared" si="361"/>
        <v>0</v>
      </c>
      <c r="BF680" s="4">
        <f t="shared" si="362"/>
        <v>2</v>
      </c>
      <c r="BG680" s="4">
        <f t="shared" si="363"/>
        <v>4</v>
      </c>
      <c r="BH680" s="4">
        <f t="shared" si="364"/>
        <v>4</v>
      </c>
      <c r="BI680" s="4">
        <f t="shared" si="365"/>
        <v>4</v>
      </c>
      <c r="BJ680" s="4">
        <f t="shared" si="366"/>
        <v>2</v>
      </c>
      <c r="BK680" s="4">
        <f t="shared" si="367"/>
        <v>4</v>
      </c>
      <c r="BL680" s="4">
        <f t="shared" si="368"/>
        <v>2</v>
      </c>
      <c r="BM680" s="4">
        <f t="shared" si="369"/>
        <v>4</v>
      </c>
      <c r="BN680" s="4">
        <f t="shared" si="370"/>
        <v>4</v>
      </c>
      <c r="BO680" s="4">
        <f t="shared" si="371"/>
        <v>4</v>
      </c>
      <c r="BP680" s="4">
        <f t="shared" si="372"/>
        <v>4</v>
      </c>
      <c r="BQ680" s="4">
        <f t="shared" si="373"/>
        <v>6</v>
      </c>
      <c r="BR680" s="4">
        <f t="shared" si="374"/>
        <v>4</v>
      </c>
      <c r="BS680" s="4">
        <f t="shared" si="375"/>
        <v>4</v>
      </c>
      <c r="BT680" s="4">
        <f t="shared" si="376"/>
        <v>4</v>
      </c>
      <c r="BU680" s="4">
        <f t="shared" si="377"/>
        <v>4</v>
      </c>
      <c r="BV680" s="4" t="str">
        <f t="shared" si="378"/>
        <v>0</v>
      </c>
      <c r="BW680" s="4">
        <f t="shared" si="379"/>
        <v>6</v>
      </c>
      <c r="BX680" s="4">
        <f t="shared" si="380"/>
        <v>0</v>
      </c>
      <c r="BY680" s="4">
        <f t="shared" si="381"/>
        <v>0</v>
      </c>
      <c r="BZ680" s="37">
        <f t="shared" si="382"/>
        <v>92</v>
      </c>
      <c r="CA680" s="32" t="str">
        <f>VLOOKUP(J:J,'Agent wise'!A:C,3,0)</f>
        <v>Saran S</v>
      </c>
      <c r="CB680" s="32">
        <f t="shared" si="383"/>
        <v>45943</v>
      </c>
      <c r="CC680" t="str">
        <f t="shared" si="384"/>
        <v>Good</v>
      </c>
      <c r="CE680" s="32"/>
      <c r="CJ680">
        <f t="shared" si="385"/>
        <v>13</v>
      </c>
      <c r="CK680">
        <f t="shared" si="386"/>
        <v>10</v>
      </c>
      <c r="CL680">
        <f t="shared" si="387"/>
        <v>2025</v>
      </c>
    </row>
    <row r="681" spans="1:90" ht="15" customHeight="1" x14ac:dyDescent="0.35">
      <c r="A681" t="s">
        <v>1649</v>
      </c>
      <c r="B681" t="s">
        <v>177</v>
      </c>
      <c r="C681" t="s">
        <v>214</v>
      </c>
      <c r="D681" t="s">
        <v>178</v>
      </c>
      <c r="E681" s="32">
        <v>45936</v>
      </c>
      <c r="F681" t="s">
        <v>54</v>
      </c>
      <c r="G681" s="2">
        <v>45787</v>
      </c>
      <c r="H681">
        <v>9965659997</v>
      </c>
      <c r="I681">
        <v>122</v>
      </c>
      <c r="J681" t="s">
        <v>302</v>
      </c>
      <c r="K681" t="s">
        <v>71</v>
      </c>
      <c r="L681" t="s">
        <v>72</v>
      </c>
      <c r="M681" t="s">
        <v>59</v>
      </c>
      <c r="N681" t="s">
        <v>59</v>
      </c>
      <c r="O681" t="s">
        <v>59</v>
      </c>
      <c r="P681" t="s">
        <v>59</v>
      </c>
      <c r="Q681" t="s">
        <v>59</v>
      </c>
      <c r="R681" t="s">
        <v>59</v>
      </c>
      <c r="S681" t="s">
        <v>59</v>
      </c>
      <c r="T681" t="s">
        <v>59</v>
      </c>
      <c r="U681" t="s">
        <v>59</v>
      </c>
      <c r="V681" t="s">
        <v>59</v>
      </c>
      <c r="W681" t="s">
        <v>59</v>
      </c>
      <c r="X681" t="s">
        <v>59</v>
      </c>
      <c r="Y681" t="s">
        <v>60</v>
      </c>
      <c r="Z681" t="s">
        <v>59</v>
      </c>
      <c r="AA681" t="s">
        <v>59</v>
      </c>
      <c r="AB681" t="s">
        <v>59</v>
      </c>
      <c r="AC681" t="s">
        <v>59</v>
      </c>
      <c r="AD681" t="s">
        <v>59</v>
      </c>
      <c r="AE681" t="s">
        <v>59</v>
      </c>
      <c r="AF681" t="s">
        <v>59</v>
      </c>
      <c r="AG681" t="s">
        <v>59</v>
      </c>
      <c r="AH681" t="s">
        <v>61</v>
      </c>
      <c r="AI681" t="s">
        <v>61</v>
      </c>
      <c r="AJ681" t="s">
        <v>59</v>
      </c>
      <c r="AK681" t="s">
        <v>59</v>
      </c>
      <c r="AL681" t="s">
        <v>59</v>
      </c>
      <c r="AM681" t="s">
        <v>59</v>
      </c>
      <c r="AN681" t="s">
        <v>59</v>
      </c>
      <c r="AO681" t="s">
        <v>59</v>
      </c>
      <c r="AP681" t="s">
        <v>1650</v>
      </c>
      <c r="AQ681" t="s">
        <v>1651</v>
      </c>
      <c r="AR681" t="s">
        <v>64</v>
      </c>
      <c r="AS681" t="s">
        <v>171</v>
      </c>
      <c r="AT681" t="s">
        <v>190</v>
      </c>
      <c r="AU681" t="s">
        <v>448</v>
      </c>
      <c r="AW681" s="4">
        <f t="shared" si="353"/>
        <v>6</v>
      </c>
      <c r="AX681" s="4">
        <f t="shared" si="354"/>
        <v>4</v>
      </c>
      <c r="AY681" s="4">
        <f t="shared" si="355"/>
        <v>4</v>
      </c>
      <c r="AZ681" s="4">
        <f t="shared" si="356"/>
        <v>2</v>
      </c>
      <c r="BA681" s="4">
        <f t="shared" si="357"/>
        <v>4</v>
      </c>
      <c r="BB681" s="4">
        <f t="shared" si="358"/>
        <v>4</v>
      </c>
      <c r="BC681" s="4">
        <f t="shared" si="359"/>
        <v>4</v>
      </c>
      <c r="BD681" s="4">
        <f t="shared" si="360"/>
        <v>2</v>
      </c>
      <c r="BE681" s="4">
        <f t="shared" si="361"/>
        <v>4</v>
      </c>
      <c r="BF681" s="4">
        <f t="shared" si="362"/>
        <v>2</v>
      </c>
      <c r="BG681" s="4">
        <f t="shared" si="363"/>
        <v>4</v>
      </c>
      <c r="BH681" s="4">
        <f t="shared" si="364"/>
        <v>4</v>
      </c>
      <c r="BI681" s="4" t="str">
        <f t="shared" si="365"/>
        <v>0</v>
      </c>
      <c r="BJ681" s="4">
        <f t="shared" si="366"/>
        <v>2</v>
      </c>
      <c r="BK681" s="4">
        <f t="shared" si="367"/>
        <v>4</v>
      </c>
      <c r="BL681" s="4">
        <f t="shared" si="368"/>
        <v>2</v>
      </c>
      <c r="BM681" s="4">
        <f t="shared" si="369"/>
        <v>4</v>
      </c>
      <c r="BN681" s="4">
        <f t="shared" si="370"/>
        <v>4</v>
      </c>
      <c r="BO681" s="4">
        <f t="shared" si="371"/>
        <v>4</v>
      </c>
      <c r="BP681" s="4">
        <f t="shared" si="372"/>
        <v>4</v>
      </c>
      <c r="BQ681" s="4">
        <f t="shared" si="373"/>
        <v>6</v>
      </c>
      <c r="BR681" s="4">
        <f t="shared" si="374"/>
        <v>4</v>
      </c>
      <c r="BS681" s="4">
        <f t="shared" si="375"/>
        <v>4</v>
      </c>
      <c r="BT681" s="4">
        <f t="shared" si="376"/>
        <v>4</v>
      </c>
      <c r="BU681" s="4">
        <f t="shared" si="377"/>
        <v>4</v>
      </c>
      <c r="BV681" s="4">
        <f t="shared" si="378"/>
        <v>0</v>
      </c>
      <c r="BW681" s="4">
        <f t="shared" si="379"/>
        <v>6</v>
      </c>
      <c r="BX681" s="4">
        <f t="shared" si="380"/>
        <v>0</v>
      </c>
      <c r="BY681" s="4">
        <f t="shared" si="381"/>
        <v>0</v>
      </c>
      <c r="BZ681" s="37">
        <f t="shared" si="382"/>
        <v>96</v>
      </c>
      <c r="CA681" s="32" t="str">
        <f>VLOOKUP(J:J,'Agent wise'!A:C,3,0)</f>
        <v>Shakeer</v>
      </c>
      <c r="CB681" s="32">
        <f t="shared" si="383"/>
        <v>45936</v>
      </c>
      <c r="CC681" t="str">
        <f t="shared" si="384"/>
        <v>Excellent</v>
      </c>
      <c r="CE681" s="32"/>
      <c r="CJ681">
        <f t="shared" si="385"/>
        <v>6</v>
      </c>
      <c r="CK681">
        <f t="shared" si="386"/>
        <v>10</v>
      </c>
      <c r="CL681">
        <f t="shared" si="387"/>
        <v>2025</v>
      </c>
    </row>
    <row r="682" spans="1:90" ht="15" customHeight="1" x14ac:dyDescent="0.35">
      <c r="A682" t="s">
        <v>1652</v>
      </c>
      <c r="B682" t="s">
        <v>250</v>
      </c>
      <c r="C682" t="s">
        <v>214</v>
      </c>
      <c r="D682" t="s">
        <v>251</v>
      </c>
      <c r="E682" s="32">
        <v>45943</v>
      </c>
      <c r="F682" t="s">
        <v>54</v>
      </c>
      <c r="G682" s="2">
        <v>46001</v>
      </c>
      <c r="H682">
        <v>9443001878</v>
      </c>
      <c r="I682">
        <v>155</v>
      </c>
      <c r="J682" t="s">
        <v>490</v>
      </c>
      <c r="K682" t="s">
        <v>71</v>
      </c>
      <c r="L682" t="s">
        <v>72</v>
      </c>
      <c r="M682" t="s">
        <v>59</v>
      </c>
      <c r="N682" t="s">
        <v>59</v>
      </c>
      <c r="O682" t="s">
        <v>59</v>
      </c>
      <c r="P682" t="s">
        <v>59</v>
      </c>
      <c r="Q682" t="s">
        <v>59</v>
      </c>
      <c r="R682" t="s">
        <v>59</v>
      </c>
      <c r="S682" t="s">
        <v>59</v>
      </c>
      <c r="T682" t="s">
        <v>59</v>
      </c>
      <c r="U682" t="s">
        <v>60</v>
      </c>
      <c r="V682" t="s">
        <v>59</v>
      </c>
      <c r="W682" t="s">
        <v>59</v>
      </c>
      <c r="X682" t="s">
        <v>59</v>
      </c>
      <c r="Y682" t="s">
        <v>59</v>
      </c>
      <c r="Z682" t="s">
        <v>59</v>
      </c>
      <c r="AA682" t="s">
        <v>59</v>
      </c>
      <c r="AB682" t="s">
        <v>60</v>
      </c>
      <c r="AC682" t="s">
        <v>59</v>
      </c>
      <c r="AD682" t="s">
        <v>59</v>
      </c>
      <c r="AE682" t="s">
        <v>59</v>
      </c>
      <c r="AF682" t="s">
        <v>59</v>
      </c>
      <c r="AG682" t="s">
        <v>59</v>
      </c>
      <c r="AH682" t="s">
        <v>61</v>
      </c>
      <c r="AI682" t="s">
        <v>61</v>
      </c>
      <c r="AJ682" t="s">
        <v>59</v>
      </c>
      <c r="AK682" t="s">
        <v>59</v>
      </c>
      <c r="AL682" t="s">
        <v>60</v>
      </c>
      <c r="AM682" t="s">
        <v>59</v>
      </c>
      <c r="AN682" t="s">
        <v>59</v>
      </c>
      <c r="AO682" t="s">
        <v>59</v>
      </c>
      <c r="AP682" t="s">
        <v>467</v>
      </c>
      <c r="AQ682" t="s">
        <v>1653</v>
      </c>
      <c r="AR682" t="s">
        <v>64</v>
      </c>
      <c r="AS682" t="s">
        <v>1654</v>
      </c>
      <c r="AT682" t="s">
        <v>1655</v>
      </c>
      <c r="AU682" t="s">
        <v>219</v>
      </c>
      <c r="AW682" s="4">
        <f t="shared" si="353"/>
        <v>6</v>
      </c>
      <c r="AX682" s="4">
        <f t="shared" si="354"/>
        <v>4</v>
      </c>
      <c r="AY682" s="4">
        <f t="shared" si="355"/>
        <v>4</v>
      </c>
      <c r="AZ682" s="4">
        <f t="shared" si="356"/>
        <v>2</v>
      </c>
      <c r="BA682" s="4">
        <f t="shared" si="357"/>
        <v>4</v>
      </c>
      <c r="BB682" s="4">
        <f t="shared" si="358"/>
        <v>4</v>
      </c>
      <c r="BC682" s="4">
        <f t="shared" si="359"/>
        <v>4</v>
      </c>
      <c r="BD682" s="4">
        <f t="shared" si="360"/>
        <v>2</v>
      </c>
      <c r="BE682" s="4" t="str">
        <f t="shared" si="361"/>
        <v>0</v>
      </c>
      <c r="BF682" s="4">
        <f t="shared" si="362"/>
        <v>2</v>
      </c>
      <c r="BG682" s="4">
        <f t="shared" si="363"/>
        <v>4</v>
      </c>
      <c r="BH682" s="4">
        <f t="shared" si="364"/>
        <v>4</v>
      </c>
      <c r="BI682" s="4">
        <f t="shared" si="365"/>
        <v>4</v>
      </c>
      <c r="BJ682" s="4">
        <f t="shared" si="366"/>
        <v>2</v>
      </c>
      <c r="BK682" s="4">
        <f t="shared" si="367"/>
        <v>4</v>
      </c>
      <c r="BL682" s="4" t="str">
        <f t="shared" si="368"/>
        <v>0</v>
      </c>
      <c r="BM682" s="4">
        <f t="shared" si="369"/>
        <v>4</v>
      </c>
      <c r="BN682" s="4">
        <f t="shared" si="370"/>
        <v>4</v>
      </c>
      <c r="BO682" s="4">
        <f t="shared" si="371"/>
        <v>4</v>
      </c>
      <c r="BP682" s="4">
        <f t="shared" si="372"/>
        <v>4</v>
      </c>
      <c r="BQ682" s="4">
        <f t="shared" si="373"/>
        <v>6</v>
      </c>
      <c r="BR682" s="4">
        <f t="shared" si="374"/>
        <v>4</v>
      </c>
      <c r="BS682" s="4">
        <f t="shared" si="375"/>
        <v>4</v>
      </c>
      <c r="BT682" s="4">
        <f t="shared" si="376"/>
        <v>4</v>
      </c>
      <c r="BU682" s="4">
        <f t="shared" si="377"/>
        <v>4</v>
      </c>
      <c r="BV682" s="4" t="str">
        <f t="shared" si="378"/>
        <v>0</v>
      </c>
      <c r="BW682" s="4">
        <f t="shared" si="379"/>
        <v>6</v>
      </c>
      <c r="BX682" s="4">
        <f t="shared" si="380"/>
        <v>0</v>
      </c>
      <c r="BY682" s="4">
        <f t="shared" si="381"/>
        <v>0</v>
      </c>
      <c r="BZ682" s="37">
        <f t="shared" si="382"/>
        <v>94</v>
      </c>
      <c r="CA682" s="32" t="str">
        <f>VLOOKUP(J:J,'Agent wise'!A:C,3,0)</f>
        <v>Saran S</v>
      </c>
      <c r="CB682" s="32">
        <f t="shared" si="383"/>
        <v>45943</v>
      </c>
      <c r="CC682" t="str">
        <f t="shared" si="384"/>
        <v>Good</v>
      </c>
      <c r="CE682" s="32"/>
      <c r="CJ682">
        <f t="shared" si="385"/>
        <v>13</v>
      </c>
      <c r="CK682">
        <f t="shared" si="386"/>
        <v>10</v>
      </c>
      <c r="CL682">
        <f t="shared" si="387"/>
        <v>2025</v>
      </c>
    </row>
    <row r="683" spans="1:90" ht="15" customHeight="1" x14ac:dyDescent="0.35">
      <c r="A683" t="s">
        <v>1656</v>
      </c>
      <c r="B683" t="s">
        <v>250</v>
      </c>
      <c r="C683" t="s">
        <v>214</v>
      </c>
      <c r="D683" t="s">
        <v>251</v>
      </c>
      <c r="E683" s="32">
        <v>45943</v>
      </c>
      <c r="F683" t="s">
        <v>54</v>
      </c>
      <c r="G683" s="2">
        <v>46001</v>
      </c>
      <c r="H683">
        <v>9384287760</v>
      </c>
      <c r="I683">
        <v>158</v>
      </c>
      <c r="J683" t="s">
        <v>139</v>
      </c>
      <c r="K683" t="s">
        <v>71</v>
      </c>
      <c r="L683" t="s">
        <v>72</v>
      </c>
      <c r="M683" t="s">
        <v>59</v>
      </c>
      <c r="N683" t="s">
        <v>59</v>
      </c>
      <c r="O683" t="s">
        <v>59</v>
      </c>
      <c r="P683" t="s">
        <v>59</v>
      </c>
      <c r="Q683" t="s">
        <v>59</v>
      </c>
      <c r="R683" t="s">
        <v>59</v>
      </c>
      <c r="S683" t="s">
        <v>59</v>
      </c>
      <c r="T683" t="s">
        <v>59</v>
      </c>
      <c r="U683" t="s">
        <v>60</v>
      </c>
      <c r="V683" t="s">
        <v>59</v>
      </c>
      <c r="W683" t="s">
        <v>59</v>
      </c>
      <c r="X683" t="s">
        <v>59</v>
      </c>
      <c r="Y683" t="s">
        <v>59</v>
      </c>
      <c r="Z683" t="s">
        <v>59</v>
      </c>
      <c r="AA683" t="s">
        <v>59</v>
      </c>
      <c r="AB683" t="s">
        <v>60</v>
      </c>
      <c r="AC683" t="s">
        <v>59</v>
      </c>
      <c r="AD683" t="s">
        <v>59</v>
      </c>
      <c r="AE683" t="s">
        <v>59</v>
      </c>
      <c r="AF683" t="s">
        <v>59</v>
      </c>
      <c r="AG683" t="s">
        <v>59</v>
      </c>
      <c r="AH683" t="s">
        <v>59</v>
      </c>
      <c r="AI683" t="s">
        <v>61</v>
      </c>
      <c r="AJ683" t="s">
        <v>59</v>
      </c>
      <c r="AK683" t="s">
        <v>59</v>
      </c>
      <c r="AL683" t="s">
        <v>60</v>
      </c>
      <c r="AM683" t="s">
        <v>59</v>
      </c>
      <c r="AN683" t="s">
        <v>59</v>
      </c>
      <c r="AO683" t="s">
        <v>59</v>
      </c>
      <c r="AP683" t="s">
        <v>1170</v>
      </c>
      <c r="AQ683" t="s">
        <v>1657</v>
      </c>
      <c r="AR683" t="s">
        <v>64</v>
      </c>
      <c r="AS683" t="s">
        <v>255</v>
      </c>
      <c r="AT683" t="s">
        <v>256</v>
      </c>
      <c r="AU683" t="s">
        <v>219</v>
      </c>
      <c r="AW683" s="4">
        <f t="shared" si="353"/>
        <v>6</v>
      </c>
      <c r="AX683" s="4">
        <f t="shared" si="354"/>
        <v>4</v>
      </c>
      <c r="AY683" s="4">
        <f t="shared" si="355"/>
        <v>4</v>
      </c>
      <c r="AZ683" s="4">
        <f t="shared" si="356"/>
        <v>2</v>
      </c>
      <c r="BA683" s="4">
        <f t="shared" si="357"/>
        <v>4</v>
      </c>
      <c r="BB683" s="4">
        <f t="shared" si="358"/>
        <v>4</v>
      </c>
      <c r="BC683" s="4">
        <f t="shared" si="359"/>
        <v>4</v>
      </c>
      <c r="BD683" s="4">
        <f t="shared" si="360"/>
        <v>2</v>
      </c>
      <c r="BE683" s="4" t="str">
        <f t="shared" si="361"/>
        <v>0</v>
      </c>
      <c r="BF683" s="4">
        <f t="shared" si="362"/>
        <v>2</v>
      </c>
      <c r="BG683" s="4">
        <f t="shared" si="363"/>
        <v>4</v>
      </c>
      <c r="BH683" s="4">
        <f t="shared" si="364"/>
        <v>4</v>
      </c>
      <c r="BI683" s="4">
        <f t="shared" si="365"/>
        <v>4</v>
      </c>
      <c r="BJ683" s="4">
        <f t="shared" si="366"/>
        <v>2</v>
      </c>
      <c r="BK683" s="4">
        <f t="shared" si="367"/>
        <v>4</v>
      </c>
      <c r="BL683" s="4" t="str">
        <f t="shared" si="368"/>
        <v>0</v>
      </c>
      <c r="BM683" s="4">
        <f t="shared" si="369"/>
        <v>4</v>
      </c>
      <c r="BN683" s="4">
        <f t="shared" si="370"/>
        <v>4</v>
      </c>
      <c r="BO683" s="4">
        <f t="shared" si="371"/>
        <v>4</v>
      </c>
      <c r="BP683" s="4">
        <f t="shared" si="372"/>
        <v>4</v>
      </c>
      <c r="BQ683" s="4">
        <f t="shared" si="373"/>
        <v>6</v>
      </c>
      <c r="BR683" s="4">
        <f t="shared" si="374"/>
        <v>4</v>
      </c>
      <c r="BS683" s="4">
        <f t="shared" si="375"/>
        <v>4</v>
      </c>
      <c r="BT683" s="4">
        <f t="shared" si="376"/>
        <v>4</v>
      </c>
      <c r="BU683" s="4">
        <f t="shared" si="377"/>
        <v>4</v>
      </c>
      <c r="BV683" s="4" t="str">
        <f t="shared" si="378"/>
        <v>0</v>
      </c>
      <c r="BW683" s="4">
        <f t="shared" si="379"/>
        <v>6</v>
      </c>
      <c r="BX683" s="4">
        <f t="shared" si="380"/>
        <v>0</v>
      </c>
      <c r="BY683" s="4">
        <f t="shared" si="381"/>
        <v>0</v>
      </c>
      <c r="BZ683" s="37">
        <f t="shared" si="382"/>
        <v>94</v>
      </c>
      <c r="CA683" s="32" t="str">
        <f>VLOOKUP(J:J,'Agent wise'!A:C,3,0)</f>
        <v>Shakeer</v>
      </c>
      <c r="CB683" s="32">
        <f t="shared" si="383"/>
        <v>45943</v>
      </c>
      <c r="CC683" t="str">
        <f t="shared" si="384"/>
        <v>Good</v>
      </c>
      <c r="CE683" s="32"/>
      <c r="CJ683">
        <f t="shared" si="385"/>
        <v>13</v>
      </c>
      <c r="CK683">
        <f t="shared" si="386"/>
        <v>10</v>
      </c>
      <c r="CL683">
        <f t="shared" si="387"/>
        <v>2025</v>
      </c>
    </row>
    <row r="684" spans="1:90" ht="15" customHeight="1" x14ac:dyDescent="0.35">
      <c r="A684" t="s">
        <v>1658</v>
      </c>
      <c r="B684" t="s">
        <v>250</v>
      </c>
      <c r="C684" t="s">
        <v>214</v>
      </c>
      <c r="D684" t="s">
        <v>251</v>
      </c>
      <c r="E684" s="32">
        <v>45943</v>
      </c>
      <c r="F684" t="s">
        <v>54</v>
      </c>
      <c r="G684" s="2">
        <v>46001</v>
      </c>
      <c r="H684">
        <v>9489843161</v>
      </c>
      <c r="I684">
        <v>194</v>
      </c>
      <c r="J684" t="s">
        <v>208</v>
      </c>
      <c r="K684" t="s">
        <v>71</v>
      </c>
      <c r="L684" t="s">
        <v>72</v>
      </c>
      <c r="M684" t="s">
        <v>59</v>
      </c>
      <c r="N684" t="s">
        <v>59</v>
      </c>
      <c r="O684" t="s">
        <v>59</v>
      </c>
      <c r="P684" t="s">
        <v>59</v>
      </c>
      <c r="Q684" t="s">
        <v>59</v>
      </c>
      <c r="R684" t="s">
        <v>59</v>
      </c>
      <c r="S684" t="s">
        <v>59</v>
      </c>
      <c r="T684" t="s">
        <v>59</v>
      </c>
      <c r="U684" t="s">
        <v>60</v>
      </c>
      <c r="V684" t="s">
        <v>59</v>
      </c>
      <c r="W684" t="s">
        <v>59</v>
      </c>
      <c r="X684" t="s">
        <v>59</v>
      </c>
      <c r="Y684" t="s">
        <v>59</v>
      </c>
      <c r="Z684" t="s">
        <v>59</v>
      </c>
      <c r="AA684" t="s">
        <v>60</v>
      </c>
      <c r="AB684" t="s">
        <v>59</v>
      </c>
      <c r="AC684" t="s">
        <v>59</v>
      </c>
      <c r="AD684" t="s">
        <v>59</v>
      </c>
      <c r="AE684" t="s">
        <v>59</v>
      </c>
      <c r="AF684" t="s">
        <v>59</v>
      </c>
      <c r="AG684" t="s">
        <v>59</v>
      </c>
      <c r="AH684" t="s">
        <v>61</v>
      </c>
      <c r="AI684" t="s">
        <v>61</v>
      </c>
      <c r="AJ684" t="s">
        <v>59</v>
      </c>
      <c r="AK684" t="s">
        <v>59</v>
      </c>
      <c r="AL684" t="s">
        <v>59</v>
      </c>
      <c r="AM684" t="s">
        <v>59</v>
      </c>
      <c r="AN684" t="s">
        <v>59</v>
      </c>
      <c r="AO684" t="s">
        <v>59</v>
      </c>
      <c r="AP684" t="s">
        <v>1659</v>
      </c>
      <c r="AQ684" t="s">
        <v>1660</v>
      </c>
      <c r="AR684" t="s">
        <v>64</v>
      </c>
      <c r="AS684" t="s">
        <v>325</v>
      </c>
      <c r="AT684" t="s">
        <v>510</v>
      </c>
      <c r="AU684" t="s">
        <v>219</v>
      </c>
      <c r="AW684" s="4">
        <f t="shared" si="353"/>
        <v>6</v>
      </c>
      <c r="AX684" s="4">
        <f t="shared" si="354"/>
        <v>4</v>
      </c>
      <c r="AY684" s="4">
        <f t="shared" si="355"/>
        <v>4</v>
      </c>
      <c r="AZ684" s="4">
        <f t="shared" si="356"/>
        <v>2</v>
      </c>
      <c r="BA684" s="4">
        <f t="shared" si="357"/>
        <v>4</v>
      </c>
      <c r="BB684" s="4">
        <f t="shared" si="358"/>
        <v>4</v>
      </c>
      <c r="BC684" s="4">
        <f t="shared" si="359"/>
        <v>4</v>
      </c>
      <c r="BD684" s="4">
        <f t="shared" si="360"/>
        <v>2</v>
      </c>
      <c r="BE684" s="4" t="str">
        <f t="shared" si="361"/>
        <v>0</v>
      </c>
      <c r="BF684" s="4">
        <f t="shared" si="362"/>
        <v>2</v>
      </c>
      <c r="BG684" s="4">
        <f t="shared" si="363"/>
        <v>4</v>
      </c>
      <c r="BH684" s="4">
        <f t="shared" si="364"/>
        <v>4</v>
      </c>
      <c r="BI684" s="4">
        <f t="shared" si="365"/>
        <v>4</v>
      </c>
      <c r="BJ684" s="4">
        <f t="shared" si="366"/>
        <v>2</v>
      </c>
      <c r="BK684" s="4" t="str">
        <f t="shared" si="367"/>
        <v>0</v>
      </c>
      <c r="BL684" s="4">
        <f t="shared" si="368"/>
        <v>2</v>
      </c>
      <c r="BM684" s="4">
        <f t="shared" si="369"/>
        <v>4</v>
      </c>
      <c r="BN684" s="4">
        <f t="shared" si="370"/>
        <v>4</v>
      </c>
      <c r="BO684" s="4">
        <f t="shared" si="371"/>
        <v>4</v>
      </c>
      <c r="BP684" s="4">
        <f t="shared" si="372"/>
        <v>4</v>
      </c>
      <c r="BQ684" s="4">
        <f t="shared" si="373"/>
        <v>6</v>
      </c>
      <c r="BR684" s="4">
        <f t="shared" si="374"/>
        <v>4</v>
      </c>
      <c r="BS684" s="4">
        <f t="shared" si="375"/>
        <v>4</v>
      </c>
      <c r="BT684" s="4">
        <f t="shared" si="376"/>
        <v>4</v>
      </c>
      <c r="BU684" s="4">
        <f t="shared" si="377"/>
        <v>4</v>
      </c>
      <c r="BV684" s="4">
        <f t="shared" si="378"/>
        <v>0</v>
      </c>
      <c r="BW684" s="4">
        <f t="shared" si="379"/>
        <v>6</v>
      </c>
      <c r="BX684" s="4">
        <f t="shared" si="380"/>
        <v>0</v>
      </c>
      <c r="BY684" s="4">
        <f t="shared" si="381"/>
        <v>0</v>
      </c>
      <c r="BZ684" s="37">
        <f t="shared" si="382"/>
        <v>92</v>
      </c>
      <c r="CA684" s="32" t="str">
        <f>VLOOKUP(J:J,'Agent wise'!A:C,3,0)</f>
        <v>Adharsh</v>
      </c>
      <c r="CB684" s="32">
        <f t="shared" si="383"/>
        <v>45943</v>
      </c>
      <c r="CC684" t="str">
        <f t="shared" si="384"/>
        <v>Good</v>
      </c>
      <c r="CE684" s="32"/>
      <c r="CJ684">
        <f t="shared" si="385"/>
        <v>13</v>
      </c>
      <c r="CK684">
        <f t="shared" si="386"/>
        <v>10</v>
      </c>
      <c r="CL684">
        <f t="shared" si="387"/>
        <v>2025</v>
      </c>
    </row>
    <row r="685" spans="1:90" ht="15" customHeight="1" x14ac:dyDescent="0.35">
      <c r="A685" t="s">
        <v>1661</v>
      </c>
      <c r="B685" t="s">
        <v>250</v>
      </c>
      <c r="C685" t="s">
        <v>214</v>
      </c>
      <c r="D685" t="s">
        <v>251</v>
      </c>
      <c r="E685" s="32">
        <v>45943</v>
      </c>
      <c r="F685" t="s">
        <v>54</v>
      </c>
      <c r="G685" s="2">
        <v>46001</v>
      </c>
      <c r="H685">
        <v>9447907223</v>
      </c>
      <c r="I685">
        <v>163</v>
      </c>
      <c r="J685" t="s">
        <v>546</v>
      </c>
      <c r="K685" t="s">
        <v>57</v>
      </c>
      <c r="L685" t="s">
        <v>58</v>
      </c>
      <c r="M685" t="s">
        <v>59</v>
      </c>
      <c r="N685" t="s">
        <v>59</v>
      </c>
      <c r="O685" t="s">
        <v>59</v>
      </c>
      <c r="P685" t="s">
        <v>59</v>
      </c>
      <c r="Q685" t="s">
        <v>59</v>
      </c>
      <c r="R685" t="s">
        <v>59</v>
      </c>
      <c r="S685" t="s">
        <v>59</v>
      </c>
      <c r="T685" t="s">
        <v>59</v>
      </c>
      <c r="U685" t="s">
        <v>60</v>
      </c>
      <c r="V685" t="s">
        <v>59</v>
      </c>
      <c r="W685" t="s">
        <v>59</v>
      </c>
      <c r="X685" t="s">
        <v>59</v>
      </c>
      <c r="Y685" t="s">
        <v>59</v>
      </c>
      <c r="Z685" t="s">
        <v>60</v>
      </c>
      <c r="AA685" t="s">
        <v>59</v>
      </c>
      <c r="AB685" t="s">
        <v>59</v>
      </c>
      <c r="AC685" t="s">
        <v>59</v>
      </c>
      <c r="AD685" t="s">
        <v>59</v>
      </c>
      <c r="AE685" t="s">
        <v>59</v>
      </c>
      <c r="AF685" t="s">
        <v>59</v>
      </c>
      <c r="AG685" t="s">
        <v>59</v>
      </c>
      <c r="AH685" t="s">
        <v>61</v>
      </c>
      <c r="AI685" t="s">
        <v>61</v>
      </c>
      <c r="AJ685" t="s">
        <v>59</v>
      </c>
      <c r="AK685" t="s">
        <v>59</v>
      </c>
      <c r="AL685" t="s">
        <v>60</v>
      </c>
      <c r="AM685" t="s">
        <v>59</v>
      </c>
      <c r="AN685" t="s">
        <v>59</v>
      </c>
      <c r="AO685" t="s">
        <v>59</v>
      </c>
      <c r="AP685" t="s">
        <v>1662</v>
      </c>
      <c r="AQ685" t="s">
        <v>1663</v>
      </c>
      <c r="AR685" t="s">
        <v>64</v>
      </c>
      <c r="AS685" t="s">
        <v>198</v>
      </c>
      <c r="AT685" t="s">
        <v>386</v>
      </c>
      <c r="AU685" t="s">
        <v>219</v>
      </c>
      <c r="AW685" s="4">
        <f t="shared" si="353"/>
        <v>6</v>
      </c>
      <c r="AX685" s="4">
        <f t="shared" si="354"/>
        <v>4</v>
      </c>
      <c r="AY685" s="4">
        <f t="shared" si="355"/>
        <v>4</v>
      </c>
      <c r="AZ685" s="4">
        <f t="shared" si="356"/>
        <v>2</v>
      </c>
      <c r="BA685" s="4">
        <f t="shared" si="357"/>
        <v>4</v>
      </c>
      <c r="BB685" s="4">
        <f t="shared" si="358"/>
        <v>4</v>
      </c>
      <c r="BC685" s="4">
        <f t="shared" si="359"/>
        <v>4</v>
      </c>
      <c r="BD685" s="4">
        <f t="shared" si="360"/>
        <v>2</v>
      </c>
      <c r="BE685" s="4" t="str">
        <f t="shared" si="361"/>
        <v>0</v>
      </c>
      <c r="BF685" s="4">
        <f t="shared" si="362"/>
        <v>2</v>
      </c>
      <c r="BG685" s="4">
        <f t="shared" si="363"/>
        <v>4</v>
      </c>
      <c r="BH685" s="4">
        <f t="shared" si="364"/>
        <v>4</v>
      </c>
      <c r="BI685" s="4">
        <f t="shared" si="365"/>
        <v>4</v>
      </c>
      <c r="BJ685" s="4" t="str">
        <f t="shared" si="366"/>
        <v>0</v>
      </c>
      <c r="BK685" s="4">
        <f t="shared" si="367"/>
        <v>4</v>
      </c>
      <c r="BL685" s="4">
        <f t="shared" si="368"/>
        <v>2</v>
      </c>
      <c r="BM685" s="4">
        <f t="shared" si="369"/>
        <v>4</v>
      </c>
      <c r="BN685" s="4">
        <f t="shared" si="370"/>
        <v>4</v>
      </c>
      <c r="BO685" s="4">
        <f t="shared" si="371"/>
        <v>4</v>
      </c>
      <c r="BP685" s="4">
        <f t="shared" si="372"/>
        <v>4</v>
      </c>
      <c r="BQ685" s="4">
        <f t="shared" si="373"/>
        <v>6</v>
      </c>
      <c r="BR685" s="4">
        <f t="shared" si="374"/>
        <v>4</v>
      </c>
      <c r="BS685" s="4">
        <f t="shared" si="375"/>
        <v>4</v>
      </c>
      <c r="BT685" s="4">
        <f t="shared" si="376"/>
        <v>4</v>
      </c>
      <c r="BU685" s="4">
        <f t="shared" si="377"/>
        <v>4</v>
      </c>
      <c r="BV685" s="4" t="str">
        <f t="shared" si="378"/>
        <v>0</v>
      </c>
      <c r="BW685" s="4">
        <f t="shared" si="379"/>
        <v>6</v>
      </c>
      <c r="BX685" s="4">
        <f t="shared" si="380"/>
        <v>0</v>
      </c>
      <c r="BY685" s="4">
        <f t="shared" si="381"/>
        <v>0</v>
      </c>
      <c r="BZ685" s="37">
        <f t="shared" si="382"/>
        <v>94</v>
      </c>
      <c r="CA685" s="32" t="str">
        <f>VLOOKUP(J:J,'Agent wise'!A:C,3,0)</f>
        <v>Shakeer</v>
      </c>
      <c r="CB685" s="32">
        <f t="shared" si="383"/>
        <v>45943</v>
      </c>
      <c r="CC685" t="str">
        <f t="shared" si="384"/>
        <v>Good</v>
      </c>
      <c r="CE685" s="32"/>
      <c r="CJ685">
        <f t="shared" si="385"/>
        <v>13</v>
      </c>
      <c r="CK685">
        <f t="shared" si="386"/>
        <v>10</v>
      </c>
      <c r="CL685">
        <f t="shared" si="387"/>
        <v>2025</v>
      </c>
    </row>
    <row r="686" spans="1:90" ht="15" customHeight="1" x14ac:dyDescent="0.35">
      <c r="A686" t="s">
        <v>1664</v>
      </c>
      <c r="B686" t="s">
        <v>250</v>
      </c>
      <c r="C686" t="s">
        <v>214</v>
      </c>
      <c r="D686" t="s">
        <v>251</v>
      </c>
      <c r="E686" s="32">
        <v>45943</v>
      </c>
      <c r="F686" t="s">
        <v>54</v>
      </c>
      <c r="G686" s="2">
        <v>46001</v>
      </c>
      <c r="H686">
        <v>9382116111</v>
      </c>
      <c r="I686">
        <v>158</v>
      </c>
      <c r="J686" t="s">
        <v>472</v>
      </c>
      <c r="K686" t="s">
        <v>71</v>
      </c>
      <c r="L686" t="s">
        <v>72</v>
      </c>
      <c r="M686" t="s">
        <v>59</v>
      </c>
      <c r="N686" t="s">
        <v>59</v>
      </c>
      <c r="O686" t="s">
        <v>59</v>
      </c>
      <c r="P686" t="s">
        <v>59</v>
      </c>
      <c r="Q686" t="s">
        <v>59</v>
      </c>
      <c r="R686" t="s">
        <v>59</v>
      </c>
      <c r="S686" t="s">
        <v>59</v>
      </c>
      <c r="T686" t="s">
        <v>59</v>
      </c>
      <c r="U686" t="s">
        <v>60</v>
      </c>
      <c r="V686" t="s">
        <v>59</v>
      </c>
      <c r="W686" t="s">
        <v>59</v>
      </c>
      <c r="X686" t="s">
        <v>59</v>
      </c>
      <c r="Y686" t="s">
        <v>59</v>
      </c>
      <c r="Z686" t="s">
        <v>59</v>
      </c>
      <c r="AA686" t="s">
        <v>59</v>
      </c>
      <c r="AB686" t="s">
        <v>60</v>
      </c>
      <c r="AC686" t="s">
        <v>59</v>
      </c>
      <c r="AD686" t="s">
        <v>59</v>
      </c>
      <c r="AE686" t="s">
        <v>59</v>
      </c>
      <c r="AF686" t="s">
        <v>59</v>
      </c>
      <c r="AG686" t="s">
        <v>59</v>
      </c>
      <c r="AH686" t="s">
        <v>61</v>
      </c>
      <c r="AI686" t="s">
        <v>61</v>
      </c>
      <c r="AJ686" t="s">
        <v>59</v>
      </c>
      <c r="AK686" t="s">
        <v>59</v>
      </c>
      <c r="AL686" t="s">
        <v>60</v>
      </c>
      <c r="AM686" t="s">
        <v>59</v>
      </c>
      <c r="AN686" t="s">
        <v>59</v>
      </c>
      <c r="AO686" t="s">
        <v>59</v>
      </c>
      <c r="AP686" t="s">
        <v>467</v>
      </c>
      <c r="AQ686" t="s">
        <v>1665</v>
      </c>
      <c r="AR686" t="s">
        <v>64</v>
      </c>
      <c r="AS686" t="s">
        <v>417</v>
      </c>
      <c r="AT686" t="s">
        <v>418</v>
      </c>
      <c r="AU686" t="s">
        <v>219</v>
      </c>
      <c r="AW686" s="4">
        <f t="shared" si="353"/>
        <v>6</v>
      </c>
      <c r="AX686" s="4">
        <f t="shared" si="354"/>
        <v>4</v>
      </c>
      <c r="AY686" s="4">
        <f t="shared" si="355"/>
        <v>4</v>
      </c>
      <c r="AZ686" s="4">
        <f t="shared" si="356"/>
        <v>2</v>
      </c>
      <c r="BA686" s="4">
        <f t="shared" si="357"/>
        <v>4</v>
      </c>
      <c r="BB686" s="4">
        <f t="shared" si="358"/>
        <v>4</v>
      </c>
      <c r="BC686" s="4">
        <f t="shared" si="359"/>
        <v>4</v>
      </c>
      <c r="BD686" s="4">
        <f t="shared" si="360"/>
        <v>2</v>
      </c>
      <c r="BE686" s="4" t="str">
        <f t="shared" si="361"/>
        <v>0</v>
      </c>
      <c r="BF686" s="4">
        <f t="shared" si="362"/>
        <v>2</v>
      </c>
      <c r="BG686" s="4">
        <f t="shared" si="363"/>
        <v>4</v>
      </c>
      <c r="BH686" s="4">
        <f t="shared" si="364"/>
        <v>4</v>
      </c>
      <c r="BI686" s="4">
        <f t="shared" si="365"/>
        <v>4</v>
      </c>
      <c r="BJ686" s="4">
        <f t="shared" si="366"/>
        <v>2</v>
      </c>
      <c r="BK686" s="4">
        <f t="shared" si="367"/>
        <v>4</v>
      </c>
      <c r="BL686" s="4" t="str">
        <f t="shared" si="368"/>
        <v>0</v>
      </c>
      <c r="BM686" s="4">
        <f t="shared" si="369"/>
        <v>4</v>
      </c>
      <c r="BN686" s="4">
        <f t="shared" si="370"/>
        <v>4</v>
      </c>
      <c r="BO686" s="4">
        <f t="shared" si="371"/>
        <v>4</v>
      </c>
      <c r="BP686" s="4">
        <f t="shared" si="372"/>
        <v>4</v>
      </c>
      <c r="BQ686" s="4">
        <f t="shared" si="373"/>
        <v>6</v>
      </c>
      <c r="BR686" s="4">
        <f t="shared" si="374"/>
        <v>4</v>
      </c>
      <c r="BS686" s="4">
        <f t="shared" si="375"/>
        <v>4</v>
      </c>
      <c r="BT686" s="4">
        <f t="shared" si="376"/>
        <v>4</v>
      </c>
      <c r="BU686" s="4">
        <f t="shared" si="377"/>
        <v>4</v>
      </c>
      <c r="BV686" s="4" t="str">
        <f t="shared" si="378"/>
        <v>0</v>
      </c>
      <c r="BW686" s="4">
        <f t="shared" si="379"/>
        <v>6</v>
      </c>
      <c r="BX686" s="4">
        <f t="shared" si="380"/>
        <v>0</v>
      </c>
      <c r="BY686" s="4">
        <f t="shared" si="381"/>
        <v>0</v>
      </c>
      <c r="BZ686" s="37">
        <f t="shared" si="382"/>
        <v>94</v>
      </c>
      <c r="CA686" s="32" t="str">
        <f>VLOOKUP(J:J,'Agent wise'!A:C,3,0)</f>
        <v>Saran S</v>
      </c>
      <c r="CB686" s="32">
        <f t="shared" si="383"/>
        <v>45943</v>
      </c>
      <c r="CC686" t="str">
        <f t="shared" si="384"/>
        <v>Good</v>
      </c>
      <c r="CE686" s="32"/>
      <c r="CJ686">
        <f t="shared" si="385"/>
        <v>13</v>
      </c>
      <c r="CK686">
        <f t="shared" si="386"/>
        <v>10</v>
      </c>
      <c r="CL686">
        <f t="shared" si="387"/>
        <v>2025</v>
      </c>
    </row>
    <row r="687" spans="1:90" ht="15" customHeight="1" x14ac:dyDescent="0.35">
      <c r="A687" t="s">
        <v>1666</v>
      </c>
      <c r="B687" t="s">
        <v>250</v>
      </c>
      <c r="C687" t="s">
        <v>214</v>
      </c>
      <c r="D687" t="s">
        <v>251</v>
      </c>
      <c r="E687" s="32">
        <v>45943</v>
      </c>
      <c r="F687" t="s">
        <v>54</v>
      </c>
      <c r="G687" s="2">
        <v>46001</v>
      </c>
      <c r="H687">
        <v>9496519606</v>
      </c>
      <c r="I687">
        <v>195</v>
      </c>
      <c r="J687" t="s">
        <v>548</v>
      </c>
      <c r="K687" t="s">
        <v>57</v>
      </c>
      <c r="L687" t="s">
        <v>58</v>
      </c>
      <c r="M687" t="s">
        <v>59</v>
      </c>
      <c r="N687" t="s">
        <v>59</v>
      </c>
      <c r="O687" t="s">
        <v>59</v>
      </c>
      <c r="P687" t="s">
        <v>59</v>
      </c>
      <c r="Q687" t="s">
        <v>59</v>
      </c>
      <c r="R687" t="s">
        <v>59</v>
      </c>
      <c r="S687" t="s">
        <v>59</v>
      </c>
      <c r="T687" t="s">
        <v>59</v>
      </c>
      <c r="U687" t="s">
        <v>60</v>
      </c>
      <c r="V687" t="s">
        <v>59</v>
      </c>
      <c r="W687" t="s">
        <v>59</v>
      </c>
      <c r="X687" t="s">
        <v>59</v>
      </c>
      <c r="Y687" t="s">
        <v>59</v>
      </c>
      <c r="Z687" t="s">
        <v>60</v>
      </c>
      <c r="AA687" t="s">
        <v>59</v>
      </c>
      <c r="AB687" t="s">
        <v>60</v>
      </c>
      <c r="AC687" t="s">
        <v>59</v>
      </c>
      <c r="AD687" t="s">
        <v>59</v>
      </c>
      <c r="AE687" t="s">
        <v>59</v>
      </c>
      <c r="AF687" t="s">
        <v>59</v>
      </c>
      <c r="AG687" t="s">
        <v>59</v>
      </c>
      <c r="AH687" t="s">
        <v>61</v>
      </c>
      <c r="AI687" t="s">
        <v>61</v>
      </c>
      <c r="AJ687" t="s">
        <v>59</v>
      </c>
      <c r="AK687" t="s">
        <v>59</v>
      </c>
      <c r="AL687" t="s">
        <v>60</v>
      </c>
      <c r="AM687" t="s">
        <v>59</v>
      </c>
      <c r="AN687" t="s">
        <v>59</v>
      </c>
      <c r="AO687" t="s">
        <v>59</v>
      </c>
      <c r="AP687" t="s">
        <v>1667</v>
      </c>
      <c r="AQ687" t="s">
        <v>1668</v>
      </c>
      <c r="AR687" t="s">
        <v>64</v>
      </c>
      <c r="AS687" t="s">
        <v>771</v>
      </c>
      <c r="AT687" t="s">
        <v>790</v>
      </c>
      <c r="AU687" t="s">
        <v>387</v>
      </c>
      <c r="AW687" s="4">
        <f t="shared" si="353"/>
        <v>6</v>
      </c>
      <c r="AX687" s="4">
        <f t="shared" si="354"/>
        <v>4</v>
      </c>
      <c r="AY687" s="4">
        <f t="shared" si="355"/>
        <v>4</v>
      </c>
      <c r="AZ687" s="4">
        <f t="shared" si="356"/>
        <v>2</v>
      </c>
      <c r="BA687" s="4">
        <f t="shared" si="357"/>
        <v>4</v>
      </c>
      <c r="BB687" s="4">
        <f t="shared" si="358"/>
        <v>4</v>
      </c>
      <c r="BC687" s="4">
        <f t="shared" si="359"/>
        <v>4</v>
      </c>
      <c r="BD687" s="4">
        <f t="shared" si="360"/>
        <v>2</v>
      </c>
      <c r="BE687" s="4" t="str">
        <f t="shared" si="361"/>
        <v>0</v>
      </c>
      <c r="BF687" s="4">
        <f t="shared" si="362"/>
        <v>2</v>
      </c>
      <c r="BG687" s="4">
        <f t="shared" si="363"/>
        <v>4</v>
      </c>
      <c r="BH687" s="4">
        <f t="shared" si="364"/>
        <v>4</v>
      </c>
      <c r="BI687" s="4">
        <f t="shared" si="365"/>
        <v>4</v>
      </c>
      <c r="BJ687" s="4" t="str">
        <f t="shared" si="366"/>
        <v>0</v>
      </c>
      <c r="BK687" s="4">
        <f t="shared" si="367"/>
        <v>4</v>
      </c>
      <c r="BL687" s="4" t="str">
        <f t="shared" si="368"/>
        <v>0</v>
      </c>
      <c r="BM687" s="4">
        <f t="shared" si="369"/>
        <v>4</v>
      </c>
      <c r="BN687" s="4">
        <f t="shared" si="370"/>
        <v>4</v>
      </c>
      <c r="BO687" s="4">
        <f t="shared" si="371"/>
        <v>4</v>
      </c>
      <c r="BP687" s="4">
        <f t="shared" si="372"/>
        <v>4</v>
      </c>
      <c r="BQ687" s="4">
        <f t="shared" si="373"/>
        <v>6</v>
      </c>
      <c r="BR687" s="4">
        <f t="shared" si="374"/>
        <v>4</v>
      </c>
      <c r="BS687" s="4">
        <f t="shared" si="375"/>
        <v>4</v>
      </c>
      <c r="BT687" s="4">
        <f t="shared" si="376"/>
        <v>4</v>
      </c>
      <c r="BU687" s="4">
        <f t="shared" si="377"/>
        <v>4</v>
      </c>
      <c r="BV687" s="4" t="str">
        <f t="shared" si="378"/>
        <v>0</v>
      </c>
      <c r="BW687" s="4">
        <f t="shared" si="379"/>
        <v>6</v>
      </c>
      <c r="BX687" s="4">
        <f t="shared" si="380"/>
        <v>0</v>
      </c>
      <c r="BY687" s="4">
        <f t="shared" si="381"/>
        <v>0</v>
      </c>
      <c r="BZ687" s="37">
        <f t="shared" si="382"/>
        <v>92</v>
      </c>
      <c r="CA687" s="32" t="str">
        <f>VLOOKUP(J:J,'Agent wise'!A:C,3,0)</f>
        <v>Adharsh</v>
      </c>
      <c r="CB687" s="32">
        <f t="shared" si="383"/>
        <v>45943</v>
      </c>
      <c r="CC687" t="str">
        <f t="shared" si="384"/>
        <v>Good</v>
      </c>
      <c r="CE687" s="32"/>
      <c r="CJ687">
        <f t="shared" si="385"/>
        <v>13</v>
      </c>
      <c r="CK687">
        <f t="shared" si="386"/>
        <v>10</v>
      </c>
      <c r="CL687">
        <f t="shared" si="387"/>
        <v>2025</v>
      </c>
    </row>
    <row r="688" spans="1:90" ht="15" customHeight="1" x14ac:dyDescent="0.35">
      <c r="A688" t="s">
        <v>1669</v>
      </c>
      <c r="B688" t="s">
        <v>250</v>
      </c>
      <c r="C688" t="s">
        <v>214</v>
      </c>
      <c r="D688" t="s">
        <v>251</v>
      </c>
      <c r="E688" s="32">
        <v>45943</v>
      </c>
      <c r="F688" t="s">
        <v>54</v>
      </c>
      <c r="G688" s="2">
        <v>46001</v>
      </c>
      <c r="H688">
        <v>9841116417</v>
      </c>
      <c r="I688">
        <v>146</v>
      </c>
      <c r="J688" t="s">
        <v>85</v>
      </c>
      <c r="K688" t="s">
        <v>71</v>
      </c>
      <c r="L688" t="s">
        <v>72</v>
      </c>
      <c r="M688" t="s">
        <v>59</v>
      </c>
      <c r="N688" t="s">
        <v>59</v>
      </c>
      <c r="O688" t="s">
        <v>59</v>
      </c>
      <c r="P688" t="s">
        <v>59</v>
      </c>
      <c r="Q688" t="s">
        <v>59</v>
      </c>
      <c r="R688" t="s">
        <v>59</v>
      </c>
      <c r="S688" t="s">
        <v>59</v>
      </c>
      <c r="T688" t="s">
        <v>59</v>
      </c>
      <c r="U688" t="s">
        <v>60</v>
      </c>
      <c r="V688" t="s">
        <v>59</v>
      </c>
      <c r="W688" t="s">
        <v>59</v>
      </c>
      <c r="X688" t="s">
        <v>59</v>
      </c>
      <c r="Y688" t="s">
        <v>59</v>
      </c>
      <c r="Z688" t="s">
        <v>59</v>
      </c>
      <c r="AA688" t="s">
        <v>59</v>
      </c>
      <c r="AB688" t="s">
        <v>60</v>
      </c>
      <c r="AC688" t="s">
        <v>59</v>
      </c>
      <c r="AD688" t="s">
        <v>59</v>
      </c>
      <c r="AE688" t="s">
        <v>59</v>
      </c>
      <c r="AF688" t="s">
        <v>59</v>
      </c>
      <c r="AG688" t="s">
        <v>59</v>
      </c>
      <c r="AH688" t="s">
        <v>61</v>
      </c>
      <c r="AI688" t="s">
        <v>61</v>
      </c>
      <c r="AJ688" t="s">
        <v>59</v>
      </c>
      <c r="AK688" t="s">
        <v>59</v>
      </c>
      <c r="AL688" t="s">
        <v>59</v>
      </c>
      <c r="AM688" t="s">
        <v>59</v>
      </c>
      <c r="AN688" t="s">
        <v>59</v>
      </c>
      <c r="AO688" t="s">
        <v>59</v>
      </c>
      <c r="AP688" t="s">
        <v>314</v>
      </c>
      <c r="AQ688" t="s">
        <v>1670</v>
      </c>
      <c r="AR688" t="s">
        <v>64</v>
      </c>
      <c r="AS688" t="s">
        <v>198</v>
      </c>
      <c r="AT688" t="s">
        <v>262</v>
      </c>
      <c r="AU688" t="s">
        <v>219</v>
      </c>
      <c r="AW688" s="4">
        <f t="shared" si="353"/>
        <v>6</v>
      </c>
      <c r="AX688" s="4">
        <f t="shared" si="354"/>
        <v>4</v>
      </c>
      <c r="AY688" s="4">
        <f t="shared" si="355"/>
        <v>4</v>
      </c>
      <c r="AZ688" s="4">
        <f t="shared" si="356"/>
        <v>2</v>
      </c>
      <c r="BA688" s="4">
        <f t="shared" si="357"/>
        <v>4</v>
      </c>
      <c r="BB688" s="4">
        <f t="shared" si="358"/>
        <v>4</v>
      </c>
      <c r="BC688" s="4">
        <f t="shared" si="359"/>
        <v>4</v>
      </c>
      <c r="BD688" s="4">
        <f t="shared" si="360"/>
        <v>2</v>
      </c>
      <c r="BE688" s="4" t="str">
        <f t="shared" si="361"/>
        <v>0</v>
      </c>
      <c r="BF688" s="4">
        <f t="shared" si="362"/>
        <v>2</v>
      </c>
      <c r="BG688" s="4">
        <f t="shared" si="363"/>
        <v>4</v>
      </c>
      <c r="BH688" s="4">
        <f t="shared" si="364"/>
        <v>4</v>
      </c>
      <c r="BI688" s="4">
        <f t="shared" si="365"/>
        <v>4</v>
      </c>
      <c r="BJ688" s="4">
        <f t="shared" si="366"/>
        <v>2</v>
      </c>
      <c r="BK688" s="4">
        <f t="shared" si="367"/>
        <v>4</v>
      </c>
      <c r="BL688" s="4" t="str">
        <f t="shared" si="368"/>
        <v>0</v>
      </c>
      <c r="BM688" s="4">
        <f t="shared" si="369"/>
        <v>4</v>
      </c>
      <c r="BN688" s="4">
        <f t="shared" si="370"/>
        <v>4</v>
      </c>
      <c r="BO688" s="4">
        <f t="shared" si="371"/>
        <v>4</v>
      </c>
      <c r="BP688" s="4">
        <f t="shared" si="372"/>
        <v>4</v>
      </c>
      <c r="BQ688" s="4">
        <f t="shared" si="373"/>
        <v>6</v>
      </c>
      <c r="BR688" s="4">
        <f t="shared" si="374"/>
        <v>4</v>
      </c>
      <c r="BS688" s="4">
        <f t="shared" si="375"/>
        <v>4</v>
      </c>
      <c r="BT688" s="4">
        <f t="shared" si="376"/>
        <v>4</v>
      </c>
      <c r="BU688" s="4">
        <f t="shared" si="377"/>
        <v>4</v>
      </c>
      <c r="BV688" s="4">
        <f t="shared" si="378"/>
        <v>0</v>
      </c>
      <c r="BW688" s="4">
        <f t="shared" si="379"/>
        <v>6</v>
      </c>
      <c r="BX688" s="4">
        <f t="shared" si="380"/>
        <v>0</v>
      </c>
      <c r="BY688" s="4">
        <f t="shared" si="381"/>
        <v>0</v>
      </c>
      <c r="BZ688" s="37">
        <f t="shared" si="382"/>
        <v>94</v>
      </c>
      <c r="CA688" s="32" t="str">
        <f>VLOOKUP(J:J,'Agent wise'!A:C,3,0)</f>
        <v>Saran S</v>
      </c>
      <c r="CB688" s="32">
        <f t="shared" si="383"/>
        <v>45943</v>
      </c>
      <c r="CC688" t="str">
        <f t="shared" si="384"/>
        <v>Good</v>
      </c>
      <c r="CE688" s="32"/>
      <c r="CJ688">
        <f t="shared" si="385"/>
        <v>13</v>
      </c>
      <c r="CK688">
        <f t="shared" si="386"/>
        <v>10</v>
      </c>
      <c r="CL688">
        <f t="shared" si="387"/>
        <v>2025</v>
      </c>
    </row>
    <row r="689" spans="1:90" ht="15" customHeight="1" x14ac:dyDescent="0.35">
      <c r="A689" t="s">
        <v>1671</v>
      </c>
      <c r="B689" t="s">
        <v>250</v>
      </c>
      <c r="C689" t="s">
        <v>214</v>
      </c>
      <c r="D689" t="s">
        <v>251</v>
      </c>
      <c r="E689" s="32">
        <v>45943</v>
      </c>
      <c r="F689" t="s">
        <v>54</v>
      </c>
      <c r="G689" s="2">
        <v>46001</v>
      </c>
      <c r="H689">
        <v>9539169575</v>
      </c>
      <c r="I689">
        <v>163</v>
      </c>
      <c r="J689" t="s">
        <v>252</v>
      </c>
      <c r="K689" t="s">
        <v>57</v>
      </c>
      <c r="L689" t="s">
        <v>58</v>
      </c>
      <c r="M689" t="s">
        <v>59</v>
      </c>
      <c r="N689" t="s">
        <v>59</v>
      </c>
      <c r="O689" t="s">
        <v>59</v>
      </c>
      <c r="P689" t="s">
        <v>59</v>
      </c>
      <c r="Q689" t="s">
        <v>59</v>
      </c>
      <c r="R689" t="s">
        <v>59</v>
      </c>
      <c r="S689" t="s">
        <v>59</v>
      </c>
      <c r="T689" t="s">
        <v>59</v>
      </c>
      <c r="U689" t="s">
        <v>60</v>
      </c>
      <c r="V689" t="s">
        <v>59</v>
      </c>
      <c r="W689" t="s">
        <v>59</v>
      </c>
      <c r="X689" t="s">
        <v>59</v>
      </c>
      <c r="Y689" t="s">
        <v>59</v>
      </c>
      <c r="Z689" t="s">
        <v>59</v>
      </c>
      <c r="AA689" t="s">
        <v>59</v>
      </c>
      <c r="AB689" t="s">
        <v>59</v>
      </c>
      <c r="AC689" t="s">
        <v>59</v>
      </c>
      <c r="AD689" t="s">
        <v>59</v>
      </c>
      <c r="AE689" t="s">
        <v>59</v>
      </c>
      <c r="AF689" t="s">
        <v>59</v>
      </c>
      <c r="AG689" t="s">
        <v>59</v>
      </c>
      <c r="AH689" t="s">
        <v>61</v>
      </c>
      <c r="AI689" t="s">
        <v>61</v>
      </c>
      <c r="AJ689" t="s">
        <v>59</v>
      </c>
      <c r="AK689" t="s">
        <v>59</v>
      </c>
      <c r="AL689" t="s">
        <v>60</v>
      </c>
      <c r="AM689" t="s">
        <v>59</v>
      </c>
      <c r="AN689" t="s">
        <v>59</v>
      </c>
      <c r="AO689" t="s">
        <v>59</v>
      </c>
      <c r="AP689" t="s">
        <v>1672</v>
      </c>
      <c r="AQ689" t="s">
        <v>1673</v>
      </c>
      <c r="AR689" t="s">
        <v>64</v>
      </c>
      <c r="AS689" t="s">
        <v>111</v>
      </c>
      <c r="AT689" t="s">
        <v>112</v>
      </c>
      <c r="AU689" t="s">
        <v>219</v>
      </c>
      <c r="AW689" s="4">
        <f t="shared" si="353"/>
        <v>6</v>
      </c>
      <c r="AX689" s="4">
        <f t="shared" si="354"/>
        <v>4</v>
      </c>
      <c r="AY689" s="4">
        <f t="shared" si="355"/>
        <v>4</v>
      </c>
      <c r="AZ689" s="4">
        <f t="shared" si="356"/>
        <v>2</v>
      </c>
      <c r="BA689" s="4">
        <f t="shared" si="357"/>
        <v>4</v>
      </c>
      <c r="BB689" s="4">
        <f t="shared" si="358"/>
        <v>4</v>
      </c>
      <c r="BC689" s="4">
        <f t="shared" si="359"/>
        <v>4</v>
      </c>
      <c r="BD689" s="4">
        <f t="shared" si="360"/>
        <v>2</v>
      </c>
      <c r="BE689" s="4" t="str">
        <f t="shared" si="361"/>
        <v>0</v>
      </c>
      <c r="BF689" s="4">
        <f t="shared" si="362"/>
        <v>2</v>
      </c>
      <c r="BG689" s="4">
        <f t="shared" si="363"/>
        <v>4</v>
      </c>
      <c r="BH689" s="4">
        <f t="shared" si="364"/>
        <v>4</v>
      </c>
      <c r="BI689" s="4">
        <f t="shared" si="365"/>
        <v>4</v>
      </c>
      <c r="BJ689" s="4">
        <f t="shared" si="366"/>
        <v>2</v>
      </c>
      <c r="BK689" s="4">
        <f t="shared" si="367"/>
        <v>4</v>
      </c>
      <c r="BL689" s="4">
        <f t="shared" si="368"/>
        <v>2</v>
      </c>
      <c r="BM689" s="4">
        <f t="shared" si="369"/>
        <v>4</v>
      </c>
      <c r="BN689" s="4">
        <f t="shared" si="370"/>
        <v>4</v>
      </c>
      <c r="BO689" s="4">
        <f t="shared" si="371"/>
        <v>4</v>
      </c>
      <c r="BP689" s="4">
        <f t="shared" si="372"/>
        <v>4</v>
      </c>
      <c r="BQ689" s="4">
        <f t="shared" si="373"/>
        <v>6</v>
      </c>
      <c r="BR689" s="4">
        <f t="shared" si="374"/>
        <v>4</v>
      </c>
      <c r="BS689" s="4">
        <f t="shared" si="375"/>
        <v>4</v>
      </c>
      <c r="BT689" s="4">
        <f t="shared" si="376"/>
        <v>4</v>
      </c>
      <c r="BU689" s="4">
        <f t="shared" si="377"/>
        <v>4</v>
      </c>
      <c r="BV689" s="4" t="str">
        <f t="shared" si="378"/>
        <v>0</v>
      </c>
      <c r="BW689" s="4">
        <f t="shared" si="379"/>
        <v>6</v>
      </c>
      <c r="BX689" s="4">
        <f t="shared" si="380"/>
        <v>0</v>
      </c>
      <c r="BY689" s="4">
        <f t="shared" si="381"/>
        <v>0</v>
      </c>
      <c r="BZ689" s="37">
        <f t="shared" si="382"/>
        <v>96</v>
      </c>
      <c r="CA689" s="32" t="str">
        <f>VLOOKUP(J:J,'Agent wise'!A:C,3,0)</f>
        <v xml:space="preserve">Shiny </v>
      </c>
      <c r="CB689" s="32">
        <f t="shared" si="383"/>
        <v>45943</v>
      </c>
      <c r="CC689" t="str">
        <f t="shared" si="384"/>
        <v>Excellent</v>
      </c>
      <c r="CE689" s="32"/>
      <c r="CJ689">
        <f t="shared" si="385"/>
        <v>13</v>
      </c>
      <c r="CK689">
        <f t="shared" si="386"/>
        <v>10</v>
      </c>
      <c r="CL689">
        <f t="shared" si="387"/>
        <v>2025</v>
      </c>
    </row>
    <row r="690" spans="1:90" ht="15" customHeight="1" x14ac:dyDescent="0.35">
      <c r="A690" t="s">
        <v>1674</v>
      </c>
      <c r="B690" t="s">
        <v>250</v>
      </c>
      <c r="C690" t="s">
        <v>214</v>
      </c>
      <c r="D690" t="s">
        <v>251</v>
      </c>
      <c r="E690" s="32">
        <v>45943</v>
      </c>
      <c r="F690" t="s">
        <v>222</v>
      </c>
      <c r="G690" s="2">
        <v>46001</v>
      </c>
      <c r="H690">
        <v>8129025795</v>
      </c>
      <c r="I690">
        <v>137</v>
      </c>
      <c r="J690" t="s">
        <v>242</v>
      </c>
      <c r="K690" t="s">
        <v>57</v>
      </c>
      <c r="L690" t="s">
        <v>58</v>
      </c>
      <c r="M690" t="s">
        <v>59</v>
      </c>
      <c r="N690" t="s">
        <v>59</v>
      </c>
      <c r="O690" t="s">
        <v>59</v>
      </c>
      <c r="P690" t="s">
        <v>59</v>
      </c>
      <c r="Q690" t="s">
        <v>59</v>
      </c>
      <c r="R690" t="s">
        <v>59</v>
      </c>
      <c r="S690" t="s">
        <v>59</v>
      </c>
      <c r="T690" t="s">
        <v>59</v>
      </c>
      <c r="U690" t="s">
        <v>60</v>
      </c>
      <c r="V690" t="s">
        <v>59</v>
      </c>
      <c r="W690" t="s">
        <v>59</v>
      </c>
      <c r="X690" t="s">
        <v>59</v>
      </c>
      <c r="Y690" t="s">
        <v>59</v>
      </c>
      <c r="Z690" t="s">
        <v>59</v>
      </c>
      <c r="AA690" t="s">
        <v>60</v>
      </c>
      <c r="AB690" t="s">
        <v>59</v>
      </c>
      <c r="AC690" t="s">
        <v>59</v>
      </c>
      <c r="AD690" t="s">
        <v>59</v>
      </c>
      <c r="AE690" t="s">
        <v>59</v>
      </c>
      <c r="AF690" t="s">
        <v>59</v>
      </c>
      <c r="AG690" t="s">
        <v>59</v>
      </c>
      <c r="AH690" t="s">
        <v>61</v>
      </c>
      <c r="AI690" t="s">
        <v>61</v>
      </c>
      <c r="AJ690" t="s">
        <v>59</v>
      </c>
      <c r="AK690" t="s">
        <v>59</v>
      </c>
      <c r="AL690" t="s">
        <v>60</v>
      </c>
      <c r="AM690" t="s">
        <v>59</v>
      </c>
      <c r="AN690" t="s">
        <v>59</v>
      </c>
      <c r="AO690" t="s">
        <v>59</v>
      </c>
      <c r="AP690" t="s">
        <v>783</v>
      </c>
      <c r="AQ690" t="s">
        <v>1675</v>
      </c>
      <c r="AR690" t="s">
        <v>64</v>
      </c>
      <c r="AS690" t="s">
        <v>695</v>
      </c>
      <c r="AT690" t="s">
        <v>394</v>
      </c>
      <c r="AU690" t="s">
        <v>219</v>
      </c>
      <c r="AW690" s="4">
        <f t="shared" si="353"/>
        <v>6</v>
      </c>
      <c r="AX690" s="4">
        <f t="shared" si="354"/>
        <v>4</v>
      </c>
      <c r="AY690" s="4">
        <f t="shared" si="355"/>
        <v>4</v>
      </c>
      <c r="AZ690" s="4">
        <f t="shared" si="356"/>
        <v>2</v>
      </c>
      <c r="BA690" s="4">
        <f t="shared" si="357"/>
        <v>4</v>
      </c>
      <c r="BB690" s="4">
        <f t="shared" si="358"/>
        <v>4</v>
      </c>
      <c r="BC690" s="4">
        <f t="shared" si="359"/>
        <v>4</v>
      </c>
      <c r="BD690" s="4">
        <f t="shared" si="360"/>
        <v>2</v>
      </c>
      <c r="BE690" s="4" t="str">
        <f t="shared" si="361"/>
        <v>0</v>
      </c>
      <c r="BF690" s="4">
        <f t="shared" si="362"/>
        <v>2</v>
      </c>
      <c r="BG690" s="4">
        <f t="shared" si="363"/>
        <v>4</v>
      </c>
      <c r="BH690" s="4">
        <f t="shared" si="364"/>
        <v>4</v>
      </c>
      <c r="BI690" s="4">
        <f t="shared" si="365"/>
        <v>4</v>
      </c>
      <c r="BJ690" s="4">
        <f t="shared" si="366"/>
        <v>2</v>
      </c>
      <c r="BK690" s="4" t="str">
        <f t="shared" si="367"/>
        <v>0</v>
      </c>
      <c r="BL690" s="4">
        <f t="shared" si="368"/>
        <v>2</v>
      </c>
      <c r="BM690" s="4">
        <f t="shared" si="369"/>
        <v>4</v>
      </c>
      <c r="BN690" s="4">
        <f t="shared" si="370"/>
        <v>4</v>
      </c>
      <c r="BO690" s="4">
        <f t="shared" si="371"/>
        <v>4</v>
      </c>
      <c r="BP690" s="4">
        <f t="shared" si="372"/>
        <v>4</v>
      </c>
      <c r="BQ690" s="4">
        <f t="shared" si="373"/>
        <v>6</v>
      </c>
      <c r="BR690" s="4">
        <f t="shared" si="374"/>
        <v>4</v>
      </c>
      <c r="BS690" s="4">
        <f t="shared" si="375"/>
        <v>4</v>
      </c>
      <c r="BT690" s="4">
        <f t="shared" si="376"/>
        <v>4</v>
      </c>
      <c r="BU690" s="4">
        <f t="shared" si="377"/>
        <v>4</v>
      </c>
      <c r="BV690" s="4" t="str">
        <f t="shared" si="378"/>
        <v>0</v>
      </c>
      <c r="BW690" s="4">
        <f t="shared" si="379"/>
        <v>6</v>
      </c>
      <c r="BX690" s="4">
        <f t="shared" si="380"/>
        <v>0</v>
      </c>
      <c r="BY690" s="4">
        <f t="shared" si="381"/>
        <v>0</v>
      </c>
      <c r="BZ690" s="37">
        <f t="shared" si="382"/>
        <v>92</v>
      </c>
      <c r="CA690" s="32" t="str">
        <f>VLOOKUP(J:J,'Agent wise'!A:C,3,0)</f>
        <v>Amal</v>
      </c>
      <c r="CB690" s="32">
        <f t="shared" si="383"/>
        <v>45943</v>
      </c>
      <c r="CC690" t="str">
        <f t="shared" si="384"/>
        <v>Good</v>
      </c>
      <c r="CE690" s="32"/>
      <c r="CJ690">
        <f t="shared" si="385"/>
        <v>13</v>
      </c>
      <c r="CK690">
        <f t="shared" si="386"/>
        <v>10</v>
      </c>
      <c r="CL690">
        <f t="shared" si="387"/>
        <v>2025</v>
      </c>
    </row>
    <row r="691" spans="1:90" ht="15" customHeight="1" x14ac:dyDescent="0.35">
      <c r="A691" t="s">
        <v>1676</v>
      </c>
      <c r="B691" t="s">
        <v>250</v>
      </c>
      <c r="C691" t="s">
        <v>214</v>
      </c>
      <c r="D691" t="s">
        <v>251</v>
      </c>
      <c r="E691" s="32">
        <v>45943</v>
      </c>
      <c r="F691" t="s">
        <v>222</v>
      </c>
      <c r="G691" s="2">
        <v>46001</v>
      </c>
      <c r="H691">
        <v>9833696641</v>
      </c>
      <c r="I691">
        <v>141</v>
      </c>
      <c r="J691" t="s">
        <v>391</v>
      </c>
      <c r="K691" t="s">
        <v>57</v>
      </c>
      <c r="L691" t="s">
        <v>58</v>
      </c>
      <c r="M691" t="s">
        <v>60</v>
      </c>
      <c r="N691" t="s">
        <v>59</v>
      </c>
      <c r="O691" t="s">
        <v>59</v>
      </c>
      <c r="P691" t="s">
        <v>61</v>
      </c>
      <c r="Q691" t="s">
        <v>60</v>
      </c>
      <c r="R691" t="s">
        <v>60</v>
      </c>
      <c r="S691" t="s">
        <v>59</v>
      </c>
      <c r="T691" t="s">
        <v>59</v>
      </c>
      <c r="U691" t="s">
        <v>60</v>
      </c>
      <c r="V691" t="s">
        <v>59</v>
      </c>
      <c r="W691" t="s">
        <v>59</v>
      </c>
      <c r="X691" t="s">
        <v>59</v>
      </c>
      <c r="Y691" t="s">
        <v>59</v>
      </c>
      <c r="Z691" t="s">
        <v>60</v>
      </c>
      <c r="AA691" t="s">
        <v>59</v>
      </c>
      <c r="AB691" t="s">
        <v>60</v>
      </c>
      <c r="AC691" t="s">
        <v>59</v>
      </c>
      <c r="AD691" t="s">
        <v>59</v>
      </c>
      <c r="AE691" t="s">
        <v>60</v>
      </c>
      <c r="AF691" t="s">
        <v>61</v>
      </c>
      <c r="AG691" t="s">
        <v>59</v>
      </c>
      <c r="AH691" t="s">
        <v>61</v>
      </c>
      <c r="AI691" t="s">
        <v>61</v>
      </c>
      <c r="AJ691" t="s">
        <v>59</v>
      </c>
      <c r="AK691" t="s">
        <v>59</v>
      </c>
      <c r="AL691" t="s">
        <v>60</v>
      </c>
      <c r="AM691" t="s">
        <v>59</v>
      </c>
      <c r="AN691" t="s">
        <v>59</v>
      </c>
      <c r="AO691" t="s">
        <v>59</v>
      </c>
      <c r="AP691" t="s">
        <v>1677</v>
      </c>
      <c r="AQ691" t="s">
        <v>1678</v>
      </c>
      <c r="AR691" t="s">
        <v>64</v>
      </c>
      <c r="AS691" t="s">
        <v>400</v>
      </c>
      <c r="AT691" t="s">
        <v>394</v>
      </c>
      <c r="AU691" t="s">
        <v>593</v>
      </c>
      <c r="AW691" s="4" t="str">
        <f t="shared" si="353"/>
        <v>0</v>
      </c>
      <c r="AX691" s="4">
        <f t="shared" si="354"/>
        <v>4</v>
      </c>
      <c r="AY691" s="4">
        <f t="shared" si="355"/>
        <v>4</v>
      </c>
      <c r="AZ691" s="4">
        <f t="shared" si="356"/>
        <v>2</v>
      </c>
      <c r="BA691" s="4" t="str">
        <f t="shared" si="357"/>
        <v>0</v>
      </c>
      <c r="BB691" s="4" t="str">
        <f t="shared" si="358"/>
        <v>0</v>
      </c>
      <c r="BC691" s="4">
        <f t="shared" si="359"/>
        <v>4</v>
      </c>
      <c r="BD691" s="4">
        <f t="shared" si="360"/>
        <v>2</v>
      </c>
      <c r="BE691" s="4" t="str">
        <f t="shared" si="361"/>
        <v>0</v>
      </c>
      <c r="BF691" s="4">
        <f t="shared" si="362"/>
        <v>2</v>
      </c>
      <c r="BG691" s="4">
        <f t="shared" si="363"/>
        <v>4</v>
      </c>
      <c r="BH691" s="4">
        <f t="shared" si="364"/>
        <v>4</v>
      </c>
      <c r="BI691" s="4">
        <f t="shared" si="365"/>
        <v>4</v>
      </c>
      <c r="BJ691" s="4" t="str">
        <f t="shared" si="366"/>
        <v>0</v>
      </c>
      <c r="BK691" s="4">
        <f t="shared" si="367"/>
        <v>4</v>
      </c>
      <c r="BL691" s="4" t="str">
        <f t="shared" si="368"/>
        <v>0</v>
      </c>
      <c r="BM691" s="4">
        <f t="shared" si="369"/>
        <v>4</v>
      </c>
      <c r="BN691" s="4">
        <f t="shared" si="370"/>
        <v>4</v>
      </c>
      <c r="BO691" s="4" t="str">
        <f t="shared" si="371"/>
        <v>0</v>
      </c>
      <c r="BP691" s="4">
        <f t="shared" si="372"/>
        <v>4</v>
      </c>
      <c r="BQ691" s="4">
        <f t="shared" si="373"/>
        <v>6</v>
      </c>
      <c r="BR691" s="4">
        <f t="shared" si="374"/>
        <v>4</v>
      </c>
      <c r="BS691" s="4">
        <f t="shared" si="375"/>
        <v>4</v>
      </c>
      <c r="BT691" s="4">
        <f t="shared" si="376"/>
        <v>4</v>
      </c>
      <c r="BU691" s="4">
        <f t="shared" si="377"/>
        <v>4</v>
      </c>
      <c r="BV691" s="4" t="str">
        <f t="shared" si="378"/>
        <v>0</v>
      </c>
      <c r="BW691" s="4">
        <f t="shared" si="379"/>
        <v>6</v>
      </c>
      <c r="BX691" s="4">
        <f t="shared" si="380"/>
        <v>0</v>
      </c>
      <c r="BY691" s="4">
        <f t="shared" si="381"/>
        <v>0</v>
      </c>
      <c r="BZ691" s="37">
        <f t="shared" si="382"/>
        <v>74</v>
      </c>
      <c r="CA691" s="32" t="str">
        <f>VLOOKUP(J:J,'Agent wise'!A:C,3,0)</f>
        <v>Amal</v>
      </c>
      <c r="CB691" s="32">
        <f t="shared" si="383"/>
        <v>45943</v>
      </c>
      <c r="CC691" t="str">
        <f t="shared" si="384"/>
        <v>FC</v>
      </c>
      <c r="CE691" s="32"/>
      <c r="CJ691">
        <f t="shared" si="385"/>
        <v>13</v>
      </c>
      <c r="CK691">
        <f t="shared" si="386"/>
        <v>10</v>
      </c>
      <c r="CL691">
        <f t="shared" si="387"/>
        <v>2025</v>
      </c>
    </row>
    <row r="692" spans="1:90" ht="15" customHeight="1" x14ac:dyDescent="0.35">
      <c r="A692" t="s">
        <v>1679</v>
      </c>
      <c r="B692" t="s">
        <v>250</v>
      </c>
      <c r="C692" t="s">
        <v>214</v>
      </c>
      <c r="D692" t="s">
        <v>251</v>
      </c>
      <c r="E692" s="32">
        <v>45943</v>
      </c>
      <c r="F692" t="s">
        <v>54</v>
      </c>
      <c r="G692" s="2">
        <v>46001</v>
      </c>
      <c r="H692">
        <v>7337798333</v>
      </c>
      <c r="I692">
        <v>153</v>
      </c>
      <c r="J692" t="s">
        <v>353</v>
      </c>
      <c r="K692" t="s">
        <v>71</v>
      </c>
      <c r="L692" t="s">
        <v>72</v>
      </c>
      <c r="M692" t="s">
        <v>59</v>
      </c>
      <c r="N692" t="s">
        <v>59</v>
      </c>
      <c r="O692" t="s">
        <v>59</v>
      </c>
      <c r="P692" t="s">
        <v>59</v>
      </c>
      <c r="Q692" t="s">
        <v>59</v>
      </c>
      <c r="R692" t="s">
        <v>59</v>
      </c>
      <c r="S692" t="s">
        <v>59</v>
      </c>
      <c r="T692" t="s">
        <v>59</v>
      </c>
      <c r="U692" t="s">
        <v>60</v>
      </c>
      <c r="V692" t="s">
        <v>59</v>
      </c>
      <c r="W692" t="s">
        <v>59</v>
      </c>
      <c r="X692" t="s">
        <v>59</v>
      </c>
      <c r="Y692" t="s">
        <v>59</v>
      </c>
      <c r="Z692" t="s">
        <v>59</v>
      </c>
      <c r="AA692" t="s">
        <v>60</v>
      </c>
      <c r="AB692" t="s">
        <v>60</v>
      </c>
      <c r="AC692" t="s">
        <v>59</v>
      </c>
      <c r="AD692" t="s">
        <v>59</v>
      </c>
      <c r="AE692" t="s">
        <v>59</v>
      </c>
      <c r="AF692" t="s">
        <v>59</v>
      </c>
      <c r="AG692" t="s">
        <v>59</v>
      </c>
      <c r="AH692" t="s">
        <v>59</v>
      </c>
      <c r="AI692" t="s">
        <v>61</v>
      </c>
      <c r="AJ692" t="s">
        <v>59</v>
      </c>
      <c r="AK692" t="s">
        <v>59</v>
      </c>
      <c r="AL692" t="s">
        <v>60</v>
      </c>
      <c r="AM692" t="s">
        <v>59</v>
      </c>
      <c r="AN692" t="s">
        <v>59</v>
      </c>
      <c r="AO692" t="s">
        <v>59</v>
      </c>
      <c r="AP692" t="s">
        <v>467</v>
      </c>
      <c r="AQ692" t="s">
        <v>1680</v>
      </c>
      <c r="AR692" t="s">
        <v>64</v>
      </c>
      <c r="AS692" t="s">
        <v>1236</v>
      </c>
      <c r="AT692" t="s">
        <v>404</v>
      </c>
      <c r="AU692" t="s">
        <v>219</v>
      </c>
      <c r="AW692" s="4">
        <f t="shared" si="353"/>
        <v>6</v>
      </c>
      <c r="AX692" s="4">
        <f t="shared" si="354"/>
        <v>4</v>
      </c>
      <c r="AY692" s="4">
        <f t="shared" si="355"/>
        <v>4</v>
      </c>
      <c r="AZ692" s="4">
        <f t="shared" si="356"/>
        <v>2</v>
      </c>
      <c r="BA692" s="4">
        <f t="shared" si="357"/>
        <v>4</v>
      </c>
      <c r="BB692" s="4">
        <f t="shared" si="358"/>
        <v>4</v>
      </c>
      <c r="BC692" s="4">
        <f t="shared" si="359"/>
        <v>4</v>
      </c>
      <c r="BD692" s="4">
        <f t="shared" si="360"/>
        <v>2</v>
      </c>
      <c r="BE692" s="4" t="str">
        <f t="shared" si="361"/>
        <v>0</v>
      </c>
      <c r="BF692" s="4">
        <f t="shared" si="362"/>
        <v>2</v>
      </c>
      <c r="BG692" s="4">
        <f t="shared" si="363"/>
        <v>4</v>
      </c>
      <c r="BH692" s="4">
        <f t="shared" si="364"/>
        <v>4</v>
      </c>
      <c r="BI692" s="4">
        <f t="shared" si="365"/>
        <v>4</v>
      </c>
      <c r="BJ692" s="4">
        <f t="shared" si="366"/>
        <v>2</v>
      </c>
      <c r="BK692" s="4" t="str">
        <f t="shared" si="367"/>
        <v>0</v>
      </c>
      <c r="BL692" s="4" t="str">
        <f t="shared" si="368"/>
        <v>0</v>
      </c>
      <c r="BM692" s="4">
        <f t="shared" si="369"/>
        <v>4</v>
      </c>
      <c r="BN692" s="4">
        <f t="shared" si="370"/>
        <v>4</v>
      </c>
      <c r="BO692" s="4">
        <f t="shared" si="371"/>
        <v>4</v>
      </c>
      <c r="BP692" s="4">
        <f t="shared" si="372"/>
        <v>4</v>
      </c>
      <c r="BQ692" s="4">
        <f t="shared" si="373"/>
        <v>6</v>
      </c>
      <c r="BR692" s="4">
        <f t="shared" si="374"/>
        <v>4</v>
      </c>
      <c r="BS692" s="4">
        <f t="shared" si="375"/>
        <v>4</v>
      </c>
      <c r="BT692" s="4">
        <f t="shared" si="376"/>
        <v>4</v>
      </c>
      <c r="BU692" s="4">
        <f t="shared" si="377"/>
        <v>4</v>
      </c>
      <c r="BV692" s="4" t="str">
        <f t="shared" si="378"/>
        <v>0</v>
      </c>
      <c r="BW692" s="4">
        <f t="shared" si="379"/>
        <v>6</v>
      </c>
      <c r="BX692" s="4">
        <f t="shared" si="380"/>
        <v>0</v>
      </c>
      <c r="BY692" s="4">
        <f t="shared" si="381"/>
        <v>0</v>
      </c>
      <c r="BZ692" s="37">
        <f t="shared" si="382"/>
        <v>90</v>
      </c>
      <c r="CA692" s="32" t="str">
        <f>VLOOKUP(J:J,'Agent wise'!A:C,3,0)</f>
        <v>Amal</v>
      </c>
      <c r="CB692" s="32">
        <f t="shared" si="383"/>
        <v>45943</v>
      </c>
      <c r="CC692" t="str">
        <f t="shared" si="384"/>
        <v>Good</v>
      </c>
      <c r="CE692" s="32"/>
      <c r="CJ692">
        <f t="shared" si="385"/>
        <v>13</v>
      </c>
      <c r="CK692">
        <f t="shared" si="386"/>
        <v>10</v>
      </c>
      <c r="CL692">
        <f t="shared" si="387"/>
        <v>2025</v>
      </c>
    </row>
    <row r="693" spans="1:90" ht="15" customHeight="1" x14ac:dyDescent="0.35">
      <c r="A693" t="s">
        <v>1681</v>
      </c>
      <c r="B693" t="s">
        <v>250</v>
      </c>
      <c r="C693" t="s">
        <v>214</v>
      </c>
      <c r="D693" t="s">
        <v>251</v>
      </c>
      <c r="E693" s="32">
        <v>45943</v>
      </c>
      <c r="F693" t="s">
        <v>222</v>
      </c>
      <c r="G693" s="2">
        <v>46001</v>
      </c>
      <c r="H693">
        <v>8547643181</v>
      </c>
      <c r="I693">
        <v>143</v>
      </c>
      <c r="J693" t="s">
        <v>223</v>
      </c>
      <c r="K693" t="s">
        <v>57</v>
      </c>
      <c r="L693" t="s">
        <v>58</v>
      </c>
      <c r="M693" t="s">
        <v>59</v>
      </c>
      <c r="N693" t="s">
        <v>59</v>
      </c>
      <c r="O693" t="s">
        <v>59</v>
      </c>
      <c r="P693" t="s">
        <v>59</v>
      </c>
      <c r="Q693" t="s">
        <v>59</v>
      </c>
      <c r="R693" t="s">
        <v>59</v>
      </c>
      <c r="S693" t="s">
        <v>59</v>
      </c>
      <c r="T693" t="s">
        <v>59</v>
      </c>
      <c r="U693" t="s">
        <v>59</v>
      </c>
      <c r="V693" t="s">
        <v>59</v>
      </c>
      <c r="W693" t="s">
        <v>59</v>
      </c>
      <c r="X693" t="s">
        <v>59</v>
      </c>
      <c r="Y693" t="s">
        <v>59</v>
      </c>
      <c r="Z693" t="s">
        <v>59</v>
      </c>
      <c r="AA693" t="s">
        <v>59</v>
      </c>
      <c r="AB693" t="s">
        <v>59</v>
      </c>
      <c r="AC693" t="s">
        <v>59</v>
      </c>
      <c r="AD693" t="s">
        <v>59</v>
      </c>
      <c r="AE693" t="s">
        <v>59</v>
      </c>
      <c r="AF693" t="s">
        <v>59</v>
      </c>
      <c r="AG693" t="s">
        <v>59</v>
      </c>
      <c r="AH693" t="s">
        <v>61</v>
      </c>
      <c r="AI693" t="s">
        <v>61</v>
      </c>
      <c r="AJ693" t="s">
        <v>59</v>
      </c>
      <c r="AK693" t="s">
        <v>59</v>
      </c>
      <c r="AL693" t="s">
        <v>59</v>
      </c>
      <c r="AM693" t="s">
        <v>59</v>
      </c>
      <c r="AN693" t="s">
        <v>59</v>
      </c>
      <c r="AO693" t="s">
        <v>59</v>
      </c>
      <c r="AP693" t="s">
        <v>209</v>
      </c>
      <c r="AQ693" t="s">
        <v>1682</v>
      </c>
      <c r="AR693" t="s">
        <v>64</v>
      </c>
      <c r="AS693" t="s">
        <v>695</v>
      </c>
      <c r="AT693" t="s">
        <v>331</v>
      </c>
      <c r="AU693" t="s">
        <v>219</v>
      </c>
      <c r="AW693" s="4">
        <f t="shared" si="353"/>
        <v>6</v>
      </c>
      <c r="AX693" s="4">
        <f t="shared" si="354"/>
        <v>4</v>
      </c>
      <c r="AY693" s="4">
        <f t="shared" si="355"/>
        <v>4</v>
      </c>
      <c r="AZ693" s="4">
        <f t="shared" si="356"/>
        <v>2</v>
      </c>
      <c r="BA693" s="4">
        <f t="shared" si="357"/>
        <v>4</v>
      </c>
      <c r="BB693" s="4">
        <f t="shared" si="358"/>
        <v>4</v>
      </c>
      <c r="BC693" s="4">
        <f t="shared" si="359"/>
        <v>4</v>
      </c>
      <c r="BD693" s="4">
        <f t="shared" si="360"/>
        <v>2</v>
      </c>
      <c r="BE693" s="4">
        <f t="shared" si="361"/>
        <v>4</v>
      </c>
      <c r="BF693" s="4">
        <f t="shared" si="362"/>
        <v>2</v>
      </c>
      <c r="BG693" s="4">
        <f t="shared" si="363"/>
        <v>4</v>
      </c>
      <c r="BH693" s="4">
        <f t="shared" si="364"/>
        <v>4</v>
      </c>
      <c r="BI693" s="4">
        <f t="shared" si="365"/>
        <v>4</v>
      </c>
      <c r="BJ693" s="4">
        <f t="shared" si="366"/>
        <v>2</v>
      </c>
      <c r="BK693" s="4">
        <f t="shared" si="367"/>
        <v>4</v>
      </c>
      <c r="BL693" s="4">
        <f t="shared" si="368"/>
        <v>2</v>
      </c>
      <c r="BM693" s="4">
        <f t="shared" si="369"/>
        <v>4</v>
      </c>
      <c r="BN693" s="4">
        <f t="shared" si="370"/>
        <v>4</v>
      </c>
      <c r="BO693" s="4">
        <f t="shared" si="371"/>
        <v>4</v>
      </c>
      <c r="BP693" s="4">
        <f t="shared" si="372"/>
        <v>4</v>
      </c>
      <c r="BQ693" s="4">
        <f t="shared" si="373"/>
        <v>6</v>
      </c>
      <c r="BR693" s="4">
        <f t="shared" si="374"/>
        <v>4</v>
      </c>
      <c r="BS693" s="4">
        <f t="shared" si="375"/>
        <v>4</v>
      </c>
      <c r="BT693" s="4">
        <f t="shared" si="376"/>
        <v>4</v>
      </c>
      <c r="BU693" s="4">
        <f t="shared" si="377"/>
        <v>4</v>
      </c>
      <c r="BV693" s="4">
        <f t="shared" si="378"/>
        <v>0</v>
      </c>
      <c r="BW693" s="4">
        <f t="shared" si="379"/>
        <v>6</v>
      </c>
      <c r="BX693" s="4">
        <f t="shared" si="380"/>
        <v>0</v>
      </c>
      <c r="BY693" s="4">
        <f t="shared" si="381"/>
        <v>0</v>
      </c>
      <c r="BZ693" s="37">
        <f t="shared" si="382"/>
        <v>100</v>
      </c>
      <c r="CA693" s="32" t="str">
        <f>VLOOKUP(J:J,'Agent wise'!A:C,3,0)</f>
        <v>Amal</v>
      </c>
      <c r="CB693" s="32">
        <f t="shared" si="383"/>
        <v>45943</v>
      </c>
      <c r="CC693" t="str">
        <f t="shared" si="384"/>
        <v>Excellent</v>
      </c>
      <c r="CE693" s="32"/>
      <c r="CJ693">
        <f t="shared" si="385"/>
        <v>13</v>
      </c>
      <c r="CK693">
        <f t="shared" si="386"/>
        <v>10</v>
      </c>
      <c r="CL693">
        <f t="shared" si="387"/>
        <v>2025</v>
      </c>
    </row>
    <row r="694" spans="1:90" ht="15" customHeight="1" x14ac:dyDescent="0.35">
      <c r="A694" t="s">
        <v>1683</v>
      </c>
      <c r="B694" t="s">
        <v>250</v>
      </c>
      <c r="C694" t="s">
        <v>214</v>
      </c>
      <c r="D694" t="s">
        <v>251</v>
      </c>
      <c r="E694" s="32">
        <v>45943</v>
      </c>
      <c r="F694" t="s">
        <v>222</v>
      </c>
      <c r="G694" s="2">
        <v>46001</v>
      </c>
      <c r="H694">
        <v>9496009470</v>
      </c>
      <c r="I694">
        <v>137</v>
      </c>
      <c r="J694" t="s">
        <v>356</v>
      </c>
      <c r="K694" t="s">
        <v>57</v>
      </c>
      <c r="L694" t="s">
        <v>58</v>
      </c>
      <c r="M694" t="s">
        <v>59</v>
      </c>
      <c r="N694" t="s">
        <v>59</v>
      </c>
      <c r="O694" t="s">
        <v>59</v>
      </c>
      <c r="P694" t="s">
        <v>59</v>
      </c>
      <c r="Q694" t="s">
        <v>59</v>
      </c>
      <c r="R694" t="s">
        <v>59</v>
      </c>
      <c r="S694" t="s">
        <v>59</v>
      </c>
      <c r="T694" t="s">
        <v>59</v>
      </c>
      <c r="U694" t="s">
        <v>60</v>
      </c>
      <c r="V694" t="s">
        <v>59</v>
      </c>
      <c r="W694" t="s">
        <v>59</v>
      </c>
      <c r="X694" t="s">
        <v>59</v>
      </c>
      <c r="Y694" t="s">
        <v>59</v>
      </c>
      <c r="Z694" t="s">
        <v>59</v>
      </c>
      <c r="AA694" t="s">
        <v>59</v>
      </c>
      <c r="AB694" t="s">
        <v>60</v>
      </c>
      <c r="AC694" t="s">
        <v>59</v>
      </c>
      <c r="AD694" t="s">
        <v>59</v>
      </c>
      <c r="AE694" t="s">
        <v>59</v>
      </c>
      <c r="AF694" t="s">
        <v>59</v>
      </c>
      <c r="AG694" t="s">
        <v>59</v>
      </c>
      <c r="AH694" t="s">
        <v>61</v>
      </c>
      <c r="AI694" t="s">
        <v>61</v>
      </c>
      <c r="AJ694" t="s">
        <v>59</v>
      </c>
      <c r="AK694" t="s">
        <v>59</v>
      </c>
      <c r="AL694" t="s">
        <v>60</v>
      </c>
      <c r="AM694" t="s">
        <v>59</v>
      </c>
      <c r="AN694" t="s">
        <v>59</v>
      </c>
      <c r="AO694" t="s">
        <v>59</v>
      </c>
      <c r="AP694" t="s">
        <v>314</v>
      </c>
      <c r="AQ694" t="s">
        <v>1684</v>
      </c>
      <c r="AR694" t="s">
        <v>64</v>
      </c>
      <c r="AS694" t="s">
        <v>1685</v>
      </c>
      <c r="AT694" t="s">
        <v>331</v>
      </c>
      <c r="AU694" t="s">
        <v>219</v>
      </c>
      <c r="AW694" s="4">
        <f t="shared" si="353"/>
        <v>6</v>
      </c>
      <c r="AX694" s="4">
        <f t="shared" si="354"/>
        <v>4</v>
      </c>
      <c r="AY694" s="4">
        <f t="shared" si="355"/>
        <v>4</v>
      </c>
      <c r="AZ694" s="4">
        <f t="shared" si="356"/>
        <v>2</v>
      </c>
      <c r="BA694" s="4">
        <f t="shared" si="357"/>
        <v>4</v>
      </c>
      <c r="BB694" s="4">
        <f t="shared" si="358"/>
        <v>4</v>
      </c>
      <c r="BC694" s="4">
        <f t="shared" si="359"/>
        <v>4</v>
      </c>
      <c r="BD694" s="4">
        <f t="shared" si="360"/>
        <v>2</v>
      </c>
      <c r="BE694" s="4" t="str">
        <f t="shared" si="361"/>
        <v>0</v>
      </c>
      <c r="BF694" s="4">
        <f t="shared" si="362"/>
        <v>2</v>
      </c>
      <c r="BG694" s="4">
        <f t="shared" si="363"/>
        <v>4</v>
      </c>
      <c r="BH694" s="4">
        <f t="shared" si="364"/>
        <v>4</v>
      </c>
      <c r="BI694" s="4">
        <f t="shared" si="365"/>
        <v>4</v>
      </c>
      <c r="BJ694" s="4">
        <f t="shared" si="366"/>
        <v>2</v>
      </c>
      <c r="BK694" s="4">
        <f t="shared" si="367"/>
        <v>4</v>
      </c>
      <c r="BL694" s="4" t="str">
        <f t="shared" si="368"/>
        <v>0</v>
      </c>
      <c r="BM694" s="4">
        <f t="shared" si="369"/>
        <v>4</v>
      </c>
      <c r="BN694" s="4">
        <f t="shared" si="370"/>
        <v>4</v>
      </c>
      <c r="BO694" s="4">
        <f t="shared" si="371"/>
        <v>4</v>
      </c>
      <c r="BP694" s="4">
        <f t="shared" si="372"/>
        <v>4</v>
      </c>
      <c r="BQ694" s="4">
        <f t="shared" si="373"/>
        <v>6</v>
      </c>
      <c r="BR694" s="4">
        <f t="shared" si="374"/>
        <v>4</v>
      </c>
      <c r="BS694" s="4">
        <f t="shared" si="375"/>
        <v>4</v>
      </c>
      <c r="BT694" s="4">
        <f t="shared" si="376"/>
        <v>4</v>
      </c>
      <c r="BU694" s="4">
        <f t="shared" si="377"/>
        <v>4</v>
      </c>
      <c r="BV694" s="4" t="str">
        <f t="shared" si="378"/>
        <v>0</v>
      </c>
      <c r="BW694" s="4">
        <f t="shared" si="379"/>
        <v>6</v>
      </c>
      <c r="BX694" s="4">
        <f t="shared" si="380"/>
        <v>0</v>
      </c>
      <c r="BY694" s="4">
        <f t="shared" si="381"/>
        <v>0</v>
      </c>
      <c r="BZ694" s="37">
        <f t="shared" si="382"/>
        <v>94</v>
      </c>
      <c r="CA694" s="32" t="str">
        <f>VLOOKUP(J:J,'Agent wise'!A:C,3,0)</f>
        <v>Amal</v>
      </c>
      <c r="CB694" s="32">
        <f t="shared" si="383"/>
        <v>45943</v>
      </c>
      <c r="CC694" t="str">
        <f t="shared" si="384"/>
        <v>Good</v>
      </c>
      <c r="CE694" s="32"/>
      <c r="CJ694">
        <f t="shared" si="385"/>
        <v>13</v>
      </c>
      <c r="CK694">
        <f t="shared" si="386"/>
        <v>10</v>
      </c>
      <c r="CL694">
        <f t="shared" si="387"/>
        <v>2025</v>
      </c>
    </row>
    <row r="695" spans="1:90" ht="15" customHeight="1" x14ac:dyDescent="0.35">
      <c r="A695" t="s">
        <v>1686</v>
      </c>
      <c r="B695" t="s">
        <v>106</v>
      </c>
      <c r="C695" t="s">
        <v>214</v>
      </c>
      <c r="D695" t="s">
        <v>107</v>
      </c>
      <c r="E695" s="32">
        <v>45943</v>
      </c>
      <c r="F695" t="s">
        <v>54</v>
      </c>
      <c r="G695" t="s">
        <v>1592</v>
      </c>
      <c r="H695">
        <v>9487980988</v>
      </c>
      <c r="I695">
        <v>146</v>
      </c>
      <c r="J695" t="s">
        <v>466</v>
      </c>
      <c r="K695" t="s">
        <v>71</v>
      </c>
      <c r="L695" t="s">
        <v>72</v>
      </c>
      <c r="M695" t="s">
        <v>59</v>
      </c>
      <c r="N695" t="s">
        <v>59</v>
      </c>
      <c r="O695" t="s">
        <v>59</v>
      </c>
      <c r="P695" t="s">
        <v>59</v>
      </c>
      <c r="Q695" t="s">
        <v>59</v>
      </c>
      <c r="R695" t="s">
        <v>59</v>
      </c>
      <c r="S695" t="s">
        <v>59</v>
      </c>
      <c r="T695" t="s">
        <v>59</v>
      </c>
      <c r="U695" t="s">
        <v>60</v>
      </c>
      <c r="V695" t="s">
        <v>59</v>
      </c>
      <c r="W695" t="s">
        <v>59</v>
      </c>
      <c r="X695" t="s">
        <v>59</v>
      </c>
      <c r="Y695" t="s">
        <v>59</v>
      </c>
      <c r="Z695" t="s">
        <v>59</v>
      </c>
      <c r="AA695" t="s">
        <v>60</v>
      </c>
      <c r="AB695" t="s">
        <v>60</v>
      </c>
      <c r="AC695" t="s">
        <v>61</v>
      </c>
      <c r="AD695" t="s">
        <v>61</v>
      </c>
      <c r="AE695" t="s">
        <v>59</v>
      </c>
      <c r="AF695" t="s">
        <v>61</v>
      </c>
      <c r="AG695" t="s">
        <v>59</v>
      </c>
      <c r="AH695" t="s">
        <v>61</v>
      </c>
      <c r="AI695" t="s">
        <v>61</v>
      </c>
      <c r="AJ695" t="s">
        <v>59</v>
      </c>
      <c r="AK695" t="s">
        <v>59</v>
      </c>
      <c r="AL695" t="s">
        <v>60</v>
      </c>
      <c r="AM695" t="s">
        <v>59</v>
      </c>
      <c r="AN695" t="s">
        <v>59</v>
      </c>
      <c r="AO695" t="s">
        <v>59</v>
      </c>
      <c r="AP695" t="s">
        <v>1687</v>
      </c>
      <c r="AQ695" t="s">
        <v>1688</v>
      </c>
      <c r="AR695" t="s">
        <v>64</v>
      </c>
      <c r="AS695" t="s">
        <v>255</v>
      </c>
      <c r="AT695" t="s">
        <v>256</v>
      </c>
      <c r="AU695" t="s">
        <v>593</v>
      </c>
      <c r="AW695" s="4">
        <f t="shared" si="353"/>
        <v>6</v>
      </c>
      <c r="AX695" s="4">
        <f t="shared" si="354"/>
        <v>4</v>
      </c>
      <c r="AY695" s="4">
        <f t="shared" si="355"/>
        <v>4</v>
      </c>
      <c r="AZ695" s="4">
        <f t="shared" si="356"/>
        <v>2</v>
      </c>
      <c r="BA695" s="4">
        <f t="shared" si="357"/>
        <v>4</v>
      </c>
      <c r="BB695" s="4">
        <f t="shared" si="358"/>
        <v>4</v>
      </c>
      <c r="BC695" s="4">
        <f t="shared" si="359"/>
        <v>4</v>
      </c>
      <c r="BD695" s="4">
        <f t="shared" si="360"/>
        <v>2</v>
      </c>
      <c r="BE695" s="4" t="str">
        <f t="shared" si="361"/>
        <v>0</v>
      </c>
      <c r="BF695" s="4">
        <f t="shared" si="362"/>
        <v>2</v>
      </c>
      <c r="BG695" s="4">
        <f t="shared" si="363"/>
        <v>4</v>
      </c>
      <c r="BH695" s="4">
        <f t="shared" si="364"/>
        <v>4</v>
      </c>
      <c r="BI695" s="4">
        <f t="shared" si="365"/>
        <v>4</v>
      </c>
      <c r="BJ695" s="4">
        <f t="shared" si="366"/>
        <v>2</v>
      </c>
      <c r="BK695" s="4" t="str">
        <f t="shared" si="367"/>
        <v>0</v>
      </c>
      <c r="BL695" s="4" t="str">
        <f t="shared" si="368"/>
        <v>0</v>
      </c>
      <c r="BM695" s="4">
        <f t="shared" si="369"/>
        <v>4</v>
      </c>
      <c r="BN695" s="4">
        <f t="shared" si="370"/>
        <v>4</v>
      </c>
      <c r="BO695" s="4">
        <f t="shared" si="371"/>
        <v>4</v>
      </c>
      <c r="BP695" s="4">
        <f t="shared" si="372"/>
        <v>4</v>
      </c>
      <c r="BQ695" s="4">
        <f t="shared" si="373"/>
        <v>6</v>
      </c>
      <c r="BR695" s="4">
        <f t="shared" si="374"/>
        <v>4</v>
      </c>
      <c r="BS695" s="4">
        <f t="shared" si="375"/>
        <v>4</v>
      </c>
      <c r="BT695" s="4">
        <f t="shared" si="376"/>
        <v>4</v>
      </c>
      <c r="BU695" s="4">
        <f t="shared" si="377"/>
        <v>4</v>
      </c>
      <c r="BV695" s="4" t="str">
        <f t="shared" si="378"/>
        <v>0</v>
      </c>
      <c r="BW695" s="4">
        <f t="shared" si="379"/>
        <v>6</v>
      </c>
      <c r="BX695" s="4">
        <f t="shared" si="380"/>
        <v>0</v>
      </c>
      <c r="BY695" s="4">
        <f t="shared" si="381"/>
        <v>0</v>
      </c>
      <c r="BZ695" s="37">
        <f t="shared" si="382"/>
        <v>90</v>
      </c>
      <c r="CA695" s="32" t="str">
        <f>VLOOKUP(J:J,'Agent wise'!A:C,3,0)</f>
        <v>Adharsh</v>
      </c>
      <c r="CB695" s="32">
        <f t="shared" si="383"/>
        <v>45943</v>
      </c>
      <c r="CC695" t="str">
        <f t="shared" si="384"/>
        <v>Good</v>
      </c>
      <c r="CE695" s="32"/>
      <c r="CJ695">
        <f t="shared" si="385"/>
        <v>13</v>
      </c>
      <c r="CK695">
        <f t="shared" si="386"/>
        <v>10</v>
      </c>
      <c r="CL695">
        <f t="shared" si="387"/>
        <v>2025</v>
      </c>
    </row>
    <row r="696" spans="1:90" ht="15" customHeight="1" x14ac:dyDescent="0.35">
      <c r="A696" t="s">
        <v>1689</v>
      </c>
      <c r="B696" t="s">
        <v>106</v>
      </c>
      <c r="C696" t="s">
        <v>214</v>
      </c>
      <c r="D696" t="s">
        <v>107</v>
      </c>
      <c r="E696" s="32">
        <v>45943</v>
      </c>
      <c r="F696" t="s">
        <v>54</v>
      </c>
      <c r="G696" t="s">
        <v>1592</v>
      </c>
      <c r="H696">
        <v>9444067327</v>
      </c>
      <c r="I696">
        <v>136</v>
      </c>
      <c r="J696" t="s">
        <v>466</v>
      </c>
      <c r="K696" t="s">
        <v>71</v>
      </c>
      <c r="L696" t="s">
        <v>72</v>
      </c>
      <c r="M696" t="s">
        <v>59</v>
      </c>
      <c r="N696" t="s">
        <v>59</v>
      </c>
      <c r="O696" t="s">
        <v>59</v>
      </c>
      <c r="P696" t="s">
        <v>59</v>
      </c>
      <c r="Q696" t="s">
        <v>59</v>
      </c>
      <c r="R696" t="s">
        <v>59</v>
      </c>
      <c r="S696" t="s">
        <v>59</v>
      </c>
      <c r="T696" t="s">
        <v>59</v>
      </c>
      <c r="U696" t="s">
        <v>60</v>
      </c>
      <c r="V696" t="s">
        <v>59</v>
      </c>
      <c r="W696" t="s">
        <v>59</v>
      </c>
      <c r="X696" t="s">
        <v>61</v>
      </c>
      <c r="Y696" t="s">
        <v>59</v>
      </c>
      <c r="Z696" t="s">
        <v>59</v>
      </c>
      <c r="AA696" t="s">
        <v>59</v>
      </c>
      <c r="AB696" t="s">
        <v>59</v>
      </c>
      <c r="AC696" t="s">
        <v>61</v>
      </c>
      <c r="AD696" t="s">
        <v>61</v>
      </c>
      <c r="AE696" t="s">
        <v>59</v>
      </c>
      <c r="AF696" t="s">
        <v>61</v>
      </c>
      <c r="AG696" t="s">
        <v>59</v>
      </c>
      <c r="AH696" t="s">
        <v>61</v>
      </c>
      <c r="AI696" t="s">
        <v>61</v>
      </c>
      <c r="AJ696" t="s">
        <v>59</v>
      </c>
      <c r="AK696" t="s">
        <v>59</v>
      </c>
      <c r="AL696" t="s">
        <v>60</v>
      </c>
      <c r="AM696" t="s">
        <v>59</v>
      </c>
      <c r="AN696" t="s">
        <v>59</v>
      </c>
      <c r="AO696" t="s">
        <v>59</v>
      </c>
      <c r="AP696" t="s">
        <v>563</v>
      </c>
      <c r="AQ696" t="s">
        <v>1690</v>
      </c>
      <c r="AR696" t="s">
        <v>64</v>
      </c>
      <c r="AS696" t="s">
        <v>771</v>
      </c>
      <c r="AT696" t="s">
        <v>1691</v>
      </c>
      <c r="AU696" t="s">
        <v>219</v>
      </c>
      <c r="AW696" s="4">
        <f t="shared" si="353"/>
        <v>6</v>
      </c>
      <c r="AX696" s="4">
        <f t="shared" si="354"/>
        <v>4</v>
      </c>
      <c r="AY696" s="4">
        <f t="shared" si="355"/>
        <v>4</v>
      </c>
      <c r="AZ696" s="4">
        <f t="shared" si="356"/>
        <v>2</v>
      </c>
      <c r="BA696" s="4">
        <f t="shared" si="357"/>
        <v>4</v>
      </c>
      <c r="BB696" s="4">
        <f t="shared" si="358"/>
        <v>4</v>
      </c>
      <c r="BC696" s="4">
        <f t="shared" si="359"/>
        <v>4</v>
      </c>
      <c r="BD696" s="4">
        <f t="shared" si="360"/>
        <v>2</v>
      </c>
      <c r="BE696" s="4" t="str">
        <f t="shared" si="361"/>
        <v>0</v>
      </c>
      <c r="BF696" s="4">
        <f t="shared" si="362"/>
        <v>2</v>
      </c>
      <c r="BG696" s="4">
        <f t="shared" si="363"/>
        <v>4</v>
      </c>
      <c r="BH696" s="4">
        <f t="shared" si="364"/>
        <v>4</v>
      </c>
      <c r="BI696" s="4">
        <f t="shared" si="365"/>
        <v>4</v>
      </c>
      <c r="BJ696" s="4">
        <f t="shared" si="366"/>
        <v>2</v>
      </c>
      <c r="BK696" s="4">
        <f t="shared" si="367"/>
        <v>4</v>
      </c>
      <c r="BL696" s="4">
        <f t="shared" si="368"/>
        <v>2</v>
      </c>
      <c r="BM696" s="4">
        <f t="shared" si="369"/>
        <v>4</v>
      </c>
      <c r="BN696" s="4">
        <f t="shared" si="370"/>
        <v>4</v>
      </c>
      <c r="BO696" s="4">
        <f t="shared" si="371"/>
        <v>4</v>
      </c>
      <c r="BP696" s="4">
        <f t="shared" si="372"/>
        <v>4</v>
      </c>
      <c r="BQ696" s="4">
        <f t="shared" si="373"/>
        <v>6</v>
      </c>
      <c r="BR696" s="4">
        <f t="shared" si="374"/>
        <v>4</v>
      </c>
      <c r="BS696" s="4">
        <f t="shared" si="375"/>
        <v>4</v>
      </c>
      <c r="BT696" s="4">
        <f t="shared" si="376"/>
        <v>4</v>
      </c>
      <c r="BU696" s="4">
        <f t="shared" si="377"/>
        <v>4</v>
      </c>
      <c r="BV696" s="4" t="str">
        <f t="shared" si="378"/>
        <v>0</v>
      </c>
      <c r="BW696" s="4">
        <f t="shared" si="379"/>
        <v>6</v>
      </c>
      <c r="BX696" s="4">
        <f t="shared" si="380"/>
        <v>0</v>
      </c>
      <c r="BY696" s="4">
        <f t="shared" si="381"/>
        <v>0</v>
      </c>
      <c r="BZ696" s="37">
        <f t="shared" si="382"/>
        <v>96</v>
      </c>
      <c r="CA696" s="32" t="str">
        <f>VLOOKUP(J:J,'Agent wise'!A:C,3,0)</f>
        <v>Adharsh</v>
      </c>
      <c r="CB696" s="32">
        <f t="shared" si="383"/>
        <v>45943</v>
      </c>
      <c r="CC696" t="str">
        <f t="shared" si="384"/>
        <v>Excellent</v>
      </c>
      <c r="CE696" s="32"/>
      <c r="CJ696">
        <f t="shared" si="385"/>
        <v>13</v>
      </c>
      <c r="CK696">
        <f t="shared" si="386"/>
        <v>10</v>
      </c>
      <c r="CL696">
        <f t="shared" si="387"/>
        <v>2025</v>
      </c>
    </row>
    <row r="697" spans="1:90" ht="15" customHeight="1" x14ac:dyDescent="0.35">
      <c r="A697" t="s">
        <v>1692</v>
      </c>
      <c r="B697" t="s">
        <v>106</v>
      </c>
      <c r="C697" t="s">
        <v>214</v>
      </c>
      <c r="D697" t="s">
        <v>107</v>
      </c>
      <c r="E697" s="32">
        <v>45943</v>
      </c>
      <c r="F697" t="s">
        <v>54</v>
      </c>
      <c r="G697" t="s">
        <v>1592</v>
      </c>
      <c r="H697">
        <v>9715494345</v>
      </c>
      <c r="I697">
        <v>150</v>
      </c>
      <c r="J697" t="s">
        <v>91</v>
      </c>
      <c r="K697" t="s">
        <v>71</v>
      </c>
      <c r="L697" t="s">
        <v>72</v>
      </c>
      <c r="M697" t="s">
        <v>60</v>
      </c>
      <c r="N697" t="s">
        <v>59</v>
      </c>
      <c r="O697" t="s">
        <v>59</v>
      </c>
      <c r="P697" t="s">
        <v>59</v>
      </c>
      <c r="Q697" t="s">
        <v>59</v>
      </c>
      <c r="R697" t="s">
        <v>59</v>
      </c>
      <c r="S697" t="s">
        <v>59</v>
      </c>
      <c r="T697" t="s">
        <v>59</v>
      </c>
      <c r="U697" t="s">
        <v>60</v>
      </c>
      <c r="V697" t="s">
        <v>59</v>
      </c>
      <c r="W697" t="s">
        <v>59</v>
      </c>
      <c r="X697" t="s">
        <v>61</v>
      </c>
      <c r="Y697" t="s">
        <v>59</v>
      </c>
      <c r="Z697" t="s">
        <v>59</v>
      </c>
      <c r="AA697" t="s">
        <v>59</v>
      </c>
      <c r="AB697" t="s">
        <v>59</v>
      </c>
      <c r="AC697" t="s">
        <v>61</v>
      </c>
      <c r="AD697" t="s">
        <v>61</v>
      </c>
      <c r="AE697" t="s">
        <v>59</v>
      </c>
      <c r="AF697" t="s">
        <v>61</v>
      </c>
      <c r="AG697" t="s">
        <v>59</v>
      </c>
      <c r="AH697" t="s">
        <v>61</v>
      </c>
      <c r="AI697" t="s">
        <v>59</v>
      </c>
      <c r="AJ697" t="s">
        <v>59</v>
      </c>
      <c r="AK697" t="s">
        <v>59</v>
      </c>
      <c r="AL697" t="s">
        <v>60</v>
      </c>
      <c r="AM697" t="s">
        <v>59</v>
      </c>
      <c r="AN697" t="s">
        <v>59</v>
      </c>
      <c r="AO697" t="s">
        <v>59</v>
      </c>
      <c r="AP697" t="s">
        <v>1693</v>
      </c>
      <c r="AQ697" s="1" t="s">
        <v>1694</v>
      </c>
      <c r="AR697" t="s">
        <v>64</v>
      </c>
      <c r="AS697" t="s">
        <v>122</v>
      </c>
      <c r="AT697" t="s">
        <v>123</v>
      </c>
      <c r="AU697" t="s">
        <v>219</v>
      </c>
      <c r="AW697" s="4" t="str">
        <f t="shared" si="353"/>
        <v>0</v>
      </c>
      <c r="AX697" s="4">
        <f t="shared" si="354"/>
        <v>4</v>
      </c>
      <c r="AY697" s="4">
        <f t="shared" si="355"/>
        <v>4</v>
      </c>
      <c r="AZ697" s="4">
        <f t="shared" si="356"/>
        <v>2</v>
      </c>
      <c r="BA697" s="4">
        <f t="shared" si="357"/>
        <v>4</v>
      </c>
      <c r="BB697" s="4">
        <f t="shared" si="358"/>
        <v>4</v>
      </c>
      <c r="BC697" s="4">
        <f t="shared" si="359"/>
        <v>4</v>
      </c>
      <c r="BD697" s="4">
        <f t="shared" si="360"/>
        <v>2</v>
      </c>
      <c r="BE697" s="4" t="str">
        <f t="shared" si="361"/>
        <v>0</v>
      </c>
      <c r="BF697" s="4">
        <f t="shared" si="362"/>
        <v>2</v>
      </c>
      <c r="BG697" s="4">
        <f t="shared" si="363"/>
        <v>4</v>
      </c>
      <c r="BH697" s="4">
        <f t="shared" si="364"/>
        <v>4</v>
      </c>
      <c r="BI697" s="4">
        <f t="shared" si="365"/>
        <v>4</v>
      </c>
      <c r="BJ697" s="4">
        <f t="shared" si="366"/>
        <v>2</v>
      </c>
      <c r="BK697" s="4">
        <f t="shared" si="367"/>
        <v>4</v>
      </c>
      <c r="BL697" s="4">
        <f t="shared" si="368"/>
        <v>2</v>
      </c>
      <c r="BM697" s="4">
        <f t="shared" si="369"/>
        <v>4</v>
      </c>
      <c r="BN697" s="4">
        <f t="shared" si="370"/>
        <v>4</v>
      </c>
      <c r="BO697" s="4">
        <f t="shared" si="371"/>
        <v>4</v>
      </c>
      <c r="BP697" s="4">
        <f t="shared" si="372"/>
        <v>4</v>
      </c>
      <c r="BQ697" s="4">
        <f t="shared" si="373"/>
        <v>6</v>
      </c>
      <c r="BR697" s="4">
        <f t="shared" si="374"/>
        <v>4</v>
      </c>
      <c r="BS697" s="4">
        <f t="shared" si="375"/>
        <v>4</v>
      </c>
      <c r="BT697" s="4">
        <f t="shared" si="376"/>
        <v>4</v>
      </c>
      <c r="BU697" s="4">
        <f t="shared" si="377"/>
        <v>4</v>
      </c>
      <c r="BV697" s="4" t="str">
        <f t="shared" si="378"/>
        <v>0</v>
      </c>
      <c r="BW697" s="4">
        <f t="shared" si="379"/>
        <v>6</v>
      </c>
      <c r="BX697" s="4">
        <f t="shared" si="380"/>
        <v>0</v>
      </c>
      <c r="BY697" s="4">
        <f t="shared" si="381"/>
        <v>0</v>
      </c>
      <c r="BZ697" s="37">
        <f t="shared" si="382"/>
        <v>90</v>
      </c>
      <c r="CA697" s="32" t="str">
        <f>VLOOKUP(J:J,'Agent wise'!A:C,3,0)</f>
        <v>Saran S</v>
      </c>
      <c r="CB697" s="32">
        <f t="shared" si="383"/>
        <v>45943</v>
      </c>
      <c r="CC697" t="str">
        <f t="shared" si="384"/>
        <v>Good</v>
      </c>
      <c r="CE697" s="32"/>
      <c r="CJ697">
        <f t="shared" si="385"/>
        <v>13</v>
      </c>
      <c r="CK697">
        <f t="shared" si="386"/>
        <v>10</v>
      </c>
      <c r="CL697">
        <f t="shared" si="387"/>
        <v>2025</v>
      </c>
    </row>
    <row r="698" spans="1:90" ht="15" customHeight="1" x14ac:dyDescent="0.35">
      <c r="A698" t="s">
        <v>1695</v>
      </c>
      <c r="B698" t="s">
        <v>106</v>
      </c>
      <c r="C698" t="s">
        <v>214</v>
      </c>
      <c r="D698" t="s">
        <v>107</v>
      </c>
      <c r="E698" s="32">
        <v>45943</v>
      </c>
      <c r="F698" t="s">
        <v>54</v>
      </c>
      <c r="G698" t="s">
        <v>1592</v>
      </c>
      <c r="H698">
        <v>8870074161</v>
      </c>
      <c r="I698">
        <v>138</v>
      </c>
      <c r="J698" t="s">
        <v>91</v>
      </c>
      <c r="K698" t="s">
        <v>71</v>
      </c>
      <c r="L698" t="s">
        <v>72</v>
      </c>
      <c r="M698" t="s">
        <v>59</v>
      </c>
      <c r="N698" t="s">
        <v>59</v>
      </c>
      <c r="O698" t="s">
        <v>59</v>
      </c>
      <c r="P698" t="s">
        <v>59</v>
      </c>
      <c r="Q698" t="s">
        <v>59</v>
      </c>
      <c r="R698" t="s">
        <v>59</v>
      </c>
      <c r="S698" t="s">
        <v>59</v>
      </c>
      <c r="T698" t="s">
        <v>59</v>
      </c>
      <c r="U698" t="s">
        <v>60</v>
      </c>
      <c r="V698" t="s">
        <v>59</v>
      </c>
      <c r="W698" t="s">
        <v>59</v>
      </c>
      <c r="X698" t="s">
        <v>61</v>
      </c>
      <c r="Y698" t="s">
        <v>59</v>
      </c>
      <c r="Z698" t="s">
        <v>60</v>
      </c>
      <c r="AA698" t="s">
        <v>60</v>
      </c>
      <c r="AB698" t="s">
        <v>59</v>
      </c>
      <c r="AC698" t="s">
        <v>61</v>
      </c>
      <c r="AD698" t="s">
        <v>61</v>
      </c>
      <c r="AE698" t="s">
        <v>59</v>
      </c>
      <c r="AF698" t="s">
        <v>61</v>
      </c>
      <c r="AG698" t="s">
        <v>59</v>
      </c>
      <c r="AH698" t="s">
        <v>61</v>
      </c>
      <c r="AI698" t="s">
        <v>61</v>
      </c>
      <c r="AJ698" t="s">
        <v>59</v>
      </c>
      <c r="AK698" t="s">
        <v>59</v>
      </c>
      <c r="AL698" t="s">
        <v>59</v>
      </c>
      <c r="AM698" t="s">
        <v>59</v>
      </c>
      <c r="AN698" t="s">
        <v>59</v>
      </c>
      <c r="AO698" t="s">
        <v>59</v>
      </c>
      <c r="AP698" t="s">
        <v>1696</v>
      </c>
      <c r="AQ698" t="s">
        <v>1697</v>
      </c>
      <c r="AR698" t="s">
        <v>64</v>
      </c>
      <c r="AS698" t="s">
        <v>771</v>
      </c>
      <c r="AT698" t="s">
        <v>772</v>
      </c>
      <c r="AU698" t="s">
        <v>219</v>
      </c>
      <c r="AW698" s="4">
        <f t="shared" si="353"/>
        <v>6</v>
      </c>
      <c r="AX698" s="4">
        <f t="shared" si="354"/>
        <v>4</v>
      </c>
      <c r="AY698" s="4">
        <f t="shared" si="355"/>
        <v>4</v>
      </c>
      <c r="AZ698" s="4">
        <f t="shared" si="356"/>
        <v>2</v>
      </c>
      <c r="BA698" s="4">
        <f t="shared" si="357"/>
        <v>4</v>
      </c>
      <c r="BB698" s="4">
        <f t="shared" si="358"/>
        <v>4</v>
      </c>
      <c r="BC698" s="4">
        <f t="shared" si="359"/>
        <v>4</v>
      </c>
      <c r="BD698" s="4">
        <f t="shared" si="360"/>
        <v>2</v>
      </c>
      <c r="BE698" s="4" t="str">
        <f t="shared" si="361"/>
        <v>0</v>
      </c>
      <c r="BF698" s="4">
        <f t="shared" si="362"/>
        <v>2</v>
      </c>
      <c r="BG698" s="4">
        <f t="shared" si="363"/>
        <v>4</v>
      </c>
      <c r="BH698" s="4">
        <f t="shared" si="364"/>
        <v>4</v>
      </c>
      <c r="BI698" s="4">
        <f t="shared" si="365"/>
        <v>4</v>
      </c>
      <c r="BJ698" s="4" t="str">
        <f t="shared" si="366"/>
        <v>0</v>
      </c>
      <c r="BK698" s="4" t="str">
        <f t="shared" si="367"/>
        <v>0</v>
      </c>
      <c r="BL698" s="4">
        <f t="shared" si="368"/>
        <v>2</v>
      </c>
      <c r="BM698" s="4">
        <f t="shared" si="369"/>
        <v>4</v>
      </c>
      <c r="BN698" s="4">
        <f t="shared" si="370"/>
        <v>4</v>
      </c>
      <c r="BO698" s="4">
        <f t="shared" si="371"/>
        <v>4</v>
      </c>
      <c r="BP698" s="4">
        <f t="shared" si="372"/>
        <v>4</v>
      </c>
      <c r="BQ698" s="4">
        <f t="shared" si="373"/>
        <v>6</v>
      </c>
      <c r="BR698" s="4">
        <f t="shared" si="374"/>
        <v>4</v>
      </c>
      <c r="BS698" s="4">
        <f t="shared" si="375"/>
        <v>4</v>
      </c>
      <c r="BT698" s="4">
        <f t="shared" si="376"/>
        <v>4</v>
      </c>
      <c r="BU698" s="4">
        <f t="shared" si="377"/>
        <v>4</v>
      </c>
      <c r="BV698" s="4">
        <f t="shared" si="378"/>
        <v>0</v>
      </c>
      <c r="BW698" s="4">
        <f t="shared" si="379"/>
        <v>6</v>
      </c>
      <c r="BX698" s="4">
        <f t="shared" si="380"/>
        <v>0</v>
      </c>
      <c r="BY698" s="4">
        <f t="shared" si="381"/>
        <v>0</v>
      </c>
      <c r="BZ698" s="37">
        <f t="shared" si="382"/>
        <v>90</v>
      </c>
      <c r="CA698" s="32" t="str">
        <f>VLOOKUP(J:J,'Agent wise'!A:C,3,0)</f>
        <v>Saran S</v>
      </c>
      <c r="CB698" s="32">
        <f t="shared" si="383"/>
        <v>45943</v>
      </c>
      <c r="CC698" t="str">
        <f t="shared" si="384"/>
        <v>Good</v>
      </c>
      <c r="CE698" s="32"/>
      <c r="CJ698">
        <f t="shared" si="385"/>
        <v>13</v>
      </c>
      <c r="CK698">
        <f t="shared" si="386"/>
        <v>10</v>
      </c>
      <c r="CL698">
        <f t="shared" si="387"/>
        <v>2025</v>
      </c>
    </row>
    <row r="699" spans="1:90" ht="15" customHeight="1" x14ac:dyDescent="0.35">
      <c r="A699" t="s">
        <v>1698</v>
      </c>
      <c r="B699" t="s">
        <v>106</v>
      </c>
      <c r="C699" t="s">
        <v>214</v>
      </c>
      <c r="D699" t="s">
        <v>107</v>
      </c>
      <c r="E699" s="32">
        <v>45943</v>
      </c>
      <c r="F699" t="s">
        <v>54</v>
      </c>
      <c r="G699" t="s">
        <v>1592</v>
      </c>
      <c r="H699">
        <v>9489141064</v>
      </c>
      <c r="I699">
        <v>139</v>
      </c>
      <c r="J699" t="s">
        <v>70</v>
      </c>
      <c r="K699" t="s">
        <v>71</v>
      </c>
      <c r="L699" t="s">
        <v>72</v>
      </c>
      <c r="M699" t="s">
        <v>59</v>
      </c>
      <c r="N699" t="s">
        <v>59</v>
      </c>
      <c r="O699" t="s">
        <v>59</v>
      </c>
      <c r="P699" t="s">
        <v>59</v>
      </c>
      <c r="Q699" t="s">
        <v>59</v>
      </c>
      <c r="R699" t="s">
        <v>59</v>
      </c>
      <c r="S699" t="s">
        <v>59</v>
      </c>
      <c r="T699" t="s">
        <v>59</v>
      </c>
      <c r="U699" t="s">
        <v>60</v>
      </c>
      <c r="V699" t="s">
        <v>59</v>
      </c>
      <c r="W699" t="s">
        <v>59</v>
      </c>
      <c r="X699" t="s">
        <v>61</v>
      </c>
      <c r="Y699" t="s">
        <v>59</v>
      </c>
      <c r="Z699" t="s">
        <v>59</v>
      </c>
      <c r="AA699" t="s">
        <v>60</v>
      </c>
      <c r="AB699" t="s">
        <v>60</v>
      </c>
      <c r="AC699" t="s">
        <v>60</v>
      </c>
      <c r="AD699" t="s">
        <v>61</v>
      </c>
      <c r="AE699" t="s">
        <v>59</v>
      </c>
      <c r="AF699" t="s">
        <v>61</v>
      </c>
      <c r="AG699" t="s">
        <v>59</v>
      </c>
      <c r="AH699" t="s">
        <v>61</v>
      </c>
      <c r="AI699" t="s">
        <v>61</v>
      </c>
      <c r="AJ699" t="s">
        <v>59</v>
      </c>
      <c r="AK699" t="s">
        <v>59</v>
      </c>
      <c r="AL699" t="s">
        <v>60</v>
      </c>
      <c r="AM699" t="s">
        <v>59</v>
      </c>
      <c r="AN699" t="s">
        <v>59</v>
      </c>
      <c r="AO699" t="s">
        <v>59</v>
      </c>
      <c r="AP699" t="s">
        <v>120</v>
      </c>
      <c r="AQ699" t="s">
        <v>1699</v>
      </c>
      <c r="AR699" t="s">
        <v>64</v>
      </c>
      <c r="AS699" t="s">
        <v>457</v>
      </c>
      <c r="AT699" t="s">
        <v>1700</v>
      </c>
      <c r="AU699" t="s">
        <v>219</v>
      </c>
      <c r="AW699" s="4">
        <f t="shared" si="353"/>
        <v>6</v>
      </c>
      <c r="AX699" s="4">
        <f t="shared" si="354"/>
        <v>4</v>
      </c>
      <c r="AY699" s="4">
        <f t="shared" si="355"/>
        <v>4</v>
      </c>
      <c r="AZ699" s="4">
        <f t="shared" si="356"/>
        <v>2</v>
      </c>
      <c r="BA699" s="4">
        <f t="shared" si="357"/>
        <v>4</v>
      </c>
      <c r="BB699" s="4">
        <f t="shared" si="358"/>
        <v>4</v>
      </c>
      <c r="BC699" s="4">
        <f t="shared" si="359"/>
        <v>4</v>
      </c>
      <c r="BD699" s="4">
        <f t="shared" si="360"/>
        <v>2</v>
      </c>
      <c r="BE699" s="4" t="str">
        <f t="shared" si="361"/>
        <v>0</v>
      </c>
      <c r="BF699" s="4">
        <f t="shared" si="362"/>
        <v>2</v>
      </c>
      <c r="BG699" s="4">
        <f t="shared" si="363"/>
        <v>4</v>
      </c>
      <c r="BH699" s="4">
        <f t="shared" si="364"/>
        <v>4</v>
      </c>
      <c r="BI699" s="4">
        <f t="shared" si="365"/>
        <v>4</v>
      </c>
      <c r="BJ699" s="4">
        <f t="shared" si="366"/>
        <v>2</v>
      </c>
      <c r="BK699" s="4" t="str">
        <f t="shared" si="367"/>
        <v>0</v>
      </c>
      <c r="BL699" s="4" t="str">
        <f t="shared" si="368"/>
        <v>0</v>
      </c>
      <c r="BM699" s="4" t="str">
        <f t="shared" si="369"/>
        <v>0</v>
      </c>
      <c r="BN699" s="4">
        <f t="shared" si="370"/>
        <v>4</v>
      </c>
      <c r="BO699" s="4">
        <f t="shared" si="371"/>
        <v>4</v>
      </c>
      <c r="BP699" s="4">
        <f t="shared" si="372"/>
        <v>4</v>
      </c>
      <c r="BQ699" s="4">
        <f t="shared" si="373"/>
        <v>6</v>
      </c>
      <c r="BR699" s="4">
        <f t="shared" si="374"/>
        <v>4</v>
      </c>
      <c r="BS699" s="4">
        <f t="shared" si="375"/>
        <v>4</v>
      </c>
      <c r="BT699" s="4">
        <f t="shared" si="376"/>
        <v>4</v>
      </c>
      <c r="BU699" s="4">
        <f t="shared" si="377"/>
        <v>4</v>
      </c>
      <c r="BV699" s="4" t="str">
        <f t="shared" si="378"/>
        <v>0</v>
      </c>
      <c r="BW699" s="4">
        <f t="shared" si="379"/>
        <v>6</v>
      </c>
      <c r="BX699" s="4">
        <f t="shared" si="380"/>
        <v>0</v>
      </c>
      <c r="BY699" s="4">
        <f t="shared" si="381"/>
        <v>0</v>
      </c>
      <c r="BZ699" s="37">
        <f t="shared" si="382"/>
        <v>86</v>
      </c>
      <c r="CA699" s="32" t="str">
        <f>VLOOKUP(J:J,'Agent wise'!A:C,3,0)</f>
        <v>Saran S</v>
      </c>
      <c r="CB699" s="32">
        <f t="shared" si="383"/>
        <v>45943</v>
      </c>
      <c r="CC699" t="str">
        <f t="shared" si="384"/>
        <v>Average</v>
      </c>
      <c r="CE699" s="32"/>
      <c r="CJ699">
        <f t="shared" si="385"/>
        <v>13</v>
      </c>
      <c r="CK699">
        <f t="shared" si="386"/>
        <v>10</v>
      </c>
      <c r="CL699">
        <f t="shared" si="387"/>
        <v>2025</v>
      </c>
    </row>
    <row r="700" spans="1:90" ht="15" customHeight="1" x14ac:dyDescent="0.35">
      <c r="A700" t="s">
        <v>1701</v>
      </c>
      <c r="B700" t="s">
        <v>106</v>
      </c>
      <c r="C700" t="s">
        <v>214</v>
      </c>
      <c r="D700" t="s">
        <v>107</v>
      </c>
      <c r="E700" s="32">
        <v>45943</v>
      </c>
      <c r="F700" t="s">
        <v>54</v>
      </c>
      <c r="G700" t="s">
        <v>1592</v>
      </c>
      <c r="H700">
        <v>9360053066</v>
      </c>
      <c r="I700">
        <v>137</v>
      </c>
      <c r="J700" t="s">
        <v>70</v>
      </c>
      <c r="K700" t="s">
        <v>71</v>
      </c>
      <c r="L700" t="s">
        <v>72</v>
      </c>
      <c r="M700" t="s">
        <v>59</v>
      </c>
      <c r="N700" t="s">
        <v>59</v>
      </c>
      <c r="O700" t="s">
        <v>59</v>
      </c>
      <c r="P700" t="s">
        <v>59</v>
      </c>
      <c r="Q700" t="s">
        <v>59</v>
      </c>
      <c r="R700" t="s">
        <v>59</v>
      </c>
      <c r="S700" t="s">
        <v>59</v>
      </c>
      <c r="T700" t="s">
        <v>59</v>
      </c>
      <c r="U700" t="s">
        <v>59</v>
      </c>
      <c r="V700" t="s">
        <v>59</v>
      </c>
      <c r="W700" t="s">
        <v>59</v>
      </c>
      <c r="X700" t="s">
        <v>61</v>
      </c>
      <c r="Y700" t="s">
        <v>59</v>
      </c>
      <c r="Z700" t="s">
        <v>59</v>
      </c>
      <c r="AA700" t="s">
        <v>59</v>
      </c>
      <c r="AB700" t="s">
        <v>59</v>
      </c>
      <c r="AC700" t="s">
        <v>61</v>
      </c>
      <c r="AD700" t="s">
        <v>61</v>
      </c>
      <c r="AE700" t="s">
        <v>59</v>
      </c>
      <c r="AF700" t="s">
        <v>61</v>
      </c>
      <c r="AG700" t="s">
        <v>59</v>
      </c>
      <c r="AH700" t="s">
        <v>61</v>
      </c>
      <c r="AI700" t="s">
        <v>61</v>
      </c>
      <c r="AJ700" t="s">
        <v>59</v>
      </c>
      <c r="AK700" t="s">
        <v>59</v>
      </c>
      <c r="AL700" t="s">
        <v>60</v>
      </c>
      <c r="AM700" t="s">
        <v>59</v>
      </c>
      <c r="AN700" t="s">
        <v>59</v>
      </c>
      <c r="AO700" t="s">
        <v>59</v>
      </c>
      <c r="AP700" t="s">
        <v>563</v>
      </c>
      <c r="AQ700" t="s">
        <v>1702</v>
      </c>
      <c r="AR700" t="s">
        <v>64</v>
      </c>
      <c r="AS700" t="s">
        <v>457</v>
      </c>
      <c r="AT700" t="s">
        <v>456</v>
      </c>
      <c r="AU700" t="s">
        <v>219</v>
      </c>
      <c r="AW700" s="4">
        <f t="shared" si="353"/>
        <v>6</v>
      </c>
      <c r="AX700" s="4">
        <f t="shared" si="354"/>
        <v>4</v>
      </c>
      <c r="AY700" s="4">
        <f t="shared" si="355"/>
        <v>4</v>
      </c>
      <c r="AZ700" s="4">
        <f t="shared" si="356"/>
        <v>2</v>
      </c>
      <c r="BA700" s="4">
        <f t="shared" si="357"/>
        <v>4</v>
      </c>
      <c r="BB700" s="4">
        <f t="shared" si="358"/>
        <v>4</v>
      </c>
      <c r="BC700" s="4">
        <f t="shared" si="359"/>
        <v>4</v>
      </c>
      <c r="BD700" s="4">
        <f t="shared" si="360"/>
        <v>2</v>
      </c>
      <c r="BE700" s="4">
        <f t="shared" si="361"/>
        <v>4</v>
      </c>
      <c r="BF700" s="4">
        <f t="shared" si="362"/>
        <v>2</v>
      </c>
      <c r="BG700" s="4">
        <f t="shared" si="363"/>
        <v>4</v>
      </c>
      <c r="BH700" s="4">
        <f t="shared" si="364"/>
        <v>4</v>
      </c>
      <c r="BI700" s="4">
        <f t="shared" si="365"/>
        <v>4</v>
      </c>
      <c r="BJ700" s="4">
        <f t="shared" si="366"/>
        <v>2</v>
      </c>
      <c r="BK700" s="4">
        <f t="shared" si="367"/>
        <v>4</v>
      </c>
      <c r="BL700" s="4">
        <f t="shared" si="368"/>
        <v>2</v>
      </c>
      <c r="BM700" s="4">
        <f t="shared" si="369"/>
        <v>4</v>
      </c>
      <c r="BN700" s="4">
        <f t="shared" si="370"/>
        <v>4</v>
      </c>
      <c r="BO700" s="4">
        <f t="shared" si="371"/>
        <v>4</v>
      </c>
      <c r="BP700" s="4">
        <f t="shared" si="372"/>
        <v>4</v>
      </c>
      <c r="BQ700" s="4">
        <f t="shared" si="373"/>
        <v>6</v>
      </c>
      <c r="BR700" s="4">
        <f t="shared" si="374"/>
        <v>4</v>
      </c>
      <c r="BS700" s="4">
        <f t="shared" si="375"/>
        <v>4</v>
      </c>
      <c r="BT700" s="4">
        <f t="shared" si="376"/>
        <v>4</v>
      </c>
      <c r="BU700" s="4">
        <f t="shared" si="377"/>
        <v>4</v>
      </c>
      <c r="BV700" s="4" t="str">
        <f t="shared" si="378"/>
        <v>0</v>
      </c>
      <c r="BW700" s="4">
        <f t="shared" si="379"/>
        <v>6</v>
      </c>
      <c r="BX700" s="4">
        <f t="shared" si="380"/>
        <v>0</v>
      </c>
      <c r="BY700" s="4">
        <f t="shared" si="381"/>
        <v>0</v>
      </c>
      <c r="BZ700" s="37">
        <f t="shared" si="382"/>
        <v>100</v>
      </c>
      <c r="CA700" s="32" t="str">
        <f>VLOOKUP(J:J,'Agent wise'!A:C,3,0)</f>
        <v>Saran S</v>
      </c>
      <c r="CB700" s="32">
        <f t="shared" si="383"/>
        <v>45943</v>
      </c>
      <c r="CC700" t="str">
        <f t="shared" si="384"/>
        <v>Excellent</v>
      </c>
      <c r="CE700" s="32"/>
      <c r="CJ700">
        <f t="shared" si="385"/>
        <v>13</v>
      </c>
      <c r="CK700">
        <f t="shared" si="386"/>
        <v>10</v>
      </c>
      <c r="CL700">
        <f t="shared" si="387"/>
        <v>2025</v>
      </c>
    </row>
    <row r="701" spans="1:90" ht="15" customHeight="1" x14ac:dyDescent="0.35">
      <c r="A701" t="s">
        <v>1703</v>
      </c>
      <c r="B701" t="s">
        <v>106</v>
      </c>
      <c r="C701" t="s">
        <v>214</v>
      </c>
      <c r="D701" t="s">
        <v>107</v>
      </c>
      <c r="E701" s="32">
        <v>45943</v>
      </c>
      <c r="F701" t="s">
        <v>54</v>
      </c>
      <c r="G701" t="s">
        <v>1592</v>
      </c>
      <c r="H701">
        <v>7708340201</v>
      </c>
      <c r="I701">
        <v>132</v>
      </c>
      <c r="J701" t="s">
        <v>124</v>
      </c>
      <c r="K701" t="s">
        <v>71</v>
      </c>
      <c r="L701" t="s">
        <v>72</v>
      </c>
      <c r="M701" t="s">
        <v>59</v>
      </c>
      <c r="N701" t="s">
        <v>59</v>
      </c>
      <c r="O701" t="s">
        <v>59</v>
      </c>
      <c r="P701" t="s">
        <v>59</v>
      </c>
      <c r="Q701" t="s">
        <v>59</v>
      </c>
      <c r="R701" t="s">
        <v>59</v>
      </c>
      <c r="S701" t="s">
        <v>59</v>
      </c>
      <c r="T701" t="s">
        <v>59</v>
      </c>
      <c r="U701" t="s">
        <v>60</v>
      </c>
      <c r="V701" t="s">
        <v>59</v>
      </c>
      <c r="W701" t="s">
        <v>59</v>
      </c>
      <c r="X701" t="s">
        <v>61</v>
      </c>
      <c r="Y701" t="s">
        <v>59</v>
      </c>
      <c r="Z701" t="s">
        <v>59</v>
      </c>
      <c r="AA701" t="s">
        <v>59</v>
      </c>
      <c r="AB701" t="s">
        <v>59</v>
      </c>
      <c r="AC701" t="s">
        <v>60</v>
      </c>
      <c r="AD701" t="s">
        <v>61</v>
      </c>
      <c r="AE701" t="s">
        <v>59</v>
      </c>
      <c r="AF701" t="s">
        <v>59</v>
      </c>
      <c r="AG701" t="s">
        <v>59</v>
      </c>
      <c r="AH701" t="s">
        <v>61</v>
      </c>
      <c r="AI701" t="s">
        <v>61</v>
      </c>
      <c r="AJ701" t="s">
        <v>59</v>
      </c>
      <c r="AK701" t="s">
        <v>59</v>
      </c>
      <c r="AL701" t="s">
        <v>60</v>
      </c>
      <c r="AM701" t="s">
        <v>59</v>
      </c>
      <c r="AN701" t="s">
        <v>59</v>
      </c>
      <c r="AO701" t="s">
        <v>59</v>
      </c>
      <c r="AP701" t="s">
        <v>145</v>
      </c>
      <c r="AQ701" s="1" t="s">
        <v>1704</v>
      </c>
      <c r="AR701" t="s">
        <v>64</v>
      </c>
      <c r="AS701" t="s">
        <v>397</v>
      </c>
      <c r="AT701" t="s">
        <v>649</v>
      </c>
      <c r="AU701" t="s">
        <v>219</v>
      </c>
      <c r="AW701" s="4">
        <f t="shared" si="353"/>
        <v>6</v>
      </c>
      <c r="AX701" s="4">
        <f t="shared" si="354"/>
        <v>4</v>
      </c>
      <c r="AY701" s="4">
        <f t="shared" si="355"/>
        <v>4</v>
      </c>
      <c r="AZ701" s="4">
        <f t="shared" si="356"/>
        <v>2</v>
      </c>
      <c r="BA701" s="4">
        <f t="shared" si="357"/>
        <v>4</v>
      </c>
      <c r="BB701" s="4">
        <f t="shared" si="358"/>
        <v>4</v>
      </c>
      <c r="BC701" s="4">
        <f t="shared" si="359"/>
        <v>4</v>
      </c>
      <c r="BD701" s="4">
        <f t="shared" si="360"/>
        <v>2</v>
      </c>
      <c r="BE701" s="4" t="str">
        <f t="shared" si="361"/>
        <v>0</v>
      </c>
      <c r="BF701" s="4">
        <f t="shared" si="362"/>
        <v>2</v>
      </c>
      <c r="BG701" s="4">
        <f t="shared" si="363"/>
        <v>4</v>
      </c>
      <c r="BH701" s="4">
        <f t="shared" si="364"/>
        <v>4</v>
      </c>
      <c r="BI701" s="4">
        <f t="shared" si="365"/>
        <v>4</v>
      </c>
      <c r="BJ701" s="4">
        <f t="shared" si="366"/>
        <v>2</v>
      </c>
      <c r="BK701" s="4">
        <f t="shared" si="367"/>
        <v>4</v>
      </c>
      <c r="BL701" s="4">
        <f t="shared" si="368"/>
        <v>2</v>
      </c>
      <c r="BM701" s="4" t="str">
        <f t="shared" si="369"/>
        <v>0</v>
      </c>
      <c r="BN701" s="4">
        <f t="shared" si="370"/>
        <v>4</v>
      </c>
      <c r="BO701" s="4">
        <f t="shared" si="371"/>
        <v>4</v>
      </c>
      <c r="BP701" s="4">
        <f t="shared" si="372"/>
        <v>4</v>
      </c>
      <c r="BQ701" s="4">
        <f t="shared" si="373"/>
        <v>6</v>
      </c>
      <c r="BR701" s="4">
        <f t="shared" si="374"/>
        <v>4</v>
      </c>
      <c r="BS701" s="4">
        <f t="shared" si="375"/>
        <v>4</v>
      </c>
      <c r="BT701" s="4">
        <f t="shared" si="376"/>
        <v>4</v>
      </c>
      <c r="BU701" s="4">
        <f t="shared" si="377"/>
        <v>4</v>
      </c>
      <c r="BV701" s="4" t="str">
        <f t="shared" si="378"/>
        <v>0</v>
      </c>
      <c r="BW701" s="4">
        <f t="shared" si="379"/>
        <v>6</v>
      </c>
      <c r="BX701" s="4">
        <f t="shared" si="380"/>
        <v>0</v>
      </c>
      <c r="BY701" s="4">
        <f t="shared" si="381"/>
        <v>0</v>
      </c>
      <c r="BZ701" s="37">
        <f t="shared" si="382"/>
        <v>92</v>
      </c>
      <c r="CA701" s="32" t="str">
        <f>VLOOKUP(J:J,'Agent wise'!A:C,3,0)</f>
        <v>Saran S</v>
      </c>
      <c r="CB701" s="32">
        <f t="shared" si="383"/>
        <v>45943</v>
      </c>
      <c r="CC701" t="str">
        <f t="shared" si="384"/>
        <v>Good</v>
      </c>
      <c r="CE701" s="32"/>
      <c r="CJ701">
        <f t="shared" si="385"/>
        <v>13</v>
      </c>
      <c r="CK701">
        <f t="shared" si="386"/>
        <v>10</v>
      </c>
      <c r="CL701">
        <f t="shared" si="387"/>
        <v>2025</v>
      </c>
    </row>
    <row r="702" spans="1:90" ht="15" customHeight="1" x14ac:dyDescent="0.35">
      <c r="A702" t="s">
        <v>1705</v>
      </c>
      <c r="B702" t="s">
        <v>106</v>
      </c>
      <c r="C702" t="s">
        <v>214</v>
      </c>
      <c r="D702" t="s">
        <v>107</v>
      </c>
      <c r="E702" s="32">
        <v>45943</v>
      </c>
      <c r="F702" t="s">
        <v>54</v>
      </c>
      <c r="G702" t="s">
        <v>1592</v>
      </c>
      <c r="H702">
        <v>9444036181</v>
      </c>
      <c r="I702">
        <v>159</v>
      </c>
      <c r="J702" t="s">
        <v>124</v>
      </c>
      <c r="K702" t="s">
        <v>71</v>
      </c>
      <c r="L702" t="s">
        <v>72</v>
      </c>
      <c r="M702" t="s">
        <v>59</v>
      </c>
      <c r="N702" t="s">
        <v>59</v>
      </c>
      <c r="O702" t="s">
        <v>59</v>
      </c>
      <c r="P702" t="s">
        <v>59</v>
      </c>
      <c r="Q702" t="s">
        <v>59</v>
      </c>
      <c r="R702" t="s">
        <v>59</v>
      </c>
      <c r="S702" t="s">
        <v>59</v>
      </c>
      <c r="T702" t="s">
        <v>59</v>
      </c>
      <c r="U702" t="s">
        <v>60</v>
      </c>
      <c r="V702" t="s">
        <v>59</v>
      </c>
      <c r="W702" t="s">
        <v>59</v>
      </c>
      <c r="X702" t="s">
        <v>61</v>
      </c>
      <c r="Y702" t="s">
        <v>59</v>
      </c>
      <c r="Z702" t="s">
        <v>59</v>
      </c>
      <c r="AA702" t="s">
        <v>60</v>
      </c>
      <c r="AB702" t="s">
        <v>60</v>
      </c>
      <c r="AC702" t="s">
        <v>60</v>
      </c>
      <c r="AD702" t="s">
        <v>61</v>
      </c>
      <c r="AE702" t="s">
        <v>59</v>
      </c>
      <c r="AF702" t="s">
        <v>61</v>
      </c>
      <c r="AG702" t="s">
        <v>59</v>
      </c>
      <c r="AH702" t="s">
        <v>61</v>
      </c>
      <c r="AI702" t="s">
        <v>59</v>
      </c>
      <c r="AJ702" t="s">
        <v>59</v>
      </c>
      <c r="AK702" t="s">
        <v>59</v>
      </c>
      <c r="AL702" t="s">
        <v>60</v>
      </c>
      <c r="AM702" t="s">
        <v>59</v>
      </c>
      <c r="AN702" t="s">
        <v>59</v>
      </c>
      <c r="AO702" t="s">
        <v>59</v>
      </c>
      <c r="AP702" t="s">
        <v>120</v>
      </c>
      <c r="AQ702" t="s">
        <v>1706</v>
      </c>
      <c r="AR702" t="s">
        <v>64</v>
      </c>
      <c r="AS702" t="s">
        <v>122</v>
      </c>
      <c r="AT702" t="s">
        <v>1707</v>
      </c>
      <c r="AU702" t="s">
        <v>219</v>
      </c>
      <c r="AW702" s="4">
        <f t="shared" si="353"/>
        <v>6</v>
      </c>
      <c r="AX702" s="4">
        <f t="shared" si="354"/>
        <v>4</v>
      </c>
      <c r="AY702" s="4">
        <f t="shared" si="355"/>
        <v>4</v>
      </c>
      <c r="AZ702" s="4">
        <f t="shared" si="356"/>
        <v>2</v>
      </c>
      <c r="BA702" s="4">
        <f t="shared" si="357"/>
        <v>4</v>
      </c>
      <c r="BB702" s="4">
        <f t="shared" si="358"/>
        <v>4</v>
      </c>
      <c r="BC702" s="4">
        <f t="shared" si="359"/>
        <v>4</v>
      </c>
      <c r="BD702" s="4">
        <f t="shared" si="360"/>
        <v>2</v>
      </c>
      <c r="BE702" s="4" t="str">
        <f t="shared" si="361"/>
        <v>0</v>
      </c>
      <c r="BF702" s="4">
        <f t="shared" si="362"/>
        <v>2</v>
      </c>
      <c r="BG702" s="4">
        <f t="shared" si="363"/>
        <v>4</v>
      </c>
      <c r="BH702" s="4">
        <f t="shared" si="364"/>
        <v>4</v>
      </c>
      <c r="BI702" s="4">
        <f t="shared" si="365"/>
        <v>4</v>
      </c>
      <c r="BJ702" s="4">
        <f t="shared" si="366"/>
        <v>2</v>
      </c>
      <c r="BK702" s="4" t="str">
        <f t="shared" si="367"/>
        <v>0</v>
      </c>
      <c r="BL702" s="4" t="str">
        <f t="shared" si="368"/>
        <v>0</v>
      </c>
      <c r="BM702" s="4" t="str">
        <f t="shared" si="369"/>
        <v>0</v>
      </c>
      <c r="BN702" s="4">
        <f t="shared" si="370"/>
        <v>4</v>
      </c>
      <c r="BO702" s="4">
        <f t="shared" si="371"/>
        <v>4</v>
      </c>
      <c r="BP702" s="4">
        <f t="shared" si="372"/>
        <v>4</v>
      </c>
      <c r="BQ702" s="4">
        <f t="shared" si="373"/>
        <v>6</v>
      </c>
      <c r="BR702" s="4">
        <f t="shared" si="374"/>
        <v>4</v>
      </c>
      <c r="BS702" s="4">
        <f t="shared" si="375"/>
        <v>4</v>
      </c>
      <c r="BT702" s="4">
        <f t="shared" si="376"/>
        <v>4</v>
      </c>
      <c r="BU702" s="4">
        <f t="shared" si="377"/>
        <v>4</v>
      </c>
      <c r="BV702" s="4" t="str">
        <f t="shared" si="378"/>
        <v>0</v>
      </c>
      <c r="BW702" s="4">
        <f t="shared" si="379"/>
        <v>6</v>
      </c>
      <c r="BX702" s="4">
        <f t="shared" si="380"/>
        <v>0</v>
      </c>
      <c r="BY702" s="4">
        <f t="shared" si="381"/>
        <v>0</v>
      </c>
      <c r="BZ702" s="37">
        <f t="shared" si="382"/>
        <v>86</v>
      </c>
      <c r="CA702" s="32" t="str">
        <f>VLOOKUP(J:J,'Agent wise'!A:C,3,0)</f>
        <v>Saran S</v>
      </c>
      <c r="CB702" s="32">
        <f t="shared" si="383"/>
        <v>45943</v>
      </c>
      <c r="CC702" t="str">
        <f t="shared" si="384"/>
        <v>Average</v>
      </c>
      <c r="CE702" s="32"/>
      <c r="CJ702">
        <f t="shared" si="385"/>
        <v>13</v>
      </c>
      <c r="CK702">
        <f t="shared" si="386"/>
        <v>10</v>
      </c>
      <c r="CL702">
        <f t="shared" si="387"/>
        <v>2025</v>
      </c>
    </row>
    <row r="703" spans="1:90" ht="15" customHeight="1" x14ac:dyDescent="0.35">
      <c r="A703" t="s">
        <v>1708</v>
      </c>
      <c r="B703" t="s">
        <v>106</v>
      </c>
      <c r="C703" t="s">
        <v>214</v>
      </c>
      <c r="D703" t="s">
        <v>107</v>
      </c>
      <c r="E703" s="32">
        <v>45943</v>
      </c>
      <c r="F703" t="s">
        <v>54</v>
      </c>
      <c r="G703" t="s">
        <v>1592</v>
      </c>
      <c r="H703">
        <v>9497539796</v>
      </c>
      <c r="I703">
        <v>130</v>
      </c>
      <c r="J703" t="s">
        <v>80</v>
      </c>
      <c r="K703" t="s">
        <v>57</v>
      </c>
      <c r="L703" t="s">
        <v>58</v>
      </c>
      <c r="M703" t="s">
        <v>59</v>
      </c>
      <c r="N703" t="s">
        <v>59</v>
      </c>
      <c r="O703" t="s">
        <v>59</v>
      </c>
      <c r="P703" t="s">
        <v>59</v>
      </c>
      <c r="Q703" t="s">
        <v>59</v>
      </c>
      <c r="R703" t="s">
        <v>59</v>
      </c>
      <c r="S703" t="s">
        <v>59</v>
      </c>
      <c r="T703" t="s">
        <v>59</v>
      </c>
      <c r="U703" t="s">
        <v>60</v>
      </c>
      <c r="V703" t="s">
        <v>59</v>
      </c>
      <c r="W703" t="s">
        <v>59</v>
      </c>
      <c r="X703" t="s">
        <v>61</v>
      </c>
      <c r="Y703" t="s">
        <v>59</v>
      </c>
      <c r="Z703" t="s">
        <v>60</v>
      </c>
      <c r="AA703" t="s">
        <v>59</v>
      </c>
      <c r="AB703" t="s">
        <v>59</v>
      </c>
      <c r="AC703" t="s">
        <v>61</v>
      </c>
      <c r="AD703" t="s">
        <v>61</v>
      </c>
      <c r="AE703" t="s">
        <v>59</v>
      </c>
      <c r="AF703" t="s">
        <v>61</v>
      </c>
      <c r="AG703" t="s">
        <v>59</v>
      </c>
      <c r="AH703" t="s">
        <v>61</v>
      </c>
      <c r="AI703" t="s">
        <v>61</v>
      </c>
      <c r="AJ703" t="s">
        <v>59</v>
      </c>
      <c r="AK703" t="s">
        <v>59</v>
      </c>
      <c r="AL703" t="s">
        <v>59</v>
      </c>
      <c r="AM703" t="s">
        <v>59</v>
      </c>
      <c r="AN703" t="s">
        <v>59</v>
      </c>
      <c r="AO703" t="s">
        <v>59</v>
      </c>
      <c r="AP703" t="s">
        <v>388</v>
      </c>
      <c r="AQ703" t="s">
        <v>1709</v>
      </c>
      <c r="AR703" t="s">
        <v>64</v>
      </c>
      <c r="AS703" t="s">
        <v>255</v>
      </c>
      <c r="AT703" t="s">
        <v>256</v>
      </c>
      <c r="AU703" t="s">
        <v>387</v>
      </c>
      <c r="AW703" s="4">
        <f t="shared" si="353"/>
        <v>6</v>
      </c>
      <c r="AX703" s="4">
        <f t="shared" si="354"/>
        <v>4</v>
      </c>
      <c r="AY703" s="4">
        <f t="shared" si="355"/>
        <v>4</v>
      </c>
      <c r="AZ703" s="4">
        <f t="shared" si="356"/>
        <v>2</v>
      </c>
      <c r="BA703" s="4">
        <f t="shared" si="357"/>
        <v>4</v>
      </c>
      <c r="BB703" s="4">
        <f t="shared" si="358"/>
        <v>4</v>
      </c>
      <c r="BC703" s="4">
        <f t="shared" si="359"/>
        <v>4</v>
      </c>
      <c r="BD703" s="4">
        <f t="shared" si="360"/>
        <v>2</v>
      </c>
      <c r="BE703" s="4" t="str">
        <f t="shared" si="361"/>
        <v>0</v>
      </c>
      <c r="BF703" s="4">
        <f t="shared" si="362"/>
        <v>2</v>
      </c>
      <c r="BG703" s="4">
        <f t="shared" si="363"/>
        <v>4</v>
      </c>
      <c r="BH703" s="4">
        <f t="shared" si="364"/>
        <v>4</v>
      </c>
      <c r="BI703" s="4">
        <f t="shared" si="365"/>
        <v>4</v>
      </c>
      <c r="BJ703" s="4" t="str">
        <f t="shared" si="366"/>
        <v>0</v>
      </c>
      <c r="BK703" s="4">
        <f t="shared" si="367"/>
        <v>4</v>
      </c>
      <c r="BL703" s="4">
        <f t="shared" si="368"/>
        <v>2</v>
      </c>
      <c r="BM703" s="4">
        <f t="shared" si="369"/>
        <v>4</v>
      </c>
      <c r="BN703" s="4">
        <f t="shared" si="370"/>
        <v>4</v>
      </c>
      <c r="BO703" s="4">
        <f t="shared" si="371"/>
        <v>4</v>
      </c>
      <c r="BP703" s="4">
        <f t="shared" si="372"/>
        <v>4</v>
      </c>
      <c r="BQ703" s="4">
        <f t="shared" si="373"/>
        <v>6</v>
      </c>
      <c r="BR703" s="4">
        <f t="shared" si="374"/>
        <v>4</v>
      </c>
      <c r="BS703" s="4">
        <f t="shared" si="375"/>
        <v>4</v>
      </c>
      <c r="BT703" s="4">
        <f t="shared" si="376"/>
        <v>4</v>
      </c>
      <c r="BU703" s="4">
        <f t="shared" si="377"/>
        <v>4</v>
      </c>
      <c r="BV703" s="4">
        <f t="shared" si="378"/>
        <v>0</v>
      </c>
      <c r="BW703" s="4">
        <f t="shared" si="379"/>
        <v>6</v>
      </c>
      <c r="BX703" s="4">
        <f t="shared" si="380"/>
        <v>0</v>
      </c>
      <c r="BY703" s="4">
        <f t="shared" si="381"/>
        <v>0</v>
      </c>
      <c r="BZ703" s="37">
        <f t="shared" si="382"/>
        <v>94</v>
      </c>
      <c r="CA703" s="32" t="str">
        <f>VLOOKUP(J:J,'Agent wise'!A:C,3,0)</f>
        <v>Saran S</v>
      </c>
      <c r="CB703" s="32">
        <f t="shared" si="383"/>
        <v>45943</v>
      </c>
      <c r="CC703" t="str">
        <f t="shared" si="384"/>
        <v>Good</v>
      </c>
      <c r="CE703" s="32"/>
      <c r="CJ703">
        <f t="shared" si="385"/>
        <v>13</v>
      </c>
      <c r="CK703">
        <f t="shared" si="386"/>
        <v>10</v>
      </c>
      <c r="CL703">
        <f t="shared" si="387"/>
        <v>2025</v>
      </c>
    </row>
    <row r="704" spans="1:90" ht="15" customHeight="1" x14ac:dyDescent="0.35">
      <c r="A704" t="s">
        <v>1710</v>
      </c>
      <c r="B704" t="s">
        <v>106</v>
      </c>
      <c r="C704" t="s">
        <v>214</v>
      </c>
      <c r="D704" t="s">
        <v>107</v>
      </c>
      <c r="E704" s="32">
        <v>45943</v>
      </c>
      <c r="F704" t="s">
        <v>54</v>
      </c>
      <c r="G704" t="s">
        <v>1592</v>
      </c>
      <c r="H704">
        <v>9142060375</v>
      </c>
      <c r="I704">
        <v>139</v>
      </c>
      <c r="J704" t="s">
        <v>80</v>
      </c>
      <c r="K704" t="s">
        <v>57</v>
      </c>
      <c r="L704" t="s">
        <v>58</v>
      </c>
      <c r="M704" t="s">
        <v>59</v>
      </c>
      <c r="N704" t="s">
        <v>59</v>
      </c>
      <c r="O704" t="s">
        <v>59</v>
      </c>
      <c r="P704" t="s">
        <v>59</v>
      </c>
      <c r="Q704" t="s">
        <v>59</v>
      </c>
      <c r="R704" t="s">
        <v>59</v>
      </c>
      <c r="S704" t="s">
        <v>59</v>
      </c>
      <c r="T704" t="s">
        <v>59</v>
      </c>
      <c r="U704" t="s">
        <v>60</v>
      </c>
      <c r="V704" t="s">
        <v>59</v>
      </c>
      <c r="W704" t="s">
        <v>59</v>
      </c>
      <c r="X704" t="s">
        <v>61</v>
      </c>
      <c r="Y704" t="s">
        <v>59</v>
      </c>
      <c r="Z704" t="s">
        <v>60</v>
      </c>
      <c r="AA704" t="s">
        <v>59</v>
      </c>
      <c r="AB704" t="s">
        <v>59</v>
      </c>
      <c r="AC704" t="s">
        <v>61</v>
      </c>
      <c r="AD704" t="s">
        <v>59</v>
      </c>
      <c r="AE704" t="s">
        <v>59</v>
      </c>
      <c r="AF704" t="s">
        <v>61</v>
      </c>
      <c r="AG704" t="s">
        <v>59</v>
      </c>
      <c r="AH704" t="s">
        <v>61</v>
      </c>
      <c r="AI704" t="s">
        <v>61</v>
      </c>
      <c r="AJ704" t="s">
        <v>59</v>
      </c>
      <c r="AK704" t="s">
        <v>59</v>
      </c>
      <c r="AL704" t="s">
        <v>60</v>
      </c>
      <c r="AM704" t="s">
        <v>59</v>
      </c>
      <c r="AN704" t="s">
        <v>59</v>
      </c>
      <c r="AO704" t="s">
        <v>59</v>
      </c>
      <c r="AP704" t="s">
        <v>1711</v>
      </c>
      <c r="AQ704" s="1" t="s">
        <v>1712</v>
      </c>
      <c r="AR704" t="s">
        <v>64</v>
      </c>
      <c r="AS704" t="s">
        <v>111</v>
      </c>
      <c r="AT704" t="s">
        <v>377</v>
      </c>
      <c r="AU704" t="s">
        <v>387</v>
      </c>
      <c r="AW704" s="4">
        <f t="shared" si="353"/>
        <v>6</v>
      </c>
      <c r="AX704" s="4">
        <f t="shared" si="354"/>
        <v>4</v>
      </c>
      <c r="AY704" s="4">
        <f t="shared" si="355"/>
        <v>4</v>
      </c>
      <c r="AZ704" s="4">
        <f t="shared" si="356"/>
        <v>2</v>
      </c>
      <c r="BA704" s="4">
        <f t="shared" si="357"/>
        <v>4</v>
      </c>
      <c r="BB704" s="4">
        <f t="shared" si="358"/>
        <v>4</v>
      </c>
      <c r="BC704" s="4">
        <f t="shared" si="359"/>
        <v>4</v>
      </c>
      <c r="BD704" s="4">
        <f t="shared" si="360"/>
        <v>2</v>
      </c>
      <c r="BE704" s="4" t="str">
        <f t="shared" si="361"/>
        <v>0</v>
      </c>
      <c r="BF704" s="4">
        <f t="shared" si="362"/>
        <v>2</v>
      </c>
      <c r="BG704" s="4">
        <f t="shared" si="363"/>
        <v>4</v>
      </c>
      <c r="BH704" s="4">
        <f t="shared" si="364"/>
        <v>4</v>
      </c>
      <c r="BI704" s="4">
        <f t="shared" si="365"/>
        <v>4</v>
      </c>
      <c r="BJ704" s="4" t="str">
        <f t="shared" si="366"/>
        <v>0</v>
      </c>
      <c r="BK704" s="4">
        <f t="shared" si="367"/>
        <v>4</v>
      </c>
      <c r="BL704" s="4">
        <f t="shared" si="368"/>
        <v>2</v>
      </c>
      <c r="BM704" s="4">
        <f t="shared" si="369"/>
        <v>4</v>
      </c>
      <c r="BN704" s="4">
        <f t="shared" si="370"/>
        <v>4</v>
      </c>
      <c r="BO704" s="4">
        <f t="shared" si="371"/>
        <v>4</v>
      </c>
      <c r="BP704" s="4">
        <f t="shared" si="372"/>
        <v>4</v>
      </c>
      <c r="BQ704" s="4">
        <f t="shared" si="373"/>
        <v>6</v>
      </c>
      <c r="BR704" s="4">
        <f t="shared" si="374"/>
        <v>4</v>
      </c>
      <c r="BS704" s="4">
        <f t="shared" si="375"/>
        <v>4</v>
      </c>
      <c r="BT704" s="4">
        <f t="shared" si="376"/>
        <v>4</v>
      </c>
      <c r="BU704" s="4">
        <f t="shared" si="377"/>
        <v>4</v>
      </c>
      <c r="BV704" s="4" t="str">
        <f t="shared" si="378"/>
        <v>0</v>
      </c>
      <c r="BW704" s="4">
        <f t="shared" si="379"/>
        <v>6</v>
      </c>
      <c r="BX704" s="4">
        <f t="shared" si="380"/>
        <v>0</v>
      </c>
      <c r="BY704" s="4">
        <f t="shared" si="381"/>
        <v>0</v>
      </c>
      <c r="BZ704" s="37">
        <f t="shared" si="382"/>
        <v>94</v>
      </c>
      <c r="CA704" s="32" t="str">
        <f>VLOOKUP(J:J,'Agent wise'!A:C,3,0)</f>
        <v>Saran S</v>
      </c>
      <c r="CB704" s="32">
        <f t="shared" si="383"/>
        <v>45943</v>
      </c>
      <c r="CC704" t="str">
        <f t="shared" si="384"/>
        <v>Good</v>
      </c>
      <c r="CE704" s="32"/>
      <c r="CJ704">
        <f t="shared" si="385"/>
        <v>13</v>
      </c>
      <c r="CK704">
        <f t="shared" si="386"/>
        <v>10</v>
      </c>
      <c r="CL704">
        <f t="shared" si="387"/>
        <v>2025</v>
      </c>
    </row>
    <row r="705" spans="1:90" ht="15" customHeight="1" x14ac:dyDescent="0.35">
      <c r="A705" t="s">
        <v>1713</v>
      </c>
      <c r="B705" t="s">
        <v>130</v>
      </c>
      <c r="C705" t="s">
        <v>214</v>
      </c>
      <c r="D705" t="s">
        <v>131</v>
      </c>
      <c r="E705" s="32">
        <v>45942</v>
      </c>
      <c r="F705" t="s">
        <v>54</v>
      </c>
      <c r="G705" s="2">
        <v>46001</v>
      </c>
      <c r="H705">
        <v>9487056596</v>
      </c>
      <c r="I705">
        <v>151</v>
      </c>
      <c r="J705" t="s">
        <v>91</v>
      </c>
      <c r="K705" t="s">
        <v>71</v>
      </c>
      <c r="L705" t="s">
        <v>72</v>
      </c>
      <c r="M705" t="s">
        <v>59</v>
      </c>
      <c r="N705" t="s">
        <v>59</v>
      </c>
      <c r="O705" t="s">
        <v>59</v>
      </c>
      <c r="P705" t="s">
        <v>59</v>
      </c>
      <c r="Q705" t="s">
        <v>59</v>
      </c>
      <c r="R705" t="s">
        <v>59</v>
      </c>
      <c r="S705" t="s">
        <v>59</v>
      </c>
      <c r="T705" t="s">
        <v>59</v>
      </c>
      <c r="U705" t="s">
        <v>60</v>
      </c>
      <c r="V705" t="s">
        <v>59</v>
      </c>
      <c r="W705" t="s">
        <v>59</v>
      </c>
      <c r="X705" t="s">
        <v>59</v>
      </c>
      <c r="Y705" t="s">
        <v>59</v>
      </c>
      <c r="Z705" t="s">
        <v>59</v>
      </c>
      <c r="AA705" t="s">
        <v>59</v>
      </c>
      <c r="AB705" t="s">
        <v>60</v>
      </c>
      <c r="AC705" t="s">
        <v>61</v>
      </c>
      <c r="AD705" t="s">
        <v>59</v>
      </c>
      <c r="AE705" t="s">
        <v>59</v>
      </c>
      <c r="AF705" t="s">
        <v>61</v>
      </c>
      <c r="AG705" t="s">
        <v>59</v>
      </c>
      <c r="AH705" t="s">
        <v>61</v>
      </c>
      <c r="AI705" t="s">
        <v>61</v>
      </c>
      <c r="AJ705" t="s">
        <v>59</v>
      </c>
      <c r="AK705" t="s">
        <v>59</v>
      </c>
      <c r="AL705" t="s">
        <v>60</v>
      </c>
      <c r="AM705" t="s">
        <v>59</v>
      </c>
      <c r="AN705" t="s">
        <v>59</v>
      </c>
      <c r="AO705" t="s">
        <v>59</v>
      </c>
      <c r="AP705" t="s">
        <v>1714</v>
      </c>
      <c r="AQ705" s="1" t="s">
        <v>1715</v>
      </c>
      <c r="AR705" t="s">
        <v>64</v>
      </c>
      <c r="AS705" t="s">
        <v>175</v>
      </c>
      <c r="AT705" t="s">
        <v>1716</v>
      </c>
      <c r="AU705" t="s">
        <v>219</v>
      </c>
      <c r="AW705" s="4">
        <f t="shared" si="353"/>
        <v>6</v>
      </c>
      <c r="AX705" s="4">
        <f t="shared" si="354"/>
        <v>4</v>
      </c>
      <c r="AY705" s="4">
        <f t="shared" si="355"/>
        <v>4</v>
      </c>
      <c r="AZ705" s="4">
        <f t="shared" si="356"/>
        <v>2</v>
      </c>
      <c r="BA705" s="4">
        <f t="shared" si="357"/>
        <v>4</v>
      </c>
      <c r="BB705" s="4">
        <f t="shared" si="358"/>
        <v>4</v>
      </c>
      <c r="BC705" s="4">
        <f t="shared" si="359"/>
        <v>4</v>
      </c>
      <c r="BD705" s="4">
        <f t="shared" si="360"/>
        <v>2</v>
      </c>
      <c r="BE705" s="4" t="str">
        <f t="shared" si="361"/>
        <v>0</v>
      </c>
      <c r="BF705" s="4">
        <f t="shared" si="362"/>
        <v>2</v>
      </c>
      <c r="BG705" s="4">
        <f t="shared" si="363"/>
        <v>4</v>
      </c>
      <c r="BH705" s="4">
        <f t="shared" si="364"/>
        <v>4</v>
      </c>
      <c r="BI705" s="4">
        <f t="shared" si="365"/>
        <v>4</v>
      </c>
      <c r="BJ705" s="4">
        <f t="shared" si="366"/>
        <v>2</v>
      </c>
      <c r="BK705" s="4">
        <f t="shared" si="367"/>
        <v>4</v>
      </c>
      <c r="BL705" s="4" t="str">
        <f t="shared" si="368"/>
        <v>0</v>
      </c>
      <c r="BM705" s="4">
        <f t="shared" si="369"/>
        <v>4</v>
      </c>
      <c r="BN705" s="4">
        <f t="shared" si="370"/>
        <v>4</v>
      </c>
      <c r="BO705" s="4">
        <f t="shared" si="371"/>
        <v>4</v>
      </c>
      <c r="BP705" s="4">
        <f t="shared" si="372"/>
        <v>4</v>
      </c>
      <c r="BQ705" s="4">
        <f t="shared" si="373"/>
        <v>6</v>
      </c>
      <c r="BR705" s="4">
        <f t="shared" si="374"/>
        <v>4</v>
      </c>
      <c r="BS705" s="4">
        <f t="shared" si="375"/>
        <v>4</v>
      </c>
      <c r="BT705" s="4">
        <f t="shared" si="376"/>
        <v>4</v>
      </c>
      <c r="BU705" s="4">
        <f t="shared" si="377"/>
        <v>4</v>
      </c>
      <c r="BV705" s="4" t="str">
        <f t="shared" si="378"/>
        <v>0</v>
      </c>
      <c r="BW705" s="4">
        <f t="shared" si="379"/>
        <v>6</v>
      </c>
      <c r="BX705" s="4">
        <f t="shared" si="380"/>
        <v>0</v>
      </c>
      <c r="BY705" s="4">
        <f t="shared" si="381"/>
        <v>0</v>
      </c>
      <c r="BZ705" s="37">
        <f t="shared" si="382"/>
        <v>94</v>
      </c>
      <c r="CA705" s="32" t="str">
        <f>VLOOKUP(J:J,'Agent wise'!A:C,3,0)</f>
        <v>Saran S</v>
      </c>
      <c r="CB705" s="32">
        <f t="shared" si="383"/>
        <v>45942</v>
      </c>
      <c r="CC705" t="str">
        <f t="shared" si="384"/>
        <v>Good</v>
      </c>
      <c r="CE705" s="32"/>
      <c r="CJ705">
        <f t="shared" si="385"/>
        <v>12</v>
      </c>
      <c r="CK705">
        <f t="shared" si="386"/>
        <v>10</v>
      </c>
      <c r="CL705">
        <f t="shared" si="387"/>
        <v>2025</v>
      </c>
    </row>
    <row r="706" spans="1:90" ht="15" customHeight="1" x14ac:dyDescent="0.35">
      <c r="A706" t="s">
        <v>1717</v>
      </c>
      <c r="B706" t="s">
        <v>130</v>
      </c>
      <c r="C706" t="s">
        <v>214</v>
      </c>
      <c r="D706" t="s">
        <v>131</v>
      </c>
      <c r="E706" s="32">
        <v>45942</v>
      </c>
      <c r="F706" t="s">
        <v>54</v>
      </c>
      <c r="G706" s="2">
        <v>46001</v>
      </c>
      <c r="H706">
        <v>9486611949</v>
      </c>
      <c r="I706">
        <v>140</v>
      </c>
      <c r="J706" t="s">
        <v>657</v>
      </c>
      <c r="K706" t="s">
        <v>71</v>
      </c>
      <c r="L706" t="s">
        <v>72</v>
      </c>
      <c r="M706" t="s">
        <v>59</v>
      </c>
      <c r="N706" t="s">
        <v>59</v>
      </c>
      <c r="O706" t="s">
        <v>59</v>
      </c>
      <c r="P706" t="s">
        <v>59</v>
      </c>
      <c r="Q706" t="s">
        <v>59</v>
      </c>
      <c r="R706" t="s">
        <v>59</v>
      </c>
      <c r="S706" t="s">
        <v>59</v>
      </c>
      <c r="T706" t="s">
        <v>59</v>
      </c>
      <c r="U706" t="s">
        <v>60</v>
      </c>
      <c r="V706" t="s">
        <v>59</v>
      </c>
      <c r="W706" t="s">
        <v>59</v>
      </c>
      <c r="X706" t="s">
        <v>59</v>
      </c>
      <c r="Y706" t="s">
        <v>59</v>
      </c>
      <c r="Z706" t="s">
        <v>59</v>
      </c>
      <c r="AA706" t="s">
        <v>60</v>
      </c>
      <c r="AB706" t="s">
        <v>59</v>
      </c>
      <c r="AC706" t="s">
        <v>60</v>
      </c>
      <c r="AD706" t="s">
        <v>61</v>
      </c>
      <c r="AE706" t="s">
        <v>59</v>
      </c>
      <c r="AF706" t="s">
        <v>61</v>
      </c>
      <c r="AG706" t="s">
        <v>59</v>
      </c>
      <c r="AH706" t="s">
        <v>61</v>
      </c>
      <c r="AI706" t="s">
        <v>61</v>
      </c>
      <c r="AJ706" t="s">
        <v>59</v>
      </c>
      <c r="AK706" t="s">
        <v>59</v>
      </c>
      <c r="AL706" t="s">
        <v>60</v>
      </c>
      <c r="AM706" t="s">
        <v>59</v>
      </c>
      <c r="AN706" t="s">
        <v>59</v>
      </c>
      <c r="AO706" t="s">
        <v>59</v>
      </c>
      <c r="AP706" t="s">
        <v>1718</v>
      </c>
      <c r="AQ706" s="1" t="s">
        <v>1719</v>
      </c>
      <c r="AR706" t="s">
        <v>64</v>
      </c>
      <c r="AS706" t="s">
        <v>152</v>
      </c>
      <c r="AT706" t="s">
        <v>153</v>
      </c>
      <c r="AU706" t="s">
        <v>387</v>
      </c>
      <c r="AW706" s="4">
        <f t="shared" si="353"/>
        <v>6</v>
      </c>
      <c r="AX706" s="4">
        <f t="shared" si="354"/>
        <v>4</v>
      </c>
      <c r="AY706" s="4">
        <f t="shared" si="355"/>
        <v>4</v>
      </c>
      <c r="AZ706" s="4">
        <f t="shared" si="356"/>
        <v>2</v>
      </c>
      <c r="BA706" s="4">
        <f t="shared" si="357"/>
        <v>4</v>
      </c>
      <c r="BB706" s="4">
        <f t="shared" si="358"/>
        <v>4</v>
      </c>
      <c r="BC706" s="4">
        <f t="shared" si="359"/>
        <v>4</v>
      </c>
      <c r="BD706" s="4">
        <f t="shared" si="360"/>
        <v>2</v>
      </c>
      <c r="BE706" s="4" t="str">
        <f t="shared" si="361"/>
        <v>0</v>
      </c>
      <c r="BF706" s="4">
        <f t="shared" si="362"/>
        <v>2</v>
      </c>
      <c r="BG706" s="4">
        <f t="shared" si="363"/>
        <v>4</v>
      </c>
      <c r="BH706" s="4">
        <f t="shared" si="364"/>
        <v>4</v>
      </c>
      <c r="BI706" s="4">
        <f t="shared" si="365"/>
        <v>4</v>
      </c>
      <c r="BJ706" s="4">
        <f t="shared" si="366"/>
        <v>2</v>
      </c>
      <c r="BK706" s="4" t="str">
        <f t="shared" si="367"/>
        <v>0</v>
      </c>
      <c r="BL706" s="4">
        <f t="shared" si="368"/>
        <v>2</v>
      </c>
      <c r="BM706" s="4" t="str">
        <f t="shared" si="369"/>
        <v>0</v>
      </c>
      <c r="BN706" s="4">
        <f t="shared" si="370"/>
        <v>4</v>
      </c>
      <c r="BO706" s="4">
        <f t="shared" si="371"/>
        <v>4</v>
      </c>
      <c r="BP706" s="4">
        <f t="shared" si="372"/>
        <v>4</v>
      </c>
      <c r="BQ706" s="4">
        <f t="shared" si="373"/>
        <v>6</v>
      </c>
      <c r="BR706" s="4">
        <f t="shared" si="374"/>
        <v>4</v>
      </c>
      <c r="BS706" s="4">
        <f t="shared" si="375"/>
        <v>4</v>
      </c>
      <c r="BT706" s="4">
        <f t="shared" si="376"/>
        <v>4</v>
      </c>
      <c r="BU706" s="4">
        <f t="shared" si="377"/>
        <v>4</v>
      </c>
      <c r="BV706" s="4" t="str">
        <f t="shared" si="378"/>
        <v>0</v>
      </c>
      <c r="BW706" s="4">
        <f t="shared" si="379"/>
        <v>6</v>
      </c>
      <c r="BX706" s="4">
        <f t="shared" si="380"/>
        <v>0</v>
      </c>
      <c r="BY706" s="4">
        <f t="shared" si="381"/>
        <v>0</v>
      </c>
      <c r="BZ706" s="37">
        <f t="shared" si="382"/>
        <v>88</v>
      </c>
      <c r="CA706" s="32" t="str">
        <f>VLOOKUP(J:J,'Agent wise'!A:C,3,0)</f>
        <v>Saran S</v>
      </c>
      <c r="CB706" s="32">
        <f t="shared" si="383"/>
        <v>45942</v>
      </c>
      <c r="CC706" t="str">
        <f t="shared" si="384"/>
        <v>Average</v>
      </c>
      <c r="CE706" s="32"/>
      <c r="CJ706">
        <f t="shared" si="385"/>
        <v>12</v>
      </c>
      <c r="CK706">
        <f t="shared" si="386"/>
        <v>10</v>
      </c>
      <c r="CL706">
        <f t="shared" si="387"/>
        <v>2025</v>
      </c>
    </row>
    <row r="707" spans="1:90" ht="15" customHeight="1" x14ac:dyDescent="0.35">
      <c r="A707" t="s">
        <v>1720</v>
      </c>
      <c r="B707" t="s">
        <v>130</v>
      </c>
      <c r="C707" t="s">
        <v>214</v>
      </c>
      <c r="D707" t="s">
        <v>131</v>
      </c>
      <c r="E707" s="32">
        <v>45942</v>
      </c>
      <c r="F707" t="s">
        <v>54</v>
      </c>
      <c r="G707" s="2">
        <v>46001</v>
      </c>
      <c r="H707">
        <v>8547933652</v>
      </c>
      <c r="I707">
        <v>126</v>
      </c>
      <c r="J707" t="s">
        <v>80</v>
      </c>
      <c r="K707" t="s">
        <v>57</v>
      </c>
      <c r="L707" t="s">
        <v>58</v>
      </c>
      <c r="M707" t="s">
        <v>59</v>
      </c>
      <c r="N707" t="s">
        <v>59</v>
      </c>
      <c r="O707" t="s">
        <v>59</v>
      </c>
      <c r="P707" t="s">
        <v>59</v>
      </c>
      <c r="Q707" t="s">
        <v>59</v>
      </c>
      <c r="R707" t="s">
        <v>59</v>
      </c>
      <c r="S707" t="s">
        <v>59</v>
      </c>
      <c r="T707" t="s">
        <v>59</v>
      </c>
      <c r="U707" t="s">
        <v>60</v>
      </c>
      <c r="V707" t="s">
        <v>59</v>
      </c>
      <c r="W707" t="s">
        <v>59</v>
      </c>
      <c r="X707" t="s">
        <v>59</v>
      </c>
      <c r="Y707" t="s">
        <v>59</v>
      </c>
      <c r="Z707" t="s">
        <v>59</v>
      </c>
      <c r="AA707" t="s">
        <v>59</v>
      </c>
      <c r="AB707" t="s">
        <v>60</v>
      </c>
      <c r="AC707" t="s">
        <v>59</v>
      </c>
      <c r="AD707" t="s">
        <v>59</v>
      </c>
      <c r="AE707" t="s">
        <v>59</v>
      </c>
      <c r="AF707" t="s">
        <v>61</v>
      </c>
      <c r="AG707" t="s">
        <v>59</v>
      </c>
      <c r="AH707" t="s">
        <v>61</v>
      </c>
      <c r="AI707" t="s">
        <v>61</v>
      </c>
      <c r="AJ707" t="s">
        <v>59</v>
      </c>
      <c r="AK707" t="s">
        <v>59</v>
      </c>
      <c r="AL707" t="s">
        <v>60</v>
      </c>
      <c r="AM707" t="s">
        <v>59</v>
      </c>
      <c r="AN707" t="s">
        <v>59</v>
      </c>
      <c r="AO707" t="s">
        <v>59</v>
      </c>
      <c r="AP707" t="s">
        <v>987</v>
      </c>
      <c r="AQ707" s="1" t="s">
        <v>1721</v>
      </c>
      <c r="AR707" t="s">
        <v>64</v>
      </c>
      <c r="AS707" t="s">
        <v>171</v>
      </c>
      <c r="AT707" t="s">
        <v>190</v>
      </c>
      <c r="AU707" t="s">
        <v>219</v>
      </c>
      <c r="AW707" s="4">
        <f t="shared" ref="AW707:AW770" si="388">IF(OR(M707="YES", M707="Not Applicable"), AW$1, "0")</f>
        <v>6</v>
      </c>
      <c r="AX707" s="4">
        <f t="shared" ref="AX707:AX770" si="389">IF(OR(N707="YES", N707="Not Applicable"), AX$1, "0")</f>
        <v>4</v>
      </c>
      <c r="AY707" s="4">
        <f t="shared" ref="AY707:AY770" si="390">IF(OR(O707="YES", O707="Not Applicable"), AY$1, "0")</f>
        <v>4</v>
      </c>
      <c r="AZ707" s="4">
        <f t="shared" ref="AZ707:AZ770" si="391">IF(OR(P707="YES", P707="Not Applicable"), AZ$1, "0")</f>
        <v>2</v>
      </c>
      <c r="BA707" s="4">
        <f t="shared" ref="BA707:BA770" si="392">IF(OR(Q707="YES", Q707="Not Applicable"), BA$1, "0")</f>
        <v>4</v>
      </c>
      <c r="BB707" s="4">
        <f t="shared" ref="BB707:BB770" si="393">IF(OR(R707="YES", R707="Not Applicable"), BB$1, "0")</f>
        <v>4</v>
      </c>
      <c r="BC707" s="4">
        <f t="shared" ref="BC707:BC770" si="394">IF(OR(S707="YES", S707="Not Applicable"), BC$1, "0")</f>
        <v>4</v>
      </c>
      <c r="BD707" s="4">
        <f t="shared" ref="BD707:BD770" si="395">IF(OR(T707="YES", T707="Not Applicable"), BD$1, "0")</f>
        <v>2</v>
      </c>
      <c r="BE707" s="4" t="str">
        <f t="shared" ref="BE707:BE770" si="396">IF(OR(U707="YES", U707="Not Applicable"), BE$1, "0")</f>
        <v>0</v>
      </c>
      <c r="BF707" s="4">
        <f t="shared" ref="BF707:BF770" si="397">IF(OR(V707="YES", V707="Not Applicable"), BF$1, "0")</f>
        <v>2</v>
      </c>
      <c r="BG707" s="4">
        <f t="shared" ref="BG707:BG770" si="398">IF(OR(W707="YES", W707="Not Applicable"), BG$1, "0")</f>
        <v>4</v>
      </c>
      <c r="BH707" s="4">
        <f t="shared" ref="BH707:BH770" si="399">IF(OR(X707="YES", X707="Not Applicable"), BH$1, "0")</f>
        <v>4</v>
      </c>
      <c r="BI707" s="4">
        <f t="shared" ref="BI707:BI770" si="400">IF(OR(Y707="YES", Y707="Not Applicable"), BI$1, "0")</f>
        <v>4</v>
      </c>
      <c r="BJ707" s="4">
        <f t="shared" ref="BJ707:BJ770" si="401">IF(OR(Z707="YES", Z707="Not Applicable"), BJ$1, "0")</f>
        <v>2</v>
      </c>
      <c r="BK707" s="4">
        <f t="shared" ref="BK707:BK770" si="402">IF(OR(AA707="YES", AA707="Not Applicable"), BK$1, "0")</f>
        <v>4</v>
      </c>
      <c r="BL707" s="4" t="str">
        <f t="shared" ref="BL707:BL770" si="403">IF(OR(AB707="YES", AB707="Not Applicable"), BL$1, "0")</f>
        <v>0</v>
      </c>
      <c r="BM707" s="4">
        <f t="shared" ref="BM707:BM770" si="404">IF(OR(AC707="YES", AC707="Not Applicable"), BM$1, "0")</f>
        <v>4</v>
      </c>
      <c r="BN707" s="4">
        <f t="shared" ref="BN707:BN770" si="405">IF(OR(AD707="YES", AD707="Not Applicable"), BN$1, "0")</f>
        <v>4</v>
      </c>
      <c r="BO707" s="4">
        <f t="shared" ref="BO707:BO770" si="406">IF(OR(AE707="YES", AE707="Not Applicable"), BO$1, "0")</f>
        <v>4</v>
      </c>
      <c r="BP707" s="4">
        <f t="shared" ref="BP707:BP770" si="407">IF(OR(AF707="YES", AF707="Not Applicable"), BP$1, "0")</f>
        <v>4</v>
      </c>
      <c r="BQ707" s="4">
        <f t="shared" ref="BQ707:BQ770" si="408">IF(OR(AG707="YES", AG707="Not Applicable"), BQ$1, "0")</f>
        <v>6</v>
      </c>
      <c r="BR707" s="4">
        <f t="shared" ref="BR707:BR770" si="409">IF(OR(AH707="YES", AH707="Not Applicable"), BR$1, "0")</f>
        <v>4</v>
      </c>
      <c r="BS707" s="4">
        <f t="shared" ref="BS707:BS770" si="410">IF(OR(AI707="YES", AI707="Not Applicable"), BS$1, "0")</f>
        <v>4</v>
      </c>
      <c r="BT707" s="4">
        <f t="shared" ref="BT707:BT770" si="411">IF(OR(AJ707="YES", AJ707="Not Applicable"), BT$1, "0")</f>
        <v>4</v>
      </c>
      <c r="BU707" s="4">
        <f t="shared" ref="BU707:BU770" si="412">IF(OR(AK707="YES", AK707="Not Applicable"), BU$1, "0")</f>
        <v>4</v>
      </c>
      <c r="BV707" s="4" t="str">
        <f t="shared" ref="BV707:BV770" si="413">IF(OR(AL707="YES", AL707="Not Applicable"), BV$1, "0")</f>
        <v>0</v>
      </c>
      <c r="BW707" s="4">
        <f t="shared" ref="BW707:BW770" si="414">IF(OR(AM707="YES", AM707="Not Applicable"), BW$1, "0")</f>
        <v>6</v>
      </c>
      <c r="BX707" s="4">
        <f t="shared" ref="BX707:BX770" si="415">IF(OR(AN707="YES", AN707="Not Applicable"), BX$1, "0")</f>
        <v>0</v>
      </c>
      <c r="BY707" s="4">
        <f t="shared" ref="BY707:BY770" si="416">IF(OR(AO707="YES", AO707="Not Applicable"), BY$1, "0")</f>
        <v>0</v>
      </c>
      <c r="BZ707" s="37">
        <f t="shared" ref="BZ707:BZ770" si="417">SUM(AW707:BY707)</f>
        <v>94</v>
      </c>
      <c r="CA707" s="32" t="str">
        <f>VLOOKUP(J:J,'Agent wise'!A:C,3,0)</f>
        <v>Saran S</v>
      </c>
      <c r="CB707" s="32">
        <f t="shared" ref="CB707:CB770" si="418">INT(E707)</f>
        <v>45942</v>
      </c>
      <c r="CC707" t="str">
        <f t="shared" ref="CC707:CC770" si="419">IF(BZ707&gt;=94.5, "Excellent", IF(BZ707&gt;89.5, "Good", IF(BZ707&gt;84.5, "Average", "FC")))</f>
        <v>Good</v>
      </c>
      <c r="CE707" s="32"/>
      <c r="CJ707">
        <f t="shared" si="385"/>
        <v>12</v>
      </c>
      <c r="CK707">
        <f t="shared" si="386"/>
        <v>10</v>
      </c>
      <c r="CL707">
        <f t="shared" si="387"/>
        <v>2025</v>
      </c>
    </row>
    <row r="708" spans="1:90" ht="15" customHeight="1" x14ac:dyDescent="0.35">
      <c r="A708" t="s">
        <v>1722</v>
      </c>
      <c r="B708" t="s">
        <v>130</v>
      </c>
      <c r="C708" t="s">
        <v>214</v>
      </c>
      <c r="D708" t="s">
        <v>131</v>
      </c>
      <c r="E708" s="32">
        <v>45942</v>
      </c>
      <c r="F708" t="s">
        <v>54</v>
      </c>
      <c r="G708" s="2">
        <v>46001</v>
      </c>
      <c r="H708">
        <v>9747524456</v>
      </c>
      <c r="I708">
        <v>145</v>
      </c>
      <c r="J708" t="s">
        <v>117</v>
      </c>
      <c r="K708" t="s">
        <v>57</v>
      </c>
      <c r="L708" t="s">
        <v>58</v>
      </c>
      <c r="M708" t="s">
        <v>59</v>
      </c>
      <c r="N708" t="s">
        <v>59</v>
      </c>
      <c r="O708" t="s">
        <v>59</v>
      </c>
      <c r="P708" t="s">
        <v>59</v>
      </c>
      <c r="Q708" t="s">
        <v>59</v>
      </c>
      <c r="R708" t="s">
        <v>59</v>
      </c>
      <c r="S708" t="s">
        <v>59</v>
      </c>
      <c r="T708" t="s">
        <v>59</v>
      </c>
      <c r="U708" t="s">
        <v>60</v>
      </c>
      <c r="V708" t="s">
        <v>59</v>
      </c>
      <c r="W708" t="s">
        <v>59</v>
      </c>
      <c r="X708" t="s">
        <v>59</v>
      </c>
      <c r="Y708" t="s">
        <v>59</v>
      </c>
      <c r="Z708" t="s">
        <v>59</v>
      </c>
      <c r="AA708" t="s">
        <v>59</v>
      </c>
      <c r="AB708" t="s">
        <v>60</v>
      </c>
      <c r="AC708" t="s">
        <v>59</v>
      </c>
      <c r="AD708" t="s">
        <v>59</v>
      </c>
      <c r="AE708" t="s">
        <v>59</v>
      </c>
      <c r="AF708" t="s">
        <v>61</v>
      </c>
      <c r="AG708" t="s">
        <v>59</v>
      </c>
      <c r="AH708" t="s">
        <v>61</v>
      </c>
      <c r="AI708" t="s">
        <v>61</v>
      </c>
      <c r="AJ708" t="s">
        <v>59</v>
      </c>
      <c r="AK708" t="s">
        <v>59</v>
      </c>
      <c r="AL708" t="s">
        <v>60</v>
      </c>
      <c r="AM708" t="s">
        <v>59</v>
      </c>
      <c r="AN708" t="s">
        <v>59</v>
      </c>
      <c r="AO708" t="s">
        <v>59</v>
      </c>
      <c r="AP708" t="s">
        <v>1109</v>
      </c>
      <c r="AQ708" s="1" t="s">
        <v>1723</v>
      </c>
      <c r="AR708" t="s">
        <v>64</v>
      </c>
      <c r="AS708" t="s">
        <v>152</v>
      </c>
      <c r="AT708" t="s">
        <v>186</v>
      </c>
      <c r="AU708" t="s">
        <v>219</v>
      </c>
      <c r="AW708" s="4">
        <f t="shared" si="388"/>
        <v>6</v>
      </c>
      <c r="AX708" s="4">
        <f t="shared" si="389"/>
        <v>4</v>
      </c>
      <c r="AY708" s="4">
        <f t="shared" si="390"/>
        <v>4</v>
      </c>
      <c r="AZ708" s="4">
        <f t="shared" si="391"/>
        <v>2</v>
      </c>
      <c r="BA708" s="4">
        <f t="shared" si="392"/>
        <v>4</v>
      </c>
      <c r="BB708" s="4">
        <f t="shared" si="393"/>
        <v>4</v>
      </c>
      <c r="BC708" s="4">
        <f t="shared" si="394"/>
        <v>4</v>
      </c>
      <c r="BD708" s="4">
        <f t="shared" si="395"/>
        <v>2</v>
      </c>
      <c r="BE708" s="4" t="str">
        <f t="shared" si="396"/>
        <v>0</v>
      </c>
      <c r="BF708" s="4">
        <f t="shared" si="397"/>
        <v>2</v>
      </c>
      <c r="BG708" s="4">
        <f t="shared" si="398"/>
        <v>4</v>
      </c>
      <c r="BH708" s="4">
        <f t="shared" si="399"/>
        <v>4</v>
      </c>
      <c r="BI708" s="4">
        <f t="shared" si="400"/>
        <v>4</v>
      </c>
      <c r="BJ708" s="4">
        <f t="shared" si="401"/>
        <v>2</v>
      </c>
      <c r="BK708" s="4">
        <f t="shared" si="402"/>
        <v>4</v>
      </c>
      <c r="BL708" s="4" t="str">
        <f t="shared" si="403"/>
        <v>0</v>
      </c>
      <c r="BM708" s="4">
        <f t="shared" si="404"/>
        <v>4</v>
      </c>
      <c r="BN708" s="4">
        <f t="shared" si="405"/>
        <v>4</v>
      </c>
      <c r="BO708" s="4">
        <f t="shared" si="406"/>
        <v>4</v>
      </c>
      <c r="BP708" s="4">
        <f t="shared" si="407"/>
        <v>4</v>
      </c>
      <c r="BQ708" s="4">
        <f t="shared" si="408"/>
        <v>6</v>
      </c>
      <c r="BR708" s="4">
        <f t="shared" si="409"/>
        <v>4</v>
      </c>
      <c r="BS708" s="4">
        <f t="shared" si="410"/>
        <v>4</v>
      </c>
      <c r="BT708" s="4">
        <f t="shared" si="411"/>
        <v>4</v>
      </c>
      <c r="BU708" s="4">
        <f t="shared" si="412"/>
        <v>4</v>
      </c>
      <c r="BV708" s="4" t="str">
        <f t="shared" si="413"/>
        <v>0</v>
      </c>
      <c r="BW708" s="4">
        <f t="shared" si="414"/>
        <v>6</v>
      </c>
      <c r="BX708" s="4">
        <f t="shared" si="415"/>
        <v>0</v>
      </c>
      <c r="BY708" s="4">
        <f t="shared" si="416"/>
        <v>0</v>
      </c>
      <c r="BZ708" s="37">
        <f t="shared" si="417"/>
        <v>94</v>
      </c>
      <c r="CA708" s="32" t="str">
        <f>VLOOKUP(J:J,'Agent wise'!A:C,3,0)</f>
        <v>Saran S</v>
      </c>
      <c r="CB708" s="32">
        <f t="shared" si="418"/>
        <v>45942</v>
      </c>
      <c r="CC708" t="str">
        <f t="shared" si="419"/>
        <v>Good</v>
      </c>
      <c r="CE708" s="32"/>
      <c r="CJ708">
        <f t="shared" ref="CJ708:CJ771" si="420">DAY(E708)</f>
        <v>12</v>
      </c>
      <c r="CK708">
        <f t="shared" ref="CK708:CK771" si="421">MONTH(E708)</f>
        <v>10</v>
      </c>
      <c r="CL708">
        <f t="shared" ref="CL708:CL771" si="422">YEAR(E708)</f>
        <v>2025</v>
      </c>
    </row>
    <row r="709" spans="1:90" ht="15" customHeight="1" x14ac:dyDescent="0.35">
      <c r="A709" t="s">
        <v>1724</v>
      </c>
      <c r="B709" t="s">
        <v>130</v>
      </c>
      <c r="C709" t="s">
        <v>214</v>
      </c>
      <c r="D709" t="s">
        <v>131</v>
      </c>
      <c r="E709" s="32">
        <v>45942</v>
      </c>
      <c r="F709" t="s">
        <v>54</v>
      </c>
      <c r="G709" s="2">
        <v>46001</v>
      </c>
      <c r="H709">
        <v>9188718814</v>
      </c>
      <c r="I709">
        <v>128</v>
      </c>
      <c r="J709" t="s">
        <v>370</v>
      </c>
      <c r="K709" t="s">
        <v>57</v>
      </c>
      <c r="L709" t="s">
        <v>58</v>
      </c>
      <c r="M709" t="s">
        <v>59</v>
      </c>
      <c r="N709" t="s">
        <v>59</v>
      </c>
      <c r="O709" t="s">
        <v>59</v>
      </c>
      <c r="P709" t="s">
        <v>59</v>
      </c>
      <c r="Q709" t="s">
        <v>59</v>
      </c>
      <c r="R709" t="s">
        <v>59</v>
      </c>
      <c r="S709" t="s">
        <v>59</v>
      </c>
      <c r="T709" t="s">
        <v>59</v>
      </c>
      <c r="U709" t="s">
        <v>60</v>
      </c>
      <c r="V709" t="s">
        <v>59</v>
      </c>
      <c r="W709" t="s">
        <v>59</v>
      </c>
      <c r="X709" t="s">
        <v>59</v>
      </c>
      <c r="Y709" t="s">
        <v>59</v>
      </c>
      <c r="Z709" t="s">
        <v>59</v>
      </c>
      <c r="AA709" t="s">
        <v>60</v>
      </c>
      <c r="AB709" t="s">
        <v>61</v>
      </c>
      <c r="AC709" t="s">
        <v>59</v>
      </c>
      <c r="AD709" t="s">
        <v>59</v>
      </c>
      <c r="AE709" t="s">
        <v>59</v>
      </c>
      <c r="AF709" t="s">
        <v>61</v>
      </c>
      <c r="AG709" t="s">
        <v>59</v>
      </c>
      <c r="AH709" t="s">
        <v>61</v>
      </c>
      <c r="AI709" t="s">
        <v>61</v>
      </c>
      <c r="AJ709" t="s">
        <v>59</v>
      </c>
      <c r="AK709" t="s">
        <v>59</v>
      </c>
      <c r="AL709" t="s">
        <v>60</v>
      </c>
      <c r="AM709" t="s">
        <v>59</v>
      </c>
      <c r="AN709" t="s">
        <v>59</v>
      </c>
      <c r="AO709" t="s">
        <v>59</v>
      </c>
      <c r="AP709" t="s">
        <v>1725</v>
      </c>
      <c r="AQ709" s="1" t="s">
        <v>1726</v>
      </c>
      <c r="AR709" t="s">
        <v>64</v>
      </c>
      <c r="AS709" t="s">
        <v>171</v>
      </c>
      <c r="AT709" t="s">
        <v>172</v>
      </c>
      <c r="AU709" t="s">
        <v>219</v>
      </c>
      <c r="AW709" s="4">
        <f t="shared" si="388"/>
        <v>6</v>
      </c>
      <c r="AX709" s="4">
        <f t="shared" si="389"/>
        <v>4</v>
      </c>
      <c r="AY709" s="4">
        <f t="shared" si="390"/>
        <v>4</v>
      </c>
      <c r="AZ709" s="4">
        <f t="shared" si="391"/>
        <v>2</v>
      </c>
      <c r="BA709" s="4">
        <f t="shared" si="392"/>
        <v>4</v>
      </c>
      <c r="BB709" s="4">
        <f t="shared" si="393"/>
        <v>4</v>
      </c>
      <c r="BC709" s="4">
        <f t="shared" si="394"/>
        <v>4</v>
      </c>
      <c r="BD709" s="4">
        <f t="shared" si="395"/>
        <v>2</v>
      </c>
      <c r="BE709" s="4" t="str">
        <f t="shared" si="396"/>
        <v>0</v>
      </c>
      <c r="BF709" s="4">
        <f t="shared" si="397"/>
        <v>2</v>
      </c>
      <c r="BG709" s="4">
        <f t="shared" si="398"/>
        <v>4</v>
      </c>
      <c r="BH709" s="4">
        <f t="shared" si="399"/>
        <v>4</v>
      </c>
      <c r="BI709" s="4">
        <f t="shared" si="400"/>
        <v>4</v>
      </c>
      <c r="BJ709" s="4">
        <f t="shared" si="401"/>
        <v>2</v>
      </c>
      <c r="BK709" s="4" t="str">
        <f t="shared" si="402"/>
        <v>0</v>
      </c>
      <c r="BL709" s="4">
        <f t="shared" si="403"/>
        <v>2</v>
      </c>
      <c r="BM709" s="4">
        <f t="shared" si="404"/>
        <v>4</v>
      </c>
      <c r="BN709" s="4">
        <f t="shared" si="405"/>
        <v>4</v>
      </c>
      <c r="BO709" s="4">
        <f t="shared" si="406"/>
        <v>4</v>
      </c>
      <c r="BP709" s="4">
        <f t="shared" si="407"/>
        <v>4</v>
      </c>
      <c r="BQ709" s="4">
        <f t="shared" si="408"/>
        <v>6</v>
      </c>
      <c r="BR709" s="4">
        <f t="shared" si="409"/>
        <v>4</v>
      </c>
      <c r="BS709" s="4">
        <f t="shared" si="410"/>
        <v>4</v>
      </c>
      <c r="BT709" s="4">
        <f t="shared" si="411"/>
        <v>4</v>
      </c>
      <c r="BU709" s="4">
        <f t="shared" si="412"/>
        <v>4</v>
      </c>
      <c r="BV709" s="4" t="str">
        <f t="shared" si="413"/>
        <v>0</v>
      </c>
      <c r="BW709" s="4">
        <f t="shared" si="414"/>
        <v>6</v>
      </c>
      <c r="BX709" s="4">
        <f t="shared" si="415"/>
        <v>0</v>
      </c>
      <c r="BY709" s="4">
        <f t="shared" si="416"/>
        <v>0</v>
      </c>
      <c r="BZ709" s="37">
        <f t="shared" si="417"/>
        <v>92</v>
      </c>
      <c r="CA709" s="32" t="str">
        <f>VLOOKUP(J:J,'Agent wise'!A:C,3,0)</f>
        <v>Saran S</v>
      </c>
      <c r="CB709" s="32">
        <f t="shared" si="418"/>
        <v>45942</v>
      </c>
      <c r="CC709" t="str">
        <f t="shared" si="419"/>
        <v>Good</v>
      </c>
      <c r="CE709" s="32"/>
      <c r="CJ709">
        <f t="shared" si="420"/>
        <v>12</v>
      </c>
      <c r="CK709">
        <f t="shared" si="421"/>
        <v>10</v>
      </c>
      <c r="CL709">
        <f t="shared" si="422"/>
        <v>2025</v>
      </c>
    </row>
    <row r="710" spans="1:90" ht="15" customHeight="1" x14ac:dyDescent="0.35">
      <c r="A710" t="s">
        <v>1727</v>
      </c>
      <c r="B710" t="s">
        <v>130</v>
      </c>
      <c r="C710" t="s">
        <v>214</v>
      </c>
      <c r="D710" t="s">
        <v>131</v>
      </c>
      <c r="E710" s="32">
        <v>45943</v>
      </c>
      <c r="F710" t="s">
        <v>54</v>
      </c>
      <c r="G710" t="s">
        <v>1592</v>
      </c>
      <c r="H710">
        <v>9447669043</v>
      </c>
      <c r="I710">
        <v>136</v>
      </c>
      <c r="J710" t="s">
        <v>326</v>
      </c>
      <c r="K710" t="s">
        <v>57</v>
      </c>
      <c r="L710" t="s">
        <v>58</v>
      </c>
      <c r="M710" t="s">
        <v>59</v>
      </c>
      <c r="N710" t="s">
        <v>59</v>
      </c>
      <c r="O710" t="s">
        <v>59</v>
      </c>
      <c r="P710" t="s">
        <v>59</v>
      </c>
      <c r="Q710" t="s">
        <v>59</v>
      </c>
      <c r="R710" t="s">
        <v>59</v>
      </c>
      <c r="S710" t="s">
        <v>59</v>
      </c>
      <c r="T710" t="s">
        <v>59</v>
      </c>
      <c r="U710" t="s">
        <v>60</v>
      </c>
      <c r="V710" t="s">
        <v>59</v>
      </c>
      <c r="W710" t="s">
        <v>59</v>
      </c>
      <c r="X710" t="s">
        <v>59</v>
      </c>
      <c r="Y710" t="s">
        <v>59</v>
      </c>
      <c r="Z710" t="s">
        <v>60</v>
      </c>
      <c r="AA710" t="s">
        <v>60</v>
      </c>
      <c r="AB710" t="s">
        <v>59</v>
      </c>
      <c r="AC710" t="s">
        <v>61</v>
      </c>
      <c r="AD710" t="s">
        <v>59</v>
      </c>
      <c r="AE710" t="s">
        <v>59</v>
      </c>
      <c r="AF710" t="s">
        <v>61</v>
      </c>
      <c r="AG710" t="s">
        <v>59</v>
      </c>
      <c r="AH710" t="s">
        <v>61</v>
      </c>
      <c r="AI710" t="s">
        <v>61</v>
      </c>
      <c r="AJ710" t="s">
        <v>59</v>
      </c>
      <c r="AK710" t="s">
        <v>59</v>
      </c>
      <c r="AL710" t="s">
        <v>60</v>
      </c>
      <c r="AM710" t="s">
        <v>59</v>
      </c>
      <c r="AN710" t="s">
        <v>59</v>
      </c>
      <c r="AO710" t="s">
        <v>59</v>
      </c>
      <c r="AP710" t="s">
        <v>1728</v>
      </c>
      <c r="AQ710" s="1" t="s">
        <v>1729</v>
      </c>
      <c r="AR710" t="s">
        <v>64</v>
      </c>
      <c r="AS710" t="s">
        <v>171</v>
      </c>
      <c r="AT710" t="s">
        <v>172</v>
      </c>
      <c r="AU710" t="s">
        <v>219</v>
      </c>
      <c r="AW710" s="4">
        <f t="shared" si="388"/>
        <v>6</v>
      </c>
      <c r="AX710" s="4">
        <f t="shared" si="389"/>
        <v>4</v>
      </c>
      <c r="AY710" s="4">
        <f t="shared" si="390"/>
        <v>4</v>
      </c>
      <c r="AZ710" s="4">
        <f t="shared" si="391"/>
        <v>2</v>
      </c>
      <c r="BA710" s="4">
        <f t="shared" si="392"/>
        <v>4</v>
      </c>
      <c r="BB710" s="4">
        <f t="shared" si="393"/>
        <v>4</v>
      </c>
      <c r="BC710" s="4">
        <f t="shared" si="394"/>
        <v>4</v>
      </c>
      <c r="BD710" s="4">
        <f t="shared" si="395"/>
        <v>2</v>
      </c>
      <c r="BE710" s="4" t="str">
        <f t="shared" si="396"/>
        <v>0</v>
      </c>
      <c r="BF710" s="4">
        <f t="shared" si="397"/>
        <v>2</v>
      </c>
      <c r="BG710" s="4">
        <f t="shared" si="398"/>
        <v>4</v>
      </c>
      <c r="BH710" s="4">
        <f t="shared" si="399"/>
        <v>4</v>
      </c>
      <c r="BI710" s="4">
        <f t="shared" si="400"/>
        <v>4</v>
      </c>
      <c r="BJ710" s="4" t="str">
        <f t="shared" si="401"/>
        <v>0</v>
      </c>
      <c r="BK710" s="4" t="str">
        <f t="shared" si="402"/>
        <v>0</v>
      </c>
      <c r="BL710" s="4">
        <f t="shared" si="403"/>
        <v>2</v>
      </c>
      <c r="BM710" s="4">
        <f t="shared" si="404"/>
        <v>4</v>
      </c>
      <c r="BN710" s="4">
        <f t="shared" si="405"/>
        <v>4</v>
      </c>
      <c r="BO710" s="4">
        <f t="shared" si="406"/>
        <v>4</v>
      </c>
      <c r="BP710" s="4">
        <f t="shared" si="407"/>
        <v>4</v>
      </c>
      <c r="BQ710" s="4">
        <f t="shared" si="408"/>
        <v>6</v>
      </c>
      <c r="BR710" s="4">
        <f t="shared" si="409"/>
        <v>4</v>
      </c>
      <c r="BS710" s="4">
        <f t="shared" si="410"/>
        <v>4</v>
      </c>
      <c r="BT710" s="4">
        <f t="shared" si="411"/>
        <v>4</v>
      </c>
      <c r="BU710" s="4">
        <f t="shared" si="412"/>
        <v>4</v>
      </c>
      <c r="BV710" s="4" t="str">
        <f t="shared" si="413"/>
        <v>0</v>
      </c>
      <c r="BW710" s="4">
        <f t="shared" si="414"/>
        <v>6</v>
      </c>
      <c r="BX710" s="4">
        <f t="shared" si="415"/>
        <v>0</v>
      </c>
      <c r="BY710" s="4">
        <f t="shared" si="416"/>
        <v>0</v>
      </c>
      <c r="BZ710" s="37">
        <f t="shared" si="417"/>
        <v>90</v>
      </c>
      <c r="CA710" s="32" t="str">
        <f>VLOOKUP(J:J,'Agent wise'!A:C,3,0)</f>
        <v>Saran S</v>
      </c>
      <c r="CB710" s="32">
        <f t="shared" si="418"/>
        <v>45943</v>
      </c>
      <c r="CC710" t="str">
        <f t="shared" si="419"/>
        <v>Good</v>
      </c>
      <c r="CE710" s="32"/>
      <c r="CJ710">
        <f t="shared" si="420"/>
        <v>13</v>
      </c>
      <c r="CK710">
        <f t="shared" si="421"/>
        <v>10</v>
      </c>
      <c r="CL710">
        <f t="shared" si="422"/>
        <v>2025</v>
      </c>
    </row>
    <row r="711" spans="1:90" ht="15" customHeight="1" x14ac:dyDescent="0.35">
      <c r="A711" t="s">
        <v>1730</v>
      </c>
      <c r="B711" t="s">
        <v>106</v>
      </c>
      <c r="C711" t="s">
        <v>214</v>
      </c>
      <c r="D711" t="s">
        <v>107</v>
      </c>
      <c r="E711" s="32">
        <v>45943</v>
      </c>
      <c r="F711" t="s">
        <v>54</v>
      </c>
      <c r="G711" t="s">
        <v>1592</v>
      </c>
      <c r="H711">
        <v>8078884379</v>
      </c>
      <c r="I711">
        <v>187</v>
      </c>
      <c r="J711" t="s">
        <v>546</v>
      </c>
      <c r="K711" t="s">
        <v>57</v>
      </c>
      <c r="L711" t="s">
        <v>58</v>
      </c>
      <c r="M711" t="s">
        <v>59</v>
      </c>
      <c r="N711" t="s">
        <v>59</v>
      </c>
      <c r="O711" t="s">
        <v>59</v>
      </c>
      <c r="P711" t="s">
        <v>59</v>
      </c>
      <c r="Q711" t="s">
        <v>59</v>
      </c>
      <c r="R711" t="s">
        <v>59</v>
      </c>
      <c r="S711" t="s">
        <v>59</v>
      </c>
      <c r="T711" t="s">
        <v>59</v>
      </c>
      <c r="U711" t="s">
        <v>60</v>
      </c>
      <c r="V711" t="s">
        <v>59</v>
      </c>
      <c r="W711" t="s">
        <v>59</v>
      </c>
      <c r="X711" t="s">
        <v>61</v>
      </c>
      <c r="Y711" t="s">
        <v>59</v>
      </c>
      <c r="Z711" t="s">
        <v>60</v>
      </c>
      <c r="AA711" t="s">
        <v>59</v>
      </c>
      <c r="AB711" t="s">
        <v>59</v>
      </c>
      <c r="AC711" t="s">
        <v>60</v>
      </c>
      <c r="AD711" t="s">
        <v>61</v>
      </c>
      <c r="AE711" t="s">
        <v>59</v>
      </c>
      <c r="AF711" t="s">
        <v>61</v>
      </c>
      <c r="AG711" t="s">
        <v>59</v>
      </c>
      <c r="AH711" t="s">
        <v>61</v>
      </c>
      <c r="AI711" t="s">
        <v>59</v>
      </c>
      <c r="AJ711" t="s">
        <v>59</v>
      </c>
      <c r="AK711" t="s">
        <v>59</v>
      </c>
      <c r="AL711" t="s">
        <v>60</v>
      </c>
      <c r="AM711" t="s">
        <v>59</v>
      </c>
      <c r="AN711" t="s">
        <v>59</v>
      </c>
      <c r="AO711" t="s">
        <v>59</v>
      </c>
      <c r="AP711" t="s">
        <v>383</v>
      </c>
      <c r="AQ711" t="s">
        <v>1731</v>
      </c>
      <c r="AR711" t="s">
        <v>64</v>
      </c>
      <c r="AS711" t="s">
        <v>122</v>
      </c>
      <c r="AT711" t="s">
        <v>772</v>
      </c>
      <c r="AU711" t="s">
        <v>387</v>
      </c>
      <c r="AW711" s="4">
        <f t="shared" si="388"/>
        <v>6</v>
      </c>
      <c r="AX711" s="4">
        <f t="shared" si="389"/>
        <v>4</v>
      </c>
      <c r="AY711" s="4">
        <f t="shared" si="390"/>
        <v>4</v>
      </c>
      <c r="AZ711" s="4">
        <f t="shared" si="391"/>
        <v>2</v>
      </c>
      <c r="BA711" s="4">
        <f t="shared" si="392"/>
        <v>4</v>
      </c>
      <c r="BB711" s="4">
        <f t="shared" si="393"/>
        <v>4</v>
      </c>
      <c r="BC711" s="4">
        <f t="shared" si="394"/>
        <v>4</v>
      </c>
      <c r="BD711" s="4">
        <f t="shared" si="395"/>
        <v>2</v>
      </c>
      <c r="BE711" s="4" t="str">
        <f t="shared" si="396"/>
        <v>0</v>
      </c>
      <c r="BF711" s="4">
        <f t="shared" si="397"/>
        <v>2</v>
      </c>
      <c r="BG711" s="4">
        <f t="shared" si="398"/>
        <v>4</v>
      </c>
      <c r="BH711" s="4">
        <f t="shared" si="399"/>
        <v>4</v>
      </c>
      <c r="BI711" s="4">
        <f t="shared" si="400"/>
        <v>4</v>
      </c>
      <c r="BJ711" s="4" t="str">
        <f t="shared" si="401"/>
        <v>0</v>
      </c>
      <c r="BK711" s="4">
        <f t="shared" si="402"/>
        <v>4</v>
      </c>
      <c r="BL711" s="4">
        <f t="shared" si="403"/>
        <v>2</v>
      </c>
      <c r="BM711" s="4" t="str">
        <f t="shared" si="404"/>
        <v>0</v>
      </c>
      <c r="BN711" s="4">
        <f t="shared" si="405"/>
        <v>4</v>
      </c>
      <c r="BO711" s="4">
        <f t="shared" si="406"/>
        <v>4</v>
      </c>
      <c r="BP711" s="4">
        <f t="shared" si="407"/>
        <v>4</v>
      </c>
      <c r="BQ711" s="4">
        <f t="shared" si="408"/>
        <v>6</v>
      </c>
      <c r="BR711" s="4">
        <f t="shared" si="409"/>
        <v>4</v>
      </c>
      <c r="BS711" s="4">
        <f t="shared" si="410"/>
        <v>4</v>
      </c>
      <c r="BT711" s="4">
        <f t="shared" si="411"/>
        <v>4</v>
      </c>
      <c r="BU711" s="4">
        <f t="shared" si="412"/>
        <v>4</v>
      </c>
      <c r="BV711" s="4" t="str">
        <f t="shared" si="413"/>
        <v>0</v>
      </c>
      <c r="BW711" s="4">
        <f t="shared" si="414"/>
        <v>6</v>
      </c>
      <c r="BX711" s="4">
        <f t="shared" si="415"/>
        <v>0</v>
      </c>
      <c r="BY711" s="4">
        <f t="shared" si="416"/>
        <v>0</v>
      </c>
      <c r="BZ711" s="37">
        <f t="shared" si="417"/>
        <v>90</v>
      </c>
      <c r="CA711" s="32" t="str">
        <f>VLOOKUP(J:J,'Agent wise'!A:C,3,0)</f>
        <v>Shakeer</v>
      </c>
      <c r="CB711" s="32">
        <f t="shared" si="418"/>
        <v>45943</v>
      </c>
      <c r="CC711" t="str">
        <f t="shared" si="419"/>
        <v>Good</v>
      </c>
      <c r="CE711" s="32"/>
      <c r="CJ711">
        <f t="shared" si="420"/>
        <v>13</v>
      </c>
      <c r="CK711">
        <f t="shared" si="421"/>
        <v>10</v>
      </c>
      <c r="CL711">
        <f t="shared" si="422"/>
        <v>2025</v>
      </c>
    </row>
    <row r="712" spans="1:90" ht="15" customHeight="1" x14ac:dyDescent="0.35">
      <c r="A712" t="s">
        <v>1732</v>
      </c>
      <c r="B712" t="s">
        <v>130</v>
      </c>
      <c r="C712" t="s">
        <v>214</v>
      </c>
      <c r="D712" t="s">
        <v>131</v>
      </c>
      <c r="E712" s="32">
        <v>45943</v>
      </c>
      <c r="F712" t="s">
        <v>54</v>
      </c>
      <c r="G712" t="s">
        <v>1592</v>
      </c>
      <c r="H712">
        <v>9487611129</v>
      </c>
      <c r="I712">
        <v>136</v>
      </c>
      <c r="J712" t="s">
        <v>191</v>
      </c>
      <c r="K712" t="s">
        <v>71</v>
      </c>
      <c r="L712" t="s">
        <v>72</v>
      </c>
      <c r="M712" t="s">
        <v>59</v>
      </c>
      <c r="N712" t="s">
        <v>59</v>
      </c>
      <c r="O712" t="s">
        <v>59</v>
      </c>
      <c r="P712" t="s">
        <v>59</v>
      </c>
      <c r="Q712" t="s">
        <v>59</v>
      </c>
      <c r="R712" t="s">
        <v>59</v>
      </c>
      <c r="S712" t="s">
        <v>59</v>
      </c>
      <c r="T712" t="s">
        <v>59</v>
      </c>
      <c r="U712" t="s">
        <v>60</v>
      </c>
      <c r="V712" t="s">
        <v>59</v>
      </c>
      <c r="W712" t="s">
        <v>59</v>
      </c>
      <c r="X712" t="s">
        <v>59</v>
      </c>
      <c r="Y712" t="s">
        <v>59</v>
      </c>
      <c r="Z712" t="s">
        <v>59</v>
      </c>
      <c r="AA712" t="s">
        <v>60</v>
      </c>
      <c r="AB712" t="s">
        <v>60</v>
      </c>
      <c r="AC712" t="s">
        <v>60</v>
      </c>
      <c r="AD712" t="s">
        <v>59</v>
      </c>
      <c r="AE712" t="s">
        <v>59</v>
      </c>
      <c r="AF712" t="s">
        <v>61</v>
      </c>
      <c r="AG712" t="s">
        <v>60</v>
      </c>
      <c r="AH712" t="s">
        <v>61</v>
      </c>
      <c r="AI712" t="s">
        <v>61</v>
      </c>
      <c r="AJ712" t="s">
        <v>59</v>
      </c>
      <c r="AK712" t="s">
        <v>59</v>
      </c>
      <c r="AL712" t="s">
        <v>60</v>
      </c>
      <c r="AM712" t="s">
        <v>59</v>
      </c>
      <c r="AN712" t="s">
        <v>59</v>
      </c>
      <c r="AO712" t="s">
        <v>59</v>
      </c>
      <c r="AP712" s="1" t="s">
        <v>1733</v>
      </c>
      <c r="AQ712" s="1" t="s">
        <v>842</v>
      </c>
      <c r="AR712" t="s">
        <v>64</v>
      </c>
      <c r="AS712" t="s">
        <v>325</v>
      </c>
      <c r="AT712" t="s">
        <v>510</v>
      </c>
      <c r="AU712" t="s">
        <v>593</v>
      </c>
      <c r="AW712" s="4">
        <f t="shared" si="388"/>
        <v>6</v>
      </c>
      <c r="AX712" s="4">
        <f t="shared" si="389"/>
        <v>4</v>
      </c>
      <c r="AY712" s="4">
        <f t="shared" si="390"/>
        <v>4</v>
      </c>
      <c r="AZ712" s="4">
        <f t="shared" si="391"/>
        <v>2</v>
      </c>
      <c r="BA712" s="4">
        <f t="shared" si="392"/>
        <v>4</v>
      </c>
      <c r="BB712" s="4">
        <f t="shared" si="393"/>
        <v>4</v>
      </c>
      <c r="BC712" s="4">
        <f t="shared" si="394"/>
        <v>4</v>
      </c>
      <c r="BD712" s="4">
        <f t="shared" si="395"/>
        <v>2</v>
      </c>
      <c r="BE712" s="4" t="str">
        <f t="shared" si="396"/>
        <v>0</v>
      </c>
      <c r="BF712" s="4">
        <f t="shared" si="397"/>
        <v>2</v>
      </c>
      <c r="BG712" s="4">
        <f t="shared" si="398"/>
        <v>4</v>
      </c>
      <c r="BH712" s="4">
        <f t="shared" si="399"/>
        <v>4</v>
      </c>
      <c r="BI712" s="4">
        <f t="shared" si="400"/>
        <v>4</v>
      </c>
      <c r="BJ712" s="4">
        <f t="shared" si="401"/>
        <v>2</v>
      </c>
      <c r="BK712" s="4" t="str">
        <f t="shared" si="402"/>
        <v>0</v>
      </c>
      <c r="BL712" s="4" t="str">
        <f t="shared" si="403"/>
        <v>0</v>
      </c>
      <c r="BM712" s="4" t="str">
        <f t="shared" si="404"/>
        <v>0</v>
      </c>
      <c r="BN712" s="4">
        <f t="shared" si="405"/>
        <v>4</v>
      </c>
      <c r="BO712" s="4">
        <f t="shared" si="406"/>
        <v>4</v>
      </c>
      <c r="BP712" s="4">
        <f t="shared" si="407"/>
        <v>4</v>
      </c>
      <c r="BQ712" s="4" t="str">
        <f t="shared" si="408"/>
        <v>0</v>
      </c>
      <c r="BR712" s="4">
        <f t="shared" si="409"/>
        <v>4</v>
      </c>
      <c r="BS712" s="4">
        <f t="shared" si="410"/>
        <v>4</v>
      </c>
      <c r="BT712" s="4">
        <f t="shared" si="411"/>
        <v>4</v>
      </c>
      <c r="BU712" s="4">
        <f t="shared" si="412"/>
        <v>4</v>
      </c>
      <c r="BV712" s="4" t="str">
        <f t="shared" si="413"/>
        <v>0</v>
      </c>
      <c r="BW712" s="4">
        <f t="shared" si="414"/>
        <v>6</v>
      </c>
      <c r="BX712" s="4">
        <f t="shared" si="415"/>
        <v>0</v>
      </c>
      <c r="BY712" s="4">
        <f t="shared" si="416"/>
        <v>0</v>
      </c>
      <c r="BZ712" s="37">
        <f t="shared" si="417"/>
        <v>80</v>
      </c>
      <c r="CA712" s="32" t="str">
        <f>VLOOKUP(J:J,'Agent wise'!A:C,3,0)</f>
        <v>Saran S</v>
      </c>
      <c r="CB712" s="32">
        <f t="shared" si="418"/>
        <v>45943</v>
      </c>
      <c r="CC712" t="str">
        <f t="shared" si="419"/>
        <v>FC</v>
      </c>
      <c r="CE712" s="32"/>
      <c r="CJ712">
        <f t="shared" si="420"/>
        <v>13</v>
      </c>
      <c r="CK712">
        <f t="shared" si="421"/>
        <v>10</v>
      </c>
      <c r="CL712">
        <f t="shared" si="422"/>
        <v>2025</v>
      </c>
    </row>
    <row r="713" spans="1:90" ht="15" customHeight="1" x14ac:dyDescent="0.35">
      <c r="A713" t="s">
        <v>1734</v>
      </c>
      <c r="B713" t="s">
        <v>106</v>
      </c>
      <c r="C713" t="s">
        <v>214</v>
      </c>
      <c r="D713" t="s">
        <v>107</v>
      </c>
      <c r="E713" s="32">
        <v>45943</v>
      </c>
      <c r="F713" t="s">
        <v>54</v>
      </c>
      <c r="G713" t="s">
        <v>1592</v>
      </c>
      <c r="H713">
        <v>9486587841</v>
      </c>
      <c r="I713">
        <v>226</v>
      </c>
      <c r="J713" t="s">
        <v>546</v>
      </c>
      <c r="K713" t="s">
        <v>71</v>
      </c>
      <c r="L713" t="s">
        <v>72</v>
      </c>
      <c r="M713" t="s">
        <v>59</v>
      </c>
      <c r="N713" t="s">
        <v>59</v>
      </c>
      <c r="O713" t="s">
        <v>59</v>
      </c>
      <c r="P713" t="s">
        <v>59</v>
      </c>
      <c r="Q713" t="s">
        <v>59</v>
      </c>
      <c r="R713" t="s">
        <v>59</v>
      </c>
      <c r="S713" t="s">
        <v>59</v>
      </c>
      <c r="T713" t="s">
        <v>59</v>
      </c>
      <c r="U713" t="s">
        <v>59</v>
      </c>
      <c r="V713" t="s">
        <v>59</v>
      </c>
      <c r="W713" t="s">
        <v>59</v>
      </c>
      <c r="X713" t="s">
        <v>61</v>
      </c>
      <c r="Y713" t="s">
        <v>59</v>
      </c>
      <c r="Z713" t="s">
        <v>59</v>
      </c>
      <c r="AA713" t="s">
        <v>59</v>
      </c>
      <c r="AB713" t="s">
        <v>59</v>
      </c>
      <c r="AC713" t="s">
        <v>61</v>
      </c>
      <c r="AD713" t="s">
        <v>61</v>
      </c>
      <c r="AE713" t="s">
        <v>59</v>
      </c>
      <c r="AF713" t="s">
        <v>61</v>
      </c>
      <c r="AG713" t="s">
        <v>59</v>
      </c>
      <c r="AH713" t="s">
        <v>61</v>
      </c>
      <c r="AI713" t="s">
        <v>59</v>
      </c>
      <c r="AJ713" t="s">
        <v>59</v>
      </c>
      <c r="AK713" t="s">
        <v>59</v>
      </c>
      <c r="AL713" t="s">
        <v>59</v>
      </c>
      <c r="AM713" t="s">
        <v>59</v>
      </c>
      <c r="AN713" t="s">
        <v>59</v>
      </c>
      <c r="AO713" t="s">
        <v>59</v>
      </c>
      <c r="AP713" t="s">
        <v>1735</v>
      </c>
      <c r="AQ713" t="s">
        <v>1736</v>
      </c>
      <c r="AR713" t="s">
        <v>64</v>
      </c>
      <c r="AS713" t="s">
        <v>122</v>
      </c>
      <c r="AT713" t="s">
        <v>123</v>
      </c>
      <c r="AU713" t="s">
        <v>219</v>
      </c>
      <c r="AW713" s="4">
        <f t="shared" si="388"/>
        <v>6</v>
      </c>
      <c r="AX713" s="4">
        <f t="shared" si="389"/>
        <v>4</v>
      </c>
      <c r="AY713" s="4">
        <f t="shared" si="390"/>
        <v>4</v>
      </c>
      <c r="AZ713" s="4">
        <f t="shared" si="391"/>
        <v>2</v>
      </c>
      <c r="BA713" s="4">
        <f t="shared" si="392"/>
        <v>4</v>
      </c>
      <c r="BB713" s="4">
        <f t="shared" si="393"/>
        <v>4</v>
      </c>
      <c r="BC713" s="4">
        <f t="shared" si="394"/>
        <v>4</v>
      </c>
      <c r="BD713" s="4">
        <f t="shared" si="395"/>
        <v>2</v>
      </c>
      <c r="BE713" s="4">
        <f t="shared" si="396"/>
        <v>4</v>
      </c>
      <c r="BF713" s="4">
        <f t="shared" si="397"/>
        <v>2</v>
      </c>
      <c r="BG713" s="4">
        <f t="shared" si="398"/>
        <v>4</v>
      </c>
      <c r="BH713" s="4">
        <f t="shared" si="399"/>
        <v>4</v>
      </c>
      <c r="BI713" s="4">
        <f t="shared" si="400"/>
        <v>4</v>
      </c>
      <c r="BJ713" s="4">
        <f t="shared" si="401"/>
        <v>2</v>
      </c>
      <c r="BK713" s="4">
        <f t="shared" si="402"/>
        <v>4</v>
      </c>
      <c r="BL713" s="4">
        <f t="shared" si="403"/>
        <v>2</v>
      </c>
      <c r="BM713" s="4">
        <f t="shared" si="404"/>
        <v>4</v>
      </c>
      <c r="BN713" s="4">
        <f t="shared" si="405"/>
        <v>4</v>
      </c>
      <c r="BO713" s="4">
        <f t="shared" si="406"/>
        <v>4</v>
      </c>
      <c r="BP713" s="4">
        <f t="shared" si="407"/>
        <v>4</v>
      </c>
      <c r="BQ713" s="4">
        <f t="shared" si="408"/>
        <v>6</v>
      </c>
      <c r="BR713" s="4">
        <f t="shared" si="409"/>
        <v>4</v>
      </c>
      <c r="BS713" s="4">
        <f t="shared" si="410"/>
        <v>4</v>
      </c>
      <c r="BT713" s="4">
        <f t="shared" si="411"/>
        <v>4</v>
      </c>
      <c r="BU713" s="4">
        <f t="shared" si="412"/>
        <v>4</v>
      </c>
      <c r="BV713" s="4">
        <f t="shared" si="413"/>
        <v>0</v>
      </c>
      <c r="BW713" s="4">
        <f t="shared" si="414"/>
        <v>6</v>
      </c>
      <c r="BX713" s="4">
        <f t="shared" si="415"/>
        <v>0</v>
      </c>
      <c r="BY713" s="4">
        <f t="shared" si="416"/>
        <v>0</v>
      </c>
      <c r="BZ713" s="37">
        <f t="shared" si="417"/>
        <v>100</v>
      </c>
      <c r="CA713" s="32" t="str">
        <f>VLOOKUP(J:J,'Agent wise'!A:C,3,0)</f>
        <v>Shakeer</v>
      </c>
      <c r="CB713" s="32">
        <f t="shared" si="418"/>
        <v>45943</v>
      </c>
      <c r="CC713" t="str">
        <f t="shared" si="419"/>
        <v>Excellent</v>
      </c>
      <c r="CE713" s="32"/>
      <c r="CJ713">
        <f t="shared" si="420"/>
        <v>13</v>
      </c>
      <c r="CK713">
        <f t="shared" si="421"/>
        <v>10</v>
      </c>
      <c r="CL713">
        <f t="shared" si="422"/>
        <v>2025</v>
      </c>
    </row>
    <row r="714" spans="1:90" ht="15" customHeight="1" x14ac:dyDescent="0.35">
      <c r="A714" t="s">
        <v>1737</v>
      </c>
      <c r="B714" t="s">
        <v>106</v>
      </c>
      <c r="C714" t="s">
        <v>214</v>
      </c>
      <c r="D714" t="s">
        <v>107</v>
      </c>
      <c r="E714" s="32">
        <v>45943</v>
      </c>
      <c r="F714" t="s">
        <v>54</v>
      </c>
      <c r="G714" t="s">
        <v>1592</v>
      </c>
      <c r="H714">
        <v>9787351808</v>
      </c>
      <c r="I714">
        <v>216</v>
      </c>
      <c r="J714" t="s">
        <v>533</v>
      </c>
      <c r="K714" t="s">
        <v>71</v>
      </c>
      <c r="L714" t="s">
        <v>72</v>
      </c>
      <c r="M714" t="s">
        <v>59</v>
      </c>
      <c r="N714" t="s">
        <v>59</v>
      </c>
      <c r="O714" t="s">
        <v>59</v>
      </c>
      <c r="P714" t="s">
        <v>59</v>
      </c>
      <c r="Q714" t="s">
        <v>59</v>
      </c>
      <c r="R714" t="s">
        <v>59</v>
      </c>
      <c r="S714" t="s">
        <v>59</v>
      </c>
      <c r="T714" t="s">
        <v>59</v>
      </c>
      <c r="U714" t="s">
        <v>60</v>
      </c>
      <c r="V714" t="s">
        <v>59</v>
      </c>
      <c r="W714" t="s">
        <v>59</v>
      </c>
      <c r="X714" t="s">
        <v>61</v>
      </c>
      <c r="Y714" t="s">
        <v>59</v>
      </c>
      <c r="Z714" t="s">
        <v>60</v>
      </c>
      <c r="AA714" t="s">
        <v>59</v>
      </c>
      <c r="AB714" t="s">
        <v>59</v>
      </c>
      <c r="AC714" t="s">
        <v>61</v>
      </c>
      <c r="AD714" t="s">
        <v>61</v>
      </c>
      <c r="AE714" t="s">
        <v>60</v>
      </c>
      <c r="AF714" t="s">
        <v>61</v>
      </c>
      <c r="AG714" t="s">
        <v>59</v>
      </c>
      <c r="AH714" t="s">
        <v>61</v>
      </c>
      <c r="AI714" t="s">
        <v>59</v>
      </c>
      <c r="AJ714" t="s">
        <v>59</v>
      </c>
      <c r="AK714" t="s">
        <v>59</v>
      </c>
      <c r="AL714" t="s">
        <v>60</v>
      </c>
      <c r="AM714" t="s">
        <v>59</v>
      </c>
      <c r="AN714" t="s">
        <v>59</v>
      </c>
      <c r="AO714" t="s">
        <v>59</v>
      </c>
      <c r="AP714" t="s">
        <v>1738</v>
      </c>
      <c r="AQ714" t="s">
        <v>1739</v>
      </c>
      <c r="AR714" t="s">
        <v>64</v>
      </c>
      <c r="AS714" t="s">
        <v>122</v>
      </c>
      <c r="AT714" t="s">
        <v>123</v>
      </c>
      <c r="AU714" t="s">
        <v>387</v>
      </c>
      <c r="AW714" s="4">
        <f t="shared" si="388"/>
        <v>6</v>
      </c>
      <c r="AX714" s="4">
        <f t="shared" si="389"/>
        <v>4</v>
      </c>
      <c r="AY714" s="4">
        <f t="shared" si="390"/>
        <v>4</v>
      </c>
      <c r="AZ714" s="4">
        <f t="shared" si="391"/>
        <v>2</v>
      </c>
      <c r="BA714" s="4">
        <f t="shared" si="392"/>
        <v>4</v>
      </c>
      <c r="BB714" s="4">
        <f t="shared" si="393"/>
        <v>4</v>
      </c>
      <c r="BC714" s="4">
        <f t="shared" si="394"/>
        <v>4</v>
      </c>
      <c r="BD714" s="4">
        <f t="shared" si="395"/>
        <v>2</v>
      </c>
      <c r="BE714" s="4" t="str">
        <f t="shared" si="396"/>
        <v>0</v>
      </c>
      <c r="BF714" s="4">
        <f t="shared" si="397"/>
        <v>2</v>
      </c>
      <c r="BG714" s="4">
        <f t="shared" si="398"/>
        <v>4</v>
      </c>
      <c r="BH714" s="4">
        <f t="shared" si="399"/>
        <v>4</v>
      </c>
      <c r="BI714" s="4">
        <f t="shared" si="400"/>
        <v>4</v>
      </c>
      <c r="BJ714" s="4" t="str">
        <f t="shared" si="401"/>
        <v>0</v>
      </c>
      <c r="BK714" s="4">
        <f t="shared" si="402"/>
        <v>4</v>
      </c>
      <c r="BL714" s="4">
        <f t="shared" si="403"/>
        <v>2</v>
      </c>
      <c r="BM714" s="4">
        <f t="shared" si="404"/>
        <v>4</v>
      </c>
      <c r="BN714" s="4">
        <f t="shared" si="405"/>
        <v>4</v>
      </c>
      <c r="BO714" s="4" t="str">
        <f t="shared" si="406"/>
        <v>0</v>
      </c>
      <c r="BP714" s="4">
        <f t="shared" si="407"/>
        <v>4</v>
      </c>
      <c r="BQ714" s="4">
        <f t="shared" si="408"/>
        <v>6</v>
      </c>
      <c r="BR714" s="4">
        <f t="shared" si="409"/>
        <v>4</v>
      </c>
      <c r="BS714" s="4">
        <f t="shared" si="410"/>
        <v>4</v>
      </c>
      <c r="BT714" s="4">
        <f t="shared" si="411"/>
        <v>4</v>
      </c>
      <c r="BU714" s="4">
        <f t="shared" si="412"/>
        <v>4</v>
      </c>
      <c r="BV714" s="4" t="str">
        <f t="shared" si="413"/>
        <v>0</v>
      </c>
      <c r="BW714" s="4">
        <f t="shared" si="414"/>
        <v>6</v>
      </c>
      <c r="BX714" s="4">
        <f t="shared" si="415"/>
        <v>0</v>
      </c>
      <c r="BY714" s="4">
        <f t="shared" si="416"/>
        <v>0</v>
      </c>
      <c r="BZ714" s="37">
        <f t="shared" si="417"/>
        <v>90</v>
      </c>
      <c r="CA714" s="32" t="str">
        <f>VLOOKUP(J:J,'Agent wise'!A:C,3,0)</f>
        <v xml:space="preserve">Shiny </v>
      </c>
      <c r="CB714" s="32">
        <f t="shared" si="418"/>
        <v>45943</v>
      </c>
      <c r="CC714" t="str">
        <f t="shared" si="419"/>
        <v>Good</v>
      </c>
      <c r="CE714" s="32"/>
      <c r="CJ714">
        <f t="shared" si="420"/>
        <v>13</v>
      </c>
      <c r="CK714">
        <f t="shared" si="421"/>
        <v>10</v>
      </c>
      <c r="CL714">
        <f t="shared" si="422"/>
        <v>2025</v>
      </c>
    </row>
    <row r="715" spans="1:90" ht="15" customHeight="1" x14ac:dyDescent="0.35">
      <c r="A715" t="s">
        <v>1740</v>
      </c>
      <c r="B715" t="s">
        <v>106</v>
      </c>
      <c r="C715" t="s">
        <v>214</v>
      </c>
      <c r="D715" t="s">
        <v>107</v>
      </c>
      <c r="E715" s="32">
        <v>45943</v>
      </c>
      <c r="F715" t="s">
        <v>54</v>
      </c>
      <c r="G715" t="s">
        <v>1592</v>
      </c>
      <c r="H715">
        <v>8300479587</v>
      </c>
      <c r="I715">
        <v>131</v>
      </c>
      <c r="J715" t="s">
        <v>552</v>
      </c>
      <c r="K715" t="s">
        <v>71</v>
      </c>
      <c r="L715" t="s">
        <v>72</v>
      </c>
      <c r="M715" t="s">
        <v>59</v>
      </c>
      <c r="N715" t="s">
        <v>59</v>
      </c>
      <c r="O715" t="s">
        <v>59</v>
      </c>
      <c r="P715" t="s">
        <v>59</v>
      </c>
      <c r="Q715" t="s">
        <v>59</v>
      </c>
      <c r="R715" t="s">
        <v>59</v>
      </c>
      <c r="S715" t="s">
        <v>59</v>
      </c>
      <c r="T715" t="s">
        <v>59</v>
      </c>
      <c r="U715" t="s">
        <v>60</v>
      </c>
      <c r="V715" t="s">
        <v>59</v>
      </c>
      <c r="W715" t="s">
        <v>59</v>
      </c>
      <c r="X715" t="s">
        <v>61</v>
      </c>
      <c r="Y715" t="s">
        <v>59</v>
      </c>
      <c r="Z715" t="s">
        <v>60</v>
      </c>
      <c r="AA715" t="s">
        <v>59</v>
      </c>
      <c r="AB715" t="s">
        <v>59</v>
      </c>
      <c r="AC715" t="s">
        <v>61</v>
      </c>
      <c r="AD715" t="s">
        <v>61</v>
      </c>
      <c r="AE715" t="s">
        <v>59</v>
      </c>
      <c r="AF715" t="s">
        <v>61</v>
      </c>
      <c r="AG715" t="s">
        <v>59</v>
      </c>
      <c r="AH715" t="s">
        <v>61</v>
      </c>
      <c r="AI715" t="s">
        <v>59</v>
      </c>
      <c r="AJ715" t="s">
        <v>59</v>
      </c>
      <c r="AK715" t="s">
        <v>59</v>
      </c>
      <c r="AL715" t="s">
        <v>59</v>
      </c>
      <c r="AM715" t="s">
        <v>59</v>
      </c>
      <c r="AN715" t="s">
        <v>59</v>
      </c>
      <c r="AO715" t="s">
        <v>59</v>
      </c>
      <c r="AP715" t="s">
        <v>388</v>
      </c>
      <c r="AQ715" t="s">
        <v>1741</v>
      </c>
      <c r="AR715" t="s">
        <v>64</v>
      </c>
      <c r="AS715" t="s">
        <v>122</v>
      </c>
      <c r="AT715" t="s">
        <v>772</v>
      </c>
      <c r="AU715" t="s">
        <v>387</v>
      </c>
      <c r="AW715" s="4">
        <f t="shared" si="388"/>
        <v>6</v>
      </c>
      <c r="AX715" s="4">
        <f t="shared" si="389"/>
        <v>4</v>
      </c>
      <c r="AY715" s="4">
        <f t="shared" si="390"/>
        <v>4</v>
      </c>
      <c r="AZ715" s="4">
        <f t="shared" si="391"/>
        <v>2</v>
      </c>
      <c r="BA715" s="4">
        <f t="shared" si="392"/>
        <v>4</v>
      </c>
      <c r="BB715" s="4">
        <f t="shared" si="393"/>
        <v>4</v>
      </c>
      <c r="BC715" s="4">
        <f t="shared" si="394"/>
        <v>4</v>
      </c>
      <c r="BD715" s="4">
        <f t="shared" si="395"/>
        <v>2</v>
      </c>
      <c r="BE715" s="4" t="str">
        <f t="shared" si="396"/>
        <v>0</v>
      </c>
      <c r="BF715" s="4">
        <f t="shared" si="397"/>
        <v>2</v>
      </c>
      <c r="BG715" s="4">
        <f t="shared" si="398"/>
        <v>4</v>
      </c>
      <c r="BH715" s="4">
        <f t="shared" si="399"/>
        <v>4</v>
      </c>
      <c r="BI715" s="4">
        <f t="shared" si="400"/>
        <v>4</v>
      </c>
      <c r="BJ715" s="4" t="str">
        <f t="shared" si="401"/>
        <v>0</v>
      </c>
      <c r="BK715" s="4">
        <f t="shared" si="402"/>
        <v>4</v>
      </c>
      <c r="BL715" s="4">
        <f t="shared" si="403"/>
        <v>2</v>
      </c>
      <c r="BM715" s="4">
        <f t="shared" si="404"/>
        <v>4</v>
      </c>
      <c r="BN715" s="4">
        <f t="shared" si="405"/>
        <v>4</v>
      </c>
      <c r="BO715" s="4">
        <f t="shared" si="406"/>
        <v>4</v>
      </c>
      <c r="BP715" s="4">
        <f t="shared" si="407"/>
        <v>4</v>
      </c>
      <c r="BQ715" s="4">
        <f t="shared" si="408"/>
        <v>6</v>
      </c>
      <c r="BR715" s="4">
        <f t="shared" si="409"/>
        <v>4</v>
      </c>
      <c r="BS715" s="4">
        <f t="shared" si="410"/>
        <v>4</v>
      </c>
      <c r="BT715" s="4">
        <f t="shared" si="411"/>
        <v>4</v>
      </c>
      <c r="BU715" s="4">
        <f t="shared" si="412"/>
        <v>4</v>
      </c>
      <c r="BV715" s="4">
        <f t="shared" si="413"/>
        <v>0</v>
      </c>
      <c r="BW715" s="4">
        <f t="shared" si="414"/>
        <v>6</v>
      </c>
      <c r="BX715" s="4">
        <f t="shared" si="415"/>
        <v>0</v>
      </c>
      <c r="BY715" s="4">
        <f t="shared" si="416"/>
        <v>0</v>
      </c>
      <c r="BZ715" s="37">
        <f t="shared" si="417"/>
        <v>94</v>
      </c>
      <c r="CA715" s="32" t="str">
        <f>VLOOKUP(J:J,'Agent wise'!A:C,3,0)</f>
        <v xml:space="preserve">Shiny </v>
      </c>
      <c r="CB715" s="32">
        <f t="shared" si="418"/>
        <v>45943</v>
      </c>
      <c r="CC715" t="str">
        <f t="shared" si="419"/>
        <v>Good</v>
      </c>
      <c r="CE715" s="32"/>
      <c r="CJ715">
        <f t="shared" si="420"/>
        <v>13</v>
      </c>
      <c r="CK715">
        <f t="shared" si="421"/>
        <v>10</v>
      </c>
      <c r="CL715">
        <f t="shared" si="422"/>
        <v>2025</v>
      </c>
    </row>
    <row r="716" spans="1:90" ht="15" customHeight="1" x14ac:dyDescent="0.35">
      <c r="A716" t="s">
        <v>1742</v>
      </c>
      <c r="B716" t="s">
        <v>106</v>
      </c>
      <c r="C716" t="s">
        <v>214</v>
      </c>
      <c r="D716" t="s">
        <v>107</v>
      </c>
      <c r="E716" s="32">
        <v>45943</v>
      </c>
      <c r="F716" t="s">
        <v>54</v>
      </c>
      <c r="G716" t="s">
        <v>1592</v>
      </c>
      <c r="H716">
        <v>8078924886</v>
      </c>
      <c r="I716">
        <v>170</v>
      </c>
      <c r="J716" t="s">
        <v>144</v>
      </c>
      <c r="K716" t="s">
        <v>57</v>
      </c>
      <c r="L716" t="s">
        <v>58</v>
      </c>
      <c r="M716" t="s">
        <v>59</v>
      </c>
      <c r="N716" t="s">
        <v>59</v>
      </c>
      <c r="O716" t="s">
        <v>59</v>
      </c>
      <c r="P716" t="s">
        <v>59</v>
      </c>
      <c r="Q716" t="s">
        <v>59</v>
      </c>
      <c r="R716" t="s">
        <v>59</v>
      </c>
      <c r="S716" t="s">
        <v>59</v>
      </c>
      <c r="T716" t="s">
        <v>59</v>
      </c>
      <c r="U716" t="s">
        <v>60</v>
      </c>
      <c r="V716" t="s">
        <v>59</v>
      </c>
      <c r="W716" t="s">
        <v>59</v>
      </c>
      <c r="X716" t="s">
        <v>61</v>
      </c>
      <c r="Y716" t="s">
        <v>59</v>
      </c>
      <c r="Z716" t="s">
        <v>60</v>
      </c>
      <c r="AA716" t="s">
        <v>59</v>
      </c>
      <c r="AB716" t="s">
        <v>59</v>
      </c>
      <c r="AC716" t="s">
        <v>60</v>
      </c>
      <c r="AD716" t="s">
        <v>61</v>
      </c>
      <c r="AE716" t="s">
        <v>59</v>
      </c>
      <c r="AF716" t="s">
        <v>61</v>
      </c>
      <c r="AG716" t="s">
        <v>59</v>
      </c>
      <c r="AH716" t="s">
        <v>61</v>
      </c>
      <c r="AI716" t="s">
        <v>59</v>
      </c>
      <c r="AJ716" t="s">
        <v>59</v>
      </c>
      <c r="AK716" t="s">
        <v>59</v>
      </c>
      <c r="AL716" t="s">
        <v>60</v>
      </c>
      <c r="AM716" t="s">
        <v>59</v>
      </c>
      <c r="AN716" t="s">
        <v>59</v>
      </c>
      <c r="AO716" t="s">
        <v>59</v>
      </c>
      <c r="AP716" t="s">
        <v>1743</v>
      </c>
      <c r="AQ716" t="s">
        <v>1744</v>
      </c>
      <c r="AR716" t="s">
        <v>64</v>
      </c>
      <c r="AS716" t="s">
        <v>122</v>
      </c>
      <c r="AT716" t="s">
        <v>1745</v>
      </c>
      <c r="AU716" t="s">
        <v>1113</v>
      </c>
      <c r="AW716" s="4">
        <f t="shared" si="388"/>
        <v>6</v>
      </c>
      <c r="AX716" s="4">
        <f t="shared" si="389"/>
        <v>4</v>
      </c>
      <c r="AY716" s="4">
        <f t="shared" si="390"/>
        <v>4</v>
      </c>
      <c r="AZ716" s="4">
        <f t="shared" si="391"/>
        <v>2</v>
      </c>
      <c r="BA716" s="4">
        <f t="shared" si="392"/>
        <v>4</v>
      </c>
      <c r="BB716" s="4">
        <f t="shared" si="393"/>
        <v>4</v>
      </c>
      <c r="BC716" s="4">
        <f t="shared" si="394"/>
        <v>4</v>
      </c>
      <c r="BD716" s="4">
        <f t="shared" si="395"/>
        <v>2</v>
      </c>
      <c r="BE716" s="4" t="str">
        <f t="shared" si="396"/>
        <v>0</v>
      </c>
      <c r="BF716" s="4">
        <f t="shared" si="397"/>
        <v>2</v>
      </c>
      <c r="BG716" s="4">
        <f t="shared" si="398"/>
        <v>4</v>
      </c>
      <c r="BH716" s="4">
        <f t="shared" si="399"/>
        <v>4</v>
      </c>
      <c r="BI716" s="4">
        <f t="shared" si="400"/>
        <v>4</v>
      </c>
      <c r="BJ716" s="4" t="str">
        <f t="shared" si="401"/>
        <v>0</v>
      </c>
      <c r="BK716" s="4">
        <f t="shared" si="402"/>
        <v>4</v>
      </c>
      <c r="BL716" s="4">
        <f t="shared" si="403"/>
        <v>2</v>
      </c>
      <c r="BM716" s="4" t="str">
        <f t="shared" si="404"/>
        <v>0</v>
      </c>
      <c r="BN716" s="4">
        <f t="shared" si="405"/>
        <v>4</v>
      </c>
      <c r="BO716" s="4">
        <f t="shared" si="406"/>
        <v>4</v>
      </c>
      <c r="BP716" s="4">
        <f t="shared" si="407"/>
        <v>4</v>
      </c>
      <c r="BQ716" s="4">
        <f t="shared" si="408"/>
        <v>6</v>
      </c>
      <c r="BR716" s="4">
        <f t="shared" si="409"/>
        <v>4</v>
      </c>
      <c r="BS716" s="4">
        <f t="shared" si="410"/>
        <v>4</v>
      </c>
      <c r="BT716" s="4">
        <f t="shared" si="411"/>
        <v>4</v>
      </c>
      <c r="BU716" s="4">
        <f t="shared" si="412"/>
        <v>4</v>
      </c>
      <c r="BV716" s="4" t="str">
        <f t="shared" si="413"/>
        <v>0</v>
      </c>
      <c r="BW716" s="4">
        <f t="shared" si="414"/>
        <v>6</v>
      </c>
      <c r="BX716" s="4">
        <f t="shared" si="415"/>
        <v>0</v>
      </c>
      <c r="BY716" s="4">
        <f t="shared" si="416"/>
        <v>0</v>
      </c>
      <c r="BZ716" s="37">
        <f t="shared" si="417"/>
        <v>90</v>
      </c>
      <c r="CA716" s="32" t="str">
        <f>VLOOKUP(J:J,'Agent wise'!A:C,3,0)</f>
        <v xml:space="preserve">Shiny </v>
      </c>
      <c r="CB716" s="32">
        <f t="shared" si="418"/>
        <v>45943</v>
      </c>
      <c r="CC716" t="str">
        <f t="shared" si="419"/>
        <v>Good</v>
      </c>
      <c r="CE716" s="32"/>
      <c r="CJ716">
        <f t="shared" si="420"/>
        <v>13</v>
      </c>
      <c r="CK716">
        <f t="shared" si="421"/>
        <v>10</v>
      </c>
      <c r="CL716">
        <f t="shared" si="422"/>
        <v>2025</v>
      </c>
    </row>
    <row r="717" spans="1:90" ht="15" customHeight="1" x14ac:dyDescent="0.35">
      <c r="A717" t="s">
        <v>1746</v>
      </c>
      <c r="B717" t="s">
        <v>130</v>
      </c>
      <c r="C717" t="s">
        <v>214</v>
      </c>
      <c r="D717" t="s">
        <v>131</v>
      </c>
      <c r="E717" s="32">
        <v>45943</v>
      </c>
      <c r="F717" t="s">
        <v>54</v>
      </c>
      <c r="G717" t="s">
        <v>1592</v>
      </c>
      <c r="H717">
        <v>9946865986</v>
      </c>
      <c r="I717">
        <v>132</v>
      </c>
      <c r="J717" t="s">
        <v>412</v>
      </c>
      <c r="K717" t="s">
        <v>57</v>
      </c>
      <c r="L717" t="s">
        <v>58</v>
      </c>
      <c r="M717" t="s">
        <v>59</v>
      </c>
      <c r="N717" t="s">
        <v>59</v>
      </c>
      <c r="O717" t="s">
        <v>59</v>
      </c>
      <c r="P717" t="s">
        <v>59</v>
      </c>
      <c r="Q717" t="s">
        <v>59</v>
      </c>
      <c r="R717" t="s">
        <v>59</v>
      </c>
      <c r="S717" t="s">
        <v>59</v>
      </c>
      <c r="T717" t="s">
        <v>59</v>
      </c>
      <c r="U717" t="s">
        <v>60</v>
      </c>
      <c r="V717" t="s">
        <v>59</v>
      </c>
      <c r="W717" t="s">
        <v>59</v>
      </c>
      <c r="X717" t="s">
        <v>59</v>
      </c>
      <c r="Y717" t="s">
        <v>59</v>
      </c>
      <c r="Z717" t="s">
        <v>59</v>
      </c>
      <c r="AA717" t="s">
        <v>60</v>
      </c>
      <c r="AB717" t="s">
        <v>60</v>
      </c>
      <c r="AC717" t="s">
        <v>60</v>
      </c>
      <c r="AD717" t="s">
        <v>59</v>
      </c>
      <c r="AE717" t="s">
        <v>60</v>
      </c>
      <c r="AF717" t="s">
        <v>61</v>
      </c>
      <c r="AG717" t="s">
        <v>60</v>
      </c>
      <c r="AH717" t="s">
        <v>61</v>
      </c>
      <c r="AI717" t="s">
        <v>61</v>
      </c>
      <c r="AJ717" t="s">
        <v>59</v>
      </c>
      <c r="AK717" t="s">
        <v>59</v>
      </c>
      <c r="AL717" t="s">
        <v>60</v>
      </c>
      <c r="AM717" t="s">
        <v>59</v>
      </c>
      <c r="AN717" t="s">
        <v>59</v>
      </c>
      <c r="AO717" t="s">
        <v>59</v>
      </c>
      <c r="AP717" t="s">
        <v>1747</v>
      </c>
      <c r="AQ717" s="1" t="s">
        <v>424</v>
      </c>
      <c r="AR717" t="s">
        <v>64</v>
      </c>
      <c r="AS717" t="s">
        <v>845</v>
      </c>
      <c r="AT717" t="s">
        <v>1619</v>
      </c>
      <c r="AU717" t="s">
        <v>515</v>
      </c>
      <c r="AW717" s="4">
        <f t="shared" si="388"/>
        <v>6</v>
      </c>
      <c r="AX717" s="4">
        <f t="shared" si="389"/>
        <v>4</v>
      </c>
      <c r="AY717" s="4">
        <f t="shared" si="390"/>
        <v>4</v>
      </c>
      <c r="AZ717" s="4">
        <f t="shared" si="391"/>
        <v>2</v>
      </c>
      <c r="BA717" s="4">
        <f t="shared" si="392"/>
        <v>4</v>
      </c>
      <c r="BB717" s="4">
        <f t="shared" si="393"/>
        <v>4</v>
      </c>
      <c r="BC717" s="4">
        <f t="shared" si="394"/>
        <v>4</v>
      </c>
      <c r="BD717" s="4">
        <f t="shared" si="395"/>
        <v>2</v>
      </c>
      <c r="BE717" s="4" t="str">
        <f t="shared" si="396"/>
        <v>0</v>
      </c>
      <c r="BF717" s="4">
        <f t="shared" si="397"/>
        <v>2</v>
      </c>
      <c r="BG717" s="4">
        <f t="shared" si="398"/>
        <v>4</v>
      </c>
      <c r="BH717" s="4">
        <f t="shared" si="399"/>
        <v>4</v>
      </c>
      <c r="BI717" s="4">
        <f t="shared" si="400"/>
        <v>4</v>
      </c>
      <c r="BJ717" s="4">
        <f t="shared" si="401"/>
        <v>2</v>
      </c>
      <c r="BK717" s="4" t="str">
        <f t="shared" si="402"/>
        <v>0</v>
      </c>
      <c r="BL717" s="4" t="str">
        <f t="shared" si="403"/>
        <v>0</v>
      </c>
      <c r="BM717" s="4" t="str">
        <f t="shared" si="404"/>
        <v>0</v>
      </c>
      <c r="BN717" s="4">
        <f t="shared" si="405"/>
        <v>4</v>
      </c>
      <c r="BO717" s="4" t="str">
        <f t="shared" si="406"/>
        <v>0</v>
      </c>
      <c r="BP717" s="4">
        <f t="shared" si="407"/>
        <v>4</v>
      </c>
      <c r="BQ717" s="4" t="str">
        <f t="shared" si="408"/>
        <v>0</v>
      </c>
      <c r="BR717" s="4">
        <f t="shared" si="409"/>
        <v>4</v>
      </c>
      <c r="BS717" s="4">
        <f t="shared" si="410"/>
        <v>4</v>
      </c>
      <c r="BT717" s="4">
        <f t="shared" si="411"/>
        <v>4</v>
      </c>
      <c r="BU717" s="4">
        <f t="shared" si="412"/>
        <v>4</v>
      </c>
      <c r="BV717" s="4" t="str">
        <f t="shared" si="413"/>
        <v>0</v>
      </c>
      <c r="BW717" s="4">
        <f t="shared" si="414"/>
        <v>6</v>
      </c>
      <c r="BX717" s="4">
        <f t="shared" si="415"/>
        <v>0</v>
      </c>
      <c r="BY717" s="4">
        <f t="shared" si="416"/>
        <v>0</v>
      </c>
      <c r="BZ717" s="37">
        <f t="shared" si="417"/>
        <v>76</v>
      </c>
      <c r="CA717" s="32" t="str">
        <f>VLOOKUP(J:J,'Agent wise'!A:C,3,0)</f>
        <v>Saran S</v>
      </c>
      <c r="CB717" s="32">
        <f t="shared" si="418"/>
        <v>45943</v>
      </c>
      <c r="CC717" t="str">
        <f t="shared" si="419"/>
        <v>FC</v>
      </c>
      <c r="CE717" s="32"/>
      <c r="CJ717">
        <f t="shared" si="420"/>
        <v>13</v>
      </c>
      <c r="CK717">
        <f t="shared" si="421"/>
        <v>10</v>
      </c>
      <c r="CL717">
        <f t="shared" si="422"/>
        <v>2025</v>
      </c>
    </row>
    <row r="718" spans="1:90" ht="15" customHeight="1" x14ac:dyDescent="0.35">
      <c r="A718" t="s">
        <v>1748</v>
      </c>
      <c r="B718" t="s">
        <v>100</v>
      </c>
      <c r="C718" t="s">
        <v>214</v>
      </c>
      <c r="D718" t="s">
        <v>101</v>
      </c>
      <c r="E718" s="32">
        <v>45944</v>
      </c>
      <c r="F718" t="s">
        <v>54</v>
      </c>
      <c r="G718" t="s">
        <v>1592</v>
      </c>
      <c r="H718">
        <v>8072312342</v>
      </c>
      <c r="I718">
        <v>153</v>
      </c>
      <c r="J718" t="s">
        <v>288</v>
      </c>
      <c r="K718" t="s">
        <v>71</v>
      </c>
      <c r="L718" t="s">
        <v>72</v>
      </c>
      <c r="M718" t="s">
        <v>59</v>
      </c>
      <c r="N718" t="s">
        <v>59</v>
      </c>
      <c r="O718" t="s">
        <v>59</v>
      </c>
      <c r="P718" t="s">
        <v>59</v>
      </c>
      <c r="Q718" t="s">
        <v>59</v>
      </c>
      <c r="R718" t="s">
        <v>60</v>
      </c>
      <c r="S718" t="s">
        <v>59</v>
      </c>
      <c r="T718" t="s">
        <v>59</v>
      </c>
      <c r="U718" t="s">
        <v>59</v>
      </c>
      <c r="V718" t="s">
        <v>59</v>
      </c>
      <c r="W718" t="s">
        <v>59</v>
      </c>
      <c r="X718" t="s">
        <v>59</v>
      </c>
      <c r="Y718" t="s">
        <v>59</v>
      </c>
      <c r="Z718" t="s">
        <v>59</v>
      </c>
      <c r="AA718" t="s">
        <v>59</v>
      </c>
      <c r="AB718" t="s">
        <v>61</v>
      </c>
      <c r="AC718" t="s">
        <v>60</v>
      </c>
      <c r="AD718" t="s">
        <v>59</v>
      </c>
      <c r="AE718" t="s">
        <v>59</v>
      </c>
      <c r="AF718" t="s">
        <v>59</v>
      </c>
      <c r="AG718" t="s">
        <v>59</v>
      </c>
      <c r="AH718" t="s">
        <v>59</v>
      </c>
      <c r="AI718" t="s">
        <v>61</v>
      </c>
      <c r="AJ718" t="s">
        <v>59</v>
      </c>
      <c r="AK718" t="s">
        <v>59</v>
      </c>
      <c r="AL718" t="s">
        <v>60</v>
      </c>
      <c r="AM718" t="s">
        <v>59</v>
      </c>
      <c r="AN718" t="s">
        <v>59</v>
      </c>
      <c r="AO718" t="s">
        <v>59</v>
      </c>
      <c r="AP718" t="s">
        <v>1750</v>
      </c>
      <c r="AQ718" s="1" t="s">
        <v>1751</v>
      </c>
      <c r="AR718" t="s">
        <v>64</v>
      </c>
      <c r="AS718" t="s">
        <v>135</v>
      </c>
      <c r="AT718" t="s">
        <v>194</v>
      </c>
      <c r="AU718" t="s">
        <v>299</v>
      </c>
      <c r="AW718" s="4">
        <f t="shared" si="388"/>
        <v>6</v>
      </c>
      <c r="AX718" s="4">
        <f t="shared" si="389"/>
        <v>4</v>
      </c>
      <c r="AY718" s="4">
        <f t="shared" si="390"/>
        <v>4</v>
      </c>
      <c r="AZ718" s="4">
        <f t="shared" si="391"/>
        <v>2</v>
      </c>
      <c r="BA718" s="4">
        <f t="shared" si="392"/>
        <v>4</v>
      </c>
      <c r="BB718" s="4" t="str">
        <f t="shared" si="393"/>
        <v>0</v>
      </c>
      <c r="BC718" s="4">
        <f t="shared" si="394"/>
        <v>4</v>
      </c>
      <c r="BD718" s="4">
        <f t="shared" si="395"/>
        <v>2</v>
      </c>
      <c r="BE718" s="4">
        <f t="shared" si="396"/>
        <v>4</v>
      </c>
      <c r="BF718" s="4">
        <f t="shared" si="397"/>
        <v>2</v>
      </c>
      <c r="BG718" s="4">
        <f t="shared" si="398"/>
        <v>4</v>
      </c>
      <c r="BH718" s="4">
        <f t="shared" si="399"/>
        <v>4</v>
      </c>
      <c r="BI718" s="4">
        <f t="shared" si="400"/>
        <v>4</v>
      </c>
      <c r="BJ718" s="4">
        <f t="shared" si="401"/>
        <v>2</v>
      </c>
      <c r="BK718" s="4">
        <f t="shared" si="402"/>
        <v>4</v>
      </c>
      <c r="BL718" s="4">
        <f t="shared" si="403"/>
        <v>2</v>
      </c>
      <c r="BM718" s="4" t="str">
        <f t="shared" si="404"/>
        <v>0</v>
      </c>
      <c r="BN718" s="4">
        <f t="shared" si="405"/>
        <v>4</v>
      </c>
      <c r="BO718" s="4">
        <f t="shared" si="406"/>
        <v>4</v>
      </c>
      <c r="BP718" s="4">
        <f t="shared" si="407"/>
        <v>4</v>
      </c>
      <c r="BQ718" s="4">
        <f t="shared" si="408"/>
        <v>6</v>
      </c>
      <c r="BR718" s="4">
        <f t="shared" si="409"/>
        <v>4</v>
      </c>
      <c r="BS718" s="4">
        <f t="shared" si="410"/>
        <v>4</v>
      </c>
      <c r="BT718" s="4">
        <f t="shared" si="411"/>
        <v>4</v>
      </c>
      <c r="BU718" s="4">
        <f t="shared" si="412"/>
        <v>4</v>
      </c>
      <c r="BV718" s="4" t="str">
        <f t="shared" si="413"/>
        <v>0</v>
      </c>
      <c r="BW718" s="4">
        <f t="shared" si="414"/>
        <v>6</v>
      </c>
      <c r="BX718" s="4">
        <f t="shared" si="415"/>
        <v>0</v>
      </c>
      <c r="BY718" s="4">
        <f t="shared" si="416"/>
        <v>0</v>
      </c>
      <c r="BZ718" s="37">
        <f t="shared" si="417"/>
        <v>92</v>
      </c>
      <c r="CA718" s="32" t="str">
        <f>VLOOKUP(J:J,'Agent wise'!A:C,3,0)</f>
        <v>Shakeer</v>
      </c>
      <c r="CB718" s="32">
        <f t="shared" si="418"/>
        <v>45944</v>
      </c>
      <c r="CC718" t="str">
        <f t="shared" si="419"/>
        <v>Good</v>
      </c>
      <c r="CE718" s="32"/>
      <c r="CJ718">
        <f t="shared" si="420"/>
        <v>14</v>
      </c>
      <c r="CK718">
        <f t="shared" si="421"/>
        <v>10</v>
      </c>
      <c r="CL718">
        <f t="shared" si="422"/>
        <v>2025</v>
      </c>
    </row>
    <row r="719" spans="1:90" ht="15" customHeight="1" x14ac:dyDescent="0.35">
      <c r="A719" t="s">
        <v>1752</v>
      </c>
      <c r="B719" t="s">
        <v>100</v>
      </c>
      <c r="C719" t="s">
        <v>214</v>
      </c>
      <c r="D719" t="s">
        <v>101</v>
      </c>
      <c r="E719" s="32">
        <v>45944</v>
      </c>
      <c r="F719" t="s">
        <v>54</v>
      </c>
      <c r="G719" t="s">
        <v>1592</v>
      </c>
      <c r="H719">
        <v>9025807777</v>
      </c>
      <c r="I719">
        <v>132</v>
      </c>
      <c r="J719" t="s">
        <v>288</v>
      </c>
      <c r="K719" t="s">
        <v>71</v>
      </c>
      <c r="L719" t="s">
        <v>72</v>
      </c>
      <c r="M719" t="s">
        <v>59</v>
      </c>
      <c r="N719" t="s">
        <v>59</v>
      </c>
      <c r="O719" t="s">
        <v>59</v>
      </c>
      <c r="P719" t="s">
        <v>59</v>
      </c>
      <c r="Q719" t="s">
        <v>59</v>
      </c>
      <c r="R719" t="s">
        <v>59</v>
      </c>
      <c r="S719" t="s">
        <v>59</v>
      </c>
      <c r="T719" t="s">
        <v>59</v>
      </c>
      <c r="U719" t="s">
        <v>59</v>
      </c>
      <c r="V719" t="s">
        <v>59</v>
      </c>
      <c r="W719" t="s">
        <v>59</v>
      </c>
      <c r="X719" t="s">
        <v>59</v>
      </c>
      <c r="Y719" t="s">
        <v>59</v>
      </c>
      <c r="Z719" t="s">
        <v>59</v>
      </c>
      <c r="AA719" t="s">
        <v>60</v>
      </c>
      <c r="AB719" t="s">
        <v>60</v>
      </c>
      <c r="AC719" t="s">
        <v>61</v>
      </c>
      <c r="AD719" t="s">
        <v>61</v>
      </c>
      <c r="AE719" t="s">
        <v>59</v>
      </c>
      <c r="AF719" t="s">
        <v>61</v>
      </c>
      <c r="AG719" t="s">
        <v>59</v>
      </c>
      <c r="AH719" t="s">
        <v>61</v>
      </c>
      <c r="AI719" t="s">
        <v>61</v>
      </c>
      <c r="AJ719" t="s">
        <v>61</v>
      </c>
      <c r="AK719" t="s">
        <v>61</v>
      </c>
      <c r="AL719" t="s">
        <v>60</v>
      </c>
      <c r="AM719" t="s">
        <v>59</v>
      </c>
      <c r="AN719" t="s">
        <v>59</v>
      </c>
      <c r="AO719" t="s">
        <v>59</v>
      </c>
      <c r="AP719" t="s">
        <v>798</v>
      </c>
      <c r="AQ719" s="1" t="s">
        <v>1753</v>
      </c>
      <c r="AR719" t="s">
        <v>64</v>
      </c>
      <c r="AS719" t="s">
        <v>171</v>
      </c>
      <c r="AT719" t="s">
        <v>190</v>
      </c>
      <c r="AU719" t="s">
        <v>299</v>
      </c>
      <c r="AW719" s="4">
        <f t="shared" si="388"/>
        <v>6</v>
      </c>
      <c r="AX719" s="4">
        <f t="shared" si="389"/>
        <v>4</v>
      </c>
      <c r="AY719" s="4">
        <f t="shared" si="390"/>
        <v>4</v>
      </c>
      <c r="AZ719" s="4">
        <f t="shared" si="391"/>
        <v>2</v>
      </c>
      <c r="BA719" s="4">
        <f t="shared" si="392"/>
        <v>4</v>
      </c>
      <c r="BB719" s="4">
        <f t="shared" si="393"/>
        <v>4</v>
      </c>
      <c r="BC719" s="4">
        <f t="shared" si="394"/>
        <v>4</v>
      </c>
      <c r="BD719" s="4">
        <f t="shared" si="395"/>
        <v>2</v>
      </c>
      <c r="BE719" s="4">
        <f t="shared" si="396"/>
        <v>4</v>
      </c>
      <c r="BF719" s="4">
        <f t="shared" si="397"/>
        <v>2</v>
      </c>
      <c r="BG719" s="4">
        <f t="shared" si="398"/>
        <v>4</v>
      </c>
      <c r="BH719" s="4">
        <f t="shared" si="399"/>
        <v>4</v>
      </c>
      <c r="BI719" s="4">
        <f t="shared" si="400"/>
        <v>4</v>
      </c>
      <c r="BJ719" s="4">
        <f t="shared" si="401"/>
        <v>2</v>
      </c>
      <c r="BK719" s="4" t="str">
        <f t="shared" si="402"/>
        <v>0</v>
      </c>
      <c r="BL719" s="4" t="str">
        <f t="shared" si="403"/>
        <v>0</v>
      </c>
      <c r="BM719" s="4">
        <f t="shared" si="404"/>
        <v>4</v>
      </c>
      <c r="BN719" s="4">
        <f t="shared" si="405"/>
        <v>4</v>
      </c>
      <c r="BO719" s="4">
        <f t="shared" si="406"/>
        <v>4</v>
      </c>
      <c r="BP719" s="4">
        <f t="shared" si="407"/>
        <v>4</v>
      </c>
      <c r="BQ719" s="4">
        <f t="shared" si="408"/>
        <v>6</v>
      </c>
      <c r="BR719" s="4">
        <f t="shared" si="409"/>
        <v>4</v>
      </c>
      <c r="BS719" s="4">
        <f t="shared" si="410"/>
        <v>4</v>
      </c>
      <c r="BT719" s="4">
        <f t="shared" si="411"/>
        <v>4</v>
      </c>
      <c r="BU719" s="4">
        <f t="shared" si="412"/>
        <v>4</v>
      </c>
      <c r="BV719" s="4" t="str">
        <f t="shared" si="413"/>
        <v>0</v>
      </c>
      <c r="BW719" s="4">
        <f t="shared" si="414"/>
        <v>6</v>
      </c>
      <c r="BX719" s="4">
        <f t="shared" si="415"/>
        <v>0</v>
      </c>
      <c r="BY719" s="4">
        <f t="shared" si="416"/>
        <v>0</v>
      </c>
      <c r="BZ719" s="37">
        <f t="shared" si="417"/>
        <v>94</v>
      </c>
      <c r="CA719" s="32" t="str">
        <f>VLOOKUP(J:J,'Agent wise'!A:C,3,0)</f>
        <v>Shakeer</v>
      </c>
      <c r="CB719" s="32">
        <f t="shared" si="418"/>
        <v>45944</v>
      </c>
      <c r="CC719" t="str">
        <f t="shared" si="419"/>
        <v>Good</v>
      </c>
      <c r="CE719" s="32"/>
      <c r="CJ719">
        <f t="shared" si="420"/>
        <v>14</v>
      </c>
      <c r="CK719">
        <f t="shared" si="421"/>
        <v>10</v>
      </c>
      <c r="CL719">
        <f t="shared" si="422"/>
        <v>2025</v>
      </c>
    </row>
    <row r="720" spans="1:90" ht="15" customHeight="1" x14ac:dyDescent="0.35">
      <c r="A720" t="s">
        <v>1754</v>
      </c>
      <c r="B720" t="s">
        <v>51</v>
      </c>
      <c r="C720" t="s">
        <v>214</v>
      </c>
      <c r="D720" t="s">
        <v>53</v>
      </c>
      <c r="E720" s="32">
        <v>45944</v>
      </c>
      <c r="F720" t="s">
        <v>54</v>
      </c>
      <c r="G720" t="s">
        <v>1592</v>
      </c>
      <c r="H720">
        <v>9750359751</v>
      </c>
      <c r="I720">
        <v>302</v>
      </c>
      <c r="J720" t="s">
        <v>466</v>
      </c>
      <c r="K720" t="s">
        <v>71</v>
      </c>
      <c r="L720" t="s">
        <v>72</v>
      </c>
      <c r="M720" t="s">
        <v>59</v>
      </c>
      <c r="N720" t="s">
        <v>59</v>
      </c>
      <c r="O720" t="s">
        <v>59</v>
      </c>
      <c r="P720" t="s">
        <v>59</v>
      </c>
      <c r="Q720" t="s">
        <v>59</v>
      </c>
      <c r="R720" t="s">
        <v>60</v>
      </c>
      <c r="S720" t="s">
        <v>59</v>
      </c>
      <c r="T720" t="s">
        <v>59</v>
      </c>
      <c r="U720" t="s">
        <v>60</v>
      </c>
      <c r="V720" t="s">
        <v>60</v>
      </c>
      <c r="W720" t="s">
        <v>59</v>
      </c>
      <c r="X720" t="s">
        <v>59</v>
      </c>
      <c r="Y720" t="s">
        <v>59</v>
      </c>
      <c r="Z720" t="s">
        <v>59</v>
      </c>
      <c r="AA720" t="s">
        <v>59</v>
      </c>
      <c r="AB720" t="s">
        <v>60</v>
      </c>
      <c r="AC720" t="s">
        <v>60</v>
      </c>
      <c r="AD720" t="s">
        <v>59</v>
      </c>
      <c r="AE720" t="s">
        <v>59</v>
      </c>
      <c r="AF720" t="s">
        <v>61</v>
      </c>
      <c r="AG720" t="s">
        <v>59</v>
      </c>
      <c r="AH720" t="s">
        <v>61</v>
      </c>
      <c r="AI720" t="s">
        <v>59</v>
      </c>
      <c r="AJ720" t="s">
        <v>59</v>
      </c>
      <c r="AK720" t="s">
        <v>61</v>
      </c>
      <c r="AL720" t="s">
        <v>60</v>
      </c>
      <c r="AM720" t="s">
        <v>59</v>
      </c>
      <c r="AN720" t="s">
        <v>59</v>
      </c>
      <c r="AO720" t="s">
        <v>59</v>
      </c>
      <c r="AP720" t="s">
        <v>1755</v>
      </c>
      <c r="AQ720" t="s">
        <v>77</v>
      </c>
      <c r="AR720" t="s">
        <v>64</v>
      </c>
      <c r="AS720" t="s">
        <v>325</v>
      </c>
      <c r="AT720" t="s">
        <v>324</v>
      </c>
      <c r="AU720" t="s">
        <v>299</v>
      </c>
      <c r="AW720" s="4">
        <f t="shared" si="388"/>
        <v>6</v>
      </c>
      <c r="AX720" s="4">
        <f t="shared" si="389"/>
        <v>4</v>
      </c>
      <c r="AY720" s="4">
        <f t="shared" si="390"/>
        <v>4</v>
      </c>
      <c r="AZ720" s="4">
        <f t="shared" si="391"/>
        <v>2</v>
      </c>
      <c r="BA720" s="4">
        <f t="shared" si="392"/>
        <v>4</v>
      </c>
      <c r="BB720" s="4" t="str">
        <f t="shared" si="393"/>
        <v>0</v>
      </c>
      <c r="BC720" s="4">
        <f t="shared" si="394"/>
        <v>4</v>
      </c>
      <c r="BD720" s="4">
        <f t="shared" si="395"/>
        <v>2</v>
      </c>
      <c r="BE720" s="4" t="str">
        <f t="shared" si="396"/>
        <v>0</v>
      </c>
      <c r="BF720" s="4" t="str">
        <f t="shared" si="397"/>
        <v>0</v>
      </c>
      <c r="BG720" s="4">
        <f t="shared" si="398"/>
        <v>4</v>
      </c>
      <c r="BH720" s="4">
        <f t="shared" si="399"/>
        <v>4</v>
      </c>
      <c r="BI720" s="4">
        <f t="shared" si="400"/>
        <v>4</v>
      </c>
      <c r="BJ720" s="4">
        <f t="shared" si="401"/>
        <v>2</v>
      </c>
      <c r="BK720" s="4">
        <f t="shared" si="402"/>
        <v>4</v>
      </c>
      <c r="BL720" s="4" t="str">
        <f t="shared" si="403"/>
        <v>0</v>
      </c>
      <c r="BM720" s="4" t="str">
        <f t="shared" si="404"/>
        <v>0</v>
      </c>
      <c r="BN720" s="4">
        <f t="shared" si="405"/>
        <v>4</v>
      </c>
      <c r="BO720" s="4">
        <f t="shared" si="406"/>
        <v>4</v>
      </c>
      <c r="BP720" s="4">
        <f t="shared" si="407"/>
        <v>4</v>
      </c>
      <c r="BQ720" s="4">
        <f t="shared" si="408"/>
        <v>6</v>
      </c>
      <c r="BR720" s="4">
        <f t="shared" si="409"/>
        <v>4</v>
      </c>
      <c r="BS720" s="4">
        <f t="shared" si="410"/>
        <v>4</v>
      </c>
      <c r="BT720" s="4">
        <f t="shared" si="411"/>
        <v>4</v>
      </c>
      <c r="BU720" s="4">
        <f t="shared" si="412"/>
        <v>4</v>
      </c>
      <c r="BV720" s="4" t="str">
        <f t="shared" si="413"/>
        <v>0</v>
      </c>
      <c r="BW720" s="4">
        <f t="shared" si="414"/>
        <v>6</v>
      </c>
      <c r="BX720" s="4">
        <f t="shared" si="415"/>
        <v>0</v>
      </c>
      <c r="BY720" s="4">
        <f t="shared" si="416"/>
        <v>0</v>
      </c>
      <c r="BZ720" s="37">
        <f t="shared" si="417"/>
        <v>84</v>
      </c>
      <c r="CA720" s="32" t="str">
        <f>VLOOKUP(J:J,'Agent wise'!A:C,3,0)</f>
        <v>Adharsh</v>
      </c>
      <c r="CB720" s="32">
        <f t="shared" si="418"/>
        <v>45944</v>
      </c>
      <c r="CC720" t="str">
        <f t="shared" si="419"/>
        <v>FC</v>
      </c>
      <c r="CE720" s="32"/>
      <c r="CJ720">
        <f t="shared" si="420"/>
        <v>14</v>
      </c>
      <c r="CK720">
        <f t="shared" si="421"/>
        <v>10</v>
      </c>
      <c r="CL720">
        <f t="shared" si="422"/>
        <v>2025</v>
      </c>
    </row>
    <row r="721" spans="1:90" ht="15" customHeight="1" x14ac:dyDescent="0.35">
      <c r="A721" t="s">
        <v>1756</v>
      </c>
      <c r="B721" t="s">
        <v>51</v>
      </c>
      <c r="C721" t="s">
        <v>214</v>
      </c>
      <c r="D721" t="s">
        <v>53</v>
      </c>
      <c r="E721" s="32">
        <v>45944</v>
      </c>
      <c r="F721" t="s">
        <v>54</v>
      </c>
      <c r="G721" t="s">
        <v>1592</v>
      </c>
      <c r="H721">
        <v>8547289651</v>
      </c>
      <c r="I721">
        <v>151</v>
      </c>
      <c r="J721" t="s">
        <v>638</v>
      </c>
      <c r="K721" t="s">
        <v>57</v>
      </c>
      <c r="L721" t="s">
        <v>58</v>
      </c>
      <c r="M721" t="s">
        <v>59</v>
      </c>
      <c r="N721" t="s">
        <v>59</v>
      </c>
      <c r="O721" t="s">
        <v>59</v>
      </c>
      <c r="P721" t="s">
        <v>59</v>
      </c>
      <c r="Q721" t="s">
        <v>59</v>
      </c>
      <c r="R721" t="s">
        <v>60</v>
      </c>
      <c r="S721" t="s">
        <v>59</v>
      </c>
      <c r="T721" t="s">
        <v>59</v>
      </c>
      <c r="U721" t="s">
        <v>60</v>
      </c>
      <c r="V721" t="s">
        <v>59</v>
      </c>
      <c r="W721" t="s">
        <v>59</v>
      </c>
      <c r="X721" t="s">
        <v>59</v>
      </c>
      <c r="Y721" t="s">
        <v>59</v>
      </c>
      <c r="Z721" t="s">
        <v>59</v>
      </c>
      <c r="AA721" t="s">
        <v>59</v>
      </c>
      <c r="AB721" t="s">
        <v>59</v>
      </c>
      <c r="AC721" t="s">
        <v>61</v>
      </c>
      <c r="AD721" t="s">
        <v>59</v>
      </c>
      <c r="AE721" t="s">
        <v>60</v>
      </c>
      <c r="AF721" t="s">
        <v>61</v>
      </c>
      <c r="AG721" t="s">
        <v>59</v>
      </c>
      <c r="AH721" t="s">
        <v>61</v>
      </c>
      <c r="AI721" t="s">
        <v>60</v>
      </c>
      <c r="AJ721" t="s">
        <v>59</v>
      </c>
      <c r="AK721" t="s">
        <v>61</v>
      </c>
      <c r="AL721" t="s">
        <v>60</v>
      </c>
      <c r="AM721" t="s">
        <v>59</v>
      </c>
      <c r="AN721" t="s">
        <v>59</v>
      </c>
      <c r="AO721" t="s">
        <v>59</v>
      </c>
      <c r="AP721" t="s">
        <v>1757</v>
      </c>
      <c r="AQ721" t="s">
        <v>591</v>
      </c>
      <c r="AR721" t="s">
        <v>64</v>
      </c>
      <c r="AS721" t="s">
        <v>319</v>
      </c>
      <c r="AT721" t="s">
        <v>1758</v>
      </c>
      <c r="AU721" t="s">
        <v>448</v>
      </c>
      <c r="AW721" s="4">
        <f t="shared" si="388"/>
        <v>6</v>
      </c>
      <c r="AX721" s="4">
        <f t="shared" si="389"/>
        <v>4</v>
      </c>
      <c r="AY721" s="4">
        <f t="shared" si="390"/>
        <v>4</v>
      </c>
      <c r="AZ721" s="4">
        <f t="shared" si="391"/>
        <v>2</v>
      </c>
      <c r="BA721" s="4">
        <f t="shared" si="392"/>
        <v>4</v>
      </c>
      <c r="BB721" s="4" t="str">
        <f t="shared" si="393"/>
        <v>0</v>
      </c>
      <c r="BC721" s="4">
        <f t="shared" si="394"/>
        <v>4</v>
      </c>
      <c r="BD721" s="4">
        <f t="shared" si="395"/>
        <v>2</v>
      </c>
      <c r="BE721" s="4" t="str">
        <f t="shared" si="396"/>
        <v>0</v>
      </c>
      <c r="BF721" s="4">
        <f t="shared" si="397"/>
        <v>2</v>
      </c>
      <c r="BG721" s="4">
        <f t="shared" si="398"/>
        <v>4</v>
      </c>
      <c r="BH721" s="4">
        <f t="shared" si="399"/>
        <v>4</v>
      </c>
      <c r="BI721" s="4">
        <f t="shared" si="400"/>
        <v>4</v>
      </c>
      <c r="BJ721" s="4">
        <f t="shared" si="401"/>
        <v>2</v>
      </c>
      <c r="BK721" s="4">
        <f t="shared" si="402"/>
        <v>4</v>
      </c>
      <c r="BL721" s="4">
        <f t="shared" si="403"/>
        <v>2</v>
      </c>
      <c r="BM721" s="4">
        <f t="shared" si="404"/>
        <v>4</v>
      </c>
      <c r="BN721" s="4">
        <f t="shared" si="405"/>
        <v>4</v>
      </c>
      <c r="BO721" s="4" t="str">
        <f t="shared" si="406"/>
        <v>0</v>
      </c>
      <c r="BP721" s="4">
        <f t="shared" si="407"/>
        <v>4</v>
      </c>
      <c r="BQ721" s="4">
        <f t="shared" si="408"/>
        <v>6</v>
      </c>
      <c r="BR721" s="4">
        <f t="shared" si="409"/>
        <v>4</v>
      </c>
      <c r="BS721" s="4" t="str">
        <f t="shared" si="410"/>
        <v>0</v>
      </c>
      <c r="BT721" s="4">
        <f t="shared" si="411"/>
        <v>4</v>
      </c>
      <c r="BU721" s="4">
        <f t="shared" si="412"/>
        <v>4</v>
      </c>
      <c r="BV721" s="4" t="str">
        <f t="shared" si="413"/>
        <v>0</v>
      </c>
      <c r="BW721" s="4">
        <f t="shared" si="414"/>
        <v>6</v>
      </c>
      <c r="BX721" s="4">
        <f t="shared" si="415"/>
        <v>0</v>
      </c>
      <c r="BY721" s="4">
        <f t="shared" si="416"/>
        <v>0</v>
      </c>
      <c r="BZ721" s="37">
        <f t="shared" si="417"/>
        <v>84</v>
      </c>
      <c r="CA721" s="32" t="str">
        <f>VLOOKUP(J:J,'Agent wise'!A:C,3,0)</f>
        <v>Adharsh</v>
      </c>
      <c r="CB721" s="32">
        <f t="shared" si="418"/>
        <v>45944</v>
      </c>
      <c r="CC721" t="str">
        <f t="shared" si="419"/>
        <v>FC</v>
      </c>
      <c r="CE721" s="32"/>
      <c r="CJ721">
        <f t="shared" si="420"/>
        <v>14</v>
      </c>
      <c r="CK721">
        <f t="shared" si="421"/>
        <v>10</v>
      </c>
      <c r="CL721">
        <f t="shared" si="422"/>
        <v>2025</v>
      </c>
    </row>
    <row r="722" spans="1:90" ht="15" customHeight="1" x14ac:dyDescent="0.35">
      <c r="A722" t="s">
        <v>1759</v>
      </c>
      <c r="B722" t="s">
        <v>51</v>
      </c>
      <c r="C722" t="s">
        <v>214</v>
      </c>
      <c r="D722" t="s">
        <v>53</v>
      </c>
      <c r="E722" s="32">
        <v>45944</v>
      </c>
      <c r="F722" t="s">
        <v>54</v>
      </c>
      <c r="G722" t="s">
        <v>1592</v>
      </c>
      <c r="H722">
        <v>9962647567</v>
      </c>
      <c r="I722">
        <v>137</v>
      </c>
      <c r="J722" t="s">
        <v>139</v>
      </c>
      <c r="K722" t="s">
        <v>86</v>
      </c>
      <c r="L722" t="s">
        <v>72</v>
      </c>
      <c r="M722" t="s">
        <v>59</v>
      </c>
      <c r="N722" t="s">
        <v>59</v>
      </c>
      <c r="O722" t="s">
        <v>59</v>
      </c>
      <c r="P722" t="s">
        <v>59</v>
      </c>
      <c r="Q722" t="s">
        <v>59</v>
      </c>
      <c r="R722" t="s">
        <v>59</v>
      </c>
      <c r="S722" t="s">
        <v>59</v>
      </c>
      <c r="T722" t="s">
        <v>59</v>
      </c>
      <c r="U722" t="s">
        <v>60</v>
      </c>
      <c r="V722" t="s">
        <v>59</v>
      </c>
      <c r="W722" t="s">
        <v>59</v>
      </c>
      <c r="X722" t="s">
        <v>59</v>
      </c>
      <c r="Y722" t="s">
        <v>59</v>
      </c>
      <c r="Z722" t="s">
        <v>59</v>
      </c>
      <c r="AA722" t="s">
        <v>59</v>
      </c>
      <c r="AB722" t="s">
        <v>60</v>
      </c>
      <c r="AC722" t="s">
        <v>61</v>
      </c>
      <c r="AD722" t="s">
        <v>59</v>
      </c>
      <c r="AE722" t="s">
        <v>59</v>
      </c>
      <c r="AF722" t="s">
        <v>61</v>
      </c>
      <c r="AG722" t="s">
        <v>59</v>
      </c>
      <c r="AH722" t="s">
        <v>61</v>
      </c>
      <c r="AI722" t="s">
        <v>61</v>
      </c>
      <c r="AJ722" t="s">
        <v>59</v>
      </c>
      <c r="AK722" t="s">
        <v>61</v>
      </c>
      <c r="AL722" t="s">
        <v>60</v>
      </c>
      <c r="AM722" t="s">
        <v>59</v>
      </c>
      <c r="AN722" t="s">
        <v>59</v>
      </c>
      <c r="AO722" t="s">
        <v>59</v>
      </c>
      <c r="AP722" t="s">
        <v>531</v>
      </c>
      <c r="AQ722" t="s">
        <v>1760</v>
      </c>
      <c r="AR722" t="s">
        <v>64</v>
      </c>
      <c r="AS722" t="s">
        <v>142</v>
      </c>
      <c r="AT722" t="s">
        <v>471</v>
      </c>
      <c r="AU722" t="s">
        <v>448</v>
      </c>
      <c r="AW722" s="4">
        <f t="shared" si="388"/>
        <v>6</v>
      </c>
      <c r="AX722" s="4">
        <f t="shared" si="389"/>
        <v>4</v>
      </c>
      <c r="AY722" s="4">
        <f t="shared" si="390"/>
        <v>4</v>
      </c>
      <c r="AZ722" s="4">
        <f t="shared" si="391"/>
        <v>2</v>
      </c>
      <c r="BA722" s="4">
        <f t="shared" si="392"/>
        <v>4</v>
      </c>
      <c r="BB722" s="4">
        <f t="shared" si="393"/>
        <v>4</v>
      </c>
      <c r="BC722" s="4">
        <f t="shared" si="394"/>
        <v>4</v>
      </c>
      <c r="BD722" s="4">
        <f t="shared" si="395"/>
        <v>2</v>
      </c>
      <c r="BE722" s="4" t="str">
        <f t="shared" si="396"/>
        <v>0</v>
      </c>
      <c r="BF722" s="4">
        <f t="shared" si="397"/>
        <v>2</v>
      </c>
      <c r="BG722" s="4">
        <f t="shared" si="398"/>
        <v>4</v>
      </c>
      <c r="BH722" s="4">
        <f t="shared" si="399"/>
        <v>4</v>
      </c>
      <c r="BI722" s="4">
        <f t="shared" si="400"/>
        <v>4</v>
      </c>
      <c r="BJ722" s="4">
        <f t="shared" si="401"/>
        <v>2</v>
      </c>
      <c r="BK722" s="4">
        <f t="shared" si="402"/>
        <v>4</v>
      </c>
      <c r="BL722" s="4" t="str">
        <f t="shared" si="403"/>
        <v>0</v>
      </c>
      <c r="BM722" s="4">
        <f t="shared" si="404"/>
        <v>4</v>
      </c>
      <c r="BN722" s="4">
        <f t="shared" si="405"/>
        <v>4</v>
      </c>
      <c r="BO722" s="4">
        <f t="shared" si="406"/>
        <v>4</v>
      </c>
      <c r="BP722" s="4">
        <f t="shared" si="407"/>
        <v>4</v>
      </c>
      <c r="BQ722" s="4">
        <f t="shared" si="408"/>
        <v>6</v>
      </c>
      <c r="BR722" s="4">
        <f t="shared" si="409"/>
        <v>4</v>
      </c>
      <c r="BS722" s="4">
        <f t="shared" si="410"/>
        <v>4</v>
      </c>
      <c r="BT722" s="4">
        <f t="shared" si="411"/>
        <v>4</v>
      </c>
      <c r="BU722" s="4">
        <f t="shared" si="412"/>
        <v>4</v>
      </c>
      <c r="BV722" s="4" t="str">
        <f t="shared" si="413"/>
        <v>0</v>
      </c>
      <c r="BW722" s="4">
        <f t="shared" si="414"/>
        <v>6</v>
      </c>
      <c r="BX722" s="4">
        <f t="shared" si="415"/>
        <v>0</v>
      </c>
      <c r="BY722" s="4">
        <f t="shared" si="416"/>
        <v>0</v>
      </c>
      <c r="BZ722" s="37">
        <f t="shared" si="417"/>
        <v>94</v>
      </c>
      <c r="CA722" s="32" t="str">
        <f>VLOOKUP(J:J,'Agent wise'!A:C,3,0)</f>
        <v>Shakeer</v>
      </c>
      <c r="CB722" s="32">
        <f t="shared" si="418"/>
        <v>45944</v>
      </c>
      <c r="CC722" t="str">
        <f t="shared" si="419"/>
        <v>Good</v>
      </c>
      <c r="CE722" s="32"/>
      <c r="CJ722">
        <f t="shared" si="420"/>
        <v>14</v>
      </c>
      <c r="CK722">
        <f t="shared" si="421"/>
        <v>10</v>
      </c>
      <c r="CL722">
        <f t="shared" si="422"/>
        <v>2025</v>
      </c>
    </row>
    <row r="723" spans="1:90" ht="15" customHeight="1" x14ac:dyDescent="0.35">
      <c r="A723" t="s">
        <v>1761</v>
      </c>
      <c r="B723" t="s">
        <v>51</v>
      </c>
      <c r="C723" t="s">
        <v>214</v>
      </c>
      <c r="D723" t="s">
        <v>53</v>
      </c>
      <c r="E723" s="32">
        <v>45944</v>
      </c>
      <c r="F723" t="s">
        <v>54</v>
      </c>
      <c r="G723" t="s">
        <v>1592</v>
      </c>
      <c r="H723">
        <v>9447948316</v>
      </c>
      <c r="I723">
        <v>154</v>
      </c>
      <c r="J723" t="s">
        <v>548</v>
      </c>
      <c r="K723" t="s">
        <v>57</v>
      </c>
      <c r="L723" t="s">
        <v>58</v>
      </c>
      <c r="M723" t="s">
        <v>59</v>
      </c>
      <c r="N723" t="s">
        <v>59</v>
      </c>
      <c r="O723" t="s">
        <v>59</v>
      </c>
      <c r="P723" t="s">
        <v>59</v>
      </c>
      <c r="Q723" t="s">
        <v>59</v>
      </c>
      <c r="R723" t="s">
        <v>60</v>
      </c>
      <c r="S723" t="s">
        <v>59</v>
      </c>
      <c r="T723" t="s">
        <v>59</v>
      </c>
      <c r="U723" t="s">
        <v>60</v>
      </c>
      <c r="V723" t="s">
        <v>59</v>
      </c>
      <c r="W723" t="s">
        <v>59</v>
      </c>
      <c r="X723" t="s">
        <v>59</v>
      </c>
      <c r="Y723" t="s">
        <v>60</v>
      </c>
      <c r="Z723" t="s">
        <v>59</v>
      </c>
      <c r="AA723" t="s">
        <v>59</v>
      </c>
      <c r="AB723" t="s">
        <v>59</v>
      </c>
      <c r="AC723" t="s">
        <v>61</v>
      </c>
      <c r="AD723" t="s">
        <v>59</v>
      </c>
      <c r="AE723" t="s">
        <v>59</v>
      </c>
      <c r="AF723" t="s">
        <v>61</v>
      </c>
      <c r="AG723" t="s">
        <v>59</v>
      </c>
      <c r="AH723" t="s">
        <v>61</v>
      </c>
      <c r="AI723" t="s">
        <v>61</v>
      </c>
      <c r="AJ723" t="s">
        <v>59</v>
      </c>
      <c r="AK723" t="s">
        <v>61</v>
      </c>
      <c r="AL723" t="s">
        <v>59</v>
      </c>
      <c r="AM723" t="s">
        <v>59</v>
      </c>
      <c r="AN723" t="s">
        <v>59</v>
      </c>
      <c r="AO723" t="s">
        <v>59</v>
      </c>
      <c r="AP723" t="s">
        <v>1762</v>
      </c>
      <c r="AQ723" t="s">
        <v>1763</v>
      </c>
      <c r="AR723" t="s">
        <v>64</v>
      </c>
      <c r="AS723" t="s">
        <v>845</v>
      </c>
      <c r="AT723" t="s">
        <v>1619</v>
      </c>
      <c r="AU723" t="s">
        <v>299</v>
      </c>
      <c r="AW723" s="4">
        <f t="shared" si="388"/>
        <v>6</v>
      </c>
      <c r="AX723" s="4">
        <f t="shared" si="389"/>
        <v>4</v>
      </c>
      <c r="AY723" s="4">
        <f t="shared" si="390"/>
        <v>4</v>
      </c>
      <c r="AZ723" s="4">
        <f t="shared" si="391"/>
        <v>2</v>
      </c>
      <c r="BA723" s="4">
        <f t="shared" si="392"/>
        <v>4</v>
      </c>
      <c r="BB723" s="4" t="str">
        <f t="shared" si="393"/>
        <v>0</v>
      </c>
      <c r="BC723" s="4">
        <f t="shared" si="394"/>
        <v>4</v>
      </c>
      <c r="BD723" s="4">
        <f t="shared" si="395"/>
        <v>2</v>
      </c>
      <c r="BE723" s="4" t="str">
        <f t="shared" si="396"/>
        <v>0</v>
      </c>
      <c r="BF723" s="4">
        <f t="shared" si="397"/>
        <v>2</v>
      </c>
      <c r="BG723" s="4">
        <f t="shared" si="398"/>
        <v>4</v>
      </c>
      <c r="BH723" s="4">
        <f t="shared" si="399"/>
        <v>4</v>
      </c>
      <c r="BI723" s="4" t="str">
        <f t="shared" si="400"/>
        <v>0</v>
      </c>
      <c r="BJ723" s="4">
        <f t="shared" si="401"/>
        <v>2</v>
      </c>
      <c r="BK723" s="4">
        <f t="shared" si="402"/>
        <v>4</v>
      </c>
      <c r="BL723" s="4">
        <f t="shared" si="403"/>
        <v>2</v>
      </c>
      <c r="BM723" s="4">
        <f t="shared" si="404"/>
        <v>4</v>
      </c>
      <c r="BN723" s="4">
        <f t="shared" si="405"/>
        <v>4</v>
      </c>
      <c r="BO723" s="4">
        <f t="shared" si="406"/>
        <v>4</v>
      </c>
      <c r="BP723" s="4">
        <f t="shared" si="407"/>
        <v>4</v>
      </c>
      <c r="BQ723" s="4">
        <f t="shared" si="408"/>
        <v>6</v>
      </c>
      <c r="BR723" s="4">
        <f t="shared" si="409"/>
        <v>4</v>
      </c>
      <c r="BS723" s="4">
        <f t="shared" si="410"/>
        <v>4</v>
      </c>
      <c r="BT723" s="4">
        <f t="shared" si="411"/>
        <v>4</v>
      </c>
      <c r="BU723" s="4">
        <f t="shared" si="412"/>
        <v>4</v>
      </c>
      <c r="BV723" s="4">
        <f t="shared" si="413"/>
        <v>0</v>
      </c>
      <c r="BW723" s="4">
        <f t="shared" si="414"/>
        <v>6</v>
      </c>
      <c r="BX723" s="4">
        <f t="shared" si="415"/>
        <v>0</v>
      </c>
      <c r="BY723" s="4">
        <f t="shared" si="416"/>
        <v>0</v>
      </c>
      <c r="BZ723" s="37">
        <f t="shared" si="417"/>
        <v>88</v>
      </c>
      <c r="CA723" s="32" t="str">
        <f>VLOOKUP(J:J,'Agent wise'!A:C,3,0)</f>
        <v>Adharsh</v>
      </c>
      <c r="CB723" s="32">
        <f t="shared" si="418"/>
        <v>45944</v>
      </c>
      <c r="CC723" t="str">
        <f t="shared" si="419"/>
        <v>Average</v>
      </c>
      <c r="CE723" s="32"/>
      <c r="CJ723">
        <f t="shared" si="420"/>
        <v>14</v>
      </c>
      <c r="CK723">
        <f t="shared" si="421"/>
        <v>10</v>
      </c>
      <c r="CL723">
        <f t="shared" si="422"/>
        <v>2025</v>
      </c>
    </row>
    <row r="724" spans="1:90" ht="15" customHeight="1" x14ac:dyDescent="0.35">
      <c r="A724" t="s">
        <v>1764</v>
      </c>
      <c r="B724" t="s">
        <v>51</v>
      </c>
      <c r="C724" t="s">
        <v>214</v>
      </c>
      <c r="D724" t="s">
        <v>53</v>
      </c>
      <c r="E724" s="32">
        <v>45944</v>
      </c>
      <c r="F724" t="s">
        <v>90</v>
      </c>
      <c r="G724" t="s">
        <v>1592</v>
      </c>
      <c r="H724">
        <v>9385706434</v>
      </c>
      <c r="I724">
        <v>257</v>
      </c>
      <c r="J724" t="s">
        <v>208</v>
      </c>
      <c r="K724" t="s">
        <v>71</v>
      </c>
      <c r="L724" t="s">
        <v>72</v>
      </c>
      <c r="M724" t="s">
        <v>59</v>
      </c>
      <c r="N724" t="s">
        <v>59</v>
      </c>
      <c r="O724" t="s">
        <v>59</v>
      </c>
      <c r="P724" t="s">
        <v>59</v>
      </c>
      <c r="Q724" t="s">
        <v>59</v>
      </c>
      <c r="R724" t="s">
        <v>60</v>
      </c>
      <c r="S724" t="s">
        <v>59</v>
      </c>
      <c r="T724" t="s">
        <v>59</v>
      </c>
      <c r="U724" t="s">
        <v>60</v>
      </c>
      <c r="V724" t="s">
        <v>59</v>
      </c>
      <c r="W724" t="s">
        <v>59</v>
      </c>
      <c r="X724" t="s">
        <v>59</v>
      </c>
      <c r="Y724" t="s">
        <v>59</v>
      </c>
      <c r="Z724" t="s">
        <v>59</v>
      </c>
      <c r="AA724" t="s">
        <v>59</v>
      </c>
      <c r="AB724" t="s">
        <v>59</v>
      </c>
      <c r="AC724" t="s">
        <v>60</v>
      </c>
      <c r="AD724" t="s">
        <v>59</v>
      </c>
      <c r="AE724" t="s">
        <v>60</v>
      </c>
      <c r="AF724" t="s">
        <v>61</v>
      </c>
      <c r="AG724" t="s">
        <v>59</v>
      </c>
      <c r="AH724" t="s">
        <v>61</v>
      </c>
      <c r="AI724" t="s">
        <v>60</v>
      </c>
      <c r="AJ724" t="s">
        <v>59</v>
      </c>
      <c r="AK724" t="s">
        <v>61</v>
      </c>
      <c r="AL724" t="s">
        <v>60</v>
      </c>
      <c r="AM724" t="s">
        <v>59</v>
      </c>
      <c r="AN724" t="s">
        <v>59</v>
      </c>
      <c r="AO724" t="s">
        <v>59</v>
      </c>
      <c r="AP724" t="s">
        <v>1765</v>
      </c>
      <c r="AQ724" t="s">
        <v>77</v>
      </c>
      <c r="AR724" t="s">
        <v>64</v>
      </c>
      <c r="AS724" t="s">
        <v>94</v>
      </c>
      <c r="AT724" t="s">
        <v>1766</v>
      </c>
      <c r="AU724" t="s">
        <v>387</v>
      </c>
      <c r="AW724" s="4">
        <f t="shared" si="388"/>
        <v>6</v>
      </c>
      <c r="AX724" s="4">
        <f t="shared" si="389"/>
        <v>4</v>
      </c>
      <c r="AY724" s="4">
        <f t="shared" si="390"/>
        <v>4</v>
      </c>
      <c r="AZ724" s="4">
        <f t="shared" si="391"/>
        <v>2</v>
      </c>
      <c r="BA724" s="4">
        <f t="shared" si="392"/>
        <v>4</v>
      </c>
      <c r="BB724" s="4" t="str">
        <f t="shared" si="393"/>
        <v>0</v>
      </c>
      <c r="BC724" s="4">
        <f t="shared" si="394"/>
        <v>4</v>
      </c>
      <c r="BD724" s="4">
        <f t="shared" si="395"/>
        <v>2</v>
      </c>
      <c r="BE724" s="4" t="str">
        <f t="shared" si="396"/>
        <v>0</v>
      </c>
      <c r="BF724" s="4">
        <f t="shared" si="397"/>
        <v>2</v>
      </c>
      <c r="BG724" s="4">
        <f t="shared" si="398"/>
        <v>4</v>
      </c>
      <c r="BH724" s="4">
        <f t="shared" si="399"/>
        <v>4</v>
      </c>
      <c r="BI724" s="4">
        <f t="shared" si="400"/>
        <v>4</v>
      </c>
      <c r="BJ724" s="4">
        <f t="shared" si="401"/>
        <v>2</v>
      </c>
      <c r="BK724" s="4">
        <f t="shared" si="402"/>
        <v>4</v>
      </c>
      <c r="BL724" s="4">
        <f t="shared" si="403"/>
        <v>2</v>
      </c>
      <c r="BM724" s="4" t="str">
        <f t="shared" si="404"/>
        <v>0</v>
      </c>
      <c r="BN724" s="4">
        <f t="shared" si="405"/>
        <v>4</v>
      </c>
      <c r="BO724" s="4" t="str">
        <f t="shared" si="406"/>
        <v>0</v>
      </c>
      <c r="BP724" s="4">
        <f t="shared" si="407"/>
        <v>4</v>
      </c>
      <c r="BQ724" s="4">
        <f t="shared" si="408"/>
        <v>6</v>
      </c>
      <c r="BR724" s="4">
        <f t="shared" si="409"/>
        <v>4</v>
      </c>
      <c r="BS724" s="4" t="str">
        <f t="shared" si="410"/>
        <v>0</v>
      </c>
      <c r="BT724" s="4">
        <f t="shared" si="411"/>
        <v>4</v>
      </c>
      <c r="BU724" s="4">
        <f t="shared" si="412"/>
        <v>4</v>
      </c>
      <c r="BV724" s="4" t="str">
        <f t="shared" si="413"/>
        <v>0</v>
      </c>
      <c r="BW724" s="4">
        <f t="shared" si="414"/>
        <v>6</v>
      </c>
      <c r="BX724" s="4">
        <f t="shared" si="415"/>
        <v>0</v>
      </c>
      <c r="BY724" s="4">
        <f t="shared" si="416"/>
        <v>0</v>
      </c>
      <c r="BZ724" s="37">
        <f t="shared" si="417"/>
        <v>80</v>
      </c>
      <c r="CA724" s="32" t="str">
        <f>VLOOKUP(J:J,'Agent wise'!A:C,3,0)</f>
        <v>Adharsh</v>
      </c>
      <c r="CB724" s="32">
        <f t="shared" si="418"/>
        <v>45944</v>
      </c>
      <c r="CC724" t="str">
        <f t="shared" si="419"/>
        <v>FC</v>
      </c>
      <c r="CE724" s="32"/>
      <c r="CJ724">
        <f t="shared" si="420"/>
        <v>14</v>
      </c>
      <c r="CK724">
        <f t="shared" si="421"/>
        <v>10</v>
      </c>
      <c r="CL724">
        <f t="shared" si="422"/>
        <v>2025</v>
      </c>
    </row>
    <row r="725" spans="1:90" ht="15" customHeight="1" x14ac:dyDescent="0.35">
      <c r="A725" t="s">
        <v>1767</v>
      </c>
      <c r="B725" t="s">
        <v>100</v>
      </c>
      <c r="C725" t="s">
        <v>214</v>
      </c>
      <c r="D725" t="s">
        <v>101</v>
      </c>
      <c r="E725" s="32">
        <v>45944</v>
      </c>
      <c r="F725" t="s">
        <v>54</v>
      </c>
      <c r="G725" t="s">
        <v>1592</v>
      </c>
      <c r="H725">
        <v>9943837976</v>
      </c>
      <c r="I725">
        <v>140</v>
      </c>
      <c r="J725" t="s">
        <v>657</v>
      </c>
      <c r="K725" t="s">
        <v>71</v>
      </c>
      <c r="L725" t="s">
        <v>72</v>
      </c>
      <c r="M725" t="s">
        <v>59</v>
      </c>
      <c r="N725" t="s">
        <v>59</v>
      </c>
      <c r="O725" t="s">
        <v>59</v>
      </c>
      <c r="P725" t="s">
        <v>59</v>
      </c>
      <c r="Q725" t="s">
        <v>59</v>
      </c>
      <c r="R725" t="s">
        <v>60</v>
      </c>
      <c r="S725" t="s">
        <v>59</v>
      </c>
      <c r="T725" t="s">
        <v>59</v>
      </c>
      <c r="U725" t="s">
        <v>60</v>
      </c>
      <c r="V725" t="s">
        <v>59</v>
      </c>
      <c r="W725" t="s">
        <v>59</v>
      </c>
      <c r="X725" t="s">
        <v>59</v>
      </c>
      <c r="Y725" t="s">
        <v>59</v>
      </c>
      <c r="Z725" t="s">
        <v>59</v>
      </c>
      <c r="AA725" t="s">
        <v>60</v>
      </c>
      <c r="AB725" t="s">
        <v>59</v>
      </c>
      <c r="AC725" t="s">
        <v>61</v>
      </c>
      <c r="AD725" t="s">
        <v>61</v>
      </c>
      <c r="AE725" t="s">
        <v>60</v>
      </c>
      <c r="AF725" t="s">
        <v>61</v>
      </c>
      <c r="AG725" t="s">
        <v>59</v>
      </c>
      <c r="AH725" t="s">
        <v>61</v>
      </c>
      <c r="AI725" t="s">
        <v>61</v>
      </c>
      <c r="AJ725" t="s">
        <v>59</v>
      </c>
      <c r="AK725" t="s">
        <v>59</v>
      </c>
      <c r="AL725" t="s">
        <v>60</v>
      </c>
      <c r="AM725" t="s">
        <v>60</v>
      </c>
      <c r="AN725" t="s">
        <v>60</v>
      </c>
      <c r="AO725" t="s">
        <v>60</v>
      </c>
      <c r="AP725" t="s">
        <v>1768</v>
      </c>
      <c r="AQ725" s="1" t="s">
        <v>1769</v>
      </c>
      <c r="AR725" t="s">
        <v>64</v>
      </c>
      <c r="AS725" t="s">
        <v>89</v>
      </c>
      <c r="AT725" t="s">
        <v>84</v>
      </c>
      <c r="AU725" t="s">
        <v>299</v>
      </c>
      <c r="AW725" s="4">
        <f t="shared" si="388"/>
        <v>6</v>
      </c>
      <c r="AX725" s="4">
        <f t="shared" si="389"/>
        <v>4</v>
      </c>
      <c r="AY725" s="4">
        <f t="shared" si="390"/>
        <v>4</v>
      </c>
      <c r="AZ725" s="4">
        <f t="shared" si="391"/>
        <v>2</v>
      </c>
      <c r="BA725" s="4">
        <f t="shared" si="392"/>
        <v>4</v>
      </c>
      <c r="BB725" s="4" t="str">
        <f t="shared" si="393"/>
        <v>0</v>
      </c>
      <c r="BC725" s="4">
        <f t="shared" si="394"/>
        <v>4</v>
      </c>
      <c r="BD725" s="4">
        <f t="shared" si="395"/>
        <v>2</v>
      </c>
      <c r="BE725" s="4" t="str">
        <f t="shared" si="396"/>
        <v>0</v>
      </c>
      <c r="BF725" s="4">
        <f t="shared" si="397"/>
        <v>2</v>
      </c>
      <c r="BG725" s="4">
        <f t="shared" si="398"/>
        <v>4</v>
      </c>
      <c r="BH725" s="4">
        <f t="shared" si="399"/>
        <v>4</v>
      </c>
      <c r="BI725" s="4">
        <f t="shared" si="400"/>
        <v>4</v>
      </c>
      <c r="BJ725" s="4">
        <f t="shared" si="401"/>
        <v>2</v>
      </c>
      <c r="BK725" s="4" t="str">
        <f t="shared" si="402"/>
        <v>0</v>
      </c>
      <c r="BL725" s="4">
        <f t="shared" si="403"/>
        <v>2</v>
      </c>
      <c r="BM725" s="4">
        <f t="shared" si="404"/>
        <v>4</v>
      </c>
      <c r="BN725" s="4">
        <f t="shared" si="405"/>
        <v>4</v>
      </c>
      <c r="BO725" s="4" t="str">
        <f t="shared" si="406"/>
        <v>0</v>
      </c>
      <c r="BP725" s="4">
        <f t="shared" si="407"/>
        <v>4</v>
      </c>
      <c r="BQ725" s="4">
        <f t="shared" si="408"/>
        <v>6</v>
      </c>
      <c r="BR725" s="4">
        <f t="shared" si="409"/>
        <v>4</v>
      </c>
      <c r="BS725" s="4">
        <f t="shared" si="410"/>
        <v>4</v>
      </c>
      <c r="BT725" s="4">
        <f t="shared" si="411"/>
        <v>4</v>
      </c>
      <c r="BU725" s="4">
        <f t="shared" si="412"/>
        <v>4</v>
      </c>
      <c r="BV725" s="4" t="str">
        <f t="shared" si="413"/>
        <v>0</v>
      </c>
      <c r="BW725" s="4" t="str">
        <f t="shared" si="414"/>
        <v>0</v>
      </c>
      <c r="BX725" s="4" t="str">
        <f t="shared" si="415"/>
        <v>0</v>
      </c>
      <c r="BY725" s="4" t="str">
        <f t="shared" si="416"/>
        <v>0</v>
      </c>
      <c r="BZ725" s="37">
        <f t="shared" si="417"/>
        <v>78</v>
      </c>
      <c r="CA725" s="32" t="str">
        <f>VLOOKUP(J:J,'Agent wise'!A:C,3,0)</f>
        <v>Saran S</v>
      </c>
      <c r="CB725" s="32">
        <f t="shared" si="418"/>
        <v>45944</v>
      </c>
      <c r="CC725" t="str">
        <f t="shared" si="419"/>
        <v>FC</v>
      </c>
      <c r="CE725" s="32"/>
      <c r="CJ725">
        <f t="shared" si="420"/>
        <v>14</v>
      </c>
      <c r="CK725">
        <f t="shared" si="421"/>
        <v>10</v>
      </c>
      <c r="CL725">
        <f t="shared" si="422"/>
        <v>2025</v>
      </c>
    </row>
    <row r="726" spans="1:90" ht="15" customHeight="1" x14ac:dyDescent="0.35">
      <c r="A726" t="s">
        <v>1770</v>
      </c>
      <c r="B726" t="s">
        <v>100</v>
      </c>
      <c r="C726" t="s">
        <v>214</v>
      </c>
      <c r="D726" t="s">
        <v>101</v>
      </c>
      <c r="E726" s="32">
        <v>45944</v>
      </c>
      <c r="F726" t="s">
        <v>54</v>
      </c>
      <c r="G726" t="s">
        <v>1592</v>
      </c>
      <c r="H726">
        <v>9486708548</v>
      </c>
      <c r="I726">
        <v>143</v>
      </c>
      <c r="J726" t="s">
        <v>660</v>
      </c>
      <c r="K726" t="s">
        <v>71</v>
      </c>
      <c r="L726" t="s">
        <v>72</v>
      </c>
      <c r="M726" t="s">
        <v>59</v>
      </c>
      <c r="N726" t="s">
        <v>59</v>
      </c>
      <c r="O726" t="s">
        <v>59</v>
      </c>
      <c r="P726" t="s">
        <v>59</v>
      </c>
      <c r="Q726" t="s">
        <v>59</v>
      </c>
      <c r="R726" t="s">
        <v>59</v>
      </c>
      <c r="S726" t="s">
        <v>59</v>
      </c>
      <c r="T726" t="s">
        <v>59</v>
      </c>
      <c r="U726" t="s">
        <v>60</v>
      </c>
      <c r="V726" t="s">
        <v>59</v>
      </c>
      <c r="W726" t="s">
        <v>59</v>
      </c>
      <c r="X726" t="s">
        <v>59</v>
      </c>
      <c r="Y726" t="s">
        <v>59</v>
      </c>
      <c r="Z726" t="s">
        <v>59</v>
      </c>
      <c r="AA726" t="s">
        <v>60</v>
      </c>
      <c r="AB726" t="s">
        <v>61</v>
      </c>
      <c r="AC726" t="s">
        <v>61</v>
      </c>
      <c r="AD726" t="s">
        <v>61</v>
      </c>
      <c r="AE726" t="s">
        <v>59</v>
      </c>
      <c r="AF726" t="s">
        <v>59</v>
      </c>
      <c r="AG726" t="s">
        <v>59</v>
      </c>
      <c r="AH726" t="s">
        <v>61</v>
      </c>
      <c r="AI726" t="s">
        <v>61</v>
      </c>
      <c r="AJ726" t="s">
        <v>61</v>
      </c>
      <c r="AK726" t="s">
        <v>59</v>
      </c>
      <c r="AL726" t="s">
        <v>60</v>
      </c>
      <c r="AM726" t="s">
        <v>60</v>
      </c>
      <c r="AN726" t="s">
        <v>60</v>
      </c>
      <c r="AO726" t="s">
        <v>60</v>
      </c>
      <c r="AP726" t="s">
        <v>1771</v>
      </c>
      <c r="AQ726" s="1" t="s">
        <v>1772</v>
      </c>
      <c r="AR726" t="s">
        <v>64</v>
      </c>
      <c r="AS726" t="s">
        <v>135</v>
      </c>
      <c r="AT726" t="s">
        <v>136</v>
      </c>
      <c r="AU726" t="s">
        <v>299</v>
      </c>
      <c r="AW726" s="4">
        <f t="shared" si="388"/>
        <v>6</v>
      </c>
      <c r="AX726" s="4">
        <f t="shared" si="389"/>
        <v>4</v>
      </c>
      <c r="AY726" s="4">
        <f t="shared" si="390"/>
        <v>4</v>
      </c>
      <c r="AZ726" s="4">
        <f t="shared" si="391"/>
        <v>2</v>
      </c>
      <c r="BA726" s="4">
        <f t="shared" si="392"/>
        <v>4</v>
      </c>
      <c r="BB726" s="4">
        <f t="shared" si="393"/>
        <v>4</v>
      </c>
      <c r="BC726" s="4">
        <f t="shared" si="394"/>
        <v>4</v>
      </c>
      <c r="BD726" s="4">
        <f t="shared" si="395"/>
        <v>2</v>
      </c>
      <c r="BE726" s="4" t="str">
        <f t="shared" si="396"/>
        <v>0</v>
      </c>
      <c r="BF726" s="4">
        <f t="shared" si="397"/>
        <v>2</v>
      </c>
      <c r="BG726" s="4">
        <f t="shared" si="398"/>
        <v>4</v>
      </c>
      <c r="BH726" s="4">
        <f t="shared" si="399"/>
        <v>4</v>
      </c>
      <c r="BI726" s="4">
        <f t="shared" si="400"/>
        <v>4</v>
      </c>
      <c r="BJ726" s="4">
        <f t="shared" si="401"/>
        <v>2</v>
      </c>
      <c r="BK726" s="4" t="str">
        <f t="shared" si="402"/>
        <v>0</v>
      </c>
      <c r="BL726" s="4">
        <f t="shared" si="403"/>
        <v>2</v>
      </c>
      <c r="BM726" s="4">
        <f t="shared" si="404"/>
        <v>4</v>
      </c>
      <c r="BN726" s="4">
        <f t="shared" si="405"/>
        <v>4</v>
      </c>
      <c r="BO726" s="4">
        <f t="shared" si="406"/>
        <v>4</v>
      </c>
      <c r="BP726" s="4">
        <f t="shared" si="407"/>
        <v>4</v>
      </c>
      <c r="BQ726" s="4">
        <f t="shared" si="408"/>
        <v>6</v>
      </c>
      <c r="BR726" s="4">
        <f t="shared" si="409"/>
        <v>4</v>
      </c>
      <c r="BS726" s="4">
        <f t="shared" si="410"/>
        <v>4</v>
      </c>
      <c r="BT726" s="4">
        <f t="shared" si="411"/>
        <v>4</v>
      </c>
      <c r="BU726" s="4">
        <f t="shared" si="412"/>
        <v>4</v>
      </c>
      <c r="BV726" s="4" t="str">
        <f t="shared" si="413"/>
        <v>0</v>
      </c>
      <c r="BW726" s="4" t="str">
        <f t="shared" si="414"/>
        <v>0</v>
      </c>
      <c r="BX726" s="4" t="str">
        <f t="shared" si="415"/>
        <v>0</v>
      </c>
      <c r="BY726" s="4" t="str">
        <f t="shared" si="416"/>
        <v>0</v>
      </c>
      <c r="BZ726" s="37">
        <f t="shared" si="417"/>
        <v>86</v>
      </c>
      <c r="CA726" s="32" t="str">
        <f>VLOOKUP(J:J,'Agent wise'!A:C,3,0)</f>
        <v>Adharsh</v>
      </c>
      <c r="CB726" s="32">
        <f t="shared" si="418"/>
        <v>45944</v>
      </c>
      <c r="CC726" t="str">
        <f t="shared" si="419"/>
        <v>Average</v>
      </c>
      <c r="CE726" s="32"/>
      <c r="CJ726">
        <f t="shared" si="420"/>
        <v>14</v>
      </c>
      <c r="CK726">
        <f t="shared" si="421"/>
        <v>10</v>
      </c>
      <c r="CL726">
        <f t="shared" si="422"/>
        <v>2025</v>
      </c>
    </row>
    <row r="727" spans="1:90" ht="15" customHeight="1" x14ac:dyDescent="0.35">
      <c r="A727" t="s">
        <v>1773</v>
      </c>
      <c r="B727" t="s">
        <v>100</v>
      </c>
      <c r="C727" t="s">
        <v>214</v>
      </c>
      <c r="D727" t="s">
        <v>101</v>
      </c>
      <c r="E727" s="32">
        <v>45944</v>
      </c>
      <c r="F727" t="s">
        <v>54</v>
      </c>
      <c r="G727" t="s">
        <v>1592</v>
      </c>
      <c r="H727">
        <v>8903787723</v>
      </c>
      <c r="I727">
        <v>153</v>
      </c>
      <c r="J727" t="s">
        <v>280</v>
      </c>
      <c r="K727" t="s">
        <v>71</v>
      </c>
      <c r="L727" t="s">
        <v>72</v>
      </c>
      <c r="M727" t="s">
        <v>59</v>
      </c>
      <c r="N727" t="s">
        <v>59</v>
      </c>
      <c r="O727" t="s">
        <v>60</v>
      </c>
      <c r="P727" t="s">
        <v>59</v>
      </c>
      <c r="Q727" t="s">
        <v>61</v>
      </c>
      <c r="R727" t="s">
        <v>60</v>
      </c>
      <c r="S727" t="s">
        <v>59</v>
      </c>
      <c r="T727" t="s">
        <v>60</v>
      </c>
      <c r="U727" t="s">
        <v>60</v>
      </c>
      <c r="V727" t="s">
        <v>59</v>
      </c>
      <c r="W727" t="s">
        <v>59</v>
      </c>
      <c r="X727" t="s">
        <v>59</v>
      </c>
      <c r="Y727" t="s">
        <v>59</v>
      </c>
      <c r="Z727" t="s">
        <v>59</v>
      </c>
      <c r="AA727" t="s">
        <v>60</v>
      </c>
      <c r="AB727" t="s">
        <v>61</v>
      </c>
      <c r="AC727" t="s">
        <v>61</v>
      </c>
      <c r="AD727" t="s">
        <v>61</v>
      </c>
      <c r="AE727" t="s">
        <v>59</v>
      </c>
      <c r="AF727" t="s">
        <v>59</v>
      </c>
      <c r="AG727" t="s">
        <v>59</v>
      </c>
      <c r="AH727" t="s">
        <v>61</v>
      </c>
      <c r="AI727" t="s">
        <v>61</v>
      </c>
      <c r="AJ727" t="s">
        <v>61</v>
      </c>
      <c r="AK727" t="s">
        <v>59</v>
      </c>
      <c r="AL727" t="s">
        <v>60</v>
      </c>
      <c r="AM727" t="s">
        <v>60</v>
      </c>
      <c r="AN727" t="s">
        <v>60</v>
      </c>
      <c r="AO727" t="s">
        <v>60</v>
      </c>
      <c r="AP727" t="s">
        <v>1771</v>
      </c>
      <c r="AQ727" s="1" t="s">
        <v>1774</v>
      </c>
      <c r="AR727" t="s">
        <v>64</v>
      </c>
      <c r="AS727" t="s">
        <v>845</v>
      </c>
      <c r="AT727" t="s">
        <v>846</v>
      </c>
      <c r="AU727" t="s">
        <v>299</v>
      </c>
      <c r="AW727" s="4">
        <f t="shared" si="388"/>
        <v>6</v>
      </c>
      <c r="AX727" s="4">
        <f t="shared" si="389"/>
        <v>4</v>
      </c>
      <c r="AY727" s="4" t="str">
        <f t="shared" si="390"/>
        <v>0</v>
      </c>
      <c r="AZ727" s="4">
        <f t="shared" si="391"/>
        <v>2</v>
      </c>
      <c r="BA727" s="4">
        <f t="shared" si="392"/>
        <v>4</v>
      </c>
      <c r="BB727" s="4" t="str">
        <f t="shared" si="393"/>
        <v>0</v>
      </c>
      <c r="BC727" s="4">
        <f t="shared" si="394"/>
        <v>4</v>
      </c>
      <c r="BD727" s="4" t="str">
        <f t="shared" si="395"/>
        <v>0</v>
      </c>
      <c r="BE727" s="4" t="str">
        <f t="shared" si="396"/>
        <v>0</v>
      </c>
      <c r="BF727" s="4">
        <f t="shared" si="397"/>
        <v>2</v>
      </c>
      <c r="BG727" s="4">
        <f t="shared" si="398"/>
        <v>4</v>
      </c>
      <c r="BH727" s="4">
        <f t="shared" si="399"/>
        <v>4</v>
      </c>
      <c r="BI727" s="4">
        <f t="shared" si="400"/>
        <v>4</v>
      </c>
      <c r="BJ727" s="4">
        <f t="shared" si="401"/>
        <v>2</v>
      </c>
      <c r="BK727" s="4" t="str">
        <f t="shared" si="402"/>
        <v>0</v>
      </c>
      <c r="BL727" s="4">
        <f t="shared" si="403"/>
        <v>2</v>
      </c>
      <c r="BM727" s="4">
        <f t="shared" si="404"/>
        <v>4</v>
      </c>
      <c r="BN727" s="4">
        <f t="shared" si="405"/>
        <v>4</v>
      </c>
      <c r="BO727" s="4">
        <f t="shared" si="406"/>
        <v>4</v>
      </c>
      <c r="BP727" s="4">
        <f t="shared" si="407"/>
        <v>4</v>
      </c>
      <c r="BQ727" s="4">
        <f t="shared" si="408"/>
        <v>6</v>
      </c>
      <c r="BR727" s="4">
        <f t="shared" si="409"/>
        <v>4</v>
      </c>
      <c r="BS727" s="4">
        <f t="shared" si="410"/>
        <v>4</v>
      </c>
      <c r="BT727" s="4">
        <f t="shared" si="411"/>
        <v>4</v>
      </c>
      <c r="BU727" s="4">
        <f t="shared" si="412"/>
        <v>4</v>
      </c>
      <c r="BV727" s="4" t="str">
        <f t="shared" si="413"/>
        <v>0</v>
      </c>
      <c r="BW727" s="4" t="str">
        <f t="shared" si="414"/>
        <v>0</v>
      </c>
      <c r="BX727" s="4" t="str">
        <f t="shared" si="415"/>
        <v>0</v>
      </c>
      <c r="BY727" s="4" t="str">
        <f t="shared" si="416"/>
        <v>0</v>
      </c>
      <c r="BZ727" s="37">
        <f t="shared" si="417"/>
        <v>76</v>
      </c>
      <c r="CA727" s="32" t="str">
        <f>VLOOKUP(J:J,'Agent wise'!A:C,3,0)</f>
        <v>Saran S</v>
      </c>
      <c r="CB727" s="32">
        <f t="shared" si="418"/>
        <v>45944</v>
      </c>
      <c r="CC727" t="str">
        <f t="shared" si="419"/>
        <v>FC</v>
      </c>
      <c r="CE727" s="32"/>
      <c r="CJ727">
        <f t="shared" si="420"/>
        <v>14</v>
      </c>
      <c r="CK727">
        <f t="shared" si="421"/>
        <v>10</v>
      </c>
      <c r="CL727">
        <f t="shared" si="422"/>
        <v>2025</v>
      </c>
    </row>
    <row r="728" spans="1:90" ht="15" customHeight="1" x14ac:dyDescent="0.35">
      <c r="A728" t="s">
        <v>1775</v>
      </c>
      <c r="B728" t="s">
        <v>100</v>
      </c>
      <c r="C728" t="s">
        <v>214</v>
      </c>
      <c r="D728" t="s">
        <v>101</v>
      </c>
      <c r="E728" s="32">
        <v>45944</v>
      </c>
      <c r="F728" t="s">
        <v>54</v>
      </c>
      <c r="G728" t="s">
        <v>1592</v>
      </c>
      <c r="H728">
        <v>9497086774</v>
      </c>
      <c r="I728">
        <v>149</v>
      </c>
      <c r="J728" t="s">
        <v>589</v>
      </c>
      <c r="K728" t="s">
        <v>57</v>
      </c>
      <c r="L728" t="s">
        <v>58</v>
      </c>
      <c r="M728" t="s">
        <v>59</v>
      </c>
      <c r="N728" t="s">
        <v>59</v>
      </c>
      <c r="O728" t="s">
        <v>59</v>
      </c>
      <c r="P728" t="s">
        <v>59</v>
      </c>
      <c r="Q728" t="s">
        <v>59</v>
      </c>
      <c r="R728" t="s">
        <v>60</v>
      </c>
      <c r="S728" t="s">
        <v>59</v>
      </c>
      <c r="T728" t="s">
        <v>59</v>
      </c>
      <c r="U728" t="s">
        <v>59</v>
      </c>
      <c r="V728" t="s">
        <v>59</v>
      </c>
      <c r="W728" t="s">
        <v>59</v>
      </c>
      <c r="X728" t="s">
        <v>61</v>
      </c>
      <c r="Y728" t="s">
        <v>59</v>
      </c>
      <c r="Z728" t="s">
        <v>59</v>
      </c>
      <c r="AA728" t="s">
        <v>60</v>
      </c>
      <c r="AB728" t="s">
        <v>61</v>
      </c>
      <c r="AC728" t="s">
        <v>61</v>
      </c>
      <c r="AD728" t="s">
        <v>61</v>
      </c>
      <c r="AE728" t="s">
        <v>59</v>
      </c>
      <c r="AF728" t="s">
        <v>59</v>
      </c>
      <c r="AG728" t="s">
        <v>59</v>
      </c>
      <c r="AH728" t="s">
        <v>59</v>
      </c>
      <c r="AI728" t="s">
        <v>61</v>
      </c>
      <c r="AJ728" t="s">
        <v>61</v>
      </c>
      <c r="AK728" t="s">
        <v>61</v>
      </c>
      <c r="AL728" t="s">
        <v>60</v>
      </c>
      <c r="AM728" t="s">
        <v>59</v>
      </c>
      <c r="AN728" t="s">
        <v>59</v>
      </c>
      <c r="AO728" t="s">
        <v>59</v>
      </c>
      <c r="AP728" t="s">
        <v>1776</v>
      </c>
      <c r="AQ728" s="1" t="s">
        <v>1777</v>
      </c>
      <c r="AR728" t="s">
        <v>64</v>
      </c>
      <c r="AS728" t="s">
        <v>171</v>
      </c>
      <c r="AT728" t="s">
        <v>172</v>
      </c>
      <c r="AU728" t="s">
        <v>299</v>
      </c>
      <c r="AW728" s="4">
        <f t="shared" si="388"/>
        <v>6</v>
      </c>
      <c r="AX728" s="4">
        <f t="shared" si="389"/>
        <v>4</v>
      </c>
      <c r="AY728" s="4">
        <f t="shared" si="390"/>
        <v>4</v>
      </c>
      <c r="AZ728" s="4">
        <f t="shared" si="391"/>
        <v>2</v>
      </c>
      <c r="BA728" s="4">
        <f t="shared" si="392"/>
        <v>4</v>
      </c>
      <c r="BB728" s="4" t="str">
        <f t="shared" si="393"/>
        <v>0</v>
      </c>
      <c r="BC728" s="4">
        <f t="shared" si="394"/>
        <v>4</v>
      </c>
      <c r="BD728" s="4">
        <f t="shared" si="395"/>
        <v>2</v>
      </c>
      <c r="BE728" s="4">
        <f t="shared" si="396"/>
        <v>4</v>
      </c>
      <c r="BF728" s="4">
        <f t="shared" si="397"/>
        <v>2</v>
      </c>
      <c r="BG728" s="4">
        <f t="shared" si="398"/>
        <v>4</v>
      </c>
      <c r="BH728" s="4">
        <f t="shared" si="399"/>
        <v>4</v>
      </c>
      <c r="BI728" s="4">
        <f t="shared" si="400"/>
        <v>4</v>
      </c>
      <c r="BJ728" s="4">
        <f t="shared" si="401"/>
        <v>2</v>
      </c>
      <c r="BK728" s="4" t="str">
        <f t="shared" si="402"/>
        <v>0</v>
      </c>
      <c r="BL728" s="4">
        <f t="shared" si="403"/>
        <v>2</v>
      </c>
      <c r="BM728" s="4">
        <f t="shared" si="404"/>
        <v>4</v>
      </c>
      <c r="BN728" s="4">
        <f t="shared" si="405"/>
        <v>4</v>
      </c>
      <c r="BO728" s="4">
        <f t="shared" si="406"/>
        <v>4</v>
      </c>
      <c r="BP728" s="4">
        <f t="shared" si="407"/>
        <v>4</v>
      </c>
      <c r="BQ728" s="4">
        <f t="shared" si="408"/>
        <v>6</v>
      </c>
      <c r="BR728" s="4">
        <f t="shared" si="409"/>
        <v>4</v>
      </c>
      <c r="BS728" s="4">
        <f t="shared" si="410"/>
        <v>4</v>
      </c>
      <c r="BT728" s="4">
        <f t="shared" si="411"/>
        <v>4</v>
      </c>
      <c r="BU728" s="4">
        <f t="shared" si="412"/>
        <v>4</v>
      </c>
      <c r="BV728" s="4" t="str">
        <f t="shared" si="413"/>
        <v>0</v>
      </c>
      <c r="BW728" s="4">
        <f t="shared" si="414"/>
        <v>6</v>
      </c>
      <c r="BX728" s="4">
        <f t="shared" si="415"/>
        <v>0</v>
      </c>
      <c r="BY728" s="4">
        <f t="shared" si="416"/>
        <v>0</v>
      </c>
      <c r="BZ728" s="37">
        <f t="shared" si="417"/>
        <v>92</v>
      </c>
      <c r="CA728" s="32" t="str">
        <f>VLOOKUP(J:J,'Agent wise'!A:C,3,0)</f>
        <v>Shakeer</v>
      </c>
      <c r="CB728" s="32">
        <f t="shared" si="418"/>
        <v>45944</v>
      </c>
      <c r="CC728" t="str">
        <f t="shared" si="419"/>
        <v>Good</v>
      </c>
      <c r="CE728" s="32"/>
      <c r="CJ728">
        <f t="shared" si="420"/>
        <v>14</v>
      </c>
      <c r="CK728">
        <f t="shared" si="421"/>
        <v>10</v>
      </c>
      <c r="CL728">
        <f t="shared" si="422"/>
        <v>2025</v>
      </c>
    </row>
    <row r="729" spans="1:90" ht="15" customHeight="1" x14ac:dyDescent="0.35">
      <c r="A729" t="s">
        <v>1778</v>
      </c>
      <c r="B729" t="s">
        <v>100</v>
      </c>
      <c r="C729" t="s">
        <v>214</v>
      </c>
      <c r="D729" t="s">
        <v>101</v>
      </c>
      <c r="E729" s="32">
        <v>45944</v>
      </c>
      <c r="F729" t="s">
        <v>222</v>
      </c>
      <c r="G729" t="s">
        <v>1592</v>
      </c>
      <c r="H729">
        <v>9042755117</v>
      </c>
      <c r="I729">
        <v>131</v>
      </c>
      <c r="J729" t="s">
        <v>234</v>
      </c>
      <c r="K729" t="s">
        <v>71</v>
      </c>
      <c r="L729" t="s">
        <v>72</v>
      </c>
      <c r="M729" t="s">
        <v>59</v>
      </c>
      <c r="N729" t="s">
        <v>59</v>
      </c>
      <c r="O729" t="s">
        <v>60</v>
      </c>
      <c r="P729" t="s">
        <v>60</v>
      </c>
      <c r="Q729" t="s">
        <v>60</v>
      </c>
      <c r="R729" t="s">
        <v>60</v>
      </c>
      <c r="S729" t="s">
        <v>59</v>
      </c>
      <c r="T729" t="s">
        <v>59</v>
      </c>
      <c r="U729" t="s">
        <v>59</v>
      </c>
      <c r="V729" t="s">
        <v>59</v>
      </c>
      <c r="W729" t="s">
        <v>59</v>
      </c>
      <c r="X729" t="s">
        <v>59</v>
      </c>
      <c r="Y729" t="s">
        <v>59</v>
      </c>
      <c r="Z729" t="s">
        <v>59</v>
      </c>
      <c r="AA729" t="s">
        <v>59</v>
      </c>
      <c r="AB729" t="s">
        <v>59</v>
      </c>
      <c r="AC729" t="s">
        <v>61</v>
      </c>
      <c r="AD729" t="s">
        <v>61</v>
      </c>
      <c r="AE729" t="s">
        <v>59</v>
      </c>
      <c r="AF729" t="s">
        <v>59</v>
      </c>
      <c r="AG729" t="s">
        <v>59</v>
      </c>
      <c r="AH729" t="s">
        <v>59</v>
      </c>
      <c r="AI729" t="s">
        <v>61</v>
      </c>
      <c r="AJ729" t="s">
        <v>61</v>
      </c>
      <c r="AK729" t="s">
        <v>61</v>
      </c>
      <c r="AL729" t="s">
        <v>60</v>
      </c>
      <c r="AM729" t="s">
        <v>59</v>
      </c>
      <c r="AN729" t="s">
        <v>59</v>
      </c>
      <c r="AO729" t="s">
        <v>59</v>
      </c>
      <c r="AP729" t="s">
        <v>1776</v>
      </c>
      <c r="AQ729" s="1" t="s">
        <v>1779</v>
      </c>
      <c r="AR729" t="s">
        <v>226</v>
      </c>
      <c r="AS729" t="s">
        <v>352</v>
      </c>
      <c r="AT729" t="s">
        <v>352</v>
      </c>
      <c r="AU729" t="s">
        <v>219</v>
      </c>
      <c r="AW729" s="4">
        <f t="shared" si="388"/>
        <v>6</v>
      </c>
      <c r="AX729" s="4">
        <f t="shared" si="389"/>
        <v>4</v>
      </c>
      <c r="AY729" s="4" t="str">
        <f t="shared" si="390"/>
        <v>0</v>
      </c>
      <c r="AZ729" s="4" t="str">
        <f t="shared" si="391"/>
        <v>0</v>
      </c>
      <c r="BA729" s="4" t="str">
        <f t="shared" si="392"/>
        <v>0</v>
      </c>
      <c r="BB729" s="4" t="str">
        <f t="shared" si="393"/>
        <v>0</v>
      </c>
      <c r="BC729" s="4">
        <f t="shared" si="394"/>
        <v>4</v>
      </c>
      <c r="BD729" s="4">
        <f t="shared" si="395"/>
        <v>2</v>
      </c>
      <c r="BE729" s="4">
        <f t="shared" si="396"/>
        <v>4</v>
      </c>
      <c r="BF729" s="4">
        <f t="shared" si="397"/>
        <v>2</v>
      </c>
      <c r="BG729" s="4">
        <f t="shared" si="398"/>
        <v>4</v>
      </c>
      <c r="BH729" s="4">
        <f t="shared" si="399"/>
        <v>4</v>
      </c>
      <c r="BI729" s="4">
        <f t="shared" si="400"/>
        <v>4</v>
      </c>
      <c r="BJ729" s="4">
        <f t="shared" si="401"/>
        <v>2</v>
      </c>
      <c r="BK729" s="4">
        <f t="shared" si="402"/>
        <v>4</v>
      </c>
      <c r="BL729" s="4">
        <f t="shared" si="403"/>
        <v>2</v>
      </c>
      <c r="BM729" s="4">
        <f t="shared" si="404"/>
        <v>4</v>
      </c>
      <c r="BN729" s="4">
        <f t="shared" si="405"/>
        <v>4</v>
      </c>
      <c r="BO729" s="4">
        <f t="shared" si="406"/>
        <v>4</v>
      </c>
      <c r="BP729" s="4">
        <f t="shared" si="407"/>
        <v>4</v>
      </c>
      <c r="BQ729" s="4">
        <f t="shared" si="408"/>
        <v>6</v>
      </c>
      <c r="BR729" s="4">
        <f t="shared" si="409"/>
        <v>4</v>
      </c>
      <c r="BS729" s="4">
        <f t="shared" si="410"/>
        <v>4</v>
      </c>
      <c r="BT729" s="4">
        <f t="shared" si="411"/>
        <v>4</v>
      </c>
      <c r="BU729" s="4">
        <f t="shared" si="412"/>
        <v>4</v>
      </c>
      <c r="BV729" s="4" t="str">
        <f t="shared" si="413"/>
        <v>0</v>
      </c>
      <c r="BW729" s="4">
        <f t="shared" si="414"/>
        <v>6</v>
      </c>
      <c r="BX729" s="4">
        <f t="shared" si="415"/>
        <v>0</v>
      </c>
      <c r="BY729" s="4">
        <f t="shared" si="416"/>
        <v>0</v>
      </c>
      <c r="BZ729" s="37">
        <f t="shared" si="417"/>
        <v>86</v>
      </c>
      <c r="CA729" s="32" t="str">
        <f>VLOOKUP(J:J,'Agent wise'!A:C,3,0)</f>
        <v>Amal</v>
      </c>
      <c r="CB729" s="32">
        <f t="shared" si="418"/>
        <v>45944</v>
      </c>
      <c r="CC729" t="str">
        <f t="shared" si="419"/>
        <v>Average</v>
      </c>
      <c r="CE729" s="32"/>
      <c r="CJ729">
        <f t="shared" si="420"/>
        <v>14</v>
      </c>
      <c r="CK729">
        <f t="shared" si="421"/>
        <v>10</v>
      </c>
      <c r="CL729">
        <f t="shared" si="422"/>
        <v>2025</v>
      </c>
    </row>
    <row r="730" spans="1:90" ht="15" customHeight="1" x14ac:dyDescent="0.35">
      <c r="A730" t="s">
        <v>1780</v>
      </c>
      <c r="B730" t="s">
        <v>100</v>
      </c>
      <c r="C730" t="s">
        <v>214</v>
      </c>
      <c r="D730" t="s">
        <v>101</v>
      </c>
      <c r="E730" s="32">
        <v>45944</v>
      </c>
      <c r="F730" t="s">
        <v>222</v>
      </c>
      <c r="G730" t="s">
        <v>1592</v>
      </c>
      <c r="H730">
        <v>9003212362</v>
      </c>
      <c r="I730">
        <v>134</v>
      </c>
      <c r="J730" t="s">
        <v>501</v>
      </c>
      <c r="K730" t="s">
        <v>86</v>
      </c>
      <c r="L730" t="s">
        <v>58</v>
      </c>
      <c r="M730" t="s">
        <v>59</v>
      </c>
      <c r="N730" t="s">
        <v>59</v>
      </c>
      <c r="O730" t="s">
        <v>61</v>
      </c>
      <c r="P730" t="s">
        <v>59</v>
      </c>
      <c r="Q730" t="s">
        <v>61</v>
      </c>
      <c r="R730" t="s">
        <v>60</v>
      </c>
      <c r="S730" t="s">
        <v>59</v>
      </c>
      <c r="T730" t="s">
        <v>59</v>
      </c>
      <c r="U730" t="s">
        <v>59</v>
      </c>
      <c r="V730" t="s">
        <v>59</v>
      </c>
      <c r="W730" t="s">
        <v>59</v>
      </c>
      <c r="X730" t="s">
        <v>59</v>
      </c>
      <c r="Y730" t="s">
        <v>59</v>
      </c>
      <c r="Z730" t="s">
        <v>59</v>
      </c>
      <c r="AA730" t="s">
        <v>60</v>
      </c>
      <c r="AB730" t="s">
        <v>59</v>
      </c>
      <c r="AC730" t="s">
        <v>59</v>
      </c>
      <c r="AD730" t="s">
        <v>59</v>
      </c>
      <c r="AE730" t="s">
        <v>59</v>
      </c>
      <c r="AF730" t="s">
        <v>59</v>
      </c>
      <c r="AG730" t="s">
        <v>59</v>
      </c>
      <c r="AH730" t="s">
        <v>61</v>
      </c>
      <c r="AI730" t="s">
        <v>61</v>
      </c>
      <c r="AJ730" t="s">
        <v>61</v>
      </c>
      <c r="AK730" t="s">
        <v>61</v>
      </c>
      <c r="AL730" t="s">
        <v>60</v>
      </c>
      <c r="AM730" t="s">
        <v>59</v>
      </c>
      <c r="AN730" t="s">
        <v>59</v>
      </c>
      <c r="AO730" t="s">
        <v>59</v>
      </c>
      <c r="AP730" t="s">
        <v>1776</v>
      </c>
      <c r="AQ730" s="1" t="s">
        <v>1781</v>
      </c>
      <c r="AR730" t="s">
        <v>226</v>
      </c>
      <c r="AS730" t="s">
        <v>352</v>
      </c>
      <c r="AT730" t="s">
        <v>352</v>
      </c>
      <c r="AU730" t="s">
        <v>299</v>
      </c>
      <c r="AW730" s="4">
        <f t="shared" si="388"/>
        <v>6</v>
      </c>
      <c r="AX730" s="4">
        <f t="shared" si="389"/>
        <v>4</v>
      </c>
      <c r="AY730" s="4">
        <f t="shared" si="390"/>
        <v>4</v>
      </c>
      <c r="AZ730" s="4">
        <f t="shared" si="391"/>
        <v>2</v>
      </c>
      <c r="BA730" s="4">
        <f t="shared" si="392"/>
        <v>4</v>
      </c>
      <c r="BB730" s="4" t="str">
        <f t="shared" si="393"/>
        <v>0</v>
      </c>
      <c r="BC730" s="4">
        <f t="shared" si="394"/>
        <v>4</v>
      </c>
      <c r="BD730" s="4">
        <f t="shared" si="395"/>
        <v>2</v>
      </c>
      <c r="BE730" s="4">
        <f t="shared" si="396"/>
        <v>4</v>
      </c>
      <c r="BF730" s="4">
        <f t="shared" si="397"/>
        <v>2</v>
      </c>
      <c r="BG730" s="4">
        <f t="shared" si="398"/>
        <v>4</v>
      </c>
      <c r="BH730" s="4">
        <f t="shared" si="399"/>
        <v>4</v>
      </c>
      <c r="BI730" s="4">
        <f t="shared" si="400"/>
        <v>4</v>
      </c>
      <c r="BJ730" s="4">
        <f t="shared" si="401"/>
        <v>2</v>
      </c>
      <c r="BK730" s="4" t="str">
        <f t="shared" si="402"/>
        <v>0</v>
      </c>
      <c r="BL730" s="4">
        <f t="shared" si="403"/>
        <v>2</v>
      </c>
      <c r="BM730" s="4">
        <f t="shared" si="404"/>
        <v>4</v>
      </c>
      <c r="BN730" s="4">
        <f t="shared" si="405"/>
        <v>4</v>
      </c>
      <c r="BO730" s="4">
        <f t="shared" si="406"/>
        <v>4</v>
      </c>
      <c r="BP730" s="4">
        <f t="shared" si="407"/>
        <v>4</v>
      </c>
      <c r="BQ730" s="4">
        <f t="shared" si="408"/>
        <v>6</v>
      </c>
      <c r="BR730" s="4">
        <f t="shared" si="409"/>
        <v>4</v>
      </c>
      <c r="BS730" s="4">
        <f t="shared" si="410"/>
        <v>4</v>
      </c>
      <c r="BT730" s="4">
        <f t="shared" si="411"/>
        <v>4</v>
      </c>
      <c r="BU730" s="4">
        <f t="shared" si="412"/>
        <v>4</v>
      </c>
      <c r="BV730" s="4" t="str">
        <f t="shared" si="413"/>
        <v>0</v>
      </c>
      <c r="BW730" s="4">
        <f t="shared" si="414"/>
        <v>6</v>
      </c>
      <c r="BX730" s="4">
        <f t="shared" si="415"/>
        <v>0</v>
      </c>
      <c r="BY730" s="4">
        <f t="shared" si="416"/>
        <v>0</v>
      </c>
      <c r="BZ730" s="37">
        <f t="shared" si="417"/>
        <v>92</v>
      </c>
      <c r="CA730" s="32" t="str">
        <f>VLOOKUP(J:J,'Agent wise'!A:C,3,0)</f>
        <v>Amal</v>
      </c>
      <c r="CB730" s="32">
        <f t="shared" si="418"/>
        <v>45944</v>
      </c>
      <c r="CC730" t="str">
        <f t="shared" si="419"/>
        <v>Good</v>
      </c>
      <c r="CE730" s="32"/>
      <c r="CJ730">
        <f t="shared" si="420"/>
        <v>14</v>
      </c>
      <c r="CK730">
        <f t="shared" si="421"/>
        <v>10</v>
      </c>
      <c r="CL730">
        <f t="shared" si="422"/>
        <v>2025</v>
      </c>
    </row>
    <row r="731" spans="1:90" ht="15" customHeight="1" x14ac:dyDescent="0.35">
      <c r="A731" t="s">
        <v>1782</v>
      </c>
      <c r="B731" t="s">
        <v>100</v>
      </c>
      <c r="C731" t="s">
        <v>214</v>
      </c>
      <c r="D731" t="s">
        <v>101</v>
      </c>
      <c r="E731" s="32">
        <v>45944</v>
      </c>
      <c r="F731" t="s">
        <v>222</v>
      </c>
      <c r="G731" t="s">
        <v>1592</v>
      </c>
      <c r="H731">
        <v>9382335055</v>
      </c>
      <c r="I731">
        <v>156</v>
      </c>
      <c r="J731" t="s">
        <v>420</v>
      </c>
      <c r="K731" t="s">
        <v>86</v>
      </c>
      <c r="L731" t="s">
        <v>72</v>
      </c>
      <c r="M731" t="s">
        <v>59</v>
      </c>
      <c r="N731" t="s">
        <v>59</v>
      </c>
      <c r="O731" t="s">
        <v>59</v>
      </c>
      <c r="P731" t="s">
        <v>59</v>
      </c>
      <c r="Q731" t="s">
        <v>59</v>
      </c>
      <c r="R731" t="s">
        <v>60</v>
      </c>
      <c r="S731" t="s">
        <v>59</v>
      </c>
      <c r="T731" t="s">
        <v>59</v>
      </c>
      <c r="U731" t="s">
        <v>59</v>
      </c>
      <c r="V731" t="s">
        <v>59</v>
      </c>
      <c r="W731" t="s">
        <v>59</v>
      </c>
      <c r="X731" t="s">
        <v>59</v>
      </c>
      <c r="Y731" t="s">
        <v>59</v>
      </c>
      <c r="Z731" t="s">
        <v>59</v>
      </c>
      <c r="AA731" t="s">
        <v>60</v>
      </c>
      <c r="AB731" t="s">
        <v>60</v>
      </c>
      <c r="AC731" t="s">
        <v>61</v>
      </c>
      <c r="AD731" t="s">
        <v>61</v>
      </c>
      <c r="AE731" t="s">
        <v>59</v>
      </c>
      <c r="AF731" t="s">
        <v>59</v>
      </c>
      <c r="AG731" t="s">
        <v>59</v>
      </c>
      <c r="AH731" t="s">
        <v>59</v>
      </c>
      <c r="AI731" t="s">
        <v>60</v>
      </c>
      <c r="AJ731" t="s">
        <v>61</v>
      </c>
      <c r="AK731" t="s">
        <v>61</v>
      </c>
      <c r="AL731" t="s">
        <v>60</v>
      </c>
      <c r="AM731" t="s">
        <v>59</v>
      </c>
      <c r="AN731" t="s">
        <v>59</v>
      </c>
      <c r="AO731" t="s">
        <v>59</v>
      </c>
      <c r="AP731" t="s">
        <v>1776</v>
      </c>
      <c r="AQ731" s="1" t="s">
        <v>1783</v>
      </c>
      <c r="AR731" t="s">
        <v>226</v>
      </c>
      <c r="AS731" t="s">
        <v>352</v>
      </c>
      <c r="AT731" t="s">
        <v>352</v>
      </c>
      <c r="AU731" t="s">
        <v>299</v>
      </c>
      <c r="AW731" s="4">
        <f t="shared" si="388"/>
        <v>6</v>
      </c>
      <c r="AX731" s="4">
        <f t="shared" si="389"/>
        <v>4</v>
      </c>
      <c r="AY731" s="4">
        <f t="shared" si="390"/>
        <v>4</v>
      </c>
      <c r="AZ731" s="4">
        <f t="shared" si="391"/>
        <v>2</v>
      </c>
      <c r="BA731" s="4">
        <f t="shared" si="392"/>
        <v>4</v>
      </c>
      <c r="BB731" s="4" t="str">
        <f t="shared" si="393"/>
        <v>0</v>
      </c>
      <c r="BC731" s="4">
        <f t="shared" si="394"/>
        <v>4</v>
      </c>
      <c r="BD731" s="4">
        <f t="shared" si="395"/>
        <v>2</v>
      </c>
      <c r="BE731" s="4">
        <f t="shared" si="396"/>
        <v>4</v>
      </c>
      <c r="BF731" s="4">
        <f t="shared" si="397"/>
        <v>2</v>
      </c>
      <c r="BG731" s="4">
        <f t="shared" si="398"/>
        <v>4</v>
      </c>
      <c r="BH731" s="4">
        <f t="shared" si="399"/>
        <v>4</v>
      </c>
      <c r="BI731" s="4">
        <f t="shared" si="400"/>
        <v>4</v>
      </c>
      <c r="BJ731" s="4">
        <f t="shared" si="401"/>
        <v>2</v>
      </c>
      <c r="BK731" s="4" t="str">
        <f t="shared" si="402"/>
        <v>0</v>
      </c>
      <c r="BL731" s="4" t="str">
        <f t="shared" si="403"/>
        <v>0</v>
      </c>
      <c r="BM731" s="4">
        <f t="shared" si="404"/>
        <v>4</v>
      </c>
      <c r="BN731" s="4">
        <f t="shared" si="405"/>
        <v>4</v>
      </c>
      <c r="BO731" s="4">
        <f t="shared" si="406"/>
        <v>4</v>
      </c>
      <c r="BP731" s="4">
        <f t="shared" si="407"/>
        <v>4</v>
      </c>
      <c r="BQ731" s="4">
        <f t="shared" si="408"/>
        <v>6</v>
      </c>
      <c r="BR731" s="4">
        <f t="shared" si="409"/>
        <v>4</v>
      </c>
      <c r="BS731" s="4" t="str">
        <f t="shared" si="410"/>
        <v>0</v>
      </c>
      <c r="BT731" s="4">
        <f t="shared" si="411"/>
        <v>4</v>
      </c>
      <c r="BU731" s="4">
        <f t="shared" si="412"/>
        <v>4</v>
      </c>
      <c r="BV731" s="4" t="str">
        <f t="shared" si="413"/>
        <v>0</v>
      </c>
      <c r="BW731" s="4">
        <f t="shared" si="414"/>
        <v>6</v>
      </c>
      <c r="BX731" s="4">
        <f t="shared" si="415"/>
        <v>0</v>
      </c>
      <c r="BY731" s="4">
        <f t="shared" si="416"/>
        <v>0</v>
      </c>
      <c r="BZ731" s="37">
        <f t="shared" si="417"/>
        <v>86</v>
      </c>
      <c r="CA731" s="32" t="str">
        <f>VLOOKUP(J:J,'Agent wise'!A:C,3,0)</f>
        <v>Amal</v>
      </c>
      <c r="CB731" s="32">
        <f t="shared" si="418"/>
        <v>45944</v>
      </c>
      <c r="CC731" t="str">
        <f t="shared" si="419"/>
        <v>Average</v>
      </c>
      <c r="CE731" s="32"/>
      <c r="CJ731">
        <f t="shared" si="420"/>
        <v>14</v>
      </c>
      <c r="CK731">
        <f t="shared" si="421"/>
        <v>10</v>
      </c>
      <c r="CL731">
        <f t="shared" si="422"/>
        <v>2025</v>
      </c>
    </row>
    <row r="732" spans="1:90" ht="15" customHeight="1" x14ac:dyDescent="0.35">
      <c r="A732" t="s">
        <v>1784</v>
      </c>
      <c r="B732" t="s">
        <v>100</v>
      </c>
      <c r="C732" t="s">
        <v>214</v>
      </c>
      <c r="D732" t="s">
        <v>101</v>
      </c>
      <c r="E732" s="32">
        <v>45944</v>
      </c>
      <c r="F732" t="s">
        <v>222</v>
      </c>
      <c r="G732" t="s">
        <v>1592</v>
      </c>
      <c r="H732">
        <v>9656662556</v>
      </c>
      <c r="I732">
        <v>135</v>
      </c>
      <c r="J732" t="s">
        <v>568</v>
      </c>
      <c r="K732" t="s">
        <v>57</v>
      </c>
      <c r="L732" t="s">
        <v>58</v>
      </c>
      <c r="M732" t="s">
        <v>59</v>
      </c>
      <c r="N732" t="s">
        <v>59</v>
      </c>
      <c r="O732" t="s">
        <v>60</v>
      </c>
      <c r="P732" t="s">
        <v>61</v>
      </c>
      <c r="Q732" t="s">
        <v>61</v>
      </c>
      <c r="R732" t="s">
        <v>60</v>
      </c>
      <c r="S732" t="s">
        <v>59</v>
      </c>
      <c r="T732" t="s">
        <v>59</v>
      </c>
      <c r="U732" t="s">
        <v>60</v>
      </c>
      <c r="V732" t="s">
        <v>59</v>
      </c>
      <c r="W732" t="s">
        <v>59</v>
      </c>
      <c r="X732" t="s">
        <v>59</v>
      </c>
      <c r="Y732" t="s">
        <v>59</v>
      </c>
      <c r="Z732" t="s">
        <v>59</v>
      </c>
      <c r="AA732" t="s">
        <v>60</v>
      </c>
      <c r="AB732" t="s">
        <v>61</v>
      </c>
      <c r="AC732" t="s">
        <v>61</v>
      </c>
      <c r="AD732" t="s">
        <v>61</v>
      </c>
      <c r="AE732" t="s">
        <v>59</v>
      </c>
      <c r="AF732" t="s">
        <v>59</v>
      </c>
      <c r="AG732" t="s">
        <v>60</v>
      </c>
      <c r="AH732" t="s">
        <v>61</v>
      </c>
      <c r="AI732" t="s">
        <v>61</v>
      </c>
      <c r="AJ732" t="s">
        <v>61</v>
      </c>
      <c r="AK732" t="s">
        <v>61</v>
      </c>
      <c r="AL732" t="s">
        <v>60</v>
      </c>
      <c r="AM732" t="s">
        <v>59</v>
      </c>
      <c r="AN732" t="s">
        <v>59</v>
      </c>
      <c r="AO732" t="s">
        <v>59</v>
      </c>
      <c r="AP732" t="s">
        <v>1785</v>
      </c>
      <c r="AQ732" s="1" t="s">
        <v>1786</v>
      </c>
      <c r="AR732" t="s">
        <v>226</v>
      </c>
      <c r="AS732" t="s">
        <v>352</v>
      </c>
      <c r="AT732" t="s">
        <v>352</v>
      </c>
      <c r="AU732" t="s">
        <v>299</v>
      </c>
      <c r="AW732" s="4">
        <f t="shared" si="388"/>
        <v>6</v>
      </c>
      <c r="AX732" s="4">
        <f t="shared" si="389"/>
        <v>4</v>
      </c>
      <c r="AY732" s="4" t="str">
        <f t="shared" si="390"/>
        <v>0</v>
      </c>
      <c r="AZ732" s="4">
        <f t="shared" si="391"/>
        <v>2</v>
      </c>
      <c r="BA732" s="4">
        <f t="shared" si="392"/>
        <v>4</v>
      </c>
      <c r="BB732" s="4" t="str">
        <f t="shared" si="393"/>
        <v>0</v>
      </c>
      <c r="BC732" s="4">
        <f t="shared" si="394"/>
        <v>4</v>
      </c>
      <c r="BD732" s="4">
        <f t="shared" si="395"/>
        <v>2</v>
      </c>
      <c r="BE732" s="4" t="str">
        <f t="shared" si="396"/>
        <v>0</v>
      </c>
      <c r="BF732" s="4">
        <f t="shared" si="397"/>
        <v>2</v>
      </c>
      <c r="BG732" s="4">
        <f t="shared" si="398"/>
        <v>4</v>
      </c>
      <c r="BH732" s="4">
        <f t="shared" si="399"/>
        <v>4</v>
      </c>
      <c r="BI732" s="4">
        <f t="shared" si="400"/>
        <v>4</v>
      </c>
      <c r="BJ732" s="4">
        <f t="shared" si="401"/>
        <v>2</v>
      </c>
      <c r="BK732" s="4" t="str">
        <f t="shared" si="402"/>
        <v>0</v>
      </c>
      <c r="BL732" s="4">
        <f t="shared" si="403"/>
        <v>2</v>
      </c>
      <c r="BM732" s="4">
        <f t="shared" si="404"/>
        <v>4</v>
      </c>
      <c r="BN732" s="4">
        <f t="shared" si="405"/>
        <v>4</v>
      </c>
      <c r="BO732" s="4">
        <f t="shared" si="406"/>
        <v>4</v>
      </c>
      <c r="BP732" s="4">
        <f t="shared" si="407"/>
        <v>4</v>
      </c>
      <c r="BQ732" s="4" t="str">
        <f t="shared" si="408"/>
        <v>0</v>
      </c>
      <c r="BR732" s="4">
        <f t="shared" si="409"/>
        <v>4</v>
      </c>
      <c r="BS732" s="4">
        <f t="shared" si="410"/>
        <v>4</v>
      </c>
      <c r="BT732" s="4">
        <f t="shared" si="411"/>
        <v>4</v>
      </c>
      <c r="BU732" s="4">
        <f t="shared" si="412"/>
        <v>4</v>
      </c>
      <c r="BV732" s="4" t="str">
        <f t="shared" si="413"/>
        <v>0</v>
      </c>
      <c r="BW732" s="4">
        <f t="shared" si="414"/>
        <v>6</v>
      </c>
      <c r="BX732" s="4">
        <f t="shared" si="415"/>
        <v>0</v>
      </c>
      <c r="BY732" s="4">
        <f t="shared" si="416"/>
        <v>0</v>
      </c>
      <c r="BZ732" s="37">
        <f t="shared" si="417"/>
        <v>78</v>
      </c>
      <c r="CA732" s="32" t="str">
        <f>VLOOKUP(J:J,'Agent wise'!A:C,3,0)</f>
        <v>Amal</v>
      </c>
      <c r="CB732" s="32">
        <f t="shared" si="418"/>
        <v>45944</v>
      </c>
      <c r="CC732" t="str">
        <f t="shared" si="419"/>
        <v>FC</v>
      </c>
      <c r="CE732" s="32"/>
      <c r="CJ732">
        <f t="shared" si="420"/>
        <v>14</v>
      </c>
      <c r="CK732">
        <f t="shared" si="421"/>
        <v>10</v>
      </c>
      <c r="CL732">
        <f t="shared" si="422"/>
        <v>2025</v>
      </c>
    </row>
    <row r="733" spans="1:90" ht="15" customHeight="1" x14ac:dyDescent="0.35">
      <c r="A733" t="s">
        <v>1787</v>
      </c>
      <c r="B733" t="s">
        <v>100</v>
      </c>
      <c r="C733" t="s">
        <v>214</v>
      </c>
      <c r="D733" t="s">
        <v>101</v>
      </c>
      <c r="E733" s="32">
        <v>45944</v>
      </c>
      <c r="F733" t="s">
        <v>222</v>
      </c>
      <c r="G733" t="s">
        <v>1592</v>
      </c>
      <c r="H733">
        <v>9498127132</v>
      </c>
      <c r="I733">
        <v>147</v>
      </c>
      <c r="J733" t="s">
        <v>442</v>
      </c>
      <c r="K733" t="s">
        <v>71</v>
      </c>
      <c r="L733" t="s">
        <v>72</v>
      </c>
      <c r="M733" t="s">
        <v>59</v>
      </c>
      <c r="N733" t="s">
        <v>59</v>
      </c>
      <c r="O733" t="s">
        <v>59</v>
      </c>
      <c r="P733" t="s">
        <v>59</v>
      </c>
      <c r="Q733" t="s">
        <v>59</v>
      </c>
      <c r="R733" t="s">
        <v>60</v>
      </c>
      <c r="S733" t="s">
        <v>59</v>
      </c>
      <c r="T733" t="s">
        <v>59</v>
      </c>
      <c r="U733" t="s">
        <v>60</v>
      </c>
      <c r="V733" t="s">
        <v>59</v>
      </c>
      <c r="W733" t="s">
        <v>59</v>
      </c>
      <c r="X733" t="s">
        <v>61</v>
      </c>
      <c r="Y733" t="s">
        <v>59</v>
      </c>
      <c r="Z733" t="s">
        <v>59</v>
      </c>
      <c r="AA733" t="s">
        <v>60</v>
      </c>
      <c r="AB733" t="s">
        <v>60</v>
      </c>
      <c r="AC733" t="s">
        <v>61</v>
      </c>
      <c r="AD733" t="s">
        <v>61</v>
      </c>
      <c r="AE733" t="s">
        <v>59</v>
      </c>
      <c r="AF733" t="s">
        <v>59</v>
      </c>
      <c r="AG733" t="s">
        <v>59</v>
      </c>
      <c r="AH733" t="s">
        <v>59</v>
      </c>
      <c r="AI733" t="s">
        <v>59</v>
      </c>
      <c r="AJ733" t="s">
        <v>61</v>
      </c>
      <c r="AK733" t="s">
        <v>61</v>
      </c>
      <c r="AL733" t="s">
        <v>60</v>
      </c>
      <c r="AM733" t="s">
        <v>59</v>
      </c>
      <c r="AN733" t="s">
        <v>59</v>
      </c>
      <c r="AO733" t="s">
        <v>59</v>
      </c>
      <c r="AP733" t="s">
        <v>1788</v>
      </c>
      <c r="AQ733" s="1" t="s">
        <v>1789</v>
      </c>
      <c r="AR733" t="s">
        <v>226</v>
      </c>
      <c r="AS733" t="s">
        <v>352</v>
      </c>
      <c r="AT733" t="s">
        <v>352</v>
      </c>
      <c r="AU733" t="s">
        <v>299</v>
      </c>
      <c r="AW733" s="4">
        <f t="shared" si="388"/>
        <v>6</v>
      </c>
      <c r="AX733" s="4">
        <f t="shared" si="389"/>
        <v>4</v>
      </c>
      <c r="AY733" s="4">
        <f t="shared" si="390"/>
        <v>4</v>
      </c>
      <c r="AZ733" s="4">
        <f t="shared" si="391"/>
        <v>2</v>
      </c>
      <c r="BA733" s="4">
        <f t="shared" si="392"/>
        <v>4</v>
      </c>
      <c r="BB733" s="4" t="str">
        <f t="shared" si="393"/>
        <v>0</v>
      </c>
      <c r="BC733" s="4">
        <f t="shared" si="394"/>
        <v>4</v>
      </c>
      <c r="BD733" s="4">
        <f t="shared" si="395"/>
        <v>2</v>
      </c>
      <c r="BE733" s="4" t="str">
        <f t="shared" si="396"/>
        <v>0</v>
      </c>
      <c r="BF733" s="4">
        <f t="shared" si="397"/>
        <v>2</v>
      </c>
      <c r="BG733" s="4">
        <f t="shared" si="398"/>
        <v>4</v>
      </c>
      <c r="BH733" s="4">
        <f t="shared" si="399"/>
        <v>4</v>
      </c>
      <c r="BI733" s="4">
        <f t="shared" si="400"/>
        <v>4</v>
      </c>
      <c r="BJ733" s="4">
        <f t="shared" si="401"/>
        <v>2</v>
      </c>
      <c r="BK733" s="4" t="str">
        <f t="shared" si="402"/>
        <v>0</v>
      </c>
      <c r="BL733" s="4" t="str">
        <f t="shared" si="403"/>
        <v>0</v>
      </c>
      <c r="BM733" s="4">
        <f t="shared" si="404"/>
        <v>4</v>
      </c>
      <c r="BN733" s="4">
        <f t="shared" si="405"/>
        <v>4</v>
      </c>
      <c r="BO733" s="4">
        <f t="shared" si="406"/>
        <v>4</v>
      </c>
      <c r="BP733" s="4">
        <f t="shared" si="407"/>
        <v>4</v>
      </c>
      <c r="BQ733" s="4">
        <f t="shared" si="408"/>
        <v>6</v>
      </c>
      <c r="BR733" s="4">
        <f t="shared" si="409"/>
        <v>4</v>
      </c>
      <c r="BS733" s="4">
        <f t="shared" si="410"/>
        <v>4</v>
      </c>
      <c r="BT733" s="4">
        <f t="shared" si="411"/>
        <v>4</v>
      </c>
      <c r="BU733" s="4">
        <f t="shared" si="412"/>
        <v>4</v>
      </c>
      <c r="BV733" s="4" t="str">
        <f t="shared" si="413"/>
        <v>0</v>
      </c>
      <c r="BW733" s="4">
        <f t="shared" si="414"/>
        <v>6</v>
      </c>
      <c r="BX733" s="4">
        <f t="shared" si="415"/>
        <v>0</v>
      </c>
      <c r="BY733" s="4">
        <f t="shared" si="416"/>
        <v>0</v>
      </c>
      <c r="BZ733" s="37">
        <f t="shared" si="417"/>
        <v>86</v>
      </c>
      <c r="CA733" s="32" t="str">
        <f>VLOOKUP(J:J,'Agent wise'!A:C,3,0)</f>
        <v>Shakeer</v>
      </c>
      <c r="CB733" s="32">
        <f t="shared" si="418"/>
        <v>45944</v>
      </c>
      <c r="CC733" t="str">
        <f t="shared" si="419"/>
        <v>Average</v>
      </c>
      <c r="CE733" s="32"/>
      <c r="CJ733">
        <f t="shared" si="420"/>
        <v>14</v>
      </c>
      <c r="CK733">
        <f t="shared" si="421"/>
        <v>10</v>
      </c>
      <c r="CL733">
        <f t="shared" si="422"/>
        <v>2025</v>
      </c>
    </row>
    <row r="734" spans="1:90" ht="15" customHeight="1" x14ac:dyDescent="0.35">
      <c r="A734" t="s">
        <v>1790</v>
      </c>
      <c r="B734" t="s">
        <v>250</v>
      </c>
      <c r="C734" t="s">
        <v>214</v>
      </c>
      <c r="D734" t="s">
        <v>1791</v>
      </c>
      <c r="E734" s="32">
        <v>45944</v>
      </c>
      <c r="F734" t="s">
        <v>54</v>
      </c>
      <c r="G734" t="s">
        <v>1592</v>
      </c>
      <c r="H734">
        <v>8344234969</v>
      </c>
      <c r="I734">
        <v>199</v>
      </c>
      <c r="J734" t="s">
        <v>552</v>
      </c>
      <c r="K734" t="s">
        <v>71</v>
      </c>
      <c r="L734" t="s">
        <v>72</v>
      </c>
      <c r="M734" t="s">
        <v>59</v>
      </c>
      <c r="N734" t="s">
        <v>59</v>
      </c>
      <c r="O734" t="s">
        <v>59</v>
      </c>
      <c r="P734" t="s">
        <v>59</v>
      </c>
      <c r="Q734" t="s">
        <v>59</v>
      </c>
      <c r="R734" t="s">
        <v>59</v>
      </c>
      <c r="S734" t="s">
        <v>59</v>
      </c>
      <c r="T734" t="s">
        <v>59</v>
      </c>
      <c r="U734" t="s">
        <v>60</v>
      </c>
      <c r="V734" t="s">
        <v>59</v>
      </c>
      <c r="W734" t="s">
        <v>59</v>
      </c>
      <c r="X734" t="s">
        <v>59</v>
      </c>
      <c r="Y734" t="s">
        <v>59</v>
      </c>
      <c r="Z734" t="s">
        <v>59</v>
      </c>
      <c r="AA734" t="s">
        <v>60</v>
      </c>
      <c r="AB734" t="s">
        <v>59</v>
      </c>
      <c r="AC734" t="s">
        <v>59</v>
      </c>
      <c r="AD734" t="s">
        <v>59</v>
      </c>
      <c r="AE734" t="s">
        <v>59</v>
      </c>
      <c r="AF734" t="s">
        <v>59</v>
      </c>
      <c r="AG734" t="s">
        <v>59</v>
      </c>
      <c r="AH734" t="s">
        <v>61</v>
      </c>
      <c r="AI734" t="s">
        <v>61</v>
      </c>
      <c r="AJ734" t="s">
        <v>59</v>
      </c>
      <c r="AK734" t="s">
        <v>59</v>
      </c>
      <c r="AL734" t="s">
        <v>60</v>
      </c>
      <c r="AM734" t="s">
        <v>59</v>
      </c>
      <c r="AN734" t="s">
        <v>59</v>
      </c>
      <c r="AO734" t="s">
        <v>59</v>
      </c>
      <c r="AP734" t="s">
        <v>783</v>
      </c>
      <c r="AQ734" t="s">
        <v>1792</v>
      </c>
      <c r="AR734" t="s">
        <v>64</v>
      </c>
      <c r="AS734" t="s">
        <v>417</v>
      </c>
      <c r="AT734" t="s">
        <v>911</v>
      </c>
      <c r="AU734" t="s">
        <v>219</v>
      </c>
      <c r="AW734" s="4">
        <f t="shared" si="388"/>
        <v>6</v>
      </c>
      <c r="AX734" s="4">
        <f t="shared" si="389"/>
        <v>4</v>
      </c>
      <c r="AY734" s="4">
        <f t="shared" si="390"/>
        <v>4</v>
      </c>
      <c r="AZ734" s="4">
        <f t="shared" si="391"/>
        <v>2</v>
      </c>
      <c r="BA734" s="4">
        <f t="shared" si="392"/>
        <v>4</v>
      </c>
      <c r="BB734" s="4">
        <f t="shared" si="393"/>
        <v>4</v>
      </c>
      <c r="BC734" s="4">
        <f t="shared" si="394"/>
        <v>4</v>
      </c>
      <c r="BD734" s="4">
        <f t="shared" si="395"/>
        <v>2</v>
      </c>
      <c r="BE734" s="4" t="str">
        <f t="shared" si="396"/>
        <v>0</v>
      </c>
      <c r="BF734" s="4">
        <f t="shared" si="397"/>
        <v>2</v>
      </c>
      <c r="BG734" s="4">
        <f t="shared" si="398"/>
        <v>4</v>
      </c>
      <c r="BH734" s="4">
        <f t="shared" si="399"/>
        <v>4</v>
      </c>
      <c r="BI734" s="4">
        <f t="shared" si="400"/>
        <v>4</v>
      </c>
      <c r="BJ734" s="4">
        <f t="shared" si="401"/>
        <v>2</v>
      </c>
      <c r="BK734" s="4" t="str">
        <f t="shared" si="402"/>
        <v>0</v>
      </c>
      <c r="BL734" s="4">
        <f t="shared" si="403"/>
        <v>2</v>
      </c>
      <c r="BM734" s="4">
        <f t="shared" si="404"/>
        <v>4</v>
      </c>
      <c r="BN734" s="4">
        <f t="shared" si="405"/>
        <v>4</v>
      </c>
      <c r="BO734" s="4">
        <f t="shared" si="406"/>
        <v>4</v>
      </c>
      <c r="BP734" s="4">
        <f t="shared" si="407"/>
        <v>4</v>
      </c>
      <c r="BQ734" s="4">
        <f t="shared" si="408"/>
        <v>6</v>
      </c>
      <c r="BR734" s="4">
        <f t="shared" si="409"/>
        <v>4</v>
      </c>
      <c r="BS734" s="4">
        <f t="shared" si="410"/>
        <v>4</v>
      </c>
      <c r="BT734" s="4">
        <f t="shared" si="411"/>
        <v>4</v>
      </c>
      <c r="BU734" s="4">
        <f t="shared" si="412"/>
        <v>4</v>
      </c>
      <c r="BV734" s="4" t="str">
        <f t="shared" si="413"/>
        <v>0</v>
      </c>
      <c r="BW734" s="4">
        <f t="shared" si="414"/>
        <v>6</v>
      </c>
      <c r="BX734" s="4">
        <f t="shared" si="415"/>
        <v>0</v>
      </c>
      <c r="BY734" s="4">
        <f t="shared" si="416"/>
        <v>0</v>
      </c>
      <c r="BZ734" s="37">
        <f t="shared" si="417"/>
        <v>92</v>
      </c>
      <c r="CA734" s="32" t="str">
        <f>VLOOKUP(J:J,'Agent wise'!A:C,3,0)</f>
        <v xml:space="preserve">Shiny </v>
      </c>
      <c r="CB734" s="32">
        <f t="shared" si="418"/>
        <v>45944</v>
      </c>
      <c r="CC734" t="str">
        <f t="shared" si="419"/>
        <v>Good</v>
      </c>
      <c r="CE734" s="32"/>
      <c r="CJ734">
        <f t="shared" si="420"/>
        <v>14</v>
      </c>
      <c r="CK734">
        <f t="shared" si="421"/>
        <v>10</v>
      </c>
      <c r="CL734">
        <f t="shared" si="422"/>
        <v>2025</v>
      </c>
    </row>
    <row r="735" spans="1:90" ht="15" customHeight="1" x14ac:dyDescent="0.35">
      <c r="A735" t="s">
        <v>1793</v>
      </c>
      <c r="B735" t="s">
        <v>100</v>
      </c>
      <c r="C735" t="s">
        <v>214</v>
      </c>
      <c r="D735" t="s">
        <v>101</v>
      </c>
      <c r="E735" s="32">
        <v>45944</v>
      </c>
      <c r="F735" t="s">
        <v>222</v>
      </c>
      <c r="G735" t="s">
        <v>1592</v>
      </c>
      <c r="H735">
        <v>9645193890</v>
      </c>
      <c r="I735">
        <v>143</v>
      </c>
      <c r="J735" t="s">
        <v>252</v>
      </c>
      <c r="K735" t="s">
        <v>57</v>
      </c>
      <c r="L735" t="s">
        <v>58</v>
      </c>
      <c r="M735" t="s">
        <v>59</v>
      </c>
      <c r="N735" t="s">
        <v>59</v>
      </c>
      <c r="O735" t="s">
        <v>59</v>
      </c>
      <c r="P735" t="s">
        <v>59</v>
      </c>
      <c r="Q735" t="s">
        <v>59</v>
      </c>
      <c r="R735" t="s">
        <v>59</v>
      </c>
      <c r="S735" t="s">
        <v>59</v>
      </c>
      <c r="T735" t="s">
        <v>59</v>
      </c>
      <c r="U735" t="s">
        <v>59</v>
      </c>
      <c r="V735" t="s">
        <v>59</v>
      </c>
      <c r="W735" t="s">
        <v>59</v>
      </c>
      <c r="X735" t="s">
        <v>61</v>
      </c>
      <c r="Y735" t="s">
        <v>59</v>
      </c>
      <c r="Z735" t="s">
        <v>59</v>
      </c>
      <c r="AA735" t="s">
        <v>60</v>
      </c>
      <c r="AB735" t="s">
        <v>59</v>
      </c>
      <c r="AC735" t="s">
        <v>61</v>
      </c>
      <c r="AD735" t="s">
        <v>61</v>
      </c>
      <c r="AE735" t="s">
        <v>59</v>
      </c>
      <c r="AF735" t="s">
        <v>59</v>
      </c>
      <c r="AG735" t="s">
        <v>59</v>
      </c>
      <c r="AH735" t="s">
        <v>59</v>
      </c>
      <c r="AI735" t="s">
        <v>61</v>
      </c>
      <c r="AJ735" t="s">
        <v>61</v>
      </c>
      <c r="AK735" t="s">
        <v>61</v>
      </c>
      <c r="AL735" t="s">
        <v>60</v>
      </c>
      <c r="AM735" t="s">
        <v>59</v>
      </c>
      <c r="AN735" t="s">
        <v>59</v>
      </c>
      <c r="AO735" t="s">
        <v>59</v>
      </c>
      <c r="AP735" t="s">
        <v>526</v>
      </c>
      <c r="AQ735" s="1" t="s">
        <v>1794</v>
      </c>
      <c r="AR735" t="s">
        <v>226</v>
      </c>
      <c r="AS735" t="s">
        <v>352</v>
      </c>
      <c r="AT735" t="s">
        <v>352</v>
      </c>
      <c r="AU735" t="s">
        <v>219</v>
      </c>
      <c r="AW735" s="4">
        <f t="shared" si="388"/>
        <v>6</v>
      </c>
      <c r="AX735" s="4">
        <f t="shared" si="389"/>
        <v>4</v>
      </c>
      <c r="AY735" s="4">
        <f t="shared" si="390"/>
        <v>4</v>
      </c>
      <c r="AZ735" s="4">
        <f t="shared" si="391"/>
        <v>2</v>
      </c>
      <c r="BA735" s="4">
        <f t="shared" si="392"/>
        <v>4</v>
      </c>
      <c r="BB735" s="4">
        <f t="shared" si="393"/>
        <v>4</v>
      </c>
      <c r="BC735" s="4">
        <f t="shared" si="394"/>
        <v>4</v>
      </c>
      <c r="BD735" s="4">
        <f t="shared" si="395"/>
        <v>2</v>
      </c>
      <c r="BE735" s="4">
        <f t="shared" si="396"/>
        <v>4</v>
      </c>
      <c r="BF735" s="4">
        <f t="shared" si="397"/>
        <v>2</v>
      </c>
      <c r="BG735" s="4">
        <f t="shared" si="398"/>
        <v>4</v>
      </c>
      <c r="BH735" s="4">
        <f t="shared" si="399"/>
        <v>4</v>
      </c>
      <c r="BI735" s="4">
        <f t="shared" si="400"/>
        <v>4</v>
      </c>
      <c r="BJ735" s="4">
        <f t="shared" si="401"/>
        <v>2</v>
      </c>
      <c r="BK735" s="4" t="str">
        <f t="shared" si="402"/>
        <v>0</v>
      </c>
      <c r="BL735" s="4">
        <f t="shared" si="403"/>
        <v>2</v>
      </c>
      <c r="BM735" s="4">
        <f t="shared" si="404"/>
        <v>4</v>
      </c>
      <c r="BN735" s="4">
        <f t="shared" si="405"/>
        <v>4</v>
      </c>
      <c r="BO735" s="4">
        <f t="shared" si="406"/>
        <v>4</v>
      </c>
      <c r="BP735" s="4">
        <f t="shared" si="407"/>
        <v>4</v>
      </c>
      <c r="BQ735" s="4">
        <f t="shared" si="408"/>
        <v>6</v>
      </c>
      <c r="BR735" s="4">
        <f t="shared" si="409"/>
        <v>4</v>
      </c>
      <c r="BS735" s="4">
        <f t="shared" si="410"/>
        <v>4</v>
      </c>
      <c r="BT735" s="4">
        <f t="shared" si="411"/>
        <v>4</v>
      </c>
      <c r="BU735" s="4">
        <f t="shared" si="412"/>
        <v>4</v>
      </c>
      <c r="BV735" s="4" t="str">
        <f t="shared" si="413"/>
        <v>0</v>
      </c>
      <c r="BW735" s="4">
        <f t="shared" si="414"/>
        <v>6</v>
      </c>
      <c r="BX735" s="4">
        <f t="shared" si="415"/>
        <v>0</v>
      </c>
      <c r="BY735" s="4">
        <f t="shared" si="416"/>
        <v>0</v>
      </c>
      <c r="BZ735" s="37">
        <f t="shared" si="417"/>
        <v>96</v>
      </c>
      <c r="CA735" s="32" t="str">
        <f>VLOOKUP(J:J,'Agent wise'!A:C,3,0)</f>
        <v xml:space="preserve">Shiny </v>
      </c>
      <c r="CB735" s="32">
        <f t="shared" si="418"/>
        <v>45944</v>
      </c>
      <c r="CC735" t="str">
        <f t="shared" si="419"/>
        <v>Excellent</v>
      </c>
      <c r="CE735" s="32"/>
      <c r="CJ735">
        <f t="shared" si="420"/>
        <v>14</v>
      </c>
      <c r="CK735">
        <f t="shared" si="421"/>
        <v>10</v>
      </c>
      <c r="CL735">
        <f t="shared" si="422"/>
        <v>2025</v>
      </c>
    </row>
    <row r="736" spans="1:90" ht="15" customHeight="1" x14ac:dyDescent="0.35">
      <c r="A736" t="s">
        <v>1795</v>
      </c>
      <c r="B736" t="s">
        <v>250</v>
      </c>
      <c r="C736" t="s">
        <v>214</v>
      </c>
      <c r="D736" t="s">
        <v>251</v>
      </c>
      <c r="E736" s="32">
        <v>45944</v>
      </c>
      <c r="F736" t="s">
        <v>54</v>
      </c>
      <c r="G736" t="s">
        <v>1592</v>
      </c>
      <c r="H736">
        <v>8248628539</v>
      </c>
      <c r="I736">
        <v>190</v>
      </c>
      <c r="J736" t="s">
        <v>533</v>
      </c>
      <c r="K736" t="s">
        <v>71</v>
      </c>
      <c r="L736" t="s">
        <v>72</v>
      </c>
      <c r="M736" t="s">
        <v>59</v>
      </c>
      <c r="N736" t="s">
        <v>59</v>
      </c>
      <c r="O736" t="s">
        <v>59</v>
      </c>
      <c r="P736" t="s">
        <v>59</v>
      </c>
      <c r="Q736" t="s">
        <v>59</v>
      </c>
      <c r="R736" t="s">
        <v>59</v>
      </c>
      <c r="S736" t="s">
        <v>59</v>
      </c>
      <c r="T736" t="s">
        <v>59</v>
      </c>
      <c r="U736" t="s">
        <v>60</v>
      </c>
      <c r="V736" t="s">
        <v>59</v>
      </c>
      <c r="W736" t="s">
        <v>59</v>
      </c>
      <c r="X736" t="s">
        <v>59</v>
      </c>
      <c r="Y736" t="s">
        <v>59</v>
      </c>
      <c r="Z736" t="s">
        <v>60</v>
      </c>
      <c r="AA736" t="s">
        <v>59</v>
      </c>
      <c r="AB736" t="s">
        <v>61</v>
      </c>
      <c r="AC736" t="s">
        <v>59</v>
      </c>
      <c r="AD736" t="s">
        <v>59</v>
      </c>
      <c r="AE736" t="s">
        <v>59</v>
      </c>
      <c r="AF736" t="s">
        <v>59</v>
      </c>
      <c r="AG736" t="s">
        <v>59</v>
      </c>
      <c r="AH736" t="s">
        <v>61</v>
      </c>
      <c r="AI736" t="s">
        <v>61</v>
      </c>
      <c r="AJ736" t="s">
        <v>59</v>
      </c>
      <c r="AK736" t="s">
        <v>59</v>
      </c>
      <c r="AL736" t="s">
        <v>60</v>
      </c>
      <c r="AM736" t="s">
        <v>59</v>
      </c>
      <c r="AN736" t="s">
        <v>59</v>
      </c>
      <c r="AO736" t="s">
        <v>59</v>
      </c>
      <c r="AP736" t="s">
        <v>1796</v>
      </c>
      <c r="AQ736" t="s">
        <v>1797</v>
      </c>
      <c r="AR736" t="s">
        <v>64</v>
      </c>
      <c r="AS736" t="s">
        <v>397</v>
      </c>
      <c r="AT736" t="s">
        <v>398</v>
      </c>
      <c r="AU736" t="s">
        <v>219</v>
      </c>
      <c r="AW736" s="4">
        <f t="shared" si="388"/>
        <v>6</v>
      </c>
      <c r="AX736" s="4">
        <f t="shared" si="389"/>
        <v>4</v>
      </c>
      <c r="AY736" s="4">
        <f t="shared" si="390"/>
        <v>4</v>
      </c>
      <c r="AZ736" s="4">
        <f t="shared" si="391"/>
        <v>2</v>
      </c>
      <c r="BA736" s="4">
        <f t="shared" si="392"/>
        <v>4</v>
      </c>
      <c r="BB736" s="4">
        <f t="shared" si="393"/>
        <v>4</v>
      </c>
      <c r="BC736" s="4">
        <f t="shared" si="394"/>
        <v>4</v>
      </c>
      <c r="BD736" s="4">
        <f t="shared" si="395"/>
        <v>2</v>
      </c>
      <c r="BE736" s="4" t="str">
        <f t="shared" si="396"/>
        <v>0</v>
      </c>
      <c r="BF736" s="4">
        <f t="shared" si="397"/>
        <v>2</v>
      </c>
      <c r="BG736" s="4">
        <f t="shared" si="398"/>
        <v>4</v>
      </c>
      <c r="BH736" s="4">
        <f t="shared" si="399"/>
        <v>4</v>
      </c>
      <c r="BI736" s="4">
        <f t="shared" si="400"/>
        <v>4</v>
      </c>
      <c r="BJ736" s="4" t="str">
        <f t="shared" si="401"/>
        <v>0</v>
      </c>
      <c r="BK736" s="4">
        <f t="shared" si="402"/>
        <v>4</v>
      </c>
      <c r="BL736" s="4">
        <f t="shared" si="403"/>
        <v>2</v>
      </c>
      <c r="BM736" s="4">
        <f t="shared" si="404"/>
        <v>4</v>
      </c>
      <c r="BN736" s="4">
        <f t="shared" si="405"/>
        <v>4</v>
      </c>
      <c r="BO736" s="4">
        <f t="shared" si="406"/>
        <v>4</v>
      </c>
      <c r="BP736" s="4">
        <f t="shared" si="407"/>
        <v>4</v>
      </c>
      <c r="BQ736" s="4">
        <f t="shared" si="408"/>
        <v>6</v>
      </c>
      <c r="BR736" s="4">
        <f t="shared" si="409"/>
        <v>4</v>
      </c>
      <c r="BS736" s="4">
        <f t="shared" si="410"/>
        <v>4</v>
      </c>
      <c r="BT736" s="4">
        <f t="shared" si="411"/>
        <v>4</v>
      </c>
      <c r="BU736" s="4">
        <f t="shared" si="412"/>
        <v>4</v>
      </c>
      <c r="BV736" s="4" t="str">
        <f t="shared" si="413"/>
        <v>0</v>
      </c>
      <c r="BW736" s="4">
        <f t="shared" si="414"/>
        <v>6</v>
      </c>
      <c r="BX736" s="4">
        <f t="shared" si="415"/>
        <v>0</v>
      </c>
      <c r="BY736" s="4">
        <f t="shared" si="416"/>
        <v>0</v>
      </c>
      <c r="BZ736" s="37">
        <f t="shared" si="417"/>
        <v>94</v>
      </c>
      <c r="CA736" s="32" t="str">
        <f>VLOOKUP(J:J,'Agent wise'!A:C,3,0)</f>
        <v xml:space="preserve">Shiny </v>
      </c>
      <c r="CB736" s="32">
        <f t="shared" si="418"/>
        <v>45944</v>
      </c>
      <c r="CC736" t="str">
        <f t="shared" si="419"/>
        <v>Good</v>
      </c>
      <c r="CE736" s="32"/>
      <c r="CJ736">
        <f t="shared" si="420"/>
        <v>14</v>
      </c>
      <c r="CK736">
        <f t="shared" si="421"/>
        <v>10</v>
      </c>
      <c r="CL736">
        <f t="shared" si="422"/>
        <v>2025</v>
      </c>
    </row>
    <row r="737" spans="1:90" ht="15" customHeight="1" x14ac:dyDescent="0.35">
      <c r="A737" t="s">
        <v>1798</v>
      </c>
      <c r="B737" t="s">
        <v>100</v>
      </c>
      <c r="C737" t="s">
        <v>214</v>
      </c>
      <c r="D737" t="s">
        <v>101</v>
      </c>
      <c r="E737" s="32">
        <v>45944</v>
      </c>
      <c r="F737" t="s">
        <v>222</v>
      </c>
      <c r="G737" t="s">
        <v>1592</v>
      </c>
      <c r="H737">
        <v>7736060644</v>
      </c>
      <c r="I737">
        <v>149</v>
      </c>
      <c r="J737" t="s">
        <v>409</v>
      </c>
      <c r="K737" t="s">
        <v>57</v>
      </c>
      <c r="L737" t="s">
        <v>58</v>
      </c>
      <c r="M737" t="s">
        <v>59</v>
      </c>
      <c r="N737" t="s">
        <v>59</v>
      </c>
      <c r="O737" t="s">
        <v>59</v>
      </c>
      <c r="P737" t="s">
        <v>59</v>
      </c>
      <c r="Q737" t="s">
        <v>59</v>
      </c>
      <c r="R737" t="s">
        <v>59</v>
      </c>
      <c r="S737" t="s">
        <v>59</v>
      </c>
      <c r="T737" t="s">
        <v>59</v>
      </c>
      <c r="U737" t="s">
        <v>59</v>
      </c>
      <c r="V737" t="s">
        <v>59</v>
      </c>
      <c r="W737" t="s">
        <v>59</v>
      </c>
      <c r="X737" t="s">
        <v>59</v>
      </c>
      <c r="Y737" t="s">
        <v>59</v>
      </c>
      <c r="Z737" t="s">
        <v>59</v>
      </c>
      <c r="AA737" t="s">
        <v>60</v>
      </c>
      <c r="AB737" t="s">
        <v>61</v>
      </c>
      <c r="AC737" t="s">
        <v>59</v>
      </c>
      <c r="AD737" t="s">
        <v>61</v>
      </c>
      <c r="AE737" t="s">
        <v>59</v>
      </c>
      <c r="AF737" t="s">
        <v>59</v>
      </c>
      <c r="AG737" t="s">
        <v>59</v>
      </c>
      <c r="AH737" t="s">
        <v>59</v>
      </c>
      <c r="AI737" t="s">
        <v>61</v>
      </c>
      <c r="AJ737" t="s">
        <v>59</v>
      </c>
      <c r="AK737" t="s">
        <v>59</v>
      </c>
      <c r="AL737" t="s">
        <v>60</v>
      </c>
      <c r="AM737" t="s">
        <v>59</v>
      </c>
      <c r="AN737" t="s">
        <v>59</v>
      </c>
      <c r="AO737" t="s">
        <v>59</v>
      </c>
      <c r="AP737" t="s">
        <v>1426</v>
      </c>
      <c r="AQ737" s="1" t="s">
        <v>1799</v>
      </c>
      <c r="AR737" t="s">
        <v>226</v>
      </c>
      <c r="AS737" t="s">
        <v>352</v>
      </c>
      <c r="AT737" t="s">
        <v>352</v>
      </c>
      <c r="AU737" t="s">
        <v>219</v>
      </c>
      <c r="AW737" s="4">
        <f t="shared" si="388"/>
        <v>6</v>
      </c>
      <c r="AX737" s="4">
        <f t="shared" si="389"/>
        <v>4</v>
      </c>
      <c r="AY737" s="4">
        <f t="shared" si="390"/>
        <v>4</v>
      </c>
      <c r="AZ737" s="4">
        <f t="shared" si="391"/>
        <v>2</v>
      </c>
      <c r="BA737" s="4">
        <f t="shared" si="392"/>
        <v>4</v>
      </c>
      <c r="BB737" s="4">
        <f t="shared" si="393"/>
        <v>4</v>
      </c>
      <c r="BC737" s="4">
        <f t="shared" si="394"/>
        <v>4</v>
      </c>
      <c r="BD737" s="4">
        <f t="shared" si="395"/>
        <v>2</v>
      </c>
      <c r="BE737" s="4">
        <f t="shared" si="396"/>
        <v>4</v>
      </c>
      <c r="BF737" s="4">
        <f t="shared" si="397"/>
        <v>2</v>
      </c>
      <c r="BG737" s="4">
        <f t="shared" si="398"/>
        <v>4</v>
      </c>
      <c r="BH737" s="4">
        <f t="shared" si="399"/>
        <v>4</v>
      </c>
      <c r="BI737" s="4">
        <f t="shared" si="400"/>
        <v>4</v>
      </c>
      <c r="BJ737" s="4">
        <f t="shared" si="401"/>
        <v>2</v>
      </c>
      <c r="BK737" s="4" t="str">
        <f t="shared" si="402"/>
        <v>0</v>
      </c>
      <c r="BL737" s="4">
        <f t="shared" si="403"/>
        <v>2</v>
      </c>
      <c r="BM737" s="4">
        <f t="shared" si="404"/>
        <v>4</v>
      </c>
      <c r="BN737" s="4">
        <f t="shared" si="405"/>
        <v>4</v>
      </c>
      <c r="BO737" s="4">
        <f t="shared" si="406"/>
        <v>4</v>
      </c>
      <c r="BP737" s="4">
        <f t="shared" si="407"/>
        <v>4</v>
      </c>
      <c r="BQ737" s="4">
        <f t="shared" si="408"/>
        <v>6</v>
      </c>
      <c r="BR737" s="4">
        <f t="shared" si="409"/>
        <v>4</v>
      </c>
      <c r="BS737" s="4">
        <f t="shared" si="410"/>
        <v>4</v>
      </c>
      <c r="BT737" s="4">
        <f t="shared" si="411"/>
        <v>4</v>
      </c>
      <c r="BU737" s="4">
        <f t="shared" si="412"/>
        <v>4</v>
      </c>
      <c r="BV737" s="4" t="str">
        <f t="shared" si="413"/>
        <v>0</v>
      </c>
      <c r="BW737" s="4">
        <f t="shared" si="414"/>
        <v>6</v>
      </c>
      <c r="BX737" s="4">
        <f t="shared" si="415"/>
        <v>0</v>
      </c>
      <c r="BY737" s="4">
        <f t="shared" si="416"/>
        <v>0</v>
      </c>
      <c r="BZ737" s="37">
        <f t="shared" si="417"/>
        <v>96</v>
      </c>
      <c r="CA737" s="32" t="str">
        <f>VLOOKUP(J:J,'Agent wise'!A:C,3,0)</f>
        <v>Amal</v>
      </c>
      <c r="CB737" s="32">
        <f t="shared" si="418"/>
        <v>45944</v>
      </c>
      <c r="CC737" t="str">
        <f t="shared" si="419"/>
        <v>Excellent</v>
      </c>
      <c r="CE737" s="32"/>
      <c r="CJ737">
        <f t="shared" si="420"/>
        <v>14</v>
      </c>
      <c r="CK737">
        <f t="shared" si="421"/>
        <v>10</v>
      </c>
      <c r="CL737">
        <f t="shared" si="422"/>
        <v>2025</v>
      </c>
    </row>
    <row r="738" spans="1:90" ht="15" customHeight="1" x14ac:dyDescent="0.35">
      <c r="A738" t="s">
        <v>1800</v>
      </c>
      <c r="B738" t="s">
        <v>250</v>
      </c>
      <c r="C738" t="s">
        <v>214</v>
      </c>
      <c r="D738" t="s">
        <v>251</v>
      </c>
      <c r="E738" s="32">
        <v>45943</v>
      </c>
      <c r="F738" t="s">
        <v>54</v>
      </c>
      <c r="G738" t="s">
        <v>1592</v>
      </c>
      <c r="H738">
        <v>8078741948</v>
      </c>
      <c r="I738">
        <v>167</v>
      </c>
      <c r="J738" t="s">
        <v>451</v>
      </c>
      <c r="K738" t="s">
        <v>57</v>
      </c>
      <c r="L738" t="s">
        <v>58</v>
      </c>
      <c r="M738" t="s">
        <v>59</v>
      </c>
      <c r="N738" t="s">
        <v>59</v>
      </c>
      <c r="O738" t="s">
        <v>59</v>
      </c>
      <c r="P738" t="s">
        <v>59</v>
      </c>
      <c r="Q738" t="s">
        <v>59</v>
      </c>
      <c r="R738" t="s">
        <v>59</v>
      </c>
      <c r="S738" t="s">
        <v>59</v>
      </c>
      <c r="T738" t="s">
        <v>59</v>
      </c>
      <c r="U738" t="s">
        <v>60</v>
      </c>
      <c r="V738" t="s">
        <v>59</v>
      </c>
      <c r="W738" t="s">
        <v>59</v>
      </c>
      <c r="X738" t="s">
        <v>59</v>
      </c>
      <c r="Y738" t="s">
        <v>59</v>
      </c>
      <c r="Z738" t="s">
        <v>59</v>
      </c>
      <c r="AA738" t="s">
        <v>59</v>
      </c>
      <c r="AB738" t="s">
        <v>59</v>
      </c>
      <c r="AC738" t="s">
        <v>59</v>
      </c>
      <c r="AD738" t="s">
        <v>59</v>
      </c>
      <c r="AE738" t="s">
        <v>59</v>
      </c>
      <c r="AF738" t="s">
        <v>59</v>
      </c>
      <c r="AG738" t="s">
        <v>59</v>
      </c>
      <c r="AH738" t="s">
        <v>59</v>
      </c>
      <c r="AI738" t="s">
        <v>61</v>
      </c>
      <c r="AJ738" t="s">
        <v>59</v>
      </c>
      <c r="AK738" t="s">
        <v>59</v>
      </c>
      <c r="AL738" t="s">
        <v>60</v>
      </c>
      <c r="AM738" t="s">
        <v>59</v>
      </c>
      <c r="AN738" t="s">
        <v>59</v>
      </c>
      <c r="AO738" t="s">
        <v>59</v>
      </c>
      <c r="AP738" t="s">
        <v>563</v>
      </c>
      <c r="AQ738" t="s">
        <v>1801</v>
      </c>
      <c r="AR738" t="s">
        <v>64</v>
      </c>
      <c r="AS738" t="s">
        <v>111</v>
      </c>
      <c r="AT738" t="s">
        <v>1201</v>
      </c>
      <c r="AU738" t="s">
        <v>219</v>
      </c>
      <c r="AW738" s="4">
        <f t="shared" si="388"/>
        <v>6</v>
      </c>
      <c r="AX738" s="4">
        <f t="shared" si="389"/>
        <v>4</v>
      </c>
      <c r="AY738" s="4">
        <f t="shared" si="390"/>
        <v>4</v>
      </c>
      <c r="AZ738" s="4">
        <f t="shared" si="391"/>
        <v>2</v>
      </c>
      <c r="BA738" s="4">
        <f t="shared" si="392"/>
        <v>4</v>
      </c>
      <c r="BB738" s="4">
        <f t="shared" si="393"/>
        <v>4</v>
      </c>
      <c r="BC738" s="4">
        <f t="shared" si="394"/>
        <v>4</v>
      </c>
      <c r="BD738" s="4">
        <f t="shared" si="395"/>
        <v>2</v>
      </c>
      <c r="BE738" s="4" t="str">
        <f t="shared" si="396"/>
        <v>0</v>
      </c>
      <c r="BF738" s="4">
        <f t="shared" si="397"/>
        <v>2</v>
      </c>
      <c r="BG738" s="4">
        <f t="shared" si="398"/>
        <v>4</v>
      </c>
      <c r="BH738" s="4">
        <f t="shared" si="399"/>
        <v>4</v>
      </c>
      <c r="BI738" s="4">
        <f t="shared" si="400"/>
        <v>4</v>
      </c>
      <c r="BJ738" s="4">
        <f t="shared" si="401"/>
        <v>2</v>
      </c>
      <c r="BK738" s="4">
        <f t="shared" si="402"/>
        <v>4</v>
      </c>
      <c r="BL738" s="4">
        <f t="shared" si="403"/>
        <v>2</v>
      </c>
      <c r="BM738" s="4">
        <f t="shared" si="404"/>
        <v>4</v>
      </c>
      <c r="BN738" s="4">
        <f t="shared" si="405"/>
        <v>4</v>
      </c>
      <c r="BO738" s="4">
        <f t="shared" si="406"/>
        <v>4</v>
      </c>
      <c r="BP738" s="4">
        <f t="shared" si="407"/>
        <v>4</v>
      </c>
      <c r="BQ738" s="4">
        <f t="shared" si="408"/>
        <v>6</v>
      </c>
      <c r="BR738" s="4">
        <f t="shared" si="409"/>
        <v>4</v>
      </c>
      <c r="BS738" s="4">
        <f t="shared" si="410"/>
        <v>4</v>
      </c>
      <c r="BT738" s="4">
        <f t="shared" si="411"/>
        <v>4</v>
      </c>
      <c r="BU738" s="4">
        <f t="shared" si="412"/>
        <v>4</v>
      </c>
      <c r="BV738" s="4" t="str">
        <f t="shared" si="413"/>
        <v>0</v>
      </c>
      <c r="BW738" s="4">
        <f t="shared" si="414"/>
        <v>6</v>
      </c>
      <c r="BX738" s="4">
        <f t="shared" si="415"/>
        <v>0</v>
      </c>
      <c r="BY738" s="4">
        <f t="shared" si="416"/>
        <v>0</v>
      </c>
      <c r="BZ738" s="37">
        <f t="shared" si="417"/>
        <v>96</v>
      </c>
      <c r="CA738" s="32" t="str">
        <f>VLOOKUP(J:J,'Agent wise'!A:C,3,0)</f>
        <v xml:space="preserve">Shiny </v>
      </c>
      <c r="CB738" s="32">
        <f t="shared" si="418"/>
        <v>45943</v>
      </c>
      <c r="CC738" t="str">
        <f t="shared" si="419"/>
        <v>Excellent</v>
      </c>
      <c r="CE738" s="32"/>
      <c r="CJ738">
        <f t="shared" si="420"/>
        <v>13</v>
      </c>
      <c r="CK738">
        <f t="shared" si="421"/>
        <v>10</v>
      </c>
      <c r="CL738">
        <f t="shared" si="422"/>
        <v>2025</v>
      </c>
    </row>
    <row r="739" spans="1:90" ht="15" customHeight="1" x14ac:dyDescent="0.35">
      <c r="A739" t="s">
        <v>1802</v>
      </c>
      <c r="B739" t="s">
        <v>100</v>
      </c>
      <c r="C739" t="s">
        <v>214</v>
      </c>
      <c r="D739" t="s">
        <v>101</v>
      </c>
      <c r="E739" s="32">
        <v>45944</v>
      </c>
      <c r="F739" t="s">
        <v>222</v>
      </c>
      <c r="G739" t="s">
        <v>1592</v>
      </c>
      <c r="H739">
        <v>8072354219</v>
      </c>
      <c r="I739">
        <v>147</v>
      </c>
      <c r="J739" t="s">
        <v>570</v>
      </c>
      <c r="K739" t="s">
        <v>71</v>
      </c>
      <c r="L739" t="s">
        <v>72</v>
      </c>
      <c r="M739" t="s">
        <v>59</v>
      </c>
      <c r="N739" t="s">
        <v>59</v>
      </c>
      <c r="O739" t="s">
        <v>59</v>
      </c>
      <c r="P739" t="s">
        <v>59</v>
      </c>
      <c r="Q739" t="s">
        <v>59</v>
      </c>
      <c r="R739" t="s">
        <v>59</v>
      </c>
      <c r="S739" t="s">
        <v>59</v>
      </c>
      <c r="T739" t="s">
        <v>59</v>
      </c>
      <c r="U739" t="s">
        <v>59</v>
      </c>
      <c r="V739" t="s">
        <v>59</v>
      </c>
      <c r="W739" t="s">
        <v>59</v>
      </c>
      <c r="X739" t="s">
        <v>59</v>
      </c>
      <c r="Y739" t="s">
        <v>59</v>
      </c>
      <c r="Z739" t="s">
        <v>59</v>
      </c>
      <c r="AA739" t="s">
        <v>60</v>
      </c>
      <c r="AB739" t="s">
        <v>61</v>
      </c>
      <c r="AC739" t="s">
        <v>61</v>
      </c>
      <c r="AD739" t="s">
        <v>61</v>
      </c>
      <c r="AE739" t="s">
        <v>59</v>
      </c>
      <c r="AF739" t="s">
        <v>61</v>
      </c>
      <c r="AG739" t="s">
        <v>59</v>
      </c>
      <c r="AH739" t="s">
        <v>61</v>
      </c>
      <c r="AI739" t="s">
        <v>61</v>
      </c>
      <c r="AJ739" t="s">
        <v>61</v>
      </c>
      <c r="AK739" t="s">
        <v>61</v>
      </c>
      <c r="AL739" t="s">
        <v>60</v>
      </c>
      <c r="AM739" t="s">
        <v>59</v>
      </c>
      <c r="AN739" t="s">
        <v>59</v>
      </c>
      <c r="AO739" t="s">
        <v>59</v>
      </c>
      <c r="AP739" t="s">
        <v>1426</v>
      </c>
      <c r="AQ739" s="1" t="s">
        <v>1799</v>
      </c>
      <c r="AR739" t="s">
        <v>226</v>
      </c>
      <c r="AS739" t="s">
        <v>352</v>
      </c>
      <c r="AT739" t="s">
        <v>352</v>
      </c>
      <c r="AU739" t="s">
        <v>219</v>
      </c>
      <c r="AW739" s="4">
        <f t="shared" si="388"/>
        <v>6</v>
      </c>
      <c r="AX739" s="4">
        <f t="shared" si="389"/>
        <v>4</v>
      </c>
      <c r="AY739" s="4">
        <f t="shared" si="390"/>
        <v>4</v>
      </c>
      <c r="AZ739" s="4">
        <f t="shared" si="391"/>
        <v>2</v>
      </c>
      <c r="BA739" s="4">
        <f t="shared" si="392"/>
        <v>4</v>
      </c>
      <c r="BB739" s="4">
        <f t="shared" si="393"/>
        <v>4</v>
      </c>
      <c r="BC739" s="4">
        <f t="shared" si="394"/>
        <v>4</v>
      </c>
      <c r="BD739" s="4">
        <f t="shared" si="395"/>
        <v>2</v>
      </c>
      <c r="BE739" s="4">
        <f t="shared" si="396"/>
        <v>4</v>
      </c>
      <c r="BF739" s="4">
        <f t="shared" si="397"/>
        <v>2</v>
      </c>
      <c r="BG739" s="4">
        <f t="shared" si="398"/>
        <v>4</v>
      </c>
      <c r="BH739" s="4">
        <f t="shared" si="399"/>
        <v>4</v>
      </c>
      <c r="BI739" s="4">
        <f t="shared" si="400"/>
        <v>4</v>
      </c>
      <c r="BJ739" s="4">
        <f t="shared" si="401"/>
        <v>2</v>
      </c>
      <c r="BK739" s="4" t="str">
        <f t="shared" si="402"/>
        <v>0</v>
      </c>
      <c r="BL739" s="4">
        <f t="shared" si="403"/>
        <v>2</v>
      </c>
      <c r="BM739" s="4">
        <f t="shared" si="404"/>
        <v>4</v>
      </c>
      <c r="BN739" s="4">
        <f t="shared" si="405"/>
        <v>4</v>
      </c>
      <c r="BO739" s="4">
        <f t="shared" si="406"/>
        <v>4</v>
      </c>
      <c r="BP739" s="4">
        <f t="shared" si="407"/>
        <v>4</v>
      </c>
      <c r="BQ739" s="4">
        <f t="shared" si="408"/>
        <v>6</v>
      </c>
      <c r="BR739" s="4">
        <f t="shared" si="409"/>
        <v>4</v>
      </c>
      <c r="BS739" s="4">
        <f t="shared" si="410"/>
        <v>4</v>
      </c>
      <c r="BT739" s="4">
        <f t="shared" si="411"/>
        <v>4</v>
      </c>
      <c r="BU739" s="4">
        <f t="shared" si="412"/>
        <v>4</v>
      </c>
      <c r="BV739" s="4" t="str">
        <f t="shared" si="413"/>
        <v>0</v>
      </c>
      <c r="BW739" s="4">
        <f t="shared" si="414"/>
        <v>6</v>
      </c>
      <c r="BX739" s="4">
        <f t="shared" si="415"/>
        <v>0</v>
      </c>
      <c r="BY739" s="4">
        <f t="shared" si="416"/>
        <v>0</v>
      </c>
      <c r="BZ739" s="37">
        <f t="shared" si="417"/>
        <v>96</v>
      </c>
      <c r="CA739" s="32" t="str">
        <f>VLOOKUP(J:J,'Agent wise'!A:C,3,0)</f>
        <v>Amal</v>
      </c>
      <c r="CB739" s="32">
        <f t="shared" si="418"/>
        <v>45944</v>
      </c>
      <c r="CC739" t="str">
        <f t="shared" si="419"/>
        <v>Excellent</v>
      </c>
      <c r="CE739" s="32"/>
      <c r="CJ739">
        <f t="shared" si="420"/>
        <v>14</v>
      </c>
      <c r="CK739">
        <f t="shared" si="421"/>
        <v>10</v>
      </c>
      <c r="CL739">
        <f t="shared" si="422"/>
        <v>2025</v>
      </c>
    </row>
    <row r="740" spans="1:90" ht="15" customHeight="1" x14ac:dyDescent="0.35">
      <c r="A740" t="s">
        <v>1803</v>
      </c>
      <c r="B740" t="s">
        <v>250</v>
      </c>
      <c r="C740" t="s">
        <v>214</v>
      </c>
      <c r="D740" t="s">
        <v>251</v>
      </c>
      <c r="E740" s="32">
        <v>45944</v>
      </c>
      <c r="F740" t="s">
        <v>54</v>
      </c>
      <c r="G740" t="s">
        <v>1592</v>
      </c>
      <c r="H740">
        <v>8072375492</v>
      </c>
      <c r="I740">
        <v>171</v>
      </c>
      <c r="J740" t="s">
        <v>557</v>
      </c>
      <c r="K740" t="s">
        <v>71</v>
      </c>
      <c r="L740" t="s">
        <v>72</v>
      </c>
      <c r="M740" t="s">
        <v>59</v>
      </c>
      <c r="N740" t="s">
        <v>59</v>
      </c>
      <c r="O740" t="s">
        <v>59</v>
      </c>
      <c r="P740" t="s">
        <v>59</v>
      </c>
      <c r="Q740" t="s">
        <v>59</v>
      </c>
      <c r="R740" t="s">
        <v>59</v>
      </c>
      <c r="S740" t="s">
        <v>59</v>
      </c>
      <c r="T740" t="s">
        <v>59</v>
      </c>
      <c r="U740" t="s">
        <v>60</v>
      </c>
      <c r="V740" t="s">
        <v>59</v>
      </c>
      <c r="W740" t="s">
        <v>59</v>
      </c>
      <c r="X740" t="s">
        <v>59</v>
      </c>
      <c r="Y740" t="s">
        <v>59</v>
      </c>
      <c r="Z740" t="s">
        <v>59</v>
      </c>
      <c r="AA740" t="s">
        <v>59</v>
      </c>
      <c r="AB740" t="s">
        <v>60</v>
      </c>
      <c r="AC740" t="s">
        <v>59</v>
      </c>
      <c r="AD740" t="s">
        <v>59</v>
      </c>
      <c r="AE740" t="s">
        <v>59</v>
      </c>
      <c r="AF740" t="s">
        <v>59</v>
      </c>
      <c r="AG740" t="s">
        <v>59</v>
      </c>
      <c r="AH740" t="s">
        <v>61</v>
      </c>
      <c r="AI740" t="s">
        <v>61</v>
      </c>
      <c r="AJ740" t="s">
        <v>59</v>
      </c>
      <c r="AK740" t="s">
        <v>59</v>
      </c>
      <c r="AL740" t="s">
        <v>60</v>
      </c>
      <c r="AM740" t="s">
        <v>59</v>
      </c>
      <c r="AN740" t="s">
        <v>59</v>
      </c>
      <c r="AO740" t="s">
        <v>59</v>
      </c>
      <c r="AP740" t="s">
        <v>392</v>
      </c>
      <c r="AQ740" t="s">
        <v>1804</v>
      </c>
      <c r="AR740" t="s">
        <v>64</v>
      </c>
      <c r="AS740" t="s">
        <v>417</v>
      </c>
      <c r="AT740" t="s">
        <v>418</v>
      </c>
      <c r="AU740" t="s">
        <v>219</v>
      </c>
      <c r="AW740" s="4">
        <f t="shared" si="388"/>
        <v>6</v>
      </c>
      <c r="AX740" s="4">
        <f t="shared" si="389"/>
        <v>4</v>
      </c>
      <c r="AY740" s="4">
        <f t="shared" si="390"/>
        <v>4</v>
      </c>
      <c r="AZ740" s="4">
        <f t="shared" si="391"/>
        <v>2</v>
      </c>
      <c r="BA740" s="4">
        <f t="shared" si="392"/>
        <v>4</v>
      </c>
      <c r="BB740" s="4">
        <f t="shared" si="393"/>
        <v>4</v>
      </c>
      <c r="BC740" s="4">
        <f t="shared" si="394"/>
        <v>4</v>
      </c>
      <c r="BD740" s="4">
        <f t="shared" si="395"/>
        <v>2</v>
      </c>
      <c r="BE740" s="4" t="str">
        <f t="shared" si="396"/>
        <v>0</v>
      </c>
      <c r="BF740" s="4">
        <f t="shared" si="397"/>
        <v>2</v>
      </c>
      <c r="BG740" s="4">
        <f t="shared" si="398"/>
        <v>4</v>
      </c>
      <c r="BH740" s="4">
        <f t="shared" si="399"/>
        <v>4</v>
      </c>
      <c r="BI740" s="4">
        <f t="shared" si="400"/>
        <v>4</v>
      </c>
      <c r="BJ740" s="4">
        <f t="shared" si="401"/>
        <v>2</v>
      </c>
      <c r="BK740" s="4">
        <f t="shared" si="402"/>
        <v>4</v>
      </c>
      <c r="BL740" s="4" t="str">
        <f t="shared" si="403"/>
        <v>0</v>
      </c>
      <c r="BM740" s="4">
        <f t="shared" si="404"/>
        <v>4</v>
      </c>
      <c r="BN740" s="4">
        <f t="shared" si="405"/>
        <v>4</v>
      </c>
      <c r="BO740" s="4">
        <f t="shared" si="406"/>
        <v>4</v>
      </c>
      <c r="BP740" s="4">
        <f t="shared" si="407"/>
        <v>4</v>
      </c>
      <c r="BQ740" s="4">
        <f t="shared" si="408"/>
        <v>6</v>
      </c>
      <c r="BR740" s="4">
        <f t="shared" si="409"/>
        <v>4</v>
      </c>
      <c r="BS740" s="4">
        <f t="shared" si="410"/>
        <v>4</v>
      </c>
      <c r="BT740" s="4">
        <f t="shared" si="411"/>
        <v>4</v>
      </c>
      <c r="BU740" s="4">
        <f t="shared" si="412"/>
        <v>4</v>
      </c>
      <c r="BV740" s="4" t="str">
        <f t="shared" si="413"/>
        <v>0</v>
      </c>
      <c r="BW740" s="4">
        <f t="shared" si="414"/>
        <v>6</v>
      </c>
      <c r="BX740" s="4">
        <f t="shared" si="415"/>
        <v>0</v>
      </c>
      <c r="BY740" s="4">
        <f t="shared" si="416"/>
        <v>0</v>
      </c>
      <c r="BZ740" s="37">
        <f t="shared" si="417"/>
        <v>94</v>
      </c>
      <c r="CA740" s="32" t="str">
        <f>VLOOKUP(J:J,'Agent wise'!A:C,3,0)</f>
        <v xml:space="preserve">Shiny </v>
      </c>
      <c r="CB740" s="32">
        <f t="shared" si="418"/>
        <v>45944</v>
      </c>
      <c r="CC740" t="str">
        <f t="shared" si="419"/>
        <v>Good</v>
      </c>
      <c r="CE740" s="32"/>
      <c r="CJ740">
        <f t="shared" si="420"/>
        <v>14</v>
      </c>
      <c r="CK740">
        <f t="shared" si="421"/>
        <v>10</v>
      </c>
      <c r="CL740">
        <f t="shared" si="422"/>
        <v>2025</v>
      </c>
    </row>
    <row r="741" spans="1:90" ht="15" customHeight="1" x14ac:dyDescent="0.35">
      <c r="A741" t="s">
        <v>1805</v>
      </c>
      <c r="B741" t="s">
        <v>100</v>
      </c>
      <c r="C741" t="s">
        <v>214</v>
      </c>
      <c r="D741" t="s">
        <v>101</v>
      </c>
      <c r="E741" s="32">
        <v>45944</v>
      </c>
      <c r="F741" t="s">
        <v>222</v>
      </c>
      <c r="G741" t="s">
        <v>1592</v>
      </c>
      <c r="H741">
        <v>9677255040</v>
      </c>
      <c r="I741">
        <v>131</v>
      </c>
      <c r="J741" t="s">
        <v>223</v>
      </c>
      <c r="K741" t="s">
        <v>71</v>
      </c>
      <c r="L741" t="s">
        <v>72</v>
      </c>
      <c r="M741" t="s">
        <v>59</v>
      </c>
      <c r="N741" t="s">
        <v>59</v>
      </c>
      <c r="O741" t="s">
        <v>59</v>
      </c>
      <c r="P741" t="s">
        <v>59</v>
      </c>
      <c r="Q741" t="s">
        <v>59</v>
      </c>
      <c r="R741" t="s">
        <v>59</v>
      </c>
      <c r="S741" t="s">
        <v>59</v>
      </c>
      <c r="T741" t="s">
        <v>59</v>
      </c>
      <c r="U741" t="s">
        <v>59</v>
      </c>
      <c r="V741" t="s">
        <v>59</v>
      </c>
      <c r="W741" t="s">
        <v>59</v>
      </c>
      <c r="X741" t="s">
        <v>61</v>
      </c>
      <c r="Y741" t="s">
        <v>59</v>
      </c>
      <c r="Z741" t="s">
        <v>59</v>
      </c>
      <c r="AA741" t="s">
        <v>60</v>
      </c>
      <c r="AB741" t="s">
        <v>59</v>
      </c>
      <c r="AC741" t="s">
        <v>61</v>
      </c>
      <c r="AD741" t="s">
        <v>61</v>
      </c>
      <c r="AE741" t="s">
        <v>59</v>
      </c>
      <c r="AF741" t="s">
        <v>61</v>
      </c>
      <c r="AG741" t="s">
        <v>59</v>
      </c>
      <c r="AH741" t="s">
        <v>61</v>
      </c>
      <c r="AI741" t="s">
        <v>61</v>
      </c>
      <c r="AJ741" t="s">
        <v>61</v>
      </c>
      <c r="AK741" t="s">
        <v>61</v>
      </c>
      <c r="AL741" t="s">
        <v>60</v>
      </c>
      <c r="AM741" t="s">
        <v>59</v>
      </c>
      <c r="AN741" t="s">
        <v>59</v>
      </c>
      <c r="AO741" t="s">
        <v>59</v>
      </c>
      <c r="AP741" t="s">
        <v>1426</v>
      </c>
      <c r="AQ741" s="1" t="s">
        <v>1799</v>
      </c>
      <c r="AR741" t="s">
        <v>226</v>
      </c>
      <c r="AS741" t="s">
        <v>352</v>
      </c>
      <c r="AT741" t="s">
        <v>352</v>
      </c>
      <c r="AU741" t="s">
        <v>219</v>
      </c>
      <c r="AW741" s="4">
        <f t="shared" si="388"/>
        <v>6</v>
      </c>
      <c r="AX741" s="4">
        <f t="shared" si="389"/>
        <v>4</v>
      </c>
      <c r="AY741" s="4">
        <f t="shared" si="390"/>
        <v>4</v>
      </c>
      <c r="AZ741" s="4">
        <f t="shared" si="391"/>
        <v>2</v>
      </c>
      <c r="BA741" s="4">
        <f t="shared" si="392"/>
        <v>4</v>
      </c>
      <c r="BB741" s="4">
        <f t="shared" si="393"/>
        <v>4</v>
      </c>
      <c r="BC741" s="4">
        <f t="shared" si="394"/>
        <v>4</v>
      </c>
      <c r="BD741" s="4">
        <f t="shared" si="395"/>
        <v>2</v>
      </c>
      <c r="BE741" s="4">
        <f t="shared" si="396"/>
        <v>4</v>
      </c>
      <c r="BF741" s="4">
        <f t="shared" si="397"/>
        <v>2</v>
      </c>
      <c r="BG741" s="4">
        <f t="shared" si="398"/>
        <v>4</v>
      </c>
      <c r="BH741" s="4">
        <f t="shared" si="399"/>
        <v>4</v>
      </c>
      <c r="BI741" s="4">
        <f t="shared" si="400"/>
        <v>4</v>
      </c>
      <c r="BJ741" s="4">
        <f t="shared" si="401"/>
        <v>2</v>
      </c>
      <c r="BK741" s="4" t="str">
        <f t="shared" si="402"/>
        <v>0</v>
      </c>
      <c r="BL741" s="4">
        <f t="shared" si="403"/>
        <v>2</v>
      </c>
      <c r="BM741" s="4">
        <f t="shared" si="404"/>
        <v>4</v>
      </c>
      <c r="BN741" s="4">
        <f t="shared" si="405"/>
        <v>4</v>
      </c>
      <c r="BO741" s="4">
        <f t="shared" si="406"/>
        <v>4</v>
      </c>
      <c r="BP741" s="4">
        <f t="shared" si="407"/>
        <v>4</v>
      </c>
      <c r="BQ741" s="4">
        <f t="shared" si="408"/>
        <v>6</v>
      </c>
      <c r="BR741" s="4">
        <f t="shared" si="409"/>
        <v>4</v>
      </c>
      <c r="BS741" s="4">
        <f t="shared" si="410"/>
        <v>4</v>
      </c>
      <c r="BT741" s="4">
        <f t="shared" si="411"/>
        <v>4</v>
      </c>
      <c r="BU741" s="4">
        <f t="shared" si="412"/>
        <v>4</v>
      </c>
      <c r="BV741" s="4" t="str">
        <f t="shared" si="413"/>
        <v>0</v>
      </c>
      <c r="BW741" s="4">
        <f t="shared" si="414"/>
        <v>6</v>
      </c>
      <c r="BX741" s="4">
        <f t="shared" si="415"/>
        <v>0</v>
      </c>
      <c r="BY741" s="4">
        <f t="shared" si="416"/>
        <v>0</v>
      </c>
      <c r="BZ741" s="37">
        <f t="shared" si="417"/>
        <v>96</v>
      </c>
      <c r="CA741" s="32" t="str">
        <f>VLOOKUP(J:J,'Agent wise'!A:C,3,0)</f>
        <v>Amal</v>
      </c>
      <c r="CB741" s="32">
        <f t="shared" si="418"/>
        <v>45944</v>
      </c>
      <c r="CC741" t="str">
        <f t="shared" si="419"/>
        <v>Excellent</v>
      </c>
      <c r="CE741" s="32"/>
      <c r="CJ741">
        <f t="shared" si="420"/>
        <v>14</v>
      </c>
      <c r="CK741">
        <f t="shared" si="421"/>
        <v>10</v>
      </c>
      <c r="CL741">
        <f t="shared" si="422"/>
        <v>2025</v>
      </c>
    </row>
    <row r="742" spans="1:90" ht="15" customHeight="1" x14ac:dyDescent="0.35">
      <c r="A742" t="s">
        <v>1806</v>
      </c>
      <c r="B742" t="s">
        <v>100</v>
      </c>
      <c r="C742" t="s">
        <v>214</v>
      </c>
      <c r="D742" t="s">
        <v>101</v>
      </c>
      <c r="E742" s="32">
        <v>45944</v>
      </c>
      <c r="F742" t="s">
        <v>222</v>
      </c>
      <c r="G742" t="s">
        <v>1592</v>
      </c>
      <c r="H742">
        <v>7902301935</v>
      </c>
      <c r="I742">
        <v>159</v>
      </c>
      <c r="J742" t="s">
        <v>548</v>
      </c>
      <c r="K742" t="s">
        <v>57</v>
      </c>
      <c r="L742" t="s">
        <v>58</v>
      </c>
      <c r="M742" t="s">
        <v>59</v>
      </c>
      <c r="N742" t="s">
        <v>59</v>
      </c>
      <c r="O742" t="s">
        <v>61</v>
      </c>
      <c r="P742" t="s">
        <v>61</v>
      </c>
      <c r="Q742" t="s">
        <v>59</v>
      </c>
      <c r="R742" t="s">
        <v>59</v>
      </c>
      <c r="S742" t="s">
        <v>59</v>
      </c>
      <c r="T742" t="s">
        <v>59</v>
      </c>
      <c r="U742" t="s">
        <v>59</v>
      </c>
      <c r="V742" t="s">
        <v>59</v>
      </c>
      <c r="W742" t="s">
        <v>59</v>
      </c>
      <c r="X742" t="s">
        <v>59</v>
      </c>
      <c r="Y742" t="s">
        <v>59</v>
      </c>
      <c r="Z742" t="s">
        <v>59</v>
      </c>
      <c r="AA742" t="s">
        <v>60</v>
      </c>
      <c r="AB742" t="s">
        <v>59</v>
      </c>
      <c r="AC742" t="s">
        <v>61</v>
      </c>
      <c r="AD742" t="s">
        <v>61</v>
      </c>
      <c r="AE742" t="s">
        <v>59</v>
      </c>
      <c r="AF742" t="s">
        <v>61</v>
      </c>
      <c r="AG742" t="s">
        <v>59</v>
      </c>
      <c r="AH742" t="s">
        <v>61</v>
      </c>
      <c r="AI742" t="s">
        <v>61</v>
      </c>
      <c r="AJ742" t="s">
        <v>61</v>
      </c>
      <c r="AK742" t="s">
        <v>61</v>
      </c>
      <c r="AL742" t="s">
        <v>60</v>
      </c>
      <c r="AM742" t="s">
        <v>59</v>
      </c>
      <c r="AN742" t="s">
        <v>59</v>
      </c>
      <c r="AO742" t="s">
        <v>59</v>
      </c>
      <c r="AP742" t="s">
        <v>1426</v>
      </c>
      <c r="AQ742" s="1" t="s">
        <v>1799</v>
      </c>
      <c r="AR742" t="s">
        <v>226</v>
      </c>
      <c r="AS742" t="s">
        <v>352</v>
      </c>
      <c r="AT742" t="s">
        <v>352</v>
      </c>
      <c r="AU742" t="s">
        <v>219</v>
      </c>
      <c r="AW742" s="4">
        <f t="shared" si="388"/>
        <v>6</v>
      </c>
      <c r="AX742" s="4">
        <f t="shared" si="389"/>
        <v>4</v>
      </c>
      <c r="AY742" s="4">
        <f t="shared" si="390"/>
        <v>4</v>
      </c>
      <c r="AZ742" s="4">
        <f t="shared" si="391"/>
        <v>2</v>
      </c>
      <c r="BA742" s="4">
        <f t="shared" si="392"/>
        <v>4</v>
      </c>
      <c r="BB742" s="4">
        <f t="shared" si="393"/>
        <v>4</v>
      </c>
      <c r="BC742" s="4">
        <f t="shared" si="394"/>
        <v>4</v>
      </c>
      <c r="BD742" s="4">
        <f t="shared" si="395"/>
        <v>2</v>
      </c>
      <c r="BE742" s="4">
        <f t="shared" si="396"/>
        <v>4</v>
      </c>
      <c r="BF742" s="4">
        <f t="shared" si="397"/>
        <v>2</v>
      </c>
      <c r="BG742" s="4">
        <f t="shared" si="398"/>
        <v>4</v>
      </c>
      <c r="BH742" s="4">
        <f t="shared" si="399"/>
        <v>4</v>
      </c>
      <c r="BI742" s="4">
        <f t="shared" si="400"/>
        <v>4</v>
      </c>
      <c r="BJ742" s="4">
        <f t="shared" si="401"/>
        <v>2</v>
      </c>
      <c r="BK742" s="4" t="str">
        <f t="shared" si="402"/>
        <v>0</v>
      </c>
      <c r="BL742" s="4">
        <f t="shared" si="403"/>
        <v>2</v>
      </c>
      <c r="BM742" s="4">
        <f t="shared" si="404"/>
        <v>4</v>
      </c>
      <c r="BN742" s="4">
        <f t="shared" si="405"/>
        <v>4</v>
      </c>
      <c r="BO742" s="4">
        <f t="shared" si="406"/>
        <v>4</v>
      </c>
      <c r="BP742" s="4">
        <f t="shared" si="407"/>
        <v>4</v>
      </c>
      <c r="BQ742" s="4">
        <f t="shared" si="408"/>
        <v>6</v>
      </c>
      <c r="BR742" s="4">
        <f t="shared" si="409"/>
        <v>4</v>
      </c>
      <c r="BS742" s="4">
        <f t="shared" si="410"/>
        <v>4</v>
      </c>
      <c r="BT742" s="4">
        <f t="shared" si="411"/>
        <v>4</v>
      </c>
      <c r="BU742" s="4">
        <f t="shared" si="412"/>
        <v>4</v>
      </c>
      <c r="BV742" s="4" t="str">
        <f t="shared" si="413"/>
        <v>0</v>
      </c>
      <c r="BW742" s="4">
        <f t="shared" si="414"/>
        <v>6</v>
      </c>
      <c r="BX742" s="4">
        <f t="shared" si="415"/>
        <v>0</v>
      </c>
      <c r="BY742" s="4">
        <f t="shared" si="416"/>
        <v>0</v>
      </c>
      <c r="BZ742" s="37">
        <f t="shared" si="417"/>
        <v>96</v>
      </c>
      <c r="CA742" s="32" t="str">
        <f>VLOOKUP(J:J,'Agent wise'!A:C,3,0)</f>
        <v>Adharsh</v>
      </c>
      <c r="CB742" s="32">
        <f t="shared" si="418"/>
        <v>45944</v>
      </c>
      <c r="CC742" t="str">
        <f t="shared" si="419"/>
        <v>Excellent</v>
      </c>
      <c r="CE742" s="32"/>
      <c r="CJ742">
        <f t="shared" si="420"/>
        <v>14</v>
      </c>
      <c r="CK742">
        <f t="shared" si="421"/>
        <v>10</v>
      </c>
      <c r="CL742">
        <f t="shared" si="422"/>
        <v>2025</v>
      </c>
    </row>
    <row r="743" spans="1:90" ht="15" customHeight="1" x14ac:dyDescent="0.35">
      <c r="A743" t="s">
        <v>1807</v>
      </c>
      <c r="B743" t="s">
        <v>250</v>
      </c>
      <c r="C743" t="s">
        <v>214</v>
      </c>
      <c r="D743" t="s">
        <v>251</v>
      </c>
      <c r="E743" s="32">
        <v>45944</v>
      </c>
      <c r="F743" t="s">
        <v>54</v>
      </c>
      <c r="G743" t="s">
        <v>1592</v>
      </c>
      <c r="H743">
        <v>9445077088</v>
      </c>
      <c r="I743">
        <v>176</v>
      </c>
      <c r="J743" t="s">
        <v>144</v>
      </c>
      <c r="K743" t="s">
        <v>71</v>
      </c>
      <c r="L743" t="s">
        <v>72</v>
      </c>
      <c r="M743" t="s">
        <v>59</v>
      </c>
      <c r="N743" t="s">
        <v>59</v>
      </c>
      <c r="O743" t="s">
        <v>59</v>
      </c>
      <c r="P743" t="s">
        <v>59</v>
      </c>
      <c r="Q743" t="s">
        <v>59</v>
      </c>
      <c r="R743" t="s">
        <v>59</v>
      </c>
      <c r="S743" t="s">
        <v>59</v>
      </c>
      <c r="T743" t="s">
        <v>59</v>
      </c>
      <c r="U743" t="s">
        <v>59</v>
      </c>
      <c r="V743" t="s">
        <v>59</v>
      </c>
      <c r="W743" t="s">
        <v>59</v>
      </c>
      <c r="X743" t="s">
        <v>59</v>
      </c>
      <c r="Y743" t="s">
        <v>59</v>
      </c>
      <c r="Z743" t="s">
        <v>59</v>
      </c>
      <c r="AA743" t="s">
        <v>59</v>
      </c>
      <c r="AB743" t="s">
        <v>59</v>
      </c>
      <c r="AC743" t="s">
        <v>61</v>
      </c>
      <c r="AD743" t="s">
        <v>59</v>
      </c>
      <c r="AE743" t="s">
        <v>59</v>
      </c>
      <c r="AF743" t="s">
        <v>59</v>
      </c>
      <c r="AG743" t="s">
        <v>59</v>
      </c>
      <c r="AH743" t="s">
        <v>61</v>
      </c>
      <c r="AI743" t="s">
        <v>61</v>
      </c>
      <c r="AJ743" t="s">
        <v>59</v>
      </c>
      <c r="AK743" t="s">
        <v>59</v>
      </c>
      <c r="AL743" t="s">
        <v>59</v>
      </c>
      <c r="AM743" t="s">
        <v>59</v>
      </c>
      <c r="AN743" t="s">
        <v>59</v>
      </c>
      <c r="AO743" t="s">
        <v>59</v>
      </c>
      <c r="AP743" t="s">
        <v>209</v>
      </c>
      <c r="AQ743" t="s">
        <v>1808</v>
      </c>
      <c r="AR743" t="s">
        <v>64</v>
      </c>
      <c r="AS743" t="s">
        <v>771</v>
      </c>
      <c r="AT743" t="s">
        <v>772</v>
      </c>
      <c r="AU743" t="s">
        <v>219</v>
      </c>
      <c r="AW743" s="4">
        <f t="shared" si="388"/>
        <v>6</v>
      </c>
      <c r="AX743" s="4">
        <f t="shared" si="389"/>
        <v>4</v>
      </c>
      <c r="AY743" s="4">
        <f t="shared" si="390"/>
        <v>4</v>
      </c>
      <c r="AZ743" s="4">
        <f t="shared" si="391"/>
        <v>2</v>
      </c>
      <c r="BA743" s="4">
        <f t="shared" si="392"/>
        <v>4</v>
      </c>
      <c r="BB743" s="4">
        <f t="shared" si="393"/>
        <v>4</v>
      </c>
      <c r="BC743" s="4">
        <f t="shared" si="394"/>
        <v>4</v>
      </c>
      <c r="BD743" s="4">
        <f t="shared" si="395"/>
        <v>2</v>
      </c>
      <c r="BE743" s="4">
        <f t="shared" si="396"/>
        <v>4</v>
      </c>
      <c r="BF743" s="4">
        <f t="shared" si="397"/>
        <v>2</v>
      </c>
      <c r="BG743" s="4">
        <f t="shared" si="398"/>
        <v>4</v>
      </c>
      <c r="BH743" s="4">
        <f t="shared" si="399"/>
        <v>4</v>
      </c>
      <c r="BI743" s="4">
        <f t="shared" si="400"/>
        <v>4</v>
      </c>
      <c r="BJ743" s="4">
        <f t="shared" si="401"/>
        <v>2</v>
      </c>
      <c r="BK743" s="4">
        <f t="shared" si="402"/>
        <v>4</v>
      </c>
      <c r="BL743" s="4">
        <f t="shared" si="403"/>
        <v>2</v>
      </c>
      <c r="BM743" s="4">
        <f t="shared" si="404"/>
        <v>4</v>
      </c>
      <c r="BN743" s="4">
        <f t="shared" si="405"/>
        <v>4</v>
      </c>
      <c r="BO743" s="4">
        <f t="shared" si="406"/>
        <v>4</v>
      </c>
      <c r="BP743" s="4">
        <f t="shared" si="407"/>
        <v>4</v>
      </c>
      <c r="BQ743" s="4">
        <f t="shared" si="408"/>
        <v>6</v>
      </c>
      <c r="BR743" s="4">
        <f t="shared" si="409"/>
        <v>4</v>
      </c>
      <c r="BS743" s="4">
        <f t="shared" si="410"/>
        <v>4</v>
      </c>
      <c r="BT743" s="4">
        <f t="shared" si="411"/>
        <v>4</v>
      </c>
      <c r="BU743" s="4">
        <f t="shared" si="412"/>
        <v>4</v>
      </c>
      <c r="BV743" s="4">
        <f t="shared" si="413"/>
        <v>0</v>
      </c>
      <c r="BW743" s="4">
        <f t="shared" si="414"/>
        <v>6</v>
      </c>
      <c r="BX743" s="4">
        <f t="shared" si="415"/>
        <v>0</v>
      </c>
      <c r="BY743" s="4">
        <f t="shared" si="416"/>
        <v>0</v>
      </c>
      <c r="BZ743" s="37">
        <f t="shared" si="417"/>
        <v>100</v>
      </c>
      <c r="CA743" s="32" t="str">
        <f>VLOOKUP(J:J,'Agent wise'!A:C,3,0)</f>
        <v xml:space="preserve">Shiny </v>
      </c>
      <c r="CB743" s="32">
        <f t="shared" si="418"/>
        <v>45944</v>
      </c>
      <c r="CC743" t="str">
        <f t="shared" si="419"/>
        <v>Excellent</v>
      </c>
      <c r="CE743" s="32"/>
      <c r="CJ743">
        <f t="shared" si="420"/>
        <v>14</v>
      </c>
      <c r="CK743">
        <f t="shared" si="421"/>
        <v>10</v>
      </c>
      <c r="CL743">
        <f t="shared" si="422"/>
        <v>2025</v>
      </c>
    </row>
    <row r="744" spans="1:90" ht="15" customHeight="1" x14ac:dyDescent="0.35">
      <c r="A744" t="s">
        <v>1809</v>
      </c>
      <c r="B744" t="s">
        <v>250</v>
      </c>
      <c r="C744" t="s">
        <v>214</v>
      </c>
      <c r="D744" t="s">
        <v>251</v>
      </c>
      <c r="E744" s="32">
        <v>45944</v>
      </c>
      <c r="F744" t="s">
        <v>54</v>
      </c>
      <c r="G744" t="s">
        <v>1592</v>
      </c>
      <c r="H744">
        <v>8330069766</v>
      </c>
      <c r="I744">
        <v>177</v>
      </c>
      <c r="J744" t="s">
        <v>559</v>
      </c>
      <c r="K744" t="s">
        <v>57</v>
      </c>
      <c r="L744" t="s">
        <v>58</v>
      </c>
      <c r="M744" t="s">
        <v>59</v>
      </c>
      <c r="N744" t="s">
        <v>59</v>
      </c>
      <c r="O744" t="s">
        <v>59</v>
      </c>
      <c r="P744" t="s">
        <v>59</v>
      </c>
      <c r="Q744" t="s">
        <v>59</v>
      </c>
      <c r="R744" t="s">
        <v>59</v>
      </c>
      <c r="S744" t="s">
        <v>59</v>
      </c>
      <c r="T744" t="s">
        <v>59</v>
      </c>
      <c r="U744" t="s">
        <v>60</v>
      </c>
      <c r="V744" t="s">
        <v>59</v>
      </c>
      <c r="W744" t="s">
        <v>59</v>
      </c>
      <c r="X744" t="s">
        <v>59</v>
      </c>
      <c r="Y744" t="s">
        <v>59</v>
      </c>
      <c r="Z744" t="s">
        <v>59</v>
      </c>
      <c r="AA744" t="s">
        <v>59</v>
      </c>
      <c r="AB744" t="s">
        <v>59</v>
      </c>
      <c r="AC744" t="s">
        <v>59</v>
      </c>
      <c r="AD744" t="s">
        <v>59</v>
      </c>
      <c r="AE744" t="s">
        <v>59</v>
      </c>
      <c r="AF744" t="s">
        <v>59</v>
      </c>
      <c r="AG744" t="s">
        <v>59</v>
      </c>
      <c r="AH744" t="s">
        <v>61</v>
      </c>
      <c r="AI744" t="s">
        <v>59</v>
      </c>
      <c r="AJ744" t="s">
        <v>59</v>
      </c>
      <c r="AK744" t="s">
        <v>59</v>
      </c>
      <c r="AL744" t="s">
        <v>60</v>
      </c>
      <c r="AM744" t="s">
        <v>59</v>
      </c>
      <c r="AN744" t="s">
        <v>59</v>
      </c>
      <c r="AO744" t="s">
        <v>59</v>
      </c>
      <c r="AP744" t="s">
        <v>467</v>
      </c>
      <c r="AQ744" t="s">
        <v>1810</v>
      </c>
      <c r="AR744" t="s">
        <v>64</v>
      </c>
      <c r="AS744" t="s">
        <v>397</v>
      </c>
      <c r="AT744" t="s">
        <v>1811</v>
      </c>
      <c r="AU744" t="s">
        <v>219</v>
      </c>
      <c r="AW744" s="4">
        <f t="shared" si="388"/>
        <v>6</v>
      </c>
      <c r="AX744" s="4">
        <f t="shared" si="389"/>
        <v>4</v>
      </c>
      <c r="AY744" s="4">
        <f t="shared" si="390"/>
        <v>4</v>
      </c>
      <c r="AZ744" s="4">
        <f t="shared" si="391"/>
        <v>2</v>
      </c>
      <c r="BA744" s="4">
        <f t="shared" si="392"/>
        <v>4</v>
      </c>
      <c r="BB744" s="4">
        <f t="shared" si="393"/>
        <v>4</v>
      </c>
      <c r="BC744" s="4">
        <f t="shared" si="394"/>
        <v>4</v>
      </c>
      <c r="BD744" s="4">
        <f t="shared" si="395"/>
        <v>2</v>
      </c>
      <c r="BE744" s="4" t="str">
        <f t="shared" si="396"/>
        <v>0</v>
      </c>
      <c r="BF744" s="4">
        <f t="shared" si="397"/>
        <v>2</v>
      </c>
      <c r="BG744" s="4">
        <f t="shared" si="398"/>
        <v>4</v>
      </c>
      <c r="BH744" s="4">
        <f t="shared" si="399"/>
        <v>4</v>
      </c>
      <c r="BI744" s="4">
        <f t="shared" si="400"/>
        <v>4</v>
      </c>
      <c r="BJ744" s="4">
        <f t="shared" si="401"/>
        <v>2</v>
      </c>
      <c r="BK744" s="4">
        <f t="shared" si="402"/>
        <v>4</v>
      </c>
      <c r="BL744" s="4">
        <f t="shared" si="403"/>
        <v>2</v>
      </c>
      <c r="BM744" s="4">
        <f t="shared" si="404"/>
        <v>4</v>
      </c>
      <c r="BN744" s="4">
        <f t="shared" si="405"/>
        <v>4</v>
      </c>
      <c r="BO744" s="4">
        <f t="shared" si="406"/>
        <v>4</v>
      </c>
      <c r="BP744" s="4">
        <f t="shared" si="407"/>
        <v>4</v>
      </c>
      <c r="BQ744" s="4">
        <f t="shared" si="408"/>
        <v>6</v>
      </c>
      <c r="BR744" s="4">
        <f t="shared" si="409"/>
        <v>4</v>
      </c>
      <c r="BS744" s="4">
        <f t="shared" si="410"/>
        <v>4</v>
      </c>
      <c r="BT744" s="4">
        <f t="shared" si="411"/>
        <v>4</v>
      </c>
      <c r="BU744" s="4">
        <f t="shared" si="412"/>
        <v>4</v>
      </c>
      <c r="BV744" s="4" t="str">
        <f t="shared" si="413"/>
        <v>0</v>
      </c>
      <c r="BW744" s="4">
        <f t="shared" si="414"/>
        <v>6</v>
      </c>
      <c r="BX744" s="4">
        <f t="shared" si="415"/>
        <v>0</v>
      </c>
      <c r="BY744" s="4">
        <f t="shared" si="416"/>
        <v>0</v>
      </c>
      <c r="BZ744" s="37">
        <f t="shared" si="417"/>
        <v>96</v>
      </c>
      <c r="CA744" s="32" t="str">
        <f>VLOOKUP(J:J,'Agent wise'!A:C,3,0)</f>
        <v xml:space="preserve">Shiny </v>
      </c>
      <c r="CB744" s="32">
        <f t="shared" si="418"/>
        <v>45944</v>
      </c>
      <c r="CC744" t="str">
        <f t="shared" si="419"/>
        <v>Excellent</v>
      </c>
      <c r="CE744" s="32"/>
      <c r="CJ744">
        <f t="shared" si="420"/>
        <v>14</v>
      </c>
      <c r="CK744">
        <f t="shared" si="421"/>
        <v>10</v>
      </c>
      <c r="CL744">
        <f t="shared" si="422"/>
        <v>2025</v>
      </c>
    </row>
    <row r="745" spans="1:90" ht="15" customHeight="1" x14ac:dyDescent="0.35">
      <c r="A745" t="s">
        <v>1812</v>
      </c>
      <c r="B745" t="s">
        <v>250</v>
      </c>
      <c r="C745" t="s">
        <v>214</v>
      </c>
      <c r="D745" t="s">
        <v>251</v>
      </c>
      <c r="E745" s="32">
        <v>45944</v>
      </c>
      <c r="F745" t="s">
        <v>54</v>
      </c>
      <c r="G745" t="s">
        <v>1592</v>
      </c>
      <c r="H745">
        <v>9786244273</v>
      </c>
      <c r="I745">
        <v>174</v>
      </c>
      <c r="J745" t="s">
        <v>96</v>
      </c>
      <c r="K745" t="s">
        <v>71</v>
      </c>
      <c r="L745" t="s">
        <v>72</v>
      </c>
      <c r="M745" t="s">
        <v>59</v>
      </c>
      <c r="N745" t="s">
        <v>59</v>
      </c>
      <c r="O745" t="s">
        <v>59</v>
      </c>
      <c r="P745" t="s">
        <v>59</v>
      </c>
      <c r="Q745" t="s">
        <v>59</v>
      </c>
      <c r="R745" t="s">
        <v>59</v>
      </c>
      <c r="S745" t="s">
        <v>59</v>
      </c>
      <c r="T745" t="s">
        <v>59</v>
      </c>
      <c r="U745" t="s">
        <v>60</v>
      </c>
      <c r="V745" t="s">
        <v>59</v>
      </c>
      <c r="W745" t="s">
        <v>59</v>
      </c>
      <c r="X745" t="s">
        <v>59</v>
      </c>
      <c r="Y745" t="s">
        <v>60</v>
      </c>
      <c r="Z745" t="s">
        <v>59</v>
      </c>
      <c r="AA745" t="s">
        <v>59</v>
      </c>
      <c r="AB745" t="s">
        <v>61</v>
      </c>
      <c r="AC745" t="s">
        <v>59</v>
      </c>
      <c r="AD745" t="s">
        <v>59</v>
      </c>
      <c r="AE745" t="s">
        <v>59</v>
      </c>
      <c r="AF745" t="s">
        <v>59</v>
      </c>
      <c r="AG745" t="s">
        <v>59</v>
      </c>
      <c r="AH745" t="s">
        <v>61</v>
      </c>
      <c r="AI745" t="s">
        <v>61</v>
      </c>
      <c r="AJ745" t="s">
        <v>59</v>
      </c>
      <c r="AK745" t="s">
        <v>59</v>
      </c>
      <c r="AL745" t="s">
        <v>60</v>
      </c>
      <c r="AM745" t="s">
        <v>59</v>
      </c>
      <c r="AN745" t="s">
        <v>59</v>
      </c>
      <c r="AO745" t="s">
        <v>59</v>
      </c>
      <c r="AP745" t="s">
        <v>1813</v>
      </c>
      <c r="AQ745" t="s">
        <v>1814</v>
      </c>
      <c r="AR745" t="s">
        <v>64</v>
      </c>
      <c r="AS745" t="s">
        <v>1815</v>
      </c>
      <c r="AT745" t="s">
        <v>1816</v>
      </c>
      <c r="AU745" t="s">
        <v>219</v>
      </c>
      <c r="AW745" s="4">
        <f t="shared" si="388"/>
        <v>6</v>
      </c>
      <c r="AX745" s="4">
        <f t="shared" si="389"/>
        <v>4</v>
      </c>
      <c r="AY745" s="4">
        <f t="shared" si="390"/>
        <v>4</v>
      </c>
      <c r="AZ745" s="4">
        <f t="shared" si="391"/>
        <v>2</v>
      </c>
      <c r="BA745" s="4">
        <f t="shared" si="392"/>
        <v>4</v>
      </c>
      <c r="BB745" s="4">
        <f t="shared" si="393"/>
        <v>4</v>
      </c>
      <c r="BC745" s="4">
        <f t="shared" si="394"/>
        <v>4</v>
      </c>
      <c r="BD745" s="4">
        <f t="shared" si="395"/>
        <v>2</v>
      </c>
      <c r="BE745" s="4" t="str">
        <f t="shared" si="396"/>
        <v>0</v>
      </c>
      <c r="BF745" s="4">
        <f t="shared" si="397"/>
        <v>2</v>
      </c>
      <c r="BG745" s="4">
        <f t="shared" si="398"/>
        <v>4</v>
      </c>
      <c r="BH745" s="4">
        <f t="shared" si="399"/>
        <v>4</v>
      </c>
      <c r="BI745" s="4" t="str">
        <f t="shared" si="400"/>
        <v>0</v>
      </c>
      <c r="BJ745" s="4">
        <f t="shared" si="401"/>
        <v>2</v>
      </c>
      <c r="BK745" s="4">
        <f t="shared" si="402"/>
        <v>4</v>
      </c>
      <c r="BL745" s="4">
        <f t="shared" si="403"/>
        <v>2</v>
      </c>
      <c r="BM745" s="4">
        <f t="shared" si="404"/>
        <v>4</v>
      </c>
      <c r="BN745" s="4">
        <f t="shared" si="405"/>
        <v>4</v>
      </c>
      <c r="BO745" s="4">
        <f t="shared" si="406"/>
        <v>4</v>
      </c>
      <c r="BP745" s="4">
        <f t="shared" si="407"/>
        <v>4</v>
      </c>
      <c r="BQ745" s="4">
        <f t="shared" si="408"/>
        <v>6</v>
      </c>
      <c r="BR745" s="4">
        <f t="shared" si="409"/>
        <v>4</v>
      </c>
      <c r="BS745" s="4">
        <f t="shared" si="410"/>
        <v>4</v>
      </c>
      <c r="BT745" s="4">
        <f t="shared" si="411"/>
        <v>4</v>
      </c>
      <c r="BU745" s="4">
        <f t="shared" si="412"/>
        <v>4</v>
      </c>
      <c r="BV745" s="4" t="str">
        <f t="shared" si="413"/>
        <v>0</v>
      </c>
      <c r="BW745" s="4">
        <f t="shared" si="414"/>
        <v>6</v>
      </c>
      <c r="BX745" s="4">
        <f t="shared" si="415"/>
        <v>0</v>
      </c>
      <c r="BY745" s="4">
        <f t="shared" si="416"/>
        <v>0</v>
      </c>
      <c r="BZ745" s="37">
        <f t="shared" si="417"/>
        <v>92</v>
      </c>
      <c r="CA745" s="32" t="str">
        <f>VLOOKUP(J:J,'Agent wise'!A:C,3,0)</f>
        <v xml:space="preserve">Shiny </v>
      </c>
      <c r="CB745" s="32">
        <f t="shared" si="418"/>
        <v>45944</v>
      </c>
      <c r="CC745" t="str">
        <f t="shared" si="419"/>
        <v>Good</v>
      </c>
      <c r="CE745" s="32"/>
      <c r="CJ745">
        <f t="shared" si="420"/>
        <v>14</v>
      </c>
      <c r="CK745">
        <f t="shared" si="421"/>
        <v>10</v>
      </c>
      <c r="CL745">
        <f t="shared" si="422"/>
        <v>2025</v>
      </c>
    </row>
    <row r="746" spans="1:90" ht="15" customHeight="1" x14ac:dyDescent="0.35">
      <c r="A746" t="s">
        <v>1817</v>
      </c>
      <c r="B746" t="s">
        <v>250</v>
      </c>
      <c r="C746" t="s">
        <v>214</v>
      </c>
      <c r="D746" t="s">
        <v>251</v>
      </c>
      <c r="E746" s="32">
        <v>45944</v>
      </c>
      <c r="F746" t="s">
        <v>54</v>
      </c>
      <c r="G746" t="s">
        <v>1592</v>
      </c>
      <c r="H746">
        <v>8943378873</v>
      </c>
      <c r="I746">
        <v>189</v>
      </c>
      <c r="J746" t="s">
        <v>442</v>
      </c>
      <c r="K746" t="s">
        <v>57</v>
      </c>
      <c r="L746" t="s">
        <v>58</v>
      </c>
      <c r="M746" t="s">
        <v>59</v>
      </c>
      <c r="N746" t="s">
        <v>59</v>
      </c>
      <c r="O746" t="s">
        <v>59</v>
      </c>
      <c r="P746" t="s">
        <v>59</v>
      </c>
      <c r="Q746" t="s">
        <v>59</v>
      </c>
      <c r="R746" t="s">
        <v>59</v>
      </c>
      <c r="S746" t="s">
        <v>59</v>
      </c>
      <c r="T746" t="s">
        <v>59</v>
      </c>
      <c r="U746" t="s">
        <v>60</v>
      </c>
      <c r="V746" t="s">
        <v>59</v>
      </c>
      <c r="W746" t="s">
        <v>59</v>
      </c>
      <c r="X746" t="s">
        <v>59</v>
      </c>
      <c r="Y746" t="s">
        <v>59</v>
      </c>
      <c r="Z746" t="s">
        <v>59</v>
      </c>
      <c r="AA746" t="s">
        <v>59</v>
      </c>
      <c r="AB746" t="s">
        <v>60</v>
      </c>
      <c r="AC746" t="s">
        <v>59</v>
      </c>
      <c r="AD746" t="s">
        <v>59</v>
      </c>
      <c r="AE746" t="s">
        <v>59</v>
      </c>
      <c r="AF746" t="s">
        <v>59</v>
      </c>
      <c r="AG746" t="s">
        <v>59</v>
      </c>
      <c r="AH746" t="s">
        <v>61</v>
      </c>
      <c r="AI746" t="s">
        <v>60</v>
      </c>
      <c r="AJ746" t="s">
        <v>59</v>
      </c>
      <c r="AK746" t="s">
        <v>59</v>
      </c>
      <c r="AL746" t="s">
        <v>60</v>
      </c>
      <c r="AM746" t="s">
        <v>59</v>
      </c>
      <c r="AN746" t="s">
        <v>59</v>
      </c>
      <c r="AO746" t="s">
        <v>59</v>
      </c>
      <c r="AP746" t="s">
        <v>711</v>
      </c>
      <c r="AQ746" t="s">
        <v>1818</v>
      </c>
      <c r="AR746" t="s">
        <v>64</v>
      </c>
      <c r="AS746" t="s">
        <v>1217</v>
      </c>
      <c r="AT746" t="s">
        <v>390</v>
      </c>
      <c r="AU746" t="s">
        <v>219</v>
      </c>
      <c r="AW746" s="4">
        <f t="shared" si="388"/>
        <v>6</v>
      </c>
      <c r="AX746" s="4">
        <f t="shared" si="389"/>
        <v>4</v>
      </c>
      <c r="AY746" s="4">
        <f t="shared" si="390"/>
        <v>4</v>
      </c>
      <c r="AZ746" s="4">
        <f t="shared" si="391"/>
        <v>2</v>
      </c>
      <c r="BA746" s="4">
        <f t="shared" si="392"/>
        <v>4</v>
      </c>
      <c r="BB746" s="4">
        <f t="shared" si="393"/>
        <v>4</v>
      </c>
      <c r="BC746" s="4">
        <f t="shared" si="394"/>
        <v>4</v>
      </c>
      <c r="BD746" s="4">
        <f t="shared" si="395"/>
        <v>2</v>
      </c>
      <c r="BE746" s="4" t="str">
        <f t="shared" si="396"/>
        <v>0</v>
      </c>
      <c r="BF746" s="4">
        <f t="shared" si="397"/>
        <v>2</v>
      </c>
      <c r="BG746" s="4">
        <f t="shared" si="398"/>
        <v>4</v>
      </c>
      <c r="BH746" s="4">
        <f t="shared" si="399"/>
        <v>4</v>
      </c>
      <c r="BI746" s="4">
        <f t="shared" si="400"/>
        <v>4</v>
      </c>
      <c r="BJ746" s="4">
        <f t="shared" si="401"/>
        <v>2</v>
      </c>
      <c r="BK746" s="4">
        <f t="shared" si="402"/>
        <v>4</v>
      </c>
      <c r="BL746" s="4" t="str">
        <f t="shared" si="403"/>
        <v>0</v>
      </c>
      <c r="BM746" s="4">
        <f t="shared" si="404"/>
        <v>4</v>
      </c>
      <c r="BN746" s="4">
        <f t="shared" si="405"/>
        <v>4</v>
      </c>
      <c r="BO746" s="4">
        <f t="shared" si="406"/>
        <v>4</v>
      </c>
      <c r="BP746" s="4">
        <f t="shared" si="407"/>
        <v>4</v>
      </c>
      <c r="BQ746" s="4">
        <f t="shared" si="408"/>
        <v>6</v>
      </c>
      <c r="BR746" s="4">
        <f t="shared" si="409"/>
        <v>4</v>
      </c>
      <c r="BS746" s="4" t="str">
        <f t="shared" si="410"/>
        <v>0</v>
      </c>
      <c r="BT746" s="4">
        <f t="shared" si="411"/>
        <v>4</v>
      </c>
      <c r="BU746" s="4">
        <f t="shared" si="412"/>
        <v>4</v>
      </c>
      <c r="BV746" s="4" t="str">
        <f t="shared" si="413"/>
        <v>0</v>
      </c>
      <c r="BW746" s="4">
        <f t="shared" si="414"/>
        <v>6</v>
      </c>
      <c r="BX746" s="4">
        <f t="shared" si="415"/>
        <v>0</v>
      </c>
      <c r="BY746" s="4">
        <f t="shared" si="416"/>
        <v>0</v>
      </c>
      <c r="BZ746" s="37">
        <f t="shared" si="417"/>
        <v>90</v>
      </c>
      <c r="CA746" s="32" t="str">
        <f>VLOOKUP(J:J,'Agent wise'!A:C,3,0)</f>
        <v>Shakeer</v>
      </c>
      <c r="CB746" s="32">
        <f t="shared" si="418"/>
        <v>45944</v>
      </c>
      <c r="CC746" t="str">
        <f t="shared" si="419"/>
        <v>Good</v>
      </c>
      <c r="CE746" s="32"/>
      <c r="CJ746">
        <f t="shared" si="420"/>
        <v>14</v>
      </c>
      <c r="CK746">
        <f t="shared" si="421"/>
        <v>10</v>
      </c>
      <c r="CL746">
        <f t="shared" si="422"/>
        <v>2025</v>
      </c>
    </row>
    <row r="747" spans="1:90" ht="15" customHeight="1" x14ac:dyDescent="0.35">
      <c r="A747" t="s">
        <v>1819</v>
      </c>
      <c r="B747" t="s">
        <v>250</v>
      </c>
      <c r="C747" t="s">
        <v>214</v>
      </c>
      <c r="D747" t="s">
        <v>251</v>
      </c>
      <c r="E747" s="32">
        <v>45944</v>
      </c>
      <c r="F747" t="s">
        <v>54</v>
      </c>
      <c r="G747" t="s">
        <v>1592</v>
      </c>
      <c r="H747">
        <v>9447988151</v>
      </c>
      <c r="I747">
        <v>168</v>
      </c>
      <c r="J747" t="s">
        <v>464</v>
      </c>
      <c r="K747" t="s">
        <v>57</v>
      </c>
      <c r="L747" t="s">
        <v>58</v>
      </c>
      <c r="M747" t="s">
        <v>59</v>
      </c>
      <c r="N747" t="s">
        <v>59</v>
      </c>
      <c r="O747" t="s">
        <v>59</v>
      </c>
      <c r="P747" t="s">
        <v>59</v>
      </c>
      <c r="Q747" t="s">
        <v>59</v>
      </c>
      <c r="R747" t="s">
        <v>59</v>
      </c>
      <c r="S747" t="s">
        <v>59</v>
      </c>
      <c r="T747" t="s">
        <v>59</v>
      </c>
      <c r="U747" t="s">
        <v>60</v>
      </c>
      <c r="V747" t="s">
        <v>59</v>
      </c>
      <c r="W747" t="s">
        <v>59</v>
      </c>
      <c r="X747" t="s">
        <v>59</v>
      </c>
      <c r="Y747" t="s">
        <v>59</v>
      </c>
      <c r="Z747" t="s">
        <v>60</v>
      </c>
      <c r="AA747" t="s">
        <v>59</v>
      </c>
      <c r="AB747" t="s">
        <v>59</v>
      </c>
      <c r="AC747" t="s">
        <v>59</v>
      </c>
      <c r="AD747" t="s">
        <v>59</v>
      </c>
      <c r="AE747" t="s">
        <v>59</v>
      </c>
      <c r="AF747" t="s">
        <v>59</v>
      </c>
      <c r="AG747" t="s">
        <v>59</v>
      </c>
      <c r="AH747" t="s">
        <v>61</v>
      </c>
      <c r="AI747" t="s">
        <v>61</v>
      </c>
      <c r="AJ747" t="s">
        <v>59</v>
      </c>
      <c r="AK747" t="s">
        <v>59</v>
      </c>
      <c r="AL747" t="s">
        <v>60</v>
      </c>
      <c r="AM747" t="s">
        <v>59</v>
      </c>
      <c r="AN747" t="s">
        <v>59</v>
      </c>
      <c r="AO747" t="s">
        <v>59</v>
      </c>
      <c r="AP747" t="s">
        <v>1820</v>
      </c>
      <c r="AQ747" t="s">
        <v>1821</v>
      </c>
      <c r="AR747" t="s">
        <v>64</v>
      </c>
      <c r="AS747" t="s">
        <v>1822</v>
      </c>
      <c r="AT747" t="s">
        <v>111</v>
      </c>
      <c r="AU747" t="s">
        <v>387</v>
      </c>
      <c r="AW747" s="4">
        <f t="shared" si="388"/>
        <v>6</v>
      </c>
      <c r="AX747" s="4">
        <f t="shared" si="389"/>
        <v>4</v>
      </c>
      <c r="AY747" s="4">
        <f t="shared" si="390"/>
        <v>4</v>
      </c>
      <c r="AZ747" s="4">
        <f t="shared" si="391"/>
        <v>2</v>
      </c>
      <c r="BA747" s="4">
        <f t="shared" si="392"/>
        <v>4</v>
      </c>
      <c r="BB747" s="4">
        <f t="shared" si="393"/>
        <v>4</v>
      </c>
      <c r="BC747" s="4">
        <f t="shared" si="394"/>
        <v>4</v>
      </c>
      <c r="BD747" s="4">
        <f t="shared" si="395"/>
        <v>2</v>
      </c>
      <c r="BE747" s="4" t="str">
        <f t="shared" si="396"/>
        <v>0</v>
      </c>
      <c r="BF747" s="4">
        <f t="shared" si="397"/>
        <v>2</v>
      </c>
      <c r="BG747" s="4">
        <f t="shared" si="398"/>
        <v>4</v>
      </c>
      <c r="BH747" s="4">
        <f t="shared" si="399"/>
        <v>4</v>
      </c>
      <c r="BI747" s="4">
        <f t="shared" si="400"/>
        <v>4</v>
      </c>
      <c r="BJ747" s="4" t="str">
        <f t="shared" si="401"/>
        <v>0</v>
      </c>
      <c r="BK747" s="4">
        <f t="shared" si="402"/>
        <v>4</v>
      </c>
      <c r="BL747" s="4">
        <f t="shared" si="403"/>
        <v>2</v>
      </c>
      <c r="BM747" s="4">
        <f t="shared" si="404"/>
        <v>4</v>
      </c>
      <c r="BN747" s="4">
        <f t="shared" si="405"/>
        <v>4</v>
      </c>
      <c r="BO747" s="4">
        <f t="shared" si="406"/>
        <v>4</v>
      </c>
      <c r="BP747" s="4">
        <f t="shared" si="407"/>
        <v>4</v>
      </c>
      <c r="BQ747" s="4">
        <f t="shared" si="408"/>
        <v>6</v>
      </c>
      <c r="BR747" s="4">
        <f t="shared" si="409"/>
        <v>4</v>
      </c>
      <c r="BS747" s="4">
        <f t="shared" si="410"/>
        <v>4</v>
      </c>
      <c r="BT747" s="4">
        <f t="shared" si="411"/>
        <v>4</v>
      </c>
      <c r="BU747" s="4">
        <f t="shared" si="412"/>
        <v>4</v>
      </c>
      <c r="BV747" s="4" t="str">
        <f t="shared" si="413"/>
        <v>0</v>
      </c>
      <c r="BW747" s="4">
        <f t="shared" si="414"/>
        <v>6</v>
      </c>
      <c r="BX747" s="4">
        <f t="shared" si="415"/>
        <v>0</v>
      </c>
      <c r="BY747" s="4">
        <f t="shared" si="416"/>
        <v>0</v>
      </c>
      <c r="BZ747" s="37">
        <f t="shared" si="417"/>
        <v>94</v>
      </c>
      <c r="CA747" s="32" t="str">
        <f>VLOOKUP(J:J,'Agent wise'!A:C,3,0)</f>
        <v>Adharsh</v>
      </c>
      <c r="CB747" s="32">
        <f t="shared" si="418"/>
        <v>45944</v>
      </c>
      <c r="CC747" t="str">
        <f t="shared" si="419"/>
        <v>Good</v>
      </c>
      <c r="CE747" s="32"/>
      <c r="CJ747">
        <f t="shared" si="420"/>
        <v>14</v>
      </c>
      <c r="CK747">
        <f t="shared" si="421"/>
        <v>10</v>
      </c>
      <c r="CL747">
        <f t="shared" si="422"/>
        <v>2025</v>
      </c>
    </row>
    <row r="748" spans="1:90" ht="15" customHeight="1" x14ac:dyDescent="0.35">
      <c r="A748" t="s">
        <v>1823</v>
      </c>
      <c r="B748" t="s">
        <v>250</v>
      </c>
      <c r="C748" t="s">
        <v>214</v>
      </c>
      <c r="D748" t="s">
        <v>251</v>
      </c>
      <c r="E748" s="32">
        <v>45944</v>
      </c>
      <c r="F748" t="s">
        <v>54</v>
      </c>
      <c r="G748" t="s">
        <v>1592</v>
      </c>
      <c r="H748">
        <v>9446670804</v>
      </c>
      <c r="I748">
        <v>146</v>
      </c>
      <c r="J748" t="s">
        <v>464</v>
      </c>
      <c r="K748" t="s">
        <v>57</v>
      </c>
      <c r="L748" t="s">
        <v>58</v>
      </c>
      <c r="M748" t="s">
        <v>59</v>
      </c>
      <c r="N748" t="s">
        <v>59</v>
      </c>
      <c r="O748" t="s">
        <v>59</v>
      </c>
      <c r="P748" t="s">
        <v>59</v>
      </c>
      <c r="Q748" t="s">
        <v>59</v>
      </c>
      <c r="R748" t="s">
        <v>59</v>
      </c>
      <c r="S748" t="s">
        <v>59</v>
      </c>
      <c r="T748" t="s">
        <v>59</v>
      </c>
      <c r="U748" t="s">
        <v>60</v>
      </c>
      <c r="V748" t="s">
        <v>59</v>
      </c>
      <c r="W748" t="s">
        <v>59</v>
      </c>
      <c r="X748" t="s">
        <v>59</v>
      </c>
      <c r="Y748" t="s">
        <v>59</v>
      </c>
      <c r="Z748" t="s">
        <v>59</v>
      </c>
      <c r="AA748" t="s">
        <v>59</v>
      </c>
      <c r="AB748" t="s">
        <v>60</v>
      </c>
      <c r="AC748" t="s">
        <v>59</v>
      </c>
      <c r="AD748" t="s">
        <v>59</v>
      </c>
      <c r="AE748" t="s">
        <v>59</v>
      </c>
      <c r="AF748" t="s">
        <v>59</v>
      </c>
      <c r="AG748" t="s">
        <v>59</v>
      </c>
      <c r="AH748" t="s">
        <v>61</v>
      </c>
      <c r="AI748" t="s">
        <v>61</v>
      </c>
      <c r="AJ748" t="s">
        <v>59</v>
      </c>
      <c r="AK748" t="s">
        <v>59</v>
      </c>
      <c r="AL748" t="s">
        <v>60</v>
      </c>
      <c r="AM748" t="s">
        <v>59</v>
      </c>
      <c r="AN748" t="s">
        <v>59</v>
      </c>
      <c r="AO748" t="s">
        <v>59</v>
      </c>
      <c r="AP748" t="s">
        <v>1824</v>
      </c>
      <c r="AQ748" t="s">
        <v>1825</v>
      </c>
      <c r="AR748" t="s">
        <v>64</v>
      </c>
      <c r="AS748" t="s">
        <v>1217</v>
      </c>
      <c r="AT748" t="s">
        <v>390</v>
      </c>
      <c r="AU748" t="s">
        <v>219</v>
      </c>
      <c r="AW748" s="4">
        <f t="shared" si="388"/>
        <v>6</v>
      </c>
      <c r="AX748" s="4">
        <f t="shared" si="389"/>
        <v>4</v>
      </c>
      <c r="AY748" s="4">
        <f t="shared" si="390"/>
        <v>4</v>
      </c>
      <c r="AZ748" s="4">
        <f t="shared" si="391"/>
        <v>2</v>
      </c>
      <c r="BA748" s="4">
        <f t="shared" si="392"/>
        <v>4</v>
      </c>
      <c r="BB748" s="4">
        <f t="shared" si="393"/>
        <v>4</v>
      </c>
      <c r="BC748" s="4">
        <f t="shared" si="394"/>
        <v>4</v>
      </c>
      <c r="BD748" s="4">
        <f t="shared" si="395"/>
        <v>2</v>
      </c>
      <c r="BE748" s="4" t="str">
        <f t="shared" si="396"/>
        <v>0</v>
      </c>
      <c r="BF748" s="4">
        <f t="shared" si="397"/>
        <v>2</v>
      </c>
      <c r="BG748" s="4">
        <f t="shared" si="398"/>
        <v>4</v>
      </c>
      <c r="BH748" s="4">
        <f t="shared" si="399"/>
        <v>4</v>
      </c>
      <c r="BI748" s="4">
        <f t="shared" si="400"/>
        <v>4</v>
      </c>
      <c r="BJ748" s="4">
        <f t="shared" si="401"/>
        <v>2</v>
      </c>
      <c r="BK748" s="4">
        <f t="shared" si="402"/>
        <v>4</v>
      </c>
      <c r="BL748" s="4" t="str">
        <f t="shared" si="403"/>
        <v>0</v>
      </c>
      <c r="BM748" s="4">
        <f t="shared" si="404"/>
        <v>4</v>
      </c>
      <c r="BN748" s="4">
        <f t="shared" si="405"/>
        <v>4</v>
      </c>
      <c r="BO748" s="4">
        <f t="shared" si="406"/>
        <v>4</v>
      </c>
      <c r="BP748" s="4">
        <f t="shared" si="407"/>
        <v>4</v>
      </c>
      <c r="BQ748" s="4">
        <f t="shared" si="408"/>
        <v>6</v>
      </c>
      <c r="BR748" s="4">
        <f t="shared" si="409"/>
        <v>4</v>
      </c>
      <c r="BS748" s="4">
        <f t="shared" si="410"/>
        <v>4</v>
      </c>
      <c r="BT748" s="4">
        <f t="shared" si="411"/>
        <v>4</v>
      </c>
      <c r="BU748" s="4">
        <f t="shared" si="412"/>
        <v>4</v>
      </c>
      <c r="BV748" s="4" t="str">
        <f t="shared" si="413"/>
        <v>0</v>
      </c>
      <c r="BW748" s="4">
        <f t="shared" si="414"/>
        <v>6</v>
      </c>
      <c r="BX748" s="4">
        <f t="shared" si="415"/>
        <v>0</v>
      </c>
      <c r="BY748" s="4">
        <f t="shared" si="416"/>
        <v>0</v>
      </c>
      <c r="BZ748" s="37">
        <f t="shared" si="417"/>
        <v>94</v>
      </c>
      <c r="CA748" s="32" t="str">
        <f>VLOOKUP(J:J,'Agent wise'!A:C,3,0)</f>
        <v>Adharsh</v>
      </c>
      <c r="CB748" s="32">
        <f t="shared" si="418"/>
        <v>45944</v>
      </c>
      <c r="CC748" t="str">
        <f t="shared" si="419"/>
        <v>Good</v>
      </c>
      <c r="CE748" s="32"/>
      <c r="CJ748">
        <f t="shared" si="420"/>
        <v>14</v>
      </c>
      <c r="CK748">
        <f t="shared" si="421"/>
        <v>10</v>
      </c>
      <c r="CL748">
        <f t="shared" si="422"/>
        <v>2025</v>
      </c>
    </row>
    <row r="749" spans="1:90" ht="15" customHeight="1" x14ac:dyDescent="0.35">
      <c r="A749" t="s">
        <v>1826</v>
      </c>
      <c r="B749" t="s">
        <v>698</v>
      </c>
      <c r="C749" t="s">
        <v>214</v>
      </c>
      <c r="D749" t="s">
        <v>221</v>
      </c>
      <c r="E749" s="32">
        <v>45942</v>
      </c>
      <c r="F749" t="s">
        <v>222</v>
      </c>
      <c r="G749" s="2">
        <v>46001</v>
      </c>
      <c r="H749">
        <v>9840694568</v>
      </c>
      <c r="I749">
        <v>183</v>
      </c>
      <c r="J749" t="s">
        <v>353</v>
      </c>
      <c r="K749" t="s">
        <v>71</v>
      </c>
      <c r="L749" t="s">
        <v>72</v>
      </c>
      <c r="M749" t="s">
        <v>59</v>
      </c>
      <c r="N749" t="s">
        <v>59</v>
      </c>
      <c r="O749" t="s">
        <v>60</v>
      </c>
      <c r="P749" t="s">
        <v>59</v>
      </c>
      <c r="Q749" t="s">
        <v>59</v>
      </c>
      <c r="R749" t="s">
        <v>59</v>
      </c>
      <c r="S749" t="s">
        <v>59</v>
      </c>
      <c r="T749" t="s">
        <v>59</v>
      </c>
      <c r="U749" t="s">
        <v>59</v>
      </c>
      <c r="V749" t="s">
        <v>59</v>
      </c>
      <c r="W749" t="s">
        <v>59</v>
      </c>
      <c r="X749" t="s">
        <v>59</v>
      </c>
      <c r="Y749" t="s">
        <v>59</v>
      </c>
      <c r="Z749" t="s">
        <v>59</v>
      </c>
      <c r="AA749" t="s">
        <v>60</v>
      </c>
      <c r="AB749" t="s">
        <v>59</v>
      </c>
      <c r="AC749" t="s">
        <v>59</v>
      </c>
      <c r="AD749" t="s">
        <v>59</v>
      </c>
      <c r="AE749" t="s">
        <v>59</v>
      </c>
      <c r="AF749" t="s">
        <v>59</v>
      </c>
      <c r="AG749" t="s">
        <v>59</v>
      </c>
      <c r="AH749" t="s">
        <v>61</v>
      </c>
      <c r="AI749" t="s">
        <v>59</v>
      </c>
      <c r="AJ749" t="s">
        <v>59</v>
      </c>
      <c r="AK749" t="s">
        <v>59</v>
      </c>
      <c r="AL749" t="s">
        <v>60</v>
      </c>
      <c r="AM749" t="s">
        <v>59</v>
      </c>
      <c r="AN749" t="s">
        <v>59</v>
      </c>
      <c r="AO749" t="s">
        <v>59</v>
      </c>
      <c r="AP749" t="s">
        <v>1827</v>
      </c>
      <c r="AQ749" t="s">
        <v>1828</v>
      </c>
      <c r="AR749" t="s">
        <v>64</v>
      </c>
      <c r="AS749" t="s">
        <v>249</v>
      </c>
      <c r="AT749" t="s">
        <v>249</v>
      </c>
      <c r="AU749" t="s">
        <v>219</v>
      </c>
      <c r="AW749" s="4">
        <f t="shared" si="388"/>
        <v>6</v>
      </c>
      <c r="AX749" s="4">
        <f t="shared" si="389"/>
        <v>4</v>
      </c>
      <c r="AY749" s="4" t="str">
        <f t="shared" si="390"/>
        <v>0</v>
      </c>
      <c r="AZ749" s="4">
        <f t="shared" si="391"/>
        <v>2</v>
      </c>
      <c r="BA749" s="4">
        <f t="shared" si="392"/>
        <v>4</v>
      </c>
      <c r="BB749" s="4">
        <f t="shared" si="393"/>
        <v>4</v>
      </c>
      <c r="BC749" s="4">
        <f t="shared" si="394"/>
        <v>4</v>
      </c>
      <c r="BD749" s="4">
        <f t="shared" si="395"/>
        <v>2</v>
      </c>
      <c r="BE749" s="4">
        <f t="shared" si="396"/>
        <v>4</v>
      </c>
      <c r="BF749" s="4">
        <f t="shared" si="397"/>
        <v>2</v>
      </c>
      <c r="BG749" s="4">
        <f t="shared" si="398"/>
        <v>4</v>
      </c>
      <c r="BH749" s="4">
        <f t="shared" si="399"/>
        <v>4</v>
      </c>
      <c r="BI749" s="4">
        <f t="shared" si="400"/>
        <v>4</v>
      </c>
      <c r="BJ749" s="4">
        <f t="shared" si="401"/>
        <v>2</v>
      </c>
      <c r="BK749" s="4" t="str">
        <f t="shared" si="402"/>
        <v>0</v>
      </c>
      <c r="BL749" s="4">
        <f t="shared" si="403"/>
        <v>2</v>
      </c>
      <c r="BM749" s="4">
        <f t="shared" si="404"/>
        <v>4</v>
      </c>
      <c r="BN749" s="4">
        <f t="shared" si="405"/>
        <v>4</v>
      </c>
      <c r="BO749" s="4">
        <f t="shared" si="406"/>
        <v>4</v>
      </c>
      <c r="BP749" s="4">
        <f t="shared" si="407"/>
        <v>4</v>
      </c>
      <c r="BQ749" s="4">
        <f t="shared" si="408"/>
        <v>6</v>
      </c>
      <c r="BR749" s="4">
        <f t="shared" si="409"/>
        <v>4</v>
      </c>
      <c r="BS749" s="4">
        <f t="shared" si="410"/>
        <v>4</v>
      </c>
      <c r="BT749" s="4">
        <f t="shared" si="411"/>
        <v>4</v>
      </c>
      <c r="BU749" s="4">
        <f t="shared" si="412"/>
        <v>4</v>
      </c>
      <c r="BV749" s="4" t="str">
        <f t="shared" si="413"/>
        <v>0</v>
      </c>
      <c r="BW749" s="4">
        <f t="shared" si="414"/>
        <v>6</v>
      </c>
      <c r="BX749" s="4">
        <f t="shared" si="415"/>
        <v>0</v>
      </c>
      <c r="BY749" s="4">
        <f t="shared" si="416"/>
        <v>0</v>
      </c>
      <c r="BZ749" s="37">
        <f t="shared" si="417"/>
        <v>92</v>
      </c>
      <c r="CA749" s="32" t="str">
        <f>VLOOKUP(J:J,'Agent wise'!A:C,3,0)</f>
        <v>Amal</v>
      </c>
      <c r="CB749" s="32">
        <f t="shared" si="418"/>
        <v>45942</v>
      </c>
      <c r="CC749" t="str">
        <f t="shared" si="419"/>
        <v>Good</v>
      </c>
      <c r="CE749" s="32"/>
      <c r="CJ749">
        <f t="shared" si="420"/>
        <v>12</v>
      </c>
      <c r="CK749">
        <f t="shared" si="421"/>
        <v>10</v>
      </c>
      <c r="CL749">
        <f t="shared" si="422"/>
        <v>2025</v>
      </c>
    </row>
    <row r="750" spans="1:90" ht="15" customHeight="1" x14ac:dyDescent="0.35">
      <c r="A750" t="s">
        <v>1829</v>
      </c>
      <c r="B750" t="s">
        <v>698</v>
      </c>
      <c r="C750" t="s">
        <v>214</v>
      </c>
      <c r="D750" t="s">
        <v>221</v>
      </c>
      <c r="E750" s="32">
        <v>45942</v>
      </c>
      <c r="F750" t="s">
        <v>222</v>
      </c>
      <c r="G750" s="2">
        <v>46001</v>
      </c>
      <c r="H750">
        <v>9633488001</v>
      </c>
      <c r="I750">
        <v>168</v>
      </c>
      <c r="J750" t="s">
        <v>356</v>
      </c>
      <c r="K750" t="s">
        <v>57</v>
      </c>
      <c r="L750" t="s">
        <v>58</v>
      </c>
      <c r="M750" t="s">
        <v>59</v>
      </c>
      <c r="N750" t="s">
        <v>59</v>
      </c>
      <c r="O750" t="s">
        <v>59</v>
      </c>
      <c r="P750" t="s">
        <v>59</v>
      </c>
      <c r="Q750" t="s">
        <v>59</v>
      </c>
      <c r="R750" t="s">
        <v>59</v>
      </c>
      <c r="S750" t="s">
        <v>59</v>
      </c>
      <c r="T750" t="s">
        <v>59</v>
      </c>
      <c r="U750" t="s">
        <v>59</v>
      </c>
      <c r="V750" t="s">
        <v>59</v>
      </c>
      <c r="W750" t="s">
        <v>59</v>
      </c>
      <c r="X750" t="s">
        <v>59</v>
      </c>
      <c r="Y750" t="s">
        <v>59</v>
      </c>
      <c r="Z750" t="s">
        <v>59</v>
      </c>
      <c r="AA750" t="s">
        <v>59</v>
      </c>
      <c r="AB750" t="s">
        <v>59</v>
      </c>
      <c r="AC750" t="s">
        <v>59</v>
      </c>
      <c r="AD750" t="s">
        <v>59</v>
      </c>
      <c r="AE750" t="s">
        <v>59</v>
      </c>
      <c r="AF750" t="s">
        <v>59</v>
      </c>
      <c r="AG750" t="s">
        <v>59</v>
      </c>
      <c r="AH750" t="s">
        <v>61</v>
      </c>
      <c r="AI750" t="s">
        <v>59</v>
      </c>
      <c r="AJ750" t="s">
        <v>59</v>
      </c>
      <c r="AK750" t="s">
        <v>59</v>
      </c>
      <c r="AL750" t="s">
        <v>60</v>
      </c>
      <c r="AM750" t="s">
        <v>59</v>
      </c>
      <c r="AN750" t="s">
        <v>59</v>
      </c>
      <c r="AO750" t="s">
        <v>59</v>
      </c>
      <c r="AP750" t="s">
        <v>1267</v>
      </c>
      <c r="AQ750" t="s">
        <v>960</v>
      </c>
      <c r="AR750" t="s">
        <v>226</v>
      </c>
      <c r="AS750" t="s">
        <v>249</v>
      </c>
      <c r="AT750" t="s">
        <v>249</v>
      </c>
      <c r="AU750" t="s">
        <v>219</v>
      </c>
      <c r="AW750" s="4">
        <f t="shared" si="388"/>
        <v>6</v>
      </c>
      <c r="AX750" s="4">
        <f t="shared" si="389"/>
        <v>4</v>
      </c>
      <c r="AY750" s="4">
        <f t="shared" si="390"/>
        <v>4</v>
      </c>
      <c r="AZ750" s="4">
        <f t="shared" si="391"/>
        <v>2</v>
      </c>
      <c r="BA750" s="4">
        <f t="shared" si="392"/>
        <v>4</v>
      </c>
      <c r="BB750" s="4">
        <f t="shared" si="393"/>
        <v>4</v>
      </c>
      <c r="BC750" s="4">
        <f t="shared" si="394"/>
        <v>4</v>
      </c>
      <c r="BD750" s="4">
        <f t="shared" si="395"/>
        <v>2</v>
      </c>
      <c r="BE750" s="4">
        <f t="shared" si="396"/>
        <v>4</v>
      </c>
      <c r="BF750" s="4">
        <f t="shared" si="397"/>
        <v>2</v>
      </c>
      <c r="BG750" s="4">
        <f t="shared" si="398"/>
        <v>4</v>
      </c>
      <c r="BH750" s="4">
        <f t="shared" si="399"/>
        <v>4</v>
      </c>
      <c r="BI750" s="4">
        <f t="shared" si="400"/>
        <v>4</v>
      </c>
      <c r="BJ750" s="4">
        <f t="shared" si="401"/>
        <v>2</v>
      </c>
      <c r="BK750" s="4">
        <f t="shared" si="402"/>
        <v>4</v>
      </c>
      <c r="BL750" s="4">
        <f t="shared" si="403"/>
        <v>2</v>
      </c>
      <c r="BM750" s="4">
        <f t="shared" si="404"/>
        <v>4</v>
      </c>
      <c r="BN750" s="4">
        <f t="shared" si="405"/>
        <v>4</v>
      </c>
      <c r="BO750" s="4">
        <f t="shared" si="406"/>
        <v>4</v>
      </c>
      <c r="BP750" s="4">
        <f t="shared" si="407"/>
        <v>4</v>
      </c>
      <c r="BQ750" s="4">
        <f t="shared" si="408"/>
        <v>6</v>
      </c>
      <c r="BR750" s="4">
        <f t="shared" si="409"/>
        <v>4</v>
      </c>
      <c r="BS750" s="4">
        <f t="shared" si="410"/>
        <v>4</v>
      </c>
      <c r="BT750" s="4">
        <f t="shared" si="411"/>
        <v>4</v>
      </c>
      <c r="BU750" s="4">
        <f t="shared" si="412"/>
        <v>4</v>
      </c>
      <c r="BV750" s="4" t="str">
        <f t="shared" si="413"/>
        <v>0</v>
      </c>
      <c r="BW750" s="4">
        <f t="shared" si="414"/>
        <v>6</v>
      </c>
      <c r="BX750" s="4">
        <f t="shared" si="415"/>
        <v>0</v>
      </c>
      <c r="BY750" s="4">
        <f t="shared" si="416"/>
        <v>0</v>
      </c>
      <c r="BZ750" s="37">
        <f t="shared" si="417"/>
        <v>100</v>
      </c>
      <c r="CA750" s="32" t="str">
        <f>VLOOKUP(J:J,'Agent wise'!A:C,3,0)</f>
        <v>Amal</v>
      </c>
      <c r="CB750" s="32">
        <f t="shared" si="418"/>
        <v>45942</v>
      </c>
      <c r="CC750" t="str">
        <f t="shared" si="419"/>
        <v>Excellent</v>
      </c>
      <c r="CE750" s="32"/>
      <c r="CJ750">
        <f t="shared" si="420"/>
        <v>12</v>
      </c>
      <c r="CK750">
        <f t="shared" si="421"/>
        <v>10</v>
      </c>
      <c r="CL750">
        <f t="shared" si="422"/>
        <v>2025</v>
      </c>
    </row>
    <row r="751" spans="1:90" ht="15" customHeight="1" x14ac:dyDescent="0.35">
      <c r="A751" t="s">
        <v>1830</v>
      </c>
      <c r="B751" t="s">
        <v>698</v>
      </c>
      <c r="C751" t="s">
        <v>214</v>
      </c>
      <c r="D751" t="s">
        <v>221</v>
      </c>
      <c r="E751" s="32">
        <v>45944</v>
      </c>
      <c r="F751" t="s">
        <v>222</v>
      </c>
      <c r="G751" t="s">
        <v>1749</v>
      </c>
      <c r="H751">
        <v>8428244163</v>
      </c>
      <c r="I751">
        <v>168</v>
      </c>
      <c r="J751" t="s">
        <v>246</v>
      </c>
      <c r="K751" t="s">
        <v>71</v>
      </c>
      <c r="L751" t="s">
        <v>72</v>
      </c>
      <c r="M751" t="s">
        <v>59</v>
      </c>
      <c r="N751" t="s">
        <v>59</v>
      </c>
      <c r="O751" t="s">
        <v>59</v>
      </c>
      <c r="P751" t="s">
        <v>59</v>
      </c>
      <c r="Q751" t="s">
        <v>59</v>
      </c>
      <c r="R751" t="s">
        <v>59</v>
      </c>
      <c r="S751" t="s">
        <v>59</v>
      </c>
      <c r="T751" t="s">
        <v>59</v>
      </c>
      <c r="U751" t="s">
        <v>59</v>
      </c>
      <c r="V751" t="s">
        <v>59</v>
      </c>
      <c r="W751" t="s">
        <v>59</v>
      </c>
      <c r="X751" t="s">
        <v>59</v>
      </c>
      <c r="Y751" t="s">
        <v>59</v>
      </c>
      <c r="Z751" t="s">
        <v>59</v>
      </c>
      <c r="AA751" t="s">
        <v>59</v>
      </c>
      <c r="AB751" t="s">
        <v>59</v>
      </c>
      <c r="AC751" t="s">
        <v>59</v>
      </c>
      <c r="AD751" t="s">
        <v>59</v>
      </c>
      <c r="AE751" t="s">
        <v>59</v>
      </c>
      <c r="AF751" t="s">
        <v>59</v>
      </c>
      <c r="AG751" t="s">
        <v>59</v>
      </c>
      <c r="AH751" t="s">
        <v>61</v>
      </c>
      <c r="AI751" t="s">
        <v>59</v>
      </c>
      <c r="AJ751" t="s">
        <v>59</v>
      </c>
      <c r="AK751" t="s">
        <v>59</v>
      </c>
      <c r="AL751" t="s">
        <v>59</v>
      </c>
      <c r="AM751" t="s">
        <v>59</v>
      </c>
      <c r="AN751" t="s">
        <v>59</v>
      </c>
      <c r="AO751" t="s">
        <v>59</v>
      </c>
      <c r="AP751" t="s">
        <v>704</v>
      </c>
      <c r="AQ751" t="s">
        <v>1831</v>
      </c>
      <c r="AR751" t="s">
        <v>226</v>
      </c>
      <c r="AS751" t="s">
        <v>970</v>
      </c>
      <c r="AT751" t="s">
        <v>970</v>
      </c>
      <c r="AU751" t="s">
        <v>219</v>
      </c>
      <c r="AW751" s="4">
        <f t="shared" si="388"/>
        <v>6</v>
      </c>
      <c r="AX751" s="4">
        <f t="shared" si="389"/>
        <v>4</v>
      </c>
      <c r="AY751" s="4">
        <f t="shared" si="390"/>
        <v>4</v>
      </c>
      <c r="AZ751" s="4">
        <f t="shared" si="391"/>
        <v>2</v>
      </c>
      <c r="BA751" s="4">
        <f t="shared" si="392"/>
        <v>4</v>
      </c>
      <c r="BB751" s="4">
        <f t="shared" si="393"/>
        <v>4</v>
      </c>
      <c r="BC751" s="4">
        <f t="shared" si="394"/>
        <v>4</v>
      </c>
      <c r="BD751" s="4">
        <f t="shared" si="395"/>
        <v>2</v>
      </c>
      <c r="BE751" s="4">
        <f t="shared" si="396"/>
        <v>4</v>
      </c>
      <c r="BF751" s="4">
        <f t="shared" si="397"/>
        <v>2</v>
      </c>
      <c r="BG751" s="4">
        <f t="shared" si="398"/>
        <v>4</v>
      </c>
      <c r="BH751" s="4">
        <f t="shared" si="399"/>
        <v>4</v>
      </c>
      <c r="BI751" s="4">
        <f t="shared" si="400"/>
        <v>4</v>
      </c>
      <c r="BJ751" s="4">
        <f t="shared" si="401"/>
        <v>2</v>
      </c>
      <c r="BK751" s="4">
        <f t="shared" si="402"/>
        <v>4</v>
      </c>
      <c r="BL751" s="4">
        <f t="shared" si="403"/>
        <v>2</v>
      </c>
      <c r="BM751" s="4">
        <f t="shared" si="404"/>
        <v>4</v>
      </c>
      <c r="BN751" s="4">
        <f t="shared" si="405"/>
        <v>4</v>
      </c>
      <c r="BO751" s="4">
        <f t="shared" si="406"/>
        <v>4</v>
      </c>
      <c r="BP751" s="4">
        <f t="shared" si="407"/>
        <v>4</v>
      </c>
      <c r="BQ751" s="4">
        <f t="shared" si="408"/>
        <v>6</v>
      </c>
      <c r="BR751" s="4">
        <f t="shared" si="409"/>
        <v>4</v>
      </c>
      <c r="BS751" s="4">
        <f t="shared" si="410"/>
        <v>4</v>
      </c>
      <c r="BT751" s="4">
        <f t="shared" si="411"/>
        <v>4</v>
      </c>
      <c r="BU751" s="4">
        <f t="shared" si="412"/>
        <v>4</v>
      </c>
      <c r="BV751" s="4">
        <f t="shared" si="413"/>
        <v>0</v>
      </c>
      <c r="BW751" s="4">
        <f t="shared" si="414"/>
        <v>6</v>
      </c>
      <c r="BX751" s="4">
        <f t="shared" si="415"/>
        <v>0</v>
      </c>
      <c r="BY751" s="4">
        <f t="shared" si="416"/>
        <v>0</v>
      </c>
      <c r="BZ751" s="37">
        <f t="shared" si="417"/>
        <v>100</v>
      </c>
      <c r="CA751" s="32" t="str">
        <f>VLOOKUP(J:J,'Agent wise'!A:C,3,0)</f>
        <v>Amal</v>
      </c>
      <c r="CB751" s="32">
        <f t="shared" si="418"/>
        <v>45944</v>
      </c>
      <c r="CC751" t="str">
        <f t="shared" si="419"/>
        <v>Excellent</v>
      </c>
      <c r="CE751" s="32"/>
      <c r="CJ751">
        <f t="shared" si="420"/>
        <v>14</v>
      </c>
      <c r="CK751">
        <f t="shared" si="421"/>
        <v>10</v>
      </c>
      <c r="CL751">
        <f t="shared" si="422"/>
        <v>2025</v>
      </c>
    </row>
    <row r="752" spans="1:90" ht="15" customHeight="1" x14ac:dyDescent="0.35">
      <c r="A752" t="s">
        <v>1832</v>
      </c>
      <c r="B752" t="s">
        <v>698</v>
      </c>
      <c r="C752" t="s">
        <v>214</v>
      </c>
      <c r="D752" t="s">
        <v>221</v>
      </c>
      <c r="E752" s="32">
        <v>45942</v>
      </c>
      <c r="F752" t="s">
        <v>222</v>
      </c>
      <c r="G752" s="2">
        <v>46001</v>
      </c>
      <c r="H752">
        <v>9645448243</v>
      </c>
      <c r="I752">
        <v>159</v>
      </c>
      <c r="J752" t="s">
        <v>246</v>
      </c>
      <c r="K752" t="s">
        <v>57</v>
      </c>
      <c r="L752" t="s">
        <v>58</v>
      </c>
      <c r="M752" t="s">
        <v>59</v>
      </c>
      <c r="N752" t="s">
        <v>59</v>
      </c>
      <c r="O752" t="s">
        <v>59</v>
      </c>
      <c r="P752" t="s">
        <v>59</v>
      </c>
      <c r="Q752" t="s">
        <v>59</v>
      </c>
      <c r="R752" t="s">
        <v>59</v>
      </c>
      <c r="S752" t="s">
        <v>59</v>
      </c>
      <c r="T752" t="s">
        <v>59</v>
      </c>
      <c r="U752" t="s">
        <v>59</v>
      </c>
      <c r="V752" t="s">
        <v>59</v>
      </c>
      <c r="W752" t="s">
        <v>59</v>
      </c>
      <c r="X752" t="s">
        <v>59</v>
      </c>
      <c r="Y752" t="s">
        <v>59</v>
      </c>
      <c r="Z752" t="s">
        <v>59</v>
      </c>
      <c r="AA752" t="s">
        <v>59</v>
      </c>
      <c r="AB752" t="s">
        <v>59</v>
      </c>
      <c r="AC752" t="s">
        <v>59</v>
      </c>
      <c r="AD752" t="s">
        <v>59</v>
      </c>
      <c r="AE752" t="s">
        <v>59</v>
      </c>
      <c r="AF752" t="s">
        <v>59</v>
      </c>
      <c r="AG752" t="s">
        <v>59</v>
      </c>
      <c r="AH752" t="s">
        <v>59</v>
      </c>
      <c r="AI752" t="s">
        <v>59</v>
      </c>
      <c r="AJ752" t="s">
        <v>61</v>
      </c>
      <c r="AK752" t="s">
        <v>59</v>
      </c>
      <c r="AL752" t="s">
        <v>59</v>
      </c>
      <c r="AM752" t="s">
        <v>59</v>
      </c>
      <c r="AN752" t="s">
        <v>59</v>
      </c>
      <c r="AO752" t="s">
        <v>59</v>
      </c>
      <c r="AP752" t="s">
        <v>228</v>
      </c>
      <c r="AQ752" t="s">
        <v>960</v>
      </c>
      <c r="AR752" t="s">
        <v>226</v>
      </c>
      <c r="AS752" t="s">
        <v>249</v>
      </c>
      <c r="AT752" t="s">
        <v>249</v>
      </c>
      <c r="AU752" t="s">
        <v>219</v>
      </c>
      <c r="AW752" s="4">
        <f t="shared" si="388"/>
        <v>6</v>
      </c>
      <c r="AX752" s="4">
        <f t="shared" si="389"/>
        <v>4</v>
      </c>
      <c r="AY752" s="4">
        <f t="shared" si="390"/>
        <v>4</v>
      </c>
      <c r="AZ752" s="4">
        <f t="shared" si="391"/>
        <v>2</v>
      </c>
      <c r="BA752" s="4">
        <f t="shared" si="392"/>
        <v>4</v>
      </c>
      <c r="BB752" s="4">
        <f t="shared" si="393"/>
        <v>4</v>
      </c>
      <c r="BC752" s="4">
        <f t="shared" si="394"/>
        <v>4</v>
      </c>
      <c r="BD752" s="4">
        <f t="shared" si="395"/>
        <v>2</v>
      </c>
      <c r="BE752" s="4">
        <f t="shared" si="396"/>
        <v>4</v>
      </c>
      <c r="BF752" s="4">
        <f t="shared" si="397"/>
        <v>2</v>
      </c>
      <c r="BG752" s="4">
        <f t="shared" si="398"/>
        <v>4</v>
      </c>
      <c r="BH752" s="4">
        <f t="shared" si="399"/>
        <v>4</v>
      </c>
      <c r="BI752" s="4">
        <f t="shared" si="400"/>
        <v>4</v>
      </c>
      <c r="BJ752" s="4">
        <f t="shared" si="401"/>
        <v>2</v>
      </c>
      <c r="BK752" s="4">
        <f t="shared" si="402"/>
        <v>4</v>
      </c>
      <c r="BL752" s="4">
        <f t="shared" si="403"/>
        <v>2</v>
      </c>
      <c r="BM752" s="4">
        <f t="shared" si="404"/>
        <v>4</v>
      </c>
      <c r="BN752" s="4">
        <f t="shared" si="405"/>
        <v>4</v>
      </c>
      <c r="BO752" s="4">
        <f t="shared" si="406"/>
        <v>4</v>
      </c>
      <c r="BP752" s="4">
        <f t="shared" si="407"/>
        <v>4</v>
      </c>
      <c r="BQ752" s="4">
        <f t="shared" si="408"/>
        <v>6</v>
      </c>
      <c r="BR752" s="4">
        <f t="shared" si="409"/>
        <v>4</v>
      </c>
      <c r="BS752" s="4">
        <f t="shared" si="410"/>
        <v>4</v>
      </c>
      <c r="BT752" s="4">
        <f t="shared" si="411"/>
        <v>4</v>
      </c>
      <c r="BU752" s="4">
        <f t="shared" si="412"/>
        <v>4</v>
      </c>
      <c r="BV752" s="4">
        <f t="shared" si="413"/>
        <v>0</v>
      </c>
      <c r="BW752" s="4">
        <f t="shared" si="414"/>
        <v>6</v>
      </c>
      <c r="BX752" s="4">
        <f t="shared" si="415"/>
        <v>0</v>
      </c>
      <c r="BY752" s="4">
        <f t="shared" si="416"/>
        <v>0</v>
      </c>
      <c r="BZ752" s="37">
        <f t="shared" si="417"/>
        <v>100</v>
      </c>
      <c r="CA752" s="32" t="str">
        <f>VLOOKUP(J:J,'Agent wise'!A:C,3,0)</f>
        <v>Amal</v>
      </c>
      <c r="CB752" s="32">
        <f t="shared" si="418"/>
        <v>45942</v>
      </c>
      <c r="CC752" t="str">
        <f t="shared" si="419"/>
        <v>Excellent</v>
      </c>
      <c r="CE752" s="32"/>
      <c r="CJ752">
        <f t="shared" si="420"/>
        <v>12</v>
      </c>
      <c r="CK752">
        <f t="shared" si="421"/>
        <v>10</v>
      </c>
      <c r="CL752">
        <f t="shared" si="422"/>
        <v>2025</v>
      </c>
    </row>
    <row r="753" spans="1:90" ht="15" customHeight="1" x14ac:dyDescent="0.35">
      <c r="A753" t="s">
        <v>1833</v>
      </c>
      <c r="B753" t="s">
        <v>698</v>
      </c>
      <c r="C753" t="s">
        <v>214</v>
      </c>
      <c r="D753" t="s">
        <v>221</v>
      </c>
      <c r="E753" s="32">
        <v>45942</v>
      </c>
      <c r="F753" t="s">
        <v>222</v>
      </c>
      <c r="G753" s="2">
        <v>46001</v>
      </c>
      <c r="H753">
        <v>9003606100</v>
      </c>
      <c r="I753">
        <v>163</v>
      </c>
      <c r="J753" t="s">
        <v>409</v>
      </c>
      <c r="K753" t="s">
        <v>71</v>
      </c>
      <c r="L753" t="s">
        <v>72</v>
      </c>
      <c r="M753" t="s">
        <v>59</v>
      </c>
      <c r="N753" t="s">
        <v>59</v>
      </c>
      <c r="O753" t="s">
        <v>59</v>
      </c>
      <c r="P753" t="s">
        <v>59</v>
      </c>
      <c r="Q753" t="s">
        <v>59</v>
      </c>
      <c r="R753" t="s">
        <v>59</v>
      </c>
      <c r="S753" t="s">
        <v>59</v>
      </c>
      <c r="T753" t="s">
        <v>59</v>
      </c>
      <c r="U753" t="s">
        <v>59</v>
      </c>
      <c r="V753" t="s">
        <v>59</v>
      </c>
      <c r="W753" t="s">
        <v>59</v>
      </c>
      <c r="X753" t="s">
        <v>59</v>
      </c>
      <c r="Y753" t="s">
        <v>59</v>
      </c>
      <c r="Z753" t="s">
        <v>59</v>
      </c>
      <c r="AA753" t="s">
        <v>59</v>
      </c>
      <c r="AB753" t="s">
        <v>59</v>
      </c>
      <c r="AC753" t="s">
        <v>59</v>
      </c>
      <c r="AD753" t="s">
        <v>59</v>
      </c>
      <c r="AE753" t="s">
        <v>59</v>
      </c>
      <c r="AF753" t="s">
        <v>59</v>
      </c>
      <c r="AG753" t="s">
        <v>59</v>
      </c>
      <c r="AH753" t="s">
        <v>61</v>
      </c>
      <c r="AI753" t="s">
        <v>61</v>
      </c>
      <c r="AJ753" t="s">
        <v>59</v>
      </c>
      <c r="AK753" t="s">
        <v>59</v>
      </c>
      <c r="AL753" t="s">
        <v>59</v>
      </c>
      <c r="AM753" t="s">
        <v>59</v>
      </c>
      <c r="AN753" t="s">
        <v>59</v>
      </c>
      <c r="AO753" t="s">
        <v>59</v>
      </c>
      <c r="AP753" t="s">
        <v>971</v>
      </c>
      <c r="AQ753" t="s">
        <v>1834</v>
      </c>
      <c r="AR753" t="s">
        <v>64</v>
      </c>
      <c r="AS753" t="s">
        <v>245</v>
      </c>
      <c r="AT753" t="s">
        <v>245</v>
      </c>
      <c r="AU753" t="s">
        <v>219</v>
      </c>
      <c r="AW753" s="4">
        <f t="shared" si="388"/>
        <v>6</v>
      </c>
      <c r="AX753" s="4">
        <f t="shared" si="389"/>
        <v>4</v>
      </c>
      <c r="AY753" s="4">
        <f t="shared" si="390"/>
        <v>4</v>
      </c>
      <c r="AZ753" s="4">
        <f t="shared" si="391"/>
        <v>2</v>
      </c>
      <c r="BA753" s="4">
        <f t="shared" si="392"/>
        <v>4</v>
      </c>
      <c r="BB753" s="4">
        <f t="shared" si="393"/>
        <v>4</v>
      </c>
      <c r="BC753" s="4">
        <f t="shared" si="394"/>
        <v>4</v>
      </c>
      <c r="BD753" s="4">
        <f t="shared" si="395"/>
        <v>2</v>
      </c>
      <c r="BE753" s="4">
        <f t="shared" si="396"/>
        <v>4</v>
      </c>
      <c r="BF753" s="4">
        <f t="shared" si="397"/>
        <v>2</v>
      </c>
      <c r="BG753" s="4">
        <f t="shared" si="398"/>
        <v>4</v>
      </c>
      <c r="BH753" s="4">
        <f t="shared" si="399"/>
        <v>4</v>
      </c>
      <c r="BI753" s="4">
        <f t="shared" si="400"/>
        <v>4</v>
      </c>
      <c r="BJ753" s="4">
        <f t="shared" si="401"/>
        <v>2</v>
      </c>
      <c r="BK753" s="4">
        <f t="shared" si="402"/>
        <v>4</v>
      </c>
      <c r="BL753" s="4">
        <f t="shared" si="403"/>
        <v>2</v>
      </c>
      <c r="BM753" s="4">
        <f t="shared" si="404"/>
        <v>4</v>
      </c>
      <c r="BN753" s="4">
        <f t="shared" si="405"/>
        <v>4</v>
      </c>
      <c r="BO753" s="4">
        <f t="shared" si="406"/>
        <v>4</v>
      </c>
      <c r="BP753" s="4">
        <f t="shared" si="407"/>
        <v>4</v>
      </c>
      <c r="BQ753" s="4">
        <f t="shared" si="408"/>
        <v>6</v>
      </c>
      <c r="BR753" s="4">
        <f t="shared" si="409"/>
        <v>4</v>
      </c>
      <c r="BS753" s="4">
        <f t="shared" si="410"/>
        <v>4</v>
      </c>
      <c r="BT753" s="4">
        <f t="shared" si="411"/>
        <v>4</v>
      </c>
      <c r="BU753" s="4">
        <f t="shared" si="412"/>
        <v>4</v>
      </c>
      <c r="BV753" s="4">
        <f t="shared" si="413"/>
        <v>0</v>
      </c>
      <c r="BW753" s="4">
        <f t="shared" si="414"/>
        <v>6</v>
      </c>
      <c r="BX753" s="4">
        <f t="shared" si="415"/>
        <v>0</v>
      </c>
      <c r="BY753" s="4">
        <f t="shared" si="416"/>
        <v>0</v>
      </c>
      <c r="BZ753" s="37">
        <f t="shared" si="417"/>
        <v>100</v>
      </c>
      <c r="CA753" s="32" t="str">
        <f>VLOOKUP(J:J,'Agent wise'!A:C,3,0)</f>
        <v>Amal</v>
      </c>
      <c r="CB753" s="32">
        <f t="shared" si="418"/>
        <v>45942</v>
      </c>
      <c r="CC753" t="str">
        <f t="shared" si="419"/>
        <v>Excellent</v>
      </c>
      <c r="CE753" s="32"/>
      <c r="CJ753">
        <f t="shared" si="420"/>
        <v>12</v>
      </c>
      <c r="CK753">
        <f t="shared" si="421"/>
        <v>10</v>
      </c>
      <c r="CL753">
        <f t="shared" si="422"/>
        <v>2025</v>
      </c>
    </row>
    <row r="754" spans="1:90" ht="15" customHeight="1" x14ac:dyDescent="0.35">
      <c r="A754" t="s">
        <v>1835</v>
      </c>
      <c r="B754" t="s">
        <v>130</v>
      </c>
      <c r="C754" t="s">
        <v>214</v>
      </c>
      <c r="D754" t="s">
        <v>131</v>
      </c>
      <c r="E754" s="32">
        <v>45944</v>
      </c>
      <c r="F754" t="s">
        <v>54</v>
      </c>
      <c r="G754" t="s">
        <v>1749</v>
      </c>
      <c r="H754">
        <v>9159131971</v>
      </c>
      <c r="I754">
        <v>131</v>
      </c>
      <c r="J754" t="s">
        <v>208</v>
      </c>
      <c r="K754" t="s">
        <v>71</v>
      </c>
      <c r="L754" t="s">
        <v>72</v>
      </c>
      <c r="M754" t="s">
        <v>59</v>
      </c>
      <c r="N754" t="s">
        <v>59</v>
      </c>
      <c r="O754" t="s">
        <v>59</v>
      </c>
      <c r="P754" t="s">
        <v>59</v>
      </c>
      <c r="Q754" t="s">
        <v>59</v>
      </c>
      <c r="R754" t="s">
        <v>59</v>
      </c>
      <c r="S754" t="s">
        <v>59</v>
      </c>
      <c r="T754" t="s">
        <v>59</v>
      </c>
      <c r="U754" t="s">
        <v>60</v>
      </c>
      <c r="V754" t="s">
        <v>59</v>
      </c>
      <c r="W754" t="s">
        <v>59</v>
      </c>
      <c r="X754" t="s">
        <v>59</v>
      </c>
      <c r="Y754" t="s">
        <v>59</v>
      </c>
      <c r="Z754" t="s">
        <v>59</v>
      </c>
      <c r="AA754" t="s">
        <v>59</v>
      </c>
      <c r="AB754" t="s">
        <v>61</v>
      </c>
      <c r="AC754" t="s">
        <v>60</v>
      </c>
      <c r="AD754" t="s">
        <v>59</v>
      </c>
      <c r="AE754" t="s">
        <v>59</v>
      </c>
      <c r="AF754" t="s">
        <v>61</v>
      </c>
      <c r="AG754" t="s">
        <v>59</v>
      </c>
      <c r="AH754" t="s">
        <v>61</v>
      </c>
      <c r="AI754" t="s">
        <v>61</v>
      </c>
      <c r="AJ754" t="s">
        <v>59</v>
      </c>
      <c r="AK754" t="s">
        <v>59</v>
      </c>
      <c r="AL754" t="s">
        <v>60</v>
      </c>
      <c r="AM754" t="s">
        <v>59</v>
      </c>
      <c r="AN754" t="s">
        <v>59</v>
      </c>
      <c r="AO754" t="s">
        <v>59</v>
      </c>
      <c r="AP754" t="s">
        <v>428</v>
      </c>
      <c r="AQ754" s="1" t="s">
        <v>1836</v>
      </c>
      <c r="AR754" t="s">
        <v>64</v>
      </c>
      <c r="AS754" t="s">
        <v>482</v>
      </c>
      <c r="AT754" t="s">
        <v>483</v>
      </c>
      <c r="AU754" t="s">
        <v>219</v>
      </c>
      <c r="AW754" s="4">
        <f t="shared" si="388"/>
        <v>6</v>
      </c>
      <c r="AX754" s="4">
        <f t="shared" si="389"/>
        <v>4</v>
      </c>
      <c r="AY754" s="4">
        <f t="shared" si="390"/>
        <v>4</v>
      </c>
      <c r="AZ754" s="4">
        <f t="shared" si="391"/>
        <v>2</v>
      </c>
      <c r="BA754" s="4">
        <f t="shared" si="392"/>
        <v>4</v>
      </c>
      <c r="BB754" s="4">
        <f t="shared" si="393"/>
        <v>4</v>
      </c>
      <c r="BC754" s="4">
        <f t="shared" si="394"/>
        <v>4</v>
      </c>
      <c r="BD754" s="4">
        <f t="shared" si="395"/>
        <v>2</v>
      </c>
      <c r="BE754" s="4" t="str">
        <f t="shared" si="396"/>
        <v>0</v>
      </c>
      <c r="BF754" s="4">
        <f t="shared" si="397"/>
        <v>2</v>
      </c>
      <c r="BG754" s="4">
        <f t="shared" si="398"/>
        <v>4</v>
      </c>
      <c r="BH754" s="4">
        <f t="shared" si="399"/>
        <v>4</v>
      </c>
      <c r="BI754" s="4">
        <f t="shared" si="400"/>
        <v>4</v>
      </c>
      <c r="BJ754" s="4">
        <f t="shared" si="401"/>
        <v>2</v>
      </c>
      <c r="BK754" s="4">
        <f t="shared" si="402"/>
        <v>4</v>
      </c>
      <c r="BL754" s="4">
        <f t="shared" si="403"/>
        <v>2</v>
      </c>
      <c r="BM754" s="4" t="str">
        <f t="shared" si="404"/>
        <v>0</v>
      </c>
      <c r="BN754" s="4">
        <f t="shared" si="405"/>
        <v>4</v>
      </c>
      <c r="BO754" s="4">
        <f t="shared" si="406"/>
        <v>4</v>
      </c>
      <c r="BP754" s="4">
        <f t="shared" si="407"/>
        <v>4</v>
      </c>
      <c r="BQ754" s="4">
        <f t="shared" si="408"/>
        <v>6</v>
      </c>
      <c r="BR754" s="4">
        <f t="shared" si="409"/>
        <v>4</v>
      </c>
      <c r="BS754" s="4">
        <f t="shared" si="410"/>
        <v>4</v>
      </c>
      <c r="BT754" s="4">
        <f t="shared" si="411"/>
        <v>4</v>
      </c>
      <c r="BU754" s="4">
        <f t="shared" si="412"/>
        <v>4</v>
      </c>
      <c r="BV754" s="4" t="str">
        <f t="shared" si="413"/>
        <v>0</v>
      </c>
      <c r="BW754" s="4">
        <f t="shared" si="414"/>
        <v>6</v>
      </c>
      <c r="BX754" s="4">
        <f t="shared" si="415"/>
        <v>0</v>
      </c>
      <c r="BY754" s="4">
        <f t="shared" si="416"/>
        <v>0</v>
      </c>
      <c r="BZ754" s="37">
        <f t="shared" si="417"/>
        <v>92</v>
      </c>
      <c r="CA754" s="32" t="str">
        <f>VLOOKUP(J:J,'Agent wise'!A:C,3,0)</f>
        <v>Adharsh</v>
      </c>
      <c r="CB754" s="32">
        <f t="shared" si="418"/>
        <v>45944</v>
      </c>
      <c r="CC754" t="str">
        <f t="shared" si="419"/>
        <v>Good</v>
      </c>
      <c r="CE754" s="32"/>
      <c r="CJ754">
        <f t="shared" si="420"/>
        <v>14</v>
      </c>
      <c r="CK754">
        <f t="shared" si="421"/>
        <v>10</v>
      </c>
      <c r="CL754">
        <f t="shared" si="422"/>
        <v>2025</v>
      </c>
    </row>
    <row r="755" spans="1:90" ht="15" customHeight="1" x14ac:dyDescent="0.35">
      <c r="A755" t="s">
        <v>1837</v>
      </c>
      <c r="B755" t="s">
        <v>130</v>
      </c>
      <c r="C755" t="s">
        <v>214</v>
      </c>
      <c r="D755" t="s">
        <v>131</v>
      </c>
      <c r="E755" s="32">
        <v>45944</v>
      </c>
      <c r="F755" t="s">
        <v>54</v>
      </c>
      <c r="G755" t="s">
        <v>1749</v>
      </c>
      <c r="H755">
        <v>8281627092</v>
      </c>
      <c r="I755">
        <v>135</v>
      </c>
      <c r="J755" t="s">
        <v>464</v>
      </c>
      <c r="K755" t="s">
        <v>57</v>
      </c>
      <c r="L755" t="s">
        <v>58</v>
      </c>
      <c r="M755" t="s">
        <v>59</v>
      </c>
      <c r="N755" t="s">
        <v>59</v>
      </c>
      <c r="O755" t="s">
        <v>59</v>
      </c>
      <c r="P755" t="s">
        <v>59</v>
      </c>
      <c r="Q755" t="s">
        <v>59</v>
      </c>
      <c r="R755" t="s">
        <v>59</v>
      </c>
      <c r="S755" t="s">
        <v>59</v>
      </c>
      <c r="T755" t="s">
        <v>59</v>
      </c>
      <c r="U755" t="s">
        <v>60</v>
      </c>
      <c r="V755" t="s">
        <v>59</v>
      </c>
      <c r="W755" t="s">
        <v>59</v>
      </c>
      <c r="X755" t="s">
        <v>59</v>
      </c>
      <c r="Y755" t="s">
        <v>59</v>
      </c>
      <c r="Z755" t="s">
        <v>59</v>
      </c>
      <c r="AA755" t="s">
        <v>59</v>
      </c>
      <c r="AB755" t="s">
        <v>60</v>
      </c>
      <c r="AC755" t="s">
        <v>60</v>
      </c>
      <c r="AD755" t="s">
        <v>59</v>
      </c>
      <c r="AE755" t="s">
        <v>59</v>
      </c>
      <c r="AF755" t="s">
        <v>61</v>
      </c>
      <c r="AG755" t="s">
        <v>59</v>
      </c>
      <c r="AH755" t="s">
        <v>61</v>
      </c>
      <c r="AI755" t="s">
        <v>61</v>
      </c>
      <c r="AJ755" t="s">
        <v>59</v>
      </c>
      <c r="AK755" t="s">
        <v>59</v>
      </c>
      <c r="AL755" t="s">
        <v>60</v>
      </c>
      <c r="AM755" t="s">
        <v>59</v>
      </c>
      <c r="AN755" t="s">
        <v>59</v>
      </c>
      <c r="AO755" t="s">
        <v>59</v>
      </c>
      <c r="AP755" t="s">
        <v>1838</v>
      </c>
      <c r="AQ755" s="1" t="s">
        <v>1839</v>
      </c>
      <c r="AR755" t="s">
        <v>64</v>
      </c>
      <c r="AS755" t="s">
        <v>89</v>
      </c>
      <c r="AT755" t="s">
        <v>84</v>
      </c>
      <c r="AU755" t="s">
        <v>219</v>
      </c>
      <c r="AW755" s="4">
        <f t="shared" si="388"/>
        <v>6</v>
      </c>
      <c r="AX755" s="4">
        <f t="shared" si="389"/>
        <v>4</v>
      </c>
      <c r="AY755" s="4">
        <f t="shared" si="390"/>
        <v>4</v>
      </c>
      <c r="AZ755" s="4">
        <f t="shared" si="391"/>
        <v>2</v>
      </c>
      <c r="BA755" s="4">
        <f t="shared" si="392"/>
        <v>4</v>
      </c>
      <c r="BB755" s="4">
        <f t="shared" si="393"/>
        <v>4</v>
      </c>
      <c r="BC755" s="4">
        <f t="shared" si="394"/>
        <v>4</v>
      </c>
      <c r="BD755" s="4">
        <f t="shared" si="395"/>
        <v>2</v>
      </c>
      <c r="BE755" s="4" t="str">
        <f t="shared" si="396"/>
        <v>0</v>
      </c>
      <c r="BF755" s="4">
        <f t="shared" si="397"/>
        <v>2</v>
      </c>
      <c r="BG755" s="4">
        <f t="shared" si="398"/>
        <v>4</v>
      </c>
      <c r="BH755" s="4">
        <f t="shared" si="399"/>
        <v>4</v>
      </c>
      <c r="BI755" s="4">
        <f t="shared" si="400"/>
        <v>4</v>
      </c>
      <c r="BJ755" s="4">
        <f t="shared" si="401"/>
        <v>2</v>
      </c>
      <c r="BK755" s="4">
        <f t="shared" si="402"/>
        <v>4</v>
      </c>
      <c r="BL755" s="4" t="str">
        <f t="shared" si="403"/>
        <v>0</v>
      </c>
      <c r="BM755" s="4" t="str">
        <f t="shared" si="404"/>
        <v>0</v>
      </c>
      <c r="BN755" s="4">
        <f t="shared" si="405"/>
        <v>4</v>
      </c>
      <c r="BO755" s="4">
        <f t="shared" si="406"/>
        <v>4</v>
      </c>
      <c r="BP755" s="4">
        <f t="shared" si="407"/>
        <v>4</v>
      </c>
      <c r="BQ755" s="4">
        <f t="shared" si="408"/>
        <v>6</v>
      </c>
      <c r="BR755" s="4">
        <f t="shared" si="409"/>
        <v>4</v>
      </c>
      <c r="BS755" s="4">
        <f t="shared" si="410"/>
        <v>4</v>
      </c>
      <c r="BT755" s="4">
        <f t="shared" si="411"/>
        <v>4</v>
      </c>
      <c r="BU755" s="4">
        <f t="shared" si="412"/>
        <v>4</v>
      </c>
      <c r="BV755" s="4" t="str">
        <f t="shared" si="413"/>
        <v>0</v>
      </c>
      <c r="BW755" s="4">
        <f t="shared" si="414"/>
        <v>6</v>
      </c>
      <c r="BX755" s="4">
        <f t="shared" si="415"/>
        <v>0</v>
      </c>
      <c r="BY755" s="4">
        <f t="shared" si="416"/>
        <v>0</v>
      </c>
      <c r="BZ755" s="37">
        <f t="shared" si="417"/>
        <v>90</v>
      </c>
      <c r="CA755" s="32" t="str">
        <f>VLOOKUP(J:J,'Agent wise'!A:C,3,0)</f>
        <v>Adharsh</v>
      </c>
      <c r="CB755" s="32">
        <f t="shared" si="418"/>
        <v>45944</v>
      </c>
      <c r="CC755" t="str">
        <f t="shared" si="419"/>
        <v>Good</v>
      </c>
      <c r="CE755" s="32"/>
      <c r="CJ755">
        <f t="shared" si="420"/>
        <v>14</v>
      </c>
      <c r="CK755">
        <f t="shared" si="421"/>
        <v>10</v>
      </c>
      <c r="CL755">
        <f t="shared" si="422"/>
        <v>2025</v>
      </c>
    </row>
    <row r="756" spans="1:90" ht="15" customHeight="1" x14ac:dyDescent="0.35">
      <c r="A756" t="s">
        <v>1840</v>
      </c>
      <c r="B756" t="s">
        <v>130</v>
      </c>
      <c r="C756" t="s">
        <v>214</v>
      </c>
      <c r="D756" t="s">
        <v>131</v>
      </c>
      <c r="E756" s="32">
        <v>45944</v>
      </c>
      <c r="F756" t="s">
        <v>54</v>
      </c>
      <c r="G756" t="s">
        <v>1749</v>
      </c>
      <c r="H756">
        <v>9400035680</v>
      </c>
      <c r="I756">
        <v>134</v>
      </c>
      <c r="J756" t="s">
        <v>638</v>
      </c>
      <c r="K756" t="s">
        <v>57</v>
      </c>
      <c r="L756" t="s">
        <v>58</v>
      </c>
      <c r="M756" t="s">
        <v>59</v>
      </c>
      <c r="N756" t="s">
        <v>59</v>
      </c>
      <c r="O756" t="s">
        <v>59</v>
      </c>
      <c r="P756" t="s">
        <v>59</v>
      </c>
      <c r="Q756" t="s">
        <v>59</v>
      </c>
      <c r="R756" t="s">
        <v>59</v>
      </c>
      <c r="S756" t="s">
        <v>59</v>
      </c>
      <c r="T756" t="s">
        <v>59</v>
      </c>
      <c r="U756" t="s">
        <v>60</v>
      </c>
      <c r="V756" t="s">
        <v>59</v>
      </c>
      <c r="W756" t="s">
        <v>59</v>
      </c>
      <c r="X756" t="s">
        <v>59</v>
      </c>
      <c r="Y756" t="s">
        <v>59</v>
      </c>
      <c r="Z756" t="s">
        <v>60</v>
      </c>
      <c r="AA756" t="s">
        <v>59</v>
      </c>
      <c r="AB756" t="s">
        <v>60</v>
      </c>
      <c r="AC756" t="s">
        <v>60</v>
      </c>
      <c r="AD756" t="s">
        <v>59</v>
      </c>
      <c r="AE756" t="s">
        <v>59</v>
      </c>
      <c r="AF756" t="s">
        <v>61</v>
      </c>
      <c r="AG756" t="s">
        <v>59</v>
      </c>
      <c r="AH756" t="s">
        <v>61</v>
      </c>
      <c r="AI756" t="s">
        <v>61</v>
      </c>
      <c r="AJ756" t="s">
        <v>59</v>
      </c>
      <c r="AK756" t="s">
        <v>59</v>
      </c>
      <c r="AL756" t="s">
        <v>60</v>
      </c>
      <c r="AM756" t="s">
        <v>59</v>
      </c>
      <c r="AN756" t="s">
        <v>59</v>
      </c>
      <c r="AO756" t="s">
        <v>59</v>
      </c>
      <c r="AP756" t="s">
        <v>1841</v>
      </c>
      <c r="AQ756" s="1" t="s">
        <v>842</v>
      </c>
      <c r="AR756" t="s">
        <v>64</v>
      </c>
      <c r="AS756" t="s">
        <v>89</v>
      </c>
      <c r="AT756" t="s">
        <v>84</v>
      </c>
      <c r="AU756" t="s">
        <v>219</v>
      </c>
      <c r="AW756" s="4">
        <f t="shared" si="388"/>
        <v>6</v>
      </c>
      <c r="AX756" s="4">
        <f t="shared" si="389"/>
        <v>4</v>
      </c>
      <c r="AY756" s="4">
        <f t="shared" si="390"/>
        <v>4</v>
      </c>
      <c r="AZ756" s="4">
        <f t="shared" si="391"/>
        <v>2</v>
      </c>
      <c r="BA756" s="4">
        <f t="shared" si="392"/>
        <v>4</v>
      </c>
      <c r="BB756" s="4">
        <f t="shared" si="393"/>
        <v>4</v>
      </c>
      <c r="BC756" s="4">
        <f t="shared" si="394"/>
        <v>4</v>
      </c>
      <c r="BD756" s="4">
        <f t="shared" si="395"/>
        <v>2</v>
      </c>
      <c r="BE756" s="4" t="str">
        <f t="shared" si="396"/>
        <v>0</v>
      </c>
      <c r="BF756" s="4">
        <f t="shared" si="397"/>
        <v>2</v>
      </c>
      <c r="BG756" s="4">
        <f t="shared" si="398"/>
        <v>4</v>
      </c>
      <c r="BH756" s="4">
        <f t="shared" si="399"/>
        <v>4</v>
      </c>
      <c r="BI756" s="4">
        <f t="shared" si="400"/>
        <v>4</v>
      </c>
      <c r="BJ756" s="4" t="str">
        <f t="shared" si="401"/>
        <v>0</v>
      </c>
      <c r="BK756" s="4">
        <f t="shared" si="402"/>
        <v>4</v>
      </c>
      <c r="BL756" s="4" t="str">
        <f t="shared" si="403"/>
        <v>0</v>
      </c>
      <c r="BM756" s="4" t="str">
        <f t="shared" si="404"/>
        <v>0</v>
      </c>
      <c r="BN756" s="4">
        <f t="shared" si="405"/>
        <v>4</v>
      </c>
      <c r="BO756" s="4">
        <f t="shared" si="406"/>
        <v>4</v>
      </c>
      <c r="BP756" s="4">
        <f t="shared" si="407"/>
        <v>4</v>
      </c>
      <c r="BQ756" s="4">
        <f t="shared" si="408"/>
        <v>6</v>
      </c>
      <c r="BR756" s="4">
        <f t="shared" si="409"/>
        <v>4</v>
      </c>
      <c r="BS756" s="4">
        <f t="shared" si="410"/>
        <v>4</v>
      </c>
      <c r="BT756" s="4">
        <f t="shared" si="411"/>
        <v>4</v>
      </c>
      <c r="BU756" s="4">
        <f t="shared" si="412"/>
        <v>4</v>
      </c>
      <c r="BV756" s="4" t="str">
        <f t="shared" si="413"/>
        <v>0</v>
      </c>
      <c r="BW756" s="4">
        <f t="shared" si="414"/>
        <v>6</v>
      </c>
      <c r="BX756" s="4">
        <f t="shared" si="415"/>
        <v>0</v>
      </c>
      <c r="BY756" s="4">
        <f t="shared" si="416"/>
        <v>0</v>
      </c>
      <c r="BZ756" s="37">
        <f t="shared" si="417"/>
        <v>88</v>
      </c>
      <c r="CA756" s="32" t="str">
        <f>VLOOKUP(J:J,'Agent wise'!A:C,3,0)</f>
        <v>Adharsh</v>
      </c>
      <c r="CB756" s="32">
        <f t="shared" si="418"/>
        <v>45944</v>
      </c>
      <c r="CC756" t="str">
        <f t="shared" si="419"/>
        <v>Average</v>
      </c>
      <c r="CE756" s="32"/>
      <c r="CJ756">
        <f t="shared" si="420"/>
        <v>14</v>
      </c>
      <c r="CK756">
        <f t="shared" si="421"/>
        <v>10</v>
      </c>
      <c r="CL756">
        <f t="shared" si="422"/>
        <v>2025</v>
      </c>
    </row>
    <row r="757" spans="1:90" ht="15" customHeight="1" x14ac:dyDescent="0.35">
      <c r="A757" t="s">
        <v>1842</v>
      </c>
      <c r="B757" t="s">
        <v>130</v>
      </c>
      <c r="C757" t="s">
        <v>214</v>
      </c>
      <c r="D757" t="s">
        <v>131</v>
      </c>
      <c r="E757" s="32">
        <v>45944</v>
      </c>
      <c r="F757" t="s">
        <v>54</v>
      </c>
      <c r="G757" t="s">
        <v>1749</v>
      </c>
      <c r="H757">
        <v>8547286187</v>
      </c>
      <c r="I757">
        <v>138</v>
      </c>
      <c r="J757" t="s">
        <v>484</v>
      </c>
      <c r="K757" t="s">
        <v>57</v>
      </c>
      <c r="L757" t="s">
        <v>58</v>
      </c>
      <c r="M757" t="s">
        <v>59</v>
      </c>
      <c r="N757" t="s">
        <v>59</v>
      </c>
      <c r="O757" t="s">
        <v>59</v>
      </c>
      <c r="P757" t="s">
        <v>59</v>
      </c>
      <c r="Q757" t="s">
        <v>59</v>
      </c>
      <c r="R757" t="s">
        <v>59</v>
      </c>
      <c r="S757" t="s">
        <v>59</v>
      </c>
      <c r="T757" t="s">
        <v>59</v>
      </c>
      <c r="U757" t="s">
        <v>60</v>
      </c>
      <c r="V757" t="s">
        <v>59</v>
      </c>
      <c r="W757" t="s">
        <v>59</v>
      </c>
      <c r="X757" t="s">
        <v>59</v>
      </c>
      <c r="Y757" t="s">
        <v>59</v>
      </c>
      <c r="Z757" t="s">
        <v>59</v>
      </c>
      <c r="AA757" t="s">
        <v>59</v>
      </c>
      <c r="AB757" t="s">
        <v>59</v>
      </c>
      <c r="AC757" t="s">
        <v>60</v>
      </c>
      <c r="AD757" t="s">
        <v>59</v>
      </c>
      <c r="AE757" t="s">
        <v>59</v>
      </c>
      <c r="AF757" t="s">
        <v>61</v>
      </c>
      <c r="AG757" t="s">
        <v>59</v>
      </c>
      <c r="AH757" t="s">
        <v>61</v>
      </c>
      <c r="AI757" t="s">
        <v>61</v>
      </c>
      <c r="AJ757" t="s">
        <v>59</v>
      </c>
      <c r="AK757" t="s">
        <v>59</v>
      </c>
      <c r="AL757" t="s">
        <v>60</v>
      </c>
      <c r="AM757" t="s">
        <v>59</v>
      </c>
      <c r="AN757" t="s">
        <v>59</v>
      </c>
      <c r="AO757" t="s">
        <v>59</v>
      </c>
      <c r="AP757" t="s">
        <v>1838</v>
      </c>
      <c r="AQ757" s="1" t="s">
        <v>1843</v>
      </c>
      <c r="AR757" t="s">
        <v>64</v>
      </c>
      <c r="AS757" t="s">
        <v>152</v>
      </c>
      <c r="AT757" t="s">
        <v>267</v>
      </c>
      <c r="AU757" t="s">
        <v>219</v>
      </c>
      <c r="AW757" s="4">
        <f t="shared" si="388"/>
        <v>6</v>
      </c>
      <c r="AX757" s="4">
        <f t="shared" si="389"/>
        <v>4</v>
      </c>
      <c r="AY757" s="4">
        <f t="shared" si="390"/>
        <v>4</v>
      </c>
      <c r="AZ757" s="4">
        <f t="shared" si="391"/>
        <v>2</v>
      </c>
      <c r="BA757" s="4">
        <f t="shared" si="392"/>
        <v>4</v>
      </c>
      <c r="BB757" s="4">
        <f t="shared" si="393"/>
        <v>4</v>
      </c>
      <c r="BC757" s="4">
        <f t="shared" si="394"/>
        <v>4</v>
      </c>
      <c r="BD757" s="4">
        <f t="shared" si="395"/>
        <v>2</v>
      </c>
      <c r="BE757" s="4" t="str">
        <f t="shared" si="396"/>
        <v>0</v>
      </c>
      <c r="BF757" s="4">
        <f t="shared" si="397"/>
        <v>2</v>
      </c>
      <c r="BG757" s="4">
        <f t="shared" si="398"/>
        <v>4</v>
      </c>
      <c r="BH757" s="4">
        <f t="shared" si="399"/>
        <v>4</v>
      </c>
      <c r="BI757" s="4">
        <f t="shared" si="400"/>
        <v>4</v>
      </c>
      <c r="BJ757" s="4">
        <f t="shared" si="401"/>
        <v>2</v>
      </c>
      <c r="BK757" s="4">
        <f t="shared" si="402"/>
        <v>4</v>
      </c>
      <c r="BL757" s="4">
        <f t="shared" si="403"/>
        <v>2</v>
      </c>
      <c r="BM757" s="4" t="str">
        <f t="shared" si="404"/>
        <v>0</v>
      </c>
      <c r="BN757" s="4">
        <f t="shared" si="405"/>
        <v>4</v>
      </c>
      <c r="BO757" s="4">
        <f t="shared" si="406"/>
        <v>4</v>
      </c>
      <c r="BP757" s="4">
        <f t="shared" si="407"/>
        <v>4</v>
      </c>
      <c r="BQ757" s="4">
        <f t="shared" si="408"/>
        <v>6</v>
      </c>
      <c r="BR757" s="4">
        <f t="shared" si="409"/>
        <v>4</v>
      </c>
      <c r="BS757" s="4">
        <f t="shared" si="410"/>
        <v>4</v>
      </c>
      <c r="BT757" s="4">
        <f t="shared" si="411"/>
        <v>4</v>
      </c>
      <c r="BU757" s="4">
        <f t="shared" si="412"/>
        <v>4</v>
      </c>
      <c r="BV757" s="4" t="str">
        <f t="shared" si="413"/>
        <v>0</v>
      </c>
      <c r="BW757" s="4">
        <f t="shared" si="414"/>
        <v>6</v>
      </c>
      <c r="BX757" s="4">
        <f t="shared" si="415"/>
        <v>0</v>
      </c>
      <c r="BY757" s="4">
        <f t="shared" si="416"/>
        <v>0</v>
      </c>
      <c r="BZ757" s="37">
        <f t="shared" si="417"/>
        <v>92</v>
      </c>
      <c r="CA757" s="32" t="str">
        <f>VLOOKUP(J:J,'Agent wise'!A:C,3,0)</f>
        <v>Adharsh</v>
      </c>
      <c r="CB757" s="32">
        <f t="shared" si="418"/>
        <v>45944</v>
      </c>
      <c r="CC757" t="str">
        <f t="shared" si="419"/>
        <v>Good</v>
      </c>
      <c r="CE757" s="32"/>
      <c r="CJ757">
        <f t="shared" si="420"/>
        <v>14</v>
      </c>
      <c r="CK757">
        <f t="shared" si="421"/>
        <v>10</v>
      </c>
      <c r="CL757">
        <f t="shared" si="422"/>
        <v>2025</v>
      </c>
    </row>
    <row r="758" spans="1:90" ht="15" customHeight="1" x14ac:dyDescent="0.35">
      <c r="A758" t="s">
        <v>1844</v>
      </c>
      <c r="B758" t="s">
        <v>130</v>
      </c>
      <c r="C758" t="s">
        <v>214</v>
      </c>
      <c r="D758" t="s">
        <v>131</v>
      </c>
      <c r="E758" s="32">
        <v>45944</v>
      </c>
      <c r="F758" t="s">
        <v>54</v>
      </c>
      <c r="G758" t="s">
        <v>1749</v>
      </c>
      <c r="H758">
        <v>7025497045</v>
      </c>
      <c r="I758">
        <v>128</v>
      </c>
      <c r="J758" t="s">
        <v>528</v>
      </c>
      <c r="K758" t="s">
        <v>57</v>
      </c>
      <c r="L758" t="s">
        <v>58</v>
      </c>
      <c r="M758" t="s">
        <v>59</v>
      </c>
      <c r="N758" t="s">
        <v>59</v>
      </c>
      <c r="O758" t="s">
        <v>59</v>
      </c>
      <c r="P758" t="s">
        <v>59</v>
      </c>
      <c r="Q758" t="s">
        <v>59</v>
      </c>
      <c r="R758" t="s">
        <v>59</v>
      </c>
      <c r="S758" t="s">
        <v>59</v>
      </c>
      <c r="T758" t="s">
        <v>59</v>
      </c>
      <c r="U758" t="s">
        <v>60</v>
      </c>
      <c r="V758" t="s">
        <v>59</v>
      </c>
      <c r="W758" t="s">
        <v>59</v>
      </c>
      <c r="X758" t="s">
        <v>59</v>
      </c>
      <c r="Y758" t="s">
        <v>59</v>
      </c>
      <c r="Z758" t="s">
        <v>59</v>
      </c>
      <c r="AA758" t="s">
        <v>59</v>
      </c>
      <c r="AB758" t="s">
        <v>60</v>
      </c>
      <c r="AC758" t="s">
        <v>61</v>
      </c>
      <c r="AD758" t="s">
        <v>59</v>
      </c>
      <c r="AE758" t="s">
        <v>59</v>
      </c>
      <c r="AF758" t="s">
        <v>61</v>
      </c>
      <c r="AG758" t="s">
        <v>59</v>
      </c>
      <c r="AH758" t="s">
        <v>61</v>
      </c>
      <c r="AI758" t="s">
        <v>60</v>
      </c>
      <c r="AJ758" t="s">
        <v>59</v>
      </c>
      <c r="AK758" t="s">
        <v>59</v>
      </c>
      <c r="AL758" t="s">
        <v>60</v>
      </c>
      <c r="AM758" t="s">
        <v>59</v>
      </c>
      <c r="AN758" t="s">
        <v>59</v>
      </c>
      <c r="AO758" t="s">
        <v>59</v>
      </c>
      <c r="AP758" t="s">
        <v>1845</v>
      </c>
      <c r="AQ758" s="1" t="s">
        <v>141</v>
      </c>
      <c r="AR758" t="s">
        <v>64</v>
      </c>
      <c r="AS758" t="s">
        <v>325</v>
      </c>
      <c r="AT758" t="s">
        <v>1846</v>
      </c>
      <c r="AU758" t="s">
        <v>219</v>
      </c>
      <c r="AW758" s="4">
        <f t="shared" si="388"/>
        <v>6</v>
      </c>
      <c r="AX758" s="4">
        <f t="shared" si="389"/>
        <v>4</v>
      </c>
      <c r="AY758" s="4">
        <f t="shared" si="390"/>
        <v>4</v>
      </c>
      <c r="AZ758" s="4">
        <f t="shared" si="391"/>
        <v>2</v>
      </c>
      <c r="BA758" s="4">
        <f t="shared" si="392"/>
        <v>4</v>
      </c>
      <c r="BB758" s="4">
        <f t="shared" si="393"/>
        <v>4</v>
      </c>
      <c r="BC758" s="4">
        <f t="shared" si="394"/>
        <v>4</v>
      </c>
      <c r="BD758" s="4">
        <f t="shared" si="395"/>
        <v>2</v>
      </c>
      <c r="BE758" s="4" t="str">
        <f t="shared" si="396"/>
        <v>0</v>
      </c>
      <c r="BF758" s="4">
        <f t="shared" si="397"/>
        <v>2</v>
      </c>
      <c r="BG758" s="4">
        <f t="shared" si="398"/>
        <v>4</v>
      </c>
      <c r="BH758" s="4">
        <f t="shared" si="399"/>
        <v>4</v>
      </c>
      <c r="BI758" s="4">
        <f t="shared" si="400"/>
        <v>4</v>
      </c>
      <c r="BJ758" s="4">
        <f t="shared" si="401"/>
        <v>2</v>
      </c>
      <c r="BK758" s="4">
        <f t="shared" si="402"/>
        <v>4</v>
      </c>
      <c r="BL758" s="4" t="str">
        <f t="shared" si="403"/>
        <v>0</v>
      </c>
      <c r="BM758" s="4">
        <f t="shared" si="404"/>
        <v>4</v>
      </c>
      <c r="BN758" s="4">
        <f t="shared" si="405"/>
        <v>4</v>
      </c>
      <c r="BO758" s="4">
        <f t="shared" si="406"/>
        <v>4</v>
      </c>
      <c r="BP758" s="4">
        <f t="shared" si="407"/>
        <v>4</v>
      </c>
      <c r="BQ758" s="4">
        <f t="shared" si="408"/>
        <v>6</v>
      </c>
      <c r="BR758" s="4">
        <f t="shared" si="409"/>
        <v>4</v>
      </c>
      <c r="BS758" s="4" t="str">
        <f t="shared" si="410"/>
        <v>0</v>
      </c>
      <c r="BT758" s="4">
        <f t="shared" si="411"/>
        <v>4</v>
      </c>
      <c r="BU758" s="4">
        <f t="shared" si="412"/>
        <v>4</v>
      </c>
      <c r="BV758" s="4" t="str">
        <f t="shared" si="413"/>
        <v>0</v>
      </c>
      <c r="BW758" s="4">
        <f t="shared" si="414"/>
        <v>6</v>
      </c>
      <c r="BX758" s="4">
        <f t="shared" si="415"/>
        <v>0</v>
      </c>
      <c r="BY758" s="4">
        <f t="shared" si="416"/>
        <v>0</v>
      </c>
      <c r="BZ758" s="37">
        <f t="shared" si="417"/>
        <v>90</v>
      </c>
      <c r="CA758" s="32" t="str">
        <f>VLOOKUP(J:J,'Agent wise'!A:C,3,0)</f>
        <v>Adharsh</v>
      </c>
      <c r="CB758" s="32">
        <f t="shared" si="418"/>
        <v>45944</v>
      </c>
      <c r="CC758" t="str">
        <f t="shared" si="419"/>
        <v>Good</v>
      </c>
      <c r="CE758" s="32"/>
      <c r="CJ758">
        <f t="shared" si="420"/>
        <v>14</v>
      </c>
      <c r="CK758">
        <f t="shared" si="421"/>
        <v>10</v>
      </c>
      <c r="CL758">
        <f t="shared" si="422"/>
        <v>2025</v>
      </c>
    </row>
    <row r="759" spans="1:90" ht="15" customHeight="1" x14ac:dyDescent="0.35">
      <c r="A759" t="s">
        <v>1847</v>
      </c>
      <c r="B759" t="s">
        <v>698</v>
      </c>
      <c r="C759" t="s">
        <v>214</v>
      </c>
      <c r="D759" t="s">
        <v>221</v>
      </c>
      <c r="E759" s="32">
        <v>45944</v>
      </c>
      <c r="F759" t="s">
        <v>222</v>
      </c>
      <c r="G759" t="s">
        <v>1749</v>
      </c>
      <c r="H759">
        <v>7010945949</v>
      </c>
      <c r="I759">
        <v>185</v>
      </c>
      <c r="J759" t="s">
        <v>242</v>
      </c>
      <c r="K759" t="s">
        <v>71</v>
      </c>
      <c r="L759" t="s">
        <v>72</v>
      </c>
      <c r="M759" t="s">
        <v>59</v>
      </c>
      <c r="N759" t="s">
        <v>59</v>
      </c>
      <c r="O759" t="s">
        <v>59</v>
      </c>
      <c r="P759" t="s">
        <v>59</v>
      </c>
      <c r="Q759" t="s">
        <v>59</v>
      </c>
      <c r="R759" t="s">
        <v>59</v>
      </c>
      <c r="S759" t="s">
        <v>59</v>
      </c>
      <c r="T759" t="s">
        <v>59</v>
      </c>
      <c r="U759" t="s">
        <v>59</v>
      </c>
      <c r="V759" t="s">
        <v>59</v>
      </c>
      <c r="W759" t="s">
        <v>59</v>
      </c>
      <c r="X759" t="s">
        <v>59</v>
      </c>
      <c r="Y759" t="s">
        <v>59</v>
      </c>
      <c r="Z759" t="s">
        <v>59</v>
      </c>
      <c r="AA759" t="s">
        <v>59</v>
      </c>
      <c r="AB759" t="s">
        <v>59</v>
      </c>
      <c r="AC759" t="s">
        <v>59</v>
      </c>
      <c r="AD759" t="s">
        <v>59</v>
      </c>
      <c r="AE759" t="s">
        <v>59</v>
      </c>
      <c r="AF759" t="s">
        <v>59</v>
      </c>
      <c r="AG759" t="s">
        <v>59</v>
      </c>
      <c r="AH759" t="s">
        <v>61</v>
      </c>
      <c r="AI759" t="s">
        <v>61</v>
      </c>
      <c r="AJ759" t="s">
        <v>61</v>
      </c>
      <c r="AK759" t="s">
        <v>59</v>
      </c>
      <c r="AL759" t="s">
        <v>59</v>
      </c>
      <c r="AM759" t="s">
        <v>59</v>
      </c>
      <c r="AN759" t="s">
        <v>59</v>
      </c>
      <c r="AO759" t="s">
        <v>59</v>
      </c>
      <c r="AP759" t="s">
        <v>810</v>
      </c>
      <c r="AQ759" t="s">
        <v>1848</v>
      </c>
      <c r="AR759" t="s">
        <v>226</v>
      </c>
      <c r="AS759" t="s">
        <v>982</v>
      </c>
      <c r="AT759" t="s">
        <v>982</v>
      </c>
      <c r="AU759" t="s">
        <v>219</v>
      </c>
      <c r="AW759" s="4">
        <f t="shared" si="388"/>
        <v>6</v>
      </c>
      <c r="AX759" s="4">
        <f t="shared" si="389"/>
        <v>4</v>
      </c>
      <c r="AY759" s="4">
        <f t="shared" si="390"/>
        <v>4</v>
      </c>
      <c r="AZ759" s="4">
        <f t="shared" si="391"/>
        <v>2</v>
      </c>
      <c r="BA759" s="4">
        <f t="shared" si="392"/>
        <v>4</v>
      </c>
      <c r="BB759" s="4">
        <f t="shared" si="393"/>
        <v>4</v>
      </c>
      <c r="BC759" s="4">
        <f t="shared" si="394"/>
        <v>4</v>
      </c>
      <c r="BD759" s="4">
        <f t="shared" si="395"/>
        <v>2</v>
      </c>
      <c r="BE759" s="4">
        <f t="shared" si="396"/>
        <v>4</v>
      </c>
      <c r="BF759" s="4">
        <f t="shared" si="397"/>
        <v>2</v>
      </c>
      <c r="BG759" s="4">
        <f t="shared" si="398"/>
        <v>4</v>
      </c>
      <c r="BH759" s="4">
        <f t="shared" si="399"/>
        <v>4</v>
      </c>
      <c r="BI759" s="4">
        <f t="shared" si="400"/>
        <v>4</v>
      </c>
      <c r="BJ759" s="4">
        <f t="shared" si="401"/>
        <v>2</v>
      </c>
      <c r="BK759" s="4">
        <f t="shared" si="402"/>
        <v>4</v>
      </c>
      <c r="BL759" s="4">
        <f t="shared" si="403"/>
        <v>2</v>
      </c>
      <c r="BM759" s="4">
        <f t="shared" si="404"/>
        <v>4</v>
      </c>
      <c r="BN759" s="4">
        <f t="shared" si="405"/>
        <v>4</v>
      </c>
      <c r="BO759" s="4">
        <f t="shared" si="406"/>
        <v>4</v>
      </c>
      <c r="BP759" s="4">
        <f t="shared" si="407"/>
        <v>4</v>
      </c>
      <c r="BQ759" s="4">
        <f t="shared" si="408"/>
        <v>6</v>
      </c>
      <c r="BR759" s="4">
        <f t="shared" si="409"/>
        <v>4</v>
      </c>
      <c r="BS759" s="4">
        <f t="shared" si="410"/>
        <v>4</v>
      </c>
      <c r="BT759" s="4">
        <f t="shared" si="411"/>
        <v>4</v>
      </c>
      <c r="BU759" s="4">
        <f t="shared" si="412"/>
        <v>4</v>
      </c>
      <c r="BV759" s="4">
        <f t="shared" si="413"/>
        <v>0</v>
      </c>
      <c r="BW759" s="4">
        <f t="shared" si="414"/>
        <v>6</v>
      </c>
      <c r="BX759" s="4">
        <f t="shared" si="415"/>
        <v>0</v>
      </c>
      <c r="BY759" s="4">
        <f t="shared" si="416"/>
        <v>0</v>
      </c>
      <c r="BZ759" s="37">
        <f t="shared" si="417"/>
        <v>100</v>
      </c>
      <c r="CA759" s="32" t="str">
        <f>VLOOKUP(J:J,'Agent wise'!A:C,3,0)</f>
        <v>Amal</v>
      </c>
      <c r="CB759" s="32">
        <f t="shared" si="418"/>
        <v>45944</v>
      </c>
      <c r="CC759" t="str">
        <f t="shared" si="419"/>
        <v>Excellent</v>
      </c>
      <c r="CE759" s="32"/>
      <c r="CJ759">
        <f t="shared" si="420"/>
        <v>14</v>
      </c>
      <c r="CK759">
        <f t="shared" si="421"/>
        <v>10</v>
      </c>
      <c r="CL759">
        <f t="shared" si="422"/>
        <v>2025</v>
      </c>
    </row>
    <row r="760" spans="1:90" ht="15" customHeight="1" x14ac:dyDescent="0.35">
      <c r="A760" t="s">
        <v>1849</v>
      </c>
      <c r="B760" t="s">
        <v>698</v>
      </c>
      <c r="C760" t="s">
        <v>214</v>
      </c>
      <c r="D760" t="s">
        <v>221</v>
      </c>
      <c r="E760" s="32">
        <v>45944</v>
      </c>
      <c r="F760" t="s">
        <v>222</v>
      </c>
      <c r="G760" t="s">
        <v>1749</v>
      </c>
      <c r="H760">
        <v>9952080285</v>
      </c>
      <c r="I760">
        <v>157</v>
      </c>
      <c r="J760" t="s">
        <v>242</v>
      </c>
      <c r="K760" t="s">
        <v>71</v>
      </c>
      <c r="L760" t="s">
        <v>72</v>
      </c>
      <c r="M760" t="s">
        <v>59</v>
      </c>
      <c r="N760" t="s">
        <v>59</v>
      </c>
      <c r="O760" t="s">
        <v>59</v>
      </c>
      <c r="P760" t="s">
        <v>59</v>
      </c>
      <c r="Q760" t="s">
        <v>59</v>
      </c>
      <c r="R760" t="s">
        <v>59</v>
      </c>
      <c r="S760" t="s">
        <v>59</v>
      </c>
      <c r="T760" t="s">
        <v>59</v>
      </c>
      <c r="U760" t="s">
        <v>59</v>
      </c>
      <c r="V760" t="s">
        <v>59</v>
      </c>
      <c r="W760" t="s">
        <v>59</v>
      </c>
      <c r="X760" t="s">
        <v>59</v>
      </c>
      <c r="Y760" t="s">
        <v>59</v>
      </c>
      <c r="Z760" t="s">
        <v>59</v>
      </c>
      <c r="AA760" t="s">
        <v>59</v>
      </c>
      <c r="AB760" t="s">
        <v>59</v>
      </c>
      <c r="AC760" t="s">
        <v>59</v>
      </c>
      <c r="AD760" t="s">
        <v>61</v>
      </c>
      <c r="AE760" t="s">
        <v>59</v>
      </c>
      <c r="AF760" t="s">
        <v>59</v>
      </c>
      <c r="AG760" t="s">
        <v>59</v>
      </c>
      <c r="AH760" t="s">
        <v>61</v>
      </c>
      <c r="AI760" t="s">
        <v>61</v>
      </c>
      <c r="AJ760" t="s">
        <v>59</v>
      </c>
      <c r="AK760" t="s">
        <v>59</v>
      </c>
      <c r="AL760" t="s">
        <v>59</v>
      </c>
      <c r="AM760" t="s">
        <v>59</v>
      </c>
      <c r="AN760" t="s">
        <v>59</v>
      </c>
      <c r="AO760" t="s">
        <v>59</v>
      </c>
      <c r="AP760" t="s">
        <v>704</v>
      </c>
      <c r="AQ760" t="s">
        <v>1850</v>
      </c>
      <c r="AR760" t="s">
        <v>226</v>
      </c>
      <c r="AS760" t="s">
        <v>249</v>
      </c>
      <c r="AT760" t="s">
        <v>249</v>
      </c>
      <c r="AU760" t="s">
        <v>219</v>
      </c>
      <c r="AW760" s="4">
        <f t="shared" si="388"/>
        <v>6</v>
      </c>
      <c r="AX760" s="4">
        <f t="shared" si="389"/>
        <v>4</v>
      </c>
      <c r="AY760" s="4">
        <f t="shared" si="390"/>
        <v>4</v>
      </c>
      <c r="AZ760" s="4">
        <f t="shared" si="391"/>
        <v>2</v>
      </c>
      <c r="BA760" s="4">
        <f t="shared" si="392"/>
        <v>4</v>
      </c>
      <c r="BB760" s="4">
        <f t="shared" si="393"/>
        <v>4</v>
      </c>
      <c r="BC760" s="4">
        <f t="shared" si="394"/>
        <v>4</v>
      </c>
      <c r="BD760" s="4">
        <f t="shared" si="395"/>
        <v>2</v>
      </c>
      <c r="BE760" s="4">
        <f t="shared" si="396"/>
        <v>4</v>
      </c>
      <c r="BF760" s="4">
        <f t="shared" si="397"/>
        <v>2</v>
      </c>
      <c r="BG760" s="4">
        <f t="shared" si="398"/>
        <v>4</v>
      </c>
      <c r="BH760" s="4">
        <f t="shared" si="399"/>
        <v>4</v>
      </c>
      <c r="BI760" s="4">
        <f t="shared" si="400"/>
        <v>4</v>
      </c>
      <c r="BJ760" s="4">
        <f t="shared" si="401"/>
        <v>2</v>
      </c>
      <c r="BK760" s="4">
        <f t="shared" si="402"/>
        <v>4</v>
      </c>
      <c r="BL760" s="4">
        <f t="shared" si="403"/>
        <v>2</v>
      </c>
      <c r="BM760" s="4">
        <f t="shared" si="404"/>
        <v>4</v>
      </c>
      <c r="BN760" s="4">
        <f t="shared" si="405"/>
        <v>4</v>
      </c>
      <c r="BO760" s="4">
        <f t="shared" si="406"/>
        <v>4</v>
      </c>
      <c r="BP760" s="4">
        <f t="shared" si="407"/>
        <v>4</v>
      </c>
      <c r="BQ760" s="4">
        <f t="shared" si="408"/>
        <v>6</v>
      </c>
      <c r="BR760" s="4">
        <f t="shared" si="409"/>
        <v>4</v>
      </c>
      <c r="BS760" s="4">
        <f t="shared" si="410"/>
        <v>4</v>
      </c>
      <c r="BT760" s="4">
        <f t="shared" si="411"/>
        <v>4</v>
      </c>
      <c r="BU760" s="4">
        <f t="shared" si="412"/>
        <v>4</v>
      </c>
      <c r="BV760" s="4">
        <f t="shared" si="413"/>
        <v>0</v>
      </c>
      <c r="BW760" s="4">
        <f t="shared" si="414"/>
        <v>6</v>
      </c>
      <c r="BX760" s="4">
        <f t="shared" si="415"/>
        <v>0</v>
      </c>
      <c r="BY760" s="4">
        <f t="shared" si="416"/>
        <v>0</v>
      </c>
      <c r="BZ760" s="37">
        <f t="shared" si="417"/>
        <v>100</v>
      </c>
      <c r="CA760" s="32" t="str">
        <f>VLOOKUP(J:J,'Agent wise'!A:C,3,0)</f>
        <v>Amal</v>
      </c>
      <c r="CB760" s="32">
        <f t="shared" si="418"/>
        <v>45944</v>
      </c>
      <c r="CC760" t="str">
        <f t="shared" si="419"/>
        <v>Excellent</v>
      </c>
      <c r="CE760" s="32"/>
      <c r="CJ760">
        <f t="shared" si="420"/>
        <v>14</v>
      </c>
      <c r="CK760">
        <f t="shared" si="421"/>
        <v>10</v>
      </c>
      <c r="CL760">
        <f t="shared" si="422"/>
        <v>2025</v>
      </c>
    </row>
    <row r="761" spans="1:90" ht="15" customHeight="1" x14ac:dyDescent="0.35">
      <c r="A761" t="s">
        <v>1851</v>
      </c>
      <c r="B761" t="s">
        <v>698</v>
      </c>
      <c r="C761" t="s">
        <v>214</v>
      </c>
      <c r="D761" t="s">
        <v>221</v>
      </c>
      <c r="E761" s="32">
        <v>45944</v>
      </c>
      <c r="F761" t="s">
        <v>222</v>
      </c>
      <c r="G761" t="s">
        <v>1749</v>
      </c>
      <c r="H761">
        <v>8903459759</v>
      </c>
      <c r="I761">
        <v>189</v>
      </c>
      <c r="J761" t="s">
        <v>420</v>
      </c>
      <c r="K761" t="s">
        <v>71</v>
      </c>
      <c r="L761" t="s">
        <v>72</v>
      </c>
      <c r="M761" t="s">
        <v>59</v>
      </c>
      <c r="N761" t="s">
        <v>59</v>
      </c>
      <c r="O761" t="s">
        <v>59</v>
      </c>
      <c r="P761" t="s">
        <v>59</v>
      </c>
      <c r="Q761" t="s">
        <v>59</v>
      </c>
      <c r="R761" t="s">
        <v>59</v>
      </c>
      <c r="S761" t="s">
        <v>59</v>
      </c>
      <c r="T761" t="s">
        <v>59</v>
      </c>
      <c r="U761" t="s">
        <v>59</v>
      </c>
      <c r="V761" t="s">
        <v>59</v>
      </c>
      <c r="W761" t="s">
        <v>59</v>
      </c>
      <c r="X761" t="s">
        <v>59</v>
      </c>
      <c r="Y761" t="s">
        <v>59</v>
      </c>
      <c r="Z761" t="s">
        <v>59</v>
      </c>
      <c r="AA761" t="s">
        <v>59</v>
      </c>
      <c r="AB761" t="s">
        <v>59</v>
      </c>
      <c r="AC761" t="s">
        <v>59</v>
      </c>
      <c r="AD761" t="s">
        <v>59</v>
      </c>
      <c r="AE761" t="s">
        <v>59</v>
      </c>
      <c r="AF761" t="s">
        <v>59</v>
      </c>
      <c r="AG761" t="s">
        <v>59</v>
      </c>
      <c r="AH761" t="s">
        <v>61</v>
      </c>
      <c r="AI761" t="s">
        <v>59</v>
      </c>
      <c r="AJ761" t="s">
        <v>59</v>
      </c>
      <c r="AK761" t="s">
        <v>59</v>
      </c>
      <c r="AL761" t="s">
        <v>59</v>
      </c>
      <c r="AM761" t="s">
        <v>59</v>
      </c>
      <c r="AN761" t="s">
        <v>59</v>
      </c>
      <c r="AO761" t="s">
        <v>59</v>
      </c>
      <c r="AP761" t="s">
        <v>228</v>
      </c>
      <c r="AQ761" t="s">
        <v>960</v>
      </c>
      <c r="AR761" t="s">
        <v>226</v>
      </c>
      <c r="AS761" t="s">
        <v>249</v>
      </c>
      <c r="AT761" t="s">
        <v>249</v>
      </c>
      <c r="AU761" t="s">
        <v>219</v>
      </c>
      <c r="AW761" s="4">
        <f t="shared" si="388"/>
        <v>6</v>
      </c>
      <c r="AX761" s="4">
        <f t="shared" si="389"/>
        <v>4</v>
      </c>
      <c r="AY761" s="4">
        <f t="shared" si="390"/>
        <v>4</v>
      </c>
      <c r="AZ761" s="4">
        <f t="shared" si="391"/>
        <v>2</v>
      </c>
      <c r="BA761" s="4">
        <f t="shared" si="392"/>
        <v>4</v>
      </c>
      <c r="BB761" s="4">
        <f t="shared" si="393"/>
        <v>4</v>
      </c>
      <c r="BC761" s="4">
        <f t="shared" si="394"/>
        <v>4</v>
      </c>
      <c r="BD761" s="4">
        <f t="shared" si="395"/>
        <v>2</v>
      </c>
      <c r="BE761" s="4">
        <f t="shared" si="396"/>
        <v>4</v>
      </c>
      <c r="BF761" s="4">
        <f t="shared" si="397"/>
        <v>2</v>
      </c>
      <c r="BG761" s="4">
        <f t="shared" si="398"/>
        <v>4</v>
      </c>
      <c r="BH761" s="4">
        <f t="shared" si="399"/>
        <v>4</v>
      </c>
      <c r="BI761" s="4">
        <f t="shared" si="400"/>
        <v>4</v>
      </c>
      <c r="BJ761" s="4">
        <f t="shared" si="401"/>
        <v>2</v>
      </c>
      <c r="BK761" s="4">
        <f t="shared" si="402"/>
        <v>4</v>
      </c>
      <c r="BL761" s="4">
        <f t="shared" si="403"/>
        <v>2</v>
      </c>
      <c r="BM761" s="4">
        <f t="shared" si="404"/>
        <v>4</v>
      </c>
      <c r="BN761" s="4">
        <f t="shared" si="405"/>
        <v>4</v>
      </c>
      <c r="BO761" s="4">
        <f t="shared" si="406"/>
        <v>4</v>
      </c>
      <c r="BP761" s="4">
        <f t="shared" si="407"/>
        <v>4</v>
      </c>
      <c r="BQ761" s="4">
        <f t="shared" si="408"/>
        <v>6</v>
      </c>
      <c r="BR761" s="4">
        <f t="shared" si="409"/>
        <v>4</v>
      </c>
      <c r="BS761" s="4">
        <f t="shared" si="410"/>
        <v>4</v>
      </c>
      <c r="BT761" s="4">
        <f t="shared" si="411"/>
        <v>4</v>
      </c>
      <c r="BU761" s="4">
        <f t="shared" si="412"/>
        <v>4</v>
      </c>
      <c r="BV761" s="4">
        <f t="shared" si="413"/>
        <v>0</v>
      </c>
      <c r="BW761" s="4">
        <f t="shared" si="414"/>
        <v>6</v>
      </c>
      <c r="BX761" s="4">
        <f t="shared" si="415"/>
        <v>0</v>
      </c>
      <c r="BY761" s="4">
        <f t="shared" si="416"/>
        <v>0</v>
      </c>
      <c r="BZ761" s="37">
        <f t="shared" si="417"/>
        <v>100</v>
      </c>
      <c r="CA761" s="32" t="str">
        <f>VLOOKUP(J:J,'Agent wise'!A:C,3,0)</f>
        <v>Amal</v>
      </c>
      <c r="CB761" s="32">
        <f t="shared" si="418"/>
        <v>45944</v>
      </c>
      <c r="CC761" t="str">
        <f t="shared" si="419"/>
        <v>Excellent</v>
      </c>
      <c r="CE761" s="32"/>
      <c r="CJ761">
        <f t="shared" si="420"/>
        <v>14</v>
      </c>
      <c r="CK761">
        <f t="shared" si="421"/>
        <v>10</v>
      </c>
      <c r="CL761">
        <f t="shared" si="422"/>
        <v>2025</v>
      </c>
    </row>
    <row r="762" spans="1:90" ht="15" customHeight="1" x14ac:dyDescent="0.35">
      <c r="A762" t="s">
        <v>1852</v>
      </c>
      <c r="B762" t="s">
        <v>698</v>
      </c>
      <c r="C762" t="s">
        <v>214</v>
      </c>
      <c r="D762" t="s">
        <v>221</v>
      </c>
      <c r="E762" s="32">
        <v>45944</v>
      </c>
      <c r="F762" t="s">
        <v>222</v>
      </c>
      <c r="G762" t="s">
        <v>1749</v>
      </c>
      <c r="H762">
        <v>9746752560</v>
      </c>
      <c r="I762">
        <v>164</v>
      </c>
      <c r="J762" t="s">
        <v>420</v>
      </c>
      <c r="K762" t="s">
        <v>57</v>
      </c>
      <c r="L762" t="s">
        <v>58</v>
      </c>
      <c r="M762" t="s">
        <v>59</v>
      </c>
      <c r="N762" t="s">
        <v>59</v>
      </c>
      <c r="O762" t="s">
        <v>59</v>
      </c>
      <c r="P762" t="s">
        <v>59</v>
      </c>
      <c r="Q762" t="s">
        <v>59</v>
      </c>
      <c r="R762" t="s">
        <v>59</v>
      </c>
      <c r="S762" t="s">
        <v>59</v>
      </c>
      <c r="T762" t="s">
        <v>59</v>
      </c>
      <c r="U762" t="s">
        <v>59</v>
      </c>
      <c r="V762" t="s">
        <v>59</v>
      </c>
      <c r="W762" t="s">
        <v>59</v>
      </c>
      <c r="X762" t="s">
        <v>59</v>
      </c>
      <c r="Y762" t="s">
        <v>59</v>
      </c>
      <c r="Z762" t="s">
        <v>59</v>
      </c>
      <c r="AA762" t="s">
        <v>59</v>
      </c>
      <c r="AB762" t="s">
        <v>59</v>
      </c>
      <c r="AC762" t="s">
        <v>59</v>
      </c>
      <c r="AD762" t="s">
        <v>59</v>
      </c>
      <c r="AE762" t="s">
        <v>59</v>
      </c>
      <c r="AF762" t="s">
        <v>59</v>
      </c>
      <c r="AG762" t="s">
        <v>59</v>
      </c>
      <c r="AH762" t="s">
        <v>61</v>
      </c>
      <c r="AI762" t="s">
        <v>59</v>
      </c>
      <c r="AJ762" t="s">
        <v>59</v>
      </c>
      <c r="AK762" t="s">
        <v>59</v>
      </c>
      <c r="AL762" t="s">
        <v>59</v>
      </c>
      <c r="AM762" t="s">
        <v>59</v>
      </c>
      <c r="AN762" t="s">
        <v>59</v>
      </c>
      <c r="AO762" t="s">
        <v>59</v>
      </c>
      <c r="AP762" t="s">
        <v>810</v>
      </c>
      <c r="AQ762" t="s">
        <v>700</v>
      </c>
      <c r="AR762" t="s">
        <v>226</v>
      </c>
      <c r="AS762" t="s">
        <v>405</v>
      </c>
      <c r="AT762" t="s">
        <v>405</v>
      </c>
      <c r="AU762" t="s">
        <v>219</v>
      </c>
      <c r="AW762" s="4">
        <f t="shared" si="388"/>
        <v>6</v>
      </c>
      <c r="AX762" s="4">
        <f t="shared" si="389"/>
        <v>4</v>
      </c>
      <c r="AY762" s="4">
        <f t="shared" si="390"/>
        <v>4</v>
      </c>
      <c r="AZ762" s="4">
        <f t="shared" si="391"/>
        <v>2</v>
      </c>
      <c r="BA762" s="4">
        <f t="shared" si="392"/>
        <v>4</v>
      </c>
      <c r="BB762" s="4">
        <f t="shared" si="393"/>
        <v>4</v>
      </c>
      <c r="BC762" s="4">
        <f t="shared" si="394"/>
        <v>4</v>
      </c>
      <c r="BD762" s="4">
        <f t="shared" si="395"/>
        <v>2</v>
      </c>
      <c r="BE762" s="4">
        <f t="shared" si="396"/>
        <v>4</v>
      </c>
      <c r="BF762" s="4">
        <f t="shared" si="397"/>
        <v>2</v>
      </c>
      <c r="BG762" s="4">
        <f t="shared" si="398"/>
        <v>4</v>
      </c>
      <c r="BH762" s="4">
        <f t="shared" si="399"/>
        <v>4</v>
      </c>
      <c r="BI762" s="4">
        <f t="shared" si="400"/>
        <v>4</v>
      </c>
      <c r="BJ762" s="4">
        <f t="shared" si="401"/>
        <v>2</v>
      </c>
      <c r="BK762" s="4">
        <f t="shared" si="402"/>
        <v>4</v>
      </c>
      <c r="BL762" s="4">
        <f t="shared" si="403"/>
        <v>2</v>
      </c>
      <c r="BM762" s="4">
        <f t="shared" si="404"/>
        <v>4</v>
      </c>
      <c r="BN762" s="4">
        <f t="shared" si="405"/>
        <v>4</v>
      </c>
      <c r="BO762" s="4">
        <f t="shared" si="406"/>
        <v>4</v>
      </c>
      <c r="BP762" s="4">
        <f t="shared" si="407"/>
        <v>4</v>
      </c>
      <c r="BQ762" s="4">
        <f t="shared" si="408"/>
        <v>6</v>
      </c>
      <c r="BR762" s="4">
        <f t="shared" si="409"/>
        <v>4</v>
      </c>
      <c r="BS762" s="4">
        <f t="shared" si="410"/>
        <v>4</v>
      </c>
      <c r="BT762" s="4">
        <f t="shared" si="411"/>
        <v>4</v>
      </c>
      <c r="BU762" s="4">
        <f t="shared" si="412"/>
        <v>4</v>
      </c>
      <c r="BV762" s="4">
        <f t="shared" si="413"/>
        <v>0</v>
      </c>
      <c r="BW762" s="4">
        <f t="shared" si="414"/>
        <v>6</v>
      </c>
      <c r="BX762" s="4">
        <f t="shared" si="415"/>
        <v>0</v>
      </c>
      <c r="BY762" s="4">
        <f t="shared" si="416"/>
        <v>0</v>
      </c>
      <c r="BZ762" s="37">
        <f t="shared" si="417"/>
        <v>100</v>
      </c>
      <c r="CA762" s="32" t="str">
        <f>VLOOKUP(J:J,'Agent wise'!A:C,3,0)</f>
        <v>Amal</v>
      </c>
      <c r="CB762" s="32">
        <f t="shared" si="418"/>
        <v>45944</v>
      </c>
      <c r="CC762" t="str">
        <f t="shared" si="419"/>
        <v>Excellent</v>
      </c>
      <c r="CE762" s="32"/>
      <c r="CJ762">
        <f t="shared" si="420"/>
        <v>14</v>
      </c>
      <c r="CK762">
        <f t="shared" si="421"/>
        <v>10</v>
      </c>
      <c r="CL762">
        <f t="shared" si="422"/>
        <v>2025</v>
      </c>
    </row>
    <row r="763" spans="1:90" ht="15" customHeight="1" x14ac:dyDescent="0.35">
      <c r="A763" t="s">
        <v>1853</v>
      </c>
      <c r="B763" t="s">
        <v>698</v>
      </c>
      <c r="C763" t="s">
        <v>214</v>
      </c>
      <c r="D763" t="s">
        <v>221</v>
      </c>
      <c r="E763" s="32">
        <v>45944</v>
      </c>
      <c r="F763" t="s">
        <v>222</v>
      </c>
      <c r="G763" t="s">
        <v>1749</v>
      </c>
      <c r="H763">
        <v>9150005527</v>
      </c>
      <c r="I763">
        <v>157</v>
      </c>
      <c r="J763" t="s">
        <v>391</v>
      </c>
      <c r="K763" t="s">
        <v>71</v>
      </c>
      <c r="L763" t="s">
        <v>72</v>
      </c>
      <c r="M763" t="s">
        <v>59</v>
      </c>
      <c r="N763" t="s">
        <v>59</v>
      </c>
      <c r="O763" t="s">
        <v>59</v>
      </c>
      <c r="P763" t="s">
        <v>59</v>
      </c>
      <c r="Q763" t="s">
        <v>59</v>
      </c>
      <c r="R763" t="s">
        <v>59</v>
      </c>
      <c r="S763" t="s">
        <v>59</v>
      </c>
      <c r="T763" t="s">
        <v>59</v>
      </c>
      <c r="U763" t="s">
        <v>59</v>
      </c>
      <c r="V763" t="s">
        <v>59</v>
      </c>
      <c r="W763" t="s">
        <v>59</v>
      </c>
      <c r="X763" t="s">
        <v>59</v>
      </c>
      <c r="Y763" t="s">
        <v>59</v>
      </c>
      <c r="Z763" t="s">
        <v>59</v>
      </c>
      <c r="AA763" t="s">
        <v>60</v>
      </c>
      <c r="AB763" t="s">
        <v>59</v>
      </c>
      <c r="AC763" t="s">
        <v>59</v>
      </c>
      <c r="AD763" t="s">
        <v>59</v>
      </c>
      <c r="AE763" t="s">
        <v>59</v>
      </c>
      <c r="AF763" t="s">
        <v>60</v>
      </c>
      <c r="AG763" t="s">
        <v>59</v>
      </c>
      <c r="AH763" t="s">
        <v>60</v>
      </c>
      <c r="AI763" t="s">
        <v>61</v>
      </c>
      <c r="AJ763" t="s">
        <v>59</v>
      </c>
      <c r="AK763" t="s">
        <v>59</v>
      </c>
      <c r="AL763" t="s">
        <v>60</v>
      </c>
      <c r="AM763" t="s">
        <v>59</v>
      </c>
      <c r="AN763" t="s">
        <v>59</v>
      </c>
      <c r="AO763" t="s">
        <v>59</v>
      </c>
      <c r="AP763" s="1" t="s">
        <v>1854</v>
      </c>
      <c r="AQ763" t="s">
        <v>1855</v>
      </c>
      <c r="AR763" t="s">
        <v>64</v>
      </c>
      <c r="AS763" t="s">
        <v>249</v>
      </c>
      <c r="AT763" t="s">
        <v>249</v>
      </c>
      <c r="AU763" t="s">
        <v>219</v>
      </c>
      <c r="AW763" s="4">
        <f t="shared" si="388"/>
        <v>6</v>
      </c>
      <c r="AX763" s="4">
        <f t="shared" si="389"/>
        <v>4</v>
      </c>
      <c r="AY763" s="4">
        <f t="shared" si="390"/>
        <v>4</v>
      </c>
      <c r="AZ763" s="4">
        <f t="shared" si="391"/>
        <v>2</v>
      </c>
      <c r="BA763" s="4">
        <f t="shared" si="392"/>
        <v>4</v>
      </c>
      <c r="BB763" s="4">
        <f t="shared" si="393"/>
        <v>4</v>
      </c>
      <c r="BC763" s="4">
        <f t="shared" si="394"/>
        <v>4</v>
      </c>
      <c r="BD763" s="4">
        <f t="shared" si="395"/>
        <v>2</v>
      </c>
      <c r="BE763" s="4">
        <f t="shared" si="396"/>
        <v>4</v>
      </c>
      <c r="BF763" s="4">
        <f t="shared" si="397"/>
        <v>2</v>
      </c>
      <c r="BG763" s="4">
        <f t="shared" si="398"/>
        <v>4</v>
      </c>
      <c r="BH763" s="4">
        <f t="shared" si="399"/>
        <v>4</v>
      </c>
      <c r="BI763" s="4">
        <f t="shared" si="400"/>
        <v>4</v>
      </c>
      <c r="BJ763" s="4">
        <f t="shared" si="401"/>
        <v>2</v>
      </c>
      <c r="BK763" s="4" t="str">
        <f t="shared" si="402"/>
        <v>0</v>
      </c>
      <c r="BL763" s="4">
        <f t="shared" si="403"/>
        <v>2</v>
      </c>
      <c r="BM763" s="4">
        <f t="shared" si="404"/>
        <v>4</v>
      </c>
      <c r="BN763" s="4">
        <f t="shared" si="405"/>
        <v>4</v>
      </c>
      <c r="BO763" s="4">
        <f t="shared" si="406"/>
        <v>4</v>
      </c>
      <c r="BP763" s="4" t="str">
        <f t="shared" si="407"/>
        <v>0</v>
      </c>
      <c r="BQ763" s="4">
        <f t="shared" si="408"/>
        <v>6</v>
      </c>
      <c r="BR763" s="4" t="str">
        <f t="shared" si="409"/>
        <v>0</v>
      </c>
      <c r="BS763" s="4">
        <f t="shared" si="410"/>
        <v>4</v>
      </c>
      <c r="BT763" s="4">
        <f t="shared" si="411"/>
        <v>4</v>
      </c>
      <c r="BU763" s="4">
        <f t="shared" si="412"/>
        <v>4</v>
      </c>
      <c r="BV763" s="4" t="str">
        <f t="shared" si="413"/>
        <v>0</v>
      </c>
      <c r="BW763" s="4">
        <f t="shared" si="414"/>
        <v>6</v>
      </c>
      <c r="BX763" s="4">
        <f t="shared" si="415"/>
        <v>0</v>
      </c>
      <c r="BY763" s="4">
        <f t="shared" si="416"/>
        <v>0</v>
      </c>
      <c r="BZ763" s="37">
        <f t="shared" si="417"/>
        <v>88</v>
      </c>
      <c r="CA763" s="32" t="str">
        <f>VLOOKUP(J:J,'Agent wise'!A:C,3,0)</f>
        <v>Amal</v>
      </c>
      <c r="CB763" s="32">
        <f t="shared" si="418"/>
        <v>45944</v>
      </c>
      <c r="CC763" t="str">
        <f t="shared" si="419"/>
        <v>Average</v>
      </c>
      <c r="CE763" s="32"/>
      <c r="CJ763">
        <f t="shared" si="420"/>
        <v>14</v>
      </c>
      <c r="CK763">
        <f t="shared" si="421"/>
        <v>10</v>
      </c>
      <c r="CL763">
        <f t="shared" si="422"/>
        <v>2025</v>
      </c>
    </row>
    <row r="764" spans="1:90" ht="15" customHeight="1" x14ac:dyDescent="0.35">
      <c r="A764" t="s">
        <v>1856</v>
      </c>
      <c r="B764" t="s">
        <v>106</v>
      </c>
      <c r="C764" t="s">
        <v>214</v>
      </c>
      <c r="D764" t="s">
        <v>107</v>
      </c>
      <c r="E764" s="32">
        <v>45944</v>
      </c>
      <c r="F764" t="s">
        <v>54</v>
      </c>
      <c r="G764" t="s">
        <v>1749</v>
      </c>
      <c r="H764">
        <v>9363049941</v>
      </c>
      <c r="I764">
        <v>154</v>
      </c>
      <c r="J764" t="s">
        <v>660</v>
      </c>
      <c r="K764" t="s">
        <v>71</v>
      </c>
      <c r="L764" t="s">
        <v>72</v>
      </c>
      <c r="M764" t="s">
        <v>59</v>
      </c>
      <c r="N764" t="s">
        <v>59</v>
      </c>
      <c r="O764" t="s">
        <v>60</v>
      </c>
      <c r="P764" t="s">
        <v>59</v>
      </c>
      <c r="Q764" t="s">
        <v>59</v>
      </c>
      <c r="R764" t="s">
        <v>59</v>
      </c>
      <c r="S764" t="s">
        <v>59</v>
      </c>
      <c r="T764" t="s">
        <v>59</v>
      </c>
      <c r="U764" t="s">
        <v>60</v>
      </c>
      <c r="V764" t="s">
        <v>59</v>
      </c>
      <c r="W764" t="s">
        <v>59</v>
      </c>
      <c r="X764" t="s">
        <v>61</v>
      </c>
      <c r="Y764" t="s">
        <v>59</v>
      </c>
      <c r="Z764" t="s">
        <v>59</v>
      </c>
      <c r="AA764" t="s">
        <v>59</v>
      </c>
      <c r="AB764" t="s">
        <v>59</v>
      </c>
      <c r="AC764" t="s">
        <v>61</v>
      </c>
      <c r="AD764" t="s">
        <v>59</v>
      </c>
      <c r="AE764" t="s">
        <v>59</v>
      </c>
      <c r="AF764" t="s">
        <v>61</v>
      </c>
      <c r="AG764" t="s">
        <v>59</v>
      </c>
      <c r="AH764" t="s">
        <v>61</v>
      </c>
      <c r="AI764" t="s">
        <v>61</v>
      </c>
      <c r="AJ764" t="s">
        <v>59</v>
      </c>
      <c r="AK764" t="s">
        <v>59</v>
      </c>
      <c r="AL764" t="s">
        <v>60</v>
      </c>
      <c r="AM764" t="s">
        <v>59</v>
      </c>
      <c r="AN764" t="s">
        <v>59</v>
      </c>
      <c r="AO764" t="s">
        <v>59</v>
      </c>
      <c r="AP764" t="s">
        <v>1857</v>
      </c>
      <c r="AQ764" t="s">
        <v>1858</v>
      </c>
      <c r="AR764" t="s">
        <v>64</v>
      </c>
      <c r="AS764" t="s">
        <v>111</v>
      </c>
      <c r="AT764" t="s">
        <v>112</v>
      </c>
      <c r="AU764" t="s">
        <v>219</v>
      </c>
      <c r="AW764" s="4">
        <f t="shared" si="388"/>
        <v>6</v>
      </c>
      <c r="AX764" s="4">
        <f t="shared" si="389"/>
        <v>4</v>
      </c>
      <c r="AY764" s="4" t="str">
        <f t="shared" si="390"/>
        <v>0</v>
      </c>
      <c r="AZ764" s="4">
        <f t="shared" si="391"/>
        <v>2</v>
      </c>
      <c r="BA764" s="4">
        <f t="shared" si="392"/>
        <v>4</v>
      </c>
      <c r="BB764" s="4">
        <f t="shared" si="393"/>
        <v>4</v>
      </c>
      <c r="BC764" s="4">
        <f t="shared" si="394"/>
        <v>4</v>
      </c>
      <c r="BD764" s="4">
        <f t="shared" si="395"/>
        <v>2</v>
      </c>
      <c r="BE764" s="4" t="str">
        <f t="shared" si="396"/>
        <v>0</v>
      </c>
      <c r="BF764" s="4">
        <f t="shared" si="397"/>
        <v>2</v>
      </c>
      <c r="BG764" s="4">
        <f t="shared" si="398"/>
        <v>4</v>
      </c>
      <c r="BH764" s="4">
        <f t="shared" si="399"/>
        <v>4</v>
      </c>
      <c r="BI764" s="4">
        <f t="shared" si="400"/>
        <v>4</v>
      </c>
      <c r="BJ764" s="4">
        <f t="shared" si="401"/>
        <v>2</v>
      </c>
      <c r="BK764" s="4">
        <f t="shared" si="402"/>
        <v>4</v>
      </c>
      <c r="BL764" s="4">
        <f t="shared" si="403"/>
        <v>2</v>
      </c>
      <c r="BM764" s="4">
        <f t="shared" si="404"/>
        <v>4</v>
      </c>
      <c r="BN764" s="4">
        <f t="shared" si="405"/>
        <v>4</v>
      </c>
      <c r="BO764" s="4">
        <f t="shared" si="406"/>
        <v>4</v>
      </c>
      <c r="BP764" s="4">
        <f t="shared" si="407"/>
        <v>4</v>
      </c>
      <c r="BQ764" s="4">
        <f t="shared" si="408"/>
        <v>6</v>
      </c>
      <c r="BR764" s="4">
        <f t="shared" si="409"/>
        <v>4</v>
      </c>
      <c r="BS764" s="4">
        <f t="shared" si="410"/>
        <v>4</v>
      </c>
      <c r="BT764" s="4">
        <f t="shared" si="411"/>
        <v>4</v>
      </c>
      <c r="BU764" s="4">
        <f t="shared" si="412"/>
        <v>4</v>
      </c>
      <c r="BV764" s="4" t="str">
        <f t="shared" si="413"/>
        <v>0</v>
      </c>
      <c r="BW764" s="4">
        <f t="shared" si="414"/>
        <v>6</v>
      </c>
      <c r="BX764" s="4">
        <f t="shared" si="415"/>
        <v>0</v>
      </c>
      <c r="BY764" s="4">
        <f t="shared" si="416"/>
        <v>0</v>
      </c>
      <c r="BZ764" s="37">
        <f t="shared" si="417"/>
        <v>92</v>
      </c>
      <c r="CA764" s="32" t="str">
        <f>VLOOKUP(J:J,'Agent wise'!A:C,3,0)</f>
        <v>Adharsh</v>
      </c>
      <c r="CB764" s="32">
        <f t="shared" si="418"/>
        <v>45944</v>
      </c>
      <c r="CC764" t="str">
        <f t="shared" si="419"/>
        <v>Good</v>
      </c>
      <c r="CE764" s="32"/>
      <c r="CJ764">
        <f t="shared" si="420"/>
        <v>14</v>
      </c>
      <c r="CK764">
        <f t="shared" si="421"/>
        <v>10</v>
      </c>
      <c r="CL764">
        <f t="shared" si="422"/>
        <v>2025</v>
      </c>
    </row>
    <row r="765" spans="1:90" ht="15" customHeight="1" x14ac:dyDescent="0.35">
      <c r="A765" t="s">
        <v>1859</v>
      </c>
      <c r="B765" t="s">
        <v>106</v>
      </c>
      <c r="C765" t="s">
        <v>214</v>
      </c>
      <c r="D765" t="s">
        <v>107</v>
      </c>
      <c r="E765" s="32">
        <v>45944</v>
      </c>
      <c r="F765" t="s">
        <v>54</v>
      </c>
      <c r="G765" t="s">
        <v>1749</v>
      </c>
      <c r="H765">
        <v>8608990550</v>
      </c>
      <c r="I765">
        <v>103</v>
      </c>
      <c r="J765" t="s">
        <v>660</v>
      </c>
      <c r="K765" t="s">
        <v>71</v>
      </c>
      <c r="L765" t="s">
        <v>72</v>
      </c>
      <c r="M765" t="s">
        <v>59</v>
      </c>
      <c r="N765" t="s">
        <v>59</v>
      </c>
      <c r="O765" t="s">
        <v>60</v>
      </c>
      <c r="P765" t="s">
        <v>59</v>
      </c>
      <c r="Q765" t="s">
        <v>59</v>
      </c>
      <c r="R765" t="s">
        <v>59</v>
      </c>
      <c r="S765" t="s">
        <v>59</v>
      </c>
      <c r="T765" t="s">
        <v>59</v>
      </c>
      <c r="U765" t="s">
        <v>60</v>
      </c>
      <c r="V765" t="s">
        <v>59</v>
      </c>
      <c r="W765" t="s">
        <v>59</v>
      </c>
      <c r="X765" t="s">
        <v>61</v>
      </c>
      <c r="Y765" t="s">
        <v>59</v>
      </c>
      <c r="Z765" t="s">
        <v>59</v>
      </c>
      <c r="AA765" t="s">
        <v>59</v>
      </c>
      <c r="AB765" t="s">
        <v>59</v>
      </c>
      <c r="AC765" t="s">
        <v>61</v>
      </c>
      <c r="AD765" t="s">
        <v>61</v>
      </c>
      <c r="AE765" t="s">
        <v>59</v>
      </c>
      <c r="AF765" t="s">
        <v>61</v>
      </c>
      <c r="AG765" t="s">
        <v>59</v>
      </c>
      <c r="AH765" t="s">
        <v>61</v>
      </c>
      <c r="AI765" t="s">
        <v>59</v>
      </c>
      <c r="AJ765" t="s">
        <v>59</v>
      </c>
      <c r="AK765" t="s">
        <v>59</v>
      </c>
      <c r="AL765" t="s">
        <v>60</v>
      </c>
      <c r="AM765" t="s">
        <v>59</v>
      </c>
      <c r="AN765" t="s">
        <v>59</v>
      </c>
      <c r="AO765" t="s">
        <v>59</v>
      </c>
      <c r="AP765" t="s">
        <v>1857</v>
      </c>
      <c r="AQ765" t="s">
        <v>830</v>
      </c>
      <c r="AR765" t="s">
        <v>64</v>
      </c>
      <c r="AS765" t="s">
        <v>122</v>
      </c>
      <c r="AT765" t="s">
        <v>123</v>
      </c>
      <c r="AU765" t="s">
        <v>219</v>
      </c>
      <c r="AW765" s="4">
        <f t="shared" si="388"/>
        <v>6</v>
      </c>
      <c r="AX765" s="4">
        <f t="shared" si="389"/>
        <v>4</v>
      </c>
      <c r="AY765" s="4" t="str">
        <f t="shared" si="390"/>
        <v>0</v>
      </c>
      <c r="AZ765" s="4">
        <f t="shared" si="391"/>
        <v>2</v>
      </c>
      <c r="BA765" s="4">
        <f t="shared" si="392"/>
        <v>4</v>
      </c>
      <c r="BB765" s="4">
        <f t="shared" si="393"/>
        <v>4</v>
      </c>
      <c r="BC765" s="4">
        <f t="shared" si="394"/>
        <v>4</v>
      </c>
      <c r="BD765" s="4">
        <f t="shared" si="395"/>
        <v>2</v>
      </c>
      <c r="BE765" s="4" t="str">
        <f t="shared" si="396"/>
        <v>0</v>
      </c>
      <c r="BF765" s="4">
        <f t="shared" si="397"/>
        <v>2</v>
      </c>
      <c r="BG765" s="4">
        <f t="shared" si="398"/>
        <v>4</v>
      </c>
      <c r="BH765" s="4">
        <f t="shared" si="399"/>
        <v>4</v>
      </c>
      <c r="BI765" s="4">
        <f t="shared" si="400"/>
        <v>4</v>
      </c>
      <c r="BJ765" s="4">
        <f t="shared" si="401"/>
        <v>2</v>
      </c>
      <c r="BK765" s="4">
        <f t="shared" si="402"/>
        <v>4</v>
      </c>
      <c r="BL765" s="4">
        <f t="shared" si="403"/>
        <v>2</v>
      </c>
      <c r="BM765" s="4">
        <f t="shared" si="404"/>
        <v>4</v>
      </c>
      <c r="BN765" s="4">
        <f t="shared" si="405"/>
        <v>4</v>
      </c>
      <c r="BO765" s="4">
        <f t="shared" si="406"/>
        <v>4</v>
      </c>
      <c r="BP765" s="4">
        <f t="shared" si="407"/>
        <v>4</v>
      </c>
      <c r="BQ765" s="4">
        <f t="shared" si="408"/>
        <v>6</v>
      </c>
      <c r="BR765" s="4">
        <f t="shared" si="409"/>
        <v>4</v>
      </c>
      <c r="BS765" s="4">
        <f t="shared" si="410"/>
        <v>4</v>
      </c>
      <c r="BT765" s="4">
        <f t="shared" si="411"/>
        <v>4</v>
      </c>
      <c r="BU765" s="4">
        <f t="shared" si="412"/>
        <v>4</v>
      </c>
      <c r="BV765" s="4" t="str">
        <f t="shared" si="413"/>
        <v>0</v>
      </c>
      <c r="BW765" s="4">
        <f t="shared" si="414"/>
        <v>6</v>
      </c>
      <c r="BX765" s="4">
        <f t="shared" si="415"/>
        <v>0</v>
      </c>
      <c r="BY765" s="4">
        <f t="shared" si="416"/>
        <v>0</v>
      </c>
      <c r="BZ765" s="37">
        <f t="shared" si="417"/>
        <v>92</v>
      </c>
      <c r="CA765" s="32" t="str">
        <f>VLOOKUP(J:J,'Agent wise'!A:C,3,0)</f>
        <v>Adharsh</v>
      </c>
      <c r="CB765" s="32">
        <f t="shared" si="418"/>
        <v>45944</v>
      </c>
      <c r="CC765" t="str">
        <f t="shared" si="419"/>
        <v>Good</v>
      </c>
      <c r="CE765" s="32"/>
      <c r="CJ765">
        <f t="shared" si="420"/>
        <v>14</v>
      </c>
      <c r="CK765">
        <f t="shared" si="421"/>
        <v>10</v>
      </c>
      <c r="CL765">
        <f t="shared" si="422"/>
        <v>2025</v>
      </c>
    </row>
    <row r="766" spans="1:90" ht="15" customHeight="1" x14ac:dyDescent="0.35">
      <c r="A766" t="s">
        <v>1860</v>
      </c>
      <c r="B766" t="s">
        <v>106</v>
      </c>
      <c r="C766" t="s">
        <v>214</v>
      </c>
      <c r="D766" t="s">
        <v>107</v>
      </c>
      <c r="E766" s="32">
        <v>45944</v>
      </c>
      <c r="F766" t="s">
        <v>54</v>
      </c>
      <c r="G766" t="s">
        <v>1749</v>
      </c>
      <c r="H766">
        <v>9446317629</v>
      </c>
      <c r="I766">
        <v>147</v>
      </c>
      <c r="J766" t="s">
        <v>464</v>
      </c>
      <c r="K766" t="s">
        <v>57</v>
      </c>
      <c r="L766" t="s">
        <v>58</v>
      </c>
      <c r="M766" t="s">
        <v>59</v>
      </c>
      <c r="N766" t="s">
        <v>59</v>
      </c>
      <c r="O766" t="s">
        <v>59</v>
      </c>
      <c r="P766" t="s">
        <v>59</v>
      </c>
      <c r="Q766" t="s">
        <v>59</v>
      </c>
      <c r="R766" t="s">
        <v>59</v>
      </c>
      <c r="S766" t="s">
        <v>59</v>
      </c>
      <c r="T766" t="s">
        <v>59</v>
      </c>
      <c r="U766" t="s">
        <v>60</v>
      </c>
      <c r="V766" t="s">
        <v>59</v>
      </c>
      <c r="W766" t="s">
        <v>59</v>
      </c>
      <c r="X766" t="s">
        <v>61</v>
      </c>
      <c r="Y766" t="s">
        <v>59</v>
      </c>
      <c r="Z766" t="s">
        <v>60</v>
      </c>
      <c r="AA766" t="s">
        <v>59</v>
      </c>
      <c r="AB766" t="s">
        <v>61</v>
      </c>
      <c r="AC766" t="s">
        <v>61</v>
      </c>
      <c r="AD766" t="s">
        <v>59</v>
      </c>
      <c r="AE766" t="s">
        <v>59</v>
      </c>
      <c r="AF766" t="s">
        <v>61</v>
      </c>
      <c r="AG766" t="s">
        <v>59</v>
      </c>
      <c r="AH766" t="s">
        <v>61</v>
      </c>
      <c r="AI766" t="s">
        <v>61</v>
      </c>
      <c r="AJ766" t="s">
        <v>59</v>
      </c>
      <c r="AK766" t="s">
        <v>59</v>
      </c>
      <c r="AL766" t="s">
        <v>59</v>
      </c>
      <c r="AM766" t="s">
        <v>59</v>
      </c>
      <c r="AN766" t="s">
        <v>59</v>
      </c>
      <c r="AO766" t="s">
        <v>59</v>
      </c>
      <c r="AP766" t="s">
        <v>388</v>
      </c>
      <c r="AQ766" t="s">
        <v>1861</v>
      </c>
      <c r="AR766" t="s">
        <v>64</v>
      </c>
      <c r="AS766" t="s">
        <v>111</v>
      </c>
      <c r="AT766" t="s">
        <v>377</v>
      </c>
      <c r="AU766" t="s">
        <v>387</v>
      </c>
      <c r="AW766" s="4">
        <f t="shared" si="388"/>
        <v>6</v>
      </c>
      <c r="AX766" s="4">
        <f t="shared" si="389"/>
        <v>4</v>
      </c>
      <c r="AY766" s="4">
        <f t="shared" si="390"/>
        <v>4</v>
      </c>
      <c r="AZ766" s="4">
        <f t="shared" si="391"/>
        <v>2</v>
      </c>
      <c r="BA766" s="4">
        <f t="shared" si="392"/>
        <v>4</v>
      </c>
      <c r="BB766" s="4">
        <f t="shared" si="393"/>
        <v>4</v>
      </c>
      <c r="BC766" s="4">
        <f t="shared" si="394"/>
        <v>4</v>
      </c>
      <c r="BD766" s="4">
        <f t="shared" si="395"/>
        <v>2</v>
      </c>
      <c r="BE766" s="4" t="str">
        <f t="shared" si="396"/>
        <v>0</v>
      </c>
      <c r="BF766" s="4">
        <f t="shared" si="397"/>
        <v>2</v>
      </c>
      <c r="BG766" s="4">
        <f t="shared" si="398"/>
        <v>4</v>
      </c>
      <c r="BH766" s="4">
        <f t="shared" si="399"/>
        <v>4</v>
      </c>
      <c r="BI766" s="4">
        <f t="shared" si="400"/>
        <v>4</v>
      </c>
      <c r="BJ766" s="4" t="str">
        <f t="shared" si="401"/>
        <v>0</v>
      </c>
      <c r="BK766" s="4">
        <f t="shared" si="402"/>
        <v>4</v>
      </c>
      <c r="BL766" s="4">
        <f t="shared" si="403"/>
        <v>2</v>
      </c>
      <c r="BM766" s="4">
        <f t="shared" si="404"/>
        <v>4</v>
      </c>
      <c r="BN766" s="4">
        <f t="shared" si="405"/>
        <v>4</v>
      </c>
      <c r="BO766" s="4">
        <f t="shared" si="406"/>
        <v>4</v>
      </c>
      <c r="BP766" s="4">
        <f t="shared" si="407"/>
        <v>4</v>
      </c>
      <c r="BQ766" s="4">
        <f t="shared" si="408"/>
        <v>6</v>
      </c>
      <c r="BR766" s="4">
        <f t="shared" si="409"/>
        <v>4</v>
      </c>
      <c r="BS766" s="4">
        <f t="shared" si="410"/>
        <v>4</v>
      </c>
      <c r="BT766" s="4">
        <f t="shared" si="411"/>
        <v>4</v>
      </c>
      <c r="BU766" s="4">
        <f t="shared" si="412"/>
        <v>4</v>
      </c>
      <c r="BV766" s="4">
        <f t="shared" si="413"/>
        <v>0</v>
      </c>
      <c r="BW766" s="4">
        <f t="shared" si="414"/>
        <v>6</v>
      </c>
      <c r="BX766" s="4">
        <f t="shared" si="415"/>
        <v>0</v>
      </c>
      <c r="BY766" s="4">
        <f t="shared" si="416"/>
        <v>0</v>
      </c>
      <c r="BZ766" s="37">
        <f t="shared" si="417"/>
        <v>94</v>
      </c>
      <c r="CA766" s="32" t="str">
        <f>VLOOKUP(J:J,'Agent wise'!A:C,3,0)</f>
        <v>Adharsh</v>
      </c>
      <c r="CB766" s="32">
        <f t="shared" si="418"/>
        <v>45944</v>
      </c>
      <c r="CC766" t="str">
        <f t="shared" si="419"/>
        <v>Good</v>
      </c>
      <c r="CE766" s="32"/>
      <c r="CJ766">
        <f t="shared" si="420"/>
        <v>14</v>
      </c>
      <c r="CK766">
        <f t="shared" si="421"/>
        <v>10</v>
      </c>
      <c r="CL766">
        <f t="shared" si="422"/>
        <v>2025</v>
      </c>
    </row>
    <row r="767" spans="1:90" ht="15" customHeight="1" x14ac:dyDescent="0.35">
      <c r="A767" t="s">
        <v>1862</v>
      </c>
      <c r="B767" t="s">
        <v>106</v>
      </c>
      <c r="C767" t="s">
        <v>214</v>
      </c>
      <c r="D767" t="s">
        <v>107</v>
      </c>
      <c r="E767" s="32">
        <v>45944</v>
      </c>
      <c r="F767" t="s">
        <v>54</v>
      </c>
      <c r="G767" t="s">
        <v>1749</v>
      </c>
      <c r="H767">
        <v>9400788901</v>
      </c>
      <c r="I767">
        <v>152</v>
      </c>
      <c r="J767" t="s">
        <v>464</v>
      </c>
      <c r="K767" t="s">
        <v>57</v>
      </c>
      <c r="L767" t="s">
        <v>58</v>
      </c>
      <c r="M767" t="s">
        <v>59</v>
      </c>
      <c r="N767" t="s">
        <v>59</v>
      </c>
      <c r="O767" t="s">
        <v>59</v>
      </c>
      <c r="P767" t="s">
        <v>59</v>
      </c>
      <c r="Q767" t="s">
        <v>59</v>
      </c>
      <c r="R767" t="s">
        <v>59</v>
      </c>
      <c r="S767" t="s">
        <v>59</v>
      </c>
      <c r="T767" t="s">
        <v>59</v>
      </c>
      <c r="U767" t="s">
        <v>59</v>
      </c>
      <c r="V767" t="s">
        <v>59</v>
      </c>
      <c r="W767" t="s">
        <v>59</v>
      </c>
      <c r="X767" t="s">
        <v>61</v>
      </c>
      <c r="Y767" t="s">
        <v>59</v>
      </c>
      <c r="Z767" t="s">
        <v>59</v>
      </c>
      <c r="AA767" t="s">
        <v>59</v>
      </c>
      <c r="AB767" t="s">
        <v>59</v>
      </c>
      <c r="AC767" t="s">
        <v>61</v>
      </c>
      <c r="AD767" t="s">
        <v>61</v>
      </c>
      <c r="AE767" t="s">
        <v>59</v>
      </c>
      <c r="AF767" t="s">
        <v>61</v>
      </c>
      <c r="AG767" t="s">
        <v>59</v>
      </c>
      <c r="AH767" t="s">
        <v>61</v>
      </c>
      <c r="AI767" t="s">
        <v>59</v>
      </c>
      <c r="AJ767" t="s">
        <v>59</v>
      </c>
      <c r="AK767" t="s">
        <v>59</v>
      </c>
      <c r="AL767" t="s">
        <v>59</v>
      </c>
      <c r="AM767" t="s">
        <v>59</v>
      </c>
      <c r="AN767" t="s">
        <v>59</v>
      </c>
      <c r="AO767" t="s">
        <v>59</v>
      </c>
      <c r="AP767" t="s">
        <v>1735</v>
      </c>
      <c r="AQ767" t="s">
        <v>1863</v>
      </c>
      <c r="AR767" t="s">
        <v>64</v>
      </c>
      <c r="AS767" t="s">
        <v>122</v>
      </c>
      <c r="AT767" t="s">
        <v>1745</v>
      </c>
      <c r="AU767" t="s">
        <v>219</v>
      </c>
      <c r="AW767" s="4">
        <f t="shared" si="388"/>
        <v>6</v>
      </c>
      <c r="AX767" s="4">
        <f t="shared" si="389"/>
        <v>4</v>
      </c>
      <c r="AY767" s="4">
        <f t="shared" si="390"/>
        <v>4</v>
      </c>
      <c r="AZ767" s="4">
        <f t="shared" si="391"/>
        <v>2</v>
      </c>
      <c r="BA767" s="4">
        <f t="shared" si="392"/>
        <v>4</v>
      </c>
      <c r="BB767" s="4">
        <f t="shared" si="393"/>
        <v>4</v>
      </c>
      <c r="BC767" s="4">
        <f t="shared" si="394"/>
        <v>4</v>
      </c>
      <c r="BD767" s="4">
        <f t="shared" si="395"/>
        <v>2</v>
      </c>
      <c r="BE767" s="4">
        <f t="shared" si="396"/>
        <v>4</v>
      </c>
      <c r="BF767" s="4">
        <f t="shared" si="397"/>
        <v>2</v>
      </c>
      <c r="BG767" s="4">
        <f t="shared" si="398"/>
        <v>4</v>
      </c>
      <c r="BH767" s="4">
        <f t="shared" si="399"/>
        <v>4</v>
      </c>
      <c r="BI767" s="4">
        <f t="shared" si="400"/>
        <v>4</v>
      </c>
      <c r="BJ767" s="4">
        <f t="shared" si="401"/>
        <v>2</v>
      </c>
      <c r="BK767" s="4">
        <f t="shared" si="402"/>
        <v>4</v>
      </c>
      <c r="BL767" s="4">
        <f t="shared" si="403"/>
        <v>2</v>
      </c>
      <c r="BM767" s="4">
        <f t="shared" si="404"/>
        <v>4</v>
      </c>
      <c r="BN767" s="4">
        <f t="shared" si="405"/>
        <v>4</v>
      </c>
      <c r="BO767" s="4">
        <f t="shared" si="406"/>
        <v>4</v>
      </c>
      <c r="BP767" s="4">
        <f t="shared" si="407"/>
        <v>4</v>
      </c>
      <c r="BQ767" s="4">
        <f t="shared" si="408"/>
        <v>6</v>
      </c>
      <c r="BR767" s="4">
        <f t="shared" si="409"/>
        <v>4</v>
      </c>
      <c r="BS767" s="4">
        <f t="shared" si="410"/>
        <v>4</v>
      </c>
      <c r="BT767" s="4">
        <f t="shared" si="411"/>
        <v>4</v>
      </c>
      <c r="BU767" s="4">
        <f t="shared" si="412"/>
        <v>4</v>
      </c>
      <c r="BV767" s="4">
        <f t="shared" si="413"/>
        <v>0</v>
      </c>
      <c r="BW767" s="4">
        <f t="shared" si="414"/>
        <v>6</v>
      </c>
      <c r="BX767" s="4">
        <f t="shared" si="415"/>
        <v>0</v>
      </c>
      <c r="BY767" s="4">
        <f t="shared" si="416"/>
        <v>0</v>
      </c>
      <c r="BZ767" s="37">
        <f t="shared" si="417"/>
        <v>100</v>
      </c>
      <c r="CA767" s="32" t="str">
        <f>VLOOKUP(J:J,'Agent wise'!A:C,3,0)</f>
        <v>Adharsh</v>
      </c>
      <c r="CB767" s="32">
        <f t="shared" si="418"/>
        <v>45944</v>
      </c>
      <c r="CC767" t="str">
        <f t="shared" si="419"/>
        <v>Excellent</v>
      </c>
      <c r="CE767" s="32"/>
      <c r="CJ767">
        <f t="shared" si="420"/>
        <v>14</v>
      </c>
      <c r="CK767">
        <f t="shared" si="421"/>
        <v>10</v>
      </c>
      <c r="CL767">
        <f t="shared" si="422"/>
        <v>2025</v>
      </c>
    </row>
    <row r="768" spans="1:90" ht="15" customHeight="1" x14ac:dyDescent="0.35">
      <c r="A768" t="s">
        <v>1864</v>
      </c>
      <c r="B768" t="s">
        <v>106</v>
      </c>
      <c r="C768" t="s">
        <v>214</v>
      </c>
      <c r="D768" t="s">
        <v>107</v>
      </c>
      <c r="E768" s="32">
        <v>45944</v>
      </c>
      <c r="F768" t="s">
        <v>54</v>
      </c>
      <c r="G768" t="s">
        <v>1749</v>
      </c>
      <c r="H768">
        <v>9495527365</v>
      </c>
      <c r="I768">
        <v>133</v>
      </c>
      <c r="J768" t="s">
        <v>117</v>
      </c>
      <c r="K768" t="s">
        <v>57</v>
      </c>
      <c r="L768" t="s">
        <v>58</v>
      </c>
      <c r="M768" t="s">
        <v>60</v>
      </c>
      <c r="N768" t="s">
        <v>59</v>
      </c>
      <c r="O768" t="s">
        <v>59</v>
      </c>
      <c r="P768" t="s">
        <v>59</v>
      </c>
      <c r="Q768" t="s">
        <v>59</v>
      </c>
      <c r="R768" t="s">
        <v>59</v>
      </c>
      <c r="S768" t="s">
        <v>59</v>
      </c>
      <c r="T768" t="s">
        <v>59</v>
      </c>
      <c r="U768" t="s">
        <v>60</v>
      </c>
      <c r="V768" t="s">
        <v>59</v>
      </c>
      <c r="W768" t="s">
        <v>59</v>
      </c>
      <c r="X768" t="s">
        <v>61</v>
      </c>
      <c r="Y768" t="s">
        <v>59</v>
      </c>
      <c r="Z768" t="s">
        <v>59</v>
      </c>
      <c r="AA768" t="s">
        <v>60</v>
      </c>
      <c r="AB768" t="s">
        <v>60</v>
      </c>
      <c r="AC768" t="s">
        <v>61</v>
      </c>
      <c r="AD768" t="s">
        <v>61</v>
      </c>
      <c r="AE768" t="s">
        <v>59</v>
      </c>
      <c r="AF768" t="s">
        <v>61</v>
      </c>
      <c r="AG768" t="s">
        <v>59</v>
      </c>
      <c r="AH768" t="s">
        <v>61</v>
      </c>
      <c r="AI768" t="s">
        <v>61</v>
      </c>
      <c r="AJ768" t="s">
        <v>59</v>
      </c>
      <c r="AK768" t="s">
        <v>59</v>
      </c>
      <c r="AL768" t="s">
        <v>59</v>
      </c>
      <c r="AM768" t="s">
        <v>59</v>
      </c>
      <c r="AN768" t="s">
        <v>59</v>
      </c>
      <c r="AO768" t="s">
        <v>59</v>
      </c>
      <c r="AP768" t="s">
        <v>1865</v>
      </c>
      <c r="AQ768" t="s">
        <v>1866</v>
      </c>
      <c r="AR768" t="s">
        <v>64</v>
      </c>
      <c r="AS768" t="s">
        <v>771</v>
      </c>
      <c r="AT768" t="s">
        <v>1214</v>
      </c>
      <c r="AU768" t="s">
        <v>219</v>
      </c>
      <c r="AW768" s="4" t="str">
        <f t="shared" si="388"/>
        <v>0</v>
      </c>
      <c r="AX768" s="4">
        <f t="shared" si="389"/>
        <v>4</v>
      </c>
      <c r="AY768" s="4">
        <f t="shared" si="390"/>
        <v>4</v>
      </c>
      <c r="AZ768" s="4">
        <f t="shared" si="391"/>
        <v>2</v>
      </c>
      <c r="BA768" s="4">
        <f t="shared" si="392"/>
        <v>4</v>
      </c>
      <c r="BB768" s="4">
        <f t="shared" si="393"/>
        <v>4</v>
      </c>
      <c r="BC768" s="4">
        <f t="shared" si="394"/>
        <v>4</v>
      </c>
      <c r="BD768" s="4">
        <f t="shared" si="395"/>
        <v>2</v>
      </c>
      <c r="BE768" s="4" t="str">
        <f t="shared" si="396"/>
        <v>0</v>
      </c>
      <c r="BF768" s="4">
        <f t="shared" si="397"/>
        <v>2</v>
      </c>
      <c r="BG768" s="4">
        <f t="shared" si="398"/>
        <v>4</v>
      </c>
      <c r="BH768" s="4">
        <f t="shared" si="399"/>
        <v>4</v>
      </c>
      <c r="BI768" s="4">
        <f t="shared" si="400"/>
        <v>4</v>
      </c>
      <c r="BJ768" s="4">
        <f t="shared" si="401"/>
        <v>2</v>
      </c>
      <c r="BK768" s="4" t="str">
        <f t="shared" si="402"/>
        <v>0</v>
      </c>
      <c r="BL768" s="4" t="str">
        <f t="shared" si="403"/>
        <v>0</v>
      </c>
      <c r="BM768" s="4">
        <f t="shared" si="404"/>
        <v>4</v>
      </c>
      <c r="BN768" s="4">
        <f t="shared" si="405"/>
        <v>4</v>
      </c>
      <c r="BO768" s="4">
        <f t="shared" si="406"/>
        <v>4</v>
      </c>
      <c r="BP768" s="4">
        <f t="shared" si="407"/>
        <v>4</v>
      </c>
      <c r="BQ768" s="4">
        <f t="shared" si="408"/>
        <v>6</v>
      </c>
      <c r="BR768" s="4">
        <f t="shared" si="409"/>
        <v>4</v>
      </c>
      <c r="BS768" s="4">
        <f t="shared" si="410"/>
        <v>4</v>
      </c>
      <c r="BT768" s="4">
        <f t="shared" si="411"/>
        <v>4</v>
      </c>
      <c r="BU768" s="4">
        <f t="shared" si="412"/>
        <v>4</v>
      </c>
      <c r="BV768" s="4">
        <f t="shared" si="413"/>
        <v>0</v>
      </c>
      <c r="BW768" s="4">
        <f t="shared" si="414"/>
        <v>6</v>
      </c>
      <c r="BX768" s="4">
        <f t="shared" si="415"/>
        <v>0</v>
      </c>
      <c r="BY768" s="4">
        <f t="shared" si="416"/>
        <v>0</v>
      </c>
      <c r="BZ768" s="37">
        <f t="shared" si="417"/>
        <v>84</v>
      </c>
      <c r="CA768" s="32" t="str">
        <f>VLOOKUP(J:J,'Agent wise'!A:C,3,0)</f>
        <v>Saran S</v>
      </c>
      <c r="CB768" s="32">
        <f t="shared" si="418"/>
        <v>45944</v>
      </c>
      <c r="CC768" t="str">
        <f t="shared" si="419"/>
        <v>FC</v>
      </c>
      <c r="CE768" s="32"/>
      <c r="CJ768">
        <f t="shared" si="420"/>
        <v>14</v>
      </c>
      <c r="CK768">
        <f t="shared" si="421"/>
        <v>10</v>
      </c>
      <c r="CL768">
        <f t="shared" si="422"/>
        <v>2025</v>
      </c>
    </row>
    <row r="769" spans="1:90" ht="15" customHeight="1" x14ac:dyDescent="0.35">
      <c r="A769" t="s">
        <v>1867</v>
      </c>
      <c r="B769" t="s">
        <v>177</v>
      </c>
      <c r="C769" t="s">
        <v>214</v>
      </c>
      <c r="D769" t="s">
        <v>178</v>
      </c>
      <c r="E769" s="32">
        <v>45938</v>
      </c>
      <c r="F769" t="s">
        <v>54</v>
      </c>
      <c r="G769" s="2">
        <v>45848</v>
      </c>
      <c r="H769">
        <v>9976234792</v>
      </c>
      <c r="I769">
        <v>122</v>
      </c>
      <c r="J769" t="s">
        <v>1868</v>
      </c>
      <c r="K769" t="s">
        <v>71</v>
      </c>
      <c r="L769" t="s">
        <v>72</v>
      </c>
      <c r="M769" t="s">
        <v>59</v>
      </c>
      <c r="N769" t="s">
        <v>59</v>
      </c>
      <c r="O769" t="s">
        <v>59</v>
      </c>
      <c r="P769" t="s">
        <v>59</v>
      </c>
      <c r="Q769" t="s">
        <v>59</v>
      </c>
      <c r="R769" t="s">
        <v>59</v>
      </c>
      <c r="S769" t="s">
        <v>59</v>
      </c>
      <c r="T769" t="s">
        <v>59</v>
      </c>
      <c r="U769" t="s">
        <v>59</v>
      </c>
      <c r="V769" t="s">
        <v>59</v>
      </c>
      <c r="W769" t="s">
        <v>59</v>
      </c>
      <c r="X769" t="s">
        <v>59</v>
      </c>
      <c r="Y769" t="s">
        <v>59</v>
      </c>
      <c r="Z769" t="s">
        <v>59</v>
      </c>
      <c r="AA769" t="s">
        <v>59</v>
      </c>
      <c r="AB769" t="s">
        <v>59</v>
      </c>
      <c r="AC769" t="s">
        <v>59</v>
      </c>
      <c r="AD769" t="s">
        <v>59</v>
      </c>
      <c r="AE769" t="s">
        <v>59</v>
      </c>
      <c r="AF769" t="s">
        <v>59</v>
      </c>
      <c r="AG769" t="s">
        <v>59</v>
      </c>
      <c r="AH769" t="s">
        <v>61</v>
      </c>
      <c r="AI769" t="s">
        <v>60</v>
      </c>
      <c r="AJ769" t="s">
        <v>59</v>
      </c>
      <c r="AK769" t="s">
        <v>59</v>
      </c>
      <c r="AL769" t="s">
        <v>60</v>
      </c>
      <c r="AM769" t="s">
        <v>59</v>
      </c>
      <c r="AN769" t="s">
        <v>59</v>
      </c>
      <c r="AO769" t="s">
        <v>59</v>
      </c>
      <c r="AP769" t="s">
        <v>37</v>
      </c>
      <c r="AQ769" t="s">
        <v>1869</v>
      </c>
      <c r="AR769" t="s">
        <v>64</v>
      </c>
      <c r="AS769" t="s">
        <v>171</v>
      </c>
      <c r="AT769" t="s">
        <v>190</v>
      </c>
      <c r="AU769" t="s">
        <v>219</v>
      </c>
      <c r="AW769" s="4">
        <f t="shared" si="388"/>
        <v>6</v>
      </c>
      <c r="AX769" s="4">
        <f t="shared" si="389"/>
        <v>4</v>
      </c>
      <c r="AY769" s="4">
        <f t="shared" si="390"/>
        <v>4</v>
      </c>
      <c r="AZ769" s="4">
        <f t="shared" si="391"/>
        <v>2</v>
      </c>
      <c r="BA769" s="4">
        <f t="shared" si="392"/>
        <v>4</v>
      </c>
      <c r="BB769" s="4">
        <f t="shared" si="393"/>
        <v>4</v>
      </c>
      <c r="BC769" s="4">
        <f t="shared" si="394"/>
        <v>4</v>
      </c>
      <c r="BD769" s="4">
        <f t="shared" si="395"/>
        <v>2</v>
      </c>
      <c r="BE769" s="4">
        <f t="shared" si="396"/>
        <v>4</v>
      </c>
      <c r="BF769" s="4">
        <f t="shared" si="397"/>
        <v>2</v>
      </c>
      <c r="BG769" s="4">
        <f t="shared" si="398"/>
        <v>4</v>
      </c>
      <c r="BH769" s="4">
        <f t="shared" si="399"/>
        <v>4</v>
      </c>
      <c r="BI769" s="4">
        <f t="shared" si="400"/>
        <v>4</v>
      </c>
      <c r="BJ769" s="4">
        <f t="shared" si="401"/>
        <v>2</v>
      </c>
      <c r="BK769" s="4">
        <f t="shared" si="402"/>
        <v>4</v>
      </c>
      <c r="BL769" s="4">
        <f t="shared" si="403"/>
        <v>2</v>
      </c>
      <c r="BM769" s="4">
        <f t="shared" si="404"/>
        <v>4</v>
      </c>
      <c r="BN769" s="4">
        <f t="shared" si="405"/>
        <v>4</v>
      </c>
      <c r="BO769" s="4">
        <f t="shared" si="406"/>
        <v>4</v>
      </c>
      <c r="BP769" s="4">
        <f t="shared" si="407"/>
        <v>4</v>
      </c>
      <c r="BQ769" s="4">
        <f t="shared" si="408"/>
        <v>6</v>
      </c>
      <c r="BR769" s="4">
        <f t="shared" si="409"/>
        <v>4</v>
      </c>
      <c r="BS769" s="4" t="str">
        <f t="shared" si="410"/>
        <v>0</v>
      </c>
      <c r="BT769" s="4">
        <f t="shared" si="411"/>
        <v>4</v>
      </c>
      <c r="BU769" s="4">
        <f t="shared" si="412"/>
        <v>4</v>
      </c>
      <c r="BV769" s="4" t="str">
        <f t="shared" si="413"/>
        <v>0</v>
      </c>
      <c r="BW769" s="4">
        <f t="shared" si="414"/>
        <v>6</v>
      </c>
      <c r="BX769" s="4">
        <f t="shared" si="415"/>
        <v>0</v>
      </c>
      <c r="BY769" s="4">
        <f t="shared" si="416"/>
        <v>0</v>
      </c>
      <c r="BZ769" s="37">
        <f t="shared" si="417"/>
        <v>96</v>
      </c>
      <c r="CA769" s="32" t="e">
        <f>VLOOKUP(J:J,'Agent wise'!A:C,3,0)</f>
        <v>#N/A</v>
      </c>
      <c r="CB769" s="32">
        <f t="shared" si="418"/>
        <v>45938</v>
      </c>
      <c r="CC769" t="str">
        <f t="shared" si="419"/>
        <v>Excellent</v>
      </c>
      <c r="CE769" s="32"/>
      <c r="CJ769">
        <f t="shared" si="420"/>
        <v>8</v>
      </c>
      <c r="CK769">
        <f t="shared" si="421"/>
        <v>10</v>
      </c>
      <c r="CL769">
        <f t="shared" si="422"/>
        <v>2025</v>
      </c>
    </row>
    <row r="770" spans="1:90" ht="15" customHeight="1" x14ac:dyDescent="0.35">
      <c r="A770" t="s">
        <v>1870</v>
      </c>
      <c r="B770" t="s">
        <v>177</v>
      </c>
      <c r="C770" t="s">
        <v>214</v>
      </c>
      <c r="D770" t="s">
        <v>178</v>
      </c>
      <c r="E770" s="32">
        <v>45938</v>
      </c>
      <c r="F770" t="s">
        <v>54</v>
      </c>
      <c r="G770" s="2">
        <v>45848</v>
      </c>
      <c r="H770">
        <v>9495315315</v>
      </c>
      <c r="I770">
        <v>120</v>
      </c>
      <c r="J770" t="s">
        <v>528</v>
      </c>
      <c r="K770" t="s">
        <v>57</v>
      </c>
      <c r="L770" t="s">
        <v>58</v>
      </c>
      <c r="M770" t="s">
        <v>59</v>
      </c>
      <c r="N770" t="s">
        <v>59</v>
      </c>
      <c r="O770" t="s">
        <v>59</v>
      </c>
      <c r="P770" t="s">
        <v>59</v>
      </c>
      <c r="Q770" t="s">
        <v>59</v>
      </c>
      <c r="R770" t="s">
        <v>59</v>
      </c>
      <c r="S770" t="s">
        <v>59</v>
      </c>
      <c r="T770" t="s">
        <v>59</v>
      </c>
      <c r="U770" t="s">
        <v>59</v>
      </c>
      <c r="V770" t="s">
        <v>59</v>
      </c>
      <c r="W770" t="s">
        <v>59</v>
      </c>
      <c r="X770" t="s">
        <v>59</v>
      </c>
      <c r="Y770" t="s">
        <v>59</v>
      </c>
      <c r="Z770" t="s">
        <v>60</v>
      </c>
      <c r="AA770" t="s">
        <v>59</v>
      </c>
      <c r="AB770" t="s">
        <v>59</v>
      </c>
      <c r="AC770" t="s">
        <v>61</v>
      </c>
      <c r="AD770" t="s">
        <v>59</v>
      </c>
      <c r="AE770" t="s">
        <v>59</v>
      </c>
      <c r="AF770" t="s">
        <v>59</v>
      </c>
      <c r="AG770" t="s">
        <v>59</v>
      </c>
      <c r="AH770" t="s">
        <v>61</v>
      </c>
      <c r="AI770" t="s">
        <v>61</v>
      </c>
      <c r="AJ770" t="s">
        <v>59</v>
      </c>
      <c r="AK770" t="s">
        <v>59</v>
      </c>
      <c r="AL770" t="s">
        <v>59</v>
      </c>
      <c r="AM770" t="s">
        <v>59</v>
      </c>
      <c r="AN770" t="s">
        <v>59</v>
      </c>
      <c r="AO770" t="s">
        <v>59</v>
      </c>
      <c r="AP770" t="s">
        <v>1871</v>
      </c>
      <c r="AQ770" t="s">
        <v>1872</v>
      </c>
      <c r="AR770" t="s">
        <v>64</v>
      </c>
      <c r="AS770" t="s">
        <v>171</v>
      </c>
      <c r="AT770" t="s">
        <v>190</v>
      </c>
      <c r="AU770" t="s">
        <v>387</v>
      </c>
      <c r="AW770" s="4">
        <f t="shared" si="388"/>
        <v>6</v>
      </c>
      <c r="AX770" s="4">
        <f t="shared" si="389"/>
        <v>4</v>
      </c>
      <c r="AY770" s="4">
        <f t="shared" si="390"/>
        <v>4</v>
      </c>
      <c r="AZ770" s="4">
        <f t="shared" si="391"/>
        <v>2</v>
      </c>
      <c r="BA770" s="4">
        <f t="shared" si="392"/>
        <v>4</v>
      </c>
      <c r="BB770" s="4">
        <f t="shared" si="393"/>
        <v>4</v>
      </c>
      <c r="BC770" s="4">
        <f t="shared" si="394"/>
        <v>4</v>
      </c>
      <c r="BD770" s="4">
        <f t="shared" si="395"/>
        <v>2</v>
      </c>
      <c r="BE770" s="4">
        <f t="shared" si="396"/>
        <v>4</v>
      </c>
      <c r="BF770" s="4">
        <f t="shared" si="397"/>
        <v>2</v>
      </c>
      <c r="BG770" s="4">
        <f t="shared" si="398"/>
        <v>4</v>
      </c>
      <c r="BH770" s="4">
        <f t="shared" si="399"/>
        <v>4</v>
      </c>
      <c r="BI770" s="4">
        <f t="shared" si="400"/>
        <v>4</v>
      </c>
      <c r="BJ770" s="4" t="str">
        <f t="shared" si="401"/>
        <v>0</v>
      </c>
      <c r="BK770" s="4">
        <f t="shared" si="402"/>
        <v>4</v>
      </c>
      <c r="BL770" s="4">
        <f t="shared" si="403"/>
        <v>2</v>
      </c>
      <c r="BM770" s="4">
        <f t="shared" si="404"/>
        <v>4</v>
      </c>
      <c r="BN770" s="4">
        <f t="shared" si="405"/>
        <v>4</v>
      </c>
      <c r="BO770" s="4">
        <f t="shared" si="406"/>
        <v>4</v>
      </c>
      <c r="BP770" s="4">
        <f t="shared" si="407"/>
        <v>4</v>
      </c>
      <c r="BQ770" s="4">
        <f t="shared" si="408"/>
        <v>6</v>
      </c>
      <c r="BR770" s="4">
        <f t="shared" si="409"/>
        <v>4</v>
      </c>
      <c r="BS770" s="4">
        <f t="shared" si="410"/>
        <v>4</v>
      </c>
      <c r="BT770" s="4">
        <f t="shared" si="411"/>
        <v>4</v>
      </c>
      <c r="BU770" s="4">
        <f t="shared" si="412"/>
        <v>4</v>
      </c>
      <c r="BV770" s="4">
        <f t="shared" si="413"/>
        <v>0</v>
      </c>
      <c r="BW770" s="4">
        <f t="shared" si="414"/>
        <v>6</v>
      </c>
      <c r="BX770" s="4">
        <f t="shared" si="415"/>
        <v>0</v>
      </c>
      <c r="BY770" s="4">
        <f t="shared" si="416"/>
        <v>0</v>
      </c>
      <c r="BZ770" s="37">
        <f t="shared" si="417"/>
        <v>98</v>
      </c>
      <c r="CA770" s="32" t="str">
        <f>VLOOKUP(J:J,'Agent wise'!A:C,3,0)</f>
        <v>Adharsh</v>
      </c>
      <c r="CB770" s="32">
        <f t="shared" si="418"/>
        <v>45938</v>
      </c>
      <c r="CC770" t="str">
        <f t="shared" si="419"/>
        <v>Excellent</v>
      </c>
      <c r="CE770" s="32"/>
      <c r="CJ770">
        <f t="shared" si="420"/>
        <v>8</v>
      </c>
      <c r="CK770">
        <f t="shared" si="421"/>
        <v>10</v>
      </c>
      <c r="CL770">
        <f t="shared" si="422"/>
        <v>2025</v>
      </c>
    </row>
    <row r="771" spans="1:90" ht="15" customHeight="1" x14ac:dyDescent="0.35">
      <c r="A771" t="s">
        <v>1873</v>
      </c>
      <c r="B771" t="s">
        <v>177</v>
      </c>
      <c r="C771" t="s">
        <v>214</v>
      </c>
      <c r="D771" t="s">
        <v>178</v>
      </c>
      <c r="E771" s="32">
        <v>45939</v>
      </c>
      <c r="F771" t="s">
        <v>54</v>
      </c>
      <c r="G771" s="2">
        <v>45879</v>
      </c>
      <c r="H771">
        <v>8885790784</v>
      </c>
      <c r="I771">
        <v>128</v>
      </c>
      <c r="J771" t="s">
        <v>451</v>
      </c>
      <c r="K771" t="s">
        <v>71</v>
      </c>
      <c r="L771" t="s">
        <v>72</v>
      </c>
      <c r="M771" t="s">
        <v>59</v>
      </c>
      <c r="N771" t="s">
        <v>59</v>
      </c>
      <c r="O771" t="s">
        <v>59</v>
      </c>
      <c r="P771" t="s">
        <v>59</v>
      </c>
      <c r="Q771" t="s">
        <v>59</v>
      </c>
      <c r="R771" t="s">
        <v>59</v>
      </c>
      <c r="S771" t="s">
        <v>59</v>
      </c>
      <c r="T771" t="s">
        <v>59</v>
      </c>
      <c r="U771" t="s">
        <v>59</v>
      </c>
      <c r="V771" t="s">
        <v>59</v>
      </c>
      <c r="W771" t="s">
        <v>59</v>
      </c>
      <c r="X771" t="s">
        <v>59</v>
      </c>
      <c r="Y771" t="s">
        <v>59</v>
      </c>
      <c r="Z771" t="s">
        <v>59</v>
      </c>
      <c r="AA771" t="s">
        <v>59</v>
      </c>
      <c r="AB771" t="s">
        <v>59</v>
      </c>
      <c r="AC771" t="s">
        <v>61</v>
      </c>
      <c r="AD771" t="s">
        <v>59</v>
      </c>
      <c r="AE771" t="s">
        <v>60</v>
      </c>
      <c r="AF771" t="s">
        <v>59</v>
      </c>
      <c r="AG771" t="s">
        <v>59</v>
      </c>
      <c r="AH771" t="s">
        <v>61</v>
      </c>
      <c r="AI771" t="s">
        <v>61</v>
      </c>
      <c r="AJ771" t="s">
        <v>59</v>
      </c>
      <c r="AK771" t="s">
        <v>59</v>
      </c>
      <c r="AL771" t="s">
        <v>60</v>
      </c>
      <c r="AM771" t="s">
        <v>59</v>
      </c>
      <c r="AN771" t="s">
        <v>59</v>
      </c>
      <c r="AO771" t="s">
        <v>59</v>
      </c>
      <c r="AP771" t="s">
        <v>1874</v>
      </c>
      <c r="AQ771" t="s">
        <v>1875</v>
      </c>
      <c r="AR771" t="s">
        <v>64</v>
      </c>
      <c r="AS771" t="s">
        <v>135</v>
      </c>
      <c r="AT771" t="s">
        <v>136</v>
      </c>
      <c r="AU771" t="s">
        <v>299</v>
      </c>
      <c r="AW771" s="4">
        <f t="shared" ref="AW771:AW834" si="423">IF(OR(M771="YES", M771="Not Applicable"), AW$1, "0")</f>
        <v>6</v>
      </c>
      <c r="AX771" s="4">
        <f t="shared" ref="AX771:AX834" si="424">IF(OR(N771="YES", N771="Not Applicable"), AX$1, "0")</f>
        <v>4</v>
      </c>
      <c r="AY771" s="4">
        <f t="shared" ref="AY771:AY834" si="425">IF(OR(O771="YES", O771="Not Applicable"), AY$1, "0")</f>
        <v>4</v>
      </c>
      <c r="AZ771" s="4">
        <f t="shared" ref="AZ771:AZ834" si="426">IF(OR(P771="YES", P771="Not Applicable"), AZ$1, "0")</f>
        <v>2</v>
      </c>
      <c r="BA771" s="4">
        <f t="shared" ref="BA771:BA834" si="427">IF(OR(Q771="YES", Q771="Not Applicable"), BA$1, "0")</f>
        <v>4</v>
      </c>
      <c r="BB771" s="4">
        <f t="shared" ref="BB771:BB834" si="428">IF(OR(R771="YES", R771="Not Applicable"), BB$1, "0")</f>
        <v>4</v>
      </c>
      <c r="BC771" s="4">
        <f t="shared" ref="BC771:BC834" si="429">IF(OR(S771="YES", S771="Not Applicable"), BC$1, "0")</f>
        <v>4</v>
      </c>
      <c r="BD771" s="4">
        <f t="shared" ref="BD771:BD834" si="430">IF(OR(T771="YES", T771="Not Applicable"), BD$1, "0")</f>
        <v>2</v>
      </c>
      <c r="BE771" s="4">
        <f t="shared" ref="BE771:BE834" si="431">IF(OR(U771="YES", U771="Not Applicable"), BE$1, "0")</f>
        <v>4</v>
      </c>
      <c r="BF771" s="4">
        <f t="shared" ref="BF771:BF834" si="432">IF(OR(V771="YES", V771="Not Applicable"), BF$1, "0")</f>
        <v>2</v>
      </c>
      <c r="BG771" s="4">
        <f t="shared" ref="BG771:BG834" si="433">IF(OR(W771="YES", W771="Not Applicable"), BG$1, "0")</f>
        <v>4</v>
      </c>
      <c r="BH771" s="4">
        <f t="shared" ref="BH771:BH834" si="434">IF(OR(X771="YES", X771="Not Applicable"), BH$1, "0")</f>
        <v>4</v>
      </c>
      <c r="BI771" s="4">
        <f t="shared" ref="BI771:BI834" si="435">IF(OR(Y771="YES", Y771="Not Applicable"), BI$1, "0")</f>
        <v>4</v>
      </c>
      <c r="BJ771" s="4">
        <f t="shared" ref="BJ771:BJ834" si="436">IF(OR(Z771="YES", Z771="Not Applicable"), BJ$1, "0")</f>
        <v>2</v>
      </c>
      <c r="BK771" s="4">
        <f t="shared" ref="BK771:BK834" si="437">IF(OR(AA771="YES", AA771="Not Applicable"), BK$1, "0")</f>
        <v>4</v>
      </c>
      <c r="BL771" s="4">
        <f t="shared" ref="BL771:BL834" si="438">IF(OR(AB771="YES", AB771="Not Applicable"), BL$1, "0")</f>
        <v>2</v>
      </c>
      <c r="BM771" s="4">
        <f t="shared" ref="BM771:BM834" si="439">IF(OR(AC771="YES", AC771="Not Applicable"), BM$1, "0")</f>
        <v>4</v>
      </c>
      <c r="BN771" s="4">
        <f t="shared" ref="BN771:BN834" si="440">IF(OR(AD771="YES", AD771="Not Applicable"), BN$1, "0")</f>
        <v>4</v>
      </c>
      <c r="BO771" s="4" t="str">
        <f t="shared" ref="BO771:BO834" si="441">IF(OR(AE771="YES", AE771="Not Applicable"), BO$1, "0")</f>
        <v>0</v>
      </c>
      <c r="BP771" s="4">
        <f t="shared" ref="BP771:BP834" si="442">IF(OR(AF771="YES", AF771="Not Applicable"), BP$1, "0")</f>
        <v>4</v>
      </c>
      <c r="BQ771" s="4">
        <f t="shared" ref="BQ771:BQ834" si="443">IF(OR(AG771="YES", AG771="Not Applicable"), BQ$1, "0")</f>
        <v>6</v>
      </c>
      <c r="BR771" s="4">
        <f t="shared" ref="BR771:BR834" si="444">IF(OR(AH771="YES", AH771="Not Applicable"), BR$1, "0")</f>
        <v>4</v>
      </c>
      <c r="BS771" s="4">
        <f t="shared" ref="BS771:BS834" si="445">IF(OR(AI771="YES", AI771="Not Applicable"), BS$1, "0")</f>
        <v>4</v>
      </c>
      <c r="BT771" s="4">
        <f t="shared" ref="BT771:BT834" si="446">IF(OR(AJ771="YES", AJ771="Not Applicable"), BT$1, "0")</f>
        <v>4</v>
      </c>
      <c r="BU771" s="4">
        <f t="shared" ref="BU771:BU834" si="447">IF(OR(AK771="YES", AK771="Not Applicable"), BU$1, "0")</f>
        <v>4</v>
      </c>
      <c r="BV771" s="4" t="str">
        <f t="shared" ref="BV771:BV834" si="448">IF(OR(AL771="YES", AL771="Not Applicable"), BV$1, "0")</f>
        <v>0</v>
      </c>
      <c r="BW771" s="4">
        <f t="shared" ref="BW771:BW834" si="449">IF(OR(AM771="YES", AM771="Not Applicable"), BW$1, "0")</f>
        <v>6</v>
      </c>
      <c r="BX771" s="4">
        <f t="shared" ref="BX771:BX834" si="450">IF(OR(AN771="YES", AN771="Not Applicable"), BX$1, "0")</f>
        <v>0</v>
      </c>
      <c r="BY771" s="4">
        <f t="shared" ref="BY771:BY834" si="451">IF(OR(AO771="YES", AO771="Not Applicable"), BY$1, "0")</f>
        <v>0</v>
      </c>
      <c r="BZ771" s="37">
        <f t="shared" ref="BZ771:BZ834" si="452">SUM(AW771:BY771)</f>
        <v>96</v>
      </c>
      <c r="CA771" s="32" t="str">
        <f>VLOOKUP(J:J,'Agent wise'!A:C,3,0)</f>
        <v xml:space="preserve">Shiny </v>
      </c>
      <c r="CB771" s="32">
        <f t="shared" ref="CB771:CB834" si="453">INT(E771)</f>
        <v>45939</v>
      </c>
      <c r="CC771" t="str">
        <f t="shared" ref="CC771:CC834" si="454">IF(BZ771&gt;=94.5, "Excellent", IF(BZ771&gt;89.5, "Good", IF(BZ771&gt;84.5, "Average", "FC")))</f>
        <v>Excellent</v>
      </c>
      <c r="CE771" s="32"/>
      <c r="CJ771">
        <f t="shared" si="420"/>
        <v>9</v>
      </c>
      <c r="CK771">
        <f t="shared" si="421"/>
        <v>10</v>
      </c>
      <c r="CL771">
        <f t="shared" si="422"/>
        <v>2025</v>
      </c>
    </row>
    <row r="772" spans="1:90" ht="15" customHeight="1" x14ac:dyDescent="0.35">
      <c r="A772" t="s">
        <v>1876</v>
      </c>
      <c r="B772" t="s">
        <v>177</v>
      </c>
      <c r="C772" t="s">
        <v>214</v>
      </c>
      <c r="D772" t="s">
        <v>178</v>
      </c>
      <c r="E772" s="32">
        <v>45939</v>
      </c>
      <c r="F772" t="s">
        <v>54</v>
      </c>
      <c r="G772" s="2">
        <v>45879</v>
      </c>
      <c r="H772">
        <v>8300057948</v>
      </c>
      <c r="I772">
        <v>147</v>
      </c>
      <c r="J772" t="s">
        <v>559</v>
      </c>
      <c r="K772" t="s">
        <v>71</v>
      </c>
      <c r="L772" t="s">
        <v>72</v>
      </c>
      <c r="M772" t="s">
        <v>59</v>
      </c>
      <c r="N772" t="s">
        <v>59</v>
      </c>
      <c r="O772" t="s">
        <v>59</v>
      </c>
      <c r="P772" t="s">
        <v>59</v>
      </c>
      <c r="Q772" t="s">
        <v>59</v>
      </c>
      <c r="R772" t="s">
        <v>59</v>
      </c>
      <c r="S772" t="s">
        <v>59</v>
      </c>
      <c r="T772" t="s">
        <v>59</v>
      </c>
      <c r="U772" t="s">
        <v>59</v>
      </c>
      <c r="V772" t="s">
        <v>59</v>
      </c>
      <c r="W772" t="s">
        <v>59</v>
      </c>
      <c r="X772" t="s">
        <v>59</v>
      </c>
      <c r="Y772" t="s">
        <v>59</v>
      </c>
      <c r="Z772" t="s">
        <v>59</v>
      </c>
      <c r="AA772" t="s">
        <v>60</v>
      </c>
      <c r="AB772" t="s">
        <v>60</v>
      </c>
      <c r="AC772" t="s">
        <v>60</v>
      </c>
      <c r="AD772" t="s">
        <v>59</v>
      </c>
      <c r="AE772" t="s">
        <v>59</v>
      </c>
      <c r="AF772" t="s">
        <v>59</v>
      </c>
      <c r="AG772" t="s">
        <v>59</v>
      </c>
      <c r="AH772" t="s">
        <v>61</v>
      </c>
      <c r="AI772" t="s">
        <v>61</v>
      </c>
      <c r="AJ772" t="s">
        <v>59</v>
      </c>
      <c r="AK772" t="s">
        <v>59</v>
      </c>
      <c r="AL772" t="s">
        <v>60</v>
      </c>
      <c r="AM772" t="s">
        <v>59</v>
      </c>
      <c r="AN772" t="s">
        <v>59</v>
      </c>
      <c r="AO772" t="s">
        <v>59</v>
      </c>
      <c r="AP772" t="s">
        <v>1877</v>
      </c>
      <c r="AQ772" t="s">
        <v>1878</v>
      </c>
      <c r="AR772" t="s">
        <v>64</v>
      </c>
      <c r="AS772" t="s">
        <v>89</v>
      </c>
      <c r="AT772" t="s">
        <v>293</v>
      </c>
      <c r="AU772" t="s">
        <v>448</v>
      </c>
      <c r="AW772" s="4">
        <f t="shared" si="423"/>
        <v>6</v>
      </c>
      <c r="AX772" s="4">
        <f t="shared" si="424"/>
        <v>4</v>
      </c>
      <c r="AY772" s="4">
        <f t="shared" si="425"/>
        <v>4</v>
      </c>
      <c r="AZ772" s="4">
        <f t="shared" si="426"/>
        <v>2</v>
      </c>
      <c r="BA772" s="4">
        <f t="shared" si="427"/>
        <v>4</v>
      </c>
      <c r="BB772" s="4">
        <f t="shared" si="428"/>
        <v>4</v>
      </c>
      <c r="BC772" s="4">
        <f t="shared" si="429"/>
        <v>4</v>
      </c>
      <c r="BD772" s="4">
        <f t="shared" si="430"/>
        <v>2</v>
      </c>
      <c r="BE772" s="4">
        <f t="shared" si="431"/>
        <v>4</v>
      </c>
      <c r="BF772" s="4">
        <f t="shared" si="432"/>
        <v>2</v>
      </c>
      <c r="BG772" s="4">
        <f t="shared" si="433"/>
        <v>4</v>
      </c>
      <c r="BH772" s="4">
        <f t="shared" si="434"/>
        <v>4</v>
      </c>
      <c r="BI772" s="4">
        <f t="shared" si="435"/>
        <v>4</v>
      </c>
      <c r="BJ772" s="4">
        <f t="shared" si="436"/>
        <v>2</v>
      </c>
      <c r="BK772" s="4" t="str">
        <f t="shared" si="437"/>
        <v>0</v>
      </c>
      <c r="BL772" s="4" t="str">
        <f t="shared" si="438"/>
        <v>0</v>
      </c>
      <c r="BM772" s="4" t="str">
        <f t="shared" si="439"/>
        <v>0</v>
      </c>
      <c r="BN772" s="4">
        <f t="shared" si="440"/>
        <v>4</v>
      </c>
      <c r="BO772" s="4">
        <f t="shared" si="441"/>
        <v>4</v>
      </c>
      <c r="BP772" s="4">
        <f t="shared" si="442"/>
        <v>4</v>
      </c>
      <c r="BQ772" s="4">
        <f t="shared" si="443"/>
        <v>6</v>
      </c>
      <c r="BR772" s="4">
        <f t="shared" si="444"/>
        <v>4</v>
      </c>
      <c r="BS772" s="4">
        <f t="shared" si="445"/>
        <v>4</v>
      </c>
      <c r="BT772" s="4">
        <f t="shared" si="446"/>
        <v>4</v>
      </c>
      <c r="BU772" s="4">
        <f t="shared" si="447"/>
        <v>4</v>
      </c>
      <c r="BV772" s="4" t="str">
        <f t="shared" si="448"/>
        <v>0</v>
      </c>
      <c r="BW772" s="4">
        <f t="shared" si="449"/>
        <v>6</v>
      </c>
      <c r="BX772" s="4">
        <f t="shared" si="450"/>
        <v>0</v>
      </c>
      <c r="BY772" s="4">
        <f t="shared" si="451"/>
        <v>0</v>
      </c>
      <c r="BZ772" s="37">
        <f t="shared" si="452"/>
        <v>90</v>
      </c>
      <c r="CA772" s="32" t="str">
        <f>VLOOKUP(J:J,'Agent wise'!A:C,3,0)</f>
        <v xml:space="preserve">Shiny </v>
      </c>
      <c r="CB772" s="32">
        <f t="shared" si="453"/>
        <v>45939</v>
      </c>
      <c r="CC772" t="str">
        <f t="shared" si="454"/>
        <v>Good</v>
      </c>
      <c r="CE772" s="32"/>
      <c r="CJ772">
        <f t="shared" ref="CJ772:CJ835" si="455">DAY(E772)</f>
        <v>9</v>
      </c>
      <c r="CK772">
        <f t="shared" ref="CK772:CK835" si="456">MONTH(E772)</f>
        <v>10</v>
      </c>
      <c r="CL772">
        <f t="shared" ref="CL772:CL835" si="457">YEAR(E772)</f>
        <v>2025</v>
      </c>
    </row>
    <row r="773" spans="1:90" ht="15" customHeight="1" x14ac:dyDescent="0.35">
      <c r="A773" t="s">
        <v>1879</v>
      </c>
      <c r="B773" t="s">
        <v>177</v>
      </c>
      <c r="C773" t="s">
        <v>214</v>
      </c>
      <c r="D773" t="s">
        <v>178</v>
      </c>
      <c r="E773" s="32">
        <v>45939</v>
      </c>
      <c r="F773" t="s">
        <v>54</v>
      </c>
      <c r="G773" s="2">
        <v>45879</v>
      </c>
      <c r="H773">
        <v>9486341047</v>
      </c>
      <c r="I773">
        <v>124</v>
      </c>
      <c r="J773" t="s">
        <v>546</v>
      </c>
      <c r="K773" t="s">
        <v>71</v>
      </c>
      <c r="L773" t="s">
        <v>72</v>
      </c>
      <c r="M773" t="s">
        <v>59</v>
      </c>
      <c r="N773" t="s">
        <v>59</v>
      </c>
      <c r="O773" t="s">
        <v>60</v>
      </c>
      <c r="P773" t="s">
        <v>59</v>
      </c>
      <c r="Q773" t="s">
        <v>59</v>
      </c>
      <c r="R773" t="s">
        <v>59</v>
      </c>
      <c r="S773" t="s">
        <v>59</v>
      </c>
      <c r="T773" t="s">
        <v>59</v>
      </c>
      <c r="U773" t="s">
        <v>59</v>
      </c>
      <c r="V773" t="s">
        <v>59</v>
      </c>
      <c r="W773" t="s">
        <v>59</v>
      </c>
      <c r="X773" t="s">
        <v>59</v>
      </c>
      <c r="Y773" t="s">
        <v>59</v>
      </c>
      <c r="Z773" t="s">
        <v>60</v>
      </c>
      <c r="AA773" t="s">
        <v>59</v>
      </c>
      <c r="AB773" t="s">
        <v>59</v>
      </c>
      <c r="AC773" t="s">
        <v>59</v>
      </c>
      <c r="AD773" t="s">
        <v>59</v>
      </c>
      <c r="AE773" t="s">
        <v>59</v>
      </c>
      <c r="AF773" t="s">
        <v>59</v>
      </c>
      <c r="AG773" t="s">
        <v>59</v>
      </c>
      <c r="AH773" t="s">
        <v>61</v>
      </c>
      <c r="AI773" t="s">
        <v>61</v>
      </c>
      <c r="AJ773" t="s">
        <v>59</v>
      </c>
      <c r="AK773" t="s">
        <v>59</v>
      </c>
      <c r="AL773" t="s">
        <v>59</v>
      </c>
      <c r="AM773" t="s">
        <v>59</v>
      </c>
      <c r="AN773" t="s">
        <v>59</v>
      </c>
      <c r="AO773" t="s">
        <v>59</v>
      </c>
      <c r="AP773" t="s">
        <v>1880</v>
      </c>
      <c r="AQ773" t="s">
        <v>1881</v>
      </c>
      <c r="AR773" t="s">
        <v>64</v>
      </c>
      <c r="AS773" t="s">
        <v>175</v>
      </c>
      <c r="AT773" t="s">
        <v>167</v>
      </c>
      <c r="AU773" t="s">
        <v>387</v>
      </c>
      <c r="AW773" s="4">
        <f t="shared" si="423"/>
        <v>6</v>
      </c>
      <c r="AX773" s="4">
        <f t="shared" si="424"/>
        <v>4</v>
      </c>
      <c r="AY773" s="4" t="str">
        <f t="shared" si="425"/>
        <v>0</v>
      </c>
      <c r="AZ773" s="4">
        <f t="shared" si="426"/>
        <v>2</v>
      </c>
      <c r="BA773" s="4">
        <f t="shared" si="427"/>
        <v>4</v>
      </c>
      <c r="BB773" s="4">
        <f t="shared" si="428"/>
        <v>4</v>
      </c>
      <c r="BC773" s="4">
        <f t="shared" si="429"/>
        <v>4</v>
      </c>
      <c r="BD773" s="4">
        <f t="shared" si="430"/>
        <v>2</v>
      </c>
      <c r="BE773" s="4">
        <f t="shared" si="431"/>
        <v>4</v>
      </c>
      <c r="BF773" s="4">
        <f t="shared" si="432"/>
        <v>2</v>
      </c>
      <c r="BG773" s="4">
        <f t="shared" si="433"/>
        <v>4</v>
      </c>
      <c r="BH773" s="4">
        <f t="shared" si="434"/>
        <v>4</v>
      </c>
      <c r="BI773" s="4">
        <f t="shared" si="435"/>
        <v>4</v>
      </c>
      <c r="BJ773" s="4" t="str">
        <f t="shared" si="436"/>
        <v>0</v>
      </c>
      <c r="BK773" s="4">
        <f t="shared" si="437"/>
        <v>4</v>
      </c>
      <c r="BL773" s="4">
        <f t="shared" si="438"/>
        <v>2</v>
      </c>
      <c r="BM773" s="4">
        <f t="shared" si="439"/>
        <v>4</v>
      </c>
      <c r="BN773" s="4">
        <f t="shared" si="440"/>
        <v>4</v>
      </c>
      <c r="BO773" s="4">
        <f t="shared" si="441"/>
        <v>4</v>
      </c>
      <c r="BP773" s="4">
        <f t="shared" si="442"/>
        <v>4</v>
      </c>
      <c r="BQ773" s="4">
        <f t="shared" si="443"/>
        <v>6</v>
      </c>
      <c r="BR773" s="4">
        <f t="shared" si="444"/>
        <v>4</v>
      </c>
      <c r="BS773" s="4">
        <f t="shared" si="445"/>
        <v>4</v>
      </c>
      <c r="BT773" s="4">
        <f t="shared" si="446"/>
        <v>4</v>
      </c>
      <c r="BU773" s="4">
        <f t="shared" si="447"/>
        <v>4</v>
      </c>
      <c r="BV773" s="4">
        <f t="shared" si="448"/>
        <v>0</v>
      </c>
      <c r="BW773" s="4">
        <f t="shared" si="449"/>
        <v>6</v>
      </c>
      <c r="BX773" s="4">
        <f t="shared" si="450"/>
        <v>0</v>
      </c>
      <c r="BY773" s="4">
        <f t="shared" si="451"/>
        <v>0</v>
      </c>
      <c r="BZ773" s="37">
        <f t="shared" si="452"/>
        <v>94</v>
      </c>
      <c r="CA773" s="32" t="str">
        <f>VLOOKUP(J:J,'Agent wise'!A:C,3,0)</f>
        <v>Shakeer</v>
      </c>
      <c r="CB773" s="32">
        <f t="shared" si="453"/>
        <v>45939</v>
      </c>
      <c r="CC773" t="str">
        <f t="shared" si="454"/>
        <v>Good</v>
      </c>
      <c r="CE773" s="32"/>
      <c r="CJ773">
        <f t="shared" si="455"/>
        <v>9</v>
      </c>
      <c r="CK773">
        <f t="shared" si="456"/>
        <v>10</v>
      </c>
      <c r="CL773">
        <f t="shared" si="457"/>
        <v>2025</v>
      </c>
    </row>
    <row r="774" spans="1:90" ht="15" customHeight="1" x14ac:dyDescent="0.35">
      <c r="A774" t="s">
        <v>1882</v>
      </c>
      <c r="B774" t="s">
        <v>177</v>
      </c>
      <c r="C774" t="s">
        <v>214</v>
      </c>
      <c r="D774" t="s">
        <v>178</v>
      </c>
      <c r="E774" s="32">
        <v>45940</v>
      </c>
      <c r="F774" t="s">
        <v>54</v>
      </c>
      <c r="G774" s="2">
        <v>45910</v>
      </c>
      <c r="H774">
        <v>8281426956</v>
      </c>
      <c r="I774">
        <v>114</v>
      </c>
      <c r="J774" t="s">
        <v>317</v>
      </c>
      <c r="K774" t="s">
        <v>57</v>
      </c>
      <c r="L774" t="s">
        <v>58</v>
      </c>
      <c r="M774" t="s">
        <v>59</v>
      </c>
      <c r="N774" t="s">
        <v>59</v>
      </c>
      <c r="O774" t="s">
        <v>59</v>
      </c>
      <c r="P774" t="s">
        <v>59</v>
      </c>
      <c r="Q774" t="s">
        <v>59</v>
      </c>
      <c r="R774" t="s">
        <v>59</v>
      </c>
      <c r="S774" t="s">
        <v>59</v>
      </c>
      <c r="T774" t="s">
        <v>59</v>
      </c>
      <c r="U774" t="s">
        <v>59</v>
      </c>
      <c r="V774" t="s">
        <v>59</v>
      </c>
      <c r="W774" t="s">
        <v>59</v>
      </c>
      <c r="X774" t="s">
        <v>59</v>
      </c>
      <c r="Y774" t="s">
        <v>59</v>
      </c>
      <c r="Z774" t="s">
        <v>60</v>
      </c>
      <c r="AA774" t="s">
        <v>60</v>
      </c>
      <c r="AB774" t="s">
        <v>61</v>
      </c>
      <c r="AC774" t="s">
        <v>60</v>
      </c>
      <c r="AD774" t="s">
        <v>59</v>
      </c>
      <c r="AE774" t="s">
        <v>59</v>
      </c>
      <c r="AF774" t="s">
        <v>59</v>
      </c>
      <c r="AG774" t="s">
        <v>59</v>
      </c>
      <c r="AH774" t="s">
        <v>61</v>
      </c>
      <c r="AI774" t="s">
        <v>61</v>
      </c>
      <c r="AJ774" t="s">
        <v>59</v>
      </c>
      <c r="AK774" t="s">
        <v>59</v>
      </c>
      <c r="AL774" t="s">
        <v>59</v>
      </c>
      <c r="AM774" t="s">
        <v>59</v>
      </c>
      <c r="AN774" t="s">
        <v>59</v>
      </c>
      <c r="AO774" t="s">
        <v>59</v>
      </c>
      <c r="AP774" t="s">
        <v>1883</v>
      </c>
      <c r="AQ774" t="s">
        <v>1884</v>
      </c>
      <c r="AR774" t="s">
        <v>64</v>
      </c>
      <c r="AS774" t="s">
        <v>89</v>
      </c>
      <c r="AT774" t="s">
        <v>84</v>
      </c>
      <c r="AU774" t="s">
        <v>1264</v>
      </c>
      <c r="AW774" s="4">
        <f t="shared" si="423"/>
        <v>6</v>
      </c>
      <c r="AX774" s="4">
        <f t="shared" si="424"/>
        <v>4</v>
      </c>
      <c r="AY774" s="4">
        <f t="shared" si="425"/>
        <v>4</v>
      </c>
      <c r="AZ774" s="4">
        <f t="shared" si="426"/>
        <v>2</v>
      </c>
      <c r="BA774" s="4">
        <f t="shared" si="427"/>
        <v>4</v>
      </c>
      <c r="BB774" s="4">
        <f t="shared" si="428"/>
        <v>4</v>
      </c>
      <c r="BC774" s="4">
        <f t="shared" si="429"/>
        <v>4</v>
      </c>
      <c r="BD774" s="4">
        <f t="shared" si="430"/>
        <v>2</v>
      </c>
      <c r="BE774" s="4">
        <f t="shared" si="431"/>
        <v>4</v>
      </c>
      <c r="BF774" s="4">
        <f t="shared" si="432"/>
        <v>2</v>
      </c>
      <c r="BG774" s="4">
        <f t="shared" si="433"/>
        <v>4</v>
      </c>
      <c r="BH774" s="4">
        <f t="shared" si="434"/>
        <v>4</v>
      </c>
      <c r="BI774" s="4">
        <f t="shared" si="435"/>
        <v>4</v>
      </c>
      <c r="BJ774" s="4" t="str">
        <f t="shared" si="436"/>
        <v>0</v>
      </c>
      <c r="BK774" s="4" t="str">
        <f t="shared" si="437"/>
        <v>0</v>
      </c>
      <c r="BL774" s="4">
        <f t="shared" si="438"/>
        <v>2</v>
      </c>
      <c r="BM774" s="4" t="str">
        <f t="shared" si="439"/>
        <v>0</v>
      </c>
      <c r="BN774" s="4">
        <f t="shared" si="440"/>
        <v>4</v>
      </c>
      <c r="BO774" s="4">
        <f t="shared" si="441"/>
        <v>4</v>
      </c>
      <c r="BP774" s="4">
        <f t="shared" si="442"/>
        <v>4</v>
      </c>
      <c r="BQ774" s="4">
        <f t="shared" si="443"/>
        <v>6</v>
      </c>
      <c r="BR774" s="4">
        <f t="shared" si="444"/>
        <v>4</v>
      </c>
      <c r="BS774" s="4">
        <f t="shared" si="445"/>
        <v>4</v>
      </c>
      <c r="BT774" s="4">
        <f t="shared" si="446"/>
        <v>4</v>
      </c>
      <c r="BU774" s="4">
        <f t="shared" si="447"/>
        <v>4</v>
      </c>
      <c r="BV774" s="4">
        <f t="shared" si="448"/>
        <v>0</v>
      </c>
      <c r="BW774" s="4">
        <f t="shared" si="449"/>
        <v>6</v>
      </c>
      <c r="BX774" s="4">
        <f t="shared" si="450"/>
        <v>0</v>
      </c>
      <c r="BY774" s="4">
        <f t="shared" si="451"/>
        <v>0</v>
      </c>
      <c r="BZ774" s="37">
        <f t="shared" si="452"/>
        <v>90</v>
      </c>
      <c r="CA774" s="32" t="str">
        <f>VLOOKUP(J:J,'Agent wise'!A:C,3,0)</f>
        <v>Adharsh</v>
      </c>
      <c r="CB774" s="32">
        <f t="shared" si="453"/>
        <v>45940</v>
      </c>
      <c r="CC774" t="str">
        <f t="shared" si="454"/>
        <v>Good</v>
      </c>
      <c r="CE774" s="32"/>
      <c r="CJ774">
        <f t="shared" si="455"/>
        <v>10</v>
      </c>
      <c r="CK774">
        <f t="shared" si="456"/>
        <v>10</v>
      </c>
      <c r="CL774">
        <f t="shared" si="457"/>
        <v>2025</v>
      </c>
    </row>
    <row r="775" spans="1:90" ht="15" customHeight="1" x14ac:dyDescent="0.35">
      <c r="A775" t="s">
        <v>1885</v>
      </c>
      <c r="B775" t="s">
        <v>177</v>
      </c>
      <c r="C775" t="s">
        <v>214</v>
      </c>
      <c r="D775" t="s">
        <v>178</v>
      </c>
      <c r="E775" s="32">
        <v>45941</v>
      </c>
      <c r="F775" t="s">
        <v>54</v>
      </c>
      <c r="G775" s="2">
        <v>45940</v>
      </c>
      <c r="H775">
        <v>9176102413</v>
      </c>
      <c r="I775">
        <v>126</v>
      </c>
      <c r="J775" t="s">
        <v>335</v>
      </c>
      <c r="K775" t="s">
        <v>71</v>
      </c>
      <c r="L775" t="s">
        <v>72</v>
      </c>
      <c r="M775" t="s">
        <v>59</v>
      </c>
      <c r="N775" t="s">
        <v>59</v>
      </c>
      <c r="O775" t="s">
        <v>60</v>
      </c>
      <c r="P775" t="s">
        <v>59</v>
      </c>
      <c r="Q775" t="s">
        <v>59</v>
      </c>
      <c r="R775" t="s">
        <v>59</v>
      </c>
      <c r="S775" t="s">
        <v>59</v>
      </c>
      <c r="T775" t="s">
        <v>59</v>
      </c>
      <c r="U775" t="s">
        <v>59</v>
      </c>
      <c r="V775" t="s">
        <v>59</v>
      </c>
      <c r="W775" t="s">
        <v>59</v>
      </c>
      <c r="X775" t="s">
        <v>59</v>
      </c>
      <c r="Y775" t="s">
        <v>59</v>
      </c>
      <c r="Z775" t="s">
        <v>59</v>
      </c>
      <c r="AA775" t="s">
        <v>60</v>
      </c>
      <c r="AB775" t="s">
        <v>60</v>
      </c>
      <c r="AC775" t="s">
        <v>61</v>
      </c>
      <c r="AD775" t="s">
        <v>59</v>
      </c>
      <c r="AE775" t="s">
        <v>60</v>
      </c>
      <c r="AF775" t="s">
        <v>59</v>
      </c>
      <c r="AG775" t="s">
        <v>60</v>
      </c>
      <c r="AH775" t="s">
        <v>59</v>
      </c>
      <c r="AI775" t="s">
        <v>61</v>
      </c>
      <c r="AJ775" t="s">
        <v>59</v>
      </c>
      <c r="AK775" t="s">
        <v>59</v>
      </c>
      <c r="AL775" t="s">
        <v>59</v>
      </c>
      <c r="AM775" t="s">
        <v>59</v>
      </c>
      <c r="AN775" t="s">
        <v>59</v>
      </c>
      <c r="AO775" t="s">
        <v>59</v>
      </c>
      <c r="AP775" t="s">
        <v>1886</v>
      </c>
      <c r="AQ775" t="s">
        <v>1884</v>
      </c>
      <c r="AR775" t="s">
        <v>64</v>
      </c>
      <c r="AS775" t="s">
        <v>89</v>
      </c>
      <c r="AT775" t="s">
        <v>105</v>
      </c>
      <c r="AU775" t="s">
        <v>1264</v>
      </c>
      <c r="AW775" s="4">
        <f t="shared" si="423"/>
        <v>6</v>
      </c>
      <c r="AX775" s="4">
        <f t="shared" si="424"/>
        <v>4</v>
      </c>
      <c r="AY775" s="4" t="str">
        <f t="shared" si="425"/>
        <v>0</v>
      </c>
      <c r="AZ775" s="4">
        <f t="shared" si="426"/>
        <v>2</v>
      </c>
      <c r="BA775" s="4">
        <f t="shared" si="427"/>
        <v>4</v>
      </c>
      <c r="BB775" s="4">
        <f t="shared" si="428"/>
        <v>4</v>
      </c>
      <c r="BC775" s="4">
        <f t="shared" si="429"/>
        <v>4</v>
      </c>
      <c r="BD775" s="4">
        <f t="shared" si="430"/>
        <v>2</v>
      </c>
      <c r="BE775" s="4">
        <f t="shared" si="431"/>
        <v>4</v>
      </c>
      <c r="BF775" s="4">
        <f t="shared" si="432"/>
        <v>2</v>
      </c>
      <c r="BG775" s="4">
        <f t="shared" si="433"/>
        <v>4</v>
      </c>
      <c r="BH775" s="4">
        <f t="shared" si="434"/>
        <v>4</v>
      </c>
      <c r="BI775" s="4">
        <f t="shared" si="435"/>
        <v>4</v>
      </c>
      <c r="BJ775" s="4">
        <f t="shared" si="436"/>
        <v>2</v>
      </c>
      <c r="BK775" s="4" t="str">
        <f t="shared" si="437"/>
        <v>0</v>
      </c>
      <c r="BL775" s="4" t="str">
        <f t="shared" si="438"/>
        <v>0</v>
      </c>
      <c r="BM775" s="4">
        <f t="shared" si="439"/>
        <v>4</v>
      </c>
      <c r="BN775" s="4">
        <f t="shared" si="440"/>
        <v>4</v>
      </c>
      <c r="BO775" s="4" t="str">
        <f t="shared" si="441"/>
        <v>0</v>
      </c>
      <c r="BP775" s="4">
        <f t="shared" si="442"/>
        <v>4</v>
      </c>
      <c r="BQ775" s="4" t="str">
        <f t="shared" si="443"/>
        <v>0</v>
      </c>
      <c r="BR775" s="4">
        <f t="shared" si="444"/>
        <v>4</v>
      </c>
      <c r="BS775" s="4">
        <f t="shared" si="445"/>
        <v>4</v>
      </c>
      <c r="BT775" s="4">
        <f t="shared" si="446"/>
        <v>4</v>
      </c>
      <c r="BU775" s="4">
        <f t="shared" si="447"/>
        <v>4</v>
      </c>
      <c r="BV775" s="4">
        <f t="shared" si="448"/>
        <v>0</v>
      </c>
      <c r="BW775" s="4">
        <f t="shared" si="449"/>
        <v>6</v>
      </c>
      <c r="BX775" s="4">
        <f t="shared" si="450"/>
        <v>0</v>
      </c>
      <c r="BY775" s="4">
        <f t="shared" si="451"/>
        <v>0</v>
      </c>
      <c r="BZ775" s="37">
        <f t="shared" si="452"/>
        <v>80</v>
      </c>
      <c r="CA775" s="32" t="str">
        <f>VLOOKUP(J:J,'Agent wise'!A:C,3,0)</f>
        <v xml:space="preserve">Shiny </v>
      </c>
      <c r="CB775" s="32">
        <f t="shared" si="453"/>
        <v>45941</v>
      </c>
      <c r="CC775" t="str">
        <f t="shared" si="454"/>
        <v>FC</v>
      </c>
      <c r="CE775" s="32"/>
      <c r="CJ775">
        <f t="shared" si="455"/>
        <v>11</v>
      </c>
      <c r="CK775">
        <f t="shared" si="456"/>
        <v>10</v>
      </c>
      <c r="CL775">
        <f t="shared" si="457"/>
        <v>2025</v>
      </c>
    </row>
    <row r="776" spans="1:90" ht="15" customHeight="1" x14ac:dyDescent="0.35">
      <c r="A776" t="s">
        <v>1887</v>
      </c>
      <c r="B776" t="s">
        <v>177</v>
      </c>
      <c r="C776" t="s">
        <v>214</v>
      </c>
      <c r="D776" t="s">
        <v>178</v>
      </c>
      <c r="E776" s="32">
        <v>45941</v>
      </c>
      <c r="F776" t="s">
        <v>54</v>
      </c>
      <c r="G776" s="2">
        <v>46001</v>
      </c>
      <c r="H776">
        <v>7339503348</v>
      </c>
      <c r="I776">
        <v>120</v>
      </c>
      <c r="J776" t="s">
        <v>252</v>
      </c>
      <c r="K776" t="s">
        <v>71</v>
      </c>
      <c r="L776" t="s">
        <v>72</v>
      </c>
      <c r="M776" t="s">
        <v>59</v>
      </c>
      <c r="N776" t="s">
        <v>59</v>
      </c>
      <c r="O776" t="s">
        <v>59</v>
      </c>
      <c r="P776" t="s">
        <v>59</v>
      </c>
      <c r="Q776" t="s">
        <v>59</v>
      </c>
      <c r="R776" t="s">
        <v>59</v>
      </c>
      <c r="S776" t="s">
        <v>59</v>
      </c>
      <c r="T776" t="s">
        <v>59</v>
      </c>
      <c r="U776" t="s">
        <v>59</v>
      </c>
      <c r="V776" t="s">
        <v>59</v>
      </c>
      <c r="W776" t="s">
        <v>59</v>
      </c>
      <c r="X776" t="s">
        <v>59</v>
      </c>
      <c r="Y776" t="s">
        <v>59</v>
      </c>
      <c r="Z776" t="s">
        <v>59</v>
      </c>
      <c r="AA776" t="s">
        <v>59</v>
      </c>
      <c r="AB776" t="s">
        <v>59</v>
      </c>
      <c r="AC776" t="s">
        <v>61</v>
      </c>
      <c r="AD776" t="s">
        <v>61</v>
      </c>
      <c r="AE776" t="s">
        <v>60</v>
      </c>
      <c r="AF776" t="s">
        <v>59</v>
      </c>
      <c r="AG776" t="s">
        <v>60</v>
      </c>
      <c r="AH776" t="s">
        <v>61</v>
      </c>
      <c r="AI776" t="s">
        <v>61</v>
      </c>
      <c r="AJ776" t="s">
        <v>59</v>
      </c>
      <c r="AK776" t="s">
        <v>59</v>
      </c>
      <c r="AL776" t="s">
        <v>59</v>
      </c>
      <c r="AM776" t="s">
        <v>59</v>
      </c>
      <c r="AN776" t="s">
        <v>59</v>
      </c>
      <c r="AO776" t="s">
        <v>59</v>
      </c>
      <c r="AP776" t="s">
        <v>1888</v>
      </c>
      <c r="AQ776" t="s">
        <v>1889</v>
      </c>
      <c r="AR776" t="s">
        <v>64</v>
      </c>
      <c r="AS776" t="s">
        <v>1313</v>
      </c>
      <c r="AT776" t="s">
        <v>1890</v>
      </c>
      <c r="AU776" t="s">
        <v>387</v>
      </c>
      <c r="AW776" s="4">
        <f t="shared" si="423"/>
        <v>6</v>
      </c>
      <c r="AX776" s="4">
        <f t="shared" si="424"/>
        <v>4</v>
      </c>
      <c r="AY776" s="4">
        <f t="shared" si="425"/>
        <v>4</v>
      </c>
      <c r="AZ776" s="4">
        <f t="shared" si="426"/>
        <v>2</v>
      </c>
      <c r="BA776" s="4">
        <f t="shared" si="427"/>
        <v>4</v>
      </c>
      <c r="BB776" s="4">
        <f t="shared" si="428"/>
        <v>4</v>
      </c>
      <c r="BC776" s="4">
        <f t="shared" si="429"/>
        <v>4</v>
      </c>
      <c r="BD776" s="4">
        <f t="shared" si="430"/>
        <v>2</v>
      </c>
      <c r="BE776" s="4">
        <f t="shared" si="431"/>
        <v>4</v>
      </c>
      <c r="BF776" s="4">
        <f t="shared" si="432"/>
        <v>2</v>
      </c>
      <c r="BG776" s="4">
        <f t="shared" si="433"/>
        <v>4</v>
      </c>
      <c r="BH776" s="4">
        <f t="shared" si="434"/>
        <v>4</v>
      </c>
      <c r="BI776" s="4">
        <f t="shared" si="435"/>
        <v>4</v>
      </c>
      <c r="BJ776" s="4">
        <f t="shared" si="436"/>
        <v>2</v>
      </c>
      <c r="BK776" s="4">
        <f t="shared" si="437"/>
        <v>4</v>
      </c>
      <c r="BL776" s="4">
        <f t="shared" si="438"/>
        <v>2</v>
      </c>
      <c r="BM776" s="4">
        <f t="shared" si="439"/>
        <v>4</v>
      </c>
      <c r="BN776" s="4">
        <f t="shared" si="440"/>
        <v>4</v>
      </c>
      <c r="BO776" s="4" t="str">
        <f t="shared" si="441"/>
        <v>0</v>
      </c>
      <c r="BP776" s="4">
        <f t="shared" si="442"/>
        <v>4</v>
      </c>
      <c r="BQ776" s="4" t="str">
        <f t="shared" si="443"/>
        <v>0</v>
      </c>
      <c r="BR776" s="4">
        <f t="shared" si="444"/>
        <v>4</v>
      </c>
      <c r="BS776" s="4">
        <f t="shared" si="445"/>
        <v>4</v>
      </c>
      <c r="BT776" s="4">
        <f t="shared" si="446"/>
        <v>4</v>
      </c>
      <c r="BU776" s="4">
        <f t="shared" si="447"/>
        <v>4</v>
      </c>
      <c r="BV776" s="4">
        <f t="shared" si="448"/>
        <v>0</v>
      </c>
      <c r="BW776" s="4">
        <f t="shared" si="449"/>
        <v>6</v>
      </c>
      <c r="BX776" s="4">
        <f t="shared" si="450"/>
        <v>0</v>
      </c>
      <c r="BY776" s="4">
        <f t="shared" si="451"/>
        <v>0</v>
      </c>
      <c r="BZ776" s="37">
        <f t="shared" si="452"/>
        <v>90</v>
      </c>
      <c r="CA776" s="32" t="str">
        <f>VLOOKUP(J:J,'Agent wise'!A:C,3,0)</f>
        <v xml:space="preserve">Shiny </v>
      </c>
      <c r="CB776" s="32">
        <f t="shared" si="453"/>
        <v>45941</v>
      </c>
      <c r="CC776" t="str">
        <f t="shared" si="454"/>
        <v>Good</v>
      </c>
      <c r="CE776" s="32"/>
      <c r="CJ776">
        <f t="shared" si="455"/>
        <v>11</v>
      </c>
      <c r="CK776">
        <f t="shared" si="456"/>
        <v>10</v>
      </c>
      <c r="CL776">
        <f t="shared" si="457"/>
        <v>2025</v>
      </c>
    </row>
    <row r="777" spans="1:90" ht="15" customHeight="1" x14ac:dyDescent="0.35">
      <c r="A777" t="s">
        <v>1891</v>
      </c>
      <c r="B777" t="s">
        <v>177</v>
      </c>
      <c r="C777" t="s">
        <v>214</v>
      </c>
      <c r="D777" t="s">
        <v>178</v>
      </c>
      <c r="E777" s="32">
        <v>45942</v>
      </c>
      <c r="F777" t="s">
        <v>54</v>
      </c>
      <c r="G777" s="2">
        <v>45971</v>
      </c>
      <c r="H777">
        <v>9496421079</v>
      </c>
      <c r="I777">
        <v>135</v>
      </c>
      <c r="J777" t="s">
        <v>464</v>
      </c>
      <c r="K777" t="s">
        <v>57</v>
      </c>
      <c r="L777" t="s">
        <v>58</v>
      </c>
      <c r="M777" t="s">
        <v>59</v>
      </c>
      <c r="N777" t="s">
        <v>59</v>
      </c>
      <c r="O777" t="s">
        <v>59</v>
      </c>
      <c r="P777" t="s">
        <v>59</v>
      </c>
      <c r="Q777" t="s">
        <v>59</v>
      </c>
      <c r="R777" t="s">
        <v>59</v>
      </c>
      <c r="S777" t="s">
        <v>59</v>
      </c>
      <c r="T777" t="s">
        <v>59</v>
      </c>
      <c r="U777" t="s">
        <v>59</v>
      </c>
      <c r="V777" t="s">
        <v>59</v>
      </c>
      <c r="W777" t="s">
        <v>59</v>
      </c>
      <c r="X777" t="s">
        <v>59</v>
      </c>
      <c r="Y777" t="s">
        <v>59</v>
      </c>
      <c r="Z777" t="s">
        <v>59</v>
      </c>
      <c r="AA777" t="s">
        <v>59</v>
      </c>
      <c r="AB777" t="s">
        <v>59</v>
      </c>
      <c r="AC777" t="s">
        <v>61</v>
      </c>
      <c r="AD777" t="s">
        <v>59</v>
      </c>
      <c r="AE777" t="s">
        <v>59</v>
      </c>
      <c r="AF777" t="s">
        <v>59</v>
      </c>
      <c r="AG777" t="s">
        <v>59</v>
      </c>
      <c r="AH777" t="s">
        <v>61</v>
      </c>
      <c r="AI777" t="s">
        <v>61</v>
      </c>
      <c r="AJ777" t="s">
        <v>59</v>
      </c>
      <c r="AK777" t="s">
        <v>59</v>
      </c>
      <c r="AL777" t="s">
        <v>60</v>
      </c>
      <c r="AM777" t="s">
        <v>59</v>
      </c>
      <c r="AN777" t="s">
        <v>59</v>
      </c>
      <c r="AO777" t="s">
        <v>59</v>
      </c>
      <c r="AP777" t="s">
        <v>1267</v>
      </c>
      <c r="AQ777" t="s">
        <v>1878</v>
      </c>
      <c r="AR777" t="s">
        <v>64</v>
      </c>
      <c r="AS777" t="s">
        <v>89</v>
      </c>
      <c r="AT777" t="s">
        <v>84</v>
      </c>
      <c r="AU777" t="s">
        <v>387</v>
      </c>
      <c r="AW777" s="4">
        <f t="shared" si="423"/>
        <v>6</v>
      </c>
      <c r="AX777" s="4">
        <f t="shared" si="424"/>
        <v>4</v>
      </c>
      <c r="AY777" s="4">
        <f t="shared" si="425"/>
        <v>4</v>
      </c>
      <c r="AZ777" s="4">
        <f t="shared" si="426"/>
        <v>2</v>
      </c>
      <c r="BA777" s="4">
        <f t="shared" si="427"/>
        <v>4</v>
      </c>
      <c r="BB777" s="4">
        <f t="shared" si="428"/>
        <v>4</v>
      </c>
      <c r="BC777" s="4">
        <f t="shared" si="429"/>
        <v>4</v>
      </c>
      <c r="BD777" s="4">
        <f t="shared" si="430"/>
        <v>2</v>
      </c>
      <c r="BE777" s="4">
        <f t="shared" si="431"/>
        <v>4</v>
      </c>
      <c r="BF777" s="4">
        <f t="shared" si="432"/>
        <v>2</v>
      </c>
      <c r="BG777" s="4">
        <f t="shared" si="433"/>
        <v>4</v>
      </c>
      <c r="BH777" s="4">
        <f t="shared" si="434"/>
        <v>4</v>
      </c>
      <c r="BI777" s="4">
        <f t="shared" si="435"/>
        <v>4</v>
      </c>
      <c r="BJ777" s="4">
        <f t="shared" si="436"/>
        <v>2</v>
      </c>
      <c r="BK777" s="4">
        <f t="shared" si="437"/>
        <v>4</v>
      </c>
      <c r="BL777" s="4">
        <f t="shared" si="438"/>
        <v>2</v>
      </c>
      <c r="BM777" s="4">
        <f t="shared" si="439"/>
        <v>4</v>
      </c>
      <c r="BN777" s="4">
        <f t="shared" si="440"/>
        <v>4</v>
      </c>
      <c r="BO777" s="4">
        <f t="shared" si="441"/>
        <v>4</v>
      </c>
      <c r="BP777" s="4">
        <f t="shared" si="442"/>
        <v>4</v>
      </c>
      <c r="BQ777" s="4">
        <f t="shared" si="443"/>
        <v>6</v>
      </c>
      <c r="BR777" s="4">
        <f t="shared" si="444"/>
        <v>4</v>
      </c>
      <c r="BS777" s="4">
        <f t="shared" si="445"/>
        <v>4</v>
      </c>
      <c r="BT777" s="4">
        <f t="shared" si="446"/>
        <v>4</v>
      </c>
      <c r="BU777" s="4">
        <f t="shared" si="447"/>
        <v>4</v>
      </c>
      <c r="BV777" s="4" t="str">
        <f t="shared" si="448"/>
        <v>0</v>
      </c>
      <c r="BW777" s="4">
        <f t="shared" si="449"/>
        <v>6</v>
      </c>
      <c r="BX777" s="4">
        <f t="shared" si="450"/>
        <v>0</v>
      </c>
      <c r="BY777" s="4">
        <f t="shared" si="451"/>
        <v>0</v>
      </c>
      <c r="BZ777" s="37">
        <f t="shared" si="452"/>
        <v>100</v>
      </c>
      <c r="CA777" s="32" t="str">
        <f>VLOOKUP(J:J,'Agent wise'!A:C,3,0)</f>
        <v>Adharsh</v>
      </c>
      <c r="CB777" s="32">
        <f t="shared" si="453"/>
        <v>45942</v>
      </c>
      <c r="CC777" t="str">
        <f t="shared" si="454"/>
        <v>Excellent</v>
      </c>
      <c r="CE777" s="32"/>
      <c r="CJ777">
        <f t="shared" si="455"/>
        <v>12</v>
      </c>
      <c r="CK777">
        <f t="shared" si="456"/>
        <v>10</v>
      </c>
      <c r="CL777">
        <f t="shared" si="457"/>
        <v>2025</v>
      </c>
    </row>
    <row r="778" spans="1:90" ht="15" customHeight="1" x14ac:dyDescent="0.35">
      <c r="A778" t="s">
        <v>1892</v>
      </c>
      <c r="B778" t="s">
        <v>177</v>
      </c>
      <c r="C778" t="s">
        <v>214</v>
      </c>
      <c r="D778" t="s">
        <v>178</v>
      </c>
      <c r="E778" s="32">
        <v>45942</v>
      </c>
      <c r="F778" t="s">
        <v>54</v>
      </c>
      <c r="G778" s="2">
        <v>45971</v>
      </c>
      <c r="H778">
        <v>9565700092</v>
      </c>
      <c r="I778">
        <v>139</v>
      </c>
      <c r="J778" t="s">
        <v>263</v>
      </c>
      <c r="K778" t="s">
        <v>57</v>
      </c>
      <c r="L778" t="s">
        <v>58</v>
      </c>
      <c r="M778" t="s">
        <v>59</v>
      </c>
      <c r="N778" t="s">
        <v>59</v>
      </c>
      <c r="O778" t="s">
        <v>60</v>
      </c>
      <c r="P778" t="s">
        <v>59</v>
      </c>
      <c r="Q778" t="s">
        <v>59</v>
      </c>
      <c r="R778" t="s">
        <v>59</v>
      </c>
      <c r="S778" t="s">
        <v>59</v>
      </c>
      <c r="T778" t="s">
        <v>59</v>
      </c>
      <c r="U778" t="s">
        <v>59</v>
      </c>
      <c r="V778" t="s">
        <v>59</v>
      </c>
      <c r="W778" t="s">
        <v>59</v>
      </c>
      <c r="X778" t="s">
        <v>59</v>
      </c>
      <c r="Y778" t="s">
        <v>59</v>
      </c>
      <c r="Z778" t="s">
        <v>59</v>
      </c>
      <c r="AA778" t="s">
        <v>59</v>
      </c>
      <c r="AB778" t="s">
        <v>59</v>
      </c>
      <c r="AC778" t="s">
        <v>59</v>
      </c>
      <c r="AD778" t="s">
        <v>59</v>
      </c>
      <c r="AE778" t="s">
        <v>59</v>
      </c>
      <c r="AF778" t="s">
        <v>59</v>
      </c>
      <c r="AG778" t="s">
        <v>59</v>
      </c>
      <c r="AH778" t="s">
        <v>61</v>
      </c>
      <c r="AI778" t="s">
        <v>61</v>
      </c>
      <c r="AJ778" t="s">
        <v>59</v>
      </c>
      <c r="AK778" t="s">
        <v>59</v>
      </c>
      <c r="AL778" t="s">
        <v>59</v>
      </c>
      <c r="AM778" t="s">
        <v>59</v>
      </c>
      <c r="AN778" t="s">
        <v>59</v>
      </c>
      <c r="AO778" t="s">
        <v>59</v>
      </c>
      <c r="AP778" t="s">
        <v>14</v>
      </c>
      <c r="AQ778" t="s">
        <v>1893</v>
      </c>
      <c r="AR778" t="s">
        <v>64</v>
      </c>
      <c r="AS778" t="s">
        <v>171</v>
      </c>
      <c r="AT778" t="s">
        <v>190</v>
      </c>
      <c r="AU778" t="s">
        <v>219</v>
      </c>
      <c r="AW778" s="4">
        <f t="shared" si="423"/>
        <v>6</v>
      </c>
      <c r="AX778" s="4">
        <f t="shared" si="424"/>
        <v>4</v>
      </c>
      <c r="AY778" s="4" t="str">
        <f t="shared" si="425"/>
        <v>0</v>
      </c>
      <c r="AZ778" s="4">
        <f t="shared" si="426"/>
        <v>2</v>
      </c>
      <c r="BA778" s="4">
        <f t="shared" si="427"/>
        <v>4</v>
      </c>
      <c r="BB778" s="4">
        <f t="shared" si="428"/>
        <v>4</v>
      </c>
      <c r="BC778" s="4">
        <f t="shared" si="429"/>
        <v>4</v>
      </c>
      <c r="BD778" s="4">
        <f t="shared" si="430"/>
        <v>2</v>
      </c>
      <c r="BE778" s="4">
        <f t="shared" si="431"/>
        <v>4</v>
      </c>
      <c r="BF778" s="4">
        <f t="shared" si="432"/>
        <v>2</v>
      </c>
      <c r="BG778" s="4">
        <f t="shared" si="433"/>
        <v>4</v>
      </c>
      <c r="BH778" s="4">
        <f t="shared" si="434"/>
        <v>4</v>
      </c>
      <c r="BI778" s="4">
        <f t="shared" si="435"/>
        <v>4</v>
      </c>
      <c r="BJ778" s="4">
        <f t="shared" si="436"/>
        <v>2</v>
      </c>
      <c r="BK778" s="4">
        <f t="shared" si="437"/>
        <v>4</v>
      </c>
      <c r="BL778" s="4">
        <f t="shared" si="438"/>
        <v>2</v>
      </c>
      <c r="BM778" s="4">
        <f t="shared" si="439"/>
        <v>4</v>
      </c>
      <c r="BN778" s="4">
        <f t="shared" si="440"/>
        <v>4</v>
      </c>
      <c r="BO778" s="4">
        <f t="shared" si="441"/>
        <v>4</v>
      </c>
      <c r="BP778" s="4">
        <f t="shared" si="442"/>
        <v>4</v>
      </c>
      <c r="BQ778" s="4">
        <f t="shared" si="443"/>
        <v>6</v>
      </c>
      <c r="BR778" s="4">
        <f t="shared" si="444"/>
        <v>4</v>
      </c>
      <c r="BS778" s="4">
        <f t="shared" si="445"/>
        <v>4</v>
      </c>
      <c r="BT778" s="4">
        <f t="shared" si="446"/>
        <v>4</v>
      </c>
      <c r="BU778" s="4">
        <f t="shared" si="447"/>
        <v>4</v>
      </c>
      <c r="BV778" s="4">
        <f t="shared" si="448"/>
        <v>0</v>
      </c>
      <c r="BW778" s="4">
        <f t="shared" si="449"/>
        <v>6</v>
      </c>
      <c r="BX778" s="4">
        <f t="shared" si="450"/>
        <v>0</v>
      </c>
      <c r="BY778" s="4">
        <f t="shared" si="451"/>
        <v>0</v>
      </c>
      <c r="BZ778" s="37">
        <f t="shared" si="452"/>
        <v>96</v>
      </c>
      <c r="CA778" s="32" t="str">
        <f>VLOOKUP(J:J,'Agent wise'!A:C,3,0)</f>
        <v>Adharsh</v>
      </c>
      <c r="CB778" s="32">
        <f t="shared" si="453"/>
        <v>45942</v>
      </c>
      <c r="CC778" t="str">
        <f t="shared" si="454"/>
        <v>Excellent</v>
      </c>
      <c r="CE778" s="32"/>
      <c r="CJ778">
        <f t="shared" si="455"/>
        <v>12</v>
      </c>
      <c r="CK778">
        <f t="shared" si="456"/>
        <v>10</v>
      </c>
      <c r="CL778">
        <f t="shared" si="457"/>
        <v>2025</v>
      </c>
    </row>
    <row r="779" spans="1:90" ht="15" customHeight="1" x14ac:dyDescent="0.35">
      <c r="A779" t="s">
        <v>1894</v>
      </c>
      <c r="B779" t="s">
        <v>177</v>
      </c>
      <c r="C779" t="s">
        <v>214</v>
      </c>
      <c r="D779" t="s">
        <v>178</v>
      </c>
      <c r="E779" s="32">
        <v>45943</v>
      </c>
      <c r="F779" t="s">
        <v>54</v>
      </c>
      <c r="G779" s="2">
        <v>46001</v>
      </c>
      <c r="H779">
        <v>9445255304</v>
      </c>
      <c r="I779">
        <v>128</v>
      </c>
      <c r="J779" t="s">
        <v>173</v>
      </c>
      <c r="K779" t="s">
        <v>71</v>
      </c>
      <c r="L779" t="s">
        <v>72</v>
      </c>
      <c r="M779" t="s">
        <v>59</v>
      </c>
      <c r="N779" t="s">
        <v>59</v>
      </c>
      <c r="O779" t="s">
        <v>60</v>
      </c>
      <c r="P779" t="s">
        <v>59</v>
      </c>
      <c r="Q779" t="s">
        <v>59</v>
      </c>
      <c r="R779" t="s">
        <v>59</v>
      </c>
      <c r="S779" t="s">
        <v>59</v>
      </c>
      <c r="T779" t="s">
        <v>59</v>
      </c>
      <c r="U779" t="s">
        <v>59</v>
      </c>
      <c r="V779" t="s">
        <v>59</v>
      </c>
      <c r="W779" t="s">
        <v>59</v>
      </c>
      <c r="X779" t="s">
        <v>59</v>
      </c>
      <c r="Y779" t="s">
        <v>59</v>
      </c>
      <c r="Z779" t="s">
        <v>59</v>
      </c>
      <c r="AA779" t="s">
        <v>59</v>
      </c>
      <c r="AB779" t="s">
        <v>59</v>
      </c>
      <c r="AC779" t="s">
        <v>60</v>
      </c>
      <c r="AD779" t="s">
        <v>59</v>
      </c>
      <c r="AE779" t="s">
        <v>60</v>
      </c>
      <c r="AF779" t="s">
        <v>59</v>
      </c>
      <c r="AG779" t="s">
        <v>59</v>
      </c>
      <c r="AH779" t="s">
        <v>61</v>
      </c>
      <c r="AI779" t="s">
        <v>61</v>
      </c>
      <c r="AJ779" t="s">
        <v>59</v>
      </c>
      <c r="AK779" t="s">
        <v>59</v>
      </c>
      <c r="AL779" t="s">
        <v>60</v>
      </c>
      <c r="AM779" t="s">
        <v>59</v>
      </c>
      <c r="AN779" t="s">
        <v>59</v>
      </c>
      <c r="AO779" t="s">
        <v>59</v>
      </c>
      <c r="AP779" t="s">
        <v>1895</v>
      </c>
      <c r="AQ779" t="s">
        <v>1878</v>
      </c>
      <c r="AR779" t="s">
        <v>64</v>
      </c>
      <c r="AS779" t="s">
        <v>89</v>
      </c>
      <c r="AT779" t="s">
        <v>742</v>
      </c>
      <c r="AU779" t="s">
        <v>448</v>
      </c>
      <c r="AW779" s="4">
        <f t="shared" si="423"/>
        <v>6</v>
      </c>
      <c r="AX779" s="4">
        <f t="shared" si="424"/>
        <v>4</v>
      </c>
      <c r="AY779" s="4" t="str">
        <f t="shared" si="425"/>
        <v>0</v>
      </c>
      <c r="AZ779" s="4">
        <f t="shared" si="426"/>
        <v>2</v>
      </c>
      <c r="BA779" s="4">
        <f t="shared" si="427"/>
        <v>4</v>
      </c>
      <c r="BB779" s="4">
        <f t="shared" si="428"/>
        <v>4</v>
      </c>
      <c r="BC779" s="4">
        <f t="shared" si="429"/>
        <v>4</v>
      </c>
      <c r="BD779" s="4">
        <f t="shared" si="430"/>
        <v>2</v>
      </c>
      <c r="BE779" s="4">
        <f t="shared" si="431"/>
        <v>4</v>
      </c>
      <c r="BF779" s="4">
        <f t="shared" si="432"/>
        <v>2</v>
      </c>
      <c r="BG779" s="4">
        <f t="shared" si="433"/>
        <v>4</v>
      </c>
      <c r="BH779" s="4">
        <f t="shared" si="434"/>
        <v>4</v>
      </c>
      <c r="BI779" s="4">
        <f t="shared" si="435"/>
        <v>4</v>
      </c>
      <c r="BJ779" s="4">
        <f t="shared" si="436"/>
        <v>2</v>
      </c>
      <c r="BK779" s="4">
        <f t="shared" si="437"/>
        <v>4</v>
      </c>
      <c r="BL779" s="4">
        <f t="shared" si="438"/>
        <v>2</v>
      </c>
      <c r="BM779" s="4" t="str">
        <f t="shared" si="439"/>
        <v>0</v>
      </c>
      <c r="BN779" s="4">
        <f t="shared" si="440"/>
        <v>4</v>
      </c>
      <c r="BO779" s="4" t="str">
        <f t="shared" si="441"/>
        <v>0</v>
      </c>
      <c r="BP779" s="4">
        <f t="shared" si="442"/>
        <v>4</v>
      </c>
      <c r="BQ779" s="4">
        <f t="shared" si="443"/>
        <v>6</v>
      </c>
      <c r="BR779" s="4">
        <f t="shared" si="444"/>
        <v>4</v>
      </c>
      <c r="BS779" s="4">
        <f t="shared" si="445"/>
        <v>4</v>
      </c>
      <c r="BT779" s="4">
        <f t="shared" si="446"/>
        <v>4</v>
      </c>
      <c r="BU779" s="4">
        <f t="shared" si="447"/>
        <v>4</v>
      </c>
      <c r="BV779" s="4" t="str">
        <f t="shared" si="448"/>
        <v>0</v>
      </c>
      <c r="BW779" s="4">
        <f t="shared" si="449"/>
        <v>6</v>
      </c>
      <c r="BX779" s="4">
        <f t="shared" si="450"/>
        <v>0</v>
      </c>
      <c r="BY779" s="4">
        <f t="shared" si="451"/>
        <v>0</v>
      </c>
      <c r="BZ779" s="37">
        <f t="shared" si="452"/>
        <v>88</v>
      </c>
      <c r="CA779" s="32" t="str">
        <f>VLOOKUP(J:J,'Agent wise'!A:C,3,0)</f>
        <v>Shakeer</v>
      </c>
      <c r="CB779" s="32">
        <f t="shared" si="453"/>
        <v>45943</v>
      </c>
      <c r="CC779" t="str">
        <f t="shared" si="454"/>
        <v>Average</v>
      </c>
      <c r="CE779" s="32"/>
      <c r="CJ779">
        <f t="shared" si="455"/>
        <v>13</v>
      </c>
      <c r="CK779">
        <f t="shared" si="456"/>
        <v>10</v>
      </c>
      <c r="CL779">
        <f t="shared" si="457"/>
        <v>2025</v>
      </c>
    </row>
    <row r="780" spans="1:90" ht="15" customHeight="1" x14ac:dyDescent="0.35">
      <c r="A780" t="s">
        <v>1896</v>
      </c>
      <c r="B780" t="s">
        <v>100</v>
      </c>
      <c r="C780" t="s">
        <v>214</v>
      </c>
      <c r="D780" t="s">
        <v>101</v>
      </c>
      <c r="E780" s="32">
        <v>45945</v>
      </c>
      <c r="F780" t="s">
        <v>54</v>
      </c>
      <c r="G780" t="s">
        <v>1749</v>
      </c>
      <c r="H780">
        <v>9446238775</v>
      </c>
      <c r="I780">
        <v>136</v>
      </c>
      <c r="J780" t="s">
        <v>132</v>
      </c>
      <c r="K780" t="s">
        <v>57</v>
      </c>
      <c r="L780" t="s">
        <v>58</v>
      </c>
      <c r="M780" t="s">
        <v>59</v>
      </c>
      <c r="N780" t="s">
        <v>59</v>
      </c>
      <c r="O780" t="s">
        <v>59</v>
      </c>
      <c r="P780" t="s">
        <v>59</v>
      </c>
      <c r="Q780" t="s">
        <v>59</v>
      </c>
      <c r="R780" t="s">
        <v>59</v>
      </c>
      <c r="S780" t="s">
        <v>59</v>
      </c>
      <c r="T780" t="s">
        <v>59</v>
      </c>
      <c r="U780" t="s">
        <v>59</v>
      </c>
      <c r="V780" t="s">
        <v>59</v>
      </c>
      <c r="W780" t="s">
        <v>59</v>
      </c>
      <c r="X780" t="s">
        <v>61</v>
      </c>
      <c r="Y780" t="s">
        <v>59</v>
      </c>
      <c r="Z780" t="s">
        <v>59</v>
      </c>
      <c r="AA780" t="s">
        <v>59</v>
      </c>
      <c r="AB780" t="s">
        <v>61</v>
      </c>
      <c r="AC780" t="s">
        <v>61</v>
      </c>
      <c r="AD780" t="s">
        <v>61</v>
      </c>
      <c r="AE780" t="s">
        <v>59</v>
      </c>
      <c r="AF780" t="s">
        <v>61</v>
      </c>
      <c r="AG780" t="s">
        <v>59</v>
      </c>
      <c r="AH780" t="s">
        <v>61</v>
      </c>
      <c r="AI780" t="s">
        <v>61</v>
      </c>
      <c r="AJ780" t="s">
        <v>61</v>
      </c>
      <c r="AK780" t="s">
        <v>61</v>
      </c>
      <c r="AL780" t="s">
        <v>59</v>
      </c>
      <c r="AM780" t="s">
        <v>59</v>
      </c>
      <c r="AN780" t="s">
        <v>59</v>
      </c>
      <c r="AO780" t="s">
        <v>59</v>
      </c>
      <c r="AP780" t="s">
        <v>1898</v>
      </c>
      <c r="AQ780" s="1" t="s">
        <v>1899</v>
      </c>
      <c r="AR780" t="s">
        <v>64</v>
      </c>
      <c r="AS780" t="s">
        <v>373</v>
      </c>
      <c r="AT780" t="s">
        <v>374</v>
      </c>
      <c r="AU780" t="s">
        <v>219</v>
      </c>
      <c r="AW780" s="4">
        <f t="shared" si="423"/>
        <v>6</v>
      </c>
      <c r="AX780" s="4">
        <f t="shared" si="424"/>
        <v>4</v>
      </c>
      <c r="AY780" s="4">
        <f t="shared" si="425"/>
        <v>4</v>
      </c>
      <c r="AZ780" s="4">
        <f t="shared" si="426"/>
        <v>2</v>
      </c>
      <c r="BA780" s="4">
        <f t="shared" si="427"/>
        <v>4</v>
      </c>
      <c r="BB780" s="4">
        <f t="shared" si="428"/>
        <v>4</v>
      </c>
      <c r="BC780" s="4">
        <f t="shared" si="429"/>
        <v>4</v>
      </c>
      <c r="BD780" s="4">
        <f t="shared" si="430"/>
        <v>2</v>
      </c>
      <c r="BE780" s="4">
        <f t="shared" si="431"/>
        <v>4</v>
      </c>
      <c r="BF780" s="4">
        <f t="shared" si="432"/>
        <v>2</v>
      </c>
      <c r="BG780" s="4">
        <f t="shared" si="433"/>
        <v>4</v>
      </c>
      <c r="BH780" s="4">
        <f t="shared" si="434"/>
        <v>4</v>
      </c>
      <c r="BI780" s="4">
        <f t="shared" si="435"/>
        <v>4</v>
      </c>
      <c r="BJ780" s="4">
        <f t="shared" si="436"/>
        <v>2</v>
      </c>
      <c r="BK780" s="4">
        <f t="shared" si="437"/>
        <v>4</v>
      </c>
      <c r="BL780" s="4">
        <f t="shared" si="438"/>
        <v>2</v>
      </c>
      <c r="BM780" s="4">
        <f t="shared" si="439"/>
        <v>4</v>
      </c>
      <c r="BN780" s="4">
        <f t="shared" si="440"/>
        <v>4</v>
      </c>
      <c r="BO780" s="4">
        <f t="shared" si="441"/>
        <v>4</v>
      </c>
      <c r="BP780" s="4">
        <f t="shared" si="442"/>
        <v>4</v>
      </c>
      <c r="BQ780" s="4">
        <f t="shared" si="443"/>
        <v>6</v>
      </c>
      <c r="BR780" s="4">
        <f t="shared" si="444"/>
        <v>4</v>
      </c>
      <c r="BS780" s="4">
        <f t="shared" si="445"/>
        <v>4</v>
      </c>
      <c r="BT780" s="4">
        <f t="shared" si="446"/>
        <v>4</v>
      </c>
      <c r="BU780" s="4">
        <f t="shared" si="447"/>
        <v>4</v>
      </c>
      <c r="BV780" s="4">
        <f t="shared" si="448"/>
        <v>0</v>
      </c>
      <c r="BW780" s="4">
        <f t="shared" si="449"/>
        <v>6</v>
      </c>
      <c r="BX780" s="4">
        <f t="shared" si="450"/>
        <v>0</v>
      </c>
      <c r="BY780" s="4">
        <f t="shared" si="451"/>
        <v>0</v>
      </c>
      <c r="BZ780" s="37">
        <f t="shared" si="452"/>
        <v>100</v>
      </c>
      <c r="CA780" s="32" t="str">
        <f>VLOOKUP(J:J,'Agent wise'!A:C,3,0)</f>
        <v>Shakeer</v>
      </c>
      <c r="CB780" s="32">
        <f t="shared" si="453"/>
        <v>45945</v>
      </c>
      <c r="CC780" t="str">
        <f t="shared" si="454"/>
        <v>Excellent</v>
      </c>
      <c r="CE780" s="32"/>
      <c r="CJ780">
        <f t="shared" si="455"/>
        <v>15</v>
      </c>
      <c r="CK780">
        <f t="shared" si="456"/>
        <v>10</v>
      </c>
      <c r="CL780">
        <f t="shared" si="457"/>
        <v>2025</v>
      </c>
    </row>
    <row r="781" spans="1:90" ht="15" customHeight="1" x14ac:dyDescent="0.35">
      <c r="A781" t="s">
        <v>1900</v>
      </c>
      <c r="B781" t="s">
        <v>177</v>
      </c>
      <c r="C781" t="s">
        <v>214</v>
      </c>
      <c r="D781" t="s">
        <v>178</v>
      </c>
      <c r="E781" s="32">
        <v>45943</v>
      </c>
      <c r="F781" t="s">
        <v>54</v>
      </c>
      <c r="G781" s="2">
        <v>46001</v>
      </c>
      <c r="H781">
        <v>9495838727</v>
      </c>
      <c r="I781">
        <v>128</v>
      </c>
      <c r="J781" t="s">
        <v>370</v>
      </c>
      <c r="K781" t="s">
        <v>57</v>
      </c>
      <c r="L781" t="s">
        <v>58</v>
      </c>
      <c r="M781" t="s">
        <v>59</v>
      </c>
      <c r="N781" t="s">
        <v>59</v>
      </c>
      <c r="O781" t="s">
        <v>60</v>
      </c>
      <c r="P781" t="s">
        <v>59</v>
      </c>
      <c r="Q781" t="s">
        <v>59</v>
      </c>
      <c r="R781" t="s">
        <v>59</v>
      </c>
      <c r="S781" t="s">
        <v>59</v>
      </c>
      <c r="T781" t="s">
        <v>59</v>
      </c>
      <c r="U781" t="s">
        <v>59</v>
      </c>
      <c r="V781" t="s">
        <v>59</v>
      </c>
      <c r="W781" t="s">
        <v>59</v>
      </c>
      <c r="X781" t="s">
        <v>59</v>
      </c>
      <c r="Y781" t="s">
        <v>59</v>
      </c>
      <c r="Z781" t="s">
        <v>59</v>
      </c>
      <c r="AA781" t="s">
        <v>60</v>
      </c>
      <c r="AB781" t="s">
        <v>59</v>
      </c>
      <c r="AC781" t="s">
        <v>61</v>
      </c>
      <c r="AD781" t="s">
        <v>59</v>
      </c>
      <c r="AE781" t="s">
        <v>59</v>
      </c>
      <c r="AF781" t="s">
        <v>59</v>
      </c>
      <c r="AG781" t="s">
        <v>59</v>
      </c>
      <c r="AH781" t="s">
        <v>61</v>
      </c>
      <c r="AI781" t="s">
        <v>61</v>
      </c>
      <c r="AJ781" t="s">
        <v>59</v>
      </c>
      <c r="AK781" t="s">
        <v>59</v>
      </c>
      <c r="AL781" t="s">
        <v>59</v>
      </c>
      <c r="AM781" t="s">
        <v>59</v>
      </c>
      <c r="AN781" t="s">
        <v>59</v>
      </c>
      <c r="AO781" t="s">
        <v>59</v>
      </c>
      <c r="AP781" t="s">
        <v>1901</v>
      </c>
      <c r="AQ781" t="s">
        <v>1902</v>
      </c>
      <c r="AR781" t="s">
        <v>64</v>
      </c>
      <c r="AS781" t="s">
        <v>89</v>
      </c>
      <c r="AT781" t="s">
        <v>742</v>
      </c>
      <c r="AU781" t="s">
        <v>299</v>
      </c>
      <c r="AW781" s="4">
        <f t="shared" si="423"/>
        <v>6</v>
      </c>
      <c r="AX781" s="4">
        <f t="shared" si="424"/>
        <v>4</v>
      </c>
      <c r="AY781" s="4" t="str">
        <f t="shared" si="425"/>
        <v>0</v>
      </c>
      <c r="AZ781" s="4">
        <f t="shared" si="426"/>
        <v>2</v>
      </c>
      <c r="BA781" s="4">
        <f t="shared" si="427"/>
        <v>4</v>
      </c>
      <c r="BB781" s="4">
        <f t="shared" si="428"/>
        <v>4</v>
      </c>
      <c r="BC781" s="4">
        <f t="shared" si="429"/>
        <v>4</v>
      </c>
      <c r="BD781" s="4">
        <f t="shared" si="430"/>
        <v>2</v>
      </c>
      <c r="BE781" s="4">
        <f t="shared" si="431"/>
        <v>4</v>
      </c>
      <c r="BF781" s="4">
        <f t="shared" si="432"/>
        <v>2</v>
      </c>
      <c r="BG781" s="4">
        <f t="shared" si="433"/>
        <v>4</v>
      </c>
      <c r="BH781" s="4">
        <f t="shared" si="434"/>
        <v>4</v>
      </c>
      <c r="BI781" s="4">
        <f t="shared" si="435"/>
        <v>4</v>
      </c>
      <c r="BJ781" s="4">
        <f t="shared" si="436"/>
        <v>2</v>
      </c>
      <c r="BK781" s="4" t="str">
        <f t="shared" si="437"/>
        <v>0</v>
      </c>
      <c r="BL781" s="4">
        <f t="shared" si="438"/>
        <v>2</v>
      </c>
      <c r="BM781" s="4">
        <f t="shared" si="439"/>
        <v>4</v>
      </c>
      <c r="BN781" s="4">
        <f t="shared" si="440"/>
        <v>4</v>
      </c>
      <c r="BO781" s="4">
        <f t="shared" si="441"/>
        <v>4</v>
      </c>
      <c r="BP781" s="4">
        <f t="shared" si="442"/>
        <v>4</v>
      </c>
      <c r="BQ781" s="4">
        <f t="shared" si="443"/>
        <v>6</v>
      </c>
      <c r="BR781" s="4">
        <f t="shared" si="444"/>
        <v>4</v>
      </c>
      <c r="BS781" s="4">
        <f t="shared" si="445"/>
        <v>4</v>
      </c>
      <c r="BT781" s="4">
        <f t="shared" si="446"/>
        <v>4</v>
      </c>
      <c r="BU781" s="4">
        <f t="shared" si="447"/>
        <v>4</v>
      </c>
      <c r="BV781" s="4">
        <f t="shared" si="448"/>
        <v>0</v>
      </c>
      <c r="BW781" s="4">
        <f t="shared" si="449"/>
        <v>6</v>
      </c>
      <c r="BX781" s="4">
        <f t="shared" si="450"/>
        <v>0</v>
      </c>
      <c r="BY781" s="4">
        <f t="shared" si="451"/>
        <v>0</v>
      </c>
      <c r="BZ781" s="37">
        <f t="shared" si="452"/>
        <v>92</v>
      </c>
      <c r="CA781" s="32" t="str">
        <f>VLOOKUP(J:J,'Agent wise'!A:C,3,0)</f>
        <v>Saran S</v>
      </c>
      <c r="CB781" s="32">
        <f t="shared" si="453"/>
        <v>45943</v>
      </c>
      <c r="CC781" t="str">
        <f t="shared" si="454"/>
        <v>Good</v>
      </c>
      <c r="CE781" s="32"/>
      <c r="CJ781">
        <f t="shared" si="455"/>
        <v>13</v>
      </c>
      <c r="CK781">
        <f t="shared" si="456"/>
        <v>10</v>
      </c>
      <c r="CL781">
        <f t="shared" si="457"/>
        <v>2025</v>
      </c>
    </row>
    <row r="782" spans="1:90" ht="15" customHeight="1" x14ac:dyDescent="0.35">
      <c r="A782" t="s">
        <v>1903</v>
      </c>
      <c r="B782" t="s">
        <v>100</v>
      </c>
      <c r="C782" t="s">
        <v>214</v>
      </c>
      <c r="D782" t="s">
        <v>101</v>
      </c>
      <c r="E782" s="32">
        <v>45945</v>
      </c>
      <c r="F782" t="s">
        <v>54</v>
      </c>
      <c r="G782" t="s">
        <v>1749</v>
      </c>
      <c r="H782">
        <v>9488675761</v>
      </c>
      <c r="I782">
        <v>131</v>
      </c>
      <c r="J782" t="s">
        <v>70</v>
      </c>
      <c r="K782" t="s">
        <v>71</v>
      </c>
      <c r="L782" t="s">
        <v>72</v>
      </c>
      <c r="M782" t="s">
        <v>59</v>
      </c>
      <c r="N782" t="s">
        <v>59</v>
      </c>
      <c r="O782" t="s">
        <v>59</v>
      </c>
      <c r="P782" t="s">
        <v>59</v>
      </c>
      <c r="Q782" t="s">
        <v>59</v>
      </c>
      <c r="R782" t="s">
        <v>60</v>
      </c>
      <c r="S782" t="s">
        <v>59</v>
      </c>
      <c r="T782" t="s">
        <v>59</v>
      </c>
      <c r="U782" t="s">
        <v>60</v>
      </c>
      <c r="V782" t="s">
        <v>59</v>
      </c>
      <c r="W782" t="s">
        <v>59</v>
      </c>
      <c r="X782" t="s">
        <v>61</v>
      </c>
      <c r="Y782" t="s">
        <v>59</v>
      </c>
      <c r="Z782" t="s">
        <v>59</v>
      </c>
      <c r="AA782" t="s">
        <v>59</v>
      </c>
      <c r="AB782" t="s">
        <v>59</v>
      </c>
      <c r="AC782" t="s">
        <v>61</v>
      </c>
      <c r="AD782" t="s">
        <v>61</v>
      </c>
      <c r="AE782" t="s">
        <v>59</v>
      </c>
      <c r="AF782" t="s">
        <v>61</v>
      </c>
      <c r="AG782" t="s">
        <v>59</v>
      </c>
      <c r="AH782" t="s">
        <v>61</v>
      </c>
      <c r="AI782" t="s">
        <v>61</v>
      </c>
      <c r="AJ782" t="s">
        <v>61</v>
      </c>
      <c r="AK782" t="s">
        <v>61</v>
      </c>
      <c r="AL782" t="s">
        <v>59</v>
      </c>
      <c r="AM782" t="s">
        <v>59</v>
      </c>
      <c r="AN782" t="s">
        <v>59</v>
      </c>
      <c r="AO782" t="s">
        <v>59</v>
      </c>
      <c r="AP782" t="s">
        <v>537</v>
      </c>
      <c r="AQ782" s="1" t="s">
        <v>1904</v>
      </c>
      <c r="AR782" t="s">
        <v>64</v>
      </c>
      <c r="AS782" t="s">
        <v>171</v>
      </c>
      <c r="AT782" t="s">
        <v>172</v>
      </c>
      <c r="AU782" t="s">
        <v>299</v>
      </c>
      <c r="AW782" s="4">
        <f t="shared" si="423"/>
        <v>6</v>
      </c>
      <c r="AX782" s="4">
        <f t="shared" si="424"/>
        <v>4</v>
      </c>
      <c r="AY782" s="4">
        <f t="shared" si="425"/>
        <v>4</v>
      </c>
      <c r="AZ782" s="4">
        <f t="shared" si="426"/>
        <v>2</v>
      </c>
      <c r="BA782" s="4">
        <f t="shared" si="427"/>
        <v>4</v>
      </c>
      <c r="BB782" s="4" t="str">
        <f t="shared" si="428"/>
        <v>0</v>
      </c>
      <c r="BC782" s="4">
        <f t="shared" si="429"/>
        <v>4</v>
      </c>
      <c r="BD782" s="4">
        <f t="shared" si="430"/>
        <v>2</v>
      </c>
      <c r="BE782" s="4" t="str">
        <f t="shared" si="431"/>
        <v>0</v>
      </c>
      <c r="BF782" s="4">
        <f t="shared" si="432"/>
        <v>2</v>
      </c>
      <c r="BG782" s="4">
        <f t="shared" si="433"/>
        <v>4</v>
      </c>
      <c r="BH782" s="4">
        <f t="shared" si="434"/>
        <v>4</v>
      </c>
      <c r="BI782" s="4">
        <f t="shared" si="435"/>
        <v>4</v>
      </c>
      <c r="BJ782" s="4">
        <f t="shared" si="436"/>
        <v>2</v>
      </c>
      <c r="BK782" s="4">
        <f t="shared" si="437"/>
        <v>4</v>
      </c>
      <c r="BL782" s="4">
        <f t="shared" si="438"/>
        <v>2</v>
      </c>
      <c r="BM782" s="4">
        <f t="shared" si="439"/>
        <v>4</v>
      </c>
      <c r="BN782" s="4">
        <f t="shared" si="440"/>
        <v>4</v>
      </c>
      <c r="BO782" s="4">
        <f t="shared" si="441"/>
        <v>4</v>
      </c>
      <c r="BP782" s="4">
        <f t="shared" si="442"/>
        <v>4</v>
      </c>
      <c r="BQ782" s="4">
        <f t="shared" si="443"/>
        <v>6</v>
      </c>
      <c r="BR782" s="4">
        <f t="shared" si="444"/>
        <v>4</v>
      </c>
      <c r="BS782" s="4">
        <f t="shared" si="445"/>
        <v>4</v>
      </c>
      <c r="BT782" s="4">
        <f t="shared" si="446"/>
        <v>4</v>
      </c>
      <c r="BU782" s="4">
        <f t="shared" si="447"/>
        <v>4</v>
      </c>
      <c r="BV782" s="4">
        <f t="shared" si="448"/>
        <v>0</v>
      </c>
      <c r="BW782" s="4">
        <f t="shared" si="449"/>
        <v>6</v>
      </c>
      <c r="BX782" s="4">
        <f t="shared" si="450"/>
        <v>0</v>
      </c>
      <c r="BY782" s="4">
        <f t="shared" si="451"/>
        <v>0</v>
      </c>
      <c r="BZ782" s="37">
        <f t="shared" si="452"/>
        <v>92</v>
      </c>
      <c r="CA782" s="32" t="str">
        <f>VLOOKUP(J:J,'Agent wise'!A:C,3,0)</f>
        <v>Saran S</v>
      </c>
      <c r="CB782" s="32">
        <f t="shared" si="453"/>
        <v>45945</v>
      </c>
      <c r="CC782" t="str">
        <f t="shared" si="454"/>
        <v>Good</v>
      </c>
      <c r="CE782" s="32"/>
      <c r="CJ782">
        <f t="shared" si="455"/>
        <v>15</v>
      </c>
      <c r="CK782">
        <f t="shared" si="456"/>
        <v>10</v>
      </c>
      <c r="CL782">
        <f t="shared" si="457"/>
        <v>2025</v>
      </c>
    </row>
    <row r="783" spans="1:90" ht="15" customHeight="1" x14ac:dyDescent="0.35">
      <c r="A783" t="s">
        <v>1905</v>
      </c>
      <c r="B783" t="s">
        <v>100</v>
      </c>
      <c r="C783" t="s">
        <v>214</v>
      </c>
      <c r="D783" t="s">
        <v>101</v>
      </c>
      <c r="E783" s="32">
        <v>45945</v>
      </c>
      <c r="F783" t="s">
        <v>54</v>
      </c>
      <c r="G783" t="s">
        <v>1749</v>
      </c>
      <c r="H783">
        <v>9495639880</v>
      </c>
      <c r="I783">
        <v>135</v>
      </c>
      <c r="J783" t="s">
        <v>75</v>
      </c>
      <c r="K783" t="s">
        <v>57</v>
      </c>
      <c r="L783" t="s">
        <v>58</v>
      </c>
      <c r="M783" t="s">
        <v>59</v>
      </c>
      <c r="N783" t="s">
        <v>59</v>
      </c>
      <c r="O783" t="s">
        <v>59</v>
      </c>
      <c r="P783" t="s">
        <v>59</v>
      </c>
      <c r="Q783" t="s">
        <v>59</v>
      </c>
      <c r="R783" t="s">
        <v>59</v>
      </c>
      <c r="S783" t="s">
        <v>59</v>
      </c>
      <c r="T783" t="s">
        <v>59</v>
      </c>
      <c r="U783" t="s">
        <v>59</v>
      </c>
      <c r="V783" t="s">
        <v>59</v>
      </c>
      <c r="W783" t="s">
        <v>59</v>
      </c>
      <c r="X783" t="s">
        <v>61</v>
      </c>
      <c r="Y783" t="s">
        <v>59</v>
      </c>
      <c r="Z783" t="s">
        <v>59</v>
      </c>
      <c r="AA783" t="s">
        <v>59</v>
      </c>
      <c r="AB783" t="s">
        <v>61</v>
      </c>
      <c r="AC783" t="s">
        <v>61</v>
      </c>
      <c r="AD783" t="s">
        <v>61</v>
      </c>
      <c r="AE783" t="s">
        <v>60</v>
      </c>
      <c r="AF783" t="s">
        <v>61</v>
      </c>
      <c r="AG783" t="s">
        <v>59</v>
      </c>
      <c r="AH783" t="s">
        <v>59</v>
      </c>
      <c r="AI783" t="s">
        <v>61</v>
      </c>
      <c r="AJ783" t="s">
        <v>61</v>
      </c>
      <c r="AK783" t="s">
        <v>61</v>
      </c>
      <c r="AL783" t="s">
        <v>59</v>
      </c>
      <c r="AM783" t="s">
        <v>59</v>
      </c>
      <c r="AN783" t="s">
        <v>59</v>
      </c>
      <c r="AO783" t="s">
        <v>59</v>
      </c>
      <c r="AP783" t="s">
        <v>1906</v>
      </c>
      <c r="AQ783" s="1" t="s">
        <v>1907</v>
      </c>
      <c r="AR783" t="s">
        <v>64</v>
      </c>
      <c r="AS783" t="s">
        <v>845</v>
      </c>
      <c r="AT783" t="s">
        <v>1619</v>
      </c>
      <c r="AU783" t="s">
        <v>387</v>
      </c>
      <c r="AW783" s="4">
        <f t="shared" si="423"/>
        <v>6</v>
      </c>
      <c r="AX783" s="4">
        <f t="shared" si="424"/>
        <v>4</v>
      </c>
      <c r="AY783" s="4">
        <f t="shared" si="425"/>
        <v>4</v>
      </c>
      <c r="AZ783" s="4">
        <f t="shared" si="426"/>
        <v>2</v>
      </c>
      <c r="BA783" s="4">
        <f t="shared" si="427"/>
        <v>4</v>
      </c>
      <c r="BB783" s="4">
        <f t="shared" si="428"/>
        <v>4</v>
      </c>
      <c r="BC783" s="4">
        <f t="shared" si="429"/>
        <v>4</v>
      </c>
      <c r="BD783" s="4">
        <f t="shared" si="430"/>
        <v>2</v>
      </c>
      <c r="BE783" s="4">
        <f t="shared" si="431"/>
        <v>4</v>
      </c>
      <c r="BF783" s="4">
        <f t="shared" si="432"/>
        <v>2</v>
      </c>
      <c r="BG783" s="4">
        <f t="shared" si="433"/>
        <v>4</v>
      </c>
      <c r="BH783" s="4">
        <f t="shared" si="434"/>
        <v>4</v>
      </c>
      <c r="BI783" s="4">
        <f t="shared" si="435"/>
        <v>4</v>
      </c>
      <c r="BJ783" s="4">
        <f t="shared" si="436"/>
        <v>2</v>
      </c>
      <c r="BK783" s="4">
        <f t="shared" si="437"/>
        <v>4</v>
      </c>
      <c r="BL783" s="4">
        <f t="shared" si="438"/>
        <v>2</v>
      </c>
      <c r="BM783" s="4">
        <f t="shared" si="439"/>
        <v>4</v>
      </c>
      <c r="BN783" s="4">
        <f t="shared" si="440"/>
        <v>4</v>
      </c>
      <c r="BO783" s="4" t="str">
        <f t="shared" si="441"/>
        <v>0</v>
      </c>
      <c r="BP783" s="4">
        <f t="shared" si="442"/>
        <v>4</v>
      </c>
      <c r="BQ783" s="4">
        <f t="shared" si="443"/>
        <v>6</v>
      </c>
      <c r="BR783" s="4">
        <f t="shared" si="444"/>
        <v>4</v>
      </c>
      <c r="BS783" s="4">
        <f t="shared" si="445"/>
        <v>4</v>
      </c>
      <c r="BT783" s="4">
        <f t="shared" si="446"/>
        <v>4</v>
      </c>
      <c r="BU783" s="4">
        <f t="shared" si="447"/>
        <v>4</v>
      </c>
      <c r="BV783" s="4">
        <f t="shared" si="448"/>
        <v>0</v>
      </c>
      <c r="BW783" s="4">
        <f t="shared" si="449"/>
        <v>6</v>
      </c>
      <c r="BX783" s="4">
        <f t="shared" si="450"/>
        <v>0</v>
      </c>
      <c r="BY783" s="4">
        <f t="shared" si="451"/>
        <v>0</v>
      </c>
      <c r="BZ783" s="37">
        <f t="shared" si="452"/>
        <v>96</v>
      </c>
      <c r="CA783" s="32" t="str">
        <f>VLOOKUP(J:J,'Agent wise'!A:C,3,0)</f>
        <v>Saran S</v>
      </c>
      <c r="CB783" s="32">
        <f t="shared" si="453"/>
        <v>45945</v>
      </c>
      <c r="CC783" t="str">
        <f t="shared" si="454"/>
        <v>Excellent</v>
      </c>
      <c r="CE783" s="32"/>
      <c r="CJ783">
        <f t="shared" si="455"/>
        <v>15</v>
      </c>
      <c r="CK783">
        <f t="shared" si="456"/>
        <v>10</v>
      </c>
      <c r="CL783">
        <f t="shared" si="457"/>
        <v>2025</v>
      </c>
    </row>
    <row r="784" spans="1:90" ht="15" customHeight="1" x14ac:dyDescent="0.35">
      <c r="A784" t="s">
        <v>1908</v>
      </c>
      <c r="B784" t="s">
        <v>100</v>
      </c>
      <c r="C784" t="s">
        <v>214</v>
      </c>
      <c r="D784" t="s">
        <v>101</v>
      </c>
      <c r="E784" s="32">
        <v>45945</v>
      </c>
      <c r="F784" t="s">
        <v>54</v>
      </c>
      <c r="G784" t="s">
        <v>1749</v>
      </c>
      <c r="H784">
        <v>9446961995</v>
      </c>
      <c r="I784">
        <v>146</v>
      </c>
      <c r="J784" t="s">
        <v>636</v>
      </c>
      <c r="K784" t="s">
        <v>57</v>
      </c>
      <c r="L784" t="s">
        <v>58</v>
      </c>
      <c r="M784" t="s">
        <v>59</v>
      </c>
      <c r="N784" t="s">
        <v>59</v>
      </c>
      <c r="O784" t="s">
        <v>59</v>
      </c>
      <c r="P784" t="s">
        <v>59</v>
      </c>
      <c r="Q784" t="s">
        <v>59</v>
      </c>
      <c r="R784" t="s">
        <v>60</v>
      </c>
      <c r="S784" t="s">
        <v>59</v>
      </c>
      <c r="T784" t="s">
        <v>59</v>
      </c>
      <c r="U784" t="s">
        <v>59</v>
      </c>
      <c r="V784" t="s">
        <v>59</v>
      </c>
      <c r="W784" t="s">
        <v>59</v>
      </c>
      <c r="X784" t="s">
        <v>61</v>
      </c>
      <c r="Y784" t="s">
        <v>59</v>
      </c>
      <c r="Z784" t="s">
        <v>59</v>
      </c>
      <c r="AA784" t="s">
        <v>59</v>
      </c>
      <c r="AB784" t="s">
        <v>59</v>
      </c>
      <c r="AC784" t="s">
        <v>61</v>
      </c>
      <c r="AD784" t="s">
        <v>61</v>
      </c>
      <c r="AE784" t="s">
        <v>59</v>
      </c>
      <c r="AF784" t="s">
        <v>61</v>
      </c>
      <c r="AG784" t="s">
        <v>59</v>
      </c>
      <c r="AH784" t="s">
        <v>61</v>
      </c>
      <c r="AI784" t="s">
        <v>61</v>
      </c>
      <c r="AJ784" t="s">
        <v>61</v>
      </c>
      <c r="AK784" t="s">
        <v>61</v>
      </c>
      <c r="AL784" t="s">
        <v>59</v>
      </c>
      <c r="AM784" t="s">
        <v>59</v>
      </c>
      <c r="AN784" t="s">
        <v>59</v>
      </c>
      <c r="AO784" t="s">
        <v>59</v>
      </c>
      <c r="AP784" t="s">
        <v>537</v>
      </c>
      <c r="AQ784" s="1" t="s">
        <v>1909</v>
      </c>
      <c r="AR784" t="s">
        <v>64</v>
      </c>
      <c r="AS784" t="s">
        <v>171</v>
      </c>
      <c r="AT784" t="s">
        <v>190</v>
      </c>
      <c r="AU784" t="s">
        <v>299</v>
      </c>
      <c r="AW784" s="4">
        <f t="shared" si="423"/>
        <v>6</v>
      </c>
      <c r="AX784" s="4">
        <f t="shared" si="424"/>
        <v>4</v>
      </c>
      <c r="AY784" s="4">
        <f t="shared" si="425"/>
        <v>4</v>
      </c>
      <c r="AZ784" s="4">
        <f t="shared" si="426"/>
        <v>2</v>
      </c>
      <c r="BA784" s="4">
        <f t="shared" si="427"/>
        <v>4</v>
      </c>
      <c r="BB784" s="4" t="str">
        <f t="shared" si="428"/>
        <v>0</v>
      </c>
      <c r="BC784" s="4">
        <f t="shared" si="429"/>
        <v>4</v>
      </c>
      <c r="BD784" s="4">
        <f t="shared" si="430"/>
        <v>2</v>
      </c>
      <c r="BE784" s="4">
        <f t="shared" si="431"/>
        <v>4</v>
      </c>
      <c r="BF784" s="4">
        <f t="shared" si="432"/>
        <v>2</v>
      </c>
      <c r="BG784" s="4">
        <f t="shared" si="433"/>
        <v>4</v>
      </c>
      <c r="BH784" s="4">
        <f t="shared" si="434"/>
        <v>4</v>
      </c>
      <c r="BI784" s="4">
        <f t="shared" si="435"/>
        <v>4</v>
      </c>
      <c r="BJ784" s="4">
        <f t="shared" si="436"/>
        <v>2</v>
      </c>
      <c r="BK784" s="4">
        <f t="shared" si="437"/>
        <v>4</v>
      </c>
      <c r="BL784" s="4">
        <f t="shared" si="438"/>
        <v>2</v>
      </c>
      <c r="BM784" s="4">
        <f t="shared" si="439"/>
        <v>4</v>
      </c>
      <c r="BN784" s="4">
        <f t="shared" si="440"/>
        <v>4</v>
      </c>
      <c r="BO784" s="4">
        <f t="shared" si="441"/>
        <v>4</v>
      </c>
      <c r="BP784" s="4">
        <f t="shared" si="442"/>
        <v>4</v>
      </c>
      <c r="BQ784" s="4">
        <f t="shared" si="443"/>
        <v>6</v>
      </c>
      <c r="BR784" s="4">
        <f t="shared" si="444"/>
        <v>4</v>
      </c>
      <c r="BS784" s="4">
        <f t="shared" si="445"/>
        <v>4</v>
      </c>
      <c r="BT784" s="4">
        <f t="shared" si="446"/>
        <v>4</v>
      </c>
      <c r="BU784" s="4">
        <f t="shared" si="447"/>
        <v>4</v>
      </c>
      <c r="BV784" s="4">
        <f t="shared" si="448"/>
        <v>0</v>
      </c>
      <c r="BW784" s="4">
        <f t="shared" si="449"/>
        <v>6</v>
      </c>
      <c r="BX784" s="4">
        <f t="shared" si="450"/>
        <v>0</v>
      </c>
      <c r="BY784" s="4">
        <f t="shared" si="451"/>
        <v>0</v>
      </c>
      <c r="BZ784" s="37">
        <f t="shared" si="452"/>
        <v>96</v>
      </c>
      <c r="CA784" s="32" t="str">
        <f>VLOOKUP(J:J,'Agent wise'!A:C,3,0)</f>
        <v>Shakeer</v>
      </c>
      <c r="CB784" s="32">
        <f t="shared" si="453"/>
        <v>45945</v>
      </c>
      <c r="CC784" t="str">
        <f t="shared" si="454"/>
        <v>Excellent</v>
      </c>
      <c r="CE784" s="32"/>
      <c r="CJ784">
        <f t="shared" si="455"/>
        <v>15</v>
      </c>
      <c r="CK784">
        <f t="shared" si="456"/>
        <v>10</v>
      </c>
      <c r="CL784">
        <f t="shared" si="457"/>
        <v>2025</v>
      </c>
    </row>
    <row r="785" spans="1:90" ht="15" customHeight="1" x14ac:dyDescent="0.35">
      <c r="A785" t="s">
        <v>1910</v>
      </c>
      <c r="B785" t="s">
        <v>100</v>
      </c>
      <c r="C785" t="s">
        <v>214</v>
      </c>
      <c r="D785" t="s">
        <v>101</v>
      </c>
      <c r="E785" s="32">
        <v>45945</v>
      </c>
      <c r="F785" t="s">
        <v>54</v>
      </c>
      <c r="G785" t="s">
        <v>1749</v>
      </c>
      <c r="H785">
        <v>9400362231</v>
      </c>
      <c r="I785">
        <v>141</v>
      </c>
      <c r="J785" t="s">
        <v>638</v>
      </c>
      <c r="K785" t="s">
        <v>57</v>
      </c>
      <c r="L785" t="s">
        <v>58</v>
      </c>
      <c r="M785" t="s">
        <v>59</v>
      </c>
      <c r="N785" t="s">
        <v>59</v>
      </c>
      <c r="O785" t="s">
        <v>59</v>
      </c>
      <c r="P785" t="s">
        <v>59</v>
      </c>
      <c r="Q785" t="s">
        <v>59</v>
      </c>
      <c r="R785" t="s">
        <v>59</v>
      </c>
      <c r="S785" t="s">
        <v>59</v>
      </c>
      <c r="T785" t="s">
        <v>59</v>
      </c>
      <c r="U785" t="s">
        <v>59</v>
      </c>
      <c r="V785" t="s">
        <v>59</v>
      </c>
      <c r="W785" t="s">
        <v>59</v>
      </c>
      <c r="X785" t="s">
        <v>61</v>
      </c>
      <c r="Y785" t="s">
        <v>59</v>
      </c>
      <c r="Z785" t="s">
        <v>59</v>
      </c>
      <c r="AA785" t="s">
        <v>60</v>
      </c>
      <c r="AB785" t="s">
        <v>60</v>
      </c>
      <c r="AC785" t="s">
        <v>61</v>
      </c>
      <c r="AD785" t="s">
        <v>61</v>
      </c>
      <c r="AE785" t="s">
        <v>59</v>
      </c>
      <c r="AF785" t="s">
        <v>61</v>
      </c>
      <c r="AG785" t="s">
        <v>59</v>
      </c>
      <c r="AH785" t="s">
        <v>61</v>
      </c>
      <c r="AI785" t="s">
        <v>61</v>
      </c>
      <c r="AJ785" t="s">
        <v>61</v>
      </c>
      <c r="AK785" t="s">
        <v>61</v>
      </c>
      <c r="AL785" t="s">
        <v>60</v>
      </c>
      <c r="AM785" t="s">
        <v>59</v>
      </c>
      <c r="AN785" t="s">
        <v>59</v>
      </c>
      <c r="AO785" t="s">
        <v>59</v>
      </c>
      <c r="AP785" t="s">
        <v>1911</v>
      </c>
      <c r="AQ785" s="1" t="s">
        <v>1912</v>
      </c>
      <c r="AR785" t="s">
        <v>64</v>
      </c>
      <c r="AS785" t="s">
        <v>142</v>
      </c>
      <c r="AT785" t="s">
        <v>471</v>
      </c>
      <c r="AU785" t="s">
        <v>387</v>
      </c>
      <c r="AW785" s="4">
        <f t="shared" si="423"/>
        <v>6</v>
      </c>
      <c r="AX785" s="4">
        <f t="shared" si="424"/>
        <v>4</v>
      </c>
      <c r="AY785" s="4">
        <f t="shared" si="425"/>
        <v>4</v>
      </c>
      <c r="AZ785" s="4">
        <f t="shared" si="426"/>
        <v>2</v>
      </c>
      <c r="BA785" s="4">
        <f t="shared" si="427"/>
        <v>4</v>
      </c>
      <c r="BB785" s="4">
        <f t="shared" si="428"/>
        <v>4</v>
      </c>
      <c r="BC785" s="4">
        <f t="shared" si="429"/>
        <v>4</v>
      </c>
      <c r="BD785" s="4">
        <f t="shared" si="430"/>
        <v>2</v>
      </c>
      <c r="BE785" s="4">
        <f t="shared" si="431"/>
        <v>4</v>
      </c>
      <c r="BF785" s="4">
        <f t="shared" si="432"/>
        <v>2</v>
      </c>
      <c r="BG785" s="4">
        <f t="shared" si="433"/>
        <v>4</v>
      </c>
      <c r="BH785" s="4">
        <f t="shared" si="434"/>
        <v>4</v>
      </c>
      <c r="BI785" s="4">
        <f t="shared" si="435"/>
        <v>4</v>
      </c>
      <c r="BJ785" s="4">
        <f t="shared" si="436"/>
        <v>2</v>
      </c>
      <c r="BK785" s="4" t="str">
        <f t="shared" si="437"/>
        <v>0</v>
      </c>
      <c r="BL785" s="4" t="str">
        <f t="shared" si="438"/>
        <v>0</v>
      </c>
      <c r="BM785" s="4">
        <f t="shared" si="439"/>
        <v>4</v>
      </c>
      <c r="BN785" s="4">
        <f t="shared" si="440"/>
        <v>4</v>
      </c>
      <c r="BO785" s="4">
        <f t="shared" si="441"/>
        <v>4</v>
      </c>
      <c r="BP785" s="4">
        <f t="shared" si="442"/>
        <v>4</v>
      </c>
      <c r="BQ785" s="4">
        <f t="shared" si="443"/>
        <v>6</v>
      </c>
      <c r="BR785" s="4">
        <f t="shared" si="444"/>
        <v>4</v>
      </c>
      <c r="BS785" s="4">
        <f t="shared" si="445"/>
        <v>4</v>
      </c>
      <c r="BT785" s="4">
        <f t="shared" si="446"/>
        <v>4</v>
      </c>
      <c r="BU785" s="4">
        <f t="shared" si="447"/>
        <v>4</v>
      </c>
      <c r="BV785" s="4" t="str">
        <f t="shared" si="448"/>
        <v>0</v>
      </c>
      <c r="BW785" s="4">
        <f t="shared" si="449"/>
        <v>6</v>
      </c>
      <c r="BX785" s="4">
        <f t="shared" si="450"/>
        <v>0</v>
      </c>
      <c r="BY785" s="4">
        <f t="shared" si="451"/>
        <v>0</v>
      </c>
      <c r="BZ785" s="37">
        <f t="shared" si="452"/>
        <v>94</v>
      </c>
      <c r="CA785" s="32" t="str">
        <f>VLOOKUP(J:J,'Agent wise'!A:C,3,0)</f>
        <v>Adharsh</v>
      </c>
      <c r="CB785" s="32">
        <f t="shared" si="453"/>
        <v>45945</v>
      </c>
      <c r="CC785" t="str">
        <f t="shared" si="454"/>
        <v>Good</v>
      </c>
      <c r="CE785" s="32"/>
      <c r="CJ785">
        <f t="shared" si="455"/>
        <v>15</v>
      </c>
      <c r="CK785">
        <f t="shared" si="456"/>
        <v>10</v>
      </c>
      <c r="CL785">
        <f t="shared" si="457"/>
        <v>2025</v>
      </c>
    </row>
    <row r="786" spans="1:90" ht="15" customHeight="1" x14ac:dyDescent="0.35">
      <c r="A786" t="s">
        <v>1913</v>
      </c>
      <c r="B786" t="s">
        <v>177</v>
      </c>
      <c r="C786" t="s">
        <v>214</v>
      </c>
      <c r="D786" t="s">
        <v>178</v>
      </c>
      <c r="E786" s="32">
        <v>45936</v>
      </c>
      <c r="F786" t="s">
        <v>54</v>
      </c>
      <c r="G786" s="2">
        <v>45787</v>
      </c>
      <c r="H786">
        <v>8754644990</v>
      </c>
      <c r="I786">
        <v>100</v>
      </c>
      <c r="J786" t="s">
        <v>208</v>
      </c>
      <c r="K786" t="s">
        <v>71</v>
      </c>
      <c r="L786" t="s">
        <v>72</v>
      </c>
      <c r="M786" t="s">
        <v>59</v>
      </c>
      <c r="N786" t="s">
        <v>59</v>
      </c>
      <c r="O786" t="s">
        <v>59</v>
      </c>
      <c r="P786" t="s">
        <v>59</v>
      </c>
      <c r="Q786" t="s">
        <v>59</v>
      </c>
      <c r="R786" t="s">
        <v>59</v>
      </c>
      <c r="S786" t="s">
        <v>59</v>
      </c>
      <c r="T786" t="s">
        <v>59</v>
      </c>
      <c r="U786" t="s">
        <v>59</v>
      </c>
      <c r="V786" t="s">
        <v>59</v>
      </c>
      <c r="W786" t="s">
        <v>59</v>
      </c>
      <c r="X786" t="s">
        <v>59</v>
      </c>
      <c r="Y786" t="s">
        <v>59</v>
      </c>
      <c r="Z786" t="s">
        <v>59</v>
      </c>
      <c r="AA786" t="s">
        <v>59</v>
      </c>
      <c r="AB786" t="s">
        <v>59</v>
      </c>
      <c r="AC786" t="s">
        <v>61</v>
      </c>
      <c r="AD786" t="s">
        <v>59</v>
      </c>
      <c r="AE786" t="s">
        <v>60</v>
      </c>
      <c r="AF786" t="s">
        <v>59</v>
      </c>
      <c r="AG786" t="s">
        <v>60</v>
      </c>
      <c r="AH786" t="s">
        <v>61</v>
      </c>
      <c r="AI786" t="s">
        <v>61</v>
      </c>
      <c r="AJ786" t="s">
        <v>59</v>
      </c>
      <c r="AK786" t="s">
        <v>59</v>
      </c>
      <c r="AL786" t="s">
        <v>59</v>
      </c>
      <c r="AM786" t="s">
        <v>59</v>
      </c>
      <c r="AN786" t="s">
        <v>59</v>
      </c>
      <c r="AO786" t="s">
        <v>59</v>
      </c>
      <c r="AP786" t="s">
        <v>1914</v>
      </c>
      <c r="AQ786" t="s">
        <v>1915</v>
      </c>
      <c r="AR786" t="s">
        <v>64</v>
      </c>
      <c r="AS786" t="s">
        <v>175</v>
      </c>
      <c r="AT786" t="s">
        <v>167</v>
      </c>
      <c r="AU786" t="s">
        <v>387</v>
      </c>
      <c r="AW786" s="4">
        <f t="shared" si="423"/>
        <v>6</v>
      </c>
      <c r="AX786" s="4">
        <f t="shared" si="424"/>
        <v>4</v>
      </c>
      <c r="AY786" s="4">
        <f t="shared" si="425"/>
        <v>4</v>
      </c>
      <c r="AZ786" s="4">
        <f t="shared" si="426"/>
        <v>2</v>
      </c>
      <c r="BA786" s="4">
        <f t="shared" si="427"/>
        <v>4</v>
      </c>
      <c r="BB786" s="4">
        <f t="shared" si="428"/>
        <v>4</v>
      </c>
      <c r="BC786" s="4">
        <f t="shared" si="429"/>
        <v>4</v>
      </c>
      <c r="BD786" s="4">
        <f t="shared" si="430"/>
        <v>2</v>
      </c>
      <c r="BE786" s="4">
        <f t="shared" si="431"/>
        <v>4</v>
      </c>
      <c r="BF786" s="4">
        <f t="shared" si="432"/>
        <v>2</v>
      </c>
      <c r="BG786" s="4">
        <f t="shared" si="433"/>
        <v>4</v>
      </c>
      <c r="BH786" s="4">
        <f t="shared" si="434"/>
        <v>4</v>
      </c>
      <c r="BI786" s="4">
        <f t="shared" si="435"/>
        <v>4</v>
      </c>
      <c r="BJ786" s="4">
        <f t="shared" si="436"/>
        <v>2</v>
      </c>
      <c r="BK786" s="4">
        <f t="shared" si="437"/>
        <v>4</v>
      </c>
      <c r="BL786" s="4">
        <f t="shared" si="438"/>
        <v>2</v>
      </c>
      <c r="BM786" s="4">
        <f t="shared" si="439"/>
        <v>4</v>
      </c>
      <c r="BN786" s="4">
        <f t="shared" si="440"/>
        <v>4</v>
      </c>
      <c r="BO786" s="4" t="str">
        <f t="shared" si="441"/>
        <v>0</v>
      </c>
      <c r="BP786" s="4">
        <f t="shared" si="442"/>
        <v>4</v>
      </c>
      <c r="BQ786" s="4" t="str">
        <f t="shared" si="443"/>
        <v>0</v>
      </c>
      <c r="BR786" s="4">
        <f t="shared" si="444"/>
        <v>4</v>
      </c>
      <c r="BS786" s="4">
        <f t="shared" si="445"/>
        <v>4</v>
      </c>
      <c r="BT786" s="4">
        <f t="shared" si="446"/>
        <v>4</v>
      </c>
      <c r="BU786" s="4">
        <f t="shared" si="447"/>
        <v>4</v>
      </c>
      <c r="BV786" s="4">
        <f t="shared" si="448"/>
        <v>0</v>
      </c>
      <c r="BW786" s="4">
        <f t="shared" si="449"/>
        <v>6</v>
      </c>
      <c r="BX786" s="4">
        <f t="shared" si="450"/>
        <v>0</v>
      </c>
      <c r="BY786" s="4">
        <f t="shared" si="451"/>
        <v>0</v>
      </c>
      <c r="BZ786" s="37">
        <f t="shared" si="452"/>
        <v>90</v>
      </c>
      <c r="CA786" s="32" t="str">
        <f>VLOOKUP(J:J,'Agent wise'!A:C,3,0)</f>
        <v>Adharsh</v>
      </c>
      <c r="CB786" s="32">
        <f t="shared" si="453"/>
        <v>45936</v>
      </c>
      <c r="CC786" t="str">
        <f t="shared" si="454"/>
        <v>Good</v>
      </c>
      <c r="CE786" s="32"/>
      <c r="CJ786">
        <f t="shared" si="455"/>
        <v>6</v>
      </c>
      <c r="CK786">
        <f t="shared" si="456"/>
        <v>10</v>
      </c>
      <c r="CL786">
        <f t="shared" si="457"/>
        <v>2025</v>
      </c>
    </row>
    <row r="787" spans="1:90" ht="15" customHeight="1" x14ac:dyDescent="0.35">
      <c r="A787" t="s">
        <v>1916</v>
      </c>
      <c r="B787" t="s">
        <v>177</v>
      </c>
      <c r="C787" t="s">
        <v>214</v>
      </c>
      <c r="D787" t="s">
        <v>178</v>
      </c>
      <c r="E787" s="32">
        <v>45938</v>
      </c>
      <c r="F787" t="s">
        <v>54</v>
      </c>
      <c r="G787" s="2">
        <v>45848</v>
      </c>
      <c r="H787">
        <v>9444019764</v>
      </c>
      <c r="I787">
        <v>151</v>
      </c>
      <c r="J787" t="s">
        <v>85</v>
      </c>
      <c r="K787" t="s">
        <v>71</v>
      </c>
      <c r="L787" t="s">
        <v>72</v>
      </c>
      <c r="M787" t="s">
        <v>59</v>
      </c>
      <c r="N787" t="s">
        <v>59</v>
      </c>
      <c r="O787" t="s">
        <v>59</v>
      </c>
      <c r="P787" t="s">
        <v>59</v>
      </c>
      <c r="Q787" t="s">
        <v>59</v>
      </c>
      <c r="R787" t="s">
        <v>59</v>
      </c>
      <c r="S787" t="s">
        <v>59</v>
      </c>
      <c r="T787" t="s">
        <v>59</v>
      </c>
      <c r="U787" t="s">
        <v>59</v>
      </c>
      <c r="V787" t="s">
        <v>59</v>
      </c>
      <c r="W787" t="s">
        <v>59</v>
      </c>
      <c r="X787" t="s">
        <v>59</v>
      </c>
      <c r="Y787" t="s">
        <v>59</v>
      </c>
      <c r="Z787" t="s">
        <v>60</v>
      </c>
      <c r="AA787" t="s">
        <v>59</v>
      </c>
      <c r="AB787" t="s">
        <v>61</v>
      </c>
      <c r="AC787" t="s">
        <v>61</v>
      </c>
      <c r="AD787" t="s">
        <v>59</v>
      </c>
      <c r="AE787" t="s">
        <v>59</v>
      </c>
      <c r="AF787" t="s">
        <v>59</v>
      </c>
      <c r="AG787" t="s">
        <v>59</v>
      </c>
      <c r="AH787" t="s">
        <v>59</v>
      </c>
      <c r="AI787" t="s">
        <v>61</v>
      </c>
      <c r="AJ787" t="s">
        <v>59</v>
      </c>
      <c r="AK787" t="s">
        <v>59</v>
      </c>
      <c r="AL787" t="s">
        <v>59</v>
      </c>
      <c r="AM787" t="s">
        <v>59</v>
      </c>
      <c r="AN787" t="s">
        <v>59</v>
      </c>
      <c r="AO787" t="s">
        <v>59</v>
      </c>
      <c r="AP787" t="s">
        <v>1917</v>
      </c>
      <c r="AQ787" t="s">
        <v>500</v>
      </c>
      <c r="AR787" t="s">
        <v>64</v>
      </c>
      <c r="AS787" t="s">
        <v>175</v>
      </c>
      <c r="AT787" t="s">
        <v>167</v>
      </c>
      <c r="AU787" t="s">
        <v>299</v>
      </c>
      <c r="AW787" s="4">
        <f t="shared" si="423"/>
        <v>6</v>
      </c>
      <c r="AX787" s="4">
        <f t="shared" si="424"/>
        <v>4</v>
      </c>
      <c r="AY787" s="4">
        <f t="shared" si="425"/>
        <v>4</v>
      </c>
      <c r="AZ787" s="4">
        <f t="shared" si="426"/>
        <v>2</v>
      </c>
      <c r="BA787" s="4">
        <f t="shared" si="427"/>
        <v>4</v>
      </c>
      <c r="BB787" s="4">
        <f t="shared" si="428"/>
        <v>4</v>
      </c>
      <c r="BC787" s="4">
        <f t="shared" si="429"/>
        <v>4</v>
      </c>
      <c r="BD787" s="4">
        <f t="shared" si="430"/>
        <v>2</v>
      </c>
      <c r="BE787" s="4">
        <f t="shared" si="431"/>
        <v>4</v>
      </c>
      <c r="BF787" s="4">
        <f t="shared" si="432"/>
        <v>2</v>
      </c>
      <c r="BG787" s="4">
        <f t="shared" si="433"/>
        <v>4</v>
      </c>
      <c r="BH787" s="4">
        <f t="shared" si="434"/>
        <v>4</v>
      </c>
      <c r="BI787" s="4">
        <f t="shared" si="435"/>
        <v>4</v>
      </c>
      <c r="BJ787" s="4" t="str">
        <f t="shared" si="436"/>
        <v>0</v>
      </c>
      <c r="BK787" s="4">
        <f t="shared" si="437"/>
        <v>4</v>
      </c>
      <c r="BL787" s="4">
        <f t="shared" si="438"/>
        <v>2</v>
      </c>
      <c r="BM787" s="4">
        <f t="shared" si="439"/>
        <v>4</v>
      </c>
      <c r="BN787" s="4">
        <f t="shared" si="440"/>
        <v>4</v>
      </c>
      <c r="BO787" s="4">
        <f t="shared" si="441"/>
        <v>4</v>
      </c>
      <c r="BP787" s="4">
        <f t="shared" si="442"/>
        <v>4</v>
      </c>
      <c r="BQ787" s="4">
        <f t="shared" si="443"/>
        <v>6</v>
      </c>
      <c r="BR787" s="4">
        <f t="shared" si="444"/>
        <v>4</v>
      </c>
      <c r="BS787" s="4">
        <f t="shared" si="445"/>
        <v>4</v>
      </c>
      <c r="BT787" s="4">
        <f t="shared" si="446"/>
        <v>4</v>
      </c>
      <c r="BU787" s="4">
        <f t="shared" si="447"/>
        <v>4</v>
      </c>
      <c r="BV787" s="4">
        <f t="shared" si="448"/>
        <v>0</v>
      </c>
      <c r="BW787" s="4">
        <f t="shared" si="449"/>
        <v>6</v>
      </c>
      <c r="BX787" s="4">
        <f t="shared" si="450"/>
        <v>0</v>
      </c>
      <c r="BY787" s="4">
        <f t="shared" si="451"/>
        <v>0</v>
      </c>
      <c r="BZ787" s="37">
        <f t="shared" si="452"/>
        <v>98</v>
      </c>
      <c r="CA787" s="32" t="str">
        <f>VLOOKUP(J:J,'Agent wise'!A:C,3,0)</f>
        <v>Saran S</v>
      </c>
      <c r="CB787" s="32">
        <f t="shared" si="453"/>
        <v>45938</v>
      </c>
      <c r="CC787" t="str">
        <f t="shared" si="454"/>
        <v>Excellent</v>
      </c>
      <c r="CE787" s="32"/>
      <c r="CJ787">
        <f t="shared" si="455"/>
        <v>8</v>
      </c>
      <c r="CK787">
        <f t="shared" si="456"/>
        <v>10</v>
      </c>
      <c r="CL787">
        <f t="shared" si="457"/>
        <v>2025</v>
      </c>
    </row>
    <row r="788" spans="1:90" ht="15" customHeight="1" x14ac:dyDescent="0.35">
      <c r="A788" t="s">
        <v>1918</v>
      </c>
      <c r="B788" t="s">
        <v>250</v>
      </c>
      <c r="C788" t="s">
        <v>214</v>
      </c>
      <c r="D788" t="s">
        <v>251</v>
      </c>
      <c r="E788" s="32">
        <v>45945</v>
      </c>
      <c r="F788" t="s">
        <v>54</v>
      </c>
      <c r="G788" t="s">
        <v>1592</v>
      </c>
      <c r="H788">
        <v>9445607911</v>
      </c>
      <c r="I788">
        <v>175</v>
      </c>
      <c r="J788" t="s">
        <v>643</v>
      </c>
      <c r="K788" t="s">
        <v>71</v>
      </c>
      <c r="L788" t="s">
        <v>72</v>
      </c>
      <c r="M788" t="s">
        <v>59</v>
      </c>
      <c r="N788" t="s">
        <v>59</v>
      </c>
      <c r="O788" t="s">
        <v>59</v>
      </c>
      <c r="P788" t="s">
        <v>59</v>
      </c>
      <c r="Q788" t="s">
        <v>59</v>
      </c>
      <c r="R788" t="s">
        <v>59</v>
      </c>
      <c r="S788" t="s">
        <v>59</v>
      </c>
      <c r="T788" t="s">
        <v>59</v>
      </c>
      <c r="U788" t="s">
        <v>60</v>
      </c>
      <c r="V788" t="s">
        <v>59</v>
      </c>
      <c r="W788" t="s">
        <v>59</v>
      </c>
      <c r="X788" t="s">
        <v>59</v>
      </c>
      <c r="Y788" t="s">
        <v>59</v>
      </c>
      <c r="Z788" t="s">
        <v>59</v>
      </c>
      <c r="AA788" t="s">
        <v>59</v>
      </c>
      <c r="AB788" t="s">
        <v>59</v>
      </c>
      <c r="AC788" t="s">
        <v>59</v>
      </c>
      <c r="AD788" t="s">
        <v>61</v>
      </c>
      <c r="AE788" t="s">
        <v>59</v>
      </c>
      <c r="AF788" t="s">
        <v>59</v>
      </c>
      <c r="AG788" t="s">
        <v>59</v>
      </c>
      <c r="AH788" t="s">
        <v>61</v>
      </c>
      <c r="AI788" t="s">
        <v>61</v>
      </c>
      <c r="AJ788" t="s">
        <v>59</v>
      </c>
      <c r="AK788" t="s">
        <v>59</v>
      </c>
      <c r="AL788" t="s">
        <v>60</v>
      </c>
      <c r="AM788" t="s">
        <v>59</v>
      </c>
      <c r="AN788" t="s">
        <v>59</v>
      </c>
      <c r="AO788" t="s">
        <v>59</v>
      </c>
      <c r="AP788" t="s">
        <v>1919</v>
      </c>
      <c r="AQ788" t="s">
        <v>1920</v>
      </c>
      <c r="AR788" t="s">
        <v>64</v>
      </c>
      <c r="AS788" t="s">
        <v>1921</v>
      </c>
      <c r="AT788" t="s">
        <v>1922</v>
      </c>
      <c r="AU788" t="s">
        <v>219</v>
      </c>
      <c r="AW788" s="4">
        <f t="shared" si="423"/>
        <v>6</v>
      </c>
      <c r="AX788" s="4">
        <f t="shared" si="424"/>
        <v>4</v>
      </c>
      <c r="AY788" s="4">
        <f t="shared" si="425"/>
        <v>4</v>
      </c>
      <c r="AZ788" s="4">
        <f t="shared" si="426"/>
        <v>2</v>
      </c>
      <c r="BA788" s="4">
        <f t="shared" si="427"/>
        <v>4</v>
      </c>
      <c r="BB788" s="4">
        <f t="shared" si="428"/>
        <v>4</v>
      </c>
      <c r="BC788" s="4">
        <f t="shared" si="429"/>
        <v>4</v>
      </c>
      <c r="BD788" s="4">
        <f t="shared" si="430"/>
        <v>2</v>
      </c>
      <c r="BE788" s="4" t="str">
        <f t="shared" si="431"/>
        <v>0</v>
      </c>
      <c r="BF788" s="4">
        <f t="shared" si="432"/>
        <v>2</v>
      </c>
      <c r="BG788" s="4">
        <f t="shared" si="433"/>
        <v>4</v>
      </c>
      <c r="BH788" s="4">
        <f t="shared" si="434"/>
        <v>4</v>
      </c>
      <c r="BI788" s="4">
        <f t="shared" si="435"/>
        <v>4</v>
      </c>
      <c r="BJ788" s="4">
        <f t="shared" si="436"/>
        <v>2</v>
      </c>
      <c r="BK788" s="4">
        <f t="shared" si="437"/>
        <v>4</v>
      </c>
      <c r="BL788" s="4">
        <f t="shared" si="438"/>
        <v>2</v>
      </c>
      <c r="BM788" s="4">
        <f t="shared" si="439"/>
        <v>4</v>
      </c>
      <c r="BN788" s="4">
        <f t="shared" si="440"/>
        <v>4</v>
      </c>
      <c r="BO788" s="4">
        <f t="shared" si="441"/>
        <v>4</v>
      </c>
      <c r="BP788" s="4">
        <f t="shared" si="442"/>
        <v>4</v>
      </c>
      <c r="BQ788" s="4">
        <f t="shared" si="443"/>
        <v>6</v>
      </c>
      <c r="BR788" s="4">
        <f t="shared" si="444"/>
        <v>4</v>
      </c>
      <c r="BS788" s="4">
        <f t="shared" si="445"/>
        <v>4</v>
      </c>
      <c r="BT788" s="4">
        <f t="shared" si="446"/>
        <v>4</v>
      </c>
      <c r="BU788" s="4">
        <f t="shared" si="447"/>
        <v>4</v>
      </c>
      <c r="BV788" s="4" t="str">
        <f t="shared" si="448"/>
        <v>0</v>
      </c>
      <c r="BW788" s="4">
        <f t="shared" si="449"/>
        <v>6</v>
      </c>
      <c r="BX788" s="4">
        <f t="shared" si="450"/>
        <v>0</v>
      </c>
      <c r="BY788" s="4">
        <f t="shared" si="451"/>
        <v>0</v>
      </c>
      <c r="BZ788" s="37">
        <f t="shared" si="452"/>
        <v>96</v>
      </c>
      <c r="CA788" s="32" t="str">
        <f>VLOOKUP(J:J,'Agent wise'!A:C,3,0)</f>
        <v xml:space="preserve">Shiny </v>
      </c>
      <c r="CB788" s="32">
        <f t="shared" si="453"/>
        <v>45945</v>
      </c>
      <c r="CC788" t="str">
        <f t="shared" si="454"/>
        <v>Excellent</v>
      </c>
      <c r="CE788" s="32"/>
      <c r="CJ788">
        <f t="shared" si="455"/>
        <v>15</v>
      </c>
      <c r="CK788">
        <f t="shared" si="456"/>
        <v>10</v>
      </c>
      <c r="CL788">
        <f t="shared" si="457"/>
        <v>2025</v>
      </c>
    </row>
    <row r="789" spans="1:90" ht="15" customHeight="1" x14ac:dyDescent="0.35">
      <c r="A789" t="s">
        <v>1923</v>
      </c>
      <c r="B789" t="s">
        <v>177</v>
      </c>
      <c r="C789" t="s">
        <v>214</v>
      </c>
      <c r="D789" t="s">
        <v>178</v>
      </c>
      <c r="E789" s="32">
        <v>45940</v>
      </c>
      <c r="F789" t="s">
        <v>54</v>
      </c>
      <c r="G789" s="2">
        <v>45910</v>
      </c>
      <c r="H789">
        <v>9962501656</v>
      </c>
      <c r="I789">
        <v>115</v>
      </c>
      <c r="J789" t="s">
        <v>258</v>
      </c>
      <c r="K789" t="s">
        <v>71</v>
      </c>
      <c r="L789" t="s">
        <v>72</v>
      </c>
      <c r="M789" t="s">
        <v>59</v>
      </c>
      <c r="N789" t="s">
        <v>59</v>
      </c>
      <c r="O789" t="s">
        <v>59</v>
      </c>
      <c r="P789" t="s">
        <v>59</v>
      </c>
      <c r="Q789" t="s">
        <v>59</v>
      </c>
      <c r="R789" t="s">
        <v>59</v>
      </c>
      <c r="S789" t="s">
        <v>59</v>
      </c>
      <c r="T789" t="s">
        <v>59</v>
      </c>
      <c r="U789" t="s">
        <v>59</v>
      </c>
      <c r="V789" t="s">
        <v>59</v>
      </c>
      <c r="W789" t="s">
        <v>59</v>
      </c>
      <c r="X789" t="s">
        <v>59</v>
      </c>
      <c r="Y789" t="s">
        <v>59</v>
      </c>
      <c r="Z789" t="s">
        <v>60</v>
      </c>
      <c r="AA789" t="s">
        <v>59</v>
      </c>
      <c r="AB789" t="s">
        <v>59</v>
      </c>
      <c r="AC789" t="s">
        <v>61</v>
      </c>
      <c r="AD789" t="s">
        <v>59</v>
      </c>
      <c r="AE789" t="s">
        <v>59</v>
      </c>
      <c r="AF789" t="s">
        <v>59</v>
      </c>
      <c r="AG789" t="s">
        <v>59</v>
      </c>
      <c r="AH789" t="s">
        <v>61</v>
      </c>
      <c r="AI789" t="s">
        <v>61</v>
      </c>
      <c r="AJ789" t="s">
        <v>59</v>
      </c>
      <c r="AK789" t="s">
        <v>59</v>
      </c>
      <c r="AL789" t="s">
        <v>59</v>
      </c>
      <c r="AM789" t="s">
        <v>59</v>
      </c>
      <c r="AN789" t="s">
        <v>59</v>
      </c>
      <c r="AO789" t="s">
        <v>59</v>
      </c>
      <c r="AP789" t="s">
        <v>1917</v>
      </c>
      <c r="AQ789" t="s">
        <v>1924</v>
      </c>
      <c r="AR789" t="s">
        <v>64</v>
      </c>
      <c r="AS789" t="s">
        <v>152</v>
      </c>
      <c r="AT789" t="s">
        <v>267</v>
      </c>
      <c r="AU789" t="s">
        <v>387</v>
      </c>
      <c r="AW789" s="4">
        <f t="shared" si="423"/>
        <v>6</v>
      </c>
      <c r="AX789" s="4">
        <f t="shared" si="424"/>
        <v>4</v>
      </c>
      <c r="AY789" s="4">
        <f t="shared" si="425"/>
        <v>4</v>
      </c>
      <c r="AZ789" s="4">
        <f t="shared" si="426"/>
        <v>2</v>
      </c>
      <c r="BA789" s="4">
        <f t="shared" si="427"/>
        <v>4</v>
      </c>
      <c r="BB789" s="4">
        <f t="shared" si="428"/>
        <v>4</v>
      </c>
      <c r="BC789" s="4">
        <f t="shared" si="429"/>
        <v>4</v>
      </c>
      <c r="BD789" s="4">
        <f t="shared" si="430"/>
        <v>2</v>
      </c>
      <c r="BE789" s="4">
        <f t="shared" si="431"/>
        <v>4</v>
      </c>
      <c r="BF789" s="4">
        <f t="shared" si="432"/>
        <v>2</v>
      </c>
      <c r="BG789" s="4">
        <f t="shared" si="433"/>
        <v>4</v>
      </c>
      <c r="BH789" s="4">
        <f t="shared" si="434"/>
        <v>4</v>
      </c>
      <c r="BI789" s="4">
        <f t="shared" si="435"/>
        <v>4</v>
      </c>
      <c r="BJ789" s="4" t="str">
        <f t="shared" si="436"/>
        <v>0</v>
      </c>
      <c r="BK789" s="4">
        <f t="shared" si="437"/>
        <v>4</v>
      </c>
      <c r="BL789" s="4">
        <f t="shared" si="438"/>
        <v>2</v>
      </c>
      <c r="BM789" s="4">
        <f t="shared" si="439"/>
        <v>4</v>
      </c>
      <c r="BN789" s="4">
        <f t="shared" si="440"/>
        <v>4</v>
      </c>
      <c r="BO789" s="4">
        <f t="shared" si="441"/>
        <v>4</v>
      </c>
      <c r="BP789" s="4">
        <f t="shared" si="442"/>
        <v>4</v>
      </c>
      <c r="BQ789" s="4">
        <f t="shared" si="443"/>
        <v>6</v>
      </c>
      <c r="BR789" s="4">
        <f t="shared" si="444"/>
        <v>4</v>
      </c>
      <c r="BS789" s="4">
        <f t="shared" si="445"/>
        <v>4</v>
      </c>
      <c r="BT789" s="4">
        <f t="shared" si="446"/>
        <v>4</v>
      </c>
      <c r="BU789" s="4">
        <f t="shared" si="447"/>
        <v>4</v>
      </c>
      <c r="BV789" s="4">
        <f t="shared" si="448"/>
        <v>0</v>
      </c>
      <c r="BW789" s="4">
        <f t="shared" si="449"/>
        <v>6</v>
      </c>
      <c r="BX789" s="4">
        <f t="shared" si="450"/>
        <v>0</v>
      </c>
      <c r="BY789" s="4">
        <f t="shared" si="451"/>
        <v>0</v>
      </c>
      <c r="BZ789" s="37">
        <f t="shared" si="452"/>
        <v>98</v>
      </c>
      <c r="CA789" s="32" t="str">
        <f>VLOOKUP(J:J,'Agent wise'!A:C,3,0)</f>
        <v xml:space="preserve">Shiny </v>
      </c>
      <c r="CB789" s="32">
        <f t="shared" si="453"/>
        <v>45940</v>
      </c>
      <c r="CC789" t="str">
        <f t="shared" si="454"/>
        <v>Excellent</v>
      </c>
      <c r="CE789" s="32"/>
      <c r="CJ789">
        <f t="shared" si="455"/>
        <v>10</v>
      </c>
      <c r="CK789">
        <f t="shared" si="456"/>
        <v>10</v>
      </c>
      <c r="CL789">
        <f t="shared" si="457"/>
        <v>2025</v>
      </c>
    </row>
    <row r="790" spans="1:90" ht="15" customHeight="1" x14ac:dyDescent="0.35">
      <c r="A790" t="s">
        <v>1925</v>
      </c>
      <c r="B790" t="s">
        <v>250</v>
      </c>
      <c r="C790" t="s">
        <v>214</v>
      </c>
      <c r="D790" t="s">
        <v>251</v>
      </c>
      <c r="E790" s="32">
        <v>45945</v>
      </c>
      <c r="F790" t="s">
        <v>54</v>
      </c>
      <c r="G790" t="s">
        <v>1749</v>
      </c>
      <c r="H790">
        <v>9655058277</v>
      </c>
      <c r="I790">
        <v>168</v>
      </c>
      <c r="J790" t="s">
        <v>179</v>
      </c>
      <c r="K790" t="s">
        <v>71</v>
      </c>
      <c r="L790" t="s">
        <v>72</v>
      </c>
      <c r="M790" t="s">
        <v>59</v>
      </c>
      <c r="N790" t="s">
        <v>59</v>
      </c>
      <c r="O790" t="s">
        <v>59</v>
      </c>
      <c r="P790" t="s">
        <v>59</v>
      </c>
      <c r="Q790" t="s">
        <v>59</v>
      </c>
      <c r="R790" t="s">
        <v>59</v>
      </c>
      <c r="S790" t="s">
        <v>59</v>
      </c>
      <c r="T790" t="s">
        <v>59</v>
      </c>
      <c r="U790" t="s">
        <v>60</v>
      </c>
      <c r="V790" t="s">
        <v>59</v>
      </c>
      <c r="W790" t="s">
        <v>59</v>
      </c>
      <c r="X790" t="s">
        <v>59</v>
      </c>
      <c r="Y790" t="s">
        <v>59</v>
      </c>
      <c r="Z790" t="s">
        <v>60</v>
      </c>
      <c r="AA790" t="s">
        <v>59</v>
      </c>
      <c r="AB790" t="s">
        <v>60</v>
      </c>
      <c r="AC790" t="s">
        <v>61</v>
      </c>
      <c r="AD790" t="s">
        <v>61</v>
      </c>
      <c r="AE790" t="s">
        <v>59</v>
      </c>
      <c r="AF790" t="s">
        <v>59</v>
      </c>
      <c r="AG790" t="s">
        <v>59</v>
      </c>
      <c r="AH790" t="s">
        <v>61</v>
      </c>
      <c r="AI790" t="s">
        <v>61</v>
      </c>
      <c r="AJ790" t="s">
        <v>59</v>
      </c>
      <c r="AK790" t="s">
        <v>59</v>
      </c>
      <c r="AL790" t="s">
        <v>60</v>
      </c>
      <c r="AM790" t="s">
        <v>59</v>
      </c>
      <c r="AN790" t="s">
        <v>59</v>
      </c>
      <c r="AO790" t="s">
        <v>59</v>
      </c>
      <c r="AP790" t="s">
        <v>1926</v>
      </c>
      <c r="AQ790" t="s">
        <v>1927</v>
      </c>
      <c r="AR790" t="s">
        <v>64</v>
      </c>
      <c r="AS790" t="s">
        <v>858</v>
      </c>
      <c r="AT790" t="s">
        <v>1217</v>
      </c>
      <c r="AU790" t="s">
        <v>387</v>
      </c>
      <c r="AW790" s="4">
        <f t="shared" si="423"/>
        <v>6</v>
      </c>
      <c r="AX790" s="4">
        <f t="shared" si="424"/>
        <v>4</v>
      </c>
      <c r="AY790" s="4">
        <f t="shared" si="425"/>
        <v>4</v>
      </c>
      <c r="AZ790" s="4">
        <f t="shared" si="426"/>
        <v>2</v>
      </c>
      <c r="BA790" s="4">
        <f t="shared" si="427"/>
        <v>4</v>
      </c>
      <c r="BB790" s="4">
        <f t="shared" si="428"/>
        <v>4</v>
      </c>
      <c r="BC790" s="4">
        <f t="shared" si="429"/>
        <v>4</v>
      </c>
      <c r="BD790" s="4">
        <f t="shared" si="430"/>
        <v>2</v>
      </c>
      <c r="BE790" s="4" t="str">
        <f t="shared" si="431"/>
        <v>0</v>
      </c>
      <c r="BF790" s="4">
        <f t="shared" si="432"/>
        <v>2</v>
      </c>
      <c r="BG790" s="4">
        <f t="shared" si="433"/>
        <v>4</v>
      </c>
      <c r="BH790" s="4">
        <f t="shared" si="434"/>
        <v>4</v>
      </c>
      <c r="BI790" s="4">
        <f t="shared" si="435"/>
        <v>4</v>
      </c>
      <c r="BJ790" s="4" t="str">
        <f t="shared" si="436"/>
        <v>0</v>
      </c>
      <c r="BK790" s="4">
        <f t="shared" si="437"/>
        <v>4</v>
      </c>
      <c r="BL790" s="4" t="str">
        <f t="shared" si="438"/>
        <v>0</v>
      </c>
      <c r="BM790" s="4">
        <f t="shared" si="439"/>
        <v>4</v>
      </c>
      <c r="BN790" s="4">
        <f t="shared" si="440"/>
        <v>4</v>
      </c>
      <c r="BO790" s="4">
        <f t="shared" si="441"/>
        <v>4</v>
      </c>
      <c r="BP790" s="4">
        <f t="shared" si="442"/>
        <v>4</v>
      </c>
      <c r="BQ790" s="4">
        <f t="shared" si="443"/>
        <v>6</v>
      </c>
      <c r="BR790" s="4">
        <f t="shared" si="444"/>
        <v>4</v>
      </c>
      <c r="BS790" s="4">
        <f t="shared" si="445"/>
        <v>4</v>
      </c>
      <c r="BT790" s="4">
        <f t="shared" si="446"/>
        <v>4</v>
      </c>
      <c r="BU790" s="4">
        <f t="shared" si="447"/>
        <v>4</v>
      </c>
      <c r="BV790" s="4" t="str">
        <f t="shared" si="448"/>
        <v>0</v>
      </c>
      <c r="BW790" s="4">
        <f t="shared" si="449"/>
        <v>6</v>
      </c>
      <c r="BX790" s="4">
        <f t="shared" si="450"/>
        <v>0</v>
      </c>
      <c r="BY790" s="4">
        <f t="shared" si="451"/>
        <v>0</v>
      </c>
      <c r="BZ790" s="37">
        <f t="shared" si="452"/>
        <v>92</v>
      </c>
      <c r="CA790" s="32" t="str">
        <f>VLOOKUP(J:J,'Agent wise'!A:C,3,0)</f>
        <v>Adharsh</v>
      </c>
      <c r="CB790" s="32">
        <f t="shared" si="453"/>
        <v>45945</v>
      </c>
      <c r="CC790" t="str">
        <f t="shared" si="454"/>
        <v>Good</v>
      </c>
      <c r="CE790" s="32"/>
      <c r="CJ790">
        <f t="shared" si="455"/>
        <v>15</v>
      </c>
      <c r="CK790">
        <f t="shared" si="456"/>
        <v>10</v>
      </c>
      <c r="CL790">
        <f t="shared" si="457"/>
        <v>2025</v>
      </c>
    </row>
    <row r="791" spans="1:90" ht="15" customHeight="1" x14ac:dyDescent="0.35">
      <c r="A791" t="s">
        <v>1928</v>
      </c>
      <c r="B791" t="s">
        <v>250</v>
      </c>
      <c r="C791" t="s">
        <v>214</v>
      </c>
      <c r="D791" t="s">
        <v>251</v>
      </c>
      <c r="E791" s="32">
        <v>45945</v>
      </c>
      <c r="F791" t="s">
        <v>54</v>
      </c>
      <c r="G791" t="s">
        <v>1749</v>
      </c>
      <c r="H791">
        <v>8903150973</v>
      </c>
      <c r="I791">
        <v>204</v>
      </c>
      <c r="J791" t="s">
        <v>646</v>
      </c>
      <c r="K791" t="s">
        <v>71</v>
      </c>
      <c r="L791" t="s">
        <v>72</v>
      </c>
      <c r="M791" t="s">
        <v>59</v>
      </c>
      <c r="N791" t="s">
        <v>60</v>
      </c>
      <c r="O791" t="s">
        <v>59</v>
      </c>
      <c r="P791" t="s">
        <v>59</v>
      </c>
      <c r="Q791" t="s">
        <v>59</v>
      </c>
      <c r="R791" t="s">
        <v>59</v>
      </c>
      <c r="S791" t="s">
        <v>59</v>
      </c>
      <c r="T791" t="s">
        <v>59</v>
      </c>
      <c r="U791" t="s">
        <v>60</v>
      </c>
      <c r="V791" t="s">
        <v>59</v>
      </c>
      <c r="W791" t="s">
        <v>59</v>
      </c>
      <c r="X791" t="s">
        <v>59</v>
      </c>
      <c r="Y791" t="s">
        <v>59</v>
      </c>
      <c r="Z791" t="s">
        <v>59</v>
      </c>
      <c r="AA791" t="s">
        <v>60</v>
      </c>
      <c r="AB791" t="s">
        <v>60</v>
      </c>
      <c r="AC791" t="s">
        <v>59</v>
      </c>
      <c r="AD791" t="s">
        <v>59</v>
      </c>
      <c r="AE791" t="s">
        <v>59</v>
      </c>
      <c r="AF791" t="s">
        <v>59</v>
      </c>
      <c r="AG791" t="s">
        <v>59</v>
      </c>
      <c r="AH791" t="s">
        <v>61</v>
      </c>
      <c r="AI791" t="s">
        <v>61</v>
      </c>
      <c r="AJ791" t="s">
        <v>59</v>
      </c>
      <c r="AK791" t="s">
        <v>59</v>
      </c>
      <c r="AL791" t="s">
        <v>60</v>
      </c>
      <c r="AM791" t="s">
        <v>59</v>
      </c>
      <c r="AN791" t="s">
        <v>59</v>
      </c>
      <c r="AO791" t="s">
        <v>59</v>
      </c>
      <c r="AP791" t="s">
        <v>1929</v>
      </c>
      <c r="AQ791" t="s">
        <v>1930</v>
      </c>
      <c r="AR791" t="s">
        <v>64</v>
      </c>
      <c r="AS791" t="s">
        <v>1217</v>
      </c>
      <c r="AT791" t="s">
        <v>390</v>
      </c>
      <c r="AU791" t="s">
        <v>219</v>
      </c>
      <c r="AW791" s="4">
        <f t="shared" si="423"/>
        <v>6</v>
      </c>
      <c r="AX791" s="4" t="str">
        <f t="shared" si="424"/>
        <v>0</v>
      </c>
      <c r="AY791" s="4">
        <f t="shared" si="425"/>
        <v>4</v>
      </c>
      <c r="AZ791" s="4">
        <f t="shared" si="426"/>
        <v>2</v>
      </c>
      <c r="BA791" s="4">
        <f t="shared" si="427"/>
        <v>4</v>
      </c>
      <c r="BB791" s="4">
        <f t="shared" si="428"/>
        <v>4</v>
      </c>
      <c r="BC791" s="4">
        <f t="shared" si="429"/>
        <v>4</v>
      </c>
      <c r="BD791" s="4">
        <f t="shared" si="430"/>
        <v>2</v>
      </c>
      <c r="BE791" s="4" t="str">
        <f t="shared" si="431"/>
        <v>0</v>
      </c>
      <c r="BF791" s="4">
        <f t="shared" si="432"/>
        <v>2</v>
      </c>
      <c r="BG791" s="4">
        <f t="shared" si="433"/>
        <v>4</v>
      </c>
      <c r="BH791" s="4">
        <f t="shared" si="434"/>
        <v>4</v>
      </c>
      <c r="BI791" s="4">
        <f t="shared" si="435"/>
        <v>4</v>
      </c>
      <c r="BJ791" s="4">
        <f t="shared" si="436"/>
        <v>2</v>
      </c>
      <c r="BK791" s="4" t="str">
        <f t="shared" si="437"/>
        <v>0</v>
      </c>
      <c r="BL791" s="4" t="str">
        <f t="shared" si="438"/>
        <v>0</v>
      </c>
      <c r="BM791" s="4">
        <f t="shared" si="439"/>
        <v>4</v>
      </c>
      <c r="BN791" s="4">
        <f t="shared" si="440"/>
        <v>4</v>
      </c>
      <c r="BO791" s="4">
        <f t="shared" si="441"/>
        <v>4</v>
      </c>
      <c r="BP791" s="4">
        <f t="shared" si="442"/>
        <v>4</v>
      </c>
      <c r="BQ791" s="4">
        <f t="shared" si="443"/>
        <v>6</v>
      </c>
      <c r="BR791" s="4">
        <f t="shared" si="444"/>
        <v>4</v>
      </c>
      <c r="BS791" s="4">
        <f t="shared" si="445"/>
        <v>4</v>
      </c>
      <c r="BT791" s="4">
        <f t="shared" si="446"/>
        <v>4</v>
      </c>
      <c r="BU791" s="4">
        <f t="shared" si="447"/>
        <v>4</v>
      </c>
      <c r="BV791" s="4" t="str">
        <f t="shared" si="448"/>
        <v>0</v>
      </c>
      <c r="BW791" s="4">
        <f t="shared" si="449"/>
        <v>6</v>
      </c>
      <c r="BX791" s="4">
        <f t="shared" si="450"/>
        <v>0</v>
      </c>
      <c r="BY791" s="4">
        <f t="shared" si="451"/>
        <v>0</v>
      </c>
      <c r="BZ791" s="37">
        <f t="shared" si="452"/>
        <v>86</v>
      </c>
      <c r="CA791" s="32" t="str">
        <f>VLOOKUP(J:J,'Agent wise'!A:C,3,0)</f>
        <v xml:space="preserve">Shiny </v>
      </c>
      <c r="CB791" s="32">
        <f t="shared" si="453"/>
        <v>45945</v>
      </c>
      <c r="CC791" t="str">
        <f t="shared" si="454"/>
        <v>Average</v>
      </c>
      <c r="CE791" s="32"/>
      <c r="CJ791">
        <f t="shared" si="455"/>
        <v>15</v>
      </c>
      <c r="CK791">
        <f t="shared" si="456"/>
        <v>10</v>
      </c>
      <c r="CL791">
        <f t="shared" si="457"/>
        <v>2025</v>
      </c>
    </row>
    <row r="792" spans="1:90" ht="15" customHeight="1" x14ac:dyDescent="0.35">
      <c r="A792" t="s">
        <v>1931</v>
      </c>
      <c r="B792" t="s">
        <v>250</v>
      </c>
      <c r="C792" t="s">
        <v>214</v>
      </c>
      <c r="D792" t="s">
        <v>251</v>
      </c>
      <c r="E792" s="32">
        <v>45945</v>
      </c>
      <c r="F792" t="s">
        <v>54</v>
      </c>
      <c r="G792" t="s">
        <v>1749</v>
      </c>
      <c r="H792">
        <v>8903892138</v>
      </c>
      <c r="I792">
        <v>178</v>
      </c>
      <c r="J792" t="s">
        <v>657</v>
      </c>
      <c r="K792" t="s">
        <v>71</v>
      </c>
      <c r="L792" t="s">
        <v>72</v>
      </c>
      <c r="M792" t="s">
        <v>59</v>
      </c>
      <c r="N792" t="s">
        <v>59</v>
      </c>
      <c r="O792" t="s">
        <v>59</v>
      </c>
      <c r="P792" t="s">
        <v>59</v>
      </c>
      <c r="Q792" t="s">
        <v>59</v>
      </c>
      <c r="R792" t="s">
        <v>59</v>
      </c>
      <c r="S792" t="s">
        <v>59</v>
      </c>
      <c r="T792" t="s">
        <v>59</v>
      </c>
      <c r="U792" t="s">
        <v>60</v>
      </c>
      <c r="V792" t="s">
        <v>59</v>
      </c>
      <c r="W792" t="s">
        <v>59</v>
      </c>
      <c r="X792" t="s">
        <v>59</v>
      </c>
      <c r="Y792" t="s">
        <v>59</v>
      </c>
      <c r="Z792" t="s">
        <v>60</v>
      </c>
      <c r="AA792" t="s">
        <v>59</v>
      </c>
      <c r="AB792" t="s">
        <v>59</v>
      </c>
      <c r="AC792" t="s">
        <v>59</v>
      </c>
      <c r="AD792" t="s">
        <v>59</v>
      </c>
      <c r="AE792" t="s">
        <v>59</v>
      </c>
      <c r="AF792" t="s">
        <v>59</v>
      </c>
      <c r="AG792" t="s">
        <v>59</v>
      </c>
      <c r="AH792" t="s">
        <v>59</v>
      </c>
      <c r="AI792" t="s">
        <v>61</v>
      </c>
      <c r="AJ792" t="s">
        <v>59</v>
      </c>
      <c r="AK792" t="s">
        <v>59</v>
      </c>
      <c r="AL792" t="s">
        <v>60</v>
      </c>
      <c r="AM792" t="s">
        <v>59</v>
      </c>
      <c r="AN792" t="s">
        <v>59</v>
      </c>
      <c r="AO792" t="s">
        <v>59</v>
      </c>
      <c r="AP792" t="s">
        <v>658</v>
      </c>
      <c r="AQ792" t="s">
        <v>1932</v>
      </c>
      <c r="AR792" t="s">
        <v>64</v>
      </c>
      <c r="AS792" t="s">
        <v>1201</v>
      </c>
      <c r="AT792" t="s">
        <v>344</v>
      </c>
      <c r="AU792" t="s">
        <v>387</v>
      </c>
      <c r="AW792" s="4">
        <f t="shared" si="423"/>
        <v>6</v>
      </c>
      <c r="AX792" s="4">
        <f t="shared" si="424"/>
        <v>4</v>
      </c>
      <c r="AY792" s="4">
        <f t="shared" si="425"/>
        <v>4</v>
      </c>
      <c r="AZ792" s="4">
        <f t="shared" si="426"/>
        <v>2</v>
      </c>
      <c r="BA792" s="4">
        <f t="shared" si="427"/>
        <v>4</v>
      </c>
      <c r="BB792" s="4">
        <f t="shared" si="428"/>
        <v>4</v>
      </c>
      <c r="BC792" s="4">
        <f t="shared" si="429"/>
        <v>4</v>
      </c>
      <c r="BD792" s="4">
        <f t="shared" si="430"/>
        <v>2</v>
      </c>
      <c r="BE792" s="4" t="str">
        <f t="shared" si="431"/>
        <v>0</v>
      </c>
      <c r="BF792" s="4">
        <f t="shared" si="432"/>
        <v>2</v>
      </c>
      <c r="BG792" s="4">
        <f t="shared" si="433"/>
        <v>4</v>
      </c>
      <c r="BH792" s="4">
        <f t="shared" si="434"/>
        <v>4</v>
      </c>
      <c r="BI792" s="4">
        <f t="shared" si="435"/>
        <v>4</v>
      </c>
      <c r="BJ792" s="4" t="str">
        <f t="shared" si="436"/>
        <v>0</v>
      </c>
      <c r="BK792" s="4">
        <f t="shared" si="437"/>
        <v>4</v>
      </c>
      <c r="BL792" s="4">
        <f t="shared" si="438"/>
        <v>2</v>
      </c>
      <c r="BM792" s="4">
        <f t="shared" si="439"/>
        <v>4</v>
      </c>
      <c r="BN792" s="4">
        <f t="shared" si="440"/>
        <v>4</v>
      </c>
      <c r="BO792" s="4">
        <f t="shared" si="441"/>
        <v>4</v>
      </c>
      <c r="BP792" s="4">
        <f t="shared" si="442"/>
        <v>4</v>
      </c>
      <c r="BQ792" s="4">
        <f t="shared" si="443"/>
        <v>6</v>
      </c>
      <c r="BR792" s="4">
        <f t="shared" si="444"/>
        <v>4</v>
      </c>
      <c r="BS792" s="4">
        <f t="shared" si="445"/>
        <v>4</v>
      </c>
      <c r="BT792" s="4">
        <f t="shared" si="446"/>
        <v>4</v>
      </c>
      <c r="BU792" s="4">
        <f t="shared" si="447"/>
        <v>4</v>
      </c>
      <c r="BV792" s="4" t="str">
        <f t="shared" si="448"/>
        <v>0</v>
      </c>
      <c r="BW792" s="4">
        <f t="shared" si="449"/>
        <v>6</v>
      </c>
      <c r="BX792" s="4">
        <f t="shared" si="450"/>
        <v>0</v>
      </c>
      <c r="BY792" s="4">
        <f t="shared" si="451"/>
        <v>0</v>
      </c>
      <c r="BZ792" s="37">
        <f t="shared" si="452"/>
        <v>94</v>
      </c>
      <c r="CA792" s="32" t="str">
        <f>VLOOKUP(J:J,'Agent wise'!A:C,3,0)</f>
        <v>Saran S</v>
      </c>
      <c r="CB792" s="32">
        <f t="shared" si="453"/>
        <v>45945</v>
      </c>
      <c r="CC792" t="str">
        <f t="shared" si="454"/>
        <v>Good</v>
      </c>
      <c r="CE792" s="32"/>
      <c r="CJ792">
        <f t="shared" si="455"/>
        <v>15</v>
      </c>
      <c r="CK792">
        <f t="shared" si="456"/>
        <v>10</v>
      </c>
      <c r="CL792">
        <f t="shared" si="457"/>
        <v>2025</v>
      </c>
    </row>
    <row r="793" spans="1:90" ht="15" customHeight="1" x14ac:dyDescent="0.35">
      <c r="A793" t="s">
        <v>1933</v>
      </c>
      <c r="B793" t="s">
        <v>250</v>
      </c>
      <c r="C793" t="s">
        <v>214</v>
      </c>
      <c r="D793" t="s">
        <v>251</v>
      </c>
      <c r="E793" s="32">
        <v>45945</v>
      </c>
      <c r="F793" t="s">
        <v>54</v>
      </c>
      <c r="G793" t="s">
        <v>1749</v>
      </c>
      <c r="H793">
        <v>9363049941</v>
      </c>
      <c r="I793">
        <v>166</v>
      </c>
      <c r="J793" t="s">
        <v>124</v>
      </c>
      <c r="K793" t="s">
        <v>71</v>
      </c>
      <c r="L793" t="s">
        <v>72</v>
      </c>
      <c r="M793" t="s">
        <v>59</v>
      </c>
      <c r="N793" t="s">
        <v>59</v>
      </c>
      <c r="O793" t="s">
        <v>59</v>
      </c>
      <c r="P793" t="s">
        <v>59</v>
      </c>
      <c r="Q793" t="s">
        <v>59</v>
      </c>
      <c r="R793" t="s">
        <v>59</v>
      </c>
      <c r="S793" t="s">
        <v>59</v>
      </c>
      <c r="T793" t="s">
        <v>59</v>
      </c>
      <c r="U793" t="s">
        <v>60</v>
      </c>
      <c r="V793" t="s">
        <v>59</v>
      </c>
      <c r="W793" t="s">
        <v>59</v>
      </c>
      <c r="X793" t="s">
        <v>59</v>
      </c>
      <c r="Y793" t="s">
        <v>59</v>
      </c>
      <c r="Z793" t="s">
        <v>59</v>
      </c>
      <c r="AA793" t="s">
        <v>60</v>
      </c>
      <c r="AB793" t="s">
        <v>60</v>
      </c>
      <c r="AC793" t="s">
        <v>59</v>
      </c>
      <c r="AD793" t="s">
        <v>59</v>
      </c>
      <c r="AE793" t="s">
        <v>59</v>
      </c>
      <c r="AF793" t="s">
        <v>59</v>
      </c>
      <c r="AG793" t="s">
        <v>59</v>
      </c>
      <c r="AH793" t="s">
        <v>61</v>
      </c>
      <c r="AI793" t="s">
        <v>61</v>
      </c>
      <c r="AJ793" t="s">
        <v>59</v>
      </c>
      <c r="AK793" t="s">
        <v>59</v>
      </c>
      <c r="AL793" t="s">
        <v>60</v>
      </c>
      <c r="AM793" t="s">
        <v>59</v>
      </c>
      <c r="AN793" t="s">
        <v>59</v>
      </c>
      <c r="AO793" t="s">
        <v>59</v>
      </c>
      <c r="AP793" t="s">
        <v>1934</v>
      </c>
      <c r="AQ793" t="s">
        <v>1935</v>
      </c>
      <c r="AR793" t="s">
        <v>64</v>
      </c>
      <c r="AS793" t="s">
        <v>171</v>
      </c>
      <c r="AT793" t="s">
        <v>1936</v>
      </c>
      <c r="AU793" t="s">
        <v>219</v>
      </c>
      <c r="AW793" s="4">
        <f t="shared" si="423"/>
        <v>6</v>
      </c>
      <c r="AX793" s="4">
        <f t="shared" si="424"/>
        <v>4</v>
      </c>
      <c r="AY793" s="4">
        <f t="shared" si="425"/>
        <v>4</v>
      </c>
      <c r="AZ793" s="4">
        <f t="shared" si="426"/>
        <v>2</v>
      </c>
      <c r="BA793" s="4">
        <f t="shared" si="427"/>
        <v>4</v>
      </c>
      <c r="BB793" s="4">
        <f t="shared" si="428"/>
        <v>4</v>
      </c>
      <c r="BC793" s="4">
        <f t="shared" si="429"/>
        <v>4</v>
      </c>
      <c r="BD793" s="4">
        <f t="shared" si="430"/>
        <v>2</v>
      </c>
      <c r="BE793" s="4" t="str">
        <f t="shared" si="431"/>
        <v>0</v>
      </c>
      <c r="BF793" s="4">
        <f t="shared" si="432"/>
        <v>2</v>
      </c>
      <c r="BG793" s="4">
        <f t="shared" si="433"/>
        <v>4</v>
      </c>
      <c r="BH793" s="4">
        <f t="shared" si="434"/>
        <v>4</v>
      </c>
      <c r="BI793" s="4">
        <f t="shared" si="435"/>
        <v>4</v>
      </c>
      <c r="BJ793" s="4">
        <f t="shared" si="436"/>
        <v>2</v>
      </c>
      <c r="BK793" s="4" t="str">
        <f t="shared" si="437"/>
        <v>0</v>
      </c>
      <c r="BL793" s="4" t="str">
        <f t="shared" si="438"/>
        <v>0</v>
      </c>
      <c r="BM793" s="4">
        <f t="shared" si="439"/>
        <v>4</v>
      </c>
      <c r="BN793" s="4">
        <f t="shared" si="440"/>
        <v>4</v>
      </c>
      <c r="BO793" s="4">
        <f t="shared" si="441"/>
        <v>4</v>
      </c>
      <c r="BP793" s="4">
        <f t="shared" si="442"/>
        <v>4</v>
      </c>
      <c r="BQ793" s="4">
        <f t="shared" si="443"/>
        <v>6</v>
      </c>
      <c r="BR793" s="4">
        <f t="shared" si="444"/>
        <v>4</v>
      </c>
      <c r="BS793" s="4">
        <f t="shared" si="445"/>
        <v>4</v>
      </c>
      <c r="BT793" s="4">
        <f t="shared" si="446"/>
        <v>4</v>
      </c>
      <c r="BU793" s="4">
        <f t="shared" si="447"/>
        <v>4</v>
      </c>
      <c r="BV793" s="4" t="str">
        <f t="shared" si="448"/>
        <v>0</v>
      </c>
      <c r="BW793" s="4">
        <f t="shared" si="449"/>
        <v>6</v>
      </c>
      <c r="BX793" s="4">
        <f t="shared" si="450"/>
        <v>0</v>
      </c>
      <c r="BY793" s="4">
        <f t="shared" si="451"/>
        <v>0</v>
      </c>
      <c r="BZ793" s="37">
        <f t="shared" si="452"/>
        <v>90</v>
      </c>
      <c r="CA793" s="32" t="str">
        <f>VLOOKUP(J:J,'Agent wise'!A:C,3,0)</f>
        <v>Saran S</v>
      </c>
      <c r="CB793" s="32">
        <f t="shared" si="453"/>
        <v>45945</v>
      </c>
      <c r="CC793" t="str">
        <f t="shared" si="454"/>
        <v>Good</v>
      </c>
      <c r="CE793" s="32"/>
      <c r="CJ793">
        <f t="shared" si="455"/>
        <v>15</v>
      </c>
      <c r="CK793">
        <f t="shared" si="456"/>
        <v>10</v>
      </c>
      <c r="CL793">
        <f t="shared" si="457"/>
        <v>2025</v>
      </c>
    </row>
    <row r="794" spans="1:90" ht="15" customHeight="1" x14ac:dyDescent="0.35">
      <c r="A794" t="s">
        <v>1937</v>
      </c>
      <c r="B794" t="s">
        <v>51</v>
      </c>
      <c r="C794" t="s">
        <v>214</v>
      </c>
      <c r="D794" t="s">
        <v>53</v>
      </c>
      <c r="E794" s="32">
        <v>45945</v>
      </c>
      <c r="F794" t="s">
        <v>54</v>
      </c>
      <c r="G794" t="s">
        <v>1749</v>
      </c>
      <c r="H794">
        <v>9025875804</v>
      </c>
      <c r="I794">
        <v>108</v>
      </c>
      <c r="J794" t="s">
        <v>96</v>
      </c>
      <c r="K794" t="s">
        <v>86</v>
      </c>
      <c r="L794" t="s">
        <v>72</v>
      </c>
      <c r="M794" t="s">
        <v>60</v>
      </c>
      <c r="N794" t="s">
        <v>59</v>
      </c>
      <c r="O794" t="s">
        <v>59</v>
      </c>
      <c r="P794" t="s">
        <v>59</v>
      </c>
      <c r="Q794" t="s">
        <v>59</v>
      </c>
      <c r="R794" t="s">
        <v>60</v>
      </c>
      <c r="S794" t="s">
        <v>59</v>
      </c>
      <c r="T794" t="s">
        <v>59</v>
      </c>
      <c r="U794" t="s">
        <v>60</v>
      </c>
      <c r="V794" t="s">
        <v>59</v>
      </c>
      <c r="W794" t="s">
        <v>59</v>
      </c>
      <c r="X794" t="s">
        <v>59</v>
      </c>
      <c r="Y794" t="s">
        <v>59</v>
      </c>
      <c r="Z794" t="s">
        <v>59</v>
      </c>
      <c r="AA794" t="s">
        <v>60</v>
      </c>
      <c r="AB794" t="s">
        <v>60</v>
      </c>
      <c r="AC794" t="s">
        <v>61</v>
      </c>
      <c r="AD794" t="s">
        <v>59</v>
      </c>
      <c r="AE794" t="s">
        <v>59</v>
      </c>
      <c r="AF794" t="s">
        <v>61</v>
      </c>
      <c r="AG794" t="s">
        <v>59</v>
      </c>
      <c r="AH794" t="s">
        <v>61</v>
      </c>
      <c r="AI794" t="s">
        <v>61</v>
      </c>
      <c r="AJ794" t="s">
        <v>59</v>
      </c>
      <c r="AK794" t="s">
        <v>61</v>
      </c>
      <c r="AL794" t="s">
        <v>60</v>
      </c>
      <c r="AM794" t="s">
        <v>59</v>
      </c>
      <c r="AN794" t="s">
        <v>59</v>
      </c>
      <c r="AO794" t="s">
        <v>59</v>
      </c>
      <c r="AP794" t="s">
        <v>1938</v>
      </c>
      <c r="AQ794" t="s">
        <v>1939</v>
      </c>
      <c r="AR794" t="s">
        <v>64</v>
      </c>
      <c r="AS794" t="s">
        <v>198</v>
      </c>
      <c r="AT794" t="s">
        <v>218</v>
      </c>
      <c r="AU794" t="s">
        <v>448</v>
      </c>
      <c r="AW794" s="4" t="str">
        <f t="shared" si="423"/>
        <v>0</v>
      </c>
      <c r="AX794" s="4">
        <f t="shared" si="424"/>
        <v>4</v>
      </c>
      <c r="AY794" s="4">
        <f t="shared" si="425"/>
        <v>4</v>
      </c>
      <c r="AZ794" s="4">
        <f t="shared" si="426"/>
        <v>2</v>
      </c>
      <c r="BA794" s="4">
        <f t="shared" si="427"/>
        <v>4</v>
      </c>
      <c r="BB794" s="4" t="str">
        <f t="shared" si="428"/>
        <v>0</v>
      </c>
      <c r="BC794" s="4">
        <f t="shared" si="429"/>
        <v>4</v>
      </c>
      <c r="BD794" s="4">
        <f t="shared" si="430"/>
        <v>2</v>
      </c>
      <c r="BE794" s="4" t="str">
        <f t="shared" si="431"/>
        <v>0</v>
      </c>
      <c r="BF794" s="4">
        <f t="shared" si="432"/>
        <v>2</v>
      </c>
      <c r="BG794" s="4">
        <f t="shared" si="433"/>
        <v>4</v>
      </c>
      <c r="BH794" s="4">
        <f t="shared" si="434"/>
        <v>4</v>
      </c>
      <c r="BI794" s="4">
        <f t="shared" si="435"/>
        <v>4</v>
      </c>
      <c r="BJ794" s="4">
        <f t="shared" si="436"/>
        <v>2</v>
      </c>
      <c r="BK794" s="4" t="str">
        <f t="shared" si="437"/>
        <v>0</v>
      </c>
      <c r="BL794" s="4" t="str">
        <f t="shared" si="438"/>
        <v>0</v>
      </c>
      <c r="BM794" s="4">
        <f t="shared" si="439"/>
        <v>4</v>
      </c>
      <c r="BN794" s="4">
        <f t="shared" si="440"/>
        <v>4</v>
      </c>
      <c r="BO794" s="4">
        <f t="shared" si="441"/>
        <v>4</v>
      </c>
      <c r="BP794" s="4">
        <f t="shared" si="442"/>
        <v>4</v>
      </c>
      <c r="BQ794" s="4">
        <f t="shared" si="443"/>
        <v>6</v>
      </c>
      <c r="BR794" s="4">
        <f t="shared" si="444"/>
        <v>4</v>
      </c>
      <c r="BS794" s="4">
        <f t="shared" si="445"/>
        <v>4</v>
      </c>
      <c r="BT794" s="4">
        <f t="shared" si="446"/>
        <v>4</v>
      </c>
      <c r="BU794" s="4">
        <f t="shared" si="447"/>
        <v>4</v>
      </c>
      <c r="BV794" s="4" t="str">
        <f t="shared" si="448"/>
        <v>0</v>
      </c>
      <c r="BW794" s="4">
        <f t="shared" si="449"/>
        <v>6</v>
      </c>
      <c r="BX794" s="4">
        <f t="shared" si="450"/>
        <v>0</v>
      </c>
      <c r="BY794" s="4">
        <f t="shared" si="451"/>
        <v>0</v>
      </c>
      <c r="BZ794" s="37">
        <f t="shared" si="452"/>
        <v>80</v>
      </c>
      <c r="CA794" s="32" t="str">
        <f>VLOOKUP(J:J,'Agent wise'!A:C,3,0)</f>
        <v xml:space="preserve">Shiny </v>
      </c>
      <c r="CB794" s="32">
        <f t="shared" si="453"/>
        <v>45945</v>
      </c>
      <c r="CC794" t="str">
        <f t="shared" si="454"/>
        <v>FC</v>
      </c>
      <c r="CE794" s="32"/>
      <c r="CJ794">
        <f t="shared" si="455"/>
        <v>15</v>
      </c>
      <c r="CK794">
        <f t="shared" si="456"/>
        <v>10</v>
      </c>
      <c r="CL794">
        <f t="shared" si="457"/>
        <v>2025</v>
      </c>
    </row>
    <row r="795" spans="1:90" ht="15" customHeight="1" x14ac:dyDescent="0.35">
      <c r="A795" t="s">
        <v>1940</v>
      </c>
      <c r="B795" t="s">
        <v>250</v>
      </c>
      <c r="C795" t="s">
        <v>214</v>
      </c>
      <c r="D795" t="s">
        <v>251</v>
      </c>
      <c r="E795" s="32">
        <v>45945</v>
      </c>
      <c r="F795" t="s">
        <v>54</v>
      </c>
      <c r="G795" t="s">
        <v>1749</v>
      </c>
      <c r="H795">
        <v>8078471994</v>
      </c>
      <c r="I795">
        <v>196</v>
      </c>
      <c r="J795" t="s">
        <v>660</v>
      </c>
      <c r="K795" t="s">
        <v>57</v>
      </c>
      <c r="L795" t="s">
        <v>58</v>
      </c>
      <c r="M795" t="s">
        <v>59</v>
      </c>
      <c r="N795" t="s">
        <v>59</v>
      </c>
      <c r="O795" t="s">
        <v>59</v>
      </c>
      <c r="P795" t="s">
        <v>59</v>
      </c>
      <c r="Q795" t="s">
        <v>59</v>
      </c>
      <c r="R795" t="s">
        <v>59</v>
      </c>
      <c r="S795" t="s">
        <v>59</v>
      </c>
      <c r="T795" t="s">
        <v>59</v>
      </c>
      <c r="U795" t="s">
        <v>60</v>
      </c>
      <c r="V795" t="s">
        <v>59</v>
      </c>
      <c r="W795" t="s">
        <v>59</v>
      </c>
      <c r="X795" t="s">
        <v>59</v>
      </c>
      <c r="Y795" t="s">
        <v>59</v>
      </c>
      <c r="Z795" t="s">
        <v>59</v>
      </c>
      <c r="AA795" t="s">
        <v>59</v>
      </c>
      <c r="AB795" t="s">
        <v>59</v>
      </c>
      <c r="AC795" t="s">
        <v>59</v>
      </c>
      <c r="AD795" t="s">
        <v>59</v>
      </c>
      <c r="AE795" t="s">
        <v>59</v>
      </c>
      <c r="AF795" t="s">
        <v>59</v>
      </c>
      <c r="AG795" t="s">
        <v>59</v>
      </c>
      <c r="AH795" t="s">
        <v>61</v>
      </c>
      <c r="AI795" t="s">
        <v>61</v>
      </c>
      <c r="AJ795" t="s">
        <v>59</v>
      </c>
      <c r="AK795" t="s">
        <v>59</v>
      </c>
      <c r="AL795" t="s">
        <v>60</v>
      </c>
      <c r="AM795" t="s">
        <v>59</v>
      </c>
      <c r="AN795" t="s">
        <v>59</v>
      </c>
      <c r="AO795" t="s">
        <v>59</v>
      </c>
      <c r="AP795" t="s">
        <v>1941</v>
      </c>
      <c r="AQ795" t="s">
        <v>1942</v>
      </c>
      <c r="AR795" t="s">
        <v>64</v>
      </c>
      <c r="AS795" t="s">
        <v>1943</v>
      </c>
      <c r="AT795" t="s">
        <v>171</v>
      </c>
      <c r="AU795" t="s">
        <v>219</v>
      </c>
      <c r="AW795" s="4">
        <f t="shared" si="423"/>
        <v>6</v>
      </c>
      <c r="AX795" s="4">
        <f t="shared" si="424"/>
        <v>4</v>
      </c>
      <c r="AY795" s="4">
        <f t="shared" si="425"/>
        <v>4</v>
      </c>
      <c r="AZ795" s="4">
        <f t="shared" si="426"/>
        <v>2</v>
      </c>
      <c r="BA795" s="4">
        <f t="shared" si="427"/>
        <v>4</v>
      </c>
      <c r="BB795" s="4">
        <f t="shared" si="428"/>
        <v>4</v>
      </c>
      <c r="BC795" s="4">
        <f t="shared" si="429"/>
        <v>4</v>
      </c>
      <c r="BD795" s="4">
        <f t="shared" si="430"/>
        <v>2</v>
      </c>
      <c r="BE795" s="4" t="str">
        <f t="shared" si="431"/>
        <v>0</v>
      </c>
      <c r="BF795" s="4">
        <f t="shared" si="432"/>
        <v>2</v>
      </c>
      <c r="BG795" s="4">
        <f t="shared" si="433"/>
        <v>4</v>
      </c>
      <c r="BH795" s="4">
        <f t="shared" si="434"/>
        <v>4</v>
      </c>
      <c r="BI795" s="4">
        <f t="shared" si="435"/>
        <v>4</v>
      </c>
      <c r="BJ795" s="4">
        <f t="shared" si="436"/>
        <v>2</v>
      </c>
      <c r="BK795" s="4">
        <f t="shared" si="437"/>
        <v>4</v>
      </c>
      <c r="BL795" s="4">
        <f t="shared" si="438"/>
        <v>2</v>
      </c>
      <c r="BM795" s="4">
        <f t="shared" si="439"/>
        <v>4</v>
      </c>
      <c r="BN795" s="4">
        <f t="shared" si="440"/>
        <v>4</v>
      </c>
      <c r="BO795" s="4">
        <f t="shared" si="441"/>
        <v>4</v>
      </c>
      <c r="BP795" s="4">
        <f t="shared" si="442"/>
        <v>4</v>
      </c>
      <c r="BQ795" s="4">
        <f t="shared" si="443"/>
        <v>6</v>
      </c>
      <c r="BR795" s="4">
        <f t="shared" si="444"/>
        <v>4</v>
      </c>
      <c r="BS795" s="4">
        <f t="shared" si="445"/>
        <v>4</v>
      </c>
      <c r="BT795" s="4">
        <f t="shared" si="446"/>
        <v>4</v>
      </c>
      <c r="BU795" s="4">
        <f t="shared" si="447"/>
        <v>4</v>
      </c>
      <c r="BV795" s="4" t="str">
        <f t="shared" si="448"/>
        <v>0</v>
      </c>
      <c r="BW795" s="4">
        <f t="shared" si="449"/>
        <v>6</v>
      </c>
      <c r="BX795" s="4">
        <f t="shared" si="450"/>
        <v>0</v>
      </c>
      <c r="BY795" s="4">
        <f t="shared" si="451"/>
        <v>0</v>
      </c>
      <c r="BZ795" s="37">
        <f t="shared" si="452"/>
        <v>96</v>
      </c>
      <c r="CA795" s="32" t="str">
        <f>VLOOKUP(J:J,'Agent wise'!A:C,3,0)</f>
        <v>Adharsh</v>
      </c>
      <c r="CB795" s="32">
        <f t="shared" si="453"/>
        <v>45945</v>
      </c>
      <c r="CC795" t="str">
        <f t="shared" si="454"/>
        <v>Excellent</v>
      </c>
      <c r="CE795" s="32"/>
      <c r="CJ795">
        <f t="shared" si="455"/>
        <v>15</v>
      </c>
      <c r="CK795">
        <f t="shared" si="456"/>
        <v>10</v>
      </c>
      <c r="CL795">
        <f t="shared" si="457"/>
        <v>2025</v>
      </c>
    </row>
    <row r="796" spans="1:90" ht="15" customHeight="1" x14ac:dyDescent="0.35">
      <c r="A796" t="s">
        <v>1944</v>
      </c>
      <c r="B796" t="s">
        <v>250</v>
      </c>
      <c r="C796" t="s">
        <v>214</v>
      </c>
      <c r="D796" t="s">
        <v>251</v>
      </c>
      <c r="E796" s="32">
        <v>45944</v>
      </c>
      <c r="F796" t="s">
        <v>54</v>
      </c>
      <c r="G796" t="s">
        <v>1749</v>
      </c>
      <c r="H796">
        <v>9787908766</v>
      </c>
      <c r="I796">
        <v>161</v>
      </c>
      <c r="J796" t="s">
        <v>108</v>
      </c>
      <c r="K796" t="s">
        <v>71</v>
      </c>
      <c r="L796" t="s">
        <v>72</v>
      </c>
      <c r="M796" t="s">
        <v>59</v>
      </c>
      <c r="N796" t="s">
        <v>59</v>
      </c>
      <c r="O796" t="s">
        <v>59</v>
      </c>
      <c r="P796" t="s">
        <v>59</v>
      </c>
      <c r="Q796" t="s">
        <v>59</v>
      </c>
      <c r="R796" t="s">
        <v>59</v>
      </c>
      <c r="S796" t="s">
        <v>59</v>
      </c>
      <c r="T796" t="s">
        <v>59</v>
      </c>
      <c r="U796" t="s">
        <v>60</v>
      </c>
      <c r="V796" t="s">
        <v>59</v>
      </c>
      <c r="W796" t="s">
        <v>59</v>
      </c>
      <c r="X796" t="s">
        <v>59</v>
      </c>
      <c r="Y796" t="s">
        <v>59</v>
      </c>
      <c r="Z796" t="s">
        <v>60</v>
      </c>
      <c r="AA796" t="s">
        <v>59</v>
      </c>
      <c r="AB796" t="s">
        <v>59</v>
      </c>
      <c r="AC796" t="s">
        <v>59</v>
      </c>
      <c r="AD796" t="s">
        <v>59</v>
      </c>
      <c r="AE796" t="s">
        <v>59</v>
      </c>
      <c r="AF796" t="s">
        <v>59</v>
      </c>
      <c r="AG796" t="s">
        <v>59</v>
      </c>
      <c r="AH796" t="s">
        <v>61</v>
      </c>
      <c r="AI796" t="s">
        <v>61</v>
      </c>
      <c r="AJ796" t="s">
        <v>59</v>
      </c>
      <c r="AK796" t="s">
        <v>59</v>
      </c>
      <c r="AL796" t="s">
        <v>60</v>
      </c>
      <c r="AM796" t="s">
        <v>59</v>
      </c>
      <c r="AN796" t="s">
        <v>59</v>
      </c>
      <c r="AO796" t="s">
        <v>59</v>
      </c>
      <c r="AP796" t="s">
        <v>1945</v>
      </c>
      <c r="AQ796" t="s">
        <v>1946</v>
      </c>
      <c r="AR796" t="s">
        <v>64</v>
      </c>
      <c r="AS796" t="s">
        <v>89</v>
      </c>
      <c r="AT796" t="s">
        <v>84</v>
      </c>
      <c r="AU796" t="s">
        <v>219</v>
      </c>
      <c r="AW796" s="4">
        <f t="shared" si="423"/>
        <v>6</v>
      </c>
      <c r="AX796" s="4">
        <f t="shared" si="424"/>
        <v>4</v>
      </c>
      <c r="AY796" s="4">
        <f t="shared" si="425"/>
        <v>4</v>
      </c>
      <c r="AZ796" s="4">
        <f t="shared" si="426"/>
        <v>2</v>
      </c>
      <c r="BA796" s="4">
        <f t="shared" si="427"/>
        <v>4</v>
      </c>
      <c r="BB796" s="4">
        <f t="shared" si="428"/>
        <v>4</v>
      </c>
      <c r="BC796" s="4">
        <f t="shared" si="429"/>
        <v>4</v>
      </c>
      <c r="BD796" s="4">
        <f t="shared" si="430"/>
        <v>2</v>
      </c>
      <c r="BE796" s="4" t="str">
        <f t="shared" si="431"/>
        <v>0</v>
      </c>
      <c r="BF796" s="4">
        <f t="shared" si="432"/>
        <v>2</v>
      </c>
      <c r="BG796" s="4">
        <f t="shared" si="433"/>
        <v>4</v>
      </c>
      <c r="BH796" s="4">
        <f t="shared" si="434"/>
        <v>4</v>
      </c>
      <c r="BI796" s="4">
        <f t="shared" si="435"/>
        <v>4</v>
      </c>
      <c r="BJ796" s="4" t="str">
        <f t="shared" si="436"/>
        <v>0</v>
      </c>
      <c r="BK796" s="4">
        <f t="shared" si="437"/>
        <v>4</v>
      </c>
      <c r="BL796" s="4">
        <f t="shared" si="438"/>
        <v>2</v>
      </c>
      <c r="BM796" s="4">
        <f t="shared" si="439"/>
        <v>4</v>
      </c>
      <c r="BN796" s="4">
        <f t="shared" si="440"/>
        <v>4</v>
      </c>
      <c r="BO796" s="4">
        <f t="shared" si="441"/>
        <v>4</v>
      </c>
      <c r="BP796" s="4">
        <f t="shared" si="442"/>
        <v>4</v>
      </c>
      <c r="BQ796" s="4">
        <f t="shared" si="443"/>
        <v>6</v>
      </c>
      <c r="BR796" s="4">
        <f t="shared" si="444"/>
        <v>4</v>
      </c>
      <c r="BS796" s="4">
        <f t="shared" si="445"/>
        <v>4</v>
      </c>
      <c r="BT796" s="4">
        <f t="shared" si="446"/>
        <v>4</v>
      </c>
      <c r="BU796" s="4">
        <f t="shared" si="447"/>
        <v>4</v>
      </c>
      <c r="BV796" s="4" t="str">
        <f t="shared" si="448"/>
        <v>0</v>
      </c>
      <c r="BW796" s="4">
        <f t="shared" si="449"/>
        <v>6</v>
      </c>
      <c r="BX796" s="4">
        <f t="shared" si="450"/>
        <v>0</v>
      </c>
      <c r="BY796" s="4">
        <f t="shared" si="451"/>
        <v>0</v>
      </c>
      <c r="BZ796" s="37">
        <f t="shared" si="452"/>
        <v>94</v>
      </c>
      <c r="CA796" s="32" t="str">
        <f>VLOOKUP(J:J,'Agent wise'!A:C,3,0)</f>
        <v xml:space="preserve">Shiny </v>
      </c>
      <c r="CB796" s="32">
        <f t="shared" si="453"/>
        <v>45944</v>
      </c>
      <c r="CC796" t="str">
        <f t="shared" si="454"/>
        <v>Good</v>
      </c>
      <c r="CE796" s="32"/>
      <c r="CJ796">
        <f t="shared" si="455"/>
        <v>14</v>
      </c>
      <c r="CK796">
        <f t="shared" si="456"/>
        <v>10</v>
      </c>
      <c r="CL796">
        <f t="shared" si="457"/>
        <v>2025</v>
      </c>
    </row>
    <row r="797" spans="1:90" ht="15" customHeight="1" x14ac:dyDescent="0.35">
      <c r="A797" t="s">
        <v>1947</v>
      </c>
      <c r="B797" t="s">
        <v>250</v>
      </c>
      <c r="C797" t="s">
        <v>214</v>
      </c>
      <c r="D797" t="s">
        <v>251</v>
      </c>
      <c r="E797" s="32">
        <v>45945</v>
      </c>
      <c r="F797" t="s">
        <v>54</v>
      </c>
      <c r="G797" t="s">
        <v>1749</v>
      </c>
      <c r="H797">
        <v>9445759713</v>
      </c>
      <c r="I797">
        <v>141</v>
      </c>
      <c r="J797" t="s">
        <v>662</v>
      </c>
      <c r="K797" t="s">
        <v>71</v>
      </c>
      <c r="L797" t="s">
        <v>72</v>
      </c>
      <c r="M797" t="s">
        <v>59</v>
      </c>
      <c r="N797" t="s">
        <v>59</v>
      </c>
      <c r="O797" t="s">
        <v>59</v>
      </c>
      <c r="P797" t="s">
        <v>59</v>
      </c>
      <c r="Q797" t="s">
        <v>59</v>
      </c>
      <c r="R797" t="s">
        <v>59</v>
      </c>
      <c r="S797" t="s">
        <v>59</v>
      </c>
      <c r="T797" t="s">
        <v>59</v>
      </c>
      <c r="U797" t="s">
        <v>60</v>
      </c>
      <c r="V797" t="s">
        <v>59</v>
      </c>
      <c r="W797" t="s">
        <v>59</v>
      </c>
      <c r="X797" t="s">
        <v>59</v>
      </c>
      <c r="Y797" t="s">
        <v>59</v>
      </c>
      <c r="Z797" t="s">
        <v>59</v>
      </c>
      <c r="AA797" t="s">
        <v>60</v>
      </c>
      <c r="AB797" t="s">
        <v>59</v>
      </c>
      <c r="AC797" t="s">
        <v>59</v>
      </c>
      <c r="AD797" t="s">
        <v>59</v>
      </c>
      <c r="AE797" t="s">
        <v>59</v>
      </c>
      <c r="AF797" t="s">
        <v>59</v>
      </c>
      <c r="AG797" t="s">
        <v>59</v>
      </c>
      <c r="AH797" t="s">
        <v>61</v>
      </c>
      <c r="AI797" t="s">
        <v>59</v>
      </c>
      <c r="AJ797" t="s">
        <v>59</v>
      </c>
      <c r="AK797" t="s">
        <v>59</v>
      </c>
      <c r="AL797" t="s">
        <v>60</v>
      </c>
      <c r="AM797" t="s">
        <v>59</v>
      </c>
      <c r="AN797" t="s">
        <v>59</v>
      </c>
      <c r="AO797" t="s">
        <v>59</v>
      </c>
      <c r="AP797" t="s">
        <v>1948</v>
      </c>
      <c r="AQ797" t="s">
        <v>1949</v>
      </c>
      <c r="AR797" t="s">
        <v>64</v>
      </c>
      <c r="AS797" t="s">
        <v>397</v>
      </c>
      <c r="AT797" t="s">
        <v>649</v>
      </c>
      <c r="AU797" t="s">
        <v>219</v>
      </c>
      <c r="AW797" s="4">
        <f t="shared" si="423"/>
        <v>6</v>
      </c>
      <c r="AX797" s="4">
        <f t="shared" si="424"/>
        <v>4</v>
      </c>
      <c r="AY797" s="4">
        <f t="shared" si="425"/>
        <v>4</v>
      </c>
      <c r="AZ797" s="4">
        <f t="shared" si="426"/>
        <v>2</v>
      </c>
      <c r="BA797" s="4">
        <f t="shared" si="427"/>
        <v>4</v>
      </c>
      <c r="BB797" s="4">
        <f t="shared" si="428"/>
        <v>4</v>
      </c>
      <c r="BC797" s="4">
        <f t="shared" si="429"/>
        <v>4</v>
      </c>
      <c r="BD797" s="4">
        <f t="shared" si="430"/>
        <v>2</v>
      </c>
      <c r="BE797" s="4" t="str">
        <f t="shared" si="431"/>
        <v>0</v>
      </c>
      <c r="BF797" s="4">
        <f t="shared" si="432"/>
        <v>2</v>
      </c>
      <c r="BG797" s="4">
        <f t="shared" si="433"/>
        <v>4</v>
      </c>
      <c r="BH797" s="4">
        <f t="shared" si="434"/>
        <v>4</v>
      </c>
      <c r="BI797" s="4">
        <f t="shared" si="435"/>
        <v>4</v>
      </c>
      <c r="BJ797" s="4">
        <f t="shared" si="436"/>
        <v>2</v>
      </c>
      <c r="BK797" s="4" t="str">
        <f t="shared" si="437"/>
        <v>0</v>
      </c>
      <c r="BL797" s="4">
        <f t="shared" si="438"/>
        <v>2</v>
      </c>
      <c r="BM797" s="4">
        <f t="shared" si="439"/>
        <v>4</v>
      </c>
      <c r="BN797" s="4">
        <f t="shared" si="440"/>
        <v>4</v>
      </c>
      <c r="BO797" s="4">
        <f t="shared" si="441"/>
        <v>4</v>
      </c>
      <c r="BP797" s="4">
        <f t="shared" si="442"/>
        <v>4</v>
      </c>
      <c r="BQ797" s="4">
        <f t="shared" si="443"/>
        <v>6</v>
      </c>
      <c r="BR797" s="4">
        <f t="shared" si="444"/>
        <v>4</v>
      </c>
      <c r="BS797" s="4">
        <f t="shared" si="445"/>
        <v>4</v>
      </c>
      <c r="BT797" s="4">
        <f t="shared" si="446"/>
        <v>4</v>
      </c>
      <c r="BU797" s="4">
        <f t="shared" si="447"/>
        <v>4</v>
      </c>
      <c r="BV797" s="4" t="str">
        <f t="shared" si="448"/>
        <v>0</v>
      </c>
      <c r="BW797" s="4">
        <f t="shared" si="449"/>
        <v>6</v>
      </c>
      <c r="BX797" s="4">
        <f t="shared" si="450"/>
        <v>0</v>
      </c>
      <c r="BY797" s="4">
        <f t="shared" si="451"/>
        <v>0</v>
      </c>
      <c r="BZ797" s="37">
        <f t="shared" si="452"/>
        <v>92</v>
      </c>
      <c r="CA797" s="32" t="str">
        <f>VLOOKUP(J:J,'Agent wise'!A:C,3,0)</f>
        <v xml:space="preserve">Shiny </v>
      </c>
      <c r="CB797" s="32">
        <f t="shared" si="453"/>
        <v>45945</v>
      </c>
      <c r="CC797" t="str">
        <f t="shared" si="454"/>
        <v>Good</v>
      </c>
      <c r="CE797" s="32"/>
      <c r="CJ797">
        <f t="shared" si="455"/>
        <v>15</v>
      </c>
      <c r="CK797">
        <f t="shared" si="456"/>
        <v>10</v>
      </c>
      <c r="CL797">
        <f t="shared" si="457"/>
        <v>2025</v>
      </c>
    </row>
    <row r="798" spans="1:90" ht="15" customHeight="1" x14ac:dyDescent="0.35">
      <c r="A798" t="s">
        <v>1950</v>
      </c>
      <c r="B798" t="s">
        <v>250</v>
      </c>
      <c r="C798" t="s">
        <v>214</v>
      </c>
      <c r="D798" t="s">
        <v>251</v>
      </c>
      <c r="E798" s="32">
        <v>45944</v>
      </c>
      <c r="F798" t="s">
        <v>54</v>
      </c>
      <c r="G798" t="s">
        <v>1749</v>
      </c>
      <c r="H798">
        <v>9688145525</v>
      </c>
      <c r="I798">
        <v>159</v>
      </c>
      <c r="J798" t="s">
        <v>269</v>
      </c>
      <c r="K798" t="s">
        <v>71</v>
      </c>
      <c r="L798" t="s">
        <v>72</v>
      </c>
      <c r="M798" t="s">
        <v>59</v>
      </c>
      <c r="N798" t="s">
        <v>59</v>
      </c>
      <c r="O798" t="s">
        <v>59</v>
      </c>
      <c r="P798" t="s">
        <v>59</v>
      </c>
      <c r="Q798" t="s">
        <v>59</v>
      </c>
      <c r="R798" t="s">
        <v>59</v>
      </c>
      <c r="S798" t="s">
        <v>59</v>
      </c>
      <c r="T798" t="s">
        <v>59</v>
      </c>
      <c r="U798" t="s">
        <v>60</v>
      </c>
      <c r="V798" t="s">
        <v>59</v>
      </c>
      <c r="W798" t="s">
        <v>59</v>
      </c>
      <c r="X798" t="s">
        <v>59</v>
      </c>
      <c r="Y798" t="s">
        <v>59</v>
      </c>
      <c r="Z798" t="s">
        <v>59</v>
      </c>
      <c r="AA798" t="s">
        <v>59</v>
      </c>
      <c r="AB798" t="s">
        <v>59</v>
      </c>
      <c r="AC798" t="s">
        <v>61</v>
      </c>
      <c r="AD798" t="s">
        <v>59</v>
      </c>
      <c r="AE798" t="s">
        <v>59</v>
      </c>
      <c r="AF798" t="s">
        <v>59</v>
      </c>
      <c r="AG798" t="s">
        <v>59</v>
      </c>
      <c r="AH798" t="s">
        <v>61</v>
      </c>
      <c r="AI798" t="s">
        <v>61</v>
      </c>
      <c r="AJ798" t="s">
        <v>59</v>
      </c>
      <c r="AK798" t="s">
        <v>59</v>
      </c>
      <c r="AL798" t="s">
        <v>60</v>
      </c>
      <c r="AM798" t="s">
        <v>59</v>
      </c>
      <c r="AN798" t="s">
        <v>59</v>
      </c>
      <c r="AO798" t="s">
        <v>59</v>
      </c>
      <c r="AP798" t="s">
        <v>1951</v>
      </c>
      <c r="AQ798" t="s">
        <v>1952</v>
      </c>
      <c r="AR798" t="s">
        <v>64</v>
      </c>
      <c r="AS798" t="s">
        <v>1953</v>
      </c>
      <c r="AT798" t="s">
        <v>1954</v>
      </c>
      <c r="AU798" t="s">
        <v>219</v>
      </c>
      <c r="AW798" s="4">
        <f t="shared" si="423"/>
        <v>6</v>
      </c>
      <c r="AX798" s="4">
        <f t="shared" si="424"/>
        <v>4</v>
      </c>
      <c r="AY798" s="4">
        <f t="shared" si="425"/>
        <v>4</v>
      </c>
      <c r="AZ798" s="4">
        <f t="shared" si="426"/>
        <v>2</v>
      </c>
      <c r="BA798" s="4">
        <f t="shared" si="427"/>
        <v>4</v>
      </c>
      <c r="BB798" s="4">
        <f t="shared" si="428"/>
        <v>4</v>
      </c>
      <c r="BC798" s="4">
        <f t="shared" si="429"/>
        <v>4</v>
      </c>
      <c r="BD798" s="4">
        <f t="shared" si="430"/>
        <v>2</v>
      </c>
      <c r="BE798" s="4" t="str">
        <f t="shared" si="431"/>
        <v>0</v>
      </c>
      <c r="BF798" s="4">
        <f t="shared" si="432"/>
        <v>2</v>
      </c>
      <c r="BG798" s="4">
        <f t="shared" si="433"/>
        <v>4</v>
      </c>
      <c r="BH798" s="4">
        <f t="shared" si="434"/>
        <v>4</v>
      </c>
      <c r="BI798" s="4">
        <f t="shared" si="435"/>
        <v>4</v>
      </c>
      <c r="BJ798" s="4">
        <f t="shared" si="436"/>
        <v>2</v>
      </c>
      <c r="BK798" s="4">
        <f t="shared" si="437"/>
        <v>4</v>
      </c>
      <c r="BL798" s="4">
        <f t="shared" si="438"/>
        <v>2</v>
      </c>
      <c r="BM798" s="4">
        <f t="shared" si="439"/>
        <v>4</v>
      </c>
      <c r="BN798" s="4">
        <f t="shared" si="440"/>
        <v>4</v>
      </c>
      <c r="BO798" s="4">
        <f t="shared" si="441"/>
        <v>4</v>
      </c>
      <c r="BP798" s="4">
        <f t="shared" si="442"/>
        <v>4</v>
      </c>
      <c r="BQ798" s="4">
        <f t="shared" si="443"/>
        <v>6</v>
      </c>
      <c r="BR798" s="4">
        <f t="shared" si="444"/>
        <v>4</v>
      </c>
      <c r="BS798" s="4">
        <f t="shared" si="445"/>
        <v>4</v>
      </c>
      <c r="BT798" s="4">
        <f t="shared" si="446"/>
        <v>4</v>
      </c>
      <c r="BU798" s="4">
        <f t="shared" si="447"/>
        <v>4</v>
      </c>
      <c r="BV798" s="4" t="str">
        <f t="shared" si="448"/>
        <v>0</v>
      </c>
      <c r="BW798" s="4">
        <f t="shared" si="449"/>
        <v>6</v>
      </c>
      <c r="BX798" s="4">
        <f t="shared" si="450"/>
        <v>0</v>
      </c>
      <c r="BY798" s="4">
        <f t="shared" si="451"/>
        <v>0</v>
      </c>
      <c r="BZ798" s="37">
        <f t="shared" si="452"/>
        <v>96</v>
      </c>
      <c r="CA798" s="32" t="str">
        <f>VLOOKUP(J:J,'Agent wise'!A:C,3,0)</f>
        <v xml:space="preserve">Shiny </v>
      </c>
      <c r="CB798" s="32">
        <f t="shared" si="453"/>
        <v>45944</v>
      </c>
      <c r="CC798" t="str">
        <f t="shared" si="454"/>
        <v>Excellent</v>
      </c>
      <c r="CE798" s="32"/>
      <c r="CJ798">
        <f t="shared" si="455"/>
        <v>14</v>
      </c>
      <c r="CK798">
        <f t="shared" si="456"/>
        <v>10</v>
      </c>
      <c r="CL798">
        <f t="shared" si="457"/>
        <v>2025</v>
      </c>
    </row>
    <row r="799" spans="1:90" ht="15" customHeight="1" x14ac:dyDescent="0.35">
      <c r="A799" t="s">
        <v>1955</v>
      </c>
      <c r="B799" t="s">
        <v>51</v>
      </c>
      <c r="C799" t="s">
        <v>214</v>
      </c>
      <c r="D799" t="s">
        <v>53</v>
      </c>
      <c r="E799" s="32">
        <v>45945</v>
      </c>
      <c r="F799" t="s">
        <v>54</v>
      </c>
      <c r="G799" t="s">
        <v>1749</v>
      </c>
      <c r="H799">
        <v>8589895867</v>
      </c>
      <c r="I799">
        <v>291</v>
      </c>
      <c r="J799" t="s">
        <v>195</v>
      </c>
      <c r="K799" t="s">
        <v>57</v>
      </c>
      <c r="L799" t="s">
        <v>58</v>
      </c>
      <c r="M799" t="s">
        <v>59</v>
      </c>
      <c r="N799" t="s">
        <v>59</v>
      </c>
      <c r="O799" t="s">
        <v>59</v>
      </c>
      <c r="P799" t="s">
        <v>59</v>
      </c>
      <c r="Q799" t="s">
        <v>59</v>
      </c>
      <c r="R799" t="s">
        <v>60</v>
      </c>
      <c r="S799" t="s">
        <v>59</v>
      </c>
      <c r="T799" t="s">
        <v>59</v>
      </c>
      <c r="U799" t="s">
        <v>60</v>
      </c>
      <c r="V799" t="s">
        <v>59</v>
      </c>
      <c r="W799" t="s">
        <v>59</v>
      </c>
      <c r="X799" t="s">
        <v>59</v>
      </c>
      <c r="Y799" t="s">
        <v>59</v>
      </c>
      <c r="Z799" t="s">
        <v>59</v>
      </c>
      <c r="AA799" t="s">
        <v>60</v>
      </c>
      <c r="AB799" t="s">
        <v>60</v>
      </c>
      <c r="AC799" t="s">
        <v>61</v>
      </c>
      <c r="AD799" t="s">
        <v>59</v>
      </c>
      <c r="AE799" t="s">
        <v>59</v>
      </c>
      <c r="AF799" t="s">
        <v>61</v>
      </c>
      <c r="AG799" t="s">
        <v>59</v>
      </c>
      <c r="AH799" t="s">
        <v>61</v>
      </c>
      <c r="AI799" t="s">
        <v>60</v>
      </c>
      <c r="AJ799" t="s">
        <v>59</v>
      </c>
      <c r="AK799" t="s">
        <v>61</v>
      </c>
      <c r="AL799" t="s">
        <v>60</v>
      </c>
      <c r="AM799" t="s">
        <v>59</v>
      </c>
      <c r="AN799" t="s">
        <v>59</v>
      </c>
      <c r="AO799" t="s">
        <v>59</v>
      </c>
      <c r="AP799" t="s">
        <v>511</v>
      </c>
      <c r="AQ799" t="s">
        <v>506</v>
      </c>
      <c r="AR799" t="s">
        <v>64</v>
      </c>
      <c r="AS799" t="s">
        <v>65</v>
      </c>
      <c r="AT799" t="s">
        <v>66</v>
      </c>
      <c r="AU799" t="s">
        <v>299</v>
      </c>
      <c r="AW799" s="4">
        <f t="shared" si="423"/>
        <v>6</v>
      </c>
      <c r="AX799" s="4">
        <f t="shared" si="424"/>
        <v>4</v>
      </c>
      <c r="AY799" s="4">
        <f t="shared" si="425"/>
        <v>4</v>
      </c>
      <c r="AZ799" s="4">
        <f t="shared" si="426"/>
        <v>2</v>
      </c>
      <c r="BA799" s="4">
        <f t="shared" si="427"/>
        <v>4</v>
      </c>
      <c r="BB799" s="4" t="str">
        <f t="shared" si="428"/>
        <v>0</v>
      </c>
      <c r="BC799" s="4">
        <f t="shared" si="429"/>
        <v>4</v>
      </c>
      <c r="BD799" s="4">
        <f t="shared" si="430"/>
        <v>2</v>
      </c>
      <c r="BE799" s="4" t="str">
        <f t="shared" si="431"/>
        <v>0</v>
      </c>
      <c r="BF799" s="4">
        <f t="shared" si="432"/>
        <v>2</v>
      </c>
      <c r="BG799" s="4">
        <f t="shared" si="433"/>
        <v>4</v>
      </c>
      <c r="BH799" s="4">
        <f t="shared" si="434"/>
        <v>4</v>
      </c>
      <c r="BI799" s="4">
        <f t="shared" si="435"/>
        <v>4</v>
      </c>
      <c r="BJ799" s="4">
        <f t="shared" si="436"/>
        <v>2</v>
      </c>
      <c r="BK799" s="4" t="str">
        <f t="shared" si="437"/>
        <v>0</v>
      </c>
      <c r="BL799" s="4" t="str">
        <f t="shared" si="438"/>
        <v>0</v>
      </c>
      <c r="BM799" s="4">
        <f t="shared" si="439"/>
        <v>4</v>
      </c>
      <c r="BN799" s="4">
        <f t="shared" si="440"/>
        <v>4</v>
      </c>
      <c r="BO799" s="4">
        <f t="shared" si="441"/>
        <v>4</v>
      </c>
      <c r="BP799" s="4">
        <f t="shared" si="442"/>
        <v>4</v>
      </c>
      <c r="BQ799" s="4">
        <f t="shared" si="443"/>
        <v>6</v>
      </c>
      <c r="BR799" s="4">
        <f t="shared" si="444"/>
        <v>4</v>
      </c>
      <c r="BS799" s="4" t="str">
        <f t="shared" si="445"/>
        <v>0</v>
      </c>
      <c r="BT799" s="4">
        <f t="shared" si="446"/>
        <v>4</v>
      </c>
      <c r="BU799" s="4">
        <f t="shared" si="447"/>
        <v>4</v>
      </c>
      <c r="BV799" s="4" t="str">
        <f t="shared" si="448"/>
        <v>0</v>
      </c>
      <c r="BW799" s="4">
        <f t="shared" si="449"/>
        <v>6</v>
      </c>
      <c r="BX799" s="4">
        <f t="shared" si="450"/>
        <v>0</v>
      </c>
      <c r="BY799" s="4">
        <f t="shared" si="451"/>
        <v>0</v>
      </c>
      <c r="BZ799" s="37">
        <f t="shared" si="452"/>
        <v>82</v>
      </c>
      <c r="CA799" s="32" t="str">
        <f>VLOOKUP(J:J,'Agent wise'!A:C,3,0)</f>
        <v>Adharsh</v>
      </c>
      <c r="CB799" s="32">
        <f t="shared" si="453"/>
        <v>45945</v>
      </c>
      <c r="CC799" t="str">
        <f t="shared" si="454"/>
        <v>FC</v>
      </c>
      <c r="CE799" s="32"/>
      <c r="CJ799">
        <f t="shared" si="455"/>
        <v>15</v>
      </c>
      <c r="CK799">
        <f t="shared" si="456"/>
        <v>10</v>
      </c>
      <c r="CL799">
        <f t="shared" si="457"/>
        <v>2025</v>
      </c>
    </row>
    <row r="800" spans="1:90" ht="15" customHeight="1" x14ac:dyDescent="0.35">
      <c r="A800" t="s">
        <v>1956</v>
      </c>
      <c r="B800" t="s">
        <v>51</v>
      </c>
      <c r="C800" t="s">
        <v>214</v>
      </c>
      <c r="D800" t="s">
        <v>53</v>
      </c>
      <c r="E800" s="32">
        <v>45945</v>
      </c>
      <c r="F800" t="s">
        <v>54</v>
      </c>
      <c r="G800" t="s">
        <v>1749</v>
      </c>
      <c r="H800">
        <v>9443082595</v>
      </c>
      <c r="I800">
        <v>158</v>
      </c>
      <c r="J800" t="s">
        <v>660</v>
      </c>
      <c r="K800" t="s">
        <v>71</v>
      </c>
      <c r="L800" t="s">
        <v>72</v>
      </c>
      <c r="M800" t="s">
        <v>59</v>
      </c>
      <c r="N800" t="s">
        <v>59</v>
      </c>
      <c r="O800" t="s">
        <v>59</v>
      </c>
      <c r="P800" t="s">
        <v>59</v>
      </c>
      <c r="Q800" t="s">
        <v>59</v>
      </c>
      <c r="R800" t="s">
        <v>60</v>
      </c>
      <c r="S800" t="s">
        <v>59</v>
      </c>
      <c r="T800" t="s">
        <v>59</v>
      </c>
      <c r="U800" t="s">
        <v>60</v>
      </c>
      <c r="V800" t="s">
        <v>59</v>
      </c>
      <c r="W800" t="s">
        <v>59</v>
      </c>
      <c r="X800" t="s">
        <v>59</v>
      </c>
      <c r="Y800" t="s">
        <v>59</v>
      </c>
      <c r="Z800" t="s">
        <v>59</v>
      </c>
      <c r="AA800" t="s">
        <v>59</v>
      </c>
      <c r="AB800" t="s">
        <v>59</v>
      </c>
      <c r="AC800" t="s">
        <v>61</v>
      </c>
      <c r="AD800" t="s">
        <v>59</v>
      </c>
      <c r="AE800" t="s">
        <v>59</v>
      </c>
      <c r="AF800" t="s">
        <v>61</v>
      </c>
      <c r="AG800" t="s">
        <v>59</v>
      </c>
      <c r="AH800" t="s">
        <v>61</v>
      </c>
      <c r="AI800" t="s">
        <v>60</v>
      </c>
      <c r="AJ800" t="s">
        <v>59</v>
      </c>
      <c r="AK800" t="s">
        <v>61</v>
      </c>
      <c r="AL800" t="s">
        <v>60</v>
      </c>
      <c r="AM800" t="s">
        <v>59</v>
      </c>
      <c r="AN800" t="s">
        <v>59</v>
      </c>
      <c r="AO800" t="s">
        <v>59</v>
      </c>
      <c r="AP800" t="s">
        <v>1957</v>
      </c>
      <c r="AQ800" t="s">
        <v>509</v>
      </c>
      <c r="AR800" t="s">
        <v>64</v>
      </c>
      <c r="AS800" t="s">
        <v>319</v>
      </c>
      <c r="AT800" t="s">
        <v>1958</v>
      </c>
      <c r="AU800" t="s">
        <v>299</v>
      </c>
      <c r="AW800" s="4">
        <f t="shared" si="423"/>
        <v>6</v>
      </c>
      <c r="AX800" s="4">
        <f t="shared" si="424"/>
        <v>4</v>
      </c>
      <c r="AY800" s="4">
        <f t="shared" si="425"/>
        <v>4</v>
      </c>
      <c r="AZ800" s="4">
        <f t="shared" si="426"/>
        <v>2</v>
      </c>
      <c r="BA800" s="4">
        <f t="shared" si="427"/>
        <v>4</v>
      </c>
      <c r="BB800" s="4" t="str">
        <f t="shared" si="428"/>
        <v>0</v>
      </c>
      <c r="BC800" s="4">
        <f t="shared" si="429"/>
        <v>4</v>
      </c>
      <c r="BD800" s="4">
        <f t="shared" si="430"/>
        <v>2</v>
      </c>
      <c r="BE800" s="4" t="str">
        <f t="shared" si="431"/>
        <v>0</v>
      </c>
      <c r="BF800" s="4">
        <f t="shared" si="432"/>
        <v>2</v>
      </c>
      <c r="BG800" s="4">
        <f t="shared" si="433"/>
        <v>4</v>
      </c>
      <c r="BH800" s="4">
        <f t="shared" si="434"/>
        <v>4</v>
      </c>
      <c r="BI800" s="4">
        <f t="shared" si="435"/>
        <v>4</v>
      </c>
      <c r="BJ800" s="4">
        <f t="shared" si="436"/>
        <v>2</v>
      </c>
      <c r="BK800" s="4">
        <f t="shared" si="437"/>
        <v>4</v>
      </c>
      <c r="BL800" s="4">
        <f t="shared" si="438"/>
        <v>2</v>
      </c>
      <c r="BM800" s="4">
        <f t="shared" si="439"/>
        <v>4</v>
      </c>
      <c r="BN800" s="4">
        <f t="shared" si="440"/>
        <v>4</v>
      </c>
      <c r="BO800" s="4">
        <f t="shared" si="441"/>
        <v>4</v>
      </c>
      <c r="BP800" s="4">
        <f t="shared" si="442"/>
        <v>4</v>
      </c>
      <c r="BQ800" s="4">
        <f t="shared" si="443"/>
        <v>6</v>
      </c>
      <c r="BR800" s="4">
        <f t="shared" si="444"/>
        <v>4</v>
      </c>
      <c r="BS800" s="4" t="str">
        <f t="shared" si="445"/>
        <v>0</v>
      </c>
      <c r="BT800" s="4">
        <f t="shared" si="446"/>
        <v>4</v>
      </c>
      <c r="BU800" s="4">
        <f t="shared" si="447"/>
        <v>4</v>
      </c>
      <c r="BV800" s="4" t="str">
        <f t="shared" si="448"/>
        <v>0</v>
      </c>
      <c r="BW800" s="4">
        <f t="shared" si="449"/>
        <v>6</v>
      </c>
      <c r="BX800" s="4">
        <f t="shared" si="450"/>
        <v>0</v>
      </c>
      <c r="BY800" s="4">
        <f t="shared" si="451"/>
        <v>0</v>
      </c>
      <c r="BZ800" s="37">
        <f t="shared" si="452"/>
        <v>88</v>
      </c>
      <c r="CA800" s="32" t="str">
        <f>VLOOKUP(J:J,'Agent wise'!A:C,3,0)</f>
        <v>Adharsh</v>
      </c>
      <c r="CB800" s="32">
        <f t="shared" si="453"/>
        <v>45945</v>
      </c>
      <c r="CC800" t="str">
        <f t="shared" si="454"/>
        <v>Average</v>
      </c>
      <c r="CE800" s="32"/>
      <c r="CJ800">
        <f t="shared" si="455"/>
        <v>15</v>
      </c>
      <c r="CK800">
        <f t="shared" si="456"/>
        <v>10</v>
      </c>
      <c r="CL800">
        <f t="shared" si="457"/>
        <v>2025</v>
      </c>
    </row>
    <row r="801" spans="1:90" ht="15" customHeight="1" x14ac:dyDescent="0.35">
      <c r="A801" t="s">
        <v>1959</v>
      </c>
      <c r="B801" t="s">
        <v>100</v>
      </c>
      <c r="C801" t="s">
        <v>214</v>
      </c>
      <c r="D801" t="s">
        <v>101</v>
      </c>
      <c r="E801" s="32">
        <v>45945</v>
      </c>
      <c r="F801" t="s">
        <v>54</v>
      </c>
      <c r="G801" t="s">
        <v>1749</v>
      </c>
      <c r="H801">
        <v>8667496457</v>
      </c>
      <c r="I801">
        <v>132</v>
      </c>
      <c r="J801" t="s">
        <v>139</v>
      </c>
      <c r="K801" t="s">
        <v>71</v>
      </c>
      <c r="L801" t="s">
        <v>72</v>
      </c>
      <c r="M801" t="s">
        <v>59</v>
      </c>
      <c r="N801" t="s">
        <v>59</v>
      </c>
      <c r="O801" t="s">
        <v>59</v>
      </c>
      <c r="P801" t="s">
        <v>59</v>
      </c>
      <c r="Q801" t="s">
        <v>61</v>
      </c>
      <c r="R801" t="s">
        <v>59</v>
      </c>
      <c r="S801" t="s">
        <v>59</v>
      </c>
      <c r="T801" t="s">
        <v>59</v>
      </c>
      <c r="U801" t="s">
        <v>59</v>
      </c>
      <c r="V801" t="s">
        <v>59</v>
      </c>
      <c r="W801" t="s">
        <v>59</v>
      </c>
      <c r="X801" t="s">
        <v>59</v>
      </c>
      <c r="Y801" t="s">
        <v>59</v>
      </c>
      <c r="Z801" t="s">
        <v>59</v>
      </c>
      <c r="AA801" t="s">
        <v>60</v>
      </c>
      <c r="AB801" t="s">
        <v>61</v>
      </c>
      <c r="AC801" t="s">
        <v>61</v>
      </c>
      <c r="AD801" t="s">
        <v>61</v>
      </c>
      <c r="AE801" t="s">
        <v>59</v>
      </c>
      <c r="AF801" t="s">
        <v>61</v>
      </c>
      <c r="AG801" t="s">
        <v>59</v>
      </c>
      <c r="AH801" t="s">
        <v>61</v>
      </c>
      <c r="AI801" t="s">
        <v>61</v>
      </c>
      <c r="AJ801" t="s">
        <v>61</v>
      </c>
      <c r="AK801" t="s">
        <v>61</v>
      </c>
      <c r="AL801" t="s">
        <v>59</v>
      </c>
      <c r="AM801" t="s">
        <v>59</v>
      </c>
      <c r="AN801" t="s">
        <v>59</v>
      </c>
      <c r="AO801" t="s">
        <v>59</v>
      </c>
      <c r="AP801" t="s">
        <v>526</v>
      </c>
      <c r="AQ801" s="1" t="s">
        <v>1960</v>
      </c>
      <c r="AR801" t="s">
        <v>64</v>
      </c>
      <c r="AS801" t="s">
        <v>142</v>
      </c>
      <c r="AT801" t="s">
        <v>1961</v>
      </c>
      <c r="AU801" t="s">
        <v>299</v>
      </c>
      <c r="AW801" s="4">
        <f t="shared" si="423"/>
        <v>6</v>
      </c>
      <c r="AX801" s="4">
        <f t="shared" si="424"/>
        <v>4</v>
      </c>
      <c r="AY801" s="4">
        <f t="shared" si="425"/>
        <v>4</v>
      </c>
      <c r="AZ801" s="4">
        <f t="shared" si="426"/>
        <v>2</v>
      </c>
      <c r="BA801" s="4">
        <f t="shared" si="427"/>
        <v>4</v>
      </c>
      <c r="BB801" s="4">
        <f t="shared" si="428"/>
        <v>4</v>
      </c>
      <c r="BC801" s="4">
        <f t="shared" si="429"/>
        <v>4</v>
      </c>
      <c r="BD801" s="4">
        <f t="shared" si="430"/>
        <v>2</v>
      </c>
      <c r="BE801" s="4">
        <f t="shared" si="431"/>
        <v>4</v>
      </c>
      <c r="BF801" s="4">
        <f t="shared" si="432"/>
        <v>2</v>
      </c>
      <c r="BG801" s="4">
        <f t="shared" si="433"/>
        <v>4</v>
      </c>
      <c r="BH801" s="4">
        <f t="shared" si="434"/>
        <v>4</v>
      </c>
      <c r="BI801" s="4">
        <f t="shared" si="435"/>
        <v>4</v>
      </c>
      <c r="BJ801" s="4">
        <f t="shared" si="436"/>
        <v>2</v>
      </c>
      <c r="BK801" s="4" t="str">
        <f t="shared" si="437"/>
        <v>0</v>
      </c>
      <c r="BL801" s="4">
        <f t="shared" si="438"/>
        <v>2</v>
      </c>
      <c r="BM801" s="4">
        <f t="shared" si="439"/>
        <v>4</v>
      </c>
      <c r="BN801" s="4">
        <f t="shared" si="440"/>
        <v>4</v>
      </c>
      <c r="BO801" s="4">
        <f t="shared" si="441"/>
        <v>4</v>
      </c>
      <c r="BP801" s="4">
        <f t="shared" si="442"/>
        <v>4</v>
      </c>
      <c r="BQ801" s="4">
        <f t="shared" si="443"/>
        <v>6</v>
      </c>
      <c r="BR801" s="4">
        <f t="shared" si="444"/>
        <v>4</v>
      </c>
      <c r="BS801" s="4">
        <f t="shared" si="445"/>
        <v>4</v>
      </c>
      <c r="BT801" s="4">
        <f t="shared" si="446"/>
        <v>4</v>
      </c>
      <c r="BU801" s="4">
        <f t="shared" si="447"/>
        <v>4</v>
      </c>
      <c r="BV801" s="4">
        <f t="shared" si="448"/>
        <v>0</v>
      </c>
      <c r="BW801" s="4">
        <f t="shared" si="449"/>
        <v>6</v>
      </c>
      <c r="BX801" s="4">
        <f t="shared" si="450"/>
        <v>0</v>
      </c>
      <c r="BY801" s="4">
        <f t="shared" si="451"/>
        <v>0</v>
      </c>
      <c r="BZ801" s="37">
        <f t="shared" si="452"/>
        <v>96</v>
      </c>
      <c r="CA801" s="32" t="str">
        <f>VLOOKUP(J:J,'Agent wise'!A:C,3,0)</f>
        <v>Shakeer</v>
      </c>
      <c r="CB801" s="32">
        <f t="shared" si="453"/>
        <v>45945</v>
      </c>
      <c r="CC801" t="str">
        <f t="shared" si="454"/>
        <v>Excellent</v>
      </c>
      <c r="CE801" s="32"/>
      <c r="CJ801">
        <f t="shared" si="455"/>
        <v>15</v>
      </c>
      <c r="CK801">
        <f t="shared" si="456"/>
        <v>10</v>
      </c>
      <c r="CL801">
        <f t="shared" si="457"/>
        <v>2025</v>
      </c>
    </row>
    <row r="802" spans="1:90" ht="15" customHeight="1" x14ac:dyDescent="0.35">
      <c r="A802" t="s">
        <v>1962</v>
      </c>
      <c r="B802" t="s">
        <v>51</v>
      </c>
      <c r="C802" t="s">
        <v>214</v>
      </c>
      <c r="D802" t="s">
        <v>53</v>
      </c>
      <c r="E802" s="32">
        <v>45945</v>
      </c>
      <c r="F802" t="s">
        <v>54</v>
      </c>
      <c r="G802" t="s">
        <v>1749</v>
      </c>
      <c r="H802">
        <v>9442250511</v>
      </c>
      <c r="I802">
        <v>132</v>
      </c>
      <c r="J802" t="s">
        <v>341</v>
      </c>
      <c r="K802" t="s">
        <v>71</v>
      </c>
      <c r="L802" t="s">
        <v>72</v>
      </c>
      <c r="M802" t="s">
        <v>59</v>
      </c>
      <c r="N802" t="s">
        <v>59</v>
      </c>
      <c r="O802" t="s">
        <v>60</v>
      </c>
      <c r="P802" t="s">
        <v>59</v>
      </c>
      <c r="Q802" t="s">
        <v>59</v>
      </c>
      <c r="R802" t="s">
        <v>59</v>
      </c>
      <c r="S802" t="s">
        <v>59</v>
      </c>
      <c r="T802" t="s">
        <v>59</v>
      </c>
      <c r="U802" t="s">
        <v>60</v>
      </c>
      <c r="V802" t="s">
        <v>59</v>
      </c>
      <c r="W802" t="s">
        <v>59</v>
      </c>
      <c r="X802" t="s">
        <v>59</v>
      </c>
      <c r="Y802" t="s">
        <v>59</v>
      </c>
      <c r="Z802" t="s">
        <v>59</v>
      </c>
      <c r="AA802" t="s">
        <v>60</v>
      </c>
      <c r="AB802" t="s">
        <v>60</v>
      </c>
      <c r="AC802" t="s">
        <v>60</v>
      </c>
      <c r="AD802" t="s">
        <v>59</v>
      </c>
      <c r="AE802" t="s">
        <v>59</v>
      </c>
      <c r="AF802" t="s">
        <v>61</v>
      </c>
      <c r="AG802" t="s">
        <v>59</v>
      </c>
      <c r="AH802" t="s">
        <v>61</v>
      </c>
      <c r="AI802" t="s">
        <v>61</v>
      </c>
      <c r="AJ802" t="s">
        <v>59</v>
      </c>
      <c r="AK802" t="s">
        <v>61</v>
      </c>
      <c r="AL802" t="s">
        <v>60</v>
      </c>
      <c r="AM802" t="s">
        <v>59</v>
      </c>
      <c r="AN802" t="s">
        <v>59</v>
      </c>
      <c r="AO802" t="s">
        <v>59</v>
      </c>
      <c r="AP802" t="s">
        <v>1963</v>
      </c>
      <c r="AQ802" t="s">
        <v>1964</v>
      </c>
      <c r="AR802" t="s">
        <v>64</v>
      </c>
      <c r="AS802" t="s">
        <v>89</v>
      </c>
      <c r="AT802" t="s">
        <v>293</v>
      </c>
      <c r="AU802" t="s">
        <v>593</v>
      </c>
      <c r="AW802" s="4">
        <f t="shared" si="423"/>
        <v>6</v>
      </c>
      <c r="AX802" s="4">
        <f t="shared" si="424"/>
        <v>4</v>
      </c>
      <c r="AY802" s="4" t="str">
        <f t="shared" si="425"/>
        <v>0</v>
      </c>
      <c r="AZ802" s="4">
        <f t="shared" si="426"/>
        <v>2</v>
      </c>
      <c r="BA802" s="4">
        <f t="shared" si="427"/>
        <v>4</v>
      </c>
      <c r="BB802" s="4">
        <f t="shared" si="428"/>
        <v>4</v>
      </c>
      <c r="BC802" s="4">
        <f t="shared" si="429"/>
        <v>4</v>
      </c>
      <c r="BD802" s="4">
        <f t="shared" si="430"/>
        <v>2</v>
      </c>
      <c r="BE802" s="4" t="str">
        <f t="shared" si="431"/>
        <v>0</v>
      </c>
      <c r="BF802" s="4">
        <f t="shared" si="432"/>
        <v>2</v>
      </c>
      <c r="BG802" s="4">
        <f t="shared" si="433"/>
        <v>4</v>
      </c>
      <c r="BH802" s="4">
        <f t="shared" si="434"/>
        <v>4</v>
      </c>
      <c r="BI802" s="4">
        <f t="shared" si="435"/>
        <v>4</v>
      </c>
      <c r="BJ802" s="4">
        <f t="shared" si="436"/>
        <v>2</v>
      </c>
      <c r="BK802" s="4" t="str">
        <f t="shared" si="437"/>
        <v>0</v>
      </c>
      <c r="BL802" s="4" t="str">
        <f t="shared" si="438"/>
        <v>0</v>
      </c>
      <c r="BM802" s="4" t="str">
        <f t="shared" si="439"/>
        <v>0</v>
      </c>
      <c r="BN802" s="4">
        <f t="shared" si="440"/>
        <v>4</v>
      </c>
      <c r="BO802" s="4">
        <f t="shared" si="441"/>
        <v>4</v>
      </c>
      <c r="BP802" s="4">
        <f t="shared" si="442"/>
        <v>4</v>
      </c>
      <c r="BQ802" s="4">
        <f t="shared" si="443"/>
        <v>6</v>
      </c>
      <c r="BR802" s="4">
        <f t="shared" si="444"/>
        <v>4</v>
      </c>
      <c r="BS802" s="4">
        <f t="shared" si="445"/>
        <v>4</v>
      </c>
      <c r="BT802" s="4">
        <f t="shared" si="446"/>
        <v>4</v>
      </c>
      <c r="BU802" s="4">
        <f t="shared" si="447"/>
        <v>4</v>
      </c>
      <c r="BV802" s="4" t="str">
        <f t="shared" si="448"/>
        <v>0</v>
      </c>
      <c r="BW802" s="4">
        <f t="shared" si="449"/>
        <v>6</v>
      </c>
      <c r="BX802" s="4">
        <f t="shared" si="450"/>
        <v>0</v>
      </c>
      <c r="BY802" s="4">
        <f t="shared" si="451"/>
        <v>0</v>
      </c>
      <c r="BZ802" s="37">
        <f t="shared" si="452"/>
        <v>82</v>
      </c>
      <c r="CA802" s="32" t="str">
        <f>VLOOKUP(J:J,'Agent wise'!A:C,3,0)</f>
        <v>Adharsh</v>
      </c>
      <c r="CB802" s="32">
        <f t="shared" si="453"/>
        <v>45945</v>
      </c>
      <c r="CC802" t="str">
        <f t="shared" si="454"/>
        <v>FC</v>
      </c>
      <c r="CE802" s="32"/>
      <c r="CJ802">
        <f t="shared" si="455"/>
        <v>15</v>
      </c>
      <c r="CK802">
        <f t="shared" si="456"/>
        <v>10</v>
      </c>
      <c r="CL802">
        <f t="shared" si="457"/>
        <v>2025</v>
      </c>
    </row>
    <row r="803" spans="1:90" ht="15" customHeight="1" x14ac:dyDescent="0.35">
      <c r="A803" t="s">
        <v>1965</v>
      </c>
      <c r="B803" t="s">
        <v>100</v>
      </c>
      <c r="C803" t="s">
        <v>214</v>
      </c>
      <c r="D803" t="s">
        <v>101</v>
      </c>
      <c r="E803" s="32">
        <v>45945</v>
      </c>
      <c r="F803" t="s">
        <v>54</v>
      </c>
      <c r="G803" t="s">
        <v>1749</v>
      </c>
      <c r="H803">
        <v>9489403610</v>
      </c>
      <c r="I803">
        <v>150</v>
      </c>
      <c r="J803" t="s">
        <v>546</v>
      </c>
      <c r="K803" t="s">
        <v>71</v>
      </c>
      <c r="L803" t="s">
        <v>72</v>
      </c>
      <c r="M803" t="s">
        <v>59</v>
      </c>
      <c r="N803" t="s">
        <v>59</v>
      </c>
      <c r="O803" t="s">
        <v>59</v>
      </c>
      <c r="P803" t="s">
        <v>61</v>
      </c>
      <c r="Q803" t="s">
        <v>61</v>
      </c>
      <c r="R803" t="s">
        <v>59</v>
      </c>
      <c r="S803" t="s">
        <v>59</v>
      </c>
      <c r="T803" t="s">
        <v>59</v>
      </c>
      <c r="U803" t="s">
        <v>59</v>
      </c>
      <c r="V803" t="s">
        <v>59</v>
      </c>
      <c r="W803" t="s">
        <v>59</v>
      </c>
      <c r="X803" t="s">
        <v>61</v>
      </c>
      <c r="Y803" t="s">
        <v>59</v>
      </c>
      <c r="Z803" t="s">
        <v>59</v>
      </c>
      <c r="AA803" t="s">
        <v>60</v>
      </c>
      <c r="AB803" t="s">
        <v>61</v>
      </c>
      <c r="AC803" t="s">
        <v>61</v>
      </c>
      <c r="AD803" t="s">
        <v>61</v>
      </c>
      <c r="AE803" t="s">
        <v>59</v>
      </c>
      <c r="AF803" t="s">
        <v>61</v>
      </c>
      <c r="AG803" t="s">
        <v>59</v>
      </c>
      <c r="AH803" t="s">
        <v>61</v>
      </c>
      <c r="AI803" t="s">
        <v>61</v>
      </c>
      <c r="AJ803" t="s">
        <v>61</v>
      </c>
      <c r="AK803" t="s">
        <v>61</v>
      </c>
      <c r="AL803" t="s">
        <v>60</v>
      </c>
      <c r="AM803" t="s">
        <v>59</v>
      </c>
      <c r="AN803" t="s">
        <v>59</v>
      </c>
      <c r="AO803" t="s">
        <v>59</v>
      </c>
      <c r="AP803" t="s">
        <v>188</v>
      </c>
      <c r="AQ803" s="1" t="s">
        <v>1966</v>
      </c>
      <c r="AR803" t="s">
        <v>64</v>
      </c>
      <c r="AS803" t="s">
        <v>152</v>
      </c>
      <c r="AT803" t="s">
        <v>267</v>
      </c>
      <c r="AU803" t="s">
        <v>219</v>
      </c>
      <c r="AW803" s="4">
        <f t="shared" si="423"/>
        <v>6</v>
      </c>
      <c r="AX803" s="4">
        <f t="shared" si="424"/>
        <v>4</v>
      </c>
      <c r="AY803" s="4">
        <f t="shared" si="425"/>
        <v>4</v>
      </c>
      <c r="AZ803" s="4">
        <f t="shared" si="426"/>
        <v>2</v>
      </c>
      <c r="BA803" s="4">
        <f t="shared" si="427"/>
        <v>4</v>
      </c>
      <c r="BB803" s="4">
        <f t="shared" si="428"/>
        <v>4</v>
      </c>
      <c r="BC803" s="4">
        <f t="shared" si="429"/>
        <v>4</v>
      </c>
      <c r="BD803" s="4">
        <f t="shared" si="430"/>
        <v>2</v>
      </c>
      <c r="BE803" s="4">
        <f t="shared" si="431"/>
        <v>4</v>
      </c>
      <c r="BF803" s="4">
        <f t="shared" si="432"/>
        <v>2</v>
      </c>
      <c r="BG803" s="4">
        <f t="shared" si="433"/>
        <v>4</v>
      </c>
      <c r="BH803" s="4">
        <f t="shared" si="434"/>
        <v>4</v>
      </c>
      <c r="BI803" s="4">
        <f t="shared" si="435"/>
        <v>4</v>
      </c>
      <c r="BJ803" s="4">
        <f t="shared" si="436"/>
        <v>2</v>
      </c>
      <c r="BK803" s="4" t="str">
        <f t="shared" si="437"/>
        <v>0</v>
      </c>
      <c r="BL803" s="4">
        <f t="shared" si="438"/>
        <v>2</v>
      </c>
      <c r="BM803" s="4">
        <f t="shared" si="439"/>
        <v>4</v>
      </c>
      <c r="BN803" s="4">
        <f t="shared" si="440"/>
        <v>4</v>
      </c>
      <c r="BO803" s="4">
        <f t="shared" si="441"/>
        <v>4</v>
      </c>
      <c r="BP803" s="4">
        <f t="shared" si="442"/>
        <v>4</v>
      </c>
      <c r="BQ803" s="4">
        <f t="shared" si="443"/>
        <v>6</v>
      </c>
      <c r="BR803" s="4">
        <f t="shared" si="444"/>
        <v>4</v>
      </c>
      <c r="BS803" s="4">
        <f t="shared" si="445"/>
        <v>4</v>
      </c>
      <c r="BT803" s="4">
        <f t="shared" si="446"/>
        <v>4</v>
      </c>
      <c r="BU803" s="4">
        <f t="shared" si="447"/>
        <v>4</v>
      </c>
      <c r="BV803" s="4" t="str">
        <f t="shared" si="448"/>
        <v>0</v>
      </c>
      <c r="BW803" s="4">
        <f t="shared" si="449"/>
        <v>6</v>
      </c>
      <c r="BX803" s="4">
        <f t="shared" si="450"/>
        <v>0</v>
      </c>
      <c r="BY803" s="4">
        <f t="shared" si="451"/>
        <v>0</v>
      </c>
      <c r="BZ803" s="37">
        <f t="shared" si="452"/>
        <v>96</v>
      </c>
      <c r="CA803" s="32" t="str">
        <f>VLOOKUP(J:J,'Agent wise'!A:C,3,0)</f>
        <v>Shakeer</v>
      </c>
      <c r="CB803" s="32">
        <f t="shared" si="453"/>
        <v>45945</v>
      </c>
      <c r="CC803" t="str">
        <f t="shared" si="454"/>
        <v>Excellent</v>
      </c>
      <c r="CE803" s="32"/>
      <c r="CJ803">
        <f t="shared" si="455"/>
        <v>15</v>
      </c>
      <c r="CK803">
        <f t="shared" si="456"/>
        <v>10</v>
      </c>
      <c r="CL803">
        <f t="shared" si="457"/>
        <v>2025</v>
      </c>
    </row>
    <row r="804" spans="1:90" ht="15" customHeight="1" x14ac:dyDescent="0.35">
      <c r="A804" t="s">
        <v>1967</v>
      </c>
      <c r="B804" t="s">
        <v>100</v>
      </c>
      <c r="C804" t="s">
        <v>214</v>
      </c>
      <c r="D804" t="s">
        <v>101</v>
      </c>
      <c r="E804" s="32">
        <v>45945</v>
      </c>
      <c r="F804" t="s">
        <v>54</v>
      </c>
      <c r="G804" t="s">
        <v>1749</v>
      </c>
      <c r="H804">
        <v>7010649775</v>
      </c>
      <c r="I804">
        <v>138</v>
      </c>
      <c r="J804" t="s">
        <v>85</v>
      </c>
      <c r="K804" t="s">
        <v>71</v>
      </c>
      <c r="L804" t="s">
        <v>72</v>
      </c>
      <c r="M804" t="s">
        <v>59</v>
      </c>
      <c r="N804" t="s">
        <v>59</v>
      </c>
      <c r="O804" t="s">
        <v>59</v>
      </c>
      <c r="P804" t="s">
        <v>59</v>
      </c>
      <c r="Q804" t="s">
        <v>59</v>
      </c>
      <c r="R804" t="s">
        <v>60</v>
      </c>
      <c r="S804" t="s">
        <v>59</v>
      </c>
      <c r="T804" t="s">
        <v>59</v>
      </c>
      <c r="U804" t="s">
        <v>59</v>
      </c>
      <c r="V804" t="s">
        <v>59</v>
      </c>
      <c r="W804" t="s">
        <v>59</v>
      </c>
      <c r="X804" t="s">
        <v>61</v>
      </c>
      <c r="Y804" t="s">
        <v>59</v>
      </c>
      <c r="Z804" t="s">
        <v>59</v>
      </c>
      <c r="AA804" t="s">
        <v>60</v>
      </c>
      <c r="AB804" t="s">
        <v>61</v>
      </c>
      <c r="AC804" t="s">
        <v>61</v>
      </c>
      <c r="AD804" t="s">
        <v>61</v>
      </c>
      <c r="AE804" t="s">
        <v>59</v>
      </c>
      <c r="AF804" t="s">
        <v>61</v>
      </c>
      <c r="AG804" t="s">
        <v>59</v>
      </c>
      <c r="AH804" t="s">
        <v>59</v>
      </c>
      <c r="AI804" t="s">
        <v>61</v>
      </c>
      <c r="AJ804" t="s">
        <v>61</v>
      </c>
      <c r="AK804" t="s">
        <v>61</v>
      </c>
      <c r="AL804" t="s">
        <v>60</v>
      </c>
      <c r="AM804" t="s">
        <v>59</v>
      </c>
      <c r="AN804" t="s">
        <v>59</v>
      </c>
      <c r="AO804" t="s">
        <v>59</v>
      </c>
      <c r="AP804" t="s">
        <v>216</v>
      </c>
      <c r="AQ804" s="1" t="s">
        <v>1968</v>
      </c>
      <c r="AR804" t="s">
        <v>64</v>
      </c>
      <c r="AS804" t="s">
        <v>171</v>
      </c>
      <c r="AT804" t="s">
        <v>190</v>
      </c>
      <c r="AU804" t="s">
        <v>299</v>
      </c>
      <c r="AW804" s="4">
        <f t="shared" si="423"/>
        <v>6</v>
      </c>
      <c r="AX804" s="4">
        <f t="shared" si="424"/>
        <v>4</v>
      </c>
      <c r="AY804" s="4">
        <f t="shared" si="425"/>
        <v>4</v>
      </c>
      <c r="AZ804" s="4">
        <f t="shared" si="426"/>
        <v>2</v>
      </c>
      <c r="BA804" s="4">
        <f t="shared" si="427"/>
        <v>4</v>
      </c>
      <c r="BB804" s="4" t="str">
        <f t="shared" si="428"/>
        <v>0</v>
      </c>
      <c r="BC804" s="4">
        <f t="shared" si="429"/>
        <v>4</v>
      </c>
      <c r="BD804" s="4">
        <f t="shared" si="430"/>
        <v>2</v>
      </c>
      <c r="BE804" s="4">
        <f t="shared" si="431"/>
        <v>4</v>
      </c>
      <c r="BF804" s="4">
        <f t="shared" si="432"/>
        <v>2</v>
      </c>
      <c r="BG804" s="4">
        <f t="shared" si="433"/>
        <v>4</v>
      </c>
      <c r="BH804" s="4">
        <f t="shared" si="434"/>
        <v>4</v>
      </c>
      <c r="BI804" s="4">
        <f t="shared" si="435"/>
        <v>4</v>
      </c>
      <c r="BJ804" s="4">
        <f t="shared" si="436"/>
        <v>2</v>
      </c>
      <c r="BK804" s="4" t="str">
        <f t="shared" si="437"/>
        <v>0</v>
      </c>
      <c r="BL804" s="4">
        <f t="shared" si="438"/>
        <v>2</v>
      </c>
      <c r="BM804" s="4">
        <f t="shared" si="439"/>
        <v>4</v>
      </c>
      <c r="BN804" s="4">
        <f t="shared" si="440"/>
        <v>4</v>
      </c>
      <c r="BO804" s="4">
        <f t="shared" si="441"/>
        <v>4</v>
      </c>
      <c r="BP804" s="4">
        <f t="shared" si="442"/>
        <v>4</v>
      </c>
      <c r="BQ804" s="4">
        <f t="shared" si="443"/>
        <v>6</v>
      </c>
      <c r="BR804" s="4">
        <f t="shared" si="444"/>
        <v>4</v>
      </c>
      <c r="BS804" s="4">
        <f t="shared" si="445"/>
        <v>4</v>
      </c>
      <c r="BT804" s="4">
        <f t="shared" si="446"/>
        <v>4</v>
      </c>
      <c r="BU804" s="4">
        <f t="shared" si="447"/>
        <v>4</v>
      </c>
      <c r="BV804" s="4" t="str">
        <f t="shared" si="448"/>
        <v>0</v>
      </c>
      <c r="BW804" s="4">
        <f t="shared" si="449"/>
        <v>6</v>
      </c>
      <c r="BX804" s="4">
        <f t="shared" si="450"/>
        <v>0</v>
      </c>
      <c r="BY804" s="4">
        <f t="shared" si="451"/>
        <v>0</v>
      </c>
      <c r="BZ804" s="37">
        <f t="shared" si="452"/>
        <v>92</v>
      </c>
      <c r="CA804" s="32" t="str">
        <f>VLOOKUP(J:J,'Agent wise'!A:C,3,0)</f>
        <v>Saran S</v>
      </c>
      <c r="CB804" s="32">
        <f t="shared" si="453"/>
        <v>45945</v>
      </c>
      <c r="CC804" t="str">
        <f t="shared" si="454"/>
        <v>Good</v>
      </c>
      <c r="CE804" s="32"/>
      <c r="CJ804">
        <f t="shared" si="455"/>
        <v>15</v>
      </c>
      <c r="CK804">
        <f t="shared" si="456"/>
        <v>10</v>
      </c>
      <c r="CL804">
        <f t="shared" si="457"/>
        <v>2025</v>
      </c>
    </row>
    <row r="805" spans="1:90" ht="15" customHeight="1" x14ac:dyDescent="0.35">
      <c r="A805" t="s">
        <v>1969</v>
      </c>
      <c r="B805" t="s">
        <v>51</v>
      </c>
      <c r="C805" t="s">
        <v>214</v>
      </c>
      <c r="D805" t="s">
        <v>53</v>
      </c>
      <c r="E805" s="32">
        <v>45945</v>
      </c>
      <c r="F805" t="s">
        <v>90</v>
      </c>
      <c r="G805" t="s">
        <v>1749</v>
      </c>
      <c r="H805">
        <v>9443006554</v>
      </c>
      <c r="I805">
        <v>208</v>
      </c>
      <c r="J805" t="s">
        <v>643</v>
      </c>
      <c r="K805" t="s">
        <v>71</v>
      </c>
      <c r="L805" t="s">
        <v>72</v>
      </c>
      <c r="M805" t="s">
        <v>59</v>
      </c>
      <c r="N805" t="s">
        <v>59</v>
      </c>
      <c r="O805" t="s">
        <v>59</v>
      </c>
      <c r="P805" t="s">
        <v>59</v>
      </c>
      <c r="Q805" t="s">
        <v>59</v>
      </c>
      <c r="R805" t="s">
        <v>60</v>
      </c>
      <c r="S805" t="s">
        <v>59</v>
      </c>
      <c r="T805" t="s">
        <v>59</v>
      </c>
      <c r="U805" t="s">
        <v>60</v>
      </c>
      <c r="V805" t="s">
        <v>59</v>
      </c>
      <c r="W805" t="s">
        <v>59</v>
      </c>
      <c r="X805" t="s">
        <v>59</v>
      </c>
      <c r="Y805" t="s">
        <v>59</v>
      </c>
      <c r="Z805" t="s">
        <v>59</v>
      </c>
      <c r="AA805" t="s">
        <v>59</v>
      </c>
      <c r="AB805" t="s">
        <v>59</v>
      </c>
      <c r="AC805" t="s">
        <v>61</v>
      </c>
      <c r="AD805" t="s">
        <v>59</v>
      </c>
      <c r="AE805" t="s">
        <v>60</v>
      </c>
      <c r="AF805" t="s">
        <v>61</v>
      </c>
      <c r="AG805" t="s">
        <v>59</v>
      </c>
      <c r="AH805" t="s">
        <v>61</v>
      </c>
      <c r="AI805" t="s">
        <v>61</v>
      </c>
      <c r="AJ805" t="s">
        <v>59</v>
      </c>
      <c r="AK805" t="s">
        <v>61</v>
      </c>
      <c r="AL805" t="s">
        <v>60</v>
      </c>
      <c r="AM805" t="s">
        <v>59</v>
      </c>
      <c r="AN805" t="s">
        <v>59</v>
      </c>
      <c r="AO805" t="s">
        <v>59</v>
      </c>
      <c r="AP805" t="s">
        <v>68</v>
      </c>
      <c r="AQ805" t="s">
        <v>1320</v>
      </c>
      <c r="AR805" t="s">
        <v>64</v>
      </c>
      <c r="AS805" t="s">
        <v>94</v>
      </c>
      <c r="AT805" t="s">
        <v>597</v>
      </c>
      <c r="AU805" t="s">
        <v>448</v>
      </c>
      <c r="AW805" s="4">
        <f t="shared" si="423"/>
        <v>6</v>
      </c>
      <c r="AX805" s="4">
        <f t="shared" si="424"/>
        <v>4</v>
      </c>
      <c r="AY805" s="4">
        <f t="shared" si="425"/>
        <v>4</v>
      </c>
      <c r="AZ805" s="4">
        <f t="shared" si="426"/>
        <v>2</v>
      </c>
      <c r="BA805" s="4">
        <f t="shared" si="427"/>
        <v>4</v>
      </c>
      <c r="BB805" s="4" t="str">
        <f t="shared" si="428"/>
        <v>0</v>
      </c>
      <c r="BC805" s="4">
        <f t="shared" si="429"/>
        <v>4</v>
      </c>
      <c r="BD805" s="4">
        <f t="shared" si="430"/>
        <v>2</v>
      </c>
      <c r="BE805" s="4" t="str">
        <f t="shared" si="431"/>
        <v>0</v>
      </c>
      <c r="BF805" s="4">
        <f t="shared" si="432"/>
        <v>2</v>
      </c>
      <c r="BG805" s="4">
        <f t="shared" si="433"/>
        <v>4</v>
      </c>
      <c r="BH805" s="4">
        <f t="shared" si="434"/>
        <v>4</v>
      </c>
      <c r="BI805" s="4">
        <f t="shared" si="435"/>
        <v>4</v>
      </c>
      <c r="BJ805" s="4">
        <f t="shared" si="436"/>
        <v>2</v>
      </c>
      <c r="BK805" s="4">
        <f t="shared" si="437"/>
        <v>4</v>
      </c>
      <c r="BL805" s="4">
        <f t="shared" si="438"/>
        <v>2</v>
      </c>
      <c r="BM805" s="4">
        <f t="shared" si="439"/>
        <v>4</v>
      </c>
      <c r="BN805" s="4">
        <f t="shared" si="440"/>
        <v>4</v>
      </c>
      <c r="BO805" s="4" t="str">
        <f t="shared" si="441"/>
        <v>0</v>
      </c>
      <c r="BP805" s="4">
        <f t="shared" si="442"/>
        <v>4</v>
      </c>
      <c r="BQ805" s="4">
        <f t="shared" si="443"/>
        <v>6</v>
      </c>
      <c r="BR805" s="4">
        <f t="shared" si="444"/>
        <v>4</v>
      </c>
      <c r="BS805" s="4">
        <f t="shared" si="445"/>
        <v>4</v>
      </c>
      <c r="BT805" s="4">
        <f t="shared" si="446"/>
        <v>4</v>
      </c>
      <c r="BU805" s="4">
        <f t="shared" si="447"/>
        <v>4</v>
      </c>
      <c r="BV805" s="4" t="str">
        <f t="shared" si="448"/>
        <v>0</v>
      </c>
      <c r="BW805" s="4">
        <f t="shared" si="449"/>
        <v>6</v>
      </c>
      <c r="BX805" s="4">
        <f t="shared" si="450"/>
        <v>0</v>
      </c>
      <c r="BY805" s="4">
        <f t="shared" si="451"/>
        <v>0</v>
      </c>
      <c r="BZ805" s="37">
        <f t="shared" si="452"/>
        <v>88</v>
      </c>
      <c r="CA805" s="32" t="str">
        <f>VLOOKUP(J:J,'Agent wise'!A:C,3,0)</f>
        <v xml:space="preserve">Shiny </v>
      </c>
      <c r="CB805" s="32">
        <f t="shared" si="453"/>
        <v>45945</v>
      </c>
      <c r="CC805" t="str">
        <f t="shared" si="454"/>
        <v>Average</v>
      </c>
      <c r="CE805" s="32"/>
      <c r="CJ805">
        <f t="shared" si="455"/>
        <v>15</v>
      </c>
      <c r="CK805">
        <f t="shared" si="456"/>
        <v>10</v>
      </c>
      <c r="CL805">
        <f t="shared" si="457"/>
        <v>2025</v>
      </c>
    </row>
    <row r="806" spans="1:90" ht="15" customHeight="1" x14ac:dyDescent="0.35">
      <c r="A806" t="s">
        <v>1970</v>
      </c>
      <c r="B806" t="s">
        <v>100</v>
      </c>
      <c r="C806" t="s">
        <v>214</v>
      </c>
      <c r="D806" t="s">
        <v>101</v>
      </c>
      <c r="E806" s="32">
        <v>45945</v>
      </c>
      <c r="F806" t="s">
        <v>54</v>
      </c>
      <c r="G806" t="s">
        <v>1749</v>
      </c>
      <c r="H806">
        <v>9048539307</v>
      </c>
      <c r="I806">
        <v>140</v>
      </c>
      <c r="J806" t="s">
        <v>252</v>
      </c>
      <c r="K806" t="s">
        <v>57</v>
      </c>
      <c r="L806" t="s">
        <v>58</v>
      </c>
      <c r="M806" t="s">
        <v>59</v>
      </c>
      <c r="N806" t="s">
        <v>59</v>
      </c>
      <c r="O806" t="s">
        <v>59</v>
      </c>
      <c r="P806" t="s">
        <v>59</v>
      </c>
      <c r="Q806" t="s">
        <v>59</v>
      </c>
      <c r="R806" t="s">
        <v>60</v>
      </c>
      <c r="S806" t="s">
        <v>59</v>
      </c>
      <c r="T806" t="s">
        <v>59</v>
      </c>
      <c r="U806" t="s">
        <v>59</v>
      </c>
      <c r="V806" t="s">
        <v>59</v>
      </c>
      <c r="W806" t="s">
        <v>59</v>
      </c>
      <c r="X806" t="s">
        <v>61</v>
      </c>
      <c r="Y806" t="s">
        <v>59</v>
      </c>
      <c r="Z806" t="s">
        <v>59</v>
      </c>
      <c r="AA806" t="s">
        <v>60</v>
      </c>
      <c r="AB806" t="s">
        <v>61</v>
      </c>
      <c r="AC806" t="s">
        <v>61</v>
      </c>
      <c r="AD806" t="s">
        <v>61</v>
      </c>
      <c r="AE806" t="s">
        <v>59</v>
      </c>
      <c r="AF806" t="s">
        <v>61</v>
      </c>
      <c r="AG806" t="s">
        <v>59</v>
      </c>
      <c r="AH806" t="s">
        <v>59</v>
      </c>
      <c r="AI806" t="s">
        <v>61</v>
      </c>
      <c r="AJ806" t="s">
        <v>61</v>
      </c>
      <c r="AK806" t="s">
        <v>61</v>
      </c>
      <c r="AL806" t="s">
        <v>60</v>
      </c>
      <c r="AM806" t="s">
        <v>59</v>
      </c>
      <c r="AN806" t="s">
        <v>59</v>
      </c>
      <c r="AO806" t="s">
        <v>59</v>
      </c>
      <c r="AP806" t="s">
        <v>216</v>
      </c>
      <c r="AQ806" s="1" t="s">
        <v>1971</v>
      </c>
      <c r="AR806" t="s">
        <v>64</v>
      </c>
      <c r="AS806" t="s">
        <v>171</v>
      </c>
      <c r="AT806" t="s">
        <v>190</v>
      </c>
      <c r="AU806" t="s">
        <v>299</v>
      </c>
      <c r="AW806" s="4">
        <f t="shared" si="423"/>
        <v>6</v>
      </c>
      <c r="AX806" s="4">
        <f t="shared" si="424"/>
        <v>4</v>
      </c>
      <c r="AY806" s="4">
        <f t="shared" si="425"/>
        <v>4</v>
      </c>
      <c r="AZ806" s="4">
        <f t="shared" si="426"/>
        <v>2</v>
      </c>
      <c r="BA806" s="4">
        <f t="shared" si="427"/>
        <v>4</v>
      </c>
      <c r="BB806" s="4" t="str">
        <f t="shared" si="428"/>
        <v>0</v>
      </c>
      <c r="BC806" s="4">
        <f t="shared" si="429"/>
        <v>4</v>
      </c>
      <c r="BD806" s="4">
        <f t="shared" si="430"/>
        <v>2</v>
      </c>
      <c r="BE806" s="4">
        <f t="shared" si="431"/>
        <v>4</v>
      </c>
      <c r="BF806" s="4">
        <f t="shared" si="432"/>
        <v>2</v>
      </c>
      <c r="BG806" s="4">
        <f t="shared" si="433"/>
        <v>4</v>
      </c>
      <c r="BH806" s="4">
        <f t="shared" si="434"/>
        <v>4</v>
      </c>
      <c r="BI806" s="4">
        <f t="shared" si="435"/>
        <v>4</v>
      </c>
      <c r="BJ806" s="4">
        <f t="shared" si="436"/>
        <v>2</v>
      </c>
      <c r="BK806" s="4" t="str">
        <f t="shared" si="437"/>
        <v>0</v>
      </c>
      <c r="BL806" s="4">
        <f t="shared" si="438"/>
        <v>2</v>
      </c>
      <c r="BM806" s="4">
        <f t="shared" si="439"/>
        <v>4</v>
      </c>
      <c r="BN806" s="4">
        <f t="shared" si="440"/>
        <v>4</v>
      </c>
      <c r="BO806" s="4">
        <f t="shared" si="441"/>
        <v>4</v>
      </c>
      <c r="BP806" s="4">
        <f t="shared" si="442"/>
        <v>4</v>
      </c>
      <c r="BQ806" s="4">
        <f t="shared" si="443"/>
        <v>6</v>
      </c>
      <c r="BR806" s="4">
        <f t="shared" si="444"/>
        <v>4</v>
      </c>
      <c r="BS806" s="4">
        <f t="shared" si="445"/>
        <v>4</v>
      </c>
      <c r="BT806" s="4">
        <f t="shared" si="446"/>
        <v>4</v>
      </c>
      <c r="BU806" s="4">
        <f t="shared" si="447"/>
        <v>4</v>
      </c>
      <c r="BV806" s="4" t="str">
        <f t="shared" si="448"/>
        <v>0</v>
      </c>
      <c r="BW806" s="4">
        <f t="shared" si="449"/>
        <v>6</v>
      </c>
      <c r="BX806" s="4">
        <f t="shared" si="450"/>
        <v>0</v>
      </c>
      <c r="BY806" s="4">
        <f t="shared" si="451"/>
        <v>0</v>
      </c>
      <c r="BZ806" s="37">
        <f t="shared" si="452"/>
        <v>92</v>
      </c>
      <c r="CA806" s="32" t="str">
        <f>VLOOKUP(J:J,'Agent wise'!A:C,3,0)</f>
        <v xml:space="preserve">Shiny </v>
      </c>
      <c r="CB806" s="32">
        <f t="shared" si="453"/>
        <v>45945</v>
      </c>
      <c r="CC806" t="str">
        <f t="shared" si="454"/>
        <v>Good</v>
      </c>
      <c r="CE806" s="32"/>
      <c r="CJ806">
        <f t="shared" si="455"/>
        <v>15</v>
      </c>
      <c r="CK806">
        <f t="shared" si="456"/>
        <v>10</v>
      </c>
      <c r="CL806">
        <f t="shared" si="457"/>
        <v>2025</v>
      </c>
    </row>
    <row r="807" spans="1:90" ht="15" customHeight="1" x14ac:dyDescent="0.35">
      <c r="A807" t="s">
        <v>1972</v>
      </c>
      <c r="B807" t="s">
        <v>100</v>
      </c>
      <c r="C807" t="s">
        <v>214</v>
      </c>
      <c r="D807" t="s">
        <v>101</v>
      </c>
      <c r="E807" s="32">
        <v>45945</v>
      </c>
      <c r="F807" t="s">
        <v>54</v>
      </c>
      <c r="G807" t="s">
        <v>1749</v>
      </c>
      <c r="H807">
        <v>9488894450</v>
      </c>
      <c r="I807">
        <v>153</v>
      </c>
      <c r="J807" t="s">
        <v>552</v>
      </c>
      <c r="K807" t="s">
        <v>71</v>
      </c>
      <c r="L807" t="s">
        <v>72</v>
      </c>
      <c r="M807" t="s">
        <v>59</v>
      </c>
      <c r="N807" t="s">
        <v>59</v>
      </c>
      <c r="O807" t="s">
        <v>59</v>
      </c>
      <c r="P807" t="s">
        <v>59</v>
      </c>
      <c r="Q807" t="s">
        <v>59</v>
      </c>
      <c r="R807" t="s">
        <v>60</v>
      </c>
      <c r="S807" t="s">
        <v>59</v>
      </c>
      <c r="T807" t="s">
        <v>59</v>
      </c>
      <c r="U807" t="s">
        <v>59</v>
      </c>
      <c r="V807" t="s">
        <v>59</v>
      </c>
      <c r="W807" t="s">
        <v>59</v>
      </c>
      <c r="X807" t="s">
        <v>61</v>
      </c>
      <c r="Y807" t="s">
        <v>59</v>
      </c>
      <c r="Z807" t="s">
        <v>59</v>
      </c>
      <c r="AA807" t="s">
        <v>60</v>
      </c>
      <c r="AB807" t="s">
        <v>61</v>
      </c>
      <c r="AC807" t="s">
        <v>61</v>
      </c>
      <c r="AD807" t="s">
        <v>61</v>
      </c>
      <c r="AE807" t="s">
        <v>59</v>
      </c>
      <c r="AF807" t="s">
        <v>61</v>
      </c>
      <c r="AG807" t="s">
        <v>59</v>
      </c>
      <c r="AH807" t="s">
        <v>61</v>
      </c>
      <c r="AI807" t="s">
        <v>61</v>
      </c>
      <c r="AJ807" t="s">
        <v>61</v>
      </c>
      <c r="AK807" t="s">
        <v>61</v>
      </c>
      <c r="AL807" t="s">
        <v>60</v>
      </c>
      <c r="AM807" t="s">
        <v>59</v>
      </c>
      <c r="AN807" t="s">
        <v>59</v>
      </c>
      <c r="AO807" t="s">
        <v>59</v>
      </c>
      <c r="AP807" t="s">
        <v>537</v>
      </c>
      <c r="AQ807" s="1" t="s">
        <v>1973</v>
      </c>
      <c r="AR807" t="s">
        <v>64</v>
      </c>
      <c r="AS807" t="s">
        <v>1974</v>
      </c>
      <c r="AT807" t="s">
        <v>1975</v>
      </c>
      <c r="AU807" t="s">
        <v>299</v>
      </c>
      <c r="AW807" s="4">
        <f t="shared" si="423"/>
        <v>6</v>
      </c>
      <c r="AX807" s="4">
        <f t="shared" si="424"/>
        <v>4</v>
      </c>
      <c r="AY807" s="4">
        <f t="shared" si="425"/>
        <v>4</v>
      </c>
      <c r="AZ807" s="4">
        <f t="shared" si="426"/>
        <v>2</v>
      </c>
      <c r="BA807" s="4">
        <f t="shared" si="427"/>
        <v>4</v>
      </c>
      <c r="BB807" s="4" t="str">
        <f t="shared" si="428"/>
        <v>0</v>
      </c>
      <c r="BC807" s="4">
        <f t="shared" si="429"/>
        <v>4</v>
      </c>
      <c r="BD807" s="4">
        <f t="shared" si="430"/>
        <v>2</v>
      </c>
      <c r="BE807" s="4">
        <f t="shared" si="431"/>
        <v>4</v>
      </c>
      <c r="BF807" s="4">
        <f t="shared" si="432"/>
        <v>2</v>
      </c>
      <c r="BG807" s="4">
        <f t="shared" si="433"/>
        <v>4</v>
      </c>
      <c r="BH807" s="4">
        <f t="shared" si="434"/>
        <v>4</v>
      </c>
      <c r="BI807" s="4">
        <f t="shared" si="435"/>
        <v>4</v>
      </c>
      <c r="BJ807" s="4">
        <f t="shared" si="436"/>
        <v>2</v>
      </c>
      <c r="BK807" s="4" t="str">
        <f t="shared" si="437"/>
        <v>0</v>
      </c>
      <c r="BL807" s="4">
        <f t="shared" si="438"/>
        <v>2</v>
      </c>
      <c r="BM807" s="4">
        <f t="shared" si="439"/>
        <v>4</v>
      </c>
      <c r="BN807" s="4">
        <f t="shared" si="440"/>
        <v>4</v>
      </c>
      <c r="BO807" s="4">
        <f t="shared" si="441"/>
        <v>4</v>
      </c>
      <c r="BP807" s="4">
        <f t="shared" si="442"/>
        <v>4</v>
      </c>
      <c r="BQ807" s="4">
        <f t="shared" si="443"/>
        <v>6</v>
      </c>
      <c r="BR807" s="4">
        <f t="shared" si="444"/>
        <v>4</v>
      </c>
      <c r="BS807" s="4">
        <f t="shared" si="445"/>
        <v>4</v>
      </c>
      <c r="BT807" s="4">
        <f t="shared" si="446"/>
        <v>4</v>
      </c>
      <c r="BU807" s="4">
        <f t="shared" si="447"/>
        <v>4</v>
      </c>
      <c r="BV807" s="4" t="str">
        <f t="shared" si="448"/>
        <v>0</v>
      </c>
      <c r="BW807" s="4">
        <f t="shared" si="449"/>
        <v>6</v>
      </c>
      <c r="BX807" s="4">
        <f t="shared" si="450"/>
        <v>0</v>
      </c>
      <c r="BY807" s="4">
        <f t="shared" si="451"/>
        <v>0</v>
      </c>
      <c r="BZ807" s="37">
        <f t="shared" si="452"/>
        <v>92</v>
      </c>
      <c r="CA807" s="32" t="str">
        <f>VLOOKUP(J:J,'Agent wise'!A:C,3,0)</f>
        <v xml:space="preserve">Shiny </v>
      </c>
      <c r="CB807" s="32">
        <f t="shared" si="453"/>
        <v>45945</v>
      </c>
      <c r="CC807" t="str">
        <f t="shared" si="454"/>
        <v>Good</v>
      </c>
      <c r="CE807" s="32"/>
      <c r="CJ807">
        <f t="shared" si="455"/>
        <v>15</v>
      </c>
      <c r="CK807">
        <f t="shared" si="456"/>
        <v>10</v>
      </c>
      <c r="CL807">
        <f t="shared" si="457"/>
        <v>2025</v>
      </c>
    </row>
    <row r="808" spans="1:90" ht="15" customHeight="1" x14ac:dyDescent="0.35">
      <c r="A808" t="s">
        <v>1976</v>
      </c>
      <c r="B808" t="s">
        <v>100</v>
      </c>
      <c r="C808" t="s">
        <v>214</v>
      </c>
      <c r="D808" t="s">
        <v>101</v>
      </c>
      <c r="E808" s="32">
        <v>45945</v>
      </c>
      <c r="F808" t="s">
        <v>54</v>
      </c>
      <c r="G808" t="s">
        <v>1749</v>
      </c>
      <c r="H808">
        <v>9659292563</v>
      </c>
      <c r="I808">
        <v>136</v>
      </c>
      <c r="J808" t="s">
        <v>451</v>
      </c>
      <c r="K808" t="s">
        <v>71</v>
      </c>
      <c r="L808" t="s">
        <v>72</v>
      </c>
      <c r="M808" t="s">
        <v>59</v>
      </c>
      <c r="N808" t="s">
        <v>59</v>
      </c>
      <c r="O808" t="s">
        <v>59</v>
      </c>
      <c r="P808" t="s">
        <v>59</v>
      </c>
      <c r="Q808" t="s">
        <v>59</v>
      </c>
      <c r="R808" t="s">
        <v>60</v>
      </c>
      <c r="S808" t="s">
        <v>59</v>
      </c>
      <c r="T808" t="s">
        <v>59</v>
      </c>
      <c r="U808" t="s">
        <v>59</v>
      </c>
      <c r="V808" t="s">
        <v>59</v>
      </c>
      <c r="W808" t="s">
        <v>59</v>
      </c>
      <c r="X808" t="s">
        <v>59</v>
      </c>
      <c r="Y808" t="s">
        <v>59</v>
      </c>
      <c r="Z808" t="s">
        <v>59</v>
      </c>
      <c r="AA808" t="s">
        <v>59</v>
      </c>
      <c r="AB808" t="s">
        <v>61</v>
      </c>
      <c r="AC808" t="s">
        <v>61</v>
      </c>
      <c r="AD808" t="s">
        <v>61</v>
      </c>
      <c r="AE808" t="s">
        <v>59</v>
      </c>
      <c r="AF808" t="s">
        <v>61</v>
      </c>
      <c r="AG808" t="s">
        <v>59</v>
      </c>
      <c r="AH808" t="s">
        <v>61</v>
      </c>
      <c r="AI808" t="s">
        <v>61</v>
      </c>
      <c r="AJ808" t="s">
        <v>61</v>
      </c>
      <c r="AK808" t="s">
        <v>61</v>
      </c>
      <c r="AL808" t="s">
        <v>59</v>
      </c>
      <c r="AM808" t="s">
        <v>59</v>
      </c>
      <c r="AN808" t="s">
        <v>59</v>
      </c>
      <c r="AO808" t="s">
        <v>59</v>
      </c>
      <c r="AP808" t="s">
        <v>537</v>
      </c>
      <c r="AQ808" s="1" t="s">
        <v>1977</v>
      </c>
      <c r="AR808" t="s">
        <v>64</v>
      </c>
      <c r="AS808" t="s">
        <v>171</v>
      </c>
      <c r="AT808" t="s">
        <v>172</v>
      </c>
      <c r="AU808" t="s">
        <v>299</v>
      </c>
      <c r="AW808" s="4">
        <f t="shared" si="423"/>
        <v>6</v>
      </c>
      <c r="AX808" s="4">
        <f t="shared" si="424"/>
        <v>4</v>
      </c>
      <c r="AY808" s="4">
        <f t="shared" si="425"/>
        <v>4</v>
      </c>
      <c r="AZ808" s="4">
        <f t="shared" si="426"/>
        <v>2</v>
      </c>
      <c r="BA808" s="4">
        <f t="shared" si="427"/>
        <v>4</v>
      </c>
      <c r="BB808" s="4" t="str">
        <f t="shared" si="428"/>
        <v>0</v>
      </c>
      <c r="BC808" s="4">
        <f t="shared" si="429"/>
        <v>4</v>
      </c>
      <c r="BD808" s="4">
        <f t="shared" si="430"/>
        <v>2</v>
      </c>
      <c r="BE808" s="4">
        <f t="shared" si="431"/>
        <v>4</v>
      </c>
      <c r="BF808" s="4">
        <f t="shared" si="432"/>
        <v>2</v>
      </c>
      <c r="BG808" s="4">
        <f t="shared" si="433"/>
        <v>4</v>
      </c>
      <c r="BH808" s="4">
        <f t="shared" si="434"/>
        <v>4</v>
      </c>
      <c r="BI808" s="4">
        <f t="shared" si="435"/>
        <v>4</v>
      </c>
      <c r="BJ808" s="4">
        <f t="shared" si="436"/>
        <v>2</v>
      </c>
      <c r="BK808" s="4">
        <f t="shared" si="437"/>
        <v>4</v>
      </c>
      <c r="BL808" s="4">
        <f t="shared" si="438"/>
        <v>2</v>
      </c>
      <c r="BM808" s="4">
        <f t="shared" si="439"/>
        <v>4</v>
      </c>
      <c r="BN808" s="4">
        <f t="shared" si="440"/>
        <v>4</v>
      </c>
      <c r="BO808" s="4">
        <f t="shared" si="441"/>
        <v>4</v>
      </c>
      <c r="BP808" s="4">
        <f t="shared" si="442"/>
        <v>4</v>
      </c>
      <c r="BQ808" s="4">
        <f t="shared" si="443"/>
        <v>6</v>
      </c>
      <c r="BR808" s="4">
        <f t="shared" si="444"/>
        <v>4</v>
      </c>
      <c r="BS808" s="4">
        <f t="shared" si="445"/>
        <v>4</v>
      </c>
      <c r="BT808" s="4">
        <f t="shared" si="446"/>
        <v>4</v>
      </c>
      <c r="BU808" s="4">
        <f t="shared" si="447"/>
        <v>4</v>
      </c>
      <c r="BV808" s="4">
        <f t="shared" si="448"/>
        <v>0</v>
      </c>
      <c r="BW808" s="4">
        <f t="shared" si="449"/>
        <v>6</v>
      </c>
      <c r="BX808" s="4">
        <f t="shared" si="450"/>
        <v>0</v>
      </c>
      <c r="BY808" s="4">
        <f t="shared" si="451"/>
        <v>0</v>
      </c>
      <c r="BZ808" s="37">
        <f t="shared" si="452"/>
        <v>96</v>
      </c>
      <c r="CA808" s="32" t="str">
        <f>VLOOKUP(J:J,'Agent wise'!A:C,3,0)</f>
        <v xml:space="preserve">Shiny </v>
      </c>
      <c r="CB808" s="32">
        <f t="shared" si="453"/>
        <v>45945</v>
      </c>
      <c r="CC808" t="str">
        <f t="shared" si="454"/>
        <v>Excellent</v>
      </c>
      <c r="CE808" s="32"/>
      <c r="CJ808">
        <f t="shared" si="455"/>
        <v>15</v>
      </c>
      <c r="CK808">
        <f t="shared" si="456"/>
        <v>10</v>
      </c>
      <c r="CL808">
        <f t="shared" si="457"/>
        <v>2025</v>
      </c>
    </row>
    <row r="809" spans="1:90" ht="15" customHeight="1" x14ac:dyDescent="0.35">
      <c r="A809" t="s">
        <v>1978</v>
      </c>
      <c r="B809" t="s">
        <v>250</v>
      </c>
      <c r="C809" t="s">
        <v>214</v>
      </c>
      <c r="D809" t="s">
        <v>251</v>
      </c>
      <c r="E809" s="32">
        <v>45945</v>
      </c>
      <c r="F809" t="s">
        <v>54</v>
      </c>
      <c r="G809" t="s">
        <v>1749</v>
      </c>
      <c r="H809">
        <v>9043394475</v>
      </c>
      <c r="I809">
        <v>200</v>
      </c>
      <c r="J809" t="s">
        <v>274</v>
      </c>
      <c r="K809" t="s">
        <v>71</v>
      </c>
      <c r="L809" t="s">
        <v>72</v>
      </c>
      <c r="M809" t="s">
        <v>59</v>
      </c>
      <c r="N809" t="s">
        <v>59</v>
      </c>
      <c r="O809" t="s">
        <v>59</v>
      </c>
      <c r="P809" t="s">
        <v>59</v>
      </c>
      <c r="Q809" t="s">
        <v>59</v>
      </c>
      <c r="R809" t="s">
        <v>59</v>
      </c>
      <c r="S809" t="s">
        <v>59</v>
      </c>
      <c r="T809" t="s">
        <v>59</v>
      </c>
      <c r="U809" t="s">
        <v>60</v>
      </c>
      <c r="V809" t="s">
        <v>59</v>
      </c>
      <c r="W809" t="s">
        <v>59</v>
      </c>
      <c r="X809" t="s">
        <v>59</v>
      </c>
      <c r="Y809" t="s">
        <v>59</v>
      </c>
      <c r="Z809" t="s">
        <v>59</v>
      </c>
      <c r="AA809" t="s">
        <v>59</v>
      </c>
      <c r="AB809" t="s">
        <v>59</v>
      </c>
      <c r="AC809" t="s">
        <v>59</v>
      </c>
      <c r="AD809" t="s">
        <v>59</v>
      </c>
      <c r="AE809" t="s">
        <v>59</v>
      </c>
      <c r="AF809" t="s">
        <v>59</v>
      </c>
      <c r="AG809" t="s">
        <v>59</v>
      </c>
      <c r="AH809" t="s">
        <v>61</v>
      </c>
      <c r="AI809" t="s">
        <v>61</v>
      </c>
      <c r="AJ809" t="s">
        <v>59</v>
      </c>
      <c r="AK809" t="s">
        <v>59</v>
      </c>
      <c r="AL809" t="s">
        <v>60</v>
      </c>
      <c r="AM809" t="s">
        <v>59</v>
      </c>
      <c r="AN809" t="s">
        <v>59</v>
      </c>
      <c r="AO809" t="s">
        <v>59</v>
      </c>
      <c r="AP809" t="s">
        <v>209</v>
      </c>
      <c r="AQ809" t="s">
        <v>1979</v>
      </c>
      <c r="AR809" t="s">
        <v>64</v>
      </c>
      <c r="AS809" t="s">
        <v>111</v>
      </c>
      <c r="AT809" t="s">
        <v>112</v>
      </c>
      <c r="AU809" t="s">
        <v>219</v>
      </c>
      <c r="AW809" s="4">
        <f t="shared" si="423"/>
        <v>6</v>
      </c>
      <c r="AX809" s="4">
        <f t="shared" si="424"/>
        <v>4</v>
      </c>
      <c r="AY809" s="4">
        <f t="shared" si="425"/>
        <v>4</v>
      </c>
      <c r="AZ809" s="4">
        <f t="shared" si="426"/>
        <v>2</v>
      </c>
      <c r="BA809" s="4">
        <f t="shared" si="427"/>
        <v>4</v>
      </c>
      <c r="BB809" s="4">
        <f t="shared" si="428"/>
        <v>4</v>
      </c>
      <c r="BC809" s="4">
        <f t="shared" si="429"/>
        <v>4</v>
      </c>
      <c r="BD809" s="4">
        <f t="shared" si="430"/>
        <v>2</v>
      </c>
      <c r="BE809" s="4" t="str">
        <f t="shared" si="431"/>
        <v>0</v>
      </c>
      <c r="BF809" s="4">
        <f t="shared" si="432"/>
        <v>2</v>
      </c>
      <c r="BG809" s="4">
        <f t="shared" si="433"/>
        <v>4</v>
      </c>
      <c r="BH809" s="4">
        <f t="shared" si="434"/>
        <v>4</v>
      </c>
      <c r="BI809" s="4">
        <f t="shared" si="435"/>
        <v>4</v>
      </c>
      <c r="BJ809" s="4">
        <f t="shared" si="436"/>
        <v>2</v>
      </c>
      <c r="BK809" s="4">
        <f t="shared" si="437"/>
        <v>4</v>
      </c>
      <c r="BL809" s="4">
        <f t="shared" si="438"/>
        <v>2</v>
      </c>
      <c r="BM809" s="4">
        <f t="shared" si="439"/>
        <v>4</v>
      </c>
      <c r="BN809" s="4">
        <f t="shared" si="440"/>
        <v>4</v>
      </c>
      <c r="BO809" s="4">
        <f t="shared" si="441"/>
        <v>4</v>
      </c>
      <c r="BP809" s="4">
        <f t="shared" si="442"/>
        <v>4</v>
      </c>
      <c r="BQ809" s="4">
        <f t="shared" si="443"/>
        <v>6</v>
      </c>
      <c r="BR809" s="4">
        <f t="shared" si="444"/>
        <v>4</v>
      </c>
      <c r="BS809" s="4">
        <f t="shared" si="445"/>
        <v>4</v>
      </c>
      <c r="BT809" s="4">
        <f t="shared" si="446"/>
        <v>4</v>
      </c>
      <c r="BU809" s="4">
        <f t="shared" si="447"/>
        <v>4</v>
      </c>
      <c r="BV809" s="4" t="str">
        <f t="shared" si="448"/>
        <v>0</v>
      </c>
      <c r="BW809" s="4">
        <f t="shared" si="449"/>
        <v>6</v>
      </c>
      <c r="BX809" s="4">
        <f t="shared" si="450"/>
        <v>0</v>
      </c>
      <c r="BY809" s="4">
        <f t="shared" si="451"/>
        <v>0</v>
      </c>
      <c r="BZ809" s="37">
        <f t="shared" si="452"/>
        <v>96</v>
      </c>
      <c r="CA809" s="32" t="str">
        <f>VLOOKUP(J:J,'Agent wise'!A:C,3,0)</f>
        <v>Shakeer</v>
      </c>
      <c r="CB809" s="32">
        <f t="shared" si="453"/>
        <v>45945</v>
      </c>
      <c r="CC809" t="str">
        <f t="shared" si="454"/>
        <v>Excellent</v>
      </c>
      <c r="CE809" s="32"/>
      <c r="CJ809">
        <f t="shared" si="455"/>
        <v>15</v>
      </c>
      <c r="CK809">
        <f t="shared" si="456"/>
        <v>10</v>
      </c>
      <c r="CL809">
        <f t="shared" si="457"/>
        <v>2025</v>
      </c>
    </row>
    <row r="810" spans="1:90" ht="15" customHeight="1" x14ac:dyDescent="0.35">
      <c r="A810" t="s">
        <v>1980</v>
      </c>
      <c r="B810" t="s">
        <v>100</v>
      </c>
      <c r="C810" t="s">
        <v>214</v>
      </c>
      <c r="D810" t="s">
        <v>101</v>
      </c>
      <c r="E810" s="32">
        <v>45945</v>
      </c>
      <c r="F810" t="s">
        <v>54</v>
      </c>
      <c r="G810" t="s">
        <v>1749</v>
      </c>
      <c r="H810">
        <v>9894457156</v>
      </c>
      <c r="I810">
        <v>137</v>
      </c>
      <c r="J810" t="s">
        <v>557</v>
      </c>
      <c r="K810" t="s">
        <v>71</v>
      </c>
      <c r="L810" t="s">
        <v>72</v>
      </c>
      <c r="M810" t="s">
        <v>59</v>
      </c>
      <c r="N810" t="s">
        <v>59</v>
      </c>
      <c r="O810" t="s">
        <v>59</v>
      </c>
      <c r="P810" t="s">
        <v>59</v>
      </c>
      <c r="Q810" t="s">
        <v>59</v>
      </c>
      <c r="R810" t="s">
        <v>59</v>
      </c>
      <c r="S810" t="s">
        <v>59</v>
      </c>
      <c r="T810" t="s">
        <v>59</v>
      </c>
      <c r="U810" t="s">
        <v>59</v>
      </c>
      <c r="V810" t="s">
        <v>59</v>
      </c>
      <c r="W810" t="s">
        <v>59</v>
      </c>
      <c r="X810" t="s">
        <v>61</v>
      </c>
      <c r="Y810" t="s">
        <v>59</v>
      </c>
      <c r="Z810" t="s">
        <v>59</v>
      </c>
      <c r="AA810" t="s">
        <v>60</v>
      </c>
      <c r="AB810" t="s">
        <v>61</v>
      </c>
      <c r="AC810" t="s">
        <v>61</v>
      </c>
      <c r="AD810" t="s">
        <v>61</v>
      </c>
      <c r="AE810" t="s">
        <v>59</v>
      </c>
      <c r="AF810" t="s">
        <v>61</v>
      </c>
      <c r="AG810" t="s">
        <v>59</v>
      </c>
      <c r="AH810" t="s">
        <v>61</v>
      </c>
      <c r="AI810" t="s">
        <v>61</v>
      </c>
      <c r="AJ810" t="s">
        <v>61</v>
      </c>
      <c r="AK810" t="s">
        <v>61</v>
      </c>
      <c r="AL810" t="s">
        <v>60</v>
      </c>
      <c r="AM810" t="s">
        <v>59</v>
      </c>
      <c r="AN810" t="s">
        <v>59</v>
      </c>
      <c r="AO810" t="s">
        <v>59</v>
      </c>
      <c r="AP810" t="s">
        <v>188</v>
      </c>
      <c r="AQ810" s="1" t="s">
        <v>1981</v>
      </c>
      <c r="AR810" t="s">
        <v>64</v>
      </c>
      <c r="AS810" t="s">
        <v>171</v>
      </c>
      <c r="AT810" t="s">
        <v>172</v>
      </c>
      <c r="AU810" t="s">
        <v>219</v>
      </c>
      <c r="AW810" s="4">
        <f t="shared" si="423"/>
        <v>6</v>
      </c>
      <c r="AX810" s="4">
        <f t="shared" si="424"/>
        <v>4</v>
      </c>
      <c r="AY810" s="4">
        <f t="shared" si="425"/>
        <v>4</v>
      </c>
      <c r="AZ810" s="4">
        <f t="shared" si="426"/>
        <v>2</v>
      </c>
      <c r="BA810" s="4">
        <f t="shared" si="427"/>
        <v>4</v>
      </c>
      <c r="BB810" s="4">
        <f t="shared" si="428"/>
        <v>4</v>
      </c>
      <c r="BC810" s="4">
        <f t="shared" si="429"/>
        <v>4</v>
      </c>
      <c r="BD810" s="4">
        <f t="shared" si="430"/>
        <v>2</v>
      </c>
      <c r="BE810" s="4">
        <f t="shared" si="431"/>
        <v>4</v>
      </c>
      <c r="BF810" s="4">
        <f t="shared" si="432"/>
        <v>2</v>
      </c>
      <c r="BG810" s="4">
        <f t="shared" si="433"/>
        <v>4</v>
      </c>
      <c r="BH810" s="4">
        <f t="shared" si="434"/>
        <v>4</v>
      </c>
      <c r="BI810" s="4">
        <f t="shared" si="435"/>
        <v>4</v>
      </c>
      <c r="BJ810" s="4">
        <f t="shared" si="436"/>
        <v>2</v>
      </c>
      <c r="BK810" s="4" t="str">
        <f t="shared" si="437"/>
        <v>0</v>
      </c>
      <c r="BL810" s="4">
        <f t="shared" si="438"/>
        <v>2</v>
      </c>
      <c r="BM810" s="4">
        <f t="shared" si="439"/>
        <v>4</v>
      </c>
      <c r="BN810" s="4">
        <f t="shared" si="440"/>
        <v>4</v>
      </c>
      <c r="BO810" s="4">
        <f t="shared" si="441"/>
        <v>4</v>
      </c>
      <c r="BP810" s="4">
        <f t="shared" si="442"/>
        <v>4</v>
      </c>
      <c r="BQ810" s="4">
        <f t="shared" si="443"/>
        <v>6</v>
      </c>
      <c r="BR810" s="4">
        <f t="shared" si="444"/>
        <v>4</v>
      </c>
      <c r="BS810" s="4">
        <f t="shared" si="445"/>
        <v>4</v>
      </c>
      <c r="BT810" s="4">
        <f t="shared" si="446"/>
        <v>4</v>
      </c>
      <c r="BU810" s="4">
        <f t="shared" si="447"/>
        <v>4</v>
      </c>
      <c r="BV810" s="4" t="str">
        <f t="shared" si="448"/>
        <v>0</v>
      </c>
      <c r="BW810" s="4">
        <f t="shared" si="449"/>
        <v>6</v>
      </c>
      <c r="BX810" s="4">
        <f t="shared" si="450"/>
        <v>0</v>
      </c>
      <c r="BY810" s="4">
        <f t="shared" si="451"/>
        <v>0</v>
      </c>
      <c r="BZ810" s="37">
        <f t="shared" si="452"/>
        <v>96</v>
      </c>
      <c r="CA810" s="32" t="str">
        <f>VLOOKUP(J:J,'Agent wise'!A:C,3,0)</f>
        <v xml:space="preserve">Shiny </v>
      </c>
      <c r="CB810" s="32">
        <f t="shared" si="453"/>
        <v>45945</v>
      </c>
      <c r="CC810" t="str">
        <f t="shared" si="454"/>
        <v>Excellent</v>
      </c>
      <c r="CE810" s="32"/>
      <c r="CJ810">
        <f t="shared" si="455"/>
        <v>15</v>
      </c>
      <c r="CK810">
        <f t="shared" si="456"/>
        <v>10</v>
      </c>
      <c r="CL810">
        <f t="shared" si="457"/>
        <v>2025</v>
      </c>
    </row>
    <row r="811" spans="1:90" ht="15" customHeight="1" x14ac:dyDescent="0.35">
      <c r="A811" t="s">
        <v>1982</v>
      </c>
      <c r="B811" t="s">
        <v>177</v>
      </c>
      <c r="C811" t="s">
        <v>214</v>
      </c>
      <c r="D811" t="s">
        <v>178</v>
      </c>
      <c r="E811" s="32">
        <v>45941</v>
      </c>
      <c r="F811" t="s">
        <v>54</v>
      </c>
      <c r="G811" s="2">
        <v>45940</v>
      </c>
      <c r="H811">
        <v>8015161536</v>
      </c>
      <c r="I811">
        <v>106</v>
      </c>
      <c r="J811" t="s">
        <v>646</v>
      </c>
      <c r="K811" t="s">
        <v>71</v>
      </c>
      <c r="L811" t="s">
        <v>72</v>
      </c>
      <c r="M811" t="s">
        <v>59</v>
      </c>
      <c r="N811" t="s">
        <v>59</v>
      </c>
      <c r="O811" t="s">
        <v>59</v>
      </c>
      <c r="P811" t="s">
        <v>59</v>
      </c>
      <c r="Q811" t="s">
        <v>59</v>
      </c>
      <c r="R811" t="s">
        <v>59</v>
      </c>
      <c r="S811" t="s">
        <v>59</v>
      </c>
      <c r="T811" t="s">
        <v>59</v>
      </c>
      <c r="U811" t="s">
        <v>59</v>
      </c>
      <c r="V811" t="s">
        <v>59</v>
      </c>
      <c r="W811" t="s">
        <v>59</v>
      </c>
      <c r="X811" t="s">
        <v>59</v>
      </c>
      <c r="Y811" t="s">
        <v>59</v>
      </c>
      <c r="Z811" t="s">
        <v>59</v>
      </c>
      <c r="AA811" t="s">
        <v>59</v>
      </c>
      <c r="AB811" t="s">
        <v>59</v>
      </c>
      <c r="AC811" t="s">
        <v>59</v>
      </c>
      <c r="AD811" t="s">
        <v>59</v>
      </c>
      <c r="AE811" t="s">
        <v>59</v>
      </c>
      <c r="AF811" t="s">
        <v>60</v>
      </c>
      <c r="AG811" t="s">
        <v>59</v>
      </c>
      <c r="AH811" t="s">
        <v>61</v>
      </c>
      <c r="AI811" t="s">
        <v>61</v>
      </c>
      <c r="AJ811" t="s">
        <v>59</v>
      </c>
      <c r="AK811" t="s">
        <v>59</v>
      </c>
      <c r="AL811" t="s">
        <v>60</v>
      </c>
      <c r="AM811" t="s">
        <v>59</v>
      </c>
      <c r="AN811" t="s">
        <v>59</v>
      </c>
      <c r="AO811" t="s">
        <v>59</v>
      </c>
      <c r="AP811" t="s">
        <v>37</v>
      </c>
      <c r="AQ811" t="s">
        <v>1983</v>
      </c>
      <c r="AR811" t="s">
        <v>64</v>
      </c>
      <c r="AS811" t="s">
        <v>175</v>
      </c>
      <c r="AT811" t="s">
        <v>334</v>
      </c>
      <c r="AU811" t="s">
        <v>299</v>
      </c>
      <c r="AW811" s="4">
        <f t="shared" si="423"/>
        <v>6</v>
      </c>
      <c r="AX811" s="4">
        <f t="shared" si="424"/>
        <v>4</v>
      </c>
      <c r="AY811" s="4">
        <f t="shared" si="425"/>
        <v>4</v>
      </c>
      <c r="AZ811" s="4">
        <f t="shared" si="426"/>
        <v>2</v>
      </c>
      <c r="BA811" s="4">
        <f t="shared" si="427"/>
        <v>4</v>
      </c>
      <c r="BB811" s="4">
        <f t="shared" si="428"/>
        <v>4</v>
      </c>
      <c r="BC811" s="4">
        <f t="shared" si="429"/>
        <v>4</v>
      </c>
      <c r="BD811" s="4">
        <f t="shared" si="430"/>
        <v>2</v>
      </c>
      <c r="BE811" s="4">
        <f t="shared" si="431"/>
        <v>4</v>
      </c>
      <c r="BF811" s="4">
        <f t="shared" si="432"/>
        <v>2</v>
      </c>
      <c r="BG811" s="4">
        <f t="shared" si="433"/>
        <v>4</v>
      </c>
      <c r="BH811" s="4">
        <f t="shared" si="434"/>
        <v>4</v>
      </c>
      <c r="BI811" s="4">
        <f t="shared" si="435"/>
        <v>4</v>
      </c>
      <c r="BJ811" s="4">
        <f t="shared" si="436"/>
        <v>2</v>
      </c>
      <c r="BK811" s="4">
        <f t="shared" si="437"/>
        <v>4</v>
      </c>
      <c r="BL811" s="4">
        <f t="shared" si="438"/>
        <v>2</v>
      </c>
      <c r="BM811" s="4">
        <f t="shared" si="439"/>
        <v>4</v>
      </c>
      <c r="BN811" s="4">
        <f t="shared" si="440"/>
        <v>4</v>
      </c>
      <c r="BO811" s="4">
        <f t="shared" si="441"/>
        <v>4</v>
      </c>
      <c r="BP811" s="4" t="str">
        <f t="shared" si="442"/>
        <v>0</v>
      </c>
      <c r="BQ811" s="4">
        <f t="shared" si="443"/>
        <v>6</v>
      </c>
      <c r="BR811" s="4">
        <f t="shared" si="444"/>
        <v>4</v>
      </c>
      <c r="BS811" s="4">
        <f t="shared" si="445"/>
        <v>4</v>
      </c>
      <c r="BT811" s="4">
        <f t="shared" si="446"/>
        <v>4</v>
      </c>
      <c r="BU811" s="4">
        <f t="shared" si="447"/>
        <v>4</v>
      </c>
      <c r="BV811" s="4" t="str">
        <f t="shared" si="448"/>
        <v>0</v>
      </c>
      <c r="BW811" s="4">
        <f t="shared" si="449"/>
        <v>6</v>
      </c>
      <c r="BX811" s="4">
        <f t="shared" si="450"/>
        <v>0</v>
      </c>
      <c r="BY811" s="4">
        <f t="shared" si="451"/>
        <v>0</v>
      </c>
      <c r="BZ811" s="37">
        <f t="shared" si="452"/>
        <v>96</v>
      </c>
      <c r="CA811" s="32" t="str">
        <f>VLOOKUP(J:J,'Agent wise'!A:C,3,0)</f>
        <v xml:space="preserve">Shiny </v>
      </c>
      <c r="CB811" s="32">
        <f t="shared" si="453"/>
        <v>45941</v>
      </c>
      <c r="CC811" t="str">
        <f t="shared" si="454"/>
        <v>Excellent</v>
      </c>
      <c r="CE811" s="32"/>
      <c r="CJ811">
        <f t="shared" si="455"/>
        <v>11</v>
      </c>
      <c r="CK811">
        <f t="shared" si="456"/>
        <v>10</v>
      </c>
      <c r="CL811">
        <f t="shared" si="457"/>
        <v>2025</v>
      </c>
    </row>
    <row r="812" spans="1:90" ht="15" customHeight="1" x14ac:dyDescent="0.35">
      <c r="A812" t="s">
        <v>1984</v>
      </c>
      <c r="B812" t="s">
        <v>177</v>
      </c>
      <c r="C812" t="s">
        <v>214</v>
      </c>
      <c r="D812" t="s">
        <v>178</v>
      </c>
      <c r="E812" s="32">
        <v>45943</v>
      </c>
      <c r="F812" t="s">
        <v>54</v>
      </c>
      <c r="G812" s="2">
        <v>46001</v>
      </c>
      <c r="H812">
        <v>9500021364</v>
      </c>
      <c r="I812">
        <v>177</v>
      </c>
      <c r="J812" t="s">
        <v>662</v>
      </c>
      <c r="K812" t="s">
        <v>71</v>
      </c>
      <c r="L812" t="s">
        <v>72</v>
      </c>
      <c r="M812" t="s">
        <v>59</v>
      </c>
      <c r="N812" t="s">
        <v>59</v>
      </c>
      <c r="O812" t="s">
        <v>59</v>
      </c>
      <c r="P812" t="s">
        <v>59</v>
      </c>
      <c r="Q812" t="s">
        <v>59</v>
      </c>
      <c r="R812" t="s">
        <v>59</v>
      </c>
      <c r="S812" t="s">
        <v>59</v>
      </c>
      <c r="T812" t="s">
        <v>59</v>
      </c>
      <c r="U812" t="s">
        <v>59</v>
      </c>
      <c r="V812" t="s">
        <v>59</v>
      </c>
      <c r="W812" t="s">
        <v>59</v>
      </c>
      <c r="X812" t="s">
        <v>59</v>
      </c>
      <c r="Y812" t="s">
        <v>60</v>
      </c>
      <c r="Z812" t="s">
        <v>59</v>
      </c>
      <c r="AA812" t="s">
        <v>59</v>
      </c>
      <c r="AB812" t="s">
        <v>59</v>
      </c>
      <c r="AC812" t="s">
        <v>61</v>
      </c>
      <c r="AD812" t="s">
        <v>59</v>
      </c>
      <c r="AE812" t="s">
        <v>59</v>
      </c>
      <c r="AF812" t="s">
        <v>59</v>
      </c>
      <c r="AG812" t="s">
        <v>59</v>
      </c>
      <c r="AH812" t="s">
        <v>61</v>
      </c>
      <c r="AI812" t="s">
        <v>61</v>
      </c>
      <c r="AJ812" t="s">
        <v>59</v>
      </c>
      <c r="AK812" t="s">
        <v>59</v>
      </c>
      <c r="AL812" t="s">
        <v>59</v>
      </c>
      <c r="AM812" t="s">
        <v>59</v>
      </c>
      <c r="AN812" t="s">
        <v>59</v>
      </c>
      <c r="AO812" t="s">
        <v>59</v>
      </c>
      <c r="AP812" t="s">
        <v>473</v>
      </c>
      <c r="AQ812" t="s">
        <v>1985</v>
      </c>
      <c r="AR812" t="s">
        <v>64</v>
      </c>
      <c r="AS812" t="s">
        <v>175</v>
      </c>
      <c r="AT812" t="s">
        <v>334</v>
      </c>
      <c r="AU812" t="s">
        <v>299</v>
      </c>
      <c r="AW812" s="4">
        <f t="shared" si="423"/>
        <v>6</v>
      </c>
      <c r="AX812" s="4">
        <f t="shared" si="424"/>
        <v>4</v>
      </c>
      <c r="AY812" s="4">
        <f t="shared" si="425"/>
        <v>4</v>
      </c>
      <c r="AZ812" s="4">
        <f t="shared" si="426"/>
        <v>2</v>
      </c>
      <c r="BA812" s="4">
        <f t="shared" si="427"/>
        <v>4</v>
      </c>
      <c r="BB812" s="4">
        <f t="shared" si="428"/>
        <v>4</v>
      </c>
      <c r="BC812" s="4">
        <f t="shared" si="429"/>
        <v>4</v>
      </c>
      <c r="BD812" s="4">
        <f t="shared" si="430"/>
        <v>2</v>
      </c>
      <c r="BE812" s="4">
        <f t="shared" si="431"/>
        <v>4</v>
      </c>
      <c r="BF812" s="4">
        <f t="shared" si="432"/>
        <v>2</v>
      </c>
      <c r="BG812" s="4">
        <f t="shared" si="433"/>
        <v>4</v>
      </c>
      <c r="BH812" s="4">
        <f t="shared" si="434"/>
        <v>4</v>
      </c>
      <c r="BI812" s="4" t="str">
        <f t="shared" si="435"/>
        <v>0</v>
      </c>
      <c r="BJ812" s="4">
        <f t="shared" si="436"/>
        <v>2</v>
      </c>
      <c r="BK812" s="4">
        <f t="shared" si="437"/>
        <v>4</v>
      </c>
      <c r="BL812" s="4">
        <f t="shared" si="438"/>
        <v>2</v>
      </c>
      <c r="BM812" s="4">
        <f t="shared" si="439"/>
        <v>4</v>
      </c>
      <c r="BN812" s="4">
        <f t="shared" si="440"/>
        <v>4</v>
      </c>
      <c r="BO812" s="4">
        <f t="shared" si="441"/>
        <v>4</v>
      </c>
      <c r="BP812" s="4">
        <f t="shared" si="442"/>
        <v>4</v>
      </c>
      <c r="BQ812" s="4">
        <f t="shared" si="443"/>
        <v>6</v>
      </c>
      <c r="BR812" s="4">
        <f t="shared" si="444"/>
        <v>4</v>
      </c>
      <c r="BS812" s="4">
        <f t="shared" si="445"/>
        <v>4</v>
      </c>
      <c r="BT812" s="4">
        <f t="shared" si="446"/>
        <v>4</v>
      </c>
      <c r="BU812" s="4">
        <f t="shared" si="447"/>
        <v>4</v>
      </c>
      <c r="BV812" s="4">
        <f t="shared" si="448"/>
        <v>0</v>
      </c>
      <c r="BW812" s="4">
        <f t="shared" si="449"/>
        <v>6</v>
      </c>
      <c r="BX812" s="4">
        <f t="shared" si="450"/>
        <v>0</v>
      </c>
      <c r="BY812" s="4">
        <f t="shared" si="451"/>
        <v>0</v>
      </c>
      <c r="BZ812" s="37">
        <f t="shared" si="452"/>
        <v>96</v>
      </c>
      <c r="CA812" s="32" t="str">
        <f>VLOOKUP(J:J,'Agent wise'!A:C,3,0)</f>
        <v xml:space="preserve">Shiny </v>
      </c>
      <c r="CB812" s="32">
        <f t="shared" si="453"/>
        <v>45943</v>
      </c>
      <c r="CC812" t="str">
        <f t="shared" si="454"/>
        <v>Excellent</v>
      </c>
      <c r="CE812" s="32"/>
      <c r="CJ812">
        <f t="shared" si="455"/>
        <v>13</v>
      </c>
      <c r="CK812">
        <f t="shared" si="456"/>
        <v>10</v>
      </c>
      <c r="CL812">
        <f t="shared" si="457"/>
        <v>2025</v>
      </c>
    </row>
    <row r="813" spans="1:90" ht="15" customHeight="1" x14ac:dyDescent="0.35">
      <c r="A813" t="s">
        <v>1986</v>
      </c>
      <c r="B813" t="s">
        <v>100</v>
      </c>
      <c r="C813" t="s">
        <v>214</v>
      </c>
      <c r="D813" t="s">
        <v>101</v>
      </c>
      <c r="E813" s="32">
        <v>45945</v>
      </c>
      <c r="F813" t="s">
        <v>54</v>
      </c>
      <c r="G813" t="s">
        <v>1749</v>
      </c>
      <c r="H813">
        <v>9212192129</v>
      </c>
      <c r="I813">
        <v>130</v>
      </c>
      <c r="J813" t="s">
        <v>559</v>
      </c>
      <c r="K813" t="s">
        <v>86</v>
      </c>
      <c r="L813" t="s">
        <v>72</v>
      </c>
      <c r="M813" t="s">
        <v>60</v>
      </c>
      <c r="N813" t="s">
        <v>59</v>
      </c>
      <c r="O813" t="s">
        <v>59</v>
      </c>
      <c r="P813" t="s">
        <v>59</v>
      </c>
      <c r="Q813" t="s">
        <v>59</v>
      </c>
      <c r="R813" t="s">
        <v>60</v>
      </c>
      <c r="S813" t="s">
        <v>59</v>
      </c>
      <c r="T813" t="s">
        <v>59</v>
      </c>
      <c r="U813" t="s">
        <v>59</v>
      </c>
      <c r="V813" t="s">
        <v>59</v>
      </c>
      <c r="W813" t="s">
        <v>59</v>
      </c>
      <c r="X813" t="s">
        <v>59</v>
      </c>
      <c r="Y813" t="s">
        <v>59</v>
      </c>
      <c r="Z813" t="s">
        <v>59</v>
      </c>
      <c r="AA813" t="s">
        <v>60</v>
      </c>
      <c r="AB813" t="s">
        <v>60</v>
      </c>
      <c r="AC813" t="s">
        <v>61</v>
      </c>
      <c r="AD813" t="s">
        <v>61</v>
      </c>
      <c r="AE813" t="s">
        <v>59</v>
      </c>
      <c r="AF813" t="s">
        <v>61</v>
      </c>
      <c r="AG813" t="s">
        <v>59</v>
      </c>
      <c r="AH813" t="s">
        <v>61</v>
      </c>
      <c r="AI813" t="s">
        <v>61</v>
      </c>
      <c r="AJ813" t="s">
        <v>61</v>
      </c>
      <c r="AK813" t="s">
        <v>61</v>
      </c>
      <c r="AL813" t="s">
        <v>60</v>
      </c>
      <c r="AM813" t="s">
        <v>60</v>
      </c>
      <c r="AN813" t="s">
        <v>60</v>
      </c>
      <c r="AO813" t="s">
        <v>60</v>
      </c>
      <c r="AP813" t="s">
        <v>1987</v>
      </c>
      <c r="AQ813" s="1" t="s">
        <v>1988</v>
      </c>
      <c r="AR813" t="s">
        <v>64</v>
      </c>
      <c r="AS813" t="s">
        <v>1989</v>
      </c>
      <c r="AT813" t="s">
        <v>1990</v>
      </c>
      <c r="AU813" t="s">
        <v>299</v>
      </c>
      <c r="AW813" s="4" t="str">
        <f t="shared" si="423"/>
        <v>0</v>
      </c>
      <c r="AX813" s="4">
        <f t="shared" si="424"/>
        <v>4</v>
      </c>
      <c r="AY813" s="4">
        <f t="shared" si="425"/>
        <v>4</v>
      </c>
      <c r="AZ813" s="4">
        <f t="shared" si="426"/>
        <v>2</v>
      </c>
      <c r="BA813" s="4">
        <f t="shared" si="427"/>
        <v>4</v>
      </c>
      <c r="BB813" s="4" t="str">
        <f t="shared" si="428"/>
        <v>0</v>
      </c>
      <c r="BC813" s="4">
        <f t="shared" si="429"/>
        <v>4</v>
      </c>
      <c r="BD813" s="4">
        <f t="shared" si="430"/>
        <v>2</v>
      </c>
      <c r="BE813" s="4">
        <f t="shared" si="431"/>
        <v>4</v>
      </c>
      <c r="BF813" s="4">
        <f t="shared" si="432"/>
        <v>2</v>
      </c>
      <c r="BG813" s="4">
        <f t="shared" si="433"/>
        <v>4</v>
      </c>
      <c r="BH813" s="4">
        <f t="shared" si="434"/>
        <v>4</v>
      </c>
      <c r="BI813" s="4">
        <f t="shared" si="435"/>
        <v>4</v>
      </c>
      <c r="BJ813" s="4">
        <f t="shared" si="436"/>
        <v>2</v>
      </c>
      <c r="BK813" s="4" t="str">
        <f t="shared" si="437"/>
        <v>0</v>
      </c>
      <c r="BL813" s="4" t="str">
        <f t="shared" si="438"/>
        <v>0</v>
      </c>
      <c r="BM813" s="4">
        <f t="shared" si="439"/>
        <v>4</v>
      </c>
      <c r="BN813" s="4">
        <f t="shared" si="440"/>
        <v>4</v>
      </c>
      <c r="BO813" s="4">
        <f t="shared" si="441"/>
        <v>4</v>
      </c>
      <c r="BP813" s="4">
        <f t="shared" si="442"/>
        <v>4</v>
      </c>
      <c r="BQ813" s="4">
        <f t="shared" si="443"/>
        <v>6</v>
      </c>
      <c r="BR813" s="4">
        <f t="shared" si="444"/>
        <v>4</v>
      </c>
      <c r="BS813" s="4">
        <f t="shared" si="445"/>
        <v>4</v>
      </c>
      <c r="BT813" s="4">
        <f t="shared" si="446"/>
        <v>4</v>
      </c>
      <c r="BU813" s="4">
        <f t="shared" si="447"/>
        <v>4</v>
      </c>
      <c r="BV813" s="4" t="str">
        <f t="shared" si="448"/>
        <v>0</v>
      </c>
      <c r="BW813" s="4" t="str">
        <f t="shared" si="449"/>
        <v>0</v>
      </c>
      <c r="BX813" s="4" t="str">
        <f t="shared" si="450"/>
        <v>0</v>
      </c>
      <c r="BY813" s="4" t="str">
        <f t="shared" si="451"/>
        <v>0</v>
      </c>
      <c r="BZ813" s="37">
        <f t="shared" si="452"/>
        <v>78</v>
      </c>
      <c r="CA813" s="32" t="str">
        <f>VLOOKUP(J:J,'Agent wise'!A:C,3,0)</f>
        <v xml:space="preserve">Shiny </v>
      </c>
      <c r="CB813" s="32">
        <f t="shared" si="453"/>
        <v>45945</v>
      </c>
      <c r="CC813" t="str">
        <f t="shared" si="454"/>
        <v>FC</v>
      </c>
      <c r="CE813" s="32"/>
      <c r="CJ813">
        <f t="shared" si="455"/>
        <v>15</v>
      </c>
      <c r="CK813">
        <f t="shared" si="456"/>
        <v>10</v>
      </c>
      <c r="CL813">
        <f t="shared" si="457"/>
        <v>2025</v>
      </c>
    </row>
    <row r="814" spans="1:90" ht="15" customHeight="1" x14ac:dyDescent="0.35">
      <c r="A814" t="s">
        <v>1991</v>
      </c>
      <c r="B814" t="s">
        <v>100</v>
      </c>
      <c r="C814" t="s">
        <v>214</v>
      </c>
      <c r="D814" t="s">
        <v>101</v>
      </c>
      <c r="E814" s="32">
        <v>45945</v>
      </c>
      <c r="F814" t="s">
        <v>54</v>
      </c>
      <c r="G814" t="s">
        <v>1749</v>
      </c>
      <c r="H814">
        <v>9447625778</v>
      </c>
      <c r="I814">
        <v>144</v>
      </c>
      <c r="J814" t="s">
        <v>96</v>
      </c>
      <c r="K814" t="s">
        <v>57</v>
      </c>
      <c r="L814" t="s">
        <v>58</v>
      </c>
      <c r="M814" t="s">
        <v>59</v>
      </c>
      <c r="N814" t="s">
        <v>59</v>
      </c>
      <c r="O814" t="s">
        <v>59</v>
      </c>
      <c r="P814" t="s">
        <v>59</v>
      </c>
      <c r="Q814" t="s">
        <v>59</v>
      </c>
      <c r="R814" t="s">
        <v>59</v>
      </c>
      <c r="S814" t="s">
        <v>59</v>
      </c>
      <c r="T814" t="s">
        <v>59</v>
      </c>
      <c r="U814" t="s">
        <v>59</v>
      </c>
      <c r="V814" t="s">
        <v>59</v>
      </c>
      <c r="W814" t="s">
        <v>59</v>
      </c>
      <c r="X814" t="s">
        <v>59</v>
      </c>
      <c r="Y814" t="s">
        <v>59</v>
      </c>
      <c r="Z814" t="s">
        <v>59</v>
      </c>
      <c r="AA814" t="s">
        <v>60</v>
      </c>
      <c r="AB814" t="s">
        <v>61</v>
      </c>
      <c r="AC814" t="s">
        <v>61</v>
      </c>
      <c r="AD814" t="s">
        <v>61</v>
      </c>
      <c r="AE814" t="s">
        <v>59</v>
      </c>
      <c r="AF814" t="s">
        <v>61</v>
      </c>
      <c r="AG814" t="s">
        <v>59</v>
      </c>
      <c r="AH814" t="s">
        <v>61</v>
      </c>
      <c r="AI814" t="s">
        <v>61</v>
      </c>
      <c r="AJ814" t="s">
        <v>61</v>
      </c>
      <c r="AK814" t="s">
        <v>61</v>
      </c>
      <c r="AL814" t="s">
        <v>60</v>
      </c>
      <c r="AM814" t="s">
        <v>59</v>
      </c>
      <c r="AN814" t="s">
        <v>59</v>
      </c>
      <c r="AO814" t="s">
        <v>59</v>
      </c>
      <c r="AP814" t="s">
        <v>188</v>
      </c>
      <c r="AQ814" s="1" t="s">
        <v>1992</v>
      </c>
      <c r="AR814" t="s">
        <v>64</v>
      </c>
      <c r="AS814" t="s">
        <v>674</v>
      </c>
      <c r="AT814" t="s">
        <v>1993</v>
      </c>
      <c r="AU814" t="s">
        <v>299</v>
      </c>
      <c r="AW814" s="4">
        <f t="shared" si="423"/>
        <v>6</v>
      </c>
      <c r="AX814" s="4">
        <f t="shared" si="424"/>
        <v>4</v>
      </c>
      <c r="AY814" s="4">
        <f t="shared" si="425"/>
        <v>4</v>
      </c>
      <c r="AZ814" s="4">
        <f t="shared" si="426"/>
        <v>2</v>
      </c>
      <c r="BA814" s="4">
        <f t="shared" si="427"/>
        <v>4</v>
      </c>
      <c r="BB814" s="4">
        <f t="shared" si="428"/>
        <v>4</v>
      </c>
      <c r="BC814" s="4">
        <f t="shared" si="429"/>
        <v>4</v>
      </c>
      <c r="BD814" s="4">
        <f t="shared" si="430"/>
        <v>2</v>
      </c>
      <c r="BE814" s="4">
        <f t="shared" si="431"/>
        <v>4</v>
      </c>
      <c r="BF814" s="4">
        <f t="shared" si="432"/>
        <v>2</v>
      </c>
      <c r="BG814" s="4">
        <f t="shared" si="433"/>
        <v>4</v>
      </c>
      <c r="BH814" s="4">
        <f t="shared" si="434"/>
        <v>4</v>
      </c>
      <c r="BI814" s="4">
        <f t="shared" si="435"/>
        <v>4</v>
      </c>
      <c r="BJ814" s="4">
        <f t="shared" si="436"/>
        <v>2</v>
      </c>
      <c r="BK814" s="4" t="str">
        <f t="shared" si="437"/>
        <v>0</v>
      </c>
      <c r="BL814" s="4">
        <f t="shared" si="438"/>
        <v>2</v>
      </c>
      <c r="BM814" s="4">
        <f t="shared" si="439"/>
        <v>4</v>
      </c>
      <c r="BN814" s="4">
        <f t="shared" si="440"/>
        <v>4</v>
      </c>
      <c r="BO814" s="4">
        <f t="shared" si="441"/>
        <v>4</v>
      </c>
      <c r="BP814" s="4">
        <f t="shared" si="442"/>
        <v>4</v>
      </c>
      <c r="BQ814" s="4">
        <f t="shared" si="443"/>
        <v>6</v>
      </c>
      <c r="BR814" s="4">
        <f t="shared" si="444"/>
        <v>4</v>
      </c>
      <c r="BS814" s="4">
        <f t="shared" si="445"/>
        <v>4</v>
      </c>
      <c r="BT814" s="4">
        <f t="shared" si="446"/>
        <v>4</v>
      </c>
      <c r="BU814" s="4">
        <f t="shared" si="447"/>
        <v>4</v>
      </c>
      <c r="BV814" s="4" t="str">
        <f t="shared" si="448"/>
        <v>0</v>
      </c>
      <c r="BW814" s="4">
        <f t="shared" si="449"/>
        <v>6</v>
      </c>
      <c r="BX814" s="4">
        <f t="shared" si="450"/>
        <v>0</v>
      </c>
      <c r="BY814" s="4">
        <f t="shared" si="451"/>
        <v>0</v>
      </c>
      <c r="BZ814" s="37">
        <f t="shared" si="452"/>
        <v>96</v>
      </c>
      <c r="CA814" s="32" t="str">
        <f>VLOOKUP(J:J,'Agent wise'!A:C,3,0)</f>
        <v xml:space="preserve">Shiny </v>
      </c>
      <c r="CB814" s="32">
        <f t="shared" si="453"/>
        <v>45945</v>
      </c>
      <c r="CC814" t="str">
        <f t="shared" si="454"/>
        <v>Excellent</v>
      </c>
      <c r="CE814" s="32"/>
      <c r="CJ814">
        <f t="shared" si="455"/>
        <v>15</v>
      </c>
      <c r="CK814">
        <f t="shared" si="456"/>
        <v>10</v>
      </c>
      <c r="CL814">
        <f t="shared" si="457"/>
        <v>2025</v>
      </c>
    </row>
    <row r="815" spans="1:90" ht="15" customHeight="1" x14ac:dyDescent="0.35">
      <c r="A815" t="s">
        <v>1994</v>
      </c>
      <c r="B815" t="s">
        <v>177</v>
      </c>
      <c r="C815" t="s">
        <v>214</v>
      </c>
      <c r="D815" t="s">
        <v>178</v>
      </c>
      <c r="E815" s="32">
        <v>45942</v>
      </c>
      <c r="F815" t="s">
        <v>54</v>
      </c>
      <c r="G815" s="2">
        <v>45971</v>
      </c>
      <c r="H815">
        <v>8333932359</v>
      </c>
      <c r="I815">
        <v>125</v>
      </c>
      <c r="J815" t="s">
        <v>70</v>
      </c>
      <c r="K815" t="s">
        <v>71</v>
      </c>
      <c r="L815" t="s">
        <v>72</v>
      </c>
      <c r="M815" t="s">
        <v>59</v>
      </c>
      <c r="N815" t="s">
        <v>59</v>
      </c>
      <c r="O815" t="s">
        <v>59</v>
      </c>
      <c r="P815" t="s">
        <v>59</v>
      </c>
      <c r="Q815" t="s">
        <v>59</v>
      </c>
      <c r="R815" t="s">
        <v>59</v>
      </c>
      <c r="S815" t="s">
        <v>59</v>
      </c>
      <c r="T815" t="s">
        <v>59</v>
      </c>
      <c r="U815" t="s">
        <v>59</v>
      </c>
      <c r="V815" t="s">
        <v>59</v>
      </c>
      <c r="W815" t="s">
        <v>59</v>
      </c>
      <c r="X815" t="s">
        <v>59</v>
      </c>
      <c r="Y815" t="s">
        <v>59</v>
      </c>
      <c r="Z815" t="s">
        <v>59</v>
      </c>
      <c r="AA815" t="s">
        <v>60</v>
      </c>
      <c r="AB815" t="s">
        <v>59</v>
      </c>
      <c r="AC815" t="s">
        <v>60</v>
      </c>
      <c r="AD815" t="s">
        <v>59</v>
      </c>
      <c r="AE815" t="s">
        <v>59</v>
      </c>
      <c r="AF815" t="s">
        <v>59</v>
      </c>
      <c r="AG815" t="s">
        <v>59</v>
      </c>
      <c r="AH815" t="s">
        <v>61</v>
      </c>
      <c r="AI815" t="s">
        <v>61</v>
      </c>
      <c r="AJ815" t="s">
        <v>59</v>
      </c>
      <c r="AK815" t="s">
        <v>59</v>
      </c>
      <c r="AL815" t="s">
        <v>59</v>
      </c>
      <c r="AM815" t="s">
        <v>59</v>
      </c>
      <c r="AN815" t="s">
        <v>59</v>
      </c>
      <c r="AO815" t="s">
        <v>59</v>
      </c>
      <c r="AP815" t="s">
        <v>1995</v>
      </c>
      <c r="AQ815" t="s">
        <v>1996</v>
      </c>
      <c r="AR815" t="s">
        <v>64</v>
      </c>
      <c r="AS815" t="s">
        <v>171</v>
      </c>
      <c r="AT815" t="s">
        <v>190</v>
      </c>
      <c r="AU815" t="s">
        <v>593</v>
      </c>
      <c r="AW815" s="4">
        <f t="shared" si="423"/>
        <v>6</v>
      </c>
      <c r="AX815" s="4">
        <f t="shared" si="424"/>
        <v>4</v>
      </c>
      <c r="AY815" s="4">
        <f t="shared" si="425"/>
        <v>4</v>
      </c>
      <c r="AZ815" s="4">
        <f t="shared" si="426"/>
        <v>2</v>
      </c>
      <c r="BA815" s="4">
        <f t="shared" si="427"/>
        <v>4</v>
      </c>
      <c r="BB815" s="4">
        <f t="shared" si="428"/>
        <v>4</v>
      </c>
      <c r="BC815" s="4">
        <f t="shared" si="429"/>
        <v>4</v>
      </c>
      <c r="BD815" s="4">
        <f t="shared" si="430"/>
        <v>2</v>
      </c>
      <c r="BE815" s="4">
        <f t="shared" si="431"/>
        <v>4</v>
      </c>
      <c r="BF815" s="4">
        <f t="shared" si="432"/>
        <v>2</v>
      </c>
      <c r="BG815" s="4">
        <f t="shared" si="433"/>
        <v>4</v>
      </c>
      <c r="BH815" s="4">
        <f t="shared" si="434"/>
        <v>4</v>
      </c>
      <c r="BI815" s="4">
        <f t="shared" si="435"/>
        <v>4</v>
      </c>
      <c r="BJ815" s="4">
        <f t="shared" si="436"/>
        <v>2</v>
      </c>
      <c r="BK815" s="4" t="str">
        <f t="shared" si="437"/>
        <v>0</v>
      </c>
      <c r="BL815" s="4">
        <f t="shared" si="438"/>
        <v>2</v>
      </c>
      <c r="BM815" s="4" t="str">
        <f t="shared" si="439"/>
        <v>0</v>
      </c>
      <c r="BN815" s="4">
        <f t="shared" si="440"/>
        <v>4</v>
      </c>
      <c r="BO815" s="4">
        <f t="shared" si="441"/>
        <v>4</v>
      </c>
      <c r="BP815" s="4">
        <f t="shared" si="442"/>
        <v>4</v>
      </c>
      <c r="BQ815" s="4">
        <f t="shared" si="443"/>
        <v>6</v>
      </c>
      <c r="BR815" s="4">
        <f t="shared" si="444"/>
        <v>4</v>
      </c>
      <c r="BS815" s="4">
        <f t="shared" si="445"/>
        <v>4</v>
      </c>
      <c r="BT815" s="4">
        <f t="shared" si="446"/>
        <v>4</v>
      </c>
      <c r="BU815" s="4">
        <f t="shared" si="447"/>
        <v>4</v>
      </c>
      <c r="BV815" s="4">
        <f t="shared" si="448"/>
        <v>0</v>
      </c>
      <c r="BW815" s="4">
        <f t="shared" si="449"/>
        <v>6</v>
      </c>
      <c r="BX815" s="4">
        <f t="shared" si="450"/>
        <v>0</v>
      </c>
      <c r="BY815" s="4">
        <f t="shared" si="451"/>
        <v>0</v>
      </c>
      <c r="BZ815" s="37">
        <f t="shared" si="452"/>
        <v>92</v>
      </c>
      <c r="CA815" s="32" t="str">
        <f>VLOOKUP(J:J,'Agent wise'!A:C,3,0)</f>
        <v>Saran S</v>
      </c>
      <c r="CB815" s="32">
        <f t="shared" si="453"/>
        <v>45942</v>
      </c>
      <c r="CC815" t="str">
        <f t="shared" si="454"/>
        <v>Good</v>
      </c>
      <c r="CE815" s="32"/>
      <c r="CJ815">
        <f t="shared" si="455"/>
        <v>12</v>
      </c>
      <c r="CK815">
        <f t="shared" si="456"/>
        <v>10</v>
      </c>
      <c r="CL815">
        <f t="shared" si="457"/>
        <v>2025</v>
      </c>
    </row>
    <row r="816" spans="1:90" ht="15" customHeight="1" x14ac:dyDescent="0.35">
      <c r="A816" t="s">
        <v>1997</v>
      </c>
      <c r="B816" t="s">
        <v>100</v>
      </c>
      <c r="C816" t="s">
        <v>214</v>
      </c>
      <c r="D816" t="s">
        <v>101</v>
      </c>
      <c r="E816" s="32">
        <v>45945</v>
      </c>
      <c r="F816" t="s">
        <v>54</v>
      </c>
      <c r="G816" t="s">
        <v>1749</v>
      </c>
      <c r="H816">
        <v>9442000393</v>
      </c>
      <c r="I816">
        <v>147</v>
      </c>
      <c r="J816" t="s">
        <v>442</v>
      </c>
      <c r="K816" t="s">
        <v>71</v>
      </c>
      <c r="L816" t="s">
        <v>72</v>
      </c>
      <c r="M816" t="s">
        <v>59</v>
      </c>
      <c r="N816" t="s">
        <v>59</v>
      </c>
      <c r="O816" t="s">
        <v>59</v>
      </c>
      <c r="P816" t="s">
        <v>59</v>
      </c>
      <c r="Q816" t="s">
        <v>59</v>
      </c>
      <c r="R816" t="s">
        <v>60</v>
      </c>
      <c r="S816" t="s">
        <v>59</v>
      </c>
      <c r="T816" t="s">
        <v>59</v>
      </c>
      <c r="U816" t="s">
        <v>59</v>
      </c>
      <c r="V816" t="s">
        <v>59</v>
      </c>
      <c r="W816" t="s">
        <v>59</v>
      </c>
      <c r="X816" t="s">
        <v>61</v>
      </c>
      <c r="Y816" t="s">
        <v>59</v>
      </c>
      <c r="Z816" t="s">
        <v>59</v>
      </c>
      <c r="AA816" t="s">
        <v>60</v>
      </c>
      <c r="AB816" t="s">
        <v>61</v>
      </c>
      <c r="AC816" t="s">
        <v>61</v>
      </c>
      <c r="AD816" t="s">
        <v>61</v>
      </c>
      <c r="AE816" t="s">
        <v>59</v>
      </c>
      <c r="AF816" t="s">
        <v>61</v>
      </c>
      <c r="AG816" t="s">
        <v>59</v>
      </c>
      <c r="AH816" t="s">
        <v>61</v>
      </c>
      <c r="AI816" t="s">
        <v>61</v>
      </c>
      <c r="AJ816" t="s">
        <v>61</v>
      </c>
      <c r="AK816" t="s">
        <v>61</v>
      </c>
      <c r="AL816" t="s">
        <v>60</v>
      </c>
      <c r="AM816" t="s">
        <v>59</v>
      </c>
      <c r="AN816" t="s">
        <v>59</v>
      </c>
      <c r="AO816" t="s">
        <v>59</v>
      </c>
      <c r="AP816" t="s">
        <v>1998</v>
      </c>
      <c r="AQ816" s="1" t="s">
        <v>1999</v>
      </c>
      <c r="AR816" t="s">
        <v>64</v>
      </c>
      <c r="AS816" t="s">
        <v>2000</v>
      </c>
      <c r="AT816" t="s">
        <v>2000</v>
      </c>
      <c r="AU816" t="s">
        <v>299</v>
      </c>
      <c r="AW816" s="4">
        <f t="shared" si="423"/>
        <v>6</v>
      </c>
      <c r="AX816" s="4">
        <f t="shared" si="424"/>
        <v>4</v>
      </c>
      <c r="AY816" s="4">
        <f t="shared" si="425"/>
        <v>4</v>
      </c>
      <c r="AZ816" s="4">
        <f t="shared" si="426"/>
        <v>2</v>
      </c>
      <c r="BA816" s="4">
        <f t="shared" si="427"/>
        <v>4</v>
      </c>
      <c r="BB816" s="4" t="str">
        <f t="shared" si="428"/>
        <v>0</v>
      </c>
      <c r="BC816" s="4">
        <f t="shared" si="429"/>
        <v>4</v>
      </c>
      <c r="BD816" s="4">
        <f t="shared" si="430"/>
        <v>2</v>
      </c>
      <c r="BE816" s="4">
        <f t="shared" si="431"/>
        <v>4</v>
      </c>
      <c r="BF816" s="4">
        <f t="shared" si="432"/>
        <v>2</v>
      </c>
      <c r="BG816" s="4">
        <f t="shared" si="433"/>
        <v>4</v>
      </c>
      <c r="BH816" s="4">
        <f t="shared" si="434"/>
        <v>4</v>
      </c>
      <c r="BI816" s="4">
        <f t="shared" si="435"/>
        <v>4</v>
      </c>
      <c r="BJ816" s="4">
        <f t="shared" si="436"/>
        <v>2</v>
      </c>
      <c r="BK816" s="4" t="str">
        <f t="shared" si="437"/>
        <v>0</v>
      </c>
      <c r="BL816" s="4">
        <f t="shared" si="438"/>
        <v>2</v>
      </c>
      <c r="BM816" s="4">
        <f t="shared" si="439"/>
        <v>4</v>
      </c>
      <c r="BN816" s="4">
        <f t="shared" si="440"/>
        <v>4</v>
      </c>
      <c r="BO816" s="4">
        <f t="shared" si="441"/>
        <v>4</v>
      </c>
      <c r="BP816" s="4">
        <f t="shared" si="442"/>
        <v>4</v>
      </c>
      <c r="BQ816" s="4">
        <f t="shared" si="443"/>
        <v>6</v>
      </c>
      <c r="BR816" s="4">
        <f t="shared" si="444"/>
        <v>4</v>
      </c>
      <c r="BS816" s="4">
        <f t="shared" si="445"/>
        <v>4</v>
      </c>
      <c r="BT816" s="4">
        <f t="shared" si="446"/>
        <v>4</v>
      </c>
      <c r="BU816" s="4">
        <f t="shared" si="447"/>
        <v>4</v>
      </c>
      <c r="BV816" s="4" t="str">
        <f t="shared" si="448"/>
        <v>0</v>
      </c>
      <c r="BW816" s="4">
        <f t="shared" si="449"/>
        <v>6</v>
      </c>
      <c r="BX816" s="4">
        <f t="shared" si="450"/>
        <v>0</v>
      </c>
      <c r="BY816" s="4">
        <f t="shared" si="451"/>
        <v>0</v>
      </c>
      <c r="BZ816" s="37">
        <f t="shared" si="452"/>
        <v>92</v>
      </c>
      <c r="CA816" s="32" t="str">
        <f>VLOOKUP(J:J,'Agent wise'!A:C,3,0)</f>
        <v>Shakeer</v>
      </c>
      <c r="CB816" s="32">
        <f t="shared" si="453"/>
        <v>45945</v>
      </c>
      <c r="CC816" t="str">
        <f t="shared" si="454"/>
        <v>Good</v>
      </c>
      <c r="CE816" s="32"/>
      <c r="CJ816">
        <f t="shared" si="455"/>
        <v>15</v>
      </c>
      <c r="CK816">
        <f t="shared" si="456"/>
        <v>10</v>
      </c>
      <c r="CL816">
        <f t="shared" si="457"/>
        <v>2025</v>
      </c>
    </row>
    <row r="817" spans="1:90" ht="15" customHeight="1" x14ac:dyDescent="0.35">
      <c r="A817" t="s">
        <v>2001</v>
      </c>
      <c r="B817" t="s">
        <v>100</v>
      </c>
      <c r="C817" t="s">
        <v>214</v>
      </c>
      <c r="D817" t="s">
        <v>101</v>
      </c>
      <c r="E817" s="32">
        <v>45945</v>
      </c>
      <c r="F817" t="s">
        <v>54</v>
      </c>
      <c r="G817" t="s">
        <v>1749</v>
      </c>
      <c r="H817">
        <v>9037689857</v>
      </c>
      <c r="I817">
        <v>130</v>
      </c>
      <c r="J817" t="s">
        <v>464</v>
      </c>
      <c r="K817" t="s">
        <v>57</v>
      </c>
      <c r="L817" t="s">
        <v>58</v>
      </c>
      <c r="M817" t="s">
        <v>59</v>
      </c>
      <c r="N817" t="s">
        <v>59</v>
      </c>
      <c r="O817" t="s">
        <v>59</v>
      </c>
      <c r="P817" t="s">
        <v>59</v>
      </c>
      <c r="Q817" t="s">
        <v>59</v>
      </c>
      <c r="R817" t="s">
        <v>59</v>
      </c>
      <c r="S817" t="s">
        <v>59</v>
      </c>
      <c r="T817" t="s">
        <v>59</v>
      </c>
      <c r="U817" t="s">
        <v>60</v>
      </c>
      <c r="V817" t="s">
        <v>59</v>
      </c>
      <c r="W817" t="s">
        <v>59</v>
      </c>
      <c r="X817" t="s">
        <v>61</v>
      </c>
      <c r="Y817" t="s">
        <v>59</v>
      </c>
      <c r="Z817" t="s">
        <v>59</v>
      </c>
      <c r="AA817" t="s">
        <v>59</v>
      </c>
      <c r="AB817" t="s">
        <v>61</v>
      </c>
      <c r="AC817" t="s">
        <v>61</v>
      </c>
      <c r="AD817" t="s">
        <v>61</v>
      </c>
      <c r="AE817" t="s">
        <v>60</v>
      </c>
      <c r="AF817" t="s">
        <v>61</v>
      </c>
      <c r="AG817" t="s">
        <v>59</v>
      </c>
      <c r="AH817" t="s">
        <v>59</v>
      </c>
      <c r="AI817" t="s">
        <v>61</v>
      </c>
      <c r="AJ817" t="s">
        <v>61</v>
      </c>
      <c r="AK817" t="s">
        <v>61</v>
      </c>
      <c r="AL817" t="s">
        <v>59</v>
      </c>
      <c r="AM817" t="s">
        <v>59</v>
      </c>
      <c r="AN817" t="s">
        <v>59</v>
      </c>
      <c r="AO817" t="s">
        <v>59</v>
      </c>
      <c r="AP817" t="s">
        <v>2002</v>
      </c>
      <c r="AQ817" s="1" t="s">
        <v>2003</v>
      </c>
      <c r="AR817" t="s">
        <v>64</v>
      </c>
      <c r="AS817" t="s">
        <v>175</v>
      </c>
      <c r="AT817" t="s">
        <v>1716</v>
      </c>
      <c r="AU817" t="s">
        <v>299</v>
      </c>
      <c r="AW817" s="4">
        <f t="shared" si="423"/>
        <v>6</v>
      </c>
      <c r="AX817" s="4">
        <f t="shared" si="424"/>
        <v>4</v>
      </c>
      <c r="AY817" s="4">
        <f t="shared" si="425"/>
        <v>4</v>
      </c>
      <c r="AZ817" s="4">
        <f t="shared" si="426"/>
        <v>2</v>
      </c>
      <c r="BA817" s="4">
        <f t="shared" si="427"/>
        <v>4</v>
      </c>
      <c r="BB817" s="4">
        <f t="shared" si="428"/>
        <v>4</v>
      </c>
      <c r="BC817" s="4">
        <f t="shared" si="429"/>
        <v>4</v>
      </c>
      <c r="BD817" s="4">
        <f t="shared" si="430"/>
        <v>2</v>
      </c>
      <c r="BE817" s="4" t="str">
        <f t="shared" si="431"/>
        <v>0</v>
      </c>
      <c r="BF817" s="4">
        <f t="shared" si="432"/>
        <v>2</v>
      </c>
      <c r="BG817" s="4">
        <f t="shared" si="433"/>
        <v>4</v>
      </c>
      <c r="BH817" s="4">
        <f t="shared" si="434"/>
        <v>4</v>
      </c>
      <c r="BI817" s="4">
        <f t="shared" si="435"/>
        <v>4</v>
      </c>
      <c r="BJ817" s="4">
        <f t="shared" si="436"/>
        <v>2</v>
      </c>
      <c r="BK817" s="4">
        <f t="shared" si="437"/>
        <v>4</v>
      </c>
      <c r="BL817" s="4">
        <f t="shared" si="438"/>
        <v>2</v>
      </c>
      <c r="BM817" s="4">
        <f t="shared" si="439"/>
        <v>4</v>
      </c>
      <c r="BN817" s="4">
        <f t="shared" si="440"/>
        <v>4</v>
      </c>
      <c r="BO817" s="4" t="str">
        <f t="shared" si="441"/>
        <v>0</v>
      </c>
      <c r="BP817" s="4">
        <f t="shared" si="442"/>
        <v>4</v>
      </c>
      <c r="BQ817" s="4">
        <f t="shared" si="443"/>
        <v>6</v>
      </c>
      <c r="BR817" s="4">
        <f t="shared" si="444"/>
        <v>4</v>
      </c>
      <c r="BS817" s="4">
        <f t="shared" si="445"/>
        <v>4</v>
      </c>
      <c r="BT817" s="4">
        <f t="shared" si="446"/>
        <v>4</v>
      </c>
      <c r="BU817" s="4">
        <f t="shared" si="447"/>
        <v>4</v>
      </c>
      <c r="BV817" s="4">
        <f t="shared" si="448"/>
        <v>0</v>
      </c>
      <c r="BW817" s="4">
        <f t="shared" si="449"/>
        <v>6</v>
      </c>
      <c r="BX817" s="4">
        <f t="shared" si="450"/>
        <v>0</v>
      </c>
      <c r="BY817" s="4">
        <f t="shared" si="451"/>
        <v>0</v>
      </c>
      <c r="BZ817" s="37">
        <f t="shared" si="452"/>
        <v>92</v>
      </c>
      <c r="CA817" s="32" t="str">
        <f>VLOOKUP(J:J,'Agent wise'!A:C,3,0)</f>
        <v>Adharsh</v>
      </c>
      <c r="CB817" s="32">
        <f t="shared" si="453"/>
        <v>45945</v>
      </c>
      <c r="CC817" t="str">
        <f t="shared" si="454"/>
        <v>Good</v>
      </c>
      <c r="CE817" s="32"/>
      <c r="CJ817">
        <f t="shared" si="455"/>
        <v>15</v>
      </c>
      <c r="CK817">
        <f t="shared" si="456"/>
        <v>10</v>
      </c>
      <c r="CL817">
        <f t="shared" si="457"/>
        <v>2025</v>
      </c>
    </row>
    <row r="818" spans="1:90" ht="15" customHeight="1" x14ac:dyDescent="0.35">
      <c r="A818" t="s">
        <v>2004</v>
      </c>
      <c r="B818" t="s">
        <v>100</v>
      </c>
      <c r="C818" t="s">
        <v>214</v>
      </c>
      <c r="D818" t="s">
        <v>101</v>
      </c>
      <c r="E818" s="32">
        <v>45945</v>
      </c>
      <c r="F818" t="s">
        <v>54</v>
      </c>
      <c r="G818" t="s">
        <v>1749</v>
      </c>
      <c r="H818">
        <v>9444126429</v>
      </c>
      <c r="I818">
        <v>133</v>
      </c>
      <c r="J818" t="s">
        <v>2005</v>
      </c>
      <c r="K818" t="s">
        <v>71</v>
      </c>
      <c r="L818" t="s">
        <v>72</v>
      </c>
      <c r="M818" t="s">
        <v>59</v>
      </c>
      <c r="N818" t="s">
        <v>59</v>
      </c>
      <c r="O818" t="s">
        <v>59</v>
      </c>
      <c r="P818" t="s">
        <v>59</v>
      </c>
      <c r="Q818" t="s">
        <v>59</v>
      </c>
      <c r="R818" t="s">
        <v>59</v>
      </c>
      <c r="S818" t="s">
        <v>59</v>
      </c>
      <c r="T818" t="s">
        <v>59</v>
      </c>
      <c r="U818" t="s">
        <v>59</v>
      </c>
      <c r="V818" t="s">
        <v>59</v>
      </c>
      <c r="W818" t="s">
        <v>59</v>
      </c>
      <c r="X818" t="s">
        <v>59</v>
      </c>
      <c r="Y818" t="s">
        <v>59</v>
      </c>
      <c r="Z818" t="s">
        <v>59</v>
      </c>
      <c r="AA818" t="s">
        <v>59</v>
      </c>
      <c r="AB818" t="s">
        <v>59</v>
      </c>
      <c r="AC818" t="s">
        <v>61</v>
      </c>
      <c r="AD818" t="s">
        <v>61</v>
      </c>
      <c r="AE818" t="s">
        <v>60</v>
      </c>
      <c r="AF818" t="s">
        <v>61</v>
      </c>
      <c r="AG818" t="s">
        <v>59</v>
      </c>
      <c r="AH818" t="s">
        <v>61</v>
      </c>
      <c r="AI818" t="s">
        <v>61</v>
      </c>
      <c r="AJ818" t="s">
        <v>61</v>
      </c>
      <c r="AK818" t="s">
        <v>61</v>
      </c>
      <c r="AL818" t="s">
        <v>59</v>
      </c>
      <c r="AM818" t="s">
        <v>59</v>
      </c>
      <c r="AN818" t="s">
        <v>59</v>
      </c>
      <c r="AO818" t="s">
        <v>59</v>
      </c>
      <c r="AP818" t="s">
        <v>2006</v>
      </c>
      <c r="AQ818" s="1" t="s">
        <v>2007</v>
      </c>
      <c r="AR818" t="s">
        <v>64</v>
      </c>
      <c r="AS818" t="s">
        <v>89</v>
      </c>
      <c r="AT818" t="s">
        <v>84</v>
      </c>
      <c r="AU818" t="s">
        <v>219</v>
      </c>
      <c r="AW818" s="4">
        <f t="shared" si="423"/>
        <v>6</v>
      </c>
      <c r="AX818" s="4">
        <f t="shared" si="424"/>
        <v>4</v>
      </c>
      <c r="AY818" s="4">
        <f t="shared" si="425"/>
        <v>4</v>
      </c>
      <c r="AZ818" s="4">
        <f t="shared" si="426"/>
        <v>2</v>
      </c>
      <c r="BA818" s="4">
        <f t="shared" si="427"/>
        <v>4</v>
      </c>
      <c r="BB818" s="4">
        <f t="shared" si="428"/>
        <v>4</v>
      </c>
      <c r="BC818" s="4">
        <f t="shared" si="429"/>
        <v>4</v>
      </c>
      <c r="BD818" s="4">
        <f t="shared" si="430"/>
        <v>2</v>
      </c>
      <c r="BE818" s="4">
        <f t="shared" si="431"/>
        <v>4</v>
      </c>
      <c r="BF818" s="4">
        <f t="shared" si="432"/>
        <v>2</v>
      </c>
      <c r="BG818" s="4">
        <f t="shared" si="433"/>
        <v>4</v>
      </c>
      <c r="BH818" s="4">
        <f t="shared" si="434"/>
        <v>4</v>
      </c>
      <c r="BI818" s="4">
        <f t="shared" si="435"/>
        <v>4</v>
      </c>
      <c r="BJ818" s="4">
        <f t="shared" si="436"/>
        <v>2</v>
      </c>
      <c r="BK818" s="4">
        <f t="shared" si="437"/>
        <v>4</v>
      </c>
      <c r="BL818" s="4">
        <f t="shared" si="438"/>
        <v>2</v>
      </c>
      <c r="BM818" s="4">
        <f t="shared" si="439"/>
        <v>4</v>
      </c>
      <c r="BN818" s="4">
        <f t="shared" si="440"/>
        <v>4</v>
      </c>
      <c r="BO818" s="4" t="str">
        <f t="shared" si="441"/>
        <v>0</v>
      </c>
      <c r="BP818" s="4">
        <f t="shared" si="442"/>
        <v>4</v>
      </c>
      <c r="BQ818" s="4">
        <f t="shared" si="443"/>
        <v>6</v>
      </c>
      <c r="BR818" s="4">
        <f t="shared" si="444"/>
        <v>4</v>
      </c>
      <c r="BS818" s="4">
        <f t="shared" si="445"/>
        <v>4</v>
      </c>
      <c r="BT818" s="4">
        <f t="shared" si="446"/>
        <v>4</v>
      </c>
      <c r="BU818" s="4">
        <f t="shared" si="447"/>
        <v>4</v>
      </c>
      <c r="BV818" s="4">
        <f t="shared" si="448"/>
        <v>0</v>
      </c>
      <c r="BW818" s="4">
        <f t="shared" si="449"/>
        <v>6</v>
      </c>
      <c r="BX818" s="4">
        <f t="shared" si="450"/>
        <v>0</v>
      </c>
      <c r="BY818" s="4">
        <f t="shared" si="451"/>
        <v>0</v>
      </c>
      <c r="BZ818" s="37">
        <f t="shared" si="452"/>
        <v>96</v>
      </c>
      <c r="CA818" s="32" t="e">
        <f>VLOOKUP(J:J,'Agent wise'!A:C,3,0)</f>
        <v>#N/A</v>
      </c>
      <c r="CB818" s="32">
        <f t="shared" si="453"/>
        <v>45945</v>
      </c>
      <c r="CC818" t="str">
        <f t="shared" si="454"/>
        <v>Excellent</v>
      </c>
      <c r="CE818" s="32"/>
      <c r="CJ818">
        <f t="shared" si="455"/>
        <v>15</v>
      </c>
      <c r="CK818">
        <f t="shared" si="456"/>
        <v>10</v>
      </c>
      <c r="CL818">
        <f t="shared" si="457"/>
        <v>2025</v>
      </c>
    </row>
    <row r="819" spans="1:90" ht="15" customHeight="1" x14ac:dyDescent="0.35">
      <c r="A819" t="s">
        <v>2008</v>
      </c>
      <c r="B819" t="s">
        <v>100</v>
      </c>
      <c r="C819" t="s">
        <v>214</v>
      </c>
      <c r="D819" t="s">
        <v>101</v>
      </c>
      <c r="E819" s="32">
        <v>45945</v>
      </c>
      <c r="F819" t="s">
        <v>54</v>
      </c>
      <c r="G819" t="s">
        <v>1749</v>
      </c>
      <c r="H819">
        <v>6380141148</v>
      </c>
      <c r="I819">
        <v>142</v>
      </c>
      <c r="J819" t="s">
        <v>640</v>
      </c>
      <c r="K819" t="s">
        <v>71</v>
      </c>
      <c r="L819" t="s">
        <v>72</v>
      </c>
      <c r="M819" t="s">
        <v>59</v>
      </c>
      <c r="N819" t="s">
        <v>59</v>
      </c>
      <c r="O819" t="s">
        <v>59</v>
      </c>
      <c r="P819" t="s">
        <v>59</v>
      </c>
      <c r="Q819" t="s">
        <v>59</v>
      </c>
      <c r="R819" t="s">
        <v>59</v>
      </c>
      <c r="S819" t="s">
        <v>59</v>
      </c>
      <c r="T819" t="s">
        <v>59</v>
      </c>
      <c r="U819" t="s">
        <v>59</v>
      </c>
      <c r="V819" t="s">
        <v>59</v>
      </c>
      <c r="W819" t="s">
        <v>59</v>
      </c>
      <c r="X819" t="s">
        <v>59</v>
      </c>
      <c r="Y819" t="s">
        <v>59</v>
      </c>
      <c r="Z819" t="s">
        <v>59</v>
      </c>
      <c r="AA819" t="s">
        <v>60</v>
      </c>
      <c r="AB819" t="s">
        <v>61</v>
      </c>
      <c r="AC819" t="s">
        <v>61</v>
      </c>
      <c r="AD819" t="s">
        <v>61</v>
      </c>
      <c r="AE819" t="s">
        <v>59</v>
      </c>
      <c r="AF819" t="s">
        <v>61</v>
      </c>
      <c r="AG819" t="s">
        <v>59</v>
      </c>
      <c r="AH819" t="s">
        <v>61</v>
      </c>
      <c r="AI819" t="s">
        <v>61</v>
      </c>
      <c r="AJ819" t="s">
        <v>61</v>
      </c>
      <c r="AK819" t="s">
        <v>61</v>
      </c>
      <c r="AL819" t="s">
        <v>60</v>
      </c>
      <c r="AM819" t="s">
        <v>60</v>
      </c>
      <c r="AN819" t="s">
        <v>60</v>
      </c>
      <c r="AO819" t="s">
        <v>60</v>
      </c>
      <c r="AP819" t="s">
        <v>2009</v>
      </c>
      <c r="AQ819" s="1" t="s">
        <v>2010</v>
      </c>
      <c r="AR819" t="s">
        <v>64</v>
      </c>
      <c r="AS819" t="s">
        <v>135</v>
      </c>
      <c r="AT819" t="s">
        <v>136</v>
      </c>
      <c r="AU819" t="s">
        <v>387</v>
      </c>
      <c r="AW819" s="4">
        <f t="shared" si="423"/>
        <v>6</v>
      </c>
      <c r="AX819" s="4">
        <f t="shared" si="424"/>
        <v>4</v>
      </c>
      <c r="AY819" s="4">
        <f t="shared" si="425"/>
        <v>4</v>
      </c>
      <c r="AZ819" s="4">
        <f t="shared" si="426"/>
        <v>2</v>
      </c>
      <c r="BA819" s="4">
        <f t="shared" si="427"/>
        <v>4</v>
      </c>
      <c r="BB819" s="4">
        <f t="shared" si="428"/>
        <v>4</v>
      </c>
      <c r="BC819" s="4">
        <f t="shared" si="429"/>
        <v>4</v>
      </c>
      <c r="BD819" s="4">
        <f t="shared" si="430"/>
        <v>2</v>
      </c>
      <c r="BE819" s="4">
        <f t="shared" si="431"/>
        <v>4</v>
      </c>
      <c r="BF819" s="4">
        <f t="shared" si="432"/>
        <v>2</v>
      </c>
      <c r="BG819" s="4">
        <f t="shared" si="433"/>
        <v>4</v>
      </c>
      <c r="BH819" s="4">
        <f t="shared" si="434"/>
        <v>4</v>
      </c>
      <c r="BI819" s="4">
        <f t="shared" si="435"/>
        <v>4</v>
      </c>
      <c r="BJ819" s="4">
        <f t="shared" si="436"/>
        <v>2</v>
      </c>
      <c r="BK819" s="4" t="str">
        <f t="shared" si="437"/>
        <v>0</v>
      </c>
      <c r="BL819" s="4">
        <f t="shared" si="438"/>
        <v>2</v>
      </c>
      <c r="BM819" s="4">
        <f t="shared" si="439"/>
        <v>4</v>
      </c>
      <c r="BN819" s="4">
        <f t="shared" si="440"/>
        <v>4</v>
      </c>
      <c r="BO819" s="4">
        <f t="shared" si="441"/>
        <v>4</v>
      </c>
      <c r="BP819" s="4">
        <f t="shared" si="442"/>
        <v>4</v>
      </c>
      <c r="BQ819" s="4">
        <f t="shared" si="443"/>
        <v>6</v>
      </c>
      <c r="BR819" s="4">
        <f t="shared" si="444"/>
        <v>4</v>
      </c>
      <c r="BS819" s="4">
        <f t="shared" si="445"/>
        <v>4</v>
      </c>
      <c r="BT819" s="4">
        <f t="shared" si="446"/>
        <v>4</v>
      </c>
      <c r="BU819" s="4">
        <f t="shared" si="447"/>
        <v>4</v>
      </c>
      <c r="BV819" s="4" t="str">
        <f t="shared" si="448"/>
        <v>0</v>
      </c>
      <c r="BW819" s="4" t="str">
        <f t="shared" si="449"/>
        <v>0</v>
      </c>
      <c r="BX819" s="4" t="str">
        <f t="shared" si="450"/>
        <v>0</v>
      </c>
      <c r="BY819" s="4" t="str">
        <f t="shared" si="451"/>
        <v>0</v>
      </c>
      <c r="BZ819" s="37">
        <f t="shared" si="452"/>
        <v>90</v>
      </c>
      <c r="CA819" s="32" t="str">
        <f>VLOOKUP(J:J,'Agent wise'!A:C,3,0)</f>
        <v>Adharsh</v>
      </c>
      <c r="CB819" s="32">
        <f t="shared" si="453"/>
        <v>45945</v>
      </c>
      <c r="CC819" t="str">
        <f t="shared" si="454"/>
        <v>Good</v>
      </c>
      <c r="CE819" s="32"/>
      <c r="CJ819">
        <f t="shared" si="455"/>
        <v>15</v>
      </c>
      <c r="CK819">
        <f t="shared" si="456"/>
        <v>10</v>
      </c>
      <c r="CL819">
        <f t="shared" si="457"/>
        <v>2025</v>
      </c>
    </row>
    <row r="820" spans="1:90" ht="15" customHeight="1" x14ac:dyDescent="0.35">
      <c r="A820" t="s">
        <v>2011</v>
      </c>
      <c r="B820" t="s">
        <v>250</v>
      </c>
      <c r="C820" t="s">
        <v>214</v>
      </c>
      <c r="D820" t="s">
        <v>251</v>
      </c>
      <c r="E820" s="32">
        <v>45945</v>
      </c>
      <c r="F820" t="s">
        <v>54</v>
      </c>
      <c r="G820" t="s">
        <v>1749</v>
      </c>
      <c r="H820">
        <v>9946203300</v>
      </c>
      <c r="I820">
        <v>153</v>
      </c>
      <c r="J820" t="s">
        <v>280</v>
      </c>
      <c r="K820" t="s">
        <v>57</v>
      </c>
      <c r="L820" t="s">
        <v>58</v>
      </c>
      <c r="M820" t="s">
        <v>59</v>
      </c>
      <c r="N820" t="s">
        <v>59</v>
      </c>
      <c r="O820" t="s">
        <v>60</v>
      </c>
      <c r="P820" t="s">
        <v>59</v>
      </c>
      <c r="Q820" t="s">
        <v>59</v>
      </c>
      <c r="R820" t="s">
        <v>59</v>
      </c>
      <c r="S820" t="s">
        <v>59</v>
      </c>
      <c r="T820" t="s">
        <v>59</v>
      </c>
      <c r="U820" t="s">
        <v>60</v>
      </c>
      <c r="V820" t="s">
        <v>59</v>
      </c>
      <c r="W820" t="s">
        <v>59</v>
      </c>
      <c r="X820" t="s">
        <v>59</v>
      </c>
      <c r="Y820" t="s">
        <v>59</v>
      </c>
      <c r="Z820" t="s">
        <v>59</v>
      </c>
      <c r="AA820" t="s">
        <v>60</v>
      </c>
      <c r="AB820" t="s">
        <v>59</v>
      </c>
      <c r="AC820" t="s">
        <v>59</v>
      </c>
      <c r="AD820" t="s">
        <v>59</v>
      </c>
      <c r="AE820" t="s">
        <v>59</v>
      </c>
      <c r="AF820" t="s">
        <v>59</v>
      </c>
      <c r="AG820" t="s">
        <v>59</v>
      </c>
      <c r="AH820" t="s">
        <v>61</v>
      </c>
      <c r="AI820" t="s">
        <v>61</v>
      </c>
      <c r="AJ820" t="s">
        <v>59</v>
      </c>
      <c r="AK820" t="s">
        <v>59</v>
      </c>
      <c r="AL820" t="s">
        <v>60</v>
      </c>
      <c r="AM820" t="s">
        <v>59</v>
      </c>
      <c r="AN820" t="s">
        <v>59</v>
      </c>
      <c r="AO820" t="s">
        <v>59</v>
      </c>
      <c r="AP820" t="s">
        <v>2012</v>
      </c>
      <c r="AQ820" t="s">
        <v>2013</v>
      </c>
      <c r="AR820" t="s">
        <v>64</v>
      </c>
      <c r="AS820" t="s">
        <v>2014</v>
      </c>
      <c r="AT820" t="s">
        <v>2015</v>
      </c>
      <c r="AU820" t="s">
        <v>219</v>
      </c>
      <c r="AW820" s="4">
        <f t="shared" si="423"/>
        <v>6</v>
      </c>
      <c r="AX820" s="4">
        <f t="shared" si="424"/>
        <v>4</v>
      </c>
      <c r="AY820" s="4" t="str">
        <f t="shared" si="425"/>
        <v>0</v>
      </c>
      <c r="AZ820" s="4">
        <f t="shared" si="426"/>
        <v>2</v>
      </c>
      <c r="BA820" s="4">
        <f t="shared" si="427"/>
        <v>4</v>
      </c>
      <c r="BB820" s="4">
        <f t="shared" si="428"/>
        <v>4</v>
      </c>
      <c r="BC820" s="4">
        <f t="shared" si="429"/>
        <v>4</v>
      </c>
      <c r="BD820" s="4">
        <f t="shared" si="430"/>
        <v>2</v>
      </c>
      <c r="BE820" s="4" t="str">
        <f t="shared" si="431"/>
        <v>0</v>
      </c>
      <c r="BF820" s="4">
        <f t="shared" si="432"/>
        <v>2</v>
      </c>
      <c r="BG820" s="4">
        <f t="shared" si="433"/>
        <v>4</v>
      </c>
      <c r="BH820" s="4">
        <f t="shared" si="434"/>
        <v>4</v>
      </c>
      <c r="BI820" s="4">
        <f t="shared" si="435"/>
        <v>4</v>
      </c>
      <c r="BJ820" s="4">
        <f t="shared" si="436"/>
        <v>2</v>
      </c>
      <c r="BK820" s="4" t="str">
        <f t="shared" si="437"/>
        <v>0</v>
      </c>
      <c r="BL820" s="4">
        <f t="shared" si="438"/>
        <v>2</v>
      </c>
      <c r="BM820" s="4">
        <f t="shared" si="439"/>
        <v>4</v>
      </c>
      <c r="BN820" s="4">
        <f t="shared" si="440"/>
        <v>4</v>
      </c>
      <c r="BO820" s="4">
        <f t="shared" si="441"/>
        <v>4</v>
      </c>
      <c r="BP820" s="4">
        <f t="shared" si="442"/>
        <v>4</v>
      </c>
      <c r="BQ820" s="4">
        <f t="shared" si="443"/>
        <v>6</v>
      </c>
      <c r="BR820" s="4">
        <f t="shared" si="444"/>
        <v>4</v>
      </c>
      <c r="BS820" s="4">
        <f t="shared" si="445"/>
        <v>4</v>
      </c>
      <c r="BT820" s="4">
        <f t="shared" si="446"/>
        <v>4</v>
      </c>
      <c r="BU820" s="4">
        <f t="shared" si="447"/>
        <v>4</v>
      </c>
      <c r="BV820" s="4" t="str">
        <f t="shared" si="448"/>
        <v>0</v>
      </c>
      <c r="BW820" s="4">
        <f t="shared" si="449"/>
        <v>6</v>
      </c>
      <c r="BX820" s="4">
        <f t="shared" si="450"/>
        <v>0</v>
      </c>
      <c r="BY820" s="4">
        <f t="shared" si="451"/>
        <v>0</v>
      </c>
      <c r="BZ820" s="37">
        <f t="shared" si="452"/>
        <v>88</v>
      </c>
      <c r="CA820" s="32" t="str">
        <f>VLOOKUP(J:J,'Agent wise'!A:C,3,0)</f>
        <v>Saran S</v>
      </c>
      <c r="CB820" s="32">
        <f t="shared" si="453"/>
        <v>45945</v>
      </c>
      <c r="CC820" t="str">
        <f t="shared" si="454"/>
        <v>Average</v>
      </c>
      <c r="CE820" s="32"/>
      <c r="CJ820">
        <f t="shared" si="455"/>
        <v>15</v>
      </c>
      <c r="CK820">
        <f t="shared" si="456"/>
        <v>10</v>
      </c>
      <c r="CL820">
        <f t="shared" si="457"/>
        <v>2025</v>
      </c>
    </row>
    <row r="821" spans="1:90" ht="15" customHeight="1" x14ac:dyDescent="0.35">
      <c r="A821" t="s">
        <v>2016</v>
      </c>
      <c r="B821" t="s">
        <v>250</v>
      </c>
      <c r="C821" t="s">
        <v>214</v>
      </c>
      <c r="D821" t="s">
        <v>251</v>
      </c>
      <c r="E821" s="32">
        <v>45945</v>
      </c>
      <c r="F821" t="s">
        <v>54</v>
      </c>
      <c r="G821" t="s">
        <v>1749</v>
      </c>
      <c r="H821">
        <v>9447726445</v>
      </c>
      <c r="I821">
        <v>198</v>
      </c>
      <c r="J821" t="s">
        <v>117</v>
      </c>
      <c r="K821" t="s">
        <v>57</v>
      </c>
      <c r="L821" t="s">
        <v>58</v>
      </c>
      <c r="M821" t="s">
        <v>59</v>
      </c>
      <c r="N821" t="s">
        <v>59</v>
      </c>
      <c r="O821" t="s">
        <v>60</v>
      </c>
      <c r="P821" t="s">
        <v>59</v>
      </c>
      <c r="Q821" t="s">
        <v>59</v>
      </c>
      <c r="R821" t="s">
        <v>59</v>
      </c>
      <c r="S821" t="s">
        <v>59</v>
      </c>
      <c r="T821" t="s">
        <v>59</v>
      </c>
      <c r="U821" t="s">
        <v>60</v>
      </c>
      <c r="V821" t="s">
        <v>59</v>
      </c>
      <c r="W821" t="s">
        <v>59</v>
      </c>
      <c r="X821" t="s">
        <v>59</v>
      </c>
      <c r="Y821" t="s">
        <v>59</v>
      </c>
      <c r="Z821" t="s">
        <v>59</v>
      </c>
      <c r="AA821" t="s">
        <v>59</v>
      </c>
      <c r="AB821" t="s">
        <v>59</v>
      </c>
      <c r="AC821" t="s">
        <v>59</v>
      </c>
      <c r="AD821" t="s">
        <v>59</v>
      </c>
      <c r="AE821" t="s">
        <v>59</v>
      </c>
      <c r="AF821" t="s">
        <v>59</v>
      </c>
      <c r="AG821" t="s">
        <v>59</v>
      </c>
      <c r="AH821" t="s">
        <v>61</v>
      </c>
      <c r="AI821" t="s">
        <v>61</v>
      </c>
      <c r="AJ821" t="s">
        <v>59</v>
      </c>
      <c r="AK821" t="s">
        <v>59</v>
      </c>
      <c r="AL821" t="s">
        <v>60</v>
      </c>
      <c r="AM821" t="s">
        <v>59</v>
      </c>
      <c r="AN821" t="s">
        <v>59</v>
      </c>
      <c r="AO821" t="s">
        <v>59</v>
      </c>
      <c r="AP821" t="s">
        <v>2017</v>
      </c>
      <c r="AQ821" t="s">
        <v>2018</v>
      </c>
      <c r="AR821" t="s">
        <v>64</v>
      </c>
      <c r="AS821" t="s">
        <v>198</v>
      </c>
      <c r="AT821" t="s">
        <v>479</v>
      </c>
      <c r="AU821" t="s">
        <v>219</v>
      </c>
      <c r="AW821" s="4">
        <f t="shared" si="423"/>
        <v>6</v>
      </c>
      <c r="AX821" s="4">
        <f t="shared" si="424"/>
        <v>4</v>
      </c>
      <c r="AY821" s="4" t="str">
        <f t="shared" si="425"/>
        <v>0</v>
      </c>
      <c r="AZ821" s="4">
        <f t="shared" si="426"/>
        <v>2</v>
      </c>
      <c r="BA821" s="4">
        <f t="shared" si="427"/>
        <v>4</v>
      </c>
      <c r="BB821" s="4">
        <f t="shared" si="428"/>
        <v>4</v>
      </c>
      <c r="BC821" s="4">
        <f t="shared" si="429"/>
        <v>4</v>
      </c>
      <c r="BD821" s="4">
        <f t="shared" si="430"/>
        <v>2</v>
      </c>
      <c r="BE821" s="4" t="str">
        <f t="shared" si="431"/>
        <v>0</v>
      </c>
      <c r="BF821" s="4">
        <f t="shared" si="432"/>
        <v>2</v>
      </c>
      <c r="BG821" s="4">
        <f t="shared" si="433"/>
        <v>4</v>
      </c>
      <c r="BH821" s="4">
        <f t="shared" si="434"/>
        <v>4</v>
      </c>
      <c r="BI821" s="4">
        <f t="shared" si="435"/>
        <v>4</v>
      </c>
      <c r="BJ821" s="4">
        <f t="shared" si="436"/>
        <v>2</v>
      </c>
      <c r="BK821" s="4">
        <f t="shared" si="437"/>
        <v>4</v>
      </c>
      <c r="BL821" s="4">
        <f t="shared" si="438"/>
        <v>2</v>
      </c>
      <c r="BM821" s="4">
        <f t="shared" si="439"/>
        <v>4</v>
      </c>
      <c r="BN821" s="4">
        <f t="shared" si="440"/>
        <v>4</v>
      </c>
      <c r="BO821" s="4">
        <f t="shared" si="441"/>
        <v>4</v>
      </c>
      <c r="BP821" s="4">
        <f t="shared" si="442"/>
        <v>4</v>
      </c>
      <c r="BQ821" s="4">
        <f t="shared" si="443"/>
        <v>6</v>
      </c>
      <c r="BR821" s="4">
        <f t="shared" si="444"/>
        <v>4</v>
      </c>
      <c r="BS821" s="4">
        <f t="shared" si="445"/>
        <v>4</v>
      </c>
      <c r="BT821" s="4">
        <f t="shared" si="446"/>
        <v>4</v>
      </c>
      <c r="BU821" s="4">
        <f t="shared" si="447"/>
        <v>4</v>
      </c>
      <c r="BV821" s="4" t="str">
        <f t="shared" si="448"/>
        <v>0</v>
      </c>
      <c r="BW821" s="4">
        <f t="shared" si="449"/>
        <v>6</v>
      </c>
      <c r="BX821" s="4">
        <f t="shared" si="450"/>
        <v>0</v>
      </c>
      <c r="BY821" s="4">
        <f t="shared" si="451"/>
        <v>0</v>
      </c>
      <c r="BZ821" s="37">
        <f t="shared" si="452"/>
        <v>92</v>
      </c>
      <c r="CA821" s="32" t="str">
        <f>VLOOKUP(J:J,'Agent wise'!A:C,3,0)</f>
        <v>Saran S</v>
      </c>
      <c r="CB821" s="32">
        <f t="shared" si="453"/>
        <v>45945</v>
      </c>
      <c r="CC821" t="str">
        <f t="shared" si="454"/>
        <v>Good</v>
      </c>
      <c r="CE821" s="32"/>
      <c r="CJ821">
        <f t="shared" si="455"/>
        <v>15</v>
      </c>
      <c r="CK821">
        <f t="shared" si="456"/>
        <v>10</v>
      </c>
      <c r="CL821">
        <f t="shared" si="457"/>
        <v>2025</v>
      </c>
    </row>
    <row r="822" spans="1:90" ht="15" customHeight="1" x14ac:dyDescent="0.35">
      <c r="A822" t="s">
        <v>2019</v>
      </c>
      <c r="B822" t="s">
        <v>100</v>
      </c>
      <c r="C822" t="s">
        <v>214</v>
      </c>
      <c r="D822" t="s">
        <v>101</v>
      </c>
      <c r="E822" s="32">
        <v>45945</v>
      </c>
      <c r="F822" t="s">
        <v>54</v>
      </c>
      <c r="G822" t="s">
        <v>1749</v>
      </c>
      <c r="H822">
        <v>8301991438</v>
      </c>
      <c r="I822">
        <v>137</v>
      </c>
      <c r="J822" t="s">
        <v>179</v>
      </c>
      <c r="K822" t="s">
        <v>57</v>
      </c>
      <c r="L822" t="s">
        <v>58</v>
      </c>
      <c r="M822" t="s">
        <v>59</v>
      </c>
      <c r="N822" t="s">
        <v>59</v>
      </c>
      <c r="O822" t="s">
        <v>59</v>
      </c>
      <c r="P822" t="s">
        <v>59</v>
      </c>
      <c r="Q822" t="s">
        <v>59</v>
      </c>
      <c r="R822" t="s">
        <v>60</v>
      </c>
      <c r="S822" t="s">
        <v>59</v>
      </c>
      <c r="T822" t="s">
        <v>59</v>
      </c>
      <c r="U822" t="s">
        <v>59</v>
      </c>
      <c r="V822" t="s">
        <v>59</v>
      </c>
      <c r="W822" t="s">
        <v>59</v>
      </c>
      <c r="X822" t="s">
        <v>61</v>
      </c>
      <c r="Y822" t="s">
        <v>59</v>
      </c>
      <c r="Z822" t="s">
        <v>59</v>
      </c>
      <c r="AA822" t="s">
        <v>60</v>
      </c>
      <c r="AB822" t="s">
        <v>61</v>
      </c>
      <c r="AC822" t="s">
        <v>61</v>
      </c>
      <c r="AD822" t="s">
        <v>61</v>
      </c>
      <c r="AE822" t="s">
        <v>59</v>
      </c>
      <c r="AF822" t="s">
        <v>61</v>
      </c>
      <c r="AG822" t="s">
        <v>59</v>
      </c>
      <c r="AH822" t="s">
        <v>61</v>
      </c>
      <c r="AI822" t="s">
        <v>61</v>
      </c>
      <c r="AJ822" t="s">
        <v>61</v>
      </c>
      <c r="AK822" t="s">
        <v>61</v>
      </c>
      <c r="AL822" t="s">
        <v>60</v>
      </c>
      <c r="AM822" t="s">
        <v>59</v>
      </c>
      <c r="AN822" t="s">
        <v>59</v>
      </c>
      <c r="AO822" t="s">
        <v>59</v>
      </c>
      <c r="AP822" t="s">
        <v>1776</v>
      </c>
      <c r="AQ822" s="1" t="s">
        <v>2020</v>
      </c>
      <c r="AR822" t="s">
        <v>64</v>
      </c>
      <c r="AS822" t="s">
        <v>152</v>
      </c>
      <c r="AT822" t="s">
        <v>153</v>
      </c>
      <c r="AU822" t="s">
        <v>299</v>
      </c>
      <c r="AW822" s="4">
        <f t="shared" si="423"/>
        <v>6</v>
      </c>
      <c r="AX822" s="4">
        <f t="shared" si="424"/>
        <v>4</v>
      </c>
      <c r="AY822" s="4">
        <f t="shared" si="425"/>
        <v>4</v>
      </c>
      <c r="AZ822" s="4">
        <f t="shared" si="426"/>
        <v>2</v>
      </c>
      <c r="BA822" s="4">
        <f t="shared" si="427"/>
        <v>4</v>
      </c>
      <c r="BB822" s="4" t="str">
        <f t="shared" si="428"/>
        <v>0</v>
      </c>
      <c r="BC822" s="4">
        <f t="shared" si="429"/>
        <v>4</v>
      </c>
      <c r="BD822" s="4">
        <f t="shared" si="430"/>
        <v>2</v>
      </c>
      <c r="BE822" s="4">
        <f t="shared" si="431"/>
        <v>4</v>
      </c>
      <c r="BF822" s="4">
        <f t="shared" si="432"/>
        <v>2</v>
      </c>
      <c r="BG822" s="4">
        <f t="shared" si="433"/>
        <v>4</v>
      </c>
      <c r="BH822" s="4">
        <f t="shared" si="434"/>
        <v>4</v>
      </c>
      <c r="BI822" s="4">
        <f t="shared" si="435"/>
        <v>4</v>
      </c>
      <c r="BJ822" s="4">
        <f t="shared" si="436"/>
        <v>2</v>
      </c>
      <c r="BK822" s="4" t="str">
        <f t="shared" si="437"/>
        <v>0</v>
      </c>
      <c r="BL822" s="4">
        <f t="shared" si="438"/>
        <v>2</v>
      </c>
      <c r="BM822" s="4">
        <f t="shared" si="439"/>
        <v>4</v>
      </c>
      <c r="BN822" s="4">
        <f t="shared" si="440"/>
        <v>4</v>
      </c>
      <c r="BO822" s="4">
        <f t="shared" si="441"/>
        <v>4</v>
      </c>
      <c r="BP822" s="4">
        <f t="shared" si="442"/>
        <v>4</v>
      </c>
      <c r="BQ822" s="4">
        <f t="shared" si="443"/>
        <v>6</v>
      </c>
      <c r="BR822" s="4">
        <f t="shared" si="444"/>
        <v>4</v>
      </c>
      <c r="BS822" s="4">
        <f t="shared" si="445"/>
        <v>4</v>
      </c>
      <c r="BT822" s="4">
        <f t="shared" si="446"/>
        <v>4</v>
      </c>
      <c r="BU822" s="4">
        <f t="shared" si="447"/>
        <v>4</v>
      </c>
      <c r="BV822" s="4" t="str">
        <f t="shared" si="448"/>
        <v>0</v>
      </c>
      <c r="BW822" s="4">
        <f t="shared" si="449"/>
        <v>6</v>
      </c>
      <c r="BX822" s="4">
        <f t="shared" si="450"/>
        <v>0</v>
      </c>
      <c r="BY822" s="4">
        <f t="shared" si="451"/>
        <v>0</v>
      </c>
      <c r="BZ822" s="37">
        <f t="shared" si="452"/>
        <v>92</v>
      </c>
      <c r="CA822" s="32" t="str">
        <f>VLOOKUP(J:J,'Agent wise'!A:C,3,0)</f>
        <v>Adharsh</v>
      </c>
      <c r="CB822" s="32">
        <f t="shared" si="453"/>
        <v>45945</v>
      </c>
      <c r="CC822" t="str">
        <f t="shared" si="454"/>
        <v>Good</v>
      </c>
      <c r="CE822" s="32"/>
      <c r="CJ822">
        <f t="shared" si="455"/>
        <v>15</v>
      </c>
      <c r="CK822">
        <f t="shared" si="456"/>
        <v>10</v>
      </c>
      <c r="CL822">
        <f t="shared" si="457"/>
        <v>2025</v>
      </c>
    </row>
    <row r="823" spans="1:90" ht="15" customHeight="1" x14ac:dyDescent="0.35">
      <c r="A823" t="s">
        <v>2021</v>
      </c>
      <c r="B823" t="s">
        <v>100</v>
      </c>
      <c r="C823" t="s">
        <v>214</v>
      </c>
      <c r="D823" t="s">
        <v>101</v>
      </c>
      <c r="E823" s="32">
        <v>45945</v>
      </c>
      <c r="F823" t="s">
        <v>54</v>
      </c>
      <c r="G823" t="s">
        <v>1749</v>
      </c>
      <c r="H823">
        <v>9895010911</v>
      </c>
      <c r="I823">
        <v>155</v>
      </c>
      <c r="J823" t="s">
        <v>646</v>
      </c>
      <c r="K823" t="s">
        <v>57</v>
      </c>
      <c r="L823" t="s">
        <v>58</v>
      </c>
      <c r="M823" t="s">
        <v>59</v>
      </c>
      <c r="N823" t="s">
        <v>59</v>
      </c>
      <c r="O823" t="s">
        <v>60</v>
      </c>
      <c r="P823" t="s">
        <v>60</v>
      </c>
      <c r="Q823" t="s">
        <v>59</v>
      </c>
      <c r="R823" t="s">
        <v>59</v>
      </c>
      <c r="S823" t="s">
        <v>59</v>
      </c>
      <c r="T823" t="s">
        <v>59</v>
      </c>
      <c r="U823" t="s">
        <v>59</v>
      </c>
      <c r="V823" t="s">
        <v>59</v>
      </c>
      <c r="W823" t="s">
        <v>59</v>
      </c>
      <c r="X823" t="s">
        <v>61</v>
      </c>
      <c r="Y823" t="s">
        <v>59</v>
      </c>
      <c r="Z823" t="s">
        <v>59</v>
      </c>
      <c r="AA823" t="s">
        <v>60</v>
      </c>
      <c r="AB823" t="s">
        <v>59</v>
      </c>
      <c r="AC823" t="s">
        <v>61</v>
      </c>
      <c r="AD823" t="s">
        <v>61</v>
      </c>
      <c r="AE823" t="s">
        <v>59</v>
      </c>
      <c r="AF823" t="s">
        <v>61</v>
      </c>
      <c r="AG823" t="s">
        <v>59</v>
      </c>
      <c r="AH823" t="s">
        <v>61</v>
      </c>
      <c r="AI823" t="s">
        <v>61</v>
      </c>
      <c r="AJ823" t="s">
        <v>59</v>
      </c>
      <c r="AK823" t="s">
        <v>61</v>
      </c>
      <c r="AL823" t="s">
        <v>60</v>
      </c>
      <c r="AM823" t="s">
        <v>60</v>
      </c>
      <c r="AN823" t="s">
        <v>60</v>
      </c>
      <c r="AO823" t="s">
        <v>60</v>
      </c>
      <c r="AP823" t="s">
        <v>2022</v>
      </c>
      <c r="AQ823" s="1" t="s">
        <v>2023</v>
      </c>
      <c r="AR823" t="s">
        <v>64</v>
      </c>
      <c r="AS823" t="s">
        <v>171</v>
      </c>
      <c r="AT823" t="s">
        <v>190</v>
      </c>
      <c r="AU823" t="s">
        <v>299</v>
      </c>
      <c r="AW823" s="4">
        <f t="shared" si="423"/>
        <v>6</v>
      </c>
      <c r="AX823" s="4">
        <f t="shared" si="424"/>
        <v>4</v>
      </c>
      <c r="AY823" s="4" t="str">
        <f t="shared" si="425"/>
        <v>0</v>
      </c>
      <c r="AZ823" s="4" t="str">
        <f t="shared" si="426"/>
        <v>0</v>
      </c>
      <c r="BA823" s="4">
        <f t="shared" si="427"/>
        <v>4</v>
      </c>
      <c r="BB823" s="4">
        <f t="shared" si="428"/>
        <v>4</v>
      </c>
      <c r="BC823" s="4">
        <f t="shared" si="429"/>
        <v>4</v>
      </c>
      <c r="BD823" s="4">
        <f t="shared" si="430"/>
        <v>2</v>
      </c>
      <c r="BE823" s="4">
        <f t="shared" si="431"/>
        <v>4</v>
      </c>
      <c r="BF823" s="4">
        <f t="shared" si="432"/>
        <v>2</v>
      </c>
      <c r="BG823" s="4">
        <f t="shared" si="433"/>
        <v>4</v>
      </c>
      <c r="BH823" s="4">
        <f t="shared" si="434"/>
        <v>4</v>
      </c>
      <c r="BI823" s="4">
        <f t="shared" si="435"/>
        <v>4</v>
      </c>
      <c r="BJ823" s="4">
        <f t="shared" si="436"/>
        <v>2</v>
      </c>
      <c r="BK823" s="4" t="str">
        <f t="shared" si="437"/>
        <v>0</v>
      </c>
      <c r="BL823" s="4">
        <f t="shared" si="438"/>
        <v>2</v>
      </c>
      <c r="BM823" s="4">
        <f t="shared" si="439"/>
        <v>4</v>
      </c>
      <c r="BN823" s="4">
        <f t="shared" si="440"/>
        <v>4</v>
      </c>
      <c r="BO823" s="4">
        <f t="shared" si="441"/>
        <v>4</v>
      </c>
      <c r="BP823" s="4">
        <f t="shared" si="442"/>
        <v>4</v>
      </c>
      <c r="BQ823" s="4">
        <f t="shared" si="443"/>
        <v>6</v>
      </c>
      <c r="BR823" s="4">
        <f t="shared" si="444"/>
        <v>4</v>
      </c>
      <c r="BS823" s="4">
        <f t="shared" si="445"/>
        <v>4</v>
      </c>
      <c r="BT823" s="4">
        <f t="shared" si="446"/>
        <v>4</v>
      </c>
      <c r="BU823" s="4">
        <f t="shared" si="447"/>
        <v>4</v>
      </c>
      <c r="BV823" s="4" t="str">
        <f t="shared" si="448"/>
        <v>0</v>
      </c>
      <c r="BW823" s="4" t="str">
        <f t="shared" si="449"/>
        <v>0</v>
      </c>
      <c r="BX823" s="4" t="str">
        <f t="shared" si="450"/>
        <v>0</v>
      </c>
      <c r="BY823" s="4" t="str">
        <f t="shared" si="451"/>
        <v>0</v>
      </c>
      <c r="BZ823" s="37">
        <f t="shared" si="452"/>
        <v>84</v>
      </c>
      <c r="CA823" s="32" t="str">
        <f>VLOOKUP(J:J,'Agent wise'!A:C,3,0)</f>
        <v xml:space="preserve">Shiny </v>
      </c>
      <c r="CB823" s="32">
        <f t="shared" si="453"/>
        <v>45945</v>
      </c>
      <c r="CC823" t="str">
        <f t="shared" si="454"/>
        <v>FC</v>
      </c>
      <c r="CE823" s="32"/>
      <c r="CJ823">
        <f t="shared" si="455"/>
        <v>15</v>
      </c>
      <c r="CK823">
        <f t="shared" si="456"/>
        <v>10</v>
      </c>
      <c r="CL823">
        <f t="shared" si="457"/>
        <v>2025</v>
      </c>
    </row>
    <row r="824" spans="1:90" ht="15" customHeight="1" x14ac:dyDescent="0.35">
      <c r="A824" t="s">
        <v>2024</v>
      </c>
      <c r="B824" t="s">
        <v>100</v>
      </c>
      <c r="C824" t="s">
        <v>214</v>
      </c>
      <c r="D824" t="s">
        <v>101</v>
      </c>
      <c r="E824" s="32">
        <v>45945</v>
      </c>
      <c r="F824" t="s">
        <v>54</v>
      </c>
      <c r="G824" t="s">
        <v>1749</v>
      </c>
      <c r="H824">
        <v>9894841875</v>
      </c>
      <c r="I824">
        <v>147</v>
      </c>
      <c r="J824" t="s">
        <v>657</v>
      </c>
      <c r="K824" t="s">
        <v>71</v>
      </c>
      <c r="L824" t="s">
        <v>72</v>
      </c>
      <c r="M824" t="s">
        <v>59</v>
      </c>
      <c r="N824" t="s">
        <v>59</v>
      </c>
      <c r="O824" t="s">
        <v>59</v>
      </c>
      <c r="P824" t="s">
        <v>59</v>
      </c>
      <c r="Q824" t="s">
        <v>61</v>
      </c>
      <c r="R824" t="s">
        <v>59</v>
      </c>
      <c r="S824" t="s">
        <v>59</v>
      </c>
      <c r="T824" t="s">
        <v>59</v>
      </c>
      <c r="U824" t="s">
        <v>59</v>
      </c>
      <c r="V824" t="s">
        <v>59</v>
      </c>
      <c r="W824" t="s">
        <v>59</v>
      </c>
      <c r="X824" t="s">
        <v>61</v>
      </c>
      <c r="Y824" t="s">
        <v>59</v>
      </c>
      <c r="Z824" t="s">
        <v>59</v>
      </c>
      <c r="AA824" t="s">
        <v>60</v>
      </c>
      <c r="AB824" t="s">
        <v>61</v>
      </c>
      <c r="AC824" t="s">
        <v>61</v>
      </c>
      <c r="AD824" t="s">
        <v>61</v>
      </c>
      <c r="AE824" t="s">
        <v>59</v>
      </c>
      <c r="AF824" t="s">
        <v>61</v>
      </c>
      <c r="AG824" t="s">
        <v>60</v>
      </c>
      <c r="AH824" t="s">
        <v>61</v>
      </c>
      <c r="AI824" t="s">
        <v>61</v>
      </c>
      <c r="AJ824" t="s">
        <v>61</v>
      </c>
      <c r="AK824" t="s">
        <v>61</v>
      </c>
      <c r="AL824" t="s">
        <v>60</v>
      </c>
      <c r="AM824" t="s">
        <v>59</v>
      </c>
      <c r="AN824" t="s">
        <v>59</v>
      </c>
      <c r="AO824" t="s">
        <v>60</v>
      </c>
      <c r="AP824" t="s">
        <v>1776</v>
      </c>
      <c r="AQ824" s="1" t="s">
        <v>2025</v>
      </c>
      <c r="AR824" t="s">
        <v>64</v>
      </c>
      <c r="AS824" t="s">
        <v>135</v>
      </c>
      <c r="AT824" t="s">
        <v>1251</v>
      </c>
      <c r="AU824" t="s">
        <v>299</v>
      </c>
      <c r="AW824" s="4">
        <f t="shared" si="423"/>
        <v>6</v>
      </c>
      <c r="AX824" s="4">
        <f t="shared" si="424"/>
        <v>4</v>
      </c>
      <c r="AY824" s="4">
        <f t="shared" si="425"/>
        <v>4</v>
      </c>
      <c r="AZ824" s="4">
        <f t="shared" si="426"/>
        <v>2</v>
      </c>
      <c r="BA824" s="4">
        <f t="shared" si="427"/>
        <v>4</v>
      </c>
      <c r="BB824" s="4">
        <f t="shared" si="428"/>
        <v>4</v>
      </c>
      <c r="BC824" s="4">
        <f t="shared" si="429"/>
        <v>4</v>
      </c>
      <c r="BD824" s="4">
        <f t="shared" si="430"/>
        <v>2</v>
      </c>
      <c r="BE824" s="4">
        <f t="shared" si="431"/>
        <v>4</v>
      </c>
      <c r="BF824" s="4">
        <f t="shared" si="432"/>
        <v>2</v>
      </c>
      <c r="BG824" s="4">
        <f t="shared" si="433"/>
        <v>4</v>
      </c>
      <c r="BH824" s="4">
        <f t="shared" si="434"/>
        <v>4</v>
      </c>
      <c r="BI824" s="4">
        <f t="shared" si="435"/>
        <v>4</v>
      </c>
      <c r="BJ824" s="4">
        <f t="shared" si="436"/>
        <v>2</v>
      </c>
      <c r="BK824" s="4" t="str">
        <f t="shared" si="437"/>
        <v>0</v>
      </c>
      <c r="BL824" s="4">
        <f t="shared" si="438"/>
        <v>2</v>
      </c>
      <c r="BM824" s="4">
        <f t="shared" si="439"/>
        <v>4</v>
      </c>
      <c r="BN824" s="4">
        <f t="shared" si="440"/>
        <v>4</v>
      </c>
      <c r="BO824" s="4">
        <f t="shared" si="441"/>
        <v>4</v>
      </c>
      <c r="BP824" s="4">
        <f t="shared" si="442"/>
        <v>4</v>
      </c>
      <c r="BQ824" s="4" t="str">
        <f t="shared" si="443"/>
        <v>0</v>
      </c>
      <c r="BR824" s="4">
        <f t="shared" si="444"/>
        <v>4</v>
      </c>
      <c r="BS824" s="4">
        <f t="shared" si="445"/>
        <v>4</v>
      </c>
      <c r="BT824" s="4">
        <f t="shared" si="446"/>
        <v>4</v>
      </c>
      <c r="BU824" s="4">
        <f t="shared" si="447"/>
        <v>4</v>
      </c>
      <c r="BV824" s="4" t="str">
        <f t="shared" si="448"/>
        <v>0</v>
      </c>
      <c r="BW824" s="4">
        <f t="shared" si="449"/>
        <v>6</v>
      </c>
      <c r="BX824" s="4">
        <f t="shared" si="450"/>
        <v>0</v>
      </c>
      <c r="BY824" s="4" t="str">
        <f t="shared" si="451"/>
        <v>0</v>
      </c>
      <c r="BZ824" s="37">
        <f t="shared" si="452"/>
        <v>90</v>
      </c>
      <c r="CA824" s="32" t="str">
        <f>VLOOKUP(J:J,'Agent wise'!A:C,3,0)</f>
        <v>Saran S</v>
      </c>
      <c r="CB824" s="32">
        <f t="shared" si="453"/>
        <v>45945</v>
      </c>
      <c r="CC824" t="str">
        <f t="shared" si="454"/>
        <v>Good</v>
      </c>
      <c r="CE824" s="32"/>
      <c r="CJ824">
        <f t="shared" si="455"/>
        <v>15</v>
      </c>
      <c r="CK824">
        <f t="shared" si="456"/>
        <v>10</v>
      </c>
      <c r="CL824">
        <f t="shared" si="457"/>
        <v>2025</v>
      </c>
    </row>
    <row r="825" spans="1:90" ht="15" customHeight="1" x14ac:dyDescent="0.35">
      <c r="A825" t="s">
        <v>2026</v>
      </c>
      <c r="B825" t="s">
        <v>100</v>
      </c>
      <c r="C825" t="s">
        <v>214</v>
      </c>
      <c r="D825" t="s">
        <v>101</v>
      </c>
      <c r="E825" s="32">
        <v>45945</v>
      </c>
      <c r="F825" t="s">
        <v>54</v>
      </c>
      <c r="G825" t="s">
        <v>1749</v>
      </c>
      <c r="H825">
        <v>6238087007</v>
      </c>
      <c r="I825">
        <v>133</v>
      </c>
      <c r="J825" t="s">
        <v>660</v>
      </c>
      <c r="K825" t="s">
        <v>57</v>
      </c>
      <c r="L825" t="s">
        <v>58</v>
      </c>
      <c r="M825" t="s">
        <v>59</v>
      </c>
      <c r="N825" t="s">
        <v>59</v>
      </c>
      <c r="O825" t="s">
        <v>59</v>
      </c>
      <c r="P825" t="s">
        <v>61</v>
      </c>
      <c r="Q825" t="s">
        <v>61</v>
      </c>
      <c r="R825" t="s">
        <v>60</v>
      </c>
      <c r="S825" t="s">
        <v>59</v>
      </c>
      <c r="T825" t="s">
        <v>59</v>
      </c>
      <c r="U825" t="s">
        <v>60</v>
      </c>
      <c r="V825" t="s">
        <v>59</v>
      </c>
      <c r="W825" t="s">
        <v>59</v>
      </c>
      <c r="X825" t="s">
        <v>61</v>
      </c>
      <c r="Y825" t="s">
        <v>59</v>
      </c>
      <c r="Z825" t="s">
        <v>59</v>
      </c>
      <c r="AA825" t="s">
        <v>60</v>
      </c>
      <c r="AB825" t="s">
        <v>60</v>
      </c>
      <c r="AC825" t="s">
        <v>61</v>
      </c>
      <c r="AD825" t="s">
        <v>61</v>
      </c>
      <c r="AE825" t="s">
        <v>59</v>
      </c>
      <c r="AF825" t="s">
        <v>61</v>
      </c>
      <c r="AG825" t="s">
        <v>60</v>
      </c>
      <c r="AH825" t="s">
        <v>61</v>
      </c>
      <c r="AI825" t="s">
        <v>61</v>
      </c>
      <c r="AJ825" t="s">
        <v>61</v>
      </c>
      <c r="AK825" t="s">
        <v>61</v>
      </c>
      <c r="AL825" t="s">
        <v>60</v>
      </c>
      <c r="AM825" t="s">
        <v>59</v>
      </c>
      <c r="AN825" t="s">
        <v>59</v>
      </c>
      <c r="AO825" t="s">
        <v>60</v>
      </c>
      <c r="AP825" t="s">
        <v>1776</v>
      </c>
      <c r="AQ825" s="1" t="s">
        <v>2027</v>
      </c>
      <c r="AR825" t="s">
        <v>64</v>
      </c>
      <c r="AS825" t="s">
        <v>845</v>
      </c>
      <c r="AT825" t="s">
        <v>1619</v>
      </c>
      <c r="AU825" t="s">
        <v>299</v>
      </c>
      <c r="AW825" s="4">
        <f t="shared" si="423"/>
        <v>6</v>
      </c>
      <c r="AX825" s="4">
        <f t="shared" si="424"/>
        <v>4</v>
      </c>
      <c r="AY825" s="4">
        <f t="shared" si="425"/>
        <v>4</v>
      </c>
      <c r="AZ825" s="4">
        <f t="shared" si="426"/>
        <v>2</v>
      </c>
      <c r="BA825" s="4">
        <f t="shared" si="427"/>
        <v>4</v>
      </c>
      <c r="BB825" s="4" t="str">
        <f t="shared" si="428"/>
        <v>0</v>
      </c>
      <c r="BC825" s="4">
        <f t="shared" si="429"/>
        <v>4</v>
      </c>
      <c r="BD825" s="4">
        <f t="shared" si="430"/>
        <v>2</v>
      </c>
      <c r="BE825" s="4" t="str">
        <f t="shared" si="431"/>
        <v>0</v>
      </c>
      <c r="BF825" s="4">
        <f t="shared" si="432"/>
        <v>2</v>
      </c>
      <c r="BG825" s="4">
        <f t="shared" si="433"/>
        <v>4</v>
      </c>
      <c r="BH825" s="4">
        <f t="shared" si="434"/>
        <v>4</v>
      </c>
      <c r="BI825" s="4">
        <f t="shared" si="435"/>
        <v>4</v>
      </c>
      <c r="BJ825" s="4">
        <f t="shared" si="436"/>
        <v>2</v>
      </c>
      <c r="BK825" s="4" t="str">
        <f t="shared" si="437"/>
        <v>0</v>
      </c>
      <c r="BL825" s="4" t="str">
        <f t="shared" si="438"/>
        <v>0</v>
      </c>
      <c r="BM825" s="4">
        <f t="shared" si="439"/>
        <v>4</v>
      </c>
      <c r="BN825" s="4">
        <f t="shared" si="440"/>
        <v>4</v>
      </c>
      <c r="BO825" s="4">
        <f t="shared" si="441"/>
        <v>4</v>
      </c>
      <c r="BP825" s="4">
        <f t="shared" si="442"/>
        <v>4</v>
      </c>
      <c r="BQ825" s="4" t="str">
        <f t="shared" si="443"/>
        <v>0</v>
      </c>
      <c r="BR825" s="4">
        <f t="shared" si="444"/>
        <v>4</v>
      </c>
      <c r="BS825" s="4">
        <f t="shared" si="445"/>
        <v>4</v>
      </c>
      <c r="BT825" s="4">
        <f t="shared" si="446"/>
        <v>4</v>
      </c>
      <c r="BU825" s="4">
        <f t="shared" si="447"/>
        <v>4</v>
      </c>
      <c r="BV825" s="4" t="str">
        <f t="shared" si="448"/>
        <v>0</v>
      </c>
      <c r="BW825" s="4">
        <f t="shared" si="449"/>
        <v>6</v>
      </c>
      <c r="BX825" s="4">
        <f t="shared" si="450"/>
        <v>0</v>
      </c>
      <c r="BY825" s="4" t="str">
        <f t="shared" si="451"/>
        <v>0</v>
      </c>
      <c r="BZ825" s="37">
        <f t="shared" si="452"/>
        <v>80</v>
      </c>
      <c r="CA825" s="32" t="str">
        <f>VLOOKUP(J:J,'Agent wise'!A:C,3,0)</f>
        <v>Adharsh</v>
      </c>
      <c r="CB825" s="32">
        <f t="shared" si="453"/>
        <v>45945</v>
      </c>
      <c r="CC825" t="str">
        <f t="shared" si="454"/>
        <v>FC</v>
      </c>
      <c r="CE825" s="32"/>
      <c r="CJ825">
        <f t="shared" si="455"/>
        <v>15</v>
      </c>
      <c r="CK825">
        <f t="shared" si="456"/>
        <v>10</v>
      </c>
      <c r="CL825">
        <f t="shared" si="457"/>
        <v>2025</v>
      </c>
    </row>
    <row r="826" spans="1:90" ht="15" customHeight="1" x14ac:dyDescent="0.35">
      <c r="A826" t="s">
        <v>2028</v>
      </c>
      <c r="B826" t="s">
        <v>100</v>
      </c>
      <c r="C826" t="s">
        <v>214</v>
      </c>
      <c r="D826" t="s">
        <v>101</v>
      </c>
      <c r="E826" s="32">
        <v>45945</v>
      </c>
      <c r="F826" t="s">
        <v>54</v>
      </c>
      <c r="G826" t="s">
        <v>1749</v>
      </c>
      <c r="H826">
        <v>9626591433</v>
      </c>
      <c r="I826">
        <v>147</v>
      </c>
      <c r="J826" t="s">
        <v>80</v>
      </c>
      <c r="K826" t="s">
        <v>71</v>
      </c>
      <c r="L826" t="s">
        <v>72</v>
      </c>
      <c r="M826" t="s">
        <v>59</v>
      </c>
      <c r="N826" t="s">
        <v>59</v>
      </c>
      <c r="O826" t="s">
        <v>59</v>
      </c>
      <c r="P826" t="s">
        <v>59</v>
      </c>
      <c r="Q826" t="s">
        <v>59</v>
      </c>
      <c r="R826" t="s">
        <v>59</v>
      </c>
      <c r="S826" t="s">
        <v>59</v>
      </c>
      <c r="T826" t="s">
        <v>59</v>
      </c>
      <c r="U826" t="s">
        <v>59</v>
      </c>
      <c r="V826" t="s">
        <v>59</v>
      </c>
      <c r="W826" t="s">
        <v>59</v>
      </c>
      <c r="X826" t="s">
        <v>61</v>
      </c>
      <c r="Y826" t="s">
        <v>59</v>
      </c>
      <c r="Z826" t="s">
        <v>59</v>
      </c>
      <c r="AA826" t="s">
        <v>60</v>
      </c>
      <c r="AB826" t="s">
        <v>61</v>
      </c>
      <c r="AC826" t="s">
        <v>61</v>
      </c>
      <c r="AD826" t="s">
        <v>61</v>
      </c>
      <c r="AE826" t="s">
        <v>59</v>
      </c>
      <c r="AF826" t="s">
        <v>61</v>
      </c>
      <c r="AG826" t="s">
        <v>60</v>
      </c>
      <c r="AH826" t="s">
        <v>61</v>
      </c>
      <c r="AI826" t="s">
        <v>61</v>
      </c>
      <c r="AJ826" t="s">
        <v>61</v>
      </c>
      <c r="AK826" t="s">
        <v>61</v>
      </c>
      <c r="AL826" t="s">
        <v>60</v>
      </c>
      <c r="AM826" t="s">
        <v>59</v>
      </c>
      <c r="AN826" t="s">
        <v>59</v>
      </c>
      <c r="AO826" t="s">
        <v>59</v>
      </c>
      <c r="AP826" t="s">
        <v>188</v>
      </c>
      <c r="AQ826" s="1" t="s">
        <v>2029</v>
      </c>
      <c r="AR826" t="s">
        <v>64</v>
      </c>
      <c r="AS826" t="s">
        <v>352</v>
      </c>
      <c r="AT826" t="s">
        <v>352</v>
      </c>
      <c r="AU826" t="s">
        <v>299</v>
      </c>
      <c r="AW826" s="4">
        <f t="shared" si="423"/>
        <v>6</v>
      </c>
      <c r="AX826" s="4">
        <f t="shared" si="424"/>
        <v>4</v>
      </c>
      <c r="AY826" s="4">
        <f t="shared" si="425"/>
        <v>4</v>
      </c>
      <c r="AZ826" s="4">
        <f t="shared" si="426"/>
        <v>2</v>
      </c>
      <c r="BA826" s="4">
        <f t="shared" si="427"/>
        <v>4</v>
      </c>
      <c r="BB826" s="4">
        <f t="shared" si="428"/>
        <v>4</v>
      </c>
      <c r="BC826" s="4">
        <f t="shared" si="429"/>
        <v>4</v>
      </c>
      <c r="BD826" s="4">
        <f t="shared" si="430"/>
        <v>2</v>
      </c>
      <c r="BE826" s="4">
        <f t="shared" si="431"/>
        <v>4</v>
      </c>
      <c r="BF826" s="4">
        <f t="shared" si="432"/>
        <v>2</v>
      </c>
      <c r="BG826" s="4">
        <f t="shared" si="433"/>
        <v>4</v>
      </c>
      <c r="BH826" s="4">
        <f t="shared" si="434"/>
        <v>4</v>
      </c>
      <c r="BI826" s="4">
        <f t="shared" si="435"/>
        <v>4</v>
      </c>
      <c r="BJ826" s="4">
        <f t="shared" si="436"/>
        <v>2</v>
      </c>
      <c r="BK826" s="4" t="str">
        <f t="shared" si="437"/>
        <v>0</v>
      </c>
      <c r="BL826" s="4">
        <f t="shared" si="438"/>
        <v>2</v>
      </c>
      <c r="BM826" s="4">
        <f t="shared" si="439"/>
        <v>4</v>
      </c>
      <c r="BN826" s="4">
        <f t="shared" si="440"/>
        <v>4</v>
      </c>
      <c r="BO826" s="4">
        <f t="shared" si="441"/>
        <v>4</v>
      </c>
      <c r="BP826" s="4">
        <f t="shared" si="442"/>
        <v>4</v>
      </c>
      <c r="BQ826" s="4" t="str">
        <f t="shared" si="443"/>
        <v>0</v>
      </c>
      <c r="BR826" s="4">
        <f t="shared" si="444"/>
        <v>4</v>
      </c>
      <c r="BS826" s="4">
        <f t="shared" si="445"/>
        <v>4</v>
      </c>
      <c r="BT826" s="4">
        <f t="shared" si="446"/>
        <v>4</v>
      </c>
      <c r="BU826" s="4">
        <f t="shared" si="447"/>
        <v>4</v>
      </c>
      <c r="BV826" s="4" t="str">
        <f t="shared" si="448"/>
        <v>0</v>
      </c>
      <c r="BW826" s="4">
        <f t="shared" si="449"/>
        <v>6</v>
      </c>
      <c r="BX826" s="4">
        <f t="shared" si="450"/>
        <v>0</v>
      </c>
      <c r="BY826" s="4">
        <f t="shared" si="451"/>
        <v>0</v>
      </c>
      <c r="BZ826" s="37">
        <f t="shared" si="452"/>
        <v>90</v>
      </c>
      <c r="CA826" s="32" t="str">
        <f>VLOOKUP(J:J,'Agent wise'!A:C,3,0)</f>
        <v>Saran S</v>
      </c>
      <c r="CB826" s="32">
        <f t="shared" si="453"/>
        <v>45945</v>
      </c>
      <c r="CC826" t="str">
        <f t="shared" si="454"/>
        <v>Good</v>
      </c>
      <c r="CE826" s="32"/>
      <c r="CJ826">
        <f t="shared" si="455"/>
        <v>15</v>
      </c>
      <c r="CK826">
        <f t="shared" si="456"/>
        <v>10</v>
      </c>
      <c r="CL826">
        <f t="shared" si="457"/>
        <v>2025</v>
      </c>
    </row>
    <row r="827" spans="1:90" ht="15" customHeight="1" x14ac:dyDescent="0.35">
      <c r="A827" t="s">
        <v>2030</v>
      </c>
      <c r="B827" t="s">
        <v>250</v>
      </c>
      <c r="C827" t="s">
        <v>214</v>
      </c>
      <c r="D827" t="s">
        <v>251</v>
      </c>
      <c r="E827" s="32">
        <v>45945</v>
      </c>
      <c r="F827" t="s">
        <v>54</v>
      </c>
      <c r="G827" t="s">
        <v>1749</v>
      </c>
      <c r="H827">
        <v>9497182970</v>
      </c>
      <c r="I827">
        <v>199</v>
      </c>
      <c r="J827" t="s">
        <v>586</v>
      </c>
      <c r="K827" t="s">
        <v>57</v>
      </c>
      <c r="L827" t="s">
        <v>58</v>
      </c>
      <c r="M827" t="s">
        <v>59</v>
      </c>
      <c r="N827" t="s">
        <v>59</v>
      </c>
      <c r="O827" t="s">
        <v>59</v>
      </c>
      <c r="P827" t="s">
        <v>59</v>
      </c>
      <c r="Q827" t="s">
        <v>59</v>
      </c>
      <c r="R827" t="s">
        <v>59</v>
      </c>
      <c r="S827" t="s">
        <v>59</v>
      </c>
      <c r="T827" t="s">
        <v>59</v>
      </c>
      <c r="U827" t="s">
        <v>60</v>
      </c>
      <c r="V827" t="s">
        <v>59</v>
      </c>
      <c r="W827" t="s">
        <v>59</v>
      </c>
      <c r="X827" t="s">
        <v>59</v>
      </c>
      <c r="Y827" t="s">
        <v>59</v>
      </c>
      <c r="Z827" t="s">
        <v>59</v>
      </c>
      <c r="AA827" t="s">
        <v>59</v>
      </c>
      <c r="AB827" t="s">
        <v>59</v>
      </c>
      <c r="AC827" t="s">
        <v>59</v>
      </c>
      <c r="AD827" t="s">
        <v>59</v>
      </c>
      <c r="AE827" t="s">
        <v>59</v>
      </c>
      <c r="AF827" t="s">
        <v>59</v>
      </c>
      <c r="AG827" t="s">
        <v>59</v>
      </c>
      <c r="AH827" t="s">
        <v>61</v>
      </c>
      <c r="AI827" t="s">
        <v>59</v>
      </c>
      <c r="AJ827" t="s">
        <v>59</v>
      </c>
      <c r="AK827" t="s">
        <v>59</v>
      </c>
      <c r="AL827" t="s">
        <v>60</v>
      </c>
      <c r="AM827" t="s">
        <v>59</v>
      </c>
      <c r="AN827" t="s">
        <v>59</v>
      </c>
      <c r="AO827" t="s">
        <v>59</v>
      </c>
      <c r="AP827" t="s">
        <v>2031</v>
      </c>
      <c r="AQ827" t="s">
        <v>2032</v>
      </c>
      <c r="AR827" t="s">
        <v>64</v>
      </c>
      <c r="AS827" t="s">
        <v>771</v>
      </c>
      <c r="AT827" t="s">
        <v>772</v>
      </c>
      <c r="AU827" t="s">
        <v>219</v>
      </c>
      <c r="AW827" s="4">
        <f t="shared" si="423"/>
        <v>6</v>
      </c>
      <c r="AX827" s="4">
        <f t="shared" si="424"/>
        <v>4</v>
      </c>
      <c r="AY827" s="4">
        <f t="shared" si="425"/>
        <v>4</v>
      </c>
      <c r="AZ827" s="4">
        <f t="shared" si="426"/>
        <v>2</v>
      </c>
      <c r="BA827" s="4">
        <f t="shared" si="427"/>
        <v>4</v>
      </c>
      <c r="BB827" s="4">
        <f t="shared" si="428"/>
        <v>4</v>
      </c>
      <c r="BC827" s="4">
        <f t="shared" si="429"/>
        <v>4</v>
      </c>
      <c r="BD827" s="4">
        <f t="shared" si="430"/>
        <v>2</v>
      </c>
      <c r="BE827" s="4" t="str">
        <f t="shared" si="431"/>
        <v>0</v>
      </c>
      <c r="BF827" s="4">
        <f t="shared" si="432"/>
        <v>2</v>
      </c>
      <c r="BG827" s="4">
        <f t="shared" si="433"/>
        <v>4</v>
      </c>
      <c r="BH827" s="4">
        <f t="shared" si="434"/>
        <v>4</v>
      </c>
      <c r="BI827" s="4">
        <f t="shared" si="435"/>
        <v>4</v>
      </c>
      <c r="BJ827" s="4">
        <f t="shared" si="436"/>
        <v>2</v>
      </c>
      <c r="BK827" s="4">
        <f t="shared" si="437"/>
        <v>4</v>
      </c>
      <c r="BL827" s="4">
        <f t="shared" si="438"/>
        <v>2</v>
      </c>
      <c r="BM827" s="4">
        <f t="shared" si="439"/>
        <v>4</v>
      </c>
      <c r="BN827" s="4">
        <f t="shared" si="440"/>
        <v>4</v>
      </c>
      <c r="BO827" s="4">
        <f t="shared" si="441"/>
        <v>4</v>
      </c>
      <c r="BP827" s="4">
        <f t="shared" si="442"/>
        <v>4</v>
      </c>
      <c r="BQ827" s="4">
        <f t="shared" si="443"/>
        <v>6</v>
      </c>
      <c r="BR827" s="4">
        <f t="shared" si="444"/>
        <v>4</v>
      </c>
      <c r="BS827" s="4">
        <f t="shared" si="445"/>
        <v>4</v>
      </c>
      <c r="BT827" s="4">
        <f t="shared" si="446"/>
        <v>4</v>
      </c>
      <c r="BU827" s="4">
        <f t="shared" si="447"/>
        <v>4</v>
      </c>
      <c r="BV827" s="4" t="str">
        <f t="shared" si="448"/>
        <v>0</v>
      </c>
      <c r="BW827" s="4">
        <f t="shared" si="449"/>
        <v>6</v>
      </c>
      <c r="BX827" s="4">
        <f t="shared" si="450"/>
        <v>0</v>
      </c>
      <c r="BY827" s="4">
        <f t="shared" si="451"/>
        <v>0</v>
      </c>
      <c r="BZ827" s="37">
        <f t="shared" si="452"/>
        <v>96</v>
      </c>
      <c r="CA827" s="32" t="str">
        <f>VLOOKUP(J:J,'Agent wise'!A:C,3,0)</f>
        <v>Shakeer</v>
      </c>
      <c r="CB827" s="32">
        <f t="shared" si="453"/>
        <v>45945</v>
      </c>
      <c r="CC827" t="str">
        <f t="shared" si="454"/>
        <v>Excellent</v>
      </c>
      <c r="CE827" s="32"/>
      <c r="CJ827">
        <f t="shared" si="455"/>
        <v>15</v>
      </c>
      <c r="CK827">
        <f t="shared" si="456"/>
        <v>10</v>
      </c>
      <c r="CL827">
        <f t="shared" si="457"/>
        <v>2025</v>
      </c>
    </row>
    <row r="828" spans="1:90" ht="15" customHeight="1" x14ac:dyDescent="0.35">
      <c r="A828" t="s">
        <v>2033</v>
      </c>
      <c r="B828" t="s">
        <v>100</v>
      </c>
      <c r="C828" t="s">
        <v>214</v>
      </c>
      <c r="D828" t="s">
        <v>101</v>
      </c>
      <c r="E828" s="32">
        <v>45945</v>
      </c>
      <c r="F828" t="s">
        <v>222</v>
      </c>
      <c r="G828" t="s">
        <v>1749</v>
      </c>
      <c r="H828">
        <v>7708603717</v>
      </c>
      <c r="I828">
        <v>145</v>
      </c>
      <c r="J828" t="s">
        <v>353</v>
      </c>
      <c r="K828" t="s">
        <v>71</v>
      </c>
      <c r="L828" t="s">
        <v>72</v>
      </c>
      <c r="M828" t="s">
        <v>59</v>
      </c>
      <c r="N828" t="s">
        <v>59</v>
      </c>
      <c r="O828" t="s">
        <v>59</v>
      </c>
      <c r="P828" t="s">
        <v>59</v>
      </c>
      <c r="Q828" t="s">
        <v>59</v>
      </c>
      <c r="R828" t="s">
        <v>60</v>
      </c>
      <c r="S828" t="s">
        <v>59</v>
      </c>
      <c r="T828" t="s">
        <v>59</v>
      </c>
      <c r="U828" t="s">
        <v>59</v>
      </c>
      <c r="V828" t="s">
        <v>59</v>
      </c>
      <c r="W828" t="s">
        <v>59</v>
      </c>
      <c r="X828" t="s">
        <v>61</v>
      </c>
      <c r="Y828" t="s">
        <v>59</v>
      </c>
      <c r="Z828" t="s">
        <v>59</v>
      </c>
      <c r="AA828" t="s">
        <v>60</v>
      </c>
      <c r="AB828" t="s">
        <v>61</v>
      </c>
      <c r="AC828" t="s">
        <v>61</v>
      </c>
      <c r="AD828" t="s">
        <v>61</v>
      </c>
      <c r="AE828" t="s">
        <v>59</v>
      </c>
      <c r="AF828" t="s">
        <v>61</v>
      </c>
      <c r="AG828" t="s">
        <v>59</v>
      </c>
      <c r="AH828" t="s">
        <v>61</v>
      </c>
      <c r="AI828" t="s">
        <v>61</v>
      </c>
      <c r="AJ828" t="s">
        <v>61</v>
      </c>
      <c r="AK828" t="s">
        <v>61</v>
      </c>
      <c r="AL828" t="s">
        <v>60</v>
      </c>
      <c r="AM828" t="s">
        <v>59</v>
      </c>
      <c r="AN828" t="s">
        <v>59</v>
      </c>
      <c r="AO828" t="s">
        <v>59</v>
      </c>
      <c r="AP828" t="s">
        <v>188</v>
      </c>
      <c r="AQ828" s="1" t="s">
        <v>2034</v>
      </c>
      <c r="AR828" t="s">
        <v>64</v>
      </c>
      <c r="AS828" t="s">
        <v>2035</v>
      </c>
      <c r="AT828" t="s">
        <v>352</v>
      </c>
      <c r="AU828" t="s">
        <v>299</v>
      </c>
      <c r="AW828" s="4">
        <f t="shared" si="423"/>
        <v>6</v>
      </c>
      <c r="AX828" s="4">
        <f t="shared" si="424"/>
        <v>4</v>
      </c>
      <c r="AY828" s="4">
        <f t="shared" si="425"/>
        <v>4</v>
      </c>
      <c r="AZ828" s="4">
        <f t="shared" si="426"/>
        <v>2</v>
      </c>
      <c r="BA828" s="4">
        <f t="shared" si="427"/>
        <v>4</v>
      </c>
      <c r="BB828" s="4" t="str">
        <f t="shared" si="428"/>
        <v>0</v>
      </c>
      <c r="BC828" s="4">
        <f t="shared" si="429"/>
        <v>4</v>
      </c>
      <c r="BD828" s="4">
        <f t="shared" si="430"/>
        <v>2</v>
      </c>
      <c r="BE828" s="4">
        <f t="shared" si="431"/>
        <v>4</v>
      </c>
      <c r="BF828" s="4">
        <f t="shared" si="432"/>
        <v>2</v>
      </c>
      <c r="BG828" s="4">
        <f t="shared" si="433"/>
        <v>4</v>
      </c>
      <c r="BH828" s="4">
        <f t="shared" si="434"/>
        <v>4</v>
      </c>
      <c r="BI828" s="4">
        <f t="shared" si="435"/>
        <v>4</v>
      </c>
      <c r="BJ828" s="4">
        <f t="shared" si="436"/>
        <v>2</v>
      </c>
      <c r="BK828" s="4" t="str">
        <f t="shared" si="437"/>
        <v>0</v>
      </c>
      <c r="BL828" s="4">
        <f t="shared" si="438"/>
        <v>2</v>
      </c>
      <c r="BM828" s="4">
        <f t="shared" si="439"/>
        <v>4</v>
      </c>
      <c r="BN828" s="4">
        <f t="shared" si="440"/>
        <v>4</v>
      </c>
      <c r="BO828" s="4">
        <f t="shared" si="441"/>
        <v>4</v>
      </c>
      <c r="BP828" s="4">
        <f t="shared" si="442"/>
        <v>4</v>
      </c>
      <c r="BQ828" s="4">
        <f t="shared" si="443"/>
        <v>6</v>
      </c>
      <c r="BR828" s="4">
        <f t="shared" si="444"/>
        <v>4</v>
      </c>
      <c r="BS828" s="4">
        <f t="shared" si="445"/>
        <v>4</v>
      </c>
      <c r="BT828" s="4">
        <f t="shared" si="446"/>
        <v>4</v>
      </c>
      <c r="BU828" s="4">
        <f t="shared" si="447"/>
        <v>4</v>
      </c>
      <c r="BV828" s="4" t="str">
        <f t="shared" si="448"/>
        <v>0</v>
      </c>
      <c r="BW828" s="4">
        <f t="shared" si="449"/>
        <v>6</v>
      </c>
      <c r="BX828" s="4">
        <f t="shared" si="450"/>
        <v>0</v>
      </c>
      <c r="BY828" s="4">
        <f t="shared" si="451"/>
        <v>0</v>
      </c>
      <c r="BZ828" s="37">
        <f t="shared" si="452"/>
        <v>92</v>
      </c>
      <c r="CA828" s="32" t="str">
        <f>VLOOKUP(J:J,'Agent wise'!A:C,3,0)</f>
        <v>Amal</v>
      </c>
      <c r="CB828" s="32">
        <f t="shared" si="453"/>
        <v>45945</v>
      </c>
      <c r="CC828" t="str">
        <f t="shared" si="454"/>
        <v>Good</v>
      </c>
      <c r="CE828" s="32"/>
      <c r="CJ828">
        <f t="shared" si="455"/>
        <v>15</v>
      </c>
      <c r="CK828">
        <f t="shared" si="456"/>
        <v>10</v>
      </c>
      <c r="CL828">
        <f t="shared" si="457"/>
        <v>2025</v>
      </c>
    </row>
    <row r="829" spans="1:90" ht="15" customHeight="1" x14ac:dyDescent="0.35">
      <c r="A829" t="s">
        <v>2036</v>
      </c>
      <c r="B829" t="s">
        <v>250</v>
      </c>
      <c r="C829" t="s">
        <v>214</v>
      </c>
      <c r="D829" t="s">
        <v>251</v>
      </c>
      <c r="E829" s="32">
        <v>45945</v>
      </c>
      <c r="F829" t="s">
        <v>54</v>
      </c>
      <c r="G829" t="s">
        <v>1749</v>
      </c>
      <c r="H829">
        <v>7598801029</v>
      </c>
      <c r="I829">
        <v>175</v>
      </c>
      <c r="J829" t="s">
        <v>302</v>
      </c>
      <c r="K829" t="s">
        <v>71</v>
      </c>
      <c r="L829" t="s">
        <v>72</v>
      </c>
      <c r="M829" t="s">
        <v>59</v>
      </c>
      <c r="N829" t="s">
        <v>59</v>
      </c>
      <c r="O829" t="s">
        <v>59</v>
      </c>
      <c r="P829" t="s">
        <v>59</v>
      </c>
      <c r="Q829" t="s">
        <v>59</v>
      </c>
      <c r="R829" t="s">
        <v>59</v>
      </c>
      <c r="S829" t="s">
        <v>59</v>
      </c>
      <c r="T829" t="s">
        <v>59</v>
      </c>
      <c r="U829" t="s">
        <v>60</v>
      </c>
      <c r="V829" t="s">
        <v>59</v>
      </c>
      <c r="W829" t="s">
        <v>59</v>
      </c>
      <c r="X829" t="s">
        <v>59</v>
      </c>
      <c r="Y829" t="s">
        <v>59</v>
      </c>
      <c r="Z829" t="s">
        <v>59</v>
      </c>
      <c r="AA829" t="s">
        <v>59</v>
      </c>
      <c r="AB829" t="s">
        <v>59</v>
      </c>
      <c r="AC829" t="s">
        <v>60</v>
      </c>
      <c r="AD829" t="s">
        <v>59</v>
      </c>
      <c r="AE829" t="s">
        <v>59</v>
      </c>
      <c r="AF829" t="s">
        <v>59</v>
      </c>
      <c r="AG829" t="s">
        <v>59</v>
      </c>
      <c r="AH829" t="s">
        <v>61</v>
      </c>
      <c r="AI829" t="s">
        <v>61</v>
      </c>
      <c r="AJ829" t="s">
        <v>59</v>
      </c>
      <c r="AK829" t="s">
        <v>59</v>
      </c>
      <c r="AL829" t="s">
        <v>60</v>
      </c>
      <c r="AM829" t="s">
        <v>59</v>
      </c>
      <c r="AN829" t="s">
        <v>59</v>
      </c>
      <c r="AO829" t="s">
        <v>59</v>
      </c>
      <c r="AP829" t="s">
        <v>2037</v>
      </c>
      <c r="AQ829" t="s">
        <v>2038</v>
      </c>
      <c r="AR829" t="s">
        <v>64</v>
      </c>
      <c r="AS829" t="s">
        <v>255</v>
      </c>
      <c r="AT829" t="s">
        <v>305</v>
      </c>
      <c r="AU829" t="s">
        <v>219</v>
      </c>
      <c r="AW829" s="4">
        <f t="shared" si="423"/>
        <v>6</v>
      </c>
      <c r="AX829" s="4">
        <f t="shared" si="424"/>
        <v>4</v>
      </c>
      <c r="AY829" s="4">
        <f t="shared" si="425"/>
        <v>4</v>
      </c>
      <c r="AZ829" s="4">
        <f t="shared" si="426"/>
        <v>2</v>
      </c>
      <c r="BA829" s="4">
        <f t="shared" si="427"/>
        <v>4</v>
      </c>
      <c r="BB829" s="4">
        <f t="shared" si="428"/>
        <v>4</v>
      </c>
      <c r="BC829" s="4">
        <f t="shared" si="429"/>
        <v>4</v>
      </c>
      <c r="BD829" s="4">
        <f t="shared" si="430"/>
        <v>2</v>
      </c>
      <c r="BE829" s="4" t="str">
        <f t="shared" si="431"/>
        <v>0</v>
      </c>
      <c r="BF829" s="4">
        <f t="shared" si="432"/>
        <v>2</v>
      </c>
      <c r="BG829" s="4">
        <f t="shared" si="433"/>
        <v>4</v>
      </c>
      <c r="BH829" s="4">
        <f t="shared" si="434"/>
        <v>4</v>
      </c>
      <c r="BI829" s="4">
        <f t="shared" si="435"/>
        <v>4</v>
      </c>
      <c r="BJ829" s="4">
        <f t="shared" si="436"/>
        <v>2</v>
      </c>
      <c r="BK829" s="4">
        <f t="shared" si="437"/>
        <v>4</v>
      </c>
      <c r="BL829" s="4">
        <f t="shared" si="438"/>
        <v>2</v>
      </c>
      <c r="BM829" s="4" t="str">
        <f t="shared" si="439"/>
        <v>0</v>
      </c>
      <c r="BN829" s="4">
        <f t="shared" si="440"/>
        <v>4</v>
      </c>
      <c r="BO829" s="4">
        <f t="shared" si="441"/>
        <v>4</v>
      </c>
      <c r="BP829" s="4">
        <f t="shared" si="442"/>
        <v>4</v>
      </c>
      <c r="BQ829" s="4">
        <f t="shared" si="443"/>
        <v>6</v>
      </c>
      <c r="BR829" s="4">
        <f t="shared" si="444"/>
        <v>4</v>
      </c>
      <c r="BS829" s="4">
        <f t="shared" si="445"/>
        <v>4</v>
      </c>
      <c r="BT829" s="4">
        <f t="shared" si="446"/>
        <v>4</v>
      </c>
      <c r="BU829" s="4">
        <f t="shared" si="447"/>
        <v>4</v>
      </c>
      <c r="BV829" s="4" t="str">
        <f t="shared" si="448"/>
        <v>0</v>
      </c>
      <c r="BW829" s="4">
        <f t="shared" si="449"/>
        <v>6</v>
      </c>
      <c r="BX829" s="4">
        <f t="shared" si="450"/>
        <v>0</v>
      </c>
      <c r="BY829" s="4">
        <f t="shared" si="451"/>
        <v>0</v>
      </c>
      <c r="BZ829" s="37">
        <f t="shared" si="452"/>
        <v>92</v>
      </c>
      <c r="CA829" s="32" t="str">
        <f>VLOOKUP(J:J,'Agent wise'!A:C,3,0)</f>
        <v>Shakeer</v>
      </c>
      <c r="CB829" s="32">
        <f t="shared" si="453"/>
        <v>45945</v>
      </c>
      <c r="CC829" t="str">
        <f t="shared" si="454"/>
        <v>Good</v>
      </c>
      <c r="CE829" s="32"/>
      <c r="CJ829">
        <f t="shared" si="455"/>
        <v>15</v>
      </c>
      <c r="CK829">
        <f t="shared" si="456"/>
        <v>10</v>
      </c>
      <c r="CL829">
        <f t="shared" si="457"/>
        <v>2025</v>
      </c>
    </row>
    <row r="830" spans="1:90" ht="15" customHeight="1" x14ac:dyDescent="0.35">
      <c r="A830" t="s">
        <v>2039</v>
      </c>
      <c r="B830" t="s">
        <v>100</v>
      </c>
      <c r="C830" t="s">
        <v>214</v>
      </c>
      <c r="D830" t="s">
        <v>101</v>
      </c>
      <c r="E830" s="32">
        <v>45945</v>
      </c>
      <c r="F830" t="s">
        <v>222</v>
      </c>
      <c r="G830" t="s">
        <v>1749</v>
      </c>
      <c r="H830">
        <v>9498377051</v>
      </c>
      <c r="I830">
        <v>132</v>
      </c>
      <c r="J830" t="s">
        <v>439</v>
      </c>
      <c r="K830" t="s">
        <v>71</v>
      </c>
      <c r="L830" t="s">
        <v>72</v>
      </c>
      <c r="M830" t="s">
        <v>60</v>
      </c>
      <c r="N830" t="s">
        <v>59</v>
      </c>
      <c r="O830" t="s">
        <v>60</v>
      </c>
      <c r="P830" t="s">
        <v>60</v>
      </c>
      <c r="Q830" t="s">
        <v>60</v>
      </c>
      <c r="R830" t="s">
        <v>60</v>
      </c>
      <c r="S830" t="s">
        <v>59</v>
      </c>
      <c r="T830" t="s">
        <v>59</v>
      </c>
      <c r="U830" t="s">
        <v>60</v>
      </c>
      <c r="V830" t="s">
        <v>59</v>
      </c>
      <c r="W830" t="s">
        <v>59</v>
      </c>
      <c r="X830" t="s">
        <v>61</v>
      </c>
      <c r="Y830" t="s">
        <v>59</v>
      </c>
      <c r="Z830" t="s">
        <v>59</v>
      </c>
      <c r="AA830" t="s">
        <v>60</v>
      </c>
      <c r="AB830" t="s">
        <v>60</v>
      </c>
      <c r="AC830" t="s">
        <v>60</v>
      </c>
      <c r="AD830" t="s">
        <v>61</v>
      </c>
      <c r="AE830" t="s">
        <v>59</v>
      </c>
      <c r="AF830" t="s">
        <v>61</v>
      </c>
      <c r="AG830" t="s">
        <v>59</v>
      </c>
      <c r="AH830" t="s">
        <v>61</v>
      </c>
      <c r="AI830" t="s">
        <v>59</v>
      </c>
      <c r="AJ830" t="s">
        <v>61</v>
      </c>
      <c r="AK830" t="s">
        <v>61</v>
      </c>
      <c r="AL830" t="s">
        <v>60</v>
      </c>
      <c r="AM830" t="s">
        <v>59</v>
      </c>
      <c r="AN830" t="s">
        <v>59</v>
      </c>
      <c r="AO830" t="s">
        <v>59</v>
      </c>
      <c r="AP830" t="s">
        <v>2040</v>
      </c>
      <c r="AQ830" s="1" t="s">
        <v>2041</v>
      </c>
      <c r="AR830" t="s">
        <v>226</v>
      </c>
      <c r="AS830" t="s">
        <v>352</v>
      </c>
      <c r="AT830" t="s">
        <v>352</v>
      </c>
      <c r="AU830" t="s">
        <v>299</v>
      </c>
      <c r="AW830" s="4" t="str">
        <f t="shared" si="423"/>
        <v>0</v>
      </c>
      <c r="AX830" s="4">
        <f t="shared" si="424"/>
        <v>4</v>
      </c>
      <c r="AY830" s="4" t="str">
        <f t="shared" si="425"/>
        <v>0</v>
      </c>
      <c r="AZ830" s="4" t="str">
        <f t="shared" si="426"/>
        <v>0</v>
      </c>
      <c r="BA830" s="4" t="str">
        <f t="shared" si="427"/>
        <v>0</v>
      </c>
      <c r="BB830" s="4" t="str">
        <f t="shared" si="428"/>
        <v>0</v>
      </c>
      <c r="BC830" s="4">
        <f t="shared" si="429"/>
        <v>4</v>
      </c>
      <c r="BD830" s="4">
        <f t="shared" si="430"/>
        <v>2</v>
      </c>
      <c r="BE830" s="4" t="str">
        <f t="shared" si="431"/>
        <v>0</v>
      </c>
      <c r="BF830" s="4">
        <f t="shared" si="432"/>
        <v>2</v>
      </c>
      <c r="BG830" s="4">
        <f t="shared" si="433"/>
        <v>4</v>
      </c>
      <c r="BH830" s="4">
        <f t="shared" si="434"/>
        <v>4</v>
      </c>
      <c r="BI830" s="4">
        <f t="shared" si="435"/>
        <v>4</v>
      </c>
      <c r="BJ830" s="4">
        <f t="shared" si="436"/>
        <v>2</v>
      </c>
      <c r="BK830" s="4" t="str">
        <f t="shared" si="437"/>
        <v>0</v>
      </c>
      <c r="BL830" s="4" t="str">
        <f t="shared" si="438"/>
        <v>0</v>
      </c>
      <c r="BM830" s="4" t="str">
        <f t="shared" si="439"/>
        <v>0</v>
      </c>
      <c r="BN830" s="4">
        <f t="shared" si="440"/>
        <v>4</v>
      </c>
      <c r="BO830" s="4">
        <f t="shared" si="441"/>
        <v>4</v>
      </c>
      <c r="BP830" s="4">
        <f t="shared" si="442"/>
        <v>4</v>
      </c>
      <c r="BQ830" s="4">
        <f t="shared" si="443"/>
        <v>6</v>
      </c>
      <c r="BR830" s="4">
        <f t="shared" si="444"/>
        <v>4</v>
      </c>
      <c r="BS830" s="4">
        <f t="shared" si="445"/>
        <v>4</v>
      </c>
      <c r="BT830" s="4">
        <f t="shared" si="446"/>
        <v>4</v>
      </c>
      <c r="BU830" s="4">
        <f t="shared" si="447"/>
        <v>4</v>
      </c>
      <c r="BV830" s="4" t="str">
        <f t="shared" si="448"/>
        <v>0</v>
      </c>
      <c r="BW830" s="4">
        <f t="shared" si="449"/>
        <v>6</v>
      </c>
      <c r="BX830" s="4">
        <f t="shared" si="450"/>
        <v>0</v>
      </c>
      <c r="BY830" s="4">
        <f t="shared" si="451"/>
        <v>0</v>
      </c>
      <c r="BZ830" s="37">
        <f t="shared" si="452"/>
        <v>66</v>
      </c>
      <c r="CA830" s="32" t="str">
        <f>VLOOKUP(J:J,'Agent wise'!A:C,3,0)</f>
        <v>Saran S</v>
      </c>
      <c r="CB830" s="32">
        <f t="shared" si="453"/>
        <v>45945</v>
      </c>
      <c r="CC830" t="str">
        <f t="shared" si="454"/>
        <v>FC</v>
      </c>
      <c r="CE830" s="32"/>
      <c r="CJ830">
        <f t="shared" si="455"/>
        <v>15</v>
      </c>
      <c r="CK830">
        <f t="shared" si="456"/>
        <v>10</v>
      </c>
      <c r="CL830">
        <f t="shared" si="457"/>
        <v>2025</v>
      </c>
    </row>
    <row r="831" spans="1:90" ht="15" customHeight="1" x14ac:dyDescent="0.35">
      <c r="A831" t="s">
        <v>2042</v>
      </c>
      <c r="B831" t="s">
        <v>250</v>
      </c>
      <c r="C831" t="s">
        <v>214</v>
      </c>
      <c r="D831" t="s">
        <v>251</v>
      </c>
      <c r="E831" s="32">
        <v>45945</v>
      </c>
      <c r="F831" t="s">
        <v>54</v>
      </c>
      <c r="G831" t="s">
        <v>1749</v>
      </c>
      <c r="H831">
        <v>9442661077</v>
      </c>
      <c r="I831">
        <v>145</v>
      </c>
      <c r="J831" t="s">
        <v>427</v>
      </c>
      <c r="K831" t="s">
        <v>71</v>
      </c>
      <c r="L831" t="s">
        <v>72</v>
      </c>
      <c r="M831" t="s">
        <v>59</v>
      </c>
      <c r="N831" t="s">
        <v>59</v>
      </c>
      <c r="O831" t="s">
        <v>59</v>
      </c>
      <c r="P831" t="s">
        <v>59</v>
      </c>
      <c r="Q831" t="s">
        <v>59</v>
      </c>
      <c r="R831" t="s">
        <v>59</v>
      </c>
      <c r="S831" t="s">
        <v>59</v>
      </c>
      <c r="T831" t="s">
        <v>59</v>
      </c>
      <c r="U831" t="s">
        <v>60</v>
      </c>
      <c r="V831" t="s">
        <v>59</v>
      </c>
      <c r="W831" t="s">
        <v>59</v>
      </c>
      <c r="X831" t="s">
        <v>59</v>
      </c>
      <c r="Y831" t="s">
        <v>59</v>
      </c>
      <c r="Z831" t="s">
        <v>59</v>
      </c>
      <c r="AA831" t="s">
        <v>59</v>
      </c>
      <c r="AB831" t="s">
        <v>60</v>
      </c>
      <c r="AC831" t="s">
        <v>59</v>
      </c>
      <c r="AD831" t="s">
        <v>59</v>
      </c>
      <c r="AE831" t="s">
        <v>59</v>
      </c>
      <c r="AF831" t="s">
        <v>59</v>
      </c>
      <c r="AG831" t="s">
        <v>59</v>
      </c>
      <c r="AH831" t="s">
        <v>61</v>
      </c>
      <c r="AI831" t="s">
        <v>61</v>
      </c>
      <c r="AJ831" t="s">
        <v>59</v>
      </c>
      <c r="AK831" t="s">
        <v>59</v>
      </c>
      <c r="AL831" t="s">
        <v>60</v>
      </c>
      <c r="AM831" t="s">
        <v>59</v>
      </c>
      <c r="AN831" t="s">
        <v>59</v>
      </c>
      <c r="AO831" t="s">
        <v>59</v>
      </c>
      <c r="AP831" t="s">
        <v>2043</v>
      </c>
      <c r="AQ831" t="s">
        <v>2044</v>
      </c>
      <c r="AR831" t="s">
        <v>64</v>
      </c>
      <c r="AS831" t="s">
        <v>255</v>
      </c>
      <c r="AT831" t="s">
        <v>256</v>
      </c>
      <c r="AU831" t="s">
        <v>219</v>
      </c>
      <c r="AW831" s="4">
        <f t="shared" si="423"/>
        <v>6</v>
      </c>
      <c r="AX831" s="4">
        <f t="shared" si="424"/>
        <v>4</v>
      </c>
      <c r="AY831" s="4">
        <f t="shared" si="425"/>
        <v>4</v>
      </c>
      <c r="AZ831" s="4">
        <f t="shared" si="426"/>
        <v>2</v>
      </c>
      <c r="BA831" s="4">
        <f t="shared" si="427"/>
        <v>4</v>
      </c>
      <c r="BB831" s="4">
        <f t="shared" si="428"/>
        <v>4</v>
      </c>
      <c r="BC831" s="4">
        <f t="shared" si="429"/>
        <v>4</v>
      </c>
      <c r="BD831" s="4">
        <f t="shared" si="430"/>
        <v>2</v>
      </c>
      <c r="BE831" s="4" t="str">
        <f t="shared" si="431"/>
        <v>0</v>
      </c>
      <c r="BF831" s="4">
        <f t="shared" si="432"/>
        <v>2</v>
      </c>
      <c r="BG831" s="4">
        <f t="shared" si="433"/>
        <v>4</v>
      </c>
      <c r="BH831" s="4">
        <f t="shared" si="434"/>
        <v>4</v>
      </c>
      <c r="BI831" s="4">
        <f t="shared" si="435"/>
        <v>4</v>
      </c>
      <c r="BJ831" s="4">
        <f t="shared" si="436"/>
        <v>2</v>
      </c>
      <c r="BK831" s="4">
        <f t="shared" si="437"/>
        <v>4</v>
      </c>
      <c r="BL831" s="4" t="str">
        <f t="shared" si="438"/>
        <v>0</v>
      </c>
      <c r="BM831" s="4">
        <f t="shared" si="439"/>
        <v>4</v>
      </c>
      <c r="BN831" s="4">
        <f t="shared" si="440"/>
        <v>4</v>
      </c>
      <c r="BO831" s="4">
        <f t="shared" si="441"/>
        <v>4</v>
      </c>
      <c r="BP831" s="4">
        <f t="shared" si="442"/>
        <v>4</v>
      </c>
      <c r="BQ831" s="4">
        <f t="shared" si="443"/>
        <v>6</v>
      </c>
      <c r="BR831" s="4">
        <f t="shared" si="444"/>
        <v>4</v>
      </c>
      <c r="BS831" s="4">
        <f t="shared" si="445"/>
        <v>4</v>
      </c>
      <c r="BT831" s="4">
        <f t="shared" si="446"/>
        <v>4</v>
      </c>
      <c r="BU831" s="4">
        <f t="shared" si="447"/>
        <v>4</v>
      </c>
      <c r="BV831" s="4" t="str">
        <f t="shared" si="448"/>
        <v>0</v>
      </c>
      <c r="BW831" s="4">
        <f t="shared" si="449"/>
        <v>6</v>
      </c>
      <c r="BX831" s="4">
        <f t="shared" si="450"/>
        <v>0</v>
      </c>
      <c r="BY831" s="4">
        <f t="shared" si="451"/>
        <v>0</v>
      </c>
      <c r="BZ831" s="37">
        <f t="shared" si="452"/>
        <v>94</v>
      </c>
      <c r="CA831" s="32" t="str">
        <f>VLOOKUP(J:J,'Agent wise'!A:C,3,0)</f>
        <v>Shakeer</v>
      </c>
      <c r="CB831" s="32">
        <f t="shared" si="453"/>
        <v>45945</v>
      </c>
      <c r="CC831" t="str">
        <f t="shared" si="454"/>
        <v>Good</v>
      </c>
      <c r="CE831" s="32"/>
      <c r="CJ831">
        <f t="shared" si="455"/>
        <v>15</v>
      </c>
      <c r="CK831">
        <f t="shared" si="456"/>
        <v>10</v>
      </c>
      <c r="CL831">
        <f t="shared" si="457"/>
        <v>2025</v>
      </c>
    </row>
    <row r="832" spans="1:90" ht="15" customHeight="1" x14ac:dyDescent="0.35">
      <c r="A832" t="s">
        <v>2045</v>
      </c>
      <c r="B832" t="s">
        <v>250</v>
      </c>
      <c r="C832" t="s">
        <v>214</v>
      </c>
      <c r="D832" t="s">
        <v>251</v>
      </c>
      <c r="E832" s="32">
        <v>45945</v>
      </c>
      <c r="F832" t="s">
        <v>54</v>
      </c>
      <c r="G832" t="s">
        <v>1749</v>
      </c>
      <c r="H832">
        <v>9788861995</v>
      </c>
      <c r="I832">
        <v>153</v>
      </c>
      <c r="J832" t="s">
        <v>749</v>
      </c>
      <c r="K832" t="s">
        <v>71</v>
      </c>
      <c r="L832" t="s">
        <v>72</v>
      </c>
      <c r="M832" t="s">
        <v>59</v>
      </c>
      <c r="N832" t="s">
        <v>59</v>
      </c>
      <c r="O832" t="s">
        <v>59</v>
      </c>
      <c r="P832" t="s">
        <v>59</v>
      </c>
      <c r="Q832" t="s">
        <v>59</v>
      </c>
      <c r="R832" t="s">
        <v>59</v>
      </c>
      <c r="S832" t="s">
        <v>59</v>
      </c>
      <c r="T832" t="s">
        <v>59</v>
      </c>
      <c r="U832" t="s">
        <v>60</v>
      </c>
      <c r="V832" t="s">
        <v>59</v>
      </c>
      <c r="W832" t="s">
        <v>59</v>
      </c>
      <c r="X832" t="s">
        <v>59</v>
      </c>
      <c r="Y832" t="s">
        <v>59</v>
      </c>
      <c r="Z832" t="s">
        <v>59</v>
      </c>
      <c r="AA832" t="s">
        <v>59</v>
      </c>
      <c r="AB832" t="s">
        <v>59</v>
      </c>
      <c r="AC832" t="s">
        <v>59</v>
      </c>
      <c r="AD832" t="s">
        <v>59</v>
      </c>
      <c r="AE832" t="s">
        <v>59</v>
      </c>
      <c r="AF832" t="s">
        <v>59</v>
      </c>
      <c r="AG832" t="s">
        <v>59</v>
      </c>
      <c r="AH832" t="s">
        <v>61</v>
      </c>
      <c r="AI832" t="s">
        <v>60</v>
      </c>
      <c r="AJ832" t="s">
        <v>59</v>
      </c>
      <c r="AK832" t="s">
        <v>59</v>
      </c>
      <c r="AL832" t="s">
        <v>60</v>
      </c>
      <c r="AM832" t="s">
        <v>59</v>
      </c>
      <c r="AN832" t="s">
        <v>59</v>
      </c>
      <c r="AO832" t="s">
        <v>59</v>
      </c>
      <c r="AP832" t="s">
        <v>2046</v>
      </c>
      <c r="AQ832" t="s">
        <v>2047</v>
      </c>
      <c r="AR832" t="s">
        <v>64</v>
      </c>
      <c r="AS832" t="s">
        <v>1217</v>
      </c>
      <c r="AT832" t="s">
        <v>380</v>
      </c>
      <c r="AU832" t="s">
        <v>219</v>
      </c>
      <c r="AW832" s="4">
        <f t="shared" si="423"/>
        <v>6</v>
      </c>
      <c r="AX832" s="4">
        <f t="shared" si="424"/>
        <v>4</v>
      </c>
      <c r="AY832" s="4">
        <f t="shared" si="425"/>
        <v>4</v>
      </c>
      <c r="AZ832" s="4">
        <f t="shared" si="426"/>
        <v>2</v>
      </c>
      <c r="BA832" s="4">
        <f t="shared" si="427"/>
        <v>4</v>
      </c>
      <c r="BB832" s="4">
        <f t="shared" si="428"/>
        <v>4</v>
      </c>
      <c r="BC832" s="4">
        <f t="shared" si="429"/>
        <v>4</v>
      </c>
      <c r="BD832" s="4">
        <f t="shared" si="430"/>
        <v>2</v>
      </c>
      <c r="BE832" s="4" t="str">
        <f t="shared" si="431"/>
        <v>0</v>
      </c>
      <c r="BF832" s="4">
        <f t="shared" si="432"/>
        <v>2</v>
      </c>
      <c r="BG832" s="4">
        <f t="shared" si="433"/>
        <v>4</v>
      </c>
      <c r="BH832" s="4">
        <f t="shared" si="434"/>
        <v>4</v>
      </c>
      <c r="BI832" s="4">
        <f t="shared" si="435"/>
        <v>4</v>
      </c>
      <c r="BJ832" s="4">
        <f t="shared" si="436"/>
        <v>2</v>
      </c>
      <c r="BK832" s="4">
        <f t="shared" si="437"/>
        <v>4</v>
      </c>
      <c r="BL832" s="4">
        <f t="shared" si="438"/>
        <v>2</v>
      </c>
      <c r="BM832" s="4">
        <f t="shared" si="439"/>
        <v>4</v>
      </c>
      <c r="BN832" s="4">
        <f t="shared" si="440"/>
        <v>4</v>
      </c>
      <c r="BO832" s="4">
        <f t="shared" si="441"/>
        <v>4</v>
      </c>
      <c r="BP832" s="4">
        <f t="shared" si="442"/>
        <v>4</v>
      </c>
      <c r="BQ832" s="4">
        <f t="shared" si="443"/>
        <v>6</v>
      </c>
      <c r="BR832" s="4">
        <f t="shared" si="444"/>
        <v>4</v>
      </c>
      <c r="BS832" s="4" t="str">
        <f t="shared" si="445"/>
        <v>0</v>
      </c>
      <c r="BT832" s="4">
        <f t="shared" si="446"/>
        <v>4</v>
      </c>
      <c r="BU832" s="4">
        <f t="shared" si="447"/>
        <v>4</v>
      </c>
      <c r="BV832" s="4" t="str">
        <f t="shared" si="448"/>
        <v>0</v>
      </c>
      <c r="BW832" s="4">
        <f t="shared" si="449"/>
        <v>6</v>
      </c>
      <c r="BX832" s="4">
        <f t="shared" si="450"/>
        <v>0</v>
      </c>
      <c r="BY832" s="4">
        <f t="shared" si="451"/>
        <v>0</v>
      </c>
      <c r="BZ832" s="37">
        <f t="shared" si="452"/>
        <v>92</v>
      </c>
      <c r="CA832" s="32" t="str">
        <f>VLOOKUP(J:J,'Agent wise'!A:C,3,0)</f>
        <v xml:space="preserve">Shiny </v>
      </c>
      <c r="CB832" s="32">
        <f t="shared" si="453"/>
        <v>45945</v>
      </c>
      <c r="CC832" t="str">
        <f t="shared" si="454"/>
        <v>Good</v>
      </c>
      <c r="CE832" s="32"/>
      <c r="CJ832">
        <f t="shared" si="455"/>
        <v>15</v>
      </c>
      <c r="CK832">
        <f t="shared" si="456"/>
        <v>10</v>
      </c>
      <c r="CL832">
        <f t="shared" si="457"/>
        <v>2025</v>
      </c>
    </row>
    <row r="833" spans="1:90" ht="15" customHeight="1" x14ac:dyDescent="0.35">
      <c r="A833" t="s">
        <v>2048</v>
      </c>
      <c r="B833" t="s">
        <v>100</v>
      </c>
      <c r="C833" t="s">
        <v>214</v>
      </c>
      <c r="D833" t="s">
        <v>101</v>
      </c>
      <c r="E833" s="32">
        <v>45945</v>
      </c>
      <c r="F833" t="s">
        <v>222</v>
      </c>
      <c r="G833" t="s">
        <v>1749</v>
      </c>
      <c r="H833">
        <v>9496643033</v>
      </c>
      <c r="I833">
        <v>152</v>
      </c>
      <c r="J833" t="s">
        <v>208</v>
      </c>
      <c r="K833" t="s">
        <v>86</v>
      </c>
      <c r="L833" t="s">
        <v>58</v>
      </c>
      <c r="M833" t="s">
        <v>59</v>
      </c>
      <c r="N833" t="s">
        <v>59</v>
      </c>
      <c r="O833" t="s">
        <v>61</v>
      </c>
      <c r="P833" t="s">
        <v>61</v>
      </c>
      <c r="Q833" t="s">
        <v>61</v>
      </c>
      <c r="R833" t="s">
        <v>59</v>
      </c>
      <c r="S833" t="s">
        <v>59</v>
      </c>
      <c r="T833" t="s">
        <v>59</v>
      </c>
      <c r="U833" t="s">
        <v>59</v>
      </c>
      <c r="V833" t="s">
        <v>59</v>
      </c>
      <c r="W833" t="s">
        <v>59</v>
      </c>
      <c r="X833" t="s">
        <v>61</v>
      </c>
      <c r="Y833" t="s">
        <v>59</v>
      </c>
      <c r="Z833" t="s">
        <v>59</v>
      </c>
      <c r="AA833" t="s">
        <v>60</v>
      </c>
      <c r="AB833" t="s">
        <v>60</v>
      </c>
      <c r="AC833" t="s">
        <v>61</v>
      </c>
      <c r="AD833" t="s">
        <v>61</v>
      </c>
      <c r="AE833" t="s">
        <v>59</v>
      </c>
      <c r="AF833" t="s">
        <v>61</v>
      </c>
      <c r="AG833" t="s">
        <v>59</v>
      </c>
      <c r="AH833" t="s">
        <v>61</v>
      </c>
      <c r="AI833" t="s">
        <v>61</v>
      </c>
      <c r="AJ833" t="s">
        <v>59</v>
      </c>
      <c r="AK833" t="s">
        <v>59</v>
      </c>
      <c r="AL833" t="s">
        <v>60</v>
      </c>
      <c r="AM833" t="s">
        <v>59</v>
      </c>
      <c r="AN833" t="s">
        <v>59</v>
      </c>
      <c r="AO833" t="s">
        <v>59</v>
      </c>
      <c r="AP833" t="s">
        <v>798</v>
      </c>
      <c r="AQ833" s="1" t="s">
        <v>2049</v>
      </c>
      <c r="AR833" t="s">
        <v>226</v>
      </c>
      <c r="AS833" t="s">
        <v>352</v>
      </c>
      <c r="AT833" t="s">
        <v>352</v>
      </c>
      <c r="AU833" t="s">
        <v>299</v>
      </c>
      <c r="AW833" s="4">
        <f t="shared" si="423"/>
        <v>6</v>
      </c>
      <c r="AX833" s="4">
        <f t="shared" si="424"/>
        <v>4</v>
      </c>
      <c r="AY833" s="4">
        <f t="shared" si="425"/>
        <v>4</v>
      </c>
      <c r="AZ833" s="4">
        <f t="shared" si="426"/>
        <v>2</v>
      </c>
      <c r="BA833" s="4">
        <f t="shared" si="427"/>
        <v>4</v>
      </c>
      <c r="BB833" s="4">
        <f t="shared" si="428"/>
        <v>4</v>
      </c>
      <c r="BC833" s="4">
        <f t="shared" si="429"/>
        <v>4</v>
      </c>
      <c r="BD833" s="4">
        <f t="shared" si="430"/>
        <v>2</v>
      </c>
      <c r="BE833" s="4">
        <f t="shared" si="431"/>
        <v>4</v>
      </c>
      <c r="BF833" s="4">
        <f t="shared" si="432"/>
        <v>2</v>
      </c>
      <c r="BG833" s="4">
        <f t="shared" si="433"/>
        <v>4</v>
      </c>
      <c r="BH833" s="4">
        <f t="shared" si="434"/>
        <v>4</v>
      </c>
      <c r="BI833" s="4">
        <f t="shared" si="435"/>
        <v>4</v>
      </c>
      <c r="BJ833" s="4">
        <f t="shared" si="436"/>
        <v>2</v>
      </c>
      <c r="BK833" s="4" t="str">
        <f t="shared" si="437"/>
        <v>0</v>
      </c>
      <c r="BL833" s="4" t="str">
        <f t="shared" si="438"/>
        <v>0</v>
      </c>
      <c r="BM833" s="4">
        <f t="shared" si="439"/>
        <v>4</v>
      </c>
      <c r="BN833" s="4">
        <f t="shared" si="440"/>
        <v>4</v>
      </c>
      <c r="BO833" s="4">
        <f t="shared" si="441"/>
        <v>4</v>
      </c>
      <c r="BP833" s="4">
        <f t="shared" si="442"/>
        <v>4</v>
      </c>
      <c r="BQ833" s="4">
        <f t="shared" si="443"/>
        <v>6</v>
      </c>
      <c r="BR833" s="4">
        <f t="shared" si="444"/>
        <v>4</v>
      </c>
      <c r="BS833" s="4">
        <f t="shared" si="445"/>
        <v>4</v>
      </c>
      <c r="BT833" s="4">
        <f t="shared" si="446"/>
        <v>4</v>
      </c>
      <c r="BU833" s="4">
        <f t="shared" si="447"/>
        <v>4</v>
      </c>
      <c r="BV833" s="4" t="str">
        <f t="shared" si="448"/>
        <v>0</v>
      </c>
      <c r="BW833" s="4">
        <f t="shared" si="449"/>
        <v>6</v>
      </c>
      <c r="BX833" s="4">
        <f t="shared" si="450"/>
        <v>0</v>
      </c>
      <c r="BY833" s="4">
        <f t="shared" si="451"/>
        <v>0</v>
      </c>
      <c r="BZ833" s="37">
        <f t="shared" si="452"/>
        <v>94</v>
      </c>
      <c r="CA833" s="32" t="str">
        <f>VLOOKUP(J:J,'Agent wise'!A:C,3,0)</f>
        <v>Adharsh</v>
      </c>
      <c r="CB833" s="32">
        <f t="shared" si="453"/>
        <v>45945</v>
      </c>
      <c r="CC833" t="str">
        <f t="shared" si="454"/>
        <v>Good</v>
      </c>
      <c r="CE833" s="32"/>
      <c r="CJ833">
        <f t="shared" si="455"/>
        <v>15</v>
      </c>
      <c r="CK833">
        <f t="shared" si="456"/>
        <v>10</v>
      </c>
      <c r="CL833">
        <f t="shared" si="457"/>
        <v>2025</v>
      </c>
    </row>
    <row r="834" spans="1:90" ht="15" customHeight="1" x14ac:dyDescent="0.35">
      <c r="A834" t="s">
        <v>2050</v>
      </c>
      <c r="B834" t="s">
        <v>100</v>
      </c>
      <c r="C834" t="s">
        <v>214</v>
      </c>
      <c r="D834" t="s">
        <v>101</v>
      </c>
      <c r="E834" s="32">
        <v>45945</v>
      </c>
      <c r="F834" t="s">
        <v>222</v>
      </c>
      <c r="G834" t="s">
        <v>1749</v>
      </c>
      <c r="H834">
        <v>8301028249</v>
      </c>
      <c r="I834">
        <v>134</v>
      </c>
      <c r="J834" t="s">
        <v>391</v>
      </c>
      <c r="K834" t="s">
        <v>57</v>
      </c>
      <c r="L834" t="s">
        <v>58</v>
      </c>
      <c r="M834" t="s">
        <v>59</v>
      </c>
      <c r="N834" t="s">
        <v>59</v>
      </c>
      <c r="O834" t="s">
        <v>59</v>
      </c>
      <c r="P834" t="s">
        <v>59</v>
      </c>
      <c r="Q834" t="s">
        <v>59</v>
      </c>
      <c r="R834" t="s">
        <v>60</v>
      </c>
      <c r="S834" t="s">
        <v>59</v>
      </c>
      <c r="T834" t="s">
        <v>59</v>
      </c>
      <c r="U834" t="s">
        <v>59</v>
      </c>
      <c r="V834" t="s">
        <v>59</v>
      </c>
      <c r="W834" t="s">
        <v>59</v>
      </c>
      <c r="X834" t="s">
        <v>59</v>
      </c>
      <c r="Y834" t="s">
        <v>59</v>
      </c>
      <c r="Z834" t="s">
        <v>59</v>
      </c>
      <c r="AA834" t="s">
        <v>60</v>
      </c>
      <c r="AB834" t="s">
        <v>60</v>
      </c>
      <c r="AC834" t="s">
        <v>61</v>
      </c>
      <c r="AD834" t="s">
        <v>61</v>
      </c>
      <c r="AE834" t="s">
        <v>59</v>
      </c>
      <c r="AF834" t="s">
        <v>61</v>
      </c>
      <c r="AG834" t="s">
        <v>59</v>
      </c>
      <c r="AH834" t="s">
        <v>61</v>
      </c>
      <c r="AI834" t="s">
        <v>60</v>
      </c>
      <c r="AJ834" t="s">
        <v>61</v>
      </c>
      <c r="AK834" t="s">
        <v>61</v>
      </c>
      <c r="AL834" t="s">
        <v>60</v>
      </c>
      <c r="AM834" t="s">
        <v>59</v>
      </c>
      <c r="AN834" t="s">
        <v>59</v>
      </c>
      <c r="AO834" t="s">
        <v>59</v>
      </c>
      <c r="AP834" t="s">
        <v>2051</v>
      </c>
      <c r="AQ834" s="1" t="s">
        <v>2052</v>
      </c>
      <c r="AR834" t="s">
        <v>226</v>
      </c>
      <c r="AS834" t="s">
        <v>352</v>
      </c>
      <c r="AT834" t="s">
        <v>352</v>
      </c>
      <c r="AU834" t="s">
        <v>299</v>
      </c>
      <c r="AW834" s="4">
        <f t="shared" si="423"/>
        <v>6</v>
      </c>
      <c r="AX834" s="4">
        <f t="shared" si="424"/>
        <v>4</v>
      </c>
      <c r="AY834" s="4">
        <f t="shared" si="425"/>
        <v>4</v>
      </c>
      <c r="AZ834" s="4">
        <f t="shared" si="426"/>
        <v>2</v>
      </c>
      <c r="BA834" s="4">
        <f t="shared" si="427"/>
        <v>4</v>
      </c>
      <c r="BB834" s="4" t="str">
        <f t="shared" si="428"/>
        <v>0</v>
      </c>
      <c r="BC834" s="4">
        <f t="shared" si="429"/>
        <v>4</v>
      </c>
      <c r="BD834" s="4">
        <f t="shared" si="430"/>
        <v>2</v>
      </c>
      <c r="BE834" s="4">
        <f t="shared" si="431"/>
        <v>4</v>
      </c>
      <c r="BF834" s="4">
        <f t="shared" si="432"/>
        <v>2</v>
      </c>
      <c r="BG834" s="4">
        <f t="shared" si="433"/>
        <v>4</v>
      </c>
      <c r="BH834" s="4">
        <f t="shared" si="434"/>
        <v>4</v>
      </c>
      <c r="BI834" s="4">
        <f t="shared" si="435"/>
        <v>4</v>
      </c>
      <c r="BJ834" s="4">
        <f t="shared" si="436"/>
        <v>2</v>
      </c>
      <c r="BK834" s="4" t="str">
        <f t="shared" si="437"/>
        <v>0</v>
      </c>
      <c r="BL834" s="4" t="str">
        <f t="shared" si="438"/>
        <v>0</v>
      </c>
      <c r="BM834" s="4">
        <f t="shared" si="439"/>
        <v>4</v>
      </c>
      <c r="BN834" s="4">
        <f t="shared" si="440"/>
        <v>4</v>
      </c>
      <c r="BO834" s="4">
        <f t="shared" si="441"/>
        <v>4</v>
      </c>
      <c r="BP834" s="4">
        <f t="shared" si="442"/>
        <v>4</v>
      </c>
      <c r="BQ834" s="4">
        <f t="shared" si="443"/>
        <v>6</v>
      </c>
      <c r="BR834" s="4">
        <f t="shared" si="444"/>
        <v>4</v>
      </c>
      <c r="BS834" s="4" t="str">
        <f t="shared" si="445"/>
        <v>0</v>
      </c>
      <c r="BT834" s="4">
        <f t="shared" si="446"/>
        <v>4</v>
      </c>
      <c r="BU834" s="4">
        <f t="shared" si="447"/>
        <v>4</v>
      </c>
      <c r="BV834" s="4" t="str">
        <f t="shared" si="448"/>
        <v>0</v>
      </c>
      <c r="BW834" s="4">
        <f t="shared" si="449"/>
        <v>6</v>
      </c>
      <c r="BX834" s="4">
        <f t="shared" si="450"/>
        <v>0</v>
      </c>
      <c r="BY834" s="4">
        <f t="shared" si="451"/>
        <v>0</v>
      </c>
      <c r="BZ834" s="37">
        <f t="shared" si="452"/>
        <v>86</v>
      </c>
      <c r="CA834" s="32" t="str">
        <f>VLOOKUP(J:J,'Agent wise'!A:C,3,0)</f>
        <v>Amal</v>
      </c>
      <c r="CB834" s="32">
        <f t="shared" si="453"/>
        <v>45945</v>
      </c>
      <c r="CC834" t="str">
        <f t="shared" si="454"/>
        <v>Average</v>
      </c>
      <c r="CE834" s="32"/>
      <c r="CJ834">
        <f t="shared" si="455"/>
        <v>15</v>
      </c>
      <c r="CK834">
        <f t="shared" si="456"/>
        <v>10</v>
      </c>
      <c r="CL834">
        <f t="shared" si="457"/>
        <v>2025</v>
      </c>
    </row>
    <row r="835" spans="1:90" ht="15" customHeight="1" x14ac:dyDescent="0.35">
      <c r="A835" t="s">
        <v>2053</v>
      </c>
      <c r="B835" t="s">
        <v>250</v>
      </c>
      <c r="C835" t="s">
        <v>214</v>
      </c>
      <c r="D835" t="s">
        <v>251</v>
      </c>
      <c r="E835" s="32">
        <v>45945</v>
      </c>
      <c r="F835" t="s">
        <v>54</v>
      </c>
      <c r="G835" t="s">
        <v>1897</v>
      </c>
      <c r="H835">
        <v>9188312994</v>
      </c>
      <c r="I835">
        <v>200</v>
      </c>
      <c r="J835" t="s">
        <v>528</v>
      </c>
      <c r="K835" t="s">
        <v>57</v>
      </c>
      <c r="L835" t="s">
        <v>58</v>
      </c>
      <c r="M835" t="s">
        <v>59</v>
      </c>
      <c r="N835" t="s">
        <v>59</v>
      </c>
      <c r="O835" t="s">
        <v>60</v>
      </c>
      <c r="P835" t="s">
        <v>59</v>
      </c>
      <c r="Q835" t="s">
        <v>59</v>
      </c>
      <c r="R835" t="s">
        <v>59</v>
      </c>
      <c r="S835" t="s">
        <v>59</v>
      </c>
      <c r="T835" t="s">
        <v>59</v>
      </c>
      <c r="U835" t="s">
        <v>60</v>
      </c>
      <c r="V835" t="s">
        <v>59</v>
      </c>
      <c r="W835" t="s">
        <v>59</v>
      </c>
      <c r="X835" t="s">
        <v>59</v>
      </c>
      <c r="Y835" t="s">
        <v>59</v>
      </c>
      <c r="Z835" t="s">
        <v>59</v>
      </c>
      <c r="AA835" t="s">
        <v>59</v>
      </c>
      <c r="AB835" t="s">
        <v>59</v>
      </c>
      <c r="AC835" t="s">
        <v>59</v>
      </c>
      <c r="AD835" t="s">
        <v>59</v>
      </c>
      <c r="AE835" t="s">
        <v>59</v>
      </c>
      <c r="AF835" t="s">
        <v>59</v>
      </c>
      <c r="AG835" t="s">
        <v>59</v>
      </c>
      <c r="AH835" t="s">
        <v>61</v>
      </c>
      <c r="AI835" t="s">
        <v>61</v>
      </c>
      <c r="AJ835" t="s">
        <v>59</v>
      </c>
      <c r="AK835" t="s">
        <v>59</v>
      </c>
      <c r="AL835" t="s">
        <v>59</v>
      </c>
      <c r="AM835" t="s">
        <v>59</v>
      </c>
      <c r="AN835" t="s">
        <v>59</v>
      </c>
      <c r="AO835" t="s">
        <v>59</v>
      </c>
      <c r="AP835" t="s">
        <v>2054</v>
      </c>
      <c r="AQ835" t="s">
        <v>2055</v>
      </c>
      <c r="AR835" t="s">
        <v>64</v>
      </c>
      <c r="AS835" t="s">
        <v>457</v>
      </c>
      <c r="AT835" t="s">
        <v>1172</v>
      </c>
      <c r="AU835" t="s">
        <v>219</v>
      </c>
      <c r="AW835" s="4">
        <f t="shared" ref="AW835:AW898" si="458">IF(OR(M835="YES", M835="Not Applicable"), AW$1, "0")</f>
        <v>6</v>
      </c>
      <c r="AX835" s="4">
        <f t="shared" ref="AX835:AX898" si="459">IF(OR(N835="YES", N835="Not Applicable"), AX$1, "0")</f>
        <v>4</v>
      </c>
      <c r="AY835" s="4" t="str">
        <f t="shared" ref="AY835:AY898" si="460">IF(OR(O835="YES", O835="Not Applicable"), AY$1, "0")</f>
        <v>0</v>
      </c>
      <c r="AZ835" s="4">
        <f t="shared" ref="AZ835:AZ898" si="461">IF(OR(P835="YES", P835="Not Applicable"), AZ$1, "0")</f>
        <v>2</v>
      </c>
      <c r="BA835" s="4">
        <f t="shared" ref="BA835:BA898" si="462">IF(OR(Q835="YES", Q835="Not Applicable"), BA$1, "0")</f>
        <v>4</v>
      </c>
      <c r="BB835" s="4">
        <f t="shared" ref="BB835:BB898" si="463">IF(OR(R835="YES", R835="Not Applicable"), BB$1, "0")</f>
        <v>4</v>
      </c>
      <c r="BC835" s="4">
        <f t="shared" ref="BC835:BC898" si="464">IF(OR(S835="YES", S835="Not Applicable"), BC$1, "0")</f>
        <v>4</v>
      </c>
      <c r="BD835" s="4">
        <f t="shared" ref="BD835:BD898" si="465">IF(OR(T835="YES", T835="Not Applicable"), BD$1, "0")</f>
        <v>2</v>
      </c>
      <c r="BE835" s="4" t="str">
        <f t="shared" ref="BE835:BE898" si="466">IF(OR(U835="YES", U835="Not Applicable"), BE$1, "0")</f>
        <v>0</v>
      </c>
      <c r="BF835" s="4">
        <f t="shared" ref="BF835:BF898" si="467">IF(OR(V835="YES", V835="Not Applicable"), BF$1, "0")</f>
        <v>2</v>
      </c>
      <c r="BG835" s="4">
        <f t="shared" ref="BG835:BG898" si="468">IF(OR(W835="YES", W835="Not Applicable"), BG$1, "0")</f>
        <v>4</v>
      </c>
      <c r="BH835" s="4">
        <f t="shared" ref="BH835:BH898" si="469">IF(OR(X835="YES", X835="Not Applicable"), BH$1, "0")</f>
        <v>4</v>
      </c>
      <c r="BI835" s="4">
        <f t="shared" ref="BI835:BI898" si="470">IF(OR(Y835="YES", Y835="Not Applicable"), BI$1, "0")</f>
        <v>4</v>
      </c>
      <c r="BJ835" s="4">
        <f t="shared" ref="BJ835:BJ898" si="471">IF(OR(Z835="YES", Z835="Not Applicable"), BJ$1, "0")</f>
        <v>2</v>
      </c>
      <c r="BK835" s="4">
        <f t="shared" ref="BK835:BK898" si="472">IF(OR(AA835="YES", AA835="Not Applicable"), BK$1, "0")</f>
        <v>4</v>
      </c>
      <c r="BL835" s="4">
        <f t="shared" ref="BL835:BL898" si="473">IF(OR(AB835="YES", AB835="Not Applicable"), BL$1, "0")</f>
        <v>2</v>
      </c>
      <c r="BM835" s="4">
        <f t="shared" ref="BM835:BM898" si="474">IF(OR(AC835="YES", AC835="Not Applicable"), BM$1, "0")</f>
        <v>4</v>
      </c>
      <c r="BN835" s="4">
        <f t="shared" ref="BN835:BN898" si="475">IF(OR(AD835="YES", AD835="Not Applicable"), BN$1, "0")</f>
        <v>4</v>
      </c>
      <c r="BO835" s="4">
        <f t="shared" ref="BO835:BO898" si="476">IF(OR(AE835="YES", AE835="Not Applicable"), BO$1, "0")</f>
        <v>4</v>
      </c>
      <c r="BP835" s="4">
        <f t="shared" ref="BP835:BP898" si="477">IF(OR(AF835="YES", AF835="Not Applicable"), BP$1, "0")</f>
        <v>4</v>
      </c>
      <c r="BQ835" s="4">
        <f t="shared" ref="BQ835:BQ898" si="478">IF(OR(AG835="YES", AG835="Not Applicable"), BQ$1, "0")</f>
        <v>6</v>
      </c>
      <c r="BR835" s="4">
        <f t="shared" ref="BR835:BR898" si="479">IF(OR(AH835="YES", AH835="Not Applicable"), BR$1, "0")</f>
        <v>4</v>
      </c>
      <c r="BS835" s="4">
        <f t="shared" ref="BS835:BS898" si="480">IF(OR(AI835="YES", AI835="Not Applicable"), BS$1, "0")</f>
        <v>4</v>
      </c>
      <c r="BT835" s="4">
        <f t="shared" ref="BT835:BT898" si="481">IF(OR(AJ835="YES", AJ835="Not Applicable"), BT$1, "0")</f>
        <v>4</v>
      </c>
      <c r="BU835" s="4">
        <f t="shared" ref="BU835:BU898" si="482">IF(OR(AK835="YES", AK835="Not Applicable"), BU$1, "0")</f>
        <v>4</v>
      </c>
      <c r="BV835" s="4">
        <f t="shared" ref="BV835:BV898" si="483">IF(OR(AL835="YES", AL835="Not Applicable"), BV$1, "0")</f>
        <v>0</v>
      </c>
      <c r="BW835" s="4">
        <f t="shared" ref="BW835:BW898" si="484">IF(OR(AM835="YES", AM835="Not Applicable"), BW$1, "0")</f>
        <v>6</v>
      </c>
      <c r="BX835" s="4">
        <f t="shared" ref="BX835:BX898" si="485">IF(OR(AN835="YES", AN835="Not Applicable"), BX$1, "0")</f>
        <v>0</v>
      </c>
      <c r="BY835" s="4">
        <f t="shared" ref="BY835:BY898" si="486">IF(OR(AO835="YES", AO835="Not Applicable"), BY$1, "0")</f>
        <v>0</v>
      </c>
      <c r="BZ835" s="37">
        <f t="shared" ref="BZ835:BZ898" si="487">SUM(AW835:BY835)</f>
        <v>92</v>
      </c>
      <c r="CA835" s="32" t="str">
        <f>VLOOKUP(J:J,'Agent wise'!A:C,3,0)</f>
        <v>Adharsh</v>
      </c>
      <c r="CB835" s="32">
        <f t="shared" ref="CB835:CB898" si="488">INT(E835)</f>
        <v>45945</v>
      </c>
      <c r="CC835" t="str">
        <f t="shared" ref="CC835:CC898" si="489">IF(BZ835&gt;=94.5, "Excellent", IF(BZ835&gt;89.5, "Good", IF(BZ835&gt;84.5, "Average", "FC")))</f>
        <v>Good</v>
      </c>
      <c r="CE835" s="32"/>
      <c r="CJ835">
        <f t="shared" si="455"/>
        <v>15</v>
      </c>
      <c r="CK835">
        <f t="shared" si="456"/>
        <v>10</v>
      </c>
      <c r="CL835">
        <f t="shared" si="457"/>
        <v>2025</v>
      </c>
    </row>
    <row r="836" spans="1:90" ht="15" customHeight="1" x14ac:dyDescent="0.35">
      <c r="A836" t="s">
        <v>2056</v>
      </c>
      <c r="B836" t="s">
        <v>100</v>
      </c>
      <c r="C836" t="s">
        <v>214</v>
      </c>
      <c r="D836" t="s">
        <v>101</v>
      </c>
      <c r="E836" s="32">
        <v>45945</v>
      </c>
      <c r="F836" t="s">
        <v>222</v>
      </c>
      <c r="G836" t="s">
        <v>1749</v>
      </c>
      <c r="H836">
        <v>9500058063</v>
      </c>
      <c r="I836">
        <v>147</v>
      </c>
      <c r="J836" t="s">
        <v>242</v>
      </c>
      <c r="K836" t="s">
        <v>71</v>
      </c>
      <c r="L836" t="s">
        <v>72</v>
      </c>
      <c r="M836" t="s">
        <v>59</v>
      </c>
      <c r="N836" t="s">
        <v>59</v>
      </c>
      <c r="O836" t="s">
        <v>59</v>
      </c>
      <c r="P836" t="s">
        <v>59</v>
      </c>
      <c r="Q836" t="s">
        <v>59</v>
      </c>
      <c r="R836" t="s">
        <v>59</v>
      </c>
      <c r="S836" t="s">
        <v>59</v>
      </c>
      <c r="T836" t="s">
        <v>59</v>
      </c>
      <c r="U836" t="s">
        <v>59</v>
      </c>
      <c r="V836" t="s">
        <v>59</v>
      </c>
      <c r="W836" t="s">
        <v>59</v>
      </c>
      <c r="X836" t="s">
        <v>61</v>
      </c>
      <c r="Y836" t="s">
        <v>59</v>
      </c>
      <c r="Z836" t="s">
        <v>59</v>
      </c>
      <c r="AA836" t="s">
        <v>60</v>
      </c>
      <c r="AB836" t="s">
        <v>59</v>
      </c>
      <c r="AC836" t="s">
        <v>61</v>
      </c>
      <c r="AD836" t="s">
        <v>61</v>
      </c>
      <c r="AE836" t="s">
        <v>59</v>
      </c>
      <c r="AF836" t="s">
        <v>61</v>
      </c>
      <c r="AG836" t="s">
        <v>59</v>
      </c>
      <c r="AH836" t="s">
        <v>61</v>
      </c>
      <c r="AI836" t="s">
        <v>61</v>
      </c>
      <c r="AJ836" t="s">
        <v>61</v>
      </c>
      <c r="AK836" t="s">
        <v>61</v>
      </c>
      <c r="AL836" t="s">
        <v>60</v>
      </c>
      <c r="AM836" t="s">
        <v>59</v>
      </c>
      <c r="AN836" t="s">
        <v>59</v>
      </c>
      <c r="AO836" t="s">
        <v>59</v>
      </c>
      <c r="AP836" t="s">
        <v>188</v>
      </c>
      <c r="AQ836" s="1" t="s">
        <v>2057</v>
      </c>
      <c r="AR836" t="s">
        <v>226</v>
      </c>
      <c r="AS836" t="s">
        <v>352</v>
      </c>
      <c r="AT836" t="s">
        <v>352</v>
      </c>
      <c r="AU836" t="s">
        <v>299</v>
      </c>
      <c r="AW836" s="4">
        <f t="shared" si="458"/>
        <v>6</v>
      </c>
      <c r="AX836" s="4">
        <f t="shared" si="459"/>
        <v>4</v>
      </c>
      <c r="AY836" s="4">
        <f t="shared" si="460"/>
        <v>4</v>
      </c>
      <c r="AZ836" s="4">
        <f t="shared" si="461"/>
        <v>2</v>
      </c>
      <c r="BA836" s="4">
        <f t="shared" si="462"/>
        <v>4</v>
      </c>
      <c r="BB836" s="4">
        <f t="shared" si="463"/>
        <v>4</v>
      </c>
      <c r="BC836" s="4">
        <f t="shared" si="464"/>
        <v>4</v>
      </c>
      <c r="BD836" s="4">
        <f t="shared" si="465"/>
        <v>2</v>
      </c>
      <c r="BE836" s="4">
        <f t="shared" si="466"/>
        <v>4</v>
      </c>
      <c r="BF836" s="4">
        <f t="shared" si="467"/>
        <v>2</v>
      </c>
      <c r="BG836" s="4">
        <f t="shared" si="468"/>
        <v>4</v>
      </c>
      <c r="BH836" s="4">
        <f t="shared" si="469"/>
        <v>4</v>
      </c>
      <c r="BI836" s="4">
        <f t="shared" si="470"/>
        <v>4</v>
      </c>
      <c r="BJ836" s="4">
        <f t="shared" si="471"/>
        <v>2</v>
      </c>
      <c r="BK836" s="4" t="str">
        <f t="shared" si="472"/>
        <v>0</v>
      </c>
      <c r="BL836" s="4">
        <f t="shared" si="473"/>
        <v>2</v>
      </c>
      <c r="BM836" s="4">
        <f t="shared" si="474"/>
        <v>4</v>
      </c>
      <c r="BN836" s="4">
        <f t="shared" si="475"/>
        <v>4</v>
      </c>
      <c r="BO836" s="4">
        <f t="shared" si="476"/>
        <v>4</v>
      </c>
      <c r="BP836" s="4">
        <f t="shared" si="477"/>
        <v>4</v>
      </c>
      <c r="BQ836" s="4">
        <f t="shared" si="478"/>
        <v>6</v>
      </c>
      <c r="BR836" s="4">
        <f t="shared" si="479"/>
        <v>4</v>
      </c>
      <c r="BS836" s="4">
        <f t="shared" si="480"/>
        <v>4</v>
      </c>
      <c r="BT836" s="4">
        <f t="shared" si="481"/>
        <v>4</v>
      </c>
      <c r="BU836" s="4">
        <f t="shared" si="482"/>
        <v>4</v>
      </c>
      <c r="BV836" s="4" t="str">
        <f t="shared" si="483"/>
        <v>0</v>
      </c>
      <c r="BW836" s="4">
        <f t="shared" si="484"/>
        <v>6</v>
      </c>
      <c r="BX836" s="4">
        <f t="shared" si="485"/>
        <v>0</v>
      </c>
      <c r="BY836" s="4">
        <f t="shared" si="486"/>
        <v>0</v>
      </c>
      <c r="BZ836" s="37">
        <f t="shared" si="487"/>
        <v>96</v>
      </c>
      <c r="CA836" s="32" t="str">
        <f>VLOOKUP(J:J,'Agent wise'!A:C,3,0)</f>
        <v>Amal</v>
      </c>
      <c r="CB836" s="32">
        <f t="shared" si="488"/>
        <v>45945</v>
      </c>
      <c r="CC836" t="str">
        <f t="shared" si="489"/>
        <v>Excellent</v>
      </c>
      <c r="CE836" s="32"/>
      <c r="CJ836">
        <f t="shared" ref="CJ836:CJ899" si="490">DAY(E836)</f>
        <v>15</v>
      </c>
      <c r="CK836">
        <f t="shared" ref="CK836:CK899" si="491">MONTH(E836)</f>
        <v>10</v>
      </c>
      <c r="CL836">
        <f t="shared" ref="CL836:CL899" si="492">YEAR(E836)</f>
        <v>2025</v>
      </c>
    </row>
    <row r="837" spans="1:90" ht="15" customHeight="1" x14ac:dyDescent="0.35">
      <c r="A837" t="s">
        <v>2058</v>
      </c>
      <c r="B837" t="s">
        <v>250</v>
      </c>
      <c r="C837" t="s">
        <v>214</v>
      </c>
      <c r="D837" t="s">
        <v>251</v>
      </c>
      <c r="E837" s="32">
        <v>45945</v>
      </c>
      <c r="F837" t="s">
        <v>54</v>
      </c>
      <c r="G837" t="s">
        <v>1749</v>
      </c>
      <c r="H837">
        <v>971556564063</v>
      </c>
      <c r="I837">
        <v>190</v>
      </c>
      <c r="J837" t="s">
        <v>589</v>
      </c>
      <c r="K837" t="s">
        <v>71</v>
      </c>
      <c r="L837" t="s">
        <v>72</v>
      </c>
      <c r="M837" t="s">
        <v>59</v>
      </c>
      <c r="N837" t="s">
        <v>59</v>
      </c>
      <c r="O837" t="s">
        <v>59</v>
      </c>
      <c r="P837" t="s">
        <v>59</v>
      </c>
      <c r="Q837" t="s">
        <v>59</v>
      </c>
      <c r="R837" t="s">
        <v>59</v>
      </c>
      <c r="S837" t="s">
        <v>59</v>
      </c>
      <c r="T837" t="s">
        <v>59</v>
      </c>
      <c r="U837" t="s">
        <v>60</v>
      </c>
      <c r="V837" t="s">
        <v>59</v>
      </c>
      <c r="W837" t="s">
        <v>59</v>
      </c>
      <c r="X837" t="s">
        <v>59</v>
      </c>
      <c r="Y837" t="s">
        <v>59</v>
      </c>
      <c r="Z837" t="s">
        <v>59</v>
      </c>
      <c r="AA837" t="s">
        <v>59</v>
      </c>
      <c r="AB837" t="s">
        <v>59</v>
      </c>
      <c r="AC837" t="s">
        <v>59</v>
      </c>
      <c r="AD837" t="s">
        <v>59</v>
      </c>
      <c r="AE837" t="s">
        <v>59</v>
      </c>
      <c r="AF837" t="s">
        <v>59</v>
      </c>
      <c r="AG837" t="s">
        <v>59</v>
      </c>
      <c r="AH837" t="s">
        <v>61</v>
      </c>
      <c r="AI837" t="s">
        <v>61</v>
      </c>
      <c r="AJ837" t="s">
        <v>59</v>
      </c>
      <c r="AK837" t="s">
        <v>59</v>
      </c>
      <c r="AL837" t="s">
        <v>60</v>
      </c>
      <c r="AM837" t="s">
        <v>59</v>
      </c>
      <c r="AN837" t="s">
        <v>59</v>
      </c>
      <c r="AO837" t="s">
        <v>59</v>
      </c>
      <c r="AP837" t="s">
        <v>467</v>
      </c>
      <c r="AQ837" s="1" t="s">
        <v>2059</v>
      </c>
      <c r="AR837" t="s">
        <v>64</v>
      </c>
      <c r="AS837" t="s">
        <v>255</v>
      </c>
      <c r="AT837" t="s">
        <v>2060</v>
      </c>
      <c r="AU837" t="s">
        <v>219</v>
      </c>
      <c r="AW837" s="4">
        <f t="shared" si="458"/>
        <v>6</v>
      </c>
      <c r="AX837" s="4">
        <f t="shared" si="459"/>
        <v>4</v>
      </c>
      <c r="AY837" s="4">
        <f t="shared" si="460"/>
        <v>4</v>
      </c>
      <c r="AZ837" s="4">
        <f t="shared" si="461"/>
        <v>2</v>
      </c>
      <c r="BA837" s="4">
        <f t="shared" si="462"/>
        <v>4</v>
      </c>
      <c r="BB837" s="4">
        <f t="shared" si="463"/>
        <v>4</v>
      </c>
      <c r="BC837" s="4">
        <f t="shared" si="464"/>
        <v>4</v>
      </c>
      <c r="BD837" s="4">
        <f t="shared" si="465"/>
        <v>2</v>
      </c>
      <c r="BE837" s="4" t="str">
        <f t="shared" si="466"/>
        <v>0</v>
      </c>
      <c r="BF837" s="4">
        <f t="shared" si="467"/>
        <v>2</v>
      </c>
      <c r="BG837" s="4">
        <f t="shared" si="468"/>
        <v>4</v>
      </c>
      <c r="BH837" s="4">
        <f t="shared" si="469"/>
        <v>4</v>
      </c>
      <c r="BI837" s="4">
        <f t="shared" si="470"/>
        <v>4</v>
      </c>
      <c r="BJ837" s="4">
        <f t="shared" si="471"/>
        <v>2</v>
      </c>
      <c r="BK837" s="4">
        <f t="shared" si="472"/>
        <v>4</v>
      </c>
      <c r="BL837" s="4">
        <f t="shared" si="473"/>
        <v>2</v>
      </c>
      <c r="BM837" s="4">
        <f t="shared" si="474"/>
        <v>4</v>
      </c>
      <c r="BN837" s="4">
        <f t="shared" si="475"/>
        <v>4</v>
      </c>
      <c r="BO837" s="4">
        <f t="shared" si="476"/>
        <v>4</v>
      </c>
      <c r="BP837" s="4">
        <f t="shared" si="477"/>
        <v>4</v>
      </c>
      <c r="BQ837" s="4">
        <f t="shared" si="478"/>
        <v>6</v>
      </c>
      <c r="BR837" s="4">
        <f t="shared" si="479"/>
        <v>4</v>
      </c>
      <c r="BS837" s="4">
        <f t="shared" si="480"/>
        <v>4</v>
      </c>
      <c r="BT837" s="4">
        <f t="shared" si="481"/>
        <v>4</v>
      </c>
      <c r="BU837" s="4">
        <f t="shared" si="482"/>
        <v>4</v>
      </c>
      <c r="BV837" s="4" t="str">
        <f t="shared" si="483"/>
        <v>0</v>
      </c>
      <c r="BW837" s="4">
        <f t="shared" si="484"/>
        <v>6</v>
      </c>
      <c r="BX837" s="4">
        <f t="shared" si="485"/>
        <v>0</v>
      </c>
      <c r="BY837" s="4">
        <f t="shared" si="486"/>
        <v>0</v>
      </c>
      <c r="BZ837" s="37">
        <f t="shared" si="487"/>
        <v>96</v>
      </c>
      <c r="CA837" s="32" t="str">
        <f>VLOOKUP(J:J,'Agent wise'!A:C,3,0)</f>
        <v>Shakeer</v>
      </c>
      <c r="CB837" s="32">
        <f t="shared" si="488"/>
        <v>45945</v>
      </c>
      <c r="CC837" t="str">
        <f t="shared" si="489"/>
        <v>Excellent</v>
      </c>
      <c r="CE837" s="32"/>
      <c r="CJ837">
        <f t="shared" si="490"/>
        <v>15</v>
      </c>
      <c r="CK837">
        <f t="shared" si="491"/>
        <v>10</v>
      </c>
      <c r="CL837">
        <f t="shared" si="492"/>
        <v>2025</v>
      </c>
    </row>
    <row r="838" spans="1:90" ht="15" customHeight="1" x14ac:dyDescent="0.35">
      <c r="A838" t="s">
        <v>2061</v>
      </c>
      <c r="B838" t="s">
        <v>250</v>
      </c>
      <c r="C838" t="s">
        <v>214</v>
      </c>
      <c r="D838" t="s">
        <v>251</v>
      </c>
      <c r="E838" s="32">
        <v>45945</v>
      </c>
      <c r="F838" t="s">
        <v>54</v>
      </c>
      <c r="G838" t="s">
        <v>1749</v>
      </c>
      <c r="H838">
        <v>9488089863</v>
      </c>
      <c r="I838">
        <v>200</v>
      </c>
      <c r="J838" t="s">
        <v>493</v>
      </c>
      <c r="K838" t="s">
        <v>71</v>
      </c>
      <c r="L838" t="s">
        <v>72</v>
      </c>
      <c r="M838" t="s">
        <v>59</v>
      </c>
      <c r="N838" t="s">
        <v>59</v>
      </c>
      <c r="O838" t="s">
        <v>59</v>
      </c>
      <c r="P838" t="s">
        <v>59</v>
      </c>
      <c r="Q838" t="s">
        <v>59</v>
      </c>
      <c r="R838" t="s">
        <v>59</v>
      </c>
      <c r="S838" t="s">
        <v>59</v>
      </c>
      <c r="T838" t="s">
        <v>59</v>
      </c>
      <c r="U838" t="s">
        <v>60</v>
      </c>
      <c r="V838" t="s">
        <v>59</v>
      </c>
      <c r="W838" t="s">
        <v>59</v>
      </c>
      <c r="X838" t="s">
        <v>59</v>
      </c>
      <c r="Y838" t="s">
        <v>59</v>
      </c>
      <c r="Z838" t="s">
        <v>60</v>
      </c>
      <c r="AA838" t="s">
        <v>59</v>
      </c>
      <c r="AB838" t="s">
        <v>59</v>
      </c>
      <c r="AC838" t="s">
        <v>59</v>
      </c>
      <c r="AD838" t="s">
        <v>59</v>
      </c>
      <c r="AE838" t="s">
        <v>59</v>
      </c>
      <c r="AF838" t="s">
        <v>59</v>
      </c>
      <c r="AG838" t="s">
        <v>59</v>
      </c>
      <c r="AH838" t="s">
        <v>59</v>
      </c>
      <c r="AI838" t="s">
        <v>61</v>
      </c>
      <c r="AJ838" t="s">
        <v>59</v>
      </c>
      <c r="AK838" t="s">
        <v>59</v>
      </c>
      <c r="AL838" t="s">
        <v>60</v>
      </c>
      <c r="AM838" t="s">
        <v>59</v>
      </c>
      <c r="AN838" t="s">
        <v>59</v>
      </c>
      <c r="AO838" t="s">
        <v>59</v>
      </c>
      <c r="AP838" t="s">
        <v>388</v>
      </c>
      <c r="AQ838" t="s">
        <v>2062</v>
      </c>
      <c r="AR838" t="s">
        <v>64</v>
      </c>
      <c r="AS838" t="s">
        <v>2063</v>
      </c>
      <c r="AT838" t="s">
        <v>123</v>
      </c>
      <c r="AU838" t="s">
        <v>219</v>
      </c>
      <c r="AW838" s="4">
        <f t="shared" si="458"/>
        <v>6</v>
      </c>
      <c r="AX838" s="4">
        <f t="shared" si="459"/>
        <v>4</v>
      </c>
      <c r="AY838" s="4">
        <f t="shared" si="460"/>
        <v>4</v>
      </c>
      <c r="AZ838" s="4">
        <f t="shared" si="461"/>
        <v>2</v>
      </c>
      <c r="BA838" s="4">
        <f t="shared" si="462"/>
        <v>4</v>
      </c>
      <c r="BB838" s="4">
        <f t="shared" si="463"/>
        <v>4</v>
      </c>
      <c r="BC838" s="4">
        <f t="shared" si="464"/>
        <v>4</v>
      </c>
      <c r="BD838" s="4">
        <f t="shared" si="465"/>
        <v>2</v>
      </c>
      <c r="BE838" s="4" t="str">
        <f t="shared" si="466"/>
        <v>0</v>
      </c>
      <c r="BF838" s="4">
        <f t="shared" si="467"/>
        <v>2</v>
      </c>
      <c r="BG838" s="4">
        <f t="shared" si="468"/>
        <v>4</v>
      </c>
      <c r="BH838" s="4">
        <f t="shared" si="469"/>
        <v>4</v>
      </c>
      <c r="BI838" s="4">
        <f t="shared" si="470"/>
        <v>4</v>
      </c>
      <c r="BJ838" s="4" t="str">
        <f t="shared" si="471"/>
        <v>0</v>
      </c>
      <c r="BK838" s="4">
        <f t="shared" si="472"/>
        <v>4</v>
      </c>
      <c r="BL838" s="4">
        <f t="shared" si="473"/>
        <v>2</v>
      </c>
      <c r="BM838" s="4">
        <f t="shared" si="474"/>
        <v>4</v>
      </c>
      <c r="BN838" s="4">
        <f t="shared" si="475"/>
        <v>4</v>
      </c>
      <c r="BO838" s="4">
        <f t="shared" si="476"/>
        <v>4</v>
      </c>
      <c r="BP838" s="4">
        <f t="shared" si="477"/>
        <v>4</v>
      </c>
      <c r="BQ838" s="4">
        <f t="shared" si="478"/>
        <v>6</v>
      </c>
      <c r="BR838" s="4">
        <f t="shared" si="479"/>
        <v>4</v>
      </c>
      <c r="BS838" s="4">
        <f t="shared" si="480"/>
        <v>4</v>
      </c>
      <c r="BT838" s="4">
        <f t="shared" si="481"/>
        <v>4</v>
      </c>
      <c r="BU838" s="4">
        <f t="shared" si="482"/>
        <v>4</v>
      </c>
      <c r="BV838" s="4" t="str">
        <f t="shared" si="483"/>
        <v>0</v>
      </c>
      <c r="BW838" s="4">
        <f t="shared" si="484"/>
        <v>6</v>
      </c>
      <c r="BX838" s="4">
        <f t="shared" si="485"/>
        <v>0</v>
      </c>
      <c r="BY838" s="4">
        <f t="shared" si="486"/>
        <v>0</v>
      </c>
      <c r="BZ838" s="37">
        <f t="shared" si="487"/>
        <v>94</v>
      </c>
      <c r="CA838" s="32" t="str">
        <f>VLOOKUP(J:J,'Agent wise'!A:C,3,0)</f>
        <v>Saran S</v>
      </c>
      <c r="CB838" s="32">
        <f t="shared" si="488"/>
        <v>45945</v>
      </c>
      <c r="CC838" t="str">
        <f t="shared" si="489"/>
        <v>Good</v>
      </c>
      <c r="CE838" s="32"/>
      <c r="CJ838">
        <f t="shared" si="490"/>
        <v>15</v>
      </c>
      <c r="CK838">
        <f t="shared" si="491"/>
        <v>10</v>
      </c>
      <c r="CL838">
        <f t="shared" si="492"/>
        <v>2025</v>
      </c>
    </row>
    <row r="839" spans="1:90" ht="15" customHeight="1" x14ac:dyDescent="0.35">
      <c r="A839" t="s">
        <v>2064</v>
      </c>
      <c r="B839" t="s">
        <v>100</v>
      </c>
      <c r="C839" t="s">
        <v>214</v>
      </c>
      <c r="D839" t="s">
        <v>101</v>
      </c>
      <c r="E839" s="32">
        <v>45945</v>
      </c>
      <c r="F839" t="s">
        <v>222</v>
      </c>
      <c r="G839" t="s">
        <v>1749</v>
      </c>
      <c r="H839">
        <v>9446115718</v>
      </c>
      <c r="I839">
        <v>148</v>
      </c>
      <c r="J839" t="s">
        <v>67</v>
      </c>
      <c r="K839" t="s">
        <v>57</v>
      </c>
      <c r="L839" t="s">
        <v>58</v>
      </c>
      <c r="M839" t="s">
        <v>59</v>
      </c>
      <c r="N839" t="s">
        <v>59</v>
      </c>
      <c r="O839" t="s">
        <v>59</v>
      </c>
      <c r="P839" t="s">
        <v>59</v>
      </c>
      <c r="Q839" t="s">
        <v>59</v>
      </c>
      <c r="R839" t="s">
        <v>59</v>
      </c>
      <c r="S839" t="s">
        <v>59</v>
      </c>
      <c r="T839" t="s">
        <v>59</v>
      </c>
      <c r="U839" t="s">
        <v>59</v>
      </c>
      <c r="V839" t="s">
        <v>59</v>
      </c>
      <c r="W839" t="s">
        <v>59</v>
      </c>
      <c r="X839" t="s">
        <v>59</v>
      </c>
      <c r="Y839" t="s">
        <v>59</v>
      </c>
      <c r="Z839" t="s">
        <v>59</v>
      </c>
      <c r="AA839" t="s">
        <v>60</v>
      </c>
      <c r="AB839" t="s">
        <v>61</v>
      </c>
      <c r="AC839" t="s">
        <v>61</v>
      </c>
      <c r="AD839" t="s">
        <v>61</v>
      </c>
      <c r="AE839" t="s">
        <v>59</v>
      </c>
      <c r="AF839" t="s">
        <v>61</v>
      </c>
      <c r="AG839" t="s">
        <v>59</v>
      </c>
      <c r="AH839" t="s">
        <v>61</v>
      </c>
      <c r="AI839" t="s">
        <v>61</v>
      </c>
      <c r="AJ839" t="s">
        <v>61</v>
      </c>
      <c r="AK839" t="s">
        <v>61</v>
      </c>
      <c r="AL839" t="s">
        <v>60</v>
      </c>
      <c r="AM839" t="s">
        <v>59</v>
      </c>
      <c r="AN839" t="s">
        <v>59</v>
      </c>
      <c r="AO839" t="s">
        <v>59</v>
      </c>
      <c r="AP839" t="s">
        <v>188</v>
      </c>
      <c r="AQ839" s="1" t="s">
        <v>2065</v>
      </c>
      <c r="AR839" t="s">
        <v>226</v>
      </c>
      <c r="AS839" t="s">
        <v>352</v>
      </c>
      <c r="AT839" t="s">
        <v>352</v>
      </c>
      <c r="AU839" t="s">
        <v>219</v>
      </c>
      <c r="AW839" s="4">
        <f t="shared" si="458"/>
        <v>6</v>
      </c>
      <c r="AX839" s="4">
        <f t="shared" si="459"/>
        <v>4</v>
      </c>
      <c r="AY839" s="4">
        <f t="shared" si="460"/>
        <v>4</v>
      </c>
      <c r="AZ839" s="4">
        <f t="shared" si="461"/>
        <v>2</v>
      </c>
      <c r="BA839" s="4">
        <f t="shared" si="462"/>
        <v>4</v>
      </c>
      <c r="BB839" s="4">
        <f t="shared" si="463"/>
        <v>4</v>
      </c>
      <c r="BC839" s="4">
        <f t="shared" si="464"/>
        <v>4</v>
      </c>
      <c r="BD839" s="4">
        <f t="shared" si="465"/>
        <v>2</v>
      </c>
      <c r="BE839" s="4">
        <f t="shared" si="466"/>
        <v>4</v>
      </c>
      <c r="BF839" s="4">
        <f t="shared" si="467"/>
        <v>2</v>
      </c>
      <c r="BG839" s="4">
        <f t="shared" si="468"/>
        <v>4</v>
      </c>
      <c r="BH839" s="4">
        <f t="shared" si="469"/>
        <v>4</v>
      </c>
      <c r="BI839" s="4">
        <f t="shared" si="470"/>
        <v>4</v>
      </c>
      <c r="BJ839" s="4">
        <f t="shared" si="471"/>
        <v>2</v>
      </c>
      <c r="BK839" s="4" t="str">
        <f t="shared" si="472"/>
        <v>0</v>
      </c>
      <c r="BL839" s="4">
        <f t="shared" si="473"/>
        <v>2</v>
      </c>
      <c r="BM839" s="4">
        <f t="shared" si="474"/>
        <v>4</v>
      </c>
      <c r="BN839" s="4">
        <f t="shared" si="475"/>
        <v>4</v>
      </c>
      <c r="BO839" s="4">
        <f t="shared" si="476"/>
        <v>4</v>
      </c>
      <c r="BP839" s="4">
        <f t="shared" si="477"/>
        <v>4</v>
      </c>
      <c r="BQ839" s="4">
        <f t="shared" si="478"/>
        <v>6</v>
      </c>
      <c r="BR839" s="4">
        <f t="shared" si="479"/>
        <v>4</v>
      </c>
      <c r="BS839" s="4">
        <f t="shared" si="480"/>
        <v>4</v>
      </c>
      <c r="BT839" s="4">
        <f t="shared" si="481"/>
        <v>4</v>
      </c>
      <c r="BU839" s="4">
        <f t="shared" si="482"/>
        <v>4</v>
      </c>
      <c r="BV839" s="4" t="str">
        <f t="shared" si="483"/>
        <v>0</v>
      </c>
      <c r="BW839" s="4">
        <f t="shared" si="484"/>
        <v>6</v>
      </c>
      <c r="BX839" s="4">
        <f t="shared" si="485"/>
        <v>0</v>
      </c>
      <c r="BY839" s="4">
        <f t="shared" si="486"/>
        <v>0</v>
      </c>
      <c r="BZ839" s="37">
        <f t="shared" si="487"/>
        <v>96</v>
      </c>
      <c r="CA839" s="32" t="str">
        <f>VLOOKUP(J:J,'Agent wise'!A:C,3,0)</f>
        <v>Saran S</v>
      </c>
      <c r="CB839" s="32">
        <f t="shared" si="488"/>
        <v>45945</v>
      </c>
      <c r="CC839" t="str">
        <f t="shared" si="489"/>
        <v>Excellent</v>
      </c>
      <c r="CE839" s="32"/>
      <c r="CJ839">
        <f t="shared" si="490"/>
        <v>15</v>
      </c>
      <c r="CK839">
        <f t="shared" si="491"/>
        <v>10</v>
      </c>
      <c r="CL839">
        <f t="shared" si="492"/>
        <v>2025</v>
      </c>
    </row>
    <row r="840" spans="1:90" ht="15" customHeight="1" x14ac:dyDescent="0.35">
      <c r="A840" t="s">
        <v>2066</v>
      </c>
      <c r="B840" t="s">
        <v>250</v>
      </c>
      <c r="C840" t="s">
        <v>214</v>
      </c>
      <c r="D840" t="s">
        <v>251</v>
      </c>
      <c r="E840" s="32">
        <v>45945</v>
      </c>
      <c r="F840" t="s">
        <v>54</v>
      </c>
      <c r="G840" t="s">
        <v>1749</v>
      </c>
      <c r="H840">
        <v>8925628183</v>
      </c>
      <c r="I840">
        <v>156</v>
      </c>
      <c r="J840" t="s">
        <v>521</v>
      </c>
      <c r="K840" t="s">
        <v>71</v>
      </c>
      <c r="L840" t="s">
        <v>72</v>
      </c>
      <c r="M840" t="s">
        <v>60</v>
      </c>
      <c r="N840" t="s">
        <v>59</v>
      </c>
      <c r="O840" t="s">
        <v>59</v>
      </c>
      <c r="P840" t="s">
        <v>59</v>
      </c>
      <c r="Q840" t="s">
        <v>59</v>
      </c>
      <c r="R840" t="s">
        <v>59</v>
      </c>
      <c r="S840" t="s">
        <v>59</v>
      </c>
      <c r="T840" t="s">
        <v>59</v>
      </c>
      <c r="U840" t="s">
        <v>60</v>
      </c>
      <c r="V840" t="s">
        <v>59</v>
      </c>
      <c r="W840" t="s">
        <v>59</v>
      </c>
      <c r="X840" t="s">
        <v>59</v>
      </c>
      <c r="Y840" t="s">
        <v>59</v>
      </c>
      <c r="Z840" t="s">
        <v>59</v>
      </c>
      <c r="AA840" t="s">
        <v>59</v>
      </c>
      <c r="AB840" t="s">
        <v>59</v>
      </c>
      <c r="AC840" t="s">
        <v>60</v>
      </c>
      <c r="AD840" t="s">
        <v>59</v>
      </c>
      <c r="AE840" t="s">
        <v>59</v>
      </c>
      <c r="AF840" t="s">
        <v>59</v>
      </c>
      <c r="AG840" t="s">
        <v>59</v>
      </c>
      <c r="AH840" t="s">
        <v>59</v>
      </c>
      <c r="AI840" t="s">
        <v>61</v>
      </c>
      <c r="AJ840" t="s">
        <v>59</v>
      </c>
      <c r="AK840" t="s">
        <v>59</v>
      </c>
      <c r="AL840" t="s">
        <v>60</v>
      </c>
      <c r="AM840" t="s">
        <v>59</v>
      </c>
      <c r="AN840" t="s">
        <v>59</v>
      </c>
      <c r="AO840" t="s">
        <v>59</v>
      </c>
      <c r="AP840" t="s">
        <v>2067</v>
      </c>
      <c r="AQ840" t="s">
        <v>2068</v>
      </c>
      <c r="AR840" t="s">
        <v>64</v>
      </c>
      <c r="AS840" t="s">
        <v>255</v>
      </c>
      <c r="AT840" t="s">
        <v>256</v>
      </c>
      <c r="AU840" t="s">
        <v>219</v>
      </c>
      <c r="AW840" s="4" t="str">
        <f t="shared" si="458"/>
        <v>0</v>
      </c>
      <c r="AX840" s="4">
        <f t="shared" si="459"/>
        <v>4</v>
      </c>
      <c r="AY840" s="4">
        <f t="shared" si="460"/>
        <v>4</v>
      </c>
      <c r="AZ840" s="4">
        <f t="shared" si="461"/>
        <v>2</v>
      </c>
      <c r="BA840" s="4">
        <f t="shared" si="462"/>
        <v>4</v>
      </c>
      <c r="BB840" s="4">
        <f t="shared" si="463"/>
        <v>4</v>
      </c>
      <c r="BC840" s="4">
        <f t="shared" si="464"/>
        <v>4</v>
      </c>
      <c r="BD840" s="4">
        <f t="shared" si="465"/>
        <v>2</v>
      </c>
      <c r="BE840" s="4" t="str">
        <f t="shared" si="466"/>
        <v>0</v>
      </c>
      <c r="BF840" s="4">
        <f t="shared" si="467"/>
        <v>2</v>
      </c>
      <c r="BG840" s="4">
        <f t="shared" si="468"/>
        <v>4</v>
      </c>
      <c r="BH840" s="4">
        <f t="shared" si="469"/>
        <v>4</v>
      </c>
      <c r="BI840" s="4">
        <f t="shared" si="470"/>
        <v>4</v>
      </c>
      <c r="BJ840" s="4">
        <f t="shared" si="471"/>
        <v>2</v>
      </c>
      <c r="BK840" s="4">
        <f t="shared" si="472"/>
        <v>4</v>
      </c>
      <c r="BL840" s="4">
        <f t="shared" si="473"/>
        <v>2</v>
      </c>
      <c r="BM840" s="4" t="str">
        <f t="shared" si="474"/>
        <v>0</v>
      </c>
      <c r="BN840" s="4">
        <f t="shared" si="475"/>
        <v>4</v>
      </c>
      <c r="BO840" s="4">
        <f t="shared" si="476"/>
        <v>4</v>
      </c>
      <c r="BP840" s="4">
        <f t="shared" si="477"/>
        <v>4</v>
      </c>
      <c r="BQ840" s="4">
        <f t="shared" si="478"/>
        <v>6</v>
      </c>
      <c r="BR840" s="4">
        <f t="shared" si="479"/>
        <v>4</v>
      </c>
      <c r="BS840" s="4">
        <f t="shared" si="480"/>
        <v>4</v>
      </c>
      <c r="BT840" s="4">
        <f t="shared" si="481"/>
        <v>4</v>
      </c>
      <c r="BU840" s="4">
        <f t="shared" si="482"/>
        <v>4</v>
      </c>
      <c r="BV840" s="4" t="str">
        <f t="shared" si="483"/>
        <v>0</v>
      </c>
      <c r="BW840" s="4">
        <f t="shared" si="484"/>
        <v>6</v>
      </c>
      <c r="BX840" s="4">
        <f t="shared" si="485"/>
        <v>0</v>
      </c>
      <c r="BY840" s="4">
        <f t="shared" si="486"/>
        <v>0</v>
      </c>
      <c r="BZ840" s="37">
        <f t="shared" si="487"/>
        <v>86</v>
      </c>
      <c r="CA840" s="32" t="str">
        <f>VLOOKUP(J:J,'Agent wise'!A:C,3,0)</f>
        <v>Adharsh</v>
      </c>
      <c r="CB840" s="32">
        <f t="shared" si="488"/>
        <v>45945</v>
      </c>
      <c r="CC840" t="str">
        <f t="shared" si="489"/>
        <v>Average</v>
      </c>
      <c r="CE840" s="32"/>
      <c r="CJ840">
        <f t="shared" si="490"/>
        <v>15</v>
      </c>
      <c r="CK840">
        <f t="shared" si="491"/>
        <v>10</v>
      </c>
      <c r="CL840">
        <f t="shared" si="492"/>
        <v>2025</v>
      </c>
    </row>
    <row r="841" spans="1:90" ht="15" customHeight="1" x14ac:dyDescent="0.35">
      <c r="A841" t="s">
        <v>2069</v>
      </c>
      <c r="B841" t="s">
        <v>100</v>
      </c>
      <c r="C841" t="s">
        <v>214</v>
      </c>
      <c r="D841" t="s">
        <v>101</v>
      </c>
      <c r="E841" s="32">
        <v>45945</v>
      </c>
      <c r="F841" t="s">
        <v>222</v>
      </c>
      <c r="G841" t="s">
        <v>1749</v>
      </c>
      <c r="H841">
        <v>9445488921</v>
      </c>
      <c r="I841">
        <v>166</v>
      </c>
      <c r="J841" t="s">
        <v>246</v>
      </c>
      <c r="K841" t="s">
        <v>86</v>
      </c>
      <c r="L841" t="s">
        <v>72</v>
      </c>
      <c r="M841" t="s">
        <v>59</v>
      </c>
      <c r="N841" t="s">
        <v>59</v>
      </c>
      <c r="O841" t="s">
        <v>59</v>
      </c>
      <c r="P841" t="s">
        <v>59</v>
      </c>
      <c r="Q841" t="s">
        <v>59</v>
      </c>
      <c r="R841" t="s">
        <v>59</v>
      </c>
      <c r="S841" t="s">
        <v>59</v>
      </c>
      <c r="T841" t="s">
        <v>59</v>
      </c>
      <c r="U841" t="s">
        <v>59</v>
      </c>
      <c r="V841" t="s">
        <v>59</v>
      </c>
      <c r="W841" t="s">
        <v>59</v>
      </c>
      <c r="X841" t="s">
        <v>61</v>
      </c>
      <c r="Y841" t="s">
        <v>59</v>
      </c>
      <c r="Z841" t="s">
        <v>59</v>
      </c>
      <c r="AA841" t="s">
        <v>60</v>
      </c>
      <c r="AB841" t="s">
        <v>59</v>
      </c>
      <c r="AC841" t="s">
        <v>61</v>
      </c>
      <c r="AD841" t="s">
        <v>61</v>
      </c>
      <c r="AE841" t="s">
        <v>59</v>
      </c>
      <c r="AF841" t="s">
        <v>61</v>
      </c>
      <c r="AG841" t="s">
        <v>59</v>
      </c>
      <c r="AH841" t="s">
        <v>61</v>
      </c>
      <c r="AI841" t="s">
        <v>61</v>
      </c>
      <c r="AJ841" t="s">
        <v>61</v>
      </c>
      <c r="AK841" t="s">
        <v>61</v>
      </c>
      <c r="AL841" t="s">
        <v>60</v>
      </c>
      <c r="AM841" t="s">
        <v>59</v>
      </c>
      <c r="AN841" t="s">
        <v>59</v>
      </c>
      <c r="AO841" t="s">
        <v>59</v>
      </c>
      <c r="AP841" t="s">
        <v>188</v>
      </c>
      <c r="AQ841" s="1" t="s">
        <v>2057</v>
      </c>
      <c r="AR841" t="s">
        <v>226</v>
      </c>
      <c r="AS841" t="s">
        <v>352</v>
      </c>
      <c r="AT841" t="s">
        <v>352</v>
      </c>
      <c r="AU841" t="s">
        <v>219</v>
      </c>
      <c r="AW841" s="4">
        <f t="shared" si="458"/>
        <v>6</v>
      </c>
      <c r="AX841" s="4">
        <f t="shared" si="459"/>
        <v>4</v>
      </c>
      <c r="AY841" s="4">
        <f t="shared" si="460"/>
        <v>4</v>
      </c>
      <c r="AZ841" s="4">
        <f t="shared" si="461"/>
        <v>2</v>
      </c>
      <c r="BA841" s="4">
        <f t="shared" si="462"/>
        <v>4</v>
      </c>
      <c r="BB841" s="4">
        <f t="shared" si="463"/>
        <v>4</v>
      </c>
      <c r="BC841" s="4">
        <f t="shared" si="464"/>
        <v>4</v>
      </c>
      <c r="BD841" s="4">
        <f t="shared" si="465"/>
        <v>2</v>
      </c>
      <c r="BE841" s="4">
        <f t="shared" si="466"/>
        <v>4</v>
      </c>
      <c r="BF841" s="4">
        <f t="shared" si="467"/>
        <v>2</v>
      </c>
      <c r="BG841" s="4">
        <f t="shared" si="468"/>
        <v>4</v>
      </c>
      <c r="BH841" s="4">
        <f t="shared" si="469"/>
        <v>4</v>
      </c>
      <c r="BI841" s="4">
        <f t="shared" si="470"/>
        <v>4</v>
      </c>
      <c r="BJ841" s="4">
        <f t="shared" si="471"/>
        <v>2</v>
      </c>
      <c r="BK841" s="4" t="str">
        <f t="shared" si="472"/>
        <v>0</v>
      </c>
      <c r="BL841" s="4">
        <f t="shared" si="473"/>
        <v>2</v>
      </c>
      <c r="BM841" s="4">
        <f t="shared" si="474"/>
        <v>4</v>
      </c>
      <c r="BN841" s="4">
        <f t="shared" si="475"/>
        <v>4</v>
      </c>
      <c r="BO841" s="4">
        <f t="shared" si="476"/>
        <v>4</v>
      </c>
      <c r="BP841" s="4">
        <f t="shared" si="477"/>
        <v>4</v>
      </c>
      <c r="BQ841" s="4">
        <f t="shared" si="478"/>
        <v>6</v>
      </c>
      <c r="BR841" s="4">
        <f t="shared" si="479"/>
        <v>4</v>
      </c>
      <c r="BS841" s="4">
        <f t="shared" si="480"/>
        <v>4</v>
      </c>
      <c r="BT841" s="4">
        <f t="shared" si="481"/>
        <v>4</v>
      </c>
      <c r="BU841" s="4">
        <f t="shared" si="482"/>
        <v>4</v>
      </c>
      <c r="BV841" s="4" t="str">
        <f t="shared" si="483"/>
        <v>0</v>
      </c>
      <c r="BW841" s="4">
        <f t="shared" si="484"/>
        <v>6</v>
      </c>
      <c r="BX841" s="4">
        <f t="shared" si="485"/>
        <v>0</v>
      </c>
      <c r="BY841" s="4">
        <f t="shared" si="486"/>
        <v>0</v>
      </c>
      <c r="BZ841" s="37">
        <f t="shared" si="487"/>
        <v>96</v>
      </c>
      <c r="CA841" s="32" t="str">
        <f>VLOOKUP(J:J,'Agent wise'!A:C,3,0)</f>
        <v>Amal</v>
      </c>
      <c r="CB841" s="32">
        <f t="shared" si="488"/>
        <v>45945</v>
      </c>
      <c r="CC841" t="str">
        <f t="shared" si="489"/>
        <v>Excellent</v>
      </c>
      <c r="CE841" s="32"/>
      <c r="CJ841">
        <f t="shared" si="490"/>
        <v>15</v>
      </c>
      <c r="CK841">
        <f t="shared" si="491"/>
        <v>10</v>
      </c>
      <c r="CL841">
        <f t="shared" si="492"/>
        <v>2025</v>
      </c>
    </row>
    <row r="842" spans="1:90" ht="15" customHeight="1" x14ac:dyDescent="0.35">
      <c r="A842" t="s">
        <v>2070</v>
      </c>
      <c r="B842" t="s">
        <v>100</v>
      </c>
      <c r="C842" t="s">
        <v>214</v>
      </c>
      <c r="D842" t="s">
        <v>101</v>
      </c>
      <c r="E842" s="32">
        <v>45945</v>
      </c>
      <c r="F842" t="s">
        <v>222</v>
      </c>
      <c r="G842" t="s">
        <v>1749</v>
      </c>
      <c r="H842">
        <v>8547332824</v>
      </c>
      <c r="I842">
        <v>143</v>
      </c>
      <c r="J842" t="s">
        <v>132</v>
      </c>
      <c r="K842" t="s">
        <v>57</v>
      </c>
      <c r="L842" t="s">
        <v>58</v>
      </c>
      <c r="M842" t="s">
        <v>59</v>
      </c>
      <c r="N842" t="s">
        <v>59</v>
      </c>
      <c r="O842" t="s">
        <v>59</v>
      </c>
      <c r="P842" t="s">
        <v>59</v>
      </c>
      <c r="Q842" t="s">
        <v>59</v>
      </c>
      <c r="R842" t="s">
        <v>59</v>
      </c>
      <c r="S842" t="s">
        <v>59</v>
      </c>
      <c r="T842" t="s">
        <v>59</v>
      </c>
      <c r="U842" t="s">
        <v>59</v>
      </c>
      <c r="V842" t="s">
        <v>59</v>
      </c>
      <c r="W842" t="s">
        <v>59</v>
      </c>
      <c r="X842" t="s">
        <v>61</v>
      </c>
      <c r="Y842" t="s">
        <v>59</v>
      </c>
      <c r="Z842" t="s">
        <v>59</v>
      </c>
      <c r="AA842" t="s">
        <v>60</v>
      </c>
      <c r="AB842" t="s">
        <v>59</v>
      </c>
      <c r="AC842" t="s">
        <v>61</v>
      </c>
      <c r="AD842" t="s">
        <v>61</v>
      </c>
      <c r="AE842" t="s">
        <v>59</v>
      </c>
      <c r="AF842" t="s">
        <v>61</v>
      </c>
      <c r="AG842" t="s">
        <v>59</v>
      </c>
      <c r="AH842" t="s">
        <v>61</v>
      </c>
      <c r="AI842" t="s">
        <v>61</v>
      </c>
      <c r="AJ842" t="s">
        <v>61</v>
      </c>
      <c r="AK842" t="s">
        <v>61</v>
      </c>
      <c r="AL842" t="s">
        <v>60</v>
      </c>
      <c r="AM842" t="s">
        <v>59</v>
      </c>
      <c r="AN842" t="s">
        <v>59</v>
      </c>
      <c r="AO842" t="s">
        <v>59</v>
      </c>
      <c r="AP842" t="s">
        <v>188</v>
      </c>
      <c r="AQ842" s="1" t="s">
        <v>2057</v>
      </c>
      <c r="AR842" t="s">
        <v>226</v>
      </c>
      <c r="AS842" t="s">
        <v>352</v>
      </c>
      <c r="AT842" t="s">
        <v>352</v>
      </c>
      <c r="AU842" t="s">
        <v>219</v>
      </c>
      <c r="AW842" s="4">
        <f t="shared" si="458"/>
        <v>6</v>
      </c>
      <c r="AX842" s="4">
        <f t="shared" si="459"/>
        <v>4</v>
      </c>
      <c r="AY842" s="4">
        <f t="shared" si="460"/>
        <v>4</v>
      </c>
      <c r="AZ842" s="4">
        <f t="shared" si="461"/>
        <v>2</v>
      </c>
      <c r="BA842" s="4">
        <f t="shared" si="462"/>
        <v>4</v>
      </c>
      <c r="BB842" s="4">
        <f t="shared" si="463"/>
        <v>4</v>
      </c>
      <c r="BC842" s="4">
        <f t="shared" si="464"/>
        <v>4</v>
      </c>
      <c r="BD842" s="4">
        <f t="shared" si="465"/>
        <v>2</v>
      </c>
      <c r="BE842" s="4">
        <f t="shared" si="466"/>
        <v>4</v>
      </c>
      <c r="BF842" s="4">
        <f t="shared" si="467"/>
        <v>2</v>
      </c>
      <c r="BG842" s="4">
        <f t="shared" si="468"/>
        <v>4</v>
      </c>
      <c r="BH842" s="4">
        <f t="shared" si="469"/>
        <v>4</v>
      </c>
      <c r="BI842" s="4">
        <f t="shared" si="470"/>
        <v>4</v>
      </c>
      <c r="BJ842" s="4">
        <f t="shared" si="471"/>
        <v>2</v>
      </c>
      <c r="BK842" s="4" t="str">
        <f t="shared" si="472"/>
        <v>0</v>
      </c>
      <c r="BL842" s="4">
        <f t="shared" si="473"/>
        <v>2</v>
      </c>
      <c r="BM842" s="4">
        <f t="shared" si="474"/>
        <v>4</v>
      </c>
      <c r="BN842" s="4">
        <f t="shared" si="475"/>
        <v>4</v>
      </c>
      <c r="BO842" s="4">
        <f t="shared" si="476"/>
        <v>4</v>
      </c>
      <c r="BP842" s="4">
        <f t="shared" si="477"/>
        <v>4</v>
      </c>
      <c r="BQ842" s="4">
        <f t="shared" si="478"/>
        <v>6</v>
      </c>
      <c r="BR842" s="4">
        <f t="shared" si="479"/>
        <v>4</v>
      </c>
      <c r="BS842" s="4">
        <f t="shared" si="480"/>
        <v>4</v>
      </c>
      <c r="BT842" s="4">
        <f t="shared" si="481"/>
        <v>4</v>
      </c>
      <c r="BU842" s="4">
        <f t="shared" si="482"/>
        <v>4</v>
      </c>
      <c r="BV842" s="4" t="str">
        <f t="shared" si="483"/>
        <v>0</v>
      </c>
      <c r="BW842" s="4">
        <f t="shared" si="484"/>
        <v>6</v>
      </c>
      <c r="BX842" s="4">
        <f t="shared" si="485"/>
        <v>0</v>
      </c>
      <c r="BY842" s="4">
        <f t="shared" si="486"/>
        <v>0</v>
      </c>
      <c r="BZ842" s="37">
        <f t="shared" si="487"/>
        <v>96</v>
      </c>
      <c r="CA842" s="32" t="str">
        <f>VLOOKUP(J:J,'Agent wise'!A:C,3,0)</f>
        <v>Shakeer</v>
      </c>
      <c r="CB842" s="32">
        <f t="shared" si="488"/>
        <v>45945</v>
      </c>
      <c r="CC842" t="str">
        <f t="shared" si="489"/>
        <v>Excellent</v>
      </c>
      <c r="CE842" s="32"/>
      <c r="CJ842">
        <f t="shared" si="490"/>
        <v>15</v>
      </c>
      <c r="CK842">
        <f t="shared" si="491"/>
        <v>10</v>
      </c>
      <c r="CL842">
        <f t="shared" si="492"/>
        <v>2025</v>
      </c>
    </row>
    <row r="843" spans="1:90" ht="15" customHeight="1" x14ac:dyDescent="0.35">
      <c r="A843" t="s">
        <v>2071</v>
      </c>
      <c r="B843" t="s">
        <v>100</v>
      </c>
      <c r="C843" t="s">
        <v>214</v>
      </c>
      <c r="D843" t="s">
        <v>101</v>
      </c>
      <c r="E843" s="32">
        <v>45945</v>
      </c>
      <c r="F843" t="s">
        <v>222</v>
      </c>
      <c r="G843" t="s">
        <v>1749</v>
      </c>
      <c r="H843">
        <v>9445721154</v>
      </c>
      <c r="I843">
        <v>161</v>
      </c>
      <c r="J843" t="s">
        <v>307</v>
      </c>
      <c r="K843" t="s">
        <v>86</v>
      </c>
      <c r="L843" t="s">
        <v>72</v>
      </c>
      <c r="M843" t="s">
        <v>59</v>
      </c>
      <c r="N843" t="s">
        <v>59</v>
      </c>
      <c r="O843" t="s">
        <v>60</v>
      </c>
      <c r="P843" t="s">
        <v>60</v>
      </c>
      <c r="Q843" t="s">
        <v>60</v>
      </c>
      <c r="R843" t="s">
        <v>59</v>
      </c>
      <c r="S843" t="s">
        <v>59</v>
      </c>
      <c r="T843" t="s">
        <v>59</v>
      </c>
      <c r="U843" t="s">
        <v>59</v>
      </c>
      <c r="V843" t="s">
        <v>59</v>
      </c>
      <c r="W843" t="s">
        <v>59</v>
      </c>
      <c r="X843" t="s">
        <v>59</v>
      </c>
      <c r="Y843" t="s">
        <v>59</v>
      </c>
      <c r="Z843" t="s">
        <v>59</v>
      </c>
      <c r="AA843" t="s">
        <v>60</v>
      </c>
      <c r="AB843" t="s">
        <v>60</v>
      </c>
      <c r="AC843" t="s">
        <v>61</v>
      </c>
      <c r="AD843" t="s">
        <v>61</v>
      </c>
      <c r="AE843" t="s">
        <v>59</v>
      </c>
      <c r="AF843" t="s">
        <v>61</v>
      </c>
      <c r="AG843" t="s">
        <v>59</v>
      </c>
      <c r="AH843" t="s">
        <v>61</v>
      </c>
      <c r="AI843" t="s">
        <v>61</v>
      </c>
      <c r="AJ843" t="s">
        <v>61</v>
      </c>
      <c r="AK843" t="s">
        <v>61</v>
      </c>
      <c r="AL843" t="s">
        <v>60</v>
      </c>
      <c r="AM843" t="s">
        <v>59</v>
      </c>
      <c r="AN843" t="s">
        <v>59</v>
      </c>
      <c r="AO843" t="s">
        <v>59</v>
      </c>
      <c r="AP843" t="s">
        <v>798</v>
      </c>
      <c r="AQ843" s="1" t="s">
        <v>2072</v>
      </c>
      <c r="AR843" t="s">
        <v>226</v>
      </c>
      <c r="AS843" t="s">
        <v>352</v>
      </c>
      <c r="AT843" t="s">
        <v>352</v>
      </c>
      <c r="AU843" t="s">
        <v>387</v>
      </c>
      <c r="AW843" s="4">
        <f t="shared" si="458"/>
        <v>6</v>
      </c>
      <c r="AX843" s="4">
        <f t="shared" si="459"/>
        <v>4</v>
      </c>
      <c r="AY843" s="4" t="str">
        <f t="shared" si="460"/>
        <v>0</v>
      </c>
      <c r="AZ843" s="4" t="str">
        <f t="shared" si="461"/>
        <v>0</v>
      </c>
      <c r="BA843" s="4" t="str">
        <f t="shared" si="462"/>
        <v>0</v>
      </c>
      <c r="BB843" s="4">
        <f t="shared" si="463"/>
        <v>4</v>
      </c>
      <c r="BC843" s="4">
        <f t="shared" si="464"/>
        <v>4</v>
      </c>
      <c r="BD843" s="4">
        <f t="shared" si="465"/>
        <v>2</v>
      </c>
      <c r="BE843" s="4">
        <f t="shared" si="466"/>
        <v>4</v>
      </c>
      <c r="BF843" s="4">
        <f t="shared" si="467"/>
        <v>2</v>
      </c>
      <c r="BG843" s="4">
        <f t="shared" si="468"/>
        <v>4</v>
      </c>
      <c r="BH843" s="4">
        <f t="shared" si="469"/>
        <v>4</v>
      </c>
      <c r="BI843" s="4">
        <f t="shared" si="470"/>
        <v>4</v>
      </c>
      <c r="BJ843" s="4">
        <f t="shared" si="471"/>
        <v>2</v>
      </c>
      <c r="BK843" s="4" t="str">
        <f t="shared" si="472"/>
        <v>0</v>
      </c>
      <c r="BL843" s="4" t="str">
        <f t="shared" si="473"/>
        <v>0</v>
      </c>
      <c r="BM843" s="4">
        <f t="shared" si="474"/>
        <v>4</v>
      </c>
      <c r="BN843" s="4">
        <f t="shared" si="475"/>
        <v>4</v>
      </c>
      <c r="BO843" s="4">
        <f t="shared" si="476"/>
        <v>4</v>
      </c>
      <c r="BP843" s="4">
        <f t="shared" si="477"/>
        <v>4</v>
      </c>
      <c r="BQ843" s="4">
        <f t="shared" si="478"/>
        <v>6</v>
      </c>
      <c r="BR843" s="4">
        <f t="shared" si="479"/>
        <v>4</v>
      </c>
      <c r="BS843" s="4">
        <f t="shared" si="480"/>
        <v>4</v>
      </c>
      <c r="BT843" s="4">
        <f t="shared" si="481"/>
        <v>4</v>
      </c>
      <c r="BU843" s="4">
        <f t="shared" si="482"/>
        <v>4</v>
      </c>
      <c r="BV843" s="4" t="str">
        <f t="shared" si="483"/>
        <v>0</v>
      </c>
      <c r="BW843" s="4">
        <f t="shared" si="484"/>
        <v>6</v>
      </c>
      <c r="BX843" s="4">
        <f t="shared" si="485"/>
        <v>0</v>
      </c>
      <c r="BY843" s="4">
        <f t="shared" si="486"/>
        <v>0</v>
      </c>
      <c r="BZ843" s="37">
        <f t="shared" si="487"/>
        <v>84</v>
      </c>
      <c r="CA843" s="32" t="str">
        <f>VLOOKUP(J:J,'Agent wise'!A:C,3,0)</f>
        <v>Amal</v>
      </c>
      <c r="CB843" s="32">
        <f t="shared" si="488"/>
        <v>45945</v>
      </c>
      <c r="CC843" t="str">
        <f t="shared" si="489"/>
        <v>FC</v>
      </c>
      <c r="CE843" s="32"/>
      <c r="CJ843">
        <f t="shared" si="490"/>
        <v>15</v>
      </c>
      <c r="CK843">
        <f t="shared" si="491"/>
        <v>10</v>
      </c>
      <c r="CL843">
        <f t="shared" si="492"/>
        <v>2025</v>
      </c>
    </row>
    <row r="844" spans="1:90" ht="15" customHeight="1" x14ac:dyDescent="0.35">
      <c r="A844" t="s">
        <v>2073</v>
      </c>
      <c r="B844" t="s">
        <v>250</v>
      </c>
      <c r="C844" t="s">
        <v>214</v>
      </c>
      <c r="D844" t="s">
        <v>251</v>
      </c>
      <c r="E844" s="32">
        <v>45945</v>
      </c>
      <c r="F844" t="s">
        <v>54</v>
      </c>
      <c r="G844" t="s">
        <v>1749</v>
      </c>
      <c r="H844">
        <v>9495689820</v>
      </c>
      <c r="I844">
        <v>180</v>
      </c>
      <c r="J844" t="s">
        <v>154</v>
      </c>
      <c r="K844" t="s">
        <v>57</v>
      </c>
      <c r="L844" t="s">
        <v>58</v>
      </c>
      <c r="M844" t="s">
        <v>60</v>
      </c>
      <c r="N844" t="s">
        <v>59</v>
      </c>
      <c r="O844" t="s">
        <v>59</v>
      </c>
      <c r="P844" t="s">
        <v>59</v>
      </c>
      <c r="Q844" t="s">
        <v>59</v>
      </c>
      <c r="R844" t="s">
        <v>59</v>
      </c>
      <c r="S844" t="s">
        <v>59</v>
      </c>
      <c r="T844" t="s">
        <v>59</v>
      </c>
      <c r="U844" t="s">
        <v>60</v>
      </c>
      <c r="V844" t="s">
        <v>59</v>
      </c>
      <c r="W844" t="s">
        <v>60</v>
      </c>
      <c r="X844" t="s">
        <v>60</v>
      </c>
      <c r="Y844" t="s">
        <v>59</v>
      </c>
      <c r="Z844" t="s">
        <v>60</v>
      </c>
      <c r="AA844" t="s">
        <v>59</v>
      </c>
      <c r="AB844" t="s">
        <v>60</v>
      </c>
      <c r="AC844" t="s">
        <v>59</v>
      </c>
      <c r="AD844" t="s">
        <v>59</v>
      </c>
      <c r="AE844" t="s">
        <v>59</v>
      </c>
      <c r="AF844" t="s">
        <v>59</v>
      </c>
      <c r="AG844" t="s">
        <v>60</v>
      </c>
      <c r="AH844" t="s">
        <v>61</v>
      </c>
      <c r="AI844" t="s">
        <v>61</v>
      </c>
      <c r="AJ844" t="s">
        <v>59</v>
      </c>
      <c r="AK844" t="s">
        <v>59</v>
      </c>
      <c r="AL844" t="s">
        <v>60</v>
      </c>
      <c r="AM844" t="s">
        <v>59</v>
      </c>
      <c r="AN844" t="s">
        <v>60</v>
      </c>
      <c r="AO844" t="s">
        <v>59</v>
      </c>
      <c r="AP844" t="s">
        <v>2074</v>
      </c>
      <c r="AQ844" t="s">
        <v>2075</v>
      </c>
      <c r="AR844" t="s">
        <v>64</v>
      </c>
      <c r="AS844" t="s">
        <v>417</v>
      </c>
      <c r="AT844" t="s">
        <v>418</v>
      </c>
      <c r="AU844" t="s">
        <v>219</v>
      </c>
      <c r="AW844" s="4" t="str">
        <f t="shared" si="458"/>
        <v>0</v>
      </c>
      <c r="AX844" s="4">
        <f t="shared" si="459"/>
        <v>4</v>
      </c>
      <c r="AY844" s="4">
        <f t="shared" si="460"/>
        <v>4</v>
      </c>
      <c r="AZ844" s="4">
        <f t="shared" si="461"/>
        <v>2</v>
      </c>
      <c r="BA844" s="4">
        <f t="shared" si="462"/>
        <v>4</v>
      </c>
      <c r="BB844" s="4">
        <f t="shared" si="463"/>
        <v>4</v>
      </c>
      <c r="BC844" s="4">
        <f t="shared" si="464"/>
        <v>4</v>
      </c>
      <c r="BD844" s="4">
        <f t="shared" si="465"/>
        <v>2</v>
      </c>
      <c r="BE844" s="4" t="str">
        <f t="shared" si="466"/>
        <v>0</v>
      </c>
      <c r="BF844" s="4">
        <f t="shared" si="467"/>
        <v>2</v>
      </c>
      <c r="BG844" s="4" t="str">
        <f t="shared" si="468"/>
        <v>0</v>
      </c>
      <c r="BH844" s="4" t="str">
        <f t="shared" si="469"/>
        <v>0</v>
      </c>
      <c r="BI844" s="4">
        <f t="shared" si="470"/>
        <v>4</v>
      </c>
      <c r="BJ844" s="4" t="str">
        <f t="shared" si="471"/>
        <v>0</v>
      </c>
      <c r="BK844" s="4">
        <f t="shared" si="472"/>
        <v>4</v>
      </c>
      <c r="BL844" s="4" t="str">
        <f t="shared" si="473"/>
        <v>0</v>
      </c>
      <c r="BM844" s="4">
        <f t="shared" si="474"/>
        <v>4</v>
      </c>
      <c r="BN844" s="4">
        <f t="shared" si="475"/>
        <v>4</v>
      </c>
      <c r="BO844" s="4">
        <f t="shared" si="476"/>
        <v>4</v>
      </c>
      <c r="BP844" s="4">
        <f t="shared" si="477"/>
        <v>4</v>
      </c>
      <c r="BQ844" s="4" t="str">
        <f t="shared" si="478"/>
        <v>0</v>
      </c>
      <c r="BR844" s="4">
        <f t="shared" si="479"/>
        <v>4</v>
      </c>
      <c r="BS844" s="4">
        <f t="shared" si="480"/>
        <v>4</v>
      </c>
      <c r="BT844" s="4">
        <f t="shared" si="481"/>
        <v>4</v>
      </c>
      <c r="BU844" s="4">
        <f t="shared" si="482"/>
        <v>4</v>
      </c>
      <c r="BV844" s="4" t="str">
        <f t="shared" si="483"/>
        <v>0</v>
      </c>
      <c r="BW844" s="4">
        <f t="shared" si="484"/>
        <v>6</v>
      </c>
      <c r="BX844" s="4" t="str">
        <f t="shared" si="485"/>
        <v>0</v>
      </c>
      <c r="BY844" s="4">
        <f t="shared" si="486"/>
        <v>0</v>
      </c>
      <c r="BZ844" s="37">
        <f t="shared" si="487"/>
        <v>72</v>
      </c>
      <c r="CA844" s="32" t="str">
        <f>VLOOKUP(J:J,'Agent wise'!A:C,3,0)</f>
        <v>Shakeer</v>
      </c>
      <c r="CB844" s="32">
        <f t="shared" si="488"/>
        <v>45945</v>
      </c>
      <c r="CC844" t="str">
        <f t="shared" si="489"/>
        <v>FC</v>
      </c>
      <c r="CE844" s="32"/>
      <c r="CJ844">
        <f t="shared" si="490"/>
        <v>15</v>
      </c>
      <c r="CK844">
        <f t="shared" si="491"/>
        <v>10</v>
      </c>
      <c r="CL844">
        <f t="shared" si="492"/>
        <v>2025</v>
      </c>
    </row>
    <row r="845" spans="1:90" ht="15" customHeight="1" x14ac:dyDescent="0.35">
      <c r="A845" t="s">
        <v>2076</v>
      </c>
      <c r="B845" t="s">
        <v>100</v>
      </c>
      <c r="C845" t="s">
        <v>214</v>
      </c>
      <c r="D845" t="s">
        <v>101</v>
      </c>
      <c r="E845" s="32">
        <v>45945</v>
      </c>
      <c r="F845" t="s">
        <v>222</v>
      </c>
      <c r="G845" t="s">
        <v>1749</v>
      </c>
      <c r="H845">
        <v>8547557249</v>
      </c>
      <c r="I845">
        <v>136</v>
      </c>
      <c r="J845" t="s">
        <v>548</v>
      </c>
      <c r="K845" t="s">
        <v>57</v>
      </c>
      <c r="L845" t="s">
        <v>58</v>
      </c>
      <c r="M845" t="s">
        <v>59</v>
      </c>
      <c r="N845" t="s">
        <v>59</v>
      </c>
      <c r="O845" t="s">
        <v>59</v>
      </c>
      <c r="P845" t="s">
        <v>59</v>
      </c>
      <c r="Q845" t="s">
        <v>59</v>
      </c>
      <c r="R845" t="s">
        <v>60</v>
      </c>
      <c r="S845" t="s">
        <v>59</v>
      </c>
      <c r="T845" t="s">
        <v>59</v>
      </c>
      <c r="U845" t="s">
        <v>59</v>
      </c>
      <c r="V845" t="s">
        <v>59</v>
      </c>
      <c r="W845" t="s">
        <v>59</v>
      </c>
      <c r="X845" t="s">
        <v>61</v>
      </c>
      <c r="Y845" t="s">
        <v>59</v>
      </c>
      <c r="Z845" t="s">
        <v>59</v>
      </c>
      <c r="AA845" t="s">
        <v>60</v>
      </c>
      <c r="AB845" t="s">
        <v>61</v>
      </c>
      <c r="AC845" t="s">
        <v>61</v>
      </c>
      <c r="AD845" t="s">
        <v>61</v>
      </c>
      <c r="AE845" t="s">
        <v>59</v>
      </c>
      <c r="AF845" t="s">
        <v>61</v>
      </c>
      <c r="AG845" t="s">
        <v>59</v>
      </c>
      <c r="AH845" t="s">
        <v>61</v>
      </c>
      <c r="AI845" t="s">
        <v>61</v>
      </c>
      <c r="AJ845" t="s">
        <v>61</v>
      </c>
      <c r="AK845" t="s">
        <v>61</v>
      </c>
      <c r="AL845" t="s">
        <v>60</v>
      </c>
      <c r="AM845" t="s">
        <v>59</v>
      </c>
      <c r="AN845" t="s">
        <v>59</v>
      </c>
      <c r="AO845" t="s">
        <v>59</v>
      </c>
      <c r="AP845" t="s">
        <v>798</v>
      </c>
      <c r="AQ845" s="1" t="s">
        <v>2077</v>
      </c>
      <c r="AR845" t="s">
        <v>226</v>
      </c>
      <c r="AS845" t="s">
        <v>352</v>
      </c>
      <c r="AT845" t="s">
        <v>352</v>
      </c>
      <c r="AU845" t="s">
        <v>299</v>
      </c>
      <c r="AW845" s="4">
        <f t="shared" si="458"/>
        <v>6</v>
      </c>
      <c r="AX845" s="4">
        <f t="shared" si="459"/>
        <v>4</v>
      </c>
      <c r="AY845" s="4">
        <f t="shared" si="460"/>
        <v>4</v>
      </c>
      <c r="AZ845" s="4">
        <f t="shared" si="461"/>
        <v>2</v>
      </c>
      <c r="BA845" s="4">
        <f t="shared" si="462"/>
        <v>4</v>
      </c>
      <c r="BB845" s="4" t="str">
        <f t="shared" si="463"/>
        <v>0</v>
      </c>
      <c r="BC845" s="4">
        <f t="shared" si="464"/>
        <v>4</v>
      </c>
      <c r="BD845" s="4">
        <f t="shared" si="465"/>
        <v>2</v>
      </c>
      <c r="BE845" s="4">
        <f t="shared" si="466"/>
        <v>4</v>
      </c>
      <c r="BF845" s="4">
        <f t="shared" si="467"/>
        <v>2</v>
      </c>
      <c r="BG845" s="4">
        <f t="shared" si="468"/>
        <v>4</v>
      </c>
      <c r="BH845" s="4">
        <f t="shared" si="469"/>
        <v>4</v>
      </c>
      <c r="BI845" s="4">
        <f t="shared" si="470"/>
        <v>4</v>
      </c>
      <c r="BJ845" s="4">
        <f t="shared" si="471"/>
        <v>2</v>
      </c>
      <c r="BK845" s="4" t="str">
        <f t="shared" si="472"/>
        <v>0</v>
      </c>
      <c r="BL845" s="4">
        <f t="shared" si="473"/>
        <v>2</v>
      </c>
      <c r="BM845" s="4">
        <f t="shared" si="474"/>
        <v>4</v>
      </c>
      <c r="BN845" s="4">
        <f t="shared" si="475"/>
        <v>4</v>
      </c>
      <c r="BO845" s="4">
        <f t="shared" si="476"/>
        <v>4</v>
      </c>
      <c r="BP845" s="4">
        <f t="shared" si="477"/>
        <v>4</v>
      </c>
      <c r="BQ845" s="4">
        <f t="shared" si="478"/>
        <v>6</v>
      </c>
      <c r="BR845" s="4">
        <f t="shared" si="479"/>
        <v>4</v>
      </c>
      <c r="BS845" s="4">
        <f t="shared" si="480"/>
        <v>4</v>
      </c>
      <c r="BT845" s="4">
        <f t="shared" si="481"/>
        <v>4</v>
      </c>
      <c r="BU845" s="4">
        <f t="shared" si="482"/>
        <v>4</v>
      </c>
      <c r="BV845" s="4" t="str">
        <f t="shared" si="483"/>
        <v>0</v>
      </c>
      <c r="BW845" s="4">
        <f t="shared" si="484"/>
        <v>6</v>
      </c>
      <c r="BX845" s="4">
        <f t="shared" si="485"/>
        <v>0</v>
      </c>
      <c r="BY845" s="4">
        <f t="shared" si="486"/>
        <v>0</v>
      </c>
      <c r="BZ845" s="37">
        <f t="shared" si="487"/>
        <v>92</v>
      </c>
      <c r="CA845" s="32" t="str">
        <f>VLOOKUP(J:J,'Agent wise'!A:C,3,0)</f>
        <v>Adharsh</v>
      </c>
      <c r="CB845" s="32">
        <f t="shared" si="488"/>
        <v>45945</v>
      </c>
      <c r="CC845" t="str">
        <f t="shared" si="489"/>
        <v>Good</v>
      </c>
      <c r="CE845" s="32"/>
      <c r="CJ845">
        <f t="shared" si="490"/>
        <v>15</v>
      </c>
      <c r="CK845">
        <f t="shared" si="491"/>
        <v>10</v>
      </c>
      <c r="CL845">
        <f t="shared" si="492"/>
        <v>2025</v>
      </c>
    </row>
    <row r="846" spans="1:90" ht="15" customHeight="1" x14ac:dyDescent="0.35">
      <c r="A846" t="s">
        <v>2078</v>
      </c>
      <c r="B846" t="s">
        <v>250</v>
      </c>
      <c r="C846" t="s">
        <v>214</v>
      </c>
      <c r="D846" t="s">
        <v>251</v>
      </c>
      <c r="E846" s="32">
        <v>45945</v>
      </c>
      <c r="F846" t="s">
        <v>54</v>
      </c>
      <c r="G846" t="s">
        <v>1749</v>
      </c>
      <c r="H846">
        <v>9567939823</v>
      </c>
      <c r="I846">
        <v>145</v>
      </c>
      <c r="J846" t="s">
        <v>519</v>
      </c>
      <c r="K846" t="s">
        <v>57</v>
      </c>
      <c r="L846" t="s">
        <v>58</v>
      </c>
      <c r="M846" t="s">
        <v>59</v>
      </c>
      <c r="N846" t="s">
        <v>59</v>
      </c>
      <c r="O846" t="s">
        <v>59</v>
      </c>
      <c r="P846" t="s">
        <v>59</v>
      </c>
      <c r="Q846" t="s">
        <v>59</v>
      </c>
      <c r="R846" t="s">
        <v>59</v>
      </c>
      <c r="S846" t="s">
        <v>59</v>
      </c>
      <c r="T846" t="s">
        <v>59</v>
      </c>
      <c r="U846" t="s">
        <v>60</v>
      </c>
      <c r="V846" t="s">
        <v>59</v>
      </c>
      <c r="W846" t="s">
        <v>59</v>
      </c>
      <c r="X846" t="s">
        <v>59</v>
      </c>
      <c r="Y846" t="s">
        <v>59</v>
      </c>
      <c r="Z846" t="s">
        <v>59</v>
      </c>
      <c r="AA846" t="s">
        <v>59</v>
      </c>
      <c r="AB846" t="s">
        <v>60</v>
      </c>
      <c r="AC846" t="s">
        <v>59</v>
      </c>
      <c r="AD846" t="s">
        <v>59</v>
      </c>
      <c r="AE846" t="s">
        <v>59</v>
      </c>
      <c r="AF846" t="s">
        <v>59</v>
      </c>
      <c r="AG846" t="s">
        <v>59</v>
      </c>
      <c r="AH846" t="s">
        <v>61</v>
      </c>
      <c r="AI846" t="s">
        <v>61</v>
      </c>
      <c r="AJ846" t="s">
        <v>59</v>
      </c>
      <c r="AK846" t="s">
        <v>59</v>
      </c>
      <c r="AL846" t="s">
        <v>60</v>
      </c>
      <c r="AM846" t="s">
        <v>59</v>
      </c>
      <c r="AN846" t="s">
        <v>59</v>
      </c>
      <c r="AO846" t="s">
        <v>59</v>
      </c>
      <c r="AP846" t="s">
        <v>578</v>
      </c>
      <c r="AQ846" t="s">
        <v>2079</v>
      </c>
      <c r="AR846" t="s">
        <v>64</v>
      </c>
      <c r="AS846" t="s">
        <v>1654</v>
      </c>
      <c r="AT846" t="s">
        <v>1655</v>
      </c>
      <c r="AU846" t="s">
        <v>219</v>
      </c>
      <c r="AW846" s="4">
        <f t="shared" si="458"/>
        <v>6</v>
      </c>
      <c r="AX846" s="4">
        <f t="shared" si="459"/>
        <v>4</v>
      </c>
      <c r="AY846" s="4">
        <f t="shared" si="460"/>
        <v>4</v>
      </c>
      <c r="AZ846" s="4">
        <f t="shared" si="461"/>
        <v>2</v>
      </c>
      <c r="BA846" s="4">
        <f t="shared" si="462"/>
        <v>4</v>
      </c>
      <c r="BB846" s="4">
        <f t="shared" si="463"/>
        <v>4</v>
      </c>
      <c r="BC846" s="4">
        <f t="shared" si="464"/>
        <v>4</v>
      </c>
      <c r="BD846" s="4">
        <f t="shared" si="465"/>
        <v>2</v>
      </c>
      <c r="BE846" s="4" t="str">
        <f t="shared" si="466"/>
        <v>0</v>
      </c>
      <c r="BF846" s="4">
        <f t="shared" si="467"/>
        <v>2</v>
      </c>
      <c r="BG846" s="4">
        <f t="shared" si="468"/>
        <v>4</v>
      </c>
      <c r="BH846" s="4">
        <f t="shared" si="469"/>
        <v>4</v>
      </c>
      <c r="BI846" s="4">
        <f t="shared" si="470"/>
        <v>4</v>
      </c>
      <c r="BJ846" s="4">
        <f t="shared" si="471"/>
        <v>2</v>
      </c>
      <c r="BK846" s="4">
        <f t="shared" si="472"/>
        <v>4</v>
      </c>
      <c r="BL846" s="4" t="str">
        <f t="shared" si="473"/>
        <v>0</v>
      </c>
      <c r="BM846" s="4">
        <f t="shared" si="474"/>
        <v>4</v>
      </c>
      <c r="BN846" s="4">
        <f t="shared" si="475"/>
        <v>4</v>
      </c>
      <c r="BO846" s="4">
        <f t="shared" si="476"/>
        <v>4</v>
      </c>
      <c r="BP846" s="4">
        <f t="shared" si="477"/>
        <v>4</v>
      </c>
      <c r="BQ846" s="4">
        <f t="shared" si="478"/>
        <v>6</v>
      </c>
      <c r="BR846" s="4">
        <f t="shared" si="479"/>
        <v>4</v>
      </c>
      <c r="BS846" s="4">
        <f t="shared" si="480"/>
        <v>4</v>
      </c>
      <c r="BT846" s="4">
        <f t="shared" si="481"/>
        <v>4</v>
      </c>
      <c r="BU846" s="4">
        <f t="shared" si="482"/>
        <v>4</v>
      </c>
      <c r="BV846" s="4" t="str">
        <f t="shared" si="483"/>
        <v>0</v>
      </c>
      <c r="BW846" s="4">
        <f t="shared" si="484"/>
        <v>6</v>
      </c>
      <c r="BX846" s="4">
        <f t="shared" si="485"/>
        <v>0</v>
      </c>
      <c r="BY846" s="4">
        <f t="shared" si="486"/>
        <v>0</v>
      </c>
      <c r="BZ846" s="37">
        <f t="shared" si="487"/>
        <v>94</v>
      </c>
      <c r="CA846" s="32" t="str">
        <f>VLOOKUP(J:J,'Agent wise'!A:C,3,0)</f>
        <v>Adharsh</v>
      </c>
      <c r="CB846" s="32">
        <f t="shared" si="488"/>
        <v>45945</v>
      </c>
      <c r="CC846" t="str">
        <f t="shared" si="489"/>
        <v>Good</v>
      </c>
      <c r="CE846" s="32"/>
      <c r="CJ846">
        <f t="shared" si="490"/>
        <v>15</v>
      </c>
      <c r="CK846">
        <f t="shared" si="491"/>
        <v>10</v>
      </c>
      <c r="CL846">
        <f t="shared" si="492"/>
        <v>2025</v>
      </c>
    </row>
    <row r="847" spans="1:90" ht="15" customHeight="1" x14ac:dyDescent="0.35">
      <c r="A847" t="s">
        <v>2080</v>
      </c>
      <c r="B847" t="s">
        <v>100</v>
      </c>
      <c r="C847" t="s">
        <v>214</v>
      </c>
      <c r="D847" t="s">
        <v>101</v>
      </c>
      <c r="E847" s="32">
        <v>45945</v>
      </c>
      <c r="F847" t="s">
        <v>222</v>
      </c>
      <c r="G847" t="s">
        <v>1749</v>
      </c>
      <c r="H847">
        <v>8939490666</v>
      </c>
      <c r="I847">
        <v>162</v>
      </c>
      <c r="J847">
        <v>8939490666</v>
      </c>
      <c r="K847" t="s">
        <v>71</v>
      </c>
      <c r="L847" t="s">
        <v>72</v>
      </c>
      <c r="M847" t="s">
        <v>59</v>
      </c>
      <c r="N847" t="s">
        <v>59</v>
      </c>
      <c r="O847" t="s">
        <v>59</v>
      </c>
      <c r="P847" t="s">
        <v>59</v>
      </c>
      <c r="Q847" t="s">
        <v>61</v>
      </c>
      <c r="R847" t="s">
        <v>59</v>
      </c>
      <c r="S847" t="s">
        <v>59</v>
      </c>
      <c r="T847" t="s">
        <v>59</v>
      </c>
      <c r="U847" t="s">
        <v>59</v>
      </c>
      <c r="V847" t="s">
        <v>59</v>
      </c>
      <c r="W847" t="s">
        <v>59</v>
      </c>
      <c r="X847" t="s">
        <v>61</v>
      </c>
      <c r="Y847" t="s">
        <v>59</v>
      </c>
      <c r="Z847" t="s">
        <v>59</v>
      </c>
      <c r="AA847" t="s">
        <v>60</v>
      </c>
      <c r="AB847" t="s">
        <v>61</v>
      </c>
      <c r="AC847" t="s">
        <v>61</v>
      </c>
      <c r="AD847" t="s">
        <v>61</v>
      </c>
      <c r="AE847" t="s">
        <v>59</v>
      </c>
      <c r="AF847" t="s">
        <v>61</v>
      </c>
      <c r="AG847" t="s">
        <v>60</v>
      </c>
      <c r="AH847" t="s">
        <v>61</v>
      </c>
      <c r="AI847" t="s">
        <v>61</v>
      </c>
      <c r="AJ847" t="s">
        <v>59</v>
      </c>
      <c r="AK847" t="s">
        <v>61</v>
      </c>
      <c r="AL847" t="s">
        <v>59</v>
      </c>
      <c r="AM847" t="s">
        <v>59</v>
      </c>
      <c r="AN847" t="s">
        <v>59</v>
      </c>
      <c r="AO847" t="s">
        <v>59</v>
      </c>
      <c r="AP847" t="s">
        <v>798</v>
      </c>
      <c r="AQ847" s="1" t="s">
        <v>2081</v>
      </c>
      <c r="AR847" t="s">
        <v>226</v>
      </c>
      <c r="AS847" t="s">
        <v>352</v>
      </c>
      <c r="AT847" t="s">
        <v>352</v>
      </c>
      <c r="AU847" t="s">
        <v>299</v>
      </c>
      <c r="AW847" s="4">
        <f t="shared" si="458"/>
        <v>6</v>
      </c>
      <c r="AX847" s="4">
        <f t="shared" si="459"/>
        <v>4</v>
      </c>
      <c r="AY847" s="4">
        <f t="shared" si="460"/>
        <v>4</v>
      </c>
      <c r="AZ847" s="4">
        <f t="shared" si="461"/>
        <v>2</v>
      </c>
      <c r="BA847" s="4">
        <f t="shared" si="462"/>
        <v>4</v>
      </c>
      <c r="BB847" s="4">
        <f t="shared" si="463"/>
        <v>4</v>
      </c>
      <c r="BC847" s="4">
        <f t="shared" si="464"/>
        <v>4</v>
      </c>
      <c r="BD847" s="4">
        <f t="shared" si="465"/>
        <v>2</v>
      </c>
      <c r="BE847" s="4">
        <f t="shared" si="466"/>
        <v>4</v>
      </c>
      <c r="BF847" s="4">
        <f t="shared" si="467"/>
        <v>2</v>
      </c>
      <c r="BG847" s="4">
        <f t="shared" si="468"/>
        <v>4</v>
      </c>
      <c r="BH847" s="4">
        <f t="shared" si="469"/>
        <v>4</v>
      </c>
      <c r="BI847" s="4">
        <f t="shared" si="470"/>
        <v>4</v>
      </c>
      <c r="BJ847" s="4">
        <f t="shared" si="471"/>
        <v>2</v>
      </c>
      <c r="BK847" s="4" t="str">
        <f t="shared" si="472"/>
        <v>0</v>
      </c>
      <c r="BL847" s="4">
        <f t="shared" si="473"/>
        <v>2</v>
      </c>
      <c r="BM847" s="4">
        <f t="shared" si="474"/>
        <v>4</v>
      </c>
      <c r="BN847" s="4">
        <f t="shared" si="475"/>
        <v>4</v>
      </c>
      <c r="BO847" s="4">
        <f t="shared" si="476"/>
        <v>4</v>
      </c>
      <c r="BP847" s="4">
        <f t="shared" si="477"/>
        <v>4</v>
      </c>
      <c r="BQ847" s="4" t="str">
        <f t="shared" si="478"/>
        <v>0</v>
      </c>
      <c r="BR847" s="4">
        <f t="shared" si="479"/>
        <v>4</v>
      </c>
      <c r="BS847" s="4">
        <f t="shared" si="480"/>
        <v>4</v>
      </c>
      <c r="BT847" s="4">
        <f t="shared" si="481"/>
        <v>4</v>
      </c>
      <c r="BU847" s="4">
        <f t="shared" si="482"/>
        <v>4</v>
      </c>
      <c r="BV847" s="4">
        <f t="shared" si="483"/>
        <v>0</v>
      </c>
      <c r="BW847" s="4">
        <f t="shared" si="484"/>
        <v>6</v>
      </c>
      <c r="BX847" s="4">
        <f t="shared" si="485"/>
        <v>0</v>
      </c>
      <c r="BY847" s="4">
        <f t="shared" si="486"/>
        <v>0</v>
      </c>
      <c r="BZ847" s="37">
        <f t="shared" si="487"/>
        <v>90</v>
      </c>
      <c r="CA847" s="32" t="e">
        <f>VLOOKUP(J:J,'Agent wise'!A:C,3,0)</f>
        <v>#N/A</v>
      </c>
      <c r="CB847" s="32">
        <f t="shared" si="488"/>
        <v>45945</v>
      </c>
      <c r="CC847" t="str">
        <f t="shared" si="489"/>
        <v>Good</v>
      </c>
      <c r="CE847" s="32"/>
      <c r="CJ847">
        <f t="shared" si="490"/>
        <v>15</v>
      </c>
      <c r="CK847">
        <f t="shared" si="491"/>
        <v>10</v>
      </c>
      <c r="CL847">
        <f t="shared" si="492"/>
        <v>2025</v>
      </c>
    </row>
    <row r="848" spans="1:90" ht="15" customHeight="1" x14ac:dyDescent="0.35">
      <c r="A848" t="s">
        <v>2082</v>
      </c>
      <c r="B848" t="s">
        <v>100</v>
      </c>
      <c r="C848" t="s">
        <v>214</v>
      </c>
      <c r="D848" t="s">
        <v>101</v>
      </c>
      <c r="E848" s="32">
        <v>45945</v>
      </c>
      <c r="F848" t="s">
        <v>222</v>
      </c>
      <c r="G848" t="s">
        <v>1749</v>
      </c>
      <c r="H848">
        <v>9447496939</v>
      </c>
      <c r="I848">
        <v>131</v>
      </c>
      <c r="J848" t="s">
        <v>252</v>
      </c>
      <c r="K848" t="s">
        <v>57</v>
      </c>
      <c r="L848" t="s">
        <v>58</v>
      </c>
      <c r="M848" t="s">
        <v>59</v>
      </c>
      <c r="N848" t="s">
        <v>59</v>
      </c>
      <c r="O848" t="s">
        <v>60</v>
      </c>
      <c r="P848" t="s">
        <v>61</v>
      </c>
      <c r="Q848" t="s">
        <v>59</v>
      </c>
      <c r="R848" t="s">
        <v>59</v>
      </c>
      <c r="S848" t="s">
        <v>59</v>
      </c>
      <c r="T848" t="s">
        <v>59</v>
      </c>
      <c r="U848" t="s">
        <v>59</v>
      </c>
      <c r="V848" t="s">
        <v>59</v>
      </c>
      <c r="W848" t="s">
        <v>59</v>
      </c>
      <c r="X848" t="s">
        <v>61</v>
      </c>
      <c r="Y848" t="s">
        <v>59</v>
      </c>
      <c r="Z848" t="s">
        <v>59</v>
      </c>
      <c r="AA848" t="s">
        <v>60</v>
      </c>
      <c r="AB848" t="s">
        <v>61</v>
      </c>
      <c r="AC848" t="s">
        <v>61</v>
      </c>
      <c r="AD848" t="s">
        <v>61</v>
      </c>
      <c r="AE848" t="s">
        <v>59</v>
      </c>
      <c r="AF848" t="s">
        <v>61</v>
      </c>
      <c r="AG848" t="s">
        <v>59</v>
      </c>
      <c r="AH848" t="s">
        <v>59</v>
      </c>
      <c r="AI848" t="s">
        <v>61</v>
      </c>
      <c r="AJ848" t="s">
        <v>61</v>
      </c>
      <c r="AK848" t="s">
        <v>61</v>
      </c>
      <c r="AL848" t="s">
        <v>60</v>
      </c>
      <c r="AM848" t="s">
        <v>59</v>
      </c>
      <c r="AN848" t="s">
        <v>59</v>
      </c>
      <c r="AO848" t="s">
        <v>59</v>
      </c>
      <c r="AP848" t="s">
        <v>526</v>
      </c>
      <c r="AQ848" s="1" t="s">
        <v>2083</v>
      </c>
      <c r="AR848" t="s">
        <v>226</v>
      </c>
      <c r="AS848" t="s">
        <v>352</v>
      </c>
      <c r="AT848" t="s">
        <v>352</v>
      </c>
      <c r="AU848" t="s">
        <v>299</v>
      </c>
      <c r="AW848" s="4">
        <f t="shared" si="458"/>
        <v>6</v>
      </c>
      <c r="AX848" s="4">
        <f t="shared" si="459"/>
        <v>4</v>
      </c>
      <c r="AY848" s="4" t="str">
        <f t="shared" si="460"/>
        <v>0</v>
      </c>
      <c r="AZ848" s="4">
        <f t="shared" si="461"/>
        <v>2</v>
      </c>
      <c r="BA848" s="4">
        <f t="shared" si="462"/>
        <v>4</v>
      </c>
      <c r="BB848" s="4">
        <f t="shared" si="463"/>
        <v>4</v>
      </c>
      <c r="BC848" s="4">
        <f t="shared" si="464"/>
        <v>4</v>
      </c>
      <c r="BD848" s="4">
        <f t="shared" si="465"/>
        <v>2</v>
      </c>
      <c r="BE848" s="4">
        <f t="shared" si="466"/>
        <v>4</v>
      </c>
      <c r="BF848" s="4">
        <f t="shared" si="467"/>
        <v>2</v>
      </c>
      <c r="BG848" s="4">
        <f t="shared" si="468"/>
        <v>4</v>
      </c>
      <c r="BH848" s="4">
        <f t="shared" si="469"/>
        <v>4</v>
      </c>
      <c r="BI848" s="4">
        <f t="shared" si="470"/>
        <v>4</v>
      </c>
      <c r="BJ848" s="4">
        <f t="shared" si="471"/>
        <v>2</v>
      </c>
      <c r="BK848" s="4" t="str">
        <f t="shared" si="472"/>
        <v>0</v>
      </c>
      <c r="BL848" s="4">
        <f t="shared" si="473"/>
        <v>2</v>
      </c>
      <c r="BM848" s="4">
        <f t="shared" si="474"/>
        <v>4</v>
      </c>
      <c r="BN848" s="4">
        <f t="shared" si="475"/>
        <v>4</v>
      </c>
      <c r="BO848" s="4">
        <f t="shared" si="476"/>
        <v>4</v>
      </c>
      <c r="BP848" s="4">
        <f t="shared" si="477"/>
        <v>4</v>
      </c>
      <c r="BQ848" s="4">
        <f t="shared" si="478"/>
        <v>6</v>
      </c>
      <c r="BR848" s="4">
        <f t="shared" si="479"/>
        <v>4</v>
      </c>
      <c r="BS848" s="4">
        <f t="shared" si="480"/>
        <v>4</v>
      </c>
      <c r="BT848" s="4">
        <f t="shared" si="481"/>
        <v>4</v>
      </c>
      <c r="BU848" s="4">
        <f t="shared" si="482"/>
        <v>4</v>
      </c>
      <c r="BV848" s="4" t="str">
        <f t="shared" si="483"/>
        <v>0</v>
      </c>
      <c r="BW848" s="4">
        <f t="shared" si="484"/>
        <v>6</v>
      </c>
      <c r="BX848" s="4">
        <f t="shared" si="485"/>
        <v>0</v>
      </c>
      <c r="BY848" s="4">
        <f t="shared" si="486"/>
        <v>0</v>
      </c>
      <c r="BZ848" s="37">
        <f t="shared" si="487"/>
        <v>92</v>
      </c>
      <c r="CA848" s="32" t="str">
        <f>VLOOKUP(J:J,'Agent wise'!A:C,3,0)</f>
        <v xml:space="preserve">Shiny </v>
      </c>
      <c r="CB848" s="32">
        <f t="shared" si="488"/>
        <v>45945</v>
      </c>
      <c r="CC848" t="str">
        <f t="shared" si="489"/>
        <v>Good</v>
      </c>
      <c r="CE848" s="32"/>
      <c r="CJ848">
        <f t="shared" si="490"/>
        <v>15</v>
      </c>
      <c r="CK848">
        <f t="shared" si="491"/>
        <v>10</v>
      </c>
      <c r="CL848">
        <f t="shared" si="492"/>
        <v>2025</v>
      </c>
    </row>
    <row r="849" spans="1:90" ht="15" customHeight="1" x14ac:dyDescent="0.35">
      <c r="A849" t="s">
        <v>2084</v>
      </c>
      <c r="B849" t="s">
        <v>100</v>
      </c>
      <c r="C849" t="s">
        <v>214</v>
      </c>
      <c r="D849" t="s">
        <v>101</v>
      </c>
      <c r="E849" s="32">
        <v>45945</v>
      </c>
      <c r="F849" t="s">
        <v>222</v>
      </c>
      <c r="G849" t="s">
        <v>1749</v>
      </c>
      <c r="H849">
        <v>6385132929</v>
      </c>
      <c r="I849">
        <v>147</v>
      </c>
      <c r="J849" t="s">
        <v>442</v>
      </c>
      <c r="K849" t="s">
        <v>71</v>
      </c>
      <c r="L849" t="s">
        <v>72</v>
      </c>
      <c r="M849" t="s">
        <v>59</v>
      </c>
      <c r="N849" t="s">
        <v>59</v>
      </c>
      <c r="O849" t="s">
        <v>59</v>
      </c>
      <c r="P849" t="s">
        <v>59</v>
      </c>
      <c r="Q849" t="s">
        <v>59</v>
      </c>
      <c r="R849" t="s">
        <v>59</v>
      </c>
      <c r="S849" t="s">
        <v>59</v>
      </c>
      <c r="T849" t="s">
        <v>59</v>
      </c>
      <c r="U849" t="s">
        <v>59</v>
      </c>
      <c r="V849" t="s">
        <v>59</v>
      </c>
      <c r="W849" t="s">
        <v>59</v>
      </c>
      <c r="X849" t="s">
        <v>61</v>
      </c>
      <c r="Y849" t="s">
        <v>59</v>
      </c>
      <c r="Z849" t="s">
        <v>59</v>
      </c>
      <c r="AA849" t="s">
        <v>60</v>
      </c>
      <c r="AB849" t="s">
        <v>61</v>
      </c>
      <c r="AC849" t="s">
        <v>61</v>
      </c>
      <c r="AD849" t="s">
        <v>61</v>
      </c>
      <c r="AE849" t="s">
        <v>59</v>
      </c>
      <c r="AF849" t="s">
        <v>61</v>
      </c>
      <c r="AG849" t="s">
        <v>59</v>
      </c>
      <c r="AH849" t="s">
        <v>59</v>
      </c>
      <c r="AI849" t="s">
        <v>61</v>
      </c>
      <c r="AJ849" t="s">
        <v>59</v>
      </c>
      <c r="AK849" t="s">
        <v>61</v>
      </c>
      <c r="AL849" t="s">
        <v>60</v>
      </c>
      <c r="AM849" t="s">
        <v>59</v>
      </c>
      <c r="AN849" t="s">
        <v>59</v>
      </c>
      <c r="AO849" t="s">
        <v>59</v>
      </c>
      <c r="AP849" t="s">
        <v>188</v>
      </c>
      <c r="AQ849" s="1" t="s">
        <v>2085</v>
      </c>
      <c r="AR849" t="s">
        <v>226</v>
      </c>
      <c r="AS849" t="s">
        <v>352</v>
      </c>
      <c r="AT849" t="s">
        <v>352</v>
      </c>
      <c r="AU849" t="s">
        <v>299</v>
      </c>
      <c r="AW849" s="4">
        <f t="shared" si="458"/>
        <v>6</v>
      </c>
      <c r="AX849" s="4">
        <f t="shared" si="459"/>
        <v>4</v>
      </c>
      <c r="AY849" s="4">
        <f t="shared" si="460"/>
        <v>4</v>
      </c>
      <c r="AZ849" s="4">
        <f t="shared" si="461"/>
        <v>2</v>
      </c>
      <c r="BA849" s="4">
        <f t="shared" si="462"/>
        <v>4</v>
      </c>
      <c r="BB849" s="4">
        <f t="shared" si="463"/>
        <v>4</v>
      </c>
      <c r="BC849" s="4">
        <f t="shared" si="464"/>
        <v>4</v>
      </c>
      <c r="BD849" s="4">
        <f t="shared" si="465"/>
        <v>2</v>
      </c>
      <c r="BE849" s="4">
        <f t="shared" si="466"/>
        <v>4</v>
      </c>
      <c r="BF849" s="4">
        <f t="shared" si="467"/>
        <v>2</v>
      </c>
      <c r="BG849" s="4">
        <f t="shared" si="468"/>
        <v>4</v>
      </c>
      <c r="BH849" s="4">
        <f t="shared" si="469"/>
        <v>4</v>
      </c>
      <c r="BI849" s="4">
        <f t="shared" si="470"/>
        <v>4</v>
      </c>
      <c r="BJ849" s="4">
        <f t="shared" si="471"/>
        <v>2</v>
      </c>
      <c r="BK849" s="4" t="str">
        <f t="shared" si="472"/>
        <v>0</v>
      </c>
      <c r="BL849" s="4">
        <f t="shared" si="473"/>
        <v>2</v>
      </c>
      <c r="BM849" s="4">
        <f t="shared" si="474"/>
        <v>4</v>
      </c>
      <c r="BN849" s="4">
        <f t="shared" si="475"/>
        <v>4</v>
      </c>
      <c r="BO849" s="4">
        <f t="shared" si="476"/>
        <v>4</v>
      </c>
      <c r="BP849" s="4">
        <f t="shared" si="477"/>
        <v>4</v>
      </c>
      <c r="BQ849" s="4">
        <f t="shared" si="478"/>
        <v>6</v>
      </c>
      <c r="BR849" s="4">
        <f t="shared" si="479"/>
        <v>4</v>
      </c>
      <c r="BS849" s="4">
        <f t="shared" si="480"/>
        <v>4</v>
      </c>
      <c r="BT849" s="4">
        <f t="shared" si="481"/>
        <v>4</v>
      </c>
      <c r="BU849" s="4">
        <f t="shared" si="482"/>
        <v>4</v>
      </c>
      <c r="BV849" s="4" t="str">
        <f t="shared" si="483"/>
        <v>0</v>
      </c>
      <c r="BW849" s="4">
        <f t="shared" si="484"/>
        <v>6</v>
      </c>
      <c r="BX849" s="4">
        <f t="shared" si="485"/>
        <v>0</v>
      </c>
      <c r="BY849" s="4">
        <f t="shared" si="486"/>
        <v>0</v>
      </c>
      <c r="BZ849" s="37">
        <f t="shared" si="487"/>
        <v>96</v>
      </c>
      <c r="CA849" s="32" t="str">
        <f>VLOOKUP(J:J,'Agent wise'!A:C,3,0)</f>
        <v>Shakeer</v>
      </c>
      <c r="CB849" s="32">
        <f t="shared" si="488"/>
        <v>45945</v>
      </c>
      <c r="CC849" t="str">
        <f t="shared" si="489"/>
        <v>Excellent</v>
      </c>
      <c r="CE849" s="32"/>
      <c r="CJ849">
        <f t="shared" si="490"/>
        <v>15</v>
      </c>
      <c r="CK849">
        <f t="shared" si="491"/>
        <v>10</v>
      </c>
      <c r="CL849">
        <f t="shared" si="492"/>
        <v>2025</v>
      </c>
    </row>
    <row r="850" spans="1:90" ht="15" customHeight="1" x14ac:dyDescent="0.35">
      <c r="A850" t="s">
        <v>2086</v>
      </c>
      <c r="B850" t="s">
        <v>100</v>
      </c>
      <c r="C850" t="s">
        <v>214</v>
      </c>
      <c r="D850" t="s">
        <v>101</v>
      </c>
      <c r="E850" s="32">
        <v>45945</v>
      </c>
      <c r="F850" t="s">
        <v>222</v>
      </c>
      <c r="G850" t="s">
        <v>1749</v>
      </c>
      <c r="H850">
        <v>9444979855</v>
      </c>
      <c r="I850">
        <v>139</v>
      </c>
      <c r="J850" t="s">
        <v>451</v>
      </c>
      <c r="K850" t="s">
        <v>86</v>
      </c>
      <c r="L850" t="s">
        <v>72</v>
      </c>
      <c r="M850" t="s">
        <v>59</v>
      </c>
      <c r="N850" t="s">
        <v>59</v>
      </c>
      <c r="O850" t="s">
        <v>59</v>
      </c>
      <c r="P850" t="s">
        <v>59</v>
      </c>
      <c r="Q850" t="s">
        <v>59</v>
      </c>
      <c r="R850" t="s">
        <v>59</v>
      </c>
      <c r="S850" t="s">
        <v>59</v>
      </c>
      <c r="T850" t="s">
        <v>59</v>
      </c>
      <c r="U850" t="s">
        <v>59</v>
      </c>
      <c r="V850" t="s">
        <v>59</v>
      </c>
      <c r="W850" t="s">
        <v>59</v>
      </c>
      <c r="X850" t="s">
        <v>61</v>
      </c>
      <c r="Y850" t="s">
        <v>59</v>
      </c>
      <c r="Z850" t="s">
        <v>59</v>
      </c>
      <c r="AA850" t="s">
        <v>59</v>
      </c>
      <c r="AB850" t="s">
        <v>61</v>
      </c>
      <c r="AC850" t="s">
        <v>60</v>
      </c>
      <c r="AD850" t="s">
        <v>61</v>
      </c>
      <c r="AE850" t="s">
        <v>59</v>
      </c>
      <c r="AF850" t="s">
        <v>61</v>
      </c>
      <c r="AG850" t="s">
        <v>59</v>
      </c>
      <c r="AH850" t="s">
        <v>61</v>
      </c>
      <c r="AI850" t="s">
        <v>61</v>
      </c>
      <c r="AJ850" t="s">
        <v>61</v>
      </c>
      <c r="AK850" t="s">
        <v>61</v>
      </c>
      <c r="AL850" t="s">
        <v>59</v>
      </c>
      <c r="AM850" t="s">
        <v>59</v>
      </c>
      <c r="AN850" t="s">
        <v>59</v>
      </c>
      <c r="AO850" t="s">
        <v>59</v>
      </c>
      <c r="AP850" t="s">
        <v>2087</v>
      </c>
      <c r="AQ850" s="1" t="s">
        <v>2088</v>
      </c>
      <c r="AR850" t="s">
        <v>226</v>
      </c>
      <c r="AS850" t="s">
        <v>352</v>
      </c>
      <c r="AT850" t="s">
        <v>352</v>
      </c>
      <c r="AU850" t="s">
        <v>299</v>
      </c>
      <c r="AW850" s="4">
        <f t="shared" si="458"/>
        <v>6</v>
      </c>
      <c r="AX850" s="4">
        <f t="shared" si="459"/>
        <v>4</v>
      </c>
      <c r="AY850" s="4">
        <f t="shared" si="460"/>
        <v>4</v>
      </c>
      <c r="AZ850" s="4">
        <f t="shared" si="461"/>
        <v>2</v>
      </c>
      <c r="BA850" s="4">
        <f t="shared" si="462"/>
        <v>4</v>
      </c>
      <c r="BB850" s="4">
        <f t="shared" si="463"/>
        <v>4</v>
      </c>
      <c r="BC850" s="4">
        <f t="shared" si="464"/>
        <v>4</v>
      </c>
      <c r="BD850" s="4">
        <f t="shared" si="465"/>
        <v>2</v>
      </c>
      <c r="BE850" s="4">
        <f t="shared" si="466"/>
        <v>4</v>
      </c>
      <c r="BF850" s="4">
        <f t="shared" si="467"/>
        <v>2</v>
      </c>
      <c r="BG850" s="4">
        <f t="shared" si="468"/>
        <v>4</v>
      </c>
      <c r="BH850" s="4">
        <f t="shared" si="469"/>
        <v>4</v>
      </c>
      <c r="BI850" s="4">
        <f t="shared" si="470"/>
        <v>4</v>
      </c>
      <c r="BJ850" s="4">
        <f t="shared" si="471"/>
        <v>2</v>
      </c>
      <c r="BK850" s="4">
        <f t="shared" si="472"/>
        <v>4</v>
      </c>
      <c r="BL850" s="4">
        <f t="shared" si="473"/>
        <v>2</v>
      </c>
      <c r="BM850" s="4" t="str">
        <f t="shared" si="474"/>
        <v>0</v>
      </c>
      <c r="BN850" s="4">
        <f t="shared" si="475"/>
        <v>4</v>
      </c>
      <c r="BO850" s="4">
        <f t="shared" si="476"/>
        <v>4</v>
      </c>
      <c r="BP850" s="4">
        <f t="shared" si="477"/>
        <v>4</v>
      </c>
      <c r="BQ850" s="4">
        <f t="shared" si="478"/>
        <v>6</v>
      </c>
      <c r="BR850" s="4">
        <f t="shared" si="479"/>
        <v>4</v>
      </c>
      <c r="BS850" s="4">
        <f t="shared" si="480"/>
        <v>4</v>
      </c>
      <c r="BT850" s="4">
        <f t="shared" si="481"/>
        <v>4</v>
      </c>
      <c r="BU850" s="4">
        <f t="shared" si="482"/>
        <v>4</v>
      </c>
      <c r="BV850" s="4">
        <f t="shared" si="483"/>
        <v>0</v>
      </c>
      <c r="BW850" s="4">
        <f t="shared" si="484"/>
        <v>6</v>
      </c>
      <c r="BX850" s="4">
        <f t="shared" si="485"/>
        <v>0</v>
      </c>
      <c r="BY850" s="4">
        <f t="shared" si="486"/>
        <v>0</v>
      </c>
      <c r="BZ850" s="37">
        <f t="shared" si="487"/>
        <v>96</v>
      </c>
      <c r="CA850" s="32" t="str">
        <f>VLOOKUP(J:J,'Agent wise'!A:C,3,0)</f>
        <v xml:space="preserve">Shiny </v>
      </c>
      <c r="CB850" s="32">
        <f t="shared" si="488"/>
        <v>45945</v>
      </c>
      <c r="CC850" t="str">
        <f t="shared" si="489"/>
        <v>Excellent</v>
      </c>
      <c r="CE850" s="32"/>
      <c r="CJ850">
        <f t="shared" si="490"/>
        <v>15</v>
      </c>
      <c r="CK850">
        <f t="shared" si="491"/>
        <v>10</v>
      </c>
      <c r="CL850">
        <f t="shared" si="492"/>
        <v>2025</v>
      </c>
    </row>
    <row r="851" spans="1:90" ht="15" customHeight="1" x14ac:dyDescent="0.35">
      <c r="A851" t="s">
        <v>2089</v>
      </c>
      <c r="B851" t="s">
        <v>100</v>
      </c>
      <c r="C851" t="s">
        <v>214</v>
      </c>
      <c r="D851" t="s">
        <v>101</v>
      </c>
      <c r="E851" s="32">
        <v>45945</v>
      </c>
      <c r="F851" t="s">
        <v>222</v>
      </c>
      <c r="G851" t="s">
        <v>1749</v>
      </c>
      <c r="H851">
        <v>9947801349</v>
      </c>
      <c r="I851">
        <v>143</v>
      </c>
      <c r="J851" t="s">
        <v>568</v>
      </c>
      <c r="K851" t="s">
        <v>57</v>
      </c>
      <c r="L851" t="s">
        <v>58</v>
      </c>
      <c r="M851" t="s">
        <v>59</v>
      </c>
      <c r="N851" t="s">
        <v>59</v>
      </c>
      <c r="O851" t="s">
        <v>59</v>
      </c>
      <c r="P851" t="s">
        <v>59</v>
      </c>
      <c r="Q851" t="s">
        <v>59</v>
      </c>
      <c r="R851" t="s">
        <v>59</v>
      </c>
      <c r="S851" t="s">
        <v>59</v>
      </c>
      <c r="T851" t="s">
        <v>59</v>
      </c>
      <c r="U851" t="s">
        <v>59</v>
      </c>
      <c r="V851" t="s">
        <v>59</v>
      </c>
      <c r="W851" t="s">
        <v>59</v>
      </c>
      <c r="X851" t="s">
        <v>61</v>
      </c>
      <c r="Y851" t="s">
        <v>59</v>
      </c>
      <c r="Z851" t="s">
        <v>59</v>
      </c>
      <c r="AA851" t="s">
        <v>60</v>
      </c>
      <c r="AB851" t="s">
        <v>60</v>
      </c>
      <c r="AC851" t="s">
        <v>60</v>
      </c>
      <c r="AD851" t="s">
        <v>61</v>
      </c>
      <c r="AE851" t="s">
        <v>59</v>
      </c>
      <c r="AF851" t="s">
        <v>61</v>
      </c>
      <c r="AG851" t="s">
        <v>59</v>
      </c>
      <c r="AH851" t="s">
        <v>59</v>
      </c>
      <c r="AI851" t="s">
        <v>61</v>
      </c>
      <c r="AJ851" t="s">
        <v>61</v>
      </c>
      <c r="AK851" t="s">
        <v>61</v>
      </c>
      <c r="AL851" t="s">
        <v>60</v>
      </c>
      <c r="AM851" t="s">
        <v>59</v>
      </c>
      <c r="AN851" t="s">
        <v>59</v>
      </c>
      <c r="AO851" t="s">
        <v>59</v>
      </c>
      <c r="AP851" t="s">
        <v>2090</v>
      </c>
      <c r="AQ851" s="1" t="s">
        <v>2091</v>
      </c>
      <c r="AR851" t="s">
        <v>226</v>
      </c>
      <c r="AS851" t="s">
        <v>352</v>
      </c>
      <c r="AT851" t="s">
        <v>352</v>
      </c>
      <c r="AU851" t="s">
        <v>299</v>
      </c>
      <c r="AW851" s="4">
        <f t="shared" si="458"/>
        <v>6</v>
      </c>
      <c r="AX851" s="4">
        <f t="shared" si="459"/>
        <v>4</v>
      </c>
      <c r="AY851" s="4">
        <f t="shared" si="460"/>
        <v>4</v>
      </c>
      <c r="AZ851" s="4">
        <f t="shared" si="461"/>
        <v>2</v>
      </c>
      <c r="BA851" s="4">
        <f t="shared" si="462"/>
        <v>4</v>
      </c>
      <c r="BB851" s="4">
        <f t="shared" si="463"/>
        <v>4</v>
      </c>
      <c r="BC851" s="4">
        <f t="shared" si="464"/>
        <v>4</v>
      </c>
      <c r="BD851" s="4">
        <f t="shared" si="465"/>
        <v>2</v>
      </c>
      <c r="BE851" s="4">
        <f t="shared" si="466"/>
        <v>4</v>
      </c>
      <c r="BF851" s="4">
        <f t="shared" si="467"/>
        <v>2</v>
      </c>
      <c r="BG851" s="4">
        <f t="shared" si="468"/>
        <v>4</v>
      </c>
      <c r="BH851" s="4">
        <f t="shared" si="469"/>
        <v>4</v>
      </c>
      <c r="BI851" s="4">
        <f t="shared" si="470"/>
        <v>4</v>
      </c>
      <c r="BJ851" s="4">
        <f t="shared" si="471"/>
        <v>2</v>
      </c>
      <c r="BK851" s="4" t="str">
        <f t="shared" si="472"/>
        <v>0</v>
      </c>
      <c r="BL851" s="4" t="str">
        <f t="shared" si="473"/>
        <v>0</v>
      </c>
      <c r="BM851" s="4" t="str">
        <f t="shared" si="474"/>
        <v>0</v>
      </c>
      <c r="BN851" s="4">
        <f t="shared" si="475"/>
        <v>4</v>
      </c>
      <c r="BO851" s="4">
        <f t="shared" si="476"/>
        <v>4</v>
      </c>
      <c r="BP851" s="4">
        <f t="shared" si="477"/>
        <v>4</v>
      </c>
      <c r="BQ851" s="4">
        <f t="shared" si="478"/>
        <v>6</v>
      </c>
      <c r="BR851" s="4">
        <f t="shared" si="479"/>
        <v>4</v>
      </c>
      <c r="BS851" s="4">
        <f t="shared" si="480"/>
        <v>4</v>
      </c>
      <c r="BT851" s="4">
        <f t="shared" si="481"/>
        <v>4</v>
      </c>
      <c r="BU851" s="4">
        <f t="shared" si="482"/>
        <v>4</v>
      </c>
      <c r="BV851" s="4" t="str">
        <f t="shared" si="483"/>
        <v>0</v>
      </c>
      <c r="BW851" s="4">
        <f t="shared" si="484"/>
        <v>6</v>
      </c>
      <c r="BX851" s="4">
        <f t="shared" si="485"/>
        <v>0</v>
      </c>
      <c r="BY851" s="4">
        <f t="shared" si="486"/>
        <v>0</v>
      </c>
      <c r="BZ851" s="37">
        <f t="shared" si="487"/>
        <v>90</v>
      </c>
      <c r="CA851" s="32" t="str">
        <f>VLOOKUP(J:J,'Agent wise'!A:C,3,0)</f>
        <v>Amal</v>
      </c>
      <c r="CB851" s="32">
        <f t="shared" si="488"/>
        <v>45945</v>
      </c>
      <c r="CC851" t="str">
        <f t="shared" si="489"/>
        <v>Good</v>
      </c>
      <c r="CE851" s="32"/>
      <c r="CJ851">
        <f t="shared" si="490"/>
        <v>15</v>
      </c>
      <c r="CK851">
        <f t="shared" si="491"/>
        <v>10</v>
      </c>
      <c r="CL851">
        <f t="shared" si="492"/>
        <v>2025</v>
      </c>
    </row>
    <row r="852" spans="1:90" ht="15" customHeight="1" x14ac:dyDescent="0.35">
      <c r="A852" t="s">
        <v>2092</v>
      </c>
      <c r="B852" t="s">
        <v>250</v>
      </c>
      <c r="C852" t="s">
        <v>214</v>
      </c>
      <c r="D852" t="s">
        <v>251</v>
      </c>
      <c r="E852" s="32">
        <v>45945</v>
      </c>
      <c r="F852" t="s">
        <v>54</v>
      </c>
      <c r="G852" t="s">
        <v>1749</v>
      </c>
      <c r="H852">
        <v>9442112292</v>
      </c>
      <c r="I852">
        <v>184</v>
      </c>
      <c r="J852" t="s">
        <v>341</v>
      </c>
      <c r="K852" t="s">
        <v>71</v>
      </c>
      <c r="L852" t="s">
        <v>72</v>
      </c>
      <c r="M852" t="s">
        <v>59</v>
      </c>
      <c r="N852" t="s">
        <v>59</v>
      </c>
      <c r="O852" t="s">
        <v>59</v>
      </c>
      <c r="P852" t="s">
        <v>59</v>
      </c>
      <c r="Q852" t="s">
        <v>59</v>
      </c>
      <c r="R852" t="s">
        <v>59</v>
      </c>
      <c r="S852" t="s">
        <v>59</v>
      </c>
      <c r="T852" t="s">
        <v>59</v>
      </c>
      <c r="U852" t="s">
        <v>60</v>
      </c>
      <c r="V852" t="s">
        <v>59</v>
      </c>
      <c r="W852" t="s">
        <v>59</v>
      </c>
      <c r="X852" t="s">
        <v>59</v>
      </c>
      <c r="Y852" t="s">
        <v>59</v>
      </c>
      <c r="Z852" t="s">
        <v>59</v>
      </c>
      <c r="AA852" t="s">
        <v>60</v>
      </c>
      <c r="AB852" t="s">
        <v>59</v>
      </c>
      <c r="AC852" t="s">
        <v>60</v>
      </c>
      <c r="AD852" t="s">
        <v>59</v>
      </c>
      <c r="AE852" t="s">
        <v>59</v>
      </c>
      <c r="AF852" t="s">
        <v>59</v>
      </c>
      <c r="AG852" t="s">
        <v>59</v>
      </c>
      <c r="AH852" t="s">
        <v>61</v>
      </c>
      <c r="AI852" t="s">
        <v>61</v>
      </c>
      <c r="AJ852" t="s">
        <v>59</v>
      </c>
      <c r="AK852" t="s">
        <v>59</v>
      </c>
      <c r="AL852" t="s">
        <v>60</v>
      </c>
      <c r="AM852" t="s">
        <v>59</v>
      </c>
      <c r="AN852" t="s">
        <v>59</v>
      </c>
      <c r="AO852" t="s">
        <v>59</v>
      </c>
      <c r="AP852" t="s">
        <v>2093</v>
      </c>
      <c r="AQ852" t="s">
        <v>2094</v>
      </c>
      <c r="AR852" t="s">
        <v>64</v>
      </c>
      <c r="AS852" t="s">
        <v>1815</v>
      </c>
      <c r="AT852" t="s">
        <v>1816</v>
      </c>
      <c r="AU852" t="s">
        <v>219</v>
      </c>
      <c r="AW852" s="4">
        <f t="shared" si="458"/>
        <v>6</v>
      </c>
      <c r="AX852" s="4">
        <f t="shared" si="459"/>
        <v>4</v>
      </c>
      <c r="AY852" s="4">
        <f t="shared" si="460"/>
        <v>4</v>
      </c>
      <c r="AZ852" s="4">
        <f t="shared" si="461"/>
        <v>2</v>
      </c>
      <c r="BA852" s="4">
        <f t="shared" si="462"/>
        <v>4</v>
      </c>
      <c r="BB852" s="4">
        <f t="shared" si="463"/>
        <v>4</v>
      </c>
      <c r="BC852" s="4">
        <f t="shared" si="464"/>
        <v>4</v>
      </c>
      <c r="BD852" s="4">
        <f t="shared" si="465"/>
        <v>2</v>
      </c>
      <c r="BE852" s="4" t="str">
        <f t="shared" si="466"/>
        <v>0</v>
      </c>
      <c r="BF852" s="4">
        <f t="shared" si="467"/>
        <v>2</v>
      </c>
      <c r="BG852" s="4">
        <f t="shared" si="468"/>
        <v>4</v>
      </c>
      <c r="BH852" s="4">
        <f t="shared" si="469"/>
        <v>4</v>
      </c>
      <c r="BI852" s="4">
        <f t="shared" si="470"/>
        <v>4</v>
      </c>
      <c r="BJ852" s="4">
        <f t="shared" si="471"/>
        <v>2</v>
      </c>
      <c r="BK852" s="4" t="str">
        <f t="shared" si="472"/>
        <v>0</v>
      </c>
      <c r="BL852" s="4">
        <f t="shared" si="473"/>
        <v>2</v>
      </c>
      <c r="BM852" s="4" t="str">
        <f t="shared" si="474"/>
        <v>0</v>
      </c>
      <c r="BN852" s="4">
        <f t="shared" si="475"/>
        <v>4</v>
      </c>
      <c r="BO852" s="4">
        <f t="shared" si="476"/>
        <v>4</v>
      </c>
      <c r="BP852" s="4">
        <f t="shared" si="477"/>
        <v>4</v>
      </c>
      <c r="BQ852" s="4">
        <f t="shared" si="478"/>
        <v>6</v>
      </c>
      <c r="BR852" s="4">
        <f t="shared" si="479"/>
        <v>4</v>
      </c>
      <c r="BS852" s="4">
        <f t="shared" si="480"/>
        <v>4</v>
      </c>
      <c r="BT852" s="4">
        <f t="shared" si="481"/>
        <v>4</v>
      </c>
      <c r="BU852" s="4">
        <f t="shared" si="482"/>
        <v>4</v>
      </c>
      <c r="BV852" s="4" t="str">
        <f t="shared" si="483"/>
        <v>0</v>
      </c>
      <c r="BW852" s="4">
        <f t="shared" si="484"/>
        <v>6</v>
      </c>
      <c r="BX852" s="4">
        <f t="shared" si="485"/>
        <v>0</v>
      </c>
      <c r="BY852" s="4">
        <f t="shared" si="486"/>
        <v>0</v>
      </c>
      <c r="BZ852" s="37">
        <f t="shared" si="487"/>
        <v>88</v>
      </c>
      <c r="CA852" s="32" t="str">
        <f>VLOOKUP(J:J,'Agent wise'!A:C,3,0)</f>
        <v>Adharsh</v>
      </c>
      <c r="CB852" s="32">
        <f t="shared" si="488"/>
        <v>45945</v>
      </c>
      <c r="CC852" t="str">
        <f t="shared" si="489"/>
        <v>Average</v>
      </c>
      <c r="CE852" s="32"/>
      <c r="CJ852">
        <f t="shared" si="490"/>
        <v>15</v>
      </c>
      <c r="CK852">
        <f t="shared" si="491"/>
        <v>10</v>
      </c>
      <c r="CL852">
        <f t="shared" si="492"/>
        <v>2025</v>
      </c>
    </row>
    <row r="853" spans="1:90" ht="15" customHeight="1" x14ac:dyDescent="0.35">
      <c r="A853" t="s">
        <v>2095</v>
      </c>
      <c r="B853" t="s">
        <v>100</v>
      </c>
      <c r="C853" t="s">
        <v>214</v>
      </c>
      <c r="D853" t="s">
        <v>101</v>
      </c>
      <c r="E853" s="32">
        <v>45945</v>
      </c>
      <c r="F853" t="s">
        <v>222</v>
      </c>
      <c r="G853" t="s">
        <v>1749</v>
      </c>
      <c r="H853">
        <v>9496068634</v>
      </c>
      <c r="I853">
        <v>138</v>
      </c>
      <c r="J853" t="s">
        <v>420</v>
      </c>
      <c r="K853" t="s">
        <v>57</v>
      </c>
      <c r="L853" t="s">
        <v>58</v>
      </c>
      <c r="M853" t="s">
        <v>59</v>
      </c>
      <c r="N853" t="s">
        <v>59</v>
      </c>
      <c r="O853" t="s">
        <v>59</v>
      </c>
      <c r="P853" t="s">
        <v>61</v>
      </c>
      <c r="Q853" t="s">
        <v>61</v>
      </c>
      <c r="R853" t="s">
        <v>59</v>
      </c>
      <c r="S853" t="s">
        <v>59</v>
      </c>
      <c r="T853" t="s">
        <v>59</v>
      </c>
      <c r="U853" t="s">
        <v>59</v>
      </c>
      <c r="V853" t="s">
        <v>59</v>
      </c>
      <c r="W853" t="s">
        <v>59</v>
      </c>
      <c r="X853" t="s">
        <v>59</v>
      </c>
      <c r="Y853" t="s">
        <v>59</v>
      </c>
      <c r="Z853" t="s">
        <v>59</v>
      </c>
      <c r="AA853" t="s">
        <v>60</v>
      </c>
      <c r="AB853" t="s">
        <v>60</v>
      </c>
      <c r="AC853" t="s">
        <v>61</v>
      </c>
      <c r="AD853" t="s">
        <v>61</v>
      </c>
      <c r="AE853" t="s">
        <v>59</v>
      </c>
      <c r="AF853" t="s">
        <v>61</v>
      </c>
      <c r="AG853" t="s">
        <v>59</v>
      </c>
      <c r="AH853" t="s">
        <v>61</v>
      </c>
      <c r="AI853" t="s">
        <v>61</v>
      </c>
      <c r="AJ853" t="s">
        <v>61</v>
      </c>
      <c r="AK853" t="s">
        <v>61</v>
      </c>
      <c r="AL853" t="s">
        <v>60</v>
      </c>
      <c r="AM853" t="s">
        <v>59</v>
      </c>
      <c r="AN853" t="s">
        <v>59</v>
      </c>
      <c r="AO853" t="s">
        <v>59</v>
      </c>
      <c r="AP853" t="s">
        <v>2096</v>
      </c>
      <c r="AQ853" s="1" t="s">
        <v>2097</v>
      </c>
      <c r="AR853" t="s">
        <v>226</v>
      </c>
      <c r="AS853" t="s">
        <v>352</v>
      </c>
      <c r="AT853" t="s">
        <v>352</v>
      </c>
      <c r="AU853" t="s">
        <v>299</v>
      </c>
      <c r="AW853" s="4">
        <f t="shared" si="458"/>
        <v>6</v>
      </c>
      <c r="AX853" s="4">
        <f t="shared" si="459"/>
        <v>4</v>
      </c>
      <c r="AY853" s="4">
        <f t="shared" si="460"/>
        <v>4</v>
      </c>
      <c r="AZ853" s="4">
        <f t="shared" si="461"/>
        <v>2</v>
      </c>
      <c r="BA853" s="4">
        <f t="shared" si="462"/>
        <v>4</v>
      </c>
      <c r="BB853" s="4">
        <f t="shared" si="463"/>
        <v>4</v>
      </c>
      <c r="BC853" s="4">
        <f t="shared" si="464"/>
        <v>4</v>
      </c>
      <c r="BD853" s="4">
        <f t="shared" si="465"/>
        <v>2</v>
      </c>
      <c r="BE853" s="4">
        <f t="shared" si="466"/>
        <v>4</v>
      </c>
      <c r="BF853" s="4">
        <f t="shared" si="467"/>
        <v>2</v>
      </c>
      <c r="BG853" s="4">
        <f t="shared" si="468"/>
        <v>4</v>
      </c>
      <c r="BH853" s="4">
        <f t="shared" si="469"/>
        <v>4</v>
      </c>
      <c r="BI853" s="4">
        <f t="shared" si="470"/>
        <v>4</v>
      </c>
      <c r="BJ853" s="4">
        <f t="shared" si="471"/>
        <v>2</v>
      </c>
      <c r="BK853" s="4" t="str">
        <f t="shared" si="472"/>
        <v>0</v>
      </c>
      <c r="BL853" s="4" t="str">
        <f t="shared" si="473"/>
        <v>0</v>
      </c>
      <c r="BM853" s="4">
        <f t="shared" si="474"/>
        <v>4</v>
      </c>
      <c r="BN853" s="4">
        <f t="shared" si="475"/>
        <v>4</v>
      </c>
      <c r="BO853" s="4">
        <f t="shared" si="476"/>
        <v>4</v>
      </c>
      <c r="BP853" s="4">
        <f t="shared" si="477"/>
        <v>4</v>
      </c>
      <c r="BQ853" s="4">
        <f t="shared" si="478"/>
        <v>6</v>
      </c>
      <c r="BR853" s="4">
        <f t="shared" si="479"/>
        <v>4</v>
      </c>
      <c r="BS853" s="4">
        <f t="shared" si="480"/>
        <v>4</v>
      </c>
      <c r="BT853" s="4">
        <f t="shared" si="481"/>
        <v>4</v>
      </c>
      <c r="BU853" s="4">
        <f t="shared" si="482"/>
        <v>4</v>
      </c>
      <c r="BV853" s="4" t="str">
        <f t="shared" si="483"/>
        <v>0</v>
      </c>
      <c r="BW853" s="4">
        <f t="shared" si="484"/>
        <v>6</v>
      </c>
      <c r="BX853" s="4">
        <f t="shared" si="485"/>
        <v>0</v>
      </c>
      <c r="BY853" s="4">
        <f t="shared" si="486"/>
        <v>0</v>
      </c>
      <c r="BZ853" s="37">
        <f t="shared" si="487"/>
        <v>94</v>
      </c>
      <c r="CA853" s="32" t="str">
        <f>VLOOKUP(J:J,'Agent wise'!A:C,3,0)</f>
        <v>Amal</v>
      </c>
      <c r="CB853" s="32">
        <f t="shared" si="488"/>
        <v>45945</v>
      </c>
      <c r="CC853" t="str">
        <f t="shared" si="489"/>
        <v>Good</v>
      </c>
      <c r="CE853" s="32"/>
      <c r="CJ853">
        <f t="shared" si="490"/>
        <v>15</v>
      </c>
      <c r="CK853">
        <f t="shared" si="491"/>
        <v>10</v>
      </c>
      <c r="CL853">
        <f t="shared" si="492"/>
        <v>2025</v>
      </c>
    </row>
    <row r="854" spans="1:90" ht="15" customHeight="1" x14ac:dyDescent="0.35">
      <c r="A854" t="s">
        <v>2098</v>
      </c>
      <c r="B854" t="s">
        <v>100</v>
      </c>
      <c r="C854" t="s">
        <v>214</v>
      </c>
      <c r="D854" t="s">
        <v>101</v>
      </c>
      <c r="E854" s="32">
        <v>45945</v>
      </c>
      <c r="F854" t="s">
        <v>222</v>
      </c>
      <c r="G854" t="s">
        <v>1749</v>
      </c>
      <c r="H854">
        <v>8301898002</v>
      </c>
      <c r="I854">
        <v>138</v>
      </c>
      <c r="J854" t="s">
        <v>501</v>
      </c>
      <c r="K854" t="s">
        <v>57</v>
      </c>
      <c r="L854" t="s">
        <v>58</v>
      </c>
      <c r="M854" t="s">
        <v>59</v>
      </c>
      <c r="N854" t="s">
        <v>59</v>
      </c>
      <c r="O854" t="s">
        <v>59</v>
      </c>
      <c r="P854" t="s">
        <v>59</v>
      </c>
      <c r="Q854" t="s">
        <v>59</v>
      </c>
      <c r="R854" t="s">
        <v>59</v>
      </c>
      <c r="S854" t="s">
        <v>59</v>
      </c>
      <c r="T854" t="s">
        <v>59</v>
      </c>
      <c r="U854" t="s">
        <v>59</v>
      </c>
      <c r="V854" t="s">
        <v>59</v>
      </c>
      <c r="W854" t="s">
        <v>59</v>
      </c>
      <c r="X854" t="s">
        <v>61</v>
      </c>
      <c r="Y854" t="s">
        <v>59</v>
      </c>
      <c r="Z854" t="s">
        <v>59</v>
      </c>
      <c r="AA854" t="s">
        <v>60</v>
      </c>
      <c r="AB854" t="s">
        <v>60</v>
      </c>
      <c r="AC854" t="s">
        <v>61</v>
      </c>
      <c r="AD854" t="s">
        <v>61</v>
      </c>
      <c r="AE854" t="s">
        <v>59</v>
      </c>
      <c r="AF854" t="s">
        <v>61</v>
      </c>
      <c r="AG854" t="s">
        <v>59</v>
      </c>
      <c r="AH854" t="s">
        <v>61</v>
      </c>
      <c r="AI854" t="s">
        <v>60</v>
      </c>
      <c r="AJ854" t="s">
        <v>61</v>
      </c>
      <c r="AK854" t="s">
        <v>61</v>
      </c>
      <c r="AL854" t="s">
        <v>60</v>
      </c>
      <c r="AM854" t="s">
        <v>59</v>
      </c>
      <c r="AN854" t="s">
        <v>59</v>
      </c>
      <c r="AO854" t="s">
        <v>59</v>
      </c>
      <c r="AP854" t="s">
        <v>2096</v>
      </c>
      <c r="AQ854" s="1" t="s">
        <v>2099</v>
      </c>
      <c r="AR854" t="s">
        <v>226</v>
      </c>
      <c r="AS854" t="s">
        <v>352</v>
      </c>
      <c r="AT854" t="s">
        <v>352</v>
      </c>
      <c r="AU854" t="s">
        <v>387</v>
      </c>
      <c r="AW854" s="4">
        <f t="shared" si="458"/>
        <v>6</v>
      </c>
      <c r="AX854" s="4">
        <f t="shared" si="459"/>
        <v>4</v>
      </c>
      <c r="AY854" s="4">
        <f t="shared" si="460"/>
        <v>4</v>
      </c>
      <c r="AZ854" s="4">
        <f t="shared" si="461"/>
        <v>2</v>
      </c>
      <c r="BA854" s="4">
        <f t="shared" si="462"/>
        <v>4</v>
      </c>
      <c r="BB854" s="4">
        <f t="shared" si="463"/>
        <v>4</v>
      </c>
      <c r="BC854" s="4">
        <f t="shared" si="464"/>
        <v>4</v>
      </c>
      <c r="BD854" s="4">
        <f t="shared" si="465"/>
        <v>2</v>
      </c>
      <c r="BE854" s="4">
        <f t="shared" si="466"/>
        <v>4</v>
      </c>
      <c r="BF854" s="4">
        <f t="shared" si="467"/>
        <v>2</v>
      </c>
      <c r="BG854" s="4">
        <f t="shared" si="468"/>
        <v>4</v>
      </c>
      <c r="BH854" s="4">
        <f t="shared" si="469"/>
        <v>4</v>
      </c>
      <c r="BI854" s="4">
        <f t="shared" si="470"/>
        <v>4</v>
      </c>
      <c r="BJ854" s="4">
        <f t="shared" si="471"/>
        <v>2</v>
      </c>
      <c r="BK854" s="4" t="str">
        <f t="shared" si="472"/>
        <v>0</v>
      </c>
      <c r="BL854" s="4" t="str">
        <f t="shared" si="473"/>
        <v>0</v>
      </c>
      <c r="BM854" s="4">
        <f t="shared" si="474"/>
        <v>4</v>
      </c>
      <c r="BN854" s="4">
        <f t="shared" si="475"/>
        <v>4</v>
      </c>
      <c r="BO854" s="4">
        <f t="shared" si="476"/>
        <v>4</v>
      </c>
      <c r="BP854" s="4">
        <f t="shared" si="477"/>
        <v>4</v>
      </c>
      <c r="BQ854" s="4">
        <f t="shared" si="478"/>
        <v>6</v>
      </c>
      <c r="BR854" s="4">
        <f t="shared" si="479"/>
        <v>4</v>
      </c>
      <c r="BS854" s="4" t="str">
        <f t="shared" si="480"/>
        <v>0</v>
      </c>
      <c r="BT854" s="4">
        <f t="shared" si="481"/>
        <v>4</v>
      </c>
      <c r="BU854" s="4">
        <f t="shared" si="482"/>
        <v>4</v>
      </c>
      <c r="BV854" s="4" t="str">
        <f t="shared" si="483"/>
        <v>0</v>
      </c>
      <c r="BW854" s="4">
        <f t="shared" si="484"/>
        <v>6</v>
      </c>
      <c r="BX854" s="4">
        <f t="shared" si="485"/>
        <v>0</v>
      </c>
      <c r="BY854" s="4">
        <f t="shared" si="486"/>
        <v>0</v>
      </c>
      <c r="BZ854" s="37">
        <f t="shared" si="487"/>
        <v>90</v>
      </c>
      <c r="CA854" s="32" t="str">
        <f>VLOOKUP(J:J,'Agent wise'!A:C,3,0)</f>
        <v>Amal</v>
      </c>
      <c r="CB854" s="32">
        <f t="shared" si="488"/>
        <v>45945</v>
      </c>
      <c r="CC854" t="str">
        <f t="shared" si="489"/>
        <v>Good</v>
      </c>
      <c r="CE854" s="32"/>
      <c r="CJ854">
        <f t="shared" si="490"/>
        <v>15</v>
      </c>
      <c r="CK854">
        <f t="shared" si="491"/>
        <v>10</v>
      </c>
      <c r="CL854">
        <f t="shared" si="492"/>
        <v>2025</v>
      </c>
    </row>
    <row r="855" spans="1:90" ht="15" customHeight="1" x14ac:dyDescent="0.35">
      <c r="A855" t="s">
        <v>2100</v>
      </c>
      <c r="B855" t="s">
        <v>100</v>
      </c>
      <c r="C855" t="s">
        <v>214</v>
      </c>
      <c r="D855" t="s">
        <v>101</v>
      </c>
      <c r="E855" s="32">
        <v>45945</v>
      </c>
      <c r="F855" t="s">
        <v>222</v>
      </c>
      <c r="G855" t="s">
        <v>1749</v>
      </c>
      <c r="H855">
        <v>8714661058</v>
      </c>
      <c r="I855">
        <v>152</v>
      </c>
      <c r="J855" t="s">
        <v>234</v>
      </c>
      <c r="K855" t="s">
        <v>86</v>
      </c>
      <c r="L855" t="s">
        <v>58</v>
      </c>
      <c r="M855" t="s">
        <v>59</v>
      </c>
      <c r="N855" t="s">
        <v>59</v>
      </c>
      <c r="O855" t="s">
        <v>60</v>
      </c>
      <c r="P855" t="s">
        <v>59</v>
      </c>
      <c r="Q855" t="s">
        <v>61</v>
      </c>
      <c r="R855" t="s">
        <v>60</v>
      </c>
      <c r="S855" t="s">
        <v>59</v>
      </c>
      <c r="T855" t="s">
        <v>59</v>
      </c>
      <c r="U855" t="s">
        <v>60</v>
      </c>
      <c r="V855" t="s">
        <v>59</v>
      </c>
      <c r="W855" t="s">
        <v>59</v>
      </c>
      <c r="X855" t="s">
        <v>61</v>
      </c>
      <c r="Y855" t="s">
        <v>59</v>
      </c>
      <c r="Z855" t="s">
        <v>59</v>
      </c>
      <c r="AA855" t="s">
        <v>60</v>
      </c>
      <c r="AB855" t="s">
        <v>60</v>
      </c>
      <c r="AC855" t="s">
        <v>60</v>
      </c>
      <c r="AD855" t="s">
        <v>61</v>
      </c>
      <c r="AE855" t="s">
        <v>59</v>
      </c>
      <c r="AF855" t="s">
        <v>61</v>
      </c>
      <c r="AG855" t="s">
        <v>60</v>
      </c>
      <c r="AH855" t="s">
        <v>61</v>
      </c>
      <c r="AI855" t="s">
        <v>61</v>
      </c>
      <c r="AJ855" t="s">
        <v>61</v>
      </c>
      <c r="AK855" t="s">
        <v>61</v>
      </c>
      <c r="AL855" t="s">
        <v>60</v>
      </c>
      <c r="AM855" t="s">
        <v>59</v>
      </c>
      <c r="AN855" t="s">
        <v>59</v>
      </c>
      <c r="AO855" t="s">
        <v>59</v>
      </c>
      <c r="AP855" t="s">
        <v>2096</v>
      </c>
      <c r="AQ855" s="1" t="s">
        <v>2101</v>
      </c>
      <c r="AR855" t="s">
        <v>226</v>
      </c>
      <c r="AS855" t="s">
        <v>352</v>
      </c>
      <c r="AT855" t="s">
        <v>352</v>
      </c>
      <c r="AU855" t="s">
        <v>387</v>
      </c>
      <c r="AW855" s="4">
        <f t="shared" si="458"/>
        <v>6</v>
      </c>
      <c r="AX855" s="4">
        <f t="shared" si="459"/>
        <v>4</v>
      </c>
      <c r="AY855" s="4" t="str">
        <f t="shared" si="460"/>
        <v>0</v>
      </c>
      <c r="AZ855" s="4">
        <f t="shared" si="461"/>
        <v>2</v>
      </c>
      <c r="BA855" s="4">
        <f t="shared" si="462"/>
        <v>4</v>
      </c>
      <c r="BB855" s="4" t="str">
        <f t="shared" si="463"/>
        <v>0</v>
      </c>
      <c r="BC855" s="4">
        <f t="shared" si="464"/>
        <v>4</v>
      </c>
      <c r="BD855" s="4">
        <f t="shared" si="465"/>
        <v>2</v>
      </c>
      <c r="BE855" s="4" t="str">
        <f t="shared" si="466"/>
        <v>0</v>
      </c>
      <c r="BF855" s="4">
        <f t="shared" si="467"/>
        <v>2</v>
      </c>
      <c r="BG855" s="4">
        <f t="shared" si="468"/>
        <v>4</v>
      </c>
      <c r="BH855" s="4">
        <f t="shared" si="469"/>
        <v>4</v>
      </c>
      <c r="BI855" s="4">
        <f t="shared" si="470"/>
        <v>4</v>
      </c>
      <c r="BJ855" s="4">
        <f t="shared" si="471"/>
        <v>2</v>
      </c>
      <c r="BK855" s="4" t="str">
        <f t="shared" si="472"/>
        <v>0</v>
      </c>
      <c r="BL855" s="4" t="str">
        <f t="shared" si="473"/>
        <v>0</v>
      </c>
      <c r="BM855" s="4" t="str">
        <f t="shared" si="474"/>
        <v>0</v>
      </c>
      <c r="BN855" s="4">
        <f t="shared" si="475"/>
        <v>4</v>
      </c>
      <c r="BO855" s="4">
        <f t="shared" si="476"/>
        <v>4</v>
      </c>
      <c r="BP855" s="4">
        <f t="shared" si="477"/>
        <v>4</v>
      </c>
      <c r="BQ855" s="4" t="str">
        <f t="shared" si="478"/>
        <v>0</v>
      </c>
      <c r="BR855" s="4">
        <f t="shared" si="479"/>
        <v>4</v>
      </c>
      <c r="BS855" s="4">
        <f t="shared" si="480"/>
        <v>4</v>
      </c>
      <c r="BT855" s="4">
        <f t="shared" si="481"/>
        <v>4</v>
      </c>
      <c r="BU855" s="4">
        <f t="shared" si="482"/>
        <v>4</v>
      </c>
      <c r="BV855" s="4" t="str">
        <f t="shared" si="483"/>
        <v>0</v>
      </c>
      <c r="BW855" s="4">
        <f t="shared" si="484"/>
        <v>6</v>
      </c>
      <c r="BX855" s="4">
        <f t="shared" si="485"/>
        <v>0</v>
      </c>
      <c r="BY855" s="4">
        <f t="shared" si="486"/>
        <v>0</v>
      </c>
      <c r="BZ855" s="37">
        <f t="shared" si="487"/>
        <v>72</v>
      </c>
      <c r="CA855" s="32" t="str">
        <f>VLOOKUP(J:J,'Agent wise'!A:C,3,0)</f>
        <v>Amal</v>
      </c>
      <c r="CB855" s="32">
        <f t="shared" si="488"/>
        <v>45945</v>
      </c>
      <c r="CC855" t="str">
        <f t="shared" si="489"/>
        <v>FC</v>
      </c>
      <c r="CE855" s="32"/>
      <c r="CJ855">
        <f t="shared" si="490"/>
        <v>15</v>
      </c>
      <c r="CK855">
        <f t="shared" si="491"/>
        <v>10</v>
      </c>
      <c r="CL855">
        <f t="shared" si="492"/>
        <v>2025</v>
      </c>
    </row>
    <row r="856" spans="1:90" ht="15" customHeight="1" x14ac:dyDescent="0.35">
      <c r="A856" t="s">
        <v>2102</v>
      </c>
      <c r="B856" t="s">
        <v>100</v>
      </c>
      <c r="C856" t="s">
        <v>214</v>
      </c>
      <c r="D856" t="s">
        <v>101</v>
      </c>
      <c r="E856" s="32">
        <v>45945</v>
      </c>
      <c r="F856" t="s">
        <v>222</v>
      </c>
      <c r="G856" t="s">
        <v>1749</v>
      </c>
      <c r="H856">
        <v>8089700207</v>
      </c>
      <c r="I856">
        <v>145</v>
      </c>
      <c r="J856" t="s">
        <v>356</v>
      </c>
      <c r="K856" t="s">
        <v>57</v>
      </c>
      <c r="L856" t="s">
        <v>58</v>
      </c>
      <c r="M856" t="s">
        <v>59</v>
      </c>
      <c r="N856" t="s">
        <v>59</v>
      </c>
      <c r="O856" t="s">
        <v>59</v>
      </c>
      <c r="P856" t="s">
        <v>59</v>
      </c>
      <c r="Q856" t="s">
        <v>59</v>
      </c>
      <c r="R856" t="s">
        <v>59</v>
      </c>
      <c r="S856" t="s">
        <v>59</v>
      </c>
      <c r="T856" t="s">
        <v>59</v>
      </c>
      <c r="U856" t="s">
        <v>59</v>
      </c>
      <c r="V856" t="s">
        <v>59</v>
      </c>
      <c r="W856" t="s">
        <v>59</v>
      </c>
      <c r="X856" t="s">
        <v>59</v>
      </c>
      <c r="Y856" t="s">
        <v>59</v>
      </c>
      <c r="Z856" t="s">
        <v>59</v>
      </c>
      <c r="AA856" t="s">
        <v>60</v>
      </c>
      <c r="AB856" t="s">
        <v>60</v>
      </c>
      <c r="AC856" t="s">
        <v>60</v>
      </c>
      <c r="AD856" t="s">
        <v>61</v>
      </c>
      <c r="AE856" t="s">
        <v>59</v>
      </c>
      <c r="AF856" t="s">
        <v>61</v>
      </c>
      <c r="AG856" t="s">
        <v>59</v>
      </c>
      <c r="AH856" t="s">
        <v>61</v>
      </c>
      <c r="AI856" t="s">
        <v>61</v>
      </c>
      <c r="AJ856" t="s">
        <v>61</v>
      </c>
      <c r="AK856" t="s">
        <v>61</v>
      </c>
      <c r="AL856" t="s">
        <v>60</v>
      </c>
      <c r="AM856" t="s">
        <v>59</v>
      </c>
      <c r="AN856" t="s">
        <v>59</v>
      </c>
      <c r="AO856" t="s">
        <v>59</v>
      </c>
      <c r="AP856" t="s">
        <v>2096</v>
      </c>
      <c r="AQ856" s="1" t="s">
        <v>2099</v>
      </c>
      <c r="AR856" t="s">
        <v>226</v>
      </c>
      <c r="AS856" t="s">
        <v>352</v>
      </c>
      <c r="AT856" t="s">
        <v>352</v>
      </c>
      <c r="AU856" t="s">
        <v>387</v>
      </c>
      <c r="AW856" s="4">
        <f t="shared" si="458"/>
        <v>6</v>
      </c>
      <c r="AX856" s="4">
        <f t="shared" si="459"/>
        <v>4</v>
      </c>
      <c r="AY856" s="4">
        <f t="shared" si="460"/>
        <v>4</v>
      </c>
      <c r="AZ856" s="4">
        <f t="shared" si="461"/>
        <v>2</v>
      </c>
      <c r="BA856" s="4">
        <f t="shared" si="462"/>
        <v>4</v>
      </c>
      <c r="BB856" s="4">
        <f t="shared" si="463"/>
        <v>4</v>
      </c>
      <c r="BC856" s="4">
        <f t="shared" si="464"/>
        <v>4</v>
      </c>
      <c r="BD856" s="4">
        <f t="shared" si="465"/>
        <v>2</v>
      </c>
      <c r="BE856" s="4">
        <f t="shared" si="466"/>
        <v>4</v>
      </c>
      <c r="BF856" s="4">
        <f t="shared" si="467"/>
        <v>2</v>
      </c>
      <c r="BG856" s="4">
        <f t="shared" si="468"/>
        <v>4</v>
      </c>
      <c r="BH856" s="4">
        <f t="shared" si="469"/>
        <v>4</v>
      </c>
      <c r="BI856" s="4">
        <f t="shared" si="470"/>
        <v>4</v>
      </c>
      <c r="BJ856" s="4">
        <f t="shared" si="471"/>
        <v>2</v>
      </c>
      <c r="BK856" s="4" t="str">
        <f t="shared" si="472"/>
        <v>0</v>
      </c>
      <c r="BL856" s="4" t="str">
        <f t="shared" si="473"/>
        <v>0</v>
      </c>
      <c r="BM856" s="4" t="str">
        <f t="shared" si="474"/>
        <v>0</v>
      </c>
      <c r="BN856" s="4">
        <f t="shared" si="475"/>
        <v>4</v>
      </c>
      <c r="BO856" s="4">
        <f t="shared" si="476"/>
        <v>4</v>
      </c>
      <c r="BP856" s="4">
        <f t="shared" si="477"/>
        <v>4</v>
      </c>
      <c r="BQ856" s="4">
        <f t="shared" si="478"/>
        <v>6</v>
      </c>
      <c r="BR856" s="4">
        <f t="shared" si="479"/>
        <v>4</v>
      </c>
      <c r="BS856" s="4">
        <f t="shared" si="480"/>
        <v>4</v>
      </c>
      <c r="BT856" s="4">
        <f t="shared" si="481"/>
        <v>4</v>
      </c>
      <c r="BU856" s="4">
        <f t="shared" si="482"/>
        <v>4</v>
      </c>
      <c r="BV856" s="4" t="str">
        <f t="shared" si="483"/>
        <v>0</v>
      </c>
      <c r="BW856" s="4">
        <f t="shared" si="484"/>
        <v>6</v>
      </c>
      <c r="BX856" s="4">
        <f t="shared" si="485"/>
        <v>0</v>
      </c>
      <c r="BY856" s="4">
        <f t="shared" si="486"/>
        <v>0</v>
      </c>
      <c r="BZ856" s="37">
        <f t="shared" si="487"/>
        <v>90</v>
      </c>
      <c r="CA856" s="32" t="str">
        <f>VLOOKUP(J:J,'Agent wise'!A:C,3,0)</f>
        <v>Amal</v>
      </c>
      <c r="CB856" s="32">
        <f t="shared" si="488"/>
        <v>45945</v>
      </c>
      <c r="CC856" t="str">
        <f t="shared" si="489"/>
        <v>Good</v>
      </c>
      <c r="CE856" s="32"/>
      <c r="CJ856">
        <f t="shared" si="490"/>
        <v>15</v>
      </c>
      <c r="CK856">
        <f t="shared" si="491"/>
        <v>10</v>
      </c>
      <c r="CL856">
        <f t="shared" si="492"/>
        <v>2025</v>
      </c>
    </row>
    <row r="857" spans="1:90" ht="15" customHeight="1" x14ac:dyDescent="0.35">
      <c r="A857" t="s">
        <v>2103</v>
      </c>
      <c r="B857" t="s">
        <v>100</v>
      </c>
      <c r="C857" t="s">
        <v>214</v>
      </c>
      <c r="D857" t="s">
        <v>101</v>
      </c>
      <c r="E857" s="32">
        <v>45945</v>
      </c>
      <c r="F857" t="s">
        <v>222</v>
      </c>
      <c r="G857" t="s">
        <v>1897</v>
      </c>
      <c r="H857">
        <v>8682908223</v>
      </c>
      <c r="I857">
        <v>134</v>
      </c>
      <c r="J857" t="s">
        <v>246</v>
      </c>
      <c r="K857" t="s">
        <v>71</v>
      </c>
      <c r="L857" t="s">
        <v>72</v>
      </c>
      <c r="M857" t="s">
        <v>59</v>
      </c>
      <c r="N857" t="s">
        <v>59</v>
      </c>
      <c r="O857" t="s">
        <v>59</v>
      </c>
      <c r="P857" t="s">
        <v>59</v>
      </c>
      <c r="Q857" t="s">
        <v>59</v>
      </c>
      <c r="R857" t="s">
        <v>59</v>
      </c>
      <c r="S857" t="s">
        <v>59</v>
      </c>
      <c r="T857" t="s">
        <v>59</v>
      </c>
      <c r="U857" t="s">
        <v>59</v>
      </c>
      <c r="V857" t="s">
        <v>59</v>
      </c>
      <c r="W857" t="s">
        <v>59</v>
      </c>
      <c r="X857" t="s">
        <v>61</v>
      </c>
      <c r="Y857" t="s">
        <v>59</v>
      </c>
      <c r="Z857" t="s">
        <v>59</v>
      </c>
      <c r="AA857" t="s">
        <v>60</v>
      </c>
      <c r="AB857" t="s">
        <v>60</v>
      </c>
      <c r="AC857" t="s">
        <v>61</v>
      </c>
      <c r="AD857" t="s">
        <v>61</v>
      </c>
      <c r="AE857" t="s">
        <v>59</v>
      </c>
      <c r="AF857" t="s">
        <v>61</v>
      </c>
      <c r="AG857" t="s">
        <v>59</v>
      </c>
      <c r="AH857" t="s">
        <v>61</v>
      </c>
      <c r="AI857" t="s">
        <v>61</v>
      </c>
      <c r="AJ857" t="s">
        <v>61</v>
      </c>
      <c r="AK857" t="s">
        <v>61</v>
      </c>
      <c r="AL857" t="s">
        <v>60</v>
      </c>
      <c r="AM857" t="s">
        <v>59</v>
      </c>
      <c r="AN857" t="s">
        <v>59</v>
      </c>
      <c r="AO857" t="s">
        <v>59</v>
      </c>
      <c r="AP857" t="s">
        <v>2096</v>
      </c>
      <c r="AQ857" s="1" t="s">
        <v>2104</v>
      </c>
      <c r="AR857" t="s">
        <v>226</v>
      </c>
      <c r="AS857" t="s">
        <v>352</v>
      </c>
      <c r="AT857" t="s">
        <v>352</v>
      </c>
      <c r="AU857" t="s">
        <v>219</v>
      </c>
      <c r="AW857" s="4">
        <f t="shared" si="458"/>
        <v>6</v>
      </c>
      <c r="AX857" s="4">
        <f t="shared" si="459"/>
        <v>4</v>
      </c>
      <c r="AY857" s="4">
        <f t="shared" si="460"/>
        <v>4</v>
      </c>
      <c r="AZ857" s="4">
        <f t="shared" si="461"/>
        <v>2</v>
      </c>
      <c r="BA857" s="4">
        <f t="shared" si="462"/>
        <v>4</v>
      </c>
      <c r="BB857" s="4">
        <f t="shared" si="463"/>
        <v>4</v>
      </c>
      <c r="BC857" s="4">
        <f t="shared" si="464"/>
        <v>4</v>
      </c>
      <c r="BD857" s="4">
        <f t="shared" si="465"/>
        <v>2</v>
      </c>
      <c r="BE857" s="4">
        <f t="shared" si="466"/>
        <v>4</v>
      </c>
      <c r="BF857" s="4">
        <f t="shared" si="467"/>
        <v>2</v>
      </c>
      <c r="BG857" s="4">
        <f t="shared" si="468"/>
        <v>4</v>
      </c>
      <c r="BH857" s="4">
        <f t="shared" si="469"/>
        <v>4</v>
      </c>
      <c r="BI857" s="4">
        <f t="shared" si="470"/>
        <v>4</v>
      </c>
      <c r="BJ857" s="4">
        <f t="shared" si="471"/>
        <v>2</v>
      </c>
      <c r="BK857" s="4" t="str">
        <f t="shared" si="472"/>
        <v>0</v>
      </c>
      <c r="BL857" s="4" t="str">
        <f t="shared" si="473"/>
        <v>0</v>
      </c>
      <c r="BM857" s="4">
        <f t="shared" si="474"/>
        <v>4</v>
      </c>
      <c r="BN857" s="4">
        <f t="shared" si="475"/>
        <v>4</v>
      </c>
      <c r="BO857" s="4">
        <f t="shared" si="476"/>
        <v>4</v>
      </c>
      <c r="BP857" s="4">
        <f t="shared" si="477"/>
        <v>4</v>
      </c>
      <c r="BQ857" s="4">
        <f t="shared" si="478"/>
        <v>6</v>
      </c>
      <c r="BR857" s="4">
        <f t="shared" si="479"/>
        <v>4</v>
      </c>
      <c r="BS857" s="4">
        <f t="shared" si="480"/>
        <v>4</v>
      </c>
      <c r="BT857" s="4">
        <f t="shared" si="481"/>
        <v>4</v>
      </c>
      <c r="BU857" s="4">
        <f t="shared" si="482"/>
        <v>4</v>
      </c>
      <c r="BV857" s="4" t="str">
        <f t="shared" si="483"/>
        <v>0</v>
      </c>
      <c r="BW857" s="4">
        <f t="shared" si="484"/>
        <v>6</v>
      </c>
      <c r="BX857" s="4">
        <f t="shared" si="485"/>
        <v>0</v>
      </c>
      <c r="BY857" s="4">
        <f t="shared" si="486"/>
        <v>0</v>
      </c>
      <c r="BZ857" s="37">
        <f t="shared" si="487"/>
        <v>94</v>
      </c>
      <c r="CA857" s="32" t="str">
        <f>VLOOKUP(J:J,'Agent wise'!A:C,3,0)</f>
        <v>Amal</v>
      </c>
      <c r="CB857" s="32">
        <f t="shared" si="488"/>
        <v>45945</v>
      </c>
      <c r="CC857" t="str">
        <f t="shared" si="489"/>
        <v>Good</v>
      </c>
      <c r="CE857" s="32"/>
      <c r="CJ857">
        <f t="shared" si="490"/>
        <v>15</v>
      </c>
      <c r="CK857">
        <f t="shared" si="491"/>
        <v>10</v>
      </c>
      <c r="CL857">
        <f t="shared" si="492"/>
        <v>2025</v>
      </c>
    </row>
    <row r="858" spans="1:90" ht="15" customHeight="1" x14ac:dyDescent="0.35">
      <c r="A858" t="s">
        <v>2105</v>
      </c>
      <c r="B858" t="s">
        <v>100</v>
      </c>
      <c r="C858" t="s">
        <v>214</v>
      </c>
      <c r="D858" t="s">
        <v>101</v>
      </c>
      <c r="E858" s="32">
        <v>45945</v>
      </c>
      <c r="F858" t="s">
        <v>222</v>
      </c>
      <c r="G858" t="s">
        <v>1897</v>
      </c>
      <c r="H858">
        <v>8754654116</v>
      </c>
      <c r="I858">
        <v>143</v>
      </c>
      <c r="J858" t="s">
        <v>439</v>
      </c>
      <c r="K858" t="s">
        <v>71</v>
      </c>
      <c r="L858" t="s">
        <v>72</v>
      </c>
      <c r="M858" t="s">
        <v>59</v>
      </c>
      <c r="N858" t="s">
        <v>59</v>
      </c>
      <c r="O858" t="s">
        <v>60</v>
      </c>
      <c r="P858" t="s">
        <v>60</v>
      </c>
      <c r="Q858" t="s">
        <v>59</v>
      </c>
      <c r="R858" t="s">
        <v>60</v>
      </c>
      <c r="S858" t="s">
        <v>59</v>
      </c>
      <c r="T858" t="s">
        <v>59</v>
      </c>
      <c r="U858" t="s">
        <v>59</v>
      </c>
      <c r="V858" t="s">
        <v>59</v>
      </c>
      <c r="W858" t="s">
        <v>59</v>
      </c>
      <c r="X858" t="s">
        <v>59</v>
      </c>
      <c r="Y858" t="s">
        <v>59</v>
      </c>
      <c r="Z858" t="s">
        <v>59</v>
      </c>
      <c r="AA858" t="s">
        <v>60</v>
      </c>
      <c r="AB858" t="s">
        <v>61</v>
      </c>
      <c r="AC858" t="s">
        <v>61</v>
      </c>
      <c r="AD858" t="s">
        <v>61</v>
      </c>
      <c r="AE858" t="s">
        <v>59</v>
      </c>
      <c r="AF858" t="s">
        <v>61</v>
      </c>
      <c r="AG858" t="s">
        <v>59</v>
      </c>
      <c r="AH858" t="s">
        <v>60</v>
      </c>
      <c r="AI858" t="s">
        <v>61</v>
      </c>
      <c r="AJ858" t="s">
        <v>61</v>
      </c>
      <c r="AK858" t="s">
        <v>61</v>
      </c>
      <c r="AL858" t="s">
        <v>60</v>
      </c>
      <c r="AM858" t="s">
        <v>59</v>
      </c>
      <c r="AN858" t="s">
        <v>59</v>
      </c>
      <c r="AO858" t="s">
        <v>59</v>
      </c>
      <c r="AP858" t="s">
        <v>2096</v>
      </c>
      <c r="AQ858" s="1" t="s">
        <v>2106</v>
      </c>
      <c r="AR858" t="s">
        <v>226</v>
      </c>
      <c r="AS858" t="s">
        <v>352</v>
      </c>
      <c r="AT858" t="s">
        <v>352</v>
      </c>
      <c r="AU858" t="s">
        <v>299</v>
      </c>
      <c r="AW858" s="4">
        <f t="shared" si="458"/>
        <v>6</v>
      </c>
      <c r="AX858" s="4">
        <f t="shared" si="459"/>
        <v>4</v>
      </c>
      <c r="AY858" s="4" t="str">
        <f t="shared" si="460"/>
        <v>0</v>
      </c>
      <c r="AZ858" s="4" t="str">
        <f t="shared" si="461"/>
        <v>0</v>
      </c>
      <c r="BA858" s="4">
        <f t="shared" si="462"/>
        <v>4</v>
      </c>
      <c r="BB858" s="4" t="str">
        <f t="shared" si="463"/>
        <v>0</v>
      </c>
      <c r="BC858" s="4">
        <f t="shared" si="464"/>
        <v>4</v>
      </c>
      <c r="BD858" s="4">
        <f t="shared" si="465"/>
        <v>2</v>
      </c>
      <c r="BE858" s="4">
        <f t="shared" si="466"/>
        <v>4</v>
      </c>
      <c r="BF858" s="4">
        <f t="shared" si="467"/>
        <v>2</v>
      </c>
      <c r="BG858" s="4">
        <f t="shared" si="468"/>
        <v>4</v>
      </c>
      <c r="BH858" s="4">
        <f t="shared" si="469"/>
        <v>4</v>
      </c>
      <c r="BI858" s="4">
        <f t="shared" si="470"/>
        <v>4</v>
      </c>
      <c r="BJ858" s="4">
        <f t="shared" si="471"/>
        <v>2</v>
      </c>
      <c r="BK858" s="4" t="str">
        <f t="shared" si="472"/>
        <v>0</v>
      </c>
      <c r="BL858" s="4">
        <f t="shared" si="473"/>
        <v>2</v>
      </c>
      <c r="BM858" s="4">
        <f t="shared" si="474"/>
        <v>4</v>
      </c>
      <c r="BN858" s="4">
        <f t="shared" si="475"/>
        <v>4</v>
      </c>
      <c r="BO858" s="4">
        <f t="shared" si="476"/>
        <v>4</v>
      </c>
      <c r="BP858" s="4">
        <f t="shared" si="477"/>
        <v>4</v>
      </c>
      <c r="BQ858" s="4">
        <f t="shared" si="478"/>
        <v>6</v>
      </c>
      <c r="BR858" s="4" t="str">
        <f t="shared" si="479"/>
        <v>0</v>
      </c>
      <c r="BS858" s="4">
        <f t="shared" si="480"/>
        <v>4</v>
      </c>
      <c r="BT858" s="4">
        <f t="shared" si="481"/>
        <v>4</v>
      </c>
      <c r="BU858" s="4">
        <f t="shared" si="482"/>
        <v>4</v>
      </c>
      <c r="BV858" s="4" t="str">
        <f t="shared" si="483"/>
        <v>0</v>
      </c>
      <c r="BW858" s="4">
        <f t="shared" si="484"/>
        <v>6</v>
      </c>
      <c r="BX858" s="4">
        <f t="shared" si="485"/>
        <v>0</v>
      </c>
      <c r="BY858" s="4">
        <f t="shared" si="486"/>
        <v>0</v>
      </c>
      <c r="BZ858" s="37">
        <f t="shared" si="487"/>
        <v>82</v>
      </c>
      <c r="CA858" s="32" t="str">
        <f>VLOOKUP(J:J,'Agent wise'!A:C,3,0)</f>
        <v>Saran S</v>
      </c>
      <c r="CB858" s="32">
        <f t="shared" si="488"/>
        <v>45945</v>
      </c>
      <c r="CC858" t="str">
        <f t="shared" si="489"/>
        <v>FC</v>
      </c>
      <c r="CE858" s="32"/>
      <c r="CJ858">
        <f t="shared" si="490"/>
        <v>15</v>
      </c>
      <c r="CK858">
        <f t="shared" si="491"/>
        <v>10</v>
      </c>
      <c r="CL858">
        <f t="shared" si="492"/>
        <v>2025</v>
      </c>
    </row>
    <row r="859" spans="1:90" ht="15" customHeight="1" x14ac:dyDescent="0.35">
      <c r="A859" t="s">
        <v>2107</v>
      </c>
      <c r="B859" t="s">
        <v>100</v>
      </c>
      <c r="C859" t="s">
        <v>214</v>
      </c>
      <c r="D859" t="s">
        <v>101</v>
      </c>
      <c r="E859" s="32">
        <v>45945</v>
      </c>
      <c r="F859" t="s">
        <v>222</v>
      </c>
      <c r="G859" t="s">
        <v>1897</v>
      </c>
      <c r="H859">
        <v>4868237700</v>
      </c>
      <c r="I859">
        <v>134</v>
      </c>
      <c r="J859" t="s">
        <v>391</v>
      </c>
      <c r="K859" t="s">
        <v>57</v>
      </c>
      <c r="L859" t="s">
        <v>58</v>
      </c>
      <c r="M859" t="s">
        <v>59</v>
      </c>
      <c r="N859" t="s">
        <v>59</v>
      </c>
      <c r="O859" t="s">
        <v>60</v>
      </c>
      <c r="P859" t="s">
        <v>59</v>
      </c>
      <c r="Q859" t="s">
        <v>59</v>
      </c>
      <c r="R859" t="s">
        <v>59</v>
      </c>
      <c r="S859" t="s">
        <v>59</v>
      </c>
      <c r="T859" t="s">
        <v>59</v>
      </c>
      <c r="U859" t="s">
        <v>59</v>
      </c>
      <c r="V859" t="s">
        <v>59</v>
      </c>
      <c r="W859" t="s">
        <v>59</v>
      </c>
      <c r="X859" t="s">
        <v>59</v>
      </c>
      <c r="Y859" t="s">
        <v>59</v>
      </c>
      <c r="Z859" t="s">
        <v>59</v>
      </c>
      <c r="AA859" t="s">
        <v>60</v>
      </c>
      <c r="AB859" t="s">
        <v>60</v>
      </c>
      <c r="AC859" t="s">
        <v>61</v>
      </c>
      <c r="AD859" t="s">
        <v>61</v>
      </c>
      <c r="AE859" t="s">
        <v>59</v>
      </c>
      <c r="AF859" t="s">
        <v>61</v>
      </c>
      <c r="AG859" t="s">
        <v>59</v>
      </c>
      <c r="AH859" t="s">
        <v>61</v>
      </c>
      <c r="AI859" t="s">
        <v>61</v>
      </c>
      <c r="AJ859" t="s">
        <v>61</v>
      </c>
      <c r="AK859" t="s">
        <v>61</v>
      </c>
      <c r="AL859" t="s">
        <v>60</v>
      </c>
      <c r="AM859" t="s">
        <v>59</v>
      </c>
      <c r="AN859" t="s">
        <v>59</v>
      </c>
      <c r="AO859" t="s">
        <v>59</v>
      </c>
      <c r="AP859" t="s">
        <v>2096</v>
      </c>
      <c r="AQ859" s="1" t="s">
        <v>2108</v>
      </c>
      <c r="AR859" t="s">
        <v>226</v>
      </c>
      <c r="AS859" t="s">
        <v>352</v>
      </c>
      <c r="AT859" t="s">
        <v>352</v>
      </c>
      <c r="AU859" t="s">
        <v>387</v>
      </c>
      <c r="AW859" s="4">
        <f t="shared" si="458"/>
        <v>6</v>
      </c>
      <c r="AX859" s="4">
        <f t="shared" si="459"/>
        <v>4</v>
      </c>
      <c r="AY859" s="4" t="str">
        <f t="shared" si="460"/>
        <v>0</v>
      </c>
      <c r="AZ859" s="4">
        <f t="shared" si="461"/>
        <v>2</v>
      </c>
      <c r="BA859" s="4">
        <f t="shared" si="462"/>
        <v>4</v>
      </c>
      <c r="BB859" s="4">
        <f t="shared" si="463"/>
        <v>4</v>
      </c>
      <c r="BC859" s="4">
        <f t="shared" si="464"/>
        <v>4</v>
      </c>
      <c r="BD859" s="4">
        <f t="shared" si="465"/>
        <v>2</v>
      </c>
      <c r="BE859" s="4">
        <f t="shared" si="466"/>
        <v>4</v>
      </c>
      <c r="BF859" s="4">
        <f t="shared" si="467"/>
        <v>2</v>
      </c>
      <c r="BG859" s="4">
        <f t="shared" si="468"/>
        <v>4</v>
      </c>
      <c r="BH859" s="4">
        <f t="shared" si="469"/>
        <v>4</v>
      </c>
      <c r="BI859" s="4">
        <f t="shared" si="470"/>
        <v>4</v>
      </c>
      <c r="BJ859" s="4">
        <f t="shared" si="471"/>
        <v>2</v>
      </c>
      <c r="BK859" s="4" t="str">
        <f t="shared" si="472"/>
        <v>0</v>
      </c>
      <c r="BL859" s="4" t="str">
        <f t="shared" si="473"/>
        <v>0</v>
      </c>
      <c r="BM859" s="4">
        <f t="shared" si="474"/>
        <v>4</v>
      </c>
      <c r="BN859" s="4">
        <f t="shared" si="475"/>
        <v>4</v>
      </c>
      <c r="BO859" s="4">
        <f t="shared" si="476"/>
        <v>4</v>
      </c>
      <c r="BP859" s="4">
        <f t="shared" si="477"/>
        <v>4</v>
      </c>
      <c r="BQ859" s="4">
        <f t="shared" si="478"/>
        <v>6</v>
      </c>
      <c r="BR859" s="4">
        <f t="shared" si="479"/>
        <v>4</v>
      </c>
      <c r="BS859" s="4">
        <f t="shared" si="480"/>
        <v>4</v>
      </c>
      <c r="BT859" s="4">
        <f t="shared" si="481"/>
        <v>4</v>
      </c>
      <c r="BU859" s="4">
        <f t="shared" si="482"/>
        <v>4</v>
      </c>
      <c r="BV859" s="4" t="str">
        <f t="shared" si="483"/>
        <v>0</v>
      </c>
      <c r="BW859" s="4">
        <f t="shared" si="484"/>
        <v>6</v>
      </c>
      <c r="BX859" s="4">
        <f t="shared" si="485"/>
        <v>0</v>
      </c>
      <c r="BY859" s="4">
        <f t="shared" si="486"/>
        <v>0</v>
      </c>
      <c r="BZ859" s="37">
        <f t="shared" si="487"/>
        <v>90</v>
      </c>
      <c r="CA859" s="32" t="str">
        <f>VLOOKUP(J:J,'Agent wise'!A:C,3,0)</f>
        <v>Amal</v>
      </c>
      <c r="CB859" s="32">
        <f t="shared" si="488"/>
        <v>45945</v>
      </c>
      <c r="CC859" t="str">
        <f t="shared" si="489"/>
        <v>Good</v>
      </c>
      <c r="CE859" s="32"/>
      <c r="CJ859">
        <f t="shared" si="490"/>
        <v>15</v>
      </c>
      <c r="CK859">
        <f t="shared" si="491"/>
        <v>10</v>
      </c>
      <c r="CL859">
        <f t="shared" si="492"/>
        <v>2025</v>
      </c>
    </row>
    <row r="860" spans="1:90" ht="15" customHeight="1" x14ac:dyDescent="0.35">
      <c r="A860" t="s">
        <v>2109</v>
      </c>
      <c r="B860" t="s">
        <v>100</v>
      </c>
      <c r="C860" t="s">
        <v>214</v>
      </c>
      <c r="D860" t="s">
        <v>101</v>
      </c>
      <c r="E860" s="32">
        <v>45945</v>
      </c>
      <c r="F860" t="s">
        <v>222</v>
      </c>
      <c r="G860" t="s">
        <v>1897</v>
      </c>
      <c r="H860">
        <v>9659724870</v>
      </c>
      <c r="I860">
        <v>150</v>
      </c>
      <c r="J860" t="s">
        <v>575</v>
      </c>
      <c r="K860" t="s">
        <v>71</v>
      </c>
      <c r="L860" t="s">
        <v>72</v>
      </c>
      <c r="M860" t="s">
        <v>59</v>
      </c>
      <c r="N860" t="s">
        <v>59</v>
      </c>
      <c r="O860" t="s">
        <v>60</v>
      </c>
      <c r="P860" t="s">
        <v>60</v>
      </c>
      <c r="Q860" t="s">
        <v>59</v>
      </c>
      <c r="R860" t="s">
        <v>60</v>
      </c>
      <c r="S860" t="s">
        <v>59</v>
      </c>
      <c r="T860" t="s">
        <v>59</v>
      </c>
      <c r="U860" t="s">
        <v>60</v>
      </c>
      <c r="V860" t="s">
        <v>59</v>
      </c>
      <c r="W860" t="s">
        <v>59</v>
      </c>
      <c r="X860" t="s">
        <v>59</v>
      </c>
      <c r="Y860" t="s">
        <v>59</v>
      </c>
      <c r="Z860" t="s">
        <v>59</v>
      </c>
      <c r="AA860" t="s">
        <v>60</v>
      </c>
      <c r="AB860" t="s">
        <v>61</v>
      </c>
      <c r="AC860" t="s">
        <v>61</v>
      </c>
      <c r="AD860" t="s">
        <v>61</v>
      </c>
      <c r="AE860" t="s">
        <v>59</v>
      </c>
      <c r="AF860" t="s">
        <v>61</v>
      </c>
      <c r="AG860" t="s">
        <v>59</v>
      </c>
      <c r="AH860" t="s">
        <v>61</v>
      </c>
      <c r="AI860" t="s">
        <v>61</v>
      </c>
      <c r="AJ860" t="s">
        <v>61</v>
      </c>
      <c r="AK860" t="s">
        <v>61</v>
      </c>
      <c r="AL860" t="s">
        <v>60</v>
      </c>
      <c r="AM860" t="s">
        <v>59</v>
      </c>
      <c r="AN860" t="s">
        <v>59</v>
      </c>
      <c r="AO860" t="s">
        <v>59</v>
      </c>
      <c r="AP860" t="s">
        <v>2110</v>
      </c>
      <c r="AQ860" s="1" t="s">
        <v>2111</v>
      </c>
      <c r="AR860" t="s">
        <v>226</v>
      </c>
      <c r="AS860" t="s">
        <v>352</v>
      </c>
      <c r="AT860" t="s">
        <v>352</v>
      </c>
      <c r="AU860" t="s">
        <v>387</v>
      </c>
      <c r="AW860" s="4">
        <f t="shared" si="458"/>
        <v>6</v>
      </c>
      <c r="AX860" s="4">
        <f t="shared" si="459"/>
        <v>4</v>
      </c>
      <c r="AY860" s="4" t="str">
        <f t="shared" si="460"/>
        <v>0</v>
      </c>
      <c r="AZ860" s="4" t="str">
        <f t="shared" si="461"/>
        <v>0</v>
      </c>
      <c r="BA860" s="4">
        <f t="shared" si="462"/>
        <v>4</v>
      </c>
      <c r="BB860" s="4" t="str">
        <f t="shared" si="463"/>
        <v>0</v>
      </c>
      <c r="BC860" s="4">
        <f t="shared" si="464"/>
        <v>4</v>
      </c>
      <c r="BD860" s="4">
        <f t="shared" si="465"/>
        <v>2</v>
      </c>
      <c r="BE860" s="4" t="str">
        <f t="shared" si="466"/>
        <v>0</v>
      </c>
      <c r="BF860" s="4">
        <f t="shared" si="467"/>
        <v>2</v>
      </c>
      <c r="BG860" s="4">
        <f t="shared" si="468"/>
        <v>4</v>
      </c>
      <c r="BH860" s="4">
        <f t="shared" si="469"/>
        <v>4</v>
      </c>
      <c r="BI860" s="4">
        <f t="shared" si="470"/>
        <v>4</v>
      </c>
      <c r="BJ860" s="4">
        <f t="shared" si="471"/>
        <v>2</v>
      </c>
      <c r="BK860" s="4" t="str">
        <f t="shared" si="472"/>
        <v>0</v>
      </c>
      <c r="BL860" s="4">
        <f t="shared" si="473"/>
        <v>2</v>
      </c>
      <c r="BM860" s="4">
        <f t="shared" si="474"/>
        <v>4</v>
      </c>
      <c r="BN860" s="4">
        <f t="shared" si="475"/>
        <v>4</v>
      </c>
      <c r="BO860" s="4">
        <f t="shared" si="476"/>
        <v>4</v>
      </c>
      <c r="BP860" s="4">
        <f t="shared" si="477"/>
        <v>4</v>
      </c>
      <c r="BQ860" s="4">
        <f t="shared" si="478"/>
        <v>6</v>
      </c>
      <c r="BR860" s="4">
        <f t="shared" si="479"/>
        <v>4</v>
      </c>
      <c r="BS860" s="4">
        <f t="shared" si="480"/>
        <v>4</v>
      </c>
      <c r="BT860" s="4">
        <f t="shared" si="481"/>
        <v>4</v>
      </c>
      <c r="BU860" s="4">
        <f t="shared" si="482"/>
        <v>4</v>
      </c>
      <c r="BV860" s="4" t="str">
        <f t="shared" si="483"/>
        <v>0</v>
      </c>
      <c r="BW860" s="4">
        <f t="shared" si="484"/>
        <v>6</v>
      </c>
      <c r="BX860" s="4">
        <f t="shared" si="485"/>
        <v>0</v>
      </c>
      <c r="BY860" s="4">
        <f t="shared" si="486"/>
        <v>0</v>
      </c>
      <c r="BZ860" s="37">
        <f t="shared" si="487"/>
        <v>82</v>
      </c>
      <c r="CA860" s="32" t="str">
        <f>VLOOKUP(J:J,'Agent wise'!A:C,3,0)</f>
        <v>Shakeer</v>
      </c>
      <c r="CB860" s="32">
        <f t="shared" si="488"/>
        <v>45945</v>
      </c>
      <c r="CC860" t="str">
        <f t="shared" si="489"/>
        <v>FC</v>
      </c>
      <c r="CE860" s="32"/>
      <c r="CJ860">
        <f t="shared" si="490"/>
        <v>15</v>
      </c>
      <c r="CK860">
        <f t="shared" si="491"/>
        <v>10</v>
      </c>
      <c r="CL860">
        <f t="shared" si="492"/>
        <v>2025</v>
      </c>
    </row>
    <row r="861" spans="1:90" ht="15" customHeight="1" x14ac:dyDescent="0.35">
      <c r="A861" t="s">
        <v>2112</v>
      </c>
      <c r="B861" t="s">
        <v>100</v>
      </c>
      <c r="C861" t="s">
        <v>214</v>
      </c>
      <c r="D861" t="s">
        <v>101</v>
      </c>
      <c r="E861" s="32">
        <v>45945</v>
      </c>
      <c r="F861" t="s">
        <v>222</v>
      </c>
      <c r="G861" t="s">
        <v>1897</v>
      </c>
      <c r="H861">
        <v>9842466940</v>
      </c>
      <c r="I861">
        <v>140</v>
      </c>
      <c r="J861" t="s">
        <v>501</v>
      </c>
      <c r="K861" t="s">
        <v>71</v>
      </c>
      <c r="L861" t="s">
        <v>72</v>
      </c>
      <c r="M861" t="s">
        <v>59</v>
      </c>
      <c r="N861" t="s">
        <v>59</v>
      </c>
      <c r="O861" t="s">
        <v>59</v>
      </c>
      <c r="P861" t="s">
        <v>59</v>
      </c>
      <c r="Q861" t="s">
        <v>59</v>
      </c>
      <c r="R861" t="s">
        <v>59</v>
      </c>
      <c r="S861" t="s">
        <v>59</v>
      </c>
      <c r="T861" t="s">
        <v>59</v>
      </c>
      <c r="U861" t="s">
        <v>60</v>
      </c>
      <c r="V861" t="s">
        <v>59</v>
      </c>
      <c r="W861" t="s">
        <v>59</v>
      </c>
      <c r="X861" t="s">
        <v>59</v>
      </c>
      <c r="Y861" t="s">
        <v>59</v>
      </c>
      <c r="Z861" t="s">
        <v>59</v>
      </c>
      <c r="AA861" t="s">
        <v>60</v>
      </c>
      <c r="AB861" t="s">
        <v>60</v>
      </c>
      <c r="AC861" t="s">
        <v>61</v>
      </c>
      <c r="AD861" t="s">
        <v>61</v>
      </c>
      <c r="AE861" t="s">
        <v>59</v>
      </c>
      <c r="AF861" t="s">
        <v>61</v>
      </c>
      <c r="AG861" t="s">
        <v>59</v>
      </c>
      <c r="AH861" t="s">
        <v>61</v>
      </c>
      <c r="AI861" t="s">
        <v>60</v>
      </c>
      <c r="AJ861" t="s">
        <v>61</v>
      </c>
      <c r="AK861" t="s">
        <v>61</v>
      </c>
      <c r="AL861" t="s">
        <v>60</v>
      </c>
      <c r="AM861" t="s">
        <v>59</v>
      </c>
      <c r="AN861" t="s">
        <v>59</v>
      </c>
      <c r="AO861" t="s">
        <v>59</v>
      </c>
      <c r="AP861" t="s">
        <v>2096</v>
      </c>
      <c r="AQ861" s="1" t="s">
        <v>2113</v>
      </c>
      <c r="AR861" t="s">
        <v>226</v>
      </c>
      <c r="AS861" t="s">
        <v>352</v>
      </c>
      <c r="AT861" t="s">
        <v>352</v>
      </c>
      <c r="AU861" t="s">
        <v>299</v>
      </c>
      <c r="AW861" s="4">
        <f t="shared" si="458"/>
        <v>6</v>
      </c>
      <c r="AX861" s="4">
        <f t="shared" si="459"/>
        <v>4</v>
      </c>
      <c r="AY861" s="4">
        <f t="shared" si="460"/>
        <v>4</v>
      </c>
      <c r="AZ861" s="4">
        <f t="shared" si="461"/>
        <v>2</v>
      </c>
      <c r="BA861" s="4">
        <f t="shared" si="462"/>
        <v>4</v>
      </c>
      <c r="BB861" s="4">
        <f t="shared" si="463"/>
        <v>4</v>
      </c>
      <c r="BC861" s="4">
        <f t="shared" si="464"/>
        <v>4</v>
      </c>
      <c r="BD861" s="4">
        <f t="shared" si="465"/>
        <v>2</v>
      </c>
      <c r="BE861" s="4" t="str">
        <f t="shared" si="466"/>
        <v>0</v>
      </c>
      <c r="BF861" s="4">
        <f t="shared" si="467"/>
        <v>2</v>
      </c>
      <c r="BG861" s="4">
        <f t="shared" si="468"/>
        <v>4</v>
      </c>
      <c r="BH861" s="4">
        <f t="shared" si="469"/>
        <v>4</v>
      </c>
      <c r="BI861" s="4">
        <f t="shared" si="470"/>
        <v>4</v>
      </c>
      <c r="BJ861" s="4">
        <f t="shared" si="471"/>
        <v>2</v>
      </c>
      <c r="BK861" s="4" t="str">
        <f t="shared" si="472"/>
        <v>0</v>
      </c>
      <c r="BL861" s="4" t="str">
        <f t="shared" si="473"/>
        <v>0</v>
      </c>
      <c r="BM861" s="4">
        <f t="shared" si="474"/>
        <v>4</v>
      </c>
      <c r="BN861" s="4">
        <f t="shared" si="475"/>
        <v>4</v>
      </c>
      <c r="BO861" s="4">
        <f t="shared" si="476"/>
        <v>4</v>
      </c>
      <c r="BP861" s="4">
        <f t="shared" si="477"/>
        <v>4</v>
      </c>
      <c r="BQ861" s="4">
        <f t="shared" si="478"/>
        <v>6</v>
      </c>
      <c r="BR861" s="4">
        <f t="shared" si="479"/>
        <v>4</v>
      </c>
      <c r="BS861" s="4" t="str">
        <f t="shared" si="480"/>
        <v>0</v>
      </c>
      <c r="BT861" s="4">
        <f t="shared" si="481"/>
        <v>4</v>
      </c>
      <c r="BU861" s="4">
        <f t="shared" si="482"/>
        <v>4</v>
      </c>
      <c r="BV861" s="4" t="str">
        <f t="shared" si="483"/>
        <v>0</v>
      </c>
      <c r="BW861" s="4">
        <f t="shared" si="484"/>
        <v>6</v>
      </c>
      <c r="BX861" s="4">
        <f t="shared" si="485"/>
        <v>0</v>
      </c>
      <c r="BY861" s="4">
        <f t="shared" si="486"/>
        <v>0</v>
      </c>
      <c r="BZ861" s="37">
        <f t="shared" si="487"/>
        <v>86</v>
      </c>
      <c r="CA861" s="32" t="str">
        <f>VLOOKUP(J:J,'Agent wise'!A:C,3,0)</f>
        <v>Amal</v>
      </c>
      <c r="CB861" s="32">
        <f t="shared" si="488"/>
        <v>45945</v>
      </c>
      <c r="CC861" t="str">
        <f t="shared" si="489"/>
        <v>Average</v>
      </c>
      <c r="CE861" s="32"/>
      <c r="CJ861">
        <f t="shared" si="490"/>
        <v>15</v>
      </c>
      <c r="CK861">
        <f t="shared" si="491"/>
        <v>10</v>
      </c>
      <c r="CL861">
        <f t="shared" si="492"/>
        <v>2025</v>
      </c>
    </row>
    <row r="862" spans="1:90" ht="15" customHeight="1" x14ac:dyDescent="0.35">
      <c r="A862" t="s">
        <v>2114</v>
      </c>
      <c r="B862" t="s">
        <v>1076</v>
      </c>
      <c r="C862" t="s">
        <v>214</v>
      </c>
      <c r="D862" t="s">
        <v>101</v>
      </c>
      <c r="E862" s="32">
        <v>45945</v>
      </c>
      <c r="F862" t="s">
        <v>222</v>
      </c>
      <c r="G862" t="s">
        <v>1897</v>
      </c>
      <c r="H862">
        <v>9940619200</v>
      </c>
      <c r="I862">
        <v>145</v>
      </c>
      <c r="J862" t="s">
        <v>501</v>
      </c>
      <c r="K862" t="s">
        <v>71</v>
      </c>
      <c r="L862" t="s">
        <v>72</v>
      </c>
      <c r="M862" t="s">
        <v>59</v>
      </c>
      <c r="N862" t="s">
        <v>59</v>
      </c>
      <c r="O862" t="s">
        <v>60</v>
      </c>
      <c r="P862" t="s">
        <v>60</v>
      </c>
      <c r="Q862" t="s">
        <v>59</v>
      </c>
      <c r="R862" t="s">
        <v>59</v>
      </c>
      <c r="S862" t="s">
        <v>59</v>
      </c>
      <c r="T862" t="s">
        <v>59</v>
      </c>
      <c r="U862" t="s">
        <v>60</v>
      </c>
      <c r="V862" t="s">
        <v>59</v>
      </c>
      <c r="W862" t="s">
        <v>59</v>
      </c>
      <c r="X862" t="s">
        <v>61</v>
      </c>
      <c r="Y862" t="s">
        <v>59</v>
      </c>
      <c r="Z862" t="s">
        <v>59</v>
      </c>
      <c r="AA862" t="s">
        <v>60</v>
      </c>
      <c r="AB862" t="s">
        <v>61</v>
      </c>
      <c r="AC862" t="s">
        <v>61</v>
      </c>
      <c r="AD862" t="s">
        <v>61</v>
      </c>
      <c r="AE862" t="s">
        <v>59</v>
      </c>
      <c r="AF862" t="s">
        <v>61</v>
      </c>
      <c r="AG862" t="s">
        <v>59</v>
      </c>
      <c r="AH862" t="s">
        <v>61</v>
      </c>
      <c r="AI862" t="s">
        <v>61</v>
      </c>
      <c r="AJ862" t="s">
        <v>61</v>
      </c>
      <c r="AK862" t="s">
        <v>61</v>
      </c>
      <c r="AL862" t="s">
        <v>60</v>
      </c>
      <c r="AM862" t="s">
        <v>59</v>
      </c>
      <c r="AN862" t="s">
        <v>59</v>
      </c>
      <c r="AO862" t="s">
        <v>59</v>
      </c>
      <c r="AP862" t="s">
        <v>2110</v>
      </c>
      <c r="AQ862" s="1" t="s">
        <v>2115</v>
      </c>
      <c r="AR862" t="s">
        <v>226</v>
      </c>
      <c r="AS862" t="s">
        <v>352</v>
      </c>
      <c r="AT862" t="s">
        <v>352</v>
      </c>
      <c r="AU862" t="s">
        <v>299</v>
      </c>
      <c r="AW862" s="4">
        <f t="shared" si="458"/>
        <v>6</v>
      </c>
      <c r="AX862" s="4">
        <f t="shared" si="459"/>
        <v>4</v>
      </c>
      <c r="AY862" s="4" t="str">
        <f t="shared" si="460"/>
        <v>0</v>
      </c>
      <c r="AZ862" s="4" t="str">
        <f t="shared" si="461"/>
        <v>0</v>
      </c>
      <c r="BA862" s="4">
        <f t="shared" si="462"/>
        <v>4</v>
      </c>
      <c r="BB862" s="4">
        <f t="shared" si="463"/>
        <v>4</v>
      </c>
      <c r="BC862" s="4">
        <f t="shared" si="464"/>
        <v>4</v>
      </c>
      <c r="BD862" s="4">
        <f t="shared" si="465"/>
        <v>2</v>
      </c>
      <c r="BE862" s="4" t="str">
        <f t="shared" si="466"/>
        <v>0</v>
      </c>
      <c r="BF862" s="4">
        <f t="shared" si="467"/>
        <v>2</v>
      </c>
      <c r="BG862" s="4">
        <f t="shared" si="468"/>
        <v>4</v>
      </c>
      <c r="BH862" s="4">
        <f t="shared" si="469"/>
        <v>4</v>
      </c>
      <c r="BI862" s="4">
        <f t="shared" si="470"/>
        <v>4</v>
      </c>
      <c r="BJ862" s="4">
        <f t="shared" si="471"/>
        <v>2</v>
      </c>
      <c r="BK862" s="4" t="str">
        <f t="shared" si="472"/>
        <v>0</v>
      </c>
      <c r="BL862" s="4">
        <f t="shared" si="473"/>
        <v>2</v>
      </c>
      <c r="BM862" s="4">
        <f t="shared" si="474"/>
        <v>4</v>
      </c>
      <c r="BN862" s="4">
        <f t="shared" si="475"/>
        <v>4</v>
      </c>
      <c r="BO862" s="4">
        <f t="shared" si="476"/>
        <v>4</v>
      </c>
      <c r="BP862" s="4">
        <f t="shared" si="477"/>
        <v>4</v>
      </c>
      <c r="BQ862" s="4">
        <f t="shared" si="478"/>
        <v>6</v>
      </c>
      <c r="BR862" s="4">
        <f t="shared" si="479"/>
        <v>4</v>
      </c>
      <c r="BS862" s="4">
        <f t="shared" si="480"/>
        <v>4</v>
      </c>
      <c r="BT862" s="4">
        <f t="shared" si="481"/>
        <v>4</v>
      </c>
      <c r="BU862" s="4">
        <f t="shared" si="482"/>
        <v>4</v>
      </c>
      <c r="BV862" s="4" t="str">
        <f t="shared" si="483"/>
        <v>0</v>
      </c>
      <c r="BW862" s="4">
        <f t="shared" si="484"/>
        <v>6</v>
      </c>
      <c r="BX862" s="4">
        <f t="shared" si="485"/>
        <v>0</v>
      </c>
      <c r="BY862" s="4">
        <f t="shared" si="486"/>
        <v>0</v>
      </c>
      <c r="BZ862" s="37">
        <f t="shared" si="487"/>
        <v>86</v>
      </c>
      <c r="CA862" s="32" t="str">
        <f>VLOOKUP(J:J,'Agent wise'!A:C,3,0)</f>
        <v>Amal</v>
      </c>
      <c r="CB862" s="32">
        <f t="shared" si="488"/>
        <v>45945</v>
      </c>
      <c r="CC862" t="str">
        <f t="shared" si="489"/>
        <v>Average</v>
      </c>
      <c r="CE862" s="32"/>
      <c r="CJ862">
        <f t="shared" si="490"/>
        <v>15</v>
      </c>
      <c r="CK862">
        <f t="shared" si="491"/>
        <v>10</v>
      </c>
      <c r="CL862">
        <f t="shared" si="492"/>
        <v>2025</v>
      </c>
    </row>
    <row r="863" spans="1:90" ht="15" customHeight="1" x14ac:dyDescent="0.35">
      <c r="A863" t="s">
        <v>2116</v>
      </c>
      <c r="B863" t="s">
        <v>250</v>
      </c>
      <c r="C863" t="s">
        <v>214</v>
      </c>
      <c r="D863" t="s">
        <v>251</v>
      </c>
      <c r="E863" s="32">
        <v>45945</v>
      </c>
      <c r="F863" t="s">
        <v>222</v>
      </c>
      <c r="G863" t="s">
        <v>1749</v>
      </c>
      <c r="H863">
        <v>9496292655</v>
      </c>
      <c r="I863">
        <v>132</v>
      </c>
      <c r="J863" t="s">
        <v>391</v>
      </c>
      <c r="K863" t="s">
        <v>57</v>
      </c>
      <c r="L863" t="s">
        <v>58</v>
      </c>
      <c r="M863" t="s">
        <v>59</v>
      </c>
      <c r="N863" t="s">
        <v>59</v>
      </c>
      <c r="O863" t="s">
        <v>59</v>
      </c>
      <c r="P863" t="s">
        <v>59</v>
      </c>
      <c r="Q863" t="s">
        <v>59</v>
      </c>
      <c r="R863" t="s">
        <v>59</v>
      </c>
      <c r="S863" t="s">
        <v>59</v>
      </c>
      <c r="T863" t="s">
        <v>59</v>
      </c>
      <c r="U863" t="s">
        <v>60</v>
      </c>
      <c r="V863" t="s">
        <v>59</v>
      </c>
      <c r="W863" t="s">
        <v>59</v>
      </c>
      <c r="X863" t="s">
        <v>59</v>
      </c>
      <c r="Y863" t="s">
        <v>59</v>
      </c>
      <c r="Z863" t="s">
        <v>59</v>
      </c>
      <c r="AA863" t="s">
        <v>59</v>
      </c>
      <c r="AB863" t="s">
        <v>60</v>
      </c>
      <c r="AC863" t="s">
        <v>59</v>
      </c>
      <c r="AD863" t="s">
        <v>59</v>
      </c>
      <c r="AE863" t="s">
        <v>59</v>
      </c>
      <c r="AF863" t="s">
        <v>59</v>
      </c>
      <c r="AG863" t="s">
        <v>59</v>
      </c>
      <c r="AH863" t="s">
        <v>61</v>
      </c>
      <c r="AI863" t="s">
        <v>61</v>
      </c>
      <c r="AJ863" t="s">
        <v>59</v>
      </c>
      <c r="AK863" t="s">
        <v>59</v>
      </c>
      <c r="AL863" t="s">
        <v>60</v>
      </c>
      <c r="AM863" t="s">
        <v>59</v>
      </c>
      <c r="AN863" t="s">
        <v>59</v>
      </c>
      <c r="AO863" t="s">
        <v>59</v>
      </c>
      <c r="AP863" t="s">
        <v>467</v>
      </c>
      <c r="AQ863" t="s">
        <v>2117</v>
      </c>
      <c r="AR863" t="s">
        <v>64</v>
      </c>
      <c r="AS863" t="s">
        <v>1160</v>
      </c>
      <c r="AT863" t="s">
        <v>394</v>
      </c>
      <c r="AU863" t="s">
        <v>219</v>
      </c>
      <c r="AW863" s="4">
        <f t="shared" si="458"/>
        <v>6</v>
      </c>
      <c r="AX863" s="4">
        <f t="shared" si="459"/>
        <v>4</v>
      </c>
      <c r="AY863" s="4">
        <f t="shared" si="460"/>
        <v>4</v>
      </c>
      <c r="AZ863" s="4">
        <f t="shared" si="461"/>
        <v>2</v>
      </c>
      <c r="BA863" s="4">
        <f t="shared" si="462"/>
        <v>4</v>
      </c>
      <c r="BB863" s="4">
        <f t="shared" si="463"/>
        <v>4</v>
      </c>
      <c r="BC863" s="4">
        <f t="shared" si="464"/>
        <v>4</v>
      </c>
      <c r="BD863" s="4">
        <f t="shared" si="465"/>
        <v>2</v>
      </c>
      <c r="BE863" s="4" t="str">
        <f t="shared" si="466"/>
        <v>0</v>
      </c>
      <c r="BF863" s="4">
        <f t="shared" si="467"/>
        <v>2</v>
      </c>
      <c r="BG863" s="4">
        <f t="shared" si="468"/>
        <v>4</v>
      </c>
      <c r="BH863" s="4">
        <f t="shared" si="469"/>
        <v>4</v>
      </c>
      <c r="BI863" s="4">
        <f t="shared" si="470"/>
        <v>4</v>
      </c>
      <c r="BJ863" s="4">
        <f t="shared" si="471"/>
        <v>2</v>
      </c>
      <c r="BK863" s="4">
        <f t="shared" si="472"/>
        <v>4</v>
      </c>
      <c r="BL863" s="4" t="str">
        <f t="shared" si="473"/>
        <v>0</v>
      </c>
      <c r="BM863" s="4">
        <f t="shared" si="474"/>
        <v>4</v>
      </c>
      <c r="BN863" s="4">
        <f t="shared" si="475"/>
        <v>4</v>
      </c>
      <c r="BO863" s="4">
        <f t="shared" si="476"/>
        <v>4</v>
      </c>
      <c r="BP863" s="4">
        <f t="shared" si="477"/>
        <v>4</v>
      </c>
      <c r="BQ863" s="4">
        <f t="shared" si="478"/>
        <v>6</v>
      </c>
      <c r="BR863" s="4">
        <f t="shared" si="479"/>
        <v>4</v>
      </c>
      <c r="BS863" s="4">
        <f t="shared" si="480"/>
        <v>4</v>
      </c>
      <c r="BT863" s="4">
        <f t="shared" si="481"/>
        <v>4</v>
      </c>
      <c r="BU863" s="4">
        <f t="shared" si="482"/>
        <v>4</v>
      </c>
      <c r="BV863" s="4" t="str">
        <f t="shared" si="483"/>
        <v>0</v>
      </c>
      <c r="BW863" s="4">
        <f t="shared" si="484"/>
        <v>6</v>
      </c>
      <c r="BX863" s="4">
        <f t="shared" si="485"/>
        <v>0</v>
      </c>
      <c r="BY863" s="4">
        <f t="shared" si="486"/>
        <v>0</v>
      </c>
      <c r="BZ863" s="37">
        <f t="shared" si="487"/>
        <v>94</v>
      </c>
      <c r="CA863" s="32" t="str">
        <f>VLOOKUP(J:J,'Agent wise'!A:C,3,0)</f>
        <v>Amal</v>
      </c>
      <c r="CB863" s="32">
        <f t="shared" si="488"/>
        <v>45945</v>
      </c>
      <c r="CC863" t="str">
        <f t="shared" si="489"/>
        <v>Good</v>
      </c>
      <c r="CE863" s="32"/>
      <c r="CJ863">
        <f t="shared" si="490"/>
        <v>15</v>
      </c>
      <c r="CK863">
        <f t="shared" si="491"/>
        <v>10</v>
      </c>
      <c r="CL863">
        <f t="shared" si="492"/>
        <v>2025</v>
      </c>
    </row>
    <row r="864" spans="1:90" ht="15" customHeight="1" x14ac:dyDescent="0.35">
      <c r="A864" t="s">
        <v>2118</v>
      </c>
      <c r="B864" t="s">
        <v>250</v>
      </c>
      <c r="C864" t="s">
        <v>214</v>
      </c>
      <c r="D864" t="s">
        <v>251</v>
      </c>
      <c r="E864" s="32">
        <v>45945</v>
      </c>
      <c r="F864" t="s">
        <v>222</v>
      </c>
      <c r="G864" t="s">
        <v>1592</v>
      </c>
      <c r="H864">
        <v>7306701200</v>
      </c>
      <c r="I864">
        <v>148</v>
      </c>
      <c r="J864" t="s">
        <v>501</v>
      </c>
      <c r="K864" t="s">
        <v>57</v>
      </c>
      <c r="L864" t="s">
        <v>58</v>
      </c>
      <c r="M864" t="s">
        <v>59</v>
      </c>
      <c r="N864" t="s">
        <v>59</v>
      </c>
      <c r="O864" t="s">
        <v>59</v>
      </c>
      <c r="P864" t="s">
        <v>59</v>
      </c>
      <c r="Q864" t="s">
        <v>59</v>
      </c>
      <c r="R864" t="s">
        <v>59</v>
      </c>
      <c r="S864" t="s">
        <v>59</v>
      </c>
      <c r="T864" t="s">
        <v>59</v>
      </c>
      <c r="U864" t="s">
        <v>60</v>
      </c>
      <c r="V864" t="s">
        <v>59</v>
      </c>
      <c r="W864" t="s">
        <v>59</v>
      </c>
      <c r="X864" t="s">
        <v>59</v>
      </c>
      <c r="Y864" t="s">
        <v>59</v>
      </c>
      <c r="Z864" t="s">
        <v>60</v>
      </c>
      <c r="AA864" t="s">
        <v>59</v>
      </c>
      <c r="AB864" t="s">
        <v>59</v>
      </c>
      <c r="AC864" t="s">
        <v>59</v>
      </c>
      <c r="AD864" t="s">
        <v>59</v>
      </c>
      <c r="AE864" t="s">
        <v>59</v>
      </c>
      <c r="AF864" t="s">
        <v>59</v>
      </c>
      <c r="AG864" t="s">
        <v>59</v>
      </c>
      <c r="AH864" t="s">
        <v>61</v>
      </c>
      <c r="AI864" t="s">
        <v>61</v>
      </c>
      <c r="AJ864" t="s">
        <v>59</v>
      </c>
      <c r="AK864" t="s">
        <v>59</v>
      </c>
      <c r="AL864" t="s">
        <v>60</v>
      </c>
      <c r="AM864" t="s">
        <v>59</v>
      </c>
      <c r="AN864" t="s">
        <v>59</v>
      </c>
      <c r="AO864" t="s">
        <v>59</v>
      </c>
      <c r="AP864" t="s">
        <v>2119</v>
      </c>
      <c r="AQ864" t="s">
        <v>2120</v>
      </c>
      <c r="AR864" t="s">
        <v>64</v>
      </c>
      <c r="AS864" t="s">
        <v>2121</v>
      </c>
      <c r="AT864" t="s">
        <v>394</v>
      </c>
      <c r="AU864" t="s">
        <v>219</v>
      </c>
      <c r="AW864" s="4">
        <f t="shared" si="458"/>
        <v>6</v>
      </c>
      <c r="AX864" s="4">
        <f t="shared" si="459"/>
        <v>4</v>
      </c>
      <c r="AY864" s="4">
        <f t="shared" si="460"/>
        <v>4</v>
      </c>
      <c r="AZ864" s="4">
        <f t="shared" si="461"/>
        <v>2</v>
      </c>
      <c r="BA864" s="4">
        <f t="shared" si="462"/>
        <v>4</v>
      </c>
      <c r="BB864" s="4">
        <f t="shared" si="463"/>
        <v>4</v>
      </c>
      <c r="BC864" s="4">
        <f t="shared" si="464"/>
        <v>4</v>
      </c>
      <c r="BD864" s="4">
        <f t="shared" si="465"/>
        <v>2</v>
      </c>
      <c r="BE864" s="4" t="str">
        <f t="shared" si="466"/>
        <v>0</v>
      </c>
      <c r="BF864" s="4">
        <f t="shared" si="467"/>
        <v>2</v>
      </c>
      <c r="BG864" s="4">
        <f t="shared" si="468"/>
        <v>4</v>
      </c>
      <c r="BH864" s="4">
        <f t="shared" si="469"/>
        <v>4</v>
      </c>
      <c r="BI864" s="4">
        <f t="shared" si="470"/>
        <v>4</v>
      </c>
      <c r="BJ864" s="4" t="str">
        <f t="shared" si="471"/>
        <v>0</v>
      </c>
      <c r="BK864" s="4">
        <f t="shared" si="472"/>
        <v>4</v>
      </c>
      <c r="BL864" s="4">
        <f t="shared" si="473"/>
        <v>2</v>
      </c>
      <c r="BM864" s="4">
        <f t="shared" si="474"/>
        <v>4</v>
      </c>
      <c r="BN864" s="4">
        <f t="shared" si="475"/>
        <v>4</v>
      </c>
      <c r="BO864" s="4">
        <f t="shared" si="476"/>
        <v>4</v>
      </c>
      <c r="BP864" s="4">
        <f t="shared" si="477"/>
        <v>4</v>
      </c>
      <c r="BQ864" s="4">
        <f t="shared" si="478"/>
        <v>6</v>
      </c>
      <c r="BR864" s="4">
        <f t="shared" si="479"/>
        <v>4</v>
      </c>
      <c r="BS864" s="4">
        <f t="shared" si="480"/>
        <v>4</v>
      </c>
      <c r="BT864" s="4">
        <f t="shared" si="481"/>
        <v>4</v>
      </c>
      <c r="BU864" s="4">
        <f t="shared" si="482"/>
        <v>4</v>
      </c>
      <c r="BV864" s="4" t="str">
        <f t="shared" si="483"/>
        <v>0</v>
      </c>
      <c r="BW864" s="4">
        <f t="shared" si="484"/>
        <v>6</v>
      </c>
      <c r="BX864" s="4">
        <f t="shared" si="485"/>
        <v>0</v>
      </c>
      <c r="BY864" s="4">
        <f t="shared" si="486"/>
        <v>0</v>
      </c>
      <c r="BZ864" s="37">
        <f t="shared" si="487"/>
        <v>94</v>
      </c>
      <c r="CA864" s="32" t="str">
        <f>VLOOKUP(J:J,'Agent wise'!A:C,3,0)</f>
        <v>Amal</v>
      </c>
      <c r="CB864" s="32">
        <f t="shared" si="488"/>
        <v>45945</v>
      </c>
      <c r="CC864" t="str">
        <f t="shared" si="489"/>
        <v>Good</v>
      </c>
      <c r="CE864" s="32"/>
      <c r="CJ864">
        <f t="shared" si="490"/>
        <v>15</v>
      </c>
      <c r="CK864">
        <f t="shared" si="491"/>
        <v>10</v>
      </c>
      <c r="CL864">
        <f t="shared" si="492"/>
        <v>2025</v>
      </c>
    </row>
    <row r="865" spans="1:90" ht="15" customHeight="1" x14ac:dyDescent="0.35">
      <c r="A865" t="s">
        <v>2122</v>
      </c>
      <c r="B865" t="s">
        <v>250</v>
      </c>
      <c r="C865" t="s">
        <v>214</v>
      </c>
      <c r="D865" t="s">
        <v>251</v>
      </c>
      <c r="E865" s="32">
        <v>45945</v>
      </c>
      <c r="F865" t="s">
        <v>222</v>
      </c>
      <c r="G865" t="s">
        <v>1592</v>
      </c>
      <c r="H865">
        <v>7907786604</v>
      </c>
      <c r="I865">
        <v>131</v>
      </c>
      <c r="J865" t="s">
        <v>409</v>
      </c>
      <c r="K865" t="s">
        <v>57</v>
      </c>
      <c r="L865" t="s">
        <v>58</v>
      </c>
      <c r="M865" t="s">
        <v>59</v>
      </c>
      <c r="N865" t="s">
        <v>59</v>
      </c>
      <c r="O865" t="s">
        <v>59</v>
      </c>
      <c r="P865" t="s">
        <v>59</v>
      </c>
      <c r="Q865" t="s">
        <v>59</v>
      </c>
      <c r="R865" t="s">
        <v>60</v>
      </c>
      <c r="S865" t="s">
        <v>59</v>
      </c>
      <c r="T865" t="s">
        <v>59</v>
      </c>
      <c r="U865" t="s">
        <v>59</v>
      </c>
      <c r="V865" t="s">
        <v>59</v>
      </c>
      <c r="W865" t="s">
        <v>59</v>
      </c>
      <c r="X865" t="s">
        <v>59</v>
      </c>
      <c r="Y865" t="s">
        <v>59</v>
      </c>
      <c r="Z865" t="s">
        <v>59</v>
      </c>
      <c r="AA865" t="s">
        <v>59</v>
      </c>
      <c r="AB865" t="s">
        <v>59</v>
      </c>
      <c r="AC865" t="s">
        <v>59</v>
      </c>
      <c r="AD865" t="s">
        <v>59</v>
      </c>
      <c r="AE865" t="s">
        <v>59</v>
      </c>
      <c r="AF865" t="s">
        <v>59</v>
      </c>
      <c r="AG865" t="s">
        <v>59</v>
      </c>
      <c r="AH865" t="s">
        <v>61</v>
      </c>
      <c r="AI865" t="s">
        <v>60</v>
      </c>
      <c r="AJ865" t="s">
        <v>59</v>
      </c>
      <c r="AK865" t="s">
        <v>59</v>
      </c>
      <c r="AL865" t="s">
        <v>60</v>
      </c>
      <c r="AM865" t="s">
        <v>59</v>
      </c>
      <c r="AN865" t="s">
        <v>59</v>
      </c>
      <c r="AO865" t="s">
        <v>59</v>
      </c>
      <c r="AP865" t="s">
        <v>2123</v>
      </c>
      <c r="AQ865" t="s">
        <v>2124</v>
      </c>
      <c r="AR865" t="s">
        <v>64</v>
      </c>
      <c r="AS865" t="s">
        <v>720</v>
      </c>
      <c r="AT865" t="s">
        <v>394</v>
      </c>
      <c r="AU865" t="s">
        <v>219</v>
      </c>
      <c r="AW865" s="4">
        <f t="shared" si="458"/>
        <v>6</v>
      </c>
      <c r="AX865" s="4">
        <f t="shared" si="459"/>
        <v>4</v>
      </c>
      <c r="AY865" s="4">
        <f t="shared" si="460"/>
        <v>4</v>
      </c>
      <c r="AZ865" s="4">
        <f t="shared" si="461"/>
        <v>2</v>
      </c>
      <c r="BA865" s="4">
        <f t="shared" si="462"/>
        <v>4</v>
      </c>
      <c r="BB865" s="4" t="str">
        <f t="shared" si="463"/>
        <v>0</v>
      </c>
      <c r="BC865" s="4">
        <f t="shared" si="464"/>
        <v>4</v>
      </c>
      <c r="BD865" s="4">
        <f t="shared" si="465"/>
        <v>2</v>
      </c>
      <c r="BE865" s="4">
        <f t="shared" si="466"/>
        <v>4</v>
      </c>
      <c r="BF865" s="4">
        <f t="shared" si="467"/>
        <v>2</v>
      </c>
      <c r="BG865" s="4">
        <f t="shared" si="468"/>
        <v>4</v>
      </c>
      <c r="BH865" s="4">
        <f t="shared" si="469"/>
        <v>4</v>
      </c>
      <c r="BI865" s="4">
        <f t="shared" si="470"/>
        <v>4</v>
      </c>
      <c r="BJ865" s="4">
        <f t="shared" si="471"/>
        <v>2</v>
      </c>
      <c r="BK865" s="4">
        <f t="shared" si="472"/>
        <v>4</v>
      </c>
      <c r="BL865" s="4">
        <f t="shared" si="473"/>
        <v>2</v>
      </c>
      <c r="BM865" s="4">
        <f t="shared" si="474"/>
        <v>4</v>
      </c>
      <c r="BN865" s="4">
        <f t="shared" si="475"/>
        <v>4</v>
      </c>
      <c r="BO865" s="4">
        <f t="shared" si="476"/>
        <v>4</v>
      </c>
      <c r="BP865" s="4">
        <f t="shared" si="477"/>
        <v>4</v>
      </c>
      <c r="BQ865" s="4">
        <f t="shared" si="478"/>
        <v>6</v>
      </c>
      <c r="BR865" s="4">
        <f t="shared" si="479"/>
        <v>4</v>
      </c>
      <c r="BS865" s="4" t="str">
        <f t="shared" si="480"/>
        <v>0</v>
      </c>
      <c r="BT865" s="4">
        <f t="shared" si="481"/>
        <v>4</v>
      </c>
      <c r="BU865" s="4">
        <f t="shared" si="482"/>
        <v>4</v>
      </c>
      <c r="BV865" s="4" t="str">
        <f t="shared" si="483"/>
        <v>0</v>
      </c>
      <c r="BW865" s="4">
        <f t="shared" si="484"/>
        <v>6</v>
      </c>
      <c r="BX865" s="4">
        <f t="shared" si="485"/>
        <v>0</v>
      </c>
      <c r="BY865" s="4">
        <f t="shared" si="486"/>
        <v>0</v>
      </c>
      <c r="BZ865" s="37">
        <f t="shared" si="487"/>
        <v>92</v>
      </c>
      <c r="CA865" s="32" t="str">
        <f>VLOOKUP(J:J,'Agent wise'!A:C,3,0)</f>
        <v>Amal</v>
      </c>
      <c r="CB865" s="32">
        <f t="shared" si="488"/>
        <v>45945</v>
      </c>
      <c r="CC865" t="str">
        <f t="shared" si="489"/>
        <v>Good</v>
      </c>
      <c r="CE865" s="32"/>
      <c r="CJ865">
        <f t="shared" si="490"/>
        <v>15</v>
      </c>
      <c r="CK865">
        <f t="shared" si="491"/>
        <v>10</v>
      </c>
      <c r="CL865">
        <f t="shared" si="492"/>
        <v>2025</v>
      </c>
    </row>
    <row r="866" spans="1:90" ht="15" customHeight="1" x14ac:dyDescent="0.35">
      <c r="A866" t="s">
        <v>2125</v>
      </c>
      <c r="B866" t="s">
        <v>250</v>
      </c>
      <c r="C866" t="s">
        <v>214</v>
      </c>
      <c r="D866" t="s">
        <v>251</v>
      </c>
      <c r="E866" s="32">
        <v>45945</v>
      </c>
      <c r="F866" t="s">
        <v>222</v>
      </c>
      <c r="G866" t="s">
        <v>1592</v>
      </c>
      <c r="H866">
        <v>8428012388</v>
      </c>
      <c r="I866">
        <v>133</v>
      </c>
      <c r="J866" t="s">
        <v>420</v>
      </c>
      <c r="K866" t="s">
        <v>71</v>
      </c>
      <c r="L866" t="s">
        <v>72</v>
      </c>
      <c r="M866" t="s">
        <v>59</v>
      </c>
      <c r="N866" t="s">
        <v>59</v>
      </c>
      <c r="O866" t="s">
        <v>59</v>
      </c>
      <c r="P866" t="s">
        <v>59</v>
      </c>
      <c r="Q866" t="s">
        <v>59</v>
      </c>
      <c r="R866" t="s">
        <v>59</v>
      </c>
      <c r="S866" t="s">
        <v>59</v>
      </c>
      <c r="T866" t="s">
        <v>59</v>
      </c>
      <c r="U866" t="s">
        <v>60</v>
      </c>
      <c r="V866" t="s">
        <v>59</v>
      </c>
      <c r="W866" t="s">
        <v>59</v>
      </c>
      <c r="X866" t="s">
        <v>59</v>
      </c>
      <c r="Y866" t="s">
        <v>59</v>
      </c>
      <c r="Z866" t="s">
        <v>59</v>
      </c>
      <c r="AA866" t="s">
        <v>59</v>
      </c>
      <c r="AB866" t="s">
        <v>60</v>
      </c>
      <c r="AC866" t="s">
        <v>59</v>
      </c>
      <c r="AD866" t="s">
        <v>59</v>
      </c>
      <c r="AE866" t="s">
        <v>59</v>
      </c>
      <c r="AF866" t="s">
        <v>59</v>
      </c>
      <c r="AG866" t="s">
        <v>59</v>
      </c>
      <c r="AH866" t="s">
        <v>61</v>
      </c>
      <c r="AI866" t="s">
        <v>61</v>
      </c>
      <c r="AJ866" t="s">
        <v>59</v>
      </c>
      <c r="AK866" t="s">
        <v>59</v>
      </c>
      <c r="AL866" t="s">
        <v>60</v>
      </c>
      <c r="AM866" t="s">
        <v>59</v>
      </c>
      <c r="AN866" t="s">
        <v>59</v>
      </c>
      <c r="AO866" t="s">
        <v>59</v>
      </c>
      <c r="AP866" t="s">
        <v>467</v>
      </c>
      <c r="AQ866" t="s">
        <v>2126</v>
      </c>
      <c r="AR866" t="s">
        <v>226</v>
      </c>
      <c r="AS866" t="s">
        <v>2127</v>
      </c>
      <c r="AT866" t="s">
        <v>394</v>
      </c>
      <c r="AU866" t="s">
        <v>219</v>
      </c>
      <c r="AW866" s="4">
        <f t="shared" si="458"/>
        <v>6</v>
      </c>
      <c r="AX866" s="4">
        <f t="shared" si="459"/>
        <v>4</v>
      </c>
      <c r="AY866" s="4">
        <f t="shared" si="460"/>
        <v>4</v>
      </c>
      <c r="AZ866" s="4">
        <f t="shared" si="461"/>
        <v>2</v>
      </c>
      <c r="BA866" s="4">
        <f t="shared" si="462"/>
        <v>4</v>
      </c>
      <c r="BB866" s="4">
        <f t="shared" si="463"/>
        <v>4</v>
      </c>
      <c r="BC866" s="4">
        <f t="shared" si="464"/>
        <v>4</v>
      </c>
      <c r="BD866" s="4">
        <f t="shared" si="465"/>
        <v>2</v>
      </c>
      <c r="BE866" s="4" t="str">
        <f t="shared" si="466"/>
        <v>0</v>
      </c>
      <c r="BF866" s="4">
        <f t="shared" si="467"/>
        <v>2</v>
      </c>
      <c r="BG866" s="4">
        <f t="shared" si="468"/>
        <v>4</v>
      </c>
      <c r="BH866" s="4">
        <f t="shared" si="469"/>
        <v>4</v>
      </c>
      <c r="BI866" s="4">
        <f t="shared" si="470"/>
        <v>4</v>
      </c>
      <c r="BJ866" s="4">
        <f t="shared" si="471"/>
        <v>2</v>
      </c>
      <c r="BK866" s="4">
        <f t="shared" si="472"/>
        <v>4</v>
      </c>
      <c r="BL866" s="4" t="str">
        <f t="shared" si="473"/>
        <v>0</v>
      </c>
      <c r="BM866" s="4">
        <f t="shared" si="474"/>
        <v>4</v>
      </c>
      <c r="BN866" s="4">
        <f t="shared" si="475"/>
        <v>4</v>
      </c>
      <c r="BO866" s="4">
        <f t="shared" si="476"/>
        <v>4</v>
      </c>
      <c r="BP866" s="4">
        <f t="shared" si="477"/>
        <v>4</v>
      </c>
      <c r="BQ866" s="4">
        <f t="shared" si="478"/>
        <v>6</v>
      </c>
      <c r="BR866" s="4">
        <f t="shared" si="479"/>
        <v>4</v>
      </c>
      <c r="BS866" s="4">
        <f t="shared" si="480"/>
        <v>4</v>
      </c>
      <c r="BT866" s="4">
        <f t="shared" si="481"/>
        <v>4</v>
      </c>
      <c r="BU866" s="4">
        <f t="shared" si="482"/>
        <v>4</v>
      </c>
      <c r="BV866" s="4" t="str">
        <f t="shared" si="483"/>
        <v>0</v>
      </c>
      <c r="BW866" s="4">
        <f t="shared" si="484"/>
        <v>6</v>
      </c>
      <c r="BX866" s="4">
        <f t="shared" si="485"/>
        <v>0</v>
      </c>
      <c r="BY866" s="4">
        <f t="shared" si="486"/>
        <v>0</v>
      </c>
      <c r="BZ866" s="37">
        <f t="shared" si="487"/>
        <v>94</v>
      </c>
      <c r="CA866" s="32" t="str">
        <f>VLOOKUP(J:J,'Agent wise'!A:C,3,0)</f>
        <v>Amal</v>
      </c>
      <c r="CB866" s="32">
        <f t="shared" si="488"/>
        <v>45945</v>
      </c>
      <c r="CC866" t="str">
        <f t="shared" si="489"/>
        <v>Good</v>
      </c>
      <c r="CE866" s="32"/>
      <c r="CJ866">
        <f t="shared" si="490"/>
        <v>15</v>
      </c>
      <c r="CK866">
        <f t="shared" si="491"/>
        <v>10</v>
      </c>
      <c r="CL866">
        <f t="shared" si="492"/>
        <v>2025</v>
      </c>
    </row>
    <row r="867" spans="1:90" ht="15" customHeight="1" x14ac:dyDescent="0.35">
      <c r="A867" t="s">
        <v>2128</v>
      </c>
      <c r="B867" t="s">
        <v>250</v>
      </c>
      <c r="C867" t="s">
        <v>214</v>
      </c>
      <c r="D867" t="s">
        <v>251</v>
      </c>
      <c r="E867" s="32">
        <v>45945</v>
      </c>
      <c r="F867" t="s">
        <v>222</v>
      </c>
      <c r="G867" t="s">
        <v>1592</v>
      </c>
      <c r="H867">
        <v>7306701200</v>
      </c>
      <c r="I867">
        <v>157</v>
      </c>
      <c r="J867" t="s">
        <v>252</v>
      </c>
      <c r="K867" t="s">
        <v>57</v>
      </c>
      <c r="L867" t="s">
        <v>58</v>
      </c>
      <c r="M867" t="s">
        <v>59</v>
      </c>
      <c r="N867" t="s">
        <v>59</v>
      </c>
      <c r="O867" t="s">
        <v>59</v>
      </c>
      <c r="P867" t="s">
        <v>59</v>
      </c>
      <c r="Q867" t="s">
        <v>59</v>
      </c>
      <c r="R867" t="s">
        <v>59</v>
      </c>
      <c r="S867" t="s">
        <v>59</v>
      </c>
      <c r="T867" t="s">
        <v>59</v>
      </c>
      <c r="U867" t="s">
        <v>60</v>
      </c>
      <c r="V867" t="s">
        <v>59</v>
      </c>
      <c r="W867" t="s">
        <v>59</v>
      </c>
      <c r="X867" t="s">
        <v>59</v>
      </c>
      <c r="Y867" t="s">
        <v>59</v>
      </c>
      <c r="Z867" t="s">
        <v>59</v>
      </c>
      <c r="AA867" t="s">
        <v>59</v>
      </c>
      <c r="AB867" t="s">
        <v>59</v>
      </c>
      <c r="AC867" t="s">
        <v>59</v>
      </c>
      <c r="AD867" t="s">
        <v>59</v>
      </c>
      <c r="AE867" t="s">
        <v>59</v>
      </c>
      <c r="AF867" t="s">
        <v>59</v>
      </c>
      <c r="AG867" t="s">
        <v>59</v>
      </c>
      <c r="AH867" t="s">
        <v>61</v>
      </c>
      <c r="AI867" t="s">
        <v>61</v>
      </c>
      <c r="AJ867" t="s">
        <v>59</v>
      </c>
      <c r="AK867" t="s">
        <v>59</v>
      </c>
      <c r="AL867" t="s">
        <v>60</v>
      </c>
      <c r="AM867" t="s">
        <v>59</v>
      </c>
      <c r="AN867" t="s">
        <v>59</v>
      </c>
      <c r="AO867" t="s">
        <v>59</v>
      </c>
      <c r="AP867" t="s">
        <v>1211</v>
      </c>
      <c r="AQ867" t="s">
        <v>2129</v>
      </c>
      <c r="AR867" t="s">
        <v>226</v>
      </c>
      <c r="AS867" t="s">
        <v>2130</v>
      </c>
      <c r="AT867" t="s">
        <v>394</v>
      </c>
      <c r="AU867" t="s">
        <v>219</v>
      </c>
      <c r="AW867" s="4">
        <f t="shared" si="458"/>
        <v>6</v>
      </c>
      <c r="AX867" s="4">
        <f t="shared" si="459"/>
        <v>4</v>
      </c>
      <c r="AY867" s="4">
        <f t="shared" si="460"/>
        <v>4</v>
      </c>
      <c r="AZ867" s="4">
        <f t="shared" si="461"/>
        <v>2</v>
      </c>
      <c r="BA867" s="4">
        <f t="shared" si="462"/>
        <v>4</v>
      </c>
      <c r="BB867" s="4">
        <f t="shared" si="463"/>
        <v>4</v>
      </c>
      <c r="BC867" s="4">
        <f t="shared" si="464"/>
        <v>4</v>
      </c>
      <c r="BD867" s="4">
        <f t="shared" si="465"/>
        <v>2</v>
      </c>
      <c r="BE867" s="4" t="str">
        <f t="shared" si="466"/>
        <v>0</v>
      </c>
      <c r="BF867" s="4">
        <f t="shared" si="467"/>
        <v>2</v>
      </c>
      <c r="BG867" s="4">
        <f t="shared" si="468"/>
        <v>4</v>
      </c>
      <c r="BH867" s="4">
        <f t="shared" si="469"/>
        <v>4</v>
      </c>
      <c r="BI867" s="4">
        <f t="shared" si="470"/>
        <v>4</v>
      </c>
      <c r="BJ867" s="4">
        <f t="shared" si="471"/>
        <v>2</v>
      </c>
      <c r="BK867" s="4">
        <f t="shared" si="472"/>
        <v>4</v>
      </c>
      <c r="BL867" s="4">
        <f t="shared" si="473"/>
        <v>2</v>
      </c>
      <c r="BM867" s="4">
        <f t="shared" si="474"/>
        <v>4</v>
      </c>
      <c r="BN867" s="4">
        <f t="shared" si="475"/>
        <v>4</v>
      </c>
      <c r="BO867" s="4">
        <f t="shared" si="476"/>
        <v>4</v>
      </c>
      <c r="BP867" s="4">
        <f t="shared" si="477"/>
        <v>4</v>
      </c>
      <c r="BQ867" s="4">
        <f t="shared" si="478"/>
        <v>6</v>
      </c>
      <c r="BR867" s="4">
        <f t="shared" si="479"/>
        <v>4</v>
      </c>
      <c r="BS867" s="4">
        <f t="shared" si="480"/>
        <v>4</v>
      </c>
      <c r="BT867" s="4">
        <f t="shared" si="481"/>
        <v>4</v>
      </c>
      <c r="BU867" s="4">
        <f t="shared" si="482"/>
        <v>4</v>
      </c>
      <c r="BV867" s="4" t="str">
        <f t="shared" si="483"/>
        <v>0</v>
      </c>
      <c r="BW867" s="4">
        <f t="shared" si="484"/>
        <v>6</v>
      </c>
      <c r="BX867" s="4">
        <f t="shared" si="485"/>
        <v>0</v>
      </c>
      <c r="BY867" s="4">
        <f t="shared" si="486"/>
        <v>0</v>
      </c>
      <c r="BZ867" s="37">
        <f t="shared" si="487"/>
        <v>96</v>
      </c>
      <c r="CA867" s="32" t="str">
        <f>VLOOKUP(J:J,'Agent wise'!A:C,3,0)</f>
        <v xml:space="preserve">Shiny </v>
      </c>
      <c r="CB867" s="32">
        <f t="shared" si="488"/>
        <v>45945</v>
      </c>
      <c r="CC867" t="str">
        <f t="shared" si="489"/>
        <v>Excellent</v>
      </c>
      <c r="CE867" s="32"/>
      <c r="CJ867">
        <f t="shared" si="490"/>
        <v>15</v>
      </c>
      <c r="CK867">
        <f t="shared" si="491"/>
        <v>10</v>
      </c>
      <c r="CL867">
        <f t="shared" si="492"/>
        <v>2025</v>
      </c>
    </row>
    <row r="868" spans="1:90" ht="15" customHeight="1" x14ac:dyDescent="0.35">
      <c r="A868" t="s">
        <v>2131</v>
      </c>
      <c r="B868" t="s">
        <v>698</v>
      </c>
      <c r="C868" t="s">
        <v>214</v>
      </c>
      <c r="D868" t="s">
        <v>221</v>
      </c>
      <c r="E868" s="32">
        <v>45945</v>
      </c>
      <c r="F868" t="s">
        <v>222</v>
      </c>
      <c r="G868" t="s">
        <v>1897</v>
      </c>
      <c r="H868">
        <v>8122984401</v>
      </c>
      <c r="I868">
        <v>168</v>
      </c>
      <c r="J868" t="s">
        <v>570</v>
      </c>
      <c r="K868" t="s">
        <v>71</v>
      </c>
      <c r="L868" t="s">
        <v>72</v>
      </c>
      <c r="M868" t="s">
        <v>59</v>
      </c>
      <c r="N868" t="s">
        <v>59</v>
      </c>
      <c r="O868" t="s">
        <v>60</v>
      </c>
      <c r="P868" t="s">
        <v>59</v>
      </c>
      <c r="Q868" t="s">
        <v>59</v>
      </c>
      <c r="R868" t="s">
        <v>59</v>
      </c>
      <c r="S868" t="s">
        <v>59</v>
      </c>
      <c r="T868" t="s">
        <v>59</v>
      </c>
      <c r="U868" t="s">
        <v>59</v>
      </c>
      <c r="V868" t="s">
        <v>59</v>
      </c>
      <c r="W868" t="s">
        <v>59</v>
      </c>
      <c r="X868" t="s">
        <v>59</v>
      </c>
      <c r="Y868" t="s">
        <v>59</v>
      </c>
      <c r="Z868" t="s">
        <v>59</v>
      </c>
      <c r="AA868" t="s">
        <v>59</v>
      </c>
      <c r="AB868" t="s">
        <v>59</v>
      </c>
      <c r="AC868" t="s">
        <v>59</v>
      </c>
      <c r="AD868" t="s">
        <v>59</v>
      </c>
      <c r="AE868" t="s">
        <v>59</v>
      </c>
      <c r="AF868" t="s">
        <v>59</v>
      </c>
      <c r="AG868" t="s">
        <v>59</v>
      </c>
      <c r="AH868" t="s">
        <v>61</v>
      </c>
      <c r="AI868" t="s">
        <v>59</v>
      </c>
      <c r="AJ868" t="s">
        <v>59</v>
      </c>
      <c r="AK868" t="s">
        <v>59</v>
      </c>
      <c r="AL868" t="s">
        <v>60</v>
      </c>
      <c r="AM868" t="s">
        <v>59</v>
      </c>
      <c r="AN868" t="s">
        <v>59</v>
      </c>
      <c r="AO868" t="s">
        <v>59</v>
      </c>
      <c r="AP868" t="s">
        <v>2132</v>
      </c>
      <c r="AQ868" t="s">
        <v>960</v>
      </c>
      <c r="AR868" t="s">
        <v>226</v>
      </c>
      <c r="AS868" t="s">
        <v>249</v>
      </c>
      <c r="AT868" t="s">
        <v>249</v>
      </c>
      <c r="AU868" t="s">
        <v>219</v>
      </c>
      <c r="AW868" s="4">
        <f t="shared" si="458"/>
        <v>6</v>
      </c>
      <c r="AX868" s="4">
        <f t="shared" si="459"/>
        <v>4</v>
      </c>
      <c r="AY868" s="4" t="str">
        <f t="shared" si="460"/>
        <v>0</v>
      </c>
      <c r="AZ868" s="4">
        <f t="shared" si="461"/>
        <v>2</v>
      </c>
      <c r="BA868" s="4">
        <f t="shared" si="462"/>
        <v>4</v>
      </c>
      <c r="BB868" s="4">
        <f t="shared" si="463"/>
        <v>4</v>
      </c>
      <c r="BC868" s="4">
        <f t="shared" si="464"/>
        <v>4</v>
      </c>
      <c r="BD868" s="4">
        <f t="shared" si="465"/>
        <v>2</v>
      </c>
      <c r="BE868" s="4">
        <f t="shared" si="466"/>
        <v>4</v>
      </c>
      <c r="BF868" s="4">
        <f t="shared" si="467"/>
        <v>2</v>
      </c>
      <c r="BG868" s="4">
        <f t="shared" si="468"/>
        <v>4</v>
      </c>
      <c r="BH868" s="4">
        <f t="shared" si="469"/>
        <v>4</v>
      </c>
      <c r="BI868" s="4">
        <f t="shared" si="470"/>
        <v>4</v>
      </c>
      <c r="BJ868" s="4">
        <f t="shared" si="471"/>
        <v>2</v>
      </c>
      <c r="BK868" s="4">
        <f t="shared" si="472"/>
        <v>4</v>
      </c>
      <c r="BL868" s="4">
        <f t="shared" si="473"/>
        <v>2</v>
      </c>
      <c r="BM868" s="4">
        <f t="shared" si="474"/>
        <v>4</v>
      </c>
      <c r="BN868" s="4">
        <f t="shared" si="475"/>
        <v>4</v>
      </c>
      <c r="BO868" s="4">
        <f t="shared" si="476"/>
        <v>4</v>
      </c>
      <c r="BP868" s="4">
        <f t="shared" si="477"/>
        <v>4</v>
      </c>
      <c r="BQ868" s="4">
        <f t="shared" si="478"/>
        <v>6</v>
      </c>
      <c r="BR868" s="4">
        <f t="shared" si="479"/>
        <v>4</v>
      </c>
      <c r="BS868" s="4">
        <f t="shared" si="480"/>
        <v>4</v>
      </c>
      <c r="BT868" s="4">
        <f t="shared" si="481"/>
        <v>4</v>
      </c>
      <c r="BU868" s="4">
        <f t="shared" si="482"/>
        <v>4</v>
      </c>
      <c r="BV868" s="4" t="str">
        <f t="shared" si="483"/>
        <v>0</v>
      </c>
      <c r="BW868" s="4">
        <f t="shared" si="484"/>
        <v>6</v>
      </c>
      <c r="BX868" s="4">
        <f t="shared" si="485"/>
        <v>0</v>
      </c>
      <c r="BY868" s="4">
        <f t="shared" si="486"/>
        <v>0</v>
      </c>
      <c r="BZ868" s="37">
        <f t="shared" si="487"/>
        <v>96</v>
      </c>
      <c r="CA868" s="32" t="str">
        <f>VLOOKUP(J:J,'Agent wise'!A:C,3,0)</f>
        <v>Amal</v>
      </c>
      <c r="CB868" s="32">
        <f t="shared" si="488"/>
        <v>45945</v>
      </c>
      <c r="CC868" t="str">
        <f t="shared" si="489"/>
        <v>Excellent</v>
      </c>
      <c r="CE868" s="32"/>
      <c r="CJ868">
        <f t="shared" si="490"/>
        <v>15</v>
      </c>
      <c r="CK868">
        <f t="shared" si="491"/>
        <v>10</v>
      </c>
      <c r="CL868">
        <f t="shared" si="492"/>
        <v>2025</v>
      </c>
    </row>
    <row r="869" spans="1:90" ht="15" customHeight="1" x14ac:dyDescent="0.35">
      <c r="A869" t="s">
        <v>2133</v>
      </c>
      <c r="B869" t="s">
        <v>698</v>
      </c>
      <c r="C869" t="s">
        <v>214</v>
      </c>
      <c r="D869" t="s">
        <v>221</v>
      </c>
      <c r="E869" s="32">
        <v>45945</v>
      </c>
      <c r="F869" t="s">
        <v>222</v>
      </c>
      <c r="G869" t="s">
        <v>1897</v>
      </c>
      <c r="H869">
        <v>9995815951</v>
      </c>
      <c r="I869">
        <v>186</v>
      </c>
      <c r="J869" t="s">
        <v>132</v>
      </c>
      <c r="K869" t="s">
        <v>57</v>
      </c>
      <c r="L869" t="s">
        <v>58</v>
      </c>
      <c r="M869" t="s">
        <v>59</v>
      </c>
      <c r="N869" t="s">
        <v>59</v>
      </c>
      <c r="O869" t="s">
        <v>59</v>
      </c>
      <c r="P869" t="s">
        <v>59</v>
      </c>
      <c r="Q869" t="s">
        <v>59</v>
      </c>
      <c r="R869" t="s">
        <v>59</v>
      </c>
      <c r="S869" t="s">
        <v>59</v>
      </c>
      <c r="T869" t="s">
        <v>59</v>
      </c>
      <c r="U869" t="s">
        <v>59</v>
      </c>
      <c r="V869" t="s">
        <v>59</v>
      </c>
      <c r="W869" t="s">
        <v>59</v>
      </c>
      <c r="X869" t="s">
        <v>59</v>
      </c>
      <c r="Y869" t="s">
        <v>59</v>
      </c>
      <c r="Z869" t="s">
        <v>59</v>
      </c>
      <c r="AA869" t="s">
        <v>59</v>
      </c>
      <c r="AB869" t="s">
        <v>59</v>
      </c>
      <c r="AC869" t="s">
        <v>59</v>
      </c>
      <c r="AD869" t="s">
        <v>59</v>
      </c>
      <c r="AE869" t="s">
        <v>59</v>
      </c>
      <c r="AF869" t="s">
        <v>59</v>
      </c>
      <c r="AG869" t="s">
        <v>59</v>
      </c>
      <c r="AH869" t="s">
        <v>61</v>
      </c>
      <c r="AI869" t="s">
        <v>59</v>
      </c>
      <c r="AJ869" t="s">
        <v>59</v>
      </c>
      <c r="AK869" t="s">
        <v>59</v>
      </c>
      <c r="AL869" t="s">
        <v>59</v>
      </c>
      <c r="AM869" t="s">
        <v>59</v>
      </c>
      <c r="AN869" t="s">
        <v>59</v>
      </c>
      <c r="AO869" t="s">
        <v>59</v>
      </c>
      <c r="AP869" t="s">
        <v>219</v>
      </c>
      <c r="AQ869" t="s">
        <v>2134</v>
      </c>
      <c r="AR869" t="s">
        <v>226</v>
      </c>
      <c r="AS869" t="s">
        <v>970</v>
      </c>
      <c r="AT869" t="s">
        <v>970</v>
      </c>
      <c r="AU869" t="s">
        <v>219</v>
      </c>
      <c r="AW869" s="4">
        <f t="shared" si="458"/>
        <v>6</v>
      </c>
      <c r="AX869" s="4">
        <f t="shared" si="459"/>
        <v>4</v>
      </c>
      <c r="AY869" s="4">
        <f t="shared" si="460"/>
        <v>4</v>
      </c>
      <c r="AZ869" s="4">
        <f t="shared" si="461"/>
        <v>2</v>
      </c>
      <c r="BA869" s="4">
        <f t="shared" si="462"/>
        <v>4</v>
      </c>
      <c r="BB869" s="4">
        <f t="shared" si="463"/>
        <v>4</v>
      </c>
      <c r="BC869" s="4">
        <f t="shared" si="464"/>
        <v>4</v>
      </c>
      <c r="BD869" s="4">
        <f t="shared" si="465"/>
        <v>2</v>
      </c>
      <c r="BE869" s="4">
        <f t="shared" si="466"/>
        <v>4</v>
      </c>
      <c r="BF869" s="4">
        <f t="shared" si="467"/>
        <v>2</v>
      </c>
      <c r="BG869" s="4">
        <f t="shared" si="468"/>
        <v>4</v>
      </c>
      <c r="BH869" s="4">
        <f t="shared" si="469"/>
        <v>4</v>
      </c>
      <c r="BI869" s="4">
        <f t="shared" si="470"/>
        <v>4</v>
      </c>
      <c r="BJ869" s="4">
        <f t="shared" si="471"/>
        <v>2</v>
      </c>
      <c r="BK869" s="4">
        <f t="shared" si="472"/>
        <v>4</v>
      </c>
      <c r="BL869" s="4">
        <f t="shared" si="473"/>
        <v>2</v>
      </c>
      <c r="BM869" s="4">
        <f t="shared" si="474"/>
        <v>4</v>
      </c>
      <c r="BN869" s="4">
        <f t="shared" si="475"/>
        <v>4</v>
      </c>
      <c r="BO869" s="4">
        <f t="shared" si="476"/>
        <v>4</v>
      </c>
      <c r="BP869" s="4">
        <f t="shared" si="477"/>
        <v>4</v>
      </c>
      <c r="BQ869" s="4">
        <f t="shared" si="478"/>
        <v>6</v>
      </c>
      <c r="BR869" s="4">
        <f t="shared" si="479"/>
        <v>4</v>
      </c>
      <c r="BS869" s="4">
        <f t="shared" si="480"/>
        <v>4</v>
      </c>
      <c r="BT869" s="4">
        <f t="shared" si="481"/>
        <v>4</v>
      </c>
      <c r="BU869" s="4">
        <f t="shared" si="482"/>
        <v>4</v>
      </c>
      <c r="BV869" s="4">
        <f t="shared" si="483"/>
        <v>0</v>
      </c>
      <c r="BW869" s="4">
        <f t="shared" si="484"/>
        <v>6</v>
      </c>
      <c r="BX869" s="4">
        <f t="shared" si="485"/>
        <v>0</v>
      </c>
      <c r="BY869" s="4">
        <f t="shared" si="486"/>
        <v>0</v>
      </c>
      <c r="BZ869" s="37">
        <f t="shared" si="487"/>
        <v>100</v>
      </c>
      <c r="CA869" s="32" t="str">
        <f>VLOOKUP(J:J,'Agent wise'!A:C,3,0)</f>
        <v>Shakeer</v>
      </c>
      <c r="CB869" s="32">
        <f t="shared" si="488"/>
        <v>45945</v>
      </c>
      <c r="CC869" t="str">
        <f t="shared" si="489"/>
        <v>Excellent</v>
      </c>
      <c r="CE869" s="32"/>
      <c r="CJ869">
        <f t="shared" si="490"/>
        <v>15</v>
      </c>
      <c r="CK869">
        <f t="shared" si="491"/>
        <v>10</v>
      </c>
      <c r="CL869">
        <f t="shared" si="492"/>
        <v>2025</v>
      </c>
    </row>
    <row r="870" spans="1:90" ht="15" customHeight="1" x14ac:dyDescent="0.35">
      <c r="A870" t="s">
        <v>2135</v>
      </c>
      <c r="B870" t="s">
        <v>698</v>
      </c>
      <c r="C870" t="s">
        <v>214</v>
      </c>
      <c r="D870" t="s">
        <v>221</v>
      </c>
      <c r="E870" s="32">
        <v>45945</v>
      </c>
      <c r="F870" t="s">
        <v>222</v>
      </c>
      <c r="G870" t="s">
        <v>1897</v>
      </c>
      <c r="H870">
        <v>9447140766</v>
      </c>
      <c r="I870">
        <v>194</v>
      </c>
      <c r="J870" t="s">
        <v>67</v>
      </c>
      <c r="K870" t="s">
        <v>86</v>
      </c>
      <c r="L870" t="s">
        <v>58</v>
      </c>
      <c r="M870" t="s">
        <v>59</v>
      </c>
      <c r="N870" t="s">
        <v>59</v>
      </c>
      <c r="O870" t="s">
        <v>59</v>
      </c>
      <c r="P870" t="s">
        <v>59</v>
      </c>
      <c r="Q870" t="s">
        <v>59</v>
      </c>
      <c r="R870" t="s">
        <v>59</v>
      </c>
      <c r="S870" t="s">
        <v>59</v>
      </c>
      <c r="T870" t="s">
        <v>59</v>
      </c>
      <c r="U870" t="s">
        <v>59</v>
      </c>
      <c r="V870" t="s">
        <v>59</v>
      </c>
      <c r="W870" t="s">
        <v>59</v>
      </c>
      <c r="X870" t="s">
        <v>59</v>
      </c>
      <c r="Y870" t="s">
        <v>59</v>
      </c>
      <c r="Z870" t="s">
        <v>59</v>
      </c>
      <c r="AA870" t="s">
        <v>59</v>
      </c>
      <c r="AB870" t="s">
        <v>59</v>
      </c>
      <c r="AC870" t="s">
        <v>59</v>
      </c>
      <c r="AD870" t="s">
        <v>59</v>
      </c>
      <c r="AE870" t="s">
        <v>59</v>
      </c>
      <c r="AF870" t="s">
        <v>59</v>
      </c>
      <c r="AG870" t="s">
        <v>59</v>
      </c>
      <c r="AH870" t="s">
        <v>61</v>
      </c>
      <c r="AI870" t="s">
        <v>61</v>
      </c>
      <c r="AJ870" t="s">
        <v>59</v>
      </c>
      <c r="AK870" t="s">
        <v>59</v>
      </c>
      <c r="AL870" t="s">
        <v>59</v>
      </c>
      <c r="AM870" t="s">
        <v>59</v>
      </c>
      <c r="AN870" t="s">
        <v>59</v>
      </c>
      <c r="AO870" t="s">
        <v>59</v>
      </c>
      <c r="AP870" t="s">
        <v>219</v>
      </c>
      <c r="AQ870" t="s">
        <v>2136</v>
      </c>
      <c r="AR870" t="s">
        <v>226</v>
      </c>
      <c r="AS870" t="s">
        <v>2137</v>
      </c>
      <c r="AT870" t="s">
        <v>2137</v>
      </c>
      <c r="AU870" t="s">
        <v>219</v>
      </c>
      <c r="AW870" s="4">
        <f t="shared" si="458"/>
        <v>6</v>
      </c>
      <c r="AX870" s="4">
        <f t="shared" si="459"/>
        <v>4</v>
      </c>
      <c r="AY870" s="4">
        <f t="shared" si="460"/>
        <v>4</v>
      </c>
      <c r="AZ870" s="4">
        <f t="shared" si="461"/>
        <v>2</v>
      </c>
      <c r="BA870" s="4">
        <f t="shared" si="462"/>
        <v>4</v>
      </c>
      <c r="BB870" s="4">
        <f t="shared" si="463"/>
        <v>4</v>
      </c>
      <c r="BC870" s="4">
        <f t="shared" si="464"/>
        <v>4</v>
      </c>
      <c r="BD870" s="4">
        <f t="shared" si="465"/>
        <v>2</v>
      </c>
      <c r="BE870" s="4">
        <f t="shared" si="466"/>
        <v>4</v>
      </c>
      <c r="BF870" s="4">
        <f t="shared" si="467"/>
        <v>2</v>
      </c>
      <c r="BG870" s="4">
        <f t="shared" si="468"/>
        <v>4</v>
      </c>
      <c r="BH870" s="4">
        <f t="shared" si="469"/>
        <v>4</v>
      </c>
      <c r="BI870" s="4">
        <f t="shared" si="470"/>
        <v>4</v>
      </c>
      <c r="BJ870" s="4">
        <f t="shared" si="471"/>
        <v>2</v>
      </c>
      <c r="BK870" s="4">
        <f t="shared" si="472"/>
        <v>4</v>
      </c>
      <c r="BL870" s="4">
        <f t="shared" si="473"/>
        <v>2</v>
      </c>
      <c r="BM870" s="4">
        <f t="shared" si="474"/>
        <v>4</v>
      </c>
      <c r="BN870" s="4">
        <f t="shared" si="475"/>
        <v>4</v>
      </c>
      <c r="BO870" s="4">
        <f t="shared" si="476"/>
        <v>4</v>
      </c>
      <c r="BP870" s="4">
        <f t="shared" si="477"/>
        <v>4</v>
      </c>
      <c r="BQ870" s="4">
        <f t="shared" si="478"/>
        <v>6</v>
      </c>
      <c r="BR870" s="4">
        <f t="shared" si="479"/>
        <v>4</v>
      </c>
      <c r="BS870" s="4">
        <f t="shared" si="480"/>
        <v>4</v>
      </c>
      <c r="BT870" s="4">
        <f t="shared" si="481"/>
        <v>4</v>
      </c>
      <c r="BU870" s="4">
        <f t="shared" si="482"/>
        <v>4</v>
      </c>
      <c r="BV870" s="4">
        <f t="shared" si="483"/>
        <v>0</v>
      </c>
      <c r="BW870" s="4">
        <f t="shared" si="484"/>
        <v>6</v>
      </c>
      <c r="BX870" s="4">
        <f t="shared" si="485"/>
        <v>0</v>
      </c>
      <c r="BY870" s="4">
        <f t="shared" si="486"/>
        <v>0</v>
      </c>
      <c r="BZ870" s="37">
        <f t="shared" si="487"/>
        <v>100</v>
      </c>
      <c r="CA870" s="32" t="str">
        <f>VLOOKUP(J:J,'Agent wise'!A:C,3,0)</f>
        <v>Saran S</v>
      </c>
      <c r="CB870" s="32">
        <f t="shared" si="488"/>
        <v>45945</v>
      </c>
      <c r="CC870" t="str">
        <f t="shared" si="489"/>
        <v>Excellent</v>
      </c>
      <c r="CE870" s="32"/>
      <c r="CJ870">
        <f t="shared" si="490"/>
        <v>15</v>
      </c>
      <c r="CK870">
        <f t="shared" si="491"/>
        <v>10</v>
      </c>
      <c r="CL870">
        <f t="shared" si="492"/>
        <v>2025</v>
      </c>
    </row>
    <row r="871" spans="1:90" ht="15" customHeight="1" x14ac:dyDescent="0.35">
      <c r="A871" t="s">
        <v>2138</v>
      </c>
      <c r="B871" t="s">
        <v>130</v>
      </c>
      <c r="C871" t="s">
        <v>214</v>
      </c>
      <c r="D871" t="s">
        <v>131</v>
      </c>
      <c r="E871" s="32">
        <v>45945</v>
      </c>
      <c r="F871" t="s">
        <v>54</v>
      </c>
      <c r="G871" t="s">
        <v>1897</v>
      </c>
      <c r="H871">
        <v>6380141148</v>
      </c>
      <c r="I871">
        <v>142</v>
      </c>
      <c r="J871" t="s">
        <v>640</v>
      </c>
      <c r="K871" t="s">
        <v>71</v>
      </c>
      <c r="L871" t="s">
        <v>72</v>
      </c>
      <c r="M871" t="s">
        <v>59</v>
      </c>
      <c r="N871" t="s">
        <v>59</v>
      </c>
      <c r="O871" t="s">
        <v>59</v>
      </c>
      <c r="P871" t="s">
        <v>59</v>
      </c>
      <c r="Q871" t="s">
        <v>59</v>
      </c>
      <c r="R871" t="s">
        <v>59</v>
      </c>
      <c r="S871" t="s">
        <v>59</v>
      </c>
      <c r="T871" t="s">
        <v>59</v>
      </c>
      <c r="U871" t="s">
        <v>60</v>
      </c>
      <c r="V871" t="s">
        <v>59</v>
      </c>
      <c r="W871" t="s">
        <v>59</v>
      </c>
      <c r="X871" t="s">
        <v>59</v>
      </c>
      <c r="Y871" t="s">
        <v>59</v>
      </c>
      <c r="Z871" t="s">
        <v>59</v>
      </c>
      <c r="AA871" t="s">
        <v>59</v>
      </c>
      <c r="AB871" t="s">
        <v>60</v>
      </c>
      <c r="AC871" t="s">
        <v>61</v>
      </c>
      <c r="AD871" t="s">
        <v>59</v>
      </c>
      <c r="AE871" t="s">
        <v>59</v>
      </c>
      <c r="AF871" t="s">
        <v>61</v>
      </c>
      <c r="AG871" t="s">
        <v>59</v>
      </c>
      <c r="AH871" t="s">
        <v>61</v>
      </c>
      <c r="AI871" t="s">
        <v>61</v>
      </c>
      <c r="AJ871" t="s">
        <v>59</v>
      </c>
      <c r="AK871" t="s">
        <v>59</v>
      </c>
      <c r="AL871" t="s">
        <v>60</v>
      </c>
      <c r="AM871" t="s">
        <v>59</v>
      </c>
      <c r="AN871" t="s">
        <v>59</v>
      </c>
      <c r="AO871" t="s">
        <v>59</v>
      </c>
      <c r="AP871" t="s">
        <v>987</v>
      </c>
      <c r="AQ871" s="1" t="s">
        <v>2139</v>
      </c>
      <c r="AR871" t="s">
        <v>64</v>
      </c>
      <c r="AS871" t="s">
        <v>135</v>
      </c>
      <c r="AT871" t="s">
        <v>136</v>
      </c>
      <c r="AU871" t="s">
        <v>219</v>
      </c>
      <c r="AW871" s="4">
        <f t="shared" si="458"/>
        <v>6</v>
      </c>
      <c r="AX871" s="4">
        <f t="shared" si="459"/>
        <v>4</v>
      </c>
      <c r="AY871" s="4">
        <f t="shared" si="460"/>
        <v>4</v>
      </c>
      <c r="AZ871" s="4">
        <f t="shared" si="461"/>
        <v>2</v>
      </c>
      <c r="BA871" s="4">
        <f t="shared" si="462"/>
        <v>4</v>
      </c>
      <c r="BB871" s="4">
        <f t="shared" si="463"/>
        <v>4</v>
      </c>
      <c r="BC871" s="4">
        <f t="shared" si="464"/>
        <v>4</v>
      </c>
      <c r="BD871" s="4">
        <f t="shared" si="465"/>
        <v>2</v>
      </c>
      <c r="BE871" s="4" t="str">
        <f t="shared" si="466"/>
        <v>0</v>
      </c>
      <c r="BF871" s="4">
        <f t="shared" si="467"/>
        <v>2</v>
      </c>
      <c r="BG871" s="4">
        <f t="shared" si="468"/>
        <v>4</v>
      </c>
      <c r="BH871" s="4">
        <f t="shared" si="469"/>
        <v>4</v>
      </c>
      <c r="BI871" s="4">
        <f t="shared" si="470"/>
        <v>4</v>
      </c>
      <c r="BJ871" s="4">
        <f t="shared" si="471"/>
        <v>2</v>
      </c>
      <c r="BK871" s="4">
        <f t="shared" si="472"/>
        <v>4</v>
      </c>
      <c r="BL871" s="4" t="str">
        <f t="shared" si="473"/>
        <v>0</v>
      </c>
      <c r="BM871" s="4">
        <f t="shared" si="474"/>
        <v>4</v>
      </c>
      <c r="BN871" s="4">
        <f t="shared" si="475"/>
        <v>4</v>
      </c>
      <c r="BO871" s="4">
        <f t="shared" si="476"/>
        <v>4</v>
      </c>
      <c r="BP871" s="4">
        <f t="shared" si="477"/>
        <v>4</v>
      </c>
      <c r="BQ871" s="4">
        <f t="shared" si="478"/>
        <v>6</v>
      </c>
      <c r="BR871" s="4">
        <f t="shared" si="479"/>
        <v>4</v>
      </c>
      <c r="BS871" s="4">
        <f t="shared" si="480"/>
        <v>4</v>
      </c>
      <c r="BT871" s="4">
        <f t="shared" si="481"/>
        <v>4</v>
      </c>
      <c r="BU871" s="4">
        <f t="shared" si="482"/>
        <v>4</v>
      </c>
      <c r="BV871" s="4" t="str">
        <f t="shared" si="483"/>
        <v>0</v>
      </c>
      <c r="BW871" s="4">
        <f t="shared" si="484"/>
        <v>6</v>
      </c>
      <c r="BX871" s="4">
        <f t="shared" si="485"/>
        <v>0</v>
      </c>
      <c r="BY871" s="4">
        <f t="shared" si="486"/>
        <v>0</v>
      </c>
      <c r="BZ871" s="37">
        <f t="shared" si="487"/>
        <v>94</v>
      </c>
      <c r="CA871" s="32" t="str">
        <f>VLOOKUP(J:J,'Agent wise'!A:C,3,0)</f>
        <v>Adharsh</v>
      </c>
      <c r="CB871" s="32">
        <f t="shared" si="488"/>
        <v>45945</v>
      </c>
      <c r="CC871" t="str">
        <f t="shared" si="489"/>
        <v>Good</v>
      </c>
      <c r="CE871" s="32"/>
      <c r="CJ871">
        <f t="shared" si="490"/>
        <v>15</v>
      </c>
      <c r="CK871">
        <f t="shared" si="491"/>
        <v>10</v>
      </c>
      <c r="CL871">
        <f t="shared" si="492"/>
        <v>2025</v>
      </c>
    </row>
    <row r="872" spans="1:90" ht="15" customHeight="1" x14ac:dyDescent="0.35">
      <c r="A872" t="s">
        <v>2140</v>
      </c>
      <c r="B872" t="s">
        <v>698</v>
      </c>
      <c r="C872" t="s">
        <v>214</v>
      </c>
      <c r="D872" t="s">
        <v>221</v>
      </c>
      <c r="E872" s="32">
        <v>45945</v>
      </c>
      <c r="F872" t="s">
        <v>222</v>
      </c>
      <c r="G872" t="s">
        <v>1897</v>
      </c>
      <c r="H872">
        <v>9388470727</v>
      </c>
      <c r="I872">
        <v>175</v>
      </c>
      <c r="J872" t="s">
        <v>501</v>
      </c>
      <c r="K872" t="s">
        <v>57</v>
      </c>
      <c r="L872" t="s">
        <v>58</v>
      </c>
      <c r="M872" t="s">
        <v>59</v>
      </c>
      <c r="N872" t="s">
        <v>59</v>
      </c>
      <c r="O872" t="s">
        <v>59</v>
      </c>
      <c r="P872" t="s">
        <v>59</v>
      </c>
      <c r="Q872" t="s">
        <v>59</v>
      </c>
      <c r="R872" t="s">
        <v>59</v>
      </c>
      <c r="S872" t="s">
        <v>59</v>
      </c>
      <c r="T872" t="s">
        <v>59</v>
      </c>
      <c r="U872" t="s">
        <v>59</v>
      </c>
      <c r="V872" t="s">
        <v>59</v>
      </c>
      <c r="W872" t="s">
        <v>59</v>
      </c>
      <c r="X872" t="s">
        <v>59</v>
      </c>
      <c r="Y872" t="s">
        <v>59</v>
      </c>
      <c r="Z872" t="s">
        <v>59</v>
      </c>
      <c r="AA872" t="s">
        <v>60</v>
      </c>
      <c r="AB872" t="s">
        <v>59</v>
      </c>
      <c r="AC872" t="s">
        <v>59</v>
      </c>
      <c r="AD872" t="s">
        <v>59</v>
      </c>
      <c r="AE872" t="s">
        <v>59</v>
      </c>
      <c r="AF872" t="s">
        <v>59</v>
      </c>
      <c r="AG872" t="s">
        <v>59</v>
      </c>
      <c r="AH872" t="s">
        <v>61</v>
      </c>
      <c r="AI872" t="s">
        <v>61</v>
      </c>
      <c r="AJ872" t="s">
        <v>59</v>
      </c>
      <c r="AK872" t="s">
        <v>59</v>
      </c>
      <c r="AL872" t="s">
        <v>60</v>
      </c>
      <c r="AM872" t="s">
        <v>59</v>
      </c>
      <c r="AN872" t="s">
        <v>59</v>
      </c>
      <c r="AO872" t="s">
        <v>59</v>
      </c>
      <c r="AP872" t="s">
        <v>2141</v>
      </c>
      <c r="AQ872" t="s">
        <v>2142</v>
      </c>
      <c r="AR872" t="s">
        <v>226</v>
      </c>
      <c r="AS872" t="s">
        <v>249</v>
      </c>
      <c r="AT872" t="s">
        <v>249</v>
      </c>
      <c r="AU872" t="s">
        <v>219</v>
      </c>
      <c r="AW872" s="4">
        <f t="shared" si="458"/>
        <v>6</v>
      </c>
      <c r="AX872" s="4">
        <f t="shared" si="459"/>
        <v>4</v>
      </c>
      <c r="AY872" s="4">
        <f t="shared" si="460"/>
        <v>4</v>
      </c>
      <c r="AZ872" s="4">
        <f t="shared" si="461"/>
        <v>2</v>
      </c>
      <c r="BA872" s="4">
        <f t="shared" si="462"/>
        <v>4</v>
      </c>
      <c r="BB872" s="4">
        <f t="shared" si="463"/>
        <v>4</v>
      </c>
      <c r="BC872" s="4">
        <f t="shared" si="464"/>
        <v>4</v>
      </c>
      <c r="BD872" s="4">
        <f t="shared" si="465"/>
        <v>2</v>
      </c>
      <c r="BE872" s="4">
        <f t="shared" si="466"/>
        <v>4</v>
      </c>
      <c r="BF872" s="4">
        <f t="shared" si="467"/>
        <v>2</v>
      </c>
      <c r="BG872" s="4">
        <f t="shared" si="468"/>
        <v>4</v>
      </c>
      <c r="BH872" s="4">
        <f t="shared" si="469"/>
        <v>4</v>
      </c>
      <c r="BI872" s="4">
        <f t="shared" si="470"/>
        <v>4</v>
      </c>
      <c r="BJ872" s="4">
        <f t="shared" si="471"/>
        <v>2</v>
      </c>
      <c r="BK872" s="4" t="str">
        <f t="shared" si="472"/>
        <v>0</v>
      </c>
      <c r="BL872" s="4">
        <f t="shared" si="473"/>
        <v>2</v>
      </c>
      <c r="BM872" s="4">
        <f t="shared" si="474"/>
        <v>4</v>
      </c>
      <c r="BN872" s="4">
        <f t="shared" si="475"/>
        <v>4</v>
      </c>
      <c r="BO872" s="4">
        <f t="shared" si="476"/>
        <v>4</v>
      </c>
      <c r="BP872" s="4">
        <f t="shared" si="477"/>
        <v>4</v>
      </c>
      <c r="BQ872" s="4">
        <f t="shared" si="478"/>
        <v>6</v>
      </c>
      <c r="BR872" s="4">
        <f t="shared" si="479"/>
        <v>4</v>
      </c>
      <c r="BS872" s="4">
        <f t="shared" si="480"/>
        <v>4</v>
      </c>
      <c r="BT872" s="4">
        <f t="shared" si="481"/>
        <v>4</v>
      </c>
      <c r="BU872" s="4">
        <f t="shared" si="482"/>
        <v>4</v>
      </c>
      <c r="BV872" s="4" t="str">
        <f t="shared" si="483"/>
        <v>0</v>
      </c>
      <c r="BW872" s="4">
        <f t="shared" si="484"/>
        <v>6</v>
      </c>
      <c r="BX872" s="4">
        <f t="shared" si="485"/>
        <v>0</v>
      </c>
      <c r="BY872" s="4">
        <f t="shared" si="486"/>
        <v>0</v>
      </c>
      <c r="BZ872" s="37">
        <f t="shared" si="487"/>
        <v>96</v>
      </c>
      <c r="CA872" s="32" t="str">
        <f>VLOOKUP(J:J,'Agent wise'!A:C,3,0)</f>
        <v>Amal</v>
      </c>
      <c r="CB872" s="32">
        <f t="shared" si="488"/>
        <v>45945</v>
      </c>
      <c r="CC872" t="str">
        <f t="shared" si="489"/>
        <v>Excellent</v>
      </c>
      <c r="CE872" s="32"/>
      <c r="CJ872">
        <f t="shared" si="490"/>
        <v>15</v>
      </c>
      <c r="CK872">
        <f t="shared" si="491"/>
        <v>10</v>
      </c>
      <c r="CL872">
        <f t="shared" si="492"/>
        <v>2025</v>
      </c>
    </row>
    <row r="873" spans="1:90" ht="15" customHeight="1" x14ac:dyDescent="0.35">
      <c r="A873" t="s">
        <v>2143</v>
      </c>
      <c r="B873" t="s">
        <v>130</v>
      </c>
      <c r="C873" t="s">
        <v>214</v>
      </c>
      <c r="D873" t="s">
        <v>131</v>
      </c>
      <c r="E873" s="32">
        <v>45945</v>
      </c>
      <c r="F873" t="s">
        <v>54</v>
      </c>
      <c r="G873" t="s">
        <v>1897</v>
      </c>
      <c r="H873">
        <v>9790052417</v>
      </c>
      <c r="I873">
        <v>127</v>
      </c>
      <c r="J873" t="s">
        <v>548</v>
      </c>
      <c r="K873" t="s">
        <v>71</v>
      </c>
      <c r="L873" t="s">
        <v>72</v>
      </c>
      <c r="M873" t="s">
        <v>59</v>
      </c>
      <c r="N873" t="s">
        <v>59</v>
      </c>
      <c r="O873" t="s">
        <v>59</v>
      </c>
      <c r="P873" t="s">
        <v>59</v>
      </c>
      <c r="Q873" t="s">
        <v>59</v>
      </c>
      <c r="R873" t="s">
        <v>59</v>
      </c>
      <c r="S873" t="s">
        <v>59</v>
      </c>
      <c r="T873" t="s">
        <v>59</v>
      </c>
      <c r="U873" t="s">
        <v>60</v>
      </c>
      <c r="V873" t="s">
        <v>59</v>
      </c>
      <c r="W873" t="s">
        <v>59</v>
      </c>
      <c r="X873" t="s">
        <v>59</v>
      </c>
      <c r="Y873" t="s">
        <v>59</v>
      </c>
      <c r="Z873" t="s">
        <v>59</v>
      </c>
      <c r="AA873" t="s">
        <v>59</v>
      </c>
      <c r="AB873" t="s">
        <v>60</v>
      </c>
      <c r="AC873" t="s">
        <v>61</v>
      </c>
      <c r="AD873" t="s">
        <v>59</v>
      </c>
      <c r="AE873" t="s">
        <v>59</v>
      </c>
      <c r="AF873" t="s">
        <v>61</v>
      </c>
      <c r="AG873" t="s">
        <v>59</v>
      </c>
      <c r="AH873" t="s">
        <v>61</v>
      </c>
      <c r="AI873" t="s">
        <v>61</v>
      </c>
      <c r="AJ873" t="s">
        <v>59</v>
      </c>
      <c r="AK873" t="s">
        <v>59</v>
      </c>
      <c r="AL873" t="s">
        <v>60</v>
      </c>
      <c r="AM873" t="s">
        <v>59</v>
      </c>
      <c r="AN873" t="s">
        <v>59</v>
      </c>
      <c r="AO873" t="s">
        <v>59</v>
      </c>
      <c r="AP873" t="s">
        <v>150</v>
      </c>
      <c r="AQ873" s="1" t="s">
        <v>671</v>
      </c>
      <c r="AR873" t="s">
        <v>64</v>
      </c>
      <c r="AS873" t="s">
        <v>171</v>
      </c>
      <c r="AT873" t="s">
        <v>172</v>
      </c>
      <c r="AU873" t="s">
        <v>219</v>
      </c>
      <c r="AW873" s="4">
        <f t="shared" si="458"/>
        <v>6</v>
      </c>
      <c r="AX873" s="4">
        <f t="shared" si="459"/>
        <v>4</v>
      </c>
      <c r="AY873" s="4">
        <f t="shared" si="460"/>
        <v>4</v>
      </c>
      <c r="AZ873" s="4">
        <f t="shared" si="461"/>
        <v>2</v>
      </c>
      <c r="BA873" s="4">
        <f t="shared" si="462"/>
        <v>4</v>
      </c>
      <c r="BB873" s="4">
        <f t="shared" si="463"/>
        <v>4</v>
      </c>
      <c r="BC873" s="4">
        <f t="shared" si="464"/>
        <v>4</v>
      </c>
      <c r="BD873" s="4">
        <f t="shared" si="465"/>
        <v>2</v>
      </c>
      <c r="BE873" s="4" t="str">
        <f t="shared" si="466"/>
        <v>0</v>
      </c>
      <c r="BF873" s="4">
        <f t="shared" si="467"/>
        <v>2</v>
      </c>
      <c r="BG873" s="4">
        <f t="shared" si="468"/>
        <v>4</v>
      </c>
      <c r="BH873" s="4">
        <f t="shared" si="469"/>
        <v>4</v>
      </c>
      <c r="BI873" s="4">
        <f t="shared" si="470"/>
        <v>4</v>
      </c>
      <c r="BJ873" s="4">
        <f t="shared" si="471"/>
        <v>2</v>
      </c>
      <c r="BK873" s="4">
        <f t="shared" si="472"/>
        <v>4</v>
      </c>
      <c r="BL873" s="4" t="str">
        <f t="shared" si="473"/>
        <v>0</v>
      </c>
      <c r="BM873" s="4">
        <f t="shared" si="474"/>
        <v>4</v>
      </c>
      <c r="BN873" s="4">
        <f t="shared" si="475"/>
        <v>4</v>
      </c>
      <c r="BO873" s="4">
        <f t="shared" si="476"/>
        <v>4</v>
      </c>
      <c r="BP873" s="4">
        <f t="shared" si="477"/>
        <v>4</v>
      </c>
      <c r="BQ873" s="4">
        <f t="shared" si="478"/>
        <v>6</v>
      </c>
      <c r="BR873" s="4">
        <f t="shared" si="479"/>
        <v>4</v>
      </c>
      <c r="BS873" s="4">
        <f t="shared" si="480"/>
        <v>4</v>
      </c>
      <c r="BT873" s="4">
        <f t="shared" si="481"/>
        <v>4</v>
      </c>
      <c r="BU873" s="4">
        <f t="shared" si="482"/>
        <v>4</v>
      </c>
      <c r="BV873" s="4" t="str">
        <f t="shared" si="483"/>
        <v>0</v>
      </c>
      <c r="BW873" s="4">
        <f t="shared" si="484"/>
        <v>6</v>
      </c>
      <c r="BX873" s="4">
        <f t="shared" si="485"/>
        <v>0</v>
      </c>
      <c r="BY873" s="4">
        <f t="shared" si="486"/>
        <v>0</v>
      </c>
      <c r="BZ873" s="37">
        <f t="shared" si="487"/>
        <v>94</v>
      </c>
      <c r="CA873" s="32" t="str">
        <f>VLOOKUP(J:J,'Agent wise'!A:C,3,0)</f>
        <v>Adharsh</v>
      </c>
      <c r="CB873" s="32">
        <f t="shared" si="488"/>
        <v>45945</v>
      </c>
      <c r="CC873" t="str">
        <f t="shared" si="489"/>
        <v>Good</v>
      </c>
      <c r="CE873" s="32"/>
      <c r="CJ873">
        <f t="shared" si="490"/>
        <v>15</v>
      </c>
      <c r="CK873">
        <f t="shared" si="491"/>
        <v>10</v>
      </c>
      <c r="CL873">
        <f t="shared" si="492"/>
        <v>2025</v>
      </c>
    </row>
    <row r="874" spans="1:90" ht="15" customHeight="1" x14ac:dyDescent="0.35">
      <c r="A874" t="s">
        <v>2144</v>
      </c>
      <c r="B874" t="s">
        <v>698</v>
      </c>
      <c r="C874" t="s">
        <v>214</v>
      </c>
      <c r="D874" t="s">
        <v>221</v>
      </c>
      <c r="E874" s="32">
        <v>45945</v>
      </c>
      <c r="F874" t="s">
        <v>222</v>
      </c>
      <c r="G874" t="s">
        <v>1897</v>
      </c>
      <c r="H874">
        <v>7708264872</v>
      </c>
      <c r="I874">
        <v>183</v>
      </c>
      <c r="J874" t="s">
        <v>451</v>
      </c>
      <c r="K874" t="s">
        <v>71</v>
      </c>
      <c r="L874" t="s">
        <v>72</v>
      </c>
      <c r="M874" t="s">
        <v>59</v>
      </c>
      <c r="N874" t="s">
        <v>59</v>
      </c>
      <c r="O874" t="s">
        <v>59</v>
      </c>
      <c r="P874" t="s">
        <v>59</v>
      </c>
      <c r="Q874" t="s">
        <v>59</v>
      </c>
      <c r="R874" t="s">
        <v>59</v>
      </c>
      <c r="S874" t="s">
        <v>59</v>
      </c>
      <c r="T874" t="s">
        <v>59</v>
      </c>
      <c r="U874" t="s">
        <v>59</v>
      </c>
      <c r="V874" t="s">
        <v>59</v>
      </c>
      <c r="W874" t="s">
        <v>59</v>
      </c>
      <c r="X874" t="s">
        <v>59</v>
      </c>
      <c r="Y874" t="s">
        <v>59</v>
      </c>
      <c r="Z874" t="s">
        <v>59</v>
      </c>
      <c r="AA874" t="s">
        <v>59</v>
      </c>
      <c r="AB874" t="s">
        <v>59</v>
      </c>
      <c r="AC874" t="s">
        <v>59</v>
      </c>
      <c r="AD874" t="s">
        <v>59</v>
      </c>
      <c r="AE874" t="s">
        <v>59</v>
      </c>
      <c r="AF874" t="s">
        <v>59</v>
      </c>
      <c r="AG874" t="s">
        <v>59</v>
      </c>
      <c r="AH874" t="s">
        <v>61</v>
      </c>
      <c r="AI874" t="s">
        <v>59</v>
      </c>
      <c r="AJ874" t="s">
        <v>59</v>
      </c>
      <c r="AK874" t="s">
        <v>59</v>
      </c>
      <c r="AL874" t="s">
        <v>60</v>
      </c>
      <c r="AM874" t="s">
        <v>59</v>
      </c>
      <c r="AN874" t="s">
        <v>59</v>
      </c>
      <c r="AO874" t="s">
        <v>59</v>
      </c>
      <c r="AP874" t="s">
        <v>37</v>
      </c>
      <c r="AQ874" t="s">
        <v>960</v>
      </c>
      <c r="AR874" t="s">
        <v>226</v>
      </c>
      <c r="AS874" t="s">
        <v>2145</v>
      </c>
      <c r="AT874" t="s">
        <v>2145</v>
      </c>
      <c r="AU874" t="s">
        <v>219</v>
      </c>
      <c r="AW874" s="4">
        <f t="shared" si="458"/>
        <v>6</v>
      </c>
      <c r="AX874" s="4">
        <f t="shared" si="459"/>
        <v>4</v>
      </c>
      <c r="AY874" s="4">
        <f t="shared" si="460"/>
        <v>4</v>
      </c>
      <c r="AZ874" s="4">
        <f t="shared" si="461"/>
        <v>2</v>
      </c>
      <c r="BA874" s="4">
        <f t="shared" si="462"/>
        <v>4</v>
      </c>
      <c r="BB874" s="4">
        <f t="shared" si="463"/>
        <v>4</v>
      </c>
      <c r="BC874" s="4">
        <f t="shared" si="464"/>
        <v>4</v>
      </c>
      <c r="BD874" s="4">
        <f t="shared" si="465"/>
        <v>2</v>
      </c>
      <c r="BE874" s="4">
        <f t="shared" si="466"/>
        <v>4</v>
      </c>
      <c r="BF874" s="4">
        <f t="shared" si="467"/>
        <v>2</v>
      </c>
      <c r="BG874" s="4">
        <f t="shared" si="468"/>
        <v>4</v>
      </c>
      <c r="BH874" s="4">
        <f t="shared" si="469"/>
        <v>4</v>
      </c>
      <c r="BI874" s="4">
        <f t="shared" si="470"/>
        <v>4</v>
      </c>
      <c r="BJ874" s="4">
        <f t="shared" si="471"/>
        <v>2</v>
      </c>
      <c r="BK874" s="4">
        <f t="shared" si="472"/>
        <v>4</v>
      </c>
      <c r="BL874" s="4">
        <f t="shared" si="473"/>
        <v>2</v>
      </c>
      <c r="BM874" s="4">
        <f t="shared" si="474"/>
        <v>4</v>
      </c>
      <c r="BN874" s="4">
        <f t="shared" si="475"/>
        <v>4</v>
      </c>
      <c r="BO874" s="4">
        <f t="shared" si="476"/>
        <v>4</v>
      </c>
      <c r="BP874" s="4">
        <f t="shared" si="477"/>
        <v>4</v>
      </c>
      <c r="BQ874" s="4">
        <f t="shared" si="478"/>
        <v>6</v>
      </c>
      <c r="BR874" s="4">
        <f t="shared" si="479"/>
        <v>4</v>
      </c>
      <c r="BS874" s="4">
        <f t="shared" si="480"/>
        <v>4</v>
      </c>
      <c r="BT874" s="4">
        <f t="shared" si="481"/>
        <v>4</v>
      </c>
      <c r="BU874" s="4">
        <f t="shared" si="482"/>
        <v>4</v>
      </c>
      <c r="BV874" s="4" t="str">
        <f t="shared" si="483"/>
        <v>0</v>
      </c>
      <c r="BW874" s="4">
        <f t="shared" si="484"/>
        <v>6</v>
      </c>
      <c r="BX874" s="4">
        <f t="shared" si="485"/>
        <v>0</v>
      </c>
      <c r="BY874" s="4">
        <f t="shared" si="486"/>
        <v>0</v>
      </c>
      <c r="BZ874" s="37">
        <f t="shared" si="487"/>
        <v>100</v>
      </c>
      <c r="CA874" s="32" t="str">
        <f>VLOOKUP(J:J,'Agent wise'!A:C,3,0)</f>
        <v xml:space="preserve">Shiny </v>
      </c>
      <c r="CB874" s="32">
        <f t="shared" si="488"/>
        <v>45945</v>
      </c>
      <c r="CC874" t="str">
        <f t="shared" si="489"/>
        <v>Excellent</v>
      </c>
      <c r="CE874" s="32"/>
      <c r="CJ874">
        <f t="shared" si="490"/>
        <v>15</v>
      </c>
      <c r="CK874">
        <f t="shared" si="491"/>
        <v>10</v>
      </c>
      <c r="CL874">
        <f t="shared" si="492"/>
        <v>2025</v>
      </c>
    </row>
    <row r="875" spans="1:90" ht="15" customHeight="1" x14ac:dyDescent="0.35">
      <c r="A875" t="s">
        <v>2146</v>
      </c>
      <c r="B875" t="s">
        <v>130</v>
      </c>
      <c r="C875" t="s">
        <v>214</v>
      </c>
      <c r="D875" t="s">
        <v>131</v>
      </c>
      <c r="E875" s="32">
        <v>45945</v>
      </c>
      <c r="F875" t="s">
        <v>54</v>
      </c>
      <c r="G875" t="s">
        <v>1897</v>
      </c>
      <c r="H875">
        <v>9345494139</v>
      </c>
      <c r="I875">
        <v>134</v>
      </c>
      <c r="J875" t="s">
        <v>466</v>
      </c>
      <c r="K875" t="s">
        <v>71</v>
      </c>
      <c r="L875" t="s">
        <v>72</v>
      </c>
      <c r="M875" t="s">
        <v>59</v>
      </c>
      <c r="N875" t="s">
        <v>59</v>
      </c>
      <c r="O875" t="s">
        <v>59</v>
      </c>
      <c r="P875" t="s">
        <v>59</v>
      </c>
      <c r="Q875" t="s">
        <v>59</v>
      </c>
      <c r="R875" t="s">
        <v>59</v>
      </c>
      <c r="S875" t="s">
        <v>59</v>
      </c>
      <c r="T875" t="s">
        <v>59</v>
      </c>
      <c r="U875" t="s">
        <v>60</v>
      </c>
      <c r="V875" t="s">
        <v>59</v>
      </c>
      <c r="W875" t="s">
        <v>59</v>
      </c>
      <c r="X875" t="s">
        <v>59</v>
      </c>
      <c r="Y875" t="s">
        <v>59</v>
      </c>
      <c r="Z875" t="s">
        <v>59</v>
      </c>
      <c r="AA875" t="s">
        <v>59</v>
      </c>
      <c r="AB875" t="s">
        <v>60</v>
      </c>
      <c r="AC875" t="s">
        <v>61</v>
      </c>
      <c r="AD875" t="s">
        <v>59</v>
      </c>
      <c r="AE875" t="s">
        <v>59</v>
      </c>
      <c r="AF875" t="s">
        <v>61</v>
      </c>
      <c r="AG875" t="s">
        <v>60</v>
      </c>
      <c r="AH875" t="s">
        <v>61</v>
      </c>
      <c r="AI875" t="s">
        <v>61</v>
      </c>
      <c r="AJ875" t="s">
        <v>59</v>
      </c>
      <c r="AK875" t="s">
        <v>59</v>
      </c>
      <c r="AL875" t="s">
        <v>60</v>
      </c>
      <c r="AM875" t="s">
        <v>59</v>
      </c>
      <c r="AN875" t="s">
        <v>59</v>
      </c>
      <c r="AO875" t="s">
        <v>59</v>
      </c>
      <c r="AP875" t="s">
        <v>133</v>
      </c>
      <c r="AQ875" s="1" t="s">
        <v>366</v>
      </c>
      <c r="AR875" t="s">
        <v>64</v>
      </c>
      <c r="AS875" t="s">
        <v>175</v>
      </c>
      <c r="AT875" t="s">
        <v>176</v>
      </c>
      <c r="AU875" t="s">
        <v>219</v>
      </c>
      <c r="AW875" s="4">
        <f t="shared" si="458"/>
        <v>6</v>
      </c>
      <c r="AX875" s="4">
        <f t="shared" si="459"/>
        <v>4</v>
      </c>
      <c r="AY875" s="4">
        <f t="shared" si="460"/>
        <v>4</v>
      </c>
      <c r="AZ875" s="4">
        <f t="shared" si="461"/>
        <v>2</v>
      </c>
      <c r="BA875" s="4">
        <f t="shared" si="462"/>
        <v>4</v>
      </c>
      <c r="BB875" s="4">
        <f t="shared" si="463"/>
        <v>4</v>
      </c>
      <c r="BC875" s="4">
        <f t="shared" si="464"/>
        <v>4</v>
      </c>
      <c r="BD875" s="4">
        <f t="shared" si="465"/>
        <v>2</v>
      </c>
      <c r="BE875" s="4" t="str">
        <f t="shared" si="466"/>
        <v>0</v>
      </c>
      <c r="BF875" s="4">
        <f t="shared" si="467"/>
        <v>2</v>
      </c>
      <c r="BG875" s="4">
        <f t="shared" si="468"/>
        <v>4</v>
      </c>
      <c r="BH875" s="4">
        <f t="shared" si="469"/>
        <v>4</v>
      </c>
      <c r="BI875" s="4">
        <f t="shared" si="470"/>
        <v>4</v>
      </c>
      <c r="BJ875" s="4">
        <f t="shared" si="471"/>
        <v>2</v>
      </c>
      <c r="BK875" s="4">
        <f t="shared" si="472"/>
        <v>4</v>
      </c>
      <c r="BL875" s="4" t="str">
        <f t="shared" si="473"/>
        <v>0</v>
      </c>
      <c r="BM875" s="4">
        <f t="shared" si="474"/>
        <v>4</v>
      </c>
      <c r="BN875" s="4">
        <f t="shared" si="475"/>
        <v>4</v>
      </c>
      <c r="BO875" s="4">
        <f t="shared" si="476"/>
        <v>4</v>
      </c>
      <c r="BP875" s="4">
        <f t="shared" si="477"/>
        <v>4</v>
      </c>
      <c r="BQ875" s="4" t="str">
        <f t="shared" si="478"/>
        <v>0</v>
      </c>
      <c r="BR875" s="4">
        <f t="shared" si="479"/>
        <v>4</v>
      </c>
      <c r="BS875" s="4">
        <f t="shared" si="480"/>
        <v>4</v>
      </c>
      <c r="BT875" s="4">
        <f t="shared" si="481"/>
        <v>4</v>
      </c>
      <c r="BU875" s="4">
        <f t="shared" si="482"/>
        <v>4</v>
      </c>
      <c r="BV875" s="4" t="str">
        <f t="shared" si="483"/>
        <v>0</v>
      </c>
      <c r="BW875" s="4">
        <f t="shared" si="484"/>
        <v>6</v>
      </c>
      <c r="BX875" s="4">
        <f t="shared" si="485"/>
        <v>0</v>
      </c>
      <c r="BY875" s="4">
        <f t="shared" si="486"/>
        <v>0</v>
      </c>
      <c r="BZ875" s="37">
        <f t="shared" si="487"/>
        <v>88</v>
      </c>
      <c r="CA875" s="32" t="str">
        <f>VLOOKUP(J:J,'Agent wise'!A:C,3,0)</f>
        <v>Adharsh</v>
      </c>
      <c r="CB875" s="32">
        <f t="shared" si="488"/>
        <v>45945</v>
      </c>
      <c r="CC875" t="str">
        <f t="shared" si="489"/>
        <v>Average</v>
      </c>
      <c r="CE875" s="32"/>
      <c r="CJ875">
        <f t="shared" si="490"/>
        <v>15</v>
      </c>
      <c r="CK875">
        <f t="shared" si="491"/>
        <v>10</v>
      </c>
      <c r="CL875">
        <f t="shared" si="492"/>
        <v>2025</v>
      </c>
    </row>
    <row r="876" spans="1:90" ht="15" customHeight="1" x14ac:dyDescent="0.35">
      <c r="A876" t="s">
        <v>2147</v>
      </c>
      <c r="B876" t="s">
        <v>130</v>
      </c>
      <c r="C876" t="s">
        <v>214</v>
      </c>
      <c r="D876" t="s">
        <v>131</v>
      </c>
      <c r="E876" s="32">
        <v>45945</v>
      </c>
      <c r="F876" t="s">
        <v>54</v>
      </c>
      <c r="G876" t="s">
        <v>1897</v>
      </c>
      <c r="H876">
        <v>9840151232</v>
      </c>
      <c r="I876">
        <v>134</v>
      </c>
      <c r="J876" t="s">
        <v>521</v>
      </c>
      <c r="K876" t="s">
        <v>71</v>
      </c>
      <c r="L876" t="s">
        <v>72</v>
      </c>
      <c r="M876" t="s">
        <v>59</v>
      </c>
      <c r="N876" t="s">
        <v>59</v>
      </c>
      <c r="O876" t="s">
        <v>59</v>
      </c>
      <c r="P876" t="s">
        <v>59</v>
      </c>
      <c r="Q876" t="s">
        <v>59</v>
      </c>
      <c r="R876" t="s">
        <v>59</v>
      </c>
      <c r="S876" t="s">
        <v>59</v>
      </c>
      <c r="T876" t="s">
        <v>59</v>
      </c>
      <c r="U876" t="s">
        <v>60</v>
      </c>
      <c r="V876" t="s">
        <v>59</v>
      </c>
      <c r="W876" t="s">
        <v>59</v>
      </c>
      <c r="X876" t="s">
        <v>59</v>
      </c>
      <c r="Y876" t="s">
        <v>59</v>
      </c>
      <c r="Z876" t="s">
        <v>59</v>
      </c>
      <c r="AA876" t="s">
        <v>60</v>
      </c>
      <c r="AB876" t="s">
        <v>60</v>
      </c>
      <c r="AC876" t="s">
        <v>61</v>
      </c>
      <c r="AD876" t="s">
        <v>59</v>
      </c>
      <c r="AE876" t="s">
        <v>59</v>
      </c>
      <c r="AF876" t="s">
        <v>61</v>
      </c>
      <c r="AG876" t="s">
        <v>59</v>
      </c>
      <c r="AH876" t="s">
        <v>61</v>
      </c>
      <c r="AI876" t="s">
        <v>61</v>
      </c>
      <c r="AJ876" t="s">
        <v>59</v>
      </c>
      <c r="AK876" t="s">
        <v>59</v>
      </c>
      <c r="AL876" t="s">
        <v>60</v>
      </c>
      <c r="AM876" t="s">
        <v>59</v>
      </c>
      <c r="AN876" t="s">
        <v>59</v>
      </c>
      <c r="AO876" t="s">
        <v>59</v>
      </c>
      <c r="AP876" t="s">
        <v>365</v>
      </c>
      <c r="AQ876" s="1" t="s">
        <v>161</v>
      </c>
      <c r="AR876" t="s">
        <v>64</v>
      </c>
      <c r="AS876" t="s">
        <v>135</v>
      </c>
      <c r="AT876" t="s">
        <v>194</v>
      </c>
      <c r="AU876" t="s">
        <v>219</v>
      </c>
      <c r="AW876" s="4">
        <f t="shared" si="458"/>
        <v>6</v>
      </c>
      <c r="AX876" s="4">
        <f t="shared" si="459"/>
        <v>4</v>
      </c>
      <c r="AY876" s="4">
        <f t="shared" si="460"/>
        <v>4</v>
      </c>
      <c r="AZ876" s="4">
        <f t="shared" si="461"/>
        <v>2</v>
      </c>
      <c r="BA876" s="4">
        <f t="shared" si="462"/>
        <v>4</v>
      </c>
      <c r="BB876" s="4">
        <f t="shared" si="463"/>
        <v>4</v>
      </c>
      <c r="BC876" s="4">
        <f t="shared" si="464"/>
        <v>4</v>
      </c>
      <c r="BD876" s="4">
        <f t="shared" si="465"/>
        <v>2</v>
      </c>
      <c r="BE876" s="4" t="str">
        <f t="shared" si="466"/>
        <v>0</v>
      </c>
      <c r="BF876" s="4">
        <f t="shared" si="467"/>
        <v>2</v>
      </c>
      <c r="BG876" s="4">
        <f t="shared" si="468"/>
        <v>4</v>
      </c>
      <c r="BH876" s="4">
        <f t="shared" si="469"/>
        <v>4</v>
      </c>
      <c r="BI876" s="4">
        <f t="shared" si="470"/>
        <v>4</v>
      </c>
      <c r="BJ876" s="4">
        <f t="shared" si="471"/>
        <v>2</v>
      </c>
      <c r="BK876" s="4" t="str">
        <f t="shared" si="472"/>
        <v>0</v>
      </c>
      <c r="BL876" s="4" t="str">
        <f t="shared" si="473"/>
        <v>0</v>
      </c>
      <c r="BM876" s="4">
        <f t="shared" si="474"/>
        <v>4</v>
      </c>
      <c r="BN876" s="4">
        <f t="shared" si="475"/>
        <v>4</v>
      </c>
      <c r="BO876" s="4">
        <f t="shared" si="476"/>
        <v>4</v>
      </c>
      <c r="BP876" s="4">
        <f t="shared" si="477"/>
        <v>4</v>
      </c>
      <c r="BQ876" s="4">
        <f t="shared" si="478"/>
        <v>6</v>
      </c>
      <c r="BR876" s="4">
        <f t="shared" si="479"/>
        <v>4</v>
      </c>
      <c r="BS876" s="4">
        <f t="shared" si="480"/>
        <v>4</v>
      </c>
      <c r="BT876" s="4">
        <f t="shared" si="481"/>
        <v>4</v>
      </c>
      <c r="BU876" s="4">
        <f t="shared" si="482"/>
        <v>4</v>
      </c>
      <c r="BV876" s="4" t="str">
        <f t="shared" si="483"/>
        <v>0</v>
      </c>
      <c r="BW876" s="4">
        <f t="shared" si="484"/>
        <v>6</v>
      </c>
      <c r="BX876" s="4">
        <f t="shared" si="485"/>
        <v>0</v>
      </c>
      <c r="BY876" s="4">
        <f t="shared" si="486"/>
        <v>0</v>
      </c>
      <c r="BZ876" s="37">
        <f t="shared" si="487"/>
        <v>90</v>
      </c>
      <c r="CA876" s="32" t="str">
        <f>VLOOKUP(J:J,'Agent wise'!A:C,3,0)</f>
        <v>Adharsh</v>
      </c>
      <c r="CB876" s="32">
        <f t="shared" si="488"/>
        <v>45945</v>
      </c>
      <c r="CC876" t="str">
        <f t="shared" si="489"/>
        <v>Good</v>
      </c>
      <c r="CE876" s="32"/>
      <c r="CJ876">
        <f t="shared" si="490"/>
        <v>15</v>
      </c>
      <c r="CK876">
        <f t="shared" si="491"/>
        <v>10</v>
      </c>
      <c r="CL876">
        <f t="shared" si="492"/>
        <v>2025</v>
      </c>
    </row>
    <row r="877" spans="1:90" ht="15" customHeight="1" x14ac:dyDescent="0.35">
      <c r="A877" t="s">
        <v>2148</v>
      </c>
      <c r="B877" t="s">
        <v>130</v>
      </c>
      <c r="C877" t="s">
        <v>214</v>
      </c>
      <c r="D877" t="s">
        <v>131</v>
      </c>
      <c r="E877" s="32">
        <v>45945</v>
      </c>
      <c r="F877" t="s">
        <v>54</v>
      </c>
      <c r="G877" t="s">
        <v>1897</v>
      </c>
      <c r="H877">
        <v>8281904303</v>
      </c>
      <c r="I877">
        <v>129</v>
      </c>
      <c r="J877" t="s">
        <v>519</v>
      </c>
      <c r="K877" t="s">
        <v>57</v>
      </c>
      <c r="L877" t="s">
        <v>58</v>
      </c>
      <c r="M877" t="s">
        <v>59</v>
      </c>
      <c r="N877" t="s">
        <v>59</v>
      </c>
      <c r="O877" t="s">
        <v>59</v>
      </c>
      <c r="P877" t="s">
        <v>59</v>
      </c>
      <c r="Q877" t="s">
        <v>59</v>
      </c>
      <c r="R877" t="s">
        <v>59</v>
      </c>
      <c r="S877" t="s">
        <v>59</v>
      </c>
      <c r="T877" t="s">
        <v>59</v>
      </c>
      <c r="U877" t="s">
        <v>60</v>
      </c>
      <c r="V877" t="s">
        <v>59</v>
      </c>
      <c r="W877" t="s">
        <v>59</v>
      </c>
      <c r="X877" t="s">
        <v>59</v>
      </c>
      <c r="Y877" t="s">
        <v>59</v>
      </c>
      <c r="Z877" t="s">
        <v>59</v>
      </c>
      <c r="AA877" t="s">
        <v>60</v>
      </c>
      <c r="AB877" t="s">
        <v>60</v>
      </c>
      <c r="AC877" t="s">
        <v>61</v>
      </c>
      <c r="AD877" t="s">
        <v>59</v>
      </c>
      <c r="AE877" t="s">
        <v>59</v>
      </c>
      <c r="AF877" t="s">
        <v>61</v>
      </c>
      <c r="AG877" t="s">
        <v>60</v>
      </c>
      <c r="AH877" t="s">
        <v>61</v>
      </c>
      <c r="AI877" t="s">
        <v>61</v>
      </c>
      <c r="AJ877" t="s">
        <v>59</v>
      </c>
      <c r="AK877" t="s">
        <v>59</v>
      </c>
      <c r="AL877" t="s">
        <v>60</v>
      </c>
      <c r="AM877" t="s">
        <v>60</v>
      </c>
      <c r="AN877" t="s">
        <v>60</v>
      </c>
      <c r="AO877" t="s">
        <v>60</v>
      </c>
      <c r="AP877" t="s">
        <v>2149</v>
      </c>
      <c r="AQ877" s="1" t="s">
        <v>2150</v>
      </c>
      <c r="AR877" t="s">
        <v>64</v>
      </c>
      <c r="AS877" t="s">
        <v>347</v>
      </c>
      <c r="AT877" t="s">
        <v>348</v>
      </c>
      <c r="AU877" t="s">
        <v>593</v>
      </c>
      <c r="AW877" s="4">
        <f t="shared" si="458"/>
        <v>6</v>
      </c>
      <c r="AX877" s="4">
        <f t="shared" si="459"/>
        <v>4</v>
      </c>
      <c r="AY877" s="4">
        <f t="shared" si="460"/>
        <v>4</v>
      </c>
      <c r="AZ877" s="4">
        <f t="shared" si="461"/>
        <v>2</v>
      </c>
      <c r="BA877" s="4">
        <f t="shared" si="462"/>
        <v>4</v>
      </c>
      <c r="BB877" s="4">
        <f t="shared" si="463"/>
        <v>4</v>
      </c>
      <c r="BC877" s="4">
        <f t="shared" si="464"/>
        <v>4</v>
      </c>
      <c r="BD877" s="4">
        <f t="shared" si="465"/>
        <v>2</v>
      </c>
      <c r="BE877" s="4" t="str">
        <f t="shared" si="466"/>
        <v>0</v>
      </c>
      <c r="BF877" s="4">
        <f t="shared" si="467"/>
        <v>2</v>
      </c>
      <c r="BG877" s="4">
        <f t="shared" si="468"/>
        <v>4</v>
      </c>
      <c r="BH877" s="4">
        <f t="shared" si="469"/>
        <v>4</v>
      </c>
      <c r="BI877" s="4">
        <f t="shared" si="470"/>
        <v>4</v>
      </c>
      <c r="BJ877" s="4">
        <f t="shared" si="471"/>
        <v>2</v>
      </c>
      <c r="BK877" s="4" t="str">
        <f t="shared" si="472"/>
        <v>0</v>
      </c>
      <c r="BL877" s="4" t="str">
        <f t="shared" si="473"/>
        <v>0</v>
      </c>
      <c r="BM877" s="4">
        <f t="shared" si="474"/>
        <v>4</v>
      </c>
      <c r="BN877" s="4">
        <f t="shared" si="475"/>
        <v>4</v>
      </c>
      <c r="BO877" s="4">
        <f t="shared" si="476"/>
        <v>4</v>
      </c>
      <c r="BP877" s="4">
        <f t="shared" si="477"/>
        <v>4</v>
      </c>
      <c r="BQ877" s="4" t="str">
        <f t="shared" si="478"/>
        <v>0</v>
      </c>
      <c r="BR877" s="4">
        <f t="shared" si="479"/>
        <v>4</v>
      </c>
      <c r="BS877" s="4">
        <f t="shared" si="480"/>
        <v>4</v>
      </c>
      <c r="BT877" s="4">
        <f t="shared" si="481"/>
        <v>4</v>
      </c>
      <c r="BU877" s="4">
        <f t="shared" si="482"/>
        <v>4</v>
      </c>
      <c r="BV877" s="4" t="str">
        <f t="shared" si="483"/>
        <v>0</v>
      </c>
      <c r="BW877" s="4" t="str">
        <f t="shared" si="484"/>
        <v>0</v>
      </c>
      <c r="BX877" s="4" t="str">
        <f t="shared" si="485"/>
        <v>0</v>
      </c>
      <c r="BY877" s="4" t="str">
        <f t="shared" si="486"/>
        <v>0</v>
      </c>
      <c r="BZ877" s="37">
        <f t="shared" si="487"/>
        <v>78</v>
      </c>
      <c r="CA877" s="32" t="str">
        <f>VLOOKUP(J:J,'Agent wise'!A:C,3,0)</f>
        <v>Adharsh</v>
      </c>
      <c r="CB877" s="32">
        <f t="shared" si="488"/>
        <v>45945</v>
      </c>
      <c r="CC877" t="str">
        <f t="shared" si="489"/>
        <v>FC</v>
      </c>
      <c r="CE877" s="32"/>
      <c r="CJ877">
        <f t="shared" si="490"/>
        <v>15</v>
      </c>
      <c r="CK877">
        <f t="shared" si="491"/>
        <v>10</v>
      </c>
      <c r="CL877">
        <f t="shared" si="492"/>
        <v>2025</v>
      </c>
    </row>
    <row r="878" spans="1:90" ht="15" customHeight="1" x14ac:dyDescent="0.35">
      <c r="A878" t="s">
        <v>2151</v>
      </c>
      <c r="B878" t="s">
        <v>100</v>
      </c>
      <c r="C878" t="s">
        <v>214</v>
      </c>
      <c r="D878" t="s">
        <v>101</v>
      </c>
      <c r="E878" s="32">
        <v>45946</v>
      </c>
      <c r="F878" t="s">
        <v>90</v>
      </c>
      <c r="G878" t="s">
        <v>1897</v>
      </c>
      <c r="H878">
        <v>9976177678</v>
      </c>
      <c r="I878">
        <v>162</v>
      </c>
      <c r="J878" t="s">
        <v>269</v>
      </c>
      <c r="K878" t="s">
        <v>71</v>
      </c>
      <c r="L878" t="s">
        <v>72</v>
      </c>
      <c r="M878" t="s">
        <v>59</v>
      </c>
      <c r="N878" t="s">
        <v>59</v>
      </c>
      <c r="O878" t="s">
        <v>59</v>
      </c>
      <c r="P878" t="s">
        <v>59</v>
      </c>
      <c r="Q878" t="s">
        <v>59</v>
      </c>
      <c r="R878" t="s">
        <v>59</v>
      </c>
      <c r="S878" t="s">
        <v>59</v>
      </c>
      <c r="T878" t="s">
        <v>59</v>
      </c>
      <c r="U878" t="s">
        <v>59</v>
      </c>
      <c r="V878" t="s">
        <v>59</v>
      </c>
      <c r="W878" t="s">
        <v>59</v>
      </c>
      <c r="X878" t="s">
        <v>59</v>
      </c>
      <c r="Y878" t="s">
        <v>59</v>
      </c>
      <c r="Z878" t="s">
        <v>59</v>
      </c>
      <c r="AA878" t="s">
        <v>60</v>
      </c>
      <c r="AB878" t="s">
        <v>59</v>
      </c>
      <c r="AC878" t="s">
        <v>61</v>
      </c>
      <c r="AD878" t="s">
        <v>59</v>
      </c>
      <c r="AE878" t="s">
        <v>59</v>
      </c>
      <c r="AF878" t="s">
        <v>61</v>
      </c>
      <c r="AG878" t="s">
        <v>59</v>
      </c>
      <c r="AH878" t="s">
        <v>61</v>
      </c>
      <c r="AI878" t="s">
        <v>61</v>
      </c>
      <c r="AJ878" t="s">
        <v>59</v>
      </c>
      <c r="AK878" t="s">
        <v>61</v>
      </c>
      <c r="AL878" t="s">
        <v>60</v>
      </c>
      <c r="AM878" t="s">
        <v>59</v>
      </c>
      <c r="AN878" t="s">
        <v>59</v>
      </c>
      <c r="AO878" t="s">
        <v>59</v>
      </c>
      <c r="AP878" t="s">
        <v>2153</v>
      </c>
      <c r="AQ878" t="s">
        <v>2154</v>
      </c>
      <c r="AR878" t="s">
        <v>64</v>
      </c>
      <c r="AS878" t="s">
        <v>210</v>
      </c>
      <c r="AT878" t="s">
        <v>211</v>
      </c>
      <c r="AU878" t="s">
        <v>299</v>
      </c>
      <c r="AW878" s="4">
        <f t="shared" si="458"/>
        <v>6</v>
      </c>
      <c r="AX878" s="4">
        <f t="shared" si="459"/>
        <v>4</v>
      </c>
      <c r="AY878" s="4">
        <f t="shared" si="460"/>
        <v>4</v>
      </c>
      <c r="AZ878" s="4">
        <f t="shared" si="461"/>
        <v>2</v>
      </c>
      <c r="BA878" s="4">
        <f t="shared" si="462"/>
        <v>4</v>
      </c>
      <c r="BB878" s="4">
        <f t="shared" si="463"/>
        <v>4</v>
      </c>
      <c r="BC878" s="4">
        <f t="shared" si="464"/>
        <v>4</v>
      </c>
      <c r="BD878" s="4">
        <f t="shared" si="465"/>
        <v>2</v>
      </c>
      <c r="BE878" s="4">
        <f t="shared" si="466"/>
        <v>4</v>
      </c>
      <c r="BF878" s="4">
        <f t="shared" si="467"/>
        <v>2</v>
      </c>
      <c r="BG878" s="4">
        <f t="shared" si="468"/>
        <v>4</v>
      </c>
      <c r="BH878" s="4">
        <f t="shared" si="469"/>
        <v>4</v>
      </c>
      <c r="BI878" s="4">
        <f t="shared" si="470"/>
        <v>4</v>
      </c>
      <c r="BJ878" s="4">
        <f t="shared" si="471"/>
        <v>2</v>
      </c>
      <c r="BK878" s="4" t="str">
        <f t="shared" si="472"/>
        <v>0</v>
      </c>
      <c r="BL878" s="4">
        <f t="shared" si="473"/>
        <v>2</v>
      </c>
      <c r="BM878" s="4">
        <f t="shared" si="474"/>
        <v>4</v>
      </c>
      <c r="BN878" s="4">
        <f t="shared" si="475"/>
        <v>4</v>
      </c>
      <c r="BO878" s="4">
        <f t="shared" si="476"/>
        <v>4</v>
      </c>
      <c r="BP878" s="4">
        <f t="shared" si="477"/>
        <v>4</v>
      </c>
      <c r="BQ878" s="4">
        <f t="shared" si="478"/>
        <v>6</v>
      </c>
      <c r="BR878" s="4">
        <f t="shared" si="479"/>
        <v>4</v>
      </c>
      <c r="BS878" s="4">
        <f t="shared" si="480"/>
        <v>4</v>
      </c>
      <c r="BT878" s="4">
        <f t="shared" si="481"/>
        <v>4</v>
      </c>
      <c r="BU878" s="4">
        <f t="shared" si="482"/>
        <v>4</v>
      </c>
      <c r="BV878" s="4" t="str">
        <f t="shared" si="483"/>
        <v>0</v>
      </c>
      <c r="BW878" s="4">
        <f t="shared" si="484"/>
        <v>6</v>
      </c>
      <c r="BX878" s="4">
        <f t="shared" si="485"/>
        <v>0</v>
      </c>
      <c r="BY878" s="4">
        <f t="shared" si="486"/>
        <v>0</v>
      </c>
      <c r="BZ878" s="37">
        <f t="shared" si="487"/>
        <v>96</v>
      </c>
      <c r="CA878" s="32" t="str">
        <f>VLOOKUP(J:J,'Agent wise'!A:C,3,0)</f>
        <v xml:space="preserve">Shiny </v>
      </c>
      <c r="CB878" s="32">
        <f t="shared" si="488"/>
        <v>45946</v>
      </c>
      <c r="CC878" t="str">
        <f t="shared" si="489"/>
        <v>Excellent</v>
      </c>
      <c r="CE878" s="32"/>
      <c r="CJ878">
        <f t="shared" si="490"/>
        <v>16</v>
      </c>
      <c r="CK878">
        <f t="shared" si="491"/>
        <v>10</v>
      </c>
      <c r="CL878">
        <f t="shared" si="492"/>
        <v>2025</v>
      </c>
    </row>
    <row r="879" spans="1:90" ht="15" customHeight="1" x14ac:dyDescent="0.35">
      <c r="A879" t="s">
        <v>2155</v>
      </c>
      <c r="B879" t="s">
        <v>100</v>
      </c>
      <c r="C879" t="s">
        <v>214</v>
      </c>
      <c r="D879" t="s">
        <v>101</v>
      </c>
      <c r="E879" s="32">
        <v>45946</v>
      </c>
      <c r="F879" t="s">
        <v>90</v>
      </c>
      <c r="G879" t="s">
        <v>1897</v>
      </c>
      <c r="H879">
        <v>9842217339</v>
      </c>
      <c r="I879">
        <v>171</v>
      </c>
      <c r="J879" t="s">
        <v>269</v>
      </c>
      <c r="K879" t="s">
        <v>71</v>
      </c>
      <c r="L879" t="s">
        <v>72</v>
      </c>
      <c r="M879" t="s">
        <v>59</v>
      </c>
      <c r="N879" t="s">
        <v>59</v>
      </c>
      <c r="O879" t="s">
        <v>60</v>
      </c>
      <c r="P879" t="s">
        <v>59</v>
      </c>
      <c r="Q879" t="s">
        <v>59</v>
      </c>
      <c r="R879" t="s">
        <v>59</v>
      </c>
      <c r="S879" t="s">
        <v>59</v>
      </c>
      <c r="T879" t="s">
        <v>59</v>
      </c>
      <c r="U879" t="s">
        <v>59</v>
      </c>
      <c r="V879" t="s">
        <v>59</v>
      </c>
      <c r="W879" t="s">
        <v>59</v>
      </c>
      <c r="X879" t="s">
        <v>61</v>
      </c>
      <c r="Y879" t="s">
        <v>59</v>
      </c>
      <c r="Z879" t="s">
        <v>59</v>
      </c>
      <c r="AA879" t="s">
        <v>59</v>
      </c>
      <c r="AB879" t="s">
        <v>59</v>
      </c>
      <c r="AC879" t="s">
        <v>61</v>
      </c>
      <c r="AD879" t="s">
        <v>61</v>
      </c>
      <c r="AE879" t="s">
        <v>59</v>
      </c>
      <c r="AF879" t="s">
        <v>61</v>
      </c>
      <c r="AG879" t="s">
        <v>59</v>
      </c>
      <c r="AH879" t="s">
        <v>59</v>
      </c>
      <c r="AI879" t="s">
        <v>61</v>
      </c>
      <c r="AJ879" t="s">
        <v>61</v>
      </c>
      <c r="AK879" t="s">
        <v>61</v>
      </c>
      <c r="AL879" t="s">
        <v>60</v>
      </c>
      <c r="AM879" t="s">
        <v>59</v>
      </c>
      <c r="AN879" t="s">
        <v>59</v>
      </c>
      <c r="AO879" t="s">
        <v>59</v>
      </c>
      <c r="AP879" t="s">
        <v>2156</v>
      </c>
      <c r="AQ879" t="s">
        <v>2156</v>
      </c>
      <c r="AR879" t="s">
        <v>64</v>
      </c>
      <c r="AS879" t="s">
        <v>94</v>
      </c>
      <c r="AT879" t="s">
        <v>95</v>
      </c>
      <c r="AU879" t="s">
        <v>299</v>
      </c>
      <c r="AW879" s="4">
        <f t="shared" si="458"/>
        <v>6</v>
      </c>
      <c r="AX879" s="4">
        <f t="shared" si="459"/>
        <v>4</v>
      </c>
      <c r="AY879" s="4" t="str">
        <f t="shared" si="460"/>
        <v>0</v>
      </c>
      <c r="AZ879" s="4">
        <f t="shared" si="461"/>
        <v>2</v>
      </c>
      <c r="BA879" s="4">
        <f t="shared" si="462"/>
        <v>4</v>
      </c>
      <c r="BB879" s="4">
        <f t="shared" si="463"/>
        <v>4</v>
      </c>
      <c r="BC879" s="4">
        <f t="shared" si="464"/>
        <v>4</v>
      </c>
      <c r="BD879" s="4">
        <f t="shared" si="465"/>
        <v>2</v>
      </c>
      <c r="BE879" s="4">
        <f t="shared" si="466"/>
        <v>4</v>
      </c>
      <c r="BF879" s="4">
        <f t="shared" si="467"/>
        <v>2</v>
      </c>
      <c r="BG879" s="4">
        <f t="shared" si="468"/>
        <v>4</v>
      </c>
      <c r="BH879" s="4">
        <f t="shared" si="469"/>
        <v>4</v>
      </c>
      <c r="BI879" s="4">
        <f t="shared" si="470"/>
        <v>4</v>
      </c>
      <c r="BJ879" s="4">
        <f t="shared" si="471"/>
        <v>2</v>
      </c>
      <c r="BK879" s="4">
        <f t="shared" si="472"/>
        <v>4</v>
      </c>
      <c r="BL879" s="4">
        <f t="shared" si="473"/>
        <v>2</v>
      </c>
      <c r="BM879" s="4">
        <f t="shared" si="474"/>
        <v>4</v>
      </c>
      <c r="BN879" s="4">
        <f t="shared" si="475"/>
        <v>4</v>
      </c>
      <c r="BO879" s="4">
        <f t="shared" si="476"/>
        <v>4</v>
      </c>
      <c r="BP879" s="4">
        <f t="shared" si="477"/>
        <v>4</v>
      </c>
      <c r="BQ879" s="4">
        <f t="shared" si="478"/>
        <v>6</v>
      </c>
      <c r="BR879" s="4">
        <f t="shared" si="479"/>
        <v>4</v>
      </c>
      <c r="BS879" s="4">
        <f t="shared" si="480"/>
        <v>4</v>
      </c>
      <c r="BT879" s="4">
        <f t="shared" si="481"/>
        <v>4</v>
      </c>
      <c r="BU879" s="4">
        <f t="shared" si="482"/>
        <v>4</v>
      </c>
      <c r="BV879" s="4" t="str">
        <f t="shared" si="483"/>
        <v>0</v>
      </c>
      <c r="BW879" s="4">
        <f t="shared" si="484"/>
        <v>6</v>
      </c>
      <c r="BX879" s="4">
        <f t="shared" si="485"/>
        <v>0</v>
      </c>
      <c r="BY879" s="4">
        <f t="shared" si="486"/>
        <v>0</v>
      </c>
      <c r="BZ879" s="37">
        <f t="shared" si="487"/>
        <v>96</v>
      </c>
      <c r="CA879" s="32" t="str">
        <f>VLOOKUP(J:J,'Agent wise'!A:C,3,0)</f>
        <v xml:space="preserve">Shiny </v>
      </c>
      <c r="CB879" s="32">
        <f t="shared" si="488"/>
        <v>45946</v>
      </c>
      <c r="CC879" t="str">
        <f t="shared" si="489"/>
        <v>Excellent</v>
      </c>
      <c r="CE879" s="32"/>
      <c r="CJ879">
        <f t="shared" si="490"/>
        <v>16</v>
      </c>
      <c r="CK879">
        <f t="shared" si="491"/>
        <v>10</v>
      </c>
      <c r="CL879">
        <f t="shared" si="492"/>
        <v>2025</v>
      </c>
    </row>
    <row r="880" spans="1:90" ht="15" customHeight="1" x14ac:dyDescent="0.35">
      <c r="A880" t="s">
        <v>2157</v>
      </c>
      <c r="B880" t="s">
        <v>100</v>
      </c>
      <c r="C880" t="s">
        <v>214</v>
      </c>
      <c r="D880" t="s">
        <v>101</v>
      </c>
      <c r="E880" s="32">
        <v>45946</v>
      </c>
      <c r="F880" t="s">
        <v>90</v>
      </c>
      <c r="G880" t="s">
        <v>1897</v>
      </c>
      <c r="H880">
        <v>9444381418</v>
      </c>
      <c r="I880">
        <v>153</v>
      </c>
      <c r="J880" t="s">
        <v>208</v>
      </c>
      <c r="K880" t="s">
        <v>71</v>
      </c>
      <c r="L880" t="s">
        <v>72</v>
      </c>
      <c r="M880" t="s">
        <v>59</v>
      </c>
      <c r="N880" t="s">
        <v>59</v>
      </c>
      <c r="O880" t="s">
        <v>60</v>
      </c>
      <c r="P880" t="s">
        <v>59</v>
      </c>
      <c r="Q880" t="s">
        <v>59</v>
      </c>
      <c r="R880" t="s">
        <v>59</v>
      </c>
      <c r="S880" t="s">
        <v>59</v>
      </c>
      <c r="T880" t="s">
        <v>59</v>
      </c>
      <c r="U880" t="s">
        <v>60</v>
      </c>
      <c r="V880" t="s">
        <v>59</v>
      </c>
      <c r="W880" t="s">
        <v>59</v>
      </c>
      <c r="X880" t="s">
        <v>59</v>
      </c>
      <c r="Y880" t="s">
        <v>59</v>
      </c>
      <c r="Z880" t="s">
        <v>60</v>
      </c>
      <c r="AA880" t="s">
        <v>60</v>
      </c>
      <c r="AB880" t="s">
        <v>60</v>
      </c>
      <c r="AC880" t="s">
        <v>60</v>
      </c>
      <c r="AD880" t="s">
        <v>59</v>
      </c>
      <c r="AE880" t="s">
        <v>60</v>
      </c>
      <c r="AF880" t="s">
        <v>61</v>
      </c>
      <c r="AG880" t="s">
        <v>59</v>
      </c>
      <c r="AH880" t="s">
        <v>61</v>
      </c>
      <c r="AI880" t="s">
        <v>61</v>
      </c>
      <c r="AJ880" t="s">
        <v>59</v>
      </c>
      <c r="AK880" t="s">
        <v>61</v>
      </c>
      <c r="AL880" t="s">
        <v>60</v>
      </c>
      <c r="AM880" t="s">
        <v>59</v>
      </c>
      <c r="AN880" t="s">
        <v>59</v>
      </c>
      <c r="AO880" t="s">
        <v>59</v>
      </c>
      <c r="AP880" t="s">
        <v>2158</v>
      </c>
      <c r="AQ880" t="s">
        <v>2158</v>
      </c>
      <c r="AR880" t="s">
        <v>64</v>
      </c>
      <c r="AS880" t="s">
        <v>202</v>
      </c>
      <c r="AT880" t="s">
        <v>203</v>
      </c>
      <c r="AU880" t="s">
        <v>387</v>
      </c>
      <c r="AW880" s="4">
        <f t="shared" si="458"/>
        <v>6</v>
      </c>
      <c r="AX880" s="4">
        <f t="shared" si="459"/>
        <v>4</v>
      </c>
      <c r="AY880" s="4" t="str">
        <f t="shared" si="460"/>
        <v>0</v>
      </c>
      <c r="AZ880" s="4">
        <f t="shared" si="461"/>
        <v>2</v>
      </c>
      <c r="BA880" s="4">
        <f t="shared" si="462"/>
        <v>4</v>
      </c>
      <c r="BB880" s="4">
        <f t="shared" si="463"/>
        <v>4</v>
      </c>
      <c r="BC880" s="4">
        <f t="shared" si="464"/>
        <v>4</v>
      </c>
      <c r="BD880" s="4">
        <f t="shared" si="465"/>
        <v>2</v>
      </c>
      <c r="BE880" s="4" t="str">
        <f t="shared" si="466"/>
        <v>0</v>
      </c>
      <c r="BF880" s="4">
        <f t="shared" si="467"/>
        <v>2</v>
      </c>
      <c r="BG880" s="4">
        <f t="shared" si="468"/>
        <v>4</v>
      </c>
      <c r="BH880" s="4">
        <f t="shared" si="469"/>
        <v>4</v>
      </c>
      <c r="BI880" s="4">
        <f t="shared" si="470"/>
        <v>4</v>
      </c>
      <c r="BJ880" s="4" t="str">
        <f t="shared" si="471"/>
        <v>0</v>
      </c>
      <c r="BK880" s="4" t="str">
        <f t="shared" si="472"/>
        <v>0</v>
      </c>
      <c r="BL880" s="4" t="str">
        <f t="shared" si="473"/>
        <v>0</v>
      </c>
      <c r="BM880" s="4" t="str">
        <f t="shared" si="474"/>
        <v>0</v>
      </c>
      <c r="BN880" s="4">
        <f t="shared" si="475"/>
        <v>4</v>
      </c>
      <c r="BO880" s="4" t="str">
        <f t="shared" si="476"/>
        <v>0</v>
      </c>
      <c r="BP880" s="4">
        <f t="shared" si="477"/>
        <v>4</v>
      </c>
      <c r="BQ880" s="4">
        <f t="shared" si="478"/>
        <v>6</v>
      </c>
      <c r="BR880" s="4">
        <f t="shared" si="479"/>
        <v>4</v>
      </c>
      <c r="BS880" s="4">
        <f t="shared" si="480"/>
        <v>4</v>
      </c>
      <c r="BT880" s="4">
        <f t="shared" si="481"/>
        <v>4</v>
      </c>
      <c r="BU880" s="4">
        <f t="shared" si="482"/>
        <v>4</v>
      </c>
      <c r="BV880" s="4" t="str">
        <f t="shared" si="483"/>
        <v>0</v>
      </c>
      <c r="BW880" s="4">
        <f t="shared" si="484"/>
        <v>6</v>
      </c>
      <c r="BX880" s="4">
        <f t="shared" si="485"/>
        <v>0</v>
      </c>
      <c r="BY880" s="4">
        <f t="shared" si="486"/>
        <v>0</v>
      </c>
      <c r="BZ880" s="37">
        <f t="shared" si="487"/>
        <v>76</v>
      </c>
      <c r="CA880" s="32" t="str">
        <f>VLOOKUP(J:J,'Agent wise'!A:C,3,0)</f>
        <v>Adharsh</v>
      </c>
      <c r="CB880" s="32">
        <f t="shared" si="488"/>
        <v>45946</v>
      </c>
      <c r="CC880" t="str">
        <f t="shared" si="489"/>
        <v>FC</v>
      </c>
      <c r="CE880" s="32"/>
      <c r="CJ880">
        <f t="shared" si="490"/>
        <v>16</v>
      </c>
      <c r="CK880">
        <f t="shared" si="491"/>
        <v>10</v>
      </c>
      <c r="CL880">
        <f t="shared" si="492"/>
        <v>2025</v>
      </c>
    </row>
    <row r="881" spans="1:90" ht="15" customHeight="1" x14ac:dyDescent="0.35">
      <c r="A881" t="s">
        <v>2159</v>
      </c>
      <c r="B881" t="s">
        <v>100</v>
      </c>
      <c r="C881" t="s">
        <v>214</v>
      </c>
      <c r="D881" t="s">
        <v>101</v>
      </c>
      <c r="E881" s="32">
        <v>45946</v>
      </c>
      <c r="F881" t="s">
        <v>90</v>
      </c>
      <c r="G881" t="s">
        <v>1897</v>
      </c>
      <c r="H881">
        <v>8754798049</v>
      </c>
      <c r="I881">
        <v>187</v>
      </c>
      <c r="J881" t="s">
        <v>208</v>
      </c>
      <c r="K881" t="s">
        <v>71</v>
      </c>
      <c r="L881" t="s">
        <v>72</v>
      </c>
      <c r="M881" t="s">
        <v>59</v>
      </c>
      <c r="N881" t="s">
        <v>59</v>
      </c>
      <c r="O881" t="s">
        <v>60</v>
      </c>
      <c r="P881" t="s">
        <v>60</v>
      </c>
      <c r="Q881" t="s">
        <v>59</v>
      </c>
      <c r="R881" t="s">
        <v>60</v>
      </c>
      <c r="S881" t="s">
        <v>60</v>
      </c>
      <c r="T881" t="s">
        <v>60</v>
      </c>
      <c r="U881" t="s">
        <v>60</v>
      </c>
      <c r="V881" t="s">
        <v>60</v>
      </c>
      <c r="W881" t="s">
        <v>60</v>
      </c>
      <c r="X881" t="s">
        <v>61</v>
      </c>
      <c r="Y881" t="s">
        <v>59</v>
      </c>
      <c r="Z881" t="s">
        <v>59</v>
      </c>
      <c r="AA881" t="s">
        <v>60</v>
      </c>
      <c r="AB881" t="s">
        <v>60</v>
      </c>
      <c r="AC881" t="s">
        <v>60</v>
      </c>
      <c r="AD881" t="s">
        <v>60</v>
      </c>
      <c r="AE881" t="s">
        <v>60</v>
      </c>
      <c r="AF881" t="s">
        <v>61</v>
      </c>
      <c r="AG881" t="s">
        <v>60</v>
      </c>
      <c r="AH881" t="s">
        <v>61</v>
      </c>
      <c r="AI881" t="s">
        <v>61</v>
      </c>
      <c r="AJ881" t="s">
        <v>60</v>
      </c>
      <c r="AK881" t="s">
        <v>59</v>
      </c>
      <c r="AL881" t="s">
        <v>60</v>
      </c>
      <c r="AM881" t="s">
        <v>59</v>
      </c>
      <c r="AN881" t="s">
        <v>59</v>
      </c>
      <c r="AO881" t="s">
        <v>60</v>
      </c>
      <c r="AP881" t="s">
        <v>2160</v>
      </c>
      <c r="AQ881" t="s">
        <v>2160</v>
      </c>
      <c r="AR881" t="s">
        <v>64</v>
      </c>
      <c r="AS881" t="s">
        <v>202</v>
      </c>
      <c r="AT881" t="s">
        <v>203</v>
      </c>
      <c r="AU881" t="s">
        <v>299</v>
      </c>
      <c r="AW881" s="4">
        <f t="shared" si="458"/>
        <v>6</v>
      </c>
      <c r="AX881" s="4">
        <f t="shared" si="459"/>
        <v>4</v>
      </c>
      <c r="AY881" s="4" t="str">
        <f t="shared" si="460"/>
        <v>0</v>
      </c>
      <c r="AZ881" s="4" t="str">
        <f t="shared" si="461"/>
        <v>0</v>
      </c>
      <c r="BA881" s="4">
        <f t="shared" si="462"/>
        <v>4</v>
      </c>
      <c r="BB881" s="4" t="str">
        <f t="shared" si="463"/>
        <v>0</v>
      </c>
      <c r="BC881" s="4" t="str">
        <f t="shared" si="464"/>
        <v>0</v>
      </c>
      <c r="BD881" s="4" t="str">
        <f t="shared" si="465"/>
        <v>0</v>
      </c>
      <c r="BE881" s="4" t="str">
        <f t="shared" si="466"/>
        <v>0</v>
      </c>
      <c r="BF881" s="4" t="str">
        <f t="shared" si="467"/>
        <v>0</v>
      </c>
      <c r="BG881" s="4" t="str">
        <f t="shared" si="468"/>
        <v>0</v>
      </c>
      <c r="BH881" s="4">
        <f t="shared" si="469"/>
        <v>4</v>
      </c>
      <c r="BI881" s="4">
        <f t="shared" si="470"/>
        <v>4</v>
      </c>
      <c r="BJ881" s="4">
        <f t="shared" si="471"/>
        <v>2</v>
      </c>
      <c r="BK881" s="4" t="str">
        <f t="shared" si="472"/>
        <v>0</v>
      </c>
      <c r="BL881" s="4" t="str">
        <f t="shared" si="473"/>
        <v>0</v>
      </c>
      <c r="BM881" s="4" t="str">
        <f t="shared" si="474"/>
        <v>0</v>
      </c>
      <c r="BN881" s="4" t="str">
        <f t="shared" si="475"/>
        <v>0</v>
      </c>
      <c r="BO881" s="4" t="str">
        <f t="shared" si="476"/>
        <v>0</v>
      </c>
      <c r="BP881" s="4">
        <f t="shared" si="477"/>
        <v>4</v>
      </c>
      <c r="BQ881" s="4" t="str">
        <f t="shared" si="478"/>
        <v>0</v>
      </c>
      <c r="BR881" s="4">
        <f t="shared" si="479"/>
        <v>4</v>
      </c>
      <c r="BS881" s="4">
        <f t="shared" si="480"/>
        <v>4</v>
      </c>
      <c r="BT881" s="4" t="str">
        <f t="shared" si="481"/>
        <v>0</v>
      </c>
      <c r="BU881" s="4">
        <f t="shared" si="482"/>
        <v>4</v>
      </c>
      <c r="BV881" s="4" t="str">
        <f t="shared" si="483"/>
        <v>0</v>
      </c>
      <c r="BW881" s="4">
        <f t="shared" si="484"/>
        <v>6</v>
      </c>
      <c r="BX881" s="4">
        <f t="shared" si="485"/>
        <v>0</v>
      </c>
      <c r="BY881" s="4" t="str">
        <f t="shared" si="486"/>
        <v>0</v>
      </c>
      <c r="BZ881" s="37">
        <f t="shared" si="487"/>
        <v>46</v>
      </c>
      <c r="CA881" s="32" t="str">
        <f>VLOOKUP(J:J,'Agent wise'!A:C,3,0)</f>
        <v>Adharsh</v>
      </c>
      <c r="CB881" s="32">
        <f t="shared" si="488"/>
        <v>45946</v>
      </c>
      <c r="CC881" t="str">
        <f t="shared" si="489"/>
        <v>FC</v>
      </c>
      <c r="CE881" s="32"/>
      <c r="CJ881">
        <f t="shared" si="490"/>
        <v>16</v>
      </c>
      <c r="CK881">
        <f t="shared" si="491"/>
        <v>10</v>
      </c>
      <c r="CL881">
        <f t="shared" si="492"/>
        <v>2025</v>
      </c>
    </row>
    <row r="882" spans="1:90" ht="15" customHeight="1" x14ac:dyDescent="0.35">
      <c r="A882" t="s">
        <v>2161</v>
      </c>
      <c r="B882" t="s">
        <v>100</v>
      </c>
      <c r="C882" t="s">
        <v>214</v>
      </c>
      <c r="D882" t="s">
        <v>101</v>
      </c>
      <c r="E882" s="32">
        <v>45946</v>
      </c>
      <c r="F882" t="s">
        <v>90</v>
      </c>
      <c r="G882" t="s">
        <v>1897</v>
      </c>
      <c r="H882">
        <v>9442489491</v>
      </c>
      <c r="I882">
        <v>150</v>
      </c>
      <c r="J882" t="s">
        <v>472</v>
      </c>
      <c r="K882" t="s">
        <v>71</v>
      </c>
      <c r="L882" t="s">
        <v>72</v>
      </c>
      <c r="M882" t="s">
        <v>59</v>
      </c>
      <c r="N882" t="s">
        <v>59</v>
      </c>
      <c r="O882" t="s">
        <v>60</v>
      </c>
      <c r="P882" t="s">
        <v>59</v>
      </c>
      <c r="Q882" t="s">
        <v>59</v>
      </c>
      <c r="R882" t="s">
        <v>59</v>
      </c>
      <c r="S882" t="s">
        <v>59</v>
      </c>
      <c r="T882" t="s">
        <v>59</v>
      </c>
      <c r="U882" t="s">
        <v>59</v>
      </c>
      <c r="V882" t="s">
        <v>59</v>
      </c>
      <c r="W882" t="s">
        <v>59</v>
      </c>
      <c r="X882" t="s">
        <v>59</v>
      </c>
      <c r="Y882" t="s">
        <v>59</v>
      </c>
      <c r="Z882" t="s">
        <v>59</v>
      </c>
      <c r="AA882" t="s">
        <v>59</v>
      </c>
      <c r="AB882" t="s">
        <v>59</v>
      </c>
      <c r="AC882" t="s">
        <v>59</v>
      </c>
      <c r="AD882" t="s">
        <v>59</v>
      </c>
      <c r="AE882" t="s">
        <v>59</v>
      </c>
      <c r="AF882" t="s">
        <v>59</v>
      </c>
      <c r="AG882" t="s">
        <v>59</v>
      </c>
      <c r="AH882" t="s">
        <v>61</v>
      </c>
      <c r="AI882" t="s">
        <v>61</v>
      </c>
      <c r="AJ882" t="s">
        <v>61</v>
      </c>
      <c r="AK882" t="s">
        <v>59</v>
      </c>
      <c r="AL882" t="s">
        <v>60</v>
      </c>
      <c r="AM882" t="s">
        <v>59</v>
      </c>
      <c r="AN882" t="s">
        <v>59</v>
      </c>
      <c r="AO882" t="s">
        <v>59</v>
      </c>
      <c r="AP882" t="s">
        <v>2162</v>
      </c>
      <c r="AQ882" t="s">
        <v>2162</v>
      </c>
      <c r="AR882" t="s">
        <v>64</v>
      </c>
      <c r="AS882" t="s">
        <v>94</v>
      </c>
      <c r="AT882" t="s">
        <v>1766</v>
      </c>
      <c r="AU882" t="s">
        <v>219</v>
      </c>
      <c r="AW882" s="4">
        <f t="shared" si="458"/>
        <v>6</v>
      </c>
      <c r="AX882" s="4">
        <f t="shared" si="459"/>
        <v>4</v>
      </c>
      <c r="AY882" s="4" t="str">
        <f t="shared" si="460"/>
        <v>0</v>
      </c>
      <c r="AZ882" s="4">
        <f t="shared" si="461"/>
        <v>2</v>
      </c>
      <c r="BA882" s="4">
        <f t="shared" si="462"/>
        <v>4</v>
      </c>
      <c r="BB882" s="4">
        <f t="shared" si="463"/>
        <v>4</v>
      </c>
      <c r="BC882" s="4">
        <f t="shared" si="464"/>
        <v>4</v>
      </c>
      <c r="BD882" s="4">
        <f t="shared" si="465"/>
        <v>2</v>
      </c>
      <c r="BE882" s="4">
        <f t="shared" si="466"/>
        <v>4</v>
      </c>
      <c r="BF882" s="4">
        <f t="shared" si="467"/>
        <v>2</v>
      </c>
      <c r="BG882" s="4">
        <f t="shared" si="468"/>
        <v>4</v>
      </c>
      <c r="BH882" s="4">
        <f t="shared" si="469"/>
        <v>4</v>
      </c>
      <c r="BI882" s="4">
        <f t="shared" si="470"/>
        <v>4</v>
      </c>
      <c r="BJ882" s="4">
        <f t="shared" si="471"/>
        <v>2</v>
      </c>
      <c r="BK882" s="4">
        <f t="shared" si="472"/>
        <v>4</v>
      </c>
      <c r="BL882" s="4">
        <f t="shared" si="473"/>
        <v>2</v>
      </c>
      <c r="BM882" s="4">
        <f t="shared" si="474"/>
        <v>4</v>
      </c>
      <c r="BN882" s="4">
        <f t="shared" si="475"/>
        <v>4</v>
      </c>
      <c r="BO882" s="4">
        <f t="shared" si="476"/>
        <v>4</v>
      </c>
      <c r="BP882" s="4">
        <f t="shared" si="477"/>
        <v>4</v>
      </c>
      <c r="BQ882" s="4">
        <f t="shared" si="478"/>
        <v>6</v>
      </c>
      <c r="BR882" s="4">
        <f t="shared" si="479"/>
        <v>4</v>
      </c>
      <c r="BS882" s="4">
        <f t="shared" si="480"/>
        <v>4</v>
      </c>
      <c r="BT882" s="4">
        <f t="shared" si="481"/>
        <v>4</v>
      </c>
      <c r="BU882" s="4">
        <f t="shared" si="482"/>
        <v>4</v>
      </c>
      <c r="BV882" s="4" t="str">
        <f t="shared" si="483"/>
        <v>0</v>
      </c>
      <c r="BW882" s="4">
        <f t="shared" si="484"/>
        <v>6</v>
      </c>
      <c r="BX882" s="4">
        <f t="shared" si="485"/>
        <v>0</v>
      </c>
      <c r="BY882" s="4">
        <f t="shared" si="486"/>
        <v>0</v>
      </c>
      <c r="BZ882" s="37">
        <f t="shared" si="487"/>
        <v>96</v>
      </c>
      <c r="CA882" s="32" t="str">
        <f>VLOOKUP(J:J,'Agent wise'!A:C,3,0)</f>
        <v>Saran S</v>
      </c>
      <c r="CB882" s="32">
        <f t="shared" si="488"/>
        <v>45946</v>
      </c>
      <c r="CC882" t="str">
        <f t="shared" si="489"/>
        <v>Excellent</v>
      </c>
      <c r="CE882" s="32"/>
      <c r="CJ882">
        <f t="shared" si="490"/>
        <v>16</v>
      </c>
      <c r="CK882">
        <f t="shared" si="491"/>
        <v>10</v>
      </c>
      <c r="CL882">
        <f t="shared" si="492"/>
        <v>2025</v>
      </c>
    </row>
    <row r="883" spans="1:90" ht="15" customHeight="1" x14ac:dyDescent="0.35">
      <c r="A883" t="s">
        <v>2163</v>
      </c>
      <c r="B883" t="s">
        <v>100</v>
      </c>
      <c r="C883" t="s">
        <v>214</v>
      </c>
      <c r="D883" t="s">
        <v>101</v>
      </c>
      <c r="E883" s="32">
        <v>45946</v>
      </c>
      <c r="F883" t="s">
        <v>90</v>
      </c>
      <c r="G883" t="s">
        <v>1897</v>
      </c>
      <c r="H883">
        <v>9445933170</v>
      </c>
      <c r="I883">
        <v>160</v>
      </c>
      <c r="J883" t="s">
        <v>472</v>
      </c>
      <c r="K883" t="s">
        <v>71</v>
      </c>
      <c r="L883" t="s">
        <v>72</v>
      </c>
      <c r="M883" t="s">
        <v>59</v>
      </c>
      <c r="N883" t="s">
        <v>59</v>
      </c>
      <c r="O883" t="s">
        <v>60</v>
      </c>
      <c r="P883" t="s">
        <v>59</v>
      </c>
      <c r="Q883" t="s">
        <v>59</v>
      </c>
      <c r="R883" t="s">
        <v>59</v>
      </c>
      <c r="S883" t="s">
        <v>59</v>
      </c>
      <c r="T883" t="s">
        <v>59</v>
      </c>
      <c r="U883" t="s">
        <v>60</v>
      </c>
      <c r="V883" t="s">
        <v>59</v>
      </c>
      <c r="W883" t="s">
        <v>59</v>
      </c>
      <c r="X883" t="s">
        <v>59</v>
      </c>
      <c r="Y883" t="s">
        <v>59</v>
      </c>
      <c r="Z883" t="s">
        <v>59</v>
      </c>
      <c r="AA883" t="s">
        <v>59</v>
      </c>
      <c r="AB883" t="s">
        <v>59</v>
      </c>
      <c r="AC883" t="s">
        <v>59</v>
      </c>
      <c r="AD883" t="s">
        <v>59</v>
      </c>
      <c r="AE883" t="s">
        <v>59</v>
      </c>
      <c r="AF883" t="s">
        <v>59</v>
      </c>
      <c r="AG883" t="s">
        <v>59</v>
      </c>
      <c r="AH883" t="s">
        <v>61</v>
      </c>
      <c r="AI883" t="s">
        <v>61</v>
      </c>
      <c r="AJ883" t="s">
        <v>59</v>
      </c>
      <c r="AK883" t="s">
        <v>59</v>
      </c>
      <c r="AL883" t="s">
        <v>60</v>
      </c>
      <c r="AM883" t="s">
        <v>59</v>
      </c>
      <c r="AN883" t="s">
        <v>59</v>
      </c>
      <c r="AO883" t="s">
        <v>59</v>
      </c>
      <c r="AP883" t="s">
        <v>2164</v>
      </c>
      <c r="AQ883" t="s">
        <v>2164</v>
      </c>
      <c r="AR883" t="s">
        <v>64</v>
      </c>
      <c r="AS883" t="s">
        <v>94</v>
      </c>
      <c r="AT883" t="s">
        <v>95</v>
      </c>
      <c r="AU883" t="s">
        <v>299</v>
      </c>
      <c r="AW883" s="4">
        <f t="shared" si="458"/>
        <v>6</v>
      </c>
      <c r="AX883" s="4">
        <f t="shared" si="459"/>
        <v>4</v>
      </c>
      <c r="AY883" s="4" t="str">
        <f t="shared" si="460"/>
        <v>0</v>
      </c>
      <c r="AZ883" s="4">
        <f t="shared" si="461"/>
        <v>2</v>
      </c>
      <c r="BA883" s="4">
        <f t="shared" si="462"/>
        <v>4</v>
      </c>
      <c r="BB883" s="4">
        <f t="shared" si="463"/>
        <v>4</v>
      </c>
      <c r="BC883" s="4">
        <f t="shared" si="464"/>
        <v>4</v>
      </c>
      <c r="BD883" s="4">
        <f t="shared" si="465"/>
        <v>2</v>
      </c>
      <c r="BE883" s="4" t="str">
        <f t="shared" si="466"/>
        <v>0</v>
      </c>
      <c r="BF883" s="4">
        <f t="shared" si="467"/>
        <v>2</v>
      </c>
      <c r="BG883" s="4">
        <f t="shared" si="468"/>
        <v>4</v>
      </c>
      <c r="BH883" s="4">
        <f t="shared" si="469"/>
        <v>4</v>
      </c>
      <c r="BI883" s="4">
        <f t="shared" si="470"/>
        <v>4</v>
      </c>
      <c r="BJ883" s="4">
        <f t="shared" si="471"/>
        <v>2</v>
      </c>
      <c r="BK883" s="4">
        <f t="shared" si="472"/>
        <v>4</v>
      </c>
      <c r="BL883" s="4">
        <f t="shared" si="473"/>
        <v>2</v>
      </c>
      <c r="BM883" s="4">
        <f t="shared" si="474"/>
        <v>4</v>
      </c>
      <c r="BN883" s="4">
        <f t="shared" si="475"/>
        <v>4</v>
      </c>
      <c r="BO883" s="4">
        <f t="shared" si="476"/>
        <v>4</v>
      </c>
      <c r="BP883" s="4">
        <f t="shared" si="477"/>
        <v>4</v>
      </c>
      <c r="BQ883" s="4">
        <f t="shared" si="478"/>
        <v>6</v>
      </c>
      <c r="BR883" s="4">
        <f t="shared" si="479"/>
        <v>4</v>
      </c>
      <c r="BS883" s="4">
        <f t="shared" si="480"/>
        <v>4</v>
      </c>
      <c r="BT883" s="4">
        <f t="shared" si="481"/>
        <v>4</v>
      </c>
      <c r="BU883" s="4">
        <f t="shared" si="482"/>
        <v>4</v>
      </c>
      <c r="BV883" s="4" t="str">
        <f t="shared" si="483"/>
        <v>0</v>
      </c>
      <c r="BW883" s="4">
        <f t="shared" si="484"/>
        <v>6</v>
      </c>
      <c r="BX883" s="4">
        <f t="shared" si="485"/>
        <v>0</v>
      </c>
      <c r="BY883" s="4">
        <f t="shared" si="486"/>
        <v>0</v>
      </c>
      <c r="BZ883" s="37">
        <f t="shared" si="487"/>
        <v>92</v>
      </c>
      <c r="CA883" s="32" t="str">
        <f>VLOOKUP(J:J,'Agent wise'!A:C,3,0)</f>
        <v>Saran S</v>
      </c>
      <c r="CB883" s="32">
        <f t="shared" si="488"/>
        <v>45946</v>
      </c>
      <c r="CC883" t="str">
        <f t="shared" si="489"/>
        <v>Good</v>
      </c>
      <c r="CE883" s="32"/>
      <c r="CJ883">
        <f t="shared" si="490"/>
        <v>16</v>
      </c>
      <c r="CK883">
        <f t="shared" si="491"/>
        <v>10</v>
      </c>
      <c r="CL883">
        <f t="shared" si="492"/>
        <v>2025</v>
      </c>
    </row>
    <row r="884" spans="1:90" ht="15" customHeight="1" x14ac:dyDescent="0.35">
      <c r="A884" t="s">
        <v>2165</v>
      </c>
      <c r="B884" t="s">
        <v>100</v>
      </c>
      <c r="C884" t="s">
        <v>214</v>
      </c>
      <c r="D884" t="s">
        <v>101</v>
      </c>
      <c r="E884" s="32">
        <v>45946</v>
      </c>
      <c r="F884" t="s">
        <v>90</v>
      </c>
      <c r="G884" t="s">
        <v>1897</v>
      </c>
      <c r="H884">
        <v>9385998079</v>
      </c>
      <c r="I884">
        <v>144</v>
      </c>
      <c r="J884" t="s">
        <v>490</v>
      </c>
      <c r="K884" t="s">
        <v>71</v>
      </c>
      <c r="L884" t="s">
        <v>72</v>
      </c>
      <c r="M884" t="s">
        <v>59</v>
      </c>
      <c r="N884" t="s">
        <v>59</v>
      </c>
      <c r="O884" t="s">
        <v>60</v>
      </c>
      <c r="P884" t="s">
        <v>59</v>
      </c>
      <c r="Q884" t="s">
        <v>59</v>
      </c>
      <c r="R884" t="s">
        <v>59</v>
      </c>
      <c r="S884" t="s">
        <v>59</v>
      </c>
      <c r="T884" t="s">
        <v>59</v>
      </c>
      <c r="U884" t="s">
        <v>60</v>
      </c>
      <c r="V884" t="s">
        <v>59</v>
      </c>
      <c r="W884" t="s">
        <v>59</v>
      </c>
      <c r="X884" t="s">
        <v>59</v>
      </c>
      <c r="Y884" t="s">
        <v>59</v>
      </c>
      <c r="Z884" t="s">
        <v>59</v>
      </c>
      <c r="AA884" t="s">
        <v>59</v>
      </c>
      <c r="AB884" t="s">
        <v>59</v>
      </c>
      <c r="AC884" t="s">
        <v>59</v>
      </c>
      <c r="AD884" t="s">
        <v>59</v>
      </c>
      <c r="AE884" t="s">
        <v>59</v>
      </c>
      <c r="AF884" t="s">
        <v>59</v>
      </c>
      <c r="AG884" t="s">
        <v>59</v>
      </c>
      <c r="AH884" t="s">
        <v>61</v>
      </c>
      <c r="AI884" t="s">
        <v>61</v>
      </c>
      <c r="AJ884" t="s">
        <v>59</v>
      </c>
      <c r="AK884" t="s">
        <v>61</v>
      </c>
      <c r="AL884" t="s">
        <v>60</v>
      </c>
      <c r="AM884" t="s">
        <v>59</v>
      </c>
      <c r="AN884" t="s">
        <v>59</v>
      </c>
      <c r="AO884" t="s">
        <v>59</v>
      </c>
      <c r="AP884" t="s">
        <v>2166</v>
      </c>
      <c r="AQ884" t="s">
        <v>2166</v>
      </c>
      <c r="AR884" t="s">
        <v>64</v>
      </c>
      <c r="AS884" t="s">
        <v>94</v>
      </c>
      <c r="AT884" t="s">
        <v>95</v>
      </c>
      <c r="AU884" t="s">
        <v>299</v>
      </c>
      <c r="AW884" s="4">
        <f t="shared" si="458"/>
        <v>6</v>
      </c>
      <c r="AX884" s="4">
        <f t="shared" si="459"/>
        <v>4</v>
      </c>
      <c r="AY884" s="4" t="str">
        <f t="shared" si="460"/>
        <v>0</v>
      </c>
      <c r="AZ884" s="4">
        <f t="shared" si="461"/>
        <v>2</v>
      </c>
      <c r="BA884" s="4">
        <f t="shared" si="462"/>
        <v>4</v>
      </c>
      <c r="BB884" s="4">
        <f t="shared" si="463"/>
        <v>4</v>
      </c>
      <c r="BC884" s="4">
        <f t="shared" si="464"/>
        <v>4</v>
      </c>
      <c r="BD884" s="4">
        <f t="shared" si="465"/>
        <v>2</v>
      </c>
      <c r="BE884" s="4" t="str">
        <f t="shared" si="466"/>
        <v>0</v>
      </c>
      <c r="BF884" s="4">
        <f t="shared" si="467"/>
        <v>2</v>
      </c>
      <c r="BG884" s="4">
        <f t="shared" si="468"/>
        <v>4</v>
      </c>
      <c r="BH884" s="4">
        <f t="shared" si="469"/>
        <v>4</v>
      </c>
      <c r="BI884" s="4">
        <f t="shared" si="470"/>
        <v>4</v>
      </c>
      <c r="BJ884" s="4">
        <f t="shared" si="471"/>
        <v>2</v>
      </c>
      <c r="BK884" s="4">
        <f t="shared" si="472"/>
        <v>4</v>
      </c>
      <c r="BL884" s="4">
        <f t="shared" si="473"/>
        <v>2</v>
      </c>
      <c r="BM884" s="4">
        <f t="shared" si="474"/>
        <v>4</v>
      </c>
      <c r="BN884" s="4">
        <f t="shared" si="475"/>
        <v>4</v>
      </c>
      <c r="BO884" s="4">
        <f t="shared" si="476"/>
        <v>4</v>
      </c>
      <c r="BP884" s="4">
        <f t="shared" si="477"/>
        <v>4</v>
      </c>
      <c r="BQ884" s="4">
        <f t="shared" si="478"/>
        <v>6</v>
      </c>
      <c r="BR884" s="4">
        <f t="shared" si="479"/>
        <v>4</v>
      </c>
      <c r="BS884" s="4">
        <f t="shared" si="480"/>
        <v>4</v>
      </c>
      <c r="BT884" s="4">
        <f t="shared" si="481"/>
        <v>4</v>
      </c>
      <c r="BU884" s="4">
        <f t="shared" si="482"/>
        <v>4</v>
      </c>
      <c r="BV884" s="4" t="str">
        <f t="shared" si="483"/>
        <v>0</v>
      </c>
      <c r="BW884" s="4">
        <f t="shared" si="484"/>
        <v>6</v>
      </c>
      <c r="BX884" s="4">
        <f t="shared" si="485"/>
        <v>0</v>
      </c>
      <c r="BY884" s="4">
        <f t="shared" si="486"/>
        <v>0</v>
      </c>
      <c r="BZ884" s="37">
        <f t="shared" si="487"/>
        <v>92</v>
      </c>
      <c r="CA884" s="32" t="str">
        <f>VLOOKUP(J:J,'Agent wise'!A:C,3,0)</f>
        <v>Saran S</v>
      </c>
      <c r="CB884" s="32">
        <f t="shared" si="488"/>
        <v>45946</v>
      </c>
      <c r="CC884" t="str">
        <f t="shared" si="489"/>
        <v>Good</v>
      </c>
      <c r="CE884" s="32"/>
      <c r="CJ884">
        <f t="shared" si="490"/>
        <v>16</v>
      </c>
      <c r="CK884">
        <f t="shared" si="491"/>
        <v>10</v>
      </c>
      <c r="CL884">
        <f t="shared" si="492"/>
        <v>2025</v>
      </c>
    </row>
    <row r="885" spans="1:90" ht="15" customHeight="1" x14ac:dyDescent="0.35">
      <c r="A885" t="s">
        <v>2167</v>
      </c>
      <c r="B885" t="s">
        <v>100</v>
      </c>
      <c r="C885" t="s">
        <v>214</v>
      </c>
      <c r="D885" t="s">
        <v>101</v>
      </c>
      <c r="E885" s="32">
        <v>45946</v>
      </c>
      <c r="F885" t="s">
        <v>90</v>
      </c>
      <c r="G885" t="s">
        <v>1897</v>
      </c>
      <c r="H885">
        <v>7358291388</v>
      </c>
      <c r="I885">
        <v>136</v>
      </c>
      <c r="J885" t="s">
        <v>490</v>
      </c>
      <c r="K885" t="s">
        <v>71</v>
      </c>
      <c r="L885" t="s">
        <v>72</v>
      </c>
      <c r="M885" t="s">
        <v>59</v>
      </c>
      <c r="N885" t="s">
        <v>59</v>
      </c>
      <c r="O885" t="s">
        <v>60</v>
      </c>
      <c r="P885" t="s">
        <v>59</v>
      </c>
      <c r="Q885" t="s">
        <v>59</v>
      </c>
      <c r="R885" t="s">
        <v>59</v>
      </c>
      <c r="S885" t="s">
        <v>59</v>
      </c>
      <c r="T885" t="s">
        <v>59</v>
      </c>
      <c r="U885" t="s">
        <v>60</v>
      </c>
      <c r="V885" t="s">
        <v>59</v>
      </c>
      <c r="W885" t="s">
        <v>59</v>
      </c>
      <c r="X885" t="s">
        <v>59</v>
      </c>
      <c r="Y885" t="s">
        <v>59</v>
      </c>
      <c r="Z885" t="s">
        <v>59</v>
      </c>
      <c r="AA885" t="s">
        <v>60</v>
      </c>
      <c r="AB885" t="s">
        <v>59</v>
      </c>
      <c r="AC885" t="s">
        <v>59</v>
      </c>
      <c r="AD885" t="s">
        <v>59</v>
      </c>
      <c r="AE885" t="s">
        <v>59</v>
      </c>
      <c r="AF885" t="s">
        <v>61</v>
      </c>
      <c r="AG885" t="s">
        <v>59</v>
      </c>
      <c r="AH885" t="s">
        <v>61</v>
      </c>
      <c r="AI885" t="s">
        <v>61</v>
      </c>
      <c r="AJ885" t="s">
        <v>59</v>
      </c>
      <c r="AK885" t="s">
        <v>59</v>
      </c>
      <c r="AL885" t="s">
        <v>60</v>
      </c>
      <c r="AM885" t="s">
        <v>59</v>
      </c>
      <c r="AN885" t="s">
        <v>59</v>
      </c>
      <c r="AO885" t="s">
        <v>59</v>
      </c>
      <c r="AP885" t="s">
        <v>2168</v>
      </c>
      <c r="AQ885" t="s">
        <v>2168</v>
      </c>
      <c r="AR885" t="s">
        <v>64</v>
      </c>
      <c r="AS885" t="s">
        <v>94</v>
      </c>
      <c r="AT885" t="s">
        <v>95</v>
      </c>
      <c r="AU885" t="s">
        <v>299</v>
      </c>
      <c r="AW885" s="4">
        <f t="shared" si="458"/>
        <v>6</v>
      </c>
      <c r="AX885" s="4">
        <f t="shared" si="459"/>
        <v>4</v>
      </c>
      <c r="AY885" s="4" t="str">
        <f t="shared" si="460"/>
        <v>0</v>
      </c>
      <c r="AZ885" s="4">
        <f t="shared" si="461"/>
        <v>2</v>
      </c>
      <c r="BA885" s="4">
        <f t="shared" si="462"/>
        <v>4</v>
      </c>
      <c r="BB885" s="4">
        <f t="shared" si="463"/>
        <v>4</v>
      </c>
      <c r="BC885" s="4">
        <f t="shared" si="464"/>
        <v>4</v>
      </c>
      <c r="BD885" s="4">
        <f t="shared" si="465"/>
        <v>2</v>
      </c>
      <c r="BE885" s="4" t="str">
        <f t="shared" si="466"/>
        <v>0</v>
      </c>
      <c r="BF885" s="4">
        <f t="shared" si="467"/>
        <v>2</v>
      </c>
      <c r="BG885" s="4">
        <f t="shared" si="468"/>
        <v>4</v>
      </c>
      <c r="BH885" s="4">
        <f t="shared" si="469"/>
        <v>4</v>
      </c>
      <c r="BI885" s="4">
        <f t="shared" si="470"/>
        <v>4</v>
      </c>
      <c r="BJ885" s="4">
        <f t="shared" si="471"/>
        <v>2</v>
      </c>
      <c r="BK885" s="4" t="str">
        <f t="shared" si="472"/>
        <v>0</v>
      </c>
      <c r="BL885" s="4">
        <f t="shared" si="473"/>
        <v>2</v>
      </c>
      <c r="BM885" s="4">
        <f t="shared" si="474"/>
        <v>4</v>
      </c>
      <c r="BN885" s="4">
        <f t="shared" si="475"/>
        <v>4</v>
      </c>
      <c r="BO885" s="4">
        <f t="shared" si="476"/>
        <v>4</v>
      </c>
      <c r="BP885" s="4">
        <f t="shared" si="477"/>
        <v>4</v>
      </c>
      <c r="BQ885" s="4">
        <f t="shared" si="478"/>
        <v>6</v>
      </c>
      <c r="BR885" s="4">
        <f t="shared" si="479"/>
        <v>4</v>
      </c>
      <c r="BS885" s="4">
        <f t="shared" si="480"/>
        <v>4</v>
      </c>
      <c r="BT885" s="4">
        <f t="shared" si="481"/>
        <v>4</v>
      </c>
      <c r="BU885" s="4">
        <f t="shared" si="482"/>
        <v>4</v>
      </c>
      <c r="BV885" s="4" t="str">
        <f t="shared" si="483"/>
        <v>0</v>
      </c>
      <c r="BW885" s="4">
        <f t="shared" si="484"/>
        <v>6</v>
      </c>
      <c r="BX885" s="4">
        <f t="shared" si="485"/>
        <v>0</v>
      </c>
      <c r="BY885" s="4">
        <f t="shared" si="486"/>
        <v>0</v>
      </c>
      <c r="BZ885" s="37">
        <f t="shared" si="487"/>
        <v>88</v>
      </c>
      <c r="CA885" s="32" t="str">
        <f>VLOOKUP(J:J,'Agent wise'!A:C,3,0)</f>
        <v>Saran S</v>
      </c>
      <c r="CB885" s="32">
        <f t="shared" si="488"/>
        <v>45946</v>
      </c>
      <c r="CC885" t="str">
        <f t="shared" si="489"/>
        <v>Average</v>
      </c>
      <c r="CE885" s="32"/>
      <c r="CJ885">
        <f t="shared" si="490"/>
        <v>16</v>
      </c>
      <c r="CK885">
        <f t="shared" si="491"/>
        <v>10</v>
      </c>
      <c r="CL885">
        <f t="shared" si="492"/>
        <v>2025</v>
      </c>
    </row>
    <row r="886" spans="1:90" ht="15" customHeight="1" x14ac:dyDescent="0.35">
      <c r="A886" t="s">
        <v>2169</v>
      </c>
      <c r="B886" t="s">
        <v>177</v>
      </c>
      <c r="C886" t="s">
        <v>214</v>
      </c>
      <c r="D886" t="s">
        <v>178</v>
      </c>
      <c r="E886" s="32">
        <v>45945</v>
      </c>
      <c r="F886" t="s">
        <v>54</v>
      </c>
      <c r="G886" t="s">
        <v>1749</v>
      </c>
      <c r="H886">
        <v>9487446744</v>
      </c>
      <c r="I886">
        <v>133</v>
      </c>
      <c r="J886" t="s">
        <v>302</v>
      </c>
      <c r="K886" t="s">
        <v>71</v>
      </c>
      <c r="L886" t="s">
        <v>72</v>
      </c>
      <c r="M886" t="s">
        <v>59</v>
      </c>
      <c r="N886" t="s">
        <v>59</v>
      </c>
      <c r="O886" t="s">
        <v>59</v>
      </c>
      <c r="P886" t="s">
        <v>59</v>
      </c>
      <c r="Q886" t="s">
        <v>59</v>
      </c>
      <c r="R886" t="s">
        <v>59</v>
      </c>
      <c r="S886" t="s">
        <v>59</v>
      </c>
      <c r="T886" t="s">
        <v>59</v>
      </c>
      <c r="U886" t="s">
        <v>59</v>
      </c>
      <c r="V886" t="s">
        <v>59</v>
      </c>
      <c r="W886" t="s">
        <v>59</v>
      </c>
      <c r="X886" t="s">
        <v>59</v>
      </c>
      <c r="Y886" t="s">
        <v>60</v>
      </c>
      <c r="Z886" t="s">
        <v>60</v>
      </c>
      <c r="AA886" t="s">
        <v>59</v>
      </c>
      <c r="AB886" t="s">
        <v>59</v>
      </c>
      <c r="AC886" t="s">
        <v>61</v>
      </c>
      <c r="AD886" t="s">
        <v>59</v>
      </c>
      <c r="AE886" t="s">
        <v>60</v>
      </c>
      <c r="AF886" t="s">
        <v>59</v>
      </c>
      <c r="AG886" t="s">
        <v>60</v>
      </c>
      <c r="AH886" t="s">
        <v>61</v>
      </c>
      <c r="AI886" t="s">
        <v>61</v>
      </c>
      <c r="AJ886" t="s">
        <v>59</v>
      </c>
      <c r="AK886" t="s">
        <v>59</v>
      </c>
      <c r="AL886" t="s">
        <v>60</v>
      </c>
      <c r="AM886" t="s">
        <v>59</v>
      </c>
      <c r="AN886" t="s">
        <v>59</v>
      </c>
      <c r="AO886" t="s">
        <v>59</v>
      </c>
      <c r="AP886" t="s">
        <v>2170</v>
      </c>
      <c r="AQ886" t="s">
        <v>2171</v>
      </c>
      <c r="AR886" t="s">
        <v>64</v>
      </c>
      <c r="AS886" t="s">
        <v>175</v>
      </c>
      <c r="AT886" t="s">
        <v>1095</v>
      </c>
      <c r="AU886" t="s">
        <v>593</v>
      </c>
      <c r="AW886" s="4">
        <f t="shared" si="458"/>
        <v>6</v>
      </c>
      <c r="AX886" s="4">
        <f t="shared" si="459"/>
        <v>4</v>
      </c>
      <c r="AY886" s="4">
        <f t="shared" si="460"/>
        <v>4</v>
      </c>
      <c r="AZ886" s="4">
        <f t="shared" si="461"/>
        <v>2</v>
      </c>
      <c r="BA886" s="4">
        <f t="shared" si="462"/>
        <v>4</v>
      </c>
      <c r="BB886" s="4">
        <f t="shared" si="463"/>
        <v>4</v>
      </c>
      <c r="BC886" s="4">
        <f t="shared" si="464"/>
        <v>4</v>
      </c>
      <c r="BD886" s="4">
        <f t="shared" si="465"/>
        <v>2</v>
      </c>
      <c r="BE886" s="4">
        <f t="shared" si="466"/>
        <v>4</v>
      </c>
      <c r="BF886" s="4">
        <f t="shared" si="467"/>
        <v>2</v>
      </c>
      <c r="BG886" s="4">
        <f t="shared" si="468"/>
        <v>4</v>
      </c>
      <c r="BH886" s="4">
        <f t="shared" si="469"/>
        <v>4</v>
      </c>
      <c r="BI886" s="4" t="str">
        <f t="shared" si="470"/>
        <v>0</v>
      </c>
      <c r="BJ886" s="4" t="str">
        <f t="shared" si="471"/>
        <v>0</v>
      </c>
      <c r="BK886" s="4">
        <f t="shared" si="472"/>
        <v>4</v>
      </c>
      <c r="BL886" s="4">
        <f t="shared" si="473"/>
        <v>2</v>
      </c>
      <c r="BM886" s="4">
        <f t="shared" si="474"/>
        <v>4</v>
      </c>
      <c r="BN886" s="4">
        <f t="shared" si="475"/>
        <v>4</v>
      </c>
      <c r="BO886" s="4" t="str">
        <f t="shared" si="476"/>
        <v>0</v>
      </c>
      <c r="BP886" s="4">
        <f t="shared" si="477"/>
        <v>4</v>
      </c>
      <c r="BQ886" s="4" t="str">
        <f t="shared" si="478"/>
        <v>0</v>
      </c>
      <c r="BR886" s="4">
        <f t="shared" si="479"/>
        <v>4</v>
      </c>
      <c r="BS886" s="4">
        <f t="shared" si="480"/>
        <v>4</v>
      </c>
      <c r="BT886" s="4">
        <f t="shared" si="481"/>
        <v>4</v>
      </c>
      <c r="BU886" s="4">
        <f t="shared" si="482"/>
        <v>4</v>
      </c>
      <c r="BV886" s="4" t="str">
        <f t="shared" si="483"/>
        <v>0</v>
      </c>
      <c r="BW886" s="4">
        <f t="shared" si="484"/>
        <v>6</v>
      </c>
      <c r="BX886" s="4">
        <f t="shared" si="485"/>
        <v>0</v>
      </c>
      <c r="BY886" s="4">
        <f t="shared" si="486"/>
        <v>0</v>
      </c>
      <c r="BZ886" s="37">
        <f t="shared" si="487"/>
        <v>84</v>
      </c>
      <c r="CA886" s="32" t="str">
        <f>VLOOKUP(J:J,'Agent wise'!A:C,3,0)</f>
        <v>Shakeer</v>
      </c>
      <c r="CB886" s="32">
        <f t="shared" si="488"/>
        <v>45945</v>
      </c>
      <c r="CC886" t="str">
        <f t="shared" si="489"/>
        <v>FC</v>
      </c>
      <c r="CE886" s="32"/>
      <c r="CJ886">
        <f t="shared" si="490"/>
        <v>15</v>
      </c>
      <c r="CK886">
        <f t="shared" si="491"/>
        <v>10</v>
      </c>
      <c r="CL886">
        <f t="shared" si="492"/>
        <v>2025</v>
      </c>
    </row>
    <row r="887" spans="1:90" ht="15" customHeight="1" x14ac:dyDescent="0.35">
      <c r="A887" t="s">
        <v>2172</v>
      </c>
      <c r="B887" t="s">
        <v>51</v>
      </c>
      <c r="C887" t="s">
        <v>214</v>
      </c>
      <c r="D887" t="s">
        <v>53</v>
      </c>
      <c r="E887" s="32">
        <v>45946</v>
      </c>
      <c r="F887" t="s">
        <v>54</v>
      </c>
      <c r="G887" t="s">
        <v>1897</v>
      </c>
      <c r="H887">
        <v>9447714925</v>
      </c>
      <c r="I887">
        <v>258</v>
      </c>
      <c r="J887" t="s">
        <v>154</v>
      </c>
      <c r="K887" t="s">
        <v>57</v>
      </c>
      <c r="L887" t="s">
        <v>58</v>
      </c>
      <c r="M887" t="s">
        <v>60</v>
      </c>
      <c r="N887" t="s">
        <v>59</v>
      </c>
      <c r="O887" t="s">
        <v>59</v>
      </c>
      <c r="P887" t="s">
        <v>59</v>
      </c>
      <c r="Q887" t="s">
        <v>59</v>
      </c>
      <c r="R887" t="s">
        <v>60</v>
      </c>
      <c r="S887" t="s">
        <v>59</v>
      </c>
      <c r="T887" t="s">
        <v>59</v>
      </c>
      <c r="U887" t="s">
        <v>60</v>
      </c>
      <c r="V887" t="s">
        <v>59</v>
      </c>
      <c r="W887" t="s">
        <v>59</v>
      </c>
      <c r="X887" t="s">
        <v>59</v>
      </c>
      <c r="Y887" t="s">
        <v>59</v>
      </c>
      <c r="Z887" t="s">
        <v>59</v>
      </c>
      <c r="AA887" t="s">
        <v>59</v>
      </c>
      <c r="AB887" t="s">
        <v>60</v>
      </c>
      <c r="AC887" t="s">
        <v>60</v>
      </c>
      <c r="AD887" t="s">
        <v>59</v>
      </c>
      <c r="AE887" t="s">
        <v>59</v>
      </c>
      <c r="AF887" t="s">
        <v>61</v>
      </c>
      <c r="AG887" t="s">
        <v>59</v>
      </c>
      <c r="AH887" t="s">
        <v>61</v>
      </c>
      <c r="AI887" t="s">
        <v>60</v>
      </c>
      <c r="AJ887" t="s">
        <v>59</v>
      </c>
      <c r="AK887" t="s">
        <v>61</v>
      </c>
      <c r="AL887" t="s">
        <v>60</v>
      </c>
      <c r="AM887" t="s">
        <v>59</v>
      </c>
      <c r="AN887" t="s">
        <v>59</v>
      </c>
      <c r="AO887" t="s">
        <v>59</v>
      </c>
      <c r="AP887" t="s">
        <v>2173</v>
      </c>
      <c r="AQ887" t="s">
        <v>77</v>
      </c>
      <c r="AR887" t="s">
        <v>64</v>
      </c>
      <c r="AS887" t="s">
        <v>78</v>
      </c>
      <c r="AT887" t="s">
        <v>66</v>
      </c>
      <c r="AU887" t="s">
        <v>299</v>
      </c>
      <c r="AW887" s="4" t="str">
        <f t="shared" si="458"/>
        <v>0</v>
      </c>
      <c r="AX887" s="4">
        <f t="shared" si="459"/>
        <v>4</v>
      </c>
      <c r="AY887" s="4">
        <f t="shared" si="460"/>
        <v>4</v>
      </c>
      <c r="AZ887" s="4">
        <f t="shared" si="461"/>
        <v>2</v>
      </c>
      <c r="BA887" s="4">
        <f t="shared" si="462"/>
        <v>4</v>
      </c>
      <c r="BB887" s="4" t="str">
        <f t="shared" si="463"/>
        <v>0</v>
      </c>
      <c r="BC887" s="4">
        <f t="shared" si="464"/>
        <v>4</v>
      </c>
      <c r="BD887" s="4">
        <f t="shared" si="465"/>
        <v>2</v>
      </c>
      <c r="BE887" s="4" t="str">
        <f t="shared" si="466"/>
        <v>0</v>
      </c>
      <c r="BF887" s="4">
        <f t="shared" si="467"/>
        <v>2</v>
      </c>
      <c r="BG887" s="4">
        <f t="shared" si="468"/>
        <v>4</v>
      </c>
      <c r="BH887" s="4">
        <f t="shared" si="469"/>
        <v>4</v>
      </c>
      <c r="BI887" s="4">
        <f t="shared" si="470"/>
        <v>4</v>
      </c>
      <c r="BJ887" s="4">
        <f t="shared" si="471"/>
        <v>2</v>
      </c>
      <c r="BK887" s="4">
        <f t="shared" si="472"/>
        <v>4</v>
      </c>
      <c r="BL887" s="4" t="str">
        <f t="shared" si="473"/>
        <v>0</v>
      </c>
      <c r="BM887" s="4" t="str">
        <f t="shared" si="474"/>
        <v>0</v>
      </c>
      <c r="BN887" s="4">
        <f t="shared" si="475"/>
        <v>4</v>
      </c>
      <c r="BO887" s="4">
        <f t="shared" si="476"/>
        <v>4</v>
      </c>
      <c r="BP887" s="4">
        <f t="shared" si="477"/>
        <v>4</v>
      </c>
      <c r="BQ887" s="4">
        <f t="shared" si="478"/>
        <v>6</v>
      </c>
      <c r="BR887" s="4">
        <f t="shared" si="479"/>
        <v>4</v>
      </c>
      <c r="BS887" s="4" t="str">
        <f t="shared" si="480"/>
        <v>0</v>
      </c>
      <c r="BT887" s="4">
        <f t="shared" si="481"/>
        <v>4</v>
      </c>
      <c r="BU887" s="4">
        <f t="shared" si="482"/>
        <v>4</v>
      </c>
      <c r="BV887" s="4" t="str">
        <f t="shared" si="483"/>
        <v>0</v>
      </c>
      <c r="BW887" s="4">
        <f t="shared" si="484"/>
        <v>6</v>
      </c>
      <c r="BX887" s="4">
        <f t="shared" si="485"/>
        <v>0</v>
      </c>
      <c r="BY887" s="4">
        <f t="shared" si="486"/>
        <v>0</v>
      </c>
      <c r="BZ887" s="37">
        <f t="shared" si="487"/>
        <v>76</v>
      </c>
      <c r="CA887" s="32" t="str">
        <f>VLOOKUP(J:J,'Agent wise'!A:C,3,0)</f>
        <v>Shakeer</v>
      </c>
      <c r="CB887" s="32">
        <f t="shared" si="488"/>
        <v>45946</v>
      </c>
      <c r="CC887" t="str">
        <f t="shared" si="489"/>
        <v>FC</v>
      </c>
      <c r="CE887" s="32"/>
      <c r="CJ887">
        <f t="shared" si="490"/>
        <v>16</v>
      </c>
      <c r="CK887">
        <f t="shared" si="491"/>
        <v>10</v>
      </c>
      <c r="CL887">
        <f t="shared" si="492"/>
        <v>2025</v>
      </c>
    </row>
    <row r="888" spans="1:90" ht="15" customHeight="1" x14ac:dyDescent="0.35">
      <c r="A888" t="s">
        <v>2174</v>
      </c>
      <c r="B888" t="s">
        <v>100</v>
      </c>
      <c r="C888" t="s">
        <v>214</v>
      </c>
      <c r="D888" t="s">
        <v>101</v>
      </c>
      <c r="E888" s="32">
        <v>45946</v>
      </c>
      <c r="F888" t="s">
        <v>90</v>
      </c>
      <c r="G888" t="s">
        <v>1897</v>
      </c>
      <c r="H888">
        <v>9445220929</v>
      </c>
      <c r="I888">
        <v>170</v>
      </c>
      <c r="J888" t="s">
        <v>533</v>
      </c>
      <c r="K888" t="s">
        <v>71</v>
      </c>
      <c r="L888" t="s">
        <v>72</v>
      </c>
      <c r="M888" t="s">
        <v>59</v>
      </c>
      <c r="N888" t="s">
        <v>59</v>
      </c>
      <c r="O888" t="s">
        <v>60</v>
      </c>
      <c r="P888" t="s">
        <v>59</v>
      </c>
      <c r="Q888" t="s">
        <v>59</v>
      </c>
      <c r="R888" t="s">
        <v>59</v>
      </c>
      <c r="S888" t="s">
        <v>59</v>
      </c>
      <c r="T888" t="s">
        <v>59</v>
      </c>
      <c r="U888" t="s">
        <v>59</v>
      </c>
      <c r="V888" t="s">
        <v>59</v>
      </c>
      <c r="W888" t="s">
        <v>59</v>
      </c>
      <c r="X888" t="s">
        <v>59</v>
      </c>
      <c r="Y888" t="s">
        <v>59</v>
      </c>
      <c r="Z888" t="s">
        <v>59</v>
      </c>
      <c r="AA888" t="s">
        <v>59</v>
      </c>
      <c r="AB888" t="s">
        <v>59</v>
      </c>
      <c r="AC888" t="s">
        <v>59</v>
      </c>
      <c r="AD888" t="s">
        <v>60</v>
      </c>
      <c r="AE888" t="s">
        <v>59</v>
      </c>
      <c r="AF888" t="s">
        <v>61</v>
      </c>
      <c r="AG888" t="s">
        <v>59</v>
      </c>
      <c r="AH888" t="s">
        <v>61</v>
      </c>
      <c r="AI888" t="s">
        <v>61</v>
      </c>
      <c r="AJ888" t="s">
        <v>59</v>
      </c>
      <c r="AK888" t="s">
        <v>61</v>
      </c>
      <c r="AL888" t="s">
        <v>60</v>
      </c>
      <c r="AM888" t="s">
        <v>59</v>
      </c>
      <c r="AN888" t="s">
        <v>59</v>
      </c>
      <c r="AO888" t="s">
        <v>59</v>
      </c>
      <c r="AP888" t="s">
        <v>2175</v>
      </c>
      <c r="AQ888" t="s">
        <v>2175</v>
      </c>
      <c r="AR888" t="s">
        <v>64</v>
      </c>
      <c r="AS888" t="s">
        <v>210</v>
      </c>
      <c r="AT888" t="s">
        <v>1272</v>
      </c>
      <c r="AU888" t="s">
        <v>299</v>
      </c>
      <c r="AW888" s="4">
        <f t="shared" si="458"/>
        <v>6</v>
      </c>
      <c r="AX888" s="4">
        <f t="shared" si="459"/>
        <v>4</v>
      </c>
      <c r="AY888" s="4" t="str">
        <f t="shared" si="460"/>
        <v>0</v>
      </c>
      <c r="AZ888" s="4">
        <f t="shared" si="461"/>
        <v>2</v>
      </c>
      <c r="BA888" s="4">
        <f t="shared" si="462"/>
        <v>4</v>
      </c>
      <c r="BB888" s="4">
        <f t="shared" si="463"/>
        <v>4</v>
      </c>
      <c r="BC888" s="4">
        <f t="shared" si="464"/>
        <v>4</v>
      </c>
      <c r="BD888" s="4">
        <f t="shared" si="465"/>
        <v>2</v>
      </c>
      <c r="BE888" s="4">
        <f t="shared" si="466"/>
        <v>4</v>
      </c>
      <c r="BF888" s="4">
        <f t="shared" si="467"/>
        <v>2</v>
      </c>
      <c r="BG888" s="4">
        <f t="shared" si="468"/>
        <v>4</v>
      </c>
      <c r="BH888" s="4">
        <f t="shared" si="469"/>
        <v>4</v>
      </c>
      <c r="BI888" s="4">
        <f t="shared" si="470"/>
        <v>4</v>
      </c>
      <c r="BJ888" s="4">
        <f t="shared" si="471"/>
        <v>2</v>
      </c>
      <c r="BK888" s="4">
        <f t="shared" si="472"/>
        <v>4</v>
      </c>
      <c r="BL888" s="4">
        <f t="shared" si="473"/>
        <v>2</v>
      </c>
      <c r="BM888" s="4">
        <f t="shared" si="474"/>
        <v>4</v>
      </c>
      <c r="BN888" s="4" t="str">
        <f t="shared" si="475"/>
        <v>0</v>
      </c>
      <c r="BO888" s="4">
        <f t="shared" si="476"/>
        <v>4</v>
      </c>
      <c r="BP888" s="4">
        <f t="shared" si="477"/>
        <v>4</v>
      </c>
      <c r="BQ888" s="4">
        <f t="shared" si="478"/>
        <v>6</v>
      </c>
      <c r="BR888" s="4">
        <f t="shared" si="479"/>
        <v>4</v>
      </c>
      <c r="BS888" s="4">
        <f t="shared" si="480"/>
        <v>4</v>
      </c>
      <c r="BT888" s="4">
        <f t="shared" si="481"/>
        <v>4</v>
      </c>
      <c r="BU888" s="4">
        <f t="shared" si="482"/>
        <v>4</v>
      </c>
      <c r="BV888" s="4" t="str">
        <f t="shared" si="483"/>
        <v>0</v>
      </c>
      <c r="BW888" s="4">
        <f t="shared" si="484"/>
        <v>6</v>
      </c>
      <c r="BX888" s="4">
        <f t="shared" si="485"/>
        <v>0</v>
      </c>
      <c r="BY888" s="4">
        <f t="shared" si="486"/>
        <v>0</v>
      </c>
      <c r="BZ888" s="37">
        <f t="shared" si="487"/>
        <v>92</v>
      </c>
      <c r="CA888" s="32" t="str">
        <f>VLOOKUP(J:J,'Agent wise'!A:C,3,0)</f>
        <v xml:space="preserve">Shiny </v>
      </c>
      <c r="CB888" s="32">
        <f t="shared" si="488"/>
        <v>45946</v>
      </c>
      <c r="CC888" t="str">
        <f t="shared" si="489"/>
        <v>Good</v>
      </c>
      <c r="CE888" s="32"/>
      <c r="CJ888">
        <f t="shared" si="490"/>
        <v>16</v>
      </c>
      <c r="CK888">
        <f t="shared" si="491"/>
        <v>10</v>
      </c>
      <c r="CL888">
        <f t="shared" si="492"/>
        <v>2025</v>
      </c>
    </row>
    <row r="889" spans="1:90" ht="15" customHeight="1" x14ac:dyDescent="0.35">
      <c r="A889" t="s">
        <v>2176</v>
      </c>
      <c r="B889" t="s">
        <v>51</v>
      </c>
      <c r="C889" t="s">
        <v>214</v>
      </c>
      <c r="D889" t="s">
        <v>53</v>
      </c>
      <c r="E889" s="32">
        <v>45946</v>
      </c>
      <c r="F889" t="s">
        <v>54</v>
      </c>
      <c r="G889" t="s">
        <v>1897</v>
      </c>
      <c r="H889">
        <v>9544221685</v>
      </c>
      <c r="I889">
        <v>227</v>
      </c>
      <c r="J889" t="s">
        <v>589</v>
      </c>
      <c r="K889" t="s">
        <v>57</v>
      </c>
      <c r="L889" t="s">
        <v>58</v>
      </c>
      <c r="M889" t="s">
        <v>59</v>
      </c>
      <c r="N889" t="s">
        <v>59</v>
      </c>
      <c r="O889" t="s">
        <v>59</v>
      </c>
      <c r="P889" t="s">
        <v>59</v>
      </c>
      <c r="Q889" t="s">
        <v>59</v>
      </c>
      <c r="R889" t="s">
        <v>60</v>
      </c>
      <c r="S889" t="s">
        <v>59</v>
      </c>
      <c r="T889" t="s">
        <v>59</v>
      </c>
      <c r="U889" t="s">
        <v>59</v>
      </c>
      <c r="V889" t="s">
        <v>59</v>
      </c>
      <c r="W889" t="s">
        <v>59</v>
      </c>
      <c r="X889" t="s">
        <v>59</v>
      </c>
      <c r="Y889" t="s">
        <v>59</v>
      </c>
      <c r="Z889" t="s">
        <v>59</v>
      </c>
      <c r="AA889" t="s">
        <v>59</v>
      </c>
      <c r="AB889" t="s">
        <v>59</v>
      </c>
      <c r="AC889" t="s">
        <v>61</v>
      </c>
      <c r="AD889" t="s">
        <v>59</v>
      </c>
      <c r="AE889" t="s">
        <v>60</v>
      </c>
      <c r="AF889" t="s">
        <v>61</v>
      </c>
      <c r="AG889" t="s">
        <v>59</v>
      </c>
      <c r="AH889" t="s">
        <v>61</v>
      </c>
      <c r="AI889" t="s">
        <v>60</v>
      </c>
      <c r="AJ889" t="s">
        <v>59</v>
      </c>
      <c r="AK889" t="s">
        <v>61</v>
      </c>
      <c r="AL889" t="s">
        <v>60</v>
      </c>
      <c r="AM889" t="s">
        <v>59</v>
      </c>
      <c r="AN889" t="s">
        <v>59</v>
      </c>
      <c r="AO889" t="s">
        <v>59</v>
      </c>
      <c r="AP889" t="s">
        <v>2177</v>
      </c>
      <c r="AQ889" t="s">
        <v>506</v>
      </c>
      <c r="AR889" t="s">
        <v>64</v>
      </c>
      <c r="AS889" t="s">
        <v>65</v>
      </c>
      <c r="AT889" t="s">
        <v>66</v>
      </c>
      <c r="AU889" t="s">
        <v>448</v>
      </c>
      <c r="AW889" s="4">
        <f t="shared" si="458"/>
        <v>6</v>
      </c>
      <c r="AX889" s="4">
        <f t="shared" si="459"/>
        <v>4</v>
      </c>
      <c r="AY889" s="4">
        <f t="shared" si="460"/>
        <v>4</v>
      </c>
      <c r="AZ889" s="4">
        <f t="shared" si="461"/>
        <v>2</v>
      </c>
      <c r="BA889" s="4">
        <f t="shared" si="462"/>
        <v>4</v>
      </c>
      <c r="BB889" s="4" t="str">
        <f t="shared" si="463"/>
        <v>0</v>
      </c>
      <c r="BC889" s="4">
        <f t="shared" si="464"/>
        <v>4</v>
      </c>
      <c r="BD889" s="4">
        <f t="shared" si="465"/>
        <v>2</v>
      </c>
      <c r="BE889" s="4">
        <f t="shared" si="466"/>
        <v>4</v>
      </c>
      <c r="BF889" s="4">
        <f t="shared" si="467"/>
        <v>2</v>
      </c>
      <c r="BG889" s="4">
        <f t="shared" si="468"/>
        <v>4</v>
      </c>
      <c r="BH889" s="4">
        <f t="shared" si="469"/>
        <v>4</v>
      </c>
      <c r="BI889" s="4">
        <f t="shared" si="470"/>
        <v>4</v>
      </c>
      <c r="BJ889" s="4">
        <f t="shared" si="471"/>
        <v>2</v>
      </c>
      <c r="BK889" s="4">
        <f t="shared" si="472"/>
        <v>4</v>
      </c>
      <c r="BL889" s="4">
        <f t="shared" si="473"/>
        <v>2</v>
      </c>
      <c r="BM889" s="4">
        <f t="shared" si="474"/>
        <v>4</v>
      </c>
      <c r="BN889" s="4">
        <f t="shared" si="475"/>
        <v>4</v>
      </c>
      <c r="BO889" s="4" t="str">
        <f t="shared" si="476"/>
        <v>0</v>
      </c>
      <c r="BP889" s="4">
        <f t="shared" si="477"/>
        <v>4</v>
      </c>
      <c r="BQ889" s="4">
        <f t="shared" si="478"/>
        <v>6</v>
      </c>
      <c r="BR889" s="4">
        <f t="shared" si="479"/>
        <v>4</v>
      </c>
      <c r="BS889" s="4" t="str">
        <f t="shared" si="480"/>
        <v>0</v>
      </c>
      <c r="BT889" s="4">
        <f t="shared" si="481"/>
        <v>4</v>
      </c>
      <c r="BU889" s="4">
        <f t="shared" si="482"/>
        <v>4</v>
      </c>
      <c r="BV889" s="4" t="str">
        <f t="shared" si="483"/>
        <v>0</v>
      </c>
      <c r="BW889" s="4">
        <f t="shared" si="484"/>
        <v>6</v>
      </c>
      <c r="BX889" s="4">
        <f t="shared" si="485"/>
        <v>0</v>
      </c>
      <c r="BY889" s="4">
        <f t="shared" si="486"/>
        <v>0</v>
      </c>
      <c r="BZ889" s="37">
        <f t="shared" si="487"/>
        <v>88</v>
      </c>
      <c r="CA889" s="32" t="str">
        <f>VLOOKUP(J:J,'Agent wise'!A:C,3,0)</f>
        <v>Shakeer</v>
      </c>
      <c r="CB889" s="32">
        <f t="shared" si="488"/>
        <v>45946</v>
      </c>
      <c r="CC889" t="str">
        <f t="shared" si="489"/>
        <v>Average</v>
      </c>
      <c r="CE889" s="32"/>
      <c r="CJ889">
        <f t="shared" si="490"/>
        <v>16</v>
      </c>
      <c r="CK889">
        <f t="shared" si="491"/>
        <v>10</v>
      </c>
      <c r="CL889">
        <f t="shared" si="492"/>
        <v>2025</v>
      </c>
    </row>
    <row r="890" spans="1:90" ht="15" customHeight="1" x14ac:dyDescent="0.35">
      <c r="A890" t="s">
        <v>2178</v>
      </c>
      <c r="B890" t="s">
        <v>100</v>
      </c>
      <c r="C890" t="s">
        <v>214</v>
      </c>
      <c r="D890" t="s">
        <v>101</v>
      </c>
      <c r="E890" s="32">
        <v>45946</v>
      </c>
      <c r="F890" t="s">
        <v>90</v>
      </c>
      <c r="G890" t="s">
        <v>1897</v>
      </c>
      <c r="H890">
        <v>9487239938</v>
      </c>
      <c r="I890">
        <v>187</v>
      </c>
      <c r="J890" t="s">
        <v>533</v>
      </c>
      <c r="K890" t="s">
        <v>71</v>
      </c>
      <c r="L890" t="s">
        <v>72</v>
      </c>
      <c r="M890" t="s">
        <v>59</v>
      </c>
      <c r="N890" t="s">
        <v>59</v>
      </c>
      <c r="O890" t="s">
        <v>60</v>
      </c>
      <c r="P890" t="s">
        <v>59</v>
      </c>
      <c r="Q890" t="s">
        <v>59</v>
      </c>
      <c r="R890" t="s">
        <v>59</v>
      </c>
      <c r="S890" t="s">
        <v>59</v>
      </c>
      <c r="T890" t="s">
        <v>59</v>
      </c>
      <c r="U890" t="s">
        <v>60</v>
      </c>
      <c r="V890" t="s">
        <v>59</v>
      </c>
      <c r="W890" t="s">
        <v>59</v>
      </c>
      <c r="X890" t="s">
        <v>59</v>
      </c>
      <c r="Y890" t="s">
        <v>59</v>
      </c>
      <c r="Z890" t="s">
        <v>59</v>
      </c>
      <c r="AA890" t="s">
        <v>59</v>
      </c>
      <c r="AB890" t="s">
        <v>59</v>
      </c>
      <c r="AC890" t="s">
        <v>61</v>
      </c>
      <c r="AD890" t="s">
        <v>59</v>
      </c>
      <c r="AE890" t="s">
        <v>59</v>
      </c>
      <c r="AF890" t="s">
        <v>59</v>
      </c>
      <c r="AG890" t="s">
        <v>59</v>
      </c>
      <c r="AH890" t="s">
        <v>61</v>
      </c>
      <c r="AI890" t="s">
        <v>61</v>
      </c>
      <c r="AJ890" t="s">
        <v>59</v>
      </c>
      <c r="AK890" t="s">
        <v>59</v>
      </c>
      <c r="AL890" t="s">
        <v>60</v>
      </c>
      <c r="AM890" t="s">
        <v>59</v>
      </c>
      <c r="AN890" t="s">
        <v>59</v>
      </c>
      <c r="AO890" t="s">
        <v>59</v>
      </c>
      <c r="AP890" t="s">
        <v>2179</v>
      </c>
      <c r="AQ890" t="s">
        <v>2179</v>
      </c>
      <c r="AR890" t="s">
        <v>64</v>
      </c>
      <c r="AS890" t="s">
        <v>210</v>
      </c>
      <c r="AT890" t="s">
        <v>211</v>
      </c>
      <c r="AU890" t="s">
        <v>299</v>
      </c>
      <c r="AW890" s="4">
        <f t="shared" si="458"/>
        <v>6</v>
      </c>
      <c r="AX890" s="4">
        <f t="shared" si="459"/>
        <v>4</v>
      </c>
      <c r="AY890" s="4" t="str">
        <f t="shared" si="460"/>
        <v>0</v>
      </c>
      <c r="AZ890" s="4">
        <f t="shared" si="461"/>
        <v>2</v>
      </c>
      <c r="BA890" s="4">
        <f t="shared" si="462"/>
        <v>4</v>
      </c>
      <c r="BB890" s="4">
        <f t="shared" si="463"/>
        <v>4</v>
      </c>
      <c r="BC890" s="4">
        <f t="shared" si="464"/>
        <v>4</v>
      </c>
      <c r="BD890" s="4">
        <f t="shared" si="465"/>
        <v>2</v>
      </c>
      <c r="BE890" s="4" t="str">
        <f t="shared" si="466"/>
        <v>0</v>
      </c>
      <c r="BF890" s="4">
        <f t="shared" si="467"/>
        <v>2</v>
      </c>
      <c r="BG890" s="4">
        <f t="shared" si="468"/>
        <v>4</v>
      </c>
      <c r="BH890" s="4">
        <f t="shared" si="469"/>
        <v>4</v>
      </c>
      <c r="BI890" s="4">
        <f t="shared" si="470"/>
        <v>4</v>
      </c>
      <c r="BJ890" s="4">
        <f t="shared" si="471"/>
        <v>2</v>
      </c>
      <c r="BK890" s="4">
        <f t="shared" si="472"/>
        <v>4</v>
      </c>
      <c r="BL890" s="4">
        <f t="shared" si="473"/>
        <v>2</v>
      </c>
      <c r="BM890" s="4">
        <f t="shared" si="474"/>
        <v>4</v>
      </c>
      <c r="BN890" s="4">
        <f t="shared" si="475"/>
        <v>4</v>
      </c>
      <c r="BO890" s="4">
        <f t="shared" si="476"/>
        <v>4</v>
      </c>
      <c r="BP890" s="4">
        <f t="shared" si="477"/>
        <v>4</v>
      </c>
      <c r="BQ890" s="4">
        <f t="shared" si="478"/>
        <v>6</v>
      </c>
      <c r="BR890" s="4">
        <f t="shared" si="479"/>
        <v>4</v>
      </c>
      <c r="BS890" s="4">
        <f t="shared" si="480"/>
        <v>4</v>
      </c>
      <c r="BT890" s="4">
        <f t="shared" si="481"/>
        <v>4</v>
      </c>
      <c r="BU890" s="4">
        <f t="shared" si="482"/>
        <v>4</v>
      </c>
      <c r="BV890" s="4" t="str">
        <f t="shared" si="483"/>
        <v>0</v>
      </c>
      <c r="BW890" s="4">
        <f t="shared" si="484"/>
        <v>6</v>
      </c>
      <c r="BX890" s="4">
        <f t="shared" si="485"/>
        <v>0</v>
      </c>
      <c r="BY890" s="4">
        <f t="shared" si="486"/>
        <v>0</v>
      </c>
      <c r="BZ890" s="37">
        <f t="shared" si="487"/>
        <v>92</v>
      </c>
      <c r="CA890" s="32" t="str">
        <f>VLOOKUP(J:J,'Agent wise'!A:C,3,0)</f>
        <v xml:space="preserve">Shiny </v>
      </c>
      <c r="CB890" s="32">
        <f t="shared" si="488"/>
        <v>45946</v>
      </c>
      <c r="CC890" t="str">
        <f t="shared" si="489"/>
        <v>Good</v>
      </c>
      <c r="CE890" s="32"/>
      <c r="CJ890">
        <f t="shared" si="490"/>
        <v>16</v>
      </c>
      <c r="CK890">
        <f t="shared" si="491"/>
        <v>10</v>
      </c>
      <c r="CL890">
        <f t="shared" si="492"/>
        <v>2025</v>
      </c>
    </row>
    <row r="891" spans="1:90" ht="15" customHeight="1" x14ac:dyDescent="0.35">
      <c r="A891" t="s">
        <v>2180</v>
      </c>
      <c r="B891" t="s">
        <v>51</v>
      </c>
      <c r="C891" t="s">
        <v>214</v>
      </c>
      <c r="D891" t="s">
        <v>53</v>
      </c>
      <c r="E891" s="32">
        <v>45946</v>
      </c>
      <c r="F891" t="s">
        <v>54</v>
      </c>
      <c r="G891" t="s">
        <v>1897</v>
      </c>
      <c r="H891">
        <v>9500156689</v>
      </c>
      <c r="I891">
        <v>148</v>
      </c>
      <c r="J891" t="s">
        <v>427</v>
      </c>
      <c r="K891" t="s">
        <v>71</v>
      </c>
      <c r="L891" t="s">
        <v>72</v>
      </c>
      <c r="M891" t="s">
        <v>59</v>
      </c>
      <c r="N891" t="s">
        <v>59</v>
      </c>
      <c r="O891" t="s">
        <v>59</v>
      </c>
      <c r="P891" t="s">
        <v>59</v>
      </c>
      <c r="Q891" t="s">
        <v>59</v>
      </c>
      <c r="R891" t="s">
        <v>60</v>
      </c>
      <c r="S891" t="s">
        <v>59</v>
      </c>
      <c r="T891" t="s">
        <v>59</v>
      </c>
      <c r="U891" t="s">
        <v>60</v>
      </c>
      <c r="V891" t="s">
        <v>59</v>
      </c>
      <c r="W891" t="s">
        <v>59</v>
      </c>
      <c r="X891" t="s">
        <v>59</v>
      </c>
      <c r="Y891" t="s">
        <v>59</v>
      </c>
      <c r="Z891" t="s">
        <v>59</v>
      </c>
      <c r="AA891" t="s">
        <v>59</v>
      </c>
      <c r="AB891" t="s">
        <v>60</v>
      </c>
      <c r="AC891" t="s">
        <v>61</v>
      </c>
      <c r="AD891" t="s">
        <v>59</v>
      </c>
      <c r="AE891" t="s">
        <v>59</v>
      </c>
      <c r="AF891" t="s">
        <v>61</v>
      </c>
      <c r="AG891" t="s">
        <v>60</v>
      </c>
      <c r="AH891" t="s">
        <v>61</v>
      </c>
      <c r="AI891" t="s">
        <v>61</v>
      </c>
      <c r="AJ891" t="s">
        <v>59</v>
      </c>
      <c r="AK891" t="s">
        <v>61</v>
      </c>
      <c r="AL891" t="s">
        <v>60</v>
      </c>
      <c r="AM891" t="s">
        <v>59</v>
      </c>
      <c r="AN891" t="s">
        <v>59</v>
      </c>
      <c r="AO891" t="s">
        <v>59</v>
      </c>
      <c r="AP891" t="s">
        <v>2181</v>
      </c>
      <c r="AQ891" t="s">
        <v>2182</v>
      </c>
      <c r="AR891" t="s">
        <v>64</v>
      </c>
      <c r="AS891" t="s">
        <v>2183</v>
      </c>
      <c r="AT891" t="s">
        <v>194</v>
      </c>
      <c r="AU891" t="s">
        <v>299</v>
      </c>
      <c r="AW891" s="4">
        <f t="shared" si="458"/>
        <v>6</v>
      </c>
      <c r="AX891" s="4">
        <f t="shared" si="459"/>
        <v>4</v>
      </c>
      <c r="AY891" s="4">
        <f t="shared" si="460"/>
        <v>4</v>
      </c>
      <c r="AZ891" s="4">
        <f t="shared" si="461"/>
        <v>2</v>
      </c>
      <c r="BA891" s="4">
        <f t="shared" si="462"/>
        <v>4</v>
      </c>
      <c r="BB891" s="4" t="str">
        <f t="shared" si="463"/>
        <v>0</v>
      </c>
      <c r="BC891" s="4">
        <f t="shared" si="464"/>
        <v>4</v>
      </c>
      <c r="BD891" s="4">
        <f t="shared" si="465"/>
        <v>2</v>
      </c>
      <c r="BE891" s="4" t="str">
        <f t="shared" si="466"/>
        <v>0</v>
      </c>
      <c r="BF891" s="4">
        <f t="shared" si="467"/>
        <v>2</v>
      </c>
      <c r="BG891" s="4">
        <f t="shared" si="468"/>
        <v>4</v>
      </c>
      <c r="BH891" s="4">
        <f t="shared" si="469"/>
        <v>4</v>
      </c>
      <c r="BI891" s="4">
        <f t="shared" si="470"/>
        <v>4</v>
      </c>
      <c r="BJ891" s="4">
        <f t="shared" si="471"/>
        <v>2</v>
      </c>
      <c r="BK891" s="4">
        <f t="shared" si="472"/>
        <v>4</v>
      </c>
      <c r="BL891" s="4" t="str">
        <f t="shared" si="473"/>
        <v>0</v>
      </c>
      <c r="BM891" s="4">
        <f t="shared" si="474"/>
        <v>4</v>
      </c>
      <c r="BN891" s="4">
        <f t="shared" si="475"/>
        <v>4</v>
      </c>
      <c r="BO891" s="4">
        <f t="shared" si="476"/>
        <v>4</v>
      </c>
      <c r="BP891" s="4">
        <f t="shared" si="477"/>
        <v>4</v>
      </c>
      <c r="BQ891" s="4" t="str">
        <f t="shared" si="478"/>
        <v>0</v>
      </c>
      <c r="BR891" s="4">
        <f t="shared" si="479"/>
        <v>4</v>
      </c>
      <c r="BS891" s="4">
        <f t="shared" si="480"/>
        <v>4</v>
      </c>
      <c r="BT891" s="4">
        <f t="shared" si="481"/>
        <v>4</v>
      </c>
      <c r="BU891" s="4">
        <f t="shared" si="482"/>
        <v>4</v>
      </c>
      <c r="BV891" s="4" t="str">
        <f t="shared" si="483"/>
        <v>0</v>
      </c>
      <c r="BW891" s="4">
        <f t="shared" si="484"/>
        <v>6</v>
      </c>
      <c r="BX891" s="4">
        <f t="shared" si="485"/>
        <v>0</v>
      </c>
      <c r="BY891" s="4">
        <f t="shared" si="486"/>
        <v>0</v>
      </c>
      <c r="BZ891" s="37">
        <f t="shared" si="487"/>
        <v>84</v>
      </c>
      <c r="CA891" s="32" t="str">
        <f>VLOOKUP(J:J,'Agent wise'!A:C,3,0)</f>
        <v>Shakeer</v>
      </c>
      <c r="CB891" s="32">
        <f t="shared" si="488"/>
        <v>45946</v>
      </c>
      <c r="CC891" t="str">
        <f t="shared" si="489"/>
        <v>FC</v>
      </c>
      <c r="CE891" s="32"/>
      <c r="CJ891">
        <f t="shared" si="490"/>
        <v>16</v>
      </c>
      <c r="CK891">
        <f t="shared" si="491"/>
        <v>10</v>
      </c>
      <c r="CL891">
        <f t="shared" si="492"/>
        <v>2025</v>
      </c>
    </row>
    <row r="892" spans="1:90" ht="15" customHeight="1" x14ac:dyDescent="0.35">
      <c r="A892" t="s">
        <v>2184</v>
      </c>
      <c r="B892" t="s">
        <v>100</v>
      </c>
      <c r="C892" t="s">
        <v>214</v>
      </c>
      <c r="D892" t="s">
        <v>101</v>
      </c>
      <c r="E892" s="32">
        <v>45946</v>
      </c>
      <c r="F892" t="s">
        <v>90</v>
      </c>
      <c r="G892" t="s">
        <v>1897</v>
      </c>
      <c r="H892">
        <v>7448421926</v>
      </c>
      <c r="I892">
        <v>174</v>
      </c>
      <c r="J892" t="s">
        <v>552</v>
      </c>
      <c r="K892" t="s">
        <v>71</v>
      </c>
      <c r="L892" t="s">
        <v>72</v>
      </c>
      <c r="M892" t="s">
        <v>59</v>
      </c>
      <c r="N892" t="s">
        <v>59</v>
      </c>
      <c r="O892" t="s">
        <v>60</v>
      </c>
      <c r="P892" t="s">
        <v>59</v>
      </c>
      <c r="Q892" t="s">
        <v>59</v>
      </c>
      <c r="R892" t="s">
        <v>59</v>
      </c>
      <c r="S892" t="s">
        <v>59</v>
      </c>
      <c r="T892" t="s">
        <v>59</v>
      </c>
      <c r="U892" t="s">
        <v>60</v>
      </c>
      <c r="V892" t="s">
        <v>59</v>
      </c>
      <c r="W892" t="s">
        <v>59</v>
      </c>
      <c r="X892" t="s">
        <v>59</v>
      </c>
      <c r="Y892" t="s">
        <v>59</v>
      </c>
      <c r="Z892" t="s">
        <v>59</v>
      </c>
      <c r="AA892" t="s">
        <v>59</v>
      </c>
      <c r="AB892" t="s">
        <v>59</v>
      </c>
      <c r="AC892" t="s">
        <v>61</v>
      </c>
      <c r="AD892" t="s">
        <v>60</v>
      </c>
      <c r="AE892" t="s">
        <v>59</v>
      </c>
      <c r="AF892" t="s">
        <v>59</v>
      </c>
      <c r="AG892" t="s">
        <v>59</v>
      </c>
      <c r="AH892" t="s">
        <v>59</v>
      </c>
      <c r="AI892" t="s">
        <v>61</v>
      </c>
      <c r="AJ892" t="s">
        <v>59</v>
      </c>
      <c r="AK892" t="s">
        <v>59</v>
      </c>
      <c r="AL892" t="s">
        <v>60</v>
      </c>
      <c r="AM892" t="s">
        <v>59</v>
      </c>
      <c r="AN892" t="s">
        <v>59</v>
      </c>
      <c r="AO892" t="s">
        <v>59</v>
      </c>
      <c r="AP892" t="s">
        <v>2162</v>
      </c>
      <c r="AQ892" t="s">
        <v>2162</v>
      </c>
      <c r="AR892" t="s">
        <v>64</v>
      </c>
      <c r="AS892" t="s">
        <v>202</v>
      </c>
      <c r="AT892" t="s">
        <v>203</v>
      </c>
      <c r="AU892" t="s">
        <v>299</v>
      </c>
      <c r="AW892" s="4">
        <f t="shared" si="458"/>
        <v>6</v>
      </c>
      <c r="AX892" s="4">
        <f t="shared" si="459"/>
        <v>4</v>
      </c>
      <c r="AY892" s="4" t="str">
        <f t="shared" si="460"/>
        <v>0</v>
      </c>
      <c r="AZ892" s="4">
        <f t="shared" si="461"/>
        <v>2</v>
      </c>
      <c r="BA892" s="4">
        <f t="shared" si="462"/>
        <v>4</v>
      </c>
      <c r="BB892" s="4">
        <f t="shared" si="463"/>
        <v>4</v>
      </c>
      <c r="BC892" s="4">
        <f t="shared" si="464"/>
        <v>4</v>
      </c>
      <c r="BD892" s="4">
        <f t="shared" si="465"/>
        <v>2</v>
      </c>
      <c r="BE892" s="4" t="str">
        <f t="shared" si="466"/>
        <v>0</v>
      </c>
      <c r="BF892" s="4">
        <f t="shared" si="467"/>
        <v>2</v>
      </c>
      <c r="BG892" s="4">
        <f t="shared" si="468"/>
        <v>4</v>
      </c>
      <c r="BH892" s="4">
        <f t="shared" si="469"/>
        <v>4</v>
      </c>
      <c r="BI892" s="4">
        <f t="shared" si="470"/>
        <v>4</v>
      </c>
      <c r="BJ892" s="4">
        <f t="shared" si="471"/>
        <v>2</v>
      </c>
      <c r="BK892" s="4">
        <f t="shared" si="472"/>
        <v>4</v>
      </c>
      <c r="BL892" s="4">
        <f t="shared" si="473"/>
        <v>2</v>
      </c>
      <c r="BM892" s="4">
        <f t="shared" si="474"/>
        <v>4</v>
      </c>
      <c r="BN892" s="4" t="str">
        <f t="shared" si="475"/>
        <v>0</v>
      </c>
      <c r="BO892" s="4">
        <f t="shared" si="476"/>
        <v>4</v>
      </c>
      <c r="BP892" s="4">
        <f t="shared" si="477"/>
        <v>4</v>
      </c>
      <c r="BQ892" s="4">
        <f t="shared" si="478"/>
        <v>6</v>
      </c>
      <c r="BR892" s="4">
        <f t="shared" si="479"/>
        <v>4</v>
      </c>
      <c r="BS892" s="4">
        <f t="shared" si="480"/>
        <v>4</v>
      </c>
      <c r="BT892" s="4">
        <f t="shared" si="481"/>
        <v>4</v>
      </c>
      <c r="BU892" s="4">
        <f t="shared" si="482"/>
        <v>4</v>
      </c>
      <c r="BV892" s="4" t="str">
        <f t="shared" si="483"/>
        <v>0</v>
      </c>
      <c r="BW892" s="4">
        <f t="shared" si="484"/>
        <v>6</v>
      </c>
      <c r="BX892" s="4">
        <f t="shared" si="485"/>
        <v>0</v>
      </c>
      <c r="BY892" s="4">
        <f t="shared" si="486"/>
        <v>0</v>
      </c>
      <c r="BZ892" s="37">
        <f t="shared" si="487"/>
        <v>88</v>
      </c>
      <c r="CA892" s="32" t="str">
        <f>VLOOKUP(J:J,'Agent wise'!A:C,3,0)</f>
        <v xml:space="preserve">Shiny </v>
      </c>
      <c r="CB892" s="32">
        <f t="shared" si="488"/>
        <v>45946</v>
      </c>
      <c r="CC892" t="str">
        <f t="shared" si="489"/>
        <v>Average</v>
      </c>
      <c r="CE892" s="32"/>
      <c r="CJ892">
        <f t="shared" si="490"/>
        <v>16</v>
      </c>
      <c r="CK892">
        <f t="shared" si="491"/>
        <v>10</v>
      </c>
      <c r="CL892">
        <f t="shared" si="492"/>
        <v>2025</v>
      </c>
    </row>
    <row r="893" spans="1:90" ht="15" customHeight="1" x14ac:dyDescent="0.35">
      <c r="A893" t="s">
        <v>2185</v>
      </c>
      <c r="B893" t="s">
        <v>100</v>
      </c>
      <c r="C893" t="s">
        <v>214</v>
      </c>
      <c r="D893" t="s">
        <v>101</v>
      </c>
      <c r="E893" s="32">
        <v>45946</v>
      </c>
      <c r="F893" t="s">
        <v>90</v>
      </c>
      <c r="G893" t="s">
        <v>1897</v>
      </c>
      <c r="H893">
        <v>9942017085</v>
      </c>
      <c r="I893">
        <v>193</v>
      </c>
      <c r="J893" t="s">
        <v>552</v>
      </c>
      <c r="K893" t="s">
        <v>71</v>
      </c>
      <c r="L893" t="s">
        <v>72</v>
      </c>
      <c r="M893" t="s">
        <v>59</v>
      </c>
      <c r="N893" t="s">
        <v>59</v>
      </c>
      <c r="O893" t="s">
        <v>60</v>
      </c>
      <c r="P893" t="s">
        <v>60</v>
      </c>
      <c r="Q893" t="s">
        <v>59</v>
      </c>
      <c r="R893" t="s">
        <v>59</v>
      </c>
      <c r="S893" t="s">
        <v>59</v>
      </c>
      <c r="T893" t="s">
        <v>59</v>
      </c>
      <c r="U893" t="s">
        <v>60</v>
      </c>
      <c r="V893" t="s">
        <v>59</v>
      </c>
      <c r="W893" t="s">
        <v>59</v>
      </c>
      <c r="X893" t="s">
        <v>61</v>
      </c>
      <c r="Y893" t="s">
        <v>59</v>
      </c>
      <c r="Z893" t="s">
        <v>59</v>
      </c>
      <c r="AA893" t="s">
        <v>59</v>
      </c>
      <c r="AB893" t="s">
        <v>59</v>
      </c>
      <c r="AC893" t="s">
        <v>61</v>
      </c>
      <c r="AD893" t="s">
        <v>59</v>
      </c>
      <c r="AE893" t="s">
        <v>59</v>
      </c>
      <c r="AF893" t="s">
        <v>59</v>
      </c>
      <c r="AG893" t="s">
        <v>59</v>
      </c>
      <c r="AH893" t="s">
        <v>61</v>
      </c>
      <c r="AI893" t="s">
        <v>61</v>
      </c>
      <c r="AJ893" t="s">
        <v>59</v>
      </c>
      <c r="AK893" t="s">
        <v>61</v>
      </c>
      <c r="AL893" t="s">
        <v>60</v>
      </c>
      <c r="AM893" t="s">
        <v>59</v>
      </c>
      <c r="AN893" t="s">
        <v>59</v>
      </c>
      <c r="AO893" t="s">
        <v>59</v>
      </c>
      <c r="AP893" t="s">
        <v>2186</v>
      </c>
      <c r="AQ893" t="s">
        <v>2186</v>
      </c>
      <c r="AR893" t="s">
        <v>64</v>
      </c>
      <c r="AS893" t="s">
        <v>202</v>
      </c>
      <c r="AT893" t="s">
        <v>203</v>
      </c>
      <c r="AU893" t="s">
        <v>387</v>
      </c>
      <c r="AW893" s="4">
        <f t="shared" si="458"/>
        <v>6</v>
      </c>
      <c r="AX893" s="4">
        <f t="shared" si="459"/>
        <v>4</v>
      </c>
      <c r="AY893" s="4" t="str">
        <f t="shared" si="460"/>
        <v>0</v>
      </c>
      <c r="AZ893" s="4" t="str">
        <f t="shared" si="461"/>
        <v>0</v>
      </c>
      <c r="BA893" s="4">
        <f t="shared" si="462"/>
        <v>4</v>
      </c>
      <c r="BB893" s="4">
        <f t="shared" si="463"/>
        <v>4</v>
      </c>
      <c r="BC893" s="4">
        <f t="shared" si="464"/>
        <v>4</v>
      </c>
      <c r="BD893" s="4">
        <f t="shared" si="465"/>
        <v>2</v>
      </c>
      <c r="BE893" s="4" t="str">
        <f t="shared" si="466"/>
        <v>0</v>
      </c>
      <c r="BF893" s="4">
        <f t="shared" si="467"/>
        <v>2</v>
      </c>
      <c r="BG893" s="4">
        <f t="shared" si="468"/>
        <v>4</v>
      </c>
      <c r="BH893" s="4">
        <f t="shared" si="469"/>
        <v>4</v>
      </c>
      <c r="BI893" s="4">
        <f t="shared" si="470"/>
        <v>4</v>
      </c>
      <c r="BJ893" s="4">
        <f t="shared" si="471"/>
        <v>2</v>
      </c>
      <c r="BK893" s="4">
        <f t="shared" si="472"/>
        <v>4</v>
      </c>
      <c r="BL893" s="4">
        <f t="shared" si="473"/>
        <v>2</v>
      </c>
      <c r="BM893" s="4">
        <f t="shared" si="474"/>
        <v>4</v>
      </c>
      <c r="BN893" s="4">
        <f t="shared" si="475"/>
        <v>4</v>
      </c>
      <c r="BO893" s="4">
        <f t="shared" si="476"/>
        <v>4</v>
      </c>
      <c r="BP893" s="4">
        <f t="shared" si="477"/>
        <v>4</v>
      </c>
      <c r="BQ893" s="4">
        <f t="shared" si="478"/>
        <v>6</v>
      </c>
      <c r="BR893" s="4">
        <f t="shared" si="479"/>
        <v>4</v>
      </c>
      <c r="BS893" s="4">
        <f t="shared" si="480"/>
        <v>4</v>
      </c>
      <c r="BT893" s="4">
        <f t="shared" si="481"/>
        <v>4</v>
      </c>
      <c r="BU893" s="4">
        <f t="shared" si="482"/>
        <v>4</v>
      </c>
      <c r="BV893" s="4" t="str">
        <f t="shared" si="483"/>
        <v>0</v>
      </c>
      <c r="BW893" s="4">
        <f t="shared" si="484"/>
        <v>6</v>
      </c>
      <c r="BX893" s="4">
        <f t="shared" si="485"/>
        <v>0</v>
      </c>
      <c r="BY893" s="4">
        <f t="shared" si="486"/>
        <v>0</v>
      </c>
      <c r="BZ893" s="37">
        <f t="shared" si="487"/>
        <v>90</v>
      </c>
      <c r="CA893" s="32" t="str">
        <f>VLOOKUP(J:J,'Agent wise'!A:C,3,0)</f>
        <v xml:space="preserve">Shiny </v>
      </c>
      <c r="CB893" s="32">
        <f t="shared" si="488"/>
        <v>45946</v>
      </c>
      <c r="CC893" t="str">
        <f t="shared" si="489"/>
        <v>Good</v>
      </c>
      <c r="CE893" s="32"/>
      <c r="CJ893">
        <f t="shared" si="490"/>
        <v>16</v>
      </c>
      <c r="CK893">
        <f t="shared" si="491"/>
        <v>10</v>
      </c>
      <c r="CL893">
        <f t="shared" si="492"/>
        <v>2025</v>
      </c>
    </row>
    <row r="894" spans="1:90" ht="15" customHeight="1" x14ac:dyDescent="0.35">
      <c r="A894" t="s">
        <v>2187</v>
      </c>
      <c r="B894" t="s">
        <v>51</v>
      </c>
      <c r="C894" t="s">
        <v>214</v>
      </c>
      <c r="D894" t="s">
        <v>53</v>
      </c>
      <c r="E894" s="32">
        <v>45946</v>
      </c>
      <c r="F894" t="s">
        <v>54</v>
      </c>
      <c r="G894" t="s">
        <v>1897</v>
      </c>
      <c r="H894">
        <v>9916936714</v>
      </c>
      <c r="I894">
        <v>130</v>
      </c>
      <c r="J894" t="s">
        <v>548</v>
      </c>
      <c r="K894" t="s">
        <v>86</v>
      </c>
      <c r="L894" t="s">
        <v>72</v>
      </c>
      <c r="M894" t="s">
        <v>60</v>
      </c>
      <c r="N894" t="s">
        <v>59</v>
      </c>
      <c r="O894" t="s">
        <v>59</v>
      </c>
      <c r="P894" t="s">
        <v>59</v>
      </c>
      <c r="Q894" t="s">
        <v>59</v>
      </c>
      <c r="R894" t="s">
        <v>60</v>
      </c>
      <c r="S894" t="s">
        <v>59</v>
      </c>
      <c r="T894" t="s">
        <v>59</v>
      </c>
      <c r="U894" t="s">
        <v>59</v>
      </c>
      <c r="V894" t="s">
        <v>59</v>
      </c>
      <c r="W894" t="s">
        <v>59</v>
      </c>
      <c r="X894" t="s">
        <v>59</v>
      </c>
      <c r="Y894" t="s">
        <v>59</v>
      </c>
      <c r="Z894" t="s">
        <v>59</v>
      </c>
      <c r="AA894" t="s">
        <v>59</v>
      </c>
      <c r="AB894" t="s">
        <v>59</v>
      </c>
      <c r="AC894" t="s">
        <v>61</v>
      </c>
      <c r="AD894" t="s">
        <v>59</v>
      </c>
      <c r="AE894" t="s">
        <v>59</v>
      </c>
      <c r="AF894" t="s">
        <v>61</v>
      </c>
      <c r="AG894" t="s">
        <v>59</v>
      </c>
      <c r="AH894" t="s">
        <v>61</v>
      </c>
      <c r="AI894" t="s">
        <v>61</v>
      </c>
      <c r="AJ894" t="s">
        <v>59</v>
      </c>
      <c r="AK894" t="s">
        <v>61</v>
      </c>
      <c r="AL894" t="s">
        <v>60</v>
      </c>
      <c r="AM894" t="s">
        <v>59</v>
      </c>
      <c r="AN894" t="s">
        <v>59</v>
      </c>
      <c r="AO894" t="s">
        <v>59</v>
      </c>
      <c r="AP894" t="s">
        <v>2188</v>
      </c>
      <c r="AQ894" t="s">
        <v>2189</v>
      </c>
      <c r="AR894" t="s">
        <v>64</v>
      </c>
      <c r="AS894" t="s">
        <v>152</v>
      </c>
      <c r="AT894" t="s">
        <v>267</v>
      </c>
      <c r="AU894" t="s">
        <v>299</v>
      </c>
      <c r="AW894" s="4" t="str">
        <f t="shared" si="458"/>
        <v>0</v>
      </c>
      <c r="AX894" s="4">
        <f t="shared" si="459"/>
        <v>4</v>
      </c>
      <c r="AY894" s="4">
        <f t="shared" si="460"/>
        <v>4</v>
      </c>
      <c r="AZ894" s="4">
        <f t="shared" si="461"/>
        <v>2</v>
      </c>
      <c r="BA894" s="4">
        <f t="shared" si="462"/>
        <v>4</v>
      </c>
      <c r="BB894" s="4" t="str">
        <f t="shared" si="463"/>
        <v>0</v>
      </c>
      <c r="BC894" s="4">
        <f t="shared" si="464"/>
        <v>4</v>
      </c>
      <c r="BD894" s="4">
        <f t="shared" si="465"/>
        <v>2</v>
      </c>
      <c r="BE894" s="4">
        <f t="shared" si="466"/>
        <v>4</v>
      </c>
      <c r="BF894" s="4">
        <f t="shared" si="467"/>
        <v>2</v>
      </c>
      <c r="BG894" s="4">
        <f t="shared" si="468"/>
        <v>4</v>
      </c>
      <c r="BH894" s="4">
        <f t="shared" si="469"/>
        <v>4</v>
      </c>
      <c r="BI894" s="4">
        <f t="shared" si="470"/>
        <v>4</v>
      </c>
      <c r="BJ894" s="4">
        <f t="shared" si="471"/>
        <v>2</v>
      </c>
      <c r="BK894" s="4">
        <f t="shared" si="472"/>
        <v>4</v>
      </c>
      <c r="BL894" s="4">
        <f t="shared" si="473"/>
        <v>2</v>
      </c>
      <c r="BM894" s="4">
        <f t="shared" si="474"/>
        <v>4</v>
      </c>
      <c r="BN894" s="4">
        <f t="shared" si="475"/>
        <v>4</v>
      </c>
      <c r="BO894" s="4">
        <f t="shared" si="476"/>
        <v>4</v>
      </c>
      <c r="BP894" s="4">
        <f t="shared" si="477"/>
        <v>4</v>
      </c>
      <c r="BQ894" s="4">
        <f t="shared" si="478"/>
        <v>6</v>
      </c>
      <c r="BR894" s="4">
        <f t="shared" si="479"/>
        <v>4</v>
      </c>
      <c r="BS894" s="4">
        <f t="shared" si="480"/>
        <v>4</v>
      </c>
      <c r="BT894" s="4">
        <f t="shared" si="481"/>
        <v>4</v>
      </c>
      <c r="BU894" s="4">
        <f t="shared" si="482"/>
        <v>4</v>
      </c>
      <c r="BV894" s="4" t="str">
        <f t="shared" si="483"/>
        <v>0</v>
      </c>
      <c r="BW894" s="4">
        <f t="shared" si="484"/>
        <v>6</v>
      </c>
      <c r="BX894" s="4">
        <f t="shared" si="485"/>
        <v>0</v>
      </c>
      <c r="BY894" s="4">
        <f t="shared" si="486"/>
        <v>0</v>
      </c>
      <c r="BZ894" s="37">
        <f t="shared" si="487"/>
        <v>90</v>
      </c>
      <c r="CA894" s="32" t="str">
        <f>VLOOKUP(J:J,'Agent wise'!A:C,3,0)</f>
        <v>Adharsh</v>
      </c>
      <c r="CB894" s="32">
        <f t="shared" si="488"/>
        <v>45946</v>
      </c>
      <c r="CC894" t="str">
        <f t="shared" si="489"/>
        <v>Good</v>
      </c>
      <c r="CE894" s="32"/>
      <c r="CJ894">
        <f t="shared" si="490"/>
        <v>16</v>
      </c>
      <c r="CK894">
        <f t="shared" si="491"/>
        <v>10</v>
      </c>
      <c r="CL894">
        <f t="shared" si="492"/>
        <v>2025</v>
      </c>
    </row>
    <row r="895" spans="1:90" ht="15" customHeight="1" x14ac:dyDescent="0.35">
      <c r="A895" t="s">
        <v>2190</v>
      </c>
      <c r="B895" t="s">
        <v>100</v>
      </c>
      <c r="C895" t="s">
        <v>214</v>
      </c>
      <c r="D895" t="s">
        <v>101</v>
      </c>
      <c r="E895" s="32">
        <v>45946</v>
      </c>
      <c r="F895" t="s">
        <v>90</v>
      </c>
      <c r="G895" t="s">
        <v>1897</v>
      </c>
      <c r="H895">
        <v>8903593514</v>
      </c>
      <c r="I895">
        <v>157</v>
      </c>
      <c r="J895" t="s">
        <v>643</v>
      </c>
      <c r="K895" t="s">
        <v>71</v>
      </c>
      <c r="L895" t="s">
        <v>72</v>
      </c>
      <c r="M895" t="s">
        <v>59</v>
      </c>
      <c r="N895" t="s">
        <v>59</v>
      </c>
      <c r="O895" t="s">
        <v>60</v>
      </c>
      <c r="P895" t="s">
        <v>59</v>
      </c>
      <c r="Q895" t="s">
        <v>59</v>
      </c>
      <c r="R895" t="s">
        <v>59</v>
      </c>
      <c r="S895" t="s">
        <v>59</v>
      </c>
      <c r="T895" t="s">
        <v>59</v>
      </c>
      <c r="U895" t="s">
        <v>60</v>
      </c>
      <c r="V895" t="s">
        <v>59</v>
      </c>
      <c r="W895" t="s">
        <v>59</v>
      </c>
      <c r="X895" t="s">
        <v>59</v>
      </c>
      <c r="Y895" t="s">
        <v>59</v>
      </c>
      <c r="Z895" t="s">
        <v>59</v>
      </c>
      <c r="AA895" t="s">
        <v>59</v>
      </c>
      <c r="AB895" t="s">
        <v>59</v>
      </c>
      <c r="AC895" t="s">
        <v>59</v>
      </c>
      <c r="AD895" t="s">
        <v>59</v>
      </c>
      <c r="AE895" t="s">
        <v>59</v>
      </c>
      <c r="AF895" t="s">
        <v>61</v>
      </c>
      <c r="AG895" t="s">
        <v>59</v>
      </c>
      <c r="AH895" t="s">
        <v>61</v>
      </c>
      <c r="AI895" t="s">
        <v>61</v>
      </c>
      <c r="AJ895" t="s">
        <v>59</v>
      </c>
      <c r="AK895" t="s">
        <v>59</v>
      </c>
      <c r="AL895" t="s">
        <v>60</v>
      </c>
      <c r="AM895" t="s">
        <v>59</v>
      </c>
      <c r="AN895" t="s">
        <v>59</v>
      </c>
      <c r="AO895" t="s">
        <v>59</v>
      </c>
      <c r="AP895" t="s">
        <v>2191</v>
      </c>
      <c r="AQ895" t="s">
        <v>2191</v>
      </c>
      <c r="AR895" t="s">
        <v>64</v>
      </c>
      <c r="AS895" t="s">
        <v>202</v>
      </c>
      <c r="AT895" t="s">
        <v>203</v>
      </c>
      <c r="AU895" t="s">
        <v>387</v>
      </c>
      <c r="AW895" s="4">
        <f t="shared" si="458"/>
        <v>6</v>
      </c>
      <c r="AX895" s="4">
        <f t="shared" si="459"/>
        <v>4</v>
      </c>
      <c r="AY895" s="4" t="str">
        <f t="shared" si="460"/>
        <v>0</v>
      </c>
      <c r="AZ895" s="4">
        <f t="shared" si="461"/>
        <v>2</v>
      </c>
      <c r="BA895" s="4">
        <f t="shared" si="462"/>
        <v>4</v>
      </c>
      <c r="BB895" s="4">
        <f t="shared" si="463"/>
        <v>4</v>
      </c>
      <c r="BC895" s="4">
        <f t="shared" si="464"/>
        <v>4</v>
      </c>
      <c r="BD895" s="4">
        <f t="shared" si="465"/>
        <v>2</v>
      </c>
      <c r="BE895" s="4" t="str">
        <f t="shared" si="466"/>
        <v>0</v>
      </c>
      <c r="BF895" s="4">
        <f t="shared" si="467"/>
        <v>2</v>
      </c>
      <c r="BG895" s="4">
        <f t="shared" si="468"/>
        <v>4</v>
      </c>
      <c r="BH895" s="4">
        <f t="shared" si="469"/>
        <v>4</v>
      </c>
      <c r="BI895" s="4">
        <f t="shared" si="470"/>
        <v>4</v>
      </c>
      <c r="BJ895" s="4">
        <f t="shared" si="471"/>
        <v>2</v>
      </c>
      <c r="BK895" s="4">
        <f t="shared" si="472"/>
        <v>4</v>
      </c>
      <c r="BL895" s="4">
        <f t="shared" si="473"/>
        <v>2</v>
      </c>
      <c r="BM895" s="4">
        <f t="shared" si="474"/>
        <v>4</v>
      </c>
      <c r="BN895" s="4">
        <f t="shared" si="475"/>
        <v>4</v>
      </c>
      <c r="BO895" s="4">
        <f t="shared" si="476"/>
        <v>4</v>
      </c>
      <c r="BP895" s="4">
        <f t="shared" si="477"/>
        <v>4</v>
      </c>
      <c r="BQ895" s="4">
        <f t="shared" si="478"/>
        <v>6</v>
      </c>
      <c r="BR895" s="4">
        <f t="shared" si="479"/>
        <v>4</v>
      </c>
      <c r="BS895" s="4">
        <f t="shared" si="480"/>
        <v>4</v>
      </c>
      <c r="BT895" s="4">
        <f t="shared" si="481"/>
        <v>4</v>
      </c>
      <c r="BU895" s="4">
        <f t="shared" si="482"/>
        <v>4</v>
      </c>
      <c r="BV895" s="4" t="str">
        <f t="shared" si="483"/>
        <v>0</v>
      </c>
      <c r="BW895" s="4">
        <f t="shared" si="484"/>
        <v>6</v>
      </c>
      <c r="BX895" s="4">
        <f t="shared" si="485"/>
        <v>0</v>
      </c>
      <c r="BY895" s="4">
        <f t="shared" si="486"/>
        <v>0</v>
      </c>
      <c r="BZ895" s="37">
        <f t="shared" si="487"/>
        <v>92</v>
      </c>
      <c r="CA895" s="32" t="str">
        <f>VLOOKUP(J:J,'Agent wise'!A:C,3,0)</f>
        <v xml:space="preserve">Shiny </v>
      </c>
      <c r="CB895" s="32">
        <f t="shared" si="488"/>
        <v>45946</v>
      </c>
      <c r="CC895" t="str">
        <f t="shared" si="489"/>
        <v>Good</v>
      </c>
      <c r="CE895" s="32"/>
      <c r="CJ895">
        <f t="shared" si="490"/>
        <v>16</v>
      </c>
      <c r="CK895">
        <f t="shared" si="491"/>
        <v>10</v>
      </c>
      <c r="CL895">
        <f t="shared" si="492"/>
        <v>2025</v>
      </c>
    </row>
    <row r="896" spans="1:90" ht="15" customHeight="1" x14ac:dyDescent="0.35">
      <c r="A896" t="s">
        <v>2192</v>
      </c>
      <c r="B896" t="s">
        <v>177</v>
      </c>
      <c r="C896" t="s">
        <v>214</v>
      </c>
      <c r="D896" t="s">
        <v>178</v>
      </c>
      <c r="E896" s="32">
        <v>45946</v>
      </c>
      <c r="F896" t="s">
        <v>54</v>
      </c>
      <c r="G896" t="s">
        <v>1897</v>
      </c>
      <c r="H896">
        <v>9444898910</v>
      </c>
      <c r="I896">
        <v>108</v>
      </c>
      <c r="J896" t="s">
        <v>749</v>
      </c>
      <c r="K896" t="s">
        <v>71</v>
      </c>
      <c r="L896" t="s">
        <v>72</v>
      </c>
      <c r="M896" t="s">
        <v>59</v>
      </c>
      <c r="N896" t="s">
        <v>59</v>
      </c>
      <c r="O896" t="s">
        <v>59</v>
      </c>
      <c r="P896" t="s">
        <v>59</v>
      </c>
      <c r="Q896" t="s">
        <v>59</v>
      </c>
      <c r="R896" t="s">
        <v>59</v>
      </c>
      <c r="S896" t="s">
        <v>59</v>
      </c>
      <c r="T896" t="s">
        <v>59</v>
      </c>
      <c r="U896" t="s">
        <v>59</v>
      </c>
      <c r="V896" t="s">
        <v>59</v>
      </c>
      <c r="W896" t="s">
        <v>59</v>
      </c>
      <c r="X896" t="s">
        <v>59</v>
      </c>
      <c r="Y896" t="s">
        <v>59</v>
      </c>
      <c r="Z896" t="s">
        <v>60</v>
      </c>
      <c r="AA896" t="s">
        <v>59</v>
      </c>
      <c r="AB896" t="s">
        <v>59</v>
      </c>
      <c r="AC896" t="s">
        <v>59</v>
      </c>
      <c r="AD896" t="s">
        <v>59</v>
      </c>
      <c r="AE896" t="s">
        <v>59</v>
      </c>
      <c r="AF896" t="s">
        <v>59</v>
      </c>
      <c r="AG896" t="s">
        <v>59</v>
      </c>
      <c r="AH896" t="s">
        <v>59</v>
      </c>
      <c r="AI896" t="s">
        <v>61</v>
      </c>
      <c r="AJ896" t="s">
        <v>59</v>
      </c>
      <c r="AK896" t="s">
        <v>59</v>
      </c>
      <c r="AL896" t="s">
        <v>59</v>
      </c>
      <c r="AM896" t="s">
        <v>59</v>
      </c>
      <c r="AN896" t="s">
        <v>59</v>
      </c>
      <c r="AO896" t="s">
        <v>59</v>
      </c>
      <c r="AP896" t="s">
        <v>2193</v>
      </c>
      <c r="AQ896" t="s">
        <v>2194</v>
      </c>
      <c r="AR896" t="s">
        <v>64</v>
      </c>
      <c r="AS896" t="s">
        <v>171</v>
      </c>
      <c r="AT896" t="s">
        <v>190</v>
      </c>
      <c r="AU896" t="s">
        <v>387</v>
      </c>
      <c r="AW896" s="4">
        <f t="shared" si="458"/>
        <v>6</v>
      </c>
      <c r="AX896" s="4">
        <f t="shared" si="459"/>
        <v>4</v>
      </c>
      <c r="AY896" s="4">
        <f t="shared" si="460"/>
        <v>4</v>
      </c>
      <c r="AZ896" s="4">
        <f t="shared" si="461"/>
        <v>2</v>
      </c>
      <c r="BA896" s="4">
        <f t="shared" si="462"/>
        <v>4</v>
      </c>
      <c r="BB896" s="4">
        <f t="shared" si="463"/>
        <v>4</v>
      </c>
      <c r="BC896" s="4">
        <f t="shared" si="464"/>
        <v>4</v>
      </c>
      <c r="BD896" s="4">
        <f t="shared" si="465"/>
        <v>2</v>
      </c>
      <c r="BE896" s="4">
        <f t="shared" si="466"/>
        <v>4</v>
      </c>
      <c r="BF896" s="4">
        <f t="shared" si="467"/>
        <v>2</v>
      </c>
      <c r="BG896" s="4">
        <f t="shared" si="468"/>
        <v>4</v>
      </c>
      <c r="BH896" s="4">
        <f t="shared" si="469"/>
        <v>4</v>
      </c>
      <c r="BI896" s="4">
        <f t="shared" si="470"/>
        <v>4</v>
      </c>
      <c r="BJ896" s="4" t="str">
        <f t="shared" si="471"/>
        <v>0</v>
      </c>
      <c r="BK896" s="4">
        <f t="shared" si="472"/>
        <v>4</v>
      </c>
      <c r="BL896" s="4">
        <f t="shared" si="473"/>
        <v>2</v>
      </c>
      <c r="BM896" s="4">
        <f t="shared" si="474"/>
        <v>4</v>
      </c>
      <c r="BN896" s="4">
        <f t="shared" si="475"/>
        <v>4</v>
      </c>
      <c r="BO896" s="4">
        <f t="shared" si="476"/>
        <v>4</v>
      </c>
      <c r="BP896" s="4">
        <f t="shared" si="477"/>
        <v>4</v>
      </c>
      <c r="BQ896" s="4">
        <f t="shared" si="478"/>
        <v>6</v>
      </c>
      <c r="BR896" s="4">
        <f t="shared" si="479"/>
        <v>4</v>
      </c>
      <c r="BS896" s="4">
        <f t="shared" si="480"/>
        <v>4</v>
      </c>
      <c r="BT896" s="4">
        <f t="shared" si="481"/>
        <v>4</v>
      </c>
      <c r="BU896" s="4">
        <f t="shared" si="482"/>
        <v>4</v>
      </c>
      <c r="BV896" s="4">
        <f t="shared" si="483"/>
        <v>0</v>
      </c>
      <c r="BW896" s="4">
        <f t="shared" si="484"/>
        <v>6</v>
      </c>
      <c r="BX896" s="4">
        <f t="shared" si="485"/>
        <v>0</v>
      </c>
      <c r="BY896" s="4">
        <f t="shared" si="486"/>
        <v>0</v>
      </c>
      <c r="BZ896" s="37">
        <f t="shared" si="487"/>
        <v>98</v>
      </c>
      <c r="CA896" s="32" t="str">
        <f>VLOOKUP(J:J,'Agent wise'!A:C,3,0)</f>
        <v xml:space="preserve">Shiny </v>
      </c>
      <c r="CB896" s="32">
        <f t="shared" si="488"/>
        <v>45946</v>
      </c>
      <c r="CC896" t="str">
        <f t="shared" si="489"/>
        <v>Excellent</v>
      </c>
      <c r="CE896" s="32"/>
      <c r="CJ896">
        <f t="shared" si="490"/>
        <v>16</v>
      </c>
      <c r="CK896">
        <f t="shared" si="491"/>
        <v>10</v>
      </c>
      <c r="CL896">
        <f t="shared" si="492"/>
        <v>2025</v>
      </c>
    </row>
    <row r="897" spans="1:90" ht="15" customHeight="1" x14ac:dyDescent="0.35">
      <c r="A897" t="s">
        <v>2195</v>
      </c>
      <c r="B897" t="s">
        <v>100</v>
      </c>
      <c r="C897" t="s">
        <v>214</v>
      </c>
      <c r="D897" t="s">
        <v>101</v>
      </c>
      <c r="E897" s="32">
        <v>45946</v>
      </c>
      <c r="F897" t="s">
        <v>90</v>
      </c>
      <c r="G897" t="s">
        <v>1897</v>
      </c>
      <c r="H897">
        <v>9094032052</v>
      </c>
      <c r="I897">
        <v>192</v>
      </c>
      <c r="J897" t="s">
        <v>643</v>
      </c>
      <c r="K897" t="s">
        <v>71</v>
      </c>
      <c r="L897" t="s">
        <v>72</v>
      </c>
      <c r="M897" t="s">
        <v>59</v>
      </c>
      <c r="N897" t="s">
        <v>59</v>
      </c>
      <c r="O897" t="s">
        <v>60</v>
      </c>
      <c r="P897" t="s">
        <v>59</v>
      </c>
      <c r="Q897" t="s">
        <v>59</v>
      </c>
      <c r="R897" t="s">
        <v>59</v>
      </c>
      <c r="S897" t="s">
        <v>59</v>
      </c>
      <c r="T897" t="s">
        <v>59</v>
      </c>
      <c r="U897" t="s">
        <v>60</v>
      </c>
      <c r="V897" t="s">
        <v>59</v>
      </c>
      <c r="W897" t="s">
        <v>59</v>
      </c>
      <c r="X897" t="s">
        <v>59</v>
      </c>
      <c r="Y897" t="s">
        <v>59</v>
      </c>
      <c r="Z897" t="s">
        <v>59</v>
      </c>
      <c r="AA897" t="s">
        <v>59</v>
      </c>
      <c r="AB897" t="s">
        <v>59</v>
      </c>
      <c r="AC897" t="s">
        <v>61</v>
      </c>
      <c r="AD897" t="s">
        <v>59</v>
      </c>
      <c r="AE897" t="s">
        <v>59</v>
      </c>
      <c r="AF897" t="s">
        <v>59</v>
      </c>
      <c r="AG897" t="s">
        <v>59</v>
      </c>
      <c r="AH897" t="s">
        <v>61</v>
      </c>
      <c r="AI897" t="s">
        <v>61</v>
      </c>
      <c r="AJ897" t="s">
        <v>59</v>
      </c>
      <c r="AK897" t="s">
        <v>59</v>
      </c>
      <c r="AL897" t="s">
        <v>60</v>
      </c>
      <c r="AM897" t="s">
        <v>59</v>
      </c>
      <c r="AN897" t="s">
        <v>59</v>
      </c>
      <c r="AO897" t="s">
        <v>59</v>
      </c>
      <c r="AP897" t="s">
        <v>2196</v>
      </c>
      <c r="AQ897" t="s">
        <v>2196</v>
      </c>
      <c r="AR897" t="s">
        <v>64</v>
      </c>
      <c r="AS897" t="s">
        <v>94</v>
      </c>
      <c r="AT897" t="s">
        <v>95</v>
      </c>
      <c r="AU897" t="s">
        <v>387</v>
      </c>
      <c r="AW897" s="4">
        <f t="shared" si="458"/>
        <v>6</v>
      </c>
      <c r="AX897" s="4">
        <f t="shared" si="459"/>
        <v>4</v>
      </c>
      <c r="AY897" s="4" t="str">
        <f t="shared" si="460"/>
        <v>0</v>
      </c>
      <c r="AZ897" s="4">
        <f t="shared" si="461"/>
        <v>2</v>
      </c>
      <c r="BA897" s="4">
        <f t="shared" si="462"/>
        <v>4</v>
      </c>
      <c r="BB897" s="4">
        <f t="shared" si="463"/>
        <v>4</v>
      </c>
      <c r="BC897" s="4">
        <f t="shared" si="464"/>
        <v>4</v>
      </c>
      <c r="BD897" s="4">
        <f t="shared" si="465"/>
        <v>2</v>
      </c>
      <c r="BE897" s="4" t="str">
        <f t="shared" si="466"/>
        <v>0</v>
      </c>
      <c r="BF897" s="4">
        <f t="shared" si="467"/>
        <v>2</v>
      </c>
      <c r="BG897" s="4">
        <f t="shared" si="468"/>
        <v>4</v>
      </c>
      <c r="BH897" s="4">
        <f t="shared" si="469"/>
        <v>4</v>
      </c>
      <c r="BI897" s="4">
        <f t="shared" si="470"/>
        <v>4</v>
      </c>
      <c r="BJ897" s="4">
        <f t="shared" si="471"/>
        <v>2</v>
      </c>
      <c r="BK897" s="4">
        <f t="shared" si="472"/>
        <v>4</v>
      </c>
      <c r="BL897" s="4">
        <f t="shared" si="473"/>
        <v>2</v>
      </c>
      <c r="BM897" s="4">
        <f t="shared" si="474"/>
        <v>4</v>
      </c>
      <c r="BN897" s="4">
        <f t="shared" si="475"/>
        <v>4</v>
      </c>
      <c r="BO897" s="4">
        <f t="shared" si="476"/>
        <v>4</v>
      </c>
      <c r="BP897" s="4">
        <f t="shared" si="477"/>
        <v>4</v>
      </c>
      <c r="BQ897" s="4">
        <f t="shared" si="478"/>
        <v>6</v>
      </c>
      <c r="BR897" s="4">
        <f t="shared" si="479"/>
        <v>4</v>
      </c>
      <c r="BS897" s="4">
        <f t="shared" si="480"/>
        <v>4</v>
      </c>
      <c r="BT897" s="4">
        <f t="shared" si="481"/>
        <v>4</v>
      </c>
      <c r="BU897" s="4">
        <f t="shared" si="482"/>
        <v>4</v>
      </c>
      <c r="BV897" s="4" t="str">
        <f t="shared" si="483"/>
        <v>0</v>
      </c>
      <c r="BW897" s="4">
        <f t="shared" si="484"/>
        <v>6</v>
      </c>
      <c r="BX897" s="4">
        <f t="shared" si="485"/>
        <v>0</v>
      </c>
      <c r="BY897" s="4">
        <f t="shared" si="486"/>
        <v>0</v>
      </c>
      <c r="BZ897" s="37">
        <f t="shared" si="487"/>
        <v>92</v>
      </c>
      <c r="CA897" s="32" t="str">
        <f>VLOOKUP(J:J,'Agent wise'!A:C,3,0)</f>
        <v xml:space="preserve">Shiny </v>
      </c>
      <c r="CB897" s="32">
        <f t="shared" si="488"/>
        <v>45946</v>
      </c>
      <c r="CC897" t="str">
        <f t="shared" si="489"/>
        <v>Good</v>
      </c>
      <c r="CE897" s="32"/>
      <c r="CJ897">
        <f t="shared" si="490"/>
        <v>16</v>
      </c>
      <c r="CK897">
        <f t="shared" si="491"/>
        <v>10</v>
      </c>
      <c r="CL897">
        <f t="shared" si="492"/>
        <v>2025</v>
      </c>
    </row>
    <row r="898" spans="1:90" ht="15" customHeight="1" x14ac:dyDescent="0.35">
      <c r="A898" t="s">
        <v>2197</v>
      </c>
      <c r="B898" t="s">
        <v>177</v>
      </c>
      <c r="C898" t="s">
        <v>214</v>
      </c>
      <c r="D898" t="s">
        <v>178</v>
      </c>
      <c r="E898" s="32">
        <v>45945</v>
      </c>
      <c r="F898" t="s">
        <v>90</v>
      </c>
      <c r="G898" t="s">
        <v>1749</v>
      </c>
      <c r="H898">
        <v>9941266403</v>
      </c>
      <c r="I898">
        <v>115</v>
      </c>
      <c r="J898" t="s">
        <v>480</v>
      </c>
      <c r="K898" t="s">
        <v>71</v>
      </c>
      <c r="L898" t="s">
        <v>72</v>
      </c>
      <c r="M898" t="s">
        <v>59</v>
      </c>
      <c r="N898" t="s">
        <v>60</v>
      </c>
      <c r="O898" t="s">
        <v>59</v>
      </c>
      <c r="P898" t="s">
        <v>59</v>
      </c>
      <c r="Q898" t="s">
        <v>59</v>
      </c>
      <c r="R898" t="s">
        <v>59</v>
      </c>
      <c r="S898" t="s">
        <v>59</v>
      </c>
      <c r="T898" t="s">
        <v>59</v>
      </c>
      <c r="U898" t="s">
        <v>59</v>
      </c>
      <c r="V898" t="s">
        <v>59</v>
      </c>
      <c r="W898" t="s">
        <v>59</v>
      </c>
      <c r="X898" t="s">
        <v>59</v>
      </c>
      <c r="Y898" t="s">
        <v>59</v>
      </c>
      <c r="Z898" t="s">
        <v>59</v>
      </c>
      <c r="AA898" t="s">
        <v>59</v>
      </c>
      <c r="AB898" t="s">
        <v>59</v>
      </c>
      <c r="AC898" t="s">
        <v>61</v>
      </c>
      <c r="AD898" t="s">
        <v>59</v>
      </c>
      <c r="AE898" t="s">
        <v>59</v>
      </c>
      <c r="AF898" t="s">
        <v>59</v>
      </c>
      <c r="AG898" t="s">
        <v>59</v>
      </c>
      <c r="AH898" t="s">
        <v>61</v>
      </c>
      <c r="AI898" t="s">
        <v>61</v>
      </c>
      <c r="AJ898" t="s">
        <v>59</v>
      </c>
      <c r="AK898" t="s">
        <v>59</v>
      </c>
      <c r="AL898" t="s">
        <v>60</v>
      </c>
      <c r="AM898" t="s">
        <v>59</v>
      </c>
      <c r="AN898" t="s">
        <v>59</v>
      </c>
      <c r="AO898" t="s">
        <v>59</v>
      </c>
      <c r="AP898" t="s">
        <v>2198</v>
      </c>
      <c r="AQ898" s="1" t="s">
        <v>1193</v>
      </c>
      <c r="AR898" t="s">
        <v>64</v>
      </c>
      <c r="AS898" t="s">
        <v>202</v>
      </c>
      <c r="AT898" t="s">
        <v>203</v>
      </c>
      <c r="AU898" t="s">
        <v>299</v>
      </c>
      <c r="AW898" s="4">
        <f t="shared" si="458"/>
        <v>6</v>
      </c>
      <c r="AX898" s="4" t="str">
        <f t="shared" si="459"/>
        <v>0</v>
      </c>
      <c r="AY898" s="4">
        <f t="shared" si="460"/>
        <v>4</v>
      </c>
      <c r="AZ898" s="4">
        <f t="shared" si="461"/>
        <v>2</v>
      </c>
      <c r="BA898" s="4">
        <f t="shared" si="462"/>
        <v>4</v>
      </c>
      <c r="BB898" s="4">
        <f t="shared" si="463"/>
        <v>4</v>
      </c>
      <c r="BC898" s="4">
        <f t="shared" si="464"/>
        <v>4</v>
      </c>
      <c r="BD898" s="4">
        <f t="shared" si="465"/>
        <v>2</v>
      </c>
      <c r="BE898" s="4">
        <f t="shared" si="466"/>
        <v>4</v>
      </c>
      <c r="BF898" s="4">
        <f t="shared" si="467"/>
        <v>2</v>
      </c>
      <c r="BG898" s="4">
        <f t="shared" si="468"/>
        <v>4</v>
      </c>
      <c r="BH898" s="4">
        <f t="shared" si="469"/>
        <v>4</v>
      </c>
      <c r="BI898" s="4">
        <f t="shared" si="470"/>
        <v>4</v>
      </c>
      <c r="BJ898" s="4">
        <f t="shared" si="471"/>
        <v>2</v>
      </c>
      <c r="BK898" s="4">
        <f t="shared" si="472"/>
        <v>4</v>
      </c>
      <c r="BL898" s="4">
        <f t="shared" si="473"/>
        <v>2</v>
      </c>
      <c r="BM898" s="4">
        <f t="shared" si="474"/>
        <v>4</v>
      </c>
      <c r="BN898" s="4">
        <f t="shared" si="475"/>
        <v>4</v>
      </c>
      <c r="BO898" s="4">
        <f t="shared" si="476"/>
        <v>4</v>
      </c>
      <c r="BP898" s="4">
        <f t="shared" si="477"/>
        <v>4</v>
      </c>
      <c r="BQ898" s="4">
        <f t="shared" si="478"/>
        <v>6</v>
      </c>
      <c r="BR898" s="4">
        <f t="shared" si="479"/>
        <v>4</v>
      </c>
      <c r="BS898" s="4">
        <f t="shared" si="480"/>
        <v>4</v>
      </c>
      <c r="BT898" s="4">
        <f t="shared" si="481"/>
        <v>4</v>
      </c>
      <c r="BU898" s="4">
        <f t="shared" si="482"/>
        <v>4</v>
      </c>
      <c r="BV898" s="4" t="str">
        <f t="shared" si="483"/>
        <v>0</v>
      </c>
      <c r="BW898" s="4">
        <f t="shared" si="484"/>
        <v>6</v>
      </c>
      <c r="BX898" s="4">
        <f t="shared" si="485"/>
        <v>0</v>
      </c>
      <c r="BY898" s="4">
        <f t="shared" si="486"/>
        <v>0</v>
      </c>
      <c r="BZ898" s="37">
        <f t="shared" si="487"/>
        <v>96</v>
      </c>
      <c r="CA898" s="32" t="str">
        <f>VLOOKUP(J:J,'Agent wise'!A:C,3,0)</f>
        <v>Shakeer</v>
      </c>
      <c r="CB898" s="32">
        <f t="shared" si="488"/>
        <v>45945</v>
      </c>
      <c r="CC898" t="str">
        <f t="shared" si="489"/>
        <v>Excellent</v>
      </c>
      <c r="CE898" s="32"/>
      <c r="CJ898">
        <f t="shared" si="490"/>
        <v>15</v>
      </c>
      <c r="CK898">
        <f t="shared" si="491"/>
        <v>10</v>
      </c>
      <c r="CL898">
        <f t="shared" si="492"/>
        <v>2025</v>
      </c>
    </row>
    <row r="899" spans="1:90" ht="15" customHeight="1" x14ac:dyDescent="0.35">
      <c r="A899" t="s">
        <v>2199</v>
      </c>
      <c r="B899" t="s">
        <v>177</v>
      </c>
      <c r="C899" t="s">
        <v>214</v>
      </c>
      <c r="D899" t="s">
        <v>178</v>
      </c>
      <c r="E899" s="32">
        <v>45945</v>
      </c>
      <c r="F899" t="s">
        <v>54</v>
      </c>
      <c r="G899" t="s">
        <v>1749</v>
      </c>
      <c r="H899">
        <v>9841081416</v>
      </c>
      <c r="I899">
        <v>109</v>
      </c>
      <c r="J899" t="s">
        <v>269</v>
      </c>
      <c r="K899" t="s">
        <v>71</v>
      </c>
      <c r="L899" t="s">
        <v>72</v>
      </c>
      <c r="M899" t="s">
        <v>59</v>
      </c>
      <c r="N899" t="s">
        <v>59</v>
      </c>
      <c r="O899" t="s">
        <v>59</v>
      </c>
      <c r="P899" t="s">
        <v>59</v>
      </c>
      <c r="Q899" t="s">
        <v>59</v>
      </c>
      <c r="R899" t="s">
        <v>59</v>
      </c>
      <c r="S899" t="s">
        <v>59</v>
      </c>
      <c r="T899" t="s">
        <v>59</v>
      </c>
      <c r="U899" t="s">
        <v>59</v>
      </c>
      <c r="V899" t="s">
        <v>59</v>
      </c>
      <c r="W899" t="s">
        <v>59</v>
      </c>
      <c r="X899" t="s">
        <v>59</v>
      </c>
      <c r="Y899" t="s">
        <v>59</v>
      </c>
      <c r="Z899" t="s">
        <v>59</v>
      </c>
      <c r="AA899" t="s">
        <v>60</v>
      </c>
      <c r="AB899" t="s">
        <v>60</v>
      </c>
      <c r="AC899" t="s">
        <v>59</v>
      </c>
      <c r="AD899" t="s">
        <v>59</v>
      </c>
      <c r="AE899" t="s">
        <v>59</v>
      </c>
      <c r="AF899" t="s">
        <v>59</v>
      </c>
      <c r="AG899" t="s">
        <v>59</v>
      </c>
      <c r="AH899" t="s">
        <v>61</v>
      </c>
      <c r="AI899" t="s">
        <v>61</v>
      </c>
      <c r="AJ899" t="s">
        <v>59</v>
      </c>
      <c r="AK899" t="s">
        <v>59</v>
      </c>
      <c r="AL899" t="s">
        <v>59</v>
      </c>
      <c r="AM899" t="s">
        <v>59</v>
      </c>
      <c r="AN899" t="s">
        <v>59</v>
      </c>
      <c r="AO899" t="s">
        <v>59</v>
      </c>
      <c r="AP899" t="s">
        <v>2200</v>
      </c>
      <c r="AQ899" t="s">
        <v>2201</v>
      </c>
      <c r="AR899" t="s">
        <v>64</v>
      </c>
      <c r="AS899" t="s">
        <v>89</v>
      </c>
      <c r="AT899" t="s">
        <v>84</v>
      </c>
      <c r="AU899" t="s">
        <v>387</v>
      </c>
      <c r="AW899" s="4">
        <f t="shared" ref="AW899:AW962" si="493">IF(OR(M899="YES", M899="Not Applicable"), AW$1, "0")</f>
        <v>6</v>
      </c>
      <c r="AX899" s="4">
        <f t="shared" ref="AX899:AX962" si="494">IF(OR(N899="YES", N899="Not Applicable"), AX$1, "0")</f>
        <v>4</v>
      </c>
      <c r="AY899" s="4">
        <f t="shared" ref="AY899:AY962" si="495">IF(OR(O899="YES", O899="Not Applicable"), AY$1, "0")</f>
        <v>4</v>
      </c>
      <c r="AZ899" s="4">
        <f t="shared" ref="AZ899:AZ962" si="496">IF(OR(P899="YES", P899="Not Applicable"), AZ$1, "0")</f>
        <v>2</v>
      </c>
      <c r="BA899" s="4">
        <f t="shared" ref="BA899:BA962" si="497">IF(OR(Q899="YES", Q899="Not Applicable"), BA$1, "0")</f>
        <v>4</v>
      </c>
      <c r="BB899" s="4">
        <f t="shared" ref="BB899:BB962" si="498">IF(OR(R899="YES", R899="Not Applicable"), BB$1, "0")</f>
        <v>4</v>
      </c>
      <c r="BC899" s="4">
        <f t="shared" ref="BC899:BC962" si="499">IF(OR(S899="YES", S899="Not Applicable"), BC$1, "0")</f>
        <v>4</v>
      </c>
      <c r="BD899" s="4">
        <f t="shared" ref="BD899:BD962" si="500">IF(OR(T899="YES", T899="Not Applicable"), BD$1, "0")</f>
        <v>2</v>
      </c>
      <c r="BE899" s="4">
        <f t="shared" ref="BE899:BE962" si="501">IF(OR(U899="YES", U899="Not Applicable"), BE$1, "0")</f>
        <v>4</v>
      </c>
      <c r="BF899" s="4">
        <f t="shared" ref="BF899:BF962" si="502">IF(OR(V899="YES", V899="Not Applicable"), BF$1, "0")</f>
        <v>2</v>
      </c>
      <c r="BG899" s="4">
        <f t="shared" ref="BG899:BG962" si="503">IF(OR(W899="YES", W899="Not Applicable"), BG$1, "0")</f>
        <v>4</v>
      </c>
      <c r="BH899" s="4">
        <f t="shared" ref="BH899:BH962" si="504">IF(OR(X899="YES", X899="Not Applicable"), BH$1, "0")</f>
        <v>4</v>
      </c>
      <c r="BI899" s="4">
        <f t="shared" ref="BI899:BI962" si="505">IF(OR(Y899="YES", Y899="Not Applicable"), BI$1, "0")</f>
        <v>4</v>
      </c>
      <c r="BJ899" s="4">
        <f t="shared" ref="BJ899:BJ962" si="506">IF(OR(Z899="YES", Z899="Not Applicable"), BJ$1, "0")</f>
        <v>2</v>
      </c>
      <c r="BK899" s="4" t="str">
        <f t="shared" ref="BK899:BK962" si="507">IF(OR(AA899="YES", AA899="Not Applicable"), BK$1, "0")</f>
        <v>0</v>
      </c>
      <c r="BL899" s="4" t="str">
        <f t="shared" ref="BL899:BL962" si="508">IF(OR(AB899="YES", AB899="Not Applicable"), BL$1, "0")</f>
        <v>0</v>
      </c>
      <c r="BM899" s="4">
        <f t="shared" ref="BM899:BM962" si="509">IF(OR(AC899="YES", AC899="Not Applicable"), BM$1, "0")</f>
        <v>4</v>
      </c>
      <c r="BN899" s="4">
        <f t="shared" ref="BN899:BN962" si="510">IF(OR(AD899="YES", AD899="Not Applicable"), BN$1, "0")</f>
        <v>4</v>
      </c>
      <c r="BO899" s="4">
        <f t="shared" ref="BO899:BO962" si="511">IF(OR(AE899="YES", AE899="Not Applicable"), BO$1, "0")</f>
        <v>4</v>
      </c>
      <c r="BP899" s="4">
        <f t="shared" ref="BP899:BP962" si="512">IF(OR(AF899="YES", AF899="Not Applicable"), BP$1, "0")</f>
        <v>4</v>
      </c>
      <c r="BQ899" s="4">
        <f t="shared" ref="BQ899:BQ962" si="513">IF(OR(AG899="YES", AG899="Not Applicable"), BQ$1, "0")</f>
        <v>6</v>
      </c>
      <c r="BR899" s="4">
        <f t="shared" ref="BR899:BR962" si="514">IF(OR(AH899="YES", AH899="Not Applicable"), BR$1, "0")</f>
        <v>4</v>
      </c>
      <c r="BS899" s="4">
        <f t="shared" ref="BS899:BS962" si="515">IF(OR(AI899="YES", AI899="Not Applicable"), BS$1, "0")</f>
        <v>4</v>
      </c>
      <c r="BT899" s="4">
        <f t="shared" ref="BT899:BT962" si="516">IF(OR(AJ899="YES", AJ899="Not Applicable"), BT$1, "0")</f>
        <v>4</v>
      </c>
      <c r="BU899" s="4">
        <f t="shared" ref="BU899:BU962" si="517">IF(OR(AK899="YES", AK899="Not Applicable"), BU$1, "0")</f>
        <v>4</v>
      </c>
      <c r="BV899" s="4">
        <f t="shared" ref="BV899:BV962" si="518">IF(OR(AL899="YES", AL899="Not Applicable"), BV$1, "0")</f>
        <v>0</v>
      </c>
      <c r="BW899" s="4">
        <f t="shared" ref="BW899:BW962" si="519">IF(OR(AM899="YES", AM899="Not Applicable"), BW$1, "0")</f>
        <v>6</v>
      </c>
      <c r="BX899" s="4">
        <f t="shared" ref="BX899:BX962" si="520">IF(OR(AN899="YES", AN899="Not Applicable"), BX$1, "0")</f>
        <v>0</v>
      </c>
      <c r="BY899" s="4">
        <f t="shared" ref="BY899:BY962" si="521">IF(OR(AO899="YES", AO899="Not Applicable"), BY$1, "0")</f>
        <v>0</v>
      </c>
      <c r="BZ899" s="37">
        <f t="shared" ref="BZ899:BZ962" si="522">SUM(AW899:BY899)</f>
        <v>94</v>
      </c>
      <c r="CA899" s="32" t="str">
        <f>VLOOKUP(J:J,'Agent wise'!A:C,3,0)</f>
        <v xml:space="preserve">Shiny </v>
      </c>
      <c r="CB899" s="32">
        <f t="shared" ref="CB899:CB962" si="523">INT(E899)</f>
        <v>45945</v>
      </c>
      <c r="CC899" t="str">
        <f t="shared" ref="CC899:CC962" si="524">IF(BZ899&gt;=94.5, "Excellent", IF(BZ899&gt;89.5, "Good", IF(BZ899&gt;84.5, "Average", "FC")))</f>
        <v>Good</v>
      </c>
      <c r="CE899" s="32"/>
      <c r="CJ899">
        <f t="shared" si="490"/>
        <v>15</v>
      </c>
      <c r="CK899">
        <f t="shared" si="491"/>
        <v>10</v>
      </c>
      <c r="CL899">
        <f t="shared" si="492"/>
        <v>2025</v>
      </c>
    </row>
    <row r="900" spans="1:90" ht="15" customHeight="1" x14ac:dyDescent="0.35">
      <c r="A900" t="s">
        <v>2202</v>
      </c>
      <c r="B900" t="s">
        <v>250</v>
      </c>
      <c r="C900" t="s">
        <v>214</v>
      </c>
      <c r="D900" t="s">
        <v>251</v>
      </c>
      <c r="E900" s="32">
        <v>45945</v>
      </c>
      <c r="F900" t="s">
        <v>54</v>
      </c>
      <c r="G900" t="s">
        <v>1897</v>
      </c>
      <c r="H900">
        <v>9447118076</v>
      </c>
      <c r="I900">
        <v>204</v>
      </c>
      <c r="J900" t="s">
        <v>317</v>
      </c>
      <c r="K900" t="s">
        <v>86</v>
      </c>
      <c r="L900" t="s">
        <v>58</v>
      </c>
      <c r="M900" t="s">
        <v>60</v>
      </c>
      <c r="N900" t="s">
        <v>59</v>
      </c>
      <c r="O900" t="s">
        <v>59</v>
      </c>
      <c r="P900" t="s">
        <v>59</v>
      </c>
      <c r="Q900" t="s">
        <v>59</v>
      </c>
      <c r="R900" t="s">
        <v>59</v>
      </c>
      <c r="S900" t="s">
        <v>59</v>
      </c>
      <c r="T900" t="s">
        <v>59</v>
      </c>
      <c r="U900" t="s">
        <v>60</v>
      </c>
      <c r="V900" t="s">
        <v>59</v>
      </c>
      <c r="W900" t="s">
        <v>59</v>
      </c>
      <c r="X900" t="s">
        <v>59</v>
      </c>
      <c r="Y900" t="s">
        <v>59</v>
      </c>
      <c r="Z900" t="s">
        <v>59</v>
      </c>
      <c r="AA900" t="s">
        <v>60</v>
      </c>
      <c r="AB900" t="s">
        <v>60</v>
      </c>
      <c r="AC900" t="s">
        <v>59</v>
      </c>
      <c r="AD900" t="s">
        <v>59</v>
      </c>
      <c r="AE900" t="s">
        <v>59</v>
      </c>
      <c r="AF900" t="s">
        <v>59</v>
      </c>
      <c r="AG900" t="s">
        <v>59</v>
      </c>
      <c r="AH900" t="s">
        <v>61</v>
      </c>
      <c r="AI900" t="s">
        <v>61</v>
      </c>
      <c r="AJ900" t="s">
        <v>59</v>
      </c>
      <c r="AK900" t="s">
        <v>59</v>
      </c>
      <c r="AL900" t="s">
        <v>60</v>
      </c>
      <c r="AM900" t="s">
        <v>59</v>
      </c>
      <c r="AN900" t="s">
        <v>59</v>
      </c>
      <c r="AO900" t="s">
        <v>59</v>
      </c>
      <c r="AP900" t="s">
        <v>2203</v>
      </c>
      <c r="AQ900" t="s">
        <v>2204</v>
      </c>
      <c r="AR900" t="s">
        <v>64</v>
      </c>
      <c r="AS900" t="s">
        <v>417</v>
      </c>
      <c r="AT900" t="s">
        <v>911</v>
      </c>
      <c r="AU900" t="s">
        <v>219</v>
      </c>
      <c r="AW900" s="4" t="str">
        <f t="shared" si="493"/>
        <v>0</v>
      </c>
      <c r="AX900" s="4">
        <f t="shared" si="494"/>
        <v>4</v>
      </c>
      <c r="AY900" s="4">
        <f t="shared" si="495"/>
        <v>4</v>
      </c>
      <c r="AZ900" s="4">
        <f t="shared" si="496"/>
        <v>2</v>
      </c>
      <c r="BA900" s="4">
        <f t="shared" si="497"/>
        <v>4</v>
      </c>
      <c r="BB900" s="4">
        <f t="shared" si="498"/>
        <v>4</v>
      </c>
      <c r="BC900" s="4">
        <f t="shared" si="499"/>
        <v>4</v>
      </c>
      <c r="BD900" s="4">
        <f t="shared" si="500"/>
        <v>2</v>
      </c>
      <c r="BE900" s="4" t="str">
        <f t="shared" si="501"/>
        <v>0</v>
      </c>
      <c r="BF900" s="4">
        <f t="shared" si="502"/>
        <v>2</v>
      </c>
      <c r="BG900" s="4">
        <f t="shared" si="503"/>
        <v>4</v>
      </c>
      <c r="BH900" s="4">
        <f t="shared" si="504"/>
        <v>4</v>
      </c>
      <c r="BI900" s="4">
        <f t="shared" si="505"/>
        <v>4</v>
      </c>
      <c r="BJ900" s="4">
        <f t="shared" si="506"/>
        <v>2</v>
      </c>
      <c r="BK900" s="4" t="str">
        <f t="shared" si="507"/>
        <v>0</v>
      </c>
      <c r="BL900" s="4" t="str">
        <f t="shared" si="508"/>
        <v>0</v>
      </c>
      <c r="BM900" s="4">
        <f t="shared" si="509"/>
        <v>4</v>
      </c>
      <c r="BN900" s="4">
        <f t="shared" si="510"/>
        <v>4</v>
      </c>
      <c r="BO900" s="4">
        <f t="shared" si="511"/>
        <v>4</v>
      </c>
      <c r="BP900" s="4">
        <f t="shared" si="512"/>
        <v>4</v>
      </c>
      <c r="BQ900" s="4">
        <f t="shared" si="513"/>
        <v>6</v>
      </c>
      <c r="BR900" s="4">
        <f t="shared" si="514"/>
        <v>4</v>
      </c>
      <c r="BS900" s="4">
        <f t="shared" si="515"/>
        <v>4</v>
      </c>
      <c r="BT900" s="4">
        <f t="shared" si="516"/>
        <v>4</v>
      </c>
      <c r="BU900" s="4">
        <f t="shared" si="517"/>
        <v>4</v>
      </c>
      <c r="BV900" s="4" t="str">
        <f t="shared" si="518"/>
        <v>0</v>
      </c>
      <c r="BW900" s="4">
        <f t="shared" si="519"/>
        <v>6</v>
      </c>
      <c r="BX900" s="4">
        <f t="shared" si="520"/>
        <v>0</v>
      </c>
      <c r="BY900" s="4">
        <f t="shared" si="521"/>
        <v>0</v>
      </c>
      <c r="BZ900" s="37">
        <f t="shared" si="522"/>
        <v>84</v>
      </c>
      <c r="CA900" s="32" t="str">
        <f>VLOOKUP(J:J,'Agent wise'!A:C,3,0)</f>
        <v>Adharsh</v>
      </c>
      <c r="CB900" s="32">
        <f t="shared" si="523"/>
        <v>45945</v>
      </c>
      <c r="CC900" t="str">
        <f t="shared" si="524"/>
        <v>FC</v>
      </c>
      <c r="CE900" s="32"/>
      <c r="CJ900">
        <f t="shared" ref="CJ900:CJ963" si="525">DAY(E900)</f>
        <v>15</v>
      </c>
      <c r="CK900">
        <f t="shared" ref="CK900:CK963" si="526">MONTH(E900)</f>
        <v>10</v>
      </c>
      <c r="CL900">
        <f t="shared" ref="CL900:CL963" si="527">YEAR(E900)</f>
        <v>2025</v>
      </c>
    </row>
    <row r="901" spans="1:90" ht="15" customHeight="1" x14ac:dyDescent="0.35">
      <c r="A901" t="s">
        <v>2205</v>
      </c>
      <c r="B901" t="s">
        <v>51</v>
      </c>
      <c r="C901" t="s">
        <v>214</v>
      </c>
      <c r="D901" t="s">
        <v>53</v>
      </c>
      <c r="E901" s="32">
        <v>45946</v>
      </c>
      <c r="F901" t="s">
        <v>90</v>
      </c>
      <c r="G901" t="s">
        <v>1897</v>
      </c>
      <c r="H901">
        <v>9489155623</v>
      </c>
      <c r="I901">
        <v>258</v>
      </c>
      <c r="J901" t="s">
        <v>321</v>
      </c>
      <c r="K901" t="s">
        <v>71</v>
      </c>
      <c r="L901" t="s">
        <v>72</v>
      </c>
      <c r="M901" t="s">
        <v>59</v>
      </c>
      <c r="N901" t="s">
        <v>59</v>
      </c>
      <c r="O901" t="s">
        <v>59</v>
      </c>
      <c r="P901" t="s">
        <v>59</v>
      </c>
      <c r="Q901" t="s">
        <v>59</v>
      </c>
      <c r="R901" t="s">
        <v>60</v>
      </c>
      <c r="S901" t="s">
        <v>59</v>
      </c>
      <c r="T901" t="s">
        <v>59</v>
      </c>
      <c r="U901" t="s">
        <v>60</v>
      </c>
      <c r="V901" t="s">
        <v>59</v>
      </c>
      <c r="W901" t="s">
        <v>59</v>
      </c>
      <c r="X901" t="s">
        <v>59</v>
      </c>
      <c r="Y901" t="s">
        <v>59</v>
      </c>
      <c r="Z901" t="s">
        <v>59</v>
      </c>
      <c r="AA901" t="s">
        <v>59</v>
      </c>
      <c r="AB901" t="s">
        <v>60</v>
      </c>
      <c r="AC901" t="s">
        <v>60</v>
      </c>
      <c r="AD901" t="s">
        <v>59</v>
      </c>
      <c r="AE901" t="s">
        <v>60</v>
      </c>
      <c r="AF901" t="s">
        <v>61</v>
      </c>
      <c r="AG901" t="s">
        <v>59</v>
      </c>
      <c r="AH901" t="s">
        <v>61</v>
      </c>
      <c r="AI901" t="s">
        <v>61</v>
      </c>
      <c r="AJ901" t="s">
        <v>59</v>
      </c>
      <c r="AK901" t="s">
        <v>61</v>
      </c>
      <c r="AL901" t="s">
        <v>60</v>
      </c>
      <c r="AM901" t="s">
        <v>59</v>
      </c>
      <c r="AN901" t="s">
        <v>59</v>
      </c>
      <c r="AO901" t="s">
        <v>59</v>
      </c>
      <c r="AP901" t="s">
        <v>1398</v>
      </c>
      <c r="AQ901" t="s">
        <v>532</v>
      </c>
      <c r="AR901" t="s">
        <v>64</v>
      </c>
      <c r="AS901" t="s">
        <v>94</v>
      </c>
      <c r="AT901" t="s">
        <v>597</v>
      </c>
      <c r="AU901" t="s">
        <v>448</v>
      </c>
      <c r="AW901" s="4">
        <f t="shared" si="493"/>
        <v>6</v>
      </c>
      <c r="AX901" s="4">
        <f t="shared" si="494"/>
        <v>4</v>
      </c>
      <c r="AY901" s="4">
        <f t="shared" si="495"/>
        <v>4</v>
      </c>
      <c r="AZ901" s="4">
        <f t="shared" si="496"/>
        <v>2</v>
      </c>
      <c r="BA901" s="4">
        <f t="shared" si="497"/>
        <v>4</v>
      </c>
      <c r="BB901" s="4" t="str">
        <f t="shared" si="498"/>
        <v>0</v>
      </c>
      <c r="BC901" s="4">
        <f t="shared" si="499"/>
        <v>4</v>
      </c>
      <c r="BD901" s="4">
        <f t="shared" si="500"/>
        <v>2</v>
      </c>
      <c r="BE901" s="4" t="str">
        <f t="shared" si="501"/>
        <v>0</v>
      </c>
      <c r="BF901" s="4">
        <f t="shared" si="502"/>
        <v>2</v>
      </c>
      <c r="BG901" s="4">
        <f t="shared" si="503"/>
        <v>4</v>
      </c>
      <c r="BH901" s="4">
        <f t="shared" si="504"/>
        <v>4</v>
      </c>
      <c r="BI901" s="4">
        <f t="shared" si="505"/>
        <v>4</v>
      </c>
      <c r="BJ901" s="4">
        <f t="shared" si="506"/>
        <v>2</v>
      </c>
      <c r="BK901" s="4">
        <f t="shared" si="507"/>
        <v>4</v>
      </c>
      <c r="BL901" s="4" t="str">
        <f t="shared" si="508"/>
        <v>0</v>
      </c>
      <c r="BM901" s="4" t="str">
        <f t="shared" si="509"/>
        <v>0</v>
      </c>
      <c r="BN901" s="4">
        <f t="shared" si="510"/>
        <v>4</v>
      </c>
      <c r="BO901" s="4" t="str">
        <f t="shared" si="511"/>
        <v>0</v>
      </c>
      <c r="BP901" s="4">
        <f t="shared" si="512"/>
        <v>4</v>
      </c>
      <c r="BQ901" s="4">
        <f t="shared" si="513"/>
        <v>6</v>
      </c>
      <c r="BR901" s="4">
        <f t="shared" si="514"/>
        <v>4</v>
      </c>
      <c r="BS901" s="4">
        <f t="shared" si="515"/>
        <v>4</v>
      </c>
      <c r="BT901" s="4">
        <f t="shared" si="516"/>
        <v>4</v>
      </c>
      <c r="BU901" s="4">
        <f t="shared" si="517"/>
        <v>4</v>
      </c>
      <c r="BV901" s="4" t="str">
        <f t="shared" si="518"/>
        <v>0</v>
      </c>
      <c r="BW901" s="4">
        <f t="shared" si="519"/>
        <v>6</v>
      </c>
      <c r="BX901" s="4">
        <f t="shared" si="520"/>
        <v>0</v>
      </c>
      <c r="BY901" s="4">
        <f t="shared" si="521"/>
        <v>0</v>
      </c>
      <c r="BZ901" s="37">
        <f t="shared" si="522"/>
        <v>82</v>
      </c>
      <c r="CA901" s="32" t="str">
        <f>VLOOKUP(J:J,'Agent wise'!A:C,3,0)</f>
        <v>Saran S</v>
      </c>
      <c r="CB901" s="32">
        <f t="shared" si="523"/>
        <v>45946</v>
      </c>
      <c r="CC901" t="str">
        <f t="shared" si="524"/>
        <v>FC</v>
      </c>
      <c r="CE901" s="32"/>
      <c r="CJ901">
        <f t="shared" si="525"/>
        <v>16</v>
      </c>
      <c r="CK901">
        <f t="shared" si="526"/>
        <v>10</v>
      </c>
      <c r="CL901">
        <f t="shared" si="527"/>
        <v>2025</v>
      </c>
    </row>
    <row r="902" spans="1:90" ht="15" customHeight="1" x14ac:dyDescent="0.35">
      <c r="A902" t="s">
        <v>2206</v>
      </c>
      <c r="B902" t="s">
        <v>250</v>
      </c>
      <c r="C902" t="s">
        <v>214</v>
      </c>
      <c r="D902" t="s">
        <v>251</v>
      </c>
      <c r="E902" s="32">
        <v>45946</v>
      </c>
      <c r="F902" t="s">
        <v>54</v>
      </c>
      <c r="G902" t="s">
        <v>1897</v>
      </c>
      <c r="H902">
        <v>9443616335</v>
      </c>
      <c r="I902">
        <v>149</v>
      </c>
      <c r="J902" t="s">
        <v>159</v>
      </c>
      <c r="K902" t="s">
        <v>71</v>
      </c>
      <c r="L902" t="s">
        <v>72</v>
      </c>
      <c r="M902" t="s">
        <v>59</v>
      </c>
      <c r="N902" t="s">
        <v>59</v>
      </c>
      <c r="O902" t="s">
        <v>60</v>
      </c>
      <c r="P902" t="s">
        <v>59</v>
      </c>
      <c r="Q902" t="s">
        <v>59</v>
      </c>
      <c r="R902" t="s">
        <v>59</v>
      </c>
      <c r="S902" t="s">
        <v>59</v>
      </c>
      <c r="T902" t="s">
        <v>59</v>
      </c>
      <c r="U902" t="s">
        <v>60</v>
      </c>
      <c r="V902" t="s">
        <v>59</v>
      </c>
      <c r="W902" t="s">
        <v>59</v>
      </c>
      <c r="X902" t="s">
        <v>59</v>
      </c>
      <c r="Y902" t="s">
        <v>59</v>
      </c>
      <c r="Z902" t="s">
        <v>59</v>
      </c>
      <c r="AA902" t="s">
        <v>60</v>
      </c>
      <c r="AB902" t="s">
        <v>60</v>
      </c>
      <c r="AC902" t="s">
        <v>60</v>
      </c>
      <c r="AD902" t="s">
        <v>59</v>
      </c>
      <c r="AE902" t="s">
        <v>59</v>
      </c>
      <c r="AF902" t="s">
        <v>59</v>
      </c>
      <c r="AG902" t="s">
        <v>59</v>
      </c>
      <c r="AH902" t="s">
        <v>61</v>
      </c>
      <c r="AI902" t="s">
        <v>61</v>
      </c>
      <c r="AJ902" t="s">
        <v>59</v>
      </c>
      <c r="AK902" t="s">
        <v>59</v>
      </c>
      <c r="AL902" t="s">
        <v>60</v>
      </c>
      <c r="AM902" t="s">
        <v>59</v>
      </c>
      <c r="AN902" t="s">
        <v>59</v>
      </c>
      <c r="AO902" t="s">
        <v>59</v>
      </c>
      <c r="AP902" t="s">
        <v>2207</v>
      </c>
      <c r="AQ902" t="s">
        <v>2208</v>
      </c>
      <c r="AR902" t="s">
        <v>64</v>
      </c>
      <c r="AS902" t="s">
        <v>111</v>
      </c>
      <c r="AT902" t="s">
        <v>112</v>
      </c>
      <c r="AU902" t="s">
        <v>219</v>
      </c>
      <c r="AW902" s="4">
        <f t="shared" si="493"/>
        <v>6</v>
      </c>
      <c r="AX902" s="4">
        <f t="shared" si="494"/>
        <v>4</v>
      </c>
      <c r="AY902" s="4" t="str">
        <f t="shared" si="495"/>
        <v>0</v>
      </c>
      <c r="AZ902" s="4">
        <f t="shared" si="496"/>
        <v>2</v>
      </c>
      <c r="BA902" s="4">
        <f t="shared" si="497"/>
        <v>4</v>
      </c>
      <c r="BB902" s="4">
        <f t="shared" si="498"/>
        <v>4</v>
      </c>
      <c r="BC902" s="4">
        <f t="shared" si="499"/>
        <v>4</v>
      </c>
      <c r="BD902" s="4">
        <f t="shared" si="500"/>
        <v>2</v>
      </c>
      <c r="BE902" s="4" t="str">
        <f t="shared" si="501"/>
        <v>0</v>
      </c>
      <c r="BF902" s="4">
        <f t="shared" si="502"/>
        <v>2</v>
      </c>
      <c r="BG902" s="4">
        <f t="shared" si="503"/>
        <v>4</v>
      </c>
      <c r="BH902" s="4">
        <f t="shared" si="504"/>
        <v>4</v>
      </c>
      <c r="BI902" s="4">
        <f t="shared" si="505"/>
        <v>4</v>
      </c>
      <c r="BJ902" s="4">
        <f t="shared" si="506"/>
        <v>2</v>
      </c>
      <c r="BK902" s="4" t="str">
        <f t="shared" si="507"/>
        <v>0</v>
      </c>
      <c r="BL902" s="4" t="str">
        <f t="shared" si="508"/>
        <v>0</v>
      </c>
      <c r="BM902" s="4" t="str">
        <f t="shared" si="509"/>
        <v>0</v>
      </c>
      <c r="BN902" s="4">
        <f t="shared" si="510"/>
        <v>4</v>
      </c>
      <c r="BO902" s="4">
        <f t="shared" si="511"/>
        <v>4</v>
      </c>
      <c r="BP902" s="4">
        <f t="shared" si="512"/>
        <v>4</v>
      </c>
      <c r="BQ902" s="4">
        <f t="shared" si="513"/>
        <v>6</v>
      </c>
      <c r="BR902" s="4">
        <f t="shared" si="514"/>
        <v>4</v>
      </c>
      <c r="BS902" s="4">
        <f t="shared" si="515"/>
        <v>4</v>
      </c>
      <c r="BT902" s="4">
        <f t="shared" si="516"/>
        <v>4</v>
      </c>
      <c r="BU902" s="4">
        <f t="shared" si="517"/>
        <v>4</v>
      </c>
      <c r="BV902" s="4" t="str">
        <f t="shared" si="518"/>
        <v>0</v>
      </c>
      <c r="BW902" s="4">
        <f t="shared" si="519"/>
        <v>6</v>
      </c>
      <c r="BX902" s="4">
        <f t="shared" si="520"/>
        <v>0</v>
      </c>
      <c r="BY902" s="4">
        <f t="shared" si="521"/>
        <v>0</v>
      </c>
      <c r="BZ902" s="37">
        <f t="shared" si="522"/>
        <v>82</v>
      </c>
      <c r="CA902" s="32" t="str">
        <f>VLOOKUP(J:J,'Agent wise'!A:C,3,0)</f>
        <v>Shakeer</v>
      </c>
      <c r="CB902" s="32">
        <f t="shared" si="523"/>
        <v>45946</v>
      </c>
      <c r="CC902" t="str">
        <f t="shared" si="524"/>
        <v>FC</v>
      </c>
      <c r="CE902" s="32"/>
      <c r="CJ902">
        <f t="shared" si="525"/>
        <v>16</v>
      </c>
      <c r="CK902">
        <f t="shared" si="526"/>
        <v>10</v>
      </c>
      <c r="CL902">
        <f t="shared" si="527"/>
        <v>2025</v>
      </c>
    </row>
    <row r="903" spans="1:90" ht="15" customHeight="1" x14ac:dyDescent="0.35">
      <c r="A903" t="s">
        <v>2209</v>
      </c>
      <c r="B903" t="s">
        <v>177</v>
      </c>
      <c r="C903" t="s">
        <v>214</v>
      </c>
      <c r="D903" t="s">
        <v>178</v>
      </c>
      <c r="E903" s="32">
        <v>45945</v>
      </c>
      <c r="F903" t="s">
        <v>54</v>
      </c>
      <c r="G903" t="s">
        <v>1749</v>
      </c>
      <c r="H903">
        <v>9486873283</v>
      </c>
      <c r="I903">
        <v>111</v>
      </c>
      <c r="J903" t="s">
        <v>274</v>
      </c>
      <c r="K903" t="s">
        <v>71</v>
      </c>
      <c r="L903" t="s">
        <v>72</v>
      </c>
      <c r="M903" t="s">
        <v>59</v>
      </c>
      <c r="N903" t="s">
        <v>59</v>
      </c>
      <c r="O903" t="s">
        <v>59</v>
      </c>
      <c r="P903" t="s">
        <v>59</v>
      </c>
      <c r="Q903" t="s">
        <v>59</v>
      </c>
      <c r="R903" t="s">
        <v>59</v>
      </c>
      <c r="S903" t="s">
        <v>59</v>
      </c>
      <c r="T903" t="s">
        <v>59</v>
      </c>
      <c r="U903" t="s">
        <v>59</v>
      </c>
      <c r="V903" t="s">
        <v>59</v>
      </c>
      <c r="W903" t="s">
        <v>59</v>
      </c>
      <c r="X903" t="s">
        <v>59</v>
      </c>
      <c r="Y903" t="s">
        <v>59</v>
      </c>
      <c r="Z903" t="s">
        <v>60</v>
      </c>
      <c r="AA903" t="s">
        <v>59</v>
      </c>
      <c r="AB903" t="s">
        <v>59</v>
      </c>
      <c r="AC903" t="s">
        <v>61</v>
      </c>
      <c r="AD903" t="s">
        <v>59</v>
      </c>
      <c r="AE903" t="s">
        <v>59</v>
      </c>
      <c r="AF903" t="s">
        <v>59</v>
      </c>
      <c r="AG903" t="s">
        <v>59</v>
      </c>
      <c r="AH903" t="s">
        <v>61</v>
      </c>
      <c r="AI903" t="s">
        <v>61</v>
      </c>
      <c r="AJ903" t="s">
        <v>59</v>
      </c>
      <c r="AK903" t="s">
        <v>59</v>
      </c>
      <c r="AL903" t="s">
        <v>59</v>
      </c>
      <c r="AM903" t="s">
        <v>59</v>
      </c>
      <c r="AN903" t="s">
        <v>59</v>
      </c>
      <c r="AO903" t="s">
        <v>59</v>
      </c>
      <c r="AP903" t="s">
        <v>1871</v>
      </c>
      <c r="AQ903" t="s">
        <v>2210</v>
      </c>
      <c r="AR903" t="s">
        <v>64</v>
      </c>
      <c r="AS903" t="s">
        <v>157</v>
      </c>
      <c r="AT903" t="s">
        <v>2211</v>
      </c>
      <c r="AU903" t="s">
        <v>387</v>
      </c>
      <c r="AW903" s="4">
        <f t="shared" si="493"/>
        <v>6</v>
      </c>
      <c r="AX903" s="4">
        <f t="shared" si="494"/>
        <v>4</v>
      </c>
      <c r="AY903" s="4">
        <f t="shared" si="495"/>
        <v>4</v>
      </c>
      <c r="AZ903" s="4">
        <f t="shared" si="496"/>
        <v>2</v>
      </c>
      <c r="BA903" s="4">
        <f t="shared" si="497"/>
        <v>4</v>
      </c>
      <c r="BB903" s="4">
        <f t="shared" si="498"/>
        <v>4</v>
      </c>
      <c r="BC903" s="4">
        <f t="shared" si="499"/>
        <v>4</v>
      </c>
      <c r="BD903" s="4">
        <f t="shared" si="500"/>
        <v>2</v>
      </c>
      <c r="BE903" s="4">
        <f t="shared" si="501"/>
        <v>4</v>
      </c>
      <c r="BF903" s="4">
        <f t="shared" si="502"/>
        <v>2</v>
      </c>
      <c r="BG903" s="4">
        <f t="shared" si="503"/>
        <v>4</v>
      </c>
      <c r="BH903" s="4">
        <f t="shared" si="504"/>
        <v>4</v>
      </c>
      <c r="BI903" s="4">
        <f t="shared" si="505"/>
        <v>4</v>
      </c>
      <c r="BJ903" s="4" t="str">
        <f t="shared" si="506"/>
        <v>0</v>
      </c>
      <c r="BK903" s="4">
        <f t="shared" si="507"/>
        <v>4</v>
      </c>
      <c r="BL903" s="4">
        <f t="shared" si="508"/>
        <v>2</v>
      </c>
      <c r="BM903" s="4">
        <f t="shared" si="509"/>
        <v>4</v>
      </c>
      <c r="BN903" s="4">
        <f t="shared" si="510"/>
        <v>4</v>
      </c>
      <c r="BO903" s="4">
        <f t="shared" si="511"/>
        <v>4</v>
      </c>
      <c r="BP903" s="4">
        <f t="shared" si="512"/>
        <v>4</v>
      </c>
      <c r="BQ903" s="4">
        <f t="shared" si="513"/>
        <v>6</v>
      </c>
      <c r="BR903" s="4">
        <f t="shared" si="514"/>
        <v>4</v>
      </c>
      <c r="BS903" s="4">
        <f t="shared" si="515"/>
        <v>4</v>
      </c>
      <c r="BT903" s="4">
        <f t="shared" si="516"/>
        <v>4</v>
      </c>
      <c r="BU903" s="4">
        <f t="shared" si="517"/>
        <v>4</v>
      </c>
      <c r="BV903" s="4">
        <f t="shared" si="518"/>
        <v>0</v>
      </c>
      <c r="BW903" s="4">
        <f t="shared" si="519"/>
        <v>6</v>
      </c>
      <c r="BX903" s="4">
        <f t="shared" si="520"/>
        <v>0</v>
      </c>
      <c r="BY903" s="4">
        <f t="shared" si="521"/>
        <v>0</v>
      </c>
      <c r="BZ903" s="37">
        <f t="shared" si="522"/>
        <v>98</v>
      </c>
      <c r="CA903" s="32" t="str">
        <f>VLOOKUP(J:J,'Agent wise'!A:C,3,0)</f>
        <v>Shakeer</v>
      </c>
      <c r="CB903" s="32">
        <f t="shared" si="523"/>
        <v>45945</v>
      </c>
      <c r="CC903" t="str">
        <f t="shared" si="524"/>
        <v>Excellent</v>
      </c>
      <c r="CE903" s="32"/>
      <c r="CJ903">
        <f t="shared" si="525"/>
        <v>15</v>
      </c>
      <c r="CK903">
        <f t="shared" si="526"/>
        <v>10</v>
      </c>
      <c r="CL903">
        <f t="shared" si="527"/>
        <v>2025</v>
      </c>
    </row>
    <row r="904" spans="1:90" ht="15" customHeight="1" x14ac:dyDescent="0.35">
      <c r="A904" t="s">
        <v>2212</v>
      </c>
      <c r="B904" t="s">
        <v>250</v>
      </c>
      <c r="C904" t="s">
        <v>214</v>
      </c>
      <c r="D904" t="s">
        <v>251</v>
      </c>
      <c r="E904" s="32">
        <v>45946</v>
      </c>
      <c r="F904" t="s">
        <v>54</v>
      </c>
      <c r="G904" t="s">
        <v>1897</v>
      </c>
      <c r="H904">
        <v>7558934636</v>
      </c>
      <c r="I904">
        <v>145</v>
      </c>
      <c r="J904" t="s">
        <v>291</v>
      </c>
      <c r="K904" t="s">
        <v>57</v>
      </c>
      <c r="L904" t="s">
        <v>58</v>
      </c>
      <c r="M904" t="s">
        <v>59</v>
      </c>
      <c r="N904" t="s">
        <v>59</v>
      </c>
      <c r="O904" t="s">
        <v>59</v>
      </c>
      <c r="P904" t="s">
        <v>59</v>
      </c>
      <c r="Q904" t="s">
        <v>59</v>
      </c>
      <c r="R904" t="s">
        <v>59</v>
      </c>
      <c r="S904" t="s">
        <v>59</v>
      </c>
      <c r="T904" t="s">
        <v>59</v>
      </c>
      <c r="U904" t="s">
        <v>60</v>
      </c>
      <c r="V904" t="s">
        <v>59</v>
      </c>
      <c r="W904" t="s">
        <v>59</v>
      </c>
      <c r="X904" t="s">
        <v>59</v>
      </c>
      <c r="Y904" t="s">
        <v>59</v>
      </c>
      <c r="Z904" t="s">
        <v>59</v>
      </c>
      <c r="AA904" t="s">
        <v>59</v>
      </c>
      <c r="AB904" t="s">
        <v>60</v>
      </c>
      <c r="AC904" t="s">
        <v>59</v>
      </c>
      <c r="AD904" t="s">
        <v>59</v>
      </c>
      <c r="AE904" t="s">
        <v>59</v>
      </c>
      <c r="AF904" t="s">
        <v>59</v>
      </c>
      <c r="AG904" t="s">
        <v>59</v>
      </c>
      <c r="AH904" t="s">
        <v>61</v>
      </c>
      <c r="AI904" t="s">
        <v>61</v>
      </c>
      <c r="AJ904" t="s">
        <v>59</v>
      </c>
      <c r="AK904" t="s">
        <v>59</v>
      </c>
      <c r="AL904" t="s">
        <v>60</v>
      </c>
      <c r="AM904" t="s">
        <v>59</v>
      </c>
      <c r="AN904" t="s">
        <v>59</v>
      </c>
      <c r="AO904" t="s">
        <v>59</v>
      </c>
      <c r="AP904" t="s">
        <v>467</v>
      </c>
      <c r="AQ904" t="s">
        <v>2213</v>
      </c>
      <c r="AR904" t="s">
        <v>64</v>
      </c>
      <c r="AS904" t="s">
        <v>417</v>
      </c>
      <c r="AT904" t="s">
        <v>418</v>
      </c>
      <c r="AU904" t="s">
        <v>219</v>
      </c>
      <c r="AW904" s="4">
        <f t="shared" si="493"/>
        <v>6</v>
      </c>
      <c r="AX904" s="4">
        <f t="shared" si="494"/>
        <v>4</v>
      </c>
      <c r="AY904" s="4">
        <f t="shared" si="495"/>
        <v>4</v>
      </c>
      <c r="AZ904" s="4">
        <f t="shared" si="496"/>
        <v>2</v>
      </c>
      <c r="BA904" s="4">
        <f t="shared" si="497"/>
        <v>4</v>
      </c>
      <c r="BB904" s="4">
        <f t="shared" si="498"/>
        <v>4</v>
      </c>
      <c r="BC904" s="4">
        <f t="shared" si="499"/>
        <v>4</v>
      </c>
      <c r="BD904" s="4">
        <f t="shared" si="500"/>
        <v>2</v>
      </c>
      <c r="BE904" s="4" t="str">
        <f t="shared" si="501"/>
        <v>0</v>
      </c>
      <c r="BF904" s="4">
        <f t="shared" si="502"/>
        <v>2</v>
      </c>
      <c r="BG904" s="4">
        <f t="shared" si="503"/>
        <v>4</v>
      </c>
      <c r="BH904" s="4">
        <f t="shared" si="504"/>
        <v>4</v>
      </c>
      <c r="BI904" s="4">
        <f t="shared" si="505"/>
        <v>4</v>
      </c>
      <c r="BJ904" s="4">
        <f t="shared" si="506"/>
        <v>2</v>
      </c>
      <c r="BK904" s="4">
        <f t="shared" si="507"/>
        <v>4</v>
      </c>
      <c r="BL904" s="4" t="str">
        <f t="shared" si="508"/>
        <v>0</v>
      </c>
      <c r="BM904" s="4">
        <f t="shared" si="509"/>
        <v>4</v>
      </c>
      <c r="BN904" s="4">
        <f t="shared" si="510"/>
        <v>4</v>
      </c>
      <c r="BO904" s="4">
        <f t="shared" si="511"/>
        <v>4</v>
      </c>
      <c r="BP904" s="4">
        <f t="shared" si="512"/>
        <v>4</v>
      </c>
      <c r="BQ904" s="4">
        <f t="shared" si="513"/>
        <v>6</v>
      </c>
      <c r="BR904" s="4">
        <f t="shared" si="514"/>
        <v>4</v>
      </c>
      <c r="BS904" s="4">
        <f t="shared" si="515"/>
        <v>4</v>
      </c>
      <c r="BT904" s="4">
        <f t="shared" si="516"/>
        <v>4</v>
      </c>
      <c r="BU904" s="4">
        <f t="shared" si="517"/>
        <v>4</v>
      </c>
      <c r="BV904" s="4" t="str">
        <f t="shared" si="518"/>
        <v>0</v>
      </c>
      <c r="BW904" s="4">
        <f t="shared" si="519"/>
        <v>6</v>
      </c>
      <c r="BX904" s="4">
        <f t="shared" si="520"/>
        <v>0</v>
      </c>
      <c r="BY904" s="4">
        <f t="shared" si="521"/>
        <v>0</v>
      </c>
      <c r="BZ904" s="37">
        <f t="shared" si="522"/>
        <v>94</v>
      </c>
      <c r="CA904" s="32" t="str">
        <f>VLOOKUP(J:J,'Agent wise'!A:C,3,0)</f>
        <v xml:space="preserve">Shiny </v>
      </c>
      <c r="CB904" s="32">
        <f t="shared" si="523"/>
        <v>45946</v>
      </c>
      <c r="CC904" t="str">
        <f t="shared" si="524"/>
        <v>Good</v>
      </c>
      <c r="CE904" s="32"/>
      <c r="CJ904">
        <f t="shared" si="525"/>
        <v>16</v>
      </c>
      <c r="CK904">
        <f t="shared" si="526"/>
        <v>10</v>
      </c>
      <c r="CL904">
        <f t="shared" si="527"/>
        <v>2025</v>
      </c>
    </row>
    <row r="905" spans="1:90" ht="15" customHeight="1" x14ac:dyDescent="0.35">
      <c r="A905" t="s">
        <v>2214</v>
      </c>
      <c r="B905" t="s">
        <v>177</v>
      </c>
      <c r="C905" t="s">
        <v>214</v>
      </c>
      <c r="D905" t="s">
        <v>178</v>
      </c>
      <c r="E905" s="32">
        <v>45945</v>
      </c>
      <c r="F905" t="s">
        <v>54</v>
      </c>
      <c r="G905" t="s">
        <v>1749</v>
      </c>
      <c r="H905">
        <v>9400412919</v>
      </c>
      <c r="I905">
        <v>151</v>
      </c>
      <c r="J905" t="s">
        <v>204</v>
      </c>
      <c r="K905" t="s">
        <v>57</v>
      </c>
      <c r="L905" t="s">
        <v>58</v>
      </c>
      <c r="M905" t="s">
        <v>59</v>
      </c>
      <c r="N905" t="s">
        <v>59</v>
      </c>
      <c r="O905" t="s">
        <v>59</v>
      </c>
      <c r="P905" t="s">
        <v>59</v>
      </c>
      <c r="Q905" t="s">
        <v>59</v>
      </c>
      <c r="R905" t="s">
        <v>59</v>
      </c>
      <c r="S905" t="s">
        <v>59</v>
      </c>
      <c r="T905" t="s">
        <v>59</v>
      </c>
      <c r="U905" t="s">
        <v>59</v>
      </c>
      <c r="V905" t="s">
        <v>59</v>
      </c>
      <c r="W905" t="s">
        <v>59</v>
      </c>
      <c r="X905" t="s">
        <v>59</v>
      </c>
      <c r="Y905" t="s">
        <v>59</v>
      </c>
      <c r="Z905" t="s">
        <v>59</v>
      </c>
      <c r="AA905" t="s">
        <v>59</v>
      </c>
      <c r="AB905" t="s">
        <v>59</v>
      </c>
      <c r="AC905" t="s">
        <v>61</v>
      </c>
      <c r="AD905" t="s">
        <v>59</v>
      </c>
      <c r="AE905" t="s">
        <v>59</v>
      </c>
      <c r="AF905" t="s">
        <v>59</v>
      </c>
      <c r="AG905" t="s">
        <v>59</v>
      </c>
      <c r="AH905" t="s">
        <v>61</v>
      </c>
      <c r="AI905" t="s">
        <v>61</v>
      </c>
      <c r="AJ905" t="s">
        <v>59</v>
      </c>
      <c r="AK905" t="s">
        <v>59</v>
      </c>
      <c r="AL905" t="s">
        <v>59</v>
      </c>
      <c r="AM905" t="s">
        <v>59</v>
      </c>
      <c r="AN905" t="s">
        <v>60</v>
      </c>
      <c r="AO905" t="s">
        <v>59</v>
      </c>
      <c r="AP905" t="s">
        <v>39</v>
      </c>
      <c r="AQ905" t="s">
        <v>2215</v>
      </c>
      <c r="AR905" t="s">
        <v>64</v>
      </c>
      <c r="AS905" t="s">
        <v>171</v>
      </c>
      <c r="AT905" t="s">
        <v>172</v>
      </c>
      <c r="AU905" t="s">
        <v>299</v>
      </c>
      <c r="AW905" s="4">
        <f t="shared" si="493"/>
        <v>6</v>
      </c>
      <c r="AX905" s="4">
        <f t="shared" si="494"/>
        <v>4</v>
      </c>
      <c r="AY905" s="4">
        <f t="shared" si="495"/>
        <v>4</v>
      </c>
      <c r="AZ905" s="4">
        <f t="shared" si="496"/>
        <v>2</v>
      </c>
      <c r="BA905" s="4">
        <f t="shared" si="497"/>
        <v>4</v>
      </c>
      <c r="BB905" s="4">
        <f t="shared" si="498"/>
        <v>4</v>
      </c>
      <c r="BC905" s="4">
        <f t="shared" si="499"/>
        <v>4</v>
      </c>
      <c r="BD905" s="4">
        <f t="shared" si="500"/>
        <v>2</v>
      </c>
      <c r="BE905" s="4">
        <f t="shared" si="501"/>
        <v>4</v>
      </c>
      <c r="BF905" s="4">
        <f t="shared" si="502"/>
        <v>2</v>
      </c>
      <c r="BG905" s="4">
        <f t="shared" si="503"/>
        <v>4</v>
      </c>
      <c r="BH905" s="4">
        <f t="shared" si="504"/>
        <v>4</v>
      </c>
      <c r="BI905" s="4">
        <f t="shared" si="505"/>
        <v>4</v>
      </c>
      <c r="BJ905" s="4">
        <f t="shared" si="506"/>
        <v>2</v>
      </c>
      <c r="BK905" s="4">
        <f t="shared" si="507"/>
        <v>4</v>
      </c>
      <c r="BL905" s="4">
        <f t="shared" si="508"/>
        <v>2</v>
      </c>
      <c r="BM905" s="4">
        <f t="shared" si="509"/>
        <v>4</v>
      </c>
      <c r="BN905" s="4">
        <f t="shared" si="510"/>
        <v>4</v>
      </c>
      <c r="BO905" s="4">
        <f t="shared" si="511"/>
        <v>4</v>
      </c>
      <c r="BP905" s="4">
        <f t="shared" si="512"/>
        <v>4</v>
      </c>
      <c r="BQ905" s="4">
        <f t="shared" si="513"/>
        <v>6</v>
      </c>
      <c r="BR905" s="4">
        <f t="shared" si="514"/>
        <v>4</v>
      </c>
      <c r="BS905" s="4">
        <f t="shared" si="515"/>
        <v>4</v>
      </c>
      <c r="BT905" s="4">
        <f t="shared" si="516"/>
        <v>4</v>
      </c>
      <c r="BU905" s="4">
        <f t="shared" si="517"/>
        <v>4</v>
      </c>
      <c r="BV905" s="4">
        <f t="shared" si="518"/>
        <v>0</v>
      </c>
      <c r="BW905" s="4">
        <f t="shared" si="519"/>
        <v>6</v>
      </c>
      <c r="BX905" s="4" t="str">
        <f t="shared" si="520"/>
        <v>0</v>
      </c>
      <c r="BY905" s="4">
        <f t="shared" si="521"/>
        <v>0</v>
      </c>
      <c r="BZ905" s="37">
        <f t="shared" si="522"/>
        <v>100</v>
      </c>
      <c r="CA905" s="32" t="str">
        <f>VLOOKUP(J:J,'Agent wise'!A:C,3,0)</f>
        <v xml:space="preserve">Shiny </v>
      </c>
      <c r="CB905" s="32">
        <f t="shared" si="523"/>
        <v>45945</v>
      </c>
      <c r="CC905" t="str">
        <f t="shared" si="524"/>
        <v>Excellent</v>
      </c>
      <c r="CE905" s="32"/>
      <c r="CJ905">
        <f t="shared" si="525"/>
        <v>15</v>
      </c>
      <c r="CK905">
        <f t="shared" si="526"/>
        <v>10</v>
      </c>
      <c r="CL905">
        <f t="shared" si="527"/>
        <v>2025</v>
      </c>
    </row>
    <row r="906" spans="1:90" ht="15" customHeight="1" x14ac:dyDescent="0.35">
      <c r="A906" t="s">
        <v>2216</v>
      </c>
      <c r="B906" t="s">
        <v>100</v>
      </c>
      <c r="C906" t="s">
        <v>214</v>
      </c>
      <c r="D906" t="s">
        <v>101</v>
      </c>
      <c r="E906" s="32">
        <v>45946</v>
      </c>
      <c r="F906" t="s">
        <v>90</v>
      </c>
      <c r="G906" t="s">
        <v>1897</v>
      </c>
      <c r="H906">
        <v>9444482693</v>
      </c>
      <c r="I906">
        <v>179</v>
      </c>
      <c r="J906" t="s">
        <v>274</v>
      </c>
      <c r="K906" t="s">
        <v>71</v>
      </c>
      <c r="L906" t="s">
        <v>72</v>
      </c>
      <c r="M906" t="s">
        <v>59</v>
      </c>
      <c r="N906" t="s">
        <v>59</v>
      </c>
      <c r="O906" t="s">
        <v>60</v>
      </c>
      <c r="P906" t="s">
        <v>59</v>
      </c>
      <c r="Q906" t="s">
        <v>59</v>
      </c>
      <c r="R906" t="s">
        <v>59</v>
      </c>
      <c r="S906" t="s">
        <v>59</v>
      </c>
      <c r="T906" t="s">
        <v>59</v>
      </c>
      <c r="U906" t="s">
        <v>60</v>
      </c>
      <c r="V906" t="s">
        <v>59</v>
      </c>
      <c r="W906" t="s">
        <v>59</v>
      </c>
      <c r="X906" t="s">
        <v>59</v>
      </c>
      <c r="Y906" t="s">
        <v>59</v>
      </c>
      <c r="Z906" t="s">
        <v>59</v>
      </c>
      <c r="AA906" t="s">
        <v>59</v>
      </c>
      <c r="AB906" t="s">
        <v>59</v>
      </c>
      <c r="AC906" t="s">
        <v>59</v>
      </c>
      <c r="AD906" t="s">
        <v>59</v>
      </c>
      <c r="AE906" t="s">
        <v>60</v>
      </c>
      <c r="AF906" t="s">
        <v>59</v>
      </c>
      <c r="AG906" t="s">
        <v>59</v>
      </c>
      <c r="AH906" t="s">
        <v>61</v>
      </c>
      <c r="AI906" t="s">
        <v>61</v>
      </c>
      <c r="AJ906" t="s">
        <v>59</v>
      </c>
      <c r="AK906" t="s">
        <v>59</v>
      </c>
      <c r="AL906" t="s">
        <v>60</v>
      </c>
      <c r="AM906" t="s">
        <v>59</v>
      </c>
      <c r="AN906" t="s">
        <v>59</v>
      </c>
      <c r="AO906" t="s">
        <v>59</v>
      </c>
      <c r="AP906" t="s">
        <v>2217</v>
      </c>
      <c r="AQ906" t="s">
        <v>2217</v>
      </c>
      <c r="AR906" t="s">
        <v>64</v>
      </c>
      <c r="AS906" t="s">
        <v>94</v>
      </c>
      <c r="AT906" t="s">
        <v>95</v>
      </c>
      <c r="AU906" t="s">
        <v>299</v>
      </c>
      <c r="AW906" s="4">
        <f t="shared" si="493"/>
        <v>6</v>
      </c>
      <c r="AX906" s="4">
        <f t="shared" si="494"/>
        <v>4</v>
      </c>
      <c r="AY906" s="4" t="str">
        <f t="shared" si="495"/>
        <v>0</v>
      </c>
      <c r="AZ906" s="4">
        <f t="shared" si="496"/>
        <v>2</v>
      </c>
      <c r="BA906" s="4">
        <f t="shared" si="497"/>
        <v>4</v>
      </c>
      <c r="BB906" s="4">
        <f t="shared" si="498"/>
        <v>4</v>
      </c>
      <c r="BC906" s="4">
        <f t="shared" si="499"/>
        <v>4</v>
      </c>
      <c r="BD906" s="4">
        <f t="shared" si="500"/>
        <v>2</v>
      </c>
      <c r="BE906" s="4" t="str">
        <f t="shared" si="501"/>
        <v>0</v>
      </c>
      <c r="BF906" s="4">
        <f t="shared" si="502"/>
        <v>2</v>
      </c>
      <c r="BG906" s="4">
        <f t="shared" si="503"/>
        <v>4</v>
      </c>
      <c r="BH906" s="4">
        <f t="shared" si="504"/>
        <v>4</v>
      </c>
      <c r="BI906" s="4">
        <f t="shared" si="505"/>
        <v>4</v>
      </c>
      <c r="BJ906" s="4">
        <f t="shared" si="506"/>
        <v>2</v>
      </c>
      <c r="BK906" s="4">
        <f t="shared" si="507"/>
        <v>4</v>
      </c>
      <c r="BL906" s="4">
        <f t="shared" si="508"/>
        <v>2</v>
      </c>
      <c r="BM906" s="4">
        <f t="shared" si="509"/>
        <v>4</v>
      </c>
      <c r="BN906" s="4">
        <f t="shared" si="510"/>
        <v>4</v>
      </c>
      <c r="BO906" s="4" t="str">
        <f t="shared" si="511"/>
        <v>0</v>
      </c>
      <c r="BP906" s="4">
        <f t="shared" si="512"/>
        <v>4</v>
      </c>
      <c r="BQ906" s="4">
        <f t="shared" si="513"/>
        <v>6</v>
      </c>
      <c r="BR906" s="4">
        <f t="shared" si="514"/>
        <v>4</v>
      </c>
      <c r="BS906" s="4">
        <f t="shared" si="515"/>
        <v>4</v>
      </c>
      <c r="BT906" s="4">
        <f t="shared" si="516"/>
        <v>4</v>
      </c>
      <c r="BU906" s="4">
        <f t="shared" si="517"/>
        <v>4</v>
      </c>
      <c r="BV906" s="4" t="str">
        <f t="shared" si="518"/>
        <v>0</v>
      </c>
      <c r="BW906" s="4">
        <f t="shared" si="519"/>
        <v>6</v>
      </c>
      <c r="BX906" s="4">
        <f t="shared" si="520"/>
        <v>0</v>
      </c>
      <c r="BY906" s="4">
        <f t="shared" si="521"/>
        <v>0</v>
      </c>
      <c r="BZ906" s="37">
        <f t="shared" si="522"/>
        <v>88</v>
      </c>
      <c r="CA906" s="32" t="str">
        <f>VLOOKUP(J:J,'Agent wise'!A:C,3,0)</f>
        <v>Shakeer</v>
      </c>
      <c r="CB906" s="32">
        <f t="shared" si="523"/>
        <v>45946</v>
      </c>
      <c r="CC906" t="str">
        <f t="shared" si="524"/>
        <v>Average</v>
      </c>
      <c r="CE906" s="32"/>
      <c r="CJ906">
        <f t="shared" si="525"/>
        <v>16</v>
      </c>
      <c r="CK906">
        <f t="shared" si="526"/>
        <v>10</v>
      </c>
      <c r="CL906">
        <f t="shared" si="527"/>
        <v>2025</v>
      </c>
    </row>
    <row r="907" spans="1:90" ht="15" customHeight="1" x14ac:dyDescent="0.35">
      <c r="A907" t="s">
        <v>2218</v>
      </c>
      <c r="B907" t="s">
        <v>250</v>
      </c>
      <c r="C907" t="s">
        <v>214</v>
      </c>
      <c r="D907" t="s">
        <v>251</v>
      </c>
      <c r="E907" s="32">
        <v>45946</v>
      </c>
      <c r="F907" t="s">
        <v>54</v>
      </c>
      <c r="G907" t="s">
        <v>1897</v>
      </c>
      <c r="H907">
        <v>6363519348</v>
      </c>
      <c r="I907">
        <v>178</v>
      </c>
      <c r="J907" t="s">
        <v>326</v>
      </c>
      <c r="K907" t="s">
        <v>57</v>
      </c>
      <c r="L907" t="s">
        <v>58</v>
      </c>
      <c r="M907" t="s">
        <v>59</v>
      </c>
      <c r="N907" t="s">
        <v>59</v>
      </c>
      <c r="O907" t="s">
        <v>59</v>
      </c>
      <c r="P907" t="s">
        <v>59</v>
      </c>
      <c r="Q907" t="s">
        <v>59</v>
      </c>
      <c r="R907" t="s">
        <v>59</v>
      </c>
      <c r="S907" t="s">
        <v>59</v>
      </c>
      <c r="T907" t="s">
        <v>59</v>
      </c>
      <c r="U907" t="s">
        <v>60</v>
      </c>
      <c r="V907" t="s">
        <v>59</v>
      </c>
      <c r="W907" t="s">
        <v>59</v>
      </c>
      <c r="X907" t="s">
        <v>59</v>
      </c>
      <c r="Y907" t="s">
        <v>59</v>
      </c>
      <c r="Z907" t="s">
        <v>59</v>
      </c>
      <c r="AA907" t="s">
        <v>59</v>
      </c>
      <c r="AB907" t="s">
        <v>60</v>
      </c>
      <c r="AC907" t="s">
        <v>59</v>
      </c>
      <c r="AD907" t="s">
        <v>59</v>
      </c>
      <c r="AE907" t="s">
        <v>59</v>
      </c>
      <c r="AF907" t="s">
        <v>59</v>
      </c>
      <c r="AG907" t="s">
        <v>59</v>
      </c>
      <c r="AH907" t="s">
        <v>61</v>
      </c>
      <c r="AI907" t="s">
        <v>61</v>
      </c>
      <c r="AJ907" t="s">
        <v>59</v>
      </c>
      <c r="AK907" t="s">
        <v>59</v>
      </c>
      <c r="AL907" t="s">
        <v>60</v>
      </c>
      <c r="AM907" t="s">
        <v>59</v>
      </c>
      <c r="AN907" t="s">
        <v>59</v>
      </c>
      <c r="AO907" t="s">
        <v>59</v>
      </c>
      <c r="AP907" t="s">
        <v>2219</v>
      </c>
      <c r="AQ907" t="s">
        <v>2220</v>
      </c>
      <c r="AR907" t="s">
        <v>64</v>
      </c>
      <c r="AS907" t="s">
        <v>771</v>
      </c>
      <c r="AT907" t="s">
        <v>772</v>
      </c>
      <c r="AU907" t="s">
        <v>219</v>
      </c>
      <c r="AW907" s="4">
        <f t="shared" si="493"/>
        <v>6</v>
      </c>
      <c r="AX907" s="4">
        <f t="shared" si="494"/>
        <v>4</v>
      </c>
      <c r="AY907" s="4">
        <f t="shared" si="495"/>
        <v>4</v>
      </c>
      <c r="AZ907" s="4">
        <f t="shared" si="496"/>
        <v>2</v>
      </c>
      <c r="BA907" s="4">
        <f t="shared" si="497"/>
        <v>4</v>
      </c>
      <c r="BB907" s="4">
        <f t="shared" si="498"/>
        <v>4</v>
      </c>
      <c r="BC907" s="4">
        <f t="shared" si="499"/>
        <v>4</v>
      </c>
      <c r="BD907" s="4">
        <f t="shared" si="500"/>
        <v>2</v>
      </c>
      <c r="BE907" s="4" t="str">
        <f t="shared" si="501"/>
        <v>0</v>
      </c>
      <c r="BF907" s="4">
        <f t="shared" si="502"/>
        <v>2</v>
      </c>
      <c r="BG907" s="4">
        <f t="shared" si="503"/>
        <v>4</v>
      </c>
      <c r="BH907" s="4">
        <f t="shared" si="504"/>
        <v>4</v>
      </c>
      <c r="BI907" s="4">
        <f t="shared" si="505"/>
        <v>4</v>
      </c>
      <c r="BJ907" s="4">
        <f t="shared" si="506"/>
        <v>2</v>
      </c>
      <c r="BK907" s="4">
        <f t="shared" si="507"/>
        <v>4</v>
      </c>
      <c r="BL907" s="4" t="str">
        <f t="shared" si="508"/>
        <v>0</v>
      </c>
      <c r="BM907" s="4">
        <f t="shared" si="509"/>
        <v>4</v>
      </c>
      <c r="BN907" s="4">
        <f t="shared" si="510"/>
        <v>4</v>
      </c>
      <c r="BO907" s="4">
        <f t="shared" si="511"/>
        <v>4</v>
      </c>
      <c r="BP907" s="4">
        <f t="shared" si="512"/>
        <v>4</v>
      </c>
      <c r="BQ907" s="4">
        <f t="shared" si="513"/>
        <v>6</v>
      </c>
      <c r="BR907" s="4">
        <f t="shared" si="514"/>
        <v>4</v>
      </c>
      <c r="BS907" s="4">
        <f t="shared" si="515"/>
        <v>4</v>
      </c>
      <c r="BT907" s="4">
        <f t="shared" si="516"/>
        <v>4</v>
      </c>
      <c r="BU907" s="4">
        <f t="shared" si="517"/>
        <v>4</v>
      </c>
      <c r="BV907" s="4" t="str">
        <f t="shared" si="518"/>
        <v>0</v>
      </c>
      <c r="BW907" s="4">
        <f t="shared" si="519"/>
        <v>6</v>
      </c>
      <c r="BX907" s="4">
        <f t="shared" si="520"/>
        <v>0</v>
      </c>
      <c r="BY907" s="4">
        <f t="shared" si="521"/>
        <v>0</v>
      </c>
      <c r="BZ907" s="37">
        <f t="shared" si="522"/>
        <v>94</v>
      </c>
      <c r="CA907" s="32" t="str">
        <f>VLOOKUP(J:J,'Agent wise'!A:C,3,0)</f>
        <v>Saran S</v>
      </c>
      <c r="CB907" s="32">
        <f t="shared" si="523"/>
        <v>45946</v>
      </c>
      <c r="CC907" t="str">
        <f t="shared" si="524"/>
        <v>Good</v>
      </c>
      <c r="CE907" s="32"/>
      <c r="CJ907">
        <f t="shared" si="525"/>
        <v>16</v>
      </c>
      <c r="CK907">
        <f t="shared" si="526"/>
        <v>10</v>
      </c>
      <c r="CL907">
        <f t="shared" si="527"/>
        <v>2025</v>
      </c>
    </row>
    <row r="908" spans="1:90" ht="15" customHeight="1" x14ac:dyDescent="0.35">
      <c r="A908" t="s">
        <v>2221</v>
      </c>
      <c r="B908" t="s">
        <v>100</v>
      </c>
      <c r="C908" t="s">
        <v>214</v>
      </c>
      <c r="D908" t="s">
        <v>101</v>
      </c>
      <c r="E908" s="32">
        <v>45946</v>
      </c>
      <c r="F908" t="s">
        <v>90</v>
      </c>
      <c r="G908" t="s">
        <v>1897</v>
      </c>
      <c r="H908">
        <v>8610115064</v>
      </c>
      <c r="I908">
        <v>187</v>
      </c>
      <c r="J908" t="s">
        <v>274</v>
      </c>
      <c r="K908" t="s">
        <v>71</v>
      </c>
      <c r="L908" t="s">
        <v>72</v>
      </c>
      <c r="M908" t="s">
        <v>59</v>
      </c>
      <c r="N908" t="s">
        <v>59</v>
      </c>
      <c r="O908" t="s">
        <v>60</v>
      </c>
      <c r="P908" t="s">
        <v>59</v>
      </c>
      <c r="Q908" t="s">
        <v>59</v>
      </c>
      <c r="R908" t="s">
        <v>59</v>
      </c>
      <c r="S908" t="s">
        <v>59</v>
      </c>
      <c r="T908" t="s">
        <v>59</v>
      </c>
      <c r="U908" t="s">
        <v>60</v>
      </c>
      <c r="V908" t="s">
        <v>59</v>
      </c>
      <c r="W908" t="s">
        <v>59</v>
      </c>
      <c r="X908" t="s">
        <v>59</v>
      </c>
      <c r="Y908" t="s">
        <v>59</v>
      </c>
      <c r="Z908" t="s">
        <v>59</v>
      </c>
      <c r="AA908" t="s">
        <v>59</v>
      </c>
      <c r="AB908" t="s">
        <v>59</v>
      </c>
      <c r="AC908" t="s">
        <v>59</v>
      </c>
      <c r="AD908" t="s">
        <v>59</v>
      </c>
      <c r="AE908" t="s">
        <v>59</v>
      </c>
      <c r="AF908" t="s">
        <v>59</v>
      </c>
      <c r="AG908" t="s">
        <v>59</v>
      </c>
      <c r="AH908" t="s">
        <v>61</v>
      </c>
      <c r="AI908" t="s">
        <v>61</v>
      </c>
      <c r="AJ908" t="s">
        <v>59</v>
      </c>
      <c r="AK908" t="s">
        <v>59</v>
      </c>
      <c r="AL908" t="s">
        <v>60</v>
      </c>
      <c r="AM908" t="s">
        <v>59</v>
      </c>
      <c r="AN908" t="s">
        <v>59</v>
      </c>
      <c r="AO908" t="s">
        <v>59</v>
      </c>
      <c r="AP908" t="s">
        <v>2168</v>
      </c>
      <c r="AQ908" t="s">
        <v>2168</v>
      </c>
      <c r="AR908" t="s">
        <v>64</v>
      </c>
      <c r="AS908" t="s">
        <v>2222</v>
      </c>
      <c r="AT908" t="s">
        <v>203</v>
      </c>
      <c r="AU908" t="s">
        <v>299</v>
      </c>
      <c r="AW908" s="4">
        <f t="shared" si="493"/>
        <v>6</v>
      </c>
      <c r="AX908" s="4">
        <f t="shared" si="494"/>
        <v>4</v>
      </c>
      <c r="AY908" s="4" t="str">
        <f t="shared" si="495"/>
        <v>0</v>
      </c>
      <c r="AZ908" s="4">
        <f t="shared" si="496"/>
        <v>2</v>
      </c>
      <c r="BA908" s="4">
        <f t="shared" si="497"/>
        <v>4</v>
      </c>
      <c r="BB908" s="4">
        <f t="shared" si="498"/>
        <v>4</v>
      </c>
      <c r="BC908" s="4">
        <f t="shared" si="499"/>
        <v>4</v>
      </c>
      <c r="BD908" s="4">
        <f t="shared" si="500"/>
        <v>2</v>
      </c>
      <c r="BE908" s="4" t="str">
        <f t="shared" si="501"/>
        <v>0</v>
      </c>
      <c r="BF908" s="4">
        <f t="shared" si="502"/>
        <v>2</v>
      </c>
      <c r="BG908" s="4">
        <f t="shared" si="503"/>
        <v>4</v>
      </c>
      <c r="BH908" s="4">
        <f t="shared" si="504"/>
        <v>4</v>
      </c>
      <c r="BI908" s="4">
        <f t="shared" si="505"/>
        <v>4</v>
      </c>
      <c r="BJ908" s="4">
        <f t="shared" si="506"/>
        <v>2</v>
      </c>
      <c r="BK908" s="4">
        <f t="shared" si="507"/>
        <v>4</v>
      </c>
      <c r="BL908" s="4">
        <f t="shared" si="508"/>
        <v>2</v>
      </c>
      <c r="BM908" s="4">
        <f t="shared" si="509"/>
        <v>4</v>
      </c>
      <c r="BN908" s="4">
        <f t="shared" si="510"/>
        <v>4</v>
      </c>
      <c r="BO908" s="4">
        <f t="shared" si="511"/>
        <v>4</v>
      </c>
      <c r="BP908" s="4">
        <f t="shared" si="512"/>
        <v>4</v>
      </c>
      <c r="BQ908" s="4">
        <f t="shared" si="513"/>
        <v>6</v>
      </c>
      <c r="BR908" s="4">
        <f t="shared" si="514"/>
        <v>4</v>
      </c>
      <c r="BS908" s="4">
        <f t="shared" si="515"/>
        <v>4</v>
      </c>
      <c r="BT908" s="4">
        <f t="shared" si="516"/>
        <v>4</v>
      </c>
      <c r="BU908" s="4">
        <f t="shared" si="517"/>
        <v>4</v>
      </c>
      <c r="BV908" s="4" t="str">
        <f t="shared" si="518"/>
        <v>0</v>
      </c>
      <c r="BW908" s="4">
        <f t="shared" si="519"/>
        <v>6</v>
      </c>
      <c r="BX908" s="4">
        <f t="shared" si="520"/>
        <v>0</v>
      </c>
      <c r="BY908" s="4">
        <f t="shared" si="521"/>
        <v>0</v>
      </c>
      <c r="BZ908" s="37">
        <f t="shared" si="522"/>
        <v>92</v>
      </c>
      <c r="CA908" s="32" t="str">
        <f>VLOOKUP(J:J,'Agent wise'!A:C,3,0)</f>
        <v>Shakeer</v>
      </c>
      <c r="CB908" s="32">
        <f t="shared" si="523"/>
        <v>45946</v>
      </c>
      <c r="CC908" t="str">
        <f t="shared" si="524"/>
        <v>Good</v>
      </c>
      <c r="CE908" s="32"/>
      <c r="CJ908">
        <f t="shared" si="525"/>
        <v>16</v>
      </c>
      <c r="CK908">
        <f t="shared" si="526"/>
        <v>10</v>
      </c>
      <c r="CL908">
        <f t="shared" si="527"/>
        <v>2025</v>
      </c>
    </row>
    <row r="909" spans="1:90" ht="15" customHeight="1" x14ac:dyDescent="0.35">
      <c r="A909" t="s">
        <v>2223</v>
      </c>
      <c r="B909" t="s">
        <v>250</v>
      </c>
      <c r="C909" t="s">
        <v>214</v>
      </c>
      <c r="D909" t="s">
        <v>251</v>
      </c>
      <c r="E909" s="32">
        <v>45946</v>
      </c>
      <c r="F909" t="s">
        <v>54</v>
      </c>
      <c r="G909" t="s">
        <v>1897</v>
      </c>
      <c r="H909">
        <v>9677790683</v>
      </c>
      <c r="I909">
        <v>157</v>
      </c>
      <c r="J909" t="s">
        <v>321</v>
      </c>
      <c r="K909" t="s">
        <v>71</v>
      </c>
      <c r="L909" t="s">
        <v>72</v>
      </c>
      <c r="M909" t="s">
        <v>59</v>
      </c>
      <c r="N909" t="s">
        <v>59</v>
      </c>
      <c r="O909" t="s">
        <v>60</v>
      </c>
      <c r="P909" t="s">
        <v>59</v>
      </c>
      <c r="Q909" t="s">
        <v>59</v>
      </c>
      <c r="R909" t="s">
        <v>59</v>
      </c>
      <c r="S909" t="s">
        <v>59</v>
      </c>
      <c r="T909" t="s">
        <v>59</v>
      </c>
      <c r="U909" t="s">
        <v>60</v>
      </c>
      <c r="V909" t="s">
        <v>59</v>
      </c>
      <c r="W909" t="s">
        <v>59</v>
      </c>
      <c r="X909" t="s">
        <v>59</v>
      </c>
      <c r="Y909" t="s">
        <v>59</v>
      </c>
      <c r="Z909" t="s">
        <v>60</v>
      </c>
      <c r="AA909" t="s">
        <v>60</v>
      </c>
      <c r="AB909" t="s">
        <v>60</v>
      </c>
      <c r="AC909" t="s">
        <v>59</v>
      </c>
      <c r="AD909" t="s">
        <v>59</v>
      </c>
      <c r="AE909" t="s">
        <v>59</v>
      </c>
      <c r="AF909" t="s">
        <v>59</v>
      </c>
      <c r="AG909" t="s">
        <v>59</v>
      </c>
      <c r="AH909" t="s">
        <v>61</v>
      </c>
      <c r="AI909" t="s">
        <v>61</v>
      </c>
      <c r="AJ909" t="s">
        <v>59</v>
      </c>
      <c r="AK909" t="s">
        <v>59</v>
      </c>
      <c r="AL909" t="s">
        <v>60</v>
      </c>
      <c r="AM909" t="s">
        <v>59</v>
      </c>
      <c r="AN909" t="s">
        <v>59</v>
      </c>
      <c r="AO909" t="s">
        <v>59</v>
      </c>
      <c r="AP909" t="s">
        <v>2224</v>
      </c>
      <c r="AQ909" t="s">
        <v>2225</v>
      </c>
      <c r="AR909" t="s">
        <v>64</v>
      </c>
      <c r="AS909" t="s">
        <v>417</v>
      </c>
      <c r="AT909" t="s">
        <v>418</v>
      </c>
      <c r="AU909" t="s">
        <v>387</v>
      </c>
      <c r="AW909" s="4">
        <f t="shared" si="493"/>
        <v>6</v>
      </c>
      <c r="AX909" s="4">
        <f t="shared" si="494"/>
        <v>4</v>
      </c>
      <c r="AY909" s="4" t="str">
        <f t="shared" si="495"/>
        <v>0</v>
      </c>
      <c r="AZ909" s="4">
        <f t="shared" si="496"/>
        <v>2</v>
      </c>
      <c r="BA909" s="4">
        <f t="shared" si="497"/>
        <v>4</v>
      </c>
      <c r="BB909" s="4">
        <f t="shared" si="498"/>
        <v>4</v>
      </c>
      <c r="BC909" s="4">
        <f t="shared" si="499"/>
        <v>4</v>
      </c>
      <c r="BD909" s="4">
        <f t="shared" si="500"/>
        <v>2</v>
      </c>
      <c r="BE909" s="4" t="str">
        <f t="shared" si="501"/>
        <v>0</v>
      </c>
      <c r="BF909" s="4">
        <f t="shared" si="502"/>
        <v>2</v>
      </c>
      <c r="BG909" s="4">
        <f t="shared" si="503"/>
        <v>4</v>
      </c>
      <c r="BH909" s="4">
        <f t="shared" si="504"/>
        <v>4</v>
      </c>
      <c r="BI909" s="4">
        <f t="shared" si="505"/>
        <v>4</v>
      </c>
      <c r="BJ909" s="4" t="str">
        <f t="shared" si="506"/>
        <v>0</v>
      </c>
      <c r="BK909" s="4" t="str">
        <f t="shared" si="507"/>
        <v>0</v>
      </c>
      <c r="BL909" s="4" t="str">
        <f t="shared" si="508"/>
        <v>0</v>
      </c>
      <c r="BM909" s="4">
        <f t="shared" si="509"/>
        <v>4</v>
      </c>
      <c r="BN909" s="4">
        <f t="shared" si="510"/>
        <v>4</v>
      </c>
      <c r="BO909" s="4">
        <f t="shared" si="511"/>
        <v>4</v>
      </c>
      <c r="BP909" s="4">
        <f t="shared" si="512"/>
        <v>4</v>
      </c>
      <c r="BQ909" s="4">
        <f t="shared" si="513"/>
        <v>6</v>
      </c>
      <c r="BR909" s="4">
        <f t="shared" si="514"/>
        <v>4</v>
      </c>
      <c r="BS909" s="4">
        <f t="shared" si="515"/>
        <v>4</v>
      </c>
      <c r="BT909" s="4">
        <f t="shared" si="516"/>
        <v>4</v>
      </c>
      <c r="BU909" s="4">
        <f t="shared" si="517"/>
        <v>4</v>
      </c>
      <c r="BV909" s="4" t="str">
        <f t="shared" si="518"/>
        <v>0</v>
      </c>
      <c r="BW909" s="4">
        <f t="shared" si="519"/>
        <v>6</v>
      </c>
      <c r="BX909" s="4">
        <f t="shared" si="520"/>
        <v>0</v>
      </c>
      <c r="BY909" s="4">
        <f t="shared" si="521"/>
        <v>0</v>
      </c>
      <c r="BZ909" s="37">
        <f t="shared" si="522"/>
        <v>84</v>
      </c>
      <c r="CA909" s="32" t="str">
        <f>VLOOKUP(J:J,'Agent wise'!A:C,3,0)</f>
        <v>Saran S</v>
      </c>
      <c r="CB909" s="32">
        <f t="shared" si="523"/>
        <v>45946</v>
      </c>
      <c r="CC909" t="str">
        <f t="shared" si="524"/>
        <v>FC</v>
      </c>
      <c r="CE909" s="32"/>
      <c r="CJ909">
        <f t="shared" si="525"/>
        <v>16</v>
      </c>
      <c r="CK909">
        <f t="shared" si="526"/>
        <v>10</v>
      </c>
      <c r="CL909">
        <f t="shared" si="527"/>
        <v>2025</v>
      </c>
    </row>
    <row r="910" spans="1:90" ht="15" customHeight="1" x14ac:dyDescent="0.35">
      <c r="A910" t="s">
        <v>2226</v>
      </c>
      <c r="B910" t="s">
        <v>100</v>
      </c>
      <c r="C910" t="s">
        <v>214</v>
      </c>
      <c r="D910" t="s">
        <v>101</v>
      </c>
      <c r="E910" s="32">
        <v>45946</v>
      </c>
      <c r="F910" t="s">
        <v>90</v>
      </c>
      <c r="G910" t="s">
        <v>1897</v>
      </c>
      <c r="H910">
        <v>9551627413</v>
      </c>
      <c r="I910">
        <v>139</v>
      </c>
      <c r="J910" t="s">
        <v>274</v>
      </c>
      <c r="K910" t="s">
        <v>71</v>
      </c>
      <c r="L910" t="s">
        <v>72</v>
      </c>
      <c r="M910" t="s">
        <v>59</v>
      </c>
      <c r="N910" t="s">
        <v>59</v>
      </c>
      <c r="O910" t="s">
        <v>60</v>
      </c>
      <c r="P910" t="s">
        <v>59</v>
      </c>
      <c r="Q910" t="s">
        <v>59</v>
      </c>
      <c r="R910" t="s">
        <v>59</v>
      </c>
      <c r="S910" t="s">
        <v>59</v>
      </c>
      <c r="T910" t="s">
        <v>59</v>
      </c>
      <c r="U910" t="s">
        <v>60</v>
      </c>
      <c r="V910" t="s">
        <v>59</v>
      </c>
      <c r="W910" t="s">
        <v>59</v>
      </c>
      <c r="X910" t="s">
        <v>61</v>
      </c>
      <c r="Y910" t="s">
        <v>59</v>
      </c>
      <c r="Z910" t="s">
        <v>59</v>
      </c>
      <c r="AA910" t="s">
        <v>60</v>
      </c>
      <c r="AB910" t="s">
        <v>59</v>
      </c>
      <c r="AC910" t="s">
        <v>61</v>
      </c>
      <c r="AD910" t="s">
        <v>59</v>
      </c>
      <c r="AE910" t="s">
        <v>59</v>
      </c>
      <c r="AF910" t="s">
        <v>59</v>
      </c>
      <c r="AG910" t="s">
        <v>59</v>
      </c>
      <c r="AH910" t="s">
        <v>61</v>
      </c>
      <c r="AI910" t="s">
        <v>61</v>
      </c>
      <c r="AJ910" t="s">
        <v>59</v>
      </c>
      <c r="AK910" t="s">
        <v>59</v>
      </c>
      <c r="AL910" t="s">
        <v>60</v>
      </c>
      <c r="AM910" t="s">
        <v>59</v>
      </c>
      <c r="AN910" t="s">
        <v>59</v>
      </c>
      <c r="AO910" t="s">
        <v>59</v>
      </c>
      <c r="AP910" t="s">
        <v>2153</v>
      </c>
      <c r="AQ910" t="s">
        <v>2227</v>
      </c>
      <c r="AR910" t="s">
        <v>64</v>
      </c>
      <c r="AS910" t="s">
        <v>94</v>
      </c>
      <c r="AT910" t="s">
        <v>95</v>
      </c>
      <c r="AU910" t="s">
        <v>299</v>
      </c>
      <c r="AW910" s="4">
        <f t="shared" si="493"/>
        <v>6</v>
      </c>
      <c r="AX910" s="4">
        <f t="shared" si="494"/>
        <v>4</v>
      </c>
      <c r="AY910" s="4" t="str">
        <f t="shared" si="495"/>
        <v>0</v>
      </c>
      <c r="AZ910" s="4">
        <f t="shared" si="496"/>
        <v>2</v>
      </c>
      <c r="BA910" s="4">
        <f t="shared" si="497"/>
        <v>4</v>
      </c>
      <c r="BB910" s="4">
        <f t="shared" si="498"/>
        <v>4</v>
      </c>
      <c r="BC910" s="4">
        <f t="shared" si="499"/>
        <v>4</v>
      </c>
      <c r="BD910" s="4">
        <f t="shared" si="500"/>
        <v>2</v>
      </c>
      <c r="BE910" s="4" t="str">
        <f t="shared" si="501"/>
        <v>0</v>
      </c>
      <c r="BF910" s="4">
        <f t="shared" si="502"/>
        <v>2</v>
      </c>
      <c r="BG910" s="4">
        <f t="shared" si="503"/>
        <v>4</v>
      </c>
      <c r="BH910" s="4">
        <f t="shared" si="504"/>
        <v>4</v>
      </c>
      <c r="BI910" s="4">
        <f t="shared" si="505"/>
        <v>4</v>
      </c>
      <c r="BJ910" s="4">
        <f t="shared" si="506"/>
        <v>2</v>
      </c>
      <c r="BK910" s="4" t="str">
        <f t="shared" si="507"/>
        <v>0</v>
      </c>
      <c r="BL910" s="4">
        <f t="shared" si="508"/>
        <v>2</v>
      </c>
      <c r="BM910" s="4">
        <f t="shared" si="509"/>
        <v>4</v>
      </c>
      <c r="BN910" s="4">
        <f t="shared" si="510"/>
        <v>4</v>
      </c>
      <c r="BO910" s="4">
        <f t="shared" si="511"/>
        <v>4</v>
      </c>
      <c r="BP910" s="4">
        <f t="shared" si="512"/>
        <v>4</v>
      </c>
      <c r="BQ910" s="4">
        <f t="shared" si="513"/>
        <v>6</v>
      </c>
      <c r="BR910" s="4">
        <f t="shared" si="514"/>
        <v>4</v>
      </c>
      <c r="BS910" s="4">
        <f t="shared" si="515"/>
        <v>4</v>
      </c>
      <c r="BT910" s="4">
        <f t="shared" si="516"/>
        <v>4</v>
      </c>
      <c r="BU910" s="4">
        <f t="shared" si="517"/>
        <v>4</v>
      </c>
      <c r="BV910" s="4" t="str">
        <f t="shared" si="518"/>
        <v>0</v>
      </c>
      <c r="BW910" s="4">
        <f t="shared" si="519"/>
        <v>6</v>
      </c>
      <c r="BX910" s="4">
        <f t="shared" si="520"/>
        <v>0</v>
      </c>
      <c r="BY910" s="4">
        <f t="shared" si="521"/>
        <v>0</v>
      </c>
      <c r="BZ910" s="37">
        <f t="shared" si="522"/>
        <v>88</v>
      </c>
      <c r="CA910" s="32" t="str">
        <f>VLOOKUP(J:J,'Agent wise'!A:C,3,0)</f>
        <v>Shakeer</v>
      </c>
      <c r="CB910" s="32">
        <f t="shared" si="523"/>
        <v>45946</v>
      </c>
      <c r="CC910" t="str">
        <f t="shared" si="524"/>
        <v>Average</v>
      </c>
      <c r="CE910" s="32"/>
      <c r="CJ910">
        <f t="shared" si="525"/>
        <v>16</v>
      </c>
      <c r="CK910">
        <f t="shared" si="526"/>
        <v>10</v>
      </c>
      <c r="CL910">
        <f t="shared" si="527"/>
        <v>2025</v>
      </c>
    </row>
    <row r="911" spans="1:90" ht="15" customHeight="1" x14ac:dyDescent="0.35">
      <c r="A911" t="s">
        <v>2228</v>
      </c>
      <c r="B911" t="s">
        <v>250</v>
      </c>
      <c r="C911" t="s">
        <v>214</v>
      </c>
      <c r="D911" t="s">
        <v>251</v>
      </c>
      <c r="E911" s="32">
        <v>45945</v>
      </c>
      <c r="F911" t="s">
        <v>54</v>
      </c>
      <c r="G911" t="s">
        <v>1897</v>
      </c>
      <c r="H911">
        <v>9443184173</v>
      </c>
      <c r="I911">
        <v>140</v>
      </c>
      <c r="J911" t="s">
        <v>288</v>
      </c>
      <c r="K911" t="s">
        <v>71</v>
      </c>
      <c r="L911" t="s">
        <v>72</v>
      </c>
      <c r="M911" t="s">
        <v>59</v>
      </c>
      <c r="N911" t="s">
        <v>59</v>
      </c>
      <c r="O911" t="s">
        <v>59</v>
      </c>
      <c r="P911" t="s">
        <v>59</v>
      </c>
      <c r="Q911" t="s">
        <v>59</v>
      </c>
      <c r="R911" t="s">
        <v>59</v>
      </c>
      <c r="S911" t="s">
        <v>59</v>
      </c>
      <c r="T911" t="s">
        <v>59</v>
      </c>
      <c r="U911" t="s">
        <v>60</v>
      </c>
      <c r="V911" t="s">
        <v>59</v>
      </c>
      <c r="W911" t="s">
        <v>59</v>
      </c>
      <c r="X911" t="s">
        <v>59</v>
      </c>
      <c r="Y911" t="s">
        <v>59</v>
      </c>
      <c r="Z911" t="s">
        <v>59</v>
      </c>
      <c r="AA911" t="s">
        <v>59</v>
      </c>
      <c r="AB911" t="s">
        <v>59</v>
      </c>
      <c r="AC911" t="s">
        <v>59</v>
      </c>
      <c r="AD911" t="s">
        <v>59</v>
      </c>
      <c r="AE911" t="s">
        <v>59</v>
      </c>
      <c r="AF911" t="s">
        <v>59</v>
      </c>
      <c r="AG911" t="s">
        <v>59</v>
      </c>
      <c r="AH911" t="s">
        <v>61</v>
      </c>
      <c r="AI911" t="s">
        <v>61</v>
      </c>
      <c r="AJ911" t="s">
        <v>59</v>
      </c>
      <c r="AK911" t="s">
        <v>59</v>
      </c>
      <c r="AL911" t="s">
        <v>60</v>
      </c>
      <c r="AM911" t="s">
        <v>59</v>
      </c>
      <c r="AN911" t="s">
        <v>59</v>
      </c>
      <c r="AO911" t="s">
        <v>59</v>
      </c>
      <c r="AP911" t="s">
        <v>2229</v>
      </c>
      <c r="AQ911" t="s">
        <v>2230</v>
      </c>
      <c r="AR911" t="s">
        <v>64</v>
      </c>
      <c r="AS911" t="s">
        <v>1654</v>
      </c>
      <c r="AT911" t="s">
        <v>2231</v>
      </c>
      <c r="AU911" t="s">
        <v>219</v>
      </c>
      <c r="AW911" s="4">
        <f t="shared" si="493"/>
        <v>6</v>
      </c>
      <c r="AX911" s="4">
        <f t="shared" si="494"/>
        <v>4</v>
      </c>
      <c r="AY911" s="4">
        <f t="shared" si="495"/>
        <v>4</v>
      </c>
      <c r="AZ911" s="4">
        <f t="shared" si="496"/>
        <v>2</v>
      </c>
      <c r="BA911" s="4">
        <f t="shared" si="497"/>
        <v>4</v>
      </c>
      <c r="BB911" s="4">
        <f t="shared" si="498"/>
        <v>4</v>
      </c>
      <c r="BC911" s="4">
        <f t="shared" si="499"/>
        <v>4</v>
      </c>
      <c r="BD911" s="4">
        <f t="shared" si="500"/>
        <v>2</v>
      </c>
      <c r="BE911" s="4" t="str">
        <f t="shared" si="501"/>
        <v>0</v>
      </c>
      <c r="BF911" s="4">
        <f t="shared" si="502"/>
        <v>2</v>
      </c>
      <c r="BG911" s="4">
        <f t="shared" si="503"/>
        <v>4</v>
      </c>
      <c r="BH911" s="4">
        <f t="shared" si="504"/>
        <v>4</v>
      </c>
      <c r="BI911" s="4">
        <f t="shared" si="505"/>
        <v>4</v>
      </c>
      <c r="BJ911" s="4">
        <f t="shared" si="506"/>
        <v>2</v>
      </c>
      <c r="BK911" s="4">
        <f t="shared" si="507"/>
        <v>4</v>
      </c>
      <c r="BL911" s="4">
        <f t="shared" si="508"/>
        <v>2</v>
      </c>
      <c r="BM911" s="4">
        <f t="shared" si="509"/>
        <v>4</v>
      </c>
      <c r="BN911" s="4">
        <f t="shared" si="510"/>
        <v>4</v>
      </c>
      <c r="BO911" s="4">
        <f t="shared" si="511"/>
        <v>4</v>
      </c>
      <c r="BP911" s="4">
        <f t="shared" si="512"/>
        <v>4</v>
      </c>
      <c r="BQ911" s="4">
        <f t="shared" si="513"/>
        <v>6</v>
      </c>
      <c r="BR911" s="4">
        <f t="shared" si="514"/>
        <v>4</v>
      </c>
      <c r="BS911" s="4">
        <f t="shared" si="515"/>
        <v>4</v>
      </c>
      <c r="BT911" s="4">
        <f t="shared" si="516"/>
        <v>4</v>
      </c>
      <c r="BU911" s="4">
        <f t="shared" si="517"/>
        <v>4</v>
      </c>
      <c r="BV911" s="4" t="str">
        <f t="shared" si="518"/>
        <v>0</v>
      </c>
      <c r="BW911" s="4">
        <f t="shared" si="519"/>
        <v>6</v>
      </c>
      <c r="BX911" s="4">
        <f t="shared" si="520"/>
        <v>0</v>
      </c>
      <c r="BY911" s="4">
        <f t="shared" si="521"/>
        <v>0</v>
      </c>
      <c r="BZ911" s="37">
        <f t="shared" si="522"/>
        <v>96</v>
      </c>
      <c r="CA911" s="32" t="str">
        <f>VLOOKUP(J:J,'Agent wise'!A:C,3,0)</f>
        <v>Shakeer</v>
      </c>
      <c r="CB911" s="32">
        <f t="shared" si="523"/>
        <v>45945</v>
      </c>
      <c r="CC911" t="str">
        <f t="shared" si="524"/>
        <v>Excellent</v>
      </c>
      <c r="CE911" s="32"/>
      <c r="CJ911">
        <f t="shared" si="525"/>
        <v>15</v>
      </c>
      <c r="CK911">
        <f t="shared" si="526"/>
        <v>10</v>
      </c>
      <c r="CL911">
        <f t="shared" si="527"/>
        <v>2025</v>
      </c>
    </row>
    <row r="912" spans="1:90" ht="15" customHeight="1" x14ac:dyDescent="0.35">
      <c r="A912" t="s">
        <v>2232</v>
      </c>
      <c r="B912" t="s">
        <v>250</v>
      </c>
      <c r="C912" t="s">
        <v>214</v>
      </c>
      <c r="D912" t="s">
        <v>251</v>
      </c>
      <c r="E912" s="32">
        <v>45946</v>
      </c>
      <c r="F912" t="s">
        <v>54</v>
      </c>
      <c r="G912" t="s">
        <v>1897</v>
      </c>
      <c r="H912">
        <v>9645070485</v>
      </c>
      <c r="I912">
        <v>188</v>
      </c>
      <c r="J912" t="s">
        <v>873</v>
      </c>
      <c r="K912" t="s">
        <v>57</v>
      </c>
      <c r="L912" t="s">
        <v>58</v>
      </c>
      <c r="M912" t="s">
        <v>59</v>
      </c>
      <c r="N912" t="s">
        <v>59</v>
      </c>
      <c r="O912" t="s">
        <v>60</v>
      </c>
      <c r="P912" t="s">
        <v>59</v>
      </c>
      <c r="Q912" t="s">
        <v>59</v>
      </c>
      <c r="R912" t="s">
        <v>59</v>
      </c>
      <c r="S912" t="s">
        <v>59</v>
      </c>
      <c r="T912" t="s">
        <v>59</v>
      </c>
      <c r="U912" t="s">
        <v>60</v>
      </c>
      <c r="V912" t="s">
        <v>59</v>
      </c>
      <c r="W912" t="s">
        <v>59</v>
      </c>
      <c r="X912" t="s">
        <v>59</v>
      </c>
      <c r="Y912" t="s">
        <v>59</v>
      </c>
      <c r="Z912" t="s">
        <v>59</v>
      </c>
      <c r="AA912" t="s">
        <v>59</v>
      </c>
      <c r="AB912" t="s">
        <v>59</v>
      </c>
      <c r="AC912" t="s">
        <v>59</v>
      </c>
      <c r="AD912" t="s">
        <v>59</v>
      </c>
      <c r="AE912" t="s">
        <v>59</v>
      </c>
      <c r="AF912" t="s">
        <v>59</v>
      </c>
      <c r="AG912" t="s">
        <v>59</v>
      </c>
      <c r="AH912" t="s">
        <v>61</v>
      </c>
      <c r="AI912" t="s">
        <v>61</v>
      </c>
      <c r="AJ912" t="s">
        <v>59</v>
      </c>
      <c r="AK912" t="s">
        <v>59</v>
      </c>
      <c r="AL912" t="s">
        <v>60</v>
      </c>
      <c r="AM912" t="s">
        <v>59</v>
      </c>
      <c r="AN912" t="s">
        <v>59</v>
      </c>
      <c r="AO912" t="s">
        <v>59</v>
      </c>
      <c r="AP912" t="s">
        <v>2233</v>
      </c>
      <c r="AQ912" t="s">
        <v>2234</v>
      </c>
      <c r="AR912" t="s">
        <v>64</v>
      </c>
      <c r="AS912" t="s">
        <v>255</v>
      </c>
      <c r="AT912" t="s">
        <v>256</v>
      </c>
      <c r="AU912" t="s">
        <v>219</v>
      </c>
      <c r="AW912" s="4">
        <f t="shared" si="493"/>
        <v>6</v>
      </c>
      <c r="AX912" s="4">
        <f t="shared" si="494"/>
        <v>4</v>
      </c>
      <c r="AY912" s="4" t="str">
        <f t="shared" si="495"/>
        <v>0</v>
      </c>
      <c r="AZ912" s="4">
        <f t="shared" si="496"/>
        <v>2</v>
      </c>
      <c r="BA912" s="4">
        <f t="shared" si="497"/>
        <v>4</v>
      </c>
      <c r="BB912" s="4">
        <f t="shared" si="498"/>
        <v>4</v>
      </c>
      <c r="BC912" s="4">
        <f t="shared" si="499"/>
        <v>4</v>
      </c>
      <c r="BD912" s="4">
        <f t="shared" si="500"/>
        <v>2</v>
      </c>
      <c r="BE912" s="4" t="str">
        <f t="shared" si="501"/>
        <v>0</v>
      </c>
      <c r="BF912" s="4">
        <f t="shared" si="502"/>
        <v>2</v>
      </c>
      <c r="BG912" s="4">
        <f t="shared" si="503"/>
        <v>4</v>
      </c>
      <c r="BH912" s="4">
        <f t="shared" si="504"/>
        <v>4</v>
      </c>
      <c r="BI912" s="4">
        <f t="shared" si="505"/>
        <v>4</v>
      </c>
      <c r="BJ912" s="4">
        <f t="shared" si="506"/>
        <v>2</v>
      </c>
      <c r="BK912" s="4">
        <f t="shared" si="507"/>
        <v>4</v>
      </c>
      <c r="BL912" s="4">
        <f t="shared" si="508"/>
        <v>2</v>
      </c>
      <c r="BM912" s="4">
        <f t="shared" si="509"/>
        <v>4</v>
      </c>
      <c r="BN912" s="4">
        <f t="shared" si="510"/>
        <v>4</v>
      </c>
      <c r="BO912" s="4">
        <f t="shared" si="511"/>
        <v>4</v>
      </c>
      <c r="BP912" s="4">
        <f t="shared" si="512"/>
        <v>4</v>
      </c>
      <c r="BQ912" s="4">
        <f t="shared" si="513"/>
        <v>6</v>
      </c>
      <c r="BR912" s="4">
        <f t="shared" si="514"/>
        <v>4</v>
      </c>
      <c r="BS912" s="4">
        <f t="shared" si="515"/>
        <v>4</v>
      </c>
      <c r="BT912" s="4">
        <f t="shared" si="516"/>
        <v>4</v>
      </c>
      <c r="BU912" s="4">
        <f t="shared" si="517"/>
        <v>4</v>
      </c>
      <c r="BV912" s="4" t="str">
        <f t="shared" si="518"/>
        <v>0</v>
      </c>
      <c r="BW912" s="4">
        <f t="shared" si="519"/>
        <v>6</v>
      </c>
      <c r="BX912" s="4">
        <f t="shared" si="520"/>
        <v>0</v>
      </c>
      <c r="BY912" s="4">
        <f t="shared" si="521"/>
        <v>0</v>
      </c>
      <c r="BZ912" s="37">
        <f t="shared" si="522"/>
        <v>92</v>
      </c>
      <c r="CA912" s="32" t="str">
        <f>VLOOKUP(J:J,'Agent wise'!A:C,3,0)</f>
        <v xml:space="preserve">Shiny </v>
      </c>
      <c r="CB912" s="32">
        <f t="shared" si="523"/>
        <v>45946</v>
      </c>
      <c r="CC912" t="str">
        <f t="shared" si="524"/>
        <v>Good</v>
      </c>
      <c r="CE912" s="32"/>
      <c r="CJ912">
        <f t="shared" si="525"/>
        <v>16</v>
      </c>
      <c r="CK912">
        <f t="shared" si="526"/>
        <v>10</v>
      </c>
      <c r="CL912">
        <f t="shared" si="527"/>
        <v>2025</v>
      </c>
    </row>
    <row r="913" spans="1:90" ht="15" customHeight="1" x14ac:dyDescent="0.35">
      <c r="A913" t="s">
        <v>2235</v>
      </c>
      <c r="B913" t="s">
        <v>177</v>
      </c>
      <c r="C913" t="s">
        <v>214</v>
      </c>
      <c r="D913" t="s">
        <v>178</v>
      </c>
      <c r="E913" s="32">
        <v>45946</v>
      </c>
      <c r="F913" t="s">
        <v>54</v>
      </c>
      <c r="G913" t="s">
        <v>1897</v>
      </c>
      <c r="H913">
        <v>9447362345</v>
      </c>
      <c r="I913">
        <v>114</v>
      </c>
      <c r="J913" t="s">
        <v>451</v>
      </c>
      <c r="K913" t="s">
        <v>57</v>
      </c>
      <c r="L913" t="s">
        <v>58</v>
      </c>
      <c r="M913" t="s">
        <v>59</v>
      </c>
      <c r="N913" t="s">
        <v>59</v>
      </c>
      <c r="O913" t="s">
        <v>59</v>
      </c>
      <c r="P913" t="s">
        <v>59</v>
      </c>
      <c r="Q913" t="s">
        <v>59</v>
      </c>
      <c r="R913" t="s">
        <v>59</v>
      </c>
      <c r="S913" t="s">
        <v>59</v>
      </c>
      <c r="T913" t="s">
        <v>59</v>
      </c>
      <c r="U913" t="s">
        <v>59</v>
      </c>
      <c r="V913" t="s">
        <v>59</v>
      </c>
      <c r="W913" t="s">
        <v>59</v>
      </c>
      <c r="X913" t="s">
        <v>59</v>
      </c>
      <c r="Y913" t="s">
        <v>60</v>
      </c>
      <c r="Z913" t="s">
        <v>59</v>
      </c>
      <c r="AA913" t="s">
        <v>59</v>
      </c>
      <c r="AB913" t="s">
        <v>59</v>
      </c>
      <c r="AC913" t="s">
        <v>61</v>
      </c>
      <c r="AD913" t="s">
        <v>59</v>
      </c>
      <c r="AE913" t="s">
        <v>60</v>
      </c>
      <c r="AF913" t="s">
        <v>59</v>
      </c>
      <c r="AG913" t="s">
        <v>60</v>
      </c>
      <c r="AH913" t="s">
        <v>61</v>
      </c>
      <c r="AI913" t="s">
        <v>59</v>
      </c>
      <c r="AJ913" t="s">
        <v>59</v>
      </c>
      <c r="AK913" t="s">
        <v>59</v>
      </c>
      <c r="AL913" t="s">
        <v>60</v>
      </c>
      <c r="AM913" t="s">
        <v>59</v>
      </c>
      <c r="AN913" t="s">
        <v>59</v>
      </c>
      <c r="AO913" t="s">
        <v>59</v>
      </c>
      <c r="AP913" t="s">
        <v>2236</v>
      </c>
      <c r="AQ913" t="s">
        <v>1924</v>
      </c>
      <c r="AR913" t="s">
        <v>64</v>
      </c>
      <c r="AS913" t="s">
        <v>152</v>
      </c>
      <c r="AT913" t="s">
        <v>153</v>
      </c>
      <c r="AU913" t="s">
        <v>2237</v>
      </c>
      <c r="AW913" s="4">
        <f t="shared" si="493"/>
        <v>6</v>
      </c>
      <c r="AX913" s="4">
        <f t="shared" si="494"/>
        <v>4</v>
      </c>
      <c r="AY913" s="4">
        <f t="shared" si="495"/>
        <v>4</v>
      </c>
      <c r="AZ913" s="4">
        <f t="shared" si="496"/>
        <v>2</v>
      </c>
      <c r="BA913" s="4">
        <f t="shared" si="497"/>
        <v>4</v>
      </c>
      <c r="BB913" s="4">
        <f t="shared" si="498"/>
        <v>4</v>
      </c>
      <c r="BC913" s="4">
        <f t="shared" si="499"/>
        <v>4</v>
      </c>
      <c r="BD913" s="4">
        <f t="shared" si="500"/>
        <v>2</v>
      </c>
      <c r="BE913" s="4">
        <f t="shared" si="501"/>
        <v>4</v>
      </c>
      <c r="BF913" s="4">
        <f t="shared" si="502"/>
        <v>2</v>
      </c>
      <c r="BG913" s="4">
        <f t="shared" si="503"/>
        <v>4</v>
      </c>
      <c r="BH913" s="4">
        <f t="shared" si="504"/>
        <v>4</v>
      </c>
      <c r="BI913" s="4" t="str">
        <f t="shared" si="505"/>
        <v>0</v>
      </c>
      <c r="BJ913" s="4">
        <f t="shared" si="506"/>
        <v>2</v>
      </c>
      <c r="BK913" s="4">
        <f t="shared" si="507"/>
        <v>4</v>
      </c>
      <c r="BL913" s="4">
        <f t="shared" si="508"/>
        <v>2</v>
      </c>
      <c r="BM913" s="4">
        <f t="shared" si="509"/>
        <v>4</v>
      </c>
      <c r="BN913" s="4">
        <f t="shared" si="510"/>
        <v>4</v>
      </c>
      <c r="BO913" s="4" t="str">
        <f t="shared" si="511"/>
        <v>0</v>
      </c>
      <c r="BP913" s="4">
        <f t="shared" si="512"/>
        <v>4</v>
      </c>
      <c r="BQ913" s="4" t="str">
        <f t="shared" si="513"/>
        <v>0</v>
      </c>
      <c r="BR913" s="4">
        <f t="shared" si="514"/>
        <v>4</v>
      </c>
      <c r="BS913" s="4">
        <f t="shared" si="515"/>
        <v>4</v>
      </c>
      <c r="BT913" s="4">
        <f t="shared" si="516"/>
        <v>4</v>
      </c>
      <c r="BU913" s="4">
        <f t="shared" si="517"/>
        <v>4</v>
      </c>
      <c r="BV913" s="4" t="str">
        <f t="shared" si="518"/>
        <v>0</v>
      </c>
      <c r="BW913" s="4">
        <f t="shared" si="519"/>
        <v>6</v>
      </c>
      <c r="BX913" s="4">
        <f t="shared" si="520"/>
        <v>0</v>
      </c>
      <c r="BY913" s="4">
        <f t="shared" si="521"/>
        <v>0</v>
      </c>
      <c r="BZ913" s="37">
        <f t="shared" si="522"/>
        <v>86</v>
      </c>
      <c r="CA913" s="32" t="str">
        <f>VLOOKUP(J:J,'Agent wise'!A:C,3,0)</f>
        <v xml:space="preserve">Shiny </v>
      </c>
      <c r="CB913" s="32">
        <f t="shared" si="523"/>
        <v>45946</v>
      </c>
      <c r="CC913" t="str">
        <f t="shared" si="524"/>
        <v>Average</v>
      </c>
      <c r="CE913" s="32"/>
      <c r="CJ913">
        <f t="shared" si="525"/>
        <v>16</v>
      </c>
      <c r="CK913">
        <f t="shared" si="526"/>
        <v>10</v>
      </c>
      <c r="CL913">
        <f t="shared" si="527"/>
        <v>2025</v>
      </c>
    </row>
    <row r="914" spans="1:90" ht="15" customHeight="1" x14ac:dyDescent="0.35">
      <c r="A914" t="s">
        <v>2238</v>
      </c>
      <c r="B914" t="s">
        <v>100</v>
      </c>
      <c r="C914" t="s">
        <v>214</v>
      </c>
      <c r="D914" t="s">
        <v>101</v>
      </c>
      <c r="E914" s="32">
        <v>45946</v>
      </c>
      <c r="F914" t="s">
        <v>306</v>
      </c>
      <c r="G914" t="s">
        <v>1897</v>
      </c>
      <c r="H914">
        <v>8903124178</v>
      </c>
      <c r="I914">
        <v>155</v>
      </c>
      <c r="J914" t="s">
        <v>307</v>
      </c>
      <c r="K914" t="s">
        <v>71</v>
      </c>
      <c r="L914" t="s">
        <v>72</v>
      </c>
      <c r="M914" t="s">
        <v>59</v>
      </c>
      <c r="N914" t="s">
        <v>59</v>
      </c>
      <c r="O914" t="s">
        <v>60</v>
      </c>
      <c r="P914" t="s">
        <v>59</v>
      </c>
      <c r="Q914" t="s">
        <v>59</v>
      </c>
      <c r="R914" t="s">
        <v>60</v>
      </c>
      <c r="S914" t="s">
        <v>59</v>
      </c>
      <c r="T914" t="s">
        <v>59</v>
      </c>
      <c r="U914" t="s">
        <v>60</v>
      </c>
      <c r="V914" t="s">
        <v>59</v>
      </c>
      <c r="W914" t="s">
        <v>59</v>
      </c>
      <c r="X914" t="s">
        <v>60</v>
      </c>
      <c r="Y914" t="s">
        <v>59</v>
      </c>
      <c r="Z914" t="s">
        <v>59</v>
      </c>
      <c r="AA914" t="s">
        <v>60</v>
      </c>
      <c r="AB914" t="s">
        <v>59</v>
      </c>
      <c r="AC914" t="s">
        <v>61</v>
      </c>
      <c r="AD914" t="s">
        <v>59</v>
      </c>
      <c r="AE914" t="s">
        <v>59</v>
      </c>
      <c r="AF914" t="s">
        <v>59</v>
      </c>
      <c r="AG914" t="s">
        <v>59</v>
      </c>
      <c r="AH914" t="s">
        <v>61</v>
      </c>
      <c r="AI914" t="s">
        <v>61</v>
      </c>
      <c r="AJ914" t="s">
        <v>59</v>
      </c>
      <c r="AK914" t="s">
        <v>59</v>
      </c>
      <c r="AL914" t="s">
        <v>60</v>
      </c>
      <c r="AM914" t="s">
        <v>59</v>
      </c>
      <c r="AN914" t="s">
        <v>59</v>
      </c>
      <c r="AO914" t="s">
        <v>59</v>
      </c>
      <c r="AP914" t="s">
        <v>2239</v>
      </c>
      <c r="AQ914" t="s">
        <v>2239</v>
      </c>
      <c r="AR914" t="s">
        <v>226</v>
      </c>
      <c r="AS914" t="s">
        <v>352</v>
      </c>
      <c r="AT914" t="s">
        <v>352</v>
      </c>
      <c r="AU914" t="s">
        <v>219</v>
      </c>
      <c r="AW914" s="4">
        <f t="shared" si="493"/>
        <v>6</v>
      </c>
      <c r="AX914" s="4">
        <f t="shared" si="494"/>
        <v>4</v>
      </c>
      <c r="AY914" s="4" t="str">
        <f t="shared" si="495"/>
        <v>0</v>
      </c>
      <c r="AZ914" s="4">
        <f t="shared" si="496"/>
        <v>2</v>
      </c>
      <c r="BA914" s="4">
        <f t="shared" si="497"/>
        <v>4</v>
      </c>
      <c r="BB914" s="4" t="str">
        <f t="shared" si="498"/>
        <v>0</v>
      </c>
      <c r="BC914" s="4">
        <f t="shared" si="499"/>
        <v>4</v>
      </c>
      <c r="BD914" s="4">
        <f t="shared" si="500"/>
        <v>2</v>
      </c>
      <c r="BE914" s="4" t="str">
        <f t="shared" si="501"/>
        <v>0</v>
      </c>
      <c r="BF914" s="4">
        <f t="shared" si="502"/>
        <v>2</v>
      </c>
      <c r="BG914" s="4">
        <f t="shared" si="503"/>
        <v>4</v>
      </c>
      <c r="BH914" s="4" t="str">
        <f t="shared" si="504"/>
        <v>0</v>
      </c>
      <c r="BI914" s="4">
        <f t="shared" si="505"/>
        <v>4</v>
      </c>
      <c r="BJ914" s="4">
        <f t="shared" si="506"/>
        <v>2</v>
      </c>
      <c r="BK914" s="4" t="str">
        <f t="shared" si="507"/>
        <v>0</v>
      </c>
      <c r="BL914" s="4">
        <f t="shared" si="508"/>
        <v>2</v>
      </c>
      <c r="BM914" s="4">
        <f t="shared" si="509"/>
        <v>4</v>
      </c>
      <c r="BN914" s="4">
        <f t="shared" si="510"/>
        <v>4</v>
      </c>
      <c r="BO914" s="4">
        <f t="shared" si="511"/>
        <v>4</v>
      </c>
      <c r="BP914" s="4">
        <f t="shared" si="512"/>
        <v>4</v>
      </c>
      <c r="BQ914" s="4">
        <f t="shared" si="513"/>
        <v>6</v>
      </c>
      <c r="BR914" s="4">
        <f t="shared" si="514"/>
        <v>4</v>
      </c>
      <c r="BS914" s="4">
        <f t="shared" si="515"/>
        <v>4</v>
      </c>
      <c r="BT914" s="4">
        <f t="shared" si="516"/>
        <v>4</v>
      </c>
      <c r="BU914" s="4">
        <f t="shared" si="517"/>
        <v>4</v>
      </c>
      <c r="BV914" s="4" t="str">
        <f t="shared" si="518"/>
        <v>0</v>
      </c>
      <c r="BW914" s="4">
        <f t="shared" si="519"/>
        <v>6</v>
      </c>
      <c r="BX914" s="4">
        <f t="shared" si="520"/>
        <v>0</v>
      </c>
      <c r="BY914" s="4">
        <f t="shared" si="521"/>
        <v>0</v>
      </c>
      <c r="BZ914" s="37">
        <f t="shared" si="522"/>
        <v>80</v>
      </c>
      <c r="CA914" s="32" t="str">
        <f>VLOOKUP(J:J,'Agent wise'!A:C,3,0)</f>
        <v>Amal</v>
      </c>
      <c r="CB914" s="32">
        <f t="shared" si="523"/>
        <v>45946</v>
      </c>
      <c r="CC914" t="str">
        <f t="shared" si="524"/>
        <v>FC</v>
      </c>
      <c r="CE914" s="32"/>
      <c r="CJ914">
        <f t="shared" si="525"/>
        <v>16</v>
      </c>
      <c r="CK914">
        <f t="shared" si="526"/>
        <v>10</v>
      </c>
      <c r="CL914">
        <f t="shared" si="527"/>
        <v>2025</v>
      </c>
    </row>
    <row r="915" spans="1:90" ht="15" customHeight="1" x14ac:dyDescent="0.35">
      <c r="A915" t="s">
        <v>2240</v>
      </c>
      <c r="B915" t="s">
        <v>100</v>
      </c>
      <c r="C915" t="s">
        <v>214</v>
      </c>
      <c r="D915" t="s">
        <v>101</v>
      </c>
      <c r="E915" s="32">
        <v>45946</v>
      </c>
      <c r="F915" t="s">
        <v>306</v>
      </c>
      <c r="G915" t="s">
        <v>1897</v>
      </c>
      <c r="H915">
        <v>9443142245</v>
      </c>
      <c r="I915">
        <v>175</v>
      </c>
      <c r="J915" t="s">
        <v>307</v>
      </c>
      <c r="K915" t="s">
        <v>71</v>
      </c>
      <c r="L915" t="s">
        <v>72</v>
      </c>
      <c r="M915" t="s">
        <v>59</v>
      </c>
      <c r="N915" t="s">
        <v>59</v>
      </c>
      <c r="O915" t="s">
        <v>60</v>
      </c>
      <c r="P915" t="s">
        <v>59</v>
      </c>
      <c r="Q915" t="s">
        <v>59</v>
      </c>
      <c r="R915" t="s">
        <v>59</v>
      </c>
      <c r="S915" t="s">
        <v>59</v>
      </c>
      <c r="T915" t="s">
        <v>59</v>
      </c>
      <c r="U915" t="s">
        <v>60</v>
      </c>
      <c r="V915" t="s">
        <v>59</v>
      </c>
      <c r="W915" t="s">
        <v>59</v>
      </c>
      <c r="X915" t="s">
        <v>59</v>
      </c>
      <c r="Y915" t="s">
        <v>59</v>
      </c>
      <c r="Z915" t="s">
        <v>59</v>
      </c>
      <c r="AA915" t="s">
        <v>60</v>
      </c>
      <c r="AB915" t="s">
        <v>59</v>
      </c>
      <c r="AC915" t="s">
        <v>60</v>
      </c>
      <c r="AD915" t="s">
        <v>59</v>
      </c>
      <c r="AE915" t="s">
        <v>59</v>
      </c>
      <c r="AF915" t="s">
        <v>61</v>
      </c>
      <c r="AG915" t="s">
        <v>59</v>
      </c>
      <c r="AH915" t="s">
        <v>61</v>
      </c>
      <c r="AI915" t="s">
        <v>61</v>
      </c>
      <c r="AJ915" t="s">
        <v>59</v>
      </c>
      <c r="AK915" t="s">
        <v>61</v>
      </c>
      <c r="AL915" t="s">
        <v>60</v>
      </c>
      <c r="AM915" t="s">
        <v>59</v>
      </c>
      <c r="AN915" t="s">
        <v>59</v>
      </c>
      <c r="AO915" t="s">
        <v>59</v>
      </c>
      <c r="AP915" t="s">
        <v>2241</v>
      </c>
      <c r="AQ915" t="s">
        <v>2241</v>
      </c>
      <c r="AR915" t="s">
        <v>226</v>
      </c>
      <c r="AS915" t="s">
        <v>352</v>
      </c>
      <c r="AT915" t="s">
        <v>352</v>
      </c>
      <c r="AU915" t="s">
        <v>299</v>
      </c>
      <c r="AW915" s="4">
        <f t="shared" si="493"/>
        <v>6</v>
      </c>
      <c r="AX915" s="4">
        <f t="shared" si="494"/>
        <v>4</v>
      </c>
      <c r="AY915" s="4" t="str">
        <f t="shared" si="495"/>
        <v>0</v>
      </c>
      <c r="AZ915" s="4">
        <f t="shared" si="496"/>
        <v>2</v>
      </c>
      <c r="BA915" s="4">
        <f t="shared" si="497"/>
        <v>4</v>
      </c>
      <c r="BB915" s="4">
        <f t="shared" si="498"/>
        <v>4</v>
      </c>
      <c r="BC915" s="4">
        <f t="shared" si="499"/>
        <v>4</v>
      </c>
      <c r="BD915" s="4">
        <f t="shared" si="500"/>
        <v>2</v>
      </c>
      <c r="BE915" s="4" t="str">
        <f t="shared" si="501"/>
        <v>0</v>
      </c>
      <c r="BF915" s="4">
        <f t="shared" si="502"/>
        <v>2</v>
      </c>
      <c r="BG915" s="4">
        <f t="shared" si="503"/>
        <v>4</v>
      </c>
      <c r="BH915" s="4">
        <f t="shared" si="504"/>
        <v>4</v>
      </c>
      <c r="BI915" s="4">
        <f t="shared" si="505"/>
        <v>4</v>
      </c>
      <c r="BJ915" s="4">
        <f t="shared" si="506"/>
        <v>2</v>
      </c>
      <c r="BK915" s="4" t="str">
        <f t="shared" si="507"/>
        <v>0</v>
      </c>
      <c r="BL915" s="4">
        <f t="shared" si="508"/>
        <v>2</v>
      </c>
      <c r="BM915" s="4" t="str">
        <f t="shared" si="509"/>
        <v>0</v>
      </c>
      <c r="BN915" s="4">
        <f t="shared" si="510"/>
        <v>4</v>
      </c>
      <c r="BO915" s="4">
        <f t="shared" si="511"/>
        <v>4</v>
      </c>
      <c r="BP915" s="4">
        <f t="shared" si="512"/>
        <v>4</v>
      </c>
      <c r="BQ915" s="4">
        <f t="shared" si="513"/>
        <v>6</v>
      </c>
      <c r="BR915" s="4">
        <f t="shared" si="514"/>
        <v>4</v>
      </c>
      <c r="BS915" s="4">
        <f t="shared" si="515"/>
        <v>4</v>
      </c>
      <c r="BT915" s="4">
        <f t="shared" si="516"/>
        <v>4</v>
      </c>
      <c r="BU915" s="4">
        <f t="shared" si="517"/>
        <v>4</v>
      </c>
      <c r="BV915" s="4" t="str">
        <f t="shared" si="518"/>
        <v>0</v>
      </c>
      <c r="BW915" s="4">
        <f t="shared" si="519"/>
        <v>6</v>
      </c>
      <c r="BX915" s="4">
        <f t="shared" si="520"/>
        <v>0</v>
      </c>
      <c r="BY915" s="4">
        <f t="shared" si="521"/>
        <v>0</v>
      </c>
      <c r="BZ915" s="37">
        <f t="shared" si="522"/>
        <v>84</v>
      </c>
      <c r="CA915" s="32" t="str">
        <f>VLOOKUP(J:J,'Agent wise'!A:C,3,0)</f>
        <v>Amal</v>
      </c>
      <c r="CB915" s="32">
        <f t="shared" si="523"/>
        <v>45946</v>
      </c>
      <c r="CC915" t="str">
        <f t="shared" si="524"/>
        <v>FC</v>
      </c>
      <c r="CE915" s="32"/>
      <c r="CJ915">
        <f t="shared" si="525"/>
        <v>16</v>
      </c>
      <c r="CK915">
        <f t="shared" si="526"/>
        <v>10</v>
      </c>
      <c r="CL915">
        <f t="shared" si="527"/>
        <v>2025</v>
      </c>
    </row>
    <row r="916" spans="1:90" ht="15" customHeight="1" x14ac:dyDescent="0.35">
      <c r="A916" t="s">
        <v>2242</v>
      </c>
      <c r="B916" t="s">
        <v>250</v>
      </c>
      <c r="C916" t="s">
        <v>214</v>
      </c>
      <c r="D916" t="s">
        <v>251</v>
      </c>
      <c r="E916" s="32">
        <v>45946</v>
      </c>
      <c r="F916" t="s">
        <v>54</v>
      </c>
      <c r="G916" t="s">
        <v>1897</v>
      </c>
      <c r="H916">
        <v>9074484801</v>
      </c>
      <c r="I916">
        <v>168</v>
      </c>
      <c r="J916" t="s">
        <v>238</v>
      </c>
      <c r="K916" t="s">
        <v>57</v>
      </c>
      <c r="L916" t="s">
        <v>58</v>
      </c>
      <c r="M916" t="s">
        <v>59</v>
      </c>
      <c r="N916" t="s">
        <v>59</v>
      </c>
      <c r="O916" t="s">
        <v>59</v>
      </c>
      <c r="P916" t="s">
        <v>59</v>
      </c>
      <c r="Q916" t="s">
        <v>59</v>
      </c>
      <c r="R916" t="s">
        <v>59</v>
      </c>
      <c r="S916" t="s">
        <v>59</v>
      </c>
      <c r="T916" t="s">
        <v>59</v>
      </c>
      <c r="U916" t="s">
        <v>60</v>
      </c>
      <c r="V916" t="s">
        <v>59</v>
      </c>
      <c r="W916" t="s">
        <v>59</v>
      </c>
      <c r="X916" t="s">
        <v>59</v>
      </c>
      <c r="Y916" t="s">
        <v>59</v>
      </c>
      <c r="Z916" t="s">
        <v>59</v>
      </c>
      <c r="AA916" t="s">
        <v>60</v>
      </c>
      <c r="AB916" t="s">
        <v>60</v>
      </c>
      <c r="AC916" t="s">
        <v>59</v>
      </c>
      <c r="AD916" t="s">
        <v>59</v>
      </c>
      <c r="AE916" t="s">
        <v>59</v>
      </c>
      <c r="AF916" t="s">
        <v>59</v>
      </c>
      <c r="AG916" t="s">
        <v>59</v>
      </c>
      <c r="AH916" t="s">
        <v>61</v>
      </c>
      <c r="AI916" t="s">
        <v>61</v>
      </c>
      <c r="AJ916" t="s">
        <v>59</v>
      </c>
      <c r="AK916" t="s">
        <v>59</v>
      </c>
      <c r="AL916" t="s">
        <v>60</v>
      </c>
      <c r="AM916" t="s">
        <v>59</v>
      </c>
      <c r="AN916" t="s">
        <v>59</v>
      </c>
      <c r="AO916" t="s">
        <v>59</v>
      </c>
      <c r="AP916" t="s">
        <v>2243</v>
      </c>
      <c r="AQ916" t="s">
        <v>2244</v>
      </c>
      <c r="AR916" t="s">
        <v>64</v>
      </c>
      <c r="AS916" t="s">
        <v>417</v>
      </c>
      <c r="AT916" t="s">
        <v>418</v>
      </c>
      <c r="AU916" t="s">
        <v>219</v>
      </c>
      <c r="AW916" s="4">
        <f t="shared" si="493"/>
        <v>6</v>
      </c>
      <c r="AX916" s="4">
        <f t="shared" si="494"/>
        <v>4</v>
      </c>
      <c r="AY916" s="4">
        <f t="shared" si="495"/>
        <v>4</v>
      </c>
      <c r="AZ916" s="4">
        <f t="shared" si="496"/>
        <v>2</v>
      </c>
      <c r="BA916" s="4">
        <f t="shared" si="497"/>
        <v>4</v>
      </c>
      <c r="BB916" s="4">
        <f t="shared" si="498"/>
        <v>4</v>
      </c>
      <c r="BC916" s="4">
        <f t="shared" si="499"/>
        <v>4</v>
      </c>
      <c r="BD916" s="4">
        <f t="shared" si="500"/>
        <v>2</v>
      </c>
      <c r="BE916" s="4" t="str">
        <f t="shared" si="501"/>
        <v>0</v>
      </c>
      <c r="BF916" s="4">
        <f t="shared" si="502"/>
        <v>2</v>
      </c>
      <c r="BG916" s="4">
        <f t="shared" si="503"/>
        <v>4</v>
      </c>
      <c r="BH916" s="4">
        <f t="shared" si="504"/>
        <v>4</v>
      </c>
      <c r="BI916" s="4">
        <f t="shared" si="505"/>
        <v>4</v>
      </c>
      <c r="BJ916" s="4">
        <f t="shared" si="506"/>
        <v>2</v>
      </c>
      <c r="BK916" s="4" t="str">
        <f t="shared" si="507"/>
        <v>0</v>
      </c>
      <c r="BL916" s="4" t="str">
        <f t="shared" si="508"/>
        <v>0</v>
      </c>
      <c r="BM916" s="4">
        <f t="shared" si="509"/>
        <v>4</v>
      </c>
      <c r="BN916" s="4">
        <f t="shared" si="510"/>
        <v>4</v>
      </c>
      <c r="BO916" s="4">
        <f t="shared" si="511"/>
        <v>4</v>
      </c>
      <c r="BP916" s="4">
        <f t="shared" si="512"/>
        <v>4</v>
      </c>
      <c r="BQ916" s="4">
        <f t="shared" si="513"/>
        <v>6</v>
      </c>
      <c r="BR916" s="4">
        <f t="shared" si="514"/>
        <v>4</v>
      </c>
      <c r="BS916" s="4">
        <f t="shared" si="515"/>
        <v>4</v>
      </c>
      <c r="BT916" s="4">
        <f t="shared" si="516"/>
        <v>4</v>
      </c>
      <c r="BU916" s="4">
        <f t="shared" si="517"/>
        <v>4</v>
      </c>
      <c r="BV916" s="4" t="str">
        <f t="shared" si="518"/>
        <v>0</v>
      </c>
      <c r="BW916" s="4">
        <f t="shared" si="519"/>
        <v>6</v>
      </c>
      <c r="BX916" s="4">
        <f t="shared" si="520"/>
        <v>0</v>
      </c>
      <c r="BY916" s="4">
        <f t="shared" si="521"/>
        <v>0</v>
      </c>
      <c r="BZ916" s="37">
        <f t="shared" si="522"/>
        <v>90</v>
      </c>
      <c r="CA916" s="32" t="str">
        <f>VLOOKUP(J:J,'Agent wise'!A:C,3,0)</f>
        <v xml:space="preserve">Shiny </v>
      </c>
      <c r="CB916" s="32">
        <f t="shared" si="523"/>
        <v>45946</v>
      </c>
      <c r="CC916" t="str">
        <f t="shared" si="524"/>
        <v>Good</v>
      </c>
      <c r="CE916" s="32"/>
      <c r="CJ916">
        <f t="shared" si="525"/>
        <v>16</v>
      </c>
      <c r="CK916">
        <f t="shared" si="526"/>
        <v>10</v>
      </c>
      <c r="CL916">
        <f t="shared" si="527"/>
        <v>2025</v>
      </c>
    </row>
    <row r="917" spans="1:90" ht="15" customHeight="1" x14ac:dyDescent="0.35">
      <c r="A917" t="s">
        <v>2245</v>
      </c>
      <c r="B917" t="s">
        <v>177</v>
      </c>
      <c r="C917" t="s">
        <v>214</v>
      </c>
      <c r="D917" t="s">
        <v>178</v>
      </c>
      <c r="E917" s="32">
        <v>45946</v>
      </c>
      <c r="F917" t="s">
        <v>90</v>
      </c>
      <c r="G917" t="s">
        <v>1897</v>
      </c>
      <c r="H917">
        <v>9385998079</v>
      </c>
      <c r="I917">
        <v>144</v>
      </c>
      <c r="J917" t="s">
        <v>490</v>
      </c>
      <c r="K917" t="s">
        <v>71</v>
      </c>
      <c r="L917" t="s">
        <v>72</v>
      </c>
      <c r="M917" t="s">
        <v>59</v>
      </c>
      <c r="N917" t="s">
        <v>59</v>
      </c>
      <c r="O917" t="s">
        <v>59</v>
      </c>
      <c r="P917" t="s">
        <v>59</v>
      </c>
      <c r="Q917" t="s">
        <v>59</v>
      </c>
      <c r="R917" t="s">
        <v>59</v>
      </c>
      <c r="S917" t="s">
        <v>59</v>
      </c>
      <c r="T917" t="s">
        <v>59</v>
      </c>
      <c r="U917" t="s">
        <v>59</v>
      </c>
      <c r="V917" t="s">
        <v>59</v>
      </c>
      <c r="W917" t="s">
        <v>59</v>
      </c>
      <c r="X917" t="s">
        <v>59</v>
      </c>
      <c r="Y917" t="s">
        <v>59</v>
      </c>
      <c r="Z917" t="s">
        <v>59</v>
      </c>
      <c r="AA917" t="s">
        <v>59</v>
      </c>
      <c r="AB917" t="s">
        <v>59</v>
      </c>
      <c r="AC917" t="s">
        <v>61</v>
      </c>
      <c r="AD917" t="s">
        <v>59</v>
      </c>
      <c r="AE917" t="s">
        <v>59</v>
      </c>
      <c r="AF917" t="s">
        <v>59</v>
      </c>
      <c r="AG917" t="s">
        <v>59</v>
      </c>
      <c r="AH917" t="s">
        <v>61</v>
      </c>
      <c r="AI917" t="s">
        <v>61</v>
      </c>
      <c r="AJ917" t="s">
        <v>59</v>
      </c>
      <c r="AK917" t="s">
        <v>59</v>
      </c>
      <c r="AL917" t="s">
        <v>59</v>
      </c>
      <c r="AM917" t="s">
        <v>59</v>
      </c>
      <c r="AN917" t="s">
        <v>59</v>
      </c>
      <c r="AO917" t="s">
        <v>59</v>
      </c>
      <c r="AP917" t="s">
        <v>270</v>
      </c>
      <c r="AQ917" s="1" t="s">
        <v>1193</v>
      </c>
      <c r="AR917" t="s">
        <v>64</v>
      </c>
      <c r="AS917" t="s">
        <v>94</v>
      </c>
      <c r="AT917" t="s">
        <v>95</v>
      </c>
      <c r="AU917" t="s">
        <v>219</v>
      </c>
      <c r="AW917" s="4">
        <f t="shared" si="493"/>
        <v>6</v>
      </c>
      <c r="AX917" s="4">
        <f t="shared" si="494"/>
        <v>4</v>
      </c>
      <c r="AY917" s="4">
        <f t="shared" si="495"/>
        <v>4</v>
      </c>
      <c r="AZ917" s="4">
        <f t="shared" si="496"/>
        <v>2</v>
      </c>
      <c r="BA917" s="4">
        <f t="shared" si="497"/>
        <v>4</v>
      </c>
      <c r="BB917" s="4">
        <f t="shared" si="498"/>
        <v>4</v>
      </c>
      <c r="BC917" s="4">
        <f t="shared" si="499"/>
        <v>4</v>
      </c>
      <c r="BD917" s="4">
        <f t="shared" si="500"/>
        <v>2</v>
      </c>
      <c r="BE917" s="4">
        <f t="shared" si="501"/>
        <v>4</v>
      </c>
      <c r="BF917" s="4">
        <f t="shared" si="502"/>
        <v>2</v>
      </c>
      <c r="BG917" s="4">
        <f t="shared" si="503"/>
        <v>4</v>
      </c>
      <c r="BH917" s="4">
        <f t="shared" si="504"/>
        <v>4</v>
      </c>
      <c r="BI917" s="4">
        <f t="shared" si="505"/>
        <v>4</v>
      </c>
      <c r="BJ917" s="4">
        <f t="shared" si="506"/>
        <v>2</v>
      </c>
      <c r="BK917" s="4">
        <f t="shared" si="507"/>
        <v>4</v>
      </c>
      <c r="BL917" s="4">
        <f t="shared" si="508"/>
        <v>2</v>
      </c>
      <c r="BM917" s="4">
        <f t="shared" si="509"/>
        <v>4</v>
      </c>
      <c r="BN917" s="4">
        <f t="shared" si="510"/>
        <v>4</v>
      </c>
      <c r="BO917" s="4">
        <f t="shared" si="511"/>
        <v>4</v>
      </c>
      <c r="BP917" s="4">
        <f t="shared" si="512"/>
        <v>4</v>
      </c>
      <c r="BQ917" s="4">
        <f t="shared" si="513"/>
        <v>6</v>
      </c>
      <c r="BR917" s="4">
        <f t="shared" si="514"/>
        <v>4</v>
      </c>
      <c r="BS917" s="4">
        <f t="shared" si="515"/>
        <v>4</v>
      </c>
      <c r="BT917" s="4">
        <f t="shared" si="516"/>
        <v>4</v>
      </c>
      <c r="BU917" s="4">
        <f t="shared" si="517"/>
        <v>4</v>
      </c>
      <c r="BV917" s="4">
        <f t="shared" si="518"/>
        <v>0</v>
      </c>
      <c r="BW917" s="4">
        <f t="shared" si="519"/>
        <v>6</v>
      </c>
      <c r="BX917" s="4">
        <f t="shared" si="520"/>
        <v>0</v>
      </c>
      <c r="BY917" s="4">
        <f t="shared" si="521"/>
        <v>0</v>
      </c>
      <c r="BZ917" s="37">
        <f t="shared" si="522"/>
        <v>100</v>
      </c>
      <c r="CA917" s="32" t="str">
        <f>VLOOKUP(J:J,'Agent wise'!A:C,3,0)</f>
        <v>Saran S</v>
      </c>
      <c r="CB917" s="32">
        <f t="shared" si="523"/>
        <v>45946</v>
      </c>
      <c r="CC917" t="str">
        <f t="shared" si="524"/>
        <v>Excellent</v>
      </c>
      <c r="CE917" s="32"/>
      <c r="CJ917">
        <f t="shared" si="525"/>
        <v>16</v>
      </c>
      <c r="CK917">
        <f t="shared" si="526"/>
        <v>10</v>
      </c>
      <c r="CL917">
        <f t="shared" si="527"/>
        <v>2025</v>
      </c>
    </row>
    <row r="918" spans="1:90" ht="15" customHeight="1" x14ac:dyDescent="0.35">
      <c r="A918" t="s">
        <v>2246</v>
      </c>
      <c r="B918" t="s">
        <v>100</v>
      </c>
      <c r="C918" t="s">
        <v>214</v>
      </c>
      <c r="D918" t="s">
        <v>101</v>
      </c>
      <c r="E918" s="32">
        <v>45946</v>
      </c>
      <c r="F918" t="s">
        <v>90</v>
      </c>
      <c r="G918" t="s">
        <v>1897</v>
      </c>
      <c r="H918">
        <v>9942774164</v>
      </c>
      <c r="I918">
        <v>138</v>
      </c>
      <c r="J918" t="s">
        <v>91</v>
      </c>
      <c r="K918" t="s">
        <v>71</v>
      </c>
      <c r="L918" t="s">
        <v>72</v>
      </c>
      <c r="M918" t="s">
        <v>59</v>
      </c>
      <c r="N918" t="s">
        <v>59</v>
      </c>
      <c r="O918" t="s">
        <v>60</v>
      </c>
      <c r="P918" t="s">
        <v>59</v>
      </c>
      <c r="Q918" t="s">
        <v>59</v>
      </c>
      <c r="R918" t="s">
        <v>60</v>
      </c>
      <c r="S918" t="s">
        <v>59</v>
      </c>
      <c r="T918" t="s">
        <v>59</v>
      </c>
      <c r="U918" t="s">
        <v>60</v>
      </c>
      <c r="V918" t="s">
        <v>59</v>
      </c>
      <c r="W918" t="s">
        <v>59</v>
      </c>
      <c r="X918" t="s">
        <v>61</v>
      </c>
      <c r="Y918" t="s">
        <v>59</v>
      </c>
      <c r="Z918" t="s">
        <v>59</v>
      </c>
      <c r="AA918" t="s">
        <v>60</v>
      </c>
      <c r="AB918" t="s">
        <v>60</v>
      </c>
      <c r="AC918" t="s">
        <v>61</v>
      </c>
      <c r="AD918" t="s">
        <v>60</v>
      </c>
      <c r="AE918" t="s">
        <v>60</v>
      </c>
      <c r="AF918" t="s">
        <v>59</v>
      </c>
      <c r="AG918" t="s">
        <v>59</v>
      </c>
      <c r="AH918" t="s">
        <v>61</v>
      </c>
      <c r="AI918" t="s">
        <v>61</v>
      </c>
      <c r="AJ918" t="s">
        <v>59</v>
      </c>
      <c r="AK918" t="s">
        <v>61</v>
      </c>
      <c r="AL918" t="s">
        <v>60</v>
      </c>
      <c r="AM918" t="s">
        <v>59</v>
      </c>
      <c r="AN918" t="s">
        <v>59</v>
      </c>
      <c r="AO918" t="s">
        <v>60</v>
      </c>
      <c r="AP918" t="s">
        <v>2247</v>
      </c>
      <c r="AQ918" t="s">
        <v>2247</v>
      </c>
      <c r="AR918" t="s">
        <v>64</v>
      </c>
      <c r="AS918" t="s">
        <v>94</v>
      </c>
      <c r="AT918" t="s">
        <v>95</v>
      </c>
      <c r="AU918" t="s">
        <v>387</v>
      </c>
      <c r="AW918" s="4">
        <f t="shared" si="493"/>
        <v>6</v>
      </c>
      <c r="AX918" s="4">
        <f t="shared" si="494"/>
        <v>4</v>
      </c>
      <c r="AY918" s="4" t="str">
        <f t="shared" si="495"/>
        <v>0</v>
      </c>
      <c r="AZ918" s="4">
        <f t="shared" si="496"/>
        <v>2</v>
      </c>
      <c r="BA918" s="4">
        <f t="shared" si="497"/>
        <v>4</v>
      </c>
      <c r="BB918" s="4" t="str">
        <f t="shared" si="498"/>
        <v>0</v>
      </c>
      <c r="BC918" s="4">
        <f t="shared" si="499"/>
        <v>4</v>
      </c>
      <c r="BD918" s="4">
        <f t="shared" si="500"/>
        <v>2</v>
      </c>
      <c r="BE918" s="4" t="str">
        <f t="shared" si="501"/>
        <v>0</v>
      </c>
      <c r="BF918" s="4">
        <f t="shared" si="502"/>
        <v>2</v>
      </c>
      <c r="BG918" s="4">
        <f t="shared" si="503"/>
        <v>4</v>
      </c>
      <c r="BH918" s="4">
        <f t="shared" si="504"/>
        <v>4</v>
      </c>
      <c r="BI918" s="4">
        <f t="shared" si="505"/>
        <v>4</v>
      </c>
      <c r="BJ918" s="4">
        <f t="shared" si="506"/>
        <v>2</v>
      </c>
      <c r="BK918" s="4" t="str">
        <f t="shared" si="507"/>
        <v>0</v>
      </c>
      <c r="BL918" s="4" t="str">
        <f t="shared" si="508"/>
        <v>0</v>
      </c>
      <c r="BM918" s="4">
        <f t="shared" si="509"/>
        <v>4</v>
      </c>
      <c r="BN918" s="4" t="str">
        <f t="shared" si="510"/>
        <v>0</v>
      </c>
      <c r="BO918" s="4" t="str">
        <f t="shared" si="511"/>
        <v>0</v>
      </c>
      <c r="BP918" s="4">
        <f t="shared" si="512"/>
        <v>4</v>
      </c>
      <c r="BQ918" s="4">
        <f t="shared" si="513"/>
        <v>6</v>
      </c>
      <c r="BR918" s="4">
        <f t="shared" si="514"/>
        <v>4</v>
      </c>
      <c r="BS918" s="4">
        <f t="shared" si="515"/>
        <v>4</v>
      </c>
      <c r="BT918" s="4">
        <f t="shared" si="516"/>
        <v>4</v>
      </c>
      <c r="BU918" s="4">
        <f t="shared" si="517"/>
        <v>4</v>
      </c>
      <c r="BV918" s="4" t="str">
        <f t="shared" si="518"/>
        <v>0</v>
      </c>
      <c r="BW918" s="4">
        <f t="shared" si="519"/>
        <v>6</v>
      </c>
      <c r="BX918" s="4">
        <f t="shared" si="520"/>
        <v>0</v>
      </c>
      <c r="BY918" s="4" t="str">
        <f t="shared" si="521"/>
        <v>0</v>
      </c>
      <c r="BZ918" s="37">
        <f t="shared" si="522"/>
        <v>74</v>
      </c>
      <c r="CA918" s="32" t="str">
        <f>VLOOKUP(J:J,'Agent wise'!A:C,3,0)</f>
        <v>Saran S</v>
      </c>
      <c r="CB918" s="32">
        <f t="shared" si="523"/>
        <v>45946</v>
      </c>
      <c r="CC918" t="str">
        <f t="shared" si="524"/>
        <v>FC</v>
      </c>
      <c r="CE918" s="32"/>
      <c r="CJ918">
        <f t="shared" si="525"/>
        <v>16</v>
      </c>
      <c r="CK918">
        <f t="shared" si="526"/>
        <v>10</v>
      </c>
      <c r="CL918">
        <f t="shared" si="527"/>
        <v>2025</v>
      </c>
    </row>
    <row r="919" spans="1:90" ht="15" customHeight="1" x14ac:dyDescent="0.35">
      <c r="A919" t="s">
        <v>2248</v>
      </c>
      <c r="B919" t="s">
        <v>250</v>
      </c>
      <c r="C919" t="s">
        <v>214</v>
      </c>
      <c r="D919" t="s">
        <v>251</v>
      </c>
      <c r="E919" s="32">
        <v>45946</v>
      </c>
      <c r="F919" t="s">
        <v>54</v>
      </c>
      <c r="G919" t="s">
        <v>1897</v>
      </c>
      <c r="H919">
        <v>9894379910</v>
      </c>
      <c r="I919">
        <v>146</v>
      </c>
      <c r="J919" t="s">
        <v>231</v>
      </c>
      <c r="K919" t="s">
        <v>71</v>
      </c>
      <c r="L919" t="s">
        <v>72</v>
      </c>
      <c r="M919" t="s">
        <v>59</v>
      </c>
      <c r="N919" t="s">
        <v>59</v>
      </c>
      <c r="O919" t="s">
        <v>59</v>
      </c>
      <c r="P919" t="s">
        <v>59</v>
      </c>
      <c r="Q919" t="s">
        <v>59</v>
      </c>
      <c r="R919" t="s">
        <v>59</v>
      </c>
      <c r="S919" t="s">
        <v>59</v>
      </c>
      <c r="T919" t="s">
        <v>59</v>
      </c>
      <c r="U919" t="s">
        <v>60</v>
      </c>
      <c r="V919" t="s">
        <v>59</v>
      </c>
      <c r="W919" t="s">
        <v>59</v>
      </c>
      <c r="X919" t="s">
        <v>59</v>
      </c>
      <c r="Y919" t="s">
        <v>59</v>
      </c>
      <c r="Z919" t="s">
        <v>60</v>
      </c>
      <c r="AA919" t="s">
        <v>60</v>
      </c>
      <c r="AB919" t="s">
        <v>60</v>
      </c>
      <c r="AC919" t="s">
        <v>59</v>
      </c>
      <c r="AD919" t="s">
        <v>59</v>
      </c>
      <c r="AE919" t="s">
        <v>59</v>
      </c>
      <c r="AF919" t="s">
        <v>59</v>
      </c>
      <c r="AG919" t="s">
        <v>59</v>
      </c>
      <c r="AH919" t="s">
        <v>61</v>
      </c>
      <c r="AI919" t="s">
        <v>61</v>
      </c>
      <c r="AJ919" t="s">
        <v>59</v>
      </c>
      <c r="AK919" t="s">
        <v>59</v>
      </c>
      <c r="AL919" t="s">
        <v>60</v>
      </c>
      <c r="AM919" t="s">
        <v>59</v>
      </c>
      <c r="AN919" t="s">
        <v>59</v>
      </c>
      <c r="AO919" t="s">
        <v>59</v>
      </c>
      <c r="AP919" t="s">
        <v>2249</v>
      </c>
      <c r="AQ919" t="s">
        <v>2250</v>
      </c>
      <c r="AR919" t="s">
        <v>64</v>
      </c>
      <c r="AS919" t="s">
        <v>397</v>
      </c>
      <c r="AT919" t="s">
        <v>398</v>
      </c>
      <c r="AU919" t="s">
        <v>593</v>
      </c>
      <c r="AW919" s="4">
        <f t="shared" si="493"/>
        <v>6</v>
      </c>
      <c r="AX919" s="4">
        <f t="shared" si="494"/>
        <v>4</v>
      </c>
      <c r="AY919" s="4">
        <f t="shared" si="495"/>
        <v>4</v>
      </c>
      <c r="AZ919" s="4">
        <f t="shared" si="496"/>
        <v>2</v>
      </c>
      <c r="BA919" s="4">
        <f t="shared" si="497"/>
        <v>4</v>
      </c>
      <c r="BB919" s="4">
        <f t="shared" si="498"/>
        <v>4</v>
      </c>
      <c r="BC919" s="4">
        <f t="shared" si="499"/>
        <v>4</v>
      </c>
      <c r="BD919" s="4">
        <f t="shared" si="500"/>
        <v>2</v>
      </c>
      <c r="BE919" s="4" t="str">
        <f t="shared" si="501"/>
        <v>0</v>
      </c>
      <c r="BF919" s="4">
        <f t="shared" si="502"/>
        <v>2</v>
      </c>
      <c r="BG919" s="4">
        <f t="shared" si="503"/>
        <v>4</v>
      </c>
      <c r="BH919" s="4">
        <f t="shared" si="504"/>
        <v>4</v>
      </c>
      <c r="BI919" s="4">
        <f t="shared" si="505"/>
        <v>4</v>
      </c>
      <c r="BJ919" s="4" t="str">
        <f t="shared" si="506"/>
        <v>0</v>
      </c>
      <c r="BK919" s="4" t="str">
        <f t="shared" si="507"/>
        <v>0</v>
      </c>
      <c r="BL919" s="4" t="str">
        <f t="shared" si="508"/>
        <v>0</v>
      </c>
      <c r="BM919" s="4">
        <f t="shared" si="509"/>
        <v>4</v>
      </c>
      <c r="BN919" s="4">
        <f t="shared" si="510"/>
        <v>4</v>
      </c>
      <c r="BO919" s="4">
        <f t="shared" si="511"/>
        <v>4</v>
      </c>
      <c r="BP919" s="4">
        <f t="shared" si="512"/>
        <v>4</v>
      </c>
      <c r="BQ919" s="4">
        <f t="shared" si="513"/>
        <v>6</v>
      </c>
      <c r="BR919" s="4">
        <f t="shared" si="514"/>
        <v>4</v>
      </c>
      <c r="BS919" s="4">
        <f t="shared" si="515"/>
        <v>4</v>
      </c>
      <c r="BT919" s="4">
        <f t="shared" si="516"/>
        <v>4</v>
      </c>
      <c r="BU919" s="4">
        <f t="shared" si="517"/>
        <v>4</v>
      </c>
      <c r="BV919" s="4" t="str">
        <f t="shared" si="518"/>
        <v>0</v>
      </c>
      <c r="BW919" s="4">
        <f t="shared" si="519"/>
        <v>6</v>
      </c>
      <c r="BX919" s="4">
        <f t="shared" si="520"/>
        <v>0</v>
      </c>
      <c r="BY919" s="4">
        <f t="shared" si="521"/>
        <v>0</v>
      </c>
      <c r="BZ919" s="37">
        <f t="shared" si="522"/>
        <v>88</v>
      </c>
      <c r="CA919" s="32" t="str">
        <f>VLOOKUP(J:J,'Agent wise'!A:C,3,0)</f>
        <v>Shakeer</v>
      </c>
      <c r="CB919" s="32">
        <f t="shared" si="523"/>
        <v>45946</v>
      </c>
      <c r="CC919" t="str">
        <f t="shared" si="524"/>
        <v>Average</v>
      </c>
      <c r="CE919" s="32"/>
      <c r="CJ919">
        <f t="shared" si="525"/>
        <v>16</v>
      </c>
      <c r="CK919">
        <f t="shared" si="526"/>
        <v>10</v>
      </c>
      <c r="CL919">
        <f t="shared" si="527"/>
        <v>2025</v>
      </c>
    </row>
    <row r="920" spans="1:90" ht="15" customHeight="1" x14ac:dyDescent="0.35">
      <c r="A920" t="s">
        <v>2251</v>
      </c>
      <c r="B920" t="s">
        <v>100</v>
      </c>
      <c r="C920" t="s">
        <v>214</v>
      </c>
      <c r="D920" t="s">
        <v>101</v>
      </c>
      <c r="E920" s="32">
        <v>45946</v>
      </c>
      <c r="F920" t="s">
        <v>90</v>
      </c>
      <c r="G920" t="s">
        <v>1897</v>
      </c>
      <c r="H920">
        <v>9344012968</v>
      </c>
      <c r="I920">
        <v>154</v>
      </c>
      <c r="J920" t="s">
        <v>91</v>
      </c>
      <c r="K920" t="s">
        <v>71</v>
      </c>
      <c r="L920" t="s">
        <v>72</v>
      </c>
      <c r="M920" t="s">
        <v>59</v>
      </c>
      <c r="N920" t="s">
        <v>59</v>
      </c>
      <c r="O920" t="s">
        <v>60</v>
      </c>
      <c r="P920" t="s">
        <v>59</v>
      </c>
      <c r="Q920" t="s">
        <v>59</v>
      </c>
      <c r="R920" t="s">
        <v>60</v>
      </c>
      <c r="S920" t="s">
        <v>59</v>
      </c>
      <c r="T920" t="s">
        <v>59</v>
      </c>
      <c r="U920" t="s">
        <v>60</v>
      </c>
      <c r="V920" t="s">
        <v>59</v>
      </c>
      <c r="W920" t="s">
        <v>60</v>
      </c>
      <c r="X920" t="s">
        <v>60</v>
      </c>
      <c r="Y920" t="s">
        <v>59</v>
      </c>
      <c r="Z920" t="s">
        <v>59</v>
      </c>
      <c r="AA920" t="s">
        <v>60</v>
      </c>
      <c r="AB920" t="s">
        <v>59</v>
      </c>
      <c r="AC920" t="s">
        <v>61</v>
      </c>
      <c r="AD920" t="s">
        <v>60</v>
      </c>
      <c r="AE920" t="s">
        <v>60</v>
      </c>
      <c r="AF920" t="s">
        <v>61</v>
      </c>
      <c r="AG920" t="s">
        <v>59</v>
      </c>
      <c r="AH920" t="s">
        <v>61</v>
      </c>
      <c r="AI920" t="s">
        <v>61</v>
      </c>
      <c r="AJ920" t="s">
        <v>59</v>
      </c>
      <c r="AK920" t="s">
        <v>61</v>
      </c>
      <c r="AL920" t="s">
        <v>60</v>
      </c>
      <c r="AM920" t="s">
        <v>59</v>
      </c>
      <c r="AN920" t="s">
        <v>59</v>
      </c>
      <c r="AO920" t="s">
        <v>59</v>
      </c>
      <c r="AP920" t="s">
        <v>2252</v>
      </c>
      <c r="AQ920" t="s">
        <v>2252</v>
      </c>
      <c r="AR920" t="s">
        <v>226</v>
      </c>
      <c r="AS920" t="s">
        <v>94</v>
      </c>
      <c r="AT920" t="s">
        <v>95</v>
      </c>
      <c r="AU920" t="s">
        <v>299</v>
      </c>
      <c r="AW920" s="4">
        <f t="shared" si="493"/>
        <v>6</v>
      </c>
      <c r="AX920" s="4">
        <f t="shared" si="494"/>
        <v>4</v>
      </c>
      <c r="AY920" s="4" t="str">
        <f t="shared" si="495"/>
        <v>0</v>
      </c>
      <c r="AZ920" s="4">
        <f t="shared" si="496"/>
        <v>2</v>
      </c>
      <c r="BA920" s="4">
        <f t="shared" si="497"/>
        <v>4</v>
      </c>
      <c r="BB920" s="4" t="str">
        <f t="shared" si="498"/>
        <v>0</v>
      </c>
      <c r="BC920" s="4">
        <f t="shared" si="499"/>
        <v>4</v>
      </c>
      <c r="BD920" s="4">
        <f t="shared" si="500"/>
        <v>2</v>
      </c>
      <c r="BE920" s="4" t="str">
        <f t="shared" si="501"/>
        <v>0</v>
      </c>
      <c r="BF920" s="4">
        <f t="shared" si="502"/>
        <v>2</v>
      </c>
      <c r="BG920" s="4" t="str">
        <f t="shared" si="503"/>
        <v>0</v>
      </c>
      <c r="BH920" s="4" t="str">
        <f t="shared" si="504"/>
        <v>0</v>
      </c>
      <c r="BI920" s="4">
        <f t="shared" si="505"/>
        <v>4</v>
      </c>
      <c r="BJ920" s="4">
        <f t="shared" si="506"/>
        <v>2</v>
      </c>
      <c r="BK920" s="4" t="str">
        <f t="shared" si="507"/>
        <v>0</v>
      </c>
      <c r="BL920" s="4">
        <f t="shared" si="508"/>
        <v>2</v>
      </c>
      <c r="BM920" s="4">
        <f t="shared" si="509"/>
        <v>4</v>
      </c>
      <c r="BN920" s="4" t="str">
        <f t="shared" si="510"/>
        <v>0</v>
      </c>
      <c r="BO920" s="4" t="str">
        <f t="shared" si="511"/>
        <v>0</v>
      </c>
      <c r="BP920" s="4">
        <f t="shared" si="512"/>
        <v>4</v>
      </c>
      <c r="BQ920" s="4">
        <f t="shared" si="513"/>
        <v>6</v>
      </c>
      <c r="BR920" s="4">
        <f t="shared" si="514"/>
        <v>4</v>
      </c>
      <c r="BS920" s="4">
        <f t="shared" si="515"/>
        <v>4</v>
      </c>
      <c r="BT920" s="4">
        <f t="shared" si="516"/>
        <v>4</v>
      </c>
      <c r="BU920" s="4">
        <f t="shared" si="517"/>
        <v>4</v>
      </c>
      <c r="BV920" s="4" t="str">
        <f t="shared" si="518"/>
        <v>0</v>
      </c>
      <c r="BW920" s="4">
        <f t="shared" si="519"/>
        <v>6</v>
      </c>
      <c r="BX920" s="4">
        <f t="shared" si="520"/>
        <v>0</v>
      </c>
      <c r="BY920" s="4">
        <f t="shared" si="521"/>
        <v>0</v>
      </c>
      <c r="BZ920" s="37">
        <f t="shared" si="522"/>
        <v>68</v>
      </c>
      <c r="CA920" s="32" t="str">
        <f>VLOOKUP(J:J,'Agent wise'!A:C,3,0)</f>
        <v>Saran S</v>
      </c>
      <c r="CB920" s="32">
        <f t="shared" si="523"/>
        <v>45946</v>
      </c>
      <c r="CC920" t="str">
        <f t="shared" si="524"/>
        <v>FC</v>
      </c>
      <c r="CE920" s="32"/>
      <c r="CJ920">
        <f t="shared" si="525"/>
        <v>16</v>
      </c>
      <c r="CK920">
        <f t="shared" si="526"/>
        <v>10</v>
      </c>
      <c r="CL920">
        <f t="shared" si="527"/>
        <v>2025</v>
      </c>
    </row>
    <row r="921" spans="1:90" ht="15" customHeight="1" x14ac:dyDescent="0.35">
      <c r="A921" t="s">
        <v>2253</v>
      </c>
      <c r="B921" t="s">
        <v>250</v>
      </c>
      <c r="C921" t="s">
        <v>214</v>
      </c>
      <c r="D921" t="s">
        <v>251</v>
      </c>
      <c r="E921" s="32">
        <v>45946</v>
      </c>
      <c r="F921" t="s">
        <v>54</v>
      </c>
      <c r="G921" t="s">
        <v>1897</v>
      </c>
      <c r="H921">
        <v>9865965761</v>
      </c>
      <c r="I921">
        <v>173</v>
      </c>
      <c r="J921" t="s">
        <v>215</v>
      </c>
      <c r="K921" t="s">
        <v>71</v>
      </c>
      <c r="L921" t="s">
        <v>72</v>
      </c>
      <c r="M921" t="s">
        <v>59</v>
      </c>
      <c r="N921" t="s">
        <v>59</v>
      </c>
      <c r="O921" t="s">
        <v>59</v>
      </c>
      <c r="P921" t="s">
        <v>59</v>
      </c>
      <c r="Q921" t="s">
        <v>59</v>
      </c>
      <c r="R921" t="s">
        <v>59</v>
      </c>
      <c r="S921" t="s">
        <v>59</v>
      </c>
      <c r="T921" t="s">
        <v>59</v>
      </c>
      <c r="U921" t="s">
        <v>60</v>
      </c>
      <c r="V921" t="s">
        <v>59</v>
      </c>
      <c r="W921" t="s">
        <v>59</v>
      </c>
      <c r="X921" t="s">
        <v>59</v>
      </c>
      <c r="Y921" t="s">
        <v>59</v>
      </c>
      <c r="Z921" t="s">
        <v>59</v>
      </c>
      <c r="AA921" t="s">
        <v>59</v>
      </c>
      <c r="AB921" t="s">
        <v>59</v>
      </c>
      <c r="AC921" t="s">
        <v>59</v>
      </c>
      <c r="AD921" t="s">
        <v>59</v>
      </c>
      <c r="AE921" t="s">
        <v>59</v>
      </c>
      <c r="AF921" t="s">
        <v>59</v>
      </c>
      <c r="AG921" t="s">
        <v>59</v>
      </c>
      <c r="AH921" t="s">
        <v>61</v>
      </c>
      <c r="AI921" t="s">
        <v>61</v>
      </c>
      <c r="AJ921" t="s">
        <v>59</v>
      </c>
      <c r="AK921" t="s">
        <v>59</v>
      </c>
      <c r="AL921" t="s">
        <v>60</v>
      </c>
      <c r="AM921" t="s">
        <v>60</v>
      </c>
      <c r="AN921" t="s">
        <v>59</v>
      </c>
      <c r="AO921" t="s">
        <v>60</v>
      </c>
      <c r="AP921" t="s">
        <v>2254</v>
      </c>
      <c r="AQ921" t="s">
        <v>2255</v>
      </c>
      <c r="AR921" t="s">
        <v>64</v>
      </c>
      <c r="AS921" t="s">
        <v>1815</v>
      </c>
      <c r="AT921" t="s">
        <v>1816</v>
      </c>
      <c r="AU921" t="s">
        <v>219</v>
      </c>
      <c r="AW921" s="4">
        <f t="shared" si="493"/>
        <v>6</v>
      </c>
      <c r="AX921" s="4">
        <f t="shared" si="494"/>
        <v>4</v>
      </c>
      <c r="AY921" s="4">
        <f t="shared" si="495"/>
        <v>4</v>
      </c>
      <c r="AZ921" s="4">
        <f t="shared" si="496"/>
        <v>2</v>
      </c>
      <c r="BA921" s="4">
        <f t="shared" si="497"/>
        <v>4</v>
      </c>
      <c r="BB921" s="4">
        <f t="shared" si="498"/>
        <v>4</v>
      </c>
      <c r="BC921" s="4">
        <f t="shared" si="499"/>
        <v>4</v>
      </c>
      <c r="BD921" s="4">
        <f t="shared" si="500"/>
        <v>2</v>
      </c>
      <c r="BE921" s="4" t="str">
        <f t="shared" si="501"/>
        <v>0</v>
      </c>
      <c r="BF921" s="4">
        <f t="shared" si="502"/>
        <v>2</v>
      </c>
      <c r="BG921" s="4">
        <f t="shared" si="503"/>
        <v>4</v>
      </c>
      <c r="BH921" s="4">
        <f t="shared" si="504"/>
        <v>4</v>
      </c>
      <c r="BI921" s="4">
        <f t="shared" si="505"/>
        <v>4</v>
      </c>
      <c r="BJ921" s="4">
        <f t="shared" si="506"/>
        <v>2</v>
      </c>
      <c r="BK921" s="4">
        <f t="shared" si="507"/>
        <v>4</v>
      </c>
      <c r="BL921" s="4">
        <f t="shared" si="508"/>
        <v>2</v>
      </c>
      <c r="BM921" s="4">
        <f t="shared" si="509"/>
        <v>4</v>
      </c>
      <c r="BN921" s="4">
        <f t="shared" si="510"/>
        <v>4</v>
      </c>
      <c r="BO921" s="4">
        <f t="shared" si="511"/>
        <v>4</v>
      </c>
      <c r="BP921" s="4">
        <f t="shared" si="512"/>
        <v>4</v>
      </c>
      <c r="BQ921" s="4">
        <f t="shared" si="513"/>
        <v>6</v>
      </c>
      <c r="BR921" s="4">
        <f t="shared" si="514"/>
        <v>4</v>
      </c>
      <c r="BS921" s="4">
        <f t="shared" si="515"/>
        <v>4</v>
      </c>
      <c r="BT921" s="4">
        <f t="shared" si="516"/>
        <v>4</v>
      </c>
      <c r="BU921" s="4">
        <f t="shared" si="517"/>
        <v>4</v>
      </c>
      <c r="BV921" s="4" t="str">
        <f t="shared" si="518"/>
        <v>0</v>
      </c>
      <c r="BW921" s="4" t="str">
        <f t="shared" si="519"/>
        <v>0</v>
      </c>
      <c r="BX921" s="4">
        <f t="shared" si="520"/>
        <v>0</v>
      </c>
      <c r="BY921" s="4" t="str">
        <f t="shared" si="521"/>
        <v>0</v>
      </c>
      <c r="BZ921" s="37">
        <f t="shared" si="522"/>
        <v>90</v>
      </c>
      <c r="CA921" s="32" t="str">
        <f>VLOOKUP(J:J,'Agent wise'!A:C,3,0)</f>
        <v>Adharsh</v>
      </c>
      <c r="CB921" s="32">
        <f t="shared" si="523"/>
        <v>45946</v>
      </c>
      <c r="CC921" t="str">
        <f t="shared" si="524"/>
        <v>Good</v>
      </c>
      <c r="CE921" s="32"/>
      <c r="CJ921">
        <f t="shared" si="525"/>
        <v>16</v>
      </c>
      <c r="CK921">
        <f t="shared" si="526"/>
        <v>10</v>
      </c>
      <c r="CL921">
        <f t="shared" si="527"/>
        <v>2025</v>
      </c>
    </row>
    <row r="922" spans="1:90" ht="15" customHeight="1" x14ac:dyDescent="0.35">
      <c r="A922" t="s">
        <v>2256</v>
      </c>
      <c r="B922" t="s">
        <v>250</v>
      </c>
      <c r="C922" t="s">
        <v>214</v>
      </c>
      <c r="D922" t="s">
        <v>251</v>
      </c>
      <c r="E922" s="32">
        <v>45945</v>
      </c>
      <c r="F922" t="s">
        <v>54</v>
      </c>
      <c r="G922" t="s">
        <v>1897</v>
      </c>
      <c r="H922">
        <v>8129567566</v>
      </c>
      <c r="I922">
        <v>149</v>
      </c>
      <c r="J922" t="s">
        <v>168</v>
      </c>
      <c r="K922" t="s">
        <v>57</v>
      </c>
      <c r="L922" t="s">
        <v>58</v>
      </c>
      <c r="M922" t="s">
        <v>60</v>
      </c>
      <c r="N922" t="s">
        <v>59</v>
      </c>
      <c r="O922" t="s">
        <v>59</v>
      </c>
      <c r="P922" t="s">
        <v>59</v>
      </c>
      <c r="Q922" t="s">
        <v>59</v>
      </c>
      <c r="R922" t="s">
        <v>59</v>
      </c>
      <c r="S922" t="s">
        <v>59</v>
      </c>
      <c r="T922" t="s">
        <v>59</v>
      </c>
      <c r="U922" t="s">
        <v>60</v>
      </c>
      <c r="V922" t="s">
        <v>59</v>
      </c>
      <c r="W922" t="s">
        <v>59</v>
      </c>
      <c r="X922" t="s">
        <v>59</v>
      </c>
      <c r="Y922" t="s">
        <v>59</v>
      </c>
      <c r="Z922" t="s">
        <v>59</v>
      </c>
      <c r="AA922" t="s">
        <v>59</v>
      </c>
      <c r="AB922" t="s">
        <v>60</v>
      </c>
      <c r="AC922" t="s">
        <v>59</v>
      </c>
      <c r="AD922" t="s">
        <v>59</v>
      </c>
      <c r="AE922" t="s">
        <v>59</v>
      </c>
      <c r="AF922" t="s">
        <v>59</v>
      </c>
      <c r="AG922" t="s">
        <v>59</v>
      </c>
      <c r="AH922" t="s">
        <v>61</v>
      </c>
      <c r="AI922" t="s">
        <v>61</v>
      </c>
      <c r="AJ922" t="s">
        <v>61</v>
      </c>
      <c r="AK922" t="s">
        <v>61</v>
      </c>
      <c r="AL922" t="s">
        <v>60</v>
      </c>
      <c r="AM922" t="s">
        <v>59</v>
      </c>
      <c r="AN922" t="s">
        <v>59</v>
      </c>
      <c r="AO922" t="s">
        <v>59</v>
      </c>
      <c r="AP922" t="s">
        <v>2257</v>
      </c>
      <c r="AQ922" t="s">
        <v>2258</v>
      </c>
      <c r="AR922" t="s">
        <v>64</v>
      </c>
      <c r="AS922" t="s">
        <v>255</v>
      </c>
      <c r="AT922" t="s">
        <v>297</v>
      </c>
      <c r="AU922" t="s">
        <v>219</v>
      </c>
      <c r="AW922" s="4" t="str">
        <f t="shared" si="493"/>
        <v>0</v>
      </c>
      <c r="AX922" s="4">
        <f t="shared" si="494"/>
        <v>4</v>
      </c>
      <c r="AY922" s="4">
        <f t="shared" si="495"/>
        <v>4</v>
      </c>
      <c r="AZ922" s="4">
        <f t="shared" si="496"/>
        <v>2</v>
      </c>
      <c r="BA922" s="4">
        <f t="shared" si="497"/>
        <v>4</v>
      </c>
      <c r="BB922" s="4">
        <f t="shared" si="498"/>
        <v>4</v>
      </c>
      <c r="BC922" s="4">
        <f t="shared" si="499"/>
        <v>4</v>
      </c>
      <c r="BD922" s="4">
        <f t="shared" si="500"/>
        <v>2</v>
      </c>
      <c r="BE922" s="4" t="str">
        <f t="shared" si="501"/>
        <v>0</v>
      </c>
      <c r="BF922" s="4">
        <f t="shared" si="502"/>
        <v>2</v>
      </c>
      <c r="BG922" s="4">
        <f t="shared" si="503"/>
        <v>4</v>
      </c>
      <c r="BH922" s="4">
        <f t="shared" si="504"/>
        <v>4</v>
      </c>
      <c r="BI922" s="4">
        <f t="shared" si="505"/>
        <v>4</v>
      </c>
      <c r="BJ922" s="4">
        <f t="shared" si="506"/>
        <v>2</v>
      </c>
      <c r="BK922" s="4">
        <f t="shared" si="507"/>
        <v>4</v>
      </c>
      <c r="BL922" s="4" t="str">
        <f t="shared" si="508"/>
        <v>0</v>
      </c>
      <c r="BM922" s="4">
        <f t="shared" si="509"/>
        <v>4</v>
      </c>
      <c r="BN922" s="4">
        <f t="shared" si="510"/>
        <v>4</v>
      </c>
      <c r="BO922" s="4">
        <f t="shared" si="511"/>
        <v>4</v>
      </c>
      <c r="BP922" s="4">
        <f t="shared" si="512"/>
        <v>4</v>
      </c>
      <c r="BQ922" s="4">
        <f t="shared" si="513"/>
        <v>6</v>
      </c>
      <c r="BR922" s="4">
        <f t="shared" si="514"/>
        <v>4</v>
      </c>
      <c r="BS922" s="4">
        <f t="shared" si="515"/>
        <v>4</v>
      </c>
      <c r="BT922" s="4">
        <f t="shared" si="516"/>
        <v>4</v>
      </c>
      <c r="BU922" s="4">
        <f t="shared" si="517"/>
        <v>4</v>
      </c>
      <c r="BV922" s="4" t="str">
        <f t="shared" si="518"/>
        <v>0</v>
      </c>
      <c r="BW922" s="4">
        <f t="shared" si="519"/>
        <v>6</v>
      </c>
      <c r="BX922" s="4">
        <f t="shared" si="520"/>
        <v>0</v>
      </c>
      <c r="BY922" s="4">
        <f t="shared" si="521"/>
        <v>0</v>
      </c>
      <c r="BZ922" s="37">
        <f t="shared" si="522"/>
        <v>88</v>
      </c>
      <c r="CA922" s="32" t="str">
        <f>VLOOKUP(J:J,'Agent wise'!A:C,3,0)</f>
        <v>Shakeer</v>
      </c>
      <c r="CB922" s="32">
        <f t="shared" si="523"/>
        <v>45945</v>
      </c>
      <c r="CC922" t="str">
        <f t="shared" si="524"/>
        <v>Average</v>
      </c>
      <c r="CE922" s="32"/>
      <c r="CJ922">
        <f t="shared" si="525"/>
        <v>15</v>
      </c>
      <c r="CK922">
        <f t="shared" si="526"/>
        <v>10</v>
      </c>
      <c r="CL922">
        <f t="shared" si="527"/>
        <v>2025</v>
      </c>
    </row>
    <row r="923" spans="1:90" ht="15" customHeight="1" x14ac:dyDescent="0.35">
      <c r="A923" t="s">
        <v>2259</v>
      </c>
      <c r="B923" t="s">
        <v>250</v>
      </c>
      <c r="C923" t="s">
        <v>214</v>
      </c>
      <c r="D923" t="s">
        <v>251</v>
      </c>
      <c r="E923" s="32">
        <v>45946</v>
      </c>
      <c r="F923" t="s">
        <v>54</v>
      </c>
      <c r="G923" t="s">
        <v>1897</v>
      </c>
      <c r="H923">
        <v>9496208107</v>
      </c>
      <c r="I923">
        <v>147</v>
      </c>
      <c r="J923" t="s">
        <v>204</v>
      </c>
      <c r="K923" t="s">
        <v>57</v>
      </c>
      <c r="L923" t="s">
        <v>58</v>
      </c>
      <c r="M923" t="s">
        <v>59</v>
      </c>
      <c r="N923" t="s">
        <v>59</v>
      </c>
      <c r="O923" t="s">
        <v>59</v>
      </c>
      <c r="P923" t="s">
        <v>59</v>
      </c>
      <c r="Q923" t="s">
        <v>59</v>
      </c>
      <c r="R923" t="s">
        <v>59</v>
      </c>
      <c r="S923" t="s">
        <v>59</v>
      </c>
      <c r="T923" t="s">
        <v>59</v>
      </c>
      <c r="U923" t="s">
        <v>59</v>
      </c>
      <c r="V923" t="s">
        <v>59</v>
      </c>
      <c r="W923" t="s">
        <v>59</v>
      </c>
      <c r="X923" t="s">
        <v>59</v>
      </c>
      <c r="Y923" t="s">
        <v>59</v>
      </c>
      <c r="Z923" t="s">
        <v>59</v>
      </c>
      <c r="AA923" t="s">
        <v>59</v>
      </c>
      <c r="AB923" t="s">
        <v>59</v>
      </c>
      <c r="AC923" t="s">
        <v>59</v>
      </c>
      <c r="AD923" t="s">
        <v>59</v>
      </c>
      <c r="AE923" t="s">
        <v>59</v>
      </c>
      <c r="AF923" t="s">
        <v>59</v>
      </c>
      <c r="AG923" t="s">
        <v>59</v>
      </c>
      <c r="AH923" t="s">
        <v>59</v>
      </c>
      <c r="AI923" t="s">
        <v>61</v>
      </c>
      <c r="AJ923" t="s">
        <v>59</v>
      </c>
      <c r="AK923" t="s">
        <v>59</v>
      </c>
      <c r="AL923" t="s">
        <v>59</v>
      </c>
      <c r="AM923" t="s">
        <v>59</v>
      </c>
      <c r="AN923" t="s">
        <v>59</v>
      </c>
      <c r="AO923" t="s">
        <v>59</v>
      </c>
      <c r="AP923" t="s">
        <v>270</v>
      </c>
      <c r="AQ923" t="s">
        <v>2260</v>
      </c>
      <c r="AR923" t="s">
        <v>64</v>
      </c>
      <c r="AS923" t="s">
        <v>417</v>
      </c>
      <c r="AT923" t="s">
        <v>418</v>
      </c>
      <c r="AU923" t="s">
        <v>219</v>
      </c>
      <c r="AW923" s="4">
        <f t="shared" si="493"/>
        <v>6</v>
      </c>
      <c r="AX923" s="4">
        <f t="shared" si="494"/>
        <v>4</v>
      </c>
      <c r="AY923" s="4">
        <f t="shared" si="495"/>
        <v>4</v>
      </c>
      <c r="AZ923" s="4">
        <f t="shared" si="496"/>
        <v>2</v>
      </c>
      <c r="BA923" s="4">
        <f t="shared" si="497"/>
        <v>4</v>
      </c>
      <c r="BB923" s="4">
        <f t="shared" si="498"/>
        <v>4</v>
      </c>
      <c r="BC923" s="4">
        <f t="shared" si="499"/>
        <v>4</v>
      </c>
      <c r="BD923" s="4">
        <f t="shared" si="500"/>
        <v>2</v>
      </c>
      <c r="BE923" s="4">
        <f t="shared" si="501"/>
        <v>4</v>
      </c>
      <c r="BF923" s="4">
        <f t="shared" si="502"/>
        <v>2</v>
      </c>
      <c r="BG923" s="4">
        <f t="shared" si="503"/>
        <v>4</v>
      </c>
      <c r="BH923" s="4">
        <f t="shared" si="504"/>
        <v>4</v>
      </c>
      <c r="BI923" s="4">
        <f t="shared" si="505"/>
        <v>4</v>
      </c>
      <c r="BJ923" s="4">
        <f t="shared" si="506"/>
        <v>2</v>
      </c>
      <c r="BK923" s="4">
        <f t="shared" si="507"/>
        <v>4</v>
      </c>
      <c r="BL923" s="4">
        <f t="shared" si="508"/>
        <v>2</v>
      </c>
      <c r="BM923" s="4">
        <f t="shared" si="509"/>
        <v>4</v>
      </c>
      <c r="BN923" s="4">
        <f t="shared" si="510"/>
        <v>4</v>
      </c>
      <c r="BO923" s="4">
        <f t="shared" si="511"/>
        <v>4</v>
      </c>
      <c r="BP923" s="4">
        <f t="shared" si="512"/>
        <v>4</v>
      </c>
      <c r="BQ923" s="4">
        <f t="shared" si="513"/>
        <v>6</v>
      </c>
      <c r="BR923" s="4">
        <f t="shared" si="514"/>
        <v>4</v>
      </c>
      <c r="BS923" s="4">
        <f t="shared" si="515"/>
        <v>4</v>
      </c>
      <c r="BT923" s="4">
        <f t="shared" si="516"/>
        <v>4</v>
      </c>
      <c r="BU923" s="4">
        <f t="shared" si="517"/>
        <v>4</v>
      </c>
      <c r="BV923" s="4">
        <f t="shared" si="518"/>
        <v>0</v>
      </c>
      <c r="BW923" s="4">
        <f t="shared" si="519"/>
        <v>6</v>
      </c>
      <c r="BX923" s="4">
        <f t="shared" si="520"/>
        <v>0</v>
      </c>
      <c r="BY923" s="4">
        <f t="shared" si="521"/>
        <v>0</v>
      </c>
      <c r="BZ923" s="37">
        <f t="shared" si="522"/>
        <v>100</v>
      </c>
      <c r="CA923" s="32" t="str">
        <f>VLOOKUP(J:J,'Agent wise'!A:C,3,0)</f>
        <v xml:space="preserve">Shiny </v>
      </c>
      <c r="CB923" s="32">
        <f t="shared" si="523"/>
        <v>45946</v>
      </c>
      <c r="CC923" t="str">
        <f t="shared" si="524"/>
        <v>Excellent</v>
      </c>
      <c r="CE923" s="32"/>
      <c r="CJ923">
        <f t="shared" si="525"/>
        <v>16</v>
      </c>
      <c r="CK923">
        <f t="shared" si="526"/>
        <v>10</v>
      </c>
      <c r="CL923">
        <f t="shared" si="527"/>
        <v>2025</v>
      </c>
    </row>
    <row r="924" spans="1:90" ht="15" customHeight="1" x14ac:dyDescent="0.35">
      <c r="A924" t="s">
        <v>2261</v>
      </c>
      <c r="B924" t="s">
        <v>250</v>
      </c>
      <c r="C924" t="s">
        <v>214</v>
      </c>
      <c r="D924" t="s">
        <v>251</v>
      </c>
      <c r="E924" s="32">
        <v>45946</v>
      </c>
      <c r="F924" t="s">
        <v>54</v>
      </c>
      <c r="G924" t="s">
        <v>1897</v>
      </c>
      <c r="H924">
        <v>9497557364</v>
      </c>
      <c r="I924">
        <v>150</v>
      </c>
      <c r="J924" t="s">
        <v>195</v>
      </c>
      <c r="K924" t="s">
        <v>57</v>
      </c>
      <c r="L924" t="s">
        <v>58</v>
      </c>
      <c r="M924" t="s">
        <v>59</v>
      </c>
      <c r="N924" t="s">
        <v>59</v>
      </c>
      <c r="O924" t="s">
        <v>59</v>
      </c>
      <c r="P924" t="s">
        <v>59</v>
      </c>
      <c r="Q924" t="s">
        <v>59</v>
      </c>
      <c r="R924" t="s">
        <v>59</v>
      </c>
      <c r="S924" t="s">
        <v>59</v>
      </c>
      <c r="T924" t="s">
        <v>59</v>
      </c>
      <c r="U924" t="s">
        <v>60</v>
      </c>
      <c r="V924" t="s">
        <v>59</v>
      </c>
      <c r="W924" t="s">
        <v>59</v>
      </c>
      <c r="X924" t="s">
        <v>59</v>
      </c>
      <c r="Y924" t="s">
        <v>59</v>
      </c>
      <c r="Z924" t="s">
        <v>59</v>
      </c>
      <c r="AA924" t="s">
        <v>59</v>
      </c>
      <c r="AB924" t="s">
        <v>59</v>
      </c>
      <c r="AC924" t="s">
        <v>60</v>
      </c>
      <c r="AD924" t="s">
        <v>59</v>
      </c>
      <c r="AE924" t="s">
        <v>59</v>
      </c>
      <c r="AF924" t="s">
        <v>59</v>
      </c>
      <c r="AG924" t="s">
        <v>59</v>
      </c>
      <c r="AH924" t="s">
        <v>61</v>
      </c>
      <c r="AI924" t="s">
        <v>61</v>
      </c>
      <c r="AJ924" t="s">
        <v>59</v>
      </c>
      <c r="AK924" t="s">
        <v>59</v>
      </c>
      <c r="AL924" t="s">
        <v>59</v>
      </c>
      <c r="AM924" t="s">
        <v>59</v>
      </c>
      <c r="AN924" t="s">
        <v>59</v>
      </c>
      <c r="AO924" t="s">
        <v>59</v>
      </c>
      <c r="AP924" t="s">
        <v>2262</v>
      </c>
      <c r="AQ924" t="s">
        <v>2263</v>
      </c>
      <c r="AR924" t="s">
        <v>64</v>
      </c>
      <c r="AS924" t="s">
        <v>111</v>
      </c>
      <c r="AT924" t="s">
        <v>377</v>
      </c>
      <c r="AU924" t="s">
        <v>219</v>
      </c>
      <c r="AW924" s="4">
        <f t="shared" si="493"/>
        <v>6</v>
      </c>
      <c r="AX924" s="4">
        <f t="shared" si="494"/>
        <v>4</v>
      </c>
      <c r="AY924" s="4">
        <f t="shared" si="495"/>
        <v>4</v>
      </c>
      <c r="AZ924" s="4">
        <f t="shared" si="496"/>
        <v>2</v>
      </c>
      <c r="BA924" s="4">
        <f t="shared" si="497"/>
        <v>4</v>
      </c>
      <c r="BB924" s="4">
        <f t="shared" si="498"/>
        <v>4</v>
      </c>
      <c r="BC924" s="4">
        <f t="shared" si="499"/>
        <v>4</v>
      </c>
      <c r="BD924" s="4">
        <f t="shared" si="500"/>
        <v>2</v>
      </c>
      <c r="BE924" s="4" t="str">
        <f t="shared" si="501"/>
        <v>0</v>
      </c>
      <c r="BF924" s="4">
        <f t="shared" si="502"/>
        <v>2</v>
      </c>
      <c r="BG924" s="4">
        <f t="shared" si="503"/>
        <v>4</v>
      </c>
      <c r="BH924" s="4">
        <f t="shared" si="504"/>
        <v>4</v>
      </c>
      <c r="BI924" s="4">
        <f t="shared" si="505"/>
        <v>4</v>
      </c>
      <c r="BJ924" s="4">
        <f t="shared" si="506"/>
        <v>2</v>
      </c>
      <c r="BK924" s="4">
        <f t="shared" si="507"/>
        <v>4</v>
      </c>
      <c r="BL924" s="4">
        <f t="shared" si="508"/>
        <v>2</v>
      </c>
      <c r="BM924" s="4" t="str">
        <f t="shared" si="509"/>
        <v>0</v>
      </c>
      <c r="BN924" s="4">
        <f t="shared" si="510"/>
        <v>4</v>
      </c>
      <c r="BO924" s="4">
        <f t="shared" si="511"/>
        <v>4</v>
      </c>
      <c r="BP924" s="4">
        <f t="shared" si="512"/>
        <v>4</v>
      </c>
      <c r="BQ924" s="4">
        <f t="shared" si="513"/>
        <v>6</v>
      </c>
      <c r="BR924" s="4">
        <f t="shared" si="514"/>
        <v>4</v>
      </c>
      <c r="BS924" s="4">
        <f t="shared" si="515"/>
        <v>4</v>
      </c>
      <c r="BT924" s="4">
        <f t="shared" si="516"/>
        <v>4</v>
      </c>
      <c r="BU924" s="4">
        <f t="shared" si="517"/>
        <v>4</v>
      </c>
      <c r="BV924" s="4">
        <f t="shared" si="518"/>
        <v>0</v>
      </c>
      <c r="BW924" s="4">
        <f t="shared" si="519"/>
        <v>6</v>
      </c>
      <c r="BX924" s="4">
        <f t="shared" si="520"/>
        <v>0</v>
      </c>
      <c r="BY924" s="4">
        <f t="shared" si="521"/>
        <v>0</v>
      </c>
      <c r="BZ924" s="37">
        <f t="shared" si="522"/>
        <v>92</v>
      </c>
      <c r="CA924" s="32" t="str">
        <f>VLOOKUP(J:J,'Agent wise'!A:C,3,0)</f>
        <v>Adharsh</v>
      </c>
      <c r="CB924" s="32">
        <f t="shared" si="523"/>
        <v>45946</v>
      </c>
      <c r="CC924" t="str">
        <f t="shared" si="524"/>
        <v>Good</v>
      </c>
      <c r="CE924" s="32"/>
      <c r="CJ924">
        <f t="shared" si="525"/>
        <v>16</v>
      </c>
      <c r="CK924">
        <f t="shared" si="526"/>
        <v>10</v>
      </c>
      <c r="CL924">
        <f t="shared" si="527"/>
        <v>2025</v>
      </c>
    </row>
    <row r="925" spans="1:90" ht="15" customHeight="1" x14ac:dyDescent="0.35">
      <c r="A925" t="s">
        <v>2264</v>
      </c>
      <c r="B925" t="s">
        <v>250</v>
      </c>
      <c r="C925" t="s">
        <v>214</v>
      </c>
      <c r="D925" t="s">
        <v>251</v>
      </c>
      <c r="E925" s="32">
        <v>45946</v>
      </c>
      <c r="F925" t="s">
        <v>54</v>
      </c>
      <c r="G925" t="s">
        <v>1897</v>
      </c>
      <c r="H925">
        <v>9499928563</v>
      </c>
      <c r="I925">
        <v>189</v>
      </c>
      <c r="J925" t="s">
        <v>191</v>
      </c>
      <c r="K925" t="s">
        <v>71</v>
      </c>
      <c r="L925" t="s">
        <v>72</v>
      </c>
      <c r="M925" t="s">
        <v>59</v>
      </c>
      <c r="N925" t="s">
        <v>59</v>
      </c>
      <c r="O925" t="s">
        <v>59</v>
      </c>
      <c r="P925" t="s">
        <v>59</v>
      </c>
      <c r="Q925" t="s">
        <v>59</v>
      </c>
      <c r="R925" t="s">
        <v>60</v>
      </c>
      <c r="S925" t="s">
        <v>59</v>
      </c>
      <c r="T925" t="s">
        <v>59</v>
      </c>
      <c r="U925" t="s">
        <v>60</v>
      </c>
      <c r="V925" t="s">
        <v>59</v>
      </c>
      <c r="W925" t="s">
        <v>59</v>
      </c>
      <c r="X925" t="s">
        <v>59</v>
      </c>
      <c r="Y925" t="s">
        <v>59</v>
      </c>
      <c r="Z925" t="s">
        <v>60</v>
      </c>
      <c r="AA925" t="s">
        <v>60</v>
      </c>
      <c r="AB925" t="s">
        <v>59</v>
      </c>
      <c r="AC925" t="s">
        <v>60</v>
      </c>
      <c r="AD925" t="s">
        <v>59</v>
      </c>
      <c r="AE925" t="s">
        <v>59</v>
      </c>
      <c r="AF925" t="s">
        <v>59</v>
      </c>
      <c r="AG925" t="s">
        <v>59</v>
      </c>
      <c r="AH925" t="s">
        <v>61</v>
      </c>
      <c r="AI925" t="s">
        <v>61</v>
      </c>
      <c r="AJ925" t="s">
        <v>59</v>
      </c>
      <c r="AK925" t="s">
        <v>59</v>
      </c>
      <c r="AL925" t="s">
        <v>60</v>
      </c>
      <c r="AM925" t="s">
        <v>59</v>
      </c>
      <c r="AN925" t="s">
        <v>59</v>
      </c>
      <c r="AO925" t="s">
        <v>59</v>
      </c>
      <c r="AP925" t="s">
        <v>2265</v>
      </c>
      <c r="AQ925" t="s">
        <v>2266</v>
      </c>
      <c r="AR925" t="s">
        <v>64</v>
      </c>
      <c r="AS925" t="s">
        <v>89</v>
      </c>
      <c r="AT925" t="s">
        <v>84</v>
      </c>
      <c r="AU925" t="s">
        <v>1113</v>
      </c>
      <c r="AW925" s="4">
        <f t="shared" si="493"/>
        <v>6</v>
      </c>
      <c r="AX925" s="4">
        <f t="shared" si="494"/>
        <v>4</v>
      </c>
      <c r="AY925" s="4">
        <f t="shared" si="495"/>
        <v>4</v>
      </c>
      <c r="AZ925" s="4">
        <f t="shared" si="496"/>
        <v>2</v>
      </c>
      <c r="BA925" s="4">
        <f t="shared" si="497"/>
        <v>4</v>
      </c>
      <c r="BB925" s="4" t="str">
        <f t="shared" si="498"/>
        <v>0</v>
      </c>
      <c r="BC925" s="4">
        <f t="shared" si="499"/>
        <v>4</v>
      </c>
      <c r="BD925" s="4">
        <f t="shared" si="500"/>
        <v>2</v>
      </c>
      <c r="BE925" s="4" t="str">
        <f t="shared" si="501"/>
        <v>0</v>
      </c>
      <c r="BF925" s="4">
        <f t="shared" si="502"/>
        <v>2</v>
      </c>
      <c r="BG925" s="4">
        <f t="shared" si="503"/>
        <v>4</v>
      </c>
      <c r="BH925" s="4">
        <f t="shared" si="504"/>
        <v>4</v>
      </c>
      <c r="BI925" s="4">
        <f t="shared" si="505"/>
        <v>4</v>
      </c>
      <c r="BJ925" s="4" t="str">
        <f t="shared" si="506"/>
        <v>0</v>
      </c>
      <c r="BK925" s="4" t="str">
        <f t="shared" si="507"/>
        <v>0</v>
      </c>
      <c r="BL925" s="4">
        <f t="shared" si="508"/>
        <v>2</v>
      </c>
      <c r="BM925" s="4" t="str">
        <f t="shared" si="509"/>
        <v>0</v>
      </c>
      <c r="BN925" s="4">
        <f t="shared" si="510"/>
        <v>4</v>
      </c>
      <c r="BO925" s="4">
        <f t="shared" si="511"/>
        <v>4</v>
      </c>
      <c r="BP925" s="4">
        <f t="shared" si="512"/>
        <v>4</v>
      </c>
      <c r="BQ925" s="4">
        <f t="shared" si="513"/>
        <v>6</v>
      </c>
      <c r="BR925" s="4">
        <f t="shared" si="514"/>
        <v>4</v>
      </c>
      <c r="BS925" s="4">
        <f t="shared" si="515"/>
        <v>4</v>
      </c>
      <c r="BT925" s="4">
        <f t="shared" si="516"/>
        <v>4</v>
      </c>
      <c r="BU925" s="4">
        <f t="shared" si="517"/>
        <v>4</v>
      </c>
      <c r="BV925" s="4" t="str">
        <f t="shared" si="518"/>
        <v>0</v>
      </c>
      <c r="BW925" s="4">
        <f t="shared" si="519"/>
        <v>6</v>
      </c>
      <c r="BX925" s="4">
        <f t="shared" si="520"/>
        <v>0</v>
      </c>
      <c r="BY925" s="4">
        <f t="shared" si="521"/>
        <v>0</v>
      </c>
      <c r="BZ925" s="37">
        <f t="shared" si="522"/>
        <v>82</v>
      </c>
      <c r="CA925" s="32" t="str">
        <f>VLOOKUP(J:J,'Agent wise'!A:C,3,0)</f>
        <v>Saran S</v>
      </c>
      <c r="CB925" s="32">
        <f t="shared" si="523"/>
        <v>45946</v>
      </c>
      <c r="CC925" t="str">
        <f t="shared" si="524"/>
        <v>FC</v>
      </c>
      <c r="CE925" s="32"/>
      <c r="CJ925">
        <f t="shared" si="525"/>
        <v>16</v>
      </c>
      <c r="CK925">
        <f t="shared" si="526"/>
        <v>10</v>
      </c>
      <c r="CL925">
        <f t="shared" si="527"/>
        <v>2025</v>
      </c>
    </row>
    <row r="926" spans="1:90" ht="15" customHeight="1" x14ac:dyDescent="0.35">
      <c r="A926" t="s">
        <v>2267</v>
      </c>
      <c r="B926" t="s">
        <v>250</v>
      </c>
      <c r="C926" t="s">
        <v>214</v>
      </c>
      <c r="D926" t="s">
        <v>251</v>
      </c>
      <c r="E926" s="32">
        <v>45946</v>
      </c>
      <c r="F926" t="s">
        <v>54</v>
      </c>
      <c r="G926" t="s">
        <v>1897</v>
      </c>
      <c r="H926">
        <v>9847299288</v>
      </c>
      <c r="I926">
        <v>161</v>
      </c>
      <c r="J926" t="s">
        <v>412</v>
      </c>
      <c r="K926" t="s">
        <v>71</v>
      </c>
      <c r="L926" t="s">
        <v>72</v>
      </c>
      <c r="M926" t="s">
        <v>60</v>
      </c>
      <c r="N926" t="s">
        <v>59</v>
      </c>
      <c r="O926" t="s">
        <v>59</v>
      </c>
      <c r="P926" t="s">
        <v>59</v>
      </c>
      <c r="Q926" t="s">
        <v>59</v>
      </c>
      <c r="R926" t="s">
        <v>59</v>
      </c>
      <c r="S926" t="s">
        <v>59</v>
      </c>
      <c r="T926" t="s">
        <v>59</v>
      </c>
      <c r="U926" t="s">
        <v>60</v>
      </c>
      <c r="V926" t="s">
        <v>59</v>
      </c>
      <c r="W926" t="s">
        <v>59</v>
      </c>
      <c r="X926" t="s">
        <v>59</v>
      </c>
      <c r="Y926" t="s">
        <v>59</v>
      </c>
      <c r="Z926" t="s">
        <v>59</v>
      </c>
      <c r="AA926" t="s">
        <v>59</v>
      </c>
      <c r="AB926" t="s">
        <v>59</v>
      </c>
      <c r="AC926" t="s">
        <v>59</v>
      </c>
      <c r="AD926" t="s">
        <v>59</v>
      </c>
      <c r="AE926" t="s">
        <v>59</v>
      </c>
      <c r="AF926" t="s">
        <v>59</v>
      </c>
      <c r="AG926" t="s">
        <v>59</v>
      </c>
      <c r="AH926" t="s">
        <v>61</v>
      </c>
      <c r="AI926" t="s">
        <v>61</v>
      </c>
      <c r="AJ926" t="s">
        <v>59</v>
      </c>
      <c r="AK926" t="s">
        <v>59</v>
      </c>
      <c r="AL926" t="s">
        <v>60</v>
      </c>
      <c r="AM926" t="s">
        <v>59</v>
      </c>
      <c r="AN926" t="s">
        <v>59</v>
      </c>
      <c r="AO926" t="s">
        <v>59</v>
      </c>
      <c r="AP926" t="s">
        <v>2268</v>
      </c>
      <c r="AQ926" t="s">
        <v>2269</v>
      </c>
      <c r="AR926" t="s">
        <v>64</v>
      </c>
      <c r="AS926" t="s">
        <v>883</v>
      </c>
      <c r="AT926" t="s">
        <v>883</v>
      </c>
      <c r="AU926" t="s">
        <v>299</v>
      </c>
      <c r="AW926" s="4" t="str">
        <f t="shared" si="493"/>
        <v>0</v>
      </c>
      <c r="AX926" s="4">
        <f t="shared" si="494"/>
        <v>4</v>
      </c>
      <c r="AY926" s="4">
        <f t="shared" si="495"/>
        <v>4</v>
      </c>
      <c r="AZ926" s="4">
        <f t="shared" si="496"/>
        <v>2</v>
      </c>
      <c r="BA926" s="4">
        <f t="shared" si="497"/>
        <v>4</v>
      </c>
      <c r="BB926" s="4">
        <f t="shared" si="498"/>
        <v>4</v>
      </c>
      <c r="BC926" s="4">
        <f t="shared" si="499"/>
        <v>4</v>
      </c>
      <c r="BD926" s="4">
        <f t="shared" si="500"/>
        <v>2</v>
      </c>
      <c r="BE926" s="4" t="str">
        <f t="shared" si="501"/>
        <v>0</v>
      </c>
      <c r="BF926" s="4">
        <f t="shared" si="502"/>
        <v>2</v>
      </c>
      <c r="BG926" s="4">
        <f t="shared" si="503"/>
        <v>4</v>
      </c>
      <c r="BH926" s="4">
        <f t="shared" si="504"/>
        <v>4</v>
      </c>
      <c r="BI926" s="4">
        <f t="shared" si="505"/>
        <v>4</v>
      </c>
      <c r="BJ926" s="4">
        <f t="shared" si="506"/>
        <v>2</v>
      </c>
      <c r="BK926" s="4">
        <f t="shared" si="507"/>
        <v>4</v>
      </c>
      <c r="BL926" s="4">
        <f t="shared" si="508"/>
        <v>2</v>
      </c>
      <c r="BM926" s="4">
        <f t="shared" si="509"/>
        <v>4</v>
      </c>
      <c r="BN926" s="4">
        <f t="shared" si="510"/>
        <v>4</v>
      </c>
      <c r="BO926" s="4">
        <f t="shared" si="511"/>
        <v>4</v>
      </c>
      <c r="BP926" s="4">
        <f t="shared" si="512"/>
        <v>4</v>
      </c>
      <c r="BQ926" s="4">
        <f t="shared" si="513"/>
        <v>6</v>
      </c>
      <c r="BR926" s="4">
        <f t="shared" si="514"/>
        <v>4</v>
      </c>
      <c r="BS926" s="4">
        <f t="shared" si="515"/>
        <v>4</v>
      </c>
      <c r="BT926" s="4">
        <f t="shared" si="516"/>
        <v>4</v>
      </c>
      <c r="BU926" s="4">
        <f t="shared" si="517"/>
        <v>4</v>
      </c>
      <c r="BV926" s="4" t="str">
        <f t="shared" si="518"/>
        <v>0</v>
      </c>
      <c r="BW926" s="4">
        <f t="shared" si="519"/>
        <v>6</v>
      </c>
      <c r="BX926" s="4">
        <f t="shared" si="520"/>
        <v>0</v>
      </c>
      <c r="BY926" s="4">
        <f t="shared" si="521"/>
        <v>0</v>
      </c>
      <c r="BZ926" s="37">
        <f t="shared" si="522"/>
        <v>90</v>
      </c>
      <c r="CA926" s="32" t="str">
        <f>VLOOKUP(J:J,'Agent wise'!A:C,3,0)</f>
        <v>Saran S</v>
      </c>
      <c r="CB926" s="32">
        <f t="shared" si="523"/>
        <v>45946</v>
      </c>
      <c r="CC926" t="str">
        <f t="shared" si="524"/>
        <v>Good</v>
      </c>
      <c r="CE926" s="32"/>
      <c r="CJ926">
        <f t="shared" si="525"/>
        <v>16</v>
      </c>
      <c r="CK926">
        <f t="shared" si="526"/>
        <v>10</v>
      </c>
      <c r="CL926">
        <f t="shared" si="527"/>
        <v>2025</v>
      </c>
    </row>
    <row r="927" spans="1:90" ht="15" customHeight="1" x14ac:dyDescent="0.35">
      <c r="A927" t="s">
        <v>2270</v>
      </c>
      <c r="B927" t="s">
        <v>177</v>
      </c>
      <c r="C927" t="s">
        <v>214</v>
      </c>
      <c r="D927" t="s">
        <v>178</v>
      </c>
      <c r="E927" s="32">
        <v>45946</v>
      </c>
      <c r="F927" t="s">
        <v>54</v>
      </c>
      <c r="G927" t="s">
        <v>1897</v>
      </c>
      <c r="H927">
        <v>9746292293</v>
      </c>
      <c r="I927">
        <v>126</v>
      </c>
      <c r="J927" t="s">
        <v>589</v>
      </c>
      <c r="K927" t="s">
        <v>57</v>
      </c>
      <c r="L927" t="s">
        <v>58</v>
      </c>
      <c r="M927" t="s">
        <v>59</v>
      </c>
      <c r="N927" t="s">
        <v>59</v>
      </c>
      <c r="O927" t="s">
        <v>59</v>
      </c>
      <c r="P927" t="s">
        <v>59</v>
      </c>
      <c r="Q927" t="s">
        <v>59</v>
      </c>
      <c r="R927" t="s">
        <v>59</v>
      </c>
      <c r="S927" t="s">
        <v>59</v>
      </c>
      <c r="T927" t="s">
        <v>59</v>
      </c>
      <c r="U927" t="s">
        <v>59</v>
      </c>
      <c r="V927" t="s">
        <v>59</v>
      </c>
      <c r="W927" t="s">
        <v>59</v>
      </c>
      <c r="X927" t="s">
        <v>59</v>
      </c>
      <c r="Y927" t="s">
        <v>60</v>
      </c>
      <c r="Z927" t="s">
        <v>60</v>
      </c>
      <c r="AA927" t="s">
        <v>60</v>
      </c>
      <c r="AB927" t="s">
        <v>61</v>
      </c>
      <c r="AC927" t="s">
        <v>61</v>
      </c>
      <c r="AD927" t="s">
        <v>59</v>
      </c>
      <c r="AE927" t="s">
        <v>59</v>
      </c>
      <c r="AF927" t="s">
        <v>59</v>
      </c>
      <c r="AG927" t="s">
        <v>59</v>
      </c>
      <c r="AH927" t="s">
        <v>61</v>
      </c>
      <c r="AI927" t="s">
        <v>61</v>
      </c>
      <c r="AJ927" t="s">
        <v>59</v>
      </c>
      <c r="AK927" t="s">
        <v>59</v>
      </c>
      <c r="AL927" t="s">
        <v>60</v>
      </c>
      <c r="AM927" t="s">
        <v>2271</v>
      </c>
      <c r="AN927" t="s">
        <v>60</v>
      </c>
      <c r="AO927" t="s">
        <v>59</v>
      </c>
      <c r="AP927" t="s">
        <v>2272</v>
      </c>
      <c r="AQ927" t="s">
        <v>2273</v>
      </c>
      <c r="AR927" t="s">
        <v>64</v>
      </c>
      <c r="AS927" t="s">
        <v>198</v>
      </c>
      <c r="AT927" t="s">
        <v>2274</v>
      </c>
      <c r="AU927" t="s">
        <v>2275</v>
      </c>
      <c r="AW927" s="4">
        <f t="shared" si="493"/>
        <v>6</v>
      </c>
      <c r="AX927" s="4">
        <f t="shared" si="494"/>
        <v>4</v>
      </c>
      <c r="AY927" s="4">
        <f t="shared" si="495"/>
        <v>4</v>
      </c>
      <c r="AZ927" s="4">
        <f t="shared" si="496"/>
        <v>2</v>
      </c>
      <c r="BA927" s="4">
        <f t="shared" si="497"/>
        <v>4</v>
      </c>
      <c r="BB927" s="4">
        <f t="shared" si="498"/>
        <v>4</v>
      </c>
      <c r="BC927" s="4">
        <f t="shared" si="499"/>
        <v>4</v>
      </c>
      <c r="BD927" s="4">
        <f t="shared" si="500"/>
        <v>2</v>
      </c>
      <c r="BE927" s="4">
        <f t="shared" si="501"/>
        <v>4</v>
      </c>
      <c r="BF927" s="4">
        <f t="shared" si="502"/>
        <v>2</v>
      </c>
      <c r="BG927" s="4">
        <f t="shared" si="503"/>
        <v>4</v>
      </c>
      <c r="BH927" s="4">
        <f t="shared" si="504"/>
        <v>4</v>
      </c>
      <c r="BI927" s="4" t="str">
        <f t="shared" si="505"/>
        <v>0</v>
      </c>
      <c r="BJ927" s="4" t="str">
        <f t="shared" si="506"/>
        <v>0</v>
      </c>
      <c r="BK927" s="4" t="str">
        <f t="shared" si="507"/>
        <v>0</v>
      </c>
      <c r="BL927" s="4">
        <f t="shared" si="508"/>
        <v>2</v>
      </c>
      <c r="BM927" s="4">
        <f t="shared" si="509"/>
        <v>4</v>
      </c>
      <c r="BN927" s="4">
        <f t="shared" si="510"/>
        <v>4</v>
      </c>
      <c r="BO927" s="4">
        <f t="shared" si="511"/>
        <v>4</v>
      </c>
      <c r="BP927" s="4">
        <f t="shared" si="512"/>
        <v>4</v>
      </c>
      <c r="BQ927" s="4">
        <f t="shared" si="513"/>
        <v>6</v>
      </c>
      <c r="BR927" s="4">
        <f t="shared" si="514"/>
        <v>4</v>
      </c>
      <c r="BS927" s="4">
        <f t="shared" si="515"/>
        <v>4</v>
      </c>
      <c r="BT927" s="4">
        <f t="shared" si="516"/>
        <v>4</v>
      </c>
      <c r="BU927" s="4">
        <f t="shared" si="517"/>
        <v>4</v>
      </c>
      <c r="BV927" s="4" t="str">
        <f t="shared" si="518"/>
        <v>0</v>
      </c>
      <c r="BW927" s="4" t="str">
        <f t="shared" si="519"/>
        <v>0</v>
      </c>
      <c r="BX927" s="4" t="str">
        <f t="shared" si="520"/>
        <v>0</v>
      </c>
      <c r="BY927" s="4">
        <f t="shared" si="521"/>
        <v>0</v>
      </c>
      <c r="BZ927" s="37">
        <f t="shared" si="522"/>
        <v>84</v>
      </c>
      <c r="CA927" s="32" t="str">
        <f>VLOOKUP(J:J,'Agent wise'!A:C,3,0)</f>
        <v>Shakeer</v>
      </c>
      <c r="CB927" s="32">
        <f t="shared" si="523"/>
        <v>45946</v>
      </c>
      <c r="CC927" t="str">
        <f t="shared" si="524"/>
        <v>FC</v>
      </c>
      <c r="CE927" s="32"/>
      <c r="CJ927">
        <f t="shared" si="525"/>
        <v>16</v>
      </c>
      <c r="CK927">
        <f t="shared" si="526"/>
        <v>10</v>
      </c>
      <c r="CL927">
        <f t="shared" si="527"/>
        <v>2025</v>
      </c>
    </row>
    <row r="928" spans="1:90" ht="15" customHeight="1" x14ac:dyDescent="0.35">
      <c r="A928" t="s">
        <v>2276</v>
      </c>
      <c r="B928" t="s">
        <v>177</v>
      </c>
      <c r="C928" t="s">
        <v>214</v>
      </c>
      <c r="D928" t="s">
        <v>178</v>
      </c>
      <c r="E928" s="32">
        <v>45946</v>
      </c>
      <c r="F928" t="s">
        <v>54</v>
      </c>
      <c r="G928" t="s">
        <v>1897</v>
      </c>
      <c r="H928">
        <v>9402914495</v>
      </c>
      <c r="I928">
        <v>142</v>
      </c>
      <c r="J928" t="s">
        <v>548</v>
      </c>
      <c r="K928" t="s">
        <v>71</v>
      </c>
      <c r="L928" t="s">
        <v>72</v>
      </c>
      <c r="M928" t="s">
        <v>59</v>
      </c>
      <c r="N928" t="s">
        <v>59</v>
      </c>
      <c r="O928" t="s">
        <v>59</v>
      </c>
      <c r="P928" t="s">
        <v>59</v>
      </c>
      <c r="Q928" t="s">
        <v>59</v>
      </c>
      <c r="R928" t="s">
        <v>59</v>
      </c>
      <c r="S928" t="s">
        <v>59</v>
      </c>
      <c r="T928" t="s">
        <v>59</v>
      </c>
      <c r="U928" t="s">
        <v>59</v>
      </c>
      <c r="V928" t="s">
        <v>59</v>
      </c>
      <c r="W928" t="s">
        <v>59</v>
      </c>
      <c r="X928" t="s">
        <v>59</v>
      </c>
      <c r="Y928" t="s">
        <v>59</v>
      </c>
      <c r="Z928" t="s">
        <v>59</v>
      </c>
      <c r="AA928" t="s">
        <v>59</v>
      </c>
      <c r="AB928" t="s">
        <v>59</v>
      </c>
      <c r="AC928" t="s">
        <v>61</v>
      </c>
      <c r="AD928" t="s">
        <v>59</v>
      </c>
      <c r="AE928" t="s">
        <v>59</v>
      </c>
      <c r="AF928" t="s">
        <v>59</v>
      </c>
      <c r="AG928" t="s">
        <v>59</v>
      </c>
      <c r="AH928" t="s">
        <v>61</v>
      </c>
      <c r="AI928" t="s">
        <v>61</v>
      </c>
      <c r="AJ928" t="s">
        <v>59</v>
      </c>
      <c r="AK928" t="s">
        <v>59</v>
      </c>
      <c r="AL928" t="s">
        <v>60</v>
      </c>
      <c r="AM928" t="s">
        <v>59</v>
      </c>
      <c r="AN928" t="s">
        <v>59</v>
      </c>
      <c r="AO928" t="s">
        <v>59</v>
      </c>
      <c r="AP928" t="s">
        <v>37</v>
      </c>
      <c r="AQ928" t="s">
        <v>2277</v>
      </c>
      <c r="AR928" t="s">
        <v>64</v>
      </c>
      <c r="AS928" t="s">
        <v>175</v>
      </c>
      <c r="AT928" t="s">
        <v>334</v>
      </c>
      <c r="AU928" t="s">
        <v>299</v>
      </c>
      <c r="AW928" s="4">
        <f t="shared" si="493"/>
        <v>6</v>
      </c>
      <c r="AX928" s="4">
        <f t="shared" si="494"/>
        <v>4</v>
      </c>
      <c r="AY928" s="4">
        <f t="shared" si="495"/>
        <v>4</v>
      </c>
      <c r="AZ928" s="4">
        <f t="shared" si="496"/>
        <v>2</v>
      </c>
      <c r="BA928" s="4">
        <f t="shared" si="497"/>
        <v>4</v>
      </c>
      <c r="BB928" s="4">
        <f t="shared" si="498"/>
        <v>4</v>
      </c>
      <c r="BC928" s="4">
        <f t="shared" si="499"/>
        <v>4</v>
      </c>
      <c r="BD928" s="4">
        <f t="shared" si="500"/>
        <v>2</v>
      </c>
      <c r="BE928" s="4">
        <f t="shared" si="501"/>
        <v>4</v>
      </c>
      <c r="BF928" s="4">
        <f t="shared" si="502"/>
        <v>2</v>
      </c>
      <c r="BG928" s="4">
        <f t="shared" si="503"/>
        <v>4</v>
      </c>
      <c r="BH928" s="4">
        <f t="shared" si="504"/>
        <v>4</v>
      </c>
      <c r="BI928" s="4">
        <f t="shared" si="505"/>
        <v>4</v>
      </c>
      <c r="BJ928" s="4">
        <f t="shared" si="506"/>
        <v>2</v>
      </c>
      <c r="BK928" s="4">
        <f t="shared" si="507"/>
        <v>4</v>
      </c>
      <c r="BL928" s="4">
        <f t="shared" si="508"/>
        <v>2</v>
      </c>
      <c r="BM928" s="4">
        <f t="shared" si="509"/>
        <v>4</v>
      </c>
      <c r="BN928" s="4">
        <f t="shared" si="510"/>
        <v>4</v>
      </c>
      <c r="BO928" s="4">
        <f t="shared" si="511"/>
        <v>4</v>
      </c>
      <c r="BP928" s="4">
        <f t="shared" si="512"/>
        <v>4</v>
      </c>
      <c r="BQ928" s="4">
        <f t="shared" si="513"/>
        <v>6</v>
      </c>
      <c r="BR928" s="4">
        <f t="shared" si="514"/>
        <v>4</v>
      </c>
      <c r="BS928" s="4">
        <f t="shared" si="515"/>
        <v>4</v>
      </c>
      <c r="BT928" s="4">
        <f t="shared" si="516"/>
        <v>4</v>
      </c>
      <c r="BU928" s="4">
        <f t="shared" si="517"/>
        <v>4</v>
      </c>
      <c r="BV928" s="4" t="str">
        <f t="shared" si="518"/>
        <v>0</v>
      </c>
      <c r="BW928" s="4">
        <f t="shared" si="519"/>
        <v>6</v>
      </c>
      <c r="BX928" s="4">
        <f t="shared" si="520"/>
        <v>0</v>
      </c>
      <c r="BY928" s="4">
        <f t="shared" si="521"/>
        <v>0</v>
      </c>
      <c r="BZ928" s="37">
        <f t="shared" si="522"/>
        <v>100</v>
      </c>
      <c r="CA928" s="32" t="str">
        <f>VLOOKUP(J:J,'Agent wise'!A:C,3,0)</f>
        <v>Adharsh</v>
      </c>
      <c r="CB928" s="32">
        <f t="shared" si="523"/>
        <v>45946</v>
      </c>
      <c r="CC928" t="str">
        <f t="shared" si="524"/>
        <v>Excellent</v>
      </c>
      <c r="CE928" s="32"/>
      <c r="CJ928">
        <f t="shared" si="525"/>
        <v>16</v>
      </c>
      <c r="CK928">
        <f t="shared" si="526"/>
        <v>10</v>
      </c>
      <c r="CL928">
        <f t="shared" si="527"/>
        <v>2025</v>
      </c>
    </row>
    <row r="929" spans="1:90" ht="15" customHeight="1" x14ac:dyDescent="0.35">
      <c r="A929" t="s">
        <v>2278</v>
      </c>
      <c r="B929" t="s">
        <v>250</v>
      </c>
      <c r="C929" t="s">
        <v>214</v>
      </c>
      <c r="D929" t="s">
        <v>251</v>
      </c>
      <c r="E929" s="32">
        <v>45946</v>
      </c>
      <c r="F929" t="s">
        <v>54</v>
      </c>
      <c r="G929" t="s">
        <v>1897</v>
      </c>
      <c r="H929">
        <v>7356528115</v>
      </c>
      <c r="I929">
        <v>170</v>
      </c>
      <c r="J929" t="s">
        <v>102</v>
      </c>
      <c r="K929" t="s">
        <v>57</v>
      </c>
      <c r="L929" t="s">
        <v>58</v>
      </c>
      <c r="M929" t="s">
        <v>60</v>
      </c>
      <c r="N929" t="s">
        <v>59</v>
      </c>
      <c r="O929" t="s">
        <v>59</v>
      </c>
      <c r="P929" t="s">
        <v>59</v>
      </c>
      <c r="Q929" t="s">
        <v>59</v>
      </c>
      <c r="R929" t="s">
        <v>59</v>
      </c>
      <c r="S929" t="s">
        <v>59</v>
      </c>
      <c r="T929" t="s">
        <v>59</v>
      </c>
      <c r="U929" t="s">
        <v>60</v>
      </c>
      <c r="V929" t="s">
        <v>59</v>
      </c>
      <c r="W929" t="s">
        <v>59</v>
      </c>
      <c r="X929" t="s">
        <v>59</v>
      </c>
      <c r="Y929" t="s">
        <v>59</v>
      </c>
      <c r="Z929" t="s">
        <v>59</v>
      </c>
      <c r="AA929" t="s">
        <v>59</v>
      </c>
      <c r="AB929" t="s">
        <v>60</v>
      </c>
      <c r="AC929" t="s">
        <v>59</v>
      </c>
      <c r="AD929" t="s">
        <v>59</v>
      </c>
      <c r="AE929" t="s">
        <v>59</v>
      </c>
      <c r="AF929" t="s">
        <v>59</v>
      </c>
      <c r="AG929" t="s">
        <v>59</v>
      </c>
      <c r="AH929" t="s">
        <v>61</v>
      </c>
      <c r="AI929" t="s">
        <v>61</v>
      </c>
      <c r="AJ929" t="s">
        <v>59</v>
      </c>
      <c r="AK929" t="s">
        <v>59</v>
      </c>
      <c r="AL929" t="s">
        <v>60</v>
      </c>
      <c r="AM929" t="s">
        <v>59</v>
      </c>
      <c r="AN929" t="s">
        <v>59</v>
      </c>
      <c r="AO929" t="s">
        <v>59</v>
      </c>
      <c r="AP929" t="s">
        <v>2279</v>
      </c>
      <c r="AQ929" t="s">
        <v>2280</v>
      </c>
      <c r="AR929" t="s">
        <v>64</v>
      </c>
      <c r="AS929" t="s">
        <v>771</v>
      </c>
      <c r="AT929" t="s">
        <v>772</v>
      </c>
      <c r="AU929" t="s">
        <v>593</v>
      </c>
      <c r="AW929" s="4" t="str">
        <f t="shared" si="493"/>
        <v>0</v>
      </c>
      <c r="AX929" s="4">
        <f t="shared" si="494"/>
        <v>4</v>
      </c>
      <c r="AY929" s="4">
        <f t="shared" si="495"/>
        <v>4</v>
      </c>
      <c r="AZ929" s="4">
        <f t="shared" si="496"/>
        <v>2</v>
      </c>
      <c r="BA929" s="4">
        <f t="shared" si="497"/>
        <v>4</v>
      </c>
      <c r="BB929" s="4">
        <f t="shared" si="498"/>
        <v>4</v>
      </c>
      <c r="BC929" s="4">
        <f t="shared" si="499"/>
        <v>4</v>
      </c>
      <c r="BD929" s="4">
        <f t="shared" si="500"/>
        <v>2</v>
      </c>
      <c r="BE929" s="4" t="str">
        <f t="shared" si="501"/>
        <v>0</v>
      </c>
      <c r="BF929" s="4">
        <f t="shared" si="502"/>
        <v>2</v>
      </c>
      <c r="BG929" s="4">
        <f t="shared" si="503"/>
        <v>4</v>
      </c>
      <c r="BH929" s="4">
        <f t="shared" si="504"/>
        <v>4</v>
      </c>
      <c r="BI929" s="4">
        <f t="shared" si="505"/>
        <v>4</v>
      </c>
      <c r="BJ929" s="4">
        <f t="shared" si="506"/>
        <v>2</v>
      </c>
      <c r="BK929" s="4">
        <f t="shared" si="507"/>
        <v>4</v>
      </c>
      <c r="BL929" s="4" t="str">
        <f t="shared" si="508"/>
        <v>0</v>
      </c>
      <c r="BM929" s="4">
        <f t="shared" si="509"/>
        <v>4</v>
      </c>
      <c r="BN929" s="4">
        <f t="shared" si="510"/>
        <v>4</v>
      </c>
      <c r="BO929" s="4">
        <f t="shared" si="511"/>
        <v>4</v>
      </c>
      <c r="BP929" s="4">
        <f t="shared" si="512"/>
        <v>4</v>
      </c>
      <c r="BQ929" s="4">
        <f t="shared" si="513"/>
        <v>6</v>
      </c>
      <c r="BR929" s="4">
        <f t="shared" si="514"/>
        <v>4</v>
      </c>
      <c r="BS929" s="4">
        <f t="shared" si="515"/>
        <v>4</v>
      </c>
      <c r="BT929" s="4">
        <f t="shared" si="516"/>
        <v>4</v>
      </c>
      <c r="BU929" s="4">
        <f t="shared" si="517"/>
        <v>4</v>
      </c>
      <c r="BV929" s="4" t="str">
        <f t="shared" si="518"/>
        <v>0</v>
      </c>
      <c r="BW929" s="4">
        <f t="shared" si="519"/>
        <v>6</v>
      </c>
      <c r="BX929" s="4">
        <f t="shared" si="520"/>
        <v>0</v>
      </c>
      <c r="BY929" s="4">
        <f t="shared" si="521"/>
        <v>0</v>
      </c>
      <c r="BZ929" s="37">
        <f t="shared" si="522"/>
        <v>88</v>
      </c>
      <c r="CA929" s="32" t="str">
        <f>VLOOKUP(J:J,'Agent wise'!A:C,3,0)</f>
        <v>Shakeer</v>
      </c>
      <c r="CB929" s="32">
        <f t="shared" si="523"/>
        <v>45946</v>
      </c>
      <c r="CC929" t="str">
        <f t="shared" si="524"/>
        <v>Average</v>
      </c>
      <c r="CE929" s="32"/>
      <c r="CJ929">
        <f t="shared" si="525"/>
        <v>16</v>
      </c>
      <c r="CK929">
        <f t="shared" si="526"/>
        <v>10</v>
      </c>
      <c r="CL929">
        <f t="shared" si="527"/>
        <v>2025</v>
      </c>
    </row>
    <row r="930" spans="1:90" ht="15" customHeight="1" x14ac:dyDescent="0.35">
      <c r="A930" t="s">
        <v>2281</v>
      </c>
      <c r="B930" t="s">
        <v>250</v>
      </c>
      <c r="C930" t="s">
        <v>214</v>
      </c>
      <c r="D930" t="s">
        <v>251</v>
      </c>
      <c r="E930" s="32">
        <v>45946</v>
      </c>
      <c r="F930" t="s">
        <v>54</v>
      </c>
      <c r="G930" t="s">
        <v>1897</v>
      </c>
      <c r="H930">
        <v>9843815315</v>
      </c>
      <c r="I930">
        <v>165</v>
      </c>
      <c r="J930" t="s">
        <v>998</v>
      </c>
      <c r="K930" t="s">
        <v>71</v>
      </c>
      <c r="L930" t="s">
        <v>72</v>
      </c>
      <c r="M930" t="s">
        <v>59</v>
      </c>
      <c r="N930" t="s">
        <v>59</v>
      </c>
      <c r="O930" t="s">
        <v>59</v>
      </c>
      <c r="P930" t="s">
        <v>59</v>
      </c>
      <c r="Q930" t="s">
        <v>60</v>
      </c>
      <c r="R930" t="s">
        <v>60</v>
      </c>
      <c r="S930" t="s">
        <v>60</v>
      </c>
      <c r="T930" t="s">
        <v>60</v>
      </c>
      <c r="U930" t="s">
        <v>60</v>
      </c>
      <c r="V930" t="s">
        <v>59</v>
      </c>
      <c r="W930" t="s">
        <v>59</v>
      </c>
      <c r="X930" t="s">
        <v>59</v>
      </c>
      <c r="Y930" t="s">
        <v>59</v>
      </c>
      <c r="Z930" t="s">
        <v>59</v>
      </c>
      <c r="AA930" t="s">
        <v>59</v>
      </c>
      <c r="AB930" t="s">
        <v>59</v>
      </c>
      <c r="AC930" t="s">
        <v>59</v>
      </c>
      <c r="AD930" t="s">
        <v>59</v>
      </c>
      <c r="AE930" t="s">
        <v>59</v>
      </c>
      <c r="AF930" t="s">
        <v>60</v>
      </c>
      <c r="AG930" t="s">
        <v>60</v>
      </c>
      <c r="AH930" t="s">
        <v>61</v>
      </c>
      <c r="AI930" t="s">
        <v>59</v>
      </c>
      <c r="AJ930" t="s">
        <v>59</v>
      </c>
      <c r="AK930" t="s">
        <v>59</v>
      </c>
      <c r="AL930" t="s">
        <v>60</v>
      </c>
      <c r="AM930" t="s">
        <v>59</v>
      </c>
      <c r="AN930" t="s">
        <v>59</v>
      </c>
      <c r="AO930" t="s">
        <v>59</v>
      </c>
      <c r="AP930" t="s">
        <v>2282</v>
      </c>
      <c r="AQ930" t="s">
        <v>2283</v>
      </c>
      <c r="AR930" t="s">
        <v>64</v>
      </c>
      <c r="AS930" t="s">
        <v>417</v>
      </c>
      <c r="AT930" t="s">
        <v>911</v>
      </c>
      <c r="AU930" t="s">
        <v>593</v>
      </c>
      <c r="AW930" s="4">
        <f t="shared" si="493"/>
        <v>6</v>
      </c>
      <c r="AX930" s="4">
        <f t="shared" si="494"/>
        <v>4</v>
      </c>
      <c r="AY930" s="4">
        <f t="shared" si="495"/>
        <v>4</v>
      </c>
      <c r="AZ930" s="4">
        <f t="shared" si="496"/>
        <v>2</v>
      </c>
      <c r="BA930" s="4" t="str">
        <f t="shared" si="497"/>
        <v>0</v>
      </c>
      <c r="BB930" s="4" t="str">
        <f t="shared" si="498"/>
        <v>0</v>
      </c>
      <c r="BC930" s="4" t="str">
        <f t="shared" si="499"/>
        <v>0</v>
      </c>
      <c r="BD930" s="4" t="str">
        <f t="shared" si="500"/>
        <v>0</v>
      </c>
      <c r="BE930" s="4" t="str">
        <f t="shared" si="501"/>
        <v>0</v>
      </c>
      <c r="BF930" s="4">
        <f t="shared" si="502"/>
        <v>2</v>
      </c>
      <c r="BG930" s="4">
        <f t="shared" si="503"/>
        <v>4</v>
      </c>
      <c r="BH930" s="4">
        <f t="shared" si="504"/>
        <v>4</v>
      </c>
      <c r="BI930" s="4">
        <f t="shared" si="505"/>
        <v>4</v>
      </c>
      <c r="BJ930" s="4">
        <f t="shared" si="506"/>
        <v>2</v>
      </c>
      <c r="BK930" s="4">
        <f t="shared" si="507"/>
        <v>4</v>
      </c>
      <c r="BL930" s="4">
        <f t="shared" si="508"/>
        <v>2</v>
      </c>
      <c r="BM930" s="4">
        <f t="shared" si="509"/>
        <v>4</v>
      </c>
      <c r="BN930" s="4">
        <f t="shared" si="510"/>
        <v>4</v>
      </c>
      <c r="BO930" s="4">
        <f t="shared" si="511"/>
        <v>4</v>
      </c>
      <c r="BP930" s="4" t="str">
        <f t="shared" si="512"/>
        <v>0</v>
      </c>
      <c r="BQ930" s="4" t="str">
        <f t="shared" si="513"/>
        <v>0</v>
      </c>
      <c r="BR930" s="4">
        <f t="shared" si="514"/>
        <v>4</v>
      </c>
      <c r="BS930" s="4">
        <f t="shared" si="515"/>
        <v>4</v>
      </c>
      <c r="BT930" s="4">
        <f t="shared" si="516"/>
        <v>4</v>
      </c>
      <c r="BU930" s="4">
        <f t="shared" si="517"/>
        <v>4</v>
      </c>
      <c r="BV930" s="4" t="str">
        <f t="shared" si="518"/>
        <v>0</v>
      </c>
      <c r="BW930" s="4">
        <f t="shared" si="519"/>
        <v>6</v>
      </c>
      <c r="BX930" s="4">
        <f t="shared" si="520"/>
        <v>0</v>
      </c>
      <c r="BY930" s="4">
        <f t="shared" si="521"/>
        <v>0</v>
      </c>
      <c r="BZ930" s="37">
        <f t="shared" si="522"/>
        <v>72</v>
      </c>
      <c r="CA930" s="32" t="str">
        <f>VLOOKUP(J:J,'Agent wise'!A:C,3,0)</f>
        <v>Anusha</v>
      </c>
      <c r="CB930" s="32">
        <f t="shared" si="523"/>
        <v>45946</v>
      </c>
      <c r="CC930" t="str">
        <f t="shared" si="524"/>
        <v>FC</v>
      </c>
      <c r="CE930" s="32"/>
      <c r="CJ930">
        <f t="shared" si="525"/>
        <v>16</v>
      </c>
      <c r="CK930">
        <f t="shared" si="526"/>
        <v>10</v>
      </c>
      <c r="CL930">
        <f t="shared" si="527"/>
        <v>2025</v>
      </c>
    </row>
    <row r="931" spans="1:90" ht="15" customHeight="1" x14ac:dyDescent="0.35">
      <c r="A931" t="s">
        <v>2284</v>
      </c>
      <c r="B931" t="s">
        <v>100</v>
      </c>
      <c r="C931" t="s">
        <v>214</v>
      </c>
      <c r="D931" t="s">
        <v>101</v>
      </c>
      <c r="E931" s="32">
        <v>45946</v>
      </c>
      <c r="F931" t="s">
        <v>54</v>
      </c>
      <c r="G931" t="s">
        <v>1897</v>
      </c>
      <c r="H931">
        <v>9487847209</v>
      </c>
      <c r="I931">
        <v>147</v>
      </c>
      <c r="J931" t="s">
        <v>1098</v>
      </c>
      <c r="K931" t="s">
        <v>71</v>
      </c>
      <c r="L931" t="s">
        <v>72</v>
      </c>
      <c r="M931" t="s">
        <v>59</v>
      </c>
      <c r="N931" t="s">
        <v>59</v>
      </c>
      <c r="O931" t="s">
        <v>59</v>
      </c>
      <c r="P931" t="s">
        <v>59</v>
      </c>
      <c r="Q931" t="s">
        <v>59</v>
      </c>
      <c r="R931" t="s">
        <v>60</v>
      </c>
      <c r="S931" t="s">
        <v>59</v>
      </c>
      <c r="T931" t="s">
        <v>59</v>
      </c>
      <c r="U931" t="s">
        <v>60</v>
      </c>
      <c r="V931" t="s">
        <v>59</v>
      </c>
      <c r="W931" t="s">
        <v>60</v>
      </c>
      <c r="X931" t="s">
        <v>61</v>
      </c>
      <c r="Y931" t="s">
        <v>59</v>
      </c>
      <c r="Z931" t="s">
        <v>59</v>
      </c>
      <c r="AA931" t="s">
        <v>60</v>
      </c>
      <c r="AB931" t="s">
        <v>60</v>
      </c>
      <c r="AC931" t="s">
        <v>60</v>
      </c>
      <c r="AD931" t="s">
        <v>61</v>
      </c>
      <c r="AE931" t="s">
        <v>60</v>
      </c>
      <c r="AF931" t="s">
        <v>61</v>
      </c>
      <c r="AG931" t="s">
        <v>60</v>
      </c>
      <c r="AH931" t="s">
        <v>61</v>
      </c>
      <c r="AI931" t="s">
        <v>61</v>
      </c>
      <c r="AJ931" t="s">
        <v>59</v>
      </c>
      <c r="AK931" t="s">
        <v>61</v>
      </c>
      <c r="AL931" t="s">
        <v>60</v>
      </c>
      <c r="AM931" t="s">
        <v>59</v>
      </c>
      <c r="AN931" t="s">
        <v>59</v>
      </c>
      <c r="AO931" t="s">
        <v>60</v>
      </c>
      <c r="AP931" t="s">
        <v>2285</v>
      </c>
      <c r="AQ931" s="1" t="s">
        <v>2286</v>
      </c>
      <c r="AR931" t="s">
        <v>64</v>
      </c>
      <c r="AS931" t="s">
        <v>89</v>
      </c>
      <c r="AT931" t="s">
        <v>742</v>
      </c>
      <c r="AU931" t="s">
        <v>299</v>
      </c>
      <c r="AW931" s="4">
        <f t="shared" si="493"/>
        <v>6</v>
      </c>
      <c r="AX931" s="4">
        <f t="shared" si="494"/>
        <v>4</v>
      </c>
      <c r="AY931" s="4">
        <f t="shared" si="495"/>
        <v>4</v>
      </c>
      <c r="AZ931" s="4">
        <f t="shared" si="496"/>
        <v>2</v>
      </c>
      <c r="BA931" s="4">
        <f t="shared" si="497"/>
        <v>4</v>
      </c>
      <c r="BB931" s="4" t="str">
        <f t="shared" si="498"/>
        <v>0</v>
      </c>
      <c r="BC931" s="4">
        <f t="shared" si="499"/>
        <v>4</v>
      </c>
      <c r="BD931" s="4">
        <f t="shared" si="500"/>
        <v>2</v>
      </c>
      <c r="BE931" s="4" t="str">
        <f t="shared" si="501"/>
        <v>0</v>
      </c>
      <c r="BF931" s="4">
        <f t="shared" si="502"/>
        <v>2</v>
      </c>
      <c r="BG931" s="4" t="str">
        <f t="shared" si="503"/>
        <v>0</v>
      </c>
      <c r="BH931" s="4">
        <f t="shared" si="504"/>
        <v>4</v>
      </c>
      <c r="BI931" s="4">
        <f t="shared" si="505"/>
        <v>4</v>
      </c>
      <c r="BJ931" s="4">
        <f t="shared" si="506"/>
        <v>2</v>
      </c>
      <c r="BK931" s="4" t="str">
        <f t="shared" si="507"/>
        <v>0</v>
      </c>
      <c r="BL931" s="4" t="str">
        <f t="shared" si="508"/>
        <v>0</v>
      </c>
      <c r="BM931" s="4" t="str">
        <f t="shared" si="509"/>
        <v>0</v>
      </c>
      <c r="BN931" s="4">
        <f t="shared" si="510"/>
        <v>4</v>
      </c>
      <c r="BO931" s="4" t="str">
        <f t="shared" si="511"/>
        <v>0</v>
      </c>
      <c r="BP931" s="4">
        <f t="shared" si="512"/>
        <v>4</v>
      </c>
      <c r="BQ931" s="4" t="str">
        <f t="shared" si="513"/>
        <v>0</v>
      </c>
      <c r="BR931" s="4">
        <f t="shared" si="514"/>
        <v>4</v>
      </c>
      <c r="BS931" s="4">
        <f t="shared" si="515"/>
        <v>4</v>
      </c>
      <c r="BT931" s="4">
        <f t="shared" si="516"/>
        <v>4</v>
      </c>
      <c r="BU931" s="4">
        <f t="shared" si="517"/>
        <v>4</v>
      </c>
      <c r="BV931" s="4" t="str">
        <f t="shared" si="518"/>
        <v>0</v>
      </c>
      <c r="BW931" s="4">
        <f t="shared" si="519"/>
        <v>6</v>
      </c>
      <c r="BX931" s="4">
        <f t="shared" si="520"/>
        <v>0</v>
      </c>
      <c r="BY931" s="4" t="str">
        <f t="shared" si="521"/>
        <v>0</v>
      </c>
      <c r="BZ931" s="37">
        <f t="shared" si="522"/>
        <v>68</v>
      </c>
      <c r="CA931" s="32" t="str">
        <f>VLOOKUP(J:J,'Agent wise'!A:C,3,0)</f>
        <v>Anusha</v>
      </c>
      <c r="CB931" s="32">
        <f t="shared" si="523"/>
        <v>45946</v>
      </c>
      <c r="CC931" t="str">
        <f t="shared" si="524"/>
        <v>FC</v>
      </c>
      <c r="CE931" s="32"/>
      <c r="CJ931">
        <f t="shared" si="525"/>
        <v>16</v>
      </c>
      <c r="CK931">
        <f t="shared" si="526"/>
        <v>10</v>
      </c>
      <c r="CL931">
        <f t="shared" si="527"/>
        <v>2025</v>
      </c>
    </row>
    <row r="932" spans="1:90" ht="15" customHeight="1" x14ac:dyDescent="0.35">
      <c r="A932" t="s">
        <v>2287</v>
      </c>
      <c r="B932" t="s">
        <v>100</v>
      </c>
      <c r="C932" t="s">
        <v>214</v>
      </c>
      <c r="D932" t="s">
        <v>101</v>
      </c>
      <c r="E932" s="32">
        <v>45946</v>
      </c>
      <c r="F932" t="s">
        <v>54</v>
      </c>
      <c r="G932" t="s">
        <v>1897</v>
      </c>
      <c r="H932">
        <v>9092246515</v>
      </c>
      <c r="I932">
        <v>132</v>
      </c>
      <c r="J932" t="s">
        <v>1030</v>
      </c>
      <c r="K932" t="s">
        <v>71</v>
      </c>
      <c r="L932" t="s">
        <v>72</v>
      </c>
      <c r="M932" t="s">
        <v>59</v>
      </c>
      <c r="N932" t="s">
        <v>59</v>
      </c>
      <c r="O932" t="s">
        <v>59</v>
      </c>
      <c r="P932" t="s">
        <v>59</v>
      </c>
      <c r="Q932" t="s">
        <v>59</v>
      </c>
      <c r="R932" t="s">
        <v>60</v>
      </c>
      <c r="S932" t="s">
        <v>60</v>
      </c>
      <c r="T932" t="s">
        <v>60</v>
      </c>
      <c r="U932" t="s">
        <v>60</v>
      </c>
      <c r="V932" t="s">
        <v>60</v>
      </c>
      <c r="W932" t="s">
        <v>60</v>
      </c>
      <c r="X932" t="s">
        <v>59</v>
      </c>
      <c r="Y932" t="s">
        <v>59</v>
      </c>
      <c r="Z932" t="s">
        <v>59</v>
      </c>
      <c r="AA932" t="s">
        <v>60</v>
      </c>
      <c r="AB932" t="s">
        <v>60</v>
      </c>
      <c r="AC932" t="s">
        <v>60</v>
      </c>
      <c r="AD932" t="s">
        <v>60</v>
      </c>
      <c r="AE932" t="s">
        <v>60</v>
      </c>
      <c r="AF932" t="s">
        <v>61</v>
      </c>
      <c r="AG932" t="s">
        <v>60</v>
      </c>
      <c r="AH932" t="s">
        <v>61</v>
      </c>
      <c r="AI932" t="s">
        <v>61</v>
      </c>
      <c r="AJ932" t="s">
        <v>59</v>
      </c>
      <c r="AK932" t="s">
        <v>61</v>
      </c>
      <c r="AL932" t="s">
        <v>60</v>
      </c>
      <c r="AM932" t="s">
        <v>59</v>
      </c>
      <c r="AN932" t="s">
        <v>59</v>
      </c>
      <c r="AO932" t="s">
        <v>60</v>
      </c>
      <c r="AP932" t="s">
        <v>2288</v>
      </c>
      <c r="AQ932" s="1" t="s">
        <v>2289</v>
      </c>
      <c r="AR932" t="s">
        <v>64</v>
      </c>
      <c r="AS932" t="s">
        <v>175</v>
      </c>
      <c r="AT932" t="s">
        <v>1095</v>
      </c>
      <c r="AU932" t="s">
        <v>299</v>
      </c>
      <c r="AW932" s="4">
        <f t="shared" si="493"/>
        <v>6</v>
      </c>
      <c r="AX932" s="4">
        <f t="shared" si="494"/>
        <v>4</v>
      </c>
      <c r="AY932" s="4">
        <f t="shared" si="495"/>
        <v>4</v>
      </c>
      <c r="AZ932" s="4">
        <f t="shared" si="496"/>
        <v>2</v>
      </c>
      <c r="BA932" s="4">
        <f t="shared" si="497"/>
        <v>4</v>
      </c>
      <c r="BB932" s="4" t="str">
        <f t="shared" si="498"/>
        <v>0</v>
      </c>
      <c r="BC932" s="4" t="str">
        <f t="shared" si="499"/>
        <v>0</v>
      </c>
      <c r="BD932" s="4" t="str">
        <f t="shared" si="500"/>
        <v>0</v>
      </c>
      <c r="BE932" s="4" t="str">
        <f t="shared" si="501"/>
        <v>0</v>
      </c>
      <c r="BF932" s="4" t="str">
        <f t="shared" si="502"/>
        <v>0</v>
      </c>
      <c r="BG932" s="4" t="str">
        <f t="shared" si="503"/>
        <v>0</v>
      </c>
      <c r="BH932" s="4">
        <f t="shared" si="504"/>
        <v>4</v>
      </c>
      <c r="BI932" s="4">
        <f t="shared" si="505"/>
        <v>4</v>
      </c>
      <c r="BJ932" s="4">
        <f t="shared" si="506"/>
        <v>2</v>
      </c>
      <c r="BK932" s="4" t="str">
        <f t="shared" si="507"/>
        <v>0</v>
      </c>
      <c r="BL932" s="4" t="str">
        <f t="shared" si="508"/>
        <v>0</v>
      </c>
      <c r="BM932" s="4" t="str">
        <f t="shared" si="509"/>
        <v>0</v>
      </c>
      <c r="BN932" s="4" t="str">
        <f t="shared" si="510"/>
        <v>0</v>
      </c>
      <c r="BO932" s="4" t="str">
        <f t="shared" si="511"/>
        <v>0</v>
      </c>
      <c r="BP932" s="4">
        <f t="shared" si="512"/>
        <v>4</v>
      </c>
      <c r="BQ932" s="4" t="str">
        <f t="shared" si="513"/>
        <v>0</v>
      </c>
      <c r="BR932" s="4">
        <f t="shared" si="514"/>
        <v>4</v>
      </c>
      <c r="BS932" s="4">
        <f t="shared" si="515"/>
        <v>4</v>
      </c>
      <c r="BT932" s="4">
        <f t="shared" si="516"/>
        <v>4</v>
      </c>
      <c r="BU932" s="4">
        <f t="shared" si="517"/>
        <v>4</v>
      </c>
      <c r="BV932" s="4" t="str">
        <f t="shared" si="518"/>
        <v>0</v>
      </c>
      <c r="BW932" s="4">
        <f t="shared" si="519"/>
        <v>6</v>
      </c>
      <c r="BX932" s="4">
        <f t="shared" si="520"/>
        <v>0</v>
      </c>
      <c r="BY932" s="4" t="str">
        <f t="shared" si="521"/>
        <v>0</v>
      </c>
      <c r="BZ932" s="37">
        <f t="shared" si="522"/>
        <v>56</v>
      </c>
      <c r="CA932" s="32" t="str">
        <f>VLOOKUP(J:J,'Agent wise'!A:C,3,0)</f>
        <v>Anusha</v>
      </c>
      <c r="CB932" s="32">
        <f t="shared" si="523"/>
        <v>45946</v>
      </c>
      <c r="CC932" t="str">
        <f t="shared" si="524"/>
        <v>FC</v>
      </c>
      <c r="CE932" s="32"/>
      <c r="CJ932">
        <f t="shared" si="525"/>
        <v>16</v>
      </c>
      <c r="CK932">
        <f t="shared" si="526"/>
        <v>10</v>
      </c>
      <c r="CL932">
        <f t="shared" si="527"/>
        <v>2025</v>
      </c>
    </row>
    <row r="933" spans="1:90" ht="15" customHeight="1" x14ac:dyDescent="0.35">
      <c r="A933" t="s">
        <v>2290</v>
      </c>
      <c r="B933" t="s">
        <v>250</v>
      </c>
      <c r="C933" t="s">
        <v>214</v>
      </c>
      <c r="D933" t="s">
        <v>251</v>
      </c>
      <c r="E933" s="32">
        <v>45946</v>
      </c>
      <c r="F933" t="s">
        <v>54</v>
      </c>
      <c r="G933" t="s">
        <v>1897</v>
      </c>
      <c r="H933">
        <v>9383407879</v>
      </c>
      <c r="I933">
        <v>194</v>
      </c>
      <c r="J933" t="s">
        <v>1009</v>
      </c>
      <c r="K933" t="s">
        <v>57</v>
      </c>
      <c r="L933" t="s">
        <v>58</v>
      </c>
      <c r="M933" t="s">
        <v>59</v>
      </c>
      <c r="N933" t="s">
        <v>59</v>
      </c>
      <c r="O933" t="s">
        <v>59</v>
      </c>
      <c r="P933" t="s">
        <v>59</v>
      </c>
      <c r="Q933" t="s">
        <v>59</v>
      </c>
      <c r="R933" t="s">
        <v>59</v>
      </c>
      <c r="S933" t="s">
        <v>59</v>
      </c>
      <c r="T933" t="s">
        <v>59</v>
      </c>
      <c r="U933" t="s">
        <v>60</v>
      </c>
      <c r="V933" t="s">
        <v>59</v>
      </c>
      <c r="W933" t="s">
        <v>59</v>
      </c>
      <c r="X933" t="s">
        <v>59</v>
      </c>
      <c r="Y933" t="s">
        <v>59</v>
      </c>
      <c r="Z933" t="s">
        <v>59</v>
      </c>
      <c r="AA933" t="s">
        <v>60</v>
      </c>
      <c r="AB933" t="s">
        <v>59</v>
      </c>
      <c r="AC933" t="s">
        <v>59</v>
      </c>
      <c r="AD933" t="s">
        <v>61</v>
      </c>
      <c r="AE933" t="s">
        <v>59</v>
      </c>
      <c r="AF933" t="s">
        <v>59</v>
      </c>
      <c r="AG933" t="s">
        <v>59</v>
      </c>
      <c r="AH933" t="s">
        <v>59</v>
      </c>
      <c r="AI933" t="s">
        <v>61</v>
      </c>
      <c r="AJ933" t="s">
        <v>59</v>
      </c>
      <c r="AK933" t="s">
        <v>59</v>
      </c>
      <c r="AL933" t="s">
        <v>60</v>
      </c>
      <c r="AM933" t="s">
        <v>59</v>
      </c>
      <c r="AN933" t="s">
        <v>59</v>
      </c>
      <c r="AO933" t="s">
        <v>59</v>
      </c>
      <c r="AP933" t="s">
        <v>783</v>
      </c>
      <c r="AQ933" t="s">
        <v>2291</v>
      </c>
      <c r="AR933" t="s">
        <v>64</v>
      </c>
      <c r="AS933" t="s">
        <v>111</v>
      </c>
      <c r="AT933" t="s">
        <v>112</v>
      </c>
      <c r="AU933" t="s">
        <v>219</v>
      </c>
      <c r="AW933" s="4">
        <f t="shared" si="493"/>
        <v>6</v>
      </c>
      <c r="AX933" s="4">
        <f t="shared" si="494"/>
        <v>4</v>
      </c>
      <c r="AY933" s="4">
        <f t="shared" si="495"/>
        <v>4</v>
      </c>
      <c r="AZ933" s="4">
        <f t="shared" si="496"/>
        <v>2</v>
      </c>
      <c r="BA933" s="4">
        <f t="shared" si="497"/>
        <v>4</v>
      </c>
      <c r="BB933" s="4">
        <f t="shared" si="498"/>
        <v>4</v>
      </c>
      <c r="BC933" s="4">
        <f t="shared" si="499"/>
        <v>4</v>
      </c>
      <c r="BD933" s="4">
        <f t="shared" si="500"/>
        <v>2</v>
      </c>
      <c r="BE933" s="4" t="str">
        <f t="shared" si="501"/>
        <v>0</v>
      </c>
      <c r="BF933" s="4">
        <f t="shared" si="502"/>
        <v>2</v>
      </c>
      <c r="BG933" s="4">
        <f t="shared" si="503"/>
        <v>4</v>
      </c>
      <c r="BH933" s="4">
        <f t="shared" si="504"/>
        <v>4</v>
      </c>
      <c r="BI933" s="4">
        <f t="shared" si="505"/>
        <v>4</v>
      </c>
      <c r="BJ933" s="4">
        <f t="shared" si="506"/>
        <v>2</v>
      </c>
      <c r="BK933" s="4" t="str">
        <f t="shared" si="507"/>
        <v>0</v>
      </c>
      <c r="BL933" s="4">
        <f t="shared" si="508"/>
        <v>2</v>
      </c>
      <c r="BM933" s="4">
        <f t="shared" si="509"/>
        <v>4</v>
      </c>
      <c r="BN933" s="4">
        <f t="shared" si="510"/>
        <v>4</v>
      </c>
      <c r="BO933" s="4">
        <f t="shared" si="511"/>
        <v>4</v>
      </c>
      <c r="BP933" s="4">
        <f t="shared" si="512"/>
        <v>4</v>
      </c>
      <c r="BQ933" s="4">
        <f t="shared" si="513"/>
        <v>6</v>
      </c>
      <c r="BR933" s="4">
        <f t="shared" si="514"/>
        <v>4</v>
      </c>
      <c r="BS933" s="4">
        <f t="shared" si="515"/>
        <v>4</v>
      </c>
      <c r="BT933" s="4">
        <f t="shared" si="516"/>
        <v>4</v>
      </c>
      <c r="BU933" s="4">
        <f t="shared" si="517"/>
        <v>4</v>
      </c>
      <c r="BV933" s="4" t="str">
        <f t="shared" si="518"/>
        <v>0</v>
      </c>
      <c r="BW933" s="4">
        <f t="shared" si="519"/>
        <v>6</v>
      </c>
      <c r="BX933" s="4">
        <f t="shared" si="520"/>
        <v>0</v>
      </c>
      <c r="BY933" s="4">
        <f t="shared" si="521"/>
        <v>0</v>
      </c>
      <c r="BZ933" s="37">
        <f t="shared" si="522"/>
        <v>92</v>
      </c>
      <c r="CA933" s="32" t="str">
        <f>VLOOKUP(J:J,'Agent wise'!A:C,3,0)</f>
        <v>Anusha</v>
      </c>
      <c r="CB933" s="32">
        <f t="shared" si="523"/>
        <v>45946</v>
      </c>
      <c r="CC933" t="str">
        <f t="shared" si="524"/>
        <v>Good</v>
      </c>
      <c r="CE933" s="32"/>
      <c r="CJ933">
        <f t="shared" si="525"/>
        <v>16</v>
      </c>
      <c r="CK933">
        <f t="shared" si="526"/>
        <v>10</v>
      </c>
      <c r="CL933">
        <f t="shared" si="527"/>
        <v>2025</v>
      </c>
    </row>
    <row r="934" spans="1:90" ht="15" customHeight="1" x14ac:dyDescent="0.35">
      <c r="A934" t="s">
        <v>2292</v>
      </c>
      <c r="B934" t="s">
        <v>100</v>
      </c>
      <c r="C934" t="s">
        <v>214</v>
      </c>
      <c r="D934" t="s">
        <v>101</v>
      </c>
      <c r="E934" s="32">
        <v>45946</v>
      </c>
      <c r="F934" t="s">
        <v>54</v>
      </c>
      <c r="G934" t="s">
        <v>1897</v>
      </c>
      <c r="H934">
        <v>9489557290</v>
      </c>
      <c r="I934">
        <v>131</v>
      </c>
      <c r="J934" t="s">
        <v>998</v>
      </c>
      <c r="K934" t="s">
        <v>71</v>
      </c>
      <c r="L934" t="s">
        <v>72</v>
      </c>
      <c r="M934" t="s">
        <v>59</v>
      </c>
      <c r="N934" t="s">
        <v>59</v>
      </c>
      <c r="O934" t="s">
        <v>59</v>
      </c>
      <c r="P934" t="s">
        <v>59</v>
      </c>
      <c r="Q934" t="s">
        <v>59</v>
      </c>
      <c r="R934" t="s">
        <v>60</v>
      </c>
      <c r="S934" t="s">
        <v>59</v>
      </c>
      <c r="T934" t="s">
        <v>59</v>
      </c>
      <c r="U934" t="s">
        <v>60</v>
      </c>
      <c r="V934" t="s">
        <v>59</v>
      </c>
      <c r="W934" t="s">
        <v>59</v>
      </c>
      <c r="X934" t="s">
        <v>61</v>
      </c>
      <c r="Y934" t="s">
        <v>59</v>
      </c>
      <c r="Z934" t="s">
        <v>59</v>
      </c>
      <c r="AA934" t="s">
        <v>60</v>
      </c>
      <c r="AB934" t="s">
        <v>60</v>
      </c>
      <c r="AC934" t="s">
        <v>61</v>
      </c>
      <c r="AD934" t="s">
        <v>59</v>
      </c>
      <c r="AE934" t="s">
        <v>59</v>
      </c>
      <c r="AF934" t="s">
        <v>61</v>
      </c>
      <c r="AG934" t="s">
        <v>60</v>
      </c>
      <c r="AH934" t="s">
        <v>61</v>
      </c>
      <c r="AI934" t="s">
        <v>61</v>
      </c>
      <c r="AJ934" t="s">
        <v>59</v>
      </c>
      <c r="AK934" t="s">
        <v>61</v>
      </c>
      <c r="AL934" t="s">
        <v>60</v>
      </c>
      <c r="AM934" t="s">
        <v>59</v>
      </c>
      <c r="AN934" t="s">
        <v>59</v>
      </c>
      <c r="AO934" t="s">
        <v>60</v>
      </c>
      <c r="AP934" t="s">
        <v>2293</v>
      </c>
      <c r="AQ934" s="1" t="s">
        <v>2294</v>
      </c>
      <c r="AR934" t="s">
        <v>64</v>
      </c>
      <c r="AS934" t="s">
        <v>171</v>
      </c>
      <c r="AT934" t="s">
        <v>190</v>
      </c>
      <c r="AU934" t="s">
        <v>299</v>
      </c>
      <c r="AW934" s="4">
        <f t="shared" si="493"/>
        <v>6</v>
      </c>
      <c r="AX934" s="4">
        <f t="shared" si="494"/>
        <v>4</v>
      </c>
      <c r="AY934" s="4">
        <f t="shared" si="495"/>
        <v>4</v>
      </c>
      <c r="AZ934" s="4">
        <f t="shared" si="496"/>
        <v>2</v>
      </c>
      <c r="BA934" s="4">
        <f t="shared" si="497"/>
        <v>4</v>
      </c>
      <c r="BB934" s="4" t="str">
        <f t="shared" si="498"/>
        <v>0</v>
      </c>
      <c r="BC934" s="4">
        <f t="shared" si="499"/>
        <v>4</v>
      </c>
      <c r="BD934" s="4">
        <f t="shared" si="500"/>
        <v>2</v>
      </c>
      <c r="BE934" s="4" t="str">
        <f t="shared" si="501"/>
        <v>0</v>
      </c>
      <c r="BF934" s="4">
        <f t="shared" si="502"/>
        <v>2</v>
      </c>
      <c r="BG934" s="4">
        <f t="shared" si="503"/>
        <v>4</v>
      </c>
      <c r="BH934" s="4">
        <f t="shared" si="504"/>
        <v>4</v>
      </c>
      <c r="BI934" s="4">
        <f t="shared" si="505"/>
        <v>4</v>
      </c>
      <c r="BJ934" s="4">
        <f t="shared" si="506"/>
        <v>2</v>
      </c>
      <c r="BK934" s="4" t="str">
        <f t="shared" si="507"/>
        <v>0</v>
      </c>
      <c r="BL934" s="4" t="str">
        <f t="shared" si="508"/>
        <v>0</v>
      </c>
      <c r="BM934" s="4">
        <f t="shared" si="509"/>
        <v>4</v>
      </c>
      <c r="BN934" s="4">
        <f t="shared" si="510"/>
        <v>4</v>
      </c>
      <c r="BO934" s="4">
        <f t="shared" si="511"/>
        <v>4</v>
      </c>
      <c r="BP934" s="4">
        <f t="shared" si="512"/>
        <v>4</v>
      </c>
      <c r="BQ934" s="4" t="str">
        <f t="shared" si="513"/>
        <v>0</v>
      </c>
      <c r="BR934" s="4">
        <f t="shared" si="514"/>
        <v>4</v>
      </c>
      <c r="BS934" s="4">
        <f t="shared" si="515"/>
        <v>4</v>
      </c>
      <c r="BT934" s="4">
        <f t="shared" si="516"/>
        <v>4</v>
      </c>
      <c r="BU934" s="4">
        <f t="shared" si="517"/>
        <v>4</v>
      </c>
      <c r="BV934" s="4" t="str">
        <f t="shared" si="518"/>
        <v>0</v>
      </c>
      <c r="BW934" s="4">
        <f t="shared" si="519"/>
        <v>6</v>
      </c>
      <c r="BX934" s="4">
        <f t="shared" si="520"/>
        <v>0</v>
      </c>
      <c r="BY934" s="4" t="str">
        <f t="shared" si="521"/>
        <v>0</v>
      </c>
      <c r="BZ934" s="37">
        <f t="shared" si="522"/>
        <v>80</v>
      </c>
      <c r="CA934" s="32" t="str">
        <f>VLOOKUP(J:J,'Agent wise'!A:C,3,0)</f>
        <v>Anusha</v>
      </c>
      <c r="CB934" s="32">
        <f t="shared" si="523"/>
        <v>45946</v>
      </c>
      <c r="CC934" t="str">
        <f t="shared" si="524"/>
        <v>FC</v>
      </c>
      <c r="CE934" s="32"/>
      <c r="CJ934">
        <f t="shared" si="525"/>
        <v>16</v>
      </c>
      <c r="CK934">
        <f t="shared" si="526"/>
        <v>10</v>
      </c>
      <c r="CL934">
        <f t="shared" si="527"/>
        <v>2025</v>
      </c>
    </row>
    <row r="935" spans="1:90" ht="15" customHeight="1" x14ac:dyDescent="0.35">
      <c r="A935" t="s">
        <v>2295</v>
      </c>
      <c r="B935" t="s">
        <v>100</v>
      </c>
      <c r="C935" t="s">
        <v>214</v>
      </c>
      <c r="D935" t="s">
        <v>101</v>
      </c>
      <c r="E935" s="32">
        <v>45946</v>
      </c>
      <c r="F935" t="s">
        <v>54</v>
      </c>
      <c r="G935" t="s">
        <v>1897</v>
      </c>
      <c r="H935">
        <v>9961683514</v>
      </c>
      <c r="I935">
        <v>131</v>
      </c>
      <c r="J935" t="s">
        <v>102</v>
      </c>
      <c r="K935" t="s">
        <v>57</v>
      </c>
      <c r="L935" t="s">
        <v>58</v>
      </c>
      <c r="M935" t="s">
        <v>59</v>
      </c>
      <c r="N935" t="s">
        <v>59</v>
      </c>
      <c r="O935" t="s">
        <v>59</v>
      </c>
      <c r="P935" t="s">
        <v>59</v>
      </c>
      <c r="Q935" t="s">
        <v>59</v>
      </c>
      <c r="R935" t="s">
        <v>60</v>
      </c>
      <c r="S935" t="s">
        <v>59</v>
      </c>
      <c r="T935" t="s">
        <v>59</v>
      </c>
      <c r="U935" t="s">
        <v>60</v>
      </c>
      <c r="V935" t="s">
        <v>59</v>
      </c>
      <c r="W935" t="s">
        <v>59</v>
      </c>
      <c r="X935" t="s">
        <v>61</v>
      </c>
      <c r="Y935" t="s">
        <v>59</v>
      </c>
      <c r="Z935" t="s">
        <v>59</v>
      </c>
      <c r="AA935" t="s">
        <v>60</v>
      </c>
      <c r="AB935" t="s">
        <v>60</v>
      </c>
      <c r="AC935" t="s">
        <v>60</v>
      </c>
      <c r="AD935" t="s">
        <v>59</v>
      </c>
      <c r="AE935" t="s">
        <v>59</v>
      </c>
      <c r="AF935" t="s">
        <v>61</v>
      </c>
      <c r="AG935" t="s">
        <v>60</v>
      </c>
      <c r="AH935" t="s">
        <v>61</v>
      </c>
      <c r="AI935" t="s">
        <v>61</v>
      </c>
      <c r="AJ935" t="s">
        <v>59</v>
      </c>
      <c r="AK935" t="s">
        <v>61</v>
      </c>
      <c r="AL935" t="s">
        <v>60</v>
      </c>
      <c r="AM935" t="s">
        <v>59</v>
      </c>
      <c r="AN935" t="s">
        <v>59</v>
      </c>
      <c r="AO935" t="s">
        <v>59</v>
      </c>
      <c r="AP935" t="s">
        <v>2296</v>
      </c>
      <c r="AQ935" s="1" t="s">
        <v>2297</v>
      </c>
      <c r="AR935" t="s">
        <v>64</v>
      </c>
      <c r="AS935" t="s">
        <v>83</v>
      </c>
      <c r="AT935" t="s">
        <v>84</v>
      </c>
      <c r="AU935" t="s">
        <v>299</v>
      </c>
      <c r="AW935" s="4">
        <f t="shared" si="493"/>
        <v>6</v>
      </c>
      <c r="AX935" s="4">
        <f t="shared" si="494"/>
        <v>4</v>
      </c>
      <c r="AY935" s="4">
        <f t="shared" si="495"/>
        <v>4</v>
      </c>
      <c r="AZ935" s="4">
        <f t="shared" si="496"/>
        <v>2</v>
      </c>
      <c r="BA935" s="4">
        <f t="shared" si="497"/>
        <v>4</v>
      </c>
      <c r="BB935" s="4" t="str">
        <f t="shared" si="498"/>
        <v>0</v>
      </c>
      <c r="BC935" s="4">
        <f t="shared" si="499"/>
        <v>4</v>
      </c>
      <c r="BD935" s="4">
        <f t="shared" si="500"/>
        <v>2</v>
      </c>
      <c r="BE935" s="4" t="str">
        <f t="shared" si="501"/>
        <v>0</v>
      </c>
      <c r="BF935" s="4">
        <f t="shared" si="502"/>
        <v>2</v>
      </c>
      <c r="BG935" s="4">
        <f t="shared" si="503"/>
        <v>4</v>
      </c>
      <c r="BH935" s="4">
        <f t="shared" si="504"/>
        <v>4</v>
      </c>
      <c r="BI935" s="4">
        <f t="shared" si="505"/>
        <v>4</v>
      </c>
      <c r="BJ935" s="4">
        <f t="shared" si="506"/>
        <v>2</v>
      </c>
      <c r="BK935" s="4" t="str">
        <f t="shared" si="507"/>
        <v>0</v>
      </c>
      <c r="BL935" s="4" t="str">
        <f t="shared" si="508"/>
        <v>0</v>
      </c>
      <c r="BM935" s="4" t="str">
        <f t="shared" si="509"/>
        <v>0</v>
      </c>
      <c r="BN935" s="4">
        <f t="shared" si="510"/>
        <v>4</v>
      </c>
      <c r="BO935" s="4">
        <f t="shared" si="511"/>
        <v>4</v>
      </c>
      <c r="BP935" s="4">
        <f t="shared" si="512"/>
        <v>4</v>
      </c>
      <c r="BQ935" s="4" t="str">
        <f t="shared" si="513"/>
        <v>0</v>
      </c>
      <c r="BR935" s="4">
        <f t="shared" si="514"/>
        <v>4</v>
      </c>
      <c r="BS935" s="4">
        <f t="shared" si="515"/>
        <v>4</v>
      </c>
      <c r="BT935" s="4">
        <f t="shared" si="516"/>
        <v>4</v>
      </c>
      <c r="BU935" s="4">
        <f t="shared" si="517"/>
        <v>4</v>
      </c>
      <c r="BV935" s="4" t="str">
        <f t="shared" si="518"/>
        <v>0</v>
      </c>
      <c r="BW935" s="4">
        <f t="shared" si="519"/>
        <v>6</v>
      </c>
      <c r="BX935" s="4">
        <f t="shared" si="520"/>
        <v>0</v>
      </c>
      <c r="BY935" s="4">
        <f t="shared" si="521"/>
        <v>0</v>
      </c>
      <c r="BZ935" s="37">
        <f t="shared" si="522"/>
        <v>76</v>
      </c>
      <c r="CA935" s="32" t="str">
        <f>VLOOKUP(J:J,'Agent wise'!A:C,3,0)</f>
        <v>Shakeer</v>
      </c>
      <c r="CB935" s="32">
        <f t="shared" si="523"/>
        <v>45946</v>
      </c>
      <c r="CC935" t="str">
        <f t="shared" si="524"/>
        <v>FC</v>
      </c>
      <c r="CE935" s="32"/>
      <c r="CJ935">
        <f t="shared" si="525"/>
        <v>16</v>
      </c>
      <c r="CK935">
        <f t="shared" si="526"/>
        <v>10</v>
      </c>
      <c r="CL935">
        <f t="shared" si="527"/>
        <v>2025</v>
      </c>
    </row>
    <row r="936" spans="1:90" ht="15" customHeight="1" x14ac:dyDescent="0.35">
      <c r="A936" t="s">
        <v>2298</v>
      </c>
      <c r="B936" t="s">
        <v>250</v>
      </c>
      <c r="C936" t="s">
        <v>214</v>
      </c>
      <c r="D936" t="s">
        <v>251</v>
      </c>
      <c r="E936" s="32">
        <v>45946</v>
      </c>
      <c r="F936" t="s">
        <v>54</v>
      </c>
      <c r="G936" t="s">
        <v>1897</v>
      </c>
      <c r="H936">
        <v>9445721027</v>
      </c>
      <c r="I936">
        <v>172</v>
      </c>
      <c r="J936" t="s">
        <v>1098</v>
      </c>
      <c r="K936" t="s">
        <v>71</v>
      </c>
      <c r="L936" t="s">
        <v>72</v>
      </c>
      <c r="M936" t="s">
        <v>59</v>
      </c>
      <c r="N936" t="s">
        <v>59</v>
      </c>
      <c r="O936" t="s">
        <v>60</v>
      </c>
      <c r="P936" t="s">
        <v>59</v>
      </c>
      <c r="Q936" t="s">
        <v>59</v>
      </c>
      <c r="R936" t="s">
        <v>59</v>
      </c>
      <c r="S936" t="s">
        <v>59</v>
      </c>
      <c r="T936" t="s">
        <v>59</v>
      </c>
      <c r="U936" t="s">
        <v>60</v>
      </c>
      <c r="V936" t="s">
        <v>59</v>
      </c>
      <c r="W936" t="s">
        <v>60</v>
      </c>
      <c r="X936" t="s">
        <v>59</v>
      </c>
      <c r="Y936" t="s">
        <v>59</v>
      </c>
      <c r="Z936" t="s">
        <v>60</v>
      </c>
      <c r="AA936" t="s">
        <v>60</v>
      </c>
      <c r="AB936" t="s">
        <v>60</v>
      </c>
      <c r="AC936" t="s">
        <v>59</v>
      </c>
      <c r="AD936" t="s">
        <v>59</v>
      </c>
      <c r="AE936" t="s">
        <v>59</v>
      </c>
      <c r="AF936" t="s">
        <v>60</v>
      </c>
      <c r="AG936" t="s">
        <v>60</v>
      </c>
      <c r="AH936" t="s">
        <v>59</v>
      </c>
      <c r="AI936" t="s">
        <v>59</v>
      </c>
      <c r="AJ936" t="s">
        <v>59</v>
      </c>
      <c r="AK936" t="s">
        <v>59</v>
      </c>
      <c r="AL936" t="s">
        <v>60</v>
      </c>
      <c r="AM936" t="s">
        <v>59</v>
      </c>
      <c r="AN936" t="s">
        <v>59</v>
      </c>
      <c r="AO936" t="s">
        <v>59</v>
      </c>
      <c r="AP936" t="s">
        <v>2299</v>
      </c>
      <c r="AQ936" t="s">
        <v>2300</v>
      </c>
      <c r="AR936" t="s">
        <v>64</v>
      </c>
      <c r="AS936" t="s">
        <v>255</v>
      </c>
      <c r="AT936" t="s">
        <v>2301</v>
      </c>
      <c r="AU936" t="s">
        <v>387</v>
      </c>
      <c r="AW936" s="4">
        <f t="shared" si="493"/>
        <v>6</v>
      </c>
      <c r="AX936" s="4">
        <f t="shared" si="494"/>
        <v>4</v>
      </c>
      <c r="AY936" s="4" t="str">
        <f t="shared" si="495"/>
        <v>0</v>
      </c>
      <c r="AZ936" s="4">
        <f t="shared" si="496"/>
        <v>2</v>
      </c>
      <c r="BA936" s="4">
        <f t="shared" si="497"/>
        <v>4</v>
      </c>
      <c r="BB936" s="4">
        <f t="shared" si="498"/>
        <v>4</v>
      </c>
      <c r="BC936" s="4">
        <f t="shared" si="499"/>
        <v>4</v>
      </c>
      <c r="BD936" s="4">
        <f t="shared" si="500"/>
        <v>2</v>
      </c>
      <c r="BE936" s="4" t="str">
        <f t="shared" si="501"/>
        <v>0</v>
      </c>
      <c r="BF936" s="4">
        <f t="shared" si="502"/>
        <v>2</v>
      </c>
      <c r="BG936" s="4" t="str">
        <f t="shared" si="503"/>
        <v>0</v>
      </c>
      <c r="BH936" s="4">
        <f t="shared" si="504"/>
        <v>4</v>
      </c>
      <c r="BI936" s="4">
        <f t="shared" si="505"/>
        <v>4</v>
      </c>
      <c r="BJ936" s="4" t="str">
        <f t="shared" si="506"/>
        <v>0</v>
      </c>
      <c r="BK936" s="4" t="str">
        <f t="shared" si="507"/>
        <v>0</v>
      </c>
      <c r="BL936" s="4" t="str">
        <f t="shared" si="508"/>
        <v>0</v>
      </c>
      <c r="BM936" s="4">
        <f t="shared" si="509"/>
        <v>4</v>
      </c>
      <c r="BN936" s="4">
        <f t="shared" si="510"/>
        <v>4</v>
      </c>
      <c r="BO936" s="4">
        <f t="shared" si="511"/>
        <v>4</v>
      </c>
      <c r="BP936" s="4" t="str">
        <f t="shared" si="512"/>
        <v>0</v>
      </c>
      <c r="BQ936" s="4" t="str">
        <f t="shared" si="513"/>
        <v>0</v>
      </c>
      <c r="BR936" s="4">
        <f t="shared" si="514"/>
        <v>4</v>
      </c>
      <c r="BS936" s="4">
        <f t="shared" si="515"/>
        <v>4</v>
      </c>
      <c r="BT936" s="4">
        <f t="shared" si="516"/>
        <v>4</v>
      </c>
      <c r="BU936" s="4">
        <f t="shared" si="517"/>
        <v>4</v>
      </c>
      <c r="BV936" s="4" t="str">
        <f t="shared" si="518"/>
        <v>0</v>
      </c>
      <c r="BW936" s="4">
        <f t="shared" si="519"/>
        <v>6</v>
      </c>
      <c r="BX936" s="4">
        <f t="shared" si="520"/>
        <v>0</v>
      </c>
      <c r="BY936" s="4">
        <f t="shared" si="521"/>
        <v>0</v>
      </c>
      <c r="BZ936" s="37">
        <f t="shared" si="522"/>
        <v>70</v>
      </c>
      <c r="CA936" s="32" t="str">
        <f>VLOOKUP(J:J,'Agent wise'!A:C,3,0)</f>
        <v>Anusha</v>
      </c>
      <c r="CB936" s="32">
        <f t="shared" si="523"/>
        <v>45946</v>
      </c>
      <c r="CC936" t="str">
        <f t="shared" si="524"/>
        <v>FC</v>
      </c>
      <c r="CE936" s="32"/>
      <c r="CJ936">
        <f t="shared" si="525"/>
        <v>16</v>
      </c>
      <c r="CK936">
        <f t="shared" si="526"/>
        <v>10</v>
      </c>
      <c r="CL936">
        <f t="shared" si="527"/>
        <v>2025</v>
      </c>
    </row>
    <row r="937" spans="1:90" ht="15" customHeight="1" x14ac:dyDescent="0.35">
      <c r="A937" t="s">
        <v>2302</v>
      </c>
      <c r="B937" t="s">
        <v>250</v>
      </c>
      <c r="C937" t="s">
        <v>214</v>
      </c>
      <c r="D937" t="s">
        <v>251</v>
      </c>
      <c r="E937" s="32">
        <v>45946</v>
      </c>
      <c r="F937" t="s">
        <v>54</v>
      </c>
      <c r="G937" t="s">
        <v>1897</v>
      </c>
      <c r="H937">
        <v>7339094198</v>
      </c>
      <c r="I937">
        <v>173</v>
      </c>
      <c r="J937" t="s">
        <v>1030</v>
      </c>
      <c r="K937" t="s">
        <v>71</v>
      </c>
      <c r="L937" t="s">
        <v>72</v>
      </c>
      <c r="M937" t="s">
        <v>60</v>
      </c>
      <c r="N937" t="s">
        <v>59</v>
      </c>
      <c r="O937" t="s">
        <v>59</v>
      </c>
      <c r="P937" t="s">
        <v>59</v>
      </c>
      <c r="Q937" t="s">
        <v>59</v>
      </c>
      <c r="R937" t="s">
        <v>59</v>
      </c>
      <c r="S937" t="s">
        <v>59</v>
      </c>
      <c r="T937" t="s">
        <v>59</v>
      </c>
      <c r="U937" t="s">
        <v>60</v>
      </c>
      <c r="V937" t="s">
        <v>59</v>
      </c>
      <c r="W937" t="s">
        <v>59</v>
      </c>
      <c r="X937" t="s">
        <v>59</v>
      </c>
      <c r="Y937" t="s">
        <v>59</v>
      </c>
      <c r="Z937" t="s">
        <v>59</v>
      </c>
      <c r="AA937" t="s">
        <v>60</v>
      </c>
      <c r="AB937" t="s">
        <v>59</v>
      </c>
      <c r="AC937" t="s">
        <v>59</v>
      </c>
      <c r="AD937" t="s">
        <v>59</v>
      </c>
      <c r="AE937" t="s">
        <v>59</v>
      </c>
      <c r="AF937" t="s">
        <v>59</v>
      </c>
      <c r="AG937" t="s">
        <v>59</v>
      </c>
      <c r="AH937" t="s">
        <v>61</v>
      </c>
      <c r="AI937" t="s">
        <v>61</v>
      </c>
      <c r="AJ937" t="s">
        <v>59</v>
      </c>
      <c r="AK937" t="s">
        <v>59</v>
      </c>
      <c r="AL937" t="s">
        <v>60</v>
      </c>
      <c r="AM937" t="s">
        <v>59</v>
      </c>
      <c r="AN937" t="s">
        <v>59</v>
      </c>
      <c r="AO937" t="s">
        <v>59</v>
      </c>
      <c r="AP937" t="s">
        <v>696</v>
      </c>
      <c r="AQ937" t="s">
        <v>2303</v>
      </c>
      <c r="AR937" t="s">
        <v>64</v>
      </c>
      <c r="AS937" t="s">
        <v>255</v>
      </c>
      <c r="AT937" t="s">
        <v>2301</v>
      </c>
      <c r="AU937" t="s">
        <v>219</v>
      </c>
      <c r="AW937" s="4" t="str">
        <f t="shared" si="493"/>
        <v>0</v>
      </c>
      <c r="AX937" s="4">
        <f t="shared" si="494"/>
        <v>4</v>
      </c>
      <c r="AY937" s="4">
        <f t="shared" si="495"/>
        <v>4</v>
      </c>
      <c r="AZ937" s="4">
        <f t="shared" si="496"/>
        <v>2</v>
      </c>
      <c r="BA937" s="4">
        <f t="shared" si="497"/>
        <v>4</v>
      </c>
      <c r="BB937" s="4">
        <f t="shared" si="498"/>
        <v>4</v>
      </c>
      <c r="BC937" s="4">
        <f t="shared" si="499"/>
        <v>4</v>
      </c>
      <c r="BD937" s="4">
        <f t="shared" si="500"/>
        <v>2</v>
      </c>
      <c r="BE937" s="4" t="str">
        <f t="shared" si="501"/>
        <v>0</v>
      </c>
      <c r="BF937" s="4">
        <f t="shared" si="502"/>
        <v>2</v>
      </c>
      <c r="BG937" s="4">
        <f t="shared" si="503"/>
        <v>4</v>
      </c>
      <c r="BH937" s="4">
        <f t="shared" si="504"/>
        <v>4</v>
      </c>
      <c r="BI937" s="4">
        <f t="shared" si="505"/>
        <v>4</v>
      </c>
      <c r="BJ937" s="4">
        <f t="shared" si="506"/>
        <v>2</v>
      </c>
      <c r="BK937" s="4" t="str">
        <f t="shared" si="507"/>
        <v>0</v>
      </c>
      <c r="BL937" s="4">
        <f t="shared" si="508"/>
        <v>2</v>
      </c>
      <c r="BM937" s="4">
        <f t="shared" si="509"/>
        <v>4</v>
      </c>
      <c r="BN937" s="4">
        <f t="shared" si="510"/>
        <v>4</v>
      </c>
      <c r="BO937" s="4">
        <f t="shared" si="511"/>
        <v>4</v>
      </c>
      <c r="BP937" s="4">
        <f t="shared" si="512"/>
        <v>4</v>
      </c>
      <c r="BQ937" s="4">
        <f t="shared" si="513"/>
        <v>6</v>
      </c>
      <c r="BR937" s="4">
        <f t="shared" si="514"/>
        <v>4</v>
      </c>
      <c r="BS937" s="4">
        <f t="shared" si="515"/>
        <v>4</v>
      </c>
      <c r="BT937" s="4">
        <f t="shared" si="516"/>
        <v>4</v>
      </c>
      <c r="BU937" s="4">
        <f t="shared" si="517"/>
        <v>4</v>
      </c>
      <c r="BV937" s="4" t="str">
        <f t="shared" si="518"/>
        <v>0</v>
      </c>
      <c r="BW937" s="4">
        <f t="shared" si="519"/>
        <v>6</v>
      </c>
      <c r="BX937" s="4">
        <f t="shared" si="520"/>
        <v>0</v>
      </c>
      <c r="BY937" s="4">
        <f t="shared" si="521"/>
        <v>0</v>
      </c>
      <c r="BZ937" s="37">
        <f t="shared" si="522"/>
        <v>86</v>
      </c>
      <c r="CA937" s="32" t="str">
        <f>VLOOKUP(J:J,'Agent wise'!A:C,3,0)</f>
        <v>Anusha</v>
      </c>
      <c r="CB937" s="32">
        <f t="shared" si="523"/>
        <v>45946</v>
      </c>
      <c r="CC937" t="str">
        <f t="shared" si="524"/>
        <v>Average</v>
      </c>
      <c r="CE937" s="32"/>
      <c r="CJ937">
        <f t="shared" si="525"/>
        <v>16</v>
      </c>
      <c r="CK937">
        <f t="shared" si="526"/>
        <v>10</v>
      </c>
      <c r="CL937">
        <f t="shared" si="527"/>
        <v>2025</v>
      </c>
    </row>
    <row r="938" spans="1:90" ht="15" customHeight="1" x14ac:dyDescent="0.35">
      <c r="A938" t="s">
        <v>2304</v>
      </c>
      <c r="B938" t="s">
        <v>100</v>
      </c>
      <c r="C938" t="s">
        <v>214</v>
      </c>
      <c r="D938" t="s">
        <v>101</v>
      </c>
      <c r="E938" s="32">
        <v>45946</v>
      </c>
      <c r="F938" t="s">
        <v>54</v>
      </c>
      <c r="G938" t="s">
        <v>1897</v>
      </c>
      <c r="H938">
        <v>8281389867</v>
      </c>
      <c r="I938">
        <v>134</v>
      </c>
      <c r="J938" t="s">
        <v>168</v>
      </c>
      <c r="K938" t="s">
        <v>57</v>
      </c>
      <c r="L938" t="s">
        <v>58</v>
      </c>
      <c r="M938" t="s">
        <v>59</v>
      </c>
      <c r="N938" t="s">
        <v>59</v>
      </c>
      <c r="O938" t="s">
        <v>59</v>
      </c>
      <c r="P938" t="s">
        <v>59</v>
      </c>
      <c r="Q938" t="s">
        <v>59</v>
      </c>
      <c r="R938" t="s">
        <v>60</v>
      </c>
      <c r="S938" t="s">
        <v>60</v>
      </c>
      <c r="T938" t="s">
        <v>60</v>
      </c>
      <c r="U938" t="s">
        <v>60</v>
      </c>
      <c r="V938" t="s">
        <v>59</v>
      </c>
      <c r="W938" t="s">
        <v>60</v>
      </c>
      <c r="X938" t="s">
        <v>59</v>
      </c>
      <c r="Y938" t="s">
        <v>59</v>
      </c>
      <c r="Z938" t="s">
        <v>59</v>
      </c>
      <c r="AA938" t="s">
        <v>60</v>
      </c>
      <c r="AB938" t="s">
        <v>59</v>
      </c>
      <c r="AC938" t="s">
        <v>61</v>
      </c>
      <c r="AD938" t="s">
        <v>61</v>
      </c>
      <c r="AE938" t="s">
        <v>59</v>
      </c>
      <c r="AF938" t="s">
        <v>61</v>
      </c>
      <c r="AG938" t="s">
        <v>60</v>
      </c>
      <c r="AH938" t="s">
        <v>61</v>
      </c>
      <c r="AI938" t="s">
        <v>61</v>
      </c>
      <c r="AJ938" t="s">
        <v>59</v>
      </c>
      <c r="AK938" t="s">
        <v>61</v>
      </c>
      <c r="AL938" t="s">
        <v>60</v>
      </c>
      <c r="AM938" t="s">
        <v>59</v>
      </c>
      <c r="AN938" t="s">
        <v>59</v>
      </c>
      <c r="AO938" t="s">
        <v>59</v>
      </c>
      <c r="AP938" t="s">
        <v>2293</v>
      </c>
      <c r="AQ938" s="1" t="s">
        <v>2305</v>
      </c>
      <c r="AR938" t="s">
        <v>64</v>
      </c>
      <c r="AS938" t="s">
        <v>198</v>
      </c>
      <c r="AT938" t="s">
        <v>207</v>
      </c>
      <c r="AU938" t="s">
        <v>299</v>
      </c>
      <c r="AW938" s="4">
        <f t="shared" si="493"/>
        <v>6</v>
      </c>
      <c r="AX938" s="4">
        <f t="shared" si="494"/>
        <v>4</v>
      </c>
      <c r="AY938" s="4">
        <f t="shared" si="495"/>
        <v>4</v>
      </c>
      <c r="AZ938" s="4">
        <f t="shared" si="496"/>
        <v>2</v>
      </c>
      <c r="BA938" s="4">
        <f t="shared" si="497"/>
        <v>4</v>
      </c>
      <c r="BB938" s="4" t="str">
        <f t="shared" si="498"/>
        <v>0</v>
      </c>
      <c r="BC938" s="4" t="str">
        <f t="shared" si="499"/>
        <v>0</v>
      </c>
      <c r="BD938" s="4" t="str">
        <f t="shared" si="500"/>
        <v>0</v>
      </c>
      <c r="BE938" s="4" t="str">
        <f t="shared" si="501"/>
        <v>0</v>
      </c>
      <c r="BF938" s="4">
        <f t="shared" si="502"/>
        <v>2</v>
      </c>
      <c r="BG938" s="4" t="str">
        <f t="shared" si="503"/>
        <v>0</v>
      </c>
      <c r="BH938" s="4">
        <f t="shared" si="504"/>
        <v>4</v>
      </c>
      <c r="BI938" s="4">
        <f t="shared" si="505"/>
        <v>4</v>
      </c>
      <c r="BJ938" s="4">
        <f t="shared" si="506"/>
        <v>2</v>
      </c>
      <c r="BK938" s="4" t="str">
        <f t="shared" si="507"/>
        <v>0</v>
      </c>
      <c r="BL938" s="4">
        <f t="shared" si="508"/>
        <v>2</v>
      </c>
      <c r="BM938" s="4">
        <f t="shared" si="509"/>
        <v>4</v>
      </c>
      <c r="BN938" s="4">
        <f t="shared" si="510"/>
        <v>4</v>
      </c>
      <c r="BO938" s="4">
        <f t="shared" si="511"/>
        <v>4</v>
      </c>
      <c r="BP938" s="4">
        <f t="shared" si="512"/>
        <v>4</v>
      </c>
      <c r="BQ938" s="4" t="str">
        <f t="shared" si="513"/>
        <v>0</v>
      </c>
      <c r="BR938" s="4">
        <f t="shared" si="514"/>
        <v>4</v>
      </c>
      <c r="BS938" s="4">
        <f t="shared" si="515"/>
        <v>4</v>
      </c>
      <c r="BT938" s="4">
        <f t="shared" si="516"/>
        <v>4</v>
      </c>
      <c r="BU938" s="4">
        <f t="shared" si="517"/>
        <v>4</v>
      </c>
      <c r="BV938" s="4" t="str">
        <f t="shared" si="518"/>
        <v>0</v>
      </c>
      <c r="BW938" s="4">
        <f t="shared" si="519"/>
        <v>6</v>
      </c>
      <c r="BX938" s="4">
        <f t="shared" si="520"/>
        <v>0</v>
      </c>
      <c r="BY938" s="4">
        <f t="shared" si="521"/>
        <v>0</v>
      </c>
      <c r="BZ938" s="37">
        <f t="shared" si="522"/>
        <v>72</v>
      </c>
      <c r="CA938" s="32" t="str">
        <f>VLOOKUP(J:J,'Agent wise'!A:C,3,0)</f>
        <v>Shakeer</v>
      </c>
      <c r="CB938" s="32">
        <f t="shared" si="523"/>
        <v>45946</v>
      </c>
      <c r="CC938" t="str">
        <f t="shared" si="524"/>
        <v>FC</v>
      </c>
      <c r="CE938" s="32"/>
      <c r="CJ938">
        <f t="shared" si="525"/>
        <v>16</v>
      </c>
      <c r="CK938">
        <f t="shared" si="526"/>
        <v>10</v>
      </c>
      <c r="CL938">
        <f t="shared" si="527"/>
        <v>2025</v>
      </c>
    </row>
    <row r="939" spans="1:90" ht="15" customHeight="1" x14ac:dyDescent="0.35">
      <c r="A939" t="s">
        <v>2306</v>
      </c>
      <c r="B939" t="s">
        <v>250</v>
      </c>
      <c r="C939" t="s">
        <v>214</v>
      </c>
      <c r="D939" t="s">
        <v>251</v>
      </c>
      <c r="E939" s="32">
        <v>45946</v>
      </c>
      <c r="F939" t="s">
        <v>54</v>
      </c>
      <c r="G939" t="s">
        <v>1897</v>
      </c>
      <c r="H939">
        <v>8547784474</v>
      </c>
      <c r="I939">
        <v>151</v>
      </c>
      <c r="J939" t="s">
        <v>56</v>
      </c>
      <c r="K939" t="s">
        <v>57</v>
      </c>
      <c r="L939" t="s">
        <v>58</v>
      </c>
      <c r="M939" t="s">
        <v>59</v>
      </c>
      <c r="N939" t="s">
        <v>59</v>
      </c>
      <c r="O939" t="s">
        <v>59</v>
      </c>
      <c r="P939" t="s">
        <v>59</v>
      </c>
      <c r="Q939" t="s">
        <v>59</v>
      </c>
      <c r="R939" t="s">
        <v>59</v>
      </c>
      <c r="S939" t="s">
        <v>59</v>
      </c>
      <c r="T939" t="s">
        <v>59</v>
      </c>
      <c r="U939" t="s">
        <v>60</v>
      </c>
      <c r="V939" t="s">
        <v>59</v>
      </c>
      <c r="W939" t="s">
        <v>59</v>
      </c>
      <c r="X939" t="s">
        <v>59</v>
      </c>
      <c r="Y939" t="s">
        <v>59</v>
      </c>
      <c r="Z939" t="s">
        <v>60</v>
      </c>
      <c r="AA939" t="s">
        <v>59</v>
      </c>
      <c r="AB939" t="s">
        <v>59</v>
      </c>
      <c r="AC939" t="s">
        <v>59</v>
      </c>
      <c r="AD939" t="s">
        <v>59</v>
      </c>
      <c r="AE939" t="s">
        <v>59</v>
      </c>
      <c r="AF939" t="s">
        <v>59</v>
      </c>
      <c r="AG939" t="s">
        <v>59</v>
      </c>
      <c r="AH939" t="s">
        <v>59</v>
      </c>
      <c r="AI939" t="s">
        <v>60</v>
      </c>
      <c r="AJ939" t="s">
        <v>59</v>
      </c>
      <c r="AK939" t="s">
        <v>59</v>
      </c>
      <c r="AL939" t="s">
        <v>59</v>
      </c>
      <c r="AM939" t="s">
        <v>59</v>
      </c>
      <c r="AN939" t="s">
        <v>59</v>
      </c>
      <c r="AO939" t="s">
        <v>59</v>
      </c>
      <c r="AP939" t="s">
        <v>2307</v>
      </c>
      <c r="AQ939" t="s">
        <v>2308</v>
      </c>
      <c r="AR939" t="s">
        <v>64</v>
      </c>
      <c r="AS939" t="s">
        <v>1217</v>
      </c>
      <c r="AT939" t="s">
        <v>380</v>
      </c>
      <c r="AU939" t="s">
        <v>219</v>
      </c>
      <c r="AW939" s="4">
        <f t="shared" si="493"/>
        <v>6</v>
      </c>
      <c r="AX939" s="4">
        <f t="shared" si="494"/>
        <v>4</v>
      </c>
      <c r="AY939" s="4">
        <f t="shared" si="495"/>
        <v>4</v>
      </c>
      <c r="AZ939" s="4">
        <f t="shared" si="496"/>
        <v>2</v>
      </c>
      <c r="BA939" s="4">
        <f t="shared" si="497"/>
        <v>4</v>
      </c>
      <c r="BB939" s="4">
        <f t="shared" si="498"/>
        <v>4</v>
      </c>
      <c r="BC939" s="4">
        <f t="shared" si="499"/>
        <v>4</v>
      </c>
      <c r="BD939" s="4">
        <f t="shared" si="500"/>
        <v>2</v>
      </c>
      <c r="BE939" s="4" t="str">
        <f t="shared" si="501"/>
        <v>0</v>
      </c>
      <c r="BF939" s="4">
        <f t="shared" si="502"/>
        <v>2</v>
      </c>
      <c r="BG939" s="4">
        <f t="shared" si="503"/>
        <v>4</v>
      </c>
      <c r="BH939" s="4">
        <f t="shared" si="504"/>
        <v>4</v>
      </c>
      <c r="BI939" s="4">
        <f t="shared" si="505"/>
        <v>4</v>
      </c>
      <c r="BJ939" s="4" t="str">
        <f t="shared" si="506"/>
        <v>0</v>
      </c>
      <c r="BK939" s="4">
        <f t="shared" si="507"/>
        <v>4</v>
      </c>
      <c r="BL939" s="4">
        <f t="shared" si="508"/>
        <v>2</v>
      </c>
      <c r="BM939" s="4">
        <f t="shared" si="509"/>
        <v>4</v>
      </c>
      <c r="BN939" s="4">
        <f t="shared" si="510"/>
        <v>4</v>
      </c>
      <c r="BO939" s="4">
        <f t="shared" si="511"/>
        <v>4</v>
      </c>
      <c r="BP939" s="4">
        <f t="shared" si="512"/>
        <v>4</v>
      </c>
      <c r="BQ939" s="4">
        <f t="shared" si="513"/>
        <v>6</v>
      </c>
      <c r="BR939" s="4">
        <f t="shared" si="514"/>
        <v>4</v>
      </c>
      <c r="BS939" s="4" t="str">
        <f t="shared" si="515"/>
        <v>0</v>
      </c>
      <c r="BT939" s="4">
        <f t="shared" si="516"/>
        <v>4</v>
      </c>
      <c r="BU939" s="4">
        <f t="shared" si="517"/>
        <v>4</v>
      </c>
      <c r="BV939" s="4">
        <f t="shared" si="518"/>
        <v>0</v>
      </c>
      <c r="BW939" s="4">
        <f t="shared" si="519"/>
        <v>6</v>
      </c>
      <c r="BX939" s="4">
        <f t="shared" si="520"/>
        <v>0</v>
      </c>
      <c r="BY939" s="4">
        <f t="shared" si="521"/>
        <v>0</v>
      </c>
      <c r="BZ939" s="37">
        <f t="shared" si="522"/>
        <v>90</v>
      </c>
      <c r="CA939" s="32" t="str">
        <f>VLOOKUP(J:J,'Agent wise'!A:C,3,0)</f>
        <v>Saran S</v>
      </c>
      <c r="CB939" s="32">
        <f t="shared" si="523"/>
        <v>45946</v>
      </c>
      <c r="CC939" t="str">
        <f t="shared" si="524"/>
        <v>Good</v>
      </c>
      <c r="CE939" s="32"/>
      <c r="CJ939">
        <f t="shared" si="525"/>
        <v>16</v>
      </c>
      <c r="CK939">
        <f t="shared" si="526"/>
        <v>10</v>
      </c>
      <c r="CL939">
        <f t="shared" si="527"/>
        <v>2025</v>
      </c>
    </row>
    <row r="940" spans="1:90" ht="15" customHeight="1" x14ac:dyDescent="0.35">
      <c r="A940" t="s">
        <v>2309</v>
      </c>
      <c r="B940" t="s">
        <v>100</v>
      </c>
      <c r="C940" t="s">
        <v>214</v>
      </c>
      <c r="D940" t="s">
        <v>101</v>
      </c>
      <c r="E940" s="32">
        <v>45946</v>
      </c>
      <c r="F940" t="s">
        <v>54</v>
      </c>
      <c r="G940" t="s">
        <v>1897</v>
      </c>
      <c r="H940">
        <v>9744744203</v>
      </c>
      <c r="I940">
        <v>139</v>
      </c>
      <c r="J940" t="s">
        <v>215</v>
      </c>
      <c r="K940" t="s">
        <v>57</v>
      </c>
      <c r="L940" t="s">
        <v>58</v>
      </c>
      <c r="M940" t="s">
        <v>59</v>
      </c>
      <c r="N940" t="s">
        <v>59</v>
      </c>
      <c r="O940" t="s">
        <v>59</v>
      </c>
      <c r="P940" t="s">
        <v>59</v>
      </c>
      <c r="Q940" t="s">
        <v>59</v>
      </c>
      <c r="R940" t="s">
        <v>59</v>
      </c>
      <c r="S940" t="s">
        <v>59</v>
      </c>
      <c r="T940" t="s">
        <v>59</v>
      </c>
      <c r="U940" t="s">
        <v>60</v>
      </c>
      <c r="V940" t="s">
        <v>59</v>
      </c>
      <c r="W940" t="s">
        <v>59</v>
      </c>
      <c r="X940" t="s">
        <v>59</v>
      </c>
      <c r="Y940" t="s">
        <v>59</v>
      </c>
      <c r="Z940" t="s">
        <v>59</v>
      </c>
      <c r="AA940" t="s">
        <v>60</v>
      </c>
      <c r="AB940" t="s">
        <v>61</v>
      </c>
      <c r="AC940" t="s">
        <v>59</v>
      </c>
      <c r="AD940" t="s">
        <v>59</v>
      </c>
      <c r="AE940" t="s">
        <v>59</v>
      </c>
      <c r="AF940" t="s">
        <v>59</v>
      </c>
      <c r="AG940" t="s">
        <v>59</v>
      </c>
      <c r="AH940" t="s">
        <v>61</v>
      </c>
      <c r="AI940" t="s">
        <v>61</v>
      </c>
      <c r="AJ940" t="s">
        <v>59</v>
      </c>
      <c r="AK940" t="s">
        <v>61</v>
      </c>
      <c r="AL940" t="s">
        <v>60</v>
      </c>
      <c r="AM940" t="s">
        <v>59</v>
      </c>
      <c r="AN940" t="s">
        <v>59</v>
      </c>
      <c r="AO940" t="s">
        <v>59</v>
      </c>
      <c r="AP940" t="s">
        <v>2293</v>
      </c>
      <c r="AQ940" s="1" t="s">
        <v>2310</v>
      </c>
      <c r="AR940" t="s">
        <v>64</v>
      </c>
      <c r="AS940" t="s">
        <v>171</v>
      </c>
      <c r="AT940" t="s">
        <v>172</v>
      </c>
      <c r="AU940" t="s">
        <v>299</v>
      </c>
      <c r="AW940" s="4">
        <f t="shared" si="493"/>
        <v>6</v>
      </c>
      <c r="AX940" s="4">
        <f t="shared" si="494"/>
        <v>4</v>
      </c>
      <c r="AY940" s="4">
        <f t="shared" si="495"/>
        <v>4</v>
      </c>
      <c r="AZ940" s="4">
        <f t="shared" si="496"/>
        <v>2</v>
      </c>
      <c r="BA940" s="4">
        <f t="shared" si="497"/>
        <v>4</v>
      </c>
      <c r="BB940" s="4">
        <f t="shared" si="498"/>
        <v>4</v>
      </c>
      <c r="BC940" s="4">
        <f t="shared" si="499"/>
        <v>4</v>
      </c>
      <c r="BD940" s="4">
        <f t="shared" si="500"/>
        <v>2</v>
      </c>
      <c r="BE940" s="4" t="str">
        <f t="shared" si="501"/>
        <v>0</v>
      </c>
      <c r="BF940" s="4">
        <f t="shared" si="502"/>
        <v>2</v>
      </c>
      <c r="BG940" s="4">
        <f t="shared" si="503"/>
        <v>4</v>
      </c>
      <c r="BH940" s="4">
        <f t="shared" si="504"/>
        <v>4</v>
      </c>
      <c r="BI940" s="4">
        <f t="shared" si="505"/>
        <v>4</v>
      </c>
      <c r="BJ940" s="4">
        <f t="shared" si="506"/>
        <v>2</v>
      </c>
      <c r="BK940" s="4" t="str">
        <f t="shared" si="507"/>
        <v>0</v>
      </c>
      <c r="BL940" s="4">
        <f t="shared" si="508"/>
        <v>2</v>
      </c>
      <c r="BM940" s="4">
        <f t="shared" si="509"/>
        <v>4</v>
      </c>
      <c r="BN940" s="4">
        <f t="shared" si="510"/>
        <v>4</v>
      </c>
      <c r="BO940" s="4">
        <f t="shared" si="511"/>
        <v>4</v>
      </c>
      <c r="BP940" s="4">
        <f t="shared" si="512"/>
        <v>4</v>
      </c>
      <c r="BQ940" s="4">
        <f t="shared" si="513"/>
        <v>6</v>
      </c>
      <c r="BR940" s="4">
        <f t="shared" si="514"/>
        <v>4</v>
      </c>
      <c r="BS940" s="4">
        <f t="shared" si="515"/>
        <v>4</v>
      </c>
      <c r="BT940" s="4">
        <f t="shared" si="516"/>
        <v>4</v>
      </c>
      <c r="BU940" s="4">
        <f t="shared" si="517"/>
        <v>4</v>
      </c>
      <c r="BV940" s="4" t="str">
        <f t="shared" si="518"/>
        <v>0</v>
      </c>
      <c r="BW940" s="4">
        <f t="shared" si="519"/>
        <v>6</v>
      </c>
      <c r="BX940" s="4">
        <f t="shared" si="520"/>
        <v>0</v>
      </c>
      <c r="BY940" s="4">
        <f t="shared" si="521"/>
        <v>0</v>
      </c>
      <c r="BZ940" s="37">
        <f t="shared" si="522"/>
        <v>92</v>
      </c>
      <c r="CA940" s="32" t="str">
        <f>VLOOKUP(J:J,'Agent wise'!A:C,3,0)</f>
        <v>Adharsh</v>
      </c>
      <c r="CB940" s="32">
        <f t="shared" si="523"/>
        <v>45946</v>
      </c>
      <c r="CC940" t="str">
        <f t="shared" si="524"/>
        <v>Good</v>
      </c>
      <c r="CE940" s="32"/>
      <c r="CJ940">
        <f t="shared" si="525"/>
        <v>16</v>
      </c>
      <c r="CK940">
        <f t="shared" si="526"/>
        <v>10</v>
      </c>
      <c r="CL940">
        <f t="shared" si="527"/>
        <v>2025</v>
      </c>
    </row>
    <row r="941" spans="1:90" ht="15" customHeight="1" x14ac:dyDescent="0.35">
      <c r="A941" t="s">
        <v>2311</v>
      </c>
      <c r="B941" t="s">
        <v>100</v>
      </c>
      <c r="C941" t="s">
        <v>214</v>
      </c>
      <c r="D941" t="s">
        <v>101</v>
      </c>
      <c r="E941" s="32">
        <v>45946</v>
      </c>
      <c r="F941" t="s">
        <v>54</v>
      </c>
      <c r="G941" t="s">
        <v>1897</v>
      </c>
      <c r="H941">
        <v>9442058127</v>
      </c>
      <c r="I941">
        <v>130</v>
      </c>
      <c r="J941" t="s">
        <v>231</v>
      </c>
      <c r="K941" t="s">
        <v>71</v>
      </c>
      <c r="L941" t="s">
        <v>72</v>
      </c>
      <c r="M941" t="s">
        <v>59</v>
      </c>
      <c r="N941" t="s">
        <v>59</v>
      </c>
      <c r="O941" t="s">
        <v>59</v>
      </c>
      <c r="P941" t="s">
        <v>59</v>
      </c>
      <c r="Q941" t="s">
        <v>59</v>
      </c>
      <c r="R941" t="s">
        <v>60</v>
      </c>
      <c r="S941" t="s">
        <v>59</v>
      </c>
      <c r="T941" t="s">
        <v>59</v>
      </c>
      <c r="U941" t="s">
        <v>60</v>
      </c>
      <c r="V941" t="s">
        <v>59</v>
      </c>
      <c r="W941" t="s">
        <v>59</v>
      </c>
      <c r="X941" t="s">
        <v>59</v>
      </c>
      <c r="Y941" t="s">
        <v>59</v>
      </c>
      <c r="Z941" t="s">
        <v>59</v>
      </c>
      <c r="AA941" t="s">
        <v>60</v>
      </c>
      <c r="AB941" t="s">
        <v>60</v>
      </c>
      <c r="AC941" t="s">
        <v>61</v>
      </c>
      <c r="AD941" t="s">
        <v>59</v>
      </c>
      <c r="AE941" t="s">
        <v>59</v>
      </c>
      <c r="AF941" t="s">
        <v>61</v>
      </c>
      <c r="AG941" t="s">
        <v>60</v>
      </c>
      <c r="AH941" t="s">
        <v>61</v>
      </c>
      <c r="AI941" t="s">
        <v>61</v>
      </c>
      <c r="AJ941" t="s">
        <v>61</v>
      </c>
      <c r="AK941" t="s">
        <v>61</v>
      </c>
      <c r="AL941" t="s">
        <v>60</v>
      </c>
      <c r="AM941" t="s">
        <v>59</v>
      </c>
      <c r="AN941" t="s">
        <v>59</v>
      </c>
      <c r="AO941" t="s">
        <v>60</v>
      </c>
      <c r="AP941" t="s">
        <v>2293</v>
      </c>
      <c r="AQ941" s="1" t="s">
        <v>2312</v>
      </c>
      <c r="AR941" t="s">
        <v>64</v>
      </c>
      <c r="AS941" t="s">
        <v>198</v>
      </c>
      <c r="AT941" t="s">
        <v>199</v>
      </c>
      <c r="AU941" t="s">
        <v>299</v>
      </c>
      <c r="AW941" s="4">
        <f t="shared" si="493"/>
        <v>6</v>
      </c>
      <c r="AX941" s="4">
        <f t="shared" si="494"/>
        <v>4</v>
      </c>
      <c r="AY941" s="4">
        <f t="shared" si="495"/>
        <v>4</v>
      </c>
      <c r="AZ941" s="4">
        <f t="shared" si="496"/>
        <v>2</v>
      </c>
      <c r="BA941" s="4">
        <f t="shared" si="497"/>
        <v>4</v>
      </c>
      <c r="BB941" s="4" t="str">
        <f t="shared" si="498"/>
        <v>0</v>
      </c>
      <c r="BC941" s="4">
        <f t="shared" si="499"/>
        <v>4</v>
      </c>
      <c r="BD941" s="4">
        <f t="shared" si="500"/>
        <v>2</v>
      </c>
      <c r="BE941" s="4" t="str">
        <f t="shared" si="501"/>
        <v>0</v>
      </c>
      <c r="BF941" s="4">
        <f t="shared" si="502"/>
        <v>2</v>
      </c>
      <c r="BG941" s="4">
        <f t="shared" si="503"/>
        <v>4</v>
      </c>
      <c r="BH941" s="4">
        <f t="shared" si="504"/>
        <v>4</v>
      </c>
      <c r="BI941" s="4">
        <f t="shared" si="505"/>
        <v>4</v>
      </c>
      <c r="BJ941" s="4">
        <f t="shared" si="506"/>
        <v>2</v>
      </c>
      <c r="BK941" s="4" t="str">
        <f t="shared" si="507"/>
        <v>0</v>
      </c>
      <c r="BL941" s="4" t="str">
        <f t="shared" si="508"/>
        <v>0</v>
      </c>
      <c r="BM941" s="4">
        <f t="shared" si="509"/>
        <v>4</v>
      </c>
      <c r="BN941" s="4">
        <f t="shared" si="510"/>
        <v>4</v>
      </c>
      <c r="BO941" s="4">
        <f t="shared" si="511"/>
        <v>4</v>
      </c>
      <c r="BP941" s="4">
        <f t="shared" si="512"/>
        <v>4</v>
      </c>
      <c r="BQ941" s="4" t="str">
        <f t="shared" si="513"/>
        <v>0</v>
      </c>
      <c r="BR941" s="4">
        <f t="shared" si="514"/>
        <v>4</v>
      </c>
      <c r="BS941" s="4">
        <f t="shared" si="515"/>
        <v>4</v>
      </c>
      <c r="BT941" s="4">
        <f t="shared" si="516"/>
        <v>4</v>
      </c>
      <c r="BU941" s="4">
        <f t="shared" si="517"/>
        <v>4</v>
      </c>
      <c r="BV941" s="4" t="str">
        <f t="shared" si="518"/>
        <v>0</v>
      </c>
      <c r="BW941" s="4">
        <f t="shared" si="519"/>
        <v>6</v>
      </c>
      <c r="BX941" s="4">
        <f t="shared" si="520"/>
        <v>0</v>
      </c>
      <c r="BY941" s="4" t="str">
        <f t="shared" si="521"/>
        <v>0</v>
      </c>
      <c r="BZ941" s="37">
        <f t="shared" si="522"/>
        <v>80</v>
      </c>
      <c r="CA941" s="32" t="str">
        <f>VLOOKUP(J:J,'Agent wise'!A:C,3,0)</f>
        <v>Shakeer</v>
      </c>
      <c r="CB941" s="32">
        <f t="shared" si="523"/>
        <v>45946</v>
      </c>
      <c r="CC941" t="str">
        <f t="shared" si="524"/>
        <v>FC</v>
      </c>
      <c r="CE941" s="32"/>
      <c r="CJ941">
        <f t="shared" si="525"/>
        <v>16</v>
      </c>
      <c r="CK941">
        <f t="shared" si="526"/>
        <v>10</v>
      </c>
      <c r="CL941">
        <f t="shared" si="527"/>
        <v>2025</v>
      </c>
    </row>
    <row r="942" spans="1:90" ht="15" customHeight="1" x14ac:dyDescent="0.35">
      <c r="A942" t="s">
        <v>2313</v>
      </c>
      <c r="B942" t="s">
        <v>100</v>
      </c>
      <c r="C942" t="s">
        <v>214</v>
      </c>
      <c r="D942" t="s">
        <v>101</v>
      </c>
      <c r="E942" s="32">
        <v>45946</v>
      </c>
      <c r="F942" t="s">
        <v>54</v>
      </c>
      <c r="G942" t="s">
        <v>1897</v>
      </c>
      <c r="H942">
        <v>8078050931</v>
      </c>
      <c r="I942">
        <v>134</v>
      </c>
      <c r="J942" t="s">
        <v>238</v>
      </c>
      <c r="K942" t="s">
        <v>57</v>
      </c>
      <c r="L942" t="s">
        <v>58</v>
      </c>
      <c r="M942" t="s">
        <v>59</v>
      </c>
      <c r="N942" t="s">
        <v>59</v>
      </c>
      <c r="O942" t="s">
        <v>59</v>
      </c>
      <c r="P942" t="s">
        <v>59</v>
      </c>
      <c r="Q942" t="s">
        <v>59</v>
      </c>
      <c r="R942" t="s">
        <v>60</v>
      </c>
      <c r="S942" t="s">
        <v>59</v>
      </c>
      <c r="T942" t="s">
        <v>59</v>
      </c>
      <c r="U942" t="s">
        <v>60</v>
      </c>
      <c r="V942" t="s">
        <v>59</v>
      </c>
      <c r="W942" t="s">
        <v>59</v>
      </c>
      <c r="X942" t="s">
        <v>61</v>
      </c>
      <c r="Y942" t="s">
        <v>59</v>
      </c>
      <c r="Z942" t="s">
        <v>59</v>
      </c>
      <c r="AA942" t="s">
        <v>60</v>
      </c>
      <c r="AB942" t="s">
        <v>59</v>
      </c>
      <c r="AC942" t="s">
        <v>60</v>
      </c>
      <c r="AD942" t="s">
        <v>59</v>
      </c>
      <c r="AE942" t="s">
        <v>59</v>
      </c>
      <c r="AF942" t="s">
        <v>59</v>
      </c>
      <c r="AG942" t="s">
        <v>60</v>
      </c>
      <c r="AH942" t="s">
        <v>61</v>
      </c>
      <c r="AI942" t="s">
        <v>61</v>
      </c>
      <c r="AJ942" t="s">
        <v>59</v>
      </c>
      <c r="AK942" t="s">
        <v>61</v>
      </c>
      <c r="AL942" t="s">
        <v>60</v>
      </c>
      <c r="AM942" t="s">
        <v>59</v>
      </c>
      <c r="AN942" t="s">
        <v>59</v>
      </c>
      <c r="AO942" t="s">
        <v>60</v>
      </c>
      <c r="AP942" t="s">
        <v>2293</v>
      </c>
      <c r="AQ942" s="1" t="s">
        <v>2314</v>
      </c>
      <c r="AR942" t="s">
        <v>64</v>
      </c>
      <c r="AS942" t="s">
        <v>175</v>
      </c>
      <c r="AT942" t="s">
        <v>167</v>
      </c>
      <c r="AU942" t="s">
        <v>299</v>
      </c>
      <c r="AW942" s="4">
        <f t="shared" si="493"/>
        <v>6</v>
      </c>
      <c r="AX942" s="4">
        <f t="shared" si="494"/>
        <v>4</v>
      </c>
      <c r="AY942" s="4">
        <f t="shared" si="495"/>
        <v>4</v>
      </c>
      <c r="AZ942" s="4">
        <f t="shared" si="496"/>
        <v>2</v>
      </c>
      <c r="BA942" s="4">
        <f t="shared" si="497"/>
        <v>4</v>
      </c>
      <c r="BB942" s="4" t="str">
        <f t="shared" si="498"/>
        <v>0</v>
      </c>
      <c r="BC942" s="4">
        <f t="shared" si="499"/>
        <v>4</v>
      </c>
      <c r="BD942" s="4">
        <f t="shared" si="500"/>
        <v>2</v>
      </c>
      <c r="BE942" s="4" t="str">
        <f t="shared" si="501"/>
        <v>0</v>
      </c>
      <c r="BF942" s="4">
        <f t="shared" si="502"/>
        <v>2</v>
      </c>
      <c r="BG942" s="4">
        <f t="shared" si="503"/>
        <v>4</v>
      </c>
      <c r="BH942" s="4">
        <f t="shared" si="504"/>
        <v>4</v>
      </c>
      <c r="BI942" s="4">
        <f t="shared" si="505"/>
        <v>4</v>
      </c>
      <c r="BJ942" s="4">
        <f t="shared" si="506"/>
        <v>2</v>
      </c>
      <c r="BK942" s="4" t="str">
        <f t="shared" si="507"/>
        <v>0</v>
      </c>
      <c r="BL942" s="4">
        <f t="shared" si="508"/>
        <v>2</v>
      </c>
      <c r="BM942" s="4" t="str">
        <f t="shared" si="509"/>
        <v>0</v>
      </c>
      <c r="BN942" s="4">
        <f t="shared" si="510"/>
        <v>4</v>
      </c>
      <c r="BO942" s="4">
        <f t="shared" si="511"/>
        <v>4</v>
      </c>
      <c r="BP942" s="4">
        <f t="shared" si="512"/>
        <v>4</v>
      </c>
      <c r="BQ942" s="4" t="str">
        <f t="shared" si="513"/>
        <v>0</v>
      </c>
      <c r="BR942" s="4">
        <f t="shared" si="514"/>
        <v>4</v>
      </c>
      <c r="BS942" s="4">
        <f t="shared" si="515"/>
        <v>4</v>
      </c>
      <c r="BT942" s="4">
        <f t="shared" si="516"/>
        <v>4</v>
      </c>
      <c r="BU942" s="4">
        <f t="shared" si="517"/>
        <v>4</v>
      </c>
      <c r="BV942" s="4" t="str">
        <f t="shared" si="518"/>
        <v>0</v>
      </c>
      <c r="BW942" s="4">
        <f t="shared" si="519"/>
        <v>6</v>
      </c>
      <c r="BX942" s="4">
        <f t="shared" si="520"/>
        <v>0</v>
      </c>
      <c r="BY942" s="4" t="str">
        <f t="shared" si="521"/>
        <v>0</v>
      </c>
      <c r="BZ942" s="37">
        <f t="shared" si="522"/>
        <v>78</v>
      </c>
      <c r="CA942" s="32" t="str">
        <f>VLOOKUP(J:J,'Agent wise'!A:C,3,0)</f>
        <v xml:space="preserve">Shiny </v>
      </c>
      <c r="CB942" s="32">
        <f t="shared" si="523"/>
        <v>45946</v>
      </c>
      <c r="CC942" t="str">
        <f t="shared" si="524"/>
        <v>FC</v>
      </c>
      <c r="CE942" s="32"/>
      <c r="CJ942">
        <f t="shared" si="525"/>
        <v>16</v>
      </c>
      <c r="CK942">
        <f t="shared" si="526"/>
        <v>10</v>
      </c>
      <c r="CL942">
        <f t="shared" si="527"/>
        <v>2025</v>
      </c>
    </row>
    <row r="943" spans="1:90" ht="15" customHeight="1" x14ac:dyDescent="0.35">
      <c r="A943" t="s">
        <v>2315</v>
      </c>
      <c r="B943" t="s">
        <v>100</v>
      </c>
      <c r="C943" t="s">
        <v>214</v>
      </c>
      <c r="D943" t="s">
        <v>101</v>
      </c>
      <c r="E943" s="32">
        <v>45946</v>
      </c>
      <c r="F943" t="s">
        <v>54</v>
      </c>
      <c r="G943" t="s">
        <v>1897</v>
      </c>
      <c r="H943">
        <v>9446033911</v>
      </c>
      <c r="I943">
        <v>137</v>
      </c>
      <c r="J943" t="s">
        <v>873</v>
      </c>
      <c r="K943" t="s">
        <v>57</v>
      </c>
      <c r="L943" t="s">
        <v>58</v>
      </c>
      <c r="M943" t="s">
        <v>59</v>
      </c>
      <c r="N943" t="s">
        <v>59</v>
      </c>
      <c r="O943" t="s">
        <v>59</v>
      </c>
      <c r="P943" t="s">
        <v>59</v>
      </c>
      <c r="Q943" t="s">
        <v>59</v>
      </c>
      <c r="R943" t="s">
        <v>59</v>
      </c>
      <c r="S943" t="s">
        <v>59</v>
      </c>
      <c r="T943" t="s">
        <v>59</v>
      </c>
      <c r="U943" t="s">
        <v>60</v>
      </c>
      <c r="V943" t="s">
        <v>59</v>
      </c>
      <c r="W943" t="s">
        <v>59</v>
      </c>
      <c r="X943" t="s">
        <v>59</v>
      </c>
      <c r="Y943" t="s">
        <v>59</v>
      </c>
      <c r="Z943" t="s">
        <v>59</v>
      </c>
      <c r="AA943" t="s">
        <v>59</v>
      </c>
      <c r="AB943" t="s">
        <v>59</v>
      </c>
      <c r="AC943" t="s">
        <v>60</v>
      </c>
      <c r="AD943" t="s">
        <v>59</v>
      </c>
      <c r="AE943" t="s">
        <v>59</v>
      </c>
      <c r="AF943" t="s">
        <v>61</v>
      </c>
      <c r="AG943" t="s">
        <v>59</v>
      </c>
      <c r="AH943" t="s">
        <v>61</v>
      </c>
      <c r="AI943" t="s">
        <v>61</v>
      </c>
      <c r="AJ943" t="s">
        <v>59</v>
      </c>
      <c r="AK943" t="s">
        <v>61</v>
      </c>
      <c r="AL943" t="s">
        <v>60</v>
      </c>
      <c r="AM943" t="s">
        <v>59</v>
      </c>
      <c r="AN943" t="s">
        <v>59</v>
      </c>
      <c r="AO943" t="s">
        <v>59</v>
      </c>
      <c r="AP943" t="s">
        <v>2087</v>
      </c>
      <c r="AQ943" s="1" t="s">
        <v>2316</v>
      </c>
      <c r="AR943" t="s">
        <v>64</v>
      </c>
      <c r="AS943" t="s">
        <v>152</v>
      </c>
      <c r="AT943" t="s">
        <v>267</v>
      </c>
      <c r="AU943" t="s">
        <v>387</v>
      </c>
      <c r="AW943" s="4">
        <f t="shared" si="493"/>
        <v>6</v>
      </c>
      <c r="AX943" s="4">
        <f t="shared" si="494"/>
        <v>4</v>
      </c>
      <c r="AY943" s="4">
        <f t="shared" si="495"/>
        <v>4</v>
      </c>
      <c r="AZ943" s="4">
        <f t="shared" si="496"/>
        <v>2</v>
      </c>
      <c r="BA943" s="4">
        <f t="shared" si="497"/>
        <v>4</v>
      </c>
      <c r="BB943" s="4">
        <f t="shared" si="498"/>
        <v>4</v>
      </c>
      <c r="BC943" s="4">
        <f t="shared" si="499"/>
        <v>4</v>
      </c>
      <c r="BD943" s="4">
        <f t="shared" si="500"/>
        <v>2</v>
      </c>
      <c r="BE943" s="4" t="str">
        <f t="shared" si="501"/>
        <v>0</v>
      </c>
      <c r="BF943" s="4">
        <f t="shared" si="502"/>
        <v>2</v>
      </c>
      <c r="BG943" s="4">
        <f t="shared" si="503"/>
        <v>4</v>
      </c>
      <c r="BH943" s="4">
        <f t="shared" si="504"/>
        <v>4</v>
      </c>
      <c r="BI943" s="4">
        <f t="shared" si="505"/>
        <v>4</v>
      </c>
      <c r="BJ943" s="4">
        <f t="shared" si="506"/>
        <v>2</v>
      </c>
      <c r="BK943" s="4">
        <f t="shared" si="507"/>
        <v>4</v>
      </c>
      <c r="BL943" s="4">
        <f t="shared" si="508"/>
        <v>2</v>
      </c>
      <c r="BM943" s="4" t="str">
        <f t="shared" si="509"/>
        <v>0</v>
      </c>
      <c r="BN943" s="4">
        <f t="shared" si="510"/>
        <v>4</v>
      </c>
      <c r="BO943" s="4">
        <f t="shared" si="511"/>
        <v>4</v>
      </c>
      <c r="BP943" s="4">
        <f t="shared" si="512"/>
        <v>4</v>
      </c>
      <c r="BQ943" s="4">
        <f t="shared" si="513"/>
        <v>6</v>
      </c>
      <c r="BR943" s="4">
        <f t="shared" si="514"/>
        <v>4</v>
      </c>
      <c r="BS943" s="4">
        <f t="shared" si="515"/>
        <v>4</v>
      </c>
      <c r="BT943" s="4">
        <f t="shared" si="516"/>
        <v>4</v>
      </c>
      <c r="BU943" s="4">
        <f t="shared" si="517"/>
        <v>4</v>
      </c>
      <c r="BV943" s="4" t="str">
        <f t="shared" si="518"/>
        <v>0</v>
      </c>
      <c r="BW943" s="4">
        <f t="shared" si="519"/>
        <v>6</v>
      </c>
      <c r="BX943" s="4">
        <f t="shared" si="520"/>
        <v>0</v>
      </c>
      <c r="BY943" s="4">
        <f t="shared" si="521"/>
        <v>0</v>
      </c>
      <c r="BZ943" s="37">
        <f t="shared" si="522"/>
        <v>92</v>
      </c>
      <c r="CA943" s="32" t="str">
        <f>VLOOKUP(J:J,'Agent wise'!A:C,3,0)</f>
        <v xml:space="preserve">Shiny </v>
      </c>
      <c r="CB943" s="32">
        <f t="shared" si="523"/>
        <v>45946</v>
      </c>
      <c r="CC943" t="str">
        <f t="shared" si="524"/>
        <v>Good</v>
      </c>
      <c r="CE943" s="32"/>
      <c r="CJ943">
        <f t="shared" si="525"/>
        <v>16</v>
      </c>
      <c r="CK943">
        <f t="shared" si="526"/>
        <v>10</v>
      </c>
      <c r="CL943">
        <f t="shared" si="527"/>
        <v>2025</v>
      </c>
    </row>
    <row r="944" spans="1:90" ht="15" customHeight="1" x14ac:dyDescent="0.35">
      <c r="A944" t="s">
        <v>2317</v>
      </c>
      <c r="B944" t="s">
        <v>698</v>
      </c>
      <c r="C944" t="s">
        <v>214</v>
      </c>
      <c r="D944" t="s">
        <v>221</v>
      </c>
      <c r="E944" s="32">
        <v>45946</v>
      </c>
      <c r="F944" t="s">
        <v>222</v>
      </c>
      <c r="G944" t="s">
        <v>2152</v>
      </c>
      <c r="H944">
        <v>9626099399</v>
      </c>
      <c r="I944">
        <v>186</v>
      </c>
      <c r="J944" t="s">
        <v>568</v>
      </c>
      <c r="K944" t="s">
        <v>71</v>
      </c>
      <c r="L944" t="s">
        <v>72</v>
      </c>
      <c r="M944" t="s">
        <v>59</v>
      </c>
      <c r="N944" t="s">
        <v>59</v>
      </c>
      <c r="O944" t="s">
        <v>60</v>
      </c>
      <c r="P944" t="s">
        <v>59</v>
      </c>
      <c r="Q944" t="s">
        <v>59</v>
      </c>
      <c r="R944" t="s">
        <v>59</v>
      </c>
      <c r="S944" t="s">
        <v>59</v>
      </c>
      <c r="T944" t="s">
        <v>59</v>
      </c>
      <c r="U944" t="s">
        <v>59</v>
      </c>
      <c r="V944" t="s">
        <v>59</v>
      </c>
      <c r="W944" t="s">
        <v>59</v>
      </c>
      <c r="X944" t="s">
        <v>59</v>
      </c>
      <c r="Y944" t="s">
        <v>59</v>
      </c>
      <c r="Z944" t="s">
        <v>59</v>
      </c>
      <c r="AA944" t="s">
        <v>59</v>
      </c>
      <c r="AB944" t="s">
        <v>59</v>
      </c>
      <c r="AC944" t="s">
        <v>59</v>
      </c>
      <c r="AD944" t="s">
        <v>59</v>
      </c>
      <c r="AE944" t="s">
        <v>59</v>
      </c>
      <c r="AF944" t="s">
        <v>59</v>
      </c>
      <c r="AG944" t="s">
        <v>59</v>
      </c>
      <c r="AH944" t="s">
        <v>61</v>
      </c>
      <c r="AI944" t="s">
        <v>61</v>
      </c>
      <c r="AJ944" t="s">
        <v>59</v>
      </c>
      <c r="AK944" t="s">
        <v>59</v>
      </c>
      <c r="AL944" t="s">
        <v>60</v>
      </c>
      <c r="AM944" t="s">
        <v>59</v>
      </c>
      <c r="AN944" t="s">
        <v>59</v>
      </c>
      <c r="AO944" t="s">
        <v>59</v>
      </c>
      <c r="AP944" t="s">
        <v>2318</v>
      </c>
      <c r="AQ944" t="s">
        <v>2319</v>
      </c>
      <c r="AR944" t="s">
        <v>226</v>
      </c>
      <c r="AS944" t="s">
        <v>1145</v>
      </c>
      <c r="AT944" t="s">
        <v>1145</v>
      </c>
      <c r="AU944" t="s">
        <v>219</v>
      </c>
      <c r="AW944" s="4">
        <f t="shared" si="493"/>
        <v>6</v>
      </c>
      <c r="AX944" s="4">
        <f t="shared" si="494"/>
        <v>4</v>
      </c>
      <c r="AY944" s="4" t="str">
        <f t="shared" si="495"/>
        <v>0</v>
      </c>
      <c r="AZ944" s="4">
        <f t="shared" si="496"/>
        <v>2</v>
      </c>
      <c r="BA944" s="4">
        <f t="shared" si="497"/>
        <v>4</v>
      </c>
      <c r="BB944" s="4">
        <f t="shared" si="498"/>
        <v>4</v>
      </c>
      <c r="BC944" s="4">
        <f t="shared" si="499"/>
        <v>4</v>
      </c>
      <c r="BD944" s="4">
        <f t="shared" si="500"/>
        <v>2</v>
      </c>
      <c r="BE944" s="4">
        <f t="shared" si="501"/>
        <v>4</v>
      </c>
      <c r="BF944" s="4">
        <f t="shared" si="502"/>
        <v>2</v>
      </c>
      <c r="BG944" s="4">
        <f t="shared" si="503"/>
        <v>4</v>
      </c>
      <c r="BH944" s="4">
        <f t="shared" si="504"/>
        <v>4</v>
      </c>
      <c r="BI944" s="4">
        <f t="shared" si="505"/>
        <v>4</v>
      </c>
      <c r="BJ944" s="4">
        <f t="shared" si="506"/>
        <v>2</v>
      </c>
      <c r="BK944" s="4">
        <f t="shared" si="507"/>
        <v>4</v>
      </c>
      <c r="BL944" s="4">
        <f t="shared" si="508"/>
        <v>2</v>
      </c>
      <c r="BM944" s="4">
        <f t="shared" si="509"/>
        <v>4</v>
      </c>
      <c r="BN944" s="4">
        <f t="shared" si="510"/>
        <v>4</v>
      </c>
      <c r="BO944" s="4">
        <f t="shared" si="511"/>
        <v>4</v>
      </c>
      <c r="BP944" s="4">
        <f t="shared" si="512"/>
        <v>4</v>
      </c>
      <c r="BQ944" s="4">
        <f t="shared" si="513"/>
        <v>6</v>
      </c>
      <c r="BR944" s="4">
        <f t="shared" si="514"/>
        <v>4</v>
      </c>
      <c r="BS944" s="4">
        <f t="shared" si="515"/>
        <v>4</v>
      </c>
      <c r="BT944" s="4">
        <f t="shared" si="516"/>
        <v>4</v>
      </c>
      <c r="BU944" s="4">
        <f t="shared" si="517"/>
        <v>4</v>
      </c>
      <c r="BV944" s="4" t="str">
        <f t="shared" si="518"/>
        <v>0</v>
      </c>
      <c r="BW944" s="4">
        <f t="shared" si="519"/>
        <v>6</v>
      </c>
      <c r="BX944" s="4">
        <f t="shared" si="520"/>
        <v>0</v>
      </c>
      <c r="BY944" s="4">
        <f t="shared" si="521"/>
        <v>0</v>
      </c>
      <c r="BZ944" s="37">
        <f t="shared" si="522"/>
        <v>96</v>
      </c>
      <c r="CA944" s="32" t="str">
        <f>VLOOKUP(J:J,'Agent wise'!A:C,3,0)</f>
        <v>Amal</v>
      </c>
      <c r="CB944" s="32">
        <f t="shared" si="523"/>
        <v>45946</v>
      </c>
      <c r="CC944" t="str">
        <f t="shared" si="524"/>
        <v>Excellent</v>
      </c>
      <c r="CE944" s="32"/>
      <c r="CJ944">
        <f t="shared" si="525"/>
        <v>16</v>
      </c>
      <c r="CK944">
        <f t="shared" si="526"/>
        <v>10</v>
      </c>
      <c r="CL944">
        <f t="shared" si="527"/>
        <v>2025</v>
      </c>
    </row>
    <row r="945" spans="1:90" ht="15" customHeight="1" x14ac:dyDescent="0.35">
      <c r="A945" t="s">
        <v>2320</v>
      </c>
      <c r="B945" t="s">
        <v>698</v>
      </c>
      <c r="C945" t="s">
        <v>214</v>
      </c>
      <c r="D945" t="s">
        <v>221</v>
      </c>
      <c r="E945" s="32">
        <v>45946</v>
      </c>
      <c r="F945" t="s">
        <v>222</v>
      </c>
      <c r="G945" t="s">
        <v>2152</v>
      </c>
      <c r="H945">
        <v>6282690867</v>
      </c>
      <c r="I945">
        <v>179</v>
      </c>
      <c r="J945" t="s">
        <v>391</v>
      </c>
      <c r="K945" t="s">
        <v>57</v>
      </c>
      <c r="L945" t="s">
        <v>58</v>
      </c>
      <c r="M945" t="s">
        <v>59</v>
      </c>
      <c r="N945" t="s">
        <v>59</v>
      </c>
      <c r="O945" t="s">
        <v>60</v>
      </c>
      <c r="P945" t="s">
        <v>59</v>
      </c>
      <c r="Q945" t="s">
        <v>59</v>
      </c>
      <c r="R945" t="s">
        <v>59</v>
      </c>
      <c r="S945" t="s">
        <v>59</v>
      </c>
      <c r="T945" t="s">
        <v>59</v>
      </c>
      <c r="U945" t="s">
        <v>59</v>
      </c>
      <c r="V945" t="s">
        <v>59</v>
      </c>
      <c r="W945" t="s">
        <v>59</v>
      </c>
      <c r="X945" t="s">
        <v>59</v>
      </c>
      <c r="Y945" t="s">
        <v>59</v>
      </c>
      <c r="Z945" t="s">
        <v>59</v>
      </c>
      <c r="AA945" t="s">
        <v>60</v>
      </c>
      <c r="AB945" t="s">
        <v>59</v>
      </c>
      <c r="AC945" t="s">
        <v>59</v>
      </c>
      <c r="AD945" t="s">
        <v>59</v>
      </c>
      <c r="AE945" t="s">
        <v>59</v>
      </c>
      <c r="AF945" t="s">
        <v>59</v>
      </c>
      <c r="AG945" t="s">
        <v>59</v>
      </c>
      <c r="AH945" t="s">
        <v>61</v>
      </c>
      <c r="AI945" t="s">
        <v>61</v>
      </c>
      <c r="AJ945" t="s">
        <v>59</v>
      </c>
      <c r="AK945" t="s">
        <v>59</v>
      </c>
      <c r="AL945" t="s">
        <v>60</v>
      </c>
      <c r="AM945" t="s">
        <v>59</v>
      </c>
      <c r="AN945" t="s">
        <v>59</v>
      </c>
      <c r="AO945" t="s">
        <v>59</v>
      </c>
      <c r="AP945" t="s">
        <v>2321</v>
      </c>
      <c r="AQ945" t="s">
        <v>2322</v>
      </c>
      <c r="AR945" t="s">
        <v>226</v>
      </c>
      <c r="AS945" t="s">
        <v>394</v>
      </c>
      <c r="AT945" t="s">
        <v>394</v>
      </c>
      <c r="AU945" t="s">
        <v>219</v>
      </c>
      <c r="AW945" s="4">
        <f t="shared" si="493"/>
        <v>6</v>
      </c>
      <c r="AX945" s="4">
        <f t="shared" si="494"/>
        <v>4</v>
      </c>
      <c r="AY945" s="4" t="str">
        <f t="shared" si="495"/>
        <v>0</v>
      </c>
      <c r="AZ945" s="4">
        <f t="shared" si="496"/>
        <v>2</v>
      </c>
      <c r="BA945" s="4">
        <f t="shared" si="497"/>
        <v>4</v>
      </c>
      <c r="BB945" s="4">
        <f t="shared" si="498"/>
        <v>4</v>
      </c>
      <c r="BC945" s="4">
        <f t="shared" si="499"/>
        <v>4</v>
      </c>
      <c r="BD945" s="4">
        <f t="shared" si="500"/>
        <v>2</v>
      </c>
      <c r="BE945" s="4">
        <f t="shared" si="501"/>
        <v>4</v>
      </c>
      <c r="BF945" s="4">
        <f t="shared" si="502"/>
        <v>2</v>
      </c>
      <c r="BG945" s="4">
        <f t="shared" si="503"/>
        <v>4</v>
      </c>
      <c r="BH945" s="4">
        <f t="shared" si="504"/>
        <v>4</v>
      </c>
      <c r="BI945" s="4">
        <f t="shared" si="505"/>
        <v>4</v>
      </c>
      <c r="BJ945" s="4">
        <f t="shared" si="506"/>
        <v>2</v>
      </c>
      <c r="BK945" s="4" t="str">
        <f t="shared" si="507"/>
        <v>0</v>
      </c>
      <c r="BL945" s="4">
        <f t="shared" si="508"/>
        <v>2</v>
      </c>
      <c r="BM945" s="4">
        <f t="shared" si="509"/>
        <v>4</v>
      </c>
      <c r="BN945" s="4">
        <f t="shared" si="510"/>
        <v>4</v>
      </c>
      <c r="BO945" s="4">
        <f t="shared" si="511"/>
        <v>4</v>
      </c>
      <c r="BP945" s="4">
        <f t="shared" si="512"/>
        <v>4</v>
      </c>
      <c r="BQ945" s="4">
        <f t="shared" si="513"/>
        <v>6</v>
      </c>
      <c r="BR945" s="4">
        <f t="shared" si="514"/>
        <v>4</v>
      </c>
      <c r="BS945" s="4">
        <f t="shared" si="515"/>
        <v>4</v>
      </c>
      <c r="BT945" s="4">
        <f t="shared" si="516"/>
        <v>4</v>
      </c>
      <c r="BU945" s="4">
        <f t="shared" si="517"/>
        <v>4</v>
      </c>
      <c r="BV945" s="4" t="str">
        <f t="shared" si="518"/>
        <v>0</v>
      </c>
      <c r="BW945" s="4">
        <f t="shared" si="519"/>
        <v>6</v>
      </c>
      <c r="BX945" s="4">
        <f t="shared" si="520"/>
        <v>0</v>
      </c>
      <c r="BY945" s="4">
        <f t="shared" si="521"/>
        <v>0</v>
      </c>
      <c r="BZ945" s="37">
        <f t="shared" si="522"/>
        <v>92</v>
      </c>
      <c r="CA945" s="32" t="str">
        <f>VLOOKUP(J:J,'Agent wise'!A:C,3,0)</f>
        <v>Amal</v>
      </c>
      <c r="CB945" s="32">
        <f t="shared" si="523"/>
        <v>45946</v>
      </c>
      <c r="CC945" t="str">
        <f t="shared" si="524"/>
        <v>Good</v>
      </c>
      <c r="CE945" s="32"/>
      <c r="CJ945">
        <f t="shared" si="525"/>
        <v>16</v>
      </c>
      <c r="CK945">
        <f t="shared" si="526"/>
        <v>10</v>
      </c>
      <c r="CL945">
        <f t="shared" si="527"/>
        <v>2025</v>
      </c>
    </row>
    <row r="946" spans="1:90" ht="15" customHeight="1" x14ac:dyDescent="0.35">
      <c r="A946" t="s">
        <v>2323</v>
      </c>
      <c r="B946" t="s">
        <v>698</v>
      </c>
      <c r="C946" t="s">
        <v>214</v>
      </c>
      <c r="D946" t="s">
        <v>221</v>
      </c>
      <c r="E946" s="32">
        <v>45946</v>
      </c>
      <c r="F946" t="s">
        <v>222</v>
      </c>
      <c r="G946" t="s">
        <v>2152</v>
      </c>
      <c r="H946">
        <v>9567845781</v>
      </c>
      <c r="I946">
        <v>169</v>
      </c>
      <c r="J946" t="s">
        <v>246</v>
      </c>
      <c r="K946" t="s">
        <v>57</v>
      </c>
      <c r="L946" t="s">
        <v>58</v>
      </c>
      <c r="M946" t="s">
        <v>59</v>
      </c>
      <c r="N946" t="s">
        <v>59</v>
      </c>
      <c r="O946" t="s">
        <v>59</v>
      </c>
      <c r="P946" t="s">
        <v>59</v>
      </c>
      <c r="Q946" t="s">
        <v>59</v>
      </c>
      <c r="R946" t="s">
        <v>59</v>
      </c>
      <c r="S946" t="s">
        <v>59</v>
      </c>
      <c r="T946" t="s">
        <v>59</v>
      </c>
      <c r="U946" t="s">
        <v>59</v>
      </c>
      <c r="V946" t="s">
        <v>59</v>
      </c>
      <c r="W946" t="s">
        <v>59</v>
      </c>
      <c r="X946" t="s">
        <v>59</v>
      </c>
      <c r="Y946" t="s">
        <v>59</v>
      </c>
      <c r="Z946" t="s">
        <v>59</v>
      </c>
      <c r="AA946" t="s">
        <v>59</v>
      </c>
      <c r="AB946" t="s">
        <v>59</v>
      </c>
      <c r="AC946" t="s">
        <v>59</v>
      </c>
      <c r="AD946" t="s">
        <v>59</v>
      </c>
      <c r="AE946" t="s">
        <v>59</v>
      </c>
      <c r="AF946" t="s">
        <v>59</v>
      </c>
      <c r="AG946" t="s">
        <v>59</v>
      </c>
      <c r="AH946" t="s">
        <v>61</v>
      </c>
      <c r="AI946" t="s">
        <v>59</v>
      </c>
      <c r="AJ946" t="s">
        <v>59</v>
      </c>
      <c r="AK946" t="s">
        <v>59</v>
      </c>
      <c r="AL946" t="s">
        <v>59</v>
      </c>
      <c r="AM946" t="s">
        <v>59</v>
      </c>
      <c r="AN946" t="s">
        <v>59</v>
      </c>
      <c r="AO946" t="s">
        <v>59</v>
      </c>
      <c r="AP946" t="s">
        <v>270</v>
      </c>
      <c r="AQ946" t="s">
        <v>960</v>
      </c>
      <c r="AR946" t="s">
        <v>226</v>
      </c>
      <c r="AS946" t="s">
        <v>249</v>
      </c>
      <c r="AT946" t="s">
        <v>249</v>
      </c>
      <c r="AU946" t="s">
        <v>219</v>
      </c>
      <c r="AW946" s="4">
        <f t="shared" si="493"/>
        <v>6</v>
      </c>
      <c r="AX946" s="4">
        <f t="shared" si="494"/>
        <v>4</v>
      </c>
      <c r="AY946" s="4">
        <f t="shared" si="495"/>
        <v>4</v>
      </c>
      <c r="AZ946" s="4">
        <f t="shared" si="496"/>
        <v>2</v>
      </c>
      <c r="BA946" s="4">
        <f t="shared" si="497"/>
        <v>4</v>
      </c>
      <c r="BB946" s="4">
        <f t="shared" si="498"/>
        <v>4</v>
      </c>
      <c r="BC946" s="4">
        <f t="shared" si="499"/>
        <v>4</v>
      </c>
      <c r="BD946" s="4">
        <f t="shared" si="500"/>
        <v>2</v>
      </c>
      <c r="BE946" s="4">
        <f t="shared" si="501"/>
        <v>4</v>
      </c>
      <c r="BF946" s="4">
        <f t="shared" si="502"/>
        <v>2</v>
      </c>
      <c r="BG946" s="4">
        <f t="shared" si="503"/>
        <v>4</v>
      </c>
      <c r="BH946" s="4">
        <f t="shared" si="504"/>
        <v>4</v>
      </c>
      <c r="BI946" s="4">
        <f t="shared" si="505"/>
        <v>4</v>
      </c>
      <c r="BJ946" s="4">
        <f t="shared" si="506"/>
        <v>2</v>
      </c>
      <c r="BK946" s="4">
        <f t="shared" si="507"/>
        <v>4</v>
      </c>
      <c r="BL946" s="4">
        <f t="shared" si="508"/>
        <v>2</v>
      </c>
      <c r="BM946" s="4">
        <f t="shared" si="509"/>
        <v>4</v>
      </c>
      <c r="BN946" s="4">
        <f t="shared" si="510"/>
        <v>4</v>
      </c>
      <c r="BO946" s="4">
        <f t="shared" si="511"/>
        <v>4</v>
      </c>
      <c r="BP946" s="4">
        <f t="shared" si="512"/>
        <v>4</v>
      </c>
      <c r="BQ946" s="4">
        <f t="shared" si="513"/>
        <v>6</v>
      </c>
      <c r="BR946" s="4">
        <f t="shared" si="514"/>
        <v>4</v>
      </c>
      <c r="BS946" s="4">
        <f t="shared" si="515"/>
        <v>4</v>
      </c>
      <c r="BT946" s="4">
        <f t="shared" si="516"/>
        <v>4</v>
      </c>
      <c r="BU946" s="4">
        <f t="shared" si="517"/>
        <v>4</v>
      </c>
      <c r="BV946" s="4">
        <f t="shared" si="518"/>
        <v>0</v>
      </c>
      <c r="BW946" s="4">
        <f t="shared" si="519"/>
        <v>6</v>
      </c>
      <c r="BX946" s="4">
        <f t="shared" si="520"/>
        <v>0</v>
      </c>
      <c r="BY946" s="4">
        <f t="shared" si="521"/>
        <v>0</v>
      </c>
      <c r="BZ946" s="37">
        <f t="shared" si="522"/>
        <v>100</v>
      </c>
      <c r="CA946" s="32" t="str">
        <f>VLOOKUP(J:J,'Agent wise'!A:C,3,0)</f>
        <v>Amal</v>
      </c>
      <c r="CB946" s="32">
        <f t="shared" si="523"/>
        <v>45946</v>
      </c>
      <c r="CC946" t="str">
        <f t="shared" si="524"/>
        <v>Excellent</v>
      </c>
      <c r="CE946" s="32"/>
      <c r="CJ946">
        <f t="shared" si="525"/>
        <v>16</v>
      </c>
      <c r="CK946">
        <f t="shared" si="526"/>
        <v>10</v>
      </c>
      <c r="CL946">
        <f t="shared" si="527"/>
        <v>2025</v>
      </c>
    </row>
    <row r="947" spans="1:90" ht="15" customHeight="1" x14ac:dyDescent="0.35">
      <c r="A947" t="s">
        <v>2324</v>
      </c>
      <c r="B947" t="s">
        <v>698</v>
      </c>
      <c r="C947" t="s">
        <v>214</v>
      </c>
      <c r="D947" t="s">
        <v>221</v>
      </c>
      <c r="E947" s="32">
        <v>45946</v>
      </c>
      <c r="F947" t="s">
        <v>222</v>
      </c>
      <c r="G947" t="s">
        <v>2152</v>
      </c>
      <c r="H947">
        <v>9943491071</v>
      </c>
      <c r="I947">
        <v>157</v>
      </c>
      <c r="J947" t="s">
        <v>409</v>
      </c>
      <c r="K947" t="s">
        <v>71</v>
      </c>
      <c r="L947" t="s">
        <v>72</v>
      </c>
      <c r="M947" t="s">
        <v>59</v>
      </c>
      <c r="N947" t="s">
        <v>59</v>
      </c>
      <c r="O947" t="s">
        <v>59</v>
      </c>
      <c r="P947" t="s">
        <v>59</v>
      </c>
      <c r="Q947" t="s">
        <v>59</v>
      </c>
      <c r="R947" t="s">
        <v>59</v>
      </c>
      <c r="S947" t="s">
        <v>59</v>
      </c>
      <c r="T947" t="s">
        <v>59</v>
      </c>
      <c r="U947" t="s">
        <v>59</v>
      </c>
      <c r="V947" t="s">
        <v>59</v>
      </c>
      <c r="W947" t="s">
        <v>59</v>
      </c>
      <c r="X947" t="s">
        <v>59</v>
      </c>
      <c r="Y947" t="s">
        <v>59</v>
      </c>
      <c r="Z947" t="s">
        <v>59</v>
      </c>
      <c r="AA947" t="s">
        <v>59</v>
      </c>
      <c r="AB947" t="s">
        <v>59</v>
      </c>
      <c r="AC947" t="s">
        <v>59</v>
      </c>
      <c r="AD947" t="s">
        <v>59</v>
      </c>
      <c r="AE947" t="s">
        <v>59</v>
      </c>
      <c r="AF947" t="s">
        <v>59</v>
      </c>
      <c r="AG947" t="s">
        <v>59</v>
      </c>
      <c r="AH947" t="s">
        <v>61</v>
      </c>
      <c r="AI947" t="s">
        <v>59</v>
      </c>
      <c r="AJ947" t="s">
        <v>59</v>
      </c>
      <c r="AK947" t="s">
        <v>59</v>
      </c>
      <c r="AL947" t="s">
        <v>60</v>
      </c>
      <c r="AM947" t="s">
        <v>59</v>
      </c>
      <c r="AN947" t="s">
        <v>59</v>
      </c>
      <c r="AO947" t="s">
        <v>59</v>
      </c>
      <c r="AP947" t="s">
        <v>37</v>
      </c>
      <c r="AQ947" t="s">
        <v>2325</v>
      </c>
      <c r="AR947" t="s">
        <v>226</v>
      </c>
      <c r="AS947" t="s">
        <v>249</v>
      </c>
      <c r="AT947" t="s">
        <v>249</v>
      </c>
      <c r="AU947" t="s">
        <v>219</v>
      </c>
      <c r="AW947" s="4">
        <f t="shared" si="493"/>
        <v>6</v>
      </c>
      <c r="AX947" s="4">
        <f t="shared" si="494"/>
        <v>4</v>
      </c>
      <c r="AY947" s="4">
        <f t="shared" si="495"/>
        <v>4</v>
      </c>
      <c r="AZ947" s="4">
        <f t="shared" si="496"/>
        <v>2</v>
      </c>
      <c r="BA947" s="4">
        <f t="shared" si="497"/>
        <v>4</v>
      </c>
      <c r="BB947" s="4">
        <f t="shared" si="498"/>
        <v>4</v>
      </c>
      <c r="BC947" s="4">
        <f t="shared" si="499"/>
        <v>4</v>
      </c>
      <c r="BD947" s="4">
        <f t="shared" si="500"/>
        <v>2</v>
      </c>
      <c r="BE947" s="4">
        <f t="shared" si="501"/>
        <v>4</v>
      </c>
      <c r="BF947" s="4">
        <f t="shared" si="502"/>
        <v>2</v>
      </c>
      <c r="BG947" s="4">
        <f t="shared" si="503"/>
        <v>4</v>
      </c>
      <c r="BH947" s="4">
        <f t="shared" si="504"/>
        <v>4</v>
      </c>
      <c r="BI947" s="4">
        <f t="shared" si="505"/>
        <v>4</v>
      </c>
      <c r="BJ947" s="4">
        <f t="shared" si="506"/>
        <v>2</v>
      </c>
      <c r="BK947" s="4">
        <f t="shared" si="507"/>
        <v>4</v>
      </c>
      <c r="BL947" s="4">
        <f t="shared" si="508"/>
        <v>2</v>
      </c>
      <c r="BM947" s="4">
        <f t="shared" si="509"/>
        <v>4</v>
      </c>
      <c r="BN947" s="4">
        <f t="shared" si="510"/>
        <v>4</v>
      </c>
      <c r="BO947" s="4">
        <f t="shared" si="511"/>
        <v>4</v>
      </c>
      <c r="BP947" s="4">
        <f t="shared" si="512"/>
        <v>4</v>
      </c>
      <c r="BQ947" s="4">
        <f t="shared" si="513"/>
        <v>6</v>
      </c>
      <c r="BR947" s="4">
        <f t="shared" si="514"/>
        <v>4</v>
      </c>
      <c r="BS947" s="4">
        <f t="shared" si="515"/>
        <v>4</v>
      </c>
      <c r="BT947" s="4">
        <f t="shared" si="516"/>
        <v>4</v>
      </c>
      <c r="BU947" s="4">
        <f t="shared" si="517"/>
        <v>4</v>
      </c>
      <c r="BV947" s="4" t="str">
        <f t="shared" si="518"/>
        <v>0</v>
      </c>
      <c r="BW947" s="4">
        <f t="shared" si="519"/>
        <v>6</v>
      </c>
      <c r="BX947" s="4">
        <f t="shared" si="520"/>
        <v>0</v>
      </c>
      <c r="BY947" s="4">
        <f t="shared" si="521"/>
        <v>0</v>
      </c>
      <c r="BZ947" s="37">
        <f t="shared" si="522"/>
        <v>100</v>
      </c>
      <c r="CA947" s="32" t="str">
        <f>VLOOKUP(J:J,'Agent wise'!A:C,3,0)</f>
        <v>Amal</v>
      </c>
      <c r="CB947" s="32">
        <f t="shared" si="523"/>
        <v>45946</v>
      </c>
      <c r="CC947" t="str">
        <f t="shared" si="524"/>
        <v>Excellent</v>
      </c>
      <c r="CE947" s="32"/>
      <c r="CJ947">
        <f t="shared" si="525"/>
        <v>16</v>
      </c>
      <c r="CK947">
        <f t="shared" si="526"/>
        <v>10</v>
      </c>
      <c r="CL947">
        <f t="shared" si="527"/>
        <v>2025</v>
      </c>
    </row>
    <row r="948" spans="1:90" ht="15" customHeight="1" x14ac:dyDescent="0.35">
      <c r="A948" t="s">
        <v>2326</v>
      </c>
      <c r="B948" t="s">
        <v>698</v>
      </c>
      <c r="C948" t="s">
        <v>214</v>
      </c>
      <c r="D948" t="s">
        <v>221</v>
      </c>
      <c r="E948" s="32">
        <v>45946</v>
      </c>
      <c r="F948" t="s">
        <v>222</v>
      </c>
      <c r="G948" t="s">
        <v>2152</v>
      </c>
      <c r="H948">
        <v>9400147128</v>
      </c>
      <c r="I948">
        <v>168</v>
      </c>
      <c r="J948" t="s">
        <v>307</v>
      </c>
      <c r="K948" t="s">
        <v>57</v>
      </c>
      <c r="L948" t="s">
        <v>58</v>
      </c>
      <c r="M948" t="s">
        <v>59</v>
      </c>
      <c r="N948" t="s">
        <v>59</v>
      </c>
      <c r="O948" t="s">
        <v>59</v>
      </c>
      <c r="P948" t="s">
        <v>59</v>
      </c>
      <c r="Q948" t="s">
        <v>59</v>
      </c>
      <c r="R948" t="s">
        <v>59</v>
      </c>
      <c r="S948" t="s">
        <v>59</v>
      </c>
      <c r="T948" t="s">
        <v>59</v>
      </c>
      <c r="U948" t="s">
        <v>59</v>
      </c>
      <c r="V948" t="s">
        <v>59</v>
      </c>
      <c r="W948" t="s">
        <v>59</v>
      </c>
      <c r="X948" t="s">
        <v>59</v>
      </c>
      <c r="Y948" t="s">
        <v>59</v>
      </c>
      <c r="Z948" t="s">
        <v>59</v>
      </c>
      <c r="AA948" t="s">
        <v>60</v>
      </c>
      <c r="AB948" t="s">
        <v>59</v>
      </c>
      <c r="AC948" t="s">
        <v>59</v>
      </c>
      <c r="AD948" t="s">
        <v>59</v>
      </c>
      <c r="AE948" t="s">
        <v>59</v>
      </c>
      <c r="AF948" t="s">
        <v>59</v>
      </c>
      <c r="AG948" t="s">
        <v>59</v>
      </c>
      <c r="AH948" t="s">
        <v>61</v>
      </c>
      <c r="AI948" t="s">
        <v>61</v>
      </c>
      <c r="AJ948" t="s">
        <v>59</v>
      </c>
      <c r="AK948" t="s">
        <v>59</v>
      </c>
      <c r="AL948" t="s">
        <v>59</v>
      </c>
      <c r="AM948" t="s">
        <v>59</v>
      </c>
      <c r="AN948" t="s">
        <v>59</v>
      </c>
      <c r="AO948" t="s">
        <v>59</v>
      </c>
      <c r="AP948" t="s">
        <v>699</v>
      </c>
      <c r="AQ948" t="s">
        <v>2327</v>
      </c>
      <c r="AR948" t="s">
        <v>226</v>
      </c>
      <c r="AS948" t="s">
        <v>2328</v>
      </c>
      <c r="AT948" t="s">
        <v>2328</v>
      </c>
      <c r="AU948" t="s">
        <v>219</v>
      </c>
      <c r="AW948" s="4">
        <f t="shared" si="493"/>
        <v>6</v>
      </c>
      <c r="AX948" s="4">
        <f t="shared" si="494"/>
        <v>4</v>
      </c>
      <c r="AY948" s="4">
        <f t="shared" si="495"/>
        <v>4</v>
      </c>
      <c r="AZ948" s="4">
        <f t="shared" si="496"/>
        <v>2</v>
      </c>
      <c r="BA948" s="4">
        <f t="shared" si="497"/>
        <v>4</v>
      </c>
      <c r="BB948" s="4">
        <f t="shared" si="498"/>
        <v>4</v>
      </c>
      <c r="BC948" s="4">
        <f t="shared" si="499"/>
        <v>4</v>
      </c>
      <c r="BD948" s="4">
        <f t="shared" si="500"/>
        <v>2</v>
      </c>
      <c r="BE948" s="4">
        <f t="shared" si="501"/>
        <v>4</v>
      </c>
      <c r="BF948" s="4">
        <f t="shared" si="502"/>
        <v>2</v>
      </c>
      <c r="BG948" s="4">
        <f t="shared" si="503"/>
        <v>4</v>
      </c>
      <c r="BH948" s="4">
        <f t="shared" si="504"/>
        <v>4</v>
      </c>
      <c r="BI948" s="4">
        <f t="shared" si="505"/>
        <v>4</v>
      </c>
      <c r="BJ948" s="4">
        <f t="shared" si="506"/>
        <v>2</v>
      </c>
      <c r="BK948" s="4" t="str">
        <f t="shared" si="507"/>
        <v>0</v>
      </c>
      <c r="BL948" s="4">
        <f t="shared" si="508"/>
        <v>2</v>
      </c>
      <c r="BM948" s="4">
        <f t="shared" si="509"/>
        <v>4</v>
      </c>
      <c r="BN948" s="4">
        <f t="shared" si="510"/>
        <v>4</v>
      </c>
      <c r="BO948" s="4">
        <f t="shared" si="511"/>
        <v>4</v>
      </c>
      <c r="BP948" s="4">
        <f t="shared" si="512"/>
        <v>4</v>
      </c>
      <c r="BQ948" s="4">
        <f t="shared" si="513"/>
        <v>6</v>
      </c>
      <c r="BR948" s="4">
        <f t="shared" si="514"/>
        <v>4</v>
      </c>
      <c r="BS948" s="4">
        <f t="shared" si="515"/>
        <v>4</v>
      </c>
      <c r="BT948" s="4">
        <f t="shared" si="516"/>
        <v>4</v>
      </c>
      <c r="BU948" s="4">
        <f t="shared" si="517"/>
        <v>4</v>
      </c>
      <c r="BV948" s="4">
        <f t="shared" si="518"/>
        <v>0</v>
      </c>
      <c r="BW948" s="4">
        <f t="shared" si="519"/>
        <v>6</v>
      </c>
      <c r="BX948" s="4">
        <f t="shared" si="520"/>
        <v>0</v>
      </c>
      <c r="BY948" s="4">
        <f t="shared" si="521"/>
        <v>0</v>
      </c>
      <c r="BZ948" s="37">
        <f t="shared" si="522"/>
        <v>96</v>
      </c>
      <c r="CA948" s="32" t="str">
        <f>VLOOKUP(J:J,'Agent wise'!A:C,3,0)</f>
        <v>Amal</v>
      </c>
      <c r="CB948" s="32">
        <f t="shared" si="523"/>
        <v>45946</v>
      </c>
      <c r="CC948" t="str">
        <f t="shared" si="524"/>
        <v>Excellent</v>
      </c>
      <c r="CE948" s="32"/>
      <c r="CJ948">
        <f t="shared" si="525"/>
        <v>16</v>
      </c>
      <c r="CK948">
        <f t="shared" si="526"/>
        <v>10</v>
      </c>
      <c r="CL948">
        <f t="shared" si="527"/>
        <v>2025</v>
      </c>
    </row>
    <row r="949" spans="1:90" ht="15" customHeight="1" x14ac:dyDescent="0.35">
      <c r="A949" t="s">
        <v>2329</v>
      </c>
      <c r="B949" t="s">
        <v>250</v>
      </c>
      <c r="C949" t="s">
        <v>214</v>
      </c>
      <c r="D949" t="s">
        <v>251</v>
      </c>
      <c r="E949" s="32">
        <v>45946</v>
      </c>
      <c r="F949" t="s">
        <v>222</v>
      </c>
      <c r="G949" t="s">
        <v>1897</v>
      </c>
      <c r="H949">
        <v>8301809101</v>
      </c>
      <c r="I949">
        <v>153</v>
      </c>
      <c r="J949" t="s">
        <v>242</v>
      </c>
      <c r="K949" t="s">
        <v>57</v>
      </c>
      <c r="L949" t="s">
        <v>58</v>
      </c>
      <c r="M949" t="s">
        <v>59</v>
      </c>
      <c r="N949" t="s">
        <v>59</v>
      </c>
      <c r="O949" t="s">
        <v>59</v>
      </c>
      <c r="P949" t="s">
        <v>59</v>
      </c>
      <c r="Q949" t="s">
        <v>59</v>
      </c>
      <c r="R949" t="s">
        <v>59</v>
      </c>
      <c r="S949" t="s">
        <v>59</v>
      </c>
      <c r="T949" t="s">
        <v>59</v>
      </c>
      <c r="U949" t="s">
        <v>60</v>
      </c>
      <c r="V949" t="s">
        <v>59</v>
      </c>
      <c r="W949" t="s">
        <v>59</v>
      </c>
      <c r="X949" t="s">
        <v>59</v>
      </c>
      <c r="Y949" t="s">
        <v>59</v>
      </c>
      <c r="Z949" t="s">
        <v>59</v>
      </c>
      <c r="AA949" t="s">
        <v>60</v>
      </c>
      <c r="AB949" t="s">
        <v>59</v>
      </c>
      <c r="AC949" t="s">
        <v>59</v>
      </c>
      <c r="AD949" t="s">
        <v>59</v>
      </c>
      <c r="AE949" t="s">
        <v>59</v>
      </c>
      <c r="AF949" t="s">
        <v>59</v>
      </c>
      <c r="AG949" t="s">
        <v>59</v>
      </c>
      <c r="AH949" t="s">
        <v>61</v>
      </c>
      <c r="AI949" t="s">
        <v>61</v>
      </c>
      <c r="AJ949" t="s">
        <v>59</v>
      </c>
      <c r="AK949" t="s">
        <v>59</v>
      </c>
      <c r="AL949" t="s">
        <v>59</v>
      </c>
      <c r="AM949" t="s">
        <v>59</v>
      </c>
      <c r="AN949" t="s">
        <v>59</v>
      </c>
      <c r="AO949" t="s">
        <v>59</v>
      </c>
      <c r="AP949" t="s">
        <v>936</v>
      </c>
      <c r="AQ949" t="s">
        <v>2330</v>
      </c>
      <c r="AR949" t="s">
        <v>64</v>
      </c>
      <c r="AS949" t="s">
        <v>1160</v>
      </c>
      <c r="AT949" t="s">
        <v>394</v>
      </c>
      <c r="AU949" t="s">
        <v>219</v>
      </c>
      <c r="AW949" s="4">
        <f t="shared" si="493"/>
        <v>6</v>
      </c>
      <c r="AX949" s="4">
        <f t="shared" si="494"/>
        <v>4</v>
      </c>
      <c r="AY949" s="4">
        <f t="shared" si="495"/>
        <v>4</v>
      </c>
      <c r="AZ949" s="4">
        <f t="shared" si="496"/>
        <v>2</v>
      </c>
      <c r="BA949" s="4">
        <f t="shared" si="497"/>
        <v>4</v>
      </c>
      <c r="BB949" s="4">
        <f t="shared" si="498"/>
        <v>4</v>
      </c>
      <c r="BC949" s="4">
        <f t="shared" si="499"/>
        <v>4</v>
      </c>
      <c r="BD949" s="4">
        <f t="shared" si="500"/>
        <v>2</v>
      </c>
      <c r="BE949" s="4" t="str">
        <f t="shared" si="501"/>
        <v>0</v>
      </c>
      <c r="BF949" s="4">
        <f t="shared" si="502"/>
        <v>2</v>
      </c>
      <c r="BG949" s="4">
        <f t="shared" si="503"/>
        <v>4</v>
      </c>
      <c r="BH949" s="4">
        <f t="shared" si="504"/>
        <v>4</v>
      </c>
      <c r="BI949" s="4">
        <f t="shared" si="505"/>
        <v>4</v>
      </c>
      <c r="BJ949" s="4">
        <f t="shared" si="506"/>
        <v>2</v>
      </c>
      <c r="BK949" s="4" t="str">
        <f t="shared" si="507"/>
        <v>0</v>
      </c>
      <c r="BL949" s="4">
        <f t="shared" si="508"/>
        <v>2</v>
      </c>
      <c r="BM949" s="4">
        <f t="shared" si="509"/>
        <v>4</v>
      </c>
      <c r="BN949" s="4">
        <f t="shared" si="510"/>
        <v>4</v>
      </c>
      <c r="BO949" s="4">
        <f t="shared" si="511"/>
        <v>4</v>
      </c>
      <c r="BP949" s="4">
        <f t="shared" si="512"/>
        <v>4</v>
      </c>
      <c r="BQ949" s="4">
        <f t="shared" si="513"/>
        <v>6</v>
      </c>
      <c r="BR949" s="4">
        <f t="shared" si="514"/>
        <v>4</v>
      </c>
      <c r="BS949" s="4">
        <f t="shared" si="515"/>
        <v>4</v>
      </c>
      <c r="BT949" s="4">
        <f t="shared" si="516"/>
        <v>4</v>
      </c>
      <c r="BU949" s="4">
        <f t="shared" si="517"/>
        <v>4</v>
      </c>
      <c r="BV949" s="4">
        <f t="shared" si="518"/>
        <v>0</v>
      </c>
      <c r="BW949" s="4">
        <f t="shared" si="519"/>
        <v>6</v>
      </c>
      <c r="BX949" s="4">
        <f t="shared" si="520"/>
        <v>0</v>
      </c>
      <c r="BY949" s="4">
        <f t="shared" si="521"/>
        <v>0</v>
      </c>
      <c r="BZ949" s="37">
        <f t="shared" si="522"/>
        <v>92</v>
      </c>
      <c r="CA949" s="32" t="str">
        <f>VLOOKUP(J:J,'Agent wise'!A:C,3,0)</f>
        <v>Amal</v>
      </c>
      <c r="CB949" s="32">
        <f t="shared" si="523"/>
        <v>45946</v>
      </c>
      <c r="CC949" t="str">
        <f t="shared" si="524"/>
        <v>Good</v>
      </c>
      <c r="CE949" s="32"/>
      <c r="CJ949">
        <f t="shared" si="525"/>
        <v>16</v>
      </c>
      <c r="CK949">
        <f t="shared" si="526"/>
        <v>10</v>
      </c>
      <c r="CL949">
        <f t="shared" si="527"/>
        <v>2025</v>
      </c>
    </row>
    <row r="950" spans="1:90" ht="15" customHeight="1" x14ac:dyDescent="0.35">
      <c r="A950" t="s">
        <v>2331</v>
      </c>
      <c r="B950" t="s">
        <v>250</v>
      </c>
      <c r="C950" t="s">
        <v>214</v>
      </c>
      <c r="D950" t="s">
        <v>251</v>
      </c>
      <c r="E950" s="32">
        <v>45946</v>
      </c>
      <c r="F950" t="s">
        <v>222</v>
      </c>
      <c r="G950" t="s">
        <v>1897</v>
      </c>
      <c r="H950">
        <v>4868237700</v>
      </c>
      <c r="I950">
        <v>132</v>
      </c>
      <c r="J950" t="s">
        <v>391</v>
      </c>
      <c r="K950" t="s">
        <v>57</v>
      </c>
      <c r="L950" t="s">
        <v>58</v>
      </c>
      <c r="M950" t="s">
        <v>59</v>
      </c>
      <c r="N950" t="s">
        <v>59</v>
      </c>
      <c r="O950" t="s">
        <v>59</v>
      </c>
      <c r="P950" t="s">
        <v>59</v>
      </c>
      <c r="Q950" t="s">
        <v>59</v>
      </c>
      <c r="R950" t="s">
        <v>59</v>
      </c>
      <c r="S950" t="s">
        <v>59</v>
      </c>
      <c r="T950" t="s">
        <v>59</v>
      </c>
      <c r="U950" t="s">
        <v>60</v>
      </c>
      <c r="V950" t="s">
        <v>59</v>
      </c>
      <c r="W950" t="s">
        <v>59</v>
      </c>
      <c r="X950" t="s">
        <v>59</v>
      </c>
      <c r="Y950" t="s">
        <v>59</v>
      </c>
      <c r="Z950" t="s">
        <v>60</v>
      </c>
      <c r="AA950" t="s">
        <v>59</v>
      </c>
      <c r="AB950" t="s">
        <v>60</v>
      </c>
      <c r="AC950" t="s">
        <v>59</v>
      </c>
      <c r="AD950" t="s">
        <v>59</v>
      </c>
      <c r="AE950" t="s">
        <v>59</v>
      </c>
      <c r="AF950" t="s">
        <v>59</v>
      </c>
      <c r="AG950" t="s">
        <v>59</v>
      </c>
      <c r="AH950" t="s">
        <v>61</v>
      </c>
      <c r="AI950" t="s">
        <v>61</v>
      </c>
      <c r="AJ950" t="s">
        <v>59</v>
      </c>
      <c r="AK950" t="s">
        <v>59</v>
      </c>
      <c r="AL950" t="s">
        <v>60</v>
      </c>
      <c r="AM950" t="s">
        <v>59</v>
      </c>
      <c r="AN950" t="s">
        <v>59</v>
      </c>
      <c r="AO950" t="s">
        <v>59</v>
      </c>
      <c r="AP950" t="s">
        <v>2332</v>
      </c>
      <c r="AQ950" t="s">
        <v>2333</v>
      </c>
      <c r="AR950" t="s">
        <v>226</v>
      </c>
      <c r="AS950" t="s">
        <v>695</v>
      </c>
      <c r="AT950" t="s">
        <v>394</v>
      </c>
      <c r="AU950" t="s">
        <v>387</v>
      </c>
      <c r="AW950" s="4">
        <f t="shared" si="493"/>
        <v>6</v>
      </c>
      <c r="AX950" s="4">
        <f t="shared" si="494"/>
        <v>4</v>
      </c>
      <c r="AY950" s="4">
        <f t="shared" si="495"/>
        <v>4</v>
      </c>
      <c r="AZ950" s="4">
        <f t="shared" si="496"/>
        <v>2</v>
      </c>
      <c r="BA950" s="4">
        <f t="shared" si="497"/>
        <v>4</v>
      </c>
      <c r="BB950" s="4">
        <f t="shared" si="498"/>
        <v>4</v>
      </c>
      <c r="BC950" s="4">
        <f t="shared" si="499"/>
        <v>4</v>
      </c>
      <c r="BD950" s="4">
        <f t="shared" si="500"/>
        <v>2</v>
      </c>
      <c r="BE950" s="4" t="str">
        <f t="shared" si="501"/>
        <v>0</v>
      </c>
      <c r="BF950" s="4">
        <f t="shared" si="502"/>
        <v>2</v>
      </c>
      <c r="BG950" s="4">
        <f t="shared" si="503"/>
        <v>4</v>
      </c>
      <c r="BH950" s="4">
        <f t="shared" si="504"/>
        <v>4</v>
      </c>
      <c r="BI950" s="4">
        <f t="shared" si="505"/>
        <v>4</v>
      </c>
      <c r="BJ950" s="4" t="str">
        <f t="shared" si="506"/>
        <v>0</v>
      </c>
      <c r="BK950" s="4">
        <f t="shared" si="507"/>
        <v>4</v>
      </c>
      <c r="BL950" s="4" t="str">
        <f t="shared" si="508"/>
        <v>0</v>
      </c>
      <c r="BM950" s="4">
        <f t="shared" si="509"/>
        <v>4</v>
      </c>
      <c r="BN950" s="4">
        <f t="shared" si="510"/>
        <v>4</v>
      </c>
      <c r="BO950" s="4">
        <f t="shared" si="511"/>
        <v>4</v>
      </c>
      <c r="BP950" s="4">
        <f t="shared" si="512"/>
        <v>4</v>
      </c>
      <c r="BQ950" s="4">
        <f t="shared" si="513"/>
        <v>6</v>
      </c>
      <c r="BR950" s="4">
        <f t="shared" si="514"/>
        <v>4</v>
      </c>
      <c r="BS950" s="4">
        <f t="shared" si="515"/>
        <v>4</v>
      </c>
      <c r="BT950" s="4">
        <f t="shared" si="516"/>
        <v>4</v>
      </c>
      <c r="BU950" s="4">
        <f t="shared" si="517"/>
        <v>4</v>
      </c>
      <c r="BV950" s="4" t="str">
        <f t="shared" si="518"/>
        <v>0</v>
      </c>
      <c r="BW950" s="4">
        <f t="shared" si="519"/>
        <v>6</v>
      </c>
      <c r="BX950" s="4">
        <f t="shared" si="520"/>
        <v>0</v>
      </c>
      <c r="BY950" s="4">
        <f t="shared" si="521"/>
        <v>0</v>
      </c>
      <c r="BZ950" s="37">
        <f t="shared" si="522"/>
        <v>92</v>
      </c>
      <c r="CA950" s="32" t="str">
        <f>VLOOKUP(J:J,'Agent wise'!A:C,3,0)</f>
        <v>Amal</v>
      </c>
      <c r="CB950" s="32">
        <f t="shared" si="523"/>
        <v>45946</v>
      </c>
      <c r="CC950" t="str">
        <f t="shared" si="524"/>
        <v>Good</v>
      </c>
      <c r="CE950" s="32"/>
      <c r="CJ950">
        <f t="shared" si="525"/>
        <v>16</v>
      </c>
      <c r="CK950">
        <f t="shared" si="526"/>
        <v>10</v>
      </c>
      <c r="CL950">
        <f t="shared" si="527"/>
        <v>2025</v>
      </c>
    </row>
    <row r="951" spans="1:90" ht="15" customHeight="1" x14ac:dyDescent="0.35">
      <c r="A951" t="s">
        <v>2334</v>
      </c>
      <c r="B951" t="s">
        <v>250</v>
      </c>
      <c r="C951" t="s">
        <v>214</v>
      </c>
      <c r="D951" t="s">
        <v>251</v>
      </c>
      <c r="E951" s="32">
        <v>45946</v>
      </c>
      <c r="F951" t="s">
        <v>222</v>
      </c>
      <c r="G951" t="s">
        <v>1897</v>
      </c>
      <c r="H951">
        <v>9750663525</v>
      </c>
      <c r="I951">
        <v>142</v>
      </c>
      <c r="J951" t="s">
        <v>223</v>
      </c>
      <c r="K951" t="s">
        <v>71</v>
      </c>
      <c r="L951" t="s">
        <v>72</v>
      </c>
      <c r="M951" t="s">
        <v>59</v>
      </c>
      <c r="N951" t="s">
        <v>59</v>
      </c>
      <c r="O951" t="s">
        <v>59</v>
      </c>
      <c r="P951" t="s">
        <v>59</v>
      </c>
      <c r="Q951" t="s">
        <v>59</v>
      </c>
      <c r="R951" t="s">
        <v>59</v>
      </c>
      <c r="S951" t="s">
        <v>59</v>
      </c>
      <c r="T951" t="s">
        <v>59</v>
      </c>
      <c r="U951" t="s">
        <v>60</v>
      </c>
      <c r="V951" t="s">
        <v>59</v>
      </c>
      <c r="W951" t="s">
        <v>59</v>
      </c>
      <c r="X951" t="s">
        <v>59</v>
      </c>
      <c r="Y951" t="s">
        <v>59</v>
      </c>
      <c r="Z951" t="s">
        <v>59</v>
      </c>
      <c r="AA951" t="s">
        <v>59</v>
      </c>
      <c r="AB951" t="s">
        <v>61</v>
      </c>
      <c r="AC951" t="s">
        <v>60</v>
      </c>
      <c r="AD951" t="s">
        <v>59</v>
      </c>
      <c r="AE951" t="s">
        <v>59</v>
      </c>
      <c r="AF951" t="s">
        <v>59</v>
      </c>
      <c r="AG951" t="s">
        <v>59</v>
      </c>
      <c r="AH951" t="s">
        <v>61</v>
      </c>
      <c r="AI951" t="s">
        <v>61</v>
      </c>
      <c r="AJ951" t="s">
        <v>59</v>
      </c>
      <c r="AK951" t="s">
        <v>59</v>
      </c>
      <c r="AL951" t="s">
        <v>60</v>
      </c>
      <c r="AM951" t="s">
        <v>59</v>
      </c>
      <c r="AN951" t="s">
        <v>59</v>
      </c>
      <c r="AO951" t="s">
        <v>59</v>
      </c>
      <c r="AP951" t="s">
        <v>428</v>
      </c>
      <c r="AQ951" t="s">
        <v>2330</v>
      </c>
      <c r="AR951" t="s">
        <v>226</v>
      </c>
      <c r="AS951" t="s">
        <v>746</v>
      </c>
      <c r="AT951" t="s">
        <v>394</v>
      </c>
      <c r="AU951" t="s">
        <v>219</v>
      </c>
      <c r="AW951" s="4">
        <f t="shared" si="493"/>
        <v>6</v>
      </c>
      <c r="AX951" s="4">
        <f t="shared" si="494"/>
        <v>4</v>
      </c>
      <c r="AY951" s="4">
        <f t="shared" si="495"/>
        <v>4</v>
      </c>
      <c r="AZ951" s="4">
        <f t="shared" si="496"/>
        <v>2</v>
      </c>
      <c r="BA951" s="4">
        <f t="shared" si="497"/>
        <v>4</v>
      </c>
      <c r="BB951" s="4">
        <f t="shared" si="498"/>
        <v>4</v>
      </c>
      <c r="BC951" s="4">
        <f t="shared" si="499"/>
        <v>4</v>
      </c>
      <c r="BD951" s="4">
        <f t="shared" si="500"/>
        <v>2</v>
      </c>
      <c r="BE951" s="4" t="str">
        <f t="shared" si="501"/>
        <v>0</v>
      </c>
      <c r="BF951" s="4">
        <f t="shared" si="502"/>
        <v>2</v>
      </c>
      <c r="BG951" s="4">
        <f t="shared" si="503"/>
        <v>4</v>
      </c>
      <c r="BH951" s="4">
        <f t="shared" si="504"/>
        <v>4</v>
      </c>
      <c r="BI951" s="4">
        <f t="shared" si="505"/>
        <v>4</v>
      </c>
      <c r="BJ951" s="4">
        <f t="shared" si="506"/>
        <v>2</v>
      </c>
      <c r="BK951" s="4">
        <f t="shared" si="507"/>
        <v>4</v>
      </c>
      <c r="BL951" s="4">
        <f t="shared" si="508"/>
        <v>2</v>
      </c>
      <c r="BM951" s="4" t="str">
        <f t="shared" si="509"/>
        <v>0</v>
      </c>
      <c r="BN951" s="4">
        <f t="shared" si="510"/>
        <v>4</v>
      </c>
      <c r="BO951" s="4">
        <f t="shared" si="511"/>
        <v>4</v>
      </c>
      <c r="BP951" s="4">
        <f t="shared" si="512"/>
        <v>4</v>
      </c>
      <c r="BQ951" s="4">
        <f t="shared" si="513"/>
        <v>6</v>
      </c>
      <c r="BR951" s="4">
        <f t="shared" si="514"/>
        <v>4</v>
      </c>
      <c r="BS951" s="4">
        <f t="shared" si="515"/>
        <v>4</v>
      </c>
      <c r="BT951" s="4">
        <f t="shared" si="516"/>
        <v>4</v>
      </c>
      <c r="BU951" s="4">
        <f t="shared" si="517"/>
        <v>4</v>
      </c>
      <c r="BV951" s="4" t="str">
        <f t="shared" si="518"/>
        <v>0</v>
      </c>
      <c r="BW951" s="4">
        <f t="shared" si="519"/>
        <v>6</v>
      </c>
      <c r="BX951" s="4">
        <f t="shared" si="520"/>
        <v>0</v>
      </c>
      <c r="BY951" s="4">
        <f t="shared" si="521"/>
        <v>0</v>
      </c>
      <c r="BZ951" s="37">
        <f t="shared" si="522"/>
        <v>92</v>
      </c>
      <c r="CA951" s="32" t="str">
        <f>VLOOKUP(J:J,'Agent wise'!A:C,3,0)</f>
        <v>Amal</v>
      </c>
      <c r="CB951" s="32">
        <f t="shared" si="523"/>
        <v>45946</v>
      </c>
      <c r="CC951" t="str">
        <f t="shared" si="524"/>
        <v>Good</v>
      </c>
      <c r="CE951" s="32"/>
      <c r="CJ951">
        <f t="shared" si="525"/>
        <v>16</v>
      </c>
      <c r="CK951">
        <f t="shared" si="526"/>
        <v>10</v>
      </c>
      <c r="CL951">
        <f t="shared" si="527"/>
        <v>2025</v>
      </c>
    </row>
    <row r="952" spans="1:90" ht="15" customHeight="1" x14ac:dyDescent="0.35">
      <c r="A952" t="s">
        <v>2335</v>
      </c>
      <c r="B952" t="s">
        <v>250</v>
      </c>
      <c r="C952" t="s">
        <v>214</v>
      </c>
      <c r="D952" t="s">
        <v>251</v>
      </c>
      <c r="E952" s="32">
        <v>45946</v>
      </c>
      <c r="F952" t="s">
        <v>222</v>
      </c>
      <c r="G952" t="s">
        <v>1897</v>
      </c>
      <c r="H952">
        <v>8547557580</v>
      </c>
      <c r="I952">
        <v>131</v>
      </c>
      <c r="J952" t="s">
        <v>568</v>
      </c>
      <c r="K952" t="s">
        <v>57</v>
      </c>
      <c r="L952" t="s">
        <v>58</v>
      </c>
      <c r="M952" t="s">
        <v>59</v>
      </c>
      <c r="N952" t="s">
        <v>59</v>
      </c>
      <c r="O952" t="s">
        <v>59</v>
      </c>
      <c r="P952" t="s">
        <v>59</v>
      </c>
      <c r="Q952" t="s">
        <v>59</v>
      </c>
      <c r="R952" t="s">
        <v>59</v>
      </c>
      <c r="S952" t="s">
        <v>59</v>
      </c>
      <c r="T952" t="s">
        <v>59</v>
      </c>
      <c r="U952" t="s">
        <v>60</v>
      </c>
      <c r="V952" t="s">
        <v>59</v>
      </c>
      <c r="W952" t="s">
        <v>59</v>
      </c>
      <c r="X952" t="s">
        <v>59</v>
      </c>
      <c r="Y952" t="s">
        <v>59</v>
      </c>
      <c r="Z952" t="s">
        <v>59</v>
      </c>
      <c r="AA952" t="s">
        <v>59</v>
      </c>
      <c r="AB952" t="s">
        <v>59</v>
      </c>
      <c r="AC952" t="s">
        <v>59</v>
      </c>
      <c r="AD952" t="s">
        <v>59</v>
      </c>
      <c r="AE952" t="s">
        <v>59</v>
      </c>
      <c r="AF952" t="s">
        <v>59</v>
      </c>
      <c r="AG952" t="s">
        <v>59</v>
      </c>
      <c r="AH952" t="s">
        <v>61</v>
      </c>
      <c r="AI952" t="s">
        <v>61</v>
      </c>
      <c r="AJ952" t="s">
        <v>59</v>
      </c>
      <c r="AK952" t="s">
        <v>59</v>
      </c>
      <c r="AL952" t="s">
        <v>60</v>
      </c>
      <c r="AM952" t="s">
        <v>59</v>
      </c>
      <c r="AN952" t="s">
        <v>59</v>
      </c>
      <c r="AO952" t="s">
        <v>59</v>
      </c>
      <c r="AP952" t="s">
        <v>2046</v>
      </c>
      <c r="AQ952" t="s">
        <v>2336</v>
      </c>
      <c r="AR952" t="s">
        <v>64</v>
      </c>
      <c r="AS952" t="s">
        <v>695</v>
      </c>
      <c r="AT952" t="s">
        <v>394</v>
      </c>
      <c r="AU952" t="s">
        <v>219</v>
      </c>
      <c r="AW952" s="4">
        <f t="shared" si="493"/>
        <v>6</v>
      </c>
      <c r="AX952" s="4">
        <f t="shared" si="494"/>
        <v>4</v>
      </c>
      <c r="AY952" s="4">
        <f t="shared" si="495"/>
        <v>4</v>
      </c>
      <c r="AZ952" s="4">
        <f t="shared" si="496"/>
        <v>2</v>
      </c>
      <c r="BA952" s="4">
        <f t="shared" si="497"/>
        <v>4</v>
      </c>
      <c r="BB952" s="4">
        <f t="shared" si="498"/>
        <v>4</v>
      </c>
      <c r="BC952" s="4">
        <f t="shared" si="499"/>
        <v>4</v>
      </c>
      <c r="BD952" s="4">
        <f t="shared" si="500"/>
        <v>2</v>
      </c>
      <c r="BE952" s="4" t="str">
        <f t="shared" si="501"/>
        <v>0</v>
      </c>
      <c r="BF952" s="4">
        <f t="shared" si="502"/>
        <v>2</v>
      </c>
      <c r="BG952" s="4">
        <f t="shared" si="503"/>
        <v>4</v>
      </c>
      <c r="BH952" s="4">
        <f t="shared" si="504"/>
        <v>4</v>
      </c>
      <c r="BI952" s="4">
        <f t="shared" si="505"/>
        <v>4</v>
      </c>
      <c r="BJ952" s="4">
        <f t="shared" si="506"/>
        <v>2</v>
      </c>
      <c r="BK952" s="4">
        <f t="shared" si="507"/>
        <v>4</v>
      </c>
      <c r="BL952" s="4">
        <f t="shared" si="508"/>
        <v>2</v>
      </c>
      <c r="BM952" s="4">
        <f t="shared" si="509"/>
        <v>4</v>
      </c>
      <c r="BN952" s="4">
        <f t="shared" si="510"/>
        <v>4</v>
      </c>
      <c r="BO952" s="4">
        <f t="shared" si="511"/>
        <v>4</v>
      </c>
      <c r="BP952" s="4">
        <f t="shared" si="512"/>
        <v>4</v>
      </c>
      <c r="BQ952" s="4">
        <f t="shared" si="513"/>
        <v>6</v>
      </c>
      <c r="BR952" s="4">
        <f t="shared" si="514"/>
        <v>4</v>
      </c>
      <c r="BS952" s="4">
        <f t="shared" si="515"/>
        <v>4</v>
      </c>
      <c r="BT952" s="4">
        <f t="shared" si="516"/>
        <v>4</v>
      </c>
      <c r="BU952" s="4">
        <f t="shared" si="517"/>
        <v>4</v>
      </c>
      <c r="BV952" s="4" t="str">
        <f t="shared" si="518"/>
        <v>0</v>
      </c>
      <c r="BW952" s="4">
        <f t="shared" si="519"/>
        <v>6</v>
      </c>
      <c r="BX952" s="4">
        <f t="shared" si="520"/>
        <v>0</v>
      </c>
      <c r="BY952" s="4">
        <f t="shared" si="521"/>
        <v>0</v>
      </c>
      <c r="BZ952" s="37">
        <f t="shared" si="522"/>
        <v>96</v>
      </c>
      <c r="CA952" s="32" t="str">
        <f>VLOOKUP(J:J,'Agent wise'!A:C,3,0)</f>
        <v>Amal</v>
      </c>
      <c r="CB952" s="32">
        <f t="shared" si="523"/>
        <v>45946</v>
      </c>
      <c r="CC952" t="str">
        <f t="shared" si="524"/>
        <v>Excellent</v>
      </c>
      <c r="CE952" s="32"/>
      <c r="CJ952">
        <f t="shared" si="525"/>
        <v>16</v>
      </c>
      <c r="CK952">
        <f t="shared" si="526"/>
        <v>10</v>
      </c>
      <c r="CL952">
        <f t="shared" si="527"/>
        <v>2025</v>
      </c>
    </row>
    <row r="953" spans="1:90" ht="15" customHeight="1" x14ac:dyDescent="0.35">
      <c r="A953" t="s">
        <v>2337</v>
      </c>
      <c r="B953" t="s">
        <v>250</v>
      </c>
      <c r="C953" t="s">
        <v>214</v>
      </c>
      <c r="D953" t="s">
        <v>251</v>
      </c>
      <c r="E953" s="32">
        <v>45946</v>
      </c>
      <c r="F953" t="s">
        <v>222</v>
      </c>
      <c r="G953" t="s">
        <v>1897</v>
      </c>
      <c r="H953">
        <v>8590527900</v>
      </c>
      <c r="I953">
        <v>151</v>
      </c>
      <c r="J953" t="s">
        <v>501</v>
      </c>
      <c r="K953" t="s">
        <v>57</v>
      </c>
      <c r="L953" t="s">
        <v>58</v>
      </c>
      <c r="M953" t="s">
        <v>59</v>
      </c>
      <c r="N953" t="s">
        <v>59</v>
      </c>
      <c r="O953" t="s">
        <v>59</v>
      </c>
      <c r="P953" t="s">
        <v>59</v>
      </c>
      <c r="Q953" t="s">
        <v>59</v>
      </c>
      <c r="R953" t="s">
        <v>59</v>
      </c>
      <c r="S953" t="s">
        <v>59</v>
      </c>
      <c r="T953" t="s">
        <v>59</v>
      </c>
      <c r="U953" t="s">
        <v>60</v>
      </c>
      <c r="V953" t="s">
        <v>59</v>
      </c>
      <c r="W953" t="s">
        <v>59</v>
      </c>
      <c r="X953" t="s">
        <v>59</v>
      </c>
      <c r="Y953" t="s">
        <v>59</v>
      </c>
      <c r="Z953" t="s">
        <v>59</v>
      </c>
      <c r="AA953" t="s">
        <v>59</v>
      </c>
      <c r="AB953" t="s">
        <v>59</v>
      </c>
      <c r="AC953" t="s">
        <v>60</v>
      </c>
      <c r="AD953" t="s">
        <v>59</v>
      </c>
      <c r="AE953" t="s">
        <v>59</v>
      </c>
      <c r="AF953" t="s">
        <v>59</v>
      </c>
      <c r="AG953" t="s">
        <v>59</v>
      </c>
      <c r="AH953" t="s">
        <v>61</v>
      </c>
      <c r="AI953" t="s">
        <v>61</v>
      </c>
      <c r="AJ953" t="s">
        <v>59</v>
      </c>
      <c r="AK953" t="s">
        <v>59</v>
      </c>
      <c r="AL953" t="s">
        <v>60</v>
      </c>
      <c r="AM953" t="s">
        <v>59</v>
      </c>
      <c r="AN953" t="s">
        <v>59</v>
      </c>
      <c r="AO953" t="s">
        <v>59</v>
      </c>
      <c r="AP953" t="s">
        <v>2338</v>
      </c>
      <c r="AQ953" t="s">
        <v>2339</v>
      </c>
      <c r="AR953" t="s">
        <v>226</v>
      </c>
      <c r="AS953" t="s">
        <v>2340</v>
      </c>
      <c r="AT953" t="s">
        <v>394</v>
      </c>
      <c r="AU953" t="s">
        <v>219</v>
      </c>
      <c r="AW953" s="4">
        <f t="shared" si="493"/>
        <v>6</v>
      </c>
      <c r="AX953" s="4">
        <f t="shared" si="494"/>
        <v>4</v>
      </c>
      <c r="AY953" s="4">
        <f t="shared" si="495"/>
        <v>4</v>
      </c>
      <c r="AZ953" s="4">
        <f t="shared" si="496"/>
        <v>2</v>
      </c>
      <c r="BA953" s="4">
        <f t="shared" si="497"/>
        <v>4</v>
      </c>
      <c r="BB953" s="4">
        <f t="shared" si="498"/>
        <v>4</v>
      </c>
      <c r="BC953" s="4">
        <f t="shared" si="499"/>
        <v>4</v>
      </c>
      <c r="BD953" s="4">
        <f t="shared" si="500"/>
        <v>2</v>
      </c>
      <c r="BE953" s="4" t="str">
        <f t="shared" si="501"/>
        <v>0</v>
      </c>
      <c r="BF953" s="4">
        <f t="shared" si="502"/>
        <v>2</v>
      </c>
      <c r="BG953" s="4">
        <f t="shared" si="503"/>
        <v>4</v>
      </c>
      <c r="BH953" s="4">
        <f t="shared" si="504"/>
        <v>4</v>
      </c>
      <c r="BI953" s="4">
        <f t="shared" si="505"/>
        <v>4</v>
      </c>
      <c r="BJ953" s="4">
        <f t="shared" si="506"/>
        <v>2</v>
      </c>
      <c r="BK953" s="4">
        <f t="shared" si="507"/>
        <v>4</v>
      </c>
      <c r="BL953" s="4">
        <f t="shared" si="508"/>
        <v>2</v>
      </c>
      <c r="BM953" s="4" t="str">
        <f t="shared" si="509"/>
        <v>0</v>
      </c>
      <c r="BN953" s="4">
        <f t="shared" si="510"/>
        <v>4</v>
      </c>
      <c r="BO953" s="4">
        <f t="shared" si="511"/>
        <v>4</v>
      </c>
      <c r="BP953" s="4">
        <f t="shared" si="512"/>
        <v>4</v>
      </c>
      <c r="BQ953" s="4">
        <f t="shared" si="513"/>
        <v>6</v>
      </c>
      <c r="BR953" s="4">
        <f t="shared" si="514"/>
        <v>4</v>
      </c>
      <c r="BS953" s="4">
        <f t="shared" si="515"/>
        <v>4</v>
      </c>
      <c r="BT953" s="4">
        <f t="shared" si="516"/>
        <v>4</v>
      </c>
      <c r="BU953" s="4">
        <f t="shared" si="517"/>
        <v>4</v>
      </c>
      <c r="BV953" s="4" t="str">
        <f t="shared" si="518"/>
        <v>0</v>
      </c>
      <c r="BW953" s="4">
        <f t="shared" si="519"/>
        <v>6</v>
      </c>
      <c r="BX953" s="4">
        <f t="shared" si="520"/>
        <v>0</v>
      </c>
      <c r="BY953" s="4">
        <f t="shared" si="521"/>
        <v>0</v>
      </c>
      <c r="BZ953" s="37">
        <f t="shared" si="522"/>
        <v>92</v>
      </c>
      <c r="CA953" s="32" t="str">
        <f>VLOOKUP(J:J,'Agent wise'!A:C,3,0)</f>
        <v>Amal</v>
      </c>
      <c r="CB953" s="32">
        <f t="shared" si="523"/>
        <v>45946</v>
      </c>
      <c r="CC953" t="str">
        <f t="shared" si="524"/>
        <v>Good</v>
      </c>
      <c r="CE953" s="32"/>
      <c r="CJ953">
        <f t="shared" si="525"/>
        <v>16</v>
      </c>
      <c r="CK953">
        <f t="shared" si="526"/>
        <v>10</v>
      </c>
      <c r="CL953">
        <f t="shared" si="527"/>
        <v>2025</v>
      </c>
    </row>
    <row r="954" spans="1:90" ht="15" customHeight="1" x14ac:dyDescent="0.35">
      <c r="A954" t="s">
        <v>2341</v>
      </c>
      <c r="B954" t="s">
        <v>250</v>
      </c>
      <c r="C954" t="s">
        <v>214</v>
      </c>
      <c r="D954" t="s">
        <v>251</v>
      </c>
      <c r="E954" s="32">
        <v>45946</v>
      </c>
      <c r="F954" t="s">
        <v>222</v>
      </c>
      <c r="G954" t="s">
        <v>1897</v>
      </c>
      <c r="H954">
        <v>8870614514</v>
      </c>
      <c r="I954">
        <v>145</v>
      </c>
      <c r="J954" t="s">
        <v>409</v>
      </c>
      <c r="K954" t="s">
        <v>71</v>
      </c>
      <c r="L954" t="s">
        <v>72</v>
      </c>
      <c r="M954" t="s">
        <v>59</v>
      </c>
      <c r="N954" t="s">
        <v>59</v>
      </c>
      <c r="O954" t="s">
        <v>59</v>
      </c>
      <c r="P954" t="s">
        <v>59</v>
      </c>
      <c r="Q954" t="s">
        <v>59</v>
      </c>
      <c r="R954" t="s">
        <v>59</v>
      </c>
      <c r="S954" t="s">
        <v>59</v>
      </c>
      <c r="T954" t="s">
        <v>59</v>
      </c>
      <c r="U954" t="s">
        <v>60</v>
      </c>
      <c r="V954" t="s">
        <v>59</v>
      </c>
      <c r="W954" t="s">
        <v>59</v>
      </c>
      <c r="X954" t="s">
        <v>59</v>
      </c>
      <c r="Y954" t="s">
        <v>59</v>
      </c>
      <c r="Z954" t="s">
        <v>59</v>
      </c>
      <c r="AA954" t="s">
        <v>59</v>
      </c>
      <c r="AB954" t="s">
        <v>60</v>
      </c>
      <c r="AC954" t="s">
        <v>59</v>
      </c>
      <c r="AD954" t="s">
        <v>59</v>
      </c>
      <c r="AE954" t="s">
        <v>59</v>
      </c>
      <c r="AF954" t="s">
        <v>59</v>
      </c>
      <c r="AG954" t="s">
        <v>59</v>
      </c>
      <c r="AH954" t="s">
        <v>61</v>
      </c>
      <c r="AI954" t="s">
        <v>61</v>
      </c>
      <c r="AJ954" t="s">
        <v>59</v>
      </c>
      <c r="AK954" t="s">
        <v>59</v>
      </c>
      <c r="AL954" t="s">
        <v>60</v>
      </c>
      <c r="AM954" t="s">
        <v>59</v>
      </c>
      <c r="AN954" t="s">
        <v>59</v>
      </c>
      <c r="AO954" t="s">
        <v>59</v>
      </c>
      <c r="AP954" t="s">
        <v>392</v>
      </c>
      <c r="AQ954" t="s">
        <v>2342</v>
      </c>
      <c r="AR954" t="s">
        <v>226</v>
      </c>
      <c r="AS954" t="s">
        <v>684</v>
      </c>
      <c r="AT954" t="s">
        <v>331</v>
      </c>
      <c r="AU954" t="s">
        <v>219</v>
      </c>
      <c r="AW954" s="4">
        <f t="shared" si="493"/>
        <v>6</v>
      </c>
      <c r="AX954" s="4">
        <f t="shared" si="494"/>
        <v>4</v>
      </c>
      <c r="AY954" s="4">
        <f t="shared" si="495"/>
        <v>4</v>
      </c>
      <c r="AZ954" s="4">
        <f t="shared" si="496"/>
        <v>2</v>
      </c>
      <c r="BA954" s="4">
        <f t="shared" si="497"/>
        <v>4</v>
      </c>
      <c r="BB954" s="4">
        <f t="shared" si="498"/>
        <v>4</v>
      </c>
      <c r="BC954" s="4">
        <f t="shared" si="499"/>
        <v>4</v>
      </c>
      <c r="BD954" s="4">
        <f t="shared" si="500"/>
        <v>2</v>
      </c>
      <c r="BE954" s="4" t="str">
        <f t="shared" si="501"/>
        <v>0</v>
      </c>
      <c r="BF954" s="4">
        <f t="shared" si="502"/>
        <v>2</v>
      </c>
      <c r="BG954" s="4">
        <f t="shared" si="503"/>
        <v>4</v>
      </c>
      <c r="BH954" s="4">
        <f t="shared" si="504"/>
        <v>4</v>
      </c>
      <c r="BI954" s="4">
        <f t="shared" si="505"/>
        <v>4</v>
      </c>
      <c r="BJ954" s="4">
        <f t="shared" si="506"/>
        <v>2</v>
      </c>
      <c r="BK954" s="4">
        <f t="shared" si="507"/>
        <v>4</v>
      </c>
      <c r="BL954" s="4" t="str">
        <f t="shared" si="508"/>
        <v>0</v>
      </c>
      <c r="BM954" s="4">
        <f t="shared" si="509"/>
        <v>4</v>
      </c>
      <c r="BN954" s="4">
        <f t="shared" si="510"/>
        <v>4</v>
      </c>
      <c r="BO954" s="4">
        <f t="shared" si="511"/>
        <v>4</v>
      </c>
      <c r="BP954" s="4">
        <f t="shared" si="512"/>
        <v>4</v>
      </c>
      <c r="BQ954" s="4">
        <f t="shared" si="513"/>
        <v>6</v>
      </c>
      <c r="BR954" s="4">
        <f t="shared" si="514"/>
        <v>4</v>
      </c>
      <c r="BS954" s="4">
        <f t="shared" si="515"/>
        <v>4</v>
      </c>
      <c r="BT954" s="4">
        <f t="shared" si="516"/>
        <v>4</v>
      </c>
      <c r="BU954" s="4">
        <f t="shared" si="517"/>
        <v>4</v>
      </c>
      <c r="BV954" s="4" t="str">
        <f t="shared" si="518"/>
        <v>0</v>
      </c>
      <c r="BW954" s="4">
        <f t="shared" si="519"/>
        <v>6</v>
      </c>
      <c r="BX954" s="4">
        <f t="shared" si="520"/>
        <v>0</v>
      </c>
      <c r="BY954" s="4">
        <f t="shared" si="521"/>
        <v>0</v>
      </c>
      <c r="BZ954" s="37">
        <f t="shared" si="522"/>
        <v>94</v>
      </c>
      <c r="CA954" s="32" t="str">
        <f>VLOOKUP(J:J,'Agent wise'!A:C,3,0)</f>
        <v>Amal</v>
      </c>
      <c r="CB954" s="32">
        <f t="shared" si="523"/>
        <v>45946</v>
      </c>
      <c r="CC954" t="str">
        <f t="shared" si="524"/>
        <v>Good</v>
      </c>
      <c r="CE954" s="32"/>
      <c r="CJ954">
        <f t="shared" si="525"/>
        <v>16</v>
      </c>
      <c r="CK954">
        <f t="shared" si="526"/>
        <v>10</v>
      </c>
      <c r="CL954">
        <f t="shared" si="527"/>
        <v>2025</v>
      </c>
    </row>
    <row r="955" spans="1:90" ht="15" customHeight="1" x14ac:dyDescent="0.35">
      <c r="A955" t="s">
        <v>2343</v>
      </c>
      <c r="B955" t="s">
        <v>250</v>
      </c>
      <c r="C955" t="s">
        <v>214</v>
      </c>
      <c r="D955" t="s">
        <v>251</v>
      </c>
      <c r="E955" s="32">
        <v>45946</v>
      </c>
      <c r="F955" t="s">
        <v>222</v>
      </c>
      <c r="G955" t="s">
        <v>2152</v>
      </c>
      <c r="H955">
        <v>9995266942</v>
      </c>
      <c r="I955">
        <v>155</v>
      </c>
      <c r="J955" t="s">
        <v>246</v>
      </c>
      <c r="K955" t="s">
        <v>57</v>
      </c>
      <c r="L955" t="s">
        <v>58</v>
      </c>
      <c r="M955" t="s">
        <v>59</v>
      </c>
      <c r="N955" t="s">
        <v>59</v>
      </c>
      <c r="O955" t="s">
        <v>59</v>
      </c>
      <c r="P955" t="s">
        <v>59</v>
      </c>
      <c r="Q955" t="s">
        <v>59</v>
      </c>
      <c r="R955" t="s">
        <v>59</v>
      </c>
      <c r="S955" t="s">
        <v>59</v>
      </c>
      <c r="T955" t="s">
        <v>59</v>
      </c>
      <c r="U955" t="s">
        <v>60</v>
      </c>
      <c r="V955" t="s">
        <v>59</v>
      </c>
      <c r="W955" t="s">
        <v>59</v>
      </c>
      <c r="X955" t="s">
        <v>59</v>
      </c>
      <c r="Y955" t="s">
        <v>59</v>
      </c>
      <c r="Z955" t="s">
        <v>59</v>
      </c>
      <c r="AA955" t="s">
        <v>59</v>
      </c>
      <c r="AB955" t="s">
        <v>59</v>
      </c>
      <c r="AC955" t="s">
        <v>59</v>
      </c>
      <c r="AD955" t="s">
        <v>59</v>
      </c>
      <c r="AE955" t="s">
        <v>59</v>
      </c>
      <c r="AF955" t="s">
        <v>59</v>
      </c>
      <c r="AG955" t="s">
        <v>59</v>
      </c>
      <c r="AH955" t="s">
        <v>61</v>
      </c>
      <c r="AI955" t="s">
        <v>60</v>
      </c>
      <c r="AJ955" t="s">
        <v>59</v>
      </c>
      <c r="AK955" t="s">
        <v>59</v>
      </c>
      <c r="AL955" t="s">
        <v>60</v>
      </c>
      <c r="AM955" t="s">
        <v>59</v>
      </c>
      <c r="AN955" t="s">
        <v>59</v>
      </c>
      <c r="AO955" t="s">
        <v>59</v>
      </c>
      <c r="AP955" t="s">
        <v>2344</v>
      </c>
      <c r="AQ955" t="s">
        <v>2345</v>
      </c>
      <c r="AR955" t="s">
        <v>226</v>
      </c>
      <c r="AS955" t="s">
        <v>695</v>
      </c>
      <c r="AT955" t="s">
        <v>331</v>
      </c>
      <c r="AU955" t="s">
        <v>219</v>
      </c>
      <c r="AW955" s="4">
        <f t="shared" si="493"/>
        <v>6</v>
      </c>
      <c r="AX955" s="4">
        <f t="shared" si="494"/>
        <v>4</v>
      </c>
      <c r="AY955" s="4">
        <f t="shared" si="495"/>
        <v>4</v>
      </c>
      <c r="AZ955" s="4">
        <f t="shared" si="496"/>
        <v>2</v>
      </c>
      <c r="BA955" s="4">
        <f t="shared" si="497"/>
        <v>4</v>
      </c>
      <c r="BB955" s="4">
        <f t="shared" si="498"/>
        <v>4</v>
      </c>
      <c r="BC955" s="4">
        <f t="shared" si="499"/>
        <v>4</v>
      </c>
      <c r="BD955" s="4">
        <f t="shared" si="500"/>
        <v>2</v>
      </c>
      <c r="BE955" s="4" t="str">
        <f t="shared" si="501"/>
        <v>0</v>
      </c>
      <c r="BF955" s="4">
        <f t="shared" si="502"/>
        <v>2</v>
      </c>
      <c r="BG955" s="4">
        <f t="shared" si="503"/>
        <v>4</v>
      </c>
      <c r="BH955" s="4">
        <f t="shared" si="504"/>
        <v>4</v>
      </c>
      <c r="BI955" s="4">
        <f t="shared" si="505"/>
        <v>4</v>
      </c>
      <c r="BJ955" s="4">
        <f t="shared" si="506"/>
        <v>2</v>
      </c>
      <c r="BK955" s="4">
        <f t="shared" si="507"/>
        <v>4</v>
      </c>
      <c r="BL955" s="4">
        <f t="shared" si="508"/>
        <v>2</v>
      </c>
      <c r="BM955" s="4">
        <f t="shared" si="509"/>
        <v>4</v>
      </c>
      <c r="BN955" s="4">
        <f t="shared" si="510"/>
        <v>4</v>
      </c>
      <c r="BO955" s="4">
        <f t="shared" si="511"/>
        <v>4</v>
      </c>
      <c r="BP955" s="4">
        <f t="shared" si="512"/>
        <v>4</v>
      </c>
      <c r="BQ955" s="4">
        <f t="shared" si="513"/>
        <v>6</v>
      </c>
      <c r="BR955" s="4">
        <f t="shared" si="514"/>
        <v>4</v>
      </c>
      <c r="BS955" s="4" t="str">
        <f t="shared" si="515"/>
        <v>0</v>
      </c>
      <c r="BT955" s="4">
        <f t="shared" si="516"/>
        <v>4</v>
      </c>
      <c r="BU955" s="4">
        <f t="shared" si="517"/>
        <v>4</v>
      </c>
      <c r="BV955" s="4" t="str">
        <f t="shared" si="518"/>
        <v>0</v>
      </c>
      <c r="BW955" s="4">
        <f t="shared" si="519"/>
        <v>6</v>
      </c>
      <c r="BX955" s="4">
        <f t="shared" si="520"/>
        <v>0</v>
      </c>
      <c r="BY955" s="4">
        <f t="shared" si="521"/>
        <v>0</v>
      </c>
      <c r="BZ955" s="37">
        <f t="shared" si="522"/>
        <v>92</v>
      </c>
      <c r="CA955" s="32" t="str">
        <f>VLOOKUP(J:J,'Agent wise'!A:C,3,0)</f>
        <v>Amal</v>
      </c>
      <c r="CB955" s="32">
        <f t="shared" si="523"/>
        <v>45946</v>
      </c>
      <c r="CC955" t="str">
        <f t="shared" si="524"/>
        <v>Good</v>
      </c>
      <c r="CE955" s="32"/>
      <c r="CJ955">
        <f t="shared" si="525"/>
        <v>16</v>
      </c>
      <c r="CK955">
        <f t="shared" si="526"/>
        <v>10</v>
      </c>
      <c r="CL955">
        <f t="shared" si="527"/>
        <v>2025</v>
      </c>
    </row>
    <row r="956" spans="1:90" ht="15" customHeight="1" x14ac:dyDescent="0.35">
      <c r="A956" t="s">
        <v>2346</v>
      </c>
      <c r="B956" t="s">
        <v>250</v>
      </c>
      <c r="C956" t="s">
        <v>214</v>
      </c>
      <c r="D956" t="s">
        <v>251</v>
      </c>
      <c r="E956" s="32">
        <v>45946</v>
      </c>
      <c r="F956" t="s">
        <v>222</v>
      </c>
      <c r="G956" t="s">
        <v>1897</v>
      </c>
      <c r="H956">
        <v>9895647478</v>
      </c>
      <c r="I956">
        <v>162</v>
      </c>
      <c r="J956" t="s">
        <v>420</v>
      </c>
      <c r="K956" t="s">
        <v>57</v>
      </c>
      <c r="L956" t="s">
        <v>58</v>
      </c>
      <c r="M956" t="s">
        <v>59</v>
      </c>
      <c r="N956" t="s">
        <v>59</v>
      </c>
      <c r="O956" t="s">
        <v>59</v>
      </c>
      <c r="P956" t="s">
        <v>59</v>
      </c>
      <c r="Q956" t="s">
        <v>59</v>
      </c>
      <c r="R956" t="s">
        <v>59</v>
      </c>
      <c r="S956" t="s">
        <v>59</v>
      </c>
      <c r="T956" t="s">
        <v>59</v>
      </c>
      <c r="U956" t="s">
        <v>60</v>
      </c>
      <c r="V956" t="s">
        <v>59</v>
      </c>
      <c r="W956" t="s">
        <v>59</v>
      </c>
      <c r="X956" t="s">
        <v>59</v>
      </c>
      <c r="Y956" t="s">
        <v>59</v>
      </c>
      <c r="Z956" t="s">
        <v>59</v>
      </c>
      <c r="AA956" t="s">
        <v>59</v>
      </c>
      <c r="AB956" t="s">
        <v>59</v>
      </c>
      <c r="AC956" t="s">
        <v>59</v>
      </c>
      <c r="AD956" t="s">
        <v>59</v>
      </c>
      <c r="AE956" t="s">
        <v>59</v>
      </c>
      <c r="AF956" t="s">
        <v>59</v>
      </c>
      <c r="AG956" t="s">
        <v>59</v>
      </c>
      <c r="AH956" t="s">
        <v>61</v>
      </c>
      <c r="AI956" t="s">
        <v>59</v>
      </c>
      <c r="AJ956" t="s">
        <v>59</v>
      </c>
      <c r="AK956" t="s">
        <v>59</v>
      </c>
      <c r="AL956" t="s">
        <v>60</v>
      </c>
      <c r="AM956" t="s">
        <v>59</v>
      </c>
      <c r="AN956" t="s">
        <v>59</v>
      </c>
      <c r="AO956" t="s">
        <v>59</v>
      </c>
      <c r="AP956" t="s">
        <v>2347</v>
      </c>
      <c r="AQ956" t="s">
        <v>2348</v>
      </c>
      <c r="AR956" t="s">
        <v>226</v>
      </c>
      <c r="AS956" t="s">
        <v>695</v>
      </c>
      <c r="AT956" t="s">
        <v>331</v>
      </c>
      <c r="AU956" t="s">
        <v>219</v>
      </c>
      <c r="AW956" s="4">
        <f t="shared" si="493"/>
        <v>6</v>
      </c>
      <c r="AX956" s="4">
        <f t="shared" si="494"/>
        <v>4</v>
      </c>
      <c r="AY956" s="4">
        <f t="shared" si="495"/>
        <v>4</v>
      </c>
      <c r="AZ956" s="4">
        <f t="shared" si="496"/>
        <v>2</v>
      </c>
      <c r="BA956" s="4">
        <f t="shared" si="497"/>
        <v>4</v>
      </c>
      <c r="BB956" s="4">
        <f t="shared" si="498"/>
        <v>4</v>
      </c>
      <c r="BC956" s="4">
        <f t="shared" si="499"/>
        <v>4</v>
      </c>
      <c r="BD956" s="4">
        <f t="shared" si="500"/>
        <v>2</v>
      </c>
      <c r="BE956" s="4" t="str">
        <f t="shared" si="501"/>
        <v>0</v>
      </c>
      <c r="BF956" s="4">
        <f t="shared" si="502"/>
        <v>2</v>
      </c>
      <c r="BG956" s="4">
        <f t="shared" si="503"/>
        <v>4</v>
      </c>
      <c r="BH956" s="4">
        <f t="shared" si="504"/>
        <v>4</v>
      </c>
      <c r="BI956" s="4">
        <f t="shared" si="505"/>
        <v>4</v>
      </c>
      <c r="BJ956" s="4">
        <f t="shared" si="506"/>
        <v>2</v>
      </c>
      <c r="BK956" s="4">
        <f t="shared" si="507"/>
        <v>4</v>
      </c>
      <c r="BL956" s="4">
        <f t="shared" si="508"/>
        <v>2</v>
      </c>
      <c r="BM956" s="4">
        <f t="shared" si="509"/>
        <v>4</v>
      </c>
      <c r="BN956" s="4">
        <f t="shared" si="510"/>
        <v>4</v>
      </c>
      <c r="BO956" s="4">
        <f t="shared" si="511"/>
        <v>4</v>
      </c>
      <c r="BP956" s="4">
        <f t="shared" si="512"/>
        <v>4</v>
      </c>
      <c r="BQ956" s="4">
        <f t="shared" si="513"/>
        <v>6</v>
      </c>
      <c r="BR956" s="4">
        <f t="shared" si="514"/>
        <v>4</v>
      </c>
      <c r="BS956" s="4">
        <f t="shared" si="515"/>
        <v>4</v>
      </c>
      <c r="BT956" s="4">
        <f t="shared" si="516"/>
        <v>4</v>
      </c>
      <c r="BU956" s="4">
        <f t="shared" si="517"/>
        <v>4</v>
      </c>
      <c r="BV956" s="4" t="str">
        <f t="shared" si="518"/>
        <v>0</v>
      </c>
      <c r="BW956" s="4">
        <f t="shared" si="519"/>
        <v>6</v>
      </c>
      <c r="BX956" s="4">
        <f t="shared" si="520"/>
        <v>0</v>
      </c>
      <c r="BY956" s="4">
        <f t="shared" si="521"/>
        <v>0</v>
      </c>
      <c r="BZ956" s="37">
        <f t="shared" si="522"/>
        <v>96</v>
      </c>
      <c r="CA956" s="32" t="str">
        <f>VLOOKUP(J:J,'Agent wise'!A:C,3,0)</f>
        <v>Amal</v>
      </c>
      <c r="CB956" s="32">
        <f t="shared" si="523"/>
        <v>45946</v>
      </c>
      <c r="CC956" t="str">
        <f t="shared" si="524"/>
        <v>Excellent</v>
      </c>
      <c r="CE956" s="32"/>
      <c r="CJ956">
        <f t="shared" si="525"/>
        <v>16</v>
      </c>
      <c r="CK956">
        <f t="shared" si="526"/>
        <v>10</v>
      </c>
      <c r="CL956">
        <f t="shared" si="527"/>
        <v>2025</v>
      </c>
    </row>
    <row r="957" spans="1:90" ht="15" customHeight="1" x14ac:dyDescent="0.35">
      <c r="A957" t="s">
        <v>2349</v>
      </c>
      <c r="B957" t="s">
        <v>250</v>
      </c>
      <c r="C957" t="s">
        <v>214</v>
      </c>
      <c r="D957" t="s">
        <v>251</v>
      </c>
      <c r="E957" s="32">
        <v>45946</v>
      </c>
      <c r="F957" t="s">
        <v>222</v>
      </c>
      <c r="G957" t="s">
        <v>1897</v>
      </c>
      <c r="H957">
        <v>9994110546</v>
      </c>
      <c r="I957">
        <v>167</v>
      </c>
      <c r="J957" t="s">
        <v>548</v>
      </c>
      <c r="K957" t="s">
        <v>71</v>
      </c>
      <c r="L957" t="s">
        <v>72</v>
      </c>
      <c r="M957" t="s">
        <v>59</v>
      </c>
      <c r="N957" t="s">
        <v>59</v>
      </c>
      <c r="O957" t="s">
        <v>59</v>
      </c>
      <c r="P957" t="s">
        <v>59</v>
      </c>
      <c r="Q957" t="s">
        <v>59</v>
      </c>
      <c r="R957" t="s">
        <v>59</v>
      </c>
      <c r="S957" t="s">
        <v>59</v>
      </c>
      <c r="T957" t="s">
        <v>59</v>
      </c>
      <c r="U957" t="s">
        <v>59</v>
      </c>
      <c r="V957" t="s">
        <v>59</v>
      </c>
      <c r="W957" t="s">
        <v>59</v>
      </c>
      <c r="X957" t="s">
        <v>59</v>
      </c>
      <c r="Y957" t="s">
        <v>59</v>
      </c>
      <c r="Z957" t="s">
        <v>59</v>
      </c>
      <c r="AA957" t="s">
        <v>59</v>
      </c>
      <c r="AB957" t="s">
        <v>59</v>
      </c>
      <c r="AC957" t="s">
        <v>59</v>
      </c>
      <c r="AD957" t="s">
        <v>59</v>
      </c>
      <c r="AE957" t="s">
        <v>59</v>
      </c>
      <c r="AF957" t="s">
        <v>59</v>
      </c>
      <c r="AG957" t="s">
        <v>59</v>
      </c>
      <c r="AH957" t="s">
        <v>61</v>
      </c>
      <c r="AI957" t="s">
        <v>59</v>
      </c>
      <c r="AJ957" t="s">
        <v>59</v>
      </c>
      <c r="AK957" t="s">
        <v>59</v>
      </c>
      <c r="AL957" t="s">
        <v>59</v>
      </c>
      <c r="AM957" t="s">
        <v>59</v>
      </c>
      <c r="AN957" t="s">
        <v>59</v>
      </c>
      <c r="AO957" t="s">
        <v>59</v>
      </c>
      <c r="AP957" t="s">
        <v>270</v>
      </c>
      <c r="AQ957" t="s">
        <v>2350</v>
      </c>
      <c r="AR957" t="s">
        <v>226</v>
      </c>
      <c r="AS957" t="s">
        <v>695</v>
      </c>
      <c r="AT957" t="s">
        <v>331</v>
      </c>
      <c r="AU957" t="s">
        <v>219</v>
      </c>
      <c r="AW957" s="4">
        <f t="shared" si="493"/>
        <v>6</v>
      </c>
      <c r="AX957" s="4">
        <f t="shared" si="494"/>
        <v>4</v>
      </c>
      <c r="AY957" s="4">
        <f t="shared" si="495"/>
        <v>4</v>
      </c>
      <c r="AZ957" s="4">
        <f t="shared" si="496"/>
        <v>2</v>
      </c>
      <c r="BA957" s="4">
        <f t="shared" si="497"/>
        <v>4</v>
      </c>
      <c r="BB957" s="4">
        <f t="shared" si="498"/>
        <v>4</v>
      </c>
      <c r="BC957" s="4">
        <f t="shared" si="499"/>
        <v>4</v>
      </c>
      <c r="BD957" s="4">
        <f t="shared" si="500"/>
        <v>2</v>
      </c>
      <c r="BE957" s="4">
        <f t="shared" si="501"/>
        <v>4</v>
      </c>
      <c r="BF957" s="4">
        <f t="shared" si="502"/>
        <v>2</v>
      </c>
      <c r="BG957" s="4">
        <f t="shared" si="503"/>
        <v>4</v>
      </c>
      <c r="BH957" s="4">
        <f t="shared" si="504"/>
        <v>4</v>
      </c>
      <c r="BI957" s="4">
        <f t="shared" si="505"/>
        <v>4</v>
      </c>
      <c r="BJ957" s="4">
        <f t="shared" si="506"/>
        <v>2</v>
      </c>
      <c r="BK957" s="4">
        <f t="shared" si="507"/>
        <v>4</v>
      </c>
      <c r="BL957" s="4">
        <f t="shared" si="508"/>
        <v>2</v>
      </c>
      <c r="BM957" s="4">
        <f t="shared" si="509"/>
        <v>4</v>
      </c>
      <c r="BN957" s="4">
        <f t="shared" si="510"/>
        <v>4</v>
      </c>
      <c r="BO957" s="4">
        <f t="shared" si="511"/>
        <v>4</v>
      </c>
      <c r="BP957" s="4">
        <f t="shared" si="512"/>
        <v>4</v>
      </c>
      <c r="BQ957" s="4">
        <f t="shared" si="513"/>
        <v>6</v>
      </c>
      <c r="BR957" s="4">
        <f t="shared" si="514"/>
        <v>4</v>
      </c>
      <c r="BS957" s="4">
        <f t="shared" si="515"/>
        <v>4</v>
      </c>
      <c r="BT957" s="4">
        <f t="shared" si="516"/>
        <v>4</v>
      </c>
      <c r="BU957" s="4">
        <f t="shared" si="517"/>
        <v>4</v>
      </c>
      <c r="BV957" s="4">
        <f t="shared" si="518"/>
        <v>0</v>
      </c>
      <c r="BW957" s="4">
        <f t="shared" si="519"/>
        <v>6</v>
      </c>
      <c r="BX957" s="4">
        <f t="shared" si="520"/>
        <v>0</v>
      </c>
      <c r="BY957" s="4">
        <f t="shared" si="521"/>
        <v>0</v>
      </c>
      <c r="BZ957" s="37">
        <f t="shared" si="522"/>
        <v>100</v>
      </c>
      <c r="CA957" s="32" t="str">
        <f>VLOOKUP(J:J,'Agent wise'!A:C,3,0)</f>
        <v>Adharsh</v>
      </c>
      <c r="CB957" s="32">
        <f t="shared" si="523"/>
        <v>45946</v>
      </c>
      <c r="CC957" t="str">
        <f t="shared" si="524"/>
        <v>Excellent</v>
      </c>
      <c r="CE957" s="32"/>
      <c r="CJ957">
        <f t="shared" si="525"/>
        <v>16</v>
      </c>
      <c r="CK957">
        <f t="shared" si="526"/>
        <v>10</v>
      </c>
      <c r="CL957">
        <f t="shared" si="527"/>
        <v>2025</v>
      </c>
    </row>
    <row r="958" spans="1:90" ht="15" customHeight="1" x14ac:dyDescent="0.35">
      <c r="A958" t="s">
        <v>2351</v>
      </c>
      <c r="B958" t="s">
        <v>250</v>
      </c>
      <c r="C958" t="s">
        <v>214</v>
      </c>
      <c r="D958" t="s">
        <v>251</v>
      </c>
      <c r="E958" s="32">
        <v>45946</v>
      </c>
      <c r="F958" t="s">
        <v>222</v>
      </c>
      <c r="G958" t="s">
        <v>1897</v>
      </c>
      <c r="H958">
        <v>6379565085</v>
      </c>
      <c r="I958">
        <v>157</v>
      </c>
      <c r="J958" t="s">
        <v>234</v>
      </c>
      <c r="K958" t="s">
        <v>71</v>
      </c>
      <c r="L958" t="s">
        <v>72</v>
      </c>
      <c r="M958" t="s">
        <v>59</v>
      </c>
      <c r="N958" t="s">
        <v>59</v>
      </c>
      <c r="O958" t="s">
        <v>59</v>
      </c>
      <c r="P958" t="s">
        <v>59</v>
      </c>
      <c r="Q958" t="s">
        <v>59</v>
      </c>
      <c r="R958" t="s">
        <v>59</v>
      </c>
      <c r="S958" t="s">
        <v>59</v>
      </c>
      <c r="T958" t="s">
        <v>59</v>
      </c>
      <c r="U958" t="s">
        <v>60</v>
      </c>
      <c r="V958" t="s">
        <v>59</v>
      </c>
      <c r="W958" t="s">
        <v>59</v>
      </c>
      <c r="X958" t="s">
        <v>59</v>
      </c>
      <c r="Y958" t="s">
        <v>59</v>
      </c>
      <c r="Z958" t="s">
        <v>60</v>
      </c>
      <c r="AA958" t="s">
        <v>60</v>
      </c>
      <c r="AB958" t="s">
        <v>59</v>
      </c>
      <c r="AC958" t="s">
        <v>59</v>
      </c>
      <c r="AD958" t="s">
        <v>59</v>
      </c>
      <c r="AE958" t="s">
        <v>59</v>
      </c>
      <c r="AF958" t="s">
        <v>59</v>
      </c>
      <c r="AG958" t="s">
        <v>59</v>
      </c>
      <c r="AH958" t="s">
        <v>61</v>
      </c>
      <c r="AI958" t="s">
        <v>61</v>
      </c>
      <c r="AJ958" t="s">
        <v>59</v>
      </c>
      <c r="AK958" t="s">
        <v>59</v>
      </c>
      <c r="AL958" t="s">
        <v>60</v>
      </c>
      <c r="AM958" t="s">
        <v>59</v>
      </c>
      <c r="AN958" t="s">
        <v>59</v>
      </c>
      <c r="AO958" t="s">
        <v>59</v>
      </c>
      <c r="AP958" t="s">
        <v>2352</v>
      </c>
      <c r="AQ958" t="s">
        <v>2353</v>
      </c>
      <c r="AR958" t="s">
        <v>226</v>
      </c>
      <c r="AS958" t="s">
        <v>2354</v>
      </c>
      <c r="AT958" t="s">
        <v>394</v>
      </c>
      <c r="AU958" t="s">
        <v>219</v>
      </c>
      <c r="AW958" s="4">
        <f t="shared" si="493"/>
        <v>6</v>
      </c>
      <c r="AX958" s="4">
        <f t="shared" si="494"/>
        <v>4</v>
      </c>
      <c r="AY958" s="4">
        <f t="shared" si="495"/>
        <v>4</v>
      </c>
      <c r="AZ958" s="4">
        <f t="shared" si="496"/>
        <v>2</v>
      </c>
      <c r="BA958" s="4">
        <f t="shared" si="497"/>
        <v>4</v>
      </c>
      <c r="BB958" s="4">
        <f t="shared" si="498"/>
        <v>4</v>
      </c>
      <c r="BC958" s="4">
        <f t="shared" si="499"/>
        <v>4</v>
      </c>
      <c r="BD958" s="4">
        <f t="shared" si="500"/>
        <v>2</v>
      </c>
      <c r="BE958" s="4" t="str">
        <f t="shared" si="501"/>
        <v>0</v>
      </c>
      <c r="BF958" s="4">
        <f t="shared" si="502"/>
        <v>2</v>
      </c>
      <c r="BG958" s="4">
        <f t="shared" si="503"/>
        <v>4</v>
      </c>
      <c r="BH958" s="4">
        <f t="shared" si="504"/>
        <v>4</v>
      </c>
      <c r="BI958" s="4">
        <f t="shared" si="505"/>
        <v>4</v>
      </c>
      <c r="BJ958" s="4" t="str">
        <f t="shared" si="506"/>
        <v>0</v>
      </c>
      <c r="BK958" s="4" t="str">
        <f t="shared" si="507"/>
        <v>0</v>
      </c>
      <c r="BL958" s="4">
        <f t="shared" si="508"/>
        <v>2</v>
      </c>
      <c r="BM958" s="4">
        <f t="shared" si="509"/>
        <v>4</v>
      </c>
      <c r="BN958" s="4">
        <f t="shared" si="510"/>
        <v>4</v>
      </c>
      <c r="BO958" s="4">
        <f t="shared" si="511"/>
        <v>4</v>
      </c>
      <c r="BP958" s="4">
        <f t="shared" si="512"/>
        <v>4</v>
      </c>
      <c r="BQ958" s="4">
        <f t="shared" si="513"/>
        <v>6</v>
      </c>
      <c r="BR958" s="4">
        <f t="shared" si="514"/>
        <v>4</v>
      </c>
      <c r="BS958" s="4">
        <f t="shared" si="515"/>
        <v>4</v>
      </c>
      <c r="BT958" s="4">
        <f t="shared" si="516"/>
        <v>4</v>
      </c>
      <c r="BU958" s="4">
        <f t="shared" si="517"/>
        <v>4</v>
      </c>
      <c r="BV958" s="4" t="str">
        <f t="shared" si="518"/>
        <v>0</v>
      </c>
      <c r="BW958" s="4">
        <f t="shared" si="519"/>
        <v>6</v>
      </c>
      <c r="BX958" s="4">
        <f t="shared" si="520"/>
        <v>0</v>
      </c>
      <c r="BY958" s="4">
        <f t="shared" si="521"/>
        <v>0</v>
      </c>
      <c r="BZ958" s="37">
        <f t="shared" si="522"/>
        <v>90</v>
      </c>
      <c r="CA958" s="32" t="str">
        <f>VLOOKUP(J:J,'Agent wise'!A:C,3,0)</f>
        <v>Amal</v>
      </c>
      <c r="CB958" s="32">
        <f t="shared" si="523"/>
        <v>45946</v>
      </c>
      <c r="CC958" t="str">
        <f t="shared" si="524"/>
        <v>Good</v>
      </c>
      <c r="CE958" s="32"/>
      <c r="CJ958">
        <f t="shared" si="525"/>
        <v>16</v>
      </c>
      <c r="CK958">
        <f t="shared" si="526"/>
        <v>10</v>
      </c>
      <c r="CL958">
        <f t="shared" si="527"/>
        <v>2025</v>
      </c>
    </row>
    <row r="959" spans="1:90" ht="15" customHeight="1" x14ac:dyDescent="0.35">
      <c r="A959" t="s">
        <v>2355</v>
      </c>
      <c r="B959" t="s">
        <v>250</v>
      </c>
      <c r="C959" t="s">
        <v>214</v>
      </c>
      <c r="D959" t="s">
        <v>251</v>
      </c>
      <c r="E959" s="32">
        <v>45946</v>
      </c>
      <c r="F959" t="s">
        <v>222</v>
      </c>
      <c r="G959" t="s">
        <v>1897</v>
      </c>
      <c r="H959">
        <v>8122984401</v>
      </c>
      <c r="I959">
        <v>146</v>
      </c>
      <c r="J959" t="s">
        <v>2356</v>
      </c>
      <c r="K959" t="s">
        <v>71</v>
      </c>
      <c r="L959" t="s">
        <v>72</v>
      </c>
      <c r="M959" t="s">
        <v>59</v>
      </c>
      <c r="N959" t="s">
        <v>59</v>
      </c>
      <c r="O959" t="s">
        <v>59</v>
      </c>
      <c r="P959" t="s">
        <v>59</v>
      </c>
      <c r="Q959" t="s">
        <v>59</v>
      </c>
      <c r="R959" t="s">
        <v>59</v>
      </c>
      <c r="S959" t="s">
        <v>59</v>
      </c>
      <c r="T959" t="s">
        <v>59</v>
      </c>
      <c r="U959" t="s">
        <v>59</v>
      </c>
      <c r="V959" t="s">
        <v>59</v>
      </c>
      <c r="W959" t="s">
        <v>59</v>
      </c>
      <c r="X959" t="s">
        <v>59</v>
      </c>
      <c r="Y959" t="s">
        <v>59</v>
      </c>
      <c r="Z959" t="s">
        <v>59</v>
      </c>
      <c r="AA959" t="s">
        <v>59</v>
      </c>
      <c r="AB959" t="s">
        <v>59</v>
      </c>
      <c r="AC959" t="s">
        <v>59</v>
      </c>
      <c r="AD959" t="s">
        <v>59</v>
      </c>
      <c r="AE959" t="s">
        <v>59</v>
      </c>
      <c r="AF959" t="s">
        <v>59</v>
      </c>
      <c r="AG959" t="s">
        <v>59</v>
      </c>
      <c r="AH959" t="s">
        <v>61</v>
      </c>
      <c r="AI959" t="s">
        <v>59</v>
      </c>
      <c r="AJ959" t="s">
        <v>59</v>
      </c>
      <c r="AK959" t="s">
        <v>59</v>
      </c>
      <c r="AL959" t="s">
        <v>59</v>
      </c>
      <c r="AM959" t="s">
        <v>59</v>
      </c>
      <c r="AN959" t="s">
        <v>59</v>
      </c>
      <c r="AO959" t="s">
        <v>59</v>
      </c>
      <c r="AP959" t="s">
        <v>247</v>
      </c>
      <c r="AQ959" t="s">
        <v>2357</v>
      </c>
      <c r="AR959" t="s">
        <v>226</v>
      </c>
      <c r="AS959" t="s">
        <v>695</v>
      </c>
      <c r="AT959" t="s">
        <v>331</v>
      </c>
      <c r="AU959" t="s">
        <v>219</v>
      </c>
      <c r="AW959" s="4">
        <f t="shared" si="493"/>
        <v>6</v>
      </c>
      <c r="AX959" s="4">
        <f t="shared" si="494"/>
        <v>4</v>
      </c>
      <c r="AY959" s="4">
        <f t="shared" si="495"/>
        <v>4</v>
      </c>
      <c r="AZ959" s="4">
        <f t="shared" si="496"/>
        <v>2</v>
      </c>
      <c r="BA959" s="4">
        <f t="shared" si="497"/>
        <v>4</v>
      </c>
      <c r="BB959" s="4">
        <f t="shared" si="498"/>
        <v>4</v>
      </c>
      <c r="BC959" s="4">
        <f t="shared" si="499"/>
        <v>4</v>
      </c>
      <c r="BD959" s="4">
        <f t="shared" si="500"/>
        <v>2</v>
      </c>
      <c r="BE959" s="4">
        <f t="shared" si="501"/>
        <v>4</v>
      </c>
      <c r="BF959" s="4">
        <f t="shared" si="502"/>
        <v>2</v>
      </c>
      <c r="BG959" s="4">
        <f t="shared" si="503"/>
        <v>4</v>
      </c>
      <c r="BH959" s="4">
        <f t="shared" si="504"/>
        <v>4</v>
      </c>
      <c r="BI959" s="4">
        <f t="shared" si="505"/>
        <v>4</v>
      </c>
      <c r="BJ959" s="4">
        <f t="shared" si="506"/>
        <v>2</v>
      </c>
      <c r="BK959" s="4">
        <f t="shared" si="507"/>
        <v>4</v>
      </c>
      <c r="BL959" s="4">
        <f t="shared" si="508"/>
        <v>2</v>
      </c>
      <c r="BM959" s="4">
        <f t="shared" si="509"/>
        <v>4</v>
      </c>
      <c r="BN959" s="4">
        <f t="shared" si="510"/>
        <v>4</v>
      </c>
      <c r="BO959" s="4">
        <f t="shared" si="511"/>
        <v>4</v>
      </c>
      <c r="BP959" s="4">
        <f t="shared" si="512"/>
        <v>4</v>
      </c>
      <c r="BQ959" s="4">
        <f t="shared" si="513"/>
        <v>6</v>
      </c>
      <c r="BR959" s="4">
        <f t="shared" si="514"/>
        <v>4</v>
      </c>
      <c r="BS959" s="4">
        <f t="shared" si="515"/>
        <v>4</v>
      </c>
      <c r="BT959" s="4">
        <f t="shared" si="516"/>
        <v>4</v>
      </c>
      <c r="BU959" s="4">
        <f t="shared" si="517"/>
        <v>4</v>
      </c>
      <c r="BV959" s="4">
        <f t="shared" si="518"/>
        <v>0</v>
      </c>
      <c r="BW959" s="4">
        <f t="shared" si="519"/>
        <v>6</v>
      </c>
      <c r="BX959" s="4">
        <f t="shared" si="520"/>
        <v>0</v>
      </c>
      <c r="BY959" s="4">
        <f t="shared" si="521"/>
        <v>0</v>
      </c>
      <c r="BZ959" s="37">
        <f t="shared" si="522"/>
        <v>100</v>
      </c>
      <c r="CA959" s="32" t="e">
        <f>VLOOKUP(J:J,'Agent wise'!A:C,3,0)</f>
        <v>#N/A</v>
      </c>
      <c r="CB959" s="32">
        <f t="shared" si="523"/>
        <v>45946</v>
      </c>
      <c r="CC959" t="str">
        <f t="shared" si="524"/>
        <v>Excellent</v>
      </c>
      <c r="CE959" s="32"/>
      <c r="CJ959">
        <f t="shared" si="525"/>
        <v>16</v>
      </c>
      <c r="CK959">
        <f t="shared" si="526"/>
        <v>10</v>
      </c>
      <c r="CL959">
        <f t="shared" si="527"/>
        <v>2025</v>
      </c>
    </row>
    <row r="960" spans="1:90" ht="15" customHeight="1" x14ac:dyDescent="0.35">
      <c r="A960" t="s">
        <v>2358</v>
      </c>
      <c r="B960" t="s">
        <v>106</v>
      </c>
      <c r="C960" t="s">
        <v>214</v>
      </c>
      <c r="D960" t="s">
        <v>107</v>
      </c>
      <c r="E960" s="32">
        <v>45946</v>
      </c>
      <c r="F960" t="s">
        <v>54</v>
      </c>
      <c r="G960" t="s">
        <v>2152</v>
      </c>
      <c r="H960">
        <v>9497808229</v>
      </c>
      <c r="I960">
        <v>136</v>
      </c>
      <c r="J960" t="s">
        <v>317</v>
      </c>
      <c r="K960" t="s">
        <v>57</v>
      </c>
      <c r="L960" t="s">
        <v>58</v>
      </c>
      <c r="M960" t="s">
        <v>59</v>
      </c>
      <c r="N960" t="s">
        <v>59</v>
      </c>
      <c r="O960" t="s">
        <v>59</v>
      </c>
      <c r="P960" t="s">
        <v>59</v>
      </c>
      <c r="Q960" t="s">
        <v>59</v>
      </c>
      <c r="R960" t="s">
        <v>59</v>
      </c>
      <c r="S960" t="s">
        <v>59</v>
      </c>
      <c r="T960" t="s">
        <v>59</v>
      </c>
      <c r="U960" t="s">
        <v>60</v>
      </c>
      <c r="V960" t="s">
        <v>59</v>
      </c>
      <c r="W960" t="s">
        <v>59</v>
      </c>
      <c r="X960" t="s">
        <v>61</v>
      </c>
      <c r="Y960" t="s">
        <v>59</v>
      </c>
      <c r="Z960" t="s">
        <v>60</v>
      </c>
      <c r="AA960" t="s">
        <v>60</v>
      </c>
      <c r="AB960" t="s">
        <v>60</v>
      </c>
      <c r="AC960" t="s">
        <v>61</v>
      </c>
      <c r="AD960" t="s">
        <v>61</v>
      </c>
      <c r="AE960" t="s">
        <v>59</v>
      </c>
      <c r="AF960" t="s">
        <v>61</v>
      </c>
      <c r="AG960" t="s">
        <v>59</v>
      </c>
      <c r="AH960" t="s">
        <v>61</v>
      </c>
      <c r="AI960" t="s">
        <v>61</v>
      </c>
      <c r="AJ960" t="s">
        <v>59</v>
      </c>
      <c r="AK960" t="s">
        <v>59</v>
      </c>
      <c r="AL960" t="s">
        <v>60</v>
      </c>
      <c r="AM960" t="s">
        <v>59</v>
      </c>
      <c r="AN960" t="s">
        <v>59</v>
      </c>
      <c r="AO960" t="s">
        <v>59</v>
      </c>
      <c r="AP960" t="s">
        <v>113</v>
      </c>
      <c r="AQ960" t="s">
        <v>833</v>
      </c>
      <c r="AR960" t="s">
        <v>64</v>
      </c>
      <c r="AS960" t="s">
        <v>397</v>
      </c>
      <c r="AT960" t="s">
        <v>649</v>
      </c>
      <c r="AU960" t="s">
        <v>593</v>
      </c>
      <c r="AW960" s="4">
        <f t="shared" si="493"/>
        <v>6</v>
      </c>
      <c r="AX960" s="4">
        <f t="shared" si="494"/>
        <v>4</v>
      </c>
      <c r="AY960" s="4">
        <f t="shared" si="495"/>
        <v>4</v>
      </c>
      <c r="AZ960" s="4">
        <f t="shared" si="496"/>
        <v>2</v>
      </c>
      <c r="BA960" s="4">
        <f t="shared" si="497"/>
        <v>4</v>
      </c>
      <c r="BB960" s="4">
        <f t="shared" si="498"/>
        <v>4</v>
      </c>
      <c r="BC960" s="4">
        <f t="shared" si="499"/>
        <v>4</v>
      </c>
      <c r="BD960" s="4">
        <f t="shared" si="500"/>
        <v>2</v>
      </c>
      <c r="BE960" s="4" t="str">
        <f t="shared" si="501"/>
        <v>0</v>
      </c>
      <c r="BF960" s="4">
        <f t="shared" si="502"/>
        <v>2</v>
      </c>
      <c r="BG960" s="4">
        <f t="shared" si="503"/>
        <v>4</v>
      </c>
      <c r="BH960" s="4">
        <f t="shared" si="504"/>
        <v>4</v>
      </c>
      <c r="BI960" s="4">
        <f t="shared" si="505"/>
        <v>4</v>
      </c>
      <c r="BJ960" s="4" t="str">
        <f t="shared" si="506"/>
        <v>0</v>
      </c>
      <c r="BK960" s="4" t="str">
        <f t="shared" si="507"/>
        <v>0</v>
      </c>
      <c r="BL960" s="4" t="str">
        <f t="shared" si="508"/>
        <v>0</v>
      </c>
      <c r="BM960" s="4">
        <f t="shared" si="509"/>
        <v>4</v>
      </c>
      <c r="BN960" s="4">
        <f t="shared" si="510"/>
        <v>4</v>
      </c>
      <c r="BO960" s="4">
        <f t="shared" si="511"/>
        <v>4</v>
      </c>
      <c r="BP960" s="4">
        <f t="shared" si="512"/>
        <v>4</v>
      </c>
      <c r="BQ960" s="4">
        <f t="shared" si="513"/>
        <v>6</v>
      </c>
      <c r="BR960" s="4">
        <f t="shared" si="514"/>
        <v>4</v>
      </c>
      <c r="BS960" s="4">
        <f t="shared" si="515"/>
        <v>4</v>
      </c>
      <c r="BT960" s="4">
        <f t="shared" si="516"/>
        <v>4</v>
      </c>
      <c r="BU960" s="4">
        <f t="shared" si="517"/>
        <v>4</v>
      </c>
      <c r="BV960" s="4" t="str">
        <f t="shared" si="518"/>
        <v>0</v>
      </c>
      <c r="BW960" s="4">
        <f t="shared" si="519"/>
        <v>6</v>
      </c>
      <c r="BX960" s="4">
        <f t="shared" si="520"/>
        <v>0</v>
      </c>
      <c r="BY960" s="4">
        <f t="shared" si="521"/>
        <v>0</v>
      </c>
      <c r="BZ960" s="37">
        <f t="shared" si="522"/>
        <v>88</v>
      </c>
      <c r="CA960" s="32" t="str">
        <f>VLOOKUP(J:J,'Agent wise'!A:C,3,0)</f>
        <v>Adharsh</v>
      </c>
      <c r="CB960" s="32">
        <f t="shared" si="523"/>
        <v>45946</v>
      </c>
      <c r="CC960" t="str">
        <f t="shared" si="524"/>
        <v>Average</v>
      </c>
      <c r="CE960" s="32"/>
      <c r="CJ960">
        <f t="shared" si="525"/>
        <v>16</v>
      </c>
      <c r="CK960">
        <f t="shared" si="526"/>
        <v>10</v>
      </c>
      <c r="CL960">
        <f t="shared" si="527"/>
        <v>2025</v>
      </c>
    </row>
    <row r="961" spans="1:90" ht="15" customHeight="1" x14ac:dyDescent="0.35">
      <c r="A961" t="s">
        <v>2359</v>
      </c>
      <c r="B961" t="s">
        <v>106</v>
      </c>
      <c r="C961" t="s">
        <v>214</v>
      </c>
      <c r="D961" t="s">
        <v>107</v>
      </c>
      <c r="E961" s="32">
        <v>45946</v>
      </c>
      <c r="F961" t="s">
        <v>54</v>
      </c>
      <c r="G961" t="s">
        <v>2152</v>
      </c>
      <c r="H961">
        <v>8289978661</v>
      </c>
      <c r="I961">
        <v>130</v>
      </c>
      <c r="J961" t="s">
        <v>317</v>
      </c>
      <c r="K961" t="s">
        <v>57</v>
      </c>
      <c r="L961" t="s">
        <v>58</v>
      </c>
      <c r="M961" t="s">
        <v>59</v>
      </c>
      <c r="N961" t="s">
        <v>59</v>
      </c>
      <c r="O961" t="s">
        <v>59</v>
      </c>
      <c r="P961" t="s">
        <v>59</v>
      </c>
      <c r="Q961" t="s">
        <v>59</v>
      </c>
      <c r="R961" t="s">
        <v>59</v>
      </c>
      <c r="S961" t="s">
        <v>59</v>
      </c>
      <c r="T961" t="s">
        <v>59</v>
      </c>
      <c r="U961" t="s">
        <v>60</v>
      </c>
      <c r="V961" t="s">
        <v>59</v>
      </c>
      <c r="W961" t="s">
        <v>59</v>
      </c>
      <c r="X961" t="s">
        <v>61</v>
      </c>
      <c r="Y961" t="s">
        <v>59</v>
      </c>
      <c r="Z961" t="s">
        <v>59</v>
      </c>
      <c r="AA961" t="s">
        <v>60</v>
      </c>
      <c r="AB961" t="s">
        <v>60</v>
      </c>
      <c r="AC961" t="s">
        <v>61</v>
      </c>
      <c r="AD961" t="s">
        <v>61</v>
      </c>
      <c r="AE961" t="s">
        <v>59</v>
      </c>
      <c r="AF961" t="s">
        <v>61</v>
      </c>
      <c r="AG961" t="s">
        <v>59</v>
      </c>
      <c r="AH961" t="s">
        <v>61</v>
      </c>
      <c r="AI961" t="s">
        <v>61</v>
      </c>
      <c r="AJ961" t="s">
        <v>59</v>
      </c>
      <c r="AK961" t="s">
        <v>59</v>
      </c>
      <c r="AL961" t="s">
        <v>60</v>
      </c>
      <c r="AM961" t="s">
        <v>59</v>
      </c>
      <c r="AN961" t="s">
        <v>59</v>
      </c>
      <c r="AO961" t="s">
        <v>59</v>
      </c>
      <c r="AP961" t="s">
        <v>1687</v>
      </c>
      <c r="AQ961" t="s">
        <v>2360</v>
      </c>
      <c r="AR961" t="s">
        <v>64</v>
      </c>
      <c r="AS961" t="s">
        <v>462</v>
      </c>
      <c r="AT961" t="s">
        <v>463</v>
      </c>
      <c r="AU961" t="s">
        <v>593</v>
      </c>
      <c r="AW961" s="4">
        <f t="shared" si="493"/>
        <v>6</v>
      </c>
      <c r="AX961" s="4">
        <f t="shared" si="494"/>
        <v>4</v>
      </c>
      <c r="AY961" s="4">
        <f t="shared" si="495"/>
        <v>4</v>
      </c>
      <c r="AZ961" s="4">
        <f t="shared" si="496"/>
        <v>2</v>
      </c>
      <c r="BA961" s="4">
        <f t="shared" si="497"/>
        <v>4</v>
      </c>
      <c r="BB961" s="4">
        <f t="shared" si="498"/>
        <v>4</v>
      </c>
      <c r="BC961" s="4">
        <f t="shared" si="499"/>
        <v>4</v>
      </c>
      <c r="BD961" s="4">
        <f t="shared" si="500"/>
        <v>2</v>
      </c>
      <c r="BE961" s="4" t="str">
        <f t="shared" si="501"/>
        <v>0</v>
      </c>
      <c r="BF961" s="4">
        <f t="shared" si="502"/>
        <v>2</v>
      </c>
      <c r="BG961" s="4">
        <f t="shared" si="503"/>
        <v>4</v>
      </c>
      <c r="BH961" s="4">
        <f t="shared" si="504"/>
        <v>4</v>
      </c>
      <c r="BI961" s="4">
        <f t="shared" si="505"/>
        <v>4</v>
      </c>
      <c r="BJ961" s="4">
        <f t="shared" si="506"/>
        <v>2</v>
      </c>
      <c r="BK961" s="4" t="str">
        <f t="shared" si="507"/>
        <v>0</v>
      </c>
      <c r="BL961" s="4" t="str">
        <f t="shared" si="508"/>
        <v>0</v>
      </c>
      <c r="BM961" s="4">
        <f t="shared" si="509"/>
        <v>4</v>
      </c>
      <c r="BN961" s="4">
        <f t="shared" si="510"/>
        <v>4</v>
      </c>
      <c r="BO961" s="4">
        <f t="shared" si="511"/>
        <v>4</v>
      </c>
      <c r="BP961" s="4">
        <f t="shared" si="512"/>
        <v>4</v>
      </c>
      <c r="BQ961" s="4">
        <f t="shared" si="513"/>
        <v>6</v>
      </c>
      <c r="BR961" s="4">
        <f t="shared" si="514"/>
        <v>4</v>
      </c>
      <c r="BS961" s="4">
        <f t="shared" si="515"/>
        <v>4</v>
      </c>
      <c r="BT961" s="4">
        <f t="shared" si="516"/>
        <v>4</v>
      </c>
      <c r="BU961" s="4">
        <f t="shared" si="517"/>
        <v>4</v>
      </c>
      <c r="BV961" s="4" t="str">
        <f t="shared" si="518"/>
        <v>0</v>
      </c>
      <c r="BW961" s="4">
        <f t="shared" si="519"/>
        <v>6</v>
      </c>
      <c r="BX961" s="4">
        <f t="shared" si="520"/>
        <v>0</v>
      </c>
      <c r="BY961" s="4">
        <f t="shared" si="521"/>
        <v>0</v>
      </c>
      <c r="BZ961" s="37">
        <f t="shared" si="522"/>
        <v>90</v>
      </c>
      <c r="CA961" s="32" t="str">
        <f>VLOOKUP(J:J,'Agent wise'!A:C,3,0)</f>
        <v>Adharsh</v>
      </c>
      <c r="CB961" s="32">
        <f t="shared" si="523"/>
        <v>45946</v>
      </c>
      <c r="CC961" t="str">
        <f t="shared" si="524"/>
        <v>Good</v>
      </c>
      <c r="CE961" s="32"/>
      <c r="CJ961">
        <f t="shared" si="525"/>
        <v>16</v>
      </c>
      <c r="CK961">
        <f t="shared" si="526"/>
        <v>10</v>
      </c>
      <c r="CL961">
        <f t="shared" si="527"/>
        <v>2025</v>
      </c>
    </row>
    <row r="962" spans="1:90" ht="15" customHeight="1" x14ac:dyDescent="0.35">
      <c r="A962" t="s">
        <v>2361</v>
      </c>
      <c r="B962" t="s">
        <v>106</v>
      </c>
      <c r="C962" t="s">
        <v>214</v>
      </c>
      <c r="D962" t="s">
        <v>107</v>
      </c>
      <c r="E962" s="32">
        <v>45946</v>
      </c>
      <c r="F962" t="s">
        <v>54</v>
      </c>
      <c r="G962" t="s">
        <v>2152</v>
      </c>
      <c r="H962">
        <v>9442289297</v>
      </c>
      <c r="I962">
        <v>132</v>
      </c>
      <c r="J962" t="s">
        <v>521</v>
      </c>
      <c r="K962" t="s">
        <v>71</v>
      </c>
      <c r="L962" t="s">
        <v>72</v>
      </c>
      <c r="M962" t="s">
        <v>59</v>
      </c>
      <c r="N962" t="s">
        <v>59</v>
      </c>
      <c r="O962" t="s">
        <v>59</v>
      </c>
      <c r="P962" t="s">
        <v>59</v>
      </c>
      <c r="Q962" t="s">
        <v>59</v>
      </c>
      <c r="R962" t="s">
        <v>59</v>
      </c>
      <c r="S962" t="s">
        <v>59</v>
      </c>
      <c r="T962" t="s">
        <v>59</v>
      </c>
      <c r="U962" t="s">
        <v>60</v>
      </c>
      <c r="V962" t="s">
        <v>59</v>
      </c>
      <c r="W962" t="s">
        <v>59</v>
      </c>
      <c r="X962" t="s">
        <v>61</v>
      </c>
      <c r="Y962" t="s">
        <v>59</v>
      </c>
      <c r="Z962" t="s">
        <v>59</v>
      </c>
      <c r="AA962" t="s">
        <v>60</v>
      </c>
      <c r="AB962" t="s">
        <v>59</v>
      </c>
      <c r="AC962" t="s">
        <v>60</v>
      </c>
      <c r="AD962" t="s">
        <v>61</v>
      </c>
      <c r="AE962" t="s">
        <v>59</v>
      </c>
      <c r="AF962" t="s">
        <v>61</v>
      </c>
      <c r="AG962" t="s">
        <v>59</v>
      </c>
      <c r="AH962" t="s">
        <v>61</v>
      </c>
      <c r="AI962" t="s">
        <v>61</v>
      </c>
      <c r="AJ962" t="s">
        <v>59</v>
      </c>
      <c r="AK962" t="s">
        <v>59</v>
      </c>
      <c r="AL962" t="s">
        <v>60</v>
      </c>
      <c r="AM962" t="s">
        <v>2271</v>
      </c>
      <c r="AN962" t="s">
        <v>59</v>
      </c>
      <c r="AO962" t="s">
        <v>59</v>
      </c>
      <c r="AP962" t="s">
        <v>829</v>
      </c>
      <c r="AQ962" t="s">
        <v>1866</v>
      </c>
      <c r="AR962" t="s">
        <v>64</v>
      </c>
      <c r="AS962" t="s">
        <v>771</v>
      </c>
      <c r="AT962" t="s">
        <v>772</v>
      </c>
      <c r="AU962" t="s">
        <v>219</v>
      </c>
      <c r="AW962" s="4">
        <f t="shared" si="493"/>
        <v>6</v>
      </c>
      <c r="AX962" s="4">
        <f t="shared" si="494"/>
        <v>4</v>
      </c>
      <c r="AY962" s="4">
        <f t="shared" si="495"/>
        <v>4</v>
      </c>
      <c r="AZ962" s="4">
        <f t="shared" si="496"/>
        <v>2</v>
      </c>
      <c r="BA962" s="4">
        <f t="shared" si="497"/>
        <v>4</v>
      </c>
      <c r="BB962" s="4">
        <f t="shared" si="498"/>
        <v>4</v>
      </c>
      <c r="BC962" s="4">
        <f t="shared" si="499"/>
        <v>4</v>
      </c>
      <c r="BD962" s="4">
        <f t="shared" si="500"/>
        <v>2</v>
      </c>
      <c r="BE962" s="4" t="str">
        <f t="shared" si="501"/>
        <v>0</v>
      </c>
      <c r="BF962" s="4">
        <f t="shared" si="502"/>
        <v>2</v>
      </c>
      <c r="BG962" s="4">
        <f t="shared" si="503"/>
        <v>4</v>
      </c>
      <c r="BH962" s="4">
        <f t="shared" si="504"/>
        <v>4</v>
      </c>
      <c r="BI962" s="4">
        <f t="shared" si="505"/>
        <v>4</v>
      </c>
      <c r="BJ962" s="4">
        <f t="shared" si="506"/>
        <v>2</v>
      </c>
      <c r="BK962" s="4" t="str">
        <f t="shared" si="507"/>
        <v>0</v>
      </c>
      <c r="BL962" s="4">
        <f t="shared" si="508"/>
        <v>2</v>
      </c>
      <c r="BM962" s="4" t="str">
        <f t="shared" si="509"/>
        <v>0</v>
      </c>
      <c r="BN962" s="4">
        <f t="shared" si="510"/>
        <v>4</v>
      </c>
      <c r="BO962" s="4">
        <f t="shared" si="511"/>
        <v>4</v>
      </c>
      <c r="BP962" s="4">
        <f t="shared" si="512"/>
        <v>4</v>
      </c>
      <c r="BQ962" s="4">
        <f t="shared" si="513"/>
        <v>6</v>
      </c>
      <c r="BR962" s="4">
        <f t="shared" si="514"/>
        <v>4</v>
      </c>
      <c r="BS962" s="4">
        <f t="shared" si="515"/>
        <v>4</v>
      </c>
      <c r="BT962" s="4">
        <f t="shared" si="516"/>
        <v>4</v>
      </c>
      <c r="BU962" s="4">
        <f t="shared" si="517"/>
        <v>4</v>
      </c>
      <c r="BV962" s="4" t="str">
        <f t="shared" si="518"/>
        <v>0</v>
      </c>
      <c r="BW962" s="4" t="str">
        <f t="shared" si="519"/>
        <v>0</v>
      </c>
      <c r="BX962" s="4">
        <f t="shared" si="520"/>
        <v>0</v>
      </c>
      <c r="BY962" s="4">
        <f t="shared" si="521"/>
        <v>0</v>
      </c>
      <c r="BZ962" s="37">
        <f t="shared" si="522"/>
        <v>82</v>
      </c>
      <c r="CA962" s="32" t="str">
        <f>VLOOKUP(J:J,'Agent wise'!A:C,3,0)</f>
        <v>Adharsh</v>
      </c>
      <c r="CB962" s="32">
        <f t="shared" si="523"/>
        <v>45946</v>
      </c>
      <c r="CC962" t="str">
        <f t="shared" si="524"/>
        <v>FC</v>
      </c>
      <c r="CE962" s="32"/>
      <c r="CJ962">
        <f t="shared" si="525"/>
        <v>16</v>
      </c>
      <c r="CK962">
        <f t="shared" si="526"/>
        <v>10</v>
      </c>
      <c r="CL962">
        <f t="shared" si="527"/>
        <v>2025</v>
      </c>
    </row>
    <row r="963" spans="1:90" ht="15" customHeight="1" x14ac:dyDescent="0.35">
      <c r="A963" t="s">
        <v>2362</v>
      </c>
      <c r="B963" t="s">
        <v>106</v>
      </c>
      <c r="C963" t="s">
        <v>214</v>
      </c>
      <c r="D963" t="s">
        <v>107</v>
      </c>
      <c r="E963" s="32">
        <v>45946</v>
      </c>
      <c r="F963" t="s">
        <v>54</v>
      </c>
      <c r="G963" t="s">
        <v>2152</v>
      </c>
      <c r="H963">
        <v>8124312070</v>
      </c>
      <c r="I963">
        <v>132</v>
      </c>
      <c r="J963" t="s">
        <v>521</v>
      </c>
      <c r="K963" t="s">
        <v>71</v>
      </c>
      <c r="L963" t="s">
        <v>72</v>
      </c>
      <c r="M963" t="s">
        <v>59</v>
      </c>
      <c r="N963" t="s">
        <v>59</v>
      </c>
      <c r="O963" t="s">
        <v>59</v>
      </c>
      <c r="P963" t="s">
        <v>59</v>
      </c>
      <c r="Q963" t="s">
        <v>59</v>
      </c>
      <c r="R963" t="s">
        <v>59</v>
      </c>
      <c r="S963" t="s">
        <v>59</v>
      </c>
      <c r="T963" t="s">
        <v>59</v>
      </c>
      <c r="U963" t="s">
        <v>60</v>
      </c>
      <c r="V963" t="s">
        <v>59</v>
      </c>
      <c r="W963" t="s">
        <v>59</v>
      </c>
      <c r="X963" t="s">
        <v>61</v>
      </c>
      <c r="Y963" t="s">
        <v>59</v>
      </c>
      <c r="Z963" t="s">
        <v>59</v>
      </c>
      <c r="AA963" t="s">
        <v>60</v>
      </c>
      <c r="AB963" t="s">
        <v>59</v>
      </c>
      <c r="AC963" t="s">
        <v>60</v>
      </c>
      <c r="AD963" t="s">
        <v>61</v>
      </c>
      <c r="AE963" t="s">
        <v>59</v>
      </c>
      <c r="AF963" t="s">
        <v>61</v>
      </c>
      <c r="AG963" t="s">
        <v>59</v>
      </c>
      <c r="AH963" t="s">
        <v>61</v>
      </c>
      <c r="AI963" t="s">
        <v>61</v>
      </c>
      <c r="AJ963" t="s">
        <v>59</v>
      </c>
      <c r="AK963" t="s">
        <v>59</v>
      </c>
      <c r="AL963" t="s">
        <v>60</v>
      </c>
      <c r="AM963" t="s">
        <v>59</v>
      </c>
      <c r="AN963" t="s">
        <v>59</v>
      </c>
      <c r="AO963" t="s">
        <v>59</v>
      </c>
      <c r="AP963" t="s">
        <v>2363</v>
      </c>
      <c r="AQ963" t="s">
        <v>2364</v>
      </c>
      <c r="AR963" t="s">
        <v>64</v>
      </c>
      <c r="AS963" t="s">
        <v>255</v>
      </c>
      <c r="AT963" t="s">
        <v>256</v>
      </c>
      <c r="AU963" t="s">
        <v>219</v>
      </c>
      <c r="AW963" s="4">
        <f t="shared" ref="AW963:AW1026" si="528">IF(OR(M963="YES", M963="Not Applicable"), AW$1, "0")</f>
        <v>6</v>
      </c>
      <c r="AX963" s="4">
        <f t="shared" ref="AX963:AX1026" si="529">IF(OR(N963="YES", N963="Not Applicable"), AX$1, "0")</f>
        <v>4</v>
      </c>
      <c r="AY963" s="4">
        <f t="shared" ref="AY963:AY1026" si="530">IF(OR(O963="YES", O963="Not Applicable"), AY$1, "0")</f>
        <v>4</v>
      </c>
      <c r="AZ963" s="4">
        <f t="shared" ref="AZ963:AZ1026" si="531">IF(OR(P963="YES", P963="Not Applicable"), AZ$1, "0")</f>
        <v>2</v>
      </c>
      <c r="BA963" s="4">
        <f t="shared" ref="BA963:BA1026" si="532">IF(OR(Q963="YES", Q963="Not Applicable"), BA$1, "0")</f>
        <v>4</v>
      </c>
      <c r="BB963" s="4">
        <f t="shared" ref="BB963:BB1026" si="533">IF(OR(R963="YES", R963="Not Applicable"), BB$1, "0")</f>
        <v>4</v>
      </c>
      <c r="BC963" s="4">
        <f t="shared" ref="BC963:BC1026" si="534">IF(OR(S963="YES", S963="Not Applicable"), BC$1, "0")</f>
        <v>4</v>
      </c>
      <c r="BD963" s="4">
        <f t="shared" ref="BD963:BD1026" si="535">IF(OR(T963="YES", T963="Not Applicable"), BD$1, "0")</f>
        <v>2</v>
      </c>
      <c r="BE963" s="4" t="str">
        <f t="shared" ref="BE963:BE1026" si="536">IF(OR(U963="YES", U963="Not Applicable"), BE$1, "0")</f>
        <v>0</v>
      </c>
      <c r="BF963" s="4">
        <f t="shared" ref="BF963:BF1026" si="537">IF(OR(V963="YES", V963="Not Applicable"), BF$1, "0")</f>
        <v>2</v>
      </c>
      <c r="BG963" s="4">
        <f t="shared" ref="BG963:BG1026" si="538">IF(OR(W963="YES", W963="Not Applicable"), BG$1, "0")</f>
        <v>4</v>
      </c>
      <c r="BH963" s="4">
        <f t="shared" ref="BH963:BH1026" si="539">IF(OR(X963="YES", X963="Not Applicable"), BH$1, "0")</f>
        <v>4</v>
      </c>
      <c r="BI963" s="4">
        <f t="shared" ref="BI963:BI1026" si="540">IF(OR(Y963="YES", Y963="Not Applicable"), BI$1, "0")</f>
        <v>4</v>
      </c>
      <c r="BJ963" s="4">
        <f t="shared" ref="BJ963:BJ1026" si="541">IF(OR(Z963="YES", Z963="Not Applicable"), BJ$1, "0")</f>
        <v>2</v>
      </c>
      <c r="BK963" s="4" t="str">
        <f t="shared" ref="BK963:BK1026" si="542">IF(OR(AA963="YES", AA963="Not Applicable"), BK$1, "0")</f>
        <v>0</v>
      </c>
      <c r="BL963" s="4">
        <f t="shared" ref="BL963:BL1026" si="543">IF(OR(AB963="YES", AB963="Not Applicable"), BL$1, "0")</f>
        <v>2</v>
      </c>
      <c r="BM963" s="4" t="str">
        <f t="shared" ref="BM963:BM1026" si="544">IF(OR(AC963="YES", AC963="Not Applicable"), BM$1, "0")</f>
        <v>0</v>
      </c>
      <c r="BN963" s="4">
        <f t="shared" ref="BN963:BN1026" si="545">IF(OR(AD963="YES", AD963="Not Applicable"), BN$1, "0")</f>
        <v>4</v>
      </c>
      <c r="BO963" s="4">
        <f t="shared" ref="BO963:BO1026" si="546">IF(OR(AE963="YES", AE963="Not Applicable"), BO$1, "0")</f>
        <v>4</v>
      </c>
      <c r="BP963" s="4">
        <f t="shared" ref="BP963:BP1026" si="547">IF(OR(AF963="YES", AF963="Not Applicable"), BP$1, "0")</f>
        <v>4</v>
      </c>
      <c r="BQ963" s="4">
        <f t="shared" ref="BQ963:BQ1026" si="548">IF(OR(AG963="YES", AG963="Not Applicable"), BQ$1, "0")</f>
        <v>6</v>
      </c>
      <c r="BR963" s="4">
        <f t="shared" ref="BR963:BR1026" si="549">IF(OR(AH963="YES", AH963="Not Applicable"), BR$1, "0")</f>
        <v>4</v>
      </c>
      <c r="BS963" s="4">
        <f t="shared" ref="BS963:BS1026" si="550">IF(OR(AI963="YES", AI963="Not Applicable"), BS$1, "0")</f>
        <v>4</v>
      </c>
      <c r="BT963" s="4">
        <f t="shared" ref="BT963:BT1026" si="551">IF(OR(AJ963="YES", AJ963="Not Applicable"), BT$1, "0")</f>
        <v>4</v>
      </c>
      <c r="BU963" s="4">
        <f t="shared" ref="BU963:BU1026" si="552">IF(OR(AK963="YES", AK963="Not Applicable"), BU$1, "0")</f>
        <v>4</v>
      </c>
      <c r="BV963" s="4" t="str">
        <f t="shared" ref="BV963:BV1026" si="553">IF(OR(AL963="YES", AL963="Not Applicable"), BV$1, "0")</f>
        <v>0</v>
      </c>
      <c r="BW963" s="4">
        <f t="shared" ref="BW963:BW1026" si="554">IF(OR(AM963="YES", AM963="Not Applicable"), BW$1, "0")</f>
        <v>6</v>
      </c>
      <c r="BX963" s="4">
        <f t="shared" ref="BX963:BX1026" si="555">IF(OR(AN963="YES", AN963="Not Applicable"), BX$1, "0")</f>
        <v>0</v>
      </c>
      <c r="BY963" s="4">
        <f t="shared" ref="BY963:BY1026" si="556">IF(OR(AO963="YES", AO963="Not Applicable"), BY$1, "0")</f>
        <v>0</v>
      </c>
      <c r="BZ963" s="37">
        <f t="shared" ref="BZ963:BZ1026" si="557">SUM(AW963:BY963)</f>
        <v>88</v>
      </c>
      <c r="CA963" s="32" t="str">
        <f>VLOOKUP(J:J,'Agent wise'!A:C,3,0)</f>
        <v>Adharsh</v>
      </c>
      <c r="CB963" s="32">
        <f t="shared" ref="CB963:CB1026" si="558">INT(E963)</f>
        <v>45946</v>
      </c>
      <c r="CC963" t="str">
        <f t="shared" ref="CC963:CC1026" si="559">IF(BZ963&gt;=94.5, "Excellent", IF(BZ963&gt;89.5, "Good", IF(BZ963&gt;84.5, "Average", "FC")))</f>
        <v>Average</v>
      </c>
      <c r="CE963" s="32"/>
      <c r="CJ963">
        <f t="shared" si="525"/>
        <v>16</v>
      </c>
      <c r="CK963">
        <f t="shared" si="526"/>
        <v>10</v>
      </c>
      <c r="CL963">
        <f t="shared" si="527"/>
        <v>2025</v>
      </c>
    </row>
    <row r="964" spans="1:90" ht="15" customHeight="1" x14ac:dyDescent="0.35">
      <c r="A964" t="s">
        <v>2365</v>
      </c>
      <c r="B964" t="s">
        <v>106</v>
      </c>
      <c r="C964" t="s">
        <v>214</v>
      </c>
      <c r="D964" t="s">
        <v>107</v>
      </c>
      <c r="E964" s="32">
        <v>45946</v>
      </c>
      <c r="F964" t="s">
        <v>54</v>
      </c>
      <c r="G964" t="s">
        <v>2152</v>
      </c>
      <c r="H964">
        <v>9087164395</v>
      </c>
      <c r="I964">
        <v>134</v>
      </c>
      <c r="J964" t="s">
        <v>173</v>
      </c>
      <c r="K964" t="s">
        <v>71</v>
      </c>
      <c r="L964" t="s">
        <v>72</v>
      </c>
      <c r="M964" t="s">
        <v>59</v>
      </c>
      <c r="N964" t="s">
        <v>59</v>
      </c>
      <c r="O964" t="s">
        <v>60</v>
      </c>
      <c r="P964" t="s">
        <v>59</v>
      </c>
      <c r="Q964" t="s">
        <v>59</v>
      </c>
      <c r="R964" t="s">
        <v>59</v>
      </c>
      <c r="S964" t="s">
        <v>59</v>
      </c>
      <c r="T964" t="s">
        <v>59</v>
      </c>
      <c r="U964" t="s">
        <v>60</v>
      </c>
      <c r="V964" t="s">
        <v>59</v>
      </c>
      <c r="W964" t="s">
        <v>59</v>
      </c>
      <c r="X964" t="s">
        <v>61</v>
      </c>
      <c r="Y964" t="s">
        <v>59</v>
      </c>
      <c r="Z964" t="s">
        <v>60</v>
      </c>
      <c r="AA964" t="s">
        <v>60</v>
      </c>
      <c r="AB964" t="s">
        <v>60</v>
      </c>
      <c r="AC964" t="s">
        <v>60</v>
      </c>
      <c r="AD964" t="s">
        <v>61</v>
      </c>
      <c r="AE964" t="s">
        <v>60</v>
      </c>
      <c r="AF964" t="s">
        <v>61</v>
      </c>
      <c r="AG964" t="s">
        <v>59</v>
      </c>
      <c r="AH964" t="s">
        <v>61</v>
      </c>
      <c r="AI964" t="s">
        <v>61</v>
      </c>
      <c r="AJ964" t="s">
        <v>59</v>
      </c>
      <c r="AK964" t="s">
        <v>59</v>
      </c>
      <c r="AL964" t="s">
        <v>60</v>
      </c>
      <c r="AM964" t="s">
        <v>59</v>
      </c>
      <c r="AN964" t="s">
        <v>59</v>
      </c>
      <c r="AO964" t="s">
        <v>59</v>
      </c>
      <c r="AP964" t="s">
        <v>2366</v>
      </c>
      <c r="AQ964" t="s">
        <v>2367</v>
      </c>
      <c r="AR964" t="s">
        <v>64</v>
      </c>
      <c r="AS964" t="s">
        <v>111</v>
      </c>
      <c r="AT964" t="s">
        <v>112</v>
      </c>
      <c r="AU964" t="s">
        <v>593</v>
      </c>
      <c r="AW964" s="4">
        <f t="shared" si="528"/>
        <v>6</v>
      </c>
      <c r="AX964" s="4">
        <f t="shared" si="529"/>
        <v>4</v>
      </c>
      <c r="AY964" s="4" t="str">
        <f t="shared" si="530"/>
        <v>0</v>
      </c>
      <c r="AZ964" s="4">
        <f t="shared" si="531"/>
        <v>2</v>
      </c>
      <c r="BA964" s="4">
        <f t="shared" si="532"/>
        <v>4</v>
      </c>
      <c r="BB964" s="4">
        <f t="shared" si="533"/>
        <v>4</v>
      </c>
      <c r="BC964" s="4">
        <f t="shared" si="534"/>
        <v>4</v>
      </c>
      <c r="BD964" s="4">
        <f t="shared" si="535"/>
        <v>2</v>
      </c>
      <c r="BE964" s="4" t="str">
        <f t="shared" si="536"/>
        <v>0</v>
      </c>
      <c r="BF964" s="4">
        <f t="shared" si="537"/>
        <v>2</v>
      </c>
      <c r="BG964" s="4">
        <f t="shared" si="538"/>
        <v>4</v>
      </c>
      <c r="BH964" s="4">
        <f t="shared" si="539"/>
        <v>4</v>
      </c>
      <c r="BI964" s="4">
        <f t="shared" si="540"/>
        <v>4</v>
      </c>
      <c r="BJ964" s="4" t="str">
        <f t="shared" si="541"/>
        <v>0</v>
      </c>
      <c r="BK964" s="4" t="str">
        <f t="shared" si="542"/>
        <v>0</v>
      </c>
      <c r="BL964" s="4" t="str">
        <f t="shared" si="543"/>
        <v>0</v>
      </c>
      <c r="BM964" s="4" t="str">
        <f t="shared" si="544"/>
        <v>0</v>
      </c>
      <c r="BN964" s="4">
        <f t="shared" si="545"/>
        <v>4</v>
      </c>
      <c r="BO964" s="4" t="str">
        <f t="shared" si="546"/>
        <v>0</v>
      </c>
      <c r="BP964" s="4">
        <f t="shared" si="547"/>
        <v>4</v>
      </c>
      <c r="BQ964" s="4">
        <f t="shared" si="548"/>
        <v>6</v>
      </c>
      <c r="BR964" s="4">
        <f t="shared" si="549"/>
        <v>4</v>
      </c>
      <c r="BS964" s="4">
        <f t="shared" si="550"/>
        <v>4</v>
      </c>
      <c r="BT964" s="4">
        <f t="shared" si="551"/>
        <v>4</v>
      </c>
      <c r="BU964" s="4">
        <f t="shared" si="552"/>
        <v>4</v>
      </c>
      <c r="BV964" s="4" t="str">
        <f t="shared" si="553"/>
        <v>0</v>
      </c>
      <c r="BW964" s="4">
        <f t="shared" si="554"/>
        <v>6</v>
      </c>
      <c r="BX964" s="4">
        <f t="shared" si="555"/>
        <v>0</v>
      </c>
      <c r="BY964" s="4">
        <f t="shared" si="556"/>
        <v>0</v>
      </c>
      <c r="BZ964" s="37">
        <f t="shared" si="557"/>
        <v>76</v>
      </c>
      <c r="CA964" s="32" t="str">
        <f>VLOOKUP(J:J,'Agent wise'!A:C,3,0)</f>
        <v>Shakeer</v>
      </c>
      <c r="CB964" s="32">
        <f t="shared" si="558"/>
        <v>45946</v>
      </c>
      <c r="CC964" t="str">
        <f t="shared" si="559"/>
        <v>FC</v>
      </c>
      <c r="CE964" s="32"/>
      <c r="CJ964">
        <f t="shared" ref="CJ964:CJ1027" si="560">DAY(E964)</f>
        <v>16</v>
      </c>
      <c r="CK964">
        <f t="shared" ref="CK964:CK1027" si="561">MONTH(E964)</f>
        <v>10</v>
      </c>
      <c r="CL964">
        <f t="shared" ref="CL964:CL1027" si="562">YEAR(E964)</f>
        <v>2025</v>
      </c>
    </row>
    <row r="965" spans="1:90" ht="15" customHeight="1" x14ac:dyDescent="0.35">
      <c r="A965" t="s">
        <v>2368</v>
      </c>
      <c r="B965" t="s">
        <v>177</v>
      </c>
      <c r="C965" t="s">
        <v>214</v>
      </c>
      <c r="D965" t="s">
        <v>178</v>
      </c>
      <c r="E965" s="32">
        <v>45947</v>
      </c>
      <c r="F965" t="s">
        <v>54</v>
      </c>
      <c r="G965" t="s">
        <v>2152</v>
      </c>
      <c r="H965">
        <v>8300585023</v>
      </c>
      <c r="I965">
        <v>113</v>
      </c>
      <c r="J965" t="s">
        <v>472</v>
      </c>
      <c r="K965" t="s">
        <v>71</v>
      </c>
      <c r="L965" t="s">
        <v>72</v>
      </c>
      <c r="M965" t="s">
        <v>59</v>
      </c>
      <c r="N965" t="s">
        <v>59</v>
      </c>
      <c r="O965" t="s">
        <v>59</v>
      </c>
      <c r="P965" t="s">
        <v>59</v>
      </c>
      <c r="Q965" t="s">
        <v>59</v>
      </c>
      <c r="R965" t="s">
        <v>59</v>
      </c>
      <c r="S965" t="s">
        <v>59</v>
      </c>
      <c r="T965" t="s">
        <v>59</v>
      </c>
      <c r="U965" t="s">
        <v>59</v>
      </c>
      <c r="V965" t="s">
        <v>59</v>
      </c>
      <c r="W965" t="s">
        <v>59</v>
      </c>
      <c r="X965" t="s">
        <v>59</v>
      </c>
      <c r="Y965" t="s">
        <v>59</v>
      </c>
      <c r="Z965" t="s">
        <v>59</v>
      </c>
      <c r="AA965" t="s">
        <v>59</v>
      </c>
      <c r="AB965" t="s">
        <v>59</v>
      </c>
      <c r="AC965" t="s">
        <v>59</v>
      </c>
      <c r="AD965" t="s">
        <v>59</v>
      </c>
      <c r="AE965" t="s">
        <v>60</v>
      </c>
      <c r="AF965" t="s">
        <v>59</v>
      </c>
      <c r="AG965" t="s">
        <v>60</v>
      </c>
      <c r="AH965" t="s">
        <v>60</v>
      </c>
      <c r="AI965" t="s">
        <v>61</v>
      </c>
      <c r="AJ965" t="s">
        <v>59</v>
      </c>
      <c r="AK965" t="s">
        <v>59</v>
      </c>
      <c r="AL965" t="s">
        <v>59</v>
      </c>
      <c r="AM965" t="s">
        <v>59</v>
      </c>
      <c r="AN965" t="s">
        <v>59</v>
      </c>
      <c r="AO965" t="s">
        <v>59</v>
      </c>
      <c r="AP965" t="s">
        <v>2370</v>
      </c>
      <c r="AQ965" t="s">
        <v>1878</v>
      </c>
      <c r="AR965" t="s">
        <v>64</v>
      </c>
      <c r="AS965" t="s">
        <v>89</v>
      </c>
      <c r="AT965" t="s">
        <v>293</v>
      </c>
      <c r="AU965" t="s">
        <v>299</v>
      </c>
      <c r="AW965" s="4">
        <f t="shared" si="528"/>
        <v>6</v>
      </c>
      <c r="AX965" s="4">
        <f t="shared" si="529"/>
        <v>4</v>
      </c>
      <c r="AY965" s="4">
        <f t="shared" si="530"/>
        <v>4</v>
      </c>
      <c r="AZ965" s="4">
        <f t="shared" si="531"/>
        <v>2</v>
      </c>
      <c r="BA965" s="4">
        <f t="shared" si="532"/>
        <v>4</v>
      </c>
      <c r="BB965" s="4">
        <f t="shared" si="533"/>
        <v>4</v>
      </c>
      <c r="BC965" s="4">
        <f t="shared" si="534"/>
        <v>4</v>
      </c>
      <c r="BD965" s="4">
        <f t="shared" si="535"/>
        <v>2</v>
      </c>
      <c r="BE965" s="4">
        <f t="shared" si="536"/>
        <v>4</v>
      </c>
      <c r="BF965" s="4">
        <f t="shared" si="537"/>
        <v>2</v>
      </c>
      <c r="BG965" s="4">
        <f t="shared" si="538"/>
        <v>4</v>
      </c>
      <c r="BH965" s="4">
        <f t="shared" si="539"/>
        <v>4</v>
      </c>
      <c r="BI965" s="4">
        <f t="shared" si="540"/>
        <v>4</v>
      </c>
      <c r="BJ965" s="4">
        <f t="shared" si="541"/>
        <v>2</v>
      </c>
      <c r="BK965" s="4">
        <f t="shared" si="542"/>
        <v>4</v>
      </c>
      <c r="BL965" s="4">
        <f t="shared" si="543"/>
        <v>2</v>
      </c>
      <c r="BM965" s="4">
        <f t="shared" si="544"/>
        <v>4</v>
      </c>
      <c r="BN965" s="4">
        <f t="shared" si="545"/>
        <v>4</v>
      </c>
      <c r="BO965" s="4" t="str">
        <f t="shared" si="546"/>
        <v>0</v>
      </c>
      <c r="BP965" s="4">
        <f t="shared" si="547"/>
        <v>4</v>
      </c>
      <c r="BQ965" s="4" t="str">
        <f t="shared" si="548"/>
        <v>0</v>
      </c>
      <c r="BR965" s="4" t="str">
        <f t="shared" si="549"/>
        <v>0</v>
      </c>
      <c r="BS965" s="4">
        <f t="shared" si="550"/>
        <v>4</v>
      </c>
      <c r="BT965" s="4">
        <f t="shared" si="551"/>
        <v>4</v>
      </c>
      <c r="BU965" s="4">
        <f t="shared" si="552"/>
        <v>4</v>
      </c>
      <c r="BV965" s="4">
        <f t="shared" si="553"/>
        <v>0</v>
      </c>
      <c r="BW965" s="4">
        <f t="shared" si="554"/>
        <v>6</v>
      </c>
      <c r="BX965" s="4">
        <f t="shared" si="555"/>
        <v>0</v>
      </c>
      <c r="BY965" s="4">
        <f t="shared" si="556"/>
        <v>0</v>
      </c>
      <c r="BZ965" s="37">
        <f t="shared" si="557"/>
        <v>86</v>
      </c>
      <c r="CA965" s="32" t="str">
        <f>VLOOKUP(J:J,'Agent wise'!A:C,3,0)</f>
        <v>Saran S</v>
      </c>
      <c r="CB965" s="32">
        <f t="shared" si="558"/>
        <v>45947</v>
      </c>
      <c r="CC965" t="str">
        <f t="shared" si="559"/>
        <v>Average</v>
      </c>
      <c r="CE965" s="32"/>
      <c r="CJ965">
        <f t="shared" si="560"/>
        <v>17</v>
      </c>
      <c r="CK965">
        <f t="shared" si="561"/>
        <v>10</v>
      </c>
      <c r="CL965">
        <f t="shared" si="562"/>
        <v>2025</v>
      </c>
    </row>
    <row r="966" spans="1:90" ht="15" customHeight="1" x14ac:dyDescent="0.35">
      <c r="A966" t="s">
        <v>2371</v>
      </c>
      <c r="B966" t="s">
        <v>177</v>
      </c>
      <c r="C966" t="s">
        <v>214</v>
      </c>
      <c r="D966" t="s">
        <v>178</v>
      </c>
      <c r="E966" s="32">
        <v>45947</v>
      </c>
      <c r="F966" t="s">
        <v>54</v>
      </c>
      <c r="G966" t="s">
        <v>2152</v>
      </c>
      <c r="H966">
        <v>9497418630</v>
      </c>
      <c r="I966">
        <v>119</v>
      </c>
      <c r="J966" t="s">
        <v>638</v>
      </c>
      <c r="K966" t="s">
        <v>57</v>
      </c>
      <c r="L966" t="s">
        <v>58</v>
      </c>
      <c r="M966" t="s">
        <v>59</v>
      </c>
      <c r="N966" t="s">
        <v>59</v>
      </c>
      <c r="O966" t="s">
        <v>59</v>
      </c>
      <c r="P966" t="s">
        <v>59</v>
      </c>
      <c r="Q966" t="s">
        <v>59</v>
      </c>
      <c r="R966" t="s">
        <v>59</v>
      </c>
      <c r="S966" t="s">
        <v>59</v>
      </c>
      <c r="T966" t="s">
        <v>59</v>
      </c>
      <c r="U966" t="s">
        <v>59</v>
      </c>
      <c r="V966" t="s">
        <v>59</v>
      </c>
      <c r="W966" t="s">
        <v>59</v>
      </c>
      <c r="X966" t="s">
        <v>59</v>
      </c>
      <c r="Y966" t="s">
        <v>59</v>
      </c>
      <c r="Z966" t="s">
        <v>59</v>
      </c>
      <c r="AA966" t="s">
        <v>59</v>
      </c>
      <c r="AB966" t="s">
        <v>59</v>
      </c>
      <c r="AC966" t="s">
        <v>59</v>
      </c>
      <c r="AD966" t="s">
        <v>59</v>
      </c>
      <c r="AE966" t="s">
        <v>60</v>
      </c>
      <c r="AF966" t="s">
        <v>59</v>
      </c>
      <c r="AG966" t="s">
        <v>59</v>
      </c>
      <c r="AH966" t="s">
        <v>61</v>
      </c>
      <c r="AI966" t="s">
        <v>61</v>
      </c>
      <c r="AJ966" t="s">
        <v>59</v>
      </c>
      <c r="AK966" t="s">
        <v>59</v>
      </c>
      <c r="AL966" t="s">
        <v>59</v>
      </c>
      <c r="AM966" t="s">
        <v>59</v>
      </c>
      <c r="AN966" t="s">
        <v>59</v>
      </c>
      <c r="AO966" t="s">
        <v>59</v>
      </c>
      <c r="AP966" t="s">
        <v>180</v>
      </c>
      <c r="AQ966" t="s">
        <v>1878</v>
      </c>
      <c r="AR966" t="s">
        <v>64</v>
      </c>
      <c r="AS966" t="s">
        <v>198</v>
      </c>
      <c r="AT966" t="s">
        <v>408</v>
      </c>
      <c r="AU966" t="s">
        <v>299</v>
      </c>
      <c r="AW966" s="4">
        <f t="shared" si="528"/>
        <v>6</v>
      </c>
      <c r="AX966" s="4">
        <f t="shared" si="529"/>
        <v>4</v>
      </c>
      <c r="AY966" s="4">
        <f t="shared" si="530"/>
        <v>4</v>
      </c>
      <c r="AZ966" s="4">
        <f t="shared" si="531"/>
        <v>2</v>
      </c>
      <c r="BA966" s="4">
        <f t="shared" si="532"/>
        <v>4</v>
      </c>
      <c r="BB966" s="4">
        <f t="shared" si="533"/>
        <v>4</v>
      </c>
      <c r="BC966" s="4">
        <f t="shared" si="534"/>
        <v>4</v>
      </c>
      <c r="BD966" s="4">
        <f t="shared" si="535"/>
        <v>2</v>
      </c>
      <c r="BE966" s="4">
        <f t="shared" si="536"/>
        <v>4</v>
      </c>
      <c r="BF966" s="4">
        <f t="shared" si="537"/>
        <v>2</v>
      </c>
      <c r="BG966" s="4">
        <f t="shared" si="538"/>
        <v>4</v>
      </c>
      <c r="BH966" s="4">
        <f t="shared" si="539"/>
        <v>4</v>
      </c>
      <c r="BI966" s="4">
        <f t="shared" si="540"/>
        <v>4</v>
      </c>
      <c r="BJ966" s="4">
        <f t="shared" si="541"/>
        <v>2</v>
      </c>
      <c r="BK966" s="4">
        <f t="shared" si="542"/>
        <v>4</v>
      </c>
      <c r="BL966" s="4">
        <f t="shared" si="543"/>
        <v>2</v>
      </c>
      <c r="BM966" s="4">
        <f t="shared" si="544"/>
        <v>4</v>
      </c>
      <c r="BN966" s="4">
        <f t="shared" si="545"/>
        <v>4</v>
      </c>
      <c r="BO966" s="4" t="str">
        <f t="shared" si="546"/>
        <v>0</v>
      </c>
      <c r="BP966" s="4">
        <f t="shared" si="547"/>
        <v>4</v>
      </c>
      <c r="BQ966" s="4">
        <f t="shared" si="548"/>
        <v>6</v>
      </c>
      <c r="BR966" s="4">
        <f t="shared" si="549"/>
        <v>4</v>
      </c>
      <c r="BS966" s="4">
        <f t="shared" si="550"/>
        <v>4</v>
      </c>
      <c r="BT966" s="4">
        <f t="shared" si="551"/>
        <v>4</v>
      </c>
      <c r="BU966" s="4">
        <f t="shared" si="552"/>
        <v>4</v>
      </c>
      <c r="BV966" s="4">
        <f t="shared" si="553"/>
        <v>0</v>
      </c>
      <c r="BW966" s="4">
        <f t="shared" si="554"/>
        <v>6</v>
      </c>
      <c r="BX966" s="4">
        <f t="shared" si="555"/>
        <v>0</v>
      </c>
      <c r="BY966" s="4">
        <f t="shared" si="556"/>
        <v>0</v>
      </c>
      <c r="BZ966" s="37">
        <f t="shared" si="557"/>
        <v>96</v>
      </c>
      <c r="CA966" s="32" t="str">
        <f>VLOOKUP(J:J,'Agent wise'!A:C,3,0)</f>
        <v>Adharsh</v>
      </c>
      <c r="CB966" s="32">
        <f t="shared" si="558"/>
        <v>45947</v>
      </c>
      <c r="CC966" t="str">
        <f t="shared" si="559"/>
        <v>Excellent</v>
      </c>
      <c r="CE966" s="32"/>
      <c r="CJ966">
        <f t="shared" si="560"/>
        <v>17</v>
      </c>
      <c r="CK966">
        <f t="shared" si="561"/>
        <v>10</v>
      </c>
      <c r="CL966">
        <f t="shared" si="562"/>
        <v>2025</v>
      </c>
    </row>
    <row r="967" spans="1:90" ht="15" customHeight="1" x14ac:dyDescent="0.35">
      <c r="A967" t="s">
        <v>2372</v>
      </c>
      <c r="B967" t="s">
        <v>177</v>
      </c>
      <c r="C967" t="s">
        <v>214</v>
      </c>
      <c r="D967" t="s">
        <v>178</v>
      </c>
      <c r="E967" s="32">
        <v>45947</v>
      </c>
      <c r="F967" t="s">
        <v>54</v>
      </c>
      <c r="G967" t="s">
        <v>2152</v>
      </c>
      <c r="H967">
        <v>9843212948</v>
      </c>
      <c r="I967">
        <v>130</v>
      </c>
      <c r="J967" t="s">
        <v>208</v>
      </c>
      <c r="K967" t="s">
        <v>71</v>
      </c>
      <c r="L967" t="s">
        <v>72</v>
      </c>
      <c r="M967" t="s">
        <v>59</v>
      </c>
      <c r="N967" t="s">
        <v>59</v>
      </c>
      <c r="O967" t="s">
        <v>59</v>
      </c>
      <c r="P967" t="s">
        <v>59</v>
      </c>
      <c r="Q967" t="s">
        <v>59</v>
      </c>
      <c r="R967" t="s">
        <v>59</v>
      </c>
      <c r="S967" t="s">
        <v>59</v>
      </c>
      <c r="T967" t="s">
        <v>59</v>
      </c>
      <c r="U967" t="s">
        <v>59</v>
      </c>
      <c r="V967" t="s">
        <v>59</v>
      </c>
      <c r="W967" t="s">
        <v>59</v>
      </c>
      <c r="X967" t="s">
        <v>59</v>
      </c>
      <c r="Y967" t="s">
        <v>59</v>
      </c>
      <c r="Z967" t="s">
        <v>59</v>
      </c>
      <c r="AA967" t="s">
        <v>59</v>
      </c>
      <c r="AB967" t="s">
        <v>60</v>
      </c>
      <c r="AC967" t="s">
        <v>59</v>
      </c>
      <c r="AD967" t="s">
        <v>59</v>
      </c>
      <c r="AE967" t="s">
        <v>59</v>
      </c>
      <c r="AF967" t="s">
        <v>59</v>
      </c>
      <c r="AG967" t="s">
        <v>59</v>
      </c>
      <c r="AH967" t="s">
        <v>61</v>
      </c>
      <c r="AI967" t="s">
        <v>61</v>
      </c>
      <c r="AJ967" t="s">
        <v>59</v>
      </c>
      <c r="AK967" t="s">
        <v>59</v>
      </c>
      <c r="AL967" t="s">
        <v>59</v>
      </c>
      <c r="AM967" t="s">
        <v>59</v>
      </c>
      <c r="AN967" t="s">
        <v>59</v>
      </c>
      <c r="AO967" t="s">
        <v>59</v>
      </c>
      <c r="AP967" t="s">
        <v>2200</v>
      </c>
      <c r="AQ967" t="s">
        <v>1878</v>
      </c>
      <c r="AR967" t="s">
        <v>64</v>
      </c>
      <c r="AS967" t="s">
        <v>142</v>
      </c>
      <c r="AT967" t="s">
        <v>471</v>
      </c>
      <c r="AU967" t="s">
        <v>299</v>
      </c>
      <c r="AW967" s="4">
        <f t="shared" si="528"/>
        <v>6</v>
      </c>
      <c r="AX967" s="4">
        <f t="shared" si="529"/>
        <v>4</v>
      </c>
      <c r="AY967" s="4">
        <f t="shared" si="530"/>
        <v>4</v>
      </c>
      <c r="AZ967" s="4">
        <f t="shared" si="531"/>
        <v>2</v>
      </c>
      <c r="BA967" s="4">
        <f t="shared" si="532"/>
        <v>4</v>
      </c>
      <c r="BB967" s="4">
        <f t="shared" si="533"/>
        <v>4</v>
      </c>
      <c r="BC967" s="4">
        <f t="shared" si="534"/>
        <v>4</v>
      </c>
      <c r="BD967" s="4">
        <f t="shared" si="535"/>
        <v>2</v>
      </c>
      <c r="BE967" s="4">
        <f t="shared" si="536"/>
        <v>4</v>
      </c>
      <c r="BF967" s="4">
        <f t="shared" si="537"/>
        <v>2</v>
      </c>
      <c r="BG967" s="4">
        <f t="shared" si="538"/>
        <v>4</v>
      </c>
      <c r="BH967" s="4">
        <f t="shared" si="539"/>
        <v>4</v>
      </c>
      <c r="BI967" s="4">
        <f t="shared" si="540"/>
        <v>4</v>
      </c>
      <c r="BJ967" s="4">
        <f t="shared" si="541"/>
        <v>2</v>
      </c>
      <c r="BK967" s="4">
        <f t="shared" si="542"/>
        <v>4</v>
      </c>
      <c r="BL967" s="4" t="str">
        <f t="shared" si="543"/>
        <v>0</v>
      </c>
      <c r="BM967" s="4">
        <f t="shared" si="544"/>
        <v>4</v>
      </c>
      <c r="BN967" s="4">
        <f t="shared" si="545"/>
        <v>4</v>
      </c>
      <c r="BO967" s="4">
        <f t="shared" si="546"/>
        <v>4</v>
      </c>
      <c r="BP967" s="4">
        <f t="shared" si="547"/>
        <v>4</v>
      </c>
      <c r="BQ967" s="4">
        <f t="shared" si="548"/>
        <v>6</v>
      </c>
      <c r="BR967" s="4">
        <f t="shared" si="549"/>
        <v>4</v>
      </c>
      <c r="BS967" s="4">
        <f t="shared" si="550"/>
        <v>4</v>
      </c>
      <c r="BT967" s="4">
        <f t="shared" si="551"/>
        <v>4</v>
      </c>
      <c r="BU967" s="4">
        <f t="shared" si="552"/>
        <v>4</v>
      </c>
      <c r="BV967" s="4">
        <f t="shared" si="553"/>
        <v>0</v>
      </c>
      <c r="BW967" s="4">
        <f t="shared" si="554"/>
        <v>6</v>
      </c>
      <c r="BX967" s="4">
        <f t="shared" si="555"/>
        <v>0</v>
      </c>
      <c r="BY967" s="4">
        <f t="shared" si="556"/>
        <v>0</v>
      </c>
      <c r="BZ967" s="37">
        <f t="shared" si="557"/>
        <v>98</v>
      </c>
      <c r="CA967" s="32" t="str">
        <f>VLOOKUP(J:J,'Agent wise'!A:C,3,0)</f>
        <v>Adharsh</v>
      </c>
      <c r="CB967" s="32">
        <f t="shared" si="558"/>
        <v>45947</v>
      </c>
      <c r="CC967" t="str">
        <f t="shared" si="559"/>
        <v>Excellent</v>
      </c>
      <c r="CE967" s="32"/>
      <c r="CJ967">
        <f t="shared" si="560"/>
        <v>17</v>
      </c>
      <c r="CK967">
        <f t="shared" si="561"/>
        <v>10</v>
      </c>
      <c r="CL967">
        <f t="shared" si="562"/>
        <v>2025</v>
      </c>
    </row>
    <row r="968" spans="1:90" ht="15" customHeight="1" x14ac:dyDescent="0.35">
      <c r="A968" t="s">
        <v>2373</v>
      </c>
      <c r="B968" t="s">
        <v>250</v>
      </c>
      <c r="C968" t="s">
        <v>214</v>
      </c>
      <c r="D968" t="s">
        <v>251</v>
      </c>
      <c r="E968" s="32">
        <v>45947</v>
      </c>
      <c r="F968" t="s">
        <v>306</v>
      </c>
      <c r="G968" t="s">
        <v>2152</v>
      </c>
      <c r="H968">
        <v>9894781693</v>
      </c>
      <c r="I968">
        <v>163</v>
      </c>
      <c r="J968" t="s">
        <v>307</v>
      </c>
      <c r="K968" t="s">
        <v>71</v>
      </c>
      <c r="L968" t="s">
        <v>72</v>
      </c>
      <c r="M968" t="s">
        <v>59</v>
      </c>
      <c r="N968" t="s">
        <v>59</v>
      </c>
      <c r="O968" t="s">
        <v>59</v>
      </c>
      <c r="P968" t="s">
        <v>59</v>
      </c>
      <c r="Q968" t="s">
        <v>59</v>
      </c>
      <c r="R968" t="s">
        <v>59</v>
      </c>
      <c r="S968" t="s">
        <v>59</v>
      </c>
      <c r="T968" t="s">
        <v>59</v>
      </c>
      <c r="U968" t="s">
        <v>59</v>
      </c>
      <c r="V968" t="s">
        <v>59</v>
      </c>
      <c r="W968" t="s">
        <v>59</v>
      </c>
      <c r="X968" t="s">
        <v>59</v>
      </c>
      <c r="Y968" t="s">
        <v>59</v>
      </c>
      <c r="Z968" t="s">
        <v>59</v>
      </c>
      <c r="AA968" t="s">
        <v>59</v>
      </c>
      <c r="AB968" t="s">
        <v>59</v>
      </c>
      <c r="AC968" t="s">
        <v>61</v>
      </c>
      <c r="AD968" t="s">
        <v>59</v>
      </c>
      <c r="AE968" t="s">
        <v>59</v>
      </c>
      <c r="AF968" t="s">
        <v>59</v>
      </c>
      <c r="AG968" t="s">
        <v>59</v>
      </c>
      <c r="AH968" t="s">
        <v>59</v>
      </c>
      <c r="AI968" t="s">
        <v>61</v>
      </c>
      <c r="AJ968" t="s">
        <v>59</v>
      </c>
      <c r="AK968" t="s">
        <v>59</v>
      </c>
      <c r="AL968" t="s">
        <v>60</v>
      </c>
      <c r="AM968" t="s">
        <v>59</v>
      </c>
      <c r="AN968" t="s">
        <v>59</v>
      </c>
      <c r="AO968" t="s">
        <v>59</v>
      </c>
      <c r="AP968" t="s">
        <v>270</v>
      </c>
      <c r="AQ968" t="s">
        <v>2374</v>
      </c>
      <c r="AR968" t="s">
        <v>64</v>
      </c>
      <c r="AS968" t="s">
        <v>2375</v>
      </c>
      <c r="AT968" t="s">
        <v>2375</v>
      </c>
      <c r="AU968" t="s">
        <v>219</v>
      </c>
      <c r="AW968" s="4">
        <f t="shared" si="528"/>
        <v>6</v>
      </c>
      <c r="AX968" s="4">
        <f t="shared" si="529"/>
        <v>4</v>
      </c>
      <c r="AY968" s="4">
        <f t="shared" si="530"/>
        <v>4</v>
      </c>
      <c r="AZ968" s="4">
        <f t="shared" si="531"/>
        <v>2</v>
      </c>
      <c r="BA968" s="4">
        <f t="shared" si="532"/>
        <v>4</v>
      </c>
      <c r="BB968" s="4">
        <f t="shared" si="533"/>
        <v>4</v>
      </c>
      <c r="BC968" s="4">
        <f t="shared" si="534"/>
        <v>4</v>
      </c>
      <c r="BD968" s="4">
        <f t="shared" si="535"/>
        <v>2</v>
      </c>
      <c r="BE968" s="4">
        <f t="shared" si="536"/>
        <v>4</v>
      </c>
      <c r="BF968" s="4">
        <f t="shared" si="537"/>
        <v>2</v>
      </c>
      <c r="BG968" s="4">
        <f t="shared" si="538"/>
        <v>4</v>
      </c>
      <c r="BH968" s="4">
        <f t="shared" si="539"/>
        <v>4</v>
      </c>
      <c r="BI968" s="4">
        <f t="shared" si="540"/>
        <v>4</v>
      </c>
      <c r="BJ968" s="4">
        <f t="shared" si="541"/>
        <v>2</v>
      </c>
      <c r="BK968" s="4">
        <f t="shared" si="542"/>
        <v>4</v>
      </c>
      <c r="BL968" s="4">
        <f t="shared" si="543"/>
        <v>2</v>
      </c>
      <c r="BM968" s="4">
        <f t="shared" si="544"/>
        <v>4</v>
      </c>
      <c r="BN968" s="4">
        <f t="shared" si="545"/>
        <v>4</v>
      </c>
      <c r="BO968" s="4">
        <f t="shared" si="546"/>
        <v>4</v>
      </c>
      <c r="BP968" s="4">
        <f t="shared" si="547"/>
        <v>4</v>
      </c>
      <c r="BQ968" s="4">
        <f t="shared" si="548"/>
        <v>6</v>
      </c>
      <c r="BR968" s="4">
        <f t="shared" si="549"/>
        <v>4</v>
      </c>
      <c r="BS968" s="4">
        <f t="shared" si="550"/>
        <v>4</v>
      </c>
      <c r="BT968" s="4">
        <f t="shared" si="551"/>
        <v>4</v>
      </c>
      <c r="BU968" s="4">
        <f t="shared" si="552"/>
        <v>4</v>
      </c>
      <c r="BV968" s="4" t="str">
        <f t="shared" si="553"/>
        <v>0</v>
      </c>
      <c r="BW968" s="4">
        <f t="shared" si="554"/>
        <v>6</v>
      </c>
      <c r="BX968" s="4">
        <f t="shared" si="555"/>
        <v>0</v>
      </c>
      <c r="BY968" s="4">
        <f t="shared" si="556"/>
        <v>0</v>
      </c>
      <c r="BZ968" s="37">
        <f t="shared" si="557"/>
        <v>100</v>
      </c>
      <c r="CA968" s="32" t="str">
        <f>VLOOKUP(J:J,'Agent wise'!A:C,3,0)</f>
        <v>Amal</v>
      </c>
      <c r="CB968" s="32">
        <f t="shared" si="558"/>
        <v>45947</v>
      </c>
      <c r="CC968" t="str">
        <f t="shared" si="559"/>
        <v>Excellent</v>
      </c>
      <c r="CE968" s="32"/>
      <c r="CJ968">
        <f t="shared" si="560"/>
        <v>17</v>
      </c>
      <c r="CK968">
        <f t="shared" si="561"/>
        <v>10</v>
      </c>
      <c r="CL968">
        <f t="shared" si="562"/>
        <v>2025</v>
      </c>
    </row>
    <row r="969" spans="1:90" ht="15" customHeight="1" x14ac:dyDescent="0.35">
      <c r="A969" t="s">
        <v>2376</v>
      </c>
      <c r="B969" t="s">
        <v>177</v>
      </c>
      <c r="C969" t="s">
        <v>214</v>
      </c>
      <c r="D969" t="s">
        <v>178</v>
      </c>
      <c r="E969" s="32">
        <v>45947</v>
      </c>
      <c r="F969" t="s">
        <v>90</v>
      </c>
      <c r="G969" t="s">
        <v>2152</v>
      </c>
      <c r="H969">
        <v>9486902392</v>
      </c>
      <c r="I969">
        <v>146</v>
      </c>
      <c r="J969" t="s">
        <v>274</v>
      </c>
      <c r="K969" t="s">
        <v>71</v>
      </c>
      <c r="L969" t="s">
        <v>72</v>
      </c>
      <c r="M969" t="s">
        <v>59</v>
      </c>
      <c r="N969" t="s">
        <v>59</v>
      </c>
      <c r="O969" t="s">
        <v>59</v>
      </c>
      <c r="P969" t="s">
        <v>59</v>
      </c>
      <c r="Q969" t="s">
        <v>59</v>
      </c>
      <c r="R969" t="s">
        <v>59</v>
      </c>
      <c r="S969" t="s">
        <v>59</v>
      </c>
      <c r="T969" t="s">
        <v>59</v>
      </c>
      <c r="U969" t="s">
        <v>59</v>
      </c>
      <c r="V969" t="s">
        <v>59</v>
      </c>
      <c r="W969" t="s">
        <v>59</v>
      </c>
      <c r="X969" t="s">
        <v>59</v>
      </c>
      <c r="Y969" t="s">
        <v>59</v>
      </c>
      <c r="Z969" t="s">
        <v>59</v>
      </c>
      <c r="AA969" t="s">
        <v>59</v>
      </c>
      <c r="AB969" t="s">
        <v>59</v>
      </c>
      <c r="AC969" t="s">
        <v>61</v>
      </c>
      <c r="AD969" t="s">
        <v>59</v>
      </c>
      <c r="AE969" t="s">
        <v>59</v>
      </c>
      <c r="AF969" t="s">
        <v>59</v>
      </c>
      <c r="AG969" t="s">
        <v>59</v>
      </c>
      <c r="AH969" t="s">
        <v>61</v>
      </c>
      <c r="AI969" t="s">
        <v>61</v>
      </c>
      <c r="AJ969" t="s">
        <v>59</v>
      </c>
      <c r="AK969" t="s">
        <v>59</v>
      </c>
      <c r="AL969" t="s">
        <v>60</v>
      </c>
      <c r="AM969" t="s">
        <v>59</v>
      </c>
      <c r="AN969" t="s">
        <v>59</v>
      </c>
      <c r="AO969" t="s">
        <v>59</v>
      </c>
      <c r="AP969" t="s">
        <v>37</v>
      </c>
      <c r="AQ969" s="1" t="s">
        <v>1193</v>
      </c>
      <c r="AR969" t="s">
        <v>64</v>
      </c>
      <c r="AS969" t="s">
        <v>202</v>
      </c>
      <c r="AT969" t="s">
        <v>203</v>
      </c>
      <c r="AU969" t="s">
        <v>219</v>
      </c>
      <c r="AW969" s="4">
        <f t="shared" si="528"/>
        <v>6</v>
      </c>
      <c r="AX969" s="4">
        <f t="shared" si="529"/>
        <v>4</v>
      </c>
      <c r="AY969" s="4">
        <f t="shared" si="530"/>
        <v>4</v>
      </c>
      <c r="AZ969" s="4">
        <f t="shared" si="531"/>
        <v>2</v>
      </c>
      <c r="BA969" s="4">
        <f t="shared" si="532"/>
        <v>4</v>
      </c>
      <c r="BB969" s="4">
        <f t="shared" si="533"/>
        <v>4</v>
      </c>
      <c r="BC969" s="4">
        <f t="shared" si="534"/>
        <v>4</v>
      </c>
      <c r="BD969" s="4">
        <f t="shared" si="535"/>
        <v>2</v>
      </c>
      <c r="BE969" s="4">
        <f t="shared" si="536"/>
        <v>4</v>
      </c>
      <c r="BF969" s="4">
        <f t="shared" si="537"/>
        <v>2</v>
      </c>
      <c r="BG969" s="4">
        <f t="shared" si="538"/>
        <v>4</v>
      </c>
      <c r="BH969" s="4">
        <f t="shared" si="539"/>
        <v>4</v>
      </c>
      <c r="BI969" s="4">
        <f t="shared" si="540"/>
        <v>4</v>
      </c>
      <c r="BJ969" s="4">
        <f t="shared" si="541"/>
        <v>2</v>
      </c>
      <c r="BK969" s="4">
        <f t="shared" si="542"/>
        <v>4</v>
      </c>
      <c r="BL969" s="4">
        <f t="shared" si="543"/>
        <v>2</v>
      </c>
      <c r="BM969" s="4">
        <f t="shared" si="544"/>
        <v>4</v>
      </c>
      <c r="BN969" s="4">
        <f t="shared" si="545"/>
        <v>4</v>
      </c>
      <c r="BO969" s="4">
        <f t="shared" si="546"/>
        <v>4</v>
      </c>
      <c r="BP969" s="4">
        <f t="shared" si="547"/>
        <v>4</v>
      </c>
      <c r="BQ969" s="4">
        <f t="shared" si="548"/>
        <v>6</v>
      </c>
      <c r="BR969" s="4">
        <f t="shared" si="549"/>
        <v>4</v>
      </c>
      <c r="BS969" s="4">
        <f t="shared" si="550"/>
        <v>4</v>
      </c>
      <c r="BT969" s="4">
        <f t="shared" si="551"/>
        <v>4</v>
      </c>
      <c r="BU969" s="4">
        <f t="shared" si="552"/>
        <v>4</v>
      </c>
      <c r="BV969" s="4" t="str">
        <f t="shared" si="553"/>
        <v>0</v>
      </c>
      <c r="BW969" s="4">
        <f t="shared" si="554"/>
        <v>6</v>
      </c>
      <c r="BX969" s="4">
        <f t="shared" si="555"/>
        <v>0</v>
      </c>
      <c r="BY969" s="4">
        <f t="shared" si="556"/>
        <v>0</v>
      </c>
      <c r="BZ969" s="37">
        <f t="shared" si="557"/>
        <v>100</v>
      </c>
      <c r="CA969" s="32" t="str">
        <f>VLOOKUP(J:J,'Agent wise'!A:C,3,0)</f>
        <v>Shakeer</v>
      </c>
      <c r="CB969" s="32">
        <f t="shared" si="558"/>
        <v>45947</v>
      </c>
      <c r="CC969" t="str">
        <f t="shared" si="559"/>
        <v>Excellent</v>
      </c>
      <c r="CE969" s="32"/>
      <c r="CJ969">
        <f t="shared" si="560"/>
        <v>17</v>
      </c>
      <c r="CK969">
        <f t="shared" si="561"/>
        <v>10</v>
      </c>
      <c r="CL969">
        <f t="shared" si="562"/>
        <v>2025</v>
      </c>
    </row>
    <row r="970" spans="1:90" ht="15" customHeight="1" x14ac:dyDescent="0.35">
      <c r="A970" t="s">
        <v>2377</v>
      </c>
      <c r="B970" t="s">
        <v>250</v>
      </c>
      <c r="C970" t="s">
        <v>214</v>
      </c>
      <c r="D970" t="s">
        <v>251</v>
      </c>
      <c r="E970" s="32">
        <v>45947</v>
      </c>
      <c r="F970" t="s">
        <v>306</v>
      </c>
      <c r="G970" t="s">
        <v>2152</v>
      </c>
      <c r="H970">
        <v>8643866076</v>
      </c>
      <c r="I970">
        <v>159</v>
      </c>
      <c r="J970" t="s">
        <v>307</v>
      </c>
      <c r="K970" t="s">
        <v>71</v>
      </c>
      <c r="L970" t="s">
        <v>72</v>
      </c>
      <c r="M970" t="s">
        <v>59</v>
      </c>
      <c r="N970" t="s">
        <v>59</v>
      </c>
      <c r="O970" t="s">
        <v>59</v>
      </c>
      <c r="P970" t="s">
        <v>59</v>
      </c>
      <c r="Q970" t="s">
        <v>59</v>
      </c>
      <c r="R970" t="s">
        <v>59</v>
      </c>
      <c r="S970" t="s">
        <v>59</v>
      </c>
      <c r="T970" t="s">
        <v>59</v>
      </c>
      <c r="U970" t="s">
        <v>59</v>
      </c>
      <c r="V970" t="s">
        <v>59</v>
      </c>
      <c r="W970" t="s">
        <v>59</v>
      </c>
      <c r="X970" t="s">
        <v>59</v>
      </c>
      <c r="Y970" t="s">
        <v>59</v>
      </c>
      <c r="Z970" t="s">
        <v>59</v>
      </c>
      <c r="AA970" t="s">
        <v>59</v>
      </c>
      <c r="AB970" t="s">
        <v>59</v>
      </c>
      <c r="AC970" t="s">
        <v>59</v>
      </c>
      <c r="AD970" t="s">
        <v>59</v>
      </c>
      <c r="AE970" t="s">
        <v>59</v>
      </c>
      <c r="AF970" t="s">
        <v>59</v>
      </c>
      <c r="AG970" t="s">
        <v>59</v>
      </c>
      <c r="AH970" t="s">
        <v>61</v>
      </c>
      <c r="AI970" t="s">
        <v>61</v>
      </c>
      <c r="AJ970" t="s">
        <v>59</v>
      </c>
      <c r="AK970" t="s">
        <v>59</v>
      </c>
      <c r="AL970" t="s">
        <v>59</v>
      </c>
      <c r="AM970" t="s">
        <v>59</v>
      </c>
      <c r="AN970" t="s">
        <v>59</v>
      </c>
      <c r="AO970" t="s">
        <v>59</v>
      </c>
      <c r="AP970" t="s">
        <v>209</v>
      </c>
      <c r="AQ970" t="s">
        <v>2378</v>
      </c>
      <c r="AR970" t="s">
        <v>64</v>
      </c>
      <c r="AS970" t="s">
        <v>2375</v>
      </c>
      <c r="AT970" t="s">
        <v>2375</v>
      </c>
      <c r="AU970" t="s">
        <v>219</v>
      </c>
      <c r="AW970" s="4">
        <f t="shared" si="528"/>
        <v>6</v>
      </c>
      <c r="AX970" s="4">
        <f t="shared" si="529"/>
        <v>4</v>
      </c>
      <c r="AY970" s="4">
        <f t="shared" si="530"/>
        <v>4</v>
      </c>
      <c r="AZ970" s="4">
        <f t="shared" si="531"/>
        <v>2</v>
      </c>
      <c r="BA970" s="4">
        <f t="shared" si="532"/>
        <v>4</v>
      </c>
      <c r="BB970" s="4">
        <f t="shared" si="533"/>
        <v>4</v>
      </c>
      <c r="BC970" s="4">
        <f t="shared" si="534"/>
        <v>4</v>
      </c>
      <c r="BD970" s="4">
        <f t="shared" si="535"/>
        <v>2</v>
      </c>
      <c r="BE970" s="4">
        <f t="shared" si="536"/>
        <v>4</v>
      </c>
      <c r="BF970" s="4">
        <f t="shared" si="537"/>
        <v>2</v>
      </c>
      <c r="BG970" s="4">
        <f t="shared" si="538"/>
        <v>4</v>
      </c>
      <c r="BH970" s="4">
        <f t="shared" si="539"/>
        <v>4</v>
      </c>
      <c r="BI970" s="4">
        <f t="shared" si="540"/>
        <v>4</v>
      </c>
      <c r="BJ970" s="4">
        <f t="shared" si="541"/>
        <v>2</v>
      </c>
      <c r="BK970" s="4">
        <f t="shared" si="542"/>
        <v>4</v>
      </c>
      <c r="BL970" s="4">
        <f t="shared" si="543"/>
        <v>2</v>
      </c>
      <c r="BM970" s="4">
        <f t="shared" si="544"/>
        <v>4</v>
      </c>
      <c r="BN970" s="4">
        <f t="shared" si="545"/>
        <v>4</v>
      </c>
      <c r="BO970" s="4">
        <f t="shared" si="546"/>
        <v>4</v>
      </c>
      <c r="BP970" s="4">
        <f t="shared" si="547"/>
        <v>4</v>
      </c>
      <c r="BQ970" s="4">
        <f t="shared" si="548"/>
        <v>6</v>
      </c>
      <c r="BR970" s="4">
        <f t="shared" si="549"/>
        <v>4</v>
      </c>
      <c r="BS970" s="4">
        <f t="shared" si="550"/>
        <v>4</v>
      </c>
      <c r="BT970" s="4">
        <f t="shared" si="551"/>
        <v>4</v>
      </c>
      <c r="BU970" s="4">
        <f t="shared" si="552"/>
        <v>4</v>
      </c>
      <c r="BV970" s="4">
        <f t="shared" si="553"/>
        <v>0</v>
      </c>
      <c r="BW970" s="4">
        <f t="shared" si="554"/>
        <v>6</v>
      </c>
      <c r="BX970" s="4">
        <f t="shared" si="555"/>
        <v>0</v>
      </c>
      <c r="BY970" s="4">
        <f t="shared" si="556"/>
        <v>0</v>
      </c>
      <c r="BZ970" s="37">
        <f t="shared" si="557"/>
        <v>100</v>
      </c>
      <c r="CA970" s="32" t="str">
        <f>VLOOKUP(J:J,'Agent wise'!A:C,3,0)</f>
        <v>Amal</v>
      </c>
      <c r="CB970" s="32">
        <f t="shared" si="558"/>
        <v>45947</v>
      </c>
      <c r="CC970" t="str">
        <f t="shared" si="559"/>
        <v>Excellent</v>
      </c>
      <c r="CE970" s="32"/>
      <c r="CJ970">
        <f t="shared" si="560"/>
        <v>17</v>
      </c>
      <c r="CK970">
        <f t="shared" si="561"/>
        <v>10</v>
      </c>
      <c r="CL970">
        <f t="shared" si="562"/>
        <v>2025</v>
      </c>
    </row>
    <row r="971" spans="1:90" ht="15" customHeight="1" x14ac:dyDescent="0.35">
      <c r="A971" t="s">
        <v>2379</v>
      </c>
      <c r="B971" t="s">
        <v>177</v>
      </c>
      <c r="C971" t="s">
        <v>214</v>
      </c>
      <c r="D971" t="s">
        <v>178</v>
      </c>
      <c r="E971" s="32">
        <v>45947</v>
      </c>
      <c r="F971" t="s">
        <v>90</v>
      </c>
      <c r="G971" t="s">
        <v>2152</v>
      </c>
      <c r="H971">
        <v>9445676952</v>
      </c>
      <c r="I971">
        <v>151</v>
      </c>
      <c r="J971" t="s">
        <v>269</v>
      </c>
      <c r="K971" t="s">
        <v>86</v>
      </c>
      <c r="L971" t="s">
        <v>72</v>
      </c>
      <c r="M971" t="s">
        <v>59</v>
      </c>
      <c r="N971" t="s">
        <v>59</v>
      </c>
      <c r="O971" t="s">
        <v>59</v>
      </c>
      <c r="P971" t="s">
        <v>59</v>
      </c>
      <c r="Q971" t="s">
        <v>59</v>
      </c>
      <c r="R971" t="s">
        <v>59</v>
      </c>
      <c r="S971" t="s">
        <v>59</v>
      </c>
      <c r="T971" t="s">
        <v>59</v>
      </c>
      <c r="U971" t="s">
        <v>59</v>
      </c>
      <c r="V971" t="s">
        <v>59</v>
      </c>
      <c r="W971" t="s">
        <v>59</v>
      </c>
      <c r="X971" t="s">
        <v>59</v>
      </c>
      <c r="Y971" t="s">
        <v>60</v>
      </c>
      <c r="Z971" t="s">
        <v>59</v>
      </c>
      <c r="AA971" t="s">
        <v>59</v>
      </c>
      <c r="AB971" t="s">
        <v>61</v>
      </c>
      <c r="AC971" t="s">
        <v>61</v>
      </c>
      <c r="AD971" t="s">
        <v>59</v>
      </c>
      <c r="AE971" t="s">
        <v>59</v>
      </c>
      <c r="AF971" t="s">
        <v>59</v>
      </c>
      <c r="AG971" t="s">
        <v>59</v>
      </c>
      <c r="AH971" t="s">
        <v>61</v>
      </c>
      <c r="AI971" t="s">
        <v>61</v>
      </c>
      <c r="AJ971" t="s">
        <v>59</v>
      </c>
      <c r="AK971" t="s">
        <v>59</v>
      </c>
      <c r="AL971" t="s">
        <v>59</v>
      </c>
      <c r="AM971" t="s">
        <v>59</v>
      </c>
      <c r="AN971" t="s">
        <v>59</v>
      </c>
      <c r="AO971" t="s">
        <v>59</v>
      </c>
      <c r="AP971" t="s">
        <v>473</v>
      </c>
      <c r="AQ971" t="s">
        <v>2380</v>
      </c>
      <c r="AR971" t="s">
        <v>64</v>
      </c>
      <c r="AS971" t="s">
        <v>135</v>
      </c>
      <c r="AT971" t="s">
        <v>1251</v>
      </c>
      <c r="AU971" t="s">
        <v>299</v>
      </c>
      <c r="AW971" s="4">
        <f t="shared" si="528"/>
        <v>6</v>
      </c>
      <c r="AX971" s="4">
        <f t="shared" si="529"/>
        <v>4</v>
      </c>
      <c r="AY971" s="4">
        <f t="shared" si="530"/>
        <v>4</v>
      </c>
      <c r="AZ971" s="4">
        <f t="shared" si="531"/>
        <v>2</v>
      </c>
      <c r="BA971" s="4">
        <f t="shared" si="532"/>
        <v>4</v>
      </c>
      <c r="BB971" s="4">
        <f t="shared" si="533"/>
        <v>4</v>
      </c>
      <c r="BC971" s="4">
        <f t="shared" si="534"/>
        <v>4</v>
      </c>
      <c r="BD971" s="4">
        <f t="shared" si="535"/>
        <v>2</v>
      </c>
      <c r="BE971" s="4">
        <f t="shared" si="536"/>
        <v>4</v>
      </c>
      <c r="BF971" s="4">
        <f t="shared" si="537"/>
        <v>2</v>
      </c>
      <c r="BG971" s="4">
        <f t="shared" si="538"/>
        <v>4</v>
      </c>
      <c r="BH971" s="4">
        <f t="shared" si="539"/>
        <v>4</v>
      </c>
      <c r="BI971" s="4" t="str">
        <f t="shared" si="540"/>
        <v>0</v>
      </c>
      <c r="BJ971" s="4">
        <f t="shared" si="541"/>
        <v>2</v>
      </c>
      <c r="BK971" s="4">
        <f t="shared" si="542"/>
        <v>4</v>
      </c>
      <c r="BL971" s="4">
        <f t="shared" si="543"/>
        <v>2</v>
      </c>
      <c r="BM971" s="4">
        <f t="shared" si="544"/>
        <v>4</v>
      </c>
      <c r="BN971" s="4">
        <f t="shared" si="545"/>
        <v>4</v>
      </c>
      <c r="BO971" s="4">
        <f t="shared" si="546"/>
        <v>4</v>
      </c>
      <c r="BP971" s="4">
        <f t="shared" si="547"/>
        <v>4</v>
      </c>
      <c r="BQ971" s="4">
        <f t="shared" si="548"/>
        <v>6</v>
      </c>
      <c r="BR971" s="4">
        <f t="shared" si="549"/>
        <v>4</v>
      </c>
      <c r="BS971" s="4">
        <f t="shared" si="550"/>
        <v>4</v>
      </c>
      <c r="BT971" s="4">
        <f t="shared" si="551"/>
        <v>4</v>
      </c>
      <c r="BU971" s="4">
        <f t="shared" si="552"/>
        <v>4</v>
      </c>
      <c r="BV971" s="4">
        <f t="shared" si="553"/>
        <v>0</v>
      </c>
      <c r="BW971" s="4">
        <f t="shared" si="554"/>
        <v>6</v>
      </c>
      <c r="BX971" s="4">
        <f t="shared" si="555"/>
        <v>0</v>
      </c>
      <c r="BY971" s="4">
        <f t="shared" si="556"/>
        <v>0</v>
      </c>
      <c r="BZ971" s="37">
        <f t="shared" si="557"/>
        <v>96</v>
      </c>
      <c r="CA971" s="32" t="str">
        <f>VLOOKUP(J:J,'Agent wise'!A:C,3,0)</f>
        <v xml:space="preserve">Shiny </v>
      </c>
      <c r="CB971" s="32">
        <f t="shared" si="558"/>
        <v>45947</v>
      </c>
      <c r="CC971" t="str">
        <f t="shared" si="559"/>
        <v>Excellent</v>
      </c>
      <c r="CE971" s="32"/>
      <c r="CJ971">
        <f t="shared" si="560"/>
        <v>17</v>
      </c>
      <c r="CK971">
        <f t="shared" si="561"/>
        <v>10</v>
      </c>
      <c r="CL971">
        <f t="shared" si="562"/>
        <v>2025</v>
      </c>
    </row>
    <row r="972" spans="1:90" ht="15" customHeight="1" x14ac:dyDescent="0.35">
      <c r="A972" t="s">
        <v>2381</v>
      </c>
      <c r="B972" t="s">
        <v>250</v>
      </c>
      <c r="C972" t="s">
        <v>214</v>
      </c>
      <c r="D972" t="s">
        <v>251</v>
      </c>
      <c r="E972" s="32">
        <v>45947</v>
      </c>
      <c r="F972" t="s">
        <v>306</v>
      </c>
      <c r="G972" t="s">
        <v>2152</v>
      </c>
      <c r="H972">
        <v>8903124178</v>
      </c>
      <c r="I972">
        <v>155</v>
      </c>
      <c r="J972" t="s">
        <v>307</v>
      </c>
      <c r="K972" t="s">
        <v>71</v>
      </c>
      <c r="L972" t="s">
        <v>72</v>
      </c>
      <c r="M972" t="s">
        <v>59</v>
      </c>
      <c r="N972" t="s">
        <v>59</v>
      </c>
      <c r="O972" t="s">
        <v>59</v>
      </c>
      <c r="P972" t="s">
        <v>59</v>
      </c>
      <c r="Q972" t="s">
        <v>59</v>
      </c>
      <c r="R972" t="s">
        <v>59</v>
      </c>
      <c r="S972" t="s">
        <v>59</v>
      </c>
      <c r="T972" t="s">
        <v>59</v>
      </c>
      <c r="U972" t="s">
        <v>59</v>
      </c>
      <c r="V972" t="s">
        <v>59</v>
      </c>
      <c r="W972" t="s">
        <v>59</v>
      </c>
      <c r="X972" t="s">
        <v>59</v>
      </c>
      <c r="Y972" t="s">
        <v>59</v>
      </c>
      <c r="Z972" t="s">
        <v>59</v>
      </c>
      <c r="AA972" t="s">
        <v>59</v>
      </c>
      <c r="AB972" t="s">
        <v>59</v>
      </c>
      <c r="AC972" t="s">
        <v>59</v>
      </c>
      <c r="AD972" t="s">
        <v>59</v>
      </c>
      <c r="AE972" t="s">
        <v>59</v>
      </c>
      <c r="AF972" t="s">
        <v>59</v>
      </c>
      <c r="AG972" t="s">
        <v>59</v>
      </c>
      <c r="AH972" t="s">
        <v>61</v>
      </c>
      <c r="AI972" t="s">
        <v>61</v>
      </c>
      <c r="AJ972" t="s">
        <v>59</v>
      </c>
      <c r="AK972" t="s">
        <v>59</v>
      </c>
      <c r="AL972" t="s">
        <v>59</v>
      </c>
      <c r="AM972" t="s">
        <v>59</v>
      </c>
      <c r="AN972" t="s">
        <v>59</v>
      </c>
      <c r="AO972" t="s">
        <v>59</v>
      </c>
      <c r="AP972" t="s">
        <v>496</v>
      </c>
      <c r="AQ972" t="s">
        <v>2382</v>
      </c>
      <c r="AR972" t="s">
        <v>64</v>
      </c>
      <c r="AS972" t="s">
        <v>2375</v>
      </c>
      <c r="AT972" t="s">
        <v>2375</v>
      </c>
      <c r="AU972" t="s">
        <v>219</v>
      </c>
      <c r="AW972" s="4">
        <f t="shared" si="528"/>
        <v>6</v>
      </c>
      <c r="AX972" s="4">
        <f t="shared" si="529"/>
        <v>4</v>
      </c>
      <c r="AY972" s="4">
        <f t="shared" si="530"/>
        <v>4</v>
      </c>
      <c r="AZ972" s="4">
        <f t="shared" si="531"/>
        <v>2</v>
      </c>
      <c r="BA972" s="4">
        <f t="shared" si="532"/>
        <v>4</v>
      </c>
      <c r="BB972" s="4">
        <f t="shared" si="533"/>
        <v>4</v>
      </c>
      <c r="BC972" s="4">
        <f t="shared" si="534"/>
        <v>4</v>
      </c>
      <c r="BD972" s="4">
        <f t="shared" si="535"/>
        <v>2</v>
      </c>
      <c r="BE972" s="4">
        <f t="shared" si="536"/>
        <v>4</v>
      </c>
      <c r="BF972" s="4">
        <f t="shared" si="537"/>
        <v>2</v>
      </c>
      <c r="BG972" s="4">
        <f t="shared" si="538"/>
        <v>4</v>
      </c>
      <c r="BH972" s="4">
        <f t="shared" si="539"/>
        <v>4</v>
      </c>
      <c r="BI972" s="4">
        <f t="shared" si="540"/>
        <v>4</v>
      </c>
      <c r="BJ972" s="4">
        <f t="shared" si="541"/>
        <v>2</v>
      </c>
      <c r="BK972" s="4">
        <f t="shared" si="542"/>
        <v>4</v>
      </c>
      <c r="BL972" s="4">
        <f t="shared" si="543"/>
        <v>2</v>
      </c>
      <c r="BM972" s="4">
        <f t="shared" si="544"/>
        <v>4</v>
      </c>
      <c r="BN972" s="4">
        <f t="shared" si="545"/>
        <v>4</v>
      </c>
      <c r="BO972" s="4">
        <f t="shared" si="546"/>
        <v>4</v>
      </c>
      <c r="BP972" s="4">
        <f t="shared" si="547"/>
        <v>4</v>
      </c>
      <c r="BQ972" s="4">
        <f t="shared" si="548"/>
        <v>6</v>
      </c>
      <c r="BR972" s="4">
        <f t="shared" si="549"/>
        <v>4</v>
      </c>
      <c r="BS972" s="4">
        <f t="shared" si="550"/>
        <v>4</v>
      </c>
      <c r="BT972" s="4">
        <f t="shared" si="551"/>
        <v>4</v>
      </c>
      <c r="BU972" s="4">
        <f t="shared" si="552"/>
        <v>4</v>
      </c>
      <c r="BV972" s="4">
        <f t="shared" si="553"/>
        <v>0</v>
      </c>
      <c r="BW972" s="4">
        <f t="shared" si="554"/>
        <v>6</v>
      </c>
      <c r="BX972" s="4">
        <f t="shared" si="555"/>
        <v>0</v>
      </c>
      <c r="BY972" s="4">
        <f t="shared" si="556"/>
        <v>0</v>
      </c>
      <c r="BZ972" s="37">
        <f t="shared" si="557"/>
        <v>100</v>
      </c>
      <c r="CA972" s="32" t="str">
        <f>VLOOKUP(J:J,'Agent wise'!A:C,3,0)</f>
        <v>Amal</v>
      </c>
      <c r="CB972" s="32">
        <f t="shared" si="558"/>
        <v>45947</v>
      </c>
      <c r="CC972" t="str">
        <f t="shared" si="559"/>
        <v>Excellent</v>
      </c>
      <c r="CE972" s="32"/>
      <c r="CJ972">
        <f t="shared" si="560"/>
        <v>17</v>
      </c>
      <c r="CK972">
        <f t="shared" si="561"/>
        <v>10</v>
      </c>
      <c r="CL972">
        <f t="shared" si="562"/>
        <v>2025</v>
      </c>
    </row>
    <row r="973" spans="1:90" ht="15" customHeight="1" x14ac:dyDescent="0.35">
      <c r="A973" t="s">
        <v>2383</v>
      </c>
      <c r="B973" t="s">
        <v>250</v>
      </c>
      <c r="C973" t="s">
        <v>214</v>
      </c>
      <c r="D973" t="s">
        <v>251</v>
      </c>
      <c r="E973" s="32">
        <v>45947</v>
      </c>
      <c r="F973" t="s">
        <v>306</v>
      </c>
      <c r="G973" t="s">
        <v>2152</v>
      </c>
      <c r="H973">
        <v>9443142245</v>
      </c>
      <c r="I973">
        <v>175</v>
      </c>
      <c r="J973" t="s">
        <v>307</v>
      </c>
      <c r="K973" t="s">
        <v>71</v>
      </c>
      <c r="L973" t="s">
        <v>72</v>
      </c>
      <c r="M973" t="s">
        <v>59</v>
      </c>
      <c r="N973" t="s">
        <v>59</v>
      </c>
      <c r="O973" t="s">
        <v>59</v>
      </c>
      <c r="P973" t="s">
        <v>59</v>
      </c>
      <c r="Q973" t="s">
        <v>59</v>
      </c>
      <c r="R973" t="s">
        <v>59</v>
      </c>
      <c r="S973" t="s">
        <v>59</v>
      </c>
      <c r="T973" t="s">
        <v>59</v>
      </c>
      <c r="U973" t="s">
        <v>60</v>
      </c>
      <c r="V973" t="s">
        <v>59</v>
      </c>
      <c r="W973" t="s">
        <v>59</v>
      </c>
      <c r="X973" t="s">
        <v>59</v>
      </c>
      <c r="Y973" t="s">
        <v>59</v>
      </c>
      <c r="Z973" t="s">
        <v>59</v>
      </c>
      <c r="AA973" t="s">
        <v>59</v>
      </c>
      <c r="AB973" t="s">
        <v>60</v>
      </c>
      <c r="AC973" t="s">
        <v>59</v>
      </c>
      <c r="AD973" t="s">
        <v>59</v>
      </c>
      <c r="AE973" t="s">
        <v>59</v>
      </c>
      <c r="AF973" t="s">
        <v>59</v>
      </c>
      <c r="AG973" t="s">
        <v>59</v>
      </c>
      <c r="AH973" t="s">
        <v>61</v>
      </c>
      <c r="AI973" t="s">
        <v>61</v>
      </c>
      <c r="AJ973" t="s">
        <v>59</v>
      </c>
      <c r="AK973" t="s">
        <v>59</v>
      </c>
      <c r="AL973" t="s">
        <v>60</v>
      </c>
      <c r="AM973" t="s">
        <v>59</v>
      </c>
      <c r="AN973" t="s">
        <v>59</v>
      </c>
      <c r="AO973" t="s">
        <v>59</v>
      </c>
      <c r="AP973" t="s">
        <v>314</v>
      </c>
      <c r="AQ973" t="s">
        <v>2384</v>
      </c>
      <c r="AR973" t="s">
        <v>226</v>
      </c>
      <c r="AS973" t="s">
        <v>2375</v>
      </c>
      <c r="AT973" t="s">
        <v>2375</v>
      </c>
      <c r="AU973" t="s">
        <v>219</v>
      </c>
      <c r="AW973" s="4">
        <f t="shared" si="528"/>
        <v>6</v>
      </c>
      <c r="AX973" s="4">
        <f t="shared" si="529"/>
        <v>4</v>
      </c>
      <c r="AY973" s="4">
        <f t="shared" si="530"/>
        <v>4</v>
      </c>
      <c r="AZ973" s="4">
        <f t="shared" si="531"/>
        <v>2</v>
      </c>
      <c r="BA973" s="4">
        <f t="shared" si="532"/>
        <v>4</v>
      </c>
      <c r="BB973" s="4">
        <f t="shared" si="533"/>
        <v>4</v>
      </c>
      <c r="BC973" s="4">
        <f t="shared" si="534"/>
        <v>4</v>
      </c>
      <c r="BD973" s="4">
        <f t="shared" si="535"/>
        <v>2</v>
      </c>
      <c r="BE973" s="4" t="str">
        <f t="shared" si="536"/>
        <v>0</v>
      </c>
      <c r="BF973" s="4">
        <f t="shared" si="537"/>
        <v>2</v>
      </c>
      <c r="BG973" s="4">
        <f t="shared" si="538"/>
        <v>4</v>
      </c>
      <c r="BH973" s="4">
        <f t="shared" si="539"/>
        <v>4</v>
      </c>
      <c r="BI973" s="4">
        <f t="shared" si="540"/>
        <v>4</v>
      </c>
      <c r="BJ973" s="4">
        <f t="shared" si="541"/>
        <v>2</v>
      </c>
      <c r="BK973" s="4">
        <f t="shared" si="542"/>
        <v>4</v>
      </c>
      <c r="BL973" s="4" t="str">
        <f t="shared" si="543"/>
        <v>0</v>
      </c>
      <c r="BM973" s="4">
        <f t="shared" si="544"/>
        <v>4</v>
      </c>
      <c r="BN973" s="4">
        <f t="shared" si="545"/>
        <v>4</v>
      </c>
      <c r="BO973" s="4">
        <f t="shared" si="546"/>
        <v>4</v>
      </c>
      <c r="BP973" s="4">
        <f t="shared" si="547"/>
        <v>4</v>
      </c>
      <c r="BQ973" s="4">
        <f t="shared" si="548"/>
        <v>6</v>
      </c>
      <c r="BR973" s="4">
        <f t="shared" si="549"/>
        <v>4</v>
      </c>
      <c r="BS973" s="4">
        <f t="shared" si="550"/>
        <v>4</v>
      </c>
      <c r="BT973" s="4">
        <f t="shared" si="551"/>
        <v>4</v>
      </c>
      <c r="BU973" s="4">
        <f t="shared" si="552"/>
        <v>4</v>
      </c>
      <c r="BV973" s="4" t="str">
        <f t="shared" si="553"/>
        <v>0</v>
      </c>
      <c r="BW973" s="4">
        <f t="shared" si="554"/>
        <v>6</v>
      </c>
      <c r="BX973" s="4">
        <f t="shared" si="555"/>
        <v>0</v>
      </c>
      <c r="BY973" s="4">
        <f t="shared" si="556"/>
        <v>0</v>
      </c>
      <c r="BZ973" s="37">
        <f t="shared" si="557"/>
        <v>94</v>
      </c>
      <c r="CA973" s="32" t="str">
        <f>VLOOKUP(J:J,'Agent wise'!A:C,3,0)</f>
        <v>Amal</v>
      </c>
      <c r="CB973" s="32">
        <f t="shared" si="558"/>
        <v>45947</v>
      </c>
      <c r="CC973" t="str">
        <f t="shared" si="559"/>
        <v>Good</v>
      </c>
      <c r="CE973" s="32"/>
      <c r="CJ973">
        <f t="shared" si="560"/>
        <v>17</v>
      </c>
      <c r="CK973">
        <f t="shared" si="561"/>
        <v>10</v>
      </c>
      <c r="CL973">
        <f t="shared" si="562"/>
        <v>2025</v>
      </c>
    </row>
    <row r="974" spans="1:90" ht="15" customHeight="1" x14ac:dyDescent="0.35">
      <c r="A974" t="s">
        <v>2385</v>
      </c>
      <c r="B974" t="s">
        <v>250</v>
      </c>
      <c r="C974" t="s">
        <v>214</v>
      </c>
      <c r="D974" t="s">
        <v>251</v>
      </c>
      <c r="E974" s="32">
        <v>45947</v>
      </c>
      <c r="F974" t="s">
        <v>306</v>
      </c>
      <c r="G974" t="s">
        <v>2152</v>
      </c>
      <c r="H974">
        <v>8903800402</v>
      </c>
      <c r="I974">
        <v>165</v>
      </c>
      <c r="J974" t="s">
        <v>307</v>
      </c>
      <c r="K974" t="s">
        <v>71</v>
      </c>
      <c r="L974" t="s">
        <v>72</v>
      </c>
      <c r="M974" t="s">
        <v>59</v>
      </c>
      <c r="N974" t="s">
        <v>59</v>
      </c>
      <c r="O974" t="s">
        <v>59</v>
      </c>
      <c r="P974" t="s">
        <v>59</v>
      </c>
      <c r="Q974" t="s">
        <v>59</v>
      </c>
      <c r="R974" t="s">
        <v>59</v>
      </c>
      <c r="S974" t="s">
        <v>59</v>
      </c>
      <c r="T974" t="s">
        <v>59</v>
      </c>
      <c r="U974" t="s">
        <v>60</v>
      </c>
      <c r="V974" t="s">
        <v>59</v>
      </c>
      <c r="W974" t="s">
        <v>59</v>
      </c>
      <c r="X974" t="s">
        <v>59</v>
      </c>
      <c r="Y974" t="s">
        <v>59</v>
      </c>
      <c r="Z974" t="s">
        <v>59</v>
      </c>
      <c r="AA974" t="s">
        <v>59</v>
      </c>
      <c r="AB974" t="s">
        <v>59</v>
      </c>
      <c r="AC974" t="s">
        <v>59</v>
      </c>
      <c r="AD974" t="s">
        <v>59</v>
      </c>
      <c r="AE974" t="s">
        <v>59</v>
      </c>
      <c r="AF974" t="s">
        <v>59</v>
      </c>
      <c r="AG974" t="s">
        <v>59</v>
      </c>
      <c r="AH974" t="s">
        <v>61</v>
      </c>
      <c r="AI974" t="s">
        <v>61</v>
      </c>
      <c r="AJ974" t="s">
        <v>59</v>
      </c>
      <c r="AK974" t="s">
        <v>59</v>
      </c>
      <c r="AL974" t="s">
        <v>60</v>
      </c>
      <c r="AM974" t="s">
        <v>59</v>
      </c>
      <c r="AN974" t="s">
        <v>59</v>
      </c>
      <c r="AO974" t="s">
        <v>59</v>
      </c>
      <c r="AP974" t="s">
        <v>209</v>
      </c>
      <c r="AQ974" t="s">
        <v>2386</v>
      </c>
      <c r="AR974" t="s">
        <v>226</v>
      </c>
      <c r="AS974" t="s">
        <v>2375</v>
      </c>
      <c r="AT974" t="s">
        <v>2375</v>
      </c>
      <c r="AU974" t="s">
        <v>219</v>
      </c>
      <c r="AW974" s="4">
        <f t="shared" si="528"/>
        <v>6</v>
      </c>
      <c r="AX974" s="4">
        <f t="shared" si="529"/>
        <v>4</v>
      </c>
      <c r="AY974" s="4">
        <f t="shared" si="530"/>
        <v>4</v>
      </c>
      <c r="AZ974" s="4">
        <f t="shared" si="531"/>
        <v>2</v>
      </c>
      <c r="BA974" s="4">
        <f t="shared" si="532"/>
        <v>4</v>
      </c>
      <c r="BB974" s="4">
        <f t="shared" si="533"/>
        <v>4</v>
      </c>
      <c r="BC974" s="4">
        <f t="shared" si="534"/>
        <v>4</v>
      </c>
      <c r="BD974" s="4">
        <f t="shared" si="535"/>
        <v>2</v>
      </c>
      <c r="BE974" s="4" t="str">
        <f t="shared" si="536"/>
        <v>0</v>
      </c>
      <c r="BF974" s="4">
        <f t="shared" si="537"/>
        <v>2</v>
      </c>
      <c r="BG974" s="4">
        <f t="shared" si="538"/>
        <v>4</v>
      </c>
      <c r="BH974" s="4">
        <f t="shared" si="539"/>
        <v>4</v>
      </c>
      <c r="BI974" s="4">
        <f t="shared" si="540"/>
        <v>4</v>
      </c>
      <c r="BJ974" s="4">
        <f t="shared" si="541"/>
        <v>2</v>
      </c>
      <c r="BK974" s="4">
        <f t="shared" si="542"/>
        <v>4</v>
      </c>
      <c r="BL974" s="4">
        <f t="shared" si="543"/>
        <v>2</v>
      </c>
      <c r="BM974" s="4">
        <f t="shared" si="544"/>
        <v>4</v>
      </c>
      <c r="BN974" s="4">
        <f t="shared" si="545"/>
        <v>4</v>
      </c>
      <c r="BO974" s="4">
        <f t="shared" si="546"/>
        <v>4</v>
      </c>
      <c r="BP974" s="4">
        <f t="shared" si="547"/>
        <v>4</v>
      </c>
      <c r="BQ974" s="4">
        <f t="shared" si="548"/>
        <v>6</v>
      </c>
      <c r="BR974" s="4">
        <f t="shared" si="549"/>
        <v>4</v>
      </c>
      <c r="BS974" s="4">
        <f t="shared" si="550"/>
        <v>4</v>
      </c>
      <c r="BT974" s="4">
        <f t="shared" si="551"/>
        <v>4</v>
      </c>
      <c r="BU974" s="4">
        <f t="shared" si="552"/>
        <v>4</v>
      </c>
      <c r="BV974" s="4" t="str">
        <f t="shared" si="553"/>
        <v>0</v>
      </c>
      <c r="BW974" s="4">
        <f t="shared" si="554"/>
        <v>6</v>
      </c>
      <c r="BX974" s="4">
        <f t="shared" si="555"/>
        <v>0</v>
      </c>
      <c r="BY974" s="4">
        <f t="shared" si="556"/>
        <v>0</v>
      </c>
      <c r="BZ974" s="37">
        <f t="shared" si="557"/>
        <v>96</v>
      </c>
      <c r="CA974" s="32" t="str">
        <f>VLOOKUP(J:J,'Agent wise'!A:C,3,0)</f>
        <v>Amal</v>
      </c>
      <c r="CB974" s="32">
        <f t="shared" si="558"/>
        <v>45947</v>
      </c>
      <c r="CC974" t="str">
        <f t="shared" si="559"/>
        <v>Excellent</v>
      </c>
      <c r="CE974" s="32"/>
      <c r="CJ974">
        <f t="shared" si="560"/>
        <v>17</v>
      </c>
      <c r="CK974">
        <f t="shared" si="561"/>
        <v>10</v>
      </c>
      <c r="CL974">
        <f t="shared" si="562"/>
        <v>2025</v>
      </c>
    </row>
    <row r="975" spans="1:90" ht="15" customHeight="1" x14ac:dyDescent="0.35">
      <c r="A975" t="s">
        <v>2387</v>
      </c>
      <c r="B975" t="s">
        <v>250</v>
      </c>
      <c r="C975" t="s">
        <v>214</v>
      </c>
      <c r="D975" t="s">
        <v>251</v>
      </c>
      <c r="E975" s="32">
        <v>45947</v>
      </c>
      <c r="F975" t="s">
        <v>306</v>
      </c>
      <c r="G975" t="s">
        <v>2152</v>
      </c>
      <c r="H975">
        <v>8220081791</v>
      </c>
      <c r="I975">
        <v>229</v>
      </c>
      <c r="J975" t="s">
        <v>307</v>
      </c>
      <c r="K975" t="s">
        <v>71</v>
      </c>
      <c r="L975" t="s">
        <v>72</v>
      </c>
      <c r="M975" t="s">
        <v>59</v>
      </c>
      <c r="N975" t="s">
        <v>59</v>
      </c>
      <c r="O975" t="s">
        <v>59</v>
      </c>
      <c r="P975" t="s">
        <v>59</v>
      </c>
      <c r="Q975" t="s">
        <v>59</v>
      </c>
      <c r="R975" t="s">
        <v>59</v>
      </c>
      <c r="S975" t="s">
        <v>59</v>
      </c>
      <c r="T975" t="s">
        <v>59</v>
      </c>
      <c r="U975" t="s">
        <v>60</v>
      </c>
      <c r="V975" t="s">
        <v>59</v>
      </c>
      <c r="W975" t="s">
        <v>59</v>
      </c>
      <c r="X975" t="s">
        <v>59</v>
      </c>
      <c r="Y975" t="s">
        <v>59</v>
      </c>
      <c r="Z975" t="s">
        <v>59</v>
      </c>
      <c r="AA975" t="s">
        <v>59</v>
      </c>
      <c r="AB975" t="s">
        <v>59</v>
      </c>
      <c r="AC975" t="s">
        <v>59</v>
      </c>
      <c r="AD975" t="s">
        <v>59</v>
      </c>
      <c r="AE975" t="s">
        <v>59</v>
      </c>
      <c r="AF975" t="s">
        <v>59</v>
      </c>
      <c r="AG975" t="s">
        <v>59</v>
      </c>
      <c r="AH975" t="s">
        <v>61</v>
      </c>
      <c r="AI975" t="s">
        <v>59</v>
      </c>
      <c r="AJ975" t="s">
        <v>59</v>
      </c>
      <c r="AK975" t="s">
        <v>59</v>
      </c>
      <c r="AL975" t="s">
        <v>59</v>
      </c>
      <c r="AM975" t="s">
        <v>59</v>
      </c>
      <c r="AN975" t="s">
        <v>59</v>
      </c>
      <c r="AO975" t="s">
        <v>59</v>
      </c>
      <c r="AP975" t="s">
        <v>270</v>
      </c>
      <c r="AQ975" t="s">
        <v>2384</v>
      </c>
      <c r="AR975" t="s">
        <v>64</v>
      </c>
      <c r="AS975" t="s">
        <v>2375</v>
      </c>
      <c r="AT975" t="s">
        <v>2375</v>
      </c>
      <c r="AU975" t="s">
        <v>219</v>
      </c>
      <c r="AW975" s="4">
        <f t="shared" si="528"/>
        <v>6</v>
      </c>
      <c r="AX975" s="4">
        <f t="shared" si="529"/>
        <v>4</v>
      </c>
      <c r="AY975" s="4">
        <f t="shared" si="530"/>
        <v>4</v>
      </c>
      <c r="AZ975" s="4">
        <f t="shared" si="531"/>
        <v>2</v>
      </c>
      <c r="BA975" s="4">
        <f t="shared" si="532"/>
        <v>4</v>
      </c>
      <c r="BB975" s="4">
        <f t="shared" si="533"/>
        <v>4</v>
      </c>
      <c r="BC975" s="4">
        <f t="shared" si="534"/>
        <v>4</v>
      </c>
      <c r="BD975" s="4">
        <f t="shared" si="535"/>
        <v>2</v>
      </c>
      <c r="BE975" s="4" t="str">
        <f t="shared" si="536"/>
        <v>0</v>
      </c>
      <c r="BF975" s="4">
        <f t="shared" si="537"/>
        <v>2</v>
      </c>
      <c r="BG975" s="4">
        <f t="shared" si="538"/>
        <v>4</v>
      </c>
      <c r="BH975" s="4">
        <f t="shared" si="539"/>
        <v>4</v>
      </c>
      <c r="BI975" s="4">
        <f t="shared" si="540"/>
        <v>4</v>
      </c>
      <c r="BJ975" s="4">
        <f t="shared" si="541"/>
        <v>2</v>
      </c>
      <c r="BK975" s="4">
        <f t="shared" si="542"/>
        <v>4</v>
      </c>
      <c r="BL975" s="4">
        <f t="shared" si="543"/>
        <v>2</v>
      </c>
      <c r="BM975" s="4">
        <f t="shared" si="544"/>
        <v>4</v>
      </c>
      <c r="BN975" s="4">
        <f t="shared" si="545"/>
        <v>4</v>
      </c>
      <c r="BO975" s="4">
        <f t="shared" si="546"/>
        <v>4</v>
      </c>
      <c r="BP975" s="4">
        <f t="shared" si="547"/>
        <v>4</v>
      </c>
      <c r="BQ975" s="4">
        <f t="shared" si="548"/>
        <v>6</v>
      </c>
      <c r="BR975" s="4">
        <f t="shared" si="549"/>
        <v>4</v>
      </c>
      <c r="BS975" s="4">
        <f t="shared" si="550"/>
        <v>4</v>
      </c>
      <c r="BT975" s="4">
        <f t="shared" si="551"/>
        <v>4</v>
      </c>
      <c r="BU975" s="4">
        <f t="shared" si="552"/>
        <v>4</v>
      </c>
      <c r="BV975" s="4">
        <f t="shared" si="553"/>
        <v>0</v>
      </c>
      <c r="BW975" s="4">
        <f t="shared" si="554"/>
        <v>6</v>
      </c>
      <c r="BX975" s="4">
        <f t="shared" si="555"/>
        <v>0</v>
      </c>
      <c r="BY975" s="4">
        <f t="shared" si="556"/>
        <v>0</v>
      </c>
      <c r="BZ975" s="37">
        <f t="shared" si="557"/>
        <v>96</v>
      </c>
      <c r="CA975" s="32" t="str">
        <f>VLOOKUP(J:J,'Agent wise'!A:C,3,0)</f>
        <v>Amal</v>
      </c>
      <c r="CB975" s="32">
        <f t="shared" si="558"/>
        <v>45947</v>
      </c>
      <c r="CC975" t="str">
        <f t="shared" si="559"/>
        <v>Excellent</v>
      </c>
      <c r="CE975" s="32"/>
      <c r="CJ975">
        <f t="shared" si="560"/>
        <v>17</v>
      </c>
      <c r="CK975">
        <f t="shared" si="561"/>
        <v>10</v>
      </c>
      <c r="CL975">
        <f t="shared" si="562"/>
        <v>2025</v>
      </c>
    </row>
    <row r="976" spans="1:90" ht="15" customHeight="1" x14ac:dyDescent="0.35">
      <c r="A976" t="s">
        <v>2388</v>
      </c>
      <c r="B976" t="s">
        <v>250</v>
      </c>
      <c r="C976" t="s">
        <v>214</v>
      </c>
      <c r="D976" t="s">
        <v>251</v>
      </c>
      <c r="E976" s="32">
        <v>45946</v>
      </c>
      <c r="F976" t="s">
        <v>306</v>
      </c>
      <c r="G976" t="s">
        <v>2152</v>
      </c>
      <c r="H976">
        <v>9787566747</v>
      </c>
      <c r="I976">
        <v>219</v>
      </c>
      <c r="J976" t="s">
        <v>307</v>
      </c>
      <c r="K976" t="s">
        <v>71</v>
      </c>
      <c r="L976" t="s">
        <v>72</v>
      </c>
      <c r="M976" t="s">
        <v>59</v>
      </c>
      <c r="N976" t="s">
        <v>59</v>
      </c>
      <c r="O976" t="s">
        <v>59</v>
      </c>
      <c r="P976" t="s">
        <v>59</v>
      </c>
      <c r="Q976" t="s">
        <v>59</v>
      </c>
      <c r="R976" t="s">
        <v>59</v>
      </c>
      <c r="S976" t="s">
        <v>59</v>
      </c>
      <c r="T976" t="s">
        <v>59</v>
      </c>
      <c r="U976" t="s">
        <v>59</v>
      </c>
      <c r="V976" t="s">
        <v>59</v>
      </c>
      <c r="W976" t="s">
        <v>59</v>
      </c>
      <c r="X976" t="s">
        <v>59</v>
      </c>
      <c r="Y976" t="s">
        <v>59</v>
      </c>
      <c r="Z976" t="s">
        <v>59</v>
      </c>
      <c r="AA976" t="s">
        <v>59</v>
      </c>
      <c r="AB976" t="s">
        <v>59</v>
      </c>
      <c r="AC976" t="s">
        <v>59</v>
      </c>
      <c r="AD976" t="s">
        <v>59</v>
      </c>
      <c r="AE976" t="s">
        <v>59</v>
      </c>
      <c r="AF976" t="s">
        <v>59</v>
      </c>
      <c r="AG976" t="s">
        <v>59</v>
      </c>
      <c r="AH976" t="s">
        <v>61</v>
      </c>
      <c r="AI976" t="s">
        <v>61</v>
      </c>
      <c r="AJ976" t="s">
        <v>59</v>
      </c>
      <c r="AK976" t="s">
        <v>59</v>
      </c>
      <c r="AL976" t="s">
        <v>59</v>
      </c>
      <c r="AM976" t="s">
        <v>59</v>
      </c>
      <c r="AN976" t="s">
        <v>59</v>
      </c>
      <c r="AO976" t="s">
        <v>59</v>
      </c>
      <c r="AP976" t="s">
        <v>209</v>
      </c>
      <c r="AQ976" t="s">
        <v>2389</v>
      </c>
      <c r="AR976" t="s">
        <v>226</v>
      </c>
      <c r="AS976" t="s">
        <v>2390</v>
      </c>
      <c r="AT976" t="s">
        <v>1083</v>
      </c>
      <c r="AU976" t="s">
        <v>219</v>
      </c>
      <c r="AW976" s="4">
        <f t="shared" si="528"/>
        <v>6</v>
      </c>
      <c r="AX976" s="4">
        <f t="shared" si="529"/>
        <v>4</v>
      </c>
      <c r="AY976" s="4">
        <f t="shared" si="530"/>
        <v>4</v>
      </c>
      <c r="AZ976" s="4">
        <f t="shared" si="531"/>
        <v>2</v>
      </c>
      <c r="BA976" s="4">
        <f t="shared" si="532"/>
        <v>4</v>
      </c>
      <c r="BB976" s="4">
        <f t="shared" si="533"/>
        <v>4</v>
      </c>
      <c r="BC976" s="4">
        <f t="shared" si="534"/>
        <v>4</v>
      </c>
      <c r="BD976" s="4">
        <f t="shared" si="535"/>
        <v>2</v>
      </c>
      <c r="BE976" s="4">
        <f t="shared" si="536"/>
        <v>4</v>
      </c>
      <c r="BF976" s="4">
        <f t="shared" si="537"/>
        <v>2</v>
      </c>
      <c r="BG976" s="4">
        <f t="shared" si="538"/>
        <v>4</v>
      </c>
      <c r="BH976" s="4">
        <f t="shared" si="539"/>
        <v>4</v>
      </c>
      <c r="BI976" s="4">
        <f t="shared" si="540"/>
        <v>4</v>
      </c>
      <c r="BJ976" s="4">
        <f t="shared" si="541"/>
        <v>2</v>
      </c>
      <c r="BK976" s="4">
        <f t="shared" si="542"/>
        <v>4</v>
      </c>
      <c r="BL976" s="4">
        <f t="shared" si="543"/>
        <v>2</v>
      </c>
      <c r="BM976" s="4">
        <f t="shared" si="544"/>
        <v>4</v>
      </c>
      <c r="BN976" s="4">
        <f t="shared" si="545"/>
        <v>4</v>
      </c>
      <c r="BO976" s="4">
        <f t="shared" si="546"/>
        <v>4</v>
      </c>
      <c r="BP976" s="4">
        <f t="shared" si="547"/>
        <v>4</v>
      </c>
      <c r="BQ976" s="4">
        <f t="shared" si="548"/>
        <v>6</v>
      </c>
      <c r="BR976" s="4">
        <f t="shared" si="549"/>
        <v>4</v>
      </c>
      <c r="BS976" s="4">
        <f t="shared" si="550"/>
        <v>4</v>
      </c>
      <c r="BT976" s="4">
        <f t="shared" si="551"/>
        <v>4</v>
      </c>
      <c r="BU976" s="4">
        <f t="shared" si="552"/>
        <v>4</v>
      </c>
      <c r="BV976" s="4">
        <f t="shared" si="553"/>
        <v>0</v>
      </c>
      <c r="BW976" s="4">
        <f t="shared" si="554"/>
        <v>6</v>
      </c>
      <c r="BX976" s="4">
        <f t="shared" si="555"/>
        <v>0</v>
      </c>
      <c r="BY976" s="4">
        <f t="shared" si="556"/>
        <v>0</v>
      </c>
      <c r="BZ976" s="37">
        <f t="shared" si="557"/>
        <v>100</v>
      </c>
      <c r="CA976" s="32" t="str">
        <f>VLOOKUP(J:J,'Agent wise'!A:C,3,0)</f>
        <v>Amal</v>
      </c>
      <c r="CB976" s="32">
        <f t="shared" si="558"/>
        <v>45946</v>
      </c>
      <c r="CC976" t="str">
        <f t="shared" si="559"/>
        <v>Excellent</v>
      </c>
      <c r="CE976" s="32"/>
      <c r="CJ976">
        <f t="shared" si="560"/>
        <v>16</v>
      </c>
      <c r="CK976">
        <f t="shared" si="561"/>
        <v>10</v>
      </c>
      <c r="CL976">
        <f t="shared" si="562"/>
        <v>2025</v>
      </c>
    </row>
    <row r="977" spans="1:90" ht="15" customHeight="1" x14ac:dyDescent="0.35">
      <c r="A977" t="s">
        <v>2391</v>
      </c>
      <c r="B977" t="s">
        <v>250</v>
      </c>
      <c r="C977" t="s">
        <v>214</v>
      </c>
      <c r="D977" t="s">
        <v>251</v>
      </c>
      <c r="E977" s="32">
        <v>45947</v>
      </c>
      <c r="F977" t="s">
        <v>306</v>
      </c>
      <c r="G977" t="s">
        <v>2152</v>
      </c>
      <c r="H977">
        <v>9894776398</v>
      </c>
      <c r="I977">
        <v>151</v>
      </c>
      <c r="J977" t="s">
        <v>246</v>
      </c>
      <c r="K977" t="s">
        <v>71</v>
      </c>
      <c r="L977" t="s">
        <v>72</v>
      </c>
      <c r="M977" t="s">
        <v>59</v>
      </c>
      <c r="N977" t="s">
        <v>59</v>
      </c>
      <c r="O977" t="s">
        <v>59</v>
      </c>
      <c r="P977" t="s">
        <v>59</v>
      </c>
      <c r="Q977" t="s">
        <v>59</v>
      </c>
      <c r="R977" t="s">
        <v>59</v>
      </c>
      <c r="S977" t="s">
        <v>59</v>
      </c>
      <c r="T977" t="s">
        <v>59</v>
      </c>
      <c r="U977" t="s">
        <v>60</v>
      </c>
      <c r="V977" t="s">
        <v>59</v>
      </c>
      <c r="W977" t="s">
        <v>59</v>
      </c>
      <c r="X977" t="s">
        <v>59</v>
      </c>
      <c r="Y977" t="s">
        <v>59</v>
      </c>
      <c r="Z977" t="s">
        <v>59</v>
      </c>
      <c r="AA977" t="s">
        <v>59</v>
      </c>
      <c r="AB977" t="s">
        <v>59</v>
      </c>
      <c r="AC977" t="s">
        <v>59</v>
      </c>
      <c r="AD977" t="s">
        <v>59</v>
      </c>
      <c r="AE977" t="s">
        <v>59</v>
      </c>
      <c r="AF977" t="s">
        <v>59</v>
      </c>
      <c r="AG977" t="s">
        <v>59</v>
      </c>
      <c r="AH977" t="s">
        <v>61</v>
      </c>
      <c r="AI977" t="s">
        <v>61</v>
      </c>
      <c r="AJ977" t="s">
        <v>59</v>
      </c>
      <c r="AK977" t="s">
        <v>59</v>
      </c>
      <c r="AL977" t="s">
        <v>60</v>
      </c>
      <c r="AM977" t="s">
        <v>59</v>
      </c>
      <c r="AN977" t="s">
        <v>59</v>
      </c>
      <c r="AO977" t="s">
        <v>59</v>
      </c>
      <c r="AP977" t="s">
        <v>209</v>
      </c>
      <c r="AQ977" t="s">
        <v>2392</v>
      </c>
      <c r="AR977" t="s">
        <v>226</v>
      </c>
      <c r="AS977" t="s">
        <v>2375</v>
      </c>
      <c r="AT977" t="s">
        <v>2375</v>
      </c>
      <c r="AU977" t="s">
        <v>219</v>
      </c>
      <c r="AW977" s="4">
        <f t="shared" si="528"/>
        <v>6</v>
      </c>
      <c r="AX977" s="4">
        <f t="shared" si="529"/>
        <v>4</v>
      </c>
      <c r="AY977" s="4">
        <f t="shared" si="530"/>
        <v>4</v>
      </c>
      <c r="AZ977" s="4">
        <f t="shared" si="531"/>
        <v>2</v>
      </c>
      <c r="BA977" s="4">
        <f t="shared" si="532"/>
        <v>4</v>
      </c>
      <c r="BB977" s="4">
        <f t="shared" si="533"/>
        <v>4</v>
      </c>
      <c r="BC977" s="4">
        <f t="shared" si="534"/>
        <v>4</v>
      </c>
      <c r="BD977" s="4">
        <f t="shared" si="535"/>
        <v>2</v>
      </c>
      <c r="BE977" s="4" t="str">
        <f t="shared" si="536"/>
        <v>0</v>
      </c>
      <c r="BF977" s="4">
        <f t="shared" si="537"/>
        <v>2</v>
      </c>
      <c r="BG977" s="4">
        <f t="shared" si="538"/>
        <v>4</v>
      </c>
      <c r="BH977" s="4">
        <f t="shared" si="539"/>
        <v>4</v>
      </c>
      <c r="BI977" s="4">
        <f t="shared" si="540"/>
        <v>4</v>
      </c>
      <c r="BJ977" s="4">
        <f t="shared" si="541"/>
        <v>2</v>
      </c>
      <c r="BK977" s="4">
        <f t="shared" si="542"/>
        <v>4</v>
      </c>
      <c r="BL977" s="4">
        <f t="shared" si="543"/>
        <v>2</v>
      </c>
      <c r="BM977" s="4">
        <f t="shared" si="544"/>
        <v>4</v>
      </c>
      <c r="BN977" s="4">
        <f t="shared" si="545"/>
        <v>4</v>
      </c>
      <c r="BO977" s="4">
        <f t="shared" si="546"/>
        <v>4</v>
      </c>
      <c r="BP977" s="4">
        <f t="shared" si="547"/>
        <v>4</v>
      </c>
      <c r="BQ977" s="4">
        <f t="shared" si="548"/>
        <v>6</v>
      </c>
      <c r="BR977" s="4">
        <f t="shared" si="549"/>
        <v>4</v>
      </c>
      <c r="BS977" s="4">
        <f t="shared" si="550"/>
        <v>4</v>
      </c>
      <c r="BT977" s="4">
        <f t="shared" si="551"/>
        <v>4</v>
      </c>
      <c r="BU977" s="4">
        <f t="shared" si="552"/>
        <v>4</v>
      </c>
      <c r="BV977" s="4" t="str">
        <f t="shared" si="553"/>
        <v>0</v>
      </c>
      <c r="BW977" s="4">
        <f t="shared" si="554"/>
        <v>6</v>
      </c>
      <c r="BX977" s="4">
        <f t="shared" si="555"/>
        <v>0</v>
      </c>
      <c r="BY977" s="4">
        <f t="shared" si="556"/>
        <v>0</v>
      </c>
      <c r="BZ977" s="37">
        <f t="shared" si="557"/>
        <v>96</v>
      </c>
      <c r="CA977" s="32" t="str">
        <f>VLOOKUP(J:J,'Agent wise'!A:C,3,0)</f>
        <v>Amal</v>
      </c>
      <c r="CB977" s="32">
        <f t="shared" si="558"/>
        <v>45947</v>
      </c>
      <c r="CC977" t="str">
        <f t="shared" si="559"/>
        <v>Excellent</v>
      </c>
      <c r="CE977" s="32"/>
      <c r="CJ977">
        <f t="shared" si="560"/>
        <v>17</v>
      </c>
      <c r="CK977">
        <f t="shared" si="561"/>
        <v>10</v>
      </c>
      <c r="CL977">
        <f t="shared" si="562"/>
        <v>2025</v>
      </c>
    </row>
    <row r="978" spans="1:90" ht="15" customHeight="1" x14ac:dyDescent="0.35">
      <c r="A978" t="s">
        <v>2393</v>
      </c>
      <c r="B978" t="s">
        <v>250</v>
      </c>
      <c r="C978" t="s">
        <v>214</v>
      </c>
      <c r="D978" t="s">
        <v>251</v>
      </c>
      <c r="E978" s="32">
        <v>45946</v>
      </c>
      <c r="F978" t="s">
        <v>54</v>
      </c>
      <c r="G978" t="s">
        <v>2152</v>
      </c>
      <c r="H978">
        <v>9750490515</v>
      </c>
      <c r="I978">
        <v>202</v>
      </c>
      <c r="J978" t="s">
        <v>246</v>
      </c>
      <c r="K978" t="s">
        <v>71</v>
      </c>
      <c r="L978" t="s">
        <v>72</v>
      </c>
      <c r="M978" t="s">
        <v>59</v>
      </c>
      <c r="N978" t="s">
        <v>59</v>
      </c>
      <c r="O978" t="s">
        <v>59</v>
      </c>
      <c r="P978" t="s">
        <v>59</v>
      </c>
      <c r="Q978" t="s">
        <v>59</v>
      </c>
      <c r="R978" t="s">
        <v>59</v>
      </c>
      <c r="S978" t="s">
        <v>59</v>
      </c>
      <c r="T978" t="s">
        <v>59</v>
      </c>
      <c r="U978" t="s">
        <v>59</v>
      </c>
      <c r="V978" t="s">
        <v>59</v>
      </c>
      <c r="W978" t="s">
        <v>59</v>
      </c>
      <c r="X978" t="s">
        <v>59</v>
      </c>
      <c r="Y978" t="s">
        <v>59</v>
      </c>
      <c r="Z978" t="s">
        <v>59</v>
      </c>
      <c r="AA978" t="s">
        <v>59</v>
      </c>
      <c r="AB978" t="s">
        <v>61</v>
      </c>
      <c r="AC978" t="s">
        <v>61</v>
      </c>
      <c r="AD978" t="s">
        <v>61</v>
      </c>
      <c r="AE978" t="s">
        <v>59</v>
      </c>
      <c r="AF978" t="s">
        <v>59</v>
      </c>
      <c r="AG978" t="s">
        <v>59</v>
      </c>
      <c r="AH978" t="s">
        <v>61</v>
      </c>
      <c r="AI978" t="s">
        <v>61</v>
      </c>
      <c r="AJ978" t="s">
        <v>59</v>
      </c>
      <c r="AK978" t="s">
        <v>59</v>
      </c>
      <c r="AL978" t="s">
        <v>59</v>
      </c>
      <c r="AM978" t="s">
        <v>59</v>
      </c>
      <c r="AN978" t="s">
        <v>59</v>
      </c>
      <c r="AO978" t="s">
        <v>59</v>
      </c>
      <c r="AP978" t="s">
        <v>460</v>
      </c>
      <c r="AQ978" t="s">
        <v>2394</v>
      </c>
      <c r="AR978" t="s">
        <v>226</v>
      </c>
      <c r="AS978" t="s">
        <v>2375</v>
      </c>
      <c r="AT978" t="s">
        <v>2375</v>
      </c>
      <c r="AU978" t="s">
        <v>219</v>
      </c>
      <c r="AW978" s="4">
        <f t="shared" si="528"/>
        <v>6</v>
      </c>
      <c r="AX978" s="4">
        <f t="shared" si="529"/>
        <v>4</v>
      </c>
      <c r="AY978" s="4">
        <f t="shared" si="530"/>
        <v>4</v>
      </c>
      <c r="AZ978" s="4">
        <f t="shared" si="531"/>
        <v>2</v>
      </c>
      <c r="BA978" s="4">
        <f t="shared" si="532"/>
        <v>4</v>
      </c>
      <c r="BB978" s="4">
        <f t="shared" si="533"/>
        <v>4</v>
      </c>
      <c r="BC978" s="4">
        <f t="shared" si="534"/>
        <v>4</v>
      </c>
      <c r="BD978" s="4">
        <f t="shared" si="535"/>
        <v>2</v>
      </c>
      <c r="BE978" s="4">
        <f t="shared" si="536"/>
        <v>4</v>
      </c>
      <c r="BF978" s="4">
        <f t="shared" si="537"/>
        <v>2</v>
      </c>
      <c r="BG978" s="4">
        <f t="shared" si="538"/>
        <v>4</v>
      </c>
      <c r="BH978" s="4">
        <f t="shared" si="539"/>
        <v>4</v>
      </c>
      <c r="BI978" s="4">
        <f t="shared" si="540"/>
        <v>4</v>
      </c>
      <c r="BJ978" s="4">
        <f t="shared" si="541"/>
        <v>2</v>
      </c>
      <c r="BK978" s="4">
        <f t="shared" si="542"/>
        <v>4</v>
      </c>
      <c r="BL978" s="4">
        <f t="shared" si="543"/>
        <v>2</v>
      </c>
      <c r="BM978" s="4">
        <f t="shared" si="544"/>
        <v>4</v>
      </c>
      <c r="BN978" s="4">
        <f t="shared" si="545"/>
        <v>4</v>
      </c>
      <c r="BO978" s="4">
        <f t="shared" si="546"/>
        <v>4</v>
      </c>
      <c r="BP978" s="4">
        <f t="shared" si="547"/>
        <v>4</v>
      </c>
      <c r="BQ978" s="4">
        <f t="shared" si="548"/>
        <v>6</v>
      </c>
      <c r="BR978" s="4">
        <f t="shared" si="549"/>
        <v>4</v>
      </c>
      <c r="BS978" s="4">
        <f t="shared" si="550"/>
        <v>4</v>
      </c>
      <c r="BT978" s="4">
        <f t="shared" si="551"/>
        <v>4</v>
      </c>
      <c r="BU978" s="4">
        <f t="shared" si="552"/>
        <v>4</v>
      </c>
      <c r="BV978" s="4">
        <f t="shared" si="553"/>
        <v>0</v>
      </c>
      <c r="BW978" s="4">
        <f t="shared" si="554"/>
        <v>6</v>
      </c>
      <c r="BX978" s="4">
        <f t="shared" si="555"/>
        <v>0</v>
      </c>
      <c r="BY978" s="4">
        <f t="shared" si="556"/>
        <v>0</v>
      </c>
      <c r="BZ978" s="37">
        <f t="shared" si="557"/>
        <v>100</v>
      </c>
      <c r="CA978" s="32" t="str">
        <f>VLOOKUP(J:J,'Agent wise'!A:C,3,0)</f>
        <v>Amal</v>
      </c>
      <c r="CB978" s="32">
        <f t="shared" si="558"/>
        <v>45946</v>
      </c>
      <c r="CC978" t="str">
        <f t="shared" si="559"/>
        <v>Excellent</v>
      </c>
      <c r="CE978" s="32"/>
      <c r="CJ978">
        <f t="shared" si="560"/>
        <v>16</v>
      </c>
      <c r="CK978">
        <f t="shared" si="561"/>
        <v>10</v>
      </c>
      <c r="CL978">
        <f t="shared" si="562"/>
        <v>2025</v>
      </c>
    </row>
    <row r="979" spans="1:90" ht="15" customHeight="1" x14ac:dyDescent="0.35">
      <c r="A979" t="s">
        <v>2395</v>
      </c>
      <c r="B979" t="s">
        <v>250</v>
      </c>
      <c r="C979" t="s">
        <v>214</v>
      </c>
      <c r="D979" t="s">
        <v>251</v>
      </c>
      <c r="E979" s="32">
        <v>45947</v>
      </c>
      <c r="F979" t="s">
        <v>306</v>
      </c>
      <c r="G979" t="s">
        <v>2152</v>
      </c>
      <c r="H979">
        <v>9688814075</v>
      </c>
      <c r="I979">
        <v>142</v>
      </c>
      <c r="J979" t="s">
        <v>246</v>
      </c>
      <c r="K979" t="s">
        <v>71</v>
      </c>
      <c r="L979" t="s">
        <v>72</v>
      </c>
      <c r="M979" t="s">
        <v>59</v>
      </c>
      <c r="N979" t="s">
        <v>59</v>
      </c>
      <c r="O979" t="s">
        <v>59</v>
      </c>
      <c r="P979" t="s">
        <v>59</v>
      </c>
      <c r="Q979" t="s">
        <v>59</v>
      </c>
      <c r="R979" t="s">
        <v>59</v>
      </c>
      <c r="S979" t="s">
        <v>59</v>
      </c>
      <c r="T979" t="s">
        <v>59</v>
      </c>
      <c r="U979" t="s">
        <v>59</v>
      </c>
      <c r="V979" t="s">
        <v>59</v>
      </c>
      <c r="W979" t="s">
        <v>59</v>
      </c>
      <c r="X979" t="s">
        <v>59</v>
      </c>
      <c r="Y979" t="s">
        <v>59</v>
      </c>
      <c r="Z979" t="s">
        <v>59</v>
      </c>
      <c r="AA979" t="s">
        <v>59</v>
      </c>
      <c r="AB979" t="s">
        <v>61</v>
      </c>
      <c r="AC979" t="s">
        <v>59</v>
      </c>
      <c r="AD979" t="s">
        <v>59</v>
      </c>
      <c r="AE979" t="s">
        <v>59</v>
      </c>
      <c r="AF979" t="s">
        <v>59</v>
      </c>
      <c r="AG979" t="s">
        <v>59</v>
      </c>
      <c r="AH979" t="s">
        <v>61</v>
      </c>
      <c r="AI979" t="s">
        <v>61</v>
      </c>
      <c r="AJ979" t="s">
        <v>59</v>
      </c>
      <c r="AK979" t="s">
        <v>59</v>
      </c>
      <c r="AL979" t="s">
        <v>59</v>
      </c>
      <c r="AM979" t="s">
        <v>59</v>
      </c>
      <c r="AN979" t="s">
        <v>59</v>
      </c>
      <c r="AO979" t="s">
        <v>59</v>
      </c>
      <c r="AP979" t="s">
        <v>270</v>
      </c>
      <c r="AQ979" t="s">
        <v>2394</v>
      </c>
      <c r="AR979" t="s">
        <v>226</v>
      </c>
      <c r="AS979" t="s">
        <v>2375</v>
      </c>
      <c r="AT979" t="s">
        <v>2375</v>
      </c>
      <c r="AU979" t="s">
        <v>219</v>
      </c>
      <c r="AW979" s="4">
        <f t="shared" si="528"/>
        <v>6</v>
      </c>
      <c r="AX979" s="4">
        <f t="shared" si="529"/>
        <v>4</v>
      </c>
      <c r="AY979" s="4">
        <f t="shared" si="530"/>
        <v>4</v>
      </c>
      <c r="AZ979" s="4">
        <f t="shared" si="531"/>
        <v>2</v>
      </c>
      <c r="BA979" s="4">
        <f t="shared" si="532"/>
        <v>4</v>
      </c>
      <c r="BB979" s="4">
        <f t="shared" si="533"/>
        <v>4</v>
      </c>
      <c r="BC979" s="4">
        <f t="shared" si="534"/>
        <v>4</v>
      </c>
      <c r="BD979" s="4">
        <f t="shared" si="535"/>
        <v>2</v>
      </c>
      <c r="BE979" s="4">
        <f t="shared" si="536"/>
        <v>4</v>
      </c>
      <c r="BF979" s="4">
        <f t="shared" si="537"/>
        <v>2</v>
      </c>
      <c r="BG979" s="4">
        <f t="shared" si="538"/>
        <v>4</v>
      </c>
      <c r="BH979" s="4">
        <f t="shared" si="539"/>
        <v>4</v>
      </c>
      <c r="BI979" s="4">
        <f t="shared" si="540"/>
        <v>4</v>
      </c>
      <c r="BJ979" s="4">
        <f t="shared" si="541"/>
        <v>2</v>
      </c>
      <c r="BK979" s="4">
        <f t="shared" si="542"/>
        <v>4</v>
      </c>
      <c r="BL979" s="4">
        <f t="shared" si="543"/>
        <v>2</v>
      </c>
      <c r="BM979" s="4">
        <f t="shared" si="544"/>
        <v>4</v>
      </c>
      <c r="BN979" s="4">
        <f t="shared" si="545"/>
        <v>4</v>
      </c>
      <c r="BO979" s="4">
        <f t="shared" si="546"/>
        <v>4</v>
      </c>
      <c r="BP979" s="4">
        <f t="shared" si="547"/>
        <v>4</v>
      </c>
      <c r="BQ979" s="4">
        <f t="shared" si="548"/>
        <v>6</v>
      </c>
      <c r="BR979" s="4">
        <f t="shared" si="549"/>
        <v>4</v>
      </c>
      <c r="BS979" s="4">
        <f t="shared" si="550"/>
        <v>4</v>
      </c>
      <c r="BT979" s="4">
        <f t="shared" si="551"/>
        <v>4</v>
      </c>
      <c r="BU979" s="4">
        <f t="shared" si="552"/>
        <v>4</v>
      </c>
      <c r="BV979" s="4">
        <f t="shared" si="553"/>
        <v>0</v>
      </c>
      <c r="BW979" s="4">
        <f t="shared" si="554"/>
        <v>6</v>
      </c>
      <c r="BX979" s="4">
        <f t="shared" si="555"/>
        <v>0</v>
      </c>
      <c r="BY979" s="4">
        <f t="shared" si="556"/>
        <v>0</v>
      </c>
      <c r="BZ979" s="37">
        <f t="shared" si="557"/>
        <v>100</v>
      </c>
      <c r="CA979" s="32" t="str">
        <f>VLOOKUP(J:J,'Agent wise'!A:C,3,0)</f>
        <v>Amal</v>
      </c>
      <c r="CB979" s="32">
        <f t="shared" si="558"/>
        <v>45947</v>
      </c>
      <c r="CC979" t="str">
        <f t="shared" si="559"/>
        <v>Excellent</v>
      </c>
      <c r="CE979" s="32"/>
      <c r="CJ979">
        <f t="shared" si="560"/>
        <v>17</v>
      </c>
      <c r="CK979">
        <f t="shared" si="561"/>
        <v>10</v>
      </c>
      <c r="CL979">
        <f t="shared" si="562"/>
        <v>2025</v>
      </c>
    </row>
    <row r="980" spans="1:90" ht="15" customHeight="1" x14ac:dyDescent="0.35">
      <c r="A980" t="s">
        <v>2396</v>
      </c>
      <c r="B980" t="s">
        <v>250</v>
      </c>
      <c r="C980" t="s">
        <v>214</v>
      </c>
      <c r="D980" t="s">
        <v>251</v>
      </c>
      <c r="E980" s="32">
        <v>45947</v>
      </c>
      <c r="F980" t="s">
        <v>306</v>
      </c>
      <c r="G980" t="s">
        <v>2152</v>
      </c>
      <c r="H980">
        <v>8056675856</v>
      </c>
      <c r="I980">
        <v>145</v>
      </c>
      <c r="J980" t="s">
        <v>246</v>
      </c>
      <c r="K980" t="s">
        <v>71</v>
      </c>
      <c r="L980" t="s">
        <v>72</v>
      </c>
      <c r="M980" t="s">
        <v>59</v>
      </c>
      <c r="N980" t="s">
        <v>59</v>
      </c>
      <c r="O980" t="s">
        <v>59</v>
      </c>
      <c r="P980" t="s">
        <v>59</v>
      </c>
      <c r="Q980" t="s">
        <v>59</v>
      </c>
      <c r="R980" t="s">
        <v>59</v>
      </c>
      <c r="S980" t="s">
        <v>59</v>
      </c>
      <c r="T980" t="s">
        <v>59</v>
      </c>
      <c r="U980" t="s">
        <v>59</v>
      </c>
      <c r="V980" t="s">
        <v>59</v>
      </c>
      <c r="W980" t="s">
        <v>59</v>
      </c>
      <c r="X980" t="s">
        <v>59</v>
      </c>
      <c r="Y980" t="s">
        <v>59</v>
      </c>
      <c r="Z980" t="s">
        <v>59</v>
      </c>
      <c r="AA980" t="s">
        <v>59</v>
      </c>
      <c r="AB980" t="s">
        <v>59</v>
      </c>
      <c r="AC980" t="s">
        <v>59</v>
      </c>
      <c r="AD980" t="s">
        <v>59</v>
      </c>
      <c r="AE980" t="s">
        <v>59</v>
      </c>
      <c r="AF980" t="s">
        <v>59</v>
      </c>
      <c r="AG980" t="s">
        <v>59</v>
      </c>
      <c r="AH980" t="s">
        <v>61</v>
      </c>
      <c r="AI980" t="s">
        <v>61</v>
      </c>
      <c r="AJ980" t="s">
        <v>59</v>
      </c>
      <c r="AK980" t="s">
        <v>59</v>
      </c>
      <c r="AL980" t="s">
        <v>59</v>
      </c>
      <c r="AM980" t="s">
        <v>59</v>
      </c>
      <c r="AN980" t="s">
        <v>59</v>
      </c>
      <c r="AO980" t="s">
        <v>59</v>
      </c>
      <c r="AP980" t="s">
        <v>803</v>
      </c>
      <c r="AQ980" t="s">
        <v>2397</v>
      </c>
      <c r="AR980" t="s">
        <v>226</v>
      </c>
      <c r="AS980" t="s">
        <v>2375</v>
      </c>
      <c r="AT980" t="s">
        <v>2375</v>
      </c>
      <c r="AU980" t="s">
        <v>219</v>
      </c>
      <c r="AW980" s="4">
        <f t="shared" si="528"/>
        <v>6</v>
      </c>
      <c r="AX980" s="4">
        <f t="shared" si="529"/>
        <v>4</v>
      </c>
      <c r="AY980" s="4">
        <f t="shared" si="530"/>
        <v>4</v>
      </c>
      <c r="AZ980" s="4">
        <f t="shared" si="531"/>
        <v>2</v>
      </c>
      <c r="BA980" s="4">
        <f t="shared" si="532"/>
        <v>4</v>
      </c>
      <c r="BB980" s="4">
        <f t="shared" si="533"/>
        <v>4</v>
      </c>
      <c r="BC980" s="4">
        <f t="shared" si="534"/>
        <v>4</v>
      </c>
      <c r="BD980" s="4">
        <f t="shared" si="535"/>
        <v>2</v>
      </c>
      <c r="BE980" s="4">
        <f t="shared" si="536"/>
        <v>4</v>
      </c>
      <c r="BF980" s="4">
        <f t="shared" si="537"/>
        <v>2</v>
      </c>
      <c r="BG980" s="4">
        <f t="shared" si="538"/>
        <v>4</v>
      </c>
      <c r="BH980" s="4">
        <f t="shared" si="539"/>
        <v>4</v>
      </c>
      <c r="BI980" s="4">
        <f t="shared" si="540"/>
        <v>4</v>
      </c>
      <c r="BJ980" s="4">
        <f t="shared" si="541"/>
        <v>2</v>
      </c>
      <c r="BK980" s="4">
        <f t="shared" si="542"/>
        <v>4</v>
      </c>
      <c r="BL980" s="4">
        <f t="shared" si="543"/>
        <v>2</v>
      </c>
      <c r="BM980" s="4">
        <f t="shared" si="544"/>
        <v>4</v>
      </c>
      <c r="BN980" s="4">
        <f t="shared" si="545"/>
        <v>4</v>
      </c>
      <c r="BO980" s="4">
        <f t="shared" si="546"/>
        <v>4</v>
      </c>
      <c r="BP980" s="4">
        <f t="shared" si="547"/>
        <v>4</v>
      </c>
      <c r="BQ980" s="4">
        <f t="shared" si="548"/>
        <v>6</v>
      </c>
      <c r="BR980" s="4">
        <f t="shared" si="549"/>
        <v>4</v>
      </c>
      <c r="BS980" s="4">
        <f t="shared" si="550"/>
        <v>4</v>
      </c>
      <c r="BT980" s="4">
        <f t="shared" si="551"/>
        <v>4</v>
      </c>
      <c r="BU980" s="4">
        <f t="shared" si="552"/>
        <v>4</v>
      </c>
      <c r="BV980" s="4">
        <f t="shared" si="553"/>
        <v>0</v>
      </c>
      <c r="BW980" s="4">
        <f t="shared" si="554"/>
        <v>6</v>
      </c>
      <c r="BX980" s="4">
        <f t="shared" si="555"/>
        <v>0</v>
      </c>
      <c r="BY980" s="4">
        <f t="shared" si="556"/>
        <v>0</v>
      </c>
      <c r="BZ980" s="37">
        <f t="shared" si="557"/>
        <v>100</v>
      </c>
      <c r="CA980" s="32" t="str">
        <f>VLOOKUP(J:J,'Agent wise'!A:C,3,0)</f>
        <v>Amal</v>
      </c>
      <c r="CB980" s="32">
        <f t="shared" si="558"/>
        <v>45947</v>
      </c>
      <c r="CC980" t="str">
        <f t="shared" si="559"/>
        <v>Excellent</v>
      </c>
      <c r="CE980" s="32"/>
      <c r="CJ980">
        <f t="shared" si="560"/>
        <v>17</v>
      </c>
      <c r="CK980">
        <f t="shared" si="561"/>
        <v>10</v>
      </c>
      <c r="CL980">
        <f t="shared" si="562"/>
        <v>2025</v>
      </c>
    </row>
    <row r="981" spans="1:90" ht="15" customHeight="1" x14ac:dyDescent="0.35">
      <c r="A981" t="s">
        <v>2398</v>
      </c>
      <c r="B981" t="s">
        <v>250</v>
      </c>
      <c r="C981" t="s">
        <v>214</v>
      </c>
      <c r="D981" t="s">
        <v>251</v>
      </c>
      <c r="E981" s="32">
        <v>45947</v>
      </c>
      <c r="F981" t="s">
        <v>306</v>
      </c>
      <c r="G981" t="s">
        <v>2152</v>
      </c>
      <c r="H981">
        <v>9962465344</v>
      </c>
      <c r="I981">
        <v>204</v>
      </c>
      <c r="J981" t="s">
        <v>246</v>
      </c>
      <c r="K981" t="s">
        <v>71</v>
      </c>
      <c r="L981" t="s">
        <v>72</v>
      </c>
      <c r="M981" t="s">
        <v>59</v>
      </c>
      <c r="N981" t="s">
        <v>59</v>
      </c>
      <c r="O981" t="s">
        <v>59</v>
      </c>
      <c r="P981" t="s">
        <v>59</v>
      </c>
      <c r="Q981" t="s">
        <v>59</v>
      </c>
      <c r="R981" t="s">
        <v>59</v>
      </c>
      <c r="S981" t="s">
        <v>59</v>
      </c>
      <c r="T981" t="s">
        <v>59</v>
      </c>
      <c r="U981" t="s">
        <v>60</v>
      </c>
      <c r="V981" t="s">
        <v>59</v>
      </c>
      <c r="W981" t="s">
        <v>59</v>
      </c>
      <c r="X981" t="s">
        <v>59</v>
      </c>
      <c r="Y981" t="s">
        <v>59</v>
      </c>
      <c r="Z981" t="s">
        <v>59</v>
      </c>
      <c r="AA981" t="s">
        <v>59</v>
      </c>
      <c r="AB981" t="s">
        <v>59</v>
      </c>
      <c r="AC981" t="s">
        <v>59</v>
      </c>
      <c r="AD981" t="s">
        <v>59</v>
      </c>
      <c r="AE981" t="s">
        <v>59</v>
      </c>
      <c r="AF981" t="s">
        <v>59</v>
      </c>
      <c r="AG981" t="s">
        <v>59</v>
      </c>
      <c r="AH981" t="s">
        <v>61</v>
      </c>
      <c r="AI981" t="s">
        <v>61</v>
      </c>
      <c r="AJ981" t="s">
        <v>59</v>
      </c>
      <c r="AK981" t="s">
        <v>59</v>
      </c>
      <c r="AL981" t="s">
        <v>60</v>
      </c>
      <c r="AM981" t="s">
        <v>59</v>
      </c>
      <c r="AN981" t="s">
        <v>59</v>
      </c>
      <c r="AO981" t="s">
        <v>59</v>
      </c>
      <c r="AP981" t="s">
        <v>1383</v>
      </c>
      <c r="AQ981" t="s">
        <v>2399</v>
      </c>
      <c r="AR981" t="s">
        <v>64</v>
      </c>
      <c r="AS981" t="s">
        <v>2375</v>
      </c>
      <c r="AT981" t="s">
        <v>2375</v>
      </c>
      <c r="AU981" t="s">
        <v>219</v>
      </c>
      <c r="AW981" s="4">
        <f t="shared" si="528"/>
        <v>6</v>
      </c>
      <c r="AX981" s="4">
        <f t="shared" si="529"/>
        <v>4</v>
      </c>
      <c r="AY981" s="4">
        <f t="shared" si="530"/>
        <v>4</v>
      </c>
      <c r="AZ981" s="4">
        <f t="shared" si="531"/>
        <v>2</v>
      </c>
      <c r="BA981" s="4">
        <f t="shared" si="532"/>
        <v>4</v>
      </c>
      <c r="BB981" s="4">
        <f t="shared" si="533"/>
        <v>4</v>
      </c>
      <c r="BC981" s="4">
        <f t="shared" si="534"/>
        <v>4</v>
      </c>
      <c r="BD981" s="4">
        <f t="shared" si="535"/>
        <v>2</v>
      </c>
      <c r="BE981" s="4" t="str">
        <f t="shared" si="536"/>
        <v>0</v>
      </c>
      <c r="BF981" s="4">
        <f t="shared" si="537"/>
        <v>2</v>
      </c>
      <c r="BG981" s="4">
        <f t="shared" si="538"/>
        <v>4</v>
      </c>
      <c r="BH981" s="4">
        <f t="shared" si="539"/>
        <v>4</v>
      </c>
      <c r="BI981" s="4">
        <f t="shared" si="540"/>
        <v>4</v>
      </c>
      <c r="BJ981" s="4">
        <f t="shared" si="541"/>
        <v>2</v>
      </c>
      <c r="BK981" s="4">
        <f t="shared" si="542"/>
        <v>4</v>
      </c>
      <c r="BL981" s="4">
        <f t="shared" si="543"/>
        <v>2</v>
      </c>
      <c r="BM981" s="4">
        <f t="shared" si="544"/>
        <v>4</v>
      </c>
      <c r="BN981" s="4">
        <f t="shared" si="545"/>
        <v>4</v>
      </c>
      <c r="BO981" s="4">
        <f t="shared" si="546"/>
        <v>4</v>
      </c>
      <c r="BP981" s="4">
        <f t="shared" si="547"/>
        <v>4</v>
      </c>
      <c r="BQ981" s="4">
        <f t="shared" si="548"/>
        <v>6</v>
      </c>
      <c r="BR981" s="4">
        <f t="shared" si="549"/>
        <v>4</v>
      </c>
      <c r="BS981" s="4">
        <f t="shared" si="550"/>
        <v>4</v>
      </c>
      <c r="BT981" s="4">
        <f t="shared" si="551"/>
        <v>4</v>
      </c>
      <c r="BU981" s="4">
        <f t="shared" si="552"/>
        <v>4</v>
      </c>
      <c r="BV981" s="4" t="str">
        <f t="shared" si="553"/>
        <v>0</v>
      </c>
      <c r="BW981" s="4">
        <f t="shared" si="554"/>
        <v>6</v>
      </c>
      <c r="BX981" s="4">
        <f t="shared" si="555"/>
        <v>0</v>
      </c>
      <c r="BY981" s="4">
        <f t="shared" si="556"/>
        <v>0</v>
      </c>
      <c r="BZ981" s="37">
        <f t="shared" si="557"/>
        <v>96</v>
      </c>
      <c r="CA981" s="32" t="str">
        <f>VLOOKUP(J:J,'Agent wise'!A:C,3,0)</f>
        <v>Amal</v>
      </c>
      <c r="CB981" s="32">
        <f t="shared" si="558"/>
        <v>45947</v>
      </c>
      <c r="CC981" t="str">
        <f t="shared" si="559"/>
        <v>Excellent</v>
      </c>
      <c r="CE981" s="32"/>
      <c r="CJ981">
        <f t="shared" si="560"/>
        <v>17</v>
      </c>
      <c r="CK981">
        <f t="shared" si="561"/>
        <v>10</v>
      </c>
      <c r="CL981">
        <f t="shared" si="562"/>
        <v>2025</v>
      </c>
    </row>
    <row r="982" spans="1:90" ht="15" customHeight="1" x14ac:dyDescent="0.35">
      <c r="A982" t="s">
        <v>2400</v>
      </c>
      <c r="B982" t="s">
        <v>250</v>
      </c>
      <c r="C982" t="s">
        <v>214</v>
      </c>
      <c r="D982" t="s">
        <v>251</v>
      </c>
      <c r="E982" s="32">
        <v>45947</v>
      </c>
      <c r="F982" t="s">
        <v>306</v>
      </c>
      <c r="G982" t="s">
        <v>2152</v>
      </c>
      <c r="H982">
        <v>9994701840</v>
      </c>
      <c r="I982">
        <v>147</v>
      </c>
      <c r="J982" t="s">
        <v>246</v>
      </c>
      <c r="K982" t="s">
        <v>71</v>
      </c>
      <c r="L982" t="s">
        <v>72</v>
      </c>
      <c r="M982" t="s">
        <v>59</v>
      </c>
      <c r="N982" t="s">
        <v>59</v>
      </c>
      <c r="O982" t="s">
        <v>59</v>
      </c>
      <c r="P982" t="s">
        <v>59</v>
      </c>
      <c r="Q982" t="s">
        <v>59</v>
      </c>
      <c r="R982" t="s">
        <v>59</v>
      </c>
      <c r="S982" t="s">
        <v>59</v>
      </c>
      <c r="T982" t="s">
        <v>59</v>
      </c>
      <c r="U982" t="s">
        <v>60</v>
      </c>
      <c r="V982" t="s">
        <v>59</v>
      </c>
      <c r="W982" t="s">
        <v>59</v>
      </c>
      <c r="X982" t="s">
        <v>59</v>
      </c>
      <c r="Y982" t="s">
        <v>59</v>
      </c>
      <c r="Z982" t="s">
        <v>59</v>
      </c>
      <c r="AA982" t="s">
        <v>59</v>
      </c>
      <c r="AB982" t="s">
        <v>59</v>
      </c>
      <c r="AC982" t="s">
        <v>59</v>
      </c>
      <c r="AD982" t="s">
        <v>59</v>
      </c>
      <c r="AE982" t="s">
        <v>59</v>
      </c>
      <c r="AF982" t="s">
        <v>59</v>
      </c>
      <c r="AG982" t="s">
        <v>59</v>
      </c>
      <c r="AH982" t="s">
        <v>61</v>
      </c>
      <c r="AI982" t="s">
        <v>61</v>
      </c>
      <c r="AJ982" t="s">
        <v>59</v>
      </c>
      <c r="AK982" t="s">
        <v>59</v>
      </c>
      <c r="AL982" t="s">
        <v>59</v>
      </c>
      <c r="AM982" t="s">
        <v>59</v>
      </c>
      <c r="AN982" t="s">
        <v>59</v>
      </c>
      <c r="AO982" t="s">
        <v>59</v>
      </c>
      <c r="AP982" t="s">
        <v>209</v>
      </c>
      <c r="AQ982" t="s">
        <v>2401</v>
      </c>
      <c r="AR982" t="s">
        <v>226</v>
      </c>
      <c r="AS982" t="s">
        <v>2375</v>
      </c>
      <c r="AT982" t="s">
        <v>2375</v>
      </c>
      <c r="AU982" t="s">
        <v>219</v>
      </c>
      <c r="AW982" s="4">
        <f t="shared" si="528"/>
        <v>6</v>
      </c>
      <c r="AX982" s="4">
        <f t="shared" si="529"/>
        <v>4</v>
      </c>
      <c r="AY982" s="4">
        <f t="shared" si="530"/>
        <v>4</v>
      </c>
      <c r="AZ982" s="4">
        <f t="shared" si="531"/>
        <v>2</v>
      </c>
      <c r="BA982" s="4">
        <f t="shared" si="532"/>
        <v>4</v>
      </c>
      <c r="BB982" s="4">
        <f t="shared" si="533"/>
        <v>4</v>
      </c>
      <c r="BC982" s="4">
        <f t="shared" si="534"/>
        <v>4</v>
      </c>
      <c r="BD982" s="4">
        <f t="shared" si="535"/>
        <v>2</v>
      </c>
      <c r="BE982" s="4" t="str">
        <f t="shared" si="536"/>
        <v>0</v>
      </c>
      <c r="BF982" s="4">
        <f t="shared" si="537"/>
        <v>2</v>
      </c>
      <c r="BG982" s="4">
        <f t="shared" si="538"/>
        <v>4</v>
      </c>
      <c r="BH982" s="4">
        <f t="shared" si="539"/>
        <v>4</v>
      </c>
      <c r="BI982" s="4">
        <f t="shared" si="540"/>
        <v>4</v>
      </c>
      <c r="BJ982" s="4">
        <f t="shared" si="541"/>
        <v>2</v>
      </c>
      <c r="BK982" s="4">
        <f t="shared" si="542"/>
        <v>4</v>
      </c>
      <c r="BL982" s="4">
        <f t="shared" si="543"/>
        <v>2</v>
      </c>
      <c r="BM982" s="4">
        <f t="shared" si="544"/>
        <v>4</v>
      </c>
      <c r="BN982" s="4">
        <f t="shared" si="545"/>
        <v>4</v>
      </c>
      <c r="BO982" s="4">
        <f t="shared" si="546"/>
        <v>4</v>
      </c>
      <c r="BP982" s="4">
        <f t="shared" si="547"/>
        <v>4</v>
      </c>
      <c r="BQ982" s="4">
        <f t="shared" si="548"/>
        <v>6</v>
      </c>
      <c r="BR982" s="4">
        <f t="shared" si="549"/>
        <v>4</v>
      </c>
      <c r="BS982" s="4">
        <f t="shared" si="550"/>
        <v>4</v>
      </c>
      <c r="BT982" s="4">
        <f t="shared" si="551"/>
        <v>4</v>
      </c>
      <c r="BU982" s="4">
        <f t="shared" si="552"/>
        <v>4</v>
      </c>
      <c r="BV982" s="4">
        <f t="shared" si="553"/>
        <v>0</v>
      </c>
      <c r="BW982" s="4">
        <f t="shared" si="554"/>
        <v>6</v>
      </c>
      <c r="BX982" s="4">
        <f t="shared" si="555"/>
        <v>0</v>
      </c>
      <c r="BY982" s="4">
        <f t="shared" si="556"/>
        <v>0</v>
      </c>
      <c r="BZ982" s="37">
        <f t="shared" si="557"/>
        <v>96</v>
      </c>
      <c r="CA982" s="32" t="str">
        <f>VLOOKUP(J:J,'Agent wise'!A:C,3,0)</f>
        <v>Amal</v>
      </c>
      <c r="CB982" s="32">
        <f t="shared" si="558"/>
        <v>45947</v>
      </c>
      <c r="CC982" t="str">
        <f t="shared" si="559"/>
        <v>Excellent</v>
      </c>
      <c r="CE982" s="32"/>
      <c r="CJ982">
        <f t="shared" si="560"/>
        <v>17</v>
      </c>
      <c r="CK982">
        <f t="shared" si="561"/>
        <v>10</v>
      </c>
      <c r="CL982">
        <f t="shared" si="562"/>
        <v>2025</v>
      </c>
    </row>
    <row r="983" spans="1:90" ht="15" customHeight="1" x14ac:dyDescent="0.35">
      <c r="A983" t="s">
        <v>2402</v>
      </c>
      <c r="B983" t="s">
        <v>250</v>
      </c>
      <c r="C983" t="s">
        <v>214</v>
      </c>
      <c r="D983" t="s">
        <v>251</v>
      </c>
      <c r="E983" s="32">
        <v>45947</v>
      </c>
      <c r="F983" t="s">
        <v>306</v>
      </c>
      <c r="G983" t="s">
        <v>2152</v>
      </c>
      <c r="H983">
        <v>9786886986</v>
      </c>
      <c r="I983">
        <v>192</v>
      </c>
      <c r="J983" t="s">
        <v>246</v>
      </c>
      <c r="K983" t="s">
        <v>71</v>
      </c>
      <c r="L983" t="s">
        <v>72</v>
      </c>
      <c r="M983" t="s">
        <v>59</v>
      </c>
      <c r="N983" t="s">
        <v>59</v>
      </c>
      <c r="O983" t="s">
        <v>59</v>
      </c>
      <c r="P983" t="s">
        <v>59</v>
      </c>
      <c r="Q983" t="s">
        <v>59</v>
      </c>
      <c r="R983" t="s">
        <v>59</v>
      </c>
      <c r="S983" t="s">
        <v>59</v>
      </c>
      <c r="T983" t="s">
        <v>59</v>
      </c>
      <c r="U983" t="s">
        <v>59</v>
      </c>
      <c r="V983" t="s">
        <v>59</v>
      </c>
      <c r="W983" t="s">
        <v>59</v>
      </c>
      <c r="X983" t="s">
        <v>59</v>
      </c>
      <c r="Y983" t="s">
        <v>59</v>
      </c>
      <c r="Z983" t="s">
        <v>59</v>
      </c>
      <c r="AA983" t="s">
        <v>59</v>
      </c>
      <c r="AB983" t="s">
        <v>59</v>
      </c>
      <c r="AC983" t="s">
        <v>59</v>
      </c>
      <c r="AD983" t="s">
        <v>59</v>
      </c>
      <c r="AE983" t="s">
        <v>59</v>
      </c>
      <c r="AF983" t="s">
        <v>59</v>
      </c>
      <c r="AG983" t="s">
        <v>59</v>
      </c>
      <c r="AH983" t="s">
        <v>61</v>
      </c>
      <c r="AI983" t="s">
        <v>61</v>
      </c>
      <c r="AJ983" t="s">
        <v>59</v>
      </c>
      <c r="AK983" t="s">
        <v>59</v>
      </c>
      <c r="AL983" t="s">
        <v>60</v>
      </c>
      <c r="AM983" t="s">
        <v>59</v>
      </c>
      <c r="AN983" t="s">
        <v>59</v>
      </c>
      <c r="AO983" t="s">
        <v>59</v>
      </c>
      <c r="AP983" t="s">
        <v>270</v>
      </c>
      <c r="AQ983" t="s">
        <v>2403</v>
      </c>
      <c r="AR983" t="s">
        <v>226</v>
      </c>
      <c r="AS983" t="s">
        <v>2375</v>
      </c>
      <c r="AT983" t="s">
        <v>2375</v>
      </c>
      <c r="AU983" t="s">
        <v>219</v>
      </c>
      <c r="AW983" s="4">
        <f t="shared" si="528"/>
        <v>6</v>
      </c>
      <c r="AX983" s="4">
        <f t="shared" si="529"/>
        <v>4</v>
      </c>
      <c r="AY983" s="4">
        <f t="shared" si="530"/>
        <v>4</v>
      </c>
      <c r="AZ983" s="4">
        <f t="shared" si="531"/>
        <v>2</v>
      </c>
      <c r="BA983" s="4">
        <f t="shared" si="532"/>
        <v>4</v>
      </c>
      <c r="BB983" s="4">
        <f t="shared" si="533"/>
        <v>4</v>
      </c>
      <c r="BC983" s="4">
        <f t="shared" si="534"/>
        <v>4</v>
      </c>
      <c r="BD983" s="4">
        <f t="shared" si="535"/>
        <v>2</v>
      </c>
      <c r="BE983" s="4">
        <f t="shared" si="536"/>
        <v>4</v>
      </c>
      <c r="BF983" s="4">
        <f t="shared" si="537"/>
        <v>2</v>
      </c>
      <c r="BG983" s="4">
        <f t="shared" si="538"/>
        <v>4</v>
      </c>
      <c r="BH983" s="4">
        <f t="shared" si="539"/>
        <v>4</v>
      </c>
      <c r="BI983" s="4">
        <f t="shared" si="540"/>
        <v>4</v>
      </c>
      <c r="BJ983" s="4">
        <f t="shared" si="541"/>
        <v>2</v>
      </c>
      <c r="BK983" s="4">
        <f t="shared" si="542"/>
        <v>4</v>
      </c>
      <c r="BL983" s="4">
        <f t="shared" si="543"/>
        <v>2</v>
      </c>
      <c r="BM983" s="4">
        <f t="shared" si="544"/>
        <v>4</v>
      </c>
      <c r="BN983" s="4">
        <f t="shared" si="545"/>
        <v>4</v>
      </c>
      <c r="BO983" s="4">
        <f t="shared" si="546"/>
        <v>4</v>
      </c>
      <c r="BP983" s="4">
        <f t="shared" si="547"/>
        <v>4</v>
      </c>
      <c r="BQ983" s="4">
        <f t="shared" si="548"/>
        <v>6</v>
      </c>
      <c r="BR983" s="4">
        <f t="shared" si="549"/>
        <v>4</v>
      </c>
      <c r="BS983" s="4">
        <f t="shared" si="550"/>
        <v>4</v>
      </c>
      <c r="BT983" s="4">
        <f t="shared" si="551"/>
        <v>4</v>
      </c>
      <c r="BU983" s="4">
        <f t="shared" si="552"/>
        <v>4</v>
      </c>
      <c r="BV983" s="4" t="str">
        <f t="shared" si="553"/>
        <v>0</v>
      </c>
      <c r="BW983" s="4">
        <f t="shared" si="554"/>
        <v>6</v>
      </c>
      <c r="BX983" s="4">
        <f t="shared" si="555"/>
        <v>0</v>
      </c>
      <c r="BY983" s="4">
        <f t="shared" si="556"/>
        <v>0</v>
      </c>
      <c r="BZ983" s="37">
        <f t="shared" si="557"/>
        <v>100</v>
      </c>
      <c r="CA983" s="32" t="str">
        <f>VLOOKUP(J:J,'Agent wise'!A:C,3,0)</f>
        <v>Amal</v>
      </c>
      <c r="CB983" s="32">
        <f t="shared" si="558"/>
        <v>45947</v>
      </c>
      <c r="CC983" t="str">
        <f t="shared" si="559"/>
        <v>Excellent</v>
      </c>
      <c r="CE983" s="32"/>
      <c r="CJ983">
        <f t="shared" si="560"/>
        <v>17</v>
      </c>
      <c r="CK983">
        <f t="shared" si="561"/>
        <v>10</v>
      </c>
      <c r="CL983">
        <f t="shared" si="562"/>
        <v>2025</v>
      </c>
    </row>
    <row r="984" spans="1:90" ht="15" customHeight="1" x14ac:dyDescent="0.35">
      <c r="A984" t="s">
        <v>2404</v>
      </c>
      <c r="B984" t="s">
        <v>698</v>
      </c>
      <c r="C984" t="s">
        <v>214</v>
      </c>
      <c r="D984" t="s">
        <v>221</v>
      </c>
      <c r="E984" s="32">
        <v>45947</v>
      </c>
      <c r="F984" t="s">
        <v>222</v>
      </c>
      <c r="G984" t="s">
        <v>2369</v>
      </c>
      <c r="H984">
        <v>9846361092</v>
      </c>
      <c r="I984">
        <v>162</v>
      </c>
      <c r="J984">
        <v>9846361092</v>
      </c>
      <c r="K984" t="s">
        <v>71</v>
      </c>
      <c r="L984" t="s">
        <v>72</v>
      </c>
      <c r="M984" t="s">
        <v>59</v>
      </c>
      <c r="N984" t="s">
        <v>59</v>
      </c>
      <c r="O984" t="s">
        <v>59</v>
      </c>
      <c r="P984" t="s">
        <v>59</v>
      </c>
      <c r="Q984" t="s">
        <v>59</v>
      </c>
      <c r="R984" t="s">
        <v>59</v>
      </c>
      <c r="S984" t="s">
        <v>59</v>
      </c>
      <c r="T984" t="s">
        <v>59</v>
      </c>
      <c r="U984" t="s">
        <v>59</v>
      </c>
      <c r="V984" t="s">
        <v>59</v>
      </c>
      <c r="W984" t="s">
        <v>59</v>
      </c>
      <c r="X984" t="s">
        <v>59</v>
      </c>
      <c r="Y984" t="s">
        <v>59</v>
      </c>
      <c r="Z984" t="s">
        <v>59</v>
      </c>
      <c r="AA984" t="s">
        <v>59</v>
      </c>
      <c r="AB984" t="s">
        <v>59</v>
      </c>
      <c r="AC984" t="s">
        <v>61</v>
      </c>
      <c r="AD984" t="s">
        <v>59</v>
      </c>
      <c r="AE984" t="s">
        <v>59</v>
      </c>
      <c r="AF984" t="s">
        <v>59</v>
      </c>
      <c r="AG984" t="s">
        <v>59</v>
      </c>
      <c r="AH984" t="s">
        <v>61</v>
      </c>
      <c r="AI984" t="s">
        <v>61</v>
      </c>
      <c r="AJ984" t="s">
        <v>59</v>
      </c>
      <c r="AK984" t="s">
        <v>59</v>
      </c>
      <c r="AL984" t="s">
        <v>59</v>
      </c>
      <c r="AM984" t="s">
        <v>59</v>
      </c>
      <c r="AN984" t="s">
        <v>59</v>
      </c>
      <c r="AO984" t="s">
        <v>59</v>
      </c>
      <c r="AP984" t="s">
        <v>971</v>
      </c>
      <c r="AQ984" t="s">
        <v>2405</v>
      </c>
      <c r="AR984" t="s">
        <v>226</v>
      </c>
      <c r="AS984" t="s">
        <v>1343</v>
      </c>
      <c r="AT984" t="s">
        <v>1343</v>
      </c>
      <c r="AU984" t="s">
        <v>219</v>
      </c>
      <c r="AW984" s="4">
        <f t="shared" si="528"/>
        <v>6</v>
      </c>
      <c r="AX984" s="4">
        <f t="shared" si="529"/>
        <v>4</v>
      </c>
      <c r="AY984" s="4">
        <f t="shared" si="530"/>
        <v>4</v>
      </c>
      <c r="AZ984" s="4">
        <f t="shared" si="531"/>
        <v>2</v>
      </c>
      <c r="BA984" s="4">
        <f t="shared" si="532"/>
        <v>4</v>
      </c>
      <c r="BB984" s="4">
        <f t="shared" si="533"/>
        <v>4</v>
      </c>
      <c r="BC984" s="4">
        <f t="shared" si="534"/>
        <v>4</v>
      </c>
      <c r="BD984" s="4">
        <f t="shared" si="535"/>
        <v>2</v>
      </c>
      <c r="BE984" s="4">
        <f t="shared" si="536"/>
        <v>4</v>
      </c>
      <c r="BF984" s="4">
        <f t="shared" si="537"/>
        <v>2</v>
      </c>
      <c r="BG984" s="4">
        <f t="shared" si="538"/>
        <v>4</v>
      </c>
      <c r="BH984" s="4">
        <f t="shared" si="539"/>
        <v>4</v>
      </c>
      <c r="BI984" s="4">
        <f t="shared" si="540"/>
        <v>4</v>
      </c>
      <c r="BJ984" s="4">
        <f t="shared" si="541"/>
        <v>2</v>
      </c>
      <c r="BK984" s="4">
        <f t="shared" si="542"/>
        <v>4</v>
      </c>
      <c r="BL984" s="4">
        <f t="shared" si="543"/>
        <v>2</v>
      </c>
      <c r="BM984" s="4">
        <f t="shared" si="544"/>
        <v>4</v>
      </c>
      <c r="BN984" s="4">
        <f t="shared" si="545"/>
        <v>4</v>
      </c>
      <c r="BO984" s="4">
        <f t="shared" si="546"/>
        <v>4</v>
      </c>
      <c r="BP984" s="4">
        <f t="shared" si="547"/>
        <v>4</v>
      </c>
      <c r="BQ984" s="4">
        <f t="shared" si="548"/>
        <v>6</v>
      </c>
      <c r="BR984" s="4">
        <f t="shared" si="549"/>
        <v>4</v>
      </c>
      <c r="BS984" s="4">
        <f t="shared" si="550"/>
        <v>4</v>
      </c>
      <c r="BT984" s="4">
        <f t="shared" si="551"/>
        <v>4</v>
      </c>
      <c r="BU984" s="4">
        <f t="shared" si="552"/>
        <v>4</v>
      </c>
      <c r="BV984" s="4">
        <f t="shared" si="553"/>
        <v>0</v>
      </c>
      <c r="BW984" s="4">
        <f t="shared" si="554"/>
        <v>6</v>
      </c>
      <c r="BX984" s="4">
        <f t="shared" si="555"/>
        <v>0</v>
      </c>
      <c r="BY984" s="4">
        <f t="shared" si="556"/>
        <v>0</v>
      </c>
      <c r="BZ984" s="37">
        <f t="shared" si="557"/>
        <v>100</v>
      </c>
      <c r="CA984" s="32" t="e">
        <f>VLOOKUP(J:J,'Agent wise'!A:C,3,0)</f>
        <v>#N/A</v>
      </c>
      <c r="CB984" s="32">
        <f t="shared" si="558"/>
        <v>45947</v>
      </c>
      <c r="CC984" t="str">
        <f t="shared" si="559"/>
        <v>Excellent</v>
      </c>
      <c r="CE984" s="32"/>
      <c r="CJ984">
        <f t="shared" si="560"/>
        <v>17</v>
      </c>
      <c r="CK984">
        <f t="shared" si="561"/>
        <v>10</v>
      </c>
      <c r="CL984">
        <f t="shared" si="562"/>
        <v>2025</v>
      </c>
    </row>
    <row r="985" spans="1:90" ht="15" customHeight="1" x14ac:dyDescent="0.35">
      <c r="A985" t="s">
        <v>2406</v>
      </c>
      <c r="B985" t="s">
        <v>698</v>
      </c>
      <c r="C985" t="s">
        <v>214</v>
      </c>
      <c r="D985" t="s">
        <v>221</v>
      </c>
      <c r="E985" s="32">
        <v>45947</v>
      </c>
      <c r="F985" t="s">
        <v>222</v>
      </c>
      <c r="G985" t="s">
        <v>2369</v>
      </c>
      <c r="H985">
        <v>9842057742</v>
      </c>
      <c r="I985">
        <v>136</v>
      </c>
      <c r="J985" t="s">
        <v>223</v>
      </c>
      <c r="K985" t="s">
        <v>71</v>
      </c>
      <c r="L985" t="s">
        <v>72</v>
      </c>
      <c r="M985" t="s">
        <v>59</v>
      </c>
      <c r="N985" t="s">
        <v>59</v>
      </c>
      <c r="O985" t="s">
        <v>59</v>
      </c>
      <c r="P985" t="s">
        <v>59</v>
      </c>
      <c r="Q985" t="s">
        <v>59</v>
      </c>
      <c r="R985" t="s">
        <v>59</v>
      </c>
      <c r="S985" t="s">
        <v>59</v>
      </c>
      <c r="T985" t="s">
        <v>59</v>
      </c>
      <c r="U985" t="s">
        <v>59</v>
      </c>
      <c r="V985" t="s">
        <v>59</v>
      </c>
      <c r="W985" t="s">
        <v>59</v>
      </c>
      <c r="X985" t="s">
        <v>59</v>
      </c>
      <c r="Y985" t="s">
        <v>59</v>
      </c>
      <c r="Z985" t="s">
        <v>59</v>
      </c>
      <c r="AA985" t="s">
        <v>59</v>
      </c>
      <c r="AB985" t="s">
        <v>59</v>
      </c>
      <c r="AC985" t="s">
        <v>61</v>
      </c>
      <c r="AD985" t="s">
        <v>59</v>
      </c>
      <c r="AE985" t="s">
        <v>59</v>
      </c>
      <c r="AF985" t="s">
        <v>59</v>
      </c>
      <c r="AG985" t="s">
        <v>59</v>
      </c>
      <c r="AH985" t="s">
        <v>61</v>
      </c>
      <c r="AI985" t="s">
        <v>61</v>
      </c>
      <c r="AJ985" t="s">
        <v>59</v>
      </c>
      <c r="AK985" t="s">
        <v>59</v>
      </c>
      <c r="AL985" t="s">
        <v>59</v>
      </c>
      <c r="AM985" t="s">
        <v>59</v>
      </c>
      <c r="AN985" t="s">
        <v>59</v>
      </c>
      <c r="AO985" t="s">
        <v>59</v>
      </c>
      <c r="AP985" t="s">
        <v>228</v>
      </c>
      <c r="AQ985" t="s">
        <v>2407</v>
      </c>
      <c r="AR985" t="s">
        <v>226</v>
      </c>
      <c r="AS985" t="s">
        <v>717</v>
      </c>
      <c r="AT985" t="s">
        <v>717</v>
      </c>
      <c r="AU985" t="s">
        <v>219</v>
      </c>
      <c r="AW985" s="4">
        <f t="shared" si="528"/>
        <v>6</v>
      </c>
      <c r="AX985" s="4">
        <f t="shared" si="529"/>
        <v>4</v>
      </c>
      <c r="AY985" s="4">
        <f t="shared" si="530"/>
        <v>4</v>
      </c>
      <c r="AZ985" s="4">
        <f t="shared" si="531"/>
        <v>2</v>
      </c>
      <c r="BA985" s="4">
        <f t="shared" si="532"/>
        <v>4</v>
      </c>
      <c r="BB985" s="4">
        <f t="shared" si="533"/>
        <v>4</v>
      </c>
      <c r="BC985" s="4">
        <f t="shared" si="534"/>
        <v>4</v>
      </c>
      <c r="BD985" s="4">
        <f t="shared" si="535"/>
        <v>2</v>
      </c>
      <c r="BE985" s="4">
        <f t="shared" si="536"/>
        <v>4</v>
      </c>
      <c r="BF985" s="4">
        <f t="shared" si="537"/>
        <v>2</v>
      </c>
      <c r="BG985" s="4">
        <f t="shared" si="538"/>
        <v>4</v>
      </c>
      <c r="BH985" s="4">
        <f t="shared" si="539"/>
        <v>4</v>
      </c>
      <c r="BI985" s="4">
        <f t="shared" si="540"/>
        <v>4</v>
      </c>
      <c r="BJ985" s="4">
        <f t="shared" si="541"/>
        <v>2</v>
      </c>
      <c r="BK985" s="4">
        <f t="shared" si="542"/>
        <v>4</v>
      </c>
      <c r="BL985" s="4">
        <f t="shared" si="543"/>
        <v>2</v>
      </c>
      <c r="BM985" s="4">
        <f t="shared" si="544"/>
        <v>4</v>
      </c>
      <c r="BN985" s="4">
        <f t="shared" si="545"/>
        <v>4</v>
      </c>
      <c r="BO985" s="4">
        <f t="shared" si="546"/>
        <v>4</v>
      </c>
      <c r="BP985" s="4">
        <f t="shared" si="547"/>
        <v>4</v>
      </c>
      <c r="BQ985" s="4">
        <f t="shared" si="548"/>
        <v>6</v>
      </c>
      <c r="BR985" s="4">
        <f t="shared" si="549"/>
        <v>4</v>
      </c>
      <c r="BS985" s="4">
        <f t="shared" si="550"/>
        <v>4</v>
      </c>
      <c r="BT985" s="4">
        <f t="shared" si="551"/>
        <v>4</v>
      </c>
      <c r="BU985" s="4">
        <f t="shared" si="552"/>
        <v>4</v>
      </c>
      <c r="BV985" s="4">
        <f t="shared" si="553"/>
        <v>0</v>
      </c>
      <c r="BW985" s="4">
        <f t="shared" si="554"/>
        <v>6</v>
      </c>
      <c r="BX985" s="4">
        <f t="shared" si="555"/>
        <v>0</v>
      </c>
      <c r="BY985" s="4">
        <f t="shared" si="556"/>
        <v>0</v>
      </c>
      <c r="BZ985" s="37">
        <f t="shared" si="557"/>
        <v>100</v>
      </c>
      <c r="CA985" s="32" t="str">
        <f>VLOOKUP(J:J,'Agent wise'!A:C,3,0)</f>
        <v>Amal</v>
      </c>
      <c r="CB985" s="32">
        <f t="shared" si="558"/>
        <v>45947</v>
      </c>
      <c r="CC985" t="str">
        <f t="shared" si="559"/>
        <v>Excellent</v>
      </c>
      <c r="CE985" s="32"/>
      <c r="CJ985">
        <f t="shared" si="560"/>
        <v>17</v>
      </c>
      <c r="CK985">
        <f t="shared" si="561"/>
        <v>10</v>
      </c>
      <c r="CL985">
        <f t="shared" si="562"/>
        <v>2025</v>
      </c>
    </row>
    <row r="986" spans="1:90" ht="15" customHeight="1" x14ac:dyDescent="0.35">
      <c r="A986" t="s">
        <v>2408</v>
      </c>
      <c r="B986" t="s">
        <v>698</v>
      </c>
      <c r="C986" t="s">
        <v>214</v>
      </c>
      <c r="D986" t="s">
        <v>221</v>
      </c>
      <c r="E986" s="32">
        <v>45947</v>
      </c>
      <c r="F986" t="s">
        <v>222</v>
      </c>
      <c r="G986" t="s">
        <v>2369</v>
      </c>
      <c r="H986">
        <v>8921551362</v>
      </c>
      <c r="I986">
        <v>156</v>
      </c>
      <c r="J986" t="s">
        <v>420</v>
      </c>
      <c r="K986" t="s">
        <v>57</v>
      </c>
      <c r="L986" t="s">
        <v>58</v>
      </c>
      <c r="M986" t="s">
        <v>59</v>
      </c>
      <c r="N986" t="s">
        <v>59</v>
      </c>
      <c r="O986" t="s">
        <v>59</v>
      </c>
      <c r="P986" t="s">
        <v>59</v>
      </c>
      <c r="Q986" t="s">
        <v>59</v>
      </c>
      <c r="R986" t="s">
        <v>59</v>
      </c>
      <c r="S986" t="s">
        <v>59</v>
      </c>
      <c r="T986" t="s">
        <v>59</v>
      </c>
      <c r="U986" t="s">
        <v>59</v>
      </c>
      <c r="V986" t="s">
        <v>59</v>
      </c>
      <c r="W986" t="s">
        <v>59</v>
      </c>
      <c r="X986" t="s">
        <v>59</v>
      </c>
      <c r="Y986" t="s">
        <v>59</v>
      </c>
      <c r="Z986" t="s">
        <v>59</v>
      </c>
      <c r="AA986" t="s">
        <v>59</v>
      </c>
      <c r="AB986" t="s">
        <v>59</v>
      </c>
      <c r="AC986" t="s">
        <v>59</v>
      </c>
      <c r="AD986" t="s">
        <v>59</v>
      </c>
      <c r="AE986" t="s">
        <v>59</v>
      </c>
      <c r="AF986" t="s">
        <v>59</v>
      </c>
      <c r="AG986" t="s">
        <v>59</v>
      </c>
      <c r="AH986" t="s">
        <v>61</v>
      </c>
      <c r="AI986" t="s">
        <v>61</v>
      </c>
      <c r="AJ986" t="s">
        <v>59</v>
      </c>
      <c r="AK986" t="s">
        <v>59</v>
      </c>
      <c r="AL986" t="s">
        <v>59</v>
      </c>
      <c r="AM986" t="s">
        <v>59</v>
      </c>
      <c r="AN986" t="s">
        <v>59</v>
      </c>
      <c r="AO986" t="s">
        <v>59</v>
      </c>
      <c r="AP986" t="s">
        <v>228</v>
      </c>
      <c r="AQ986" t="s">
        <v>2409</v>
      </c>
      <c r="AR986" t="s">
        <v>226</v>
      </c>
      <c r="AS986" t="s">
        <v>1236</v>
      </c>
      <c r="AT986" t="s">
        <v>1236</v>
      </c>
      <c r="AU986" t="s">
        <v>219</v>
      </c>
      <c r="AW986" s="4">
        <f t="shared" si="528"/>
        <v>6</v>
      </c>
      <c r="AX986" s="4">
        <f t="shared" si="529"/>
        <v>4</v>
      </c>
      <c r="AY986" s="4">
        <f t="shared" si="530"/>
        <v>4</v>
      </c>
      <c r="AZ986" s="4">
        <f t="shared" si="531"/>
        <v>2</v>
      </c>
      <c r="BA986" s="4">
        <f t="shared" si="532"/>
        <v>4</v>
      </c>
      <c r="BB986" s="4">
        <f t="shared" si="533"/>
        <v>4</v>
      </c>
      <c r="BC986" s="4">
        <f t="shared" si="534"/>
        <v>4</v>
      </c>
      <c r="BD986" s="4">
        <f t="shared" si="535"/>
        <v>2</v>
      </c>
      <c r="BE986" s="4">
        <f t="shared" si="536"/>
        <v>4</v>
      </c>
      <c r="BF986" s="4">
        <f t="shared" si="537"/>
        <v>2</v>
      </c>
      <c r="BG986" s="4">
        <f t="shared" si="538"/>
        <v>4</v>
      </c>
      <c r="BH986" s="4">
        <f t="shared" si="539"/>
        <v>4</v>
      </c>
      <c r="BI986" s="4">
        <f t="shared" si="540"/>
        <v>4</v>
      </c>
      <c r="BJ986" s="4">
        <f t="shared" si="541"/>
        <v>2</v>
      </c>
      <c r="BK986" s="4">
        <f t="shared" si="542"/>
        <v>4</v>
      </c>
      <c r="BL986" s="4">
        <f t="shared" si="543"/>
        <v>2</v>
      </c>
      <c r="BM986" s="4">
        <f t="shared" si="544"/>
        <v>4</v>
      </c>
      <c r="BN986" s="4">
        <f t="shared" si="545"/>
        <v>4</v>
      </c>
      <c r="BO986" s="4">
        <f t="shared" si="546"/>
        <v>4</v>
      </c>
      <c r="BP986" s="4">
        <f t="shared" si="547"/>
        <v>4</v>
      </c>
      <c r="BQ986" s="4">
        <f t="shared" si="548"/>
        <v>6</v>
      </c>
      <c r="BR986" s="4">
        <f t="shared" si="549"/>
        <v>4</v>
      </c>
      <c r="BS986" s="4">
        <f t="shared" si="550"/>
        <v>4</v>
      </c>
      <c r="BT986" s="4">
        <f t="shared" si="551"/>
        <v>4</v>
      </c>
      <c r="BU986" s="4">
        <f t="shared" si="552"/>
        <v>4</v>
      </c>
      <c r="BV986" s="4">
        <f t="shared" si="553"/>
        <v>0</v>
      </c>
      <c r="BW986" s="4">
        <f t="shared" si="554"/>
        <v>6</v>
      </c>
      <c r="BX986" s="4">
        <f t="shared" si="555"/>
        <v>0</v>
      </c>
      <c r="BY986" s="4">
        <f t="shared" si="556"/>
        <v>0</v>
      </c>
      <c r="BZ986" s="37">
        <f t="shared" si="557"/>
        <v>100</v>
      </c>
      <c r="CA986" s="32" t="str">
        <f>VLOOKUP(J:J,'Agent wise'!A:C,3,0)</f>
        <v>Amal</v>
      </c>
      <c r="CB986" s="32">
        <f t="shared" si="558"/>
        <v>45947</v>
      </c>
      <c r="CC986" t="str">
        <f t="shared" si="559"/>
        <v>Excellent</v>
      </c>
      <c r="CE986" s="32"/>
      <c r="CJ986">
        <f t="shared" si="560"/>
        <v>17</v>
      </c>
      <c r="CK986">
        <f t="shared" si="561"/>
        <v>10</v>
      </c>
      <c r="CL986">
        <f t="shared" si="562"/>
        <v>2025</v>
      </c>
    </row>
    <row r="987" spans="1:90" ht="15" customHeight="1" x14ac:dyDescent="0.35">
      <c r="A987" t="s">
        <v>2410</v>
      </c>
      <c r="B987" t="s">
        <v>698</v>
      </c>
      <c r="C987" t="s">
        <v>214</v>
      </c>
      <c r="D987" t="s">
        <v>221</v>
      </c>
      <c r="E987" s="32">
        <v>45947</v>
      </c>
      <c r="F987" t="s">
        <v>222</v>
      </c>
      <c r="G987" t="s">
        <v>2369</v>
      </c>
      <c r="H987">
        <v>9659255293</v>
      </c>
      <c r="I987">
        <v>207</v>
      </c>
      <c r="J987" t="s">
        <v>420</v>
      </c>
      <c r="K987" t="s">
        <v>71</v>
      </c>
      <c r="L987" t="s">
        <v>72</v>
      </c>
      <c r="M987" t="s">
        <v>59</v>
      </c>
      <c r="N987" t="s">
        <v>59</v>
      </c>
      <c r="O987" t="s">
        <v>59</v>
      </c>
      <c r="P987" t="s">
        <v>59</v>
      </c>
      <c r="Q987" t="s">
        <v>59</v>
      </c>
      <c r="R987" t="s">
        <v>59</v>
      </c>
      <c r="S987" t="s">
        <v>59</v>
      </c>
      <c r="T987" t="s">
        <v>59</v>
      </c>
      <c r="U987" t="s">
        <v>59</v>
      </c>
      <c r="V987" t="s">
        <v>59</v>
      </c>
      <c r="W987" t="s">
        <v>59</v>
      </c>
      <c r="X987" t="s">
        <v>59</v>
      </c>
      <c r="Y987" t="s">
        <v>59</v>
      </c>
      <c r="Z987" t="s">
        <v>59</v>
      </c>
      <c r="AA987" t="s">
        <v>59</v>
      </c>
      <c r="AB987" t="s">
        <v>59</v>
      </c>
      <c r="AC987" t="s">
        <v>61</v>
      </c>
      <c r="AD987" t="s">
        <v>59</v>
      </c>
      <c r="AE987" t="s">
        <v>59</v>
      </c>
      <c r="AF987" t="s">
        <v>59</v>
      </c>
      <c r="AG987" t="s">
        <v>59</v>
      </c>
      <c r="AH987" t="s">
        <v>61</v>
      </c>
      <c r="AI987" t="s">
        <v>61</v>
      </c>
      <c r="AJ987" t="s">
        <v>59</v>
      </c>
      <c r="AK987" t="s">
        <v>59</v>
      </c>
      <c r="AL987" t="s">
        <v>59</v>
      </c>
      <c r="AM987" t="s">
        <v>59</v>
      </c>
      <c r="AN987" t="s">
        <v>59</v>
      </c>
      <c r="AO987" t="s">
        <v>59</v>
      </c>
      <c r="AP987" t="s">
        <v>228</v>
      </c>
      <c r="AQ987" t="s">
        <v>2407</v>
      </c>
      <c r="AR987" t="s">
        <v>226</v>
      </c>
      <c r="AS987" t="s">
        <v>717</v>
      </c>
      <c r="AT987" t="s">
        <v>717</v>
      </c>
      <c r="AU987" t="s">
        <v>219</v>
      </c>
      <c r="AW987" s="4">
        <f t="shared" si="528"/>
        <v>6</v>
      </c>
      <c r="AX987" s="4">
        <f t="shared" si="529"/>
        <v>4</v>
      </c>
      <c r="AY987" s="4">
        <f t="shared" si="530"/>
        <v>4</v>
      </c>
      <c r="AZ987" s="4">
        <f t="shared" si="531"/>
        <v>2</v>
      </c>
      <c r="BA987" s="4">
        <f t="shared" si="532"/>
        <v>4</v>
      </c>
      <c r="BB987" s="4">
        <f t="shared" si="533"/>
        <v>4</v>
      </c>
      <c r="BC987" s="4">
        <f t="shared" si="534"/>
        <v>4</v>
      </c>
      <c r="BD987" s="4">
        <f t="shared" si="535"/>
        <v>2</v>
      </c>
      <c r="BE987" s="4">
        <f t="shared" si="536"/>
        <v>4</v>
      </c>
      <c r="BF987" s="4">
        <f t="shared" si="537"/>
        <v>2</v>
      </c>
      <c r="BG987" s="4">
        <f t="shared" si="538"/>
        <v>4</v>
      </c>
      <c r="BH987" s="4">
        <f t="shared" si="539"/>
        <v>4</v>
      </c>
      <c r="BI987" s="4">
        <f t="shared" si="540"/>
        <v>4</v>
      </c>
      <c r="BJ987" s="4">
        <f t="shared" si="541"/>
        <v>2</v>
      </c>
      <c r="BK987" s="4">
        <f t="shared" si="542"/>
        <v>4</v>
      </c>
      <c r="BL987" s="4">
        <f t="shared" si="543"/>
        <v>2</v>
      </c>
      <c r="BM987" s="4">
        <f t="shared" si="544"/>
        <v>4</v>
      </c>
      <c r="BN987" s="4">
        <f t="shared" si="545"/>
        <v>4</v>
      </c>
      <c r="BO987" s="4">
        <f t="shared" si="546"/>
        <v>4</v>
      </c>
      <c r="BP987" s="4">
        <f t="shared" si="547"/>
        <v>4</v>
      </c>
      <c r="BQ987" s="4">
        <f t="shared" si="548"/>
        <v>6</v>
      </c>
      <c r="BR987" s="4">
        <f t="shared" si="549"/>
        <v>4</v>
      </c>
      <c r="BS987" s="4">
        <f t="shared" si="550"/>
        <v>4</v>
      </c>
      <c r="BT987" s="4">
        <f t="shared" si="551"/>
        <v>4</v>
      </c>
      <c r="BU987" s="4">
        <f t="shared" si="552"/>
        <v>4</v>
      </c>
      <c r="BV987" s="4">
        <f t="shared" si="553"/>
        <v>0</v>
      </c>
      <c r="BW987" s="4">
        <f t="shared" si="554"/>
        <v>6</v>
      </c>
      <c r="BX987" s="4">
        <f t="shared" si="555"/>
        <v>0</v>
      </c>
      <c r="BY987" s="4">
        <f t="shared" si="556"/>
        <v>0</v>
      </c>
      <c r="BZ987" s="37">
        <f t="shared" si="557"/>
        <v>100</v>
      </c>
      <c r="CA987" s="32" t="str">
        <f>VLOOKUP(J:J,'Agent wise'!A:C,3,0)</f>
        <v>Amal</v>
      </c>
      <c r="CB987" s="32">
        <f t="shared" si="558"/>
        <v>45947</v>
      </c>
      <c r="CC987" t="str">
        <f t="shared" si="559"/>
        <v>Excellent</v>
      </c>
      <c r="CE987" s="32"/>
      <c r="CJ987">
        <f t="shared" si="560"/>
        <v>17</v>
      </c>
      <c r="CK987">
        <f t="shared" si="561"/>
        <v>10</v>
      </c>
      <c r="CL987">
        <f t="shared" si="562"/>
        <v>2025</v>
      </c>
    </row>
    <row r="988" spans="1:90" ht="15" customHeight="1" x14ac:dyDescent="0.35">
      <c r="A988" t="s">
        <v>2411</v>
      </c>
      <c r="B988" t="s">
        <v>698</v>
      </c>
      <c r="C988" t="s">
        <v>214</v>
      </c>
      <c r="D988" t="s">
        <v>221</v>
      </c>
      <c r="E988" s="32">
        <v>45947</v>
      </c>
      <c r="F988" t="s">
        <v>222</v>
      </c>
      <c r="G988" t="s">
        <v>2369</v>
      </c>
      <c r="H988">
        <v>9447234692</v>
      </c>
      <c r="I988">
        <v>169</v>
      </c>
      <c r="J988" t="s">
        <v>208</v>
      </c>
      <c r="K988" t="s">
        <v>57</v>
      </c>
      <c r="L988" t="s">
        <v>58</v>
      </c>
      <c r="M988" t="s">
        <v>59</v>
      </c>
      <c r="N988" t="s">
        <v>59</v>
      </c>
      <c r="O988" t="s">
        <v>59</v>
      </c>
      <c r="P988" t="s">
        <v>59</v>
      </c>
      <c r="Q988" t="s">
        <v>59</v>
      </c>
      <c r="R988" t="s">
        <v>59</v>
      </c>
      <c r="S988" t="s">
        <v>59</v>
      </c>
      <c r="T988" t="s">
        <v>59</v>
      </c>
      <c r="U988" t="s">
        <v>59</v>
      </c>
      <c r="V988" t="s">
        <v>59</v>
      </c>
      <c r="W988" t="s">
        <v>59</v>
      </c>
      <c r="X988" t="s">
        <v>59</v>
      </c>
      <c r="Y988" t="s">
        <v>59</v>
      </c>
      <c r="Z988" t="s">
        <v>60</v>
      </c>
      <c r="AA988" t="s">
        <v>60</v>
      </c>
      <c r="AB988" t="s">
        <v>59</v>
      </c>
      <c r="AC988" t="s">
        <v>61</v>
      </c>
      <c r="AD988" t="s">
        <v>59</v>
      </c>
      <c r="AE988" t="s">
        <v>59</v>
      </c>
      <c r="AF988" t="s">
        <v>59</v>
      </c>
      <c r="AG988" t="s">
        <v>59</v>
      </c>
      <c r="AH988" t="s">
        <v>61</v>
      </c>
      <c r="AI988" t="s">
        <v>59</v>
      </c>
      <c r="AJ988" t="s">
        <v>59</v>
      </c>
      <c r="AK988" t="s">
        <v>59</v>
      </c>
      <c r="AL988" t="s">
        <v>59</v>
      </c>
      <c r="AM988" t="s">
        <v>59</v>
      </c>
      <c r="AN988" t="s">
        <v>59</v>
      </c>
      <c r="AO988" t="s">
        <v>59</v>
      </c>
      <c r="AP988" t="s">
        <v>2412</v>
      </c>
      <c r="AQ988" t="s">
        <v>960</v>
      </c>
      <c r="AR988" t="s">
        <v>226</v>
      </c>
      <c r="AS988" t="s">
        <v>249</v>
      </c>
      <c r="AT988" t="s">
        <v>249</v>
      </c>
      <c r="AU988" t="s">
        <v>219</v>
      </c>
      <c r="AW988" s="4">
        <f t="shared" si="528"/>
        <v>6</v>
      </c>
      <c r="AX988" s="4">
        <f t="shared" si="529"/>
        <v>4</v>
      </c>
      <c r="AY988" s="4">
        <f t="shared" si="530"/>
        <v>4</v>
      </c>
      <c r="AZ988" s="4">
        <f t="shared" si="531"/>
        <v>2</v>
      </c>
      <c r="BA988" s="4">
        <f t="shared" si="532"/>
        <v>4</v>
      </c>
      <c r="BB988" s="4">
        <f t="shared" si="533"/>
        <v>4</v>
      </c>
      <c r="BC988" s="4">
        <f t="shared" si="534"/>
        <v>4</v>
      </c>
      <c r="BD988" s="4">
        <f t="shared" si="535"/>
        <v>2</v>
      </c>
      <c r="BE988" s="4">
        <f t="shared" si="536"/>
        <v>4</v>
      </c>
      <c r="BF988" s="4">
        <f t="shared" si="537"/>
        <v>2</v>
      </c>
      <c r="BG988" s="4">
        <f t="shared" si="538"/>
        <v>4</v>
      </c>
      <c r="BH988" s="4">
        <f t="shared" si="539"/>
        <v>4</v>
      </c>
      <c r="BI988" s="4">
        <f t="shared" si="540"/>
        <v>4</v>
      </c>
      <c r="BJ988" s="4" t="str">
        <f t="shared" si="541"/>
        <v>0</v>
      </c>
      <c r="BK988" s="4" t="str">
        <f t="shared" si="542"/>
        <v>0</v>
      </c>
      <c r="BL988" s="4">
        <f t="shared" si="543"/>
        <v>2</v>
      </c>
      <c r="BM988" s="4">
        <f t="shared" si="544"/>
        <v>4</v>
      </c>
      <c r="BN988" s="4">
        <f t="shared" si="545"/>
        <v>4</v>
      </c>
      <c r="BO988" s="4">
        <f t="shared" si="546"/>
        <v>4</v>
      </c>
      <c r="BP988" s="4">
        <f t="shared" si="547"/>
        <v>4</v>
      </c>
      <c r="BQ988" s="4">
        <f t="shared" si="548"/>
        <v>6</v>
      </c>
      <c r="BR988" s="4">
        <f t="shared" si="549"/>
        <v>4</v>
      </c>
      <c r="BS988" s="4">
        <f t="shared" si="550"/>
        <v>4</v>
      </c>
      <c r="BT988" s="4">
        <f t="shared" si="551"/>
        <v>4</v>
      </c>
      <c r="BU988" s="4">
        <f t="shared" si="552"/>
        <v>4</v>
      </c>
      <c r="BV988" s="4">
        <f t="shared" si="553"/>
        <v>0</v>
      </c>
      <c r="BW988" s="4">
        <f t="shared" si="554"/>
        <v>6</v>
      </c>
      <c r="BX988" s="4">
        <f t="shared" si="555"/>
        <v>0</v>
      </c>
      <c r="BY988" s="4">
        <f t="shared" si="556"/>
        <v>0</v>
      </c>
      <c r="BZ988" s="37">
        <f t="shared" si="557"/>
        <v>94</v>
      </c>
      <c r="CA988" s="32" t="str">
        <f>VLOOKUP(J:J,'Agent wise'!A:C,3,0)</f>
        <v>Adharsh</v>
      </c>
      <c r="CB988" s="32">
        <f t="shared" si="558"/>
        <v>45947</v>
      </c>
      <c r="CC988" t="str">
        <f t="shared" si="559"/>
        <v>Good</v>
      </c>
      <c r="CE988" s="32"/>
      <c r="CJ988">
        <f t="shared" si="560"/>
        <v>17</v>
      </c>
      <c r="CK988">
        <f t="shared" si="561"/>
        <v>10</v>
      </c>
      <c r="CL988">
        <f t="shared" si="562"/>
        <v>2025</v>
      </c>
    </row>
    <row r="989" spans="1:90" ht="15" customHeight="1" x14ac:dyDescent="0.35">
      <c r="A989" t="s">
        <v>2413</v>
      </c>
      <c r="B989" t="s">
        <v>250</v>
      </c>
      <c r="C989" t="s">
        <v>214</v>
      </c>
      <c r="D989" t="s">
        <v>251</v>
      </c>
      <c r="E989" s="32">
        <v>45947</v>
      </c>
      <c r="F989" t="s">
        <v>306</v>
      </c>
      <c r="G989" t="s">
        <v>2152</v>
      </c>
      <c r="H989">
        <v>8508754766</v>
      </c>
      <c r="I989">
        <v>309</v>
      </c>
      <c r="J989" t="s">
        <v>307</v>
      </c>
      <c r="K989" t="s">
        <v>71</v>
      </c>
      <c r="L989" t="s">
        <v>72</v>
      </c>
      <c r="M989" t="s">
        <v>59</v>
      </c>
      <c r="N989" t="s">
        <v>59</v>
      </c>
      <c r="O989" t="s">
        <v>59</v>
      </c>
      <c r="P989" t="s">
        <v>59</v>
      </c>
      <c r="Q989" t="s">
        <v>59</v>
      </c>
      <c r="R989" t="s">
        <v>59</v>
      </c>
      <c r="S989" t="s">
        <v>59</v>
      </c>
      <c r="T989" t="s">
        <v>59</v>
      </c>
      <c r="U989" t="s">
        <v>60</v>
      </c>
      <c r="V989" t="s">
        <v>59</v>
      </c>
      <c r="W989" t="s">
        <v>59</v>
      </c>
      <c r="X989" t="s">
        <v>59</v>
      </c>
      <c r="Y989" t="s">
        <v>59</v>
      </c>
      <c r="Z989" t="s">
        <v>59</v>
      </c>
      <c r="AA989" t="s">
        <v>59</v>
      </c>
      <c r="AB989" t="s">
        <v>59</v>
      </c>
      <c r="AC989" t="s">
        <v>60</v>
      </c>
      <c r="AD989" t="s">
        <v>59</v>
      </c>
      <c r="AE989" t="s">
        <v>59</v>
      </c>
      <c r="AF989" t="s">
        <v>59</v>
      </c>
      <c r="AG989" t="s">
        <v>59</v>
      </c>
      <c r="AH989" t="s">
        <v>61</v>
      </c>
      <c r="AI989" t="s">
        <v>59</v>
      </c>
      <c r="AJ989" t="s">
        <v>59</v>
      </c>
      <c r="AK989" t="s">
        <v>59</v>
      </c>
      <c r="AL989" t="s">
        <v>60</v>
      </c>
      <c r="AM989" t="s">
        <v>59</v>
      </c>
      <c r="AN989" t="s">
        <v>59</v>
      </c>
      <c r="AO989" t="s">
        <v>59</v>
      </c>
      <c r="AP989" t="s">
        <v>2338</v>
      </c>
      <c r="AQ989" t="s">
        <v>2414</v>
      </c>
      <c r="AR989" t="s">
        <v>64</v>
      </c>
      <c r="AS989" t="s">
        <v>2375</v>
      </c>
      <c r="AT989" t="s">
        <v>2375</v>
      </c>
      <c r="AU989" t="s">
        <v>219</v>
      </c>
      <c r="AW989" s="4">
        <f t="shared" si="528"/>
        <v>6</v>
      </c>
      <c r="AX989" s="4">
        <f t="shared" si="529"/>
        <v>4</v>
      </c>
      <c r="AY989" s="4">
        <f t="shared" si="530"/>
        <v>4</v>
      </c>
      <c r="AZ989" s="4">
        <f t="shared" si="531"/>
        <v>2</v>
      </c>
      <c r="BA989" s="4">
        <f t="shared" si="532"/>
        <v>4</v>
      </c>
      <c r="BB989" s="4">
        <f t="shared" si="533"/>
        <v>4</v>
      </c>
      <c r="BC989" s="4">
        <f t="shared" si="534"/>
        <v>4</v>
      </c>
      <c r="BD989" s="4">
        <f t="shared" si="535"/>
        <v>2</v>
      </c>
      <c r="BE989" s="4" t="str">
        <f t="shared" si="536"/>
        <v>0</v>
      </c>
      <c r="BF989" s="4">
        <f t="shared" si="537"/>
        <v>2</v>
      </c>
      <c r="BG989" s="4">
        <f t="shared" si="538"/>
        <v>4</v>
      </c>
      <c r="BH989" s="4">
        <f t="shared" si="539"/>
        <v>4</v>
      </c>
      <c r="BI989" s="4">
        <f t="shared" si="540"/>
        <v>4</v>
      </c>
      <c r="BJ989" s="4">
        <f t="shared" si="541"/>
        <v>2</v>
      </c>
      <c r="BK989" s="4">
        <f t="shared" si="542"/>
        <v>4</v>
      </c>
      <c r="BL989" s="4">
        <f t="shared" si="543"/>
        <v>2</v>
      </c>
      <c r="BM989" s="4" t="str">
        <f t="shared" si="544"/>
        <v>0</v>
      </c>
      <c r="BN989" s="4">
        <f t="shared" si="545"/>
        <v>4</v>
      </c>
      <c r="BO989" s="4">
        <f t="shared" si="546"/>
        <v>4</v>
      </c>
      <c r="BP989" s="4">
        <f t="shared" si="547"/>
        <v>4</v>
      </c>
      <c r="BQ989" s="4">
        <f t="shared" si="548"/>
        <v>6</v>
      </c>
      <c r="BR989" s="4">
        <f t="shared" si="549"/>
        <v>4</v>
      </c>
      <c r="BS989" s="4">
        <f t="shared" si="550"/>
        <v>4</v>
      </c>
      <c r="BT989" s="4">
        <f t="shared" si="551"/>
        <v>4</v>
      </c>
      <c r="BU989" s="4">
        <f t="shared" si="552"/>
        <v>4</v>
      </c>
      <c r="BV989" s="4" t="str">
        <f t="shared" si="553"/>
        <v>0</v>
      </c>
      <c r="BW989" s="4">
        <f t="shared" si="554"/>
        <v>6</v>
      </c>
      <c r="BX989" s="4">
        <f t="shared" si="555"/>
        <v>0</v>
      </c>
      <c r="BY989" s="4">
        <f t="shared" si="556"/>
        <v>0</v>
      </c>
      <c r="BZ989" s="37">
        <f t="shared" si="557"/>
        <v>92</v>
      </c>
      <c r="CA989" s="32" t="str">
        <f>VLOOKUP(J:J,'Agent wise'!A:C,3,0)</f>
        <v>Amal</v>
      </c>
      <c r="CB989" s="32">
        <f t="shared" si="558"/>
        <v>45947</v>
      </c>
      <c r="CC989" t="str">
        <f t="shared" si="559"/>
        <v>Good</v>
      </c>
      <c r="CE989" s="32"/>
      <c r="CJ989">
        <f t="shared" si="560"/>
        <v>17</v>
      </c>
      <c r="CK989">
        <f t="shared" si="561"/>
        <v>10</v>
      </c>
      <c r="CL989">
        <f t="shared" si="562"/>
        <v>2025</v>
      </c>
    </row>
    <row r="990" spans="1:90" ht="15" customHeight="1" x14ac:dyDescent="0.35">
      <c r="A990" t="s">
        <v>2415</v>
      </c>
      <c r="B990" t="s">
        <v>250</v>
      </c>
      <c r="C990" t="s">
        <v>214</v>
      </c>
      <c r="D990" t="s">
        <v>251</v>
      </c>
      <c r="E990" s="32">
        <v>45947</v>
      </c>
      <c r="F990" t="s">
        <v>306</v>
      </c>
      <c r="G990" t="s">
        <v>2152</v>
      </c>
      <c r="H990">
        <v>9384764263</v>
      </c>
      <c r="I990">
        <v>279</v>
      </c>
      <c r="J990" t="s">
        <v>307</v>
      </c>
      <c r="K990" t="s">
        <v>71</v>
      </c>
      <c r="L990" t="s">
        <v>72</v>
      </c>
      <c r="M990" t="s">
        <v>60</v>
      </c>
      <c r="N990" t="s">
        <v>59</v>
      </c>
      <c r="O990" t="s">
        <v>59</v>
      </c>
      <c r="P990" t="s">
        <v>59</v>
      </c>
      <c r="Q990" t="s">
        <v>59</v>
      </c>
      <c r="R990" t="s">
        <v>59</v>
      </c>
      <c r="S990" t="s">
        <v>59</v>
      </c>
      <c r="T990" t="s">
        <v>59</v>
      </c>
      <c r="U990" t="s">
        <v>60</v>
      </c>
      <c r="V990" t="s">
        <v>59</v>
      </c>
      <c r="W990" t="s">
        <v>59</v>
      </c>
      <c r="X990" t="s">
        <v>59</v>
      </c>
      <c r="Y990" t="s">
        <v>59</v>
      </c>
      <c r="Z990" t="s">
        <v>59</v>
      </c>
      <c r="AA990" t="s">
        <v>59</v>
      </c>
      <c r="AB990" t="s">
        <v>59</v>
      </c>
      <c r="AC990" t="s">
        <v>59</v>
      </c>
      <c r="AD990" t="s">
        <v>59</v>
      </c>
      <c r="AE990" t="s">
        <v>59</v>
      </c>
      <c r="AF990" t="s">
        <v>59</v>
      </c>
      <c r="AG990" t="s">
        <v>59</v>
      </c>
      <c r="AH990" t="s">
        <v>61</v>
      </c>
      <c r="AI990" t="s">
        <v>61</v>
      </c>
      <c r="AJ990" t="s">
        <v>59</v>
      </c>
      <c r="AK990" t="s">
        <v>59</v>
      </c>
      <c r="AL990" t="s">
        <v>60</v>
      </c>
      <c r="AM990" t="s">
        <v>59</v>
      </c>
      <c r="AN990" t="s">
        <v>59</v>
      </c>
      <c r="AO990" t="s">
        <v>59</v>
      </c>
      <c r="AP990" t="s">
        <v>2416</v>
      </c>
      <c r="AQ990" t="s">
        <v>2401</v>
      </c>
      <c r="AR990" t="s">
        <v>226</v>
      </c>
      <c r="AS990" t="s">
        <v>1766</v>
      </c>
      <c r="AT990" t="s">
        <v>802</v>
      </c>
      <c r="AU990" t="s">
        <v>219</v>
      </c>
      <c r="AW990" s="4" t="str">
        <f t="shared" si="528"/>
        <v>0</v>
      </c>
      <c r="AX990" s="4">
        <f t="shared" si="529"/>
        <v>4</v>
      </c>
      <c r="AY990" s="4">
        <f t="shared" si="530"/>
        <v>4</v>
      </c>
      <c r="AZ990" s="4">
        <f t="shared" si="531"/>
        <v>2</v>
      </c>
      <c r="BA990" s="4">
        <f t="shared" si="532"/>
        <v>4</v>
      </c>
      <c r="BB990" s="4">
        <f t="shared" si="533"/>
        <v>4</v>
      </c>
      <c r="BC990" s="4">
        <f t="shared" si="534"/>
        <v>4</v>
      </c>
      <c r="BD990" s="4">
        <f t="shared" si="535"/>
        <v>2</v>
      </c>
      <c r="BE990" s="4" t="str">
        <f t="shared" si="536"/>
        <v>0</v>
      </c>
      <c r="BF990" s="4">
        <f t="shared" si="537"/>
        <v>2</v>
      </c>
      <c r="BG990" s="4">
        <f t="shared" si="538"/>
        <v>4</v>
      </c>
      <c r="BH990" s="4">
        <f t="shared" si="539"/>
        <v>4</v>
      </c>
      <c r="BI990" s="4">
        <f t="shared" si="540"/>
        <v>4</v>
      </c>
      <c r="BJ990" s="4">
        <f t="shared" si="541"/>
        <v>2</v>
      </c>
      <c r="BK990" s="4">
        <f t="shared" si="542"/>
        <v>4</v>
      </c>
      <c r="BL990" s="4">
        <f t="shared" si="543"/>
        <v>2</v>
      </c>
      <c r="BM990" s="4">
        <f t="shared" si="544"/>
        <v>4</v>
      </c>
      <c r="BN990" s="4">
        <f t="shared" si="545"/>
        <v>4</v>
      </c>
      <c r="BO990" s="4">
        <f t="shared" si="546"/>
        <v>4</v>
      </c>
      <c r="BP990" s="4">
        <f t="shared" si="547"/>
        <v>4</v>
      </c>
      <c r="BQ990" s="4">
        <f t="shared" si="548"/>
        <v>6</v>
      </c>
      <c r="BR990" s="4">
        <f t="shared" si="549"/>
        <v>4</v>
      </c>
      <c r="BS990" s="4">
        <f t="shared" si="550"/>
        <v>4</v>
      </c>
      <c r="BT990" s="4">
        <f t="shared" si="551"/>
        <v>4</v>
      </c>
      <c r="BU990" s="4">
        <f t="shared" si="552"/>
        <v>4</v>
      </c>
      <c r="BV990" s="4" t="str">
        <f t="shared" si="553"/>
        <v>0</v>
      </c>
      <c r="BW990" s="4">
        <f t="shared" si="554"/>
        <v>6</v>
      </c>
      <c r="BX990" s="4">
        <f t="shared" si="555"/>
        <v>0</v>
      </c>
      <c r="BY990" s="4">
        <f t="shared" si="556"/>
        <v>0</v>
      </c>
      <c r="BZ990" s="37">
        <f t="shared" si="557"/>
        <v>90</v>
      </c>
      <c r="CA990" s="32" t="str">
        <f>VLOOKUP(J:J,'Agent wise'!A:C,3,0)</f>
        <v>Amal</v>
      </c>
      <c r="CB990" s="32">
        <f t="shared" si="558"/>
        <v>45947</v>
      </c>
      <c r="CC990" t="str">
        <f t="shared" si="559"/>
        <v>Good</v>
      </c>
      <c r="CE990" s="32"/>
      <c r="CJ990">
        <f t="shared" si="560"/>
        <v>17</v>
      </c>
      <c r="CK990">
        <f t="shared" si="561"/>
        <v>10</v>
      </c>
      <c r="CL990">
        <f t="shared" si="562"/>
        <v>2025</v>
      </c>
    </row>
    <row r="991" spans="1:90" ht="15" customHeight="1" x14ac:dyDescent="0.35">
      <c r="A991" t="s">
        <v>2417</v>
      </c>
      <c r="B991" t="s">
        <v>250</v>
      </c>
      <c r="C991" t="s">
        <v>214</v>
      </c>
      <c r="D991" t="s">
        <v>251</v>
      </c>
      <c r="E991" s="32">
        <v>45947</v>
      </c>
      <c r="F991" t="s">
        <v>306</v>
      </c>
      <c r="G991" t="s">
        <v>2152</v>
      </c>
      <c r="H991">
        <v>8428350300</v>
      </c>
      <c r="I991">
        <v>274</v>
      </c>
      <c r="J991" t="s">
        <v>307</v>
      </c>
      <c r="K991" t="s">
        <v>71</v>
      </c>
      <c r="L991" t="s">
        <v>72</v>
      </c>
      <c r="M991" t="s">
        <v>59</v>
      </c>
      <c r="N991" t="s">
        <v>59</v>
      </c>
      <c r="O991" t="s">
        <v>59</v>
      </c>
      <c r="P991" t="s">
        <v>59</v>
      </c>
      <c r="Q991" t="s">
        <v>59</v>
      </c>
      <c r="R991" t="s">
        <v>59</v>
      </c>
      <c r="S991" t="s">
        <v>59</v>
      </c>
      <c r="T991" t="s">
        <v>59</v>
      </c>
      <c r="U991" t="s">
        <v>60</v>
      </c>
      <c r="V991" t="s">
        <v>59</v>
      </c>
      <c r="W991" t="s">
        <v>59</v>
      </c>
      <c r="X991" t="s">
        <v>59</v>
      </c>
      <c r="Y991" t="s">
        <v>59</v>
      </c>
      <c r="Z991" t="s">
        <v>59</v>
      </c>
      <c r="AA991" t="s">
        <v>59</v>
      </c>
      <c r="AB991" t="s">
        <v>59</v>
      </c>
      <c r="AC991" t="s">
        <v>59</v>
      </c>
      <c r="AD991" t="s">
        <v>59</v>
      </c>
      <c r="AE991" t="s">
        <v>59</v>
      </c>
      <c r="AF991" t="s">
        <v>59</v>
      </c>
      <c r="AG991" t="s">
        <v>59</v>
      </c>
      <c r="AH991" t="s">
        <v>61</v>
      </c>
      <c r="AI991" t="s">
        <v>61</v>
      </c>
      <c r="AJ991" t="s">
        <v>59</v>
      </c>
      <c r="AK991" t="s">
        <v>59</v>
      </c>
      <c r="AL991" t="s">
        <v>59</v>
      </c>
      <c r="AM991" t="s">
        <v>59</v>
      </c>
      <c r="AN991" t="s">
        <v>59</v>
      </c>
      <c r="AO991" t="s">
        <v>59</v>
      </c>
      <c r="AP991" t="s">
        <v>209</v>
      </c>
      <c r="AQ991" t="s">
        <v>2418</v>
      </c>
      <c r="AR991" t="s">
        <v>64</v>
      </c>
      <c r="AS991" t="s">
        <v>2375</v>
      </c>
      <c r="AT991" t="s">
        <v>2375</v>
      </c>
      <c r="AU991" t="s">
        <v>219</v>
      </c>
      <c r="AW991" s="4">
        <f t="shared" si="528"/>
        <v>6</v>
      </c>
      <c r="AX991" s="4">
        <f t="shared" si="529"/>
        <v>4</v>
      </c>
      <c r="AY991" s="4">
        <f t="shared" si="530"/>
        <v>4</v>
      </c>
      <c r="AZ991" s="4">
        <f t="shared" si="531"/>
        <v>2</v>
      </c>
      <c r="BA991" s="4">
        <f t="shared" si="532"/>
        <v>4</v>
      </c>
      <c r="BB991" s="4">
        <f t="shared" si="533"/>
        <v>4</v>
      </c>
      <c r="BC991" s="4">
        <f t="shared" si="534"/>
        <v>4</v>
      </c>
      <c r="BD991" s="4">
        <f t="shared" si="535"/>
        <v>2</v>
      </c>
      <c r="BE991" s="4" t="str">
        <f t="shared" si="536"/>
        <v>0</v>
      </c>
      <c r="BF991" s="4">
        <f t="shared" si="537"/>
        <v>2</v>
      </c>
      <c r="BG991" s="4">
        <f t="shared" si="538"/>
        <v>4</v>
      </c>
      <c r="BH991" s="4">
        <f t="shared" si="539"/>
        <v>4</v>
      </c>
      <c r="BI991" s="4">
        <f t="shared" si="540"/>
        <v>4</v>
      </c>
      <c r="BJ991" s="4">
        <f t="shared" si="541"/>
        <v>2</v>
      </c>
      <c r="BK991" s="4">
        <f t="shared" si="542"/>
        <v>4</v>
      </c>
      <c r="BL991" s="4">
        <f t="shared" si="543"/>
        <v>2</v>
      </c>
      <c r="BM991" s="4">
        <f t="shared" si="544"/>
        <v>4</v>
      </c>
      <c r="BN991" s="4">
        <f t="shared" si="545"/>
        <v>4</v>
      </c>
      <c r="BO991" s="4">
        <f t="shared" si="546"/>
        <v>4</v>
      </c>
      <c r="BP991" s="4">
        <f t="shared" si="547"/>
        <v>4</v>
      </c>
      <c r="BQ991" s="4">
        <f t="shared" si="548"/>
        <v>6</v>
      </c>
      <c r="BR991" s="4">
        <f t="shared" si="549"/>
        <v>4</v>
      </c>
      <c r="BS991" s="4">
        <f t="shared" si="550"/>
        <v>4</v>
      </c>
      <c r="BT991" s="4">
        <f t="shared" si="551"/>
        <v>4</v>
      </c>
      <c r="BU991" s="4">
        <f t="shared" si="552"/>
        <v>4</v>
      </c>
      <c r="BV991" s="4">
        <f t="shared" si="553"/>
        <v>0</v>
      </c>
      <c r="BW991" s="4">
        <f t="shared" si="554"/>
        <v>6</v>
      </c>
      <c r="BX991" s="4">
        <f t="shared" si="555"/>
        <v>0</v>
      </c>
      <c r="BY991" s="4">
        <f t="shared" si="556"/>
        <v>0</v>
      </c>
      <c r="BZ991" s="37">
        <f t="shared" si="557"/>
        <v>96</v>
      </c>
      <c r="CA991" s="32" t="str">
        <f>VLOOKUP(J:J,'Agent wise'!A:C,3,0)</f>
        <v>Amal</v>
      </c>
      <c r="CB991" s="32">
        <f t="shared" si="558"/>
        <v>45947</v>
      </c>
      <c r="CC991" t="str">
        <f t="shared" si="559"/>
        <v>Excellent</v>
      </c>
      <c r="CE991" s="32"/>
      <c r="CJ991">
        <f t="shared" si="560"/>
        <v>17</v>
      </c>
      <c r="CK991">
        <f t="shared" si="561"/>
        <v>10</v>
      </c>
      <c r="CL991">
        <f t="shared" si="562"/>
        <v>2025</v>
      </c>
    </row>
    <row r="992" spans="1:90" ht="15" customHeight="1" x14ac:dyDescent="0.35">
      <c r="A992" t="s">
        <v>2419</v>
      </c>
      <c r="B992" t="s">
        <v>250</v>
      </c>
      <c r="C992" t="s">
        <v>214</v>
      </c>
      <c r="D992" t="s">
        <v>251</v>
      </c>
      <c r="E992" s="32">
        <v>45947</v>
      </c>
      <c r="F992" t="s">
        <v>306</v>
      </c>
      <c r="G992" t="s">
        <v>2152</v>
      </c>
      <c r="H992">
        <v>7708242423</v>
      </c>
      <c r="I992">
        <v>208</v>
      </c>
      <c r="J992" t="s">
        <v>246</v>
      </c>
      <c r="K992" t="s">
        <v>71</v>
      </c>
      <c r="L992" t="s">
        <v>72</v>
      </c>
      <c r="M992" t="s">
        <v>59</v>
      </c>
      <c r="N992" t="s">
        <v>59</v>
      </c>
      <c r="O992" t="s">
        <v>59</v>
      </c>
      <c r="P992" t="s">
        <v>59</v>
      </c>
      <c r="Q992" t="s">
        <v>59</v>
      </c>
      <c r="R992" t="s">
        <v>59</v>
      </c>
      <c r="S992" t="s">
        <v>59</v>
      </c>
      <c r="T992" t="s">
        <v>59</v>
      </c>
      <c r="U992" t="s">
        <v>60</v>
      </c>
      <c r="V992" t="s">
        <v>59</v>
      </c>
      <c r="W992" t="s">
        <v>59</v>
      </c>
      <c r="X992" t="s">
        <v>59</v>
      </c>
      <c r="Y992" t="s">
        <v>59</v>
      </c>
      <c r="Z992" t="s">
        <v>59</v>
      </c>
      <c r="AA992" t="s">
        <v>59</v>
      </c>
      <c r="AB992" t="s">
        <v>59</v>
      </c>
      <c r="AC992" t="s">
        <v>60</v>
      </c>
      <c r="AD992" t="s">
        <v>59</v>
      </c>
      <c r="AE992" t="s">
        <v>59</v>
      </c>
      <c r="AF992" t="s">
        <v>59</v>
      </c>
      <c r="AG992" t="s">
        <v>59</v>
      </c>
      <c r="AH992" t="s">
        <v>61</v>
      </c>
      <c r="AI992" t="s">
        <v>61</v>
      </c>
      <c r="AJ992" t="s">
        <v>59</v>
      </c>
      <c r="AK992" t="s">
        <v>59</v>
      </c>
      <c r="AL992" t="s">
        <v>60</v>
      </c>
      <c r="AM992" t="s">
        <v>59</v>
      </c>
      <c r="AN992" t="s">
        <v>59</v>
      </c>
      <c r="AO992" t="s">
        <v>59</v>
      </c>
      <c r="AP992" t="s">
        <v>654</v>
      </c>
      <c r="AQ992" t="s">
        <v>2420</v>
      </c>
      <c r="AR992" t="s">
        <v>226</v>
      </c>
      <c r="AS992" t="s">
        <v>2375</v>
      </c>
      <c r="AT992" t="s">
        <v>2375</v>
      </c>
      <c r="AU992" t="s">
        <v>219</v>
      </c>
      <c r="AW992" s="4">
        <f t="shared" si="528"/>
        <v>6</v>
      </c>
      <c r="AX992" s="4">
        <f t="shared" si="529"/>
        <v>4</v>
      </c>
      <c r="AY992" s="4">
        <f t="shared" si="530"/>
        <v>4</v>
      </c>
      <c r="AZ992" s="4">
        <f t="shared" si="531"/>
        <v>2</v>
      </c>
      <c r="BA992" s="4">
        <f t="shared" si="532"/>
        <v>4</v>
      </c>
      <c r="BB992" s="4">
        <f t="shared" si="533"/>
        <v>4</v>
      </c>
      <c r="BC992" s="4">
        <f t="shared" si="534"/>
        <v>4</v>
      </c>
      <c r="BD992" s="4">
        <f t="shared" si="535"/>
        <v>2</v>
      </c>
      <c r="BE992" s="4" t="str">
        <f t="shared" si="536"/>
        <v>0</v>
      </c>
      <c r="BF992" s="4">
        <f t="shared" si="537"/>
        <v>2</v>
      </c>
      <c r="BG992" s="4">
        <f t="shared" si="538"/>
        <v>4</v>
      </c>
      <c r="BH992" s="4">
        <f t="shared" si="539"/>
        <v>4</v>
      </c>
      <c r="BI992" s="4">
        <f t="shared" si="540"/>
        <v>4</v>
      </c>
      <c r="BJ992" s="4">
        <f t="shared" si="541"/>
        <v>2</v>
      </c>
      <c r="BK992" s="4">
        <f t="shared" si="542"/>
        <v>4</v>
      </c>
      <c r="BL992" s="4">
        <f t="shared" si="543"/>
        <v>2</v>
      </c>
      <c r="BM992" s="4" t="str">
        <f t="shared" si="544"/>
        <v>0</v>
      </c>
      <c r="BN992" s="4">
        <f t="shared" si="545"/>
        <v>4</v>
      </c>
      <c r="BO992" s="4">
        <f t="shared" si="546"/>
        <v>4</v>
      </c>
      <c r="BP992" s="4">
        <f t="shared" si="547"/>
        <v>4</v>
      </c>
      <c r="BQ992" s="4">
        <f t="shared" si="548"/>
        <v>6</v>
      </c>
      <c r="BR992" s="4">
        <f t="shared" si="549"/>
        <v>4</v>
      </c>
      <c r="BS992" s="4">
        <f t="shared" si="550"/>
        <v>4</v>
      </c>
      <c r="BT992" s="4">
        <f t="shared" si="551"/>
        <v>4</v>
      </c>
      <c r="BU992" s="4">
        <f t="shared" si="552"/>
        <v>4</v>
      </c>
      <c r="BV992" s="4" t="str">
        <f t="shared" si="553"/>
        <v>0</v>
      </c>
      <c r="BW992" s="4">
        <f t="shared" si="554"/>
        <v>6</v>
      </c>
      <c r="BX992" s="4">
        <f t="shared" si="555"/>
        <v>0</v>
      </c>
      <c r="BY992" s="4">
        <f t="shared" si="556"/>
        <v>0</v>
      </c>
      <c r="BZ992" s="37">
        <f t="shared" si="557"/>
        <v>92</v>
      </c>
      <c r="CA992" s="32" t="str">
        <f>VLOOKUP(J:J,'Agent wise'!A:C,3,0)</f>
        <v>Amal</v>
      </c>
      <c r="CB992" s="32">
        <f t="shared" si="558"/>
        <v>45947</v>
      </c>
      <c r="CC992" t="str">
        <f t="shared" si="559"/>
        <v>Good</v>
      </c>
      <c r="CE992" s="32"/>
      <c r="CJ992">
        <f t="shared" si="560"/>
        <v>17</v>
      </c>
      <c r="CK992">
        <f t="shared" si="561"/>
        <v>10</v>
      </c>
      <c r="CL992">
        <f t="shared" si="562"/>
        <v>2025</v>
      </c>
    </row>
    <row r="993" spans="1:90" ht="15" customHeight="1" x14ac:dyDescent="0.35">
      <c r="A993" t="s">
        <v>2421</v>
      </c>
      <c r="B993" t="s">
        <v>250</v>
      </c>
      <c r="C993" t="s">
        <v>214</v>
      </c>
      <c r="D993" t="s">
        <v>251</v>
      </c>
      <c r="E993" s="32">
        <v>45947</v>
      </c>
      <c r="F993" t="s">
        <v>306</v>
      </c>
      <c r="G993" t="s">
        <v>2152</v>
      </c>
      <c r="H993">
        <v>9962465344</v>
      </c>
      <c r="I993">
        <v>203</v>
      </c>
      <c r="J993" t="s">
        <v>246</v>
      </c>
      <c r="K993" t="s">
        <v>71</v>
      </c>
      <c r="L993" t="s">
        <v>72</v>
      </c>
      <c r="M993" t="s">
        <v>59</v>
      </c>
      <c r="N993" t="s">
        <v>59</v>
      </c>
      <c r="O993" t="s">
        <v>59</v>
      </c>
      <c r="P993" t="s">
        <v>59</v>
      </c>
      <c r="Q993" t="s">
        <v>59</v>
      </c>
      <c r="R993" t="s">
        <v>59</v>
      </c>
      <c r="S993" t="s">
        <v>59</v>
      </c>
      <c r="T993" t="s">
        <v>59</v>
      </c>
      <c r="U993" t="s">
        <v>60</v>
      </c>
      <c r="V993" t="s">
        <v>59</v>
      </c>
      <c r="W993" t="s">
        <v>59</v>
      </c>
      <c r="X993" t="s">
        <v>59</v>
      </c>
      <c r="Y993" t="s">
        <v>59</v>
      </c>
      <c r="Z993" t="s">
        <v>59</v>
      </c>
      <c r="AA993" t="s">
        <v>59</v>
      </c>
      <c r="AB993" t="s">
        <v>59</v>
      </c>
      <c r="AC993" t="s">
        <v>60</v>
      </c>
      <c r="AD993" t="s">
        <v>59</v>
      </c>
      <c r="AE993" t="s">
        <v>59</v>
      </c>
      <c r="AF993" t="s">
        <v>59</v>
      </c>
      <c r="AG993" t="s">
        <v>59</v>
      </c>
      <c r="AH993" t="s">
        <v>61</v>
      </c>
      <c r="AI993" t="s">
        <v>61</v>
      </c>
      <c r="AJ993" t="s">
        <v>59</v>
      </c>
      <c r="AK993" t="s">
        <v>59</v>
      </c>
      <c r="AL993" t="s">
        <v>60</v>
      </c>
      <c r="AM993" t="s">
        <v>59</v>
      </c>
      <c r="AN993" t="s">
        <v>59</v>
      </c>
      <c r="AO993" t="s">
        <v>59</v>
      </c>
      <c r="AP993" t="s">
        <v>2338</v>
      </c>
      <c r="AQ993" t="s">
        <v>2422</v>
      </c>
      <c r="AR993" t="s">
        <v>226</v>
      </c>
      <c r="AS993" t="s">
        <v>2375</v>
      </c>
      <c r="AT993" t="s">
        <v>2375</v>
      </c>
      <c r="AU993" t="s">
        <v>219</v>
      </c>
      <c r="AW993" s="4">
        <f t="shared" si="528"/>
        <v>6</v>
      </c>
      <c r="AX993" s="4">
        <f t="shared" si="529"/>
        <v>4</v>
      </c>
      <c r="AY993" s="4">
        <f t="shared" si="530"/>
        <v>4</v>
      </c>
      <c r="AZ993" s="4">
        <f t="shared" si="531"/>
        <v>2</v>
      </c>
      <c r="BA993" s="4">
        <f t="shared" si="532"/>
        <v>4</v>
      </c>
      <c r="BB993" s="4">
        <f t="shared" si="533"/>
        <v>4</v>
      </c>
      <c r="BC993" s="4">
        <f t="shared" si="534"/>
        <v>4</v>
      </c>
      <c r="BD993" s="4">
        <f t="shared" si="535"/>
        <v>2</v>
      </c>
      <c r="BE993" s="4" t="str">
        <f t="shared" si="536"/>
        <v>0</v>
      </c>
      <c r="BF993" s="4">
        <f t="shared" si="537"/>
        <v>2</v>
      </c>
      <c r="BG993" s="4">
        <f t="shared" si="538"/>
        <v>4</v>
      </c>
      <c r="BH993" s="4">
        <f t="shared" si="539"/>
        <v>4</v>
      </c>
      <c r="BI993" s="4">
        <f t="shared" si="540"/>
        <v>4</v>
      </c>
      <c r="BJ993" s="4">
        <f t="shared" si="541"/>
        <v>2</v>
      </c>
      <c r="BK993" s="4">
        <f t="shared" si="542"/>
        <v>4</v>
      </c>
      <c r="BL993" s="4">
        <f t="shared" si="543"/>
        <v>2</v>
      </c>
      <c r="BM993" s="4" t="str">
        <f t="shared" si="544"/>
        <v>0</v>
      </c>
      <c r="BN993" s="4">
        <f t="shared" si="545"/>
        <v>4</v>
      </c>
      <c r="BO993" s="4">
        <f t="shared" si="546"/>
        <v>4</v>
      </c>
      <c r="BP993" s="4">
        <f t="shared" si="547"/>
        <v>4</v>
      </c>
      <c r="BQ993" s="4">
        <f t="shared" si="548"/>
        <v>6</v>
      </c>
      <c r="BR993" s="4">
        <f t="shared" si="549"/>
        <v>4</v>
      </c>
      <c r="BS993" s="4">
        <f t="shared" si="550"/>
        <v>4</v>
      </c>
      <c r="BT993" s="4">
        <f t="shared" si="551"/>
        <v>4</v>
      </c>
      <c r="BU993" s="4">
        <f t="shared" si="552"/>
        <v>4</v>
      </c>
      <c r="BV993" s="4" t="str">
        <f t="shared" si="553"/>
        <v>0</v>
      </c>
      <c r="BW993" s="4">
        <f t="shared" si="554"/>
        <v>6</v>
      </c>
      <c r="BX993" s="4">
        <f t="shared" si="555"/>
        <v>0</v>
      </c>
      <c r="BY993" s="4">
        <f t="shared" si="556"/>
        <v>0</v>
      </c>
      <c r="BZ993" s="37">
        <f t="shared" si="557"/>
        <v>92</v>
      </c>
      <c r="CA993" s="32" t="str">
        <f>VLOOKUP(J:J,'Agent wise'!A:C,3,0)</f>
        <v>Amal</v>
      </c>
      <c r="CB993" s="32">
        <f t="shared" si="558"/>
        <v>45947</v>
      </c>
      <c r="CC993" t="str">
        <f t="shared" si="559"/>
        <v>Good</v>
      </c>
      <c r="CE993" s="32"/>
      <c r="CJ993">
        <f t="shared" si="560"/>
        <v>17</v>
      </c>
      <c r="CK993">
        <f t="shared" si="561"/>
        <v>10</v>
      </c>
      <c r="CL993">
        <f t="shared" si="562"/>
        <v>2025</v>
      </c>
    </row>
    <row r="994" spans="1:90" ht="15" customHeight="1" x14ac:dyDescent="0.35">
      <c r="A994" t="s">
        <v>2423</v>
      </c>
      <c r="B994" t="s">
        <v>250</v>
      </c>
      <c r="C994" t="s">
        <v>214</v>
      </c>
      <c r="D994" t="s">
        <v>251</v>
      </c>
      <c r="E994" s="32">
        <v>45947</v>
      </c>
      <c r="F994" t="s">
        <v>306</v>
      </c>
      <c r="G994" t="s">
        <v>2152</v>
      </c>
      <c r="H994">
        <v>9750490515</v>
      </c>
      <c r="I994">
        <v>202</v>
      </c>
      <c r="J994" t="s">
        <v>246</v>
      </c>
      <c r="K994" t="s">
        <v>71</v>
      </c>
      <c r="L994" t="s">
        <v>72</v>
      </c>
      <c r="M994" t="s">
        <v>59</v>
      </c>
      <c r="N994" t="s">
        <v>59</v>
      </c>
      <c r="O994" t="s">
        <v>59</v>
      </c>
      <c r="P994" t="s">
        <v>59</v>
      </c>
      <c r="Q994" t="s">
        <v>59</v>
      </c>
      <c r="R994" t="s">
        <v>59</v>
      </c>
      <c r="S994" t="s">
        <v>59</v>
      </c>
      <c r="T994" t="s">
        <v>59</v>
      </c>
      <c r="U994" t="s">
        <v>60</v>
      </c>
      <c r="V994" t="s">
        <v>59</v>
      </c>
      <c r="W994" t="s">
        <v>59</v>
      </c>
      <c r="X994" t="s">
        <v>59</v>
      </c>
      <c r="Y994" t="s">
        <v>59</v>
      </c>
      <c r="Z994" t="s">
        <v>59</v>
      </c>
      <c r="AA994" t="s">
        <v>59</v>
      </c>
      <c r="AB994" t="s">
        <v>59</v>
      </c>
      <c r="AC994" t="s">
        <v>60</v>
      </c>
      <c r="AD994" t="s">
        <v>59</v>
      </c>
      <c r="AE994" t="s">
        <v>59</v>
      </c>
      <c r="AF994" t="s">
        <v>59</v>
      </c>
      <c r="AG994" t="s">
        <v>59</v>
      </c>
      <c r="AH994" t="s">
        <v>61</v>
      </c>
      <c r="AI994" t="s">
        <v>61</v>
      </c>
      <c r="AJ994" t="s">
        <v>59</v>
      </c>
      <c r="AK994" t="s">
        <v>59</v>
      </c>
      <c r="AL994" t="s">
        <v>60</v>
      </c>
      <c r="AM994" t="s">
        <v>59</v>
      </c>
      <c r="AN994" t="s">
        <v>59</v>
      </c>
      <c r="AO994" t="s">
        <v>59</v>
      </c>
      <c r="AP994" t="s">
        <v>428</v>
      </c>
      <c r="AQ994" t="s">
        <v>2424</v>
      </c>
      <c r="AR994" t="s">
        <v>226</v>
      </c>
      <c r="AS994" t="s">
        <v>2375</v>
      </c>
      <c r="AT994" t="s">
        <v>2375</v>
      </c>
      <c r="AU994" t="s">
        <v>219</v>
      </c>
      <c r="AW994" s="4">
        <f t="shared" si="528"/>
        <v>6</v>
      </c>
      <c r="AX994" s="4">
        <f t="shared" si="529"/>
        <v>4</v>
      </c>
      <c r="AY994" s="4">
        <f t="shared" si="530"/>
        <v>4</v>
      </c>
      <c r="AZ994" s="4">
        <f t="shared" si="531"/>
        <v>2</v>
      </c>
      <c r="BA994" s="4">
        <f t="shared" si="532"/>
        <v>4</v>
      </c>
      <c r="BB994" s="4">
        <f t="shared" si="533"/>
        <v>4</v>
      </c>
      <c r="BC994" s="4">
        <f t="shared" si="534"/>
        <v>4</v>
      </c>
      <c r="BD994" s="4">
        <f t="shared" si="535"/>
        <v>2</v>
      </c>
      <c r="BE994" s="4" t="str">
        <f t="shared" si="536"/>
        <v>0</v>
      </c>
      <c r="BF994" s="4">
        <f t="shared" si="537"/>
        <v>2</v>
      </c>
      <c r="BG994" s="4">
        <f t="shared" si="538"/>
        <v>4</v>
      </c>
      <c r="BH994" s="4">
        <f t="shared" si="539"/>
        <v>4</v>
      </c>
      <c r="BI994" s="4">
        <f t="shared" si="540"/>
        <v>4</v>
      </c>
      <c r="BJ994" s="4">
        <f t="shared" si="541"/>
        <v>2</v>
      </c>
      <c r="BK994" s="4">
        <f t="shared" si="542"/>
        <v>4</v>
      </c>
      <c r="BL994" s="4">
        <f t="shared" si="543"/>
        <v>2</v>
      </c>
      <c r="BM994" s="4" t="str">
        <f t="shared" si="544"/>
        <v>0</v>
      </c>
      <c r="BN994" s="4">
        <f t="shared" si="545"/>
        <v>4</v>
      </c>
      <c r="BO994" s="4">
        <f t="shared" si="546"/>
        <v>4</v>
      </c>
      <c r="BP994" s="4">
        <f t="shared" si="547"/>
        <v>4</v>
      </c>
      <c r="BQ994" s="4">
        <f t="shared" si="548"/>
        <v>6</v>
      </c>
      <c r="BR994" s="4">
        <f t="shared" si="549"/>
        <v>4</v>
      </c>
      <c r="BS994" s="4">
        <f t="shared" si="550"/>
        <v>4</v>
      </c>
      <c r="BT994" s="4">
        <f t="shared" si="551"/>
        <v>4</v>
      </c>
      <c r="BU994" s="4">
        <f t="shared" si="552"/>
        <v>4</v>
      </c>
      <c r="BV994" s="4" t="str">
        <f t="shared" si="553"/>
        <v>0</v>
      </c>
      <c r="BW994" s="4">
        <f t="shared" si="554"/>
        <v>6</v>
      </c>
      <c r="BX994" s="4">
        <f t="shared" si="555"/>
        <v>0</v>
      </c>
      <c r="BY994" s="4">
        <f t="shared" si="556"/>
        <v>0</v>
      </c>
      <c r="BZ994" s="37">
        <f t="shared" si="557"/>
        <v>92</v>
      </c>
      <c r="CA994" s="32" t="str">
        <f>VLOOKUP(J:J,'Agent wise'!A:C,3,0)</f>
        <v>Amal</v>
      </c>
      <c r="CB994" s="32">
        <f t="shared" si="558"/>
        <v>45947</v>
      </c>
      <c r="CC994" t="str">
        <f t="shared" si="559"/>
        <v>Good</v>
      </c>
      <c r="CE994" s="32"/>
      <c r="CJ994">
        <f t="shared" si="560"/>
        <v>17</v>
      </c>
      <c r="CK994">
        <f t="shared" si="561"/>
        <v>10</v>
      </c>
      <c r="CL994">
        <f t="shared" si="562"/>
        <v>2025</v>
      </c>
    </row>
    <row r="995" spans="1:90" ht="15" customHeight="1" x14ac:dyDescent="0.35">
      <c r="A995" t="s">
        <v>2425</v>
      </c>
      <c r="B995" t="s">
        <v>130</v>
      </c>
      <c r="C995" t="s">
        <v>214</v>
      </c>
      <c r="D995" t="s">
        <v>131</v>
      </c>
      <c r="E995" s="32">
        <v>45947</v>
      </c>
      <c r="F995" t="s">
        <v>54</v>
      </c>
      <c r="G995" t="s">
        <v>2369</v>
      </c>
      <c r="H995">
        <v>8078891098</v>
      </c>
      <c r="I995">
        <v>151</v>
      </c>
      <c r="J995" t="s">
        <v>291</v>
      </c>
      <c r="K995" t="s">
        <v>57</v>
      </c>
      <c r="L995" t="s">
        <v>58</v>
      </c>
      <c r="M995" t="s">
        <v>59</v>
      </c>
      <c r="N995" t="s">
        <v>59</v>
      </c>
      <c r="O995" t="s">
        <v>59</v>
      </c>
      <c r="P995" t="s">
        <v>59</v>
      </c>
      <c r="Q995" t="s">
        <v>59</v>
      </c>
      <c r="R995" t="s">
        <v>59</v>
      </c>
      <c r="S995" t="s">
        <v>59</v>
      </c>
      <c r="T995" t="s">
        <v>59</v>
      </c>
      <c r="U995" t="s">
        <v>60</v>
      </c>
      <c r="V995" t="s">
        <v>59</v>
      </c>
      <c r="W995" t="s">
        <v>59</v>
      </c>
      <c r="X995" t="s">
        <v>59</v>
      </c>
      <c r="Y995" t="s">
        <v>59</v>
      </c>
      <c r="Z995" t="s">
        <v>59</v>
      </c>
      <c r="AA995" t="s">
        <v>60</v>
      </c>
      <c r="AB995" t="s">
        <v>60</v>
      </c>
      <c r="AC995" t="s">
        <v>61</v>
      </c>
      <c r="AD995" t="s">
        <v>59</v>
      </c>
      <c r="AE995" t="s">
        <v>59</v>
      </c>
      <c r="AF995" t="s">
        <v>61</v>
      </c>
      <c r="AG995" t="s">
        <v>59</v>
      </c>
      <c r="AH995" t="s">
        <v>61</v>
      </c>
      <c r="AI995" t="s">
        <v>61</v>
      </c>
      <c r="AJ995" t="s">
        <v>59</v>
      </c>
      <c r="AK995" t="s">
        <v>59</v>
      </c>
      <c r="AL995" t="s">
        <v>60</v>
      </c>
      <c r="AM995" t="s">
        <v>59</v>
      </c>
      <c r="AN995" t="s">
        <v>59</v>
      </c>
      <c r="AO995" t="s">
        <v>59</v>
      </c>
      <c r="AP995" t="s">
        <v>406</v>
      </c>
      <c r="AQ995" s="1" t="s">
        <v>2426</v>
      </c>
      <c r="AR995" t="s">
        <v>64</v>
      </c>
      <c r="AS995" t="s">
        <v>2427</v>
      </c>
      <c r="AT995" t="s">
        <v>2427</v>
      </c>
      <c r="AU995" t="s">
        <v>257</v>
      </c>
      <c r="AW995" s="4">
        <f t="shared" si="528"/>
        <v>6</v>
      </c>
      <c r="AX995" s="4">
        <f t="shared" si="529"/>
        <v>4</v>
      </c>
      <c r="AY995" s="4">
        <f t="shared" si="530"/>
        <v>4</v>
      </c>
      <c r="AZ995" s="4">
        <f t="shared" si="531"/>
        <v>2</v>
      </c>
      <c r="BA995" s="4">
        <f t="shared" si="532"/>
        <v>4</v>
      </c>
      <c r="BB995" s="4">
        <f t="shared" si="533"/>
        <v>4</v>
      </c>
      <c r="BC995" s="4">
        <f t="shared" si="534"/>
        <v>4</v>
      </c>
      <c r="BD995" s="4">
        <f t="shared" si="535"/>
        <v>2</v>
      </c>
      <c r="BE995" s="4" t="str">
        <f t="shared" si="536"/>
        <v>0</v>
      </c>
      <c r="BF995" s="4">
        <f t="shared" si="537"/>
        <v>2</v>
      </c>
      <c r="BG995" s="4">
        <f t="shared" si="538"/>
        <v>4</v>
      </c>
      <c r="BH995" s="4">
        <f t="shared" si="539"/>
        <v>4</v>
      </c>
      <c r="BI995" s="4">
        <f t="shared" si="540"/>
        <v>4</v>
      </c>
      <c r="BJ995" s="4">
        <f t="shared" si="541"/>
        <v>2</v>
      </c>
      <c r="BK995" s="4" t="str">
        <f t="shared" si="542"/>
        <v>0</v>
      </c>
      <c r="BL995" s="4" t="str">
        <f t="shared" si="543"/>
        <v>0</v>
      </c>
      <c r="BM995" s="4">
        <f t="shared" si="544"/>
        <v>4</v>
      </c>
      <c r="BN995" s="4">
        <f t="shared" si="545"/>
        <v>4</v>
      </c>
      <c r="BO995" s="4">
        <f t="shared" si="546"/>
        <v>4</v>
      </c>
      <c r="BP995" s="4">
        <f t="shared" si="547"/>
        <v>4</v>
      </c>
      <c r="BQ995" s="4">
        <f t="shared" si="548"/>
        <v>6</v>
      </c>
      <c r="BR995" s="4">
        <f t="shared" si="549"/>
        <v>4</v>
      </c>
      <c r="BS995" s="4">
        <f t="shared" si="550"/>
        <v>4</v>
      </c>
      <c r="BT995" s="4">
        <f t="shared" si="551"/>
        <v>4</v>
      </c>
      <c r="BU995" s="4">
        <f t="shared" si="552"/>
        <v>4</v>
      </c>
      <c r="BV995" s="4" t="str">
        <f t="shared" si="553"/>
        <v>0</v>
      </c>
      <c r="BW995" s="4">
        <f t="shared" si="554"/>
        <v>6</v>
      </c>
      <c r="BX995" s="4">
        <f t="shared" si="555"/>
        <v>0</v>
      </c>
      <c r="BY995" s="4">
        <f t="shared" si="556"/>
        <v>0</v>
      </c>
      <c r="BZ995" s="37">
        <f t="shared" si="557"/>
        <v>90</v>
      </c>
      <c r="CA995" s="32" t="str">
        <f>VLOOKUP(J:J,'Agent wise'!A:C,3,0)</f>
        <v xml:space="preserve">Shiny </v>
      </c>
      <c r="CB995" s="32">
        <f t="shared" si="558"/>
        <v>45947</v>
      </c>
      <c r="CC995" t="str">
        <f t="shared" si="559"/>
        <v>Good</v>
      </c>
      <c r="CE995" s="32"/>
      <c r="CJ995">
        <f t="shared" si="560"/>
        <v>17</v>
      </c>
      <c r="CK995">
        <f t="shared" si="561"/>
        <v>10</v>
      </c>
      <c r="CL995">
        <f t="shared" si="562"/>
        <v>2025</v>
      </c>
    </row>
    <row r="996" spans="1:90" ht="15" customHeight="1" x14ac:dyDescent="0.35">
      <c r="A996" t="s">
        <v>2428</v>
      </c>
      <c r="B996" t="s">
        <v>130</v>
      </c>
      <c r="C996" t="s">
        <v>214</v>
      </c>
      <c r="D996" t="s">
        <v>131</v>
      </c>
      <c r="E996" s="32">
        <v>45947</v>
      </c>
      <c r="F996" t="s">
        <v>54</v>
      </c>
      <c r="G996" t="s">
        <v>2369</v>
      </c>
      <c r="H996">
        <v>9496352930</v>
      </c>
      <c r="I996">
        <v>136</v>
      </c>
      <c r="J996" t="s">
        <v>873</v>
      </c>
      <c r="K996" t="s">
        <v>57</v>
      </c>
      <c r="L996" t="s">
        <v>58</v>
      </c>
      <c r="M996" t="s">
        <v>59</v>
      </c>
      <c r="N996" t="s">
        <v>59</v>
      </c>
      <c r="O996" t="s">
        <v>59</v>
      </c>
      <c r="P996" t="s">
        <v>59</v>
      </c>
      <c r="Q996" t="s">
        <v>59</v>
      </c>
      <c r="R996" t="s">
        <v>59</v>
      </c>
      <c r="S996" t="s">
        <v>59</v>
      </c>
      <c r="T996" t="s">
        <v>59</v>
      </c>
      <c r="U996" t="s">
        <v>60</v>
      </c>
      <c r="V996" t="s">
        <v>59</v>
      </c>
      <c r="W996" t="s">
        <v>59</v>
      </c>
      <c r="X996" t="s">
        <v>59</v>
      </c>
      <c r="Y996" t="s">
        <v>59</v>
      </c>
      <c r="Z996" t="s">
        <v>59</v>
      </c>
      <c r="AA996" t="s">
        <v>59</v>
      </c>
      <c r="AB996" t="s">
        <v>61</v>
      </c>
      <c r="AC996" t="s">
        <v>60</v>
      </c>
      <c r="AD996" t="s">
        <v>59</v>
      </c>
      <c r="AE996" t="s">
        <v>59</v>
      </c>
      <c r="AF996" t="s">
        <v>61</v>
      </c>
      <c r="AG996" t="s">
        <v>59</v>
      </c>
      <c r="AH996" t="s">
        <v>61</v>
      </c>
      <c r="AI996" t="s">
        <v>61</v>
      </c>
      <c r="AJ996" t="s">
        <v>59</v>
      </c>
      <c r="AK996" t="s">
        <v>59</v>
      </c>
      <c r="AL996" t="s">
        <v>60</v>
      </c>
      <c r="AM996" t="s">
        <v>59</v>
      </c>
      <c r="AN996" t="s">
        <v>59</v>
      </c>
      <c r="AO996" t="s">
        <v>59</v>
      </c>
      <c r="AP996" t="s">
        <v>2429</v>
      </c>
      <c r="AQ996" s="1" t="s">
        <v>2430</v>
      </c>
      <c r="AR996" t="s">
        <v>64</v>
      </c>
      <c r="AS996" t="s">
        <v>152</v>
      </c>
      <c r="AT996" t="s">
        <v>267</v>
      </c>
      <c r="AU996" t="s">
        <v>219</v>
      </c>
      <c r="AW996" s="4">
        <f t="shared" si="528"/>
        <v>6</v>
      </c>
      <c r="AX996" s="4">
        <f t="shared" si="529"/>
        <v>4</v>
      </c>
      <c r="AY996" s="4">
        <f t="shared" si="530"/>
        <v>4</v>
      </c>
      <c r="AZ996" s="4">
        <f t="shared" si="531"/>
        <v>2</v>
      </c>
      <c r="BA996" s="4">
        <f t="shared" si="532"/>
        <v>4</v>
      </c>
      <c r="BB996" s="4">
        <f t="shared" si="533"/>
        <v>4</v>
      </c>
      <c r="BC996" s="4">
        <f t="shared" si="534"/>
        <v>4</v>
      </c>
      <c r="BD996" s="4">
        <f t="shared" si="535"/>
        <v>2</v>
      </c>
      <c r="BE996" s="4" t="str">
        <f t="shared" si="536"/>
        <v>0</v>
      </c>
      <c r="BF996" s="4">
        <f t="shared" si="537"/>
        <v>2</v>
      </c>
      <c r="BG996" s="4">
        <f t="shared" si="538"/>
        <v>4</v>
      </c>
      <c r="BH996" s="4">
        <f t="shared" si="539"/>
        <v>4</v>
      </c>
      <c r="BI996" s="4">
        <f t="shared" si="540"/>
        <v>4</v>
      </c>
      <c r="BJ996" s="4">
        <f t="shared" si="541"/>
        <v>2</v>
      </c>
      <c r="BK996" s="4">
        <f t="shared" si="542"/>
        <v>4</v>
      </c>
      <c r="BL996" s="4">
        <f t="shared" si="543"/>
        <v>2</v>
      </c>
      <c r="BM996" s="4" t="str">
        <f t="shared" si="544"/>
        <v>0</v>
      </c>
      <c r="BN996" s="4">
        <f t="shared" si="545"/>
        <v>4</v>
      </c>
      <c r="BO996" s="4">
        <f t="shared" si="546"/>
        <v>4</v>
      </c>
      <c r="BP996" s="4">
        <f t="shared" si="547"/>
        <v>4</v>
      </c>
      <c r="BQ996" s="4">
        <f t="shared" si="548"/>
        <v>6</v>
      </c>
      <c r="BR996" s="4">
        <f t="shared" si="549"/>
        <v>4</v>
      </c>
      <c r="BS996" s="4">
        <f t="shared" si="550"/>
        <v>4</v>
      </c>
      <c r="BT996" s="4">
        <f t="shared" si="551"/>
        <v>4</v>
      </c>
      <c r="BU996" s="4">
        <f t="shared" si="552"/>
        <v>4</v>
      </c>
      <c r="BV996" s="4" t="str">
        <f t="shared" si="553"/>
        <v>0</v>
      </c>
      <c r="BW996" s="4">
        <f t="shared" si="554"/>
        <v>6</v>
      </c>
      <c r="BX996" s="4">
        <f t="shared" si="555"/>
        <v>0</v>
      </c>
      <c r="BY996" s="4">
        <f t="shared" si="556"/>
        <v>0</v>
      </c>
      <c r="BZ996" s="37">
        <f t="shared" si="557"/>
        <v>92</v>
      </c>
      <c r="CA996" s="32" t="str">
        <f>VLOOKUP(J:J,'Agent wise'!A:C,3,0)</f>
        <v xml:space="preserve">Shiny </v>
      </c>
      <c r="CB996" s="32">
        <f t="shared" si="558"/>
        <v>45947</v>
      </c>
      <c r="CC996" t="str">
        <f t="shared" si="559"/>
        <v>Good</v>
      </c>
      <c r="CE996" s="32"/>
      <c r="CJ996">
        <f t="shared" si="560"/>
        <v>17</v>
      </c>
      <c r="CK996">
        <f t="shared" si="561"/>
        <v>10</v>
      </c>
      <c r="CL996">
        <f t="shared" si="562"/>
        <v>2025</v>
      </c>
    </row>
    <row r="997" spans="1:90" ht="15" customHeight="1" x14ac:dyDescent="0.35">
      <c r="A997" t="s">
        <v>2431</v>
      </c>
      <c r="B997" t="s">
        <v>130</v>
      </c>
      <c r="C997" t="s">
        <v>214</v>
      </c>
      <c r="D997" t="s">
        <v>131</v>
      </c>
      <c r="E997" s="32">
        <v>45947</v>
      </c>
      <c r="F997" t="s">
        <v>54</v>
      </c>
      <c r="G997" t="s">
        <v>2369</v>
      </c>
      <c r="H997">
        <v>9486085450</v>
      </c>
      <c r="I997">
        <v>131</v>
      </c>
      <c r="J997" t="s">
        <v>749</v>
      </c>
      <c r="K997" t="s">
        <v>71</v>
      </c>
      <c r="L997" t="s">
        <v>72</v>
      </c>
      <c r="M997" t="s">
        <v>59</v>
      </c>
      <c r="N997" t="s">
        <v>59</v>
      </c>
      <c r="O997" t="s">
        <v>59</v>
      </c>
      <c r="P997" t="s">
        <v>59</v>
      </c>
      <c r="Q997" t="s">
        <v>59</v>
      </c>
      <c r="R997" t="s">
        <v>59</v>
      </c>
      <c r="S997" t="s">
        <v>59</v>
      </c>
      <c r="T997" t="s">
        <v>59</v>
      </c>
      <c r="U997" t="s">
        <v>60</v>
      </c>
      <c r="V997" t="s">
        <v>59</v>
      </c>
      <c r="W997" t="s">
        <v>59</v>
      </c>
      <c r="X997" t="s">
        <v>59</v>
      </c>
      <c r="Y997" t="s">
        <v>59</v>
      </c>
      <c r="Z997" t="s">
        <v>59</v>
      </c>
      <c r="AA997" t="s">
        <v>60</v>
      </c>
      <c r="AB997" t="s">
        <v>61</v>
      </c>
      <c r="AC997" t="s">
        <v>60</v>
      </c>
      <c r="AD997" t="s">
        <v>59</v>
      </c>
      <c r="AE997" t="s">
        <v>59</v>
      </c>
      <c r="AF997" t="s">
        <v>61</v>
      </c>
      <c r="AG997" t="s">
        <v>59</v>
      </c>
      <c r="AH997" t="s">
        <v>61</v>
      </c>
      <c r="AI997" t="s">
        <v>61</v>
      </c>
      <c r="AJ997" t="s">
        <v>59</v>
      </c>
      <c r="AK997" t="s">
        <v>59</v>
      </c>
      <c r="AL997" t="s">
        <v>59</v>
      </c>
      <c r="AM997" t="s">
        <v>59</v>
      </c>
      <c r="AN997" t="s">
        <v>59</v>
      </c>
      <c r="AO997" t="s">
        <v>59</v>
      </c>
      <c r="AP997" t="s">
        <v>2432</v>
      </c>
      <c r="AQ997" s="1" t="s">
        <v>2433</v>
      </c>
      <c r="AR997" t="s">
        <v>64</v>
      </c>
      <c r="AS997" t="s">
        <v>198</v>
      </c>
      <c r="AT997" t="s">
        <v>199</v>
      </c>
      <c r="AU997" t="s">
        <v>219</v>
      </c>
      <c r="AW997" s="4">
        <f t="shared" si="528"/>
        <v>6</v>
      </c>
      <c r="AX997" s="4">
        <f t="shared" si="529"/>
        <v>4</v>
      </c>
      <c r="AY997" s="4">
        <f t="shared" si="530"/>
        <v>4</v>
      </c>
      <c r="AZ997" s="4">
        <f t="shared" si="531"/>
        <v>2</v>
      </c>
      <c r="BA997" s="4">
        <f t="shared" si="532"/>
        <v>4</v>
      </c>
      <c r="BB997" s="4">
        <f t="shared" si="533"/>
        <v>4</v>
      </c>
      <c r="BC997" s="4">
        <f t="shared" si="534"/>
        <v>4</v>
      </c>
      <c r="BD997" s="4">
        <f t="shared" si="535"/>
        <v>2</v>
      </c>
      <c r="BE997" s="4" t="str">
        <f t="shared" si="536"/>
        <v>0</v>
      </c>
      <c r="BF997" s="4">
        <f t="shared" si="537"/>
        <v>2</v>
      </c>
      <c r="BG997" s="4">
        <f t="shared" si="538"/>
        <v>4</v>
      </c>
      <c r="BH997" s="4">
        <f t="shared" si="539"/>
        <v>4</v>
      </c>
      <c r="BI997" s="4">
        <f t="shared" si="540"/>
        <v>4</v>
      </c>
      <c r="BJ997" s="4">
        <f t="shared" si="541"/>
        <v>2</v>
      </c>
      <c r="BK997" s="4" t="str">
        <f t="shared" si="542"/>
        <v>0</v>
      </c>
      <c r="BL997" s="4">
        <f t="shared" si="543"/>
        <v>2</v>
      </c>
      <c r="BM997" s="4" t="str">
        <f t="shared" si="544"/>
        <v>0</v>
      </c>
      <c r="BN997" s="4">
        <f t="shared" si="545"/>
        <v>4</v>
      </c>
      <c r="BO997" s="4">
        <f t="shared" si="546"/>
        <v>4</v>
      </c>
      <c r="BP997" s="4">
        <f t="shared" si="547"/>
        <v>4</v>
      </c>
      <c r="BQ997" s="4">
        <f t="shared" si="548"/>
        <v>6</v>
      </c>
      <c r="BR997" s="4">
        <f t="shared" si="549"/>
        <v>4</v>
      </c>
      <c r="BS997" s="4">
        <f t="shared" si="550"/>
        <v>4</v>
      </c>
      <c r="BT997" s="4">
        <f t="shared" si="551"/>
        <v>4</v>
      </c>
      <c r="BU997" s="4">
        <f t="shared" si="552"/>
        <v>4</v>
      </c>
      <c r="BV997" s="4">
        <f t="shared" si="553"/>
        <v>0</v>
      </c>
      <c r="BW997" s="4">
        <f t="shared" si="554"/>
        <v>6</v>
      </c>
      <c r="BX997" s="4">
        <f t="shared" si="555"/>
        <v>0</v>
      </c>
      <c r="BY997" s="4">
        <f t="shared" si="556"/>
        <v>0</v>
      </c>
      <c r="BZ997" s="37">
        <f t="shared" si="557"/>
        <v>88</v>
      </c>
      <c r="CA997" s="32" t="str">
        <f>VLOOKUP(J:J,'Agent wise'!A:C,3,0)</f>
        <v xml:space="preserve">Shiny </v>
      </c>
      <c r="CB997" s="32">
        <f t="shared" si="558"/>
        <v>45947</v>
      </c>
      <c r="CC997" t="str">
        <f t="shared" si="559"/>
        <v>Average</v>
      </c>
      <c r="CE997" s="32"/>
      <c r="CJ997">
        <f t="shared" si="560"/>
        <v>17</v>
      </c>
      <c r="CK997">
        <f t="shared" si="561"/>
        <v>10</v>
      </c>
      <c r="CL997">
        <f t="shared" si="562"/>
        <v>2025</v>
      </c>
    </row>
    <row r="998" spans="1:90" ht="15" customHeight="1" x14ac:dyDescent="0.35">
      <c r="A998" t="s">
        <v>2434</v>
      </c>
      <c r="B998" t="s">
        <v>130</v>
      </c>
      <c r="C998" t="s">
        <v>214</v>
      </c>
      <c r="D998" t="s">
        <v>131</v>
      </c>
      <c r="E998" s="32">
        <v>45947</v>
      </c>
      <c r="F998" t="s">
        <v>54</v>
      </c>
      <c r="G998" t="s">
        <v>2369</v>
      </c>
      <c r="H998">
        <v>9442425671</v>
      </c>
      <c r="I998">
        <v>135</v>
      </c>
      <c r="J998" t="s">
        <v>335</v>
      </c>
      <c r="K998" t="s">
        <v>71</v>
      </c>
      <c r="L998" t="s">
        <v>72</v>
      </c>
      <c r="M998" t="s">
        <v>59</v>
      </c>
      <c r="N998" t="s">
        <v>59</v>
      </c>
      <c r="O998" t="s">
        <v>59</v>
      </c>
      <c r="P998" t="s">
        <v>59</v>
      </c>
      <c r="Q998" t="s">
        <v>59</v>
      </c>
      <c r="R998" t="s">
        <v>59</v>
      </c>
      <c r="S998" t="s">
        <v>59</v>
      </c>
      <c r="T998" t="s">
        <v>59</v>
      </c>
      <c r="U998" t="s">
        <v>60</v>
      </c>
      <c r="V998" t="s">
        <v>59</v>
      </c>
      <c r="W998" t="s">
        <v>59</v>
      </c>
      <c r="X998" t="s">
        <v>59</v>
      </c>
      <c r="Y998" t="s">
        <v>59</v>
      </c>
      <c r="Z998" t="s">
        <v>59</v>
      </c>
      <c r="AA998" t="s">
        <v>60</v>
      </c>
      <c r="AB998" t="s">
        <v>60</v>
      </c>
      <c r="AC998" t="s">
        <v>61</v>
      </c>
      <c r="AD998" t="s">
        <v>59</v>
      </c>
      <c r="AE998" t="s">
        <v>59</v>
      </c>
      <c r="AF998" t="s">
        <v>61</v>
      </c>
      <c r="AG998" t="s">
        <v>59</v>
      </c>
      <c r="AH998" t="s">
        <v>61</v>
      </c>
      <c r="AI998" t="s">
        <v>61</v>
      </c>
      <c r="AJ998" t="s">
        <v>59</v>
      </c>
      <c r="AK998" t="s">
        <v>59</v>
      </c>
      <c r="AL998" t="s">
        <v>60</v>
      </c>
      <c r="AM998" t="s">
        <v>59</v>
      </c>
      <c r="AN998" t="s">
        <v>59</v>
      </c>
      <c r="AO998" t="s">
        <v>59</v>
      </c>
      <c r="AP998" t="s">
        <v>406</v>
      </c>
      <c r="AQ998" s="1" t="s">
        <v>2435</v>
      </c>
      <c r="AR998" t="s">
        <v>64</v>
      </c>
      <c r="AS998" t="s">
        <v>1121</v>
      </c>
      <c r="AT998" t="s">
        <v>2436</v>
      </c>
      <c r="AU998" t="s">
        <v>219</v>
      </c>
      <c r="AW998" s="4">
        <f t="shared" si="528"/>
        <v>6</v>
      </c>
      <c r="AX998" s="4">
        <f t="shared" si="529"/>
        <v>4</v>
      </c>
      <c r="AY998" s="4">
        <f t="shared" si="530"/>
        <v>4</v>
      </c>
      <c r="AZ998" s="4">
        <f t="shared" si="531"/>
        <v>2</v>
      </c>
      <c r="BA998" s="4">
        <f t="shared" si="532"/>
        <v>4</v>
      </c>
      <c r="BB998" s="4">
        <f t="shared" si="533"/>
        <v>4</v>
      </c>
      <c r="BC998" s="4">
        <f t="shared" si="534"/>
        <v>4</v>
      </c>
      <c r="BD998" s="4">
        <f t="shared" si="535"/>
        <v>2</v>
      </c>
      <c r="BE998" s="4" t="str">
        <f t="shared" si="536"/>
        <v>0</v>
      </c>
      <c r="BF998" s="4">
        <f t="shared" si="537"/>
        <v>2</v>
      </c>
      <c r="BG998" s="4">
        <f t="shared" si="538"/>
        <v>4</v>
      </c>
      <c r="BH998" s="4">
        <f t="shared" si="539"/>
        <v>4</v>
      </c>
      <c r="BI998" s="4">
        <f t="shared" si="540"/>
        <v>4</v>
      </c>
      <c r="BJ998" s="4">
        <f t="shared" si="541"/>
        <v>2</v>
      </c>
      <c r="BK998" s="4" t="str">
        <f t="shared" si="542"/>
        <v>0</v>
      </c>
      <c r="BL998" s="4" t="str">
        <f t="shared" si="543"/>
        <v>0</v>
      </c>
      <c r="BM998" s="4">
        <f t="shared" si="544"/>
        <v>4</v>
      </c>
      <c r="BN998" s="4">
        <f t="shared" si="545"/>
        <v>4</v>
      </c>
      <c r="BO998" s="4">
        <f t="shared" si="546"/>
        <v>4</v>
      </c>
      <c r="BP998" s="4">
        <f t="shared" si="547"/>
        <v>4</v>
      </c>
      <c r="BQ998" s="4">
        <f t="shared" si="548"/>
        <v>6</v>
      </c>
      <c r="BR998" s="4">
        <f t="shared" si="549"/>
        <v>4</v>
      </c>
      <c r="BS998" s="4">
        <f t="shared" si="550"/>
        <v>4</v>
      </c>
      <c r="BT998" s="4">
        <f t="shared" si="551"/>
        <v>4</v>
      </c>
      <c r="BU998" s="4">
        <f t="shared" si="552"/>
        <v>4</v>
      </c>
      <c r="BV998" s="4" t="str">
        <f t="shared" si="553"/>
        <v>0</v>
      </c>
      <c r="BW998" s="4">
        <f t="shared" si="554"/>
        <v>6</v>
      </c>
      <c r="BX998" s="4">
        <f t="shared" si="555"/>
        <v>0</v>
      </c>
      <c r="BY998" s="4">
        <f t="shared" si="556"/>
        <v>0</v>
      </c>
      <c r="BZ998" s="37">
        <f t="shared" si="557"/>
        <v>90</v>
      </c>
      <c r="CA998" s="32" t="str">
        <f>VLOOKUP(J:J,'Agent wise'!A:C,3,0)</f>
        <v xml:space="preserve">Shiny </v>
      </c>
      <c r="CB998" s="32">
        <f t="shared" si="558"/>
        <v>45947</v>
      </c>
      <c r="CC998" t="str">
        <f t="shared" si="559"/>
        <v>Good</v>
      </c>
      <c r="CE998" s="32"/>
      <c r="CJ998">
        <f t="shared" si="560"/>
        <v>17</v>
      </c>
      <c r="CK998">
        <f t="shared" si="561"/>
        <v>10</v>
      </c>
      <c r="CL998">
        <f t="shared" si="562"/>
        <v>2025</v>
      </c>
    </row>
    <row r="999" spans="1:90" ht="15" customHeight="1" x14ac:dyDescent="0.35">
      <c r="A999" t="s">
        <v>2437</v>
      </c>
      <c r="B999" t="s">
        <v>130</v>
      </c>
      <c r="C999" t="s">
        <v>214</v>
      </c>
      <c r="D999" t="s">
        <v>131</v>
      </c>
      <c r="E999" s="32">
        <v>45947</v>
      </c>
      <c r="F999" t="s">
        <v>54</v>
      </c>
      <c r="G999" t="s">
        <v>2369</v>
      </c>
      <c r="H999">
        <v>8903494892</v>
      </c>
      <c r="I999">
        <v>139</v>
      </c>
      <c r="J999" t="s">
        <v>108</v>
      </c>
      <c r="K999" t="s">
        <v>71</v>
      </c>
      <c r="L999" t="s">
        <v>72</v>
      </c>
      <c r="M999" t="s">
        <v>59</v>
      </c>
      <c r="N999" t="s">
        <v>59</v>
      </c>
      <c r="O999" t="s">
        <v>59</v>
      </c>
      <c r="P999" t="s">
        <v>59</v>
      </c>
      <c r="Q999" t="s">
        <v>59</v>
      </c>
      <c r="R999" t="s">
        <v>59</v>
      </c>
      <c r="S999" t="s">
        <v>59</v>
      </c>
      <c r="T999" t="s">
        <v>59</v>
      </c>
      <c r="U999" t="s">
        <v>60</v>
      </c>
      <c r="V999" t="s">
        <v>59</v>
      </c>
      <c r="W999" t="s">
        <v>59</v>
      </c>
      <c r="X999" t="s">
        <v>59</v>
      </c>
      <c r="Y999" t="s">
        <v>59</v>
      </c>
      <c r="Z999" t="s">
        <v>59</v>
      </c>
      <c r="AA999" t="s">
        <v>60</v>
      </c>
      <c r="AB999" t="s">
        <v>61</v>
      </c>
      <c r="AC999" t="s">
        <v>61</v>
      </c>
      <c r="AD999" t="s">
        <v>59</v>
      </c>
      <c r="AE999" t="s">
        <v>59</v>
      </c>
      <c r="AF999" t="s">
        <v>61</v>
      </c>
      <c r="AG999" t="s">
        <v>59</v>
      </c>
      <c r="AH999" t="s">
        <v>61</v>
      </c>
      <c r="AI999" t="s">
        <v>61</v>
      </c>
      <c r="AJ999" t="s">
        <v>59</v>
      </c>
      <c r="AK999" t="s">
        <v>59</v>
      </c>
      <c r="AL999" t="s">
        <v>60</v>
      </c>
      <c r="AM999" t="s">
        <v>59</v>
      </c>
      <c r="AN999" t="s">
        <v>59</v>
      </c>
      <c r="AO999" t="s">
        <v>59</v>
      </c>
      <c r="AP999" t="s">
        <v>2438</v>
      </c>
      <c r="AQ999" s="1" t="s">
        <v>2439</v>
      </c>
      <c r="AR999" t="s">
        <v>64</v>
      </c>
      <c r="AS999" t="s">
        <v>482</v>
      </c>
      <c r="AT999" t="s">
        <v>483</v>
      </c>
      <c r="AU999" t="s">
        <v>219</v>
      </c>
      <c r="AW999" s="4">
        <f t="shared" si="528"/>
        <v>6</v>
      </c>
      <c r="AX999" s="4">
        <f t="shared" si="529"/>
        <v>4</v>
      </c>
      <c r="AY999" s="4">
        <f t="shared" si="530"/>
        <v>4</v>
      </c>
      <c r="AZ999" s="4">
        <f t="shared" si="531"/>
        <v>2</v>
      </c>
      <c r="BA999" s="4">
        <f t="shared" si="532"/>
        <v>4</v>
      </c>
      <c r="BB999" s="4">
        <f t="shared" si="533"/>
        <v>4</v>
      </c>
      <c r="BC999" s="4">
        <f t="shared" si="534"/>
        <v>4</v>
      </c>
      <c r="BD999" s="4">
        <f t="shared" si="535"/>
        <v>2</v>
      </c>
      <c r="BE999" s="4" t="str">
        <f t="shared" si="536"/>
        <v>0</v>
      </c>
      <c r="BF999" s="4">
        <f t="shared" si="537"/>
        <v>2</v>
      </c>
      <c r="BG999" s="4">
        <f t="shared" si="538"/>
        <v>4</v>
      </c>
      <c r="BH999" s="4">
        <f t="shared" si="539"/>
        <v>4</v>
      </c>
      <c r="BI999" s="4">
        <f t="shared" si="540"/>
        <v>4</v>
      </c>
      <c r="BJ999" s="4">
        <f t="shared" si="541"/>
        <v>2</v>
      </c>
      <c r="BK999" s="4" t="str">
        <f t="shared" si="542"/>
        <v>0</v>
      </c>
      <c r="BL999" s="4">
        <f t="shared" si="543"/>
        <v>2</v>
      </c>
      <c r="BM999" s="4">
        <f t="shared" si="544"/>
        <v>4</v>
      </c>
      <c r="BN999" s="4">
        <f t="shared" si="545"/>
        <v>4</v>
      </c>
      <c r="BO999" s="4">
        <f t="shared" si="546"/>
        <v>4</v>
      </c>
      <c r="BP999" s="4">
        <f t="shared" si="547"/>
        <v>4</v>
      </c>
      <c r="BQ999" s="4">
        <f t="shared" si="548"/>
        <v>6</v>
      </c>
      <c r="BR999" s="4">
        <f t="shared" si="549"/>
        <v>4</v>
      </c>
      <c r="BS999" s="4">
        <f t="shared" si="550"/>
        <v>4</v>
      </c>
      <c r="BT999" s="4">
        <f t="shared" si="551"/>
        <v>4</v>
      </c>
      <c r="BU999" s="4">
        <f t="shared" si="552"/>
        <v>4</v>
      </c>
      <c r="BV999" s="4" t="str">
        <f t="shared" si="553"/>
        <v>0</v>
      </c>
      <c r="BW999" s="4">
        <f t="shared" si="554"/>
        <v>6</v>
      </c>
      <c r="BX999" s="4">
        <f t="shared" si="555"/>
        <v>0</v>
      </c>
      <c r="BY999" s="4">
        <f t="shared" si="556"/>
        <v>0</v>
      </c>
      <c r="BZ999" s="37">
        <f t="shared" si="557"/>
        <v>92</v>
      </c>
      <c r="CA999" s="32" t="str">
        <f>VLOOKUP(J:J,'Agent wise'!A:C,3,0)</f>
        <v xml:space="preserve">Shiny </v>
      </c>
      <c r="CB999" s="32">
        <f t="shared" si="558"/>
        <v>45947</v>
      </c>
      <c r="CC999" t="str">
        <f t="shared" si="559"/>
        <v>Good</v>
      </c>
      <c r="CE999" s="32"/>
      <c r="CJ999">
        <f t="shared" si="560"/>
        <v>17</v>
      </c>
      <c r="CK999">
        <f t="shared" si="561"/>
        <v>10</v>
      </c>
      <c r="CL999">
        <f t="shared" si="562"/>
        <v>2025</v>
      </c>
    </row>
    <row r="1000" spans="1:90" ht="15" customHeight="1" x14ac:dyDescent="0.35">
      <c r="A1000" t="s">
        <v>2440</v>
      </c>
      <c r="B1000" t="s">
        <v>106</v>
      </c>
      <c r="C1000" t="s">
        <v>214</v>
      </c>
      <c r="D1000" t="s">
        <v>107</v>
      </c>
      <c r="E1000" s="32">
        <v>45947</v>
      </c>
      <c r="F1000" t="s">
        <v>54</v>
      </c>
      <c r="G1000" t="s">
        <v>2369</v>
      </c>
      <c r="H1000">
        <v>9486411517</v>
      </c>
      <c r="I1000">
        <v>133</v>
      </c>
      <c r="J1000" t="s">
        <v>749</v>
      </c>
      <c r="K1000" t="s">
        <v>71</v>
      </c>
      <c r="L1000" t="s">
        <v>72</v>
      </c>
      <c r="M1000" t="s">
        <v>59</v>
      </c>
      <c r="N1000" t="s">
        <v>59</v>
      </c>
      <c r="O1000" t="s">
        <v>59</v>
      </c>
      <c r="P1000" t="s">
        <v>59</v>
      </c>
      <c r="Q1000" t="s">
        <v>59</v>
      </c>
      <c r="R1000" t="s">
        <v>59</v>
      </c>
      <c r="S1000" t="s">
        <v>59</v>
      </c>
      <c r="T1000" t="s">
        <v>59</v>
      </c>
      <c r="U1000" t="s">
        <v>60</v>
      </c>
      <c r="V1000" t="s">
        <v>59</v>
      </c>
      <c r="W1000" t="s">
        <v>59</v>
      </c>
      <c r="X1000" t="s">
        <v>61</v>
      </c>
      <c r="Y1000" t="s">
        <v>59</v>
      </c>
      <c r="Z1000" t="s">
        <v>60</v>
      </c>
      <c r="AA1000" t="s">
        <v>59</v>
      </c>
      <c r="AB1000" t="s">
        <v>59</v>
      </c>
      <c r="AC1000" t="s">
        <v>60</v>
      </c>
      <c r="AD1000" t="s">
        <v>61</v>
      </c>
      <c r="AE1000" t="s">
        <v>59</v>
      </c>
      <c r="AF1000" t="s">
        <v>61</v>
      </c>
      <c r="AG1000" t="s">
        <v>59</v>
      </c>
      <c r="AH1000" t="s">
        <v>61</v>
      </c>
      <c r="AI1000" t="s">
        <v>61</v>
      </c>
      <c r="AJ1000" t="s">
        <v>59</v>
      </c>
      <c r="AK1000" t="s">
        <v>59</v>
      </c>
      <c r="AL1000" t="s">
        <v>60</v>
      </c>
      <c r="AM1000" t="s">
        <v>59</v>
      </c>
      <c r="AN1000" t="s">
        <v>59</v>
      </c>
      <c r="AO1000" t="s">
        <v>59</v>
      </c>
      <c r="AP1000" t="s">
        <v>2441</v>
      </c>
      <c r="AQ1000" t="s">
        <v>416</v>
      </c>
      <c r="AR1000" t="s">
        <v>64</v>
      </c>
      <c r="AS1000" t="s">
        <v>417</v>
      </c>
      <c r="AT1000" t="s">
        <v>293</v>
      </c>
      <c r="AU1000" t="s">
        <v>387</v>
      </c>
      <c r="AW1000" s="4">
        <f t="shared" si="528"/>
        <v>6</v>
      </c>
      <c r="AX1000" s="4">
        <f t="shared" si="529"/>
        <v>4</v>
      </c>
      <c r="AY1000" s="4">
        <f t="shared" si="530"/>
        <v>4</v>
      </c>
      <c r="AZ1000" s="4">
        <f t="shared" si="531"/>
        <v>2</v>
      </c>
      <c r="BA1000" s="4">
        <f t="shared" si="532"/>
        <v>4</v>
      </c>
      <c r="BB1000" s="4">
        <f t="shared" si="533"/>
        <v>4</v>
      </c>
      <c r="BC1000" s="4">
        <f t="shared" si="534"/>
        <v>4</v>
      </c>
      <c r="BD1000" s="4">
        <f t="shared" si="535"/>
        <v>2</v>
      </c>
      <c r="BE1000" s="4" t="str">
        <f t="shared" si="536"/>
        <v>0</v>
      </c>
      <c r="BF1000" s="4">
        <f t="shared" si="537"/>
        <v>2</v>
      </c>
      <c r="BG1000" s="4">
        <f t="shared" si="538"/>
        <v>4</v>
      </c>
      <c r="BH1000" s="4">
        <f t="shared" si="539"/>
        <v>4</v>
      </c>
      <c r="BI1000" s="4">
        <f t="shared" si="540"/>
        <v>4</v>
      </c>
      <c r="BJ1000" s="4" t="str">
        <f t="shared" si="541"/>
        <v>0</v>
      </c>
      <c r="BK1000" s="4">
        <f t="shared" si="542"/>
        <v>4</v>
      </c>
      <c r="BL1000" s="4">
        <f t="shared" si="543"/>
        <v>2</v>
      </c>
      <c r="BM1000" s="4" t="str">
        <f t="shared" si="544"/>
        <v>0</v>
      </c>
      <c r="BN1000" s="4">
        <f t="shared" si="545"/>
        <v>4</v>
      </c>
      <c r="BO1000" s="4">
        <f t="shared" si="546"/>
        <v>4</v>
      </c>
      <c r="BP1000" s="4">
        <f t="shared" si="547"/>
        <v>4</v>
      </c>
      <c r="BQ1000" s="4">
        <f t="shared" si="548"/>
        <v>6</v>
      </c>
      <c r="BR1000" s="4">
        <f t="shared" si="549"/>
        <v>4</v>
      </c>
      <c r="BS1000" s="4">
        <f t="shared" si="550"/>
        <v>4</v>
      </c>
      <c r="BT1000" s="4">
        <f t="shared" si="551"/>
        <v>4</v>
      </c>
      <c r="BU1000" s="4">
        <f t="shared" si="552"/>
        <v>4</v>
      </c>
      <c r="BV1000" s="4" t="str">
        <f t="shared" si="553"/>
        <v>0</v>
      </c>
      <c r="BW1000" s="4">
        <f t="shared" si="554"/>
        <v>6</v>
      </c>
      <c r="BX1000" s="4">
        <f t="shared" si="555"/>
        <v>0</v>
      </c>
      <c r="BY1000" s="4">
        <f t="shared" si="556"/>
        <v>0</v>
      </c>
      <c r="BZ1000" s="37">
        <f t="shared" si="557"/>
        <v>90</v>
      </c>
      <c r="CA1000" s="32" t="str">
        <f>VLOOKUP(J:J,'Agent wise'!A:C,3,0)</f>
        <v xml:space="preserve">Shiny </v>
      </c>
      <c r="CB1000" s="32">
        <f t="shared" si="558"/>
        <v>45947</v>
      </c>
      <c r="CC1000" t="str">
        <f t="shared" si="559"/>
        <v>Good</v>
      </c>
      <c r="CE1000" s="32"/>
      <c r="CJ1000">
        <f t="shared" si="560"/>
        <v>17</v>
      </c>
      <c r="CK1000">
        <f t="shared" si="561"/>
        <v>10</v>
      </c>
      <c r="CL1000">
        <f t="shared" si="562"/>
        <v>2025</v>
      </c>
    </row>
    <row r="1001" spans="1:90" ht="15" customHeight="1" x14ac:dyDescent="0.35">
      <c r="A1001" t="s">
        <v>2442</v>
      </c>
      <c r="B1001" t="s">
        <v>106</v>
      </c>
      <c r="C1001" t="s">
        <v>214</v>
      </c>
      <c r="D1001" t="s">
        <v>107</v>
      </c>
      <c r="E1001" s="32">
        <v>45947</v>
      </c>
      <c r="F1001" t="s">
        <v>54</v>
      </c>
      <c r="G1001" t="s">
        <v>2369</v>
      </c>
      <c r="H1001">
        <v>9965643060</v>
      </c>
      <c r="I1001">
        <v>204</v>
      </c>
      <c r="J1001" t="s">
        <v>749</v>
      </c>
      <c r="K1001" t="s">
        <v>71</v>
      </c>
      <c r="L1001" t="s">
        <v>72</v>
      </c>
      <c r="M1001" t="s">
        <v>59</v>
      </c>
      <c r="N1001" t="s">
        <v>59</v>
      </c>
      <c r="O1001" t="s">
        <v>59</v>
      </c>
      <c r="P1001" t="s">
        <v>59</v>
      </c>
      <c r="Q1001" t="s">
        <v>59</v>
      </c>
      <c r="R1001" t="s">
        <v>59</v>
      </c>
      <c r="S1001" t="s">
        <v>59</v>
      </c>
      <c r="T1001" t="s">
        <v>59</v>
      </c>
      <c r="U1001" t="s">
        <v>60</v>
      </c>
      <c r="V1001" t="s">
        <v>59</v>
      </c>
      <c r="W1001" t="s">
        <v>59</v>
      </c>
      <c r="X1001" t="s">
        <v>61</v>
      </c>
      <c r="Y1001" t="s">
        <v>59</v>
      </c>
      <c r="Z1001" t="s">
        <v>60</v>
      </c>
      <c r="AA1001" t="s">
        <v>59</v>
      </c>
      <c r="AB1001" t="s">
        <v>59</v>
      </c>
      <c r="AC1001" t="s">
        <v>60</v>
      </c>
      <c r="AD1001" t="s">
        <v>61</v>
      </c>
      <c r="AE1001" t="s">
        <v>59</v>
      </c>
      <c r="AF1001" t="s">
        <v>61</v>
      </c>
      <c r="AG1001" t="s">
        <v>59</v>
      </c>
      <c r="AH1001" t="s">
        <v>61</v>
      </c>
      <c r="AI1001" t="s">
        <v>59</v>
      </c>
      <c r="AJ1001" t="s">
        <v>59</v>
      </c>
      <c r="AK1001" t="s">
        <v>59</v>
      </c>
      <c r="AL1001" t="s">
        <v>60</v>
      </c>
      <c r="AM1001" t="s">
        <v>59</v>
      </c>
      <c r="AN1001" t="s">
        <v>59</v>
      </c>
      <c r="AO1001" t="s">
        <v>59</v>
      </c>
      <c r="AP1001" t="s">
        <v>2443</v>
      </c>
      <c r="AQ1001" t="s">
        <v>426</v>
      </c>
      <c r="AR1001" t="s">
        <v>64</v>
      </c>
      <c r="AS1001" t="s">
        <v>122</v>
      </c>
      <c r="AT1001" t="s">
        <v>123</v>
      </c>
      <c r="AU1001" t="s">
        <v>593</v>
      </c>
      <c r="AW1001" s="4">
        <f t="shared" si="528"/>
        <v>6</v>
      </c>
      <c r="AX1001" s="4">
        <f t="shared" si="529"/>
        <v>4</v>
      </c>
      <c r="AY1001" s="4">
        <f t="shared" si="530"/>
        <v>4</v>
      </c>
      <c r="AZ1001" s="4">
        <f t="shared" si="531"/>
        <v>2</v>
      </c>
      <c r="BA1001" s="4">
        <f t="shared" si="532"/>
        <v>4</v>
      </c>
      <c r="BB1001" s="4">
        <f t="shared" si="533"/>
        <v>4</v>
      </c>
      <c r="BC1001" s="4">
        <f t="shared" si="534"/>
        <v>4</v>
      </c>
      <c r="BD1001" s="4">
        <f t="shared" si="535"/>
        <v>2</v>
      </c>
      <c r="BE1001" s="4" t="str">
        <f t="shared" si="536"/>
        <v>0</v>
      </c>
      <c r="BF1001" s="4">
        <f t="shared" si="537"/>
        <v>2</v>
      </c>
      <c r="BG1001" s="4">
        <f t="shared" si="538"/>
        <v>4</v>
      </c>
      <c r="BH1001" s="4">
        <f t="shared" si="539"/>
        <v>4</v>
      </c>
      <c r="BI1001" s="4">
        <f t="shared" si="540"/>
        <v>4</v>
      </c>
      <c r="BJ1001" s="4" t="str">
        <f t="shared" si="541"/>
        <v>0</v>
      </c>
      <c r="BK1001" s="4">
        <f t="shared" si="542"/>
        <v>4</v>
      </c>
      <c r="BL1001" s="4">
        <f t="shared" si="543"/>
        <v>2</v>
      </c>
      <c r="BM1001" s="4" t="str">
        <f t="shared" si="544"/>
        <v>0</v>
      </c>
      <c r="BN1001" s="4">
        <f t="shared" si="545"/>
        <v>4</v>
      </c>
      <c r="BO1001" s="4">
        <f t="shared" si="546"/>
        <v>4</v>
      </c>
      <c r="BP1001" s="4">
        <f t="shared" si="547"/>
        <v>4</v>
      </c>
      <c r="BQ1001" s="4">
        <f t="shared" si="548"/>
        <v>6</v>
      </c>
      <c r="BR1001" s="4">
        <f t="shared" si="549"/>
        <v>4</v>
      </c>
      <c r="BS1001" s="4">
        <f t="shared" si="550"/>
        <v>4</v>
      </c>
      <c r="BT1001" s="4">
        <f t="shared" si="551"/>
        <v>4</v>
      </c>
      <c r="BU1001" s="4">
        <f t="shared" si="552"/>
        <v>4</v>
      </c>
      <c r="BV1001" s="4" t="str">
        <f t="shared" si="553"/>
        <v>0</v>
      </c>
      <c r="BW1001" s="4">
        <f t="shared" si="554"/>
        <v>6</v>
      </c>
      <c r="BX1001" s="4">
        <f t="shared" si="555"/>
        <v>0</v>
      </c>
      <c r="BY1001" s="4">
        <f t="shared" si="556"/>
        <v>0</v>
      </c>
      <c r="BZ1001" s="37">
        <f t="shared" si="557"/>
        <v>90</v>
      </c>
      <c r="CA1001" s="32" t="str">
        <f>VLOOKUP(J:J,'Agent wise'!A:C,3,0)</f>
        <v xml:space="preserve">Shiny </v>
      </c>
      <c r="CB1001" s="32">
        <f t="shared" si="558"/>
        <v>45947</v>
      </c>
      <c r="CC1001" t="str">
        <f t="shared" si="559"/>
        <v>Good</v>
      </c>
      <c r="CE1001" s="32"/>
      <c r="CJ1001">
        <f t="shared" si="560"/>
        <v>17</v>
      </c>
      <c r="CK1001">
        <f t="shared" si="561"/>
        <v>10</v>
      </c>
      <c r="CL1001">
        <f t="shared" si="562"/>
        <v>2025</v>
      </c>
    </row>
    <row r="1002" spans="1:90" ht="15" customHeight="1" x14ac:dyDescent="0.35">
      <c r="A1002" t="s">
        <v>2444</v>
      </c>
      <c r="B1002" t="s">
        <v>106</v>
      </c>
      <c r="C1002" t="s">
        <v>214</v>
      </c>
      <c r="D1002" t="s">
        <v>107</v>
      </c>
      <c r="E1002" s="32">
        <v>45947</v>
      </c>
      <c r="F1002" t="s">
        <v>54</v>
      </c>
      <c r="G1002" t="s">
        <v>2369</v>
      </c>
      <c r="H1002">
        <v>7845666503</v>
      </c>
      <c r="I1002">
        <v>128</v>
      </c>
      <c r="J1002" t="s">
        <v>662</v>
      </c>
      <c r="K1002" t="s">
        <v>71</v>
      </c>
      <c r="L1002" t="s">
        <v>72</v>
      </c>
      <c r="M1002" t="s">
        <v>59</v>
      </c>
      <c r="N1002" t="s">
        <v>59</v>
      </c>
      <c r="O1002" t="s">
        <v>59</v>
      </c>
      <c r="P1002" t="s">
        <v>59</v>
      </c>
      <c r="Q1002" t="s">
        <v>59</v>
      </c>
      <c r="R1002" t="s">
        <v>59</v>
      </c>
      <c r="S1002" t="s">
        <v>59</v>
      </c>
      <c r="T1002" t="s">
        <v>59</v>
      </c>
      <c r="U1002" t="s">
        <v>60</v>
      </c>
      <c r="V1002" t="s">
        <v>59</v>
      </c>
      <c r="W1002" t="s">
        <v>59</v>
      </c>
      <c r="X1002" t="s">
        <v>59</v>
      </c>
      <c r="Y1002" t="s">
        <v>59</v>
      </c>
      <c r="Z1002" t="s">
        <v>59</v>
      </c>
      <c r="AA1002" t="s">
        <v>60</v>
      </c>
      <c r="AB1002" t="s">
        <v>60</v>
      </c>
      <c r="AC1002" t="s">
        <v>60</v>
      </c>
      <c r="AD1002" t="s">
        <v>61</v>
      </c>
      <c r="AE1002" t="s">
        <v>59</v>
      </c>
      <c r="AF1002" t="s">
        <v>61</v>
      </c>
      <c r="AG1002" t="s">
        <v>59</v>
      </c>
      <c r="AH1002" t="s">
        <v>61</v>
      </c>
      <c r="AI1002" t="s">
        <v>61</v>
      </c>
      <c r="AJ1002" t="s">
        <v>59</v>
      </c>
      <c r="AK1002" t="s">
        <v>59</v>
      </c>
      <c r="AL1002" t="s">
        <v>60</v>
      </c>
      <c r="AM1002" t="s">
        <v>59</v>
      </c>
      <c r="AN1002" t="s">
        <v>59</v>
      </c>
      <c r="AO1002" t="s">
        <v>59</v>
      </c>
      <c r="AP1002" t="s">
        <v>2445</v>
      </c>
      <c r="AQ1002" t="s">
        <v>2446</v>
      </c>
      <c r="AR1002" t="s">
        <v>64</v>
      </c>
      <c r="AS1002" t="s">
        <v>397</v>
      </c>
      <c r="AT1002" t="s">
        <v>649</v>
      </c>
      <c r="AU1002" t="s">
        <v>219</v>
      </c>
      <c r="AW1002" s="4">
        <f t="shared" si="528"/>
        <v>6</v>
      </c>
      <c r="AX1002" s="4">
        <f t="shared" si="529"/>
        <v>4</v>
      </c>
      <c r="AY1002" s="4">
        <f t="shared" si="530"/>
        <v>4</v>
      </c>
      <c r="AZ1002" s="4">
        <f t="shared" si="531"/>
        <v>2</v>
      </c>
      <c r="BA1002" s="4">
        <f t="shared" si="532"/>
        <v>4</v>
      </c>
      <c r="BB1002" s="4">
        <f t="shared" si="533"/>
        <v>4</v>
      </c>
      <c r="BC1002" s="4">
        <f t="shared" si="534"/>
        <v>4</v>
      </c>
      <c r="BD1002" s="4">
        <f t="shared" si="535"/>
        <v>2</v>
      </c>
      <c r="BE1002" s="4" t="str">
        <f t="shared" si="536"/>
        <v>0</v>
      </c>
      <c r="BF1002" s="4">
        <f t="shared" si="537"/>
        <v>2</v>
      </c>
      <c r="BG1002" s="4">
        <f t="shared" si="538"/>
        <v>4</v>
      </c>
      <c r="BH1002" s="4">
        <f t="shared" si="539"/>
        <v>4</v>
      </c>
      <c r="BI1002" s="4">
        <f t="shared" si="540"/>
        <v>4</v>
      </c>
      <c r="BJ1002" s="4">
        <f t="shared" si="541"/>
        <v>2</v>
      </c>
      <c r="BK1002" s="4" t="str">
        <f t="shared" si="542"/>
        <v>0</v>
      </c>
      <c r="BL1002" s="4" t="str">
        <f t="shared" si="543"/>
        <v>0</v>
      </c>
      <c r="BM1002" s="4" t="str">
        <f t="shared" si="544"/>
        <v>0</v>
      </c>
      <c r="BN1002" s="4">
        <f t="shared" si="545"/>
        <v>4</v>
      </c>
      <c r="BO1002" s="4">
        <f t="shared" si="546"/>
        <v>4</v>
      </c>
      <c r="BP1002" s="4">
        <f t="shared" si="547"/>
        <v>4</v>
      </c>
      <c r="BQ1002" s="4">
        <f t="shared" si="548"/>
        <v>6</v>
      </c>
      <c r="BR1002" s="4">
        <f t="shared" si="549"/>
        <v>4</v>
      </c>
      <c r="BS1002" s="4">
        <f t="shared" si="550"/>
        <v>4</v>
      </c>
      <c r="BT1002" s="4">
        <f t="shared" si="551"/>
        <v>4</v>
      </c>
      <c r="BU1002" s="4">
        <f t="shared" si="552"/>
        <v>4</v>
      </c>
      <c r="BV1002" s="4" t="str">
        <f t="shared" si="553"/>
        <v>0</v>
      </c>
      <c r="BW1002" s="4">
        <f t="shared" si="554"/>
        <v>6</v>
      </c>
      <c r="BX1002" s="4">
        <f t="shared" si="555"/>
        <v>0</v>
      </c>
      <c r="BY1002" s="4">
        <f t="shared" si="556"/>
        <v>0</v>
      </c>
      <c r="BZ1002" s="37">
        <f t="shared" si="557"/>
        <v>86</v>
      </c>
      <c r="CA1002" s="32" t="str">
        <f>VLOOKUP(J:J,'Agent wise'!A:C,3,0)</f>
        <v xml:space="preserve">Shiny </v>
      </c>
      <c r="CB1002" s="32">
        <f t="shared" si="558"/>
        <v>45947</v>
      </c>
      <c r="CC1002" t="str">
        <f t="shared" si="559"/>
        <v>Average</v>
      </c>
      <c r="CE1002" s="32"/>
      <c r="CJ1002">
        <f t="shared" si="560"/>
        <v>17</v>
      </c>
      <c r="CK1002">
        <f t="shared" si="561"/>
        <v>10</v>
      </c>
      <c r="CL1002">
        <f t="shared" si="562"/>
        <v>2025</v>
      </c>
    </row>
    <row r="1003" spans="1:90" ht="15" customHeight="1" x14ac:dyDescent="0.35">
      <c r="A1003" t="s">
        <v>2447</v>
      </c>
      <c r="B1003" t="s">
        <v>106</v>
      </c>
      <c r="C1003" t="s">
        <v>214</v>
      </c>
      <c r="D1003" t="s">
        <v>107</v>
      </c>
      <c r="E1003" s="32">
        <v>45947</v>
      </c>
      <c r="F1003" t="s">
        <v>54</v>
      </c>
      <c r="G1003" t="s">
        <v>2369</v>
      </c>
      <c r="H1003">
        <v>9443790370</v>
      </c>
      <c r="I1003">
        <v>147</v>
      </c>
      <c r="J1003" t="s">
        <v>662</v>
      </c>
      <c r="K1003" t="s">
        <v>71</v>
      </c>
      <c r="L1003" t="s">
        <v>72</v>
      </c>
      <c r="M1003" t="s">
        <v>59</v>
      </c>
      <c r="N1003" t="s">
        <v>59</v>
      </c>
      <c r="O1003" t="s">
        <v>59</v>
      </c>
      <c r="P1003" t="s">
        <v>59</v>
      </c>
      <c r="Q1003" t="s">
        <v>59</v>
      </c>
      <c r="R1003" t="s">
        <v>59</v>
      </c>
      <c r="S1003" t="s">
        <v>59</v>
      </c>
      <c r="T1003" t="s">
        <v>59</v>
      </c>
      <c r="U1003" t="s">
        <v>60</v>
      </c>
      <c r="V1003" t="s">
        <v>59</v>
      </c>
      <c r="W1003" t="s">
        <v>59</v>
      </c>
      <c r="X1003" t="s">
        <v>61</v>
      </c>
      <c r="Y1003" t="s">
        <v>59</v>
      </c>
      <c r="Z1003" t="s">
        <v>59</v>
      </c>
      <c r="AA1003" t="s">
        <v>59</v>
      </c>
      <c r="AB1003" t="s">
        <v>60</v>
      </c>
      <c r="AC1003" t="s">
        <v>60</v>
      </c>
      <c r="AD1003" t="s">
        <v>61</v>
      </c>
      <c r="AE1003" t="s">
        <v>59</v>
      </c>
      <c r="AF1003" t="s">
        <v>61</v>
      </c>
      <c r="AG1003" t="s">
        <v>59</v>
      </c>
      <c r="AH1003" t="s">
        <v>61</v>
      </c>
      <c r="AI1003" t="s">
        <v>61</v>
      </c>
      <c r="AJ1003" t="s">
        <v>59</v>
      </c>
      <c r="AK1003" t="s">
        <v>59</v>
      </c>
      <c r="AL1003" t="s">
        <v>59</v>
      </c>
      <c r="AM1003" t="s">
        <v>59</v>
      </c>
      <c r="AN1003" t="s">
        <v>59</v>
      </c>
      <c r="AO1003" t="s">
        <v>59</v>
      </c>
      <c r="AP1003" t="s">
        <v>2448</v>
      </c>
      <c r="AQ1003" t="s">
        <v>2449</v>
      </c>
      <c r="AR1003" t="s">
        <v>64</v>
      </c>
      <c r="AS1003" t="s">
        <v>385</v>
      </c>
      <c r="AT1003" t="s">
        <v>777</v>
      </c>
      <c r="AU1003" t="s">
        <v>219</v>
      </c>
      <c r="AW1003" s="4">
        <f t="shared" si="528"/>
        <v>6</v>
      </c>
      <c r="AX1003" s="4">
        <f t="shared" si="529"/>
        <v>4</v>
      </c>
      <c r="AY1003" s="4">
        <f t="shared" si="530"/>
        <v>4</v>
      </c>
      <c r="AZ1003" s="4">
        <f t="shared" si="531"/>
        <v>2</v>
      </c>
      <c r="BA1003" s="4">
        <f t="shared" si="532"/>
        <v>4</v>
      </c>
      <c r="BB1003" s="4">
        <f t="shared" si="533"/>
        <v>4</v>
      </c>
      <c r="BC1003" s="4">
        <f t="shared" si="534"/>
        <v>4</v>
      </c>
      <c r="BD1003" s="4">
        <f t="shared" si="535"/>
        <v>2</v>
      </c>
      <c r="BE1003" s="4" t="str">
        <f t="shared" si="536"/>
        <v>0</v>
      </c>
      <c r="BF1003" s="4">
        <f t="shared" si="537"/>
        <v>2</v>
      </c>
      <c r="BG1003" s="4">
        <f t="shared" si="538"/>
        <v>4</v>
      </c>
      <c r="BH1003" s="4">
        <f t="shared" si="539"/>
        <v>4</v>
      </c>
      <c r="BI1003" s="4">
        <f t="shared" si="540"/>
        <v>4</v>
      </c>
      <c r="BJ1003" s="4">
        <f t="shared" si="541"/>
        <v>2</v>
      </c>
      <c r="BK1003" s="4">
        <f t="shared" si="542"/>
        <v>4</v>
      </c>
      <c r="BL1003" s="4" t="str">
        <f t="shared" si="543"/>
        <v>0</v>
      </c>
      <c r="BM1003" s="4" t="str">
        <f t="shared" si="544"/>
        <v>0</v>
      </c>
      <c r="BN1003" s="4">
        <f t="shared" si="545"/>
        <v>4</v>
      </c>
      <c r="BO1003" s="4">
        <f t="shared" si="546"/>
        <v>4</v>
      </c>
      <c r="BP1003" s="4">
        <f t="shared" si="547"/>
        <v>4</v>
      </c>
      <c r="BQ1003" s="4">
        <f t="shared" si="548"/>
        <v>6</v>
      </c>
      <c r="BR1003" s="4">
        <f t="shared" si="549"/>
        <v>4</v>
      </c>
      <c r="BS1003" s="4">
        <f t="shared" si="550"/>
        <v>4</v>
      </c>
      <c r="BT1003" s="4">
        <f t="shared" si="551"/>
        <v>4</v>
      </c>
      <c r="BU1003" s="4">
        <f t="shared" si="552"/>
        <v>4</v>
      </c>
      <c r="BV1003" s="4">
        <f t="shared" si="553"/>
        <v>0</v>
      </c>
      <c r="BW1003" s="4">
        <f t="shared" si="554"/>
        <v>6</v>
      </c>
      <c r="BX1003" s="4">
        <f t="shared" si="555"/>
        <v>0</v>
      </c>
      <c r="BY1003" s="4">
        <f t="shared" si="556"/>
        <v>0</v>
      </c>
      <c r="BZ1003" s="37">
        <f t="shared" si="557"/>
        <v>90</v>
      </c>
      <c r="CA1003" s="32" t="str">
        <f>VLOOKUP(J:J,'Agent wise'!A:C,3,0)</f>
        <v xml:space="preserve">Shiny </v>
      </c>
      <c r="CB1003" s="32">
        <f t="shared" si="558"/>
        <v>45947</v>
      </c>
      <c r="CC1003" t="str">
        <f t="shared" si="559"/>
        <v>Good</v>
      </c>
      <c r="CE1003" s="32"/>
      <c r="CJ1003">
        <f t="shared" si="560"/>
        <v>17</v>
      </c>
      <c r="CK1003">
        <f t="shared" si="561"/>
        <v>10</v>
      </c>
      <c r="CL1003">
        <f t="shared" si="562"/>
        <v>2025</v>
      </c>
    </row>
    <row r="1004" spans="1:90" ht="15" customHeight="1" x14ac:dyDescent="0.35">
      <c r="A1004" t="s">
        <v>2450</v>
      </c>
      <c r="B1004" t="s">
        <v>106</v>
      </c>
      <c r="C1004" t="s">
        <v>214</v>
      </c>
      <c r="D1004" t="s">
        <v>107</v>
      </c>
      <c r="E1004" s="32">
        <v>45947</v>
      </c>
      <c r="F1004" t="s">
        <v>54</v>
      </c>
      <c r="G1004" t="s">
        <v>2369</v>
      </c>
      <c r="H1004">
        <v>9842641845</v>
      </c>
      <c r="I1004">
        <v>154</v>
      </c>
      <c r="J1004" t="s">
        <v>451</v>
      </c>
      <c r="K1004" t="s">
        <v>71</v>
      </c>
      <c r="L1004" t="s">
        <v>72</v>
      </c>
      <c r="M1004" t="s">
        <v>59</v>
      </c>
      <c r="N1004" t="s">
        <v>59</v>
      </c>
      <c r="O1004" t="s">
        <v>59</v>
      </c>
      <c r="P1004" t="s">
        <v>59</v>
      </c>
      <c r="Q1004" t="s">
        <v>59</v>
      </c>
      <c r="R1004" t="s">
        <v>59</v>
      </c>
      <c r="S1004" t="s">
        <v>59</v>
      </c>
      <c r="T1004" t="s">
        <v>59</v>
      </c>
      <c r="U1004" t="s">
        <v>60</v>
      </c>
      <c r="V1004" t="s">
        <v>59</v>
      </c>
      <c r="W1004" t="s">
        <v>59</v>
      </c>
      <c r="X1004" t="s">
        <v>61</v>
      </c>
      <c r="Y1004" t="s">
        <v>59</v>
      </c>
      <c r="Z1004" t="s">
        <v>60</v>
      </c>
      <c r="AA1004" t="s">
        <v>60</v>
      </c>
      <c r="AB1004" t="s">
        <v>60</v>
      </c>
      <c r="AC1004" t="s">
        <v>61</v>
      </c>
      <c r="AD1004" t="s">
        <v>61</v>
      </c>
      <c r="AE1004" t="s">
        <v>59</v>
      </c>
      <c r="AF1004" t="s">
        <v>61</v>
      </c>
      <c r="AG1004" t="s">
        <v>59</v>
      </c>
      <c r="AH1004" t="s">
        <v>61</v>
      </c>
      <c r="AI1004" t="s">
        <v>59</v>
      </c>
      <c r="AJ1004" t="s">
        <v>59</v>
      </c>
      <c r="AK1004" t="s">
        <v>59</v>
      </c>
      <c r="AL1004" t="s">
        <v>60</v>
      </c>
      <c r="AM1004" t="s">
        <v>59</v>
      </c>
      <c r="AN1004" t="s">
        <v>59</v>
      </c>
      <c r="AO1004" t="s">
        <v>59</v>
      </c>
      <c r="AP1004" t="s">
        <v>2451</v>
      </c>
      <c r="AQ1004" t="s">
        <v>2452</v>
      </c>
      <c r="AR1004" t="s">
        <v>64</v>
      </c>
      <c r="AS1004" t="s">
        <v>122</v>
      </c>
      <c r="AT1004" t="s">
        <v>123</v>
      </c>
      <c r="AU1004" t="s">
        <v>387</v>
      </c>
      <c r="AW1004" s="4">
        <f t="shared" si="528"/>
        <v>6</v>
      </c>
      <c r="AX1004" s="4">
        <f t="shared" si="529"/>
        <v>4</v>
      </c>
      <c r="AY1004" s="4">
        <f t="shared" si="530"/>
        <v>4</v>
      </c>
      <c r="AZ1004" s="4">
        <f t="shared" si="531"/>
        <v>2</v>
      </c>
      <c r="BA1004" s="4">
        <f t="shared" si="532"/>
        <v>4</v>
      </c>
      <c r="BB1004" s="4">
        <f t="shared" si="533"/>
        <v>4</v>
      </c>
      <c r="BC1004" s="4">
        <f t="shared" si="534"/>
        <v>4</v>
      </c>
      <c r="BD1004" s="4">
        <f t="shared" si="535"/>
        <v>2</v>
      </c>
      <c r="BE1004" s="4" t="str">
        <f t="shared" si="536"/>
        <v>0</v>
      </c>
      <c r="BF1004" s="4">
        <f t="shared" si="537"/>
        <v>2</v>
      </c>
      <c r="BG1004" s="4">
        <f t="shared" si="538"/>
        <v>4</v>
      </c>
      <c r="BH1004" s="4">
        <f t="shared" si="539"/>
        <v>4</v>
      </c>
      <c r="BI1004" s="4">
        <f t="shared" si="540"/>
        <v>4</v>
      </c>
      <c r="BJ1004" s="4" t="str">
        <f t="shared" si="541"/>
        <v>0</v>
      </c>
      <c r="BK1004" s="4" t="str">
        <f t="shared" si="542"/>
        <v>0</v>
      </c>
      <c r="BL1004" s="4" t="str">
        <f t="shared" si="543"/>
        <v>0</v>
      </c>
      <c r="BM1004" s="4">
        <f t="shared" si="544"/>
        <v>4</v>
      </c>
      <c r="BN1004" s="4">
        <f t="shared" si="545"/>
        <v>4</v>
      </c>
      <c r="BO1004" s="4">
        <f t="shared" si="546"/>
        <v>4</v>
      </c>
      <c r="BP1004" s="4">
        <f t="shared" si="547"/>
        <v>4</v>
      </c>
      <c r="BQ1004" s="4">
        <f t="shared" si="548"/>
        <v>6</v>
      </c>
      <c r="BR1004" s="4">
        <f t="shared" si="549"/>
        <v>4</v>
      </c>
      <c r="BS1004" s="4">
        <f t="shared" si="550"/>
        <v>4</v>
      </c>
      <c r="BT1004" s="4">
        <f t="shared" si="551"/>
        <v>4</v>
      </c>
      <c r="BU1004" s="4">
        <f t="shared" si="552"/>
        <v>4</v>
      </c>
      <c r="BV1004" s="4" t="str">
        <f t="shared" si="553"/>
        <v>0</v>
      </c>
      <c r="BW1004" s="4">
        <f t="shared" si="554"/>
        <v>6</v>
      </c>
      <c r="BX1004" s="4">
        <f t="shared" si="555"/>
        <v>0</v>
      </c>
      <c r="BY1004" s="4">
        <f t="shared" si="556"/>
        <v>0</v>
      </c>
      <c r="BZ1004" s="37">
        <f t="shared" si="557"/>
        <v>88</v>
      </c>
      <c r="CA1004" s="32" t="str">
        <f>VLOOKUP(J:J,'Agent wise'!A:C,3,0)</f>
        <v xml:space="preserve">Shiny </v>
      </c>
      <c r="CB1004" s="32">
        <f t="shared" si="558"/>
        <v>45947</v>
      </c>
      <c r="CC1004" t="str">
        <f t="shared" si="559"/>
        <v>Average</v>
      </c>
      <c r="CE1004" s="32"/>
      <c r="CJ1004">
        <f t="shared" si="560"/>
        <v>17</v>
      </c>
      <c r="CK1004">
        <f t="shared" si="561"/>
        <v>10</v>
      </c>
      <c r="CL1004">
        <f t="shared" si="562"/>
        <v>2025</v>
      </c>
    </row>
    <row r="1005" spans="1:90" ht="15" customHeight="1" x14ac:dyDescent="0.35">
      <c r="A1005" t="s">
        <v>2453</v>
      </c>
      <c r="B1005" t="s">
        <v>250</v>
      </c>
      <c r="C1005" t="s">
        <v>214</v>
      </c>
      <c r="D1005" t="s">
        <v>251</v>
      </c>
      <c r="E1005" s="32">
        <v>45947</v>
      </c>
      <c r="F1005" t="s">
        <v>222</v>
      </c>
      <c r="G1005" t="s">
        <v>2152</v>
      </c>
      <c r="H1005">
        <v>7025611325</v>
      </c>
      <c r="I1005">
        <v>172</v>
      </c>
      <c r="J1005" t="s">
        <v>570</v>
      </c>
      <c r="K1005" t="s">
        <v>57</v>
      </c>
      <c r="L1005" t="s">
        <v>58</v>
      </c>
      <c r="M1005" t="s">
        <v>60</v>
      </c>
      <c r="N1005" t="s">
        <v>59</v>
      </c>
      <c r="O1005" t="s">
        <v>59</v>
      </c>
      <c r="P1005" t="s">
        <v>59</v>
      </c>
      <c r="Q1005" t="s">
        <v>59</v>
      </c>
      <c r="R1005" t="s">
        <v>59</v>
      </c>
      <c r="S1005" t="s">
        <v>59</v>
      </c>
      <c r="T1005" t="s">
        <v>59</v>
      </c>
      <c r="U1005" t="s">
        <v>60</v>
      </c>
      <c r="V1005" t="s">
        <v>59</v>
      </c>
      <c r="W1005" t="s">
        <v>59</v>
      </c>
      <c r="X1005" t="s">
        <v>59</v>
      </c>
      <c r="Y1005" t="s">
        <v>59</v>
      </c>
      <c r="Z1005" t="s">
        <v>59</v>
      </c>
      <c r="AA1005" t="s">
        <v>59</v>
      </c>
      <c r="AB1005" t="s">
        <v>59</v>
      </c>
      <c r="AC1005" t="s">
        <v>59</v>
      </c>
      <c r="AD1005" t="s">
        <v>59</v>
      </c>
      <c r="AE1005" t="s">
        <v>59</v>
      </c>
      <c r="AF1005" t="s">
        <v>59</v>
      </c>
      <c r="AG1005" t="s">
        <v>59</v>
      </c>
      <c r="AH1005" t="s">
        <v>61</v>
      </c>
      <c r="AI1005" t="s">
        <v>61</v>
      </c>
      <c r="AJ1005" t="s">
        <v>59</v>
      </c>
      <c r="AK1005" t="s">
        <v>59</v>
      </c>
      <c r="AL1005" t="s">
        <v>60</v>
      </c>
      <c r="AM1005" t="s">
        <v>59</v>
      </c>
      <c r="AN1005" t="s">
        <v>59</v>
      </c>
      <c r="AO1005" t="s">
        <v>59</v>
      </c>
      <c r="AP1005" t="s">
        <v>2454</v>
      </c>
      <c r="AQ1005" t="s">
        <v>2455</v>
      </c>
      <c r="AR1005" t="s">
        <v>226</v>
      </c>
      <c r="AS1005" t="s">
        <v>2340</v>
      </c>
      <c r="AT1005" t="s">
        <v>394</v>
      </c>
      <c r="AU1005" t="s">
        <v>219</v>
      </c>
      <c r="AW1005" s="4" t="str">
        <f t="shared" si="528"/>
        <v>0</v>
      </c>
      <c r="AX1005" s="4">
        <f t="shared" si="529"/>
        <v>4</v>
      </c>
      <c r="AY1005" s="4">
        <f t="shared" si="530"/>
        <v>4</v>
      </c>
      <c r="AZ1005" s="4">
        <f t="shared" si="531"/>
        <v>2</v>
      </c>
      <c r="BA1005" s="4">
        <f t="shared" si="532"/>
        <v>4</v>
      </c>
      <c r="BB1005" s="4">
        <f t="shared" si="533"/>
        <v>4</v>
      </c>
      <c r="BC1005" s="4">
        <f t="shared" si="534"/>
        <v>4</v>
      </c>
      <c r="BD1005" s="4">
        <f t="shared" si="535"/>
        <v>2</v>
      </c>
      <c r="BE1005" s="4" t="str">
        <f t="shared" si="536"/>
        <v>0</v>
      </c>
      <c r="BF1005" s="4">
        <f t="shared" si="537"/>
        <v>2</v>
      </c>
      <c r="BG1005" s="4">
        <f t="shared" si="538"/>
        <v>4</v>
      </c>
      <c r="BH1005" s="4">
        <f t="shared" si="539"/>
        <v>4</v>
      </c>
      <c r="BI1005" s="4">
        <f t="shared" si="540"/>
        <v>4</v>
      </c>
      <c r="BJ1005" s="4">
        <f t="shared" si="541"/>
        <v>2</v>
      </c>
      <c r="BK1005" s="4">
        <f t="shared" si="542"/>
        <v>4</v>
      </c>
      <c r="BL1005" s="4">
        <f t="shared" si="543"/>
        <v>2</v>
      </c>
      <c r="BM1005" s="4">
        <f t="shared" si="544"/>
        <v>4</v>
      </c>
      <c r="BN1005" s="4">
        <f t="shared" si="545"/>
        <v>4</v>
      </c>
      <c r="BO1005" s="4">
        <f t="shared" si="546"/>
        <v>4</v>
      </c>
      <c r="BP1005" s="4">
        <f t="shared" si="547"/>
        <v>4</v>
      </c>
      <c r="BQ1005" s="4">
        <f t="shared" si="548"/>
        <v>6</v>
      </c>
      <c r="BR1005" s="4">
        <f t="shared" si="549"/>
        <v>4</v>
      </c>
      <c r="BS1005" s="4">
        <f t="shared" si="550"/>
        <v>4</v>
      </c>
      <c r="BT1005" s="4">
        <f t="shared" si="551"/>
        <v>4</v>
      </c>
      <c r="BU1005" s="4">
        <f t="shared" si="552"/>
        <v>4</v>
      </c>
      <c r="BV1005" s="4" t="str">
        <f t="shared" si="553"/>
        <v>0</v>
      </c>
      <c r="BW1005" s="4">
        <f t="shared" si="554"/>
        <v>6</v>
      </c>
      <c r="BX1005" s="4">
        <f t="shared" si="555"/>
        <v>0</v>
      </c>
      <c r="BY1005" s="4">
        <f t="shared" si="556"/>
        <v>0</v>
      </c>
      <c r="BZ1005" s="37">
        <f t="shared" si="557"/>
        <v>90</v>
      </c>
      <c r="CA1005" s="32" t="str">
        <f>VLOOKUP(J:J,'Agent wise'!A:C,3,0)</f>
        <v>Amal</v>
      </c>
      <c r="CB1005" s="32">
        <f t="shared" si="558"/>
        <v>45947</v>
      </c>
      <c r="CC1005" t="str">
        <f t="shared" si="559"/>
        <v>Good</v>
      </c>
      <c r="CE1005" s="32"/>
      <c r="CJ1005">
        <f t="shared" si="560"/>
        <v>17</v>
      </c>
      <c r="CK1005">
        <f t="shared" si="561"/>
        <v>10</v>
      </c>
      <c r="CL1005">
        <f t="shared" si="562"/>
        <v>2025</v>
      </c>
    </row>
    <row r="1006" spans="1:90" ht="15" customHeight="1" x14ac:dyDescent="0.35">
      <c r="A1006" t="s">
        <v>2456</v>
      </c>
      <c r="B1006" t="s">
        <v>250</v>
      </c>
      <c r="C1006" t="s">
        <v>214</v>
      </c>
      <c r="D1006" t="s">
        <v>251</v>
      </c>
      <c r="E1006" s="32">
        <v>45947</v>
      </c>
      <c r="F1006" t="s">
        <v>222</v>
      </c>
      <c r="G1006" t="s">
        <v>2152</v>
      </c>
      <c r="H1006">
        <v>9444006104</v>
      </c>
      <c r="I1006">
        <v>145</v>
      </c>
      <c r="J1006" t="s">
        <v>208</v>
      </c>
      <c r="K1006" t="s">
        <v>71</v>
      </c>
      <c r="L1006" t="s">
        <v>72</v>
      </c>
      <c r="M1006" t="s">
        <v>59</v>
      </c>
      <c r="N1006" t="s">
        <v>59</v>
      </c>
      <c r="O1006" t="s">
        <v>59</v>
      </c>
      <c r="P1006" t="s">
        <v>59</v>
      </c>
      <c r="Q1006" t="s">
        <v>59</v>
      </c>
      <c r="R1006" t="s">
        <v>59</v>
      </c>
      <c r="S1006" t="s">
        <v>59</v>
      </c>
      <c r="T1006" t="s">
        <v>59</v>
      </c>
      <c r="U1006" t="s">
        <v>60</v>
      </c>
      <c r="V1006" t="s">
        <v>59</v>
      </c>
      <c r="W1006" t="s">
        <v>59</v>
      </c>
      <c r="X1006" t="s">
        <v>59</v>
      </c>
      <c r="Y1006" t="s">
        <v>59</v>
      </c>
      <c r="Z1006" t="s">
        <v>60</v>
      </c>
      <c r="AA1006" t="s">
        <v>59</v>
      </c>
      <c r="AB1006" t="s">
        <v>60</v>
      </c>
      <c r="AC1006" t="s">
        <v>59</v>
      </c>
      <c r="AD1006" t="s">
        <v>59</v>
      </c>
      <c r="AE1006" t="s">
        <v>59</v>
      </c>
      <c r="AF1006" t="s">
        <v>59</v>
      </c>
      <c r="AG1006" t="s">
        <v>59</v>
      </c>
      <c r="AH1006" t="s">
        <v>61</v>
      </c>
      <c r="AI1006" t="s">
        <v>61</v>
      </c>
      <c r="AJ1006" t="s">
        <v>59</v>
      </c>
      <c r="AK1006" t="s">
        <v>59</v>
      </c>
      <c r="AL1006" t="s">
        <v>60</v>
      </c>
      <c r="AM1006" t="s">
        <v>59</v>
      </c>
      <c r="AN1006" t="s">
        <v>59</v>
      </c>
      <c r="AO1006" t="s">
        <v>59</v>
      </c>
      <c r="AP1006" s="1" t="s">
        <v>2457</v>
      </c>
      <c r="AQ1006" t="s">
        <v>2458</v>
      </c>
      <c r="AR1006" t="s">
        <v>226</v>
      </c>
      <c r="AS1006" t="s">
        <v>1336</v>
      </c>
      <c r="AT1006" t="s">
        <v>394</v>
      </c>
      <c r="AU1006" t="s">
        <v>387</v>
      </c>
      <c r="AW1006" s="4">
        <f t="shared" si="528"/>
        <v>6</v>
      </c>
      <c r="AX1006" s="4">
        <f t="shared" si="529"/>
        <v>4</v>
      </c>
      <c r="AY1006" s="4">
        <f t="shared" si="530"/>
        <v>4</v>
      </c>
      <c r="AZ1006" s="4">
        <f t="shared" si="531"/>
        <v>2</v>
      </c>
      <c r="BA1006" s="4">
        <f t="shared" si="532"/>
        <v>4</v>
      </c>
      <c r="BB1006" s="4">
        <f t="shared" si="533"/>
        <v>4</v>
      </c>
      <c r="BC1006" s="4">
        <f t="shared" si="534"/>
        <v>4</v>
      </c>
      <c r="BD1006" s="4">
        <f t="shared" si="535"/>
        <v>2</v>
      </c>
      <c r="BE1006" s="4" t="str">
        <f t="shared" si="536"/>
        <v>0</v>
      </c>
      <c r="BF1006" s="4">
        <f t="shared" si="537"/>
        <v>2</v>
      </c>
      <c r="BG1006" s="4">
        <f t="shared" si="538"/>
        <v>4</v>
      </c>
      <c r="BH1006" s="4">
        <f t="shared" si="539"/>
        <v>4</v>
      </c>
      <c r="BI1006" s="4">
        <f t="shared" si="540"/>
        <v>4</v>
      </c>
      <c r="BJ1006" s="4" t="str">
        <f t="shared" si="541"/>
        <v>0</v>
      </c>
      <c r="BK1006" s="4">
        <f t="shared" si="542"/>
        <v>4</v>
      </c>
      <c r="BL1006" s="4" t="str">
        <f t="shared" si="543"/>
        <v>0</v>
      </c>
      <c r="BM1006" s="4">
        <f t="shared" si="544"/>
        <v>4</v>
      </c>
      <c r="BN1006" s="4">
        <f t="shared" si="545"/>
        <v>4</v>
      </c>
      <c r="BO1006" s="4">
        <f t="shared" si="546"/>
        <v>4</v>
      </c>
      <c r="BP1006" s="4">
        <f t="shared" si="547"/>
        <v>4</v>
      </c>
      <c r="BQ1006" s="4">
        <f t="shared" si="548"/>
        <v>6</v>
      </c>
      <c r="BR1006" s="4">
        <f t="shared" si="549"/>
        <v>4</v>
      </c>
      <c r="BS1006" s="4">
        <f t="shared" si="550"/>
        <v>4</v>
      </c>
      <c r="BT1006" s="4">
        <f t="shared" si="551"/>
        <v>4</v>
      </c>
      <c r="BU1006" s="4">
        <f t="shared" si="552"/>
        <v>4</v>
      </c>
      <c r="BV1006" s="4" t="str">
        <f t="shared" si="553"/>
        <v>0</v>
      </c>
      <c r="BW1006" s="4">
        <f t="shared" si="554"/>
        <v>6</v>
      </c>
      <c r="BX1006" s="4">
        <f t="shared" si="555"/>
        <v>0</v>
      </c>
      <c r="BY1006" s="4">
        <f t="shared" si="556"/>
        <v>0</v>
      </c>
      <c r="BZ1006" s="37">
        <f t="shared" si="557"/>
        <v>92</v>
      </c>
      <c r="CA1006" s="32" t="str">
        <f>VLOOKUP(J:J,'Agent wise'!A:C,3,0)</f>
        <v>Adharsh</v>
      </c>
      <c r="CB1006" s="32">
        <f t="shared" si="558"/>
        <v>45947</v>
      </c>
      <c r="CC1006" t="str">
        <f t="shared" si="559"/>
        <v>Good</v>
      </c>
      <c r="CE1006" s="32"/>
      <c r="CJ1006">
        <f t="shared" si="560"/>
        <v>17</v>
      </c>
      <c r="CK1006">
        <f t="shared" si="561"/>
        <v>10</v>
      </c>
      <c r="CL1006">
        <f t="shared" si="562"/>
        <v>2025</v>
      </c>
    </row>
    <row r="1007" spans="1:90" ht="15" customHeight="1" x14ac:dyDescent="0.35">
      <c r="A1007" t="s">
        <v>2459</v>
      </c>
      <c r="B1007" t="s">
        <v>250</v>
      </c>
      <c r="C1007" t="s">
        <v>214</v>
      </c>
      <c r="D1007" t="s">
        <v>251</v>
      </c>
      <c r="E1007" s="32">
        <v>45947</v>
      </c>
      <c r="F1007" t="s">
        <v>222</v>
      </c>
      <c r="G1007" t="s">
        <v>2152</v>
      </c>
      <c r="H1007">
        <v>7339343378</v>
      </c>
      <c r="I1007">
        <v>150</v>
      </c>
      <c r="J1007" t="s">
        <v>575</v>
      </c>
      <c r="K1007" t="s">
        <v>71</v>
      </c>
      <c r="L1007" t="s">
        <v>72</v>
      </c>
      <c r="M1007" t="s">
        <v>59</v>
      </c>
      <c r="N1007" t="s">
        <v>59</v>
      </c>
      <c r="O1007" t="s">
        <v>59</v>
      </c>
      <c r="P1007" t="s">
        <v>59</v>
      </c>
      <c r="Q1007" t="s">
        <v>59</v>
      </c>
      <c r="R1007" t="s">
        <v>59</v>
      </c>
      <c r="S1007" t="s">
        <v>59</v>
      </c>
      <c r="T1007" t="s">
        <v>59</v>
      </c>
      <c r="U1007" t="s">
        <v>60</v>
      </c>
      <c r="V1007" t="s">
        <v>59</v>
      </c>
      <c r="W1007" t="s">
        <v>59</v>
      </c>
      <c r="X1007" t="s">
        <v>59</v>
      </c>
      <c r="Y1007" t="s">
        <v>59</v>
      </c>
      <c r="Z1007" t="s">
        <v>59</v>
      </c>
      <c r="AA1007" t="s">
        <v>60</v>
      </c>
      <c r="AB1007" t="s">
        <v>59</v>
      </c>
      <c r="AC1007" t="s">
        <v>59</v>
      </c>
      <c r="AD1007" t="s">
        <v>59</v>
      </c>
      <c r="AE1007" t="s">
        <v>59</v>
      </c>
      <c r="AF1007" t="s">
        <v>59</v>
      </c>
      <c r="AG1007" t="s">
        <v>59</v>
      </c>
      <c r="AH1007" t="s">
        <v>61</v>
      </c>
      <c r="AI1007" t="s">
        <v>61</v>
      </c>
      <c r="AJ1007" t="s">
        <v>59</v>
      </c>
      <c r="AK1007" t="s">
        <v>59</v>
      </c>
      <c r="AL1007" t="s">
        <v>60</v>
      </c>
      <c r="AM1007" t="s">
        <v>59</v>
      </c>
      <c r="AN1007" t="s">
        <v>59</v>
      </c>
      <c r="AO1007" t="s">
        <v>59</v>
      </c>
      <c r="AP1007" t="s">
        <v>2460</v>
      </c>
      <c r="AQ1007" t="s">
        <v>2461</v>
      </c>
      <c r="AR1007" t="s">
        <v>226</v>
      </c>
      <c r="AS1007" t="s">
        <v>249</v>
      </c>
      <c r="AT1007" t="s">
        <v>394</v>
      </c>
      <c r="AU1007" t="s">
        <v>219</v>
      </c>
      <c r="AW1007" s="4">
        <f t="shared" si="528"/>
        <v>6</v>
      </c>
      <c r="AX1007" s="4">
        <f t="shared" si="529"/>
        <v>4</v>
      </c>
      <c r="AY1007" s="4">
        <f t="shared" si="530"/>
        <v>4</v>
      </c>
      <c r="AZ1007" s="4">
        <f t="shared" si="531"/>
        <v>2</v>
      </c>
      <c r="BA1007" s="4">
        <f t="shared" si="532"/>
        <v>4</v>
      </c>
      <c r="BB1007" s="4">
        <f t="shared" si="533"/>
        <v>4</v>
      </c>
      <c r="BC1007" s="4">
        <f t="shared" si="534"/>
        <v>4</v>
      </c>
      <c r="BD1007" s="4">
        <f t="shared" si="535"/>
        <v>2</v>
      </c>
      <c r="BE1007" s="4" t="str">
        <f t="shared" si="536"/>
        <v>0</v>
      </c>
      <c r="BF1007" s="4">
        <f t="shared" si="537"/>
        <v>2</v>
      </c>
      <c r="BG1007" s="4">
        <f t="shared" si="538"/>
        <v>4</v>
      </c>
      <c r="BH1007" s="4">
        <f t="shared" si="539"/>
        <v>4</v>
      </c>
      <c r="BI1007" s="4">
        <f t="shared" si="540"/>
        <v>4</v>
      </c>
      <c r="BJ1007" s="4">
        <f t="shared" si="541"/>
        <v>2</v>
      </c>
      <c r="BK1007" s="4" t="str">
        <f t="shared" si="542"/>
        <v>0</v>
      </c>
      <c r="BL1007" s="4">
        <f t="shared" si="543"/>
        <v>2</v>
      </c>
      <c r="BM1007" s="4">
        <f t="shared" si="544"/>
        <v>4</v>
      </c>
      <c r="BN1007" s="4">
        <f t="shared" si="545"/>
        <v>4</v>
      </c>
      <c r="BO1007" s="4">
        <f t="shared" si="546"/>
        <v>4</v>
      </c>
      <c r="BP1007" s="4">
        <f t="shared" si="547"/>
        <v>4</v>
      </c>
      <c r="BQ1007" s="4">
        <f t="shared" si="548"/>
        <v>6</v>
      </c>
      <c r="BR1007" s="4">
        <f t="shared" si="549"/>
        <v>4</v>
      </c>
      <c r="BS1007" s="4">
        <f t="shared" si="550"/>
        <v>4</v>
      </c>
      <c r="BT1007" s="4">
        <f t="shared" si="551"/>
        <v>4</v>
      </c>
      <c r="BU1007" s="4">
        <f t="shared" si="552"/>
        <v>4</v>
      </c>
      <c r="BV1007" s="4" t="str">
        <f t="shared" si="553"/>
        <v>0</v>
      </c>
      <c r="BW1007" s="4">
        <f t="shared" si="554"/>
        <v>6</v>
      </c>
      <c r="BX1007" s="4">
        <f t="shared" si="555"/>
        <v>0</v>
      </c>
      <c r="BY1007" s="4">
        <f t="shared" si="556"/>
        <v>0</v>
      </c>
      <c r="BZ1007" s="37">
        <f t="shared" si="557"/>
        <v>92</v>
      </c>
      <c r="CA1007" s="32" t="str">
        <f>VLOOKUP(J:J,'Agent wise'!A:C,3,0)</f>
        <v>Shakeer</v>
      </c>
      <c r="CB1007" s="32">
        <f t="shared" si="558"/>
        <v>45947</v>
      </c>
      <c r="CC1007" t="str">
        <f t="shared" si="559"/>
        <v>Good</v>
      </c>
      <c r="CE1007" s="32"/>
      <c r="CJ1007">
        <f t="shared" si="560"/>
        <v>17</v>
      </c>
      <c r="CK1007">
        <f t="shared" si="561"/>
        <v>10</v>
      </c>
      <c r="CL1007">
        <f t="shared" si="562"/>
        <v>2025</v>
      </c>
    </row>
    <row r="1008" spans="1:90" ht="15" customHeight="1" x14ac:dyDescent="0.35">
      <c r="A1008" t="s">
        <v>2462</v>
      </c>
      <c r="B1008" t="s">
        <v>250</v>
      </c>
      <c r="C1008" t="s">
        <v>214</v>
      </c>
      <c r="D1008" t="s">
        <v>251</v>
      </c>
      <c r="E1008" s="32">
        <v>45947</v>
      </c>
      <c r="F1008" t="s">
        <v>222</v>
      </c>
      <c r="G1008" t="s">
        <v>2152</v>
      </c>
      <c r="H1008">
        <v>9496213773</v>
      </c>
      <c r="I1008">
        <v>157</v>
      </c>
      <c r="J1008" t="s">
        <v>242</v>
      </c>
      <c r="K1008" t="s">
        <v>57</v>
      </c>
      <c r="L1008" t="s">
        <v>58</v>
      </c>
      <c r="M1008" t="s">
        <v>59</v>
      </c>
      <c r="N1008" t="s">
        <v>59</v>
      </c>
      <c r="O1008" t="s">
        <v>59</v>
      </c>
      <c r="P1008" t="s">
        <v>59</v>
      </c>
      <c r="Q1008" t="s">
        <v>59</v>
      </c>
      <c r="R1008" t="s">
        <v>59</v>
      </c>
      <c r="S1008" t="s">
        <v>59</v>
      </c>
      <c r="T1008" t="s">
        <v>59</v>
      </c>
      <c r="U1008" t="s">
        <v>60</v>
      </c>
      <c r="V1008" t="s">
        <v>59</v>
      </c>
      <c r="W1008" t="s">
        <v>59</v>
      </c>
      <c r="X1008" t="s">
        <v>59</v>
      </c>
      <c r="Y1008" t="s">
        <v>59</v>
      </c>
      <c r="Z1008" t="s">
        <v>59</v>
      </c>
      <c r="AA1008" t="s">
        <v>60</v>
      </c>
      <c r="AB1008" t="s">
        <v>59</v>
      </c>
      <c r="AC1008" t="s">
        <v>59</v>
      </c>
      <c r="AD1008" t="s">
        <v>59</v>
      </c>
      <c r="AE1008" t="s">
        <v>59</v>
      </c>
      <c r="AF1008" t="s">
        <v>59</v>
      </c>
      <c r="AG1008" t="s">
        <v>59</v>
      </c>
      <c r="AH1008" t="s">
        <v>61</v>
      </c>
      <c r="AI1008" t="s">
        <v>61</v>
      </c>
      <c r="AJ1008" t="s">
        <v>59</v>
      </c>
      <c r="AK1008" t="s">
        <v>59</v>
      </c>
      <c r="AL1008" t="s">
        <v>60</v>
      </c>
      <c r="AM1008" t="s">
        <v>59</v>
      </c>
      <c r="AN1008" t="s">
        <v>59</v>
      </c>
      <c r="AO1008" t="s">
        <v>59</v>
      </c>
      <c r="AP1008" t="s">
        <v>936</v>
      </c>
      <c r="AQ1008" t="s">
        <v>2463</v>
      </c>
      <c r="AR1008" t="s">
        <v>226</v>
      </c>
      <c r="AS1008" t="s">
        <v>720</v>
      </c>
      <c r="AT1008" t="s">
        <v>331</v>
      </c>
      <c r="AU1008" t="s">
        <v>219</v>
      </c>
      <c r="AW1008" s="4">
        <f t="shared" si="528"/>
        <v>6</v>
      </c>
      <c r="AX1008" s="4">
        <f t="shared" si="529"/>
        <v>4</v>
      </c>
      <c r="AY1008" s="4">
        <f t="shared" si="530"/>
        <v>4</v>
      </c>
      <c r="AZ1008" s="4">
        <f t="shared" si="531"/>
        <v>2</v>
      </c>
      <c r="BA1008" s="4">
        <f t="shared" si="532"/>
        <v>4</v>
      </c>
      <c r="BB1008" s="4">
        <f t="shared" si="533"/>
        <v>4</v>
      </c>
      <c r="BC1008" s="4">
        <f t="shared" si="534"/>
        <v>4</v>
      </c>
      <c r="BD1008" s="4">
        <f t="shared" si="535"/>
        <v>2</v>
      </c>
      <c r="BE1008" s="4" t="str">
        <f t="shared" si="536"/>
        <v>0</v>
      </c>
      <c r="BF1008" s="4">
        <f t="shared" si="537"/>
        <v>2</v>
      </c>
      <c r="BG1008" s="4">
        <f t="shared" si="538"/>
        <v>4</v>
      </c>
      <c r="BH1008" s="4">
        <f t="shared" si="539"/>
        <v>4</v>
      </c>
      <c r="BI1008" s="4">
        <f t="shared" si="540"/>
        <v>4</v>
      </c>
      <c r="BJ1008" s="4">
        <f t="shared" si="541"/>
        <v>2</v>
      </c>
      <c r="BK1008" s="4" t="str">
        <f t="shared" si="542"/>
        <v>0</v>
      </c>
      <c r="BL1008" s="4">
        <f t="shared" si="543"/>
        <v>2</v>
      </c>
      <c r="BM1008" s="4">
        <f t="shared" si="544"/>
        <v>4</v>
      </c>
      <c r="BN1008" s="4">
        <f t="shared" si="545"/>
        <v>4</v>
      </c>
      <c r="BO1008" s="4">
        <f t="shared" si="546"/>
        <v>4</v>
      </c>
      <c r="BP1008" s="4">
        <f t="shared" si="547"/>
        <v>4</v>
      </c>
      <c r="BQ1008" s="4">
        <f t="shared" si="548"/>
        <v>6</v>
      </c>
      <c r="BR1008" s="4">
        <f t="shared" si="549"/>
        <v>4</v>
      </c>
      <c r="BS1008" s="4">
        <f t="shared" si="550"/>
        <v>4</v>
      </c>
      <c r="BT1008" s="4">
        <f t="shared" si="551"/>
        <v>4</v>
      </c>
      <c r="BU1008" s="4">
        <f t="shared" si="552"/>
        <v>4</v>
      </c>
      <c r="BV1008" s="4" t="str">
        <f t="shared" si="553"/>
        <v>0</v>
      </c>
      <c r="BW1008" s="4">
        <f t="shared" si="554"/>
        <v>6</v>
      </c>
      <c r="BX1008" s="4">
        <f t="shared" si="555"/>
        <v>0</v>
      </c>
      <c r="BY1008" s="4">
        <f t="shared" si="556"/>
        <v>0</v>
      </c>
      <c r="BZ1008" s="37">
        <f t="shared" si="557"/>
        <v>92</v>
      </c>
      <c r="CA1008" s="32" t="str">
        <f>VLOOKUP(J:J,'Agent wise'!A:C,3,0)</f>
        <v>Amal</v>
      </c>
      <c r="CB1008" s="32">
        <f t="shared" si="558"/>
        <v>45947</v>
      </c>
      <c r="CC1008" t="str">
        <f t="shared" si="559"/>
        <v>Good</v>
      </c>
      <c r="CE1008" s="32"/>
      <c r="CJ1008">
        <f t="shared" si="560"/>
        <v>17</v>
      </c>
      <c r="CK1008">
        <f t="shared" si="561"/>
        <v>10</v>
      </c>
      <c r="CL1008">
        <f t="shared" si="562"/>
        <v>2025</v>
      </c>
    </row>
    <row r="1009" spans="1:90" ht="15" customHeight="1" x14ac:dyDescent="0.35">
      <c r="A1009" t="s">
        <v>2464</v>
      </c>
      <c r="B1009" t="s">
        <v>250</v>
      </c>
      <c r="C1009" t="s">
        <v>214</v>
      </c>
      <c r="D1009" t="s">
        <v>251</v>
      </c>
      <c r="E1009" s="32">
        <v>45947</v>
      </c>
      <c r="F1009" t="s">
        <v>222</v>
      </c>
      <c r="G1009" t="s">
        <v>2152</v>
      </c>
      <c r="H1009">
        <v>9087123102</v>
      </c>
      <c r="I1009">
        <v>154</v>
      </c>
      <c r="J1009" t="s">
        <v>391</v>
      </c>
      <c r="K1009" t="s">
        <v>71</v>
      </c>
      <c r="L1009" t="s">
        <v>72</v>
      </c>
      <c r="M1009" t="s">
        <v>59</v>
      </c>
      <c r="N1009" t="s">
        <v>59</v>
      </c>
      <c r="O1009" t="s">
        <v>59</v>
      </c>
      <c r="P1009" t="s">
        <v>59</v>
      </c>
      <c r="Q1009" t="s">
        <v>59</v>
      </c>
      <c r="R1009" t="s">
        <v>59</v>
      </c>
      <c r="S1009" t="s">
        <v>59</v>
      </c>
      <c r="T1009" t="s">
        <v>59</v>
      </c>
      <c r="U1009" t="s">
        <v>60</v>
      </c>
      <c r="V1009" t="s">
        <v>59</v>
      </c>
      <c r="W1009" t="s">
        <v>59</v>
      </c>
      <c r="X1009" t="s">
        <v>59</v>
      </c>
      <c r="Y1009" t="s">
        <v>59</v>
      </c>
      <c r="Z1009" t="s">
        <v>59</v>
      </c>
      <c r="AA1009" t="s">
        <v>60</v>
      </c>
      <c r="AB1009" t="s">
        <v>60</v>
      </c>
      <c r="AC1009" t="s">
        <v>59</v>
      </c>
      <c r="AD1009" t="s">
        <v>59</v>
      </c>
      <c r="AE1009" t="s">
        <v>59</v>
      </c>
      <c r="AF1009" t="s">
        <v>59</v>
      </c>
      <c r="AG1009" t="s">
        <v>59</v>
      </c>
      <c r="AH1009" t="s">
        <v>61</v>
      </c>
      <c r="AI1009" t="s">
        <v>61</v>
      </c>
      <c r="AJ1009" t="s">
        <v>59</v>
      </c>
      <c r="AK1009" t="s">
        <v>59</v>
      </c>
      <c r="AL1009" t="s">
        <v>59</v>
      </c>
      <c r="AM1009" t="s">
        <v>59</v>
      </c>
      <c r="AN1009" t="s">
        <v>59</v>
      </c>
      <c r="AO1009" t="s">
        <v>59</v>
      </c>
      <c r="AP1009" t="s">
        <v>1024</v>
      </c>
      <c r="AQ1009" t="s">
        <v>2465</v>
      </c>
      <c r="AR1009" t="s">
        <v>226</v>
      </c>
      <c r="AS1009" t="s">
        <v>695</v>
      </c>
      <c r="AT1009" t="s">
        <v>394</v>
      </c>
      <c r="AU1009" t="s">
        <v>219</v>
      </c>
      <c r="AW1009" s="4">
        <f t="shared" si="528"/>
        <v>6</v>
      </c>
      <c r="AX1009" s="4">
        <f t="shared" si="529"/>
        <v>4</v>
      </c>
      <c r="AY1009" s="4">
        <f t="shared" si="530"/>
        <v>4</v>
      </c>
      <c r="AZ1009" s="4">
        <f t="shared" si="531"/>
        <v>2</v>
      </c>
      <c r="BA1009" s="4">
        <f t="shared" si="532"/>
        <v>4</v>
      </c>
      <c r="BB1009" s="4">
        <f t="shared" si="533"/>
        <v>4</v>
      </c>
      <c r="BC1009" s="4">
        <f t="shared" si="534"/>
        <v>4</v>
      </c>
      <c r="BD1009" s="4">
        <f t="shared" si="535"/>
        <v>2</v>
      </c>
      <c r="BE1009" s="4" t="str">
        <f t="shared" si="536"/>
        <v>0</v>
      </c>
      <c r="BF1009" s="4">
        <f t="shared" si="537"/>
        <v>2</v>
      </c>
      <c r="BG1009" s="4">
        <f t="shared" si="538"/>
        <v>4</v>
      </c>
      <c r="BH1009" s="4">
        <f t="shared" si="539"/>
        <v>4</v>
      </c>
      <c r="BI1009" s="4">
        <f t="shared" si="540"/>
        <v>4</v>
      </c>
      <c r="BJ1009" s="4">
        <f t="shared" si="541"/>
        <v>2</v>
      </c>
      <c r="BK1009" s="4" t="str">
        <f t="shared" si="542"/>
        <v>0</v>
      </c>
      <c r="BL1009" s="4" t="str">
        <f t="shared" si="543"/>
        <v>0</v>
      </c>
      <c r="BM1009" s="4">
        <f t="shared" si="544"/>
        <v>4</v>
      </c>
      <c r="BN1009" s="4">
        <f t="shared" si="545"/>
        <v>4</v>
      </c>
      <c r="BO1009" s="4">
        <f t="shared" si="546"/>
        <v>4</v>
      </c>
      <c r="BP1009" s="4">
        <f t="shared" si="547"/>
        <v>4</v>
      </c>
      <c r="BQ1009" s="4">
        <f t="shared" si="548"/>
        <v>6</v>
      </c>
      <c r="BR1009" s="4">
        <f t="shared" si="549"/>
        <v>4</v>
      </c>
      <c r="BS1009" s="4">
        <f t="shared" si="550"/>
        <v>4</v>
      </c>
      <c r="BT1009" s="4">
        <f t="shared" si="551"/>
        <v>4</v>
      </c>
      <c r="BU1009" s="4">
        <f t="shared" si="552"/>
        <v>4</v>
      </c>
      <c r="BV1009" s="4">
        <f t="shared" si="553"/>
        <v>0</v>
      </c>
      <c r="BW1009" s="4">
        <f t="shared" si="554"/>
        <v>6</v>
      </c>
      <c r="BX1009" s="4">
        <f t="shared" si="555"/>
        <v>0</v>
      </c>
      <c r="BY1009" s="4">
        <f t="shared" si="556"/>
        <v>0</v>
      </c>
      <c r="BZ1009" s="37">
        <f t="shared" si="557"/>
        <v>90</v>
      </c>
      <c r="CA1009" s="32" t="str">
        <f>VLOOKUP(J:J,'Agent wise'!A:C,3,0)</f>
        <v>Amal</v>
      </c>
      <c r="CB1009" s="32">
        <f t="shared" si="558"/>
        <v>45947</v>
      </c>
      <c r="CC1009" t="str">
        <f t="shared" si="559"/>
        <v>Good</v>
      </c>
      <c r="CE1009" s="32"/>
      <c r="CJ1009">
        <f t="shared" si="560"/>
        <v>17</v>
      </c>
      <c r="CK1009">
        <f t="shared" si="561"/>
        <v>10</v>
      </c>
      <c r="CL1009">
        <f t="shared" si="562"/>
        <v>2025</v>
      </c>
    </row>
    <row r="1010" spans="1:90" ht="15" customHeight="1" x14ac:dyDescent="0.35">
      <c r="A1010" t="s">
        <v>2466</v>
      </c>
      <c r="B1010" t="s">
        <v>250</v>
      </c>
      <c r="C1010" t="s">
        <v>214</v>
      </c>
      <c r="D1010" t="s">
        <v>251</v>
      </c>
      <c r="E1010" s="32">
        <v>45947</v>
      </c>
      <c r="F1010" t="s">
        <v>222</v>
      </c>
      <c r="G1010" t="s">
        <v>2152</v>
      </c>
      <c r="H1010">
        <v>9497035902</v>
      </c>
      <c r="I1010">
        <v>145</v>
      </c>
      <c r="J1010" t="s">
        <v>356</v>
      </c>
      <c r="K1010" t="s">
        <v>57</v>
      </c>
      <c r="L1010" t="s">
        <v>58</v>
      </c>
      <c r="M1010" t="s">
        <v>59</v>
      </c>
      <c r="N1010" t="s">
        <v>59</v>
      </c>
      <c r="O1010" t="s">
        <v>59</v>
      </c>
      <c r="P1010" t="s">
        <v>59</v>
      </c>
      <c r="Q1010" t="s">
        <v>59</v>
      </c>
      <c r="R1010" t="s">
        <v>59</v>
      </c>
      <c r="S1010" t="s">
        <v>59</v>
      </c>
      <c r="T1010" t="s">
        <v>59</v>
      </c>
      <c r="U1010" t="s">
        <v>60</v>
      </c>
      <c r="V1010" t="s">
        <v>59</v>
      </c>
      <c r="W1010" t="s">
        <v>59</v>
      </c>
      <c r="X1010" t="s">
        <v>59</v>
      </c>
      <c r="Y1010" t="s">
        <v>59</v>
      </c>
      <c r="Z1010" t="s">
        <v>59</v>
      </c>
      <c r="AA1010" t="s">
        <v>59</v>
      </c>
      <c r="AB1010" t="s">
        <v>59</v>
      </c>
      <c r="AC1010" t="s">
        <v>60</v>
      </c>
      <c r="AD1010" t="s">
        <v>59</v>
      </c>
      <c r="AE1010" t="s">
        <v>59</v>
      </c>
      <c r="AF1010" t="s">
        <v>59</v>
      </c>
      <c r="AG1010" t="s">
        <v>59</v>
      </c>
      <c r="AH1010" t="s">
        <v>61</v>
      </c>
      <c r="AI1010" t="s">
        <v>61</v>
      </c>
      <c r="AJ1010" t="s">
        <v>59</v>
      </c>
      <c r="AK1010" t="s">
        <v>59</v>
      </c>
      <c r="AL1010" t="s">
        <v>60</v>
      </c>
      <c r="AM1010" t="s">
        <v>59</v>
      </c>
      <c r="AN1010" t="s">
        <v>59</v>
      </c>
      <c r="AO1010" t="s">
        <v>59</v>
      </c>
      <c r="AP1010" t="s">
        <v>2467</v>
      </c>
      <c r="AQ1010" t="s">
        <v>2468</v>
      </c>
      <c r="AR1010" t="s">
        <v>226</v>
      </c>
      <c r="AS1010" t="s">
        <v>695</v>
      </c>
      <c r="AT1010" t="s">
        <v>394</v>
      </c>
      <c r="AU1010" t="s">
        <v>219</v>
      </c>
      <c r="AW1010" s="4">
        <f t="shared" si="528"/>
        <v>6</v>
      </c>
      <c r="AX1010" s="4">
        <f t="shared" si="529"/>
        <v>4</v>
      </c>
      <c r="AY1010" s="4">
        <f t="shared" si="530"/>
        <v>4</v>
      </c>
      <c r="AZ1010" s="4">
        <f t="shared" si="531"/>
        <v>2</v>
      </c>
      <c r="BA1010" s="4">
        <f t="shared" si="532"/>
        <v>4</v>
      </c>
      <c r="BB1010" s="4">
        <f t="shared" si="533"/>
        <v>4</v>
      </c>
      <c r="BC1010" s="4">
        <f t="shared" si="534"/>
        <v>4</v>
      </c>
      <c r="BD1010" s="4">
        <f t="shared" si="535"/>
        <v>2</v>
      </c>
      <c r="BE1010" s="4" t="str">
        <f t="shared" si="536"/>
        <v>0</v>
      </c>
      <c r="BF1010" s="4">
        <f t="shared" si="537"/>
        <v>2</v>
      </c>
      <c r="BG1010" s="4">
        <f t="shared" si="538"/>
        <v>4</v>
      </c>
      <c r="BH1010" s="4">
        <f t="shared" si="539"/>
        <v>4</v>
      </c>
      <c r="BI1010" s="4">
        <f t="shared" si="540"/>
        <v>4</v>
      </c>
      <c r="BJ1010" s="4">
        <f t="shared" si="541"/>
        <v>2</v>
      </c>
      <c r="BK1010" s="4">
        <f t="shared" si="542"/>
        <v>4</v>
      </c>
      <c r="BL1010" s="4">
        <f t="shared" si="543"/>
        <v>2</v>
      </c>
      <c r="BM1010" s="4" t="str">
        <f t="shared" si="544"/>
        <v>0</v>
      </c>
      <c r="BN1010" s="4">
        <f t="shared" si="545"/>
        <v>4</v>
      </c>
      <c r="BO1010" s="4">
        <f t="shared" si="546"/>
        <v>4</v>
      </c>
      <c r="BP1010" s="4">
        <f t="shared" si="547"/>
        <v>4</v>
      </c>
      <c r="BQ1010" s="4">
        <f t="shared" si="548"/>
        <v>6</v>
      </c>
      <c r="BR1010" s="4">
        <f t="shared" si="549"/>
        <v>4</v>
      </c>
      <c r="BS1010" s="4">
        <f t="shared" si="550"/>
        <v>4</v>
      </c>
      <c r="BT1010" s="4">
        <f t="shared" si="551"/>
        <v>4</v>
      </c>
      <c r="BU1010" s="4">
        <f t="shared" si="552"/>
        <v>4</v>
      </c>
      <c r="BV1010" s="4" t="str">
        <f t="shared" si="553"/>
        <v>0</v>
      </c>
      <c r="BW1010" s="4">
        <f t="shared" si="554"/>
        <v>6</v>
      </c>
      <c r="BX1010" s="4">
        <f t="shared" si="555"/>
        <v>0</v>
      </c>
      <c r="BY1010" s="4">
        <f t="shared" si="556"/>
        <v>0</v>
      </c>
      <c r="BZ1010" s="37">
        <f t="shared" si="557"/>
        <v>92</v>
      </c>
      <c r="CA1010" s="32" t="str">
        <f>VLOOKUP(J:J,'Agent wise'!A:C,3,0)</f>
        <v>Amal</v>
      </c>
      <c r="CB1010" s="32">
        <f t="shared" si="558"/>
        <v>45947</v>
      </c>
      <c r="CC1010" t="str">
        <f t="shared" si="559"/>
        <v>Good</v>
      </c>
      <c r="CE1010" s="32"/>
      <c r="CJ1010">
        <f t="shared" si="560"/>
        <v>17</v>
      </c>
      <c r="CK1010">
        <f t="shared" si="561"/>
        <v>10</v>
      </c>
      <c r="CL1010">
        <f t="shared" si="562"/>
        <v>2025</v>
      </c>
    </row>
    <row r="1011" spans="1:90" ht="15" customHeight="1" x14ac:dyDescent="0.35">
      <c r="A1011" t="s">
        <v>2469</v>
      </c>
      <c r="B1011" t="s">
        <v>250</v>
      </c>
      <c r="C1011" t="s">
        <v>214</v>
      </c>
      <c r="D1011" t="s">
        <v>251</v>
      </c>
      <c r="E1011" s="32">
        <v>45947</v>
      </c>
      <c r="F1011" t="s">
        <v>222</v>
      </c>
      <c r="G1011" t="s">
        <v>2152</v>
      </c>
      <c r="H1011">
        <v>9994630711</v>
      </c>
      <c r="I1011">
        <v>144</v>
      </c>
      <c r="J1011" t="s">
        <v>409</v>
      </c>
      <c r="K1011" t="s">
        <v>86</v>
      </c>
      <c r="L1011" t="s">
        <v>58</v>
      </c>
      <c r="M1011" t="s">
        <v>59</v>
      </c>
      <c r="N1011" t="s">
        <v>59</v>
      </c>
      <c r="O1011" t="s">
        <v>59</v>
      </c>
      <c r="P1011" t="s">
        <v>59</v>
      </c>
      <c r="Q1011" t="s">
        <v>59</v>
      </c>
      <c r="R1011" t="s">
        <v>59</v>
      </c>
      <c r="S1011" t="s">
        <v>59</v>
      </c>
      <c r="T1011" t="s">
        <v>59</v>
      </c>
      <c r="U1011" t="s">
        <v>60</v>
      </c>
      <c r="V1011" t="s">
        <v>59</v>
      </c>
      <c r="W1011" t="s">
        <v>59</v>
      </c>
      <c r="X1011" t="s">
        <v>59</v>
      </c>
      <c r="Y1011" t="s">
        <v>59</v>
      </c>
      <c r="Z1011" t="s">
        <v>59</v>
      </c>
      <c r="AA1011" t="s">
        <v>59</v>
      </c>
      <c r="AB1011" t="s">
        <v>60</v>
      </c>
      <c r="AC1011" t="s">
        <v>59</v>
      </c>
      <c r="AD1011" t="s">
        <v>59</v>
      </c>
      <c r="AE1011" t="s">
        <v>59</v>
      </c>
      <c r="AF1011" t="s">
        <v>59</v>
      </c>
      <c r="AG1011" t="s">
        <v>59</v>
      </c>
      <c r="AH1011" t="s">
        <v>61</v>
      </c>
      <c r="AI1011" t="s">
        <v>61</v>
      </c>
      <c r="AJ1011" t="s">
        <v>59</v>
      </c>
      <c r="AK1011" t="s">
        <v>59</v>
      </c>
      <c r="AL1011" t="s">
        <v>60</v>
      </c>
      <c r="AM1011" t="s">
        <v>59</v>
      </c>
      <c r="AN1011" t="s">
        <v>59</v>
      </c>
      <c r="AO1011" t="s">
        <v>59</v>
      </c>
      <c r="AP1011" t="s">
        <v>467</v>
      </c>
      <c r="AQ1011" t="s">
        <v>2470</v>
      </c>
      <c r="AR1011" t="s">
        <v>226</v>
      </c>
      <c r="AS1011" t="s">
        <v>249</v>
      </c>
      <c r="AT1011" t="s">
        <v>331</v>
      </c>
      <c r="AU1011" t="s">
        <v>219</v>
      </c>
      <c r="AW1011" s="4">
        <f t="shared" si="528"/>
        <v>6</v>
      </c>
      <c r="AX1011" s="4">
        <f t="shared" si="529"/>
        <v>4</v>
      </c>
      <c r="AY1011" s="4">
        <f t="shared" si="530"/>
        <v>4</v>
      </c>
      <c r="AZ1011" s="4">
        <f t="shared" si="531"/>
        <v>2</v>
      </c>
      <c r="BA1011" s="4">
        <f t="shared" si="532"/>
        <v>4</v>
      </c>
      <c r="BB1011" s="4">
        <f t="shared" si="533"/>
        <v>4</v>
      </c>
      <c r="BC1011" s="4">
        <f t="shared" si="534"/>
        <v>4</v>
      </c>
      <c r="BD1011" s="4">
        <f t="shared" si="535"/>
        <v>2</v>
      </c>
      <c r="BE1011" s="4" t="str">
        <f t="shared" si="536"/>
        <v>0</v>
      </c>
      <c r="BF1011" s="4">
        <f t="shared" si="537"/>
        <v>2</v>
      </c>
      <c r="BG1011" s="4">
        <f t="shared" si="538"/>
        <v>4</v>
      </c>
      <c r="BH1011" s="4">
        <f t="shared" si="539"/>
        <v>4</v>
      </c>
      <c r="BI1011" s="4">
        <f t="shared" si="540"/>
        <v>4</v>
      </c>
      <c r="BJ1011" s="4">
        <f t="shared" si="541"/>
        <v>2</v>
      </c>
      <c r="BK1011" s="4">
        <f t="shared" si="542"/>
        <v>4</v>
      </c>
      <c r="BL1011" s="4" t="str">
        <f t="shared" si="543"/>
        <v>0</v>
      </c>
      <c r="BM1011" s="4">
        <f t="shared" si="544"/>
        <v>4</v>
      </c>
      <c r="BN1011" s="4">
        <f t="shared" si="545"/>
        <v>4</v>
      </c>
      <c r="BO1011" s="4">
        <f t="shared" si="546"/>
        <v>4</v>
      </c>
      <c r="BP1011" s="4">
        <f t="shared" si="547"/>
        <v>4</v>
      </c>
      <c r="BQ1011" s="4">
        <f t="shared" si="548"/>
        <v>6</v>
      </c>
      <c r="BR1011" s="4">
        <f t="shared" si="549"/>
        <v>4</v>
      </c>
      <c r="BS1011" s="4">
        <f t="shared" si="550"/>
        <v>4</v>
      </c>
      <c r="BT1011" s="4">
        <f t="shared" si="551"/>
        <v>4</v>
      </c>
      <c r="BU1011" s="4">
        <f t="shared" si="552"/>
        <v>4</v>
      </c>
      <c r="BV1011" s="4" t="str">
        <f t="shared" si="553"/>
        <v>0</v>
      </c>
      <c r="BW1011" s="4">
        <f t="shared" si="554"/>
        <v>6</v>
      </c>
      <c r="BX1011" s="4">
        <f t="shared" si="555"/>
        <v>0</v>
      </c>
      <c r="BY1011" s="4">
        <f t="shared" si="556"/>
        <v>0</v>
      </c>
      <c r="BZ1011" s="37">
        <f t="shared" si="557"/>
        <v>94</v>
      </c>
      <c r="CA1011" s="32" t="str">
        <f>VLOOKUP(J:J,'Agent wise'!A:C,3,0)</f>
        <v>Amal</v>
      </c>
      <c r="CB1011" s="32">
        <f t="shared" si="558"/>
        <v>45947</v>
      </c>
      <c r="CC1011" t="str">
        <f t="shared" si="559"/>
        <v>Good</v>
      </c>
      <c r="CE1011" s="32"/>
      <c r="CJ1011">
        <f t="shared" si="560"/>
        <v>17</v>
      </c>
      <c r="CK1011">
        <f t="shared" si="561"/>
        <v>10</v>
      </c>
      <c r="CL1011">
        <f t="shared" si="562"/>
        <v>2025</v>
      </c>
    </row>
    <row r="1012" spans="1:90" ht="15" customHeight="1" x14ac:dyDescent="0.35">
      <c r="A1012" t="s">
        <v>2471</v>
      </c>
      <c r="B1012" t="s">
        <v>250</v>
      </c>
      <c r="C1012" t="s">
        <v>214</v>
      </c>
      <c r="D1012" t="s">
        <v>251</v>
      </c>
      <c r="E1012" s="32">
        <v>45947</v>
      </c>
      <c r="F1012" t="s">
        <v>222</v>
      </c>
      <c r="G1012" t="s">
        <v>2152</v>
      </c>
      <c r="H1012">
        <v>8870184249</v>
      </c>
      <c r="I1012">
        <v>177</v>
      </c>
      <c r="J1012" t="s">
        <v>501</v>
      </c>
      <c r="K1012" t="s">
        <v>71</v>
      </c>
      <c r="L1012" t="s">
        <v>72</v>
      </c>
      <c r="M1012" t="s">
        <v>59</v>
      </c>
      <c r="N1012" t="s">
        <v>59</v>
      </c>
      <c r="O1012" t="s">
        <v>59</v>
      </c>
      <c r="P1012" t="s">
        <v>59</v>
      </c>
      <c r="Q1012" t="s">
        <v>59</v>
      </c>
      <c r="R1012" t="s">
        <v>59</v>
      </c>
      <c r="S1012" t="s">
        <v>59</v>
      </c>
      <c r="T1012" t="s">
        <v>59</v>
      </c>
      <c r="U1012" t="s">
        <v>60</v>
      </c>
      <c r="V1012" t="s">
        <v>59</v>
      </c>
      <c r="W1012" t="s">
        <v>59</v>
      </c>
      <c r="X1012" t="s">
        <v>59</v>
      </c>
      <c r="Y1012" t="s">
        <v>59</v>
      </c>
      <c r="Z1012" t="s">
        <v>60</v>
      </c>
      <c r="AA1012" t="s">
        <v>59</v>
      </c>
      <c r="AB1012" t="s">
        <v>60</v>
      </c>
      <c r="AC1012" t="s">
        <v>60</v>
      </c>
      <c r="AD1012" t="s">
        <v>59</v>
      </c>
      <c r="AE1012" t="s">
        <v>60</v>
      </c>
      <c r="AF1012" t="s">
        <v>59</v>
      </c>
      <c r="AG1012" t="s">
        <v>59</v>
      </c>
      <c r="AH1012" t="s">
        <v>61</v>
      </c>
      <c r="AI1012" t="s">
        <v>61</v>
      </c>
      <c r="AJ1012" t="s">
        <v>59</v>
      </c>
      <c r="AK1012" t="s">
        <v>59</v>
      </c>
      <c r="AL1012" t="s">
        <v>60</v>
      </c>
      <c r="AM1012" t="s">
        <v>59</v>
      </c>
      <c r="AN1012" t="s">
        <v>59</v>
      </c>
      <c r="AO1012" t="s">
        <v>59</v>
      </c>
      <c r="AP1012" t="s">
        <v>2472</v>
      </c>
      <c r="AQ1012" t="s">
        <v>2473</v>
      </c>
      <c r="AR1012" t="s">
        <v>226</v>
      </c>
      <c r="AS1012" t="s">
        <v>2474</v>
      </c>
      <c r="AT1012" t="s">
        <v>2475</v>
      </c>
      <c r="AU1012" t="s">
        <v>593</v>
      </c>
      <c r="AW1012" s="4">
        <f t="shared" si="528"/>
        <v>6</v>
      </c>
      <c r="AX1012" s="4">
        <f t="shared" si="529"/>
        <v>4</v>
      </c>
      <c r="AY1012" s="4">
        <f t="shared" si="530"/>
        <v>4</v>
      </c>
      <c r="AZ1012" s="4">
        <f t="shared" si="531"/>
        <v>2</v>
      </c>
      <c r="BA1012" s="4">
        <f t="shared" si="532"/>
        <v>4</v>
      </c>
      <c r="BB1012" s="4">
        <f t="shared" si="533"/>
        <v>4</v>
      </c>
      <c r="BC1012" s="4">
        <f t="shared" si="534"/>
        <v>4</v>
      </c>
      <c r="BD1012" s="4">
        <f t="shared" si="535"/>
        <v>2</v>
      </c>
      <c r="BE1012" s="4" t="str">
        <f t="shared" si="536"/>
        <v>0</v>
      </c>
      <c r="BF1012" s="4">
        <f t="shared" si="537"/>
        <v>2</v>
      </c>
      <c r="BG1012" s="4">
        <f t="shared" si="538"/>
        <v>4</v>
      </c>
      <c r="BH1012" s="4">
        <f t="shared" si="539"/>
        <v>4</v>
      </c>
      <c r="BI1012" s="4">
        <f t="shared" si="540"/>
        <v>4</v>
      </c>
      <c r="BJ1012" s="4" t="str">
        <f t="shared" si="541"/>
        <v>0</v>
      </c>
      <c r="BK1012" s="4">
        <f t="shared" si="542"/>
        <v>4</v>
      </c>
      <c r="BL1012" s="4" t="str">
        <f t="shared" si="543"/>
        <v>0</v>
      </c>
      <c r="BM1012" s="4" t="str">
        <f t="shared" si="544"/>
        <v>0</v>
      </c>
      <c r="BN1012" s="4">
        <f t="shared" si="545"/>
        <v>4</v>
      </c>
      <c r="BO1012" s="4" t="str">
        <f t="shared" si="546"/>
        <v>0</v>
      </c>
      <c r="BP1012" s="4">
        <f t="shared" si="547"/>
        <v>4</v>
      </c>
      <c r="BQ1012" s="4">
        <f t="shared" si="548"/>
        <v>6</v>
      </c>
      <c r="BR1012" s="4">
        <f t="shared" si="549"/>
        <v>4</v>
      </c>
      <c r="BS1012" s="4">
        <f t="shared" si="550"/>
        <v>4</v>
      </c>
      <c r="BT1012" s="4">
        <f t="shared" si="551"/>
        <v>4</v>
      </c>
      <c r="BU1012" s="4">
        <f t="shared" si="552"/>
        <v>4</v>
      </c>
      <c r="BV1012" s="4" t="str">
        <f t="shared" si="553"/>
        <v>0</v>
      </c>
      <c r="BW1012" s="4">
        <f t="shared" si="554"/>
        <v>6</v>
      </c>
      <c r="BX1012" s="4">
        <f t="shared" si="555"/>
        <v>0</v>
      </c>
      <c r="BY1012" s="4">
        <f t="shared" si="556"/>
        <v>0</v>
      </c>
      <c r="BZ1012" s="37">
        <f t="shared" si="557"/>
        <v>84</v>
      </c>
      <c r="CA1012" s="32" t="str">
        <f>VLOOKUP(J:J,'Agent wise'!A:C,3,0)</f>
        <v>Amal</v>
      </c>
      <c r="CB1012" s="32">
        <f t="shared" si="558"/>
        <v>45947</v>
      </c>
      <c r="CC1012" t="str">
        <f t="shared" si="559"/>
        <v>FC</v>
      </c>
      <c r="CE1012" s="32"/>
      <c r="CJ1012">
        <f t="shared" si="560"/>
        <v>17</v>
      </c>
      <c r="CK1012">
        <f t="shared" si="561"/>
        <v>10</v>
      </c>
      <c r="CL1012">
        <f t="shared" si="562"/>
        <v>2025</v>
      </c>
    </row>
    <row r="1013" spans="1:90" ht="15" customHeight="1" x14ac:dyDescent="0.35">
      <c r="A1013" t="s">
        <v>2476</v>
      </c>
      <c r="B1013" t="s">
        <v>250</v>
      </c>
      <c r="C1013" t="s">
        <v>214</v>
      </c>
      <c r="D1013" t="s">
        <v>251</v>
      </c>
      <c r="E1013" s="32">
        <v>45947</v>
      </c>
      <c r="F1013" t="s">
        <v>222</v>
      </c>
      <c r="G1013" t="s">
        <v>2152</v>
      </c>
      <c r="H1013">
        <v>9443464939</v>
      </c>
      <c r="I1013">
        <v>152</v>
      </c>
      <c r="J1013" t="s">
        <v>246</v>
      </c>
      <c r="K1013" t="s">
        <v>86</v>
      </c>
      <c r="L1013" t="s">
        <v>72</v>
      </c>
      <c r="M1013" t="s">
        <v>59</v>
      </c>
      <c r="N1013" t="s">
        <v>59</v>
      </c>
      <c r="O1013" t="s">
        <v>59</v>
      </c>
      <c r="P1013" t="s">
        <v>59</v>
      </c>
      <c r="Q1013" t="s">
        <v>59</v>
      </c>
      <c r="R1013" t="s">
        <v>59</v>
      </c>
      <c r="S1013" t="s">
        <v>59</v>
      </c>
      <c r="T1013" t="s">
        <v>59</v>
      </c>
      <c r="U1013" t="s">
        <v>60</v>
      </c>
      <c r="V1013" t="s">
        <v>59</v>
      </c>
      <c r="W1013" t="s">
        <v>59</v>
      </c>
      <c r="X1013" t="s">
        <v>59</v>
      </c>
      <c r="Y1013" t="s">
        <v>59</v>
      </c>
      <c r="Z1013" t="s">
        <v>59</v>
      </c>
      <c r="AA1013" t="s">
        <v>59</v>
      </c>
      <c r="AB1013" t="s">
        <v>59</v>
      </c>
      <c r="AC1013" t="s">
        <v>59</v>
      </c>
      <c r="AD1013" t="s">
        <v>59</v>
      </c>
      <c r="AE1013" t="s">
        <v>59</v>
      </c>
      <c r="AF1013" t="s">
        <v>59</v>
      </c>
      <c r="AG1013" t="s">
        <v>59</v>
      </c>
      <c r="AH1013" t="s">
        <v>61</v>
      </c>
      <c r="AI1013" t="s">
        <v>61</v>
      </c>
      <c r="AJ1013" t="s">
        <v>59</v>
      </c>
      <c r="AK1013" t="s">
        <v>59</v>
      </c>
      <c r="AL1013" t="s">
        <v>60</v>
      </c>
      <c r="AM1013" t="s">
        <v>59</v>
      </c>
      <c r="AN1013" t="s">
        <v>59</v>
      </c>
      <c r="AO1013" t="s">
        <v>59</v>
      </c>
      <c r="AP1013" t="s">
        <v>247</v>
      </c>
      <c r="AQ1013" t="s">
        <v>2477</v>
      </c>
      <c r="AR1013" t="s">
        <v>226</v>
      </c>
      <c r="AS1013" t="s">
        <v>2340</v>
      </c>
      <c r="AT1013" t="s">
        <v>394</v>
      </c>
      <c r="AU1013" t="s">
        <v>219</v>
      </c>
      <c r="AW1013" s="4">
        <f t="shared" si="528"/>
        <v>6</v>
      </c>
      <c r="AX1013" s="4">
        <f t="shared" si="529"/>
        <v>4</v>
      </c>
      <c r="AY1013" s="4">
        <f t="shared" si="530"/>
        <v>4</v>
      </c>
      <c r="AZ1013" s="4">
        <f t="shared" si="531"/>
        <v>2</v>
      </c>
      <c r="BA1013" s="4">
        <f t="shared" si="532"/>
        <v>4</v>
      </c>
      <c r="BB1013" s="4">
        <f t="shared" si="533"/>
        <v>4</v>
      </c>
      <c r="BC1013" s="4">
        <f t="shared" si="534"/>
        <v>4</v>
      </c>
      <c r="BD1013" s="4">
        <f t="shared" si="535"/>
        <v>2</v>
      </c>
      <c r="BE1013" s="4" t="str">
        <f t="shared" si="536"/>
        <v>0</v>
      </c>
      <c r="BF1013" s="4">
        <f t="shared" si="537"/>
        <v>2</v>
      </c>
      <c r="BG1013" s="4">
        <f t="shared" si="538"/>
        <v>4</v>
      </c>
      <c r="BH1013" s="4">
        <f t="shared" si="539"/>
        <v>4</v>
      </c>
      <c r="BI1013" s="4">
        <f t="shared" si="540"/>
        <v>4</v>
      </c>
      <c r="BJ1013" s="4">
        <f t="shared" si="541"/>
        <v>2</v>
      </c>
      <c r="BK1013" s="4">
        <f t="shared" si="542"/>
        <v>4</v>
      </c>
      <c r="BL1013" s="4">
        <f t="shared" si="543"/>
        <v>2</v>
      </c>
      <c r="BM1013" s="4">
        <f t="shared" si="544"/>
        <v>4</v>
      </c>
      <c r="BN1013" s="4">
        <f t="shared" si="545"/>
        <v>4</v>
      </c>
      <c r="BO1013" s="4">
        <f t="shared" si="546"/>
        <v>4</v>
      </c>
      <c r="BP1013" s="4">
        <f t="shared" si="547"/>
        <v>4</v>
      </c>
      <c r="BQ1013" s="4">
        <f t="shared" si="548"/>
        <v>6</v>
      </c>
      <c r="BR1013" s="4">
        <f t="shared" si="549"/>
        <v>4</v>
      </c>
      <c r="BS1013" s="4">
        <f t="shared" si="550"/>
        <v>4</v>
      </c>
      <c r="BT1013" s="4">
        <f t="shared" si="551"/>
        <v>4</v>
      </c>
      <c r="BU1013" s="4">
        <f t="shared" si="552"/>
        <v>4</v>
      </c>
      <c r="BV1013" s="4" t="str">
        <f t="shared" si="553"/>
        <v>0</v>
      </c>
      <c r="BW1013" s="4">
        <f t="shared" si="554"/>
        <v>6</v>
      </c>
      <c r="BX1013" s="4">
        <f t="shared" si="555"/>
        <v>0</v>
      </c>
      <c r="BY1013" s="4">
        <f t="shared" si="556"/>
        <v>0</v>
      </c>
      <c r="BZ1013" s="37">
        <f t="shared" si="557"/>
        <v>96</v>
      </c>
      <c r="CA1013" s="32" t="str">
        <f>VLOOKUP(J:J,'Agent wise'!A:C,3,0)</f>
        <v>Amal</v>
      </c>
      <c r="CB1013" s="32">
        <f t="shared" si="558"/>
        <v>45947</v>
      </c>
      <c r="CC1013" t="str">
        <f t="shared" si="559"/>
        <v>Excellent</v>
      </c>
      <c r="CE1013" s="32"/>
      <c r="CJ1013">
        <f t="shared" si="560"/>
        <v>17</v>
      </c>
      <c r="CK1013">
        <f t="shared" si="561"/>
        <v>10</v>
      </c>
      <c r="CL1013">
        <f t="shared" si="562"/>
        <v>2025</v>
      </c>
    </row>
    <row r="1014" spans="1:90" ht="15" customHeight="1" x14ac:dyDescent="0.35">
      <c r="A1014" t="s">
        <v>2478</v>
      </c>
      <c r="B1014" t="s">
        <v>250</v>
      </c>
      <c r="C1014" t="s">
        <v>214</v>
      </c>
      <c r="D1014" t="s">
        <v>251</v>
      </c>
      <c r="E1014" s="32">
        <v>45947</v>
      </c>
      <c r="F1014" t="s">
        <v>222</v>
      </c>
      <c r="G1014" t="s">
        <v>2152</v>
      </c>
      <c r="H1014">
        <v>9995554474</v>
      </c>
      <c r="I1014">
        <v>153</v>
      </c>
      <c r="J1014" t="s">
        <v>420</v>
      </c>
      <c r="K1014" t="s">
        <v>86</v>
      </c>
      <c r="L1014" t="s">
        <v>58</v>
      </c>
      <c r="M1014" t="s">
        <v>59</v>
      </c>
      <c r="N1014" t="s">
        <v>59</v>
      </c>
      <c r="O1014" t="s">
        <v>59</v>
      </c>
      <c r="P1014" t="s">
        <v>59</v>
      </c>
      <c r="Q1014" t="s">
        <v>59</v>
      </c>
      <c r="R1014" t="s">
        <v>59</v>
      </c>
      <c r="S1014" t="s">
        <v>59</v>
      </c>
      <c r="T1014" t="s">
        <v>59</v>
      </c>
      <c r="U1014" t="s">
        <v>60</v>
      </c>
      <c r="V1014" t="s">
        <v>59</v>
      </c>
      <c r="W1014" t="s">
        <v>59</v>
      </c>
      <c r="X1014" t="s">
        <v>59</v>
      </c>
      <c r="Y1014" t="s">
        <v>59</v>
      </c>
      <c r="Z1014" t="s">
        <v>60</v>
      </c>
      <c r="AA1014" t="s">
        <v>59</v>
      </c>
      <c r="AB1014" t="s">
        <v>59</v>
      </c>
      <c r="AC1014" t="s">
        <v>59</v>
      </c>
      <c r="AD1014" t="s">
        <v>59</v>
      </c>
      <c r="AE1014" t="s">
        <v>59</v>
      </c>
      <c r="AF1014" t="s">
        <v>59</v>
      </c>
      <c r="AG1014" t="s">
        <v>59</v>
      </c>
      <c r="AH1014" t="s">
        <v>61</v>
      </c>
      <c r="AI1014" t="s">
        <v>61</v>
      </c>
      <c r="AJ1014" t="s">
        <v>59</v>
      </c>
      <c r="AK1014" t="s">
        <v>59</v>
      </c>
      <c r="AL1014" t="s">
        <v>60</v>
      </c>
      <c r="AM1014" t="s">
        <v>59</v>
      </c>
      <c r="AN1014" t="s">
        <v>59</v>
      </c>
      <c r="AO1014" t="s">
        <v>59</v>
      </c>
      <c r="AP1014" t="s">
        <v>2479</v>
      </c>
      <c r="AQ1014" t="s">
        <v>2480</v>
      </c>
      <c r="AR1014" t="s">
        <v>226</v>
      </c>
      <c r="AS1014" t="s">
        <v>695</v>
      </c>
      <c r="AT1014" t="s">
        <v>394</v>
      </c>
      <c r="AU1014" t="s">
        <v>387</v>
      </c>
      <c r="AW1014" s="4">
        <f t="shared" si="528"/>
        <v>6</v>
      </c>
      <c r="AX1014" s="4">
        <f t="shared" si="529"/>
        <v>4</v>
      </c>
      <c r="AY1014" s="4">
        <f t="shared" si="530"/>
        <v>4</v>
      </c>
      <c r="AZ1014" s="4">
        <f t="shared" si="531"/>
        <v>2</v>
      </c>
      <c r="BA1014" s="4">
        <f t="shared" si="532"/>
        <v>4</v>
      </c>
      <c r="BB1014" s="4">
        <f t="shared" si="533"/>
        <v>4</v>
      </c>
      <c r="BC1014" s="4">
        <f t="shared" si="534"/>
        <v>4</v>
      </c>
      <c r="BD1014" s="4">
        <f t="shared" si="535"/>
        <v>2</v>
      </c>
      <c r="BE1014" s="4" t="str">
        <f t="shared" si="536"/>
        <v>0</v>
      </c>
      <c r="BF1014" s="4">
        <f t="shared" si="537"/>
        <v>2</v>
      </c>
      <c r="BG1014" s="4">
        <f t="shared" si="538"/>
        <v>4</v>
      </c>
      <c r="BH1014" s="4">
        <f t="shared" si="539"/>
        <v>4</v>
      </c>
      <c r="BI1014" s="4">
        <f t="shared" si="540"/>
        <v>4</v>
      </c>
      <c r="BJ1014" s="4" t="str">
        <f t="shared" si="541"/>
        <v>0</v>
      </c>
      <c r="BK1014" s="4">
        <f t="shared" si="542"/>
        <v>4</v>
      </c>
      <c r="BL1014" s="4">
        <f t="shared" si="543"/>
        <v>2</v>
      </c>
      <c r="BM1014" s="4">
        <f t="shared" si="544"/>
        <v>4</v>
      </c>
      <c r="BN1014" s="4">
        <f t="shared" si="545"/>
        <v>4</v>
      </c>
      <c r="BO1014" s="4">
        <f t="shared" si="546"/>
        <v>4</v>
      </c>
      <c r="BP1014" s="4">
        <f t="shared" si="547"/>
        <v>4</v>
      </c>
      <c r="BQ1014" s="4">
        <f t="shared" si="548"/>
        <v>6</v>
      </c>
      <c r="BR1014" s="4">
        <f t="shared" si="549"/>
        <v>4</v>
      </c>
      <c r="BS1014" s="4">
        <f t="shared" si="550"/>
        <v>4</v>
      </c>
      <c r="BT1014" s="4">
        <f t="shared" si="551"/>
        <v>4</v>
      </c>
      <c r="BU1014" s="4">
        <f t="shared" si="552"/>
        <v>4</v>
      </c>
      <c r="BV1014" s="4" t="str">
        <f t="shared" si="553"/>
        <v>0</v>
      </c>
      <c r="BW1014" s="4">
        <f t="shared" si="554"/>
        <v>6</v>
      </c>
      <c r="BX1014" s="4">
        <f t="shared" si="555"/>
        <v>0</v>
      </c>
      <c r="BY1014" s="4">
        <f t="shared" si="556"/>
        <v>0</v>
      </c>
      <c r="BZ1014" s="37">
        <f t="shared" si="557"/>
        <v>94</v>
      </c>
      <c r="CA1014" s="32" t="str">
        <f>VLOOKUP(J:J,'Agent wise'!A:C,3,0)</f>
        <v>Amal</v>
      </c>
      <c r="CB1014" s="32">
        <f t="shared" si="558"/>
        <v>45947</v>
      </c>
      <c r="CC1014" t="str">
        <f t="shared" si="559"/>
        <v>Good</v>
      </c>
      <c r="CE1014" s="32"/>
      <c r="CJ1014">
        <f t="shared" si="560"/>
        <v>17</v>
      </c>
      <c r="CK1014">
        <f t="shared" si="561"/>
        <v>10</v>
      </c>
      <c r="CL1014">
        <f t="shared" si="562"/>
        <v>2025</v>
      </c>
    </row>
    <row r="1015" spans="1:90" ht="15" customHeight="1" x14ac:dyDescent="0.35">
      <c r="A1015" t="s">
        <v>2481</v>
      </c>
      <c r="B1015" t="s">
        <v>250</v>
      </c>
      <c r="C1015" t="s">
        <v>214</v>
      </c>
      <c r="D1015" t="s">
        <v>251</v>
      </c>
      <c r="E1015" s="32">
        <v>45947</v>
      </c>
      <c r="F1015" t="s">
        <v>222</v>
      </c>
      <c r="G1015" t="s">
        <v>2152</v>
      </c>
      <c r="H1015">
        <v>9841880771</v>
      </c>
      <c r="I1015">
        <v>159</v>
      </c>
      <c r="J1015" t="s">
        <v>307</v>
      </c>
      <c r="K1015" t="s">
        <v>71</v>
      </c>
      <c r="L1015" t="s">
        <v>72</v>
      </c>
      <c r="M1015" t="s">
        <v>59</v>
      </c>
      <c r="N1015" t="s">
        <v>59</v>
      </c>
      <c r="O1015" t="s">
        <v>59</v>
      </c>
      <c r="P1015" t="s">
        <v>59</v>
      </c>
      <c r="Q1015" t="s">
        <v>59</v>
      </c>
      <c r="R1015" t="s">
        <v>59</v>
      </c>
      <c r="S1015" t="s">
        <v>59</v>
      </c>
      <c r="T1015" t="s">
        <v>59</v>
      </c>
      <c r="U1015" t="s">
        <v>60</v>
      </c>
      <c r="V1015" t="s">
        <v>59</v>
      </c>
      <c r="W1015" t="s">
        <v>59</v>
      </c>
      <c r="X1015" t="s">
        <v>59</v>
      </c>
      <c r="Y1015" t="s">
        <v>59</v>
      </c>
      <c r="Z1015" t="s">
        <v>59</v>
      </c>
      <c r="AA1015" t="s">
        <v>59</v>
      </c>
      <c r="AB1015" t="s">
        <v>59</v>
      </c>
      <c r="AC1015" t="s">
        <v>60</v>
      </c>
      <c r="AD1015" t="s">
        <v>59</v>
      </c>
      <c r="AE1015" t="s">
        <v>59</v>
      </c>
      <c r="AF1015" t="s">
        <v>59</v>
      </c>
      <c r="AG1015" t="s">
        <v>59</v>
      </c>
      <c r="AH1015" t="s">
        <v>61</v>
      </c>
      <c r="AI1015" t="s">
        <v>61</v>
      </c>
      <c r="AJ1015" t="s">
        <v>59</v>
      </c>
      <c r="AK1015" t="s">
        <v>59</v>
      </c>
      <c r="AL1015" t="s">
        <v>60</v>
      </c>
      <c r="AM1015" t="s">
        <v>59</v>
      </c>
      <c r="AN1015" t="s">
        <v>59</v>
      </c>
      <c r="AO1015" t="s">
        <v>59</v>
      </c>
      <c r="AP1015" s="1" t="s">
        <v>2482</v>
      </c>
      <c r="AQ1015" t="s">
        <v>2483</v>
      </c>
      <c r="AR1015" t="s">
        <v>226</v>
      </c>
      <c r="AS1015" t="s">
        <v>695</v>
      </c>
      <c r="AT1015" t="s">
        <v>394</v>
      </c>
      <c r="AU1015" t="s">
        <v>219</v>
      </c>
      <c r="AW1015" s="4">
        <f t="shared" si="528"/>
        <v>6</v>
      </c>
      <c r="AX1015" s="4">
        <f t="shared" si="529"/>
        <v>4</v>
      </c>
      <c r="AY1015" s="4">
        <f t="shared" si="530"/>
        <v>4</v>
      </c>
      <c r="AZ1015" s="4">
        <f t="shared" si="531"/>
        <v>2</v>
      </c>
      <c r="BA1015" s="4">
        <f t="shared" si="532"/>
        <v>4</v>
      </c>
      <c r="BB1015" s="4">
        <f t="shared" si="533"/>
        <v>4</v>
      </c>
      <c r="BC1015" s="4">
        <f t="shared" si="534"/>
        <v>4</v>
      </c>
      <c r="BD1015" s="4">
        <f t="shared" si="535"/>
        <v>2</v>
      </c>
      <c r="BE1015" s="4" t="str">
        <f t="shared" si="536"/>
        <v>0</v>
      </c>
      <c r="BF1015" s="4">
        <f t="shared" si="537"/>
        <v>2</v>
      </c>
      <c r="BG1015" s="4">
        <f t="shared" si="538"/>
        <v>4</v>
      </c>
      <c r="BH1015" s="4">
        <f t="shared" si="539"/>
        <v>4</v>
      </c>
      <c r="BI1015" s="4">
        <f t="shared" si="540"/>
        <v>4</v>
      </c>
      <c r="BJ1015" s="4">
        <f t="shared" si="541"/>
        <v>2</v>
      </c>
      <c r="BK1015" s="4">
        <f t="shared" si="542"/>
        <v>4</v>
      </c>
      <c r="BL1015" s="4">
        <f t="shared" si="543"/>
        <v>2</v>
      </c>
      <c r="BM1015" s="4" t="str">
        <f t="shared" si="544"/>
        <v>0</v>
      </c>
      <c r="BN1015" s="4">
        <f t="shared" si="545"/>
        <v>4</v>
      </c>
      <c r="BO1015" s="4">
        <f t="shared" si="546"/>
        <v>4</v>
      </c>
      <c r="BP1015" s="4">
        <f t="shared" si="547"/>
        <v>4</v>
      </c>
      <c r="BQ1015" s="4">
        <f t="shared" si="548"/>
        <v>6</v>
      </c>
      <c r="BR1015" s="4">
        <f t="shared" si="549"/>
        <v>4</v>
      </c>
      <c r="BS1015" s="4">
        <f t="shared" si="550"/>
        <v>4</v>
      </c>
      <c r="BT1015" s="4">
        <f t="shared" si="551"/>
        <v>4</v>
      </c>
      <c r="BU1015" s="4">
        <f t="shared" si="552"/>
        <v>4</v>
      </c>
      <c r="BV1015" s="4" t="str">
        <f t="shared" si="553"/>
        <v>0</v>
      </c>
      <c r="BW1015" s="4">
        <f t="shared" si="554"/>
        <v>6</v>
      </c>
      <c r="BX1015" s="4">
        <f t="shared" si="555"/>
        <v>0</v>
      </c>
      <c r="BY1015" s="4">
        <f t="shared" si="556"/>
        <v>0</v>
      </c>
      <c r="BZ1015" s="37">
        <f t="shared" si="557"/>
        <v>92</v>
      </c>
      <c r="CA1015" s="32" t="str">
        <f>VLOOKUP(J:J,'Agent wise'!A:C,3,0)</f>
        <v>Amal</v>
      </c>
      <c r="CB1015" s="32">
        <f t="shared" si="558"/>
        <v>45947</v>
      </c>
      <c r="CC1015" t="str">
        <f t="shared" si="559"/>
        <v>Good</v>
      </c>
      <c r="CE1015" s="32"/>
      <c r="CJ1015">
        <f t="shared" si="560"/>
        <v>17</v>
      </c>
      <c r="CK1015">
        <f t="shared" si="561"/>
        <v>10</v>
      </c>
      <c r="CL1015">
        <f t="shared" si="562"/>
        <v>2025</v>
      </c>
    </row>
    <row r="1016" spans="1:90" ht="15" customHeight="1" x14ac:dyDescent="0.35">
      <c r="A1016" t="s">
        <v>2484</v>
      </c>
      <c r="B1016" t="s">
        <v>250</v>
      </c>
      <c r="C1016" t="s">
        <v>214</v>
      </c>
      <c r="D1016" t="s">
        <v>251</v>
      </c>
      <c r="E1016" s="32">
        <v>45947</v>
      </c>
      <c r="F1016" t="s">
        <v>222</v>
      </c>
      <c r="G1016" t="s">
        <v>2152</v>
      </c>
      <c r="H1016">
        <v>7339648088</v>
      </c>
      <c r="I1016">
        <v>146</v>
      </c>
      <c r="J1016" t="s">
        <v>234</v>
      </c>
      <c r="K1016" t="s">
        <v>71</v>
      </c>
      <c r="L1016" t="s">
        <v>72</v>
      </c>
      <c r="M1016" t="s">
        <v>59</v>
      </c>
      <c r="N1016" t="s">
        <v>59</v>
      </c>
      <c r="O1016" t="s">
        <v>59</v>
      </c>
      <c r="P1016" t="s">
        <v>59</v>
      </c>
      <c r="Q1016" t="s">
        <v>59</v>
      </c>
      <c r="R1016" t="s">
        <v>59</v>
      </c>
      <c r="S1016" t="s">
        <v>59</v>
      </c>
      <c r="T1016" t="s">
        <v>59</v>
      </c>
      <c r="U1016" t="s">
        <v>60</v>
      </c>
      <c r="V1016" t="s">
        <v>59</v>
      </c>
      <c r="W1016" t="s">
        <v>59</v>
      </c>
      <c r="X1016" t="s">
        <v>59</v>
      </c>
      <c r="Y1016" t="s">
        <v>59</v>
      </c>
      <c r="Z1016" t="s">
        <v>59</v>
      </c>
      <c r="AA1016" t="s">
        <v>59</v>
      </c>
      <c r="AB1016" t="s">
        <v>60</v>
      </c>
      <c r="AC1016" t="s">
        <v>59</v>
      </c>
      <c r="AD1016" t="s">
        <v>59</v>
      </c>
      <c r="AE1016" t="s">
        <v>59</v>
      </c>
      <c r="AF1016" t="s">
        <v>59</v>
      </c>
      <c r="AG1016" t="s">
        <v>59</v>
      </c>
      <c r="AH1016" t="s">
        <v>61</v>
      </c>
      <c r="AI1016" t="s">
        <v>61</v>
      </c>
      <c r="AJ1016" t="s">
        <v>59</v>
      </c>
      <c r="AK1016" t="s">
        <v>61</v>
      </c>
      <c r="AL1016" t="s">
        <v>60</v>
      </c>
      <c r="AM1016" t="s">
        <v>59</v>
      </c>
      <c r="AN1016" t="s">
        <v>59</v>
      </c>
      <c r="AO1016" t="s">
        <v>59</v>
      </c>
      <c r="AP1016" s="1" t="s">
        <v>2485</v>
      </c>
      <c r="AQ1016" t="s">
        <v>2486</v>
      </c>
      <c r="AR1016" t="s">
        <v>226</v>
      </c>
      <c r="AS1016" t="s">
        <v>982</v>
      </c>
      <c r="AT1016" t="s">
        <v>583</v>
      </c>
      <c r="AU1016" t="s">
        <v>219</v>
      </c>
      <c r="AW1016" s="4">
        <f t="shared" si="528"/>
        <v>6</v>
      </c>
      <c r="AX1016" s="4">
        <f t="shared" si="529"/>
        <v>4</v>
      </c>
      <c r="AY1016" s="4">
        <f t="shared" si="530"/>
        <v>4</v>
      </c>
      <c r="AZ1016" s="4">
        <f t="shared" si="531"/>
        <v>2</v>
      </c>
      <c r="BA1016" s="4">
        <f t="shared" si="532"/>
        <v>4</v>
      </c>
      <c r="BB1016" s="4">
        <f t="shared" si="533"/>
        <v>4</v>
      </c>
      <c r="BC1016" s="4">
        <f t="shared" si="534"/>
        <v>4</v>
      </c>
      <c r="BD1016" s="4">
        <f t="shared" si="535"/>
        <v>2</v>
      </c>
      <c r="BE1016" s="4" t="str">
        <f t="shared" si="536"/>
        <v>0</v>
      </c>
      <c r="BF1016" s="4">
        <f t="shared" si="537"/>
        <v>2</v>
      </c>
      <c r="BG1016" s="4">
        <f t="shared" si="538"/>
        <v>4</v>
      </c>
      <c r="BH1016" s="4">
        <f t="shared" si="539"/>
        <v>4</v>
      </c>
      <c r="BI1016" s="4">
        <f t="shared" si="540"/>
        <v>4</v>
      </c>
      <c r="BJ1016" s="4">
        <f t="shared" si="541"/>
        <v>2</v>
      </c>
      <c r="BK1016" s="4">
        <f t="shared" si="542"/>
        <v>4</v>
      </c>
      <c r="BL1016" s="4" t="str">
        <f t="shared" si="543"/>
        <v>0</v>
      </c>
      <c r="BM1016" s="4">
        <f t="shared" si="544"/>
        <v>4</v>
      </c>
      <c r="BN1016" s="4">
        <f t="shared" si="545"/>
        <v>4</v>
      </c>
      <c r="BO1016" s="4">
        <f t="shared" si="546"/>
        <v>4</v>
      </c>
      <c r="BP1016" s="4">
        <f t="shared" si="547"/>
        <v>4</v>
      </c>
      <c r="BQ1016" s="4">
        <f t="shared" si="548"/>
        <v>6</v>
      </c>
      <c r="BR1016" s="4">
        <f t="shared" si="549"/>
        <v>4</v>
      </c>
      <c r="BS1016" s="4">
        <f t="shared" si="550"/>
        <v>4</v>
      </c>
      <c r="BT1016" s="4">
        <f t="shared" si="551"/>
        <v>4</v>
      </c>
      <c r="BU1016" s="4">
        <f t="shared" si="552"/>
        <v>4</v>
      </c>
      <c r="BV1016" s="4" t="str">
        <f t="shared" si="553"/>
        <v>0</v>
      </c>
      <c r="BW1016" s="4">
        <f t="shared" si="554"/>
        <v>6</v>
      </c>
      <c r="BX1016" s="4">
        <f t="shared" si="555"/>
        <v>0</v>
      </c>
      <c r="BY1016" s="4">
        <f t="shared" si="556"/>
        <v>0</v>
      </c>
      <c r="BZ1016" s="37">
        <f t="shared" si="557"/>
        <v>94</v>
      </c>
      <c r="CA1016" s="32" t="str">
        <f>VLOOKUP(J:J,'Agent wise'!A:C,3,0)</f>
        <v>Amal</v>
      </c>
      <c r="CB1016" s="32">
        <f t="shared" si="558"/>
        <v>45947</v>
      </c>
      <c r="CC1016" t="str">
        <f t="shared" si="559"/>
        <v>Good</v>
      </c>
      <c r="CE1016" s="32"/>
      <c r="CJ1016">
        <f t="shared" si="560"/>
        <v>17</v>
      </c>
      <c r="CK1016">
        <f t="shared" si="561"/>
        <v>10</v>
      </c>
      <c r="CL1016">
        <f t="shared" si="562"/>
        <v>2025</v>
      </c>
    </row>
    <row r="1017" spans="1:90" ht="15" customHeight="1" x14ac:dyDescent="0.35">
      <c r="A1017" t="s">
        <v>2487</v>
      </c>
      <c r="B1017" t="s">
        <v>250</v>
      </c>
      <c r="C1017" t="s">
        <v>214</v>
      </c>
      <c r="D1017" t="s">
        <v>251</v>
      </c>
      <c r="E1017" s="32">
        <v>45947</v>
      </c>
      <c r="F1017" t="s">
        <v>222</v>
      </c>
      <c r="G1017" t="s">
        <v>2152</v>
      </c>
      <c r="H1017">
        <v>9360389595</v>
      </c>
      <c r="I1017">
        <v>141</v>
      </c>
      <c r="J1017" t="s">
        <v>568</v>
      </c>
      <c r="K1017" t="s">
        <v>71</v>
      </c>
      <c r="L1017" t="s">
        <v>72</v>
      </c>
      <c r="M1017" t="s">
        <v>59</v>
      </c>
      <c r="N1017" t="s">
        <v>59</v>
      </c>
      <c r="O1017" t="s">
        <v>59</v>
      </c>
      <c r="P1017" t="s">
        <v>59</v>
      </c>
      <c r="Q1017" t="s">
        <v>59</v>
      </c>
      <c r="R1017" t="s">
        <v>59</v>
      </c>
      <c r="S1017" t="s">
        <v>59</v>
      </c>
      <c r="T1017" t="s">
        <v>59</v>
      </c>
      <c r="U1017" t="s">
        <v>60</v>
      </c>
      <c r="V1017" t="s">
        <v>59</v>
      </c>
      <c r="W1017" t="s">
        <v>59</v>
      </c>
      <c r="X1017" t="s">
        <v>59</v>
      </c>
      <c r="Y1017" t="s">
        <v>59</v>
      </c>
      <c r="Z1017" t="s">
        <v>59</v>
      </c>
      <c r="AA1017" t="s">
        <v>59</v>
      </c>
      <c r="AB1017" t="s">
        <v>59</v>
      </c>
      <c r="AC1017" t="s">
        <v>59</v>
      </c>
      <c r="AD1017" t="s">
        <v>59</v>
      </c>
      <c r="AE1017" t="s">
        <v>59</v>
      </c>
      <c r="AF1017" t="s">
        <v>59</v>
      </c>
      <c r="AG1017" t="s">
        <v>59</v>
      </c>
      <c r="AH1017" t="s">
        <v>61</v>
      </c>
      <c r="AI1017" t="s">
        <v>61</v>
      </c>
      <c r="AJ1017" t="s">
        <v>59</v>
      </c>
      <c r="AK1017" t="s">
        <v>59</v>
      </c>
      <c r="AL1017" t="s">
        <v>59</v>
      </c>
      <c r="AM1017" t="s">
        <v>59</v>
      </c>
      <c r="AN1017" t="s">
        <v>59</v>
      </c>
      <c r="AO1017" t="s">
        <v>59</v>
      </c>
      <c r="AP1017" t="s">
        <v>270</v>
      </c>
      <c r="AQ1017" t="s">
        <v>2488</v>
      </c>
      <c r="AR1017" t="s">
        <v>226</v>
      </c>
      <c r="AS1017" t="s">
        <v>695</v>
      </c>
      <c r="AT1017" t="s">
        <v>331</v>
      </c>
      <c r="AU1017" t="s">
        <v>219</v>
      </c>
      <c r="AW1017" s="4">
        <f t="shared" si="528"/>
        <v>6</v>
      </c>
      <c r="AX1017" s="4">
        <f t="shared" si="529"/>
        <v>4</v>
      </c>
      <c r="AY1017" s="4">
        <f t="shared" si="530"/>
        <v>4</v>
      </c>
      <c r="AZ1017" s="4">
        <f t="shared" si="531"/>
        <v>2</v>
      </c>
      <c r="BA1017" s="4">
        <f t="shared" si="532"/>
        <v>4</v>
      </c>
      <c r="BB1017" s="4">
        <f t="shared" si="533"/>
        <v>4</v>
      </c>
      <c r="BC1017" s="4">
        <f t="shared" si="534"/>
        <v>4</v>
      </c>
      <c r="BD1017" s="4">
        <f t="shared" si="535"/>
        <v>2</v>
      </c>
      <c r="BE1017" s="4" t="str">
        <f t="shared" si="536"/>
        <v>0</v>
      </c>
      <c r="BF1017" s="4">
        <f t="shared" si="537"/>
        <v>2</v>
      </c>
      <c r="BG1017" s="4">
        <f t="shared" si="538"/>
        <v>4</v>
      </c>
      <c r="BH1017" s="4">
        <f t="shared" si="539"/>
        <v>4</v>
      </c>
      <c r="BI1017" s="4">
        <f t="shared" si="540"/>
        <v>4</v>
      </c>
      <c r="BJ1017" s="4">
        <f t="shared" si="541"/>
        <v>2</v>
      </c>
      <c r="BK1017" s="4">
        <f t="shared" si="542"/>
        <v>4</v>
      </c>
      <c r="BL1017" s="4">
        <f t="shared" si="543"/>
        <v>2</v>
      </c>
      <c r="BM1017" s="4">
        <f t="shared" si="544"/>
        <v>4</v>
      </c>
      <c r="BN1017" s="4">
        <f t="shared" si="545"/>
        <v>4</v>
      </c>
      <c r="BO1017" s="4">
        <f t="shared" si="546"/>
        <v>4</v>
      </c>
      <c r="BP1017" s="4">
        <f t="shared" si="547"/>
        <v>4</v>
      </c>
      <c r="BQ1017" s="4">
        <f t="shared" si="548"/>
        <v>6</v>
      </c>
      <c r="BR1017" s="4">
        <f t="shared" si="549"/>
        <v>4</v>
      </c>
      <c r="BS1017" s="4">
        <f t="shared" si="550"/>
        <v>4</v>
      </c>
      <c r="BT1017" s="4">
        <f t="shared" si="551"/>
        <v>4</v>
      </c>
      <c r="BU1017" s="4">
        <f t="shared" si="552"/>
        <v>4</v>
      </c>
      <c r="BV1017" s="4">
        <f t="shared" si="553"/>
        <v>0</v>
      </c>
      <c r="BW1017" s="4">
        <f t="shared" si="554"/>
        <v>6</v>
      </c>
      <c r="BX1017" s="4">
        <f t="shared" si="555"/>
        <v>0</v>
      </c>
      <c r="BY1017" s="4">
        <f t="shared" si="556"/>
        <v>0</v>
      </c>
      <c r="BZ1017" s="37">
        <f t="shared" si="557"/>
        <v>96</v>
      </c>
      <c r="CA1017" s="32" t="str">
        <f>VLOOKUP(J:J,'Agent wise'!A:C,3,0)</f>
        <v>Amal</v>
      </c>
      <c r="CB1017" s="32">
        <f t="shared" si="558"/>
        <v>45947</v>
      </c>
      <c r="CC1017" t="str">
        <f t="shared" si="559"/>
        <v>Excellent</v>
      </c>
      <c r="CE1017" s="32"/>
      <c r="CJ1017">
        <f t="shared" si="560"/>
        <v>17</v>
      </c>
      <c r="CK1017">
        <f t="shared" si="561"/>
        <v>10</v>
      </c>
      <c r="CL1017">
        <f t="shared" si="562"/>
        <v>2025</v>
      </c>
    </row>
    <row r="1018" spans="1:90" ht="15" customHeight="1" x14ac:dyDescent="0.35">
      <c r="A1018" t="s">
        <v>2489</v>
      </c>
      <c r="B1018" t="s">
        <v>100</v>
      </c>
      <c r="C1018" t="s">
        <v>214</v>
      </c>
      <c r="D1018" t="s">
        <v>101</v>
      </c>
      <c r="E1018" s="32">
        <v>45948</v>
      </c>
      <c r="F1018" t="s">
        <v>54</v>
      </c>
      <c r="G1018" t="s">
        <v>2369</v>
      </c>
      <c r="H1018">
        <v>8129231054</v>
      </c>
      <c r="I1018">
        <v>139</v>
      </c>
      <c r="J1018" t="s">
        <v>2491</v>
      </c>
      <c r="K1018" t="s">
        <v>57</v>
      </c>
      <c r="L1018" t="s">
        <v>58</v>
      </c>
      <c r="M1018" t="s">
        <v>59</v>
      </c>
      <c r="N1018" t="s">
        <v>59</v>
      </c>
      <c r="O1018" t="s">
        <v>59</v>
      </c>
      <c r="P1018" t="s">
        <v>60</v>
      </c>
      <c r="Q1018" t="s">
        <v>59</v>
      </c>
      <c r="R1018" t="s">
        <v>60</v>
      </c>
      <c r="S1018" t="s">
        <v>60</v>
      </c>
      <c r="T1018" t="s">
        <v>59</v>
      </c>
      <c r="U1018" t="s">
        <v>60</v>
      </c>
      <c r="V1018" t="s">
        <v>59</v>
      </c>
      <c r="W1018" t="s">
        <v>59</v>
      </c>
      <c r="X1018" t="s">
        <v>61</v>
      </c>
      <c r="Y1018" t="s">
        <v>59</v>
      </c>
      <c r="Z1018" t="s">
        <v>59</v>
      </c>
      <c r="AA1018" t="s">
        <v>60</v>
      </c>
      <c r="AB1018" t="s">
        <v>60</v>
      </c>
      <c r="AC1018" t="s">
        <v>61</v>
      </c>
      <c r="AD1018" t="s">
        <v>60</v>
      </c>
      <c r="AE1018" t="s">
        <v>60</v>
      </c>
      <c r="AF1018" t="s">
        <v>61</v>
      </c>
      <c r="AG1018" t="s">
        <v>60</v>
      </c>
      <c r="AH1018" t="s">
        <v>61</v>
      </c>
      <c r="AI1018" t="s">
        <v>61</v>
      </c>
      <c r="AJ1018" t="s">
        <v>61</v>
      </c>
      <c r="AK1018" t="s">
        <v>61</v>
      </c>
      <c r="AL1018" t="s">
        <v>60</v>
      </c>
      <c r="AM1018" t="s">
        <v>59</v>
      </c>
      <c r="AN1018" t="s">
        <v>59</v>
      </c>
      <c r="AO1018" t="s">
        <v>60</v>
      </c>
      <c r="AP1018" t="s">
        <v>2492</v>
      </c>
      <c r="AQ1018" s="1" t="s">
        <v>2493</v>
      </c>
      <c r="AR1018" t="s">
        <v>64</v>
      </c>
      <c r="AS1018" t="s">
        <v>83</v>
      </c>
      <c r="AT1018" t="s">
        <v>84</v>
      </c>
      <c r="AU1018" t="s">
        <v>299</v>
      </c>
      <c r="AW1018" s="4">
        <f t="shared" si="528"/>
        <v>6</v>
      </c>
      <c r="AX1018" s="4">
        <f t="shared" si="529"/>
        <v>4</v>
      </c>
      <c r="AY1018" s="4">
        <f t="shared" si="530"/>
        <v>4</v>
      </c>
      <c r="AZ1018" s="4" t="str">
        <f t="shared" si="531"/>
        <v>0</v>
      </c>
      <c r="BA1018" s="4">
        <f t="shared" si="532"/>
        <v>4</v>
      </c>
      <c r="BB1018" s="4" t="str">
        <f t="shared" si="533"/>
        <v>0</v>
      </c>
      <c r="BC1018" s="4" t="str">
        <f t="shared" si="534"/>
        <v>0</v>
      </c>
      <c r="BD1018" s="4">
        <f t="shared" si="535"/>
        <v>2</v>
      </c>
      <c r="BE1018" s="4" t="str">
        <f t="shared" si="536"/>
        <v>0</v>
      </c>
      <c r="BF1018" s="4">
        <f t="shared" si="537"/>
        <v>2</v>
      </c>
      <c r="BG1018" s="4">
        <f t="shared" si="538"/>
        <v>4</v>
      </c>
      <c r="BH1018" s="4">
        <f t="shared" si="539"/>
        <v>4</v>
      </c>
      <c r="BI1018" s="4">
        <f t="shared" si="540"/>
        <v>4</v>
      </c>
      <c r="BJ1018" s="4">
        <f t="shared" si="541"/>
        <v>2</v>
      </c>
      <c r="BK1018" s="4" t="str">
        <f t="shared" si="542"/>
        <v>0</v>
      </c>
      <c r="BL1018" s="4" t="str">
        <f t="shared" si="543"/>
        <v>0</v>
      </c>
      <c r="BM1018" s="4">
        <f t="shared" si="544"/>
        <v>4</v>
      </c>
      <c r="BN1018" s="4" t="str">
        <f t="shared" si="545"/>
        <v>0</v>
      </c>
      <c r="BO1018" s="4" t="str">
        <f t="shared" si="546"/>
        <v>0</v>
      </c>
      <c r="BP1018" s="4">
        <f t="shared" si="547"/>
        <v>4</v>
      </c>
      <c r="BQ1018" s="4" t="str">
        <f t="shared" si="548"/>
        <v>0</v>
      </c>
      <c r="BR1018" s="4">
        <f t="shared" si="549"/>
        <v>4</v>
      </c>
      <c r="BS1018" s="4">
        <f t="shared" si="550"/>
        <v>4</v>
      </c>
      <c r="BT1018" s="4">
        <f t="shared" si="551"/>
        <v>4</v>
      </c>
      <c r="BU1018" s="4">
        <f t="shared" si="552"/>
        <v>4</v>
      </c>
      <c r="BV1018" s="4" t="str">
        <f t="shared" si="553"/>
        <v>0</v>
      </c>
      <c r="BW1018" s="4">
        <f t="shared" si="554"/>
        <v>6</v>
      </c>
      <c r="BX1018" s="4">
        <f t="shared" si="555"/>
        <v>0</v>
      </c>
      <c r="BY1018" s="4" t="str">
        <f t="shared" si="556"/>
        <v>0</v>
      </c>
      <c r="BZ1018" s="37">
        <f t="shared" si="557"/>
        <v>66</v>
      </c>
      <c r="CA1018" s="32" t="e">
        <f>VLOOKUP(J:J,'Agent wise'!A:C,3,0)</f>
        <v>#N/A</v>
      </c>
      <c r="CB1018" s="32">
        <f t="shared" si="558"/>
        <v>45948</v>
      </c>
      <c r="CC1018" t="str">
        <f t="shared" si="559"/>
        <v>FC</v>
      </c>
      <c r="CE1018" s="32"/>
      <c r="CJ1018">
        <f t="shared" si="560"/>
        <v>18</v>
      </c>
      <c r="CK1018">
        <f t="shared" si="561"/>
        <v>10</v>
      </c>
      <c r="CL1018">
        <f t="shared" si="562"/>
        <v>2025</v>
      </c>
    </row>
    <row r="1019" spans="1:90" ht="15" customHeight="1" x14ac:dyDescent="0.35">
      <c r="A1019" t="s">
        <v>2494</v>
      </c>
      <c r="B1019" t="s">
        <v>100</v>
      </c>
      <c r="C1019" t="s">
        <v>214</v>
      </c>
      <c r="D1019" t="s">
        <v>101</v>
      </c>
      <c r="E1019" s="32">
        <v>45948</v>
      </c>
      <c r="F1019" t="s">
        <v>54</v>
      </c>
      <c r="G1019" t="s">
        <v>2369</v>
      </c>
      <c r="H1019">
        <v>9037712234</v>
      </c>
      <c r="I1019">
        <v>164</v>
      </c>
      <c r="J1019" t="s">
        <v>2491</v>
      </c>
      <c r="K1019" t="s">
        <v>57</v>
      </c>
      <c r="L1019" t="s">
        <v>58</v>
      </c>
      <c r="M1019" t="s">
        <v>59</v>
      </c>
      <c r="N1019" t="s">
        <v>59</v>
      </c>
      <c r="O1019" t="s">
        <v>59</v>
      </c>
      <c r="P1019" t="s">
        <v>59</v>
      </c>
      <c r="Q1019" t="s">
        <v>59</v>
      </c>
      <c r="R1019" t="s">
        <v>60</v>
      </c>
      <c r="S1019" t="s">
        <v>59</v>
      </c>
      <c r="T1019" t="s">
        <v>59</v>
      </c>
      <c r="U1019" t="s">
        <v>60</v>
      </c>
      <c r="V1019" t="s">
        <v>59</v>
      </c>
      <c r="W1019" t="s">
        <v>59</v>
      </c>
      <c r="X1019" t="s">
        <v>61</v>
      </c>
      <c r="Y1019" t="s">
        <v>59</v>
      </c>
      <c r="Z1019" t="s">
        <v>59</v>
      </c>
      <c r="AA1019" t="s">
        <v>60</v>
      </c>
      <c r="AB1019" t="s">
        <v>61</v>
      </c>
      <c r="AC1019" t="s">
        <v>60</v>
      </c>
      <c r="AD1019" t="s">
        <v>60</v>
      </c>
      <c r="AE1019" t="s">
        <v>59</v>
      </c>
      <c r="AF1019" t="s">
        <v>59</v>
      </c>
      <c r="AG1019" t="s">
        <v>60</v>
      </c>
      <c r="AH1019" t="s">
        <v>61</v>
      </c>
      <c r="AI1019" t="s">
        <v>61</v>
      </c>
      <c r="AJ1019" t="s">
        <v>59</v>
      </c>
      <c r="AK1019" t="s">
        <v>61</v>
      </c>
      <c r="AL1019" t="s">
        <v>60</v>
      </c>
      <c r="AM1019" t="s">
        <v>59</v>
      </c>
      <c r="AN1019" t="s">
        <v>59</v>
      </c>
      <c r="AO1019" t="s">
        <v>60</v>
      </c>
      <c r="AP1019" t="s">
        <v>2492</v>
      </c>
      <c r="AQ1019" s="1" t="s">
        <v>2495</v>
      </c>
      <c r="AR1019" t="s">
        <v>64</v>
      </c>
      <c r="AS1019" t="s">
        <v>171</v>
      </c>
      <c r="AT1019" t="s">
        <v>190</v>
      </c>
      <c r="AU1019" t="s">
        <v>299</v>
      </c>
      <c r="AW1019" s="4">
        <f t="shared" si="528"/>
        <v>6</v>
      </c>
      <c r="AX1019" s="4">
        <f t="shared" si="529"/>
        <v>4</v>
      </c>
      <c r="AY1019" s="4">
        <f t="shared" si="530"/>
        <v>4</v>
      </c>
      <c r="AZ1019" s="4">
        <f t="shared" si="531"/>
        <v>2</v>
      </c>
      <c r="BA1019" s="4">
        <f t="shared" si="532"/>
        <v>4</v>
      </c>
      <c r="BB1019" s="4" t="str">
        <f t="shared" si="533"/>
        <v>0</v>
      </c>
      <c r="BC1019" s="4">
        <f t="shared" si="534"/>
        <v>4</v>
      </c>
      <c r="BD1019" s="4">
        <f t="shared" si="535"/>
        <v>2</v>
      </c>
      <c r="BE1019" s="4" t="str">
        <f t="shared" si="536"/>
        <v>0</v>
      </c>
      <c r="BF1019" s="4">
        <f t="shared" si="537"/>
        <v>2</v>
      </c>
      <c r="BG1019" s="4">
        <f t="shared" si="538"/>
        <v>4</v>
      </c>
      <c r="BH1019" s="4">
        <f t="shared" si="539"/>
        <v>4</v>
      </c>
      <c r="BI1019" s="4">
        <f t="shared" si="540"/>
        <v>4</v>
      </c>
      <c r="BJ1019" s="4">
        <f t="shared" si="541"/>
        <v>2</v>
      </c>
      <c r="BK1019" s="4" t="str">
        <f t="shared" si="542"/>
        <v>0</v>
      </c>
      <c r="BL1019" s="4">
        <f t="shared" si="543"/>
        <v>2</v>
      </c>
      <c r="BM1019" s="4" t="str">
        <f t="shared" si="544"/>
        <v>0</v>
      </c>
      <c r="BN1019" s="4" t="str">
        <f t="shared" si="545"/>
        <v>0</v>
      </c>
      <c r="BO1019" s="4">
        <f t="shared" si="546"/>
        <v>4</v>
      </c>
      <c r="BP1019" s="4">
        <f t="shared" si="547"/>
        <v>4</v>
      </c>
      <c r="BQ1019" s="4" t="str">
        <f t="shared" si="548"/>
        <v>0</v>
      </c>
      <c r="BR1019" s="4">
        <f t="shared" si="549"/>
        <v>4</v>
      </c>
      <c r="BS1019" s="4">
        <f t="shared" si="550"/>
        <v>4</v>
      </c>
      <c r="BT1019" s="4">
        <f t="shared" si="551"/>
        <v>4</v>
      </c>
      <c r="BU1019" s="4">
        <f t="shared" si="552"/>
        <v>4</v>
      </c>
      <c r="BV1019" s="4" t="str">
        <f t="shared" si="553"/>
        <v>0</v>
      </c>
      <c r="BW1019" s="4">
        <f t="shared" si="554"/>
        <v>6</v>
      </c>
      <c r="BX1019" s="4">
        <f t="shared" si="555"/>
        <v>0</v>
      </c>
      <c r="BY1019" s="4" t="str">
        <f t="shared" si="556"/>
        <v>0</v>
      </c>
      <c r="BZ1019" s="37">
        <f t="shared" si="557"/>
        <v>74</v>
      </c>
      <c r="CA1019" s="32" t="e">
        <f>VLOOKUP(J:J,'Agent wise'!A:C,3,0)</f>
        <v>#N/A</v>
      </c>
      <c r="CB1019" s="32">
        <f t="shared" si="558"/>
        <v>45948</v>
      </c>
      <c r="CC1019" t="str">
        <f t="shared" si="559"/>
        <v>FC</v>
      </c>
      <c r="CE1019" s="32"/>
      <c r="CJ1019">
        <f t="shared" si="560"/>
        <v>18</v>
      </c>
      <c r="CK1019">
        <f t="shared" si="561"/>
        <v>10</v>
      </c>
      <c r="CL1019">
        <f t="shared" si="562"/>
        <v>2025</v>
      </c>
    </row>
    <row r="1020" spans="1:90" ht="15" customHeight="1" x14ac:dyDescent="0.35">
      <c r="A1020" t="s">
        <v>2496</v>
      </c>
      <c r="B1020" t="s">
        <v>100</v>
      </c>
      <c r="C1020" t="s">
        <v>214</v>
      </c>
      <c r="D1020" t="s">
        <v>101</v>
      </c>
      <c r="E1020" s="32">
        <v>45948</v>
      </c>
      <c r="F1020" t="s">
        <v>54</v>
      </c>
      <c r="G1020" t="s">
        <v>2369</v>
      </c>
      <c r="H1020">
        <v>8086532300</v>
      </c>
      <c r="I1020">
        <v>147</v>
      </c>
      <c r="J1020" t="s">
        <v>2491</v>
      </c>
      <c r="K1020" t="s">
        <v>57</v>
      </c>
      <c r="L1020" t="s">
        <v>58</v>
      </c>
      <c r="M1020" t="s">
        <v>59</v>
      </c>
      <c r="N1020" t="s">
        <v>59</v>
      </c>
      <c r="O1020" t="s">
        <v>60</v>
      </c>
      <c r="P1020" t="s">
        <v>59</v>
      </c>
      <c r="Q1020" t="s">
        <v>59</v>
      </c>
      <c r="R1020" t="s">
        <v>60</v>
      </c>
      <c r="S1020" t="s">
        <v>60</v>
      </c>
      <c r="T1020" t="s">
        <v>59</v>
      </c>
      <c r="U1020" t="s">
        <v>60</v>
      </c>
      <c r="V1020" t="s">
        <v>59</v>
      </c>
      <c r="W1020" t="s">
        <v>60</v>
      </c>
      <c r="X1020" t="s">
        <v>61</v>
      </c>
      <c r="Y1020" t="s">
        <v>59</v>
      </c>
      <c r="Z1020" t="s">
        <v>59</v>
      </c>
      <c r="AA1020" t="s">
        <v>60</v>
      </c>
      <c r="AB1020" t="s">
        <v>61</v>
      </c>
      <c r="AC1020" t="s">
        <v>61</v>
      </c>
      <c r="AD1020" t="s">
        <v>60</v>
      </c>
      <c r="AE1020" t="s">
        <v>60</v>
      </c>
      <c r="AF1020" t="s">
        <v>61</v>
      </c>
      <c r="AG1020" t="s">
        <v>60</v>
      </c>
      <c r="AH1020" t="s">
        <v>61</v>
      </c>
      <c r="AI1020" t="s">
        <v>61</v>
      </c>
      <c r="AJ1020" t="s">
        <v>59</v>
      </c>
      <c r="AK1020" t="s">
        <v>61</v>
      </c>
      <c r="AL1020" t="s">
        <v>60</v>
      </c>
      <c r="AM1020" t="s">
        <v>59</v>
      </c>
      <c r="AN1020" t="s">
        <v>59</v>
      </c>
      <c r="AO1020" t="s">
        <v>60</v>
      </c>
      <c r="AP1020" t="s">
        <v>2492</v>
      </c>
      <c r="AQ1020" s="1" t="s">
        <v>2495</v>
      </c>
      <c r="AR1020" t="s">
        <v>64</v>
      </c>
      <c r="AS1020" t="s">
        <v>89</v>
      </c>
      <c r="AT1020" t="s">
        <v>84</v>
      </c>
      <c r="AU1020" t="s">
        <v>299</v>
      </c>
      <c r="AW1020" s="4">
        <f t="shared" si="528"/>
        <v>6</v>
      </c>
      <c r="AX1020" s="4">
        <f t="shared" si="529"/>
        <v>4</v>
      </c>
      <c r="AY1020" s="4" t="str">
        <f t="shared" si="530"/>
        <v>0</v>
      </c>
      <c r="AZ1020" s="4">
        <f t="shared" si="531"/>
        <v>2</v>
      </c>
      <c r="BA1020" s="4">
        <f t="shared" si="532"/>
        <v>4</v>
      </c>
      <c r="BB1020" s="4" t="str">
        <f t="shared" si="533"/>
        <v>0</v>
      </c>
      <c r="BC1020" s="4" t="str">
        <f t="shared" si="534"/>
        <v>0</v>
      </c>
      <c r="BD1020" s="4">
        <f t="shared" si="535"/>
        <v>2</v>
      </c>
      <c r="BE1020" s="4" t="str">
        <f t="shared" si="536"/>
        <v>0</v>
      </c>
      <c r="BF1020" s="4">
        <f t="shared" si="537"/>
        <v>2</v>
      </c>
      <c r="BG1020" s="4" t="str">
        <f t="shared" si="538"/>
        <v>0</v>
      </c>
      <c r="BH1020" s="4">
        <f t="shared" si="539"/>
        <v>4</v>
      </c>
      <c r="BI1020" s="4">
        <f t="shared" si="540"/>
        <v>4</v>
      </c>
      <c r="BJ1020" s="4">
        <f t="shared" si="541"/>
        <v>2</v>
      </c>
      <c r="BK1020" s="4" t="str">
        <f t="shared" si="542"/>
        <v>0</v>
      </c>
      <c r="BL1020" s="4">
        <f t="shared" si="543"/>
        <v>2</v>
      </c>
      <c r="BM1020" s="4">
        <f t="shared" si="544"/>
        <v>4</v>
      </c>
      <c r="BN1020" s="4" t="str">
        <f t="shared" si="545"/>
        <v>0</v>
      </c>
      <c r="BO1020" s="4" t="str">
        <f t="shared" si="546"/>
        <v>0</v>
      </c>
      <c r="BP1020" s="4">
        <f t="shared" si="547"/>
        <v>4</v>
      </c>
      <c r="BQ1020" s="4" t="str">
        <f t="shared" si="548"/>
        <v>0</v>
      </c>
      <c r="BR1020" s="4">
        <f t="shared" si="549"/>
        <v>4</v>
      </c>
      <c r="BS1020" s="4">
        <f t="shared" si="550"/>
        <v>4</v>
      </c>
      <c r="BT1020" s="4">
        <f t="shared" si="551"/>
        <v>4</v>
      </c>
      <c r="BU1020" s="4">
        <f t="shared" si="552"/>
        <v>4</v>
      </c>
      <c r="BV1020" s="4" t="str">
        <f t="shared" si="553"/>
        <v>0</v>
      </c>
      <c r="BW1020" s="4">
        <f t="shared" si="554"/>
        <v>6</v>
      </c>
      <c r="BX1020" s="4">
        <f t="shared" si="555"/>
        <v>0</v>
      </c>
      <c r="BY1020" s="4" t="str">
        <f t="shared" si="556"/>
        <v>0</v>
      </c>
      <c r="BZ1020" s="37">
        <f t="shared" si="557"/>
        <v>62</v>
      </c>
      <c r="CA1020" s="32" t="e">
        <f>VLOOKUP(J:J,'Agent wise'!A:C,3,0)</f>
        <v>#N/A</v>
      </c>
      <c r="CB1020" s="32">
        <f t="shared" si="558"/>
        <v>45948</v>
      </c>
      <c r="CC1020" t="str">
        <f t="shared" si="559"/>
        <v>FC</v>
      </c>
      <c r="CE1020" s="32"/>
      <c r="CJ1020">
        <f t="shared" si="560"/>
        <v>18</v>
      </c>
      <c r="CK1020">
        <f t="shared" si="561"/>
        <v>10</v>
      </c>
      <c r="CL1020">
        <f t="shared" si="562"/>
        <v>2025</v>
      </c>
    </row>
    <row r="1021" spans="1:90" ht="15" customHeight="1" x14ac:dyDescent="0.35">
      <c r="A1021" t="s">
        <v>2497</v>
      </c>
      <c r="B1021" t="s">
        <v>100</v>
      </c>
      <c r="C1021" t="s">
        <v>214</v>
      </c>
      <c r="D1021" t="s">
        <v>101</v>
      </c>
      <c r="E1021" s="32">
        <v>45948</v>
      </c>
      <c r="F1021" t="s">
        <v>54</v>
      </c>
      <c r="G1021" t="s">
        <v>2369</v>
      </c>
      <c r="H1021">
        <v>9488975512</v>
      </c>
      <c r="I1021">
        <v>131</v>
      </c>
      <c r="J1021" t="s">
        <v>2498</v>
      </c>
      <c r="K1021" t="s">
        <v>71</v>
      </c>
      <c r="L1021" t="s">
        <v>72</v>
      </c>
      <c r="M1021" t="s">
        <v>59</v>
      </c>
      <c r="N1021" t="s">
        <v>59</v>
      </c>
      <c r="O1021" t="s">
        <v>59</v>
      </c>
      <c r="P1021" t="s">
        <v>59</v>
      </c>
      <c r="Q1021" t="s">
        <v>59</v>
      </c>
      <c r="R1021" t="s">
        <v>60</v>
      </c>
      <c r="S1021" t="s">
        <v>59</v>
      </c>
      <c r="T1021" t="s">
        <v>59</v>
      </c>
      <c r="U1021" t="s">
        <v>60</v>
      </c>
      <c r="V1021" t="s">
        <v>59</v>
      </c>
      <c r="W1021" t="s">
        <v>59</v>
      </c>
      <c r="X1021" t="s">
        <v>59</v>
      </c>
      <c r="Y1021" t="s">
        <v>59</v>
      </c>
      <c r="Z1021" t="s">
        <v>59</v>
      </c>
      <c r="AA1021" t="s">
        <v>60</v>
      </c>
      <c r="AB1021" t="s">
        <v>61</v>
      </c>
      <c r="AC1021" t="s">
        <v>61</v>
      </c>
      <c r="AD1021" t="s">
        <v>59</v>
      </c>
      <c r="AE1021" t="s">
        <v>59</v>
      </c>
      <c r="AF1021" t="s">
        <v>59</v>
      </c>
      <c r="AG1021" t="s">
        <v>59</v>
      </c>
      <c r="AH1021" t="s">
        <v>61</v>
      </c>
      <c r="AI1021" t="s">
        <v>61</v>
      </c>
      <c r="AJ1021" t="s">
        <v>59</v>
      </c>
      <c r="AK1021" t="s">
        <v>61</v>
      </c>
      <c r="AL1021" t="s">
        <v>60</v>
      </c>
      <c r="AM1021" t="s">
        <v>59</v>
      </c>
      <c r="AN1021" t="s">
        <v>59</v>
      </c>
      <c r="AO1021" t="s">
        <v>59</v>
      </c>
      <c r="AP1021" t="s">
        <v>2492</v>
      </c>
      <c r="AQ1021" s="1" t="s">
        <v>2499</v>
      </c>
      <c r="AR1021" t="s">
        <v>64</v>
      </c>
      <c r="AS1021" t="s">
        <v>338</v>
      </c>
      <c r="AT1021" t="s">
        <v>176</v>
      </c>
      <c r="AU1021" t="s">
        <v>299</v>
      </c>
      <c r="AW1021" s="4">
        <f t="shared" si="528"/>
        <v>6</v>
      </c>
      <c r="AX1021" s="4">
        <f t="shared" si="529"/>
        <v>4</v>
      </c>
      <c r="AY1021" s="4">
        <f t="shared" si="530"/>
        <v>4</v>
      </c>
      <c r="AZ1021" s="4">
        <f t="shared" si="531"/>
        <v>2</v>
      </c>
      <c r="BA1021" s="4">
        <f t="shared" si="532"/>
        <v>4</v>
      </c>
      <c r="BB1021" s="4" t="str">
        <f t="shared" si="533"/>
        <v>0</v>
      </c>
      <c r="BC1021" s="4">
        <f t="shared" si="534"/>
        <v>4</v>
      </c>
      <c r="BD1021" s="4">
        <f t="shared" si="535"/>
        <v>2</v>
      </c>
      <c r="BE1021" s="4" t="str">
        <f t="shared" si="536"/>
        <v>0</v>
      </c>
      <c r="BF1021" s="4">
        <f t="shared" si="537"/>
        <v>2</v>
      </c>
      <c r="BG1021" s="4">
        <f t="shared" si="538"/>
        <v>4</v>
      </c>
      <c r="BH1021" s="4">
        <f t="shared" si="539"/>
        <v>4</v>
      </c>
      <c r="BI1021" s="4">
        <f t="shared" si="540"/>
        <v>4</v>
      </c>
      <c r="BJ1021" s="4">
        <f t="shared" si="541"/>
        <v>2</v>
      </c>
      <c r="BK1021" s="4" t="str">
        <f t="shared" si="542"/>
        <v>0</v>
      </c>
      <c r="BL1021" s="4">
        <f t="shared" si="543"/>
        <v>2</v>
      </c>
      <c r="BM1021" s="4">
        <f t="shared" si="544"/>
        <v>4</v>
      </c>
      <c r="BN1021" s="4">
        <f t="shared" si="545"/>
        <v>4</v>
      </c>
      <c r="BO1021" s="4">
        <f t="shared" si="546"/>
        <v>4</v>
      </c>
      <c r="BP1021" s="4">
        <f t="shared" si="547"/>
        <v>4</v>
      </c>
      <c r="BQ1021" s="4">
        <f t="shared" si="548"/>
        <v>6</v>
      </c>
      <c r="BR1021" s="4">
        <f t="shared" si="549"/>
        <v>4</v>
      </c>
      <c r="BS1021" s="4">
        <f t="shared" si="550"/>
        <v>4</v>
      </c>
      <c r="BT1021" s="4">
        <f t="shared" si="551"/>
        <v>4</v>
      </c>
      <c r="BU1021" s="4">
        <f t="shared" si="552"/>
        <v>4</v>
      </c>
      <c r="BV1021" s="4" t="str">
        <f t="shared" si="553"/>
        <v>0</v>
      </c>
      <c r="BW1021" s="4">
        <f t="shared" si="554"/>
        <v>6</v>
      </c>
      <c r="BX1021" s="4">
        <f t="shared" si="555"/>
        <v>0</v>
      </c>
      <c r="BY1021" s="4">
        <f t="shared" si="556"/>
        <v>0</v>
      </c>
      <c r="BZ1021" s="37">
        <f t="shared" si="557"/>
        <v>88</v>
      </c>
      <c r="CA1021" s="32" t="e">
        <f>VLOOKUP(J:J,'Agent wise'!A:C,3,0)</f>
        <v>#N/A</v>
      </c>
      <c r="CB1021" s="32">
        <f t="shared" si="558"/>
        <v>45948</v>
      </c>
      <c r="CC1021" t="str">
        <f t="shared" si="559"/>
        <v>Average</v>
      </c>
      <c r="CE1021" s="32"/>
      <c r="CJ1021">
        <f t="shared" si="560"/>
        <v>18</v>
      </c>
      <c r="CK1021">
        <f t="shared" si="561"/>
        <v>10</v>
      </c>
      <c r="CL1021">
        <f t="shared" si="562"/>
        <v>2025</v>
      </c>
    </row>
    <row r="1022" spans="1:90" ht="15" customHeight="1" x14ac:dyDescent="0.35">
      <c r="A1022" t="s">
        <v>2500</v>
      </c>
      <c r="B1022" t="s">
        <v>100</v>
      </c>
      <c r="C1022" t="s">
        <v>214</v>
      </c>
      <c r="D1022" t="s">
        <v>101</v>
      </c>
      <c r="E1022" s="32">
        <v>45948</v>
      </c>
      <c r="F1022" t="s">
        <v>54</v>
      </c>
      <c r="G1022" t="s">
        <v>2369</v>
      </c>
      <c r="H1022">
        <v>9444405003</v>
      </c>
      <c r="I1022">
        <v>138</v>
      </c>
      <c r="J1022" t="s">
        <v>2498</v>
      </c>
      <c r="K1022" t="s">
        <v>71</v>
      </c>
      <c r="L1022" t="s">
        <v>72</v>
      </c>
      <c r="M1022" t="s">
        <v>60</v>
      </c>
      <c r="N1022" t="s">
        <v>59</v>
      </c>
      <c r="O1022" t="s">
        <v>59</v>
      </c>
      <c r="P1022" t="s">
        <v>59</v>
      </c>
      <c r="Q1022" t="s">
        <v>59</v>
      </c>
      <c r="R1022" t="s">
        <v>60</v>
      </c>
      <c r="S1022" t="s">
        <v>60</v>
      </c>
      <c r="T1022" t="s">
        <v>59</v>
      </c>
      <c r="U1022" t="s">
        <v>60</v>
      </c>
      <c r="V1022" t="s">
        <v>59</v>
      </c>
      <c r="W1022" t="s">
        <v>59</v>
      </c>
      <c r="X1022" t="s">
        <v>59</v>
      </c>
      <c r="Y1022" t="s">
        <v>59</v>
      </c>
      <c r="Z1022" t="s">
        <v>59</v>
      </c>
      <c r="AA1022" t="s">
        <v>60</v>
      </c>
      <c r="AB1022" t="s">
        <v>59</v>
      </c>
      <c r="AC1022" t="s">
        <v>60</v>
      </c>
      <c r="AD1022" t="s">
        <v>60</v>
      </c>
      <c r="AE1022" t="s">
        <v>60</v>
      </c>
      <c r="AF1022" t="s">
        <v>59</v>
      </c>
      <c r="AG1022" t="s">
        <v>60</v>
      </c>
      <c r="AH1022" t="s">
        <v>61</v>
      </c>
      <c r="AI1022" t="s">
        <v>61</v>
      </c>
      <c r="AJ1022" t="s">
        <v>61</v>
      </c>
      <c r="AK1022" t="s">
        <v>61</v>
      </c>
      <c r="AL1022" t="s">
        <v>60</v>
      </c>
      <c r="AM1022" t="s">
        <v>59</v>
      </c>
      <c r="AN1022" t="s">
        <v>59</v>
      </c>
      <c r="AO1022" t="s">
        <v>60</v>
      </c>
      <c r="AP1022" s="1" t="s">
        <v>2501</v>
      </c>
      <c r="AQ1022" s="1" t="s">
        <v>2502</v>
      </c>
      <c r="AR1022" t="s">
        <v>64</v>
      </c>
      <c r="AS1022" t="s">
        <v>89</v>
      </c>
      <c r="AT1022" t="s">
        <v>293</v>
      </c>
      <c r="AU1022" t="s">
        <v>299</v>
      </c>
      <c r="AW1022" s="4" t="str">
        <f t="shared" si="528"/>
        <v>0</v>
      </c>
      <c r="AX1022" s="4">
        <f t="shared" si="529"/>
        <v>4</v>
      </c>
      <c r="AY1022" s="4">
        <f t="shared" si="530"/>
        <v>4</v>
      </c>
      <c r="AZ1022" s="4">
        <f t="shared" si="531"/>
        <v>2</v>
      </c>
      <c r="BA1022" s="4">
        <f t="shared" si="532"/>
        <v>4</v>
      </c>
      <c r="BB1022" s="4" t="str">
        <f t="shared" si="533"/>
        <v>0</v>
      </c>
      <c r="BC1022" s="4" t="str">
        <f t="shared" si="534"/>
        <v>0</v>
      </c>
      <c r="BD1022" s="4">
        <f t="shared" si="535"/>
        <v>2</v>
      </c>
      <c r="BE1022" s="4" t="str">
        <f t="shared" si="536"/>
        <v>0</v>
      </c>
      <c r="BF1022" s="4">
        <f t="shared" si="537"/>
        <v>2</v>
      </c>
      <c r="BG1022" s="4">
        <f t="shared" si="538"/>
        <v>4</v>
      </c>
      <c r="BH1022" s="4">
        <f t="shared" si="539"/>
        <v>4</v>
      </c>
      <c r="BI1022" s="4">
        <f t="shared" si="540"/>
        <v>4</v>
      </c>
      <c r="BJ1022" s="4">
        <f t="shared" si="541"/>
        <v>2</v>
      </c>
      <c r="BK1022" s="4" t="str">
        <f t="shared" si="542"/>
        <v>0</v>
      </c>
      <c r="BL1022" s="4">
        <f t="shared" si="543"/>
        <v>2</v>
      </c>
      <c r="BM1022" s="4" t="str">
        <f t="shared" si="544"/>
        <v>0</v>
      </c>
      <c r="BN1022" s="4" t="str">
        <f t="shared" si="545"/>
        <v>0</v>
      </c>
      <c r="BO1022" s="4" t="str">
        <f t="shared" si="546"/>
        <v>0</v>
      </c>
      <c r="BP1022" s="4">
        <f t="shared" si="547"/>
        <v>4</v>
      </c>
      <c r="BQ1022" s="4" t="str">
        <f t="shared" si="548"/>
        <v>0</v>
      </c>
      <c r="BR1022" s="4">
        <f t="shared" si="549"/>
        <v>4</v>
      </c>
      <c r="BS1022" s="4">
        <f t="shared" si="550"/>
        <v>4</v>
      </c>
      <c r="BT1022" s="4">
        <f t="shared" si="551"/>
        <v>4</v>
      </c>
      <c r="BU1022" s="4">
        <f t="shared" si="552"/>
        <v>4</v>
      </c>
      <c r="BV1022" s="4" t="str">
        <f t="shared" si="553"/>
        <v>0</v>
      </c>
      <c r="BW1022" s="4">
        <f t="shared" si="554"/>
        <v>6</v>
      </c>
      <c r="BX1022" s="4">
        <f t="shared" si="555"/>
        <v>0</v>
      </c>
      <c r="BY1022" s="4" t="str">
        <f t="shared" si="556"/>
        <v>0</v>
      </c>
      <c r="BZ1022" s="37">
        <f t="shared" si="557"/>
        <v>60</v>
      </c>
      <c r="CA1022" s="32" t="e">
        <f>VLOOKUP(J:J,'Agent wise'!A:C,3,0)</f>
        <v>#N/A</v>
      </c>
      <c r="CB1022" s="32">
        <f t="shared" si="558"/>
        <v>45948</v>
      </c>
      <c r="CC1022" t="str">
        <f t="shared" si="559"/>
        <v>FC</v>
      </c>
      <c r="CE1022" s="32"/>
      <c r="CJ1022">
        <f t="shared" si="560"/>
        <v>18</v>
      </c>
      <c r="CK1022">
        <f t="shared" si="561"/>
        <v>10</v>
      </c>
      <c r="CL1022">
        <f t="shared" si="562"/>
        <v>2025</v>
      </c>
    </row>
    <row r="1023" spans="1:90" ht="15" customHeight="1" x14ac:dyDescent="0.35">
      <c r="A1023" t="s">
        <v>2503</v>
      </c>
      <c r="B1023" t="s">
        <v>250</v>
      </c>
      <c r="C1023" t="s">
        <v>214</v>
      </c>
      <c r="D1023" t="s">
        <v>251</v>
      </c>
      <c r="E1023" s="32">
        <v>45948</v>
      </c>
      <c r="F1023" t="s">
        <v>54</v>
      </c>
      <c r="G1023" t="s">
        <v>2369</v>
      </c>
      <c r="H1023">
        <v>8606148895</v>
      </c>
      <c r="I1023">
        <v>169</v>
      </c>
      <c r="J1023" t="s">
        <v>2504</v>
      </c>
      <c r="K1023" t="s">
        <v>57</v>
      </c>
      <c r="L1023" t="s">
        <v>58</v>
      </c>
      <c r="M1023" t="s">
        <v>59</v>
      </c>
      <c r="N1023" t="s">
        <v>59</v>
      </c>
      <c r="O1023" t="s">
        <v>59</v>
      </c>
      <c r="P1023" t="s">
        <v>59</v>
      </c>
      <c r="Q1023" t="s">
        <v>59</v>
      </c>
      <c r="R1023" t="s">
        <v>59</v>
      </c>
      <c r="S1023" t="s">
        <v>59</v>
      </c>
      <c r="T1023" t="s">
        <v>59</v>
      </c>
      <c r="U1023" t="s">
        <v>60</v>
      </c>
      <c r="V1023" t="s">
        <v>59</v>
      </c>
      <c r="W1023" t="s">
        <v>59</v>
      </c>
      <c r="X1023" t="s">
        <v>59</v>
      </c>
      <c r="Y1023" t="s">
        <v>59</v>
      </c>
      <c r="Z1023" t="s">
        <v>60</v>
      </c>
      <c r="AA1023" t="s">
        <v>60</v>
      </c>
      <c r="AB1023" t="s">
        <v>60</v>
      </c>
      <c r="AC1023" t="s">
        <v>59</v>
      </c>
      <c r="AD1023" t="s">
        <v>59</v>
      </c>
      <c r="AE1023" t="s">
        <v>59</v>
      </c>
      <c r="AF1023" t="s">
        <v>59</v>
      </c>
      <c r="AG1023" t="s">
        <v>59</v>
      </c>
      <c r="AH1023" t="s">
        <v>61</v>
      </c>
      <c r="AI1023" t="s">
        <v>61</v>
      </c>
      <c r="AJ1023" t="s">
        <v>59</v>
      </c>
      <c r="AK1023" t="s">
        <v>59</v>
      </c>
      <c r="AL1023" t="s">
        <v>60</v>
      </c>
      <c r="AM1023" t="s">
        <v>59</v>
      </c>
      <c r="AN1023" t="s">
        <v>59</v>
      </c>
      <c r="AO1023" t="s">
        <v>59</v>
      </c>
      <c r="AP1023" t="s">
        <v>2505</v>
      </c>
      <c r="AQ1023" t="s">
        <v>2506</v>
      </c>
      <c r="AR1023" t="s">
        <v>64</v>
      </c>
      <c r="AS1023" t="s">
        <v>255</v>
      </c>
      <c r="AT1023" t="s">
        <v>256</v>
      </c>
      <c r="AU1023" t="s">
        <v>219</v>
      </c>
      <c r="AW1023" s="4">
        <f t="shared" si="528"/>
        <v>6</v>
      </c>
      <c r="AX1023" s="4">
        <f t="shared" si="529"/>
        <v>4</v>
      </c>
      <c r="AY1023" s="4">
        <f t="shared" si="530"/>
        <v>4</v>
      </c>
      <c r="AZ1023" s="4">
        <f t="shared" si="531"/>
        <v>2</v>
      </c>
      <c r="BA1023" s="4">
        <f t="shared" si="532"/>
        <v>4</v>
      </c>
      <c r="BB1023" s="4">
        <f t="shared" si="533"/>
        <v>4</v>
      </c>
      <c r="BC1023" s="4">
        <f t="shared" si="534"/>
        <v>4</v>
      </c>
      <c r="BD1023" s="4">
        <f t="shared" si="535"/>
        <v>2</v>
      </c>
      <c r="BE1023" s="4" t="str">
        <f t="shared" si="536"/>
        <v>0</v>
      </c>
      <c r="BF1023" s="4">
        <f t="shared" si="537"/>
        <v>2</v>
      </c>
      <c r="BG1023" s="4">
        <f t="shared" si="538"/>
        <v>4</v>
      </c>
      <c r="BH1023" s="4">
        <f t="shared" si="539"/>
        <v>4</v>
      </c>
      <c r="BI1023" s="4">
        <f t="shared" si="540"/>
        <v>4</v>
      </c>
      <c r="BJ1023" s="4" t="str">
        <f t="shared" si="541"/>
        <v>0</v>
      </c>
      <c r="BK1023" s="4" t="str">
        <f t="shared" si="542"/>
        <v>0</v>
      </c>
      <c r="BL1023" s="4" t="str">
        <f t="shared" si="543"/>
        <v>0</v>
      </c>
      <c r="BM1023" s="4">
        <f t="shared" si="544"/>
        <v>4</v>
      </c>
      <c r="BN1023" s="4">
        <f t="shared" si="545"/>
        <v>4</v>
      </c>
      <c r="BO1023" s="4">
        <f t="shared" si="546"/>
        <v>4</v>
      </c>
      <c r="BP1023" s="4">
        <f t="shared" si="547"/>
        <v>4</v>
      </c>
      <c r="BQ1023" s="4">
        <f t="shared" si="548"/>
        <v>6</v>
      </c>
      <c r="BR1023" s="4">
        <f t="shared" si="549"/>
        <v>4</v>
      </c>
      <c r="BS1023" s="4">
        <f t="shared" si="550"/>
        <v>4</v>
      </c>
      <c r="BT1023" s="4">
        <f t="shared" si="551"/>
        <v>4</v>
      </c>
      <c r="BU1023" s="4">
        <f t="shared" si="552"/>
        <v>4</v>
      </c>
      <c r="BV1023" s="4" t="str">
        <f t="shared" si="553"/>
        <v>0</v>
      </c>
      <c r="BW1023" s="4">
        <f t="shared" si="554"/>
        <v>6</v>
      </c>
      <c r="BX1023" s="4">
        <f t="shared" si="555"/>
        <v>0</v>
      </c>
      <c r="BY1023" s="4">
        <f t="shared" si="556"/>
        <v>0</v>
      </c>
      <c r="BZ1023" s="37">
        <f t="shared" si="557"/>
        <v>88</v>
      </c>
      <c r="CA1023" s="32" t="e">
        <f>VLOOKUP(J:J,'Agent wise'!A:C,3,0)</f>
        <v>#N/A</v>
      </c>
      <c r="CB1023" s="32">
        <f t="shared" si="558"/>
        <v>45948</v>
      </c>
      <c r="CC1023" t="str">
        <f t="shared" si="559"/>
        <v>Average</v>
      </c>
      <c r="CE1023" s="32"/>
      <c r="CJ1023">
        <f t="shared" si="560"/>
        <v>18</v>
      </c>
      <c r="CK1023">
        <f t="shared" si="561"/>
        <v>10</v>
      </c>
      <c r="CL1023">
        <f t="shared" si="562"/>
        <v>2025</v>
      </c>
    </row>
    <row r="1024" spans="1:90" ht="15" customHeight="1" x14ac:dyDescent="0.35">
      <c r="A1024" t="s">
        <v>2507</v>
      </c>
      <c r="B1024" t="s">
        <v>250</v>
      </c>
      <c r="C1024" t="s">
        <v>214</v>
      </c>
      <c r="D1024" t="s">
        <v>251</v>
      </c>
      <c r="E1024" s="32">
        <v>45948</v>
      </c>
      <c r="F1024" t="s">
        <v>54</v>
      </c>
      <c r="G1024" t="s">
        <v>2369</v>
      </c>
      <c r="H1024">
        <v>8547963274</v>
      </c>
      <c r="I1024">
        <v>217</v>
      </c>
      <c r="J1024" t="s">
        <v>2504</v>
      </c>
      <c r="K1024" t="s">
        <v>57</v>
      </c>
      <c r="L1024" t="s">
        <v>58</v>
      </c>
      <c r="M1024" t="s">
        <v>59</v>
      </c>
      <c r="N1024" t="s">
        <v>59</v>
      </c>
      <c r="O1024" t="s">
        <v>59</v>
      </c>
      <c r="P1024" t="s">
        <v>59</v>
      </c>
      <c r="Q1024" t="s">
        <v>59</v>
      </c>
      <c r="R1024" t="s">
        <v>59</v>
      </c>
      <c r="S1024" t="s">
        <v>59</v>
      </c>
      <c r="T1024" t="s">
        <v>59</v>
      </c>
      <c r="U1024" t="s">
        <v>60</v>
      </c>
      <c r="V1024" t="s">
        <v>59</v>
      </c>
      <c r="W1024" t="s">
        <v>59</v>
      </c>
      <c r="X1024" t="s">
        <v>59</v>
      </c>
      <c r="Y1024" t="s">
        <v>59</v>
      </c>
      <c r="Z1024" t="s">
        <v>60</v>
      </c>
      <c r="AA1024" t="s">
        <v>60</v>
      </c>
      <c r="AB1024" t="s">
        <v>60</v>
      </c>
      <c r="AC1024" t="s">
        <v>59</v>
      </c>
      <c r="AD1024" t="s">
        <v>59</v>
      </c>
      <c r="AE1024" t="s">
        <v>59</v>
      </c>
      <c r="AF1024" t="s">
        <v>59</v>
      </c>
      <c r="AG1024" t="s">
        <v>59</v>
      </c>
      <c r="AH1024" t="s">
        <v>61</v>
      </c>
      <c r="AI1024" t="s">
        <v>61</v>
      </c>
      <c r="AJ1024" t="s">
        <v>59</v>
      </c>
      <c r="AK1024" t="s">
        <v>59</v>
      </c>
      <c r="AL1024" t="s">
        <v>60</v>
      </c>
      <c r="AM1024" t="s">
        <v>59</v>
      </c>
      <c r="AN1024" t="s">
        <v>59</v>
      </c>
      <c r="AO1024" t="s">
        <v>59</v>
      </c>
      <c r="AP1024" t="s">
        <v>2505</v>
      </c>
      <c r="AQ1024" t="s">
        <v>2508</v>
      </c>
      <c r="AR1024" t="s">
        <v>64</v>
      </c>
      <c r="AS1024" t="s">
        <v>417</v>
      </c>
      <c r="AT1024" t="s">
        <v>418</v>
      </c>
      <c r="AU1024" t="s">
        <v>219</v>
      </c>
      <c r="AW1024" s="4">
        <f t="shared" si="528"/>
        <v>6</v>
      </c>
      <c r="AX1024" s="4">
        <f t="shared" si="529"/>
        <v>4</v>
      </c>
      <c r="AY1024" s="4">
        <f t="shared" si="530"/>
        <v>4</v>
      </c>
      <c r="AZ1024" s="4">
        <f t="shared" si="531"/>
        <v>2</v>
      </c>
      <c r="BA1024" s="4">
        <f t="shared" si="532"/>
        <v>4</v>
      </c>
      <c r="BB1024" s="4">
        <f t="shared" si="533"/>
        <v>4</v>
      </c>
      <c r="BC1024" s="4">
        <f t="shared" si="534"/>
        <v>4</v>
      </c>
      <c r="BD1024" s="4">
        <f t="shared" si="535"/>
        <v>2</v>
      </c>
      <c r="BE1024" s="4" t="str">
        <f t="shared" si="536"/>
        <v>0</v>
      </c>
      <c r="BF1024" s="4">
        <f t="shared" si="537"/>
        <v>2</v>
      </c>
      <c r="BG1024" s="4">
        <f t="shared" si="538"/>
        <v>4</v>
      </c>
      <c r="BH1024" s="4">
        <f t="shared" si="539"/>
        <v>4</v>
      </c>
      <c r="BI1024" s="4">
        <f t="shared" si="540"/>
        <v>4</v>
      </c>
      <c r="BJ1024" s="4" t="str">
        <f t="shared" si="541"/>
        <v>0</v>
      </c>
      <c r="BK1024" s="4" t="str">
        <f t="shared" si="542"/>
        <v>0</v>
      </c>
      <c r="BL1024" s="4" t="str">
        <f t="shared" si="543"/>
        <v>0</v>
      </c>
      <c r="BM1024" s="4">
        <f t="shared" si="544"/>
        <v>4</v>
      </c>
      <c r="BN1024" s="4">
        <f t="shared" si="545"/>
        <v>4</v>
      </c>
      <c r="BO1024" s="4">
        <f t="shared" si="546"/>
        <v>4</v>
      </c>
      <c r="BP1024" s="4">
        <f t="shared" si="547"/>
        <v>4</v>
      </c>
      <c r="BQ1024" s="4">
        <f t="shared" si="548"/>
        <v>6</v>
      </c>
      <c r="BR1024" s="4">
        <f t="shared" si="549"/>
        <v>4</v>
      </c>
      <c r="BS1024" s="4">
        <f t="shared" si="550"/>
        <v>4</v>
      </c>
      <c r="BT1024" s="4">
        <f t="shared" si="551"/>
        <v>4</v>
      </c>
      <c r="BU1024" s="4">
        <f t="shared" si="552"/>
        <v>4</v>
      </c>
      <c r="BV1024" s="4" t="str">
        <f t="shared" si="553"/>
        <v>0</v>
      </c>
      <c r="BW1024" s="4">
        <f t="shared" si="554"/>
        <v>6</v>
      </c>
      <c r="BX1024" s="4">
        <f t="shared" si="555"/>
        <v>0</v>
      </c>
      <c r="BY1024" s="4">
        <f t="shared" si="556"/>
        <v>0</v>
      </c>
      <c r="BZ1024" s="37">
        <f t="shared" si="557"/>
        <v>88</v>
      </c>
      <c r="CA1024" s="32" t="e">
        <f>VLOOKUP(J:J,'Agent wise'!A:C,3,0)</f>
        <v>#N/A</v>
      </c>
      <c r="CB1024" s="32">
        <f t="shared" si="558"/>
        <v>45948</v>
      </c>
      <c r="CC1024" t="str">
        <f t="shared" si="559"/>
        <v>Average</v>
      </c>
      <c r="CE1024" s="32"/>
      <c r="CJ1024">
        <f t="shared" si="560"/>
        <v>18</v>
      </c>
      <c r="CK1024">
        <f t="shared" si="561"/>
        <v>10</v>
      </c>
      <c r="CL1024">
        <f t="shared" si="562"/>
        <v>2025</v>
      </c>
    </row>
    <row r="1025" spans="1:90" ht="15" customHeight="1" x14ac:dyDescent="0.35">
      <c r="A1025" t="s">
        <v>2509</v>
      </c>
      <c r="B1025" t="s">
        <v>250</v>
      </c>
      <c r="C1025" t="s">
        <v>214</v>
      </c>
      <c r="D1025" t="s">
        <v>251</v>
      </c>
      <c r="E1025" s="32">
        <v>45947</v>
      </c>
      <c r="F1025" t="s">
        <v>54</v>
      </c>
      <c r="G1025" t="s">
        <v>2369</v>
      </c>
      <c r="H1025">
        <v>9846768516</v>
      </c>
      <c r="I1025">
        <v>176</v>
      </c>
      <c r="J1025" t="s">
        <v>2504</v>
      </c>
      <c r="K1025" t="s">
        <v>57</v>
      </c>
      <c r="L1025" t="s">
        <v>58</v>
      </c>
      <c r="M1025" t="s">
        <v>59</v>
      </c>
      <c r="N1025" t="s">
        <v>59</v>
      </c>
      <c r="O1025" t="s">
        <v>59</v>
      </c>
      <c r="P1025" t="s">
        <v>59</v>
      </c>
      <c r="Q1025" t="s">
        <v>59</v>
      </c>
      <c r="R1025" t="s">
        <v>59</v>
      </c>
      <c r="S1025" t="s">
        <v>59</v>
      </c>
      <c r="T1025" t="s">
        <v>59</v>
      </c>
      <c r="U1025" t="s">
        <v>60</v>
      </c>
      <c r="V1025" t="s">
        <v>59</v>
      </c>
      <c r="W1025" t="s">
        <v>59</v>
      </c>
      <c r="X1025" t="s">
        <v>59</v>
      </c>
      <c r="Y1025" t="s">
        <v>59</v>
      </c>
      <c r="Z1025" t="s">
        <v>60</v>
      </c>
      <c r="AA1025" t="s">
        <v>60</v>
      </c>
      <c r="AB1025" t="s">
        <v>60</v>
      </c>
      <c r="AC1025" t="s">
        <v>59</v>
      </c>
      <c r="AD1025" t="s">
        <v>59</v>
      </c>
      <c r="AE1025" t="s">
        <v>59</v>
      </c>
      <c r="AF1025" t="s">
        <v>59</v>
      </c>
      <c r="AG1025" t="s">
        <v>59</v>
      </c>
      <c r="AH1025" t="s">
        <v>61</v>
      </c>
      <c r="AI1025" t="s">
        <v>59</v>
      </c>
      <c r="AJ1025" t="s">
        <v>59</v>
      </c>
      <c r="AK1025" t="s">
        <v>59</v>
      </c>
      <c r="AL1025" t="s">
        <v>60</v>
      </c>
      <c r="AM1025" t="s">
        <v>60</v>
      </c>
      <c r="AN1025" t="s">
        <v>60</v>
      </c>
      <c r="AO1025" t="s">
        <v>60</v>
      </c>
      <c r="AP1025" t="s">
        <v>2510</v>
      </c>
      <c r="AQ1025" t="s">
        <v>2511</v>
      </c>
      <c r="AR1025" t="s">
        <v>226</v>
      </c>
      <c r="AS1025" t="s">
        <v>2512</v>
      </c>
      <c r="AT1025" t="s">
        <v>2512</v>
      </c>
      <c r="AU1025" t="s">
        <v>219</v>
      </c>
      <c r="AW1025" s="4">
        <f t="shared" si="528"/>
        <v>6</v>
      </c>
      <c r="AX1025" s="4">
        <f t="shared" si="529"/>
        <v>4</v>
      </c>
      <c r="AY1025" s="4">
        <f t="shared" si="530"/>
        <v>4</v>
      </c>
      <c r="AZ1025" s="4">
        <f t="shared" si="531"/>
        <v>2</v>
      </c>
      <c r="BA1025" s="4">
        <f t="shared" si="532"/>
        <v>4</v>
      </c>
      <c r="BB1025" s="4">
        <f t="shared" si="533"/>
        <v>4</v>
      </c>
      <c r="BC1025" s="4">
        <f t="shared" si="534"/>
        <v>4</v>
      </c>
      <c r="BD1025" s="4">
        <f t="shared" si="535"/>
        <v>2</v>
      </c>
      <c r="BE1025" s="4" t="str">
        <f t="shared" si="536"/>
        <v>0</v>
      </c>
      <c r="BF1025" s="4">
        <f t="shared" si="537"/>
        <v>2</v>
      </c>
      <c r="BG1025" s="4">
        <f t="shared" si="538"/>
        <v>4</v>
      </c>
      <c r="BH1025" s="4">
        <f t="shared" si="539"/>
        <v>4</v>
      </c>
      <c r="BI1025" s="4">
        <f t="shared" si="540"/>
        <v>4</v>
      </c>
      <c r="BJ1025" s="4" t="str">
        <f t="shared" si="541"/>
        <v>0</v>
      </c>
      <c r="BK1025" s="4" t="str">
        <f t="shared" si="542"/>
        <v>0</v>
      </c>
      <c r="BL1025" s="4" t="str">
        <f t="shared" si="543"/>
        <v>0</v>
      </c>
      <c r="BM1025" s="4">
        <f t="shared" si="544"/>
        <v>4</v>
      </c>
      <c r="BN1025" s="4">
        <f t="shared" si="545"/>
        <v>4</v>
      </c>
      <c r="BO1025" s="4">
        <f t="shared" si="546"/>
        <v>4</v>
      </c>
      <c r="BP1025" s="4">
        <f t="shared" si="547"/>
        <v>4</v>
      </c>
      <c r="BQ1025" s="4">
        <f t="shared" si="548"/>
        <v>6</v>
      </c>
      <c r="BR1025" s="4">
        <f t="shared" si="549"/>
        <v>4</v>
      </c>
      <c r="BS1025" s="4">
        <f t="shared" si="550"/>
        <v>4</v>
      </c>
      <c r="BT1025" s="4">
        <f t="shared" si="551"/>
        <v>4</v>
      </c>
      <c r="BU1025" s="4">
        <f t="shared" si="552"/>
        <v>4</v>
      </c>
      <c r="BV1025" s="4" t="str">
        <f t="shared" si="553"/>
        <v>0</v>
      </c>
      <c r="BW1025" s="4" t="str">
        <f t="shared" si="554"/>
        <v>0</v>
      </c>
      <c r="BX1025" s="4" t="str">
        <f t="shared" si="555"/>
        <v>0</v>
      </c>
      <c r="BY1025" s="4" t="str">
        <f t="shared" si="556"/>
        <v>0</v>
      </c>
      <c r="BZ1025" s="37">
        <f t="shared" si="557"/>
        <v>82</v>
      </c>
      <c r="CA1025" s="32" t="e">
        <f>VLOOKUP(J:J,'Agent wise'!A:C,3,0)</f>
        <v>#N/A</v>
      </c>
      <c r="CB1025" s="32">
        <f t="shared" si="558"/>
        <v>45947</v>
      </c>
      <c r="CC1025" t="str">
        <f t="shared" si="559"/>
        <v>FC</v>
      </c>
      <c r="CE1025" s="32"/>
      <c r="CJ1025">
        <f t="shared" si="560"/>
        <v>17</v>
      </c>
      <c r="CK1025">
        <f t="shared" si="561"/>
        <v>10</v>
      </c>
      <c r="CL1025">
        <f t="shared" si="562"/>
        <v>2025</v>
      </c>
    </row>
    <row r="1026" spans="1:90" ht="15" customHeight="1" x14ac:dyDescent="0.35">
      <c r="A1026" t="s">
        <v>2513</v>
      </c>
      <c r="B1026" t="s">
        <v>100</v>
      </c>
      <c r="C1026" t="s">
        <v>214</v>
      </c>
      <c r="D1026" t="s">
        <v>101</v>
      </c>
      <c r="E1026" s="32">
        <v>45948</v>
      </c>
      <c r="F1026" t="s">
        <v>54</v>
      </c>
      <c r="G1026" t="s">
        <v>2369</v>
      </c>
      <c r="H1026">
        <v>9786878806</v>
      </c>
      <c r="I1026">
        <v>143</v>
      </c>
      <c r="J1026" t="s">
        <v>2498</v>
      </c>
      <c r="K1026" t="s">
        <v>71</v>
      </c>
      <c r="L1026" t="s">
        <v>72</v>
      </c>
      <c r="M1026" t="s">
        <v>59</v>
      </c>
      <c r="N1026" t="s">
        <v>59</v>
      </c>
      <c r="O1026" t="s">
        <v>59</v>
      </c>
      <c r="P1026" t="s">
        <v>59</v>
      </c>
      <c r="Q1026" t="s">
        <v>59</v>
      </c>
      <c r="R1026" t="s">
        <v>60</v>
      </c>
      <c r="S1026" t="s">
        <v>59</v>
      </c>
      <c r="T1026" t="s">
        <v>59</v>
      </c>
      <c r="U1026" t="s">
        <v>60</v>
      </c>
      <c r="V1026" t="s">
        <v>59</v>
      </c>
      <c r="W1026" t="s">
        <v>59</v>
      </c>
      <c r="X1026" t="s">
        <v>61</v>
      </c>
      <c r="Y1026" t="s">
        <v>59</v>
      </c>
      <c r="Z1026" t="s">
        <v>59</v>
      </c>
      <c r="AA1026" t="s">
        <v>60</v>
      </c>
      <c r="AB1026" t="s">
        <v>61</v>
      </c>
      <c r="AC1026" t="s">
        <v>60</v>
      </c>
      <c r="AD1026" t="s">
        <v>59</v>
      </c>
      <c r="AE1026" t="s">
        <v>59</v>
      </c>
      <c r="AF1026" t="s">
        <v>59</v>
      </c>
      <c r="AG1026" t="s">
        <v>60</v>
      </c>
      <c r="AH1026" t="s">
        <v>61</v>
      </c>
      <c r="AI1026" t="s">
        <v>61</v>
      </c>
      <c r="AJ1026" t="s">
        <v>59</v>
      </c>
      <c r="AK1026" t="s">
        <v>61</v>
      </c>
      <c r="AL1026" t="s">
        <v>60</v>
      </c>
      <c r="AM1026" t="s">
        <v>2271</v>
      </c>
      <c r="AN1026" t="s">
        <v>60</v>
      </c>
      <c r="AO1026" t="s">
        <v>60</v>
      </c>
      <c r="AP1026" t="s">
        <v>2492</v>
      </c>
      <c r="AQ1026" s="1" t="s">
        <v>2499</v>
      </c>
      <c r="AR1026" t="s">
        <v>64</v>
      </c>
      <c r="AS1026" t="s">
        <v>352</v>
      </c>
      <c r="AT1026" t="s">
        <v>352</v>
      </c>
      <c r="AU1026" t="s">
        <v>299</v>
      </c>
      <c r="AW1026" s="4">
        <f t="shared" si="528"/>
        <v>6</v>
      </c>
      <c r="AX1026" s="4">
        <f t="shared" si="529"/>
        <v>4</v>
      </c>
      <c r="AY1026" s="4">
        <f t="shared" si="530"/>
        <v>4</v>
      </c>
      <c r="AZ1026" s="4">
        <f t="shared" si="531"/>
        <v>2</v>
      </c>
      <c r="BA1026" s="4">
        <f t="shared" si="532"/>
        <v>4</v>
      </c>
      <c r="BB1026" s="4" t="str">
        <f t="shared" si="533"/>
        <v>0</v>
      </c>
      <c r="BC1026" s="4">
        <f t="shared" si="534"/>
        <v>4</v>
      </c>
      <c r="BD1026" s="4">
        <f t="shared" si="535"/>
        <v>2</v>
      </c>
      <c r="BE1026" s="4" t="str">
        <f t="shared" si="536"/>
        <v>0</v>
      </c>
      <c r="BF1026" s="4">
        <f t="shared" si="537"/>
        <v>2</v>
      </c>
      <c r="BG1026" s="4">
        <f t="shared" si="538"/>
        <v>4</v>
      </c>
      <c r="BH1026" s="4">
        <f t="shared" si="539"/>
        <v>4</v>
      </c>
      <c r="BI1026" s="4">
        <f t="shared" si="540"/>
        <v>4</v>
      </c>
      <c r="BJ1026" s="4">
        <f t="shared" si="541"/>
        <v>2</v>
      </c>
      <c r="BK1026" s="4" t="str">
        <f t="shared" si="542"/>
        <v>0</v>
      </c>
      <c r="BL1026" s="4">
        <f t="shared" si="543"/>
        <v>2</v>
      </c>
      <c r="BM1026" s="4" t="str">
        <f t="shared" si="544"/>
        <v>0</v>
      </c>
      <c r="BN1026" s="4">
        <f t="shared" si="545"/>
        <v>4</v>
      </c>
      <c r="BO1026" s="4">
        <f t="shared" si="546"/>
        <v>4</v>
      </c>
      <c r="BP1026" s="4">
        <f t="shared" si="547"/>
        <v>4</v>
      </c>
      <c r="BQ1026" s="4" t="str">
        <f t="shared" si="548"/>
        <v>0</v>
      </c>
      <c r="BR1026" s="4">
        <f t="shared" si="549"/>
        <v>4</v>
      </c>
      <c r="BS1026" s="4">
        <f t="shared" si="550"/>
        <v>4</v>
      </c>
      <c r="BT1026" s="4">
        <f t="shared" si="551"/>
        <v>4</v>
      </c>
      <c r="BU1026" s="4">
        <f t="shared" si="552"/>
        <v>4</v>
      </c>
      <c r="BV1026" s="4" t="str">
        <f t="shared" si="553"/>
        <v>0</v>
      </c>
      <c r="BW1026" s="4" t="str">
        <f t="shared" si="554"/>
        <v>0</v>
      </c>
      <c r="BX1026" s="4" t="str">
        <f t="shared" si="555"/>
        <v>0</v>
      </c>
      <c r="BY1026" s="4" t="str">
        <f t="shared" si="556"/>
        <v>0</v>
      </c>
      <c r="BZ1026" s="37">
        <f t="shared" si="557"/>
        <v>72</v>
      </c>
      <c r="CA1026" s="32" t="e">
        <f>VLOOKUP(J:J,'Agent wise'!A:C,3,0)</f>
        <v>#N/A</v>
      </c>
      <c r="CB1026" s="32">
        <f t="shared" si="558"/>
        <v>45948</v>
      </c>
      <c r="CC1026" t="str">
        <f t="shared" si="559"/>
        <v>FC</v>
      </c>
      <c r="CE1026" s="32"/>
      <c r="CJ1026">
        <f t="shared" si="560"/>
        <v>18</v>
      </c>
      <c r="CK1026">
        <f t="shared" si="561"/>
        <v>10</v>
      </c>
      <c r="CL1026">
        <f t="shared" si="562"/>
        <v>2025</v>
      </c>
    </row>
    <row r="1027" spans="1:90" ht="15" customHeight="1" x14ac:dyDescent="0.35">
      <c r="A1027" t="s">
        <v>2514</v>
      </c>
      <c r="B1027" t="s">
        <v>177</v>
      </c>
      <c r="C1027" t="s">
        <v>214</v>
      </c>
      <c r="D1027" t="s">
        <v>178</v>
      </c>
      <c r="E1027" s="32">
        <v>45948</v>
      </c>
      <c r="F1027" t="s">
        <v>54</v>
      </c>
      <c r="G1027" t="s">
        <v>2490</v>
      </c>
      <c r="H1027">
        <v>7889351767</v>
      </c>
      <c r="I1027">
        <v>138</v>
      </c>
      <c r="J1027" t="s">
        <v>873</v>
      </c>
      <c r="K1027" t="s">
        <v>57</v>
      </c>
      <c r="L1027" t="s">
        <v>58</v>
      </c>
      <c r="M1027" t="s">
        <v>59</v>
      </c>
      <c r="N1027" t="s">
        <v>59</v>
      </c>
      <c r="O1027" t="s">
        <v>60</v>
      </c>
      <c r="P1027" t="s">
        <v>59</v>
      </c>
      <c r="Q1027" t="s">
        <v>59</v>
      </c>
      <c r="R1027" t="s">
        <v>59</v>
      </c>
      <c r="S1027" t="s">
        <v>59</v>
      </c>
      <c r="T1027" t="s">
        <v>59</v>
      </c>
      <c r="U1027" t="s">
        <v>59</v>
      </c>
      <c r="V1027" t="s">
        <v>59</v>
      </c>
      <c r="W1027" t="s">
        <v>59</v>
      </c>
      <c r="X1027" t="s">
        <v>59</v>
      </c>
      <c r="Y1027" t="s">
        <v>59</v>
      </c>
      <c r="Z1027" t="s">
        <v>59</v>
      </c>
      <c r="AA1027" t="s">
        <v>59</v>
      </c>
      <c r="AB1027" t="s">
        <v>59</v>
      </c>
      <c r="AC1027" t="s">
        <v>59</v>
      </c>
      <c r="AD1027" t="s">
        <v>59</v>
      </c>
      <c r="AE1027" t="s">
        <v>59</v>
      </c>
      <c r="AF1027" t="s">
        <v>59</v>
      </c>
      <c r="AG1027" t="s">
        <v>59</v>
      </c>
      <c r="AH1027" t="s">
        <v>61</v>
      </c>
      <c r="AI1027" t="s">
        <v>61</v>
      </c>
      <c r="AJ1027" t="s">
        <v>59</v>
      </c>
      <c r="AK1027" t="s">
        <v>59</v>
      </c>
      <c r="AL1027" t="s">
        <v>60</v>
      </c>
      <c r="AM1027" t="s">
        <v>59</v>
      </c>
      <c r="AN1027" t="s">
        <v>59</v>
      </c>
      <c r="AO1027" t="s">
        <v>59</v>
      </c>
      <c r="AP1027" t="s">
        <v>2515</v>
      </c>
      <c r="AQ1027" t="s">
        <v>2516</v>
      </c>
      <c r="AR1027" t="s">
        <v>64</v>
      </c>
      <c r="AS1027" t="s">
        <v>171</v>
      </c>
      <c r="AT1027" t="s">
        <v>172</v>
      </c>
      <c r="AU1027" t="s">
        <v>387</v>
      </c>
      <c r="AW1027" s="4">
        <f t="shared" ref="AW1027:AW1090" si="563">IF(OR(M1027="YES", M1027="Not Applicable"), AW$1, "0")</f>
        <v>6</v>
      </c>
      <c r="AX1027" s="4">
        <f t="shared" ref="AX1027:AX1090" si="564">IF(OR(N1027="YES", N1027="Not Applicable"), AX$1, "0")</f>
        <v>4</v>
      </c>
      <c r="AY1027" s="4" t="str">
        <f t="shared" ref="AY1027:AY1090" si="565">IF(OR(O1027="YES", O1027="Not Applicable"), AY$1, "0")</f>
        <v>0</v>
      </c>
      <c r="AZ1027" s="4">
        <f t="shared" ref="AZ1027:AZ1090" si="566">IF(OR(P1027="YES", P1027="Not Applicable"), AZ$1, "0")</f>
        <v>2</v>
      </c>
      <c r="BA1027" s="4">
        <f t="shared" ref="BA1027:BA1090" si="567">IF(OR(Q1027="YES", Q1027="Not Applicable"), BA$1, "0")</f>
        <v>4</v>
      </c>
      <c r="BB1027" s="4">
        <f t="shared" ref="BB1027:BB1090" si="568">IF(OR(R1027="YES", R1027="Not Applicable"), BB$1, "0")</f>
        <v>4</v>
      </c>
      <c r="BC1027" s="4">
        <f t="shared" ref="BC1027:BC1090" si="569">IF(OR(S1027="YES", S1027="Not Applicable"), BC$1, "0")</f>
        <v>4</v>
      </c>
      <c r="BD1027" s="4">
        <f t="shared" ref="BD1027:BD1090" si="570">IF(OR(T1027="YES", T1027="Not Applicable"), BD$1, "0")</f>
        <v>2</v>
      </c>
      <c r="BE1027" s="4">
        <f t="shared" ref="BE1027:BE1090" si="571">IF(OR(U1027="YES", U1027="Not Applicable"), BE$1, "0")</f>
        <v>4</v>
      </c>
      <c r="BF1027" s="4">
        <f t="shared" ref="BF1027:BF1090" si="572">IF(OR(V1027="YES", V1027="Not Applicable"), BF$1, "0")</f>
        <v>2</v>
      </c>
      <c r="BG1027" s="4">
        <f t="shared" ref="BG1027:BG1090" si="573">IF(OR(W1027="YES", W1027="Not Applicable"), BG$1, "0")</f>
        <v>4</v>
      </c>
      <c r="BH1027" s="4">
        <f t="shared" ref="BH1027:BH1090" si="574">IF(OR(X1027="YES", X1027="Not Applicable"), BH$1, "0")</f>
        <v>4</v>
      </c>
      <c r="BI1027" s="4">
        <f t="shared" ref="BI1027:BI1090" si="575">IF(OR(Y1027="YES", Y1027="Not Applicable"), BI$1, "0")</f>
        <v>4</v>
      </c>
      <c r="BJ1027" s="4">
        <f t="shared" ref="BJ1027:BJ1090" si="576">IF(OR(Z1027="YES", Z1027="Not Applicable"), BJ$1, "0")</f>
        <v>2</v>
      </c>
      <c r="BK1027" s="4">
        <f t="shared" ref="BK1027:BK1090" si="577">IF(OR(AA1027="YES", AA1027="Not Applicable"), BK$1, "0")</f>
        <v>4</v>
      </c>
      <c r="BL1027" s="4">
        <f t="shared" ref="BL1027:BL1090" si="578">IF(OR(AB1027="YES", AB1027="Not Applicable"), BL$1, "0")</f>
        <v>2</v>
      </c>
      <c r="BM1027" s="4">
        <f t="shared" ref="BM1027:BM1090" si="579">IF(OR(AC1027="YES", AC1027="Not Applicable"), BM$1, "0")</f>
        <v>4</v>
      </c>
      <c r="BN1027" s="4">
        <f t="shared" ref="BN1027:BN1090" si="580">IF(OR(AD1027="YES", AD1027="Not Applicable"), BN$1, "0")</f>
        <v>4</v>
      </c>
      <c r="BO1027" s="4">
        <f t="shared" ref="BO1027:BO1090" si="581">IF(OR(AE1027="YES", AE1027="Not Applicable"), BO$1, "0")</f>
        <v>4</v>
      </c>
      <c r="BP1027" s="4">
        <f t="shared" ref="BP1027:BP1090" si="582">IF(OR(AF1027="YES", AF1027="Not Applicable"), BP$1, "0")</f>
        <v>4</v>
      </c>
      <c r="BQ1027" s="4">
        <f t="shared" ref="BQ1027:BQ1090" si="583">IF(OR(AG1027="YES", AG1027="Not Applicable"), BQ$1, "0")</f>
        <v>6</v>
      </c>
      <c r="BR1027" s="4">
        <f t="shared" ref="BR1027:BR1090" si="584">IF(OR(AH1027="YES", AH1027="Not Applicable"), BR$1, "0")</f>
        <v>4</v>
      </c>
      <c r="BS1027" s="4">
        <f t="shared" ref="BS1027:BS1090" si="585">IF(OR(AI1027="YES", AI1027="Not Applicable"), BS$1, "0")</f>
        <v>4</v>
      </c>
      <c r="BT1027" s="4">
        <f t="shared" ref="BT1027:BT1090" si="586">IF(OR(AJ1027="YES", AJ1027="Not Applicable"), BT$1, "0")</f>
        <v>4</v>
      </c>
      <c r="BU1027" s="4">
        <f t="shared" ref="BU1027:BU1090" si="587">IF(OR(AK1027="YES", AK1027="Not Applicable"), BU$1, "0")</f>
        <v>4</v>
      </c>
      <c r="BV1027" s="4" t="str">
        <f t="shared" ref="BV1027:BV1090" si="588">IF(OR(AL1027="YES", AL1027="Not Applicable"), BV$1, "0")</f>
        <v>0</v>
      </c>
      <c r="BW1027" s="4">
        <f t="shared" ref="BW1027:BW1090" si="589">IF(OR(AM1027="YES", AM1027="Not Applicable"), BW$1, "0")</f>
        <v>6</v>
      </c>
      <c r="BX1027" s="4">
        <f t="shared" ref="BX1027:BX1090" si="590">IF(OR(AN1027="YES", AN1027="Not Applicable"), BX$1, "0")</f>
        <v>0</v>
      </c>
      <c r="BY1027" s="4">
        <f t="shared" ref="BY1027:BY1090" si="591">IF(OR(AO1027="YES", AO1027="Not Applicable"), BY$1, "0")</f>
        <v>0</v>
      </c>
      <c r="BZ1027" s="37">
        <f t="shared" ref="BZ1027:BZ1090" si="592">SUM(AW1027:BY1027)</f>
        <v>96</v>
      </c>
      <c r="CA1027" s="32" t="str">
        <f>VLOOKUP(J:J,'Agent wise'!A:C,3,0)</f>
        <v xml:space="preserve">Shiny </v>
      </c>
      <c r="CB1027" s="32">
        <f t="shared" ref="CB1027:CB1090" si="593">INT(E1027)</f>
        <v>45948</v>
      </c>
      <c r="CC1027" t="str">
        <f t="shared" ref="CC1027:CC1090" si="594">IF(BZ1027&gt;=94.5, "Excellent", IF(BZ1027&gt;89.5, "Good", IF(BZ1027&gt;84.5, "Average", "FC")))</f>
        <v>Excellent</v>
      </c>
      <c r="CE1027" s="32"/>
      <c r="CJ1027">
        <f t="shared" si="560"/>
        <v>18</v>
      </c>
      <c r="CK1027">
        <f t="shared" si="561"/>
        <v>10</v>
      </c>
      <c r="CL1027">
        <f t="shared" si="562"/>
        <v>2025</v>
      </c>
    </row>
    <row r="1028" spans="1:90" ht="15" customHeight="1" x14ac:dyDescent="0.35">
      <c r="A1028" t="s">
        <v>2517</v>
      </c>
      <c r="B1028" t="s">
        <v>177</v>
      </c>
      <c r="C1028" t="s">
        <v>214</v>
      </c>
      <c r="D1028" t="s">
        <v>178</v>
      </c>
      <c r="E1028" s="32">
        <v>45948</v>
      </c>
      <c r="F1028" t="s">
        <v>54</v>
      </c>
      <c r="G1028" t="s">
        <v>2369</v>
      </c>
      <c r="H1028">
        <v>9495636733</v>
      </c>
      <c r="I1028">
        <v>119</v>
      </c>
      <c r="J1028" t="s">
        <v>548</v>
      </c>
      <c r="K1028" t="s">
        <v>57</v>
      </c>
      <c r="L1028" t="s">
        <v>58</v>
      </c>
      <c r="M1028" t="s">
        <v>59</v>
      </c>
      <c r="N1028" t="s">
        <v>59</v>
      </c>
      <c r="O1028" t="s">
        <v>59</v>
      </c>
      <c r="P1028" t="s">
        <v>59</v>
      </c>
      <c r="Q1028" t="s">
        <v>59</v>
      </c>
      <c r="R1028" t="s">
        <v>59</v>
      </c>
      <c r="S1028" t="s">
        <v>59</v>
      </c>
      <c r="T1028" t="s">
        <v>59</v>
      </c>
      <c r="U1028" t="s">
        <v>59</v>
      </c>
      <c r="V1028" t="s">
        <v>59</v>
      </c>
      <c r="W1028" t="s">
        <v>59</v>
      </c>
      <c r="X1028" t="s">
        <v>59</v>
      </c>
      <c r="Y1028" t="s">
        <v>60</v>
      </c>
      <c r="Z1028" t="s">
        <v>59</v>
      </c>
      <c r="AA1028" t="s">
        <v>59</v>
      </c>
      <c r="AB1028" t="s">
        <v>59</v>
      </c>
      <c r="AC1028" t="s">
        <v>59</v>
      </c>
      <c r="AD1028" t="s">
        <v>59</v>
      </c>
      <c r="AE1028" t="s">
        <v>59</v>
      </c>
      <c r="AF1028" t="s">
        <v>59</v>
      </c>
      <c r="AG1028" t="s">
        <v>59</v>
      </c>
      <c r="AH1028" t="s">
        <v>61</v>
      </c>
      <c r="AI1028" t="s">
        <v>61</v>
      </c>
      <c r="AJ1028" t="s">
        <v>59</v>
      </c>
      <c r="AK1028" t="s">
        <v>59</v>
      </c>
      <c r="AL1028" t="s">
        <v>59</v>
      </c>
      <c r="AM1028" t="s">
        <v>59</v>
      </c>
      <c r="AN1028" t="s">
        <v>59</v>
      </c>
      <c r="AO1028" t="s">
        <v>59</v>
      </c>
      <c r="AP1028" t="s">
        <v>473</v>
      </c>
      <c r="AQ1028" t="s">
        <v>2518</v>
      </c>
      <c r="AR1028" t="s">
        <v>64</v>
      </c>
      <c r="AS1028" t="s">
        <v>152</v>
      </c>
      <c r="AT1028" t="s">
        <v>186</v>
      </c>
      <c r="AU1028" t="s">
        <v>387</v>
      </c>
      <c r="AW1028" s="4">
        <f t="shared" si="563"/>
        <v>6</v>
      </c>
      <c r="AX1028" s="4">
        <f t="shared" si="564"/>
        <v>4</v>
      </c>
      <c r="AY1028" s="4">
        <f t="shared" si="565"/>
        <v>4</v>
      </c>
      <c r="AZ1028" s="4">
        <f t="shared" si="566"/>
        <v>2</v>
      </c>
      <c r="BA1028" s="4">
        <f t="shared" si="567"/>
        <v>4</v>
      </c>
      <c r="BB1028" s="4">
        <f t="shared" si="568"/>
        <v>4</v>
      </c>
      <c r="BC1028" s="4">
        <f t="shared" si="569"/>
        <v>4</v>
      </c>
      <c r="BD1028" s="4">
        <f t="shared" si="570"/>
        <v>2</v>
      </c>
      <c r="BE1028" s="4">
        <f t="shared" si="571"/>
        <v>4</v>
      </c>
      <c r="BF1028" s="4">
        <f t="shared" si="572"/>
        <v>2</v>
      </c>
      <c r="BG1028" s="4">
        <f t="shared" si="573"/>
        <v>4</v>
      </c>
      <c r="BH1028" s="4">
        <f t="shared" si="574"/>
        <v>4</v>
      </c>
      <c r="BI1028" s="4" t="str">
        <f t="shared" si="575"/>
        <v>0</v>
      </c>
      <c r="BJ1028" s="4">
        <f t="shared" si="576"/>
        <v>2</v>
      </c>
      <c r="BK1028" s="4">
        <f t="shared" si="577"/>
        <v>4</v>
      </c>
      <c r="BL1028" s="4">
        <f t="shared" si="578"/>
        <v>2</v>
      </c>
      <c r="BM1028" s="4">
        <f t="shared" si="579"/>
        <v>4</v>
      </c>
      <c r="BN1028" s="4">
        <f t="shared" si="580"/>
        <v>4</v>
      </c>
      <c r="BO1028" s="4">
        <f t="shared" si="581"/>
        <v>4</v>
      </c>
      <c r="BP1028" s="4">
        <f t="shared" si="582"/>
        <v>4</v>
      </c>
      <c r="BQ1028" s="4">
        <f t="shared" si="583"/>
        <v>6</v>
      </c>
      <c r="BR1028" s="4">
        <f t="shared" si="584"/>
        <v>4</v>
      </c>
      <c r="BS1028" s="4">
        <f t="shared" si="585"/>
        <v>4</v>
      </c>
      <c r="BT1028" s="4">
        <f t="shared" si="586"/>
        <v>4</v>
      </c>
      <c r="BU1028" s="4">
        <f t="shared" si="587"/>
        <v>4</v>
      </c>
      <c r="BV1028" s="4">
        <f t="shared" si="588"/>
        <v>0</v>
      </c>
      <c r="BW1028" s="4">
        <f t="shared" si="589"/>
        <v>6</v>
      </c>
      <c r="BX1028" s="4">
        <f t="shared" si="590"/>
        <v>0</v>
      </c>
      <c r="BY1028" s="4">
        <f t="shared" si="591"/>
        <v>0</v>
      </c>
      <c r="BZ1028" s="37">
        <f t="shared" si="592"/>
        <v>96</v>
      </c>
      <c r="CA1028" s="32" t="str">
        <f>VLOOKUP(J:J,'Agent wise'!A:C,3,0)</f>
        <v>Adharsh</v>
      </c>
      <c r="CB1028" s="32">
        <f t="shared" si="593"/>
        <v>45948</v>
      </c>
      <c r="CC1028" t="str">
        <f t="shared" si="594"/>
        <v>Excellent</v>
      </c>
      <c r="CE1028" s="32"/>
      <c r="CJ1028">
        <f t="shared" ref="CJ1028:CJ1091" si="595">DAY(E1028)</f>
        <v>18</v>
      </c>
      <c r="CK1028">
        <f t="shared" ref="CK1028:CK1091" si="596">MONTH(E1028)</f>
        <v>10</v>
      </c>
      <c r="CL1028">
        <f t="shared" ref="CL1028:CL1091" si="597">YEAR(E1028)</f>
        <v>2025</v>
      </c>
    </row>
    <row r="1029" spans="1:90" ht="15" customHeight="1" x14ac:dyDescent="0.35">
      <c r="A1029" t="s">
        <v>2519</v>
      </c>
      <c r="B1029" t="s">
        <v>698</v>
      </c>
      <c r="C1029" t="s">
        <v>214</v>
      </c>
      <c r="D1029" t="s">
        <v>221</v>
      </c>
      <c r="E1029" s="32">
        <v>45948</v>
      </c>
      <c r="F1029" t="s">
        <v>222</v>
      </c>
      <c r="G1029" t="s">
        <v>2490</v>
      </c>
      <c r="H1029">
        <v>9626618140</v>
      </c>
      <c r="I1029">
        <v>165</v>
      </c>
      <c r="J1029" t="s">
        <v>307</v>
      </c>
      <c r="K1029" t="s">
        <v>57</v>
      </c>
      <c r="L1029" t="s">
        <v>72</v>
      </c>
      <c r="M1029" t="s">
        <v>59</v>
      </c>
      <c r="N1029" t="s">
        <v>59</v>
      </c>
      <c r="O1029" t="s">
        <v>59</v>
      </c>
      <c r="P1029" t="s">
        <v>59</v>
      </c>
      <c r="Q1029" t="s">
        <v>59</v>
      </c>
      <c r="R1029" t="s">
        <v>59</v>
      </c>
      <c r="S1029" t="s">
        <v>59</v>
      </c>
      <c r="T1029" t="s">
        <v>59</v>
      </c>
      <c r="U1029" t="s">
        <v>59</v>
      </c>
      <c r="V1029" t="s">
        <v>59</v>
      </c>
      <c r="W1029" t="s">
        <v>59</v>
      </c>
      <c r="X1029" t="s">
        <v>59</v>
      </c>
      <c r="Y1029" t="s">
        <v>59</v>
      </c>
      <c r="Z1029" t="s">
        <v>59</v>
      </c>
      <c r="AA1029" t="s">
        <v>59</v>
      </c>
      <c r="AB1029" t="s">
        <v>59</v>
      </c>
      <c r="AC1029" t="s">
        <v>59</v>
      </c>
      <c r="AD1029" t="s">
        <v>59</v>
      </c>
      <c r="AE1029" t="s">
        <v>59</v>
      </c>
      <c r="AF1029" t="s">
        <v>59</v>
      </c>
      <c r="AG1029" t="s">
        <v>59</v>
      </c>
      <c r="AH1029" t="s">
        <v>61</v>
      </c>
      <c r="AI1029" t="s">
        <v>61</v>
      </c>
      <c r="AJ1029" t="s">
        <v>59</v>
      </c>
      <c r="AK1029" t="s">
        <v>59</v>
      </c>
      <c r="AL1029" t="s">
        <v>59</v>
      </c>
      <c r="AM1029" t="s">
        <v>59</v>
      </c>
      <c r="AN1029" t="s">
        <v>59</v>
      </c>
      <c r="AO1029" t="s">
        <v>59</v>
      </c>
      <c r="AP1029" t="s">
        <v>219</v>
      </c>
      <c r="AQ1029" t="s">
        <v>2520</v>
      </c>
      <c r="AR1029" t="s">
        <v>226</v>
      </c>
      <c r="AS1029" t="s">
        <v>245</v>
      </c>
      <c r="AT1029" t="s">
        <v>245</v>
      </c>
      <c r="AU1029" t="s">
        <v>219</v>
      </c>
      <c r="AW1029" s="4">
        <f t="shared" si="563"/>
        <v>6</v>
      </c>
      <c r="AX1029" s="4">
        <f t="shared" si="564"/>
        <v>4</v>
      </c>
      <c r="AY1029" s="4">
        <f t="shared" si="565"/>
        <v>4</v>
      </c>
      <c r="AZ1029" s="4">
        <f t="shared" si="566"/>
        <v>2</v>
      </c>
      <c r="BA1029" s="4">
        <f t="shared" si="567"/>
        <v>4</v>
      </c>
      <c r="BB1029" s="4">
        <f t="shared" si="568"/>
        <v>4</v>
      </c>
      <c r="BC1029" s="4">
        <f t="shared" si="569"/>
        <v>4</v>
      </c>
      <c r="BD1029" s="4">
        <f t="shared" si="570"/>
        <v>2</v>
      </c>
      <c r="BE1029" s="4">
        <f t="shared" si="571"/>
        <v>4</v>
      </c>
      <c r="BF1029" s="4">
        <f t="shared" si="572"/>
        <v>2</v>
      </c>
      <c r="BG1029" s="4">
        <f t="shared" si="573"/>
        <v>4</v>
      </c>
      <c r="BH1029" s="4">
        <f t="shared" si="574"/>
        <v>4</v>
      </c>
      <c r="BI1029" s="4">
        <f t="shared" si="575"/>
        <v>4</v>
      </c>
      <c r="BJ1029" s="4">
        <f t="shared" si="576"/>
        <v>2</v>
      </c>
      <c r="BK1029" s="4">
        <f t="shared" si="577"/>
        <v>4</v>
      </c>
      <c r="BL1029" s="4">
        <f t="shared" si="578"/>
        <v>2</v>
      </c>
      <c r="BM1029" s="4">
        <f t="shared" si="579"/>
        <v>4</v>
      </c>
      <c r="BN1029" s="4">
        <f t="shared" si="580"/>
        <v>4</v>
      </c>
      <c r="BO1029" s="4">
        <f t="shared" si="581"/>
        <v>4</v>
      </c>
      <c r="BP1029" s="4">
        <f t="shared" si="582"/>
        <v>4</v>
      </c>
      <c r="BQ1029" s="4">
        <f t="shared" si="583"/>
        <v>6</v>
      </c>
      <c r="BR1029" s="4">
        <f t="shared" si="584"/>
        <v>4</v>
      </c>
      <c r="BS1029" s="4">
        <f t="shared" si="585"/>
        <v>4</v>
      </c>
      <c r="BT1029" s="4">
        <f t="shared" si="586"/>
        <v>4</v>
      </c>
      <c r="BU1029" s="4">
        <f t="shared" si="587"/>
        <v>4</v>
      </c>
      <c r="BV1029" s="4">
        <f t="shared" si="588"/>
        <v>0</v>
      </c>
      <c r="BW1029" s="4">
        <f t="shared" si="589"/>
        <v>6</v>
      </c>
      <c r="BX1029" s="4">
        <f t="shared" si="590"/>
        <v>0</v>
      </c>
      <c r="BY1029" s="4">
        <f t="shared" si="591"/>
        <v>0</v>
      </c>
      <c r="BZ1029" s="37">
        <f t="shared" si="592"/>
        <v>100</v>
      </c>
      <c r="CA1029" s="32" t="str">
        <f>VLOOKUP(J:J,'Agent wise'!A:C,3,0)</f>
        <v>Amal</v>
      </c>
      <c r="CB1029" s="32">
        <f t="shared" si="593"/>
        <v>45948</v>
      </c>
      <c r="CC1029" t="str">
        <f t="shared" si="594"/>
        <v>Excellent</v>
      </c>
      <c r="CE1029" s="32"/>
      <c r="CJ1029">
        <f t="shared" si="595"/>
        <v>18</v>
      </c>
      <c r="CK1029">
        <f t="shared" si="596"/>
        <v>10</v>
      </c>
      <c r="CL1029">
        <f t="shared" si="597"/>
        <v>2025</v>
      </c>
    </row>
    <row r="1030" spans="1:90" ht="15" customHeight="1" x14ac:dyDescent="0.35">
      <c r="A1030" t="s">
        <v>2521</v>
      </c>
      <c r="B1030" t="s">
        <v>698</v>
      </c>
      <c r="C1030" t="s">
        <v>214</v>
      </c>
      <c r="D1030" t="s">
        <v>221</v>
      </c>
      <c r="E1030" s="32">
        <v>45948</v>
      </c>
      <c r="F1030" t="s">
        <v>222</v>
      </c>
      <c r="G1030" t="s">
        <v>2490</v>
      </c>
      <c r="H1030">
        <v>8606572515</v>
      </c>
      <c r="I1030">
        <v>173</v>
      </c>
      <c r="J1030" t="s">
        <v>451</v>
      </c>
      <c r="K1030" t="s">
        <v>57</v>
      </c>
      <c r="L1030" t="s">
        <v>58</v>
      </c>
      <c r="M1030" t="s">
        <v>59</v>
      </c>
      <c r="N1030" t="s">
        <v>59</v>
      </c>
      <c r="O1030" t="s">
        <v>59</v>
      </c>
      <c r="P1030" t="s">
        <v>59</v>
      </c>
      <c r="Q1030" t="s">
        <v>59</v>
      </c>
      <c r="R1030" t="s">
        <v>59</v>
      </c>
      <c r="S1030" t="s">
        <v>59</v>
      </c>
      <c r="T1030" t="s">
        <v>59</v>
      </c>
      <c r="U1030" t="s">
        <v>59</v>
      </c>
      <c r="V1030" t="s">
        <v>59</v>
      </c>
      <c r="W1030" t="s">
        <v>59</v>
      </c>
      <c r="X1030" t="s">
        <v>59</v>
      </c>
      <c r="Y1030" t="s">
        <v>59</v>
      </c>
      <c r="Z1030" t="s">
        <v>59</v>
      </c>
      <c r="AA1030" t="s">
        <v>60</v>
      </c>
      <c r="AB1030" t="s">
        <v>59</v>
      </c>
      <c r="AC1030" t="s">
        <v>59</v>
      </c>
      <c r="AD1030" t="s">
        <v>59</v>
      </c>
      <c r="AE1030" t="s">
        <v>59</v>
      </c>
      <c r="AF1030" t="s">
        <v>59</v>
      </c>
      <c r="AG1030" t="s">
        <v>59</v>
      </c>
      <c r="AH1030" t="s">
        <v>61</v>
      </c>
      <c r="AI1030" t="s">
        <v>61</v>
      </c>
      <c r="AJ1030" t="s">
        <v>59</v>
      </c>
      <c r="AK1030" t="s">
        <v>59</v>
      </c>
      <c r="AL1030" t="s">
        <v>60</v>
      </c>
      <c r="AM1030" t="s">
        <v>59</v>
      </c>
      <c r="AN1030" t="s">
        <v>59</v>
      </c>
      <c r="AO1030" t="s">
        <v>59</v>
      </c>
      <c r="AP1030" t="s">
        <v>2522</v>
      </c>
      <c r="AQ1030" t="s">
        <v>2523</v>
      </c>
      <c r="AR1030" t="s">
        <v>226</v>
      </c>
      <c r="AS1030" t="s">
        <v>394</v>
      </c>
      <c r="AT1030" t="s">
        <v>394</v>
      </c>
      <c r="AU1030" t="s">
        <v>219</v>
      </c>
      <c r="AW1030" s="4">
        <f t="shared" si="563"/>
        <v>6</v>
      </c>
      <c r="AX1030" s="4">
        <f t="shared" si="564"/>
        <v>4</v>
      </c>
      <c r="AY1030" s="4">
        <f t="shared" si="565"/>
        <v>4</v>
      </c>
      <c r="AZ1030" s="4">
        <f t="shared" si="566"/>
        <v>2</v>
      </c>
      <c r="BA1030" s="4">
        <f t="shared" si="567"/>
        <v>4</v>
      </c>
      <c r="BB1030" s="4">
        <f t="shared" si="568"/>
        <v>4</v>
      </c>
      <c r="BC1030" s="4">
        <f t="shared" si="569"/>
        <v>4</v>
      </c>
      <c r="BD1030" s="4">
        <f t="shared" si="570"/>
        <v>2</v>
      </c>
      <c r="BE1030" s="4">
        <f t="shared" si="571"/>
        <v>4</v>
      </c>
      <c r="BF1030" s="4">
        <f t="shared" si="572"/>
        <v>2</v>
      </c>
      <c r="BG1030" s="4">
        <f t="shared" si="573"/>
        <v>4</v>
      </c>
      <c r="BH1030" s="4">
        <f t="shared" si="574"/>
        <v>4</v>
      </c>
      <c r="BI1030" s="4">
        <f t="shared" si="575"/>
        <v>4</v>
      </c>
      <c r="BJ1030" s="4">
        <f t="shared" si="576"/>
        <v>2</v>
      </c>
      <c r="BK1030" s="4" t="str">
        <f t="shared" si="577"/>
        <v>0</v>
      </c>
      <c r="BL1030" s="4">
        <f t="shared" si="578"/>
        <v>2</v>
      </c>
      <c r="BM1030" s="4">
        <f t="shared" si="579"/>
        <v>4</v>
      </c>
      <c r="BN1030" s="4">
        <f t="shared" si="580"/>
        <v>4</v>
      </c>
      <c r="BO1030" s="4">
        <f t="shared" si="581"/>
        <v>4</v>
      </c>
      <c r="BP1030" s="4">
        <f t="shared" si="582"/>
        <v>4</v>
      </c>
      <c r="BQ1030" s="4">
        <f t="shared" si="583"/>
        <v>6</v>
      </c>
      <c r="BR1030" s="4">
        <f t="shared" si="584"/>
        <v>4</v>
      </c>
      <c r="BS1030" s="4">
        <f t="shared" si="585"/>
        <v>4</v>
      </c>
      <c r="BT1030" s="4">
        <f t="shared" si="586"/>
        <v>4</v>
      </c>
      <c r="BU1030" s="4">
        <f t="shared" si="587"/>
        <v>4</v>
      </c>
      <c r="BV1030" s="4" t="str">
        <f t="shared" si="588"/>
        <v>0</v>
      </c>
      <c r="BW1030" s="4">
        <f t="shared" si="589"/>
        <v>6</v>
      </c>
      <c r="BX1030" s="4">
        <f t="shared" si="590"/>
        <v>0</v>
      </c>
      <c r="BY1030" s="4">
        <f t="shared" si="591"/>
        <v>0</v>
      </c>
      <c r="BZ1030" s="37">
        <f t="shared" si="592"/>
        <v>96</v>
      </c>
      <c r="CA1030" s="32" t="str">
        <f>VLOOKUP(J:J,'Agent wise'!A:C,3,0)</f>
        <v xml:space="preserve">Shiny </v>
      </c>
      <c r="CB1030" s="32">
        <f t="shared" si="593"/>
        <v>45948</v>
      </c>
      <c r="CC1030" t="str">
        <f t="shared" si="594"/>
        <v>Excellent</v>
      </c>
      <c r="CE1030" s="32"/>
      <c r="CJ1030">
        <f t="shared" si="595"/>
        <v>18</v>
      </c>
      <c r="CK1030">
        <f t="shared" si="596"/>
        <v>10</v>
      </c>
      <c r="CL1030">
        <f t="shared" si="597"/>
        <v>2025</v>
      </c>
    </row>
    <row r="1031" spans="1:90" ht="15" customHeight="1" x14ac:dyDescent="0.35">
      <c r="A1031" t="s">
        <v>2524</v>
      </c>
      <c r="B1031" t="s">
        <v>698</v>
      </c>
      <c r="C1031" t="s">
        <v>214</v>
      </c>
      <c r="D1031" t="s">
        <v>221</v>
      </c>
      <c r="E1031" s="32">
        <v>45948</v>
      </c>
      <c r="F1031" t="s">
        <v>222</v>
      </c>
      <c r="G1031" t="s">
        <v>2490</v>
      </c>
      <c r="H1031">
        <v>6383418727</v>
      </c>
      <c r="I1031">
        <v>184</v>
      </c>
      <c r="J1031" t="s">
        <v>439</v>
      </c>
      <c r="K1031" t="s">
        <v>71</v>
      </c>
      <c r="L1031" t="s">
        <v>72</v>
      </c>
      <c r="M1031" t="s">
        <v>59</v>
      </c>
      <c r="N1031" t="s">
        <v>59</v>
      </c>
      <c r="O1031" t="s">
        <v>59</v>
      </c>
      <c r="P1031" t="s">
        <v>59</v>
      </c>
      <c r="Q1031" t="s">
        <v>59</v>
      </c>
      <c r="R1031" t="s">
        <v>59</v>
      </c>
      <c r="S1031" t="s">
        <v>59</v>
      </c>
      <c r="T1031" t="s">
        <v>59</v>
      </c>
      <c r="U1031" t="s">
        <v>59</v>
      </c>
      <c r="V1031" t="s">
        <v>59</v>
      </c>
      <c r="W1031" t="s">
        <v>59</v>
      </c>
      <c r="X1031" t="s">
        <v>59</v>
      </c>
      <c r="Y1031" t="s">
        <v>59</v>
      </c>
      <c r="Z1031" t="s">
        <v>60</v>
      </c>
      <c r="AA1031" t="s">
        <v>59</v>
      </c>
      <c r="AB1031" t="s">
        <v>60</v>
      </c>
      <c r="AC1031" t="s">
        <v>61</v>
      </c>
      <c r="AD1031" t="s">
        <v>61</v>
      </c>
      <c r="AE1031" t="s">
        <v>59</v>
      </c>
      <c r="AF1031" t="s">
        <v>59</v>
      </c>
      <c r="AG1031" t="s">
        <v>59</v>
      </c>
      <c r="AH1031" t="s">
        <v>61</v>
      </c>
      <c r="AI1031" t="s">
        <v>61</v>
      </c>
      <c r="AJ1031" t="s">
        <v>59</v>
      </c>
      <c r="AK1031" t="s">
        <v>59</v>
      </c>
      <c r="AL1031" t="s">
        <v>60</v>
      </c>
      <c r="AM1031" t="s">
        <v>59</v>
      </c>
      <c r="AN1031" t="s">
        <v>59</v>
      </c>
      <c r="AO1031" t="s">
        <v>59</v>
      </c>
      <c r="AP1031" t="s">
        <v>2525</v>
      </c>
      <c r="AQ1031" t="s">
        <v>2526</v>
      </c>
      <c r="AR1031" t="s">
        <v>226</v>
      </c>
      <c r="AS1031" t="s">
        <v>249</v>
      </c>
      <c r="AT1031" t="s">
        <v>249</v>
      </c>
      <c r="AU1031" t="s">
        <v>219</v>
      </c>
      <c r="AW1031" s="4">
        <f t="shared" si="563"/>
        <v>6</v>
      </c>
      <c r="AX1031" s="4">
        <f t="shared" si="564"/>
        <v>4</v>
      </c>
      <c r="AY1031" s="4">
        <f t="shared" si="565"/>
        <v>4</v>
      </c>
      <c r="AZ1031" s="4">
        <f t="shared" si="566"/>
        <v>2</v>
      </c>
      <c r="BA1031" s="4">
        <f t="shared" si="567"/>
        <v>4</v>
      </c>
      <c r="BB1031" s="4">
        <f t="shared" si="568"/>
        <v>4</v>
      </c>
      <c r="BC1031" s="4">
        <f t="shared" si="569"/>
        <v>4</v>
      </c>
      <c r="BD1031" s="4">
        <f t="shared" si="570"/>
        <v>2</v>
      </c>
      <c r="BE1031" s="4">
        <f t="shared" si="571"/>
        <v>4</v>
      </c>
      <c r="BF1031" s="4">
        <f t="shared" si="572"/>
        <v>2</v>
      </c>
      <c r="BG1031" s="4">
        <f t="shared" si="573"/>
        <v>4</v>
      </c>
      <c r="BH1031" s="4">
        <f t="shared" si="574"/>
        <v>4</v>
      </c>
      <c r="BI1031" s="4">
        <f t="shared" si="575"/>
        <v>4</v>
      </c>
      <c r="BJ1031" s="4" t="str">
        <f t="shared" si="576"/>
        <v>0</v>
      </c>
      <c r="BK1031" s="4">
        <f t="shared" si="577"/>
        <v>4</v>
      </c>
      <c r="BL1031" s="4" t="str">
        <f t="shared" si="578"/>
        <v>0</v>
      </c>
      <c r="BM1031" s="4">
        <f t="shared" si="579"/>
        <v>4</v>
      </c>
      <c r="BN1031" s="4">
        <f t="shared" si="580"/>
        <v>4</v>
      </c>
      <c r="BO1031" s="4">
        <f t="shared" si="581"/>
        <v>4</v>
      </c>
      <c r="BP1031" s="4">
        <f t="shared" si="582"/>
        <v>4</v>
      </c>
      <c r="BQ1031" s="4">
        <f t="shared" si="583"/>
        <v>6</v>
      </c>
      <c r="BR1031" s="4">
        <f t="shared" si="584"/>
        <v>4</v>
      </c>
      <c r="BS1031" s="4">
        <f t="shared" si="585"/>
        <v>4</v>
      </c>
      <c r="BT1031" s="4">
        <f t="shared" si="586"/>
        <v>4</v>
      </c>
      <c r="BU1031" s="4">
        <f t="shared" si="587"/>
        <v>4</v>
      </c>
      <c r="BV1031" s="4" t="str">
        <f t="shared" si="588"/>
        <v>0</v>
      </c>
      <c r="BW1031" s="4">
        <f t="shared" si="589"/>
        <v>6</v>
      </c>
      <c r="BX1031" s="4">
        <f t="shared" si="590"/>
        <v>0</v>
      </c>
      <c r="BY1031" s="4">
        <f t="shared" si="591"/>
        <v>0</v>
      </c>
      <c r="BZ1031" s="37">
        <f t="shared" si="592"/>
        <v>96</v>
      </c>
      <c r="CA1031" s="32" t="str">
        <f>VLOOKUP(J:J,'Agent wise'!A:C,3,0)</f>
        <v>Saran S</v>
      </c>
      <c r="CB1031" s="32">
        <f t="shared" si="593"/>
        <v>45948</v>
      </c>
      <c r="CC1031" t="str">
        <f t="shared" si="594"/>
        <v>Excellent</v>
      </c>
      <c r="CE1031" s="32"/>
      <c r="CJ1031">
        <f t="shared" si="595"/>
        <v>18</v>
      </c>
      <c r="CK1031">
        <f t="shared" si="596"/>
        <v>10</v>
      </c>
      <c r="CL1031">
        <f t="shared" si="597"/>
        <v>2025</v>
      </c>
    </row>
    <row r="1032" spans="1:90" ht="15" customHeight="1" x14ac:dyDescent="0.35">
      <c r="A1032" t="s">
        <v>2527</v>
      </c>
      <c r="B1032" t="s">
        <v>698</v>
      </c>
      <c r="C1032" t="s">
        <v>214</v>
      </c>
      <c r="D1032" t="s">
        <v>221</v>
      </c>
      <c r="E1032" s="32">
        <v>45948</v>
      </c>
      <c r="F1032" t="s">
        <v>222</v>
      </c>
      <c r="G1032" t="s">
        <v>2490</v>
      </c>
      <c r="H1032">
        <v>9943845629</v>
      </c>
      <c r="I1032">
        <v>176</v>
      </c>
      <c r="J1032" t="s">
        <v>223</v>
      </c>
      <c r="K1032" t="s">
        <v>71</v>
      </c>
      <c r="L1032" t="s">
        <v>72</v>
      </c>
      <c r="M1032" t="s">
        <v>59</v>
      </c>
      <c r="N1032" t="s">
        <v>59</v>
      </c>
      <c r="O1032" t="s">
        <v>59</v>
      </c>
      <c r="P1032" t="s">
        <v>59</v>
      </c>
      <c r="Q1032" t="s">
        <v>59</v>
      </c>
      <c r="R1032" t="s">
        <v>59</v>
      </c>
      <c r="S1032" t="s">
        <v>59</v>
      </c>
      <c r="T1032" t="s">
        <v>59</v>
      </c>
      <c r="U1032" t="s">
        <v>59</v>
      </c>
      <c r="V1032" t="s">
        <v>59</v>
      </c>
      <c r="W1032" t="s">
        <v>59</v>
      </c>
      <c r="X1032" t="s">
        <v>59</v>
      </c>
      <c r="Y1032" t="s">
        <v>59</v>
      </c>
      <c r="Z1032" t="s">
        <v>59</v>
      </c>
      <c r="AA1032" t="s">
        <v>59</v>
      </c>
      <c r="AB1032" t="s">
        <v>59</v>
      </c>
      <c r="AC1032" t="s">
        <v>59</v>
      </c>
      <c r="AD1032" t="s">
        <v>59</v>
      </c>
      <c r="AE1032" t="s">
        <v>59</v>
      </c>
      <c r="AF1032" t="s">
        <v>59</v>
      </c>
      <c r="AG1032" t="s">
        <v>59</v>
      </c>
      <c r="AH1032" t="s">
        <v>61</v>
      </c>
      <c r="AI1032" t="s">
        <v>59</v>
      </c>
      <c r="AJ1032" t="s">
        <v>59</v>
      </c>
      <c r="AK1032" t="s">
        <v>59</v>
      </c>
      <c r="AL1032" t="s">
        <v>59</v>
      </c>
      <c r="AM1032" t="s">
        <v>59</v>
      </c>
      <c r="AN1032" t="s">
        <v>59</v>
      </c>
      <c r="AO1032" t="s">
        <v>59</v>
      </c>
      <c r="AP1032" t="s">
        <v>219</v>
      </c>
      <c r="AQ1032" t="s">
        <v>960</v>
      </c>
      <c r="AR1032" t="s">
        <v>226</v>
      </c>
      <c r="AS1032" t="s">
        <v>249</v>
      </c>
      <c r="AT1032" t="s">
        <v>249</v>
      </c>
      <c r="AU1032" t="s">
        <v>219</v>
      </c>
      <c r="AW1032" s="4">
        <f t="shared" si="563"/>
        <v>6</v>
      </c>
      <c r="AX1032" s="4">
        <f t="shared" si="564"/>
        <v>4</v>
      </c>
      <c r="AY1032" s="4">
        <f t="shared" si="565"/>
        <v>4</v>
      </c>
      <c r="AZ1032" s="4">
        <f t="shared" si="566"/>
        <v>2</v>
      </c>
      <c r="BA1032" s="4">
        <f t="shared" si="567"/>
        <v>4</v>
      </c>
      <c r="BB1032" s="4">
        <f t="shared" si="568"/>
        <v>4</v>
      </c>
      <c r="BC1032" s="4">
        <f t="shared" si="569"/>
        <v>4</v>
      </c>
      <c r="BD1032" s="4">
        <f t="shared" si="570"/>
        <v>2</v>
      </c>
      <c r="BE1032" s="4">
        <f t="shared" si="571"/>
        <v>4</v>
      </c>
      <c r="BF1032" s="4">
        <f t="shared" si="572"/>
        <v>2</v>
      </c>
      <c r="BG1032" s="4">
        <f t="shared" si="573"/>
        <v>4</v>
      </c>
      <c r="BH1032" s="4">
        <f t="shared" si="574"/>
        <v>4</v>
      </c>
      <c r="BI1032" s="4">
        <f t="shared" si="575"/>
        <v>4</v>
      </c>
      <c r="BJ1032" s="4">
        <f t="shared" si="576"/>
        <v>2</v>
      </c>
      <c r="BK1032" s="4">
        <f t="shared" si="577"/>
        <v>4</v>
      </c>
      <c r="BL1032" s="4">
        <f t="shared" si="578"/>
        <v>2</v>
      </c>
      <c r="BM1032" s="4">
        <f t="shared" si="579"/>
        <v>4</v>
      </c>
      <c r="BN1032" s="4">
        <f t="shared" si="580"/>
        <v>4</v>
      </c>
      <c r="BO1032" s="4">
        <f t="shared" si="581"/>
        <v>4</v>
      </c>
      <c r="BP1032" s="4">
        <f t="shared" si="582"/>
        <v>4</v>
      </c>
      <c r="BQ1032" s="4">
        <f t="shared" si="583"/>
        <v>6</v>
      </c>
      <c r="BR1032" s="4">
        <f t="shared" si="584"/>
        <v>4</v>
      </c>
      <c r="BS1032" s="4">
        <f t="shared" si="585"/>
        <v>4</v>
      </c>
      <c r="BT1032" s="4">
        <f t="shared" si="586"/>
        <v>4</v>
      </c>
      <c r="BU1032" s="4">
        <f t="shared" si="587"/>
        <v>4</v>
      </c>
      <c r="BV1032" s="4">
        <f t="shared" si="588"/>
        <v>0</v>
      </c>
      <c r="BW1032" s="4">
        <f t="shared" si="589"/>
        <v>6</v>
      </c>
      <c r="BX1032" s="4">
        <f t="shared" si="590"/>
        <v>0</v>
      </c>
      <c r="BY1032" s="4">
        <f t="shared" si="591"/>
        <v>0</v>
      </c>
      <c r="BZ1032" s="37">
        <f t="shared" si="592"/>
        <v>100</v>
      </c>
      <c r="CA1032" s="32" t="str">
        <f>VLOOKUP(J:J,'Agent wise'!A:C,3,0)</f>
        <v>Amal</v>
      </c>
      <c r="CB1032" s="32">
        <f t="shared" si="593"/>
        <v>45948</v>
      </c>
      <c r="CC1032" t="str">
        <f t="shared" si="594"/>
        <v>Excellent</v>
      </c>
      <c r="CE1032" s="32"/>
      <c r="CJ1032">
        <f t="shared" si="595"/>
        <v>18</v>
      </c>
      <c r="CK1032">
        <f t="shared" si="596"/>
        <v>10</v>
      </c>
      <c r="CL1032">
        <f t="shared" si="597"/>
        <v>2025</v>
      </c>
    </row>
    <row r="1033" spans="1:90" ht="15" customHeight="1" x14ac:dyDescent="0.35">
      <c r="A1033" t="s">
        <v>2528</v>
      </c>
      <c r="B1033" t="s">
        <v>250</v>
      </c>
      <c r="C1033" t="s">
        <v>214</v>
      </c>
      <c r="D1033" t="s">
        <v>251</v>
      </c>
      <c r="E1033" s="32">
        <v>45948</v>
      </c>
      <c r="F1033" t="s">
        <v>54</v>
      </c>
      <c r="G1033" t="s">
        <v>2369</v>
      </c>
      <c r="H1033">
        <v>9791924341</v>
      </c>
      <c r="I1033">
        <v>156</v>
      </c>
      <c r="J1033" t="s">
        <v>2504</v>
      </c>
      <c r="K1033" t="s">
        <v>71</v>
      </c>
      <c r="L1033" t="s">
        <v>72</v>
      </c>
      <c r="M1033" t="s">
        <v>59</v>
      </c>
      <c r="N1033" t="s">
        <v>59</v>
      </c>
      <c r="O1033" t="s">
        <v>59</v>
      </c>
      <c r="P1033" t="s">
        <v>59</v>
      </c>
      <c r="Q1033" t="s">
        <v>59</v>
      </c>
      <c r="R1033" t="s">
        <v>59</v>
      </c>
      <c r="S1033" t="s">
        <v>59</v>
      </c>
      <c r="T1033" t="s">
        <v>59</v>
      </c>
      <c r="U1033" t="s">
        <v>60</v>
      </c>
      <c r="V1033" t="s">
        <v>59</v>
      </c>
      <c r="W1033" t="s">
        <v>59</v>
      </c>
      <c r="X1033" t="s">
        <v>59</v>
      </c>
      <c r="Y1033" t="s">
        <v>59</v>
      </c>
      <c r="Z1033" t="s">
        <v>59</v>
      </c>
      <c r="AA1033" t="s">
        <v>60</v>
      </c>
      <c r="AB1033" t="s">
        <v>60</v>
      </c>
      <c r="AC1033" t="s">
        <v>59</v>
      </c>
      <c r="AD1033" t="s">
        <v>59</v>
      </c>
      <c r="AE1033" t="s">
        <v>59</v>
      </c>
      <c r="AF1033" t="s">
        <v>59</v>
      </c>
      <c r="AG1033" t="s">
        <v>59</v>
      </c>
      <c r="AH1033" t="s">
        <v>61</v>
      </c>
      <c r="AI1033" t="s">
        <v>61</v>
      </c>
      <c r="AJ1033" t="s">
        <v>59</v>
      </c>
      <c r="AK1033" t="s">
        <v>59</v>
      </c>
      <c r="AL1033" t="s">
        <v>60</v>
      </c>
      <c r="AM1033" t="s">
        <v>59</v>
      </c>
      <c r="AN1033" t="s">
        <v>59</v>
      </c>
      <c r="AO1033" t="s">
        <v>59</v>
      </c>
      <c r="AP1033" t="s">
        <v>2529</v>
      </c>
      <c r="AQ1033" t="s">
        <v>2530</v>
      </c>
      <c r="AR1033" t="s">
        <v>226</v>
      </c>
      <c r="AS1033" t="s">
        <v>2531</v>
      </c>
      <c r="AT1033" t="s">
        <v>2532</v>
      </c>
      <c r="AU1033" t="s">
        <v>219</v>
      </c>
      <c r="AW1033" s="4">
        <f t="shared" si="563"/>
        <v>6</v>
      </c>
      <c r="AX1033" s="4">
        <f t="shared" si="564"/>
        <v>4</v>
      </c>
      <c r="AY1033" s="4">
        <f t="shared" si="565"/>
        <v>4</v>
      </c>
      <c r="AZ1033" s="4">
        <f t="shared" si="566"/>
        <v>2</v>
      </c>
      <c r="BA1033" s="4">
        <f t="shared" si="567"/>
        <v>4</v>
      </c>
      <c r="BB1033" s="4">
        <f t="shared" si="568"/>
        <v>4</v>
      </c>
      <c r="BC1033" s="4">
        <f t="shared" si="569"/>
        <v>4</v>
      </c>
      <c r="BD1033" s="4">
        <f t="shared" si="570"/>
        <v>2</v>
      </c>
      <c r="BE1033" s="4" t="str">
        <f t="shared" si="571"/>
        <v>0</v>
      </c>
      <c r="BF1033" s="4">
        <f t="shared" si="572"/>
        <v>2</v>
      </c>
      <c r="BG1033" s="4">
        <f t="shared" si="573"/>
        <v>4</v>
      </c>
      <c r="BH1033" s="4">
        <f t="shared" si="574"/>
        <v>4</v>
      </c>
      <c r="BI1033" s="4">
        <f t="shared" si="575"/>
        <v>4</v>
      </c>
      <c r="BJ1033" s="4">
        <f t="shared" si="576"/>
        <v>2</v>
      </c>
      <c r="BK1033" s="4" t="str">
        <f t="shared" si="577"/>
        <v>0</v>
      </c>
      <c r="BL1033" s="4" t="str">
        <f t="shared" si="578"/>
        <v>0</v>
      </c>
      <c r="BM1033" s="4">
        <f t="shared" si="579"/>
        <v>4</v>
      </c>
      <c r="BN1033" s="4">
        <f t="shared" si="580"/>
        <v>4</v>
      </c>
      <c r="BO1033" s="4">
        <f t="shared" si="581"/>
        <v>4</v>
      </c>
      <c r="BP1033" s="4">
        <f t="shared" si="582"/>
        <v>4</v>
      </c>
      <c r="BQ1033" s="4">
        <f t="shared" si="583"/>
        <v>6</v>
      </c>
      <c r="BR1033" s="4">
        <f t="shared" si="584"/>
        <v>4</v>
      </c>
      <c r="BS1033" s="4">
        <f t="shared" si="585"/>
        <v>4</v>
      </c>
      <c r="BT1033" s="4">
        <f t="shared" si="586"/>
        <v>4</v>
      </c>
      <c r="BU1033" s="4">
        <f t="shared" si="587"/>
        <v>4</v>
      </c>
      <c r="BV1033" s="4" t="str">
        <f t="shared" si="588"/>
        <v>0</v>
      </c>
      <c r="BW1033" s="4">
        <f t="shared" si="589"/>
        <v>6</v>
      </c>
      <c r="BX1033" s="4">
        <f t="shared" si="590"/>
        <v>0</v>
      </c>
      <c r="BY1033" s="4">
        <f t="shared" si="591"/>
        <v>0</v>
      </c>
      <c r="BZ1033" s="37">
        <f t="shared" si="592"/>
        <v>90</v>
      </c>
      <c r="CA1033" s="32" t="e">
        <f>VLOOKUP(J:J,'Agent wise'!A:C,3,0)</f>
        <v>#N/A</v>
      </c>
      <c r="CB1033" s="32">
        <f t="shared" si="593"/>
        <v>45948</v>
      </c>
      <c r="CC1033" t="str">
        <f t="shared" si="594"/>
        <v>Good</v>
      </c>
      <c r="CE1033" s="32"/>
      <c r="CJ1033">
        <f t="shared" si="595"/>
        <v>18</v>
      </c>
      <c r="CK1033">
        <f t="shared" si="596"/>
        <v>10</v>
      </c>
      <c r="CL1033">
        <f t="shared" si="597"/>
        <v>2025</v>
      </c>
    </row>
    <row r="1034" spans="1:90" ht="15" customHeight="1" x14ac:dyDescent="0.35">
      <c r="A1034" t="s">
        <v>2533</v>
      </c>
      <c r="B1034" t="s">
        <v>177</v>
      </c>
      <c r="C1034" t="s">
        <v>214</v>
      </c>
      <c r="D1034" t="s">
        <v>178</v>
      </c>
      <c r="E1034" s="32">
        <v>45948</v>
      </c>
      <c r="F1034" t="s">
        <v>54</v>
      </c>
      <c r="G1034" t="s">
        <v>2369</v>
      </c>
      <c r="H1034">
        <v>9496875809</v>
      </c>
      <c r="I1034">
        <v>114</v>
      </c>
      <c r="J1034" t="s">
        <v>640</v>
      </c>
      <c r="K1034" t="s">
        <v>57</v>
      </c>
      <c r="L1034" t="s">
        <v>58</v>
      </c>
      <c r="M1034" t="s">
        <v>59</v>
      </c>
      <c r="N1034" t="s">
        <v>59</v>
      </c>
      <c r="O1034" t="s">
        <v>59</v>
      </c>
      <c r="P1034" t="s">
        <v>59</v>
      </c>
      <c r="Q1034" t="s">
        <v>59</v>
      </c>
      <c r="R1034" t="s">
        <v>59</v>
      </c>
      <c r="S1034" t="s">
        <v>59</v>
      </c>
      <c r="T1034" t="s">
        <v>59</v>
      </c>
      <c r="U1034" t="s">
        <v>59</v>
      </c>
      <c r="V1034" t="s">
        <v>59</v>
      </c>
      <c r="W1034" t="s">
        <v>59</v>
      </c>
      <c r="X1034" t="s">
        <v>59</v>
      </c>
      <c r="Y1034" t="s">
        <v>59</v>
      </c>
      <c r="Z1034" t="s">
        <v>59</v>
      </c>
      <c r="AA1034" t="s">
        <v>59</v>
      </c>
      <c r="AB1034" t="s">
        <v>59</v>
      </c>
      <c r="AC1034" t="s">
        <v>59</v>
      </c>
      <c r="AD1034" t="s">
        <v>59</v>
      </c>
      <c r="AE1034" t="s">
        <v>60</v>
      </c>
      <c r="AF1034" t="s">
        <v>59</v>
      </c>
      <c r="AG1034" t="s">
        <v>59</v>
      </c>
      <c r="AH1034" t="s">
        <v>59</v>
      </c>
      <c r="AI1034" t="s">
        <v>61</v>
      </c>
      <c r="AJ1034" t="s">
        <v>59</v>
      </c>
      <c r="AK1034" t="s">
        <v>59</v>
      </c>
      <c r="AL1034" t="s">
        <v>60</v>
      </c>
      <c r="AM1034" t="s">
        <v>59</v>
      </c>
      <c r="AN1034" t="s">
        <v>59</v>
      </c>
      <c r="AO1034" t="s">
        <v>59</v>
      </c>
      <c r="AP1034" t="s">
        <v>1874</v>
      </c>
      <c r="AQ1034" t="s">
        <v>1884</v>
      </c>
      <c r="AR1034" t="s">
        <v>64</v>
      </c>
      <c r="AS1034" t="s">
        <v>89</v>
      </c>
      <c r="AT1034" t="s">
        <v>293</v>
      </c>
      <c r="AU1034" t="s">
        <v>387</v>
      </c>
      <c r="AW1034" s="4">
        <f t="shared" si="563"/>
        <v>6</v>
      </c>
      <c r="AX1034" s="4">
        <f t="shared" si="564"/>
        <v>4</v>
      </c>
      <c r="AY1034" s="4">
        <f t="shared" si="565"/>
        <v>4</v>
      </c>
      <c r="AZ1034" s="4">
        <f t="shared" si="566"/>
        <v>2</v>
      </c>
      <c r="BA1034" s="4">
        <f t="shared" si="567"/>
        <v>4</v>
      </c>
      <c r="BB1034" s="4">
        <f t="shared" si="568"/>
        <v>4</v>
      </c>
      <c r="BC1034" s="4">
        <f t="shared" si="569"/>
        <v>4</v>
      </c>
      <c r="BD1034" s="4">
        <f t="shared" si="570"/>
        <v>2</v>
      </c>
      <c r="BE1034" s="4">
        <f t="shared" si="571"/>
        <v>4</v>
      </c>
      <c r="BF1034" s="4">
        <f t="shared" si="572"/>
        <v>2</v>
      </c>
      <c r="BG1034" s="4">
        <f t="shared" si="573"/>
        <v>4</v>
      </c>
      <c r="BH1034" s="4">
        <f t="shared" si="574"/>
        <v>4</v>
      </c>
      <c r="BI1034" s="4">
        <f t="shared" si="575"/>
        <v>4</v>
      </c>
      <c r="BJ1034" s="4">
        <f t="shared" si="576"/>
        <v>2</v>
      </c>
      <c r="BK1034" s="4">
        <f t="shared" si="577"/>
        <v>4</v>
      </c>
      <c r="BL1034" s="4">
        <f t="shared" si="578"/>
        <v>2</v>
      </c>
      <c r="BM1034" s="4">
        <f t="shared" si="579"/>
        <v>4</v>
      </c>
      <c r="BN1034" s="4">
        <f t="shared" si="580"/>
        <v>4</v>
      </c>
      <c r="BO1034" s="4" t="str">
        <f t="shared" si="581"/>
        <v>0</v>
      </c>
      <c r="BP1034" s="4">
        <f t="shared" si="582"/>
        <v>4</v>
      </c>
      <c r="BQ1034" s="4">
        <f t="shared" si="583"/>
        <v>6</v>
      </c>
      <c r="BR1034" s="4">
        <f t="shared" si="584"/>
        <v>4</v>
      </c>
      <c r="BS1034" s="4">
        <f t="shared" si="585"/>
        <v>4</v>
      </c>
      <c r="BT1034" s="4">
        <f t="shared" si="586"/>
        <v>4</v>
      </c>
      <c r="BU1034" s="4">
        <f t="shared" si="587"/>
        <v>4</v>
      </c>
      <c r="BV1034" s="4" t="str">
        <f t="shared" si="588"/>
        <v>0</v>
      </c>
      <c r="BW1034" s="4">
        <f t="shared" si="589"/>
        <v>6</v>
      </c>
      <c r="BX1034" s="4">
        <f t="shared" si="590"/>
        <v>0</v>
      </c>
      <c r="BY1034" s="4">
        <f t="shared" si="591"/>
        <v>0</v>
      </c>
      <c r="BZ1034" s="37">
        <f t="shared" si="592"/>
        <v>96</v>
      </c>
      <c r="CA1034" s="32" t="str">
        <f>VLOOKUP(J:J,'Agent wise'!A:C,3,0)</f>
        <v>Adharsh</v>
      </c>
      <c r="CB1034" s="32">
        <f t="shared" si="593"/>
        <v>45948</v>
      </c>
      <c r="CC1034" t="str">
        <f t="shared" si="594"/>
        <v>Excellent</v>
      </c>
      <c r="CE1034" s="32"/>
      <c r="CJ1034">
        <f t="shared" si="595"/>
        <v>18</v>
      </c>
      <c r="CK1034">
        <f t="shared" si="596"/>
        <v>10</v>
      </c>
      <c r="CL1034">
        <f t="shared" si="597"/>
        <v>2025</v>
      </c>
    </row>
    <row r="1035" spans="1:90" ht="15" customHeight="1" x14ac:dyDescent="0.35">
      <c r="A1035" t="s">
        <v>2534</v>
      </c>
      <c r="B1035" t="s">
        <v>698</v>
      </c>
      <c r="C1035" t="s">
        <v>214</v>
      </c>
      <c r="D1035" t="s">
        <v>221</v>
      </c>
      <c r="E1035" s="32">
        <v>45948</v>
      </c>
      <c r="F1035" t="s">
        <v>222</v>
      </c>
      <c r="G1035" t="s">
        <v>2490</v>
      </c>
      <c r="H1035">
        <v>8668104070</v>
      </c>
      <c r="I1035">
        <v>133</v>
      </c>
      <c r="J1035" t="s">
        <v>246</v>
      </c>
      <c r="K1035" t="s">
        <v>71</v>
      </c>
      <c r="L1035" t="s">
        <v>72</v>
      </c>
      <c r="M1035" t="s">
        <v>59</v>
      </c>
      <c r="N1035" t="s">
        <v>59</v>
      </c>
      <c r="O1035" t="s">
        <v>59</v>
      </c>
      <c r="P1035" t="s">
        <v>59</v>
      </c>
      <c r="Q1035" t="s">
        <v>59</v>
      </c>
      <c r="R1035" t="s">
        <v>59</v>
      </c>
      <c r="S1035" t="s">
        <v>59</v>
      </c>
      <c r="T1035" t="s">
        <v>59</v>
      </c>
      <c r="U1035" t="s">
        <v>59</v>
      </c>
      <c r="V1035" t="s">
        <v>59</v>
      </c>
      <c r="W1035" t="s">
        <v>59</v>
      </c>
      <c r="X1035" t="s">
        <v>59</v>
      </c>
      <c r="Y1035" t="s">
        <v>59</v>
      </c>
      <c r="Z1035" t="s">
        <v>59</v>
      </c>
      <c r="AA1035" t="s">
        <v>59</v>
      </c>
      <c r="AB1035" t="s">
        <v>59</v>
      </c>
      <c r="AC1035" t="s">
        <v>59</v>
      </c>
      <c r="AD1035" t="s">
        <v>59</v>
      </c>
      <c r="AE1035" t="s">
        <v>59</v>
      </c>
      <c r="AF1035" t="s">
        <v>59</v>
      </c>
      <c r="AG1035" t="s">
        <v>59</v>
      </c>
      <c r="AH1035" t="s">
        <v>61</v>
      </c>
      <c r="AI1035" t="s">
        <v>61</v>
      </c>
      <c r="AJ1035" t="s">
        <v>59</v>
      </c>
      <c r="AK1035" t="s">
        <v>59</v>
      </c>
      <c r="AL1035" t="s">
        <v>59</v>
      </c>
      <c r="AM1035" t="s">
        <v>59</v>
      </c>
      <c r="AN1035" t="s">
        <v>59</v>
      </c>
      <c r="AO1035" t="s">
        <v>59</v>
      </c>
      <c r="AP1035" t="s">
        <v>704</v>
      </c>
      <c r="AQ1035" t="s">
        <v>2535</v>
      </c>
      <c r="AR1035" t="s">
        <v>226</v>
      </c>
      <c r="AS1035" t="s">
        <v>717</v>
      </c>
      <c r="AT1035" t="s">
        <v>717</v>
      </c>
      <c r="AU1035" t="s">
        <v>219</v>
      </c>
      <c r="AW1035" s="4">
        <f t="shared" si="563"/>
        <v>6</v>
      </c>
      <c r="AX1035" s="4">
        <f t="shared" si="564"/>
        <v>4</v>
      </c>
      <c r="AY1035" s="4">
        <f t="shared" si="565"/>
        <v>4</v>
      </c>
      <c r="AZ1035" s="4">
        <f t="shared" si="566"/>
        <v>2</v>
      </c>
      <c r="BA1035" s="4">
        <f t="shared" si="567"/>
        <v>4</v>
      </c>
      <c r="BB1035" s="4">
        <f t="shared" si="568"/>
        <v>4</v>
      </c>
      <c r="BC1035" s="4">
        <f t="shared" si="569"/>
        <v>4</v>
      </c>
      <c r="BD1035" s="4">
        <f t="shared" si="570"/>
        <v>2</v>
      </c>
      <c r="BE1035" s="4">
        <f t="shared" si="571"/>
        <v>4</v>
      </c>
      <c r="BF1035" s="4">
        <f t="shared" si="572"/>
        <v>2</v>
      </c>
      <c r="BG1035" s="4">
        <f t="shared" si="573"/>
        <v>4</v>
      </c>
      <c r="BH1035" s="4">
        <f t="shared" si="574"/>
        <v>4</v>
      </c>
      <c r="BI1035" s="4">
        <f t="shared" si="575"/>
        <v>4</v>
      </c>
      <c r="BJ1035" s="4">
        <f t="shared" si="576"/>
        <v>2</v>
      </c>
      <c r="BK1035" s="4">
        <f t="shared" si="577"/>
        <v>4</v>
      </c>
      <c r="BL1035" s="4">
        <f t="shared" si="578"/>
        <v>2</v>
      </c>
      <c r="BM1035" s="4">
        <f t="shared" si="579"/>
        <v>4</v>
      </c>
      <c r="BN1035" s="4">
        <f t="shared" si="580"/>
        <v>4</v>
      </c>
      <c r="BO1035" s="4">
        <f t="shared" si="581"/>
        <v>4</v>
      </c>
      <c r="BP1035" s="4">
        <f t="shared" si="582"/>
        <v>4</v>
      </c>
      <c r="BQ1035" s="4">
        <f t="shared" si="583"/>
        <v>6</v>
      </c>
      <c r="BR1035" s="4">
        <f t="shared" si="584"/>
        <v>4</v>
      </c>
      <c r="BS1035" s="4">
        <f t="shared" si="585"/>
        <v>4</v>
      </c>
      <c r="BT1035" s="4">
        <f t="shared" si="586"/>
        <v>4</v>
      </c>
      <c r="BU1035" s="4">
        <f t="shared" si="587"/>
        <v>4</v>
      </c>
      <c r="BV1035" s="4">
        <f t="shared" si="588"/>
        <v>0</v>
      </c>
      <c r="BW1035" s="4">
        <f t="shared" si="589"/>
        <v>6</v>
      </c>
      <c r="BX1035" s="4">
        <f t="shared" si="590"/>
        <v>0</v>
      </c>
      <c r="BY1035" s="4">
        <f t="shared" si="591"/>
        <v>0</v>
      </c>
      <c r="BZ1035" s="37">
        <f t="shared" si="592"/>
        <v>100</v>
      </c>
      <c r="CA1035" s="32" t="str">
        <f>VLOOKUP(J:J,'Agent wise'!A:C,3,0)</f>
        <v>Amal</v>
      </c>
      <c r="CB1035" s="32">
        <f t="shared" si="593"/>
        <v>45948</v>
      </c>
      <c r="CC1035" t="str">
        <f t="shared" si="594"/>
        <v>Excellent</v>
      </c>
      <c r="CE1035" s="32"/>
      <c r="CJ1035">
        <f t="shared" si="595"/>
        <v>18</v>
      </c>
      <c r="CK1035">
        <f t="shared" si="596"/>
        <v>10</v>
      </c>
      <c r="CL1035">
        <f t="shared" si="597"/>
        <v>2025</v>
      </c>
    </row>
    <row r="1036" spans="1:90" ht="15" customHeight="1" x14ac:dyDescent="0.35">
      <c r="A1036" t="s">
        <v>2536</v>
      </c>
      <c r="B1036" t="s">
        <v>250</v>
      </c>
      <c r="C1036" t="s">
        <v>214</v>
      </c>
      <c r="D1036" t="s">
        <v>251</v>
      </c>
      <c r="E1036" s="32">
        <v>45948</v>
      </c>
      <c r="F1036" t="s">
        <v>222</v>
      </c>
      <c r="G1036" t="s">
        <v>2369</v>
      </c>
      <c r="H1036">
        <v>9444916530</v>
      </c>
      <c r="I1036">
        <v>278</v>
      </c>
      <c r="J1036" t="s">
        <v>2504</v>
      </c>
      <c r="K1036" t="s">
        <v>71</v>
      </c>
      <c r="L1036" t="s">
        <v>72</v>
      </c>
      <c r="M1036" t="s">
        <v>59</v>
      </c>
      <c r="N1036" t="s">
        <v>59</v>
      </c>
      <c r="O1036" t="s">
        <v>59</v>
      </c>
      <c r="P1036" t="s">
        <v>59</v>
      </c>
      <c r="Q1036" t="s">
        <v>59</v>
      </c>
      <c r="R1036" t="s">
        <v>59</v>
      </c>
      <c r="S1036" t="s">
        <v>59</v>
      </c>
      <c r="T1036" t="s">
        <v>59</v>
      </c>
      <c r="U1036" t="s">
        <v>60</v>
      </c>
      <c r="V1036" t="s">
        <v>59</v>
      </c>
      <c r="W1036" t="s">
        <v>59</v>
      </c>
      <c r="X1036" t="s">
        <v>59</v>
      </c>
      <c r="Y1036" t="s">
        <v>59</v>
      </c>
      <c r="Z1036" t="s">
        <v>59</v>
      </c>
      <c r="AA1036" t="s">
        <v>60</v>
      </c>
      <c r="AB1036" t="s">
        <v>61</v>
      </c>
      <c r="AC1036" t="s">
        <v>60</v>
      </c>
      <c r="AD1036" t="s">
        <v>59</v>
      </c>
      <c r="AE1036" t="s">
        <v>59</v>
      </c>
      <c r="AF1036" t="s">
        <v>59</v>
      </c>
      <c r="AG1036" t="s">
        <v>59</v>
      </c>
      <c r="AH1036" t="s">
        <v>61</v>
      </c>
      <c r="AI1036" t="s">
        <v>61</v>
      </c>
      <c r="AJ1036" t="s">
        <v>59</v>
      </c>
      <c r="AK1036" t="s">
        <v>59</v>
      </c>
      <c r="AL1036" t="s">
        <v>60</v>
      </c>
      <c r="AM1036" t="s">
        <v>59</v>
      </c>
      <c r="AN1036" t="s">
        <v>59</v>
      </c>
      <c r="AO1036" t="s">
        <v>59</v>
      </c>
      <c r="AP1036" t="s">
        <v>2537</v>
      </c>
      <c r="AQ1036" t="s">
        <v>2538</v>
      </c>
      <c r="AR1036" t="s">
        <v>64</v>
      </c>
      <c r="AS1036" t="s">
        <v>2539</v>
      </c>
      <c r="AT1036" t="s">
        <v>2532</v>
      </c>
      <c r="AU1036" t="s">
        <v>219</v>
      </c>
      <c r="AW1036" s="4">
        <f t="shared" si="563"/>
        <v>6</v>
      </c>
      <c r="AX1036" s="4">
        <f t="shared" si="564"/>
        <v>4</v>
      </c>
      <c r="AY1036" s="4">
        <f t="shared" si="565"/>
        <v>4</v>
      </c>
      <c r="AZ1036" s="4">
        <f t="shared" si="566"/>
        <v>2</v>
      </c>
      <c r="BA1036" s="4">
        <f t="shared" si="567"/>
        <v>4</v>
      </c>
      <c r="BB1036" s="4">
        <f t="shared" si="568"/>
        <v>4</v>
      </c>
      <c r="BC1036" s="4">
        <f t="shared" si="569"/>
        <v>4</v>
      </c>
      <c r="BD1036" s="4">
        <f t="shared" si="570"/>
        <v>2</v>
      </c>
      <c r="BE1036" s="4" t="str">
        <f t="shared" si="571"/>
        <v>0</v>
      </c>
      <c r="BF1036" s="4">
        <f t="shared" si="572"/>
        <v>2</v>
      </c>
      <c r="BG1036" s="4">
        <f t="shared" si="573"/>
        <v>4</v>
      </c>
      <c r="BH1036" s="4">
        <f t="shared" si="574"/>
        <v>4</v>
      </c>
      <c r="BI1036" s="4">
        <f t="shared" si="575"/>
        <v>4</v>
      </c>
      <c r="BJ1036" s="4">
        <f t="shared" si="576"/>
        <v>2</v>
      </c>
      <c r="BK1036" s="4" t="str">
        <f t="shared" si="577"/>
        <v>0</v>
      </c>
      <c r="BL1036" s="4">
        <f t="shared" si="578"/>
        <v>2</v>
      </c>
      <c r="BM1036" s="4" t="str">
        <f t="shared" si="579"/>
        <v>0</v>
      </c>
      <c r="BN1036" s="4">
        <f t="shared" si="580"/>
        <v>4</v>
      </c>
      <c r="BO1036" s="4">
        <f t="shared" si="581"/>
        <v>4</v>
      </c>
      <c r="BP1036" s="4">
        <f t="shared" si="582"/>
        <v>4</v>
      </c>
      <c r="BQ1036" s="4">
        <f t="shared" si="583"/>
        <v>6</v>
      </c>
      <c r="BR1036" s="4">
        <f t="shared" si="584"/>
        <v>4</v>
      </c>
      <c r="BS1036" s="4">
        <f t="shared" si="585"/>
        <v>4</v>
      </c>
      <c r="BT1036" s="4">
        <f t="shared" si="586"/>
        <v>4</v>
      </c>
      <c r="BU1036" s="4">
        <f t="shared" si="587"/>
        <v>4</v>
      </c>
      <c r="BV1036" s="4" t="str">
        <f t="shared" si="588"/>
        <v>0</v>
      </c>
      <c r="BW1036" s="4">
        <f t="shared" si="589"/>
        <v>6</v>
      </c>
      <c r="BX1036" s="4">
        <f t="shared" si="590"/>
        <v>0</v>
      </c>
      <c r="BY1036" s="4">
        <f t="shared" si="591"/>
        <v>0</v>
      </c>
      <c r="BZ1036" s="37">
        <f t="shared" si="592"/>
        <v>88</v>
      </c>
      <c r="CA1036" s="32" t="e">
        <f>VLOOKUP(J:J,'Agent wise'!A:C,3,0)</f>
        <v>#N/A</v>
      </c>
      <c r="CB1036" s="32">
        <f t="shared" si="593"/>
        <v>45948</v>
      </c>
      <c r="CC1036" t="str">
        <f t="shared" si="594"/>
        <v>Average</v>
      </c>
      <c r="CE1036" s="32"/>
      <c r="CJ1036">
        <f t="shared" si="595"/>
        <v>18</v>
      </c>
      <c r="CK1036">
        <f t="shared" si="596"/>
        <v>10</v>
      </c>
      <c r="CL1036">
        <f t="shared" si="597"/>
        <v>2025</v>
      </c>
    </row>
    <row r="1037" spans="1:90" ht="15" customHeight="1" x14ac:dyDescent="0.35">
      <c r="A1037" t="s">
        <v>2540</v>
      </c>
      <c r="B1037" t="s">
        <v>177</v>
      </c>
      <c r="C1037" t="s">
        <v>214</v>
      </c>
      <c r="D1037" t="s">
        <v>178</v>
      </c>
      <c r="E1037" s="32">
        <v>45948</v>
      </c>
      <c r="F1037" t="s">
        <v>54</v>
      </c>
      <c r="G1037" t="s">
        <v>2369</v>
      </c>
      <c r="H1037">
        <v>9633000054</v>
      </c>
      <c r="I1037">
        <v>113</v>
      </c>
      <c r="J1037" t="s">
        <v>179</v>
      </c>
      <c r="K1037" t="s">
        <v>71</v>
      </c>
      <c r="L1037" t="s">
        <v>72</v>
      </c>
      <c r="M1037" t="s">
        <v>59</v>
      </c>
      <c r="N1037" t="s">
        <v>59</v>
      </c>
      <c r="O1037" t="s">
        <v>59</v>
      </c>
      <c r="P1037" t="s">
        <v>59</v>
      </c>
      <c r="Q1037" t="s">
        <v>59</v>
      </c>
      <c r="R1037" t="s">
        <v>59</v>
      </c>
      <c r="S1037" t="s">
        <v>59</v>
      </c>
      <c r="T1037" t="s">
        <v>59</v>
      </c>
      <c r="U1037" t="s">
        <v>59</v>
      </c>
      <c r="V1037" t="s">
        <v>59</v>
      </c>
      <c r="W1037" t="s">
        <v>59</v>
      </c>
      <c r="X1037" t="s">
        <v>60</v>
      </c>
      <c r="Y1037" t="s">
        <v>59</v>
      </c>
      <c r="Z1037" t="s">
        <v>59</v>
      </c>
      <c r="AA1037" t="s">
        <v>59</v>
      </c>
      <c r="AB1037" t="s">
        <v>59</v>
      </c>
      <c r="AC1037" t="s">
        <v>59</v>
      </c>
      <c r="AD1037" t="s">
        <v>59</v>
      </c>
      <c r="AE1037" t="s">
        <v>59</v>
      </c>
      <c r="AF1037" t="s">
        <v>59</v>
      </c>
      <c r="AG1037" t="s">
        <v>60</v>
      </c>
      <c r="AH1037" t="s">
        <v>61</v>
      </c>
      <c r="AI1037" t="s">
        <v>61</v>
      </c>
      <c r="AJ1037" t="s">
        <v>59</v>
      </c>
      <c r="AK1037" t="s">
        <v>59</v>
      </c>
      <c r="AL1037" t="s">
        <v>59</v>
      </c>
      <c r="AM1037" t="s">
        <v>59</v>
      </c>
      <c r="AN1037" t="s">
        <v>59</v>
      </c>
      <c r="AO1037" t="s">
        <v>59</v>
      </c>
      <c r="AP1037" t="s">
        <v>2541</v>
      </c>
      <c r="AQ1037" t="s">
        <v>2542</v>
      </c>
      <c r="AR1037" t="s">
        <v>64</v>
      </c>
      <c r="AS1037" t="s">
        <v>89</v>
      </c>
      <c r="AT1037" t="s">
        <v>293</v>
      </c>
      <c r="AU1037" t="s">
        <v>387</v>
      </c>
      <c r="AW1037" s="4">
        <f t="shared" si="563"/>
        <v>6</v>
      </c>
      <c r="AX1037" s="4">
        <f t="shared" si="564"/>
        <v>4</v>
      </c>
      <c r="AY1037" s="4">
        <f t="shared" si="565"/>
        <v>4</v>
      </c>
      <c r="AZ1037" s="4">
        <f t="shared" si="566"/>
        <v>2</v>
      </c>
      <c r="BA1037" s="4">
        <f t="shared" si="567"/>
        <v>4</v>
      </c>
      <c r="BB1037" s="4">
        <f t="shared" si="568"/>
        <v>4</v>
      </c>
      <c r="BC1037" s="4">
        <f t="shared" si="569"/>
        <v>4</v>
      </c>
      <c r="BD1037" s="4">
        <f t="shared" si="570"/>
        <v>2</v>
      </c>
      <c r="BE1037" s="4">
        <f t="shared" si="571"/>
        <v>4</v>
      </c>
      <c r="BF1037" s="4">
        <f t="shared" si="572"/>
        <v>2</v>
      </c>
      <c r="BG1037" s="4">
        <f t="shared" si="573"/>
        <v>4</v>
      </c>
      <c r="BH1037" s="4" t="str">
        <f t="shared" si="574"/>
        <v>0</v>
      </c>
      <c r="BI1037" s="4">
        <f t="shared" si="575"/>
        <v>4</v>
      </c>
      <c r="BJ1037" s="4">
        <f t="shared" si="576"/>
        <v>2</v>
      </c>
      <c r="BK1037" s="4">
        <f t="shared" si="577"/>
        <v>4</v>
      </c>
      <c r="BL1037" s="4">
        <f t="shared" si="578"/>
        <v>2</v>
      </c>
      <c r="BM1037" s="4">
        <f t="shared" si="579"/>
        <v>4</v>
      </c>
      <c r="BN1037" s="4">
        <f t="shared" si="580"/>
        <v>4</v>
      </c>
      <c r="BO1037" s="4">
        <f t="shared" si="581"/>
        <v>4</v>
      </c>
      <c r="BP1037" s="4">
        <f t="shared" si="582"/>
        <v>4</v>
      </c>
      <c r="BQ1037" s="4" t="str">
        <f t="shared" si="583"/>
        <v>0</v>
      </c>
      <c r="BR1037" s="4">
        <f t="shared" si="584"/>
        <v>4</v>
      </c>
      <c r="BS1037" s="4">
        <f t="shared" si="585"/>
        <v>4</v>
      </c>
      <c r="BT1037" s="4">
        <f t="shared" si="586"/>
        <v>4</v>
      </c>
      <c r="BU1037" s="4">
        <f t="shared" si="587"/>
        <v>4</v>
      </c>
      <c r="BV1037" s="4">
        <f t="shared" si="588"/>
        <v>0</v>
      </c>
      <c r="BW1037" s="4">
        <f t="shared" si="589"/>
        <v>6</v>
      </c>
      <c r="BX1037" s="4">
        <f t="shared" si="590"/>
        <v>0</v>
      </c>
      <c r="BY1037" s="4">
        <f t="shared" si="591"/>
        <v>0</v>
      </c>
      <c r="BZ1037" s="37">
        <f t="shared" si="592"/>
        <v>90</v>
      </c>
      <c r="CA1037" s="32" t="str">
        <f>VLOOKUP(J:J,'Agent wise'!A:C,3,0)</f>
        <v>Adharsh</v>
      </c>
      <c r="CB1037" s="32">
        <f t="shared" si="593"/>
        <v>45948</v>
      </c>
      <c r="CC1037" t="str">
        <f t="shared" si="594"/>
        <v>Good</v>
      </c>
      <c r="CE1037" s="32"/>
      <c r="CJ1037">
        <f t="shared" si="595"/>
        <v>18</v>
      </c>
      <c r="CK1037">
        <f t="shared" si="596"/>
        <v>10</v>
      </c>
      <c r="CL1037">
        <f t="shared" si="597"/>
        <v>2025</v>
      </c>
    </row>
    <row r="1038" spans="1:90" ht="15" customHeight="1" x14ac:dyDescent="0.35">
      <c r="A1038" t="s">
        <v>2543</v>
      </c>
      <c r="B1038" t="s">
        <v>51</v>
      </c>
      <c r="C1038" t="s">
        <v>214</v>
      </c>
      <c r="D1038" t="s">
        <v>53</v>
      </c>
      <c r="E1038" s="32">
        <v>45948</v>
      </c>
      <c r="F1038" t="s">
        <v>54</v>
      </c>
      <c r="G1038" t="s">
        <v>2369</v>
      </c>
      <c r="H1038">
        <v>8921334944</v>
      </c>
      <c r="I1038">
        <v>228</v>
      </c>
      <c r="J1038" t="s">
        <v>132</v>
      </c>
      <c r="K1038" t="s">
        <v>57</v>
      </c>
      <c r="L1038" t="s">
        <v>58</v>
      </c>
      <c r="M1038" t="s">
        <v>59</v>
      </c>
      <c r="N1038" t="s">
        <v>59</v>
      </c>
      <c r="O1038" t="s">
        <v>59</v>
      </c>
      <c r="P1038" t="s">
        <v>59</v>
      </c>
      <c r="Q1038" t="s">
        <v>59</v>
      </c>
      <c r="R1038" t="s">
        <v>60</v>
      </c>
      <c r="S1038" t="s">
        <v>59</v>
      </c>
      <c r="T1038" t="s">
        <v>59</v>
      </c>
      <c r="U1038" t="s">
        <v>60</v>
      </c>
      <c r="V1038" t="s">
        <v>59</v>
      </c>
      <c r="W1038" t="s">
        <v>59</v>
      </c>
      <c r="X1038" t="s">
        <v>59</v>
      </c>
      <c r="Y1038" t="s">
        <v>59</v>
      </c>
      <c r="Z1038" t="s">
        <v>59</v>
      </c>
      <c r="AA1038" t="s">
        <v>59</v>
      </c>
      <c r="AB1038" t="s">
        <v>59</v>
      </c>
      <c r="AC1038" t="s">
        <v>61</v>
      </c>
      <c r="AD1038" t="s">
        <v>59</v>
      </c>
      <c r="AE1038" t="s">
        <v>59</v>
      </c>
      <c r="AF1038" t="s">
        <v>61</v>
      </c>
      <c r="AG1038" t="s">
        <v>59</v>
      </c>
      <c r="AH1038" t="s">
        <v>61</v>
      </c>
      <c r="AI1038" t="s">
        <v>59</v>
      </c>
      <c r="AJ1038" t="s">
        <v>59</v>
      </c>
      <c r="AK1038" t="s">
        <v>61</v>
      </c>
      <c r="AL1038" t="s">
        <v>60</v>
      </c>
      <c r="AM1038" t="s">
        <v>59</v>
      </c>
      <c r="AN1038" t="s">
        <v>59</v>
      </c>
      <c r="AO1038" t="s">
        <v>59</v>
      </c>
      <c r="AP1038" t="s">
        <v>68</v>
      </c>
      <c r="AQ1038" t="s">
        <v>506</v>
      </c>
      <c r="AR1038" t="s">
        <v>64</v>
      </c>
      <c r="AS1038" t="s">
        <v>65</v>
      </c>
      <c r="AT1038" t="s">
        <v>66</v>
      </c>
      <c r="AU1038" t="s">
        <v>299</v>
      </c>
      <c r="AW1038" s="4">
        <f t="shared" si="563"/>
        <v>6</v>
      </c>
      <c r="AX1038" s="4">
        <f t="shared" si="564"/>
        <v>4</v>
      </c>
      <c r="AY1038" s="4">
        <f t="shared" si="565"/>
        <v>4</v>
      </c>
      <c r="AZ1038" s="4">
        <f t="shared" si="566"/>
        <v>2</v>
      </c>
      <c r="BA1038" s="4">
        <f t="shared" si="567"/>
        <v>4</v>
      </c>
      <c r="BB1038" s="4" t="str">
        <f t="shared" si="568"/>
        <v>0</v>
      </c>
      <c r="BC1038" s="4">
        <f t="shared" si="569"/>
        <v>4</v>
      </c>
      <c r="BD1038" s="4">
        <f t="shared" si="570"/>
        <v>2</v>
      </c>
      <c r="BE1038" s="4" t="str">
        <f t="shared" si="571"/>
        <v>0</v>
      </c>
      <c r="BF1038" s="4">
        <f t="shared" si="572"/>
        <v>2</v>
      </c>
      <c r="BG1038" s="4">
        <f t="shared" si="573"/>
        <v>4</v>
      </c>
      <c r="BH1038" s="4">
        <f t="shared" si="574"/>
        <v>4</v>
      </c>
      <c r="BI1038" s="4">
        <f t="shared" si="575"/>
        <v>4</v>
      </c>
      <c r="BJ1038" s="4">
        <f t="shared" si="576"/>
        <v>2</v>
      </c>
      <c r="BK1038" s="4">
        <f t="shared" si="577"/>
        <v>4</v>
      </c>
      <c r="BL1038" s="4">
        <f t="shared" si="578"/>
        <v>2</v>
      </c>
      <c r="BM1038" s="4">
        <f t="shared" si="579"/>
        <v>4</v>
      </c>
      <c r="BN1038" s="4">
        <f t="shared" si="580"/>
        <v>4</v>
      </c>
      <c r="BO1038" s="4">
        <f t="shared" si="581"/>
        <v>4</v>
      </c>
      <c r="BP1038" s="4">
        <f t="shared" si="582"/>
        <v>4</v>
      </c>
      <c r="BQ1038" s="4">
        <f t="shared" si="583"/>
        <v>6</v>
      </c>
      <c r="BR1038" s="4">
        <f t="shared" si="584"/>
        <v>4</v>
      </c>
      <c r="BS1038" s="4">
        <f t="shared" si="585"/>
        <v>4</v>
      </c>
      <c r="BT1038" s="4">
        <f t="shared" si="586"/>
        <v>4</v>
      </c>
      <c r="BU1038" s="4">
        <f t="shared" si="587"/>
        <v>4</v>
      </c>
      <c r="BV1038" s="4" t="str">
        <f t="shared" si="588"/>
        <v>0</v>
      </c>
      <c r="BW1038" s="4">
        <f t="shared" si="589"/>
        <v>6</v>
      </c>
      <c r="BX1038" s="4">
        <f t="shared" si="590"/>
        <v>0</v>
      </c>
      <c r="BY1038" s="4">
        <f t="shared" si="591"/>
        <v>0</v>
      </c>
      <c r="BZ1038" s="37">
        <f t="shared" si="592"/>
        <v>92</v>
      </c>
      <c r="CA1038" s="32" t="str">
        <f>VLOOKUP(J:J,'Agent wise'!A:C,3,0)</f>
        <v>Shakeer</v>
      </c>
      <c r="CB1038" s="32">
        <f t="shared" si="593"/>
        <v>45948</v>
      </c>
      <c r="CC1038" t="str">
        <f t="shared" si="594"/>
        <v>Good</v>
      </c>
      <c r="CE1038" s="32"/>
      <c r="CJ1038">
        <f t="shared" si="595"/>
        <v>18</v>
      </c>
      <c r="CK1038">
        <f t="shared" si="596"/>
        <v>10</v>
      </c>
      <c r="CL1038">
        <f t="shared" si="597"/>
        <v>2025</v>
      </c>
    </row>
    <row r="1039" spans="1:90" ht="15" customHeight="1" x14ac:dyDescent="0.35">
      <c r="A1039" t="s">
        <v>2544</v>
      </c>
      <c r="B1039" t="s">
        <v>100</v>
      </c>
      <c r="C1039" t="s">
        <v>214</v>
      </c>
      <c r="D1039" t="s">
        <v>101</v>
      </c>
      <c r="E1039" s="32">
        <v>45948</v>
      </c>
      <c r="F1039" t="s">
        <v>54</v>
      </c>
      <c r="G1039" t="s">
        <v>2369</v>
      </c>
      <c r="H1039">
        <v>8903076276</v>
      </c>
      <c r="I1039">
        <v>173</v>
      </c>
      <c r="J1039" t="s">
        <v>2498</v>
      </c>
      <c r="K1039" t="s">
        <v>71</v>
      </c>
      <c r="L1039" t="s">
        <v>72</v>
      </c>
      <c r="M1039" t="s">
        <v>59</v>
      </c>
      <c r="N1039" t="s">
        <v>59</v>
      </c>
      <c r="O1039" t="s">
        <v>60</v>
      </c>
      <c r="P1039" t="s">
        <v>59</v>
      </c>
      <c r="Q1039" t="s">
        <v>59</v>
      </c>
      <c r="R1039" t="s">
        <v>60</v>
      </c>
      <c r="S1039" t="s">
        <v>60</v>
      </c>
      <c r="T1039" t="s">
        <v>59</v>
      </c>
      <c r="U1039" t="s">
        <v>60</v>
      </c>
      <c r="V1039" t="s">
        <v>59</v>
      </c>
      <c r="W1039" t="s">
        <v>60</v>
      </c>
      <c r="X1039" t="s">
        <v>61</v>
      </c>
      <c r="Y1039" t="s">
        <v>59</v>
      </c>
      <c r="Z1039" t="s">
        <v>59</v>
      </c>
      <c r="AA1039" t="s">
        <v>60</v>
      </c>
      <c r="AB1039" t="s">
        <v>60</v>
      </c>
      <c r="AC1039" t="s">
        <v>60</v>
      </c>
      <c r="AD1039" t="s">
        <v>60</v>
      </c>
      <c r="AE1039" t="s">
        <v>59</v>
      </c>
      <c r="AF1039" t="s">
        <v>61</v>
      </c>
      <c r="AG1039" t="s">
        <v>60</v>
      </c>
      <c r="AH1039" t="s">
        <v>61</v>
      </c>
      <c r="AI1039" t="s">
        <v>61</v>
      </c>
      <c r="AJ1039" t="s">
        <v>59</v>
      </c>
      <c r="AK1039" t="s">
        <v>61</v>
      </c>
      <c r="AL1039" t="s">
        <v>60</v>
      </c>
      <c r="AM1039" t="s">
        <v>59</v>
      </c>
      <c r="AN1039" t="s">
        <v>59</v>
      </c>
      <c r="AO1039" t="s">
        <v>59</v>
      </c>
      <c r="AP1039" t="s">
        <v>2492</v>
      </c>
      <c r="AQ1039" s="1" t="s">
        <v>2545</v>
      </c>
      <c r="AR1039" t="s">
        <v>64</v>
      </c>
      <c r="AS1039" t="s">
        <v>89</v>
      </c>
      <c r="AT1039" t="s">
        <v>293</v>
      </c>
      <c r="AU1039" t="s">
        <v>387</v>
      </c>
      <c r="AW1039" s="4">
        <f t="shared" si="563"/>
        <v>6</v>
      </c>
      <c r="AX1039" s="4">
        <f t="shared" si="564"/>
        <v>4</v>
      </c>
      <c r="AY1039" s="4" t="str">
        <f t="shared" si="565"/>
        <v>0</v>
      </c>
      <c r="AZ1039" s="4">
        <f t="shared" si="566"/>
        <v>2</v>
      </c>
      <c r="BA1039" s="4">
        <f t="shared" si="567"/>
        <v>4</v>
      </c>
      <c r="BB1039" s="4" t="str">
        <f t="shared" si="568"/>
        <v>0</v>
      </c>
      <c r="BC1039" s="4" t="str">
        <f t="shared" si="569"/>
        <v>0</v>
      </c>
      <c r="BD1039" s="4">
        <f t="shared" si="570"/>
        <v>2</v>
      </c>
      <c r="BE1039" s="4" t="str">
        <f t="shared" si="571"/>
        <v>0</v>
      </c>
      <c r="BF1039" s="4">
        <f t="shared" si="572"/>
        <v>2</v>
      </c>
      <c r="BG1039" s="4" t="str">
        <f t="shared" si="573"/>
        <v>0</v>
      </c>
      <c r="BH1039" s="4">
        <f t="shared" si="574"/>
        <v>4</v>
      </c>
      <c r="BI1039" s="4">
        <f t="shared" si="575"/>
        <v>4</v>
      </c>
      <c r="BJ1039" s="4">
        <f t="shared" si="576"/>
        <v>2</v>
      </c>
      <c r="BK1039" s="4" t="str">
        <f t="shared" si="577"/>
        <v>0</v>
      </c>
      <c r="BL1039" s="4" t="str">
        <f t="shared" si="578"/>
        <v>0</v>
      </c>
      <c r="BM1039" s="4" t="str">
        <f t="shared" si="579"/>
        <v>0</v>
      </c>
      <c r="BN1039" s="4" t="str">
        <f t="shared" si="580"/>
        <v>0</v>
      </c>
      <c r="BO1039" s="4">
        <f t="shared" si="581"/>
        <v>4</v>
      </c>
      <c r="BP1039" s="4">
        <f t="shared" si="582"/>
        <v>4</v>
      </c>
      <c r="BQ1039" s="4" t="str">
        <f t="shared" si="583"/>
        <v>0</v>
      </c>
      <c r="BR1039" s="4">
        <f t="shared" si="584"/>
        <v>4</v>
      </c>
      <c r="BS1039" s="4">
        <f t="shared" si="585"/>
        <v>4</v>
      </c>
      <c r="BT1039" s="4">
        <f t="shared" si="586"/>
        <v>4</v>
      </c>
      <c r="BU1039" s="4">
        <f t="shared" si="587"/>
        <v>4</v>
      </c>
      <c r="BV1039" s="4" t="str">
        <f t="shared" si="588"/>
        <v>0</v>
      </c>
      <c r="BW1039" s="4">
        <f t="shared" si="589"/>
        <v>6</v>
      </c>
      <c r="BX1039" s="4">
        <f t="shared" si="590"/>
        <v>0</v>
      </c>
      <c r="BY1039" s="4">
        <f t="shared" si="591"/>
        <v>0</v>
      </c>
      <c r="BZ1039" s="37">
        <f t="shared" si="592"/>
        <v>60</v>
      </c>
      <c r="CA1039" s="32" t="e">
        <f>VLOOKUP(J:J,'Agent wise'!A:C,3,0)</f>
        <v>#N/A</v>
      </c>
      <c r="CB1039" s="32">
        <f t="shared" si="593"/>
        <v>45948</v>
      </c>
      <c r="CC1039" t="str">
        <f t="shared" si="594"/>
        <v>FC</v>
      </c>
      <c r="CE1039" s="32"/>
      <c r="CJ1039">
        <f t="shared" si="595"/>
        <v>18</v>
      </c>
      <c r="CK1039">
        <f t="shared" si="596"/>
        <v>10</v>
      </c>
      <c r="CL1039">
        <f t="shared" si="597"/>
        <v>2025</v>
      </c>
    </row>
    <row r="1040" spans="1:90" ht="15" customHeight="1" x14ac:dyDescent="0.35">
      <c r="A1040" t="s">
        <v>2546</v>
      </c>
      <c r="B1040" t="s">
        <v>177</v>
      </c>
      <c r="C1040" t="s">
        <v>214</v>
      </c>
      <c r="D1040" t="s">
        <v>178</v>
      </c>
      <c r="E1040" s="32">
        <v>45948</v>
      </c>
      <c r="F1040" t="s">
        <v>90</v>
      </c>
      <c r="G1040" t="s">
        <v>2369</v>
      </c>
      <c r="H1040">
        <v>9488246906</v>
      </c>
      <c r="I1040">
        <v>135</v>
      </c>
      <c r="J1040" t="s">
        <v>427</v>
      </c>
      <c r="K1040" t="s">
        <v>71</v>
      </c>
      <c r="L1040" t="s">
        <v>72</v>
      </c>
      <c r="M1040" t="s">
        <v>59</v>
      </c>
      <c r="N1040" t="s">
        <v>59</v>
      </c>
      <c r="O1040" t="s">
        <v>59</v>
      </c>
      <c r="P1040" t="s">
        <v>59</v>
      </c>
      <c r="Q1040" t="s">
        <v>59</v>
      </c>
      <c r="R1040" t="s">
        <v>59</v>
      </c>
      <c r="S1040" t="s">
        <v>59</v>
      </c>
      <c r="T1040" t="s">
        <v>59</v>
      </c>
      <c r="U1040" t="s">
        <v>59</v>
      </c>
      <c r="V1040" t="s">
        <v>59</v>
      </c>
      <c r="W1040" t="s">
        <v>59</v>
      </c>
      <c r="X1040" t="s">
        <v>59</v>
      </c>
      <c r="Y1040" t="s">
        <v>59</v>
      </c>
      <c r="Z1040" t="s">
        <v>59</v>
      </c>
      <c r="AA1040" t="s">
        <v>59</v>
      </c>
      <c r="AB1040" t="s">
        <v>59</v>
      </c>
      <c r="AC1040" t="s">
        <v>59</v>
      </c>
      <c r="AD1040" t="s">
        <v>59</v>
      </c>
      <c r="AE1040" t="s">
        <v>59</v>
      </c>
      <c r="AF1040" t="s">
        <v>59</v>
      </c>
      <c r="AG1040" t="s">
        <v>59</v>
      </c>
      <c r="AH1040" t="s">
        <v>61</v>
      </c>
      <c r="AI1040" t="s">
        <v>61</v>
      </c>
      <c r="AJ1040" t="s">
        <v>59</v>
      </c>
      <c r="AK1040" t="s">
        <v>59</v>
      </c>
      <c r="AL1040" t="s">
        <v>59</v>
      </c>
      <c r="AM1040" t="s">
        <v>59</v>
      </c>
      <c r="AN1040" t="s">
        <v>59</v>
      </c>
      <c r="AO1040" t="s">
        <v>59</v>
      </c>
      <c r="AP1040" t="s">
        <v>270</v>
      </c>
      <c r="AQ1040" s="1" t="s">
        <v>1193</v>
      </c>
      <c r="AR1040" t="s">
        <v>64</v>
      </c>
      <c r="AS1040" t="s">
        <v>94</v>
      </c>
      <c r="AT1040" t="s">
        <v>95</v>
      </c>
      <c r="AU1040" t="s">
        <v>299</v>
      </c>
      <c r="AW1040" s="4">
        <f t="shared" si="563"/>
        <v>6</v>
      </c>
      <c r="AX1040" s="4">
        <f t="shared" si="564"/>
        <v>4</v>
      </c>
      <c r="AY1040" s="4">
        <f t="shared" si="565"/>
        <v>4</v>
      </c>
      <c r="AZ1040" s="4">
        <f t="shared" si="566"/>
        <v>2</v>
      </c>
      <c r="BA1040" s="4">
        <f t="shared" si="567"/>
        <v>4</v>
      </c>
      <c r="BB1040" s="4">
        <f t="shared" si="568"/>
        <v>4</v>
      </c>
      <c r="BC1040" s="4">
        <f t="shared" si="569"/>
        <v>4</v>
      </c>
      <c r="BD1040" s="4">
        <f t="shared" si="570"/>
        <v>2</v>
      </c>
      <c r="BE1040" s="4">
        <f t="shared" si="571"/>
        <v>4</v>
      </c>
      <c r="BF1040" s="4">
        <f t="shared" si="572"/>
        <v>2</v>
      </c>
      <c r="BG1040" s="4">
        <f t="shared" si="573"/>
        <v>4</v>
      </c>
      <c r="BH1040" s="4">
        <f t="shared" si="574"/>
        <v>4</v>
      </c>
      <c r="BI1040" s="4">
        <f t="shared" si="575"/>
        <v>4</v>
      </c>
      <c r="BJ1040" s="4">
        <f t="shared" si="576"/>
        <v>2</v>
      </c>
      <c r="BK1040" s="4">
        <f t="shared" si="577"/>
        <v>4</v>
      </c>
      <c r="BL1040" s="4">
        <f t="shared" si="578"/>
        <v>2</v>
      </c>
      <c r="BM1040" s="4">
        <f t="shared" si="579"/>
        <v>4</v>
      </c>
      <c r="BN1040" s="4">
        <f t="shared" si="580"/>
        <v>4</v>
      </c>
      <c r="BO1040" s="4">
        <f t="shared" si="581"/>
        <v>4</v>
      </c>
      <c r="BP1040" s="4">
        <f t="shared" si="582"/>
        <v>4</v>
      </c>
      <c r="BQ1040" s="4">
        <f t="shared" si="583"/>
        <v>6</v>
      </c>
      <c r="BR1040" s="4">
        <f t="shared" si="584"/>
        <v>4</v>
      </c>
      <c r="BS1040" s="4">
        <f t="shared" si="585"/>
        <v>4</v>
      </c>
      <c r="BT1040" s="4">
        <f t="shared" si="586"/>
        <v>4</v>
      </c>
      <c r="BU1040" s="4">
        <f t="shared" si="587"/>
        <v>4</v>
      </c>
      <c r="BV1040" s="4">
        <f t="shared" si="588"/>
        <v>0</v>
      </c>
      <c r="BW1040" s="4">
        <f t="shared" si="589"/>
        <v>6</v>
      </c>
      <c r="BX1040" s="4">
        <f t="shared" si="590"/>
        <v>0</v>
      </c>
      <c r="BY1040" s="4">
        <f t="shared" si="591"/>
        <v>0</v>
      </c>
      <c r="BZ1040" s="37">
        <f t="shared" si="592"/>
        <v>100</v>
      </c>
      <c r="CA1040" s="32" t="str">
        <f>VLOOKUP(J:J,'Agent wise'!A:C,3,0)</f>
        <v>Shakeer</v>
      </c>
      <c r="CB1040" s="32">
        <f t="shared" si="593"/>
        <v>45948</v>
      </c>
      <c r="CC1040" t="str">
        <f t="shared" si="594"/>
        <v>Excellent</v>
      </c>
      <c r="CE1040" s="32"/>
      <c r="CJ1040">
        <f t="shared" si="595"/>
        <v>18</v>
      </c>
      <c r="CK1040">
        <f t="shared" si="596"/>
        <v>10</v>
      </c>
      <c r="CL1040">
        <f t="shared" si="597"/>
        <v>2025</v>
      </c>
    </row>
    <row r="1041" spans="1:90" ht="15" customHeight="1" x14ac:dyDescent="0.35">
      <c r="A1041" t="s">
        <v>2547</v>
      </c>
      <c r="B1041" t="s">
        <v>51</v>
      </c>
      <c r="C1041" t="s">
        <v>214</v>
      </c>
      <c r="D1041" t="s">
        <v>53</v>
      </c>
      <c r="E1041" s="32">
        <v>45948</v>
      </c>
      <c r="F1041" t="s">
        <v>54</v>
      </c>
      <c r="G1041" t="s">
        <v>2369</v>
      </c>
      <c r="H1041">
        <v>9487233325</v>
      </c>
      <c r="I1041">
        <v>206</v>
      </c>
      <c r="J1041" t="s">
        <v>636</v>
      </c>
      <c r="K1041" t="s">
        <v>71</v>
      </c>
      <c r="L1041" t="s">
        <v>72</v>
      </c>
      <c r="M1041" t="s">
        <v>59</v>
      </c>
      <c r="N1041" t="s">
        <v>59</v>
      </c>
      <c r="O1041" t="s">
        <v>59</v>
      </c>
      <c r="P1041" t="s">
        <v>59</v>
      </c>
      <c r="Q1041" t="s">
        <v>59</v>
      </c>
      <c r="R1041" t="s">
        <v>60</v>
      </c>
      <c r="S1041" t="s">
        <v>59</v>
      </c>
      <c r="T1041" t="s">
        <v>59</v>
      </c>
      <c r="U1041" t="s">
        <v>60</v>
      </c>
      <c r="V1041" t="s">
        <v>59</v>
      </c>
      <c r="W1041" t="s">
        <v>59</v>
      </c>
      <c r="X1041" t="s">
        <v>59</v>
      </c>
      <c r="Y1041" t="s">
        <v>59</v>
      </c>
      <c r="Z1041" t="s">
        <v>59</v>
      </c>
      <c r="AA1041" t="s">
        <v>59</v>
      </c>
      <c r="AB1041" t="s">
        <v>60</v>
      </c>
      <c r="AC1041" t="s">
        <v>60</v>
      </c>
      <c r="AD1041" t="s">
        <v>59</v>
      </c>
      <c r="AE1041" t="s">
        <v>60</v>
      </c>
      <c r="AF1041" t="s">
        <v>61</v>
      </c>
      <c r="AG1041" t="s">
        <v>59</v>
      </c>
      <c r="AH1041" t="s">
        <v>61</v>
      </c>
      <c r="AI1041" t="s">
        <v>60</v>
      </c>
      <c r="AJ1041" t="s">
        <v>59</v>
      </c>
      <c r="AK1041" t="s">
        <v>61</v>
      </c>
      <c r="AL1041" t="s">
        <v>60</v>
      </c>
      <c r="AM1041" t="s">
        <v>59</v>
      </c>
      <c r="AN1041" t="s">
        <v>59</v>
      </c>
      <c r="AO1041" t="s">
        <v>59</v>
      </c>
      <c r="AP1041" t="s">
        <v>1398</v>
      </c>
      <c r="AQ1041" t="s">
        <v>506</v>
      </c>
      <c r="AR1041" t="s">
        <v>64</v>
      </c>
      <c r="AS1041" t="s">
        <v>65</v>
      </c>
      <c r="AT1041" t="s">
        <v>507</v>
      </c>
      <c r="AU1041" t="s">
        <v>1113</v>
      </c>
      <c r="AW1041" s="4">
        <f t="shared" si="563"/>
        <v>6</v>
      </c>
      <c r="AX1041" s="4">
        <f t="shared" si="564"/>
        <v>4</v>
      </c>
      <c r="AY1041" s="4">
        <f t="shared" si="565"/>
        <v>4</v>
      </c>
      <c r="AZ1041" s="4">
        <f t="shared" si="566"/>
        <v>2</v>
      </c>
      <c r="BA1041" s="4">
        <f t="shared" si="567"/>
        <v>4</v>
      </c>
      <c r="BB1041" s="4" t="str">
        <f t="shared" si="568"/>
        <v>0</v>
      </c>
      <c r="BC1041" s="4">
        <f t="shared" si="569"/>
        <v>4</v>
      </c>
      <c r="BD1041" s="4">
        <f t="shared" si="570"/>
        <v>2</v>
      </c>
      <c r="BE1041" s="4" t="str">
        <f t="shared" si="571"/>
        <v>0</v>
      </c>
      <c r="BF1041" s="4">
        <f t="shared" si="572"/>
        <v>2</v>
      </c>
      <c r="BG1041" s="4">
        <f t="shared" si="573"/>
        <v>4</v>
      </c>
      <c r="BH1041" s="4">
        <f t="shared" si="574"/>
        <v>4</v>
      </c>
      <c r="BI1041" s="4">
        <f t="shared" si="575"/>
        <v>4</v>
      </c>
      <c r="BJ1041" s="4">
        <f t="shared" si="576"/>
        <v>2</v>
      </c>
      <c r="BK1041" s="4">
        <f t="shared" si="577"/>
        <v>4</v>
      </c>
      <c r="BL1041" s="4" t="str">
        <f t="shared" si="578"/>
        <v>0</v>
      </c>
      <c r="BM1041" s="4" t="str">
        <f t="shared" si="579"/>
        <v>0</v>
      </c>
      <c r="BN1041" s="4">
        <f t="shared" si="580"/>
        <v>4</v>
      </c>
      <c r="BO1041" s="4" t="str">
        <f t="shared" si="581"/>
        <v>0</v>
      </c>
      <c r="BP1041" s="4">
        <f t="shared" si="582"/>
        <v>4</v>
      </c>
      <c r="BQ1041" s="4">
        <f t="shared" si="583"/>
        <v>6</v>
      </c>
      <c r="BR1041" s="4">
        <f t="shared" si="584"/>
        <v>4</v>
      </c>
      <c r="BS1041" s="4" t="str">
        <f t="shared" si="585"/>
        <v>0</v>
      </c>
      <c r="BT1041" s="4">
        <f t="shared" si="586"/>
        <v>4</v>
      </c>
      <c r="BU1041" s="4">
        <f t="shared" si="587"/>
        <v>4</v>
      </c>
      <c r="BV1041" s="4" t="str">
        <f t="shared" si="588"/>
        <v>0</v>
      </c>
      <c r="BW1041" s="4">
        <f t="shared" si="589"/>
        <v>6</v>
      </c>
      <c r="BX1041" s="4">
        <f t="shared" si="590"/>
        <v>0</v>
      </c>
      <c r="BY1041" s="4">
        <f t="shared" si="591"/>
        <v>0</v>
      </c>
      <c r="BZ1041" s="37">
        <f t="shared" si="592"/>
        <v>78</v>
      </c>
      <c r="CA1041" s="32" t="str">
        <f>VLOOKUP(J:J,'Agent wise'!A:C,3,0)</f>
        <v>Shakeer</v>
      </c>
      <c r="CB1041" s="32">
        <f t="shared" si="593"/>
        <v>45948</v>
      </c>
      <c r="CC1041" t="str">
        <f t="shared" si="594"/>
        <v>FC</v>
      </c>
      <c r="CE1041" s="32"/>
      <c r="CJ1041">
        <f t="shared" si="595"/>
        <v>18</v>
      </c>
      <c r="CK1041">
        <f t="shared" si="596"/>
        <v>10</v>
      </c>
      <c r="CL1041">
        <f t="shared" si="597"/>
        <v>2025</v>
      </c>
    </row>
    <row r="1042" spans="1:90" ht="15" customHeight="1" x14ac:dyDescent="0.35">
      <c r="A1042" t="s">
        <v>2548</v>
      </c>
      <c r="B1042" t="s">
        <v>51</v>
      </c>
      <c r="C1042" t="s">
        <v>214</v>
      </c>
      <c r="D1042" t="s">
        <v>53</v>
      </c>
      <c r="E1042" s="32">
        <v>45948</v>
      </c>
      <c r="F1042" t="s">
        <v>54</v>
      </c>
      <c r="G1042" t="s">
        <v>2369</v>
      </c>
      <c r="H1042">
        <v>8939613573</v>
      </c>
      <c r="I1042">
        <v>157</v>
      </c>
      <c r="J1042" t="s">
        <v>139</v>
      </c>
      <c r="K1042" t="s">
        <v>71</v>
      </c>
      <c r="L1042" t="s">
        <v>72</v>
      </c>
      <c r="M1042" t="s">
        <v>59</v>
      </c>
      <c r="N1042" t="s">
        <v>59</v>
      </c>
      <c r="O1042" t="s">
        <v>59</v>
      </c>
      <c r="P1042" t="s">
        <v>59</v>
      </c>
      <c r="Q1042" t="s">
        <v>59</v>
      </c>
      <c r="R1042" t="s">
        <v>60</v>
      </c>
      <c r="S1042" t="s">
        <v>59</v>
      </c>
      <c r="T1042" t="s">
        <v>59</v>
      </c>
      <c r="U1042" t="s">
        <v>60</v>
      </c>
      <c r="V1042" t="s">
        <v>59</v>
      </c>
      <c r="W1042" t="s">
        <v>59</v>
      </c>
      <c r="X1042" t="s">
        <v>59</v>
      </c>
      <c r="Y1042" t="s">
        <v>59</v>
      </c>
      <c r="Z1042" t="s">
        <v>59</v>
      </c>
      <c r="AA1042" t="s">
        <v>60</v>
      </c>
      <c r="AB1042" t="s">
        <v>61</v>
      </c>
      <c r="AC1042" t="s">
        <v>61</v>
      </c>
      <c r="AD1042" t="s">
        <v>60</v>
      </c>
      <c r="AE1042" t="s">
        <v>60</v>
      </c>
      <c r="AF1042" t="s">
        <v>61</v>
      </c>
      <c r="AG1042" t="s">
        <v>60</v>
      </c>
      <c r="AH1042" t="s">
        <v>61</v>
      </c>
      <c r="AI1042" t="s">
        <v>61</v>
      </c>
      <c r="AJ1042" t="s">
        <v>59</v>
      </c>
      <c r="AK1042" t="s">
        <v>61</v>
      </c>
      <c r="AL1042" t="s">
        <v>60</v>
      </c>
      <c r="AM1042" t="s">
        <v>59</v>
      </c>
      <c r="AN1042" t="s">
        <v>59</v>
      </c>
      <c r="AO1042" t="s">
        <v>59</v>
      </c>
      <c r="AP1042" t="s">
        <v>2549</v>
      </c>
      <c r="AQ1042" t="s">
        <v>2550</v>
      </c>
      <c r="AR1042" t="s">
        <v>64</v>
      </c>
      <c r="AS1042" t="s">
        <v>550</v>
      </c>
      <c r="AT1042" t="s">
        <v>551</v>
      </c>
      <c r="AU1042" t="s">
        <v>387</v>
      </c>
      <c r="AW1042" s="4">
        <f t="shared" si="563"/>
        <v>6</v>
      </c>
      <c r="AX1042" s="4">
        <f t="shared" si="564"/>
        <v>4</v>
      </c>
      <c r="AY1042" s="4">
        <f t="shared" si="565"/>
        <v>4</v>
      </c>
      <c r="AZ1042" s="4">
        <f t="shared" si="566"/>
        <v>2</v>
      </c>
      <c r="BA1042" s="4">
        <f t="shared" si="567"/>
        <v>4</v>
      </c>
      <c r="BB1042" s="4" t="str">
        <f t="shared" si="568"/>
        <v>0</v>
      </c>
      <c r="BC1042" s="4">
        <f t="shared" si="569"/>
        <v>4</v>
      </c>
      <c r="BD1042" s="4">
        <f t="shared" si="570"/>
        <v>2</v>
      </c>
      <c r="BE1042" s="4" t="str">
        <f t="shared" si="571"/>
        <v>0</v>
      </c>
      <c r="BF1042" s="4">
        <f t="shared" si="572"/>
        <v>2</v>
      </c>
      <c r="BG1042" s="4">
        <f t="shared" si="573"/>
        <v>4</v>
      </c>
      <c r="BH1042" s="4">
        <f t="shared" si="574"/>
        <v>4</v>
      </c>
      <c r="BI1042" s="4">
        <f t="shared" si="575"/>
        <v>4</v>
      </c>
      <c r="BJ1042" s="4">
        <f t="shared" si="576"/>
        <v>2</v>
      </c>
      <c r="BK1042" s="4" t="str">
        <f t="shared" si="577"/>
        <v>0</v>
      </c>
      <c r="BL1042" s="4">
        <f t="shared" si="578"/>
        <v>2</v>
      </c>
      <c r="BM1042" s="4">
        <f t="shared" si="579"/>
        <v>4</v>
      </c>
      <c r="BN1042" s="4" t="str">
        <f t="shared" si="580"/>
        <v>0</v>
      </c>
      <c r="BO1042" s="4" t="str">
        <f t="shared" si="581"/>
        <v>0</v>
      </c>
      <c r="BP1042" s="4">
        <f t="shared" si="582"/>
        <v>4</v>
      </c>
      <c r="BQ1042" s="4" t="str">
        <f t="shared" si="583"/>
        <v>0</v>
      </c>
      <c r="BR1042" s="4">
        <f t="shared" si="584"/>
        <v>4</v>
      </c>
      <c r="BS1042" s="4">
        <f t="shared" si="585"/>
        <v>4</v>
      </c>
      <c r="BT1042" s="4">
        <f t="shared" si="586"/>
        <v>4</v>
      </c>
      <c r="BU1042" s="4">
        <f t="shared" si="587"/>
        <v>4</v>
      </c>
      <c r="BV1042" s="4" t="str">
        <f t="shared" si="588"/>
        <v>0</v>
      </c>
      <c r="BW1042" s="4">
        <f t="shared" si="589"/>
        <v>6</v>
      </c>
      <c r="BX1042" s="4">
        <f t="shared" si="590"/>
        <v>0</v>
      </c>
      <c r="BY1042" s="4">
        <f t="shared" si="591"/>
        <v>0</v>
      </c>
      <c r="BZ1042" s="37">
        <f t="shared" si="592"/>
        <v>74</v>
      </c>
      <c r="CA1042" s="32" t="str">
        <f>VLOOKUP(J:J,'Agent wise'!A:C,3,0)</f>
        <v>Shakeer</v>
      </c>
      <c r="CB1042" s="32">
        <f t="shared" si="593"/>
        <v>45948</v>
      </c>
      <c r="CC1042" t="str">
        <f t="shared" si="594"/>
        <v>FC</v>
      </c>
      <c r="CE1042" s="32"/>
      <c r="CJ1042">
        <f t="shared" si="595"/>
        <v>18</v>
      </c>
      <c r="CK1042">
        <f t="shared" si="596"/>
        <v>10</v>
      </c>
      <c r="CL1042">
        <f t="shared" si="597"/>
        <v>2025</v>
      </c>
    </row>
    <row r="1043" spans="1:90" ht="15" customHeight="1" x14ac:dyDescent="0.35">
      <c r="A1043" t="s">
        <v>2551</v>
      </c>
      <c r="B1043" t="s">
        <v>100</v>
      </c>
      <c r="C1043" t="s">
        <v>214</v>
      </c>
      <c r="D1043" t="s">
        <v>101</v>
      </c>
      <c r="E1043" s="32">
        <v>45948</v>
      </c>
      <c r="F1043" t="s">
        <v>54</v>
      </c>
      <c r="G1043" t="s">
        <v>2369</v>
      </c>
      <c r="H1043">
        <v>8903872650</v>
      </c>
      <c r="I1043">
        <v>156</v>
      </c>
      <c r="J1043" t="s">
        <v>2552</v>
      </c>
      <c r="K1043" t="s">
        <v>71</v>
      </c>
      <c r="L1043" t="s">
        <v>72</v>
      </c>
      <c r="M1043" t="s">
        <v>59</v>
      </c>
      <c r="N1043" t="s">
        <v>59</v>
      </c>
      <c r="O1043" t="s">
        <v>60</v>
      </c>
      <c r="P1043" t="s">
        <v>59</v>
      </c>
      <c r="Q1043" t="s">
        <v>59</v>
      </c>
      <c r="R1043" t="s">
        <v>59</v>
      </c>
      <c r="S1043" t="s">
        <v>59</v>
      </c>
      <c r="T1043" t="s">
        <v>59</v>
      </c>
      <c r="U1043" t="s">
        <v>60</v>
      </c>
      <c r="V1043" t="s">
        <v>59</v>
      </c>
      <c r="W1043" t="s">
        <v>59</v>
      </c>
      <c r="X1043" t="s">
        <v>61</v>
      </c>
      <c r="Y1043" t="s">
        <v>59</v>
      </c>
      <c r="Z1043" t="s">
        <v>59</v>
      </c>
      <c r="AA1043" t="s">
        <v>60</v>
      </c>
      <c r="AB1043" t="s">
        <v>59</v>
      </c>
      <c r="AC1043" t="s">
        <v>60</v>
      </c>
      <c r="AD1043" t="s">
        <v>59</v>
      </c>
      <c r="AE1043" t="s">
        <v>59</v>
      </c>
      <c r="AF1043" t="s">
        <v>61</v>
      </c>
      <c r="AG1043" t="s">
        <v>60</v>
      </c>
      <c r="AH1043" t="s">
        <v>61</v>
      </c>
      <c r="AI1043" t="s">
        <v>61</v>
      </c>
      <c r="AJ1043" t="s">
        <v>59</v>
      </c>
      <c r="AK1043" t="s">
        <v>61</v>
      </c>
      <c r="AL1043" t="s">
        <v>60</v>
      </c>
      <c r="AM1043" t="s">
        <v>59</v>
      </c>
      <c r="AN1043" t="s">
        <v>59</v>
      </c>
      <c r="AO1043" t="s">
        <v>59</v>
      </c>
      <c r="AP1043" t="s">
        <v>212</v>
      </c>
      <c r="AQ1043" s="1" t="s">
        <v>2553</v>
      </c>
      <c r="AR1043" t="s">
        <v>64</v>
      </c>
      <c r="AS1043" t="s">
        <v>135</v>
      </c>
      <c r="AT1043" t="s">
        <v>1251</v>
      </c>
      <c r="AU1043" t="s">
        <v>299</v>
      </c>
      <c r="AW1043" s="4">
        <f t="shared" si="563"/>
        <v>6</v>
      </c>
      <c r="AX1043" s="4">
        <f t="shared" si="564"/>
        <v>4</v>
      </c>
      <c r="AY1043" s="4" t="str">
        <f t="shared" si="565"/>
        <v>0</v>
      </c>
      <c r="AZ1043" s="4">
        <f t="shared" si="566"/>
        <v>2</v>
      </c>
      <c r="BA1043" s="4">
        <f t="shared" si="567"/>
        <v>4</v>
      </c>
      <c r="BB1043" s="4">
        <f t="shared" si="568"/>
        <v>4</v>
      </c>
      <c r="BC1043" s="4">
        <f t="shared" si="569"/>
        <v>4</v>
      </c>
      <c r="BD1043" s="4">
        <f t="shared" si="570"/>
        <v>2</v>
      </c>
      <c r="BE1043" s="4" t="str">
        <f t="shared" si="571"/>
        <v>0</v>
      </c>
      <c r="BF1043" s="4">
        <f t="shared" si="572"/>
        <v>2</v>
      </c>
      <c r="BG1043" s="4">
        <f t="shared" si="573"/>
        <v>4</v>
      </c>
      <c r="BH1043" s="4">
        <f t="shared" si="574"/>
        <v>4</v>
      </c>
      <c r="BI1043" s="4">
        <f t="shared" si="575"/>
        <v>4</v>
      </c>
      <c r="BJ1043" s="4">
        <f t="shared" si="576"/>
        <v>2</v>
      </c>
      <c r="BK1043" s="4" t="str">
        <f t="shared" si="577"/>
        <v>0</v>
      </c>
      <c r="BL1043" s="4">
        <f t="shared" si="578"/>
        <v>2</v>
      </c>
      <c r="BM1043" s="4" t="str">
        <f t="shared" si="579"/>
        <v>0</v>
      </c>
      <c r="BN1043" s="4">
        <f t="shared" si="580"/>
        <v>4</v>
      </c>
      <c r="BO1043" s="4">
        <f t="shared" si="581"/>
        <v>4</v>
      </c>
      <c r="BP1043" s="4">
        <f t="shared" si="582"/>
        <v>4</v>
      </c>
      <c r="BQ1043" s="4" t="str">
        <f t="shared" si="583"/>
        <v>0</v>
      </c>
      <c r="BR1043" s="4">
        <f t="shared" si="584"/>
        <v>4</v>
      </c>
      <c r="BS1043" s="4">
        <f t="shared" si="585"/>
        <v>4</v>
      </c>
      <c r="BT1043" s="4">
        <f t="shared" si="586"/>
        <v>4</v>
      </c>
      <c r="BU1043" s="4">
        <f t="shared" si="587"/>
        <v>4</v>
      </c>
      <c r="BV1043" s="4" t="str">
        <f t="shared" si="588"/>
        <v>0</v>
      </c>
      <c r="BW1043" s="4">
        <f t="shared" si="589"/>
        <v>6</v>
      </c>
      <c r="BX1043" s="4">
        <f t="shared" si="590"/>
        <v>0</v>
      </c>
      <c r="BY1043" s="4">
        <f t="shared" si="591"/>
        <v>0</v>
      </c>
      <c r="BZ1043" s="37">
        <f t="shared" si="592"/>
        <v>78</v>
      </c>
      <c r="CA1043" s="32" t="e">
        <f>VLOOKUP(J:J,'Agent wise'!A:C,3,0)</f>
        <v>#N/A</v>
      </c>
      <c r="CB1043" s="32">
        <f t="shared" si="593"/>
        <v>45948</v>
      </c>
      <c r="CC1043" t="str">
        <f t="shared" si="594"/>
        <v>FC</v>
      </c>
      <c r="CE1043" s="32"/>
      <c r="CJ1043">
        <f t="shared" si="595"/>
        <v>18</v>
      </c>
      <c r="CK1043">
        <f t="shared" si="596"/>
        <v>10</v>
      </c>
      <c r="CL1043">
        <f t="shared" si="597"/>
        <v>2025</v>
      </c>
    </row>
    <row r="1044" spans="1:90" ht="15" customHeight="1" x14ac:dyDescent="0.35">
      <c r="A1044" t="s">
        <v>2554</v>
      </c>
      <c r="B1044" t="s">
        <v>250</v>
      </c>
      <c r="C1044" t="s">
        <v>214</v>
      </c>
      <c r="D1044" t="s">
        <v>251</v>
      </c>
      <c r="E1044" s="32">
        <v>45948</v>
      </c>
      <c r="F1044" t="s">
        <v>54</v>
      </c>
      <c r="G1044" t="s">
        <v>2369</v>
      </c>
      <c r="H1044">
        <v>9750369188</v>
      </c>
      <c r="I1044">
        <v>137</v>
      </c>
      <c r="J1044" t="s">
        <v>2555</v>
      </c>
      <c r="K1044" t="s">
        <v>71</v>
      </c>
      <c r="L1044" t="s">
        <v>72</v>
      </c>
      <c r="M1044" t="s">
        <v>59</v>
      </c>
      <c r="N1044" t="s">
        <v>59</v>
      </c>
      <c r="O1044" t="s">
        <v>59</v>
      </c>
      <c r="P1044" t="s">
        <v>59</v>
      </c>
      <c r="Q1044" t="s">
        <v>59</v>
      </c>
      <c r="R1044" t="s">
        <v>59</v>
      </c>
      <c r="S1044" t="s">
        <v>59</v>
      </c>
      <c r="T1044" t="s">
        <v>59</v>
      </c>
      <c r="U1044" t="s">
        <v>60</v>
      </c>
      <c r="V1044" t="s">
        <v>59</v>
      </c>
      <c r="W1044" t="s">
        <v>59</v>
      </c>
      <c r="X1044" t="s">
        <v>59</v>
      </c>
      <c r="Y1044" t="s">
        <v>59</v>
      </c>
      <c r="Z1044" t="s">
        <v>59</v>
      </c>
      <c r="AA1044" t="s">
        <v>60</v>
      </c>
      <c r="AB1044" t="s">
        <v>60</v>
      </c>
      <c r="AC1044" t="s">
        <v>59</v>
      </c>
      <c r="AD1044" t="s">
        <v>59</v>
      </c>
      <c r="AE1044" t="s">
        <v>59</v>
      </c>
      <c r="AF1044" t="s">
        <v>59</v>
      </c>
      <c r="AG1044" t="s">
        <v>59</v>
      </c>
      <c r="AH1044" t="s">
        <v>61</v>
      </c>
      <c r="AI1044" t="s">
        <v>61</v>
      </c>
      <c r="AJ1044" t="s">
        <v>59</v>
      </c>
      <c r="AK1044" t="s">
        <v>59</v>
      </c>
      <c r="AL1044" t="s">
        <v>60</v>
      </c>
      <c r="AM1044" t="s">
        <v>59</v>
      </c>
      <c r="AN1044" t="s">
        <v>59</v>
      </c>
      <c r="AO1044" t="s">
        <v>59</v>
      </c>
      <c r="AP1044" t="s">
        <v>2556</v>
      </c>
      <c r="AQ1044" t="s">
        <v>2557</v>
      </c>
      <c r="AR1044" t="s">
        <v>64</v>
      </c>
      <c r="AS1044" t="s">
        <v>2558</v>
      </c>
      <c r="AT1044" t="s">
        <v>2559</v>
      </c>
      <c r="AU1044" t="s">
        <v>219</v>
      </c>
      <c r="AW1044" s="4">
        <f t="shared" si="563"/>
        <v>6</v>
      </c>
      <c r="AX1044" s="4">
        <f t="shared" si="564"/>
        <v>4</v>
      </c>
      <c r="AY1044" s="4">
        <f t="shared" si="565"/>
        <v>4</v>
      </c>
      <c r="AZ1044" s="4">
        <f t="shared" si="566"/>
        <v>2</v>
      </c>
      <c r="BA1044" s="4">
        <f t="shared" si="567"/>
        <v>4</v>
      </c>
      <c r="BB1044" s="4">
        <f t="shared" si="568"/>
        <v>4</v>
      </c>
      <c r="BC1044" s="4">
        <f t="shared" si="569"/>
        <v>4</v>
      </c>
      <c r="BD1044" s="4">
        <f t="shared" si="570"/>
        <v>2</v>
      </c>
      <c r="BE1044" s="4" t="str">
        <f t="shared" si="571"/>
        <v>0</v>
      </c>
      <c r="BF1044" s="4">
        <f t="shared" si="572"/>
        <v>2</v>
      </c>
      <c r="BG1044" s="4">
        <f t="shared" si="573"/>
        <v>4</v>
      </c>
      <c r="BH1044" s="4">
        <f t="shared" si="574"/>
        <v>4</v>
      </c>
      <c r="BI1044" s="4">
        <f t="shared" si="575"/>
        <v>4</v>
      </c>
      <c r="BJ1044" s="4">
        <f t="shared" si="576"/>
        <v>2</v>
      </c>
      <c r="BK1044" s="4" t="str">
        <f t="shared" si="577"/>
        <v>0</v>
      </c>
      <c r="BL1044" s="4" t="str">
        <f t="shared" si="578"/>
        <v>0</v>
      </c>
      <c r="BM1044" s="4">
        <f t="shared" si="579"/>
        <v>4</v>
      </c>
      <c r="BN1044" s="4">
        <f t="shared" si="580"/>
        <v>4</v>
      </c>
      <c r="BO1044" s="4">
        <f t="shared" si="581"/>
        <v>4</v>
      </c>
      <c r="BP1044" s="4">
        <f t="shared" si="582"/>
        <v>4</v>
      </c>
      <c r="BQ1044" s="4">
        <f t="shared" si="583"/>
        <v>6</v>
      </c>
      <c r="BR1044" s="4">
        <f t="shared" si="584"/>
        <v>4</v>
      </c>
      <c r="BS1044" s="4">
        <f t="shared" si="585"/>
        <v>4</v>
      </c>
      <c r="BT1044" s="4">
        <f t="shared" si="586"/>
        <v>4</v>
      </c>
      <c r="BU1044" s="4">
        <f t="shared" si="587"/>
        <v>4</v>
      </c>
      <c r="BV1044" s="4" t="str">
        <f t="shared" si="588"/>
        <v>0</v>
      </c>
      <c r="BW1044" s="4">
        <f t="shared" si="589"/>
        <v>6</v>
      </c>
      <c r="BX1044" s="4">
        <f t="shared" si="590"/>
        <v>0</v>
      </c>
      <c r="BY1044" s="4">
        <f t="shared" si="591"/>
        <v>0</v>
      </c>
      <c r="BZ1044" s="37">
        <f t="shared" si="592"/>
        <v>90</v>
      </c>
      <c r="CA1044" s="32" t="e">
        <f>VLOOKUP(J:J,'Agent wise'!A:C,3,0)</f>
        <v>#N/A</v>
      </c>
      <c r="CB1044" s="32">
        <f t="shared" si="593"/>
        <v>45948</v>
      </c>
      <c r="CC1044" t="str">
        <f t="shared" si="594"/>
        <v>Good</v>
      </c>
      <c r="CE1044" s="32"/>
      <c r="CJ1044">
        <f t="shared" si="595"/>
        <v>18</v>
      </c>
      <c r="CK1044">
        <f t="shared" si="596"/>
        <v>10</v>
      </c>
      <c r="CL1044">
        <f t="shared" si="597"/>
        <v>2025</v>
      </c>
    </row>
    <row r="1045" spans="1:90" ht="15" customHeight="1" x14ac:dyDescent="0.35">
      <c r="A1045" t="s">
        <v>2560</v>
      </c>
      <c r="B1045" t="s">
        <v>250</v>
      </c>
      <c r="C1045" t="s">
        <v>214</v>
      </c>
      <c r="D1045" t="s">
        <v>251</v>
      </c>
      <c r="E1045" s="32">
        <v>45948</v>
      </c>
      <c r="F1045" t="s">
        <v>54</v>
      </c>
      <c r="G1045" t="s">
        <v>2369</v>
      </c>
      <c r="H1045">
        <v>8122297874</v>
      </c>
      <c r="I1045">
        <v>148</v>
      </c>
      <c r="J1045" t="s">
        <v>2555</v>
      </c>
      <c r="K1045" t="s">
        <v>71</v>
      </c>
      <c r="L1045" t="s">
        <v>72</v>
      </c>
      <c r="M1045" t="s">
        <v>59</v>
      </c>
      <c r="N1045" t="s">
        <v>59</v>
      </c>
      <c r="O1045" t="s">
        <v>59</v>
      </c>
      <c r="P1045" t="s">
        <v>59</v>
      </c>
      <c r="Q1045" t="s">
        <v>59</v>
      </c>
      <c r="R1045" t="s">
        <v>60</v>
      </c>
      <c r="S1045" t="s">
        <v>59</v>
      </c>
      <c r="T1045" t="s">
        <v>59</v>
      </c>
      <c r="U1045" t="s">
        <v>60</v>
      </c>
      <c r="V1045" t="s">
        <v>59</v>
      </c>
      <c r="W1045" t="s">
        <v>59</v>
      </c>
      <c r="X1045" t="s">
        <v>59</v>
      </c>
      <c r="Y1045" t="s">
        <v>59</v>
      </c>
      <c r="Z1045" t="s">
        <v>59</v>
      </c>
      <c r="AA1045" t="s">
        <v>59</v>
      </c>
      <c r="AB1045" t="s">
        <v>60</v>
      </c>
      <c r="AC1045" t="s">
        <v>59</v>
      </c>
      <c r="AD1045" t="s">
        <v>59</v>
      </c>
      <c r="AE1045" t="s">
        <v>59</v>
      </c>
      <c r="AF1045" t="s">
        <v>59</v>
      </c>
      <c r="AG1045" t="s">
        <v>59</v>
      </c>
      <c r="AH1045" t="s">
        <v>61</v>
      </c>
      <c r="AI1045" t="s">
        <v>61</v>
      </c>
      <c r="AJ1045" t="s">
        <v>59</v>
      </c>
      <c r="AK1045" t="s">
        <v>59</v>
      </c>
      <c r="AL1045" t="s">
        <v>60</v>
      </c>
      <c r="AM1045" t="s">
        <v>59</v>
      </c>
      <c r="AN1045" t="s">
        <v>59</v>
      </c>
      <c r="AO1045" t="s">
        <v>59</v>
      </c>
      <c r="AP1045" t="s">
        <v>2561</v>
      </c>
      <c r="AQ1045" t="s">
        <v>2562</v>
      </c>
      <c r="AR1045" t="s">
        <v>64</v>
      </c>
      <c r="AS1045" t="s">
        <v>418</v>
      </c>
      <c r="AT1045" t="s">
        <v>2559</v>
      </c>
      <c r="AU1045" t="s">
        <v>219</v>
      </c>
      <c r="AW1045" s="4">
        <f t="shared" si="563"/>
        <v>6</v>
      </c>
      <c r="AX1045" s="4">
        <f t="shared" si="564"/>
        <v>4</v>
      </c>
      <c r="AY1045" s="4">
        <f t="shared" si="565"/>
        <v>4</v>
      </c>
      <c r="AZ1045" s="4">
        <f t="shared" si="566"/>
        <v>2</v>
      </c>
      <c r="BA1045" s="4">
        <f t="shared" si="567"/>
        <v>4</v>
      </c>
      <c r="BB1045" s="4" t="str">
        <f t="shared" si="568"/>
        <v>0</v>
      </c>
      <c r="BC1045" s="4">
        <f t="shared" si="569"/>
        <v>4</v>
      </c>
      <c r="BD1045" s="4">
        <f t="shared" si="570"/>
        <v>2</v>
      </c>
      <c r="BE1045" s="4" t="str">
        <f t="shared" si="571"/>
        <v>0</v>
      </c>
      <c r="BF1045" s="4">
        <f t="shared" si="572"/>
        <v>2</v>
      </c>
      <c r="BG1045" s="4">
        <f t="shared" si="573"/>
        <v>4</v>
      </c>
      <c r="BH1045" s="4">
        <f t="shared" si="574"/>
        <v>4</v>
      </c>
      <c r="BI1045" s="4">
        <f t="shared" si="575"/>
        <v>4</v>
      </c>
      <c r="BJ1045" s="4">
        <f t="shared" si="576"/>
        <v>2</v>
      </c>
      <c r="BK1045" s="4">
        <f t="shared" si="577"/>
        <v>4</v>
      </c>
      <c r="BL1045" s="4" t="str">
        <f t="shared" si="578"/>
        <v>0</v>
      </c>
      <c r="BM1045" s="4">
        <f t="shared" si="579"/>
        <v>4</v>
      </c>
      <c r="BN1045" s="4">
        <f t="shared" si="580"/>
        <v>4</v>
      </c>
      <c r="BO1045" s="4">
        <f t="shared" si="581"/>
        <v>4</v>
      </c>
      <c r="BP1045" s="4">
        <f t="shared" si="582"/>
        <v>4</v>
      </c>
      <c r="BQ1045" s="4">
        <f t="shared" si="583"/>
        <v>6</v>
      </c>
      <c r="BR1045" s="4">
        <f t="shared" si="584"/>
        <v>4</v>
      </c>
      <c r="BS1045" s="4">
        <f t="shared" si="585"/>
        <v>4</v>
      </c>
      <c r="BT1045" s="4">
        <f t="shared" si="586"/>
        <v>4</v>
      </c>
      <c r="BU1045" s="4">
        <f t="shared" si="587"/>
        <v>4</v>
      </c>
      <c r="BV1045" s="4" t="str">
        <f t="shared" si="588"/>
        <v>0</v>
      </c>
      <c r="BW1045" s="4">
        <f t="shared" si="589"/>
        <v>6</v>
      </c>
      <c r="BX1045" s="4">
        <f t="shared" si="590"/>
        <v>0</v>
      </c>
      <c r="BY1045" s="4">
        <f t="shared" si="591"/>
        <v>0</v>
      </c>
      <c r="BZ1045" s="37">
        <f t="shared" si="592"/>
        <v>90</v>
      </c>
      <c r="CA1045" s="32" t="e">
        <f>VLOOKUP(J:J,'Agent wise'!A:C,3,0)</f>
        <v>#N/A</v>
      </c>
      <c r="CB1045" s="32">
        <f t="shared" si="593"/>
        <v>45948</v>
      </c>
      <c r="CC1045" t="str">
        <f t="shared" si="594"/>
        <v>Good</v>
      </c>
      <c r="CE1045" s="32"/>
      <c r="CJ1045">
        <f t="shared" si="595"/>
        <v>18</v>
      </c>
      <c r="CK1045">
        <f t="shared" si="596"/>
        <v>10</v>
      </c>
      <c r="CL1045">
        <f t="shared" si="597"/>
        <v>2025</v>
      </c>
    </row>
    <row r="1046" spans="1:90" ht="15" customHeight="1" x14ac:dyDescent="0.35">
      <c r="A1046" t="s">
        <v>2563</v>
      </c>
      <c r="B1046" t="s">
        <v>250</v>
      </c>
      <c r="C1046" t="s">
        <v>214</v>
      </c>
      <c r="D1046" t="s">
        <v>251</v>
      </c>
      <c r="E1046" s="32">
        <v>45948</v>
      </c>
      <c r="F1046" t="s">
        <v>54</v>
      </c>
      <c r="G1046" t="s">
        <v>2369</v>
      </c>
      <c r="H1046">
        <v>9442254780</v>
      </c>
      <c r="I1046">
        <v>160</v>
      </c>
      <c r="J1046" t="s">
        <v>2555</v>
      </c>
      <c r="K1046" t="s">
        <v>71</v>
      </c>
      <c r="L1046" t="s">
        <v>72</v>
      </c>
      <c r="M1046" t="s">
        <v>59</v>
      </c>
      <c r="N1046" t="s">
        <v>59</v>
      </c>
      <c r="O1046" t="s">
        <v>59</v>
      </c>
      <c r="P1046" t="s">
        <v>59</v>
      </c>
      <c r="Q1046" t="s">
        <v>59</v>
      </c>
      <c r="R1046" t="s">
        <v>59</v>
      </c>
      <c r="S1046" t="s">
        <v>59</v>
      </c>
      <c r="T1046" t="s">
        <v>59</v>
      </c>
      <c r="U1046" t="s">
        <v>60</v>
      </c>
      <c r="V1046" t="s">
        <v>59</v>
      </c>
      <c r="W1046" t="s">
        <v>59</v>
      </c>
      <c r="X1046" t="s">
        <v>59</v>
      </c>
      <c r="Y1046" t="s">
        <v>59</v>
      </c>
      <c r="Z1046" t="s">
        <v>60</v>
      </c>
      <c r="AA1046" t="s">
        <v>60</v>
      </c>
      <c r="AB1046" t="s">
        <v>59</v>
      </c>
      <c r="AC1046" t="s">
        <v>60</v>
      </c>
      <c r="AD1046" t="s">
        <v>59</v>
      </c>
      <c r="AE1046" t="s">
        <v>59</v>
      </c>
      <c r="AF1046" t="s">
        <v>59</v>
      </c>
      <c r="AG1046" t="s">
        <v>59</v>
      </c>
      <c r="AH1046" t="s">
        <v>61</v>
      </c>
      <c r="AI1046" t="s">
        <v>61</v>
      </c>
      <c r="AJ1046" t="s">
        <v>59</v>
      </c>
      <c r="AK1046" t="s">
        <v>59</v>
      </c>
      <c r="AL1046" t="s">
        <v>59</v>
      </c>
      <c r="AM1046" t="s">
        <v>59</v>
      </c>
      <c r="AN1046" t="s">
        <v>59</v>
      </c>
      <c r="AO1046" t="s">
        <v>59</v>
      </c>
      <c r="AP1046" t="s">
        <v>2564</v>
      </c>
      <c r="AQ1046" t="s">
        <v>2565</v>
      </c>
      <c r="AR1046" t="s">
        <v>64</v>
      </c>
      <c r="AS1046" t="s">
        <v>2566</v>
      </c>
      <c r="AT1046" t="s">
        <v>386</v>
      </c>
      <c r="AU1046" t="s">
        <v>219</v>
      </c>
      <c r="AW1046" s="4">
        <f t="shared" si="563"/>
        <v>6</v>
      </c>
      <c r="AX1046" s="4">
        <f t="shared" si="564"/>
        <v>4</v>
      </c>
      <c r="AY1046" s="4">
        <f t="shared" si="565"/>
        <v>4</v>
      </c>
      <c r="AZ1046" s="4">
        <f t="shared" si="566"/>
        <v>2</v>
      </c>
      <c r="BA1046" s="4">
        <f t="shared" si="567"/>
        <v>4</v>
      </c>
      <c r="BB1046" s="4">
        <f t="shared" si="568"/>
        <v>4</v>
      </c>
      <c r="BC1046" s="4">
        <f t="shared" si="569"/>
        <v>4</v>
      </c>
      <c r="BD1046" s="4">
        <f t="shared" si="570"/>
        <v>2</v>
      </c>
      <c r="BE1046" s="4" t="str">
        <f t="shared" si="571"/>
        <v>0</v>
      </c>
      <c r="BF1046" s="4">
        <f t="shared" si="572"/>
        <v>2</v>
      </c>
      <c r="BG1046" s="4">
        <f t="shared" si="573"/>
        <v>4</v>
      </c>
      <c r="BH1046" s="4">
        <f t="shared" si="574"/>
        <v>4</v>
      </c>
      <c r="BI1046" s="4">
        <f t="shared" si="575"/>
        <v>4</v>
      </c>
      <c r="BJ1046" s="4" t="str">
        <f t="shared" si="576"/>
        <v>0</v>
      </c>
      <c r="BK1046" s="4" t="str">
        <f t="shared" si="577"/>
        <v>0</v>
      </c>
      <c r="BL1046" s="4">
        <f t="shared" si="578"/>
        <v>2</v>
      </c>
      <c r="BM1046" s="4" t="str">
        <f t="shared" si="579"/>
        <v>0</v>
      </c>
      <c r="BN1046" s="4">
        <f t="shared" si="580"/>
        <v>4</v>
      </c>
      <c r="BO1046" s="4">
        <f t="shared" si="581"/>
        <v>4</v>
      </c>
      <c r="BP1046" s="4">
        <f t="shared" si="582"/>
        <v>4</v>
      </c>
      <c r="BQ1046" s="4">
        <f t="shared" si="583"/>
        <v>6</v>
      </c>
      <c r="BR1046" s="4">
        <f t="shared" si="584"/>
        <v>4</v>
      </c>
      <c r="BS1046" s="4">
        <f t="shared" si="585"/>
        <v>4</v>
      </c>
      <c r="BT1046" s="4">
        <f t="shared" si="586"/>
        <v>4</v>
      </c>
      <c r="BU1046" s="4">
        <f t="shared" si="587"/>
        <v>4</v>
      </c>
      <c r="BV1046" s="4">
        <f t="shared" si="588"/>
        <v>0</v>
      </c>
      <c r="BW1046" s="4">
        <f t="shared" si="589"/>
        <v>6</v>
      </c>
      <c r="BX1046" s="4">
        <f t="shared" si="590"/>
        <v>0</v>
      </c>
      <c r="BY1046" s="4">
        <f t="shared" si="591"/>
        <v>0</v>
      </c>
      <c r="BZ1046" s="37">
        <f t="shared" si="592"/>
        <v>86</v>
      </c>
      <c r="CA1046" s="32" t="e">
        <f>VLOOKUP(J:J,'Agent wise'!A:C,3,0)</f>
        <v>#N/A</v>
      </c>
      <c r="CB1046" s="32">
        <f t="shared" si="593"/>
        <v>45948</v>
      </c>
      <c r="CC1046" t="str">
        <f t="shared" si="594"/>
        <v>Average</v>
      </c>
      <c r="CE1046" s="32"/>
      <c r="CJ1046">
        <f t="shared" si="595"/>
        <v>18</v>
      </c>
      <c r="CK1046">
        <f t="shared" si="596"/>
        <v>10</v>
      </c>
      <c r="CL1046">
        <f t="shared" si="597"/>
        <v>2025</v>
      </c>
    </row>
    <row r="1047" spans="1:90" ht="15" customHeight="1" x14ac:dyDescent="0.35">
      <c r="A1047" t="s">
        <v>2567</v>
      </c>
      <c r="B1047" t="s">
        <v>51</v>
      </c>
      <c r="C1047" t="s">
        <v>214</v>
      </c>
      <c r="D1047" t="s">
        <v>53</v>
      </c>
      <c r="E1047" s="32">
        <v>45948</v>
      </c>
      <c r="F1047" t="s">
        <v>54</v>
      </c>
      <c r="G1047" t="s">
        <v>2369</v>
      </c>
      <c r="H1047">
        <v>6381163849</v>
      </c>
      <c r="I1047">
        <v>142</v>
      </c>
      <c r="J1047" t="s">
        <v>480</v>
      </c>
      <c r="K1047" t="s">
        <v>86</v>
      </c>
      <c r="L1047" t="s">
        <v>72</v>
      </c>
      <c r="M1047" t="s">
        <v>60</v>
      </c>
      <c r="N1047" t="s">
        <v>59</v>
      </c>
      <c r="O1047" t="s">
        <v>59</v>
      </c>
      <c r="P1047" t="s">
        <v>59</v>
      </c>
      <c r="Q1047" t="s">
        <v>59</v>
      </c>
      <c r="R1047" t="s">
        <v>60</v>
      </c>
      <c r="S1047" t="s">
        <v>59</v>
      </c>
      <c r="T1047" t="s">
        <v>59</v>
      </c>
      <c r="U1047" t="s">
        <v>60</v>
      </c>
      <c r="V1047" t="s">
        <v>59</v>
      </c>
      <c r="W1047" t="s">
        <v>59</v>
      </c>
      <c r="X1047" t="s">
        <v>59</v>
      </c>
      <c r="Y1047" t="s">
        <v>59</v>
      </c>
      <c r="Z1047" t="s">
        <v>59</v>
      </c>
      <c r="AA1047" t="s">
        <v>59</v>
      </c>
      <c r="AB1047" t="s">
        <v>61</v>
      </c>
      <c r="AC1047" t="s">
        <v>60</v>
      </c>
      <c r="AD1047" t="s">
        <v>59</v>
      </c>
      <c r="AE1047" t="s">
        <v>60</v>
      </c>
      <c r="AF1047" t="s">
        <v>61</v>
      </c>
      <c r="AG1047" t="s">
        <v>59</v>
      </c>
      <c r="AH1047" t="s">
        <v>61</v>
      </c>
      <c r="AI1047" t="s">
        <v>61</v>
      </c>
      <c r="AJ1047" t="s">
        <v>59</v>
      </c>
      <c r="AK1047" t="s">
        <v>61</v>
      </c>
      <c r="AL1047" t="s">
        <v>60</v>
      </c>
      <c r="AM1047" t="s">
        <v>59</v>
      </c>
      <c r="AN1047" t="s">
        <v>59</v>
      </c>
      <c r="AO1047" t="s">
        <v>59</v>
      </c>
      <c r="AP1047" t="s">
        <v>2568</v>
      </c>
      <c r="AQ1047" t="s">
        <v>2569</v>
      </c>
      <c r="AR1047" t="s">
        <v>64</v>
      </c>
      <c r="AS1047" t="s">
        <v>482</v>
      </c>
      <c r="AT1047" t="s">
        <v>483</v>
      </c>
      <c r="AU1047" t="s">
        <v>387</v>
      </c>
      <c r="AW1047" s="4" t="str">
        <f t="shared" si="563"/>
        <v>0</v>
      </c>
      <c r="AX1047" s="4">
        <f t="shared" si="564"/>
        <v>4</v>
      </c>
      <c r="AY1047" s="4">
        <f t="shared" si="565"/>
        <v>4</v>
      </c>
      <c r="AZ1047" s="4">
        <f t="shared" si="566"/>
        <v>2</v>
      </c>
      <c r="BA1047" s="4">
        <f t="shared" si="567"/>
        <v>4</v>
      </c>
      <c r="BB1047" s="4" t="str">
        <f t="shared" si="568"/>
        <v>0</v>
      </c>
      <c r="BC1047" s="4">
        <f t="shared" si="569"/>
        <v>4</v>
      </c>
      <c r="BD1047" s="4">
        <f t="shared" si="570"/>
        <v>2</v>
      </c>
      <c r="BE1047" s="4" t="str">
        <f t="shared" si="571"/>
        <v>0</v>
      </c>
      <c r="BF1047" s="4">
        <f t="shared" si="572"/>
        <v>2</v>
      </c>
      <c r="BG1047" s="4">
        <f t="shared" si="573"/>
        <v>4</v>
      </c>
      <c r="BH1047" s="4">
        <f t="shared" si="574"/>
        <v>4</v>
      </c>
      <c r="BI1047" s="4">
        <f t="shared" si="575"/>
        <v>4</v>
      </c>
      <c r="BJ1047" s="4">
        <f t="shared" si="576"/>
        <v>2</v>
      </c>
      <c r="BK1047" s="4">
        <f t="shared" si="577"/>
        <v>4</v>
      </c>
      <c r="BL1047" s="4">
        <f t="shared" si="578"/>
        <v>2</v>
      </c>
      <c r="BM1047" s="4" t="str">
        <f t="shared" si="579"/>
        <v>0</v>
      </c>
      <c r="BN1047" s="4">
        <f t="shared" si="580"/>
        <v>4</v>
      </c>
      <c r="BO1047" s="4" t="str">
        <f t="shared" si="581"/>
        <v>0</v>
      </c>
      <c r="BP1047" s="4">
        <f t="shared" si="582"/>
        <v>4</v>
      </c>
      <c r="BQ1047" s="4">
        <f t="shared" si="583"/>
        <v>6</v>
      </c>
      <c r="BR1047" s="4">
        <f t="shared" si="584"/>
        <v>4</v>
      </c>
      <c r="BS1047" s="4">
        <f t="shared" si="585"/>
        <v>4</v>
      </c>
      <c r="BT1047" s="4">
        <f t="shared" si="586"/>
        <v>4</v>
      </c>
      <c r="BU1047" s="4">
        <f t="shared" si="587"/>
        <v>4</v>
      </c>
      <c r="BV1047" s="4" t="str">
        <f t="shared" si="588"/>
        <v>0</v>
      </c>
      <c r="BW1047" s="4">
        <f t="shared" si="589"/>
        <v>6</v>
      </c>
      <c r="BX1047" s="4">
        <f t="shared" si="590"/>
        <v>0</v>
      </c>
      <c r="BY1047" s="4">
        <f t="shared" si="591"/>
        <v>0</v>
      </c>
      <c r="BZ1047" s="37">
        <f t="shared" si="592"/>
        <v>78</v>
      </c>
      <c r="CA1047" s="32" t="str">
        <f>VLOOKUP(J:J,'Agent wise'!A:C,3,0)</f>
        <v>Shakeer</v>
      </c>
      <c r="CB1047" s="32">
        <f t="shared" si="593"/>
        <v>45948</v>
      </c>
      <c r="CC1047" t="str">
        <f t="shared" si="594"/>
        <v>FC</v>
      </c>
      <c r="CE1047" s="32"/>
      <c r="CJ1047">
        <f t="shared" si="595"/>
        <v>18</v>
      </c>
      <c r="CK1047">
        <f t="shared" si="596"/>
        <v>10</v>
      </c>
      <c r="CL1047">
        <f t="shared" si="597"/>
        <v>2025</v>
      </c>
    </row>
    <row r="1048" spans="1:90" ht="15" customHeight="1" x14ac:dyDescent="0.35">
      <c r="A1048" t="s">
        <v>2570</v>
      </c>
      <c r="B1048" t="s">
        <v>100</v>
      </c>
      <c r="C1048" t="s">
        <v>214</v>
      </c>
      <c r="D1048" t="s">
        <v>101</v>
      </c>
      <c r="E1048" s="32">
        <v>45948</v>
      </c>
      <c r="F1048" t="s">
        <v>54</v>
      </c>
      <c r="G1048" t="s">
        <v>2369</v>
      </c>
      <c r="H1048">
        <v>8489466557</v>
      </c>
      <c r="I1048">
        <v>304</v>
      </c>
      <c r="J1048" t="s">
        <v>2552</v>
      </c>
      <c r="K1048" t="s">
        <v>71</v>
      </c>
      <c r="L1048" t="s">
        <v>72</v>
      </c>
      <c r="M1048" t="s">
        <v>59</v>
      </c>
      <c r="N1048" t="s">
        <v>59</v>
      </c>
      <c r="O1048" t="s">
        <v>59</v>
      </c>
      <c r="P1048" t="s">
        <v>59</v>
      </c>
      <c r="Q1048" t="s">
        <v>59</v>
      </c>
      <c r="R1048" t="s">
        <v>60</v>
      </c>
      <c r="S1048" t="s">
        <v>59</v>
      </c>
      <c r="T1048" t="s">
        <v>59</v>
      </c>
      <c r="U1048" t="s">
        <v>60</v>
      </c>
      <c r="V1048" t="s">
        <v>59</v>
      </c>
      <c r="W1048" t="s">
        <v>59</v>
      </c>
      <c r="X1048" t="s">
        <v>61</v>
      </c>
      <c r="Y1048" t="s">
        <v>59</v>
      </c>
      <c r="Z1048" t="s">
        <v>60</v>
      </c>
      <c r="AA1048" t="s">
        <v>60</v>
      </c>
      <c r="AB1048" t="s">
        <v>59</v>
      </c>
      <c r="AC1048" t="s">
        <v>59</v>
      </c>
      <c r="AD1048" t="s">
        <v>59</v>
      </c>
      <c r="AE1048" t="s">
        <v>60</v>
      </c>
      <c r="AF1048" t="s">
        <v>61</v>
      </c>
      <c r="AG1048" t="s">
        <v>60</v>
      </c>
      <c r="AH1048" t="s">
        <v>61</v>
      </c>
      <c r="AI1048" t="s">
        <v>61</v>
      </c>
      <c r="AJ1048" t="s">
        <v>59</v>
      </c>
      <c r="AK1048" t="s">
        <v>61</v>
      </c>
      <c r="AL1048" t="s">
        <v>59</v>
      </c>
      <c r="AM1048" t="s">
        <v>59</v>
      </c>
      <c r="AN1048" t="s">
        <v>59</v>
      </c>
      <c r="AO1048" t="s">
        <v>59</v>
      </c>
      <c r="AP1048" t="s">
        <v>2571</v>
      </c>
      <c r="AQ1048" s="1" t="s">
        <v>2572</v>
      </c>
      <c r="AR1048" t="s">
        <v>64</v>
      </c>
      <c r="AS1048" t="s">
        <v>89</v>
      </c>
      <c r="AT1048" t="s">
        <v>742</v>
      </c>
      <c r="AU1048" t="s">
        <v>387</v>
      </c>
      <c r="AW1048" s="4">
        <f t="shared" si="563"/>
        <v>6</v>
      </c>
      <c r="AX1048" s="4">
        <f t="shared" si="564"/>
        <v>4</v>
      </c>
      <c r="AY1048" s="4">
        <f t="shared" si="565"/>
        <v>4</v>
      </c>
      <c r="AZ1048" s="4">
        <f t="shared" si="566"/>
        <v>2</v>
      </c>
      <c r="BA1048" s="4">
        <f t="shared" si="567"/>
        <v>4</v>
      </c>
      <c r="BB1048" s="4" t="str">
        <f t="shared" si="568"/>
        <v>0</v>
      </c>
      <c r="BC1048" s="4">
        <f t="shared" si="569"/>
        <v>4</v>
      </c>
      <c r="BD1048" s="4">
        <f t="shared" si="570"/>
        <v>2</v>
      </c>
      <c r="BE1048" s="4" t="str">
        <f t="shared" si="571"/>
        <v>0</v>
      </c>
      <c r="BF1048" s="4">
        <f t="shared" si="572"/>
        <v>2</v>
      </c>
      <c r="BG1048" s="4">
        <f t="shared" si="573"/>
        <v>4</v>
      </c>
      <c r="BH1048" s="4">
        <f t="shared" si="574"/>
        <v>4</v>
      </c>
      <c r="BI1048" s="4">
        <f t="shared" si="575"/>
        <v>4</v>
      </c>
      <c r="BJ1048" s="4" t="str">
        <f t="shared" si="576"/>
        <v>0</v>
      </c>
      <c r="BK1048" s="4" t="str">
        <f t="shared" si="577"/>
        <v>0</v>
      </c>
      <c r="BL1048" s="4">
        <f t="shared" si="578"/>
        <v>2</v>
      </c>
      <c r="BM1048" s="4">
        <f t="shared" si="579"/>
        <v>4</v>
      </c>
      <c r="BN1048" s="4">
        <f t="shared" si="580"/>
        <v>4</v>
      </c>
      <c r="BO1048" s="4" t="str">
        <f t="shared" si="581"/>
        <v>0</v>
      </c>
      <c r="BP1048" s="4">
        <f t="shared" si="582"/>
        <v>4</v>
      </c>
      <c r="BQ1048" s="4" t="str">
        <f t="shared" si="583"/>
        <v>0</v>
      </c>
      <c r="BR1048" s="4">
        <f t="shared" si="584"/>
        <v>4</v>
      </c>
      <c r="BS1048" s="4">
        <f t="shared" si="585"/>
        <v>4</v>
      </c>
      <c r="BT1048" s="4">
        <f t="shared" si="586"/>
        <v>4</v>
      </c>
      <c r="BU1048" s="4">
        <f t="shared" si="587"/>
        <v>4</v>
      </c>
      <c r="BV1048" s="4">
        <f t="shared" si="588"/>
        <v>0</v>
      </c>
      <c r="BW1048" s="4">
        <f t="shared" si="589"/>
        <v>6</v>
      </c>
      <c r="BX1048" s="4">
        <f t="shared" si="590"/>
        <v>0</v>
      </c>
      <c r="BY1048" s="4">
        <f t="shared" si="591"/>
        <v>0</v>
      </c>
      <c r="BZ1048" s="37">
        <f t="shared" si="592"/>
        <v>76</v>
      </c>
      <c r="CA1048" s="32" t="e">
        <f>VLOOKUP(J:J,'Agent wise'!A:C,3,0)</f>
        <v>#N/A</v>
      </c>
      <c r="CB1048" s="32">
        <f t="shared" si="593"/>
        <v>45948</v>
      </c>
      <c r="CC1048" t="str">
        <f t="shared" si="594"/>
        <v>FC</v>
      </c>
      <c r="CE1048" s="32"/>
      <c r="CJ1048">
        <f t="shared" si="595"/>
        <v>18</v>
      </c>
      <c r="CK1048">
        <f t="shared" si="596"/>
        <v>10</v>
      </c>
      <c r="CL1048">
        <f t="shared" si="597"/>
        <v>2025</v>
      </c>
    </row>
    <row r="1049" spans="1:90" ht="15" customHeight="1" x14ac:dyDescent="0.35">
      <c r="A1049" t="s">
        <v>2573</v>
      </c>
      <c r="B1049" t="s">
        <v>100</v>
      </c>
      <c r="C1049" t="s">
        <v>214</v>
      </c>
      <c r="D1049" t="s">
        <v>101</v>
      </c>
      <c r="E1049" s="32">
        <v>45948</v>
      </c>
      <c r="F1049" t="s">
        <v>54</v>
      </c>
      <c r="G1049" t="s">
        <v>2369</v>
      </c>
      <c r="H1049">
        <v>9444630475</v>
      </c>
      <c r="I1049">
        <v>214</v>
      </c>
      <c r="J1049" t="s">
        <v>2552</v>
      </c>
      <c r="K1049" t="s">
        <v>71</v>
      </c>
      <c r="L1049" t="s">
        <v>72</v>
      </c>
      <c r="M1049" t="s">
        <v>59</v>
      </c>
      <c r="N1049" t="s">
        <v>59</v>
      </c>
      <c r="O1049" t="s">
        <v>60</v>
      </c>
      <c r="P1049" t="s">
        <v>59</v>
      </c>
      <c r="Q1049" t="s">
        <v>59</v>
      </c>
      <c r="R1049" t="s">
        <v>60</v>
      </c>
      <c r="S1049" t="s">
        <v>59</v>
      </c>
      <c r="T1049" t="s">
        <v>59</v>
      </c>
      <c r="U1049" t="s">
        <v>60</v>
      </c>
      <c r="V1049" t="s">
        <v>59</v>
      </c>
      <c r="W1049" t="s">
        <v>59</v>
      </c>
      <c r="X1049" t="s">
        <v>61</v>
      </c>
      <c r="Y1049" t="s">
        <v>59</v>
      </c>
      <c r="Z1049" t="s">
        <v>59</v>
      </c>
      <c r="AA1049" t="s">
        <v>60</v>
      </c>
      <c r="AB1049" t="s">
        <v>59</v>
      </c>
      <c r="AC1049" t="s">
        <v>59</v>
      </c>
      <c r="AD1049" t="s">
        <v>59</v>
      </c>
      <c r="AE1049" t="s">
        <v>60</v>
      </c>
      <c r="AF1049" t="s">
        <v>61</v>
      </c>
      <c r="AG1049" t="s">
        <v>59</v>
      </c>
      <c r="AH1049" t="s">
        <v>61</v>
      </c>
      <c r="AI1049" t="s">
        <v>61</v>
      </c>
      <c r="AJ1049" t="s">
        <v>59</v>
      </c>
      <c r="AK1049" t="s">
        <v>61</v>
      </c>
      <c r="AL1049" t="s">
        <v>60</v>
      </c>
      <c r="AM1049" t="s">
        <v>59</v>
      </c>
      <c r="AN1049" t="s">
        <v>59</v>
      </c>
      <c r="AO1049" t="s">
        <v>60</v>
      </c>
      <c r="AP1049" t="s">
        <v>2571</v>
      </c>
      <c r="AQ1049" s="1" t="s">
        <v>2574</v>
      </c>
      <c r="AR1049" t="s">
        <v>64</v>
      </c>
      <c r="AS1049" t="s">
        <v>175</v>
      </c>
      <c r="AT1049" t="s">
        <v>1716</v>
      </c>
      <c r="AU1049" t="s">
        <v>299</v>
      </c>
      <c r="AW1049" s="4">
        <f t="shared" si="563"/>
        <v>6</v>
      </c>
      <c r="AX1049" s="4">
        <f t="shared" si="564"/>
        <v>4</v>
      </c>
      <c r="AY1049" s="4" t="str">
        <f t="shared" si="565"/>
        <v>0</v>
      </c>
      <c r="AZ1049" s="4">
        <f t="shared" si="566"/>
        <v>2</v>
      </c>
      <c r="BA1049" s="4">
        <f t="shared" si="567"/>
        <v>4</v>
      </c>
      <c r="BB1049" s="4" t="str">
        <f t="shared" si="568"/>
        <v>0</v>
      </c>
      <c r="BC1049" s="4">
        <f t="shared" si="569"/>
        <v>4</v>
      </c>
      <c r="BD1049" s="4">
        <f t="shared" si="570"/>
        <v>2</v>
      </c>
      <c r="BE1049" s="4" t="str">
        <f t="shared" si="571"/>
        <v>0</v>
      </c>
      <c r="BF1049" s="4">
        <f t="shared" si="572"/>
        <v>2</v>
      </c>
      <c r="BG1049" s="4">
        <f t="shared" si="573"/>
        <v>4</v>
      </c>
      <c r="BH1049" s="4">
        <f t="shared" si="574"/>
        <v>4</v>
      </c>
      <c r="BI1049" s="4">
        <f t="shared" si="575"/>
        <v>4</v>
      </c>
      <c r="BJ1049" s="4">
        <f t="shared" si="576"/>
        <v>2</v>
      </c>
      <c r="BK1049" s="4" t="str">
        <f t="shared" si="577"/>
        <v>0</v>
      </c>
      <c r="BL1049" s="4">
        <f t="shared" si="578"/>
        <v>2</v>
      </c>
      <c r="BM1049" s="4">
        <f t="shared" si="579"/>
        <v>4</v>
      </c>
      <c r="BN1049" s="4">
        <f t="shared" si="580"/>
        <v>4</v>
      </c>
      <c r="BO1049" s="4" t="str">
        <f t="shared" si="581"/>
        <v>0</v>
      </c>
      <c r="BP1049" s="4">
        <f t="shared" si="582"/>
        <v>4</v>
      </c>
      <c r="BQ1049" s="4">
        <f t="shared" si="583"/>
        <v>6</v>
      </c>
      <c r="BR1049" s="4">
        <f t="shared" si="584"/>
        <v>4</v>
      </c>
      <c r="BS1049" s="4">
        <f t="shared" si="585"/>
        <v>4</v>
      </c>
      <c r="BT1049" s="4">
        <f t="shared" si="586"/>
        <v>4</v>
      </c>
      <c r="BU1049" s="4">
        <f t="shared" si="587"/>
        <v>4</v>
      </c>
      <c r="BV1049" s="4" t="str">
        <f t="shared" si="588"/>
        <v>0</v>
      </c>
      <c r="BW1049" s="4">
        <f t="shared" si="589"/>
        <v>6</v>
      </c>
      <c r="BX1049" s="4">
        <f t="shared" si="590"/>
        <v>0</v>
      </c>
      <c r="BY1049" s="4" t="str">
        <f t="shared" si="591"/>
        <v>0</v>
      </c>
      <c r="BZ1049" s="37">
        <f t="shared" si="592"/>
        <v>80</v>
      </c>
      <c r="CA1049" s="32" t="e">
        <f>VLOOKUP(J:J,'Agent wise'!A:C,3,0)</f>
        <v>#N/A</v>
      </c>
      <c r="CB1049" s="32">
        <f t="shared" si="593"/>
        <v>45948</v>
      </c>
      <c r="CC1049" t="str">
        <f t="shared" si="594"/>
        <v>FC</v>
      </c>
      <c r="CE1049" s="32"/>
      <c r="CJ1049">
        <f t="shared" si="595"/>
        <v>18</v>
      </c>
      <c r="CK1049">
        <f t="shared" si="596"/>
        <v>10</v>
      </c>
      <c r="CL1049">
        <f t="shared" si="597"/>
        <v>2025</v>
      </c>
    </row>
    <row r="1050" spans="1:90" ht="15" customHeight="1" x14ac:dyDescent="0.35">
      <c r="A1050" t="s">
        <v>2575</v>
      </c>
      <c r="B1050" t="s">
        <v>51</v>
      </c>
      <c r="C1050" t="s">
        <v>214</v>
      </c>
      <c r="D1050" t="s">
        <v>53</v>
      </c>
      <c r="E1050" s="32">
        <v>45948</v>
      </c>
      <c r="F1050" t="s">
        <v>90</v>
      </c>
      <c r="G1050" t="s">
        <v>2369</v>
      </c>
      <c r="H1050">
        <v>8248811753</v>
      </c>
      <c r="I1050">
        <v>148</v>
      </c>
      <c r="J1050" t="s">
        <v>662</v>
      </c>
      <c r="K1050" t="s">
        <v>71</v>
      </c>
      <c r="L1050" t="s">
        <v>72</v>
      </c>
      <c r="M1050" t="s">
        <v>59</v>
      </c>
      <c r="N1050" t="s">
        <v>59</v>
      </c>
      <c r="O1050" t="s">
        <v>60</v>
      </c>
      <c r="P1050" t="s">
        <v>59</v>
      </c>
      <c r="Q1050" t="s">
        <v>59</v>
      </c>
      <c r="R1050" t="s">
        <v>60</v>
      </c>
      <c r="S1050" t="s">
        <v>59</v>
      </c>
      <c r="T1050" t="s">
        <v>59</v>
      </c>
      <c r="U1050" t="s">
        <v>60</v>
      </c>
      <c r="V1050" t="s">
        <v>59</v>
      </c>
      <c r="W1050" t="s">
        <v>59</v>
      </c>
      <c r="X1050" t="s">
        <v>59</v>
      </c>
      <c r="Y1050" t="s">
        <v>59</v>
      </c>
      <c r="Z1050" t="s">
        <v>59</v>
      </c>
      <c r="AA1050" t="s">
        <v>60</v>
      </c>
      <c r="AB1050" t="s">
        <v>60</v>
      </c>
      <c r="AC1050" t="s">
        <v>61</v>
      </c>
      <c r="AD1050" t="s">
        <v>60</v>
      </c>
      <c r="AE1050" t="s">
        <v>59</v>
      </c>
      <c r="AF1050" t="s">
        <v>61</v>
      </c>
      <c r="AG1050" t="s">
        <v>59</v>
      </c>
      <c r="AH1050" t="s">
        <v>61</v>
      </c>
      <c r="AI1050" t="s">
        <v>61</v>
      </c>
      <c r="AJ1050" t="s">
        <v>59</v>
      </c>
      <c r="AK1050" t="s">
        <v>61</v>
      </c>
      <c r="AL1050" t="s">
        <v>60</v>
      </c>
      <c r="AM1050" t="s">
        <v>59</v>
      </c>
      <c r="AN1050" t="s">
        <v>59</v>
      </c>
      <c r="AO1050" t="s">
        <v>59</v>
      </c>
      <c r="AP1050" t="s">
        <v>2576</v>
      </c>
      <c r="AQ1050" t="s">
        <v>2577</v>
      </c>
      <c r="AR1050" t="s">
        <v>64</v>
      </c>
      <c r="AS1050" t="s">
        <v>94</v>
      </c>
      <c r="AT1050" t="s">
        <v>95</v>
      </c>
      <c r="AU1050" t="s">
        <v>299</v>
      </c>
      <c r="AW1050" s="4">
        <f t="shared" si="563"/>
        <v>6</v>
      </c>
      <c r="AX1050" s="4">
        <f t="shared" si="564"/>
        <v>4</v>
      </c>
      <c r="AY1050" s="4" t="str">
        <f t="shared" si="565"/>
        <v>0</v>
      </c>
      <c r="AZ1050" s="4">
        <f t="shared" si="566"/>
        <v>2</v>
      </c>
      <c r="BA1050" s="4">
        <f t="shared" si="567"/>
        <v>4</v>
      </c>
      <c r="BB1050" s="4" t="str">
        <f t="shared" si="568"/>
        <v>0</v>
      </c>
      <c r="BC1050" s="4">
        <f t="shared" si="569"/>
        <v>4</v>
      </c>
      <c r="BD1050" s="4">
        <f t="shared" si="570"/>
        <v>2</v>
      </c>
      <c r="BE1050" s="4" t="str">
        <f t="shared" si="571"/>
        <v>0</v>
      </c>
      <c r="BF1050" s="4">
        <f t="shared" si="572"/>
        <v>2</v>
      </c>
      <c r="BG1050" s="4">
        <f t="shared" si="573"/>
        <v>4</v>
      </c>
      <c r="BH1050" s="4">
        <f t="shared" si="574"/>
        <v>4</v>
      </c>
      <c r="BI1050" s="4">
        <f t="shared" si="575"/>
        <v>4</v>
      </c>
      <c r="BJ1050" s="4">
        <f t="shared" si="576"/>
        <v>2</v>
      </c>
      <c r="BK1050" s="4" t="str">
        <f t="shared" si="577"/>
        <v>0</v>
      </c>
      <c r="BL1050" s="4" t="str">
        <f t="shared" si="578"/>
        <v>0</v>
      </c>
      <c r="BM1050" s="4">
        <f t="shared" si="579"/>
        <v>4</v>
      </c>
      <c r="BN1050" s="4" t="str">
        <f t="shared" si="580"/>
        <v>0</v>
      </c>
      <c r="BO1050" s="4">
        <f t="shared" si="581"/>
        <v>4</v>
      </c>
      <c r="BP1050" s="4">
        <f t="shared" si="582"/>
        <v>4</v>
      </c>
      <c r="BQ1050" s="4">
        <f t="shared" si="583"/>
        <v>6</v>
      </c>
      <c r="BR1050" s="4">
        <f t="shared" si="584"/>
        <v>4</v>
      </c>
      <c r="BS1050" s="4">
        <f t="shared" si="585"/>
        <v>4</v>
      </c>
      <c r="BT1050" s="4">
        <f t="shared" si="586"/>
        <v>4</v>
      </c>
      <c r="BU1050" s="4">
        <f t="shared" si="587"/>
        <v>4</v>
      </c>
      <c r="BV1050" s="4" t="str">
        <f t="shared" si="588"/>
        <v>0</v>
      </c>
      <c r="BW1050" s="4">
        <f t="shared" si="589"/>
        <v>6</v>
      </c>
      <c r="BX1050" s="4">
        <f t="shared" si="590"/>
        <v>0</v>
      </c>
      <c r="BY1050" s="4">
        <f t="shared" si="591"/>
        <v>0</v>
      </c>
      <c r="BZ1050" s="37">
        <f t="shared" si="592"/>
        <v>78</v>
      </c>
      <c r="CA1050" s="32" t="str">
        <f>VLOOKUP(J:J,'Agent wise'!A:C,3,0)</f>
        <v xml:space="preserve">Shiny </v>
      </c>
      <c r="CB1050" s="32">
        <f t="shared" si="593"/>
        <v>45948</v>
      </c>
      <c r="CC1050" t="str">
        <f t="shared" si="594"/>
        <v>FC</v>
      </c>
      <c r="CE1050" s="32"/>
      <c r="CJ1050">
        <f t="shared" si="595"/>
        <v>18</v>
      </c>
      <c r="CK1050">
        <f t="shared" si="596"/>
        <v>10</v>
      </c>
      <c r="CL1050">
        <f t="shared" si="597"/>
        <v>2025</v>
      </c>
    </row>
    <row r="1051" spans="1:90" ht="15" customHeight="1" x14ac:dyDescent="0.35">
      <c r="A1051" t="s">
        <v>2578</v>
      </c>
      <c r="B1051" t="s">
        <v>250</v>
      </c>
      <c r="C1051" t="s">
        <v>214</v>
      </c>
      <c r="D1051" t="s">
        <v>251</v>
      </c>
      <c r="E1051" s="32">
        <v>45948</v>
      </c>
      <c r="F1051" t="s">
        <v>222</v>
      </c>
      <c r="G1051" t="s">
        <v>2369</v>
      </c>
      <c r="H1051">
        <v>9585295502</v>
      </c>
      <c r="I1051">
        <v>232</v>
      </c>
      <c r="J1051" t="s">
        <v>2555</v>
      </c>
      <c r="K1051" t="s">
        <v>71</v>
      </c>
      <c r="L1051" t="s">
        <v>72</v>
      </c>
      <c r="M1051" t="s">
        <v>60</v>
      </c>
      <c r="N1051" t="s">
        <v>59</v>
      </c>
      <c r="O1051" t="s">
        <v>59</v>
      </c>
      <c r="P1051" t="s">
        <v>59</v>
      </c>
      <c r="Q1051" t="s">
        <v>59</v>
      </c>
      <c r="R1051" t="s">
        <v>59</v>
      </c>
      <c r="S1051" t="s">
        <v>59</v>
      </c>
      <c r="T1051" t="s">
        <v>59</v>
      </c>
      <c r="U1051" t="s">
        <v>60</v>
      </c>
      <c r="V1051" t="s">
        <v>59</v>
      </c>
      <c r="W1051" t="s">
        <v>59</v>
      </c>
      <c r="X1051" t="s">
        <v>59</v>
      </c>
      <c r="Y1051" t="s">
        <v>59</v>
      </c>
      <c r="Z1051" t="s">
        <v>60</v>
      </c>
      <c r="AA1051" t="s">
        <v>60</v>
      </c>
      <c r="AB1051" t="s">
        <v>59</v>
      </c>
      <c r="AC1051" t="s">
        <v>59</v>
      </c>
      <c r="AD1051" t="s">
        <v>59</v>
      </c>
      <c r="AE1051" t="s">
        <v>59</v>
      </c>
      <c r="AF1051" t="s">
        <v>59</v>
      </c>
      <c r="AG1051" t="s">
        <v>59</v>
      </c>
      <c r="AH1051" t="s">
        <v>61</v>
      </c>
      <c r="AI1051" t="s">
        <v>61</v>
      </c>
      <c r="AJ1051" t="s">
        <v>59</v>
      </c>
      <c r="AK1051" t="s">
        <v>59</v>
      </c>
      <c r="AL1051" t="s">
        <v>59</v>
      </c>
      <c r="AM1051" t="s">
        <v>59</v>
      </c>
      <c r="AN1051" t="s">
        <v>59</v>
      </c>
      <c r="AO1051" t="s">
        <v>59</v>
      </c>
      <c r="AP1051" t="s">
        <v>2579</v>
      </c>
      <c r="AQ1051" t="s">
        <v>2580</v>
      </c>
      <c r="AR1051" t="s">
        <v>226</v>
      </c>
      <c r="AS1051" t="s">
        <v>2581</v>
      </c>
      <c r="AT1051" t="s">
        <v>394</v>
      </c>
      <c r="AU1051" t="s">
        <v>219</v>
      </c>
      <c r="AW1051" s="4" t="str">
        <f t="shared" si="563"/>
        <v>0</v>
      </c>
      <c r="AX1051" s="4">
        <f t="shared" si="564"/>
        <v>4</v>
      </c>
      <c r="AY1051" s="4">
        <f t="shared" si="565"/>
        <v>4</v>
      </c>
      <c r="AZ1051" s="4">
        <f t="shared" si="566"/>
        <v>2</v>
      </c>
      <c r="BA1051" s="4">
        <f t="shared" si="567"/>
        <v>4</v>
      </c>
      <c r="BB1051" s="4">
        <f t="shared" si="568"/>
        <v>4</v>
      </c>
      <c r="BC1051" s="4">
        <f t="shared" si="569"/>
        <v>4</v>
      </c>
      <c r="BD1051" s="4">
        <f t="shared" si="570"/>
        <v>2</v>
      </c>
      <c r="BE1051" s="4" t="str">
        <f t="shared" si="571"/>
        <v>0</v>
      </c>
      <c r="BF1051" s="4">
        <f t="shared" si="572"/>
        <v>2</v>
      </c>
      <c r="BG1051" s="4">
        <f t="shared" si="573"/>
        <v>4</v>
      </c>
      <c r="BH1051" s="4">
        <f t="shared" si="574"/>
        <v>4</v>
      </c>
      <c r="BI1051" s="4">
        <f t="shared" si="575"/>
        <v>4</v>
      </c>
      <c r="BJ1051" s="4" t="str">
        <f t="shared" si="576"/>
        <v>0</v>
      </c>
      <c r="BK1051" s="4" t="str">
        <f t="shared" si="577"/>
        <v>0</v>
      </c>
      <c r="BL1051" s="4">
        <f t="shared" si="578"/>
        <v>2</v>
      </c>
      <c r="BM1051" s="4">
        <f t="shared" si="579"/>
        <v>4</v>
      </c>
      <c r="BN1051" s="4">
        <f t="shared" si="580"/>
        <v>4</v>
      </c>
      <c r="BO1051" s="4">
        <f t="shared" si="581"/>
        <v>4</v>
      </c>
      <c r="BP1051" s="4">
        <f t="shared" si="582"/>
        <v>4</v>
      </c>
      <c r="BQ1051" s="4">
        <f t="shared" si="583"/>
        <v>6</v>
      </c>
      <c r="BR1051" s="4">
        <f t="shared" si="584"/>
        <v>4</v>
      </c>
      <c r="BS1051" s="4">
        <f t="shared" si="585"/>
        <v>4</v>
      </c>
      <c r="BT1051" s="4">
        <f t="shared" si="586"/>
        <v>4</v>
      </c>
      <c r="BU1051" s="4">
        <f t="shared" si="587"/>
        <v>4</v>
      </c>
      <c r="BV1051" s="4">
        <f t="shared" si="588"/>
        <v>0</v>
      </c>
      <c r="BW1051" s="4">
        <f t="shared" si="589"/>
        <v>6</v>
      </c>
      <c r="BX1051" s="4">
        <f t="shared" si="590"/>
        <v>0</v>
      </c>
      <c r="BY1051" s="4">
        <f t="shared" si="591"/>
        <v>0</v>
      </c>
      <c r="BZ1051" s="37">
        <f t="shared" si="592"/>
        <v>84</v>
      </c>
      <c r="CA1051" s="32" t="e">
        <f>VLOOKUP(J:J,'Agent wise'!A:C,3,0)</f>
        <v>#N/A</v>
      </c>
      <c r="CB1051" s="32">
        <f t="shared" si="593"/>
        <v>45948</v>
      </c>
      <c r="CC1051" t="str">
        <f t="shared" si="594"/>
        <v>FC</v>
      </c>
      <c r="CE1051" s="32"/>
      <c r="CJ1051">
        <f t="shared" si="595"/>
        <v>18</v>
      </c>
      <c r="CK1051">
        <f t="shared" si="596"/>
        <v>10</v>
      </c>
      <c r="CL1051">
        <f t="shared" si="597"/>
        <v>2025</v>
      </c>
    </row>
    <row r="1052" spans="1:90" ht="15" customHeight="1" x14ac:dyDescent="0.35">
      <c r="A1052" t="s">
        <v>2582</v>
      </c>
      <c r="B1052" t="s">
        <v>250</v>
      </c>
      <c r="C1052" t="s">
        <v>214</v>
      </c>
      <c r="D1052" t="s">
        <v>251</v>
      </c>
      <c r="E1052" s="32">
        <v>45947</v>
      </c>
      <c r="F1052" t="s">
        <v>222</v>
      </c>
      <c r="G1052" t="s">
        <v>2369</v>
      </c>
      <c r="H1052">
        <v>4222572200</v>
      </c>
      <c r="I1052">
        <v>336</v>
      </c>
      <c r="J1052" t="s">
        <v>2555</v>
      </c>
      <c r="K1052" t="s">
        <v>71</v>
      </c>
      <c r="L1052" t="s">
        <v>72</v>
      </c>
      <c r="M1052" t="s">
        <v>59</v>
      </c>
      <c r="N1052" t="s">
        <v>59</v>
      </c>
      <c r="O1052" t="s">
        <v>59</v>
      </c>
      <c r="P1052" t="s">
        <v>59</v>
      </c>
      <c r="Q1052" t="s">
        <v>59</v>
      </c>
      <c r="R1052" t="s">
        <v>59</v>
      </c>
      <c r="S1052" t="s">
        <v>59</v>
      </c>
      <c r="T1052" t="s">
        <v>59</v>
      </c>
      <c r="U1052" t="s">
        <v>60</v>
      </c>
      <c r="V1052" t="s">
        <v>59</v>
      </c>
      <c r="W1052" t="s">
        <v>59</v>
      </c>
      <c r="X1052" t="s">
        <v>59</v>
      </c>
      <c r="Y1052" t="s">
        <v>59</v>
      </c>
      <c r="Z1052" t="s">
        <v>59</v>
      </c>
      <c r="AA1052" t="s">
        <v>60</v>
      </c>
      <c r="AB1052" t="s">
        <v>59</v>
      </c>
      <c r="AC1052" t="s">
        <v>59</v>
      </c>
      <c r="AD1052" t="s">
        <v>59</v>
      </c>
      <c r="AE1052" t="s">
        <v>59</v>
      </c>
      <c r="AF1052" t="s">
        <v>59</v>
      </c>
      <c r="AG1052" t="s">
        <v>59</v>
      </c>
      <c r="AH1052" t="s">
        <v>61</v>
      </c>
      <c r="AI1052" t="s">
        <v>61</v>
      </c>
      <c r="AJ1052" t="s">
        <v>59</v>
      </c>
      <c r="AK1052" t="s">
        <v>59</v>
      </c>
      <c r="AL1052" t="s">
        <v>60</v>
      </c>
      <c r="AM1052" t="s">
        <v>59</v>
      </c>
      <c r="AN1052" t="s">
        <v>59</v>
      </c>
      <c r="AO1052" t="s">
        <v>59</v>
      </c>
      <c r="AP1052" t="s">
        <v>2583</v>
      </c>
      <c r="AQ1052" t="s">
        <v>2584</v>
      </c>
      <c r="AR1052" t="s">
        <v>64</v>
      </c>
      <c r="AS1052" t="s">
        <v>2512</v>
      </c>
      <c r="AT1052" t="s">
        <v>2512</v>
      </c>
      <c r="AU1052" t="s">
        <v>219</v>
      </c>
      <c r="AW1052" s="4">
        <f t="shared" si="563"/>
        <v>6</v>
      </c>
      <c r="AX1052" s="4">
        <f t="shared" si="564"/>
        <v>4</v>
      </c>
      <c r="AY1052" s="4">
        <f t="shared" si="565"/>
        <v>4</v>
      </c>
      <c r="AZ1052" s="4">
        <f t="shared" si="566"/>
        <v>2</v>
      </c>
      <c r="BA1052" s="4">
        <f t="shared" si="567"/>
        <v>4</v>
      </c>
      <c r="BB1052" s="4">
        <f t="shared" si="568"/>
        <v>4</v>
      </c>
      <c r="BC1052" s="4">
        <f t="shared" si="569"/>
        <v>4</v>
      </c>
      <c r="BD1052" s="4">
        <f t="shared" si="570"/>
        <v>2</v>
      </c>
      <c r="BE1052" s="4" t="str">
        <f t="shared" si="571"/>
        <v>0</v>
      </c>
      <c r="BF1052" s="4">
        <f t="shared" si="572"/>
        <v>2</v>
      </c>
      <c r="BG1052" s="4">
        <f t="shared" si="573"/>
        <v>4</v>
      </c>
      <c r="BH1052" s="4">
        <f t="shared" si="574"/>
        <v>4</v>
      </c>
      <c r="BI1052" s="4">
        <f t="shared" si="575"/>
        <v>4</v>
      </c>
      <c r="BJ1052" s="4">
        <f t="shared" si="576"/>
        <v>2</v>
      </c>
      <c r="BK1052" s="4" t="str">
        <f t="shared" si="577"/>
        <v>0</v>
      </c>
      <c r="BL1052" s="4">
        <f t="shared" si="578"/>
        <v>2</v>
      </c>
      <c r="BM1052" s="4">
        <f t="shared" si="579"/>
        <v>4</v>
      </c>
      <c r="BN1052" s="4">
        <f t="shared" si="580"/>
        <v>4</v>
      </c>
      <c r="BO1052" s="4">
        <f t="shared" si="581"/>
        <v>4</v>
      </c>
      <c r="BP1052" s="4">
        <f t="shared" si="582"/>
        <v>4</v>
      </c>
      <c r="BQ1052" s="4">
        <f t="shared" si="583"/>
        <v>6</v>
      </c>
      <c r="BR1052" s="4">
        <f t="shared" si="584"/>
        <v>4</v>
      </c>
      <c r="BS1052" s="4">
        <f t="shared" si="585"/>
        <v>4</v>
      </c>
      <c r="BT1052" s="4">
        <f t="shared" si="586"/>
        <v>4</v>
      </c>
      <c r="BU1052" s="4">
        <f t="shared" si="587"/>
        <v>4</v>
      </c>
      <c r="BV1052" s="4" t="str">
        <f t="shared" si="588"/>
        <v>0</v>
      </c>
      <c r="BW1052" s="4">
        <f t="shared" si="589"/>
        <v>6</v>
      </c>
      <c r="BX1052" s="4">
        <f t="shared" si="590"/>
        <v>0</v>
      </c>
      <c r="BY1052" s="4">
        <f t="shared" si="591"/>
        <v>0</v>
      </c>
      <c r="BZ1052" s="37">
        <f t="shared" si="592"/>
        <v>92</v>
      </c>
      <c r="CA1052" s="32" t="e">
        <f>VLOOKUP(J:J,'Agent wise'!A:C,3,0)</f>
        <v>#N/A</v>
      </c>
      <c r="CB1052" s="32">
        <f t="shared" si="593"/>
        <v>45947</v>
      </c>
      <c r="CC1052" t="str">
        <f t="shared" si="594"/>
        <v>Good</v>
      </c>
      <c r="CE1052" s="32"/>
      <c r="CJ1052">
        <f t="shared" si="595"/>
        <v>17</v>
      </c>
      <c r="CK1052">
        <f t="shared" si="596"/>
        <v>10</v>
      </c>
      <c r="CL1052">
        <f t="shared" si="597"/>
        <v>2025</v>
      </c>
    </row>
    <row r="1053" spans="1:90" ht="15" customHeight="1" x14ac:dyDescent="0.35">
      <c r="A1053" t="s">
        <v>2585</v>
      </c>
      <c r="B1053" t="s">
        <v>100</v>
      </c>
      <c r="C1053" t="s">
        <v>214</v>
      </c>
      <c r="D1053" t="s">
        <v>101</v>
      </c>
      <c r="E1053" s="32">
        <v>45948</v>
      </c>
      <c r="F1053" t="s">
        <v>54</v>
      </c>
      <c r="G1053" t="s">
        <v>2369</v>
      </c>
      <c r="H1053">
        <v>9446011776</v>
      </c>
      <c r="I1053">
        <v>311</v>
      </c>
      <c r="J1053" t="s">
        <v>2586</v>
      </c>
      <c r="K1053" t="s">
        <v>57</v>
      </c>
      <c r="L1053" t="s">
        <v>58</v>
      </c>
      <c r="M1053" t="s">
        <v>59</v>
      </c>
      <c r="N1053" t="s">
        <v>59</v>
      </c>
      <c r="O1053" t="s">
        <v>59</v>
      </c>
      <c r="P1053" t="s">
        <v>59</v>
      </c>
      <c r="Q1053" t="s">
        <v>59</v>
      </c>
      <c r="R1053" t="s">
        <v>60</v>
      </c>
      <c r="S1053" t="s">
        <v>60</v>
      </c>
      <c r="T1053" t="s">
        <v>60</v>
      </c>
      <c r="U1053" t="s">
        <v>60</v>
      </c>
      <c r="V1053" t="s">
        <v>60</v>
      </c>
      <c r="W1053" t="s">
        <v>59</v>
      </c>
      <c r="X1053" t="s">
        <v>59</v>
      </c>
      <c r="Y1053" t="s">
        <v>59</v>
      </c>
      <c r="Z1053" t="s">
        <v>60</v>
      </c>
      <c r="AA1053" t="s">
        <v>60</v>
      </c>
      <c r="AB1053" t="s">
        <v>59</v>
      </c>
      <c r="AC1053" t="s">
        <v>60</v>
      </c>
      <c r="AD1053" t="s">
        <v>60</v>
      </c>
      <c r="AE1053" t="s">
        <v>59</v>
      </c>
      <c r="AF1053" t="s">
        <v>61</v>
      </c>
      <c r="AG1053" t="s">
        <v>60</v>
      </c>
      <c r="AH1053" t="s">
        <v>61</v>
      </c>
      <c r="AI1053" t="s">
        <v>61</v>
      </c>
      <c r="AJ1053" t="s">
        <v>61</v>
      </c>
      <c r="AK1053" t="s">
        <v>61</v>
      </c>
      <c r="AL1053" t="s">
        <v>60</v>
      </c>
      <c r="AM1053" t="s">
        <v>2271</v>
      </c>
      <c r="AN1053" t="s">
        <v>60</v>
      </c>
      <c r="AO1053" t="s">
        <v>60</v>
      </c>
      <c r="AP1053" t="s">
        <v>2587</v>
      </c>
      <c r="AQ1053" s="1" t="s">
        <v>2588</v>
      </c>
      <c r="AR1053" t="s">
        <v>64</v>
      </c>
      <c r="AS1053" t="s">
        <v>352</v>
      </c>
      <c r="AT1053" t="s">
        <v>352</v>
      </c>
      <c r="AU1053" t="s">
        <v>299</v>
      </c>
      <c r="AW1053" s="4">
        <f t="shared" si="563"/>
        <v>6</v>
      </c>
      <c r="AX1053" s="4">
        <f t="shared" si="564"/>
        <v>4</v>
      </c>
      <c r="AY1053" s="4">
        <f t="shared" si="565"/>
        <v>4</v>
      </c>
      <c r="AZ1053" s="4">
        <f t="shared" si="566"/>
        <v>2</v>
      </c>
      <c r="BA1053" s="4">
        <f t="shared" si="567"/>
        <v>4</v>
      </c>
      <c r="BB1053" s="4" t="str">
        <f t="shared" si="568"/>
        <v>0</v>
      </c>
      <c r="BC1053" s="4" t="str">
        <f t="shared" si="569"/>
        <v>0</v>
      </c>
      <c r="BD1053" s="4" t="str">
        <f t="shared" si="570"/>
        <v>0</v>
      </c>
      <c r="BE1053" s="4" t="str">
        <f t="shared" si="571"/>
        <v>0</v>
      </c>
      <c r="BF1053" s="4" t="str">
        <f t="shared" si="572"/>
        <v>0</v>
      </c>
      <c r="BG1053" s="4">
        <f t="shared" si="573"/>
        <v>4</v>
      </c>
      <c r="BH1053" s="4">
        <f t="shared" si="574"/>
        <v>4</v>
      </c>
      <c r="BI1053" s="4">
        <f t="shared" si="575"/>
        <v>4</v>
      </c>
      <c r="BJ1053" s="4" t="str">
        <f t="shared" si="576"/>
        <v>0</v>
      </c>
      <c r="BK1053" s="4" t="str">
        <f t="shared" si="577"/>
        <v>0</v>
      </c>
      <c r="BL1053" s="4">
        <f t="shared" si="578"/>
        <v>2</v>
      </c>
      <c r="BM1053" s="4" t="str">
        <f t="shared" si="579"/>
        <v>0</v>
      </c>
      <c r="BN1053" s="4" t="str">
        <f t="shared" si="580"/>
        <v>0</v>
      </c>
      <c r="BO1053" s="4">
        <f t="shared" si="581"/>
        <v>4</v>
      </c>
      <c r="BP1053" s="4">
        <f t="shared" si="582"/>
        <v>4</v>
      </c>
      <c r="BQ1053" s="4" t="str">
        <f t="shared" si="583"/>
        <v>0</v>
      </c>
      <c r="BR1053" s="4">
        <f t="shared" si="584"/>
        <v>4</v>
      </c>
      <c r="BS1053" s="4">
        <f t="shared" si="585"/>
        <v>4</v>
      </c>
      <c r="BT1053" s="4">
        <f t="shared" si="586"/>
        <v>4</v>
      </c>
      <c r="BU1053" s="4">
        <f t="shared" si="587"/>
        <v>4</v>
      </c>
      <c r="BV1053" s="4" t="str">
        <f t="shared" si="588"/>
        <v>0</v>
      </c>
      <c r="BW1053" s="4" t="str">
        <f t="shared" si="589"/>
        <v>0</v>
      </c>
      <c r="BX1053" s="4" t="str">
        <f t="shared" si="590"/>
        <v>0</v>
      </c>
      <c r="BY1053" s="4" t="str">
        <f t="shared" si="591"/>
        <v>0</v>
      </c>
      <c r="BZ1053" s="37">
        <f t="shared" si="592"/>
        <v>58</v>
      </c>
      <c r="CA1053" s="32" t="e">
        <f>VLOOKUP(J:J,'Agent wise'!A:C,3,0)</f>
        <v>#N/A</v>
      </c>
      <c r="CB1053" s="32">
        <f t="shared" si="593"/>
        <v>45948</v>
      </c>
      <c r="CC1053" t="str">
        <f t="shared" si="594"/>
        <v>FC</v>
      </c>
      <c r="CE1053" s="32"/>
      <c r="CJ1053">
        <f t="shared" si="595"/>
        <v>18</v>
      </c>
      <c r="CK1053">
        <f t="shared" si="596"/>
        <v>10</v>
      </c>
      <c r="CL1053">
        <f t="shared" si="597"/>
        <v>2025</v>
      </c>
    </row>
    <row r="1054" spans="1:90" ht="15" customHeight="1" x14ac:dyDescent="0.35">
      <c r="A1054" t="s">
        <v>2589</v>
      </c>
      <c r="B1054" t="s">
        <v>250</v>
      </c>
      <c r="C1054" t="s">
        <v>214</v>
      </c>
      <c r="D1054" t="s">
        <v>251</v>
      </c>
      <c r="E1054" s="32">
        <v>45948</v>
      </c>
      <c r="F1054" t="s">
        <v>54</v>
      </c>
      <c r="G1054" t="s">
        <v>2490</v>
      </c>
      <c r="H1054">
        <v>8903441594</v>
      </c>
      <c r="I1054">
        <v>158</v>
      </c>
      <c r="J1054" t="s">
        <v>2590</v>
      </c>
      <c r="K1054" t="s">
        <v>71</v>
      </c>
      <c r="L1054" t="s">
        <v>72</v>
      </c>
      <c r="M1054" t="s">
        <v>59</v>
      </c>
      <c r="N1054" t="s">
        <v>59</v>
      </c>
      <c r="O1054" t="s">
        <v>60</v>
      </c>
      <c r="P1054" t="s">
        <v>59</v>
      </c>
      <c r="Q1054" t="s">
        <v>59</v>
      </c>
      <c r="R1054" t="s">
        <v>59</v>
      </c>
      <c r="S1054" t="s">
        <v>59</v>
      </c>
      <c r="T1054" t="s">
        <v>59</v>
      </c>
      <c r="U1054" t="s">
        <v>60</v>
      </c>
      <c r="V1054" t="s">
        <v>59</v>
      </c>
      <c r="W1054" t="s">
        <v>59</v>
      </c>
      <c r="X1054" t="s">
        <v>59</v>
      </c>
      <c r="Y1054" t="s">
        <v>59</v>
      </c>
      <c r="Z1054" t="s">
        <v>59</v>
      </c>
      <c r="AA1054" t="s">
        <v>60</v>
      </c>
      <c r="AB1054" t="s">
        <v>59</v>
      </c>
      <c r="AC1054" t="s">
        <v>60</v>
      </c>
      <c r="AD1054" t="s">
        <v>59</v>
      </c>
      <c r="AE1054" t="s">
        <v>59</v>
      </c>
      <c r="AF1054" t="s">
        <v>59</v>
      </c>
      <c r="AG1054" t="s">
        <v>59</v>
      </c>
      <c r="AH1054" t="s">
        <v>61</v>
      </c>
      <c r="AI1054" t="s">
        <v>61</v>
      </c>
      <c r="AJ1054" t="s">
        <v>59</v>
      </c>
      <c r="AK1054" t="s">
        <v>59</v>
      </c>
      <c r="AL1054" t="s">
        <v>60</v>
      </c>
      <c r="AM1054" t="s">
        <v>59</v>
      </c>
      <c r="AN1054" t="s">
        <v>59</v>
      </c>
      <c r="AO1054" t="s">
        <v>59</v>
      </c>
      <c r="AP1054" t="s">
        <v>2591</v>
      </c>
      <c r="AQ1054" t="s">
        <v>2592</v>
      </c>
      <c r="AR1054" t="s">
        <v>64</v>
      </c>
      <c r="AS1054" t="s">
        <v>255</v>
      </c>
      <c r="AT1054" t="s">
        <v>834</v>
      </c>
      <c r="AU1054" t="s">
        <v>219</v>
      </c>
      <c r="AW1054" s="4">
        <f t="shared" si="563"/>
        <v>6</v>
      </c>
      <c r="AX1054" s="4">
        <f t="shared" si="564"/>
        <v>4</v>
      </c>
      <c r="AY1054" s="4" t="str">
        <f t="shared" si="565"/>
        <v>0</v>
      </c>
      <c r="AZ1054" s="4">
        <f t="shared" si="566"/>
        <v>2</v>
      </c>
      <c r="BA1054" s="4">
        <f t="shared" si="567"/>
        <v>4</v>
      </c>
      <c r="BB1054" s="4">
        <f t="shared" si="568"/>
        <v>4</v>
      </c>
      <c r="BC1054" s="4">
        <f t="shared" si="569"/>
        <v>4</v>
      </c>
      <c r="BD1054" s="4">
        <f t="shared" si="570"/>
        <v>2</v>
      </c>
      <c r="BE1054" s="4" t="str">
        <f t="shared" si="571"/>
        <v>0</v>
      </c>
      <c r="BF1054" s="4">
        <f t="shared" si="572"/>
        <v>2</v>
      </c>
      <c r="BG1054" s="4">
        <f t="shared" si="573"/>
        <v>4</v>
      </c>
      <c r="BH1054" s="4">
        <f t="shared" si="574"/>
        <v>4</v>
      </c>
      <c r="BI1054" s="4">
        <f t="shared" si="575"/>
        <v>4</v>
      </c>
      <c r="BJ1054" s="4">
        <f t="shared" si="576"/>
        <v>2</v>
      </c>
      <c r="BK1054" s="4" t="str">
        <f t="shared" si="577"/>
        <v>0</v>
      </c>
      <c r="BL1054" s="4">
        <f t="shared" si="578"/>
        <v>2</v>
      </c>
      <c r="BM1054" s="4" t="str">
        <f t="shared" si="579"/>
        <v>0</v>
      </c>
      <c r="BN1054" s="4">
        <f t="shared" si="580"/>
        <v>4</v>
      </c>
      <c r="BO1054" s="4">
        <f t="shared" si="581"/>
        <v>4</v>
      </c>
      <c r="BP1054" s="4">
        <f t="shared" si="582"/>
        <v>4</v>
      </c>
      <c r="BQ1054" s="4">
        <f t="shared" si="583"/>
        <v>6</v>
      </c>
      <c r="BR1054" s="4">
        <f t="shared" si="584"/>
        <v>4</v>
      </c>
      <c r="BS1054" s="4">
        <f t="shared" si="585"/>
        <v>4</v>
      </c>
      <c r="BT1054" s="4">
        <f t="shared" si="586"/>
        <v>4</v>
      </c>
      <c r="BU1054" s="4">
        <f t="shared" si="587"/>
        <v>4</v>
      </c>
      <c r="BV1054" s="4" t="str">
        <f t="shared" si="588"/>
        <v>0</v>
      </c>
      <c r="BW1054" s="4">
        <f t="shared" si="589"/>
        <v>6</v>
      </c>
      <c r="BX1054" s="4">
        <f t="shared" si="590"/>
        <v>0</v>
      </c>
      <c r="BY1054" s="4">
        <f t="shared" si="591"/>
        <v>0</v>
      </c>
      <c r="BZ1054" s="37">
        <f t="shared" si="592"/>
        <v>84</v>
      </c>
      <c r="CA1054" s="32" t="e">
        <f>VLOOKUP(J:J,'Agent wise'!A:C,3,0)</f>
        <v>#N/A</v>
      </c>
      <c r="CB1054" s="32">
        <f t="shared" si="593"/>
        <v>45948</v>
      </c>
      <c r="CC1054" t="str">
        <f t="shared" si="594"/>
        <v>FC</v>
      </c>
      <c r="CE1054" s="32"/>
      <c r="CJ1054">
        <f t="shared" si="595"/>
        <v>18</v>
      </c>
      <c r="CK1054">
        <f t="shared" si="596"/>
        <v>10</v>
      </c>
      <c r="CL1054">
        <f t="shared" si="597"/>
        <v>2025</v>
      </c>
    </row>
    <row r="1055" spans="1:90" ht="15" customHeight="1" x14ac:dyDescent="0.35">
      <c r="A1055" t="s">
        <v>2593</v>
      </c>
      <c r="B1055" t="s">
        <v>100</v>
      </c>
      <c r="C1055" t="s">
        <v>214</v>
      </c>
      <c r="D1055" t="s">
        <v>101</v>
      </c>
      <c r="E1055" s="32">
        <v>45948</v>
      </c>
      <c r="F1055" t="s">
        <v>54</v>
      </c>
      <c r="G1055" t="s">
        <v>2369</v>
      </c>
      <c r="H1055">
        <v>8078938582</v>
      </c>
      <c r="I1055">
        <v>250</v>
      </c>
      <c r="J1055" t="s">
        <v>2586</v>
      </c>
      <c r="K1055" t="s">
        <v>71</v>
      </c>
      <c r="L1055" t="s">
        <v>72</v>
      </c>
      <c r="M1055" t="s">
        <v>59</v>
      </c>
      <c r="N1055" t="s">
        <v>59</v>
      </c>
      <c r="O1055" t="s">
        <v>59</v>
      </c>
      <c r="P1055" t="s">
        <v>59</v>
      </c>
      <c r="Q1055" t="s">
        <v>59</v>
      </c>
      <c r="R1055" t="s">
        <v>60</v>
      </c>
      <c r="S1055" t="s">
        <v>60</v>
      </c>
      <c r="T1055" t="s">
        <v>59</v>
      </c>
      <c r="U1055" t="s">
        <v>60</v>
      </c>
      <c r="V1055" t="s">
        <v>60</v>
      </c>
      <c r="W1055" t="s">
        <v>60</v>
      </c>
      <c r="X1055" t="s">
        <v>61</v>
      </c>
      <c r="Y1055" t="s">
        <v>59</v>
      </c>
      <c r="Z1055" t="s">
        <v>59</v>
      </c>
      <c r="AA1055" t="s">
        <v>60</v>
      </c>
      <c r="AB1055" t="s">
        <v>59</v>
      </c>
      <c r="AC1055" t="s">
        <v>60</v>
      </c>
      <c r="AD1055" t="s">
        <v>60</v>
      </c>
      <c r="AE1055" t="s">
        <v>60</v>
      </c>
      <c r="AF1055" t="s">
        <v>61</v>
      </c>
      <c r="AG1055" t="s">
        <v>60</v>
      </c>
      <c r="AH1055" t="s">
        <v>61</v>
      </c>
      <c r="AI1055" t="s">
        <v>61</v>
      </c>
      <c r="AJ1055" t="s">
        <v>59</v>
      </c>
      <c r="AK1055" t="s">
        <v>61</v>
      </c>
      <c r="AL1055" t="s">
        <v>60</v>
      </c>
      <c r="AM1055" t="s">
        <v>59</v>
      </c>
      <c r="AN1055" t="s">
        <v>59</v>
      </c>
      <c r="AO1055" t="s">
        <v>60</v>
      </c>
      <c r="AP1055" t="s">
        <v>2587</v>
      </c>
      <c r="AQ1055" s="1" t="s">
        <v>2594</v>
      </c>
      <c r="AR1055" t="s">
        <v>64</v>
      </c>
      <c r="AS1055" t="s">
        <v>89</v>
      </c>
      <c r="AT1055" t="s">
        <v>293</v>
      </c>
      <c r="AU1055" t="s">
        <v>387</v>
      </c>
      <c r="AW1055" s="4">
        <f t="shared" si="563"/>
        <v>6</v>
      </c>
      <c r="AX1055" s="4">
        <f t="shared" si="564"/>
        <v>4</v>
      </c>
      <c r="AY1055" s="4">
        <f t="shared" si="565"/>
        <v>4</v>
      </c>
      <c r="AZ1055" s="4">
        <f t="shared" si="566"/>
        <v>2</v>
      </c>
      <c r="BA1055" s="4">
        <f t="shared" si="567"/>
        <v>4</v>
      </c>
      <c r="BB1055" s="4" t="str">
        <f t="shared" si="568"/>
        <v>0</v>
      </c>
      <c r="BC1055" s="4" t="str">
        <f t="shared" si="569"/>
        <v>0</v>
      </c>
      <c r="BD1055" s="4">
        <f t="shared" si="570"/>
        <v>2</v>
      </c>
      <c r="BE1055" s="4" t="str">
        <f t="shared" si="571"/>
        <v>0</v>
      </c>
      <c r="BF1055" s="4" t="str">
        <f t="shared" si="572"/>
        <v>0</v>
      </c>
      <c r="BG1055" s="4" t="str">
        <f t="shared" si="573"/>
        <v>0</v>
      </c>
      <c r="BH1055" s="4">
        <f t="shared" si="574"/>
        <v>4</v>
      </c>
      <c r="BI1055" s="4">
        <f t="shared" si="575"/>
        <v>4</v>
      </c>
      <c r="BJ1055" s="4">
        <f t="shared" si="576"/>
        <v>2</v>
      </c>
      <c r="BK1055" s="4" t="str">
        <f t="shared" si="577"/>
        <v>0</v>
      </c>
      <c r="BL1055" s="4">
        <f t="shared" si="578"/>
        <v>2</v>
      </c>
      <c r="BM1055" s="4" t="str">
        <f t="shared" si="579"/>
        <v>0</v>
      </c>
      <c r="BN1055" s="4" t="str">
        <f t="shared" si="580"/>
        <v>0</v>
      </c>
      <c r="BO1055" s="4" t="str">
        <f t="shared" si="581"/>
        <v>0</v>
      </c>
      <c r="BP1055" s="4">
        <f t="shared" si="582"/>
        <v>4</v>
      </c>
      <c r="BQ1055" s="4" t="str">
        <f t="shared" si="583"/>
        <v>0</v>
      </c>
      <c r="BR1055" s="4">
        <f t="shared" si="584"/>
        <v>4</v>
      </c>
      <c r="BS1055" s="4">
        <f t="shared" si="585"/>
        <v>4</v>
      </c>
      <c r="BT1055" s="4">
        <f t="shared" si="586"/>
        <v>4</v>
      </c>
      <c r="BU1055" s="4">
        <f t="shared" si="587"/>
        <v>4</v>
      </c>
      <c r="BV1055" s="4" t="str">
        <f t="shared" si="588"/>
        <v>0</v>
      </c>
      <c r="BW1055" s="4">
        <f t="shared" si="589"/>
        <v>6</v>
      </c>
      <c r="BX1055" s="4">
        <f t="shared" si="590"/>
        <v>0</v>
      </c>
      <c r="BY1055" s="4" t="str">
        <f t="shared" si="591"/>
        <v>0</v>
      </c>
      <c r="BZ1055" s="37">
        <f t="shared" si="592"/>
        <v>60</v>
      </c>
      <c r="CA1055" s="32" t="e">
        <f>VLOOKUP(J:J,'Agent wise'!A:C,3,0)</f>
        <v>#N/A</v>
      </c>
      <c r="CB1055" s="32">
        <f t="shared" si="593"/>
        <v>45948</v>
      </c>
      <c r="CC1055" t="str">
        <f t="shared" si="594"/>
        <v>FC</v>
      </c>
      <c r="CE1055" s="32"/>
      <c r="CJ1055">
        <f t="shared" si="595"/>
        <v>18</v>
      </c>
      <c r="CK1055">
        <f t="shared" si="596"/>
        <v>10</v>
      </c>
      <c r="CL1055">
        <f t="shared" si="597"/>
        <v>2025</v>
      </c>
    </row>
    <row r="1056" spans="1:90" ht="15" customHeight="1" x14ac:dyDescent="0.35">
      <c r="A1056" t="s">
        <v>2595</v>
      </c>
      <c r="B1056" t="s">
        <v>250</v>
      </c>
      <c r="C1056" t="s">
        <v>214</v>
      </c>
      <c r="D1056" t="s">
        <v>251</v>
      </c>
      <c r="E1056" s="32">
        <v>45947</v>
      </c>
      <c r="F1056" t="s">
        <v>54</v>
      </c>
      <c r="G1056" t="s">
        <v>2369</v>
      </c>
      <c r="H1056">
        <v>8883932421</v>
      </c>
      <c r="I1056">
        <v>171</v>
      </c>
      <c r="J1056" t="s">
        <v>2596</v>
      </c>
      <c r="K1056" t="s">
        <v>71</v>
      </c>
      <c r="L1056" t="s">
        <v>72</v>
      </c>
      <c r="M1056" t="s">
        <v>59</v>
      </c>
      <c r="N1056" t="s">
        <v>59</v>
      </c>
      <c r="O1056" t="s">
        <v>59</v>
      </c>
      <c r="P1056" t="s">
        <v>59</v>
      </c>
      <c r="Q1056" t="s">
        <v>59</v>
      </c>
      <c r="R1056" t="s">
        <v>59</v>
      </c>
      <c r="S1056" t="s">
        <v>59</v>
      </c>
      <c r="T1056" t="s">
        <v>59</v>
      </c>
      <c r="U1056" t="s">
        <v>60</v>
      </c>
      <c r="V1056" t="s">
        <v>59</v>
      </c>
      <c r="W1056" t="s">
        <v>59</v>
      </c>
      <c r="X1056" t="s">
        <v>59</v>
      </c>
      <c r="Y1056" t="s">
        <v>59</v>
      </c>
      <c r="Z1056" t="s">
        <v>60</v>
      </c>
      <c r="AA1056" t="s">
        <v>60</v>
      </c>
      <c r="AB1056" t="s">
        <v>59</v>
      </c>
      <c r="AC1056" t="s">
        <v>59</v>
      </c>
      <c r="AD1056" t="s">
        <v>59</v>
      </c>
      <c r="AE1056" t="s">
        <v>59</v>
      </c>
      <c r="AF1056" t="s">
        <v>59</v>
      </c>
      <c r="AG1056" t="s">
        <v>59</v>
      </c>
      <c r="AH1056" t="s">
        <v>61</v>
      </c>
      <c r="AI1056" t="s">
        <v>59</v>
      </c>
      <c r="AJ1056" t="s">
        <v>59</v>
      </c>
      <c r="AK1056" t="s">
        <v>59</v>
      </c>
      <c r="AL1056" t="s">
        <v>60</v>
      </c>
      <c r="AM1056" t="s">
        <v>59</v>
      </c>
      <c r="AN1056" t="s">
        <v>59</v>
      </c>
      <c r="AO1056" t="s">
        <v>59</v>
      </c>
      <c r="AP1056" t="s">
        <v>2597</v>
      </c>
      <c r="AQ1056" t="s">
        <v>2598</v>
      </c>
      <c r="AR1056" t="s">
        <v>64</v>
      </c>
      <c r="AS1056" t="s">
        <v>417</v>
      </c>
      <c r="AT1056" t="s">
        <v>418</v>
      </c>
      <c r="AU1056" t="s">
        <v>219</v>
      </c>
      <c r="AW1056" s="4">
        <f t="shared" si="563"/>
        <v>6</v>
      </c>
      <c r="AX1056" s="4">
        <f t="shared" si="564"/>
        <v>4</v>
      </c>
      <c r="AY1056" s="4">
        <f t="shared" si="565"/>
        <v>4</v>
      </c>
      <c r="AZ1056" s="4">
        <f t="shared" si="566"/>
        <v>2</v>
      </c>
      <c r="BA1056" s="4">
        <f t="shared" si="567"/>
        <v>4</v>
      </c>
      <c r="BB1056" s="4">
        <f t="shared" si="568"/>
        <v>4</v>
      </c>
      <c r="BC1056" s="4">
        <f t="shared" si="569"/>
        <v>4</v>
      </c>
      <c r="BD1056" s="4">
        <f t="shared" si="570"/>
        <v>2</v>
      </c>
      <c r="BE1056" s="4" t="str">
        <f t="shared" si="571"/>
        <v>0</v>
      </c>
      <c r="BF1056" s="4">
        <f t="shared" si="572"/>
        <v>2</v>
      </c>
      <c r="BG1056" s="4">
        <f t="shared" si="573"/>
        <v>4</v>
      </c>
      <c r="BH1056" s="4">
        <f t="shared" si="574"/>
        <v>4</v>
      </c>
      <c r="BI1056" s="4">
        <f t="shared" si="575"/>
        <v>4</v>
      </c>
      <c r="BJ1056" s="4" t="str">
        <f t="shared" si="576"/>
        <v>0</v>
      </c>
      <c r="BK1056" s="4" t="str">
        <f t="shared" si="577"/>
        <v>0</v>
      </c>
      <c r="BL1056" s="4">
        <f t="shared" si="578"/>
        <v>2</v>
      </c>
      <c r="BM1056" s="4">
        <f t="shared" si="579"/>
        <v>4</v>
      </c>
      <c r="BN1056" s="4">
        <f t="shared" si="580"/>
        <v>4</v>
      </c>
      <c r="BO1056" s="4">
        <f t="shared" si="581"/>
        <v>4</v>
      </c>
      <c r="BP1056" s="4">
        <f t="shared" si="582"/>
        <v>4</v>
      </c>
      <c r="BQ1056" s="4">
        <f t="shared" si="583"/>
        <v>6</v>
      </c>
      <c r="BR1056" s="4">
        <f t="shared" si="584"/>
        <v>4</v>
      </c>
      <c r="BS1056" s="4">
        <f t="shared" si="585"/>
        <v>4</v>
      </c>
      <c r="BT1056" s="4">
        <f t="shared" si="586"/>
        <v>4</v>
      </c>
      <c r="BU1056" s="4">
        <f t="shared" si="587"/>
        <v>4</v>
      </c>
      <c r="BV1056" s="4" t="str">
        <f t="shared" si="588"/>
        <v>0</v>
      </c>
      <c r="BW1056" s="4">
        <f t="shared" si="589"/>
        <v>6</v>
      </c>
      <c r="BX1056" s="4">
        <f t="shared" si="590"/>
        <v>0</v>
      </c>
      <c r="BY1056" s="4">
        <f t="shared" si="591"/>
        <v>0</v>
      </c>
      <c r="BZ1056" s="37">
        <f t="shared" si="592"/>
        <v>90</v>
      </c>
      <c r="CA1056" s="32" t="e">
        <f>VLOOKUP(J:J,'Agent wise'!A:C,3,0)</f>
        <v>#N/A</v>
      </c>
      <c r="CB1056" s="32">
        <f t="shared" si="593"/>
        <v>45947</v>
      </c>
      <c r="CC1056" t="str">
        <f t="shared" si="594"/>
        <v>Good</v>
      </c>
      <c r="CE1056" s="32"/>
      <c r="CJ1056">
        <f t="shared" si="595"/>
        <v>17</v>
      </c>
      <c r="CK1056">
        <f t="shared" si="596"/>
        <v>10</v>
      </c>
      <c r="CL1056">
        <f t="shared" si="597"/>
        <v>2025</v>
      </c>
    </row>
    <row r="1057" spans="1:90" ht="15" customHeight="1" x14ac:dyDescent="0.35">
      <c r="A1057" t="s">
        <v>2599</v>
      </c>
      <c r="B1057" t="s">
        <v>250</v>
      </c>
      <c r="C1057" t="s">
        <v>214</v>
      </c>
      <c r="D1057" t="s">
        <v>251</v>
      </c>
      <c r="E1057" s="32">
        <v>45948</v>
      </c>
      <c r="F1057" t="s">
        <v>54</v>
      </c>
      <c r="G1057" t="s">
        <v>2369</v>
      </c>
      <c r="H1057">
        <v>9488377910</v>
      </c>
      <c r="I1057">
        <v>154</v>
      </c>
      <c r="J1057" t="s">
        <v>2596</v>
      </c>
      <c r="K1057" t="s">
        <v>71</v>
      </c>
      <c r="L1057" t="s">
        <v>72</v>
      </c>
      <c r="M1057" t="s">
        <v>59</v>
      </c>
      <c r="N1057" t="s">
        <v>59</v>
      </c>
      <c r="O1057" t="s">
        <v>60</v>
      </c>
      <c r="P1057" t="s">
        <v>59</v>
      </c>
      <c r="Q1057" t="s">
        <v>59</v>
      </c>
      <c r="R1057" t="s">
        <v>60</v>
      </c>
      <c r="S1057" t="s">
        <v>59</v>
      </c>
      <c r="T1057" t="s">
        <v>59</v>
      </c>
      <c r="U1057" t="s">
        <v>60</v>
      </c>
      <c r="V1057" t="s">
        <v>59</v>
      </c>
      <c r="W1057" t="s">
        <v>59</v>
      </c>
      <c r="X1057" t="s">
        <v>59</v>
      </c>
      <c r="Y1057" t="s">
        <v>59</v>
      </c>
      <c r="Z1057" t="s">
        <v>59</v>
      </c>
      <c r="AA1057" t="s">
        <v>59</v>
      </c>
      <c r="AB1057" t="s">
        <v>59</v>
      </c>
      <c r="AC1057" t="s">
        <v>59</v>
      </c>
      <c r="AD1057" t="s">
        <v>59</v>
      </c>
      <c r="AE1057" t="s">
        <v>59</v>
      </c>
      <c r="AF1057" t="s">
        <v>59</v>
      </c>
      <c r="AG1057" t="s">
        <v>60</v>
      </c>
      <c r="AH1057" t="s">
        <v>61</v>
      </c>
      <c r="AI1057" t="s">
        <v>61</v>
      </c>
      <c r="AJ1057" t="s">
        <v>59</v>
      </c>
      <c r="AK1057" t="s">
        <v>59</v>
      </c>
      <c r="AL1057" t="s">
        <v>59</v>
      </c>
      <c r="AM1057" t="s">
        <v>59</v>
      </c>
      <c r="AN1057" t="s">
        <v>59</v>
      </c>
      <c r="AO1057" t="s">
        <v>59</v>
      </c>
      <c r="AP1057" t="s">
        <v>2600</v>
      </c>
      <c r="AQ1057" t="s">
        <v>2601</v>
      </c>
      <c r="AR1057" t="s">
        <v>64</v>
      </c>
      <c r="AS1057" t="s">
        <v>417</v>
      </c>
      <c r="AT1057" t="s">
        <v>418</v>
      </c>
      <c r="AU1057" t="s">
        <v>593</v>
      </c>
      <c r="AW1057" s="4">
        <f t="shared" si="563"/>
        <v>6</v>
      </c>
      <c r="AX1057" s="4">
        <f t="shared" si="564"/>
        <v>4</v>
      </c>
      <c r="AY1057" s="4" t="str">
        <f t="shared" si="565"/>
        <v>0</v>
      </c>
      <c r="AZ1057" s="4">
        <f t="shared" si="566"/>
        <v>2</v>
      </c>
      <c r="BA1057" s="4">
        <f t="shared" si="567"/>
        <v>4</v>
      </c>
      <c r="BB1057" s="4" t="str">
        <f t="shared" si="568"/>
        <v>0</v>
      </c>
      <c r="BC1057" s="4">
        <f t="shared" si="569"/>
        <v>4</v>
      </c>
      <c r="BD1057" s="4">
        <f t="shared" si="570"/>
        <v>2</v>
      </c>
      <c r="BE1057" s="4" t="str">
        <f t="shared" si="571"/>
        <v>0</v>
      </c>
      <c r="BF1057" s="4">
        <f t="shared" si="572"/>
        <v>2</v>
      </c>
      <c r="BG1057" s="4">
        <f t="shared" si="573"/>
        <v>4</v>
      </c>
      <c r="BH1057" s="4">
        <f t="shared" si="574"/>
        <v>4</v>
      </c>
      <c r="BI1057" s="4">
        <f t="shared" si="575"/>
        <v>4</v>
      </c>
      <c r="BJ1057" s="4">
        <f t="shared" si="576"/>
        <v>2</v>
      </c>
      <c r="BK1057" s="4">
        <f t="shared" si="577"/>
        <v>4</v>
      </c>
      <c r="BL1057" s="4">
        <f t="shared" si="578"/>
        <v>2</v>
      </c>
      <c r="BM1057" s="4">
        <f t="shared" si="579"/>
        <v>4</v>
      </c>
      <c r="BN1057" s="4">
        <f t="shared" si="580"/>
        <v>4</v>
      </c>
      <c r="BO1057" s="4">
        <f t="shared" si="581"/>
        <v>4</v>
      </c>
      <c r="BP1057" s="4">
        <f t="shared" si="582"/>
        <v>4</v>
      </c>
      <c r="BQ1057" s="4" t="str">
        <f t="shared" si="583"/>
        <v>0</v>
      </c>
      <c r="BR1057" s="4">
        <f t="shared" si="584"/>
        <v>4</v>
      </c>
      <c r="BS1057" s="4">
        <f t="shared" si="585"/>
        <v>4</v>
      </c>
      <c r="BT1057" s="4">
        <f t="shared" si="586"/>
        <v>4</v>
      </c>
      <c r="BU1057" s="4">
        <f t="shared" si="587"/>
        <v>4</v>
      </c>
      <c r="BV1057" s="4">
        <f t="shared" si="588"/>
        <v>0</v>
      </c>
      <c r="BW1057" s="4">
        <f t="shared" si="589"/>
        <v>6</v>
      </c>
      <c r="BX1057" s="4">
        <f t="shared" si="590"/>
        <v>0</v>
      </c>
      <c r="BY1057" s="4">
        <f t="shared" si="591"/>
        <v>0</v>
      </c>
      <c r="BZ1057" s="37">
        <f t="shared" si="592"/>
        <v>82</v>
      </c>
      <c r="CA1057" s="32" t="e">
        <f>VLOOKUP(J:J,'Agent wise'!A:C,3,0)</f>
        <v>#N/A</v>
      </c>
      <c r="CB1057" s="32">
        <f t="shared" si="593"/>
        <v>45948</v>
      </c>
      <c r="CC1057" t="str">
        <f t="shared" si="594"/>
        <v>FC</v>
      </c>
      <c r="CE1057" s="32"/>
      <c r="CJ1057">
        <f t="shared" si="595"/>
        <v>18</v>
      </c>
      <c r="CK1057">
        <f t="shared" si="596"/>
        <v>10</v>
      </c>
      <c r="CL1057">
        <f t="shared" si="597"/>
        <v>2025</v>
      </c>
    </row>
    <row r="1058" spans="1:90" ht="15" customHeight="1" x14ac:dyDescent="0.35">
      <c r="A1058" t="s">
        <v>2602</v>
      </c>
      <c r="B1058" t="s">
        <v>100</v>
      </c>
      <c r="C1058" t="s">
        <v>214</v>
      </c>
      <c r="D1058" t="s">
        <v>101</v>
      </c>
      <c r="E1058" s="32">
        <v>45948</v>
      </c>
      <c r="F1058" t="s">
        <v>54</v>
      </c>
      <c r="G1058" t="s">
        <v>2369</v>
      </c>
      <c r="H1058">
        <v>9447066886</v>
      </c>
      <c r="I1058">
        <v>138</v>
      </c>
      <c r="J1058" t="s">
        <v>2586</v>
      </c>
      <c r="K1058" t="s">
        <v>57</v>
      </c>
      <c r="L1058" t="s">
        <v>58</v>
      </c>
      <c r="M1058" t="s">
        <v>59</v>
      </c>
      <c r="N1058" t="s">
        <v>59</v>
      </c>
      <c r="O1058" t="s">
        <v>60</v>
      </c>
      <c r="P1058" t="s">
        <v>59</v>
      </c>
      <c r="Q1058" t="s">
        <v>60</v>
      </c>
      <c r="R1058" t="s">
        <v>60</v>
      </c>
      <c r="S1058" t="s">
        <v>60</v>
      </c>
      <c r="T1058" t="s">
        <v>60</v>
      </c>
      <c r="U1058" t="s">
        <v>60</v>
      </c>
      <c r="V1058" t="s">
        <v>59</v>
      </c>
      <c r="W1058" t="s">
        <v>59</v>
      </c>
      <c r="X1058" t="s">
        <v>60</v>
      </c>
      <c r="Y1058" t="s">
        <v>59</v>
      </c>
      <c r="Z1058" t="s">
        <v>59</v>
      </c>
      <c r="AA1058" t="s">
        <v>60</v>
      </c>
      <c r="AB1058" t="s">
        <v>60</v>
      </c>
      <c r="AC1058" t="s">
        <v>59</v>
      </c>
      <c r="AD1058" t="s">
        <v>60</v>
      </c>
      <c r="AE1058" t="s">
        <v>60</v>
      </c>
      <c r="AF1058" t="s">
        <v>61</v>
      </c>
      <c r="AG1058" t="s">
        <v>60</v>
      </c>
      <c r="AH1058" t="s">
        <v>61</v>
      </c>
      <c r="AI1058" t="s">
        <v>61</v>
      </c>
      <c r="AJ1058" t="s">
        <v>61</v>
      </c>
      <c r="AK1058" t="s">
        <v>61</v>
      </c>
      <c r="AL1058" t="s">
        <v>60</v>
      </c>
      <c r="AM1058" t="s">
        <v>59</v>
      </c>
      <c r="AN1058" t="s">
        <v>59</v>
      </c>
      <c r="AO1058" t="s">
        <v>60</v>
      </c>
      <c r="AP1058" t="s">
        <v>2587</v>
      </c>
      <c r="AQ1058" s="1" t="s">
        <v>2603</v>
      </c>
      <c r="AR1058" t="s">
        <v>64</v>
      </c>
      <c r="AS1058" t="s">
        <v>135</v>
      </c>
      <c r="AT1058" t="s">
        <v>136</v>
      </c>
      <c r="AU1058" t="s">
        <v>448</v>
      </c>
      <c r="AW1058" s="4">
        <f t="shared" si="563"/>
        <v>6</v>
      </c>
      <c r="AX1058" s="4">
        <f t="shared" si="564"/>
        <v>4</v>
      </c>
      <c r="AY1058" s="4" t="str">
        <f t="shared" si="565"/>
        <v>0</v>
      </c>
      <c r="AZ1058" s="4">
        <f t="shared" si="566"/>
        <v>2</v>
      </c>
      <c r="BA1058" s="4" t="str">
        <f t="shared" si="567"/>
        <v>0</v>
      </c>
      <c r="BB1058" s="4" t="str">
        <f t="shared" si="568"/>
        <v>0</v>
      </c>
      <c r="BC1058" s="4" t="str">
        <f t="shared" si="569"/>
        <v>0</v>
      </c>
      <c r="BD1058" s="4" t="str">
        <f t="shared" si="570"/>
        <v>0</v>
      </c>
      <c r="BE1058" s="4" t="str">
        <f t="shared" si="571"/>
        <v>0</v>
      </c>
      <c r="BF1058" s="4">
        <f t="shared" si="572"/>
        <v>2</v>
      </c>
      <c r="BG1058" s="4">
        <f t="shared" si="573"/>
        <v>4</v>
      </c>
      <c r="BH1058" s="4" t="str">
        <f t="shared" si="574"/>
        <v>0</v>
      </c>
      <c r="BI1058" s="4">
        <f t="shared" si="575"/>
        <v>4</v>
      </c>
      <c r="BJ1058" s="4">
        <f t="shared" si="576"/>
        <v>2</v>
      </c>
      <c r="BK1058" s="4" t="str">
        <f t="shared" si="577"/>
        <v>0</v>
      </c>
      <c r="BL1058" s="4" t="str">
        <f t="shared" si="578"/>
        <v>0</v>
      </c>
      <c r="BM1058" s="4">
        <f t="shared" si="579"/>
        <v>4</v>
      </c>
      <c r="BN1058" s="4" t="str">
        <f t="shared" si="580"/>
        <v>0</v>
      </c>
      <c r="BO1058" s="4" t="str">
        <f t="shared" si="581"/>
        <v>0</v>
      </c>
      <c r="BP1058" s="4">
        <f t="shared" si="582"/>
        <v>4</v>
      </c>
      <c r="BQ1058" s="4" t="str">
        <f t="shared" si="583"/>
        <v>0</v>
      </c>
      <c r="BR1058" s="4">
        <f t="shared" si="584"/>
        <v>4</v>
      </c>
      <c r="BS1058" s="4">
        <f t="shared" si="585"/>
        <v>4</v>
      </c>
      <c r="BT1058" s="4">
        <f t="shared" si="586"/>
        <v>4</v>
      </c>
      <c r="BU1058" s="4">
        <f t="shared" si="587"/>
        <v>4</v>
      </c>
      <c r="BV1058" s="4" t="str">
        <f t="shared" si="588"/>
        <v>0</v>
      </c>
      <c r="BW1058" s="4">
        <f t="shared" si="589"/>
        <v>6</v>
      </c>
      <c r="BX1058" s="4">
        <f t="shared" si="590"/>
        <v>0</v>
      </c>
      <c r="BY1058" s="4" t="str">
        <f t="shared" si="591"/>
        <v>0</v>
      </c>
      <c r="BZ1058" s="37">
        <f t="shared" si="592"/>
        <v>54</v>
      </c>
      <c r="CA1058" s="32" t="e">
        <f>VLOOKUP(J:J,'Agent wise'!A:C,3,0)</f>
        <v>#N/A</v>
      </c>
      <c r="CB1058" s="32">
        <f t="shared" si="593"/>
        <v>45948</v>
      </c>
      <c r="CC1058" t="str">
        <f t="shared" si="594"/>
        <v>FC</v>
      </c>
      <c r="CE1058" s="32"/>
      <c r="CJ1058">
        <f t="shared" si="595"/>
        <v>18</v>
      </c>
      <c r="CK1058">
        <f t="shared" si="596"/>
        <v>10</v>
      </c>
      <c r="CL1058">
        <f t="shared" si="597"/>
        <v>2025</v>
      </c>
    </row>
    <row r="1059" spans="1:90" ht="15" customHeight="1" x14ac:dyDescent="0.35">
      <c r="A1059" t="s">
        <v>2604</v>
      </c>
      <c r="B1059" t="s">
        <v>250</v>
      </c>
      <c r="C1059" t="s">
        <v>214</v>
      </c>
      <c r="D1059" t="s">
        <v>251</v>
      </c>
      <c r="E1059" s="32">
        <v>45948</v>
      </c>
      <c r="F1059" t="s">
        <v>222</v>
      </c>
      <c r="G1059" t="s">
        <v>2369</v>
      </c>
      <c r="H1059">
        <v>9562330784</v>
      </c>
      <c r="I1059">
        <v>213</v>
      </c>
      <c r="J1059" t="s">
        <v>2596</v>
      </c>
      <c r="K1059" t="s">
        <v>57</v>
      </c>
      <c r="L1059" t="s">
        <v>58</v>
      </c>
      <c r="M1059" t="s">
        <v>59</v>
      </c>
      <c r="N1059" t="s">
        <v>59</v>
      </c>
      <c r="O1059" t="s">
        <v>59</v>
      </c>
      <c r="P1059" t="s">
        <v>59</v>
      </c>
      <c r="Q1059" t="s">
        <v>59</v>
      </c>
      <c r="R1059" t="s">
        <v>59</v>
      </c>
      <c r="S1059" t="s">
        <v>59</v>
      </c>
      <c r="T1059" t="s">
        <v>59</v>
      </c>
      <c r="U1059" t="s">
        <v>60</v>
      </c>
      <c r="V1059" t="s">
        <v>59</v>
      </c>
      <c r="W1059" t="s">
        <v>59</v>
      </c>
      <c r="X1059" t="s">
        <v>59</v>
      </c>
      <c r="Y1059" t="s">
        <v>59</v>
      </c>
      <c r="Z1059" t="s">
        <v>59</v>
      </c>
      <c r="AA1059" t="s">
        <v>60</v>
      </c>
      <c r="AB1059" t="s">
        <v>59</v>
      </c>
      <c r="AC1059" t="s">
        <v>59</v>
      </c>
      <c r="AD1059" t="s">
        <v>59</v>
      </c>
      <c r="AE1059" t="s">
        <v>59</v>
      </c>
      <c r="AF1059" t="s">
        <v>59</v>
      </c>
      <c r="AG1059" t="s">
        <v>59</v>
      </c>
      <c r="AH1059" t="s">
        <v>61</v>
      </c>
      <c r="AI1059" t="s">
        <v>59</v>
      </c>
      <c r="AJ1059" t="s">
        <v>59</v>
      </c>
      <c r="AK1059" t="s">
        <v>59</v>
      </c>
      <c r="AL1059" t="s">
        <v>60</v>
      </c>
      <c r="AM1059" t="s">
        <v>59</v>
      </c>
      <c r="AN1059" t="s">
        <v>59</v>
      </c>
      <c r="AO1059" t="s">
        <v>59</v>
      </c>
      <c r="AP1059" t="s">
        <v>2605</v>
      </c>
      <c r="AQ1059" t="s">
        <v>2606</v>
      </c>
      <c r="AR1059" t="s">
        <v>226</v>
      </c>
      <c r="AS1059" t="s">
        <v>2607</v>
      </c>
      <c r="AT1059" t="s">
        <v>2607</v>
      </c>
      <c r="AU1059" t="s">
        <v>219</v>
      </c>
      <c r="AW1059" s="4">
        <f t="shared" si="563"/>
        <v>6</v>
      </c>
      <c r="AX1059" s="4">
        <f t="shared" si="564"/>
        <v>4</v>
      </c>
      <c r="AY1059" s="4">
        <f t="shared" si="565"/>
        <v>4</v>
      </c>
      <c r="AZ1059" s="4">
        <f t="shared" si="566"/>
        <v>2</v>
      </c>
      <c r="BA1059" s="4">
        <f t="shared" si="567"/>
        <v>4</v>
      </c>
      <c r="BB1059" s="4">
        <f t="shared" si="568"/>
        <v>4</v>
      </c>
      <c r="BC1059" s="4">
        <f t="shared" si="569"/>
        <v>4</v>
      </c>
      <c r="BD1059" s="4">
        <f t="shared" si="570"/>
        <v>2</v>
      </c>
      <c r="BE1059" s="4" t="str">
        <f t="shared" si="571"/>
        <v>0</v>
      </c>
      <c r="BF1059" s="4">
        <f t="shared" si="572"/>
        <v>2</v>
      </c>
      <c r="BG1059" s="4">
        <f t="shared" si="573"/>
        <v>4</v>
      </c>
      <c r="BH1059" s="4">
        <f t="shared" si="574"/>
        <v>4</v>
      </c>
      <c r="BI1059" s="4">
        <f t="shared" si="575"/>
        <v>4</v>
      </c>
      <c r="BJ1059" s="4">
        <f t="shared" si="576"/>
        <v>2</v>
      </c>
      <c r="BK1059" s="4" t="str">
        <f t="shared" si="577"/>
        <v>0</v>
      </c>
      <c r="BL1059" s="4">
        <f t="shared" si="578"/>
        <v>2</v>
      </c>
      <c r="BM1059" s="4">
        <f t="shared" si="579"/>
        <v>4</v>
      </c>
      <c r="BN1059" s="4">
        <f t="shared" si="580"/>
        <v>4</v>
      </c>
      <c r="BO1059" s="4">
        <f t="shared" si="581"/>
        <v>4</v>
      </c>
      <c r="BP1059" s="4">
        <f t="shared" si="582"/>
        <v>4</v>
      </c>
      <c r="BQ1059" s="4">
        <f t="shared" si="583"/>
        <v>6</v>
      </c>
      <c r="BR1059" s="4">
        <f t="shared" si="584"/>
        <v>4</v>
      </c>
      <c r="BS1059" s="4">
        <f t="shared" si="585"/>
        <v>4</v>
      </c>
      <c r="BT1059" s="4">
        <f t="shared" si="586"/>
        <v>4</v>
      </c>
      <c r="BU1059" s="4">
        <f t="shared" si="587"/>
        <v>4</v>
      </c>
      <c r="BV1059" s="4" t="str">
        <f t="shared" si="588"/>
        <v>0</v>
      </c>
      <c r="BW1059" s="4">
        <f t="shared" si="589"/>
        <v>6</v>
      </c>
      <c r="BX1059" s="4">
        <f t="shared" si="590"/>
        <v>0</v>
      </c>
      <c r="BY1059" s="4">
        <f t="shared" si="591"/>
        <v>0</v>
      </c>
      <c r="BZ1059" s="37">
        <f t="shared" si="592"/>
        <v>92</v>
      </c>
      <c r="CA1059" s="32" t="e">
        <f>VLOOKUP(J:J,'Agent wise'!A:C,3,0)</f>
        <v>#N/A</v>
      </c>
      <c r="CB1059" s="32">
        <f t="shared" si="593"/>
        <v>45948</v>
      </c>
      <c r="CC1059" t="str">
        <f t="shared" si="594"/>
        <v>Good</v>
      </c>
      <c r="CE1059" s="32"/>
      <c r="CJ1059">
        <f t="shared" si="595"/>
        <v>18</v>
      </c>
      <c r="CK1059">
        <f t="shared" si="596"/>
        <v>10</v>
      </c>
      <c r="CL1059">
        <f t="shared" si="597"/>
        <v>2025</v>
      </c>
    </row>
    <row r="1060" spans="1:90" ht="15" customHeight="1" x14ac:dyDescent="0.35">
      <c r="A1060" t="s">
        <v>2608</v>
      </c>
      <c r="B1060" t="s">
        <v>250</v>
      </c>
      <c r="C1060" t="s">
        <v>214</v>
      </c>
      <c r="D1060" t="s">
        <v>251</v>
      </c>
      <c r="E1060" s="32">
        <v>45948</v>
      </c>
      <c r="F1060" t="s">
        <v>222</v>
      </c>
      <c r="G1060" t="s">
        <v>2369</v>
      </c>
      <c r="H1060">
        <v>8220724923</v>
      </c>
      <c r="I1060">
        <v>251</v>
      </c>
      <c r="J1060" t="s">
        <v>2596</v>
      </c>
      <c r="K1060" t="s">
        <v>71</v>
      </c>
      <c r="L1060" t="s">
        <v>72</v>
      </c>
      <c r="M1060" t="s">
        <v>59</v>
      </c>
      <c r="N1060" t="s">
        <v>59</v>
      </c>
      <c r="O1060" t="s">
        <v>59</v>
      </c>
      <c r="P1060" t="s">
        <v>59</v>
      </c>
      <c r="Q1060" t="s">
        <v>59</v>
      </c>
      <c r="R1060" t="s">
        <v>59</v>
      </c>
      <c r="S1060" t="s">
        <v>59</v>
      </c>
      <c r="T1060" t="s">
        <v>59</v>
      </c>
      <c r="U1060" t="s">
        <v>60</v>
      </c>
      <c r="V1060" t="s">
        <v>59</v>
      </c>
      <c r="W1060" t="s">
        <v>59</v>
      </c>
      <c r="X1060" t="s">
        <v>59</v>
      </c>
      <c r="Y1060" t="s">
        <v>59</v>
      </c>
      <c r="Z1060" t="s">
        <v>59</v>
      </c>
      <c r="AA1060" t="s">
        <v>60</v>
      </c>
      <c r="AB1060" t="s">
        <v>60</v>
      </c>
      <c r="AC1060" t="s">
        <v>59</v>
      </c>
      <c r="AD1060" t="s">
        <v>59</v>
      </c>
      <c r="AE1060" t="s">
        <v>59</v>
      </c>
      <c r="AF1060" t="s">
        <v>59</v>
      </c>
      <c r="AG1060" t="s">
        <v>59</v>
      </c>
      <c r="AH1060" t="s">
        <v>61</v>
      </c>
      <c r="AI1060" t="s">
        <v>61</v>
      </c>
      <c r="AJ1060" t="s">
        <v>59</v>
      </c>
      <c r="AK1060" t="s">
        <v>59</v>
      </c>
      <c r="AL1060" t="s">
        <v>60</v>
      </c>
      <c r="AM1060" t="s">
        <v>59</v>
      </c>
      <c r="AN1060" t="s">
        <v>59</v>
      </c>
      <c r="AO1060" t="s">
        <v>59</v>
      </c>
      <c r="AP1060" t="s">
        <v>2609</v>
      </c>
      <c r="AQ1060" t="s">
        <v>2610</v>
      </c>
      <c r="AR1060" t="s">
        <v>226</v>
      </c>
      <c r="AS1060" t="s">
        <v>2611</v>
      </c>
      <c r="AT1060" t="s">
        <v>404</v>
      </c>
      <c r="AU1060" t="s">
        <v>219</v>
      </c>
      <c r="AW1060" s="4">
        <f t="shared" si="563"/>
        <v>6</v>
      </c>
      <c r="AX1060" s="4">
        <f t="shared" si="564"/>
        <v>4</v>
      </c>
      <c r="AY1060" s="4">
        <f t="shared" si="565"/>
        <v>4</v>
      </c>
      <c r="AZ1060" s="4">
        <f t="shared" si="566"/>
        <v>2</v>
      </c>
      <c r="BA1060" s="4">
        <f t="shared" si="567"/>
        <v>4</v>
      </c>
      <c r="BB1060" s="4">
        <f t="shared" si="568"/>
        <v>4</v>
      </c>
      <c r="BC1060" s="4">
        <f t="shared" si="569"/>
        <v>4</v>
      </c>
      <c r="BD1060" s="4">
        <f t="shared" si="570"/>
        <v>2</v>
      </c>
      <c r="BE1060" s="4" t="str">
        <f t="shared" si="571"/>
        <v>0</v>
      </c>
      <c r="BF1060" s="4">
        <f t="shared" si="572"/>
        <v>2</v>
      </c>
      <c r="BG1060" s="4">
        <f t="shared" si="573"/>
        <v>4</v>
      </c>
      <c r="BH1060" s="4">
        <f t="shared" si="574"/>
        <v>4</v>
      </c>
      <c r="BI1060" s="4">
        <f t="shared" si="575"/>
        <v>4</v>
      </c>
      <c r="BJ1060" s="4">
        <f t="shared" si="576"/>
        <v>2</v>
      </c>
      <c r="BK1060" s="4" t="str">
        <f t="shared" si="577"/>
        <v>0</v>
      </c>
      <c r="BL1060" s="4" t="str">
        <f t="shared" si="578"/>
        <v>0</v>
      </c>
      <c r="BM1060" s="4">
        <f t="shared" si="579"/>
        <v>4</v>
      </c>
      <c r="BN1060" s="4">
        <f t="shared" si="580"/>
        <v>4</v>
      </c>
      <c r="BO1060" s="4">
        <f t="shared" si="581"/>
        <v>4</v>
      </c>
      <c r="BP1060" s="4">
        <f t="shared" si="582"/>
        <v>4</v>
      </c>
      <c r="BQ1060" s="4">
        <f t="shared" si="583"/>
        <v>6</v>
      </c>
      <c r="BR1060" s="4">
        <f t="shared" si="584"/>
        <v>4</v>
      </c>
      <c r="BS1060" s="4">
        <f t="shared" si="585"/>
        <v>4</v>
      </c>
      <c r="BT1060" s="4">
        <f t="shared" si="586"/>
        <v>4</v>
      </c>
      <c r="BU1060" s="4">
        <f t="shared" si="587"/>
        <v>4</v>
      </c>
      <c r="BV1060" s="4" t="str">
        <f t="shared" si="588"/>
        <v>0</v>
      </c>
      <c r="BW1060" s="4">
        <f t="shared" si="589"/>
        <v>6</v>
      </c>
      <c r="BX1060" s="4">
        <f t="shared" si="590"/>
        <v>0</v>
      </c>
      <c r="BY1060" s="4">
        <f t="shared" si="591"/>
        <v>0</v>
      </c>
      <c r="BZ1060" s="37">
        <f t="shared" si="592"/>
        <v>90</v>
      </c>
      <c r="CA1060" s="32" t="e">
        <f>VLOOKUP(J:J,'Agent wise'!A:C,3,0)</f>
        <v>#N/A</v>
      </c>
      <c r="CB1060" s="32">
        <f t="shared" si="593"/>
        <v>45948</v>
      </c>
      <c r="CC1060" t="str">
        <f t="shared" si="594"/>
        <v>Good</v>
      </c>
      <c r="CE1060" s="32"/>
      <c r="CJ1060">
        <f t="shared" si="595"/>
        <v>18</v>
      </c>
      <c r="CK1060">
        <f t="shared" si="596"/>
        <v>10</v>
      </c>
      <c r="CL1060">
        <f t="shared" si="597"/>
        <v>2025</v>
      </c>
    </row>
    <row r="1061" spans="1:90" ht="15" customHeight="1" x14ac:dyDescent="0.35">
      <c r="A1061" t="s">
        <v>2612</v>
      </c>
      <c r="B1061" t="s">
        <v>250</v>
      </c>
      <c r="C1061" t="s">
        <v>214</v>
      </c>
      <c r="D1061" t="s">
        <v>251</v>
      </c>
      <c r="E1061" s="32">
        <v>45948</v>
      </c>
      <c r="F1061" t="s">
        <v>54</v>
      </c>
      <c r="G1061" t="s">
        <v>2369</v>
      </c>
      <c r="H1061">
        <v>9444841965</v>
      </c>
      <c r="I1061">
        <v>184</v>
      </c>
      <c r="J1061" t="s">
        <v>2590</v>
      </c>
      <c r="K1061" t="s">
        <v>71</v>
      </c>
      <c r="L1061" t="s">
        <v>72</v>
      </c>
      <c r="M1061" t="s">
        <v>59</v>
      </c>
      <c r="N1061" t="s">
        <v>59</v>
      </c>
      <c r="O1061" t="s">
        <v>59</v>
      </c>
      <c r="P1061" t="s">
        <v>59</v>
      </c>
      <c r="Q1061" t="s">
        <v>59</v>
      </c>
      <c r="R1061" t="s">
        <v>59</v>
      </c>
      <c r="S1061" t="s">
        <v>59</v>
      </c>
      <c r="T1061" t="s">
        <v>59</v>
      </c>
      <c r="U1061" t="s">
        <v>60</v>
      </c>
      <c r="V1061" t="s">
        <v>59</v>
      </c>
      <c r="W1061" t="s">
        <v>59</v>
      </c>
      <c r="X1061" t="s">
        <v>59</v>
      </c>
      <c r="Y1061" t="s">
        <v>59</v>
      </c>
      <c r="Z1061" t="s">
        <v>59</v>
      </c>
      <c r="AA1061" t="s">
        <v>59</v>
      </c>
      <c r="AB1061" t="s">
        <v>59</v>
      </c>
      <c r="AC1061" t="s">
        <v>60</v>
      </c>
      <c r="AD1061" t="s">
        <v>61</v>
      </c>
      <c r="AE1061" t="s">
        <v>59</v>
      </c>
      <c r="AF1061" t="s">
        <v>59</v>
      </c>
      <c r="AG1061" t="s">
        <v>59</v>
      </c>
      <c r="AH1061" t="s">
        <v>61</v>
      </c>
      <c r="AI1061" t="s">
        <v>61</v>
      </c>
      <c r="AJ1061" t="s">
        <v>59</v>
      </c>
      <c r="AK1061" t="s">
        <v>59</v>
      </c>
      <c r="AL1061" t="s">
        <v>60</v>
      </c>
      <c r="AM1061" t="s">
        <v>60</v>
      </c>
      <c r="AN1061" t="s">
        <v>60</v>
      </c>
      <c r="AO1061" t="s">
        <v>60</v>
      </c>
      <c r="AP1061" t="s">
        <v>2613</v>
      </c>
      <c r="AQ1061" t="s">
        <v>2614</v>
      </c>
      <c r="AR1061" t="s">
        <v>64</v>
      </c>
      <c r="AS1061" t="s">
        <v>2615</v>
      </c>
      <c r="AT1061" t="s">
        <v>2615</v>
      </c>
      <c r="AU1061" t="s">
        <v>219</v>
      </c>
      <c r="AW1061" s="4">
        <f t="shared" si="563"/>
        <v>6</v>
      </c>
      <c r="AX1061" s="4">
        <f t="shared" si="564"/>
        <v>4</v>
      </c>
      <c r="AY1061" s="4">
        <f t="shared" si="565"/>
        <v>4</v>
      </c>
      <c r="AZ1061" s="4">
        <f t="shared" si="566"/>
        <v>2</v>
      </c>
      <c r="BA1061" s="4">
        <f t="shared" si="567"/>
        <v>4</v>
      </c>
      <c r="BB1061" s="4">
        <f t="shared" si="568"/>
        <v>4</v>
      </c>
      <c r="BC1061" s="4">
        <f t="shared" si="569"/>
        <v>4</v>
      </c>
      <c r="BD1061" s="4">
        <f t="shared" si="570"/>
        <v>2</v>
      </c>
      <c r="BE1061" s="4" t="str">
        <f t="shared" si="571"/>
        <v>0</v>
      </c>
      <c r="BF1061" s="4">
        <f t="shared" si="572"/>
        <v>2</v>
      </c>
      <c r="BG1061" s="4">
        <f t="shared" si="573"/>
        <v>4</v>
      </c>
      <c r="BH1061" s="4">
        <f t="shared" si="574"/>
        <v>4</v>
      </c>
      <c r="BI1061" s="4">
        <f t="shared" si="575"/>
        <v>4</v>
      </c>
      <c r="BJ1061" s="4">
        <f t="shared" si="576"/>
        <v>2</v>
      </c>
      <c r="BK1061" s="4">
        <f t="shared" si="577"/>
        <v>4</v>
      </c>
      <c r="BL1061" s="4">
        <f t="shared" si="578"/>
        <v>2</v>
      </c>
      <c r="BM1061" s="4" t="str">
        <f t="shared" si="579"/>
        <v>0</v>
      </c>
      <c r="BN1061" s="4">
        <f t="shared" si="580"/>
        <v>4</v>
      </c>
      <c r="BO1061" s="4">
        <f t="shared" si="581"/>
        <v>4</v>
      </c>
      <c r="BP1061" s="4">
        <f t="shared" si="582"/>
        <v>4</v>
      </c>
      <c r="BQ1061" s="4">
        <f t="shared" si="583"/>
        <v>6</v>
      </c>
      <c r="BR1061" s="4">
        <f t="shared" si="584"/>
        <v>4</v>
      </c>
      <c r="BS1061" s="4">
        <f t="shared" si="585"/>
        <v>4</v>
      </c>
      <c r="BT1061" s="4">
        <f t="shared" si="586"/>
        <v>4</v>
      </c>
      <c r="BU1061" s="4">
        <f t="shared" si="587"/>
        <v>4</v>
      </c>
      <c r="BV1061" s="4" t="str">
        <f t="shared" si="588"/>
        <v>0</v>
      </c>
      <c r="BW1061" s="4" t="str">
        <f t="shared" si="589"/>
        <v>0</v>
      </c>
      <c r="BX1061" s="4" t="str">
        <f t="shared" si="590"/>
        <v>0</v>
      </c>
      <c r="BY1061" s="4" t="str">
        <f t="shared" si="591"/>
        <v>0</v>
      </c>
      <c r="BZ1061" s="37">
        <f t="shared" si="592"/>
        <v>86</v>
      </c>
      <c r="CA1061" s="32" t="e">
        <f>VLOOKUP(J:J,'Agent wise'!A:C,3,0)</f>
        <v>#N/A</v>
      </c>
      <c r="CB1061" s="32">
        <f t="shared" si="593"/>
        <v>45948</v>
      </c>
      <c r="CC1061" t="str">
        <f t="shared" si="594"/>
        <v>Average</v>
      </c>
      <c r="CE1061" s="32"/>
      <c r="CJ1061">
        <f t="shared" si="595"/>
        <v>18</v>
      </c>
      <c r="CK1061">
        <f t="shared" si="596"/>
        <v>10</v>
      </c>
      <c r="CL1061">
        <f t="shared" si="597"/>
        <v>2025</v>
      </c>
    </row>
    <row r="1062" spans="1:90" ht="15" customHeight="1" x14ac:dyDescent="0.35">
      <c r="A1062" t="s">
        <v>2616</v>
      </c>
      <c r="B1062" t="s">
        <v>250</v>
      </c>
      <c r="C1062" t="s">
        <v>214</v>
      </c>
      <c r="D1062" t="s">
        <v>251</v>
      </c>
      <c r="E1062" s="32">
        <v>45948</v>
      </c>
      <c r="F1062" t="s">
        <v>54</v>
      </c>
      <c r="G1062" t="s">
        <v>2369</v>
      </c>
      <c r="H1062">
        <v>9443412921</v>
      </c>
      <c r="I1062">
        <v>167</v>
      </c>
      <c r="J1062" t="s">
        <v>2590</v>
      </c>
      <c r="K1062" t="s">
        <v>71</v>
      </c>
      <c r="L1062" t="s">
        <v>72</v>
      </c>
      <c r="M1062" t="s">
        <v>59</v>
      </c>
      <c r="N1062" t="s">
        <v>59</v>
      </c>
      <c r="O1062" t="s">
        <v>59</v>
      </c>
      <c r="P1062" t="s">
        <v>59</v>
      </c>
      <c r="Q1062" t="s">
        <v>59</v>
      </c>
      <c r="R1062" t="s">
        <v>59</v>
      </c>
      <c r="S1062" t="s">
        <v>59</v>
      </c>
      <c r="T1062" t="s">
        <v>59</v>
      </c>
      <c r="U1062" t="s">
        <v>60</v>
      </c>
      <c r="V1062" t="s">
        <v>59</v>
      </c>
      <c r="W1062" t="s">
        <v>59</v>
      </c>
      <c r="X1062" t="s">
        <v>59</v>
      </c>
      <c r="Y1062" t="s">
        <v>59</v>
      </c>
      <c r="Z1062" t="s">
        <v>60</v>
      </c>
      <c r="AA1062" t="s">
        <v>59</v>
      </c>
      <c r="AB1062" t="s">
        <v>59</v>
      </c>
      <c r="AC1062" t="s">
        <v>60</v>
      </c>
      <c r="AD1062" t="s">
        <v>59</v>
      </c>
      <c r="AE1062" t="s">
        <v>59</v>
      </c>
      <c r="AF1062" t="s">
        <v>59</v>
      </c>
      <c r="AG1062" t="s">
        <v>59</v>
      </c>
      <c r="AH1062" t="s">
        <v>61</v>
      </c>
      <c r="AI1062" t="s">
        <v>59</v>
      </c>
      <c r="AJ1062" t="s">
        <v>59</v>
      </c>
      <c r="AK1062" t="s">
        <v>59</v>
      </c>
      <c r="AL1062" t="s">
        <v>60</v>
      </c>
      <c r="AM1062" t="s">
        <v>59</v>
      </c>
      <c r="AN1062" t="s">
        <v>59</v>
      </c>
      <c r="AO1062" t="s">
        <v>59</v>
      </c>
      <c r="AP1062" t="s">
        <v>2617</v>
      </c>
      <c r="AQ1062" t="s">
        <v>2618</v>
      </c>
      <c r="AR1062" t="s">
        <v>64</v>
      </c>
      <c r="AS1062" t="s">
        <v>344</v>
      </c>
      <c r="AT1062" t="s">
        <v>2619</v>
      </c>
      <c r="AU1062" t="s">
        <v>219</v>
      </c>
      <c r="AW1062" s="4">
        <f t="shared" si="563"/>
        <v>6</v>
      </c>
      <c r="AX1062" s="4">
        <f t="shared" si="564"/>
        <v>4</v>
      </c>
      <c r="AY1062" s="4">
        <f t="shared" si="565"/>
        <v>4</v>
      </c>
      <c r="AZ1062" s="4">
        <f t="shared" si="566"/>
        <v>2</v>
      </c>
      <c r="BA1062" s="4">
        <f t="shared" si="567"/>
        <v>4</v>
      </c>
      <c r="BB1062" s="4">
        <f t="shared" si="568"/>
        <v>4</v>
      </c>
      <c r="BC1062" s="4">
        <f t="shared" si="569"/>
        <v>4</v>
      </c>
      <c r="BD1062" s="4">
        <f t="shared" si="570"/>
        <v>2</v>
      </c>
      <c r="BE1062" s="4" t="str">
        <f t="shared" si="571"/>
        <v>0</v>
      </c>
      <c r="BF1062" s="4">
        <f t="shared" si="572"/>
        <v>2</v>
      </c>
      <c r="BG1062" s="4">
        <f t="shared" si="573"/>
        <v>4</v>
      </c>
      <c r="BH1062" s="4">
        <f t="shared" si="574"/>
        <v>4</v>
      </c>
      <c r="BI1062" s="4">
        <f t="shared" si="575"/>
        <v>4</v>
      </c>
      <c r="BJ1062" s="4" t="str">
        <f t="shared" si="576"/>
        <v>0</v>
      </c>
      <c r="BK1062" s="4">
        <f t="shared" si="577"/>
        <v>4</v>
      </c>
      <c r="BL1062" s="4">
        <f t="shared" si="578"/>
        <v>2</v>
      </c>
      <c r="BM1062" s="4" t="str">
        <f t="shared" si="579"/>
        <v>0</v>
      </c>
      <c r="BN1062" s="4">
        <f t="shared" si="580"/>
        <v>4</v>
      </c>
      <c r="BO1062" s="4">
        <f t="shared" si="581"/>
        <v>4</v>
      </c>
      <c r="BP1062" s="4">
        <f t="shared" si="582"/>
        <v>4</v>
      </c>
      <c r="BQ1062" s="4">
        <f t="shared" si="583"/>
        <v>6</v>
      </c>
      <c r="BR1062" s="4">
        <f t="shared" si="584"/>
        <v>4</v>
      </c>
      <c r="BS1062" s="4">
        <f t="shared" si="585"/>
        <v>4</v>
      </c>
      <c r="BT1062" s="4">
        <f t="shared" si="586"/>
        <v>4</v>
      </c>
      <c r="BU1062" s="4">
        <f t="shared" si="587"/>
        <v>4</v>
      </c>
      <c r="BV1062" s="4" t="str">
        <f t="shared" si="588"/>
        <v>0</v>
      </c>
      <c r="BW1062" s="4">
        <f t="shared" si="589"/>
        <v>6</v>
      </c>
      <c r="BX1062" s="4">
        <f t="shared" si="590"/>
        <v>0</v>
      </c>
      <c r="BY1062" s="4">
        <f t="shared" si="591"/>
        <v>0</v>
      </c>
      <c r="BZ1062" s="37">
        <f t="shared" si="592"/>
        <v>90</v>
      </c>
      <c r="CA1062" s="32" t="e">
        <f>VLOOKUP(J:J,'Agent wise'!A:C,3,0)</f>
        <v>#N/A</v>
      </c>
      <c r="CB1062" s="32">
        <f t="shared" si="593"/>
        <v>45948</v>
      </c>
      <c r="CC1062" t="str">
        <f t="shared" si="594"/>
        <v>Good</v>
      </c>
      <c r="CE1062" s="32"/>
      <c r="CJ1062">
        <f t="shared" si="595"/>
        <v>18</v>
      </c>
      <c r="CK1062">
        <f t="shared" si="596"/>
        <v>10</v>
      </c>
      <c r="CL1062">
        <f t="shared" si="597"/>
        <v>2025</v>
      </c>
    </row>
    <row r="1063" spans="1:90" ht="15" customHeight="1" x14ac:dyDescent="0.35">
      <c r="A1063" t="s">
        <v>2620</v>
      </c>
      <c r="B1063" t="s">
        <v>250</v>
      </c>
      <c r="C1063" t="s">
        <v>214</v>
      </c>
      <c r="D1063" t="s">
        <v>251</v>
      </c>
      <c r="E1063" s="32">
        <v>45948</v>
      </c>
      <c r="F1063" t="s">
        <v>54</v>
      </c>
      <c r="G1063" t="s">
        <v>2369</v>
      </c>
      <c r="H1063">
        <v>9445077004</v>
      </c>
      <c r="I1063">
        <v>170</v>
      </c>
      <c r="J1063" t="s">
        <v>2590</v>
      </c>
      <c r="K1063" t="s">
        <v>71</v>
      </c>
      <c r="L1063" t="s">
        <v>72</v>
      </c>
      <c r="M1063" t="s">
        <v>60</v>
      </c>
      <c r="N1063" t="s">
        <v>59</v>
      </c>
      <c r="O1063" t="s">
        <v>59</v>
      </c>
      <c r="P1063" t="s">
        <v>59</v>
      </c>
      <c r="Q1063" t="s">
        <v>59</v>
      </c>
      <c r="R1063" t="s">
        <v>59</v>
      </c>
      <c r="S1063" t="s">
        <v>59</v>
      </c>
      <c r="T1063" t="s">
        <v>59</v>
      </c>
      <c r="U1063" t="s">
        <v>60</v>
      </c>
      <c r="V1063" t="s">
        <v>59</v>
      </c>
      <c r="W1063" t="s">
        <v>59</v>
      </c>
      <c r="X1063" t="s">
        <v>59</v>
      </c>
      <c r="Y1063" t="s">
        <v>59</v>
      </c>
      <c r="Z1063" t="s">
        <v>60</v>
      </c>
      <c r="AA1063" t="s">
        <v>59</v>
      </c>
      <c r="AB1063" t="s">
        <v>61</v>
      </c>
      <c r="AC1063" t="s">
        <v>60</v>
      </c>
      <c r="AD1063" t="s">
        <v>59</v>
      </c>
      <c r="AE1063" t="s">
        <v>59</v>
      </c>
      <c r="AF1063" t="s">
        <v>59</v>
      </c>
      <c r="AG1063" t="s">
        <v>59</v>
      </c>
      <c r="AH1063" t="s">
        <v>61</v>
      </c>
      <c r="AI1063" t="s">
        <v>61</v>
      </c>
      <c r="AJ1063" t="s">
        <v>59</v>
      </c>
      <c r="AK1063" t="s">
        <v>59</v>
      </c>
      <c r="AL1063" t="s">
        <v>60</v>
      </c>
      <c r="AM1063" t="s">
        <v>59</v>
      </c>
      <c r="AN1063" t="s">
        <v>59</v>
      </c>
      <c r="AO1063" t="s">
        <v>59</v>
      </c>
      <c r="AP1063" t="s">
        <v>2621</v>
      </c>
      <c r="AQ1063" t="s">
        <v>2622</v>
      </c>
      <c r="AR1063" t="s">
        <v>64</v>
      </c>
      <c r="AS1063" t="s">
        <v>111</v>
      </c>
      <c r="AT1063" t="s">
        <v>112</v>
      </c>
      <c r="AU1063" t="s">
        <v>593</v>
      </c>
      <c r="AW1063" s="4" t="str">
        <f t="shared" si="563"/>
        <v>0</v>
      </c>
      <c r="AX1063" s="4">
        <f t="shared" si="564"/>
        <v>4</v>
      </c>
      <c r="AY1063" s="4">
        <f t="shared" si="565"/>
        <v>4</v>
      </c>
      <c r="AZ1063" s="4">
        <f t="shared" si="566"/>
        <v>2</v>
      </c>
      <c r="BA1063" s="4">
        <f t="shared" si="567"/>
        <v>4</v>
      </c>
      <c r="BB1063" s="4">
        <f t="shared" si="568"/>
        <v>4</v>
      </c>
      <c r="BC1063" s="4">
        <f t="shared" si="569"/>
        <v>4</v>
      </c>
      <c r="BD1063" s="4">
        <f t="shared" si="570"/>
        <v>2</v>
      </c>
      <c r="BE1063" s="4" t="str">
        <f t="shared" si="571"/>
        <v>0</v>
      </c>
      <c r="BF1063" s="4">
        <f t="shared" si="572"/>
        <v>2</v>
      </c>
      <c r="BG1063" s="4">
        <f t="shared" si="573"/>
        <v>4</v>
      </c>
      <c r="BH1063" s="4">
        <f t="shared" si="574"/>
        <v>4</v>
      </c>
      <c r="BI1063" s="4">
        <f t="shared" si="575"/>
        <v>4</v>
      </c>
      <c r="BJ1063" s="4" t="str">
        <f t="shared" si="576"/>
        <v>0</v>
      </c>
      <c r="BK1063" s="4">
        <f t="shared" si="577"/>
        <v>4</v>
      </c>
      <c r="BL1063" s="4">
        <f t="shared" si="578"/>
        <v>2</v>
      </c>
      <c r="BM1063" s="4" t="str">
        <f t="shared" si="579"/>
        <v>0</v>
      </c>
      <c r="BN1063" s="4">
        <f t="shared" si="580"/>
        <v>4</v>
      </c>
      <c r="BO1063" s="4">
        <f t="shared" si="581"/>
        <v>4</v>
      </c>
      <c r="BP1063" s="4">
        <f t="shared" si="582"/>
        <v>4</v>
      </c>
      <c r="BQ1063" s="4">
        <f t="shared" si="583"/>
        <v>6</v>
      </c>
      <c r="BR1063" s="4">
        <f t="shared" si="584"/>
        <v>4</v>
      </c>
      <c r="BS1063" s="4">
        <f t="shared" si="585"/>
        <v>4</v>
      </c>
      <c r="BT1063" s="4">
        <f t="shared" si="586"/>
        <v>4</v>
      </c>
      <c r="BU1063" s="4">
        <f t="shared" si="587"/>
        <v>4</v>
      </c>
      <c r="BV1063" s="4" t="str">
        <f t="shared" si="588"/>
        <v>0</v>
      </c>
      <c r="BW1063" s="4">
        <f t="shared" si="589"/>
        <v>6</v>
      </c>
      <c r="BX1063" s="4">
        <f t="shared" si="590"/>
        <v>0</v>
      </c>
      <c r="BY1063" s="4">
        <f t="shared" si="591"/>
        <v>0</v>
      </c>
      <c r="BZ1063" s="37">
        <f t="shared" si="592"/>
        <v>84</v>
      </c>
      <c r="CA1063" s="32" t="e">
        <f>VLOOKUP(J:J,'Agent wise'!A:C,3,0)</f>
        <v>#N/A</v>
      </c>
      <c r="CB1063" s="32">
        <f t="shared" si="593"/>
        <v>45948</v>
      </c>
      <c r="CC1063" t="str">
        <f t="shared" si="594"/>
        <v>FC</v>
      </c>
      <c r="CE1063" s="32"/>
      <c r="CJ1063">
        <f t="shared" si="595"/>
        <v>18</v>
      </c>
      <c r="CK1063">
        <f t="shared" si="596"/>
        <v>10</v>
      </c>
      <c r="CL1063">
        <f t="shared" si="597"/>
        <v>2025</v>
      </c>
    </row>
    <row r="1064" spans="1:90" ht="15" customHeight="1" x14ac:dyDescent="0.35">
      <c r="A1064" t="s">
        <v>2623</v>
      </c>
      <c r="B1064" t="s">
        <v>100</v>
      </c>
      <c r="C1064" t="s">
        <v>214</v>
      </c>
      <c r="D1064" t="s">
        <v>101</v>
      </c>
      <c r="E1064" s="32">
        <v>45948</v>
      </c>
      <c r="F1064" t="s">
        <v>54</v>
      </c>
      <c r="G1064" t="s">
        <v>2369</v>
      </c>
      <c r="H1064">
        <v>9495541780</v>
      </c>
      <c r="I1064">
        <v>132</v>
      </c>
      <c r="J1064" t="s">
        <v>2624</v>
      </c>
      <c r="K1064" t="s">
        <v>57</v>
      </c>
      <c r="L1064" t="s">
        <v>58</v>
      </c>
      <c r="M1064" t="s">
        <v>59</v>
      </c>
      <c r="N1064" t="s">
        <v>59</v>
      </c>
      <c r="O1064" t="s">
        <v>59</v>
      </c>
      <c r="P1064" t="s">
        <v>59</v>
      </c>
      <c r="Q1064" t="s">
        <v>59</v>
      </c>
      <c r="R1064" t="s">
        <v>59</v>
      </c>
      <c r="S1064" t="s">
        <v>59</v>
      </c>
      <c r="T1064" t="s">
        <v>59</v>
      </c>
      <c r="U1064" t="s">
        <v>59</v>
      </c>
      <c r="V1064" t="s">
        <v>59</v>
      </c>
      <c r="W1064" t="s">
        <v>59</v>
      </c>
      <c r="X1064" t="s">
        <v>61</v>
      </c>
      <c r="Y1064" t="s">
        <v>59</v>
      </c>
      <c r="Z1064" t="s">
        <v>59</v>
      </c>
      <c r="AA1064" t="s">
        <v>60</v>
      </c>
      <c r="AB1064" t="s">
        <v>59</v>
      </c>
      <c r="AC1064" t="s">
        <v>60</v>
      </c>
      <c r="AD1064" t="s">
        <v>59</v>
      </c>
      <c r="AE1064" t="s">
        <v>59</v>
      </c>
      <c r="AF1064" t="s">
        <v>61</v>
      </c>
      <c r="AG1064" t="s">
        <v>59</v>
      </c>
      <c r="AH1064" t="s">
        <v>61</v>
      </c>
      <c r="AI1064" t="s">
        <v>61</v>
      </c>
      <c r="AJ1064" t="s">
        <v>59</v>
      </c>
      <c r="AK1064" t="s">
        <v>61</v>
      </c>
      <c r="AL1064" t="s">
        <v>60</v>
      </c>
      <c r="AM1064" t="s">
        <v>59</v>
      </c>
      <c r="AN1064" t="s">
        <v>59</v>
      </c>
      <c r="AO1064" t="s">
        <v>60</v>
      </c>
      <c r="AP1064" t="s">
        <v>212</v>
      </c>
      <c r="AQ1064" s="1" t="s">
        <v>2625</v>
      </c>
      <c r="AR1064" t="s">
        <v>64</v>
      </c>
      <c r="AS1064" t="s">
        <v>171</v>
      </c>
      <c r="AT1064" t="s">
        <v>2626</v>
      </c>
      <c r="AU1064" t="s">
        <v>299</v>
      </c>
      <c r="AW1064" s="4">
        <f t="shared" si="563"/>
        <v>6</v>
      </c>
      <c r="AX1064" s="4">
        <f t="shared" si="564"/>
        <v>4</v>
      </c>
      <c r="AY1064" s="4">
        <f t="shared" si="565"/>
        <v>4</v>
      </c>
      <c r="AZ1064" s="4">
        <f t="shared" si="566"/>
        <v>2</v>
      </c>
      <c r="BA1064" s="4">
        <f t="shared" si="567"/>
        <v>4</v>
      </c>
      <c r="BB1064" s="4">
        <f t="shared" si="568"/>
        <v>4</v>
      </c>
      <c r="BC1064" s="4">
        <f t="shared" si="569"/>
        <v>4</v>
      </c>
      <c r="BD1064" s="4">
        <f t="shared" si="570"/>
        <v>2</v>
      </c>
      <c r="BE1064" s="4">
        <f t="shared" si="571"/>
        <v>4</v>
      </c>
      <c r="BF1064" s="4">
        <f t="shared" si="572"/>
        <v>2</v>
      </c>
      <c r="BG1064" s="4">
        <f t="shared" si="573"/>
        <v>4</v>
      </c>
      <c r="BH1064" s="4">
        <f t="shared" si="574"/>
        <v>4</v>
      </c>
      <c r="BI1064" s="4">
        <f t="shared" si="575"/>
        <v>4</v>
      </c>
      <c r="BJ1064" s="4">
        <f t="shared" si="576"/>
        <v>2</v>
      </c>
      <c r="BK1064" s="4" t="str">
        <f t="shared" si="577"/>
        <v>0</v>
      </c>
      <c r="BL1064" s="4">
        <f t="shared" si="578"/>
        <v>2</v>
      </c>
      <c r="BM1064" s="4" t="str">
        <f t="shared" si="579"/>
        <v>0</v>
      </c>
      <c r="BN1064" s="4">
        <f t="shared" si="580"/>
        <v>4</v>
      </c>
      <c r="BO1064" s="4">
        <f t="shared" si="581"/>
        <v>4</v>
      </c>
      <c r="BP1064" s="4">
        <f t="shared" si="582"/>
        <v>4</v>
      </c>
      <c r="BQ1064" s="4">
        <f t="shared" si="583"/>
        <v>6</v>
      </c>
      <c r="BR1064" s="4">
        <f t="shared" si="584"/>
        <v>4</v>
      </c>
      <c r="BS1064" s="4">
        <f t="shared" si="585"/>
        <v>4</v>
      </c>
      <c r="BT1064" s="4">
        <f t="shared" si="586"/>
        <v>4</v>
      </c>
      <c r="BU1064" s="4">
        <f t="shared" si="587"/>
        <v>4</v>
      </c>
      <c r="BV1064" s="4" t="str">
        <f t="shared" si="588"/>
        <v>0</v>
      </c>
      <c r="BW1064" s="4">
        <f t="shared" si="589"/>
        <v>6</v>
      </c>
      <c r="BX1064" s="4">
        <f t="shared" si="590"/>
        <v>0</v>
      </c>
      <c r="BY1064" s="4" t="str">
        <f t="shared" si="591"/>
        <v>0</v>
      </c>
      <c r="BZ1064" s="37">
        <f t="shared" si="592"/>
        <v>92</v>
      </c>
      <c r="CA1064" s="32" t="e">
        <f>VLOOKUP(J:J,'Agent wise'!A:C,3,0)</f>
        <v>#N/A</v>
      </c>
      <c r="CB1064" s="32">
        <f t="shared" si="593"/>
        <v>45948</v>
      </c>
      <c r="CC1064" t="str">
        <f t="shared" si="594"/>
        <v>Good</v>
      </c>
      <c r="CE1064" s="32"/>
      <c r="CJ1064">
        <f t="shared" si="595"/>
        <v>18</v>
      </c>
      <c r="CK1064">
        <f t="shared" si="596"/>
        <v>10</v>
      </c>
      <c r="CL1064">
        <f t="shared" si="597"/>
        <v>2025</v>
      </c>
    </row>
    <row r="1065" spans="1:90" ht="15" customHeight="1" x14ac:dyDescent="0.35">
      <c r="A1065" t="s">
        <v>2627</v>
      </c>
      <c r="B1065" t="s">
        <v>250</v>
      </c>
      <c r="C1065" t="s">
        <v>214</v>
      </c>
      <c r="D1065" t="s">
        <v>251</v>
      </c>
      <c r="E1065" s="32">
        <v>45947</v>
      </c>
      <c r="F1065" t="s">
        <v>54</v>
      </c>
      <c r="G1065" t="s">
        <v>2369</v>
      </c>
      <c r="H1065">
        <v>9443157258</v>
      </c>
      <c r="I1065">
        <v>197</v>
      </c>
      <c r="J1065" t="s">
        <v>2590</v>
      </c>
      <c r="K1065" t="s">
        <v>71</v>
      </c>
      <c r="L1065" t="s">
        <v>72</v>
      </c>
      <c r="M1065" t="s">
        <v>59</v>
      </c>
      <c r="N1065" t="s">
        <v>59</v>
      </c>
      <c r="O1065" t="s">
        <v>59</v>
      </c>
      <c r="P1065" t="s">
        <v>59</v>
      </c>
      <c r="Q1065" t="s">
        <v>59</v>
      </c>
      <c r="R1065" t="s">
        <v>59</v>
      </c>
      <c r="S1065" t="s">
        <v>59</v>
      </c>
      <c r="T1065" t="s">
        <v>59</v>
      </c>
      <c r="U1065" t="s">
        <v>60</v>
      </c>
      <c r="V1065" t="s">
        <v>59</v>
      </c>
      <c r="W1065" t="s">
        <v>59</v>
      </c>
      <c r="X1065" t="s">
        <v>59</v>
      </c>
      <c r="Y1065" t="s">
        <v>59</v>
      </c>
      <c r="Z1065" t="s">
        <v>59</v>
      </c>
      <c r="AA1065" t="s">
        <v>60</v>
      </c>
      <c r="AB1065" t="s">
        <v>59</v>
      </c>
      <c r="AC1065" t="s">
        <v>60</v>
      </c>
      <c r="AD1065" t="s">
        <v>61</v>
      </c>
      <c r="AE1065" t="s">
        <v>59</v>
      </c>
      <c r="AF1065" t="s">
        <v>59</v>
      </c>
      <c r="AG1065" t="s">
        <v>59</v>
      </c>
      <c r="AH1065" t="s">
        <v>61</v>
      </c>
      <c r="AI1065" t="s">
        <v>61</v>
      </c>
      <c r="AJ1065" t="s">
        <v>59</v>
      </c>
      <c r="AK1065" t="s">
        <v>59</v>
      </c>
      <c r="AL1065" t="s">
        <v>60</v>
      </c>
      <c r="AM1065" t="s">
        <v>59</v>
      </c>
      <c r="AN1065" t="s">
        <v>59</v>
      </c>
      <c r="AO1065" t="s">
        <v>59</v>
      </c>
      <c r="AP1065" t="s">
        <v>2628</v>
      </c>
      <c r="AQ1065" t="s">
        <v>2629</v>
      </c>
      <c r="AR1065" t="s">
        <v>64</v>
      </c>
      <c r="AS1065" t="s">
        <v>417</v>
      </c>
      <c r="AT1065" t="s">
        <v>418</v>
      </c>
      <c r="AU1065" t="s">
        <v>387</v>
      </c>
      <c r="AW1065" s="4">
        <f t="shared" si="563"/>
        <v>6</v>
      </c>
      <c r="AX1065" s="4">
        <f t="shared" si="564"/>
        <v>4</v>
      </c>
      <c r="AY1065" s="4">
        <f t="shared" si="565"/>
        <v>4</v>
      </c>
      <c r="AZ1065" s="4">
        <f t="shared" si="566"/>
        <v>2</v>
      </c>
      <c r="BA1065" s="4">
        <f t="shared" si="567"/>
        <v>4</v>
      </c>
      <c r="BB1065" s="4">
        <f t="shared" si="568"/>
        <v>4</v>
      </c>
      <c r="BC1065" s="4">
        <f t="shared" si="569"/>
        <v>4</v>
      </c>
      <c r="BD1065" s="4">
        <f t="shared" si="570"/>
        <v>2</v>
      </c>
      <c r="BE1065" s="4" t="str">
        <f t="shared" si="571"/>
        <v>0</v>
      </c>
      <c r="BF1065" s="4">
        <f t="shared" si="572"/>
        <v>2</v>
      </c>
      <c r="BG1065" s="4">
        <f t="shared" si="573"/>
        <v>4</v>
      </c>
      <c r="BH1065" s="4">
        <f t="shared" si="574"/>
        <v>4</v>
      </c>
      <c r="BI1065" s="4">
        <f t="shared" si="575"/>
        <v>4</v>
      </c>
      <c r="BJ1065" s="4">
        <f t="shared" si="576"/>
        <v>2</v>
      </c>
      <c r="BK1065" s="4" t="str">
        <f t="shared" si="577"/>
        <v>0</v>
      </c>
      <c r="BL1065" s="4">
        <f t="shared" si="578"/>
        <v>2</v>
      </c>
      <c r="BM1065" s="4" t="str">
        <f t="shared" si="579"/>
        <v>0</v>
      </c>
      <c r="BN1065" s="4">
        <f t="shared" si="580"/>
        <v>4</v>
      </c>
      <c r="BO1065" s="4">
        <f t="shared" si="581"/>
        <v>4</v>
      </c>
      <c r="BP1065" s="4">
        <f t="shared" si="582"/>
        <v>4</v>
      </c>
      <c r="BQ1065" s="4">
        <f t="shared" si="583"/>
        <v>6</v>
      </c>
      <c r="BR1065" s="4">
        <f t="shared" si="584"/>
        <v>4</v>
      </c>
      <c r="BS1065" s="4">
        <f t="shared" si="585"/>
        <v>4</v>
      </c>
      <c r="BT1065" s="4">
        <f t="shared" si="586"/>
        <v>4</v>
      </c>
      <c r="BU1065" s="4">
        <f t="shared" si="587"/>
        <v>4</v>
      </c>
      <c r="BV1065" s="4" t="str">
        <f t="shared" si="588"/>
        <v>0</v>
      </c>
      <c r="BW1065" s="4">
        <f t="shared" si="589"/>
        <v>6</v>
      </c>
      <c r="BX1065" s="4">
        <f t="shared" si="590"/>
        <v>0</v>
      </c>
      <c r="BY1065" s="4">
        <f t="shared" si="591"/>
        <v>0</v>
      </c>
      <c r="BZ1065" s="37">
        <f t="shared" si="592"/>
        <v>88</v>
      </c>
      <c r="CA1065" s="32" t="e">
        <f>VLOOKUP(J:J,'Agent wise'!A:C,3,0)</f>
        <v>#N/A</v>
      </c>
      <c r="CB1065" s="32">
        <f t="shared" si="593"/>
        <v>45947</v>
      </c>
      <c r="CC1065" t="str">
        <f t="shared" si="594"/>
        <v>Average</v>
      </c>
      <c r="CE1065" s="32"/>
      <c r="CJ1065">
        <f t="shared" si="595"/>
        <v>17</v>
      </c>
      <c r="CK1065">
        <f t="shared" si="596"/>
        <v>10</v>
      </c>
      <c r="CL1065">
        <f t="shared" si="597"/>
        <v>2025</v>
      </c>
    </row>
    <row r="1066" spans="1:90" ht="15" customHeight="1" x14ac:dyDescent="0.35">
      <c r="A1066" t="s">
        <v>2630</v>
      </c>
      <c r="B1066" t="s">
        <v>250</v>
      </c>
      <c r="C1066" t="s">
        <v>214</v>
      </c>
      <c r="D1066" t="s">
        <v>251</v>
      </c>
      <c r="E1066" s="32">
        <v>45947</v>
      </c>
      <c r="F1066" t="s">
        <v>54</v>
      </c>
      <c r="G1066" t="s">
        <v>2369</v>
      </c>
      <c r="H1066">
        <v>7598988540</v>
      </c>
      <c r="I1066">
        <v>188</v>
      </c>
      <c r="J1066" t="s">
        <v>2590</v>
      </c>
      <c r="K1066" t="s">
        <v>71</v>
      </c>
      <c r="L1066" t="s">
        <v>72</v>
      </c>
      <c r="M1066" t="s">
        <v>59</v>
      </c>
      <c r="N1066" t="s">
        <v>59</v>
      </c>
      <c r="O1066" t="s">
        <v>59</v>
      </c>
      <c r="P1066" t="s">
        <v>59</v>
      </c>
      <c r="Q1066" t="s">
        <v>59</v>
      </c>
      <c r="R1066" t="s">
        <v>59</v>
      </c>
      <c r="S1066" t="s">
        <v>59</v>
      </c>
      <c r="T1066" t="s">
        <v>59</v>
      </c>
      <c r="U1066" t="s">
        <v>60</v>
      </c>
      <c r="V1066" t="s">
        <v>59</v>
      </c>
      <c r="W1066" t="s">
        <v>59</v>
      </c>
      <c r="X1066" t="s">
        <v>59</v>
      </c>
      <c r="Y1066" t="s">
        <v>59</v>
      </c>
      <c r="Z1066" t="s">
        <v>59</v>
      </c>
      <c r="AA1066" t="s">
        <v>60</v>
      </c>
      <c r="AB1066" t="s">
        <v>59</v>
      </c>
      <c r="AC1066" t="s">
        <v>60</v>
      </c>
      <c r="AD1066" t="s">
        <v>59</v>
      </c>
      <c r="AE1066" t="s">
        <v>59</v>
      </c>
      <c r="AF1066" t="s">
        <v>59</v>
      </c>
      <c r="AG1066" t="s">
        <v>59</v>
      </c>
      <c r="AH1066" t="s">
        <v>61</v>
      </c>
      <c r="AI1066" t="s">
        <v>61</v>
      </c>
      <c r="AJ1066" t="s">
        <v>59</v>
      </c>
      <c r="AK1066" t="s">
        <v>59</v>
      </c>
      <c r="AL1066" t="s">
        <v>60</v>
      </c>
      <c r="AM1066" t="s">
        <v>59</v>
      </c>
      <c r="AN1066" t="s">
        <v>59</v>
      </c>
      <c r="AO1066" t="s">
        <v>59</v>
      </c>
      <c r="AP1066" t="s">
        <v>2628</v>
      </c>
      <c r="AQ1066" t="s">
        <v>2631</v>
      </c>
      <c r="AR1066" t="s">
        <v>64</v>
      </c>
      <c r="AS1066" t="s">
        <v>111</v>
      </c>
      <c r="AT1066" t="s">
        <v>377</v>
      </c>
      <c r="AU1066" t="s">
        <v>219</v>
      </c>
      <c r="AW1066" s="4">
        <f t="shared" si="563"/>
        <v>6</v>
      </c>
      <c r="AX1066" s="4">
        <f t="shared" si="564"/>
        <v>4</v>
      </c>
      <c r="AY1066" s="4">
        <f t="shared" si="565"/>
        <v>4</v>
      </c>
      <c r="AZ1066" s="4">
        <f t="shared" si="566"/>
        <v>2</v>
      </c>
      <c r="BA1066" s="4">
        <f t="shared" si="567"/>
        <v>4</v>
      </c>
      <c r="BB1066" s="4">
        <f t="shared" si="568"/>
        <v>4</v>
      </c>
      <c r="BC1066" s="4">
        <f t="shared" si="569"/>
        <v>4</v>
      </c>
      <c r="BD1066" s="4">
        <f t="shared" si="570"/>
        <v>2</v>
      </c>
      <c r="BE1066" s="4" t="str">
        <f t="shared" si="571"/>
        <v>0</v>
      </c>
      <c r="BF1066" s="4">
        <f t="shared" si="572"/>
        <v>2</v>
      </c>
      <c r="BG1066" s="4">
        <f t="shared" si="573"/>
        <v>4</v>
      </c>
      <c r="BH1066" s="4">
        <f t="shared" si="574"/>
        <v>4</v>
      </c>
      <c r="BI1066" s="4">
        <f t="shared" si="575"/>
        <v>4</v>
      </c>
      <c r="BJ1066" s="4">
        <f t="shared" si="576"/>
        <v>2</v>
      </c>
      <c r="BK1066" s="4" t="str">
        <f t="shared" si="577"/>
        <v>0</v>
      </c>
      <c r="BL1066" s="4">
        <f t="shared" si="578"/>
        <v>2</v>
      </c>
      <c r="BM1066" s="4" t="str">
        <f t="shared" si="579"/>
        <v>0</v>
      </c>
      <c r="BN1066" s="4">
        <f t="shared" si="580"/>
        <v>4</v>
      </c>
      <c r="BO1066" s="4">
        <f t="shared" si="581"/>
        <v>4</v>
      </c>
      <c r="BP1066" s="4">
        <f t="shared" si="582"/>
        <v>4</v>
      </c>
      <c r="BQ1066" s="4">
        <f t="shared" si="583"/>
        <v>6</v>
      </c>
      <c r="BR1066" s="4">
        <f t="shared" si="584"/>
        <v>4</v>
      </c>
      <c r="BS1066" s="4">
        <f t="shared" si="585"/>
        <v>4</v>
      </c>
      <c r="BT1066" s="4">
        <f t="shared" si="586"/>
        <v>4</v>
      </c>
      <c r="BU1066" s="4">
        <f t="shared" si="587"/>
        <v>4</v>
      </c>
      <c r="BV1066" s="4" t="str">
        <f t="shared" si="588"/>
        <v>0</v>
      </c>
      <c r="BW1066" s="4">
        <f t="shared" si="589"/>
        <v>6</v>
      </c>
      <c r="BX1066" s="4">
        <f t="shared" si="590"/>
        <v>0</v>
      </c>
      <c r="BY1066" s="4">
        <f t="shared" si="591"/>
        <v>0</v>
      </c>
      <c r="BZ1066" s="37">
        <f t="shared" si="592"/>
        <v>88</v>
      </c>
      <c r="CA1066" s="32" t="e">
        <f>VLOOKUP(J:J,'Agent wise'!A:C,3,0)</f>
        <v>#N/A</v>
      </c>
      <c r="CB1066" s="32">
        <f t="shared" si="593"/>
        <v>45947</v>
      </c>
      <c r="CC1066" t="str">
        <f t="shared" si="594"/>
        <v>Average</v>
      </c>
      <c r="CE1066" s="32"/>
      <c r="CJ1066">
        <f t="shared" si="595"/>
        <v>17</v>
      </c>
      <c r="CK1066">
        <f t="shared" si="596"/>
        <v>10</v>
      </c>
      <c r="CL1066">
        <f t="shared" si="597"/>
        <v>2025</v>
      </c>
    </row>
    <row r="1067" spans="1:90" ht="15" customHeight="1" x14ac:dyDescent="0.35">
      <c r="A1067" t="s">
        <v>2632</v>
      </c>
      <c r="B1067" t="s">
        <v>100</v>
      </c>
      <c r="C1067" t="s">
        <v>214</v>
      </c>
      <c r="D1067" t="s">
        <v>101</v>
      </c>
      <c r="E1067" s="32">
        <v>45948</v>
      </c>
      <c r="F1067" t="s">
        <v>54</v>
      </c>
      <c r="G1067" t="s">
        <v>2369</v>
      </c>
      <c r="H1067">
        <v>9447222251</v>
      </c>
      <c r="I1067">
        <v>143</v>
      </c>
      <c r="J1067" t="s">
        <v>2624</v>
      </c>
      <c r="K1067" t="s">
        <v>57</v>
      </c>
      <c r="L1067" t="s">
        <v>58</v>
      </c>
      <c r="M1067" t="s">
        <v>59</v>
      </c>
      <c r="N1067" t="s">
        <v>59</v>
      </c>
      <c r="O1067" t="s">
        <v>60</v>
      </c>
      <c r="P1067" t="s">
        <v>60</v>
      </c>
      <c r="Q1067" t="s">
        <v>59</v>
      </c>
      <c r="R1067" t="s">
        <v>59</v>
      </c>
      <c r="S1067" t="s">
        <v>59</v>
      </c>
      <c r="T1067" t="s">
        <v>60</v>
      </c>
      <c r="U1067" t="s">
        <v>60</v>
      </c>
      <c r="V1067" t="s">
        <v>59</v>
      </c>
      <c r="W1067" t="s">
        <v>59</v>
      </c>
      <c r="X1067" t="s">
        <v>61</v>
      </c>
      <c r="Y1067" t="s">
        <v>59</v>
      </c>
      <c r="Z1067" t="s">
        <v>60</v>
      </c>
      <c r="AA1067" t="s">
        <v>60</v>
      </c>
      <c r="AB1067" t="s">
        <v>60</v>
      </c>
      <c r="AC1067" t="s">
        <v>61</v>
      </c>
      <c r="AD1067" t="s">
        <v>60</v>
      </c>
      <c r="AE1067" t="s">
        <v>60</v>
      </c>
      <c r="AF1067" t="s">
        <v>61</v>
      </c>
      <c r="AG1067" t="s">
        <v>60</v>
      </c>
      <c r="AH1067" t="s">
        <v>61</v>
      </c>
      <c r="AI1067" t="s">
        <v>61</v>
      </c>
      <c r="AJ1067" t="s">
        <v>61</v>
      </c>
      <c r="AK1067" t="s">
        <v>61</v>
      </c>
      <c r="AL1067" t="s">
        <v>60</v>
      </c>
      <c r="AM1067" t="s">
        <v>59</v>
      </c>
      <c r="AN1067" t="s">
        <v>60</v>
      </c>
      <c r="AO1067" t="s">
        <v>60</v>
      </c>
      <c r="AP1067" s="1" t="s">
        <v>2633</v>
      </c>
      <c r="AQ1067" s="1" t="s">
        <v>2634</v>
      </c>
      <c r="AR1067" t="s">
        <v>64</v>
      </c>
      <c r="AS1067" t="s">
        <v>142</v>
      </c>
      <c r="AT1067" t="s">
        <v>2635</v>
      </c>
      <c r="AU1067" t="s">
        <v>299</v>
      </c>
      <c r="AW1067" s="4">
        <f t="shared" si="563"/>
        <v>6</v>
      </c>
      <c r="AX1067" s="4">
        <f t="shared" si="564"/>
        <v>4</v>
      </c>
      <c r="AY1067" s="4" t="str">
        <f t="shared" si="565"/>
        <v>0</v>
      </c>
      <c r="AZ1067" s="4" t="str">
        <f t="shared" si="566"/>
        <v>0</v>
      </c>
      <c r="BA1067" s="4">
        <f t="shared" si="567"/>
        <v>4</v>
      </c>
      <c r="BB1067" s="4">
        <f t="shared" si="568"/>
        <v>4</v>
      </c>
      <c r="BC1067" s="4">
        <f t="shared" si="569"/>
        <v>4</v>
      </c>
      <c r="BD1067" s="4" t="str">
        <f t="shared" si="570"/>
        <v>0</v>
      </c>
      <c r="BE1067" s="4" t="str">
        <f t="shared" si="571"/>
        <v>0</v>
      </c>
      <c r="BF1067" s="4">
        <f t="shared" si="572"/>
        <v>2</v>
      </c>
      <c r="BG1067" s="4">
        <f t="shared" si="573"/>
        <v>4</v>
      </c>
      <c r="BH1067" s="4">
        <f t="shared" si="574"/>
        <v>4</v>
      </c>
      <c r="BI1067" s="4">
        <f t="shared" si="575"/>
        <v>4</v>
      </c>
      <c r="BJ1067" s="4" t="str">
        <f t="shared" si="576"/>
        <v>0</v>
      </c>
      <c r="BK1067" s="4" t="str">
        <f t="shared" si="577"/>
        <v>0</v>
      </c>
      <c r="BL1067" s="4" t="str">
        <f t="shared" si="578"/>
        <v>0</v>
      </c>
      <c r="BM1067" s="4">
        <f t="shared" si="579"/>
        <v>4</v>
      </c>
      <c r="BN1067" s="4" t="str">
        <f t="shared" si="580"/>
        <v>0</v>
      </c>
      <c r="BO1067" s="4" t="str">
        <f t="shared" si="581"/>
        <v>0</v>
      </c>
      <c r="BP1067" s="4">
        <f t="shared" si="582"/>
        <v>4</v>
      </c>
      <c r="BQ1067" s="4" t="str">
        <f t="shared" si="583"/>
        <v>0</v>
      </c>
      <c r="BR1067" s="4">
        <f t="shared" si="584"/>
        <v>4</v>
      </c>
      <c r="BS1067" s="4">
        <f t="shared" si="585"/>
        <v>4</v>
      </c>
      <c r="BT1067" s="4">
        <f t="shared" si="586"/>
        <v>4</v>
      </c>
      <c r="BU1067" s="4">
        <f t="shared" si="587"/>
        <v>4</v>
      </c>
      <c r="BV1067" s="4" t="str">
        <f t="shared" si="588"/>
        <v>0</v>
      </c>
      <c r="BW1067" s="4">
        <f t="shared" si="589"/>
        <v>6</v>
      </c>
      <c r="BX1067" s="4" t="str">
        <f t="shared" si="590"/>
        <v>0</v>
      </c>
      <c r="BY1067" s="4" t="str">
        <f t="shared" si="591"/>
        <v>0</v>
      </c>
      <c r="BZ1067" s="37">
        <f t="shared" si="592"/>
        <v>66</v>
      </c>
      <c r="CA1067" s="32" t="e">
        <f>VLOOKUP(J:J,'Agent wise'!A:C,3,0)</f>
        <v>#N/A</v>
      </c>
      <c r="CB1067" s="32">
        <f t="shared" si="593"/>
        <v>45948</v>
      </c>
      <c r="CC1067" t="str">
        <f t="shared" si="594"/>
        <v>FC</v>
      </c>
      <c r="CE1067" s="32"/>
      <c r="CJ1067">
        <f t="shared" si="595"/>
        <v>18</v>
      </c>
      <c r="CK1067">
        <f t="shared" si="596"/>
        <v>10</v>
      </c>
      <c r="CL1067">
        <f t="shared" si="597"/>
        <v>2025</v>
      </c>
    </row>
    <row r="1068" spans="1:90" ht="15" customHeight="1" x14ac:dyDescent="0.35">
      <c r="A1068" t="s">
        <v>2636</v>
      </c>
      <c r="B1068" t="s">
        <v>100</v>
      </c>
      <c r="C1068" t="s">
        <v>214</v>
      </c>
      <c r="D1068" t="s">
        <v>101</v>
      </c>
      <c r="E1068" s="32">
        <v>45948</v>
      </c>
      <c r="F1068" t="s">
        <v>54</v>
      </c>
      <c r="G1068" t="s">
        <v>2369</v>
      </c>
      <c r="H1068">
        <v>9895186608</v>
      </c>
      <c r="I1068">
        <v>156</v>
      </c>
      <c r="J1068" t="s">
        <v>2624</v>
      </c>
      <c r="K1068" t="s">
        <v>57</v>
      </c>
      <c r="L1068" t="s">
        <v>58</v>
      </c>
      <c r="M1068" t="s">
        <v>59</v>
      </c>
      <c r="N1068" t="s">
        <v>59</v>
      </c>
      <c r="O1068" t="s">
        <v>59</v>
      </c>
      <c r="P1068" t="s">
        <v>59</v>
      </c>
      <c r="Q1068" t="s">
        <v>59</v>
      </c>
      <c r="R1068" t="s">
        <v>59</v>
      </c>
      <c r="S1068" t="s">
        <v>59</v>
      </c>
      <c r="T1068" t="s">
        <v>59</v>
      </c>
      <c r="U1068" t="s">
        <v>60</v>
      </c>
      <c r="V1068" t="s">
        <v>59</v>
      </c>
      <c r="W1068" t="s">
        <v>59</v>
      </c>
      <c r="X1068" t="s">
        <v>59</v>
      </c>
      <c r="Y1068" t="s">
        <v>59</v>
      </c>
      <c r="Z1068" t="s">
        <v>60</v>
      </c>
      <c r="AA1068" t="s">
        <v>59</v>
      </c>
      <c r="AB1068" t="s">
        <v>59</v>
      </c>
      <c r="AC1068" t="s">
        <v>59</v>
      </c>
      <c r="AD1068" t="s">
        <v>59</v>
      </c>
      <c r="AE1068" t="s">
        <v>59</v>
      </c>
      <c r="AF1068" t="s">
        <v>61</v>
      </c>
      <c r="AG1068" t="s">
        <v>59</v>
      </c>
      <c r="AH1068" t="s">
        <v>61</v>
      </c>
      <c r="AI1068" t="s">
        <v>61</v>
      </c>
      <c r="AJ1068" t="s">
        <v>59</v>
      </c>
      <c r="AK1068" t="s">
        <v>61</v>
      </c>
      <c r="AL1068" t="s">
        <v>60</v>
      </c>
      <c r="AM1068" t="s">
        <v>59</v>
      </c>
      <c r="AN1068" t="s">
        <v>59</v>
      </c>
      <c r="AO1068" t="s">
        <v>59</v>
      </c>
      <c r="AP1068" t="s">
        <v>2637</v>
      </c>
      <c r="AQ1068" s="1" t="s">
        <v>2638</v>
      </c>
      <c r="AR1068" t="s">
        <v>64</v>
      </c>
      <c r="AS1068" t="s">
        <v>198</v>
      </c>
      <c r="AT1068" t="s">
        <v>207</v>
      </c>
      <c r="AU1068" t="s">
        <v>219</v>
      </c>
      <c r="AW1068" s="4">
        <f t="shared" si="563"/>
        <v>6</v>
      </c>
      <c r="AX1068" s="4">
        <f t="shared" si="564"/>
        <v>4</v>
      </c>
      <c r="AY1068" s="4">
        <f t="shared" si="565"/>
        <v>4</v>
      </c>
      <c r="AZ1068" s="4">
        <f t="shared" si="566"/>
        <v>2</v>
      </c>
      <c r="BA1068" s="4">
        <f t="shared" si="567"/>
        <v>4</v>
      </c>
      <c r="BB1068" s="4">
        <f t="shared" si="568"/>
        <v>4</v>
      </c>
      <c r="BC1068" s="4">
        <f t="shared" si="569"/>
        <v>4</v>
      </c>
      <c r="BD1068" s="4">
        <f t="shared" si="570"/>
        <v>2</v>
      </c>
      <c r="BE1068" s="4" t="str">
        <f t="shared" si="571"/>
        <v>0</v>
      </c>
      <c r="BF1068" s="4">
        <f t="shared" si="572"/>
        <v>2</v>
      </c>
      <c r="BG1068" s="4">
        <f t="shared" si="573"/>
        <v>4</v>
      </c>
      <c r="BH1068" s="4">
        <f t="shared" si="574"/>
        <v>4</v>
      </c>
      <c r="BI1068" s="4">
        <f t="shared" si="575"/>
        <v>4</v>
      </c>
      <c r="BJ1068" s="4" t="str">
        <f t="shared" si="576"/>
        <v>0</v>
      </c>
      <c r="BK1068" s="4">
        <f t="shared" si="577"/>
        <v>4</v>
      </c>
      <c r="BL1068" s="4">
        <f t="shared" si="578"/>
        <v>2</v>
      </c>
      <c r="BM1068" s="4">
        <f t="shared" si="579"/>
        <v>4</v>
      </c>
      <c r="BN1068" s="4">
        <f t="shared" si="580"/>
        <v>4</v>
      </c>
      <c r="BO1068" s="4">
        <f t="shared" si="581"/>
        <v>4</v>
      </c>
      <c r="BP1068" s="4">
        <f t="shared" si="582"/>
        <v>4</v>
      </c>
      <c r="BQ1068" s="4">
        <f t="shared" si="583"/>
        <v>6</v>
      </c>
      <c r="BR1068" s="4">
        <f t="shared" si="584"/>
        <v>4</v>
      </c>
      <c r="BS1068" s="4">
        <f t="shared" si="585"/>
        <v>4</v>
      </c>
      <c r="BT1068" s="4">
        <f t="shared" si="586"/>
        <v>4</v>
      </c>
      <c r="BU1068" s="4">
        <f t="shared" si="587"/>
        <v>4</v>
      </c>
      <c r="BV1068" s="4" t="str">
        <f t="shared" si="588"/>
        <v>0</v>
      </c>
      <c r="BW1068" s="4">
        <f t="shared" si="589"/>
        <v>6</v>
      </c>
      <c r="BX1068" s="4">
        <f t="shared" si="590"/>
        <v>0</v>
      </c>
      <c r="BY1068" s="4">
        <f t="shared" si="591"/>
        <v>0</v>
      </c>
      <c r="BZ1068" s="37">
        <f t="shared" si="592"/>
        <v>94</v>
      </c>
      <c r="CA1068" s="32" t="e">
        <f>VLOOKUP(J:J,'Agent wise'!A:C,3,0)</f>
        <v>#N/A</v>
      </c>
      <c r="CB1068" s="32">
        <f t="shared" si="593"/>
        <v>45948</v>
      </c>
      <c r="CC1068" t="str">
        <f t="shared" si="594"/>
        <v>Good</v>
      </c>
      <c r="CE1068" s="32"/>
      <c r="CJ1068">
        <f t="shared" si="595"/>
        <v>18</v>
      </c>
      <c r="CK1068">
        <f t="shared" si="596"/>
        <v>10</v>
      </c>
      <c r="CL1068">
        <f t="shared" si="597"/>
        <v>2025</v>
      </c>
    </row>
    <row r="1069" spans="1:90" ht="15" customHeight="1" x14ac:dyDescent="0.35">
      <c r="A1069" t="s">
        <v>2639</v>
      </c>
      <c r="B1069" t="s">
        <v>250</v>
      </c>
      <c r="C1069" t="s">
        <v>214</v>
      </c>
      <c r="D1069" t="s">
        <v>251</v>
      </c>
      <c r="E1069" s="32">
        <v>45948</v>
      </c>
      <c r="F1069" t="s">
        <v>54</v>
      </c>
      <c r="G1069" t="s">
        <v>2369</v>
      </c>
      <c r="H1069">
        <v>7025153151</v>
      </c>
      <c r="I1069">
        <v>187</v>
      </c>
      <c r="J1069" t="s">
        <v>2640</v>
      </c>
      <c r="K1069" t="s">
        <v>57</v>
      </c>
      <c r="L1069" t="s">
        <v>58</v>
      </c>
      <c r="M1069" t="s">
        <v>59</v>
      </c>
      <c r="N1069" t="s">
        <v>59</v>
      </c>
      <c r="O1069" t="s">
        <v>59</v>
      </c>
      <c r="P1069" t="s">
        <v>59</v>
      </c>
      <c r="Q1069" t="s">
        <v>59</v>
      </c>
      <c r="R1069" t="s">
        <v>59</v>
      </c>
      <c r="S1069" t="s">
        <v>59</v>
      </c>
      <c r="T1069" t="s">
        <v>59</v>
      </c>
      <c r="U1069" t="s">
        <v>60</v>
      </c>
      <c r="V1069" t="s">
        <v>59</v>
      </c>
      <c r="W1069" t="s">
        <v>59</v>
      </c>
      <c r="X1069" t="s">
        <v>59</v>
      </c>
      <c r="Y1069" t="s">
        <v>59</v>
      </c>
      <c r="Z1069" t="s">
        <v>59</v>
      </c>
      <c r="AA1069" t="s">
        <v>60</v>
      </c>
      <c r="AB1069" t="s">
        <v>59</v>
      </c>
      <c r="AC1069" t="s">
        <v>59</v>
      </c>
      <c r="AD1069" t="s">
        <v>59</v>
      </c>
      <c r="AE1069" t="s">
        <v>59</v>
      </c>
      <c r="AF1069" t="s">
        <v>59</v>
      </c>
      <c r="AG1069" t="s">
        <v>59</v>
      </c>
      <c r="AH1069" t="s">
        <v>61</v>
      </c>
      <c r="AI1069" t="s">
        <v>61</v>
      </c>
      <c r="AJ1069" t="s">
        <v>59</v>
      </c>
      <c r="AK1069" t="s">
        <v>59</v>
      </c>
      <c r="AL1069" t="s">
        <v>60</v>
      </c>
      <c r="AM1069" t="s">
        <v>59</v>
      </c>
      <c r="AN1069" t="s">
        <v>59</v>
      </c>
      <c r="AO1069" t="s">
        <v>59</v>
      </c>
      <c r="AP1069" t="s">
        <v>2641</v>
      </c>
      <c r="AQ1069" t="s">
        <v>2642</v>
      </c>
      <c r="AR1069" t="s">
        <v>64</v>
      </c>
      <c r="AS1069" t="s">
        <v>2643</v>
      </c>
      <c r="AT1069" t="s">
        <v>377</v>
      </c>
      <c r="AU1069" t="s">
        <v>219</v>
      </c>
      <c r="AW1069" s="4">
        <f t="shared" si="563"/>
        <v>6</v>
      </c>
      <c r="AX1069" s="4">
        <f t="shared" si="564"/>
        <v>4</v>
      </c>
      <c r="AY1069" s="4">
        <f t="shared" si="565"/>
        <v>4</v>
      </c>
      <c r="AZ1069" s="4">
        <f t="shared" si="566"/>
        <v>2</v>
      </c>
      <c r="BA1069" s="4">
        <f t="shared" si="567"/>
        <v>4</v>
      </c>
      <c r="BB1069" s="4">
        <f t="shared" si="568"/>
        <v>4</v>
      </c>
      <c r="BC1069" s="4">
        <f t="shared" si="569"/>
        <v>4</v>
      </c>
      <c r="BD1069" s="4">
        <f t="shared" si="570"/>
        <v>2</v>
      </c>
      <c r="BE1069" s="4" t="str">
        <f t="shared" si="571"/>
        <v>0</v>
      </c>
      <c r="BF1069" s="4">
        <f t="shared" si="572"/>
        <v>2</v>
      </c>
      <c r="BG1069" s="4">
        <f t="shared" si="573"/>
        <v>4</v>
      </c>
      <c r="BH1069" s="4">
        <f t="shared" si="574"/>
        <v>4</v>
      </c>
      <c r="BI1069" s="4">
        <f t="shared" si="575"/>
        <v>4</v>
      </c>
      <c r="BJ1069" s="4">
        <f t="shared" si="576"/>
        <v>2</v>
      </c>
      <c r="BK1069" s="4" t="str">
        <f t="shared" si="577"/>
        <v>0</v>
      </c>
      <c r="BL1069" s="4">
        <f t="shared" si="578"/>
        <v>2</v>
      </c>
      <c r="BM1069" s="4">
        <f t="shared" si="579"/>
        <v>4</v>
      </c>
      <c r="BN1069" s="4">
        <f t="shared" si="580"/>
        <v>4</v>
      </c>
      <c r="BO1069" s="4">
        <f t="shared" si="581"/>
        <v>4</v>
      </c>
      <c r="BP1069" s="4">
        <f t="shared" si="582"/>
        <v>4</v>
      </c>
      <c r="BQ1069" s="4">
        <f t="shared" si="583"/>
        <v>6</v>
      </c>
      <c r="BR1069" s="4">
        <f t="shared" si="584"/>
        <v>4</v>
      </c>
      <c r="BS1069" s="4">
        <f t="shared" si="585"/>
        <v>4</v>
      </c>
      <c r="BT1069" s="4">
        <f t="shared" si="586"/>
        <v>4</v>
      </c>
      <c r="BU1069" s="4">
        <f t="shared" si="587"/>
        <v>4</v>
      </c>
      <c r="BV1069" s="4" t="str">
        <f t="shared" si="588"/>
        <v>0</v>
      </c>
      <c r="BW1069" s="4">
        <f t="shared" si="589"/>
        <v>6</v>
      </c>
      <c r="BX1069" s="4">
        <f t="shared" si="590"/>
        <v>0</v>
      </c>
      <c r="BY1069" s="4">
        <f t="shared" si="591"/>
        <v>0</v>
      </c>
      <c r="BZ1069" s="37">
        <f t="shared" si="592"/>
        <v>92</v>
      </c>
      <c r="CA1069" s="32" t="e">
        <f>VLOOKUP(J:J,'Agent wise'!A:C,3,0)</f>
        <v>#N/A</v>
      </c>
      <c r="CB1069" s="32">
        <f t="shared" si="593"/>
        <v>45948</v>
      </c>
      <c r="CC1069" t="str">
        <f t="shared" si="594"/>
        <v>Good</v>
      </c>
      <c r="CE1069" s="32"/>
      <c r="CJ1069">
        <f t="shared" si="595"/>
        <v>18</v>
      </c>
      <c r="CK1069">
        <f t="shared" si="596"/>
        <v>10</v>
      </c>
      <c r="CL1069">
        <f t="shared" si="597"/>
        <v>2025</v>
      </c>
    </row>
    <row r="1070" spans="1:90" ht="15" customHeight="1" x14ac:dyDescent="0.35">
      <c r="A1070" t="s">
        <v>2644</v>
      </c>
      <c r="B1070" t="s">
        <v>100</v>
      </c>
      <c r="C1070" t="s">
        <v>214</v>
      </c>
      <c r="D1070" t="s">
        <v>101</v>
      </c>
      <c r="E1070" s="32">
        <v>45948</v>
      </c>
      <c r="F1070" t="s">
        <v>54</v>
      </c>
      <c r="G1070" t="s">
        <v>2369</v>
      </c>
      <c r="H1070">
        <v>7012879278</v>
      </c>
      <c r="I1070">
        <v>185</v>
      </c>
      <c r="J1070" t="s">
        <v>2624</v>
      </c>
      <c r="K1070" t="s">
        <v>57</v>
      </c>
      <c r="L1070" t="s">
        <v>58</v>
      </c>
      <c r="M1070" t="s">
        <v>59</v>
      </c>
      <c r="N1070" t="s">
        <v>59</v>
      </c>
      <c r="O1070" t="s">
        <v>59</v>
      </c>
      <c r="P1070" t="s">
        <v>59</v>
      </c>
      <c r="Q1070" t="s">
        <v>59</v>
      </c>
      <c r="R1070" t="s">
        <v>59</v>
      </c>
      <c r="S1070" t="s">
        <v>59</v>
      </c>
      <c r="T1070" t="s">
        <v>59</v>
      </c>
      <c r="U1070" t="s">
        <v>60</v>
      </c>
      <c r="V1070" t="s">
        <v>59</v>
      </c>
      <c r="W1070" t="s">
        <v>59</v>
      </c>
      <c r="X1070" t="s">
        <v>59</v>
      </c>
      <c r="Y1070" t="s">
        <v>59</v>
      </c>
      <c r="Z1070" t="s">
        <v>59</v>
      </c>
      <c r="AA1070" t="s">
        <v>59</v>
      </c>
      <c r="AB1070" t="s">
        <v>59</v>
      </c>
      <c r="AC1070" t="s">
        <v>60</v>
      </c>
      <c r="AD1070" t="s">
        <v>59</v>
      </c>
      <c r="AE1070" t="s">
        <v>59</v>
      </c>
      <c r="AF1070" t="s">
        <v>59</v>
      </c>
      <c r="AG1070" t="s">
        <v>59</v>
      </c>
      <c r="AH1070" t="s">
        <v>61</v>
      </c>
      <c r="AI1070" t="s">
        <v>61</v>
      </c>
      <c r="AJ1070" t="s">
        <v>59</v>
      </c>
      <c r="AK1070" t="s">
        <v>61</v>
      </c>
      <c r="AL1070" t="s">
        <v>59</v>
      </c>
      <c r="AM1070" t="s">
        <v>59</v>
      </c>
      <c r="AN1070" t="s">
        <v>59</v>
      </c>
      <c r="AO1070" t="s">
        <v>59</v>
      </c>
      <c r="AP1070" t="s">
        <v>2645</v>
      </c>
      <c r="AQ1070" s="1" t="s">
        <v>2646</v>
      </c>
      <c r="AR1070" t="s">
        <v>64</v>
      </c>
      <c r="AS1070" t="s">
        <v>157</v>
      </c>
      <c r="AT1070" t="s">
        <v>1302</v>
      </c>
      <c r="AU1070" t="s">
        <v>219</v>
      </c>
      <c r="AW1070" s="4">
        <f t="shared" si="563"/>
        <v>6</v>
      </c>
      <c r="AX1070" s="4">
        <f t="shared" si="564"/>
        <v>4</v>
      </c>
      <c r="AY1070" s="4">
        <f t="shared" si="565"/>
        <v>4</v>
      </c>
      <c r="AZ1070" s="4">
        <f t="shared" si="566"/>
        <v>2</v>
      </c>
      <c r="BA1070" s="4">
        <f t="shared" si="567"/>
        <v>4</v>
      </c>
      <c r="BB1070" s="4">
        <f t="shared" si="568"/>
        <v>4</v>
      </c>
      <c r="BC1070" s="4">
        <f t="shared" si="569"/>
        <v>4</v>
      </c>
      <c r="BD1070" s="4">
        <f t="shared" si="570"/>
        <v>2</v>
      </c>
      <c r="BE1070" s="4" t="str">
        <f t="shared" si="571"/>
        <v>0</v>
      </c>
      <c r="BF1070" s="4">
        <f t="shared" si="572"/>
        <v>2</v>
      </c>
      <c r="BG1070" s="4">
        <f t="shared" si="573"/>
        <v>4</v>
      </c>
      <c r="BH1070" s="4">
        <f t="shared" si="574"/>
        <v>4</v>
      </c>
      <c r="BI1070" s="4">
        <f t="shared" si="575"/>
        <v>4</v>
      </c>
      <c r="BJ1070" s="4">
        <f t="shared" si="576"/>
        <v>2</v>
      </c>
      <c r="BK1070" s="4">
        <f t="shared" si="577"/>
        <v>4</v>
      </c>
      <c r="BL1070" s="4">
        <f t="shared" si="578"/>
        <v>2</v>
      </c>
      <c r="BM1070" s="4" t="str">
        <f t="shared" si="579"/>
        <v>0</v>
      </c>
      <c r="BN1070" s="4">
        <f t="shared" si="580"/>
        <v>4</v>
      </c>
      <c r="BO1070" s="4">
        <f t="shared" si="581"/>
        <v>4</v>
      </c>
      <c r="BP1070" s="4">
        <f t="shared" si="582"/>
        <v>4</v>
      </c>
      <c r="BQ1070" s="4">
        <f t="shared" si="583"/>
        <v>6</v>
      </c>
      <c r="BR1070" s="4">
        <f t="shared" si="584"/>
        <v>4</v>
      </c>
      <c r="BS1070" s="4">
        <f t="shared" si="585"/>
        <v>4</v>
      </c>
      <c r="BT1070" s="4">
        <f t="shared" si="586"/>
        <v>4</v>
      </c>
      <c r="BU1070" s="4">
        <f t="shared" si="587"/>
        <v>4</v>
      </c>
      <c r="BV1070" s="4">
        <f t="shared" si="588"/>
        <v>0</v>
      </c>
      <c r="BW1070" s="4">
        <f t="shared" si="589"/>
        <v>6</v>
      </c>
      <c r="BX1070" s="4">
        <f t="shared" si="590"/>
        <v>0</v>
      </c>
      <c r="BY1070" s="4">
        <f t="shared" si="591"/>
        <v>0</v>
      </c>
      <c r="BZ1070" s="37">
        <f t="shared" si="592"/>
        <v>92</v>
      </c>
      <c r="CA1070" s="32" t="e">
        <f>VLOOKUP(J:J,'Agent wise'!A:C,3,0)</f>
        <v>#N/A</v>
      </c>
      <c r="CB1070" s="32">
        <f t="shared" si="593"/>
        <v>45948</v>
      </c>
      <c r="CC1070" t="str">
        <f t="shared" si="594"/>
        <v>Good</v>
      </c>
      <c r="CE1070" s="32"/>
      <c r="CJ1070">
        <f t="shared" si="595"/>
        <v>18</v>
      </c>
      <c r="CK1070">
        <f t="shared" si="596"/>
        <v>10</v>
      </c>
      <c r="CL1070">
        <f t="shared" si="597"/>
        <v>2025</v>
      </c>
    </row>
    <row r="1071" spans="1:90" ht="15" customHeight="1" x14ac:dyDescent="0.35">
      <c r="A1071" t="s">
        <v>2647</v>
      </c>
      <c r="B1071" t="s">
        <v>100</v>
      </c>
      <c r="C1071" t="s">
        <v>214</v>
      </c>
      <c r="D1071" t="s">
        <v>101</v>
      </c>
      <c r="E1071" s="32">
        <v>45948</v>
      </c>
      <c r="F1071" t="s">
        <v>222</v>
      </c>
      <c r="G1071" t="s">
        <v>2369</v>
      </c>
      <c r="H1071">
        <v>9489742373</v>
      </c>
      <c r="I1071">
        <v>540</v>
      </c>
      <c r="J1071" t="s">
        <v>2586</v>
      </c>
      <c r="K1071" t="s">
        <v>71</v>
      </c>
      <c r="L1071" t="s">
        <v>72</v>
      </c>
      <c r="M1071" t="s">
        <v>59</v>
      </c>
      <c r="N1071" t="s">
        <v>59</v>
      </c>
      <c r="O1071" t="s">
        <v>59</v>
      </c>
      <c r="P1071" t="s">
        <v>59</v>
      </c>
      <c r="Q1071" t="s">
        <v>59</v>
      </c>
      <c r="R1071" t="s">
        <v>59</v>
      </c>
      <c r="S1071" t="s">
        <v>60</v>
      </c>
      <c r="T1071" t="s">
        <v>59</v>
      </c>
      <c r="U1071" t="s">
        <v>60</v>
      </c>
      <c r="V1071" t="s">
        <v>59</v>
      </c>
      <c r="W1071" t="s">
        <v>60</v>
      </c>
      <c r="X1071" t="s">
        <v>60</v>
      </c>
      <c r="Y1071" t="s">
        <v>59</v>
      </c>
      <c r="Z1071" t="s">
        <v>60</v>
      </c>
      <c r="AA1071" t="s">
        <v>60</v>
      </c>
      <c r="AB1071" t="s">
        <v>60</v>
      </c>
      <c r="AC1071" t="s">
        <v>59</v>
      </c>
      <c r="AD1071" t="s">
        <v>60</v>
      </c>
      <c r="AE1071" t="s">
        <v>60</v>
      </c>
      <c r="AF1071" t="s">
        <v>61</v>
      </c>
      <c r="AG1071" t="s">
        <v>59</v>
      </c>
      <c r="AH1071" t="s">
        <v>61</v>
      </c>
      <c r="AI1071" t="s">
        <v>61</v>
      </c>
      <c r="AJ1071" t="s">
        <v>61</v>
      </c>
      <c r="AK1071" t="s">
        <v>61</v>
      </c>
      <c r="AL1071" t="s">
        <v>60</v>
      </c>
      <c r="AM1071" t="s">
        <v>59</v>
      </c>
      <c r="AN1071" t="s">
        <v>59</v>
      </c>
      <c r="AO1071" t="s">
        <v>59</v>
      </c>
      <c r="AP1071" t="s">
        <v>2648</v>
      </c>
      <c r="AQ1071" s="1" t="s">
        <v>2649</v>
      </c>
      <c r="AR1071" t="s">
        <v>226</v>
      </c>
      <c r="AS1071" t="s">
        <v>352</v>
      </c>
      <c r="AT1071" t="s">
        <v>352</v>
      </c>
      <c r="AU1071" t="s">
        <v>299</v>
      </c>
      <c r="AW1071" s="4">
        <f t="shared" si="563"/>
        <v>6</v>
      </c>
      <c r="AX1071" s="4">
        <f t="shared" si="564"/>
        <v>4</v>
      </c>
      <c r="AY1071" s="4">
        <f t="shared" si="565"/>
        <v>4</v>
      </c>
      <c r="AZ1071" s="4">
        <f t="shared" si="566"/>
        <v>2</v>
      </c>
      <c r="BA1071" s="4">
        <f t="shared" si="567"/>
        <v>4</v>
      </c>
      <c r="BB1071" s="4">
        <f t="shared" si="568"/>
        <v>4</v>
      </c>
      <c r="BC1071" s="4" t="str">
        <f t="shared" si="569"/>
        <v>0</v>
      </c>
      <c r="BD1071" s="4">
        <f t="shared" si="570"/>
        <v>2</v>
      </c>
      <c r="BE1071" s="4" t="str">
        <f t="shared" si="571"/>
        <v>0</v>
      </c>
      <c r="BF1071" s="4">
        <f t="shared" si="572"/>
        <v>2</v>
      </c>
      <c r="BG1071" s="4" t="str">
        <f t="shared" si="573"/>
        <v>0</v>
      </c>
      <c r="BH1071" s="4" t="str">
        <f t="shared" si="574"/>
        <v>0</v>
      </c>
      <c r="BI1071" s="4">
        <f t="shared" si="575"/>
        <v>4</v>
      </c>
      <c r="BJ1071" s="4" t="str">
        <f t="shared" si="576"/>
        <v>0</v>
      </c>
      <c r="BK1071" s="4" t="str">
        <f t="shared" si="577"/>
        <v>0</v>
      </c>
      <c r="BL1071" s="4" t="str">
        <f t="shared" si="578"/>
        <v>0</v>
      </c>
      <c r="BM1071" s="4">
        <f t="shared" si="579"/>
        <v>4</v>
      </c>
      <c r="BN1071" s="4" t="str">
        <f t="shared" si="580"/>
        <v>0</v>
      </c>
      <c r="BO1071" s="4" t="str">
        <f t="shared" si="581"/>
        <v>0</v>
      </c>
      <c r="BP1071" s="4">
        <f t="shared" si="582"/>
        <v>4</v>
      </c>
      <c r="BQ1071" s="4">
        <f t="shared" si="583"/>
        <v>6</v>
      </c>
      <c r="BR1071" s="4">
        <f t="shared" si="584"/>
        <v>4</v>
      </c>
      <c r="BS1071" s="4">
        <f t="shared" si="585"/>
        <v>4</v>
      </c>
      <c r="BT1071" s="4">
        <f t="shared" si="586"/>
        <v>4</v>
      </c>
      <c r="BU1071" s="4">
        <f t="shared" si="587"/>
        <v>4</v>
      </c>
      <c r="BV1071" s="4" t="str">
        <f t="shared" si="588"/>
        <v>0</v>
      </c>
      <c r="BW1071" s="4">
        <f t="shared" si="589"/>
        <v>6</v>
      </c>
      <c r="BX1071" s="4">
        <f t="shared" si="590"/>
        <v>0</v>
      </c>
      <c r="BY1071" s="4">
        <f t="shared" si="591"/>
        <v>0</v>
      </c>
      <c r="BZ1071" s="37">
        <f t="shared" si="592"/>
        <v>68</v>
      </c>
      <c r="CA1071" s="32" t="e">
        <f>VLOOKUP(J:J,'Agent wise'!A:C,3,0)</f>
        <v>#N/A</v>
      </c>
      <c r="CB1071" s="32">
        <f t="shared" si="593"/>
        <v>45948</v>
      </c>
      <c r="CC1071" t="str">
        <f t="shared" si="594"/>
        <v>FC</v>
      </c>
      <c r="CE1071" s="32"/>
      <c r="CJ1071">
        <f t="shared" si="595"/>
        <v>18</v>
      </c>
      <c r="CK1071">
        <f t="shared" si="596"/>
        <v>10</v>
      </c>
      <c r="CL1071">
        <f t="shared" si="597"/>
        <v>2025</v>
      </c>
    </row>
    <row r="1072" spans="1:90" ht="15" customHeight="1" x14ac:dyDescent="0.35">
      <c r="A1072" t="s">
        <v>2650</v>
      </c>
      <c r="B1072" t="s">
        <v>250</v>
      </c>
      <c r="C1072" t="s">
        <v>214</v>
      </c>
      <c r="D1072" t="s">
        <v>251</v>
      </c>
      <c r="E1072" s="32">
        <v>45948</v>
      </c>
      <c r="F1072" t="s">
        <v>54</v>
      </c>
      <c r="G1072" t="s">
        <v>2369</v>
      </c>
      <c r="H1072">
        <v>8086539498</v>
      </c>
      <c r="I1072">
        <v>198</v>
      </c>
      <c r="J1072" t="s">
        <v>2640</v>
      </c>
      <c r="K1072" t="s">
        <v>57</v>
      </c>
      <c r="L1072" t="s">
        <v>58</v>
      </c>
      <c r="M1072" t="s">
        <v>60</v>
      </c>
      <c r="N1072" t="s">
        <v>59</v>
      </c>
      <c r="O1072" t="s">
        <v>60</v>
      </c>
      <c r="P1072" t="s">
        <v>59</v>
      </c>
      <c r="Q1072" t="s">
        <v>59</v>
      </c>
      <c r="R1072" t="s">
        <v>60</v>
      </c>
      <c r="S1072" t="s">
        <v>59</v>
      </c>
      <c r="T1072" t="s">
        <v>59</v>
      </c>
      <c r="U1072" t="s">
        <v>60</v>
      </c>
      <c r="V1072" t="s">
        <v>59</v>
      </c>
      <c r="W1072" t="s">
        <v>59</v>
      </c>
      <c r="X1072" t="s">
        <v>60</v>
      </c>
      <c r="Y1072" t="s">
        <v>59</v>
      </c>
      <c r="Z1072" t="s">
        <v>59</v>
      </c>
      <c r="AA1072" t="s">
        <v>60</v>
      </c>
      <c r="AB1072" t="s">
        <v>60</v>
      </c>
      <c r="AC1072" t="s">
        <v>59</v>
      </c>
      <c r="AD1072" t="s">
        <v>59</v>
      </c>
      <c r="AE1072" t="s">
        <v>59</v>
      </c>
      <c r="AF1072" t="s">
        <v>59</v>
      </c>
      <c r="AG1072" t="s">
        <v>60</v>
      </c>
      <c r="AH1072" t="s">
        <v>61</v>
      </c>
      <c r="AI1072" t="s">
        <v>61</v>
      </c>
      <c r="AJ1072" t="s">
        <v>59</v>
      </c>
      <c r="AK1072" t="s">
        <v>59</v>
      </c>
      <c r="AL1072" t="s">
        <v>60</v>
      </c>
      <c r="AM1072" t="s">
        <v>59</v>
      </c>
      <c r="AN1072" t="s">
        <v>59</v>
      </c>
      <c r="AO1072" t="s">
        <v>59</v>
      </c>
      <c r="AP1072" t="s">
        <v>2651</v>
      </c>
      <c r="AQ1072" t="s">
        <v>2652</v>
      </c>
      <c r="AR1072" t="s">
        <v>64</v>
      </c>
      <c r="AS1072" t="s">
        <v>417</v>
      </c>
      <c r="AT1072" t="s">
        <v>418</v>
      </c>
      <c r="AU1072" t="s">
        <v>219</v>
      </c>
      <c r="AW1072" s="4" t="str">
        <f t="shared" si="563"/>
        <v>0</v>
      </c>
      <c r="AX1072" s="4">
        <f t="shared" si="564"/>
        <v>4</v>
      </c>
      <c r="AY1072" s="4" t="str">
        <f t="shared" si="565"/>
        <v>0</v>
      </c>
      <c r="AZ1072" s="4">
        <f t="shared" si="566"/>
        <v>2</v>
      </c>
      <c r="BA1072" s="4">
        <f t="shared" si="567"/>
        <v>4</v>
      </c>
      <c r="BB1072" s="4" t="str">
        <f t="shared" si="568"/>
        <v>0</v>
      </c>
      <c r="BC1072" s="4">
        <f t="shared" si="569"/>
        <v>4</v>
      </c>
      <c r="BD1072" s="4">
        <f t="shared" si="570"/>
        <v>2</v>
      </c>
      <c r="BE1072" s="4" t="str">
        <f t="shared" si="571"/>
        <v>0</v>
      </c>
      <c r="BF1072" s="4">
        <f t="shared" si="572"/>
        <v>2</v>
      </c>
      <c r="BG1072" s="4">
        <f t="shared" si="573"/>
        <v>4</v>
      </c>
      <c r="BH1072" s="4" t="str">
        <f t="shared" si="574"/>
        <v>0</v>
      </c>
      <c r="BI1072" s="4">
        <f t="shared" si="575"/>
        <v>4</v>
      </c>
      <c r="BJ1072" s="4">
        <f t="shared" si="576"/>
        <v>2</v>
      </c>
      <c r="BK1072" s="4" t="str">
        <f t="shared" si="577"/>
        <v>0</v>
      </c>
      <c r="BL1072" s="4" t="str">
        <f t="shared" si="578"/>
        <v>0</v>
      </c>
      <c r="BM1072" s="4">
        <f t="shared" si="579"/>
        <v>4</v>
      </c>
      <c r="BN1072" s="4">
        <f t="shared" si="580"/>
        <v>4</v>
      </c>
      <c r="BO1072" s="4">
        <f t="shared" si="581"/>
        <v>4</v>
      </c>
      <c r="BP1072" s="4">
        <f t="shared" si="582"/>
        <v>4</v>
      </c>
      <c r="BQ1072" s="4" t="str">
        <f t="shared" si="583"/>
        <v>0</v>
      </c>
      <c r="BR1072" s="4">
        <f t="shared" si="584"/>
        <v>4</v>
      </c>
      <c r="BS1072" s="4">
        <f t="shared" si="585"/>
        <v>4</v>
      </c>
      <c r="BT1072" s="4">
        <f t="shared" si="586"/>
        <v>4</v>
      </c>
      <c r="BU1072" s="4">
        <f t="shared" si="587"/>
        <v>4</v>
      </c>
      <c r="BV1072" s="4" t="str">
        <f t="shared" si="588"/>
        <v>0</v>
      </c>
      <c r="BW1072" s="4">
        <f t="shared" si="589"/>
        <v>6</v>
      </c>
      <c r="BX1072" s="4">
        <f t="shared" si="590"/>
        <v>0</v>
      </c>
      <c r="BY1072" s="4">
        <f t="shared" si="591"/>
        <v>0</v>
      </c>
      <c r="BZ1072" s="37">
        <f t="shared" si="592"/>
        <v>66</v>
      </c>
      <c r="CA1072" s="32" t="e">
        <f>VLOOKUP(J:J,'Agent wise'!A:C,3,0)</f>
        <v>#N/A</v>
      </c>
      <c r="CB1072" s="32">
        <f t="shared" si="593"/>
        <v>45948</v>
      </c>
      <c r="CC1072" t="str">
        <f t="shared" si="594"/>
        <v>FC</v>
      </c>
      <c r="CE1072" s="32"/>
      <c r="CJ1072">
        <f t="shared" si="595"/>
        <v>18</v>
      </c>
      <c r="CK1072">
        <f t="shared" si="596"/>
        <v>10</v>
      </c>
      <c r="CL1072">
        <f t="shared" si="597"/>
        <v>2025</v>
      </c>
    </row>
    <row r="1073" spans="1:90" ht="15" customHeight="1" x14ac:dyDescent="0.35">
      <c r="A1073" t="s">
        <v>2653</v>
      </c>
      <c r="B1073" t="s">
        <v>100</v>
      </c>
      <c r="C1073" t="s">
        <v>214</v>
      </c>
      <c r="D1073" t="s">
        <v>101</v>
      </c>
      <c r="E1073" s="32">
        <v>45948</v>
      </c>
      <c r="F1073" t="s">
        <v>222</v>
      </c>
      <c r="G1073" t="s">
        <v>2369</v>
      </c>
      <c r="H1073">
        <v>9488822333</v>
      </c>
      <c r="I1073">
        <v>360</v>
      </c>
      <c r="J1073" t="s">
        <v>2586</v>
      </c>
      <c r="K1073" t="s">
        <v>71</v>
      </c>
      <c r="L1073" t="s">
        <v>72</v>
      </c>
      <c r="M1073" t="s">
        <v>59</v>
      </c>
      <c r="N1073" t="s">
        <v>59</v>
      </c>
      <c r="O1073" t="s">
        <v>60</v>
      </c>
      <c r="P1073" t="s">
        <v>60</v>
      </c>
      <c r="Q1073" t="s">
        <v>59</v>
      </c>
      <c r="R1073" t="s">
        <v>60</v>
      </c>
      <c r="S1073" t="s">
        <v>59</v>
      </c>
      <c r="T1073" t="s">
        <v>59</v>
      </c>
      <c r="U1073" t="s">
        <v>60</v>
      </c>
      <c r="V1073" t="s">
        <v>59</v>
      </c>
      <c r="W1073" t="s">
        <v>59</v>
      </c>
      <c r="X1073" t="s">
        <v>61</v>
      </c>
      <c r="Y1073" t="s">
        <v>59</v>
      </c>
      <c r="Z1073" t="s">
        <v>59</v>
      </c>
      <c r="AA1073" t="s">
        <v>60</v>
      </c>
      <c r="AB1073" t="s">
        <v>59</v>
      </c>
      <c r="AC1073" t="s">
        <v>59</v>
      </c>
      <c r="AD1073" t="s">
        <v>59</v>
      </c>
      <c r="AE1073" t="s">
        <v>59</v>
      </c>
      <c r="AF1073" t="s">
        <v>59</v>
      </c>
      <c r="AG1073" t="s">
        <v>59</v>
      </c>
      <c r="AH1073" t="s">
        <v>59</v>
      </c>
      <c r="AI1073" t="s">
        <v>61</v>
      </c>
      <c r="AJ1073" t="s">
        <v>59</v>
      </c>
      <c r="AK1073" t="s">
        <v>61</v>
      </c>
      <c r="AL1073" t="s">
        <v>60</v>
      </c>
      <c r="AM1073" t="s">
        <v>59</v>
      </c>
      <c r="AN1073" t="s">
        <v>59</v>
      </c>
      <c r="AO1073" t="s">
        <v>59</v>
      </c>
      <c r="AP1073" t="s">
        <v>2654</v>
      </c>
      <c r="AQ1073" s="1" t="s">
        <v>2655</v>
      </c>
      <c r="AR1073" t="s">
        <v>226</v>
      </c>
      <c r="AS1073" t="s">
        <v>352</v>
      </c>
      <c r="AT1073" t="s">
        <v>352</v>
      </c>
      <c r="AU1073" t="s">
        <v>299</v>
      </c>
      <c r="AW1073" s="4">
        <f t="shared" si="563"/>
        <v>6</v>
      </c>
      <c r="AX1073" s="4">
        <f t="shared" si="564"/>
        <v>4</v>
      </c>
      <c r="AY1073" s="4" t="str">
        <f t="shared" si="565"/>
        <v>0</v>
      </c>
      <c r="AZ1073" s="4" t="str">
        <f t="shared" si="566"/>
        <v>0</v>
      </c>
      <c r="BA1073" s="4">
        <f t="shared" si="567"/>
        <v>4</v>
      </c>
      <c r="BB1073" s="4" t="str">
        <f t="shared" si="568"/>
        <v>0</v>
      </c>
      <c r="BC1073" s="4">
        <f t="shared" si="569"/>
        <v>4</v>
      </c>
      <c r="BD1073" s="4">
        <f t="shared" si="570"/>
        <v>2</v>
      </c>
      <c r="BE1073" s="4" t="str">
        <f t="shared" si="571"/>
        <v>0</v>
      </c>
      <c r="BF1073" s="4">
        <f t="shared" si="572"/>
        <v>2</v>
      </c>
      <c r="BG1073" s="4">
        <f t="shared" si="573"/>
        <v>4</v>
      </c>
      <c r="BH1073" s="4">
        <f t="shared" si="574"/>
        <v>4</v>
      </c>
      <c r="BI1073" s="4">
        <f t="shared" si="575"/>
        <v>4</v>
      </c>
      <c r="BJ1073" s="4">
        <f t="shared" si="576"/>
        <v>2</v>
      </c>
      <c r="BK1073" s="4" t="str">
        <f t="shared" si="577"/>
        <v>0</v>
      </c>
      <c r="BL1073" s="4">
        <f t="shared" si="578"/>
        <v>2</v>
      </c>
      <c r="BM1073" s="4">
        <f t="shared" si="579"/>
        <v>4</v>
      </c>
      <c r="BN1073" s="4">
        <f t="shared" si="580"/>
        <v>4</v>
      </c>
      <c r="BO1073" s="4">
        <f t="shared" si="581"/>
        <v>4</v>
      </c>
      <c r="BP1073" s="4">
        <f t="shared" si="582"/>
        <v>4</v>
      </c>
      <c r="BQ1073" s="4">
        <f t="shared" si="583"/>
        <v>6</v>
      </c>
      <c r="BR1073" s="4">
        <f t="shared" si="584"/>
        <v>4</v>
      </c>
      <c r="BS1073" s="4">
        <f t="shared" si="585"/>
        <v>4</v>
      </c>
      <c r="BT1073" s="4">
        <f t="shared" si="586"/>
        <v>4</v>
      </c>
      <c r="BU1073" s="4">
        <f t="shared" si="587"/>
        <v>4</v>
      </c>
      <c r="BV1073" s="4" t="str">
        <f t="shared" si="588"/>
        <v>0</v>
      </c>
      <c r="BW1073" s="4">
        <f t="shared" si="589"/>
        <v>6</v>
      </c>
      <c r="BX1073" s="4">
        <f t="shared" si="590"/>
        <v>0</v>
      </c>
      <c r="BY1073" s="4">
        <f t="shared" si="591"/>
        <v>0</v>
      </c>
      <c r="BZ1073" s="37">
        <f t="shared" si="592"/>
        <v>82</v>
      </c>
      <c r="CA1073" s="32" t="e">
        <f>VLOOKUP(J:J,'Agent wise'!A:C,3,0)</f>
        <v>#N/A</v>
      </c>
      <c r="CB1073" s="32">
        <f t="shared" si="593"/>
        <v>45948</v>
      </c>
      <c r="CC1073" t="str">
        <f t="shared" si="594"/>
        <v>FC</v>
      </c>
      <c r="CE1073" s="32"/>
      <c r="CJ1073">
        <f t="shared" si="595"/>
        <v>18</v>
      </c>
      <c r="CK1073">
        <f t="shared" si="596"/>
        <v>10</v>
      </c>
      <c r="CL1073">
        <f t="shared" si="597"/>
        <v>2025</v>
      </c>
    </row>
    <row r="1074" spans="1:90" ht="15" customHeight="1" x14ac:dyDescent="0.35">
      <c r="A1074" t="s">
        <v>2656</v>
      </c>
      <c r="B1074" t="s">
        <v>100</v>
      </c>
      <c r="C1074" t="s">
        <v>214</v>
      </c>
      <c r="D1074" t="s">
        <v>101</v>
      </c>
      <c r="E1074" s="32">
        <v>45948</v>
      </c>
      <c r="F1074" t="s">
        <v>222</v>
      </c>
      <c r="G1074" t="s">
        <v>2369</v>
      </c>
      <c r="H1074">
        <v>9526367049</v>
      </c>
      <c r="I1074">
        <v>249</v>
      </c>
      <c r="J1074" t="s">
        <v>2624</v>
      </c>
      <c r="K1074" t="s">
        <v>57</v>
      </c>
      <c r="L1074" t="s">
        <v>58</v>
      </c>
      <c r="M1074" t="s">
        <v>59</v>
      </c>
      <c r="N1074" t="s">
        <v>59</v>
      </c>
      <c r="O1074" t="s">
        <v>59</v>
      </c>
      <c r="P1074" t="s">
        <v>59</v>
      </c>
      <c r="Q1074" t="s">
        <v>59</v>
      </c>
      <c r="R1074" t="s">
        <v>59</v>
      </c>
      <c r="S1074" t="s">
        <v>59</v>
      </c>
      <c r="T1074" t="s">
        <v>59</v>
      </c>
      <c r="U1074" t="s">
        <v>60</v>
      </c>
      <c r="V1074" t="s">
        <v>59</v>
      </c>
      <c r="W1074" t="s">
        <v>59</v>
      </c>
      <c r="X1074" t="s">
        <v>61</v>
      </c>
      <c r="Y1074" t="s">
        <v>59</v>
      </c>
      <c r="Z1074" t="s">
        <v>59</v>
      </c>
      <c r="AA1074" t="s">
        <v>59</v>
      </c>
      <c r="AB1074" t="s">
        <v>59</v>
      </c>
      <c r="AC1074" t="s">
        <v>59</v>
      </c>
      <c r="AD1074" t="s">
        <v>59</v>
      </c>
      <c r="AE1074" t="s">
        <v>59</v>
      </c>
      <c r="AF1074" t="s">
        <v>59</v>
      </c>
      <c r="AG1074" t="s">
        <v>59</v>
      </c>
      <c r="AH1074" t="s">
        <v>61</v>
      </c>
      <c r="AI1074" t="s">
        <v>59</v>
      </c>
      <c r="AJ1074" t="s">
        <v>59</v>
      </c>
      <c r="AK1074" t="s">
        <v>61</v>
      </c>
      <c r="AL1074" t="s">
        <v>59</v>
      </c>
      <c r="AM1074" t="s">
        <v>59</v>
      </c>
      <c r="AN1074" t="s">
        <v>59</v>
      </c>
      <c r="AO1074" t="s">
        <v>59</v>
      </c>
      <c r="AP1074" t="s">
        <v>2657</v>
      </c>
      <c r="AQ1074" s="1" t="s">
        <v>2658</v>
      </c>
      <c r="AR1074" t="s">
        <v>226</v>
      </c>
      <c r="AS1074" t="s">
        <v>352</v>
      </c>
      <c r="AT1074" t="s">
        <v>352</v>
      </c>
      <c r="AU1074" t="s">
        <v>219</v>
      </c>
      <c r="AW1074" s="4">
        <f t="shared" si="563"/>
        <v>6</v>
      </c>
      <c r="AX1074" s="4">
        <f t="shared" si="564"/>
        <v>4</v>
      </c>
      <c r="AY1074" s="4">
        <f t="shared" si="565"/>
        <v>4</v>
      </c>
      <c r="AZ1074" s="4">
        <f t="shared" si="566"/>
        <v>2</v>
      </c>
      <c r="BA1074" s="4">
        <f t="shared" si="567"/>
        <v>4</v>
      </c>
      <c r="BB1074" s="4">
        <f t="shared" si="568"/>
        <v>4</v>
      </c>
      <c r="BC1074" s="4">
        <f t="shared" si="569"/>
        <v>4</v>
      </c>
      <c r="BD1074" s="4">
        <f t="shared" si="570"/>
        <v>2</v>
      </c>
      <c r="BE1074" s="4" t="str">
        <f t="shared" si="571"/>
        <v>0</v>
      </c>
      <c r="BF1074" s="4">
        <f t="shared" si="572"/>
        <v>2</v>
      </c>
      <c r="BG1074" s="4">
        <f t="shared" si="573"/>
        <v>4</v>
      </c>
      <c r="BH1074" s="4">
        <f t="shared" si="574"/>
        <v>4</v>
      </c>
      <c r="BI1074" s="4">
        <f t="shared" si="575"/>
        <v>4</v>
      </c>
      <c r="BJ1074" s="4">
        <f t="shared" si="576"/>
        <v>2</v>
      </c>
      <c r="BK1074" s="4">
        <f t="shared" si="577"/>
        <v>4</v>
      </c>
      <c r="BL1074" s="4">
        <f t="shared" si="578"/>
        <v>2</v>
      </c>
      <c r="BM1074" s="4">
        <f t="shared" si="579"/>
        <v>4</v>
      </c>
      <c r="BN1074" s="4">
        <f t="shared" si="580"/>
        <v>4</v>
      </c>
      <c r="BO1074" s="4">
        <f t="shared" si="581"/>
        <v>4</v>
      </c>
      <c r="BP1074" s="4">
        <f t="shared" si="582"/>
        <v>4</v>
      </c>
      <c r="BQ1074" s="4">
        <f t="shared" si="583"/>
        <v>6</v>
      </c>
      <c r="BR1074" s="4">
        <f t="shared" si="584"/>
        <v>4</v>
      </c>
      <c r="BS1074" s="4">
        <f t="shared" si="585"/>
        <v>4</v>
      </c>
      <c r="BT1074" s="4">
        <f t="shared" si="586"/>
        <v>4</v>
      </c>
      <c r="BU1074" s="4">
        <f t="shared" si="587"/>
        <v>4</v>
      </c>
      <c r="BV1074" s="4">
        <f t="shared" si="588"/>
        <v>0</v>
      </c>
      <c r="BW1074" s="4">
        <f t="shared" si="589"/>
        <v>6</v>
      </c>
      <c r="BX1074" s="4">
        <f t="shared" si="590"/>
        <v>0</v>
      </c>
      <c r="BY1074" s="4">
        <f t="shared" si="591"/>
        <v>0</v>
      </c>
      <c r="BZ1074" s="37">
        <f t="shared" si="592"/>
        <v>96</v>
      </c>
      <c r="CA1074" s="32" t="e">
        <f>VLOOKUP(J:J,'Agent wise'!A:C,3,0)</f>
        <v>#N/A</v>
      </c>
      <c r="CB1074" s="32">
        <f t="shared" si="593"/>
        <v>45948</v>
      </c>
      <c r="CC1074" t="str">
        <f t="shared" si="594"/>
        <v>Excellent</v>
      </c>
      <c r="CE1074" s="32"/>
      <c r="CJ1074">
        <f t="shared" si="595"/>
        <v>18</v>
      </c>
      <c r="CK1074">
        <f t="shared" si="596"/>
        <v>10</v>
      </c>
      <c r="CL1074">
        <f t="shared" si="597"/>
        <v>2025</v>
      </c>
    </row>
    <row r="1075" spans="1:90" ht="15" customHeight="1" x14ac:dyDescent="0.35">
      <c r="A1075" t="s">
        <v>2659</v>
      </c>
      <c r="B1075" t="s">
        <v>100</v>
      </c>
      <c r="C1075" t="s">
        <v>214</v>
      </c>
      <c r="D1075" t="s">
        <v>101</v>
      </c>
      <c r="E1075" s="32">
        <v>45948</v>
      </c>
      <c r="F1075" t="s">
        <v>222</v>
      </c>
      <c r="G1075" t="s">
        <v>2369</v>
      </c>
      <c r="H1075">
        <v>9447465454</v>
      </c>
      <c r="I1075">
        <v>357</v>
      </c>
      <c r="J1075" t="s">
        <v>2624</v>
      </c>
      <c r="K1075" t="s">
        <v>57</v>
      </c>
      <c r="L1075" t="s">
        <v>58</v>
      </c>
      <c r="M1075" t="s">
        <v>59</v>
      </c>
      <c r="N1075" t="s">
        <v>59</v>
      </c>
      <c r="O1075" t="s">
        <v>59</v>
      </c>
      <c r="P1075" t="s">
        <v>59</v>
      </c>
      <c r="Q1075" t="s">
        <v>59</v>
      </c>
      <c r="R1075" t="s">
        <v>59</v>
      </c>
      <c r="S1075" t="s">
        <v>59</v>
      </c>
      <c r="T1075" t="s">
        <v>59</v>
      </c>
      <c r="U1075" t="s">
        <v>59</v>
      </c>
      <c r="V1075" t="s">
        <v>59</v>
      </c>
      <c r="W1075" t="s">
        <v>59</v>
      </c>
      <c r="X1075" t="s">
        <v>59</v>
      </c>
      <c r="Y1075" t="s">
        <v>59</v>
      </c>
      <c r="Z1075" t="s">
        <v>59</v>
      </c>
      <c r="AA1075" t="s">
        <v>59</v>
      </c>
      <c r="AB1075" t="s">
        <v>59</v>
      </c>
      <c r="AC1075" t="s">
        <v>60</v>
      </c>
      <c r="AD1075" t="s">
        <v>59</v>
      </c>
      <c r="AE1075" t="s">
        <v>59</v>
      </c>
      <c r="AF1075" t="s">
        <v>61</v>
      </c>
      <c r="AG1075" t="s">
        <v>59</v>
      </c>
      <c r="AH1075" t="s">
        <v>59</v>
      </c>
      <c r="AI1075" t="s">
        <v>59</v>
      </c>
      <c r="AJ1075" t="s">
        <v>59</v>
      </c>
      <c r="AK1075" t="s">
        <v>61</v>
      </c>
      <c r="AL1075" t="s">
        <v>59</v>
      </c>
      <c r="AM1075" t="s">
        <v>59</v>
      </c>
      <c r="AN1075" t="s">
        <v>59</v>
      </c>
      <c r="AO1075" t="s">
        <v>59</v>
      </c>
      <c r="AP1075" t="s">
        <v>2660</v>
      </c>
      <c r="AQ1075" s="1" t="s">
        <v>2661</v>
      </c>
      <c r="AR1075" t="s">
        <v>226</v>
      </c>
      <c r="AS1075" t="s">
        <v>352</v>
      </c>
      <c r="AT1075" t="s">
        <v>352</v>
      </c>
      <c r="AU1075" t="s">
        <v>299</v>
      </c>
      <c r="AW1075" s="4">
        <f t="shared" si="563"/>
        <v>6</v>
      </c>
      <c r="AX1075" s="4">
        <f t="shared" si="564"/>
        <v>4</v>
      </c>
      <c r="AY1075" s="4">
        <f t="shared" si="565"/>
        <v>4</v>
      </c>
      <c r="AZ1075" s="4">
        <f t="shared" si="566"/>
        <v>2</v>
      </c>
      <c r="BA1075" s="4">
        <f t="shared" si="567"/>
        <v>4</v>
      </c>
      <c r="BB1075" s="4">
        <f t="shared" si="568"/>
        <v>4</v>
      </c>
      <c r="BC1075" s="4">
        <f t="shared" si="569"/>
        <v>4</v>
      </c>
      <c r="BD1075" s="4">
        <f t="shared" si="570"/>
        <v>2</v>
      </c>
      <c r="BE1075" s="4">
        <f t="shared" si="571"/>
        <v>4</v>
      </c>
      <c r="BF1075" s="4">
        <f t="shared" si="572"/>
        <v>2</v>
      </c>
      <c r="BG1075" s="4">
        <f t="shared" si="573"/>
        <v>4</v>
      </c>
      <c r="BH1075" s="4">
        <f t="shared" si="574"/>
        <v>4</v>
      </c>
      <c r="BI1075" s="4">
        <f t="shared" si="575"/>
        <v>4</v>
      </c>
      <c r="BJ1075" s="4">
        <f t="shared" si="576"/>
        <v>2</v>
      </c>
      <c r="BK1075" s="4">
        <f t="shared" si="577"/>
        <v>4</v>
      </c>
      <c r="BL1075" s="4">
        <f t="shared" si="578"/>
        <v>2</v>
      </c>
      <c r="BM1075" s="4" t="str">
        <f t="shared" si="579"/>
        <v>0</v>
      </c>
      <c r="BN1075" s="4">
        <f t="shared" si="580"/>
        <v>4</v>
      </c>
      <c r="BO1075" s="4">
        <f t="shared" si="581"/>
        <v>4</v>
      </c>
      <c r="BP1075" s="4">
        <f t="shared" si="582"/>
        <v>4</v>
      </c>
      <c r="BQ1075" s="4">
        <f t="shared" si="583"/>
        <v>6</v>
      </c>
      <c r="BR1075" s="4">
        <f t="shared" si="584"/>
        <v>4</v>
      </c>
      <c r="BS1075" s="4">
        <f t="shared" si="585"/>
        <v>4</v>
      </c>
      <c r="BT1075" s="4">
        <f t="shared" si="586"/>
        <v>4</v>
      </c>
      <c r="BU1075" s="4">
        <f t="shared" si="587"/>
        <v>4</v>
      </c>
      <c r="BV1075" s="4">
        <f t="shared" si="588"/>
        <v>0</v>
      </c>
      <c r="BW1075" s="4">
        <f t="shared" si="589"/>
        <v>6</v>
      </c>
      <c r="BX1075" s="4">
        <f t="shared" si="590"/>
        <v>0</v>
      </c>
      <c r="BY1075" s="4">
        <f t="shared" si="591"/>
        <v>0</v>
      </c>
      <c r="BZ1075" s="37">
        <f t="shared" si="592"/>
        <v>96</v>
      </c>
      <c r="CA1075" s="32" t="e">
        <f>VLOOKUP(J:J,'Agent wise'!A:C,3,0)</f>
        <v>#N/A</v>
      </c>
      <c r="CB1075" s="32">
        <f t="shared" si="593"/>
        <v>45948</v>
      </c>
      <c r="CC1075" t="str">
        <f t="shared" si="594"/>
        <v>Excellent</v>
      </c>
      <c r="CE1075" s="32"/>
      <c r="CJ1075">
        <f t="shared" si="595"/>
        <v>18</v>
      </c>
      <c r="CK1075">
        <f t="shared" si="596"/>
        <v>10</v>
      </c>
      <c r="CL1075">
        <f t="shared" si="597"/>
        <v>2025</v>
      </c>
    </row>
    <row r="1076" spans="1:90" ht="15" customHeight="1" x14ac:dyDescent="0.35">
      <c r="A1076" t="s">
        <v>2662</v>
      </c>
      <c r="B1076" t="s">
        <v>100</v>
      </c>
      <c r="C1076" t="s">
        <v>214</v>
      </c>
      <c r="D1076" t="s">
        <v>101</v>
      </c>
      <c r="E1076" s="32">
        <v>45948</v>
      </c>
      <c r="F1076" t="s">
        <v>222</v>
      </c>
      <c r="G1076" t="s">
        <v>2369</v>
      </c>
      <c r="H1076">
        <v>9446271175</v>
      </c>
      <c r="I1076">
        <v>252</v>
      </c>
      <c r="J1076" t="s">
        <v>2498</v>
      </c>
      <c r="K1076" t="s">
        <v>57</v>
      </c>
      <c r="L1076" t="s">
        <v>58</v>
      </c>
      <c r="M1076" t="s">
        <v>59</v>
      </c>
      <c r="N1076" t="s">
        <v>59</v>
      </c>
      <c r="O1076" t="s">
        <v>59</v>
      </c>
      <c r="P1076" t="s">
        <v>59</v>
      </c>
      <c r="Q1076" t="s">
        <v>59</v>
      </c>
      <c r="R1076" t="s">
        <v>59</v>
      </c>
      <c r="S1076" t="s">
        <v>59</v>
      </c>
      <c r="T1076" t="s">
        <v>59</v>
      </c>
      <c r="U1076" t="s">
        <v>60</v>
      </c>
      <c r="V1076" t="s">
        <v>59</v>
      </c>
      <c r="W1076" t="s">
        <v>59</v>
      </c>
      <c r="X1076" t="s">
        <v>61</v>
      </c>
      <c r="Y1076" t="s">
        <v>59</v>
      </c>
      <c r="Z1076" t="s">
        <v>59</v>
      </c>
      <c r="AA1076" t="s">
        <v>60</v>
      </c>
      <c r="AB1076" t="s">
        <v>61</v>
      </c>
      <c r="AC1076" t="s">
        <v>60</v>
      </c>
      <c r="AD1076" t="s">
        <v>59</v>
      </c>
      <c r="AE1076" t="s">
        <v>59</v>
      </c>
      <c r="AF1076" t="s">
        <v>61</v>
      </c>
      <c r="AG1076" t="s">
        <v>60</v>
      </c>
      <c r="AH1076" t="s">
        <v>61</v>
      </c>
      <c r="AI1076" t="s">
        <v>61</v>
      </c>
      <c r="AJ1076" t="s">
        <v>61</v>
      </c>
      <c r="AK1076" t="s">
        <v>61</v>
      </c>
      <c r="AL1076" t="s">
        <v>60</v>
      </c>
      <c r="AM1076" t="s">
        <v>59</v>
      </c>
      <c r="AN1076" t="s">
        <v>59</v>
      </c>
      <c r="AO1076" t="s">
        <v>59</v>
      </c>
      <c r="AP1076" t="s">
        <v>2663</v>
      </c>
      <c r="AQ1076" s="1" t="s">
        <v>2664</v>
      </c>
      <c r="AR1076" t="s">
        <v>226</v>
      </c>
      <c r="AS1076" t="s">
        <v>352</v>
      </c>
      <c r="AT1076" t="s">
        <v>352</v>
      </c>
      <c r="AU1076" t="s">
        <v>387</v>
      </c>
      <c r="AW1076" s="4">
        <f t="shared" si="563"/>
        <v>6</v>
      </c>
      <c r="AX1076" s="4">
        <f t="shared" si="564"/>
        <v>4</v>
      </c>
      <c r="AY1076" s="4">
        <f t="shared" si="565"/>
        <v>4</v>
      </c>
      <c r="AZ1076" s="4">
        <f t="shared" si="566"/>
        <v>2</v>
      </c>
      <c r="BA1076" s="4">
        <f t="shared" si="567"/>
        <v>4</v>
      </c>
      <c r="BB1076" s="4">
        <f t="shared" si="568"/>
        <v>4</v>
      </c>
      <c r="BC1076" s="4">
        <f t="shared" si="569"/>
        <v>4</v>
      </c>
      <c r="BD1076" s="4">
        <f t="shared" si="570"/>
        <v>2</v>
      </c>
      <c r="BE1076" s="4" t="str">
        <f t="shared" si="571"/>
        <v>0</v>
      </c>
      <c r="BF1076" s="4">
        <f t="shared" si="572"/>
        <v>2</v>
      </c>
      <c r="BG1076" s="4">
        <f t="shared" si="573"/>
        <v>4</v>
      </c>
      <c r="BH1076" s="4">
        <f t="shared" si="574"/>
        <v>4</v>
      </c>
      <c r="BI1076" s="4">
        <f t="shared" si="575"/>
        <v>4</v>
      </c>
      <c r="BJ1076" s="4">
        <f t="shared" si="576"/>
        <v>2</v>
      </c>
      <c r="BK1076" s="4" t="str">
        <f t="shared" si="577"/>
        <v>0</v>
      </c>
      <c r="BL1076" s="4">
        <f t="shared" si="578"/>
        <v>2</v>
      </c>
      <c r="BM1076" s="4" t="str">
        <f t="shared" si="579"/>
        <v>0</v>
      </c>
      <c r="BN1076" s="4">
        <f t="shared" si="580"/>
        <v>4</v>
      </c>
      <c r="BO1076" s="4">
        <f t="shared" si="581"/>
        <v>4</v>
      </c>
      <c r="BP1076" s="4">
        <f t="shared" si="582"/>
        <v>4</v>
      </c>
      <c r="BQ1076" s="4" t="str">
        <f t="shared" si="583"/>
        <v>0</v>
      </c>
      <c r="BR1076" s="4">
        <f t="shared" si="584"/>
        <v>4</v>
      </c>
      <c r="BS1076" s="4">
        <f t="shared" si="585"/>
        <v>4</v>
      </c>
      <c r="BT1076" s="4">
        <f t="shared" si="586"/>
        <v>4</v>
      </c>
      <c r="BU1076" s="4">
        <f t="shared" si="587"/>
        <v>4</v>
      </c>
      <c r="BV1076" s="4" t="str">
        <f t="shared" si="588"/>
        <v>0</v>
      </c>
      <c r="BW1076" s="4">
        <f t="shared" si="589"/>
        <v>6</v>
      </c>
      <c r="BX1076" s="4">
        <f t="shared" si="590"/>
        <v>0</v>
      </c>
      <c r="BY1076" s="4">
        <f t="shared" si="591"/>
        <v>0</v>
      </c>
      <c r="BZ1076" s="37">
        <f t="shared" si="592"/>
        <v>82</v>
      </c>
      <c r="CA1076" s="32" t="e">
        <f>VLOOKUP(J:J,'Agent wise'!A:C,3,0)</f>
        <v>#N/A</v>
      </c>
      <c r="CB1076" s="32">
        <f t="shared" si="593"/>
        <v>45948</v>
      </c>
      <c r="CC1076" t="str">
        <f t="shared" si="594"/>
        <v>FC</v>
      </c>
      <c r="CE1076" s="32"/>
      <c r="CJ1076">
        <f t="shared" si="595"/>
        <v>18</v>
      </c>
      <c r="CK1076">
        <f t="shared" si="596"/>
        <v>10</v>
      </c>
      <c r="CL1076">
        <f t="shared" si="597"/>
        <v>2025</v>
      </c>
    </row>
    <row r="1077" spans="1:90" ht="15" customHeight="1" x14ac:dyDescent="0.35">
      <c r="A1077" t="s">
        <v>2665</v>
      </c>
      <c r="B1077" t="s">
        <v>100</v>
      </c>
      <c r="C1077" t="s">
        <v>214</v>
      </c>
      <c r="D1077" t="s">
        <v>101</v>
      </c>
      <c r="E1077" s="32">
        <v>45948</v>
      </c>
      <c r="F1077" t="s">
        <v>222</v>
      </c>
      <c r="G1077" t="s">
        <v>2369</v>
      </c>
      <c r="H1077">
        <v>7530098860</v>
      </c>
      <c r="I1077">
        <v>256</v>
      </c>
      <c r="J1077" t="s">
        <v>2498</v>
      </c>
      <c r="K1077" t="s">
        <v>71</v>
      </c>
      <c r="L1077" t="s">
        <v>72</v>
      </c>
      <c r="M1077" t="s">
        <v>59</v>
      </c>
      <c r="N1077" t="s">
        <v>59</v>
      </c>
      <c r="O1077" t="s">
        <v>61</v>
      </c>
      <c r="P1077" t="s">
        <v>59</v>
      </c>
      <c r="Q1077" t="s">
        <v>59</v>
      </c>
      <c r="R1077" t="s">
        <v>60</v>
      </c>
      <c r="S1077" t="s">
        <v>60</v>
      </c>
      <c r="T1077" t="s">
        <v>59</v>
      </c>
      <c r="U1077" t="s">
        <v>60</v>
      </c>
      <c r="V1077" t="s">
        <v>59</v>
      </c>
      <c r="W1077" t="s">
        <v>59</v>
      </c>
      <c r="X1077" t="s">
        <v>61</v>
      </c>
      <c r="Y1077" t="s">
        <v>59</v>
      </c>
      <c r="Z1077" t="s">
        <v>59</v>
      </c>
      <c r="AA1077" t="s">
        <v>60</v>
      </c>
      <c r="AB1077" t="s">
        <v>60</v>
      </c>
      <c r="AC1077" t="s">
        <v>60</v>
      </c>
      <c r="AD1077" t="s">
        <v>61</v>
      </c>
      <c r="AE1077" t="s">
        <v>59</v>
      </c>
      <c r="AF1077" t="s">
        <v>61</v>
      </c>
      <c r="AG1077" t="s">
        <v>59</v>
      </c>
      <c r="AH1077" t="s">
        <v>61</v>
      </c>
      <c r="AI1077" t="s">
        <v>60</v>
      </c>
      <c r="AJ1077" t="s">
        <v>61</v>
      </c>
      <c r="AK1077" t="s">
        <v>61</v>
      </c>
      <c r="AL1077" t="s">
        <v>60</v>
      </c>
      <c r="AM1077" t="s">
        <v>59</v>
      </c>
      <c r="AN1077" t="s">
        <v>59</v>
      </c>
      <c r="AO1077" t="s">
        <v>59</v>
      </c>
      <c r="AP1077" t="s">
        <v>2663</v>
      </c>
      <c r="AQ1077" s="1" t="s">
        <v>2666</v>
      </c>
      <c r="AR1077" t="s">
        <v>226</v>
      </c>
      <c r="AS1077" t="s">
        <v>352</v>
      </c>
      <c r="AT1077" t="s">
        <v>352</v>
      </c>
      <c r="AU1077" t="s">
        <v>299</v>
      </c>
      <c r="AW1077" s="4">
        <f t="shared" si="563"/>
        <v>6</v>
      </c>
      <c r="AX1077" s="4">
        <f t="shared" si="564"/>
        <v>4</v>
      </c>
      <c r="AY1077" s="4">
        <f t="shared" si="565"/>
        <v>4</v>
      </c>
      <c r="AZ1077" s="4">
        <f t="shared" si="566"/>
        <v>2</v>
      </c>
      <c r="BA1077" s="4">
        <f t="shared" si="567"/>
        <v>4</v>
      </c>
      <c r="BB1077" s="4" t="str">
        <f t="shared" si="568"/>
        <v>0</v>
      </c>
      <c r="BC1077" s="4" t="str">
        <f t="shared" si="569"/>
        <v>0</v>
      </c>
      <c r="BD1077" s="4">
        <f t="shared" si="570"/>
        <v>2</v>
      </c>
      <c r="BE1077" s="4" t="str">
        <f t="shared" si="571"/>
        <v>0</v>
      </c>
      <c r="BF1077" s="4">
        <f t="shared" si="572"/>
        <v>2</v>
      </c>
      <c r="BG1077" s="4">
        <f t="shared" si="573"/>
        <v>4</v>
      </c>
      <c r="BH1077" s="4">
        <f t="shared" si="574"/>
        <v>4</v>
      </c>
      <c r="BI1077" s="4">
        <f t="shared" si="575"/>
        <v>4</v>
      </c>
      <c r="BJ1077" s="4">
        <f t="shared" si="576"/>
        <v>2</v>
      </c>
      <c r="BK1077" s="4" t="str">
        <f t="shared" si="577"/>
        <v>0</v>
      </c>
      <c r="BL1077" s="4" t="str">
        <f t="shared" si="578"/>
        <v>0</v>
      </c>
      <c r="BM1077" s="4" t="str">
        <f t="shared" si="579"/>
        <v>0</v>
      </c>
      <c r="BN1077" s="4">
        <f t="shared" si="580"/>
        <v>4</v>
      </c>
      <c r="BO1077" s="4">
        <f t="shared" si="581"/>
        <v>4</v>
      </c>
      <c r="BP1077" s="4">
        <f t="shared" si="582"/>
        <v>4</v>
      </c>
      <c r="BQ1077" s="4">
        <f t="shared" si="583"/>
        <v>6</v>
      </c>
      <c r="BR1077" s="4">
        <f t="shared" si="584"/>
        <v>4</v>
      </c>
      <c r="BS1077" s="4" t="str">
        <f t="shared" si="585"/>
        <v>0</v>
      </c>
      <c r="BT1077" s="4">
        <f t="shared" si="586"/>
        <v>4</v>
      </c>
      <c r="BU1077" s="4">
        <f t="shared" si="587"/>
        <v>4</v>
      </c>
      <c r="BV1077" s="4" t="str">
        <f t="shared" si="588"/>
        <v>0</v>
      </c>
      <c r="BW1077" s="4">
        <f t="shared" si="589"/>
        <v>6</v>
      </c>
      <c r="BX1077" s="4">
        <f t="shared" si="590"/>
        <v>0</v>
      </c>
      <c r="BY1077" s="4">
        <f t="shared" si="591"/>
        <v>0</v>
      </c>
      <c r="BZ1077" s="37">
        <f t="shared" si="592"/>
        <v>74</v>
      </c>
      <c r="CA1077" s="32" t="e">
        <f>VLOOKUP(J:J,'Agent wise'!A:C,3,0)</f>
        <v>#N/A</v>
      </c>
      <c r="CB1077" s="32">
        <f t="shared" si="593"/>
        <v>45948</v>
      </c>
      <c r="CC1077" t="str">
        <f t="shared" si="594"/>
        <v>FC</v>
      </c>
      <c r="CE1077" s="32"/>
      <c r="CJ1077">
        <f t="shared" si="595"/>
        <v>18</v>
      </c>
      <c r="CK1077">
        <f t="shared" si="596"/>
        <v>10</v>
      </c>
      <c r="CL1077">
        <f t="shared" si="597"/>
        <v>2025</v>
      </c>
    </row>
    <row r="1078" spans="1:90" ht="15" customHeight="1" x14ac:dyDescent="0.35">
      <c r="A1078" t="s">
        <v>2667</v>
      </c>
      <c r="B1078" t="s">
        <v>100</v>
      </c>
      <c r="C1078" t="s">
        <v>214</v>
      </c>
      <c r="D1078" t="s">
        <v>101</v>
      </c>
      <c r="E1078" s="32">
        <v>45948</v>
      </c>
      <c r="F1078" t="s">
        <v>222</v>
      </c>
      <c r="G1078" t="s">
        <v>2369</v>
      </c>
      <c r="H1078">
        <v>8078569650</v>
      </c>
      <c r="I1078">
        <v>347</v>
      </c>
      <c r="J1078" t="s">
        <v>2491</v>
      </c>
      <c r="K1078" t="s">
        <v>57</v>
      </c>
      <c r="L1078" t="s">
        <v>58</v>
      </c>
      <c r="M1078" t="s">
        <v>59</v>
      </c>
      <c r="N1078" t="s">
        <v>59</v>
      </c>
      <c r="O1078" t="s">
        <v>59</v>
      </c>
      <c r="P1078" t="s">
        <v>59</v>
      </c>
      <c r="Q1078" t="s">
        <v>59</v>
      </c>
      <c r="R1078" t="s">
        <v>59</v>
      </c>
      <c r="S1078" t="s">
        <v>59</v>
      </c>
      <c r="T1078" t="s">
        <v>59</v>
      </c>
      <c r="U1078" t="s">
        <v>60</v>
      </c>
      <c r="V1078" t="s">
        <v>59</v>
      </c>
      <c r="W1078" t="s">
        <v>59</v>
      </c>
      <c r="X1078" t="s">
        <v>61</v>
      </c>
      <c r="Y1078" t="s">
        <v>59</v>
      </c>
      <c r="Z1078" t="s">
        <v>59</v>
      </c>
      <c r="AA1078" t="s">
        <v>60</v>
      </c>
      <c r="AB1078" t="s">
        <v>59</v>
      </c>
      <c r="AC1078" t="s">
        <v>59</v>
      </c>
      <c r="AD1078" t="s">
        <v>59</v>
      </c>
      <c r="AE1078" t="s">
        <v>59</v>
      </c>
      <c r="AF1078" t="s">
        <v>59</v>
      </c>
      <c r="AG1078" t="s">
        <v>60</v>
      </c>
      <c r="AH1078" t="s">
        <v>61</v>
      </c>
      <c r="AI1078" t="s">
        <v>61</v>
      </c>
      <c r="AJ1078" t="s">
        <v>59</v>
      </c>
      <c r="AK1078" t="s">
        <v>61</v>
      </c>
      <c r="AL1078" t="s">
        <v>60</v>
      </c>
      <c r="AM1078" t="s">
        <v>59</v>
      </c>
      <c r="AN1078" t="s">
        <v>59</v>
      </c>
      <c r="AO1078" t="s">
        <v>59</v>
      </c>
      <c r="AP1078" t="s">
        <v>361</v>
      </c>
      <c r="AQ1078" s="1" t="s">
        <v>2668</v>
      </c>
      <c r="AR1078" t="s">
        <v>226</v>
      </c>
      <c r="AS1078" t="s">
        <v>352</v>
      </c>
      <c r="AT1078" t="s">
        <v>352</v>
      </c>
      <c r="AU1078" t="s">
        <v>299</v>
      </c>
      <c r="AW1078" s="4">
        <f t="shared" si="563"/>
        <v>6</v>
      </c>
      <c r="AX1078" s="4">
        <f t="shared" si="564"/>
        <v>4</v>
      </c>
      <c r="AY1078" s="4">
        <f t="shared" si="565"/>
        <v>4</v>
      </c>
      <c r="AZ1078" s="4">
        <f t="shared" si="566"/>
        <v>2</v>
      </c>
      <c r="BA1078" s="4">
        <f t="shared" si="567"/>
        <v>4</v>
      </c>
      <c r="BB1078" s="4">
        <f t="shared" si="568"/>
        <v>4</v>
      </c>
      <c r="BC1078" s="4">
        <f t="shared" si="569"/>
        <v>4</v>
      </c>
      <c r="BD1078" s="4">
        <f t="shared" si="570"/>
        <v>2</v>
      </c>
      <c r="BE1078" s="4" t="str">
        <f t="shared" si="571"/>
        <v>0</v>
      </c>
      <c r="BF1078" s="4">
        <f t="shared" si="572"/>
        <v>2</v>
      </c>
      <c r="BG1078" s="4">
        <f t="shared" si="573"/>
        <v>4</v>
      </c>
      <c r="BH1078" s="4">
        <f t="shared" si="574"/>
        <v>4</v>
      </c>
      <c r="BI1078" s="4">
        <f t="shared" si="575"/>
        <v>4</v>
      </c>
      <c r="BJ1078" s="4">
        <f t="shared" si="576"/>
        <v>2</v>
      </c>
      <c r="BK1078" s="4" t="str">
        <f t="shared" si="577"/>
        <v>0</v>
      </c>
      <c r="BL1078" s="4">
        <f t="shared" si="578"/>
        <v>2</v>
      </c>
      <c r="BM1078" s="4">
        <f t="shared" si="579"/>
        <v>4</v>
      </c>
      <c r="BN1078" s="4">
        <f t="shared" si="580"/>
        <v>4</v>
      </c>
      <c r="BO1078" s="4">
        <f t="shared" si="581"/>
        <v>4</v>
      </c>
      <c r="BP1078" s="4">
        <f t="shared" si="582"/>
        <v>4</v>
      </c>
      <c r="BQ1078" s="4" t="str">
        <f t="shared" si="583"/>
        <v>0</v>
      </c>
      <c r="BR1078" s="4">
        <f t="shared" si="584"/>
        <v>4</v>
      </c>
      <c r="BS1078" s="4">
        <f t="shared" si="585"/>
        <v>4</v>
      </c>
      <c r="BT1078" s="4">
        <f t="shared" si="586"/>
        <v>4</v>
      </c>
      <c r="BU1078" s="4">
        <f t="shared" si="587"/>
        <v>4</v>
      </c>
      <c r="BV1078" s="4" t="str">
        <f t="shared" si="588"/>
        <v>0</v>
      </c>
      <c r="BW1078" s="4">
        <f t="shared" si="589"/>
        <v>6</v>
      </c>
      <c r="BX1078" s="4">
        <f t="shared" si="590"/>
        <v>0</v>
      </c>
      <c r="BY1078" s="4">
        <f t="shared" si="591"/>
        <v>0</v>
      </c>
      <c r="BZ1078" s="37">
        <f t="shared" si="592"/>
        <v>86</v>
      </c>
      <c r="CA1078" s="32" t="e">
        <f>VLOOKUP(J:J,'Agent wise'!A:C,3,0)</f>
        <v>#N/A</v>
      </c>
      <c r="CB1078" s="32">
        <f t="shared" si="593"/>
        <v>45948</v>
      </c>
      <c r="CC1078" t="str">
        <f t="shared" si="594"/>
        <v>Average</v>
      </c>
      <c r="CE1078" s="32"/>
      <c r="CJ1078">
        <f t="shared" si="595"/>
        <v>18</v>
      </c>
      <c r="CK1078">
        <f t="shared" si="596"/>
        <v>10</v>
      </c>
      <c r="CL1078">
        <f t="shared" si="597"/>
        <v>2025</v>
      </c>
    </row>
    <row r="1079" spans="1:90" ht="15" customHeight="1" x14ac:dyDescent="0.35">
      <c r="A1079" t="s">
        <v>2669</v>
      </c>
      <c r="B1079" t="s">
        <v>100</v>
      </c>
      <c r="C1079" t="s">
        <v>214</v>
      </c>
      <c r="D1079" t="s">
        <v>101</v>
      </c>
      <c r="E1079" s="32">
        <v>45948</v>
      </c>
      <c r="F1079" t="s">
        <v>222</v>
      </c>
      <c r="G1079" t="s">
        <v>2369</v>
      </c>
      <c r="H1079">
        <v>7200655111</v>
      </c>
      <c r="I1079">
        <v>417</v>
      </c>
      <c r="J1079" t="s">
        <v>2491</v>
      </c>
      <c r="K1079" t="s">
        <v>71</v>
      </c>
      <c r="L1079" t="s">
        <v>72</v>
      </c>
      <c r="M1079" t="s">
        <v>59</v>
      </c>
      <c r="N1079" t="s">
        <v>59</v>
      </c>
      <c r="O1079" t="s">
        <v>59</v>
      </c>
      <c r="P1079" t="s">
        <v>59</v>
      </c>
      <c r="Q1079" t="s">
        <v>59</v>
      </c>
      <c r="R1079" t="s">
        <v>59</v>
      </c>
      <c r="S1079" t="s">
        <v>59</v>
      </c>
      <c r="T1079" t="s">
        <v>59</v>
      </c>
      <c r="U1079" t="s">
        <v>60</v>
      </c>
      <c r="V1079" t="s">
        <v>59</v>
      </c>
      <c r="W1079" t="s">
        <v>59</v>
      </c>
      <c r="X1079" t="s">
        <v>61</v>
      </c>
      <c r="Y1079" t="s">
        <v>59</v>
      </c>
      <c r="Z1079" t="s">
        <v>60</v>
      </c>
      <c r="AA1079" t="s">
        <v>60</v>
      </c>
      <c r="AB1079" t="s">
        <v>61</v>
      </c>
      <c r="AC1079" t="s">
        <v>60</v>
      </c>
      <c r="AD1079" t="s">
        <v>60</v>
      </c>
      <c r="AE1079" t="s">
        <v>59</v>
      </c>
      <c r="AF1079" t="s">
        <v>61</v>
      </c>
      <c r="AG1079" t="s">
        <v>59</v>
      </c>
      <c r="AH1079" t="s">
        <v>61</v>
      </c>
      <c r="AI1079" t="s">
        <v>61</v>
      </c>
      <c r="AJ1079" t="s">
        <v>59</v>
      </c>
      <c r="AK1079" t="s">
        <v>61</v>
      </c>
      <c r="AL1079" t="s">
        <v>60</v>
      </c>
      <c r="AM1079" t="s">
        <v>59</v>
      </c>
      <c r="AN1079" t="s">
        <v>59</v>
      </c>
      <c r="AO1079" t="s">
        <v>59</v>
      </c>
      <c r="AP1079" t="s">
        <v>2663</v>
      </c>
      <c r="AQ1079" s="1" t="s">
        <v>2670</v>
      </c>
      <c r="AR1079" t="s">
        <v>226</v>
      </c>
      <c r="AS1079" t="s">
        <v>352</v>
      </c>
      <c r="AT1079" t="s">
        <v>352</v>
      </c>
      <c r="AU1079" t="s">
        <v>299</v>
      </c>
      <c r="AW1079" s="4">
        <f t="shared" si="563"/>
        <v>6</v>
      </c>
      <c r="AX1079" s="4">
        <f t="shared" si="564"/>
        <v>4</v>
      </c>
      <c r="AY1079" s="4">
        <f t="shared" si="565"/>
        <v>4</v>
      </c>
      <c r="AZ1079" s="4">
        <f t="shared" si="566"/>
        <v>2</v>
      </c>
      <c r="BA1079" s="4">
        <f t="shared" si="567"/>
        <v>4</v>
      </c>
      <c r="BB1079" s="4">
        <f t="shared" si="568"/>
        <v>4</v>
      </c>
      <c r="BC1079" s="4">
        <f t="shared" si="569"/>
        <v>4</v>
      </c>
      <c r="BD1079" s="4">
        <f t="shared" si="570"/>
        <v>2</v>
      </c>
      <c r="BE1079" s="4" t="str">
        <f t="shared" si="571"/>
        <v>0</v>
      </c>
      <c r="BF1079" s="4">
        <f t="shared" si="572"/>
        <v>2</v>
      </c>
      <c r="BG1079" s="4">
        <f t="shared" si="573"/>
        <v>4</v>
      </c>
      <c r="BH1079" s="4">
        <f t="shared" si="574"/>
        <v>4</v>
      </c>
      <c r="BI1079" s="4">
        <f t="shared" si="575"/>
        <v>4</v>
      </c>
      <c r="BJ1079" s="4" t="str">
        <f t="shared" si="576"/>
        <v>0</v>
      </c>
      <c r="BK1079" s="4" t="str">
        <f t="shared" si="577"/>
        <v>0</v>
      </c>
      <c r="BL1079" s="4">
        <f t="shared" si="578"/>
        <v>2</v>
      </c>
      <c r="BM1079" s="4" t="str">
        <f t="shared" si="579"/>
        <v>0</v>
      </c>
      <c r="BN1079" s="4" t="str">
        <f t="shared" si="580"/>
        <v>0</v>
      </c>
      <c r="BO1079" s="4">
        <f t="shared" si="581"/>
        <v>4</v>
      </c>
      <c r="BP1079" s="4">
        <f t="shared" si="582"/>
        <v>4</v>
      </c>
      <c r="BQ1079" s="4">
        <f t="shared" si="583"/>
        <v>6</v>
      </c>
      <c r="BR1079" s="4">
        <f t="shared" si="584"/>
        <v>4</v>
      </c>
      <c r="BS1079" s="4">
        <f t="shared" si="585"/>
        <v>4</v>
      </c>
      <c r="BT1079" s="4">
        <f t="shared" si="586"/>
        <v>4</v>
      </c>
      <c r="BU1079" s="4">
        <f t="shared" si="587"/>
        <v>4</v>
      </c>
      <c r="BV1079" s="4" t="str">
        <f t="shared" si="588"/>
        <v>0</v>
      </c>
      <c r="BW1079" s="4">
        <f t="shared" si="589"/>
        <v>6</v>
      </c>
      <c r="BX1079" s="4">
        <f t="shared" si="590"/>
        <v>0</v>
      </c>
      <c r="BY1079" s="4">
        <f t="shared" si="591"/>
        <v>0</v>
      </c>
      <c r="BZ1079" s="37">
        <f t="shared" si="592"/>
        <v>82</v>
      </c>
      <c r="CA1079" s="32" t="e">
        <f>VLOOKUP(J:J,'Agent wise'!A:C,3,0)</f>
        <v>#N/A</v>
      </c>
      <c r="CB1079" s="32">
        <f t="shared" si="593"/>
        <v>45948</v>
      </c>
      <c r="CC1079" t="str">
        <f t="shared" si="594"/>
        <v>FC</v>
      </c>
      <c r="CE1079" s="32"/>
      <c r="CJ1079">
        <f t="shared" si="595"/>
        <v>18</v>
      </c>
      <c r="CK1079">
        <f t="shared" si="596"/>
        <v>10</v>
      </c>
      <c r="CL1079">
        <f t="shared" si="597"/>
        <v>2025</v>
      </c>
    </row>
    <row r="1080" spans="1:90" ht="15" customHeight="1" x14ac:dyDescent="0.35">
      <c r="A1080" t="s">
        <v>2671</v>
      </c>
      <c r="B1080" t="s">
        <v>250</v>
      </c>
      <c r="C1080" t="s">
        <v>214</v>
      </c>
      <c r="D1080" t="s">
        <v>251</v>
      </c>
      <c r="E1080" s="32">
        <v>45948</v>
      </c>
      <c r="F1080" t="s">
        <v>54</v>
      </c>
      <c r="G1080" t="s">
        <v>2490</v>
      </c>
      <c r="H1080">
        <v>8301800371</v>
      </c>
      <c r="I1080">
        <v>196</v>
      </c>
      <c r="J1080" t="s">
        <v>2640</v>
      </c>
      <c r="K1080" t="s">
        <v>57</v>
      </c>
      <c r="L1080" t="s">
        <v>58</v>
      </c>
      <c r="M1080" t="s">
        <v>59</v>
      </c>
      <c r="N1080" t="s">
        <v>59</v>
      </c>
      <c r="O1080" t="s">
        <v>59</v>
      </c>
      <c r="P1080" t="s">
        <v>59</v>
      </c>
      <c r="Q1080" t="s">
        <v>59</v>
      </c>
      <c r="R1080" t="s">
        <v>60</v>
      </c>
      <c r="S1080" t="s">
        <v>59</v>
      </c>
      <c r="T1080" t="s">
        <v>60</v>
      </c>
      <c r="U1080" t="s">
        <v>60</v>
      </c>
      <c r="V1080" t="s">
        <v>59</v>
      </c>
      <c r="W1080" t="s">
        <v>59</v>
      </c>
      <c r="X1080" t="s">
        <v>59</v>
      </c>
      <c r="Y1080" t="s">
        <v>59</v>
      </c>
      <c r="Z1080" t="s">
        <v>60</v>
      </c>
      <c r="AA1080" t="s">
        <v>60</v>
      </c>
      <c r="AB1080" t="s">
        <v>60</v>
      </c>
      <c r="AC1080" t="s">
        <v>60</v>
      </c>
      <c r="AD1080" t="s">
        <v>60</v>
      </c>
      <c r="AE1080" t="s">
        <v>60</v>
      </c>
      <c r="AF1080" t="s">
        <v>59</v>
      </c>
      <c r="AG1080" t="s">
        <v>60</v>
      </c>
      <c r="AH1080" t="s">
        <v>59</v>
      </c>
      <c r="AI1080" t="s">
        <v>61</v>
      </c>
      <c r="AJ1080" t="s">
        <v>59</v>
      </c>
      <c r="AK1080" t="s">
        <v>59</v>
      </c>
      <c r="AL1080" t="s">
        <v>59</v>
      </c>
      <c r="AM1080" t="s">
        <v>59</v>
      </c>
      <c r="AN1080" t="s">
        <v>59</v>
      </c>
      <c r="AO1080" t="s">
        <v>59</v>
      </c>
      <c r="AP1080" t="s">
        <v>2672</v>
      </c>
      <c r="AQ1080" t="s">
        <v>2673</v>
      </c>
      <c r="AR1080" t="s">
        <v>64</v>
      </c>
      <c r="AS1080" t="s">
        <v>66</v>
      </c>
      <c r="AT1080" t="s">
        <v>65</v>
      </c>
      <c r="AU1080" t="s">
        <v>515</v>
      </c>
      <c r="AW1080" s="4">
        <f t="shared" si="563"/>
        <v>6</v>
      </c>
      <c r="AX1080" s="4">
        <f t="shared" si="564"/>
        <v>4</v>
      </c>
      <c r="AY1080" s="4">
        <f t="shared" si="565"/>
        <v>4</v>
      </c>
      <c r="AZ1080" s="4">
        <f t="shared" si="566"/>
        <v>2</v>
      </c>
      <c r="BA1080" s="4">
        <f t="shared" si="567"/>
        <v>4</v>
      </c>
      <c r="BB1080" s="4" t="str">
        <f t="shared" si="568"/>
        <v>0</v>
      </c>
      <c r="BC1080" s="4">
        <f t="shared" si="569"/>
        <v>4</v>
      </c>
      <c r="BD1080" s="4" t="str">
        <f t="shared" si="570"/>
        <v>0</v>
      </c>
      <c r="BE1080" s="4" t="str">
        <f t="shared" si="571"/>
        <v>0</v>
      </c>
      <c r="BF1080" s="4">
        <f t="shared" si="572"/>
        <v>2</v>
      </c>
      <c r="BG1080" s="4">
        <f t="shared" si="573"/>
        <v>4</v>
      </c>
      <c r="BH1080" s="4">
        <f t="shared" si="574"/>
        <v>4</v>
      </c>
      <c r="BI1080" s="4">
        <f t="shared" si="575"/>
        <v>4</v>
      </c>
      <c r="BJ1080" s="4" t="str">
        <f t="shared" si="576"/>
        <v>0</v>
      </c>
      <c r="BK1080" s="4" t="str">
        <f t="shared" si="577"/>
        <v>0</v>
      </c>
      <c r="BL1080" s="4" t="str">
        <f t="shared" si="578"/>
        <v>0</v>
      </c>
      <c r="BM1080" s="4" t="str">
        <f t="shared" si="579"/>
        <v>0</v>
      </c>
      <c r="BN1080" s="4" t="str">
        <f t="shared" si="580"/>
        <v>0</v>
      </c>
      <c r="BO1080" s="4" t="str">
        <f t="shared" si="581"/>
        <v>0</v>
      </c>
      <c r="BP1080" s="4">
        <f t="shared" si="582"/>
        <v>4</v>
      </c>
      <c r="BQ1080" s="4" t="str">
        <f t="shared" si="583"/>
        <v>0</v>
      </c>
      <c r="BR1080" s="4">
        <f t="shared" si="584"/>
        <v>4</v>
      </c>
      <c r="BS1080" s="4">
        <f t="shared" si="585"/>
        <v>4</v>
      </c>
      <c r="BT1080" s="4">
        <f t="shared" si="586"/>
        <v>4</v>
      </c>
      <c r="BU1080" s="4">
        <f t="shared" si="587"/>
        <v>4</v>
      </c>
      <c r="BV1080" s="4">
        <f t="shared" si="588"/>
        <v>0</v>
      </c>
      <c r="BW1080" s="4">
        <f t="shared" si="589"/>
        <v>6</v>
      </c>
      <c r="BX1080" s="4">
        <f t="shared" si="590"/>
        <v>0</v>
      </c>
      <c r="BY1080" s="4">
        <f t="shared" si="591"/>
        <v>0</v>
      </c>
      <c r="BZ1080" s="37">
        <f t="shared" si="592"/>
        <v>64</v>
      </c>
      <c r="CA1080" s="32" t="e">
        <f>VLOOKUP(J:J,'Agent wise'!A:C,3,0)</f>
        <v>#N/A</v>
      </c>
      <c r="CB1080" s="32">
        <f t="shared" si="593"/>
        <v>45948</v>
      </c>
      <c r="CC1080" t="str">
        <f t="shared" si="594"/>
        <v>FC</v>
      </c>
      <c r="CE1080" s="32"/>
      <c r="CJ1080">
        <f t="shared" si="595"/>
        <v>18</v>
      </c>
      <c r="CK1080">
        <f t="shared" si="596"/>
        <v>10</v>
      </c>
      <c r="CL1080">
        <f t="shared" si="597"/>
        <v>2025</v>
      </c>
    </row>
    <row r="1081" spans="1:90" ht="15" customHeight="1" x14ac:dyDescent="0.35">
      <c r="A1081" t="s">
        <v>2674</v>
      </c>
      <c r="B1081" t="s">
        <v>250</v>
      </c>
      <c r="C1081" t="s">
        <v>214</v>
      </c>
      <c r="D1081" t="s">
        <v>251</v>
      </c>
      <c r="E1081" s="32">
        <v>45948</v>
      </c>
      <c r="F1081" t="s">
        <v>54</v>
      </c>
      <c r="G1081" t="s">
        <v>2369</v>
      </c>
      <c r="H1081">
        <v>8301800371</v>
      </c>
      <c r="I1081">
        <v>196</v>
      </c>
      <c r="J1081" t="s">
        <v>2640</v>
      </c>
      <c r="K1081" t="s">
        <v>57</v>
      </c>
      <c r="L1081" t="s">
        <v>58</v>
      </c>
      <c r="M1081" t="s">
        <v>59</v>
      </c>
      <c r="N1081" t="s">
        <v>59</v>
      </c>
      <c r="O1081" t="s">
        <v>59</v>
      </c>
      <c r="P1081" t="s">
        <v>59</v>
      </c>
      <c r="Q1081" t="s">
        <v>59</v>
      </c>
      <c r="R1081" t="s">
        <v>60</v>
      </c>
      <c r="S1081" t="s">
        <v>59</v>
      </c>
      <c r="T1081" t="s">
        <v>60</v>
      </c>
      <c r="U1081" t="s">
        <v>60</v>
      </c>
      <c r="V1081" t="s">
        <v>59</v>
      </c>
      <c r="W1081" t="s">
        <v>59</v>
      </c>
      <c r="X1081" t="s">
        <v>59</v>
      </c>
      <c r="Y1081" t="s">
        <v>59</v>
      </c>
      <c r="Z1081" t="s">
        <v>60</v>
      </c>
      <c r="AA1081" t="s">
        <v>60</v>
      </c>
      <c r="AB1081" t="s">
        <v>59</v>
      </c>
      <c r="AC1081" t="s">
        <v>59</v>
      </c>
      <c r="AD1081" t="s">
        <v>60</v>
      </c>
      <c r="AE1081" t="s">
        <v>59</v>
      </c>
      <c r="AF1081" t="s">
        <v>59</v>
      </c>
      <c r="AG1081" t="s">
        <v>60</v>
      </c>
      <c r="AH1081" t="s">
        <v>61</v>
      </c>
      <c r="AI1081" t="s">
        <v>61</v>
      </c>
      <c r="AJ1081" t="s">
        <v>59</v>
      </c>
      <c r="AK1081" t="s">
        <v>59</v>
      </c>
      <c r="AL1081" t="s">
        <v>60</v>
      </c>
      <c r="AM1081" t="s">
        <v>59</v>
      </c>
      <c r="AN1081" t="s">
        <v>59</v>
      </c>
      <c r="AO1081" t="s">
        <v>59</v>
      </c>
      <c r="AP1081" s="1" t="s">
        <v>2675</v>
      </c>
      <c r="AQ1081" s="1" t="s">
        <v>2676</v>
      </c>
      <c r="AR1081" t="s">
        <v>64</v>
      </c>
      <c r="AS1081" t="s">
        <v>89</v>
      </c>
      <c r="AT1081" t="s">
        <v>418</v>
      </c>
      <c r="AU1081" t="s">
        <v>593</v>
      </c>
      <c r="AW1081" s="4">
        <f t="shared" si="563"/>
        <v>6</v>
      </c>
      <c r="AX1081" s="4">
        <f t="shared" si="564"/>
        <v>4</v>
      </c>
      <c r="AY1081" s="4">
        <f t="shared" si="565"/>
        <v>4</v>
      </c>
      <c r="AZ1081" s="4">
        <f t="shared" si="566"/>
        <v>2</v>
      </c>
      <c r="BA1081" s="4">
        <f t="shared" si="567"/>
        <v>4</v>
      </c>
      <c r="BB1081" s="4" t="str">
        <f t="shared" si="568"/>
        <v>0</v>
      </c>
      <c r="BC1081" s="4">
        <f t="shared" si="569"/>
        <v>4</v>
      </c>
      <c r="BD1081" s="4" t="str">
        <f t="shared" si="570"/>
        <v>0</v>
      </c>
      <c r="BE1081" s="4" t="str">
        <f t="shared" si="571"/>
        <v>0</v>
      </c>
      <c r="BF1081" s="4">
        <f t="shared" si="572"/>
        <v>2</v>
      </c>
      <c r="BG1081" s="4">
        <f t="shared" si="573"/>
        <v>4</v>
      </c>
      <c r="BH1081" s="4">
        <f t="shared" si="574"/>
        <v>4</v>
      </c>
      <c r="BI1081" s="4">
        <f t="shared" si="575"/>
        <v>4</v>
      </c>
      <c r="BJ1081" s="4" t="str">
        <f t="shared" si="576"/>
        <v>0</v>
      </c>
      <c r="BK1081" s="4" t="str">
        <f t="shared" si="577"/>
        <v>0</v>
      </c>
      <c r="BL1081" s="4">
        <f t="shared" si="578"/>
        <v>2</v>
      </c>
      <c r="BM1081" s="4">
        <f t="shared" si="579"/>
        <v>4</v>
      </c>
      <c r="BN1081" s="4" t="str">
        <f t="shared" si="580"/>
        <v>0</v>
      </c>
      <c r="BO1081" s="4">
        <f t="shared" si="581"/>
        <v>4</v>
      </c>
      <c r="BP1081" s="4">
        <f t="shared" si="582"/>
        <v>4</v>
      </c>
      <c r="BQ1081" s="4" t="str">
        <f t="shared" si="583"/>
        <v>0</v>
      </c>
      <c r="BR1081" s="4">
        <f t="shared" si="584"/>
        <v>4</v>
      </c>
      <c r="BS1081" s="4">
        <f t="shared" si="585"/>
        <v>4</v>
      </c>
      <c r="BT1081" s="4">
        <f t="shared" si="586"/>
        <v>4</v>
      </c>
      <c r="BU1081" s="4">
        <f t="shared" si="587"/>
        <v>4</v>
      </c>
      <c r="BV1081" s="4" t="str">
        <f t="shared" si="588"/>
        <v>0</v>
      </c>
      <c r="BW1081" s="4">
        <f t="shared" si="589"/>
        <v>6</v>
      </c>
      <c r="BX1081" s="4">
        <f t="shared" si="590"/>
        <v>0</v>
      </c>
      <c r="BY1081" s="4">
        <f t="shared" si="591"/>
        <v>0</v>
      </c>
      <c r="BZ1081" s="37">
        <f t="shared" si="592"/>
        <v>74</v>
      </c>
      <c r="CA1081" s="32" t="e">
        <f>VLOOKUP(J:J,'Agent wise'!A:C,3,0)</f>
        <v>#N/A</v>
      </c>
      <c r="CB1081" s="32">
        <f t="shared" si="593"/>
        <v>45948</v>
      </c>
      <c r="CC1081" t="str">
        <f t="shared" si="594"/>
        <v>FC</v>
      </c>
      <c r="CE1081" s="32"/>
      <c r="CJ1081">
        <f t="shared" si="595"/>
        <v>18</v>
      </c>
      <c r="CK1081">
        <f t="shared" si="596"/>
        <v>10</v>
      </c>
      <c r="CL1081">
        <f t="shared" si="597"/>
        <v>2025</v>
      </c>
    </row>
    <row r="1082" spans="1:90" ht="15" customHeight="1" x14ac:dyDescent="0.35">
      <c r="A1082" t="s">
        <v>2677</v>
      </c>
      <c r="B1082" t="s">
        <v>250</v>
      </c>
      <c r="C1082" t="s">
        <v>214</v>
      </c>
      <c r="D1082" t="s">
        <v>251</v>
      </c>
      <c r="E1082" s="32">
        <v>45948</v>
      </c>
      <c r="F1082" t="s">
        <v>222</v>
      </c>
      <c r="G1082" t="s">
        <v>2369</v>
      </c>
      <c r="H1082">
        <v>9659213200</v>
      </c>
      <c r="I1082">
        <v>159</v>
      </c>
      <c r="J1082" t="s">
        <v>2640</v>
      </c>
      <c r="K1082" t="s">
        <v>71</v>
      </c>
      <c r="L1082" t="s">
        <v>72</v>
      </c>
      <c r="M1082" t="s">
        <v>59</v>
      </c>
      <c r="N1082" t="s">
        <v>59</v>
      </c>
      <c r="O1082" t="s">
        <v>59</v>
      </c>
      <c r="P1082" t="s">
        <v>60</v>
      </c>
      <c r="Q1082" t="s">
        <v>60</v>
      </c>
      <c r="R1082" t="s">
        <v>60</v>
      </c>
      <c r="S1082" t="s">
        <v>60</v>
      </c>
      <c r="T1082" t="s">
        <v>60</v>
      </c>
      <c r="U1082" t="s">
        <v>60</v>
      </c>
      <c r="V1082" t="s">
        <v>59</v>
      </c>
      <c r="W1082" t="s">
        <v>60</v>
      </c>
      <c r="X1082" t="s">
        <v>59</v>
      </c>
      <c r="Y1082" t="s">
        <v>59</v>
      </c>
      <c r="Z1082" t="s">
        <v>60</v>
      </c>
      <c r="AA1082" t="s">
        <v>60</v>
      </c>
      <c r="AB1082" t="s">
        <v>61</v>
      </c>
      <c r="AC1082" t="s">
        <v>60</v>
      </c>
      <c r="AD1082" t="s">
        <v>60</v>
      </c>
      <c r="AE1082" t="s">
        <v>60</v>
      </c>
      <c r="AF1082" t="s">
        <v>59</v>
      </c>
      <c r="AG1082" t="s">
        <v>60</v>
      </c>
      <c r="AH1082" t="s">
        <v>61</v>
      </c>
      <c r="AI1082" t="s">
        <v>61</v>
      </c>
      <c r="AJ1082" t="s">
        <v>59</v>
      </c>
      <c r="AK1082" t="s">
        <v>59</v>
      </c>
      <c r="AL1082" t="s">
        <v>60</v>
      </c>
      <c r="AM1082" t="s">
        <v>59</v>
      </c>
      <c r="AN1082" t="s">
        <v>59</v>
      </c>
      <c r="AO1082" t="s">
        <v>59</v>
      </c>
      <c r="AP1082" t="s">
        <v>2678</v>
      </c>
      <c r="AQ1082" t="s">
        <v>2679</v>
      </c>
      <c r="AR1082" t="s">
        <v>64</v>
      </c>
      <c r="AS1082" t="s">
        <v>375</v>
      </c>
      <c r="AT1082" t="s">
        <v>375</v>
      </c>
      <c r="AU1082" t="s">
        <v>515</v>
      </c>
      <c r="AW1082" s="4">
        <f t="shared" si="563"/>
        <v>6</v>
      </c>
      <c r="AX1082" s="4">
        <f t="shared" si="564"/>
        <v>4</v>
      </c>
      <c r="AY1082" s="4">
        <f t="shared" si="565"/>
        <v>4</v>
      </c>
      <c r="AZ1082" s="4" t="str">
        <f t="shared" si="566"/>
        <v>0</v>
      </c>
      <c r="BA1082" s="4" t="str">
        <f t="shared" si="567"/>
        <v>0</v>
      </c>
      <c r="BB1082" s="4" t="str">
        <f t="shared" si="568"/>
        <v>0</v>
      </c>
      <c r="BC1082" s="4" t="str">
        <f t="shared" si="569"/>
        <v>0</v>
      </c>
      <c r="BD1082" s="4" t="str">
        <f t="shared" si="570"/>
        <v>0</v>
      </c>
      <c r="BE1082" s="4" t="str">
        <f t="shared" si="571"/>
        <v>0</v>
      </c>
      <c r="BF1082" s="4">
        <f t="shared" si="572"/>
        <v>2</v>
      </c>
      <c r="BG1082" s="4" t="str">
        <f t="shared" si="573"/>
        <v>0</v>
      </c>
      <c r="BH1082" s="4">
        <f t="shared" si="574"/>
        <v>4</v>
      </c>
      <c r="BI1082" s="4">
        <f t="shared" si="575"/>
        <v>4</v>
      </c>
      <c r="BJ1082" s="4" t="str">
        <f t="shared" si="576"/>
        <v>0</v>
      </c>
      <c r="BK1082" s="4" t="str">
        <f t="shared" si="577"/>
        <v>0</v>
      </c>
      <c r="BL1082" s="4">
        <f t="shared" si="578"/>
        <v>2</v>
      </c>
      <c r="BM1082" s="4" t="str">
        <f t="shared" si="579"/>
        <v>0</v>
      </c>
      <c r="BN1082" s="4" t="str">
        <f t="shared" si="580"/>
        <v>0</v>
      </c>
      <c r="BO1082" s="4" t="str">
        <f t="shared" si="581"/>
        <v>0</v>
      </c>
      <c r="BP1082" s="4">
        <f t="shared" si="582"/>
        <v>4</v>
      </c>
      <c r="BQ1082" s="4" t="str">
        <f t="shared" si="583"/>
        <v>0</v>
      </c>
      <c r="BR1082" s="4">
        <f t="shared" si="584"/>
        <v>4</v>
      </c>
      <c r="BS1082" s="4">
        <f t="shared" si="585"/>
        <v>4</v>
      </c>
      <c r="BT1082" s="4">
        <f t="shared" si="586"/>
        <v>4</v>
      </c>
      <c r="BU1082" s="4">
        <f t="shared" si="587"/>
        <v>4</v>
      </c>
      <c r="BV1082" s="4" t="str">
        <f t="shared" si="588"/>
        <v>0</v>
      </c>
      <c r="BW1082" s="4">
        <f t="shared" si="589"/>
        <v>6</v>
      </c>
      <c r="BX1082" s="4">
        <f t="shared" si="590"/>
        <v>0</v>
      </c>
      <c r="BY1082" s="4">
        <f t="shared" si="591"/>
        <v>0</v>
      </c>
      <c r="BZ1082" s="37">
        <f t="shared" si="592"/>
        <v>52</v>
      </c>
      <c r="CA1082" s="32" t="e">
        <f>VLOOKUP(J:J,'Agent wise'!A:C,3,0)</f>
        <v>#N/A</v>
      </c>
      <c r="CB1082" s="32">
        <f t="shared" si="593"/>
        <v>45948</v>
      </c>
      <c r="CC1082" t="str">
        <f t="shared" si="594"/>
        <v>FC</v>
      </c>
      <c r="CE1082" s="32"/>
      <c r="CJ1082">
        <f t="shared" si="595"/>
        <v>18</v>
      </c>
      <c r="CK1082">
        <f t="shared" si="596"/>
        <v>10</v>
      </c>
      <c r="CL1082">
        <f t="shared" si="597"/>
        <v>2025</v>
      </c>
    </row>
    <row r="1083" spans="1:90" ht="15" customHeight="1" x14ac:dyDescent="0.35">
      <c r="A1083" t="s">
        <v>2680</v>
      </c>
      <c r="B1083" t="s">
        <v>250</v>
      </c>
      <c r="C1083" t="s">
        <v>214</v>
      </c>
      <c r="D1083" t="s">
        <v>251</v>
      </c>
      <c r="E1083" s="32">
        <v>45948</v>
      </c>
      <c r="F1083" t="s">
        <v>54</v>
      </c>
      <c r="G1083" t="s">
        <v>2369</v>
      </c>
      <c r="H1083">
        <v>8903191646</v>
      </c>
      <c r="I1083">
        <v>303</v>
      </c>
      <c r="J1083" t="s">
        <v>2640</v>
      </c>
      <c r="K1083" t="s">
        <v>71</v>
      </c>
      <c r="L1083" t="s">
        <v>72</v>
      </c>
      <c r="M1083" t="s">
        <v>60</v>
      </c>
      <c r="N1083" t="s">
        <v>59</v>
      </c>
      <c r="O1083" t="s">
        <v>59</v>
      </c>
      <c r="P1083" t="s">
        <v>59</v>
      </c>
      <c r="Q1083" t="s">
        <v>60</v>
      </c>
      <c r="R1083" t="s">
        <v>60</v>
      </c>
      <c r="S1083" t="s">
        <v>59</v>
      </c>
      <c r="T1083" t="s">
        <v>60</v>
      </c>
      <c r="U1083" t="s">
        <v>60</v>
      </c>
      <c r="V1083" t="s">
        <v>59</v>
      </c>
      <c r="W1083" t="s">
        <v>59</v>
      </c>
      <c r="X1083" t="s">
        <v>61</v>
      </c>
      <c r="Y1083" t="s">
        <v>59</v>
      </c>
      <c r="Z1083" t="s">
        <v>59</v>
      </c>
      <c r="AA1083" t="s">
        <v>60</v>
      </c>
      <c r="AB1083" t="s">
        <v>60</v>
      </c>
      <c r="AC1083" t="s">
        <v>60</v>
      </c>
      <c r="AD1083" t="s">
        <v>60</v>
      </c>
      <c r="AE1083" t="s">
        <v>59</v>
      </c>
      <c r="AF1083" t="s">
        <v>59</v>
      </c>
      <c r="AG1083" t="s">
        <v>59</v>
      </c>
      <c r="AH1083" t="s">
        <v>61</v>
      </c>
      <c r="AI1083" t="s">
        <v>61</v>
      </c>
      <c r="AJ1083" t="s">
        <v>59</v>
      </c>
      <c r="AK1083" t="s">
        <v>59</v>
      </c>
      <c r="AL1083" t="s">
        <v>60</v>
      </c>
      <c r="AM1083" t="s">
        <v>59</v>
      </c>
      <c r="AN1083" t="s">
        <v>59</v>
      </c>
      <c r="AO1083" t="s">
        <v>59</v>
      </c>
      <c r="AP1083" t="s">
        <v>2681</v>
      </c>
      <c r="AQ1083" t="s">
        <v>2682</v>
      </c>
      <c r="AR1083" t="s">
        <v>64</v>
      </c>
      <c r="AS1083" t="s">
        <v>375</v>
      </c>
      <c r="AT1083" t="s">
        <v>375</v>
      </c>
      <c r="AU1083" t="s">
        <v>515</v>
      </c>
      <c r="AW1083" s="4" t="str">
        <f t="shared" si="563"/>
        <v>0</v>
      </c>
      <c r="AX1083" s="4">
        <f t="shared" si="564"/>
        <v>4</v>
      </c>
      <c r="AY1083" s="4">
        <f t="shared" si="565"/>
        <v>4</v>
      </c>
      <c r="AZ1083" s="4">
        <f t="shared" si="566"/>
        <v>2</v>
      </c>
      <c r="BA1083" s="4" t="str">
        <f t="shared" si="567"/>
        <v>0</v>
      </c>
      <c r="BB1083" s="4" t="str">
        <f t="shared" si="568"/>
        <v>0</v>
      </c>
      <c r="BC1083" s="4">
        <f t="shared" si="569"/>
        <v>4</v>
      </c>
      <c r="BD1083" s="4" t="str">
        <f t="shared" si="570"/>
        <v>0</v>
      </c>
      <c r="BE1083" s="4" t="str">
        <f t="shared" si="571"/>
        <v>0</v>
      </c>
      <c r="BF1083" s="4">
        <f t="shared" si="572"/>
        <v>2</v>
      </c>
      <c r="BG1083" s="4">
        <f t="shared" si="573"/>
        <v>4</v>
      </c>
      <c r="BH1083" s="4">
        <f t="shared" si="574"/>
        <v>4</v>
      </c>
      <c r="BI1083" s="4">
        <f t="shared" si="575"/>
        <v>4</v>
      </c>
      <c r="BJ1083" s="4">
        <f t="shared" si="576"/>
        <v>2</v>
      </c>
      <c r="BK1083" s="4" t="str">
        <f t="shared" si="577"/>
        <v>0</v>
      </c>
      <c r="BL1083" s="4" t="str">
        <f t="shared" si="578"/>
        <v>0</v>
      </c>
      <c r="BM1083" s="4" t="str">
        <f t="shared" si="579"/>
        <v>0</v>
      </c>
      <c r="BN1083" s="4" t="str">
        <f t="shared" si="580"/>
        <v>0</v>
      </c>
      <c r="BO1083" s="4">
        <f t="shared" si="581"/>
        <v>4</v>
      </c>
      <c r="BP1083" s="4">
        <f t="shared" si="582"/>
        <v>4</v>
      </c>
      <c r="BQ1083" s="4">
        <f t="shared" si="583"/>
        <v>6</v>
      </c>
      <c r="BR1083" s="4">
        <f t="shared" si="584"/>
        <v>4</v>
      </c>
      <c r="BS1083" s="4">
        <f t="shared" si="585"/>
        <v>4</v>
      </c>
      <c r="BT1083" s="4">
        <f t="shared" si="586"/>
        <v>4</v>
      </c>
      <c r="BU1083" s="4">
        <f t="shared" si="587"/>
        <v>4</v>
      </c>
      <c r="BV1083" s="4" t="str">
        <f t="shared" si="588"/>
        <v>0</v>
      </c>
      <c r="BW1083" s="4">
        <f t="shared" si="589"/>
        <v>6</v>
      </c>
      <c r="BX1083" s="4">
        <f t="shared" si="590"/>
        <v>0</v>
      </c>
      <c r="BY1083" s="4">
        <f t="shared" si="591"/>
        <v>0</v>
      </c>
      <c r="BZ1083" s="37">
        <f t="shared" si="592"/>
        <v>66</v>
      </c>
      <c r="CA1083" s="32" t="e">
        <f>VLOOKUP(J:J,'Agent wise'!A:C,3,0)</f>
        <v>#N/A</v>
      </c>
      <c r="CB1083" s="32">
        <f t="shared" si="593"/>
        <v>45948</v>
      </c>
      <c r="CC1083" t="str">
        <f t="shared" si="594"/>
        <v>FC</v>
      </c>
      <c r="CE1083" s="32"/>
      <c r="CJ1083">
        <f t="shared" si="595"/>
        <v>18</v>
      </c>
      <c r="CK1083">
        <f t="shared" si="596"/>
        <v>10</v>
      </c>
      <c r="CL1083">
        <f t="shared" si="597"/>
        <v>2025</v>
      </c>
    </row>
    <row r="1084" spans="1:90" ht="15" customHeight="1" x14ac:dyDescent="0.35">
      <c r="A1084" t="s">
        <v>2683</v>
      </c>
      <c r="B1084" t="s">
        <v>106</v>
      </c>
      <c r="C1084" t="s">
        <v>214</v>
      </c>
      <c r="D1084" t="s">
        <v>107</v>
      </c>
      <c r="E1084" s="32">
        <v>45948</v>
      </c>
      <c r="F1084" t="s">
        <v>54</v>
      </c>
      <c r="G1084" t="s">
        <v>2490</v>
      </c>
      <c r="H1084">
        <v>9750991194</v>
      </c>
      <c r="I1084">
        <v>145</v>
      </c>
      <c r="J1084" t="s">
        <v>466</v>
      </c>
      <c r="K1084" t="s">
        <v>71</v>
      </c>
      <c r="L1084" t="s">
        <v>72</v>
      </c>
      <c r="M1084" t="s">
        <v>59</v>
      </c>
      <c r="N1084" t="s">
        <v>59</v>
      </c>
      <c r="O1084" t="s">
        <v>59</v>
      </c>
      <c r="P1084" t="s">
        <v>59</v>
      </c>
      <c r="Q1084" t="s">
        <v>59</v>
      </c>
      <c r="R1084" t="s">
        <v>59</v>
      </c>
      <c r="S1084" t="s">
        <v>59</v>
      </c>
      <c r="T1084" t="s">
        <v>59</v>
      </c>
      <c r="U1084" t="s">
        <v>60</v>
      </c>
      <c r="V1084" t="s">
        <v>59</v>
      </c>
      <c r="W1084" t="s">
        <v>59</v>
      </c>
      <c r="X1084" t="s">
        <v>59</v>
      </c>
      <c r="Y1084" t="s">
        <v>59</v>
      </c>
      <c r="Z1084" t="s">
        <v>60</v>
      </c>
      <c r="AA1084" t="s">
        <v>59</v>
      </c>
      <c r="AB1084" t="s">
        <v>60</v>
      </c>
      <c r="AC1084" t="s">
        <v>61</v>
      </c>
      <c r="AD1084" t="s">
        <v>61</v>
      </c>
      <c r="AE1084" t="s">
        <v>59</v>
      </c>
      <c r="AF1084" t="s">
        <v>61</v>
      </c>
      <c r="AG1084" t="s">
        <v>59</v>
      </c>
      <c r="AH1084" t="s">
        <v>61</v>
      </c>
      <c r="AI1084" t="s">
        <v>61</v>
      </c>
      <c r="AJ1084" t="s">
        <v>59</v>
      </c>
      <c r="AK1084" t="s">
        <v>59</v>
      </c>
      <c r="AL1084" t="s">
        <v>60</v>
      </c>
      <c r="AM1084" t="s">
        <v>59</v>
      </c>
      <c r="AN1084" t="s">
        <v>59</v>
      </c>
      <c r="AO1084" t="s">
        <v>59</v>
      </c>
      <c r="AP1084" t="s">
        <v>2684</v>
      </c>
      <c r="AQ1084" t="s">
        <v>416</v>
      </c>
      <c r="AR1084" t="s">
        <v>64</v>
      </c>
      <c r="AS1084" t="s">
        <v>417</v>
      </c>
      <c r="AT1084" t="s">
        <v>418</v>
      </c>
      <c r="AU1084" t="s">
        <v>387</v>
      </c>
      <c r="AW1084" s="4">
        <f t="shared" si="563"/>
        <v>6</v>
      </c>
      <c r="AX1084" s="4">
        <f t="shared" si="564"/>
        <v>4</v>
      </c>
      <c r="AY1084" s="4">
        <f t="shared" si="565"/>
        <v>4</v>
      </c>
      <c r="AZ1084" s="4">
        <f t="shared" si="566"/>
        <v>2</v>
      </c>
      <c r="BA1084" s="4">
        <f t="shared" si="567"/>
        <v>4</v>
      </c>
      <c r="BB1084" s="4">
        <f t="shared" si="568"/>
        <v>4</v>
      </c>
      <c r="BC1084" s="4">
        <f t="shared" si="569"/>
        <v>4</v>
      </c>
      <c r="BD1084" s="4">
        <f t="shared" si="570"/>
        <v>2</v>
      </c>
      <c r="BE1084" s="4" t="str">
        <f t="shared" si="571"/>
        <v>0</v>
      </c>
      <c r="BF1084" s="4">
        <f t="shared" si="572"/>
        <v>2</v>
      </c>
      <c r="BG1084" s="4">
        <f t="shared" si="573"/>
        <v>4</v>
      </c>
      <c r="BH1084" s="4">
        <f t="shared" si="574"/>
        <v>4</v>
      </c>
      <c r="BI1084" s="4">
        <f t="shared" si="575"/>
        <v>4</v>
      </c>
      <c r="BJ1084" s="4" t="str">
        <f t="shared" si="576"/>
        <v>0</v>
      </c>
      <c r="BK1084" s="4">
        <f t="shared" si="577"/>
        <v>4</v>
      </c>
      <c r="BL1084" s="4" t="str">
        <f t="shared" si="578"/>
        <v>0</v>
      </c>
      <c r="BM1084" s="4">
        <f t="shared" si="579"/>
        <v>4</v>
      </c>
      <c r="BN1084" s="4">
        <f t="shared" si="580"/>
        <v>4</v>
      </c>
      <c r="BO1084" s="4">
        <f t="shared" si="581"/>
        <v>4</v>
      </c>
      <c r="BP1084" s="4">
        <f t="shared" si="582"/>
        <v>4</v>
      </c>
      <c r="BQ1084" s="4">
        <f t="shared" si="583"/>
        <v>6</v>
      </c>
      <c r="BR1084" s="4">
        <f t="shared" si="584"/>
        <v>4</v>
      </c>
      <c r="BS1084" s="4">
        <f t="shared" si="585"/>
        <v>4</v>
      </c>
      <c r="BT1084" s="4">
        <f t="shared" si="586"/>
        <v>4</v>
      </c>
      <c r="BU1084" s="4">
        <f t="shared" si="587"/>
        <v>4</v>
      </c>
      <c r="BV1084" s="4" t="str">
        <f t="shared" si="588"/>
        <v>0</v>
      </c>
      <c r="BW1084" s="4">
        <f t="shared" si="589"/>
        <v>6</v>
      </c>
      <c r="BX1084" s="4">
        <f t="shared" si="590"/>
        <v>0</v>
      </c>
      <c r="BY1084" s="4">
        <f t="shared" si="591"/>
        <v>0</v>
      </c>
      <c r="BZ1084" s="37">
        <f t="shared" si="592"/>
        <v>92</v>
      </c>
      <c r="CA1084" s="32" t="str">
        <f>VLOOKUP(J:J,'Agent wise'!A:C,3,0)</f>
        <v>Adharsh</v>
      </c>
      <c r="CB1084" s="32">
        <f t="shared" si="593"/>
        <v>45948</v>
      </c>
      <c r="CC1084" t="str">
        <f t="shared" si="594"/>
        <v>Good</v>
      </c>
      <c r="CE1084" s="32"/>
      <c r="CJ1084">
        <f t="shared" si="595"/>
        <v>18</v>
      </c>
      <c r="CK1084">
        <f t="shared" si="596"/>
        <v>10</v>
      </c>
      <c r="CL1084">
        <f t="shared" si="597"/>
        <v>2025</v>
      </c>
    </row>
    <row r="1085" spans="1:90" ht="15" customHeight="1" x14ac:dyDescent="0.35">
      <c r="A1085" t="s">
        <v>2685</v>
      </c>
      <c r="B1085" t="s">
        <v>106</v>
      </c>
      <c r="C1085" t="s">
        <v>214</v>
      </c>
      <c r="D1085" t="s">
        <v>107</v>
      </c>
      <c r="E1085" s="32">
        <v>45948</v>
      </c>
      <c r="F1085" t="s">
        <v>54</v>
      </c>
      <c r="G1085" t="s">
        <v>2490</v>
      </c>
      <c r="H1085">
        <v>9629943025</v>
      </c>
      <c r="I1085">
        <v>140</v>
      </c>
      <c r="J1085" t="s">
        <v>466</v>
      </c>
      <c r="K1085" t="s">
        <v>71</v>
      </c>
      <c r="L1085" t="s">
        <v>72</v>
      </c>
      <c r="M1085" t="s">
        <v>59</v>
      </c>
      <c r="N1085" t="s">
        <v>59</v>
      </c>
      <c r="O1085" t="s">
        <v>59</v>
      </c>
      <c r="P1085" t="s">
        <v>59</v>
      </c>
      <c r="Q1085" t="s">
        <v>59</v>
      </c>
      <c r="R1085" t="s">
        <v>59</v>
      </c>
      <c r="S1085" t="s">
        <v>59</v>
      </c>
      <c r="T1085" t="s">
        <v>59</v>
      </c>
      <c r="U1085" t="s">
        <v>60</v>
      </c>
      <c r="V1085" t="s">
        <v>59</v>
      </c>
      <c r="W1085" t="s">
        <v>59</v>
      </c>
      <c r="X1085" t="s">
        <v>61</v>
      </c>
      <c r="Y1085" t="s">
        <v>59</v>
      </c>
      <c r="Z1085" t="s">
        <v>60</v>
      </c>
      <c r="AA1085" t="s">
        <v>59</v>
      </c>
      <c r="AB1085" t="s">
        <v>59</v>
      </c>
      <c r="AC1085" t="s">
        <v>61</v>
      </c>
      <c r="AD1085" t="s">
        <v>61</v>
      </c>
      <c r="AE1085" t="s">
        <v>59</v>
      </c>
      <c r="AF1085" t="s">
        <v>61</v>
      </c>
      <c r="AG1085" t="s">
        <v>59</v>
      </c>
      <c r="AH1085" t="s">
        <v>61</v>
      </c>
      <c r="AI1085" t="s">
        <v>61</v>
      </c>
      <c r="AJ1085" t="s">
        <v>59</v>
      </c>
      <c r="AK1085" t="s">
        <v>59</v>
      </c>
      <c r="AL1085" t="s">
        <v>59</v>
      </c>
      <c r="AM1085" t="s">
        <v>59</v>
      </c>
      <c r="AN1085" t="s">
        <v>59</v>
      </c>
      <c r="AO1085" t="s">
        <v>59</v>
      </c>
      <c r="AP1085" t="s">
        <v>388</v>
      </c>
      <c r="AQ1085" t="s">
        <v>2686</v>
      </c>
      <c r="AR1085" t="s">
        <v>64</v>
      </c>
      <c r="AS1085" t="s">
        <v>2687</v>
      </c>
      <c r="AT1085" t="s">
        <v>1816</v>
      </c>
      <c r="AU1085" t="s">
        <v>387</v>
      </c>
      <c r="AW1085" s="4">
        <f t="shared" si="563"/>
        <v>6</v>
      </c>
      <c r="AX1085" s="4">
        <f t="shared" si="564"/>
        <v>4</v>
      </c>
      <c r="AY1085" s="4">
        <f t="shared" si="565"/>
        <v>4</v>
      </c>
      <c r="AZ1085" s="4">
        <f t="shared" si="566"/>
        <v>2</v>
      </c>
      <c r="BA1085" s="4">
        <f t="shared" si="567"/>
        <v>4</v>
      </c>
      <c r="BB1085" s="4">
        <f t="shared" si="568"/>
        <v>4</v>
      </c>
      <c r="BC1085" s="4">
        <f t="shared" si="569"/>
        <v>4</v>
      </c>
      <c r="BD1085" s="4">
        <f t="shared" si="570"/>
        <v>2</v>
      </c>
      <c r="BE1085" s="4" t="str">
        <f t="shared" si="571"/>
        <v>0</v>
      </c>
      <c r="BF1085" s="4">
        <f t="shared" si="572"/>
        <v>2</v>
      </c>
      <c r="BG1085" s="4">
        <f t="shared" si="573"/>
        <v>4</v>
      </c>
      <c r="BH1085" s="4">
        <f t="shared" si="574"/>
        <v>4</v>
      </c>
      <c r="BI1085" s="4">
        <f t="shared" si="575"/>
        <v>4</v>
      </c>
      <c r="BJ1085" s="4" t="str">
        <f t="shared" si="576"/>
        <v>0</v>
      </c>
      <c r="BK1085" s="4">
        <f t="shared" si="577"/>
        <v>4</v>
      </c>
      <c r="BL1085" s="4">
        <f t="shared" si="578"/>
        <v>2</v>
      </c>
      <c r="BM1085" s="4">
        <f t="shared" si="579"/>
        <v>4</v>
      </c>
      <c r="BN1085" s="4">
        <f t="shared" si="580"/>
        <v>4</v>
      </c>
      <c r="BO1085" s="4">
        <f t="shared" si="581"/>
        <v>4</v>
      </c>
      <c r="BP1085" s="4">
        <f t="shared" si="582"/>
        <v>4</v>
      </c>
      <c r="BQ1085" s="4">
        <f t="shared" si="583"/>
        <v>6</v>
      </c>
      <c r="BR1085" s="4">
        <f t="shared" si="584"/>
        <v>4</v>
      </c>
      <c r="BS1085" s="4">
        <f t="shared" si="585"/>
        <v>4</v>
      </c>
      <c r="BT1085" s="4">
        <f t="shared" si="586"/>
        <v>4</v>
      </c>
      <c r="BU1085" s="4">
        <f t="shared" si="587"/>
        <v>4</v>
      </c>
      <c r="BV1085" s="4">
        <f t="shared" si="588"/>
        <v>0</v>
      </c>
      <c r="BW1085" s="4">
        <f t="shared" si="589"/>
        <v>6</v>
      </c>
      <c r="BX1085" s="4">
        <f t="shared" si="590"/>
        <v>0</v>
      </c>
      <c r="BY1085" s="4">
        <f t="shared" si="591"/>
        <v>0</v>
      </c>
      <c r="BZ1085" s="37">
        <f t="shared" si="592"/>
        <v>94</v>
      </c>
      <c r="CA1085" s="32" t="str">
        <f>VLOOKUP(J:J,'Agent wise'!A:C,3,0)</f>
        <v>Adharsh</v>
      </c>
      <c r="CB1085" s="32">
        <f t="shared" si="593"/>
        <v>45948</v>
      </c>
      <c r="CC1085" t="str">
        <f t="shared" si="594"/>
        <v>Good</v>
      </c>
      <c r="CE1085" s="32"/>
      <c r="CJ1085">
        <f t="shared" si="595"/>
        <v>18</v>
      </c>
      <c r="CK1085">
        <f t="shared" si="596"/>
        <v>10</v>
      </c>
      <c r="CL1085">
        <f t="shared" si="597"/>
        <v>2025</v>
      </c>
    </row>
    <row r="1086" spans="1:90" ht="15" customHeight="1" x14ac:dyDescent="0.35">
      <c r="A1086" t="s">
        <v>2688</v>
      </c>
      <c r="B1086" t="s">
        <v>106</v>
      </c>
      <c r="C1086" t="s">
        <v>214</v>
      </c>
      <c r="D1086" t="s">
        <v>107</v>
      </c>
      <c r="E1086" s="32">
        <v>45948</v>
      </c>
      <c r="F1086" t="s">
        <v>54</v>
      </c>
      <c r="G1086" t="s">
        <v>2490</v>
      </c>
      <c r="H1086">
        <v>9747536333</v>
      </c>
      <c r="I1086">
        <v>137</v>
      </c>
      <c r="J1086" t="s">
        <v>263</v>
      </c>
      <c r="K1086" t="s">
        <v>57</v>
      </c>
      <c r="L1086" t="s">
        <v>58</v>
      </c>
      <c r="M1086" t="s">
        <v>59</v>
      </c>
      <c r="N1086" t="s">
        <v>59</v>
      </c>
      <c r="O1086" t="s">
        <v>59</v>
      </c>
      <c r="P1086" t="s">
        <v>59</v>
      </c>
      <c r="Q1086" t="s">
        <v>59</v>
      </c>
      <c r="R1086" t="s">
        <v>59</v>
      </c>
      <c r="S1086" t="s">
        <v>59</v>
      </c>
      <c r="T1086" t="s">
        <v>59</v>
      </c>
      <c r="U1086" t="s">
        <v>60</v>
      </c>
      <c r="V1086" t="s">
        <v>59</v>
      </c>
      <c r="W1086" t="s">
        <v>59</v>
      </c>
      <c r="X1086" t="s">
        <v>61</v>
      </c>
      <c r="Y1086" t="s">
        <v>59</v>
      </c>
      <c r="Z1086" t="s">
        <v>60</v>
      </c>
      <c r="AA1086" t="s">
        <v>60</v>
      </c>
      <c r="AB1086" t="s">
        <v>60</v>
      </c>
      <c r="AC1086" t="s">
        <v>60</v>
      </c>
      <c r="AD1086" t="s">
        <v>61</v>
      </c>
      <c r="AE1086" t="s">
        <v>59</v>
      </c>
      <c r="AF1086" t="s">
        <v>61</v>
      </c>
      <c r="AG1086" t="s">
        <v>59</v>
      </c>
      <c r="AH1086" t="s">
        <v>61</v>
      </c>
      <c r="AI1086" t="s">
        <v>61</v>
      </c>
      <c r="AJ1086" t="s">
        <v>59</v>
      </c>
      <c r="AK1086" t="s">
        <v>59</v>
      </c>
      <c r="AL1086" t="s">
        <v>60</v>
      </c>
      <c r="AM1086" t="s">
        <v>59</v>
      </c>
      <c r="AN1086" t="s">
        <v>59</v>
      </c>
      <c r="AO1086" t="s">
        <v>59</v>
      </c>
      <c r="AP1086" t="s">
        <v>2689</v>
      </c>
      <c r="AQ1086" t="s">
        <v>416</v>
      </c>
      <c r="AR1086" t="s">
        <v>64</v>
      </c>
      <c r="AS1086" t="s">
        <v>417</v>
      </c>
      <c r="AT1086" t="s">
        <v>418</v>
      </c>
      <c r="AU1086" t="s">
        <v>1113</v>
      </c>
      <c r="AW1086" s="4">
        <f t="shared" si="563"/>
        <v>6</v>
      </c>
      <c r="AX1086" s="4">
        <f t="shared" si="564"/>
        <v>4</v>
      </c>
      <c r="AY1086" s="4">
        <f t="shared" si="565"/>
        <v>4</v>
      </c>
      <c r="AZ1086" s="4">
        <f t="shared" si="566"/>
        <v>2</v>
      </c>
      <c r="BA1086" s="4">
        <f t="shared" si="567"/>
        <v>4</v>
      </c>
      <c r="BB1086" s="4">
        <f t="shared" si="568"/>
        <v>4</v>
      </c>
      <c r="BC1086" s="4">
        <f t="shared" si="569"/>
        <v>4</v>
      </c>
      <c r="BD1086" s="4">
        <f t="shared" si="570"/>
        <v>2</v>
      </c>
      <c r="BE1086" s="4" t="str">
        <f t="shared" si="571"/>
        <v>0</v>
      </c>
      <c r="BF1086" s="4">
        <f t="shared" si="572"/>
        <v>2</v>
      </c>
      <c r="BG1086" s="4">
        <f t="shared" si="573"/>
        <v>4</v>
      </c>
      <c r="BH1086" s="4">
        <f t="shared" si="574"/>
        <v>4</v>
      </c>
      <c r="BI1086" s="4">
        <f t="shared" si="575"/>
        <v>4</v>
      </c>
      <c r="BJ1086" s="4" t="str">
        <f t="shared" si="576"/>
        <v>0</v>
      </c>
      <c r="BK1086" s="4" t="str">
        <f t="shared" si="577"/>
        <v>0</v>
      </c>
      <c r="BL1086" s="4" t="str">
        <f t="shared" si="578"/>
        <v>0</v>
      </c>
      <c r="BM1086" s="4" t="str">
        <f t="shared" si="579"/>
        <v>0</v>
      </c>
      <c r="BN1086" s="4">
        <f t="shared" si="580"/>
        <v>4</v>
      </c>
      <c r="BO1086" s="4">
        <f t="shared" si="581"/>
        <v>4</v>
      </c>
      <c r="BP1086" s="4">
        <f t="shared" si="582"/>
        <v>4</v>
      </c>
      <c r="BQ1086" s="4">
        <f t="shared" si="583"/>
        <v>6</v>
      </c>
      <c r="BR1086" s="4">
        <f t="shared" si="584"/>
        <v>4</v>
      </c>
      <c r="BS1086" s="4">
        <f t="shared" si="585"/>
        <v>4</v>
      </c>
      <c r="BT1086" s="4">
        <f t="shared" si="586"/>
        <v>4</v>
      </c>
      <c r="BU1086" s="4">
        <f t="shared" si="587"/>
        <v>4</v>
      </c>
      <c r="BV1086" s="4" t="str">
        <f t="shared" si="588"/>
        <v>0</v>
      </c>
      <c r="BW1086" s="4">
        <f t="shared" si="589"/>
        <v>6</v>
      </c>
      <c r="BX1086" s="4">
        <f t="shared" si="590"/>
        <v>0</v>
      </c>
      <c r="BY1086" s="4">
        <f t="shared" si="591"/>
        <v>0</v>
      </c>
      <c r="BZ1086" s="37">
        <f t="shared" si="592"/>
        <v>84</v>
      </c>
      <c r="CA1086" s="32" t="str">
        <f>VLOOKUP(J:J,'Agent wise'!A:C,3,0)</f>
        <v>Adharsh</v>
      </c>
      <c r="CB1086" s="32">
        <f t="shared" si="593"/>
        <v>45948</v>
      </c>
      <c r="CC1086" t="str">
        <f t="shared" si="594"/>
        <v>FC</v>
      </c>
      <c r="CE1086" s="32"/>
      <c r="CJ1086">
        <f t="shared" si="595"/>
        <v>18</v>
      </c>
      <c r="CK1086">
        <f t="shared" si="596"/>
        <v>10</v>
      </c>
      <c r="CL1086">
        <f t="shared" si="597"/>
        <v>2025</v>
      </c>
    </row>
    <row r="1087" spans="1:90" ht="15" customHeight="1" x14ac:dyDescent="0.35">
      <c r="A1087" t="s">
        <v>2690</v>
      </c>
      <c r="B1087" t="s">
        <v>106</v>
      </c>
      <c r="C1087" t="s">
        <v>214</v>
      </c>
      <c r="D1087" t="s">
        <v>107</v>
      </c>
      <c r="E1087" s="32">
        <v>45948</v>
      </c>
      <c r="F1087" t="s">
        <v>54</v>
      </c>
      <c r="G1087" t="s">
        <v>2490</v>
      </c>
      <c r="H1087">
        <v>9944202606</v>
      </c>
      <c r="I1087">
        <v>165</v>
      </c>
      <c r="J1087" t="s">
        <v>263</v>
      </c>
      <c r="K1087" t="s">
        <v>71</v>
      </c>
      <c r="L1087" t="s">
        <v>72</v>
      </c>
      <c r="M1087" t="s">
        <v>60</v>
      </c>
      <c r="N1087" t="s">
        <v>59</v>
      </c>
      <c r="O1087" t="s">
        <v>59</v>
      </c>
      <c r="P1087" t="s">
        <v>59</v>
      </c>
      <c r="Q1087" t="s">
        <v>59</v>
      </c>
      <c r="R1087" t="s">
        <v>59</v>
      </c>
      <c r="S1087" t="s">
        <v>59</v>
      </c>
      <c r="T1087" t="s">
        <v>59</v>
      </c>
      <c r="U1087" t="s">
        <v>60</v>
      </c>
      <c r="V1087" t="s">
        <v>59</v>
      </c>
      <c r="W1087" t="s">
        <v>59</v>
      </c>
      <c r="X1087" t="s">
        <v>61</v>
      </c>
      <c r="Y1087" t="s">
        <v>59</v>
      </c>
      <c r="Z1087" t="s">
        <v>59</v>
      </c>
      <c r="AA1087" t="s">
        <v>59</v>
      </c>
      <c r="AB1087" t="s">
        <v>59</v>
      </c>
      <c r="AC1087" t="s">
        <v>61</v>
      </c>
      <c r="AD1087" t="s">
        <v>61</v>
      </c>
      <c r="AE1087" t="s">
        <v>59</v>
      </c>
      <c r="AF1087" t="s">
        <v>61</v>
      </c>
      <c r="AG1087" t="s">
        <v>59</v>
      </c>
      <c r="AH1087" t="s">
        <v>61</v>
      </c>
      <c r="AI1087" t="s">
        <v>59</v>
      </c>
      <c r="AJ1087" t="s">
        <v>59</v>
      </c>
      <c r="AK1087" t="s">
        <v>59</v>
      </c>
      <c r="AL1087" t="s">
        <v>60</v>
      </c>
      <c r="AM1087" t="s">
        <v>59</v>
      </c>
      <c r="AN1087" t="s">
        <v>59</v>
      </c>
      <c r="AO1087" t="s">
        <v>59</v>
      </c>
      <c r="AP1087" t="s">
        <v>2691</v>
      </c>
      <c r="AQ1087" t="s">
        <v>2692</v>
      </c>
      <c r="AR1087" t="s">
        <v>64</v>
      </c>
      <c r="AS1087" t="s">
        <v>122</v>
      </c>
      <c r="AT1087" t="s">
        <v>123</v>
      </c>
      <c r="AU1087" t="s">
        <v>219</v>
      </c>
      <c r="AW1087" s="4" t="str">
        <f t="shared" si="563"/>
        <v>0</v>
      </c>
      <c r="AX1087" s="4">
        <f t="shared" si="564"/>
        <v>4</v>
      </c>
      <c r="AY1087" s="4">
        <f t="shared" si="565"/>
        <v>4</v>
      </c>
      <c r="AZ1087" s="4">
        <f t="shared" si="566"/>
        <v>2</v>
      </c>
      <c r="BA1087" s="4">
        <f t="shared" si="567"/>
        <v>4</v>
      </c>
      <c r="BB1087" s="4">
        <f t="shared" si="568"/>
        <v>4</v>
      </c>
      <c r="BC1087" s="4">
        <f t="shared" si="569"/>
        <v>4</v>
      </c>
      <c r="BD1087" s="4">
        <f t="shared" si="570"/>
        <v>2</v>
      </c>
      <c r="BE1087" s="4" t="str">
        <f t="shared" si="571"/>
        <v>0</v>
      </c>
      <c r="BF1087" s="4">
        <f t="shared" si="572"/>
        <v>2</v>
      </c>
      <c r="BG1087" s="4">
        <f t="shared" si="573"/>
        <v>4</v>
      </c>
      <c r="BH1087" s="4">
        <f t="shared" si="574"/>
        <v>4</v>
      </c>
      <c r="BI1087" s="4">
        <f t="shared" si="575"/>
        <v>4</v>
      </c>
      <c r="BJ1087" s="4">
        <f t="shared" si="576"/>
        <v>2</v>
      </c>
      <c r="BK1087" s="4">
        <f t="shared" si="577"/>
        <v>4</v>
      </c>
      <c r="BL1087" s="4">
        <f t="shared" si="578"/>
        <v>2</v>
      </c>
      <c r="BM1087" s="4">
        <f t="shared" si="579"/>
        <v>4</v>
      </c>
      <c r="BN1087" s="4">
        <f t="shared" si="580"/>
        <v>4</v>
      </c>
      <c r="BO1087" s="4">
        <f t="shared" si="581"/>
        <v>4</v>
      </c>
      <c r="BP1087" s="4">
        <f t="shared" si="582"/>
        <v>4</v>
      </c>
      <c r="BQ1087" s="4">
        <f t="shared" si="583"/>
        <v>6</v>
      </c>
      <c r="BR1087" s="4">
        <f t="shared" si="584"/>
        <v>4</v>
      </c>
      <c r="BS1087" s="4">
        <f t="shared" si="585"/>
        <v>4</v>
      </c>
      <c r="BT1087" s="4">
        <f t="shared" si="586"/>
        <v>4</v>
      </c>
      <c r="BU1087" s="4">
        <f t="shared" si="587"/>
        <v>4</v>
      </c>
      <c r="BV1087" s="4" t="str">
        <f t="shared" si="588"/>
        <v>0</v>
      </c>
      <c r="BW1087" s="4">
        <f t="shared" si="589"/>
        <v>6</v>
      </c>
      <c r="BX1087" s="4">
        <f t="shared" si="590"/>
        <v>0</v>
      </c>
      <c r="BY1087" s="4">
        <f t="shared" si="591"/>
        <v>0</v>
      </c>
      <c r="BZ1087" s="37">
        <f t="shared" si="592"/>
        <v>90</v>
      </c>
      <c r="CA1087" s="32" t="str">
        <f>VLOOKUP(J:J,'Agent wise'!A:C,3,0)</f>
        <v>Adharsh</v>
      </c>
      <c r="CB1087" s="32">
        <f t="shared" si="593"/>
        <v>45948</v>
      </c>
      <c r="CC1087" t="str">
        <f t="shared" si="594"/>
        <v>Good</v>
      </c>
      <c r="CE1087" s="32"/>
      <c r="CJ1087">
        <f t="shared" si="595"/>
        <v>18</v>
      </c>
      <c r="CK1087">
        <f t="shared" si="596"/>
        <v>10</v>
      </c>
      <c r="CL1087">
        <f t="shared" si="597"/>
        <v>2025</v>
      </c>
    </row>
    <row r="1088" spans="1:90" ht="15" customHeight="1" x14ac:dyDescent="0.35">
      <c r="A1088" t="s">
        <v>2693</v>
      </c>
      <c r="B1088" t="s">
        <v>106</v>
      </c>
      <c r="C1088" t="s">
        <v>214</v>
      </c>
      <c r="D1088" t="s">
        <v>107</v>
      </c>
      <c r="E1088" s="32">
        <v>45948</v>
      </c>
      <c r="F1088" t="s">
        <v>54</v>
      </c>
      <c r="G1088" t="s">
        <v>2490</v>
      </c>
      <c r="H1088">
        <v>8300931439</v>
      </c>
      <c r="I1088">
        <v>216</v>
      </c>
      <c r="J1088" t="s">
        <v>208</v>
      </c>
      <c r="K1088" t="s">
        <v>71</v>
      </c>
      <c r="L1088" t="s">
        <v>72</v>
      </c>
      <c r="M1088" t="s">
        <v>60</v>
      </c>
      <c r="N1088" t="s">
        <v>59</v>
      </c>
      <c r="O1088" t="s">
        <v>59</v>
      </c>
      <c r="P1088" t="s">
        <v>59</v>
      </c>
      <c r="Q1088" t="s">
        <v>59</v>
      </c>
      <c r="R1088" t="s">
        <v>59</v>
      </c>
      <c r="S1088" t="s">
        <v>59</v>
      </c>
      <c r="T1088" t="s">
        <v>59</v>
      </c>
      <c r="U1088" t="s">
        <v>60</v>
      </c>
      <c r="V1088" t="s">
        <v>59</v>
      </c>
      <c r="W1088" t="s">
        <v>59</v>
      </c>
      <c r="X1088" t="s">
        <v>61</v>
      </c>
      <c r="Y1088" t="s">
        <v>59</v>
      </c>
      <c r="Z1088" t="s">
        <v>59</v>
      </c>
      <c r="AA1088" t="s">
        <v>59</v>
      </c>
      <c r="AB1088" t="s">
        <v>59</v>
      </c>
      <c r="AC1088" t="s">
        <v>60</v>
      </c>
      <c r="AD1088" t="s">
        <v>61</v>
      </c>
      <c r="AE1088" t="s">
        <v>59</v>
      </c>
      <c r="AF1088" t="s">
        <v>59</v>
      </c>
      <c r="AG1088" t="s">
        <v>59</v>
      </c>
      <c r="AH1088" t="s">
        <v>61</v>
      </c>
      <c r="AI1088" t="s">
        <v>59</v>
      </c>
      <c r="AJ1088" t="s">
        <v>59</v>
      </c>
      <c r="AK1088" t="s">
        <v>59</v>
      </c>
      <c r="AL1088" t="s">
        <v>59</v>
      </c>
      <c r="AM1088" t="s">
        <v>59</v>
      </c>
      <c r="AN1088" t="s">
        <v>59</v>
      </c>
      <c r="AO1088" t="s">
        <v>59</v>
      </c>
      <c r="AP1088" t="s">
        <v>2694</v>
      </c>
      <c r="AQ1088" t="s">
        <v>2695</v>
      </c>
      <c r="AR1088" t="s">
        <v>64</v>
      </c>
      <c r="AS1088" t="s">
        <v>122</v>
      </c>
      <c r="AT1088" t="s">
        <v>390</v>
      </c>
      <c r="AU1088" t="s">
        <v>219</v>
      </c>
      <c r="AW1088" s="4" t="str">
        <f t="shared" si="563"/>
        <v>0</v>
      </c>
      <c r="AX1088" s="4">
        <f t="shared" si="564"/>
        <v>4</v>
      </c>
      <c r="AY1088" s="4">
        <f t="shared" si="565"/>
        <v>4</v>
      </c>
      <c r="AZ1088" s="4">
        <f t="shared" si="566"/>
        <v>2</v>
      </c>
      <c r="BA1088" s="4">
        <f t="shared" si="567"/>
        <v>4</v>
      </c>
      <c r="BB1088" s="4">
        <f t="shared" si="568"/>
        <v>4</v>
      </c>
      <c r="BC1088" s="4">
        <f t="shared" si="569"/>
        <v>4</v>
      </c>
      <c r="BD1088" s="4">
        <f t="shared" si="570"/>
        <v>2</v>
      </c>
      <c r="BE1088" s="4" t="str">
        <f t="shared" si="571"/>
        <v>0</v>
      </c>
      <c r="BF1088" s="4">
        <f t="shared" si="572"/>
        <v>2</v>
      </c>
      <c r="BG1088" s="4">
        <f t="shared" si="573"/>
        <v>4</v>
      </c>
      <c r="BH1088" s="4">
        <f t="shared" si="574"/>
        <v>4</v>
      </c>
      <c r="BI1088" s="4">
        <f t="shared" si="575"/>
        <v>4</v>
      </c>
      <c r="BJ1088" s="4">
        <f t="shared" si="576"/>
        <v>2</v>
      </c>
      <c r="BK1088" s="4">
        <f t="shared" si="577"/>
        <v>4</v>
      </c>
      <c r="BL1088" s="4">
        <f t="shared" si="578"/>
        <v>2</v>
      </c>
      <c r="BM1088" s="4" t="str">
        <f t="shared" si="579"/>
        <v>0</v>
      </c>
      <c r="BN1088" s="4">
        <f t="shared" si="580"/>
        <v>4</v>
      </c>
      <c r="BO1088" s="4">
        <f t="shared" si="581"/>
        <v>4</v>
      </c>
      <c r="BP1088" s="4">
        <f t="shared" si="582"/>
        <v>4</v>
      </c>
      <c r="BQ1088" s="4">
        <f t="shared" si="583"/>
        <v>6</v>
      </c>
      <c r="BR1088" s="4">
        <f t="shared" si="584"/>
        <v>4</v>
      </c>
      <c r="BS1088" s="4">
        <f t="shared" si="585"/>
        <v>4</v>
      </c>
      <c r="BT1088" s="4">
        <f t="shared" si="586"/>
        <v>4</v>
      </c>
      <c r="BU1088" s="4">
        <f t="shared" si="587"/>
        <v>4</v>
      </c>
      <c r="BV1088" s="4">
        <f t="shared" si="588"/>
        <v>0</v>
      </c>
      <c r="BW1088" s="4">
        <f t="shared" si="589"/>
        <v>6</v>
      </c>
      <c r="BX1088" s="4">
        <f t="shared" si="590"/>
        <v>0</v>
      </c>
      <c r="BY1088" s="4">
        <f t="shared" si="591"/>
        <v>0</v>
      </c>
      <c r="BZ1088" s="37">
        <f t="shared" si="592"/>
        <v>86</v>
      </c>
      <c r="CA1088" s="32" t="str">
        <f>VLOOKUP(J:J,'Agent wise'!A:C,3,0)</f>
        <v>Adharsh</v>
      </c>
      <c r="CB1088" s="32">
        <f t="shared" si="593"/>
        <v>45948</v>
      </c>
      <c r="CC1088" t="str">
        <f t="shared" si="594"/>
        <v>Average</v>
      </c>
      <c r="CE1088" s="32"/>
      <c r="CJ1088">
        <f t="shared" si="595"/>
        <v>18</v>
      </c>
      <c r="CK1088">
        <f t="shared" si="596"/>
        <v>10</v>
      </c>
      <c r="CL1088">
        <f t="shared" si="597"/>
        <v>2025</v>
      </c>
    </row>
    <row r="1089" spans="1:90" ht="15" customHeight="1" x14ac:dyDescent="0.35">
      <c r="A1089" t="s">
        <v>2696</v>
      </c>
      <c r="B1089" t="s">
        <v>130</v>
      </c>
      <c r="C1089" t="s">
        <v>214</v>
      </c>
      <c r="D1089" t="s">
        <v>131</v>
      </c>
      <c r="E1089" s="32">
        <v>45948</v>
      </c>
      <c r="F1089" t="s">
        <v>54</v>
      </c>
      <c r="G1089" t="s">
        <v>2490</v>
      </c>
      <c r="H1089">
        <v>7845293790</v>
      </c>
      <c r="I1089">
        <v>134</v>
      </c>
      <c r="J1089" t="s">
        <v>91</v>
      </c>
      <c r="K1089" t="s">
        <v>71</v>
      </c>
      <c r="L1089" t="s">
        <v>72</v>
      </c>
      <c r="M1089" t="s">
        <v>59</v>
      </c>
      <c r="N1089" t="s">
        <v>59</v>
      </c>
      <c r="O1089" t="s">
        <v>59</v>
      </c>
      <c r="P1089" t="s">
        <v>59</v>
      </c>
      <c r="Q1089" t="s">
        <v>59</v>
      </c>
      <c r="R1089" t="s">
        <v>59</v>
      </c>
      <c r="S1089" t="s">
        <v>59</v>
      </c>
      <c r="T1089" t="s">
        <v>59</v>
      </c>
      <c r="U1089" t="s">
        <v>60</v>
      </c>
      <c r="V1089" t="s">
        <v>59</v>
      </c>
      <c r="W1089" t="s">
        <v>59</v>
      </c>
      <c r="X1089" t="s">
        <v>59</v>
      </c>
      <c r="Y1089" t="s">
        <v>59</v>
      </c>
      <c r="Z1089" t="s">
        <v>59</v>
      </c>
      <c r="AA1089" t="s">
        <v>59</v>
      </c>
      <c r="AB1089" t="s">
        <v>60</v>
      </c>
      <c r="AC1089" t="s">
        <v>59</v>
      </c>
      <c r="AD1089" t="s">
        <v>59</v>
      </c>
      <c r="AE1089" t="s">
        <v>59</v>
      </c>
      <c r="AF1089" t="s">
        <v>61</v>
      </c>
      <c r="AG1089" t="s">
        <v>59</v>
      </c>
      <c r="AH1089" t="s">
        <v>61</v>
      </c>
      <c r="AI1089" t="s">
        <v>61</v>
      </c>
      <c r="AJ1089" t="s">
        <v>59</v>
      </c>
      <c r="AK1089" t="s">
        <v>59</v>
      </c>
      <c r="AL1089" t="s">
        <v>60</v>
      </c>
      <c r="AM1089" t="s">
        <v>59</v>
      </c>
      <c r="AN1089" t="s">
        <v>59</v>
      </c>
      <c r="AO1089" t="s">
        <v>59</v>
      </c>
      <c r="AP1089" t="s">
        <v>1119</v>
      </c>
      <c r="AQ1089" s="1" t="s">
        <v>2697</v>
      </c>
      <c r="AR1089" t="s">
        <v>64</v>
      </c>
      <c r="AS1089" t="s">
        <v>175</v>
      </c>
      <c r="AT1089" t="s">
        <v>167</v>
      </c>
      <c r="AU1089" t="s">
        <v>219</v>
      </c>
      <c r="AW1089" s="4">
        <f t="shared" si="563"/>
        <v>6</v>
      </c>
      <c r="AX1089" s="4">
        <f t="shared" si="564"/>
        <v>4</v>
      </c>
      <c r="AY1089" s="4">
        <f t="shared" si="565"/>
        <v>4</v>
      </c>
      <c r="AZ1089" s="4">
        <f t="shared" si="566"/>
        <v>2</v>
      </c>
      <c r="BA1089" s="4">
        <f t="shared" si="567"/>
        <v>4</v>
      </c>
      <c r="BB1089" s="4">
        <f t="shared" si="568"/>
        <v>4</v>
      </c>
      <c r="BC1089" s="4">
        <f t="shared" si="569"/>
        <v>4</v>
      </c>
      <c r="BD1089" s="4">
        <f t="shared" si="570"/>
        <v>2</v>
      </c>
      <c r="BE1089" s="4" t="str">
        <f t="shared" si="571"/>
        <v>0</v>
      </c>
      <c r="BF1089" s="4">
        <f t="shared" si="572"/>
        <v>2</v>
      </c>
      <c r="BG1089" s="4">
        <f t="shared" si="573"/>
        <v>4</v>
      </c>
      <c r="BH1089" s="4">
        <f t="shared" si="574"/>
        <v>4</v>
      </c>
      <c r="BI1089" s="4">
        <f t="shared" si="575"/>
        <v>4</v>
      </c>
      <c r="BJ1089" s="4">
        <f t="shared" si="576"/>
        <v>2</v>
      </c>
      <c r="BK1089" s="4">
        <f t="shared" si="577"/>
        <v>4</v>
      </c>
      <c r="BL1089" s="4" t="str">
        <f t="shared" si="578"/>
        <v>0</v>
      </c>
      <c r="BM1089" s="4">
        <f t="shared" si="579"/>
        <v>4</v>
      </c>
      <c r="BN1089" s="4">
        <f t="shared" si="580"/>
        <v>4</v>
      </c>
      <c r="BO1089" s="4">
        <f t="shared" si="581"/>
        <v>4</v>
      </c>
      <c r="BP1089" s="4">
        <f t="shared" si="582"/>
        <v>4</v>
      </c>
      <c r="BQ1089" s="4">
        <f t="shared" si="583"/>
        <v>6</v>
      </c>
      <c r="BR1089" s="4">
        <f t="shared" si="584"/>
        <v>4</v>
      </c>
      <c r="BS1089" s="4">
        <f t="shared" si="585"/>
        <v>4</v>
      </c>
      <c r="BT1089" s="4">
        <f t="shared" si="586"/>
        <v>4</v>
      </c>
      <c r="BU1089" s="4">
        <f t="shared" si="587"/>
        <v>4</v>
      </c>
      <c r="BV1089" s="4" t="str">
        <f t="shared" si="588"/>
        <v>0</v>
      </c>
      <c r="BW1089" s="4">
        <f t="shared" si="589"/>
        <v>6</v>
      </c>
      <c r="BX1089" s="4">
        <f t="shared" si="590"/>
        <v>0</v>
      </c>
      <c r="BY1089" s="4">
        <f t="shared" si="591"/>
        <v>0</v>
      </c>
      <c r="BZ1089" s="37">
        <f t="shared" si="592"/>
        <v>94</v>
      </c>
      <c r="CA1089" s="32" t="str">
        <f>VLOOKUP(J:J,'Agent wise'!A:C,3,0)</f>
        <v>Saran S</v>
      </c>
      <c r="CB1089" s="32">
        <f t="shared" si="593"/>
        <v>45948</v>
      </c>
      <c r="CC1089" t="str">
        <f t="shared" si="594"/>
        <v>Good</v>
      </c>
      <c r="CE1089" s="32"/>
      <c r="CJ1089">
        <f t="shared" si="595"/>
        <v>18</v>
      </c>
      <c r="CK1089">
        <f t="shared" si="596"/>
        <v>10</v>
      </c>
      <c r="CL1089">
        <f t="shared" si="597"/>
        <v>2025</v>
      </c>
    </row>
    <row r="1090" spans="1:90" ht="15" customHeight="1" x14ac:dyDescent="0.35">
      <c r="A1090" t="s">
        <v>2698</v>
      </c>
      <c r="B1090" t="s">
        <v>130</v>
      </c>
      <c r="C1090" t="s">
        <v>214</v>
      </c>
      <c r="D1090" t="s">
        <v>131</v>
      </c>
      <c r="E1090" s="32">
        <v>45948</v>
      </c>
      <c r="F1090" t="s">
        <v>54</v>
      </c>
      <c r="G1090" t="s">
        <v>2490</v>
      </c>
      <c r="H1090">
        <v>8489678043</v>
      </c>
      <c r="I1090">
        <v>133</v>
      </c>
      <c r="J1090" t="s">
        <v>657</v>
      </c>
      <c r="K1090" t="s">
        <v>71</v>
      </c>
      <c r="L1090" t="s">
        <v>72</v>
      </c>
      <c r="M1090" t="s">
        <v>59</v>
      </c>
      <c r="N1090" t="s">
        <v>59</v>
      </c>
      <c r="O1090" t="s">
        <v>59</v>
      </c>
      <c r="P1090" t="s">
        <v>59</v>
      </c>
      <c r="Q1090" t="s">
        <v>59</v>
      </c>
      <c r="R1090" t="s">
        <v>59</v>
      </c>
      <c r="S1090" t="s">
        <v>59</v>
      </c>
      <c r="T1090" t="s">
        <v>59</v>
      </c>
      <c r="U1090" t="s">
        <v>60</v>
      </c>
      <c r="V1090" t="s">
        <v>59</v>
      </c>
      <c r="W1090" t="s">
        <v>59</v>
      </c>
      <c r="X1090" t="s">
        <v>59</v>
      </c>
      <c r="Y1090" t="s">
        <v>59</v>
      </c>
      <c r="Z1090" t="s">
        <v>59</v>
      </c>
      <c r="AA1090" t="s">
        <v>60</v>
      </c>
      <c r="AB1090" t="s">
        <v>61</v>
      </c>
      <c r="AC1090" t="s">
        <v>59</v>
      </c>
      <c r="AD1090" t="s">
        <v>59</v>
      </c>
      <c r="AE1090" t="s">
        <v>59</v>
      </c>
      <c r="AF1090" t="s">
        <v>61</v>
      </c>
      <c r="AG1090" t="s">
        <v>59</v>
      </c>
      <c r="AH1090" t="s">
        <v>61</v>
      </c>
      <c r="AI1090" t="s">
        <v>61</v>
      </c>
      <c r="AJ1090" t="s">
        <v>59</v>
      </c>
      <c r="AK1090" t="s">
        <v>59</v>
      </c>
      <c r="AL1090" t="s">
        <v>60</v>
      </c>
      <c r="AM1090" t="s">
        <v>59</v>
      </c>
      <c r="AN1090" t="s">
        <v>59</v>
      </c>
      <c r="AO1090" t="s">
        <v>59</v>
      </c>
      <c r="AP1090" t="s">
        <v>1392</v>
      </c>
      <c r="AQ1090" s="1" t="s">
        <v>2699</v>
      </c>
      <c r="AR1090" t="s">
        <v>64</v>
      </c>
      <c r="AS1090" t="s">
        <v>198</v>
      </c>
      <c r="AT1090" t="s">
        <v>218</v>
      </c>
      <c r="AU1090" t="s">
        <v>219</v>
      </c>
      <c r="AW1090" s="4">
        <f t="shared" si="563"/>
        <v>6</v>
      </c>
      <c r="AX1090" s="4">
        <f t="shared" si="564"/>
        <v>4</v>
      </c>
      <c r="AY1090" s="4">
        <f t="shared" si="565"/>
        <v>4</v>
      </c>
      <c r="AZ1090" s="4">
        <f t="shared" si="566"/>
        <v>2</v>
      </c>
      <c r="BA1090" s="4">
        <f t="shared" si="567"/>
        <v>4</v>
      </c>
      <c r="BB1090" s="4">
        <f t="shared" si="568"/>
        <v>4</v>
      </c>
      <c r="BC1090" s="4">
        <f t="shared" si="569"/>
        <v>4</v>
      </c>
      <c r="BD1090" s="4">
        <f t="shared" si="570"/>
        <v>2</v>
      </c>
      <c r="BE1090" s="4" t="str">
        <f t="shared" si="571"/>
        <v>0</v>
      </c>
      <c r="BF1090" s="4">
        <f t="shared" si="572"/>
        <v>2</v>
      </c>
      <c r="BG1090" s="4">
        <f t="shared" si="573"/>
        <v>4</v>
      </c>
      <c r="BH1090" s="4">
        <f t="shared" si="574"/>
        <v>4</v>
      </c>
      <c r="BI1090" s="4">
        <f t="shared" si="575"/>
        <v>4</v>
      </c>
      <c r="BJ1090" s="4">
        <f t="shared" si="576"/>
        <v>2</v>
      </c>
      <c r="BK1090" s="4" t="str">
        <f t="shared" si="577"/>
        <v>0</v>
      </c>
      <c r="BL1090" s="4">
        <f t="shared" si="578"/>
        <v>2</v>
      </c>
      <c r="BM1090" s="4">
        <f t="shared" si="579"/>
        <v>4</v>
      </c>
      <c r="BN1090" s="4">
        <f t="shared" si="580"/>
        <v>4</v>
      </c>
      <c r="BO1090" s="4">
        <f t="shared" si="581"/>
        <v>4</v>
      </c>
      <c r="BP1090" s="4">
        <f t="shared" si="582"/>
        <v>4</v>
      </c>
      <c r="BQ1090" s="4">
        <f t="shared" si="583"/>
        <v>6</v>
      </c>
      <c r="BR1090" s="4">
        <f t="shared" si="584"/>
        <v>4</v>
      </c>
      <c r="BS1090" s="4">
        <f t="shared" si="585"/>
        <v>4</v>
      </c>
      <c r="BT1090" s="4">
        <f t="shared" si="586"/>
        <v>4</v>
      </c>
      <c r="BU1090" s="4">
        <f t="shared" si="587"/>
        <v>4</v>
      </c>
      <c r="BV1090" s="4" t="str">
        <f t="shared" si="588"/>
        <v>0</v>
      </c>
      <c r="BW1090" s="4">
        <f t="shared" si="589"/>
        <v>6</v>
      </c>
      <c r="BX1090" s="4">
        <f t="shared" si="590"/>
        <v>0</v>
      </c>
      <c r="BY1090" s="4">
        <f t="shared" si="591"/>
        <v>0</v>
      </c>
      <c r="BZ1090" s="37">
        <f t="shared" si="592"/>
        <v>92</v>
      </c>
      <c r="CA1090" s="32" t="str">
        <f>VLOOKUP(J:J,'Agent wise'!A:C,3,0)</f>
        <v>Saran S</v>
      </c>
      <c r="CB1090" s="32">
        <f t="shared" si="593"/>
        <v>45948</v>
      </c>
      <c r="CC1090" t="str">
        <f t="shared" si="594"/>
        <v>Good</v>
      </c>
      <c r="CE1090" s="32"/>
      <c r="CJ1090">
        <f t="shared" si="595"/>
        <v>18</v>
      </c>
      <c r="CK1090">
        <f t="shared" si="596"/>
        <v>10</v>
      </c>
      <c r="CL1090">
        <f t="shared" si="597"/>
        <v>2025</v>
      </c>
    </row>
    <row r="1091" spans="1:90" ht="15" customHeight="1" x14ac:dyDescent="0.35">
      <c r="A1091" t="s">
        <v>2700</v>
      </c>
      <c r="B1091" t="s">
        <v>130</v>
      </c>
      <c r="C1091" t="s">
        <v>214</v>
      </c>
      <c r="D1091" t="s">
        <v>131</v>
      </c>
      <c r="E1091" s="32">
        <v>45948</v>
      </c>
      <c r="F1091" t="s">
        <v>54</v>
      </c>
      <c r="G1091" t="s">
        <v>2490</v>
      </c>
      <c r="H1091">
        <v>9446624713</v>
      </c>
      <c r="I1091">
        <v>126</v>
      </c>
      <c r="J1091" t="s">
        <v>117</v>
      </c>
      <c r="K1091" t="s">
        <v>57</v>
      </c>
      <c r="L1091" t="s">
        <v>58</v>
      </c>
      <c r="M1091" t="s">
        <v>59</v>
      </c>
      <c r="N1091" t="s">
        <v>59</v>
      </c>
      <c r="O1091" t="s">
        <v>59</v>
      </c>
      <c r="P1091" t="s">
        <v>59</v>
      </c>
      <c r="Q1091" t="s">
        <v>59</v>
      </c>
      <c r="R1091" t="s">
        <v>59</v>
      </c>
      <c r="S1091" t="s">
        <v>59</v>
      </c>
      <c r="T1091" t="s">
        <v>59</v>
      </c>
      <c r="U1091" t="s">
        <v>60</v>
      </c>
      <c r="V1091" t="s">
        <v>59</v>
      </c>
      <c r="W1091" t="s">
        <v>59</v>
      </c>
      <c r="X1091" t="s">
        <v>59</v>
      </c>
      <c r="Y1091" t="s">
        <v>59</v>
      </c>
      <c r="Z1091" t="s">
        <v>59</v>
      </c>
      <c r="AA1091" t="s">
        <v>59</v>
      </c>
      <c r="AB1091" t="s">
        <v>60</v>
      </c>
      <c r="AC1091" t="s">
        <v>59</v>
      </c>
      <c r="AD1091" t="s">
        <v>59</v>
      </c>
      <c r="AE1091" t="s">
        <v>59</v>
      </c>
      <c r="AF1091" t="s">
        <v>61</v>
      </c>
      <c r="AG1091" t="s">
        <v>59</v>
      </c>
      <c r="AH1091" t="s">
        <v>61</v>
      </c>
      <c r="AI1091" t="s">
        <v>60</v>
      </c>
      <c r="AJ1091" t="s">
        <v>59</v>
      </c>
      <c r="AK1091" t="s">
        <v>59</v>
      </c>
      <c r="AL1091" t="s">
        <v>60</v>
      </c>
      <c r="AM1091" t="s">
        <v>59</v>
      </c>
      <c r="AN1091" t="s">
        <v>59</v>
      </c>
      <c r="AO1091" t="s">
        <v>59</v>
      </c>
      <c r="AP1091" t="s">
        <v>2701</v>
      </c>
      <c r="AQ1091" s="1" t="s">
        <v>141</v>
      </c>
      <c r="AR1091" t="s">
        <v>64</v>
      </c>
      <c r="AS1091" t="s">
        <v>65</v>
      </c>
      <c r="AT1091" t="s">
        <v>66</v>
      </c>
      <c r="AU1091" t="s">
        <v>219</v>
      </c>
      <c r="AW1091" s="4">
        <f t="shared" ref="AW1091:AW1154" si="598">IF(OR(M1091="YES", M1091="Not Applicable"), AW$1, "0")</f>
        <v>6</v>
      </c>
      <c r="AX1091" s="4">
        <f t="shared" ref="AX1091:AX1154" si="599">IF(OR(N1091="YES", N1091="Not Applicable"), AX$1, "0")</f>
        <v>4</v>
      </c>
      <c r="AY1091" s="4">
        <f t="shared" ref="AY1091:AY1154" si="600">IF(OR(O1091="YES", O1091="Not Applicable"), AY$1, "0")</f>
        <v>4</v>
      </c>
      <c r="AZ1091" s="4">
        <f t="shared" ref="AZ1091:AZ1154" si="601">IF(OR(P1091="YES", P1091="Not Applicable"), AZ$1, "0")</f>
        <v>2</v>
      </c>
      <c r="BA1091" s="4">
        <f t="shared" ref="BA1091:BA1154" si="602">IF(OR(Q1091="YES", Q1091="Not Applicable"), BA$1, "0")</f>
        <v>4</v>
      </c>
      <c r="BB1091" s="4">
        <f t="shared" ref="BB1091:BB1154" si="603">IF(OR(R1091="YES", R1091="Not Applicable"), BB$1, "0")</f>
        <v>4</v>
      </c>
      <c r="BC1091" s="4">
        <f t="shared" ref="BC1091:BC1154" si="604">IF(OR(S1091="YES", S1091="Not Applicable"), BC$1, "0")</f>
        <v>4</v>
      </c>
      <c r="BD1091" s="4">
        <f t="shared" ref="BD1091:BD1154" si="605">IF(OR(T1091="YES", T1091="Not Applicable"), BD$1, "0")</f>
        <v>2</v>
      </c>
      <c r="BE1091" s="4" t="str">
        <f t="shared" ref="BE1091:BE1154" si="606">IF(OR(U1091="YES", U1091="Not Applicable"), BE$1, "0")</f>
        <v>0</v>
      </c>
      <c r="BF1091" s="4">
        <f t="shared" ref="BF1091:BF1154" si="607">IF(OR(V1091="YES", V1091="Not Applicable"), BF$1, "0")</f>
        <v>2</v>
      </c>
      <c r="BG1091" s="4">
        <f t="shared" ref="BG1091:BG1154" si="608">IF(OR(W1091="YES", W1091="Not Applicable"), BG$1, "0")</f>
        <v>4</v>
      </c>
      <c r="BH1091" s="4">
        <f t="shared" ref="BH1091:BH1154" si="609">IF(OR(X1091="YES", X1091="Not Applicable"), BH$1, "0")</f>
        <v>4</v>
      </c>
      <c r="BI1091" s="4">
        <f t="shared" ref="BI1091:BI1154" si="610">IF(OR(Y1091="YES", Y1091="Not Applicable"), BI$1, "0")</f>
        <v>4</v>
      </c>
      <c r="BJ1091" s="4">
        <f t="shared" ref="BJ1091:BJ1154" si="611">IF(OR(Z1091="YES", Z1091="Not Applicable"), BJ$1, "0")</f>
        <v>2</v>
      </c>
      <c r="BK1091" s="4">
        <f t="shared" ref="BK1091:BK1154" si="612">IF(OR(AA1091="YES", AA1091="Not Applicable"), BK$1, "0")</f>
        <v>4</v>
      </c>
      <c r="BL1091" s="4" t="str">
        <f t="shared" ref="BL1091:BL1154" si="613">IF(OR(AB1091="YES", AB1091="Not Applicable"), BL$1, "0")</f>
        <v>0</v>
      </c>
      <c r="BM1091" s="4">
        <f t="shared" ref="BM1091:BM1154" si="614">IF(OR(AC1091="YES", AC1091="Not Applicable"), BM$1, "0")</f>
        <v>4</v>
      </c>
      <c r="BN1091" s="4">
        <f t="shared" ref="BN1091:BN1154" si="615">IF(OR(AD1091="YES", AD1091="Not Applicable"), BN$1, "0")</f>
        <v>4</v>
      </c>
      <c r="BO1091" s="4">
        <f t="shared" ref="BO1091:BO1154" si="616">IF(OR(AE1091="YES", AE1091="Not Applicable"), BO$1, "0")</f>
        <v>4</v>
      </c>
      <c r="BP1091" s="4">
        <f t="shared" ref="BP1091:BP1154" si="617">IF(OR(AF1091="YES", AF1091="Not Applicable"), BP$1, "0")</f>
        <v>4</v>
      </c>
      <c r="BQ1091" s="4">
        <f t="shared" ref="BQ1091:BQ1154" si="618">IF(OR(AG1091="YES", AG1091="Not Applicable"), BQ$1, "0")</f>
        <v>6</v>
      </c>
      <c r="BR1091" s="4">
        <f t="shared" ref="BR1091:BR1154" si="619">IF(OR(AH1091="YES", AH1091="Not Applicable"), BR$1, "0")</f>
        <v>4</v>
      </c>
      <c r="BS1091" s="4" t="str">
        <f t="shared" ref="BS1091:BS1154" si="620">IF(OR(AI1091="YES", AI1091="Not Applicable"), BS$1, "0")</f>
        <v>0</v>
      </c>
      <c r="BT1091" s="4">
        <f t="shared" ref="BT1091:BT1154" si="621">IF(OR(AJ1091="YES", AJ1091="Not Applicable"), BT$1, "0")</f>
        <v>4</v>
      </c>
      <c r="BU1091" s="4">
        <f t="shared" ref="BU1091:BU1154" si="622">IF(OR(AK1091="YES", AK1091="Not Applicable"), BU$1, "0")</f>
        <v>4</v>
      </c>
      <c r="BV1091" s="4" t="str">
        <f t="shared" ref="BV1091:BV1154" si="623">IF(OR(AL1091="YES", AL1091="Not Applicable"), BV$1, "0")</f>
        <v>0</v>
      </c>
      <c r="BW1091" s="4">
        <f t="shared" ref="BW1091:BW1154" si="624">IF(OR(AM1091="YES", AM1091="Not Applicable"), BW$1, "0")</f>
        <v>6</v>
      </c>
      <c r="BX1091" s="4">
        <f t="shared" ref="BX1091:BX1154" si="625">IF(OR(AN1091="YES", AN1091="Not Applicable"), BX$1, "0")</f>
        <v>0</v>
      </c>
      <c r="BY1091" s="4">
        <f t="shared" ref="BY1091:BY1154" si="626">IF(OR(AO1091="YES", AO1091="Not Applicable"), BY$1, "0")</f>
        <v>0</v>
      </c>
      <c r="BZ1091" s="37">
        <f t="shared" ref="BZ1091:BZ1154" si="627">SUM(AW1091:BY1091)</f>
        <v>90</v>
      </c>
      <c r="CA1091" s="32" t="str">
        <f>VLOOKUP(J:J,'Agent wise'!A:C,3,0)</f>
        <v>Saran S</v>
      </c>
      <c r="CB1091" s="32">
        <f t="shared" ref="CB1091:CB1154" si="628">INT(E1091)</f>
        <v>45948</v>
      </c>
      <c r="CC1091" t="str">
        <f t="shared" ref="CC1091:CC1154" si="629">IF(BZ1091&gt;=94.5, "Excellent", IF(BZ1091&gt;89.5, "Good", IF(BZ1091&gt;84.5, "Average", "FC")))</f>
        <v>Good</v>
      </c>
      <c r="CE1091" s="32"/>
      <c r="CJ1091">
        <f t="shared" si="595"/>
        <v>18</v>
      </c>
      <c r="CK1091">
        <f t="shared" si="596"/>
        <v>10</v>
      </c>
      <c r="CL1091">
        <f t="shared" si="597"/>
        <v>2025</v>
      </c>
    </row>
    <row r="1092" spans="1:90" ht="15" customHeight="1" x14ac:dyDescent="0.35">
      <c r="A1092" t="s">
        <v>2702</v>
      </c>
      <c r="B1092" t="s">
        <v>130</v>
      </c>
      <c r="C1092" t="s">
        <v>214</v>
      </c>
      <c r="D1092" t="s">
        <v>131</v>
      </c>
      <c r="E1092" s="32">
        <v>45948</v>
      </c>
      <c r="F1092" t="s">
        <v>54</v>
      </c>
      <c r="G1092" t="s">
        <v>2490</v>
      </c>
      <c r="H1092">
        <v>9656571300</v>
      </c>
      <c r="I1092">
        <v>130</v>
      </c>
      <c r="J1092" t="s">
        <v>370</v>
      </c>
      <c r="K1092" t="s">
        <v>57</v>
      </c>
      <c r="L1092" t="s">
        <v>58</v>
      </c>
      <c r="M1092" t="s">
        <v>59</v>
      </c>
      <c r="N1092" t="s">
        <v>59</v>
      </c>
      <c r="O1092" t="s">
        <v>59</v>
      </c>
      <c r="P1092" t="s">
        <v>59</v>
      </c>
      <c r="Q1092" t="s">
        <v>59</v>
      </c>
      <c r="R1092" t="s">
        <v>59</v>
      </c>
      <c r="S1092" t="s">
        <v>59</v>
      </c>
      <c r="T1092" t="s">
        <v>59</v>
      </c>
      <c r="U1092" t="s">
        <v>60</v>
      </c>
      <c r="V1092" t="s">
        <v>59</v>
      </c>
      <c r="W1092" t="s">
        <v>59</v>
      </c>
      <c r="X1092" t="s">
        <v>59</v>
      </c>
      <c r="Y1092" t="s">
        <v>59</v>
      </c>
      <c r="Z1092" t="s">
        <v>59</v>
      </c>
      <c r="AA1092" t="s">
        <v>60</v>
      </c>
      <c r="AB1092" t="s">
        <v>60</v>
      </c>
      <c r="AC1092" t="s">
        <v>61</v>
      </c>
      <c r="AD1092" t="s">
        <v>59</v>
      </c>
      <c r="AE1092" t="s">
        <v>59</v>
      </c>
      <c r="AF1092" t="s">
        <v>61</v>
      </c>
      <c r="AG1092" t="s">
        <v>59</v>
      </c>
      <c r="AH1092" t="s">
        <v>61</v>
      </c>
      <c r="AI1092" t="s">
        <v>61</v>
      </c>
      <c r="AJ1092" t="s">
        <v>59</v>
      </c>
      <c r="AK1092" t="s">
        <v>59</v>
      </c>
      <c r="AL1092" t="s">
        <v>60</v>
      </c>
      <c r="AM1092" t="s">
        <v>59</v>
      </c>
      <c r="AN1092" t="s">
        <v>59</v>
      </c>
      <c r="AO1092" t="s">
        <v>59</v>
      </c>
      <c r="AP1092" s="1" t="s">
        <v>2703</v>
      </c>
      <c r="AQ1092" s="1" t="s">
        <v>2704</v>
      </c>
      <c r="AR1092" t="s">
        <v>64</v>
      </c>
      <c r="AS1092" t="s">
        <v>89</v>
      </c>
      <c r="AT1092" t="s">
        <v>293</v>
      </c>
      <c r="AU1092" t="s">
        <v>219</v>
      </c>
      <c r="AW1092" s="4">
        <f t="shared" si="598"/>
        <v>6</v>
      </c>
      <c r="AX1092" s="4">
        <f t="shared" si="599"/>
        <v>4</v>
      </c>
      <c r="AY1092" s="4">
        <f t="shared" si="600"/>
        <v>4</v>
      </c>
      <c r="AZ1092" s="4">
        <f t="shared" si="601"/>
        <v>2</v>
      </c>
      <c r="BA1092" s="4">
        <f t="shared" si="602"/>
        <v>4</v>
      </c>
      <c r="BB1092" s="4">
        <f t="shared" si="603"/>
        <v>4</v>
      </c>
      <c r="BC1092" s="4">
        <f t="shared" si="604"/>
        <v>4</v>
      </c>
      <c r="BD1092" s="4">
        <f t="shared" si="605"/>
        <v>2</v>
      </c>
      <c r="BE1092" s="4" t="str">
        <f t="shared" si="606"/>
        <v>0</v>
      </c>
      <c r="BF1092" s="4">
        <f t="shared" si="607"/>
        <v>2</v>
      </c>
      <c r="BG1092" s="4">
        <f t="shared" si="608"/>
        <v>4</v>
      </c>
      <c r="BH1092" s="4">
        <f t="shared" si="609"/>
        <v>4</v>
      </c>
      <c r="BI1092" s="4">
        <f t="shared" si="610"/>
        <v>4</v>
      </c>
      <c r="BJ1092" s="4">
        <f t="shared" si="611"/>
        <v>2</v>
      </c>
      <c r="BK1092" s="4" t="str">
        <f t="shared" si="612"/>
        <v>0</v>
      </c>
      <c r="BL1092" s="4" t="str">
        <f t="shared" si="613"/>
        <v>0</v>
      </c>
      <c r="BM1092" s="4">
        <f t="shared" si="614"/>
        <v>4</v>
      </c>
      <c r="BN1092" s="4">
        <f t="shared" si="615"/>
        <v>4</v>
      </c>
      <c r="BO1092" s="4">
        <f t="shared" si="616"/>
        <v>4</v>
      </c>
      <c r="BP1092" s="4">
        <f t="shared" si="617"/>
        <v>4</v>
      </c>
      <c r="BQ1092" s="4">
        <f t="shared" si="618"/>
        <v>6</v>
      </c>
      <c r="BR1092" s="4">
        <f t="shared" si="619"/>
        <v>4</v>
      </c>
      <c r="BS1092" s="4">
        <f t="shared" si="620"/>
        <v>4</v>
      </c>
      <c r="BT1092" s="4">
        <f t="shared" si="621"/>
        <v>4</v>
      </c>
      <c r="BU1092" s="4">
        <f t="shared" si="622"/>
        <v>4</v>
      </c>
      <c r="BV1092" s="4" t="str">
        <f t="shared" si="623"/>
        <v>0</v>
      </c>
      <c r="BW1092" s="4">
        <f t="shared" si="624"/>
        <v>6</v>
      </c>
      <c r="BX1092" s="4">
        <f t="shared" si="625"/>
        <v>0</v>
      </c>
      <c r="BY1092" s="4">
        <f t="shared" si="626"/>
        <v>0</v>
      </c>
      <c r="BZ1092" s="37">
        <f t="shared" si="627"/>
        <v>90</v>
      </c>
      <c r="CA1092" s="32" t="str">
        <f>VLOOKUP(J:J,'Agent wise'!A:C,3,0)</f>
        <v>Saran S</v>
      </c>
      <c r="CB1092" s="32">
        <f t="shared" si="628"/>
        <v>45948</v>
      </c>
      <c r="CC1092" t="str">
        <f t="shared" si="629"/>
        <v>Good</v>
      </c>
      <c r="CE1092" s="32"/>
      <c r="CJ1092">
        <f t="shared" ref="CJ1092:CJ1155" si="630">DAY(E1092)</f>
        <v>18</v>
      </c>
      <c r="CK1092">
        <f t="shared" ref="CK1092:CK1155" si="631">MONTH(E1092)</f>
        <v>10</v>
      </c>
      <c r="CL1092">
        <f t="shared" ref="CL1092:CL1155" si="632">YEAR(E1092)</f>
        <v>2025</v>
      </c>
    </row>
    <row r="1093" spans="1:90" ht="15" customHeight="1" x14ac:dyDescent="0.35">
      <c r="A1093" t="s">
        <v>2705</v>
      </c>
      <c r="B1093" t="s">
        <v>130</v>
      </c>
      <c r="C1093" t="s">
        <v>214</v>
      </c>
      <c r="D1093" t="s">
        <v>131</v>
      </c>
      <c r="E1093" s="32">
        <v>45948</v>
      </c>
      <c r="F1093" t="s">
        <v>54</v>
      </c>
      <c r="G1093" t="s">
        <v>2490</v>
      </c>
      <c r="H1093">
        <v>9496722114</v>
      </c>
      <c r="I1093">
        <v>131</v>
      </c>
      <c r="J1093" t="s">
        <v>326</v>
      </c>
      <c r="K1093" t="s">
        <v>57</v>
      </c>
      <c r="L1093" t="s">
        <v>58</v>
      </c>
      <c r="M1093" t="s">
        <v>59</v>
      </c>
      <c r="N1093" t="s">
        <v>59</v>
      </c>
      <c r="O1093" t="s">
        <v>59</v>
      </c>
      <c r="P1093" t="s">
        <v>59</v>
      </c>
      <c r="Q1093" t="s">
        <v>59</v>
      </c>
      <c r="R1093" t="s">
        <v>59</v>
      </c>
      <c r="S1093" t="s">
        <v>59</v>
      </c>
      <c r="T1093" t="s">
        <v>59</v>
      </c>
      <c r="U1093" t="s">
        <v>60</v>
      </c>
      <c r="V1093" t="s">
        <v>59</v>
      </c>
      <c r="W1093" t="s">
        <v>59</v>
      </c>
      <c r="X1093" t="s">
        <v>59</v>
      </c>
      <c r="Y1093" t="s">
        <v>59</v>
      </c>
      <c r="Z1093" t="s">
        <v>59</v>
      </c>
      <c r="AA1093" t="s">
        <v>60</v>
      </c>
      <c r="AB1093" t="s">
        <v>60</v>
      </c>
      <c r="AC1093" t="s">
        <v>61</v>
      </c>
      <c r="AD1093" t="s">
        <v>59</v>
      </c>
      <c r="AE1093" t="s">
        <v>59</v>
      </c>
      <c r="AF1093" t="s">
        <v>61</v>
      </c>
      <c r="AG1093" t="s">
        <v>59</v>
      </c>
      <c r="AH1093" t="s">
        <v>61</v>
      </c>
      <c r="AI1093" t="s">
        <v>61</v>
      </c>
      <c r="AJ1093" t="s">
        <v>59</v>
      </c>
      <c r="AK1093" t="s">
        <v>59</v>
      </c>
      <c r="AL1093" t="s">
        <v>60</v>
      </c>
      <c r="AM1093" t="s">
        <v>59</v>
      </c>
      <c r="AN1093" t="s">
        <v>59</v>
      </c>
      <c r="AO1093" t="s">
        <v>59</v>
      </c>
      <c r="AP1093" s="1" t="s">
        <v>169</v>
      </c>
      <c r="AQ1093" s="1" t="s">
        <v>2706</v>
      </c>
      <c r="AR1093" t="s">
        <v>64</v>
      </c>
      <c r="AS1093" t="s">
        <v>175</v>
      </c>
      <c r="AT1093" t="s">
        <v>334</v>
      </c>
      <c r="AU1093" t="s">
        <v>219</v>
      </c>
      <c r="AW1093" s="4">
        <f t="shared" si="598"/>
        <v>6</v>
      </c>
      <c r="AX1093" s="4">
        <f t="shared" si="599"/>
        <v>4</v>
      </c>
      <c r="AY1093" s="4">
        <f t="shared" si="600"/>
        <v>4</v>
      </c>
      <c r="AZ1093" s="4">
        <f t="shared" si="601"/>
        <v>2</v>
      </c>
      <c r="BA1093" s="4">
        <f t="shared" si="602"/>
        <v>4</v>
      </c>
      <c r="BB1093" s="4">
        <f t="shared" si="603"/>
        <v>4</v>
      </c>
      <c r="BC1093" s="4">
        <f t="shared" si="604"/>
        <v>4</v>
      </c>
      <c r="BD1093" s="4">
        <f t="shared" si="605"/>
        <v>2</v>
      </c>
      <c r="BE1093" s="4" t="str">
        <f t="shared" si="606"/>
        <v>0</v>
      </c>
      <c r="BF1093" s="4">
        <f t="shared" si="607"/>
        <v>2</v>
      </c>
      <c r="BG1093" s="4">
        <f t="shared" si="608"/>
        <v>4</v>
      </c>
      <c r="BH1093" s="4">
        <f t="shared" si="609"/>
        <v>4</v>
      </c>
      <c r="BI1093" s="4">
        <f t="shared" si="610"/>
        <v>4</v>
      </c>
      <c r="BJ1093" s="4">
        <f t="shared" si="611"/>
        <v>2</v>
      </c>
      <c r="BK1093" s="4" t="str">
        <f t="shared" si="612"/>
        <v>0</v>
      </c>
      <c r="BL1093" s="4" t="str">
        <f t="shared" si="613"/>
        <v>0</v>
      </c>
      <c r="BM1093" s="4">
        <f t="shared" si="614"/>
        <v>4</v>
      </c>
      <c r="BN1093" s="4">
        <f t="shared" si="615"/>
        <v>4</v>
      </c>
      <c r="BO1093" s="4">
        <f t="shared" si="616"/>
        <v>4</v>
      </c>
      <c r="BP1093" s="4">
        <f t="shared" si="617"/>
        <v>4</v>
      </c>
      <c r="BQ1093" s="4">
        <f t="shared" si="618"/>
        <v>6</v>
      </c>
      <c r="BR1093" s="4">
        <f t="shared" si="619"/>
        <v>4</v>
      </c>
      <c r="BS1093" s="4">
        <f t="shared" si="620"/>
        <v>4</v>
      </c>
      <c r="BT1093" s="4">
        <f t="shared" si="621"/>
        <v>4</v>
      </c>
      <c r="BU1093" s="4">
        <f t="shared" si="622"/>
        <v>4</v>
      </c>
      <c r="BV1093" s="4" t="str">
        <f t="shared" si="623"/>
        <v>0</v>
      </c>
      <c r="BW1093" s="4">
        <f t="shared" si="624"/>
        <v>6</v>
      </c>
      <c r="BX1093" s="4">
        <f t="shared" si="625"/>
        <v>0</v>
      </c>
      <c r="BY1093" s="4">
        <f t="shared" si="626"/>
        <v>0</v>
      </c>
      <c r="BZ1093" s="37">
        <f t="shared" si="627"/>
        <v>90</v>
      </c>
      <c r="CA1093" s="32" t="str">
        <f>VLOOKUP(J:J,'Agent wise'!A:C,3,0)</f>
        <v>Saran S</v>
      </c>
      <c r="CB1093" s="32">
        <f t="shared" si="628"/>
        <v>45948</v>
      </c>
      <c r="CC1093" t="str">
        <f t="shared" si="629"/>
        <v>Good</v>
      </c>
      <c r="CE1093" s="32"/>
      <c r="CJ1093">
        <f t="shared" si="630"/>
        <v>18</v>
      </c>
      <c r="CK1093">
        <f t="shared" si="631"/>
        <v>10</v>
      </c>
      <c r="CL1093">
        <f t="shared" si="632"/>
        <v>2025</v>
      </c>
    </row>
    <row r="1094" spans="1:90" ht="15" customHeight="1" x14ac:dyDescent="0.35">
      <c r="A1094" t="s">
        <v>2707</v>
      </c>
      <c r="B1094" t="s">
        <v>51</v>
      </c>
      <c r="C1094" t="s">
        <v>214</v>
      </c>
      <c r="D1094" t="s">
        <v>53</v>
      </c>
      <c r="E1094" s="32">
        <v>45949</v>
      </c>
      <c r="F1094" t="s">
        <v>54</v>
      </c>
      <c r="G1094" t="s">
        <v>2490</v>
      </c>
      <c r="H1094">
        <v>9488173982</v>
      </c>
      <c r="I1094">
        <v>153</v>
      </c>
      <c r="J1094" t="s">
        <v>139</v>
      </c>
      <c r="K1094" t="s">
        <v>86</v>
      </c>
      <c r="L1094" t="s">
        <v>72</v>
      </c>
      <c r="M1094" t="s">
        <v>60</v>
      </c>
      <c r="N1094" t="s">
        <v>59</v>
      </c>
      <c r="O1094" t="s">
        <v>59</v>
      </c>
      <c r="P1094" t="s">
        <v>59</v>
      </c>
      <c r="Q1094" t="s">
        <v>59</v>
      </c>
      <c r="R1094" t="s">
        <v>60</v>
      </c>
      <c r="S1094" t="s">
        <v>59</v>
      </c>
      <c r="T1094" t="s">
        <v>59</v>
      </c>
      <c r="U1094" t="s">
        <v>59</v>
      </c>
      <c r="V1094" t="s">
        <v>60</v>
      </c>
      <c r="W1094" t="s">
        <v>59</v>
      </c>
      <c r="X1094" t="s">
        <v>59</v>
      </c>
      <c r="Y1094" t="s">
        <v>59</v>
      </c>
      <c r="Z1094" t="s">
        <v>59</v>
      </c>
      <c r="AA1094" t="s">
        <v>59</v>
      </c>
      <c r="AB1094" t="s">
        <v>59</v>
      </c>
      <c r="AC1094" t="s">
        <v>61</v>
      </c>
      <c r="AD1094" t="s">
        <v>59</v>
      </c>
      <c r="AE1094" t="s">
        <v>59</v>
      </c>
      <c r="AF1094" t="s">
        <v>61</v>
      </c>
      <c r="AG1094" t="s">
        <v>59</v>
      </c>
      <c r="AH1094" t="s">
        <v>61</v>
      </c>
      <c r="AI1094" t="s">
        <v>61</v>
      </c>
      <c r="AJ1094" t="s">
        <v>59</v>
      </c>
      <c r="AK1094" t="s">
        <v>61</v>
      </c>
      <c r="AL1094" t="s">
        <v>60</v>
      </c>
      <c r="AM1094" t="s">
        <v>59</v>
      </c>
      <c r="AN1094" t="s">
        <v>59</v>
      </c>
      <c r="AO1094" t="s">
        <v>59</v>
      </c>
      <c r="AP1094" t="s">
        <v>2188</v>
      </c>
      <c r="AQ1094" t="s">
        <v>2709</v>
      </c>
      <c r="AR1094" t="s">
        <v>64</v>
      </c>
      <c r="AS1094" t="s">
        <v>845</v>
      </c>
      <c r="AT1094" t="s">
        <v>2710</v>
      </c>
      <c r="AU1094" t="s">
        <v>299</v>
      </c>
      <c r="AW1094" s="4" t="str">
        <f t="shared" si="598"/>
        <v>0</v>
      </c>
      <c r="AX1094" s="4">
        <f t="shared" si="599"/>
        <v>4</v>
      </c>
      <c r="AY1094" s="4">
        <f t="shared" si="600"/>
        <v>4</v>
      </c>
      <c r="AZ1094" s="4">
        <f t="shared" si="601"/>
        <v>2</v>
      </c>
      <c r="BA1094" s="4">
        <f t="shared" si="602"/>
        <v>4</v>
      </c>
      <c r="BB1094" s="4" t="str">
        <f t="shared" si="603"/>
        <v>0</v>
      </c>
      <c r="BC1094" s="4">
        <f t="shared" si="604"/>
        <v>4</v>
      </c>
      <c r="BD1094" s="4">
        <f t="shared" si="605"/>
        <v>2</v>
      </c>
      <c r="BE1094" s="4">
        <f t="shared" si="606"/>
        <v>4</v>
      </c>
      <c r="BF1094" s="4" t="str">
        <f t="shared" si="607"/>
        <v>0</v>
      </c>
      <c r="BG1094" s="4">
        <f t="shared" si="608"/>
        <v>4</v>
      </c>
      <c r="BH1094" s="4">
        <f t="shared" si="609"/>
        <v>4</v>
      </c>
      <c r="BI1094" s="4">
        <f t="shared" si="610"/>
        <v>4</v>
      </c>
      <c r="BJ1094" s="4">
        <f t="shared" si="611"/>
        <v>2</v>
      </c>
      <c r="BK1094" s="4">
        <f t="shared" si="612"/>
        <v>4</v>
      </c>
      <c r="BL1094" s="4">
        <f t="shared" si="613"/>
        <v>2</v>
      </c>
      <c r="BM1094" s="4">
        <f t="shared" si="614"/>
        <v>4</v>
      </c>
      <c r="BN1094" s="4">
        <f t="shared" si="615"/>
        <v>4</v>
      </c>
      <c r="BO1094" s="4">
        <f t="shared" si="616"/>
        <v>4</v>
      </c>
      <c r="BP1094" s="4">
        <f t="shared" si="617"/>
        <v>4</v>
      </c>
      <c r="BQ1094" s="4">
        <f t="shared" si="618"/>
        <v>6</v>
      </c>
      <c r="BR1094" s="4">
        <f t="shared" si="619"/>
        <v>4</v>
      </c>
      <c r="BS1094" s="4">
        <f t="shared" si="620"/>
        <v>4</v>
      </c>
      <c r="BT1094" s="4">
        <f t="shared" si="621"/>
        <v>4</v>
      </c>
      <c r="BU1094" s="4">
        <f t="shared" si="622"/>
        <v>4</v>
      </c>
      <c r="BV1094" s="4" t="str">
        <f t="shared" si="623"/>
        <v>0</v>
      </c>
      <c r="BW1094" s="4">
        <f t="shared" si="624"/>
        <v>6</v>
      </c>
      <c r="BX1094" s="4">
        <f t="shared" si="625"/>
        <v>0</v>
      </c>
      <c r="BY1094" s="4">
        <f t="shared" si="626"/>
        <v>0</v>
      </c>
      <c r="BZ1094" s="37">
        <f t="shared" si="627"/>
        <v>88</v>
      </c>
      <c r="CA1094" s="32" t="str">
        <f>VLOOKUP(J:J,'Agent wise'!A:C,3,0)</f>
        <v>Shakeer</v>
      </c>
      <c r="CB1094" s="32">
        <f t="shared" si="628"/>
        <v>45949</v>
      </c>
      <c r="CC1094" t="str">
        <f t="shared" si="629"/>
        <v>Average</v>
      </c>
      <c r="CE1094" s="32"/>
      <c r="CJ1094">
        <f t="shared" si="630"/>
        <v>19</v>
      </c>
      <c r="CK1094">
        <f t="shared" si="631"/>
        <v>10</v>
      </c>
      <c r="CL1094">
        <f t="shared" si="632"/>
        <v>2025</v>
      </c>
    </row>
    <row r="1095" spans="1:90" ht="15" customHeight="1" x14ac:dyDescent="0.35">
      <c r="A1095" t="s">
        <v>2711</v>
      </c>
      <c r="B1095" t="s">
        <v>51</v>
      </c>
      <c r="C1095" t="s">
        <v>214</v>
      </c>
      <c r="D1095" t="s">
        <v>53</v>
      </c>
      <c r="E1095" s="32">
        <v>45949</v>
      </c>
      <c r="F1095" t="s">
        <v>54</v>
      </c>
      <c r="G1095" t="s">
        <v>2490</v>
      </c>
      <c r="H1095">
        <v>9400765790</v>
      </c>
      <c r="I1095">
        <v>173</v>
      </c>
      <c r="J1095" t="s">
        <v>589</v>
      </c>
      <c r="K1095" t="s">
        <v>57</v>
      </c>
      <c r="L1095" t="s">
        <v>58</v>
      </c>
      <c r="M1095" t="s">
        <v>59</v>
      </c>
      <c r="N1095" t="s">
        <v>59</v>
      </c>
      <c r="O1095" t="s">
        <v>59</v>
      </c>
      <c r="P1095" t="s">
        <v>59</v>
      </c>
      <c r="Q1095" t="s">
        <v>59</v>
      </c>
      <c r="R1095" t="s">
        <v>60</v>
      </c>
      <c r="S1095" t="s">
        <v>59</v>
      </c>
      <c r="T1095" t="s">
        <v>59</v>
      </c>
      <c r="U1095" t="s">
        <v>60</v>
      </c>
      <c r="V1095" t="s">
        <v>59</v>
      </c>
      <c r="W1095" t="s">
        <v>59</v>
      </c>
      <c r="X1095" t="s">
        <v>59</v>
      </c>
      <c r="Y1095" t="s">
        <v>59</v>
      </c>
      <c r="Z1095" t="s">
        <v>59</v>
      </c>
      <c r="AA1095" t="s">
        <v>59</v>
      </c>
      <c r="AB1095" t="s">
        <v>59</v>
      </c>
      <c r="AC1095" t="s">
        <v>61</v>
      </c>
      <c r="AD1095" t="s">
        <v>59</v>
      </c>
      <c r="AE1095" t="s">
        <v>60</v>
      </c>
      <c r="AF1095" t="s">
        <v>61</v>
      </c>
      <c r="AG1095" t="s">
        <v>59</v>
      </c>
      <c r="AH1095" t="s">
        <v>61</v>
      </c>
      <c r="AI1095" t="s">
        <v>60</v>
      </c>
      <c r="AJ1095" t="s">
        <v>59</v>
      </c>
      <c r="AK1095" t="s">
        <v>61</v>
      </c>
      <c r="AL1095" t="s">
        <v>60</v>
      </c>
      <c r="AM1095" t="s">
        <v>59</v>
      </c>
      <c r="AN1095" t="s">
        <v>59</v>
      </c>
      <c r="AO1095" t="s">
        <v>59</v>
      </c>
      <c r="AP1095" t="s">
        <v>2712</v>
      </c>
      <c r="AQ1095" t="s">
        <v>591</v>
      </c>
      <c r="AR1095" t="s">
        <v>64</v>
      </c>
      <c r="AS1095" t="s">
        <v>325</v>
      </c>
      <c r="AT1095" t="s">
        <v>858</v>
      </c>
      <c r="AU1095" t="s">
        <v>448</v>
      </c>
      <c r="AW1095" s="4">
        <f t="shared" si="598"/>
        <v>6</v>
      </c>
      <c r="AX1095" s="4">
        <f t="shared" si="599"/>
        <v>4</v>
      </c>
      <c r="AY1095" s="4">
        <f t="shared" si="600"/>
        <v>4</v>
      </c>
      <c r="AZ1095" s="4">
        <f t="shared" si="601"/>
        <v>2</v>
      </c>
      <c r="BA1095" s="4">
        <f t="shared" si="602"/>
        <v>4</v>
      </c>
      <c r="BB1095" s="4" t="str">
        <f t="shared" si="603"/>
        <v>0</v>
      </c>
      <c r="BC1095" s="4">
        <f t="shared" si="604"/>
        <v>4</v>
      </c>
      <c r="BD1095" s="4">
        <f t="shared" si="605"/>
        <v>2</v>
      </c>
      <c r="BE1095" s="4" t="str">
        <f t="shared" si="606"/>
        <v>0</v>
      </c>
      <c r="BF1095" s="4">
        <f t="shared" si="607"/>
        <v>2</v>
      </c>
      <c r="BG1095" s="4">
        <f t="shared" si="608"/>
        <v>4</v>
      </c>
      <c r="BH1095" s="4">
        <f t="shared" si="609"/>
        <v>4</v>
      </c>
      <c r="BI1095" s="4">
        <f t="shared" si="610"/>
        <v>4</v>
      </c>
      <c r="BJ1095" s="4">
        <f t="shared" si="611"/>
        <v>2</v>
      </c>
      <c r="BK1095" s="4">
        <f t="shared" si="612"/>
        <v>4</v>
      </c>
      <c r="BL1095" s="4">
        <f t="shared" si="613"/>
        <v>2</v>
      </c>
      <c r="BM1095" s="4">
        <f t="shared" si="614"/>
        <v>4</v>
      </c>
      <c r="BN1095" s="4">
        <f t="shared" si="615"/>
        <v>4</v>
      </c>
      <c r="BO1095" s="4" t="str">
        <f t="shared" si="616"/>
        <v>0</v>
      </c>
      <c r="BP1095" s="4">
        <f t="shared" si="617"/>
        <v>4</v>
      </c>
      <c r="BQ1095" s="4">
        <f t="shared" si="618"/>
        <v>6</v>
      </c>
      <c r="BR1095" s="4">
        <f t="shared" si="619"/>
        <v>4</v>
      </c>
      <c r="BS1095" s="4" t="str">
        <f t="shared" si="620"/>
        <v>0</v>
      </c>
      <c r="BT1095" s="4">
        <f t="shared" si="621"/>
        <v>4</v>
      </c>
      <c r="BU1095" s="4">
        <f t="shared" si="622"/>
        <v>4</v>
      </c>
      <c r="BV1095" s="4" t="str">
        <f t="shared" si="623"/>
        <v>0</v>
      </c>
      <c r="BW1095" s="4">
        <f t="shared" si="624"/>
        <v>6</v>
      </c>
      <c r="BX1095" s="4">
        <f t="shared" si="625"/>
        <v>0</v>
      </c>
      <c r="BY1095" s="4">
        <f t="shared" si="626"/>
        <v>0</v>
      </c>
      <c r="BZ1095" s="37">
        <f t="shared" si="627"/>
        <v>84</v>
      </c>
      <c r="CA1095" s="32" t="str">
        <f>VLOOKUP(J:J,'Agent wise'!A:C,3,0)</f>
        <v>Shakeer</v>
      </c>
      <c r="CB1095" s="32">
        <f t="shared" si="628"/>
        <v>45949</v>
      </c>
      <c r="CC1095" t="str">
        <f t="shared" si="629"/>
        <v>FC</v>
      </c>
      <c r="CE1095" s="32"/>
      <c r="CJ1095">
        <f t="shared" si="630"/>
        <v>19</v>
      </c>
      <c r="CK1095">
        <f t="shared" si="631"/>
        <v>10</v>
      </c>
      <c r="CL1095">
        <f t="shared" si="632"/>
        <v>2025</v>
      </c>
    </row>
    <row r="1096" spans="1:90" ht="15" customHeight="1" x14ac:dyDescent="0.35">
      <c r="A1096" t="s">
        <v>2713</v>
      </c>
      <c r="B1096" t="s">
        <v>100</v>
      </c>
      <c r="C1096" t="s">
        <v>214</v>
      </c>
      <c r="D1096" t="s">
        <v>101</v>
      </c>
      <c r="E1096" s="32">
        <v>45949</v>
      </c>
      <c r="F1096" t="s">
        <v>54</v>
      </c>
      <c r="G1096" t="s">
        <v>2490</v>
      </c>
      <c r="H1096">
        <v>9486606026</v>
      </c>
      <c r="I1096">
        <v>141</v>
      </c>
      <c r="J1096" t="s">
        <v>2498</v>
      </c>
      <c r="K1096" t="s">
        <v>71</v>
      </c>
      <c r="L1096" t="s">
        <v>72</v>
      </c>
      <c r="M1096" t="s">
        <v>59</v>
      </c>
      <c r="N1096" t="s">
        <v>59</v>
      </c>
      <c r="O1096" t="s">
        <v>59</v>
      </c>
      <c r="P1096" t="s">
        <v>59</v>
      </c>
      <c r="Q1096" t="s">
        <v>59</v>
      </c>
      <c r="R1096" t="s">
        <v>59</v>
      </c>
      <c r="S1096" t="s">
        <v>59</v>
      </c>
      <c r="T1096" t="s">
        <v>59</v>
      </c>
      <c r="U1096" t="s">
        <v>59</v>
      </c>
      <c r="V1096" t="s">
        <v>59</v>
      </c>
      <c r="W1096" t="s">
        <v>59</v>
      </c>
      <c r="X1096" t="s">
        <v>61</v>
      </c>
      <c r="Y1096" t="s">
        <v>59</v>
      </c>
      <c r="Z1096" t="s">
        <v>59</v>
      </c>
      <c r="AA1096" t="s">
        <v>60</v>
      </c>
      <c r="AB1096" t="s">
        <v>59</v>
      </c>
      <c r="AC1096" t="s">
        <v>60</v>
      </c>
      <c r="AD1096" t="s">
        <v>59</v>
      </c>
      <c r="AE1096" t="s">
        <v>59</v>
      </c>
      <c r="AF1096" t="s">
        <v>61</v>
      </c>
      <c r="AG1096" t="s">
        <v>59</v>
      </c>
      <c r="AH1096" t="s">
        <v>61</v>
      </c>
      <c r="AI1096" t="s">
        <v>61</v>
      </c>
      <c r="AJ1096" t="s">
        <v>59</v>
      </c>
      <c r="AK1096" t="s">
        <v>59</v>
      </c>
      <c r="AL1096" t="s">
        <v>60</v>
      </c>
      <c r="AM1096" t="s">
        <v>59</v>
      </c>
      <c r="AN1096" t="s">
        <v>59</v>
      </c>
      <c r="AO1096" t="s">
        <v>59</v>
      </c>
      <c r="AP1096" t="s">
        <v>2663</v>
      </c>
      <c r="AQ1096" s="1" t="s">
        <v>2714</v>
      </c>
      <c r="AR1096" t="s">
        <v>64</v>
      </c>
      <c r="AS1096" t="s">
        <v>175</v>
      </c>
      <c r="AT1096" t="s">
        <v>1716</v>
      </c>
      <c r="AU1096" t="s">
        <v>299</v>
      </c>
      <c r="AW1096" s="4">
        <f t="shared" si="598"/>
        <v>6</v>
      </c>
      <c r="AX1096" s="4">
        <f t="shared" si="599"/>
        <v>4</v>
      </c>
      <c r="AY1096" s="4">
        <f t="shared" si="600"/>
        <v>4</v>
      </c>
      <c r="AZ1096" s="4">
        <f t="shared" si="601"/>
        <v>2</v>
      </c>
      <c r="BA1096" s="4">
        <f t="shared" si="602"/>
        <v>4</v>
      </c>
      <c r="BB1096" s="4">
        <f t="shared" si="603"/>
        <v>4</v>
      </c>
      <c r="BC1096" s="4">
        <f t="shared" si="604"/>
        <v>4</v>
      </c>
      <c r="BD1096" s="4">
        <f t="shared" si="605"/>
        <v>2</v>
      </c>
      <c r="BE1096" s="4">
        <f t="shared" si="606"/>
        <v>4</v>
      </c>
      <c r="BF1096" s="4">
        <f t="shared" si="607"/>
        <v>2</v>
      </c>
      <c r="BG1096" s="4">
        <f t="shared" si="608"/>
        <v>4</v>
      </c>
      <c r="BH1096" s="4">
        <f t="shared" si="609"/>
        <v>4</v>
      </c>
      <c r="BI1096" s="4">
        <f t="shared" si="610"/>
        <v>4</v>
      </c>
      <c r="BJ1096" s="4">
        <f t="shared" si="611"/>
        <v>2</v>
      </c>
      <c r="BK1096" s="4" t="str">
        <f t="shared" si="612"/>
        <v>0</v>
      </c>
      <c r="BL1096" s="4">
        <f t="shared" si="613"/>
        <v>2</v>
      </c>
      <c r="BM1096" s="4" t="str">
        <f t="shared" si="614"/>
        <v>0</v>
      </c>
      <c r="BN1096" s="4">
        <f t="shared" si="615"/>
        <v>4</v>
      </c>
      <c r="BO1096" s="4">
        <f t="shared" si="616"/>
        <v>4</v>
      </c>
      <c r="BP1096" s="4">
        <f t="shared" si="617"/>
        <v>4</v>
      </c>
      <c r="BQ1096" s="4">
        <f t="shared" si="618"/>
        <v>6</v>
      </c>
      <c r="BR1096" s="4">
        <f t="shared" si="619"/>
        <v>4</v>
      </c>
      <c r="BS1096" s="4">
        <f t="shared" si="620"/>
        <v>4</v>
      </c>
      <c r="BT1096" s="4">
        <f t="shared" si="621"/>
        <v>4</v>
      </c>
      <c r="BU1096" s="4">
        <f t="shared" si="622"/>
        <v>4</v>
      </c>
      <c r="BV1096" s="4" t="str">
        <f t="shared" si="623"/>
        <v>0</v>
      </c>
      <c r="BW1096" s="4">
        <f t="shared" si="624"/>
        <v>6</v>
      </c>
      <c r="BX1096" s="4">
        <f t="shared" si="625"/>
        <v>0</v>
      </c>
      <c r="BY1096" s="4">
        <f t="shared" si="626"/>
        <v>0</v>
      </c>
      <c r="BZ1096" s="37">
        <f t="shared" si="627"/>
        <v>92</v>
      </c>
      <c r="CA1096" s="32" t="e">
        <f>VLOOKUP(J:J,'Agent wise'!A:C,3,0)</f>
        <v>#N/A</v>
      </c>
      <c r="CB1096" s="32">
        <f t="shared" si="628"/>
        <v>45949</v>
      </c>
      <c r="CC1096" t="str">
        <f t="shared" si="629"/>
        <v>Good</v>
      </c>
      <c r="CE1096" s="32"/>
      <c r="CJ1096">
        <f t="shared" si="630"/>
        <v>19</v>
      </c>
      <c r="CK1096">
        <f t="shared" si="631"/>
        <v>10</v>
      </c>
      <c r="CL1096">
        <f t="shared" si="632"/>
        <v>2025</v>
      </c>
    </row>
    <row r="1097" spans="1:90" ht="15" customHeight="1" x14ac:dyDescent="0.35">
      <c r="A1097" t="s">
        <v>2715</v>
      </c>
      <c r="B1097" t="s">
        <v>100</v>
      </c>
      <c r="C1097" t="s">
        <v>214</v>
      </c>
      <c r="D1097" t="s">
        <v>101</v>
      </c>
      <c r="E1097" s="32">
        <v>45949</v>
      </c>
      <c r="F1097" t="s">
        <v>54</v>
      </c>
      <c r="G1097" t="s">
        <v>2490</v>
      </c>
      <c r="H1097">
        <v>9489309108</v>
      </c>
      <c r="I1097">
        <v>148</v>
      </c>
      <c r="J1097" t="s">
        <v>2498</v>
      </c>
      <c r="K1097" t="s">
        <v>71</v>
      </c>
      <c r="L1097" t="s">
        <v>72</v>
      </c>
      <c r="M1097" t="s">
        <v>59</v>
      </c>
      <c r="N1097" t="s">
        <v>59</v>
      </c>
      <c r="O1097" t="s">
        <v>59</v>
      </c>
      <c r="P1097" t="s">
        <v>59</v>
      </c>
      <c r="Q1097" t="s">
        <v>59</v>
      </c>
      <c r="R1097" t="s">
        <v>59</v>
      </c>
      <c r="S1097" t="s">
        <v>59</v>
      </c>
      <c r="T1097" t="s">
        <v>59</v>
      </c>
      <c r="U1097" t="s">
        <v>60</v>
      </c>
      <c r="V1097" t="s">
        <v>59</v>
      </c>
      <c r="W1097" t="s">
        <v>59</v>
      </c>
      <c r="X1097" t="s">
        <v>61</v>
      </c>
      <c r="Y1097" t="s">
        <v>59</v>
      </c>
      <c r="Z1097" t="s">
        <v>59</v>
      </c>
      <c r="AA1097" t="s">
        <v>60</v>
      </c>
      <c r="AB1097" t="s">
        <v>59</v>
      </c>
      <c r="AC1097" t="s">
        <v>60</v>
      </c>
      <c r="AD1097" t="s">
        <v>59</v>
      </c>
      <c r="AE1097" t="s">
        <v>59</v>
      </c>
      <c r="AF1097" t="s">
        <v>59</v>
      </c>
      <c r="AG1097" t="s">
        <v>59</v>
      </c>
      <c r="AH1097" t="s">
        <v>61</v>
      </c>
      <c r="AI1097" t="s">
        <v>61</v>
      </c>
      <c r="AJ1097" t="s">
        <v>59</v>
      </c>
      <c r="AK1097" t="s">
        <v>61</v>
      </c>
      <c r="AL1097" t="s">
        <v>60</v>
      </c>
      <c r="AM1097" t="s">
        <v>59</v>
      </c>
      <c r="AN1097" t="s">
        <v>59</v>
      </c>
      <c r="AO1097" t="s">
        <v>59</v>
      </c>
      <c r="AP1097" t="s">
        <v>2663</v>
      </c>
      <c r="AQ1097" s="1" t="s">
        <v>2716</v>
      </c>
      <c r="AR1097" t="s">
        <v>64</v>
      </c>
      <c r="AS1097" t="s">
        <v>171</v>
      </c>
      <c r="AT1097" t="s">
        <v>190</v>
      </c>
      <c r="AU1097" t="s">
        <v>299</v>
      </c>
      <c r="AW1097" s="4">
        <f t="shared" si="598"/>
        <v>6</v>
      </c>
      <c r="AX1097" s="4">
        <f t="shared" si="599"/>
        <v>4</v>
      </c>
      <c r="AY1097" s="4">
        <f t="shared" si="600"/>
        <v>4</v>
      </c>
      <c r="AZ1097" s="4">
        <f t="shared" si="601"/>
        <v>2</v>
      </c>
      <c r="BA1097" s="4">
        <f t="shared" si="602"/>
        <v>4</v>
      </c>
      <c r="BB1097" s="4">
        <f t="shared" si="603"/>
        <v>4</v>
      </c>
      <c r="BC1097" s="4">
        <f t="shared" si="604"/>
        <v>4</v>
      </c>
      <c r="BD1097" s="4">
        <f t="shared" si="605"/>
        <v>2</v>
      </c>
      <c r="BE1097" s="4" t="str">
        <f t="shared" si="606"/>
        <v>0</v>
      </c>
      <c r="BF1097" s="4">
        <f t="shared" si="607"/>
        <v>2</v>
      </c>
      <c r="BG1097" s="4">
        <f t="shared" si="608"/>
        <v>4</v>
      </c>
      <c r="BH1097" s="4">
        <f t="shared" si="609"/>
        <v>4</v>
      </c>
      <c r="BI1097" s="4">
        <f t="shared" si="610"/>
        <v>4</v>
      </c>
      <c r="BJ1097" s="4">
        <f t="shared" si="611"/>
        <v>2</v>
      </c>
      <c r="BK1097" s="4" t="str">
        <f t="shared" si="612"/>
        <v>0</v>
      </c>
      <c r="BL1097" s="4">
        <f t="shared" si="613"/>
        <v>2</v>
      </c>
      <c r="BM1097" s="4" t="str">
        <f t="shared" si="614"/>
        <v>0</v>
      </c>
      <c r="BN1097" s="4">
        <f t="shared" si="615"/>
        <v>4</v>
      </c>
      <c r="BO1097" s="4">
        <f t="shared" si="616"/>
        <v>4</v>
      </c>
      <c r="BP1097" s="4">
        <f t="shared" si="617"/>
        <v>4</v>
      </c>
      <c r="BQ1097" s="4">
        <f t="shared" si="618"/>
        <v>6</v>
      </c>
      <c r="BR1097" s="4">
        <f t="shared" si="619"/>
        <v>4</v>
      </c>
      <c r="BS1097" s="4">
        <f t="shared" si="620"/>
        <v>4</v>
      </c>
      <c r="BT1097" s="4">
        <f t="shared" si="621"/>
        <v>4</v>
      </c>
      <c r="BU1097" s="4">
        <f t="shared" si="622"/>
        <v>4</v>
      </c>
      <c r="BV1097" s="4" t="str">
        <f t="shared" si="623"/>
        <v>0</v>
      </c>
      <c r="BW1097" s="4">
        <f t="shared" si="624"/>
        <v>6</v>
      </c>
      <c r="BX1097" s="4">
        <f t="shared" si="625"/>
        <v>0</v>
      </c>
      <c r="BY1097" s="4">
        <f t="shared" si="626"/>
        <v>0</v>
      </c>
      <c r="BZ1097" s="37">
        <f t="shared" si="627"/>
        <v>88</v>
      </c>
      <c r="CA1097" s="32" t="e">
        <f>VLOOKUP(J:J,'Agent wise'!A:C,3,0)</f>
        <v>#N/A</v>
      </c>
      <c r="CB1097" s="32">
        <f t="shared" si="628"/>
        <v>45949</v>
      </c>
      <c r="CC1097" t="str">
        <f t="shared" si="629"/>
        <v>Average</v>
      </c>
      <c r="CE1097" s="32"/>
      <c r="CJ1097">
        <f t="shared" si="630"/>
        <v>19</v>
      </c>
      <c r="CK1097">
        <f t="shared" si="631"/>
        <v>10</v>
      </c>
      <c r="CL1097">
        <f t="shared" si="632"/>
        <v>2025</v>
      </c>
    </row>
    <row r="1098" spans="1:90" ht="15" customHeight="1" x14ac:dyDescent="0.35">
      <c r="A1098" t="s">
        <v>2717</v>
      </c>
      <c r="B1098" t="s">
        <v>51</v>
      </c>
      <c r="C1098" t="s">
        <v>214</v>
      </c>
      <c r="D1098" t="s">
        <v>53</v>
      </c>
      <c r="E1098" s="32">
        <v>45949</v>
      </c>
      <c r="F1098" t="s">
        <v>54</v>
      </c>
      <c r="G1098" t="s">
        <v>2490</v>
      </c>
      <c r="H1098">
        <v>9745920935</v>
      </c>
      <c r="I1098">
        <v>218</v>
      </c>
      <c r="J1098" t="s">
        <v>546</v>
      </c>
      <c r="K1098" t="s">
        <v>57</v>
      </c>
      <c r="L1098" t="s">
        <v>58</v>
      </c>
      <c r="M1098" t="s">
        <v>59</v>
      </c>
      <c r="N1098" t="s">
        <v>59</v>
      </c>
      <c r="O1098" t="s">
        <v>59</v>
      </c>
      <c r="P1098" t="s">
        <v>59</v>
      </c>
      <c r="Q1098" t="s">
        <v>59</v>
      </c>
      <c r="R1098" t="s">
        <v>60</v>
      </c>
      <c r="S1098" t="s">
        <v>59</v>
      </c>
      <c r="T1098" t="s">
        <v>59</v>
      </c>
      <c r="U1098" t="s">
        <v>60</v>
      </c>
      <c r="V1098" t="s">
        <v>59</v>
      </c>
      <c r="W1098" t="s">
        <v>59</v>
      </c>
      <c r="X1098" t="s">
        <v>59</v>
      </c>
      <c r="Y1098" t="s">
        <v>59</v>
      </c>
      <c r="Z1098" t="s">
        <v>59</v>
      </c>
      <c r="AA1098" t="s">
        <v>59</v>
      </c>
      <c r="AB1098" t="s">
        <v>59</v>
      </c>
      <c r="AC1098" t="s">
        <v>61</v>
      </c>
      <c r="AD1098" t="s">
        <v>59</v>
      </c>
      <c r="AE1098" t="s">
        <v>60</v>
      </c>
      <c r="AF1098" t="s">
        <v>61</v>
      </c>
      <c r="AG1098" t="s">
        <v>59</v>
      </c>
      <c r="AH1098" t="s">
        <v>61</v>
      </c>
      <c r="AI1098" t="s">
        <v>60</v>
      </c>
      <c r="AJ1098" t="s">
        <v>59</v>
      </c>
      <c r="AK1098" t="s">
        <v>61</v>
      </c>
      <c r="AL1098" t="s">
        <v>60</v>
      </c>
      <c r="AM1098" t="s">
        <v>59</v>
      </c>
      <c r="AN1098" t="s">
        <v>60</v>
      </c>
      <c r="AO1098" t="s">
        <v>59</v>
      </c>
      <c r="AP1098" t="s">
        <v>68</v>
      </c>
      <c r="AQ1098" t="s">
        <v>2718</v>
      </c>
      <c r="AR1098" t="s">
        <v>64</v>
      </c>
      <c r="AS1098" t="s">
        <v>325</v>
      </c>
      <c r="AT1098" t="s">
        <v>324</v>
      </c>
      <c r="AU1098" t="s">
        <v>448</v>
      </c>
      <c r="AW1098" s="4">
        <f t="shared" si="598"/>
        <v>6</v>
      </c>
      <c r="AX1098" s="4">
        <f t="shared" si="599"/>
        <v>4</v>
      </c>
      <c r="AY1098" s="4">
        <f t="shared" si="600"/>
        <v>4</v>
      </c>
      <c r="AZ1098" s="4">
        <f t="shared" si="601"/>
        <v>2</v>
      </c>
      <c r="BA1098" s="4">
        <f t="shared" si="602"/>
        <v>4</v>
      </c>
      <c r="BB1098" s="4" t="str">
        <f t="shared" si="603"/>
        <v>0</v>
      </c>
      <c r="BC1098" s="4">
        <f t="shared" si="604"/>
        <v>4</v>
      </c>
      <c r="BD1098" s="4">
        <f t="shared" si="605"/>
        <v>2</v>
      </c>
      <c r="BE1098" s="4" t="str">
        <f t="shared" si="606"/>
        <v>0</v>
      </c>
      <c r="BF1098" s="4">
        <f t="shared" si="607"/>
        <v>2</v>
      </c>
      <c r="BG1098" s="4">
        <f t="shared" si="608"/>
        <v>4</v>
      </c>
      <c r="BH1098" s="4">
        <f t="shared" si="609"/>
        <v>4</v>
      </c>
      <c r="BI1098" s="4">
        <f t="shared" si="610"/>
        <v>4</v>
      </c>
      <c r="BJ1098" s="4">
        <f t="shared" si="611"/>
        <v>2</v>
      </c>
      <c r="BK1098" s="4">
        <f t="shared" si="612"/>
        <v>4</v>
      </c>
      <c r="BL1098" s="4">
        <f t="shared" si="613"/>
        <v>2</v>
      </c>
      <c r="BM1098" s="4">
        <f t="shared" si="614"/>
        <v>4</v>
      </c>
      <c r="BN1098" s="4">
        <f t="shared" si="615"/>
        <v>4</v>
      </c>
      <c r="BO1098" s="4" t="str">
        <f t="shared" si="616"/>
        <v>0</v>
      </c>
      <c r="BP1098" s="4">
        <f t="shared" si="617"/>
        <v>4</v>
      </c>
      <c r="BQ1098" s="4">
        <f t="shared" si="618"/>
        <v>6</v>
      </c>
      <c r="BR1098" s="4">
        <f t="shared" si="619"/>
        <v>4</v>
      </c>
      <c r="BS1098" s="4" t="str">
        <f t="shared" si="620"/>
        <v>0</v>
      </c>
      <c r="BT1098" s="4">
        <f t="shared" si="621"/>
        <v>4</v>
      </c>
      <c r="BU1098" s="4">
        <f t="shared" si="622"/>
        <v>4</v>
      </c>
      <c r="BV1098" s="4" t="str">
        <f t="shared" si="623"/>
        <v>0</v>
      </c>
      <c r="BW1098" s="4">
        <f t="shared" si="624"/>
        <v>6</v>
      </c>
      <c r="BX1098" s="4" t="str">
        <f t="shared" si="625"/>
        <v>0</v>
      </c>
      <c r="BY1098" s="4">
        <f t="shared" si="626"/>
        <v>0</v>
      </c>
      <c r="BZ1098" s="37">
        <f t="shared" si="627"/>
        <v>84</v>
      </c>
      <c r="CA1098" s="32" t="str">
        <f>VLOOKUP(J:J,'Agent wise'!A:C,3,0)</f>
        <v>Shakeer</v>
      </c>
      <c r="CB1098" s="32">
        <f t="shared" si="628"/>
        <v>45949</v>
      </c>
      <c r="CC1098" t="str">
        <f t="shared" si="629"/>
        <v>FC</v>
      </c>
      <c r="CE1098" s="32"/>
      <c r="CJ1098">
        <f t="shared" si="630"/>
        <v>19</v>
      </c>
      <c r="CK1098">
        <f t="shared" si="631"/>
        <v>10</v>
      </c>
      <c r="CL1098">
        <f t="shared" si="632"/>
        <v>2025</v>
      </c>
    </row>
    <row r="1099" spans="1:90" ht="15" customHeight="1" x14ac:dyDescent="0.35">
      <c r="A1099" t="s">
        <v>2719</v>
      </c>
      <c r="B1099" t="s">
        <v>51</v>
      </c>
      <c r="C1099" t="s">
        <v>214</v>
      </c>
      <c r="D1099" t="s">
        <v>53</v>
      </c>
      <c r="E1099" s="32">
        <v>45949</v>
      </c>
      <c r="F1099" t="s">
        <v>54</v>
      </c>
      <c r="G1099" t="s">
        <v>2490</v>
      </c>
      <c r="H1099">
        <v>8089495702</v>
      </c>
      <c r="I1099">
        <v>149</v>
      </c>
      <c r="J1099" t="s">
        <v>154</v>
      </c>
      <c r="K1099" t="s">
        <v>57</v>
      </c>
      <c r="L1099" t="s">
        <v>58</v>
      </c>
      <c r="M1099" t="s">
        <v>60</v>
      </c>
      <c r="N1099" t="s">
        <v>59</v>
      </c>
      <c r="O1099" t="s">
        <v>59</v>
      </c>
      <c r="P1099" t="s">
        <v>59</v>
      </c>
      <c r="Q1099" t="s">
        <v>59</v>
      </c>
      <c r="R1099" t="s">
        <v>60</v>
      </c>
      <c r="S1099" t="s">
        <v>59</v>
      </c>
      <c r="T1099" t="s">
        <v>59</v>
      </c>
      <c r="U1099" t="s">
        <v>60</v>
      </c>
      <c r="V1099" t="s">
        <v>59</v>
      </c>
      <c r="W1099" t="s">
        <v>59</v>
      </c>
      <c r="X1099" t="s">
        <v>59</v>
      </c>
      <c r="Y1099" t="s">
        <v>59</v>
      </c>
      <c r="Z1099" t="s">
        <v>59</v>
      </c>
      <c r="AA1099" t="s">
        <v>60</v>
      </c>
      <c r="AB1099" t="s">
        <v>60</v>
      </c>
      <c r="AC1099" t="s">
        <v>61</v>
      </c>
      <c r="AD1099" t="s">
        <v>59</v>
      </c>
      <c r="AE1099" t="s">
        <v>59</v>
      </c>
      <c r="AF1099" t="s">
        <v>61</v>
      </c>
      <c r="AG1099" t="s">
        <v>59</v>
      </c>
      <c r="AH1099" t="s">
        <v>61</v>
      </c>
      <c r="AI1099" t="s">
        <v>61</v>
      </c>
      <c r="AJ1099" t="s">
        <v>59</v>
      </c>
      <c r="AK1099" t="s">
        <v>61</v>
      </c>
      <c r="AL1099" t="s">
        <v>60</v>
      </c>
      <c r="AM1099" t="s">
        <v>59</v>
      </c>
      <c r="AN1099" t="s">
        <v>59</v>
      </c>
      <c r="AO1099" t="s">
        <v>59</v>
      </c>
      <c r="AP1099" t="s">
        <v>2720</v>
      </c>
      <c r="AQ1099" t="s">
        <v>2721</v>
      </c>
      <c r="AR1099" t="s">
        <v>64</v>
      </c>
      <c r="AS1099" t="s">
        <v>347</v>
      </c>
      <c r="AT1099" t="s">
        <v>2722</v>
      </c>
      <c r="AU1099" t="s">
        <v>299</v>
      </c>
      <c r="AW1099" s="4" t="str">
        <f t="shared" si="598"/>
        <v>0</v>
      </c>
      <c r="AX1099" s="4">
        <f t="shared" si="599"/>
        <v>4</v>
      </c>
      <c r="AY1099" s="4">
        <f t="shared" si="600"/>
        <v>4</v>
      </c>
      <c r="AZ1099" s="4">
        <f t="shared" si="601"/>
        <v>2</v>
      </c>
      <c r="BA1099" s="4">
        <f t="shared" si="602"/>
        <v>4</v>
      </c>
      <c r="BB1099" s="4" t="str">
        <f t="shared" si="603"/>
        <v>0</v>
      </c>
      <c r="BC1099" s="4">
        <f t="shared" si="604"/>
        <v>4</v>
      </c>
      <c r="BD1099" s="4">
        <f t="shared" si="605"/>
        <v>2</v>
      </c>
      <c r="BE1099" s="4" t="str">
        <f t="shared" si="606"/>
        <v>0</v>
      </c>
      <c r="BF1099" s="4">
        <f t="shared" si="607"/>
        <v>2</v>
      </c>
      <c r="BG1099" s="4">
        <f t="shared" si="608"/>
        <v>4</v>
      </c>
      <c r="BH1099" s="4">
        <f t="shared" si="609"/>
        <v>4</v>
      </c>
      <c r="BI1099" s="4">
        <f t="shared" si="610"/>
        <v>4</v>
      </c>
      <c r="BJ1099" s="4">
        <f t="shared" si="611"/>
        <v>2</v>
      </c>
      <c r="BK1099" s="4" t="str">
        <f t="shared" si="612"/>
        <v>0</v>
      </c>
      <c r="BL1099" s="4" t="str">
        <f t="shared" si="613"/>
        <v>0</v>
      </c>
      <c r="BM1099" s="4">
        <f t="shared" si="614"/>
        <v>4</v>
      </c>
      <c r="BN1099" s="4">
        <f t="shared" si="615"/>
        <v>4</v>
      </c>
      <c r="BO1099" s="4">
        <f t="shared" si="616"/>
        <v>4</v>
      </c>
      <c r="BP1099" s="4">
        <f t="shared" si="617"/>
        <v>4</v>
      </c>
      <c r="BQ1099" s="4">
        <f t="shared" si="618"/>
        <v>6</v>
      </c>
      <c r="BR1099" s="4">
        <f t="shared" si="619"/>
        <v>4</v>
      </c>
      <c r="BS1099" s="4">
        <f t="shared" si="620"/>
        <v>4</v>
      </c>
      <c r="BT1099" s="4">
        <f t="shared" si="621"/>
        <v>4</v>
      </c>
      <c r="BU1099" s="4">
        <f t="shared" si="622"/>
        <v>4</v>
      </c>
      <c r="BV1099" s="4" t="str">
        <f t="shared" si="623"/>
        <v>0</v>
      </c>
      <c r="BW1099" s="4">
        <f t="shared" si="624"/>
        <v>6</v>
      </c>
      <c r="BX1099" s="4">
        <f t="shared" si="625"/>
        <v>0</v>
      </c>
      <c r="BY1099" s="4">
        <f t="shared" si="626"/>
        <v>0</v>
      </c>
      <c r="BZ1099" s="37">
        <f t="shared" si="627"/>
        <v>80</v>
      </c>
      <c r="CA1099" s="32" t="str">
        <f>VLOOKUP(J:J,'Agent wise'!A:C,3,0)</f>
        <v>Shakeer</v>
      </c>
      <c r="CB1099" s="32">
        <f t="shared" si="628"/>
        <v>45949</v>
      </c>
      <c r="CC1099" t="str">
        <f t="shared" si="629"/>
        <v>FC</v>
      </c>
      <c r="CE1099" s="32"/>
      <c r="CJ1099">
        <f t="shared" si="630"/>
        <v>19</v>
      </c>
      <c r="CK1099">
        <f t="shared" si="631"/>
        <v>10</v>
      </c>
      <c r="CL1099">
        <f t="shared" si="632"/>
        <v>2025</v>
      </c>
    </row>
    <row r="1100" spans="1:90" ht="15" customHeight="1" x14ac:dyDescent="0.35">
      <c r="A1100" t="s">
        <v>2723</v>
      </c>
      <c r="B1100" t="s">
        <v>51</v>
      </c>
      <c r="C1100" t="s">
        <v>214</v>
      </c>
      <c r="D1100" t="s">
        <v>53</v>
      </c>
      <c r="E1100" s="32">
        <v>45949</v>
      </c>
      <c r="F1100" t="s">
        <v>90</v>
      </c>
      <c r="G1100" t="s">
        <v>2490</v>
      </c>
      <c r="H1100">
        <v>9486188206</v>
      </c>
      <c r="I1100">
        <v>162</v>
      </c>
      <c r="J1100" t="s">
        <v>480</v>
      </c>
      <c r="K1100" t="s">
        <v>71</v>
      </c>
      <c r="L1100" t="s">
        <v>72</v>
      </c>
      <c r="M1100" t="s">
        <v>60</v>
      </c>
      <c r="N1100" t="s">
        <v>59</v>
      </c>
      <c r="O1100" t="s">
        <v>60</v>
      </c>
      <c r="P1100" t="s">
        <v>59</v>
      </c>
      <c r="Q1100" t="s">
        <v>59</v>
      </c>
      <c r="R1100" t="s">
        <v>60</v>
      </c>
      <c r="S1100" t="s">
        <v>59</v>
      </c>
      <c r="T1100" t="s">
        <v>59</v>
      </c>
      <c r="U1100" t="s">
        <v>60</v>
      </c>
      <c r="V1100" t="s">
        <v>59</v>
      </c>
      <c r="W1100" t="s">
        <v>59</v>
      </c>
      <c r="X1100" t="s">
        <v>59</v>
      </c>
      <c r="Y1100" t="s">
        <v>59</v>
      </c>
      <c r="Z1100" t="s">
        <v>59</v>
      </c>
      <c r="AA1100" t="s">
        <v>60</v>
      </c>
      <c r="AB1100" t="s">
        <v>60</v>
      </c>
      <c r="AC1100" t="s">
        <v>61</v>
      </c>
      <c r="AD1100" t="s">
        <v>60</v>
      </c>
      <c r="AE1100" t="s">
        <v>59</v>
      </c>
      <c r="AF1100" t="s">
        <v>61</v>
      </c>
      <c r="AG1100" t="s">
        <v>59</v>
      </c>
      <c r="AH1100" t="s">
        <v>61</v>
      </c>
      <c r="AI1100" t="s">
        <v>61</v>
      </c>
      <c r="AJ1100" t="s">
        <v>59</v>
      </c>
      <c r="AK1100" t="s">
        <v>61</v>
      </c>
      <c r="AL1100" t="s">
        <v>60</v>
      </c>
      <c r="AM1100" t="s">
        <v>59</v>
      </c>
      <c r="AN1100" t="s">
        <v>59</v>
      </c>
      <c r="AO1100" t="s">
        <v>59</v>
      </c>
      <c r="AP1100" t="s">
        <v>2724</v>
      </c>
      <c r="AQ1100" t="s">
        <v>599</v>
      </c>
      <c r="AR1100" t="s">
        <v>64</v>
      </c>
      <c r="AS1100" t="s">
        <v>94</v>
      </c>
      <c r="AT1100" t="s">
        <v>95</v>
      </c>
      <c r="AU1100" t="s">
        <v>299</v>
      </c>
      <c r="AW1100" s="4" t="str">
        <f t="shared" si="598"/>
        <v>0</v>
      </c>
      <c r="AX1100" s="4">
        <f t="shared" si="599"/>
        <v>4</v>
      </c>
      <c r="AY1100" s="4" t="str">
        <f t="shared" si="600"/>
        <v>0</v>
      </c>
      <c r="AZ1100" s="4">
        <f t="shared" si="601"/>
        <v>2</v>
      </c>
      <c r="BA1100" s="4">
        <f t="shared" si="602"/>
        <v>4</v>
      </c>
      <c r="BB1100" s="4" t="str">
        <f t="shared" si="603"/>
        <v>0</v>
      </c>
      <c r="BC1100" s="4">
        <f t="shared" si="604"/>
        <v>4</v>
      </c>
      <c r="BD1100" s="4">
        <f t="shared" si="605"/>
        <v>2</v>
      </c>
      <c r="BE1100" s="4" t="str">
        <f t="shared" si="606"/>
        <v>0</v>
      </c>
      <c r="BF1100" s="4">
        <f t="shared" si="607"/>
        <v>2</v>
      </c>
      <c r="BG1100" s="4">
        <f t="shared" si="608"/>
        <v>4</v>
      </c>
      <c r="BH1100" s="4">
        <f t="shared" si="609"/>
        <v>4</v>
      </c>
      <c r="BI1100" s="4">
        <f t="shared" si="610"/>
        <v>4</v>
      </c>
      <c r="BJ1100" s="4">
        <f t="shared" si="611"/>
        <v>2</v>
      </c>
      <c r="BK1100" s="4" t="str">
        <f t="shared" si="612"/>
        <v>0</v>
      </c>
      <c r="BL1100" s="4" t="str">
        <f t="shared" si="613"/>
        <v>0</v>
      </c>
      <c r="BM1100" s="4">
        <f t="shared" si="614"/>
        <v>4</v>
      </c>
      <c r="BN1100" s="4" t="str">
        <f t="shared" si="615"/>
        <v>0</v>
      </c>
      <c r="BO1100" s="4">
        <f t="shared" si="616"/>
        <v>4</v>
      </c>
      <c r="BP1100" s="4">
        <f t="shared" si="617"/>
        <v>4</v>
      </c>
      <c r="BQ1100" s="4">
        <f t="shared" si="618"/>
        <v>6</v>
      </c>
      <c r="BR1100" s="4">
        <f t="shared" si="619"/>
        <v>4</v>
      </c>
      <c r="BS1100" s="4">
        <f t="shared" si="620"/>
        <v>4</v>
      </c>
      <c r="BT1100" s="4">
        <f t="shared" si="621"/>
        <v>4</v>
      </c>
      <c r="BU1100" s="4">
        <f t="shared" si="622"/>
        <v>4</v>
      </c>
      <c r="BV1100" s="4" t="str">
        <f t="shared" si="623"/>
        <v>0</v>
      </c>
      <c r="BW1100" s="4">
        <f t="shared" si="624"/>
        <v>6</v>
      </c>
      <c r="BX1100" s="4">
        <f t="shared" si="625"/>
        <v>0</v>
      </c>
      <c r="BY1100" s="4">
        <f t="shared" si="626"/>
        <v>0</v>
      </c>
      <c r="BZ1100" s="37">
        <f t="shared" si="627"/>
        <v>72</v>
      </c>
      <c r="CA1100" s="32" t="str">
        <f>VLOOKUP(J:J,'Agent wise'!A:C,3,0)</f>
        <v>Shakeer</v>
      </c>
      <c r="CB1100" s="32">
        <f t="shared" si="628"/>
        <v>45949</v>
      </c>
      <c r="CC1100" t="str">
        <f t="shared" si="629"/>
        <v>FC</v>
      </c>
      <c r="CE1100" s="32"/>
      <c r="CJ1100">
        <f t="shared" si="630"/>
        <v>19</v>
      </c>
      <c r="CK1100">
        <f t="shared" si="631"/>
        <v>10</v>
      </c>
      <c r="CL1100">
        <f t="shared" si="632"/>
        <v>2025</v>
      </c>
    </row>
    <row r="1101" spans="1:90" ht="15" customHeight="1" x14ac:dyDescent="0.35">
      <c r="A1101" t="s">
        <v>2725</v>
      </c>
      <c r="B1101" t="s">
        <v>177</v>
      </c>
      <c r="C1101" t="s">
        <v>214</v>
      </c>
      <c r="D1101" t="s">
        <v>178</v>
      </c>
      <c r="E1101" s="32">
        <v>45949</v>
      </c>
      <c r="F1101" t="s">
        <v>54</v>
      </c>
      <c r="G1101" t="s">
        <v>2490</v>
      </c>
      <c r="H1101">
        <v>8903859390</v>
      </c>
      <c r="I1101">
        <v>115</v>
      </c>
      <c r="J1101" t="s">
        <v>490</v>
      </c>
      <c r="K1101" t="s">
        <v>71</v>
      </c>
      <c r="L1101" t="s">
        <v>72</v>
      </c>
      <c r="M1101" t="s">
        <v>59</v>
      </c>
      <c r="N1101" t="s">
        <v>59</v>
      </c>
      <c r="O1101" t="s">
        <v>59</v>
      </c>
      <c r="P1101" t="s">
        <v>59</v>
      </c>
      <c r="Q1101" t="s">
        <v>59</v>
      </c>
      <c r="R1101" t="s">
        <v>59</v>
      </c>
      <c r="S1101" t="s">
        <v>59</v>
      </c>
      <c r="T1101" t="s">
        <v>59</v>
      </c>
      <c r="U1101" t="s">
        <v>59</v>
      </c>
      <c r="V1101" t="s">
        <v>59</v>
      </c>
      <c r="W1101" t="s">
        <v>59</v>
      </c>
      <c r="X1101" t="s">
        <v>59</v>
      </c>
      <c r="Y1101" t="s">
        <v>59</v>
      </c>
      <c r="Z1101" t="s">
        <v>59</v>
      </c>
      <c r="AA1101" t="s">
        <v>59</v>
      </c>
      <c r="AB1101" t="s">
        <v>59</v>
      </c>
      <c r="AC1101" t="s">
        <v>60</v>
      </c>
      <c r="AD1101" t="s">
        <v>59</v>
      </c>
      <c r="AE1101" t="s">
        <v>59</v>
      </c>
      <c r="AF1101" t="s">
        <v>59</v>
      </c>
      <c r="AG1101" t="s">
        <v>59</v>
      </c>
      <c r="AH1101" t="s">
        <v>61</v>
      </c>
      <c r="AI1101" t="s">
        <v>61</v>
      </c>
      <c r="AJ1101" t="s">
        <v>59</v>
      </c>
      <c r="AK1101" t="s">
        <v>59</v>
      </c>
      <c r="AL1101" t="s">
        <v>59</v>
      </c>
      <c r="AM1101" t="s">
        <v>59</v>
      </c>
      <c r="AN1101" t="s">
        <v>59</v>
      </c>
      <c r="AO1101" t="s">
        <v>59</v>
      </c>
      <c r="AP1101" t="s">
        <v>2726</v>
      </c>
      <c r="AQ1101" t="s">
        <v>2727</v>
      </c>
      <c r="AR1101" t="s">
        <v>64</v>
      </c>
      <c r="AS1101" t="s">
        <v>175</v>
      </c>
      <c r="AT1101" t="s">
        <v>167</v>
      </c>
      <c r="AU1101" t="s">
        <v>387</v>
      </c>
      <c r="AW1101" s="4">
        <f t="shared" si="598"/>
        <v>6</v>
      </c>
      <c r="AX1101" s="4">
        <f t="shared" si="599"/>
        <v>4</v>
      </c>
      <c r="AY1101" s="4">
        <f t="shared" si="600"/>
        <v>4</v>
      </c>
      <c r="AZ1101" s="4">
        <f t="shared" si="601"/>
        <v>2</v>
      </c>
      <c r="BA1101" s="4">
        <f t="shared" si="602"/>
        <v>4</v>
      </c>
      <c r="BB1101" s="4">
        <f t="shared" si="603"/>
        <v>4</v>
      </c>
      <c r="BC1101" s="4">
        <f t="shared" si="604"/>
        <v>4</v>
      </c>
      <c r="BD1101" s="4">
        <f t="shared" si="605"/>
        <v>2</v>
      </c>
      <c r="BE1101" s="4">
        <f t="shared" si="606"/>
        <v>4</v>
      </c>
      <c r="BF1101" s="4">
        <f t="shared" si="607"/>
        <v>2</v>
      </c>
      <c r="BG1101" s="4">
        <f t="shared" si="608"/>
        <v>4</v>
      </c>
      <c r="BH1101" s="4">
        <f t="shared" si="609"/>
        <v>4</v>
      </c>
      <c r="BI1101" s="4">
        <f t="shared" si="610"/>
        <v>4</v>
      </c>
      <c r="BJ1101" s="4">
        <f t="shared" si="611"/>
        <v>2</v>
      </c>
      <c r="BK1101" s="4">
        <f t="shared" si="612"/>
        <v>4</v>
      </c>
      <c r="BL1101" s="4">
        <f t="shared" si="613"/>
        <v>2</v>
      </c>
      <c r="BM1101" s="4" t="str">
        <f t="shared" si="614"/>
        <v>0</v>
      </c>
      <c r="BN1101" s="4">
        <f t="shared" si="615"/>
        <v>4</v>
      </c>
      <c r="BO1101" s="4">
        <f t="shared" si="616"/>
        <v>4</v>
      </c>
      <c r="BP1101" s="4">
        <f t="shared" si="617"/>
        <v>4</v>
      </c>
      <c r="BQ1101" s="4">
        <f t="shared" si="618"/>
        <v>6</v>
      </c>
      <c r="BR1101" s="4">
        <f t="shared" si="619"/>
        <v>4</v>
      </c>
      <c r="BS1101" s="4">
        <f t="shared" si="620"/>
        <v>4</v>
      </c>
      <c r="BT1101" s="4">
        <f t="shared" si="621"/>
        <v>4</v>
      </c>
      <c r="BU1101" s="4">
        <f t="shared" si="622"/>
        <v>4</v>
      </c>
      <c r="BV1101" s="4">
        <f t="shared" si="623"/>
        <v>0</v>
      </c>
      <c r="BW1101" s="4">
        <f t="shared" si="624"/>
        <v>6</v>
      </c>
      <c r="BX1101" s="4">
        <f t="shared" si="625"/>
        <v>0</v>
      </c>
      <c r="BY1101" s="4">
        <f t="shared" si="626"/>
        <v>0</v>
      </c>
      <c r="BZ1101" s="37">
        <f t="shared" si="627"/>
        <v>96</v>
      </c>
      <c r="CA1101" s="32" t="str">
        <f>VLOOKUP(J:J,'Agent wise'!A:C,3,0)</f>
        <v>Saran S</v>
      </c>
      <c r="CB1101" s="32">
        <f t="shared" si="628"/>
        <v>45949</v>
      </c>
      <c r="CC1101" t="str">
        <f t="shared" si="629"/>
        <v>Excellent</v>
      </c>
      <c r="CE1101" s="32"/>
      <c r="CJ1101">
        <f t="shared" si="630"/>
        <v>19</v>
      </c>
      <c r="CK1101">
        <f t="shared" si="631"/>
        <v>10</v>
      </c>
      <c r="CL1101">
        <f t="shared" si="632"/>
        <v>2025</v>
      </c>
    </row>
    <row r="1102" spans="1:90" ht="15" customHeight="1" x14ac:dyDescent="0.35">
      <c r="A1102" t="s">
        <v>2728</v>
      </c>
      <c r="B1102" t="s">
        <v>177</v>
      </c>
      <c r="C1102" t="s">
        <v>214</v>
      </c>
      <c r="D1102" t="s">
        <v>178</v>
      </c>
      <c r="E1102" s="32">
        <v>45949</v>
      </c>
      <c r="F1102" t="s">
        <v>54</v>
      </c>
      <c r="G1102" t="s">
        <v>2490</v>
      </c>
      <c r="H1102">
        <v>9043538148</v>
      </c>
      <c r="I1102">
        <v>124</v>
      </c>
      <c r="J1102" t="s">
        <v>557</v>
      </c>
      <c r="K1102" t="s">
        <v>71</v>
      </c>
      <c r="L1102" t="s">
        <v>72</v>
      </c>
      <c r="M1102" t="s">
        <v>59</v>
      </c>
      <c r="N1102" t="s">
        <v>59</v>
      </c>
      <c r="O1102" t="s">
        <v>59</v>
      </c>
      <c r="P1102" t="s">
        <v>59</v>
      </c>
      <c r="Q1102" t="s">
        <v>59</v>
      </c>
      <c r="R1102" t="s">
        <v>59</v>
      </c>
      <c r="S1102" t="s">
        <v>59</v>
      </c>
      <c r="T1102" t="s">
        <v>59</v>
      </c>
      <c r="U1102" t="s">
        <v>59</v>
      </c>
      <c r="V1102" t="s">
        <v>59</v>
      </c>
      <c r="W1102" t="s">
        <v>59</v>
      </c>
      <c r="X1102" t="s">
        <v>59</v>
      </c>
      <c r="Y1102" t="s">
        <v>60</v>
      </c>
      <c r="Z1102" t="s">
        <v>59</v>
      </c>
      <c r="AA1102" t="s">
        <v>59</v>
      </c>
      <c r="AB1102" t="s">
        <v>61</v>
      </c>
      <c r="AC1102" t="s">
        <v>61</v>
      </c>
      <c r="AD1102" t="s">
        <v>59</v>
      </c>
      <c r="AE1102" t="s">
        <v>59</v>
      </c>
      <c r="AF1102" t="s">
        <v>59</v>
      </c>
      <c r="AG1102" t="s">
        <v>59</v>
      </c>
      <c r="AH1102" t="s">
        <v>61</v>
      </c>
      <c r="AI1102" t="s">
        <v>61</v>
      </c>
      <c r="AJ1102" t="s">
        <v>59</v>
      </c>
      <c r="AK1102" t="s">
        <v>59</v>
      </c>
      <c r="AL1102" t="s">
        <v>59</v>
      </c>
      <c r="AM1102" t="s">
        <v>59</v>
      </c>
      <c r="AN1102" t="s">
        <v>59</v>
      </c>
      <c r="AO1102" t="s">
        <v>59</v>
      </c>
      <c r="AP1102" t="s">
        <v>2729</v>
      </c>
      <c r="AQ1102" t="s">
        <v>1878</v>
      </c>
      <c r="AR1102" t="s">
        <v>64</v>
      </c>
      <c r="AS1102" t="s">
        <v>89</v>
      </c>
      <c r="AT1102" t="s">
        <v>84</v>
      </c>
      <c r="AU1102" t="s">
        <v>387</v>
      </c>
      <c r="AW1102" s="4">
        <f t="shared" si="598"/>
        <v>6</v>
      </c>
      <c r="AX1102" s="4">
        <f t="shared" si="599"/>
        <v>4</v>
      </c>
      <c r="AY1102" s="4">
        <f t="shared" si="600"/>
        <v>4</v>
      </c>
      <c r="AZ1102" s="4">
        <f t="shared" si="601"/>
        <v>2</v>
      </c>
      <c r="BA1102" s="4">
        <f t="shared" si="602"/>
        <v>4</v>
      </c>
      <c r="BB1102" s="4">
        <f t="shared" si="603"/>
        <v>4</v>
      </c>
      <c r="BC1102" s="4">
        <f t="shared" si="604"/>
        <v>4</v>
      </c>
      <c r="BD1102" s="4">
        <f t="shared" si="605"/>
        <v>2</v>
      </c>
      <c r="BE1102" s="4">
        <f t="shared" si="606"/>
        <v>4</v>
      </c>
      <c r="BF1102" s="4">
        <f t="shared" si="607"/>
        <v>2</v>
      </c>
      <c r="BG1102" s="4">
        <f t="shared" si="608"/>
        <v>4</v>
      </c>
      <c r="BH1102" s="4">
        <f t="shared" si="609"/>
        <v>4</v>
      </c>
      <c r="BI1102" s="4" t="str">
        <f t="shared" si="610"/>
        <v>0</v>
      </c>
      <c r="BJ1102" s="4">
        <f t="shared" si="611"/>
        <v>2</v>
      </c>
      <c r="BK1102" s="4">
        <f t="shared" si="612"/>
        <v>4</v>
      </c>
      <c r="BL1102" s="4">
        <f t="shared" si="613"/>
        <v>2</v>
      </c>
      <c r="BM1102" s="4">
        <f t="shared" si="614"/>
        <v>4</v>
      </c>
      <c r="BN1102" s="4">
        <f t="shared" si="615"/>
        <v>4</v>
      </c>
      <c r="BO1102" s="4">
        <f t="shared" si="616"/>
        <v>4</v>
      </c>
      <c r="BP1102" s="4">
        <f t="shared" si="617"/>
        <v>4</v>
      </c>
      <c r="BQ1102" s="4">
        <f t="shared" si="618"/>
        <v>6</v>
      </c>
      <c r="BR1102" s="4">
        <f t="shared" si="619"/>
        <v>4</v>
      </c>
      <c r="BS1102" s="4">
        <f t="shared" si="620"/>
        <v>4</v>
      </c>
      <c r="BT1102" s="4">
        <f t="shared" si="621"/>
        <v>4</v>
      </c>
      <c r="BU1102" s="4">
        <f t="shared" si="622"/>
        <v>4</v>
      </c>
      <c r="BV1102" s="4">
        <f t="shared" si="623"/>
        <v>0</v>
      </c>
      <c r="BW1102" s="4">
        <f t="shared" si="624"/>
        <v>6</v>
      </c>
      <c r="BX1102" s="4">
        <f t="shared" si="625"/>
        <v>0</v>
      </c>
      <c r="BY1102" s="4">
        <f t="shared" si="626"/>
        <v>0</v>
      </c>
      <c r="BZ1102" s="37">
        <f t="shared" si="627"/>
        <v>96</v>
      </c>
      <c r="CA1102" s="32" t="str">
        <f>VLOOKUP(J:J,'Agent wise'!A:C,3,0)</f>
        <v xml:space="preserve">Shiny </v>
      </c>
      <c r="CB1102" s="32">
        <f t="shared" si="628"/>
        <v>45949</v>
      </c>
      <c r="CC1102" t="str">
        <f t="shared" si="629"/>
        <v>Excellent</v>
      </c>
      <c r="CE1102" s="32"/>
      <c r="CJ1102">
        <f t="shared" si="630"/>
        <v>19</v>
      </c>
      <c r="CK1102">
        <f t="shared" si="631"/>
        <v>10</v>
      </c>
      <c r="CL1102">
        <f t="shared" si="632"/>
        <v>2025</v>
      </c>
    </row>
    <row r="1103" spans="1:90" ht="15" customHeight="1" x14ac:dyDescent="0.35">
      <c r="A1103" t="s">
        <v>2730</v>
      </c>
      <c r="B1103" t="s">
        <v>220</v>
      </c>
      <c r="C1103" t="s">
        <v>214</v>
      </c>
      <c r="D1103" t="s">
        <v>221</v>
      </c>
      <c r="E1103" s="32">
        <v>45949</v>
      </c>
      <c r="F1103" t="s">
        <v>222</v>
      </c>
      <c r="G1103" t="s">
        <v>2708</v>
      </c>
      <c r="H1103">
        <v>7012859873</v>
      </c>
      <c r="I1103">
        <v>185</v>
      </c>
      <c r="J1103" t="s">
        <v>391</v>
      </c>
      <c r="K1103" t="s">
        <v>57</v>
      </c>
      <c r="L1103" t="s">
        <v>58</v>
      </c>
      <c r="M1103" t="s">
        <v>59</v>
      </c>
      <c r="N1103" t="s">
        <v>59</v>
      </c>
      <c r="O1103" t="s">
        <v>59</v>
      </c>
      <c r="P1103" t="s">
        <v>59</v>
      </c>
      <c r="Q1103" t="s">
        <v>59</v>
      </c>
      <c r="R1103" t="s">
        <v>59</v>
      </c>
      <c r="S1103" t="s">
        <v>59</v>
      </c>
      <c r="T1103" t="s">
        <v>59</v>
      </c>
      <c r="U1103" t="s">
        <v>59</v>
      </c>
      <c r="V1103" t="s">
        <v>59</v>
      </c>
      <c r="W1103" t="s">
        <v>59</v>
      </c>
      <c r="X1103" t="s">
        <v>59</v>
      </c>
      <c r="Y1103" t="s">
        <v>59</v>
      </c>
      <c r="Z1103" t="s">
        <v>59</v>
      </c>
      <c r="AA1103" t="s">
        <v>60</v>
      </c>
      <c r="AB1103" t="s">
        <v>59</v>
      </c>
      <c r="AC1103" t="s">
        <v>59</v>
      </c>
      <c r="AD1103" t="s">
        <v>59</v>
      </c>
      <c r="AE1103" t="s">
        <v>59</v>
      </c>
      <c r="AF1103" t="s">
        <v>59</v>
      </c>
      <c r="AG1103" t="s">
        <v>59</v>
      </c>
      <c r="AH1103" t="s">
        <v>61</v>
      </c>
      <c r="AI1103" t="s">
        <v>61</v>
      </c>
      <c r="AJ1103" t="s">
        <v>59</v>
      </c>
      <c r="AK1103" t="s">
        <v>59</v>
      </c>
      <c r="AL1103" t="s">
        <v>60</v>
      </c>
      <c r="AM1103" t="s">
        <v>59</v>
      </c>
      <c r="AN1103" t="s">
        <v>59</v>
      </c>
      <c r="AO1103" t="s">
        <v>59</v>
      </c>
      <c r="AP1103" t="s">
        <v>2731</v>
      </c>
      <c r="AQ1103" t="s">
        <v>2407</v>
      </c>
      <c r="AR1103" t="s">
        <v>226</v>
      </c>
      <c r="AS1103" t="s">
        <v>395</v>
      </c>
      <c r="AT1103" t="s">
        <v>395</v>
      </c>
      <c r="AU1103" t="s">
        <v>219</v>
      </c>
      <c r="AW1103" s="4">
        <f t="shared" si="598"/>
        <v>6</v>
      </c>
      <c r="AX1103" s="4">
        <f t="shared" si="599"/>
        <v>4</v>
      </c>
      <c r="AY1103" s="4">
        <f t="shared" si="600"/>
        <v>4</v>
      </c>
      <c r="AZ1103" s="4">
        <f t="shared" si="601"/>
        <v>2</v>
      </c>
      <c r="BA1103" s="4">
        <f t="shared" si="602"/>
        <v>4</v>
      </c>
      <c r="BB1103" s="4">
        <f t="shared" si="603"/>
        <v>4</v>
      </c>
      <c r="BC1103" s="4">
        <f t="shared" si="604"/>
        <v>4</v>
      </c>
      <c r="BD1103" s="4">
        <f t="shared" si="605"/>
        <v>2</v>
      </c>
      <c r="BE1103" s="4">
        <f t="shared" si="606"/>
        <v>4</v>
      </c>
      <c r="BF1103" s="4">
        <f t="shared" si="607"/>
        <v>2</v>
      </c>
      <c r="BG1103" s="4">
        <f t="shared" si="608"/>
        <v>4</v>
      </c>
      <c r="BH1103" s="4">
        <f t="shared" si="609"/>
        <v>4</v>
      </c>
      <c r="BI1103" s="4">
        <f t="shared" si="610"/>
        <v>4</v>
      </c>
      <c r="BJ1103" s="4">
        <f t="shared" si="611"/>
        <v>2</v>
      </c>
      <c r="BK1103" s="4" t="str">
        <f t="shared" si="612"/>
        <v>0</v>
      </c>
      <c r="BL1103" s="4">
        <f t="shared" si="613"/>
        <v>2</v>
      </c>
      <c r="BM1103" s="4">
        <f t="shared" si="614"/>
        <v>4</v>
      </c>
      <c r="BN1103" s="4">
        <f t="shared" si="615"/>
        <v>4</v>
      </c>
      <c r="BO1103" s="4">
        <f t="shared" si="616"/>
        <v>4</v>
      </c>
      <c r="BP1103" s="4">
        <f t="shared" si="617"/>
        <v>4</v>
      </c>
      <c r="BQ1103" s="4">
        <f t="shared" si="618"/>
        <v>6</v>
      </c>
      <c r="BR1103" s="4">
        <f t="shared" si="619"/>
        <v>4</v>
      </c>
      <c r="BS1103" s="4">
        <f t="shared" si="620"/>
        <v>4</v>
      </c>
      <c r="BT1103" s="4">
        <f t="shared" si="621"/>
        <v>4</v>
      </c>
      <c r="BU1103" s="4">
        <f t="shared" si="622"/>
        <v>4</v>
      </c>
      <c r="BV1103" s="4" t="str">
        <f t="shared" si="623"/>
        <v>0</v>
      </c>
      <c r="BW1103" s="4">
        <f t="shared" si="624"/>
        <v>6</v>
      </c>
      <c r="BX1103" s="4">
        <f t="shared" si="625"/>
        <v>0</v>
      </c>
      <c r="BY1103" s="4">
        <f t="shared" si="626"/>
        <v>0</v>
      </c>
      <c r="BZ1103" s="37">
        <f t="shared" si="627"/>
        <v>96</v>
      </c>
      <c r="CA1103" s="32" t="str">
        <f>VLOOKUP(J:J,'Agent wise'!A:C,3,0)</f>
        <v>Amal</v>
      </c>
      <c r="CB1103" s="32">
        <f t="shared" si="628"/>
        <v>45949</v>
      </c>
      <c r="CC1103" t="str">
        <f t="shared" si="629"/>
        <v>Excellent</v>
      </c>
      <c r="CE1103" s="32"/>
      <c r="CJ1103">
        <f t="shared" si="630"/>
        <v>19</v>
      </c>
      <c r="CK1103">
        <f t="shared" si="631"/>
        <v>10</v>
      </c>
      <c r="CL1103">
        <f t="shared" si="632"/>
        <v>2025</v>
      </c>
    </row>
    <row r="1104" spans="1:90" ht="15" customHeight="1" x14ac:dyDescent="0.35">
      <c r="A1104" t="s">
        <v>2732</v>
      </c>
      <c r="B1104" t="s">
        <v>177</v>
      </c>
      <c r="C1104" t="s">
        <v>214</v>
      </c>
      <c r="D1104" t="s">
        <v>178</v>
      </c>
      <c r="E1104" s="32">
        <v>45949</v>
      </c>
      <c r="F1104" t="s">
        <v>54</v>
      </c>
      <c r="G1104" t="s">
        <v>2490</v>
      </c>
      <c r="H1104">
        <v>9894570986</v>
      </c>
      <c r="I1104">
        <v>152</v>
      </c>
      <c r="J1104" t="s">
        <v>108</v>
      </c>
      <c r="K1104" t="s">
        <v>71</v>
      </c>
      <c r="L1104" t="s">
        <v>72</v>
      </c>
      <c r="M1104" t="s">
        <v>59</v>
      </c>
      <c r="N1104" t="s">
        <v>59</v>
      </c>
      <c r="O1104" t="s">
        <v>59</v>
      </c>
      <c r="P1104" t="s">
        <v>59</v>
      </c>
      <c r="Q1104" t="s">
        <v>59</v>
      </c>
      <c r="R1104" t="s">
        <v>59</v>
      </c>
      <c r="S1104" t="s">
        <v>59</v>
      </c>
      <c r="T1104" t="s">
        <v>59</v>
      </c>
      <c r="U1104" t="s">
        <v>59</v>
      </c>
      <c r="V1104" t="s">
        <v>59</v>
      </c>
      <c r="W1104" t="s">
        <v>59</v>
      </c>
      <c r="X1104" t="s">
        <v>60</v>
      </c>
      <c r="Y1104" t="s">
        <v>59</v>
      </c>
      <c r="Z1104" t="s">
        <v>59</v>
      </c>
      <c r="AA1104" t="s">
        <v>59</v>
      </c>
      <c r="AB1104" t="s">
        <v>59</v>
      </c>
      <c r="AC1104" t="s">
        <v>61</v>
      </c>
      <c r="AD1104" t="s">
        <v>61</v>
      </c>
      <c r="AE1104" t="s">
        <v>59</v>
      </c>
      <c r="AF1104" t="s">
        <v>59</v>
      </c>
      <c r="AG1104" t="s">
        <v>59</v>
      </c>
      <c r="AH1104" t="s">
        <v>61</v>
      </c>
      <c r="AI1104" t="s">
        <v>61</v>
      </c>
      <c r="AJ1104" t="s">
        <v>59</v>
      </c>
      <c r="AK1104" t="s">
        <v>59</v>
      </c>
      <c r="AL1104" t="s">
        <v>60</v>
      </c>
      <c r="AM1104" t="s">
        <v>59</v>
      </c>
      <c r="AN1104" t="s">
        <v>59</v>
      </c>
      <c r="AO1104" t="s">
        <v>59</v>
      </c>
      <c r="AP1104" t="s">
        <v>2733</v>
      </c>
      <c r="AQ1104" t="s">
        <v>1878</v>
      </c>
      <c r="AR1104" t="s">
        <v>64</v>
      </c>
      <c r="AS1104" t="s">
        <v>89</v>
      </c>
      <c r="AT1104" t="s">
        <v>293</v>
      </c>
      <c r="AU1104" t="s">
        <v>387</v>
      </c>
      <c r="AW1104" s="4">
        <f t="shared" si="598"/>
        <v>6</v>
      </c>
      <c r="AX1104" s="4">
        <f t="shared" si="599"/>
        <v>4</v>
      </c>
      <c r="AY1104" s="4">
        <f t="shared" si="600"/>
        <v>4</v>
      </c>
      <c r="AZ1104" s="4">
        <f t="shared" si="601"/>
        <v>2</v>
      </c>
      <c r="BA1104" s="4">
        <f t="shared" si="602"/>
        <v>4</v>
      </c>
      <c r="BB1104" s="4">
        <f t="shared" si="603"/>
        <v>4</v>
      </c>
      <c r="BC1104" s="4">
        <f t="shared" si="604"/>
        <v>4</v>
      </c>
      <c r="BD1104" s="4">
        <f t="shared" si="605"/>
        <v>2</v>
      </c>
      <c r="BE1104" s="4">
        <f t="shared" si="606"/>
        <v>4</v>
      </c>
      <c r="BF1104" s="4">
        <f t="shared" si="607"/>
        <v>2</v>
      </c>
      <c r="BG1104" s="4">
        <f t="shared" si="608"/>
        <v>4</v>
      </c>
      <c r="BH1104" s="4" t="str">
        <f t="shared" si="609"/>
        <v>0</v>
      </c>
      <c r="BI1104" s="4">
        <f t="shared" si="610"/>
        <v>4</v>
      </c>
      <c r="BJ1104" s="4">
        <f t="shared" si="611"/>
        <v>2</v>
      </c>
      <c r="BK1104" s="4">
        <f t="shared" si="612"/>
        <v>4</v>
      </c>
      <c r="BL1104" s="4">
        <f t="shared" si="613"/>
        <v>2</v>
      </c>
      <c r="BM1104" s="4">
        <f t="shared" si="614"/>
        <v>4</v>
      </c>
      <c r="BN1104" s="4">
        <f t="shared" si="615"/>
        <v>4</v>
      </c>
      <c r="BO1104" s="4">
        <f t="shared" si="616"/>
        <v>4</v>
      </c>
      <c r="BP1104" s="4">
        <f t="shared" si="617"/>
        <v>4</v>
      </c>
      <c r="BQ1104" s="4">
        <f t="shared" si="618"/>
        <v>6</v>
      </c>
      <c r="BR1104" s="4">
        <f t="shared" si="619"/>
        <v>4</v>
      </c>
      <c r="BS1104" s="4">
        <f t="shared" si="620"/>
        <v>4</v>
      </c>
      <c r="BT1104" s="4">
        <f t="shared" si="621"/>
        <v>4</v>
      </c>
      <c r="BU1104" s="4">
        <f t="shared" si="622"/>
        <v>4</v>
      </c>
      <c r="BV1104" s="4" t="str">
        <f t="shared" si="623"/>
        <v>0</v>
      </c>
      <c r="BW1104" s="4">
        <f t="shared" si="624"/>
        <v>6</v>
      </c>
      <c r="BX1104" s="4">
        <f t="shared" si="625"/>
        <v>0</v>
      </c>
      <c r="BY1104" s="4">
        <f t="shared" si="626"/>
        <v>0</v>
      </c>
      <c r="BZ1104" s="37">
        <f t="shared" si="627"/>
        <v>96</v>
      </c>
      <c r="CA1104" s="32" t="str">
        <f>VLOOKUP(J:J,'Agent wise'!A:C,3,0)</f>
        <v xml:space="preserve">Shiny </v>
      </c>
      <c r="CB1104" s="32">
        <f t="shared" si="628"/>
        <v>45949</v>
      </c>
      <c r="CC1104" t="str">
        <f t="shared" si="629"/>
        <v>Excellent</v>
      </c>
      <c r="CE1104" s="32"/>
      <c r="CJ1104">
        <f t="shared" si="630"/>
        <v>19</v>
      </c>
      <c r="CK1104">
        <f t="shared" si="631"/>
        <v>10</v>
      </c>
      <c r="CL1104">
        <f t="shared" si="632"/>
        <v>2025</v>
      </c>
    </row>
    <row r="1105" spans="1:90" ht="15" customHeight="1" x14ac:dyDescent="0.35">
      <c r="A1105" t="s">
        <v>2734</v>
      </c>
      <c r="B1105" t="s">
        <v>177</v>
      </c>
      <c r="C1105" t="s">
        <v>214</v>
      </c>
      <c r="D1105" t="s">
        <v>178</v>
      </c>
      <c r="E1105" s="32">
        <v>45949</v>
      </c>
      <c r="F1105" t="s">
        <v>54</v>
      </c>
      <c r="G1105" t="s">
        <v>2490</v>
      </c>
      <c r="H1105">
        <v>8281355778</v>
      </c>
      <c r="I1105">
        <v>118</v>
      </c>
      <c r="J1105" t="s">
        <v>204</v>
      </c>
      <c r="K1105" t="s">
        <v>57</v>
      </c>
      <c r="L1105" t="s">
        <v>58</v>
      </c>
      <c r="M1105" t="s">
        <v>59</v>
      </c>
      <c r="N1105" t="s">
        <v>59</v>
      </c>
      <c r="O1105" t="s">
        <v>59</v>
      </c>
      <c r="P1105" t="s">
        <v>59</v>
      </c>
      <c r="Q1105" t="s">
        <v>59</v>
      </c>
      <c r="R1105" t="s">
        <v>59</v>
      </c>
      <c r="S1105" t="s">
        <v>59</v>
      </c>
      <c r="T1105" t="s">
        <v>59</v>
      </c>
      <c r="U1105" t="s">
        <v>59</v>
      </c>
      <c r="V1105" t="s">
        <v>59</v>
      </c>
      <c r="W1105" t="s">
        <v>59</v>
      </c>
      <c r="X1105" t="s">
        <v>59</v>
      </c>
      <c r="Y1105" t="s">
        <v>59</v>
      </c>
      <c r="Z1105" t="s">
        <v>59</v>
      </c>
      <c r="AA1105" t="s">
        <v>59</v>
      </c>
      <c r="AB1105" t="s">
        <v>59</v>
      </c>
      <c r="AC1105" t="s">
        <v>61</v>
      </c>
      <c r="AD1105" t="s">
        <v>59</v>
      </c>
      <c r="AE1105" t="s">
        <v>59</v>
      </c>
      <c r="AF1105" t="s">
        <v>59</v>
      </c>
      <c r="AG1105" t="s">
        <v>59</v>
      </c>
      <c r="AH1105" t="s">
        <v>61</v>
      </c>
      <c r="AI1105" t="s">
        <v>61</v>
      </c>
      <c r="AJ1105" t="s">
        <v>59</v>
      </c>
      <c r="AK1105" t="s">
        <v>59</v>
      </c>
      <c r="AL1105" t="s">
        <v>59</v>
      </c>
      <c r="AM1105" t="s">
        <v>59</v>
      </c>
      <c r="AN1105" t="s">
        <v>59</v>
      </c>
      <c r="AO1105" t="s">
        <v>59</v>
      </c>
      <c r="AP1105" t="s">
        <v>270</v>
      </c>
      <c r="AQ1105" t="s">
        <v>500</v>
      </c>
      <c r="AR1105" t="s">
        <v>64</v>
      </c>
      <c r="AS1105" t="s">
        <v>171</v>
      </c>
      <c r="AT1105" t="s">
        <v>190</v>
      </c>
      <c r="AU1105" t="s">
        <v>219</v>
      </c>
      <c r="AW1105" s="4">
        <f t="shared" si="598"/>
        <v>6</v>
      </c>
      <c r="AX1105" s="4">
        <f t="shared" si="599"/>
        <v>4</v>
      </c>
      <c r="AY1105" s="4">
        <f t="shared" si="600"/>
        <v>4</v>
      </c>
      <c r="AZ1105" s="4">
        <f t="shared" si="601"/>
        <v>2</v>
      </c>
      <c r="BA1105" s="4">
        <f t="shared" si="602"/>
        <v>4</v>
      </c>
      <c r="BB1105" s="4">
        <f t="shared" si="603"/>
        <v>4</v>
      </c>
      <c r="BC1105" s="4">
        <f t="shared" si="604"/>
        <v>4</v>
      </c>
      <c r="BD1105" s="4">
        <f t="shared" si="605"/>
        <v>2</v>
      </c>
      <c r="BE1105" s="4">
        <f t="shared" si="606"/>
        <v>4</v>
      </c>
      <c r="BF1105" s="4">
        <f t="shared" si="607"/>
        <v>2</v>
      </c>
      <c r="BG1105" s="4">
        <f t="shared" si="608"/>
        <v>4</v>
      </c>
      <c r="BH1105" s="4">
        <f t="shared" si="609"/>
        <v>4</v>
      </c>
      <c r="BI1105" s="4">
        <f t="shared" si="610"/>
        <v>4</v>
      </c>
      <c r="BJ1105" s="4">
        <f t="shared" si="611"/>
        <v>2</v>
      </c>
      <c r="BK1105" s="4">
        <f t="shared" si="612"/>
        <v>4</v>
      </c>
      <c r="BL1105" s="4">
        <f t="shared" si="613"/>
        <v>2</v>
      </c>
      <c r="BM1105" s="4">
        <f t="shared" si="614"/>
        <v>4</v>
      </c>
      <c r="BN1105" s="4">
        <f t="shared" si="615"/>
        <v>4</v>
      </c>
      <c r="BO1105" s="4">
        <f t="shared" si="616"/>
        <v>4</v>
      </c>
      <c r="BP1105" s="4">
        <f t="shared" si="617"/>
        <v>4</v>
      </c>
      <c r="BQ1105" s="4">
        <f t="shared" si="618"/>
        <v>6</v>
      </c>
      <c r="BR1105" s="4">
        <f t="shared" si="619"/>
        <v>4</v>
      </c>
      <c r="BS1105" s="4">
        <f t="shared" si="620"/>
        <v>4</v>
      </c>
      <c r="BT1105" s="4">
        <f t="shared" si="621"/>
        <v>4</v>
      </c>
      <c r="BU1105" s="4">
        <f t="shared" si="622"/>
        <v>4</v>
      </c>
      <c r="BV1105" s="4">
        <f t="shared" si="623"/>
        <v>0</v>
      </c>
      <c r="BW1105" s="4">
        <f t="shared" si="624"/>
        <v>6</v>
      </c>
      <c r="BX1105" s="4">
        <f t="shared" si="625"/>
        <v>0</v>
      </c>
      <c r="BY1105" s="4">
        <f t="shared" si="626"/>
        <v>0</v>
      </c>
      <c r="BZ1105" s="37">
        <f t="shared" si="627"/>
        <v>100</v>
      </c>
      <c r="CA1105" s="32" t="str">
        <f>VLOOKUP(J:J,'Agent wise'!A:C,3,0)</f>
        <v xml:space="preserve">Shiny </v>
      </c>
      <c r="CB1105" s="32">
        <f t="shared" si="628"/>
        <v>45949</v>
      </c>
      <c r="CC1105" t="str">
        <f t="shared" si="629"/>
        <v>Excellent</v>
      </c>
      <c r="CE1105" s="32"/>
      <c r="CJ1105">
        <f t="shared" si="630"/>
        <v>19</v>
      </c>
      <c r="CK1105">
        <f t="shared" si="631"/>
        <v>10</v>
      </c>
      <c r="CL1105">
        <f t="shared" si="632"/>
        <v>2025</v>
      </c>
    </row>
    <row r="1106" spans="1:90" ht="15" customHeight="1" x14ac:dyDescent="0.35">
      <c r="A1106" t="s">
        <v>2735</v>
      </c>
      <c r="B1106" t="s">
        <v>177</v>
      </c>
      <c r="C1106" t="s">
        <v>214</v>
      </c>
      <c r="D1106" t="s">
        <v>178</v>
      </c>
      <c r="E1106" s="32">
        <v>45949</v>
      </c>
      <c r="F1106" t="s">
        <v>54</v>
      </c>
      <c r="G1106" t="s">
        <v>2490</v>
      </c>
      <c r="H1106">
        <v>9747654253</v>
      </c>
      <c r="I1106">
        <v>156</v>
      </c>
      <c r="J1106" t="s">
        <v>528</v>
      </c>
      <c r="K1106" t="s">
        <v>57</v>
      </c>
      <c r="L1106" t="s">
        <v>58</v>
      </c>
      <c r="M1106" t="s">
        <v>59</v>
      </c>
      <c r="N1106" t="s">
        <v>59</v>
      </c>
      <c r="O1106" t="s">
        <v>59</v>
      </c>
      <c r="P1106" t="s">
        <v>59</v>
      </c>
      <c r="Q1106" t="s">
        <v>59</v>
      </c>
      <c r="R1106" t="s">
        <v>59</v>
      </c>
      <c r="S1106" t="s">
        <v>59</v>
      </c>
      <c r="T1106" t="s">
        <v>59</v>
      </c>
      <c r="U1106" t="s">
        <v>59</v>
      </c>
      <c r="V1106" t="s">
        <v>59</v>
      </c>
      <c r="W1106" t="s">
        <v>59</v>
      </c>
      <c r="X1106" t="s">
        <v>59</v>
      </c>
      <c r="Y1106" t="s">
        <v>60</v>
      </c>
      <c r="Z1106" t="s">
        <v>59</v>
      </c>
      <c r="AA1106" t="s">
        <v>59</v>
      </c>
      <c r="AB1106" t="s">
        <v>59</v>
      </c>
      <c r="AC1106" t="s">
        <v>61</v>
      </c>
      <c r="AD1106" t="s">
        <v>59</v>
      </c>
      <c r="AE1106" t="s">
        <v>59</v>
      </c>
      <c r="AF1106" t="s">
        <v>59</v>
      </c>
      <c r="AG1106" t="s">
        <v>59</v>
      </c>
      <c r="AH1106" t="s">
        <v>59</v>
      </c>
      <c r="AI1106" t="s">
        <v>61</v>
      </c>
      <c r="AJ1106" t="s">
        <v>59</v>
      </c>
      <c r="AK1106" t="s">
        <v>59</v>
      </c>
      <c r="AL1106" t="s">
        <v>59</v>
      </c>
      <c r="AM1106" t="s">
        <v>59</v>
      </c>
      <c r="AN1106" t="s">
        <v>59</v>
      </c>
      <c r="AO1106" t="s">
        <v>59</v>
      </c>
      <c r="AP1106" t="s">
        <v>473</v>
      </c>
      <c r="AQ1106" t="s">
        <v>2736</v>
      </c>
      <c r="AR1106" t="s">
        <v>64</v>
      </c>
      <c r="AS1106" t="s">
        <v>171</v>
      </c>
      <c r="AT1106" t="s">
        <v>172</v>
      </c>
      <c r="AU1106" t="s">
        <v>387</v>
      </c>
      <c r="AW1106" s="4">
        <f t="shared" si="598"/>
        <v>6</v>
      </c>
      <c r="AX1106" s="4">
        <f t="shared" si="599"/>
        <v>4</v>
      </c>
      <c r="AY1106" s="4">
        <f t="shared" si="600"/>
        <v>4</v>
      </c>
      <c r="AZ1106" s="4">
        <f t="shared" si="601"/>
        <v>2</v>
      </c>
      <c r="BA1106" s="4">
        <f t="shared" si="602"/>
        <v>4</v>
      </c>
      <c r="BB1106" s="4">
        <f t="shared" si="603"/>
        <v>4</v>
      </c>
      <c r="BC1106" s="4">
        <f t="shared" si="604"/>
        <v>4</v>
      </c>
      <c r="BD1106" s="4">
        <f t="shared" si="605"/>
        <v>2</v>
      </c>
      <c r="BE1106" s="4">
        <f t="shared" si="606"/>
        <v>4</v>
      </c>
      <c r="BF1106" s="4">
        <f t="shared" si="607"/>
        <v>2</v>
      </c>
      <c r="BG1106" s="4">
        <f t="shared" si="608"/>
        <v>4</v>
      </c>
      <c r="BH1106" s="4">
        <f t="shared" si="609"/>
        <v>4</v>
      </c>
      <c r="BI1106" s="4" t="str">
        <f t="shared" si="610"/>
        <v>0</v>
      </c>
      <c r="BJ1106" s="4">
        <f t="shared" si="611"/>
        <v>2</v>
      </c>
      <c r="BK1106" s="4">
        <f t="shared" si="612"/>
        <v>4</v>
      </c>
      <c r="BL1106" s="4">
        <f t="shared" si="613"/>
        <v>2</v>
      </c>
      <c r="BM1106" s="4">
        <f t="shared" si="614"/>
        <v>4</v>
      </c>
      <c r="BN1106" s="4">
        <f t="shared" si="615"/>
        <v>4</v>
      </c>
      <c r="BO1106" s="4">
        <f t="shared" si="616"/>
        <v>4</v>
      </c>
      <c r="BP1106" s="4">
        <f t="shared" si="617"/>
        <v>4</v>
      </c>
      <c r="BQ1106" s="4">
        <f t="shared" si="618"/>
        <v>6</v>
      </c>
      <c r="BR1106" s="4">
        <f t="shared" si="619"/>
        <v>4</v>
      </c>
      <c r="BS1106" s="4">
        <f t="shared" si="620"/>
        <v>4</v>
      </c>
      <c r="BT1106" s="4">
        <f t="shared" si="621"/>
        <v>4</v>
      </c>
      <c r="BU1106" s="4">
        <f t="shared" si="622"/>
        <v>4</v>
      </c>
      <c r="BV1106" s="4">
        <f t="shared" si="623"/>
        <v>0</v>
      </c>
      <c r="BW1106" s="4">
        <f t="shared" si="624"/>
        <v>6</v>
      </c>
      <c r="BX1106" s="4">
        <f t="shared" si="625"/>
        <v>0</v>
      </c>
      <c r="BY1106" s="4">
        <f t="shared" si="626"/>
        <v>0</v>
      </c>
      <c r="BZ1106" s="37">
        <f t="shared" si="627"/>
        <v>96</v>
      </c>
      <c r="CA1106" s="32" t="str">
        <f>VLOOKUP(J:J,'Agent wise'!A:C,3,0)</f>
        <v>Adharsh</v>
      </c>
      <c r="CB1106" s="32">
        <f t="shared" si="628"/>
        <v>45949</v>
      </c>
      <c r="CC1106" t="str">
        <f t="shared" si="629"/>
        <v>Excellent</v>
      </c>
      <c r="CE1106" s="32"/>
      <c r="CJ1106">
        <f t="shared" si="630"/>
        <v>19</v>
      </c>
      <c r="CK1106">
        <f t="shared" si="631"/>
        <v>10</v>
      </c>
      <c r="CL1106">
        <f t="shared" si="632"/>
        <v>2025</v>
      </c>
    </row>
    <row r="1107" spans="1:90" ht="15" customHeight="1" x14ac:dyDescent="0.35">
      <c r="A1107" t="s">
        <v>2737</v>
      </c>
      <c r="B1107" t="s">
        <v>220</v>
      </c>
      <c r="C1107" t="s">
        <v>214</v>
      </c>
      <c r="D1107" t="s">
        <v>221</v>
      </c>
      <c r="E1107" s="32">
        <v>45949</v>
      </c>
      <c r="F1107" t="s">
        <v>222</v>
      </c>
      <c r="G1107" t="s">
        <v>2708</v>
      </c>
      <c r="H1107">
        <v>9846193103</v>
      </c>
      <c r="I1107">
        <v>229</v>
      </c>
      <c r="J1107" t="s">
        <v>302</v>
      </c>
      <c r="K1107" t="s">
        <v>57</v>
      </c>
      <c r="L1107" t="s">
        <v>58</v>
      </c>
      <c r="M1107" t="s">
        <v>59</v>
      </c>
      <c r="N1107" t="s">
        <v>59</v>
      </c>
      <c r="O1107" t="s">
        <v>59</v>
      </c>
      <c r="P1107" t="s">
        <v>59</v>
      </c>
      <c r="Q1107" t="s">
        <v>59</v>
      </c>
      <c r="R1107" t="s">
        <v>59</v>
      </c>
      <c r="S1107" t="s">
        <v>59</v>
      </c>
      <c r="T1107" t="s">
        <v>59</v>
      </c>
      <c r="U1107" t="s">
        <v>59</v>
      </c>
      <c r="V1107" t="s">
        <v>59</v>
      </c>
      <c r="W1107" t="s">
        <v>59</v>
      </c>
      <c r="X1107" t="s">
        <v>59</v>
      </c>
      <c r="Y1107" t="s">
        <v>59</v>
      </c>
      <c r="Z1107" t="s">
        <v>59</v>
      </c>
      <c r="AA1107" t="s">
        <v>59</v>
      </c>
      <c r="AB1107" t="s">
        <v>59</v>
      </c>
      <c r="AC1107" t="s">
        <v>59</v>
      </c>
      <c r="AD1107" t="s">
        <v>59</v>
      </c>
      <c r="AE1107" t="s">
        <v>59</v>
      </c>
      <c r="AF1107" t="s">
        <v>59</v>
      </c>
      <c r="AG1107" t="s">
        <v>59</v>
      </c>
      <c r="AH1107" t="s">
        <v>61</v>
      </c>
      <c r="AI1107" t="s">
        <v>60</v>
      </c>
      <c r="AJ1107" t="s">
        <v>59</v>
      </c>
      <c r="AK1107" t="s">
        <v>59</v>
      </c>
      <c r="AL1107" t="s">
        <v>59</v>
      </c>
      <c r="AM1107" t="s">
        <v>59</v>
      </c>
      <c r="AN1107" t="s">
        <v>59</v>
      </c>
      <c r="AO1107" t="s">
        <v>59</v>
      </c>
      <c r="AP1107" t="s">
        <v>2738</v>
      </c>
      <c r="AQ1107" t="s">
        <v>960</v>
      </c>
      <c r="AR1107" t="s">
        <v>226</v>
      </c>
      <c r="AS1107" t="s">
        <v>249</v>
      </c>
      <c r="AT1107" t="s">
        <v>249</v>
      </c>
      <c r="AU1107" t="s">
        <v>219</v>
      </c>
      <c r="AW1107" s="4">
        <f t="shared" si="598"/>
        <v>6</v>
      </c>
      <c r="AX1107" s="4">
        <f t="shared" si="599"/>
        <v>4</v>
      </c>
      <c r="AY1107" s="4">
        <f t="shared" si="600"/>
        <v>4</v>
      </c>
      <c r="AZ1107" s="4">
        <f t="shared" si="601"/>
        <v>2</v>
      </c>
      <c r="BA1107" s="4">
        <f t="shared" si="602"/>
        <v>4</v>
      </c>
      <c r="BB1107" s="4">
        <f t="shared" si="603"/>
        <v>4</v>
      </c>
      <c r="BC1107" s="4">
        <f t="shared" si="604"/>
        <v>4</v>
      </c>
      <c r="BD1107" s="4">
        <f t="shared" si="605"/>
        <v>2</v>
      </c>
      <c r="BE1107" s="4">
        <f t="shared" si="606"/>
        <v>4</v>
      </c>
      <c r="BF1107" s="4">
        <f t="shared" si="607"/>
        <v>2</v>
      </c>
      <c r="BG1107" s="4">
        <f t="shared" si="608"/>
        <v>4</v>
      </c>
      <c r="BH1107" s="4">
        <f t="shared" si="609"/>
        <v>4</v>
      </c>
      <c r="BI1107" s="4">
        <f t="shared" si="610"/>
        <v>4</v>
      </c>
      <c r="BJ1107" s="4">
        <f t="shared" si="611"/>
        <v>2</v>
      </c>
      <c r="BK1107" s="4">
        <f t="shared" si="612"/>
        <v>4</v>
      </c>
      <c r="BL1107" s="4">
        <f t="shared" si="613"/>
        <v>2</v>
      </c>
      <c r="BM1107" s="4">
        <f t="shared" si="614"/>
        <v>4</v>
      </c>
      <c r="BN1107" s="4">
        <f t="shared" si="615"/>
        <v>4</v>
      </c>
      <c r="BO1107" s="4">
        <f t="shared" si="616"/>
        <v>4</v>
      </c>
      <c r="BP1107" s="4">
        <f t="shared" si="617"/>
        <v>4</v>
      </c>
      <c r="BQ1107" s="4">
        <f t="shared" si="618"/>
        <v>6</v>
      </c>
      <c r="BR1107" s="4">
        <f t="shared" si="619"/>
        <v>4</v>
      </c>
      <c r="BS1107" s="4" t="str">
        <f t="shared" si="620"/>
        <v>0</v>
      </c>
      <c r="BT1107" s="4">
        <f t="shared" si="621"/>
        <v>4</v>
      </c>
      <c r="BU1107" s="4">
        <f t="shared" si="622"/>
        <v>4</v>
      </c>
      <c r="BV1107" s="4">
        <f t="shared" si="623"/>
        <v>0</v>
      </c>
      <c r="BW1107" s="4">
        <f t="shared" si="624"/>
        <v>6</v>
      </c>
      <c r="BX1107" s="4">
        <f t="shared" si="625"/>
        <v>0</v>
      </c>
      <c r="BY1107" s="4">
        <f t="shared" si="626"/>
        <v>0</v>
      </c>
      <c r="BZ1107" s="37">
        <f t="shared" si="627"/>
        <v>96</v>
      </c>
      <c r="CA1107" s="32" t="str">
        <f>VLOOKUP(J:J,'Agent wise'!A:C,3,0)</f>
        <v>Shakeer</v>
      </c>
      <c r="CB1107" s="32">
        <f t="shared" si="628"/>
        <v>45949</v>
      </c>
      <c r="CC1107" t="str">
        <f t="shared" si="629"/>
        <v>Excellent</v>
      </c>
      <c r="CE1107" s="32"/>
      <c r="CJ1107">
        <f t="shared" si="630"/>
        <v>19</v>
      </c>
      <c r="CK1107">
        <f t="shared" si="631"/>
        <v>10</v>
      </c>
      <c r="CL1107">
        <f t="shared" si="632"/>
        <v>2025</v>
      </c>
    </row>
    <row r="1108" spans="1:90" ht="15" customHeight="1" x14ac:dyDescent="0.35">
      <c r="A1108" t="s">
        <v>2739</v>
      </c>
      <c r="B1108" t="s">
        <v>220</v>
      </c>
      <c r="C1108" t="s">
        <v>214</v>
      </c>
      <c r="D1108" t="s">
        <v>221</v>
      </c>
      <c r="E1108" s="32">
        <v>45949</v>
      </c>
      <c r="F1108" t="s">
        <v>222</v>
      </c>
      <c r="G1108" t="s">
        <v>2708</v>
      </c>
      <c r="H1108">
        <v>8754957181</v>
      </c>
      <c r="I1108">
        <v>186</v>
      </c>
      <c r="J1108" t="s">
        <v>302</v>
      </c>
      <c r="K1108" t="s">
        <v>71</v>
      </c>
      <c r="L1108" t="s">
        <v>72</v>
      </c>
      <c r="M1108" t="s">
        <v>59</v>
      </c>
      <c r="N1108" t="s">
        <v>59</v>
      </c>
      <c r="O1108" t="s">
        <v>59</v>
      </c>
      <c r="P1108" t="s">
        <v>59</v>
      </c>
      <c r="Q1108" t="s">
        <v>59</v>
      </c>
      <c r="R1108" t="s">
        <v>59</v>
      </c>
      <c r="S1108" t="s">
        <v>59</v>
      </c>
      <c r="T1108" t="s">
        <v>59</v>
      </c>
      <c r="U1108" t="s">
        <v>59</v>
      </c>
      <c r="V1108" t="s">
        <v>59</v>
      </c>
      <c r="W1108" t="s">
        <v>59</v>
      </c>
      <c r="X1108" t="s">
        <v>59</v>
      </c>
      <c r="Y1108" t="s">
        <v>59</v>
      </c>
      <c r="Z1108" t="s">
        <v>59</v>
      </c>
      <c r="AA1108" t="s">
        <v>59</v>
      </c>
      <c r="AB1108" t="s">
        <v>59</v>
      </c>
      <c r="AC1108" t="s">
        <v>59</v>
      </c>
      <c r="AD1108" t="s">
        <v>59</v>
      </c>
      <c r="AE1108" t="s">
        <v>59</v>
      </c>
      <c r="AF1108" t="s">
        <v>59</v>
      </c>
      <c r="AG1108" t="s">
        <v>59</v>
      </c>
      <c r="AH1108" t="s">
        <v>61</v>
      </c>
      <c r="AI1108" t="s">
        <v>61</v>
      </c>
      <c r="AJ1108" t="s">
        <v>59</v>
      </c>
      <c r="AK1108" t="s">
        <v>59</v>
      </c>
      <c r="AL1108" t="s">
        <v>60</v>
      </c>
      <c r="AM1108" t="s">
        <v>59</v>
      </c>
      <c r="AN1108" t="s">
        <v>59</v>
      </c>
      <c r="AO1108" t="s">
        <v>59</v>
      </c>
      <c r="AP1108" t="s">
        <v>37</v>
      </c>
      <c r="AQ1108" t="s">
        <v>2740</v>
      </c>
      <c r="AR1108" t="s">
        <v>226</v>
      </c>
      <c r="AS1108" t="s">
        <v>245</v>
      </c>
      <c r="AT1108" t="s">
        <v>245</v>
      </c>
      <c r="AU1108" t="s">
        <v>219</v>
      </c>
      <c r="AW1108" s="4">
        <f t="shared" si="598"/>
        <v>6</v>
      </c>
      <c r="AX1108" s="4">
        <f t="shared" si="599"/>
        <v>4</v>
      </c>
      <c r="AY1108" s="4">
        <f t="shared" si="600"/>
        <v>4</v>
      </c>
      <c r="AZ1108" s="4">
        <f t="shared" si="601"/>
        <v>2</v>
      </c>
      <c r="BA1108" s="4">
        <f t="shared" si="602"/>
        <v>4</v>
      </c>
      <c r="BB1108" s="4">
        <f t="shared" si="603"/>
        <v>4</v>
      </c>
      <c r="BC1108" s="4">
        <f t="shared" si="604"/>
        <v>4</v>
      </c>
      <c r="BD1108" s="4">
        <f t="shared" si="605"/>
        <v>2</v>
      </c>
      <c r="BE1108" s="4">
        <f t="shared" si="606"/>
        <v>4</v>
      </c>
      <c r="BF1108" s="4">
        <f t="shared" si="607"/>
        <v>2</v>
      </c>
      <c r="BG1108" s="4">
        <f t="shared" si="608"/>
        <v>4</v>
      </c>
      <c r="BH1108" s="4">
        <f t="shared" si="609"/>
        <v>4</v>
      </c>
      <c r="BI1108" s="4">
        <f t="shared" si="610"/>
        <v>4</v>
      </c>
      <c r="BJ1108" s="4">
        <f t="shared" si="611"/>
        <v>2</v>
      </c>
      <c r="BK1108" s="4">
        <f t="shared" si="612"/>
        <v>4</v>
      </c>
      <c r="BL1108" s="4">
        <f t="shared" si="613"/>
        <v>2</v>
      </c>
      <c r="BM1108" s="4">
        <f t="shared" si="614"/>
        <v>4</v>
      </c>
      <c r="BN1108" s="4">
        <f t="shared" si="615"/>
        <v>4</v>
      </c>
      <c r="BO1108" s="4">
        <f t="shared" si="616"/>
        <v>4</v>
      </c>
      <c r="BP1108" s="4">
        <f t="shared" si="617"/>
        <v>4</v>
      </c>
      <c r="BQ1108" s="4">
        <f t="shared" si="618"/>
        <v>6</v>
      </c>
      <c r="BR1108" s="4">
        <f t="shared" si="619"/>
        <v>4</v>
      </c>
      <c r="BS1108" s="4">
        <f t="shared" si="620"/>
        <v>4</v>
      </c>
      <c r="BT1108" s="4">
        <f t="shared" si="621"/>
        <v>4</v>
      </c>
      <c r="BU1108" s="4">
        <f t="shared" si="622"/>
        <v>4</v>
      </c>
      <c r="BV1108" s="4" t="str">
        <f t="shared" si="623"/>
        <v>0</v>
      </c>
      <c r="BW1108" s="4">
        <f t="shared" si="624"/>
        <v>6</v>
      </c>
      <c r="BX1108" s="4">
        <f t="shared" si="625"/>
        <v>0</v>
      </c>
      <c r="BY1108" s="4">
        <f t="shared" si="626"/>
        <v>0</v>
      </c>
      <c r="BZ1108" s="37">
        <f t="shared" si="627"/>
        <v>100</v>
      </c>
      <c r="CA1108" s="32" t="str">
        <f>VLOOKUP(J:J,'Agent wise'!A:C,3,0)</f>
        <v>Shakeer</v>
      </c>
      <c r="CB1108" s="32">
        <f t="shared" si="628"/>
        <v>45949</v>
      </c>
      <c r="CC1108" t="str">
        <f t="shared" si="629"/>
        <v>Excellent</v>
      </c>
      <c r="CE1108" s="32"/>
      <c r="CJ1108">
        <f t="shared" si="630"/>
        <v>19</v>
      </c>
      <c r="CK1108">
        <f t="shared" si="631"/>
        <v>10</v>
      </c>
      <c r="CL1108">
        <f t="shared" si="632"/>
        <v>2025</v>
      </c>
    </row>
    <row r="1109" spans="1:90" ht="15" customHeight="1" x14ac:dyDescent="0.35">
      <c r="A1109" t="s">
        <v>2741</v>
      </c>
      <c r="B1109" t="s">
        <v>220</v>
      </c>
      <c r="C1109" t="s">
        <v>214</v>
      </c>
      <c r="D1109" t="s">
        <v>221</v>
      </c>
      <c r="E1109" s="32">
        <v>45949</v>
      </c>
      <c r="F1109" t="s">
        <v>222</v>
      </c>
      <c r="G1109" t="s">
        <v>2708</v>
      </c>
      <c r="H1109">
        <v>8078518650</v>
      </c>
      <c r="I1109">
        <v>168</v>
      </c>
      <c r="J1109" t="s">
        <v>234</v>
      </c>
      <c r="K1109" t="s">
        <v>71</v>
      </c>
      <c r="L1109" t="s">
        <v>72</v>
      </c>
      <c r="M1109" t="s">
        <v>59</v>
      </c>
      <c r="N1109" t="s">
        <v>59</v>
      </c>
      <c r="O1109" t="s">
        <v>59</v>
      </c>
      <c r="P1109" t="s">
        <v>59</v>
      </c>
      <c r="Q1109" t="s">
        <v>59</v>
      </c>
      <c r="R1109" t="s">
        <v>59</v>
      </c>
      <c r="S1109" t="s">
        <v>59</v>
      </c>
      <c r="T1109" t="s">
        <v>59</v>
      </c>
      <c r="U1109" t="s">
        <v>59</v>
      </c>
      <c r="V1109" t="s">
        <v>59</v>
      </c>
      <c r="W1109" t="s">
        <v>59</v>
      </c>
      <c r="X1109" t="s">
        <v>59</v>
      </c>
      <c r="Y1109" t="s">
        <v>59</v>
      </c>
      <c r="Z1109" t="s">
        <v>59</v>
      </c>
      <c r="AA1109" t="s">
        <v>59</v>
      </c>
      <c r="AB1109" t="s">
        <v>59</v>
      </c>
      <c r="AC1109" t="s">
        <v>59</v>
      </c>
      <c r="AD1109" t="s">
        <v>59</v>
      </c>
      <c r="AE1109" t="s">
        <v>59</v>
      </c>
      <c r="AF1109" t="s">
        <v>59</v>
      </c>
      <c r="AG1109" t="s">
        <v>59</v>
      </c>
      <c r="AH1109" t="s">
        <v>61</v>
      </c>
      <c r="AI1109" t="s">
        <v>59</v>
      </c>
      <c r="AJ1109" t="s">
        <v>59</v>
      </c>
      <c r="AK1109" t="s">
        <v>59</v>
      </c>
      <c r="AL1109" t="s">
        <v>59</v>
      </c>
      <c r="AM1109" t="s">
        <v>59</v>
      </c>
      <c r="AN1109" t="s">
        <v>59</v>
      </c>
      <c r="AO1109" t="s">
        <v>59</v>
      </c>
      <c r="AP1109" t="s">
        <v>219</v>
      </c>
      <c r="AQ1109" t="s">
        <v>2742</v>
      </c>
      <c r="AR1109" t="s">
        <v>226</v>
      </c>
      <c r="AS1109" t="s">
        <v>394</v>
      </c>
      <c r="AT1109" t="s">
        <v>394</v>
      </c>
      <c r="AU1109" t="s">
        <v>219</v>
      </c>
      <c r="AW1109" s="4">
        <f t="shared" si="598"/>
        <v>6</v>
      </c>
      <c r="AX1109" s="4">
        <f t="shared" si="599"/>
        <v>4</v>
      </c>
      <c r="AY1109" s="4">
        <f t="shared" si="600"/>
        <v>4</v>
      </c>
      <c r="AZ1109" s="4">
        <f t="shared" si="601"/>
        <v>2</v>
      </c>
      <c r="BA1109" s="4">
        <f t="shared" si="602"/>
        <v>4</v>
      </c>
      <c r="BB1109" s="4">
        <f t="shared" si="603"/>
        <v>4</v>
      </c>
      <c r="BC1109" s="4">
        <f t="shared" si="604"/>
        <v>4</v>
      </c>
      <c r="BD1109" s="4">
        <f t="shared" si="605"/>
        <v>2</v>
      </c>
      <c r="BE1109" s="4">
        <f t="shared" si="606"/>
        <v>4</v>
      </c>
      <c r="BF1109" s="4">
        <f t="shared" si="607"/>
        <v>2</v>
      </c>
      <c r="BG1109" s="4">
        <f t="shared" si="608"/>
        <v>4</v>
      </c>
      <c r="BH1109" s="4">
        <f t="shared" si="609"/>
        <v>4</v>
      </c>
      <c r="BI1109" s="4">
        <f t="shared" si="610"/>
        <v>4</v>
      </c>
      <c r="BJ1109" s="4">
        <f t="shared" si="611"/>
        <v>2</v>
      </c>
      <c r="BK1109" s="4">
        <f t="shared" si="612"/>
        <v>4</v>
      </c>
      <c r="BL1109" s="4">
        <f t="shared" si="613"/>
        <v>2</v>
      </c>
      <c r="BM1109" s="4">
        <f t="shared" si="614"/>
        <v>4</v>
      </c>
      <c r="BN1109" s="4">
        <f t="shared" si="615"/>
        <v>4</v>
      </c>
      <c r="BO1109" s="4">
        <f t="shared" si="616"/>
        <v>4</v>
      </c>
      <c r="BP1109" s="4">
        <f t="shared" si="617"/>
        <v>4</v>
      </c>
      <c r="BQ1109" s="4">
        <f t="shared" si="618"/>
        <v>6</v>
      </c>
      <c r="BR1109" s="4">
        <f t="shared" si="619"/>
        <v>4</v>
      </c>
      <c r="BS1109" s="4">
        <f t="shared" si="620"/>
        <v>4</v>
      </c>
      <c r="BT1109" s="4">
        <f t="shared" si="621"/>
        <v>4</v>
      </c>
      <c r="BU1109" s="4">
        <f t="shared" si="622"/>
        <v>4</v>
      </c>
      <c r="BV1109" s="4">
        <f t="shared" si="623"/>
        <v>0</v>
      </c>
      <c r="BW1109" s="4">
        <f t="shared" si="624"/>
        <v>6</v>
      </c>
      <c r="BX1109" s="4">
        <f t="shared" si="625"/>
        <v>0</v>
      </c>
      <c r="BY1109" s="4">
        <f t="shared" si="626"/>
        <v>0</v>
      </c>
      <c r="BZ1109" s="37">
        <f t="shared" si="627"/>
        <v>100</v>
      </c>
      <c r="CA1109" s="32" t="str">
        <f>VLOOKUP(J:J,'Agent wise'!A:C,3,0)</f>
        <v>Amal</v>
      </c>
      <c r="CB1109" s="32">
        <f t="shared" si="628"/>
        <v>45949</v>
      </c>
      <c r="CC1109" t="str">
        <f t="shared" si="629"/>
        <v>Excellent</v>
      </c>
      <c r="CE1109" s="32"/>
      <c r="CJ1109">
        <f t="shared" si="630"/>
        <v>19</v>
      </c>
      <c r="CK1109">
        <f t="shared" si="631"/>
        <v>10</v>
      </c>
      <c r="CL1109">
        <f t="shared" si="632"/>
        <v>2025</v>
      </c>
    </row>
    <row r="1110" spans="1:90" ht="15" customHeight="1" x14ac:dyDescent="0.35">
      <c r="A1110" t="s">
        <v>2743</v>
      </c>
      <c r="B1110" t="s">
        <v>220</v>
      </c>
      <c r="C1110" t="s">
        <v>214</v>
      </c>
      <c r="D1110" t="s">
        <v>221</v>
      </c>
      <c r="E1110" s="32">
        <v>45949</v>
      </c>
      <c r="F1110" t="s">
        <v>222</v>
      </c>
      <c r="G1110" t="s">
        <v>2708</v>
      </c>
      <c r="H1110">
        <v>9629030835</v>
      </c>
      <c r="I1110">
        <v>165</v>
      </c>
      <c r="J1110" t="s">
        <v>234</v>
      </c>
      <c r="K1110" t="s">
        <v>71</v>
      </c>
      <c r="L1110" t="s">
        <v>72</v>
      </c>
      <c r="M1110" t="s">
        <v>59</v>
      </c>
      <c r="N1110" t="s">
        <v>59</v>
      </c>
      <c r="O1110" t="s">
        <v>59</v>
      </c>
      <c r="P1110" t="s">
        <v>59</v>
      </c>
      <c r="Q1110" t="s">
        <v>59</v>
      </c>
      <c r="R1110" t="s">
        <v>59</v>
      </c>
      <c r="S1110" t="s">
        <v>59</v>
      </c>
      <c r="T1110" t="s">
        <v>59</v>
      </c>
      <c r="U1110" t="s">
        <v>59</v>
      </c>
      <c r="V1110" t="s">
        <v>59</v>
      </c>
      <c r="W1110" t="s">
        <v>59</v>
      </c>
      <c r="X1110" t="s">
        <v>59</v>
      </c>
      <c r="Y1110" t="s">
        <v>59</v>
      </c>
      <c r="Z1110" t="s">
        <v>59</v>
      </c>
      <c r="AA1110" t="s">
        <v>59</v>
      </c>
      <c r="AB1110" t="s">
        <v>59</v>
      </c>
      <c r="AC1110" t="s">
        <v>59</v>
      </c>
      <c r="AD1110" t="s">
        <v>59</v>
      </c>
      <c r="AE1110" t="s">
        <v>59</v>
      </c>
      <c r="AF1110" t="s">
        <v>59</v>
      </c>
      <c r="AG1110" t="s">
        <v>59</v>
      </c>
      <c r="AH1110" t="s">
        <v>61</v>
      </c>
      <c r="AI1110" t="s">
        <v>61</v>
      </c>
      <c r="AJ1110" t="s">
        <v>59</v>
      </c>
      <c r="AK1110" t="s">
        <v>59</v>
      </c>
      <c r="AL1110" t="s">
        <v>60</v>
      </c>
      <c r="AM1110" t="s">
        <v>59</v>
      </c>
      <c r="AN1110" t="s">
        <v>59</v>
      </c>
      <c r="AO1110" t="s">
        <v>59</v>
      </c>
      <c r="AP1110" t="s">
        <v>37</v>
      </c>
      <c r="AQ1110" t="s">
        <v>2744</v>
      </c>
      <c r="AR1110" t="s">
        <v>226</v>
      </c>
      <c r="AS1110" t="s">
        <v>395</v>
      </c>
      <c r="AT1110" t="s">
        <v>395</v>
      </c>
      <c r="AU1110" t="s">
        <v>219</v>
      </c>
      <c r="AW1110" s="4">
        <f t="shared" si="598"/>
        <v>6</v>
      </c>
      <c r="AX1110" s="4">
        <f t="shared" si="599"/>
        <v>4</v>
      </c>
      <c r="AY1110" s="4">
        <f t="shared" si="600"/>
        <v>4</v>
      </c>
      <c r="AZ1110" s="4">
        <f t="shared" si="601"/>
        <v>2</v>
      </c>
      <c r="BA1110" s="4">
        <f t="shared" si="602"/>
        <v>4</v>
      </c>
      <c r="BB1110" s="4">
        <f t="shared" si="603"/>
        <v>4</v>
      </c>
      <c r="BC1110" s="4">
        <f t="shared" si="604"/>
        <v>4</v>
      </c>
      <c r="BD1110" s="4">
        <f t="shared" si="605"/>
        <v>2</v>
      </c>
      <c r="BE1110" s="4">
        <f t="shared" si="606"/>
        <v>4</v>
      </c>
      <c r="BF1110" s="4">
        <f t="shared" si="607"/>
        <v>2</v>
      </c>
      <c r="BG1110" s="4">
        <f t="shared" si="608"/>
        <v>4</v>
      </c>
      <c r="BH1110" s="4">
        <f t="shared" si="609"/>
        <v>4</v>
      </c>
      <c r="BI1110" s="4">
        <f t="shared" si="610"/>
        <v>4</v>
      </c>
      <c r="BJ1110" s="4">
        <f t="shared" si="611"/>
        <v>2</v>
      </c>
      <c r="BK1110" s="4">
        <f t="shared" si="612"/>
        <v>4</v>
      </c>
      <c r="BL1110" s="4">
        <f t="shared" si="613"/>
        <v>2</v>
      </c>
      <c r="BM1110" s="4">
        <f t="shared" si="614"/>
        <v>4</v>
      </c>
      <c r="BN1110" s="4">
        <f t="shared" si="615"/>
        <v>4</v>
      </c>
      <c r="BO1110" s="4">
        <f t="shared" si="616"/>
        <v>4</v>
      </c>
      <c r="BP1110" s="4">
        <f t="shared" si="617"/>
        <v>4</v>
      </c>
      <c r="BQ1110" s="4">
        <f t="shared" si="618"/>
        <v>6</v>
      </c>
      <c r="BR1110" s="4">
        <f t="shared" si="619"/>
        <v>4</v>
      </c>
      <c r="BS1110" s="4">
        <f t="shared" si="620"/>
        <v>4</v>
      </c>
      <c r="BT1110" s="4">
        <f t="shared" si="621"/>
        <v>4</v>
      </c>
      <c r="BU1110" s="4">
        <f t="shared" si="622"/>
        <v>4</v>
      </c>
      <c r="BV1110" s="4" t="str">
        <f t="shared" si="623"/>
        <v>0</v>
      </c>
      <c r="BW1110" s="4">
        <f t="shared" si="624"/>
        <v>6</v>
      </c>
      <c r="BX1110" s="4">
        <f t="shared" si="625"/>
        <v>0</v>
      </c>
      <c r="BY1110" s="4">
        <f t="shared" si="626"/>
        <v>0</v>
      </c>
      <c r="BZ1110" s="37">
        <f t="shared" si="627"/>
        <v>100</v>
      </c>
      <c r="CA1110" s="32" t="str">
        <f>VLOOKUP(J:J,'Agent wise'!A:C,3,0)</f>
        <v>Amal</v>
      </c>
      <c r="CB1110" s="32">
        <f t="shared" si="628"/>
        <v>45949</v>
      </c>
      <c r="CC1110" t="str">
        <f t="shared" si="629"/>
        <v>Excellent</v>
      </c>
      <c r="CE1110" s="32"/>
      <c r="CJ1110">
        <f t="shared" si="630"/>
        <v>19</v>
      </c>
      <c r="CK1110">
        <f t="shared" si="631"/>
        <v>10</v>
      </c>
      <c r="CL1110">
        <f t="shared" si="632"/>
        <v>2025</v>
      </c>
    </row>
    <row r="1111" spans="1:90" ht="15" customHeight="1" x14ac:dyDescent="0.35">
      <c r="A1111" t="s">
        <v>2745</v>
      </c>
      <c r="B1111" t="s">
        <v>100</v>
      </c>
      <c r="C1111" t="s">
        <v>214</v>
      </c>
      <c r="D1111" t="s">
        <v>101</v>
      </c>
      <c r="E1111" s="32">
        <v>45949</v>
      </c>
      <c r="F1111" t="s">
        <v>54</v>
      </c>
      <c r="G1111" t="s">
        <v>2708</v>
      </c>
      <c r="H1111">
        <v>9544981755</v>
      </c>
      <c r="I1111">
        <v>163</v>
      </c>
      <c r="J1111" t="s">
        <v>2491</v>
      </c>
      <c r="K1111" t="s">
        <v>57</v>
      </c>
      <c r="L1111" t="s">
        <v>58</v>
      </c>
      <c r="M1111" t="s">
        <v>59</v>
      </c>
      <c r="N1111" t="s">
        <v>59</v>
      </c>
      <c r="O1111" t="s">
        <v>59</v>
      </c>
      <c r="P1111" t="s">
        <v>59</v>
      </c>
      <c r="Q1111" t="s">
        <v>59</v>
      </c>
      <c r="R1111" t="s">
        <v>59</v>
      </c>
      <c r="S1111" t="s">
        <v>59</v>
      </c>
      <c r="T1111" t="s">
        <v>59</v>
      </c>
      <c r="U1111" t="s">
        <v>60</v>
      </c>
      <c r="V1111" t="s">
        <v>59</v>
      </c>
      <c r="W1111" t="s">
        <v>59</v>
      </c>
      <c r="X1111" t="s">
        <v>61</v>
      </c>
      <c r="Y1111" t="s">
        <v>59</v>
      </c>
      <c r="Z1111" t="s">
        <v>59</v>
      </c>
      <c r="AA1111" t="s">
        <v>60</v>
      </c>
      <c r="AB1111" t="s">
        <v>60</v>
      </c>
      <c r="AC1111" t="s">
        <v>61</v>
      </c>
      <c r="AD1111" t="s">
        <v>59</v>
      </c>
      <c r="AE1111" t="s">
        <v>59</v>
      </c>
      <c r="AF1111" t="s">
        <v>61</v>
      </c>
      <c r="AG1111" t="s">
        <v>59</v>
      </c>
      <c r="AH1111" t="s">
        <v>61</v>
      </c>
      <c r="AI1111" t="s">
        <v>61</v>
      </c>
      <c r="AJ1111" t="s">
        <v>59</v>
      </c>
      <c r="AK1111" t="s">
        <v>61</v>
      </c>
      <c r="AL1111" t="s">
        <v>60</v>
      </c>
      <c r="AM1111" t="s">
        <v>59</v>
      </c>
      <c r="AN1111" t="s">
        <v>59</v>
      </c>
      <c r="AO1111" t="s">
        <v>59</v>
      </c>
      <c r="AP1111" t="s">
        <v>2746</v>
      </c>
      <c r="AQ1111" s="1" t="s">
        <v>2747</v>
      </c>
      <c r="AR1111" t="s">
        <v>64</v>
      </c>
      <c r="AS1111" t="s">
        <v>89</v>
      </c>
      <c r="AT1111" t="s">
        <v>84</v>
      </c>
      <c r="AU1111" t="s">
        <v>219</v>
      </c>
      <c r="AW1111" s="4">
        <f t="shared" si="598"/>
        <v>6</v>
      </c>
      <c r="AX1111" s="4">
        <f t="shared" si="599"/>
        <v>4</v>
      </c>
      <c r="AY1111" s="4">
        <f t="shared" si="600"/>
        <v>4</v>
      </c>
      <c r="AZ1111" s="4">
        <f t="shared" si="601"/>
        <v>2</v>
      </c>
      <c r="BA1111" s="4">
        <f t="shared" si="602"/>
        <v>4</v>
      </c>
      <c r="BB1111" s="4">
        <f t="shared" si="603"/>
        <v>4</v>
      </c>
      <c r="BC1111" s="4">
        <f t="shared" si="604"/>
        <v>4</v>
      </c>
      <c r="BD1111" s="4">
        <f t="shared" si="605"/>
        <v>2</v>
      </c>
      <c r="BE1111" s="4" t="str">
        <f t="shared" si="606"/>
        <v>0</v>
      </c>
      <c r="BF1111" s="4">
        <f t="shared" si="607"/>
        <v>2</v>
      </c>
      <c r="BG1111" s="4">
        <f t="shared" si="608"/>
        <v>4</v>
      </c>
      <c r="BH1111" s="4">
        <f t="shared" si="609"/>
        <v>4</v>
      </c>
      <c r="BI1111" s="4">
        <f t="shared" si="610"/>
        <v>4</v>
      </c>
      <c r="BJ1111" s="4">
        <f t="shared" si="611"/>
        <v>2</v>
      </c>
      <c r="BK1111" s="4" t="str">
        <f t="shared" si="612"/>
        <v>0</v>
      </c>
      <c r="BL1111" s="4" t="str">
        <f t="shared" si="613"/>
        <v>0</v>
      </c>
      <c r="BM1111" s="4">
        <f t="shared" si="614"/>
        <v>4</v>
      </c>
      <c r="BN1111" s="4">
        <f t="shared" si="615"/>
        <v>4</v>
      </c>
      <c r="BO1111" s="4">
        <f t="shared" si="616"/>
        <v>4</v>
      </c>
      <c r="BP1111" s="4">
        <f t="shared" si="617"/>
        <v>4</v>
      </c>
      <c r="BQ1111" s="4">
        <f t="shared" si="618"/>
        <v>6</v>
      </c>
      <c r="BR1111" s="4">
        <f t="shared" si="619"/>
        <v>4</v>
      </c>
      <c r="BS1111" s="4">
        <f t="shared" si="620"/>
        <v>4</v>
      </c>
      <c r="BT1111" s="4">
        <f t="shared" si="621"/>
        <v>4</v>
      </c>
      <c r="BU1111" s="4">
        <f t="shared" si="622"/>
        <v>4</v>
      </c>
      <c r="BV1111" s="4" t="str">
        <f t="shared" si="623"/>
        <v>0</v>
      </c>
      <c r="BW1111" s="4">
        <f t="shared" si="624"/>
        <v>6</v>
      </c>
      <c r="BX1111" s="4">
        <f t="shared" si="625"/>
        <v>0</v>
      </c>
      <c r="BY1111" s="4">
        <f t="shared" si="626"/>
        <v>0</v>
      </c>
      <c r="BZ1111" s="37">
        <f t="shared" si="627"/>
        <v>90</v>
      </c>
      <c r="CA1111" s="32" t="e">
        <f>VLOOKUP(J:J,'Agent wise'!A:C,3,0)</f>
        <v>#N/A</v>
      </c>
      <c r="CB1111" s="32">
        <f t="shared" si="628"/>
        <v>45949</v>
      </c>
      <c r="CC1111" t="str">
        <f t="shared" si="629"/>
        <v>Good</v>
      </c>
      <c r="CE1111" s="32"/>
      <c r="CJ1111">
        <f t="shared" si="630"/>
        <v>19</v>
      </c>
      <c r="CK1111">
        <f t="shared" si="631"/>
        <v>10</v>
      </c>
      <c r="CL1111">
        <f t="shared" si="632"/>
        <v>2025</v>
      </c>
    </row>
    <row r="1112" spans="1:90" ht="15" customHeight="1" x14ac:dyDescent="0.35">
      <c r="A1112" t="s">
        <v>2748</v>
      </c>
      <c r="B1112" t="s">
        <v>100</v>
      </c>
      <c r="C1112" t="s">
        <v>214</v>
      </c>
      <c r="D1112" t="s">
        <v>101</v>
      </c>
      <c r="E1112" s="32">
        <v>45949</v>
      </c>
      <c r="F1112" t="s">
        <v>54</v>
      </c>
      <c r="G1112" t="s">
        <v>2490</v>
      </c>
      <c r="H1112">
        <v>9037332425</v>
      </c>
      <c r="I1112">
        <v>315</v>
      </c>
      <c r="J1112" t="s">
        <v>2491</v>
      </c>
      <c r="K1112" t="s">
        <v>57</v>
      </c>
      <c r="L1112" t="s">
        <v>58</v>
      </c>
      <c r="M1112" t="s">
        <v>59</v>
      </c>
      <c r="N1112" t="s">
        <v>59</v>
      </c>
      <c r="O1112" t="s">
        <v>60</v>
      </c>
      <c r="P1112" t="s">
        <v>59</v>
      </c>
      <c r="Q1112" t="s">
        <v>59</v>
      </c>
      <c r="R1112" t="s">
        <v>59</v>
      </c>
      <c r="S1112" t="s">
        <v>59</v>
      </c>
      <c r="T1112" t="s">
        <v>59</v>
      </c>
      <c r="U1112" t="s">
        <v>59</v>
      </c>
      <c r="V1112" t="s">
        <v>59</v>
      </c>
      <c r="W1112" t="s">
        <v>59</v>
      </c>
      <c r="X1112" t="s">
        <v>61</v>
      </c>
      <c r="Y1112" t="s">
        <v>59</v>
      </c>
      <c r="Z1112" t="s">
        <v>59</v>
      </c>
      <c r="AA1112" t="s">
        <v>59</v>
      </c>
      <c r="AB1112" t="s">
        <v>60</v>
      </c>
      <c r="AC1112" t="s">
        <v>61</v>
      </c>
      <c r="AD1112" t="s">
        <v>59</v>
      </c>
      <c r="AE1112" t="s">
        <v>59</v>
      </c>
      <c r="AF1112" t="s">
        <v>61</v>
      </c>
      <c r="AG1112" t="s">
        <v>59</v>
      </c>
      <c r="AH1112" t="s">
        <v>61</v>
      </c>
      <c r="AI1112" t="s">
        <v>61</v>
      </c>
      <c r="AJ1112" t="s">
        <v>59</v>
      </c>
      <c r="AK1112" t="s">
        <v>61</v>
      </c>
      <c r="AL1112" t="s">
        <v>60</v>
      </c>
      <c r="AM1112" t="s">
        <v>59</v>
      </c>
      <c r="AN1112" t="s">
        <v>59</v>
      </c>
      <c r="AO1112" t="s">
        <v>59</v>
      </c>
      <c r="AP1112" t="s">
        <v>2749</v>
      </c>
      <c r="AQ1112" s="1" t="s">
        <v>2750</v>
      </c>
      <c r="AR1112" t="s">
        <v>64</v>
      </c>
      <c r="AS1112" t="s">
        <v>89</v>
      </c>
      <c r="AT1112" t="s">
        <v>84</v>
      </c>
      <c r="AU1112" t="s">
        <v>219</v>
      </c>
      <c r="AW1112" s="4">
        <f t="shared" si="598"/>
        <v>6</v>
      </c>
      <c r="AX1112" s="4">
        <f t="shared" si="599"/>
        <v>4</v>
      </c>
      <c r="AY1112" s="4" t="str">
        <f t="shared" si="600"/>
        <v>0</v>
      </c>
      <c r="AZ1112" s="4">
        <f t="shared" si="601"/>
        <v>2</v>
      </c>
      <c r="BA1112" s="4">
        <f t="shared" si="602"/>
        <v>4</v>
      </c>
      <c r="BB1112" s="4">
        <f t="shared" si="603"/>
        <v>4</v>
      </c>
      <c r="BC1112" s="4">
        <f t="shared" si="604"/>
        <v>4</v>
      </c>
      <c r="BD1112" s="4">
        <f t="shared" si="605"/>
        <v>2</v>
      </c>
      <c r="BE1112" s="4">
        <f t="shared" si="606"/>
        <v>4</v>
      </c>
      <c r="BF1112" s="4">
        <f t="shared" si="607"/>
        <v>2</v>
      </c>
      <c r="BG1112" s="4">
        <f t="shared" si="608"/>
        <v>4</v>
      </c>
      <c r="BH1112" s="4">
        <f t="shared" si="609"/>
        <v>4</v>
      </c>
      <c r="BI1112" s="4">
        <f t="shared" si="610"/>
        <v>4</v>
      </c>
      <c r="BJ1112" s="4">
        <f t="shared" si="611"/>
        <v>2</v>
      </c>
      <c r="BK1112" s="4">
        <f t="shared" si="612"/>
        <v>4</v>
      </c>
      <c r="BL1112" s="4" t="str">
        <f t="shared" si="613"/>
        <v>0</v>
      </c>
      <c r="BM1112" s="4">
        <f t="shared" si="614"/>
        <v>4</v>
      </c>
      <c r="BN1112" s="4">
        <f t="shared" si="615"/>
        <v>4</v>
      </c>
      <c r="BO1112" s="4">
        <f t="shared" si="616"/>
        <v>4</v>
      </c>
      <c r="BP1112" s="4">
        <f t="shared" si="617"/>
        <v>4</v>
      </c>
      <c r="BQ1112" s="4">
        <f t="shared" si="618"/>
        <v>6</v>
      </c>
      <c r="BR1112" s="4">
        <f t="shared" si="619"/>
        <v>4</v>
      </c>
      <c r="BS1112" s="4">
        <f t="shared" si="620"/>
        <v>4</v>
      </c>
      <c r="BT1112" s="4">
        <f t="shared" si="621"/>
        <v>4</v>
      </c>
      <c r="BU1112" s="4">
        <f t="shared" si="622"/>
        <v>4</v>
      </c>
      <c r="BV1112" s="4" t="str">
        <f t="shared" si="623"/>
        <v>0</v>
      </c>
      <c r="BW1112" s="4">
        <f t="shared" si="624"/>
        <v>6</v>
      </c>
      <c r="BX1112" s="4">
        <f t="shared" si="625"/>
        <v>0</v>
      </c>
      <c r="BY1112" s="4">
        <f t="shared" si="626"/>
        <v>0</v>
      </c>
      <c r="BZ1112" s="37">
        <f t="shared" si="627"/>
        <v>94</v>
      </c>
      <c r="CA1112" s="32" t="e">
        <f>VLOOKUP(J:J,'Agent wise'!A:C,3,0)</f>
        <v>#N/A</v>
      </c>
      <c r="CB1112" s="32">
        <f t="shared" si="628"/>
        <v>45949</v>
      </c>
      <c r="CC1112" t="str">
        <f t="shared" si="629"/>
        <v>Good</v>
      </c>
      <c r="CE1112" s="32"/>
      <c r="CJ1112">
        <f t="shared" si="630"/>
        <v>19</v>
      </c>
      <c r="CK1112">
        <f t="shared" si="631"/>
        <v>10</v>
      </c>
      <c r="CL1112">
        <f t="shared" si="632"/>
        <v>2025</v>
      </c>
    </row>
    <row r="1113" spans="1:90" ht="15" customHeight="1" x14ac:dyDescent="0.35">
      <c r="A1113" t="s">
        <v>2751</v>
      </c>
      <c r="B1113" t="s">
        <v>100</v>
      </c>
      <c r="C1113" t="s">
        <v>214</v>
      </c>
      <c r="D1113" t="s">
        <v>101</v>
      </c>
      <c r="E1113" s="32">
        <v>45949</v>
      </c>
      <c r="F1113" t="s">
        <v>54</v>
      </c>
      <c r="G1113" t="s">
        <v>2490</v>
      </c>
      <c r="H1113">
        <v>9048331786</v>
      </c>
      <c r="I1113">
        <v>269</v>
      </c>
      <c r="J1113" t="s">
        <v>2491</v>
      </c>
      <c r="K1113" t="s">
        <v>57</v>
      </c>
      <c r="L1113" t="s">
        <v>58</v>
      </c>
      <c r="M1113" t="s">
        <v>59</v>
      </c>
      <c r="N1113" t="s">
        <v>59</v>
      </c>
      <c r="O1113" t="s">
        <v>60</v>
      </c>
      <c r="P1113" t="s">
        <v>59</v>
      </c>
      <c r="Q1113" t="s">
        <v>59</v>
      </c>
      <c r="R1113" t="s">
        <v>59</v>
      </c>
      <c r="S1113" t="s">
        <v>59</v>
      </c>
      <c r="T1113" t="s">
        <v>59</v>
      </c>
      <c r="U1113" t="s">
        <v>59</v>
      </c>
      <c r="V1113" t="s">
        <v>59</v>
      </c>
      <c r="W1113" t="s">
        <v>59</v>
      </c>
      <c r="X1113" t="s">
        <v>61</v>
      </c>
      <c r="Y1113" t="s">
        <v>59</v>
      </c>
      <c r="Z1113" t="s">
        <v>59</v>
      </c>
      <c r="AA1113" t="s">
        <v>59</v>
      </c>
      <c r="AB1113" t="s">
        <v>60</v>
      </c>
      <c r="AC1113" t="s">
        <v>61</v>
      </c>
      <c r="AD1113" t="s">
        <v>59</v>
      </c>
      <c r="AE1113" t="s">
        <v>59</v>
      </c>
      <c r="AF1113" t="s">
        <v>59</v>
      </c>
      <c r="AG1113" t="s">
        <v>59</v>
      </c>
      <c r="AH1113" t="s">
        <v>61</v>
      </c>
      <c r="AI1113" t="s">
        <v>61</v>
      </c>
      <c r="AJ1113" t="s">
        <v>59</v>
      </c>
      <c r="AK1113" t="s">
        <v>61</v>
      </c>
      <c r="AL1113" t="s">
        <v>60</v>
      </c>
      <c r="AM1113" t="s">
        <v>59</v>
      </c>
      <c r="AN1113" t="s">
        <v>59</v>
      </c>
      <c r="AO1113" t="s">
        <v>59</v>
      </c>
      <c r="AP1113" t="s">
        <v>2749</v>
      </c>
      <c r="AQ1113" s="1" t="s">
        <v>2752</v>
      </c>
      <c r="AR1113" t="s">
        <v>64</v>
      </c>
      <c r="AS1113" t="s">
        <v>135</v>
      </c>
      <c r="AT1113" t="s">
        <v>1251</v>
      </c>
      <c r="AU1113" t="s">
        <v>219</v>
      </c>
      <c r="AW1113" s="4">
        <f t="shared" si="598"/>
        <v>6</v>
      </c>
      <c r="AX1113" s="4">
        <f t="shared" si="599"/>
        <v>4</v>
      </c>
      <c r="AY1113" s="4" t="str">
        <f t="shared" si="600"/>
        <v>0</v>
      </c>
      <c r="AZ1113" s="4">
        <f t="shared" si="601"/>
        <v>2</v>
      </c>
      <c r="BA1113" s="4">
        <f t="shared" si="602"/>
        <v>4</v>
      </c>
      <c r="BB1113" s="4">
        <f t="shared" si="603"/>
        <v>4</v>
      </c>
      <c r="BC1113" s="4">
        <f t="shared" si="604"/>
        <v>4</v>
      </c>
      <c r="BD1113" s="4">
        <f t="shared" si="605"/>
        <v>2</v>
      </c>
      <c r="BE1113" s="4">
        <f t="shared" si="606"/>
        <v>4</v>
      </c>
      <c r="BF1113" s="4">
        <f t="shared" si="607"/>
        <v>2</v>
      </c>
      <c r="BG1113" s="4">
        <f t="shared" si="608"/>
        <v>4</v>
      </c>
      <c r="BH1113" s="4">
        <f t="shared" si="609"/>
        <v>4</v>
      </c>
      <c r="BI1113" s="4">
        <f t="shared" si="610"/>
        <v>4</v>
      </c>
      <c r="BJ1113" s="4">
        <f t="shared" si="611"/>
        <v>2</v>
      </c>
      <c r="BK1113" s="4">
        <f t="shared" si="612"/>
        <v>4</v>
      </c>
      <c r="BL1113" s="4" t="str">
        <f t="shared" si="613"/>
        <v>0</v>
      </c>
      <c r="BM1113" s="4">
        <f t="shared" si="614"/>
        <v>4</v>
      </c>
      <c r="BN1113" s="4">
        <f t="shared" si="615"/>
        <v>4</v>
      </c>
      <c r="BO1113" s="4">
        <f t="shared" si="616"/>
        <v>4</v>
      </c>
      <c r="BP1113" s="4">
        <f t="shared" si="617"/>
        <v>4</v>
      </c>
      <c r="BQ1113" s="4">
        <f t="shared" si="618"/>
        <v>6</v>
      </c>
      <c r="BR1113" s="4">
        <f t="shared" si="619"/>
        <v>4</v>
      </c>
      <c r="BS1113" s="4">
        <f t="shared" si="620"/>
        <v>4</v>
      </c>
      <c r="BT1113" s="4">
        <f t="shared" si="621"/>
        <v>4</v>
      </c>
      <c r="BU1113" s="4">
        <f t="shared" si="622"/>
        <v>4</v>
      </c>
      <c r="BV1113" s="4" t="str">
        <f t="shared" si="623"/>
        <v>0</v>
      </c>
      <c r="BW1113" s="4">
        <f t="shared" si="624"/>
        <v>6</v>
      </c>
      <c r="BX1113" s="4">
        <f t="shared" si="625"/>
        <v>0</v>
      </c>
      <c r="BY1113" s="4">
        <f t="shared" si="626"/>
        <v>0</v>
      </c>
      <c r="BZ1113" s="37">
        <f t="shared" si="627"/>
        <v>94</v>
      </c>
      <c r="CA1113" s="32" t="e">
        <f>VLOOKUP(J:J,'Agent wise'!A:C,3,0)</f>
        <v>#N/A</v>
      </c>
      <c r="CB1113" s="32">
        <f t="shared" si="628"/>
        <v>45949</v>
      </c>
      <c r="CC1113" t="str">
        <f t="shared" si="629"/>
        <v>Good</v>
      </c>
      <c r="CE1113" s="32"/>
      <c r="CJ1113">
        <f t="shared" si="630"/>
        <v>19</v>
      </c>
      <c r="CK1113">
        <f t="shared" si="631"/>
        <v>10</v>
      </c>
      <c r="CL1113">
        <f t="shared" si="632"/>
        <v>2025</v>
      </c>
    </row>
    <row r="1114" spans="1:90" ht="15" customHeight="1" x14ac:dyDescent="0.35">
      <c r="A1114" t="s">
        <v>2753</v>
      </c>
      <c r="B1114" t="s">
        <v>100</v>
      </c>
      <c r="C1114" t="s">
        <v>214</v>
      </c>
      <c r="D1114" t="s">
        <v>101</v>
      </c>
      <c r="E1114" s="32">
        <v>45949</v>
      </c>
      <c r="F1114" t="s">
        <v>222</v>
      </c>
      <c r="G1114" t="s">
        <v>2708</v>
      </c>
      <c r="H1114">
        <v>9961489539</v>
      </c>
      <c r="I1114">
        <v>578</v>
      </c>
      <c r="J1114" t="s">
        <v>2491</v>
      </c>
      <c r="K1114" t="s">
        <v>57</v>
      </c>
      <c r="L1114" t="s">
        <v>58</v>
      </c>
      <c r="M1114" t="s">
        <v>59</v>
      </c>
      <c r="N1114" t="s">
        <v>59</v>
      </c>
      <c r="O1114" t="s">
        <v>59</v>
      </c>
      <c r="P1114" t="s">
        <v>59</v>
      </c>
      <c r="Q1114" t="s">
        <v>59</v>
      </c>
      <c r="R1114" t="s">
        <v>59</v>
      </c>
      <c r="S1114" t="s">
        <v>59</v>
      </c>
      <c r="T1114" t="s">
        <v>59</v>
      </c>
      <c r="U1114" t="s">
        <v>59</v>
      </c>
      <c r="V1114" t="s">
        <v>59</v>
      </c>
      <c r="W1114" t="s">
        <v>59</v>
      </c>
      <c r="X1114" t="s">
        <v>61</v>
      </c>
      <c r="Y1114" t="s">
        <v>59</v>
      </c>
      <c r="Z1114" t="s">
        <v>59</v>
      </c>
      <c r="AA1114" t="s">
        <v>59</v>
      </c>
      <c r="AB1114" t="s">
        <v>59</v>
      </c>
      <c r="AC1114" t="s">
        <v>60</v>
      </c>
      <c r="AD1114" t="s">
        <v>59</v>
      </c>
      <c r="AE1114" t="s">
        <v>59</v>
      </c>
      <c r="AF1114" t="s">
        <v>61</v>
      </c>
      <c r="AG1114" t="s">
        <v>59</v>
      </c>
      <c r="AH1114" t="s">
        <v>61</v>
      </c>
      <c r="AI1114" t="s">
        <v>61</v>
      </c>
      <c r="AJ1114" t="s">
        <v>59</v>
      </c>
      <c r="AK1114" t="s">
        <v>61</v>
      </c>
      <c r="AL1114" t="s">
        <v>60</v>
      </c>
      <c r="AM1114" t="s">
        <v>59</v>
      </c>
      <c r="AN1114" t="s">
        <v>59</v>
      </c>
      <c r="AO1114" t="s">
        <v>59</v>
      </c>
      <c r="AP1114" t="s">
        <v>2754</v>
      </c>
      <c r="AQ1114" s="1" t="s">
        <v>2755</v>
      </c>
      <c r="AR1114" t="s">
        <v>226</v>
      </c>
      <c r="AS1114" t="s">
        <v>352</v>
      </c>
      <c r="AT1114" t="s">
        <v>352</v>
      </c>
      <c r="AU1114" t="s">
        <v>299</v>
      </c>
      <c r="AW1114" s="4">
        <f t="shared" si="598"/>
        <v>6</v>
      </c>
      <c r="AX1114" s="4">
        <f t="shared" si="599"/>
        <v>4</v>
      </c>
      <c r="AY1114" s="4">
        <f t="shared" si="600"/>
        <v>4</v>
      </c>
      <c r="AZ1114" s="4">
        <f t="shared" si="601"/>
        <v>2</v>
      </c>
      <c r="BA1114" s="4">
        <f t="shared" si="602"/>
        <v>4</v>
      </c>
      <c r="BB1114" s="4">
        <f t="shared" si="603"/>
        <v>4</v>
      </c>
      <c r="BC1114" s="4">
        <f t="shared" si="604"/>
        <v>4</v>
      </c>
      <c r="BD1114" s="4">
        <f t="shared" si="605"/>
        <v>2</v>
      </c>
      <c r="BE1114" s="4">
        <f t="shared" si="606"/>
        <v>4</v>
      </c>
      <c r="BF1114" s="4">
        <f t="shared" si="607"/>
        <v>2</v>
      </c>
      <c r="BG1114" s="4">
        <f t="shared" si="608"/>
        <v>4</v>
      </c>
      <c r="BH1114" s="4">
        <f t="shared" si="609"/>
        <v>4</v>
      </c>
      <c r="BI1114" s="4">
        <f t="shared" si="610"/>
        <v>4</v>
      </c>
      <c r="BJ1114" s="4">
        <f t="shared" si="611"/>
        <v>2</v>
      </c>
      <c r="BK1114" s="4">
        <f t="shared" si="612"/>
        <v>4</v>
      </c>
      <c r="BL1114" s="4">
        <f t="shared" si="613"/>
        <v>2</v>
      </c>
      <c r="BM1114" s="4" t="str">
        <f t="shared" si="614"/>
        <v>0</v>
      </c>
      <c r="BN1114" s="4">
        <f t="shared" si="615"/>
        <v>4</v>
      </c>
      <c r="BO1114" s="4">
        <f t="shared" si="616"/>
        <v>4</v>
      </c>
      <c r="BP1114" s="4">
        <f t="shared" si="617"/>
        <v>4</v>
      </c>
      <c r="BQ1114" s="4">
        <f t="shared" si="618"/>
        <v>6</v>
      </c>
      <c r="BR1114" s="4">
        <f t="shared" si="619"/>
        <v>4</v>
      </c>
      <c r="BS1114" s="4">
        <f t="shared" si="620"/>
        <v>4</v>
      </c>
      <c r="BT1114" s="4">
        <f t="shared" si="621"/>
        <v>4</v>
      </c>
      <c r="BU1114" s="4">
        <f t="shared" si="622"/>
        <v>4</v>
      </c>
      <c r="BV1114" s="4" t="str">
        <f t="shared" si="623"/>
        <v>0</v>
      </c>
      <c r="BW1114" s="4">
        <f t="shared" si="624"/>
        <v>6</v>
      </c>
      <c r="BX1114" s="4">
        <f t="shared" si="625"/>
        <v>0</v>
      </c>
      <c r="BY1114" s="4">
        <f t="shared" si="626"/>
        <v>0</v>
      </c>
      <c r="BZ1114" s="37">
        <f t="shared" si="627"/>
        <v>96</v>
      </c>
      <c r="CA1114" s="32" t="e">
        <f>VLOOKUP(J:J,'Agent wise'!A:C,3,0)</f>
        <v>#N/A</v>
      </c>
      <c r="CB1114" s="32">
        <f t="shared" si="628"/>
        <v>45949</v>
      </c>
      <c r="CC1114" t="str">
        <f t="shared" si="629"/>
        <v>Excellent</v>
      </c>
      <c r="CE1114" s="32"/>
      <c r="CJ1114">
        <f t="shared" si="630"/>
        <v>19</v>
      </c>
      <c r="CK1114">
        <f t="shared" si="631"/>
        <v>10</v>
      </c>
      <c r="CL1114">
        <f t="shared" si="632"/>
        <v>2025</v>
      </c>
    </row>
    <row r="1115" spans="1:90" ht="15" customHeight="1" x14ac:dyDescent="0.35">
      <c r="A1115" t="s">
        <v>2756</v>
      </c>
      <c r="B1115" t="s">
        <v>100</v>
      </c>
      <c r="C1115" t="s">
        <v>214</v>
      </c>
      <c r="D1115" t="s">
        <v>101</v>
      </c>
      <c r="E1115" s="32">
        <v>45949</v>
      </c>
      <c r="F1115" t="s">
        <v>222</v>
      </c>
      <c r="G1115" t="s">
        <v>2708</v>
      </c>
      <c r="H1115">
        <v>9710420003</v>
      </c>
      <c r="I1115">
        <v>361</v>
      </c>
      <c r="J1115" t="s">
        <v>2491</v>
      </c>
      <c r="K1115" t="s">
        <v>86</v>
      </c>
      <c r="L1115" t="s">
        <v>72</v>
      </c>
      <c r="M1115" t="s">
        <v>59</v>
      </c>
      <c r="N1115" t="s">
        <v>59</v>
      </c>
      <c r="O1115" t="s">
        <v>59</v>
      </c>
      <c r="P1115" t="s">
        <v>59</v>
      </c>
      <c r="Q1115" t="s">
        <v>59</v>
      </c>
      <c r="R1115" t="s">
        <v>59</v>
      </c>
      <c r="S1115" t="s">
        <v>59</v>
      </c>
      <c r="T1115" t="s">
        <v>59</v>
      </c>
      <c r="U1115" t="s">
        <v>60</v>
      </c>
      <c r="V1115" t="s">
        <v>60</v>
      </c>
      <c r="W1115" t="s">
        <v>59</v>
      </c>
      <c r="X1115" t="s">
        <v>61</v>
      </c>
      <c r="Y1115" t="s">
        <v>59</v>
      </c>
      <c r="Z1115" t="s">
        <v>59</v>
      </c>
      <c r="AA1115" t="s">
        <v>59</v>
      </c>
      <c r="AB1115" t="s">
        <v>59</v>
      </c>
      <c r="AC1115" t="s">
        <v>60</v>
      </c>
      <c r="AD1115" t="s">
        <v>59</v>
      </c>
      <c r="AE1115" t="s">
        <v>59</v>
      </c>
      <c r="AF1115" t="s">
        <v>61</v>
      </c>
      <c r="AG1115" t="s">
        <v>59</v>
      </c>
      <c r="AH1115" t="s">
        <v>61</v>
      </c>
      <c r="AI1115" t="s">
        <v>59</v>
      </c>
      <c r="AJ1115" t="s">
        <v>59</v>
      </c>
      <c r="AK1115" t="s">
        <v>61</v>
      </c>
      <c r="AL1115" t="s">
        <v>59</v>
      </c>
      <c r="AM1115" t="s">
        <v>59</v>
      </c>
      <c r="AN1115" t="s">
        <v>59</v>
      </c>
      <c r="AO1115" t="s">
        <v>59</v>
      </c>
      <c r="AP1115" t="s">
        <v>1608</v>
      </c>
      <c r="AQ1115" s="1" t="s">
        <v>2757</v>
      </c>
      <c r="AR1115" t="s">
        <v>226</v>
      </c>
      <c r="AS1115" t="s">
        <v>352</v>
      </c>
      <c r="AT1115" t="s">
        <v>352</v>
      </c>
      <c r="AU1115" t="s">
        <v>299</v>
      </c>
      <c r="AW1115" s="4">
        <f t="shared" si="598"/>
        <v>6</v>
      </c>
      <c r="AX1115" s="4">
        <f t="shared" si="599"/>
        <v>4</v>
      </c>
      <c r="AY1115" s="4">
        <f t="shared" si="600"/>
        <v>4</v>
      </c>
      <c r="AZ1115" s="4">
        <f t="shared" si="601"/>
        <v>2</v>
      </c>
      <c r="BA1115" s="4">
        <f t="shared" si="602"/>
        <v>4</v>
      </c>
      <c r="BB1115" s="4">
        <f t="shared" si="603"/>
        <v>4</v>
      </c>
      <c r="BC1115" s="4">
        <f t="shared" si="604"/>
        <v>4</v>
      </c>
      <c r="BD1115" s="4">
        <f t="shared" si="605"/>
        <v>2</v>
      </c>
      <c r="BE1115" s="4" t="str">
        <f t="shared" si="606"/>
        <v>0</v>
      </c>
      <c r="BF1115" s="4" t="str">
        <f t="shared" si="607"/>
        <v>0</v>
      </c>
      <c r="BG1115" s="4">
        <f t="shared" si="608"/>
        <v>4</v>
      </c>
      <c r="BH1115" s="4">
        <f t="shared" si="609"/>
        <v>4</v>
      </c>
      <c r="BI1115" s="4">
        <f t="shared" si="610"/>
        <v>4</v>
      </c>
      <c r="BJ1115" s="4">
        <f t="shared" si="611"/>
        <v>2</v>
      </c>
      <c r="BK1115" s="4">
        <f t="shared" si="612"/>
        <v>4</v>
      </c>
      <c r="BL1115" s="4">
        <f t="shared" si="613"/>
        <v>2</v>
      </c>
      <c r="BM1115" s="4" t="str">
        <f t="shared" si="614"/>
        <v>0</v>
      </c>
      <c r="BN1115" s="4">
        <f t="shared" si="615"/>
        <v>4</v>
      </c>
      <c r="BO1115" s="4">
        <f t="shared" si="616"/>
        <v>4</v>
      </c>
      <c r="BP1115" s="4">
        <f t="shared" si="617"/>
        <v>4</v>
      </c>
      <c r="BQ1115" s="4">
        <f t="shared" si="618"/>
        <v>6</v>
      </c>
      <c r="BR1115" s="4">
        <f t="shared" si="619"/>
        <v>4</v>
      </c>
      <c r="BS1115" s="4">
        <f t="shared" si="620"/>
        <v>4</v>
      </c>
      <c r="BT1115" s="4">
        <f t="shared" si="621"/>
        <v>4</v>
      </c>
      <c r="BU1115" s="4">
        <f t="shared" si="622"/>
        <v>4</v>
      </c>
      <c r="BV1115" s="4">
        <f t="shared" si="623"/>
        <v>0</v>
      </c>
      <c r="BW1115" s="4">
        <f t="shared" si="624"/>
        <v>6</v>
      </c>
      <c r="BX1115" s="4">
        <f t="shared" si="625"/>
        <v>0</v>
      </c>
      <c r="BY1115" s="4">
        <f t="shared" si="626"/>
        <v>0</v>
      </c>
      <c r="BZ1115" s="37">
        <f t="shared" si="627"/>
        <v>90</v>
      </c>
      <c r="CA1115" s="32" t="e">
        <f>VLOOKUP(J:J,'Agent wise'!A:C,3,0)</f>
        <v>#N/A</v>
      </c>
      <c r="CB1115" s="32">
        <f t="shared" si="628"/>
        <v>45949</v>
      </c>
      <c r="CC1115" t="str">
        <f t="shared" si="629"/>
        <v>Good</v>
      </c>
      <c r="CE1115" s="32"/>
      <c r="CJ1115">
        <f t="shared" si="630"/>
        <v>19</v>
      </c>
      <c r="CK1115">
        <f t="shared" si="631"/>
        <v>10</v>
      </c>
      <c r="CL1115">
        <f t="shared" si="632"/>
        <v>2025</v>
      </c>
    </row>
    <row r="1116" spans="1:90" ht="15" customHeight="1" x14ac:dyDescent="0.35">
      <c r="A1116" t="s">
        <v>2758</v>
      </c>
      <c r="B1116" t="s">
        <v>100</v>
      </c>
      <c r="C1116" t="s">
        <v>214</v>
      </c>
      <c r="D1116" t="s">
        <v>101</v>
      </c>
      <c r="E1116" s="32">
        <v>45949</v>
      </c>
      <c r="F1116" t="s">
        <v>54</v>
      </c>
      <c r="G1116" t="s">
        <v>2708</v>
      </c>
      <c r="H1116">
        <v>9087762291</v>
      </c>
      <c r="I1116">
        <v>226</v>
      </c>
      <c r="J1116" t="s">
        <v>2498</v>
      </c>
      <c r="K1116" t="s">
        <v>71</v>
      </c>
      <c r="L1116" t="s">
        <v>72</v>
      </c>
      <c r="M1116" t="s">
        <v>59</v>
      </c>
      <c r="N1116" t="s">
        <v>59</v>
      </c>
      <c r="O1116" t="s">
        <v>59</v>
      </c>
      <c r="P1116" t="s">
        <v>59</v>
      </c>
      <c r="Q1116" t="s">
        <v>59</v>
      </c>
      <c r="R1116" t="s">
        <v>59</v>
      </c>
      <c r="S1116" t="s">
        <v>59</v>
      </c>
      <c r="T1116" t="s">
        <v>59</v>
      </c>
      <c r="U1116" t="s">
        <v>59</v>
      </c>
      <c r="V1116" t="s">
        <v>59</v>
      </c>
      <c r="W1116" t="s">
        <v>59</v>
      </c>
      <c r="X1116" t="s">
        <v>61</v>
      </c>
      <c r="Y1116" t="s">
        <v>59</v>
      </c>
      <c r="Z1116" t="s">
        <v>59</v>
      </c>
      <c r="AA1116" t="s">
        <v>60</v>
      </c>
      <c r="AB1116" t="s">
        <v>59</v>
      </c>
      <c r="AC1116" t="s">
        <v>60</v>
      </c>
      <c r="AD1116" t="s">
        <v>59</v>
      </c>
      <c r="AE1116" t="s">
        <v>59</v>
      </c>
      <c r="AF1116" t="s">
        <v>61</v>
      </c>
      <c r="AG1116" t="s">
        <v>59</v>
      </c>
      <c r="AH1116" t="s">
        <v>61</v>
      </c>
      <c r="AI1116" t="s">
        <v>61</v>
      </c>
      <c r="AJ1116" t="s">
        <v>59</v>
      </c>
      <c r="AK1116" t="s">
        <v>61</v>
      </c>
      <c r="AL1116" t="s">
        <v>59</v>
      </c>
      <c r="AM1116" t="s">
        <v>59</v>
      </c>
      <c r="AN1116" t="s">
        <v>59</v>
      </c>
      <c r="AO1116" t="s">
        <v>59</v>
      </c>
      <c r="AP1116" t="s">
        <v>1608</v>
      </c>
      <c r="AQ1116" s="1" t="s">
        <v>2759</v>
      </c>
      <c r="AR1116" t="s">
        <v>64</v>
      </c>
      <c r="AS1116" t="s">
        <v>142</v>
      </c>
      <c r="AT1116" t="s">
        <v>2760</v>
      </c>
      <c r="AU1116" t="s">
        <v>299</v>
      </c>
      <c r="AW1116" s="4">
        <f t="shared" si="598"/>
        <v>6</v>
      </c>
      <c r="AX1116" s="4">
        <f t="shared" si="599"/>
        <v>4</v>
      </c>
      <c r="AY1116" s="4">
        <f t="shared" si="600"/>
        <v>4</v>
      </c>
      <c r="AZ1116" s="4">
        <f t="shared" si="601"/>
        <v>2</v>
      </c>
      <c r="BA1116" s="4">
        <f t="shared" si="602"/>
        <v>4</v>
      </c>
      <c r="BB1116" s="4">
        <f t="shared" si="603"/>
        <v>4</v>
      </c>
      <c r="BC1116" s="4">
        <f t="shared" si="604"/>
        <v>4</v>
      </c>
      <c r="BD1116" s="4">
        <f t="shared" si="605"/>
        <v>2</v>
      </c>
      <c r="BE1116" s="4">
        <f t="shared" si="606"/>
        <v>4</v>
      </c>
      <c r="BF1116" s="4">
        <f t="shared" si="607"/>
        <v>2</v>
      </c>
      <c r="BG1116" s="4">
        <f t="shared" si="608"/>
        <v>4</v>
      </c>
      <c r="BH1116" s="4">
        <f t="shared" si="609"/>
        <v>4</v>
      </c>
      <c r="BI1116" s="4">
        <f t="shared" si="610"/>
        <v>4</v>
      </c>
      <c r="BJ1116" s="4">
        <f t="shared" si="611"/>
        <v>2</v>
      </c>
      <c r="BK1116" s="4" t="str">
        <f t="shared" si="612"/>
        <v>0</v>
      </c>
      <c r="BL1116" s="4">
        <f t="shared" si="613"/>
        <v>2</v>
      </c>
      <c r="BM1116" s="4" t="str">
        <f t="shared" si="614"/>
        <v>0</v>
      </c>
      <c r="BN1116" s="4">
        <f t="shared" si="615"/>
        <v>4</v>
      </c>
      <c r="BO1116" s="4">
        <f t="shared" si="616"/>
        <v>4</v>
      </c>
      <c r="BP1116" s="4">
        <f t="shared" si="617"/>
        <v>4</v>
      </c>
      <c r="BQ1116" s="4">
        <f t="shared" si="618"/>
        <v>6</v>
      </c>
      <c r="BR1116" s="4">
        <f t="shared" si="619"/>
        <v>4</v>
      </c>
      <c r="BS1116" s="4">
        <f t="shared" si="620"/>
        <v>4</v>
      </c>
      <c r="BT1116" s="4">
        <f t="shared" si="621"/>
        <v>4</v>
      </c>
      <c r="BU1116" s="4">
        <f t="shared" si="622"/>
        <v>4</v>
      </c>
      <c r="BV1116" s="4">
        <f t="shared" si="623"/>
        <v>0</v>
      </c>
      <c r="BW1116" s="4">
        <f t="shared" si="624"/>
        <v>6</v>
      </c>
      <c r="BX1116" s="4">
        <f t="shared" si="625"/>
        <v>0</v>
      </c>
      <c r="BY1116" s="4">
        <f t="shared" si="626"/>
        <v>0</v>
      </c>
      <c r="BZ1116" s="37">
        <f t="shared" si="627"/>
        <v>92</v>
      </c>
      <c r="CA1116" s="32" t="e">
        <f>VLOOKUP(J:J,'Agent wise'!A:C,3,0)</f>
        <v>#N/A</v>
      </c>
      <c r="CB1116" s="32">
        <f t="shared" si="628"/>
        <v>45949</v>
      </c>
      <c r="CC1116" t="str">
        <f t="shared" si="629"/>
        <v>Good</v>
      </c>
      <c r="CE1116" s="32"/>
      <c r="CJ1116">
        <f t="shared" si="630"/>
        <v>19</v>
      </c>
      <c r="CK1116">
        <f t="shared" si="631"/>
        <v>10</v>
      </c>
      <c r="CL1116">
        <f t="shared" si="632"/>
        <v>2025</v>
      </c>
    </row>
    <row r="1117" spans="1:90" ht="15" customHeight="1" x14ac:dyDescent="0.35">
      <c r="A1117" t="s">
        <v>2761</v>
      </c>
      <c r="B1117" t="s">
        <v>100</v>
      </c>
      <c r="C1117" t="s">
        <v>214</v>
      </c>
      <c r="D1117" t="s">
        <v>101</v>
      </c>
      <c r="E1117" s="32">
        <v>45949</v>
      </c>
      <c r="F1117" t="s">
        <v>222</v>
      </c>
      <c r="G1117" t="s">
        <v>2708</v>
      </c>
      <c r="H1117">
        <v>9442233231</v>
      </c>
      <c r="I1117">
        <v>158</v>
      </c>
      <c r="J1117" t="s">
        <v>2498</v>
      </c>
      <c r="K1117" t="s">
        <v>71</v>
      </c>
      <c r="L1117" t="s">
        <v>72</v>
      </c>
      <c r="M1117" t="s">
        <v>59</v>
      </c>
      <c r="N1117" t="s">
        <v>59</v>
      </c>
      <c r="O1117" t="s">
        <v>59</v>
      </c>
      <c r="P1117" t="s">
        <v>59</v>
      </c>
      <c r="Q1117" t="s">
        <v>59</v>
      </c>
      <c r="R1117" t="s">
        <v>59</v>
      </c>
      <c r="S1117" t="s">
        <v>59</v>
      </c>
      <c r="T1117" t="s">
        <v>59</v>
      </c>
      <c r="U1117" t="s">
        <v>60</v>
      </c>
      <c r="V1117" t="s">
        <v>59</v>
      </c>
      <c r="W1117" t="s">
        <v>59</v>
      </c>
      <c r="X1117" t="s">
        <v>61</v>
      </c>
      <c r="Y1117" t="s">
        <v>59</v>
      </c>
      <c r="Z1117" t="s">
        <v>59</v>
      </c>
      <c r="AA1117" t="s">
        <v>59</v>
      </c>
      <c r="AB1117" t="s">
        <v>59</v>
      </c>
      <c r="AC1117" t="s">
        <v>61</v>
      </c>
      <c r="AD1117" t="s">
        <v>59</v>
      </c>
      <c r="AE1117" t="s">
        <v>59</v>
      </c>
      <c r="AF1117" t="s">
        <v>61</v>
      </c>
      <c r="AG1117" t="s">
        <v>59</v>
      </c>
      <c r="AH1117" t="s">
        <v>61</v>
      </c>
      <c r="AI1117" t="s">
        <v>59</v>
      </c>
      <c r="AJ1117" t="s">
        <v>59</v>
      </c>
      <c r="AK1117" t="s">
        <v>59</v>
      </c>
      <c r="AL1117" t="s">
        <v>59</v>
      </c>
      <c r="AM1117" t="s">
        <v>59</v>
      </c>
      <c r="AN1117" t="s">
        <v>59</v>
      </c>
      <c r="AO1117" t="s">
        <v>59</v>
      </c>
      <c r="AP1117" t="s">
        <v>2762</v>
      </c>
      <c r="AQ1117" s="1" t="s">
        <v>2763</v>
      </c>
      <c r="AR1117" t="s">
        <v>226</v>
      </c>
      <c r="AS1117" t="s">
        <v>352</v>
      </c>
      <c r="AT1117" t="s">
        <v>352</v>
      </c>
      <c r="AU1117" t="s">
        <v>299</v>
      </c>
      <c r="AW1117" s="4">
        <f t="shared" si="598"/>
        <v>6</v>
      </c>
      <c r="AX1117" s="4">
        <f t="shared" si="599"/>
        <v>4</v>
      </c>
      <c r="AY1117" s="4">
        <f t="shared" si="600"/>
        <v>4</v>
      </c>
      <c r="AZ1117" s="4">
        <f t="shared" si="601"/>
        <v>2</v>
      </c>
      <c r="BA1117" s="4">
        <f t="shared" si="602"/>
        <v>4</v>
      </c>
      <c r="BB1117" s="4">
        <f t="shared" si="603"/>
        <v>4</v>
      </c>
      <c r="BC1117" s="4">
        <f t="shared" si="604"/>
        <v>4</v>
      </c>
      <c r="BD1117" s="4">
        <f t="shared" si="605"/>
        <v>2</v>
      </c>
      <c r="BE1117" s="4" t="str">
        <f t="shared" si="606"/>
        <v>0</v>
      </c>
      <c r="BF1117" s="4">
        <f t="shared" si="607"/>
        <v>2</v>
      </c>
      <c r="BG1117" s="4">
        <f t="shared" si="608"/>
        <v>4</v>
      </c>
      <c r="BH1117" s="4">
        <f t="shared" si="609"/>
        <v>4</v>
      </c>
      <c r="BI1117" s="4">
        <f t="shared" si="610"/>
        <v>4</v>
      </c>
      <c r="BJ1117" s="4">
        <f t="shared" si="611"/>
        <v>2</v>
      </c>
      <c r="BK1117" s="4">
        <f t="shared" si="612"/>
        <v>4</v>
      </c>
      <c r="BL1117" s="4">
        <f t="shared" si="613"/>
        <v>2</v>
      </c>
      <c r="BM1117" s="4">
        <f t="shared" si="614"/>
        <v>4</v>
      </c>
      <c r="BN1117" s="4">
        <f t="shared" si="615"/>
        <v>4</v>
      </c>
      <c r="BO1117" s="4">
        <f t="shared" si="616"/>
        <v>4</v>
      </c>
      <c r="BP1117" s="4">
        <f t="shared" si="617"/>
        <v>4</v>
      </c>
      <c r="BQ1117" s="4">
        <f t="shared" si="618"/>
        <v>6</v>
      </c>
      <c r="BR1117" s="4">
        <f t="shared" si="619"/>
        <v>4</v>
      </c>
      <c r="BS1117" s="4">
        <f t="shared" si="620"/>
        <v>4</v>
      </c>
      <c r="BT1117" s="4">
        <f t="shared" si="621"/>
        <v>4</v>
      </c>
      <c r="BU1117" s="4">
        <f t="shared" si="622"/>
        <v>4</v>
      </c>
      <c r="BV1117" s="4">
        <f t="shared" si="623"/>
        <v>0</v>
      </c>
      <c r="BW1117" s="4">
        <f t="shared" si="624"/>
        <v>6</v>
      </c>
      <c r="BX1117" s="4">
        <f t="shared" si="625"/>
        <v>0</v>
      </c>
      <c r="BY1117" s="4">
        <f t="shared" si="626"/>
        <v>0</v>
      </c>
      <c r="BZ1117" s="37">
        <f t="shared" si="627"/>
        <v>96</v>
      </c>
      <c r="CA1117" s="32" t="e">
        <f>VLOOKUP(J:J,'Agent wise'!A:C,3,0)</f>
        <v>#N/A</v>
      </c>
      <c r="CB1117" s="32">
        <f t="shared" si="628"/>
        <v>45949</v>
      </c>
      <c r="CC1117" t="str">
        <f t="shared" si="629"/>
        <v>Excellent</v>
      </c>
      <c r="CE1117" s="32"/>
      <c r="CJ1117">
        <f t="shared" si="630"/>
        <v>19</v>
      </c>
      <c r="CK1117">
        <f t="shared" si="631"/>
        <v>10</v>
      </c>
      <c r="CL1117">
        <f t="shared" si="632"/>
        <v>2025</v>
      </c>
    </row>
    <row r="1118" spans="1:90" ht="15" customHeight="1" x14ac:dyDescent="0.35">
      <c r="A1118" t="s">
        <v>2764</v>
      </c>
      <c r="B1118" t="s">
        <v>100</v>
      </c>
      <c r="C1118" t="s">
        <v>214</v>
      </c>
      <c r="D1118" t="s">
        <v>101</v>
      </c>
      <c r="E1118" s="32">
        <v>45949</v>
      </c>
      <c r="F1118" t="s">
        <v>222</v>
      </c>
      <c r="G1118" t="s">
        <v>2708</v>
      </c>
      <c r="H1118">
        <v>9497320756</v>
      </c>
      <c r="I1118">
        <v>209</v>
      </c>
      <c r="J1118" t="s">
        <v>2498</v>
      </c>
      <c r="K1118" t="s">
        <v>57</v>
      </c>
      <c r="L1118" t="s">
        <v>58</v>
      </c>
      <c r="M1118" t="s">
        <v>59</v>
      </c>
      <c r="N1118" t="s">
        <v>59</v>
      </c>
      <c r="O1118" t="s">
        <v>59</v>
      </c>
      <c r="P1118" t="s">
        <v>59</v>
      </c>
      <c r="Q1118" t="s">
        <v>59</v>
      </c>
      <c r="R1118" t="s">
        <v>59</v>
      </c>
      <c r="S1118" t="s">
        <v>59</v>
      </c>
      <c r="T1118" t="s">
        <v>59</v>
      </c>
      <c r="U1118" t="s">
        <v>59</v>
      </c>
      <c r="V1118" t="s">
        <v>59</v>
      </c>
      <c r="W1118" t="s">
        <v>59</v>
      </c>
      <c r="X1118" t="s">
        <v>61</v>
      </c>
      <c r="Y1118" t="s">
        <v>59</v>
      </c>
      <c r="Z1118" t="s">
        <v>59</v>
      </c>
      <c r="AA1118" t="s">
        <v>60</v>
      </c>
      <c r="AB1118" t="s">
        <v>60</v>
      </c>
      <c r="AC1118" t="s">
        <v>61</v>
      </c>
      <c r="AD1118" t="s">
        <v>59</v>
      </c>
      <c r="AE1118" t="s">
        <v>59</v>
      </c>
      <c r="AF1118" t="s">
        <v>61</v>
      </c>
      <c r="AG1118" t="s">
        <v>59</v>
      </c>
      <c r="AH1118" t="s">
        <v>61</v>
      </c>
      <c r="AI1118" t="s">
        <v>61</v>
      </c>
      <c r="AJ1118" t="s">
        <v>59</v>
      </c>
      <c r="AK1118" t="s">
        <v>61</v>
      </c>
      <c r="AL1118" t="s">
        <v>60</v>
      </c>
      <c r="AM1118" t="s">
        <v>59</v>
      </c>
      <c r="AN1118" t="s">
        <v>59</v>
      </c>
      <c r="AO1118" t="s">
        <v>59</v>
      </c>
      <c r="AP1118" t="s">
        <v>798</v>
      </c>
      <c r="AQ1118" s="1" t="s">
        <v>2765</v>
      </c>
      <c r="AR1118" t="s">
        <v>226</v>
      </c>
      <c r="AS1118" t="s">
        <v>352</v>
      </c>
      <c r="AT1118" t="s">
        <v>352</v>
      </c>
      <c r="AU1118" t="s">
        <v>299</v>
      </c>
      <c r="AW1118" s="4">
        <f t="shared" si="598"/>
        <v>6</v>
      </c>
      <c r="AX1118" s="4">
        <f t="shared" si="599"/>
        <v>4</v>
      </c>
      <c r="AY1118" s="4">
        <f t="shared" si="600"/>
        <v>4</v>
      </c>
      <c r="AZ1118" s="4">
        <f t="shared" si="601"/>
        <v>2</v>
      </c>
      <c r="BA1118" s="4">
        <f t="shared" si="602"/>
        <v>4</v>
      </c>
      <c r="BB1118" s="4">
        <f t="shared" si="603"/>
        <v>4</v>
      </c>
      <c r="BC1118" s="4">
        <f t="shared" si="604"/>
        <v>4</v>
      </c>
      <c r="BD1118" s="4">
        <f t="shared" si="605"/>
        <v>2</v>
      </c>
      <c r="BE1118" s="4">
        <f t="shared" si="606"/>
        <v>4</v>
      </c>
      <c r="BF1118" s="4">
        <f t="shared" si="607"/>
        <v>2</v>
      </c>
      <c r="BG1118" s="4">
        <f t="shared" si="608"/>
        <v>4</v>
      </c>
      <c r="BH1118" s="4">
        <f t="shared" si="609"/>
        <v>4</v>
      </c>
      <c r="BI1118" s="4">
        <f t="shared" si="610"/>
        <v>4</v>
      </c>
      <c r="BJ1118" s="4">
        <f t="shared" si="611"/>
        <v>2</v>
      </c>
      <c r="BK1118" s="4" t="str">
        <f t="shared" si="612"/>
        <v>0</v>
      </c>
      <c r="BL1118" s="4" t="str">
        <f t="shared" si="613"/>
        <v>0</v>
      </c>
      <c r="BM1118" s="4">
        <f t="shared" si="614"/>
        <v>4</v>
      </c>
      <c r="BN1118" s="4">
        <f t="shared" si="615"/>
        <v>4</v>
      </c>
      <c r="BO1118" s="4">
        <f t="shared" si="616"/>
        <v>4</v>
      </c>
      <c r="BP1118" s="4">
        <f t="shared" si="617"/>
        <v>4</v>
      </c>
      <c r="BQ1118" s="4">
        <f t="shared" si="618"/>
        <v>6</v>
      </c>
      <c r="BR1118" s="4">
        <f t="shared" si="619"/>
        <v>4</v>
      </c>
      <c r="BS1118" s="4">
        <f t="shared" si="620"/>
        <v>4</v>
      </c>
      <c r="BT1118" s="4">
        <f t="shared" si="621"/>
        <v>4</v>
      </c>
      <c r="BU1118" s="4">
        <f t="shared" si="622"/>
        <v>4</v>
      </c>
      <c r="BV1118" s="4" t="str">
        <f t="shared" si="623"/>
        <v>0</v>
      </c>
      <c r="BW1118" s="4">
        <f t="shared" si="624"/>
        <v>6</v>
      </c>
      <c r="BX1118" s="4">
        <f t="shared" si="625"/>
        <v>0</v>
      </c>
      <c r="BY1118" s="4">
        <f t="shared" si="626"/>
        <v>0</v>
      </c>
      <c r="BZ1118" s="37">
        <f t="shared" si="627"/>
        <v>94</v>
      </c>
      <c r="CA1118" s="32" t="e">
        <f>VLOOKUP(J:J,'Agent wise'!A:C,3,0)</f>
        <v>#N/A</v>
      </c>
      <c r="CB1118" s="32">
        <f t="shared" si="628"/>
        <v>45949</v>
      </c>
      <c r="CC1118" t="str">
        <f t="shared" si="629"/>
        <v>Good</v>
      </c>
      <c r="CE1118" s="32"/>
      <c r="CJ1118">
        <f t="shared" si="630"/>
        <v>19</v>
      </c>
      <c r="CK1118">
        <f t="shared" si="631"/>
        <v>10</v>
      </c>
      <c r="CL1118">
        <f t="shared" si="632"/>
        <v>2025</v>
      </c>
    </row>
    <row r="1119" spans="1:90" ht="15" customHeight="1" x14ac:dyDescent="0.35">
      <c r="A1119" t="s">
        <v>2766</v>
      </c>
      <c r="B1119" t="s">
        <v>100</v>
      </c>
      <c r="C1119" t="s">
        <v>214</v>
      </c>
      <c r="D1119" t="s">
        <v>101</v>
      </c>
      <c r="E1119" s="32">
        <v>45949</v>
      </c>
      <c r="F1119" t="s">
        <v>54</v>
      </c>
      <c r="G1119" t="s">
        <v>2708</v>
      </c>
      <c r="H1119">
        <v>9488459096</v>
      </c>
      <c r="I1119">
        <v>193</v>
      </c>
      <c r="J1119" t="s">
        <v>2552</v>
      </c>
      <c r="K1119" t="s">
        <v>71</v>
      </c>
      <c r="L1119" t="s">
        <v>72</v>
      </c>
      <c r="M1119" t="s">
        <v>59</v>
      </c>
      <c r="N1119" t="s">
        <v>59</v>
      </c>
      <c r="O1119" t="s">
        <v>59</v>
      </c>
      <c r="P1119" t="s">
        <v>59</v>
      </c>
      <c r="Q1119" t="s">
        <v>59</v>
      </c>
      <c r="R1119" t="s">
        <v>59</v>
      </c>
      <c r="S1119" t="s">
        <v>59</v>
      </c>
      <c r="T1119" t="s">
        <v>59</v>
      </c>
      <c r="U1119" t="s">
        <v>59</v>
      </c>
      <c r="V1119" t="s">
        <v>59</v>
      </c>
      <c r="W1119" t="s">
        <v>59</v>
      </c>
      <c r="X1119" t="s">
        <v>59</v>
      </c>
      <c r="Y1119" t="s">
        <v>59</v>
      </c>
      <c r="Z1119" t="s">
        <v>59</v>
      </c>
      <c r="AA1119" t="s">
        <v>59</v>
      </c>
      <c r="AB1119" t="s">
        <v>59</v>
      </c>
      <c r="AC1119" t="s">
        <v>60</v>
      </c>
      <c r="AD1119" t="s">
        <v>59</v>
      </c>
      <c r="AE1119" t="s">
        <v>59</v>
      </c>
      <c r="AF1119" t="s">
        <v>59</v>
      </c>
      <c r="AG1119" t="s">
        <v>59</v>
      </c>
      <c r="AH1119" t="s">
        <v>61</v>
      </c>
      <c r="AI1119" t="s">
        <v>61</v>
      </c>
      <c r="AJ1119" t="s">
        <v>59</v>
      </c>
      <c r="AK1119" t="s">
        <v>61</v>
      </c>
      <c r="AL1119" t="s">
        <v>59</v>
      </c>
      <c r="AM1119" t="s">
        <v>59</v>
      </c>
      <c r="AN1119" t="s">
        <v>59</v>
      </c>
      <c r="AO1119" t="s">
        <v>59</v>
      </c>
      <c r="AP1119" t="s">
        <v>2087</v>
      </c>
      <c r="AQ1119" s="1" t="s">
        <v>2767</v>
      </c>
      <c r="AR1119" t="s">
        <v>64</v>
      </c>
      <c r="AS1119" t="s">
        <v>135</v>
      </c>
      <c r="AT1119" t="s">
        <v>1251</v>
      </c>
      <c r="AU1119" t="s">
        <v>219</v>
      </c>
      <c r="AW1119" s="4">
        <f t="shared" si="598"/>
        <v>6</v>
      </c>
      <c r="AX1119" s="4">
        <f t="shared" si="599"/>
        <v>4</v>
      </c>
      <c r="AY1119" s="4">
        <f t="shared" si="600"/>
        <v>4</v>
      </c>
      <c r="AZ1119" s="4">
        <f t="shared" si="601"/>
        <v>2</v>
      </c>
      <c r="BA1119" s="4">
        <f t="shared" si="602"/>
        <v>4</v>
      </c>
      <c r="BB1119" s="4">
        <f t="shared" si="603"/>
        <v>4</v>
      </c>
      <c r="BC1119" s="4">
        <f t="shared" si="604"/>
        <v>4</v>
      </c>
      <c r="BD1119" s="4">
        <f t="shared" si="605"/>
        <v>2</v>
      </c>
      <c r="BE1119" s="4">
        <f t="shared" si="606"/>
        <v>4</v>
      </c>
      <c r="BF1119" s="4">
        <f t="shared" si="607"/>
        <v>2</v>
      </c>
      <c r="BG1119" s="4">
        <f t="shared" si="608"/>
        <v>4</v>
      </c>
      <c r="BH1119" s="4">
        <f t="shared" si="609"/>
        <v>4</v>
      </c>
      <c r="BI1119" s="4">
        <f t="shared" si="610"/>
        <v>4</v>
      </c>
      <c r="BJ1119" s="4">
        <f t="shared" si="611"/>
        <v>2</v>
      </c>
      <c r="BK1119" s="4">
        <f t="shared" si="612"/>
        <v>4</v>
      </c>
      <c r="BL1119" s="4">
        <f t="shared" si="613"/>
        <v>2</v>
      </c>
      <c r="BM1119" s="4" t="str">
        <f t="shared" si="614"/>
        <v>0</v>
      </c>
      <c r="BN1119" s="4">
        <f t="shared" si="615"/>
        <v>4</v>
      </c>
      <c r="BO1119" s="4">
        <f t="shared" si="616"/>
        <v>4</v>
      </c>
      <c r="BP1119" s="4">
        <f t="shared" si="617"/>
        <v>4</v>
      </c>
      <c r="BQ1119" s="4">
        <f t="shared" si="618"/>
        <v>6</v>
      </c>
      <c r="BR1119" s="4">
        <f t="shared" si="619"/>
        <v>4</v>
      </c>
      <c r="BS1119" s="4">
        <f t="shared" si="620"/>
        <v>4</v>
      </c>
      <c r="BT1119" s="4">
        <f t="shared" si="621"/>
        <v>4</v>
      </c>
      <c r="BU1119" s="4">
        <f t="shared" si="622"/>
        <v>4</v>
      </c>
      <c r="BV1119" s="4">
        <f t="shared" si="623"/>
        <v>0</v>
      </c>
      <c r="BW1119" s="4">
        <f t="shared" si="624"/>
        <v>6</v>
      </c>
      <c r="BX1119" s="4">
        <f t="shared" si="625"/>
        <v>0</v>
      </c>
      <c r="BY1119" s="4">
        <f t="shared" si="626"/>
        <v>0</v>
      </c>
      <c r="BZ1119" s="37">
        <f t="shared" si="627"/>
        <v>96</v>
      </c>
      <c r="CA1119" s="32" t="e">
        <f>VLOOKUP(J:J,'Agent wise'!A:C,3,0)</f>
        <v>#N/A</v>
      </c>
      <c r="CB1119" s="32">
        <f t="shared" si="628"/>
        <v>45949</v>
      </c>
      <c r="CC1119" t="str">
        <f t="shared" si="629"/>
        <v>Excellent</v>
      </c>
      <c r="CE1119" s="32"/>
      <c r="CJ1119">
        <f t="shared" si="630"/>
        <v>19</v>
      </c>
      <c r="CK1119">
        <f t="shared" si="631"/>
        <v>10</v>
      </c>
      <c r="CL1119">
        <f t="shared" si="632"/>
        <v>2025</v>
      </c>
    </row>
    <row r="1120" spans="1:90" ht="15" customHeight="1" x14ac:dyDescent="0.35">
      <c r="A1120" t="s">
        <v>2768</v>
      </c>
      <c r="B1120" t="s">
        <v>100</v>
      </c>
      <c r="C1120" t="s">
        <v>214</v>
      </c>
      <c r="D1120" t="s">
        <v>101</v>
      </c>
      <c r="E1120" s="32">
        <v>45949</v>
      </c>
      <c r="F1120" t="s">
        <v>54</v>
      </c>
      <c r="G1120" t="s">
        <v>2708</v>
      </c>
      <c r="H1120">
        <v>9488073615</v>
      </c>
      <c r="I1120">
        <v>224</v>
      </c>
      <c r="J1120" t="s">
        <v>2552</v>
      </c>
      <c r="K1120" t="s">
        <v>71</v>
      </c>
      <c r="L1120" t="s">
        <v>72</v>
      </c>
      <c r="M1120" t="s">
        <v>59</v>
      </c>
      <c r="N1120" t="s">
        <v>59</v>
      </c>
      <c r="O1120" t="s">
        <v>59</v>
      </c>
      <c r="P1120" t="s">
        <v>59</v>
      </c>
      <c r="Q1120" t="s">
        <v>59</v>
      </c>
      <c r="R1120" t="s">
        <v>59</v>
      </c>
      <c r="S1120" t="s">
        <v>59</v>
      </c>
      <c r="T1120" t="s">
        <v>59</v>
      </c>
      <c r="U1120" t="s">
        <v>59</v>
      </c>
      <c r="V1120" t="s">
        <v>59</v>
      </c>
      <c r="W1120" t="s">
        <v>59</v>
      </c>
      <c r="X1120" t="s">
        <v>59</v>
      </c>
      <c r="Y1120" t="s">
        <v>59</v>
      </c>
      <c r="Z1120" t="s">
        <v>59</v>
      </c>
      <c r="AA1120" t="s">
        <v>59</v>
      </c>
      <c r="AB1120" t="s">
        <v>59</v>
      </c>
      <c r="AC1120" t="s">
        <v>60</v>
      </c>
      <c r="AD1120" t="s">
        <v>59</v>
      </c>
      <c r="AE1120" t="s">
        <v>59</v>
      </c>
      <c r="AF1120" t="s">
        <v>61</v>
      </c>
      <c r="AG1120" t="s">
        <v>59</v>
      </c>
      <c r="AH1120" t="s">
        <v>61</v>
      </c>
      <c r="AI1120" t="s">
        <v>61</v>
      </c>
      <c r="AJ1120" t="s">
        <v>61</v>
      </c>
      <c r="AK1120" t="s">
        <v>61</v>
      </c>
      <c r="AL1120" t="s">
        <v>59</v>
      </c>
      <c r="AM1120" t="s">
        <v>59</v>
      </c>
      <c r="AN1120" t="s">
        <v>59</v>
      </c>
      <c r="AO1120" t="s">
        <v>60</v>
      </c>
      <c r="AP1120" t="s">
        <v>2087</v>
      </c>
      <c r="AQ1120" s="1" t="s">
        <v>2769</v>
      </c>
      <c r="AR1120" t="s">
        <v>64</v>
      </c>
      <c r="AS1120" t="s">
        <v>555</v>
      </c>
      <c r="AT1120" t="s">
        <v>556</v>
      </c>
      <c r="AU1120" t="s">
        <v>299</v>
      </c>
      <c r="AW1120" s="4">
        <f t="shared" si="598"/>
        <v>6</v>
      </c>
      <c r="AX1120" s="4">
        <f t="shared" si="599"/>
        <v>4</v>
      </c>
      <c r="AY1120" s="4">
        <f t="shared" si="600"/>
        <v>4</v>
      </c>
      <c r="AZ1120" s="4">
        <f t="shared" si="601"/>
        <v>2</v>
      </c>
      <c r="BA1120" s="4">
        <f t="shared" si="602"/>
        <v>4</v>
      </c>
      <c r="BB1120" s="4">
        <f t="shared" si="603"/>
        <v>4</v>
      </c>
      <c r="BC1120" s="4">
        <f t="shared" si="604"/>
        <v>4</v>
      </c>
      <c r="BD1120" s="4">
        <f t="shared" si="605"/>
        <v>2</v>
      </c>
      <c r="BE1120" s="4">
        <f t="shared" si="606"/>
        <v>4</v>
      </c>
      <c r="BF1120" s="4">
        <f t="shared" si="607"/>
        <v>2</v>
      </c>
      <c r="BG1120" s="4">
        <f t="shared" si="608"/>
        <v>4</v>
      </c>
      <c r="BH1120" s="4">
        <f t="shared" si="609"/>
        <v>4</v>
      </c>
      <c r="BI1120" s="4">
        <f t="shared" si="610"/>
        <v>4</v>
      </c>
      <c r="BJ1120" s="4">
        <f t="shared" si="611"/>
        <v>2</v>
      </c>
      <c r="BK1120" s="4">
        <f t="shared" si="612"/>
        <v>4</v>
      </c>
      <c r="BL1120" s="4">
        <f t="shared" si="613"/>
        <v>2</v>
      </c>
      <c r="BM1120" s="4" t="str">
        <f t="shared" si="614"/>
        <v>0</v>
      </c>
      <c r="BN1120" s="4">
        <f t="shared" si="615"/>
        <v>4</v>
      </c>
      <c r="BO1120" s="4">
        <f t="shared" si="616"/>
        <v>4</v>
      </c>
      <c r="BP1120" s="4">
        <f t="shared" si="617"/>
        <v>4</v>
      </c>
      <c r="BQ1120" s="4">
        <f t="shared" si="618"/>
        <v>6</v>
      </c>
      <c r="BR1120" s="4">
        <f t="shared" si="619"/>
        <v>4</v>
      </c>
      <c r="BS1120" s="4">
        <f t="shared" si="620"/>
        <v>4</v>
      </c>
      <c r="BT1120" s="4">
        <f t="shared" si="621"/>
        <v>4</v>
      </c>
      <c r="BU1120" s="4">
        <f t="shared" si="622"/>
        <v>4</v>
      </c>
      <c r="BV1120" s="4">
        <f t="shared" si="623"/>
        <v>0</v>
      </c>
      <c r="BW1120" s="4">
        <f t="shared" si="624"/>
        <v>6</v>
      </c>
      <c r="BX1120" s="4">
        <f t="shared" si="625"/>
        <v>0</v>
      </c>
      <c r="BY1120" s="4" t="str">
        <f t="shared" si="626"/>
        <v>0</v>
      </c>
      <c r="BZ1120" s="37">
        <f t="shared" si="627"/>
        <v>96</v>
      </c>
      <c r="CA1120" s="32" t="e">
        <f>VLOOKUP(J:J,'Agent wise'!A:C,3,0)</f>
        <v>#N/A</v>
      </c>
      <c r="CB1120" s="32">
        <f t="shared" si="628"/>
        <v>45949</v>
      </c>
      <c r="CC1120" t="str">
        <f t="shared" si="629"/>
        <v>Excellent</v>
      </c>
      <c r="CE1120" s="32"/>
      <c r="CJ1120">
        <f t="shared" si="630"/>
        <v>19</v>
      </c>
      <c r="CK1120">
        <f t="shared" si="631"/>
        <v>10</v>
      </c>
      <c r="CL1120">
        <f t="shared" si="632"/>
        <v>2025</v>
      </c>
    </row>
    <row r="1121" spans="1:90" ht="15" customHeight="1" x14ac:dyDescent="0.35">
      <c r="A1121" t="s">
        <v>2770</v>
      </c>
      <c r="B1121" t="s">
        <v>100</v>
      </c>
      <c r="C1121" t="s">
        <v>214</v>
      </c>
      <c r="D1121" t="s">
        <v>101</v>
      </c>
      <c r="E1121" s="32">
        <v>45949</v>
      </c>
      <c r="F1121" t="s">
        <v>54</v>
      </c>
      <c r="G1121" t="s">
        <v>2708</v>
      </c>
      <c r="H1121">
        <v>9941261790</v>
      </c>
      <c r="I1121">
        <v>231</v>
      </c>
      <c r="J1121" t="s">
        <v>2552</v>
      </c>
      <c r="K1121" t="s">
        <v>71</v>
      </c>
      <c r="L1121" t="s">
        <v>72</v>
      </c>
      <c r="M1121" t="s">
        <v>59</v>
      </c>
      <c r="N1121" t="s">
        <v>59</v>
      </c>
      <c r="O1121" t="s">
        <v>59</v>
      </c>
      <c r="P1121" t="s">
        <v>59</v>
      </c>
      <c r="Q1121" t="s">
        <v>59</v>
      </c>
      <c r="R1121" t="s">
        <v>59</v>
      </c>
      <c r="S1121" t="s">
        <v>59</v>
      </c>
      <c r="T1121" t="s">
        <v>59</v>
      </c>
      <c r="U1121" t="s">
        <v>60</v>
      </c>
      <c r="V1121" t="s">
        <v>59</v>
      </c>
      <c r="W1121" t="s">
        <v>59</v>
      </c>
      <c r="X1121" t="s">
        <v>59</v>
      </c>
      <c r="Y1121" t="s">
        <v>59</v>
      </c>
      <c r="Z1121" t="s">
        <v>59</v>
      </c>
      <c r="AA1121" t="s">
        <v>59</v>
      </c>
      <c r="AB1121" t="s">
        <v>59</v>
      </c>
      <c r="AC1121" t="s">
        <v>60</v>
      </c>
      <c r="AD1121" t="s">
        <v>59</v>
      </c>
      <c r="AE1121" t="s">
        <v>59</v>
      </c>
      <c r="AF1121" t="s">
        <v>61</v>
      </c>
      <c r="AG1121" t="s">
        <v>59</v>
      </c>
      <c r="AH1121" t="s">
        <v>61</v>
      </c>
      <c r="AI1121" t="s">
        <v>61</v>
      </c>
      <c r="AJ1121" t="s">
        <v>61</v>
      </c>
      <c r="AK1121" t="s">
        <v>61</v>
      </c>
      <c r="AL1121" t="s">
        <v>59</v>
      </c>
      <c r="AM1121" t="s">
        <v>59</v>
      </c>
      <c r="AN1121" t="s">
        <v>59</v>
      </c>
      <c r="AO1121" t="s">
        <v>60</v>
      </c>
      <c r="AP1121" t="s">
        <v>2771</v>
      </c>
      <c r="AQ1121" s="1" t="s">
        <v>2772</v>
      </c>
      <c r="AR1121" t="s">
        <v>64</v>
      </c>
      <c r="AS1121" t="s">
        <v>347</v>
      </c>
      <c r="AT1121" t="s">
        <v>348</v>
      </c>
      <c r="AU1121" t="s">
        <v>299</v>
      </c>
      <c r="AW1121" s="4">
        <f t="shared" si="598"/>
        <v>6</v>
      </c>
      <c r="AX1121" s="4">
        <f t="shared" si="599"/>
        <v>4</v>
      </c>
      <c r="AY1121" s="4">
        <f t="shared" si="600"/>
        <v>4</v>
      </c>
      <c r="AZ1121" s="4">
        <f t="shared" si="601"/>
        <v>2</v>
      </c>
      <c r="BA1121" s="4">
        <f t="shared" si="602"/>
        <v>4</v>
      </c>
      <c r="BB1121" s="4">
        <f t="shared" si="603"/>
        <v>4</v>
      </c>
      <c r="BC1121" s="4">
        <f t="shared" si="604"/>
        <v>4</v>
      </c>
      <c r="BD1121" s="4">
        <f t="shared" si="605"/>
        <v>2</v>
      </c>
      <c r="BE1121" s="4" t="str">
        <f t="shared" si="606"/>
        <v>0</v>
      </c>
      <c r="BF1121" s="4">
        <f t="shared" si="607"/>
        <v>2</v>
      </c>
      <c r="BG1121" s="4">
        <f t="shared" si="608"/>
        <v>4</v>
      </c>
      <c r="BH1121" s="4">
        <f t="shared" si="609"/>
        <v>4</v>
      </c>
      <c r="BI1121" s="4">
        <f t="shared" si="610"/>
        <v>4</v>
      </c>
      <c r="BJ1121" s="4">
        <f t="shared" si="611"/>
        <v>2</v>
      </c>
      <c r="BK1121" s="4">
        <f t="shared" si="612"/>
        <v>4</v>
      </c>
      <c r="BL1121" s="4">
        <f t="shared" si="613"/>
        <v>2</v>
      </c>
      <c r="BM1121" s="4" t="str">
        <f t="shared" si="614"/>
        <v>0</v>
      </c>
      <c r="BN1121" s="4">
        <f t="shared" si="615"/>
        <v>4</v>
      </c>
      <c r="BO1121" s="4">
        <f t="shared" si="616"/>
        <v>4</v>
      </c>
      <c r="BP1121" s="4">
        <f t="shared" si="617"/>
        <v>4</v>
      </c>
      <c r="BQ1121" s="4">
        <f t="shared" si="618"/>
        <v>6</v>
      </c>
      <c r="BR1121" s="4">
        <f t="shared" si="619"/>
        <v>4</v>
      </c>
      <c r="BS1121" s="4">
        <f t="shared" si="620"/>
        <v>4</v>
      </c>
      <c r="BT1121" s="4">
        <f t="shared" si="621"/>
        <v>4</v>
      </c>
      <c r="BU1121" s="4">
        <f t="shared" si="622"/>
        <v>4</v>
      </c>
      <c r="BV1121" s="4">
        <f t="shared" si="623"/>
        <v>0</v>
      </c>
      <c r="BW1121" s="4">
        <f t="shared" si="624"/>
        <v>6</v>
      </c>
      <c r="BX1121" s="4">
        <f t="shared" si="625"/>
        <v>0</v>
      </c>
      <c r="BY1121" s="4" t="str">
        <f t="shared" si="626"/>
        <v>0</v>
      </c>
      <c r="BZ1121" s="37">
        <f t="shared" si="627"/>
        <v>92</v>
      </c>
      <c r="CA1121" s="32" t="e">
        <f>VLOOKUP(J:J,'Agent wise'!A:C,3,0)</f>
        <v>#N/A</v>
      </c>
      <c r="CB1121" s="32">
        <f t="shared" si="628"/>
        <v>45949</v>
      </c>
      <c r="CC1121" t="str">
        <f t="shared" si="629"/>
        <v>Good</v>
      </c>
      <c r="CE1121" s="32"/>
      <c r="CJ1121">
        <f t="shared" si="630"/>
        <v>19</v>
      </c>
      <c r="CK1121">
        <f t="shared" si="631"/>
        <v>10</v>
      </c>
      <c r="CL1121">
        <f t="shared" si="632"/>
        <v>2025</v>
      </c>
    </row>
    <row r="1122" spans="1:90" ht="15" customHeight="1" x14ac:dyDescent="0.35">
      <c r="A1122" t="s">
        <v>2773</v>
      </c>
      <c r="B1122" t="s">
        <v>100</v>
      </c>
      <c r="C1122" t="s">
        <v>214</v>
      </c>
      <c r="D1122" t="s">
        <v>101</v>
      </c>
      <c r="E1122" s="32">
        <v>45949</v>
      </c>
      <c r="F1122" t="s">
        <v>54</v>
      </c>
      <c r="G1122" t="s">
        <v>2490</v>
      </c>
      <c r="H1122">
        <v>9961805535</v>
      </c>
      <c r="I1122">
        <v>150</v>
      </c>
      <c r="J1122" t="s">
        <v>2640</v>
      </c>
      <c r="K1122" t="s">
        <v>57</v>
      </c>
      <c r="L1122" t="s">
        <v>58</v>
      </c>
      <c r="M1122" t="s">
        <v>59</v>
      </c>
      <c r="N1122" t="s">
        <v>59</v>
      </c>
      <c r="O1122" t="s">
        <v>59</v>
      </c>
      <c r="P1122" t="s">
        <v>59</v>
      </c>
      <c r="Q1122" t="s">
        <v>59</v>
      </c>
      <c r="R1122" t="s">
        <v>59</v>
      </c>
      <c r="S1122" t="s">
        <v>59</v>
      </c>
      <c r="T1122" t="s">
        <v>59</v>
      </c>
      <c r="U1122" t="s">
        <v>60</v>
      </c>
      <c r="V1122" t="s">
        <v>59</v>
      </c>
      <c r="W1122" t="s">
        <v>59</v>
      </c>
      <c r="X1122" t="s">
        <v>59</v>
      </c>
      <c r="Y1122" t="s">
        <v>59</v>
      </c>
      <c r="Z1122" t="s">
        <v>59</v>
      </c>
      <c r="AA1122" t="s">
        <v>59</v>
      </c>
      <c r="AB1122" t="s">
        <v>59</v>
      </c>
      <c r="AC1122" t="s">
        <v>61</v>
      </c>
      <c r="AD1122" t="s">
        <v>60</v>
      </c>
      <c r="AE1122" t="s">
        <v>59</v>
      </c>
      <c r="AF1122" t="s">
        <v>59</v>
      </c>
      <c r="AG1122" t="s">
        <v>60</v>
      </c>
      <c r="AH1122" t="s">
        <v>61</v>
      </c>
      <c r="AI1122" t="s">
        <v>61</v>
      </c>
      <c r="AJ1122" t="s">
        <v>61</v>
      </c>
      <c r="AK1122" t="s">
        <v>61</v>
      </c>
      <c r="AL1122" t="s">
        <v>59</v>
      </c>
      <c r="AM1122" t="s">
        <v>59</v>
      </c>
      <c r="AN1122" t="s">
        <v>59</v>
      </c>
      <c r="AO1122" t="s">
        <v>60</v>
      </c>
      <c r="AP1122" t="s">
        <v>2774</v>
      </c>
      <c r="AQ1122" s="1" t="s">
        <v>2775</v>
      </c>
      <c r="AR1122" t="s">
        <v>64</v>
      </c>
      <c r="AS1122" t="s">
        <v>89</v>
      </c>
      <c r="AT1122" t="s">
        <v>105</v>
      </c>
      <c r="AU1122" t="s">
        <v>299</v>
      </c>
      <c r="AW1122" s="4">
        <f t="shared" si="598"/>
        <v>6</v>
      </c>
      <c r="AX1122" s="4">
        <f t="shared" si="599"/>
        <v>4</v>
      </c>
      <c r="AY1122" s="4">
        <f t="shared" si="600"/>
        <v>4</v>
      </c>
      <c r="AZ1122" s="4">
        <f t="shared" si="601"/>
        <v>2</v>
      </c>
      <c r="BA1122" s="4">
        <f t="shared" si="602"/>
        <v>4</v>
      </c>
      <c r="BB1122" s="4">
        <f t="shared" si="603"/>
        <v>4</v>
      </c>
      <c r="BC1122" s="4">
        <f t="shared" si="604"/>
        <v>4</v>
      </c>
      <c r="BD1122" s="4">
        <f t="shared" si="605"/>
        <v>2</v>
      </c>
      <c r="BE1122" s="4" t="str">
        <f t="shared" si="606"/>
        <v>0</v>
      </c>
      <c r="BF1122" s="4">
        <f t="shared" si="607"/>
        <v>2</v>
      </c>
      <c r="BG1122" s="4">
        <f t="shared" si="608"/>
        <v>4</v>
      </c>
      <c r="BH1122" s="4">
        <f t="shared" si="609"/>
        <v>4</v>
      </c>
      <c r="BI1122" s="4">
        <f t="shared" si="610"/>
        <v>4</v>
      </c>
      <c r="BJ1122" s="4">
        <f t="shared" si="611"/>
        <v>2</v>
      </c>
      <c r="BK1122" s="4">
        <f t="shared" si="612"/>
        <v>4</v>
      </c>
      <c r="BL1122" s="4">
        <f t="shared" si="613"/>
        <v>2</v>
      </c>
      <c r="BM1122" s="4">
        <f t="shared" si="614"/>
        <v>4</v>
      </c>
      <c r="BN1122" s="4" t="str">
        <f t="shared" si="615"/>
        <v>0</v>
      </c>
      <c r="BO1122" s="4">
        <f t="shared" si="616"/>
        <v>4</v>
      </c>
      <c r="BP1122" s="4">
        <f t="shared" si="617"/>
        <v>4</v>
      </c>
      <c r="BQ1122" s="4" t="str">
        <f t="shared" si="618"/>
        <v>0</v>
      </c>
      <c r="BR1122" s="4">
        <f t="shared" si="619"/>
        <v>4</v>
      </c>
      <c r="BS1122" s="4">
        <f t="shared" si="620"/>
        <v>4</v>
      </c>
      <c r="BT1122" s="4">
        <f t="shared" si="621"/>
        <v>4</v>
      </c>
      <c r="BU1122" s="4">
        <f t="shared" si="622"/>
        <v>4</v>
      </c>
      <c r="BV1122" s="4">
        <f t="shared" si="623"/>
        <v>0</v>
      </c>
      <c r="BW1122" s="4">
        <f t="shared" si="624"/>
        <v>6</v>
      </c>
      <c r="BX1122" s="4">
        <f t="shared" si="625"/>
        <v>0</v>
      </c>
      <c r="BY1122" s="4" t="str">
        <f t="shared" si="626"/>
        <v>0</v>
      </c>
      <c r="BZ1122" s="37">
        <f t="shared" si="627"/>
        <v>86</v>
      </c>
      <c r="CA1122" s="32" t="e">
        <f>VLOOKUP(J:J,'Agent wise'!A:C,3,0)</f>
        <v>#N/A</v>
      </c>
      <c r="CB1122" s="32">
        <f t="shared" si="628"/>
        <v>45949</v>
      </c>
      <c r="CC1122" t="str">
        <f t="shared" si="629"/>
        <v>Average</v>
      </c>
      <c r="CE1122" s="32"/>
      <c r="CJ1122">
        <f t="shared" si="630"/>
        <v>19</v>
      </c>
      <c r="CK1122">
        <f t="shared" si="631"/>
        <v>10</v>
      </c>
      <c r="CL1122">
        <f t="shared" si="632"/>
        <v>2025</v>
      </c>
    </row>
    <row r="1123" spans="1:90" ht="15" customHeight="1" x14ac:dyDescent="0.35">
      <c r="A1123" t="s">
        <v>2776</v>
      </c>
      <c r="B1123" t="s">
        <v>100</v>
      </c>
      <c r="C1123" t="s">
        <v>214</v>
      </c>
      <c r="D1123" t="s">
        <v>101</v>
      </c>
      <c r="E1123" s="32">
        <v>45949</v>
      </c>
      <c r="F1123" t="s">
        <v>54</v>
      </c>
      <c r="G1123" t="s">
        <v>2708</v>
      </c>
      <c r="H1123">
        <v>8281006995</v>
      </c>
      <c r="I1123">
        <v>167</v>
      </c>
      <c r="J1123" t="s">
        <v>2640</v>
      </c>
      <c r="K1123" t="s">
        <v>57</v>
      </c>
      <c r="L1123" t="s">
        <v>58</v>
      </c>
      <c r="M1123" t="s">
        <v>59</v>
      </c>
      <c r="N1123" t="s">
        <v>59</v>
      </c>
      <c r="O1123" t="s">
        <v>59</v>
      </c>
      <c r="P1123" t="s">
        <v>59</v>
      </c>
      <c r="Q1123" t="s">
        <v>59</v>
      </c>
      <c r="R1123" t="s">
        <v>60</v>
      </c>
      <c r="S1123" t="s">
        <v>59</v>
      </c>
      <c r="T1123" t="s">
        <v>59</v>
      </c>
      <c r="U1123" t="s">
        <v>60</v>
      </c>
      <c r="V1123" t="s">
        <v>59</v>
      </c>
      <c r="W1123" t="s">
        <v>59</v>
      </c>
      <c r="X1123" t="s">
        <v>61</v>
      </c>
      <c r="Y1123" t="s">
        <v>59</v>
      </c>
      <c r="Z1123" t="s">
        <v>59</v>
      </c>
      <c r="AA1123" t="s">
        <v>59</v>
      </c>
      <c r="AB1123" t="s">
        <v>59</v>
      </c>
      <c r="AC1123" t="s">
        <v>60</v>
      </c>
      <c r="AD1123" t="s">
        <v>59</v>
      </c>
      <c r="AE1123" t="s">
        <v>59</v>
      </c>
      <c r="AF1123" t="s">
        <v>61</v>
      </c>
      <c r="AG1123" t="s">
        <v>59</v>
      </c>
      <c r="AH1123" t="s">
        <v>61</v>
      </c>
      <c r="AI1123" t="s">
        <v>61</v>
      </c>
      <c r="AJ1123" t="s">
        <v>59</v>
      </c>
      <c r="AK1123" t="s">
        <v>61</v>
      </c>
      <c r="AL1123" t="s">
        <v>59</v>
      </c>
      <c r="AM1123" t="s">
        <v>2271</v>
      </c>
      <c r="AN1123" t="s">
        <v>60</v>
      </c>
      <c r="AO1123" t="s">
        <v>60</v>
      </c>
      <c r="AP1123" t="s">
        <v>2771</v>
      </c>
      <c r="AQ1123" s="1" t="s">
        <v>2777</v>
      </c>
      <c r="AR1123" t="s">
        <v>64</v>
      </c>
      <c r="AS1123" t="s">
        <v>352</v>
      </c>
      <c r="AT1123" t="s">
        <v>352</v>
      </c>
      <c r="AU1123" t="s">
        <v>299</v>
      </c>
      <c r="AW1123" s="4">
        <f t="shared" si="598"/>
        <v>6</v>
      </c>
      <c r="AX1123" s="4">
        <f t="shared" si="599"/>
        <v>4</v>
      </c>
      <c r="AY1123" s="4">
        <f t="shared" si="600"/>
        <v>4</v>
      </c>
      <c r="AZ1123" s="4">
        <f t="shared" si="601"/>
        <v>2</v>
      </c>
      <c r="BA1123" s="4">
        <f t="shared" si="602"/>
        <v>4</v>
      </c>
      <c r="BB1123" s="4" t="str">
        <f t="shared" si="603"/>
        <v>0</v>
      </c>
      <c r="BC1123" s="4">
        <f t="shared" si="604"/>
        <v>4</v>
      </c>
      <c r="BD1123" s="4">
        <f t="shared" si="605"/>
        <v>2</v>
      </c>
      <c r="BE1123" s="4" t="str">
        <f t="shared" si="606"/>
        <v>0</v>
      </c>
      <c r="BF1123" s="4">
        <f t="shared" si="607"/>
        <v>2</v>
      </c>
      <c r="BG1123" s="4">
        <f t="shared" si="608"/>
        <v>4</v>
      </c>
      <c r="BH1123" s="4">
        <f t="shared" si="609"/>
        <v>4</v>
      </c>
      <c r="BI1123" s="4">
        <f t="shared" si="610"/>
        <v>4</v>
      </c>
      <c r="BJ1123" s="4">
        <f t="shared" si="611"/>
        <v>2</v>
      </c>
      <c r="BK1123" s="4">
        <f t="shared" si="612"/>
        <v>4</v>
      </c>
      <c r="BL1123" s="4">
        <f t="shared" si="613"/>
        <v>2</v>
      </c>
      <c r="BM1123" s="4" t="str">
        <f t="shared" si="614"/>
        <v>0</v>
      </c>
      <c r="BN1123" s="4">
        <f t="shared" si="615"/>
        <v>4</v>
      </c>
      <c r="BO1123" s="4">
        <f t="shared" si="616"/>
        <v>4</v>
      </c>
      <c r="BP1123" s="4">
        <f t="shared" si="617"/>
        <v>4</v>
      </c>
      <c r="BQ1123" s="4">
        <f t="shared" si="618"/>
        <v>6</v>
      </c>
      <c r="BR1123" s="4">
        <f t="shared" si="619"/>
        <v>4</v>
      </c>
      <c r="BS1123" s="4">
        <f t="shared" si="620"/>
        <v>4</v>
      </c>
      <c r="BT1123" s="4">
        <f t="shared" si="621"/>
        <v>4</v>
      </c>
      <c r="BU1123" s="4">
        <f t="shared" si="622"/>
        <v>4</v>
      </c>
      <c r="BV1123" s="4">
        <f t="shared" si="623"/>
        <v>0</v>
      </c>
      <c r="BW1123" s="4" t="str">
        <f t="shared" si="624"/>
        <v>0</v>
      </c>
      <c r="BX1123" s="4" t="str">
        <f t="shared" si="625"/>
        <v>0</v>
      </c>
      <c r="BY1123" s="4" t="str">
        <f t="shared" si="626"/>
        <v>0</v>
      </c>
      <c r="BZ1123" s="37">
        <f t="shared" si="627"/>
        <v>82</v>
      </c>
      <c r="CA1123" s="32" t="e">
        <f>VLOOKUP(J:J,'Agent wise'!A:C,3,0)</f>
        <v>#N/A</v>
      </c>
      <c r="CB1123" s="32">
        <f t="shared" si="628"/>
        <v>45949</v>
      </c>
      <c r="CC1123" t="str">
        <f t="shared" si="629"/>
        <v>FC</v>
      </c>
      <c r="CE1123" s="32"/>
      <c r="CJ1123">
        <f t="shared" si="630"/>
        <v>19</v>
      </c>
      <c r="CK1123">
        <f t="shared" si="631"/>
        <v>10</v>
      </c>
      <c r="CL1123">
        <f t="shared" si="632"/>
        <v>2025</v>
      </c>
    </row>
    <row r="1124" spans="1:90" ht="15" customHeight="1" x14ac:dyDescent="0.35">
      <c r="A1124" t="s">
        <v>2778</v>
      </c>
      <c r="B1124" t="s">
        <v>100</v>
      </c>
      <c r="C1124" t="s">
        <v>214</v>
      </c>
      <c r="D1124" t="s">
        <v>101</v>
      </c>
      <c r="E1124" s="32">
        <v>45949</v>
      </c>
      <c r="F1124" t="s">
        <v>54</v>
      </c>
      <c r="G1124" t="s">
        <v>2708</v>
      </c>
      <c r="H1124">
        <v>9400259099</v>
      </c>
      <c r="I1124">
        <v>194</v>
      </c>
      <c r="J1124" t="s">
        <v>2640</v>
      </c>
      <c r="K1124" t="s">
        <v>57</v>
      </c>
      <c r="L1124" t="s">
        <v>58</v>
      </c>
      <c r="M1124" t="s">
        <v>59</v>
      </c>
      <c r="N1124" t="s">
        <v>59</v>
      </c>
      <c r="O1124" t="s">
        <v>59</v>
      </c>
      <c r="P1124" t="s">
        <v>59</v>
      </c>
      <c r="Q1124" t="s">
        <v>59</v>
      </c>
      <c r="R1124" t="s">
        <v>59</v>
      </c>
      <c r="S1124" t="s">
        <v>59</v>
      </c>
      <c r="T1124" t="s">
        <v>59</v>
      </c>
      <c r="U1124" t="s">
        <v>59</v>
      </c>
      <c r="V1124" t="s">
        <v>59</v>
      </c>
      <c r="W1124" t="s">
        <v>59</v>
      </c>
      <c r="X1124" t="s">
        <v>61</v>
      </c>
      <c r="Y1124" t="s">
        <v>59</v>
      </c>
      <c r="Z1124" t="s">
        <v>59</v>
      </c>
      <c r="AA1124" t="s">
        <v>60</v>
      </c>
      <c r="AB1124" t="s">
        <v>59</v>
      </c>
      <c r="AC1124" t="s">
        <v>60</v>
      </c>
      <c r="AD1124" t="s">
        <v>59</v>
      </c>
      <c r="AE1124" t="s">
        <v>59</v>
      </c>
      <c r="AF1124" t="s">
        <v>59</v>
      </c>
      <c r="AG1124" t="s">
        <v>59</v>
      </c>
      <c r="AH1124" t="s">
        <v>61</v>
      </c>
      <c r="AI1124" t="s">
        <v>61</v>
      </c>
      <c r="AJ1124" t="s">
        <v>59</v>
      </c>
      <c r="AK1124" t="s">
        <v>61</v>
      </c>
      <c r="AL1124" t="s">
        <v>59</v>
      </c>
      <c r="AM1124" t="s">
        <v>59</v>
      </c>
      <c r="AN1124" t="s">
        <v>59</v>
      </c>
      <c r="AO1124" t="s">
        <v>59</v>
      </c>
      <c r="AP1124" t="s">
        <v>2779</v>
      </c>
      <c r="AQ1124" s="1" t="s">
        <v>2780</v>
      </c>
      <c r="AR1124" t="s">
        <v>64</v>
      </c>
      <c r="AS1124" t="s">
        <v>171</v>
      </c>
      <c r="AT1124" t="s">
        <v>190</v>
      </c>
      <c r="AU1124" t="s">
        <v>299</v>
      </c>
      <c r="AW1124" s="4">
        <f t="shared" si="598"/>
        <v>6</v>
      </c>
      <c r="AX1124" s="4">
        <f t="shared" si="599"/>
        <v>4</v>
      </c>
      <c r="AY1124" s="4">
        <f t="shared" si="600"/>
        <v>4</v>
      </c>
      <c r="AZ1124" s="4">
        <f t="shared" si="601"/>
        <v>2</v>
      </c>
      <c r="BA1124" s="4">
        <f t="shared" si="602"/>
        <v>4</v>
      </c>
      <c r="BB1124" s="4">
        <f t="shared" si="603"/>
        <v>4</v>
      </c>
      <c r="BC1124" s="4">
        <f t="shared" si="604"/>
        <v>4</v>
      </c>
      <c r="BD1124" s="4">
        <f t="shared" si="605"/>
        <v>2</v>
      </c>
      <c r="BE1124" s="4">
        <f t="shared" si="606"/>
        <v>4</v>
      </c>
      <c r="BF1124" s="4">
        <f t="shared" si="607"/>
        <v>2</v>
      </c>
      <c r="BG1124" s="4">
        <f t="shared" si="608"/>
        <v>4</v>
      </c>
      <c r="BH1124" s="4">
        <f t="shared" si="609"/>
        <v>4</v>
      </c>
      <c r="BI1124" s="4">
        <f t="shared" si="610"/>
        <v>4</v>
      </c>
      <c r="BJ1124" s="4">
        <f t="shared" si="611"/>
        <v>2</v>
      </c>
      <c r="BK1124" s="4" t="str">
        <f t="shared" si="612"/>
        <v>0</v>
      </c>
      <c r="BL1124" s="4">
        <f t="shared" si="613"/>
        <v>2</v>
      </c>
      <c r="BM1124" s="4" t="str">
        <f t="shared" si="614"/>
        <v>0</v>
      </c>
      <c r="BN1124" s="4">
        <f t="shared" si="615"/>
        <v>4</v>
      </c>
      <c r="BO1124" s="4">
        <f t="shared" si="616"/>
        <v>4</v>
      </c>
      <c r="BP1124" s="4">
        <f t="shared" si="617"/>
        <v>4</v>
      </c>
      <c r="BQ1124" s="4">
        <f t="shared" si="618"/>
        <v>6</v>
      </c>
      <c r="BR1124" s="4">
        <f t="shared" si="619"/>
        <v>4</v>
      </c>
      <c r="BS1124" s="4">
        <f t="shared" si="620"/>
        <v>4</v>
      </c>
      <c r="BT1124" s="4">
        <f t="shared" si="621"/>
        <v>4</v>
      </c>
      <c r="BU1124" s="4">
        <f t="shared" si="622"/>
        <v>4</v>
      </c>
      <c r="BV1124" s="4">
        <f t="shared" si="623"/>
        <v>0</v>
      </c>
      <c r="BW1124" s="4">
        <f t="shared" si="624"/>
        <v>6</v>
      </c>
      <c r="BX1124" s="4">
        <f t="shared" si="625"/>
        <v>0</v>
      </c>
      <c r="BY1124" s="4">
        <f t="shared" si="626"/>
        <v>0</v>
      </c>
      <c r="BZ1124" s="37">
        <f t="shared" si="627"/>
        <v>92</v>
      </c>
      <c r="CA1124" s="32" t="e">
        <f>VLOOKUP(J:J,'Agent wise'!A:C,3,0)</f>
        <v>#N/A</v>
      </c>
      <c r="CB1124" s="32">
        <f t="shared" si="628"/>
        <v>45949</v>
      </c>
      <c r="CC1124" t="str">
        <f t="shared" si="629"/>
        <v>Good</v>
      </c>
      <c r="CE1124" s="32"/>
      <c r="CJ1124">
        <f t="shared" si="630"/>
        <v>19</v>
      </c>
      <c r="CK1124">
        <f t="shared" si="631"/>
        <v>10</v>
      </c>
      <c r="CL1124">
        <f t="shared" si="632"/>
        <v>2025</v>
      </c>
    </row>
    <row r="1125" spans="1:90" ht="15" customHeight="1" x14ac:dyDescent="0.35">
      <c r="A1125" t="s">
        <v>2781</v>
      </c>
      <c r="B1125" t="s">
        <v>100</v>
      </c>
      <c r="C1125" t="s">
        <v>214</v>
      </c>
      <c r="D1125" t="s">
        <v>101</v>
      </c>
      <c r="E1125" s="32">
        <v>45949</v>
      </c>
      <c r="F1125" t="s">
        <v>222</v>
      </c>
      <c r="G1125" t="s">
        <v>2708</v>
      </c>
      <c r="H1125">
        <v>9745586200</v>
      </c>
      <c r="I1125">
        <v>200</v>
      </c>
      <c r="J1125" t="s">
        <v>2640</v>
      </c>
      <c r="K1125" t="s">
        <v>57</v>
      </c>
      <c r="L1125" t="s">
        <v>58</v>
      </c>
      <c r="M1125" t="s">
        <v>59</v>
      </c>
      <c r="N1125" t="s">
        <v>59</v>
      </c>
      <c r="O1125" t="s">
        <v>59</v>
      </c>
      <c r="P1125" t="s">
        <v>59</v>
      </c>
      <c r="Q1125" t="s">
        <v>59</v>
      </c>
      <c r="R1125" t="s">
        <v>59</v>
      </c>
      <c r="S1125" t="s">
        <v>59</v>
      </c>
      <c r="T1125" t="s">
        <v>59</v>
      </c>
      <c r="U1125" t="s">
        <v>59</v>
      </c>
      <c r="V1125" t="s">
        <v>59</v>
      </c>
      <c r="W1125" t="s">
        <v>59</v>
      </c>
      <c r="X1125" t="s">
        <v>59</v>
      </c>
      <c r="Y1125" t="s">
        <v>59</v>
      </c>
      <c r="Z1125" t="s">
        <v>59</v>
      </c>
      <c r="AA1125" t="s">
        <v>60</v>
      </c>
      <c r="AB1125" t="s">
        <v>59</v>
      </c>
      <c r="AC1125" t="s">
        <v>60</v>
      </c>
      <c r="AD1125" t="s">
        <v>59</v>
      </c>
      <c r="AE1125" t="s">
        <v>59</v>
      </c>
      <c r="AF1125" t="s">
        <v>61</v>
      </c>
      <c r="AG1125" t="s">
        <v>59</v>
      </c>
      <c r="AH1125" t="s">
        <v>61</v>
      </c>
      <c r="AI1125" t="s">
        <v>61</v>
      </c>
      <c r="AJ1125" t="s">
        <v>59</v>
      </c>
      <c r="AK1125" t="s">
        <v>59</v>
      </c>
      <c r="AL1125" t="s">
        <v>59</v>
      </c>
      <c r="AM1125" t="s">
        <v>59</v>
      </c>
      <c r="AN1125" t="s">
        <v>59</v>
      </c>
      <c r="AO1125" t="s">
        <v>59</v>
      </c>
      <c r="AP1125" t="s">
        <v>2779</v>
      </c>
      <c r="AQ1125" s="1" t="s">
        <v>2782</v>
      </c>
      <c r="AR1125" t="s">
        <v>64</v>
      </c>
      <c r="AS1125" t="s">
        <v>352</v>
      </c>
      <c r="AT1125" t="s">
        <v>352</v>
      </c>
      <c r="AU1125" t="s">
        <v>299</v>
      </c>
      <c r="AW1125" s="4">
        <f t="shared" si="598"/>
        <v>6</v>
      </c>
      <c r="AX1125" s="4">
        <f t="shared" si="599"/>
        <v>4</v>
      </c>
      <c r="AY1125" s="4">
        <f t="shared" si="600"/>
        <v>4</v>
      </c>
      <c r="AZ1125" s="4">
        <f t="shared" si="601"/>
        <v>2</v>
      </c>
      <c r="BA1125" s="4">
        <f t="shared" si="602"/>
        <v>4</v>
      </c>
      <c r="BB1125" s="4">
        <f t="shared" si="603"/>
        <v>4</v>
      </c>
      <c r="BC1125" s="4">
        <f t="shared" si="604"/>
        <v>4</v>
      </c>
      <c r="BD1125" s="4">
        <f t="shared" si="605"/>
        <v>2</v>
      </c>
      <c r="BE1125" s="4">
        <f t="shared" si="606"/>
        <v>4</v>
      </c>
      <c r="BF1125" s="4">
        <f t="shared" si="607"/>
        <v>2</v>
      </c>
      <c r="BG1125" s="4">
        <f t="shared" si="608"/>
        <v>4</v>
      </c>
      <c r="BH1125" s="4">
        <f t="shared" si="609"/>
        <v>4</v>
      </c>
      <c r="BI1125" s="4">
        <f t="shared" si="610"/>
        <v>4</v>
      </c>
      <c r="BJ1125" s="4">
        <f t="shared" si="611"/>
        <v>2</v>
      </c>
      <c r="BK1125" s="4" t="str">
        <f t="shared" si="612"/>
        <v>0</v>
      </c>
      <c r="BL1125" s="4">
        <f t="shared" si="613"/>
        <v>2</v>
      </c>
      <c r="BM1125" s="4" t="str">
        <f t="shared" si="614"/>
        <v>0</v>
      </c>
      <c r="BN1125" s="4">
        <f t="shared" si="615"/>
        <v>4</v>
      </c>
      <c r="BO1125" s="4">
        <f t="shared" si="616"/>
        <v>4</v>
      </c>
      <c r="BP1125" s="4">
        <f t="shared" si="617"/>
        <v>4</v>
      </c>
      <c r="BQ1125" s="4">
        <f t="shared" si="618"/>
        <v>6</v>
      </c>
      <c r="BR1125" s="4">
        <f t="shared" si="619"/>
        <v>4</v>
      </c>
      <c r="BS1125" s="4">
        <f t="shared" si="620"/>
        <v>4</v>
      </c>
      <c r="BT1125" s="4">
        <f t="shared" si="621"/>
        <v>4</v>
      </c>
      <c r="BU1125" s="4">
        <f t="shared" si="622"/>
        <v>4</v>
      </c>
      <c r="BV1125" s="4">
        <f t="shared" si="623"/>
        <v>0</v>
      </c>
      <c r="BW1125" s="4">
        <f t="shared" si="624"/>
        <v>6</v>
      </c>
      <c r="BX1125" s="4">
        <f t="shared" si="625"/>
        <v>0</v>
      </c>
      <c r="BY1125" s="4">
        <f t="shared" si="626"/>
        <v>0</v>
      </c>
      <c r="BZ1125" s="37">
        <f t="shared" si="627"/>
        <v>92</v>
      </c>
      <c r="CA1125" s="32" t="e">
        <f>VLOOKUP(J:J,'Agent wise'!A:C,3,0)</f>
        <v>#N/A</v>
      </c>
      <c r="CB1125" s="32">
        <f t="shared" si="628"/>
        <v>45949</v>
      </c>
      <c r="CC1125" t="str">
        <f t="shared" si="629"/>
        <v>Good</v>
      </c>
      <c r="CE1125" s="32"/>
      <c r="CJ1125">
        <f t="shared" si="630"/>
        <v>19</v>
      </c>
      <c r="CK1125">
        <f t="shared" si="631"/>
        <v>10</v>
      </c>
      <c r="CL1125">
        <f t="shared" si="632"/>
        <v>2025</v>
      </c>
    </row>
    <row r="1126" spans="1:90" ht="15" customHeight="1" x14ac:dyDescent="0.35">
      <c r="A1126" t="s">
        <v>2783</v>
      </c>
      <c r="B1126" t="s">
        <v>100</v>
      </c>
      <c r="C1126" t="s">
        <v>214</v>
      </c>
      <c r="D1126" t="s">
        <v>101</v>
      </c>
      <c r="E1126" s="32">
        <v>45949</v>
      </c>
      <c r="F1126" t="s">
        <v>222</v>
      </c>
      <c r="G1126" t="s">
        <v>2708</v>
      </c>
      <c r="H1126">
        <v>8089173637</v>
      </c>
      <c r="I1126">
        <v>177</v>
      </c>
      <c r="J1126" t="s">
        <v>2640</v>
      </c>
      <c r="K1126" t="s">
        <v>57</v>
      </c>
      <c r="L1126" t="s">
        <v>58</v>
      </c>
      <c r="M1126" t="s">
        <v>60</v>
      </c>
      <c r="N1126" t="s">
        <v>59</v>
      </c>
      <c r="O1126" t="s">
        <v>59</v>
      </c>
      <c r="P1126" t="s">
        <v>59</v>
      </c>
      <c r="Q1126" t="s">
        <v>59</v>
      </c>
      <c r="R1126" t="s">
        <v>59</v>
      </c>
      <c r="S1126" t="s">
        <v>59</v>
      </c>
      <c r="T1126" t="s">
        <v>59</v>
      </c>
      <c r="U1126" t="s">
        <v>59</v>
      </c>
      <c r="V1126" t="s">
        <v>59</v>
      </c>
      <c r="W1126" t="s">
        <v>59</v>
      </c>
      <c r="X1126" t="s">
        <v>59</v>
      </c>
      <c r="Y1126" t="s">
        <v>59</v>
      </c>
      <c r="Z1126" t="s">
        <v>59</v>
      </c>
      <c r="AA1126" t="s">
        <v>59</v>
      </c>
      <c r="AB1126" t="s">
        <v>59</v>
      </c>
      <c r="AC1126" t="s">
        <v>59</v>
      </c>
      <c r="AD1126" t="s">
        <v>59</v>
      </c>
      <c r="AE1126" t="s">
        <v>59</v>
      </c>
      <c r="AF1126" t="s">
        <v>61</v>
      </c>
      <c r="AG1126" t="s">
        <v>59</v>
      </c>
      <c r="AH1126" t="s">
        <v>61</v>
      </c>
      <c r="AI1126" t="s">
        <v>61</v>
      </c>
      <c r="AJ1126" t="s">
        <v>59</v>
      </c>
      <c r="AK1126" t="s">
        <v>61</v>
      </c>
      <c r="AL1126" t="s">
        <v>59</v>
      </c>
      <c r="AM1126" t="s">
        <v>59</v>
      </c>
      <c r="AN1126" t="s">
        <v>59</v>
      </c>
      <c r="AO1126" t="s">
        <v>59</v>
      </c>
      <c r="AP1126" t="s">
        <v>2784</v>
      </c>
      <c r="AQ1126" s="1" t="s">
        <v>2785</v>
      </c>
      <c r="AR1126" t="s">
        <v>226</v>
      </c>
      <c r="AS1126" t="s">
        <v>352</v>
      </c>
      <c r="AT1126" t="s">
        <v>352</v>
      </c>
      <c r="AU1126" t="s">
        <v>299</v>
      </c>
      <c r="AW1126" s="4" t="str">
        <f t="shared" si="598"/>
        <v>0</v>
      </c>
      <c r="AX1126" s="4">
        <f t="shared" si="599"/>
        <v>4</v>
      </c>
      <c r="AY1126" s="4">
        <f t="shared" si="600"/>
        <v>4</v>
      </c>
      <c r="AZ1126" s="4">
        <f t="shared" si="601"/>
        <v>2</v>
      </c>
      <c r="BA1126" s="4">
        <f t="shared" si="602"/>
        <v>4</v>
      </c>
      <c r="BB1126" s="4">
        <f t="shared" si="603"/>
        <v>4</v>
      </c>
      <c r="BC1126" s="4">
        <f t="shared" si="604"/>
        <v>4</v>
      </c>
      <c r="BD1126" s="4">
        <f t="shared" si="605"/>
        <v>2</v>
      </c>
      <c r="BE1126" s="4">
        <f t="shared" si="606"/>
        <v>4</v>
      </c>
      <c r="BF1126" s="4">
        <f t="shared" si="607"/>
        <v>2</v>
      </c>
      <c r="BG1126" s="4">
        <f t="shared" si="608"/>
        <v>4</v>
      </c>
      <c r="BH1126" s="4">
        <f t="shared" si="609"/>
        <v>4</v>
      </c>
      <c r="BI1126" s="4">
        <f t="shared" si="610"/>
        <v>4</v>
      </c>
      <c r="BJ1126" s="4">
        <f t="shared" si="611"/>
        <v>2</v>
      </c>
      <c r="BK1126" s="4">
        <f t="shared" si="612"/>
        <v>4</v>
      </c>
      <c r="BL1126" s="4">
        <f t="shared" si="613"/>
        <v>2</v>
      </c>
      <c r="BM1126" s="4">
        <f t="shared" si="614"/>
        <v>4</v>
      </c>
      <c r="BN1126" s="4">
        <f t="shared" si="615"/>
        <v>4</v>
      </c>
      <c r="BO1126" s="4">
        <f t="shared" si="616"/>
        <v>4</v>
      </c>
      <c r="BP1126" s="4">
        <f t="shared" si="617"/>
        <v>4</v>
      </c>
      <c r="BQ1126" s="4">
        <f t="shared" si="618"/>
        <v>6</v>
      </c>
      <c r="BR1126" s="4">
        <f t="shared" si="619"/>
        <v>4</v>
      </c>
      <c r="BS1126" s="4">
        <f t="shared" si="620"/>
        <v>4</v>
      </c>
      <c r="BT1126" s="4">
        <f t="shared" si="621"/>
        <v>4</v>
      </c>
      <c r="BU1126" s="4">
        <f t="shared" si="622"/>
        <v>4</v>
      </c>
      <c r="BV1126" s="4">
        <f t="shared" si="623"/>
        <v>0</v>
      </c>
      <c r="BW1126" s="4">
        <f t="shared" si="624"/>
        <v>6</v>
      </c>
      <c r="BX1126" s="4">
        <f t="shared" si="625"/>
        <v>0</v>
      </c>
      <c r="BY1126" s="4">
        <f t="shared" si="626"/>
        <v>0</v>
      </c>
      <c r="BZ1126" s="37">
        <f t="shared" si="627"/>
        <v>94</v>
      </c>
      <c r="CA1126" s="32" t="e">
        <f>VLOOKUP(J:J,'Agent wise'!A:C,3,0)</f>
        <v>#N/A</v>
      </c>
      <c r="CB1126" s="32">
        <f t="shared" si="628"/>
        <v>45949</v>
      </c>
      <c r="CC1126" t="str">
        <f t="shared" si="629"/>
        <v>Good</v>
      </c>
      <c r="CE1126" s="32"/>
      <c r="CJ1126">
        <f t="shared" si="630"/>
        <v>19</v>
      </c>
      <c r="CK1126">
        <f t="shared" si="631"/>
        <v>10</v>
      </c>
      <c r="CL1126">
        <f t="shared" si="632"/>
        <v>2025</v>
      </c>
    </row>
    <row r="1127" spans="1:90" ht="15" customHeight="1" x14ac:dyDescent="0.35">
      <c r="A1127" t="s">
        <v>2786</v>
      </c>
      <c r="B1127" t="s">
        <v>106</v>
      </c>
      <c r="C1127" t="s">
        <v>214</v>
      </c>
      <c r="D1127" t="s">
        <v>107</v>
      </c>
      <c r="E1127" s="32">
        <v>45949</v>
      </c>
      <c r="F1127" t="s">
        <v>54</v>
      </c>
      <c r="G1127" t="s">
        <v>2708</v>
      </c>
      <c r="H1127">
        <v>9715943857</v>
      </c>
      <c r="I1127">
        <v>135</v>
      </c>
      <c r="J1127" t="s">
        <v>139</v>
      </c>
      <c r="K1127" t="s">
        <v>71</v>
      </c>
      <c r="L1127" t="s">
        <v>72</v>
      </c>
      <c r="M1127" t="s">
        <v>59</v>
      </c>
      <c r="N1127" t="s">
        <v>59</v>
      </c>
      <c r="O1127" t="s">
        <v>59</v>
      </c>
      <c r="P1127" t="s">
        <v>59</v>
      </c>
      <c r="Q1127" t="s">
        <v>59</v>
      </c>
      <c r="R1127" t="s">
        <v>59</v>
      </c>
      <c r="S1127" t="s">
        <v>59</v>
      </c>
      <c r="T1127" t="s">
        <v>59</v>
      </c>
      <c r="U1127" t="s">
        <v>59</v>
      </c>
      <c r="V1127" t="s">
        <v>59</v>
      </c>
      <c r="W1127" t="s">
        <v>59</v>
      </c>
      <c r="X1127" t="s">
        <v>61</v>
      </c>
      <c r="Y1127" t="s">
        <v>59</v>
      </c>
      <c r="Z1127" t="s">
        <v>59</v>
      </c>
      <c r="AA1127" t="s">
        <v>59</v>
      </c>
      <c r="AB1127" t="s">
        <v>59</v>
      </c>
      <c r="AC1127" t="s">
        <v>59</v>
      </c>
      <c r="AD1127" t="s">
        <v>61</v>
      </c>
      <c r="AE1127" t="s">
        <v>59</v>
      </c>
      <c r="AF1127" t="s">
        <v>61</v>
      </c>
      <c r="AG1127" t="s">
        <v>59</v>
      </c>
      <c r="AH1127" t="s">
        <v>61</v>
      </c>
      <c r="AI1127" t="s">
        <v>61</v>
      </c>
      <c r="AJ1127" t="s">
        <v>59</v>
      </c>
      <c r="AK1127" t="s">
        <v>59</v>
      </c>
      <c r="AL1127" t="s">
        <v>60</v>
      </c>
      <c r="AM1127" t="s">
        <v>59</v>
      </c>
      <c r="AN1127" t="s">
        <v>59</v>
      </c>
      <c r="AO1127" t="s">
        <v>59</v>
      </c>
      <c r="AP1127" t="s">
        <v>563</v>
      </c>
      <c r="AQ1127" t="s">
        <v>2787</v>
      </c>
      <c r="AR1127" t="s">
        <v>64</v>
      </c>
      <c r="AS1127" t="s">
        <v>457</v>
      </c>
      <c r="AT1127" t="s">
        <v>498</v>
      </c>
      <c r="AU1127" t="s">
        <v>219</v>
      </c>
      <c r="AW1127" s="4">
        <f t="shared" si="598"/>
        <v>6</v>
      </c>
      <c r="AX1127" s="4">
        <f t="shared" si="599"/>
        <v>4</v>
      </c>
      <c r="AY1127" s="4">
        <f t="shared" si="600"/>
        <v>4</v>
      </c>
      <c r="AZ1127" s="4">
        <f t="shared" si="601"/>
        <v>2</v>
      </c>
      <c r="BA1127" s="4">
        <f t="shared" si="602"/>
        <v>4</v>
      </c>
      <c r="BB1127" s="4">
        <f t="shared" si="603"/>
        <v>4</v>
      </c>
      <c r="BC1127" s="4">
        <f t="shared" si="604"/>
        <v>4</v>
      </c>
      <c r="BD1127" s="4">
        <f t="shared" si="605"/>
        <v>2</v>
      </c>
      <c r="BE1127" s="4">
        <f t="shared" si="606"/>
        <v>4</v>
      </c>
      <c r="BF1127" s="4">
        <f t="shared" si="607"/>
        <v>2</v>
      </c>
      <c r="BG1127" s="4">
        <f t="shared" si="608"/>
        <v>4</v>
      </c>
      <c r="BH1127" s="4">
        <f t="shared" si="609"/>
        <v>4</v>
      </c>
      <c r="BI1127" s="4">
        <f t="shared" si="610"/>
        <v>4</v>
      </c>
      <c r="BJ1127" s="4">
        <f t="shared" si="611"/>
        <v>2</v>
      </c>
      <c r="BK1127" s="4">
        <f t="shared" si="612"/>
        <v>4</v>
      </c>
      <c r="BL1127" s="4">
        <f t="shared" si="613"/>
        <v>2</v>
      </c>
      <c r="BM1127" s="4">
        <f t="shared" si="614"/>
        <v>4</v>
      </c>
      <c r="BN1127" s="4">
        <f t="shared" si="615"/>
        <v>4</v>
      </c>
      <c r="BO1127" s="4">
        <f t="shared" si="616"/>
        <v>4</v>
      </c>
      <c r="BP1127" s="4">
        <f t="shared" si="617"/>
        <v>4</v>
      </c>
      <c r="BQ1127" s="4">
        <f t="shared" si="618"/>
        <v>6</v>
      </c>
      <c r="BR1127" s="4">
        <f t="shared" si="619"/>
        <v>4</v>
      </c>
      <c r="BS1127" s="4">
        <f t="shared" si="620"/>
        <v>4</v>
      </c>
      <c r="BT1127" s="4">
        <f t="shared" si="621"/>
        <v>4</v>
      </c>
      <c r="BU1127" s="4">
        <f t="shared" si="622"/>
        <v>4</v>
      </c>
      <c r="BV1127" s="4" t="str">
        <f t="shared" si="623"/>
        <v>0</v>
      </c>
      <c r="BW1127" s="4">
        <f t="shared" si="624"/>
        <v>6</v>
      </c>
      <c r="BX1127" s="4">
        <f t="shared" si="625"/>
        <v>0</v>
      </c>
      <c r="BY1127" s="4">
        <f t="shared" si="626"/>
        <v>0</v>
      </c>
      <c r="BZ1127" s="37">
        <f t="shared" si="627"/>
        <v>100</v>
      </c>
      <c r="CA1127" s="32" t="str">
        <f>VLOOKUP(J:J,'Agent wise'!A:C,3,0)</f>
        <v>Shakeer</v>
      </c>
      <c r="CB1127" s="32">
        <f t="shared" si="628"/>
        <v>45949</v>
      </c>
      <c r="CC1127" t="str">
        <f t="shared" si="629"/>
        <v>Excellent</v>
      </c>
      <c r="CE1127" s="32"/>
      <c r="CJ1127">
        <f t="shared" si="630"/>
        <v>19</v>
      </c>
      <c r="CK1127">
        <f t="shared" si="631"/>
        <v>10</v>
      </c>
      <c r="CL1127">
        <f t="shared" si="632"/>
        <v>2025</v>
      </c>
    </row>
    <row r="1128" spans="1:90" ht="15" customHeight="1" x14ac:dyDescent="0.35">
      <c r="A1128" t="s">
        <v>2788</v>
      </c>
      <c r="B1128" t="s">
        <v>106</v>
      </c>
      <c r="C1128" t="s">
        <v>214</v>
      </c>
      <c r="D1128" t="s">
        <v>107</v>
      </c>
      <c r="E1128" s="32">
        <v>45949</v>
      </c>
      <c r="F1128" t="s">
        <v>54</v>
      </c>
      <c r="G1128" t="s">
        <v>2708</v>
      </c>
      <c r="H1128">
        <v>8903901389</v>
      </c>
      <c r="I1128">
        <v>200</v>
      </c>
      <c r="J1128" t="s">
        <v>139</v>
      </c>
      <c r="K1128" t="s">
        <v>71</v>
      </c>
      <c r="L1128" t="s">
        <v>72</v>
      </c>
      <c r="M1128" t="s">
        <v>60</v>
      </c>
      <c r="N1128" t="s">
        <v>59</v>
      </c>
      <c r="O1128" t="s">
        <v>59</v>
      </c>
      <c r="P1128" t="s">
        <v>59</v>
      </c>
      <c r="Q1128" t="s">
        <v>59</v>
      </c>
      <c r="R1128" t="s">
        <v>59</v>
      </c>
      <c r="S1128" t="s">
        <v>59</v>
      </c>
      <c r="T1128" t="s">
        <v>59</v>
      </c>
      <c r="U1128" t="s">
        <v>60</v>
      </c>
      <c r="V1128" t="s">
        <v>59</v>
      </c>
      <c r="W1128" t="s">
        <v>59</v>
      </c>
      <c r="X1128" t="s">
        <v>61</v>
      </c>
      <c r="Y1128" t="s">
        <v>59</v>
      </c>
      <c r="Z1128" t="s">
        <v>59</v>
      </c>
      <c r="AA1128" t="s">
        <v>59</v>
      </c>
      <c r="AB1128" t="s">
        <v>59</v>
      </c>
      <c r="AC1128" t="s">
        <v>60</v>
      </c>
      <c r="AD1128" t="s">
        <v>61</v>
      </c>
      <c r="AE1128" t="s">
        <v>59</v>
      </c>
      <c r="AF1128" t="s">
        <v>61</v>
      </c>
      <c r="AG1128" t="s">
        <v>59</v>
      </c>
      <c r="AH1128" t="s">
        <v>61</v>
      </c>
      <c r="AI1128" t="s">
        <v>59</v>
      </c>
      <c r="AJ1128" t="s">
        <v>59</v>
      </c>
      <c r="AK1128" t="s">
        <v>59</v>
      </c>
      <c r="AL1128" t="s">
        <v>60</v>
      </c>
      <c r="AM1128" t="s">
        <v>59</v>
      </c>
      <c r="AN1128" t="s">
        <v>59</v>
      </c>
      <c r="AO1128" t="s">
        <v>59</v>
      </c>
      <c r="AP1128" t="s">
        <v>2694</v>
      </c>
      <c r="AQ1128" t="s">
        <v>1108</v>
      </c>
      <c r="AR1128" t="s">
        <v>64</v>
      </c>
      <c r="AS1128" t="s">
        <v>1217</v>
      </c>
      <c r="AT1128" t="s">
        <v>390</v>
      </c>
      <c r="AU1128" t="s">
        <v>219</v>
      </c>
      <c r="AW1128" s="4" t="str">
        <f t="shared" si="598"/>
        <v>0</v>
      </c>
      <c r="AX1128" s="4">
        <f t="shared" si="599"/>
        <v>4</v>
      </c>
      <c r="AY1128" s="4">
        <f t="shared" si="600"/>
        <v>4</v>
      </c>
      <c r="AZ1128" s="4">
        <f t="shared" si="601"/>
        <v>2</v>
      </c>
      <c r="BA1128" s="4">
        <f t="shared" si="602"/>
        <v>4</v>
      </c>
      <c r="BB1128" s="4">
        <f t="shared" si="603"/>
        <v>4</v>
      </c>
      <c r="BC1128" s="4">
        <f t="shared" si="604"/>
        <v>4</v>
      </c>
      <c r="BD1128" s="4">
        <f t="shared" si="605"/>
        <v>2</v>
      </c>
      <c r="BE1128" s="4" t="str">
        <f t="shared" si="606"/>
        <v>0</v>
      </c>
      <c r="BF1128" s="4">
        <f t="shared" si="607"/>
        <v>2</v>
      </c>
      <c r="BG1128" s="4">
        <f t="shared" si="608"/>
        <v>4</v>
      </c>
      <c r="BH1128" s="4">
        <f t="shared" si="609"/>
        <v>4</v>
      </c>
      <c r="BI1128" s="4">
        <f t="shared" si="610"/>
        <v>4</v>
      </c>
      <c r="BJ1128" s="4">
        <f t="shared" si="611"/>
        <v>2</v>
      </c>
      <c r="BK1128" s="4">
        <f t="shared" si="612"/>
        <v>4</v>
      </c>
      <c r="BL1128" s="4">
        <f t="shared" si="613"/>
        <v>2</v>
      </c>
      <c r="BM1128" s="4" t="str">
        <f t="shared" si="614"/>
        <v>0</v>
      </c>
      <c r="BN1128" s="4">
        <f t="shared" si="615"/>
        <v>4</v>
      </c>
      <c r="BO1128" s="4">
        <f t="shared" si="616"/>
        <v>4</v>
      </c>
      <c r="BP1128" s="4">
        <f t="shared" si="617"/>
        <v>4</v>
      </c>
      <c r="BQ1128" s="4">
        <f t="shared" si="618"/>
        <v>6</v>
      </c>
      <c r="BR1128" s="4">
        <f t="shared" si="619"/>
        <v>4</v>
      </c>
      <c r="BS1128" s="4">
        <f t="shared" si="620"/>
        <v>4</v>
      </c>
      <c r="BT1128" s="4">
        <f t="shared" si="621"/>
        <v>4</v>
      </c>
      <c r="BU1128" s="4">
        <f t="shared" si="622"/>
        <v>4</v>
      </c>
      <c r="BV1128" s="4" t="str">
        <f t="shared" si="623"/>
        <v>0</v>
      </c>
      <c r="BW1128" s="4">
        <f t="shared" si="624"/>
        <v>6</v>
      </c>
      <c r="BX1128" s="4">
        <f t="shared" si="625"/>
        <v>0</v>
      </c>
      <c r="BY1128" s="4">
        <f t="shared" si="626"/>
        <v>0</v>
      </c>
      <c r="BZ1128" s="37">
        <f t="shared" si="627"/>
        <v>86</v>
      </c>
      <c r="CA1128" s="32" t="str">
        <f>VLOOKUP(J:J,'Agent wise'!A:C,3,0)</f>
        <v>Shakeer</v>
      </c>
      <c r="CB1128" s="32">
        <f t="shared" si="628"/>
        <v>45949</v>
      </c>
      <c r="CC1128" t="str">
        <f t="shared" si="629"/>
        <v>Average</v>
      </c>
      <c r="CE1128" s="32"/>
      <c r="CJ1128">
        <f t="shared" si="630"/>
        <v>19</v>
      </c>
      <c r="CK1128">
        <f t="shared" si="631"/>
        <v>10</v>
      </c>
      <c r="CL1128">
        <f t="shared" si="632"/>
        <v>2025</v>
      </c>
    </row>
    <row r="1129" spans="1:90" ht="15" customHeight="1" x14ac:dyDescent="0.35">
      <c r="A1129" t="s">
        <v>2789</v>
      </c>
      <c r="B1129" t="s">
        <v>130</v>
      </c>
      <c r="C1129" t="s">
        <v>214</v>
      </c>
      <c r="D1129" t="s">
        <v>131</v>
      </c>
      <c r="E1129" s="32">
        <v>45949</v>
      </c>
      <c r="F1129" t="s">
        <v>54</v>
      </c>
      <c r="G1129" t="s">
        <v>2708</v>
      </c>
      <c r="H1129">
        <v>9843933036</v>
      </c>
      <c r="I1129">
        <v>126</v>
      </c>
      <c r="J1129" t="s">
        <v>191</v>
      </c>
      <c r="K1129" t="s">
        <v>71</v>
      </c>
      <c r="L1129" t="s">
        <v>72</v>
      </c>
      <c r="M1129" t="s">
        <v>59</v>
      </c>
      <c r="N1129" t="s">
        <v>59</v>
      </c>
      <c r="O1129" t="s">
        <v>59</v>
      </c>
      <c r="P1129" t="s">
        <v>59</v>
      </c>
      <c r="Q1129" t="s">
        <v>59</v>
      </c>
      <c r="R1129" t="s">
        <v>59</v>
      </c>
      <c r="S1129" t="s">
        <v>59</v>
      </c>
      <c r="T1129" t="s">
        <v>59</v>
      </c>
      <c r="U1129" t="s">
        <v>60</v>
      </c>
      <c r="V1129" t="s">
        <v>59</v>
      </c>
      <c r="W1129" t="s">
        <v>59</v>
      </c>
      <c r="X1129" t="s">
        <v>59</v>
      </c>
      <c r="Y1129" t="s">
        <v>59</v>
      </c>
      <c r="Z1129" t="s">
        <v>59</v>
      </c>
      <c r="AA1129" t="s">
        <v>60</v>
      </c>
      <c r="AB1129" t="s">
        <v>61</v>
      </c>
      <c r="AC1129" t="s">
        <v>61</v>
      </c>
      <c r="AD1129" t="s">
        <v>59</v>
      </c>
      <c r="AE1129" t="s">
        <v>59</v>
      </c>
      <c r="AF1129" t="s">
        <v>61</v>
      </c>
      <c r="AG1129" t="s">
        <v>59</v>
      </c>
      <c r="AH1129" t="s">
        <v>61</v>
      </c>
      <c r="AI1129" t="s">
        <v>61</v>
      </c>
      <c r="AJ1129" t="s">
        <v>59</v>
      </c>
      <c r="AK1129" t="s">
        <v>59</v>
      </c>
      <c r="AL1129" t="s">
        <v>60</v>
      </c>
      <c r="AM1129" t="s">
        <v>59</v>
      </c>
      <c r="AN1129" t="s">
        <v>59</v>
      </c>
      <c r="AO1129" t="s">
        <v>59</v>
      </c>
      <c r="AP1129" t="s">
        <v>2790</v>
      </c>
      <c r="AQ1129" s="1" t="s">
        <v>2791</v>
      </c>
      <c r="AR1129" t="s">
        <v>64</v>
      </c>
      <c r="AS1129" t="s">
        <v>524</v>
      </c>
      <c r="AT1129" t="s">
        <v>525</v>
      </c>
      <c r="AU1129" t="s">
        <v>219</v>
      </c>
      <c r="AW1129" s="4">
        <f t="shared" si="598"/>
        <v>6</v>
      </c>
      <c r="AX1129" s="4">
        <f t="shared" si="599"/>
        <v>4</v>
      </c>
      <c r="AY1129" s="4">
        <f t="shared" si="600"/>
        <v>4</v>
      </c>
      <c r="AZ1129" s="4">
        <f t="shared" si="601"/>
        <v>2</v>
      </c>
      <c r="BA1129" s="4">
        <f t="shared" si="602"/>
        <v>4</v>
      </c>
      <c r="BB1129" s="4">
        <f t="shared" si="603"/>
        <v>4</v>
      </c>
      <c r="BC1129" s="4">
        <f t="shared" si="604"/>
        <v>4</v>
      </c>
      <c r="BD1129" s="4">
        <f t="shared" si="605"/>
        <v>2</v>
      </c>
      <c r="BE1129" s="4" t="str">
        <f t="shared" si="606"/>
        <v>0</v>
      </c>
      <c r="BF1129" s="4">
        <f t="shared" si="607"/>
        <v>2</v>
      </c>
      <c r="BG1129" s="4">
        <f t="shared" si="608"/>
        <v>4</v>
      </c>
      <c r="BH1129" s="4">
        <f t="shared" si="609"/>
        <v>4</v>
      </c>
      <c r="BI1129" s="4">
        <f t="shared" si="610"/>
        <v>4</v>
      </c>
      <c r="BJ1129" s="4">
        <f t="shared" si="611"/>
        <v>2</v>
      </c>
      <c r="BK1129" s="4" t="str">
        <f t="shared" si="612"/>
        <v>0</v>
      </c>
      <c r="BL1129" s="4">
        <f t="shared" si="613"/>
        <v>2</v>
      </c>
      <c r="BM1129" s="4">
        <f t="shared" si="614"/>
        <v>4</v>
      </c>
      <c r="BN1129" s="4">
        <f t="shared" si="615"/>
        <v>4</v>
      </c>
      <c r="BO1129" s="4">
        <f t="shared" si="616"/>
        <v>4</v>
      </c>
      <c r="BP1129" s="4">
        <f t="shared" si="617"/>
        <v>4</v>
      </c>
      <c r="BQ1129" s="4">
        <f t="shared" si="618"/>
        <v>6</v>
      </c>
      <c r="BR1129" s="4">
        <f t="shared" si="619"/>
        <v>4</v>
      </c>
      <c r="BS1129" s="4">
        <f t="shared" si="620"/>
        <v>4</v>
      </c>
      <c r="BT1129" s="4">
        <f t="shared" si="621"/>
        <v>4</v>
      </c>
      <c r="BU1129" s="4">
        <f t="shared" si="622"/>
        <v>4</v>
      </c>
      <c r="BV1129" s="4" t="str">
        <f t="shared" si="623"/>
        <v>0</v>
      </c>
      <c r="BW1129" s="4">
        <f t="shared" si="624"/>
        <v>6</v>
      </c>
      <c r="BX1129" s="4">
        <f t="shared" si="625"/>
        <v>0</v>
      </c>
      <c r="BY1129" s="4">
        <f t="shared" si="626"/>
        <v>0</v>
      </c>
      <c r="BZ1129" s="37">
        <f t="shared" si="627"/>
        <v>92</v>
      </c>
      <c r="CA1129" s="32" t="str">
        <f>VLOOKUP(J:J,'Agent wise'!A:C,3,0)</f>
        <v>Saran S</v>
      </c>
      <c r="CB1129" s="32">
        <f t="shared" si="628"/>
        <v>45949</v>
      </c>
      <c r="CC1129" t="str">
        <f t="shared" si="629"/>
        <v>Good</v>
      </c>
      <c r="CE1129" s="32"/>
      <c r="CJ1129">
        <f t="shared" si="630"/>
        <v>19</v>
      </c>
      <c r="CK1129">
        <f t="shared" si="631"/>
        <v>10</v>
      </c>
      <c r="CL1129">
        <f t="shared" si="632"/>
        <v>2025</v>
      </c>
    </row>
    <row r="1130" spans="1:90" ht="15" customHeight="1" x14ac:dyDescent="0.35">
      <c r="A1130" t="s">
        <v>2792</v>
      </c>
      <c r="B1130" t="s">
        <v>106</v>
      </c>
      <c r="C1130" t="s">
        <v>214</v>
      </c>
      <c r="D1130" t="s">
        <v>107</v>
      </c>
      <c r="E1130" s="32">
        <v>45949</v>
      </c>
      <c r="F1130" t="s">
        <v>54</v>
      </c>
      <c r="G1130" t="s">
        <v>2708</v>
      </c>
      <c r="H1130">
        <v>9446993481</v>
      </c>
      <c r="I1130">
        <v>153</v>
      </c>
      <c r="J1130" t="s">
        <v>154</v>
      </c>
      <c r="K1130" t="s">
        <v>57</v>
      </c>
      <c r="L1130" t="s">
        <v>58</v>
      </c>
      <c r="M1130" t="s">
        <v>59</v>
      </c>
      <c r="N1130" t="s">
        <v>59</v>
      </c>
      <c r="O1130" t="s">
        <v>59</v>
      </c>
      <c r="P1130" t="s">
        <v>60</v>
      </c>
      <c r="Q1130" t="s">
        <v>59</v>
      </c>
      <c r="R1130" t="s">
        <v>59</v>
      </c>
      <c r="S1130" t="s">
        <v>59</v>
      </c>
      <c r="T1130" t="s">
        <v>59</v>
      </c>
      <c r="U1130" t="s">
        <v>60</v>
      </c>
      <c r="V1130" t="s">
        <v>59</v>
      </c>
      <c r="W1130" t="s">
        <v>59</v>
      </c>
      <c r="X1130" t="s">
        <v>61</v>
      </c>
      <c r="Y1130" t="s">
        <v>59</v>
      </c>
      <c r="Z1130" t="s">
        <v>59</v>
      </c>
      <c r="AA1130" t="s">
        <v>60</v>
      </c>
      <c r="AB1130" t="s">
        <v>60</v>
      </c>
      <c r="AC1130" t="s">
        <v>61</v>
      </c>
      <c r="AD1130" t="s">
        <v>59</v>
      </c>
      <c r="AE1130" t="s">
        <v>59</v>
      </c>
      <c r="AF1130" t="s">
        <v>61</v>
      </c>
      <c r="AG1130" t="s">
        <v>59</v>
      </c>
      <c r="AH1130" t="s">
        <v>61</v>
      </c>
      <c r="AI1130" t="s">
        <v>61</v>
      </c>
      <c r="AJ1130" t="s">
        <v>61</v>
      </c>
      <c r="AK1130" t="s">
        <v>61</v>
      </c>
      <c r="AL1130" t="s">
        <v>60</v>
      </c>
      <c r="AM1130" t="s">
        <v>59</v>
      </c>
      <c r="AN1130" t="s">
        <v>59</v>
      </c>
      <c r="AO1130" t="s">
        <v>59</v>
      </c>
      <c r="AP1130" t="s">
        <v>2793</v>
      </c>
      <c r="AQ1130" t="s">
        <v>2794</v>
      </c>
      <c r="AR1130" t="s">
        <v>64</v>
      </c>
      <c r="AS1130" t="s">
        <v>111</v>
      </c>
      <c r="AT1130" t="s">
        <v>112</v>
      </c>
      <c r="AU1130" t="s">
        <v>219</v>
      </c>
      <c r="AW1130" s="4">
        <f t="shared" si="598"/>
        <v>6</v>
      </c>
      <c r="AX1130" s="4">
        <f t="shared" si="599"/>
        <v>4</v>
      </c>
      <c r="AY1130" s="4">
        <f t="shared" si="600"/>
        <v>4</v>
      </c>
      <c r="AZ1130" s="4" t="str">
        <f t="shared" si="601"/>
        <v>0</v>
      </c>
      <c r="BA1130" s="4">
        <f t="shared" si="602"/>
        <v>4</v>
      </c>
      <c r="BB1130" s="4">
        <f t="shared" si="603"/>
        <v>4</v>
      </c>
      <c r="BC1130" s="4">
        <f t="shared" si="604"/>
        <v>4</v>
      </c>
      <c r="BD1130" s="4">
        <f t="shared" si="605"/>
        <v>2</v>
      </c>
      <c r="BE1130" s="4" t="str">
        <f t="shared" si="606"/>
        <v>0</v>
      </c>
      <c r="BF1130" s="4">
        <f t="shared" si="607"/>
        <v>2</v>
      </c>
      <c r="BG1130" s="4">
        <f t="shared" si="608"/>
        <v>4</v>
      </c>
      <c r="BH1130" s="4">
        <f t="shared" si="609"/>
        <v>4</v>
      </c>
      <c r="BI1130" s="4">
        <f t="shared" si="610"/>
        <v>4</v>
      </c>
      <c r="BJ1130" s="4">
        <f t="shared" si="611"/>
        <v>2</v>
      </c>
      <c r="BK1130" s="4" t="str">
        <f t="shared" si="612"/>
        <v>0</v>
      </c>
      <c r="BL1130" s="4" t="str">
        <f t="shared" si="613"/>
        <v>0</v>
      </c>
      <c r="BM1130" s="4">
        <f t="shared" si="614"/>
        <v>4</v>
      </c>
      <c r="BN1130" s="4">
        <f t="shared" si="615"/>
        <v>4</v>
      </c>
      <c r="BO1130" s="4">
        <f t="shared" si="616"/>
        <v>4</v>
      </c>
      <c r="BP1130" s="4">
        <f t="shared" si="617"/>
        <v>4</v>
      </c>
      <c r="BQ1130" s="4">
        <f t="shared" si="618"/>
        <v>6</v>
      </c>
      <c r="BR1130" s="4">
        <f t="shared" si="619"/>
        <v>4</v>
      </c>
      <c r="BS1130" s="4">
        <f t="shared" si="620"/>
        <v>4</v>
      </c>
      <c r="BT1130" s="4">
        <f t="shared" si="621"/>
        <v>4</v>
      </c>
      <c r="BU1130" s="4">
        <f t="shared" si="622"/>
        <v>4</v>
      </c>
      <c r="BV1130" s="4" t="str">
        <f t="shared" si="623"/>
        <v>0</v>
      </c>
      <c r="BW1130" s="4">
        <f t="shared" si="624"/>
        <v>6</v>
      </c>
      <c r="BX1130" s="4">
        <f t="shared" si="625"/>
        <v>0</v>
      </c>
      <c r="BY1130" s="4">
        <f t="shared" si="626"/>
        <v>0</v>
      </c>
      <c r="BZ1130" s="37">
        <f t="shared" si="627"/>
        <v>88</v>
      </c>
      <c r="CA1130" s="32" t="str">
        <f>VLOOKUP(J:J,'Agent wise'!A:C,3,0)</f>
        <v>Shakeer</v>
      </c>
      <c r="CB1130" s="32">
        <f t="shared" si="628"/>
        <v>45949</v>
      </c>
      <c r="CC1130" t="str">
        <f t="shared" si="629"/>
        <v>Average</v>
      </c>
      <c r="CE1130" s="32"/>
      <c r="CJ1130">
        <f t="shared" si="630"/>
        <v>19</v>
      </c>
      <c r="CK1130">
        <f t="shared" si="631"/>
        <v>10</v>
      </c>
      <c r="CL1130">
        <f t="shared" si="632"/>
        <v>2025</v>
      </c>
    </row>
    <row r="1131" spans="1:90" ht="15" customHeight="1" x14ac:dyDescent="0.35">
      <c r="A1131" t="s">
        <v>2795</v>
      </c>
      <c r="B1131" t="s">
        <v>130</v>
      </c>
      <c r="C1131" t="s">
        <v>214</v>
      </c>
      <c r="D1131" t="s">
        <v>131</v>
      </c>
      <c r="E1131" s="32">
        <v>45949</v>
      </c>
      <c r="F1131" t="s">
        <v>54</v>
      </c>
      <c r="G1131" t="s">
        <v>2708</v>
      </c>
      <c r="H1131">
        <v>9497730673</v>
      </c>
      <c r="I1131">
        <v>120</v>
      </c>
      <c r="J1131" t="s">
        <v>412</v>
      </c>
      <c r="K1131" t="s">
        <v>57</v>
      </c>
      <c r="L1131" t="s">
        <v>58</v>
      </c>
      <c r="M1131" t="s">
        <v>59</v>
      </c>
      <c r="N1131" t="s">
        <v>59</v>
      </c>
      <c r="O1131" t="s">
        <v>59</v>
      </c>
      <c r="P1131" t="s">
        <v>59</v>
      </c>
      <c r="Q1131" t="s">
        <v>59</v>
      </c>
      <c r="R1131" t="s">
        <v>59</v>
      </c>
      <c r="S1131" t="s">
        <v>59</v>
      </c>
      <c r="T1131" t="s">
        <v>59</v>
      </c>
      <c r="U1131" t="s">
        <v>60</v>
      </c>
      <c r="V1131" t="s">
        <v>59</v>
      </c>
      <c r="W1131" t="s">
        <v>59</v>
      </c>
      <c r="X1131" t="s">
        <v>59</v>
      </c>
      <c r="Y1131" t="s">
        <v>59</v>
      </c>
      <c r="Z1131" t="s">
        <v>59</v>
      </c>
      <c r="AA1131" t="s">
        <v>60</v>
      </c>
      <c r="AB1131" t="s">
        <v>61</v>
      </c>
      <c r="AC1131" t="s">
        <v>60</v>
      </c>
      <c r="AD1131" t="s">
        <v>59</v>
      </c>
      <c r="AE1131" t="s">
        <v>59</v>
      </c>
      <c r="AF1131" t="s">
        <v>61</v>
      </c>
      <c r="AG1131" t="s">
        <v>59</v>
      </c>
      <c r="AH1131" t="s">
        <v>61</v>
      </c>
      <c r="AI1131" t="s">
        <v>61</v>
      </c>
      <c r="AJ1131" t="s">
        <v>59</v>
      </c>
      <c r="AK1131" t="s">
        <v>59</v>
      </c>
      <c r="AL1131" t="s">
        <v>60</v>
      </c>
      <c r="AM1131" t="s">
        <v>59</v>
      </c>
      <c r="AN1131" t="s">
        <v>59</v>
      </c>
      <c r="AO1131" t="s">
        <v>59</v>
      </c>
      <c r="AP1131" t="s">
        <v>2432</v>
      </c>
      <c r="AQ1131" s="1" t="s">
        <v>2796</v>
      </c>
      <c r="AR1131" t="s">
        <v>64</v>
      </c>
      <c r="AS1131" t="s">
        <v>171</v>
      </c>
      <c r="AT1131" t="s">
        <v>172</v>
      </c>
      <c r="AU1131" t="s">
        <v>219</v>
      </c>
      <c r="AW1131" s="4">
        <f t="shared" si="598"/>
        <v>6</v>
      </c>
      <c r="AX1131" s="4">
        <f t="shared" si="599"/>
        <v>4</v>
      </c>
      <c r="AY1131" s="4">
        <f t="shared" si="600"/>
        <v>4</v>
      </c>
      <c r="AZ1131" s="4">
        <f t="shared" si="601"/>
        <v>2</v>
      </c>
      <c r="BA1131" s="4">
        <f t="shared" si="602"/>
        <v>4</v>
      </c>
      <c r="BB1131" s="4">
        <f t="shared" si="603"/>
        <v>4</v>
      </c>
      <c r="BC1131" s="4">
        <f t="shared" si="604"/>
        <v>4</v>
      </c>
      <c r="BD1131" s="4">
        <f t="shared" si="605"/>
        <v>2</v>
      </c>
      <c r="BE1131" s="4" t="str">
        <f t="shared" si="606"/>
        <v>0</v>
      </c>
      <c r="BF1131" s="4">
        <f t="shared" si="607"/>
        <v>2</v>
      </c>
      <c r="BG1131" s="4">
        <f t="shared" si="608"/>
        <v>4</v>
      </c>
      <c r="BH1131" s="4">
        <f t="shared" si="609"/>
        <v>4</v>
      </c>
      <c r="BI1131" s="4">
        <f t="shared" si="610"/>
        <v>4</v>
      </c>
      <c r="BJ1131" s="4">
        <f t="shared" si="611"/>
        <v>2</v>
      </c>
      <c r="BK1131" s="4" t="str">
        <f t="shared" si="612"/>
        <v>0</v>
      </c>
      <c r="BL1131" s="4">
        <f t="shared" si="613"/>
        <v>2</v>
      </c>
      <c r="BM1131" s="4" t="str">
        <f t="shared" si="614"/>
        <v>0</v>
      </c>
      <c r="BN1131" s="4">
        <f t="shared" si="615"/>
        <v>4</v>
      </c>
      <c r="BO1131" s="4">
        <f t="shared" si="616"/>
        <v>4</v>
      </c>
      <c r="BP1131" s="4">
        <f t="shared" si="617"/>
        <v>4</v>
      </c>
      <c r="BQ1131" s="4">
        <f t="shared" si="618"/>
        <v>6</v>
      </c>
      <c r="BR1131" s="4">
        <f t="shared" si="619"/>
        <v>4</v>
      </c>
      <c r="BS1131" s="4">
        <f t="shared" si="620"/>
        <v>4</v>
      </c>
      <c r="BT1131" s="4">
        <f t="shared" si="621"/>
        <v>4</v>
      </c>
      <c r="BU1131" s="4">
        <f t="shared" si="622"/>
        <v>4</v>
      </c>
      <c r="BV1131" s="4" t="str">
        <f t="shared" si="623"/>
        <v>0</v>
      </c>
      <c r="BW1131" s="4">
        <f t="shared" si="624"/>
        <v>6</v>
      </c>
      <c r="BX1131" s="4">
        <f t="shared" si="625"/>
        <v>0</v>
      </c>
      <c r="BY1131" s="4">
        <f t="shared" si="626"/>
        <v>0</v>
      </c>
      <c r="BZ1131" s="37">
        <f t="shared" si="627"/>
        <v>88</v>
      </c>
      <c r="CA1131" s="32" t="str">
        <f>VLOOKUP(J:J,'Agent wise'!A:C,3,0)</f>
        <v>Saran S</v>
      </c>
      <c r="CB1131" s="32">
        <f t="shared" si="628"/>
        <v>45949</v>
      </c>
      <c r="CC1131" t="str">
        <f t="shared" si="629"/>
        <v>Average</v>
      </c>
      <c r="CE1131" s="32"/>
      <c r="CJ1131">
        <f t="shared" si="630"/>
        <v>19</v>
      </c>
      <c r="CK1131">
        <f t="shared" si="631"/>
        <v>10</v>
      </c>
      <c r="CL1131">
        <f t="shared" si="632"/>
        <v>2025</v>
      </c>
    </row>
    <row r="1132" spans="1:90" ht="15" customHeight="1" x14ac:dyDescent="0.35">
      <c r="A1132" t="s">
        <v>2797</v>
      </c>
      <c r="B1132" t="s">
        <v>106</v>
      </c>
      <c r="C1132" t="s">
        <v>214</v>
      </c>
      <c r="D1132" t="s">
        <v>107</v>
      </c>
      <c r="E1132" s="32">
        <v>45949</v>
      </c>
      <c r="F1132" t="s">
        <v>54</v>
      </c>
      <c r="G1132" t="s">
        <v>2708</v>
      </c>
      <c r="H1132">
        <v>9074579820</v>
      </c>
      <c r="I1132">
        <v>144</v>
      </c>
      <c r="J1132" t="s">
        <v>154</v>
      </c>
      <c r="K1132" t="s">
        <v>57</v>
      </c>
      <c r="L1132" t="s">
        <v>58</v>
      </c>
      <c r="M1132" t="s">
        <v>60</v>
      </c>
      <c r="N1132" t="s">
        <v>59</v>
      </c>
      <c r="O1132" t="s">
        <v>59</v>
      </c>
      <c r="P1132" t="s">
        <v>59</v>
      </c>
      <c r="Q1132" t="s">
        <v>59</v>
      </c>
      <c r="R1132" t="s">
        <v>59</v>
      </c>
      <c r="S1132" t="s">
        <v>59</v>
      </c>
      <c r="T1132" t="s">
        <v>59</v>
      </c>
      <c r="U1132" t="s">
        <v>60</v>
      </c>
      <c r="V1132" t="s">
        <v>59</v>
      </c>
      <c r="W1132" t="s">
        <v>59</v>
      </c>
      <c r="X1132" t="s">
        <v>61</v>
      </c>
      <c r="Y1132" t="s">
        <v>59</v>
      </c>
      <c r="Z1132" t="s">
        <v>59</v>
      </c>
      <c r="AA1132" t="s">
        <v>60</v>
      </c>
      <c r="AB1132" t="s">
        <v>60</v>
      </c>
      <c r="AC1132" t="s">
        <v>61</v>
      </c>
      <c r="AD1132" t="s">
        <v>61</v>
      </c>
      <c r="AE1132" t="s">
        <v>59</v>
      </c>
      <c r="AF1132" t="s">
        <v>61</v>
      </c>
      <c r="AG1132" t="s">
        <v>59</v>
      </c>
      <c r="AH1132" t="s">
        <v>61</v>
      </c>
      <c r="AI1132" t="s">
        <v>61</v>
      </c>
      <c r="AJ1132" t="s">
        <v>59</v>
      </c>
      <c r="AK1132" t="s">
        <v>59</v>
      </c>
      <c r="AL1132" t="s">
        <v>60</v>
      </c>
      <c r="AM1132" t="s">
        <v>59</v>
      </c>
      <c r="AN1132" t="s">
        <v>59</v>
      </c>
      <c r="AO1132" t="s">
        <v>59</v>
      </c>
      <c r="AP1132" t="s">
        <v>2798</v>
      </c>
      <c r="AQ1132" t="s">
        <v>2799</v>
      </c>
      <c r="AR1132" t="s">
        <v>64</v>
      </c>
      <c r="AS1132" t="s">
        <v>111</v>
      </c>
      <c r="AT1132" t="s">
        <v>112</v>
      </c>
      <c r="AU1132" t="s">
        <v>593</v>
      </c>
      <c r="AW1132" s="4" t="str">
        <f t="shared" si="598"/>
        <v>0</v>
      </c>
      <c r="AX1132" s="4">
        <f t="shared" si="599"/>
        <v>4</v>
      </c>
      <c r="AY1132" s="4">
        <f t="shared" si="600"/>
        <v>4</v>
      </c>
      <c r="AZ1132" s="4">
        <f t="shared" si="601"/>
        <v>2</v>
      </c>
      <c r="BA1132" s="4">
        <f t="shared" si="602"/>
        <v>4</v>
      </c>
      <c r="BB1132" s="4">
        <f t="shared" si="603"/>
        <v>4</v>
      </c>
      <c r="BC1132" s="4">
        <f t="shared" si="604"/>
        <v>4</v>
      </c>
      <c r="BD1132" s="4">
        <f t="shared" si="605"/>
        <v>2</v>
      </c>
      <c r="BE1132" s="4" t="str">
        <f t="shared" si="606"/>
        <v>0</v>
      </c>
      <c r="BF1132" s="4">
        <f t="shared" si="607"/>
        <v>2</v>
      </c>
      <c r="BG1132" s="4">
        <f t="shared" si="608"/>
        <v>4</v>
      </c>
      <c r="BH1132" s="4">
        <f t="shared" si="609"/>
        <v>4</v>
      </c>
      <c r="BI1132" s="4">
        <f t="shared" si="610"/>
        <v>4</v>
      </c>
      <c r="BJ1132" s="4">
        <f t="shared" si="611"/>
        <v>2</v>
      </c>
      <c r="BK1132" s="4" t="str">
        <f t="shared" si="612"/>
        <v>0</v>
      </c>
      <c r="BL1132" s="4" t="str">
        <f t="shared" si="613"/>
        <v>0</v>
      </c>
      <c r="BM1132" s="4">
        <f t="shared" si="614"/>
        <v>4</v>
      </c>
      <c r="BN1132" s="4">
        <f t="shared" si="615"/>
        <v>4</v>
      </c>
      <c r="BO1132" s="4">
        <f t="shared" si="616"/>
        <v>4</v>
      </c>
      <c r="BP1132" s="4">
        <f t="shared" si="617"/>
        <v>4</v>
      </c>
      <c r="BQ1132" s="4">
        <f t="shared" si="618"/>
        <v>6</v>
      </c>
      <c r="BR1132" s="4">
        <f t="shared" si="619"/>
        <v>4</v>
      </c>
      <c r="BS1132" s="4">
        <f t="shared" si="620"/>
        <v>4</v>
      </c>
      <c r="BT1132" s="4">
        <f t="shared" si="621"/>
        <v>4</v>
      </c>
      <c r="BU1132" s="4">
        <f t="shared" si="622"/>
        <v>4</v>
      </c>
      <c r="BV1132" s="4" t="str">
        <f t="shared" si="623"/>
        <v>0</v>
      </c>
      <c r="BW1132" s="4">
        <f t="shared" si="624"/>
        <v>6</v>
      </c>
      <c r="BX1132" s="4">
        <f t="shared" si="625"/>
        <v>0</v>
      </c>
      <c r="BY1132" s="4">
        <f t="shared" si="626"/>
        <v>0</v>
      </c>
      <c r="BZ1132" s="37">
        <f t="shared" si="627"/>
        <v>84</v>
      </c>
      <c r="CA1132" s="32" t="str">
        <f>VLOOKUP(J:J,'Agent wise'!A:C,3,0)</f>
        <v>Shakeer</v>
      </c>
      <c r="CB1132" s="32">
        <f t="shared" si="628"/>
        <v>45949</v>
      </c>
      <c r="CC1132" t="str">
        <f t="shared" si="629"/>
        <v>FC</v>
      </c>
      <c r="CE1132" s="32"/>
      <c r="CJ1132">
        <f t="shared" si="630"/>
        <v>19</v>
      </c>
      <c r="CK1132">
        <f t="shared" si="631"/>
        <v>10</v>
      </c>
      <c r="CL1132">
        <f t="shared" si="632"/>
        <v>2025</v>
      </c>
    </row>
    <row r="1133" spans="1:90" ht="15" customHeight="1" x14ac:dyDescent="0.35">
      <c r="A1133" t="s">
        <v>2800</v>
      </c>
      <c r="B1133" t="s">
        <v>130</v>
      </c>
      <c r="C1133" t="s">
        <v>214</v>
      </c>
      <c r="D1133" t="s">
        <v>131</v>
      </c>
      <c r="E1133" s="32">
        <v>45949</v>
      </c>
      <c r="F1133" t="s">
        <v>54</v>
      </c>
      <c r="G1133" t="s">
        <v>2708</v>
      </c>
      <c r="H1133">
        <v>9487991906</v>
      </c>
      <c r="I1133">
        <v>134</v>
      </c>
      <c r="J1133" t="s">
        <v>124</v>
      </c>
      <c r="K1133" t="s">
        <v>71</v>
      </c>
      <c r="L1133" t="s">
        <v>72</v>
      </c>
      <c r="M1133" t="s">
        <v>60</v>
      </c>
      <c r="N1133" t="s">
        <v>59</v>
      </c>
      <c r="O1133" t="s">
        <v>59</v>
      </c>
      <c r="P1133" t="s">
        <v>59</v>
      </c>
      <c r="Q1133" t="s">
        <v>59</v>
      </c>
      <c r="R1133" t="s">
        <v>59</v>
      </c>
      <c r="S1133" t="s">
        <v>59</v>
      </c>
      <c r="T1133" t="s">
        <v>59</v>
      </c>
      <c r="U1133" t="s">
        <v>60</v>
      </c>
      <c r="V1133" t="s">
        <v>59</v>
      </c>
      <c r="W1133" t="s">
        <v>59</v>
      </c>
      <c r="X1133" t="s">
        <v>59</v>
      </c>
      <c r="Y1133" t="s">
        <v>59</v>
      </c>
      <c r="Z1133" t="s">
        <v>59</v>
      </c>
      <c r="AA1133" t="s">
        <v>60</v>
      </c>
      <c r="AB1133" t="s">
        <v>60</v>
      </c>
      <c r="AC1133" t="s">
        <v>60</v>
      </c>
      <c r="AD1133" t="s">
        <v>59</v>
      </c>
      <c r="AE1133" t="s">
        <v>59</v>
      </c>
      <c r="AF1133" t="s">
        <v>61</v>
      </c>
      <c r="AG1133" t="s">
        <v>59</v>
      </c>
      <c r="AH1133" t="s">
        <v>61</v>
      </c>
      <c r="AI1133" t="s">
        <v>61</v>
      </c>
      <c r="AJ1133" t="s">
        <v>59</v>
      </c>
      <c r="AK1133" t="s">
        <v>59</v>
      </c>
      <c r="AL1133" t="s">
        <v>60</v>
      </c>
      <c r="AM1133" t="s">
        <v>59</v>
      </c>
      <c r="AN1133" t="s">
        <v>59</v>
      </c>
      <c r="AO1133" t="s">
        <v>59</v>
      </c>
      <c r="AP1133" t="s">
        <v>2801</v>
      </c>
      <c r="AQ1133" s="1" t="s">
        <v>2802</v>
      </c>
      <c r="AR1133" t="s">
        <v>64</v>
      </c>
      <c r="AS1133" t="s">
        <v>152</v>
      </c>
      <c r="AT1133" t="s">
        <v>2803</v>
      </c>
      <c r="AU1133" t="s">
        <v>299</v>
      </c>
      <c r="AW1133" s="4" t="str">
        <f t="shared" si="598"/>
        <v>0</v>
      </c>
      <c r="AX1133" s="4">
        <f t="shared" si="599"/>
        <v>4</v>
      </c>
      <c r="AY1133" s="4">
        <f t="shared" si="600"/>
        <v>4</v>
      </c>
      <c r="AZ1133" s="4">
        <f t="shared" si="601"/>
        <v>2</v>
      </c>
      <c r="BA1133" s="4">
        <f t="shared" si="602"/>
        <v>4</v>
      </c>
      <c r="BB1133" s="4">
        <f t="shared" si="603"/>
        <v>4</v>
      </c>
      <c r="BC1133" s="4">
        <f t="shared" si="604"/>
        <v>4</v>
      </c>
      <c r="BD1133" s="4">
        <f t="shared" si="605"/>
        <v>2</v>
      </c>
      <c r="BE1133" s="4" t="str">
        <f t="shared" si="606"/>
        <v>0</v>
      </c>
      <c r="BF1133" s="4">
        <f t="shared" si="607"/>
        <v>2</v>
      </c>
      <c r="BG1133" s="4">
        <f t="shared" si="608"/>
        <v>4</v>
      </c>
      <c r="BH1133" s="4">
        <f t="shared" si="609"/>
        <v>4</v>
      </c>
      <c r="BI1133" s="4">
        <f t="shared" si="610"/>
        <v>4</v>
      </c>
      <c r="BJ1133" s="4">
        <f t="shared" si="611"/>
        <v>2</v>
      </c>
      <c r="BK1133" s="4" t="str">
        <f t="shared" si="612"/>
        <v>0</v>
      </c>
      <c r="BL1133" s="4" t="str">
        <f t="shared" si="613"/>
        <v>0</v>
      </c>
      <c r="BM1133" s="4" t="str">
        <f t="shared" si="614"/>
        <v>0</v>
      </c>
      <c r="BN1133" s="4">
        <f t="shared" si="615"/>
        <v>4</v>
      </c>
      <c r="BO1133" s="4">
        <f t="shared" si="616"/>
        <v>4</v>
      </c>
      <c r="BP1133" s="4">
        <f t="shared" si="617"/>
        <v>4</v>
      </c>
      <c r="BQ1133" s="4">
        <f t="shared" si="618"/>
        <v>6</v>
      </c>
      <c r="BR1133" s="4">
        <f t="shared" si="619"/>
        <v>4</v>
      </c>
      <c r="BS1133" s="4">
        <f t="shared" si="620"/>
        <v>4</v>
      </c>
      <c r="BT1133" s="4">
        <f t="shared" si="621"/>
        <v>4</v>
      </c>
      <c r="BU1133" s="4">
        <f t="shared" si="622"/>
        <v>4</v>
      </c>
      <c r="BV1133" s="4" t="str">
        <f t="shared" si="623"/>
        <v>0</v>
      </c>
      <c r="BW1133" s="4">
        <f t="shared" si="624"/>
        <v>6</v>
      </c>
      <c r="BX1133" s="4">
        <f t="shared" si="625"/>
        <v>0</v>
      </c>
      <c r="BY1133" s="4">
        <f t="shared" si="626"/>
        <v>0</v>
      </c>
      <c r="BZ1133" s="37">
        <f t="shared" si="627"/>
        <v>80</v>
      </c>
      <c r="CA1133" s="32" t="str">
        <f>VLOOKUP(J:J,'Agent wise'!A:C,3,0)</f>
        <v>Saran S</v>
      </c>
      <c r="CB1133" s="32">
        <f t="shared" si="628"/>
        <v>45949</v>
      </c>
      <c r="CC1133" t="str">
        <f t="shared" si="629"/>
        <v>FC</v>
      </c>
      <c r="CE1133" s="32"/>
      <c r="CJ1133">
        <f t="shared" si="630"/>
        <v>19</v>
      </c>
      <c r="CK1133">
        <f t="shared" si="631"/>
        <v>10</v>
      </c>
      <c r="CL1133">
        <f t="shared" si="632"/>
        <v>2025</v>
      </c>
    </row>
    <row r="1134" spans="1:90" ht="15" customHeight="1" x14ac:dyDescent="0.35">
      <c r="A1134" t="s">
        <v>2804</v>
      </c>
      <c r="B1134" t="s">
        <v>106</v>
      </c>
      <c r="C1134" t="s">
        <v>214</v>
      </c>
      <c r="D1134" t="s">
        <v>107</v>
      </c>
      <c r="E1134" s="32">
        <v>45949</v>
      </c>
      <c r="F1134" t="s">
        <v>54</v>
      </c>
      <c r="G1134" t="s">
        <v>2708</v>
      </c>
      <c r="H1134">
        <v>9447113884</v>
      </c>
      <c r="I1134">
        <v>181</v>
      </c>
      <c r="J1134" t="s">
        <v>636</v>
      </c>
      <c r="K1134" t="s">
        <v>57</v>
      </c>
      <c r="L1134" t="s">
        <v>58</v>
      </c>
      <c r="M1134" t="s">
        <v>59</v>
      </c>
      <c r="N1134" t="s">
        <v>59</v>
      </c>
      <c r="O1134" t="s">
        <v>59</v>
      </c>
      <c r="P1134" t="s">
        <v>59</v>
      </c>
      <c r="Q1134" t="s">
        <v>59</v>
      </c>
      <c r="R1134" t="s">
        <v>59</v>
      </c>
      <c r="S1134" t="s">
        <v>59</v>
      </c>
      <c r="T1134" t="s">
        <v>59</v>
      </c>
      <c r="U1134" t="s">
        <v>60</v>
      </c>
      <c r="V1134" t="s">
        <v>59</v>
      </c>
      <c r="W1134" t="s">
        <v>59</v>
      </c>
      <c r="X1134" t="s">
        <v>61</v>
      </c>
      <c r="Y1134" t="s">
        <v>59</v>
      </c>
      <c r="Z1134" t="s">
        <v>60</v>
      </c>
      <c r="AA1134" t="s">
        <v>59</v>
      </c>
      <c r="AB1134" t="s">
        <v>59</v>
      </c>
      <c r="AC1134" t="s">
        <v>60</v>
      </c>
      <c r="AD1134" t="s">
        <v>61</v>
      </c>
      <c r="AE1134" t="s">
        <v>59</v>
      </c>
      <c r="AF1134" t="s">
        <v>61</v>
      </c>
      <c r="AG1134" t="s">
        <v>59</v>
      </c>
      <c r="AH1134" t="s">
        <v>61</v>
      </c>
      <c r="AI1134" t="s">
        <v>59</v>
      </c>
      <c r="AJ1134" t="s">
        <v>59</v>
      </c>
      <c r="AK1134" t="s">
        <v>59</v>
      </c>
      <c r="AL1134" t="s">
        <v>60</v>
      </c>
      <c r="AM1134" t="s">
        <v>59</v>
      </c>
      <c r="AN1134" t="s">
        <v>59</v>
      </c>
      <c r="AO1134" t="s">
        <v>59</v>
      </c>
      <c r="AP1134" t="s">
        <v>2805</v>
      </c>
      <c r="AQ1134" t="s">
        <v>1739</v>
      </c>
      <c r="AR1134" t="s">
        <v>64</v>
      </c>
      <c r="AS1134" t="s">
        <v>122</v>
      </c>
      <c r="AT1134" t="s">
        <v>123</v>
      </c>
      <c r="AU1134" t="s">
        <v>387</v>
      </c>
      <c r="AW1134" s="4">
        <f t="shared" si="598"/>
        <v>6</v>
      </c>
      <c r="AX1134" s="4">
        <f t="shared" si="599"/>
        <v>4</v>
      </c>
      <c r="AY1134" s="4">
        <f t="shared" si="600"/>
        <v>4</v>
      </c>
      <c r="AZ1134" s="4">
        <f t="shared" si="601"/>
        <v>2</v>
      </c>
      <c r="BA1134" s="4">
        <f t="shared" si="602"/>
        <v>4</v>
      </c>
      <c r="BB1134" s="4">
        <f t="shared" si="603"/>
        <v>4</v>
      </c>
      <c r="BC1134" s="4">
        <f t="shared" si="604"/>
        <v>4</v>
      </c>
      <c r="BD1134" s="4">
        <f t="shared" si="605"/>
        <v>2</v>
      </c>
      <c r="BE1134" s="4" t="str">
        <f t="shared" si="606"/>
        <v>0</v>
      </c>
      <c r="BF1134" s="4">
        <f t="shared" si="607"/>
        <v>2</v>
      </c>
      <c r="BG1134" s="4">
        <f t="shared" si="608"/>
        <v>4</v>
      </c>
      <c r="BH1134" s="4">
        <f t="shared" si="609"/>
        <v>4</v>
      </c>
      <c r="BI1134" s="4">
        <f t="shared" si="610"/>
        <v>4</v>
      </c>
      <c r="BJ1134" s="4" t="str">
        <f t="shared" si="611"/>
        <v>0</v>
      </c>
      <c r="BK1134" s="4">
        <f t="shared" si="612"/>
        <v>4</v>
      </c>
      <c r="BL1134" s="4">
        <f t="shared" si="613"/>
        <v>2</v>
      </c>
      <c r="BM1134" s="4" t="str">
        <f t="shared" si="614"/>
        <v>0</v>
      </c>
      <c r="BN1134" s="4">
        <f t="shared" si="615"/>
        <v>4</v>
      </c>
      <c r="BO1134" s="4">
        <f t="shared" si="616"/>
        <v>4</v>
      </c>
      <c r="BP1134" s="4">
        <f t="shared" si="617"/>
        <v>4</v>
      </c>
      <c r="BQ1134" s="4">
        <f t="shared" si="618"/>
        <v>6</v>
      </c>
      <c r="BR1134" s="4">
        <f t="shared" si="619"/>
        <v>4</v>
      </c>
      <c r="BS1134" s="4">
        <f t="shared" si="620"/>
        <v>4</v>
      </c>
      <c r="BT1134" s="4">
        <f t="shared" si="621"/>
        <v>4</v>
      </c>
      <c r="BU1134" s="4">
        <f t="shared" si="622"/>
        <v>4</v>
      </c>
      <c r="BV1134" s="4" t="str">
        <f t="shared" si="623"/>
        <v>0</v>
      </c>
      <c r="BW1134" s="4">
        <f t="shared" si="624"/>
        <v>6</v>
      </c>
      <c r="BX1134" s="4">
        <f t="shared" si="625"/>
        <v>0</v>
      </c>
      <c r="BY1134" s="4">
        <f t="shared" si="626"/>
        <v>0</v>
      </c>
      <c r="BZ1134" s="37">
        <f t="shared" si="627"/>
        <v>90</v>
      </c>
      <c r="CA1134" s="32" t="str">
        <f>VLOOKUP(J:J,'Agent wise'!A:C,3,0)</f>
        <v>Shakeer</v>
      </c>
      <c r="CB1134" s="32">
        <f t="shared" si="628"/>
        <v>45949</v>
      </c>
      <c r="CC1134" t="str">
        <f t="shared" si="629"/>
        <v>Good</v>
      </c>
      <c r="CE1134" s="32"/>
      <c r="CJ1134">
        <f t="shared" si="630"/>
        <v>19</v>
      </c>
      <c r="CK1134">
        <f t="shared" si="631"/>
        <v>10</v>
      </c>
      <c r="CL1134">
        <f t="shared" si="632"/>
        <v>2025</v>
      </c>
    </row>
    <row r="1135" spans="1:90" ht="15" customHeight="1" x14ac:dyDescent="0.35">
      <c r="A1135" t="s">
        <v>2806</v>
      </c>
      <c r="B1135" t="s">
        <v>130</v>
      </c>
      <c r="C1135" t="s">
        <v>214</v>
      </c>
      <c r="D1135" t="s">
        <v>131</v>
      </c>
      <c r="E1135" s="32">
        <v>45949</v>
      </c>
      <c r="F1135" t="s">
        <v>54</v>
      </c>
      <c r="G1135" t="s">
        <v>2708</v>
      </c>
      <c r="H1135">
        <v>8848669246</v>
      </c>
      <c r="I1135">
        <v>127</v>
      </c>
      <c r="J1135" t="s">
        <v>439</v>
      </c>
      <c r="K1135" t="s">
        <v>57</v>
      </c>
      <c r="L1135" t="s">
        <v>58</v>
      </c>
      <c r="M1135" t="s">
        <v>59</v>
      </c>
      <c r="N1135" t="s">
        <v>59</v>
      </c>
      <c r="O1135" t="s">
        <v>59</v>
      </c>
      <c r="P1135" t="s">
        <v>59</v>
      </c>
      <c r="Q1135" t="s">
        <v>59</v>
      </c>
      <c r="R1135" t="s">
        <v>59</v>
      </c>
      <c r="S1135" t="s">
        <v>59</v>
      </c>
      <c r="T1135" t="s">
        <v>59</v>
      </c>
      <c r="U1135" t="s">
        <v>60</v>
      </c>
      <c r="V1135" t="s">
        <v>59</v>
      </c>
      <c r="W1135" t="s">
        <v>59</v>
      </c>
      <c r="X1135" t="s">
        <v>59</v>
      </c>
      <c r="Y1135" t="s">
        <v>59</v>
      </c>
      <c r="Z1135" t="s">
        <v>59</v>
      </c>
      <c r="AA1135" t="s">
        <v>60</v>
      </c>
      <c r="AB1135" t="s">
        <v>61</v>
      </c>
      <c r="AC1135" t="s">
        <v>59</v>
      </c>
      <c r="AD1135" t="s">
        <v>59</v>
      </c>
      <c r="AE1135" t="s">
        <v>59</v>
      </c>
      <c r="AF1135" t="s">
        <v>61</v>
      </c>
      <c r="AG1135" t="s">
        <v>59</v>
      </c>
      <c r="AH1135" t="s">
        <v>61</v>
      </c>
      <c r="AI1135" t="s">
        <v>61</v>
      </c>
      <c r="AJ1135" t="s">
        <v>59</v>
      </c>
      <c r="AK1135" t="s">
        <v>59</v>
      </c>
      <c r="AL1135" t="s">
        <v>60</v>
      </c>
      <c r="AM1135" t="s">
        <v>59</v>
      </c>
      <c r="AN1135" t="s">
        <v>59</v>
      </c>
      <c r="AO1135" t="s">
        <v>59</v>
      </c>
      <c r="AP1135" t="s">
        <v>854</v>
      </c>
      <c r="AQ1135" s="1" t="s">
        <v>2807</v>
      </c>
      <c r="AR1135" t="s">
        <v>64</v>
      </c>
      <c r="AS1135" t="s">
        <v>171</v>
      </c>
      <c r="AT1135" t="s">
        <v>172</v>
      </c>
      <c r="AU1135" t="s">
        <v>219</v>
      </c>
      <c r="AW1135" s="4">
        <f t="shared" si="598"/>
        <v>6</v>
      </c>
      <c r="AX1135" s="4">
        <f t="shared" si="599"/>
        <v>4</v>
      </c>
      <c r="AY1135" s="4">
        <f t="shared" si="600"/>
        <v>4</v>
      </c>
      <c r="AZ1135" s="4">
        <f t="shared" si="601"/>
        <v>2</v>
      </c>
      <c r="BA1135" s="4">
        <f t="shared" si="602"/>
        <v>4</v>
      </c>
      <c r="BB1135" s="4">
        <f t="shared" si="603"/>
        <v>4</v>
      </c>
      <c r="BC1135" s="4">
        <f t="shared" si="604"/>
        <v>4</v>
      </c>
      <c r="BD1135" s="4">
        <f t="shared" si="605"/>
        <v>2</v>
      </c>
      <c r="BE1135" s="4" t="str">
        <f t="shared" si="606"/>
        <v>0</v>
      </c>
      <c r="BF1135" s="4">
        <f t="shared" si="607"/>
        <v>2</v>
      </c>
      <c r="BG1135" s="4">
        <f t="shared" si="608"/>
        <v>4</v>
      </c>
      <c r="BH1135" s="4">
        <f t="shared" si="609"/>
        <v>4</v>
      </c>
      <c r="BI1135" s="4">
        <f t="shared" si="610"/>
        <v>4</v>
      </c>
      <c r="BJ1135" s="4">
        <f t="shared" si="611"/>
        <v>2</v>
      </c>
      <c r="BK1135" s="4" t="str">
        <f t="shared" si="612"/>
        <v>0</v>
      </c>
      <c r="BL1135" s="4">
        <f t="shared" si="613"/>
        <v>2</v>
      </c>
      <c r="BM1135" s="4">
        <f t="shared" si="614"/>
        <v>4</v>
      </c>
      <c r="BN1135" s="4">
        <f t="shared" si="615"/>
        <v>4</v>
      </c>
      <c r="BO1135" s="4">
        <f t="shared" si="616"/>
        <v>4</v>
      </c>
      <c r="BP1135" s="4">
        <f t="shared" si="617"/>
        <v>4</v>
      </c>
      <c r="BQ1135" s="4">
        <f t="shared" si="618"/>
        <v>6</v>
      </c>
      <c r="BR1135" s="4">
        <f t="shared" si="619"/>
        <v>4</v>
      </c>
      <c r="BS1135" s="4">
        <f t="shared" si="620"/>
        <v>4</v>
      </c>
      <c r="BT1135" s="4">
        <f t="shared" si="621"/>
        <v>4</v>
      </c>
      <c r="BU1135" s="4">
        <f t="shared" si="622"/>
        <v>4</v>
      </c>
      <c r="BV1135" s="4" t="str">
        <f t="shared" si="623"/>
        <v>0</v>
      </c>
      <c r="BW1135" s="4">
        <f t="shared" si="624"/>
        <v>6</v>
      </c>
      <c r="BX1135" s="4">
        <f t="shared" si="625"/>
        <v>0</v>
      </c>
      <c r="BY1135" s="4">
        <f t="shared" si="626"/>
        <v>0</v>
      </c>
      <c r="BZ1135" s="37">
        <f t="shared" si="627"/>
        <v>92</v>
      </c>
      <c r="CA1135" s="32" t="str">
        <f>VLOOKUP(J:J,'Agent wise'!A:C,3,0)</f>
        <v>Saran S</v>
      </c>
      <c r="CB1135" s="32">
        <f t="shared" si="628"/>
        <v>45949</v>
      </c>
      <c r="CC1135" t="str">
        <f t="shared" si="629"/>
        <v>Good</v>
      </c>
      <c r="CE1135" s="32"/>
      <c r="CJ1135">
        <f t="shared" si="630"/>
        <v>19</v>
      </c>
      <c r="CK1135">
        <f t="shared" si="631"/>
        <v>10</v>
      </c>
      <c r="CL1135">
        <f t="shared" si="632"/>
        <v>2025</v>
      </c>
    </row>
    <row r="1136" spans="1:90" ht="15" customHeight="1" x14ac:dyDescent="0.35">
      <c r="A1136" t="s">
        <v>2808</v>
      </c>
      <c r="B1136" t="s">
        <v>130</v>
      </c>
      <c r="C1136" t="s">
        <v>214</v>
      </c>
      <c r="D1136" t="s">
        <v>131</v>
      </c>
      <c r="E1136" s="32">
        <v>45949</v>
      </c>
      <c r="F1136" t="s">
        <v>54</v>
      </c>
      <c r="G1136" t="s">
        <v>2708</v>
      </c>
      <c r="H1136">
        <v>8144115640</v>
      </c>
      <c r="I1136">
        <v>133</v>
      </c>
      <c r="J1136" t="s">
        <v>70</v>
      </c>
      <c r="K1136" t="s">
        <v>71</v>
      </c>
      <c r="L1136" t="s">
        <v>72</v>
      </c>
      <c r="M1136" t="s">
        <v>59</v>
      </c>
      <c r="N1136" t="s">
        <v>59</v>
      </c>
      <c r="O1136" t="s">
        <v>59</v>
      </c>
      <c r="P1136" t="s">
        <v>59</v>
      </c>
      <c r="Q1136" t="s">
        <v>59</v>
      </c>
      <c r="R1136" t="s">
        <v>59</v>
      </c>
      <c r="S1136" t="s">
        <v>59</v>
      </c>
      <c r="T1136" t="s">
        <v>59</v>
      </c>
      <c r="U1136" t="s">
        <v>60</v>
      </c>
      <c r="V1136" t="s">
        <v>59</v>
      </c>
      <c r="W1136" t="s">
        <v>59</v>
      </c>
      <c r="X1136" t="s">
        <v>59</v>
      </c>
      <c r="Y1136" t="s">
        <v>59</v>
      </c>
      <c r="Z1136" t="s">
        <v>59</v>
      </c>
      <c r="AA1136" t="s">
        <v>59</v>
      </c>
      <c r="AB1136" t="s">
        <v>59</v>
      </c>
      <c r="AC1136" t="s">
        <v>59</v>
      </c>
      <c r="AD1136" t="s">
        <v>59</v>
      </c>
      <c r="AE1136" t="s">
        <v>59</v>
      </c>
      <c r="AF1136" t="s">
        <v>61</v>
      </c>
      <c r="AG1136" t="s">
        <v>59</v>
      </c>
      <c r="AH1136" t="s">
        <v>61</v>
      </c>
      <c r="AI1136" t="s">
        <v>61</v>
      </c>
      <c r="AJ1136" t="s">
        <v>59</v>
      </c>
      <c r="AK1136" t="s">
        <v>59</v>
      </c>
      <c r="AL1136" t="s">
        <v>60</v>
      </c>
      <c r="AM1136" t="s">
        <v>59</v>
      </c>
      <c r="AN1136" t="s">
        <v>59</v>
      </c>
      <c r="AO1136" t="s">
        <v>59</v>
      </c>
      <c r="AP1136" t="s">
        <v>2809</v>
      </c>
      <c r="AQ1136" s="1" t="s">
        <v>679</v>
      </c>
      <c r="AR1136" t="s">
        <v>64</v>
      </c>
      <c r="AS1136" t="s">
        <v>171</v>
      </c>
      <c r="AT1136" t="s">
        <v>172</v>
      </c>
      <c r="AU1136" t="s">
        <v>219</v>
      </c>
      <c r="AW1136" s="4">
        <f t="shared" si="598"/>
        <v>6</v>
      </c>
      <c r="AX1136" s="4">
        <f t="shared" si="599"/>
        <v>4</v>
      </c>
      <c r="AY1136" s="4">
        <f t="shared" si="600"/>
        <v>4</v>
      </c>
      <c r="AZ1136" s="4">
        <f t="shared" si="601"/>
        <v>2</v>
      </c>
      <c r="BA1136" s="4">
        <f t="shared" si="602"/>
        <v>4</v>
      </c>
      <c r="BB1136" s="4">
        <f t="shared" si="603"/>
        <v>4</v>
      </c>
      <c r="BC1136" s="4">
        <f t="shared" si="604"/>
        <v>4</v>
      </c>
      <c r="BD1136" s="4">
        <f t="shared" si="605"/>
        <v>2</v>
      </c>
      <c r="BE1136" s="4" t="str">
        <f t="shared" si="606"/>
        <v>0</v>
      </c>
      <c r="BF1136" s="4">
        <f t="shared" si="607"/>
        <v>2</v>
      </c>
      <c r="BG1136" s="4">
        <f t="shared" si="608"/>
        <v>4</v>
      </c>
      <c r="BH1136" s="4">
        <f t="shared" si="609"/>
        <v>4</v>
      </c>
      <c r="BI1136" s="4">
        <f t="shared" si="610"/>
        <v>4</v>
      </c>
      <c r="BJ1136" s="4">
        <f t="shared" si="611"/>
        <v>2</v>
      </c>
      <c r="BK1136" s="4">
        <f t="shared" si="612"/>
        <v>4</v>
      </c>
      <c r="BL1136" s="4">
        <f t="shared" si="613"/>
        <v>2</v>
      </c>
      <c r="BM1136" s="4">
        <f t="shared" si="614"/>
        <v>4</v>
      </c>
      <c r="BN1136" s="4">
        <f t="shared" si="615"/>
        <v>4</v>
      </c>
      <c r="BO1136" s="4">
        <f t="shared" si="616"/>
        <v>4</v>
      </c>
      <c r="BP1136" s="4">
        <f t="shared" si="617"/>
        <v>4</v>
      </c>
      <c r="BQ1136" s="4">
        <f t="shared" si="618"/>
        <v>6</v>
      </c>
      <c r="BR1136" s="4">
        <f t="shared" si="619"/>
        <v>4</v>
      </c>
      <c r="BS1136" s="4">
        <f t="shared" si="620"/>
        <v>4</v>
      </c>
      <c r="BT1136" s="4">
        <f t="shared" si="621"/>
        <v>4</v>
      </c>
      <c r="BU1136" s="4">
        <f t="shared" si="622"/>
        <v>4</v>
      </c>
      <c r="BV1136" s="4" t="str">
        <f t="shared" si="623"/>
        <v>0</v>
      </c>
      <c r="BW1136" s="4">
        <f t="shared" si="624"/>
        <v>6</v>
      </c>
      <c r="BX1136" s="4">
        <f t="shared" si="625"/>
        <v>0</v>
      </c>
      <c r="BY1136" s="4">
        <f t="shared" si="626"/>
        <v>0</v>
      </c>
      <c r="BZ1136" s="37">
        <f t="shared" si="627"/>
        <v>96</v>
      </c>
      <c r="CA1136" s="32" t="str">
        <f>VLOOKUP(J:J,'Agent wise'!A:C,3,0)</f>
        <v>Saran S</v>
      </c>
      <c r="CB1136" s="32">
        <f t="shared" si="628"/>
        <v>45949</v>
      </c>
      <c r="CC1136" t="str">
        <f t="shared" si="629"/>
        <v>Excellent</v>
      </c>
      <c r="CE1136" s="32"/>
      <c r="CJ1136">
        <f t="shared" si="630"/>
        <v>19</v>
      </c>
      <c r="CK1136">
        <f t="shared" si="631"/>
        <v>10</v>
      </c>
      <c r="CL1136">
        <f t="shared" si="632"/>
        <v>2025</v>
      </c>
    </row>
    <row r="1137" spans="1:90" ht="15" customHeight="1" x14ac:dyDescent="0.35">
      <c r="A1137" t="s">
        <v>2810</v>
      </c>
      <c r="B1137" t="s">
        <v>177</v>
      </c>
      <c r="C1137" t="s">
        <v>214</v>
      </c>
      <c r="D1137" t="s">
        <v>178</v>
      </c>
      <c r="E1137" s="32">
        <v>45950</v>
      </c>
      <c r="F1137" t="s">
        <v>54</v>
      </c>
      <c r="G1137" t="s">
        <v>2708</v>
      </c>
      <c r="H1137">
        <v>9840687256</v>
      </c>
      <c r="I1137">
        <v>122</v>
      </c>
      <c r="J1137" t="s">
        <v>96</v>
      </c>
      <c r="K1137" t="s">
        <v>71</v>
      </c>
      <c r="L1137" t="s">
        <v>72</v>
      </c>
      <c r="M1137" t="s">
        <v>59</v>
      </c>
      <c r="N1137" t="s">
        <v>59</v>
      </c>
      <c r="O1137" t="s">
        <v>59</v>
      </c>
      <c r="P1137" t="s">
        <v>59</v>
      </c>
      <c r="Q1137" t="s">
        <v>59</v>
      </c>
      <c r="R1137" t="s">
        <v>59</v>
      </c>
      <c r="S1137" t="s">
        <v>59</v>
      </c>
      <c r="T1137" t="s">
        <v>59</v>
      </c>
      <c r="U1137" t="s">
        <v>59</v>
      </c>
      <c r="V1137" t="s">
        <v>59</v>
      </c>
      <c r="W1137" t="s">
        <v>59</v>
      </c>
      <c r="X1137" t="s">
        <v>59</v>
      </c>
      <c r="Y1137" t="s">
        <v>59</v>
      </c>
      <c r="Z1137" t="s">
        <v>59</v>
      </c>
      <c r="AA1137" t="s">
        <v>59</v>
      </c>
      <c r="AB1137" t="s">
        <v>59</v>
      </c>
      <c r="AC1137" t="s">
        <v>59</v>
      </c>
      <c r="AD1137" t="s">
        <v>59</v>
      </c>
      <c r="AE1137" t="s">
        <v>59</v>
      </c>
      <c r="AF1137" t="s">
        <v>59</v>
      </c>
      <c r="AG1137" t="s">
        <v>59</v>
      </c>
      <c r="AH1137" t="s">
        <v>61</v>
      </c>
      <c r="AI1137" t="s">
        <v>61</v>
      </c>
      <c r="AJ1137" t="s">
        <v>59</v>
      </c>
      <c r="AK1137" t="s">
        <v>59</v>
      </c>
      <c r="AL1137" t="s">
        <v>59</v>
      </c>
      <c r="AM1137" t="s">
        <v>59</v>
      </c>
      <c r="AN1137" t="s">
        <v>59</v>
      </c>
      <c r="AO1137" t="s">
        <v>59</v>
      </c>
      <c r="AP1137" t="s">
        <v>270</v>
      </c>
      <c r="AQ1137" t="s">
        <v>2812</v>
      </c>
      <c r="AR1137" t="s">
        <v>64</v>
      </c>
      <c r="AS1137" t="s">
        <v>1313</v>
      </c>
      <c r="AT1137" t="s">
        <v>1890</v>
      </c>
      <c r="AU1137" t="s">
        <v>219</v>
      </c>
      <c r="AW1137" s="4">
        <f t="shared" si="598"/>
        <v>6</v>
      </c>
      <c r="AX1137" s="4">
        <f t="shared" si="599"/>
        <v>4</v>
      </c>
      <c r="AY1137" s="4">
        <f t="shared" si="600"/>
        <v>4</v>
      </c>
      <c r="AZ1137" s="4">
        <f t="shared" si="601"/>
        <v>2</v>
      </c>
      <c r="BA1137" s="4">
        <f t="shared" si="602"/>
        <v>4</v>
      </c>
      <c r="BB1137" s="4">
        <f t="shared" si="603"/>
        <v>4</v>
      </c>
      <c r="BC1137" s="4">
        <f t="shared" si="604"/>
        <v>4</v>
      </c>
      <c r="BD1137" s="4">
        <f t="shared" si="605"/>
        <v>2</v>
      </c>
      <c r="BE1137" s="4">
        <f t="shared" si="606"/>
        <v>4</v>
      </c>
      <c r="BF1137" s="4">
        <f t="shared" si="607"/>
        <v>2</v>
      </c>
      <c r="BG1137" s="4">
        <f t="shared" si="608"/>
        <v>4</v>
      </c>
      <c r="BH1137" s="4">
        <f t="shared" si="609"/>
        <v>4</v>
      </c>
      <c r="BI1137" s="4">
        <f t="shared" si="610"/>
        <v>4</v>
      </c>
      <c r="BJ1137" s="4">
        <f t="shared" si="611"/>
        <v>2</v>
      </c>
      <c r="BK1137" s="4">
        <f t="shared" si="612"/>
        <v>4</v>
      </c>
      <c r="BL1137" s="4">
        <f t="shared" si="613"/>
        <v>2</v>
      </c>
      <c r="BM1137" s="4">
        <f t="shared" si="614"/>
        <v>4</v>
      </c>
      <c r="BN1137" s="4">
        <f t="shared" si="615"/>
        <v>4</v>
      </c>
      <c r="BO1137" s="4">
        <f t="shared" si="616"/>
        <v>4</v>
      </c>
      <c r="BP1137" s="4">
        <f t="shared" si="617"/>
        <v>4</v>
      </c>
      <c r="BQ1137" s="4">
        <f t="shared" si="618"/>
        <v>6</v>
      </c>
      <c r="BR1137" s="4">
        <f t="shared" si="619"/>
        <v>4</v>
      </c>
      <c r="BS1137" s="4">
        <f t="shared" si="620"/>
        <v>4</v>
      </c>
      <c r="BT1137" s="4">
        <f t="shared" si="621"/>
        <v>4</v>
      </c>
      <c r="BU1137" s="4">
        <f t="shared" si="622"/>
        <v>4</v>
      </c>
      <c r="BV1137" s="4">
        <f t="shared" si="623"/>
        <v>0</v>
      </c>
      <c r="BW1137" s="4">
        <f t="shared" si="624"/>
        <v>6</v>
      </c>
      <c r="BX1137" s="4">
        <f t="shared" si="625"/>
        <v>0</v>
      </c>
      <c r="BY1137" s="4">
        <f t="shared" si="626"/>
        <v>0</v>
      </c>
      <c r="BZ1137" s="37">
        <f t="shared" si="627"/>
        <v>100</v>
      </c>
      <c r="CA1137" s="32" t="str">
        <f>VLOOKUP(J:J,'Agent wise'!A:C,3,0)</f>
        <v xml:space="preserve">Shiny </v>
      </c>
      <c r="CB1137" s="32">
        <f t="shared" si="628"/>
        <v>45950</v>
      </c>
      <c r="CC1137" t="str">
        <f t="shared" si="629"/>
        <v>Excellent</v>
      </c>
      <c r="CE1137" s="32"/>
      <c r="CJ1137">
        <f t="shared" si="630"/>
        <v>20</v>
      </c>
      <c r="CK1137">
        <f t="shared" si="631"/>
        <v>10</v>
      </c>
      <c r="CL1137">
        <f t="shared" si="632"/>
        <v>2025</v>
      </c>
    </row>
    <row r="1138" spans="1:90" ht="15" customHeight="1" x14ac:dyDescent="0.35">
      <c r="A1138" t="s">
        <v>2813</v>
      </c>
      <c r="B1138" t="s">
        <v>51</v>
      </c>
      <c r="C1138" t="s">
        <v>214</v>
      </c>
      <c r="D1138" t="s">
        <v>53</v>
      </c>
      <c r="E1138" s="32">
        <v>45950</v>
      </c>
      <c r="F1138" t="s">
        <v>54</v>
      </c>
      <c r="G1138" t="s">
        <v>2708</v>
      </c>
      <c r="H1138">
        <v>9952652996</v>
      </c>
      <c r="I1138">
        <v>122</v>
      </c>
      <c r="J1138" t="s">
        <v>269</v>
      </c>
      <c r="K1138" t="s">
        <v>86</v>
      </c>
      <c r="L1138" t="s">
        <v>72</v>
      </c>
      <c r="M1138" t="s">
        <v>60</v>
      </c>
      <c r="N1138" t="s">
        <v>59</v>
      </c>
      <c r="O1138" t="s">
        <v>59</v>
      </c>
      <c r="P1138" t="s">
        <v>59</v>
      </c>
      <c r="Q1138" t="s">
        <v>59</v>
      </c>
      <c r="R1138" t="s">
        <v>60</v>
      </c>
      <c r="S1138" t="s">
        <v>59</v>
      </c>
      <c r="T1138" t="s">
        <v>59</v>
      </c>
      <c r="U1138" t="s">
        <v>60</v>
      </c>
      <c r="V1138" t="s">
        <v>59</v>
      </c>
      <c r="W1138" t="s">
        <v>59</v>
      </c>
      <c r="X1138" t="s">
        <v>59</v>
      </c>
      <c r="Y1138" t="s">
        <v>59</v>
      </c>
      <c r="Z1138" t="s">
        <v>59</v>
      </c>
      <c r="AA1138" t="s">
        <v>59</v>
      </c>
      <c r="AB1138" t="s">
        <v>60</v>
      </c>
      <c r="AC1138" t="s">
        <v>61</v>
      </c>
      <c r="AD1138" t="s">
        <v>59</v>
      </c>
      <c r="AE1138" t="s">
        <v>59</v>
      </c>
      <c r="AF1138" t="s">
        <v>61</v>
      </c>
      <c r="AG1138" t="s">
        <v>59</v>
      </c>
      <c r="AH1138" t="s">
        <v>61</v>
      </c>
      <c r="AI1138" t="s">
        <v>61</v>
      </c>
      <c r="AJ1138" t="s">
        <v>59</v>
      </c>
      <c r="AK1138" t="s">
        <v>61</v>
      </c>
      <c r="AL1138" t="s">
        <v>60</v>
      </c>
      <c r="AM1138" t="s">
        <v>59</v>
      </c>
      <c r="AN1138" t="s">
        <v>59</v>
      </c>
      <c r="AO1138" t="s">
        <v>59</v>
      </c>
      <c r="AP1138" t="s">
        <v>2814</v>
      </c>
      <c r="AQ1138" t="s">
        <v>2815</v>
      </c>
      <c r="AR1138" t="s">
        <v>64</v>
      </c>
      <c r="AS1138" t="s">
        <v>2183</v>
      </c>
      <c r="AT1138" t="s">
        <v>136</v>
      </c>
      <c r="AU1138" t="s">
        <v>299</v>
      </c>
      <c r="AW1138" s="4" t="str">
        <f t="shared" si="598"/>
        <v>0</v>
      </c>
      <c r="AX1138" s="4">
        <f t="shared" si="599"/>
        <v>4</v>
      </c>
      <c r="AY1138" s="4">
        <f t="shared" si="600"/>
        <v>4</v>
      </c>
      <c r="AZ1138" s="4">
        <f t="shared" si="601"/>
        <v>2</v>
      </c>
      <c r="BA1138" s="4">
        <f t="shared" si="602"/>
        <v>4</v>
      </c>
      <c r="BB1138" s="4" t="str">
        <f t="shared" si="603"/>
        <v>0</v>
      </c>
      <c r="BC1138" s="4">
        <f t="shared" si="604"/>
        <v>4</v>
      </c>
      <c r="BD1138" s="4">
        <f t="shared" si="605"/>
        <v>2</v>
      </c>
      <c r="BE1138" s="4" t="str">
        <f t="shared" si="606"/>
        <v>0</v>
      </c>
      <c r="BF1138" s="4">
        <f t="shared" si="607"/>
        <v>2</v>
      </c>
      <c r="BG1138" s="4">
        <f t="shared" si="608"/>
        <v>4</v>
      </c>
      <c r="BH1138" s="4">
        <f t="shared" si="609"/>
        <v>4</v>
      </c>
      <c r="BI1138" s="4">
        <f t="shared" si="610"/>
        <v>4</v>
      </c>
      <c r="BJ1138" s="4">
        <f t="shared" si="611"/>
        <v>2</v>
      </c>
      <c r="BK1138" s="4">
        <f t="shared" si="612"/>
        <v>4</v>
      </c>
      <c r="BL1138" s="4" t="str">
        <f t="shared" si="613"/>
        <v>0</v>
      </c>
      <c r="BM1138" s="4">
        <f t="shared" si="614"/>
        <v>4</v>
      </c>
      <c r="BN1138" s="4">
        <f t="shared" si="615"/>
        <v>4</v>
      </c>
      <c r="BO1138" s="4">
        <f t="shared" si="616"/>
        <v>4</v>
      </c>
      <c r="BP1138" s="4">
        <f t="shared" si="617"/>
        <v>4</v>
      </c>
      <c r="BQ1138" s="4">
        <f t="shared" si="618"/>
        <v>6</v>
      </c>
      <c r="BR1138" s="4">
        <f t="shared" si="619"/>
        <v>4</v>
      </c>
      <c r="BS1138" s="4">
        <f t="shared" si="620"/>
        <v>4</v>
      </c>
      <c r="BT1138" s="4">
        <f t="shared" si="621"/>
        <v>4</v>
      </c>
      <c r="BU1138" s="4">
        <f t="shared" si="622"/>
        <v>4</v>
      </c>
      <c r="BV1138" s="4" t="str">
        <f t="shared" si="623"/>
        <v>0</v>
      </c>
      <c r="BW1138" s="4">
        <f t="shared" si="624"/>
        <v>6</v>
      </c>
      <c r="BX1138" s="4">
        <f t="shared" si="625"/>
        <v>0</v>
      </c>
      <c r="BY1138" s="4">
        <f t="shared" si="626"/>
        <v>0</v>
      </c>
      <c r="BZ1138" s="37">
        <f t="shared" si="627"/>
        <v>84</v>
      </c>
      <c r="CA1138" s="32" t="str">
        <f>VLOOKUP(J:J,'Agent wise'!A:C,3,0)</f>
        <v xml:space="preserve">Shiny </v>
      </c>
      <c r="CB1138" s="32">
        <f t="shared" si="628"/>
        <v>45950</v>
      </c>
      <c r="CC1138" t="str">
        <f t="shared" si="629"/>
        <v>FC</v>
      </c>
      <c r="CE1138" s="32"/>
      <c r="CJ1138">
        <f t="shared" si="630"/>
        <v>20</v>
      </c>
      <c r="CK1138">
        <f t="shared" si="631"/>
        <v>10</v>
      </c>
      <c r="CL1138">
        <f t="shared" si="632"/>
        <v>2025</v>
      </c>
    </row>
    <row r="1139" spans="1:90" ht="15" customHeight="1" x14ac:dyDescent="0.35">
      <c r="A1139" t="s">
        <v>2816</v>
      </c>
      <c r="B1139" t="s">
        <v>51</v>
      </c>
      <c r="C1139" t="s">
        <v>214</v>
      </c>
      <c r="D1139" t="s">
        <v>53</v>
      </c>
      <c r="E1139" s="32">
        <v>45950</v>
      </c>
      <c r="F1139" t="s">
        <v>54</v>
      </c>
      <c r="G1139" t="s">
        <v>2708</v>
      </c>
      <c r="H1139">
        <v>9207550231</v>
      </c>
      <c r="I1139">
        <v>140</v>
      </c>
      <c r="J1139" t="s">
        <v>238</v>
      </c>
      <c r="K1139" t="s">
        <v>57</v>
      </c>
      <c r="L1139" t="s">
        <v>58</v>
      </c>
      <c r="M1139" t="s">
        <v>60</v>
      </c>
      <c r="N1139" t="s">
        <v>59</v>
      </c>
      <c r="O1139" t="s">
        <v>59</v>
      </c>
      <c r="P1139" t="s">
        <v>59</v>
      </c>
      <c r="Q1139" t="s">
        <v>59</v>
      </c>
      <c r="R1139" t="s">
        <v>60</v>
      </c>
      <c r="S1139" t="s">
        <v>59</v>
      </c>
      <c r="T1139" t="s">
        <v>59</v>
      </c>
      <c r="U1139" t="s">
        <v>60</v>
      </c>
      <c r="V1139" t="s">
        <v>59</v>
      </c>
      <c r="W1139" t="s">
        <v>59</v>
      </c>
      <c r="X1139" t="s">
        <v>59</v>
      </c>
      <c r="Y1139" t="s">
        <v>59</v>
      </c>
      <c r="Z1139" t="s">
        <v>59</v>
      </c>
      <c r="AA1139" t="s">
        <v>60</v>
      </c>
      <c r="AB1139" t="s">
        <v>61</v>
      </c>
      <c r="AC1139" t="s">
        <v>60</v>
      </c>
      <c r="AD1139" t="s">
        <v>59</v>
      </c>
      <c r="AE1139" t="s">
        <v>59</v>
      </c>
      <c r="AF1139" t="s">
        <v>61</v>
      </c>
      <c r="AG1139" t="s">
        <v>59</v>
      </c>
      <c r="AH1139" t="s">
        <v>61</v>
      </c>
      <c r="AI1139" t="s">
        <v>61</v>
      </c>
      <c r="AJ1139" t="s">
        <v>59</v>
      </c>
      <c r="AK1139" t="s">
        <v>61</v>
      </c>
      <c r="AL1139" t="s">
        <v>60</v>
      </c>
      <c r="AM1139" t="s">
        <v>59</v>
      </c>
      <c r="AN1139" t="s">
        <v>59</v>
      </c>
      <c r="AO1139" t="s">
        <v>59</v>
      </c>
      <c r="AP1139" t="s">
        <v>2817</v>
      </c>
      <c r="AQ1139" t="s">
        <v>2818</v>
      </c>
      <c r="AR1139" t="s">
        <v>64</v>
      </c>
      <c r="AS1139" t="s">
        <v>241</v>
      </c>
      <c r="AT1139" t="s">
        <v>267</v>
      </c>
      <c r="AU1139" t="s">
        <v>299</v>
      </c>
      <c r="AW1139" s="4" t="str">
        <f t="shared" si="598"/>
        <v>0</v>
      </c>
      <c r="AX1139" s="4">
        <f t="shared" si="599"/>
        <v>4</v>
      </c>
      <c r="AY1139" s="4">
        <f t="shared" si="600"/>
        <v>4</v>
      </c>
      <c r="AZ1139" s="4">
        <f t="shared" si="601"/>
        <v>2</v>
      </c>
      <c r="BA1139" s="4">
        <f t="shared" si="602"/>
        <v>4</v>
      </c>
      <c r="BB1139" s="4" t="str">
        <f t="shared" si="603"/>
        <v>0</v>
      </c>
      <c r="BC1139" s="4">
        <f t="shared" si="604"/>
        <v>4</v>
      </c>
      <c r="BD1139" s="4">
        <f t="shared" si="605"/>
        <v>2</v>
      </c>
      <c r="BE1139" s="4" t="str">
        <f t="shared" si="606"/>
        <v>0</v>
      </c>
      <c r="BF1139" s="4">
        <f t="shared" si="607"/>
        <v>2</v>
      </c>
      <c r="BG1139" s="4">
        <f t="shared" si="608"/>
        <v>4</v>
      </c>
      <c r="BH1139" s="4">
        <f t="shared" si="609"/>
        <v>4</v>
      </c>
      <c r="BI1139" s="4">
        <f t="shared" si="610"/>
        <v>4</v>
      </c>
      <c r="BJ1139" s="4">
        <f t="shared" si="611"/>
        <v>2</v>
      </c>
      <c r="BK1139" s="4" t="str">
        <f t="shared" si="612"/>
        <v>0</v>
      </c>
      <c r="BL1139" s="4">
        <f t="shared" si="613"/>
        <v>2</v>
      </c>
      <c r="BM1139" s="4" t="str">
        <f t="shared" si="614"/>
        <v>0</v>
      </c>
      <c r="BN1139" s="4">
        <f t="shared" si="615"/>
        <v>4</v>
      </c>
      <c r="BO1139" s="4">
        <f t="shared" si="616"/>
        <v>4</v>
      </c>
      <c r="BP1139" s="4">
        <f t="shared" si="617"/>
        <v>4</v>
      </c>
      <c r="BQ1139" s="4">
        <f t="shared" si="618"/>
        <v>6</v>
      </c>
      <c r="BR1139" s="4">
        <f t="shared" si="619"/>
        <v>4</v>
      </c>
      <c r="BS1139" s="4">
        <f t="shared" si="620"/>
        <v>4</v>
      </c>
      <c r="BT1139" s="4">
        <f t="shared" si="621"/>
        <v>4</v>
      </c>
      <c r="BU1139" s="4">
        <f t="shared" si="622"/>
        <v>4</v>
      </c>
      <c r="BV1139" s="4" t="str">
        <f t="shared" si="623"/>
        <v>0</v>
      </c>
      <c r="BW1139" s="4">
        <f t="shared" si="624"/>
        <v>6</v>
      </c>
      <c r="BX1139" s="4">
        <f t="shared" si="625"/>
        <v>0</v>
      </c>
      <c r="BY1139" s="4">
        <f t="shared" si="626"/>
        <v>0</v>
      </c>
      <c r="BZ1139" s="37">
        <f t="shared" si="627"/>
        <v>78</v>
      </c>
      <c r="CA1139" s="32" t="str">
        <f>VLOOKUP(J:J,'Agent wise'!A:C,3,0)</f>
        <v xml:space="preserve">Shiny </v>
      </c>
      <c r="CB1139" s="32">
        <f t="shared" si="628"/>
        <v>45950</v>
      </c>
      <c r="CC1139" t="str">
        <f t="shared" si="629"/>
        <v>FC</v>
      </c>
      <c r="CE1139" s="32"/>
      <c r="CJ1139">
        <f t="shared" si="630"/>
        <v>20</v>
      </c>
      <c r="CK1139">
        <f t="shared" si="631"/>
        <v>10</v>
      </c>
      <c r="CL1139">
        <f t="shared" si="632"/>
        <v>2025</v>
      </c>
    </row>
    <row r="1140" spans="1:90" ht="15" customHeight="1" x14ac:dyDescent="0.35">
      <c r="A1140" t="s">
        <v>2819</v>
      </c>
      <c r="B1140" t="s">
        <v>51</v>
      </c>
      <c r="C1140" t="s">
        <v>214</v>
      </c>
      <c r="D1140" t="s">
        <v>53</v>
      </c>
      <c r="E1140" s="32">
        <v>45950</v>
      </c>
      <c r="F1140" t="s">
        <v>54</v>
      </c>
      <c r="G1140" t="s">
        <v>2708</v>
      </c>
      <c r="H1140">
        <v>9789460569</v>
      </c>
      <c r="I1140">
        <v>271</v>
      </c>
      <c r="J1140" t="s">
        <v>335</v>
      </c>
      <c r="K1140" t="s">
        <v>71</v>
      </c>
      <c r="L1140" t="s">
        <v>72</v>
      </c>
      <c r="M1140" t="s">
        <v>59</v>
      </c>
      <c r="N1140" t="s">
        <v>59</v>
      </c>
      <c r="O1140" t="s">
        <v>59</v>
      </c>
      <c r="P1140" t="s">
        <v>59</v>
      </c>
      <c r="Q1140" t="s">
        <v>59</v>
      </c>
      <c r="R1140" t="s">
        <v>60</v>
      </c>
      <c r="S1140" t="s">
        <v>59</v>
      </c>
      <c r="T1140" t="s">
        <v>59</v>
      </c>
      <c r="U1140" t="s">
        <v>60</v>
      </c>
      <c r="V1140" t="s">
        <v>59</v>
      </c>
      <c r="W1140" t="s">
        <v>59</v>
      </c>
      <c r="X1140" t="s">
        <v>59</v>
      </c>
      <c r="Y1140" t="s">
        <v>59</v>
      </c>
      <c r="Z1140" t="s">
        <v>59</v>
      </c>
      <c r="AA1140" t="s">
        <v>60</v>
      </c>
      <c r="AB1140" t="s">
        <v>59</v>
      </c>
      <c r="AC1140" t="s">
        <v>60</v>
      </c>
      <c r="AD1140" t="s">
        <v>59</v>
      </c>
      <c r="AE1140" t="s">
        <v>59</v>
      </c>
      <c r="AF1140" t="s">
        <v>61</v>
      </c>
      <c r="AG1140" t="s">
        <v>59</v>
      </c>
      <c r="AH1140" t="s">
        <v>61</v>
      </c>
      <c r="AI1140" t="s">
        <v>60</v>
      </c>
      <c r="AJ1140" t="s">
        <v>59</v>
      </c>
      <c r="AK1140" t="s">
        <v>61</v>
      </c>
      <c r="AL1140" t="s">
        <v>60</v>
      </c>
      <c r="AM1140" t="s">
        <v>59</v>
      </c>
      <c r="AN1140" t="s">
        <v>59</v>
      </c>
      <c r="AO1140" t="s">
        <v>59</v>
      </c>
      <c r="AP1140" t="s">
        <v>2820</v>
      </c>
      <c r="AQ1140" t="s">
        <v>77</v>
      </c>
      <c r="AR1140" t="s">
        <v>64</v>
      </c>
      <c r="AS1140" t="s">
        <v>78</v>
      </c>
      <c r="AT1140" t="s">
        <v>66</v>
      </c>
      <c r="AU1140" t="s">
        <v>299</v>
      </c>
      <c r="AW1140" s="4">
        <f t="shared" si="598"/>
        <v>6</v>
      </c>
      <c r="AX1140" s="4">
        <f t="shared" si="599"/>
        <v>4</v>
      </c>
      <c r="AY1140" s="4">
        <f t="shared" si="600"/>
        <v>4</v>
      </c>
      <c r="AZ1140" s="4">
        <f t="shared" si="601"/>
        <v>2</v>
      </c>
      <c r="BA1140" s="4">
        <f t="shared" si="602"/>
        <v>4</v>
      </c>
      <c r="BB1140" s="4" t="str">
        <f t="shared" si="603"/>
        <v>0</v>
      </c>
      <c r="BC1140" s="4">
        <f t="shared" si="604"/>
        <v>4</v>
      </c>
      <c r="BD1140" s="4">
        <f t="shared" si="605"/>
        <v>2</v>
      </c>
      <c r="BE1140" s="4" t="str">
        <f t="shared" si="606"/>
        <v>0</v>
      </c>
      <c r="BF1140" s="4">
        <f t="shared" si="607"/>
        <v>2</v>
      </c>
      <c r="BG1140" s="4">
        <f t="shared" si="608"/>
        <v>4</v>
      </c>
      <c r="BH1140" s="4">
        <f t="shared" si="609"/>
        <v>4</v>
      </c>
      <c r="BI1140" s="4">
        <f t="shared" si="610"/>
        <v>4</v>
      </c>
      <c r="BJ1140" s="4">
        <f t="shared" si="611"/>
        <v>2</v>
      </c>
      <c r="BK1140" s="4" t="str">
        <f t="shared" si="612"/>
        <v>0</v>
      </c>
      <c r="BL1140" s="4">
        <f t="shared" si="613"/>
        <v>2</v>
      </c>
      <c r="BM1140" s="4" t="str">
        <f t="shared" si="614"/>
        <v>0</v>
      </c>
      <c r="BN1140" s="4">
        <f t="shared" si="615"/>
        <v>4</v>
      </c>
      <c r="BO1140" s="4">
        <f t="shared" si="616"/>
        <v>4</v>
      </c>
      <c r="BP1140" s="4">
        <f t="shared" si="617"/>
        <v>4</v>
      </c>
      <c r="BQ1140" s="4">
        <f t="shared" si="618"/>
        <v>6</v>
      </c>
      <c r="BR1140" s="4">
        <f t="shared" si="619"/>
        <v>4</v>
      </c>
      <c r="BS1140" s="4" t="str">
        <f t="shared" si="620"/>
        <v>0</v>
      </c>
      <c r="BT1140" s="4">
        <f t="shared" si="621"/>
        <v>4</v>
      </c>
      <c r="BU1140" s="4">
        <f t="shared" si="622"/>
        <v>4</v>
      </c>
      <c r="BV1140" s="4" t="str">
        <f t="shared" si="623"/>
        <v>0</v>
      </c>
      <c r="BW1140" s="4">
        <f t="shared" si="624"/>
        <v>6</v>
      </c>
      <c r="BX1140" s="4">
        <f t="shared" si="625"/>
        <v>0</v>
      </c>
      <c r="BY1140" s="4">
        <f t="shared" si="626"/>
        <v>0</v>
      </c>
      <c r="BZ1140" s="37">
        <f t="shared" si="627"/>
        <v>80</v>
      </c>
      <c r="CA1140" s="32" t="str">
        <f>VLOOKUP(J:J,'Agent wise'!A:C,3,0)</f>
        <v xml:space="preserve">Shiny </v>
      </c>
      <c r="CB1140" s="32">
        <f t="shared" si="628"/>
        <v>45950</v>
      </c>
      <c r="CC1140" t="str">
        <f t="shared" si="629"/>
        <v>FC</v>
      </c>
      <c r="CE1140" s="32"/>
      <c r="CJ1140">
        <f t="shared" si="630"/>
        <v>20</v>
      </c>
      <c r="CK1140">
        <f t="shared" si="631"/>
        <v>10</v>
      </c>
      <c r="CL1140">
        <f t="shared" si="632"/>
        <v>2025</v>
      </c>
    </row>
    <row r="1141" spans="1:90" ht="15" customHeight="1" x14ac:dyDescent="0.35">
      <c r="A1141" t="s">
        <v>2821</v>
      </c>
      <c r="B1141" t="s">
        <v>51</v>
      </c>
      <c r="C1141" t="s">
        <v>214</v>
      </c>
      <c r="D1141" t="s">
        <v>53</v>
      </c>
      <c r="E1141" s="32">
        <v>45950</v>
      </c>
      <c r="F1141" t="s">
        <v>54</v>
      </c>
      <c r="G1141" t="s">
        <v>2708</v>
      </c>
      <c r="H1141">
        <v>9947021210</v>
      </c>
      <c r="I1141">
        <v>251</v>
      </c>
      <c r="J1141" t="s">
        <v>204</v>
      </c>
      <c r="K1141" t="s">
        <v>57</v>
      </c>
      <c r="L1141" t="s">
        <v>58</v>
      </c>
      <c r="M1141" t="s">
        <v>59</v>
      </c>
      <c r="N1141" t="s">
        <v>59</v>
      </c>
      <c r="O1141" t="s">
        <v>59</v>
      </c>
      <c r="P1141" t="s">
        <v>59</v>
      </c>
      <c r="Q1141" t="s">
        <v>59</v>
      </c>
      <c r="R1141" t="s">
        <v>60</v>
      </c>
      <c r="S1141" t="s">
        <v>59</v>
      </c>
      <c r="T1141" t="s">
        <v>59</v>
      </c>
      <c r="U1141" t="s">
        <v>59</v>
      </c>
      <c r="V1141" t="s">
        <v>59</v>
      </c>
      <c r="W1141" t="s">
        <v>59</v>
      </c>
      <c r="X1141" t="s">
        <v>59</v>
      </c>
      <c r="Y1141" t="s">
        <v>59</v>
      </c>
      <c r="Z1141" t="s">
        <v>59</v>
      </c>
      <c r="AA1141" t="s">
        <v>59</v>
      </c>
      <c r="AB1141" t="s">
        <v>59</v>
      </c>
      <c r="AC1141" t="s">
        <v>60</v>
      </c>
      <c r="AD1141" t="s">
        <v>59</v>
      </c>
      <c r="AE1141" t="s">
        <v>59</v>
      </c>
      <c r="AF1141" t="s">
        <v>59</v>
      </c>
      <c r="AG1141" t="s">
        <v>59</v>
      </c>
      <c r="AH1141" t="s">
        <v>61</v>
      </c>
      <c r="AI1141" t="s">
        <v>60</v>
      </c>
      <c r="AJ1141" t="s">
        <v>59</v>
      </c>
      <c r="AK1141" t="s">
        <v>61</v>
      </c>
      <c r="AL1141" t="s">
        <v>60</v>
      </c>
      <c r="AM1141" t="s">
        <v>59</v>
      </c>
      <c r="AN1141" t="s">
        <v>59</v>
      </c>
      <c r="AO1141" t="s">
        <v>59</v>
      </c>
      <c r="AP1141" t="s">
        <v>592</v>
      </c>
      <c r="AQ1141" t="s">
        <v>506</v>
      </c>
      <c r="AR1141" t="s">
        <v>64</v>
      </c>
      <c r="AS1141" t="s">
        <v>65</v>
      </c>
      <c r="AT1141" t="s">
        <v>66</v>
      </c>
      <c r="AU1141" t="s">
        <v>299</v>
      </c>
      <c r="AW1141" s="4">
        <f t="shared" si="598"/>
        <v>6</v>
      </c>
      <c r="AX1141" s="4">
        <f t="shared" si="599"/>
        <v>4</v>
      </c>
      <c r="AY1141" s="4">
        <f t="shared" si="600"/>
        <v>4</v>
      </c>
      <c r="AZ1141" s="4">
        <f t="shared" si="601"/>
        <v>2</v>
      </c>
      <c r="BA1141" s="4">
        <f t="shared" si="602"/>
        <v>4</v>
      </c>
      <c r="BB1141" s="4" t="str">
        <f t="shared" si="603"/>
        <v>0</v>
      </c>
      <c r="BC1141" s="4">
        <f t="shared" si="604"/>
        <v>4</v>
      </c>
      <c r="BD1141" s="4">
        <f t="shared" si="605"/>
        <v>2</v>
      </c>
      <c r="BE1141" s="4">
        <f t="shared" si="606"/>
        <v>4</v>
      </c>
      <c r="BF1141" s="4">
        <f t="shared" si="607"/>
        <v>2</v>
      </c>
      <c r="BG1141" s="4">
        <f t="shared" si="608"/>
        <v>4</v>
      </c>
      <c r="BH1141" s="4">
        <f t="shared" si="609"/>
        <v>4</v>
      </c>
      <c r="BI1141" s="4">
        <f t="shared" si="610"/>
        <v>4</v>
      </c>
      <c r="BJ1141" s="4">
        <f t="shared" si="611"/>
        <v>2</v>
      </c>
      <c r="BK1141" s="4">
        <f t="shared" si="612"/>
        <v>4</v>
      </c>
      <c r="BL1141" s="4">
        <f t="shared" si="613"/>
        <v>2</v>
      </c>
      <c r="BM1141" s="4" t="str">
        <f t="shared" si="614"/>
        <v>0</v>
      </c>
      <c r="BN1141" s="4">
        <f t="shared" si="615"/>
        <v>4</v>
      </c>
      <c r="BO1141" s="4">
        <f t="shared" si="616"/>
        <v>4</v>
      </c>
      <c r="BP1141" s="4">
        <f t="shared" si="617"/>
        <v>4</v>
      </c>
      <c r="BQ1141" s="4">
        <f t="shared" si="618"/>
        <v>6</v>
      </c>
      <c r="BR1141" s="4">
        <f t="shared" si="619"/>
        <v>4</v>
      </c>
      <c r="BS1141" s="4" t="str">
        <f t="shared" si="620"/>
        <v>0</v>
      </c>
      <c r="BT1141" s="4">
        <f t="shared" si="621"/>
        <v>4</v>
      </c>
      <c r="BU1141" s="4">
        <f t="shared" si="622"/>
        <v>4</v>
      </c>
      <c r="BV1141" s="4" t="str">
        <f t="shared" si="623"/>
        <v>0</v>
      </c>
      <c r="BW1141" s="4">
        <f t="shared" si="624"/>
        <v>6</v>
      </c>
      <c r="BX1141" s="4">
        <f t="shared" si="625"/>
        <v>0</v>
      </c>
      <c r="BY1141" s="4">
        <f t="shared" si="626"/>
        <v>0</v>
      </c>
      <c r="BZ1141" s="37">
        <f t="shared" si="627"/>
        <v>88</v>
      </c>
      <c r="CA1141" s="32" t="str">
        <f>VLOOKUP(J:J,'Agent wise'!A:C,3,0)</f>
        <v xml:space="preserve">Shiny </v>
      </c>
      <c r="CB1141" s="32">
        <f t="shared" si="628"/>
        <v>45950</v>
      </c>
      <c r="CC1141" t="str">
        <f t="shared" si="629"/>
        <v>Average</v>
      </c>
      <c r="CE1141" s="32"/>
      <c r="CJ1141">
        <f t="shared" si="630"/>
        <v>20</v>
      </c>
      <c r="CK1141">
        <f t="shared" si="631"/>
        <v>10</v>
      </c>
      <c r="CL1141">
        <f t="shared" si="632"/>
        <v>2025</v>
      </c>
    </row>
    <row r="1142" spans="1:90" ht="15" customHeight="1" x14ac:dyDescent="0.35">
      <c r="A1142" t="s">
        <v>2822</v>
      </c>
      <c r="B1142" t="s">
        <v>51</v>
      </c>
      <c r="C1142" t="s">
        <v>214</v>
      </c>
      <c r="D1142" t="s">
        <v>53</v>
      </c>
      <c r="E1142" s="32">
        <v>45950</v>
      </c>
      <c r="F1142" t="s">
        <v>90</v>
      </c>
      <c r="G1142" t="s">
        <v>2708</v>
      </c>
      <c r="H1142">
        <v>9443046929</v>
      </c>
      <c r="I1142">
        <v>210</v>
      </c>
      <c r="J1142" t="s">
        <v>552</v>
      </c>
      <c r="K1142" t="s">
        <v>71</v>
      </c>
      <c r="L1142" t="s">
        <v>72</v>
      </c>
      <c r="M1142" t="s">
        <v>59</v>
      </c>
      <c r="N1142" t="s">
        <v>59</v>
      </c>
      <c r="O1142" t="s">
        <v>59</v>
      </c>
      <c r="P1142" t="s">
        <v>59</v>
      </c>
      <c r="Q1142" t="s">
        <v>59</v>
      </c>
      <c r="R1142" t="s">
        <v>60</v>
      </c>
      <c r="S1142" t="s">
        <v>59</v>
      </c>
      <c r="T1142" t="s">
        <v>59</v>
      </c>
      <c r="U1142" t="s">
        <v>60</v>
      </c>
      <c r="V1142" t="s">
        <v>59</v>
      </c>
      <c r="W1142" t="s">
        <v>59</v>
      </c>
      <c r="X1142" t="s">
        <v>59</v>
      </c>
      <c r="Y1142" t="s">
        <v>59</v>
      </c>
      <c r="Z1142" t="s">
        <v>59</v>
      </c>
      <c r="AA1142" t="s">
        <v>59</v>
      </c>
      <c r="AB1142" t="s">
        <v>60</v>
      </c>
      <c r="AC1142" t="s">
        <v>61</v>
      </c>
      <c r="AD1142" t="s">
        <v>59</v>
      </c>
      <c r="AE1142" t="s">
        <v>60</v>
      </c>
      <c r="AF1142" t="s">
        <v>61</v>
      </c>
      <c r="AG1142" t="s">
        <v>59</v>
      </c>
      <c r="AH1142" t="s">
        <v>61</v>
      </c>
      <c r="AI1142" t="s">
        <v>61</v>
      </c>
      <c r="AJ1142" t="s">
        <v>59</v>
      </c>
      <c r="AK1142" t="s">
        <v>61</v>
      </c>
      <c r="AL1142" t="s">
        <v>60</v>
      </c>
      <c r="AM1142" t="s">
        <v>59</v>
      </c>
      <c r="AN1142" t="s">
        <v>59</v>
      </c>
      <c r="AO1142" t="s">
        <v>59</v>
      </c>
      <c r="AP1142" t="s">
        <v>2823</v>
      </c>
      <c r="AQ1142" t="s">
        <v>2824</v>
      </c>
      <c r="AR1142" t="s">
        <v>64</v>
      </c>
      <c r="AS1142" t="s">
        <v>202</v>
      </c>
      <c r="AT1142" t="s">
        <v>203</v>
      </c>
      <c r="AU1142" t="s">
        <v>448</v>
      </c>
      <c r="AW1142" s="4">
        <f t="shared" si="598"/>
        <v>6</v>
      </c>
      <c r="AX1142" s="4">
        <f t="shared" si="599"/>
        <v>4</v>
      </c>
      <c r="AY1142" s="4">
        <f t="shared" si="600"/>
        <v>4</v>
      </c>
      <c r="AZ1142" s="4">
        <f t="shared" si="601"/>
        <v>2</v>
      </c>
      <c r="BA1142" s="4">
        <f t="shared" si="602"/>
        <v>4</v>
      </c>
      <c r="BB1142" s="4" t="str">
        <f t="shared" si="603"/>
        <v>0</v>
      </c>
      <c r="BC1142" s="4">
        <f t="shared" si="604"/>
        <v>4</v>
      </c>
      <c r="BD1142" s="4">
        <f t="shared" si="605"/>
        <v>2</v>
      </c>
      <c r="BE1142" s="4" t="str">
        <f t="shared" si="606"/>
        <v>0</v>
      </c>
      <c r="BF1142" s="4">
        <f t="shared" si="607"/>
        <v>2</v>
      </c>
      <c r="BG1142" s="4">
        <f t="shared" si="608"/>
        <v>4</v>
      </c>
      <c r="BH1142" s="4">
        <f t="shared" si="609"/>
        <v>4</v>
      </c>
      <c r="BI1142" s="4">
        <f t="shared" si="610"/>
        <v>4</v>
      </c>
      <c r="BJ1142" s="4">
        <f t="shared" si="611"/>
        <v>2</v>
      </c>
      <c r="BK1142" s="4">
        <f t="shared" si="612"/>
        <v>4</v>
      </c>
      <c r="BL1142" s="4" t="str">
        <f t="shared" si="613"/>
        <v>0</v>
      </c>
      <c r="BM1142" s="4">
        <f t="shared" si="614"/>
        <v>4</v>
      </c>
      <c r="BN1142" s="4">
        <f t="shared" si="615"/>
        <v>4</v>
      </c>
      <c r="BO1142" s="4" t="str">
        <f t="shared" si="616"/>
        <v>0</v>
      </c>
      <c r="BP1142" s="4">
        <f t="shared" si="617"/>
        <v>4</v>
      </c>
      <c r="BQ1142" s="4">
        <f t="shared" si="618"/>
        <v>6</v>
      </c>
      <c r="BR1142" s="4">
        <f t="shared" si="619"/>
        <v>4</v>
      </c>
      <c r="BS1142" s="4">
        <f t="shared" si="620"/>
        <v>4</v>
      </c>
      <c r="BT1142" s="4">
        <f t="shared" si="621"/>
        <v>4</v>
      </c>
      <c r="BU1142" s="4">
        <f t="shared" si="622"/>
        <v>4</v>
      </c>
      <c r="BV1142" s="4" t="str">
        <f t="shared" si="623"/>
        <v>0</v>
      </c>
      <c r="BW1142" s="4">
        <f t="shared" si="624"/>
        <v>6</v>
      </c>
      <c r="BX1142" s="4">
        <f t="shared" si="625"/>
        <v>0</v>
      </c>
      <c r="BY1142" s="4">
        <f t="shared" si="626"/>
        <v>0</v>
      </c>
      <c r="BZ1142" s="37">
        <f t="shared" si="627"/>
        <v>86</v>
      </c>
      <c r="CA1142" s="32" t="str">
        <f>VLOOKUP(J:J,'Agent wise'!A:C,3,0)</f>
        <v xml:space="preserve">Shiny </v>
      </c>
      <c r="CB1142" s="32">
        <f t="shared" si="628"/>
        <v>45950</v>
      </c>
      <c r="CC1142" t="str">
        <f t="shared" si="629"/>
        <v>Average</v>
      </c>
      <c r="CE1142" s="32"/>
      <c r="CJ1142">
        <f t="shared" si="630"/>
        <v>20</v>
      </c>
      <c r="CK1142">
        <f t="shared" si="631"/>
        <v>10</v>
      </c>
      <c r="CL1142">
        <f t="shared" si="632"/>
        <v>2025</v>
      </c>
    </row>
    <row r="1143" spans="1:90" ht="15" customHeight="1" x14ac:dyDescent="0.35">
      <c r="A1143" t="s">
        <v>2825</v>
      </c>
      <c r="B1143" t="s">
        <v>177</v>
      </c>
      <c r="C1143" t="s">
        <v>214</v>
      </c>
      <c r="D1143" t="s">
        <v>178</v>
      </c>
      <c r="E1143" s="32">
        <v>45950</v>
      </c>
      <c r="F1143" t="s">
        <v>54</v>
      </c>
      <c r="G1143" t="s">
        <v>2708</v>
      </c>
      <c r="H1143">
        <v>9895173161</v>
      </c>
      <c r="I1143">
        <v>139</v>
      </c>
      <c r="J1143" t="s">
        <v>2624</v>
      </c>
      <c r="K1143" t="s">
        <v>57</v>
      </c>
      <c r="L1143" t="s">
        <v>72</v>
      </c>
      <c r="M1143" t="s">
        <v>59</v>
      </c>
      <c r="N1143" t="s">
        <v>59</v>
      </c>
      <c r="O1143" t="s">
        <v>59</v>
      </c>
      <c r="P1143" t="s">
        <v>59</v>
      </c>
      <c r="Q1143" t="s">
        <v>59</v>
      </c>
      <c r="R1143" t="s">
        <v>59</v>
      </c>
      <c r="S1143" t="s">
        <v>59</v>
      </c>
      <c r="T1143" t="s">
        <v>59</v>
      </c>
      <c r="U1143" t="s">
        <v>59</v>
      </c>
      <c r="V1143" t="s">
        <v>59</v>
      </c>
      <c r="W1143" t="s">
        <v>59</v>
      </c>
      <c r="X1143" t="s">
        <v>59</v>
      </c>
      <c r="Y1143" t="s">
        <v>59</v>
      </c>
      <c r="Z1143" t="s">
        <v>59</v>
      </c>
      <c r="AA1143" t="s">
        <v>59</v>
      </c>
      <c r="AB1143" t="s">
        <v>59</v>
      </c>
      <c r="AC1143" t="s">
        <v>60</v>
      </c>
      <c r="AD1143" t="s">
        <v>61</v>
      </c>
      <c r="AE1143" t="s">
        <v>59</v>
      </c>
      <c r="AF1143" t="s">
        <v>59</v>
      </c>
      <c r="AG1143" t="s">
        <v>59</v>
      </c>
      <c r="AH1143" t="s">
        <v>59</v>
      </c>
      <c r="AI1143" t="s">
        <v>61</v>
      </c>
      <c r="AJ1143" t="s">
        <v>59</v>
      </c>
      <c r="AK1143" t="s">
        <v>59</v>
      </c>
      <c r="AL1143" t="s">
        <v>59</v>
      </c>
      <c r="AM1143" t="s">
        <v>59</v>
      </c>
      <c r="AN1143" t="s">
        <v>59</v>
      </c>
      <c r="AO1143" t="s">
        <v>59</v>
      </c>
      <c r="AP1143" t="s">
        <v>499</v>
      </c>
      <c r="AQ1143" t="s">
        <v>1878</v>
      </c>
      <c r="AR1143" t="s">
        <v>64</v>
      </c>
      <c r="AS1143" t="s">
        <v>89</v>
      </c>
      <c r="AT1143" t="s">
        <v>293</v>
      </c>
      <c r="AU1143" t="s">
        <v>219</v>
      </c>
      <c r="AW1143" s="4">
        <f t="shared" si="598"/>
        <v>6</v>
      </c>
      <c r="AX1143" s="4">
        <f t="shared" si="599"/>
        <v>4</v>
      </c>
      <c r="AY1143" s="4">
        <f t="shared" si="600"/>
        <v>4</v>
      </c>
      <c r="AZ1143" s="4">
        <f t="shared" si="601"/>
        <v>2</v>
      </c>
      <c r="BA1143" s="4">
        <f t="shared" si="602"/>
        <v>4</v>
      </c>
      <c r="BB1143" s="4">
        <f t="shared" si="603"/>
        <v>4</v>
      </c>
      <c r="BC1143" s="4">
        <f t="shared" si="604"/>
        <v>4</v>
      </c>
      <c r="BD1143" s="4">
        <f t="shared" si="605"/>
        <v>2</v>
      </c>
      <c r="BE1143" s="4">
        <f t="shared" si="606"/>
        <v>4</v>
      </c>
      <c r="BF1143" s="4">
        <f t="shared" si="607"/>
        <v>2</v>
      </c>
      <c r="BG1143" s="4">
        <f t="shared" si="608"/>
        <v>4</v>
      </c>
      <c r="BH1143" s="4">
        <f t="shared" si="609"/>
        <v>4</v>
      </c>
      <c r="BI1143" s="4">
        <f t="shared" si="610"/>
        <v>4</v>
      </c>
      <c r="BJ1143" s="4">
        <f t="shared" si="611"/>
        <v>2</v>
      </c>
      <c r="BK1143" s="4">
        <f t="shared" si="612"/>
        <v>4</v>
      </c>
      <c r="BL1143" s="4">
        <f t="shared" si="613"/>
        <v>2</v>
      </c>
      <c r="BM1143" s="4" t="str">
        <f t="shared" si="614"/>
        <v>0</v>
      </c>
      <c r="BN1143" s="4">
        <f t="shared" si="615"/>
        <v>4</v>
      </c>
      <c r="BO1143" s="4">
        <f t="shared" si="616"/>
        <v>4</v>
      </c>
      <c r="BP1143" s="4">
        <f t="shared" si="617"/>
        <v>4</v>
      </c>
      <c r="BQ1143" s="4">
        <f t="shared" si="618"/>
        <v>6</v>
      </c>
      <c r="BR1143" s="4">
        <f t="shared" si="619"/>
        <v>4</v>
      </c>
      <c r="BS1143" s="4">
        <f t="shared" si="620"/>
        <v>4</v>
      </c>
      <c r="BT1143" s="4">
        <f t="shared" si="621"/>
        <v>4</v>
      </c>
      <c r="BU1143" s="4">
        <f t="shared" si="622"/>
        <v>4</v>
      </c>
      <c r="BV1143" s="4">
        <f t="shared" si="623"/>
        <v>0</v>
      </c>
      <c r="BW1143" s="4">
        <f t="shared" si="624"/>
        <v>6</v>
      </c>
      <c r="BX1143" s="4">
        <f t="shared" si="625"/>
        <v>0</v>
      </c>
      <c r="BY1143" s="4">
        <f t="shared" si="626"/>
        <v>0</v>
      </c>
      <c r="BZ1143" s="37">
        <f t="shared" si="627"/>
        <v>96</v>
      </c>
      <c r="CA1143" s="32" t="e">
        <f>VLOOKUP(J:J,'Agent wise'!A:C,3,0)</f>
        <v>#N/A</v>
      </c>
      <c r="CB1143" s="32">
        <f t="shared" si="628"/>
        <v>45950</v>
      </c>
      <c r="CC1143" t="str">
        <f t="shared" si="629"/>
        <v>Excellent</v>
      </c>
      <c r="CE1143" s="32"/>
      <c r="CJ1143">
        <f t="shared" si="630"/>
        <v>20</v>
      </c>
      <c r="CK1143">
        <f t="shared" si="631"/>
        <v>10</v>
      </c>
      <c r="CL1143">
        <f t="shared" si="632"/>
        <v>2025</v>
      </c>
    </row>
    <row r="1144" spans="1:90" ht="15" customHeight="1" x14ac:dyDescent="0.35">
      <c r="A1144" t="s">
        <v>2826</v>
      </c>
      <c r="B1144" t="s">
        <v>177</v>
      </c>
      <c r="C1144" t="s">
        <v>214</v>
      </c>
      <c r="D1144" t="s">
        <v>178</v>
      </c>
      <c r="E1144" s="32">
        <v>45950</v>
      </c>
      <c r="F1144" t="s">
        <v>54</v>
      </c>
      <c r="G1144" t="s">
        <v>2708</v>
      </c>
      <c r="H1144">
        <v>9444356138</v>
      </c>
      <c r="I1144">
        <v>131</v>
      </c>
      <c r="J1144" t="s">
        <v>546</v>
      </c>
      <c r="K1144" t="s">
        <v>71</v>
      </c>
      <c r="L1144" t="s">
        <v>72</v>
      </c>
      <c r="M1144" t="s">
        <v>59</v>
      </c>
      <c r="N1144" t="s">
        <v>59</v>
      </c>
      <c r="O1144" t="s">
        <v>59</v>
      </c>
      <c r="P1144" t="s">
        <v>59</v>
      </c>
      <c r="Q1144" t="s">
        <v>59</v>
      </c>
      <c r="R1144" t="s">
        <v>59</v>
      </c>
      <c r="S1144" t="s">
        <v>59</v>
      </c>
      <c r="T1144" t="s">
        <v>59</v>
      </c>
      <c r="U1144" t="s">
        <v>59</v>
      </c>
      <c r="V1144" t="s">
        <v>59</v>
      </c>
      <c r="W1144" t="s">
        <v>59</v>
      </c>
      <c r="X1144" t="s">
        <v>59</v>
      </c>
      <c r="Y1144" t="s">
        <v>60</v>
      </c>
      <c r="Z1144" t="s">
        <v>59</v>
      </c>
      <c r="AA1144" t="s">
        <v>59</v>
      </c>
      <c r="AB1144" t="s">
        <v>59</v>
      </c>
      <c r="AC1144" t="s">
        <v>59</v>
      </c>
      <c r="AD1144" t="s">
        <v>59</v>
      </c>
      <c r="AE1144" t="s">
        <v>59</v>
      </c>
      <c r="AF1144" t="s">
        <v>59</v>
      </c>
      <c r="AG1144" t="s">
        <v>59</v>
      </c>
      <c r="AH1144" t="s">
        <v>61</v>
      </c>
      <c r="AI1144" t="s">
        <v>61</v>
      </c>
      <c r="AJ1144" t="s">
        <v>59</v>
      </c>
      <c r="AK1144" t="s">
        <v>59</v>
      </c>
      <c r="AL1144" t="s">
        <v>59</v>
      </c>
      <c r="AM1144" t="s">
        <v>59</v>
      </c>
      <c r="AN1144" t="s">
        <v>59</v>
      </c>
      <c r="AO1144" t="s">
        <v>59</v>
      </c>
      <c r="AP1144" t="s">
        <v>2827</v>
      </c>
      <c r="AQ1144" t="s">
        <v>2828</v>
      </c>
      <c r="AR1144" t="s">
        <v>64</v>
      </c>
      <c r="AS1144" t="s">
        <v>175</v>
      </c>
      <c r="AT1144" t="s">
        <v>176</v>
      </c>
      <c r="AU1144" t="s">
        <v>387</v>
      </c>
      <c r="AW1144" s="4">
        <f t="shared" si="598"/>
        <v>6</v>
      </c>
      <c r="AX1144" s="4">
        <f t="shared" si="599"/>
        <v>4</v>
      </c>
      <c r="AY1144" s="4">
        <f t="shared" si="600"/>
        <v>4</v>
      </c>
      <c r="AZ1144" s="4">
        <f t="shared" si="601"/>
        <v>2</v>
      </c>
      <c r="BA1144" s="4">
        <f t="shared" si="602"/>
        <v>4</v>
      </c>
      <c r="BB1144" s="4">
        <f t="shared" si="603"/>
        <v>4</v>
      </c>
      <c r="BC1144" s="4">
        <f t="shared" si="604"/>
        <v>4</v>
      </c>
      <c r="BD1144" s="4">
        <f t="shared" si="605"/>
        <v>2</v>
      </c>
      <c r="BE1144" s="4">
        <f t="shared" si="606"/>
        <v>4</v>
      </c>
      <c r="BF1144" s="4">
        <f t="shared" si="607"/>
        <v>2</v>
      </c>
      <c r="BG1144" s="4">
        <f t="shared" si="608"/>
        <v>4</v>
      </c>
      <c r="BH1144" s="4">
        <f t="shared" si="609"/>
        <v>4</v>
      </c>
      <c r="BI1144" s="4" t="str">
        <f t="shared" si="610"/>
        <v>0</v>
      </c>
      <c r="BJ1144" s="4">
        <f t="shared" si="611"/>
        <v>2</v>
      </c>
      <c r="BK1144" s="4">
        <f t="shared" si="612"/>
        <v>4</v>
      </c>
      <c r="BL1144" s="4">
        <f t="shared" si="613"/>
        <v>2</v>
      </c>
      <c r="BM1144" s="4">
        <f t="shared" si="614"/>
        <v>4</v>
      </c>
      <c r="BN1144" s="4">
        <f t="shared" si="615"/>
        <v>4</v>
      </c>
      <c r="BO1144" s="4">
        <f t="shared" si="616"/>
        <v>4</v>
      </c>
      <c r="BP1144" s="4">
        <f t="shared" si="617"/>
        <v>4</v>
      </c>
      <c r="BQ1144" s="4">
        <f t="shared" si="618"/>
        <v>6</v>
      </c>
      <c r="BR1144" s="4">
        <f t="shared" si="619"/>
        <v>4</v>
      </c>
      <c r="BS1144" s="4">
        <f t="shared" si="620"/>
        <v>4</v>
      </c>
      <c r="BT1144" s="4">
        <f t="shared" si="621"/>
        <v>4</v>
      </c>
      <c r="BU1144" s="4">
        <f t="shared" si="622"/>
        <v>4</v>
      </c>
      <c r="BV1144" s="4">
        <f t="shared" si="623"/>
        <v>0</v>
      </c>
      <c r="BW1144" s="4">
        <f t="shared" si="624"/>
        <v>6</v>
      </c>
      <c r="BX1144" s="4">
        <f t="shared" si="625"/>
        <v>0</v>
      </c>
      <c r="BY1144" s="4">
        <f t="shared" si="626"/>
        <v>0</v>
      </c>
      <c r="BZ1144" s="37">
        <f t="shared" si="627"/>
        <v>96</v>
      </c>
      <c r="CA1144" s="32" t="str">
        <f>VLOOKUP(J:J,'Agent wise'!A:C,3,0)</f>
        <v>Shakeer</v>
      </c>
      <c r="CB1144" s="32">
        <f t="shared" si="628"/>
        <v>45950</v>
      </c>
      <c r="CC1144" t="str">
        <f t="shared" si="629"/>
        <v>Excellent</v>
      </c>
      <c r="CE1144" s="32"/>
      <c r="CJ1144">
        <f t="shared" si="630"/>
        <v>20</v>
      </c>
      <c r="CK1144">
        <f t="shared" si="631"/>
        <v>10</v>
      </c>
      <c r="CL1144">
        <f t="shared" si="632"/>
        <v>2025</v>
      </c>
    </row>
    <row r="1145" spans="1:90" ht="15" customHeight="1" x14ac:dyDescent="0.35">
      <c r="A1145" t="s">
        <v>2829</v>
      </c>
      <c r="B1145" t="s">
        <v>177</v>
      </c>
      <c r="C1145" t="s">
        <v>214</v>
      </c>
      <c r="D1145" t="s">
        <v>178</v>
      </c>
      <c r="E1145" s="32">
        <v>45950</v>
      </c>
      <c r="F1145" t="s">
        <v>54</v>
      </c>
      <c r="G1145" t="s">
        <v>2708</v>
      </c>
      <c r="H1145">
        <v>8078348916</v>
      </c>
      <c r="I1145">
        <v>155</v>
      </c>
      <c r="J1145" t="s">
        <v>646</v>
      </c>
      <c r="K1145" t="s">
        <v>57</v>
      </c>
      <c r="L1145" t="s">
        <v>58</v>
      </c>
      <c r="M1145" t="s">
        <v>59</v>
      </c>
      <c r="N1145" t="s">
        <v>59</v>
      </c>
      <c r="O1145" t="s">
        <v>59</v>
      </c>
      <c r="P1145" t="s">
        <v>59</v>
      </c>
      <c r="Q1145" t="s">
        <v>59</v>
      </c>
      <c r="R1145" t="s">
        <v>59</v>
      </c>
      <c r="S1145" t="s">
        <v>59</v>
      </c>
      <c r="T1145" t="s">
        <v>59</v>
      </c>
      <c r="U1145" t="s">
        <v>59</v>
      </c>
      <c r="V1145" t="s">
        <v>59</v>
      </c>
      <c r="W1145" t="s">
        <v>59</v>
      </c>
      <c r="X1145" t="s">
        <v>59</v>
      </c>
      <c r="Y1145" t="s">
        <v>59</v>
      </c>
      <c r="Z1145" t="s">
        <v>59</v>
      </c>
      <c r="AA1145" t="s">
        <v>59</v>
      </c>
      <c r="AB1145" t="s">
        <v>59</v>
      </c>
      <c r="AC1145" t="s">
        <v>61</v>
      </c>
      <c r="AD1145" t="s">
        <v>59</v>
      </c>
      <c r="AE1145" t="s">
        <v>59</v>
      </c>
      <c r="AF1145" t="s">
        <v>59</v>
      </c>
      <c r="AG1145" t="s">
        <v>59</v>
      </c>
      <c r="AH1145" t="s">
        <v>61</v>
      </c>
      <c r="AI1145" t="s">
        <v>61</v>
      </c>
      <c r="AJ1145" t="s">
        <v>59</v>
      </c>
      <c r="AK1145" t="s">
        <v>59</v>
      </c>
      <c r="AL1145" t="s">
        <v>60</v>
      </c>
      <c r="AM1145" t="s">
        <v>59</v>
      </c>
      <c r="AN1145" t="s">
        <v>59</v>
      </c>
      <c r="AO1145" t="s">
        <v>59</v>
      </c>
      <c r="AP1145" t="s">
        <v>37</v>
      </c>
      <c r="AQ1145" t="s">
        <v>2830</v>
      </c>
      <c r="AR1145" t="s">
        <v>64</v>
      </c>
      <c r="AS1145" t="s">
        <v>171</v>
      </c>
      <c r="AT1145" t="s">
        <v>979</v>
      </c>
      <c r="AU1145" t="s">
        <v>219</v>
      </c>
      <c r="AW1145" s="4">
        <f t="shared" si="598"/>
        <v>6</v>
      </c>
      <c r="AX1145" s="4">
        <f t="shared" si="599"/>
        <v>4</v>
      </c>
      <c r="AY1145" s="4">
        <f t="shared" si="600"/>
        <v>4</v>
      </c>
      <c r="AZ1145" s="4">
        <f t="shared" si="601"/>
        <v>2</v>
      </c>
      <c r="BA1145" s="4">
        <f t="shared" si="602"/>
        <v>4</v>
      </c>
      <c r="BB1145" s="4">
        <f t="shared" si="603"/>
        <v>4</v>
      </c>
      <c r="BC1145" s="4">
        <f t="shared" si="604"/>
        <v>4</v>
      </c>
      <c r="BD1145" s="4">
        <f t="shared" si="605"/>
        <v>2</v>
      </c>
      <c r="BE1145" s="4">
        <f t="shared" si="606"/>
        <v>4</v>
      </c>
      <c r="BF1145" s="4">
        <f t="shared" si="607"/>
        <v>2</v>
      </c>
      <c r="BG1145" s="4">
        <f t="shared" si="608"/>
        <v>4</v>
      </c>
      <c r="BH1145" s="4">
        <f t="shared" si="609"/>
        <v>4</v>
      </c>
      <c r="BI1145" s="4">
        <f t="shared" si="610"/>
        <v>4</v>
      </c>
      <c r="BJ1145" s="4">
        <f t="shared" si="611"/>
        <v>2</v>
      </c>
      <c r="BK1145" s="4">
        <f t="shared" si="612"/>
        <v>4</v>
      </c>
      <c r="BL1145" s="4">
        <f t="shared" si="613"/>
        <v>2</v>
      </c>
      <c r="BM1145" s="4">
        <f t="shared" si="614"/>
        <v>4</v>
      </c>
      <c r="BN1145" s="4">
        <f t="shared" si="615"/>
        <v>4</v>
      </c>
      <c r="BO1145" s="4">
        <f t="shared" si="616"/>
        <v>4</v>
      </c>
      <c r="BP1145" s="4">
        <f t="shared" si="617"/>
        <v>4</v>
      </c>
      <c r="BQ1145" s="4">
        <f t="shared" si="618"/>
        <v>6</v>
      </c>
      <c r="BR1145" s="4">
        <f t="shared" si="619"/>
        <v>4</v>
      </c>
      <c r="BS1145" s="4">
        <f t="shared" si="620"/>
        <v>4</v>
      </c>
      <c r="BT1145" s="4">
        <f t="shared" si="621"/>
        <v>4</v>
      </c>
      <c r="BU1145" s="4">
        <f t="shared" si="622"/>
        <v>4</v>
      </c>
      <c r="BV1145" s="4" t="str">
        <f t="shared" si="623"/>
        <v>0</v>
      </c>
      <c r="BW1145" s="4">
        <f t="shared" si="624"/>
        <v>6</v>
      </c>
      <c r="BX1145" s="4">
        <f t="shared" si="625"/>
        <v>0</v>
      </c>
      <c r="BY1145" s="4">
        <f t="shared" si="626"/>
        <v>0</v>
      </c>
      <c r="BZ1145" s="37">
        <f t="shared" si="627"/>
        <v>100</v>
      </c>
      <c r="CA1145" s="32" t="str">
        <f>VLOOKUP(J:J,'Agent wise'!A:C,3,0)</f>
        <v xml:space="preserve">Shiny </v>
      </c>
      <c r="CB1145" s="32">
        <f t="shared" si="628"/>
        <v>45950</v>
      </c>
      <c r="CC1145" t="str">
        <f t="shared" si="629"/>
        <v>Excellent</v>
      </c>
      <c r="CE1145" s="32"/>
      <c r="CJ1145">
        <f t="shared" si="630"/>
        <v>20</v>
      </c>
      <c r="CK1145">
        <f t="shared" si="631"/>
        <v>10</v>
      </c>
      <c r="CL1145">
        <f t="shared" si="632"/>
        <v>2025</v>
      </c>
    </row>
    <row r="1146" spans="1:90" ht="15" customHeight="1" x14ac:dyDescent="0.35">
      <c r="A1146" t="s">
        <v>2831</v>
      </c>
      <c r="B1146" t="s">
        <v>177</v>
      </c>
      <c r="C1146" t="s">
        <v>214</v>
      </c>
      <c r="D1146" t="s">
        <v>178</v>
      </c>
      <c r="E1146" s="32">
        <v>45950</v>
      </c>
      <c r="F1146" t="s">
        <v>90</v>
      </c>
      <c r="G1146" t="s">
        <v>2708</v>
      </c>
      <c r="H1146">
        <v>9444747000</v>
      </c>
      <c r="I1146">
        <v>133</v>
      </c>
      <c r="J1146" t="s">
        <v>208</v>
      </c>
      <c r="K1146" t="s">
        <v>71</v>
      </c>
      <c r="L1146" t="s">
        <v>72</v>
      </c>
      <c r="M1146" t="s">
        <v>59</v>
      </c>
      <c r="N1146" t="s">
        <v>59</v>
      </c>
      <c r="O1146" t="s">
        <v>59</v>
      </c>
      <c r="P1146" t="s">
        <v>59</v>
      </c>
      <c r="Q1146" t="s">
        <v>59</v>
      </c>
      <c r="R1146" t="s">
        <v>59</v>
      </c>
      <c r="S1146" t="s">
        <v>59</v>
      </c>
      <c r="T1146" t="s">
        <v>59</v>
      </c>
      <c r="U1146" t="s">
        <v>59</v>
      </c>
      <c r="V1146" t="s">
        <v>59</v>
      </c>
      <c r="W1146" t="s">
        <v>59</v>
      </c>
      <c r="X1146" t="s">
        <v>59</v>
      </c>
      <c r="Y1146" t="s">
        <v>59</v>
      </c>
      <c r="Z1146" t="s">
        <v>59</v>
      </c>
      <c r="AA1146" t="s">
        <v>59</v>
      </c>
      <c r="AB1146" t="s">
        <v>59</v>
      </c>
      <c r="AC1146" t="s">
        <v>61</v>
      </c>
      <c r="AD1146" t="s">
        <v>59</v>
      </c>
      <c r="AE1146" t="s">
        <v>59</v>
      </c>
      <c r="AF1146" t="s">
        <v>59</v>
      </c>
      <c r="AG1146" t="s">
        <v>59</v>
      </c>
      <c r="AH1146" t="s">
        <v>61</v>
      </c>
      <c r="AI1146" t="s">
        <v>61</v>
      </c>
      <c r="AJ1146" t="s">
        <v>59</v>
      </c>
      <c r="AK1146" t="s">
        <v>59</v>
      </c>
      <c r="AL1146" t="s">
        <v>60</v>
      </c>
      <c r="AM1146" t="s">
        <v>59</v>
      </c>
      <c r="AN1146" t="s">
        <v>59</v>
      </c>
      <c r="AO1146" t="s">
        <v>59</v>
      </c>
      <c r="AP1146" t="s">
        <v>37</v>
      </c>
      <c r="AQ1146" s="1" t="s">
        <v>1193</v>
      </c>
      <c r="AR1146" t="s">
        <v>64</v>
      </c>
      <c r="AS1146" t="s">
        <v>202</v>
      </c>
      <c r="AT1146" t="s">
        <v>203</v>
      </c>
      <c r="AU1146" t="s">
        <v>219</v>
      </c>
      <c r="AW1146" s="4">
        <f t="shared" si="598"/>
        <v>6</v>
      </c>
      <c r="AX1146" s="4">
        <f t="shared" si="599"/>
        <v>4</v>
      </c>
      <c r="AY1146" s="4">
        <f t="shared" si="600"/>
        <v>4</v>
      </c>
      <c r="AZ1146" s="4">
        <f t="shared" si="601"/>
        <v>2</v>
      </c>
      <c r="BA1146" s="4">
        <f t="shared" si="602"/>
        <v>4</v>
      </c>
      <c r="BB1146" s="4">
        <f t="shared" si="603"/>
        <v>4</v>
      </c>
      <c r="BC1146" s="4">
        <f t="shared" si="604"/>
        <v>4</v>
      </c>
      <c r="BD1146" s="4">
        <f t="shared" si="605"/>
        <v>2</v>
      </c>
      <c r="BE1146" s="4">
        <f t="shared" si="606"/>
        <v>4</v>
      </c>
      <c r="BF1146" s="4">
        <f t="shared" si="607"/>
        <v>2</v>
      </c>
      <c r="BG1146" s="4">
        <f t="shared" si="608"/>
        <v>4</v>
      </c>
      <c r="BH1146" s="4">
        <f t="shared" si="609"/>
        <v>4</v>
      </c>
      <c r="BI1146" s="4">
        <f t="shared" si="610"/>
        <v>4</v>
      </c>
      <c r="BJ1146" s="4">
        <f t="shared" si="611"/>
        <v>2</v>
      </c>
      <c r="BK1146" s="4">
        <f t="shared" si="612"/>
        <v>4</v>
      </c>
      <c r="BL1146" s="4">
        <f t="shared" si="613"/>
        <v>2</v>
      </c>
      <c r="BM1146" s="4">
        <f t="shared" si="614"/>
        <v>4</v>
      </c>
      <c r="BN1146" s="4">
        <f t="shared" si="615"/>
        <v>4</v>
      </c>
      <c r="BO1146" s="4">
        <f t="shared" si="616"/>
        <v>4</v>
      </c>
      <c r="BP1146" s="4">
        <f t="shared" si="617"/>
        <v>4</v>
      </c>
      <c r="BQ1146" s="4">
        <f t="shared" si="618"/>
        <v>6</v>
      </c>
      <c r="BR1146" s="4">
        <f t="shared" si="619"/>
        <v>4</v>
      </c>
      <c r="BS1146" s="4">
        <f t="shared" si="620"/>
        <v>4</v>
      </c>
      <c r="BT1146" s="4">
        <f t="shared" si="621"/>
        <v>4</v>
      </c>
      <c r="BU1146" s="4">
        <f t="shared" si="622"/>
        <v>4</v>
      </c>
      <c r="BV1146" s="4" t="str">
        <f t="shared" si="623"/>
        <v>0</v>
      </c>
      <c r="BW1146" s="4">
        <f t="shared" si="624"/>
        <v>6</v>
      </c>
      <c r="BX1146" s="4">
        <f t="shared" si="625"/>
        <v>0</v>
      </c>
      <c r="BY1146" s="4">
        <f t="shared" si="626"/>
        <v>0</v>
      </c>
      <c r="BZ1146" s="37">
        <f t="shared" si="627"/>
        <v>100</v>
      </c>
      <c r="CA1146" s="32" t="str">
        <f>VLOOKUP(J:J,'Agent wise'!A:C,3,0)</f>
        <v>Adharsh</v>
      </c>
      <c r="CB1146" s="32">
        <f t="shared" si="628"/>
        <v>45950</v>
      </c>
      <c r="CC1146" t="str">
        <f t="shared" si="629"/>
        <v>Excellent</v>
      </c>
      <c r="CE1146" s="32"/>
      <c r="CJ1146">
        <f t="shared" si="630"/>
        <v>20</v>
      </c>
      <c r="CK1146">
        <f t="shared" si="631"/>
        <v>10</v>
      </c>
      <c r="CL1146">
        <f t="shared" si="632"/>
        <v>2025</v>
      </c>
    </row>
    <row r="1147" spans="1:90" ht="15" customHeight="1" x14ac:dyDescent="0.35">
      <c r="A1147" t="s">
        <v>2832</v>
      </c>
      <c r="B1147" t="s">
        <v>250</v>
      </c>
      <c r="C1147" t="s">
        <v>214</v>
      </c>
      <c r="D1147" t="s">
        <v>251</v>
      </c>
      <c r="E1147" s="32">
        <v>45950</v>
      </c>
      <c r="F1147" t="s">
        <v>90</v>
      </c>
      <c r="G1147" t="s">
        <v>2708</v>
      </c>
      <c r="H1147">
        <v>9443852223</v>
      </c>
      <c r="I1147">
        <v>157</v>
      </c>
      <c r="J1147" t="s">
        <v>91</v>
      </c>
      <c r="K1147" t="s">
        <v>71</v>
      </c>
      <c r="L1147" t="s">
        <v>72</v>
      </c>
      <c r="M1147" t="s">
        <v>59</v>
      </c>
      <c r="N1147" t="s">
        <v>60</v>
      </c>
      <c r="O1147" t="s">
        <v>61</v>
      </c>
      <c r="P1147" t="s">
        <v>59</v>
      </c>
      <c r="Q1147" t="s">
        <v>59</v>
      </c>
      <c r="R1147" t="s">
        <v>60</v>
      </c>
      <c r="S1147" t="s">
        <v>59</v>
      </c>
      <c r="T1147" t="s">
        <v>59</v>
      </c>
      <c r="U1147" t="s">
        <v>60</v>
      </c>
      <c r="V1147" t="s">
        <v>59</v>
      </c>
      <c r="W1147" t="s">
        <v>59</v>
      </c>
      <c r="X1147" t="s">
        <v>59</v>
      </c>
      <c r="Y1147" t="s">
        <v>59</v>
      </c>
      <c r="Z1147" t="s">
        <v>59</v>
      </c>
      <c r="AA1147" t="s">
        <v>60</v>
      </c>
      <c r="AB1147" t="s">
        <v>60</v>
      </c>
      <c r="AC1147" t="s">
        <v>59</v>
      </c>
      <c r="AD1147" t="s">
        <v>59</v>
      </c>
      <c r="AE1147" t="s">
        <v>59</v>
      </c>
      <c r="AF1147" t="s">
        <v>59</v>
      </c>
      <c r="AG1147" t="s">
        <v>59</v>
      </c>
      <c r="AH1147" t="s">
        <v>61</v>
      </c>
      <c r="AI1147" t="s">
        <v>61</v>
      </c>
      <c r="AJ1147" t="s">
        <v>59</v>
      </c>
      <c r="AK1147" t="s">
        <v>59</v>
      </c>
      <c r="AL1147" t="s">
        <v>59</v>
      </c>
      <c r="AM1147" t="s">
        <v>59</v>
      </c>
      <c r="AN1147" t="s">
        <v>59</v>
      </c>
      <c r="AO1147" t="s">
        <v>59</v>
      </c>
      <c r="AP1147" t="s">
        <v>2833</v>
      </c>
      <c r="AQ1147" t="s">
        <v>2834</v>
      </c>
      <c r="AR1147" t="s">
        <v>64</v>
      </c>
      <c r="AS1147" t="s">
        <v>2390</v>
      </c>
      <c r="AT1147" t="s">
        <v>624</v>
      </c>
      <c r="AU1147" t="s">
        <v>593</v>
      </c>
      <c r="AW1147" s="4">
        <f t="shared" si="598"/>
        <v>6</v>
      </c>
      <c r="AX1147" s="4" t="str">
        <f t="shared" si="599"/>
        <v>0</v>
      </c>
      <c r="AY1147" s="4">
        <f t="shared" si="600"/>
        <v>4</v>
      </c>
      <c r="AZ1147" s="4">
        <f t="shared" si="601"/>
        <v>2</v>
      </c>
      <c r="BA1147" s="4">
        <f t="shared" si="602"/>
        <v>4</v>
      </c>
      <c r="BB1147" s="4" t="str">
        <f t="shared" si="603"/>
        <v>0</v>
      </c>
      <c r="BC1147" s="4">
        <f t="shared" si="604"/>
        <v>4</v>
      </c>
      <c r="BD1147" s="4">
        <f t="shared" si="605"/>
        <v>2</v>
      </c>
      <c r="BE1147" s="4" t="str">
        <f t="shared" si="606"/>
        <v>0</v>
      </c>
      <c r="BF1147" s="4">
        <f t="shared" si="607"/>
        <v>2</v>
      </c>
      <c r="BG1147" s="4">
        <f t="shared" si="608"/>
        <v>4</v>
      </c>
      <c r="BH1147" s="4">
        <f t="shared" si="609"/>
        <v>4</v>
      </c>
      <c r="BI1147" s="4">
        <f t="shared" si="610"/>
        <v>4</v>
      </c>
      <c r="BJ1147" s="4">
        <f t="shared" si="611"/>
        <v>2</v>
      </c>
      <c r="BK1147" s="4" t="str">
        <f t="shared" si="612"/>
        <v>0</v>
      </c>
      <c r="BL1147" s="4" t="str">
        <f t="shared" si="613"/>
        <v>0</v>
      </c>
      <c r="BM1147" s="4">
        <f t="shared" si="614"/>
        <v>4</v>
      </c>
      <c r="BN1147" s="4">
        <f t="shared" si="615"/>
        <v>4</v>
      </c>
      <c r="BO1147" s="4">
        <f t="shared" si="616"/>
        <v>4</v>
      </c>
      <c r="BP1147" s="4">
        <f t="shared" si="617"/>
        <v>4</v>
      </c>
      <c r="BQ1147" s="4">
        <f t="shared" si="618"/>
        <v>6</v>
      </c>
      <c r="BR1147" s="4">
        <f t="shared" si="619"/>
        <v>4</v>
      </c>
      <c r="BS1147" s="4">
        <f t="shared" si="620"/>
        <v>4</v>
      </c>
      <c r="BT1147" s="4">
        <f t="shared" si="621"/>
        <v>4</v>
      </c>
      <c r="BU1147" s="4">
        <f t="shared" si="622"/>
        <v>4</v>
      </c>
      <c r="BV1147" s="4">
        <f t="shared" si="623"/>
        <v>0</v>
      </c>
      <c r="BW1147" s="4">
        <f t="shared" si="624"/>
        <v>6</v>
      </c>
      <c r="BX1147" s="4">
        <f t="shared" si="625"/>
        <v>0</v>
      </c>
      <c r="BY1147" s="4">
        <f t="shared" si="626"/>
        <v>0</v>
      </c>
      <c r="BZ1147" s="37">
        <f t="shared" si="627"/>
        <v>82</v>
      </c>
      <c r="CA1147" s="32" t="str">
        <f>VLOOKUP(J:J,'Agent wise'!A:C,3,0)</f>
        <v>Saran S</v>
      </c>
      <c r="CB1147" s="32">
        <f t="shared" si="628"/>
        <v>45950</v>
      </c>
      <c r="CC1147" t="str">
        <f t="shared" si="629"/>
        <v>FC</v>
      </c>
      <c r="CE1147" s="32"/>
      <c r="CJ1147">
        <f t="shared" si="630"/>
        <v>20</v>
      </c>
      <c r="CK1147">
        <f t="shared" si="631"/>
        <v>10</v>
      </c>
      <c r="CL1147">
        <f t="shared" si="632"/>
        <v>2025</v>
      </c>
    </row>
    <row r="1148" spans="1:90" ht="15" customHeight="1" x14ac:dyDescent="0.35">
      <c r="A1148" t="s">
        <v>2835</v>
      </c>
      <c r="B1148" t="s">
        <v>250</v>
      </c>
      <c r="C1148" t="s">
        <v>214</v>
      </c>
      <c r="D1148" t="s">
        <v>251</v>
      </c>
      <c r="E1148" s="32">
        <v>45950</v>
      </c>
      <c r="F1148" t="s">
        <v>90</v>
      </c>
      <c r="G1148" t="s">
        <v>2708</v>
      </c>
      <c r="H1148">
        <v>9385794214</v>
      </c>
      <c r="I1148">
        <v>166</v>
      </c>
      <c r="J1148" t="s">
        <v>91</v>
      </c>
      <c r="K1148" t="s">
        <v>71</v>
      </c>
      <c r="L1148" t="s">
        <v>72</v>
      </c>
      <c r="M1148" t="s">
        <v>59</v>
      </c>
      <c r="N1148" t="s">
        <v>59</v>
      </c>
      <c r="O1148" t="s">
        <v>59</v>
      </c>
      <c r="P1148" t="s">
        <v>59</v>
      </c>
      <c r="Q1148" t="s">
        <v>59</v>
      </c>
      <c r="R1148" t="s">
        <v>59</v>
      </c>
      <c r="S1148" t="s">
        <v>59</v>
      </c>
      <c r="T1148" t="s">
        <v>59</v>
      </c>
      <c r="U1148" t="s">
        <v>60</v>
      </c>
      <c r="V1148" t="s">
        <v>59</v>
      </c>
      <c r="W1148" t="s">
        <v>59</v>
      </c>
      <c r="X1148" t="s">
        <v>59</v>
      </c>
      <c r="Y1148" t="s">
        <v>59</v>
      </c>
      <c r="Z1148" t="s">
        <v>59</v>
      </c>
      <c r="AA1148" t="s">
        <v>60</v>
      </c>
      <c r="AB1148" t="s">
        <v>60</v>
      </c>
      <c r="AC1148" t="s">
        <v>59</v>
      </c>
      <c r="AD1148" t="s">
        <v>61</v>
      </c>
      <c r="AE1148" t="s">
        <v>60</v>
      </c>
      <c r="AF1148" t="s">
        <v>59</v>
      </c>
      <c r="AG1148" t="s">
        <v>59</v>
      </c>
      <c r="AH1148" t="s">
        <v>61</v>
      </c>
      <c r="AI1148" t="s">
        <v>61</v>
      </c>
      <c r="AJ1148" t="s">
        <v>59</v>
      </c>
      <c r="AK1148" t="s">
        <v>59</v>
      </c>
      <c r="AL1148" t="s">
        <v>60</v>
      </c>
      <c r="AM1148" t="s">
        <v>59</v>
      </c>
      <c r="AN1148" t="s">
        <v>59</v>
      </c>
      <c r="AO1148" t="s">
        <v>59</v>
      </c>
      <c r="AP1148" t="s">
        <v>2836</v>
      </c>
      <c r="AQ1148" t="s">
        <v>2837</v>
      </c>
      <c r="AR1148" t="s">
        <v>64</v>
      </c>
      <c r="AS1148" t="s">
        <v>2390</v>
      </c>
      <c r="AT1148" t="s">
        <v>621</v>
      </c>
      <c r="AU1148" t="s">
        <v>593</v>
      </c>
      <c r="AW1148" s="4">
        <f t="shared" si="598"/>
        <v>6</v>
      </c>
      <c r="AX1148" s="4">
        <f t="shared" si="599"/>
        <v>4</v>
      </c>
      <c r="AY1148" s="4">
        <f t="shared" si="600"/>
        <v>4</v>
      </c>
      <c r="AZ1148" s="4">
        <f t="shared" si="601"/>
        <v>2</v>
      </c>
      <c r="BA1148" s="4">
        <f t="shared" si="602"/>
        <v>4</v>
      </c>
      <c r="BB1148" s="4">
        <f t="shared" si="603"/>
        <v>4</v>
      </c>
      <c r="BC1148" s="4">
        <f t="shared" si="604"/>
        <v>4</v>
      </c>
      <c r="BD1148" s="4">
        <f t="shared" si="605"/>
        <v>2</v>
      </c>
      <c r="BE1148" s="4" t="str">
        <f t="shared" si="606"/>
        <v>0</v>
      </c>
      <c r="BF1148" s="4">
        <f t="shared" si="607"/>
        <v>2</v>
      </c>
      <c r="BG1148" s="4">
        <f t="shared" si="608"/>
        <v>4</v>
      </c>
      <c r="BH1148" s="4">
        <f t="shared" si="609"/>
        <v>4</v>
      </c>
      <c r="BI1148" s="4">
        <f t="shared" si="610"/>
        <v>4</v>
      </c>
      <c r="BJ1148" s="4">
        <f t="shared" si="611"/>
        <v>2</v>
      </c>
      <c r="BK1148" s="4" t="str">
        <f t="shared" si="612"/>
        <v>0</v>
      </c>
      <c r="BL1148" s="4" t="str">
        <f t="shared" si="613"/>
        <v>0</v>
      </c>
      <c r="BM1148" s="4">
        <f t="shared" si="614"/>
        <v>4</v>
      </c>
      <c r="BN1148" s="4">
        <f t="shared" si="615"/>
        <v>4</v>
      </c>
      <c r="BO1148" s="4" t="str">
        <f t="shared" si="616"/>
        <v>0</v>
      </c>
      <c r="BP1148" s="4">
        <f t="shared" si="617"/>
        <v>4</v>
      </c>
      <c r="BQ1148" s="4">
        <f t="shared" si="618"/>
        <v>6</v>
      </c>
      <c r="BR1148" s="4">
        <f t="shared" si="619"/>
        <v>4</v>
      </c>
      <c r="BS1148" s="4">
        <f t="shared" si="620"/>
        <v>4</v>
      </c>
      <c r="BT1148" s="4">
        <f t="shared" si="621"/>
        <v>4</v>
      </c>
      <c r="BU1148" s="4">
        <f t="shared" si="622"/>
        <v>4</v>
      </c>
      <c r="BV1148" s="4" t="str">
        <f t="shared" si="623"/>
        <v>0</v>
      </c>
      <c r="BW1148" s="4">
        <f t="shared" si="624"/>
        <v>6</v>
      </c>
      <c r="BX1148" s="4">
        <f t="shared" si="625"/>
        <v>0</v>
      </c>
      <c r="BY1148" s="4">
        <f t="shared" si="626"/>
        <v>0</v>
      </c>
      <c r="BZ1148" s="37">
        <f t="shared" si="627"/>
        <v>86</v>
      </c>
      <c r="CA1148" s="32" t="str">
        <f>VLOOKUP(J:J,'Agent wise'!A:C,3,0)</f>
        <v>Saran S</v>
      </c>
      <c r="CB1148" s="32">
        <f t="shared" si="628"/>
        <v>45950</v>
      </c>
      <c r="CC1148" t="str">
        <f t="shared" si="629"/>
        <v>Average</v>
      </c>
      <c r="CE1148" s="32"/>
      <c r="CJ1148">
        <f t="shared" si="630"/>
        <v>20</v>
      </c>
      <c r="CK1148">
        <f t="shared" si="631"/>
        <v>10</v>
      </c>
      <c r="CL1148">
        <f t="shared" si="632"/>
        <v>2025</v>
      </c>
    </row>
    <row r="1149" spans="1:90" ht="15" customHeight="1" x14ac:dyDescent="0.35">
      <c r="A1149" t="s">
        <v>2838</v>
      </c>
      <c r="B1149" t="s">
        <v>100</v>
      </c>
      <c r="C1149" t="s">
        <v>214</v>
      </c>
      <c r="D1149" t="s">
        <v>101</v>
      </c>
      <c r="E1149" s="32">
        <v>45950</v>
      </c>
      <c r="F1149" t="s">
        <v>54</v>
      </c>
      <c r="G1149" t="s">
        <v>2708</v>
      </c>
      <c r="H1149">
        <v>9446554669</v>
      </c>
      <c r="I1149">
        <v>163</v>
      </c>
      <c r="J1149" t="s">
        <v>280</v>
      </c>
      <c r="K1149" t="s">
        <v>57</v>
      </c>
      <c r="L1149" t="s">
        <v>58</v>
      </c>
      <c r="M1149" t="s">
        <v>60</v>
      </c>
      <c r="N1149" t="s">
        <v>59</v>
      </c>
      <c r="O1149" t="s">
        <v>59</v>
      </c>
      <c r="P1149" t="s">
        <v>59</v>
      </c>
      <c r="Q1149" t="s">
        <v>59</v>
      </c>
      <c r="R1149" t="s">
        <v>59</v>
      </c>
      <c r="S1149" t="s">
        <v>59</v>
      </c>
      <c r="T1149" t="s">
        <v>59</v>
      </c>
      <c r="U1149" t="s">
        <v>60</v>
      </c>
      <c r="V1149" t="s">
        <v>59</v>
      </c>
      <c r="W1149" t="s">
        <v>60</v>
      </c>
      <c r="X1149" t="s">
        <v>61</v>
      </c>
      <c r="Y1149" t="s">
        <v>60</v>
      </c>
      <c r="Z1149" t="s">
        <v>59</v>
      </c>
      <c r="AA1149" t="s">
        <v>60</v>
      </c>
      <c r="AB1149" t="s">
        <v>59</v>
      </c>
      <c r="AC1149" t="s">
        <v>60</v>
      </c>
      <c r="AD1149" t="s">
        <v>59</v>
      </c>
      <c r="AE1149" t="s">
        <v>59</v>
      </c>
      <c r="AF1149" t="s">
        <v>61</v>
      </c>
      <c r="AG1149" t="s">
        <v>59</v>
      </c>
      <c r="AH1149" t="s">
        <v>61</v>
      </c>
      <c r="AI1149" t="s">
        <v>61</v>
      </c>
      <c r="AJ1149" t="s">
        <v>59</v>
      </c>
      <c r="AK1149" t="s">
        <v>61</v>
      </c>
      <c r="AL1149" t="s">
        <v>60</v>
      </c>
      <c r="AM1149" t="s">
        <v>59</v>
      </c>
      <c r="AN1149" t="s">
        <v>59</v>
      </c>
      <c r="AO1149" t="s">
        <v>60</v>
      </c>
      <c r="AP1149" t="s">
        <v>2839</v>
      </c>
      <c r="AQ1149" s="1" t="s">
        <v>2840</v>
      </c>
      <c r="AR1149" t="s">
        <v>226</v>
      </c>
      <c r="AS1149" t="s">
        <v>175</v>
      </c>
      <c r="AT1149" t="s">
        <v>167</v>
      </c>
      <c r="AU1149" t="s">
        <v>299</v>
      </c>
      <c r="AW1149" s="4" t="str">
        <f t="shared" si="598"/>
        <v>0</v>
      </c>
      <c r="AX1149" s="4">
        <f t="shared" si="599"/>
        <v>4</v>
      </c>
      <c r="AY1149" s="4">
        <f t="shared" si="600"/>
        <v>4</v>
      </c>
      <c r="AZ1149" s="4">
        <f t="shared" si="601"/>
        <v>2</v>
      </c>
      <c r="BA1149" s="4">
        <f t="shared" si="602"/>
        <v>4</v>
      </c>
      <c r="BB1149" s="4">
        <f t="shared" si="603"/>
        <v>4</v>
      </c>
      <c r="BC1149" s="4">
        <f t="shared" si="604"/>
        <v>4</v>
      </c>
      <c r="BD1149" s="4">
        <f t="shared" si="605"/>
        <v>2</v>
      </c>
      <c r="BE1149" s="4" t="str">
        <f t="shared" si="606"/>
        <v>0</v>
      </c>
      <c r="BF1149" s="4">
        <f t="shared" si="607"/>
        <v>2</v>
      </c>
      <c r="BG1149" s="4" t="str">
        <f t="shared" si="608"/>
        <v>0</v>
      </c>
      <c r="BH1149" s="4">
        <f t="shared" si="609"/>
        <v>4</v>
      </c>
      <c r="BI1149" s="4" t="str">
        <f t="shared" si="610"/>
        <v>0</v>
      </c>
      <c r="BJ1149" s="4">
        <f t="shared" si="611"/>
        <v>2</v>
      </c>
      <c r="BK1149" s="4" t="str">
        <f t="shared" si="612"/>
        <v>0</v>
      </c>
      <c r="BL1149" s="4">
        <f t="shared" si="613"/>
        <v>2</v>
      </c>
      <c r="BM1149" s="4" t="str">
        <f t="shared" si="614"/>
        <v>0</v>
      </c>
      <c r="BN1149" s="4">
        <f t="shared" si="615"/>
        <v>4</v>
      </c>
      <c r="BO1149" s="4">
        <f t="shared" si="616"/>
        <v>4</v>
      </c>
      <c r="BP1149" s="4">
        <f t="shared" si="617"/>
        <v>4</v>
      </c>
      <c r="BQ1149" s="4">
        <f t="shared" si="618"/>
        <v>6</v>
      </c>
      <c r="BR1149" s="4">
        <f t="shared" si="619"/>
        <v>4</v>
      </c>
      <c r="BS1149" s="4">
        <f t="shared" si="620"/>
        <v>4</v>
      </c>
      <c r="BT1149" s="4">
        <f t="shared" si="621"/>
        <v>4</v>
      </c>
      <c r="BU1149" s="4">
        <f t="shared" si="622"/>
        <v>4</v>
      </c>
      <c r="BV1149" s="4" t="str">
        <f t="shared" si="623"/>
        <v>0</v>
      </c>
      <c r="BW1149" s="4">
        <f t="shared" si="624"/>
        <v>6</v>
      </c>
      <c r="BX1149" s="4">
        <f t="shared" si="625"/>
        <v>0</v>
      </c>
      <c r="BY1149" s="4" t="str">
        <f t="shared" si="626"/>
        <v>0</v>
      </c>
      <c r="BZ1149" s="37">
        <f t="shared" si="627"/>
        <v>74</v>
      </c>
      <c r="CA1149" s="32" t="str">
        <f>VLOOKUP(J:J,'Agent wise'!A:C,3,0)</f>
        <v>Saran S</v>
      </c>
      <c r="CB1149" s="32">
        <f t="shared" si="628"/>
        <v>45950</v>
      </c>
      <c r="CC1149" t="str">
        <f t="shared" si="629"/>
        <v>FC</v>
      </c>
      <c r="CE1149" s="32"/>
      <c r="CJ1149">
        <f t="shared" si="630"/>
        <v>20</v>
      </c>
      <c r="CK1149">
        <f t="shared" si="631"/>
        <v>10</v>
      </c>
      <c r="CL1149">
        <f t="shared" si="632"/>
        <v>2025</v>
      </c>
    </row>
    <row r="1150" spans="1:90" ht="15" customHeight="1" x14ac:dyDescent="0.35">
      <c r="A1150" t="s">
        <v>2841</v>
      </c>
      <c r="B1150" t="s">
        <v>100</v>
      </c>
      <c r="C1150" t="s">
        <v>214</v>
      </c>
      <c r="D1150" t="s">
        <v>101</v>
      </c>
      <c r="E1150" s="32">
        <v>45950</v>
      </c>
      <c r="F1150" t="s">
        <v>54</v>
      </c>
      <c r="G1150" t="s">
        <v>2708</v>
      </c>
      <c r="H1150">
        <v>7902261716</v>
      </c>
      <c r="I1150">
        <v>138</v>
      </c>
      <c r="J1150" t="s">
        <v>586</v>
      </c>
      <c r="K1150" t="s">
        <v>57</v>
      </c>
      <c r="L1150" t="s">
        <v>58</v>
      </c>
      <c r="M1150" t="s">
        <v>59</v>
      </c>
      <c r="N1150" t="s">
        <v>59</v>
      </c>
      <c r="O1150" t="s">
        <v>59</v>
      </c>
      <c r="P1150" t="s">
        <v>59</v>
      </c>
      <c r="Q1150" t="s">
        <v>59</v>
      </c>
      <c r="R1150" t="s">
        <v>60</v>
      </c>
      <c r="S1150" t="s">
        <v>59</v>
      </c>
      <c r="T1150" t="s">
        <v>59</v>
      </c>
      <c r="U1150" t="s">
        <v>60</v>
      </c>
      <c r="V1150" t="s">
        <v>59</v>
      </c>
      <c r="W1150" t="s">
        <v>59</v>
      </c>
      <c r="X1150" t="s">
        <v>61</v>
      </c>
      <c r="Y1150" t="s">
        <v>59</v>
      </c>
      <c r="Z1150" t="s">
        <v>59</v>
      </c>
      <c r="AA1150" t="s">
        <v>59</v>
      </c>
      <c r="AB1150" t="s">
        <v>59</v>
      </c>
      <c r="AC1150" t="s">
        <v>60</v>
      </c>
      <c r="AD1150" t="s">
        <v>59</v>
      </c>
      <c r="AE1150" t="s">
        <v>59</v>
      </c>
      <c r="AF1150" t="s">
        <v>61</v>
      </c>
      <c r="AG1150" t="s">
        <v>60</v>
      </c>
      <c r="AH1150" t="s">
        <v>61</v>
      </c>
      <c r="AI1150" t="s">
        <v>61</v>
      </c>
      <c r="AJ1150" t="s">
        <v>59</v>
      </c>
      <c r="AK1150" t="s">
        <v>61</v>
      </c>
      <c r="AL1150" t="s">
        <v>59</v>
      </c>
      <c r="AM1150" t="s">
        <v>59</v>
      </c>
      <c r="AN1150" t="s">
        <v>59</v>
      </c>
      <c r="AO1150" t="s">
        <v>59</v>
      </c>
      <c r="AP1150" t="s">
        <v>1596</v>
      </c>
      <c r="AQ1150" s="1" t="s">
        <v>2842</v>
      </c>
      <c r="AR1150" t="s">
        <v>64</v>
      </c>
      <c r="AS1150" t="s">
        <v>142</v>
      </c>
      <c r="AT1150" t="s">
        <v>2843</v>
      </c>
      <c r="AU1150" t="s">
        <v>299</v>
      </c>
      <c r="AW1150" s="4">
        <f t="shared" si="598"/>
        <v>6</v>
      </c>
      <c r="AX1150" s="4">
        <f t="shared" si="599"/>
        <v>4</v>
      </c>
      <c r="AY1150" s="4">
        <f t="shared" si="600"/>
        <v>4</v>
      </c>
      <c r="AZ1150" s="4">
        <f t="shared" si="601"/>
        <v>2</v>
      </c>
      <c r="BA1150" s="4">
        <f t="shared" si="602"/>
        <v>4</v>
      </c>
      <c r="BB1150" s="4" t="str">
        <f t="shared" si="603"/>
        <v>0</v>
      </c>
      <c r="BC1150" s="4">
        <f t="shared" si="604"/>
        <v>4</v>
      </c>
      <c r="BD1150" s="4">
        <f t="shared" si="605"/>
        <v>2</v>
      </c>
      <c r="BE1150" s="4" t="str">
        <f t="shared" si="606"/>
        <v>0</v>
      </c>
      <c r="BF1150" s="4">
        <f t="shared" si="607"/>
        <v>2</v>
      </c>
      <c r="BG1150" s="4">
        <f t="shared" si="608"/>
        <v>4</v>
      </c>
      <c r="BH1150" s="4">
        <f t="shared" si="609"/>
        <v>4</v>
      </c>
      <c r="BI1150" s="4">
        <f t="shared" si="610"/>
        <v>4</v>
      </c>
      <c r="BJ1150" s="4">
        <f t="shared" si="611"/>
        <v>2</v>
      </c>
      <c r="BK1150" s="4">
        <f t="shared" si="612"/>
        <v>4</v>
      </c>
      <c r="BL1150" s="4">
        <f t="shared" si="613"/>
        <v>2</v>
      </c>
      <c r="BM1150" s="4" t="str">
        <f t="shared" si="614"/>
        <v>0</v>
      </c>
      <c r="BN1150" s="4">
        <f t="shared" si="615"/>
        <v>4</v>
      </c>
      <c r="BO1150" s="4">
        <f t="shared" si="616"/>
        <v>4</v>
      </c>
      <c r="BP1150" s="4">
        <f t="shared" si="617"/>
        <v>4</v>
      </c>
      <c r="BQ1150" s="4" t="str">
        <f t="shared" si="618"/>
        <v>0</v>
      </c>
      <c r="BR1150" s="4">
        <f t="shared" si="619"/>
        <v>4</v>
      </c>
      <c r="BS1150" s="4">
        <f t="shared" si="620"/>
        <v>4</v>
      </c>
      <c r="BT1150" s="4">
        <f t="shared" si="621"/>
        <v>4</v>
      </c>
      <c r="BU1150" s="4">
        <f t="shared" si="622"/>
        <v>4</v>
      </c>
      <c r="BV1150" s="4">
        <f t="shared" si="623"/>
        <v>0</v>
      </c>
      <c r="BW1150" s="4">
        <f t="shared" si="624"/>
        <v>6</v>
      </c>
      <c r="BX1150" s="4">
        <f t="shared" si="625"/>
        <v>0</v>
      </c>
      <c r="BY1150" s="4">
        <f t="shared" si="626"/>
        <v>0</v>
      </c>
      <c r="BZ1150" s="37">
        <f t="shared" si="627"/>
        <v>82</v>
      </c>
      <c r="CA1150" s="32" t="str">
        <f>VLOOKUP(J:J,'Agent wise'!A:C,3,0)</f>
        <v>Shakeer</v>
      </c>
      <c r="CB1150" s="32">
        <f t="shared" si="628"/>
        <v>45950</v>
      </c>
      <c r="CC1150" t="str">
        <f t="shared" si="629"/>
        <v>FC</v>
      </c>
      <c r="CE1150" s="32"/>
      <c r="CJ1150">
        <f t="shared" si="630"/>
        <v>20</v>
      </c>
      <c r="CK1150">
        <f t="shared" si="631"/>
        <v>10</v>
      </c>
      <c r="CL1150">
        <f t="shared" si="632"/>
        <v>2025</v>
      </c>
    </row>
    <row r="1151" spans="1:90" ht="15" customHeight="1" x14ac:dyDescent="0.35">
      <c r="A1151" t="s">
        <v>2844</v>
      </c>
      <c r="B1151" t="s">
        <v>100</v>
      </c>
      <c r="C1151" t="s">
        <v>214</v>
      </c>
      <c r="D1151" t="s">
        <v>101</v>
      </c>
      <c r="E1151" s="32">
        <v>45950</v>
      </c>
      <c r="F1151" t="s">
        <v>54</v>
      </c>
      <c r="G1151" t="s">
        <v>2708</v>
      </c>
      <c r="H1151">
        <v>7598623990</v>
      </c>
      <c r="I1151">
        <v>139</v>
      </c>
      <c r="J1151" t="s">
        <v>341</v>
      </c>
      <c r="K1151" t="s">
        <v>71</v>
      </c>
      <c r="L1151" t="s">
        <v>72</v>
      </c>
      <c r="M1151" t="s">
        <v>59</v>
      </c>
      <c r="N1151" t="s">
        <v>59</v>
      </c>
      <c r="O1151" t="s">
        <v>60</v>
      </c>
      <c r="P1151" t="s">
        <v>59</v>
      </c>
      <c r="Q1151" t="s">
        <v>59</v>
      </c>
      <c r="R1151" t="s">
        <v>60</v>
      </c>
      <c r="S1151" t="s">
        <v>59</v>
      </c>
      <c r="T1151" t="s">
        <v>59</v>
      </c>
      <c r="U1151" t="s">
        <v>60</v>
      </c>
      <c r="V1151" t="s">
        <v>59</v>
      </c>
      <c r="W1151" t="s">
        <v>59</v>
      </c>
      <c r="X1151" t="s">
        <v>61</v>
      </c>
      <c r="Y1151" t="s">
        <v>59</v>
      </c>
      <c r="Z1151" t="s">
        <v>59</v>
      </c>
      <c r="AA1151" t="s">
        <v>60</v>
      </c>
      <c r="AB1151" t="s">
        <v>60</v>
      </c>
      <c r="AC1151" t="s">
        <v>60</v>
      </c>
      <c r="AD1151" t="s">
        <v>59</v>
      </c>
      <c r="AE1151" t="s">
        <v>59</v>
      </c>
      <c r="AF1151" t="s">
        <v>61</v>
      </c>
      <c r="AG1151" t="s">
        <v>59</v>
      </c>
      <c r="AH1151" t="s">
        <v>61</v>
      </c>
      <c r="AI1151" t="s">
        <v>61</v>
      </c>
      <c r="AJ1151" t="s">
        <v>59</v>
      </c>
      <c r="AK1151" t="s">
        <v>61</v>
      </c>
      <c r="AL1151" t="s">
        <v>59</v>
      </c>
      <c r="AM1151" t="s">
        <v>59</v>
      </c>
      <c r="AN1151" t="s">
        <v>59</v>
      </c>
      <c r="AO1151" t="s">
        <v>60</v>
      </c>
      <c r="AP1151" t="s">
        <v>2845</v>
      </c>
      <c r="AQ1151" s="1" t="s">
        <v>2846</v>
      </c>
      <c r="AR1151" t="s">
        <v>64</v>
      </c>
      <c r="AS1151" t="s">
        <v>2847</v>
      </c>
      <c r="AT1151" t="s">
        <v>1990</v>
      </c>
      <c r="AU1151" t="s">
        <v>299</v>
      </c>
      <c r="AW1151" s="4">
        <f t="shared" si="598"/>
        <v>6</v>
      </c>
      <c r="AX1151" s="4">
        <f t="shared" si="599"/>
        <v>4</v>
      </c>
      <c r="AY1151" s="4" t="str">
        <f t="shared" si="600"/>
        <v>0</v>
      </c>
      <c r="AZ1151" s="4">
        <f t="shared" si="601"/>
        <v>2</v>
      </c>
      <c r="BA1151" s="4">
        <f t="shared" si="602"/>
        <v>4</v>
      </c>
      <c r="BB1151" s="4" t="str">
        <f t="shared" si="603"/>
        <v>0</v>
      </c>
      <c r="BC1151" s="4">
        <f t="shared" si="604"/>
        <v>4</v>
      </c>
      <c r="BD1151" s="4">
        <f t="shared" si="605"/>
        <v>2</v>
      </c>
      <c r="BE1151" s="4" t="str">
        <f t="shared" si="606"/>
        <v>0</v>
      </c>
      <c r="BF1151" s="4">
        <f t="shared" si="607"/>
        <v>2</v>
      </c>
      <c r="BG1151" s="4">
        <f t="shared" si="608"/>
        <v>4</v>
      </c>
      <c r="BH1151" s="4">
        <f t="shared" si="609"/>
        <v>4</v>
      </c>
      <c r="BI1151" s="4">
        <f t="shared" si="610"/>
        <v>4</v>
      </c>
      <c r="BJ1151" s="4">
        <f t="shared" si="611"/>
        <v>2</v>
      </c>
      <c r="BK1151" s="4" t="str">
        <f t="shared" si="612"/>
        <v>0</v>
      </c>
      <c r="BL1151" s="4" t="str">
        <f t="shared" si="613"/>
        <v>0</v>
      </c>
      <c r="BM1151" s="4" t="str">
        <f t="shared" si="614"/>
        <v>0</v>
      </c>
      <c r="BN1151" s="4">
        <f t="shared" si="615"/>
        <v>4</v>
      </c>
      <c r="BO1151" s="4">
        <f t="shared" si="616"/>
        <v>4</v>
      </c>
      <c r="BP1151" s="4">
        <f t="shared" si="617"/>
        <v>4</v>
      </c>
      <c r="BQ1151" s="4">
        <f t="shared" si="618"/>
        <v>6</v>
      </c>
      <c r="BR1151" s="4">
        <f t="shared" si="619"/>
        <v>4</v>
      </c>
      <c r="BS1151" s="4">
        <f t="shared" si="620"/>
        <v>4</v>
      </c>
      <c r="BT1151" s="4">
        <f t="shared" si="621"/>
        <v>4</v>
      </c>
      <c r="BU1151" s="4">
        <f t="shared" si="622"/>
        <v>4</v>
      </c>
      <c r="BV1151" s="4">
        <f t="shared" si="623"/>
        <v>0</v>
      </c>
      <c r="BW1151" s="4">
        <f t="shared" si="624"/>
        <v>6</v>
      </c>
      <c r="BX1151" s="4">
        <f t="shared" si="625"/>
        <v>0</v>
      </c>
      <c r="BY1151" s="4" t="str">
        <f t="shared" si="626"/>
        <v>0</v>
      </c>
      <c r="BZ1151" s="37">
        <f t="shared" si="627"/>
        <v>78</v>
      </c>
      <c r="CA1151" s="32" t="str">
        <f>VLOOKUP(J:J,'Agent wise'!A:C,3,0)</f>
        <v>Adharsh</v>
      </c>
      <c r="CB1151" s="32">
        <f t="shared" si="628"/>
        <v>45950</v>
      </c>
      <c r="CC1151" t="str">
        <f t="shared" si="629"/>
        <v>FC</v>
      </c>
      <c r="CE1151" s="32"/>
      <c r="CJ1151">
        <f t="shared" si="630"/>
        <v>20</v>
      </c>
      <c r="CK1151">
        <f t="shared" si="631"/>
        <v>10</v>
      </c>
      <c r="CL1151">
        <f t="shared" si="632"/>
        <v>2025</v>
      </c>
    </row>
    <row r="1152" spans="1:90" ht="15" customHeight="1" x14ac:dyDescent="0.35">
      <c r="A1152" t="s">
        <v>2848</v>
      </c>
      <c r="B1152" t="s">
        <v>100</v>
      </c>
      <c r="C1152" t="s">
        <v>214</v>
      </c>
      <c r="D1152" t="s">
        <v>101</v>
      </c>
      <c r="E1152" s="32">
        <v>45950</v>
      </c>
      <c r="F1152" t="s">
        <v>54</v>
      </c>
      <c r="G1152" t="s">
        <v>2708</v>
      </c>
      <c r="H1152">
        <v>8300082714</v>
      </c>
      <c r="I1152">
        <v>138</v>
      </c>
      <c r="J1152" t="s">
        <v>335</v>
      </c>
      <c r="K1152" t="s">
        <v>71</v>
      </c>
      <c r="L1152" t="s">
        <v>72</v>
      </c>
      <c r="M1152" t="s">
        <v>59</v>
      </c>
      <c r="N1152" t="s">
        <v>59</v>
      </c>
      <c r="O1152" t="s">
        <v>59</v>
      </c>
      <c r="P1152" t="s">
        <v>59</v>
      </c>
      <c r="Q1152" t="s">
        <v>59</v>
      </c>
      <c r="R1152" t="s">
        <v>60</v>
      </c>
      <c r="S1152" t="s">
        <v>59</v>
      </c>
      <c r="T1152" t="s">
        <v>60</v>
      </c>
      <c r="U1152" t="s">
        <v>60</v>
      </c>
      <c r="V1152" t="s">
        <v>59</v>
      </c>
      <c r="W1152" t="s">
        <v>59</v>
      </c>
      <c r="X1152" t="s">
        <v>61</v>
      </c>
      <c r="Y1152" t="s">
        <v>59</v>
      </c>
      <c r="Z1152" t="s">
        <v>60</v>
      </c>
      <c r="AA1152" t="s">
        <v>60</v>
      </c>
      <c r="AB1152" t="s">
        <v>60</v>
      </c>
      <c r="AC1152" t="s">
        <v>60</v>
      </c>
      <c r="AD1152" t="s">
        <v>59</v>
      </c>
      <c r="AE1152" t="s">
        <v>59</v>
      </c>
      <c r="AF1152" t="s">
        <v>61</v>
      </c>
      <c r="AG1152" t="s">
        <v>59</v>
      </c>
      <c r="AH1152" t="s">
        <v>61</v>
      </c>
      <c r="AI1152" t="s">
        <v>61</v>
      </c>
      <c r="AJ1152" t="s">
        <v>59</v>
      </c>
      <c r="AK1152" t="s">
        <v>61</v>
      </c>
      <c r="AL1152" t="s">
        <v>60</v>
      </c>
      <c r="AM1152" t="s">
        <v>59</v>
      </c>
      <c r="AN1152" t="s">
        <v>59</v>
      </c>
      <c r="AO1152" t="s">
        <v>59</v>
      </c>
      <c r="AP1152" t="s">
        <v>2849</v>
      </c>
      <c r="AQ1152" s="1" t="s">
        <v>2850</v>
      </c>
      <c r="AR1152" t="s">
        <v>64</v>
      </c>
      <c r="AS1152" t="s">
        <v>171</v>
      </c>
      <c r="AT1152" t="s">
        <v>190</v>
      </c>
      <c r="AU1152" t="s">
        <v>299</v>
      </c>
      <c r="AW1152" s="4">
        <f t="shared" si="598"/>
        <v>6</v>
      </c>
      <c r="AX1152" s="4">
        <f t="shared" si="599"/>
        <v>4</v>
      </c>
      <c r="AY1152" s="4">
        <f t="shared" si="600"/>
        <v>4</v>
      </c>
      <c r="AZ1152" s="4">
        <f t="shared" si="601"/>
        <v>2</v>
      </c>
      <c r="BA1152" s="4">
        <f t="shared" si="602"/>
        <v>4</v>
      </c>
      <c r="BB1152" s="4" t="str">
        <f t="shared" si="603"/>
        <v>0</v>
      </c>
      <c r="BC1152" s="4">
        <f t="shared" si="604"/>
        <v>4</v>
      </c>
      <c r="BD1152" s="4" t="str">
        <f t="shared" si="605"/>
        <v>0</v>
      </c>
      <c r="BE1152" s="4" t="str">
        <f t="shared" si="606"/>
        <v>0</v>
      </c>
      <c r="BF1152" s="4">
        <f t="shared" si="607"/>
        <v>2</v>
      </c>
      <c r="BG1152" s="4">
        <f t="shared" si="608"/>
        <v>4</v>
      </c>
      <c r="BH1152" s="4">
        <f t="shared" si="609"/>
        <v>4</v>
      </c>
      <c r="BI1152" s="4">
        <f t="shared" si="610"/>
        <v>4</v>
      </c>
      <c r="BJ1152" s="4" t="str">
        <f t="shared" si="611"/>
        <v>0</v>
      </c>
      <c r="BK1152" s="4" t="str">
        <f t="shared" si="612"/>
        <v>0</v>
      </c>
      <c r="BL1152" s="4" t="str">
        <f t="shared" si="613"/>
        <v>0</v>
      </c>
      <c r="BM1152" s="4" t="str">
        <f t="shared" si="614"/>
        <v>0</v>
      </c>
      <c r="BN1152" s="4">
        <f t="shared" si="615"/>
        <v>4</v>
      </c>
      <c r="BO1152" s="4">
        <f t="shared" si="616"/>
        <v>4</v>
      </c>
      <c r="BP1152" s="4">
        <f t="shared" si="617"/>
        <v>4</v>
      </c>
      <c r="BQ1152" s="4">
        <f t="shared" si="618"/>
        <v>6</v>
      </c>
      <c r="BR1152" s="4">
        <f t="shared" si="619"/>
        <v>4</v>
      </c>
      <c r="BS1152" s="4">
        <f t="shared" si="620"/>
        <v>4</v>
      </c>
      <c r="BT1152" s="4">
        <f t="shared" si="621"/>
        <v>4</v>
      </c>
      <c r="BU1152" s="4">
        <f t="shared" si="622"/>
        <v>4</v>
      </c>
      <c r="BV1152" s="4" t="str">
        <f t="shared" si="623"/>
        <v>0</v>
      </c>
      <c r="BW1152" s="4">
        <f t="shared" si="624"/>
        <v>6</v>
      </c>
      <c r="BX1152" s="4">
        <f t="shared" si="625"/>
        <v>0</v>
      </c>
      <c r="BY1152" s="4">
        <f t="shared" si="626"/>
        <v>0</v>
      </c>
      <c r="BZ1152" s="37">
        <f t="shared" si="627"/>
        <v>78</v>
      </c>
      <c r="CA1152" s="32" t="str">
        <f>VLOOKUP(J:J,'Agent wise'!A:C,3,0)</f>
        <v xml:space="preserve">Shiny </v>
      </c>
      <c r="CB1152" s="32">
        <f t="shared" si="628"/>
        <v>45950</v>
      </c>
      <c r="CC1152" t="str">
        <f t="shared" si="629"/>
        <v>FC</v>
      </c>
      <c r="CE1152" s="32"/>
      <c r="CJ1152">
        <f t="shared" si="630"/>
        <v>20</v>
      </c>
      <c r="CK1152">
        <f t="shared" si="631"/>
        <v>10</v>
      </c>
      <c r="CL1152">
        <f t="shared" si="632"/>
        <v>2025</v>
      </c>
    </row>
    <row r="1153" spans="1:90" ht="15" customHeight="1" x14ac:dyDescent="0.35">
      <c r="A1153" t="s">
        <v>2851</v>
      </c>
      <c r="B1153" t="s">
        <v>100</v>
      </c>
      <c r="C1153" t="s">
        <v>214</v>
      </c>
      <c r="D1153" t="s">
        <v>101</v>
      </c>
      <c r="E1153" s="32">
        <v>45950</v>
      </c>
      <c r="F1153" t="s">
        <v>54</v>
      </c>
      <c r="G1153" t="s">
        <v>2708</v>
      </c>
      <c r="H1153">
        <v>7845815521</v>
      </c>
      <c r="I1153">
        <v>146</v>
      </c>
      <c r="J1153" t="s">
        <v>159</v>
      </c>
      <c r="K1153" t="s">
        <v>57</v>
      </c>
      <c r="L1153" t="s">
        <v>58</v>
      </c>
      <c r="M1153" t="s">
        <v>59</v>
      </c>
      <c r="N1153" t="s">
        <v>59</v>
      </c>
      <c r="O1153" t="s">
        <v>59</v>
      </c>
      <c r="P1153" t="s">
        <v>59</v>
      </c>
      <c r="Q1153" t="s">
        <v>59</v>
      </c>
      <c r="R1153" t="s">
        <v>59</v>
      </c>
      <c r="S1153" t="s">
        <v>59</v>
      </c>
      <c r="T1153" t="s">
        <v>59</v>
      </c>
      <c r="U1153" t="s">
        <v>60</v>
      </c>
      <c r="V1153" t="s">
        <v>60</v>
      </c>
      <c r="W1153" t="s">
        <v>59</v>
      </c>
      <c r="X1153" t="s">
        <v>61</v>
      </c>
      <c r="Y1153" t="s">
        <v>59</v>
      </c>
      <c r="Z1153" t="s">
        <v>60</v>
      </c>
      <c r="AA1153" t="s">
        <v>60</v>
      </c>
      <c r="AB1153" t="s">
        <v>61</v>
      </c>
      <c r="AC1153" t="s">
        <v>60</v>
      </c>
      <c r="AD1153" t="s">
        <v>59</v>
      </c>
      <c r="AE1153" t="s">
        <v>59</v>
      </c>
      <c r="AF1153" t="s">
        <v>59</v>
      </c>
      <c r="AG1153" t="s">
        <v>59</v>
      </c>
      <c r="AH1153" t="s">
        <v>61</v>
      </c>
      <c r="AI1153" t="s">
        <v>61</v>
      </c>
      <c r="AJ1153" t="s">
        <v>61</v>
      </c>
      <c r="AK1153" t="s">
        <v>61</v>
      </c>
      <c r="AL1153" t="s">
        <v>60</v>
      </c>
      <c r="AM1153" t="s">
        <v>59</v>
      </c>
      <c r="AN1153" t="s">
        <v>59</v>
      </c>
      <c r="AO1153" t="s">
        <v>59</v>
      </c>
      <c r="AP1153" t="s">
        <v>2849</v>
      </c>
      <c r="AQ1153" s="1" t="s">
        <v>2850</v>
      </c>
      <c r="AR1153" t="s">
        <v>64</v>
      </c>
      <c r="AS1153" t="s">
        <v>171</v>
      </c>
      <c r="AT1153" t="s">
        <v>190</v>
      </c>
      <c r="AU1153" t="s">
        <v>299</v>
      </c>
      <c r="AW1153" s="4">
        <f t="shared" si="598"/>
        <v>6</v>
      </c>
      <c r="AX1153" s="4">
        <f t="shared" si="599"/>
        <v>4</v>
      </c>
      <c r="AY1153" s="4">
        <f t="shared" si="600"/>
        <v>4</v>
      </c>
      <c r="AZ1153" s="4">
        <f t="shared" si="601"/>
        <v>2</v>
      </c>
      <c r="BA1153" s="4">
        <f t="shared" si="602"/>
        <v>4</v>
      </c>
      <c r="BB1153" s="4">
        <f t="shared" si="603"/>
        <v>4</v>
      </c>
      <c r="BC1153" s="4">
        <f t="shared" si="604"/>
        <v>4</v>
      </c>
      <c r="BD1153" s="4">
        <f t="shared" si="605"/>
        <v>2</v>
      </c>
      <c r="BE1153" s="4" t="str">
        <f t="shared" si="606"/>
        <v>0</v>
      </c>
      <c r="BF1153" s="4" t="str">
        <f t="shared" si="607"/>
        <v>0</v>
      </c>
      <c r="BG1153" s="4">
        <f t="shared" si="608"/>
        <v>4</v>
      </c>
      <c r="BH1153" s="4">
        <f t="shared" si="609"/>
        <v>4</v>
      </c>
      <c r="BI1153" s="4">
        <f t="shared" si="610"/>
        <v>4</v>
      </c>
      <c r="BJ1153" s="4" t="str">
        <f t="shared" si="611"/>
        <v>0</v>
      </c>
      <c r="BK1153" s="4" t="str">
        <f t="shared" si="612"/>
        <v>0</v>
      </c>
      <c r="BL1153" s="4">
        <f t="shared" si="613"/>
        <v>2</v>
      </c>
      <c r="BM1153" s="4" t="str">
        <f t="shared" si="614"/>
        <v>0</v>
      </c>
      <c r="BN1153" s="4">
        <f t="shared" si="615"/>
        <v>4</v>
      </c>
      <c r="BO1153" s="4">
        <f t="shared" si="616"/>
        <v>4</v>
      </c>
      <c r="BP1153" s="4">
        <f t="shared" si="617"/>
        <v>4</v>
      </c>
      <c r="BQ1153" s="4">
        <f t="shared" si="618"/>
        <v>6</v>
      </c>
      <c r="BR1153" s="4">
        <f t="shared" si="619"/>
        <v>4</v>
      </c>
      <c r="BS1153" s="4">
        <f t="shared" si="620"/>
        <v>4</v>
      </c>
      <c r="BT1153" s="4">
        <f t="shared" si="621"/>
        <v>4</v>
      </c>
      <c r="BU1153" s="4">
        <f t="shared" si="622"/>
        <v>4</v>
      </c>
      <c r="BV1153" s="4" t="str">
        <f t="shared" si="623"/>
        <v>0</v>
      </c>
      <c r="BW1153" s="4">
        <f t="shared" si="624"/>
        <v>6</v>
      </c>
      <c r="BX1153" s="4">
        <f t="shared" si="625"/>
        <v>0</v>
      </c>
      <c r="BY1153" s="4">
        <f t="shared" si="626"/>
        <v>0</v>
      </c>
      <c r="BZ1153" s="37">
        <f t="shared" si="627"/>
        <v>84</v>
      </c>
      <c r="CA1153" s="32" t="str">
        <f>VLOOKUP(J:J,'Agent wise'!A:C,3,0)</f>
        <v>Shakeer</v>
      </c>
      <c r="CB1153" s="32">
        <f t="shared" si="628"/>
        <v>45950</v>
      </c>
      <c r="CC1153" t="str">
        <f t="shared" si="629"/>
        <v>FC</v>
      </c>
      <c r="CE1153" s="32"/>
      <c r="CJ1153">
        <f t="shared" si="630"/>
        <v>20</v>
      </c>
      <c r="CK1153">
        <f t="shared" si="631"/>
        <v>10</v>
      </c>
      <c r="CL1153">
        <f t="shared" si="632"/>
        <v>2025</v>
      </c>
    </row>
    <row r="1154" spans="1:90" ht="15" customHeight="1" x14ac:dyDescent="0.35">
      <c r="A1154" t="s">
        <v>2852</v>
      </c>
      <c r="B1154" t="s">
        <v>250</v>
      </c>
      <c r="C1154" t="s">
        <v>214</v>
      </c>
      <c r="D1154" t="s">
        <v>251</v>
      </c>
      <c r="E1154" s="32">
        <v>45950</v>
      </c>
      <c r="F1154" t="s">
        <v>90</v>
      </c>
      <c r="G1154" t="s">
        <v>2708</v>
      </c>
      <c r="H1154">
        <v>8124815785</v>
      </c>
      <c r="I1154">
        <v>147</v>
      </c>
      <c r="J1154" t="s">
        <v>490</v>
      </c>
      <c r="K1154" t="s">
        <v>71</v>
      </c>
      <c r="L1154" t="s">
        <v>72</v>
      </c>
      <c r="M1154" t="s">
        <v>59</v>
      </c>
      <c r="N1154" t="s">
        <v>59</v>
      </c>
      <c r="O1154" t="s">
        <v>59</v>
      </c>
      <c r="P1154" t="s">
        <v>59</v>
      </c>
      <c r="Q1154" t="s">
        <v>59</v>
      </c>
      <c r="R1154" t="s">
        <v>59</v>
      </c>
      <c r="S1154" t="s">
        <v>59</v>
      </c>
      <c r="T1154" t="s">
        <v>59</v>
      </c>
      <c r="U1154" t="s">
        <v>60</v>
      </c>
      <c r="V1154" t="s">
        <v>59</v>
      </c>
      <c r="W1154" t="s">
        <v>59</v>
      </c>
      <c r="X1154" t="s">
        <v>59</v>
      </c>
      <c r="Y1154" t="s">
        <v>59</v>
      </c>
      <c r="Z1154" t="s">
        <v>59</v>
      </c>
      <c r="AA1154" t="s">
        <v>59</v>
      </c>
      <c r="AB1154" t="s">
        <v>59</v>
      </c>
      <c r="AC1154" t="s">
        <v>59</v>
      </c>
      <c r="AD1154" t="s">
        <v>59</v>
      </c>
      <c r="AE1154" t="s">
        <v>59</v>
      </c>
      <c r="AF1154" t="s">
        <v>59</v>
      </c>
      <c r="AG1154" t="s">
        <v>59</v>
      </c>
      <c r="AH1154" t="s">
        <v>61</v>
      </c>
      <c r="AI1154" t="s">
        <v>61</v>
      </c>
      <c r="AJ1154" t="s">
        <v>59</v>
      </c>
      <c r="AK1154" t="s">
        <v>59</v>
      </c>
      <c r="AL1154" t="s">
        <v>59</v>
      </c>
      <c r="AM1154" t="s">
        <v>59</v>
      </c>
      <c r="AN1154" t="s">
        <v>59</v>
      </c>
      <c r="AO1154" t="s">
        <v>59</v>
      </c>
      <c r="AP1154" t="s">
        <v>270</v>
      </c>
      <c r="AQ1154" t="s">
        <v>2853</v>
      </c>
      <c r="AR1154" t="s">
        <v>64</v>
      </c>
      <c r="AS1154" t="s">
        <v>621</v>
      </c>
      <c r="AT1154" t="s">
        <v>602</v>
      </c>
      <c r="AU1154" t="s">
        <v>219</v>
      </c>
      <c r="AW1154" s="4">
        <f t="shared" si="598"/>
        <v>6</v>
      </c>
      <c r="AX1154" s="4">
        <f t="shared" si="599"/>
        <v>4</v>
      </c>
      <c r="AY1154" s="4">
        <f t="shared" si="600"/>
        <v>4</v>
      </c>
      <c r="AZ1154" s="4">
        <f t="shared" si="601"/>
        <v>2</v>
      </c>
      <c r="BA1154" s="4">
        <f t="shared" si="602"/>
        <v>4</v>
      </c>
      <c r="BB1154" s="4">
        <f t="shared" si="603"/>
        <v>4</v>
      </c>
      <c r="BC1154" s="4">
        <f t="shared" si="604"/>
        <v>4</v>
      </c>
      <c r="BD1154" s="4">
        <f t="shared" si="605"/>
        <v>2</v>
      </c>
      <c r="BE1154" s="4" t="str">
        <f t="shared" si="606"/>
        <v>0</v>
      </c>
      <c r="BF1154" s="4">
        <f t="shared" si="607"/>
        <v>2</v>
      </c>
      <c r="BG1154" s="4">
        <f t="shared" si="608"/>
        <v>4</v>
      </c>
      <c r="BH1154" s="4">
        <f t="shared" si="609"/>
        <v>4</v>
      </c>
      <c r="BI1154" s="4">
        <f t="shared" si="610"/>
        <v>4</v>
      </c>
      <c r="BJ1154" s="4">
        <f t="shared" si="611"/>
        <v>2</v>
      </c>
      <c r="BK1154" s="4">
        <f t="shared" si="612"/>
        <v>4</v>
      </c>
      <c r="BL1154" s="4">
        <f t="shared" si="613"/>
        <v>2</v>
      </c>
      <c r="BM1154" s="4">
        <f t="shared" si="614"/>
        <v>4</v>
      </c>
      <c r="BN1154" s="4">
        <f t="shared" si="615"/>
        <v>4</v>
      </c>
      <c r="BO1154" s="4">
        <f t="shared" si="616"/>
        <v>4</v>
      </c>
      <c r="BP1154" s="4">
        <f t="shared" si="617"/>
        <v>4</v>
      </c>
      <c r="BQ1154" s="4">
        <f t="shared" si="618"/>
        <v>6</v>
      </c>
      <c r="BR1154" s="4">
        <f t="shared" si="619"/>
        <v>4</v>
      </c>
      <c r="BS1154" s="4">
        <f t="shared" si="620"/>
        <v>4</v>
      </c>
      <c r="BT1154" s="4">
        <f t="shared" si="621"/>
        <v>4</v>
      </c>
      <c r="BU1154" s="4">
        <f t="shared" si="622"/>
        <v>4</v>
      </c>
      <c r="BV1154" s="4">
        <f t="shared" si="623"/>
        <v>0</v>
      </c>
      <c r="BW1154" s="4">
        <f t="shared" si="624"/>
        <v>6</v>
      </c>
      <c r="BX1154" s="4">
        <f t="shared" si="625"/>
        <v>0</v>
      </c>
      <c r="BY1154" s="4">
        <f t="shared" si="626"/>
        <v>0</v>
      </c>
      <c r="BZ1154" s="37">
        <f t="shared" si="627"/>
        <v>96</v>
      </c>
      <c r="CA1154" s="32" t="str">
        <f>VLOOKUP(J:J,'Agent wise'!A:C,3,0)</f>
        <v>Saran S</v>
      </c>
      <c r="CB1154" s="32">
        <f t="shared" si="628"/>
        <v>45950</v>
      </c>
      <c r="CC1154" t="str">
        <f t="shared" si="629"/>
        <v>Excellent</v>
      </c>
      <c r="CE1154" s="32"/>
      <c r="CJ1154">
        <f t="shared" si="630"/>
        <v>20</v>
      </c>
      <c r="CK1154">
        <f t="shared" si="631"/>
        <v>10</v>
      </c>
      <c r="CL1154">
        <f t="shared" si="632"/>
        <v>2025</v>
      </c>
    </row>
    <row r="1155" spans="1:90" ht="15" customHeight="1" x14ac:dyDescent="0.35">
      <c r="A1155" t="s">
        <v>2854</v>
      </c>
      <c r="B1155" t="s">
        <v>100</v>
      </c>
      <c r="C1155" t="s">
        <v>214</v>
      </c>
      <c r="D1155" t="s">
        <v>101</v>
      </c>
      <c r="E1155" s="32">
        <v>45950</v>
      </c>
      <c r="F1155" t="s">
        <v>54</v>
      </c>
      <c r="G1155" t="s">
        <v>2708</v>
      </c>
      <c r="H1155">
        <v>9895202488</v>
      </c>
      <c r="I1155">
        <v>130</v>
      </c>
      <c r="J1155" t="s">
        <v>215</v>
      </c>
      <c r="K1155" t="s">
        <v>57</v>
      </c>
      <c r="L1155" t="s">
        <v>58</v>
      </c>
      <c r="M1155" t="s">
        <v>59</v>
      </c>
      <c r="N1155" t="s">
        <v>59</v>
      </c>
      <c r="O1155" t="s">
        <v>59</v>
      </c>
      <c r="P1155" t="s">
        <v>59</v>
      </c>
      <c r="Q1155" t="s">
        <v>59</v>
      </c>
      <c r="R1155" t="s">
        <v>59</v>
      </c>
      <c r="S1155" t="s">
        <v>59</v>
      </c>
      <c r="T1155" t="s">
        <v>59</v>
      </c>
      <c r="U1155" t="s">
        <v>60</v>
      </c>
      <c r="V1155" t="s">
        <v>59</v>
      </c>
      <c r="W1155" t="s">
        <v>59</v>
      </c>
      <c r="X1155" t="s">
        <v>61</v>
      </c>
      <c r="Y1155" t="s">
        <v>59</v>
      </c>
      <c r="Z1155" t="s">
        <v>59</v>
      </c>
      <c r="AA1155" t="s">
        <v>60</v>
      </c>
      <c r="AB1155" t="s">
        <v>61</v>
      </c>
      <c r="AC1155" t="s">
        <v>60</v>
      </c>
      <c r="AD1155" t="s">
        <v>61</v>
      </c>
      <c r="AE1155" t="s">
        <v>59</v>
      </c>
      <c r="AF1155" t="s">
        <v>59</v>
      </c>
      <c r="AG1155" t="s">
        <v>59</v>
      </c>
      <c r="AH1155" t="s">
        <v>61</v>
      </c>
      <c r="AI1155" t="s">
        <v>61</v>
      </c>
      <c r="AJ1155" t="s">
        <v>59</v>
      </c>
      <c r="AK1155" t="s">
        <v>61</v>
      </c>
      <c r="AL1155" t="s">
        <v>60</v>
      </c>
      <c r="AM1155" t="s">
        <v>59</v>
      </c>
      <c r="AN1155" t="s">
        <v>59</v>
      </c>
      <c r="AO1155" t="s">
        <v>59</v>
      </c>
      <c r="AP1155" t="s">
        <v>2849</v>
      </c>
      <c r="AQ1155" s="1" t="s">
        <v>2850</v>
      </c>
      <c r="AR1155" t="s">
        <v>64</v>
      </c>
      <c r="AS1155" t="s">
        <v>152</v>
      </c>
      <c r="AT1155" t="s">
        <v>267</v>
      </c>
      <c r="AU1155" t="s">
        <v>299</v>
      </c>
      <c r="AW1155" s="4">
        <f t="shared" ref="AW1155:AW1185" si="633">IF(OR(M1155="YES", M1155="Not Applicable"), AW$1, "0")</f>
        <v>6</v>
      </c>
      <c r="AX1155" s="4">
        <f t="shared" ref="AX1155:AX1185" si="634">IF(OR(N1155="YES", N1155="Not Applicable"), AX$1, "0")</f>
        <v>4</v>
      </c>
      <c r="AY1155" s="4">
        <f t="shared" ref="AY1155:AY1185" si="635">IF(OR(O1155="YES", O1155="Not Applicable"), AY$1, "0")</f>
        <v>4</v>
      </c>
      <c r="AZ1155" s="4">
        <f t="shared" ref="AZ1155:AZ1185" si="636">IF(OR(P1155="YES", P1155="Not Applicable"), AZ$1, "0")</f>
        <v>2</v>
      </c>
      <c r="BA1155" s="4">
        <f t="shared" ref="BA1155:BA1185" si="637">IF(OR(Q1155="YES", Q1155="Not Applicable"), BA$1, "0")</f>
        <v>4</v>
      </c>
      <c r="BB1155" s="4">
        <f t="shared" ref="BB1155:BB1185" si="638">IF(OR(R1155="YES", R1155="Not Applicable"), BB$1, "0")</f>
        <v>4</v>
      </c>
      <c r="BC1155" s="4">
        <f t="shared" ref="BC1155:BC1185" si="639">IF(OR(S1155="YES", S1155="Not Applicable"), BC$1, "0")</f>
        <v>4</v>
      </c>
      <c r="BD1155" s="4">
        <f t="shared" ref="BD1155:BD1185" si="640">IF(OR(T1155="YES", T1155="Not Applicable"), BD$1, "0")</f>
        <v>2</v>
      </c>
      <c r="BE1155" s="4" t="str">
        <f t="shared" ref="BE1155:BE1185" si="641">IF(OR(U1155="YES", U1155="Not Applicable"), BE$1, "0")</f>
        <v>0</v>
      </c>
      <c r="BF1155" s="4">
        <f t="shared" ref="BF1155:BF1185" si="642">IF(OR(V1155="YES", V1155="Not Applicable"), BF$1, "0")</f>
        <v>2</v>
      </c>
      <c r="BG1155" s="4">
        <f t="shared" ref="BG1155:BG1185" si="643">IF(OR(W1155="YES", W1155="Not Applicable"), BG$1, "0")</f>
        <v>4</v>
      </c>
      <c r="BH1155" s="4">
        <f t="shared" ref="BH1155:BH1185" si="644">IF(OR(X1155="YES", X1155="Not Applicable"), BH$1, "0")</f>
        <v>4</v>
      </c>
      <c r="BI1155" s="4">
        <f t="shared" ref="BI1155:BI1185" si="645">IF(OR(Y1155="YES", Y1155="Not Applicable"), BI$1, "0")</f>
        <v>4</v>
      </c>
      <c r="BJ1155" s="4">
        <f t="shared" ref="BJ1155:BJ1185" si="646">IF(OR(Z1155="YES", Z1155="Not Applicable"), BJ$1, "0")</f>
        <v>2</v>
      </c>
      <c r="BK1155" s="4" t="str">
        <f t="shared" ref="BK1155:BK1185" si="647">IF(OR(AA1155="YES", AA1155="Not Applicable"), BK$1, "0")</f>
        <v>0</v>
      </c>
      <c r="BL1155" s="4">
        <f t="shared" ref="BL1155:BL1185" si="648">IF(OR(AB1155="YES", AB1155="Not Applicable"), BL$1, "0")</f>
        <v>2</v>
      </c>
      <c r="BM1155" s="4" t="str">
        <f t="shared" ref="BM1155:BM1185" si="649">IF(OR(AC1155="YES", AC1155="Not Applicable"), BM$1, "0")</f>
        <v>0</v>
      </c>
      <c r="BN1155" s="4">
        <f t="shared" ref="BN1155:BN1185" si="650">IF(OR(AD1155="YES", AD1155="Not Applicable"), BN$1, "0")</f>
        <v>4</v>
      </c>
      <c r="BO1155" s="4">
        <f t="shared" ref="BO1155:BO1185" si="651">IF(OR(AE1155="YES", AE1155="Not Applicable"), BO$1, "0")</f>
        <v>4</v>
      </c>
      <c r="BP1155" s="4">
        <f t="shared" ref="BP1155:BP1185" si="652">IF(OR(AF1155="YES", AF1155="Not Applicable"), BP$1, "0")</f>
        <v>4</v>
      </c>
      <c r="BQ1155" s="4">
        <f t="shared" ref="BQ1155:BQ1185" si="653">IF(OR(AG1155="YES", AG1155="Not Applicable"), BQ$1, "0")</f>
        <v>6</v>
      </c>
      <c r="BR1155" s="4">
        <f t="shared" ref="BR1155:BR1185" si="654">IF(OR(AH1155="YES", AH1155="Not Applicable"), BR$1, "0")</f>
        <v>4</v>
      </c>
      <c r="BS1155" s="4">
        <f t="shared" ref="BS1155:BS1185" si="655">IF(OR(AI1155="YES", AI1155="Not Applicable"), BS$1, "0")</f>
        <v>4</v>
      </c>
      <c r="BT1155" s="4">
        <f t="shared" ref="BT1155:BT1185" si="656">IF(OR(AJ1155="YES", AJ1155="Not Applicable"), BT$1, "0")</f>
        <v>4</v>
      </c>
      <c r="BU1155" s="4">
        <f t="shared" ref="BU1155:BU1185" si="657">IF(OR(AK1155="YES", AK1155="Not Applicable"), BU$1, "0")</f>
        <v>4</v>
      </c>
      <c r="BV1155" s="4" t="str">
        <f t="shared" ref="BV1155:BV1185" si="658">IF(OR(AL1155="YES", AL1155="Not Applicable"), BV$1, "0")</f>
        <v>0</v>
      </c>
      <c r="BW1155" s="4">
        <f t="shared" ref="BW1155:BW1185" si="659">IF(OR(AM1155="YES", AM1155="Not Applicable"), BW$1, "0")</f>
        <v>6</v>
      </c>
      <c r="BX1155" s="4">
        <f t="shared" ref="BX1155:BX1185" si="660">IF(OR(AN1155="YES", AN1155="Not Applicable"), BX$1, "0")</f>
        <v>0</v>
      </c>
      <c r="BY1155" s="4">
        <f t="shared" ref="BY1155:BY1185" si="661">IF(OR(AO1155="YES", AO1155="Not Applicable"), BY$1, "0")</f>
        <v>0</v>
      </c>
      <c r="BZ1155" s="37">
        <f t="shared" ref="BZ1155:BZ1185" si="662">SUM(AW1155:BY1155)</f>
        <v>88</v>
      </c>
      <c r="CA1155" s="32" t="str">
        <f>VLOOKUP(J:J,'Agent wise'!A:C,3,0)</f>
        <v>Adharsh</v>
      </c>
      <c r="CB1155" s="32">
        <f t="shared" ref="CB1155:CB1218" si="663">INT(E1155)</f>
        <v>45950</v>
      </c>
      <c r="CC1155" t="str">
        <f t="shared" ref="CC1155:CC1185" si="664">IF(BZ1155&gt;=94.5, "Excellent", IF(BZ1155&gt;89.5, "Good", IF(BZ1155&gt;84.5, "Average", "FC")))</f>
        <v>Average</v>
      </c>
      <c r="CE1155" s="32"/>
      <c r="CJ1155">
        <f t="shared" si="630"/>
        <v>20</v>
      </c>
      <c r="CK1155">
        <f t="shared" si="631"/>
        <v>10</v>
      </c>
      <c r="CL1155">
        <f t="shared" si="632"/>
        <v>2025</v>
      </c>
    </row>
    <row r="1156" spans="1:90" ht="15" customHeight="1" x14ac:dyDescent="0.35">
      <c r="A1156" t="s">
        <v>2855</v>
      </c>
      <c r="B1156" t="s">
        <v>250</v>
      </c>
      <c r="C1156" t="s">
        <v>214</v>
      </c>
      <c r="D1156" t="s">
        <v>251</v>
      </c>
      <c r="E1156" s="32">
        <v>45950</v>
      </c>
      <c r="F1156" t="s">
        <v>90</v>
      </c>
      <c r="G1156" t="s">
        <v>2708</v>
      </c>
      <c r="H1156">
        <v>9443481977</v>
      </c>
      <c r="I1156">
        <v>200</v>
      </c>
      <c r="J1156" t="s">
        <v>490</v>
      </c>
      <c r="K1156" t="s">
        <v>71</v>
      </c>
      <c r="L1156" t="s">
        <v>72</v>
      </c>
      <c r="M1156" t="s">
        <v>59</v>
      </c>
      <c r="N1156" t="s">
        <v>59</v>
      </c>
      <c r="O1156" t="s">
        <v>59</v>
      </c>
      <c r="P1156" t="s">
        <v>59</v>
      </c>
      <c r="Q1156" t="s">
        <v>59</v>
      </c>
      <c r="R1156" t="s">
        <v>59</v>
      </c>
      <c r="S1156" t="s">
        <v>59</v>
      </c>
      <c r="T1156" t="s">
        <v>59</v>
      </c>
      <c r="U1156" t="s">
        <v>60</v>
      </c>
      <c r="V1156" t="s">
        <v>59</v>
      </c>
      <c r="W1156" t="s">
        <v>59</v>
      </c>
      <c r="X1156" t="s">
        <v>59</v>
      </c>
      <c r="Y1156" t="s">
        <v>59</v>
      </c>
      <c r="Z1156" t="s">
        <v>59</v>
      </c>
      <c r="AA1156" t="s">
        <v>59</v>
      </c>
      <c r="AB1156" t="s">
        <v>60</v>
      </c>
      <c r="AC1156" t="s">
        <v>59</v>
      </c>
      <c r="AD1156" t="s">
        <v>59</v>
      </c>
      <c r="AE1156" t="s">
        <v>59</v>
      </c>
      <c r="AF1156" t="s">
        <v>59</v>
      </c>
      <c r="AG1156" t="s">
        <v>59</v>
      </c>
      <c r="AH1156" t="s">
        <v>61</v>
      </c>
      <c r="AI1156" t="s">
        <v>61</v>
      </c>
      <c r="AJ1156" t="s">
        <v>59</v>
      </c>
      <c r="AK1156" t="s">
        <v>59</v>
      </c>
      <c r="AL1156" t="s">
        <v>60</v>
      </c>
      <c r="AM1156" t="s">
        <v>59</v>
      </c>
      <c r="AN1156" t="s">
        <v>59</v>
      </c>
      <c r="AO1156" t="s">
        <v>59</v>
      </c>
      <c r="AP1156" t="s">
        <v>467</v>
      </c>
      <c r="AQ1156" t="s">
        <v>2856</v>
      </c>
      <c r="AR1156" t="s">
        <v>64</v>
      </c>
      <c r="AS1156" t="s">
        <v>2390</v>
      </c>
      <c r="AT1156" t="s">
        <v>621</v>
      </c>
      <c r="AU1156" t="s">
        <v>219</v>
      </c>
      <c r="AW1156" s="4">
        <f t="shared" si="633"/>
        <v>6</v>
      </c>
      <c r="AX1156" s="4">
        <f t="shared" si="634"/>
        <v>4</v>
      </c>
      <c r="AY1156" s="4">
        <f t="shared" si="635"/>
        <v>4</v>
      </c>
      <c r="AZ1156" s="4">
        <f t="shared" si="636"/>
        <v>2</v>
      </c>
      <c r="BA1156" s="4">
        <f t="shared" si="637"/>
        <v>4</v>
      </c>
      <c r="BB1156" s="4">
        <f t="shared" si="638"/>
        <v>4</v>
      </c>
      <c r="BC1156" s="4">
        <f t="shared" si="639"/>
        <v>4</v>
      </c>
      <c r="BD1156" s="4">
        <f t="shared" si="640"/>
        <v>2</v>
      </c>
      <c r="BE1156" s="4" t="str">
        <f t="shared" si="641"/>
        <v>0</v>
      </c>
      <c r="BF1156" s="4">
        <f t="shared" si="642"/>
        <v>2</v>
      </c>
      <c r="BG1156" s="4">
        <f t="shared" si="643"/>
        <v>4</v>
      </c>
      <c r="BH1156" s="4">
        <f t="shared" si="644"/>
        <v>4</v>
      </c>
      <c r="BI1156" s="4">
        <f t="shared" si="645"/>
        <v>4</v>
      </c>
      <c r="BJ1156" s="4">
        <f t="shared" si="646"/>
        <v>2</v>
      </c>
      <c r="BK1156" s="4">
        <f t="shared" si="647"/>
        <v>4</v>
      </c>
      <c r="BL1156" s="4" t="str">
        <f t="shared" si="648"/>
        <v>0</v>
      </c>
      <c r="BM1156" s="4">
        <f t="shared" si="649"/>
        <v>4</v>
      </c>
      <c r="BN1156" s="4">
        <f t="shared" si="650"/>
        <v>4</v>
      </c>
      <c r="BO1156" s="4">
        <f t="shared" si="651"/>
        <v>4</v>
      </c>
      <c r="BP1156" s="4">
        <f t="shared" si="652"/>
        <v>4</v>
      </c>
      <c r="BQ1156" s="4">
        <f t="shared" si="653"/>
        <v>6</v>
      </c>
      <c r="BR1156" s="4">
        <f t="shared" si="654"/>
        <v>4</v>
      </c>
      <c r="BS1156" s="4">
        <f t="shared" si="655"/>
        <v>4</v>
      </c>
      <c r="BT1156" s="4">
        <f t="shared" si="656"/>
        <v>4</v>
      </c>
      <c r="BU1156" s="4">
        <f t="shared" si="657"/>
        <v>4</v>
      </c>
      <c r="BV1156" s="4" t="str">
        <f t="shared" si="658"/>
        <v>0</v>
      </c>
      <c r="BW1156" s="4">
        <f t="shared" si="659"/>
        <v>6</v>
      </c>
      <c r="BX1156" s="4">
        <f t="shared" si="660"/>
        <v>0</v>
      </c>
      <c r="BY1156" s="4">
        <f t="shared" si="661"/>
        <v>0</v>
      </c>
      <c r="BZ1156" s="37">
        <f t="shared" si="662"/>
        <v>94</v>
      </c>
      <c r="CA1156" s="32" t="str">
        <f>VLOOKUP(J:J,'Agent wise'!A:C,3,0)</f>
        <v>Saran S</v>
      </c>
      <c r="CB1156" s="32">
        <f t="shared" si="663"/>
        <v>45950</v>
      </c>
      <c r="CC1156" t="str">
        <f t="shared" si="664"/>
        <v>Good</v>
      </c>
      <c r="CE1156" s="32"/>
      <c r="CJ1156">
        <f t="shared" ref="CJ1156:CJ1219" si="665">DAY(E1156)</f>
        <v>20</v>
      </c>
      <c r="CK1156">
        <f t="shared" ref="CK1156:CK1219" si="666">MONTH(E1156)</f>
        <v>10</v>
      </c>
      <c r="CL1156">
        <f t="shared" ref="CL1156:CL1219" si="667">YEAR(E1156)</f>
        <v>2025</v>
      </c>
    </row>
    <row r="1157" spans="1:90" ht="15" customHeight="1" x14ac:dyDescent="0.35">
      <c r="A1157" t="s">
        <v>2857</v>
      </c>
      <c r="B1157" t="s">
        <v>100</v>
      </c>
      <c r="C1157" t="s">
        <v>214</v>
      </c>
      <c r="D1157" t="s">
        <v>101</v>
      </c>
      <c r="E1157" s="32">
        <v>45950</v>
      </c>
      <c r="F1157" t="s">
        <v>54</v>
      </c>
      <c r="G1157" t="s">
        <v>2708</v>
      </c>
      <c r="H1157">
        <v>9496379668</v>
      </c>
      <c r="I1157">
        <v>143</v>
      </c>
      <c r="J1157" t="s">
        <v>102</v>
      </c>
      <c r="K1157" t="s">
        <v>57</v>
      </c>
      <c r="L1157" t="s">
        <v>58</v>
      </c>
      <c r="M1157" t="s">
        <v>60</v>
      </c>
      <c r="N1157" t="s">
        <v>59</v>
      </c>
      <c r="O1157" t="s">
        <v>59</v>
      </c>
      <c r="P1157" t="s">
        <v>59</v>
      </c>
      <c r="Q1157" t="s">
        <v>59</v>
      </c>
      <c r="R1157" t="s">
        <v>60</v>
      </c>
      <c r="S1157" t="s">
        <v>59</v>
      </c>
      <c r="T1157" t="s">
        <v>59</v>
      </c>
      <c r="U1157" t="s">
        <v>60</v>
      </c>
      <c r="V1157" t="s">
        <v>59</v>
      </c>
      <c r="W1157" t="s">
        <v>59</v>
      </c>
      <c r="X1157" t="s">
        <v>61</v>
      </c>
      <c r="Y1157" t="s">
        <v>59</v>
      </c>
      <c r="Z1157" t="s">
        <v>59</v>
      </c>
      <c r="AA1157" t="s">
        <v>60</v>
      </c>
      <c r="AB1157" t="s">
        <v>59</v>
      </c>
      <c r="AC1157" t="s">
        <v>59</v>
      </c>
      <c r="AD1157" t="s">
        <v>59</v>
      </c>
      <c r="AE1157" t="s">
        <v>59</v>
      </c>
      <c r="AF1157" t="s">
        <v>59</v>
      </c>
      <c r="AG1157" t="s">
        <v>59</v>
      </c>
      <c r="AH1157" t="s">
        <v>61</v>
      </c>
      <c r="AI1157" t="s">
        <v>61</v>
      </c>
      <c r="AJ1157" t="s">
        <v>61</v>
      </c>
      <c r="AK1157" t="s">
        <v>61</v>
      </c>
      <c r="AL1157" t="s">
        <v>60</v>
      </c>
      <c r="AM1157" t="s">
        <v>59</v>
      </c>
      <c r="AN1157" t="s">
        <v>59</v>
      </c>
      <c r="AO1157" t="s">
        <v>59</v>
      </c>
      <c r="AP1157" t="s">
        <v>2849</v>
      </c>
      <c r="AQ1157" s="1" t="s">
        <v>2858</v>
      </c>
      <c r="AR1157" t="s">
        <v>64</v>
      </c>
      <c r="AS1157" t="s">
        <v>89</v>
      </c>
      <c r="AT1157" t="s">
        <v>742</v>
      </c>
      <c r="AU1157" t="s">
        <v>299</v>
      </c>
      <c r="AW1157" s="4" t="str">
        <f t="shared" si="633"/>
        <v>0</v>
      </c>
      <c r="AX1157" s="4">
        <f t="shared" si="634"/>
        <v>4</v>
      </c>
      <c r="AY1157" s="4">
        <f t="shared" si="635"/>
        <v>4</v>
      </c>
      <c r="AZ1157" s="4">
        <f t="shared" si="636"/>
        <v>2</v>
      </c>
      <c r="BA1157" s="4">
        <f t="shared" si="637"/>
        <v>4</v>
      </c>
      <c r="BB1157" s="4" t="str">
        <f t="shared" si="638"/>
        <v>0</v>
      </c>
      <c r="BC1157" s="4">
        <f t="shared" si="639"/>
        <v>4</v>
      </c>
      <c r="BD1157" s="4">
        <f t="shared" si="640"/>
        <v>2</v>
      </c>
      <c r="BE1157" s="4" t="str">
        <f t="shared" si="641"/>
        <v>0</v>
      </c>
      <c r="BF1157" s="4">
        <f t="shared" si="642"/>
        <v>2</v>
      </c>
      <c r="BG1157" s="4">
        <f t="shared" si="643"/>
        <v>4</v>
      </c>
      <c r="BH1157" s="4">
        <f t="shared" si="644"/>
        <v>4</v>
      </c>
      <c r="BI1157" s="4">
        <f t="shared" si="645"/>
        <v>4</v>
      </c>
      <c r="BJ1157" s="4">
        <f t="shared" si="646"/>
        <v>2</v>
      </c>
      <c r="BK1157" s="4" t="str">
        <f t="shared" si="647"/>
        <v>0</v>
      </c>
      <c r="BL1157" s="4">
        <f t="shared" si="648"/>
        <v>2</v>
      </c>
      <c r="BM1157" s="4">
        <f t="shared" si="649"/>
        <v>4</v>
      </c>
      <c r="BN1157" s="4">
        <f t="shared" si="650"/>
        <v>4</v>
      </c>
      <c r="BO1157" s="4">
        <f t="shared" si="651"/>
        <v>4</v>
      </c>
      <c r="BP1157" s="4">
        <f t="shared" si="652"/>
        <v>4</v>
      </c>
      <c r="BQ1157" s="4">
        <f t="shared" si="653"/>
        <v>6</v>
      </c>
      <c r="BR1157" s="4">
        <f t="shared" si="654"/>
        <v>4</v>
      </c>
      <c r="BS1157" s="4">
        <f t="shared" si="655"/>
        <v>4</v>
      </c>
      <c r="BT1157" s="4">
        <f t="shared" si="656"/>
        <v>4</v>
      </c>
      <c r="BU1157" s="4">
        <f t="shared" si="657"/>
        <v>4</v>
      </c>
      <c r="BV1157" s="4" t="str">
        <f t="shared" si="658"/>
        <v>0</v>
      </c>
      <c r="BW1157" s="4">
        <f t="shared" si="659"/>
        <v>6</v>
      </c>
      <c r="BX1157" s="4">
        <f t="shared" si="660"/>
        <v>0</v>
      </c>
      <c r="BY1157" s="4">
        <f t="shared" si="661"/>
        <v>0</v>
      </c>
      <c r="BZ1157" s="37">
        <f t="shared" si="662"/>
        <v>82</v>
      </c>
      <c r="CA1157" s="32" t="str">
        <f>VLOOKUP(J:J,'Agent wise'!A:C,3,0)</f>
        <v>Shakeer</v>
      </c>
      <c r="CB1157" s="32">
        <f t="shared" si="663"/>
        <v>45950</v>
      </c>
      <c r="CC1157" t="str">
        <f t="shared" si="664"/>
        <v>FC</v>
      </c>
      <c r="CE1157" s="32"/>
      <c r="CJ1157">
        <f t="shared" si="665"/>
        <v>20</v>
      </c>
      <c r="CK1157">
        <f t="shared" si="666"/>
        <v>10</v>
      </c>
      <c r="CL1157">
        <f t="shared" si="667"/>
        <v>2025</v>
      </c>
    </row>
    <row r="1158" spans="1:90" ht="15" customHeight="1" x14ac:dyDescent="0.35">
      <c r="A1158" t="s">
        <v>2859</v>
      </c>
      <c r="B1158" t="s">
        <v>100</v>
      </c>
      <c r="C1158" t="s">
        <v>214</v>
      </c>
      <c r="D1158" t="s">
        <v>101</v>
      </c>
      <c r="E1158" s="32">
        <v>45950</v>
      </c>
      <c r="F1158" t="s">
        <v>54</v>
      </c>
      <c r="G1158" t="s">
        <v>2811</v>
      </c>
      <c r="H1158">
        <v>9188269891</v>
      </c>
      <c r="I1158">
        <v>137</v>
      </c>
      <c r="J1158" t="s">
        <v>2504</v>
      </c>
      <c r="K1158" t="s">
        <v>57</v>
      </c>
      <c r="L1158" t="s">
        <v>58</v>
      </c>
      <c r="M1158" t="s">
        <v>59</v>
      </c>
      <c r="N1158" t="s">
        <v>59</v>
      </c>
      <c r="O1158" t="s">
        <v>60</v>
      </c>
      <c r="P1158" t="s">
        <v>59</v>
      </c>
      <c r="Q1158" t="s">
        <v>59</v>
      </c>
      <c r="R1158" t="s">
        <v>59</v>
      </c>
      <c r="S1158" t="s">
        <v>59</v>
      </c>
      <c r="T1158" t="s">
        <v>59</v>
      </c>
      <c r="U1158" t="s">
        <v>60</v>
      </c>
      <c r="V1158" t="s">
        <v>59</v>
      </c>
      <c r="W1158" t="s">
        <v>59</v>
      </c>
      <c r="X1158" t="s">
        <v>59</v>
      </c>
      <c r="Y1158" t="s">
        <v>59</v>
      </c>
      <c r="Z1158" t="s">
        <v>59</v>
      </c>
      <c r="AA1158" t="s">
        <v>60</v>
      </c>
      <c r="AB1158" t="s">
        <v>59</v>
      </c>
      <c r="AC1158" t="s">
        <v>61</v>
      </c>
      <c r="AD1158" t="s">
        <v>59</v>
      </c>
      <c r="AE1158" t="s">
        <v>59</v>
      </c>
      <c r="AF1158" t="s">
        <v>61</v>
      </c>
      <c r="AG1158" t="s">
        <v>59</v>
      </c>
      <c r="AH1158" t="s">
        <v>61</v>
      </c>
      <c r="AI1158" t="s">
        <v>61</v>
      </c>
      <c r="AJ1158" t="s">
        <v>59</v>
      </c>
      <c r="AK1158" t="s">
        <v>59</v>
      </c>
      <c r="AL1158" t="s">
        <v>59</v>
      </c>
      <c r="AM1158" t="s">
        <v>59</v>
      </c>
      <c r="AN1158" t="s">
        <v>59</v>
      </c>
      <c r="AO1158" t="s">
        <v>59</v>
      </c>
      <c r="AP1158" t="s">
        <v>2860</v>
      </c>
      <c r="AQ1158" s="1" t="s">
        <v>2861</v>
      </c>
      <c r="AR1158" t="s">
        <v>64</v>
      </c>
      <c r="AS1158" t="s">
        <v>89</v>
      </c>
      <c r="AT1158" t="s">
        <v>293</v>
      </c>
      <c r="AU1158" t="s">
        <v>299</v>
      </c>
      <c r="AW1158" s="4">
        <f t="shared" si="633"/>
        <v>6</v>
      </c>
      <c r="AX1158" s="4">
        <f t="shared" si="634"/>
        <v>4</v>
      </c>
      <c r="AY1158" s="4" t="str">
        <f t="shared" si="635"/>
        <v>0</v>
      </c>
      <c r="AZ1158" s="4">
        <f t="shared" si="636"/>
        <v>2</v>
      </c>
      <c r="BA1158" s="4">
        <f t="shared" si="637"/>
        <v>4</v>
      </c>
      <c r="BB1158" s="4">
        <f t="shared" si="638"/>
        <v>4</v>
      </c>
      <c r="BC1158" s="4">
        <f t="shared" si="639"/>
        <v>4</v>
      </c>
      <c r="BD1158" s="4">
        <f t="shared" si="640"/>
        <v>2</v>
      </c>
      <c r="BE1158" s="4" t="str">
        <f t="shared" si="641"/>
        <v>0</v>
      </c>
      <c r="BF1158" s="4">
        <f t="shared" si="642"/>
        <v>2</v>
      </c>
      <c r="BG1158" s="4">
        <f t="shared" si="643"/>
        <v>4</v>
      </c>
      <c r="BH1158" s="4">
        <f t="shared" si="644"/>
        <v>4</v>
      </c>
      <c r="BI1158" s="4">
        <f t="shared" si="645"/>
        <v>4</v>
      </c>
      <c r="BJ1158" s="4">
        <f t="shared" si="646"/>
        <v>2</v>
      </c>
      <c r="BK1158" s="4" t="str">
        <f t="shared" si="647"/>
        <v>0</v>
      </c>
      <c r="BL1158" s="4">
        <f t="shared" si="648"/>
        <v>2</v>
      </c>
      <c r="BM1158" s="4">
        <f t="shared" si="649"/>
        <v>4</v>
      </c>
      <c r="BN1158" s="4">
        <f t="shared" si="650"/>
        <v>4</v>
      </c>
      <c r="BO1158" s="4">
        <f t="shared" si="651"/>
        <v>4</v>
      </c>
      <c r="BP1158" s="4">
        <f t="shared" si="652"/>
        <v>4</v>
      </c>
      <c r="BQ1158" s="4">
        <f t="shared" si="653"/>
        <v>6</v>
      </c>
      <c r="BR1158" s="4">
        <f t="shared" si="654"/>
        <v>4</v>
      </c>
      <c r="BS1158" s="4">
        <f t="shared" si="655"/>
        <v>4</v>
      </c>
      <c r="BT1158" s="4">
        <f t="shared" si="656"/>
        <v>4</v>
      </c>
      <c r="BU1158" s="4">
        <f t="shared" si="657"/>
        <v>4</v>
      </c>
      <c r="BV1158" s="4">
        <f t="shared" si="658"/>
        <v>0</v>
      </c>
      <c r="BW1158" s="4">
        <f t="shared" si="659"/>
        <v>6</v>
      </c>
      <c r="BX1158" s="4">
        <f t="shared" si="660"/>
        <v>0</v>
      </c>
      <c r="BY1158" s="4">
        <f t="shared" si="661"/>
        <v>0</v>
      </c>
      <c r="BZ1158" s="37">
        <f t="shared" si="662"/>
        <v>88</v>
      </c>
      <c r="CA1158" s="32" t="e">
        <f>VLOOKUP(J:J,'Agent wise'!A:C,3,0)</f>
        <v>#N/A</v>
      </c>
      <c r="CB1158" s="32">
        <f t="shared" si="663"/>
        <v>45950</v>
      </c>
      <c r="CC1158" t="str">
        <f t="shared" si="664"/>
        <v>Average</v>
      </c>
      <c r="CE1158" s="32"/>
      <c r="CJ1158">
        <f t="shared" si="665"/>
        <v>20</v>
      </c>
      <c r="CK1158">
        <f t="shared" si="666"/>
        <v>10</v>
      </c>
      <c r="CL1158">
        <f t="shared" si="667"/>
        <v>2025</v>
      </c>
    </row>
    <row r="1159" spans="1:90" ht="15" customHeight="1" x14ac:dyDescent="0.35">
      <c r="A1159" t="s">
        <v>2862</v>
      </c>
      <c r="B1159" t="s">
        <v>220</v>
      </c>
      <c r="C1159" t="s">
        <v>214</v>
      </c>
      <c r="D1159" t="s">
        <v>221</v>
      </c>
      <c r="E1159" s="32">
        <v>45950</v>
      </c>
      <c r="F1159" t="s">
        <v>222</v>
      </c>
      <c r="G1159" t="s">
        <v>2811</v>
      </c>
      <c r="H1159">
        <v>8925919689</v>
      </c>
      <c r="I1159">
        <v>139</v>
      </c>
      <c r="J1159" t="s">
        <v>353</v>
      </c>
      <c r="K1159" t="s">
        <v>71</v>
      </c>
      <c r="L1159" t="s">
        <v>72</v>
      </c>
      <c r="M1159" t="s">
        <v>59</v>
      </c>
      <c r="N1159" t="s">
        <v>59</v>
      </c>
      <c r="O1159" t="s">
        <v>59</v>
      </c>
      <c r="P1159" t="s">
        <v>59</v>
      </c>
      <c r="Q1159" t="s">
        <v>59</v>
      </c>
      <c r="R1159" t="s">
        <v>59</v>
      </c>
      <c r="S1159" t="s">
        <v>59</v>
      </c>
      <c r="T1159" t="s">
        <v>59</v>
      </c>
      <c r="U1159" t="s">
        <v>59</v>
      </c>
      <c r="V1159" t="s">
        <v>59</v>
      </c>
      <c r="W1159" t="s">
        <v>59</v>
      </c>
      <c r="X1159" t="s">
        <v>59</v>
      </c>
      <c r="Y1159" t="s">
        <v>59</v>
      </c>
      <c r="Z1159" t="s">
        <v>59</v>
      </c>
      <c r="AA1159" t="s">
        <v>59</v>
      </c>
      <c r="AB1159" t="s">
        <v>60</v>
      </c>
      <c r="AC1159" t="s">
        <v>59</v>
      </c>
      <c r="AD1159" t="s">
        <v>61</v>
      </c>
      <c r="AE1159" t="s">
        <v>59</v>
      </c>
      <c r="AF1159" t="s">
        <v>59</v>
      </c>
      <c r="AG1159" t="s">
        <v>59</v>
      </c>
      <c r="AH1159" t="s">
        <v>61</v>
      </c>
      <c r="AI1159" t="s">
        <v>60</v>
      </c>
      <c r="AJ1159" t="s">
        <v>59</v>
      </c>
      <c r="AK1159" t="s">
        <v>59</v>
      </c>
      <c r="AL1159" t="s">
        <v>60</v>
      </c>
      <c r="AM1159" t="s">
        <v>59</v>
      </c>
      <c r="AN1159" t="s">
        <v>59</v>
      </c>
      <c r="AO1159" t="s">
        <v>59</v>
      </c>
      <c r="AP1159" t="s">
        <v>2863</v>
      </c>
      <c r="AQ1159" t="s">
        <v>960</v>
      </c>
      <c r="AR1159" t="s">
        <v>226</v>
      </c>
      <c r="AS1159" t="s">
        <v>249</v>
      </c>
      <c r="AT1159" t="s">
        <v>249</v>
      </c>
      <c r="AU1159" t="s">
        <v>219</v>
      </c>
      <c r="AW1159" s="4">
        <f t="shared" si="633"/>
        <v>6</v>
      </c>
      <c r="AX1159" s="4">
        <f t="shared" si="634"/>
        <v>4</v>
      </c>
      <c r="AY1159" s="4">
        <f t="shared" si="635"/>
        <v>4</v>
      </c>
      <c r="AZ1159" s="4">
        <f t="shared" si="636"/>
        <v>2</v>
      </c>
      <c r="BA1159" s="4">
        <f t="shared" si="637"/>
        <v>4</v>
      </c>
      <c r="BB1159" s="4">
        <f t="shared" si="638"/>
        <v>4</v>
      </c>
      <c r="BC1159" s="4">
        <f t="shared" si="639"/>
        <v>4</v>
      </c>
      <c r="BD1159" s="4">
        <f t="shared" si="640"/>
        <v>2</v>
      </c>
      <c r="BE1159" s="4">
        <f t="shared" si="641"/>
        <v>4</v>
      </c>
      <c r="BF1159" s="4">
        <f t="shared" si="642"/>
        <v>2</v>
      </c>
      <c r="BG1159" s="4">
        <f t="shared" si="643"/>
        <v>4</v>
      </c>
      <c r="BH1159" s="4">
        <f t="shared" si="644"/>
        <v>4</v>
      </c>
      <c r="BI1159" s="4">
        <f t="shared" si="645"/>
        <v>4</v>
      </c>
      <c r="BJ1159" s="4">
        <f t="shared" si="646"/>
        <v>2</v>
      </c>
      <c r="BK1159" s="4">
        <f t="shared" si="647"/>
        <v>4</v>
      </c>
      <c r="BL1159" s="4" t="str">
        <f t="shared" si="648"/>
        <v>0</v>
      </c>
      <c r="BM1159" s="4">
        <f t="shared" si="649"/>
        <v>4</v>
      </c>
      <c r="BN1159" s="4">
        <f t="shared" si="650"/>
        <v>4</v>
      </c>
      <c r="BO1159" s="4">
        <f t="shared" si="651"/>
        <v>4</v>
      </c>
      <c r="BP1159" s="4">
        <f t="shared" si="652"/>
        <v>4</v>
      </c>
      <c r="BQ1159" s="4">
        <f t="shared" si="653"/>
        <v>6</v>
      </c>
      <c r="BR1159" s="4">
        <f t="shared" si="654"/>
        <v>4</v>
      </c>
      <c r="BS1159" s="4" t="str">
        <f t="shared" si="655"/>
        <v>0</v>
      </c>
      <c r="BT1159" s="4">
        <f t="shared" si="656"/>
        <v>4</v>
      </c>
      <c r="BU1159" s="4">
        <f t="shared" si="657"/>
        <v>4</v>
      </c>
      <c r="BV1159" s="4" t="str">
        <f t="shared" si="658"/>
        <v>0</v>
      </c>
      <c r="BW1159" s="4">
        <f t="shared" si="659"/>
        <v>6</v>
      </c>
      <c r="BX1159" s="4">
        <f t="shared" si="660"/>
        <v>0</v>
      </c>
      <c r="BY1159" s="4">
        <f t="shared" si="661"/>
        <v>0</v>
      </c>
      <c r="BZ1159" s="37">
        <f t="shared" si="662"/>
        <v>94</v>
      </c>
      <c r="CA1159" s="32" t="str">
        <f>VLOOKUP(J:J,'Agent wise'!A:C,3,0)</f>
        <v>Amal</v>
      </c>
      <c r="CB1159" s="32">
        <f t="shared" si="663"/>
        <v>45950</v>
      </c>
      <c r="CC1159" t="str">
        <f t="shared" si="664"/>
        <v>Good</v>
      </c>
      <c r="CE1159" s="32"/>
      <c r="CJ1159">
        <f t="shared" si="665"/>
        <v>20</v>
      </c>
      <c r="CK1159">
        <f t="shared" si="666"/>
        <v>10</v>
      </c>
      <c r="CL1159">
        <f t="shared" si="667"/>
        <v>2025</v>
      </c>
    </row>
    <row r="1160" spans="1:90" ht="15" customHeight="1" x14ac:dyDescent="0.35">
      <c r="A1160" t="s">
        <v>2864</v>
      </c>
      <c r="B1160" t="s">
        <v>250</v>
      </c>
      <c r="C1160" t="s">
        <v>214</v>
      </c>
      <c r="D1160" t="s">
        <v>251</v>
      </c>
      <c r="E1160" s="32">
        <v>45950</v>
      </c>
      <c r="F1160" t="s">
        <v>90</v>
      </c>
      <c r="G1160" t="s">
        <v>2708</v>
      </c>
      <c r="H1160">
        <v>9487992196</v>
      </c>
      <c r="I1160">
        <v>182</v>
      </c>
      <c r="J1160" t="s">
        <v>139</v>
      </c>
      <c r="K1160" t="s">
        <v>71</v>
      </c>
      <c r="L1160" t="s">
        <v>72</v>
      </c>
      <c r="M1160" t="s">
        <v>59</v>
      </c>
      <c r="N1160" t="s">
        <v>59</v>
      </c>
      <c r="O1160" t="s">
        <v>59</v>
      </c>
      <c r="P1160" t="s">
        <v>59</v>
      </c>
      <c r="Q1160" t="s">
        <v>59</v>
      </c>
      <c r="R1160" t="s">
        <v>59</v>
      </c>
      <c r="S1160" t="s">
        <v>59</v>
      </c>
      <c r="T1160" t="s">
        <v>59</v>
      </c>
      <c r="U1160" t="s">
        <v>60</v>
      </c>
      <c r="V1160" t="s">
        <v>59</v>
      </c>
      <c r="W1160" t="s">
        <v>59</v>
      </c>
      <c r="X1160" t="s">
        <v>59</v>
      </c>
      <c r="Y1160" t="s">
        <v>59</v>
      </c>
      <c r="Z1160" t="s">
        <v>59</v>
      </c>
      <c r="AA1160" t="s">
        <v>59</v>
      </c>
      <c r="AB1160" t="s">
        <v>60</v>
      </c>
      <c r="AC1160" t="s">
        <v>59</v>
      </c>
      <c r="AD1160" t="s">
        <v>59</v>
      </c>
      <c r="AE1160" t="s">
        <v>59</v>
      </c>
      <c r="AF1160" t="s">
        <v>59</v>
      </c>
      <c r="AG1160" t="s">
        <v>59</v>
      </c>
      <c r="AH1160" t="s">
        <v>61</v>
      </c>
      <c r="AI1160" t="s">
        <v>61</v>
      </c>
      <c r="AJ1160" t="s">
        <v>59</v>
      </c>
      <c r="AK1160" t="s">
        <v>59</v>
      </c>
      <c r="AL1160" t="s">
        <v>60</v>
      </c>
      <c r="AM1160" t="s">
        <v>59</v>
      </c>
      <c r="AN1160" t="s">
        <v>59</v>
      </c>
      <c r="AO1160" t="s">
        <v>59</v>
      </c>
      <c r="AP1160" t="s">
        <v>314</v>
      </c>
      <c r="AQ1160" t="s">
        <v>2865</v>
      </c>
      <c r="AR1160" t="s">
        <v>64</v>
      </c>
      <c r="AS1160" t="s">
        <v>279</v>
      </c>
      <c r="AT1160" t="s">
        <v>123</v>
      </c>
      <c r="AU1160" t="s">
        <v>219</v>
      </c>
      <c r="AW1160" s="4">
        <f t="shared" si="633"/>
        <v>6</v>
      </c>
      <c r="AX1160" s="4">
        <f t="shared" si="634"/>
        <v>4</v>
      </c>
      <c r="AY1160" s="4">
        <f t="shared" si="635"/>
        <v>4</v>
      </c>
      <c r="AZ1160" s="4">
        <f t="shared" si="636"/>
        <v>2</v>
      </c>
      <c r="BA1160" s="4">
        <f t="shared" si="637"/>
        <v>4</v>
      </c>
      <c r="BB1160" s="4">
        <f t="shared" si="638"/>
        <v>4</v>
      </c>
      <c r="BC1160" s="4">
        <f t="shared" si="639"/>
        <v>4</v>
      </c>
      <c r="BD1160" s="4">
        <f t="shared" si="640"/>
        <v>2</v>
      </c>
      <c r="BE1160" s="4" t="str">
        <f t="shared" si="641"/>
        <v>0</v>
      </c>
      <c r="BF1160" s="4">
        <f t="shared" si="642"/>
        <v>2</v>
      </c>
      <c r="BG1160" s="4">
        <f t="shared" si="643"/>
        <v>4</v>
      </c>
      <c r="BH1160" s="4">
        <f t="shared" si="644"/>
        <v>4</v>
      </c>
      <c r="BI1160" s="4">
        <f t="shared" si="645"/>
        <v>4</v>
      </c>
      <c r="BJ1160" s="4">
        <f t="shared" si="646"/>
        <v>2</v>
      </c>
      <c r="BK1160" s="4">
        <f t="shared" si="647"/>
        <v>4</v>
      </c>
      <c r="BL1160" s="4" t="str">
        <f t="shared" si="648"/>
        <v>0</v>
      </c>
      <c r="BM1160" s="4">
        <f t="shared" si="649"/>
        <v>4</v>
      </c>
      <c r="BN1160" s="4">
        <f t="shared" si="650"/>
        <v>4</v>
      </c>
      <c r="BO1160" s="4">
        <f t="shared" si="651"/>
        <v>4</v>
      </c>
      <c r="BP1160" s="4">
        <f t="shared" si="652"/>
        <v>4</v>
      </c>
      <c r="BQ1160" s="4">
        <f t="shared" si="653"/>
        <v>6</v>
      </c>
      <c r="BR1160" s="4">
        <f t="shared" si="654"/>
        <v>4</v>
      </c>
      <c r="BS1160" s="4">
        <f t="shared" si="655"/>
        <v>4</v>
      </c>
      <c r="BT1160" s="4">
        <f t="shared" si="656"/>
        <v>4</v>
      </c>
      <c r="BU1160" s="4">
        <f t="shared" si="657"/>
        <v>4</v>
      </c>
      <c r="BV1160" s="4" t="str">
        <f t="shared" si="658"/>
        <v>0</v>
      </c>
      <c r="BW1160" s="4">
        <f t="shared" si="659"/>
        <v>6</v>
      </c>
      <c r="BX1160" s="4">
        <f t="shared" si="660"/>
        <v>0</v>
      </c>
      <c r="BY1160" s="4">
        <f t="shared" si="661"/>
        <v>0</v>
      </c>
      <c r="BZ1160" s="37">
        <f t="shared" si="662"/>
        <v>94</v>
      </c>
      <c r="CA1160" s="32" t="str">
        <f>VLOOKUP(J:J,'Agent wise'!A:C,3,0)</f>
        <v>Shakeer</v>
      </c>
      <c r="CB1160" s="32">
        <f t="shared" si="663"/>
        <v>45950</v>
      </c>
      <c r="CC1160" t="str">
        <f t="shared" si="664"/>
        <v>Good</v>
      </c>
      <c r="CE1160" s="32"/>
      <c r="CJ1160">
        <f t="shared" si="665"/>
        <v>20</v>
      </c>
      <c r="CK1160">
        <f t="shared" si="666"/>
        <v>10</v>
      </c>
      <c r="CL1160">
        <f t="shared" si="667"/>
        <v>2025</v>
      </c>
    </row>
    <row r="1161" spans="1:90" ht="15" customHeight="1" x14ac:dyDescent="0.35">
      <c r="A1161" t="s">
        <v>2866</v>
      </c>
      <c r="B1161" t="s">
        <v>100</v>
      </c>
      <c r="C1161" t="s">
        <v>214</v>
      </c>
      <c r="D1161" t="s">
        <v>101</v>
      </c>
      <c r="E1161" s="32">
        <v>45950</v>
      </c>
      <c r="F1161" t="s">
        <v>54</v>
      </c>
      <c r="G1161" t="s">
        <v>2708</v>
      </c>
      <c r="H1161">
        <v>9942219401</v>
      </c>
      <c r="I1161">
        <v>138</v>
      </c>
      <c r="J1161" t="s">
        <v>2555</v>
      </c>
      <c r="K1161" t="s">
        <v>71</v>
      </c>
      <c r="L1161" t="s">
        <v>72</v>
      </c>
      <c r="M1161" t="s">
        <v>59</v>
      </c>
      <c r="N1161" t="s">
        <v>59</v>
      </c>
      <c r="O1161" t="s">
        <v>59</v>
      </c>
      <c r="P1161" t="s">
        <v>59</v>
      </c>
      <c r="Q1161" t="s">
        <v>59</v>
      </c>
      <c r="R1161" t="s">
        <v>60</v>
      </c>
      <c r="S1161" t="s">
        <v>59</v>
      </c>
      <c r="T1161" t="s">
        <v>59</v>
      </c>
      <c r="U1161" t="s">
        <v>60</v>
      </c>
      <c r="V1161" t="s">
        <v>59</v>
      </c>
      <c r="W1161" t="s">
        <v>59</v>
      </c>
      <c r="X1161" t="s">
        <v>59</v>
      </c>
      <c r="Y1161" t="s">
        <v>59</v>
      </c>
      <c r="Z1161" t="s">
        <v>59</v>
      </c>
      <c r="AA1161" t="s">
        <v>60</v>
      </c>
      <c r="AB1161" t="s">
        <v>59</v>
      </c>
      <c r="AC1161" t="s">
        <v>60</v>
      </c>
      <c r="AD1161" t="s">
        <v>59</v>
      </c>
      <c r="AE1161" t="s">
        <v>59</v>
      </c>
      <c r="AF1161" t="s">
        <v>59</v>
      </c>
      <c r="AG1161" t="s">
        <v>59</v>
      </c>
      <c r="AH1161" t="s">
        <v>61</v>
      </c>
      <c r="AI1161" t="s">
        <v>61</v>
      </c>
      <c r="AJ1161" t="s">
        <v>59</v>
      </c>
      <c r="AK1161" t="s">
        <v>61</v>
      </c>
      <c r="AL1161" t="s">
        <v>60</v>
      </c>
      <c r="AM1161" t="s">
        <v>59</v>
      </c>
      <c r="AN1161" t="s">
        <v>59</v>
      </c>
      <c r="AO1161" t="s">
        <v>59</v>
      </c>
      <c r="AP1161" t="s">
        <v>2849</v>
      </c>
      <c r="AQ1161" s="1" t="s">
        <v>2867</v>
      </c>
      <c r="AR1161" t="s">
        <v>64</v>
      </c>
      <c r="AS1161" t="s">
        <v>198</v>
      </c>
      <c r="AT1161" t="s">
        <v>408</v>
      </c>
      <c r="AU1161" t="s">
        <v>299</v>
      </c>
      <c r="AW1161" s="4">
        <f t="shared" si="633"/>
        <v>6</v>
      </c>
      <c r="AX1161" s="4">
        <f t="shared" si="634"/>
        <v>4</v>
      </c>
      <c r="AY1161" s="4">
        <f t="shared" si="635"/>
        <v>4</v>
      </c>
      <c r="AZ1161" s="4">
        <f t="shared" si="636"/>
        <v>2</v>
      </c>
      <c r="BA1161" s="4">
        <f t="shared" si="637"/>
        <v>4</v>
      </c>
      <c r="BB1161" s="4" t="str">
        <f t="shared" si="638"/>
        <v>0</v>
      </c>
      <c r="BC1161" s="4">
        <f t="shared" si="639"/>
        <v>4</v>
      </c>
      <c r="BD1161" s="4">
        <f t="shared" si="640"/>
        <v>2</v>
      </c>
      <c r="BE1161" s="4" t="str">
        <f t="shared" si="641"/>
        <v>0</v>
      </c>
      <c r="BF1161" s="4">
        <f t="shared" si="642"/>
        <v>2</v>
      </c>
      <c r="BG1161" s="4">
        <f t="shared" si="643"/>
        <v>4</v>
      </c>
      <c r="BH1161" s="4">
        <f t="shared" si="644"/>
        <v>4</v>
      </c>
      <c r="BI1161" s="4">
        <f t="shared" si="645"/>
        <v>4</v>
      </c>
      <c r="BJ1161" s="4">
        <f t="shared" si="646"/>
        <v>2</v>
      </c>
      <c r="BK1161" s="4" t="str">
        <f t="shared" si="647"/>
        <v>0</v>
      </c>
      <c r="BL1161" s="4">
        <f t="shared" si="648"/>
        <v>2</v>
      </c>
      <c r="BM1161" s="4" t="str">
        <f t="shared" si="649"/>
        <v>0</v>
      </c>
      <c r="BN1161" s="4">
        <f t="shared" si="650"/>
        <v>4</v>
      </c>
      <c r="BO1161" s="4">
        <f t="shared" si="651"/>
        <v>4</v>
      </c>
      <c r="BP1161" s="4">
        <f t="shared" si="652"/>
        <v>4</v>
      </c>
      <c r="BQ1161" s="4">
        <f t="shared" si="653"/>
        <v>6</v>
      </c>
      <c r="BR1161" s="4">
        <f t="shared" si="654"/>
        <v>4</v>
      </c>
      <c r="BS1161" s="4">
        <f t="shared" si="655"/>
        <v>4</v>
      </c>
      <c r="BT1161" s="4">
        <f t="shared" si="656"/>
        <v>4</v>
      </c>
      <c r="BU1161" s="4">
        <f t="shared" si="657"/>
        <v>4</v>
      </c>
      <c r="BV1161" s="4" t="str">
        <f t="shared" si="658"/>
        <v>0</v>
      </c>
      <c r="BW1161" s="4">
        <f t="shared" si="659"/>
        <v>6</v>
      </c>
      <c r="BX1161" s="4">
        <f t="shared" si="660"/>
        <v>0</v>
      </c>
      <c r="BY1161" s="4">
        <f t="shared" si="661"/>
        <v>0</v>
      </c>
      <c r="BZ1161" s="37">
        <f t="shared" si="662"/>
        <v>84</v>
      </c>
      <c r="CA1161" s="32" t="e">
        <f>VLOOKUP(J:J,'Agent wise'!A:C,3,0)</f>
        <v>#N/A</v>
      </c>
      <c r="CB1161" s="32">
        <f t="shared" si="663"/>
        <v>45950</v>
      </c>
      <c r="CC1161" t="str">
        <f t="shared" si="664"/>
        <v>FC</v>
      </c>
      <c r="CE1161" s="32"/>
      <c r="CJ1161">
        <f t="shared" si="665"/>
        <v>20</v>
      </c>
      <c r="CK1161">
        <f t="shared" si="666"/>
        <v>10</v>
      </c>
      <c r="CL1161">
        <f t="shared" si="667"/>
        <v>2025</v>
      </c>
    </row>
    <row r="1162" spans="1:90" ht="15" customHeight="1" x14ac:dyDescent="0.35">
      <c r="A1162" t="s">
        <v>2868</v>
      </c>
      <c r="B1162" t="s">
        <v>220</v>
      </c>
      <c r="C1162" t="s">
        <v>214</v>
      </c>
      <c r="D1162" t="s">
        <v>221</v>
      </c>
      <c r="E1162" s="32">
        <v>45950</v>
      </c>
      <c r="F1162" t="s">
        <v>222</v>
      </c>
      <c r="G1162" t="s">
        <v>2811</v>
      </c>
      <c r="H1162">
        <v>9841615866</v>
      </c>
      <c r="I1162">
        <v>182</v>
      </c>
      <c r="J1162" t="s">
        <v>353</v>
      </c>
      <c r="K1162" t="s">
        <v>71</v>
      </c>
      <c r="L1162" t="s">
        <v>72</v>
      </c>
      <c r="M1162" t="s">
        <v>59</v>
      </c>
      <c r="N1162" t="s">
        <v>59</v>
      </c>
      <c r="O1162" t="s">
        <v>59</v>
      </c>
      <c r="P1162" t="s">
        <v>59</v>
      </c>
      <c r="Q1162" t="s">
        <v>59</v>
      </c>
      <c r="R1162" t="s">
        <v>59</v>
      </c>
      <c r="S1162" t="s">
        <v>59</v>
      </c>
      <c r="T1162" t="s">
        <v>59</v>
      </c>
      <c r="U1162" t="s">
        <v>59</v>
      </c>
      <c r="V1162" t="s">
        <v>59</v>
      </c>
      <c r="W1162" t="s">
        <v>59</v>
      </c>
      <c r="X1162" t="s">
        <v>59</v>
      </c>
      <c r="Y1162" t="s">
        <v>59</v>
      </c>
      <c r="Z1162" t="s">
        <v>59</v>
      </c>
      <c r="AA1162" t="s">
        <v>60</v>
      </c>
      <c r="AB1162" t="s">
        <v>60</v>
      </c>
      <c r="AC1162" t="s">
        <v>59</v>
      </c>
      <c r="AD1162" t="s">
        <v>61</v>
      </c>
      <c r="AE1162" t="s">
        <v>59</v>
      </c>
      <c r="AF1162" t="s">
        <v>59</v>
      </c>
      <c r="AG1162" t="s">
        <v>59</v>
      </c>
      <c r="AH1162" t="s">
        <v>61</v>
      </c>
      <c r="AI1162" t="s">
        <v>61</v>
      </c>
      <c r="AJ1162" t="s">
        <v>59</v>
      </c>
      <c r="AK1162" t="s">
        <v>59</v>
      </c>
      <c r="AL1162" t="s">
        <v>60</v>
      </c>
      <c r="AM1162" t="s">
        <v>59</v>
      </c>
      <c r="AN1162" t="s">
        <v>59</v>
      </c>
      <c r="AO1162" t="s">
        <v>59</v>
      </c>
      <c r="AP1162" t="s">
        <v>2869</v>
      </c>
      <c r="AQ1162" t="s">
        <v>2407</v>
      </c>
      <c r="AR1162" t="s">
        <v>226</v>
      </c>
      <c r="AS1162" t="s">
        <v>245</v>
      </c>
      <c r="AT1162" t="s">
        <v>245</v>
      </c>
      <c r="AU1162" t="s">
        <v>219</v>
      </c>
      <c r="AW1162" s="4">
        <f t="shared" si="633"/>
        <v>6</v>
      </c>
      <c r="AX1162" s="4">
        <f t="shared" si="634"/>
        <v>4</v>
      </c>
      <c r="AY1162" s="4">
        <f t="shared" si="635"/>
        <v>4</v>
      </c>
      <c r="AZ1162" s="4">
        <f t="shared" si="636"/>
        <v>2</v>
      </c>
      <c r="BA1162" s="4">
        <f t="shared" si="637"/>
        <v>4</v>
      </c>
      <c r="BB1162" s="4">
        <f t="shared" si="638"/>
        <v>4</v>
      </c>
      <c r="BC1162" s="4">
        <f t="shared" si="639"/>
        <v>4</v>
      </c>
      <c r="BD1162" s="4">
        <f t="shared" si="640"/>
        <v>2</v>
      </c>
      <c r="BE1162" s="4">
        <f t="shared" si="641"/>
        <v>4</v>
      </c>
      <c r="BF1162" s="4">
        <f t="shared" si="642"/>
        <v>2</v>
      </c>
      <c r="BG1162" s="4">
        <f t="shared" si="643"/>
        <v>4</v>
      </c>
      <c r="BH1162" s="4">
        <f t="shared" si="644"/>
        <v>4</v>
      </c>
      <c r="BI1162" s="4">
        <f t="shared" si="645"/>
        <v>4</v>
      </c>
      <c r="BJ1162" s="4">
        <f t="shared" si="646"/>
        <v>2</v>
      </c>
      <c r="BK1162" s="4" t="str">
        <f t="shared" si="647"/>
        <v>0</v>
      </c>
      <c r="BL1162" s="4" t="str">
        <f t="shared" si="648"/>
        <v>0</v>
      </c>
      <c r="BM1162" s="4">
        <f t="shared" si="649"/>
        <v>4</v>
      </c>
      <c r="BN1162" s="4">
        <f t="shared" si="650"/>
        <v>4</v>
      </c>
      <c r="BO1162" s="4">
        <f t="shared" si="651"/>
        <v>4</v>
      </c>
      <c r="BP1162" s="4">
        <f t="shared" si="652"/>
        <v>4</v>
      </c>
      <c r="BQ1162" s="4">
        <f t="shared" si="653"/>
        <v>6</v>
      </c>
      <c r="BR1162" s="4">
        <f t="shared" si="654"/>
        <v>4</v>
      </c>
      <c r="BS1162" s="4">
        <f t="shared" si="655"/>
        <v>4</v>
      </c>
      <c r="BT1162" s="4">
        <f t="shared" si="656"/>
        <v>4</v>
      </c>
      <c r="BU1162" s="4">
        <f t="shared" si="657"/>
        <v>4</v>
      </c>
      <c r="BV1162" s="4" t="str">
        <f t="shared" si="658"/>
        <v>0</v>
      </c>
      <c r="BW1162" s="4">
        <f t="shared" si="659"/>
        <v>6</v>
      </c>
      <c r="BX1162" s="4">
        <f t="shared" si="660"/>
        <v>0</v>
      </c>
      <c r="BY1162" s="4">
        <f t="shared" si="661"/>
        <v>0</v>
      </c>
      <c r="BZ1162" s="37">
        <f t="shared" si="662"/>
        <v>94</v>
      </c>
      <c r="CA1162" s="32" t="str">
        <f>VLOOKUP(J:J,'Agent wise'!A:C,3,0)</f>
        <v>Amal</v>
      </c>
      <c r="CB1162" s="32">
        <f t="shared" si="663"/>
        <v>45950</v>
      </c>
      <c r="CC1162" t="str">
        <f t="shared" si="664"/>
        <v>Good</v>
      </c>
      <c r="CE1162" s="32"/>
      <c r="CJ1162">
        <f t="shared" si="665"/>
        <v>20</v>
      </c>
      <c r="CK1162">
        <f t="shared" si="666"/>
        <v>10</v>
      </c>
      <c r="CL1162">
        <f t="shared" si="667"/>
        <v>2025</v>
      </c>
    </row>
    <row r="1163" spans="1:90" ht="15" customHeight="1" x14ac:dyDescent="0.35">
      <c r="A1163" t="s">
        <v>2870</v>
      </c>
      <c r="B1163" t="s">
        <v>100</v>
      </c>
      <c r="C1163" t="s">
        <v>214</v>
      </c>
      <c r="D1163" t="s">
        <v>101</v>
      </c>
      <c r="E1163" s="32">
        <v>45950</v>
      </c>
      <c r="F1163" t="s">
        <v>54</v>
      </c>
      <c r="G1163" t="s">
        <v>2811</v>
      </c>
      <c r="H1163">
        <v>8667013439</v>
      </c>
      <c r="I1163">
        <v>140</v>
      </c>
      <c r="J1163" t="s">
        <v>2596</v>
      </c>
      <c r="K1163" t="s">
        <v>71</v>
      </c>
      <c r="L1163" t="s">
        <v>72</v>
      </c>
      <c r="M1163" t="s">
        <v>59</v>
      </c>
      <c r="N1163" t="s">
        <v>59</v>
      </c>
      <c r="O1163" t="s">
        <v>59</v>
      </c>
      <c r="P1163" t="s">
        <v>59</v>
      </c>
      <c r="Q1163" t="s">
        <v>59</v>
      </c>
      <c r="R1163" t="s">
        <v>59</v>
      </c>
      <c r="S1163" t="s">
        <v>59</v>
      </c>
      <c r="T1163" t="s">
        <v>59</v>
      </c>
      <c r="U1163" t="s">
        <v>60</v>
      </c>
      <c r="V1163" t="s">
        <v>59</v>
      </c>
      <c r="W1163" t="s">
        <v>59</v>
      </c>
      <c r="X1163" t="s">
        <v>61</v>
      </c>
      <c r="Y1163" t="s">
        <v>59</v>
      </c>
      <c r="Z1163" t="s">
        <v>59</v>
      </c>
      <c r="AA1163" t="s">
        <v>59</v>
      </c>
      <c r="AB1163" t="s">
        <v>60</v>
      </c>
      <c r="AC1163" t="s">
        <v>60</v>
      </c>
      <c r="AD1163" t="s">
        <v>59</v>
      </c>
      <c r="AE1163" t="s">
        <v>59</v>
      </c>
      <c r="AF1163" t="s">
        <v>61</v>
      </c>
      <c r="AG1163" t="s">
        <v>59</v>
      </c>
      <c r="AH1163" t="s">
        <v>61</v>
      </c>
      <c r="AI1163" t="s">
        <v>61</v>
      </c>
      <c r="AJ1163" t="s">
        <v>59</v>
      </c>
      <c r="AK1163" t="s">
        <v>61</v>
      </c>
      <c r="AL1163" t="s">
        <v>60</v>
      </c>
      <c r="AM1163" t="s">
        <v>59</v>
      </c>
      <c r="AN1163" t="s">
        <v>59</v>
      </c>
      <c r="AO1163" t="s">
        <v>60</v>
      </c>
      <c r="AP1163" t="s">
        <v>2871</v>
      </c>
      <c r="AQ1163" s="1" t="s">
        <v>2872</v>
      </c>
      <c r="AR1163" t="s">
        <v>64</v>
      </c>
      <c r="AS1163" t="s">
        <v>175</v>
      </c>
      <c r="AT1163" t="s">
        <v>1716</v>
      </c>
      <c r="AU1163" t="s">
        <v>299</v>
      </c>
      <c r="AW1163" s="4">
        <f t="shared" si="633"/>
        <v>6</v>
      </c>
      <c r="AX1163" s="4">
        <f t="shared" si="634"/>
        <v>4</v>
      </c>
      <c r="AY1163" s="4">
        <f t="shared" si="635"/>
        <v>4</v>
      </c>
      <c r="AZ1163" s="4">
        <f t="shared" si="636"/>
        <v>2</v>
      </c>
      <c r="BA1163" s="4">
        <f t="shared" si="637"/>
        <v>4</v>
      </c>
      <c r="BB1163" s="4">
        <f t="shared" si="638"/>
        <v>4</v>
      </c>
      <c r="BC1163" s="4">
        <f t="shared" si="639"/>
        <v>4</v>
      </c>
      <c r="BD1163" s="4">
        <f t="shared" si="640"/>
        <v>2</v>
      </c>
      <c r="BE1163" s="4" t="str">
        <f t="shared" si="641"/>
        <v>0</v>
      </c>
      <c r="BF1163" s="4">
        <f t="shared" si="642"/>
        <v>2</v>
      </c>
      <c r="BG1163" s="4">
        <f t="shared" si="643"/>
        <v>4</v>
      </c>
      <c r="BH1163" s="4">
        <f t="shared" si="644"/>
        <v>4</v>
      </c>
      <c r="BI1163" s="4">
        <f t="shared" si="645"/>
        <v>4</v>
      </c>
      <c r="BJ1163" s="4">
        <f t="shared" si="646"/>
        <v>2</v>
      </c>
      <c r="BK1163" s="4">
        <f t="shared" si="647"/>
        <v>4</v>
      </c>
      <c r="BL1163" s="4" t="str">
        <f t="shared" si="648"/>
        <v>0</v>
      </c>
      <c r="BM1163" s="4" t="str">
        <f t="shared" si="649"/>
        <v>0</v>
      </c>
      <c r="BN1163" s="4">
        <f t="shared" si="650"/>
        <v>4</v>
      </c>
      <c r="BO1163" s="4">
        <f t="shared" si="651"/>
        <v>4</v>
      </c>
      <c r="BP1163" s="4">
        <f t="shared" si="652"/>
        <v>4</v>
      </c>
      <c r="BQ1163" s="4">
        <f t="shared" si="653"/>
        <v>6</v>
      </c>
      <c r="BR1163" s="4">
        <f t="shared" si="654"/>
        <v>4</v>
      </c>
      <c r="BS1163" s="4">
        <f t="shared" si="655"/>
        <v>4</v>
      </c>
      <c r="BT1163" s="4">
        <f t="shared" si="656"/>
        <v>4</v>
      </c>
      <c r="BU1163" s="4">
        <f t="shared" si="657"/>
        <v>4</v>
      </c>
      <c r="BV1163" s="4" t="str">
        <f t="shared" si="658"/>
        <v>0</v>
      </c>
      <c r="BW1163" s="4">
        <f t="shared" si="659"/>
        <v>6</v>
      </c>
      <c r="BX1163" s="4">
        <f t="shared" si="660"/>
        <v>0</v>
      </c>
      <c r="BY1163" s="4" t="str">
        <f t="shared" si="661"/>
        <v>0</v>
      </c>
      <c r="BZ1163" s="37">
        <f t="shared" si="662"/>
        <v>90</v>
      </c>
      <c r="CA1163" s="32" t="e">
        <f>VLOOKUP(J:J,'Agent wise'!A:C,3,0)</f>
        <v>#N/A</v>
      </c>
      <c r="CB1163" s="32">
        <f t="shared" si="663"/>
        <v>45950</v>
      </c>
      <c r="CC1163" t="str">
        <f t="shared" si="664"/>
        <v>Good</v>
      </c>
      <c r="CE1163" s="32"/>
      <c r="CJ1163">
        <f t="shared" si="665"/>
        <v>20</v>
      </c>
      <c r="CK1163">
        <f t="shared" si="666"/>
        <v>10</v>
      </c>
      <c r="CL1163">
        <f t="shared" si="667"/>
        <v>2025</v>
      </c>
    </row>
    <row r="1164" spans="1:90" ht="15" customHeight="1" x14ac:dyDescent="0.35">
      <c r="A1164" t="s">
        <v>2873</v>
      </c>
      <c r="B1164" t="s">
        <v>250</v>
      </c>
      <c r="C1164" t="s">
        <v>214</v>
      </c>
      <c r="D1164" t="s">
        <v>251</v>
      </c>
      <c r="E1164" s="32">
        <v>45950</v>
      </c>
      <c r="F1164" t="s">
        <v>90</v>
      </c>
      <c r="G1164" t="s">
        <v>2708</v>
      </c>
      <c r="H1164">
        <v>8754099695</v>
      </c>
      <c r="I1164">
        <v>132</v>
      </c>
      <c r="J1164" t="s">
        <v>139</v>
      </c>
      <c r="K1164" t="s">
        <v>71</v>
      </c>
      <c r="L1164" t="s">
        <v>72</v>
      </c>
      <c r="M1164" t="s">
        <v>59</v>
      </c>
      <c r="N1164" t="s">
        <v>59</v>
      </c>
      <c r="O1164" t="s">
        <v>59</v>
      </c>
      <c r="P1164" t="s">
        <v>59</v>
      </c>
      <c r="Q1164" t="s">
        <v>59</v>
      </c>
      <c r="R1164" t="s">
        <v>59</v>
      </c>
      <c r="S1164" t="s">
        <v>59</v>
      </c>
      <c r="T1164" t="s">
        <v>59</v>
      </c>
      <c r="U1164" t="s">
        <v>60</v>
      </c>
      <c r="V1164" t="s">
        <v>59</v>
      </c>
      <c r="W1164" t="s">
        <v>59</v>
      </c>
      <c r="X1164" t="s">
        <v>59</v>
      </c>
      <c r="Y1164" t="s">
        <v>59</v>
      </c>
      <c r="Z1164" t="s">
        <v>60</v>
      </c>
      <c r="AA1164" t="s">
        <v>59</v>
      </c>
      <c r="AB1164" t="s">
        <v>59</v>
      </c>
      <c r="AC1164" t="s">
        <v>60</v>
      </c>
      <c r="AD1164" t="s">
        <v>59</v>
      </c>
      <c r="AE1164" t="s">
        <v>59</v>
      </c>
      <c r="AF1164" t="s">
        <v>59</v>
      </c>
      <c r="AG1164" t="s">
        <v>59</v>
      </c>
      <c r="AH1164" t="s">
        <v>61</v>
      </c>
      <c r="AI1164" t="s">
        <v>61</v>
      </c>
      <c r="AJ1164" t="s">
        <v>59</v>
      </c>
      <c r="AK1164" t="s">
        <v>59</v>
      </c>
      <c r="AL1164" t="s">
        <v>60</v>
      </c>
      <c r="AM1164" t="s">
        <v>59</v>
      </c>
      <c r="AN1164" t="s">
        <v>59</v>
      </c>
      <c r="AO1164" t="s">
        <v>59</v>
      </c>
      <c r="AP1164" t="s">
        <v>2874</v>
      </c>
      <c r="AQ1164" t="s">
        <v>2875</v>
      </c>
      <c r="AR1164" t="s">
        <v>64</v>
      </c>
      <c r="AS1164" t="s">
        <v>2876</v>
      </c>
      <c r="AT1164" t="s">
        <v>2877</v>
      </c>
      <c r="AU1164" t="s">
        <v>219</v>
      </c>
      <c r="AW1164" s="4">
        <f t="shared" si="633"/>
        <v>6</v>
      </c>
      <c r="AX1164" s="4">
        <f t="shared" si="634"/>
        <v>4</v>
      </c>
      <c r="AY1164" s="4">
        <f t="shared" si="635"/>
        <v>4</v>
      </c>
      <c r="AZ1164" s="4">
        <f t="shared" si="636"/>
        <v>2</v>
      </c>
      <c r="BA1164" s="4">
        <f t="shared" si="637"/>
        <v>4</v>
      </c>
      <c r="BB1164" s="4">
        <f t="shared" si="638"/>
        <v>4</v>
      </c>
      <c r="BC1164" s="4">
        <f t="shared" si="639"/>
        <v>4</v>
      </c>
      <c r="BD1164" s="4">
        <f t="shared" si="640"/>
        <v>2</v>
      </c>
      <c r="BE1164" s="4" t="str">
        <f t="shared" si="641"/>
        <v>0</v>
      </c>
      <c r="BF1164" s="4">
        <f t="shared" si="642"/>
        <v>2</v>
      </c>
      <c r="BG1164" s="4">
        <f t="shared" si="643"/>
        <v>4</v>
      </c>
      <c r="BH1164" s="4">
        <f t="shared" si="644"/>
        <v>4</v>
      </c>
      <c r="BI1164" s="4">
        <f t="shared" si="645"/>
        <v>4</v>
      </c>
      <c r="BJ1164" s="4" t="str">
        <f t="shared" si="646"/>
        <v>0</v>
      </c>
      <c r="BK1164" s="4">
        <f t="shared" si="647"/>
        <v>4</v>
      </c>
      <c r="BL1164" s="4">
        <f t="shared" si="648"/>
        <v>2</v>
      </c>
      <c r="BM1164" s="4" t="str">
        <f t="shared" si="649"/>
        <v>0</v>
      </c>
      <c r="BN1164" s="4">
        <f t="shared" si="650"/>
        <v>4</v>
      </c>
      <c r="BO1164" s="4">
        <f t="shared" si="651"/>
        <v>4</v>
      </c>
      <c r="BP1164" s="4">
        <f t="shared" si="652"/>
        <v>4</v>
      </c>
      <c r="BQ1164" s="4">
        <f t="shared" si="653"/>
        <v>6</v>
      </c>
      <c r="BR1164" s="4">
        <f t="shared" si="654"/>
        <v>4</v>
      </c>
      <c r="BS1164" s="4">
        <f t="shared" si="655"/>
        <v>4</v>
      </c>
      <c r="BT1164" s="4">
        <f t="shared" si="656"/>
        <v>4</v>
      </c>
      <c r="BU1164" s="4">
        <f t="shared" si="657"/>
        <v>4</v>
      </c>
      <c r="BV1164" s="4" t="str">
        <f t="shared" si="658"/>
        <v>0</v>
      </c>
      <c r="BW1164" s="4">
        <f t="shared" si="659"/>
        <v>6</v>
      </c>
      <c r="BX1164" s="4">
        <f t="shared" si="660"/>
        <v>0</v>
      </c>
      <c r="BY1164" s="4">
        <f t="shared" si="661"/>
        <v>0</v>
      </c>
      <c r="BZ1164" s="37">
        <f t="shared" si="662"/>
        <v>90</v>
      </c>
      <c r="CA1164" s="32" t="str">
        <f>VLOOKUP(J:J,'Agent wise'!A:C,3,0)</f>
        <v>Shakeer</v>
      </c>
      <c r="CB1164" s="32">
        <f t="shared" si="663"/>
        <v>45950</v>
      </c>
      <c r="CC1164" t="str">
        <f t="shared" si="664"/>
        <v>Good</v>
      </c>
      <c r="CE1164" s="32"/>
      <c r="CJ1164">
        <f t="shared" si="665"/>
        <v>20</v>
      </c>
      <c r="CK1164">
        <f t="shared" si="666"/>
        <v>10</v>
      </c>
      <c r="CL1164">
        <f t="shared" si="667"/>
        <v>2025</v>
      </c>
    </row>
    <row r="1165" spans="1:90" ht="15" customHeight="1" x14ac:dyDescent="0.35">
      <c r="A1165" t="s">
        <v>2878</v>
      </c>
      <c r="B1165" t="s">
        <v>100</v>
      </c>
      <c r="C1165" t="s">
        <v>214</v>
      </c>
      <c r="D1165" t="s">
        <v>101</v>
      </c>
      <c r="E1165" s="32">
        <v>45950</v>
      </c>
      <c r="F1165" t="s">
        <v>222</v>
      </c>
      <c r="G1165" t="s">
        <v>2708</v>
      </c>
      <c r="H1165">
        <v>9940477773</v>
      </c>
      <c r="I1165">
        <v>143</v>
      </c>
      <c r="J1165" t="s">
        <v>80</v>
      </c>
      <c r="K1165" t="s">
        <v>71</v>
      </c>
      <c r="L1165" t="s">
        <v>72</v>
      </c>
      <c r="M1165" t="s">
        <v>59</v>
      </c>
      <c r="N1165" t="s">
        <v>59</v>
      </c>
      <c r="O1165" t="s">
        <v>59</v>
      </c>
      <c r="P1165" t="s">
        <v>59</v>
      </c>
      <c r="Q1165" t="s">
        <v>59</v>
      </c>
      <c r="R1165" t="s">
        <v>59</v>
      </c>
      <c r="S1165" t="s">
        <v>59</v>
      </c>
      <c r="T1165" t="s">
        <v>59</v>
      </c>
      <c r="U1165" t="s">
        <v>60</v>
      </c>
      <c r="V1165" t="s">
        <v>59</v>
      </c>
      <c r="W1165" t="s">
        <v>59</v>
      </c>
      <c r="X1165" t="s">
        <v>61</v>
      </c>
      <c r="Y1165" t="s">
        <v>59</v>
      </c>
      <c r="Z1165" t="s">
        <v>59</v>
      </c>
      <c r="AA1165" t="s">
        <v>59</v>
      </c>
      <c r="AB1165" t="s">
        <v>60</v>
      </c>
      <c r="AC1165" t="s">
        <v>59</v>
      </c>
      <c r="AD1165" t="s">
        <v>59</v>
      </c>
      <c r="AE1165" t="s">
        <v>59</v>
      </c>
      <c r="AF1165" t="s">
        <v>61</v>
      </c>
      <c r="AG1165" t="s">
        <v>59</v>
      </c>
      <c r="AH1165" t="s">
        <v>61</v>
      </c>
      <c r="AI1165" t="s">
        <v>60</v>
      </c>
      <c r="AJ1165" t="s">
        <v>59</v>
      </c>
      <c r="AK1165" t="s">
        <v>59</v>
      </c>
      <c r="AL1165" t="s">
        <v>60</v>
      </c>
      <c r="AM1165" t="s">
        <v>59</v>
      </c>
      <c r="AN1165" t="s">
        <v>59</v>
      </c>
      <c r="AO1165" t="s">
        <v>59</v>
      </c>
      <c r="AP1165" t="s">
        <v>2879</v>
      </c>
      <c r="AQ1165" s="1" t="s">
        <v>2880</v>
      </c>
      <c r="AR1165" t="s">
        <v>226</v>
      </c>
      <c r="AS1165" t="s">
        <v>352</v>
      </c>
      <c r="AT1165" t="s">
        <v>352</v>
      </c>
      <c r="AU1165" t="s">
        <v>387</v>
      </c>
      <c r="AW1165" s="4">
        <f t="shared" si="633"/>
        <v>6</v>
      </c>
      <c r="AX1165" s="4">
        <f t="shared" si="634"/>
        <v>4</v>
      </c>
      <c r="AY1165" s="4">
        <f t="shared" si="635"/>
        <v>4</v>
      </c>
      <c r="AZ1165" s="4">
        <f t="shared" si="636"/>
        <v>2</v>
      </c>
      <c r="BA1165" s="4">
        <f t="shared" si="637"/>
        <v>4</v>
      </c>
      <c r="BB1165" s="4">
        <f t="shared" si="638"/>
        <v>4</v>
      </c>
      <c r="BC1165" s="4">
        <f t="shared" si="639"/>
        <v>4</v>
      </c>
      <c r="BD1165" s="4">
        <f t="shared" si="640"/>
        <v>2</v>
      </c>
      <c r="BE1165" s="4" t="str">
        <f t="shared" si="641"/>
        <v>0</v>
      </c>
      <c r="BF1165" s="4">
        <f t="shared" si="642"/>
        <v>2</v>
      </c>
      <c r="BG1165" s="4">
        <f t="shared" si="643"/>
        <v>4</v>
      </c>
      <c r="BH1165" s="4">
        <f t="shared" si="644"/>
        <v>4</v>
      </c>
      <c r="BI1165" s="4">
        <f t="shared" si="645"/>
        <v>4</v>
      </c>
      <c r="BJ1165" s="4">
        <f t="shared" si="646"/>
        <v>2</v>
      </c>
      <c r="BK1165" s="4">
        <f t="shared" si="647"/>
        <v>4</v>
      </c>
      <c r="BL1165" s="4" t="str">
        <f t="shared" si="648"/>
        <v>0</v>
      </c>
      <c r="BM1165" s="4">
        <f t="shared" si="649"/>
        <v>4</v>
      </c>
      <c r="BN1165" s="4">
        <f t="shared" si="650"/>
        <v>4</v>
      </c>
      <c r="BO1165" s="4">
        <f t="shared" si="651"/>
        <v>4</v>
      </c>
      <c r="BP1165" s="4">
        <f t="shared" si="652"/>
        <v>4</v>
      </c>
      <c r="BQ1165" s="4">
        <f t="shared" si="653"/>
        <v>6</v>
      </c>
      <c r="BR1165" s="4">
        <f t="shared" si="654"/>
        <v>4</v>
      </c>
      <c r="BS1165" s="4" t="str">
        <f t="shared" si="655"/>
        <v>0</v>
      </c>
      <c r="BT1165" s="4">
        <f t="shared" si="656"/>
        <v>4</v>
      </c>
      <c r="BU1165" s="4">
        <f t="shared" si="657"/>
        <v>4</v>
      </c>
      <c r="BV1165" s="4" t="str">
        <f t="shared" si="658"/>
        <v>0</v>
      </c>
      <c r="BW1165" s="4">
        <f t="shared" si="659"/>
        <v>6</v>
      </c>
      <c r="BX1165" s="4">
        <f t="shared" si="660"/>
        <v>0</v>
      </c>
      <c r="BY1165" s="4">
        <f t="shared" si="661"/>
        <v>0</v>
      </c>
      <c r="BZ1165" s="37">
        <f t="shared" si="662"/>
        <v>90</v>
      </c>
      <c r="CA1165" s="32" t="str">
        <f>VLOOKUP(J:J,'Agent wise'!A:C,3,0)</f>
        <v>Saran S</v>
      </c>
      <c r="CB1165" s="32">
        <f t="shared" si="663"/>
        <v>45950</v>
      </c>
      <c r="CC1165" t="str">
        <f t="shared" si="664"/>
        <v>Good</v>
      </c>
      <c r="CE1165" s="32"/>
      <c r="CJ1165">
        <f t="shared" si="665"/>
        <v>20</v>
      </c>
      <c r="CK1165">
        <f t="shared" si="666"/>
        <v>10</v>
      </c>
      <c r="CL1165">
        <f t="shared" si="667"/>
        <v>2025</v>
      </c>
    </row>
    <row r="1166" spans="1:90" ht="15" customHeight="1" x14ac:dyDescent="0.35">
      <c r="A1166" t="s">
        <v>2881</v>
      </c>
      <c r="B1166" t="s">
        <v>220</v>
      </c>
      <c r="C1166" t="s">
        <v>214</v>
      </c>
      <c r="D1166" t="s">
        <v>221</v>
      </c>
      <c r="E1166" s="32">
        <v>45950</v>
      </c>
      <c r="F1166" t="s">
        <v>222</v>
      </c>
      <c r="G1166" t="s">
        <v>2811</v>
      </c>
      <c r="H1166">
        <v>9363260054</v>
      </c>
      <c r="I1166">
        <v>168</v>
      </c>
      <c r="J1166" t="s">
        <v>420</v>
      </c>
      <c r="K1166" t="s">
        <v>71</v>
      </c>
      <c r="L1166" t="s">
        <v>72</v>
      </c>
      <c r="M1166" t="s">
        <v>59</v>
      </c>
      <c r="N1166" t="s">
        <v>59</v>
      </c>
      <c r="O1166" t="s">
        <v>59</v>
      </c>
      <c r="P1166" t="s">
        <v>59</v>
      </c>
      <c r="Q1166" t="s">
        <v>59</v>
      </c>
      <c r="R1166" t="s">
        <v>59</v>
      </c>
      <c r="S1166" t="s">
        <v>59</v>
      </c>
      <c r="T1166" t="s">
        <v>59</v>
      </c>
      <c r="U1166" t="s">
        <v>59</v>
      </c>
      <c r="V1166" t="s">
        <v>59</v>
      </c>
      <c r="W1166" t="s">
        <v>59</v>
      </c>
      <c r="X1166" t="s">
        <v>59</v>
      </c>
      <c r="Y1166" t="s">
        <v>59</v>
      </c>
      <c r="Z1166" t="s">
        <v>59</v>
      </c>
      <c r="AA1166" t="s">
        <v>59</v>
      </c>
      <c r="AB1166" t="s">
        <v>59</v>
      </c>
      <c r="AC1166" t="s">
        <v>59</v>
      </c>
      <c r="AD1166" t="s">
        <v>59</v>
      </c>
      <c r="AE1166" t="s">
        <v>59</v>
      </c>
      <c r="AF1166" t="s">
        <v>59</v>
      </c>
      <c r="AG1166" t="s">
        <v>59</v>
      </c>
      <c r="AH1166" t="s">
        <v>61</v>
      </c>
      <c r="AI1166" t="s">
        <v>59</v>
      </c>
      <c r="AJ1166" t="s">
        <v>59</v>
      </c>
      <c r="AK1166" t="s">
        <v>59</v>
      </c>
      <c r="AL1166" t="s">
        <v>59</v>
      </c>
      <c r="AM1166" t="s">
        <v>59</v>
      </c>
      <c r="AN1166" t="s">
        <v>59</v>
      </c>
      <c r="AO1166" t="s">
        <v>59</v>
      </c>
      <c r="AP1166" t="s">
        <v>219</v>
      </c>
      <c r="AQ1166" t="s">
        <v>2882</v>
      </c>
      <c r="AR1166" t="s">
        <v>226</v>
      </c>
      <c r="AS1166" t="s">
        <v>249</v>
      </c>
      <c r="AT1166" t="s">
        <v>249</v>
      </c>
      <c r="AU1166" t="s">
        <v>219</v>
      </c>
      <c r="AW1166" s="4">
        <f t="shared" si="633"/>
        <v>6</v>
      </c>
      <c r="AX1166" s="4">
        <f t="shared" si="634"/>
        <v>4</v>
      </c>
      <c r="AY1166" s="4">
        <f t="shared" si="635"/>
        <v>4</v>
      </c>
      <c r="AZ1166" s="4">
        <f t="shared" si="636"/>
        <v>2</v>
      </c>
      <c r="BA1166" s="4">
        <f t="shared" si="637"/>
        <v>4</v>
      </c>
      <c r="BB1166" s="4">
        <f t="shared" si="638"/>
        <v>4</v>
      </c>
      <c r="BC1166" s="4">
        <f t="shared" si="639"/>
        <v>4</v>
      </c>
      <c r="BD1166" s="4">
        <f t="shared" si="640"/>
        <v>2</v>
      </c>
      <c r="BE1166" s="4">
        <f t="shared" si="641"/>
        <v>4</v>
      </c>
      <c r="BF1166" s="4">
        <f t="shared" si="642"/>
        <v>2</v>
      </c>
      <c r="BG1166" s="4">
        <f t="shared" si="643"/>
        <v>4</v>
      </c>
      <c r="BH1166" s="4">
        <f t="shared" si="644"/>
        <v>4</v>
      </c>
      <c r="BI1166" s="4">
        <f t="shared" si="645"/>
        <v>4</v>
      </c>
      <c r="BJ1166" s="4">
        <f t="shared" si="646"/>
        <v>2</v>
      </c>
      <c r="BK1166" s="4">
        <f t="shared" si="647"/>
        <v>4</v>
      </c>
      <c r="BL1166" s="4">
        <f t="shared" si="648"/>
        <v>2</v>
      </c>
      <c r="BM1166" s="4">
        <f t="shared" si="649"/>
        <v>4</v>
      </c>
      <c r="BN1166" s="4">
        <f t="shared" si="650"/>
        <v>4</v>
      </c>
      <c r="BO1166" s="4">
        <f t="shared" si="651"/>
        <v>4</v>
      </c>
      <c r="BP1166" s="4">
        <f t="shared" si="652"/>
        <v>4</v>
      </c>
      <c r="BQ1166" s="4">
        <f t="shared" si="653"/>
        <v>6</v>
      </c>
      <c r="BR1166" s="4">
        <f t="shared" si="654"/>
        <v>4</v>
      </c>
      <c r="BS1166" s="4">
        <f t="shared" si="655"/>
        <v>4</v>
      </c>
      <c r="BT1166" s="4">
        <f t="shared" si="656"/>
        <v>4</v>
      </c>
      <c r="BU1166" s="4">
        <f t="shared" si="657"/>
        <v>4</v>
      </c>
      <c r="BV1166" s="4">
        <f t="shared" si="658"/>
        <v>0</v>
      </c>
      <c r="BW1166" s="4">
        <f t="shared" si="659"/>
        <v>6</v>
      </c>
      <c r="BX1166" s="4">
        <f t="shared" si="660"/>
        <v>0</v>
      </c>
      <c r="BY1166" s="4">
        <f t="shared" si="661"/>
        <v>0</v>
      </c>
      <c r="BZ1166" s="37">
        <f t="shared" si="662"/>
        <v>100</v>
      </c>
      <c r="CA1166" s="32" t="str">
        <f>VLOOKUP(J:J,'Agent wise'!A:C,3,0)</f>
        <v>Amal</v>
      </c>
      <c r="CB1166" s="32">
        <f t="shared" si="663"/>
        <v>45950</v>
      </c>
      <c r="CC1166" t="str">
        <f t="shared" si="664"/>
        <v>Excellent</v>
      </c>
      <c r="CE1166" s="32"/>
      <c r="CJ1166">
        <f t="shared" si="665"/>
        <v>20</v>
      </c>
      <c r="CK1166">
        <f t="shared" si="666"/>
        <v>10</v>
      </c>
      <c r="CL1166">
        <f t="shared" si="667"/>
        <v>2025</v>
      </c>
    </row>
    <row r="1167" spans="1:90" ht="15" customHeight="1" x14ac:dyDescent="0.35">
      <c r="A1167" t="s">
        <v>2883</v>
      </c>
      <c r="B1167" t="s">
        <v>250</v>
      </c>
      <c r="C1167" t="s">
        <v>214</v>
      </c>
      <c r="D1167" t="s">
        <v>251</v>
      </c>
      <c r="E1167" s="32">
        <v>45950</v>
      </c>
      <c r="F1167" t="s">
        <v>90</v>
      </c>
      <c r="G1167" t="s">
        <v>2708</v>
      </c>
      <c r="H1167">
        <v>8973234575</v>
      </c>
      <c r="I1167">
        <v>133</v>
      </c>
      <c r="J1167" t="s">
        <v>472</v>
      </c>
      <c r="K1167" t="s">
        <v>71</v>
      </c>
      <c r="L1167" t="s">
        <v>72</v>
      </c>
      <c r="M1167" t="s">
        <v>59</v>
      </c>
      <c r="N1167" t="s">
        <v>59</v>
      </c>
      <c r="O1167" t="s">
        <v>61</v>
      </c>
      <c r="P1167" t="s">
        <v>59</v>
      </c>
      <c r="Q1167" t="s">
        <v>59</v>
      </c>
      <c r="R1167" t="s">
        <v>59</v>
      </c>
      <c r="S1167" t="s">
        <v>59</v>
      </c>
      <c r="T1167" t="s">
        <v>59</v>
      </c>
      <c r="U1167" t="s">
        <v>60</v>
      </c>
      <c r="V1167" t="s">
        <v>59</v>
      </c>
      <c r="W1167" t="s">
        <v>59</v>
      </c>
      <c r="X1167" t="s">
        <v>59</v>
      </c>
      <c r="Y1167" t="s">
        <v>59</v>
      </c>
      <c r="Z1167" t="s">
        <v>59</v>
      </c>
      <c r="AA1167" t="s">
        <v>59</v>
      </c>
      <c r="AB1167" t="s">
        <v>59</v>
      </c>
      <c r="AC1167" t="s">
        <v>59</v>
      </c>
      <c r="AD1167" t="s">
        <v>59</v>
      </c>
      <c r="AE1167" t="s">
        <v>59</v>
      </c>
      <c r="AF1167" t="s">
        <v>59</v>
      </c>
      <c r="AG1167" t="s">
        <v>59</v>
      </c>
      <c r="AH1167" t="s">
        <v>59</v>
      </c>
      <c r="AI1167" t="s">
        <v>61</v>
      </c>
      <c r="AJ1167" t="s">
        <v>59</v>
      </c>
      <c r="AK1167" t="s">
        <v>59</v>
      </c>
      <c r="AL1167" t="s">
        <v>60</v>
      </c>
      <c r="AM1167" t="s">
        <v>59</v>
      </c>
      <c r="AN1167" t="s">
        <v>59</v>
      </c>
      <c r="AO1167" t="s">
        <v>59</v>
      </c>
      <c r="AP1167" t="s">
        <v>2884</v>
      </c>
      <c r="AQ1167" t="s">
        <v>2885</v>
      </c>
      <c r="AR1167" t="s">
        <v>64</v>
      </c>
      <c r="AS1167" t="s">
        <v>2390</v>
      </c>
      <c r="AT1167" t="s">
        <v>621</v>
      </c>
      <c r="AU1167" t="s">
        <v>219</v>
      </c>
      <c r="AW1167" s="4">
        <f t="shared" si="633"/>
        <v>6</v>
      </c>
      <c r="AX1167" s="4">
        <f t="shared" si="634"/>
        <v>4</v>
      </c>
      <c r="AY1167" s="4">
        <f t="shared" si="635"/>
        <v>4</v>
      </c>
      <c r="AZ1167" s="4">
        <f t="shared" si="636"/>
        <v>2</v>
      </c>
      <c r="BA1167" s="4">
        <f t="shared" si="637"/>
        <v>4</v>
      </c>
      <c r="BB1167" s="4">
        <f t="shared" si="638"/>
        <v>4</v>
      </c>
      <c r="BC1167" s="4">
        <f t="shared" si="639"/>
        <v>4</v>
      </c>
      <c r="BD1167" s="4">
        <f t="shared" si="640"/>
        <v>2</v>
      </c>
      <c r="BE1167" s="4" t="str">
        <f t="shared" si="641"/>
        <v>0</v>
      </c>
      <c r="BF1167" s="4">
        <f t="shared" si="642"/>
        <v>2</v>
      </c>
      <c r="BG1167" s="4">
        <f t="shared" si="643"/>
        <v>4</v>
      </c>
      <c r="BH1167" s="4">
        <f t="shared" si="644"/>
        <v>4</v>
      </c>
      <c r="BI1167" s="4">
        <f t="shared" si="645"/>
        <v>4</v>
      </c>
      <c r="BJ1167" s="4">
        <f t="shared" si="646"/>
        <v>2</v>
      </c>
      <c r="BK1167" s="4">
        <f t="shared" si="647"/>
        <v>4</v>
      </c>
      <c r="BL1167" s="4">
        <f t="shared" si="648"/>
        <v>2</v>
      </c>
      <c r="BM1167" s="4">
        <f t="shared" si="649"/>
        <v>4</v>
      </c>
      <c r="BN1167" s="4">
        <f t="shared" si="650"/>
        <v>4</v>
      </c>
      <c r="BO1167" s="4">
        <f t="shared" si="651"/>
        <v>4</v>
      </c>
      <c r="BP1167" s="4">
        <f t="shared" si="652"/>
        <v>4</v>
      </c>
      <c r="BQ1167" s="4">
        <f t="shared" si="653"/>
        <v>6</v>
      </c>
      <c r="BR1167" s="4">
        <f t="shared" si="654"/>
        <v>4</v>
      </c>
      <c r="BS1167" s="4">
        <f t="shared" si="655"/>
        <v>4</v>
      </c>
      <c r="BT1167" s="4">
        <f t="shared" si="656"/>
        <v>4</v>
      </c>
      <c r="BU1167" s="4">
        <f t="shared" si="657"/>
        <v>4</v>
      </c>
      <c r="BV1167" s="4" t="str">
        <f t="shared" si="658"/>
        <v>0</v>
      </c>
      <c r="BW1167" s="4">
        <f t="shared" si="659"/>
        <v>6</v>
      </c>
      <c r="BX1167" s="4">
        <f t="shared" si="660"/>
        <v>0</v>
      </c>
      <c r="BY1167" s="4">
        <f t="shared" si="661"/>
        <v>0</v>
      </c>
      <c r="BZ1167" s="37">
        <f t="shared" si="662"/>
        <v>96</v>
      </c>
      <c r="CA1167" s="32" t="str">
        <f>VLOOKUP(J:J,'Agent wise'!A:C,3,0)</f>
        <v>Saran S</v>
      </c>
      <c r="CB1167" s="32">
        <f t="shared" si="663"/>
        <v>45950</v>
      </c>
      <c r="CC1167" t="str">
        <f t="shared" si="664"/>
        <v>Excellent</v>
      </c>
      <c r="CE1167" s="32"/>
      <c r="CJ1167">
        <f t="shared" si="665"/>
        <v>20</v>
      </c>
      <c r="CK1167">
        <f t="shared" si="666"/>
        <v>10</v>
      </c>
      <c r="CL1167">
        <f t="shared" si="667"/>
        <v>2025</v>
      </c>
    </row>
    <row r="1168" spans="1:90" ht="15" customHeight="1" x14ac:dyDescent="0.35">
      <c r="A1168" t="s">
        <v>2886</v>
      </c>
      <c r="B1168" t="s">
        <v>100</v>
      </c>
      <c r="C1168" t="s">
        <v>214</v>
      </c>
      <c r="D1168" t="s">
        <v>101</v>
      </c>
      <c r="E1168" s="32">
        <v>45950</v>
      </c>
      <c r="F1168" t="s">
        <v>222</v>
      </c>
      <c r="G1168" t="s">
        <v>2708</v>
      </c>
      <c r="H1168">
        <v>9159572840</v>
      </c>
      <c r="I1168">
        <v>171</v>
      </c>
      <c r="J1168" t="s">
        <v>353</v>
      </c>
      <c r="K1168" t="s">
        <v>71</v>
      </c>
      <c r="L1168" t="s">
        <v>72</v>
      </c>
      <c r="M1168" t="s">
        <v>59</v>
      </c>
      <c r="N1168" t="s">
        <v>59</v>
      </c>
      <c r="O1168" t="s">
        <v>59</v>
      </c>
      <c r="P1168" t="s">
        <v>59</v>
      </c>
      <c r="Q1168" t="s">
        <v>59</v>
      </c>
      <c r="R1168" t="s">
        <v>60</v>
      </c>
      <c r="S1168" t="s">
        <v>59</v>
      </c>
      <c r="T1168" t="s">
        <v>59</v>
      </c>
      <c r="U1168" t="s">
        <v>60</v>
      </c>
      <c r="V1168" t="s">
        <v>60</v>
      </c>
      <c r="W1168" t="s">
        <v>59</v>
      </c>
      <c r="X1168" t="s">
        <v>61</v>
      </c>
      <c r="Y1168" t="s">
        <v>59</v>
      </c>
      <c r="Z1168" t="s">
        <v>59</v>
      </c>
      <c r="AA1168" t="s">
        <v>60</v>
      </c>
      <c r="AB1168" t="s">
        <v>61</v>
      </c>
      <c r="AC1168" t="s">
        <v>61</v>
      </c>
      <c r="AD1168" t="s">
        <v>59</v>
      </c>
      <c r="AE1168" t="s">
        <v>59</v>
      </c>
      <c r="AF1168" t="s">
        <v>61</v>
      </c>
      <c r="AG1168" t="s">
        <v>59</v>
      </c>
      <c r="AH1168" t="s">
        <v>61</v>
      </c>
      <c r="AI1168" t="s">
        <v>61</v>
      </c>
      <c r="AJ1168" t="s">
        <v>59</v>
      </c>
      <c r="AK1168" t="s">
        <v>61</v>
      </c>
      <c r="AL1168" t="s">
        <v>60</v>
      </c>
      <c r="AM1168" t="s">
        <v>59</v>
      </c>
      <c r="AN1168" t="s">
        <v>59</v>
      </c>
      <c r="AO1168" t="s">
        <v>59</v>
      </c>
      <c r="AP1168" t="s">
        <v>2879</v>
      </c>
      <c r="AQ1168" s="1" t="s">
        <v>2887</v>
      </c>
      <c r="AR1168" t="s">
        <v>226</v>
      </c>
      <c r="AS1168" t="s">
        <v>352</v>
      </c>
      <c r="AT1168" t="s">
        <v>352</v>
      </c>
      <c r="AU1168" t="s">
        <v>299</v>
      </c>
      <c r="AW1168" s="4">
        <f t="shared" si="633"/>
        <v>6</v>
      </c>
      <c r="AX1168" s="4">
        <f t="shared" si="634"/>
        <v>4</v>
      </c>
      <c r="AY1168" s="4">
        <f t="shared" si="635"/>
        <v>4</v>
      </c>
      <c r="AZ1168" s="4">
        <f t="shared" si="636"/>
        <v>2</v>
      </c>
      <c r="BA1168" s="4">
        <f t="shared" si="637"/>
        <v>4</v>
      </c>
      <c r="BB1168" s="4" t="str">
        <f t="shared" si="638"/>
        <v>0</v>
      </c>
      <c r="BC1168" s="4">
        <f t="shared" si="639"/>
        <v>4</v>
      </c>
      <c r="BD1168" s="4">
        <f t="shared" si="640"/>
        <v>2</v>
      </c>
      <c r="BE1168" s="4" t="str">
        <f t="shared" si="641"/>
        <v>0</v>
      </c>
      <c r="BF1168" s="4" t="str">
        <f t="shared" si="642"/>
        <v>0</v>
      </c>
      <c r="BG1168" s="4">
        <f t="shared" si="643"/>
        <v>4</v>
      </c>
      <c r="BH1168" s="4">
        <f t="shared" si="644"/>
        <v>4</v>
      </c>
      <c r="BI1168" s="4">
        <f t="shared" si="645"/>
        <v>4</v>
      </c>
      <c r="BJ1168" s="4">
        <f t="shared" si="646"/>
        <v>2</v>
      </c>
      <c r="BK1168" s="4" t="str">
        <f t="shared" si="647"/>
        <v>0</v>
      </c>
      <c r="BL1168" s="4">
        <f t="shared" si="648"/>
        <v>2</v>
      </c>
      <c r="BM1168" s="4">
        <f t="shared" si="649"/>
        <v>4</v>
      </c>
      <c r="BN1168" s="4">
        <f t="shared" si="650"/>
        <v>4</v>
      </c>
      <c r="BO1168" s="4">
        <f t="shared" si="651"/>
        <v>4</v>
      </c>
      <c r="BP1168" s="4">
        <f t="shared" si="652"/>
        <v>4</v>
      </c>
      <c r="BQ1168" s="4">
        <f t="shared" si="653"/>
        <v>6</v>
      </c>
      <c r="BR1168" s="4">
        <f t="shared" si="654"/>
        <v>4</v>
      </c>
      <c r="BS1168" s="4">
        <f t="shared" si="655"/>
        <v>4</v>
      </c>
      <c r="BT1168" s="4">
        <f t="shared" si="656"/>
        <v>4</v>
      </c>
      <c r="BU1168" s="4">
        <f t="shared" si="657"/>
        <v>4</v>
      </c>
      <c r="BV1168" s="4" t="str">
        <f t="shared" si="658"/>
        <v>0</v>
      </c>
      <c r="BW1168" s="4">
        <f t="shared" si="659"/>
        <v>6</v>
      </c>
      <c r="BX1168" s="4">
        <f t="shared" si="660"/>
        <v>0</v>
      </c>
      <c r="BY1168" s="4">
        <f t="shared" si="661"/>
        <v>0</v>
      </c>
      <c r="BZ1168" s="37">
        <f t="shared" si="662"/>
        <v>86</v>
      </c>
      <c r="CA1168" s="32" t="str">
        <f>VLOOKUP(J:J,'Agent wise'!A:C,3,0)</f>
        <v>Amal</v>
      </c>
      <c r="CB1168" s="32">
        <f t="shared" si="663"/>
        <v>45950</v>
      </c>
      <c r="CC1168" t="str">
        <f t="shared" si="664"/>
        <v>Average</v>
      </c>
      <c r="CE1168" s="32"/>
      <c r="CJ1168">
        <f t="shared" si="665"/>
        <v>20</v>
      </c>
      <c r="CK1168">
        <f t="shared" si="666"/>
        <v>10</v>
      </c>
      <c r="CL1168">
        <f t="shared" si="667"/>
        <v>2025</v>
      </c>
    </row>
    <row r="1169" spans="1:90" ht="15" customHeight="1" x14ac:dyDescent="0.35">
      <c r="A1169" t="s">
        <v>2888</v>
      </c>
      <c r="B1169" t="s">
        <v>220</v>
      </c>
      <c r="C1169" t="s">
        <v>214</v>
      </c>
      <c r="D1169" t="s">
        <v>221</v>
      </c>
      <c r="E1169" s="32">
        <v>45950</v>
      </c>
      <c r="F1169" t="s">
        <v>222</v>
      </c>
      <c r="G1169" t="s">
        <v>2811</v>
      </c>
      <c r="H1169">
        <v>9952847386</v>
      </c>
      <c r="I1169">
        <v>186</v>
      </c>
      <c r="J1169" t="s">
        <v>420</v>
      </c>
      <c r="K1169" t="s">
        <v>71</v>
      </c>
      <c r="L1169" t="s">
        <v>72</v>
      </c>
      <c r="M1169" t="s">
        <v>59</v>
      </c>
      <c r="N1169" t="s">
        <v>59</v>
      </c>
      <c r="O1169" t="s">
        <v>59</v>
      </c>
      <c r="P1169" t="s">
        <v>59</v>
      </c>
      <c r="Q1169" t="s">
        <v>59</v>
      </c>
      <c r="R1169" t="s">
        <v>59</v>
      </c>
      <c r="S1169" t="s">
        <v>59</v>
      </c>
      <c r="T1169" t="s">
        <v>59</v>
      </c>
      <c r="U1169" t="s">
        <v>59</v>
      </c>
      <c r="V1169" t="s">
        <v>59</v>
      </c>
      <c r="W1169" t="s">
        <v>59</v>
      </c>
      <c r="X1169" t="s">
        <v>59</v>
      </c>
      <c r="Y1169" t="s">
        <v>59</v>
      </c>
      <c r="Z1169" t="s">
        <v>59</v>
      </c>
      <c r="AA1169" t="s">
        <v>59</v>
      </c>
      <c r="AB1169" t="s">
        <v>59</v>
      </c>
      <c r="AC1169" t="s">
        <v>59</v>
      </c>
      <c r="AD1169" t="s">
        <v>59</v>
      </c>
      <c r="AE1169" t="s">
        <v>59</v>
      </c>
      <c r="AF1169" t="s">
        <v>59</v>
      </c>
      <c r="AG1169" t="s">
        <v>59</v>
      </c>
      <c r="AH1169" t="s">
        <v>61</v>
      </c>
      <c r="AI1169" t="s">
        <v>61</v>
      </c>
      <c r="AJ1169" t="s">
        <v>59</v>
      </c>
      <c r="AK1169" t="s">
        <v>59</v>
      </c>
      <c r="AL1169" t="s">
        <v>59</v>
      </c>
      <c r="AM1169" t="s">
        <v>59</v>
      </c>
      <c r="AN1169" t="s">
        <v>59</v>
      </c>
      <c r="AO1169" t="s">
        <v>59</v>
      </c>
      <c r="AP1169" t="s">
        <v>270</v>
      </c>
      <c r="AQ1169" t="s">
        <v>2889</v>
      </c>
      <c r="AR1169" t="s">
        <v>226</v>
      </c>
      <c r="AS1169" t="s">
        <v>405</v>
      </c>
      <c r="AT1169" t="s">
        <v>405</v>
      </c>
      <c r="AU1169" t="s">
        <v>219</v>
      </c>
      <c r="AW1169" s="4">
        <f t="shared" si="633"/>
        <v>6</v>
      </c>
      <c r="AX1169" s="4">
        <f t="shared" si="634"/>
        <v>4</v>
      </c>
      <c r="AY1169" s="4">
        <f t="shared" si="635"/>
        <v>4</v>
      </c>
      <c r="AZ1169" s="4">
        <f t="shared" si="636"/>
        <v>2</v>
      </c>
      <c r="BA1169" s="4">
        <f t="shared" si="637"/>
        <v>4</v>
      </c>
      <c r="BB1169" s="4">
        <f t="shared" si="638"/>
        <v>4</v>
      </c>
      <c r="BC1169" s="4">
        <f t="shared" si="639"/>
        <v>4</v>
      </c>
      <c r="BD1169" s="4">
        <f t="shared" si="640"/>
        <v>2</v>
      </c>
      <c r="BE1169" s="4">
        <f t="shared" si="641"/>
        <v>4</v>
      </c>
      <c r="BF1169" s="4">
        <f t="shared" si="642"/>
        <v>2</v>
      </c>
      <c r="BG1169" s="4">
        <f t="shared" si="643"/>
        <v>4</v>
      </c>
      <c r="BH1169" s="4">
        <f t="shared" si="644"/>
        <v>4</v>
      </c>
      <c r="BI1169" s="4">
        <f t="shared" si="645"/>
        <v>4</v>
      </c>
      <c r="BJ1169" s="4">
        <f t="shared" si="646"/>
        <v>2</v>
      </c>
      <c r="BK1169" s="4">
        <f t="shared" si="647"/>
        <v>4</v>
      </c>
      <c r="BL1169" s="4">
        <f t="shared" si="648"/>
        <v>2</v>
      </c>
      <c r="BM1169" s="4">
        <f t="shared" si="649"/>
        <v>4</v>
      </c>
      <c r="BN1169" s="4">
        <f t="shared" si="650"/>
        <v>4</v>
      </c>
      <c r="BO1169" s="4">
        <f t="shared" si="651"/>
        <v>4</v>
      </c>
      <c r="BP1169" s="4">
        <f t="shared" si="652"/>
        <v>4</v>
      </c>
      <c r="BQ1169" s="4">
        <f t="shared" si="653"/>
        <v>6</v>
      </c>
      <c r="BR1169" s="4">
        <f t="shared" si="654"/>
        <v>4</v>
      </c>
      <c r="BS1169" s="4">
        <f t="shared" si="655"/>
        <v>4</v>
      </c>
      <c r="BT1169" s="4">
        <f t="shared" si="656"/>
        <v>4</v>
      </c>
      <c r="BU1169" s="4">
        <f t="shared" si="657"/>
        <v>4</v>
      </c>
      <c r="BV1169" s="4">
        <f t="shared" si="658"/>
        <v>0</v>
      </c>
      <c r="BW1169" s="4">
        <f t="shared" si="659"/>
        <v>6</v>
      </c>
      <c r="BX1169" s="4">
        <f t="shared" si="660"/>
        <v>0</v>
      </c>
      <c r="BY1169" s="4">
        <f t="shared" si="661"/>
        <v>0</v>
      </c>
      <c r="BZ1169" s="37">
        <f t="shared" si="662"/>
        <v>100</v>
      </c>
      <c r="CA1169" s="32" t="str">
        <f>VLOOKUP(J:J,'Agent wise'!A:C,3,0)</f>
        <v>Amal</v>
      </c>
      <c r="CB1169" s="32">
        <f t="shared" si="663"/>
        <v>45950</v>
      </c>
      <c r="CC1169" t="str">
        <f t="shared" si="664"/>
        <v>Excellent</v>
      </c>
      <c r="CE1169" s="32"/>
      <c r="CJ1169">
        <f t="shared" si="665"/>
        <v>20</v>
      </c>
      <c r="CK1169">
        <f t="shared" si="666"/>
        <v>10</v>
      </c>
      <c r="CL1169">
        <f t="shared" si="667"/>
        <v>2025</v>
      </c>
    </row>
    <row r="1170" spans="1:90" ht="15" customHeight="1" x14ac:dyDescent="0.35">
      <c r="A1170" t="s">
        <v>2890</v>
      </c>
      <c r="B1170" t="s">
        <v>100</v>
      </c>
      <c r="C1170" t="s">
        <v>214</v>
      </c>
      <c r="D1170" t="s">
        <v>101</v>
      </c>
      <c r="E1170" s="32">
        <v>45950</v>
      </c>
      <c r="F1170" t="s">
        <v>222</v>
      </c>
      <c r="G1170" t="s">
        <v>2708</v>
      </c>
      <c r="H1170">
        <v>9847066716</v>
      </c>
      <c r="I1170">
        <v>158</v>
      </c>
      <c r="J1170" t="s">
        <v>439</v>
      </c>
      <c r="K1170" t="s">
        <v>57</v>
      </c>
      <c r="L1170" t="s">
        <v>58</v>
      </c>
      <c r="M1170" t="s">
        <v>59</v>
      </c>
      <c r="N1170" t="s">
        <v>59</v>
      </c>
      <c r="O1170" t="s">
        <v>60</v>
      </c>
      <c r="P1170" t="s">
        <v>59</v>
      </c>
      <c r="Q1170" t="s">
        <v>59</v>
      </c>
      <c r="R1170" t="s">
        <v>59</v>
      </c>
      <c r="S1170" t="s">
        <v>59</v>
      </c>
      <c r="T1170" t="s">
        <v>59</v>
      </c>
      <c r="U1170" t="s">
        <v>60</v>
      </c>
      <c r="V1170" t="s">
        <v>59</v>
      </c>
      <c r="W1170" t="s">
        <v>59</v>
      </c>
      <c r="X1170" t="s">
        <v>61</v>
      </c>
      <c r="Y1170" t="s">
        <v>59</v>
      </c>
      <c r="Z1170" t="s">
        <v>59</v>
      </c>
      <c r="AA1170" t="s">
        <v>60</v>
      </c>
      <c r="AB1170" t="s">
        <v>59</v>
      </c>
      <c r="AC1170" t="s">
        <v>61</v>
      </c>
      <c r="AD1170" t="s">
        <v>59</v>
      </c>
      <c r="AE1170" t="s">
        <v>59</v>
      </c>
      <c r="AF1170" t="s">
        <v>61</v>
      </c>
      <c r="AG1170" t="s">
        <v>59</v>
      </c>
      <c r="AH1170" t="s">
        <v>61</v>
      </c>
      <c r="AI1170" t="s">
        <v>61</v>
      </c>
      <c r="AJ1170" t="s">
        <v>59</v>
      </c>
      <c r="AK1170" t="s">
        <v>61</v>
      </c>
      <c r="AL1170" t="s">
        <v>60</v>
      </c>
      <c r="AM1170" t="s">
        <v>59</v>
      </c>
      <c r="AN1170" t="s">
        <v>59</v>
      </c>
      <c r="AO1170" t="s">
        <v>59</v>
      </c>
      <c r="AP1170" t="s">
        <v>2110</v>
      </c>
      <c r="AQ1170" s="1" t="s">
        <v>2891</v>
      </c>
      <c r="AR1170" t="s">
        <v>226</v>
      </c>
      <c r="AS1170" t="s">
        <v>352</v>
      </c>
      <c r="AT1170" t="s">
        <v>352</v>
      </c>
      <c r="AU1170" t="s">
        <v>299</v>
      </c>
      <c r="AW1170" s="4">
        <f t="shared" si="633"/>
        <v>6</v>
      </c>
      <c r="AX1170" s="4">
        <f t="shared" si="634"/>
        <v>4</v>
      </c>
      <c r="AY1170" s="4" t="str">
        <f t="shared" si="635"/>
        <v>0</v>
      </c>
      <c r="AZ1170" s="4">
        <f t="shared" si="636"/>
        <v>2</v>
      </c>
      <c r="BA1170" s="4">
        <f t="shared" si="637"/>
        <v>4</v>
      </c>
      <c r="BB1170" s="4">
        <f t="shared" si="638"/>
        <v>4</v>
      </c>
      <c r="BC1170" s="4">
        <f t="shared" si="639"/>
        <v>4</v>
      </c>
      <c r="BD1170" s="4">
        <f t="shared" si="640"/>
        <v>2</v>
      </c>
      <c r="BE1170" s="4" t="str">
        <f t="shared" si="641"/>
        <v>0</v>
      </c>
      <c r="BF1170" s="4">
        <f t="shared" si="642"/>
        <v>2</v>
      </c>
      <c r="BG1170" s="4">
        <f t="shared" si="643"/>
        <v>4</v>
      </c>
      <c r="BH1170" s="4">
        <f t="shared" si="644"/>
        <v>4</v>
      </c>
      <c r="BI1170" s="4">
        <f t="shared" si="645"/>
        <v>4</v>
      </c>
      <c r="BJ1170" s="4">
        <f t="shared" si="646"/>
        <v>2</v>
      </c>
      <c r="BK1170" s="4" t="str">
        <f t="shared" si="647"/>
        <v>0</v>
      </c>
      <c r="BL1170" s="4">
        <f t="shared" si="648"/>
        <v>2</v>
      </c>
      <c r="BM1170" s="4">
        <f t="shared" si="649"/>
        <v>4</v>
      </c>
      <c r="BN1170" s="4">
        <f t="shared" si="650"/>
        <v>4</v>
      </c>
      <c r="BO1170" s="4">
        <f t="shared" si="651"/>
        <v>4</v>
      </c>
      <c r="BP1170" s="4">
        <f t="shared" si="652"/>
        <v>4</v>
      </c>
      <c r="BQ1170" s="4">
        <f t="shared" si="653"/>
        <v>6</v>
      </c>
      <c r="BR1170" s="4">
        <f t="shared" si="654"/>
        <v>4</v>
      </c>
      <c r="BS1170" s="4">
        <f t="shared" si="655"/>
        <v>4</v>
      </c>
      <c r="BT1170" s="4">
        <f t="shared" si="656"/>
        <v>4</v>
      </c>
      <c r="BU1170" s="4">
        <f t="shared" si="657"/>
        <v>4</v>
      </c>
      <c r="BV1170" s="4" t="str">
        <f t="shared" si="658"/>
        <v>0</v>
      </c>
      <c r="BW1170" s="4">
        <f t="shared" si="659"/>
        <v>6</v>
      </c>
      <c r="BX1170" s="4">
        <f t="shared" si="660"/>
        <v>0</v>
      </c>
      <c r="BY1170" s="4">
        <f t="shared" si="661"/>
        <v>0</v>
      </c>
      <c r="BZ1170" s="37">
        <f t="shared" si="662"/>
        <v>88</v>
      </c>
      <c r="CA1170" s="32" t="str">
        <f>VLOOKUP(J:J,'Agent wise'!A:C,3,0)</f>
        <v>Saran S</v>
      </c>
      <c r="CB1170" s="32">
        <f t="shared" si="663"/>
        <v>45950</v>
      </c>
      <c r="CC1170" t="str">
        <f t="shared" si="664"/>
        <v>Average</v>
      </c>
      <c r="CE1170" s="32"/>
      <c r="CJ1170">
        <f t="shared" si="665"/>
        <v>20</v>
      </c>
      <c r="CK1170">
        <f t="shared" si="666"/>
        <v>10</v>
      </c>
      <c r="CL1170">
        <f t="shared" si="667"/>
        <v>2025</v>
      </c>
    </row>
    <row r="1171" spans="1:90" ht="15" customHeight="1" x14ac:dyDescent="0.35">
      <c r="A1171" t="s">
        <v>2892</v>
      </c>
      <c r="B1171" t="s">
        <v>250</v>
      </c>
      <c r="C1171" t="s">
        <v>214</v>
      </c>
      <c r="D1171" t="s">
        <v>251</v>
      </c>
      <c r="E1171" s="32">
        <v>45950</v>
      </c>
      <c r="F1171" t="s">
        <v>90</v>
      </c>
      <c r="G1171" t="s">
        <v>2708</v>
      </c>
      <c r="H1171">
        <v>9487921248</v>
      </c>
      <c r="I1171">
        <v>238</v>
      </c>
      <c r="J1171" t="s">
        <v>472</v>
      </c>
      <c r="K1171" t="s">
        <v>71</v>
      </c>
      <c r="L1171" t="s">
        <v>72</v>
      </c>
      <c r="M1171" t="s">
        <v>59</v>
      </c>
      <c r="N1171" t="s">
        <v>59</v>
      </c>
      <c r="O1171" t="s">
        <v>59</v>
      </c>
      <c r="P1171" t="s">
        <v>59</v>
      </c>
      <c r="Q1171" t="s">
        <v>59</v>
      </c>
      <c r="R1171" t="s">
        <v>59</v>
      </c>
      <c r="S1171" t="s">
        <v>59</v>
      </c>
      <c r="T1171" t="s">
        <v>59</v>
      </c>
      <c r="U1171" t="s">
        <v>60</v>
      </c>
      <c r="V1171" t="s">
        <v>59</v>
      </c>
      <c r="W1171" t="s">
        <v>59</v>
      </c>
      <c r="X1171" t="s">
        <v>59</v>
      </c>
      <c r="Y1171" t="s">
        <v>59</v>
      </c>
      <c r="Z1171" t="s">
        <v>59</v>
      </c>
      <c r="AA1171" t="s">
        <v>59</v>
      </c>
      <c r="AB1171" t="s">
        <v>60</v>
      </c>
      <c r="AC1171" t="s">
        <v>61</v>
      </c>
      <c r="AD1171" t="s">
        <v>61</v>
      </c>
      <c r="AE1171" t="s">
        <v>59</v>
      </c>
      <c r="AF1171" t="s">
        <v>59</v>
      </c>
      <c r="AG1171" t="s">
        <v>59</v>
      </c>
      <c r="AH1171" t="s">
        <v>61</v>
      </c>
      <c r="AI1171" t="s">
        <v>61</v>
      </c>
      <c r="AJ1171" t="s">
        <v>59</v>
      </c>
      <c r="AK1171" t="s">
        <v>61</v>
      </c>
      <c r="AL1171" t="s">
        <v>60</v>
      </c>
      <c r="AM1171" t="s">
        <v>59</v>
      </c>
      <c r="AN1171" t="s">
        <v>59</v>
      </c>
      <c r="AO1171" t="s">
        <v>59</v>
      </c>
      <c r="AP1171" t="s">
        <v>2893</v>
      </c>
      <c r="AQ1171" t="s">
        <v>2894</v>
      </c>
      <c r="AR1171" t="s">
        <v>64</v>
      </c>
      <c r="AS1171" t="s">
        <v>2876</v>
      </c>
      <c r="AT1171" t="s">
        <v>621</v>
      </c>
      <c r="AU1171" t="s">
        <v>387</v>
      </c>
      <c r="AW1171" s="4">
        <f t="shared" si="633"/>
        <v>6</v>
      </c>
      <c r="AX1171" s="4">
        <f t="shared" si="634"/>
        <v>4</v>
      </c>
      <c r="AY1171" s="4">
        <f t="shared" si="635"/>
        <v>4</v>
      </c>
      <c r="AZ1171" s="4">
        <f t="shared" si="636"/>
        <v>2</v>
      </c>
      <c r="BA1171" s="4">
        <f t="shared" si="637"/>
        <v>4</v>
      </c>
      <c r="BB1171" s="4">
        <f t="shared" si="638"/>
        <v>4</v>
      </c>
      <c r="BC1171" s="4">
        <f t="shared" si="639"/>
        <v>4</v>
      </c>
      <c r="BD1171" s="4">
        <f t="shared" si="640"/>
        <v>2</v>
      </c>
      <c r="BE1171" s="4" t="str">
        <f t="shared" si="641"/>
        <v>0</v>
      </c>
      <c r="BF1171" s="4">
        <f t="shared" si="642"/>
        <v>2</v>
      </c>
      <c r="BG1171" s="4">
        <f t="shared" si="643"/>
        <v>4</v>
      </c>
      <c r="BH1171" s="4">
        <f t="shared" si="644"/>
        <v>4</v>
      </c>
      <c r="BI1171" s="4">
        <f t="shared" si="645"/>
        <v>4</v>
      </c>
      <c r="BJ1171" s="4">
        <f t="shared" si="646"/>
        <v>2</v>
      </c>
      <c r="BK1171" s="4">
        <f t="shared" si="647"/>
        <v>4</v>
      </c>
      <c r="BL1171" s="4" t="str">
        <f t="shared" si="648"/>
        <v>0</v>
      </c>
      <c r="BM1171" s="4">
        <f t="shared" si="649"/>
        <v>4</v>
      </c>
      <c r="BN1171" s="4">
        <f t="shared" si="650"/>
        <v>4</v>
      </c>
      <c r="BO1171" s="4">
        <f t="shared" si="651"/>
        <v>4</v>
      </c>
      <c r="BP1171" s="4">
        <f t="shared" si="652"/>
        <v>4</v>
      </c>
      <c r="BQ1171" s="4">
        <f t="shared" si="653"/>
        <v>6</v>
      </c>
      <c r="BR1171" s="4">
        <f t="shared" si="654"/>
        <v>4</v>
      </c>
      <c r="BS1171" s="4">
        <f t="shared" si="655"/>
        <v>4</v>
      </c>
      <c r="BT1171" s="4">
        <f t="shared" si="656"/>
        <v>4</v>
      </c>
      <c r="BU1171" s="4">
        <f t="shared" si="657"/>
        <v>4</v>
      </c>
      <c r="BV1171" s="4" t="str">
        <f t="shared" si="658"/>
        <v>0</v>
      </c>
      <c r="BW1171" s="4">
        <f t="shared" si="659"/>
        <v>6</v>
      </c>
      <c r="BX1171" s="4">
        <f t="shared" si="660"/>
        <v>0</v>
      </c>
      <c r="BY1171" s="4">
        <f t="shared" si="661"/>
        <v>0</v>
      </c>
      <c r="BZ1171" s="37">
        <f t="shared" si="662"/>
        <v>94</v>
      </c>
      <c r="CA1171" s="32" t="str">
        <f>VLOOKUP(J:J,'Agent wise'!A:C,3,0)</f>
        <v>Saran S</v>
      </c>
      <c r="CB1171" s="32">
        <f t="shared" si="663"/>
        <v>45950</v>
      </c>
      <c r="CC1171" t="str">
        <f t="shared" si="664"/>
        <v>Good</v>
      </c>
      <c r="CE1171" s="32"/>
      <c r="CJ1171">
        <f t="shared" si="665"/>
        <v>20</v>
      </c>
      <c r="CK1171">
        <f t="shared" si="666"/>
        <v>10</v>
      </c>
      <c r="CL1171">
        <f t="shared" si="667"/>
        <v>2025</v>
      </c>
    </row>
    <row r="1172" spans="1:90" ht="15" customHeight="1" x14ac:dyDescent="0.35">
      <c r="A1172" t="s">
        <v>2895</v>
      </c>
      <c r="B1172" t="s">
        <v>100</v>
      </c>
      <c r="C1172" t="s">
        <v>214</v>
      </c>
      <c r="D1172" t="s">
        <v>101</v>
      </c>
      <c r="E1172" s="32">
        <v>45950</v>
      </c>
      <c r="F1172" t="s">
        <v>222</v>
      </c>
      <c r="G1172" t="s">
        <v>2708</v>
      </c>
      <c r="H1172">
        <v>9790924613</v>
      </c>
      <c r="I1172">
        <v>157</v>
      </c>
      <c r="J1172" t="s">
        <v>575</v>
      </c>
      <c r="K1172" t="s">
        <v>71</v>
      </c>
      <c r="L1172" t="s">
        <v>72</v>
      </c>
      <c r="M1172" t="s">
        <v>59</v>
      </c>
      <c r="N1172" t="s">
        <v>59</v>
      </c>
      <c r="O1172" t="s">
        <v>61</v>
      </c>
      <c r="P1172" t="s">
        <v>61</v>
      </c>
      <c r="Q1172" t="s">
        <v>59</v>
      </c>
      <c r="R1172" t="s">
        <v>59</v>
      </c>
      <c r="S1172" t="s">
        <v>59</v>
      </c>
      <c r="T1172" t="s">
        <v>59</v>
      </c>
      <c r="U1172" t="s">
        <v>59</v>
      </c>
      <c r="V1172" t="s">
        <v>59</v>
      </c>
      <c r="W1172" t="s">
        <v>59</v>
      </c>
      <c r="X1172" t="s">
        <v>61</v>
      </c>
      <c r="Y1172" t="s">
        <v>60</v>
      </c>
      <c r="Z1172" t="s">
        <v>59</v>
      </c>
      <c r="AA1172" t="s">
        <v>60</v>
      </c>
      <c r="AB1172" t="s">
        <v>60</v>
      </c>
      <c r="AC1172" t="s">
        <v>61</v>
      </c>
      <c r="AD1172" t="s">
        <v>59</v>
      </c>
      <c r="AE1172" t="s">
        <v>59</v>
      </c>
      <c r="AF1172" t="s">
        <v>61</v>
      </c>
      <c r="AG1172" t="s">
        <v>59</v>
      </c>
      <c r="AH1172" t="s">
        <v>61</v>
      </c>
      <c r="AI1172" t="s">
        <v>61</v>
      </c>
      <c r="AJ1172" t="s">
        <v>59</v>
      </c>
      <c r="AK1172" t="s">
        <v>61</v>
      </c>
      <c r="AL1172" t="s">
        <v>60</v>
      </c>
      <c r="AM1172" t="s">
        <v>59</v>
      </c>
      <c r="AN1172" t="s">
        <v>59</v>
      </c>
      <c r="AO1172" t="s">
        <v>59</v>
      </c>
      <c r="AP1172" t="s">
        <v>2096</v>
      </c>
      <c r="AQ1172" s="1" t="s">
        <v>2896</v>
      </c>
      <c r="AR1172" t="s">
        <v>226</v>
      </c>
      <c r="AS1172" t="s">
        <v>352</v>
      </c>
      <c r="AT1172" t="s">
        <v>352</v>
      </c>
      <c r="AU1172" t="s">
        <v>299</v>
      </c>
      <c r="AW1172" s="4">
        <f t="shared" si="633"/>
        <v>6</v>
      </c>
      <c r="AX1172" s="4">
        <f t="shared" si="634"/>
        <v>4</v>
      </c>
      <c r="AY1172" s="4">
        <f t="shared" si="635"/>
        <v>4</v>
      </c>
      <c r="AZ1172" s="4">
        <f t="shared" si="636"/>
        <v>2</v>
      </c>
      <c r="BA1172" s="4">
        <f t="shared" si="637"/>
        <v>4</v>
      </c>
      <c r="BB1172" s="4">
        <f t="shared" si="638"/>
        <v>4</v>
      </c>
      <c r="BC1172" s="4">
        <f t="shared" si="639"/>
        <v>4</v>
      </c>
      <c r="BD1172" s="4">
        <f t="shared" si="640"/>
        <v>2</v>
      </c>
      <c r="BE1172" s="4">
        <f t="shared" si="641"/>
        <v>4</v>
      </c>
      <c r="BF1172" s="4">
        <f t="shared" si="642"/>
        <v>2</v>
      </c>
      <c r="BG1172" s="4">
        <f t="shared" si="643"/>
        <v>4</v>
      </c>
      <c r="BH1172" s="4">
        <f t="shared" si="644"/>
        <v>4</v>
      </c>
      <c r="BI1172" s="4" t="str">
        <f t="shared" si="645"/>
        <v>0</v>
      </c>
      <c r="BJ1172" s="4">
        <f t="shared" si="646"/>
        <v>2</v>
      </c>
      <c r="BK1172" s="4" t="str">
        <f t="shared" si="647"/>
        <v>0</v>
      </c>
      <c r="BL1172" s="4" t="str">
        <f t="shared" si="648"/>
        <v>0</v>
      </c>
      <c r="BM1172" s="4">
        <f t="shared" si="649"/>
        <v>4</v>
      </c>
      <c r="BN1172" s="4">
        <f t="shared" si="650"/>
        <v>4</v>
      </c>
      <c r="BO1172" s="4">
        <f t="shared" si="651"/>
        <v>4</v>
      </c>
      <c r="BP1172" s="4">
        <f t="shared" si="652"/>
        <v>4</v>
      </c>
      <c r="BQ1172" s="4">
        <f t="shared" si="653"/>
        <v>6</v>
      </c>
      <c r="BR1172" s="4">
        <f t="shared" si="654"/>
        <v>4</v>
      </c>
      <c r="BS1172" s="4">
        <f t="shared" si="655"/>
        <v>4</v>
      </c>
      <c r="BT1172" s="4">
        <f t="shared" si="656"/>
        <v>4</v>
      </c>
      <c r="BU1172" s="4">
        <f t="shared" si="657"/>
        <v>4</v>
      </c>
      <c r="BV1172" s="4" t="str">
        <f t="shared" si="658"/>
        <v>0</v>
      </c>
      <c r="BW1172" s="4">
        <f t="shared" si="659"/>
        <v>6</v>
      </c>
      <c r="BX1172" s="4">
        <f t="shared" si="660"/>
        <v>0</v>
      </c>
      <c r="BY1172" s="4">
        <f t="shared" si="661"/>
        <v>0</v>
      </c>
      <c r="BZ1172" s="37">
        <f t="shared" si="662"/>
        <v>90</v>
      </c>
      <c r="CA1172" s="32" t="str">
        <f>VLOOKUP(J:J,'Agent wise'!A:C,3,0)</f>
        <v>Shakeer</v>
      </c>
      <c r="CB1172" s="32">
        <f t="shared" si="663"/>
        <v>45950</v>
      </c>
      <c r="CC1172" t="str">
        <f t="shared" si="664"/>
        <v>Good</v>
      </c>
      <c r="CE1172" s="32"/>
      <c r="CJ1172">
        <f t="shared" si="665"/>
        <v>20</v>
      </c>
      <c r="CK1172">
        <f t="shared" si="666"/>
        <v>10</v>
      </c>
      <c r="CL1172">
        <f t="shared" si="667"/>
        <v>2025</v>
      </c>
    </row>
    <row r="1173" spans="1:90" ht="15" customHeight="1" x14ac:dyDescent="0.35">
      <c r="A1173" t="s">
        <v>2897</v>
      </c>
      <c r="B1173" t="s">
        <v>220</v>
      </c>
      <c r="C1173" t="s">
        <v>214</v>
      </c>
      <c r="D1173" t="s">
        <v>221</v>
      </c>
      <c r="E1173" s="32">
        <v>45950</v>
      </c>
      <c r="F1173" t="s">
        <v>222</v>
      </c>
      <c r="G1173" t="s">
        <v>2811</v>
      </c>
      <c r="H1173">
        <v>7306949771</v>
      </c>
      <c r="I1173">
        <v>148</v>
      </c>
      <c r="J1173" t="s">
        <v>223</v>
      </c>
      <c r="K1173" t="s">
        <v>57</v>
      </c>
      <c r="L1173" t="s">
        <v>58</v>
      </c>
      <c r="M1173" t="s">
        <v>59</v>
      </c>
      <c r="N1173" t="s">
        <v>59</v>
      </c>
      <c r="O1173" t="s">
        <v>59</v>
      </c>
      <c r="P1173" t="s">
        <v>59</v>
      </c>
      <c r="Q1173" t="s">
        <v>59</v>
      </c>
      <c r="R1173" t="s">
        <v>59</v>
      </c>
      <c r="S1173" t="s">
        <v>59</v>
      </c>
      <c r="T1173" t="s">
        <v>59</v>
      </c>
      <c r="U1173" t="s">
        <v>59</v>
      </c>
      <c r="V1173" t="s">
        <v>59</v>
      </c>
      <c r="W1173" t="s">
        <v>59</v>
      </c>
      <c r="X1173" t="s">
        <v>59</v>
      </c>
      <c r="Y1173" t="s">
        <v>59</v>
      </c>
      <c r="Z1173" t="s">
        <v>59</v>
      </c>
      <c r="AA1173" t="s">
        <v>59</v>
      </c>
      <c r="AB1173" t="s">
        <v>59</v>
      </c>
      <c r="AC1173" t="s">
        <v>59</v>
      </c>
      <c r="AD1173" t="s">
        <v>59</v>
      </c>
      <c r="AE1173" t="s">
        <v>59</v>
      </c>
      <c r="AF1173" t="s">
        <v>59</v>
      </c>
      <c r="AG1173" t="s">
        <v>59</v>
      </c>
      <c r="AH1173" t="s">
        <v>61</v>
      </c>
      <c r="AI1173" t="s">
        <v>61</v>
      </c>
      <c r="AJ1173" t="s">
        <v>59</v>
      </c>
      <c r="AK1173" t="s">
        <v>59</v>
      </c>
      <c r="AL1173" t="s">
        <v>59</v>
      </c>
      <c r="AM1173" t="s">
        <v>59</v>
      </c>
      <c r="AN1173" t="s">
        <v>59</v>
      </c>
      <c r="AO1173" t="s">
        <v>59</v>
      </c>
      <c r="AP1173" t="s">
        <v>219</v>
      </c>
      <c r="AQ1173" t="s">
        <v>2898</v>
      </c>
      <c r="AR1173" t="s">
        <v>226</v>
      </c>
      <c r="AS1173" t="s">
        <v>394</v>
      </c>
      <c r="AT1173" t="s">
        <v>394</v>
      </c>
      <c r="AU1173" t="s">
        <v>219</v>
      </c>
      <c r="AW1173" s="4">
        <f t="shared" si="633"/>
        <v>6</v>
      </c>
      <c r="AX1173" s="4">
        <f t="shared" si="634"/>
        <v>4</v>
      </c>
      <c r="AY1173" s="4">
        <f t="shared" si="635"/>
        <v>4</v>
      </c>
      <c r="AZ1173" s="4">
        <f t="shared" si="636"/>
        <v>2</v>
      </c>
      <c r="BA1173" s="4">
        <f t="shared" si="637"/>
        <v>4</v>
      </c>
      <c r="BB1173" s="4">
        <f t="shared" si="638"/>
        <v>4</v>
      </c>
      <c r="BC1173" s="4">
        <f t="shared" si="639"/>
        <v>4</v>
      </c>
      <c r="BD1173" s="4">
        <f t="shared" si="640"/>
        <v>2</v>
      </c>
      <c r="BE1173" s="4">
        <f t="shared" si="641"/>
        <v>4</v>
      </c>
      <c r="BF1173" s="4">
        <f t="shared" si="642"/>
        <v>2</v>
      </c>
      <c r="BG1173" s="4">
        <f t="shared" si="643"/>
        <v>4</v>
      </c>
      <c r="BH1173" s="4">
        <f t="shared" si="644"/>
        <v>4</v>
      </c>
      <c r="BI1173" s="4">
        <f t="shared" si="645"/>
        <v>4</v>
      </c>
      <c r="BJ1173" s="4">
        <f t="shared" si="646"/>
        <v>2</v>
      </c>
      <c r="BK1173" s="4">
        <f t="shared" si="647"/>
        <v>4</v>
      </c>
      <c r="BL1173" s="4">
        <f t="shared" si="648"/>
        <v>2</v>
      </c>
      <c r="BM1173" s="4">
        <f t="shared" si="649"/>
        <v>4</v>
      </c>
      <c r="BN1173" s="4">
        <f t="shared" si="650"/>
        <v>4</v>
      </c>
      <c r="BO1173" s="4">
        <f t="shared" si="651"/>
        <v>4</v>
      </c>
      <c r="BP1173" s="4">
        <f t="shared" si="652"/>
        <v>4</v>
      </c>
      <c r="BQ1173" s="4">
        <f t="shared" si="653"/>
        <v>6</v>
      </c>
      <c r="BR1173" s="4">
        <f t="shared" si="654"/>
        <v>4</v>
      </c>
      <c r="BS1173" s="4">
        <f t="shared" si="655"/>
        <v>4</v>
      </c>
      <c r="BT1173" s="4">
        <f t="shared" si="656"/>
        <v>4</v>
      </c>
      <c r="BU1173" s="4">
        <f t="shared" si="657"/>
        <v>4</v>
      </c>
      <c r="BV1173" s="4">
        <f t="shared" si="658"/>
        <v>0</v>
      </c>
      <c r="BW1173" s="4">
        <f t="shared" si="659"/>
        <v>6</v>
      </c>
      <c r="BX1173" s="4">
        <f t="shared" si="660"/>
        <v>0</v>
      </c>
      <c r="BY1173" s="4">
        <f t="shared" si="661"/>
        <v>0</v>
      </c>
      <c r="BZ1173" s="37">
        <f t="shared" si="662"/>
        <v>100</v>
      </c>
      <c r="CA1173" s="32" t="str">
        <f>VLOOKUP(J:J,'Agent wise'!A:C,3,0)</f>
        <v>Amal</v>
      </c>
      <c r="CB1173" s="32">
        <f t="shared" si="663"/>
        <v>45950</v>
      </c>
      <c r="CC1173" t="str">
        <f t="shared" si="664"/>
        <v>Excellent</v>
      </c>
      <c r="CE1173" s="32"/>
      <c r="CJ1173">
        <f t="shared" si="665"/>
        <v>20</v>
      </c>
      <c r="CK1173">
        <f t="shared" si="666"/>
        <v>10</v>
      </c>
      <c r="CL1173">
        <f t="shared" si="667"/>
        <v>2025</v>
      </c>
    </row>
    <row r="1174" spans="1:90" ht="15" customHeight="1" x14ac:dyDescent="0.35">
      <c r="A1174" t="s">
        <v>2899</v>
      </c>
      <c r="B1174" t="s">
        <v>100</v>
      </c>
      <c r="C1174" t="s">
        <v>214</v>
      </c>
      <c r="D1174" t="s">
        <v>101</v>
      </c>
      <c r="E1174" s="32">
        <v>45950</v>
      </c>
      <c r="F1174" t="s">
        <v>222</v>
      </c>
      <c r="G1174" t="s">
        <v>2708</v>
      </c>
      <c r="H1174">
        <v>9446822419</v>
      </c>
      <c r="I1174">
        <v>158</v>
      </c>
      <c r="J1174" t="s">
        <v>391</v>
      </c>
      <c r="K1174" t="s">
        <v>57</v>
      </c>
      <c r="L1174" t="s">
        <v>58</v>
      </c>
      <c r="M1174" t="s">
        <v>60</v>
      </c>
      <c r="N1174" t="s">
        <v>59</v>
      </c>
      <c r="O1174" t="s">
        <v>60</v>
      </c>
      <c r="P1174" t="s">
        <v>60</v>
      </c>
      <c r="Q1174" t="s">
        <v>60</v>
      </c>
      <c r="R1174" t="s">
        <v>60</v>
      </c>
      <c r="S1174" t="s">
        <v>60</v>
      </c>
      <c r="T1174" t="s">
        <v>59</v>
      </c>
      <c r="U1174" t="s">
        <v>60</v>
      </c>
      <c r="V1174" t="s">
        <v>59</v>
      </c>
      <c r="W1174" t="s">
        <v>59</v>
      </c>
      <c r="X1174" t="s">
        <v>61</v>
      </c>
      <c r="Y1174" t="s">
        <v>59</v>
      </c>
      <c r="Z1174" t="s">
        <v>60</v>
      </c>
      <c r="AA1174" t="s">
        <v>60</v>
      </c>
      <c r="AB1174" t="s">
        <v>61</v>
      </c>
      <c r="AC1174" t="s">
        <v>60</v>
      </c>
      <c r="AD1174" t="s">
        <v>60</v>
      </c>
      <c r="AE1174" t="s">
        <v>60</v>
      </c>
      <c r="AF1174" t="s">
        <v>61</v>
      </c>
      <c r="AG1174" t="s">
        <v>60</v>
      </c>
      <c r="AH1174" t="s">
        <v>61</v>
      </c>
      <c r="AI1174" t="s">
        <v>61</v>
      </c>
      <c r="AJ1174" t="s">
        <v>61</v>
      </c>
      <c r="AK1174" t="s">
        <v>61</v>
      </c>
      <c r="AL1174" t="s">
        <v>60</v>
      </c>
      <c r="AM1174" t="s">
        <v>59</v>
      </c>
      <c r="AN1174" t="s">
        <v>59</v>
      </c>
      <c r="AO1174" t="s">
        <v>59</v>
      </c>
      <c r="AP1174" t="s">
        <v>2900</v>
      </c>
      <c r="AQ1174" s="1" t="s">
        <v>2901</v>
      </c>
      <c r="AR1174" t="s">
        <v>226</v>
      </c>
      <c r="AS1174" t="s">
        <v>352</v>
      </c>
      <c r="AT1174" t="s">
        <v>352</v>
      </c>
      <c r="AU1174" t="s">
        <v>299</v>
      </c>
      <c r="AW1174" s="4" t="str">
        <f t="shared" si="633"/>
        <v>0</v>
      </c>
      <c r="AX1174" s="4">
        <f t="shared" si="634"/>
        <v>4</v>
      </c>
      <c r="AY1174" s="4" t="str">
        <f t="shared" si="635"/>
        <v>0</v>
      </c>
      <c r="AZ1174" s="4" t="str">
        <f t="shared" si="636"/>
        <v>0</v>
      </c>
      <c r="BA1174" s="4" t="str">
        <f t="shared" si="637"/>
        <v>0</v>
      </c>
      <c r="BB1174" s="4" t="str">
        <f t="shared" si="638"/>
        <v>0</v>
      </c>
      <c r="BC1174" s="4" t="str">
        <f t="shared" si="639"/>
        <v>0</v>
      </c>
      <c r="BD1174" s="4">
        <f t="shared" si="640"/>
        <v>2</v>
      </c>
      <c r="BE1174" s="4" t="str">
        <f t="shared" si="641"/>
        <v>0</v>
      </c>
      <c r="BF1174" s="4">
        <f t="shared" si="642"/>
        <v>2</v>
      </c>
      <c r="BG1174" s="4">
        <f t="shared" si="643"/>
        <v>4</v>
      </c>
      <c r="BH1174" s="4">
        <f t="shared" si="644"/>
        <v>4</v>
      </c>
      <c r="BI1174" s="4">
        <f t="shared" si="645"/>
        <v>4</v>
      </c>
      <c r="BJ1174" s="4" t="str">
        <f t="shared" si="646"/>
        <v>0</v>
      </c>
      <c r="BK1174" s="4" t="str">
        <f t="shared" si="647"/>
        <v>0</v>
      </c>
      <c r="BL1174" s="4">
        <f t="shared" si="648"/>
        <v>2</v>
      </c>
      <c r="BM1174" s="4" t="str">
        <f t="shared" si="649"/>
        <v>0</v>
      </c>
      <c r="BN1174" s="4" t="str">
        <f t="shared" si="650"/>
        <v>0</v>
      </c>
      <c r="BO1174" s="4" t="str">
        <f t="shared" si="651"/>
        <v>0</v>
      </c>
      <c r="BP1174" s="4">
        <f t="shared" si="652"/>
        <v>4</v>
      </c>
      <c r="BQ1174" s="4" t="str">
        <f t="shared" si="653"/>
        <v>0</v>
      </c>
      <c r="BR1174" s="4">
        <f t="shared" si="654"/>
        <v>4</v>
      </c>
      <c r="BS1174" s="4">
        <f t="shared" si="655"/>
        <v>4</v>
      </c>
      <c r="BT1174" s="4">
        <f t="shared" si="656"/>
        <v>4</v>
      </c>
      <c r="BU1174" s="4">
        <f t="shared" si="657"/>
        <v>4</v>
      </c>
      <c r="BV1174" s="4" t="str">
        <f t="shared" si="658"/>
        <v>0</v>
      </c>
      <c r="BW1174" s="4">
        <f t="shared" si="659"/>
        <v>6</v>
      </c>
      <c r="BX1174" s="4">
        <f t="shared" si="660"/>
        <v>0</v>
      </c>
      <c r="BY1174" s="4">
        <f t="shared" si="661"/>
        <v>0</v>
      </c>
      <c r="BZ1174" s="37">
        <f t="shared" si="662"/>
        <v>48</v>
      </c>
      <c r="CA1174" s="32" t="str">
        <f>VLOOKUP(J:J,'Agent wise'!A:C,3,0)</f>
        <v>Amal</v>
      </c>
      <c r="CB1174" s="32">
        <f t="shared" si="663"/>
        <v>45950</v>
      </c>
      <c r="CC1174" t="str">
        <f t="shared" si="664"/>
        <v>FC</v>
      </c>
      <c r="CE1174" s="32"/>
      <c r="CJ1174">
        <f t="shared" si="665"/>
        <v>20</v>
      </c>
      <c r="CK1174">
        <f t="shared" si="666"/>
        <v>10</v>
      </c>
      <c r="CL1174">
        <f t="shared" si="667"/>
        <v>2025</v>
      </c>
    </row>
    <row r="1175" spans="1:90" ht="15" customHeight="1" x14ac:dyDescent="0.35">
      <c r="A1175" t="s">
        <v>2902</v>
      </c>
      <c r="B1175" t="s">
        <v>250</v>
      </c>
      <c r="C1175" t="s">
        <v>214</v>
      </c>
      <c r="D1175" t="s">
        <v>251</v>
      </c>
      <c r="E1175" s="32">
        <v>45950</v>
      </c>
      <c r="F1175" t="s">
        <v>90</v>
      </c>
      <c r="G1175" t="s">
        <v>2708</v>
      </c>
      <c r="H1175">
        <v>9444489903</v>
      </c>
      <c r="I1175">
        <v>157</v>
      </c>
      <c r="J1175" t="s">
        <v>552</v>
      </c>
      <c r="K1175" t="s">
        <v>71</v>
      </c>
      <c r="L1175" t="s">
        <v>72</v>
      </c>
      <c r="M1175" t="s">
        <v>59</v>
      </c>
      <c r="N1175" t="s">
        <v>59</v>
      </c>
      <c r="O1175" t="s">
        <v>59</v>
      </c>
      <c r="P1175" t="s">
        <v>59</v>
      </c>
      <c r="Q1175" t="s">
        <v>59</v>
      </c>
      <c r="R1175" t="s">
        <v>60</v>
      </c>
      <c r="S1175" t="s">
        <v>59</v>
      </c>
      <c r="T1175" t="s">
        <v>59</v>
      </c>
      <c r="U1175" t="s">
        <v>60</v>
      </c>
      <c r="V1175" t="s">
        <v>59</v>
      </c>
      <c r="W1175" t="s">
        <v>59</v>
      </c>
      <c r="X1175" t="s">
        <v>59</v>
      </c>
      <c r="Y1175" t="s">
        <v>59</v>
      </c>
      <c r="Z1175" t="s">
        <v>59</v>
      </c>
      <c r="AA1175" t="s">
        <v>59</v>
      </c>
      <c r="AB1175" t="s">
        <v>60</v>
      </c>
      <c r="AC1175" t="s">
        <v>59</v>
      </c>
      <c r="AD1175" t="s">
        <v>59</v>
      </c>
      <c r="AE1175" t="s">
        <v>59</v>
      </c>
      <c r="AF1175" t="s">
        <v>59</v>
      </c>
      <c r="AG1175" t="s">
        <v>59</v>
      </c>
      <c r="AH1175" t="s">
        <v>61</v>
      </c>
      <c r="AI1175" t="s">
        <v>61</v>
      </c>
      <c r="AJ1175" t="s">
        <v>59</v>
      </c>
      <c r="AK1175" t="s">
        <v>59</v>
      </c>
      <c r="AL1175" t="s">
        <v>60</v>
      </c>
      <c r="AM1175" t="s">
        <v>59</v>
      </c>
      <c r="AN1175" t="s">
        <v>59</v>
      </c>
      <c r="AO1175" t="s">
        <v>59</v>
      </c>
      <c r="AP1175" t="s">
        <v>2903</v>
      </c>
      <c r="AQ1175" t="s">
        <v>1255</v>
      </c>
      <c r="AR1175" t="s">
        <v>64</v>
      </c>
      <c r="AS1175" t="s">
        <v>2390</v>
      </c>
      <c r="AT1175" t="s">
        <v>621</v>
      </c>
      <c r="AU1175" t="s">
        <v>219</v>
      </c>
      <c r="AW1175" s="4">
        <f t="shared" si="633"/>
        <v>6</v>
      </c>
      <c r="AX1175" s="4">
        <f t="shared" si="634"/>
        <v>4</v>
      </c>
      <c r="AY1175" s="4">
        <f t="shared" si="635"/>
        <v>4</v>
      </c>
      <c r="AZ1175" s="4">
        <f t="shared" si="636"/>
        <v>2</v>
      </c>
      <c r="BA1175" s="4">
        <f t="shared" si="637"/>
        <v>4</v>
      </c>
      <c r="BB1175" s="4" t="str">
        <f t="shared" si="638"/>
        <v>0</v>
      </c>
      <c r="BC1175" s="4">
        <f t="shared" si="639"/>
        <v>4</v>
      </c>
      <c r="BD1175" s="4">
        <f t="shared" si="640"/>
        <v>2</v>
      </c>
      <c r="BE1175" s="4" t="str">
        <f t="shared" si="641"/>
        <v>0</v>
      </c>
      <c r="BF1175" s="4">
        <f t="shared" si="642"/>
        <v>2</v>
      </c>
      <c r="BG1175" s="4">
        <f t="shared" si="643"/>
        <v>4</v>
      </c>
      <c r="BH1175" s="4">
        <f t="shared" si="644"/>
        <v>4</v>
      </c>
      <c r="BI1175" s="4">
        <f t="shared" si="645"/>
        <v>4</v>
      </c>
      <c r="BJ1175" s="4">
        <f t="shared" si="646"/>
        <v>2</v>
      </c>
      <c r="BK1175" s="4">
        <f t="shared" si="647"/>
        <v>4</v>
      </c>
      <c r="BL1175" s="4" t="str">
        <f t="shared" si="648"/>
        <v>0</v>
      </c>
      <c r="BM1175" s="4">
        <f t="shared" si="649"/>
        <v>4</v>
      </c>
      <c r="BN1175" s="4">
        <f t="shared" si="650"/>
        <v>4</v>
      </c>
      <c r="BO1175" s="4">
        <f t="shared" si="651"/>
        <v>4</v>
      </c>
      <c r="BP1175" s="4">
        <f t="shared" si="652"/>
        <v>4</v>
      </c>
      <c r="BQ1175" s="4">
        <f t="shared" si="653"/>
        <v>6</v>
      </c>
      <c r="BR1175" s="4">
        <f t="shared" si="654"/>
        <v>4</v>
      </c>
      <c r="BS1175" s="4">
        <f t="shared" si="655"/>
        <v>4</v>
      </c>
      <c r="BT1175" s="4">
        <f t="shared" si="656"/>
        <v>4</v>
      </c>
      <c r="BU1175" s="4">
        <f t="shared" si="657"/>
        <v>4</v>
      </c>
      <c r="BV1175" s="4" t="str">
        <f t="shared" si="658"/>
        <v>0</v>
      </c>
      <c r="BW1175" s="4">
        <f t="shared" si="659"/>
        <v>6</v>
      </c>
      <c r="BX1175" s="4">
        <f t="shared" si="660"/>
        <v>0</v>
      </c>
      <c r="BY1175" s="4">
        <f t="shared" si="661"/>
        <v>0</v>
      </c>
      <c r="BZ1175" s="37">
        <f t="shared" si="662"/>
        <v>90</v>
      </c>
      <c r="CA1175" s="32" t="str">
        <f>VLOOKUP(J:J,'Agent wise'!A:C,3,0)</f>
        <v xml:space="preserve">Shiny </v>
      </c>
      <c r="CB1175" s="32">
        <f t="shared" si="663"/>
        <v>45950</v>
      </c>
      <c r="CC1175" t="str">
        <f t="shared" si="664"/>
        <v>Good</v>
      </c>
      <c r="CE1175" s="32"/>
      <c r="CJ1175">
        <f t="shared" si="665"/>
        <v>20</v>
      </c>
      <c r="CK1175">
        <f t="shared" si="666"/>
        <v>10</v>
      </c>
      <c r="CL1175">
        <f t="shared" si="667"/>
        <v>2025</v>
      </c>
    </row>
    <row r="1176" spans="1:90" ht="15" customHeight="1" x14ac:dyDescent="0.35">
      <c r="A1176" t="s">
        <v>2904</v>
      </c>
      <c r="B1176" t="s">
        <v>250</v>
      </c>
      <c r="C1176" t="s">
        <v>214</v>
      </c>
      <c r="D1176" t="s">
        <v>251</v>
      </c>
      <c r="E1176" s="32">
        <v>45950</v>
      </c>
      <c r="F1176" t="s">
        <v>90</v>
      </c>
      <c r="G1176" t="s">
        <v>2708</v>
      </c>
      <c r="H1176">
        <v>7667138447</v>
      </c>
      <c r="I1176">
        <v>176</v>
      </c>
      <c r="J1176" t="s">
        <v>557</v>
      </c>
      <c r="K1176" t="s">
        <v>71</v>
      </c>
      <c r="L1176" t="s">
        <v>72</v>
      </c>
      <c r="M1176" t="s">
        <v>59</v>
      </c>
      <c r="N1176" t="s">
        <v>59</v>
      </c>
      <c r="O1176" t="s">
        <v>59</v>
      </c>
      <c r="P1176" t="s">
        <v>59</v>
      </c>
      <c r="Q1176" t="s">
        <v>59</v>
      </c>
      <c r="R1176" t="s">
        <v>59</v>
      </c>
      <c r="S1176" t="s">
        <v>59</v>
      </c>
      <c r="T1176" t="s">
        <v>59</v>
      </c>
      <c r="U1176" t="s">
        <v>60</v>
      </c>
      <c r="V1176" t="s">
        <v>59</v>
      </c>
      <c r="W1176" t="s">
        <v>59</v>
      </c>
      <c r="X1176" t="s">
        <v>59</v>
      </c>
      <c r="Y1176" t="s">
        <v>59</v>
      </c>
      <c r="Z1176" t="s">
        <v>59</v>
      </c>
      <c r="AA1176" t="s">
        <v>59</v>
      </c>
      <c r="AB1176" t="s">
        <v>60</v>
      </c>
      <c r="AC1176" t="s">
        <v>59</v>
      </c>
      <c r="AD1176" t="s">
        <v>59</v>
      </c>
      <c r="AE1176" t="s">
        <v>59</v>
      </c>
      <c r="AF1176" t="s">
        <v>59</v>
      </c>
      <c r="AG1176" t="s">
        <v>59</v>
      </c>
      <c r="AH1176" t="s">
        <v>61</v>
      </c>
      <c r="AI1176" t="s">
        <v>60</v>
      </c>
      <c r="AJ1176" t="s">
        <v>59</v>
      </c>
      <c r="AK1176" t="s">
        <v>59</v>
      </c>
      <c r="AL1176" t="s">
        <v>60</v>
      </c>
      <c r="AM1176" t="s">
        <v>59</v>
      </c>
      <c r="AN1176" t="s">
        <v>59</v>
      </c>
      <c r="AO1176" t="s">
        <v>59</v>
      </c>
      <c r="AP1176" t="s">
        <v>314</v>
      </c>
      <c r="AQ1176" t="s">
        <v>2905</v>
      </c>
      <c r="AR1176" t="s">
        <v>64</v>
      </c>
      <c r="AS1176" t="s">
        <v>2390</v>
      </c>
      <c r="AT1176" t="s">
        <v>2877</v>
      </c>
      <c r="AU1176" t="s">
        <v>219</v>
      </c>
      <c r="AW1176" s="4">
        <f t="shared" si="633"/>
        <v>6</v>
      </c>
      <c r="AX1176" s="4">
        <f t="shared" si="634"/>
        <v>4</v>
      </c>
      <c r="AY1176" s="4">
        <f t="shared" si="635"/>
        <v>4</v>
      </c>
      <c r="AZ1176" s="4">
        <f t="shared" si="636"/>
        <v>2</v>
      </c>
      <c r="BA1176" s="4">
        <f t="shared" si="637"/>
        <v>4</v>
      </c>
      <c r="BB1176" s="4">
        <f t="shared" si="638"/>
        <v>4</v>
      </c>
      <c r="BC1176" s="4">
        <f t="shared" si="639"/>
        <v>4</v>
      </c>
      <c r="BD1176" s="4">
        <f t="shared" si="640"/>
        <v>2</v>
      </c>
      <c r="BE1176" s="4" t="str">
        <f t="shared" si="641"/>
        <v>0</v>
      </c>
      <c r="BF1176" s="4">
        <f t="shared" si="642"/>
        <v>2</v>
      </c>
      <c r="BG1176" s="4">
        <f t="shared" si="643"/>
        <v>4</v>
      </c>
      <c r="BH1176" s="4">
        <f t="shared" si="644"/>
        <v>4</v>
      </c>
      <c r="BI1176" s="4">
        <f t="shared" si="645"/>
        <v>4</v>
      </c>
      <c r="BJ1176" s="4">
        <f t="shared" si="646"/>
        <v>2</v>
      </c>
      <c r="BK1176" s="4">
        <f t="shared" si="647"/>
        <v>4</v>
      </c>
      <c r="BL1176" s="4" t="str">
        <f t="shared" si="648"/>
        <v>0</v>
      </c>
      <c r="BM1176" s="4">
        <f t="shared" si="649"/>
        <v>4</v>
      </c>
      <c r="BN1176" s="4">
        <f t="shared" si="650"/>
        <v>4</v>
      </c>
      <c r="BO1176" s="4">
        <f t="shared" si="651"/>
        <v>4</v>
      </c>
      <c r="BP1176" s="4">
        <f t="shared" si="652"/>
        <v>4</v>
      </c>
      <c r="BQ1176" s="4">
        <f t="shared" si="653"/>
        <v>6</v>
      </c>
      <c r="BR1176" s="4">
        <f t="shared" si="654"/>
        <v>4</v>
      </c>
      <c r="BS1176" s="4" t="str">
        <f t="shared" si="655"/>
        <v>0</v>
      </c>
      <c r="BT1176" s="4">
        <f t="shared" si="656"/>
        <v>4</v>
      </c>
      <c r="BU1176" s="4">
        <f t="shared" si="657"/>
        <v>4</v>
      </c>
      <c r="BV1176" s="4" t="str">
        <f t="shared" si="658"/>
        <v>0</v>
      </c>
      <c r="BW1176" s="4">
        <f t="shared" si="659"/>
        <v>6</v>
      </c>
      <c r="BX1176" s="4">
        <f t="shared" si="660"/>
        <v>0</v>
      </c>
      <c r="BY1176" s="4">
        <f t="shared" si="661"/>
        <v>0</v>
      </c>
      <c r="BZ1176" s="37">
        <f t="shared" si="662"/>
        <v>90</v>
      </c>
      <c r="CA1176" s="32" t="str">
        <f>VLOOKUP(J:J,'Agent wise'!A:C,3,0)</f>
        <v xml:space="preserve">Shiny </v>
      </c>
      <c r="CB1176" s="32">
        <f t="shared" si="663"/>
        <v>45950</v>
      </c>
      <c r="CC1176" t="str">
        <f t="shared" si="664"/>
        <v>Good</v>
      </c>
      <c r="CE1176" s="32"/>
      <c r="CJ1176">
        <f t="shared" si="665"/>
        <v>20</v>
      </c>
      <c r="CK1176">
        <f t="shared" si="666"/>
        <v>10</v>
      </c>
      <c r="CL1176">
        <f t="shared" si="667"/>
        <v>2025</v>
      </c>
    </row>
    <row r="1177" spans="1:90" ht="15" customHeight="1" x14ac:dyDescent="0.35">
      <c r="A1177" t="s">
        <v>2906</v>
      </c>
      <c r="B1177" t="s">
        <v>250</v>
      </c>
      <c r="C1177" t="s">
        <v>214</v>
      </c>
      <c r="D1177" t="s">
        <v>251</v>
      </c>
      <c r="E1177" s="32">
        <v>45950</v>
      </c>
      <c r="F1177" t="s">
        <v>90</v>
      </c>
      <c r="G1177" t="s">
        <v>2811</v>
      </c>
      <c r="H1177">
        <v>9488837521</v>
      </c>
      <c r="I1177">
        <v>179</v>
      </c>
      <c r="J1177" t="s">
        <v>96</v>
      </c>
      <c r="K1177" t="s">
        <v>71</v>
      </c>
      <c r="L1177" t="s">
        <v>72</v>
      </c>
      <c r="M1177" t="s">
        <v>59</v>
      </c>
      <c r="N1177" t="s">
        <v>59</v>
      </c>
      <c r="O1177" t="s">
        <v>59</v>
      </c>
      <c r="P1177" t="s">
        <v>59</v>
      </c>
      <c r="Q1177" t="s">
        <v>59</v>
      </c>
      <c r="R1177" t="s">
        <v>59</v>
      </c>
      <c r="S1177" t="s">
        <v>59</v>
      </c>
      <c r="T1177" t="s">
        <v>59</v>
      </c>
      <c r="U1177" t="s">
        <v>59</v>
      </c>
      <c r="V1177" t="s">
        <v>59</v>
      </c>
      <c r="W1177" t="s">
        <v>59</v>
      </c>
      <c r="X1177" t="s">
        <v>59</v>
      </c>
      <c r="Y1177" t="s">
        <v>59</v>
      </c>
      <c r="Z1177" t="s">
        <v>59</v>
      </c>
      <c r="AA1177" t="s">
        <v>59</v>
      </c>
      <c r="AB1177" t="s">
        <v>59</v>
      </c>
      <c r="AC1177" t="s">
        <v>59</v>
      </c>
      <c r="AD1177" t="s">
        <v>59</v>
      </c>
      <c r="AE1177" t="s">
        <v>59</v>
      </c>
      <c r="AF1177" t="s">
        <v>59</v>
      </c>
      <c r="AG1177" t="s">
        <v>59</v>
      </c>
      <c r="AH1177" t="s">
        <v>61</v>
      </c>
      <c r="AI1177" t="s">
        <v>61</v>
      </c>
      <c r="AJ1177" t="s">
        <v>59</v>
      </c>
      <c r="AK1177" t="s">
        <v>59</v>
      </c>
      <c r="AL1177" t="s">
        <v>59</v>
      </c>
      <c r="AM1177" t="s">
        <v>59</v>
      </c>
      <c r="AN1177" t="s">
        <v>59</v>
      </c>
      <c r="AO1177" t="s">
        <v>59</v>
      </c>
      <c r="AP1177" t="s">
        <v>270</v>
      </c>
      <c r="AQ1177" t="s">
        <v>1255</v>
      </c>
      <c r="AR1177" t="s">
        <v>64</v>
      </c>
      <c r="AS1177" t="s">
        <v>2876</v>
      </c>
      <c r="AT1177" t="s">
        <v>621</v>
      </c>
      <c r="AU1177" t="s">
        <v>219</v>
      </c>
      <c r="AW1177" s="4">
        <f t="shared" si="633"/>
        <v>6</v>
      </c>
      <c r="AX1177" s="4">
        <f t="shared" si="634"/>
        <v>4</v>
      </c>
      <c r="AY1177" s="4">
        <f t="shared" si="635"/>
        <v>4</v>
      </c>
      <c r="AZ1177" s="4">
        <f t="shared" si="636"/>
        <v>2</v>
      </c>
      <c r="BA1177" s="4">
        <f t="shared" si="637"/>
        <v>4</v>
      </c>
      <c r="BB1177" s="4">
        <f t="shared" si="638"/>
        <v>4</v>
      </c>
      <c r="BC1177" s="4">
        <f t="shared" si="639"/>
        <v>4</v>
      </c>
      <c r="BD1177" s="4">
        <f t="shared" si="640"/>
        <v>2</v>
      </c>
      <c r="BE1177" s="4">
        <f t="shared" si="641"/>
        <v>4</v>
      </c>
      <c r="BF1177" s="4">
        <f t="shared" si="642"/>
        <v>2</v>
      </c>
      <c r="BG1177" s="4">
        <f t="shared" si="643"/>
        <v>4</v>
      </c>
      <c r="BH1177" s="4">
        <f t="shared" si="644"/>
        <v>4</v>
      </c>
      <c r="BI1177" s="4">
        <f t="shared" si="645"/>
        <v>4</v>
      </c>
      <c r="BJ1177" s="4">
        <f t="shared" si="646"/>
        <v>2</v>
      </c>
      <c r="BK1177" s="4">
        <f t="shared" si="647"/>
        <v>4</v>
      </c>
      <c r="BL1177" s="4">
        <f t="shared" si="648"/>
        <v>2</v>
      </c>
      <c r="BM1177" s="4">
        <f t="shared" si="649"/>
        <v>4</v>
      </c>
      <c r="BN1177" s="4">
        <f t="shared" si="650"/>
        <v>4</v>
      </c>
      <c r="BO1177" s="4">
        <f t="shared" si="651"/>
        <v>4</v>
      </c>
      <c r="BP1177" s="4">
        <f t="shared" si="652"/>
        <v>4</v>
      </c>
      <c r="BQ1177" s="4">
        <f t="shared" si="653"/>
        <v>6</v>
      </c>
      <c r="BR1177" s="4">
        <f t="shared" si="654"/>
        <v>4</v>
      </c>
      <c r="BS1177" s="4">
        <f t="shared" si="655"/>
        <v>4</v>
      </c>
      <c r="BT1177" s="4">
        <f t="shared" si="656"/>
        <v>4</v>
      </c>
      <c r="BU1177" s="4">
        <f t="shared" si="657"/>
        <v>4</v>
      </c>
      <c r="BV1177" s="4">
        <f t="shared" si="658"/>
        <v>0</v>
      </c>
      <c r="BW1177" s="4">
        <f t="shared" si="659"/>
        <v>6</v>
      </c>
      <c r="BX1177" s="4">
        <f t="shared" si="660"/>
        <v>0</v>
      </c>
      <c r="BY1177" s="4">
        <f t="shared" si="661"/>
        <v>0</v>
      </c>
      <c r="BZ1177" s="37">
        <f t="shared" si="662"/>
        <v>100</v>
      </c>
      <c r="CA1177" s="32" t="str">
        <f>VLOOKUP(J:J,'Agent wise'!A:C,3,0)</f>
        <v xml:space="preserve">Shiny </v>
      </c>
      <c r="CB1177" s="32">
        <f t="shared" si="663"/>
        <v>45950</v>
      </c>
      <c r="CC1177" t="str">
        <f t="shared" si="664"/>
        <v>Excellent</v>
      </c>
      <c r="CE1177" s="32"/>
      <c r="CJ1177">
        <f t="shared" si="665"/>
        <v>20</v>
      </c>
      <c r="CK1177">
        <f t="shared" si="666"/>
        <v>10</v>
      </c>
      <c r="CL1177">
        <f t="shared" si="667"/>
        <v>2025</v>
      </c>
    </row>
    <row r="1178" spans="1:90" ht="15" customHeight="1" x14ac:dyDescent="0.35">
      <c r="A1178" t="s">
        <v>2907</v>
      </c>
      <c r="B1178" t="s">
        <v>250</v>
      </c>
      <c r="C1178" t="s">
        <v>214</v>
      </c>
      <c r="D1178" t="s">
        <v>251</v>
      </c>
      <c r="E1178" s="32">
        <v>45950</v>
      </c>
      <c r="F1178" t="s">
        <v>90</v>
      </c>
      <c r="G1178" t="s">
        <v>2708</v>
      </c>
      <c r="H1178">
        <v>9944686188</v>
      </c>
      <c r="I1178">
        <v>170</v>
      </c>
      <c r="J1178" t="s">
        <v>643</v>
      </c>
      <c r="K1178" t="s">
        <v>71</v>
      </c>
      <c r="L1178" t="s">
        <v>72</v>
      </c>
      <c r="M1178" t="s">
        <v>59</v>
      </c>
      <c r="N1178" t="s">
        <v>59</v>
      </c>
      <c r="O1178" t="s">
        <v>59</v>
      </c>
      <c r="P1178" t="s">
        <v>59</v>
      </c>
      <c r="Q1178" t="s">
        <v>59</v>
      </c>
      <c r="R1178" t="s">
        <v>59</v>
      </c>
      <c r="S1178" t="s">
        <v>59</v>
      </c>
      <c r="T1178" t="s">
        <v>59</v>
      </c>
      <c r="U1178" t="s">
        <v>60</v>
      </c>
      <c r="V1178" t="s">
        <v>59</v>
      </c>
      <c r="W1178" t="s">
        <v>59</v>
      </c>
      <c r="X1178" t="s">
        <v>59</v>
      </c>
      <c r="Y1178" t="s">
        <v>59</v>
      </c>
      <c r="Z1178" t="s">
        <v>60</v>
      </c>
      <c r="AA1178" t="s">
        <v>60</v>
      </c>
      <c r="AB1178" t="s">
        <v>60</v>
      </c>
      <c r="AC1178" t="s">
        <v>59</v>
      </c>
      <c r="AD1178" t="s">
        <v>59</v>
      </c>
      <c r="AE1178" t="s">
        <v>59</v>
      </c>
      <c r="AF1178" t="s">
        <v>59</v>
      </c>
      <c r="AG1178" t="s">
        <v>59</v>
      </c>
      <c r="AH1178" t="s">
        <v>61</v>
      </c>
      <c r="AI1178" t="s">
        <v>61</v>
      </c>
      <c r="AJ1178" t="s">
        <v>59</v>
      </c>
      <c r="AK1178" t="s">
        <v>59</v>
      </c>
      <c r="AL1178" t="s">
        <v>60</v>
      </c>
      <c r="AM1178" t="s">
        <v>59</v>
      </c>
      <c r="AN1178" t="s">
        <v>59</v>
      </c>
      <c r="AO1178" t="s">
        <v>59</v>
      </c>
      <c r="AP1178" t="s">
        <v>2908</v>
      </c>
      <c r="AQ1178" t="s">
        <v>1255</v>
      </c>
      <c r="AR1178" t="s">
        <v>64</v>
      </c>
      <c r="AS1178" t="s">
        <v>2390</v>
      </c>
      <c r="AT1178" t="s">
        <v>621</v>
      </c>
      <c r="AU1178" t="s">
        <v>387</v>
      </c>
      <c r="AW1178" s="4">
        <f t="shared" si="633"/>
        <v>6</v>
      </c>
      <c r="AX1178" s="4">
        <f t="shared" si="634"/>
        <v>4</v>
      </c>
      <c r="AY1178" s="4">
        <f t="shared" si="635"/>
        <v>4</v>
      </c>
      <c r="AZ1178" s="4">
        <f t="shared" si="636"/>
        <v>2</v>
      </c>
      <c r="BA1178" s="4">
        <f t="shared" si="637"/>
        <v>4</v>
      </c>
      <c r="BB1178" s="4">
        <f t="shared" si="638"/>
        <v>4</v>
      </c>
      <c r="BC1178" s="4">
        <f t="shared" si="639"/>
        <v>4</v>
      </c>
      <c r="BD1178" s="4">
        <f t="shared" si="640"/>
        <v>2</v>
      </c>
      <c r="BE1178" s="4" t="str">
        <f t="shared" si="641"/>
        <v>0</v>
      </c>
      <c r="BF1178" s="4">
        <f t="shared" si="642"/>
        <v>2</v>
      </c>
      <c r="BG1178" s="4">
        <f t="shared" si="643"/>
        <v>4</v>
      </c>
      <c r="BH1178" s="4">
        <f t="shared" si="644"/>
        <v>4</v>
      </c>
      <c r="BI1178" s="4">
        <f t="shared" si="645"/>
        <v>4</v>
      </c>
      <c r="BJ1178" s="4" t="str">
        <f t="shared" si="646"/>
        <v>0</v>
      </c>
      <c r="BK1178" s="4" t="str">
        <f t="shared" si="647"/>
        <v>0</v>
      </c>
      <c r="BL1178" s="4" t="str">
        <f t="shared" si="648"/>
        <v>0</v>
      </c>
      <c r="BM1178" s="4">
        <f t="shared" si="649"/>
        <v>4</v>
      </c>
      <c r="BN1178" s="4">
        <f t="shared" si="650"/>
        <v>4</v>
      </c>
      <c r="BO1178" s="4">
        <f t="shared" si="651"/>
        <v>4</v>
      </c>
      <c r="BP1178" s="4">
        <f t="shared" si="652"/>
        <v>4</v>
      </c>
      <c r="BQ1178" s="4">
        <f t="shared" si="653"/>
        <v>6</v>
      </c>
      <c r="BR1178" s="4">
        <f t="shared" si="654"/>
        <v>4</v>
      </c>
      <c r="BS1178" s="4">
        <f t="shared" si="655"/>
        <v>4</v>
      </c>
      <c r="BT1178" s="4">
        <f t="shared" si="656"/>
        <v>4</v>
      </c>
      <c r="BU1178" s="4">
        <f t="shared" si="657"/>
        <v>4</v>
      </c>
      <c r="BV1178" s="4" t="str">
        <f t="shared" si="658"/>
        <v>0</v>
      </c>
      <c r="BW1178" s="4">
        <f t="shared" si="659"/>
        <v>6</v>
      </c>
      <c r="BX1178" s="4">
        <f t="shared" si="660"/>
        <v>0</v>
      </c>
      <c r="BY1178" s="4">
        <f t="shared" si="661"/>
        <v>0</v>
      </c>
      <c r="BZ1178" s="37">
        <f t="shared" si="662"/>
        <v>88</v>
      </c>
      <c r="CA1178" s="32" t="str">
        <f>VLOOKUP(J:J,'Agent wise'!A:C,3,0)</f>
        <v xml:space="preserve">Shiny </v>
      </c>
      <c r="CB1178" s="32">
        <f t="shared" si="663"/>
        <v>45950</v>
      </c>
      <c r="CC1178" t="str">
        <f t="shared" si="664"/>
        <v>Average</v>
      </c>
      <c r="CE1178" s="32"/>
      <c r="CJ1178">
        <f t="shared" si="665"/>
        <v>20</v>
      </c>
      <c r="CK1178">
        <f t="shared" si="666"/>
        <v>10</v>
      </c>
      <c r="CL1178">
        <f t="shared" si="667"/>
        <v>2025</v>
      </c>
    </row>
    <row r="1179" spans="1:90" ht="15" customHeight="1" x14ac:dyDescent="0.35">
      <c r="A1179" t="s">
        <v>2909</v>
      </c>
      <c r="B1179" t="s">
        <v>130</v>
      </c>
      <c r="C1179" t="s">
        <v>214</v>
      </c>
      <c r="D1179" t="s">
        <v>131</v>
      </c>
      <c r="E1179" s="32">
        <v>45950</v>
      </c>
      <c r="F1179" t="s">
        <v>54</v>
      </c>
      <c r="G1179" t="s">
        <v>2811</v>
      </c>
      <c r="H1179">
        <v>9188493505</v>
      </c>
      <c r="I1179">
        <v>123</v>
      </c>
      <c r="J1179" t="s">
        <v>546</v>
      </c>
      <c r="K1179" t="s">
        <v>57</v>
      </c>
      <c r="L1179" t="s">
        <v>58</v>
      </c>
      <c r="M1179" t="s">
        <v>59</v>
      </c>
      <c r="N1179" t="s">
        <v>59</v>
      </c>
      <c r="O1179" t="s">
        <v>59</v>
      </c>
      <c r="P1179" t="s">
        <v>59</v>
      </c>
      <c r="Q1179" t="s">
        <v>59</v>
      </c>
      <c r="R1179" t="s">
        <v>59</v>
      </c>
      <c r="S1179" t="s">
        <v>59</v>
      </c>
      <c r="T1179" t="s">
        <v>59</v>
      </c>
      <c r="U1179" t="s">
        <v>60</v>
      </c>
      <c r="V1179" t="s">
        <v>59</v>
      </c>
      <c r="W1179" t="s">
        <v>59</v>
      </c>
      <c r="X1179" t="s">
        <v>59</v>
      </c>
      <c r="Y1179" t="s">
        <v>59</v>
      </c>
      <c r="Z1179" t="s">
        <v>59</v>
      </c>
      <c r="AA1179" t="s">
        <v>59</v>
      </c>
      <c r="AB1179" t="s">
        <v>60</v>
      </c>
      <c r="AC1179" t="s">
        <v>61</v>
      </c>
      <c r="AD1179" t="s">
        <v>59</v>
      </c>
      <c r="AE1179" t="s">
        <v>59</v>
      </c>
      <c r="AF1179" t="s">
        <v>61</v>
      </c>
      <c r="AG1179" t="s">
        <v>59</v>
      </c>
      <c r="AH1179" t="s">
        <v>61</v>
      </c>
      <c r="AI1179" t="s">
        <v>61</v>
      </c>
      <c r="AJ1179" t="s">
        <v>59</v>
      </c>
      <c r="AK1179" t="s">
        <v>59</v>
      </c>
      <c r="AL1179" t="s">
        <v>60</v>
      </c>
      <c r="AM1179" t="s">
        <v>59</v>
      </c>
      <c r="AN1179" t="s">
        <v>59</v>
      </c>
      <c r="AO1179" t="s">
        <v>59</v>
      </c>
      <c r="AP1179" t="s">
        <v>987</v>
      </c>
      <c r="AQ1179" s="1" t="s">
        <v>2910</v>
      </c>
      <c r="AR1179" t="s">
        <v>64</v>
      </c>
      <c r="AS1179" t="s">
        <v>135</v>
      </c>
      <c r="AT1179" t="s">
        <v>162</v>
      </c>
      <c r="AU1179" t="s">
        <v>219</v>
      </c>
      <c r="AW1179" s="4">
        <f t="shared" si="633"/>
        <v>6</v>
      </c>
      <c r="AX1179" s="4">
        <f t="shared" si="634"/>
        <v>4</v>
      </c>
      <c r="AY1179" s="4">
        <f t="shared" si="635"/>
        <v>4</v>
      </c>
      <c r="AZ1179" s="4">
        <f t="shared" si="636"/>
        <v>2</v>
      </c>
      <c r="BA1179" s="4">
        <f t="shared" si="637"/>
        <v>4</v>
      </c>
      <c r="BB1179" s="4">
        <f t="shared" si="638"/>
        <v>4</v>
      </c>
      <c r="BC1179" s="4">
        <f t="shared" si="639"/>
        <v>4</v>
      </c>
      <c r="BD1179" s="4">
        <f t="shared" si="640"/>
        <v>2</v>
      </c>
      <c r="BE1179" s="4" t="str">
        <f t="shared" si="641"/>
        <v>0</v>
      </c>
      <c r="BF1179" s="4">
        <f t="shared" si="642"/>
        <v>2</v>
      </c>
      <c r="BG1179" s="4">
        <f t="shared" si="643"/>
        <v>4</v>
      </c>
      <c r="BH1179" s="4">
        <f t="shared" si="644"/>
        <v>4</v>
      </c>
      <c r="BI1179" s="4">
        <f t="shared" si="645"/>
        <v>4</v>
      </c>
      <c r="BJ1179" s="4">
        <f t="shared" si="646"/>
        <v>2</v>
      </c>
      <c r="BK1179" s="4">
        <f t="shared" si="647"/>
        <v>4</v>
      </c>
      <c r="BL1179" s="4" t="str">
        <f t="shared" si="648"/>
        <v>0</v>
      </c>
      <c r="BM1179" s="4">
        <f t="shared" si="649"/>
        <v>4</v>
      </c>
      <c r="BN1179" s="4">
        <f t="shared" si="650"/>
        <v>4</v>
      </c>
      <c r="BO1179" s="4">
        <f t="shared" si="651"/>
        <v>4</v>
      </c>
      <c r="BP1179" s="4">
        <f t="shared" si="652"/>
        <v>4</v>
      </c>
      <c r="BQ1179" s="4">
        <f t="shared" si="653"/>
        <v>6</v>
      </c>
      <c r="BR1179" s="4">
        <f t="shared" si="654"/>
        <v>4</v>
      </c>
      <c r="BS1179" s="4">
        <f t="shared" si="655"/>
        <v>4</v>
      </c>
      <c r="BT1179" s="4">
        <f t="shared" si="656"/>
        <v>4</v>
      </c>
      <c r="BU1179" s="4">
        <f t="shared" si="657"/>
        <v>4</v>
      </c>
      <c r="BV1179" s="4" t="str">
        <f t="shared" si="658"/>
        <v>0</v>
      </c>
      <c r="BW1179" s="4">
        <f t="shared" si="659"/>
        <v>6</v>
      </c>
      <c r="BX1179" s="4">
        <f t="shared" si="660"/>
        <v>0</v>
      </c>
      <c r="BY1179" s="4">
        <f t="shared" si="661"/>
        <v>0</v>
      </c>
      <c r="BZ1179" s="37">
        <f t="shared" si="662"/>
        <v>94</v>
      </c>
      <c r="CA1179" s="32" t="str">
        <f>VLOOKUP(J:J,'Agent wise'!A:C,3,0)</f>
        <v>Shakeer</v>
      </c>
      <c r="CB1179" s="32">
        <f t="shared" si="663"/>
        <v>45950</v>
      </c>
      <c r="CC1179" t="str">
        <f t="shared" si="664"/>
        <v>Good</v>
      </c>
      <c r="CE1179" s="32"/>
      <c r="CJ1179">
        <f t="shared" si="665"/>
        <v>20</v>
      </c>
      <c r="CK1179">
        <f t="shared" si="666"/>
        <v>10</v>
      </c>
      <c r="CL1179">
        <f t="shared" si="667"/>
        <v>2025</v>
      </c>
    </row>
    <row r="1180" spans="1:90" ht="15" customHeight="1" x14ac:dyDescent="0.35">
      <c r="A1180" t="s">
        <v>2911</v>
      </c>
      <c r="B1180" t="s">
        <v>130</v>
      </c>
      <c r="C1180" t="s">
        <v>214</v>
      </c>
      <c r="D1180" t="s">
        <v>131</v>
      </c>
      <c r="E1180" s="32">
        <v>45950</v>
      </c>
      <c r="F1180" t="s">
        <v>54</v>
      </c>
      <c r="G1180" t="s">
        <v>2811</v>
      </c>
      <c r="H1180">
        <v>9292959104</v>
      </c>
      <c r="I1180">
        <v>127</v>
      </c>
      <c r="J1180" t="s">
        <v>589</v>
      </c>
      <c r="K1180" t="s">
        <v>57</v>
      </c>
      <c r="L1180" t="s">
        <v>58</v>
      </c>
      <c r="M1180" t="s">
        <v>59</v>
      </c>
      <c r="N1180" t="s">
        <v>59</v>
      </c>
      <c r="O1180" t="s">
        <v>59</v>
      </c>
      <c r="P1180" t="s">
        <v>59</v>
      </c>
      <c r="Q1180" t="s">
        <v>59</v>
      </c>
      <c r="R1180" t="s">
        <v>59</v>
      </c>
      <c r="S1180" t="s">
        <v>59</v>
      </c>
      <c r="T1180" t="s">
        <v>59</v>
      </c>
      <c r="U1180" t="s">
        <v>60</v>
      </c>
      <c r="V1180" t="s">
        <v>59</v>
      </c>
      <c r="W1180" t="s">
        <v>59</v>
      </c>
      <c r="X1180" t="s">
        <v>59</v>
      </c>
      <c r="Y1180" t="s">
        <v>59</v>
      </c>
      <c r="Z1180" t="s">
        <v>59</v>
      </c>
      <c r="AA1180" t="s">
        <v>59</v>
      </c>
      <c r="AB1180" t="s">
        <v>60</v>
      </c>
      <c r="AC1180" t="s">
        <v>61</v>
      </c>
      <c r="AD1180" t="s">
        <v>59</v>
      </c>
      <c r="AE1180" t="s">
        <v>59</v>
      </c>
      <c r="AF1180" t="s">
        <v>61</v>
      </c>
      <c r="AG1180" t="s">
        <v>59</v>
      </c>
      <c r="AH1180" t="s">
        <v>61</v>
      </c>
      <c r="AI1180" t="s">
        <v>61</v>
      </c>
      <c r="AJ1180" t="s">
        <v>59</v>
      </c>
      <c r="AK1180" t="s">
        <v>59</v>
      </c>
      <c r="AL1180" t="s">
        <v>60</v>
      </c>
      <c r="AM1180" t="s">
        <v>59</v>
      </c>
      <c r="AN1180" t="s">
        <v>59</v>
      </c>
      <c r="AO1180" t="s">
        <v>59</v>
      </c>
      <c r="AP1180" t="s">
        <v>1386</v>
      </c>
      <c r="AQ1180" s="1" t="s">
        <v>851</v>
      </c>
      <c r="AR1180" t="s">
        <v>64</v>
      </c>
      <c r="AS1180" t="s">
        <v>135</v>
      </c>
      <c r="AT1180" t="s">
        <v>1251</v>
      </c>
      <c r="AU1180" t="s">
        <v>219</v>
      </c>
      <c r="AW1180" s="4">
        <f t="shared" si="633"/>
        <v>6</v>
      </c>
      <c r="AX1180" s="4">
        <f t="shared" si="634"/>
        <v>4</v>
      </c>
      <c r="AY1180" s="4">
        <f t="shared" si="635"/>
        <v>4</v>
      </c>
      <c r="AZ1180" s="4">
        <f t="shared" si="636"/>
        <v>2</v>
      </c>
      <c r="BA1180" s="4">
        <f t="shared" si="637"/>
        <v>4</v>
      </c>
      <c r="BB1180" s="4">
        <f t="shared" si="638"/>
        <v>4</v>
      </c>
      <c r="BC1180" s="4">
        <f t="shared" si="639"/>
        <v>4</v>
      </c>
      <c r="BD1180" s="4">
        <f t="shared" si="640"/>
        <v>2</v>
      </c>
      <c r="BE1180" s="4" t="str">
        <f t="shared" si="641"/>
        <v>0</v>
      </c>
      <c r="BF1180" s="4">
        <f t="shared" si="642"/>
        <v>2</v>
      </c>
      <c r="BG1180" s="4">
        <f t="shared" si="643"/>
        <v>4</v>
      </c>
      <c r="BH1180" s="4">
        <f t="shared" si="644"/>
        <v>4</v>
      </c>
      <c r="BI1180" s="4">
        <f t="shared" si="645"/>
        <v>4</v>
      </c>
      <c r="BJ1180" s="4">
        <f t="shared" si="646"/>
        <v>2</v>
      </c>
      <c r="BK1180" s="4">
        <f t="shared" si="647"/>
        <v>4</v>
      </c>
      <c r="BL1180" s="4" t="str">
        <f t="shared" si="648"/>
        <v>0</v>
      </c>
      <c r="BM1180" s="4">
        <f t="shared" si="649"/>
        <v>4</v>
      </c>
      <c r="BN1180" s="4">
        <f t="shared" si="650"/>
        <v>4</v>
      </c>
      <c r="BO1180" s="4">
        <f t="shared" si="651"/>
        <v>4</v>
      </c>
      <c r="BP1180" s="4">
        <f t="shared" si="652"/>
        <v>4</v>
      </c>
      <c r="BQ1180" s="4">
        <f t="shared" si="653"/>
        <v>6</v>
      </c>
      <c r="BR1180" s="4">
        <f t="shared" si="654"/>
        <v>4</v>
      </c>
      <c r="BS1180" s="4">
        <f t="shared" si="655"/>
        <v>4</v>
      </c>
      <c r="BT1180" s="4">
        <f t="shared" si="656"/>
        <v>4</v>
      </c>
      <c r="BU1180" s="4">
        <f t="shared" si="657"/>
        <v>4</v>
      </c>
      <c r="BV1180" s="4" t="str">
        <f t="shared" si="658"/>
        <v>0</v>
      </c>
      <c r="BW1180" s="4">
        <f t="shared" si="659"/>
        <v>6</v>
      </c>
      <c r="BX1180" s="4">
        <f t="shared" si="660"/>
        <v>0</v>
      </c>
      <c r="BY1180" s="4">
        <f t="shared" si="661"/>
        <v>0</v>
      </c>
      <c r="BZ1180" s="37">
        <f t="shared" si="662"/>
        <v>94</v>
      </c>
      <c r="CA1180" s="32" t="str">
        <f>VLOOKUP(J:J,'Agent wise'!A:C,3,0)</f>
        <v>Shakeer</v>
      </c>
      <c r="CB1180" s="32">
        <f t="shared" si="663"/>
        <v>45950</v>
      </c>
      <c r="CC1180" t="str">
        <f t="shared" si="664"/>
        <v>Good</v>
      </c>
      <c r="CE1180" s="32"/>
      <c r="CJ1180">
        <f t="shared" si="665"/>
        <v>20</v>
      </c>
      <c r="CK1180">
        <f t="shared" si="666"/>
        <v>10</v>
      </c>
      <c r="CL1180">
        <f t="shared" si="667"/>
        <v>2025</v>
      </c>
    </row>
    <row r="1181" spans="1:90" ht="15" customHeight="1" x14ac:dyDescent="0.35">
      <c r="A1181" t="s">
        <v>2912</v>
      </c>
      <c r="B1181" t="s">
        <v>130</v>
      </c>
      <c r="C1181" t="s">
        <v>214</v>
      </c>
      <c r="D1181" t="s">
        <v>131</v>
      </c>
      <c r="E1181" s="32">
        <v>45950</v>
      </c>
      <c r="F1181" t="s">
        <v>54</v>
      </c>
      <c r="G1181" t="s">
        <v>2811</v>
      </c>
      <c r="H1181">
        <v>9487409572</v>
      </c>
      <c r="I1181">
        <v>128</v>
      </c>
      <c r="J1181" t="s">
        <v>288</v>
      </c>
      <c r="K1181" t="s">
        <v>71</v>
      </c>
      <c r="L1181" t="s">
        <v>72</v>
      </c>
      <c r="M1181" t="s">
        <v>59</v>
      </c>
      <c r="N1181" t="s">
        <v>59</v>
      </c>
      <c r="O1181" t="s">
        <v>59</v>
      </c>
      <c r="P1181" t="s">
        <v>59</v>
      </c>
      <c r="Q1181" t="s">
        <v>59</v>
      </c>
      <c r="R1181" t="s">
        <v>59</v>
      </c>
      <c r="S1181" t="s">
        <v>59</v>
      </c>
      <c r="T1181" t="s">
        <v>59</v>
      </c>
      <c r="U1181" t="s">
        <v>60</v>
      </c>
      <c r="V1181" t="s">
        <v>59</v>
      </c>
      <c r="W1181" t="s">
        <v>59</v>
      </c>
      <c r="X1181" t="s">
        <v>59</v>
      </c>
      <c r="Y1181" t="s">
        <v>59</v>
      </c>
      <c r="Z1181" t="s">
        <v>59</v>
      </c>
      <c r="AA1181" t="s">
        <v>59</v>
      </c>
      <c r="AB1181" t="s">
        <v>60</v>
      </c>
      <c r="AC1181" t="s">
        <v>61</v>
      </c>
      <c r="AD1181" t="s">
        <v>59</v>
      </c>
      <c r="AE1181" t="s">
        <v>59</v>
      </c>
      <c r="AF1181" t="s">
        <v>61</v>
      </c>
      <c r="AG1181" t="s">
        <v>59</v>
      </c>
      <c r="AH1181" t="s">
        <v>61</v>
      </c>
      <c r="AI1181" t="s">
        <v>61</v>
      </c>
      <c r="AJ1181" t="s">
        <v>59</v>
      </c>
      <c r="AK1181" t="s">
        <v>59</v>
      </c>
      <c r="AL1181" t="s">
        <v>60</v>
      </c>
      <c r="AM1181" t="s">
        <v>59</v>
      </c>
      <c r="AN1181" t="s">
        <v>59</v>
      </c>
      <c r="AO1181" t="s">
        <v>59</v>
      </c>
      <c r="AP1181" t="s">
        <v>406</v>
      </c>
      <c r="AQ1181" s="1" t="s">
        <v>842</v>
      </c>
      <c r="AR1181" t="s">
        <v>64</v>
      </c>
      <c r="AS1181" t="s">
        <v>89</v>
      </c>
      <c r="AT1181" t="s">
        <v>293</v>
      </c>
      <c r="AU1181" t="s">
        <v>219</v>
      </c>
      <c r="AW1181" s="4">
        <f t="shared" si="633"/>
        <v>6</v>
      </c>
      <c r="AX1181" s="4">
        <f t="shared" si="634"/>
        <v>4</v>
      </c>
      <c r="AY1181" s="4">
        <f t="shared" si="635"/>
        <v>4</v>
      </c>
      <c r="AZ1181" s="4">
        <f t="shared" si="636"/>
        <v>2</v>
      </c>
      <c r="BA1181" s="4">
        <f t="shared" si="637"/>
        <v>4</v>
      </c>
      <c r="BB1181" s="4">
        <f t="shared" si="638"/>
        <v>4</v>
      </c>
      <c r="BC1181" s="4">
        <f t="shared" si="639"/>
        <v>4</v>
      </c>
      <c r="BD1181" s="4">
        <f t="shared" si="640"/>
        <v>2</v>
      </c>
      <c r="BE1181" s="4" t="str">
        <f t="shared" si="641"/>
        <v>0</v>
      </c>
      <c r="BF1181" s="4">
        <f t="shared" si="642"/>
        <v>2</v>
      </c>
      <c r="BG1181" s="4">
        <f t="shared" si="643"/>
        <v>4</v>
      </c>
      <c r="BH1181" s="4">
        <f t="shared" si="644"/>
        <v>4</v>
      </c>
      <c r="BI1181" s="4">
        <f t="shared" si="645"/>
        <v>4</v>
      </c>
      <c r="BJ1181" s="4">
        <f t="shared" si="646"/>
        <v>2</v>
      </c>
      <c r="BK1181" s="4">
        <f t="shared" si="647"/>
        <v>4</v>
      </c>
      <c r="BL1181" s="4" t="str">
        <f t="shared" si="648"/>
        <v>0</v>
      </c>
      <c r="BM1181" s="4">
        <f t="shared" si="649"/>
        <v>4</v>
      </c>
      <c r="BN1181" s="4">
        <f t="shared" si="650"/>
        <v>4</v>
      </c>
      <c r="BO1181" s="4">
        <f t="shared" si="651"/>
        <v>4</v>
      </c>
      <c r="BP1181" s="4">
        <f t="shared" si="652"/>
        <v>4</v>
      </c>
      <c r="BQ1181" s="4">
        <f t="shared" si="653"/>
        <v>6</v>
      </c>
      <c r="BR1181" s="4">
        <f t="shared" si="654"/>
        <v>4</v>
      </c>
      <c r="BS1181" s="4">
        <f t="shared" si="655"/>
        <v>4</v>
      </c>
      <c r="BT1181" s="4">
        <f t="shared" si="656"/>
        <v>4</v>
      </c>
      <c r="BU1181" s="4">
        <f t="shared" si="657"/>
        <v>4</v>
      </c>
      <c r="BV1181" s="4" t="str">
        <f t="shared" si="658"/>
        <v>0</v>
      </c>
      <c r="BW1181" s="4">
        <f t="shared" si="659"/>
        <v>6</v>
      </c>
      <c r="BX1181" s="4">
        <f t="shared" si="660"/>
        <v>0</v>
      </c>
      <c r="BY1181" s="4">
        <f t="shared" si="661"/>
        <v>0</v>
      </c>
      <c r="BZ1181" s="37">
        <f t="shared" si="662"/>
        <v>94</v>
      </c>
      <c r="CA1181" s="32" t="str">
        <f>VLOOKUP(J:J,'Agent wise'!A:C,3,0)</f>
        <v>Shakeer</v>
      </c>
      <c r="CB1181" s="32">
        <f t="shared" si="663"/>
        <v>45950</v>
      </c>
      <c r="CC1181" t="str">
        <f t="shared" si="664"/>
        <v>Good</v>
      </c>
      <c r="CE1181" s="32"/>
      <c r="CJ1181">
        <f t="shared" si="665"/>
        <v>20</v>
      </c>
      <c r="CK1181">
        <f t="shared" si="666"/>
        <v>10</v>
      </c>
      <c r="CL1181">
        <f t="shared" si="667"/>
        <v>2025</v>
      </c>
    </row>
    <row r="1182" spans="1:90" ht="15" customHeight="1" x14ac:dyDescent="0.35">
      <c r="A1182" t="s">
        <v>2913</v>
      </c>
      <c r="B1182" t="s">
        <v>130</v>
      </c>
      <c r="C1182" t="s">
        <v>214</v>
      </c>
      <c r="D1182" t="s">
        <v>131</v>
      </c>
      <c r="E1182" s="32">
        <v>45950</v>
      </c>
      <c r="F1182" t="s">
        <v>54</v>
      </c>
      <c r="G1182" t="s">
        <v>2811</v>
      </c>
      <c r="H1182">
        <v>8547268884</v>
      </c>
      <c r="I1182">
        <v>129</v>
      </c>
      <c r="J1182" t="s">
        <v>154</v>
      </c>
      <c r="K1182" t="s">
        <v>57</v>
      </c>
      <c r="L1182" t="s">
        <v>58</v>
      </c>
      <c r="M1182" t="s">
        <v>59</v>
      </c>
      <c r="N1182" t="s">
        <v>59</v>
      </c>
      <c r="O1182" t="s">
        <v>59</v>
      </c>
      <c r="P1182" t="s">
        <v>59</v>
      </c>
      <c r="Q1182" t="s">
        <v>59</v>
      </c>
      <c r="R1182" t="s">
        <v>59</v>
      </c>
      <c r="S1182" t="s">
        <v>59</v>
      </c>
      <c r="T1182" t="s">
        <v>59</v>
      </c>
      <c r="U1182" t="s">
        <v>60</v>
      </c>
      <c r="V1182" t="s">
        <v>59</v>
      </c>
      <c r="W1182" t="s">
        <v>59</v>
      </c>
      <c r="X1182" t="s">
        <v>61</v>
      </c>
      <c r="Y1182" t="s">
        <v>59</v>
      </c>
      <c r="Z1182" t="s">
        <v>59</v>
      </c>
      <c r="AA1182" t="s">
        <v>59</v>
      </c>
      <c r="AB1182" t="s">
        <v>60</v>
      </c>
      <c r="AC1182" t="s">
        <v>61</v>
      </c>
      <c r="AD1182" t="s">
        <v>59</v>
      </c>
      <c r="AE1182" t="s">
        <v>59</v>
      </c>
      <c r="AF1182" t="s">
        <v>61</v>
      </c>
      <c r="AG1182" t="s">
        <v>59</v>
      </c>
      <c r="AH1182" t="s">
        <v>61</v>
      </c>
      <c r="AI1182" t="s">
        <v>61</v>
      </c>
      <c r="AJ1182" t="s">
        <v>59</v>
      </c>
      <c r="AK1182" t="s">
        <v>59</v>
      </c>
      <c r="AL1182" t="s">
        <v>60</v>
      </c>
      <c r="AM1182" t="s">
        <v>59</v>
      </c>
      <c r="AN1182" t="s">
        <v>59</v>
      </c>
      <c r="AO1182" t="s">
        <v>59</v>
      </c>
      <c r="AP1182" t="s">
        <v>1119</v>
      </c>
      <c r="AQ1182" s="1" t="s">
        <v>842</v>
      </c>
      <c r="AR1182" t="s">
        <v>64</v>
      </c>
      <c r="AS1182" t="s">
        <v>89</v>
      </c>
      <c r="AT1182" t="s">
        <v>84</v>
      </c>
      <c r="AU1182" t="s">
        <v>219</v>
      </c>
      <c r="AW1182" s="4">
        <f t="shared" si="633"/>
        <v>6</v>
      </c>
      <c r="AX1182" s="4">
        <f t="shared" si="634"/>
        <v>4</v>
      </c>
      <c r="AY1182" s="4">
        <f t="shared" si="635"/>
        <v>4</v>
      </c>
      <c r="AZ1182" s="4">
        <f t="shared" si="636"/>
        <v>2</v>
      </c>
      <c r="BA1182" s="4">
        <f t="shared" si="637"/>
        <v>4</v>
      </c>
      <c r="BB1182" s="4">
        <f t="shared" si="638"/>
        <v>4</v>
      </c>
      <c r="BC1182" s="4">
        <f t="shared" si="639"/>
        <v>4</v>
      </c>
      <c r="BD1182" s="4">
        <f t="shared" si="640"/>
        <v>2</v>
      </c>
      <c r="BE1182" s="4" t="str">
        <f t="shared" si="641"/>
        <v>0</v>
      </c>
      <c r="BF1182" s="4">
        <f t="shared" si="642"/>
        <v>2</v>
      </c>
      <c r="BG1182" s="4">
        <f t="shared" si="643"/>
        <v>4</v>
      </c>
      <c r="BH1182" s="4">
        <f t="shared" si="644"/>
        <v>4</v>
      </c>
      <c r="BI1182" s="4">
        <f t="shared" si="645"/>
        <v>4</v>
      </c>
      <c r="BJ1182" s="4">
        <f t="shared" si="646"/>
        <v>2</v>
      </c>
      <c r="BK1182" s="4">
        <f t="shared" si="647"/>
        <v>4</v>
      </c>
      <c r="BL1182" s="4" t="str">
        <f t="shared" si="648"/>
        <v>0</v>
      </c>
      <c r="BM1182" s="4">
        <f t="shared" si="649"/>
        <v>4</v>
      </c>
      <c r="BN1182" s="4">
        <f t="shared" si="650"/>
        <v>4</v>
      </c>
      <c r="BO1182" s="4">
        <f t="shared" si="651"/>
        <v>4</v>
      </c>
      <c r="BP1182" s="4">
        <f t="shared" si="652"/>
        <v>4</v>
      </c>
      <c r="BQ1182" s="4">
        <f t="shared" si="653"/>
        <v>6</v>
      </c>
      <c r="BR1182" s="4">
        <f t="shared" si="654"/>
        <v>4</v>
      </c>
      <c r="BS1182" s="4">
        <f t="shared" si="655"/>
        <v>4</v>
      </c>
      <c r="BT1182" s="4">
        <f t="shared" si="656"/>
        <v>4</v>
      </c>
      <c r="BU1182" s="4">
        <f t="shared" si="657"/>
        <v>4</v>
      </c>
      <c r="BV1182" s="4" t="str">
        <f t="shared" si="658"/>
        <v>0</v>
      </c>
      <c r="BW1182" s="4">
        <f t="shared" si="659"/>
        <v>6</v>
      </c>
      <c r="BX1182" s="4">
        <f t="shared" si="660"/>
        <v>0</v>
      </c>
      <c r="BY1182" s="4">
        <f t="shared" si="661"/>
        <v>0</v>
      </c>
      <c r="BZ1182" s="37">
        <f t="shared" si="662"/>
        <v>94</v>
      </c>
      <c r="CA1182" s="32" t="str">
        <f>VLOOKUP(J:J,'Agent wise'!A:C,3,0)</f>
        <v>Shakeer</v>
      </c>
      <c r="CB1182" s="32">
        <f t="shared" si="663"/>
        <v>45950</v>
      </c>
      <c r="CC1182" t="str">
        <f t="shared" si="664"/>
        <v>Good</v>
      </c>
      <c r="CE1182" s="32"/>
      <c r="CJ1182">
        <f t="shared" si="665"/>
        <v>20</v>
      </c>
      <c r="CK1182">
        <f t="shared" si="666"/>
        <v>10</v>
      </c>
      <c r="CL1182">
        <f t="shared" si="667"/>
        <v>2025</v>
      </c>
    </row>
    <row r="1183" spans="1:90" ht="15" customHeight="1" x14ac:dyDescent="0.35">
      <c r="A1183" t="s">
        <v>2914</v>
      </c>
      <c r="B1183" t="s">
        <v>177</v>
      </c>
      <c r="C1183" t="s">
        <v>214</v>
      </c>
      <c r="D1183" t="s">
        <v>178</v>
      </c>
      <c r="E1183" s="32">
        <v>45951</v>
      </c>
      <c r="F1183" t="s">
        <v>90</v>
      </c>
      <c r="G1183" t="s">
        <v>2811</v>
      </c>
      <c r="H1183">
        <v>9442506170</v>
      </c>
      <c r="I1183">
        <v>141</v>
      </c>
      <c r="J1183" t="s">
        <v>643</v>
      </c>
      <c r="K1183" t="s">
        <v>71</v>
      </c>
      <c r="L1183" t="s">
        <v>72</v>
      </c>
      <c r="M1183" t="s">
        <v>59</v>
      </c>
      <c r="N1183" t="s">
        <v>59</v>
      </c>
      <c r="O1183" t="s">
        <v>59</v>
      </c>
      <c r="P1183" t="s">
        <v>59</v>
      </c>
      <c r="Q1183" t="s">
        <v>59</v>
      </c>
      <c r="R1183" t="s">
        <v>59</v>
      </c>
      <c r="S1183" t="s">
        <v>59</v>
      </c>
      <c r="T1183" t="s">
        <v>59</v>
      </c>
      <c r="U1183" t="s">
        <v>59</v>
      </c>
      <c r="V1183" t="s">
        <v>59</v>
      </c>
      <c r="W1183" t="s">
        <v>59</v>
      </c>
      <c r="X1183" t="s">
        <v>59</v>
      </c>
      <c r="Y1183" t="s">
        <v>59</v>
      </c>
      <c r="Z1183" t="s">
        <v>59</v>
      </c>
      <c r="AA1183" t="s">
        <v>59</v>
      </c>
      <c r="AB1183" t="s">
        <v>59</v>
      </c>
      <c r="AC1183" t="s">
        <v>59</v>
      </c>
      <c r="AD1183" t="s">
        <v>59</v>
      </c>
      <c r="AE1183" t="s">
        <v>59</v>
      </c>
      <c r="AF1183" t="s">
        <v>59</v>
      </c>
      <c r="AG1183" t="s">
        <v>59</v>
      </c>
      <c r="AH1183" t="s">
        <v>61</v>
      </c>
      <c r="AI1183" t="s">
        <v>61</v>
      </c>
      <c r="AJ1183" t="s">
        <v>59</v>
      </c>
      <c r="AK1183" t="s">
        <v>59</v>
      </c>
      <c r="AL1183" t="s">
        <v>59</v>
      </c>
      <c r="AM1183" t="s">
        <v>59</v>
      </c>
      <c r="AN1183" t="s">
        <v>59</v>
      </c>
      <c r="AO1183" t="s">
        <v>59</v>
      </c>
      <c r="AP1183" t="s">
        <v>270</v>
      </c>
      <c r="AQ1183" s="1" t="s">
        <v>201</v>
      </c>
      <c r="AR1183" t="s">
        <v>64</v>
      </c>
      <c r="AS1183" t="s">
        <v>94</v>
      </c>
      <c r="AT1183" t="s">
        <v>95</v>
      </c>
      <c r="AU1183" t="s">
        <v>219</v>
      </c>
      <c r="AW1183" s="4">
        <f t="shared" si="633"/>
        <v>6</v>
      </c>
      <c r="AX1183" s="4">
        <f t="shared" si="634"/>
        <v>4</v>
      </c>
      <c r="AY1183" s="4">
        <f t="shared" si="635"/>
        <v>4</v>
      </c>
      <c r="AZ1183" s="4">
        <f t="shared" si="636"/>
        <v>2</v>
      </c>
      <c r="BA1183" s="4">
        <f t="shared" si="637"/>
        <v>4</v>
      </c>
      <c r="BB1183" s="4">
        <f t="shared" si="638"/>
        <v>4</v>
      </c>
      <c r="BC1183" s="4">
        <f t="shared" si="639"/>
        <v>4</v>
      </c>
      <c r="BD1183" s="4">
        <f t="shared" si="640"/>
        <v>2</v>
      </c>
      <c r="BE1183" s="4">
        <f t="shared" si="641"/>
        <v>4</v>
      </c>
      <c r="BF1183" s="4">
        <f t="shared" si="642"/>
        <v>2</v>
      </c>
      <c r="BG1183" s="4">
        <f t="shared" si="643"/>
        <v>4</v>
      </c>
      <c r="BH1183" s="4">
        <f t="shared" si="644"/>
        <v>4</v>
      </c>
      <c r="BI1183" s="4">
        <f t="shared" si="645"/>
        <v>4</v>
      </c>
      <c r="BJ1183" s="4">
        <f t="shared" si="646"/>
        <v>2</v>
      </c>
      <c r="BK1183" s="4">
        <f t="shared" si="647"/>
        <v>4</v>
      </c>
      <c r="BL1183" s="4">
        <f t="shared" si="648"/>
        <v>2</v>
      </c>
      <c r="BM1183" s="4">
        <f t="shared" si="649"/>
        <v>4</v>
      </c>
      <c r="BN1183" s="4">
        <f t="shared" si="650"/>
        <v>4</v>
      </c>
      <c r="BO1183" s="4">
        <f t="shared" si="651"/>
        <v>4</v>
      </c>
      <c r="BP1183" s="4">
        <f t="shared" si="652"/>
        <v>4</v>
      </c>
      <c r="BQ1183" s="4">
        <f t="shared" si="653"/>
        <v>6</v>
      </c>
      <c r="BR1183" s="4">
        <f t="shared" si="654"/>
        <v>4</v>
      </c>
      <c r="BS1183" s="4">
        <f t="shared" si="655"/>
        <v>4</v>
      </c>
      <c r="BT1183" s="4">
        <f t="shared" si="656"/>
        <v>4</v>
      </c>
      <c r="BU1183" s="4">
        <f t="shared" si="657"/>
        <v>4</v>
      </c>
      <c r="BV1183" s="4">
        <f t="shared" si="658"/>
        <v>0</v>
      </c>
      <c r="BW1183" s="4">
        <f t="shared" si="659"/>
        <v>6</v>
      </c>
      <c r="BX1183" s="4">
        <f t="shared" si="660"/>
        <v>0</v>
      </c>
      <c r="BY1183" s="4">
        <f t="shared" si="661"/>
        <v>0</v>
      </c>
      <c r="BZ1183" s="37">
        <f t="shared" si="662"/>
        <v>100</v>
      </c>
      <c r="CA1183" s="32" t="str">
        <f>VLOOKUP(J:J,'Agent wise'!A:C,3,0)</f>
        <v xml:space="preserve">Shiny </v>
      </c>
      <c r="CB1183" s="32">
        <f t="shared" si="663"/>
        <v>45951</v>
      </c>
      <c r="CC1183" t="str">
        <f t="shared" si="664"/>
        <v>Excellent</v>
      </c>
      <c r="CE1183" s="32"/>
      <c r="CJ1183">
        <f t="shared" si="665"/>
        <v>21</v>
      </c>
      <c r="CK1183">
        <f t="shared" si="666"/>
        <v>10</v>
      </c>
      <c r="CL1183">
        <f t="shared" si="667"/>
        <v>2025</v>
      </c>
    </row>
    <row r="1184" spans="1:90" ht="15" customHeight="1" x14ac:dyDescent="0.35">
      <c r="A1184" t="s">
        <v>2916</v>
      </c>
      <c r="B1184" t="s">
        <v>177</v>
      </c>
      <c r="C1184" t="s">
        <v>214</v>
      </c>
      <c r="D1184" t="s">
        <v>178</v>
      </c>
      <c r="E1184" s="32">
        <v>45951</v>
      </c>
      <c r="F1184" t="s">
        <v>54</v>
      </c>
      <c r="G1184" t="s">
        <v>2811</v>
      </c>
      <c r="H1184">
        <v>9846642749</v>
      </c>
      <c r="I1184">
        <v>132</v>
      </c>
      <c r="J1184" t="s">
        <v>464</v>
      </c>
      <c r="K1184" t="s">
        <v>57</v>
      </c>
      <c r="L1184" t="s">
        <v>58</v>
      </c>
      <c r="M1184" t="s">
        <v>59</v>
      </c>
      <c r="N1184" t="s">
        <v>59</v>
      </c>
      <c r="O1184" t="s">
        <v>59</v>
      </c>
      <c r="P1184" t="s">
        <v>59</v>
      </c>
      <c r="Q1184" t="s">
        <v>59</v>
      </c>
      <c r="R1184" t="s">
        <v>59</v>
      </c>
      <c r="S1184" t="s">
        <v>59</v>
      </c>
      <c r="T1184" t="s">
        <v>59</v>
      </c>
      <c r="U1184" t="s">
        <v>59</v>
      </c>
      <c r="V1184" t="s">
        <v>59</v>
      </c>
      <c r="W1184" t="s">
        <v>59</v>
      </c>
      <c r="X1184" t="s">
        <v>59</v>
      </c>
      <c r="Y1184" t="s">
        <v>59</v>
      </c>
      <c r="Z1184" t="s">
        <v>59</v>
      </c>
      <c r="AA1184" t="s">
        <v>59</v>
      </c>
      <c r="AB1184" t="s">
        <v>59</v>
      </c>
      <c r="AC1184" t="s">
        <v>61</v>
      </c>
      <c r="AD1184" t="s">
        <v>59</v>
      </c>
      <c r="AE1184" t="s">
        <v>59</v>
      </c>
      <c r="AF1184" t="s">
        <v>59</v>
      </c>
      <c r="AG1184" t="s">
        <v>59</v>
      </c>
      <c r="AH1184" t="s">
        <v>61</v>
      </c>
      <c r="AI1184" t="s">
        <v>61</v>
      </c>
      <c r="AJ1184" t="s">
        <v>59</v>
      </c>
      <c r="AK1184" t="s">
        <v>59</v>
      </c>
      <c r="AL1184" t="s">
        <v>60</v>
      </c>
      <c r="AM1184" t="s">
        <v>59</v>
      </c>
      <c r="AN1184" t="s">
        <v>59</v>
      </c>
      <c r="AO1184" t="s">
        <v>59</v>
      </c>
      <c r="AP1184" t="s">
        <v>37</v>
      </c>
      <c r="AQ1184" t="s">
        <v>2917</v>
      </c>
      <c r="AR1184" t="s">
        <v>64</v>
      </c>
      <c r="AS1184" t="s">
        <v>198</v>
      </c>
      <c r="AT1184" t="s">
        <v>207</v>
      </c>
      <c r="AU1184" t="s">
        <v>219</v>
      </c>
      <c r="AW1184" s="4">
        <f t="shared" si="633"/>
        <v>6</v>
      </c>
      <c r="AX1184" s="4">
        <f t="shared" si="634"/>
        <v>4</v>
      </c>
      <c r="AY1184" s="4">
        <f t="shared" si="635"/>
        <v>4</v>
      </c>
      <c r="AZ1184" s="4">
        <f t="shared" si="636"/>
        <v>2</v>
      </c>
      <c r="BA1184" s="4">
        <f t="shared" si="637"/>
        <v>4</v>
      </c>
      <c r="BB1184" s="4">
        <f t="shared" si="638"/>
        <v>4</v>
      </c>
      <c r="BC1184" s="4">
        <f t="shared" si="639"/>
        <v>4</v>
      </c>
      <c r="BD1184" s="4">
        <f t="shared" si="640"/>
        <v>2</v>
      </c>
      <c r="BE1184" s="4">
        <f t="shared" si="641"/>
        <v>4</v>
      </c>
      <c r="BF1184" s="4">
        <f t="shared" si="642"/>
        <v>2</v>
      </c>
      <c r="BG1184" s="4">
        <f t="shared" si="643"/>
        <v>4</v>
      </c>
      <c r="BH1184" s="4">
        <f t="shared" si="644"/>
        <v>4</v>
      </c>
      <c r="BI1184" s="4">
        <f t="shared" si="645"/>
        <v>4</v>
      </c>
      <c r="BJ1184" s="4">
        <f t="shared" si="646"/>
        <v>2</v>
      </c>
      <c r="BK1184" s="4">
        <f t="shared" si="647"/>
        <v>4</v>
      </c>
      <c r="BL1184" s="4">
        <f t="shared" si="648"/>
        <v>2</v>
      </c>
      <c r="BM1184" s="4">
        <f t="shared" si="649"/>
        <v>4</v>
      </c>
      <c r="BN1184" s="4">
        <f t="shared" si="650"/>
        <v>4</v>
      </c>
      <c r="BO1184" s="4">
        <f t="shared" si="651"/>
        <v>4</v>
      </c>
      <c r="BP1184" s="4">
        <f t="shared" si="652"/>
        <v>4</v>
      </c>
      <c r="BQ1184" s="4">
        <f t="shared" si="653"/>
        <v>6</v>
      </c>
      <c r="BR1184" s="4">
        <f t="shared" si="654"/>
        <v>4</v>
      </c>
      <c r="BS1184" s="4">
        <f t="shared" si="655"/>
        <v>4</v>
      </c>
      <c r="BT1184" s="4">
        <f t="shared" si="656"/>
        <v>4</v>
      </c>
      <c r="BU1184" s="4">
        <f t="shared" si="657"/>
        <v>4</v>
      </c>
      <c r="BV1184" s="4" t="str">
        <f t="shared" si="658"/>
        <v>0</v>
      </c>
      <c r="BW1184" s="4">
        <f t="shared" si="659"/>
        <v>6</v>
      </c>
      <c r="BX1184" s="4">
        <f t="shared" si="660"/>
        <v>0</v>
      </c>
      <c r="BY1184" s="4">
        <f t="shared" si="661"/>
        <v>0</v>
      </c>
      <c r="BZ1184" s="37">
        <f t="shared" si="662"/>
        <v>100</v>
      </c>
      <c r="CA1184" s="32" t="str">
        <f>VLOOKUP(J:J,'Agent wise'!A:C,3,0)</f>
        <v>Adharsh</v>
      </c>
      <c r="CB1184" s="32">
        <f t="shared" si="663"/>
        <v>45951</v>
      </c>
      <c r="CC1184" t="str">
        <f t="shared" si="664"/>
        <v>Excellent</v>
      </c>
      <c r="CE1184" s="32"/>
      <c r="CJ1184">
        <f t="shared" si="665"/>
        <v>21</v>
      </c>
      <c r="CK1184">
        <f t="shared" si="666"/>
        <v>10</v>
      </c>
      <c r="CL1184">
        <f t="shared" si="667"/>
        <v>2025</v>
      </c>
    </row>
    <row r="1185" spans="1:90" ht="15" customHeight="1" x14ac:dyDescent="0.35">
      <c r="A1185" t="s">
        <v>2918</v>
      </c>
      <c r="B1185" t="s">
        <v>177</v>
      </c>
      <c r="C1185" t="s">
        <v>214</v>
      </c>
      <c r="D1185" t="s">
        <v>178</v>
      </c>
      <c r="E1185" s="32">
        <v>45951</v>
      </c>
      <c r="F1185" t="s">
        <v>54</v>
      </c>
      <c r="G1185" t="s">
        <v>2811</v>
      </c>
      <c r="H1185">
        <v>9037584527</v>
      </c>
      <c r="I1185">
        <v>130</v>
      </c>
      <c r="J1185" t="s">
        <v>640</v>
      </c>
      <c r="K1185" t="s">
        <v>57</v>
      </c>
      <c r="L1185" t="s">
        <v>58</v>
      </c>
      <c r="M1185" t="s">
        <v>59</v>
      </c>
      <c r="N1185" t="s">
        <v>59</v>
      </c>
      <c r="O1185" t="s">
        <v>59</v>
      </c>
      <c r="P1185" t="s">
        <v>59</v>
      </c>
      <c r="Q1185" t="s">
        <v>59</v>
      </c>
      <c r="R1185" t="s">
        <v>59</v>
      </c>
      <c r="S1185" t="s">
        <v>59</v>
      </c>
      <c r="T1185" t="s">
        <v>59</v>
      </c>
      <c r="U1185" t="s">
        <v>59</v>
      </c>
      <c r="V1185" t="s">
        <v>59</v>
      </c>
      <c r="W1185" t="s">
        <v>59</v>
      </c>
      <c r="X1185" t="s">
        <v>60</v>
      </c>
      <c r="Y1185" t="s">
        <v>59</v>
      </c>
      <c r="Z1185" t="s">
        <v>59</v>
      </c>
      <c r="AA1185" t="s">
        <v>59</v>
      </c>
      <c r="AB1185" t="s">
        <v>59</v>
      </c>
      <c r="AC1185" t="s">
        <v>61</v>
      </c>
      <c r="AD1185" t="s">
        <v>59</v>
      </c>
      <c r="AE1185" t="s">
        <v>60</v>
      </c>
      <c r="AF1185" t="s">
        <v>59</v>
      </c>
      <c r="AG1185" t="s">
        <v>59</v>
      </c>
      <c r="AH1185" t="s">
        <v>61</v>
      </c>
      <c r="AI1185" t="s">
        <v>61</v>
      </c>
      <c r="AJ1185" t="s">
        <v>59</v>
      </c>
      <c r="AK1185" t="s">
        <v>59</v>
      </c>
      <c r="AL1185" t="s">
        <v>59</v>
      </c>
      <c r="AM1185" t="s">
        <v>59</v>
      </c>
      <c r="AN1185" t="s">
        <v>59</v>
      </c>
      <c r="AO1185" t="s">
        <v>59</v>
      </c>
      <c r="AP1185" t="s">
        <v>2919</v>
      </c>
      <c r="AQ1185" t="s">
        <v>1878</v>
      </c>
      <c r="AR1185" t="s">
        <v>64</v>
      </c>
      <c r="AS1185" t="s">
        <v>89</v>
      </c>
      <c r="AT1185" t="s">
        <v>293</v>
      </c>
      <c r="AU1185" t="s">
        <v>448</v>
      </c>
      <c r="AW1185" s="4">
        <f t="shared" si="633"/>
        <v>6</v>
      </c>
      <c r="AX1185" s="4">
        <f t="shared" si="634"/>
        <v>4</v>
      </c>
      <c r="AY1185" s="4">
        <f t="shared" si="635"/>
        <v>4</v>
      </c>
      <c r="AZ1185" s="4">
        <f t="shared" si="636"/>
        <v>2</v>
      </c>
      <c r="BA1185" s="4">
        <f t="shared" si="637"/>
        <v>4</v>
      </c>
      <c r="BB1185" s="4">
        <f t="shared" si="638"/>
        <v>4</v>
      </c>
      <c r="BC1185" s="4">
        <f t="shared" si="639"/>
        <v>4</v>
      </c>
      <c r="BD1185" s="4">
        <f t="shared" si="640"/>
        <v>2</v>
      </c>
      <c r="BE1185" s="4">
        <f t="shared" si="641"/>
        <v>4</v>
      </c>
      <c r="BF1185" s="4">
        <f t="shared" si="642"/>
        <v>2</v>
      </c>
      <c r="BG1185" s="4">
        <f t="shared" si="643"/>
        <v>4</v>
      </c>
      <c r="BH1185" s="4" t="str">
        <f t="shared" si="644"/>
        <v>0</v>
      </c>
      <c r="BI1185" s="4">
        <f t="shared" si="645"/>
        <v>4</v>
      </c>
      <c r="BJ1185" s="4">
        <f t="shared" si="646"/>
        <v>2</v>
      </c>
      <c r="BK1185" s="4">
        <f t="shared" si="647"/>
        <v>4</v>
      </c>
      <c r="BL1185" s="4">
        <f t="shared" si="648"/>
        <v>2</v>
      </c>
      <c r="BM1185" s="4">
        <f t="shared" si="649"/>
        <v>4</v>
      </c>
      <c r="BN1185" s="4">
        <f t="shared" si="650"/>
        <v>4</v>
      </c>
      <c r="BO1185" s="4" t="str">
        <f t="shared" si="651"/>
        <v>0</v>
      </c>
      <c r="BP1185" s="4">
        <f t="shared" si="652"/>
        <v>4</v>
      </c>
      <c r="BQ1185" s="4">
        <f t="shared" si="653"/>
        <v>6</v>
      </c>
      <c r="BR1185" s="4">
        <f t="shared" si="654"/>
        <v>4</v>
      </c>
      <c r="BS1185" s="4">
        <f t="shared" si="655"/>
        <v>4</v>
      </c>
      <c r="BT1185" s="4">
        <f t="shared" si="656"/>
        <v>4</v>
      </c>
      <c r="BU1185" s="4">
        <f t="shared" si="657"/>
        <v>4</v>
      </c>
      <c r="BV1185" s="4">
        <f t="shared" si="658"/>
        <v>0</v>
      </c>
      <c r="BW1185" s="4">
        <f t="shared" si="659"/>
        <v>6</v>
      </c>
      <c r="BX1185" s="4">
        <f t="shared" si="660"/>
        <v>0</v>
      </c>
      <c r="BY1185" s="4">
        <f t="shared" si="661"/>
        <v>0</v>
      </c>
      <c r="BZ1185" s="37">
        <f t="shared" si="662"/>
        <v>92</v>
      </c>
      <c r="CA1185" s="32" t="str">
        <f>VLOOKUP(J:J,'Agent wise'!A:C,3,0)</f>
        <v>Adharsh</v>
      </c>
      <c r="CB1185" s="32">
        <f t="shared" si="663"/>
        <v>45951</v>
      </c>
      <c r="CC1185" t="str">
        <f t="shared" si="664"/>
        <v>Good</v>
      </c>
      <c r="CE1185" s="32"/>
      <c r="CJ1185">
        <f t="shared" si="665"/>
        <v>21</v>
      </c>
      <c r="CK1185">
        <f t="shared" si="666"/>
        <v>10</v>
      </c>
      <c r="CL1185">
        <f t="shared" si="667"/>
        <v>2025</v>
      </c>
    </row>
    <row r="1186" spans="1:90" ht="15" customHeight="1" x14ac:dyDescent="0.35">
      <c r="A1186" t="s">
        <v>2920</v>
      </c>
      <c r="B1186" t="s">
        <v>177</v>
      </c>
      <c r="C1186" t="s">
        <v>214</v>
      </c>
      <c r="D1186" t="s">
        <v>178</v>
      </c>
      <c r="E1186" s="32">
        <v>45951</v>
      </c>
      <c r="F1186" t="s">
        <v>54</v>
      </c>
      <c r="G1186" t="s">
        <v>2811</v>
      </c>
      <c r="H1186">
        <v>9943708110</v>
      </c>
      <c r="I1186">
        <v>135</v>
      </c>
      <c r="J1186" t="s">
        <v>466</v>
      </c>
      <c r="K1186" t="s">
        <v>71</v>
      </c>
      <c r="L1186" t="s">
        <v>72</v>
      </c>
      <c r="M1186" t="s">
        <v>59</v>
      </c>
      <c r="N1186" t="s">
        <v>59</v>
      </c>
      <c r="O1186" t="s">
        <v>59</v>
      </c>
      <c r="P1186" t="s">
        <v>59</v>
      </c>
      <c r="Q1186" t="s">
        <v>59</v>
      </c>
      <c r="R1186" t="s">
        <v>59</v>
      </c>
      <c r="S1186" t="s">
        <v>59</v>
      </c>
      <c r="T1186" t="s">
        <v>59</v>
      </c>
      <c r="U1186" t="s">
        <v>59</v>
      </c>
      <c r="V1186" t="s">
        <v>59</v>
      </c>
      <c r="W1186" t="s">
        <v>59</v>
      </c>
      <c r="X1186" t="s">
        <v>60</v>
      </c>
      <c r="Y1186" t="s">
        <v>59</v>
      </c>
      <c r="Z1186" t="s">
        <v>59</v>
      </c>
      <c r="AA1186" t="s">
        <v>59</v>
      </c>
      <c r="AB1186" t="s">
        <v>59</v>
      </c>
      <c r="AC1186" t="s">
        <v>61</v>
      </c>
      <c r="AD1186" t="s">
        <v>59</v>
      </c>
      <c r="AE1186" t="s">
        <v>59</v>
      </c>
      <c r="AF1186" t="s">
        <v>59</v>
      </c>
      <c r="AG1186" t="s">
        <v>59</v>
      </c>
      <c r="AH1186" t="s">
        <v>61</v>
      </c>
      <c r="AI1186" t="s">
        <v>61</v>
      </c>
      <c r="AJ1186" t="s">
        <v>59</v>
      </c>
      <c r="AK1186" t="s">
        <v>59</v>
      </c>
      <c r="AL1186" t="s">
        <v>59</v>
      </c>
      <c r="AM1186" t="s">
        <v>59</v>
      </c>
      <c r="AN1186" t="s">
        <v>59</v>
      </c>
      <c r="AO1186" t="s">
        <v>59</v>
      </c>
      <c r="AP1186" t="s">
        <v>2921</v>
      </c>
      <c r="AQ1186" t="s">
        <v>2922</v>
      </c>
      <c r="AR1186" t="s">
        <v>64</v>
      </c>
      <c r="AS1186" t="s">
        <v>2923</v>
      </c>
      <c r="AT1186" t="s">
        <v>2924</v>
      </c>
      <c r="AU1186" t="s">
        <v>299</v>
      </c>
      <c r="AW1186" s="4">
        <f t="shared" ref="AW1186:AW1248" si="668">IF(OR(M1186="YES", M1186="Not Applicable"), AW$1, "0")</f>
        <v>6</v>
      </c>
      <c r="AX1186" s="4">
        <f t="shared" ref="AX1186:AX1248" si="669">IF(OR(N1186="YES", N1186="Not Applicable"), AX$1, "0")</f>
        <v>4</v>
      </c>
      <c r="AY1186" s="4">
        <f t="shared" ref="AY1186:AY1248" si="670">IF(OR(O1186="YES", O1186="Not Applicable"), AY$1, "0")</f>
        <v>4</v>
      </c>
      <c r="AZ1186" s="4">
        <f t="shared" ref="AZ1186:AZ1248" si="671">IF(OR(P1186="YES", P1186="Not Applicable"), AZ$1, "0")</f>
        <v>2</v>
      </c>
      <c r="BA1186" s="4">
        <f t="shared" ref="BA1186:BA1248" si="672">IF(OR(Q1186="YES", Q1186="Not Applicable"), BA$1, "0")</f>
        <v>4</v>
      </c>
      <c r="BB1186" s="4">
        <f t="shared" ref="BB1186:BB1248" si="673">IF(OR(R1186="YES", R1186="Not Applicable"), BB$1, "0")</f>
        <v>4</v>
      </c>
      <c r="BC1186" s="4">
        <f t="shared" ref="BC1186:BC1248" si="674">IF(OR(S1186="YES", S1186="Not Applicable"), BC$1, "0")</f>
        <v>4</v>
      </c>
      <c r="BD1186" s="4">
        <f t="shared" ref="BD1186:BD1248" si="675">IF(OR(T1186="YES", T1186="Not Applicable"), BD$1, "0")</f>
        <v>2</v>
      </c>
      <c r="BE1186" s="4">
        <f t="shared" ref="BE1186:BE1248" si="676">IF(OR(U1186="YES", U1186="Not Applicable"), BE$1, "0")</f>
        <v>4</v>
      </c>
      <c r="BF1186" s="4">
        <f t="shared" ref="BF1186:BF1248" si="677">IF(OR(V1186="YES", V1186="Not Applicable"), BF$1, "0")</f>
        <v>2</v>
      </c>
      <c r="BG1186" s="4">
        <f t="shared" ref="BG1186:BG1248" si="678">IF(OR(W1186="YES", W1186="Not Applicable"), BG$1, "0")</f>
        <v>4</v>
      </c>
      <c r="BH1186" s="4" t="str">
        <f t="shared" ref="BH1186:BH1248" si="679">IF(OR(X1186="YES", X1186="Not Applicable"), BH$1, "0")</f>
        <v>0</v>
      </c>
      <c r="BI1186" s="4">
        <f t="shared" ref="BI1186:BI1248" si="680">IF(OR(Y1186="YES", Y1186="Not Applicable"), BI$1, "0")</f>
        <v>4</v>
      </c>
      <c r="BJ1186" s="4">
        <f t="shared" ref="BJ1186:BJ1248" si="681">IF(OR(Z1186="YES", Z1186="Not Applicable"), BJ$1, "0")</f>
        <v>2</v>
      </c>
      <c r="BK1186" s="4">
        <f t="shared" ref="BK1186:BK1248" si="682">IF(OR(AA1186="YES", AA1186="Not Applicable"), BK$1, "0")</f>
        <v>4</v>
      </c>
      <c r="BL1186" s="4">
        <f t="shared" ref="BL1186:BL1248" si="683">IF(OR(AB1186="YES", AB1186="Not Applicable"), BL$1, "0")</f>
        <v>2</v>
      </c>
      <c r="BM1186" s="4">
        <f t="shared" ref="BM1186:BM1248" si="684">IF(OR(AC1186="YES", AC1186="Not Applicable"), BM$1, "0")</f>
        <v>4</v>
      </c>
      <c r="BN1186" s="4">
        <f t="shared" ref="BN1186:BN1248" si="685">IF(OR(AD1186="YES", AD1186="Not Applicable"), BN$1, "0")</f>
        <v>4</v>
      </c>
      <c r="BO1186" s="4">
        <f t="shared" ref="BO1186:BO1248" si="686">IF(OR(AE1186="YES", AE1186="Not Applicable"), BO$1, "0")</f>
        <v>4</v>
      </c>
      <c r="BP1186" s="4">
        <f t="shared" ref="BP1186:BP1248" si="687">IF(OR(AF1186="YES", AF1186="Not Applicable"), BP$1, "0")</f>
        <v>4</v>
      </c>
      <c r="BQ1186" s="4">
        <f t="shared" ref="BQ1186:BQ1248" si="688">IF(OR(AG1186="YES", AG1186="Not Applicable"), BQ$1, "0")</f>
        <v>6</v>
      </c>
      <c r="BR1186" s="4">
        <f t="shared" ref="BR1186:BR1248" si="689">IF(OR(AH1186="YES", AH1186="Not Applicable"), BR$1, "0")</f>
        <v>4</v>
      </c>
      <c r="BS1186" s="4">
        <f t="shared" ref="BS1186:BS1248" si="690">IF(OR(AI1186="YES", AI1186="Not Applicable"), BS$1, "0")</f>
        <v>4</v>
      </c>
      <c r="BT1186" s="4">
        <f t="shared" ref="BT1186:BT1248" si="691">IF(OR(AJ1186="YES", AJ1186="Not Applicable"), BT$1, "0")</f>
        <v>4</v>
      </c>
      <c r="BU1186" s="4">
        <f t="shared" ref="BU1186:BU1248" si="692">IF(OR(AK1186="YES", AK1186="Not Applicable"), BU$1, "0")</f>
        <v>4</v>
      </c>
      <c r="BV1186" s="4">
        <f t="shared" ref="BV1186:BV1248" si="693">IF(OR(AL1186="YES", AL1186="Not Applicable"), BV$1, "0")</f>
        <v>0</v>
      </c>
      <c r="BW1186" s="4">
        <f t="shared" ref="BW1186:BW1248" si="694">IF(OR(AM1186="YES", AM1186="Not Applicable"), BW$1, "0")</f>
        <v>6</v>
      </c>
      <c r="BX1186" s="4">
        <f t="shared" ref="BX1186:BX1248" si="695">IF(OR(AN1186="YES", AN1186="Not Applicable"), BX$1, "0")</f>
        <v>0</v>
      </c>
      <c r="BY1186" s="4">
        <f t="shared" ref="BY1186:BY1248" si="696">IF(OR(AO1186="YES", AO1186="Not Applicable"), BY$1, "0")</f>
        <v>0</v>
      </c>
      <c r="BZ1186" s="37">
        <f t="shared" ref="BZ1186:BZ1248" si="697">SUM(AW1186:BY1186)</f>
        <v>96</v>
      </c>
      <c r="CA1186" s="32" t="str">
        <f>VLOOKUP(J:J,'Agent wise'!A:C,3,0)</f>
        <v>Adharsh</v>
      </c>
      <c r="CB1186" s="32">
        <f t="shared" si="663"/>
        <v>45951</v>
      </c>
      <c r="CC1186" t="str">
        <f t="shared" ref="CC1186:CC1248" si="698">IF(BZ1186&gt;=94.5, "Excellent", IF(BZ1186&gt;89.5, "Good", IF(BZ1186&gt;84.5, "Average", "FC")))</f>
        <v>Excellent</v>
      </c>
      <c r="CE1186" s="32"/>
      <c r="CJ1186">
        <f t="shared" si="665"/>
        <v>21</v>
      </c>
      <c r="CK1186">
        <f t="shared" si="666"/>
        <v>10</v>
      </c>
      <c r="CL1186">
        <f t="shared" si="667"/>
        <v>2025</v>
      </c>
    </row>
    <row r="1187" spans="1:90" ht="15" customHeight="1" x14ac:dyDescent="0.35">
      <c r="A1187" t="s">
        <v>2925</v>
      </c>
      <c r="B1187" t="s">
        <v>177</v>
      </c>
      <c r="C1187" t="s">
        <v>214</v>
      </c>
      <c r="D1187" t="s">
        <v>178</v>
      </c>
      <c r="E1187" s="32">
        <v>45951</v>
      </c>
      <c r="F1187" t="s">
        <v>54</v>
      </c>
      <c r="G1187" t="s">
        <v>2811</v>
      </c>
      <c r="H1187">
        <v>9188504634</v>
      </c>
      <c r="I1187">
        <v>132</v>
      </c>
      <c r="J1187" t="s">
        <v>638</v>
      </c>
      <c r="K1187" t="s">
        <v>57</v>
      </c>
      <c r="L1187" t="s">
        <v>58</v>
      </c>
      <c r="M1187" t="s">
        <v>59</v>
      </c>
      <c r="N1187" t="s">
        <v>59</v>
      </c>
      <c r="O1187" t="s">
        <v>59</v>
      </c>
      <c r="P1187" t="s">
        <v>59</v>
      </c>
      <c r="Q1187" t="s">
        <v>59</v>
      </c>
      <c r="R1187" t="s">
        <v>59</v>
      </c>
      <c r="S1187" t="s">
        <v>59</v>
      </c>
      <c r="T1187" t="s">
        <v>59</v>
      </c>
      <c r="U1187" t="s">
        <v>59</v>
      </c>
      <c r="V1187" t="s">
        <v>59</v>
      </c>
      <c r="W1187" t="s">
        <v>59</v>
      </c>
      <c r="X1187" t="s">
        <v>59</v>
      </c>
      <c r="Y1187" t="s">
        <v>59</v>
      </c>
      <c r="Z1187" t="s">
        <v>59</v>
      </c>
      <c r="AA1187" t="s">
        <v>59</v>
      </c>
      <c r="AB1187" t="s">
        <v>59</v>
      </c>
      <c r="AC1187" t="s">
        <v>61</v>
      </c>
      <c r="AD1187" t="s">
        <v>59</v>
      </c>
      <c r="AE1187" t="s">
        <v>59</v>
      </c>
      <c r="AF1187" t="s">
        <v>59</v>
      </c>
      <c r="AG1187" t="s">
        <v>59</v>
      </c>
      <c r="AH1187" t="s">
        <v>61</v>
      </c>
      <c r="AI1187" t="s">
        <v>61</v>
      </c>
      <c r="AJ1187" t="s">
        <v>59</v>
      </c>
      <c r="AK1187" t="s">
        <v>59</v>
      </c>
      <c r="AL1187" t="s">
        <v>59</v>
      </c>
      <c r="AM1187" t="s">
        <v>59</v>
      </c>
      <c r="AN1187" t="s">
        <v>59</v>
      </c>
      <c r="AO1187" t="s">
        <v>59</v>
      </c>
      <c r="AP1187" t="s">
        <v>270</v>
      </c>
      <c r="AQ1187" s="1" t="s">
        <v>2926</v>
      </c>
      <c r="AR1187" t="s">
        <v>64</v>
      </c>
      <c r="AS1187" t="s">
        <v>175</v>
      </c>
      <c r="AT1187" t="s">
        <v>167</v>
      </c>
      <c r="AU1187" t="s">
        <v>219</v>
      </c>
      <c r="AW1187" s="4">
        <f t="shared" si="668"/>
        <v>6</v>
      </c>
      <c r="AX1187" s="4">
        <f t="shared" si="669"/>
        <v>4</v>
      </c>
      <c r="AY1187" s="4">
        <f t="shared" si="670"/>
        <v>4</v>
      </c>
      <c r="AZ1187" s="4">
        <f t="shared" si="671"/>
        <v>2</v>
      </c>
      <c r="BA1187" s="4">
        <f t="shared" si="672"/>
        <v>4</v>
      </c>
      <c r="BB1187" s="4">
        <f t="shared" si="673"/>
        <v>4</v>
      </c>
      <c r="BC1187" s="4">
        <f t="shared" si="674"/>
        <v>4</v>
      </c>
      <c r="BD1187" s="4">
        <f t="shared" si="675"/>
        <v>2</v>
      </c>
      <c r="BE1187" s="4">
        <f t="shared" si="676"/>
        <v>4</v>
      </c>
      <c r="BF1187" s="4">
        <f t="shared" si="677"/>
        <v>2</v>
      </c>
      <c r="BG1187" s="4">
        <f t="shared" si="678"/>
        <v>4</v>
      </c>
      <c r="BH1187" s="4">
        <f t="shared" si="679"/>
        <v>4</v>
      </c>
      <c r="BI1187" s="4">
        <f t="shared" si="680"/>
        <v>4</v>
      </c>
      <c r="BJ1187" s="4">
        <f t="shared" si="681"/>
        <v>2</v>
      </c>
      <c r="BK1187" s="4">
        <f t="shared" si="682"/>
        <v>4</v>
      </c>
      <c r="BL1187" s="4">
        <f t="shared" si="683"/>
        <v>2</v>
      </c>
      <c r="BM1187" s="4">
        <f t="shared" si="684"/>
        <v>4</v>
      </c>
      <c r="BN1187" s="4">
        <f t="shared" si="685"/>
        <v>4</v>
      </c>
      <c r="BO1187" s="4">
        <f t="shared" si="686"/>
        <v>4</v>
      </c>
      <c r="BP1187" s="4">
        <f t="shared" si="687"/>
        <v>4</v>
      </c>
      <c r="BQ1187" s="4">
        <f t="shared" si="688"/>
        <v>6</v>
      </c>
      <c r="BR1187" s="4">
        <f t="shared" si="689"/>
        <v>4</v>
      </c>
      <c r="BS1187" s="4">
        <f t="shared" si="690"/>
        <v>4</v>
      </c>
      <c r="BT1187" s="4">
        <f t="shared" si="691"/>
        <v>4</v>
      </c>
      <c r="BU1187" s="4">
        <f t="shared" si="692"/>
        <v>4</v>
      </c>
      <c r="BV1187" s="4">
        <f t="shared" si="693"/>
        <v>0</v>
      </c>
      <c r="BW1187" s="4">
        <f t="shared" si="694"/>
        <v>6</v>
      </c>
      <c r="BX1187" s="4">
        <f t="shared" si="695"/>
        <v>0</v>
      </c>
      <c r="BY1187" s="4">
        <f t="shared" si="696"/>
        <v>0</v>
      </c>
      <c r="BZ1187" s="37">
        <f t="shared" si="697"/>
        <v>100</v>
      </c>
      <c r="CA1187" s="32" t="str">
        <f>VLOOKUP(J:J,'Agent wise'!A:C,3,0)</f>
        <v>Adharsh</v>
      </c>
      <c r="CB1187" s="32">
        <f t="shared" si="663"/>
        <v>45951</v>
      </c>
      <c r="CC1187" t="str">
        <f t="shared" si="698"/>
        <v>Excellent</v>
      </c>
      <c r="CE1187" s="32"/>
      <c r="CJ1187">
        <f t="shared" si="665"/>
        <v>21</v>
      </c>
      <c r="CK1187">
        <f t="shared" si="666"/>
        <v>10</v>
      </c>
      <c r="CL1187">
        <f t="shared" si="667"/>
        <v>2025</v>
      </c>
    </row>
    <row r="1188" spans="1:90" ht="15" customHeight="1" x14ac:dyDescent="0.35">
      <c r="A1188" t="s">
        <v>2927</v>
      </c>
      <c r="B1188" t="s">
        <v>100</v>
      </c>
      <c r="C1188" t="s">
        <v>214</v>
      </c>
      <c r="D1188" t="s">
        <v>101</v>
      </c>
      <c r="E1188" s="32">
        <v>45951</v>
      </c>
      <c r="F1188" t="s">
        <v>222</v>
      </c>
      <c r="G1188" t="s">
        <v>2811</v>
      </c>
      <c r="H1188">
        <v>9746659254</v>
      </c>
      <c r="I1188">
        <v>138</v>
      </c>
      <c r="J1188" t="s">
        <v>80</v>
      </c>
      <c r="K1188" t="s">
        <v>57</v>
      </c>
      <c r="L1188" t="s">
        <v>58</v>
      </c>
      <c r="M1188" t="s">
        <v>59</v>
      </c>
      <c r="N1188" t="s">
        <v>59</v>
      </c>
      <c r="O1188" t="s">
        <v>59</v>
      </c>
      <c r="P1188" t="s">
        <v>59</v>
      </c>
      <c r="Q1188" t="s">
        <v>59</v>
      </c>
      <c r="R1188" t="s">
        <v>60</v>
      </c>
      <c r="S1188" t="s">
        <v>59</v>
      </c>
      <c r="T1188" t="s">
        <v>59</v>
      </c>
      <c r="U1188" t="s">
        <v>59</v>
      </c>
      <c r="V1188" t="s">
        <v>59</v>
      </c>
      <c r="W1188" t="s">
        <v>59</v>
      </c>
      <c r="X1188" t="s">
        <v>61</v>
      </c>
      <c r="Y1188" t="s">
        <v>59</v>
      </c>
      <c r="Z1188" t="s">
        <v>59</v>
      </c>
      <c r="AA1188" t="s">
        <v>59</v>
      </c>
      <c r="AB1188" t="s">
        <v>59</v>
      </c>
      <c r="AC1188" t="s">
        <v>61</v>
      </c>
      <c r="AD1188" t="s">
        <v>59</v>
      </c>
      <c r="AE1188" t="s">
        <v>59</v>
      </c>
      <c r="AF1188" t="s">
        <v>61</v>
      </c>
      <c r="AG1188" t="s">
        <v>59</v>
      </c>
      <c r="AH1188" t="s">
        <v>61</v>
      </c>
      <c r="AI1188" t="s">
        <v>60</v>
      </c>
      <c r="AJ1188" t="s">
        <v>59</v>
      </c>
      <c r="AK1188" t="s">
        <v>61</v>
      </c>
      <c r="AL1188" t="s">
        <v>59</v>
      </c>
      <c r="AM1188" t="s">
        <v>59</v>
      </c>
      <c r="AN1188" t="s">
        <v>59</v>
      </c>
      <c r="AO1188" t="s">
        <v>59</v>
      </c>
      <c r="AP1188" t="s">
        <v>2928</v>
      </c>
      <c r="AQ1188" s="1" t="s">
        <v>2929</v>
      </c>
      <c r="AR1188" t="s">
        <v>64</v>
      </c>
      <c r="AS1188" t="s">
        <v>352</v>
      </c>
      <c r="AT1188" t="s">
        <v>352</v>
      </c>
      <c r="AU1188" t="s">
        <v>299</v>
      </c>
      <c r="AW1188" s="4">
        <f t="shared" si="668"/>
        <v>6</v>
      </c>
      <c r="AX1188" s="4">
        <f t="shared" si="669"/>
        <v>4</v>
      </c>
      <c r="AY1188" s="4">
        <f t="shared" si="670"/>
        <v>4</v>
      </c>
      <c r="AZ1188" s="4">
        <f t="shared" si="671"/>
        <v>2</v>
      </c>
      <c r="BA1188" s="4">
        <f t="shared" si="672"/>
        <v>4</v>
      </c>
      <c r="BB1188" s="4" t="str">
        <f t="shared" si="673"/>
        <v>0</v>
      </c>
      <c r="BC1188" s="4">
        <f t="shared" si="674"/>
        <v>4</v>
      </c>
      <c r="BD1188" s="4">
        <f t="shared" si="675"/>
        <v>2</v>
      </c>
      <c r="BE1188" s="4">
        <f t="shared" si="676"/>
        <v>4</v>
      </c>
      <c r="BF1188" s="4">
        <f t="shared" si="677"/>
        <v>2</v>
      </c>
      <c r="BG1188" s="4">
        <f t="shared" si="678"/>
        <v>4</v>
      </c>
      <c r="BH1188" s="4">
        <f t="shared" si="679"/>
        <v>4</v>
      </c>
      <c r="BI1188" s="4">
        <f t="shared" si="680"/>
        <v>4</v>
      </c>
      <c r="BJ1188" s="4">
        <f t="shared" si="681"/>
        <v>2</v>
      </c>
      <c r="BK1188" s="4">
        <f t="shared" si="682"/>
        <v>4</v>
      </c>
      <c r="BL1188" s="4">
        <f t="shared" si="683"/>
        <v>2</v>
      </c>
      <c r="BM1188" s="4">
        <f t="shared" si="684"/>
        <v>4</v>
      </c>
      <c r="BN1188" s="4">
        <f t="shared" si="685"/>
        <v>4</v>
      </c>
      <c r="BO1188" s="4">
        <f t="shared" si="686"/>
        <v>4</v>
      </c>
      <c r="BP1188" s="4">
        <f t="shared" si="687"/>
        <v>4</v>
      </c>
      <c r="BQ1188" s="4">
        <f t="shared" si="688"/>
        <v>6</v>
      </c>
      <c r="BR1188" s="4">
        <f t="shared" si="689"/>
        <v>4</v>
      </c>
      <c r="BS1188" s="4" t="str">
        <f t="shared" si="690"/>
        <v>0</v>
      </c>
      <c r="BT1188" s="4">
        <f t="shared" si="691"/>
        <v>4</v>
      </c>
      <c r="BU1188" s="4">
        <f t="shared" si="692"/>
        <v>4</v>
      </c>
      <c r="BV1188" s="4">
        <f t="shared" si="693"/>
        <v>0</v>
      </c>
      <c r="BW1188" s="4">
        <f t="shared" si="694"/>
        <v>6</v>
      </c>
      <c r="BX1188" s="4">
        <f t="shared" si="695"/>
        <v>0</v>
      </c>
      <c r="BY1188" s="4">
        <f t="shared" si="696"/>
        <v>0</v>
      </c>
      <c r="BZ1188" s="37">
        <f t="shared" si="697"/>
        <v>92</v>
      </c>
      <c r="CA1188" s="32" t="str">
        <f>VLOOKUP(J:J,'Agent wise'!A:C,3,0)</f>
        <v>Saran S</v>
      </c>
      <c r="CB1188" s="32">
        <f t="shared" si="663"/>
        <v>45951</v>
      </c>
      <c r="CC1188" t="str">
        <f t="shared" si="698"/>
        <v>Good</v>
      </c>
      <c r="CE1188" s="32"/>
      <c r="CJ1188">
        <f t="shared" si="665"/>
        <v>21</v>
      </c>
      <c r="CK1188">
        <f t="shared" si="666"/>
        <v>10</v>
      </c>
      <c r="CL1188">
        <f t="shared" si="667"/>
        <v>2025</v>
      </c>
    </row>
    <row r="1189" spans="1:90" ht="15" customHeight="1" x14ac:dyDescent="0.35">
      <c r="A1189" t="s">
        <v>2930</v>
      </c>
      <c r="B1189" t="s">
        <v>100</v>
      </c>
      <c r="C1189" t="s">
        <v>214</v>
      </c>
      <c r="D1189" t="s">
        <v>101</v>
      </c>
      <c r="E1189" s="32">
        <v>45951</v>
      </c>
      <c r="F1189" t="s">
        <v>222</v>
      </c>
      <c r="G1189" t="s">
        <v>2811</v>
      </c>
      <c r="H1189">
        <v>9562443322</v>
      </c>
      <c r="I1189">
        <v>160</v>
      </c>
      <c r="J1189" t="s">
        <v>353</v>
      </c>
      <c r="K1189" t="s">
        <v>57</v>
      </c>
      <c r="L1189" t="s">
        <v>58</v>
      </c>
      <c r="M1189" t="s">
        <v>59</v>
      </c>
      <c r="N1189" t="s">
        <v>59</v>
      </c>
      <c r="O1189" t="s">
        <v>59</v>
      </c>
      <c r="P1189" t="s">
        <v>59</v>
      </c>
      <c r="Q1189" t="s">
        <v>59</v>
      </c>
      <c r="R1189" t="s">
        <v>59</v>
      </c>
      <c r="S1189" t="s">
        <v>59</v>
      </c>
      <c r="T1189" t="s">
        <v>59</v>
      </c>
      <c r="U1189" t="s">
        <v>60</v>
      </c>
      <c r="V1189" t="s">
        <v>59</v>
      </c>
      <c r="W1189" t="s">
        <v>59</v>
      </c>
      <c r="X1189" t="s">
        <v>61</v>
      </c>
      <c r="Y1189" t="s">
        <v>59</v>
      </c>
      <c r="Z1189" t="s">
        <v>59</v>
      </c>
      <c r="AA1189" t="s">
        <v>60</v>
      </c>
      <c r="AB1189" t="s">
        <v>60</v>
      </c>
      <c r="AC1189" t="s">
        <v>61</v>
      </c>
      <c r="AD1189" t="s">
        <v>59</v>
      </c>
      <c r="AE1189" t="s">
        <v>59</v>
      </c>
      <c r="AF1189" t="s">
        <v>61</v>
      </c>
      <c r="AG1189" t="s">
        <v>59</v>
      </c>
      <c r="AH1189" t="s">
        <v>61</v>
      </c>
      <c r="AI1189" t="s">
        <v>61</v>
      </c>
      <c r="AJ1189" t="s">
        <v>59</v>
      </c>
      <c r="AK1189" t="s">
        <v>61</v>
      </c>
      <c r="AL1189" t="s">
        <v>60</v>
      </c>
      <c r="AM1189" t="s">
        <v>59</v>
      </c>
      <c r="AN1189" t="s">
        <v>59</v>
      </c>
      <c r="AO1189" t="s">
        <v>59</v>
      </c>
      <c r="AP1189" t="s">
        <v>798</v>
      </c>
      <c r="AQ1189" s="1" t="s">
        <v>2931</v>
      </c>
      <c r="AR1189" t="s">
        <v>226</v>
      </c>
      <c r="AS1189" t="s">
        <v>352</v>
      </c>
      <c r="AT1189" t="s">
        <v>352</v>
      </c>
      <c r="AU1189" t="s">
        <v>299</v>
      </c>
      <c r="AW1189" s="4">
        <f t="shared" si="668"/>
        <v>6</v>
      </c>
      <c r="AX1189" s="4">
        <f t="shared" si="669"/>
        <v>4</v>
      </c>
      <c r="AY1189" s="4">
        <f t="shared" si="670"/>
        <v>4</v>
      </c>
      <c r="AZ1189" s="4">
        <f t="shared" si="671"/>
        <v>2</v>
      </c>
      <c r="BA1189" s="4">
        <f t="shared" si="672"/>
        <v>4</v>
      </c>
      <c r="BB1189" s="4">
        <f t="shared" si="673"/>
        <v>4</v>
      </c>
      <c r="BC1189" s="4">
        <f t="shared" si="674"/>
        <v>4</v>
      </c>
      <c r="BD1189" s="4">
        <f t="shared" si="675"/>
        <v>2</v>
      </c>
      <c r="BE1189" s="4" t="str">
        <f t="shared" si="676"/>
        <v>0</v>
      </c>
      <c r="BF1189" s="4">
        <f t="shared" si="677"/>
        <v>2</v>
      </c>
      <c r="BG1189" s="4">
        <f t="shared" si="678"/>
        <v>4</v>
      </c>
      <c r="BH1189" s="4">
        <f t="shared" si="679"/>
        <v>4</v>
      </c>
      <c r="BI1189" s="4">
        <f t="shared" si="680"/>
        <v>4</v>
      </c>
      <c r="BJ1189" s="4">
        <f t="shared" si="681"/>
        <v>2</v>
      </c>
      <c r="BK1189" s="4" t="str">
        <f t="shared" si="682"/>
        <v>0</v>
      </c>
      <c r="BL1189" s="4" t="str">
        <f t="shared" si="683"/>
        <v>0</v>
      </c>
      <c r="BM1189" s="4">
        <f t="shared" si="684"/>
        <v>4</v>
      </c>
      <c r="BN1189" s="4">
        <f t="shared" si="685"/>
        <v>4</v>
      </c>
      <c r="BO1189" s="4">
        <f t="shared" si="686"/>
        <v>4</v>
      </c>
      <c r="BP1189" s="4">
        <f t="shared" si="687"/>
        <v>4</v>
      </c>
      <c r="BQ1189" s="4">
        <f t="shared" si="688"/>
        <v>6</v>
      </c>
      <c r="BR1189" s="4">
        <f t="shared" si="689"/>
        <v>4</v>
      </c>
      <c r="BS1189" s="4">
        <f t="shared" si="690"/>
        <v>4</v>
      </c>
      <c r="BT1189" s="4">
        <f t="shared" si="691"/>
        <v>4</v>
      </c>
      <c r="BU1189" s="4">
        <f t="shared" si="692"/>
        <v>4</v>
      </c>
      <c r="BV1189" s="4" t="str">
        <f t="shared" si="693"/>
        <v>0</v>
      </c>
      <c r="BW1189" s="4">
        <f t="shared" si="694"/>
        <v>6</v>
      </c>
      <c r="BX1189" s="4">
        <f t="shared" si="695"/>
        <v>0</v>
      </c>
      <c r="BY1189" s="4">
        <f t="shared" si="696"/>
        <v>0</v>
      </c>
      <c r="BZ1189" s="37">
        <f t="shared" si="697"/>
        <v>90</v>
      </c>
      <c r="CA1189" s="32" t="str">
        <f>VLOOKUP(J:J,'Agent wise'!A:C,3,0)</f>
        <v>Amal</v>
      </c>
      <c r="CB1189" s="32">
        <f t="shared" si="663"/>
        <v>45951</v>
      </c>
      <c r="CC1189" t="str">
        <f t="shared" si="698"/>
        <v>Good</v>
      </c>
      <c r="CE1189" s="32"/>
      <c r="CJ1189">
        <f t="shared" si="665"/>
        <v>21</v>
      </c>
      <c r="CK1189">
        <f t="shared" si="666"/>
        <v>10</v>
      </c>
      <c r="CL1189">
        <f t="shared" si="667"/>
        <v>2025</v>
      </c>
    </row>
    <row r="1190" spans="1:90" ht="15" customHeight="1" x14ac:dyDescent="0.35">
      <c r="A1190" t="s">
        <v>2932</v>
      </c>
      <c r="B1190" t="s">
        <v>100</v>
      </c>
      <c r="C1190" t="s">
        <v>214</v>
      </c>
      <c r="D1190" t="s">
        <v>101</v>
      </c>
      <c r="E1190" s="32">
        <v>45951</v>
      </c>
      <c r="F1190" t="s">
        <v>222</v>
      </c>
      <c r="G1190" t="s">
        <v>2811</v>
      </c>
      <c r="H1190">
        <v>9605747673</v>
      </c>
      <c r="I1190">
        <v>152</v>
      </c>
      <c r="J1190" t="s">
        <v>575</v>
      </c>
      <c r="K1190" t="s">
        <v>57</v>
      </c>
      <c r="L1190" t="s">
        <v>58</v>
      </c>
      <c r="M1190" t="s">
        <v>59</v>
      </c>
      <c r="N1190" t="s">
        <v>59</v>
      </c>
      <c r="O1190" t="s">
        <v>59</v>
      </c>
      <c r="P1190" t="s">
        <v>59</v>
      </c>
      <c r="Q1190" t="s">
        <v>59</v>
      </c>
      <c r="R1190" t="s">
        <v>59</v>
      </c>
      <c r="S1190" t="s">
        <v>59</v>
      </c>
      <c r="T1190" t="s">
        <v>59</v>
      </c>
      <c r="U1190" t="s">
        <v>60</v>
      </c>
      <c r="V1190" t="s">
        <v>60</v>
      </c>
      <c r="W1190" t="s">
        <v>59</v>
      </c>
      <c r="X1190" t="s">
        <v>61</v>
      </c>
      <c r="Y1190" t="s">
        <v>59</v>
      </c>
      <c r="Z1190" t="s">
        <v>59</v>
      </c>
      <c r="AA1190" t="s">
        <v>60</v>
      </c>
      <c r="AB1190" t="s">
        <v>59</v>
      </c>
      <c r="AC1190" t="s">
        <v>61</v>
      </c>
      <c r="AD1190" t="s">
        <v>59</v>
      </c>
      <c r="AE1190" t="s">
        <v>59</v>
      </c>
      <c r="AF1190" t="s">
        <v>61</v>
      </c>
      <c r="AG1190" t="s">
        <v>59</v>
      </c>
      <c r="AH1190" t="s">
        <v>61</v>
      </c>
      <c r="AI1190" t="s">
        <v>61</v>
      </c>
      <c r="AJ1190" t="s">
        <v>59</v>
      </c>
      <c r="AK1190" t="s">
        <v>61</v>
      </c>
      <c r="AL1190" t="s">
        <v>60</v>
      </c>
      <c r="AM1190" t="s">
        <v>59</v>
      </c>
      <c r="AN1190" t="s">
        <v>59</v>
      </c>
      <c r="AO1190" t="s">
        <v>59</v>
      </c>
      <c r="AP1190" t="s">
        <v>798</v>
      </c>
      <c r="AQ1190" s="1" t="s">
        <v>2933</v>
      </c>
      <c r="AR1190" t="s">
        <v>226</v>
      </c>
      <c r="AS1190" t="s">
        <v>352</v>
      </c>
      <c r="AT1190" t="s">
        <v>352</v>
      </c>
      <c r="AU1190" t="s">
        <v>299</v>
      </c>
      <c r="AW1190" s="4">
        <f t="shared" si="668"/>
        <v>6</v>
      </c>
      <c r="AX1190" s="4">
        <f t="shared" si="669"/>
        <v>4</v>
      </c>
      <c r="AY1190" s="4">
        <f t="shared" si="670"/>
        <v>4</v>
      </c>
      <c r="AZ1190" s="4">
        <f t="shared" si="671"/>
        <v>2</v>
      </c>
      <c r="BA1190" s="4">
        <f t="shared" si="672"/>
        <v>4</v>
      </c>
      <c r="BB1190" s="4">
        <f t="shared" si="673"/>
        <v>4</v>
      </c>
      <c r="BC1190" s="4">
        <f t="shared" si="674"/>
        <v>4</v>
      </c>
      <c r="BD1190" s="4">
        <f t="shared" si="675"/>
        <v>2</v>
      </c>
      <c r="BE1190" s="4" t="str">
        <f t="shared" si="676"/>
        <v>0</v>
      </c>
      <c r="BF1190" s="4" t="str">
        <f t="shared" si="677"/>
        <v>0</v>
      </c>
      <c r="BG1190" s="4">
        <f t="shared" si="678"/>
        <v>4</v>
      </c>
      <c r="BH1190" s="4">
        <f t="shared" si="679"/>
        <v>4</v>
      </c>
      <c r="BI1190" s="4">
        <f t="shared" si="680"/>
        <v>4</v>
      </c>
      <c r="BJ1190" s="4">
        <f t="shared" si="681"/>
        <v>2</v>
      </c>
      <c r="BK1190" s="4" t="str">
        <f t="shared" si="682"/>
        <v>0</v>
      </c>
      <c r="BL1190" s="4">
        <f t="shared" si="683"/>
        <v>2</v>
      </c>
      <c r="BM1190" s="4">
        <f t="shared" si="684"/>
        <v>4</v>
      </c>
      <c r="BN1190" s="4">
        <f t="shared" si="685"/>
        <v>4</v>
      </c>
      <c r="BO1190" s="4">
        <f t="shared" si="686"/>
        <v>4</v>
      </c>
      <c r="BP1190" s="4">
        <f t="shared" si="687"/>
        <v>4</v>
      </c>
      <c r="BQ1190" s="4">
        <f t="shared" si="688"/>
        <v>6</v>
      </c>
      <c r="BR1190" s="4">
        <f t="shared" si="689"/>
        <v>4</v>
      </c>
      <c r="BS1190" s="4">
        <f t="shared" si="690"/>
        <v>4</v>
      </c>
      <c r="BT1190" s="4">
        <f t="shared" si="691"/>
        <v>4</v>
      </c>
      <c r="BU1190" s="4">
        <f t="shared" si="692"/>
        <v>4</v>
      </c>
      <c r="BV1190" s="4" t="str">
        <f t="shared" si="693"/>
        <v>0</v>
      </c>
      <c r="BW1190" s="4">
        <f t="shared" si="694"/>
        <v>6</v>
      </c>
      <c r="BX1190" s="4">
        <f t="shared" si="695"/>
        <v>0</v>
      </c>
      <c r="BY1190" s="4">
        <f t="shared" si="696"/>
        <v>0</v>
      </c>
      <c r="BZ1190" s="37">
        <f t="shared" si="697"/>
        <v>90</v>
      </c>
      <c r="CA1190" s="32" t="str">
        <f>VLOOKUP(J:J,'Agent wise'!A:C,3,0)</f>
        <v>Shakeer</v>
      </c>
      <c r="CB1190" s="32">
        <f t="shared" si="663"/>
        <v>45951</v>
      </c>
      <c r="CC1190" t="str">
        <f t="shared" si="698"/>
        <v>Good</v>
      </c>
      <c r="CE1190" s="32"/>
      <c r="CJ1190">
        <f t="shared" si="665"/>
        <v>21</v>
      </c>
      <c r="CK1190">
        <f t="shared" si="666"/>
        <v>10</v>
      </c>
      <c r="CL1190">
        <f t="shared" si="667"/>
        <v>2025</v>
      </c>
    </row>
    <row r="1191" spans="1:90" ht="15" customHeight="1" x14ac:dyDescent="0.35">
      <c r="A1191" t="s">
        <v>2934</v>
      </c>
      <c r="B1191" t="s">
        <v>100</v>
      </c>
      <c r="C1191" t="s">
        <v>214</v>
      </c>
      <c r="D1191" t="s">
        <v>101</v>
      </c>
      <c r="E1191" s="32">
        <v>45951</v>
      </c>
      <c r="F1191" t="s">
        <v>222</v>
      </c>
      <c r="G1191" t="s">
        <v>2811</v>
      </c>
      <c r="H1191">
        <v>9895096187</v>
      </c>
      <c r="I1191">
        <v>134</v>
      </c>
      <c r="J1191" t="s">
        <v>208</v>
      </c>
      <c r="K1191" t="s">
        <v>86</v>
      </c>
      <c r="L1191" t="s">
        <v>58</v>
      </c>
      <c r="M1191" t="s">
        <v>59</v>
      </c>
      <c r="N1191" t="s">
        <v>59</v>
      </c>
      <c r="O1191" t="s">
        <v>60</v>
      </c>
      <c r="P1191" t="s">
        <v>59</v>
      </c>
      <c r="Q1191" t="s">
        <v>59</v>
      </c>
      <c r="R1191" t="s">
        <v>60</v>
      </c>
      <c r="S1191" t="s">
        <v>59</v>
      </c>
      <c r="T1191" t="s">
        <v>59</v>
      </c>
      <c r="U1191" t="s">
        <v>59</v>
      </c>
      <c r="V1191" t="s">
        <v>59</v>
      </c>
      <c r="W1191" t="s">
        <v>59</v>
      </c>
      <c r="X1191" t="s">
        <v>61</v>
      </c>
      <c r="Y1191" t="s">
        <v>59</v>
      </c>
      <c r="Z1191" t="s">
        <v>59</v>
      </c>
      <c r="AA1191" t="s">
        <v>59</v>
      </c>
      <c r="AB1191" t="s">
        <v>59</v>
      </c>
      <c r="AC1191" t="s">
        <v>61</v>
      </c>
      <c r="AD1191" t="s">
        <v>59</v>
      </c>
      <c r="AE1191" t="s">
        <v>59</v>
      </c>
      <c r="AF1191" t="s">
        <v>61</v>
      </c>
      <c r="AG1191" t="s">
        <v>59</v>
      </c>
      <c r="AH1191" t="s">
        <v>61</v>
      </c>
      <c r="AI1191" t="s">
        <v>59</v>
      </c>
      <c r="AJ1191" t="s">
        <v>59</v>
      </c>
      <c r="AK1191" t="s">
        <v>61</v>
      </c>
      <c r="AL1191" t="s">
        <v>60</v>
      </c>
      <c r="AM1191" t="s">
        <v>59</v>
      </c>
      <c r="AN1191" t="s">
        <v>59</v>
      </c>
      <c r="AO1191" t="s">
        <v>59</v>
      </c>
      <c r="AP1191" t="s">
        <v>1596</v>
      </c>
      <c r="AQ1191" s="1" t="s">
        <v>2935</v>
      </c>
      <c r="AR1191" t="s">
        <v>226</v>
      </c>
      <c r="AS1191" t="s">
        <v>352</v>
      </c>
      <c r="AT1191" t="s">
        <v>352</v>
      </c>
      <c r="AU1191" t="s">
        <v>299</v>
      </c>
      <c r="AW1191" s="4">
        <f t="shared" si="668"/>
        <v>6</v>
      </c>
      <c r="AX1191" s="4">
        <f t="shared" si="669"/>
        <v>4</v>
      </c>
      <c r="AY1191" s="4" t="str">
        <f t="shared" si="670"/>
        <v>0</v>
      </c>
      <c r="AZ1191" s="4">
        <f t="shared" si="671"/>
        <v>2</v>
      </c>
      <c r="BA1191" s="4">
        <f t="shared" si="672"/>
        <v>4</v>
      </c>
      <c r="BB1191" s="4" t="str">
        <f t="shared" si="673"/>
        <v>0</v>
      </c>
      <c r="BC1191" s="4">
        <f t="shared" si="674"/>
        <v>4</v>
      </c>
      <c r="BD1191" s="4">
        <f t="shared" si="675"/>
        <v>2</v>
      </c>
      <c r="BE1191" s="4">
        <f t="shared" si="676"/>
        <v>4</v>
      </c>
      <c r="BF1191" s="4">
        <f t="shared" si="677"/>
        <v>2</v>
      </c>
      <c r="BG1191" s="4">
        <f t="shared" si="678"/>
        <v>4</v>
      </c>
      <c r="BH1191" s="4">
        <f t="shared" si="679"/>
        <v>4</v>
      </c>
      <c r="BI1191" s="4">
        <f t="shared" si="680"/>
        <v>4</v>
      </c>
      <c r="BJ1191" s="4">
        <f t="shared" si="681"/>
        <v>2</v>
      </c>
      <c r="BK1191" s="4">
        <f t="shared" si="682"/>
        <v>4</v>
      </c>
      <c r="BL1191" s="4">
        <f t="shared" si="683"/>
        <v>2</v>
      </c>
      <c r="BM1191" s="4">
        <f t="shared" si="684"/>
        <v>4</v>
      </c>
      <c r="BN1191" s="4">
        <f t="shared" si="685"/>
        <v>4</v>
      </c>
      <c r="BO1191" s="4">
        <f t="shared" si="686"/>
        <v>4</v>
      </c>
      <c r="BP1191" s="4">
        <f t="shared" si="687"/>
        <v>4</v>
      </c>
      <c r="BQ1191" s="4">
        <f t="shared" si="688"/>
        <v>6</v>
      </c>
      <c r="BR1191" s="4">
        <f t="shared" si="689"/>
        <v>4</v>
      </c>
      <c r="BS1191" s="4">
        <f t="shared" si="690"/>
        <v>4</v>
      </c>
      <c r="BT1191" s="4">
        <f t="shared" si="691"/>
        <v>4</v>
      </c>
      <c r="BU1191" s="4">
        <f t="shared" si="692"/>
        <v>4</v>
      </c>
      <c r="BV1191" s="4" t="str">
        <f t="shared" si="693"/>
        <v>0</v>
      </c>
      <c r="BW1191" s="4">
        <f t="shared" si="694"/>
        <v>6</v>
      </c>
      <c r="BX1191" s="4">
        <f t="shared" si="695"/>
        <v>0</v>
      </c>
      <c r="BY1191" s="4">
        <f t="shared" si="696"/>
        <v>0</v>
      </c>
      <c r="BZ1191" s="37">
        <f t="shared" si="697"/>
        <v>92</v>
      </c>
      <c r="CA1191" s="32" t="str">
        <f>VLOOKUP(J:J,'Agent wise'!A:C,3,0)</f>
        <v>Adharsh</v>
      </c>
      <c r="CB1191" s="32">
        <f t="shared" si="663"/>
        <v>45951</v>
      </c>
      <c r="CC1191" t="str">
        <f t="shared" si="698"/>
        <v>Good</v>
      </c>
      <c r="CE1191" s="32"/>
      <c r="CJ1191">
        <f t="shared" si="665"/>
        <v>21</v>
      </c>
      <c r="CK1191">
        <f t="shared" si="666"/>
        <v>10</v>
      </c>
      <c r="CL1191">
        <f t="shared" si="667"/>
        <v>2025</v>
      </c>
    </row>
    <row r="1192" spans="1:90" ht="15" customHeight="1" x14ac:dyDescent="0.35">
      <c r="A1192" t="s">
        <v>2936</v>
      </c>
      <c r="B1192" t="s">
        <v>100</v>
      </c>
      <c r="C1192" t="s">
        <v>214</v>
      </c>
      <c r="D1192" t="s">
        <v>101</v>
      </c>
      <c r="E1192" s="32">
        <v>45951</v>
      </c>
      <c r="F1192" t="s">
        <v>222</v>
      </c>
      <c r="G1192" t="s">
        <v>2811</v>
      </c>
      <c r="H1192">
        <v>9495505661</v>
      </c>
      <c r="I1192">
        <v>137</v>
      </c>
      <c r="J1192" t="s">
        <v>302</v>
      </c>
      <c r="K1192" t="s">
        <v>57</v>
      </c>
      <c r="L1192" t="s">
        <v>58</v>
      </c>
      <c r="M1192" t="s">
        <v>60</v>
      </c>
      <c r="N1192" t="s">
        <v>59</v>
      </c>
      <c r="O1192" t="s">
        <v>59</v>
      </c>
      <c r="P1192" t="s">
        <v>59</v>
      </c>
      <c r="Q1192" t="s">
        <v>59</v>
      </c>
      <c r="R1192" t="s">
        <v>60</v>
      </c>
      <c r="S1192" t="s">
        <v>59</v>
      </c>
      <c r="T1192" t="s">
        <v>59</v>
      </c>
      <c r="U1192" t="s">
        <v>60</v>
      </c>
      <c r="V1192" t="s">
        <v>59</v>
      </c>
      <c r="W1192" t="s">
        <v>59</v>
      </c>
      <c r="X1192" t="s">
        <v>61</v>
      </c>
      <c r="Y1192" t="s">
        <v>59</v>
      </c>
      <c r="Z1192" t="s">
        <v>59</v>
      </c>
      <c r="AA1192" t="s">
        <v>60</v>
      </c>
      <c r="AB1192" t="s">
        <v>61</v>
      </c>
      <c r="AC1192" t="s">
        <v>61</v>
      </c>
      <c r="AD1192" t="s">
        <v>59</v>
      </c>
      <c r="AE1192" t="s">
        <v>59</v>
      </c>
      <c r="AF1192" t="s">
        <v>59</v>
      </c>
      <c r="AG1192" t="s">
        <v>59</v>
      </c>
      <c r="AH1192" t="s">
        <v>61</v>
      </c>
      <c r="AI1192" t="s">
        <v>61</v>
      </c>
      <c r="AJ1192" t="s">
        <v>59</v>
      </c>
      <c r="AK1192" t="s">
        <v>61</v>
      </c>
      <c r="AL1192" t="s">
        <v>60</v>
      </c>
      <c r="AM1192" t="s">
        <v>59</v>
      </c>
      <c r="AN1192" t="s">
        <v>59</v>
      </c>
      <c r="AO1192" t="s">
        <v>59</v>
      </c>
      <c r="AP1192" t="s">
        <v>2040</v>
      </c>
      <c r="AQ1192" s="1" t="s">
        <v>2937</v>
      </c>
      <c r="AR1192" t="s">
        <v>226</v>
      </c>
      <c r="AS1192" t="s">
        <v>352</v>
      </c>
      <c r="AT1192" t="s">
        <v>352</v>
      </c>
      <c r="AU1192" t="s">
        <v>299</v>
      </c>
      <c r="AW1192" s="4" t="str">
        <f t="shared" si="668"/>
        <v>0</v>
      </c>
      <c r="AX1192" s="4">
        <f t="shared" si="669"/>
        <v>4</v>
      </c>
      <c r="AY1192" s="4">
        <f t="shared" si="670"/>
        <v>4</v>
      </c>
      <c r="AZ1192" s="4">
        <f t="shared" si="671"/>
        <v>2</v>
      </c>
      <c r="BA1192" s="4">
        <f t="shared" si="672"/>
        <v>4</v>
      </c>
      <c r="BB1192" s="4" t="str">
        <f t="shared" si="673"/>
        <v>0</v>
      </c>
      <c r="BC1192" s="4">
        <f t="shared" si="674"/>
        <v>4</v>
      </c>
      <c r="BD1192" s="4">
        <f t="shared" si="675"/>
        <v>2</v>
      </c>
      <c r="BE1192" s="4" t="str">
        <f t="shared" si="676"/>
        <v>0</v>
      </c>
      <c r="BF1192" s="4">
        <f t="shared" si="677"/>
        <v>2</v>
      </c>
      <c r="BG1192" s="4">
        <f t="shared" si="678"/>
        <v>4</v>
      </c>
      <c r="BH1192" s="4">
        <f t="shared" si="679"/>
        <v>4</v>
      </c>
      <c r="BI1192" s="4">
        <f t="shared" si="680"/>
        <v>4</v>
      </c>
      <c r="BJ1192" s="4">
        <f t="shared" si="681"/>
        <v>2</v>
      </c>
      <c r="BK1192" s="4" t="str">
        <f t="shared" si="682"/>
        <v>0</v>
      </c>
      <c r="BL1192" s="4">
        <f t="shared" si="683"/>
        <v>2</v>
      </c>
      <c r="BM1192" s="4">
        <f t="shared" si="684"/>
        <v>4</v>
      </c>
      <c r="BN1192" s="4">
        <f t="shared" si="685"/>
        <v>4</v>
      </c>
      <c r="BO1192" s="4">
        <f t="shared" si="686"/>
        <v>4</v>
      </c>
      <c r="BP1192" s="4">
        <f t="shared" si="687"/>
        <v>4</v>
      </c>
      <c r="BQ1192" s="4">
        <f t="shared" si="688"/>
        <v>6</v>
      </c>
      <c r="BR1192" s="4">
        <f t="shared" si="689"/>
        <v>4</v>
      </c>
      <c r="BS1192" s="4">
        <f t="shared" si="690"/>
        <v>4</v>
      </c>
      <c r="BT1192" s="4">
        <f t="shared" si="691"/>
        <v>4</v>
      </c>
      <c r="BU1192" s="4">
        <f t="shared" si="692"/>
        <v>4</v>
      </c>
      <c r="BV1192" s="4" t="str">
        <f t="shared" si="693"/>
        <v>0</v>
      </c>
      <c r="BW1192" s="4">
        <f t="shared" si="694"/>
        <v>6</v>
      </c>
      <c r="BX1192" s="4">
        <f t="shared" si="695"/>
        <v>0</v>
      </c>
      <c r="BY1192" s="4">
        <f t="shared" si="696"/>
        <v>0</v>
      </c>
      <c r="BZ1192" s="37">
        <f t="shared" si="697"/>
        <v>82</v>
      </c>
      <c r="CA1192" s="32" t="str">
        <f>VLOOKUP(J:J,'Agent wise'!A:C,3,0)</f>
        <v>Shakeer</v>
      </c>
      <c r="CB1192" s="32">
        <f t="shared" si="663"/>
        <v>45951</v>
      </c>
      <c r="CC1192" t="str">
        <f t="shared" si="698"/>
        <v>FC</v>
      </c>
      <c r="CE1192" s="32"/>
      <c r="CJ1192">
        <f t="shared" si="665"/>
        <v>21</v>
      </c>
      <c r="CK1192">
        <f t="shared" si="666"/>
        <v>10</v>
      </c>
      <c r="CL1192">
        <f t="shared" si="667"/>
        <v>2025</v>
      </c>
    </row>
    <row r="1193" spans="1:90" ht="15" customHeight="1" x14ac:dyDescent="0.35">
      <c r="A1193" t="s">
        <v>2938</v>
      </c>
      <c r="B1193" t="s">
        <v>130</v>
      </c>
      <c r="C1193" t="s">
        <v>214</v>
      </c>
      <c r="D1193" t="s">
        <v>131</v>
      </c>
      <c r="E1193" s="32">
        <v>45950</v>
      </c>
      <c r="F1193" t="s">
        <v>54</v>
      </c>
      <c r="G1193" t="s">
        <v>2811</v>
      </c>
      <c r="H1193">
        <v>8903876931</v>
      </c>
      <c r="I1193">
        <v>128</v>
      </c>
      <c r="J1193" t="s">
        <v>75</v>
      </c>
      <c r="K1193" t="s">
        <v>71</v>
      </c>
      <c r="L1193" t="s">
        <v>72</v>
      </c>
      <c r="M1193" t="s">
        <v>59</v>
      </c>
      <c r="N1193" t="s">
        <v>59</v>
      </c>
      <c r="O1193" t="s">
        <v>59</v>
      </c>
      <c r="P1193" t="s">
        <v>59</v>
      </c>
      <c r="Q1193" t="s">
        <v>59</v>
      </c>
      <c r="R1193" t="s">
        <v>59</v>
      </c>
      <c r="S1193" t="s">
        <v>59</v>
      </c>
      <c r="T1193" t="s">
        <v>59</v>
      </c>
      <c r="U1193" t="s">
        <v>60</v>
      </c>
      <c r="V1193" t="s">
        <v>59</v>
      </c>
      <c r="W1193" t="s">
        <v>59</v>
      </c>
      <c r="X1193" t="s">
        <v>59</v>
      </c>
      <c r="Y1193" t="s">
        <v>59</v>
      </c>
      <c r="Z1193" t="s">
        <v>59</v>
      </c>
      <c r="AA1193" t="s">
        <v>59</v>
      </c>
      <c r="AB1193" t="s">
        <v>60</v>
      </c>
      <c r="AC1193" t="s">
        <v>59</v>
      </c>
      <c r="AD1193" t="s">
        <v>59</v>
      </c>
      <c r="AE1193" t="s">
        <v>59</v>
      </c>
      <c r="AF1193" t="s">
        <v>61</v>
      </c>
      <c r="AG1193" t="s">
        <v>59</v>
      </c>
      <c r="AH1193" t="s">
        <v>61</v>
      </c>
      <c r="AI1193" t="s">
        <v>61</v>
      </c>
      <c r="AJ1193" t="s">
        <v>59</v>
      </c>
      <c r="AK1193" t="s">
        <v>59</v>
      </c>
      <c r="AL1193" t="s">
        <v>60</v>
      </c>
      <c r="AM1193" t="s">
        <v>59</v>
      </c>
      <c r="AN1193" t="s">
        <v>59</v>
      </c>
      <c r="AO1193" t="s">
        <v>59</v>
      </c>
      <c r="AP1193" t="s">
        <v>1109</v>
      </c>
      <c r="AQ1193" s="1" t="s">
        <v>1188</v>
      </c>
      <c r="AR1193" t="s">
        <v>64</v>
      </c>
      <c r="AS1193" t="s">
        <v>89</v>
      </c>
      <c r="AT1193" t="s">
        <v>84</v>
      </c>
      <c r="AU1193" t="s">
        <v>219</v>
      </c>
      <c r="AW1193" s="4">
        <f t="shared" si="668"/>
        <v>6</v>
      </c>
      <c r="AX1193" s="4">
        <f t="shared" si="669"/>
        <v>4</v>
      </c>
      <c r="AY1193" s="4">
        <f t="shared" si="670"/>
        <v>4</v>
      </c>
      <c r="AZ1193" s="4">
        <f t="shared" si="671"/>
        <v>2</v>
      </c>
      <c r="BA1193" s="4">
        <f t="shared" si="672"/>
        <v>4</v>
      </c>
      <c r="BB1193" s="4">
        <f t="shared" si="673"/>
        <v>4</v>
      </c>
      <c r="BC1193" s="4">
        <f t="shared" si="674"/>
        <v>4</v>
      </c>
      <c r="BD1193" s="4">
        <f t="shared" si="675"/>
        <v>2</v>
      </c>
      <c r="BE1193" s="4" t="str">
        <f t="shared" si="676"/>
        <v>0</v>
      </c>
      <c r="BF1193" s="4">
        <f t="shared" si="677"/>
        <v>2</v>
      </c>
      <c r="BG1193" s="4">
        <f t="shared" si="678"/>
        <v>4</v>
      </c>
      <c r="BH1193" s="4">
        <f t="shared" si="679"/>
        <v>4</v>
      </c>
      <c r="BI1193" s="4">
        <f t="shared" si="680"/>
        <v>4</v>
      </c>
      <c r="BJ1193" s="4">
        <f t="shared" si="681"/>
        <v>2</v>
      </c>
      <c r="BK1193" s="4">
        <f t="shared" si="682"/>
        <v>4</v>
      </c>
      <c r="BL1193" s="4" t="str">
        <f t="shared" si="683"/>
        <v>0</v>
      </c>
      <c r="BM1193" s="4">
        <f t="shared" si="684"/>
        <v>4</v>
      </c>
      <c r="BN1193" s="4">
        <f t="shared" si="685"/>
        <v>4</v>
      </c>
      <c r="BO1193" s="4">
        <f t="shared" si="686"/>
        <v>4</v>
      </c>
      <c r="BP1193" s="4">
        <f t="shared" si="687"/>
        <v>4</v>
      </c>
      <c r="BQ1193" s="4">
        <f t="shared" si="688"/>
        <v>6</v>
      </c>
      <c r="BR1193" s="4">
        <f t="shared" si="689"/>
        <v>4</v>
      </c>
      <c r="BS1193" s="4">
        <f t="shared" si="690"/>
        <v>4</v>
      </c>
      <c r="BT1193" s="4">
        <f t="shared" si="691"/>
        <v>4</v>
      </c>
      <c r="BU1193" s="4">
        <f t="shared" si="692"/>
        <v>4</v>
      </c>
      <c r="BV1193" s="4" t="str">
        <f t="shared" si="693"/>
        <v>0</v>
      </c>
      <c r="BW1193" s="4">
        <f t="shared" si="694"/>
        <v>6</v>
      </c>
      <c r="BX1193" s="4">
        <f t="shared" si="695"/>
        <v>0</v>
      </c>
      <c r="BY1193" s="4">
        <f t="shared" si="696"/>
        <v>0</v>
      </c>
      <c r="BZ1193" s="37">
        <f t="shared" si="697"/>
        <v>94</v>
      </c>
      <c r="CA1193" s="32" t="str">
        <f>VLOOKUP(J:J,'Agent wise'!A:C,3,0)</f>
        <v>Saran S</v>
      </c>
      <c r="CB1193" s="32">
        <f t="shared" si="663"/>
        <v>45950</v>
      </c>
      <c r="CC1193" t="str">
        <f t="shared" si="698"/>
        <v>Good</v>
      </c>
      <c r="CE1193" s="32"/>
      <c r="CJ1193">
        <f t="shared" si="665"/>
        <v>20</v>
      </c>
      <c r="CK1193">
        <f t="shared" si="666"/>
        <v>10</v>
      </c>
      <c r="CL1193">
        <f t="shared" si="667"/>
        <v>2025</v>
      </c>
    </row>
    <row r="1194" spans="1:90" ht="15" customHeight="1" x14ac:dyDescent="0.35">
      <c r="A1194" t="s">
        <v>2939</v>
      </c>
      <c r="B1194" t="s">
        <v>130</v>
      </c>
      <c r="C1194" t="s">
        <v>214</v>
      </c>
      <c r="D1194" t="s">
        <v>131</v>
      </c>
      <c r="E1194" s="32">
        <v>45951</v>
      </c>
      <c r="F1194" t="s">
        <v>54</v>
      </c>
      <c r="G1194" t="s">
        <v>2915</v>
      </c>
      <c r="H1194">
        <v>919047360688</v>
      </c>
      <c r="I1194">
        <v>146</v>
      </c>
      <c r="J1194" t="s">
        <v>472</v>
      </c>
      <c r="K1194" t="s">
        <v>71</v>
      </c>
      <c r="L1194" t="s">
        <v>72</v>
      </c>
      <c r="M1194" t="s">
        <v>59</v>
      </c>
      <c r="N1194" t="s">
        <v>59</v>
      </c>
      <c r="O1194" t="s">
        <v>59</v>
      </c>
      <c r="P1194" t="s">
        <v>59</v>
      </c>
      <c r="Q1194" t="s">
        <v>59</v>
      </c>
      <c r="R1194" t="s">
        <v>59</v>
      </c>
      <c r="S1194" t="s">
        <v>59</v>
      </c>
      <c r="T1194" t="s">
        <v>59</v>
      </c>
      <c r="U1194" t="s">
        <v>60</v>
      </c>
      <c r="V1194" t="s">
        <v>59</v>
      </c>
      <c r="W1194" t="s">
        <v>59</v>
      </c>
      <c r="X1194" t="s">
        <v>59</v>
      </c>
      <c r="Y1194" t="s">
        <v>59</v>
      </c>
      <c r="Z1194" t="s">
        <v>59</v>
      </c>
      <c r="AA1194" t="s">
        <v>59</v>
      </c>
      <c r="AB1194" t="s">
        <v>60</v>
      </c>
      <c r="AC1194" t="s">
        <v>59</v>
      </c>
      <c r="AD1194" t="s">
        <v>59</v>
      </c>
      <c r="AE1194" t="s">
        <v>59</v>
      </c>
      <c r="AF1194" t="s">
        <v>61</v>
      </c>
      <c r="AG1194" t="s">
        <v>59</v>
      </c>
      <c r="AH1194" t="s">
        <v>61</v>
      </c>
      <c r="AI1194" t="s">
        <v>61</v>
      </c>
      <c r="AJ1194" t="s">
        <v>59</v>
      </c>
      <c r="AK1194" t="s">
        <v>59</v>
      </c>
      <c r="AL1194" t="s">
        <v>60</v>
      </c>
      <c r="AM1194" t="s">
        <v>59</v>
      </c>
      <c r="AN1194" t="s">
        <v>59</v>
      </c>
      <c r="AO1194" t="s">
        <v>59</v>
      </c>
      <c r="AP1194" t="s">
        <v>1119</v>
      </c>
      <c r="AQ1194" s="1" t="s">
        <v>2940</v>
      </c>
      <c r="AR1194" t="s">
        <v>64</v>
      </c>
      <c r="AS1194" t="s">
        <v>347</v>
      </c>
      <c r="AT1194" t="s">
        <v>1975</v>
      </c>
      <c r="AU1194" t="s">
        <v>219</v>
      </c>
      <c r="AW1194" s="4">
        <f t="shared" si="668"/>
        <v>6</v>
      </c>
      <c r="AX1194" s="4">
        <f t="shared" si="669"/>
        <v>4</v>
      </c>
      <c r="AY1194" s="4">
        <f t="shared" si="670"/>
        <v>4</v>
      </c>
      <c r="AZ1194" s="4">
        <f t="shared" si="671"/>
        <v>2</v>
      </c>
      <c r="BA1194" s="4">
        <f t="shared" si="672"/>
        <v>4</v>
      </c>
      <c r="BB1194" s="4">
        <f t="shared" si="673"/>
        <v>4</v>
      </c>
      <c r="BC1194" s="4">
        <f t="shared" si="674"/>
        <v>4</v>
      </c>
      <c r="BD1194" s="4">
        <f t="shared" si="675"/>
        <v>2</v>
      </c>
      <c r="BE1194" s="4" t="str">
        <f t="shared" si="676"/>
        <v>0</v>
      </c>
      <c r="BF1194" s="4">
        <f t="shared" si="677"/>
        <v>2</v>
      </c>
      <c r="BG1194" s="4">
        <f t="shared" si="678"/>
        <v>4</v>
      </c>
      <c r="BH1194" s="4">
        <f t="shared" si="679"/>
        <v>4</v>
      </c>
      <c r="BI1194" s="4">
        <f t="shared" si="680"/>
        <v>4</v>
      </c>
      <c r="BJ1194" s="4">
        <f t="shared" si="681"/>
        <v>2</v>
      </c>
      <c r="BK1194" s="4">
        <f t="shared" si="682"/>
        <v>4</v>
      </c>
      <c r="BL1194" s="4" t="str">
        <f t="shared" si="683"/>
        <v>0</v>
      </c>
      <c r="BM1194" s="4">
        <f t="shared" si="684"/>
        <v>4</v>
      </c>
      <c r="BN1194" s="4">
        <f t="shared" si="685"/>
        <v>4</v>
      </c>
      <c r="BO1194" s="4">
        <f t="shared" si="686"/>
        <v>4</v>
      </c>
      <c r="BP1194" s="4">
        <f t="shared" si="687"/>
        <v>4</v>
      </c>
      <c r="BQ1194" s="4">
        <f t="shared" si="688"/>
        <v>6</v>
      </c>
      <c r="BR1194" s="4">
        <f t="shared" si="689"/>
        <v>4</v>
      </c>
      <c r="BS1194" s="4">
        <f t="shared" si="690"/>
        <v>4</v>
      </c>
      <c r="BT1194" s="4">
        <f t="shared" si="691"/>
        <v>4</v>
      </c>
      <c r="BU1194" s="4">
        <f t="shared" si="692"/>
        <v>4</v>
      </c>
      <c r="BV1194" s="4" t="str">
        <f t="shared" si="693"/>
        <v>0</v>
      </c>
      <c r="BW1194" s="4">
        <f t="shared" si="694"/>
        <v>6</v>
      </c>
      <c r="BX1194" s="4">
        <f t="shared" si="695"/>
        <v>0</v>
      </c>
      <c r="BY1194" s="4">
        <f t="shared" si="696"/>
        <v>0</v>
      </c>
      <c r="BZ1194" s="37">
        <f t="shared" si="697"/>
        <v>94</v>
      </c>
      <c r="CA1194" s="32" t="str">
        <f>VLOOKUP(J:J,'Agent wise'!A:C,3,0)</f>
        <v>Saran S</v>
      </c>
      <c r="CB1194" s="32">
        <f t="shared" si="663"/>
        <v>45951</v>
      </c>
      <c r="CC1194" t="str">
        <f t="shared" si="698"/>
        <v>Good</v>
      </c>
      <c r="CE1194" s="32"/>
      <c r="CJ1194">
        <f t="shared" si="665"/>
        <v>21</v>
      </c>
      <c r="CK1194">
        <f t="shared" si="666"/>
        <v>10</v>
      </c>
      <c r="CL1194">
        <f t="shared" si="667"/>
        <v>2025</v>
      </c>
    </row>
    <row r="1195" spans="1:90" ht="15" customHeight="1" x14ac:dyDescent="0.35">
      <c r="A1195" t="s">
        <v>2941</v>
      </c>
      <c r="B1195" t="s">
        <v>100</v>
      </c>
      <c r="C1195" t="s">
        <v>214</v>
      </c>
      <c r="D1195" t="s">
        <v>101</v>
      </c>
      <c r="E1195" s="32">
        <v>45951</v>
      </c>
      <c r="F1195" t="s">
        <v>222</v>
      </c>
      <c r="G1195" t="s">
        <v>2811</v>
      </c>
      <c r="H1195">
        <v>8301831230</v>
      </c>
      <c r="I1195">
        <v>137</v>
      </c>
      <c r="J1195" t="s">
        <v>242</v>
      </c>
      <c r="K1195" t="s">
        <v>57</v>
      </c>
      <c r="L1195" t="s">
        <v>58</v>
      </c>
      <c r="M1195" t="s">
        <v>59</v>
      </c>
      <c r="N1195" t="s">
        <v>59</v>
      </c>
      <c r="O1195" t="s">
        <v>59</v>
      </c>
      <c r="P1195" t="s">
        <v>61</v>
      </c>
      <c r="Q1195" t="s">
        <v>61</v>
      </c>
      <c r="R1195" t="s">
        <v>59</v>
      </c>
      <c r="S1195" t="s">
        <v>59</v>
      </c>
      <c r="T1195" t="s">
        <v>59</v>
      </c>
      <c r="U1195" t="s">
        <v>59</v>
      </c>
      <c r="V1195" t="s">
        <v>59</v>
      </c>
      <c r="W1195" t="s">
        <v>59</v>
      </c>
      <c r="X1195" t="s">
        <v>61</v>
      </c>
      <c r="Y1195" t="s">
        <v>59</v>
      </c>
      <c r="Z1195" t="s">
        <v>59</v>
      </c>
      <c r="AA1195" t="s">
        <v>60</v>
      </c>
      <c r="AB1195" t="s">
        <v>61</v>
      </c>
      <c r="AC1195" t="s">
        <v>61</v>
      </c>
      <c r="AD1195" t="s">
        <v>59</v>
      </c>
      <c r="AE1195" t="s">
        <v>59</v>
      </c>
      <c r="AF1195" t="s">
        <v>61</v>
      </c>
      <c r="AG1195" t="s">
        <v>59</v>
      </c>
      <c r="AH1195" t="s">
        <v>61</v>
      </c>
      <c r="AI1195" t="s">
        <v>61</v>
      </c>
      <c r="AJ1195" t="s">
        <v>59</v>
      </c>
      <c r="AK1195" t="s">
        <v>61</v>
      </c>
      <c r="AL1195" t="s">
        <v>59</v>
      </c>
      <c r="AM1195" t="s">
        <v>59</v>
      </c>
      <c r="AN1195" t="s">
        <v>59</v>
      </c>
      <c r="AO1195" t="s">
        <v>59</v>
      </c>
      <c r="AP1195" t="s">
        <v>188</v>
      </c>
      <c r="AQ1195" s="1" t="s">
        <v>2942</v>
      </c>
      <c r="AR1195" t="s">
        <v>226</v>
      </c>
      <c r="AS1195" t="s">
        <v>352</v>
      </c>
      <c r="AT1195" t="s">
        <v>352</v>
      </c>
      <c r="AU1195" t="s">
        <v>299</v>
      </c>
      <c r="AW1195" s="4">
        <f t="shared" si="668"/>
        <v>6</v>
      </c>
      <c r="AX1195" s="4">
        <f t="shared" si="669"/>
        <v>4</v>
      </c>
      <c r="AY1195" s="4">
        <f t="shared" si="670"/>
        <v>4</v>
      </c>
      <c r="AZ1195" s="4">
        <f t="shared" si="671"/>
        <v>2</v>
      </c>
      <c r="BA1195" s="4">
        <f t="shared" si="672"/>
        <v>4</v>
      </c>
      <c r="BB1195" s="4">
        <f t="shared" si="673"/>
        <v>4</v>
      </c>
      <c r="BC1195" s="4">
        <f t="shared" si="674"/>
        <v>4</v>
      </c>
      <c r="BD1195" s="4">
        <f t="shared" si="675"/>
        <v>2</v>
      </c>
      <c r="BE1195" s="4">
        <f t="shared" si="676"/>
        <v>4</v>
      </c>
      <c r="BF1195" s="4">
        <f t="shared" si="677"/>
        <v>2</v>
      </c>
      <c r="BG1195" s="4">
        <f t="shared" si="678"/>
        <v>4</v>
      </c>
      <c r="BH1195" s="4">
        <f t="shared" si="679"/>
        <v>4</v>
      </c>
      <c r="BI1195" s="4">
        <f t="shared" si="680"/>
        <v>4</v>
      </c>
      <c r="BJ1195" s="4">
        <f t="shared" si="681"/>
        <v>2</v>
      </c>
      <c r="BK1195" s="4" t="str">
        <f t="shared" si="682"/>
        <v>0</v>
      </c>
      <c r="BL1195" s="4">
        <f t="shared" si="683"/>
        <v>2</v>
      </c>
      <c r="BM1195" s="4">
        <f t="shared" si="684"/>
        <v>4</v>
      </c>
      <c r="BN1195" s="4">
        <f t="shared" si="685"/>
        <v>4</v>
      </c>
      <c r="BO1195" s="4">
        <f t="shared" si="686"/>
        <v>4</v>
      </c>
      <c r="BP1195" s="4">
        <f t="shared" si="687"/>
        <v>4</v>
      </c>
      <c r="BQ1195" s="4">
        <f t="shared" si="688"/>
        <v>6</v>
      </c>
      <c r="BR1195" s="4">
        <f t="shared" si="689"/>
        <v>4</v>
      </c>
      <c r="BS1195" s="4">
        <f t="shared" si="690"/>
        <v>4</v>
      </c>
      <c r="BT1195" s="4">
        <f t="shared" si="691"/>
        <v>4</v>
      </c>
      <c r="BU1195" s="4">
        <f t="shared" si="692"/>
        <v>4</v>
      </c>
      <c r="BV1195" s="4">
        <f t="shared" si="693"/>
        <v>0</v>
      </c>
      <c r="BW1195" s="4">
        <f t="shared" si="694"/>
        <v>6</v>
      </c>
      <c r="BX1195" s="4">
        <f t="shared" si="695"/>
        <v>0</v>
      </c>
      <c r="BY1195" s="4">
        <f t="shared" si="696"/>
        <v>0</v>
      </c>
      <c r="BZ1195" s="37">
        <f t="shared" si="697"/>
        <v>96</v>
      </c>
      <c r="CA1195" s="32" t="str">
        <f>VLOOKUP(J:J,'Agent wise'!A:C,3,0)</f>
        <v>Amal</v>
      </c>
      <c r="CB1195" s="32">
        <f t="shared" si="663"/>
        <v>45951</v>
      </c>
      <c r="CC1195" t="str">
        <f t="shared" si="698"/>
        <v>Excellent</v>
      </c>
      <c r="CE1195" s="32"/>
      <c r="CJ1195">
        <f t="shared" si="665"/>
        <v>21</v>
      </c>
      <c r="CK1195">
        <f t="shared" si="666"/>
        <v>10</v>
      </c>
      <c r="CL1195">
        <f t="shared" si="667"/>
        <v>2025</v>
      </c>
    </row>
    <row r="1196" spans="1:90" ht="15" customHeight="1" x14ac:dyDescent="0.35">
      <c r="A1196" t="s">
        <v>2943</v>
      </c>
      <c r="B1196" t="s">
        <v>100</v>
      </c>
      <c r="C1196" t="s">
        <v>214</v>
      </c>
      <c r="D1196" t="s">
        <v>101</v>
      </c>
      <c r="E1196" s="32">
        <v>45951</v>
      </c>
      <c r="F1196" t="s">
        <v>222</v>
      </c>
      <c r="G1196" t="s">
        <v>2811</v>
      </c>
      <c r="H1196">
        <v>9995345080</v>
      </c>
      <c r="I1196">
        <v>131</v>
      </c>
      <c r="J1196" t="s">
        <v>67</v>
      </c>
      <c r="K1196" t="s">
        <v>57</v>
      </c>
      <c r="L1196" t="s">
        <v>58</v>
      </c>
      <c r="M1196" t="s">
        <v>59</v>
      </c>
      <c r="N1196" t="s">
        <v>59</v>
      </c>
      <c r="O1196" t="s">
        <v>59</v>
      </c>
      <c r="P1196" t="s">
        <v>59</v>
      </c>
      <c r="Q1196" t="s">
        <v>59</v>
      </c>
      <c r="R1196" t="s">
        <v>59</v>
      </c>
      <c r="S1196" t="s">
        <v>59</v>
      </c>
      <c r="T1196" t="s">
        <v>59</v>
      </c>
      <c r="U1196" t="s">
        <v>60</v>
      </c>
      <c r="V1196" t="s">
        <v>59</v>
      </c>
      <c r="W1196" t="s">
        <v>59</v>
      </c>
      <c r="X1196" t="s">
        <v>61</v>
      </c>
      <c r="Y1196" t="s">
        <v>59</v>
      </c>
      <c r="Z1196" t="s">
        <v>59</v>
      </c>
      <c r="AA1196" t="s">
        <v>60</v>
      </c>
      <c r="AB1196" t="s">
        <v>61</v>
      </c>
      <c r="AC1196" t="s">
        <v>61</v>
      </c>
      <c r="AD1196" t="s">
        <v>59</v>
      </c>
      <c r="AE1196" t="s">
        <v>59</v>
      </c>
      <c r="AF1196" t="s">
        <v>61</v>
      </c>
      <c r="AG1196" t="s">
        <v>59</v>
      </c>
      <c r="AH1196" t="s">
        <v>61</v>
      </c>
      <c r="AI1196" t="s">
        <v>61</v>
      </c>
      <c r="AJ1196" t="s">
        <v>59</v>
      </c>
      <c r="AK1196" t="s">
        <v>59</v>
      </c>
      <c r="AL1196" t="s">
        <v>60</v>
      </c>
      <c r="AM1196" t="s">
        <v>59</v>
      </c>
      <c r="AN1196" t="s">
        <v>59</v>
      </c>
      <c r="AO1196" t="s">
        <v>59</v>
      </c>
      <c r="AP1196" t="s">
        <v>188</v>
      </c>
      <c r="AQ1196" s="1" t="s">
        <v>2944</v>
      </c>
      <c r="AR1196" t="s">
        <v>226</v>
      </c>
      <c r="AS1196" t="s">
        <v>352</v>
      </c>
      <c r="AT1196" t="s">
        <v>352</v>
      </c>
      <c r="AU1196" t="s">
        <v>219</v>
      </c>
      <c r="AW1196" s="4">
        <f t="shared" si="668"/>
        <v>6</v>
      </c>
      <c r="AX1196" s="4">
        <f t="shared" si="669"/>
        <v>4</v>
      </c>
      <c r="AY1196" s="4">
        <f t="shared" si="670"/>
        <v>4</v>
      </c>
      <c r="AZ1196" s="4">
        <f t="shared" si="671"/>
        <v>2</v>
      </c>
      <c r="BA1196" s="4">
        <f t="shared" si="672"/>
        <v>4</v>
      </c>
      <c r="BB1196" s="4">
        <f t="shared" si="673"/>
        <v>4</v>
      </c>
      <c r="BC1196" s="4">
        <f t="shared" si="674"/>
        <v>4</v>
      </c>
      <c r="BD1196" s="4">
        <f t="shared" si="675"/>
        <v>2</v>
      </c>
      <c r="BE1196" s="4" t="str">
        <f t="shared" si="676"/>
        <v>0</v>
      </c>
      <c r="BF1196" s="4">
        <f t="shared" si="677"/>
        <v>2</v>
      </c>
      <c r="BG1196" s="4">
        <f t="shared" si="678"/>
        <v>4</v>
      </c>
      <c r="BH1196" s="4">
        <f t="shared" si="679"/>
        <v>4</v>
      </c>
      <c r="BI1196" s="4">
        <f t="shared" si="680"/>
        <v>4</v>
      </c>
      <c r="BJ1196" s="4">
        <f t="shared" si="681"/>
        <v>2</v>
      </c>
      <c r="BK1196" s="4" t="str">
        <f t="shared" si="682"/>
        <v>0</v>
      </c>
      <c r="BL1196" s="4">
        <f t="shared" si="683"/>
        <v>2</v>
      </c>
      <c r="BM1196" s="4">
        <f t="shared" si="684"/>
        <v>4</v>
      </c>
      <c r="BN1196" s="4">
        <f t="shared" si="685"/>
        <v>4</v>
      </c>
      <c r="BO1196" s="4">
        <f t="shared" si="686"/>
        <v>4</v>
      </c>
      <c r="BP1196" s="4">
        <f t="shared" si="687"/>
        <v>4</v>
      </c>
      <c r="BQ1196" s="4">
        <f t="shared" si="688"/>
        <v>6</v>
      </c>
      <c r="BR1196" s="4">
        <f t="shared" si="689"/>
        <v>4</v>
      </c>
      <c r="BS1196" s="4">
        <f t="shared" si="690"/>
        <v>4</v>
      </c>
      <c r="BT1196" s="4">
        <f t="shared" si="691"/>
        <v>4</v>
      </c>
      <c r="BU1196" s="4">
        <f t="shared" si="692"/>
        <v>4</v>
      </c>
      <c r="BV1196" s="4" t="str">
        <f t="shared" si="693"/>
        <v>0</v>
      </c>
      <c r="BW1196" s="4">
        <f t="shared" si="694"/>
        <v>6</v>
      </c>
      <c r="BX1196" s="4">
        <f t="shared" si="695"/>
        <v>0</v>
      </c>
      <c r="BY1196" s="4">
        <f t="shared" si="696"/>
        <v>0</v>
      </c>
      <c r="BZ1196" s="37">
        <f t="shared" si="697"/>
        <v>92</v>
      </c>
      <c r="CA1196" s="32" t="str">
        <f>VLOOKUP(J:J,'Agent wise'!A:C,3,0)</f>
        <v>Saran S</v>
      </c>
      <c r="CB1196" s="32">
        <f t="shared" si="663"/>
        <v>45951</v>
      </c>
      <c r="CC1196" t="str">
        <f t="shared" si="698"/>
        <v>Good</v>
      </c>
      <c r="CE1196" s="32"/>
      <c r="CJ1196">
        <f t="shared" si="665"/>
        <v>21</v>
      </c>
      <c r="CK1196">
        <f t="shared" si="666"/>
        <v>10</v>
      </c>
      <c r="CL1196">
        <f t="shared" si="667"/>
        <v>2025</v>
      </c>
    </row>
    <row r="1197" spans="1:90" ht="15" customHeight="1" x14ac:dyDescent="0.35">
      <c r="A1197" t="s">
        <v>2945</v>
      </c>
      <c r="B1197" t="s">
        <v>100</v>
      </c>
      <c r="C1197" t="s">
        <v>214</v>
      </c>
      <c r="D1197" t="s">
        <v>101</v>
      </c>
      <c r="E1197" s="32">
        <v>45951</v>
      </c>
      <c r="F1197" t="s">
        <v>222</v>
      </c>
      <c r="G1197" t="s">
        <v>2811</v>
      </c>
      <c r="H1197">
        <v>8147556209</v>
      </c>
      <c r="I1197">
        <v>135</v>
      </c>
      <c r="J1197" t="s">
        <v>132</v>
      </c>
      <c r="K1197" t="s">
        <v>57</v>
      </c>
      <c r="L1197" t="s">
        <v>58</v>
      </c>
      <c r="M1197" t="s">
        <v>59</v>
      </c>
      <c r="N1197" t="s">
        <v>59</v>
      </c>
      <c r="O1197" t="s">
        <v>60</v>
      </c>
      <c r="P1197" t="s">
        <v>59</v>
      </c>
      <c r="Q1197" t="s">
        <v>59</v>
      </c>
      <c r="R1197" t="s">
        <v>59</v>
      </c>
      <c r="S1197" t="s">
        <v>59</v>
      </c>
      <c r="T1197" t="s">
        <v>59</v>
      </c>
      <c r="U1197" t="s">
        <v>60</v>
      </c>
      <c r="V1197" t="s">
        <v>59</v>
      </c>
      <c r="W1197" t="s">
        <v>59</v>
      </c>
      <c r="X1197" t="s">
        <v>61</v>
      </c>
      <c r="Y1197" t="s">
        <v>59</v>
      </c>
      <c r="Z1197" t="s">
        <v>59</v>
      </c>
      <c r="AA1197" t="s">
        <v>59</v>
      </c>
      <c r="AB1197" t="s">
        <v>59</v>
      </c>
      <c r="AC1197" t="s">
        <v>61</v>
      </c>
      <c r="AD1197" t="s">
        <v>59</v>
      </c>
      <c r="AE1197" t="s">
        <v>59</v>
      </c>
      <c r="AF1197" t="s">
        <v>61</v>
      </c>
      <c r="AG1197" t="s">
        <v>59</v>
      </c>
      <c r="AH1197" t="s">
        <v>61</v>
      </c>
      <c r="AI1197" t="s">
        <v>61</v>
      </c>
      <c r="AJ1197" t="s">
        <v>59</v>
      </c>
      <c r="AK1197" t="s">
        <v>61</v>
      </c>
      <c r="AL1197" t="s">
        <v>59</v>
      </c>
      <c r="AM1197" t="s">
        <v>59</v>
      </c>
      <c r="AN1197" t="s">
        <v>59</v>
      </c>
      <c r="AO1197" t="s">
        <v>59</v>
      </c>
      <c r="AP1197" t="s">
        <v>2946</v>
      </c>
      <c r="AQ1197" s="1" t="s">
        <v>2947</v>
      </c>
      <c r="AR1197" t="s">
        <v>226</v>
      </c>
      <c r="AS1197" t="s">
        <v>352</v>
      </c>
      <c r="AT1197" t="s">
        <v>352</v>
      </c>
      <c r="AU1197" t="s">
        <v>219</v>
      </c>
      <c r="AW1197" s="4">
        <f t="shared" si="668"/>
        <v>6</v>
      </c>
      <c r="AX1197" s="4">
        <f t="shared" si="669"/>
        <v>4</v>
      </c>
      <c r="AY1197" s="4" t="str">
        <f t="shared" si="670"/>
        <v>0</v>
      </c>
      <c r="AZ1197" s="4">
        <f t="shared" si="671"/>
        <v>2</v>
      </c>
      <c r="BA1197" s="4">
        <f t="shared" si="672"/>
        <v>4</v>
      </c>
      <c r="BB1197" s="4">
        <f t="shared" si="673"/>
        <v>4</v>
      </c>
      <c r="BC1197" s="4">
        <f t="shared" si="674"/>
        <v>4</v>
      </c>
      <c r="BD1197" s="4">
        <f t="shared" si="675"/>
        <v>2</v>
      </c>
      <c r="BE1197" s="4" t="str">
        <f t="shared" si="676"/>
        <v>0</v>
      </c>
      <c r="BF1197" s="4">
        <f t="shared" si="677"/>
        <v>2</v>
      </c>
      <c r="BG1197" s="4">
        <f t="shared" si="678"/>
        <v>4</v>
      </c>
      <c r="BH1197" s="4">
        <f t="shared" si="679"/>
        <v>4</v>
      </c>
      <c r="BI1197" s="4">
        <f t="shared" si="680"/>
        <v>4</v>
      </c>
      <c r="BJ1197" s="4">
        <f t="shared" si="681"/>
        <v>2</v>
      </c>
      <c r="BK1197" s="4">
        <f t="shared" si="682"/>
        <v>4</v>
      </c>
      <c r="BL1197" s="4">
        <f t="shared" si="683"/>
        <v>2</v>
      </c>
      <c r="BM1197" s="4">
        <f t="shared" si="684"/>
        <v>4</v>
      </c>
      <c r="BN1197" s="4">
        <f t="shared" si="685"/>
        <v>4</v>
      </c>
      <c r="BO1197" s="4">
        <f t="shared" si="686"/>
        <v>4</v>
      </c>
      <c r="BP1197" s="4">
        <f t="shared" si="687"/>
        <v>4</v>
      </c>
      <c r="BQ1197" s="4">
        <f t="shared" si="688"/>
        <v>6</v>
      </c>
      <c r="BR1197" s="4">
        <f t="shared" si="689"/>
        <v>4</v>
      </c>
      <c r="BS1197" s="4">
        <f t="shared" si="690"/>
        <v>4</v>
      </c>
      <c r="BT1197" s="4">
        <f t="shared" si="691"/>
        <v>4</v>
      </c>
      <c r="BU1197" s="4">
        <f t="shared" si="692"/>
        <v>4</v>
      </c>
      <c r="BV1197" s="4">
        <f t="shared" si="693"/>
        <v>0</v>
      </c>
      <c r="BW1197" s="4">
        <f t="shared" si="694"/>
        <v>6</v>
      </c>
      <c r="BX1197" s="4">
        <f t="shared" si="695"/>
        <v>0</v>
      </c>
      <c r="BY1197" s="4">
        <f t="shared" si="696"/>
        <v>0</v>
      </c>
      <c r="BZ1197" s="37">
        <f t="shared" si="697"/>
        <v>92</v>
      </c>
      <c r="CA1197" s="32" t="str">
        <f>VLOOKUP(J:J,'Agent wise'!A:C,3,0)</f>
        <v>Shakeer</v>
      </c>
      <c r="CB1197" s="32">
        <f t="shared" si="663"/>
        <v>45951</v>
      </c>
      <c r="CC1197" t="str">
        <f t="shared" si="698"/>
        <v>Good</v>
      </c>
      <c r="CE1197" s="32"/>
      <c r="CJ1197">
        <f t="shared" si="665"/>
        <v>21</v>
      </c>
      <c r="CK1197">
        <f t="shared" si="666"/>
        <v>10</v>
      </c>
      <c r="CL1197">
        <f t="shared" si="667"/>
        <v>2025</v>
      </c>
    </row>
    <row r="1198" spans="1:90" ht="15" customHeight="1" x14ac:dyDescent="0.35">
      <c r="A1198" t="s">
        <v>2948</v>
      </c>
      <c r="B1198" t="s">
        <v>100</v>
      </c>
      <c r="C1198" t="s">
        <v>214</v>
      </c>
      <c r="D1198" t="s">
        <v>101</v>
      </c>
      <c r="E1198" s="32">
        <v>45951</v>
      </c>
      <c r="F1198" t="s">
        <v>222</v>
      </c>
      <c r="G1198" t="s">
        <v>2811</v>
      </c>
      <c r="H1198">
        <v>6369106074</v>
      </c>
      <c r="I1198">
        <v>137</v>
      </c>
      <c r="J1198" t="s">
        <v>252</v>
      </c>
      <c r="K1198" t="s">
        <v>57</v>
      </c>
      <c r="L1198" t="s">
        <v>72</v>
      </c>
      <c r="M1198" t="s">
        <v>59</v>
      </c>
      <c r="N1198" t="s">
        <v>59</v>
      </c>
      <c r="O1198" t="s">
        <v>60</v>
      </c>
      <c r="P1198" t="s">
        <v>59</v>
      </c>
      <c r="Q1198" t="s">
        <v>59</v>
      </c>
      <c r="R1198" t="s">
        <v>59</v>
      </c>
      <c r="S1198" t="s">
        <v>59</v>
      </c>
      <c r="T1198" t="s">
        <v>59</v>
      </c>
      <c r="U1198" t="s">
        <v>60</v>
      </c>
      <c r="V1198" t="s">
        <v>59</v>
      </c>
      <c r="W1198" t="s">
        <v>59</v>
      </c>
      <c r="X1198" t="s">
        <v>61</v>
      </c>
      <c r="Y1198" t="s">
        <v>59</v>
      </c>
      <c r="Z1198" t="s">
        <v>59</v>
      </c>
      <c r="AA1198" t="s">
        <v>60</v>
      </c>
      <c r="AB1198" t="s">
        <v>61</v>
      </c>
      <c r="AC1198" t="s">
        <v>61</v>
      </c>
      <c r="AD1198" t="s">
        <v>59</v>
      </c>
      <c r="AE1198" t="s">
        <v>59</v>
      </c>
      <c r="AF1198" t="s">
        <v>61</v>
      </c>
      <c r="AG1198" t="s">
        <v>59</v>
      </c>
      <c r="AH1198" t="s">
        <v>61</v>
      </c>
      <c r="AI1198" t="s">
        <v>61</v>
      </c>
      <c r="AJ1198" t="s">
        <v>59</v>
      </c>
      <c r="AK1198" t="s">
        <v>61</v>
      </c>
      <c r="AL1198" t="s">
        <v>60</v>
      </c>
      <c r="AM1198" t="s">
        <v>59</v>
      </c>
      <c r="AN1198" t="s">
        <v>59</v>
      </c>
      <c r="AO1198" t="s">
        <v>59</v>
      </c>
      <c r="AP1198" t="s">
        <v>188</v>
      </c>
      <c r="AQ1198" s="1" t="s">
        <v>2949</v>
      </c>
      <c r="AR1198" t="s">
        <v>226</v>
      </c>
      <c r="AS1198" t="s">
        <v>352</v>
      </c>
      <c r="AT1198" t="s">
        <v>352</v>
      </c>
      <c r="AU1198" t="s">
        <v>299</v>
      </c>
      <c r="AW1198" s="4">
        <f t="shared" si="668"/>
        <v>6</v>
      </c>
      <c r="AX1198" s="4">
        <f t="shared" si="669"/>
        <v>4</v>
      </c>
      <c r="AY1198" s="4" t="str">
        <f t="shared" si="670"/>
        <v>0</v>
      </c>
      <c r="AZ1198" s="4">
        <f t="shared" si="671"/>
        <v>2</v>
      </c>
      <c r="BA1198" s="4">
        <f t="shared" si="672"/>
        <v>4</v>
      </c>
      <c r="BB1198" s="4">
        <f t="shared" si="673"/>
        <v>4</v>
      </c>
      <c r="BC1198" s="4">
        <f t="shared" si="674"/>
        <v>4</v>
      </c>
      <c r="BD1198" s="4">
        <f t="shared" si="675"/>
        <v>2</v>
      </c>
      <c r="BE1198" s="4" t="str">
        <f t="shared" si="676"/>
        <v>0</v>
      </c>
      <c r="BF1198" s="4">
        <f t="shared" si="677"/>
        <v>2</v>
      </c>
      <c r="BG1198" s="4">
        <f t="shared" si="678"/>
        <v>4</v>
      </c>
      <c r="BH1198" s="4">
        <f t="shared" si="679"/>
        <v>4</v>
      </c>
      <c r="BI1198" s="4">
        <f t="shared" si="680"/>
        <v>4</v>
      </c>
      <c r="BJ1198" s="4">
        <f t="shared" si="681"/>
        <v>2</v>
      </c>
      <c r="BK1198" s="4" t="str">
        <f t="shared" si="682"/>
        <v>0</v>
      </c>
      <c r="BL1198" s="4">
        <f t="shared" si="683"/>
        <v>2</v>
      </c>
      <c r="BM1198" s="4">
        <f t="shared" si="684"/>
        <v>4</v>
      </c>
      <c r="BN1198" s="4">
        <f t="shared" si="685"/>
        <v>4</v>
      </c>
      <c r="BO1198" s="4">
        <f t="shared" si="686"/>
        <v>4</v>
      </c>
      <c r="BP1198" s="4">
        <f t="shared" si="687"/>
        <v>4</v>
      </c>
      <c r="BQ1198" s="4">
        <f t="shared" si="688"/>
        <v>6</v>
      </c>
      <c r="BR1198" s="4">
        <f t="shared" si="689"/>
        <v>4</v>
      </c>
      <c r="BS1198" s="4">
        <f t="shared" si="690"/>
        <v>4</v>
      </c>
      <c r="BT1198" s="4">
        <f t="shared" si="691"/>
        <v>4</v>
      </c>
      <c r="BU1198" s="4">
        <f t="shared" si="692"/>
        <v>4</v>
      </c>
      <c r="BV1198" s="4" t="str">
        <f t="shared" si="693"/>
        <v>0</v>
      </c>
      <c r="BW1198" s="4">
        <f t="shared" si="694"/>
        <v>6</v>
      </c>
      <c r="BX1198" s="4">
        <f t="shared" si="695"/>
        <v>0</v>
      </c>
      <c r="BY1198" s="4">
        <f t="shared" si="696"/>
        <v>0</v>
      </c>
      <c r="BZ1198" s="37">
        <f t="shared" si="697"/>
        <v>88</v>
      </c>
      <c r="CA1198" s="32" t="str">
        <f>VLOOKUP(J:J,'Agent wise'!A:C,3,0)</f>
        <v xml:space="preserve">Shiny </v>
      </c>
      <c r="CB1198" s="32">
        <f t="shared" si="663"/>
        <v>45951</v>
      </c>
      <c r="CC1198" t="str">
        <f t="shared" si="698"/>
        <v>Average</v>
      </c>
      <c r="CE1198" s="32"/>
      <c r="CJ1198">
        <f t="shared" si="665"/>
        <v>21</v>
      </c>
      <c r="CK1198">
        <f t="shared" si="666"/>
        <v>10</v>
      </c>
      <c r="CL1198">
        <f t="shared" si="667"/>
        <v>2025</v>
      </c>
    </row>
    <row r="1199" spans="1:90" ht="15" customHeight="1" x14ac:dyDescent="0.35">
      <c r="A1199" t="s">
        <v>2950</v>
      </c>
      <c r="B1199" t="s">
        <v>100</v>
      </c>
      <c r="C1199" t="s">
        <v>214</v>
      </c>
      <c r="D1199" t="s">
        <v>101</v>
      </c>
      <c r="E1199" s="32">
        <v>45951</v>
      </c>
      <c r="F1199" t="s">
        <v>222</v>
      </c>
      <c r="G1199" t="s">
        <v>2811</v>
      </c>
      <c r="H1199">
        <v>9786943349</v>
      </c>
      <c r="I1199">
        <v>165</v>
      </c>
      <c r="J1199" t="s">
        <v>548</v>
      </c>
      <c r="K1199" t="s">
        <v>71</v>
      </c>
      <c r="L1199" t="s">
        <v>72</v>
      </c>
      <c r="M1199" t="s">
        <v>59</v>
      </c>
      <c r="N1199" t="s">
        <v>59</v>
      </c>
      <c r="O1199" t="s">
        <v>59</v>
      </c>
      <c r="P1199" t="s">
        <v>59</v>
      </c>
      <c r="Q1199" t="s">
        <v>59</v>
      </c>
      <c r="R1199" t="s">
        <v>59</v>
      </c>
      <c r="S1199" t="s">
        <v>59</v>
      </c>
      <c r="T1199" t="s">
        <v>59</v>
      </c>
      <c r="U1199" t="s">
        <v>60</v>
      </c>
      <c r="V1199" t="s">
        <v>59</v>
      </c>
      <c r="W1199" t="s">
        <v>59</v>
      </c>
      <c r="X1199" t="s">
        <v>61</v>
      </c>
      <c r="Y1199" t="s">
        <v>59</v>
      </c>
      <c r="Z1199" t="s">
        <v>59</v>
      </c>
      <c r="AA1199" t="s">
        <v>60</v>
      </c>
      <c r="AB1199" t="s">
        <v>61</v>
      </c>
      <c r="AC1199" t="s">
        <v>59</v>
      </c>
      <c r="AD1199" t="s">
        <v>59</v>
      </c>
      <c r="AE1199" t="s">
        <v>59</v>
      </c>
      <c r="AF1199" t="s">
        <v>61</v>
      </c>
      <c r="AG1199" t="s">
        <v>59</v>
      </c>
      <c r="AH1199" t="s">
        <v>61</v>
      </c>
      <c r="AI1199" t="s">
        <v>59</v>
      </c>
      <c r="AJ1199" t="s">
        <v>59</v>
      </c>
      <c r="AK1199" t="s">
        <v>61</v>
      </c>
      <c r="AL1199" t="s">
        <v>60</v>
      </c>
      <c r="AM1199" t="s">
        <v>59</v>
      </c>
      <c r="AN1199" t="s">
        <v>59</v>
      </c>
      <c r="AO1199" t="s">
        <v>59</v>
      </c>
      <c r="AP1199" t="s">
        <v>188</v>
      </c>
      <c r="AQ1199" s="1" t="s">
        <v>2951</v>
      </c>
      <c r="AR1199" t="s">
        <v>226</v>
      </c>
      <c r="AS1199" t="s">
        <v>352</v>
      </c>
      <c r="AT1199" t="s">
        <v>352</v>
      </c>
      <c r="AU1199" t="s">
        <v>299</v>
      </c>
      <c r="AW1199" s="4">
        <f t="shared" si="668"/>
        <v>6</v>
      </c>
      <c r="AX1199" s="4">
        <f t="shared" si="669"/>
        <v>4</v>
      </c>
      <c r="AY1199" s="4">
        <f t="shared" si="670"/>
        <v>4</v>
      </c>
      <c r="AZ1199" s="4">
        <f t="shared" si="671"/>
        <v>2</v>
      </c>
      <c r="BA1199" s="4">
        <f t="shared" si="672"/>
        <v>4</v>
      </c>
      <c r="BB1199" s="4">
        <f t="shared" si="673"/>
        <v>4</v>
      </c>
      <c r="BC1199" s="4">
        <f t="shared" si="674"/>
        <v>4</v>
      </c>
      <c r="BD1199" s="4">
        <f t="shared" si="675"/>
        <v>2</v>
      </c>
      <c r="BE1199" s="4" t="str">
        <f t="shared" si="676"/>
        <v>0</v>
      </c>
      <c r="BF1199" s="4">
        <f t="shared" si="677"/>
        <v>2</v>
      </c>
      <c r="BG1199" s="4">
        <f t="shared" si="678"/>
        <v>4</v>
      </c>
      <c r="BH1199" s="4">
        <f t="shared" si="679"/>
        <v>4</v>
      </c>
      <c r="BI1199" s="4">
        <f t="shared" si="680"/>
        <v>4</v>
      </c>
      <c r="BJ1199" s="4">
        <f t="shared" si="681"/>
        <v>2</v>
      </c>
      <c r="BK1199" s="4" t="str">
        <f t="shared" si="682"/>
        <v>0</v>
      </c>
      <c r="BL1199" s="4">
        <f t="shared" si="683"/>
        <v>2</v>
      </c>
      <c r="BM1199" s="4">
        <f t="shared" si="684"/>
        <v>4</v>
      </c>
      <c r="BN1199" s="4">
        <f t="shared" si="685"/>
        <v>4</v>
      </c>
      <c r="BO1199" s="4">
        <f t="shared" si="686"/>
        <v>4</v>
      </c>
      <c r="BP1199" s="4">
        <f t="shared" si="687"/>
        <v>4</v>
      </c>
      <c r="BQ1199" s="4">
        <f t="shared" si="688"/>
        <v>6</v>
      </c>
      <c r="BR1199" s="4">
        <f t="shared" si="689"/>
        <v>4</v>
      </c>
      <c r="BS1199" s="4">
        <f t="shared" si="690"/>
        <v>4</v>
      </c>
      <c r="BT1199" s="4">
        <f t="shared" si="691"/>
        <v>4</v>
      </c>
      <c r="BU1199" s="4">
        <f t="shared" si="692"/>
        <v>4</v>
      </c>
      <c r="BV1199" s="4" t="str">
        <f t="shared" si="693"/>
        <v>0</v>
      </c>
      <c r="BW1199" s="4">
        <f t="shared" si="694"/>
        <v>6</v>
      </c>
      <c r="BX1199" s="4">
        <f t="shared" si="695"/>
        <v>0</v>
      </c>
      <c r="BY1199" s="4">
        <f t="shared" si="696"/>
        <v>0</v>
      </c>
      <c r="BZ1199" s="37">
        <f t="shared" si="697"/>
        <v>92</v>
      </c>
      <c r="CA1199" s="32" t="str">
        <f>VLOOKUP(J:J,'Agent wise'!A:C,3,0)</f>
        <v>Adharsh</v>
      </c>
      <c r="CB1199" s="32">
        <f t="shared" si="663"/>
        <v>45951</v>
      </c>
      <c r="CC1199" t="str">
        <f t="shared" si="698"/>
        <v>Good</v>
      </c>
      <c r="CE1199" s="32"/>
      <c r="CJ1199">
        <f t="shared" si="665"/>
        <v>21</v>
      </c>
      <c r="CK1199">
        <f t="shared" si="666"/>
        <v>10</v>
      </c>
      <c r="CL1199">
        <f t="shared" si="667"/>
        <v>2025</v>
      </c>
    </row>
    <row r="1200" spans="1:90" ht="15" customHeight="1" x14ac:dyDescent="0.35">
      <c r="A1200" t="s">
        <v>2952</v>
      </c>
      <c r="B1200" t="s">
        <v>100</v>
      </c>
      <c r="C1200" t="s">
        <v>214</v>
      </c>
      <c r="D1200" t="s">
        <v>101</v>
      </c>
      <c r="E1200" s="32">
        <v>45951</v>
      </c>
      <c r="F1200" t="s">
        <v>222</v>
      </c>
      <c r="G1200" t="s">
        <v>2811</v>
      </c>
      <c r="H1200">
        <v>9790956924</v>
      </c>
      <c r="I1200">
        <v>148</v>
      </c>
      <c r="J1200" t="s">
        <v>223</v>
      </c>
      <c r="K1200" t="s">
        <v>86</v>
      </c>
      <c r="L1200" t="s">
        <v>72</v>
      </c>
      <c r="M1200" t="s">
        <v>59</v>
      </c>
      <c r="N1200" t="s">
        <v>59</v>
      </c>
      <c r="O1200" t="s">
        <v>59</v>
      </c>
      <c r="P1200" t="s">
        <v>59</v>
      </c>
      <c r="Q1200" t="s">
        <v>59</v>
      </c>
      <c r="R1200" t="s">
        <v>59</v>
      </c>
      <c r="S1200" t="s">
        <v>59</v>
      </c>
      <c r="T1200" t="s">
        <v>59</v>
      </c>
      <c r="U1200" t="s">
        <v>59</v>
      </c>
      <c r="V1200" t="s">
        <v>59</v>
      </c>
      <c r="W1200" t="s">
        <v>59</v>
      </c>
      <c r="X1200" t="s">
        <v>61</v>
      </c>
      <c r="Y1200" t="s">
        <v>59</v>
      </c>
      <c r="Z1200" t="s">
        <v>59</v>
      </c>
      <c r="AA1200" t="s">
        <v>60</v>
      </c>
      <c r="AB1200" t="s">
        <v>59</v>
      </c>
      <c r="AC1200" t="s">
        <v>61</v>
      </c>
      <c r="AD1200" t="s">
        <v>59</v>
      </c>
      <c r="AE1200" t="s">
        <v>59</v>
      </c>
      <c r="AF1200" t="s">
        <v>61</v>
      </c>
      <c r="AG1200" t="s">
        <v>59</v>
      </c>
      <c r="AH1200" t="s">
        <v>61</v>
      </c>
      <c r="AI1200" t="s">
        <v>59</v>
      </c>
      <c r="AJ1200" t="s">
        <v>59</v>
      </c>
      <c r="AK1200" t="s">
        <v>59</v>
      </c>
      <c r="AL1200" t="s">
        <v>60</v>
      </c>
      <c r="AM1200" t="s">
        <v>59</v>
      </c>
      <c r="AN1200" t="s">
        <v>59</v>
      </c>
      <c r="AO1200" t="s">
        <v>59</v>
      </c>
      <c r="AP1200" t="s">
        <v>188</v>
      </c>
      <c r="AQ1200" s="1" t="s">
        <v>2951</v>
      </c>
      <c r="AR1200" t="s">
        <v>226</v>
      </c>
      <c r="AS1200" t="s">
        <v>352</v>
      </c>
      <c r="AT1200" t="s">
        <v>352</v>
      </c>
      <c r="AU1200" t="s">
        <v>219</v>
      </c>
      <c r="AW1200" s="4">
        <f t="shared" si="668"/>
        <v>6</v>
      </c>
      <c r="AX1200" s="4">
        <f t="shared" si="669"/>
        <v>4</v>
      </c>
      <c r="AY1200" s="4">
        <f t="shared" si="670"/>
        <v>4</v>
      </c>
      <c r="AZ1200" s="4">
        <f t="shared" si="671"/>
        <v>2</v>
      </c>
      <c r="BA1200" s="4">
        <f t="shared" si="672"/>
        <v>4</v>
      </c>
      <c r="BB1200" s="4">
        <f t="shared" si="673"/>
        <v>4</v>
      </c>
      <c r="BC1200" s="4">
        <f t="shared" si="674"/>
        <v>4</v>
      </c>
      <c r="BD1200" s="4">
        <f t="shared" si="675"/>
        <v>2</v>
      </c>
      <c r="BE1200" s="4">
        <f t="shared" si="676"/>
        <v>4</v>
      </c>
      <c r="BF1200" s="4">
        <f t="shared" si="677"/>
        <v>2</v>
      </c>
      <c r="BG1200" s="4">
        <f t="shared" si="678"/>
        <v>4</v>
      </c>
      <c r="BH1200" s="4">
        <f t="shared" si="679"/>
        <v>4</v>
      </c>
      <c r="BI1200" s="4">
        <f t="shared" si="680"/>
        <v>4</v>
      </c>
      <c r="BJ1200" s="4">
        <f t="shared" si="681"/>
        <v>2</v>
      </c>
      <c r="BK1200" s="4" t="str">
        <f t="shared" si="682"/>
        <v>0</v>
      </c>
      <c r="BL1200" s="4">
        <f t="shared" si="683"/>
        <v>2</v>
      </c>
      <c r="BM1200" s="4">
        <f t="shared" si="684"/>
        <v>4</v>
      </c>
      <c r="BN1200" s="4">
        <f t="shared" si="685"/>
        <v>4</v>
      </c>
      <c r="BO1200" s="4">
        <f t="shared" si="686"/>
        <v>4</v>
      </c>
      <c r="BP1200" s="4">
        <f t="shared" si="687"/>
        <v>4</v>
      </c>
      <c r="BQ1200" s="4">
        <f t="shared" si="688"/>
        <v>6</v>
      </c>
      <c r="BR1200" s="4">
        <f t="shared" si="689"/>
        <v>4</v>
      </c>
      <c r="BS1200" s="4">
        <f t="shared" si="690"/>
        <v>4</v>
      </c>
      <c r="BT1200" s="4">
        <f t="shared" si="691"/>
        <v>4</v>
      </c>
      <c r="BU1200" s="4">
        <f t="shared" si="692"/>
        <v>4</v>
      </c>
      <c r="BV1200" s="4" t="str">
        <f t="shared" si="693"/>
        <v>0</v>
      </c>
      <c r="BW1200" s="4">
        <f t="shared" si="694"/>
        <v>6</v>
      </c>
      <c r="BX1200" s="4">
        <f t="shared" si="695"/>
        <v>0</v>
      </c>
      <c r="BY1200" s="4">
        <f t="shared" si="696"/>
        <v>0</v>
      </c>
      <c r="BZ1200" s="37">
        <f t="shared" si="697"/>
        <v>96</v>
      </c>
      <c r="CA1200" s="32" t="str">
        <f>VLOOKUP(J:J,'Agent wise'!A:C,3,0)</f>
        <v>Amal</v>
      </c>
      <c r="CB1200" s="32">
        <f t="shared" si="663"/>
        <v>45951</v>
      </c>
      <c r="CC1200" t="str">
        <f t="shared" si="698"/>
        <v>Excellent</v>
      </c>
      <c r="CE1200" s="32"/>
      <c r="CJ1200">
        <f t="shared" si="665"/>
        <v>21</v>
      </c>
      <c r="CK1200">
        <f t="shared" si="666"/>
        <v>10</v>
      </c>
      <c r="CL1200">
        <f t="shared" si="667"/>
        <v>2025</v>
      </c>
    </row>
    <row r="1201" spans="1:90" ht="15" customHeight="1" x14ac:dyDescent="0.35">
      <c r="A1201" t="s">
        <v>2953</v>
      </c>
      <c r="B1201" t="s">
        <v>100</v>
      </c>
      <c r="C1201" t="s">
        <v>214</v>
      </c>
      <c r="D1201" t="s">
        <v>101</v>
      </c>
      <c r="E1201" s="32">
        <v>45951</v>
      </c>
      <c r="F1201" t="s">
        <v>222</v>
      </c>
      <c r="G1201" t="s">
        <v>2811</v>
      </c>
      <c r="H1201">
        <v>9066543543</v>
      </c>
      <c r="I1201">
        <v>141</v>
      </c>
      <c r="J1201" t="s">
        <v>570</v>
      </c>
      <c r="K1201" t="s">
        <v>57</v>
      </c>
      <c r="L1201" t="s">
        <v>58</v>
      </c>
      <c r="M1201" t="s">
        <v>59</v>
      </c>
      <c r="N1201" t="s">
        <v>59</v>
      </c>
      <c r="O1201" t="s">
        <v>59</v>
      </c>
      <c r="P1201" t="s">
        <v>59</v>
      </c>
      <c r="Q1201" t="s">
        <v>59</v>
      </c>
      <c r="R1201" t="s">
        <v>59</v>
      </c>
      <c r="S1201" t="s">
        <v>59</v>
      </c>
      <c r="T1201" t="s">
        <v>59</v>
      </c>
      <c r="U1201" t="s">
        <v>60</v>
      </c>
      <c r="V1201" t="s">
        <v>59</v>
      </c>
      <c r="W1201" t="s">
        <v>59</v>
      </c>
      <c r="X1201" t="s">
        <v>61</v>
      </c>
      <c r="Y1201" t="s">
        <v>59</v>
      </c>
      <c r="Z1201" t="s">
        <v>59</v>
      </c>
      <c r="AA1201" t="s">
        <v>60</v>
      </c>
      <c r="AB1201" t="s">
        <v>60</v>
      </c>
      <c r="AC1201" t="s">
        <v>61</v>
      </c>
      <c r="AD1201" t="s">
        <v>59</v>
      </c>
      <c r="AE1201" t="s">
        <v>59</v>
      </c>
      <c r="AF1201" t="s">
        <v>59</v>
      </c>
      <c r="AG1201" t="s">
        <v>59</v>
      </c>
      <c r="AH1201" t="s">
        <v>59</v>
      </c>
      <c r="AI1201" t="s">
        <v>60</v>
      </c>
      <c r="AJ1201" t="s">
        <v>59</v>
      </c>
      <c r="AK1201" t="s">
        <v>61</v>
      </c>
      <c r="AL1201" t="s">
        <v>60</v>
      </c>
      <c r="AM1201" t="s">
        <v>59</v>
      </c>
      <c r="AN1201" t="s">
        <v>59</v>
      </c>
      <c r="AO1201" t="s">
        <v>59</v>
      </c>
      <c r="AP1201" t="s">
        <v>798</v>
      </c>
      <c r="AQ1201" s="1" t="s">
        <v>2954</v>
      </c>
      <c r="AR1201" t="s">
        <v>226</v>
      </c>
      <c r="AS1201" t="s">
        <v>352</v>
      </c>
      <c r="AT1201" t="s">
        <v>352</v>
      </c>
      <c r="AU1201" t="s">
        <v>387</v>
      </c>
      <c r="AW1201" s="4">
        <f t="shared" si="668"/>
        <v>6</v>
      </c>
      <c r="AX1201" s="4">
        <f t="shared" si="669"/>
        <v>4</v>
      </c>
      <c r="AY1201" s="4">
        <f t="shared" si="670"/>
        <v>4</v>
      </c>
      <c r="AZ1201" s="4">
        <f t="shared" si="671"/>
        <v>2</v>
      </c>
      <c r="BA1201" s="4">
        <f t="shared" si="672"/>
        <v>4</v>
      </c>
      <c r="BB1201" s="4">
        <f t="shared" si="673"/>
        <v>4</v>
      </c>
      <c r="BC1201" s="4">
        <f t="shared" si="674"/>
        <v>4</v>
      </c>
      <c r="BD1201" s="4">
        <f t="shared" si="675"/>
        <v>2</v>
      </c>
      <c r="BE1201" s="4" t="str">
        <f t="shared" si="676"/>
        <v>0</v>
      </c>
      <c r="BF1201" s="4">
        <f t="shared" si="677"/>
        <v>2</v>
      </c>
      <c r="BG1201" s="4">
        <f t="shared" si="678"/>
        <v>4</v>
      </c>
      <c r="BH1201" s="4">
        <f t="shared" si="679"/>
        <v>4</v>
      </c>
      <c r="BI1201" s="4">
        <f t="shared" si="680"/>
        <v>4</v>
      </c>
      <c r="BJ1201" s="4">
        <f t="shared" si="681"/>
        <v>2</v>
      </c>
      <c r="BK1201" s="4" t="str">
        <f t="shared" si="682"/>
        <v>0</v>
      </c>
      <c r="BL1201" s="4" t="str">
        <f t="shared" si="683"/>
        <v>0</v>
      </c>
      <c r="BM1201" s="4">
        <f t="shared" si="684"/>
        <v>4</v>
      </c>
      <c r="BN1201" s="4">
        <f t="shared" si="685"/>
        <v>4</v>
      </c>
      <c r="BO1201" s="4">
        <f t="shared" si="686"/>
        <v>4</v>
      </c>
      <c r="BP1201" s="4">
        <f t="shared" si="687"/>
        <v>4</v>
      </c>
      <c r="BQ1201" s="4">
        <f t="shared" si="688"/>
        <v>6</v>
      </c>
      <c r="BR1201" s="4">
        <f t="shared" si="689"/>
        <v>4</v>
      </c>
      <c r="BS1201" s="4" t="str">
        <f t="shared" si="690"/>
        <v>0</v>
      </c>
      <c r="BT1201" s="4">
        <f t="shared" si="691"/>
        <v>4</v>
      </c>
      <c r="BU1201" s="4">
        <f t="shared" si="692"/>
        <v>4</v>
      </c>
      <c r="BV1201" s="4" t="str">
        <f t="shared" si="693"/>
        <v>0</v>
      </c>
      <c r="BW1201" s="4">
        <f t="shared" si="694"/>
        <v>6</v>
      </c>
      <c r="BX1201" s="4">
        <f t="shared" si="695"/>
        <v>0</v>
      </c>
      <c r="BY1201" s="4">
        <f t="shared" si="696"/>
        <v>0</v>
      </c>
      <c r="BZ1201" s="37">
        <f t="shared" si="697"/>
        <v>86</v>
      </c>
      <c r="CA1201" s="32" t="str">
        <f>VLOOKUP(J:J,'Agent wise'!A:C,3,0)</f>
        <v>Amal</v>
      </c>
      <c r="CB1201" s="32">
        <f t="shared" si="663"/>
        <v>45951</v>
      </c>
      <c r="CC1201" t="str">
        <f t="shared" si="698"/>
        <v>Average</v>
      </c>
      <c r="CE1201" s="32"/>
      <c r="CJ1201">
        <f t="shared" si="665"/>
        <v>21</v>
      </c>
      <c r="CK1201">
        <f t="shared" si="666"/>
        <v>10</v>
      </c>
      <c r="CL1201">
        <f t="shared" si="667"/>
        <v>2025</v>
      </c>
    </row>
    <row r="1202" spans="1:90" ht="15" customHeight="1" x14ac:dyDescent="0.35">
      <c r="A1202" t="s">
        <v>2955</v>
      </c>
      <c r="B1202" t="s">
        <v>100</v>
      </c>
      <c r="C1202" t="s">
        <v>214</v>
      </c>
      <c r="D1202" t="s">
        <v>101</v>
      </c>
      <c r="E1202" s="32">
        <v>45951</v>
      </c>
      <c r="F1202" t="s">
        <v>222</v>
      </c>
      <c r="G1202" t="s">
        <v>2811</v>
      </c>
      <c r="H1202">
        <v>8111964176</v>
      </c>
      <c r="I1202">
        <v>158</v>
      </c>
      <c r="J1202" t="s">
        <v>409</v>
      </c>
      <c r="K1202" t="s">
        <v>57</v>
      </c>
      <c r="L1202" t="s">
        <v>58</v>
      </c>
      <c r="M1202" t="s">
        <v>59</v>
      </c>
      <c r="N1202" t="s">
        <v>59</v>
      </c>
      <c r="O1202" t="s">
        <v>59</v>
      </c>
      <c r="P1202" t="s">
        <v>59</v>
      </c>
      <c r="Q1202" t="s">
        <v>59</v>
      </c>
      <c r="R1202" t="s">
        <v>59</v>
      </c>
      <c r="S1202" t="s">
        <v>59</v>
      </c>
      <c r="T1202" t="s">
        <v>59</v>
      </c>
      <c r="U1202" t="s">
        <v>59</v>
      </c>
      <c r="V1202" t="s">
        <v>59</v>
      </c>
      <c r="W1202" t="s">
        <v>59</v>
      </c>
      <c r="X1202" t="s">
        <v>59</v>
      </c>
      <c r="Y1202" t="s">
        <v>59</v>
      </c>
      <c r="Z1202" t="s">
        <v>59</v>
      </c>
      <c r="AA1202" t="s">
        <v>60</v>
      </c>
      <c r="AB1202" t="s">
        <v>59</v>
      </c>
      <c r="AC1202" t="s">
        <v>59</v>
      </c>
      <c r="AD1202" t="s">
        <v>59</v>
      </c>
      <c r="AE1202" t="s">
        <v>59</v>
      </c>
      <c r="AF1202" t="s">
        <v>61</v>
      </c>
      <c r="AG1202" t="s">
        <v>59</v>
      </c>
      <c r="AH1202" t="s">
        <v>61</v>
      </c>
      <c r="AI1202" t="s">
        <v>60</v>
      </c>
      <c r="AJ1202" t="s">
        <v>59</v>
      </c>
      <c r="AK1202" t="s">
        <v>61</v>
      </c>
      <c r="AL1202" t="s">
        <v>60</v>
      </c>
      <c r="AM1202" t="s">
        <v>59</v>
      </c>
      <c r="AN1202" t="s">
        <v>59</v>
      </c>
      <c r="AO1202" t="s">
        <v>59</v>
      </c>
      <c r="AP1202" t="s">
        <v>449</v>
      </c>
      <c r="AQ1202" s="1" t="s">
        <v>2956</v>
      </c>
      <c r="AR1202" t="s">
        <v>226</v>
      </c>
      <c r="AS1202" t="s">
        <v>352</v>
      </c>
      <c r="AT1202" t="s">
        <v>352</v>
      </c>
      <c r="AU1202" t="s">
        <v>299</v>
      </c>
      <c r="AW1202" s="4">
        <f t="shared" si="668"/>
        <v>6</v>
      </c>
      <c r="AX1202" s="4">
        <f t="shared" si="669"/>
        <v>4</v>
      </c>
      <c r="AY1202" s="4">
        <f t="shared" si="670"/>
        <v>4</v>
      </c>
      <c r="AZ1202" s="4">
        <f t="shared" si="671"/>
        <v>2</v>
      </c>
      <c r="BA1202" s="4">
        <f t="shared" si="672"/>
        <v>4</v>
      </c>
      <c r="BB1202" s="4">
        <f t="shared" si="673"/>
        <v>4</v>
      </c>
      <c r="BC1202" s="4">
        <f t="shared" si="674"/>
        <v>4</v>
      </c>
      <c r="BD1202" s="4">
        <f t="shared" si="675"/>
        <v>2</v>
      </c>
      <c r="BE1202" s="4">
        <f t="shared" si="676"/>
        <v>4</v>
      </c>
      <c r="BF1202" s="4">
        <f t="shared" si="677"/>
        <v>2</v>
      </c>
      <c r="BG1202" s="4">
        <f t="shared" si="678"/>
        <v>4</v>
      </c>
      <c r="BH1202" s="4">
        <f t="shared" si="679"/>
        <v>4</v>
      </c>
      <c r="BI1202" s="4">
        <f t="shared" si="680"/>
        <v>4</v>
      </c>
      <c r="BJ1202" s="4">
        <f t="shared" si="681"/>
        <v>2</v>
      </c>
      <c r="BK1202" s="4" t="str">
        <f t="shared" si="682"/>
        <v>0</v>
      </c>
      <c r="BL1202" s="4">
        <f t="shared" si="683"/>
        <v>2</v>
      </c>
      <c r="BM1202" s="4">
        <f t="shared" si="684"/>
        <v>4</v>
      </c>
      <c r="BN1202" s="4">
        <f t="shared" si="685"/>
        <v>4</v>
      </c>
      <c r="BO1202" s="4">
        <f t="shared" si="686"/>
        <v>4</v>
      </c>
      <c r="BP1202" s="4">
        <f t="shared" si="687"/>
        <v>4</v>
      </c>
      <c r="BQ1202" s="4">
        <f t="shared" si="688"/>
        <v>6</v>
      </c>
      <c r="BR1202" s="4">
        <f t="shared" si="689"/>
        <v>4</v>
      </c>
      <c r="BS1202" s="4" t="str">
        <f t="shared" si="690"/>
        <v>0</v>
      </c>
      <c r="BT1202" s="4">
        <f t="shared" si="691"/>
        <v>4</v>
      </c>
      <c r="BU1202" s="4">
        <f t="shared" si="692"/>
        <v>4</v>
      </c>
      <c r="BV1202" s="4" t="str">
        <f t="shared" si="693"/>
        <v>0</v>
      </c>
      <c r="BW1202" s="4">
        <f t="shared" si="694"/>
        <v>6</v>
      </c>
      <c r="BX1202" s="4">
        <f t="shared" si="695"/>
        <v>0</v>
      </c>
      <c r="BY1202" s="4">
        <f t="shared" si="696"/>
        <v>0</v>
      </c>
      <c r="BZ1202" s="37">
        <f t="shared" si="697"/>
        <v>92</v>
      </c>
      <c r="CA1202" s="32" t="str">
        <f>VLOOKUP(J:J,'Agent wise'!A:C,3,0)</f>
        <v>Amal</v>
      </c>
      <c r="CB1202" s="32">
        <f t="shared" si="663"/>
        <v>45951</v>
      </c>
      <c r="CC1202" t="str">
        <f t="shared" si="698"/>
        <v>Good</v>
      </c>
      <c r="CE1202" s="32"/>
      <c r="CJ1202">
        <f t="shared" si="665"/>
        <v>21</v>
      </c>
      <c r="CK1202">
        <f t="shared" si="666"/>
        <v>10</v>
      </c>
      <c r="CL1202">
        <f t="shared" si="667"/>
        <v>2025</v>
      </c>
    </row>
    <row r="1203" spans="1:90" ht="15" customHeight="1" x14ac:dyDescent="0.35">
      <c r="A1203" t="s">
        <v>2957</v>
      </c>
      <c r="B1203" t="s">
        <v>100</v>
      </c>
      <c r="C1203" t="s">
        <v>214</v>
      </c>
      <c r="D1203" t="s">
        <v>101</v>
      </c>
      <c r="E1203" s="32">
        <v>45951</v>
      </c>
      <c r="F1203" t="s">
        <v>222</v>
      </c>
      <c r="G1203" t="s">
        <v>2811</v>
      </c>
      <c r="H1203">
        <v>8695198198</v>
      </c>
      <c r="I1203">
        <v>137</v>
      </c>
      <c r="J1203" t="s">
        <v>568</v>
      </c>
      <c r="K1203" t="s">
        <v>71</v>
      </c>
      <c r="L1203" t="s">
        <v>72</v>
      </c>
      <c r="M1203" t="s">
        <v>59</v>
      </c>
      <c r="N1203" t="s">
        <v>59</v>
      </c>
      <c r="O1203" t="s">
        <v>59</v>
      </c>
      <c r="P1203" t="s">
        <v>59</v>
      </c>
      <c r="Q1203" t="s">
        <v>61</v>
      </c>
      <c r="R1203" t="s">
        <v>59</v>
      </c>
      <c r="S1203" t="s">
        <v>59</v>
      </c>
      <c r="T1203" t="s">
        <v>59</v>
      </c>
      <c r="U1203" t="s">
        <v>59</v>
      </c>
      <c r="V1203" t="s">
        <v>59</v>
      </c>
      <c r="W1203" t="s">
        <v>59</v>
      </c>
      <c r="X1203" t="s">
        <v>61</v>
      </c>
      <c r="Y1203" t="s">
        <v>59</v>
      </c>
      <c r="Z1203" t="s">
        <v>59</v>
      </c>
      <c r="AA1203" t="s">
        <v>60</v>
      </c>
      <c r="AB1203" t="s">
        <v>59</v>
      </c>
      <c r="AC1203" t="s">
        <v>59</v>
      </c>
      <c r="AD1203" t="s">
        <v>59</v>
      </c>
      <c r="AE1203" t="s">
        <v>59</v>
      </c>
      <c r="AF1203" t="s">
        <v>61</v>
      </c>
      <c r="AG1203" t="s">
        <v>59</v>
      </c>
      <c r="AH1203" t="s">
        <v>61</v>
      </c>
      <c r="AI1203" t="s">
        <v>61</v>
      </c>
      <c r="AJ1203" t="s">
        <v>59</v>
      </c>
      <c r="AK1203" t="s">
        <v>61</v>
      </c>
      <c r="AL1203" t="s">
        <v>59</v>
      </c>
      <c r="AM1203" t="s">
        <v>59</v>
      </c>
      <c r="AN1203" t="s">
        <v>59</v>
      </c>
      <c r="AO1203" t="s">
        <v>59</v>
      </c>
      <c r="AP1203" t="s">
        <v>188</v>
      </c>
      <c r="AQ1203" s="1" t="s">
        <v>2958</v>
      </c>
      <c r="AR1203" t="s">
        <v>226</v>
      </c>
      <c r="AS1203" t="s">
        <v>352</v>
      </c>
      <c r="AT1203" t="s">
        <v>352</v>
      </c>
      <c r="AU1203" t="s">
        <v>299</v>
      </c>
      <c r="AW1203" s="4">
        <f t="shared" si="668"/>
        <v>6</v>
      </c>
      <c r="AX1203" s="4">
        <f t="shared" si="669"/>
        <v>4</v>
      </c>
      <c r="AY1203" s="4">
        <f t="shared" si="670"/>
        <v>4</v>
      </c>
      <c r="AZ1203" s="4">
        <f t="shared" si="671"/>
        <v>2</v>
      </c>
      <c r="BA1203" s="4">
        <f t="shared" si="672"/>
        <v>4</v>
      </c>
      <c r="BB1203" s="4">
        <f t="shared" si="673"/>
        <v>4</v>
      </c>
      <c r="BC1203" s="4">
        <f t="shared" si="674"/>
        <v>4</v>
      </c>
      <c r="BD1203" s="4">
        <f t="shared" si="675"/>
        <v>2</v>
      </c>
      <c r="BE1203" s="4">
        <f t="shared" si="676"/>
        <v>4</v>
      </c>
      <c r="BF1203" s="4">
        <f t="shared" si="677"/>
        <v>2</v>
      </c>
      <c r="BG1203" s="4">
        <f t="shared" si="678"/>
        <v>4</v>
      </c>
      <c r="BH1203" s="4">
        <f t="shared" si="679"/>
        <v>4</v>
      </c>
      <c r="BI1203" s="4">
        <f t="shared" si="680"/>
        <v>4</v>
      </c>
      <c r="BJ1203" s="4">
        <f t="shared" si="681"/>
        <v>2</v>
      </c>
      <c r="BK1203" s="4" t="str">
        <f t="shared" si="682"/>
        <v>0</v>
      </c>
      <c r="BL1203" s="4">
        <f t="shared" si="683"/>
        <v>2</v>
      </c>
      <c r="BM1203" s="4">
        <f t="shared" si="684"/>
        <v>4</v>
      </c>
      <c r="BN1203" s="4">
        <f t="shared" si="685"/>
        <v>4</v>
      </c>
      <c r="BO1203" s="4">
        <f t="shared" si="686"/>
        <v>4</v>
      </c>
      <c r="BP1203" s="4">
        <f t="shared" si="687"/>
        <v>4</v>
      </c>
      <c r="BQ1203" s="4">
        <f t="shared" si="688"/>
        <v>6</v>
      </c>
      <c r="BR1203" s="4">
        <f t="shared" si="689"/>
        <v>4</v>
      </c>
      <c r="BS1203" s="4">
        <f t="shared" si="690"/>
        <v>4</v>
      </c>
      <c r="BT1203" s="4">
        <f t="shared" si="691"/>
        <v>4</v>
      </c>
      <c r="BU1203" s="4">
        <f t="shared" si="692"/>
        <v>4</v>
      </c>
      <c r="BV1203" s="4">
        <f t="shared" si="693"/>
        <v>0</v>
      </c>
      <c r="BW1203" s="4">
        <f t="shared" si="694"/>
        <v>6</v>
      </c>
      <c r="BX1203" s="4">
        <f t="shared" si="695"/>
        <v>0</v>
      </c>
      <c r="BY1203" s="4">
        <f t="shared" si="696"/>
        <v>0</v>
      </c>
      <c r="BZ1203" s="37">
        <f t="shared" si="697"/>
        <v>96</v>
      </c>
      <c r="CA1203" s="32" t="str">
        <f>VLOOKUP(J:J,'Agent wise'!A:C,3,0)</f>
        <v>Amal</v>
      </c>
      <c r="CB1203" s="32">
        <f t="shared" si="663"/>
        <v>45951</v>
      </c>
      <c r="CC1203" t="str">
        <f t="shared" si="698"/>
        <v>Excellent</v>
      </c>
      <c r="CE1203" s="32"/>
      <c r="CJ1203">
        <f t="shared" si="665"/>
        <v>21</v>
      </c>
      <c r="CK1203">
        <f t="shared" si="666"/>
        <v>10</v>
      </c>
      <c r="CL1203">
        <f t="shared" si="667"/>
        <v>2025</v>
      </c>
    </row>
    <row r="1204" spans="1:90" ht="15" customHeight="1" x14ac:dyDescent="0.35">
      <c r="A1204" t="s">
        <v>2959</v>
      </c>
      <c r="B1204" t="s">
        <v>100</v>
      </c>
      <c r="C1204" t="s">
        <v>214</v>
      </c>
      <c r="D1204" t="s">
        <v>101</v>
      </c>
      <c r="E1204" s="32">
        <v>45951</v>
      </c>
      <c r="F1204" t="s">
        <v>222</v>
      </c>
      <c r="G1204" t="s">
        <v>2811</v>
      </c>
      <c r="H1204">
        <v>9363260054</v>
      </c>
      <c r="I1204">
        <v>155</v>
      </c>
      <c r="J1204" t="s">
        <v>420</v>
      </c>
      <c r="K1204" t="s">
        <v>71</v>
      </c>
      <c r="L1204" t="s">
        <v>72</v>
      </c>
      <c r="M1204" t="s">
        <v>59</v>
      </c>
      <c r="N1204" t="s">
        <v>59</v>
      </c>
      <c r="O1204" t="s">
        <v>59</v>
      </c>
      <c r="P1204" t="s">
        <v>59</v>
      </c>
      <c r="Q1204" t="s">
        <v>59</v>
      </c>
      <c r="R1204" t="s">
        <v>59</v>
      </c>
      <c r="S1204" t="s">
        <v>59</v>
      </c>
      <c r="T1204" t="s">
        <v>59</v>
      </c>
      <c r="U1204" t="s">
        <v>59</v>
      </c>
      <c r="V1204" t="s">
        <v>59</v>
      </c>
      <c r="W1204" t="s">
        <v>59</v>
      </c>
      <c r="X1204" t="s">
        <v>61</v>
      </c>
      <c r="Y1204" t="s">
        <v>59</v>
      </c>
      <c r="Z1204" t="s">
        <v>59</v>
      </c>
      <c r="AA1204" t="s">
        <v>60</v>
      </c>
      <c r="AB1204" t="s">
        <v>61</v>
      </c>
      <c r="AC1204" t="s">
        <v>61</v>
      </c>
      <c r="AD1204" t="s">
        <v>59</v>
      </c>
      <c r="AE1204" t="s">
        <v>59</v>
      </c>
      <c r="AF1204" t="s">
        <v>61</v>
      </c>
      <c r="AG1204" t="s">
        <v>59</v>
      </c>
      <c r="AH1204" t="s">
        <v>61</v>
      </c>
      <c r="AI1204" t="s">
        <v>61</v>
      </c>
      <c r="AJ1204" t="s">
        <v>59</v>
      </c>
      <c r="AK1204" t="s">
        <v>61</v>
      </c>
      <c r="AL1204" t="s">
        <v>60</v>
      </c>
      <c r="AM1204" t="s">
        <v>59</v>
      </c>
      <c r="AN1204" t="s">
        <v>59</v>
      </c>
      <c r="AO1204" t="s">
        <v>59</v>
      </c>
      <c r="AP1204" t="s">
        <v>188</v>
      </c>
      <c r="AQ1204" s="1" t="s">
        <v>2960</v>
      </c>
      <c r="AR1204" t="s">
        <v>226</v>
      </c>
      <c r="AS1204" t="s">
        <v>352</v>
      </c>
      <c r="AT1204" t="s">
        <v>352</v>
      </c>
      <c r="AU1204" t="s">
        <v>219</v>
      </c>
      <c r="AW1204" s="4">
        <f t="shared" si="668"/>
        <v>6</v>
      </c>
      <c r="AX1204" s="4">
        <f t="shared" si="669"/>
        <v>4</v>
      </c>
      <c r="AY1204" s="4">
        <f t="shared" si="670"/>
        <v>4</v>
      </c>
      <c r="AZ1204" s="4">
        <f t="shared" si="671"/>
        <v>2</v>
      </c>
      <c r="BA1204" s="4">
        <f t="shared" si="672"/>
        <v>4</v>
      </c>
      <c r="BB1204" s="4">
        <f t="shared" si="673"/>
        <v>4</v>
      </c>
      <c r="BC1204" s="4">
        <f t="shared" si="674"/>
        <v>4</v>
      </c>
      <c r="BD1204" s="4">
        <f t="shared" si="675"/>
        <v>2</v>
      </c>
      <c r="BE1204" s="4">
        <f t="shared" si="676"/>
        <v>4</v>
      </c>
      <c r="BF1204" s="4">
        <f t="shared" si="677"/>
        <v>2</v>
      </c>
      <c r="BG1204" s="4">
        <f t="shared" si="678"/>
        <v>4</v>
      </c>
      <c r="BH1204" s="4">
        <f t="shared" si="679"/>
        <v>4</v>
      </c>
      <c r="BI1204" s="4">
        <f t="shared" si="680"/>
        <v>4</v>
      </c>
      <c r="BJ1204" s="4">
        <f t="shared" si="681"/>
        <v>2</v>
      </c>
      <c r="BK1204" s="4" t="str">
        <f t="shared" si="682"/>
        <v>0</v>
      </c>
      <c r="BL1204" s="4">
        <f t="shared" si="683"/>
        <v>2</v>
      </c>
      <c r="BM1204" s="4">
        <f t="shared" si="684"/>
        <v>4</v>
      </c>
      <c r="BN1204" s="4">
        <f t="shared" si="685"/>
        <v>4</v>
      </c>
      <c r="BO1204" s="4">
        <f t="shared" si="686"/>
        <v>4</v>
      </c>
      <c r="BP1204" s="4">
        <f t="shared" si="687"/>
        <v>4</v>
      </c>
      <c r="BQ1204" s="4">
        <f t="shared" si="688"/>
        <v>6</v>
      </c>
      <c r="BR1204" s="4">
        <f t="shared" si="689"/>
        <v>4</v>
      </c>
      <c r="BS1204" s="4">
        <f t="shared" si="690"/>
        <v>4</v>
      </c>
      <c r="BT1204" s="4">
        <f t="shared" si="691"/>
        <v>4</v>
      </c>
      <c r="BU1204" s="4">
        <f t="shared" si="692"/>
        <v>4</v>
      </c>
      <c r="BV1204" s="4" t="str">
        <f t="shared" si="693"/>
        <v>0</v>
      </c>
      <c r="BW1204" s="4">
        <f t="shared" si="694"/>
        <v>6</v>
      </c>
      <c r="BX1204" s="4">
        <f t="shared" si="695"/>
        <v>0</v>
      </c>
      <c r="BY1204" s="4">
        <f t="shared" si="696"/>
        <v>0</v>
      </c>
      <c r="BZ1204" s="37">
        <f t="shared" si="697"/>
        <v>96</v>
      </c>
      <c r="CA1204" s="32" t="str">
        <f>VLOOKUP(J:J,'Agent wise'!A:C,3,0)</f>
        <v>Amal</v>
      </c>
      <c r="CB1204" s="32">
        <f t="shared" si="663"/>
        <v>45951</v>
      </c>
      <c r="CC1204" t="str">
        <f t="shared" si="698"/>
        <v>Excellent</v>
      </c>
      <c r="CE1204" s="32"/>
      <c r="CJ1204">
        <f t="shared" si="665"/>
        <v>21</v>
      </c>
      <c r="CK1204">
        <f t="shared" si="666"/>
        <v>10</v>
      </c>
      <c r="CL1204">
        <f t="shared" si="667"/>
        <v>2025</v>
      </c>
    </row>
    <row r="1205" spans="1:90" ht="15" customHeight="1" x14ac:dyDescent="0.35">
      <c r="A1205" t="s">
        <v>2961</v>
      </c>
      <c r="B1205" t="s">
        <v>100</v>
      </c>
      <c r="C1205" t="s">
        <v>214</v>
      </c>
      <c r="D1205" t="s">
        <v>101</v>
      </c>
      <c r="E1205" s="32">
        <v>45951</v>
      </c>
      <c r="F1205" t="s">
        <v>222</v>
      </c>
      <c r="G1205" t="s">
        <v>2811</v>
      </c>
      <c r="H1205">
        <v>6282367908</v>
      </c>
      <c r="I1205">
        <v>141</v>
      </c>
      <c r="J1205" t="s">
        <v>501</v>
      </c>
      <c r="K1205" t="s">
        <v>57</v>
      </c>
      <c r="L1205" t="s">
        <v>58</v>
      </c>
      <c r="M1205" t="s">
        <v>59</v>
      </c>
      <c r="N1205" t="s">
        <v>59</v>
      </c>
      <c r="O1205" t="s">
        <v>59</v>
      </c>
      <c r="P1205" t="s">
        <v>59</v>
      </c>
      <c r="Q1205" t="s">
        <v>59</v>
      </c>
      <c r="R1205" t="s">
        <v>59</v>
      </c>
      <c r="S1205" t="s">
        <v>59</v>
      </c>
      <c r="T1205" t="s">
        <v>59</v>
      </c>
      <c r="U1205" t="s">
        <v>60</v>
      </c>
      <c r="V1205" t="s">
        <v>59</v>
      </c>
      <c r="W1205" t="s">
        <v>59</v>
      </c>
      <c r="X1205" t="s">
        <v>61</v>
      </c>
      <c r="Y1205" t="s">
        <v>59</v>
      </c>
      <c r="Z1205" t="s">
        <v>59</v>
      </c>
      <c r="AA1205" t="s">
        <v>60</v>
      </c>
      <c r="AB1205" t="s">
        <v>59</v>
      </c>
      <c r="AC1205" t="s">
        <v>59</v>
      </c>
      <c r="AD1205" t="s">
        <v>59</v>
      </c>
      <c r="AE1205" t="s">
        <v>59</v>
      </c>
      <c r="AF1205" t="s">
        <v>59</v>
      </c>
      <c r="AG1205" t="s">
        <v>59</v>
      </c>
      <c r="AH1205" t="s">
        <v>61</v>
      </c>
      <c r="AI1205" t="s">
        <v>60</v>
      </c>
      <c r="AJ1205" t="s">
        <v>59</v>
      </c>
      <c r="AK1205" t="s">
        <v>59</v>
      </c>
      <c r="AL1205" t="s">
        <v>59</v>
      </c>
      <c r="AM1205" t="s">
        <v>59</v>
      </c>
      <c r="AN1205" t="s">
        <v>59</v>
      </c>
      <c r="AO1205" t="s">
        <v>59</v>
      </c>
      <c r="AP1205" t="s">
        <v>449</v>
      </c>
      <c r="AQ1205" s="1" t="s">
        <v>2962</v>
      </c>
      <c r="AR1205" t="s">
        <v>226</v>
      </c>
      <c r="AS1205" t="s">
        <v>352</v>
      </c>
      <c r="AT1205" t="s">
        <v>352</v>
      </c>
      <c r="AU1205" t="s">
        <v>219</v>
      </c>
      <c r="AW1205" s="4">
        <f t="shared" si="668"/>
        <v>6</v>
      </c>
      <c r="AX1205" s="4">
        <f t="shared" si="669"/>
        <v>4</v>
      </c>
      <c r="AY1205" s="4">
        <f t="shared" si="670"/>
        <v>4</v>
      </c>
      <c r="AZ1205" s="4">
        <f t="shared" si="671"/>
        <v>2</v>
      </c>
      <c r="BA1205" s="4">
        <f t="shared" si="672"/>
        <v>4</v>
      </c>
      <c r="BB1205" s="4">
        <f t="shared" si="673"/>
        <v>4</v>
      </c>
      <c r="BC1205" s="4">
        <f t="shared" si="674"/>
        <v>4</v>
      </c>
      <c r="BD1205" s="4">
        <f t="shared" si="675"/>
        <v>2</v>
      </c>
      <c r="BE1205" s="4" t="str">
        <f t="shared" si="676"/>
        <v>0</v>
      </c>
      <c r="BF1205" s="4">
        <f t="shared" si="677"/>
        <v>2</v>
      </c>
      <c r="BG1205" s="4">
        <f t="shared" si="678"/>
        <v>4</v>
      </c>
      <c r="BH1205" s="4">
        <f t="shared" si="679"/>
        <v>4</v>
      </c>
      <c r="BI1205" s="4">
        <f t="shared" si="680"/>
        <v>4</v>
      </c>
      <c r="BJ1205" s="4">
        <f t="shared" si="681"/>
        <v>2</v>
      </c>
      <c r="BK1205" s="4" t="str">
        <f t="shared" si="682"/>
        <v>0</v>
      </c>
      <c r="BL1205" s="4">
        <f t="shared" si="683"/>
        <v>2</v>
      </c>
      <c r="BM1205" s="4">
        <f t="shared" si="684"/>
        <v>4</v>
      </c>
      <c r="BN1205" s="4">
        <f t="shared" si="685"/>
        <v>4</v>
      </c>
      <c r="BO1205" s="4">
        <f t="shared" si="686"/>
        <v>4</v>
      </c>
      <c r="BP1205" s="4">
        <f t="shared" si="687"/>
        <v>4</v>
      </c>
      <c r="BQ1205" s="4">
        <f t="shared" si="688"/>
        <v>6</v>
      </c>
      <c r="BR1205" s="4">
        <f t="shared" si="689"/>
        <v>4</v>
      </c>
      <c r="BS1205" s="4" t="str">
        <f t="shared" si="690"/>
        <v>0</v>
      </c>
      <c r="BT1205" s="4">
        <f t="shared" si="691"/>
        <v>4</v>
      </c>
      <c r="BU1205" s="4">
        <f t="shared" si="692"/>
        <v>4</v>
      </c>
      <c r="BV1205" s="4">
        <f t="shared" si="693"/>
        <v>0</v>
      </c>
      <c r="BW1205" s="4">
        <f t="shared" si="694"/>
        <v>6</v>
      </c>
      <c r="BX1205" s="4">
        <f t="shared" si="695"/>
        <v>0</v>
      </c>
      <c r="BY1205" s="4">
        <f t="shared" si="696"/>
        <v>0</v>
      </c>
      <c r="BZ1205" s="37">
        <f t="shared" si="697"/>
        <v>88</v>
      </c>
      <c r="CA1205" s="32" t="str">
        <f>VLOOKUP(J:J,'Agent wise'!A:C,3,0)</f>
        <v>Amal</v>
      </c>
      <c r="CB1205" s="32">
        <f t="shared" si="663"/>
        <v>45951</v>
      </c>
      <c r="CC1205" t="str">
        <f t="shared" si="698"/>
        <v>Average</v>
      </c>
      <c r="CE1205" s="32"/>
      <c r="CJ1205">
        <f t="shared" si="665"/>
        <v>21</v>
      </c>
      <c r="CK1205">
        <f t="shared" si="666"/>
        <v>10</v>
      </c>
      <c r="CL1205">
        <f t="shared" si="667"/>
        <v>2025</v>
      </c>
    </row>
    <row r="1206" spans="1:90" ht="15" customHeight="1" x14ac:dyDescent="0.35">
      <c r="A1206" t="s">
        <v>2963</v>
      </c>
      <c r="B1206" t="s">
        <v>100</v>
      </c>
      <c r="C1206" t="s">
        <v>214</v>
      </c>
      <c r="D1206" t="s">
        <v>101</v>
      </c>
      <c r="E1206" s="32">
        <v>45951</v>
      </c>
      <c r="F1206" t="s">
        <v>222</v>
      </c>
      <c r="G1206" t="s">
        <v>2811</v>
      </c>
      <c r="H1206">
        <v>9447154117</v>
      </c>
      <c r="I1206">
        <v>150</v>
      </c>
      <c r="J1206" t="s">
        <v>234</v>
      </c>
      <c r="K1206" t="s">
        <v>57</v>
      </c>
      <c r="L1206" t="s">
        <v>58</v>
      </c>
      <c r="M1206" t="s">
        <v>59</v>
      </c>
      <c r="N1206" t="s">
        <v>59</v>
      </c>
      <c r="O1206" t="s">
        <v>59</v>
      </c>
      <c r="P1206" t="s">
        <v>61</v>
      </c>
      <c r="Q1206" t="s">
        <v>59</v>
      </c>
      <c r="R1206" t="s">
        <v>59</v>
      </c>
      <c r="S1206" t="s">
        <v>59</v>
      </c>
      <c r="T1206" t="s">
        <v>59</v>
      </c>
      <c r="U1206" t="s">
        <v>60</v>
      </c>
      <c r="V1206" t="s">
        <v>59</v>
      </c>
      <c r="W1206" t="s">
        <v>59</v>
      </c>
      <c r="X1206" t="s">
        <v>59</v>
      </c>
      <c r="Y1206" t="s">
        <v>59</v>
      </c>
      <c r="Z1206" t="s">
        <v>59</v>
      </c>
      <c r="AA1206" t="s">
        <v>60</v>
      </c>
      <c r="AB1206" t="s">
        <v>59</v>
      </c>
      <c r="AC1206" t="s">
        <v>61</v>
      </c>
      <c r="AD1206" t="s">
        <v>59</v>
      </c>
      <c r="AE1206" t="s">
        <v>59</v>
      </c>
      <c r="AF1206" t="s">
        <v>61</v>
      </c>
      <c r="AG1206" t="s">
        <v>59</v>
      </c>
      <c r="AH1206" t="s">
        <v>61</v>
      </c>
      <c r="AI1206" t="s">
        <v>60</v>
      </c>
      <c r="AJ1206" t="s">
        <v>59</v>
      </c>
      <c r="AK1206" t="s">
        <v>59</v>
      </c>
      <c r="AL1206" t="s">
        <v>59</v>
      </c>
      <c r="AM1206" t="s">
        <v>59</v>
      </c>
      <c r="AN1206" t="s">
        <v>59</v>
      </c>
      <c r="AO1206" t="s">
        <v>59</v>
      </c>
      <c r="AP1206" t="s">
        <v>449</v>
      </c>
      <c r="AQ1206" s="1" t="s">
        <v>2962</v>
      </c>
      <c r="AR1206" t="s">
        <v>226</v>
      </c>
      <c r="AS1206" t="s">
        <v>352</v>
      </c>
      <c r="AT1206" t="s">
        <v>352</v>
      </c>
      <c r="AU1206" t="s">
        <v>299</v>
      </c>
      <c r="AW1206" s="4">
        <f t="shared" si="668"/>
        <v>6</v>
      </c>
      <c r="AX1206" s="4">
        <f t="shared" si="669"/>
        <v>4</v>
      </c>
      <c r="AY1206" s="4">
        <f t="shared" si="670"/>
        <v>4</v>
      </c>
      <c r="AZ1206" s="4">
        <f t="shared" si="671"/>
        <v>2</v>
      </c>
      <c r="BA1206" s="4">
        <f t="shared" si="672"/>
        <v>4</v>
      </c>
      <c r="BB1206" s="4">
        <f t="shared" si="673"/>
        <v>4</v>
      </c>
      <c r="BC1206" s="4">
        <f t="shared" si="674"/>
        <v>4</v>
      </c>
      <c r="BD1206" s="4">
        <f t="shared" si="675"/>
        <v>2</v>
      </c>
      <c r="BE1206" s="4" t="str">
        <f t="shared" si="676"/>
        <v>0</v>
      </c>
      <c r="BF1206" s="4">
        <f t="shared" si="677"/>
        <v>2</v>
      </c>
      <c r="BG1206" s="4">
        <f t="shared" si="678"/>
        <v>4</v>
      </c>
      <c r="BH1206" s="4">
        <f t="shared" si="679"/>
        <v>4</v>
      </c>
      <c r="BI1206" s="4">
        <f t="shared" si="680"/>
        <v>4</v>
      </c>
      <c r="BJ1206" s="4">
        <f t="shared" si="681"/>
        <v>2</v>
      </c>
      <c r="BK1206" s="4" t="str">
        <f t="shared" si="682"/>
        <v>0</v>
      </c>
      <c r="BL1206" s="4">
        <f t="shared" si="683"/>
        <v>2</v>
      </c>
      <c r="BM1206" s="4">
        <f t="shared" si="684"/>
        <v>4</v>
      </c>
      <c r="BN1206" s="4">
        <f t="shared" si="685"/>
        <v>4</v>
      </c>
      <c r="BO1206" s="4">
        <f t="shared" si="686"/>
        <v>4</v>
      </c>
      <c r="BP1206" s="4">
        <f t="shared" si="687"/>
        <v>4</v>
      </c>
      <c r="BQ1206" s="4">
        <f t="shared" si="688"/>
        <v>6</v>
      </c>
      <c r="BR1206" s="4">
        <f t="shared" si="689"/>
        <v>4</v>
      </c>
      <c r="BS1206" s="4" t="str">
        <f t="shared" si="690"/>
        <v>0</v>
      </c>
      <c r="BT1206" s="4">
        <f t="shared" si="691"/>
        <v>4</v>
      </c>
      <c r="BU1206" s="4">
        <f t="shared" si="692"/>
        <v>4</v>
      </c>
      <c r="BV1206" s="4">
        <f t="shared" si="693"/>
        <v>0</v>
      </c>
      <c r="BW1206" s="4">
        <f t="shared" si="694"/>
        <v>6</v>
      </c>
      <c r="BX1206" s="4">
        <f t="shared" si="695"/>
        <v>0</v>
      </c>
      <c r="BY1206" s="4">
        <f t="shared" si="696"/>
        <v>0</v>
      </c>
      <c r="BZ1206" s="37">
        <f t="shared" si="697"/>
        <v>88</v>
      </c>
      <c r="CA1206" s="32" t="str">
        <f>VLOOKUP(J:J,'Agent wise'!A:C,3,0)</f>
        <v>Amal</v>
      </c>
      <c r="CB1206" s="32">
        <f t="shared" si="663"/>
        <v>45951</v>
      </c>
      <c r="CC1206" t="str">
        <f t="shared" si="698"/>
        <v>Average</v>
      </c>
      <c r="CE1206" s="32"/>
      <c r="CJ1206">
        <f t="shared" si="665"/>
        <v>21</v>
      </c>
      <c r="CK1206">
        <f t="shared" si="666"/>
        <v>10</v>
      </c>
      <c r="CL1206">
        <f t="shared" si="667"/>
        <v>2025</v>
      </c>
    </row>
    <row r="1207" spans="1:90" ht="15" customHeight="1" x14ac:dyDescent="0.35">
      <c r="A1207" t="s">
        <v>2964</v>
      </c>
      <c r="B1207" t="s">
        <v>100</v>
      </c>
      <c r="C1207" t="s">
        <v>214</v>
      </c>
      <c r="D1207" t="s">
        <v>101</v>
      </c>
      <c r="E1207" s="32">
        <v>45951</v>
      </c>
      <c r="F1207" t="s">
        <v>222</v>
      </c>
      <c r="G1207" t="s">
        <v>2811</v>
      </c>
      <c r="H1207">
        <v>8848513099</v>
      </c>
      <c r="I1207">
        <v>167</v>
      </c>
      <c r="J1207" t="s">
        <v>356</v>
      </c>
      <c r="K1207" t="s">
        <v>57</v>
      </c>
      <c r="L1207" t="s">
        <v>58</v>
      </c>
      <c r="M1207" t="s">
        <v>59</v>
      </c>
      <c r="N1207" t="s">
        <v>59</v>
      </c>
      <c r="O1207" t="s">
        <v>60</v>
      </c>
      <c r="P1207" t="s">
        <v>59</v>
      </c>
      <c r="Q1207" t="s">
        <v>59</v>
      </c>
      <c r="R1207" t="s">
        <v>59</v>
      </c>
      <c r="S1207" t="s">
        <v>59</v>
      </c>
      <c r="T1207" t="s">
        <v>59</v>
      </c>
      <c r="U1207" t="s">
        <v>60</v>
      </c>
      <c r="V1207" t="s">
        <v>59</v>
      </c>
      <c r="W1207" t="s">
        <v>59</v>
      </c>
      <c r="X1207" t="s">
        <v>61</v>
      </c>
      <c r="Y1207" t="s">
        <v>59</v>
      </c>
      <c r="Z1207" t="s">
        <v>59</v>
      </c>
      <c r="AA1207" t="s">
        <v>60</v>
      </c>
      <c r="AB1207" t="s">
        <v>61</v>
      </c>
      <c r="AC1207" t="s">
        <v>61</v>
      </c>
      <c r="AD1207" t="s">
        <v>59</v>
      </c>
      <c r="AE1207" t="s">
        <v>59</v>
      </c>
      <c r="AF1207" t="s">
        <v>59</v>
      </c>
      <c r="AG1207" t="s">
        <v>59</v>
      </c>
      <c r="AH1207" t="s">
        <v>61</v>
      </c>
      <c r="AI1207" t="s">
        <v>61</v>
      </c>
      <c r="AJ1207" t="s">
        <v>59</v>
      </c>
      <c r="AK1207" t="s">
        <v>61</v>
      </c>
      <c r="AL1207" t="s">
        <v>60</v>
      </c>
      <c r="AM1207" t="s">
        <v>59</v>
      </c>
      <c r="AN1207" t="s">
        <v>59</v>
      </c>
      <c r="AO1207" t="s">
        <v>59</v>
      </c>
      <c r="AP1207" t="s">
        <v>188</v>
      </c>
      <c r="AQ1207" s="1" t="s">
        <v>2965</v>
      </c>
      <c r="AR1207" t="s">
        <v>226</v>
      </c>
      <c r="AS1207" t="s">
        <v>352</v>
      </c>
      <c r="AT1207" t="s">
        <v>352</v>
      </c>
      <c r="AU1207" t="s">
        <v>299</v>
      </c>
      <c r="AW1207" s="4">
        <f t="shared" si="668"/>
        <v>6</v>
      </c>
      <c r="AX1207" s="4">
        <f t="shared" si="669"/>
        <v>4</v>
      </c>
      <c r="AY1207" s="4" t="str">
        <f t="shared" si="670"/>
        <v>0</v>
      </c>
      <c r="AZ1207" s="4">
        <f t="shared" si="671"/>
        <v>2</v>
      </c>
      <c r="BA1207" s="4">
        <f t="shared" si="672"/>
        <v>4</v>
      </c>
      <c r="BB1207" s="4">
        <f t="shared" si="673"/>
        <v>4</v>
      </c>
      <c r="BC1207" s="4">
        <f t="shared" si="674"/>
        <v>4</v>
      </c>
      <c r="BD1207" s="4">
        <f t="shared" si="675"/>
        <v>2</v>
      </c>
      <c r="BE1207" s="4" t="str">
        <f t="shared" si="676"/>
        <v>0</v>
      </c>
      <c r="BF1207" s="4">
        <f t="shared" si="677"/>
        <v>2</v>
      </c>
      <c r="BG1207" s="4">
        <f t="shared" si="678"/>
        <v>4</v>
      </c>
      <c r="BH1207" s="4">
        <f t="shared" si="679"/>
        <v>4</v>
      </c>
      <c r="BI1207" s="4">
        <f t="shared" si="680"/>
        <v>4</v>
      </c>
      <c r="BJ1207" s="4">
        <f t="shared" si="681"/>
        <v>2</v>
      </c>
      <c r="BK1207" s="4" t="str">
        <f t="shared" si="682"/>
        <v>0</v>
      </c>
      <c r="BL1207" s="4">
        <f t="shared" si="683"/>
        <v>2</v>
      </c>
      <c r="BM1207" s="4">
        <f t="shared" si="684"/>
        <v>4</v>
      </c>
      <c r="BN1207" s="4">
        <f t="shared" si="685"/>
        <v>4</v>
      </c>
      <c r="BO1207" s="4">
        <f t="shared" si="686"/>
        <v>4</v>
      </c>
      <c r="BP1207" s="4">
        <f t="shared" si="687"/>
        <v>4</v>
      </c>
      <c r="BQ1207" s="4">
        <f t="shared" si="688"/>
        <v>6</v>
      </c>
      <c r="BR1207" s="4">
        <f t="shared" si="689"/>
        <v>4</v>
      </c>
      <c r="BS1207" s="4">
        <f t="shared" si="690"/>
        <v>4</v>
      </c>
      <c r="BT1207" s="4">
        <f t="shared" si="691"/>
        <v>4</v>
      </c>
      <c r="BU1207" s="4">
        <f t="shared" si="692"/>
        <v>4</v>
      </c>
      <c r="BV1207" s="4" t="str">
        <f t="shared" si="693"/>
        <v>0</v>
      </c>
      <c r="BW1207" s="4">
        <f t="shared" si="694"/>
        <v>6</v>
      </c>
      <c r="BX1207" s="4">
        <f t="shared" si="695"/>
        <v>0</v>
      </c>
      <c r="BY1207" s="4">
        <f t="shared" si="696"/>
        <v>0</v>
      </c>
      <c r="BZ1207" s="37">
        <f t="shared" si="697"/>
        <v>88</v>
      </c>
      <c r="CA1207" s="32" t="str">
        <f>VLOOKUP(J:J,'Agent wise'!A:C,3,0)</f>
        <v>Amal</v>
      </c>
      <c r="CB1207" s="32">
        <f t="shared" si="663"/>
        <v>45951</v>
      </c>
      <c r="CC1207" t="str">
        <f t="shared" si="698"/>
        <v>Average</v>
      </c>
      <c r="CE1207" s="32"/>
      <c r="CJ1207">
        <f t="shared" si="665"/>
        <v>21</v>
      </c>
      <c r="CK1207">
        <f t="shared" si="666"/>
        <v>10</v>
      </c>
      <c r="CL1207">
        <f t="shared" si="667"/>
        <v>2025</v>
      </c>
    </row>
    <row r="1208" spans="1:90" ht="15" customHeight="1" x14ac:dyDescent="0.35">
      <c r="A1208" t="s">
        <v>2966</v>
      </c>
      <c r="B1208" t="s">
        <v>100</v>
      </c>
      <c r="C1208" t="s">
        <v>214</v>
      </c>
      <c r="D1208" t="s">
        <v>101</v>
      </c>
      <c r="E1208" s="32">
        <v>45951</v>
      </c>
      <c r="F1208" t="s">
        <v>222</v>
      </c>
      <c r="G1208" t="s">
        <v>2915</v>
      </c>
      <c r="H1208">
        <v>9447925331</v>
      </c>
      <c r="I1208">
        <v>138</v>
      </c>
      <c r="J1208" t="s">
        <v>80</v>
      </c>
      <c r="K1208" t="s">
        <v>57</v>
      </c>
      <c r="L1208" t="s">
        <v>58</v>
      </c>
      <c r="M1208" t="s">
        <v>59</v>
      </c>
      <c r="N1208" t="s">
        <v>59</v>
      </c>
      <c r="O1208" t="s">
        <v>59</v>
      </c>
      <c r="P1208" t="s">
        <v>59</v>
      </c>
      <c r="Q1208" t="s">
        <v>59</v>
      </c>
      <c r="R1208" t="s">
        <v>59</v>
      </c>
      <c r="S1208" t="s">
        <v>59</v>
      </c>
      <c r="T1208" t="s">
        <v>59</v>
      </c>
      <c r="U1208" t="s">
        <v>59</v>
      </c>
      <c r="V1208" t="s">
        <v>59</v>
      </c>
      <c r="W1208" t="s">
        <v>59</v>
      </c>
      <c r="X1208" t="s">
        <v>61</v>
      </c>
      <c r="Y1208" t="s">
        <v>59</v>
      </c>
      <c r="Z1208" t="s">
        <v>59</v>
      </c>
      <c r="AA1208" t="s">
        <v>60</v>
      </c>
      <c r="AB1208" t="s">
        <v>61</v>
      </c>
      <c r="AC1208" t="s">
        <v>61</v>
      </c>
      <c r="AD1208" t="s">
        <v>59</v>
      </c>
      <c r="AE1208" t="s">
        <v>59</v>
      </c>
      <c r="AF1208" t="s">
        <v>61</v>
      </c>
      <c r="AG1208" t="s">
        <v>59</v>
      </c>
      <c r="AH1208" t="s">
        <v>61</v>
      </c>
      <c r="AI1208" t="s">
        <v>60</v>
      </c>
      <c r="AJ1208" t="s">
        <v>59</v>
      </c>
      <c r="AK1208" t="s">
        <v>61</v>
      </c>
      <c r="AL1208" t="s">
        <v>60</v>
      </c>
      <c r="AM1208" t="s">
        <v>59</v>
      </c>
      <c r="AN1208" t="s">
        <v>59</v>
      </c>
      <c r="AO1208" t="s">
        <v>59</v>
      </c>
      <c r="AP1208" t="s">
        <v>449</v>
      </c>
      <c r="AQ1208" s="1" t="s">
        <v>2967</v>
      </c>
      <c r="AR1208" t="s">
        <v>226</v>
      </c>
      <c r="AS1208" t="s">
        <v>352</v>
      </c>
      <c r="AT1208" t="s">
        <v>352</v>
      </c>
      <c r="AU1208" t="s">
        <v>299</v>
      </c>
      <c r="AW1208" s="4">
        <f t="shared" si="668"/>
        <v>6</v>
      </c>
      <c r="AX1208" s="4">
        <f t="shared" si="669"/>
        <v>4</v>
      </c>
      <c r="AY1208" s="4">
        <f t="shared" si="670"/>
        <v>4</v>
      </c>
      <c r="AZ1208" s="4">
        <f t="shared" si="671"/>
        <v>2</v>
      </c>
      <c r="BA1208" s="4">
        <f t="shared" si="672"/>
        <v>4</v>
      </c>
      <c r="BB1208" s="4">
        <f t="shared" si="673"/>
        <v>4</v>
      </c>
      <c r="BC1208" s="4">
        <f t="shared" si="674"/>
        <v>4</v>
      </c>
      <c r="BD1208" s="4">
        <f t="shared" si="675"/>
        <v>2</v>
      </c>
      <c r="BE1208" s="4">
        <f t="shared" si="676"/>
        <v>4</v>
      </c>
      <c r="BF1208" s="4">
        <f t="shared" si="677"/>
        <v>2</v>
      </c>
      <c r="BG1208" s="4">
        <f t="shared" si="678"/>
        <v>4</v>
      </c>
      <c r="BH1208" s="4">
        <f t="shared" si="679"/>
        <v>4</v>
      </c>
      <c r="BI1208" s="4">
        <f t="shared" si="680"/>
        <v>4</v>
      </c>
      <c r="BJ1208" s="4">
        <f t="shared" si="681"/>
        <v>2</v>
      </c>
      <c r="BK1208" s="4" t="str">
        <f t="shared" si="682"/>
        <v>0</v>
      </c>
      <c r="BL1208" s="4">
        <f t="shared" si="683"/>
        <v>2</v>
      </c>
      <c r="BM1208" s="4">
        <f t="shared" si="684"/>
        <v>4</v>
      </c>
      <c r="BN1208" s="4">
        <f t="shared" si="685"/>
        <v>4</v>
      </c>
      <c r="BO1208" s="4">
        <f t="shared" si="686"/>
        <v>4</v>
      </c>
      <c r="BP1208" s="4">
        <f t="shared" si="687"/>
        <v>4</v>
      </c>
      <c r="BQ1208" s="4">
        <f t="shared" si="688"/>
        <v>6</v>
      </c>
      <c r="BR1208" s="4">
        <f t="shared" si="689"/>
        <v>4</v>
      </c>
      <c r="BS1208" s="4" t="str">
        <f t="shared" si="690"/>
        <v>0</v>
      </c>
      <c r="BT1208" s="4">
        <f t="shared" si="691"/>
        <v>4</v>
      </c>
      <c r="BU1208" s="4">
        <f t="shared" si="692"/>
        <v>4</v>
      </c>
      <c r="BV1208" s="4" t="str">
        <f t="shared" si="693"/>
        <v>0</v>
      </c>
      <c r="BW1208" s="4">
        <f t="shared" si="694"/>
        <v>6</v>
      </c>
      <c r="BX1208" s="4">
        <f t="shared" si="695"/>
        <v>0</v>
      </c>
      <c r="BY1208" s="4">
        <f t="shared" si="696"/>
        <v>0</v>
      </c>
      <c r="BZ1208" s="37">
        <f t="shared" si="697"/>
        <v>92</v>
      </c>
      <c r="CA1208" s="32" t="str">
        <f>VLOOKUP(J:J,'Agent wise'!A:C,3,0)</f>
        <v>Saran S</v>
      </c>
      <c r="CB1208" s="32">
        <f t="shared" si="663"/>
        <v>45951</v>
      </c>
      <c r="CC1208" t="str">
        <f t="shared" si="698"/>
        <v>Good</v>
      </c>
      <c r="CE1208" s="32"/>
      <c r="CJ1208">
        <f t="shared" si="665"/>
        <v>21</v>
      </c>
      <c r="CK1208">
        <f t="shared" si="666"/>
        <v>10</v>
      </c>
      <c r="CL1208">
        <f t="shared" si="667"/>
        <v>2025</v>
      </c>
    </row>
    <row r="1209" spans="1:90" ht="15" customHeight="1" x14ac:dyDescent="0.35">
      <c r="A1209" t="s">
        <v>2968</v>
      </c>
      <c r="B1209" t="s">
        <v>100</v>
      </c>
      <c r="C1209" t="s">
        <v>214</v>
      </c>
      <c r="D1209" t="s">
        <v>101</v>
      </c>
      <c r="E1209" s="32">
        <v>45951</v>
      </c>
      <c r="F1209" t="s">
        <v>222</v>
      </c>
      <c r="G1209" t="s">
        <v>2915</v>
      </c>
      <c r="H1209">
        <v>8547060351</v>
      </c>
      <c r="I1209">
        <v>153</v>
      </c>
      <c r="J1209" t="s">
        <v>353</v>
      </c>
      <c r="K1209" t="s">
        <v>57</v>
      </c>
      <c r="L1209" t="s">
        <v>58</v>
      </c>
      <c r="M1209" t="s">
        <v>59</v>
      </c>
      <c r="N1209" t="s">
        <v>59</v>
      </c>
      <c r="O1209" t="s">
        <v>59</v>
      </c>
      <c r="P1209" t="s">
        <v>59</v>
      </c>
      <c r="Q1209" t="s">
        <v>59</v>
      </c>
      <c r="R1209" t="s">
        <v>60</v>
      </c>
      <c r="S1209" t="s">
        <v>59</v>
      </c>
      <c r="T1209" t="s">
        <v>59</v>
      </c>
      <c r="U1209" t="s">
        <v>59</v>
      </c>
      <c r="V1209" t="s">
        <v>59</v>
      </c>
      <c r="W1209" t="s">
        <v>59</v>
      </c>
      <c r="X1209" t="s">
        <v>59</v>
      </c>
      <c r="Y1209" t="s">
        <v>59</v>
      </c>
      <c r="Z1209" t="s">
        <v>59</v>
      </c>
      <c r="AA1209" t="s">
        <v>60</v>
      </c>
      <c r="AB1209" t="s">
        <v>59</v>
      </c>
      <c r="AC1209" t="s">
        <v>59</v>
      </c>
      <c r="AD1209" t="s">
        <v>61</v>
      </c>
      <c r="AE1209" t="s">
        <v>59</v>
      </c>
      <c r="AF1209" t="s">
        <v>61</v>
      </c>
      <c r="AG1209" t="s">
        <v>59</v>
      </c>
      <c r="AH1209" t="s">
        <v>61</v>
      </c>
      <c r="AI1209" t="s">
        <v>61</v>
      </c>
      <c r="AJ1209" t="s">
        <v>59</v>
      </c>
      <c r="AK1209" t="s">
        <v>59</v>
      </c>
      <c r="AL1209" t="s">
        <v>60</v>
      </c>
      <c r="AM1209" t="s">
        <v>59</v>
      </c>
      <c r="AN1209" t="s">
        <v>59</v>
      </c>
      <c r="AO1209" t="s">
        <v>59</v>
      </c>
      <c r="AP1209" t="s">
        <v>1776</v>
      </c>
      <c r="AQ1209" s="1" t="s">
        <v>2969</v>
      </c>
      <c r="AR1209" t="s">
        <v>226</v>
      </c>
      <c r="AS1209" t="s">
        <v>352</v>
      </c>
      <c r="AT1209" t="s">
        <v>352</v>
      </c>
      <c r="AU1209" t="s">
        <v>299</v>
      </c>
      <c r="AW1209" s="4">
        <f t="shared" si="668"/>
        <v>6</v>
      </c>
      <c r="AX1209" s="4">
        <f t="shared" si="669"/>
        <v>4</v>
      </c>
      <c r="AY1209" s="4">
        <f t="shared" si="670"/>
        <v>4</v>
      </c>
      <c r="AZ1209" s="4">
        <f t="shared" si="671"/>
        <v>2</v>
      </c>
      <c r="BA1209" s="4">
        <f t="shared" si="672"/>
        <v>4</v>
      </c>
      <c r="BB1209" s="4" t="str">
        <f t="shared" si="673"/>
        <v>0</v>
      </c>
      <c r="BC1209" s="4">
        <f t="shared" si="674"/>
        <v>4</v>
      </c>
      <c r="BD1209" s="4">
        <f t="shared" si="675"/>
        <v>2</v>
      </c>
      <c r="BE1209" s="4">
        <f t="shared" si="676"/>
        <v>4</v>
      </c>
      <c r="BF1209" s="4">
        <f t="shared" si="677"/>
        <v>2</v>
      </c>
      <c r="BG1209" s="4">
        <f t="shared" si="678"/>
        <v>4</v>
      </c>
      <c r="BH1209" s="4">
        <f t="shared" si="679"/>
        <v>4</v>
      </c>
      <c r="BI1209" s="4">
        <f t="shared" si="680"/>
        <v>4</v>
      </c>
      <c r="BJ1209" s="4">
        <f t="shared" si="681"/>
        <v>2</v>
      </c>
      <c r="BK1209" s="4" t="str">
        <f t="shared" si="682"/>
        <v>0</v>
      </c>
      <c r="BL1209" s="4">
        <f t="shared" si="683"/>
        <v>2</v>
      </c>
      <c r="BM1209" s="4">
        <f t="shared" si="684"/>
        <v>4</v>
      </c>
      <c r="BN1209" s="4">
        <f t="shared" si="685"/>
        <v>4</v>
      </c>
      <c r="BO1209" s="4">
        <f t="shared" si="686"/>
        <v>4</v>
      </c>
      <c r="BP1209" s="4">
        <f t="shared" si="687"/>
        <v>4</v>
      </c>
      <c r="BQ1209" s="4">
        <f t="shared" si="688"/>
        <v>6</v>
      </c>
      <c r="BR1209" s="4">
        <f t="shared" si="689"/>
        <v>4</v>
      </c>
      <c r="BS1209" s="4">
        <f t="shared" si="690"/>
        <v>4</v>
      </c>
      <c r="BT1209" s="4">
        <f t="shared" si="691"/>
        <v>4</v>
      </c>
      <c r="BU1209" s="4">
        <f t="shared" si="692"/>
        <v>4</v>
      </c>
      <c r="BV1209" s="4" t="str">
        <f t="shared" si="693"/>
        <v>0</v>
      </c>
      <c r="BW1209" s="4">
        <f t="shared" si="694"/>
        <v>6</v>
      </c>
      <c r="BX1209" s="4">
        <f t="shared" si="695"/>
        <v>0</v>
      </c>
      <c r="BY1209" s="4">
        <f t="shared" si="696"/>
        <v>0</v>
      </c>
      <c r="BZ1209" s="37">
        <f t="shared" si="697"/>
        <v>92</v>
      </c>
      <c r="CA1209" s="32" t="str">
        <f>VLOOKUP(J:J,'Agent wise'!A:C,3,0)</f>
        <v>Amal</v>
      </c>
      <c r="CB1209" s="32">
        <f t="shared" si="663"/>
        <v>45951</v>
      </c>
      <c r="CC1209" t="str">
        <f t="shared" si="698"/>
        <v>Good</v>
      </c>
      <c r="CE1209" s="32"/>
      <c r="CJ1209">
        <f t="shared" si="665"/>
        <v>21</v>
      </c>
      <c r="CK1209">
        <f t="shared" si="666"/>
        <v>10</v>
      </c>
      <c r="CL1209">
        <f t="shared" si="667"/>
        <v>2025</v>
      </c>
    </row>
    <row r="1210" spans="1:90" ht="15" customHeight="1" x14ac:dyDescent="0.35">
      <c r="A1210" t="s">
        <v>2970</v>
      </c>
      <c r="B1210" t="s">
        <v>130</v>
      </c>
      <c r="C1210" t="s">
        <v>214</v>
      </c>
      <c r="D1210" t="s">
        <v>131</v>
      </c>
      <c r="E1210" s="32">
        <v>45951</v>
      </c>
      <c r="F1210" t="s">
        <v>54</v>
      </c>
      <c r="G1210" t="s">
        <v>2915</v>
      </c>
      <c r="H1210">
        <v>8075291285</v>
      </c>
      <c r="I1210">
        <v>136</v>
      </c>
      <c r="J1210" t="s">
        <v>56</v>
      </c>
      <c r="K1210" t="s">
        <v>57</v>
      </c>
      <c r="L1210" t="s">
        <v>58</v>
      </c>
      <c r="M1210" t="s">
        <v>59</v>
      </c>
      <c r="N1210" t="s">
        <v>59</v>
      </c>
      <c r="O1210" t="s">
        <v>59</v>
      </c>
      <c r="P1210" t="s">
        <v>59</v>
      </c>
      <c r="Q1210" t="s">
        <v>59</v>
      </c>
      <c r="R1210" t="s">
        <v>59</v>
      </c>
      <c r="S1210" t="s">
        <v>59</v>
      </c>
      <c r="T1210" t="s">
        <v>59</v>
      </c>
      <c r="U1210" t="s">
        <v>60</v>
      </c>
      <c r="V1210" t="s">
        <v>59</v>
      </c>
      <c r="W1210" t="s">
        <v>59</v>
      </c>
      <c r="X1210" t="s">
        <v>59</v>
      </c>
      <c r="Y1210" t="s">
        <v>59</v>
      </c>
      <c r="Z1210" t="s">
        <v>59</v>
      </c>
      <c r="AA1210" t="s">
        <v>60</v>
      </c>
      <c r="AB1210" t="s">
        <v>60</v>
      </c>
      <c r="AC1210" t="s">
        <v>59</v>
      </c>
      <c r="AD1210" t="s">
        <v>59</v>
      </c>
      <c r="AE1210" t="s">
        <v>59</v>
      </c>
      <c r="AF1210" t="s">
        <v>61</v>
      </c>
      <c r="AG1210" t="s">
        <v>59</v>
      </c>
      <c r="AH1210" t="s">
        <v>61</v>
      </c>
      <c r="AI1210" t="s">
        <v>61</v>
      </c>
      <c r="AJ1210" t="s">
        <v>59</v>
      </c>
      <c r="AK1210" t="s">
        <v>59</v>
      </c>
      <c r="AL1210" t="s">
        <v>60</v>
      </c>
      <c r="AM1210" t="s">
        <v>59</v>
      </c>
      <c r="AN1210" t="s">
        <v>59</v>
      </c>
      <c r="AO1210" t="s">
        <v>59</v>
      </c>
      <c r="AP1210" t="s">
        <v>987</v>
      </c>
      <c r="AQ1210" s="1" t="s">
        <v>2971</v>
      </c>
      <c r="AR1210" t="s">
        <v>64</v>
      </c>
      <c r="AS1210" t="s">
        <v>142</v>
      </c>
      <c r="AT1210" t="s">
        <v>2760</v>
      </c>
      <c r="AU1210" t="s">
        <v>219</v>
      </c>
      <c r="AW1210" s="4">
        <f t="shared" si="668"/>
        <v>6</v>
      </c>
      <c r="AX1210" s="4">
        <f t="shared" si="669"/>
        <v>4</v>
      </c>
      <c r="AY1210" s="4">
        <f t="shared" si="670"/>
        <v>4</v>
      </c>
      <c r="AZ1210" s="4">
        <f t="shared" si="671"/>
        <v>2</v>
      </c>
      <c r="BA1210" s="4">
        <f t="shared" si="672"/>
        <v>4</v>
      </c>
      <c r="BB1210" s="4">
        <f t="shared" si="673"/>
        <v>4</v>
      </c>
      <c r="BC1210" s="4">
        <f t="shared" si="674"/>
        <v>4</v>
      </c>
      <c r="BD1210" s="4">
        <f t="shared" si="675"/>
        <v>2</v>
      </c>
      <c r="BE1210" s="4" t="str">
        <f t="shared" si="676"/>
        <v>0</v>
      </c>
      <c r="BF1210" s="4">
        <f t="shared" si="677"/>
        <v>2</v>
      </c>
      <c r="BG1210" s="4">
        <f t="shared" si="678"/>
        <v>4</v>
      </c>
      <c r="BH1210" s="4">
        <f t="shared" si="679"/>
        <v>4</v>
      </c>
      <c r="BI1210" s="4">
        <f t="shared" si="680"/>
        <v>4</v>
      </c>
      <c r="BJ1210" s="4">
        <f t="shared" si="681"/>
        <v>2</v>
      </c>
      <c r="BK1210" s="4" t="str">
        <f t="shared" si="682"/>
        <v>0</v>
      </c>
      <c r="BL1210" s="4" t="str">
        <f t="shared" si="683"/>
        <v>0</v>
      </c>
      <c r="BM1210" s="4">
        <f t="shared" si="684"/>
        <v>4</v>
      </c>
      <c r="BN1210" s="4">
        <f t="shared" si="685"/>
        <v>4</v>
      </c>
      <c r="BO1210" s="4">
        <f t="shared" si="686"/>
        <v>4</v>
      </c>
      <c r="BP1210" s="4">
        <f t="shared" si="687"/>
        <v>4</v>
      </c>
      <c r="BQ1210" s="4">
        <f t="shared" si="688"/>
        <v>6</v>
      </c>
      <c r="BR1210" s="4">
        <f t="shared" si="689"/>
        <v>4</v>
      </c>
      <c r="BS1210" s="4">
        <f t="shared" si="690"/>
        <v>4</v>
      </c>
      <c r="BT1210" s="4">
        <f t="shared" si="691"/>
        <v>4</v>
      </c>
      <c r="BU1210" s="4">
        <f t="shared" si="692"/>
        <v>4</v>
      </c>
      <c r="BV1210" s="4" t="str">
        <f t="shared" si="693"/>
        <v>0</v>
      </c>
      <c r="BW1210" s="4">
        <f t="shared" si="694"/>
        <v>6</v>
      </c>
      <c r="BX1210" s="4">
        <f t="shared" si="695"/>
        <v>0</v>
      </c>
      <c r="BY1210" s="4">
        <f t="shared" si="696"/>
        <v>0</v>
      </c>
      <c r="BZ1210" s="37">
        <f t="shared" si="697"/>
        <v>90</v>
      </c>
      <c r="CA1210" s="32" t="str">
        <f>VLOOKUP(J:J,'Agent wise'!A:C,3,0)</f>
        <v>Saran S</v>
      </c>
      <c r="CB1210" s="32">
        <f t="shared" si="663"/>
        <v>45951</v>
      </c>
      <c r="CC1210" t="str">
        <f t="shared" si="698"/>
        <v>Good</v>
      </c>
      <c r="CE1210" s="32"/>
      <c r="CJ1210">
        <f t="shared" si="665"/>
        <v>21</v>
      </c>
      <c r="CK1210">
        <f t="shared" si="666"/>
        <v>10</v>
      </c>
      <c r="CL1210">
        <f t="shared" si="667"/>
        <v>2025</v>
      </c>
    </row>
    <row r="1211" spans="1:90" ht="15" customHeight="1" x14ac:dyDescent="0.35">
      <c r="A1211" t="s">
        <v>2972</v>
      </c>
      <c r="B1211" t="s">
        <v>130</v>
      </c>
      <c r="C1211" t="s">
        <v>214</v>
      </c>
      <c r="D1211" t="s">
        <v>131</v>
      </c>
      <c r="E1211" s="32">
        <v>45951</v>
      </c>
      <c r="F1211" t="s">
        <v>54</v>
      </c>
      <c r="G1211" t="s">
        <v>2915</v>
      </c>
      <c r="H1211">
        <v>9500320498</v>
      </c>
      <c r="I1211">
        <v>127</v>
      </c>
      <c r="J1211" t="s">
        <v>85</v>
      </c>
      <c r="K1211" t="s">
        <v>71</v>
      </c>
      <c r="L1211" t="s">
        <v>72</v>
      </c>
      <c r="M1211" t="s">
        <v>59</v>
      </c>
      <c r="N1211" t="s">
        <v>59</v>
      </c>
      <c r="O1211" t="s">
        <v>59</v>
      </c>
      <c r="P1211" t="s">
        <v>59</v>
      </c>
      <c r="Q1211" t="s">
        <v>59</v>
      </c>
      <c r="R1211" t="s">
        <v>59</v>
      </c>
      <c r="S1211" t="s">
        <v>59</v>
      </c>
      <c r="T1211" t="s">
        <v>59</v>
      </c>
      <c r="U1211" t="s">
        <v>59</v>
      </c>
      <c r="V1211" t="s">
        <v>59</v>
      </c>
      <c r="W1211" t="s">
        <v>59</v>
      </c>
      <c r="X1211" t="s">
        <v>59</v>
      </c>
      <c r="Y1211" t="s">
        <v>59</v>
      </c>
      <c r="Z1211" t="s">
        <v>59</v>
      </c>
      <c r="AA1211" t="s">
        <v>59</v>
      </c>
      <c r="AB1211" t="s">
        <v>61</v>
      </c>
      <c r="AC1211" t="s">
        <v>59</v>
      </c>
      <c r="AD1211" t="s">
        <v>59</v>
      </c>
      <c r="AE1211" t="s">
        <v>59</v>
      </c>
      <c r="AF1211" t="s">
        <v>61</v>
      </c>
      <c r="AG1211" t="s">
        <v>59</v>
      </c>
      <c r="AH1211" t="s">
        <v>61</v>
      </c>
      <c r="AI1211" t="s">
        <v>61</v>
      </c>
      <c r="AJ1211" t="s">
        <v>59</v>
      </c>
      <c r="AK1211" t="s">
        <v>59</v>
      </c>
      <c r="AL1211" t="s">
        <v>59</v>
      </c>
      <c r="AM1211" t="s">
        <v>59</v>
      </c>
      <c r="AN1211" t="s">
        <v>59</v>
      </c>
      <c r="AO1211" t="s">
        <v>59</v>
      </c>
      <c r="AP1211" t="s">
        <v>270</v>
      </c>
      <c r="AQ1211" s="1" t="s">
        <v>2973</v>
      </c>
      <c r="AR1211" t="s">
        <v>64</v>
      </c>
      <c r="AS1211" t="s">
        <v>171</v>
      </c>
      <c r="AT1211" t="s">
        <v>172</v>
      </c>
      <c r="AU1211" t="s">
        <v>219</v>
      </c>
      <c r="AW1211" s="4">
        <f t="shared" si="668"/>
        <v>6</v>
      </c>
      <c r="AX1211" s="4">
        <f t="shared" si="669"/>
        <v>4</v>
      </c>
      <c r="AY1211" s="4">
        <f t="shared" si="670"/>
        <v>4</v>
      </c>
      <c r="AZ1211" s="4">
        <f t="shared" si="671"/>
        <v>2</v>
      </c>
      <c r="BA1211" s="4">
        <f t="shared" si="672"/>
        <v>4</v>
      </c>
      <c r="BB1211" s="4">
        <f t="shared" si="673"/>
        <v>4</v>
      </c>
      <c r="BC1211" s="4">
        <f t="shared" si="674"/>
        <v>4</v>
      </c>
      <c r="BD1211" s="4">
        <f t="shared" si="675"/>
        <v>2</v>
      </c>
      <c r="BE1211" s="4">
        <f t="shared" si="676"/>
        <v>4</v>
      </c>
      <c r="BF1211" s="4">
        <f t="shared" si="677"/>
        <v>2</v>
      </c>
      <c r="BG1211" s="4">
        <f t="shared" si="678"/>
        <v>4</v>
      </c>
      <c r="BH1211" s="4">
        <f t="shared" si="679"/>
        <v>4</v>
      </c>
      <c r="BI1211" s="4">
        <f t="shared" si="680"/>
        <v>4</v>
      </c>
      <c r="BJ1211" s="4">
        <f t="shared" si="681"/>
        <v>2</v>
      </c>
      <c r="BK1211" s="4">
        <f t="shared" si="682"/>
        <v>4</v>
      </c>
      <c r="BL1211" s="4">
        <f t="shared" si="683"/>
        <v>2</v>
      </c>
      <c r="BM1211" s="4">
        <f t="shared" si="684"/>
        <v>4</v>
      </c>
      <c r="BN1211" s="4">
        <f t="shared" si="685"/>
        <v>4</v>
      </c>
      <c r="BO1211" s="4">
        <f t="shared" si="686"/>
        <v>4</v>
      </c>
      <c r="BP1211" s="4">
        <f t="shared" si="687"/>
        <v>4</v>
      </c>
      <c r="BQ1211" s="4">
        <f t="shared" si="688"/>
        <v>6</v>
      </c>
      <c r="BR1211" s="4">
        <f t="shared" si="689"/>
        <v>4</v>
      </c>
      <c r="BS1211" s="4">
        <f t="shared" si="690"/>
        <v>4</v>
      </c>
      <c r="BT1211" s="4">
        <f t="shared" si="691"/>
        <v>4</v>
      </c>
      <c r="BU1211" s="4">
        <f t="shared" si="692"/>
        <v>4</v>
      </c>
      <c r="BV1211" s="4">
        <f t="shared" si="693"/>
        <v>0</v>
      </c>
      <c r="BW1211" s="4">
        <f t="shared" si="694"/>
        <v>6</v>
      </c>
      <c r="BX1211" s="4">
        <f t="shared" si="695"/>
        <v>0</v>
      </c>
      <c r="BY1211" s="4">
        <f t="shared" si="696"/>
        <v>0</v>
      </c>
      <c r="BZ1211" s="37">
        <f t="shared" si="697"/>
        <v>100</v>
      </c>
      <c r="CA1211" s="32" t="str">
        <f>VLOOKUP(J:J,'Agent wise'!A:C,3,0)</f>
        <v>Saran S</v>
      </c>
      <c r="CB1211" s="32">
        <f t="shared" si="663"/>
        <v>45951</v>
      </c>
      <c r="CC1211" t="str">
        <f t="shared" si="698"/>
        <v>Excellent</v>
      </c>
      <c r="CE1211" s="32"/>
      <c r="CJ1211">
        <f t="shared" si="665"/>
        <v>21</v>
      </c>
      <c r="CK1211">
        <f t="shared" si="666"/>
        <v>10</v>
      </c>
      <c r="CL1211">
        <f t="shared" si="667"/>
        <v>2025</v>
      </c>
    </row>
    <row r="1212" spans="1:90" ht="15" customHeight="1" x14ac:dyDescent="0.35">
      <c r="A1212" t="s">
        <v>2974</v>
      </c>
      <c r="B1212" t="s">
        <v>100</v>
      </c>
      <c r="C1212" t="s">
        <v>214</v>
      </c>
      <c r="D1212" t="s">
        <v>101</v>
      </c>
      <c r="E1212" s="32">
        <v>45951</v>
      </c>
      <c r="F1212" t="s">
        <v>222</v>
      </c>
      <c r="G1212" t="s">
        <v>2811</v>
      </c>
      <c r="H1212">
        <v>9142917738</v>
      </c>
      <c r="I1212">
        <v>132</v>
      </c>
      <c r="J1212" t="s">
        <v>439</v>
      </c>
      <c r="K1212" t="s">
        <v>57</v>
      </c>
      <c r="L1212" t="s">
        <v>58</v>
      </c>
      <c r="M1212" t="s">
        <v>59</v>
      </c>
      <c r="N1212" t="s">
        <v>59</v>
      </c>
      <c r="O1212" t="s">
        <v>59</v>
      </c>
      <c r="P1212" t="s">
        <v>59</v>
      </c>
      <c r="Q1212" t="s">
        <v>59</v>
      </c>
      <c r="R1212" t="s">
        <v>59</v>
      </c>
      <c r="S1212" t="s">
        <v>59</v>
      </c>
      <c r="T1212" t="s">
        <v>59</v>
      </c>
      <c r="U1212" t="s">
        <v>59</v>
      </c>
      <c r="V1212" t="s">
        <v>59</v>
      </c>
      <c r="W1212" t="s">
        <v>59</v>
      </c>
      <c r="X1212" t="s">
        <v>59</v>
      </c>
      <c r="Y1212" t="s">
        <v>59</v>
      </c>
      <c r="Z1212" t="s">
        <v>59</v>
      </c>
      <c r="AA1212" t="s">
        <v>60</v>
      </c>
      <c r="AB1212" t="s">
        <v>59</v>
      </c>
      <c r="AC1212" t="s">
        <v>61</v>
      </c>
      <c r="AD1212" t="s">
        <v>59</v>
      </c>
      <c r="AE1212" t="s">
        <v>59</v>
      </c>
      <c r="AF1212" t="s">
        <v>59</v>
      </c>
      <c r="AG1212" t="s">
        <v>59</v>
      </c>
      <c r="AH1212" t="s">
        <v>61</v>
      </c>
      <c r="AI1212" t="s">
        <v>60</v>
      </c>
      <c r="AJ1212" t="s">
        <v>59</v>
      </c>
      <c r="AK1212" t="s">
        <v>59</v>
      </c>
      <c r="AL1212" t="s">
        <v>60</v>
      </c>
      <c r="AM1212" t="s">
        <v>59</v>
      </c>
      <c r="AN1212" t="s">
        <v>59</v>
      </c>
      <c r="AO1212" t="s">
        <v>59</v>
      </c>
      <c r="AP1212" t="s">
        <v>1776</v>
      </c>
      <c r="AQ1212" s="1" t="s">
        <v>2975</v>
      </c>
      <c r="AR1212" t="s">
        <v>226</v>
      </c>
      <c r="AS1212" t="s">
        <v>352</v>
      </c>
      <c r="AT1212" t="s">
        <v>352</v>
      </c>
      <c r="AU1212" t="s">
        <v>299</v>
      </c>
      <c r="AW1212" s="4">
        <f t="shared" si="668"/>
        <v>6</v>
      </c>
      <c r="AX1212" s="4">
        <f t="shared" si="669"/>
        <v>4</v>
      </c>
      <c r="AY1212" s="4">
        <f t="shared" si="670"/>
        <v>4</v>
      </c>
      <c r="AZ1212" s="4">
        <f t="shared" si="671"/>
        <v>2</v>
      </c>
      <c r="BA1212" s="4">
        <f t="shared" si="672"/>
        <v>4</v>
      </c>
      <c r="BB1212" s="4">
        <f t="shared" si="673"/>
        <v>4</v>
      </c>
      <c r="BC1212" s="4">
        <f t="shared" si="674"/>
        <v>4</v>
      </c>
      <c r="BD1212" s="4">
        <f t="shared" si="675"/>
        <v>2</v>
      </c>
      <c r="BE1212" s="4">
        <f t="shared" si="676"/>
        <v>4</v>
      </c>
      <c r="BF1212" s="4">
        <f t="shared" si="677"/>
        <v>2</v>
      </c>
      <c r="BG1212" s="4">
        <f t="shared" si="678"/>
        <v>4</v>
      </c>
      <c r="BH1212" s="4">
        <f t="shared" si="679"/>
        <v>4</v>
      </c>
      <c r="BI1212" s="4">
        <f t="shared" si="680"/>
        <v>4</v>
      </c>
      <c r="BJ1212" s="4">
        <f t="shared" si="681"/>
        <v>2</v>
      </c>
      <c r="BK1212" s="4" t="str">
        <f t="shared" si="682"/>
        <v>0</v>
      </c>
      <c r="BL1212" s="4">
        <f t="shared" si="683"/>
        <v>2</v>
      </c>
      <c r="BM1212" s="4">
        <f t="shared" si="684"/>
        <v>4</v>
      </c>
      <c r="BN1212" s="4">
        <f t="shared" si="685"/>
        <v>4</v>
      </c>
      <c r="BO1212" s="4">
        <f t="shared" si="686"/>
        <v>4</v>
      </c>
      <c r="BP1212" s="4">
        <f t="shared" si="687"/>
        <v>4</v>
      </c>
      <c r="BQ1212" s="4">
        <f t="shared" si="688"/>
        <v>6</v>
      </c>
      <c r="BR1212" s="4">
        <f t="shared" si="689"/>
        <v>4</v>
      </c>
      <c r="BS1212" s="4" t="str">
        <f t="shared" si="690"/>
        <v>0</v>
      </c>
      <c r="BT1212" s="4">
        <f t="shared" si="691"/>
        <v>4</v>
      </c>
      <c r="BU1212" s="4">
        <f t="shared" si="692"/>
        <v>4</v>
      </c>
      <c r="BV1212" s="4" t="str">
        <f t="shared" si="693"/>
        <v>0</v>
      </c>
      <c r="BW1212" s="4">
        <f t="shared" si="694"/>
        <v>6</v>
      </c>
      <c r="BX1212" s="4">
        <f t="shared" si="695"/>
        <v>0</v>
      </c>
      <c r="BY1212" s="4">
        <f t="shared" si="696"/>
        <v>0</v>
      </c>
      <c r="BZ1212" s="37">
        <f t="shared" si="697"/>
        <v>92</v>
      </c>
      <c r="CA1212" s="32" t="str">
        <f>VLOOKUP(J:J,'Agent wise'!A:C,3,0)</f>
        <v>Saran S</v>
      </c>
      <c r="CB1212" s="32">
        <f t="shared" si="663"/>
        <v>45951</v>
      </c>
      <c r="CC1212" t="str">
        <f t="shared" si="698"/>
        <v>Good</v>
      </c>
      <c r="CE1212" s="32"/>
      <c r="CJ1212">
        <f t="shared" si="665"/>
        <v>21</v>
      </c>
      <c r="CK1212">
        <f t="shared" si="666"/>
        <v>10</v>
      </c>
      <c r="CL1212">
        <f t="shared" si="667"/>
        <v>2025</v>
      </c>
    </row>
    <row r="1213" spans="1:90" ht="15" customHeight="1" x14ac:dyDescent="0.35">
      <c r="A1213" t="s">
        <v>2976</v>
      </c>
      <c r="B1213" t="s">
        <v>130</v>
      </c>
      <c r="C1213" t="s">
        <v>214</v>
      </c>
      <c r="D1213" t="s">
        <v>131</v>
      </c>
      <c r="E1213" s="32">
        <v>45951</v>
      </c>
      <c r="F1213" t="s">
        <v>54</v>
      </c>
      <c r="G1213" t="s">
        <v>2915</v>
      </c>
      <c r="H1213">
        <v>9443189777</v>
      </c>
      <c r="I1213">
        <v>151</v>
      </c>
      <c r="J1213" t="s">
        <v>321</v>
      </c>
      <c r="K1213" t="s">
        <v>71</v>
      </c>
      <c r="L1213" t="s">
        <v>72</v>
      </c>
      <c r="M1213" t="s">
        <v>59</v>
      </c>
      <c r="N1213" t="s">
        <v>59</v>
      </c>
      <c r="O1213" t="s">
        <v>59</v>
      </c>
      <c r="P1213" t="s">
        <v>59</v>
      </c>
      <c r="Q1213" t="s">
        <v>59</v>
      </c>
      <c r="R1213" t="s">
        <v>59</v>
      </c>
      <c r="S1213" t="s">
        <v>59</v>
      </c>
      <c r="T1213" t="s">
        <v>59</v>
      </c>
      <c r="U1213" t="s">
        <v>60</v>
      </c>
      <c r="V1213" t="s">
        <v>59</v>
      </c>
      <c r="W1213" t="s">
        <v>59</v>
      </c>
      <c r="X1213" t="s">
        <v>59</v>
      </c>
      <c r="Y1213" t="s">
        <v>59</v>
      </c>
      <c r="Z1213" t="s">
        <v>59</v>
      </c>
      <c r="AA1213" t="s">
        <v>60</v>
      </c>
      <c r="AB1213" t="s">
        <v>61</v>
      </c>
      <c r="AC1213" t="s">
        <v>61</v>
      </c>
      <c r="AD1213" t="s">
        <v>59</v>
      </c>
      <c r="AE1213" t="s">
        <v>59</v>
      </c>
      <c r="AF1213" t="s">
        <v>61</v>
      </c>
      <c r="AG1213" t="s">
        <v>59</v>
      </c>
      <c r="AH1213" t="s">
        <v>61</v>
      </c>
      <c r="AI1213" t="s">
        <v>61</v>
      </c>
      <c r="AJ1213" t="s">
        <v>59</v>
      </c>
      <c r="AK1213" t="s">
        <v>59</v>
      </c>
      <c r="AL1213" t="s">
        <v>60</v>
      </c>
      <c r="AM1213" t="s">
        <v>59</v>
      </c>
      <c r="AN1213" t="s">
        <v>59</v>
      </c>
      <c r="AO1213" t="s">
        <v>59</v>
      </c>
      <c r="AP1213" t="s">
        <v>2977</v>
      </c>
      <c r="AQ1213" s="1" t="s">
        <v>2978</v>
      </c>
      <c r="AR1213" t="s">
        <v>64</v>
      </c>
      <c r="AS1213" t="s">
        <v>198</v>
      </c>
      <c r="AT1213" t="s">
        <v>218</v>
      </c>
      <c r="AU1213" t="s">
        <v>219</v>
      </c>
      <c r="AW1213" s="4">
        <f t="shared" si="668"/>
        <v>6</v>
      </c>
      <c r="AX1213" s="4">
        <f t="shared" si="669"/>
        <v>4</v>
      </c>
      <c r="AY1213" s="4">
        <f t="shared" si="670"/>
        <v>4</v>
      </c>
      <c r="AZ1213" s="4">
        <f t="shared" si="671"/>
        <v>2</v>
      </c>
      <c r="BA1213" s="4">
        <f t="shared" si="672"/>
        <v>4</v>
      </c>
      <c r="BB1213" s="4">
        <f t="shared" si="673"/>
        <v>4</v>
      </c>
      <c r="BC1213" s="4">
        <f t="shared" si="674"/>
        <v>4</v>
      </c>
      <c r="BD1213" s="4">
        <f t="shared" si="675"/>
        <v>2</v>
      </c>
      <c r="BE1213" s="4" t="str">
        <f t="shared" si="676"/>
        <v>0</v>
      </c>
      <c r="BF1213" s="4">
        <f t="shared" si="677"/>
        <v>2</v>
      </c>
      <c r="BG1213" s="4">
        <f t="shared" si="678"/>
        <v>4</v>
      </c>
      <c r="BH1213" s="4">
        <f t="shared" si="679"/>
        <v>4</v>
      </c>
      <c r="BI1213" s="4">
        <f t="shared" si="680"/>
        <v>4</v>
      </c>
      <c r="BJ1213" s="4">
        <f t="shared" si="681"/>
        <v>2</v>
      </c>
      <c r="BK1213" s="4" t="str">
        <f t="shared" si="682"/>
        <v>0</v>
      </c>
      <c r="BL1213" s="4">
        <f t="shared" si="683"/>
        <v>2</v>
      </c>
      <c r="BM1213" s="4">
        <f t="shared" si="684"/>
        <v>4</v>
      </c>
      <c r="BN1213" s="4">
        <f t="shared" si="685"/>
        <v>4</v>
      </c>
      <c r="BO1213" s="4">
        <f t="shared" si="686"/>
        <v>4</v>
      </c>
      <c r="BP1213" s="4">
        <f t="shared" si="687"/>
        <v>4</v>
      </c>
      <c r="BQ1213" s="4">
        <f t="shared" si="688"/>
        <v>6</v>
      </c>
      <c r="BR1213" s="4">
        <f t="shared" si="689"/>
        <v>4</v>
      </c>
      <c r="BS1213" s="4">
        <f t="shared" si="690"/>
        <v>4</v>
      </c>
      <c r="BT1213" s="4">
        <f t="shared" si="691"/>
        <v>4</v>
      </c>
      <c r="BU1213" s="4">
        <f t="shared" si="692"/>
        <v>4</v>
      </c>
      <c r="BV1213" s="4" t="str">
        <f t="shared" si="693"/>
        <v>0</v>
      </c>
      <c r="BW1213" s="4">
        <f t="shared" si="694"/>
        <v>6</v>
      </c>
      <c r="BX1213" s="4">
        <f t="shared" si="695"/>
        <v>0</v>
      </c>
      <c r="BY1213" s="4">
        <f t="shared" si="696"/>
        <v>0</v>
      </c>
      <c r="BZ1213" s="37">
        <f t="shared" si="697"/>
        <v>92</v>
      </c>
      <c r="CA1213" s="32" t="str">
        <f>VLOOKUP(J:J,'Agent wise'!A:C,3,0)</f>
        <v>Saran S</v>
      </c>
      <c r="CB1213" s="32">
        <f t="shared" si="663"/>
        <v>45951</v>
      </c>
      <c r="CC1213" t="str">
        <f t="shared" si="698"/>
        <v>Good</v>
      </c>
      <c r="CE1213" s="32"/>
      <c r="CJ1213">
        <f t="shared" si="665"/>
        <v>21</v>
      </c>
      <c r="CK1213">
        <f t="shared" si="666"/>
        <v>10</v>
      </c>
      <c r="CL1213">
        <f t="shared" si="667"/>
        <v>2025</v>
      </c>
    </row>
    <row r="1214" spans="1:90" ht="15" customHeight="1" x14ac:dyDescent="0.35">
      <c r="A1214" t="s">
        <v>2979</v>
      </c>
      <c r="B1214" t="s">
        <v>100</v>
      </c>
      <c r="C1214" t="s">
        <v>214</v>
      </c>
      <c r="D1214" t="s">
        <v>101</v>
      </c>
      <c r="E1214" s="32">
        <v>45951</v>
      </c>
      <c r="F1214" t="s">
        <v>222</v>
      </c>
      <c r="G1214" t="s">
        <v>2915</v>
      </c>
      <c r="H1214">
        <v>9446397221</v>
      </c>
      <c r="I1214">
        <v>147</v>
      </c>
      <c r="J1214" t="s">
        <v>575</v>
      </c>
      <c r="K1214" t="s">
        <v>57</v>
      </c>
      <c r="L1214" t="s">
        <v>58</v>
      </c>
      <c r="M1214" t="s">
        <v>59</v>
      </c>
      <c r="N1214" t="s">
        <v>59</v>
      </c>
      <c r="O1214" t="s">
        <v>59</v>
      </c>
      <c r="P1214" t="s">
        <v>59</v>
      </c>
      <c r="Q1214" t="s">
        <v>59</v>
      </c>
      <c r="R1214" t="s">
        <v>59</v>
      </c>
      <c r="S1214" t="s">
        <v>59</v>
      </c>
      <c r="T1214" t="s">
        <v>59</v>
      </c>
      <c r="U1214" t="s">
        <v>60</v>
      </c>
      <c r="V1214" t="s">
        <v>59</v>
      </c>
      <c r="W1214" t="s">
        <v>59</v>
      </c>
      <c r="X1214" t="s">
        <v>61</v>
      </c>
      <c r="Y1214" t="s">
        <v>59</v>
      </c>
      <c r="Z1214" t="s">
        <v>59</v>
      </c>
      <c r="AA1214" t="s">
        <v>60</v>
      </c>
      <c r="AB1214" t="s">
        <v>60</v>
      </c>
      <c r="AC1214" t="s">
        <v>59</v>
      </c>
      <c r="AD1214" t="s">
        <v>59</v>
      </c>
      <c r="AE1214" t="s">
        <v>59</v>
      </c>
      <c r="AF1214" t="s">
        <v>59</v>
      </c>
      <c r="AG1214" t="s">
        <v>59</v>
      </c>
      <c r="AH1214" t="s">
        <v>61</v>
      </c>
      <c r="AI1214" t="s">
        <v>61</v>
      </c>
      <c r="AJ1214" t="s">
        <v>59</v>
      </c>
      <c r="AK1214" t="s">
        <v>61</v>
      </c>
      <c r="AL1214" t="s">
        <v>60</v>
      </c>
      <c r="AM1214" t="s">
        <v>59</v>
      </c>
      <c r="AN1214" t="s">
        <v>59</v>
      </c>
      <c r="AO1214" t="s">
        <v>59</v>
      </c>
      <c r="AP1214" t="s">
        <v>2980</v>
      </c>
      <c r="AQ1214" s="1" t="s">
        <v>2981</v>
      </c>
      <c r="AR1214" t="s">
        <v>226</v>
      </c>
      <c r="AS1214" t="s">
        <v>352</v>
      </c>
      <c r="AT1214" t="s">
        <v>2982</v>
      </c>
      <c r="AU1214" t="s">
        <v>299</v>
      </c>
      <c r="AW1214" s="4">
        <f t="shared" si="668"/>
        <v>6</v>
      </c>
      <c r="AX1214" s="4">
        <f t="shared" si="669"/>
        <v>4</v>
      </c>
      <c r="AY1214" s="4">
        <f t="shared" si="670"/>
        <v>4</v>
      </c>
      <c r="AZ1214" s="4">
        <f t="shared" si="671"/>
        <v>2</v>
      </c>
      <c r="BA1214" s="4">
        <f t="shared" si="672"/>
        <v>4</v>
      </c>
      <c r="BB1214" s="4">
        <f t="shared" si="673"/>
        <v>4</v>
      </c>
      <c r="BC1214" s="4">
        <f t="shared" si="674"/>
        <v>4</v>
      </c>
      <c r="BD1214" s="4">
        <f t="shared" si="675"/>
        <v>2</v>
      </c>
      <c r="BE1214" s="4" t="str">
        <f t="shared" si="676"/>
        <v>0</v>
      </c>
      <c r="BF1214" s="4">
        <f t="shared" si="677"/>
        <v>2</v>
      </c>
      <c r="BG1214" s="4">
        <f t="shared" si="678"/>
        <v>4</v>
      </c>
      <c r="BH1214" s="4">
        <f t="shared" si="679"/>
        <v>4</v>
      </c>
      <c r="BI1214" s="4">
        <f t="shared" si="680"/>
        <v>4</v>
      </c>
      <c r="BJ1214" s="4">
        <f t="shared" si="681"/>
        <v>2</v>
      </c>
      <c r="BK1214" s="4" t="str">
        <f t="shared" si="682"/>
        <v>0</v>
      </c>
      <c r="BL1214" s="4" t="str">
        <f t="shared" si="683"/>
        <v>0</v>
      </c>
      <c r="BM1214" s="4">
        <f t="shared" si="684"/>
        <v>4</v>
      </c>
      <c r="BN1214" s="4">
        <f t="shared" si="685"/>
        <v>4</v>
      </c>
      <c r="BO1214" s="4">
        <f t="shared" si="686"/>
        <v>4</v>
      </c>
      <c r="BP1214" s="4">
        <f t="shared" si="687"/>
        <v>4</v>
      </c>
      <c r="BQ1214" s="4">
        <f t="shared" si="688"/>
        <v>6</v>
      </c>
      <c r="BR1214" s="4">
        <f t="shared" si="689"/>
        <v>4</v>
      </c>
      <c r="BS1214" s="4">
        <f t="shared" si="690"/>
        <v>4</v>
      </c>
      <c r="BT1214" s="4">
        <f t="shared" si="691"/>
        <v>4</v>
      </c>
      <c r="BU1214" s="4">
        <f t="shared" si="692"/>
        <v>4</v>
      </c>
      <c r="BV1214" s="4" t="str">
        <f t="shared" si="693"/>
        <v>0</v>
      </c>
      <c r="BW1214" s="4">
        <f t="shared" si="694"/>
        <v>6</v>
      </c>
      <c r="BX1214" s="4">
        <f t="shared" si="695"/>
        <v>0</v>
      </c>
      <c r="BY1214" s="4">
        <f t="shared" si="696"/>
        <v>0</v>
      </c>
      <c r="BZ1214" s="37">
        <f t="shared" si="697"/>
        <v>90</v>
      </c>
      <c r="CA1214" s="32" t="str">
        <f>VLOOKUP(J:J,'Agent wise'!A:C,3,0)</f>
        <v>Shakeer</v>
      </c>
      <c r="CB1214" s="32">
        <f t="shared" si="663"/>
        <v>45951</v>
      </c>
      <c r="CC1214" t="str">
        <f t="shared" si="698"/>
        <v>Good</v>
      </c>
      <c r="CE1214" s="32"/>
      <c r="CJ1214">
        <f t="shared" si="665"/>
        <v>21</v>
      </c>
      <c r="CK1214">
        <f t="shared" si="666"/>
        <v>10</v>
      </c>
      <c r="CL1214">
        <f t="shared" si="667"/>
        <v>2025</v>
      </c>
    </row>
    <row r="1215" spans="1:90" ht="15" customHeight="1" x14ac:dyDescent="0.35">
      <c r="A1215" t="s">
        <v>2983</v>
      </c>
      <c r="B1215" t="s">
        <v>100</v>
      </c>
      <c r="C1215" t="s">
        <v>214</v>
      </c>
      <c r="D1215" t="s">
        <v>101</v>
      </c>
      <c r="E1215" s="32">
        <v>45951</v>
      </c>
      <c r="F1215" t="s">
        <v>222</v>
      </c>
      <c r="G1215" t="s">
        <v>2811</v>
      </c>
      <c r="H1215">
        <v>7358625004</v>
      </c>
      <c r="I1215">
        <v>146</v>
      </c>
      <c r="J1215" t="s">
        <v>464</v>
      </c>
      <c r="K1215" t="s">
        <v>71</v>
      </c>
      <c r="L1215" t="s">
        <v>72</v>
      </c>
      <c r="M1215" t="s">
        <v>59</v>
      </c>
      <c r="N1215" t="s">
        <v>59</v>
      </c>
      <c r="O1215" t="s">
        <v>59</v>
      </c>
      <c r="P1215" t="s">
        <v>59</v>
      </c>
      <c r="Q1215" t="s">
        <v>59</v>
      </c>
      <c r="R1215" t="s">
        <v>59</v>
      </c>
      <c r="S1215" t="s">
        <v>59</v>
      </c>
      <c r="T1215" t="s">
        <v>59</v>
      </c>
      <c r="U1215" t="s">
        <v>59</v>
      </c>
      <c r="V1215" t="s">
        <v>59</v>
      </c>
      <c r="W1215" t="s">
        <v>59</v>
      </c>
      <c r="X1215" t="s">
        <v>59</v>
      </c>
      <c r="Y1215" t="s">
        <v>59</v>
      </c>
      <c r="Z1215" t="s">
        <v>59</v>
      </c>
      <c r="AA1215" t="s">
        <v>60</v>
      </c>
      <c r="AB1215" t="s">
        <v>61</v>
      </c>
      <c r="AC1215" t="s">
        <v>59</v>
      </c>
      <c r="AD1215" t="s">
        <v>59</v>
      </c>
      <c r="AE1215" t="s">
        <v>59</v>
      </c>
      <c r="AF1215" t="s">
        <v>59</v>
      </c>
      <c r="AG1215" t="s">
        <v>59</v>
      </c>
      <c r="AH1215" t="s">
        <v>61</v>
      </c>
      <c r="AI1215" t="s">
        <v>61</v>
      </c>
      <c r="AJ1215" t="s">
        <v>59</v>
      </c>
      <c r="AK1215" t="s">
        <v>61</v>
      </c>
      <c r="AL1215" t="s">
        <v>60</v>
      </c>
      <c r="AM1215" t="s">
        <v>59</v>
      </c>
      <c r="AN1215" t="s">
        <v>59</v>
      </c>
      <c r="AO1215" t="s">
        <v>59</v>
      </c>
      <c r="AP1215" t="s">
        <v>2980</v>
      </c>
      <c r="AQ1215" s="1" t="s">
        <v>2984</v>
      </c>
      <c r="AR1215" t="s">
        <v>226</v>
      </c>
      <c r="AS1215" t="s">
        <v>375</v>
      </c>
      <c r="AT1215" t="s">
        <v>375</v>
      </c>
      <c r="AU1215" t="s">
        <v>299</v>
      </c>
      <c r="AW1215" s="4">
        <f t="shared" si="668"/>
        <v>6</v>
      </c>
      <c r="AX1215" s="4">
        <f t="shared" si="669"/>
        <v>4</v>
      </c>
      <c r="AY1215" s="4">
        <f t="shared" si="670"/>
        <v>4</v>
      </c>
      <c r="AZ1215" s="4">
        <f t="shared" si="671"/>
        <v>2</v>
      </c>
      <c r="BA1215" s="4">
        <f t="shared" si="672"/>
        <v>4</v>
      </c>
      <c r="BB1215" s="4">
        <f t="shared" si="673"/>
        <v>4</v>
      </c>
      <c r="BC1215" s="4">
        <f t="shared" si="674"/>
        <v>4</v>
      </c>
      <c r="BD1215" s="4">
        <f t="shared" si="675"/>
        <v>2</v>
      </c>
      <c r="BE1215" s="4">
        <f t="shared" si="676"/>
        <v>4</v>
      </c>
      <c r="BF1215" s="4">
        <f t="shared" si="677"/>
        <v>2</v>
      </c>
      <c r="BG1215" s="4">
        <f t="shared" si="678"/>
        <v>4</v>
      </c>
      <c r="BH1215" s="4">
        <f t="shared" si="679"/>
        <v>4</v>
      </c>
      <c r="BI1215" s="4">
        <f t="shared" si="680"/>
        <v>4</v>
      </c>
      <c r="BJ1215" s="4">
        <f t="shared" si="681"/>
        <v>2</v>
      </c>
      <c r="BK1215" s="4" t="str">
        <f t="shared" si="682"/>
        <v>0</v>
      </c>
      <c r="BL1215" s="4">
        <f t="shared" si="683"/>
        <v>2</v>
      </c>
      <c r="BM1215" s="4">
        <f t="shared" si="684"/>
        <v>4</v>
      </c>
      <c r="BN1215" s="4">
        <f t="shared" si="685"/>
        <v>4</v>
      </c>
      <c r="BO1215" s="4">
        <f t="shared" si="686"/>
        <v>4</v>
      </c>
      <c r="BP1215" s="4">
        <f t="shared" si="687"/>
        <v>4</v>
      </c>
      <c r="BQ1215" s="4">
        <f t="shared" si="688"/>
        <v>6</v>
      </c>
      <c r="BR1215" s="4">
        <f t="shared" si="689"/>
        <v>4</v>
      </c>
      <c r="BS1215" s="4">
        <f t="shared" si="690"/>
        <v>4</v>
      </c>
      <c r="BT1215" s="4">
        <f t="shared" si="691"/>
        <v>4</v>
      </c>
      <c r="BU1215" s="4">
        <f t="shared" si="692"/>
        <v>4</v>
      </c>
      <c r="BV1215" s="4" t="str">
        <f t="shared" si="693"/>
        <v>0</v>
      </c>
      <c r="BW1215" s="4">
        <f t="shared" si="694"/>
        <v>6</v>
      </c>
      <c r="BX1215" s="4">
        <f t="shared" si="695"/>
        <v>0</v>
      </c>
      <c r="BY1215" s="4">
        <f t="shared" si="696"/>
        <v>0</v>
      </c>
      <c r="BZ1215" s="37">
        <f t="shared" si="697"/>
        <v>96</v>
      </c>
      <c r="CA1215" s="32" t="str">
        <f>VLOOKUP(J:J,'Agent wise'!A:C,3,0)</f>
        <v>Adharsh</v>
      </c>
      <c r="CB1215" s="32">
        <f t="shared" si="663"/>
        <v>45951</v>
      </c>
      <c r="CC1215" t="str">
        <f t="shared" si="698"/>
        <v>Excellent</v>
      </c>
      <c r="CE1215" s="32"/>
      <c r="CJ1215">
        <f t="shared" si="665"/>
        <v>21</v>
      </c>
      <c r="CK1215">
        <f t="shared" si="666"/>
        <v>10</v>
      </c>
      <c r="CL1215">
        <f t="shared" si="667"/>
        <v>2025</v>
      </c>
    </row>
    <row r="1216" spans="1:90" ht="15" customHeight="1" x14ac:dyDescent="0.35">
      <c r="A1216" t="s">
        <v>2985</v>
      </c>
      <c r="B1216" t="s">
        <v>100</v>
      </c>
      <c r="C1216" t="s">
        <v>214</v>
      </c>
      <c r="D1216" t="s">
        <v>101</v>
      </c>
      <c r="E1216" s="32">
        <v>45951</v>
      </c>
      <c r="F1216" t="s">
        <v>222</v>
      </c>
      <c r="G1216" t="s">
        <v>2915</v>
      </c>
      <c r="H1216">
        <v>7418290125</v>
      </c>
      <c r="I1216">
        <v>135</v>
      </c>
      <c r="J1216" t="s">
        <v>208</v>
      </c>
      <c r="K1216" t="s">
        <v>71</v>
      </c>
      <c r="L1216" t="s">
        <v>72</v>
      </c>
      <c r="M1216" t="s">
        <v>59</v>
      </c>
      <c r="N1216" t="s">
        <v>59</v>
      </c>
      <c r="O1216" t="s">
        <v>59</v>
      </c>
      <c r="P1216" t="s">
        <v>59</v>
      </c>
      <c r="Q1216" t="s">
        <v>59</v>
      </c>
      <c r="R1216" t="s">
        <v>59</v>
      </c>
      <c r="S1216" t="s">
        <v>59</v>
      </c>
      <c r="T1216" t="s">
        <v>59</v>
      </c>
      <c r="U1216" t="s">
        <v>60</v>
      </c>
      <c r="V1216" t="s">
        <v>59</v>
      </c>
      <c r="W1216" t="s">
        <v>59</v>
      </c>
      <c r="X1216" t="s">
        <v>59</v>
      </c>
      <c r="Y1216" t="s">
        <v>59</v>
      </c>
      <c r="Z1216" t="s">
        <v>59</v>
      </c>
      <c r="AA1216" t="s">
        <v>60</v>
      </c>
      <c r="AB1216" t="s">
        <v>60</v>
      </c>
      <c r="AC1216" t="s">
        <v>61</v>
      </c>
      <c r="AD1216" t="s">
        <v>59</v>
      </c>
      <c r="AE1216" t="s">
        <v>59</v>
      </c>
      <c r="AF1216" t="s">
        <v>61</v>
      </c>
      <c r="AG1216" t="s">
        <v>59</v>
      </c>
      <c r="AH1216" t="s">
        <v>61</v>
      </c>
      <c r="AI1216" t="s">
        <v>61</v>
      </c>
      <c r="AJ1216" t="s">
        <v>59</v>
      </c>
      <c r="AK1216" t="s">
        <v>59</v>
      </c>
      <c r="AL1216" t="s">
        <v>60</v>
      </c>
      <c r="AM1216" t="s">
        <v>59</v>
      </c>
      <c r="AN1216" t="s">
        <v>59</v>
      </c>
      <c r="AO1216" t="s">
        <v>59</v>
      </c>
      <c r="AP1216" t="s">
        <v>2986</v>
      </c>
      <c r="AQ1216" s="1" t="s">
        <v>2987</v>
      </c>
      <c r="AR1216" t="s">
        <v>226</v>
      </c>
      <c r="AS1216" t="s">
        <v>375</v>
      </c>
      <c r="AT1216" t="s">
        <v>375</v>
      </c>
      <c r="AU1216" t="s">
        <v>299</v>
      </c>
      <c r="AW1216" s="4">
        <f t="shared" si="668"/>
        <v>6</v>
      </c>
      <c r="AX1216" s="4">
        <f t="shared" si="669"/>
        <v>4</v>
      </c>
      <c r="AY1216" s="4">
        <f t="shared" si="670"/>
        <v>4</v>
      </c>
      <c r="AZ1216" s="4">
        <f t="shared" si="671"/>
        <v>2</v>
      </c>
      <c r="BA1216" s="4">
        <f t="shared" si="672"/>
        <v>4</v>
      </c>
      <c r="BB1216" s="4">
        <f t="shared" si="673"/>
        <v>4</v>
      </c>
      <c r="BC1216" s="4">
        <f t="shared" si="674"/>
        <v>4</v>
      </c>
      <c r="BD1216" s="4">
        <f t="shared" si="675"/>
        <v>2</v>
      </c>
      <c r="BE1216" s="4" t="str">
        <f t="shared" si="676"/>
        <v>0</v>
      </c>
      <c r="BF1216" s="4">
        <f t="shared" si="677"/>
        <v>2</v>
      </c>
      <c r="BG1216" s="4">
        <f t="shared" si="678"/>
        <v>4</v>
      </c>
      <c r="BH1216" s="4">
        <f t="shared" si="679"/>
        <v>4</v>
      </c>
      <c r="BI1216" s="4">
        <f t="shared" si="680"/>
        <v>4</v>
      </c>
      <c r="BJ1216" s="4">
        <f t="shared" si="681"/>
        <v>2</v>
      </c>
      <c r="BK1216" s="4" t="str">
        <f t="shared" si="682"/>
        <v>0</v>
      </c>
      <c r="BL1216" s="4" t="str">
        <f t="shared" si="683"/>
        <v>0</v>
      </c>
      <c r="BM1216" s="4">
        <f t="shared" si="684"/>
        <v>4</v>
      </c>
      <c r="BN1216" s="4">
        <f t="shared" si="685"/>
        <v>4</v>
      </c>
      <c r="BO1216" s="4">
        <f t="shared" si="686"/>
        <v>4</v>
      </c>
      <c r="BP1216" s="4">
        <f t="shared" si="687"/>
        <v>4</v>
      </c>
      <c r="BQ1216" s="4">
        <f t="shared" si="688"/>
        <v>6</v>
      </c>
      <c r="BR1216" s="4">
        <f t="shared" si="689"/>
        <v>4</v>
      </c>
      <c r="BS1216" s="4">
        <f t="shared" si="690"/>
        <v>4</v>
      </c>
      <c r="BT1216" s="4">
        <f t="shared" si="691"/>
        <v>4</v>
      </c>
      <c r="BU1216" s="4">
        <f t="shared" si="692"/>
        <v>4</v>
      </c>
      <c r="BV1216" s="4" t="str">
        <f t="shared" si="693"/>
        <v>0</v>
      </c>
      <c r="BW1216" s="4">
        <f t="shared" si="694"/>
        <v>6</v>
      </c>
      <c r="BX1216" s="4">
        <f t="shared" si="695"/>
        <v>0</v>
      </c>
      <c r="BY1216" s="4">
        <f t="shared" si="696"/>
        <v>0</v>
      </c>
      <c r="BZ1216" s="37">
        <f t="shared" si="697"/>
        <v>90</v>
      </c>
      <c r="CA1216" s="32" t="str">
        <f>VLOOKUP(J:J,'Agent wise'!A:C,3,0)</f>
        <v>Adharsh</v>
      </c>
      <c r="CB1216" s="32">
        <f t="shared" si="663"/>
        <v>45951</v>
      </c>
      <c r="CC1216" t="str">
        <f t="shared" si="698"/>
        <v>Good</v>
      </c>
      <c r="CE1216" s="32"/>
      <c r="CJ1216">
        <f t="shared" si="665"/>
        <v>21</v>
      </c>
      <c r="CK1216">
        <f t="shared" si="666"/>
        <v>10</v>
      </c>
      <c r="CL1216">
        <f t="shared" si="667"/>
        <v>2025</v>
      </c>
    </row>
    <row r="1217" spans="1:90" ht="15" customHeight="1" x14ac:dyDescent="0.35">
      <c r="A1217" t="s">
        <v>2988</v>
      </c>
      <c r="B1217" t="s">
        <v>100</v>
      </c>
      <c r="C1217" t="s">
        <v>214</v>
      </c>
      <c r="D1217" t="s">
        <v>101</v>
      </c>
      <c r="E1217" s="32">
        <v>45951</v>
      </c>
      <c r="F1217" t="s">
        <v>222</v>
      </c>
      <c r="G1217" t="s">
        <v>2811</v>
      </c>
      <c r="H1217">
        <v>9344675896</v>
      </c>
      <c r="I1217">
        <v>132</v>
      </c>
      <c r="J1217" t="s">
        <v>391</v>
      </c>
      <c r="K1217" t="s">
        <v>71</v>
      </c>
      <c r="L1217" t="s">
        <v>72</v>
      </c>
      <c r="M1217" t="s">
        <v>59</v>
      </c>
      <c r="N1217" t="s">
        <v>59</v>
      </c>
      <c r="O1217" t="s">
        <v>59</v>
      </c>
      <c r="P1217" t="s">
        <v>59</v>
      </c>
      <c r="Q1217" t="s">
        <v>59</v>
      </c>
      <c r="R1217" t="s">
        <v>59</v>
      </c>
      <c r="S1217" t="s">
        <v>59</v>
      </c>
      <c r="T1217" t="s">
        <v>59</v>
      </c>
      <c r="U1217" t="s">
        <v>59</v>
      </c>
      <c r="V1217" t="s">
        <v>59</v>
      </c>
      <c r="W1217" t="s">
        <v>59</v>
      </c>
      <c r="X1217" t="s">
        <v>61</v>
      </c>
      <c r="Y1217" t="s">
        <v>59</v>
      </c>
      <c r="Z1217" t="s">
        <v>59</v>
      </c>
      <c r="AA1217" t="s">
        <v>60</v>
      </c>
      <c r="AB1217" t="s">
        <v>61</v>
      </c>
      <c r="AC1217" t="s">
        <v>61</v>
      </c>
      <c r="AD1217" t="s">
        <v>59</v>
      </c>
      <c r="AE1217" t="s">
        <v>59</v>
      </c>
      <c r="AF1217" t="s">
        <v>59</v>
      </c>
      <c r="AG1217" t="s">
        <v>59</v>
      </c>
      <c r="AH1217" t="s">
        <v>61</v>
      </c>
      <c r="AI1217" t="s">
        <v>61</v>
      </c>
      <c r="AJ1217" t="s">
        <v>59</v>
      </c>
      <c r="AK1217" t="s">
        <v>59</v>
      </c>
      <c r="AL1217" t="s">
        <v>60</v>
      </c>
      <c r="AM1217" t="s">
        <v>59</v>
      </c>
      <c r="AN1217" t="s">
        <v>59</v>
      </c>
      <c r="AO1217" t="s">
        <v>59</v>
      </c>
      <c r="AP1217" t="s">
        <v>2989</v>
      </c>
      <c r="AQ1217" s="1" t="s">
        <v>2990</v>
      </c>
      <c r="AR1217" t="s">
        <v>226</v>
      </c>
      <c r="AS1217" t="s">
        <v>352</v>
      </c>
      <c r="AT1217" t="s">
        <v>352</v>
      </c>
      <c r="AU1217" t="s">
        <v>299</v>
      </c>
      <c r="AW1217" s="4">
        <f t="shared" si="668"/>
        <v>6</v>
      </c>
      <c r="AX1217" s="4">
        <f t="shared" si="669"/>
        <v>4</v>
      </c>
      <c r="AY1217" s="4">
        <f t="shared" si="670"/>
        <v>4</v>
      </c>
      <c r="AZ1217" s="4">
        <f t="shared" si="671"/>
        <v>2</v>
      </c>
      <c r="BA1217" s="4">
        <f t="shared" si="672"/>
        <v>4</v>
      </c>
      <c r="BB1217" s="4">
        <f t="shared" si="673"/>
        <v>4</v>
      </c>
      <c r="BC1217" s="4">
        <f t="shared" si="674"/>
        <v>4</v>
      </c>
      <c r="BD1217" s="4">
        <f t="shared" si="675"/>
        <v>2</v>
      </c>
      <c r="BE1217" s="4">
        <f t="shared" si="676"/>
        <v>4</v>
      </c>
      <c r="BF1217" s="4">
        <f t="shared" si="677"/>
        <v>2</v>
      </c>
      <c r="BG1217" s="4">
        <f t="shared" si="678"/>
        <v>4</v>
      </c>
      <c r="BH1217" s="4">
        <f t="shared" si="679"/>
        <v>4</v>
      </c>
      <c r="BI1217" s="4">
        <f t="shared" si="680"/>
        <v>4</v>
      </c>
      <c r="BJ1217" s="4">
        <f t="shared" si="681"/>
        <v>2</v>
      </c>
      <c r="BK1217" s="4" t="str">
        <f t="shared" si="682"/>
        <v>0</v>
      </c>
      <c r="BL1217" s="4">
        <f t="shared" si="683"/>
        <v>2</v>
      </c>
      <c r="BM1217" s="4">
        <f t="shared" si="684"/>
        <v>4</v>
      </c>
      <c r="BN1217" s="4">
        <f t="shared" si="685"/>
        <v>4</v>
      </c>
      <c r="BO1217" s="4">
        <f t="shared" si="686"/>
        <v>4</v>
      </c>
      <c r="BP1217" s="4">
        <f t="shared" si="687"/>
        <v>4</v>
      </c>
      <c r="BQ1217" s="4">
        <f t="shared" si="688"/>
        <v>6</v>
      </c>
      <c r="BR1217" s="4">
        <f t="shared" si="689"/>
        <v>4</v>
      </c>
      <c r="BS1217" s="4">
        <f t="shared" si="690"/>
        <v>4</v>
      </c>
      <c r="BT1217" s="4">
        <f t="shared" si="691"/>
        <v>4</v>
      </c>
      <c r="BU1217" s="4">
        <f t="shared" si="692"/>
        <v>4</v>
      </c>
      <c r="BV1217" s="4" t="str">
        <f t="shared" si="693"/>
        <v>0</v>
      </c>
      <c r="BW1217" s="4">
        <f t="shared" si="694"/>
        <v>6</v>
      </c>
      <c r="BX1217" s="4">
        <f t="shared" si="695"/>
        <v>0</v>
      </c>
      <c r="BY1217" s="4">
        <f t="shared" si="696"/>
        <v>0</v>
      </c>
      <c r="BZ1217" s="37">
        <f t="shared" si="697"/>
        <v>96</v>
      </c>
      <c r="CA1217" s="32" t="str">
        <f>VLOOKUP(J:J,'Agent wise'!A:C,3,0)</f>
        <v>Amal</v>
      </c>
      <c r="CB1217" s="32">
        <f t="shared" si="663"/>
        <v>45951</v>
      </c>
      <c r="CC1217" t="str">
        <f t="shared" si="698"/>
        <v>Excellent</v>
      </c>
      <c r="CE1217" s="32"/>
      <c r="CJ1217">
        <f t="shared" si="665"/>
        <v>21</v>
      </c>
      <c r="CK1217">
        <f t="shared" si="666"/>
        <v>10</v>
      </c>
      <c r="CL1217">
        <f t="shared" si="667"/>
        <v>2025</v>
      </c>
    </row>
    <row r="1218" spans="1:90" ht="15" customHeight="1" x14ac:dyDescent="0.35">
      <c r="A1218" t="s">
        <v>2991</v>
      </c>
      <c r="B1218" t="s">
        <v>100</v>
      </c>
      <c r="C1218" t="s">
        <v>214</v>
      </c>
      <c r="D1218" t="s">
        <v>101</v>
      </c>
      <c r="E1218" s="32">
        <v>45951</v>
      </c>
      <c r="F1218" t="s">
        <v>222</v>
      </c>
      <c r="G1218" t="s">
        <v>2811</v>
      </c>
      <c r="H1218">
        <v>8281280674</v>
      </c>
      <c r="I1218">
        <v>137</v>
      </c>
      <c r="J1218" t="s">
        <v>242</v>
      </c>
      <c r="K1218" t="s">
        <v>57</v>
      </c>
      <c r="L1218" t="s">
        <v>58</v>
      </c>
      <c r="M1218" t="s">
        <v>59</v>
      </c>
      <c r="N1218" t="s">
        <v>59</v>
      </c>
      <c r="O1218" t="s">
        <v>59</v>
      </c>
      <c r="P1218" t="s">
        <v>59</v>
      </c>
      <c r="Q1218" t="s">
        <v>59</v>
      </c>
      <c r="R1218" t="s">
        <v>59</v>
      </c>
      <c r="S1218" t="s">
        <v>59</v>
      </c>
      <c r="T1218" t="s">
        <v>59</v>
      </c>
      <c r="U1218" t="s">
        <v>59</v>
      </c>
      <c r="V1218" t="s">
        <v>59</v>
      </c>
      <c r="W1218" t="s">
        <v>59</v>
      </c>
      <c r="X1218" t="s">
        <v>61</v>
      </c>
      <c r="Y1218" t="s">
        <v>59</v>
      </c>
      <c r="Z1218" t="s">
        <v>59</v>
      </c>
      <c r="AA1218" t="s">
        <v>60</v>
      </c>
      <c r="AB1218" t="s">
        <v>59</v>
      </c>
      <c r="AC1218" t="s">
        <v>61</v>
      </c>
      <c r="AD1218" t="s">
        <v>59</v>
      </c>
      <c r="AE1218" t="s">
        <v>59</v>
      </c>
      <c r="AF1218" t="s">
        <v>61</v>
      </c>
      <c r="AG1218" t="s">
        <v>59</v>
      </c>
      <c r="AH1218" t="s">
        <v>61</v>
      </c>
      <c r="AI1218" t="s">
        <v>61</v>
      </c>
      <c r="AJ1218" t="s">
        <v>59</v>
      </c>
      <c r="AK1218" t="s">
        <v>61</v>
      </c>
      <c r="AL1218" t="s">
        <v>60</v>
      </c>
      <c r="AM1218" t="s">
        <v>59</v>
      </c>
      <c r="AN1218" t="s">
        <v>59</v>
      </c>
      <c r="AO1218" t="s">
        <v>59</v>
      </c>
      <c r="AP1218" t="s">
        <v>188</v>
      </c>
      <c r="AQ1218" s="1" t="s">
        <v>2992</v>
      </c>
      <c r="AR1218" t="s">
        <v>226</v>
      </c>
      <c r="AS1218" t="s">
        <v>352</v>
      </c>
      <c r="AT1218" t="s">
        <v>352</v>
      </c>
      <c r="AU1218" t="s">
        <v>219</v>
      </c>
      <c r="AW1218" s="4">
        <f t="shared" si="668"/>
        <v>6</v>
      </c>
      <c r="AX1218" s="4">
        <f t="shared" si="669"/>
        <v>4</v>
      </c>
      <c r="AY1218" s="4">
        <f t="shared" si="670"/>
        <v>4</v>
      </c>
      <c r="AZ1218" s="4">
        <f t="shared" si="671"/>
        <v>2</v>
      </c>
      <c r="BA1218" s="4">
        <f t="shared" si="672"/>
        <v>4</v>
      </c>
      <c r="BB1218" s="4">
        <f t="shared" si="673"/>
        <v>4</v>
      </c>
      <c r="BC1218" s="4">
        <f t="shared" si="674"/>
        <v>4</v>
      </c>
      <c r="BD1218" s="4">
        <f t="shared" si="675"/>
        <v>2</v>
      </c>
      <c r="BE1218" s="4">
        <f t="shared" si="676"/>
        <v>4</v>
      </c>
      <c r="BF1218" s="4">
        <f t="shared" si="677"/>
        <v>2</v>
      </c>
      <c r="BG1218" s="4">
        <f t="shared" si="678"/>
        <v>4</v>
      </c>
      <c r="BH1218" s="4">
        <f t="shared" si="679"/>
        <v>4</v>
      </c>
      <c r="BI1218" s="4">
        <f t="shared" si="680"/>
        <v>4</v>
      </c>
      <c r="BJ1218" s="4">
        <f t="shared" si="681"/>
        <v>2</v>
      </c>
      <c r="BK1218" s="4" t="str">
        <f t="shared" si="682"/>
        <v>0</v>
      </c>
      <c r="BL1218" s="4">
        <f t="shared" si="683"/>
        <v>2</v>
      </c>
      <c r="BM1218" s="4">
        <f t="shared" si="684"/>
        <v>4</v>
      </c>
      <c r="BN1218" s="4">
        <f t="shared" si="685"/>
        <v>4</v>
      </c>
      <c r="BO1218" s="4">
        <f t="shared" si="686"/>
        <v>4</v>
      </c>
      <c r="BP1218" s="4">
        <f t="shared" si="687"/>
        <v>4</v>
      </c>
      <c r="BQ1218" s="4">
        <f t="shared" si="688"/>
        <v>6</v>
      </c>
      <c r="BR1218" s="4">
        <f t="shared" si="689"/>
        <v>4</v>
      </c>
      <c r="BS1218" s="4">
        <f t="shared" si="690"/>
        <v>4</v>
      </c>
      <c r="BT1218" s="4">
        <f t="shared" si="691"/>
        <v>4</v>
      </c>
      <c r="BU1218" s="4">
        <f t="shared" si="692"/>
        <v>4</v>
      </c>
      <c r="BV1218" s="4" t="str">
        <f t="shared" si="693"/>
        <v>0</v>
      </c>
      <c r="BW1218" s="4">
        <f t="shared" si="694"/>
        <v>6</v>
      </c>
      <c r="BX1218" s="4">
        <f t="shared" si="695"/>
        <v>0</v>
      </c>
      <c r="BY1218" s="4">
        <f t="shared" si="696"/>
        <v>0</v>
      </c>
      <c r="BZ1218" s="37">
        <f t="shared" si="697"/>
        <v>96</v>
      </c>
      <c r="CA1218" s="32" t="str">
        <f>VLOOKUP(J:J,'Agent wise'!A:C,3,0)</f>
        <v>Amal</v>
      </c>
      <c r="CB1218" s="32">
        <f t="shared" si="663"/>
        <v>45951</v>
      </c>
      <c r="CC1218" t="str">
        <f t="shared" si="698"/>
        <v>Excellent</v>
      </c>
      <c r="CE1218" s="32"/>
      <c r="CJ1218">
        <f t="shared" si="665"/>
        <v>21</v>
      </c>
      <c r="CK1218">
        <f t="shared" si="666"/>
        <v>10</v>
      </c>
      <c r="CL1218">
        <f t="shared" si="667"/>
        <v>2025</v>
      </c>
    </row>
    <row r="1219" spans="1:90" ht="15" customHeight="1" x14ac:dyDescent="0.35">
      <c r="A1219" t="s">
        <v>2993</v>
      </c>
      <c r="B1219" t="s">
        <v>250</v>
      </c>
      <c r="C1219" t="s">
        <v>214</v>
      </c>
      <c r="D1219" t="s">
        <v>251</v>
      </c>
      <c r="E1219" s="32">
        <v>45951</v>
      </c>
      <c r="F1219" t="s">
        <v>222</v>
      </c>
      <c r="G1219" t="s">
        <v>2811</v>
      </c>
      <c r="H1219">
        <v>8891428896</v>
      </c>
      <c r="I1219">
        <v>138</v>
      </c>
      <c r="J1219" t="s">
        <v>242</v>
      </c>
      <c r="K1219" t="s">
        <v>86</v>
      </c>
      <c r="L1219" t="s">
        <v>72</v>
      </c>
      <c r="M1219" t="s">
        <v>59</v>
      </c>
      <c r="N1219" t="s">
        <v>59</v>
      </c>
      <c r="O1219" t="s">
        <v>59</v>
      </c>
      <c r="P1219" t="s">
        <v>59</v>
      </c>
      <c r="Q1219" t="s">
        <v>59</v>
      </c>
      <c r="R1219" t="s">
        <v>59</v>
      </c>
      <c r="S1219" t="s">
        <v>59</v>
      </c>
      <c r="T1219" t="s">
        <v>59</v>
      </c>
      <c r="U1219" t="s">
        <v>60</v>
      </c>
      <c r="V1219" t="s">
        <v>59</v>
      </c>
      <c r="W1219" t="s">
        <v>59</v>
      </c>
      <c r="X1219" t="s">
        <v>59</v>
      </c>
      <c r="Y1219" t="s">
        <v>59</v>
      </c>
      <c r="Z1219" t="s">
        <v>60</v>
      </c>
      <c r="AA1219" t="s">
        <v>59</v>
      </c>
      <c r="AB1219" t="s">
        <v>59</v>
      </c>
      <c r="AC1219" t="s">
        <v>60</v>
      </c>
      <c r="AD1219" t="s">
        <v>59</v>
      </c>
      <c r="AE1219" t="s">
        <v>59</v>
      </c>
      <c r="AF1219" t="s">
        <v>59</v>
      </c>
      <c r="AG1219" t="s">
        <v>59</v>
      </c>
      <c r="AH1219" t="s">
        <v>61</v>
      </c>
      <c r="AI1219" t="s">
        <v>61</v>
      </c>
      <c r="AJ1219" t="s">
        <v>59</v>
      </c>
      <c r="AK1219" t="s">
        <v>59</v>
      </c>
      <c r="AL1219" t="s">
        <v>60</v>
      </c>
      <c r="AM1219" t="s">
        <v>59</v>
      </c>
      <c r="AN1219" t="s">
        <v>59</v>
      </c>
      <c r="AO1219" t="s">
        <v>59</v>
      </c>
      <c r="AP1219" t="s">
        <v>2994</v>
      </c>
      <c r="AQ1219" t="s">
        <v>2995</v>
      </c>
      <c r="AR1219" t="s">
        <v>226</v>
      </c>
      <c r="AS1219" t="s">
        <v>1160</v>
      </c>
      <c r="AT1219" t="s">
        <v>394</v>
      </c>
      <c r="AU1219" t="s">
        <v>299</v>
      </c>
      <c r="AW1219" s="4">
        <f t="shared" si="668"/>
        <v>6</v>
      </c>
      <c r="AX1219" s="4">
        <f t="shared" si="669"/>
        <v>4</v>
      </c>
      <c r="AY1219" s="4">
        <f t="shared" si="670"/>
        <v>4</v>
      </c>
      <c r="AZ1219" s="4">
        <f t="shared" si="671"/>
        <v>2</v>
      </c>
      <c r="BA1219" s="4">
        <f t="shared" si="672"/>
        <v>4</v>
      </c>
      <c r="BB1219" s="4">
        <f t="shared" si="673"/>
        <v>4</v>
      </c>
      <c r="BC1219" s="4">
        <f t="shared" si="674"/>
        <v>4</v>
      </c>
      <c r="BD1219" s="4">
        <f t="shared" si="675"/>
        <v>2</v>
      </c>
      <c r="BE1219" s="4" t="str">
        <f t="shared" si="676"/>
        <v>0</v>
      </c>
      <c r="BF1219" s="4">
        <f t="shared" si="677"/>
        <v>2</v>
      </c>
      <c r="BG1219" s="4">
        <f t="shared" si="678"/>
        <v>4</v>
      </c>
      <c r="BH1219" s="4">
        <f t="shared" si="679"/>
        <v>4</v>
      </c>
      <c r="BI1219" s="4">
        <f t="shared" si="680"/>
        <v>4</v>
      </c>
      <c r="BJ1219" s="4" t="str">
        <f t="shared" si="681"/>
        <v>0</v>
      </c>
      <c r="BK1219" s="4">
        <f t="shared" si="682"/>
        <v>4</v>
      </c>
      <c r="BL1219" s="4">
        <f t="shared" si="683"/>
        <v>2</v>
      </c>
      <c r="BM1219" s="4" t="str">
        <f t="shared" si="684"/>
        <v>0</v>
      </c>
      <c r="BN1219" s="4">
        <f t="shared" si="685"/>
        <v>4</v>
      </c>
      <c r="BO1219" s="4">
        <f t="shared" si="686"/>
        <v>4</v>
      </c>
      <c r="BP1219" s="4">
        <f t="shared" si="687"/>
        <v>4</v>
      </c>
      <c r="BQ1219" s="4">
        <f t="shared" si="688"/>
        <v>6</v>
      </c>
      <c r="BR1219" s="4">
        <f t="shared" si="689"/>
        <v>4</v>
      </c>
      <c r="BS1219" s="4">
        <f t="shared" si="690"/>
        <v>4</v>
      </c>
      <c r="BT1219" s="4">
        <f t="shared" si="691"/>
        <v>4</v>
      </c>
      <c r="BU1219" s="4">
        <f t="shared" si="692"/>
        <v>4</v>
      </c>
      <c r="BV1219" s="4" t="str">
        <f t="shared" si="693"/>
        <v>0</v>
      </c>
      <c r="BW1219" s="4">
        <f t="shared" si="694"/>
        <v>6</v>
      </c>
      <c r="BX1219" s="4">
        <f t="shared" si="695"/>
        <v>0</v>
      </c>
      <c r="BY1219" s="4">
        <f t="shared" si="696"/>
        <v>0</v>
      </c>
      <c r="BZ1219" s="37">
        <f t="shared" si="697"/>
        <v>90</v>
      </c>
      <c r="CA1219" s="32" t="str">
        <f>VLOOKUP(J:J,'Agent wise'!A:C,3,0)</f>
        <v>Amal</v>
      </c>
      <c r="CB1219" s="32">
        <f t="shared" ref="CB1219:CB1248" si="699">INT(E1219)</f>
        <v>45951</v>
      </c>
      <c r="CC1219" t="str">
        <f t="shared" si="698"/>
        <v>Good</v>
      </c>
      <c r="CE1219" s="32"/>
      <c r="CJ1219">
        <f t="shared" si="665"/>
        <v>21</v>
      </c>
      <c r="CK1219">
        <f t="shared" si="666"/>
        <v>10</v>
      </c>
      <c r="CL1219">
        <f t="shared" si="667"/>
        <v>2025</v>
      </c>
    </row>
    <row r="1220" spans="1:90" ht="15" customHeight="1" x14ac:dyDescent="0.35">
      <c r="A1220" t="s">
        <v>2996</v>
      </c>
      <c r="B1220" t="s">
        <v>250</v>
      </c>
      <c r="C1220" t="s">
        <v>214</v>
      </c>
      <c r="D1220" t="s">
        <v>251</v>
      </c>
      <c r="E1220" s="32">
        <v>45951</v>
      </c>
      <c r="F1220" t="s">
        <v>222</v>
      </c>
      <c r="G1220" t="s">
        <v>2811</v>
      </c>
      <c r="H1220">
        <v>8754214485</v>
      </c>
      <c r="I1220">
        <v>153</v>
      </c>
      <c r="J1220" t="s">
        <v>353</v>
      </c>
      <c r="K1220" t="s">
        <v>71</v>
      </c>
      <c r="L1220" t="s">
        <v>72</v>
      </c>
      <c r="M1220" t="s">
        <v>59</v>
      </c>
      <c r="N1220" t="s">
        <v>59</v>
      </c>
      <c r="O1220" t="s">
        <v>59</v>
      </c>
      <c r="P1220" t="s">
        <v>59</v>
      </c>
      <c r="Q1220" t="s">
        <v>59</v>
      </c>
      <c r="R1220" t="s">
        <v>60</v>
      </c>
      <c r="S1220" t="s">
        <v>59</v>
      </c>
      <c r="T1220" t="s">
        <v>59</v>
      </c>
      <c r="U1220" t="s">
        <v>60</v>
      </c>
      <c r="V1220" t="s">
        <v>59</v>
      </c>
      <c r="W1220" t="s">
        <v>59</v>
      </c>
      <c r="X1220" t="s">
        <v>59</v>
      </c>
      <c r="Y1220" t="s">
        <v>59</v>
      </c>
      <c r="Z1220" t="s">
        <v>59</v>
      </c>
      <c r="AA1220" t="s">
        <v>59</v>
      </c>
      <c r="AB1220" t="s">
        <v>59</v>
      </c>
      <c r="AC1220" t="s">
        <v>59</v>
      </c>
      <c r="AD1220" t="s">
        <v>59</v>
      </c>
      <c r="AE1220" t="s">
        <v>59</v>
      </c>
      <c r="AF1220" t="s">
        <v>59</v>
      </c>
      <c r="AG1220" t="s">
        <v>59</v>
      </c>
      <c r="AH1220" t="s">
        <v>61</v>
      </c>
      <c r="AI1220" t="s">
        <v>61</v>
      </c>
      <c r="AJ1220" t="s">
        <v>59</v>
      </c>
      <c r="AK1220" t="s">
        <v>59</v>
      </c>
      <c r="AL1220" t="s">
        <v>60</v>
      </c>
      <c r="AM1220" t="s">
        <v>59</v>
      </c>
      <c r="AN1220" t="s">
        <v>59</v>
      </c>
      <c r="AO1220" t="s">
        <v>59</v>
      </c>
      <c r="AP1220" t="s">
        <v>68</v>
      </c>
      <c r="AQ1220" t="s">
        <v>2997</v>
      </c>
      <c r="AR1220" t="s">
        <v>226</v>
      </c>
      <c r="AS1220" t="s">
        <v>2998</v>
      </c>
      <c r="AT1220" t="s">
        <v>331</v>
      </c>
      <c r="AU1220" t="s">
        <v>219</v>
      </c>
      <c r="AW1220" s="4">
        <f t="shared" si="668"/>
        <v>6</v>
      </c>
      <c r="AX1220" s="4">
        <f t="shared" si="669"/>
        <v>4</v>
      </c>
      <c r="AY1220" s="4">
        <f t="shared" si="670"/>
        <v>4</v>
      </c>
      <c r="AZ1220" s="4">
        <f t="shared" si="671"/>
        <v>2</v>
      </c>
      <c r="BA1220" s="4">
        <f t="shared" si="672"/>
        <v>4</v>
      </c>
      <c r="BB1220" s="4" t="str">
        <f t="shared" si="673"/>
        <v>0</v>
      </c>
      <c r="BC1220" s="4">
        <f t="shared" si="674"/>
        <v>4</v>
      </c>
      <c r="BD1220" s="4">
        <f t="shared" si="675"/>
        <v>2</v>
      </c>
      <c r="BE1220" s="4" t="str">
        <f t="shared" si="676"/>
        <v>0</v>
      </c>
      <c r="BF1220" s="4">
        <f t="shared" si="677"/>
        <v>2</v>
      </c>
      <c r="BG1220" s="4">
        <f t="shared" si="678"/>
        <v>4</v>
      </c>
      <c r="BH1220" s="4">
        <f t="shared" si="679"/>
        <v>4</v>
      </c>
      <c r="BI1220" s="4">
        <f t="shared" si="680"/>
        <v>4</v>
      </c>
      <c r="BJ1220" s="4">
        <f t="shared" si="681"/>
        <v>2</v>
      </c>
      <c r="BK1220" s="4">
        <f t="shared" si="682"/>
        <v>4</v>
      </c>
      <c r="BL1220" s="4">
        <f t="shared" si="683"/>
        <v>2</v>
      </c>
      <c r="BM1220" s="4">
        <f t="shared" si="684"/>
        <v>4</v>
      </c>
      <c r="BN1220" s="4">
        <f t="shared" si="685"/>
        <v>4</v>
      </c>
      <c r="BO1220" s="4">
        <f t="shared" si="686"/>
        <v>4</v>
      </c>
      <c r="BP1220" s="4">
        <f t="shared" si="687"/>
        <v>4</v>
      </c>
      <c r="BQ1220" s="4">
        <f t="shared" si="688"/>
        <v>6</v>
      </c>
      <c r="BR1220" s="4">
        <f t="shared" si="689"/>
        <v>4</v>
      </c>
      <c r="BS1220" s="4">
        <f t="shared" si="690"/>
        <v>4</v>
      </c>
      <c r="BT1220" s="4">
        <f t="shared" si="691"/>
        <v>4</v>
      </c>
      <c r="BU1220" s="4">
        <f t="shared" si="692"/>
        <v>4</v>
      </c>
      <c r="BV1220" s="4" t="str">
        <f t="shared" si="693"/>
        <v>0</v>
      </c>
      <c r="BW1220" s="4">
        <f t="shared" si="694"/>
        <v>6</v>
      </c>
      <c r="BX1220" s="4">
        <f t="shared" si="695"/>
        <v>0</v>
      </c>
      <c r="BY1220" s="4">
        <f t="shared" si="696"/>
        <v>0</v>
      </c>
      <c r="BZ1220" s="37">
        <f t="shared" si="697"/>
        <v>92</v>
      </c>
      <c r="CA1220" s="32" t="str">
        <f>VLOOKUP(J:J,'Agent wise'!A:C,3,0)</f>
        <v>Amal</v>
      </c>
      <c r="CB1220" s="32">
        <f t="shared" si="699"/>
        <v>45951</v>
      </c>
      <c r="CC1220" t="str">
        <f t="shared" si="698"/>
        <v>Good</v>
      </c>
      <c r="CE1220" s="32"/>
      <c r="CJ1220">
        <f t="shared" ref="CJ1220:CJ1248" si="700">DAY(E1220)</f>
        <v>21</v>
      </c>
      <c r="CK1220">
        <f t="shared" ref="CK1220:CK1248" si="701">MONTH(E1220)</f>
        <v>10</v>
      </c>
      <c r="CL1220">
        <f t="shared" ref="CL1220:CL1248" si="702">YEAR(E1220)</f>
        <v>2025</v>
      </c>
    </row>
    <row r="1221" spans="1:90" ht="15" customHeight="1" x14ac:dyDescent="0.35">
      <c r="A1221" t="s">
        <v>2999</v>
      </c>
      <c r="B1221" t="s">
        <v>250</v>
      </c>
      <c r="C1221" t="s">
        <v>214</v>
      </c>
      <c r="D1221" t="s">
        <v>251</v>
      </c>
      <c r="E1221" s="32">
        <v>45951</v>
      </c>
      <c r="F1221" t="s">
        <v>222</v>
      </c>
      <c r="G1221" t="s">
        <v>2811</v>
      </c>
      <c r="H1221">
        <v>9633152648</v>
      </c>
      <c r="I1221">
        <v>135</v>
      </c>
      <c r="J1221" t="s">
        <v>223</v>
      </c>
      <c r="K1221" t="s">
        <v>57</v>
      </c>
      <c r="L1221" t="s">
        <v>58</v>
      </c>
      <c r="M1221" t="s">
        <v>59</v>
      </c>
      <c r="N1221" t="s">
        <v>59</v>
      </c>
      <c r="O1221" t="s">
        <v>59</v>
      </c>
      <c r="P1221" t="s">
        <v>59</v>
      </c>
      <c r="Q1221" t="s">
        <v>59</v>
      </c>
      <c r="R1221" t="s">
        <v>59</v>
      </c>
      <c r="S1221" t="s">
        <v>59</v>
      </c>
      <c r="T1221" t="s">
        <v>59</v>
      </c>
      <c r="U1221" t="s">
        <v>59</v>
      </c>
      <c r="V1221" t="s">
        <v>59</v>
      </c>
      <c r="W1221" t="s">
        <v>59</v>
      </c>
      <c r="X1221" t="s">
        <v>59</v>
      </c>
      <c r="Y1221" t="s">
        <v>59</v>
      </c>
      <c r="Z1221" t="s">
        <v>59</v>
      </c>
      <c r="AA1221" t="s">
        <v>59</v>
      </c>
      <c r="AB1221" t="s">
        <v>59</v>
      </c>
      <c r="AC1221" t="s">
        <v>59</v>
      </c>
      <c r="AD1221" t="s">
        <v>59</v>
      </c>
      <c r="AE1221" t="s">
        <v>59</v>
      </c>
      <c r="AF1221" t="s">
        <v>59</v>
      </c>
      <c r="AG1221" t="s">
        <v>59</v>
      </c>
      <c r="AH1221" t="s">
        <v>61</v>
      </c>
      <c r="AI1221" t="s">
        <v>61</v>
      </c>
      <c r="AJ1221" t="s">
        <v>59</v>
      </c>
      <c r="AK1221" t="s">
        <v>59</v>
      </c>
      <c r="AL1221" t="s">
        <v>59</v>
      </c>
      <c r="AM1221" t="s">
        <v>59</v>
      </c>
      <c r="AN1221" t="s">
        <v>59</v>
      </c>
      <c r="AO1221" t="s">
        <v>59</v>
      </c>
      <c r="AP1221" t="s">
        <v>247</v>
      </c>
      <c r="AQ1221" t="s">
        <v>3000</v>
      </c>
      <c r="AR1221" t="s">
        <v>226</v>
      </c>
      <c r="AS1221" t="s">
        <v>695</v>
      </c>
      <c r="AT1221" t="s">
        <v>331</v>
      </c>
      <c r="AU1221" t="s">
        <v>219</v>
      </c>
      <c r="AW1221" s="4">
        <f t="shared" si="668"/>
        <v>6</v>
      </c>
      <c r="AX1221" s="4">
        <f t="shared" si="669"/>
        <v>4</v>
      </c>
      <c r="AY1221" s="4">
        <f t="shared" si="670"/>
        <v>4</v>
      </c>
      <c r="AZ1221" s="4">
        <f t="shared" si="671"/>
        <v>2</v>
      </c>
      <c r="BA1221" s="4">
        <f t="shared" si="672"/>
        <v>4</v>
      </c>
      <c r="BB1221" s="4">
        <f t="shared" si="673"/>
        <v>4</v>
      </c>
      <c r="BC1221" s="4">
        <f t="shared" si="674"/>
        <v>4</v>
      </c>
      <c r="BD1221" s="4">
        <f t="shared" si="675"/>
        <v>2</v>
      </c>
      <c r="BE1221" s="4">
        <f t="shared" si="676"/>
        <v>4</v>
      </c>
      <c r="BF1221" s="4">
        <f t="shared" si="677"/>
        <v>2</v>
      </c>
      <c r="BG1221" s="4">
        <f t="shared" si="678"/>
        <v>4</v>
      </c>
      <c r="BH1221" s="4">
        <f t="shared" si="679"/>
        <v>4</v>
      </c>
      <c r="BI1221" s="4">
        <f t="shared" si="680"/>
        <v>4</v>
      </c>
      <c r="BJ1221" s="4">
        <f t="shared" si="681"/>
        <v>2</v>
      </c>
      <c r="BK1221" s="4">
        <f t="shared" si="682"/>
        <v>4</v>
      </c>
      <c r="BL1221" s="4">
        <f t="shared" si="683"/>
        <v>2</v>
      </c>
      <c r="BM1221" s="4">
        <f t="shared" si="684"/>
        <v>4</v>
      </c>
      <c r="BN1221" s="4">
        <f t="shared" si="685"/>
        <v>4</v>
      </c>
      <c r="BO1221" s="4">
        <f t="shared" si="686"/>
        <v>4</v>
      </c>
      <c r="BP1221" s="4">
        <f t="shared" si="687"/>
        <v>4</v>
      </c>
      <c r="BQ1221" s="4">
        <f t="shared" si="688"/>
        <v>6</v>
      </c>
      <c r="BR1221" s="4">
        <f t="shared" si="689"/>
        <v>4</v>
      </c>
      <c r="BS1221" s="4">
        <f t="shared" si="690"/>
        <v>4</v>
      </c>
      <c r="BT1221" s="4">
        <f t="shared" si="691"/>
        <v>4</v>
      </c>
      <c r="BU1221" s="4">
        <f t="shared" si="692"/>
        <v>4</v>
      </c>
      <c r="BV1221" s="4">
        <f t="shared" si="693"/>
        <v>0</v>
      </c>
      <c r="BW1221" s="4">
        <f t="shared" si="694"/>
        <v>6</v>
      </c>
      <c r="BX1221" s="4">
        <f t="shared" si="695"/>
        <v>0</v>
      </c>
      <c r="BY1221" s="4">
        <f t="shared" si="696"/>
        <v>0</v>
      </c>
      <c r="BZ1221" s="37">
        <f t="shared" si="697"/>
        <v>100</v>
      </c>
      <c r="CA1221" s="32" t="str">
        <f>VLOOKUP(J:J,'Agent wise'!A:C,3,0)</f>
        <v>Amal</v>
      </c>
      <c r="CB1221" s="32">
        <f t="shared" si="699"/>
        <v>45951</v>
      </c>
      <c r="CC1221" t="str">
        <f t="shared" si="698"/>
        <v>Excellent</v>
      </c>
      <c r="CE1221" s="32"/>
      <c r="CJ1221">
        <f t="shared" si="700"/>
        <v>21</v>
      </c>
      <c r="CK1221">
        <f t="shared" si="701"/>
        <v>10</v>
      </c>
      <c r="CL1221">
        <f t="shared" si="702"/>
        <v>2025</v>
      </c>
    </row>
    <row r="1222" spans="1:90" ht="15" customHeight="1" x14ac:dyDescent="0.35">
      <c r="A1222" t="s">
        <v>3001</v>
      </c>
      <c r="B1222" t="s">
        <v>250</v>
      </c>
      <c r="C1222" t="s">
        <v>214</v>
      </c>
      <c r="D1222" t="s">
        <v>251</v>
      </c>
      <c r="E1222" s="32">
        <v>45951</v>
      </c>
      <c r="F1222" t="s">
        <v>222</v>
      </c>
      <c r="G1222" t="s">
        <v>2811</v>
      </c>
      <c r="H1222">
        <v>8848513099</v>
      </c>
      <c r="I1222">
        <v>167</v>
      </c>
      <c r="J1222" t="s">
        <v>356</v>
      </c>
      <c r="K1222" t="s">
        <v>57</v>
      </c>
      <c r="L1222" t="s">
        <v>58</v>
      </c>
      <c r="M1222" t="s">
        <v>59</v>
      </c>
      <c r="N1222" t="s">
        <v>59</v>
      </c>
      <c r="O1222" t="s">
        <v>59</v>
      </c>
      <c r="P1222" t="s">
        <v>59</v>
      </c>
      <c r="Q1222" t="s">
        <v>59</v>
      </c>
      <c r="R1222" t="s">
        <v>59</v>
      </c>
      <c r="S1222" t="s">
        <v>59</v>
      </c>
      <c r="T1222" t="s">
        <v>59</v>
      </c>
      <c r="U1222" t="s">
        <v>60</v>
      </c>
      <c r="V1222" t="s">
        <v>59</v>
      </c>
      <c r="W1222" t="s">
        <v>59</v>
      </c>
      <c r="X1222" t="s">
        <v>59</v>
      </c>
      <c r="Y1222" t="s">
        <v>59</v>
      </c>
      <c r="Z1222" t="s">
        <v>59</v>
      </c>
      <c r="AA1222" t="s">
        <v>59</v>
      </c>
      <c r="AB1222" t="s">
        <v>59</v>
      </c>
      <c r="AC1222" t="s">
        <v>60</v>
      </c>
      <c r="AD1222" t="s">
        <v>59</v>
      </c>
      <c r="AE1222" t="s">
        <v>59</v>
      </c>
      <c r="AF1222" t="s">
        <v>59</v>
      </c>
      <c r="AG1222" t="s">
        <v>59</v>
      </c>
      <c r="AH1222" t="s">
        <v>61</v>
      </c>
      <c r="AI1222" t="s">
        <v>61</v>
      </c>
      <c r="AJ1222" t="s">
        <v>59</v>
      </c>
      <c r="AK1222" t="s">
        <v>59</v>
      </c>
      <c r="AL1222" t="s">
        <v>59</v>
      </c>
      <c r="AM1222" t="s">
        <v>59</v>
      </c>
      <c r="AN1222" t="s">
        <v>59</v>
      </c>
      <c r="AO1222" t="s">
        <v>59</v>
      </c>
      <c r="AP1222" t="s">
        <v>3002</v>
      </c>
      <c r="AQ1222" t="s">
        <v>3003</v>
      </c>
      <c r="AR1222" t="s">
        <v>226</v>
      </c>
      <c r="AS1222" t="s">
        <v>1685</v>
      </c>
      <c r="AT1222" t="s">
        <v>394</v>
      </c>
      <c r="AU1222" t="s">
        <v>219</v>
      </c>
      <c r="AW1222" s="4">
        <f t="shared" si="668"/>
        <v>6</v>
      </c>
      <c r="AX1222" s="4">
        <f t="shared" si="669"/>
        <v>4</v>
      </c>
      <c r="AY1222" s="4">
        <f t="shared" si="670"/>
        <v>4</v>
      </c>
      <c r="AZ1222" s="4">
        <f t="shared" si="671"/>
        <v>2</v>
      </c>
      <c r="BA1222" s="4">
        <f t="shared" si="672"/>
        <v>4</v>
      </c>
      <c r="BB1222" s="4">
        <f t="shared" si="673"/>
        <v>4</v>
      </c>
      <c r="BC1222" s="4">
        <f t="shared" si="674"/>
        <v>4</v>
      </c>
      <c r="BD1222" s="4">
        <f t="shared" si="675"/>
        <v>2</v>
      </c>
      <c r="BE1222" s="4" t="str">
        <f t="shared" si="676"/>
        <v>0</v>
      </c>
      <c r="BF1222" s="4">
        <f t="shared" si="677"/>
        <v>2</v>
      </c>
      <c r="BG1222" s="4">
        <f t="shared" si="678"/>
        <v>4</v>
      </c>
      <c r="BH1222" s="4">
        <f t="shared" si="679"/>
        <v>4</v>
      </c>
      <c r="BI1222" s="4">
        <f t="shared" si="680"/>
        <v>4</v>
      </c>
      <c r="BJ1222" s="4">
        <f t="shared" si="681"/>
        <v>2</v>
      </c>
      <c r="BK1222" s="4">
        <f t="shared" si="682"/>
        <v>4</v>
      </c>
      <c r="BL1222" s="4">
        <f t="shared" si="683"/>
        <v>2</v>
      </c>
      <c r="BM1222" s="4" t="str">
        <f t="shared" si="684"/>
        <v>0</v>
      </c>
      <c r="BN1222" s="4">
        <f t="shared" si="685"/>
        <v>4</v>
      </c>
      <c r="BO1222" s="4">
        <f t="shared" si="686"/>
        <v>4</v>
      </c>
      <c r="BP1222" s="4">
        <f t="shared" si="687"/>
        <v>4</v>
      </c>
      <c r="BQ1222" s="4">
        <f t="shared" si="688"/>
        <v>6</v>
      </c>
      <c r="BR1222" s="4">
        <f t="shared" si="689"/>
        <v>4</v>
      </c>
      <c r="BS1222" s="4">
        <f t="shared" si="690"/>
        <v>4</v>
      </c>
      <c r="BT1222" s="4">
        <f t="shared" si="691"/>
        <v>4</v>
      </c>
      <c r="BU1222" s="4">
        <f t="shared" si="692"/>
        <v>4</v>
      </c>
      <c r="BV1222" s="4">
        <f t="shared" si="693"/>
        <v>0</v>
      </c>
      <c r="BW1222" s="4">
        <f t="shared" si="694"/>
        <v>6</v>
      </c>
      <c r="BX1222" s="4">
        <f t="shared" si="695"/>
        <v>0</v>
      </c>
      <c r="BY1222" s="4">
        <f t="shared" si="696"/>
        <v>0</v>
      </c>
      <c r="BZ1222" s="37">
        <f t="shared" si="697"/>
        <v>92</v>
      </c>
      <c r="CA1222" s="32" t="str">
        <f>VLOOKUP(J:J,'Agent wise'!A:C,3,0)</f>
        <v>Amal</v>
      </c>
      <c r="CB1222" s="32">
        <f t="shared" si="699"/>
        <v>45951</v>
      </c>
      <c r="CC1222" t="str">
        <f t="shared" si="698"/>
        <v>Good</v>
      </c>
      <c r="CE1222" s="32"/>
      <c r="CJ1222">
        <f t="shared" si="700"/>
        <v>21</v>
      </c>
      <c r="CK1222">
        <f t="shared" si="701"/>
        <v>10</v>
      </c>
      <c r="CL1222">
        <f t="shared" si="702"/>
        <v>2025</v>
      </c>
    </row>
    <row r="1223" spans="1:90" ht="15" customHeight="1" x14ac:dyDescent="0.35">
      <c r="A1223" t="s">
        <v>3004</v>
      </c>
      <c r="B1223" t="s">
        <v>250</v>
      </c>
      <c r="C1223" t="s">
        <v>214</v>
      </c>
      <c r="D1223" t="s">
        <v>251</v>
      </c>
      <c r="E1223" s="32">
        <v>45951</v>
      </c>
      <c r="F1223" t="s">
        <v>222</v>
      </c>
      <c r="G1223" t="s">
        <v>2811</v>
      </c>
      <c r="H1223">
        <v>9048577589</v>
      </c>
      <c r="I1223">
        <v>142</v>
      </c>
      <c r="J1223" t="s">
        <v>501</v>
      </c>
      <c r="K1223" t="s">
        <v>57</v>
      </c>
      <c r="L1223" t="s">
        <v>58</v>
      </c>
      <c r="M1223" t="s">
        <v>59</v>
      </c>
      <c r="N1223" t="s">
        <v>59</v>
      </c>
      <c r="O1223" t="s">
        <v>59</v>
      </c>
      <c r="P1223" t="s">
        <v>59</v>
      </c>
      <c r="Q1223" t="s">
        <v>59</v>
      </c>
      <c r="R1223" t="s">
        <v>59</v>
      </c>
      <c r="S1223" t="s">
        <v>59</v>
      </c>
      <c r="T1223" t="s">
        <v>59</v>
      </c>
      <c r="U1223" t="s">
        <v>60</v>
      </c>
      <c r="V1223" t="s">
        <v>59</v>
      </c>
      <c r="W1223" t="s">
        <v>59</v>
      </c>
      <c r="X1223" t="s">
        <v>59</v>
      </c>
      <c r="Y1223" t="s">
        <v>59</v>
      </c>
      <c r="Z1223" t="s">
        <v>60</v>
      </c>
      <c r="AA1223" t="s">
        <v>59</v>
      </c>
      <c r="AB1223" t="s">
        <v>61</v>
      </c>
      <c r="AC1223" t="s">
        <v>60</v>
      </c>
      <c r="AD1223" t="s">
        <v>59</v>
      </c>
      <c r="AE1223" t="s">
        <v>60</v>
      </c>
      <c r="AF1223" t="s">
        <v>59</v>
      </c>
      <c r="AG1223" t="s">
        <v>59</v>
      </c>
      <c r="AH1223" t="s">
        <v>61</v>
      </c>
      <c r="AI1223" t="s">
        <v>61</v>
      </c>
      <c r="AJ1223" t="s">
        <v>59</v>
      </c>
      <c r="AK1223" t="s">
        <v>59</v>
      </c>
      <c r="AL1223" t="s">
        <v>60</v>
      </c>
      <c r="AM1223" t="s">
        <v>59</v>
      </c>
      <c r="AN1223" t="s">
        <v>59</v>
      </c>
      <c r="AO1223" t="s">
        <v>59</v>
      </c>
      <c r="AP1223" t="s">
        <v>3005</v>
      </c>
      <c r="AQ1223" t="s">
        <v>3006</v>
      </c>
      <c r="AR1223" t="s">
        <v>64</v>
      </c>
      <c r="AS1223" t="s">
        <v>695</v>
      </c>
      <c r="AT1223" t="s">
        <v>394</v>
      </c>
      <c r="AU1223" t="s">
        <v>299</v>
      </c>
      <c r="AW1223" s="4">
        <f t="shared" si="668"/>
        <v>6</v>
      </c>
      <c r="AX1223" s="4">
        <f t="shared" si="669"/>
        <v>4</v>
      </c>
      <c r="AY1223" s="4">
        <f t="shared" si="670"/>
        <v>4</v>
      </c>
      <c r="AZ1223" s="4">
        <f t="shared" si="671"/>
        <v>2</v>
      </c>
      <c r="BA1223" s="4">
        <f t="shared" si="672"/>
        <v>4</v>
      </c>
      <c r="BB1223" s="4">
        <f t="shared" si="673"/>
        <v>4</v>
      </c>
      <c r="BC1223" s="4">
        <f t="shared" si="674"/>
        <v>4</v>
      </c>
      <c r="BD1223" s="4">
        <f t="shared" si="675"/>
        <v>2</v>
      </c>
      <c r="BE1223" s="4" t="str">
        <f t="shared" si="676"/>
        <v>0</v>
      </c>
      <c r="BF1223" s="4">
        <f t="shared" si="677"/>
        <v>2</v>
      </c>
      <c r="BG1223" s="4">
        <f t="shared" si="678"/>
        <v>4</v>
      </c>
      <c r="BH1223" s="4">
        <f t="shared" si="679"/>
        <v>4</v>
      </c>
      <c r="BI1223" s="4">
        <f t="shared" si="680"/>
        <v>4</v>
      </c>
      <c r="BJ1223" s="4" t="str">
        <f t="shared" si="681"/>
        <v>0</v>
      </c>
      <c r="BK1223" s="4">
        <f t="shared" si="682"/>
        <v>4</v>
      </c>
      <c r="BL1223" s="4">
        <f t="shared" si="683"/>
        <v>2</v>
      </c>
      <c r="BM1223" s="4" t="str">
        <f t="shared" si="684"/>
        <v>0</v>
      </c>
      <c r="BN1223" s="4">
        <f t="shared" si="685"/>
        <v>4</v>
      </c>
      <c r="BO1223" s="4" t="str">
        <f t="shared" si="686"/>
        <v>0</v>
      </c>
      <c r="BP1223" s="4">
        <f t="shared" si="687"/>
        <v>4</v>
      </c>
      <c r="BQ1223" s="4">
        <f t="shared" si="688"/>
        <v>6</v>
      </c>
      <c r="BR1223" s="4">
        <f t="shared" si="689"/>
        <v>4</v>
      </c>
      <c r="BS1223" s="4">
        <f t="shared" si="690"/>
        <v>4</v>
      </c>
      <c r="BT1223" s="4">
        <f t="shared" si="691"/>
        <v>4</v>
      </c>
      <c r="BU1223" s="4">
        <f t="shared" si="692"/>
        <v>4</v>
      </c>
      <c r="BV1223" s="4" t="str">
        <f t="shared" si="693"/>
        <v>0</v>
      </c>
      <c r="BW1223" s="4">
        <f t="shared" si="694"/>
        <v>6</v>
      </c>
      <c r="BX1223" s="4">
        <f t="shared" si="695"/>
        <v>0</v>
      </c>
      <c r="BY1223" s="4">
        <f t="shared" si="696"/>
        <v>0</v>
      </c>
      <c r="BZ1223" s="37">
        <f t="shared" si="697"/>
        <v>86</v>
      </c>
      <c r="CA1223" s="32" t="str">
        <f>VLOOKUP(J:J,'Agent wise'!A:C,3,0)</f>
        <v>Amal</v>
      </c>
      <c r="CB1223" s="32">
        <f t="shared" si="699"/>
        <v>45951</v>
      </c>
      <c r="CC1223" t="str">
        <f t="shared" si="698"/>
        <v>Average</v>
      </c>
      <c r="CE1223" s="32"/>
      <c r="CJ1223">
        <f t="shared" si="700"/>
        <v>21</v>
      </c>
      <c r="CK1223">
        <f t="shared" si="701"/>
        <v>10</v>
      </c>
      <c r="CL1223">
        <f t="shared" si="702"/>
        <v>2025</v>
      </c>
    </row>
    <row r="1224" spans="1:90" ht="15" customHeight="1" x14ac:dyDescent="0.35">
      <c r="A1224" t="s">
        <v>3007</v>
      </c>
      <c r="B1224" t="s">
        <v>250</v>
      </c>
      <c r="C1224" t="s">
        <v>214</v>
      </c>
      <c r="D1224" t="s">
        <v>251</v>
      </c>
      <c r="E1224" s="32">
        <v>45951</v>
      </c>
      <c r="F1224" t="s">
        <v>222</v>
      </c>
      <c r="G1224" t="s">
        <v>2811</v>
      </c>
      <c r="H1224">
        <v>9447466851</v>
      </c>
      <c r="I1224">
        <v>138</v>
      </c>
      <c r="J1224" t="s">
        <v>409</v>
      </c>
      <c r="K1224" t="s">
        <v>57</v>
      </c>
      <c r="L1224" t="s">
        <v>58</v>
      </c>
      <c r="M1224" t="s">
        <v>60</v>
      </c>
      <c r="N1224" t="s">
        <v>59</v>
      </c>
      <c r="O1224" t="s">
        <v>59</v>
      </c>
      <c r="P1224" t="s">
        <v>59</v>
      </c>
      <c r="Q1224" t="s">
        <v>59</v>
      </c>
      <c r="R1224" t="s">
        <v>59</v>
      </c>
      <c r="S1224" t="s">
        <v>59</v>
      </c>
      <c r="T1224" t="s">
        <v>59</v>
      </c>
      <c r="U1224" t="s">
        <v>60</v>
      </c>
      <c r="V1224" t="s">
        <v>59</v>
      </c>
      <c r="W1224" t="s">
        <v>59</v>
      </c>
      <c r="X1224" t="s">
        <v>59</v>
      </c>
      <c r="Y1224" t="s">
        <v>59</v>
      </c>
      <c r="Z1224" t="s">
        <v>60</v>
      </c>
      <c r="AA1224" t="s">
        <v>59</v>
      </c>
      <c r="AB1224" t="s">
        <v>59</v>
      </c>
      <c r="AC1224" t="s">
        <v>59</v>
      </c>
      <c r="AD1224" t="s">
        <v>59</v>
      </c>
      <c r="AE1224" t="s">
        <v>60</v>
      </c>
      <c r="AF1224" t="s">
        <v>59</v>
      </c>
      <c r="AG1224" t="s">
        <v>59</v>
      </c>
      <c r="AH1224" t="s">
        <v>61</v>
      </c>
      <c r="AI1224" t="s">
        <v>61</v>
      </c>
      <c r="AJ1224" t="s">
        <v>59</v>
      </c>
      <c r="AK1224" t="s">
        <v>59</v>
      </c>
      <c r="AL1224" t="s">
        <v>60</v>
      </c>
      <c r="AM1224" t="s">
        <v>59</v>
      </c>
      <c r="AN1224" t="s">
        <v>59</v>
      </c>
      <c r="AO1224" t="s">
        <v>59</v>
      </c>
      <c r="AP1224" t="s">
        <v>3008</v>
      </c>
      <c r="AQ1224" t="s">
        <v>3009</v>
      </c>
      <c r="AR1224" t="s">
        <v>64</v>
      </c>
      <c r="AS1224" t="s">
        <v>2474</v>
      </c>
      <c r="AT1224" t="s">
        <v>394</v>
      </c>
      <c r="AU1224" t="s">
        <v>387</v>
      </c>
      <c r="AW1224" s="4" t="str">
        <f t="shared" si="668"/>
        <v>0</v>
      </c>
      <c r="AX1224" s="4">
        <f t="shared" si="669"/>
        <v>4</v>
      </c>
      <c r="AY1224" s="4">
        <f t="shared" si="670"/>
        <v>4</v>
      </c>
      <c r="AZ1224" s="4">
        <f t="shared" si="671"/>
        <v>2</v>
      </c>
      <c r="BA1224" s="4">
        <f t="shared" si="672"/>
        <v>4</v>
      </c>
      <c r="BB1224" s="4">
        <f t="shared" si="673"/>
        <v>4</v>
      </c>
      <c r="BC1224" s="4">
        <f t="shared" si="674"/>
        <v>4</v>
      </c>
      <c r="BD1224" s="4">
        <f t="shared" si="675"/>
        <v>2</v>
      </c>
      <c r="BE1224" s="4" t="str">
        <f t="shared" si="676"/>
        <v>0</v>
      </c>
      <c r="BF1224" s="4">
        <f t="shared" si="677"/>
        <v>2</v>
      </c>
      <c r="BG1224" s="4">
        <f t="shared" si="678"/>
        <v>4</v>
      </c>
      <c r="BH1224" s="4">
        <f t="shared" si="679"/>
        <v>4</v>
      </c>
      <c r="BI1224" s="4">
        <f t="shared" si="680"/>
        <v>4</v>
      </c>
      <c r="BJ1224" s="4" t="str">
        <f t="shared" si="681"/>
        <v>0</v>
      </c>
      <c r="BK1224" s="4">
        <f t="shared" si="682"/>
        <v>4</v>
      </c>
      <c r="BL1224" s="4">
        <f t="shared" si="683"/>
        <v>2</v>
      </c>
      <c r="BM1224" s="4">
        <f t="shared" si="684"/>
        <v>4</v>
      </c>
      <c r="BN1224" s="4">
        <f t="shared" si="685"/>
        <v>4</v>
      </c>
      <c r="BO1224" s="4" t="str">
        <f t="shared" si="686"/>
        <v>0</v>
      </c>
      <c r="BP1224" s="4">
        <f t="shared" si="687"/>
        <v>4</v>
      </c>
      <c r="BQ1224" s="4">
        <f t="shared" si="688"/>
        <v>6</v>
      </c>
      <c r="BR1224" s="4">
        <f t="shared" si="689"/>
        <v>4</v>
      </c>
      <c r="BS1224" s="4">
        <f t="shared" si="690"/>
        <v>4</v>
      </c>
      <c r="BT1224" s="4">
        <f t="shared" si="691"/>
        <v>4</v>
      </c>
      <c r="BU1224" s="4">
        <f t="shared" si="692"/>
        <v>4</v>
      </c>
      <c r="BV1224" s="4" t="str">
        <f t="shared" si="693"/>
        <v>0</v>
      </c>
      <c r="BW1224" s="4">
        <f t="shared" si="694"/>
        <v>6</v>
      </c>
      <c r="BX1224" s="4">
        <f t="shared" si="695"/>
        <v>0</v>
      </c>
      <c r="BY1224" s="4">
        <f t="shared" si="696"/>
        <v>0</v>
      </c>
      <c r="BZ1224" s="37">
        <f t="shared" si="697"/>
        <v>84</v>
      </c>
      <c r="CA1224" s="32" t="str">
        <f>VLOOKUP(J:J,'Agent wise'!A:C,3,0)</f>
        <v>Amal</v>
      </c>
      <c r="CB1224" s="32">
        <f t="shared" si="699"/>
        <v>45951</v>
      </c>
      <c r="CC1224" t="str">
        <f t="shared" si="698"/>
        <v>FC</v>
      </c>
      <c r="CE1224" s="32"/>
      <c r="CJ1224">
        <f t="shared" si="700"/>
        <v>21</v>
      </c>
      <c r="CK1224">
        <f t="shared" si="701"/>
        <v>10</v>
      </c>
      <c r="CL1224">
        <f t="shared" si="702"/>
        <v>2025</v>
      </c>
    </row>
    <row r="1225" spans="1:90" ht="15" customHeight="1" x14ac:dyDescent="0.35">
      <c r="A1225" t="s">
        <v>3010</v>
      </c>
      <c r="B1225" t="s">
        <v>250</v>
      </c>
      <c r="C1225" t="s">
        <v>214</v>
      </c>
      <c r="D1225" t="s">
        <v>251</v>
      </c>
      <c r="E1225" s="32">
        <v>45951</v>
      </c>
      <c r="F1225" t="s">
        <v>222</v>
      </c>
      <c r="G1225" t="s">
        <v>2811</v>
      </c>
      <c r="H1225">
        <v>9846028280</v>
      </c>
      <c r="I1225">
        <v>143</v>
      </c>
      <c r="J1225" t="s">
        <v>420</v>
      </c>
      <c r="K1225" t="s">
        <v>57</v>
      </c>
      <c r="L1225" t="s">
        <v>58</v>
      </c>
      <c r="M1225" t="s">
        <v>60</v>
      </c>
      <c r="N1225" t="s">
        <v>59</v>
      </c>
      <c r="O1225" t="s">
        <v>59</v>
      </c>
      <c r="P1225" t="s">
        <v>59</v>
      </c>
      <c r="Q1225" t="s">
        <v>59</v>
      </c>
      <c r="R1225" t="s">
        <v>59</v>
      </c>
      <c r="S1225" t="s">
        <v>59</v>
      </c>
      <c r="T1225" t="s">
        <v>59</v>
      </c>
      <c r="U1225" t="s">
        <v>60</v>
      </c>
      <c r="V1225" t="s">
        <v>59</v>
      </c>
      <c r="W1225" t="s">
        <v>59</v>
      </c>
      <c r="X1225" t="s">
        <v>59</v>
      </c>
      <c r="Y1225" t="s">
        <v>59</v>
      </c>
      <c r="Z1225" t="s">
        <v>60</v>
      </c>
      <c r="AA1225" t="s">
        <v>59</v>
      </c>
      <c r="AB1225" t="s">
        <v>59</v>
      </c>
      <c r="AC1225" t="s">
        <v>59</v>
      </c>
      <c r="AD1225" t="s">
        <v>61</v>
      </c>
      <c r="AE1225" t="s">
        <v>59</v>
      </c>
      <c r="AF1225" t="s">
        <v>59</v>
      </c>
      <c r="AG1225" t="s">
        <v>59</v>
      </c>
      <c r="AH1225" t="s">
        <v>61</v>
      </c>
      <c r="AI1225" t="s">
        <v>61</v>
      </c>
      <c r="AJ1225" t="s">
        <v>59</v>
      </c>
      <c r="AK1225" t="s">
        <v>59</v>
      </c>
      <c r="AL1225" t="s">
        <v>60</v>
      </c>
      <c r="AM1225" t="s">
        <v>59</v>
      </c>
      <c r="AN1225" t="s">
        <v>59</v>
      </c>
      <c r="AO1225" t="s">
        <v>59</v>
      </c>
      <c r="AP1225" s="1" t="s">
        <v>3011</v>
      </c>
      <c r="AQ1225" t="s">
        <v>3012</v>
      </c>
      <c r="AR1225" t="s">
        <v>226</v>
      </c>
      <c r="AS1225" t="s">
        <v>720</v>
      </c>
      <c r="AT1225" t="s">
        <v>331</v>
      </c>
      <c r="AU1225" t="s">
        <v>387</v>
      </c>
      <c r="AW1225" s="4" t="str">
        <f t="shared" si="668"/>
        <v>0</v>
      </c>
      <c r="AX1225" s="4">
        <f t="shared" si="669"/>
        <v>4</v>
      </c>
      <c r="AY1225" s="4">
        <f t="shared" si="670"/>
        <v>4</v>
      </c>
      <c r="AZ1225" s="4">
        <f t="shared" si="671"/>
        <v>2</v>
      </c>
      <c r="BA1225" s="4">
        <f t="shared" si="672"/>
        <v>4</v>
      </c>
      <c r="BB1225" s="4">
        <f t="shared" si="673"/>
        <v>4</v>
      </c>
      <c r="BC1225" s="4">
        <f t="shared" si="674"/>
        <v>4</v>
      </c>
      <c r="BD1225" s="4">
        <f t="shared" si="675"/>
        <v>2</v>
      </c>
      <c r="BE1225" s="4" t="str">
        <f t="shared" si="676"/>
        <v>0</v>
      </c>
      <c r="BF1225" s="4">
        <f t="shared" si="677"/>
        <v>2</v>
      </c>
      <c r="BG1225" s="4">
        <f t="shared" si="678"/>
        <v>4</v>
      </c>
      <c r="BH1225" s="4">
        <f t="shared" si="679"/>
        <v>4</v>
      </c>
      <c r="BI1225" s="4">
        <f t="shared" si="680"/>
        <v>4</v>
      </c>
      <c r="BJ1225" s="4" t="str">
        <f t="shared" si="681"/>
        <v>0</v>
      </c>
      <c r="BK1225" s="4">
        <f t="shared" si="682"/>
        <v>4</v>
      </c>
      <c r="BL1225" s="4">
        <f t="shared" si="683"/>
        <v>2</v>
      </c>
      <c r="BM1225" s="4">
        <f t="shared" si="684"/>
        <v>4</v>
      </c>
      <c r="BN1225" s="4">
        <f t="shared" si="685"/>
        <v>4</v>
      </c>
      <c r="BO1225" s="4">
        <f t="shared" si="686"/>
        <v>4</v>
      </c>
      <c r="BP1225" s="4">
        <f t="shared" si="687"/>
        <v>4</v>
      </c>
      <c r="BQ1225" s="4">
        <f t="shared" si="688"/>
        <v>6</v>
      </c>
      <c r="BR1225" s="4">
        <f t="shared" si="689"/>
        <v>4</v>
      </c>
      <c r="BS1225" s="4">
        <f t="shared" si="690"/>
        <v>4</v>
      </c>
      <c r="BT1225" s="4">
        <f t="shared" si="691"/>
        <v>4</v>
      </c>
      <c r="BU1225" s="4">
        <f t="shared" si="692"/>
        <v>4</v>
      </c>
      <c r="BV1225" s="4" t="str">
        <f t="shared" si="693"/>
        <v>0</v>
      </c>
      <c r="BW1225" s="4">
        <f t="shared" si="694"/>
        <v>6</v>
      </c>
      <c r="BX1225" s="4">
        <f t="shared" si="695"/>
        <v>0</v>
      </c>
      <c r="BY1225" s="4">
        <f t="shared" si="696"/>
        <v>0</v>
      </c>
      <c r="BZ1225" s="37">
        <f t="shared" si="697"/>
        <v>88</v>
      </c>
      <c r="CA1225" s="32" t="str">
        <f>VLOOKUP(J:J,'Agent wise'!A:C,3,0)</f>
        <v>Amal</v>
      </c>
      <c r="CB1225" s="32">
        <f t="shared" si="699"/>
        <v>45951</v>
      </c>
      <c r="CC1225" t="str">
        <f t="shared" si="698"/>
        <v>Average</v>
      </c>
      <c r="CE1225" s="32"/>
      <c r="CJ1225">
        <f t="shared" si="700"/>
        <v>21</v>
      </c>
      <c r="CK1225">
        <f t="shared" si="701"/>
        <v>10</v>
      </c>
      <c r="CL1225">
        <f t="shared" si="702"/>
        <v>2025</v>
      </c>
    </row>
    <row r="1226" spans="1:90" ht="15" customHeight="1" x14ac:dyDescent="0.35">
      <c r="A1226" t="s">
        <v>3013</v>
      </c>
      <c r="B1226" t="s">
        <v>250</v>
      </c>
      <c r="C1226" t="s">
        <v>214</v>
      </c>
      <c r="D1226" t="s">
        <v>251</v>
      </c>
      <c r="E1226" s="32">
        <v>45951</v>
      </c>
      <c r="F1226" t="s">
        <v>222</v>
      </c>
      <c r="G1226" t="s">
        <v>2811</v>
      </c>
      <c r="H1226">
        <v>9952609426</v>
      </c>
      <c r="I1226">
        <v>153</v>
      </c>
      <c r="J1226" t="s">
        <v>307</v>
      </c>
      <c r="K1226" t="s">
        <v>71</v>
      </c>
      <c r="L1226" t="s">
        <v>72</v>
      </c>
      <c r="M1226" t="s">
        <v>59</v>
      </c>
      <c r="N1226" t="s">
        <v>59</v>
      </c>
      <c r="O1226" t="s">
        <v>59</v>
      </c>
      <c r="P1226" t="s">
        <v>59</v>
      </c>
      <c r="Q1226" t="s">
        <v>59</v>
      </c>
      <c r="R1226" t="s">
        <v>59</v>
      </c>
      <c r="S1226" t="s">
        <v>59</v>
      </c>
      <c r="T1226" t="s">
        <v>59</v>
      </c>
      <c r="U1226" t="s">
        <v>59</v>
      </c>
      <c r="V1226" t="s">
        <v>59</v>
      </c>
      <c r="W1226" t="s">
        <v>59</v>
      </c>
      <c r="X1226" t="s">
        <v>59</v>
      </c>
      <c r="Y1226" t="s">
        <v>59</v>
      </c>
      <c r="Z1226" t="s">
        <v>59</v>
      </c>
      <c r="AA1226" t="s">
        <v>59</v>
      </c>
      <c r="AB1226" t="s">
        <v>59</v>
      </c>
      <c r="AC1226" t="s">
        <v>59</v>
      </c>
      <c r="AD1226" t="s">
        <v>59</v>
      </c>
      <c r="AE1226" t="s">
        <v>59</v>
      </c>
      <c r="AF1226" t="s">
        <v>59</v>
      </c>
      <c r="AG1226" t="s">
        <v>59</v>
      </c>
      <c r="AH1226" t="s">
        <v>61</v>
      </c>
      <c r="AI1226" t="s">
        <v>59</v>
      </c>
      <c r="AJ1226" t="s">
        <v>59</v>
      </c>
      <c r="AK1226" t="s">
        <v>59</v>
      </c>
      <c r="AL1226" t="s">
        <v>59</v>
      </c>
      <c r="AM1226" t="s">
        <v>59</v>
      </c>
      <c r="AN1226" t="s">
        <v>59</v>
      </c>
      <c r="AO1226" t="s">
        <v>59</v>
      </c>
      <c r="AP1226" t="s">
        <v>247</v>
      </c>
      <c r="AQ1226" t="s">
        <v>3014</v>
      </c>
      <c r="AR1226" t="s">
        <v>64</v>
      </c>
      <c r="AS1226" t="s">
        <v>3015</v>
      </c>
      <c r="AT1226" t="s">
        <v>331</v>
      </c>
      <c r="AU1226" t="s">
        <v>219</v>
      </c>
      <c r="AW1226" s="4">
        <f t="shared" si="668"/>
        <v>6</v>
      </c>
      <c r="AX1226" s="4">
        <f t="shared" si="669"/>
        <v>4</v>
      </c>
      <c r="AY1226" s="4">
        <f t="shared" si="670"/>
        <v>4</v>
      </c>
      <c r="AZ1226" s="4">
        <f t="shared" si="671"/>
        <v>2</v>
      </c>
      <c r="BA1226" s="4">
        <f t="shared" si="672"/>
        <v>4</v>
      </c>
      <c r="BB1226" s="4">
        <f t="shared" si="673"/>
        <v>4</v>
      </c>
      <c r="BC1226" s="4">
        <f t="shared" si="674"/>
        <v>4</v>
      </c>
      <c r="BD1226" s="4">
        <f t="shared" si="675"/>
        <v>2</v>
      </c>
      <c r="BE1226" s="4">
        <f t="shared" si="676"/>
        <v>4</v>
      </c>
      <c r="BF1226" s="4">
        <f t="shared" si="677"/>
        <v>2</v>
      </c>
      <c r="BG1226" s="4">
        <f t="shared" si="678"/>
        <v>4</v>
      </c>
      <c r="BH1226" s="4">
        <f t="shared" si="679"/>
        <v>4</v>
      </c>
      <c r="BI1226" s="4">
        <f t="shared" si="680"/>
        <v>4</v>
      </c>
      <c r="BJ1226" s="4">
        <f t="shared" si="681"/>
        <v>2</v>
      </c>
      <c r="BK1226" s="4">
        <f t="shared" si="682"/>
        <v>4</v>
      </c>
      <c r="BL1226" s="4">
        <f t="shared" si="683"/>
        <v>2</v>
      </c>
      <c r="BM1226" s="4">
        <f t="shared" si="684"/>
        <v>4</v>
      </c>
      <c r="BN1226" s="4">
        <f t="shared" si="685"/>
        <v>4</v>
      </c>
      <c r="BO1226" s="4">
        <f t="shared" si="686"/>
        <v>4</v>
      </c>
      <c r="BP1226" s="4">
        <f t="shared" si="687"/>
        <v>4</v>
      </c>
      <c r="BQ1226" s="4">
        <f t="shared" si="688"/>
        <v>6</v>
      </c>
      <c r="BR1226" s="4">
        <f t="shared" si="689"/>
        <v>4</v>
      </c>
      <c r="BS1226" s="4">
        <f t="shared" si="690"/>
        <v>4</v>
      </c>
      <c r="BT1226" s="4">
        <f t="shared" si="691"/>
        <v>4</v>
      </c>
      <c r="BU1226" s="4">
        <f t="shared" si="692"/>
        <v>4</v>
      </c>
      <c r="BV1226" s="4">
        <f t="shared" si="693"/>
        <v>0</v>
      </c>
      <c r="BW1226" s="4">
        <f t="shared" si="694"/>
        <v>6</v>
      </c>
      <c r="BX1226" s="4">
        <f t="shared" si="695"/>
        <v>0</v>
      </c>
      <c r="BY1226" s="4">
        <f t="shared" si="696"/>
        <v>0</v>
      </c>
      <c r="BZ1226" s="37">
        <f t="shared" si="697"/>
        <v>100</v>
      </c>
      <c r="CA1226" s="32" t="str">
        <f>VLOOKUP(J:J,'Agent wise'!A:C,3,0)</f>
        <v>Amal</v>
      </c>
      <c r="CB1226" s="32">
        <f t="shared" si="699"/>
        <v>45951</v>
      </c>
      <c r="CC1226" t="str">
        <f t="shared" si="698"/>
        <v>Excellent</v>
      </c>
      <c r="CE1226" s="32"/>
      <c r="CJ1226">
        <f t="shared" si="700"/>
        <v>21</v>
      </c>
      <c r="CK1226">
        <f t="shared" si="701"/>
        <v>10</v>
      </c>
      <c r="CL1226">
        <f t="shared" si="702"/>
        <v>2025</v>
      </c>
    </row>
    <row r="1227" spans="1:90" ht="15" customHeight="1" x14ac:dyDescent="0.35">
      <c r="A1227" t="s">
        <v>3016</v>
      </c>
      <c r="B1227" t="s">
        <v>698</v>
      </c>
      <c r="C1227" t="s">
        <v>214</v>
      </c>
      <c r="D1227" t="s">
        <v>221</v>
      </c>
      <c r="E1227" s="32">
        <v>45951</v>
      </c>
      <c r="F1227" t="s">
        <v>222</v>
      </c>
      <c r="G1227" t="s">
        <v>2915</v>
      </c>
      <c r="H1227">
        <v>8220795788</v>
      </c>
      <c r="I1227">
        <v>168</v>
      </c>
      <c r="J1227" t="s">
        <v>568</v>
      </c>
      <c r="K1227" t="s">
        <v>71</v>
      </c>
      <c r="L1227" t="s">
        <v>72</v>
      </c>
      <c r="M1227" t="s">
        <v>59</v>
      </c>
      <c r="N1227" t="s">
        <v>59</v>
      </c>
      <c r="O1227" t="s">
        <v>59</v>
      </c>
      <c r="P1227" t="s">
        <v>59</v>
      </c>
      <c r="Q1227" t="s">
        <v>59</v>
      </c>
      <c r="R1227" t="s">
        <v>59</v>
      </c>
      <c r="S1227" t="s">
        <v>59</v>
      </c>
      <c r="T1227" t="s">
        <v>59</v>
      </c>
      <c r="U1227" t="s">
        <v>59</v>
      </c>
      <c r="V1227" t="s">
        <v>59</v>
      </c>
      <c r="W1227" t="s">
        <v>59</v>
      </c>
      <c r="X1227" t="s">
        <v>59</v>
      </c>
      <c r="Y1227" t="s">
        <v>59</v>
      </c>
      <c r="Z1227" t="s">
        <v>59</v>
      </c>
      <c r="AA1227" t="s">
        <v>59</v>
      </c>
      <c r="AB1227" t="s">
        <v>59</v>
      </c>
      <c r="AC1227" t="s">
        <v>59</v>
      </c>
      <c r="AD1227" t="s">
        <v>59</v>
      </c>
      <c r="AE1227" t="s">
        <v>59</v>
      </c>
      <c r="AF1227" t="s">
        <v>59</v>
      </c>
      <c r="AG1227" t="s">
        <v>59</v>
      </c>
      <c r="AH1227" t="s">
        <v>61</v>
      </c>
      <c r="AI1227" t="s">
        <v>60</v>
      </c>
      <c r="AJ1227" t="s">
        <v>59</v>
      </c>
      <c r="AK1227" t="s">
        <v>59</v>
      </c>
      <c r="AL1227" t="s">
        <v>60</v>
      </c>
      <c r="AM1227" t="s">
        <v>59</v>
      </c>
      <c r="AN1227" t="s">
        <v>59</v>
      </c>
      <c r="AO1227" t="s">
        <v>59</v>
      </c>
      <c r="AP1227" t="s">
        <v>37</v>
      </c>
      <c r="AQ1227" t="s">
        <v>3017</v>
      </c>
      <c r="AR1227" t="s">
        <v>226</v>
      </c>
      <c r="AS1227" t="s">
        <v>249</v>
      </c>
      <c r="AT1227" t="s">
        <v>249</v>
      </c>
      <c r="AU1227" t="s">
        <v>219</v>
      </c>
      <c r="AW1227" s="4">
        <f t="shared" si="668"/>
        <v>6</v>
      </c>
      <c r="AX1227" s="4">
        <f t="shared" si="669"/>
        <v>4</v>
      </c>
      <c r="AY1227" s="4">
        <f t="shared" si="670"/>
        <v>4</v>
      </c>
      <c r="AZ1227" s="4">
        <f t="shared" si="671"/>
        <v>2</v>
      </c>
      <c r="BA1227" s="4">
        <f t="shared" si="672"/>
        <v>4</v>
      </c>
      <c r="BB1227" s="4">
        <f t="shared" si="673"/>
        <v>4</v>
      </c>
      <c r="BC1227" s="4">
        <f t="shared" si="674"/>
        <v>4</v>
      </c>
      <c r="BD1227" s="4">
        <f t="shared" si="675"/>
        <v>2</v>
      </c>
      <c r="BE1227" s="4">
        <f t="shared" si="676"/>
        <v>4</v>
      </c>
      <c r="BF1227" s="4">
        <f t="shared" si="677"/>
        <v>2</v>
      </c>
      <c r="BG1227" s="4">
        <f t="shared" si="678"/>
        <v>4</v>
      </c>
      <c r="BH1227" s="4">
        <f t="shared" si="679"/>
        <v>4</v>
      </c>
      <c r="BI1227" s="4">
        <f t="shared" si="680"/>
        <v>4</v>
      </c>
      <c r="BJ1227" s="4">
        <f t="shared" si="681"/>
        <v>2</v>
      </c>
      <c r="BK1227" s="4">
        <f t="shared" si="682"/>
        <v>4</v>
      </c>
      <c r="BL1227" s="4">
        <f t="shared" si="683"/>
        <v>2</v>
      </c>
      <c r="BM1227" s="4">
        <f t="shared" si="684"/>
        <v>4</v>
      </c>
      <c r="BN1227" s="4">
        <f t="shared" si="685"/>
        <v>4</v>
      </c>
      <c r="BO1227" s="4">
        <f t="shared" si="686"/>
        <v>4</v>
      </c>
      <c r="BP1227" s="4">
        <f t="shared" si="687"/>
        <v>4</v>
      </c>
      <c r="BQ1227" s="4">
        <f t="shared" si="688"/>
        <v>6</v>
      </c>
      <c r="BR1227" s="4">
        <f t="shared" si="689"/>
        <v>4</v>
      </c>
      <c r="BS1227" s="4" t="str">
        <f t="shared" si="690"/>
        <v>0</v>
      </c>
      <c r="BT1227" s="4">
        <f t="shared" si="691"/>
        <v>4</v>
      </c>
      <c r="BU1227" s="4">
        <f t="shared" si="692"/>
        <v>4</v>
      </c>
      <c r="BV1227" s="4" t="str">
        <f t="shared" si="693"/>
        <v>0</v>
      </c>
      <c r="BW1227" s="4">
        <f t="shared" si="694"/>
        <v>6</v>
      </c>
      <c r="BX1227" s="4">
        <f t="shared" si="695"/>
        <v>0</v>
      </c>
      <c r="BY1227" s="4">
        <f t="shared" si="696"/>
        <v>0</v>
      </c>
      <c r="BZ1227" s="37">
        <f t="shared" si="697"/>
        <v>96</v>
      </c>
      <c r="CA1227" s="32" t="str">
        <f>VLOOKUP(J:J,'Agent wise'!A:C,3,0)</f>
        <v>Amal</v>
      </c>
      <c r="CB1227" s="32">
        <f t="shared" si="699"/>
        <v>45951</v>
      </c>
      <c r="CC1227" t="str">
        <f t="shared" si="698"/>
        <v>Excellent</v>
      </c>
      <c r="CE1227" s="32"/>
      <c r="CJ1227">
        <f t="shared" si="700"/>
        <v>21</v>
      </c>
      <c r="CK1227">
        <f t="shared" si="701"/>
        <v>10</v>
      </c>
      <c r="CL1227">
        <f t="shared" si="702"/>
        <v>2025</v>
      </c>
    </row>
    <row r="1228" spans="1:90" ht="15" customHeight="1" x14ac:dyDescent="0.35">
      <c r="A1228" t="s">
        <v>3018</v>
      </c>
      <c r="B1228" t="s">
        <v>250</v>
      </c>
      <c r="C1228" t="s">
        <v>214</v>
      </c>
      <c r="D1228" t="s">
        <v>251</v>
      </c>
      <c r="E1228" s="32">
        <v>45951</v>
      </c>
      <c r="F1228" t="s">
        <v>222</v>
      </c>
      <c r="G1228" t="s">
        <v>2811</v>
      </c>
      <c r="H1228">
        <v>9746227606</v>
      </c>
      <c r="I1228">
        <v>147</v>
      </c>
      <c r="J1228" t="s">
        <v>234</v>
      </c>
      <c r="K1228" t="s">
        <v>57</v>
      </c>
      <c r="L1228" t="s">
        <v>58</v>
      </c>
      <c r="M1228" t="s">
        <v>59</v>
      </c>
      <c r="N1228" t="s">
        <v>59</v>
      </c>
      <c r="O1228" t="s">
        <v>59</v>
      </c>
      <c r="P1228" t="s">
        <v>59</v>
      </c>
      <c r="Q1228" t="s">
        <v>59</v>
      </c>
      <c r="R1228" t="s">
        <v>59</v>
      </c>
      <c r="S1228" t="s">
        <v>59</v>
      </c>
      <c r="T1228" t="s">
        <v>59</v>
      </c>
      <c r="U1228" t="s">
        <v>60</v>
      </c>
      <c r="V1228" t="s">
        <v>59</v>
      </c>
      <c r="W1228" t="s">
        <v>59</v>
      </c>
      <c r="X1228" t="s">
        <v>59</v>
      </c>
      <c r="Y1228" t="s">
        <v>59</v>
      </c>
      <c r="Z1228" t="s">
        <v>59</v>
      </c>
      <c r="AA1228" t="s">
        <v>60</v>
      </c>
      <c r="AB1228" t="s">
        <v>59</v>
      </c>
      <c r="AC1228" t="s">
        <v>59</v>
      </c>
      <c r="AD1228" t="s">
        <v>59</v>
      </c>
      <c r="AE1228" t="s">
        <v>59</v>
      </c>
      <c r="AF1228" t="s">
        <v>59</v>
      </c>
      <c r="AG1228" t="s">
        <v>59</v>
      </c>
      <c r="AH1228" t="s">
        <v>61</v>
      </c>
      <c r="AI1228" t="s">
        <v>61</v>
      </c>
      <c r="AJ1228" t="s">
        <v>59</v>
      </c>
      <c r="AK1228" t="s">
        <v>59</v>
      </c>
      <c r="AL1228" t="s">
        <v>60</v>
      </c>
      <c r="AM1228" t="s">
        <v>59</v>
      </c>
      <c r="AN1228" t="s">
        <v>59</v>
      </c>
      <c r="AO1228" t="s">
        <v>59</v>
      </c>
      <c r="AP1228" t="s">
        <v>936</v>
      </c>
      <c r="AQ1228" t="s">
        <v>3019</v>
      </c>
      <c r="AR1228" t="s">
        <v>64</v>
      </c>
      <c r="AS1228" t="s">
        <v>695</v>
      </c>
      <c r="AT1228" t="s">
        <v>331</v>
      </c>
      <c r="AU1228" t="s">
        <v>219</v>
      </c>
      <c r="AW1228" s="4">
        <f t="shared" si="668"/>
        <v>6</v>
      </c>
      <c r="AX1228" s="4">
        <f t="shared" si="669"/>
        <v>4</v>
      </c>
      <c r="AY1228" s="4">
        <f t="shared" si="670"/>
        <v>4</v>
      </c>
      <c r="AZ1228" s="4">
        <f t="shared" si="671"/>
        <v>2</v>
      </c>
      <c r="BA1228" s="4">
        <f t="shared" si="672"/>
        <v>4</v>
      </c>
      <c r="BB1228" s="4">
        <f t="shared" si="673"/>
        <v>4</v>
      </c>
      <c r="BC1228" s="4">
        <f t="shared" si="674"/>
        <v>4</v>
      </c>
      <c r="BD1228" s="4">
        <f t="shared" si="675"/>
        <v>2</v>
      </c>
      <c r="BE1228" s="4" t="str">
        <f t="shared" si="676"/>
        <v>0</v>
      </c>
      <c r="BF1228" s="4">
        <f t="shared" si="677"/>
        <v>2</v>
      </c>
      <c r="BG1228" s="4">
        <f t="shared" si="678"/>
        <v>4</v>
      </c>
      <c r="BH1228" s="4">
        <f t="shared" si="679"/>
        <v>4</v>
      </c>
      <c r="BI1228" s="4">
        <f t="shared" si="680"/>
        <v>4</v>
      </c>
      <c r="BJ1228" s="4">
        <f t="shared" si="681"/>
        <v>2</v>
      </c>
      <c r="BK1228" s="4" t="str">
        <f t="shared" si="682"/>
        <v>0</v>
      </c>
      <c r="BL1228" s="4">
        <f t="shared" si="683"/>
        <v>2</v>
      </c>
      <c r="BM1228" s="4">
        <f t="shared" si="684"/>
        <v>4</v>
      </c>
      <c r="BN1228" s="4">
        <f t="shared" si="685"/>
        <v>4</v>
      </c>
      <c r="BO1228" s="4">
        <f t="shared" si="686"/>
        <v>4</v>
      </c>
      <c r="BP1228" s="4">
        <f t="shared" si="687"/>
        <v>4</v>
      </c>
      <c r="BQ1228" s="4">
        <f t="shared" si="688"/>
        <v>6</v>
      </c>
      <c r="BR1228" s="4">
        <f t="shared" si="689"/>
        <v>4</v>
      </c>
      <c r="BS1228" s="4">
        <f t="shared" si="690"/>
        <v>4</v>
      </c>
      <c r="BT1228" s="4">
        <f t="shared" si="691"/>
        <v>4</v>
      </c>
      <c r="BU1228" s="4">
        <f t="shared" si="692"/>
        <v>4</v>
      </c>
      <c r="BV1228" s="4" t="str">
        <f t="shared" si="693"/>
        <v>0</v>
      </c>
      <c r="BW1228" s="4">
        <f t="shared" si="694"/>
        <v>6</v>
      </c>
      <c r="BX1228" s="4">
        <f t="shared" si="695"/>
        <v>0</v>
      </c>
      <c r="BY1228" s="4">
        <f t="shared" si="696"/>
        <v>0</v>
      </c>
      <c r="BZ1228" s="37">
        <f t="shared" si="697"/>
        <v>92</v>
      </c>
      <c r="CA1228" s="32" t="str">
        <f>VLOOKUP(J:J,'Agent wise'!A:C,3,0)</f>
        <v>Amal</v>
      </c>
      <c r="CB1228" s="32">
        <f t="shared" si="699"/>
        <v>45951</v>
      </c>
      <c r="CC1228" t="str">
        <f t="shared" si="698"/>
        <v>Good</v>
      </c>
      <c r="CE1228" s="32"/>
      <c r="CJ1228">
        <f t="shared" si="700"/>
        <v>21</v>
      </c>
      <c r="CK1228">
        <f t="shared" si="701"/>
        <v>10</v>
      </c>
      <c r="CL1228">
        <f t="shared" si="702"/>
        <v>2025</v>
      </c>
    </row>
    <row r="1229" spans="1:90" ht="15" customHeight="1" x14ac:dyDescent="0.35">
      <c r="A1229" t="s">
        <v>3020</v>
      </c>
      <c r="B1229" t="s">
        <v>106</v>
      </c>
      <c r="C1229" t="s">
        <v>214</v>
      </c>
      <c r="D1229" t="s">
        <v>107</v>
      </c>
      <c r="E1229" s="32">
        <v>45951</v>
      </c>
      <c r="F1229" t="s">
        <v>54</v>
      </c>
      <c r="G1229" t="s">
        <v>2915</v>
      </c>
      <c r="H1229">
        <v>8220529308</v>
      </c>
      <c r="I1229">
        <v>152</v>
      </c>
      <c r="J1229" t="s">
        <v>274</v>
      </c>
      <c r="K1229" t="s">
        <v>71</v>
      </c>
      <c r="L1229" t="s">
        <v>72</v>
      </c>
      <c r="M1229" t="s">
        <v>59</v>
      </c>
      <c r="N1229" t="s">
        <v>59</v>
      </c>
      <c r="O1229" t="s">
        <v>59</v>
      </c>
      <c r="P1229" t="s">
        <v>59</v>
      </c>
      <c r="Q1229" t="s">
        <v>59</v>
      </c>
      <c r="R1229" t="s">
        <v>59</v>
      </c>
      <c r="S1229" t="s">
        <v>59</v>
      </c>
      <c r="T1229" t="s">
        <v>59</v>
      </c>
      <c r="U1229" t="s">
        <v>59</v>
      </c>
      <c r="V1229" t="s">
        <v>59</v>
      </c>
      <c r="W1229" t="s">
        <v>59</v>
      </c>
      <c r="X1229" t="s">
        <v>61</v>
      </c>
      <c r="Y1229" t="s">
        <v>59</v>
      </c>
      <c r="Z1229" t="s">
        <v>59</v>
      </c>
      <c r="AA1229" t="s">
        <v>59</v>
      </c>
      <c r="AB1229" t="s">
        <v>59</v>
      </c>
      <c r="AC1229" t="s">
        <v>61</v>
      </c>
      <c r="AD1229" t="s">
        <v>59</v>
      </c>
      <c r="AE1229" t="s">
        <v>59</v>
      </c>
      <c r="AF1229" t="s">
        <v>61</v>
      </c>
      <c r="AG1229" t="s">
        <v>59</v>
      </c>
      <c r="AH1229" t="s">
        <v>61</v>
      </c>
      <c r="AI1229" t="s">
        <v>61</v>
      </c>
      <c r="AJ1229" t="s">
        <v>59</v>
      </c>
      <c r="AK1229" t="s">
        <v>59</v>
      </c>
      <c r="AL1229" t="s">
        <v>59</v>
      </c>
      <c r="AM1229" t="s">
        <v>59</v>
      </c>
      <c r="AN1229" t="s">
        <v>59</v>
      </c>
      <c r="AO1229" t="s">
        <v>59</v>
      </c>
      <c r="AP1229" t="s">
        <v>375</v>
      </c>
      <c r="AQ1229" t="s">
        <v>3021</v>
      </c>
      <c r="AR1229" t="s">
        <v>64</v>
      </c>
      <c r="AS1229" t="s">
        <v>3022</v>
      </c>
      <c r="AT1229" t="s">
        <v>3022</v>
      </c>
      <c r="AU1229" t="s">
        <v>219</v>
      </c>
      <c r="AW1229" s="4">
        <f t="shared" si="668"/>
        <v>6</v>
      </c>
      <c r="AX1229" s="4">
        <f t="shared" si="669"/>
        <v>4</v>
      </c>
      <c r="AY1229" s="4">
        <f t="shared" si="670"/>
        <v>4</v>
      </c>
      <c r="AZ1229" s="4">
        <f t="shared" si="671"/>
        <v>2</v>
      </c>
      <c r="BA1229" s="4">
        <f t="shared" si="672"/>
        <v>4</v>
      </c>
      <c r="BB1229" s="4">
        <f t="shared" si="673"/>
        <v>4</v>
      </c>
      <c r="BC1229" s="4">
        <f t="shared" si="674"/>
        <v>4</v>
      </c>
      <c r="BD1229" s="4">
        <f t="shared" si="675"/>
        <v>2</v>
      </c>
      <c r="BE1229" s="4">
        <f t="shared" si="676"/>
        <v>4</v>
      </c>
      <c r="BF1229" s="4">
        <f t="shared" si="677"/>
        <v>2</v>
      </c>
      <c r="BG1229" s="4">
        <f t="shared" si="678"/>
        <v>4</v>
      </c>
      <c r="BH1229" s="4">
        <f t="shared" si="679"/>
        <v>4</v>
      </c>
      <c r="BI1229" s="4">
        <f t="shared" si="680"/>
        <v>4</v>
      </c>
      <c r="BJ1229" s="4">
        <f t="shared" si="681"/>
        <v>2</v>
      </c>
      <c r="BK1229" s="4">
        <f t="shared" si="682"/>
        <v>4</v>
      </c>
      <c r="BL1229" s="4">
        <f t="shared" si="683"/>
        <v>2</v>
      </c>
      <c r="BM1229" s="4">
        <f t="shared" si="684"/>
        <v>4</v>
      </c>
      <c r="BN1229" s="4">
        <f t="shared" si="685"/>
        <v>4</v>
      </c>
      <c r="BO1229" s="4">
        <f t="shared" si="686"/>
        <v>4</v>
      </c>
      <c r="BP1229" s="4">
        <f t="shared" si="687"/>
        <v>4</v>
      </c>
      <c r="BQ1229" s="4">
        <f t="shared" si="688"/>
        <v>6</v>
      </c>
      <c r="BR1229" s="4">
        <f t="shared" si="689"/>
        <v>4</v>
      </c>
      <c r="BS1229" s="4">
        <f t="shared" si="690"/>
        <v>4</v>
      </c>
      <c r="BT1229" s="4">
        <f t="shared" si="691"/>
        <v>4</v>
      </c>
      <c r="BU1229" s="4">
        <f t="shared" si="692"/>
        <v>4</v>
      </c>
      <c r="BV1229" s="4">
        <f t="shared" si="693"/>
        <v>0</v>
      </c>
      <c r="BW1229" s="4">
        <f t="shared" si="694"/>
        <v>6</v>
      </c>
      <c r="BX1229" s="4">
        <f t="shared" si="695"/>
        <v>0</v>
      </c>
      <c r="BY1229" s="4">
        <f t="shared" si="696"/>
        <v>0</v>
      </c>
      <c r="BZ1229" s="37">
        <f t="shared" si="697"/>
        <v>100</v>
      </c>
      <c r="CA1229" s="32" t="str">
        <f>VLOOKUP(J:J,'Agent wise'!A:C,3,0)</f>
        <v>Shakeer</v>
      </c>
      <c r="CB1229" s="32">
        <f t="shared" si="699"/>
        <v>45951</v>
      </c>
      <c r="CC1229" t="str">
        <f t="shared" si="698"/>
        <v>Excellent</v>
      </c>
      <c r="CE1229" s="32"/>
      <c r="CJ1229">
        <f t="shared" si="700"/>
        <v>21</v>
      </c>
      <c r="CK1229">
        <f t="shared" si="701"/>
        <v>10</v>
      </c>
      <c r="CL1229">
        <f t="shared" si="702"/>
        <v>2025</v>
      </c>
    </row>
    <row r="1230" spans="1:90" ht="15" customHeight="1" x14ac:dyDescent="0.35">
      <c r="A1230" t="s">
        <v>3023</v>
      </c>
      <c r="B1230" t="s">
        <v>250</v>
      </c>
      <c r="C1230" t="s">
        <v>214</v>
      </c>
      <c r="D1230" t="s">
        <v>251</v>
      </c>
      <c r="E1230" s="32">
        <v>45951</v>
      </c>
      <c r="F1230" t="s">
        <v>222</v>
      </c>
      <c r="G1230" t="s">
        <v>2811</v>
      </c>
      <c r="H1230">
        <v>8695198198</v>
      </c>
      <c r="I1230">
        <v>137</v>
      </c>
      <c r="J1230" t="s">
        <v>568</v>
      </c>
      <c r="K1230" t="s">
        <v>71</v>
      </c>
      <c r="L1230" t="s">
        <v>72</v>
      </c>
      <c r="M1230" t="s">
        <v>59</v>
      </c>
      <c r="N1230" t="s">
        <v>59</v>
      </c>
      <c r="O1230" t="s">
        <v>59</v>
      </c>
      <c r="P1230" t="s">
        <v>59</v>
      </c>
      <c r="Q1230" t="s">
        <v>59</v>
      </c>
      <c r="R1230" t="s">
        <v>59</v>
      </c>
      <c r="S1230" t="s">
        <v>59</v>
      </c>
      <c r="T1230" t="s">
        <v>59</v>
      </c>
      <c r="U1230" t="s">
        <v>60</v>
      </c>
      <c r="V1230" t="s">
        <v>59</v>
      </c>
      <c r="W1230" t="s">
        <v>59</v>
      </c>
      <c r="X1230" t="s">
        <v>59</v>
      </c>
      <c r="Y1230" t="s">
        <v>59</v>
      </c>
      <c r="Z1230" t="s">
        <v>59</v>
      </c>
      <c r="AA1230" t="s">
        <v>60</v>
      </c>
      <c r="AB1230" t="s">
        <v>60</v>
      </c>
      <c r="AC1230" t="s">
        <v>59</v>
      </c>
      <c r="AD1230" t="s">
        <v>59</v>
      </c>
      <c r="AE1230" t="s">
        <v>59</v>
      </c>
      <c r="AF1230" t="s">
        <v>59</v>
      </c>
      <c r="AG1230" t="s">
        <v>59</v>
      </c>
      <c r="AH1230" t="s">
        <v>61</v>
      </c>
      <c r="AI1230" t="s">
        <v>61</v>
      </c>
      <c r="AJ1230" t="s">
        <v>59</v>
      </c>
      <c r="AK1230" t="s">
        <v>59</v>
      </c>
      <c r="AL1230" t="s">
        <v>60</v>
      </c>
      <c r="AM1230" t="s">
        <v>59</v>
      </c>
      <c r="AN1230" t="s">
        <v>59</v>
      </c>
      <c r="AO1230" t="s">
        <v>59</v>
      </c>
      <c r="AP1230" t="s">
        <v>392</v>
      </c>
      <c r="AQ1230" t="s">
        <v>3024</v>
      </c>
      <c r="AR1230" t="s">
        <v>226</v>
      </c>
      <c r="AS1230" t="s">
        <v>3025</v>
      </c>
      <c r="AT1230" t="s">
        <v>394</v>
      </c>
      <c r="AU1230" t="s">
        <v>219</v>
      </c>
      <c r="AW1230" s="4">
        <f t="shared" si="668"/>
        <v>6</v>
      </c>
      <c r="AX1230" s="4">
        <f t="shared" si="669"/>
        <v>4</v>
      </c>
      <c r="AY1230" s="4">
        <f t="shared" si="670"/>
        <v>4</v>
      </c>
      <c r="AZ1230" s="4">
        <f t="shared" si="671"/>
        <v>2</v>
      </c>
      <c r="BA1230" s="4">
        <f t="shared" si="672"/>
        <v>4</v>
      </c>
      <c r="BB1230" s="4">
        <f t="shared" si="673"/>
        <v>4</v>
      </c>
      <c r="BC1230" s="4">
        <f t="shared" si="674"/>
        <v>4</v>
      </c>
      <c r="BD1230" s="4">
        <f t="shared" si="675"/>
        <v>2</v>
      </c>
      <c r="BE1230" s="4" t="str">
        <f t="shared" si="676"/>
        <v>0</v>
      </c>
      <c r="BF1230" s="4">
        <f t="shared" si="677"/>
        <v>2</v>
      </c>
      <c r="BG1230" s="4">
        <f t="shared" si="678"/>
        <v>4</v>
      </c>
      <c r="BH1230" s="4">
        <f t="shared" si="679"/>
        <v>4</v>
      </c>
      <c r="BI1230" s="4">
        <f t="shared" si="680"/>
        <v>4</v>
      </c>
      <c r="BJ1230" s="4">
        <f t="shared" si="681"/>
        <v>2</v>
      </c>
      <c r="BK1230" s="4" t="str">
        <f t="shared" si="682"/>
        <v>0</v>
      </c>
      <c r="BL1230" s="4" t="str">
        <f t="shared" si="683"/>
        <v>0</v>
      </c>
      <c r="BM1230" s="4">
        <f t="shared" si="684"/>
        <v>4</v>
      </c>
      <c r="BN1230" s="4">
        <f t="shared" si="685"/>
        <v>4</v>
      </c>
      <c r="BO1230" s="4">
        <f t="shared" si="686"/>
        <v>4</v>
      </c>
      <c r="BP1230" s="4">
        <f t="shared" si="687"/>
        <v>4</v>
      </c>
      <c r="BQ1230" s="4">
        <f t="shared" si="688"/>
        <v>6</v>
      </c>
      <c r="BR1230" s="4">
        <f t="shared" si="689"/>
        <v>4</v>
      </c>
      <c r="BS1230" s="4">
        <f t="shared" si="690"/>
        <v>4</v>
      </c>
      <c r="BT1230" s="4">
        <f t="shared" si="691"/>
        <v>4</v>
      </c>
      <c r="BU1230" s="4">
        <f t="shared" si="692"/>
        <v>4</v>
      </c>
      <c r="BV1230" s="4" t="str">
        <f t="shared" si="693"/>
        <v>0</v>
      </c>
      <c r="BW1230" s="4">
        <f t="shared" si="694"/>
        <v>6</v>
      </c>
      <c r="BX1230" s="4">
        <f t="shared" si="695"/>
        <v>0</v>
      </c>
      <c r="BY1230" s="4">
        <f t="shared" si="696"/>
        <v>0</v>
      </c>
      <c r="BZ1230" s="37">
        <f t="shared" si="697"/>
        <v>90</v>
      </c>
      <c r="CA1230" s="32" t="str">
        <f>VLOOKUP(J:J,'Agent wise'!A:C,3,0)</f>
        <v>Amal</v>
      </c>
      <c r="CB1230" s="32">
        <f t="shared" si="699"/>
        <v>45951</v>
      </c>
      <c r="CC1230" t="str">
        <f t="shared" si="698"/>
        <v>Good</v>
      </c>
      <c r="CE1230" s="32"/>
      <c r="CJ1230">
        <f t="shared" si="700"/>
        <v>21</v>
      </c>
      <c r="CK1230">
        <f t="shared" si="701"/>
        <v>10</v>
      </c>
      <c r="CL1230">
        <f t="shared" si="702"/>
        <v>2025</v>
      </c>
    </row>
    <row r="1231" spans="1:90" ht="15" customHeight="1" x14ac:dyDescent="0.35">
      <c r="A1231" t="s">
        <v>3026</v>
      </c>
      <c r="B1231" t="s">
        <v>698</v>
      </c>
      <c r="C1231" t="s">
        <v>214</v>
      </c>
      <c r="D1231" t="s">
        <v>221</v>
      </c>
      <c r="E1231" s="32">
        <v>45951</v>
      </c>
      <c r="F1231" t="s">
        <v>222</v>
      </c>
      <c r="G1231" t="s">
        <v>2915</v>
      </c>
      <c r="H1231">
        <v>9188021440</v>
      </c>
      <c r="I1231">
        <v>146</v>
      </c>
      <c r="J1231" t="s">
        <v>568</v>
      </c>
      <c r="K1231" t="s">
        <v>57</v>
      </c>
      <c r="L1231" t="s">
        <v>58</v>
      </c>
      <c r="M1231" t="s">
        <v>59</v>
      </c>
      <c r="N1231" t="s">
        <v>59</v>
      </c>
      <c r="O1231" t="s">
        <v>59</v>
      </c>
      <c r="P1231" t="s">
        <v>59</v>
      </c>
      <c r="Q1231" t="s">
        <v>59</v>
      </c>
      <c r="R1231" t="s">
        <v>59</v>
      </c>
      <c r="S1231" t="s">
        <v>59</v>
      </c>
      <c r="T1231" t="s">
        <v>59</v>
      </c>
      <c r="U1231" t="s">
        <v>59</v>
      </c>
      <c r="V1231" t="s">
        <v>59</v>
      </c>
      <c r="W1231" t="s">
        <v>59</v>
      </c>
      <c r="X1231" t="s">
        <v>59</v>
      </c>
      <c r="Y1231" t="s">
        <v>59</v>
      </c>
      <c r="Z1231" t="s">
        <v>59</v>
      </c>
      <c r="AA1231" t="s">
        <v>59</v>
      </c>
      <c r="AB1231" t="s">
        <v>59</v>
      </c>
      <c r="AC1231" t="s">
        <v>59</v>
      </c>
      <c r="AD1231" t="s">
        <v>59</v>
      </c>
      <c r="AE1231" t="s">
        <v>59</v>
      </c>
      <c r="AF1231" t="s">
        <v>59</v>
      </c>
      <c r="AG1231" t="s">
        <v>59</v>
      </c>
      <c r="AH1231" t="s">
        <v>61</v>
      </c>
      <c r="AI1231" t="s">
        <v>61</v>
      </c>
      <c r="AJ1231" t="s">
        <v>59</v>
      </c>
      <c r="AK1231" t="s">
        <v>59</v>
      </c>
      <c r="AL1231" t="s">
        <v>60</v>
      </c>
      <c r="AM1231" t="s">
        <v>59</v>
      </c>
      <c r="AN1231" t="s">
        <v>59</v>
      </c>
      <c r="AO1231" t="s">
        <v>59</v>
      </c>
      <c r="AP1231" t="s">
        <v>37</v>
      </c>
      <c r="AQ1231" s="1" t="s">
        <v>3027</v>
      </c>
      <c r="AR1231" t="s">
        <v>226</v>
      </c>
      <c r="AS1231" t="s">
        <v>1292</v>
      </c>
      <c r="AT1231" t="s">
        <v>1292</v>
      </c>
      <c r="AU1231" t="s">
        <v>219</v>
      </c>
      <c r="AW1231" s="4">
        <f t="shared" si="668"/>
        <v>6</v>
      </c>
      <c r="AX1231" s="4">
        <f t="shared" si="669"/>
        <v>4</v>
      </c>
      <c r="AY1231" s="4">
        <f t="shared" si="670"/>
        <v>4</v>
      </c>
      <c r="AZ1231" s="4">
        <f t="shared" si="671"/>
        <v>2</v>
      </c>
      <c r="BA1231" s="4">
        <f t="shared" si="672"/>
        <v>4</v>
      </c>
      <c r="BB1231" s="4">
        <f t="shared" si="673"/>
        <v>4</v>
      </c>
      <c r="BC1231" s="4">
        <f t="shared" si="674"/>
        <v>4</v>
      </c>
      <c r="BD1231" s="4">
        <f t="shared" si="675"/>
        <v>2</v>
      </c>
      <c r="BE1231" s="4">
        <f t="shared" si="676"/>
        <v>4</v>
      </c>
      <c r="BF1231" s="4">
        <f t="shared" si="677"/>
        <v>2</v>
      </c>
      <c r="BG1231" s="4">
        <f t="shared" si="678"/>
        <v>4</v>
      </c>
      <c r="BH1231" s="4">
        <f t="shared" si="679"/>
        <v>4</v>
      </c>
      <c r="BI1231" s="4">
        <f t="shared" si="680"/>
        <v>4</v>
      </c>
      <c r="BJ1231" s="4">
        <f t="shared" si="681"/>
        <v>2</v>
      </c>
      <c r="BK1231" s="4">
        <f t="shared" si="682"/>
        <v>4</v>
      </c>
      <c r="BL1231" s="4">
        <f t="shared" si="683"/>
        <v>2</v>
      </c>
      <c r="BM1231" s="4">
        <f t="shared" si="684"/>
        <v>4</v>
      </c>
      <c r="BN1231" s="4">
        <f t="shared" si="685"/>
        <v>4</v>
      </c>
      <c r="BO1231" s="4">
        <f t="shared" si="686"/>
        <v>4</v>
      </c>
      <c r="BP1231" s="4">
        <f t="shared" si="687"/>
        <v>4</v>
      </c>
      <c r="BQ1231" s="4">
        <f t="shared" si="688"/>
        <v>6</v>
      </c>
      <c r="BR1231" s="4">
        <f t="shared" si="689"/>
        <v>4</v>
      </c>
      <c r="BS1231" s="4">
        <f t="shared" si="690"/>
        <v>4</v>
      </c>
      <c r="BT1231" s="4">
        <f t="shared" si="691"/>
        <v>4</v>
      </c>
      <c r="BU1231" s="4">
        <f t="shared" si="692"/>
        <v>4</v>
      </c>
      <c r="BV1231" s="4" t="str">
        <f t="shared" si="693"/>
        <v>0</v>
      </c>
      <c r="BW1231" s="4">
        <f t="shared" si="694"/>
        <v>6</v>
      </c>
      <c r="BX1231" s="4">
        <f t="shared" si="695"/>
        <v>0</v>
      </c>
      <c r="BY1231" s="4">
        <f t="shared" si="696"/>
        <v>0</v>
      </c>
      <c r="BZ1231" s="37">
        <f t="shared" si="697"/>
        <v>100</v>
      </c>
      <c r="CA1231" s="32" t="str">
        <f>VLOOKUP(J:J,'Agent wise'!A:C,3,0)</f>
        <v>Amal</v>
      </c>
      <c r="CB1231" s="32">
        <f t="shared" si="699"/>
        <v>45951</v>
      </c>
      <c r="CC1231" t="str">
        <f t="shared" si="698"/>
        <v>Excellent</v>
      </c>
      <c r="CE1231" s="32"/>
      <c r="CJ1231">
        <f t="shared" si="700"/>
        <v>21</v>
      </c>
      <c r="CK1231">
        <f t="shared" si="701"/>
        <v>10</v>
      </c>
      <c r="CL1231">
        <f t="shared" si="702"/>
        <v>2025</v>
      </c>
    </row>
    <row r="1232" spans="1:90" ht="15" customHeight="1" x14ac:dyDescent="0.35">
      <c r="A1232" t="s">
        <v>3028</v>
      </c>
      <c r="B1232" t="s">
        <v>698</v>
      </c>
      <c r="C1232" t="s">
        <v>214</v>
      </c>
      <c r="D1232" t="s">
        <v>221</v>
      </c>
      <c r="E1232" s="32">
        <v>45951</v>
      </c>
      <c r="F1232" t="s">
        <v>222</v>
      </c>
      <c r="G1232" t="s">
        <v>2915</v>
      </c>
      <c r="H1232">
        <v>9995695196</v>
      </c>
      <c r="I1232">
        <v>152</v>
      </c>
      <c r="J1232" t="s">
        <v>409</v>
      </c>
      <c r="K1232" t="s">
        <v>57</v>
      </c>
      <c r="L1232" t="s">
        <v>58</v>
      </c>
      <c r="M1232" t="s">
        <v>59</v>
      </c>
      <c r="N1232" t="s">
        <v>59</v>
      </c>
      <c r="O1232" t="s">
        <v>59</v>
      </c>
      <c r="P1232" t="s">
        <v>59</v>
      </c>
      <c r="Q1232" t="s">
        <v>59</v>
      </c>
      <c r="R1232" t="s">
        <v>59</v>
      </c>
      <c r="S1232" t="s">
        <v>59</v>
      </c>
      <c r="T1232" t="s">
        <v>59</v>
      </c>
      <c r="U1232" t="s">
        <v>59</v>
      </c>
      <c r="V1232" t="s">
        <v>59</v>
      </c>
      <c r="W1232" t="s">
        <v>59</v>
      </c>
      <c r="X1232" t="s">
        <v>59</v>
      </c>
      <c r="Y1232" t="s">
        <v>59</v>
      </c>
      <c r="Z1232" t="s">
        <v>59</v>
      </c>
      <c r="AA1232" t="s">
        <v>59</v>
      </c>
      <c r="AB1232" t="s">
        <v>59</v>
      </c>
      <c r="AC1232" t="s">
        <v>59</v>
      </c>
      <c r="AD1232" t="s">
        <v>59</v>
      </c>
      <c r="AE1232" t="s">
        <v>59</v>
      </c>
      <c r="AF1232" t="s">
        <v>59</v>
      </c>
      <c r="AG1232" t="s">
        <v>59</v>
      </c>
      <c r="AH1232" t="s">
        <v>61</v>
      </c>
      <c r="AI1232" t="s">
        <v>60</v>
      </c>
      <c r="AJ1232" t="s">
        <v>59</v>
      </c>
      <c r="AK1232" t="s">
        <v>59</v>
      </c>
      <c r="AL1232" t="s">
        <v>59</v>
      </c>
      <c r="AM1232" t="s">
        <v>59</v>
      </c>
      <c r="AN1232" t="s">
        <v>59</v>
      </c>
      <c r="AO1232" t="s">
        <v>59</v>
      </c>
      <c r="AP1232" t="s">
        <v>704</v>
      </c>
      <c r="AQ1232" t="s">
        <v>1182</v>
      </c>
      <c r="AR1232" t="s">
        <v>226</v>
      </c>
      <c r="AS1232" t="s">
        <v>230</v>
      </c>
      <c r="AT1232" t="s">
        <v>230</v>
      </c>
      <c r="AU1232" t="s">
        <v>219</v>
      </c>
      <c r="AW1232" s="4">
        <f t="shared" si="668"/>
        <v>6</v>
      </c>
      <c r="AX1232" s="4">
        <f t="shared" si="669"/>
        <v>4</v>
      </c>
      <c r="AY1232" s="4">
        <f t="shared" si="670"/>
        <v>4</v>
      </c>
      <c r="AZ1232" s="4">
        <f t="shared" si="671"/>
        <v>2</v>
      </c>
      <c r="BA1232" s="4">
        <f t="shared" si="672"/>
        <v>4</v>
      </c>
      <c r="BB1232" s="4">
        <f t="shared" si="673"/>
        <v>4</v>
      </c>
      <c r="BC1232" s="4">
        <f t="shared" si="674"/>
        <v>4</v>
      </c>
      <c r="BD1232" s="4">
        <f t="shared" si="675"/>
        <v>2</v>
      </c>
      <c r="BE1232" s="4">
        <f t="shared" si="676"/>
        <v>4</v>
      </c>
      <c r="BF1232" s="4">
        <f t="shared" si="677"/>
        <v>2</v>
      </c>
      <c r="BG1232" s="4">
        <f t="shared" si="678"/>
        <v>4</v>
      </c>
      <c r="BH1232" s="4">
        <f t="shared" si="679"/>
        <v>4</v>
      </c>
      <c r="BI1232" s="4">
        <f t="shared" si="680"/>
        <v>4</v>
      </c>
      <c r="BJ1232" s="4">
        <f t="shared" si="681"/>
        <v>2</v>
      </c>
      <c r="BK1232" s="4">
        <f t="shared" si="682"/>
        <v>4</v>
      </c>
      <c r="BL1232" s="4">
        <f t="shared" si="683"/>
        <v>2</v>
      </c>
      <c r="BM1232" s="4">
        <f t="shared" si="684"/>
        <v>4</v>
      </c>
      <c r="BN1232" s="4">
        <f t="shared" si="685"/>
        <v>4</v>
      </c>
      <c r="BO1232" s="4">
        <f t="shared" si="686"/>
        <v>4</v>
      </c>
      <c r="BP1232" s="4">
        <f t="shared" si="687"/>
        <v>4</v>
      </c>
      <c r="BQ1232" s="4">
        <f t="shared" si="688"/>
        <v>6</v>
      </c>
      <c r="BR1232" s="4">
        <f t="shared" si="689"/>
        <v>4</v>
      </c>
      <c r="BS1232" s="4" t="str">
        <f t="shared" si="690"/>
        <v>0</v>
      </c>
      <c r="BT1232" s="4">
        <f t="shared" si="691"/>
        <v>4</v>
      </c>
      <c r="BU1232" s="4">
        <f t="shared" si="692"/>
        <v>4</v>
      </c>
      <c r="BV1232" s="4">
        <f t="shared" si="693"/>
        <v>0</v>
      </c>
      <c r="BW1232" s="4">
        <f t="shared" si="694"/>
        <v>6</v>
      </c>
      <c r="BX1232" s="4">
        <f t="shared" si="695"/>
        <v>0</v>
      </c>
      <c r="BY1232" s="4">
        <f t="shared" si="696"/>
        <v>0</v>
      </c>
      <c r="BZ1232" s="37">
        <f t="shared" si="697"/>
        <v>96</v>
      </c>
      <c r="CA1232" s="32" t="str">
        <f>VLOOKUP(J:J,'Agent wise'!A:C,3,0)</f>
        <v>Amal</v>
      </c>
      <c r="CB1232" s="32">
        <f t="shared" si="699"/>
        <v>45951</v>
      </c>
      <c r="CC1232" t="str">
        <f t="shared" si="698"/>
        <v>Excellent</v>
      </c>
      <c r="CE1232" s="32"/>
      <c r="CJ1232">
        <f t="shared" si="700"/>
        <v>21</v>
      </c>
      <c r="CK1232">
        <f t="shared" si="701"/>
        <v>10</v>
      </c>
      <c r="CL1232">
        <f t="shared" si="702"/>
        <v>2025</v>
      </c>
    </row>
    <row r="1233" spans="1:90" ht="15" customHeight="1" x14ac:dyDescent="0.35">
      <c r="A1233" t="s">
        <v>3029</v>
      </c>
      <c r="B1233" t="s">
        <v>250</v>
      </c>
      <c r="C1233" t="s">
        <v>214</v>
      </c>
      <c r="D1233" t="s">
        <v>251</v>
      </c>
      <c r="E1233" s="32">
        <v>45951</v>
      </c>
      <c r="F1233" t="s">
        <v>54</v>
      </c>
      <c r="G1233" t="s">
        <v>2811</v>
      </c>
      <c r="H1233">
        <v>8086702198</v>
      </c>
      <c r="I1233">
        <v>188</v>
      </c>
      <c r="J1233" t="s">
        <v>56</v>
      </c>
      <c r="K1233" t="s">
        <v>57</v>
      </c>
      <c r="L1233" t="s">
        <v>58</v>
      </c>
      <c r="M1233" t="s">
        <v>59</v>
      </c>
      <c r="N1233" t="s">
        <v>59</v>
      </c>
      <c r="O1233" t="s">
        <v>59</v>
      </c>
      <c r="P1233" t="s">
        <v>59</v>
      </c>
      <c r="Q1233" t="s">
        <v>59</v>
      </c>
      <c r="R1233" t="s">
        <v>59</v>
      </c>
      <c r="S1233" t="s">
        <v>59</v>
      </c>
      <c r="T1233" t="s">
        <v>59</v>
      </c>
      <c r="U1233" t="s">
        <v>60</v>
      </c>
      <c r="V1233" t="s">
        <v>59</v>
      </c>
      <c r="W1233" t="s">
        <v>59</v>
      </c>
      <c r="X1233" t="s">
        <v>59</v>
      </c>
      <c r="Y1233" t="s">
        <v>60</v>
      </c>
      <c r="Z1233" t="s">
        <v>60</v>
      </c>
      <c r="AA1233" t="s">
        <v>59</v>
      </c>
      <c r="AB1233" t="s">
        <v>59</v>
      </c>
      <c r="AC1233" t="s">
        <v>59</v>
      </c>
      <c r="AD1233" t="s">
        <v>60</v>
      </c>
      <c r="AE1233" t="s">
        <v>59</v>
      </c>
      <c r="AF1233" t="s">
        <v>59</v>
      </c>
      <c r="AG1233" t="s">
        <v>59</v>
      </c>
      <c r="AH1233" t="s">
        <v>61</v>
      </c>
      <c r="AI1233" t="s">
        <v>61</v>
      </c>
      <c r="AJ1233" t="s">
        <v>59</v>
      </c>
      <c r="AK1233" t="s">
        <v>59</v>
      </c>
      <c r="AL1233" t="s">
        <v>60</v>
      </c>
      <c r="AM1233" t="s">
        <v>59</v>
      </c>
      <c r="AN1233" t="s">
        <v>59</v>
      </c>
      <c r="AO1233" t="s">
        <v>59</v>
      </c>
      <c r="AP1233" t="s">
        <v>3030</v>
      </c>
      <c r="AQ1233" t="s">
        <v>3031</v>
      </c>
      <c r="AR1233" t="s">
        <v>226</v>
      </c>
      <c r="AS1233" t="s">
        <v>3032</v>
      </c>
      <c r="AT1233" t="s">
        <v>771</v>
      </c>
      <c r="AU1233" t="s">
        <v>3033</v>
      </c>
      <c r="AW1233" s="4">
        <f t="shared" si="668"/>
        <v>6</v>
      </c>
      <c r="AX1233" s="4">
        <f t="shared" si="669"/>
        <v>4</v>
      </c>
      <c r="AY1233" s="4">
        <f t="shared" si="670"/>
        <v>4</v>
      </c>
      <c r="AZ1233" s="4">
        <f t="shared" si="671"/>
        <v>2</v>
      </c>
      <c r="BA1233" s="4">
        <f t="shared" si="672"/>
        <v>4</v>
      </c>
      <c r="BB1233" s="4">
        <f t="shared" si="673"/>
        <v>4</v>
      </c>
      <c r="BC1233" s="4">
        <f t="shared" si="674"/>
        <v>4</v>
      </c>
      <c r="BD1233" s="4">
        <f t="shared" si="675"/>
        <v>2</v>
      </c>
      <c r="BE1233" s="4" t="str">
        <f t="shared" si="676"/>
        <v>0</v>
      </c>
      <c r="BF1233" s="4">
        <f t="shared" si="677"/>
        <v>2</v>
      </c>
      <c r="BG1233" s="4">
        <f t="shared" si="678"/>
        <v>4</v>
      </c>
      <c r="BH1233" s="4">
        <f t="shared" si="679"/>
        <v>4</v>
      </c>
      <c r="BI1233" s="4" t="str">
        <f t="shared" si="680"/>
        <v>0</v>
      </c>
      <c r="BJ1233" s="4" t="str">
        <f t="shared" si="681"/>
        <v>0</v>
      </c>
      <c r="BK1233" s="4">
        <f t="shared" si="682"/>
        <v>4</v>
      </c>
      <c r="BL1233" s="4">
        <f t="shared" si="683"/>
        <v>2</v>
      </c>
      <c r="BM1233" s="4">
        <f t="shared" si="684"/>
        <v>4</v>
      </c>
      <c r="BN1233" s="4" t="str">
        <f t="shared" si="685"/>
        <v>0</v>
      </c>
      <c r="BO1233" s="4">
        <f t="shared" si="686"/>
        <v>4</v>
      </c>
      <c r="BP1233" s="4">
        <f t="shared" si="687"/>
        <v>4</v>
      </c>
      <c r="BQ1233" s="4">
        <f t="shared" si="688"/>
        <v>6</v>
      </c>
      <c r="BR1233" s="4">
        <f t="shared" si="689"/>
        <v>4</v>
      </c>
      <c r="BS1233" s="4">
        <f t="shared" si="690"/>
        <v>4</v>
      </c>
      <c r="BT1233" s="4">
        <f t="shared" si="691"/>
        <v>4</v>
      </c>
      <c r="BU1233" s="4">
        <f t="shared" si="692"/>
        <v>4</v>
      </c>
      <c r="BV1233" s="4" t="str">
        <f t="shared" si="693"/>
        <v>0</v>
      </c>
      <c r="BW1233" s="4">
        <f t="shared" si="694"/>
        <v>6</v>
      </c>
      <c r="BX1233" s="4">
        <f t="shared" si="695"/>
        <v>0</v>
      </c>
      <c r="BY1233" s="4">
        <f t="shared" si="696"/>
        <v>0</v>
      </c>
      <c r="BZ1233" s="37">
        <f t="shared" si="697"/>
        <v>86</v>
      </c>
      <c r="CA1233" s="32" t="str">
        <f>VLOOKUP(J:J,'Agent wise'!A:C,3,0)</f>
        <v>Saran S</v>
      </c>
      <c r="CB1233" s="32">
        <f t="shared" si="699"/>
        <v>45951</v>
      </c>
      <c r="CC1233" t="str">
        <f t="shared" si="698"/>
        <v>Average</v>
      </c>
      <c r="CE1233" s="32"/>
      <c r="CJ1233">
        <f t="shared" si="700"/>
        <v>21</v>
      </c>
      <c r="CK1233">
        <f t="shared" si="701"/>
        <v>10</v>
      </c>
      <c r="CL1233">
        <f t="shared" si="702"/>
        <v>2025</v>
      </c>
    </row>
    <row r="1234" spans="1:90" ht="15" customHeight="1" x14ac:dyDescent="0.35">
      <c r="A1234" t="s">
        <v>3034</v>
      </c>
      <c r="B1234" t="s">
        <v>106</v>
      </c>
      <c r="C1234" t="s">
        <v>214</v>
      </c>
      <c r="D1234" t="s">
        <v>107</v>
      </c>
      <c r="E1234" s="32">
        <v>45951</v>
      </c>
      <c r="F1234" t="s">
        <v>54</v>
      </c>
      <c r="G1234" t="s">
        <v>2915</v>
      </c>
      <c r="H1234">
        <v>9003875733</v>
      </c>
      <c r="I1234">
        <v>273</v>
      </c>
      <c r="J1234" t="s">
        <v>274</v>
      </c>
      <c r="K1234" t="s">
        <v>71</v>
      </c>
      <c r="L1234" t="s">
        <v>72</v>
      </c>
      <c r="M1234" t="s">
        <v>59</v>
      </c>
      <c r="N1234" t="s">
        <v>59</v>
      </c>
      <c r="O1234" t="s">
        <v>59</v>
      </c>
      <c r="P1234" t="s">
        <v>59</v>
      </c>
      <c r="Q1234" t="s">
        <v>59</v>
      </c>
      <c r="R1234" t="s">
        <v>59</v>
      </c>
      <c r="S1234" t="s">
        <v>59</v>
      </c>
      <c r="T1234" t="s">
        <v>59</v>
      </c>
      <c r="U1234" t="s">
        <v>60</v>
      </c>
      <c r="V1234" t="s">
        <v>59</v>
      </c>
      <c r="W1234" t="s">
        <v>59</v>
      </c>
      <c r="X1234" t="s">
        <v>61</v>
      </c>
      <c r="Y1234" t="s">
        <v>59</v>
      </c>
      <c r="Z1234" t="s">
        <v>60</v>
      </c>
      <c r="AA1234" t="s">
        <v>59</v>
      </c>
      <c r="AB1234" t="s">
        <v>59</v>
      </c>
      <c r="AC1234" t="s">
        <v>61</v>
      </c>
      <c r="AD1234" t="s">
        <v>61</v>
      </c>
      <c r="AE1234" t="s">
        <v>60</v>
      </c>
      <c r="AF1234" t="s">
        <v>61</v>
      </c>
      <c r="AG1234" t="s">
        <v>59</v>
      </c>
      <c r="AH1234" t="s">
        <v>61</v>
      </c>
      <c r="AI1234" t="s">
        <v>59</v>
      </c>
      <c r="AJ1234" t="s">
        <v>59</v>
      </c>
      <c r="AK1234" t="s">
        <v>59</v>
      </c>
      <c r="AL1234" t="s">
        <v>60</v>
      </c>
      <c r="AM1234" t="s">
        <v>59</v>
      </c>
      <c r="AN1234" t="s">
        <v>59</v>
      </c>
      <c r="AO1234" t="s">
        <v>59</v>
      </c>
      <c r="AP1234" t="s">
        <v>3035</v>
      </c>
      <c r="AQ1234" t="s">
        <v>379</v>
      </c>
      <c r="AR1234" t="s">
        <v>64</v>
      </c>
      <c r="AS1234" t="s">
        <v>122</v>
      </c>
      <c r="AT1234" t="s">
        <v>380</v>
      </c>
      <c r="AU1234" t="s">
        <v>387</v>
      </c>
      <c r="AW1234" s="4">
        <f t="shared" si="668"/>
        <v>6</v>
      </c>
      <c r="AX1234" s="4">
        <f t="shared" si="669"/>
        <v>4</v>
      </c>
      <c r="AY1234" s="4">
        <f t="shared" si="670"/>
        <v>4</v>
      </c>
      <c r="AZ1234" s="4">
        <f t="shared" si="671"/>
        <v>2</v>
      </c>
      <c r="BA1234" s="4">
        <f t="shared" si="672"/>
        <v>4</v>
      </c>
      <c r="BB1234" s="4">
        <f t="shared" si="673"/>
        <v>4</v>
      </c>
      <c r="BC1234" s="4">
        <f t="shared" si="674"/>
        <v>4</v>
      </c>
      <c r="BD1234" s="4">
        <f t="shared" si="675"/>
        <v>2</v>
      </c>
      <c r="BE1234" s="4" t="str">
        <f t="shared" si="676"/>
        <v>0</v>
      </c>
      <c r="BF1234" s="4">
        <f t="shared" si="677"/>
        <v>2</v>
      </c>
      <c r="BG1234" s="4">
        <f t="shared" si="678"/>
        <v>4</v>
      </c>
      <c r="BH1234" s="4">
        <f t="shared" si="679"/>
        <v>4</v>
      </c>
      <c r="BI1234" s="4">
        <f t="shared" si="680"/>
        <v>4</v>
      </c>
      <c r="BJ1234" s="4" t="str">
        <f t="shared" si="681"/>
        <v>0</v>
      </c>
      <c r="BK1234" s="4">
        <f t="shared" si="682"/>
        <v>4</v>
      </c>
      <c r="BL1234" s="4">
        <f t="shared" si="683"/>
        <v>2</v>
      </c>
      <c r="BM1234" s="4">
        <f t="shared" si="684"/>
        <v>4</v>
      </c>
      <c r="BN1234" s="4">
        <f t="shared" si="685"/>
        <v>4</v>
      </c>
      <c r="BO1234" s="4" t="str">
        <f t="shared" si="686"/>
        <v>0</v>
      </c>
      <c r="BP1234" s="4">
        <f t="shared" si="687"/>
        <v>4</v>
      </c>
      <c r="BQ1234" s="4">
        <f t="shared" si="688"/>
        <v>6</v>
      </c>
      <c r="BR1234" s="4">
        <f t="shared" si="689"/>
        <v>4</v>
      </c>
      <c r="BS1234" s="4">
        <f t="shared" si="690"/>
        <v>4</v>
      </c>
      <c r="BT1234" s="4">
        <f t="shared" si="691"/>
        <v>4</v>
      </c>
      <c r="BU1234" s="4">
        <f t="shared" si="692"/>
        <v>4</v>
      </c>
      <c r="BV1234" s="4" t="str">
        <f t="shared" si="693"/>
        <v>0</v>
      </c>
      <c r="BW1234" s="4">
        <f t="shared" si="694"/>
        <v>6</v>
      </c>
      <c r="BX1234" s="4">
        <f t="shared" si="695"/>
        <v>0</v>
      </c>
      <c r="BY1234" s="4">
        <f t="shared" si="696"/>
        <v>0</v>
      </c>
      <c r="BZ1234" s="37">
        <f t="shared" si="697"/>
        <v>90</v>
      </c>
      <c r="CA1234" s="32" t="str">
        <f>VLOOKUP(J:J,'Agent wise'!A:C,3,0)</f>
        <v>Shakeer</v>
      </c>
      <c r="CB1234" s="32">
        <f t="shared" si="699"/>
        <v>45951</v>
      </c>
      <c r="CC1234" t="str">
        <f t="shared" si="698"/>
        <v>Good</v>
      </c>
      <c r="CE1234" s="32"/>
      <c r="CJ1234">
        <f t="shared" si="700"/>
        <v>21</v>
      </c>
      <c r="CK1234">
        <f t="shared" si="701"/>
        <v>10</v>
      </c>
      <c r="CL1234">
        <f t="shared" si="702"/>
        <v>2025</v>
      </c>
    </row>
    <row r="1235" spans="1:90" ht="15" customHeight="1" x14ac:dyDescent="0.35">
      <c r="A1235" t="s">
        <v>3036</v>
      </c>
      <c r="B1235" t="s">
        <v>250</v>
      </c>
      <c r="C1235" t="s">
        <v>214</v>
      </c>
      <c r="D1235" t="s">
        <v>251</v>
      </c>
      <c r="E1235" s="32">
        <v>45951</v>
      </c>
      <c r="F1235" t="s">
        <v>54</v>
      </c>
      <c r="G1235" t="s">
        <v>2811</v>
      </c>
      <c r="H1235">
        <v>9444984114</v>
      </c>
      <c r="I1235">
        <v>192</v>
      </c>
      <c r="J1235" t="s">
        <v>466</v>
      </c>
      <c r="K1235" t="s">
        <v>71</v>
      </c>
      <c r="L1235" t="s">
        <v>72</v>
      </c>
      <c r="M1235" t="s">
        <v>59</v>
      </c>
      <c r="N1235" t="s">
        <v>59</v>
      </c>
      <c r="O1235" t="s">
        <v>59</v>
      </c>
      <c r="P1235" t="s">
        <v>59</v>
      </c>
      <c r="Q1235" t="s">
        <v>59</v>
      </c>
      <c r="R1235" t="s">
        <v>59</v>
      </c>
      <c r="S1235" t="s">
        <v>59</v>
      </c>
      <c r="T1235" t="s">
        <v>59</v>
      </c>
      <c r="U1235" t="s">
        <v>60</v>
      </c>
      <c r="V1235" t="s">
        <v>59</v>
      </c>
      <c r="W1235" t="s">
        <v>59</v>
      </c>
      <c r="X1235" t="s">
        <v>59</v>
      </c>
      <c r="Y1235" t="s">
        <v>59</v>
      </c>
      <c r="Z1235" t="s">
        <v>60</v>
      </c>
      <c r="AA1235" t="s">
        <v>59</v>
      </c>
      <c r="AB1235" t="s">
        <v>59</v>
      </c>
      <c r="AC1235" t="s">
        <v>59</v>
      </c>
      <c r="AD1235" t="s">
        <v>59</v>
      </c>
      <c r="AE1235" t="s">
        <v>60</v>
      </c>
      <c r="AF1235" t="s">
        <v>59</v>
      </c>
      <c r="AG1235" t="s">
        <v>59</v>
      </c>
      <c r="AH1235" t="s">
        <v>61</v>
      </c>
      <c r="AI1235" t="s">
        <v>61</v>
      </c>
      <c r="AJ1235" t="s">
        <v>59</v>
      </c>
      <c r="AK1235" t="s">
        <v>59</v>
      </c>
      <c r="AL1235" t="s">
        <v>60</v>
      </c>
      <c r="AM1235" t="s">
        <v>59</v>
      </c>
      <c r="AN1235" t="s">
        <v>59</v>
      </c>
      <c r="AO1235" t="s">
        <v>59</v>
      </c>
      <c r="AP1235" s="1" t="s">
        <v>3037</v>
      </c>
      <c r="AQ1235" t="s">
        <v>3038</v>
      </c>
      <c r="AR1235" t="s">
        <v>64</v>
      </c>
      <c r="AS1235" t="s">
        <v>3039</v>
      </c>
      <c r="AT1235" t="s">
        <v>771</v>
      </c>
      <c r="AU1235" t="s">
        <v>387</v>
      </c>
      <c r="AW1235" s="4">
        <f t="shared" si="668"/>
        <v>6</v>
      </c>
      <c r="AX1235" s="4">
        <f t="shared" si="669"/>
        <v>4</v>
      </c>
      <c r="AY1235" s="4">
        <f t="shared" si="670"/>
        <v>4</v>
      </c>
      <c r="AZ1235" s="4">
        <f t="shared" si="671"/>
        <v>2</v>
      </c>
      <c r="BA1235" s="4">
        <f t="shared" si="672"/>
        <v>4</v>
      </c>
      <c r="BB1235" s="4">
        <f t="shared" si="673"/>
        <v>4</v>
      </c>
      <c r="BC1235" s="4">
        <f t="shared" si="674"/>
        <v>4</v>
      </c>
      <c r="BD1235" s="4">
        <f t="shared" si="675"/>
        <v>2</v>
      </c>
      <c r="BE1235" s="4" t="str">
        <f t="shared" si="676"/>
        <v>0</v>
      </c>
      <c r="BF1235" s="4">
        <f t="shared" si="677"/>
        <v>2</v>
      </c>
      <c r="BG1235" s="4">
        <f t="shared" si="678"/>
        <v>4</v>
      </c>
      <c r="BH1235" s="4">
        <f t="shared" si="679"/>
        <v>4</v>
      </c>
      <c r="BI1235" s="4">
        <f t="shared" si="680"/>
        <v>4</v>
      </c>
      <c r="BJ1235" s="4" t="str">
        <f t="shared" si="681"/>
        <v>0</v>
      </c>
      <c r="BK1235" s="4">
        <f t="shared" si="682"/>
        <v>4</v>
      </c>
      <c r="BL1235" s="4">
        <f t="shared" si="683"/>
        <v>2</v>
      </c>
      <c r="BM1235" s="4">
        <f t="shared" si="684"/>
        <v>4</v>
      </c>
      <c r="BN1235" s="4">
        <f t="shared" si="685"/>
        <v>4</v>
      </c>
      <c r="BO1235" s="4" t="str">
        <f t="shared" si="686"/>
        <v>0</v>
      </c>
      <c r="BP1235" s="4">
        <f t="shared" si="687"/>
        <v>4</v>
      </c>
      <c r="BQ1235" s="4">
        <f t="shared" si="688"/>
        <v>6</v>
      </c>
      <c r="BR1235" s="4">
        <f t="shared" si="689"/>
        <v>4</v>
      </c>
      <c r="BS1235" s="4">
        <f t="shared" si="690"/>
        <v>4</v>
      </c>
      <c r="BT1235" s="4">
        <f t="shared" si="691"/>
        <v>4</v>
      </c>
      <c r="BU1235" s="4">
        <f t="shared" si="692"/>
        <v>4</v>
      </c>
      <c r="BV1235" s="4" t="str">
        <f t="shared" si="693"/>
        <v>0</v>
      </c>
      <c r="BW1235" s="4">
        <f t="shared" si="694"/>
        <v>6</v>
      </c>
      <c r="BX1235" s="4">
        <f t="shared" si="695"/>
        <v>0</v>
      </c>
      <c r="BY1235" s="4">
        <f t="shared" si="696"/>
        <v>0</v>
      </c>
      <c r="BZ1235" s="37">
        <f t="shared" si="697"/>
        <v>90</v>
      </c>
      <c r="CA1235" s="32" t="str">
        <f>VLOOKUP(J:J,'Agent wise'!A:C,3,0)</f>
        <v>Adharsh</v>
      </c>
      <c r="CB1235" s="32">
        <f t="shared" si="699"/>
        <v>45951</v>
      </c>
      <c r="CC1235" t="str">
        <f t="shared" si="698"/>
        <v>Good</v>
      </c>
      <c r="CE1235" s="32"/>
      <c r="CJ1235">
        <f t="shared" si="700"/>
        <v>21</v>
      </c>
      <c r="CK1235">
        <f t="shared" si="701"/>
        <v>10</v>
      </c>
      <c r="CL1235">
        <f t="shared" si="702"/>
        <v>2025</v>
      </c>
    </row>
    <row r="1236" spans="1:90" ht="15" customHeight="1" x14ac:dyDescent="0.35">
      <c r="A1236" t="s">
        <v>3040</v>
      </c>
      <c r="B1236" t="s">
        <v>106</v>
      </c>
      <c r="C1236" t="s">
        <v>214</v>
      </c>
      <c r="D1236" t="s">
        <v>107</v>
      </c>
      <c r="E1236" s="32">
        <v>45951</v>
      </c>
      <c r="F1236" t="s">
        <v>54</v>
      </c>
      <c r="G1236" t="s">
        <v>2915</v>
      </c>
      <c r="H1236">
        <v>8547132656</v>
      </c>
      <c r="I1236">
        <v>149</v>
      </c>
      <c r="J1236" t="s">
        <v>586</v>
      </c>
      <c r="K1236" t="s">
        <v>57</v>
      </c>
      <c r="L1236" t="s">
        <v>58</v>
      </c>
      <c r="M1236" t="s">
        <v>59</v>
      </c>
      <c r="N1236" t="s">
        <v>59</v>
      </c>
      <c r="O1236" t="s">
        <v>59</v>
      </c>
      <c r="P1236" t="s">
        <v>59</v>
      </c>
      <c r="Q1236" t="s">
        <v>59</v>
      </c>
      <c r="R1236" t="s">
        <v>59</v>
      </c>
      <c r="S1236" t="s">
        <v>59</v>
      </c>
      <c r="T1236" t="s">
        <v>59</v>
      </c>
      <c r="U1236" t="s">
        <v>60</v>
      </c>
      <c r="V1236" t="s">
        <v>59</v>
      </c>
      <c r="W1236" t="s">
        <v>59</v>
      </c>
      <c r="X1236" t="s">
        <v>61</v>
      </c>
      <c r="Y1236" t="s">
        <v>59</v>
      </c>
      <c r="Z1236" t="s">
        <v>60</v>
      </c>
      <c r="AA1236" t="s">
        <v>59</v>
      </c>
      <c r="AB1236" t="s">
        <v>59</v>
      </c>
      <c r="AC1236" t="s">
        <v>61</v>
      </c>
      <c r="AD1236" t="s">
        <v>61</v>
      </c>
      <c r="AE1236" t="s">
        <v>59</v>
      </c>
      <c r="AF1236" t="s">
        <v>61</v>
      </c>
      <c r="AG1236" t="s">
        <v>59</v>
      </c>
      <c r="AH1236" t="s">
        <v>61</v>
      </c>
      <c r="AI1236" t="s">
        <v>61</v>
      </c>
      <c r="AJ1236" t="s">
        <v>59</v>
      </c>
      <c r="AK1236" t="s">
        <v>59</v>
      </c>
      <c r="AL1236" t="s">
        <v>60</v>
      </c>
      <c r="AM1236" t="s">
        <v>59</v>
      </c>
      <c r="AN1236" t="s">
        <v>59</v>
      </c>
      <c r="AO1236" t="s">
        <v>59</v>
      </c>
      <c r="AP1236" t="s">
        <v>989</v>
      </c>
      <c r="AQ1236" t="s">
        <v>3041</v>
      </c>
      <c r="AR1236" t="s">
        <v>64</v>
      </c>
      <c r="AS1236" t="s">
        <v>255</v>
      </c>
      <c r="AT1236" t="s">
        <v>256</v>
      </c>
      <c r="AU1236" t="s">
        <v>387</v>
      </c>
      <c r="AW1236" s="4">
        <f t="shared" si="668"/>
        <v>6</v>
      </c>
      <c r="AX1236" s="4">
        <f t="shared" si="669"/>
        <v>4</v>
      </c>
      <c r="AY1236" s="4">
        <f t="shared" si="670"/>
        <v>4</v>
      </c>
      <c r="AZ1236" s="4">
        <f t="shared" si="671"/>
        <v>2</v>
      </c>
      <c r="BA1236" s="4">
        <f t="shared" si="672"/>
        <v>4</v>
      </c>
      <c r="BB1236" s="4">
        <f t="shared" si="673"/>
        <v>4</v>
      </c>
      <c r="BC1236" s="4">
        <f t="shared" si="674"/>
        <v>4</v>
      </c>
      <c r="BD1236" s="4">
        <f t="shared" si="675"/>
        <v>2</v>
      </c>
      <c r="BE1236" s="4" t="str">
        <f t="shared" si="676"/>
        <v>0</v>
      </c>
      <c r="BF1236" s="4">
        <f t="shared" si="677"/>
        <v>2</v>
      </c>
      <c r="BG1236" s="4">
        <f t="shared" si="678"/>
        <v>4</v>
      </c>
      <c r="BH1236" s="4">
        <f t="shared" si="679"/>
        <v>4</v>
      </c>
      <c r="BI1236" s="4">
        <f t="shared" si="680"/>
        <v>4</v>
      </c>
      <c r="BJ1236" s="4" t="str">
        <f t="shared" si="681"/>
        <v>0</v>
      </c>
      <c r="BK1236" s="4">
        <f t="shared" si="682"/>
        <v>4</v>
      </c>
      <c r="BL1236" s="4">
        <f t="shared" si="683"/>
        <v>2</v>
      </c>
      <c r="BM1236" s="4">
        <f t="shared" si="684"/>
        <v>4</v>
      </c>
      <c r="BN1236" s="4">
        <f t="shared" si="685"/>
        <v>4</v>
      </c>
      <c r="BO1236" s="4">
        <f t="shared" si="686"/>
        <v>4</v>
      </c>
      <c r="BP1236" s="4">
        <f t="shared" si="687"/>
        <v>4</v>
      </c>
      <c r="BQ1236" s="4">
        <f t="shared" si="688"/>
        <v>6</v>
      </c>
      <c r="BR1236" s="4">
        <f t="shared" si="689"/>
        <v>4</v>
      </c>
      <c r="BS1236" s="4">
        <f t="shared" si="690"/>
        <v>4</v>
      </c>
      <c r="BT1236" s="4">
        <f t="shared" si="691"/>
        <v>4</v>
      </c>
      <c r="BU1236" s="4">
        <f t="shared" si="692"/>
        <v>4</v>
      </c>
      <c r="BV1236" s="4" t="str">
        <f t="shared" si="693"/>
        <v>0</v>
      </c>
      <c r="BW1236" s="4">
        <f t="shared" si="694"/>
        <v>6</v>
      </c>
      <c r="BX1236" s="4">
        <f t="shared" si="695"/>
        <v>0</v>
      </c>
      <c r="BY1236" s="4">
        <f t="shared" si="696"/>
        <v>0</v>
      </c>
      <c r="BZ1236" s="37">
        <f t="shared" si="697"/>
        <v>94</v>
      </c>
      <c r="CA1236" s="32" t="str">
        <f>VLOOKUP(J:J,'Agent wise'!A:C,3,0)</f>
        <v>Shakeer</v>
      </c>
      <c r="CB1236" s="32">
        <f t="shared" si="699"/>
        <v>45951</v>
      </c>
      <c r="CC1236" t="str">
        <f t="shared" si="698"/>
        <v>Good</v>
      </c>
      <c r="CE1236" s="32"/>
      <c r="CJ1236">
        <f t="shared" si="700"/>
        <v>21</v>
      </c>
      <c r="CK1236">
        <f t="shared" si="701"/>
        <v>10</v>
      </c>
      <c r="CL1236">
        <f t="shared" si="702"/>
        <v>2025</v>
      </c>
    </row>
    <row r="1237" spans="1:90" ht="15" customHeight="1" x14ac:dyDescent="0.35">
      <c r="A1237" t="s">
        <v>3042</v>
      </c>
      <c r="B1237" t="s">
        <v>698</v>
      </c>
      <c r="C1237" t="s">
        <v>214</v>
      </c>
      <c r="D1237" t="s">
        <v>221</v>
      </c>
      <c r="E1237" s="32">
        <v>45951</v>
      </c>
      <c r="F1237" t="s">
        <v>222</v>
      </c>
      <c r="G1237" t="s">
        <v>2915</v>
      </c>
      <c r="H1237">
        <v>8891352837</v>
      </c>
      <c r="I1237">
        <v>240</v>
      </c>
      <c r="J1237" t="s">
        <v>409</v>
      </c>
      <c r="K1237" t="s">
        <v>57</v>
      </c>
      <c r="L1237" t="s">
        <v>58</v>
      </c>
      <c r="M1237" t="s">
        <v>59</v>
      </c>
      <c r="N1237" t="s">
        <v>59</v>
      </c>
      <c r="O1237" t="s">
        <v>59</v>
      </c>
      <c r="P1237" t="s">
        <v>59</v>
      </c>
      <c r="Q1237" t="s">
        <v>59</v>
      </c>
      <c r="R1237" t="s">
        <v>59</v>
      </c>
      <c r="S1237" t="s">
        <v>59</v>
      </c>
      <c r="T1237" t="s">
        <v>59</v>
      </c>
      <c r="U1237" t="s">
        <v>59</v>
      </c>
      <c r="V1237" t="s">
        <v>59</v>
      </c>
      <c r="W1237" t="s">
        <v>59</v>
      </c>
      <c r="X1237" t="s">
        <v>59</v>
      </c>
      <c r="Y1237" t="s">
        <v>59</v>
      </c>
      <c r="Z1237" t="s">
        <v>59</v>
      </c>
      <c r="AA1237" t="s">
        <v>59</v>
      </c>
      <c r="AB1237" t="s">
        <v>59</v>
      </c>
      <c r="AC1237" t="s">
        <v>59</v>
      </c>
      <c r="AD1237" t="s">
        <v>59</v>
      </c>
      <c r="AE1237" t="s">
        <v>59</v>
      </c>
      <c r="AF1237" t="s">
        <v>59</v>
      </c>
      <c r="AG1237" t="s">
        <v>59</v>
      </c>
      <c r="AH1237" t="s">
        <v>61</v>
      </c>
      <c r="AI1237" t="s">
        <v>59</v>
      </c>
      <c r="AJ1237" t="s">
        <v>59</v>
      </c>
      <c r="AK1237" t="s">
        <v>59</v>
      </c>
      <c r="AL1237" t="s">
        <v>59</v>
      </c>
      <c r="AM1237" t="s">
        <v>59</v>
      </c>
      <c r="AN1237" t="s">
        <v>59</v>
      </c>
      <c r="AO1237" t="s">
        <v>59</v>
      </c>
      <c r="AP1237" t="s">
        <v>704</v>
      </c>
      <c r="AQ1237" t="s">
        <v>3043</v>
      </c>
      <c r="AR1237" t="s">
        <v>226</v>
      </c>
      <c r="AS1237" t="s">
        <v>565</v>
      </c>
      <c r="AT1237" t="s">
        <v>565</v>
      </c>
      <c r="AU1237" t="s">
        <v>219</v>
      </c>
      <c r="AW1237" s="4">
        <f t="shared" si="668"/>
        <v>6</v>
      </c>
      <c r="AX1237" s="4">
        <f t="shared" si="669"/>
        <v>4</v>
      </c>
      <c r="AY1237" s="4">
        <f t="shared" si="670"/>
        <v>4</v>
      </c>
      <c r="AZ1237" s="4">
        <f t="shared" si="671"/>
        <v>2</v>
      </c>
      <c r="BA1237" s="4">
        <f t="shared" si="672"/>
        <v>4</v>
      </c>
      <c r="BB1237" s="4">
        <f t="shared" si="673"/>
        <v>4</v>
      </c>
      <c r="BC1237" s="4">
        <f t="shared" si="674"/>
        <v>4</v>
      </c>
      <c r="BD1237" s="4">
        <f t="shared" si="675"/>
        <v>2</v>
      </c>
      <c r="BE1237" s="4">
        <f t="shared" si="676"/>
        <v>4</v>
      </c>
      <c r="BF1237" s="4">
        <f t="shared" si="677"/>
        <v>2</v>
      </c>
      <c r="BG1237" s="4">
        <f t="shared" si="678"/>
        <v>4</v>
      </c>
      <c r="BH1237" s="4">
        <f t="shared" si="679"/>
        <v>4</v>
      </c>
      <c r="BI1237" s="4">
        <f t="shared" si="680"/>
        <v>4</v>
      </c>
      <c r="BJ1237" s="4">
        <f t="shared" si="681"/>
        <v>2</v>
      </c>
      <c r="BK1237" s="4">
        <f t="shared" si="682"/>
        <v>4</v>
      </c>
      <c r="BL1237" s="4">
        <f t="shared" si="683"/>
        <v>2</v>
      </c>
      <c r="BM1237" s="4">
        <f t="shared" si="684"/>
        <v>4</v>
      </c>
      <c r="BN1237" s="4">
        <f t="shared" si="685"/>
        <v>4</v>
      </c>
      <c r="BO1237" s="4">
        <f t="shared" si="686"/>
        <v>4</v>
      </c>
      <c r="BP1237" s="4">
        <f t="shared" si="687"/>
        <v>4</v>
      </c>
      <c r="BQ1237" s="4">
        <f t="shared" si="688"/>
        <v>6</v>
      </c>
      <c r="BR1237" s="4">
        <f t="shared" si="689"/>
        <v>4</v>
      </c>
      <c r="BS1237" s="4">
        <f t="shared" si="690"/>
        <v>4</v>
      </c>
      <c r="BT1237" s="4">
        <f t="shared" si="691"/>
        <v>4</v>
      </c>
      <c r="BU1237" s="4">
        <f t="shared" si="692"/>
        <v>4</v>
      </c>
      <c r="BV1237" s="4">
        <f t="shared" si="693"/>
        <v>0</v>
      </c>
      <c r="BW1237" s="4">
        <f t="shared" si="694"/>
        <v>6</v>
      </c>
      <c r="BX1237" s="4">
        <f t="shared" si="695"/>
        <v>0</v>
      </c>
      <c r="BY1237" s="4">
        <f t="shared" si="696"/>
        <v>0</v>
      </c>
      <c r="BZ1237" s="37">
        <f t="shared" si="697"/>
        <v>100</v>
      </c>
      <c r="CA1237" s="32" t="str">
        <f>VLOOKUP(J:J,'Agent wise'!A:C,3,0)</f>
        <v>Amal</v>
      </c>
      <c r="CB1237" s="32">
        <f t="shared" si="699"/>
        <v>45951</v>
      </c>
      <c r="CC1237" t="str">
        <f t="shared" si="698"/>
        <v>Excellent</v>
      </c>
      <c r="CE1237" s="32"/>
      <c r="CJ1237">
        <f t="shared" si="700"/>
        <v>21</v>
      </c>
      <c r="CK1237">
        <f t="shared" si="701"/>
        <v>10</v>
      </c>
      <c r="CL1237">
        <f t="shared" si="702"/>
        <v>2025</v>
      </c>
    </row>
    <row r="1238" spans="1:90" ht="15" customHeight="1" x14ac:dyDescent="0.35">
      <c r="A1238" t="s">
        <v>3044</v>
      </c>
      <c r="B1238" t="s">
        <v>250</v>
      </c>
      <c r="C1238" t="s">
        <v>214</v>
      </c>
      <c r="D1238" t="s">
        <v>251</v>
      </c>
      <c r="E1238" s="32">
        <v>45951</v>
      </c>
      <c r="F1238" t="s">
        <v>54</v>
      </c>
      <c r="G1238" t="s">
        <v>2811</v>
      </c>
      <c r="H1238">
        <v>9495507391</v>
      </c>
      <c r="I1238">
        <v>172</v>
      </c>
      <c r="J1238" t="s">
        <v>91</v>
      </c>
      <c r="K1238" t="s">
        <v>57</v>
      </c>
      <c r="L1238" t="s">
        <v>58</v>
      </c>
      <c r="M1238" t="s">
        <v>59</v>
      </c>
      <c r="N1238" t="s">
        <v>59</v>
      </c>
      <c r="O1238" t="s">
        <v>59</v>
      </c>
      <c r="P1238" t="s">
        <v>59</v>
      </c>
      <c r="Q1238" t="s">
        <v>59</v>
      </c>
      <c r="R1238" t="s">
        <v>59</v>
      </c>
      <c r="S1238" t="s">
        <v>59</v>
      </c>
      <c r="T1238" t="s">
        <v>59</v>
      </c>
      <c r="U1238" t="s">
        <v>60</v>
      </c>
      <c r="V1238" t="s">
        <v>59</v>
      </c>
      <c r="W1238" t="s">
        <v>59</v>
      </c>
      <c r="X1238" t="s">
        <v>59</v>
      </c>
      <c r="Y1238" t="s">
        <v>59</v>
      </c>
      <c r="Z1238" t="s">
        <v>59</v>
      </c>
      <c r="AA1238" t="s">
        <v>60</v>
      </c>
      <c r="AB1238" t="s">
        <v>61</v>
      </c>
      <c r="AC1238" t="s">
        <v>60</v>
      </c>
      <c r="AD1238" t="s">
        <v>59</v>
      </c>
      <c r="AE1238" t="s">
        <v>59</v>
      </c>
      <c r="AF1238" t="s">
        <v>59</v>
      </c>
      <c r="AG1238" t="s">
        <v>59</v>
      </c>
      <c r="AH1238" t="s">
        <v>61</v>
      </c>
      <c r="AI1238" t="s">
        <v>61</v>
      </c>
      <c r="AJ1238" t="s">
        <v>59</v>
      </c>
      <c r="AK1238" t="s">
        <v>59</v>
      </c>
      <c r="AL1238" t="s">
        <v>60</v>
      </c>
      <c r="AM1238" t="s">
        <v>59</v>
      </c>
      <c r="AN1238" t="s">
        <v>59</v>
      </c>
      <c r="AO1238" t="s">
        <v>59</v>
      </c>
      <c r="AP1238" t="s">
        <v>3045</v>
      </c>
      <c r="AQ1238" t="s">
        <v>3046</v>
      </c>
      <c r="AR1238" t="s">
        <v>64</v>
      </c>
      <c r="AS1238" t="s">
        <v>889</v>
      </c>
      <c r="AT1238" t="s">
        <v>675</v>
      </c>
      <c r="AU1238" t="s">
        <v>219</v>
      </c>
      <c r="AW1238" s="4">
        <f t="shared" si="668"/>
        <v>6</v>
      </c>
      <c r="AX1238" s="4">
        <f t="shared" si="669"/>
        <v>4</v>
      </c>
      <c r="AY1238" s="4">
        <f t="shared" si="670"/>
        <v>4</v>
      </c>
      <c r="AZ1238" s="4">
        <f t="shared" si="671"/>
        <v>2</v>
      </c>
      <c r="BA1238" s="4">
        <f t="shared" si="672"/>
        <v>4</v>
      </c>
      <c r="BB1238" s="4">
        <f t="shared" si="673"/>
        <v>4</v>
      </c>
      <c r="BC1238" s="4">
        <f t="shared" si="674"/>
        <v>4</v>
      </c>
      <c r="BD1238" s="4">
        <f t="shared" si="675"/>
        <v>2</v>
      </c>
      <c r="BE1238" s="4" t="str">
        <f t="shared" si="676"/>
        <v>0</v>
      </c>
      <c r="BF1238" s="4">
        <f t="shared" si="677"/>
        <v>2</v>
      </c>
      <c r="BG1238" s="4">
        <f t="shared" si="678"/>
        <v>4</v>
      </c>
      <c r="BH1238" s="4">
        <f t="shared" si="679"/>
        <v>4</v>
      </c>
      <c r="BI1238" s="4">
        <f t="shared" si="680"/>
        <v>4</v>
      </c>
      <c r="BJ1238" s="4">
        <f t="shared" si="681"/>
        <v>2</v>
      </c>
      <c r="BK1238" s="4" t="str">
        <f t="shared" si="682"/>
        <v>0</v>
      </c>
      <c r="BL1238" s="4">
        <f t="shared" si="683"/>
        <v>2</v>
      </c>
      <c r="BM1238" s="4" t="str">
        <f t="shared" si="684"/>
        <v>0</v>
      </c>
      <c r="BN1238" s="4">
        <f t="shared" si="685"/>
        <v>4</v>
      </c>
      <c r="BO1238" s="4">
        <f t="shared" si="686"/>
        <v>4</v>
      </c>
      <c r="BP1238" s="4">
        <f t="shared" si="687"/>
        <v>4</v>
      </c>
      <c r="BQ1238" s="4">
        <f t="shared" si="688"/>
        <v>6</v>
      </c>
      <c r="BR1238" s="4">
        <f t="shared" si="689"/>
        <v>4</v>
      </c>
      <c r="BS1238" s="4">
        <f t="shared" si="690"/>
        <v>4</v>
      </c>
      <c r="BT1238" s="4">
        <f t="shared" si="691"/>
        <v>4</v>
      </c>
      <c r="BU1238" s="4">
        <f t="shared" si="692"/>
        <v>4</v>
      </c>
      <c r="BV1238" s="4" t="str">
        <f t="shared" si="693"/>
        <v>0</v>
      </c>
      <c r="BW1238" s="4">
        <f t="shared" si="694"/>
        <v>6</v>
      </c>
      <c r="BX1238" s="4">
        <f t="shared" si="695"/>
        <v>0</v>
      </c>
      <c r="BY1238" s="4">
        <f t="shared" si="696"/>
        <v>0</v>
      </c>
      <c r="BZ1238" s="37">
        <f t="shared" si="697"/>
        <v>88</v>
      </c>
      <c r="CA1238" s="32" t="str">
        <f>VLOOKUP(J:J,'Agent wise'!A:C,3,0)</f>
        <v>Saran S</v>
      </c>
      <c r="CB1238" s="32">
        <f t="shared" si="699"/>
        <v>45951</v>
      </c>
      <c r="CC1238" t="str">
        <f t="shared" si="698"/>
        <v>Average</v>
      </c>
      <c r="CE1238" s="32"/>
      <c r="CJ1238">
        <f t="shared" si="700"/>
        <v>21</v>
      </c>
      <c r="CK1238">
        <f t="shared" si="701"/>
        <v>10</v>
      </c>
      <c r="CL1238">
        <f t="shared" si="702"/>
        <v>2025</v>
      </c>
    </row>
    <row r="1239" spans="1:90" ht="15" customHeight="1" x14ac:dyDescent="0.35">
      <c r="A1239" t="s">
        <v>3047</v>
      </c>
      <c r="B1239" t="s">
        <v>698</v>
      </c>
      <c r="C1239" t="s">
        <v>214</v>
      </c>
      <c r="D1239" t="s">
        <v>221</v>
      </c>
      <c r="E1239" s="32">
        <v>45951</v>
      </c>
      <c r="F1239" t="s">
        <v>222</v>
      </c>
      <c r="G1239" t="s">
        <v>2915</v>
      </c>
      <c r="H1239">
        <v>9789895579</v>
      </c>
      <c r="I1239">
        <v>147</v>
      </c>
      <c r="J1239" t="s">
        <v>575</v>
      </c>
      <c r="K1239" t="s">
        <v>71</v>
      </c>
      <c r="L1239" t="s">
        <v>72</v>
      </c>
      <c r="M1239" t="s">
        <v>59</v>
      </c>
      <c r="N1239" t="s">
        <v>59</v>
      </c>
      <c r="O1239" t="s">
        <v>59</v>
      </c>
      <c r="P1239" t="s">
        <v>59</v>
      </c>
      <c r="Q1239" t="s">
        <v>59</v>
      </c>
      <c r="R1239" t="s">
        <v>59</v>
      </c>
      <c r="S1239" t="s">
        <v>59</v>
      </c>
      <c r="T1239" t="s">
        <v>59</v>
      </c>
      <c r="U1239" t="s">
        <v>59</v>
      </c>
      <c r="V1239" t="s">
        <v>59</v>
      </c>
      <c r="W1239" t="s">
        <v>59</v>
      </c>
      <c r="X1239" t="s">
        <v>59</v>
      </c>
      <c r="Y1239" t="s">
        <v>59</v>
      </c>
      <c r="Z1239" t="s">
        <v>59</v>
      </c>
      <c r="AA1239" t="s">
        <v>59</v>
      </c>
      <c r="AB1239" t="s">
        <v>59</v>
      </c>
      <c r="AC1239" t="s">
        <v>59</v>
      </c>
      <c r="AD1239" t="s">
        <v>59</v>
      </c>
      <c r="AE1239" t="s">
        <v>59</v>
      </c>
      <c r="AF1239" t="s">
        <v>59</v>
      </c>
      <c r="AG1239" t="s">
        <v>59</v>
      </c>
      <c r="AH1239" t="s">
        <v>61</v>
      </c>
      <c r="AI1239" t="s">
        <v>60</v>
      </c>
      <c r="AJ1239" t="s">
        <v>60</v>
      </c>
      <c r="AK1239" t="s">
        <v>59</v>
      </c>
      <c r="AL1239" t="s">
        <v>60</v>
      </c>
      <c r="AM1239" t="s">
        <v>59</v>
      </c>
      <c r="AN1239" t="s">
        <v>59</v>
      </c>
      <c r="AO1239" t="s">
        <v>59</v>
      </c>
      <c r="AP1239" s="1" t="s">
        <v>3048</v>
      </c>
      <c r="AQ1239" t="s">
        <v>3017</v>
      </c>
      <c r="AR1239" t="s">
        <v>226</v>
      </c>
      <c r="AS1239" t="s">
        <v>249</v>
      </c>
      <c r="AT1239" t="s">
        <v>249</v>
      </c>
      <c r="AU1239" t="s">
        <v>219</v>
      </c>
      <c r="AW1239" s="4">
        <f t="shared" si="668"/>
        <v>6</v>
      </c>
      <c r="AX1239" s="4">
        <f t="shared" si="669"/>
        <v>4</v>
      </c>
      <c r="AY1239" s="4">
        <f t="shared" si="670"/>
        <v>4</v>
      </c>
      <c r="AZ1239" s="4">
        <f t="shared" si="671"/>
        <v>2</v>
      </c>
      <c r="BA1239" s="4">
        <f t="shared" si="672"/>
        <v>4</v>
      </c>
      <c r="BB1239" s="4">
        <f t="shared" si="673"/>
        <v>4</v>
      </c>
      <c r="BC1239" s="4">
        <f t="shared" si="674"/>
        <v>4</v>
      </c>
      <c r="BD1239" s="4">
        <f t="shared" si="675"/>
        <v>2</v>
      </c>
      <c r="BE1239" s="4">
        <f t="shared" si="676"/>
        <v>4</v>
      </c>
      <c r="BF1239" s="4">
        <f t="shared" si="677"/>
        <v>2</v>
      </c>
      <c r="BG1239" s="4">
        <f t="shared" si="678"/>
        <v>4</v>
      </c>
      <c r="BH1239" s="4">
        <f t="shared" si="679"/>
        <v>4</v>
      </c>
      <c r="BI1239" s="4">
        <f t="shared" si="680"/>
        <v>4</v>
      </c>
      <c r="BJ1239" s="4">
        <f t="shared" si="681"/>
        <v>2</v>
      </c>
      <c r="BK1239" s="4">
        <f t="shared" si="682"/>
        <v>4</v>
      </c>
      <c r="BL1239" s="4">
        <f t="shared" si="683"/>
        <v>2</v>
      </c>
      <c r="BM1239" s="4">
        <f t="shared" si="684"/>
        <v>4</v>
      </c>
      <c r="BN1239" s="4">
        <f t="shared" si="685"/>
        <v>4</v>
      </c>
      <c r="BO1239" s="4">
        <f t="shared" si="686"/>
        <v>4</v>
      </c>
      <c r="BP1239" s="4">
        <f t="shared" si="687"/>
        <v>4</v>
      </c>
      <c r="BQ1239" s="4">
        <f t="shared" si="688"/>
        <v>6</v>
      </c>
      <c r="BR1239" s="4">
        <f t="shared" si="689"/>
        <v>4</v>
      </c>
      <c r="BS1239" s="4" t="str">
        <f t="shared" si="690"/>
        <v>0</v>
      </c>
      <c r="BT1239" s="4" t="str">
        <f t="shared" si="691"/>
        <v>0</v>
      </c>
      <c r="BU1239" s="4">
        <f t="shared" si="692"/>
        <v>4</v>
      </c>
      <c r="BV1239" s="4" t="str">
        <f t="shared" si="693"/>
        <v>0</v>
      </c>
      <c r="BW1239" s="4">
        <f t="shared" si="694"/>
        <v>6</v>
      </c>
      <c r="BX1239" s="4">
        <f t="shared" si="695"/>
        <v>0</v>
      </c>
      <c r="BY1239" s="4">
        <f t="shared" si="696"/>
        <v>0</v>
      </c>
      <c r="BZ1239" s="37">
        <f t="shared" si="697"/>
        <v>92</v>
      </c>
      <c r="CA1239" s="32" t="str">
        <f>VLOOKUP(J:J,'Agent wise'!A:C,3,0)</f>
        <v>Shakeer</v>
      </c>
      <c r="CB1239" s="32">
        <f t="shared" si="699"/>
        <v>45951</v>
      </c>
      <c r="CC1239" t="str">
        <f t="shared" si="698"/>
        <v>Good</v>
      </c>
      <c r="CE1239" s="32"/>
      <c r="CJ1239">
        <f t="shared" si="700"/>
        <v>21</v>
      </c>
      <c r="CK1239">
        <f t="shared" si="701"/>
        <v>10</v>
      </c>
      <c r="CL1239">
        <f t="shared" si="702"/>
        <v>2025</v>
      </c>
    </row>
    <row r="1240" spans="1:90" ht="15" customHeight="1" x14ac:dyDescent="0.35">
      <c r="A1240" t="s">
        <v>3049</v>
      </c>
      <c r="B1240" t="s">
        <v>250</v>
      </c>
      <c r="C1240" t="s">
        <v>214</v>
      </c>
      <c r="D1240" t="s">
        <v>251</v>
      </c>
      <c r="E1240" s="32">
        <v>45951</v>
      </c>
      <c r="F1240" t="s">
        <v>54</v>
      </c>
      <c r="G1240" t="s">
        <v>2811</v>
      </c>
      <c r="H1240">
        <v>9847050588</v>
      </c>
      <c r="I1240">
        <v>153</v>
      </c>
      <c r="J1240" t="s">
        <v>132</v>
      </c>
      <c r="K1240" t="s">
        <v>57</v>
      </c>
      <c r="L1240" t="s">
        <v>58</v>
      </c>
      <c r="M1240" t="s">
        <v>59</v>
      </c>
      <c r="N1240" t="s">
        <v>59</v>
      </c>
      <c r="O1240" t="s">
        <v>59</v>
      </c>
      <c r="P1240" t="s">
        <v>59</v>
      </c>
      <c r="Q1240" t="s">
        <v>59</v>
      </c>
      <c r="R1240" t="s">
        <v>59</v>
      </c>
      <c r="S1240" t="s">
        <v>59</v>
      </c>
      <c r="T1240" t="s">
        <v>59</v>
      </c>
      <c r="U1240" t="s">
        <v>59</v>
      </c>
      <c r="V1240" t="s">
        <v>59</v>
      </c>
      <c r="W1240" t="s">
        <v>59</v>
      </c>
      <c r="X1240" t="s">
        <v>59</v>
      </c>
      <c r="Y1240" t="s">
        <v>59</v>
      </c>
      <c r="Z1240" t="s">
        <v>59</v>
      </c>
      <c r="AA1240" t="s">
        <v>59</v>
      </c>
      <c r="AB1240" t="s">
        <v>59</v>
      </c>
      <c r="AC1240" t="s">
        <v>59</v>
      </c>
      <c r="AD1240" t="s">
        <v>59</v>
      </c>
      <c r="AE1240" t="s">
        <v>59</v>
      </c>
      <c r="AF1240" t="s">
        <v>59</v>
      </c>
      <c r="AG1240" t="s">
        <v>59</v>
      </c>
      <c r="AH1240" t="s">
        <v>61</v>
      </c>
      <c r="AI1240" t="s">
        <v>61</v>
      </c>
      <c r="AJ1240" t="s">
        <v>59</v>
      </c>
      <c r="AK1240" t="s">
        <v>59</v>
      </c>
      <c r="AL1240" t="s">
        <v>59</v>
      </c>
      <c r="AM1240" t="s">
        <v>59</v>
      </c>
      <c r="AN1240" t="s">
        <v>59</v>
      </c>
      <c r="AO1240" t="s">
        <v>59</v>
      </c>
      <c r="AP1240" t="s">
        <v>247</v>
      </c>
      <c r="AQ1240" t="s">
        <v>3050</v>
      </c>
      <c r="AR1240" t="s">
        <v>64</v>
      </c>
      <c r="AS1240" t="s">
        <v>3051</v>
      </c>
      <c r="AT1240" t="s">
        <v>1217</v>
      </c>
      <c r="AU1240" t="s">
        <v>219</v>
      </c>
      <c r="AW1240" s="4">
        <f t="shared" si="668"/>
        <v>6</v>
      </c>
      <c r="AX1240" s="4">
        <f t="shared" si="669"/>
        <v>4</v>
      </c>
      <c r="AY1240" s="4">
        <f t="shared" si="670"/>
        <v>4</v>
      </c>
      <c r="AZ1240" s="4">
        <f t="shared" si="671"/>
        <v>2</v>
      </c>
      <c r="BA1240" s="4">
        <f t="shared" si="672"/>
        <v>4</v>
      </c>
      <c r="BB1240" s="4">
        <f t="shared" si="673"/>
        <v>4</v>
      </c>
      <c r="BC1240" s="4">
        <f t="shared" si="674"/>
        <v>4</v>
      </c>
      <c r="BD1240" s="4">
        <f t="shared" si="675"/>
        <v>2</v>
      </c>
      <c r="BE1240" s="4">
        <f t="shared" si="676"/>
        <v>4</v>
      </c>
      <c r="BF1240" s="4">
        <f t="shared" si="677"/>
        <v>2</v>
      </c>
      <c r="BG1240" s="4">
        <f t="shared" si="678"/>
        <v>4</v>
      </c>
      <c r="BH1240" s="4">
        <f t="shared" si="679"/>
        <v>4</v>
      </c>
      <c r="BI1240" s="4">
        <f t="shared" si="680"/>
        <v>4</v>
      </c>
      <c r="BJ1240" s="4">
        <f t="shared" si="681"/>
        <v>2</v>
      </c>
      <c r="BK1240" s="4">
        <f t="shared" si="682"/>
        <v>4</v>
      </c>
      <c r="BL1240" s="4">
        <f t="shared" si="683"/>
        <v>2</v>
      </c>
      <c r="BM1240" s="4">
        <f t="shared" si="684"/>
        <v>4</v>
      </c>
      <c r="BN1240" s="4">
        <f t="shared" si="685"/>
        <v>4</v>
      </c>
      <c r="BO1240" s="4">
        <f t="shared" si="686"/>
        <v>4</v>
      </c>
      <c r="BP1240" s="4">
        <f t="shared" si="687"/>
        <v>4</v>
      </c>
      <c r="BQ1240" s="4">
        <f t="shared" si="688"/>
        <v>6</v>
      </c>
      <c r="BR1240" s="4">
        <f t="shared" si="689"/>
        <v>4</v>
      </c>
      <c r="BS1240" s="4">
        <f t="shared" si="690"/>
        <v>4</v>
      </c>
      <c r="BT1240" s="4">
        <f t="shared" si="691"/>
        <v>4</v>
      </c>
      <c r="BU1240" s="4">
        <f t="shared" si="692"/>
        <v>4</v>
      </c>
      <c r="BV1240" s="4">
        <f t="shared" si="693"/>
        <v>0</v>
      </c>
      <c r="BW1240" s="4">
        <f t="shared" si="694"/>
        <v>6</v>
      </c>
      <c r="BX1240" s="4">
        <f t="shared" si="695"/>
        <v>0</v>
      </c>
      <c r="BY1240" s="4">
        <f t="shared" si="696"/>
        <v>0</v>
      </c>
      <c r="BZ1240" s="37">
        <f t="shared" si="697"/>
        <v>100</v>
      </c>
      <c r="CA1240" s="32" t="str">
        <f>VLOOKUP(J:J,'Agent wise'!A:C,3,0)</f>
        <v>Shakeer</v>
      </c>
      <c r="CB1240" s="32">
        <f t="shared" si="699"/>
        <v>45951</v>
      </c>
      <c r="CC1240" t="str">
        <f t="shared" si="698"/>
        <v>Excellent</v>
      </c>
      <c r="CE1240" s="32"/>
      <c r="CJ1240">
        <f t="shared" si="700"/>
        <v>21</v>
      </c>
      <c r="CK1240">
        <f t="shared" si="701"/>
        <v>10</v>
      </c>
      <c r="CL1240">
        <f t="shared" si="702"/>
        <v>2025</v>
      </c>
    </row>
    <row r="1241" spans="1:90" ht="15" customHeight="1" x14ac:dyDescent="0.35">
      <c r="A1241" t="s">
        <v>3052</v>
      </c>
      <c r="B1241" t="s">
        <v>106</v>
      </c>
      <c r="C1241" t="s">
        <v>214</v>
      </c>
      <c r="D1241" t="s">
        <v>107</v>
      </c>
      <c r="E1241" s="32">
        <v>45951</v>
      </c>
      <c r="F1241" t="s">
        <v>54</v>
      </c>
      <c r="G1241" t="s">
        <v>2915</v>
      </c>
      <c r="H1241">
        <v>9745818576</v>
      </c>
      <c r="I1241">
        <v>198</v>
      </c>
      <c r="J1241" t="s">
        <v>586</v>
      </c>
      <c r="K1241" t="s">
        <v>57</v>
      </c>
      <c r="L1241" t="s">
        <v>58</v>
      </c>
      <c r="M1241" t="s">
        <v>59</v>
      </c>
      <c r="N1241" t="s">
        <v>59</v>
      </c>
      <c r="O1241" t="s">
        <v>59</v>
      </c>
      <c r="P1241" t="s">
        <v>59</v>
      </c>
      <c r="Q1241" t="s">
        <v>59</v>
      </c>
      <c r="R1241" t="s">
        <v>59</v>
      </c>
      <c r="S1241" t="s">
        <v>59</v>
      </c>
      <c r="T1241" t="s">
        <v>59</v>
      </c>
      <c r="U1241" t="s">
        <v>60</v>
      </c>
      <c r="V1241" t="s">
        <v>59</v>
      </c>
      <c r="W1241" t="s">
        <v>59</v>
      </c>
      <c r="X1241" t="s">
        <v>61</v>
      </c>
      <c r="Y1241" t="s">
        <v>59</v>
      </c>
      <c r="Z1241" t="s">
        <v>60</v>
      </c>
      <c r="AA1241" t="s">
        <v>59</v>
      </c>
      <c r="AB1241" t="s">
        <v>59</v>
      </c>
      <c r="AC1241" t="s">
        <v>61</v>
      </c>
      <c r="AD1241" t="s">
        <v>61</v>
      </c>
      <c r="AE1241" t="s">
        <v>59</v>
      </c>
      <c r="AF1241" t="s">
        <v>61</v>
      </c>
      <c r="AG1241" t="s">
        <v>59</v>
      </c>
      <c r="AH1241" t="s">
        <v>61</v>
      </c>
      <c r="AI1241" t="s">
        <v>59</v>
      </c>
      <c r="AJ1241" t="s">
        <v>59</v>
      </c>
      <c r="AK1241" t="s">
        <v>59</v>
      </c>
      <c r="AL1241" t="s">
        <v>60</v>
      </c>
      <c r="AM1241" t="s">
        <v>59</v>
      </c>
      <c r="AN1241" t="s">
        <v>59</v>
      </c>
      <c r="AO1241" t="s">
        <v>59</v>
      </c>
      <c r="AP1241" t="s">
        <v>3053</v>
      </c>
      <c r="AQ1241" s="1" t="s">
        <v>3054</v>
      </c>
      <c r="AR1241" t="s">
        <v>64</v>
      </c>
      <c r="AS1241" t="s">
        <v>122</v>
      </c>
      <c r="AT1241" t="s">
        <v>123</v>
      </c>
      <c r="AU1241" t="s">
        <v>387</v>
      </c>
      <c r="AW1241" s="4">
        <f t="shared" si="668"/>
        <v>6</v>
      </c>
      <c r="AX1241" s="4">
        <f t="shared" si="669"/>
        <v>4</v>
      </c>
      <c r="AY1241" s="4">
        <f t="shared" si="670"/>
        <v>4</v>
      </c>
      <c r="AZ1241" s="4">
        <f t="shared" si="671"/>
        <v>2</v>
      </c>
      <c r="BA1241" s="4">
        <f t="shared" si="672"/>
        <v>4</v>
      </c>
      <c r="BB1241" s="4">
        <f t="shared" si="673"/>
        <v>4</v>
      </c>
      <c r="BC1241" s="4">
        <f t="shared" si="674"/>
        <v>4</v>
      </c>
      <c r="BD1241" s="4">
        <f t="shared" si="675"/>
        <v>2</v>
      </c>
      <c r="BE1241" s="4" t="str">
        <f t="shared" si="676"/>
        <v>0</v>
      </c>
      <c r="BF1241" s="4">
        <f t="shared" si="677"/>
        <v>2</v>
      </c>
      <c r="BG1241" s="4">
        <f t="shared" si="678"/>
        <v>4</v>
      </c>
      <c r="BH1241" s="4">
        <f t="shared" si="679"/>
        <v>4</v>
      </c>
      <c r="BI1241" s="4">
        <f t="shared" si="680"/>
        <v>4</v>
      </c>
      <c r="BJ1241" s="4" t="str">
        <f t="shared" si="681"/>
        <v>0</v>
      </c>
      <c r="BK1241" s="4">
        <f t="shared" si="682"/>
        <v>4</v>
      </c>
      <c r="BL1241" s="4">
        <f t="shared" si="683"/>
        <v>2</v>
      </c>
      <c r="BM1241" s="4">
        <f t="shared" si="684"/>
        <v>4</v>
      </c>
      <c r="BN1241" s="4">
        <f t="shared" si="685"/>
        <v>4</v>
      </c>
      <c r="BO1241" s="4">
        <f t="shared" si="686"/>
        <v>4</v>
      </c>
      <c r="BP1241" s="4">
        <f t="shared" si="687"/>
        <v>4</v>
      </c>
      <c r="BQ1241" s="4">
        <f t="shared" si="688"/>
        <v>6</v>
      </c>
      <c r="BR1241" s="4">
        <f t="shared" si="689"/>
        <v>4</v>
      </c>
      <c r="BS1241" s="4">
        <f t="shared" si="690"/>
        <v>4</v>
      </c>
      <c r="BT1241" s="4">
        <f t="shared" si="691"/>
        <v>4</v>
      </c>
      <c r="BU1241" s="4">
        <f t="shared" si="692"/>
        <v>4</v>
      </c>
      <c r="BV1241" s="4" t="str">
        <f t="shared" si="693"/>
        <v>0</v>
      </c>
      <c r="BW1241" s="4">
        <f t="shared" si="694"/>
        <v>6</v>
      </c>
      <c r="BX1241" s="4">
        <f t="shared" si="695"/>
        <v>0</v>
      </c>
      <c r="BY1241" s="4">
        <f t="shared" si="696"/>
        <v>0</v>
      </c>
      <c r="BZ1241" s="37">
        <f t="shared" si="697"/>
        <v>94</v>
      </c>
      <c r="CA1241" s="32" t="str">
        <f>VLOOKUP(J:J,'Agent wise'!A:C,3,0)</f>
        <v>Shakeer</v>
      </c>
      <c r="CB1241" s="32">
        <f t="shared" si="699"/>
        <v>45951</v>
      </c>
      <c r="CC1241" t="str">
        <f t="shared" si="698"/>
        <v>Good</v>
      </c>
      <c r="CE1241" s="32"/>
      <c r="CJ1241">
        <f t="shared" si="700"/>
        <v>21</v>
      </c>
      <c r="CK1241">
        <f t="shared" si="701"/>
        <v>10</v>
      </c>
      <c r="CL1241">
        <f t="shared" si="702"/>
        <v>2025</v>
      </c>
    </row>
    <row r="1242" spans="1:90" ht="15" customHeight="1" x14ac:dyDescent="0.35">
      <c r="A1242" t="s">
        <v>3055</v>
      </c>
      <c r="B1242" t="s">
        <v>106</v>
      </c>
      <c r="C1242" t="s">
        <v>214</v>
      </c>
      <c r="D1242" t="s">
        <v>107</v>
      </c>
      <c r="E1242" s="32">
        <v>45951</v>
      </c>
      <c r="F1242" t="s">
        <v>54</v>
      </c>
      <c r="G1242" t="s">
        <v>2915</v>
      </c>
      <c r="H1242">
        <v>8012137653</v>
      </c>
      <c r="I1242">
        <v>145</v>
      </c>
      <c r="J1242" t="s">
        <v>427</v>
      </c>
      <c r="K1242" t="s">
        <v>71</v>
      </c>
      <c r="L1242" t="s">
        <v>72</v>
      </c>
      <c r="M1242" t="s">
        <v>59</v>
      </c>
      <c r="N1242" t="s">
        <v>59</v>
      </c>
      <c r="O1242" t="s">
        <v>59</v>
      </c>
      <c r="P1242" t="s">
        <v>59</v>
      </c>
      <c r="Q1242" t="s">
        <v>59</v>
      </c>
      <c r="R1242" t="s">
        <v>59</v>
      </c>
      <c r="S1242" t="s">
        <v>59</v>
      </c>
      <c r="T1242" t="s">
        <v>59</v>
      </c>
      <c r="U1242" t="s">
        <v>60</v>
      </c>
      <c r="V1242" t="s">
        <v>59</v>
      </c>
      <c r="W1242" t="s">
        <v>59</v>
      </c>
      <c r="X1242" t="s">
        <v>61</v>
      </c>
      <c r="Y1242" t="s">
        <v>59</v>
      </c>
      <c r="Z1242" t="s">
        <v>59</v>
      </c>
      <c r="AA1242" t="s">
        <v>59</v>
      </c>
      <c r="AB1242" t="s">
        <v>59</v>
      </c>
      <c r="AC1242" t="s">
        <v>60</v>
      </c>
      <c r="AD1242" t="s">
        <v>61</v>
      </c>
      <c r="AE1242" t="s">
        <v>59</v>
      </c>
      <c r="AF1242" t="s">
        <v>61</v>
      </c>
      <c r="AG1242" t="s">
        <v>59</v>
      </c>
      <c r="AH1242" t="s">
        <v>61</v>
      </c>
      <c r="AI1242" t="s">
        <v>61</v>
      </c>
      <c r="AJ1242" t="s">
        <v>59</v>
      </c>
      <c r="AK1242" t="s">
        <v>59</v>
      </c>
      <c r="AL1242" t="s">
        <v>60</v>
      </c>
      <c r="AM1242" t="s">
        <v>59</v>
      </c>
      <c r="AN1242" t="s">
        <v>59</v>
      </c>
      <c r="AO1242" t="s">
        <v>59</v>
      </c>
      <c r="AP1242" t="s">
        <v>145</v>
      </c>
      <c r="AQ1242" t="s">
        <v>3056</v>
      </c>
      <c r="AR1242" t="s">
        <v>64</v>
      </c>
      <c r="AS1242" t="s">
        <v>255</v>
      </c>
      <c r="AT1242" t="s">
        <v>256</v>
      </c>
      <c r="AU1242" t="s">
        <v>219</v>
      </c>
      <c r="AW1242" s="4">
        <f t="shared" si="668"/>
        <v>6</v>
      </c>
      <c r="AX1242" s="4">
        <f t="shared" si="669"/>
        <v>4</v>
      </c>
      <c r="AY1242" s="4">
        <f t="shared" si="670"/>
        <v>4</v>
      </c>
      <c r="AZ1242" s="4">
        <f t="shared" si="671"/>
        <v>2</v>
      </c>
      <c r="BA1242" s="4">
        <f t="shared" si="672"/>
        <v>4</v>
      </c>
      <c r="BB1242" s="4">
        <f t="shared" si="673"/>
        <v>4</v>
      </c>
      <c r="BC1242" s="4">
        <f t="shared" si="674"/>
        <v>4</v>
      </c>
      <c r="BD1242" s="4">
        <f t="shared" si="675"/>
        <v>2</v>
      </c>
      <c r="BE1242" s="4" t="str">
        <f t="shared" si="676"/>
        <v>0</v>
      </c>
      <c r="BF1242" s="4">
        <f t="shared" si="677"/>
        <v>2</v>
      </c>
      <c r="BG1242" s="4">
        <f t="shared" si="678"/>
        <v>4</v>
      </c>
      <c r="BH1242" s="4">
        <f t="shared" si="679"/>
        <v>4</v>
      </c>
      <c r="BI1242" s="4">
        <f t="shared" si="680"/>
        <v>4</v>
      </c>
      <c r="BJ1242" s="4">
        <f t="shared" si="681"/>
        <v>2</v>
      </c>
      <c r="BK1242" s="4">
        <f t="shared" si="682"/>
        <v>4</v>
      </c>
      <c r="BL1242" s="4">
        <f t="shared" si="683"/>
        <v>2</v>
      </c>
      <c r="BM1242" s="4" t="str">
        <f t="shared" si="684"/>
        <v>0</v>
      </c>
      <c r="BN1242" s="4">
        <f t="shared" si="685"/>
        <v>4</v>
      </c>
      <c r="BO1242" s="4">
        <f t="shared" si="686"/>
        <v>4</v>
      </c>
      <c r="BP1242" s="4">
        <f t="shared" si="687"/>
        <v>4</v>
      </c>
      <c r="BQ1242" s="4">
        <f t="shared" si="688"/>
        <v>6</v>
      </c>
      <c r="BR1242" s="4">
        <f t="shared" si="689"/>
        <v>4</v>
      </c>
      <c r="BS1242" s="4">
        <f t="shared" si="690"/>
        <v>4</v>
      </c>
      <c r="BT1242" s="4">
        <f t="shared" si="691"/>
        <v>4</v>
      </c>
      <c r="BU1242" s="4">
        <f t="shared" si="692"/>
        <v>4</v>
      </c>
      <c r="BV1242" s="4" t="str">
        <f t="shared" si="693"/>
        <v>0</v>
      </c>
      <c r="BW1242" s="4">
        <f t="shared" si="694"/>
        <v>6</v>
      </c>
      <c r="BX1242" s="4">
        <f t="shared" si="695"/>
        <v>0</v>
      </c>
      <c r="BY1242" s="4">
        <f t="shared" si="696"/>
        <v>0</v>
      </c>
      <c r="BZ1242" s="37">
        <f t="shared" si="697"/>
        <v>92</v>
      </c>
      <c r="CA1242" s="32" t="str">
        <f>VLOOKUP(J:J,'Agent wise'!A:C,3,0)</f>
        <v>Shakeer</v>
      </c>
      <c r="CB1242" s="32">
        <f t="shared" si="699"/>
        <v>45951</v>
      </c>
      <c r="CC1242" t="str">
        <f t="shared" si="698"/>
        <v>Good</v>
      </c>
      <c r="CE1242" s="32"/>
      <c r="CJ1242">
        <f t="shared" si="700"/>
        <v>21</v>
      </c>
      <c r="CK1242">
        <f t="shared" si="701"/>
        <v>10</v>
      </c>
      <c r="CL1242">
        <f t="shared" si="702"/>
        <v>2025</v>
      </c>
    </row>
    <row r="1243" spans="1:90" ht="15" customHeight="1" x14ac:dyDescent="0.35">
      <c r="A1243" t="s">
        <v>3057</v>
      </c>
      <c r="B1243" t="s">
        <v>250</v>
      </c>
      <c r="C1243" t="s">
        <v>214</v>
      </c>
      <c r="D1243" t="s">
        <v>251</v>
      </c>
      <c r="E1243" s="32">
        <v>45951</v>
      </c>
      <c r="F1243" t="s">
        <v>54</v>
      </c>
      <c r="G1243" t="s">
        <v>2811</v>
      </c>
      <c r="H1243">
        <v>9043626272</v>
      </c>
      <c r="I1243">
        <v>202</v>
      </c>
      <c r="J1243" t="s">
        <v>70</v>
      </c>
      <c r="K1243" t="s">
        <v>57</v>
      </c>
      <c r="L1243" t="s">
        <v>58</v>
      </c>
      <c r="M1243" t="s">
        <v>59</v>
      </c>
      <c r="N1243" t="s">
        <v>59</v>
      </c>
      <c r="O1243" t="s">
        <v>59</v>
      </c>
      <c r="P1243" t="s">
        <v>59</v>
      </c>
      <c r="Q1243" t="s">
        <v>59</v>
      </c>
      <c r="R1243" t="s">
        <v>59</v>
      </c>
      <c r="S1243" t="s">
        <v>59</v>
      </c>
      <c r="T1243" t="s">
        <v>59</v>
      </c>
      <c r="U1243" t="s">
        <v>60</v>
      </c>
      <c r="V1243" t="s">
        <v>59</v>
      </c>
      <c r="W1243" t="s">
        <v>59</v>
      </c>
      <c r="X1243" t="s">
        <v>59</v>
      </c>
      <c r="Y1243" t="s">
        <v>59</v>
      </c>
      <c r="Z1243" t="s">
        <v>60</v>
      </c>
      <c r="AA1243" t="s">
        <v>60</v>
      </c>
      <c r="AB1243" t="s">
        <v>59</v>
      </c>
      <c r="AC1243" t="s">
        <v>59</v>
      </c>
      <c r="AD1243" t="s">
        <v>59</v>
      </c>
      <c r="AE1243" t="s">
        <v>59</v>
      </c>
      <c r="AF1243" t="s">
        <v>59</v>
      </c>
      <c r="AG1243" t="s">
        <v>59</v>
      </c>
      <c r="AH1243" t="s">
        <v>61</v>
      </c>
      <c r="AI1243" t="s">
        <v>61</v>
      </c>
      <c r="AJ1243" t="s">
        <v>59</v>
      </c>
      <c r="AK1243" t="s">
        <v>59</v>
      </c>
      <c r="AL1243" t="s">
        <v>60</v>
      </c>
      <c r="AM1243" t="s">
        <v>59</v>
      </c>
      <c r="AN1243" t="s">
        <v>59</v>
      </c>
      <c r="AO1243" t="s">
        <v>59</v>
      </c>
      <c r="AP1243" t="s">
        <v>3058</v>
      </c>
      <c r="AQ1243" t="s">
        <v>3059</v>
      </c>
      <c r="AR1243" t="s">
        <v>64</v>
      </c>
      <c r="AS1243" t="s">
        <v>3060</v>
      </c>
      <c r="AT1243" t="s">
        <v>1921</v>
      </c>
      <c r="AU1243" t="s">
        <v>593</v>
      </c>
      <c r="AW1243" s="4">
        <f t="shared" si="668"/>
        <v>6</v>
      </c>
      <c r="AX1243" s="4">
        <f t="shared" si="669"/>
        <v>4</v>
      </c>
      <c r="AY1243" s="4">
        <f t="shared" si="670"/>
        <v>4</v>
      </c>
      <c r="AZ1243" s="4">
        <f t="shared" si="671"/>
        <v>2</v>
      </c>
      <c r="BA1243" s="4">
        <f t="shared" si="672"/>
        <v>4</v>
      </c>
      <c r="BB1243" s="4">
        <f t="shared" si="673"/>
        <v>4</v>
      </c>
      <c r="BC1243" s="4">
        <f t="shared" si="674"/>
        <v>4</v>
      </c>
      <c r="BD1243" s="4">
        <f t="shared" si="675"/>
        <v>2</v>
      </c>
      <c r="BE1243" s="4" t="str">
        <f t="shared" si="676"/>
        <v>0</v>
      </c>
      <c r="BF1243" s="4">
        <f t="shared" si="677"/>
        <v>2</v>
      </c>
      <c r="BG1243" s="4">
        <f t="shared" si="678"/>
        <v>4</v>
      </c>
      <c r="BH1243" s="4">
        <f t="shared" si="679"/>
        <v>4</v>
      </c>
      <c r="BI1243" s="4">
        <f t="shared" si="680"/>
        <v>4</v>
      </c>
      <c r="BJ1243" s="4" t="str">
        <f t="shared" si="681"/>
        <v>0</v>
      </c>
      <c r="BK1243" s="4" t="str">
        <f t="shared" si="682"/>
        <v>0</v>
      </c>
      <c r="BL1243" s="4">
        <f t="shared" si="683"/>
        <v>2</v>
      </c>
      <c r="BM1243" s="4">
        <f t="shared" si="684"/>
        <v>4</v>
      </c>
      <c r="BN1243" s="4">
        <f t="shared" si="685"/>
        <v>4</v>
      </c>
      <c r="BO1243" s="4">
        <f t="shared" si="686"/>
        <v>4</v>
      </c>
      <c r="BP1243" s="4">
        <f t="shared" si="687"/>
        <v>4</v>
      </c>
      <c r="BQ1243" s="4">
        <f t="shared" si="688"/>
        <v>6</v>
      </c>
      <c r="BR1243" s="4">
        <f t="shared" si="689"/>
        <v>4</v>
      </c>
      <c r="BS1243" s="4">
        <f t="shared" si="690"/>
        <v>4</v>
      </c>
      <c r="BT1243" s="4">
        <f t="shared" si="691"/>
        <v>4</v>
      </c>
      <c r="BU1243" s="4">
        <f t="shared" si="692"/>
        <v>4</v>
      </c>
      <c r="BV1243" s="4" t="str">
        <f t="shared" si="693"/>
        <v>0</v>
      </c>
      <c r="BW1243" s="4">
        <f t="shared" si="694"/>
        <v>6</v>
      </c>
      <c r="BX1243" s="4">
        <f t="shared" si="695"/>
        <v>0</v>
      </c>
      <c r="BY1243" s="4">
        <f t="shared" si="696"/>
        <v>0</v>
      </c>
      <c r="BZ1243" s="37">
        <f t="shared" si="697"/>
        <v>90</v>
      </c>
      <c r="CA1243" s="32" t="str">
        <f>VLOOKUP(J:J,'Agent wise'!A:C,3,0)</f>
        <v>Saran S</v>
      </c>
      <c r="CB1243" s="32">
        <f t="shared" si="699"/>
        <v>45951</v>
      </c>
      <c r="CC1243" t="str">
        <f t="shared" si="698"/>
        <v>Good</v>
      </c>
      <c r="CE1243" s="32"/>
      <c r="CJ1243">
        <f t="shared" si="700"/>
        <v>21</v>
      </c>
      <c r="CK1243">
        <f t="shared" si="701"/>
        <v>10</v>
      </c>
      <c r="CL1243">
        <f t="shared" si="702"/>
        <v>2025</v>
      </c>
    </row>
    <row r="1244" spans="1:90" ht="15" customHeight="1" x14ac:dyDescent="0.35">
      <c r="A1244" t="s">
        <v>3061</v>
      </c>
      <c r="B1244" t="s">
        <v>250</v>
      </c>
      <c r="C1244" t="s">
        <v>214</v>
      </c>
      <c r="D1244" t="s">
        <v>251</v>
      </c>
      <c r="E1244" s="32">
        <v>45951</v>
      </c>
      <c r="F1244" t="s">
        <v>54</v>
      </c>
      <c r="G1244" t="s">
        <v>2811</v>
      </c>
      <c r="H1244">
        <v>9497724317</v>
      </c>
      <c r="I1244">
        <v>184</v>
      </c>
      <c r="J1244" t="s">
        <v>75</v>
      </c>
      <c r="K1244" t="s">
        <v>57</v>
      </c>
      <c r="L1244" t="s">
        <v>58</v>
      </c>
      <c r="M1244" t="s">
        <v>59</v>
      </c>
      <c r="N1244" t="s">
        <v>59</v>
      </c>
      <c r="O1244" t="s">
        <v>59</v>
      </c>
      <c r="P1244" t="s">
        <v>59</v>
      </c>
      <c r="Q1244" t="s">
        <v>59</v>
      </c>
      <c r="R1244" t="s">
        <v>59</v>
      </c>
      <c r="S1244" t="s">
        <v>59</v>
      </c>
      <c r="T1244" t="s">
        <v>59</v>
      </c>
      <c r="U1244" t="s">
        <v>60</v>
      </c>
      <c r="V1244" t="s">
        <v>59</v>
      </c>
      <c r="W1244" t="s">
        <v>59</v>
      </c>
      <c r="X1244" t="s">
        <v>59</v>
      </c>
      <c r="Y1244" t="s">
        <v>59</v>
      </c>
      <c r="Z1244" t="s">
        <v>60</v>
      </c>
      <c r="AA1244" t="s">
        <v>59</v>
      </c>
      <c r="AB1244" t="s">
        <v>59</v>
      </c>
      <c r="AC1244" t="s">
        <v>59</v>
      </c>
      <c r="AD1244" t="s">
        <v>59</v>
      </c>
      <c r="AE1244" t="s">
        <v>60</v>
      </c>
      <c r="AF1244" t="s">
        <v>59</v>
      </c>
      <c r="AG1244" t="s">
        <v>59</v>
      </c>
      <c r="AH1244" t="s">
        <v>61</v>
      </c>
      <c r="AI1244" t="s">
        <v>61</v>
      </c>
      <c r="AJ1244" t="s">
        <v>59</v>
      </c>
      <c r="AK1244" t="s">
        <v>59</v>
      </c>
      <c r="AL1244" t="s">
        <v>60</v>
      </c>
      <c r="AM1244" t="s">
        <v>59</v>
      </c>
      <c r="AN1244" t="s">
        <v>59</v>
      </c>
      <c r="AO1244" t="s">
        <v>59</v>
      </c>
      <c r="AP1244" s="1" t="s">
        <v>3062</v>
      </c>
      <c r="AQ1244" s="1" t="s">
        <v>3063</v>
      </c>
      <c r="AR1244" t="s">
        <v>64</v>
      </c>
      <c r="AS1244" t="s">
        <v>3064</v>
      </c>
      <c r="AT1244" t="s">
        <v>111</v>
      </c>
      <c r="AU1244" t="s">
        <v>387</v>
      </c>
      <c r="AW1244" s="4">
        <f t="shared" si="668"/>
        <v>6</v>
      </c>
      <c r="AX1244" s="4">
        <f t="shared" si="669"/>
        <v>4</v>
      </c>
      <c r="AY1244" s="4">
        <f t="shared" si="670"/>
        <v>4</v>
      </c>
      <c r="AZ1244" s="4">
        <f t="shared" si="671"/>
        <v>2</v>
      </c>
      <c r="BA1244" s="4">
        <f t="shared" si="672"/>
        <v>4</v>
      </c>
      <c r="BB1244" s="4">
        <f t="shared" si="673"/>
        <v>4</v>
      </c>
      <c r="BC1244" s="4">
        <f t="shared" si="674"/>
        <v>4</v>
      </c>
      <c r="BD1244" s="4">
        <f t="shared" si="675"/>
        <v>2</v>
      </c>
      <c r="BE1244" s="4" t="str">
        <f t="shared" si="676"/>
        <v>0</v>
      </c>
      <c r="BF1244" s="4">
        <f t="shared" si="677"/>
        <v>2</v>
      </c>
      <c r="BG1244" s="4">
        <f t="shared" si="678"/>
        <v>4</v>
      </c>
      <c r="BH1244" s="4">
        <f t="shared" si="679"/>
        <v>4</v>
      </c>
      <c r="BI1244" s="4">
        <f t="shared" si="680"/>
        <v>4</v>
      </c>
      <c r="BJ1244" s="4" t="str">
        <f t="shared" si="681"/>
        <v>0</v>
      </c>
      <c r="BK1244" s="4">
        <f t="shared" si="682"/>
        <v>4</v>
      </c>
      <c r="BL1244" s="4">
        <f t="shared" si="683"/>
        <v>2</v>
      </c>
      <c r="BM1244" s="4">
        <f t="shared" si="684"/>
        <v>4</v>
      </c>
      <c r="BN1244" s="4">
        <f t="shared" si="685"/>
        <v>4</v>
      </c>
      <c r="BO1244" s="4" t="str">
        <f t="shared" si="686"/>
        <v>0</v>
      </c>
      <c r="BP1244" s="4">
        <f t="shared" si="687"/>
        <v>4</v>
      </c>
      <c r="BQ1244" s="4">
        <f t="shared" si="688"/>
        <v>6</v>
      </c>
      <c r="BR1244" s="4">
        <f t="shared" si="689"/>
        <v>4</v>
      </c>
      <c r="BS1244" s="4">
        <f t="shared" si="690"/>
        <v>4</v>
      </c>
      <c r="BT1244" s="4">
        <f t="shared" si="691"/>
        <v>4</v>
      </c>
      <c r="BU1244" s="4">
        <f t="shared" si="692"/>
        <v>4</v>
      </c>
      <c r="BV1244" s="4" t="str">
        <f t="shared" si="693"/>
        <v>0</v>
      </c>
      <c r="BW1244" s="4">
        <f t="shared" si="694"/>
        <v>6</v>
      </c>
      <c r="BX1244" s="4">
        <f t="shared" si="695"/>
        <v>0</v>
      </c>
      <c r="BY1244" s="4">
        <f t="shared" si="696"/>
        <v>0</v>
      </c>
      <c r="BZ1244" s="37">
        <f t="shared" si="697"/>
        <v>90</v>
      </c>
      <c r="CA1244" s="32" t="str">
        <f>VLOOKUP(J:J,'Agent wise'!A:C,3,0)</f>
        <v>Saran S</v>
      </c>
      <c r="CB1244" s="32">
        <f t="shared" si="699"/>
        <v>45951</v>
      </c>
      <c r="CC1244" t="str">
        <f t="shared" si="698"/>
        <v>Good</v>
      </c>
      <c r="CE1244" s="32"/>
      <c r="CJ1244">
        <f t="shared" si="700"/>
        <v>21</v>
      </c>
      <c r="CK1244">
        <f t="shared" si="701"/>
        <v>10</v>
      </c>
      <c r="CL1244">
        <f t="shared" si="702"/>
        <v>2025</v>
      </c>
    </row>
    <row r="1245" spans="1:90" ht="15" customHeight="1" x14ac:dyDescent="0.35">
      <c r="A1245" t="s">
        <v>3065</v>
      </c>
      <c r="B1245" t="s">
        <v>250</v>
      </c>
      <c r="C1245" t="s">
        <v>214</v>
      </c>
      <c r="D1245" t="s">
        <v>251</v>
      </c>
      <c r="E1245" s="32">
        <v>45951</v>
      </c>
      <c r="F1245" t="s">
        <v>54</v>
      </c>
      <c r="G1245" t="s">
        <v>2811</v>
      </c>
      <c r="H1245">
        <v>9633439004</v>
      </c>
      <c r="I1245">
        <v>176</v>
      </c>
      <c r="J1245" t="s">
        <v>636</v>
      </c>
      <c r="K1245" t="s">
        <v>57</v>
      </c>
      <c r="L1245" t="s">
        <v>58</v>
      </c>
      <c r="M1245" t="s">
        <v>59</v>
      </c>
      <c r="N1245" t="s">
        <v>59</v>
      </c>
      <c r="O1245" t="s">
        <v>59</v>
      </c>
      <c r="P1245" t="s">
        <v>59</v>
      </c>
      <c r="Q1245" t="s">
        <v>59</v>
      </c>
      <c r="R1245" t="s">
        <v>59</v>
      </c>
      <c r="S1245" t="s">
        <v>59</v>
      </c>
      <c r="T1245" t="s">
        <v>59</v>
      </c>
      <c r="U1245" t="s">
        <v>60</v>
      </c>
      <c r="V1245" t="s">
        <v>59</v>
      </c>
      <c r="W1245" t="s">
        <v>59</v>
      </c>
      <c r="X1245" t="s">
        <v>59</v>
      </c>
      <c r="Y1245" t="s">
        <v>59</v>
      </c>
      <c r="Z1245" t="s">
        <v>59</v>
      </c>
      <c r="AA1245" t="s">
        <v>60</v>
      </c>
      <c r="AB1245" t="s">
        <v>59</v>
      </c>
      <c r="AC1245" t="s">
        <v>59</v>
      </c>
      <c r="AD1245" t="s">
        <v>59</v>
      </c>
      <c r="AE1245" t="s">
        <v>59</v>
      </c>
      <c r="AF1245" t="s">
        <v>59</v>
      </c>
      <c r="AG1245" t="s">
        <v>59</v>
      </c>
      <c r="AH1245" t="s">
        <v>61</v>
      </c>
      <c r="AI1245" t="s">
        <v>60</v>
      </c>
      <c r="AJ1245" t="s">
        <v>59</v>
      </c>
      <c r="AK1245" t="s">
        <v>59</v>
      </c>
      <c r="AL1245" t="s">
        <v>60</v>
      </c>
      <c r="AM1245" t="s">
        <v>59</v>
      </c>
      <c r="AN1245" t="s">
        <v>59</v>
      </c>
      <c r="AO1245" t="s">
        <v>59</v>
      </c>
      <c r="AP1245" s="1" t="s">
        <v>3066</v>
      </c>
      <c r="AQ1245" t="s">
        <v>3067</v>
      </c>
      <c r="AR1245" t="s">
        <v>64</v>
      </c>
      <c r="AS1245" t="s">
        <v>3068</v>
      </c>
      <c r="AT1245" t="s">
        <v>65</v>
      </c>
      <c r="AU1245" t="s">
        <v>219</v>
      </c>
      <c r="AW1245" s="4">
        <f t="shared" si="668"/>
        <v>6</v>
      </c>
      <c r="AX1245" s="4">
        <f t="shared" si="669"/>
        <v>4</v>
      </c>
      <c r="AY1245" s="4">
        <f t="shared" si="670"/>
        <v>4</v>
      </c>
      <c r="AZ1245" s="4">
        <f t="shared" si="671"/>
        <v>2</v>
      </c>
      <c r="BA1245" s="4">
        <f t="shared" si="672"/>
        <v>4</v>
      </c>
      <c r="BB1245" s="4">
        <f t="shared" si="673"/>
        <v>4</v>
      </c>
      <c r="BC1245" s="4">
        <f t="shared" si="674"/>
        <v>4</v>
      </c>
      <c r="BD1245" s="4">
        <f t="shared" si="675"/>
        <v>2</v>
      </c>
      <c r="BE1245" s="4" t="str">
        <f t="shared" si="676"/>
        <v>0</v>
      </c>
      <c r="BF1245" s="4">
        <f t="shared" si="677"/>
        <v>2</v>
      </c>
      <c r="BG1245" s="4">
        <f t="shared" si="678"/>
        <v>4</v>
      </c>
      <c r="BH1245" s="4">
        <f t="shared" si="679"/>
        <v>4</v>
      </c>
      <c r="BI1245" s="4">
        <f t="shared" si="680"/>
        <v>4</v>
      </c>
      <c r="BJ1245" s="4">
        <f t="shared" si="681"/>
        <v>2</v>
      </c>
      <c r="BK1245" s="4" t="str">
        <f t="shared" si="682"/>
        <v>0</v>
      </c>
      <c r="BL1245" s="4">
        <f t="shared" si="683"/>
        <v>2</v>
      </c>
      <c r="BM1245" s="4">
        <f t="shared" si="684"/>
        <v>4</v>
      </c>
      <c r="BN1245" s="4">
        <f t="shared" si="685"/>
        <v>4</v>
      </c>
      <c r="BO1245" s="4">
        <f t="shared" si="686"/>
        <v>4</v>
      </c>
      <c r="BP1245" s="4">
        <f t="shared" si="687"/>
        <v>4</v>
      </c>
      <c r="BQ1245" s="4">
        <f t="shared" si="688"/>
        <v>6</v>
      </c>
      <c r="BR1245" s="4">
        <f t="shared" si="689"/>
        <v>4</v>
      </c>
      <c r="BS1245" s="4" t="str">
        <f t="shared" si="690"/>
        <v>0</v>
      </c>
      <c r="BT1245" s="4">
        <f t="shared" si="691"/>
        <v>4</v>
      </c>
      <c r="BU1245" s="4">
        <f t="shared" si="692"/>
        <v>4</v>
      </c>
      <c r="BV1245" s="4" t="str">
        <f t="shared" si="693"/>
        <v>0</v>
      </c>
      <c r="BW1245" s="4">
        <f t="shared" si="694"/>
        <v>6</v>
      </c>
      <c r="BX1245" s="4">
        <f t="shared" si="695"/>
        <v>0</v>
      </c>
      <c r="BY1245" s="4">
        <f t="shared" si="696"/>
        <v>0</v>
      </c>
      <c r="BZ1245" s="37">
        <f t="shared" si="697"/>
        <v>88</v>
      </c>
      <c r="CA1245" s="32" t="str">
        <f>VLOOKUP(J:J,'Agent wise'!A:C,3,0)</f>
        <v>Shakeer</v>
      </c>
      <c r="CB1245" s="32">
        <f t="shared" si="699"/>
        <v>45951</v>
      </c>
      <c r="CC1245" t="str">
        <f t="shared" si="698"/>
        <v>Average</v>
      </c>
      <c r="CE1245" s="32"/>
      <c r="CJ1245">
        <f t="shared" si="700"/>
        <v>21</v>
      </c>
      <c r="CK1245">
        <f t="shared" si="701"/>
        <v>10</v>
      </c>
      <c r="CL1245">
        <f t="shared" si="702"/>
        <v>2025</v>
      </c>
    </row>
    <row r="1246" spans="1:90" ht="15" customHeight="1" x14ac:dyDescent="0.35">
      <c r="A1246" t="s">
        <v>3069</v>
      </c>
      <c r="B1246" t="s">
        <v>250</v>
      </c>
      <c r="C1246" t="s">
        <v>214</v>
      </c>
      <c r="D1246" t="s">
        <v>251</v>
      </c>
      <c r="E1246" s="32">
        <v>45951</v>
      </c>
      <c r="F1246" t="s">
        <v>54</v>
      </c>
      <c r="G1246" t="s">
        <v>2811</v>
      </c>
      <c r="H1246">
        <v>9188504634</v>
      </c>
      <c r="I1246">
        <v>133</v>
      </c>
      <c r="J1246" t="s">
        <v>638</v>
      </c>
      <c r="K1246" t="s">
        <v>57</v>
      </c>
      <c r="L1246" t="s">
        <v>58</v>
      </c>
      <c r="M1246" t="s">
        <v>59</v>
      </c>
      <c r="N1246" t="s">
        <v>59</v>
      </c>
      <c r="O1246" t="s">
        <v>59</v>
      </c>
      <c r="P1246" t="s">
        <v>59</v>
      </c>
      <c r="Q1246" t="s">
        <v>59</v>
      </c>
      <c r="R1246" t="s">
        <v>59</v>
      </c>
      <c r="S1246" t="s">
        <v>59</v>
      </c>
      <c r="T1246" t="s">
        <v>59</v>
      </c>
      <c r="U1246" t="s">
        <v>60</v>
      </c>
      <c r="V1246" t="s">
        <v>59</v>
      </c>
      <c r="W1246" t="s">
        <v>59</v>
      </c>
      <c r="X1246" t="s">
        <v>59</v>
      </c>
      <c r="Y1246" t="s">
        <v>59</v>
      </c>
      <c r="Z1246" t="s">
        <v>59</v>
      </c>
      <c r="AA1246" t="s">
        <v>60</v>
      </c>
      <c r="AB1246" t="s">
        <v>59</v>
      </c>
      <c r="AC1246" t="s">
        <v>59</v>
      </c>
      <c r="AD1246" t="s">
        <v>61</v>
      </c>
      <c r="AE1246" t="s">
        <v>59</v>
      </c>
      <c r="AF1246" t="s">
        <v>59</v>
      </c>
      <c r="AG1246" t="s">
        <v>59</v>
      </c>
      <c r="AH1246" t="s">
        <v>61</v>
      </c>
      <c r="AI1246" t="s">
        <v>61</v>
      </c>
      <c r="AJ1246" t="s">
        <v>59</v>
      </c>
      <c r="AK1246" t="s">
        <v>59</v>
      </c>
      <c r="AL1246" t="s">
        <v>60</v>
      </c>
      <c r="AM1246" t="s">
        <v>59</v>
      </c>
      <c r="AN1246" t="s">
        <v>59</v>
      </c>
      <c r="AO1246" t="s">
        <v>59</v>
      </c>
      <c r="AP1246" t="s">
        <v>1211</v>
      </c>
      <c r="AQ1246" t="s">
        <v>3070</v>
      </c>
      <c r="AR1246" t="s">
        <v>64</v>
      </c>
      <c r="AS1246" t="s">
        <v>3071</v>
      </c>
      <c r="AT1246" t="s">
        <v>255</v>
      </c>
      <c r="AU1246" t="s">
        <v>219</v>
      </c>
      <c r="AW1246" s="4">
        <f t="shared" si="668"/>
        <v>6</v>
      </c>
      <c r="AX1246" s="4">
        <f t="shared" si="669"/>
        <v>4</v>
      </c>
      <c r="AY1246" s="4">
        <f t="shared" si="670"/>
        <v>4</v>
      </c>
      <c r="AZ1246" s="4">
        <f t="shared" si="671"/>
        <v>2</v>
      </c>
      <c r="BA1246" s="4">
        <f t="shared" si="672"/>
        <v>4</v>
      </c>
      <c r="BB1246" s="4">
        <f t="shared" si="673"/>
        <v>4</v>
      </c>
      <c r="BC1246" s="4">
        <f t="shared" si="674"/>
        <v>4</v>
      </c>
      <c r="BD1246" s="4">
        <f t="shared" si="675"/>
        <v>2</v>
      </c>
      <c r="BE1246" s="4" t="str">
        <f t="shared" si="676"/>
        <v>0</v>
      </c>
      <c r="BF1246" s="4">
        <f t="shared" si="677"/>
        <v>2</v>
      </c>
      <c r="BG1246" s="4">
        <f t="shared" si="678"/>
        <v>4</v>
      </c>
      <c r="BH1246" s="4">
        <f t="shared" si="679"/>
        <v>4</v>
      </c>
      <c r="BI1246" s="4">
        <f t="shared" si="680"/>
        <v>4</v>
      </c>
      <c r="BJ1246" s="4">
        <f t="shared" si="681"/>
        <v>2</v>
      </c>
      <c r="BK1246" s="4" t="str">
        <f t="shared" si="682"/>
        <v>0</v>
      </c>
      <c r="BL1246" s="4">
        <f t="shared" si="683"/>
        <v>2</v>
      </c>
      <c r="BM1246" s="4">
        <f t="shared" si="684"/>
        <v>4</v>
      </c>
      <c r="BN1246" s="4">
        <f t="shared" si="685"/>
        <v>4</v>
      </c>
      <c r="BO1246" s="4">
        <f t="shared" si="686"/>
        <v>4</v>
      </c>
      <c r="BP1246" s="4">
        <f t="shared" si="687"/>
        <v>4</v>
      </c>
      <c r="BQ1246" s="4">
        <f t="shared" si="688"/>
        <v>6</v>
      </c>
      <c r="BR1246" s="4">
        <f t="shared" si="689"/>
        <v>4</v>
      </c>
      <c r="BS1246" s="4">
        <f t="shared" si="690"/>
        <v>4</v>
      </c>
      <c r="BT1246" s="4">
        <f t="shared" si="691"/>
        <v>4</v>
      </c>
      <c r="BU1246" s="4">
        <f t="shared" si="692"/>
        <v>4</v>
      </c>
      <c r="BV1246" s="4" t="str">
        <f t="shared" si="693"/>
        <v>0</v>
      </c>
      <c r="BW1246" s="4">
        <f t="shared" si="694"/>
        <v>6</v>
      </c>
      <c r="BX1246" s="4">
        <f t="shared" si="695"/>
        <v>0</v>
      </c>
      <c r="BY1246" s="4">
        <f t="shared" si="696"/>
        <v>0</v>
      </c>
      <c r="BZ1246" s="37">
        <f t="shared" si="697"/>
        <v>92</v>
      </c>
      <c r="CA1246" s="32" t="str">
        <f>VLOOKUP(J:J,'Agent wise'!A:C,3,0)</f>
        <v>Adharsh</v>
      </c>
      <c r="CB1246" s="32">
        <f t="shared" si="699"/>
        <v>45951</v>
      </c>
      <c r="CC1246" t="str">
        <f t="shared" si="698"/>
        <v>Good</v>
      </c>
      <c r="CE1246" s="32"/>
      <c r="CJ1246">
        <f t="shared" si="700"/>
        <v>21</v>
      </c>
      <c r="CK1246">
        <f t="shared" si="701"/>
        <v>10</v>
      </c>
      <c r="CL1246">
        <f t="shared" si="702"/>
        <v>2025</v>
      </c>
    </row>
    <row r="1247" spans="1:90" ht="15" customHeight="1" x14ac:dyDescent="0.35">
      <c r="A1247" t="s">
        <v>3072</v>
      </c>
      <c r="B1247" t="s">
        <v>250</v>
      </c>
      <c r="C1247" t="s">
        <v>214</v>
      </c>
      <c r="D1247" t="s">
        <v>251</v>
      </c>
      <c r="E1247" s="32">
        <v>45951</v>
      </c>
      <c r="F1247" t="s">
        <v>54</v>
      </c>
      <c r="G1247" t="s">
        <v>2811</v>
      </c>
      <c r="H1247">
        <v>9746827218</v>
      </c>
      <c r="I1247">
        <v>150</v>
      </c>
      <c r="J1247" t="s">
        <v>484</v>
      </c>
      <c r="K1247" t="s">
        <v>57</v>
      </c>
      <c r="L1247" t="s">
        <v>58</v>
      </c>
      <c r="M1247" t="s">
        <v>59</v>
      </c>
      <c r="N1247" t="s">
        <v>59</v>
      </c>
      <c r="O1247" t="s">
        <v>59</v>
      </c>
      <c r="P1247" t="s">
        <v>59</v>
      </c>
      <c r="Q1247" t="s">
        <v>59</v>
      </c>
      <c r="R1247" t="s">
        <v>59</v>
      </c>
      <c r="S1247" t="s">
        <v>59</v>
      </c>
      <c r="T1247" t="s">
        <v>59</v>
      </c>
      <c r="U1247" t="s">
        <v>60</v>
      </c>
      <c r="V1247" t="s">
        <v>59</v>
      </c>
      <c r="W1247" t="s">
        <v>59</v>
      </c>
      <c r="X1247" t="s">
        <v>60</v>
      </c>
      <c r="Y1247" t="s">
        <v>59</v>
      </c>
      <c r="Z1247" t="s">
        <v>59</v>
      </c>
      <c r="AA1247" t="s">
        <v>59</v>
      </c>
      <c r="AB1247" t="s">
        <v>59</v>
      </c>
      <c r="AC1247" t="s">
        <v>59</v>
      </c>
      <c r="AD1247" t="s">
        <v>59</v>
      </c>
      <c r="AE1247" t="s">
        <v>59</v>
      </c>
      <c r="AF1247" t="s">
        <v>59</v>
      </c>
      <c r="AG1247" t="s">
        <v>59</v>
      </c>
      <c r="AH1247" t="s">
        <v>61</v>
      </c>
      <c r="AI1247" t="s">
        <v>61</v>
      </c>
      <c r="AJ1247" t="s">
        <v>59</v>
      </c>
      <c r="AK1247" t="s">
        <v>59</v>
      </c>
      <c r="AL1247" t="s">
        <v>60</v>
      </c>
      <c r="AM1247" t="s">
        <v>59</v>
      </c>
      <c r="AN1247" t="s">
        <v>59</v>
      </c>
      <c r="AO1247" t="s">
        <v>59</v>
      </c>
      <c r="AP1247" t="s">
        <v>3073</v>
      </c>
      <c r="AQ1247" t="s">
        <v>3074</v>
      </c>
      <c r="AR1247" t="s">
        <v>64</v>
      </c>
      <c r="AS1247" t="s">
        <v>3032</v>
      </c>
      <c r="AT1247" t="s">
        <v>3075</v>
      </c>
      <c r="AU1247" t="s">
        <v>219</v>
      </c>
      <c r="AW1247" s="4">
        <f t="shared" si="668"/>
        <v>6</v>
      </c>
      <c r="AX1247" s="4">
        <f t="shared" si="669"/>
        <v>4</v>
      </c>
      <c r="AY1247" s="4">
        <f t="shared" si="670"/>
        <v>4</v>
      </c>
      <c r="AZ1247" s="4">
        <f t="shared" si="671"/>
        <v>2</v>
      </c>
      <c r="BA1247" s="4">
        <f t="shared" si="672"/>
        <v>4</v>
      </c>
      <c r="BB1247" s="4">
        <f t="shared" si="673"/>
        <v>4</v>
      </c>
      <c r="BC1247" s="4">
        <f t="shared" si="674"/>
        <v>4</v>
      </c>
      <c r="BD1247" s="4">
        <f t="shared" si="675"/>
        <v>2</v>
      </c>
      <c r="BE1247" s="4" t="str">
        <f t="shared" si="676"/>
        <v>0</v>
      </c>
      <c r="BF1247" s="4">
        <f t="shared" si="677"/>
        <v>2</v>
      </c>
      <c r="BG1247" s="4">
        <f t="shared" si="678"/>
        <v>4</v>
      </c>
      <c r="BH1247" s="4" t="str">
        <f t="shared" si="679"/>
        <v>0</v>
      </c>
      <c r="BI1247" s="4">
        <f t="shared" si="680"/>
        <v>4</v>
      </c>
      <c r="BJ1247" s="4">
        <f t="shared" si="681"/>
        <v>2</v>
      </c>
      <c r="BK1247" s="4">
        <f t="shared" si="682"/>
        <v>4</v>
      </c>
      <c r="BL1247" s="4">
        <f t="shared" si="683"/>
        <v>2</v>
      </c>
      <c r="BM1247" s="4">
        <f t="shared" si="684"/>
        <v>4</v>
      </c>
      <c r="BN1247" s="4">
        <f t="shared" si="685"/>
        <v>4</v>
      </c>
      <c r="BO1247" s="4">
        <f t="shared" si="686"/>
        <v>4</v>
      </c>
      <c r="BP1247" s="4">
        <f t="shared" si="687"/>
        <v>4</v>
      </c>
      <c r="BQ1247" s="4">
        <f t="shared" si="688"/>
        <v>6</v>
      </c>
      <c r="BR1247" s="4">
        <f t="shared" si="689"/>
        <v>4</v>
      </c>
      <c r="BS1247" s="4">
        <f t="shared" si="690"/>
        <v>4</v>
      </c>
      <c r="BT1247" s="4">
        <f t="shared" si="691"/>
        <v>4</v>
      </c>
      <c r="BU1247" s="4">
        <f t="shared" si="692"/>
        <v>4</v>
      </c>
      <c r="BV1247" s="4" t="str">
        <f t="shared" si="693"/>
        <v>0</v>
      </c>
      <c r="BW1247" s="4">
        <f t="shared" si="694"/>
        <v>6</v>
      </c>
      <c r="BX1247" s="4">
        <f t="shared" si="695"/>
        <v>0</v>
      </c>
      <c r="BY1247" s="4">
        <f t="shared" si="696"/>
        <v>0</v>
      </c>
      <c r="BZ1247" s="37">
        <f t="shared" si="697"/>
        <v>92</v>
      </c>
      <c r="CA1247" s="32" t="str">
        <f>VLOOKUP(J:J,'Agent wise'!A:C,3,0)</f>
        <v>Adharsh</v>
      </c>
      <c r="CB1247" s="32">
        <f t="shared" si="699"/>
        <v>45951</v>
      </c>
      <c r="CC1247" t="str">
        <f t="shared" si="698"/>
        <v>Good</v>
      </c>
      <c r="CE1247" s="32"/>
      <c r="CJ1247">
        <f t="shared" si="700"/>
        <v>21</v>
      </c>
      <c r="CK1247">
        <f t="shared" si="701"/>
        <v>10</v>
      </c>
      <c r="CL1247">
        <f t="shared" si="702"/>
        <v>2025</v>
      </c>
    </row>
    <row r="1248" spans="1:90" ht="15" customHeight="1" x14ac:dyDescent="0.35">
      <c r="A1248" t="s">
        <v>3076</v>
      </c>
      <c r="B1248" t="s">
        <v>250</v>
      </c>
      <c r="C1248" t="s">
        <v>214</v>
      </c>
      <c r="D1248" t="s">
        <v>251</v>
      </c>
      <c r="E1248" s="32">
        <v>45951</v>
      </c>
      <c r="F1248" t="s">
        <v>54</v>
      </c>
      <c r="G1248" t="s">
        <v>2811</v>
      </c>
      <c r="H1248">
        <v>8547914226</v>
      </c>
      <c r="I1248">
        <v>133</v>
      </c>
      <c r="J1248" t="s">
        <v>80</v>
      </c>
      <c r="K1248" t="s">
        <v>57</v>
      </c>
      <c r="L1248" t="s">
        <v>58</v>
      </c>
      <c r="M1248" t="s">
        <v>59</v>
      </c>
      <c r="N1248" t="s">
        <v>59</v>
      </c>
      <c r="O1248" t="s">
        <v>59</v>
      </c>
      <c r="P1248" t="s">
        <v>59</v>
      </c>
      <c r="Q1248" t="s">
        <v>59</v>
      </c>
      <c r="R1248" t="s">
        <v>59</v>
      </c>
      <c r="S1248" t="s">
        <v>59</v>
      </c>
      <c r="T1248" t="s">
        <v>59</v>
      </c>
      <c r="U1248" t="s">
        <v>60</v>
      </c>
      <c r="V1248" t="s">
        <v>59</v>
      </c>
      <c r="W1248" t="s">
        <v>59</v>
      </c>
      <c r="X1248" t="s">
        <v>59</v>
      </c>
      <c r="Y1248" t="s">
        <v>59</v>
      </c>
      <c r="Z1248" t="s">
        <v>59</v>
      </c>
      <c r="AA1248" t="s">
        <v>60</v>
      </c>
      <c r="AB1248" t="s">
        <v>59</v>
      </c>
      <c r="AC1248" t="s">
        <v>59</v>
      </c>
      <c r="AD1248" t="s">
        <v>59</v>
      </c>
      <c r="AE1248" t="s">
        <v>59</v>
      </c>
      <c r="AF1248" t="s">
        <v>59</v>
      </c>
      <c r="AG1248" t="s">
        <v>59</v>
      </c>
      <c r="AH1248" t="s">
        <v>61</v>
      </c>
      <c r="AI1248" t="s">
        <v>59</v>
      </c>
      <c r="AJ1248" t="s">
        <v>59</v>
      </c>
      <c r="AK1248" t="s">
        <v>59</v>
      </c>
      <c r="AL1248" t="s">
        <v>60</v>
      </c>
      <c r="AM1248" t="s">
        <v>59</v>
      </c>
      <c r="AN1248" t="s">
        <v>59</v>
      </c>
      <c r="AO1248" t="s">
        <v>59</v>
      </c>
      <c r="AP1248" t="s">
        <v>563</v>
      </c>
      <c r="AQ1248" t="s">
        <v>3077</v>
      </c>
      <c r="AR1248" t="s">
        <v>64</v>
      </c>
      <c r="AS1248" t="s">
        <v>3078</v>
      </c>
      <c r="AT1248" t="s">
        <v>111</v>
      </c>
      <c r="AU1248" t="s">
        <v>219</v>
      </c>
      <c r="AW1248" s="4">
        <f t="shared" si="668"/>
        <v>6</v>
      </c>
      <c r="AX1248" s="4">
        <f t="shared" si="669"/>
        <v>4</v>
      </c>
      <c r="AY1248" s="4">
        <f t="shared" si="670"/>
        <v>4</v>
      </c>
      <c r="AZ1248" s="4">
        <f t="shared" si="671"/>
        <v>2</v>
      </c>
      <c r="BA1248" s="4">
        <f t="shared" si="672"/>
        <v>4</v>
      </c>
      <c r="BB1248" s="4">
        <f t="shared" si="673"/>
        <v>4</v>
      </c>
      <c r="BC1248" s="4">
        <f t="shared" si="674"/>
        <v>4</v>
      </c>
      <c r="BD1248" s="4">
        <f t="shared" si="675"/>
        <v>2</v>
      </c>
      <c r="BE1248" s="4" t="str">
        <f t="shared" si="676"/>
        <v>0</v>
      </c>
      <c r="BF1248" s="4">
        <f t="shared" si="677"/>
        <v>2</v>
      </c>
      <c r="BG1248" s="4">
        <f t="shared" si="678"/>
        <v>4</v>
      </c>
      <c r="BH1248" s="4">
        <f t="shared" si="679"/>
        <v>4</v>
      </c>
      <c r="BI1248" s="4">
        <f t="shared" si="680"/>
        <v>4</v>
      </c>
      <c r="BJ1248" s="4">
        <f t="shared" si="681"/>
        <v>2</v>
      </c>
      <c r="BK1248" s="4" t="str">
        <f t="shared" si="682"/>
        <v>0</v>
      </c>
      <c r="BL1248" s="4">
        <f t="shared" si="683"/>
        <v>2</v>
      </c>
      <c r="BM1248" s="4">
        <f t="shared" si="684"/>
        <v>4</v>
      </c>
      <c r="BN1248" s="4">
        <f t="shared" si="685"/>
        <v>4</v>
      </c>
      <c r="BO1248" s="4">
        <f t="shared" si="686"/>
        <v>4</v>
      </c>
      <c r="BP1248" s="4">
        <f t="shared" si="687"/>
        <v>4</v>
      </c>
      <c r="BQ1248" s="4">
        <f t="shared" si="688"/>
        <v>6</v>
      </c>
      <c r="BR1248" s="4">
        <f t="shared" si="689"/>
        <v>4</v>
      </c>
      <c r="BS1248" s="4">
        <f t="shared" si="690"/>
        <v>4</v>
      </c>
      <c r="BT1248" s="4">
        <f t="shared" si="691"/>
        <v>4</v>
      </c>
      <c r="BU1248" s="4">
        <f t="shared" si="692"/>
        <v>4</v>
      </c>
      <c r="BV1248" s="4" t="str">
        <f t="shared" si="693"/>
        <v>0</v>
      </c>
      <c r="BW1248" s="4">
        <f t="shared" si="694"/>
        <v>6</v>
      </c>
      <c r="BX1248" s="4">
        <f t="shared" si="695"/>
        <v>0</v>
      </c>
      <c r="BY1248" s="4">
        <f t="shared" si="696"/>
        <v>0</v>
      </c>
      <c r="BZ1248" s="37">
        <f t="shared" si="697"/>
        <v>92</v>
      </c>
      <c r="CA1248" s="32" t="str">
        <f>VLOOKUP(J:J,'Agent wise'!A:C,3,0)</f>
        <v>Saran S</v>
      </c>
      <c r="CB1248" s="32">
        <f t="shared" si="699"/>
        <v>45951</v>
      </c>
      <c r="CC1248" t="str">
        <f t="shared" si="698"/>
        <v>Good</v>
      </c>
      <c r="CE1248" s="32"/>
      <c r="CJ1248">
        <f t="shared" si="700"/>
        <v>21</v>
      </c>
      <c r="CK1248">
        <f t="shared" si="701"/>
        <v>10</v>
      </c>
      <c r="CL1248">
        <f t="shared" si="702"/>
        <v>2025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11"/>
  <sheetViews>
    <sheetView workbookViewId="0">
      <selection activeCell="K1" sqref="K1"/>
    </sheetView>
  </sheetViews>
  <sheetFormatPr defaultRowHeight="14.5" x14ac:dyDescent="0.35"/>
  <cols>
    <col min="6" max="6" width="9.36328125" bestFit="1" customWidth="1"/>
    <col min="9" max="9" width="11" bestFit="1" customWidth="1"/>
    <col min="10" max="10" width="9.81640625" bestFit="1" customWidth="1"/>
  </cols>
  <sheetData>
    <row r="1" spans="1:11" x14ac:dyDescent="0.35">
      <c r="A1" s="7" t="s">
        <v>1440</v>
      </c>
      <c r="B1" s="7" t="s">
        <v>1441</v>
      </c>
      <c r="C1" s="7" t="s">
        <v>48</v>
      </c>
      <c r="D1" s="7" t="s">
        <v>1442</v>
      </c>
      <c r="E1" s="7" t="s">
        <v>1443</v>
      </c>
      <c r="F1" s="7" t="s">
        <v>1444</v>
      </c>
      <c r="G1" s="7" t="s">
        <v>1445</v>
      </c>
      <c r="H1" s="8" t="s">
        <v>1446</v>
      </c>
      <c r="I1" s="7" t="s">
        <v>1447</v>
      </c>
      <c r="J1" s="7" t="s">
        <v>1448</v>
      </c>
      <c r="K1" s="7" t="s">
        <v>40</v>
      </c>
    </row>
    <row r="2" spans="1:11" x14ac:dyDescent="0.35">
      <c r="A2" s="9" t="s">
        <v>313</v>
      </c>
      <c r="B2" s="9" t="s">
        <v>1449</v>
      </c>
      <c r="C2" s="9" t="s">
        <v>107</v>
      </c>
      <c r="D2" s="9" t="s">
        <v>1450</v>
      </c>
      <c r="E2" s="9" t="s">
        <v>1451</v>
      </c>
      <c r="F2" s="41">
        <v>44691</v>
      </c>
      <c r="G2" s="10">
        <f>COUNTIFS('Audit Raw data'!J:J,A:A)</f>
        <v>10</v>
      </c>
      <c r="H2" s="11">
        <f>IFERROR(SUMIFS('Audit Raw data'!BZ:BZ,'Audit Raw data'!J:J,A:A)/G2,"")</f>
        <v>96.4</v>
      </c>
      <c r="I2" s="9">
        <f>COUNTIFS('Audit Raw data'!AM:AM,"Yes",'Audit Raw data'!J:J,A:A)</f>
        <v>10</v>
      </c>
      <c r="J2" s="9">
        <f t="shared" ref="J2:J33" si="0">G2-I2</f>
        <v>0</v>
      </c>
      <c r="K2" s="12">
        <f t="shared" ref="K2:K33" si="1">IFERROR(I2/G2," ")</f>
        <v>1</v>
      </c>
    </row>
    <row r="3" spans="1:11" x14ac:dyDescent="0.35">
      <c r="A3" s="9" t="s">
        <v>56</v>
      </c>
      <c r="B3" s="9" t="s">
        <v>1452</v>
      </c>
      <c r="C3" s="13" t="s">
        <v>1453</v>
      </c>
      <c r="D3" s="9" t="s">
        <v>1450</v>
      </c>
      <c r="E3" s="9" t="s">
        <v>54</v>
      </c>
      <c r="F3" s="41">
        <v>44707</v>
      </c>
      <c r="G3" s="10">
        <f>COUNTIFS('Audit Raw data'!J:J,A:A)</f>
        <v>13</v>
      </c>
      <c r="H3" s="11">
        <f>IFERROR(SUMIFS('Audit Raw data'!BZ:BZ,'Audit Raw data'!J:J,A:A)/G3,"")</f>
        <v>92.615384615384613</v>
      </c>
      <c r="I3" s="9">
        <f>COUNTIFS('Audit Raw data'!AM:AM,"Yes",'Audit Raw data'!J:J,A:A)</f>
        <v>12</v>
      </c>
      <c r="J3" s="9">
        <f t="shared" si="0"/>
        <v>1</v>
      </c>
      <c r="K3" s="12">
        <f t="shared" si="1"/>
        <v>0.92307692307692313</v>
      </c>
    </row>
    <row r="4" spans="1:11" x14ac:dyDescent="0.35">
      <c r="A4" s="9" t="s">
        <v>1454</v>
      </c>
      <c r="B4" s="9" t="s">
        <v>1455</v>
      </c>
      <c r="C4" s="9" t="s">
        <v>1456</v>
      </c>
      <c r="D4" s="9" t="s">
        <v>1450</v>
      </c>
      <c r="E4" s="9" t="s">
        <v>1457</v>
      </c>
      <c r="F4" s="41">
        <v>44707</v>
      </c>
      <c r="G4" s="10">
        <f>COUNTIFS('Audit Raw data'!J:J,A:A)</f>
        <v>0</v>
      </c>
      <c r="H4" s="11" t="str">
        <f>IFERROR(SUMIFS('Audit Raw data'!BZ:BZ,'Audit Raw data'!J:J,A:A)/G4,"")</f>
        <v/>
      </c>
      <c r="I4" s="9">
        <f>COUNTIFS('Audit Raw data'!AM:AM,"Yes",'Audit Raw data'!J:J,A:A)</f>
        <v>0</v>
      </c>
      <c r="J4" s="9">
        <f t="shared" si="0"/>
        <v>0</v>
      </c>
      <c r="K4" s="12" t="str">
        <f t="shared" si="1"/>
        <v xml:space="preserve"> </v>
      </c>
    </row>
    <row r="5" spans="1:11" x14ac:dyDescent="0.35">
      <c r="A5" s="9" t="s">
        <v>67</v>
      </c>
      <c r="B5" s="9" t="s">
        <v>1458</v>
      </c>
      <c r="C5" s="13" t="s">
        <v>1453</v>
      </c>
      <c r="D5" s="9" t="s">
        <v>1450</v>
      </c>
      <c r="E5" s="9" t="s">
        <v>54</v>
      </c>
      <c r="F5" s="41">
        <v>44713</v>
      </c>
      <c r="G5" s="10">
        <f>COUNTIFS('Audit Raw data'!J:J,A:A)</f>
        <v>8</v>
      </c>
      <c r="H5" s="11">
        <f>IFERROR(SUMIFS('Audit Raw data'!BZ:BZ,'Audit Raw data'!J:J,A:A)/G5,"")</f>
        <v>96</v>
      </c>
      <c r="I5" s="9">
        <f>COUNTIFS('Audit Raw data'!AM:AM,"Yes",'Audit Raw data'!J:J,A:A)</f>
        <v>8</v>
      </c>
      <c r="J5" s="9">
        <f t="shared" si="0"/>
        <v>0</v>
      </c>
      <c r="K5" s="12">
        <f t="shared" si="1"/>
        <v>1</v>
      </c>
    </row>
    <row r="6" spans="1:11" x14ac:dyDescent="0.35">
      <c r="A6" s="9" t="s">
        <v>466</v>
      </c>
      <c r="B6" s="9" t="s">
        <v>1459</v>
      </c>
      <c r="C6" s="14" t="s">
        <v>178</v>
      </c>
      <c r="D6" s="9" t="s">
        <v>1460</v>
      </c>
      <c r="E6" s="9" t="s">
        <v>54</v>
      </c>
      <c r="F6" s="41">
        <v>44721</v>
      </c>
      <c r="G6" s="10">
        <f>COUNTIFS('Audit Raw data'!J:J,A:A)</f>
        <v>15</v>
      </c>
      <c r="H6" s="11">
        <f>IFERROR(SUMIFS('Audit Raw data'!BZ:BZ,'Audit Raw data'!J:J,A:A)/G6,"")</f>
        <v>92.933333333333337</v>
      </c>
      <c r="I6" s="9">
        <f>COUNTIFS('Audit Raw data'!AM:AM,"Yes",'Audit Raw data'!J:J,A:A)</f>
        <v>15</v>
      </c>
      <c r="J6" s="9">
        <f t="shared" si="0"/>
        <v>0</v>
      </c>
      <c r="K6" s="12">
        <f t="shared" si="1"/>
        <v>1</v>
      </c>
    </row>
    <row r="7" spans="1:11" x14ac:dyDescent="0.35">
      <c r="A7" s="9" t="s">
        <v>575</v>
      </c>
      <c r="B7" s="9" t="s">
        <v>1461</v>
      </c>
      <c r="C7" s="9" t="s">
        <v>107</v>
      </c>
      <c r="D7" s="9" t="s">
        <v>1460</v>
      </c>
      <c r="E7" s="9" t="s">
        <v>54</v>
      </c>
      <c r="F7" s="41">
        <v>44739</v>
      </c>
      <c r="G7" s="10">
        <f>COUNTIFS('Audit Raw data'!J:J,A:A)</f>
        <v>16</v>
      </c>
      <c r="H7" s="11">
        <f>IFERROR(SUMIFS('Audit Raw data'!BZ:BZ,'Audit Raw data'!J:J,A:A)/G7,"")</f>
        <v>91.375</v>
      </c>
      <c r="I7" s="9">
        <f>COUNTIFS('Audit Raw data'!AM:AM,"Yes",'Audit Raw data'!J:J,A:A)</f>
        <v>16</v>
      </c>
      <c r="J7" s="9">
        <f t="shared" si="0"/>
        <v>0</v>
      </c>
      <c r="K7" s="12">
        <f t="shared" si="1"/>
        <v>1</v>
      </c>
    </row>
    <row r="8" spans="1:11" x14ac:dyDescent="0.35">
      <c r="A8" s="9" t="s">
        <v>91</v>
      </c>
      <c r="B8" s="9" t="s">
        <v>1462</v>
      </c>
      <c r="C8" s="13" t="s">
        <v>1453</v>
      </c>
      <c r="D8" s="9" t="s">
        <v>1460</v>
      </c>
      <c r="E8" s="9" t="s">
        <v>54</v>
      </c>
      <c r="F8" s="41">
        <v>44768</v>
      </c>
      <c r="G8" s="10">
        <f>COUNTIFS('Audit Raw data'!J:J,A:A)</f>
        <v>22</v>
      </c>
      <c r="H8" s="11">
        <f>IFERROR(SUMIFS('Audit Raw data'!BZ:BZ,'Audit Raw data'!J:J,A:A)/G8,"")</f>
        <v>89.181818181818187</v>
      </c>
      <c r="I8" s="9">
        <f>COUNTIFS('Audit Raw data'!AM:AM,"Yes",'Audit Raw data'!J:J,A:A)</f>
        <v>22</v>
      </c>
      <c r="J8" s="9">
        <f t="shared" si="0"/>
        <v>0</v>
      </c>
      <c r="K8" s="12">
        <f t="shared" si="1"/>
        <v>1</v>
      </c>
    </row>
    <row r="9" spans="1:11" x14ac:dyDescent="0.35">
      <c r="A9" s="9" t="s">
        <v>132</v>
      </c>
      <c r="B9" s="9" t="s">
        <v>1463</v>
      </c>
      <c r="C9" s="9" t="s">
        <v>107</v>
      </c>
      <c r="D9" s="9" t="s">
        <v>1450</v>
      </c>
      <c r="E9" s="9" t="s">
        <v>54</v>
      </c>
      <c r="F9" s="41">
        <v>44784</v>
      </c>
      <c r="G9" s="10">
        <f>COUNTIFS('Audit Raw data'!J:J,A:A)</f>
        <v>13</v>
      </c>
      <c r="H9" s="11">
        <f>IFERROR(SUMIFS('Audit Raw data'!BZ:BZ,'Audit Raw data'!J:J,A:A)/G9,"")</f>
        <v>96</v>
      </c>
      <c r="I9" s="9">
        <f>COUNTIFS('Audit Raw data'!AM:AM,"Yes",'Audit Raw data'!J:J,A:A)</f>
        <v>13</v>
      </c>
      <c r="J9" s="9">
        <f t="shared" si="0"/>
        <v>0</v>
      </c>
      <c r="K9" s="12">
        <f t="shared" si="1"/>
        <v>1</v>
      </c>
    </row>
    <row r="10" spans="1:11" x14ac:dyDescent="0.35">
      <c r="A10" s="9" t="s">
        <v>70</v>
      </c>
      <c r="B10" s="9" t="s">
        <v>1464</v>
      </c>
      <c r="C10" s="13" t="s">
        <v>1453</v>
      </c>
      <c r="D10" s="9" t="s">
        <v>1460</v>
      </c>
      <c r="E10" s="9" t="s">
        <v>54</v>
      </c>
      <c r="F10" s="41">
        <v>44786</v>
      </c>
      <c r="G10" s="10">
        <f>COUNTIFS('Audit Raw data'!J:J,A:A)</f>
        <v>10</v>
      </c>
      <c r="H10" s="11">
        <f>IFERROR(SUMIFS('Audit Raw data'!BZ:BZ,'Audit Raw data'!J:J,A:A)/G10,"")</f>
        <v>91.6</v>
      </c>
      <c r="I10" s="9">
        <f>COUNTIFS('Audit Raw data'!AM:AM,"Yes",'Audit Raw data'!J:J,A:A)</f>
        <v>10</v>
      </c>
      <c r="J10" s="9">
        <f t="shared" si="0"/>
        <v>0</v>
      </c>
      <c r="K10" s="12">
        <f t="shared" si="1"/>
        <v>1</v>
      </c>
    </row>
    <row r="11" spans="1:11" x14ac:dyDescent="0.35">
      <c r="A11" s="9" t="s">
        <v>75</v>
      </c>
      <c r="B11" s="9" t="s">
        <v>1465</v>
      </c>
      <c r="C11" s="13" t="s">
        <v>1453</v>
      </c>
      <c r="D11" s="9" t="s">
        <v>1450</v>
      </c>
      <c r="E11" s="9" t="s">
        <v>54</v>
      </c>
      <c r="F11" s="41">
        <v>44786</v>
      </c>
      <c r="G11" s="10">
        <f>COUNTIFS('Audit Raw data'!J:J,A:A)</f>
        <v>12</v>
      </c>
      <c r="H11" s="11">
        <f>IFERROR(SUMIFS('Audit Raw data'!BZ:BZ,'Audit Raw data'!J:J,A:A)/G11,"")</f>
        <v>91</v>
      </c>
      <c r="I11" s="9">
        <f>COUNTIFS('Audit Raw data'!AM:AM,"Yes",'Audit Raw data'!J:J,A:A)</f>
        <v>11</v>
      </c>
      <c r="J11" s="9">
        <f t="shared" si="0"/>
        <v>1</v>
      </c>
      <c r="K11" s="12">
        <f t="shared" si="1"/>
        <v>0.91666666666666663</v>
      </c>
    </row>
    <row r="12" spans="1:11" x14ac:dyDescent="0.35">
      <c r="A12" s="9" t="s">
        <v>636</v>
      </c>
      <c r="B12" s="9" t="s">
        <v>1466</v>
      </c>
      <c r="C12" s="9" t="s">
        <v>107</v>
      </c>
      <c r="D12" s="9" t="s">
        <v>1460</v>
      </c>
      <c r="E12" s="9" t="s">
        <v>54</v>
      </c>
      <c r="F12" s="41">
        <v>44882</v>
      </c>
      <c r="G12" s="10">
        <f>COUNTIFS('Audit Raw data'!J:J,A:A)</f>
        <v>12</v>
      </c>
      <c r="H12" s="11">
        <f>IFERROR(SUMIFS('Audit Raw data'!BZ:BZ,'Audit Raw data'!J:J,A:A)/G12,"")</f>
        <v>89.666666666666671</v>
      </c>
      <c r="I12" s="9">
        <f>COUNTIFS('Audit Raw data'!AM:AM,"Yes",'Audit Raw data'!J:J,A:A)</f>
        <v>12</v>
      </c>
      <c r="J12" s="9">
        <f t="shared" si="0"/>
        <v>0</v>
      </c>
      <c r="K12" s="12">
        <f t="shared" si="1"/>
        <v>1</v>
      </c>
    </row>
    <row r="13" spans="1:11" x14ac:dyDescent="0.35">
      <c r="A13" s="9" t="s">
        <v>638</v>
      </c>
      <c r="B13" s="9" t="s">
        <v>1467</v>
      </c>
      <c r="C13" s="14" t="s">
        <v>178</v>
      </c>
      <c r="D13" s="9" t="s">
        <v>1450</v>
      </c>
      <c r="E13" s="9" t="s">
        <v>54</v>
      </c>
      <c r="F13" s="41">
        <v>44932</v>
      </c>
      <c r="G13" s="10">
        <f>COUNTIFS('Audit Raw data'!J:J,A:A)</f>
        <v>12</v>
      </c>
      <c r="H13" s="11">
        <f>IFERROR(SUMIFS('Audit Raw data'!BZ:BZ,'Audit Raw data'!J:J,A:A)/G13,"")</f>
        <v>92.5</v>
      </c>
      <c r="I13" s="9">
        <f>COUNTIFS('Audit Raw data'!AM:AM,"Yes",'Audit Raw data'!J:J,A:A)</f>
        <v>12</v>
      </c>
      <c r="J13" s="9">
        <f t="shared" si="0"/>
        <v>0</v>
      </c>
      <c r="K13" s="12">
        <f t="shared" si="1"/>
        <v>1</v>
      </c>
    </row>
    <row r="14" spans="1:11" x14ac:dyDescent="0.35">
      <c r="A14" s="9" t="s">
        <v>484</v>
      </c>
      <c r="B14" s="9" t="s">
        <v>1468</v>
      </c>
      <c r="C14" s="14" t="s">
        <v>178</v>
      </c>
      <c r="D14" s="9" t="s">
        <v>1450</v>
      </c>
      <c r="E14" s="9" t="s">
        <v>54</v>
      </c>
      <c r="F14" s="41">
        <v>44942</v>
      </c>
      <c r="G14" s="10">
        <f>COUNTIFS('Audit Raw data'!J:J,A:A)</f>
        <v>9</v>
      </c>
      <c r="H14" s="11">
        <f>IFERROR(SUMIFS('Audit Raw data'!BZ:BZ,'Audit Raw data'!J:J,A:A)/G14,"")</f>
        <v>91.111111111111114</v>
      </c>
      <c r="I14" s="9">
        <f>COUNTIFS('Audit Raw data'!AM:AM,"Yes",'Audit Raw data'!J:J,A:A)</f>
        <v>9</v>
      </c>
      <c r="J14" s="9">
        <f t="shared" si="0"/>
        <v>0</v>
      </c>
      <c r="K14" s="12">
        <f t="shared" si="1"/>
        <v>1</v>
      </c>
    </row>
    <row r="15" spans="1:11" x14ac:dyDescent="0.35">
      <c r="A15" s="9" t="s">
        <v>80</v>
      </c>
      <c r="B15" s="9" t="s">
        <v>1469</v>
      </c>
      <c r="C15" s="13" t="s">
        <v>1453</v>
      </c>
      <c r="D15" s="9" t="s">
        <v>1460</v>
      </c>
      <c r="E15" s="9" t="s">
        <v>54</v>
      </c>
      <c r="F15" s="41">
        <v>44961</v>
      </c>
      <c r="G15" s="10">
        <f>COUNTIFS('Audit Raw data'!J:J,A:A)</f>
        <v>19</v>
      </c>
      <c r="H15" s="11">
        <f>IFERROR(SUMIFS('Audit Raw data'!BZ:BZ,'Audit Raw data'!J:J,A:A)/G15,"")</f>
        <v>91.473684210526315</v>
      </c>
      <c r="I15" s="9">
        <f>COUNTIFS('Audit Raw data'!AM:AM,"Yes",'Audit Raw data'!J:J,A:A)</f>
        <v>19</v>
      </c>
      <c r="J15" s="9">
        <f t="shared" si="0"/>
        <v>0</v>
      </c>
      <c r="K15" s="12">
        <f t="shared" si="1"/>
        <v>1</v>
      </c>
    </row>
    <row r="16" spans="1:11" x14ac:dyDescent="0.35">
      <c r="A16" s="9" t="s">
        <v>490</v>
      </c>
      <c r="B16" s="9" t="s">
        <v>1470</v>
      </c>
      <c r="C16" s="13" t="s">
        <v>1453</v>
      </c>
      <c r="D16" s="9" t="s">
        <v>1450</v>
      </c>
      <c r="E16" s="9" t="s">
        <v>54</v>
      </c>
      <c r="F16" s="41">
        <v>45093</v>
      </c>
      <c r="G16" s="10">
        <f>COUNTIFS('Audit Raw data'!J:J,A:A)</f>
        <v>18</v>
      </c>
      <c r="H16" s="11">
        <f>IFERROR(SUMIFS('Audit Raw data'!BZ:BZ,'Audit Raw data'!J:J,A:A)/G16,"")</f>
        <v>94.111111111111114</v>
      </c>
      <c r="I16" s="9">
        <f>COUNTIFS('Audit Raw data'!AM:AM,"Yes",'Audit Raw data'!J:J,A:A)</f>
        <v>18</v>
      </c>
      <c r="J16" s="9">
        <f t="shared" si="0"/>
        <v>0</v>
      </c>
      <c r="K16" s="12">
        <f t="shared" si="1"/>
        <v>1</v>
      </c>
    </row>
    <row r="17" spans="1:11" x14ac:dyDescent="0.35">
      <c r="A17" s="9" t="s">
        <v>139</v>
      </c>
      <c r="B17" s="9" t="s">
        <v>1471</v>
      </c>
      <c r="C17" s="13" t="s">
        <v>107</v>
      </c>
      <c r="D17" s="9" t="s">
        <v>1450</v>
      </c>
      <c r="E17" s="9" t="s">
        <v>54</v>
      </c>
      <c r="F17" s="41">
        <v>45139</v>
      </c>
      <c r="G17" s="10">
        <f>COUNTIFS('Audit Raw data'!J:J,A:A)</f>
        <v>15</v>
      </c>
      <c r="H17" s="11">
        <f>IFERROR(SUMIFS('Audit Raw data'!BZ:BZ,'Audit Raw data'!J:J,A:A)/G17,"")</f>
        <v>92.8</v>
      </c>
      <c r="I17" s="9">
        <f>COUNTIFS('Audit Raw data'!AM:AM,"Yes",'Audit Raw data'!J:J,A:A)</f>
        <v>15</v>
      </c>
      <c r="J17" s="9">
        <f t="shared" si="0"/>
        <v>0</v>
      </c>
      <c r="K17" s="12">
        <f t="shared" si="1"/>
        <v>1</v>
      </c>
    </row>
    <row r="18" spans="1:11" x14ac:dyDescent="0.35">
      <c r="A18" s="9" t="s">
        <v>208</v>
      </c>
      <c r="B18" s="9" t="s">
        <v>1472</v>
      </c>
      <c r="C18" s="9" t="s">
        <v>178</v>
      </c>
      <c r="D18" s="9" t="s">
        <v>1450</v>
      </c>
      <c r="E18" s="9" t="s">
        <v>54</v>
      </c>
      <c r="F18" s="41">
        <v>45140</v>
      </c>
      <c r="G18" s="10">
        <f>COUNTIFS('Audit Raw data'!J:J,A:A)</f>
        <v>31</v>
      </c>
      <c r="H18" s="11">
        <f>IFERROR(SUMIFS('Audit Raw data'!BZ:BZ,'Audit Raw data'!J:J,A:A)/G18,"")</f>
        <v>91.612903225806448</v>
      </c>
      <c r="I18" s="9">
        <f>COUNTIFS('Audit Raw data'!AM:AM,"Yes",'Audit Raw data'!J:J,A:A)</f>
        <v>31</v>
      </c>
      <c r="J18" s="9">
        <f t="shared" si="0"/>
        <v>0</v>
      </c>
      <c r="K18" s="12">
        <f t="shared" si="1"/>
        <v>1</v>
      </c>
    </row>
    <row r="19" spans="1:11" x14ac:dyDescent="0.35">
      <c r="A19" s="9" t="s">
        <v>546</v>
      </c>
      <c r="B19" s="9" t="s">
        <v>1473</v>
      </c>
      <c r="C19" s="14" t="s">
        <v>107</v>
      </c>
      <c r="D19" s="9" t="s">
        <v>1450</v>
      </c>
      <c r="E19" s="9" t="s">
        <v>54</v>
      </c>
      <c r="F19" s="41">
        <v>45245</v>
      </c>
      <c r="G19" s="10">
        <f>COUNTIFS('Audit Raw data'!J:J,A:A)</f>
        <v>13</v>
      </c>
      <c r="H19" s="11">
        <f>IFERROR(SUMIFS('Audit Raw data'!BZ:BZ,'Audit Raw data'!J:J,A:A)/G19,"")</f>
        <v>93.538461538461533</v>
      </c>
      <c r="I19" s="9">
        <f>COUNTIFS('Audit Raw data'!AM:AM,"Yes",'Audit Raw data'!J:J,A:A)</f>
        <v>13</v>
      </c>
      <c r="J19" s="9">
        <f t="shared" si="0"/>
        <v>0</v>
      </c>
      <c r="K19" s="12">
        <f t="shared" si="1"/>
        <v>1</v>
      </c>
    </row>
    <row r="20" spans="1:11" x14ac:dyDescent="0.35">
      <c r="A20" s="9" t="s">
        <v>1474</v>
      </c>
      <c r="B20" s="9" t="s">
        <v>1475</v>
      </c>
      <c r="C20" s="9" t="s">
        <v>1456</v>
      </c>
      <c r="D20" s="9" t="s">
        <v>1450</v>
      </c>
      <c r="E20" s="9" t="s">
        <v>1457</v>
      </c>
      <c r="F20" s="41">
        <v>44932</v>
      </c>
      <c r="G20" s="10">
        <f>COUNTIFS('Audit Raw data'!J:J,A:A)</f>
        <v>0</v>
      </c>
      <c r="H20" s="11" t="str">
        <f>IFERROR(SUMIFS('Audit Raw data'!BZ:BZ,'Audit Raw data'!J:J,A:A)/G20,"")</f>
        <v/>
      </c>
      <c r="I20" s="9">
        <f>COUNTIFS('Audit Raw data'!AM:AM,"Yes",'Audit Raw data'!J:J,A:A)</f>
        <v>0</v>
      </c>
      <c r="J20" s="9">
        <f t="shared" si="0"/>
        <v>0</v>
      </c>
      <c r="K20" s="12" t="str">
        <f t="shared" si="1"/>
        <v xml:space="preserve"> </v>
      </c>
    </row>
    <row r="21" spans="1:11" x14ac:dyDescent="0.35">
      <c r="A21" s="9" t="s">
        <v>472</v>
      </c>
      <c r="B21" s="9" t="s">
        <v>1476</v>
      </c>
      <c r="C21" s="14" t="s">
        <v>1453</v>
      </c>
      <c r="D21" s="9" t="s">
        <v>1450</v>
      </c>
      <c r="E21" s="9" t="s">
        <v>54</v>
      </c>
      <c r="F21" s="41">
        <v>45329</v>
      </c>
      <c r="G21" s="10">
        <f>COUNTIFS('Audit Raw data'!J:J,A:A)</f>
        <v>19</v>
      </c>
      <c r="H21" s="11">
        <f>IFERROR(SUMIFS('Audit Raw data'!BZ:BZ,'Audit Raw data'!J:J,A:A)/G21,"")</f>
        <v>95.05263157894737</v>
      </c>
      <c r="I21" s="9">
        <f>COUNTIFS('Audit Raw data'!AM:AM,"Yes",'Audit Raw data'!J:J,A:A)</f>
        <v>19</v>
      </c>
      <c r="J21" s="9">
        <f t="shared" si="0"/>
        <v>0</v>
      </c>
      <c r="K21" s="12">
        <f t="shared" si="1"/>
        <v>1</v>
      </c>
    </row>
    <row r="22" spans="1:11" x14ac:dyDescent="0.35">
      <c r="A22" s="9" t="s">
        <v>242</v>
      </c>
      <c r="B22" s="9" t="s">
        <v>1477</v>
      </c>
      <c r="C22" s="13" t="s">
        <v>221</v>
      </c>
      <c r="D22" s="9" t="s">
        <v>1450</v>
      </c>
      <c r="E22" s="9" t="s">
        <v>1451</v>
      </c>
      <c r="F22" s="41">
        <v>45292</v>
      </c>
      <c r="G22" s="10">
        <f>COUNTIFS('Audit Raw data'!J:J,A:A)</f>
        <v>22</v>
      </c>
      <c r="H22" s="11">
        <f>IFERROR(SUMIFS('Audit Raw data'!BZ:BZ,'Audit Raw data'!J:J,A:A)/G22,"")</f>
        <v>93.727272727272734</v>
      </c>
      <c r="I22" s="9">
        <f>COUNTIFS('Audit Raw data'!AM:AM,"Yes",'Audit Raw data'!J:J,A:A)</f>
        <v>22</v>
      </c>
      <c r="J22" s="9">
        <f t="shared" si="0"/>
        <v>0</v>
      </c>
      <c r="K22" s="12">
        <f t="shared" si="1"/>
        <v>1</v>
      </c>
    </row>
    <row r="23" spans="1:11" x14ac:dyDescent="0.35">
      <c r="A23" s="9" t="s">
        <v>391</v>
      </c>
      <c r="B23" s="9" t="s">
        <v>1478</v>
      </c>
      <c r="C23" s="9" t="s">
        <v>221</v>
      </c>
      <c r="D23" s="9" t="s">
        <v>1460</v>
      </c>
      <c r="E23" s="9" t="s">
        <v>1451</v>
      </c>
      <c r="F23" s="41">
        <v>45301</v>
      </c>
      <c r="G23" s="10">
        <f>COUNTIFS('Audit Raw data'!J:J,A:A)</f>
        <v>23</v>
      </c>
      <c r="H23" s="11">
        <f>IFERROR(SUMIFS('Audit Raw data'!BZ:BZ,'Audit Raw data'!J:J,A:A)/G23,"")</f>
        <v>89.217391304347828</v>
      </c>
      <c r="I23" s="9">
        <f>COUNTIFS('Audit Raw data'!AM:AM,"Yes",'Audit Raw data'!J:J,A:A)</f>
        <v>23</v>
      </c>
      <c r="J23" s="9">
        <f t="shared" si="0"/>
        <v>0</v>
      </c>
      <c r="K23" s="12">
        <f t="shared" si="1"/>
        <v>1</v>
      </c>
    </row>
    <row r="24" spans="1:11" x14ac:dyDescent="0.35">
      <c r="A24" s="9" t="s">
        <v>353</v>
      </c>
      <c r="B24" s="9" t="s">
        <v>1479</v>
      </c>
      <c r="C24" s="9" t="s">
        <v>221</v>
      </c>
      <c r="D24" s="9" t="s">
        <v>1460</v>
      </c>
      <c r="E24" s="9" t="s">
        <v>1451</v>
      </c>
      <c r="F24" s="41">
        <v>45357</v>
      </c>
      <c r="G24" s="10">
        <f>COUNTIFS('Audit Raw data'!J:J,A:A)</f>
        <v>29</v>
      </c>
      <c r="H24" s="11">
        <f>IFERROR(SUMIFS('Audit Raw data'!BZ:BZ,'Audit Raw data'!J:J,A:A)/G24,"")</f>
        <v>90.41379310344827</v>
      </c>
      <c r="I24" s="9">
        <f>COUNTIFS('Audit Raw data'!AM:AM,"Yes",'Audit Raw data'!J:J,A:A)</f>
        <v>29</v>
      </c>
      <c r="J24" s="9">
        <f t="shared" si="0"/>
        <v>0</v>
      </c>
      <c r="K24" s="12">
        <f t="shared" si="1"/>
        <v>1</v>
      </c>
    </row>
    <row r="25" spans="1:11" x14ac:dyDescent="0.35">
      <c r="A25" s="9" t="s">
        <v>223</v>
      </c>
      <c r="B25" s="9" t="s">
        <v>1480</v>
      </c>
      <c r="C25" s="9" t="s">
        <v>221</v>
      </c>
      <c r="D25" s="9" t="s">
        <v>1450</v>
      </c>
      <c r="E25" s="9" t="s">
        <v>1451</v>
      </c>
      <c r="F25" s="41">
        <v>45367</v>
      </c>
      <c r="G25" s="10">
        <f>COUNTIFS('Audit Raw data'!J:J,A:A)</f>
        <v>18</v>
      </c>
      <c r="H25" s="11">
        <f>IFERROR(SUMIFS('Audit Raw data'!BZ:BZ,'Audit Raw data'!J:J,A:A)/G25,"")</f>
        <v>97.555555555555557</v>
      </c>
      <c r="I25" s="9">
        <f>COUNTIFS('Audit Raw data'!AM:AM,"Yes",'Audit Raw data'!J:J,A:A)</f>
        <v>18</v>
      </c>
      <c r="J25" s="9">
        <f t="shared" si="0"/>
        <v>0</v>
      </c>
      <c r="K25" s="12">
        <f t="shared" si="1"/>
        <v>1</v>
      </c>
    </row>
    <row r="26" spans="1:11" x14ac:dyDescent="0.35">
      <c r="A26" s="9" t="s">
        <v>548</v>
      </c>
      <c r="B26" s="9" t="s">
        <v>1481</v>
      </c>
      <c r="C26" s="9" t="s">
        <v>178</v>
      </c>
      <c r="D26" s="9" t="s">
        <v>1450</v>
      </c>
      <c r="E26" s="9" t="s">
        <v>54</v>
      </c>
      <c r="F26" s="41">
        <v>45413</v>
      </c>
      <c r="G26" s="10">
        <f>COUNTIFS('Audit Raw data'!J:J,A:A)</f>
        <v>17</v>
      </c>
      <c r="H26" s="11">
        <f>IFERROR(SUMIFS('Audit Raw data'!BZ:BZ,'Audit Raw data'!J:J,A:A)/G26,"")</f>
        <v>93.411764705882348</v>
      </c>
      <c r="I26" s="9">
        <f>COUNTIFS('Audit Raw data'!AM:AM,"Yes",'Audit Raw data'!J:J,A:A)</f>
        <v>17</v>
      </c>
      <c r="J26" s="9">
        <f t="shared" si="0"/>
        <v>0</v>
      </c>
      <c r="K26" s="12">
        <f t="shared" si="1"/>
        <v>1</v>
      </c>
    </row>
    <row r="27" spans="1:11" x14ac:dyDescent="0.35">
      <c r="A27" s="9" t="s">
        <v>85</v>
      </c>
      <c r="B27" s="9" t="s">
        <v>1482</v>
      </c>
      <c r="C27" s="9" t="s">
        <v>1453</v>
      </c>
      <c r="D27" s="9" t="s">
        <v>1450</v>
      </c>
      <c r="E27" s="9" t="s">
        <v>54</v>
      </c>
      <c r="F27" s="41">
        <v>45445</v>
      </c>
      <c r="G27" s="10">
        <f>COUNTIFS('Audit Raw data'!J:J,A:A)</f>
        <v>8</v>
      </c>
      <c r="H27" s="11">
        <f>IFERROR(SUMIFS('Audit Raw data'!BZ:BZ,'Audit Raw data'!J:J,A:A)/G27,"")</f>
        <v>94.25</v>
      </c>
      <c r="I27" s="9">
        <f>COUNTIFS('Audit Raw data'!AM:AM,"Yes",'Audit Raw data'!J:J,A:A)</f>
        <v>8</v>
      </c>
      <c r="J27" s="9">
        <f t="shared" si="0"/>
        <v>0</v>
      </c>
      <c r="K27" s="12">
        <f t="shared" si="1"/>
        <v>1</v>
      </c>
    </row>
    <row r="28" spans="1:11" x14ac:dyDescent="0.35">
      <c r="A28" s="9" t="s">
        <v>252</v>
      </c>
      <c r="B28" s="9" t="s">
        <v>1483</v>
      </c>
      <c r="C28" s="13" t="s">
        <v>1484</v>
      </c>
      <c r="D28" s="9" t="s">
        <v>1450</v>
      </c>
      <c r="E28" s="9" t="s">
        <v>54</v>
      </c>
      <c r="F28" s="41">
        <v>45453</v>
      </c>
      <c r="G28" s="10">
        <f>COUNTIFS('Audit Raw data'!J:J,A:A)</f>
        <v>12</v>
      </c>
      <c r="H28" s="11">
        <f>IFERROR(SUMIFS('Audit Raw data'!BZ:BZ,'Audit Raw data'!J:J,A:A)/G28,"")</f>
        <v>93</v>
      </c>
      <c r="I28" s="9">
        <f>COUNTIFS('Audit Raw data'!AM:AM,"Yes",'Audit Raw data'!J:J,A:A)</f>
        <v>12</v>
      </c>
      <c r="J28" s="9">
        <f t="shared" si="0"/>
        <v>0</v>
      </c>
      <c r="K28" s="12">
        <f t="shared" si="1"/>
        <v>1</v>
      </c>
    </row>
    <row r="29" spans="1:11" x14ac:dyDescent="0.35">
      <c r="A29" s="9" t="s">
        <v>552</v>
      </c>
      <c r="B29" s="9" t="s">
        <v>1485</v>
      </c>
      <c r="C29" s="14" t="s">
        <v>1484</v>
      </c>
      <c r="D29" s="9" t="s">
        <v>1450</v>
      </c>
      <c r="E29" s="9" t="s">
        <v>54</v>
      </c>
      <c r="F29" s="41">
        <v>45465</v>
      </c>
      <c r="G29" s="10">
        <f>COUNTIFS('Audit Raw data'!J:J,A:A)</f>
        <v>18</v>
      </c>
      <c r="H29" s="11">
        <f>IFERROR(SUMIFS('Audit Raw data'!BZ:BZ,'Audit Raw data'!J:J,A:A)/G29,"")</f>
        <v>92</v>
      </c>
      <c r="I29" s="9">
        <f>COUNTIFS('Audit Raw data'!AM:AM,"Yes",'Audit Raw data'!J:J,A:A)</f>
        <v>18</v>
      </c>
      <c r="J29" s="9">
        <f t="shared" si="0"/>
        <v>0</v>
      </c>
      <c r="K29" s="12">
        <f t="shared" si="1"/>
        <v>1</v>
      </c>
    </row>
    <row r="30" spans="1:11" x14ac:dyDescent="0.35">
      <c r="A30" s="9" t="s">
        <v>533</v>
      </c>
      <c r="B30" s="9" t="s">
        <v>1486</v>
      </c>
      <c r="C30" s="9" t="s">
        <v>1484</v>
      </c>
      <c r="D30" s="9" t="s">
        <v>1450</v>
      </c>
      <c r="E30" s="9" t="s">
        <v>54</v>
      </c>
      <c r="F30" s="41">
        <v>45465</v>
      </c>
      <c r="G30" s="10">
        <f>COUNTIFS('Audit Raw data'!J:J,A:A)</f>
        <v>18</v>
      </c>
      <c r="H30" s="11">
        <f>IFERROR(SUMIFS('Audit Raw data'!BZ:BZ,'Audit Raw data'!J:J,A:A)/G30,"")</f>
        <v>93.444444444444443</v>
      </c>
      <c r="I30" s="9">
        <f>COUNTIFS('Audit Raw data'!AM:AM,"Yes",'Audit Raw data'!J:J,A:A)</f>
        <v>18</v>
      </c>
      <c r="J30" s="9">
        <f t="shared" si="0"/>
        <v>0</v>
      </c>
      <c r="K30" s="12">
        <f t="shared" si="1"/>
        <v>1</v>
      </c>
    </row>
    <row r="31" spans="1:11" x14ac:dyDescent="0.35">
      <c r="A31" s="9" t="s">
        <v>451</v>
      </c>
      <c r="B31" s="9" t="s">
        <v>1487</v>
      </c>
      <c r="C31" s="13" t="s">
        <v>1484</v>
      </c>
      <c r="D31" s="9" t="s">
        <v>1450</v>
      </c>
      <c r="E31" s="9" t="s">
        <v>54</v>
      </c>
      <c r="F31" s="41">
        <v>45491</v>
      </c>
      <c r="G31" s="10">
        <f>COUNTIFS('Audit Raw data'!J:J,A:A)</f>
        <v>15</v>
      </c>
      <c r="H31" s="11">
        <f>IFERROR(SUMIFS('Audit Raw data'!BZ:BZ,'Audit Raw data'!J:J,A:A)/G31,"")</f>
        <v>94.666666666666671</v>
      </c>
      <c r="I31" s="9">
        <f>COUNTIFS('Audit Raw data'!AM:AM,"Yes",'Audit Raw data'!J:J,A:A)</f>
        <v>15</v>
      </c>
      <c r="J31" s="9">
        <f t="shared" si="0"/>
        <v>0</v>
      </c>
      <c r="K31" s="12">
        <f t="shared" si="1"/>
        <v>1</v>
      </c>
    </row>
    <row r="32" spans="1:11" x14ac:dyDescent="0.35">
      <c r="A32" s="9" t="s">
        <v>557</v>
      </c>
      <c r="B32" s="9" t="s">
        <v>1488</v>
      </c>
      <c r="C32" s="9" t="s">
        <v>1484</v>
      </c>
      <c r="D32" s="9" t="s">
        <v>1450</v>
      </c>
      <c r="E32" s="9" t="s">
        <v>54</v>
      </c>
      <c r="F32" s="41">
        <v>45491</v>
      </c>
      <c r="G32" s="10">
        <f>COUNTIFS('Audit Raw data'!J:J,A:A)</f>
        <v>8</v>
      </c>
      <c r="H32" s="11">
        <f>IFERROR(SUMIFS('Audit Raw data'!BZ:BZ,'Audit Raw data'!J:J,A:A)/G32,"")</f>
        <v>94.75</v>
      </c>
      <c r="I32" s="9">
        <f>COUNTIFS('Audit Raw data'!AM:AM,"Yes",'Audit Raw data'!J:J,A:A)</f>
        <v>8</v>
      </c>
      <c r="J32" s="9">
        <f t="shared" si="0"/>
        <v>0</v>
      </c>
      <c r="K32" s="12">
        <f t="shared" si="1"/>
        <v>1</v>
      </c>
    </row>
    <row r="33" spans="1:11" x14ac:dyDescent="0.35">
      <c r="A33" s="9" t="s">
        <v>144</v>
      </c>
      <c r="B33" s="9" t="s">
        <v>1489</v>
      </c>
      <c r="C33" s="9" t="s">
        <v>1484</v>
      </c>
      <c r="D33" s="9" t="s">
        <v>1450</v>
      </c>
      <c r="E33" s="9" t="s">
        <v>54</v>
      </c>
      <c r="F33" s="41">
        <v>45491</v>
      </c>
      <c r="G33" s="10">
        <f>COUNTIFS('Audit Raw data'!J:J,A:A)</f>
        <v>7</v>
      </c>
      <c r="H33" s="11">
        <f>IFERROR(SUMIFS('Audit Raw data'!BZ:BZ,'Audit Raw data'!J:J,A:A)/G33,"")</f>
        <v>92.285714285714292</v>
      </c>
      <c r="I33" s="9">
        <f>COUNTIFS('Audit Raw data'!AM:AM,"Yes",'Audit Raw data'!J:J,A:A)</f>
        <v>7</v>
      </c>
      <c r="J33" s="9">
        <f t="shared" si="0"/>
        <v>0</v>
      </c>
      <c r="K33" s="12">
        <f t="shared" si="1"/>
        <v>1</v>
      </c>
    </row>
    <row r="34" spans="1:11" x14ac:dyDescent="0.35">
      <c r="A34" s="9" t="s">
        <v>356</v>
      </c>
      <c r="B34" s="9" t="s">
        <v>1490</v>
      </c>
      <c r="C34" s="9" t="s">
        <v>221</v>
      </c>
      <c r="D34" s="9" t="s">
        <v>1460</v>
      </c>
      <c r="E34" s="9" t="s">
        <v>1451</v>
      </c>
      <c r="F34" s="41">
        <v>45497</v>
      </c>
      <c r="G34" s="10">
        <f>COUNTIFS('Audit Raw data'!J:J,A:A)</f>
        <v>20</v>
      </c>
      <c r="H34" s="11">
        <f>IFERROR(SUMIFS('Audit Raw data'!BZ:BZ,'Audit Raw data'!J:J,A:A)/G34,"")</f>
        <v>92.8</v>
      </c>
      <c r="I34" s="9">
        <f>COUNTIFS('Audit Raw data'!AM:AM,"Yes",'Audit Raw data'!J:J,A:A)</f>
        <v>20</v>
      </c>
      <c r="J34" s="9">
        <f t="shared" ref="J34:J65" si="2">G34-I34</f>
        <v>0</v>
      </c>
      <c r="K34" s="12">
        <f t="shared" ref="K34:K65" si="3">IFERROR(I34/G34," ")</f>
        <v>1</v>
      </c>
    </row>
    <row r="35" spans="1:11" x14ac:dyDescent="0.35">
      <c r="A35" s="9" t="s">
        <v>501</v>
      </c>
      <c r="B35" s="9" t="s">
        <v>1491</v>
      </c>
      <c r="C35" s="9" t="s">
        <v>221</v>
      </c>
      <c r="D35" s="9" t="s">
        <v>1460</v>
      </c>
      <c r="E35" s="9" t="s">
        <v>1451</v>
      </c>
      <c r="F35" s="41">
        <v>45499</v>
      </c>
      <c r="G35" s="10">
        <f>COUNTIFS('Audit Raw data'!J:J,A:A)</f>
        <v>22</v>
      </c>
      <c r="H35" s="11">
        <f>IFERROR(SUMIFS('Audit Raw data'!BZ:BZ,'Audit Raw data'!J:J,A:A)/G35,"")</f>
        <v>90</v>
      </c>
      <c r="I35" s="9">
        <f>COUNTIFS('Audit Raw data'!AM:AM,"Yes",'Audit Raw data'!J:J,A:A)</f>
        <v>22</v>
      </c>
      <c r="J35" s="9">
        <f t="shared" si="2"/>
        <v>0</v>
      </c>
      <c r="K35" s="12">
        <f t="shared" si="3"/>
        <v>1</v>
      </c>
    </row>
    <row r="36" spans="1:11" x14ac:dyDescent="0.35">
      <c r="A36" s="9" t="s">
        <v>559</v>
      </c>
      <c r="B36" s="9" t="s">
        <v>1492</v>
      </c>
      <c r="C36" s="9" t="s">
        <v>1484</v>
      </c>
      <c r="D36" s="9" t="s">
        <v>1450</v>
      </c>
      <c r="E36" s="9" t="s">
        <v>54</v>
      </c>
      <c r="F36" s="41">
        <v>45516</v>
      </c>
      <c r="G36" s="10">
        <f>COUNTIFS('Audit Raw data'!J:J,A:A)</f>
        <v>7</v>
      </c>
      <c r="H36" s="11">
        <f>IFERROR(SUMIFS('Audit Raw data'!BZ:BZ,'Audit Raw data'!J:J,A:A)/G36,"")</f>
        <v>89.428571428571431</v>
      </c>
      <c r="I36" s="9">
        <f>COUNTIFS('Audit Raw data'!AM:AM,"Yes",'Audit Raw data'!J:J,A:A)</f>
        <v>6</v>
      </c>
      <c r="J36" s="9">
        <f t="shared" si="2"/>
        <v>1</v>
      </c>
      <c r="K36" s="12">
        <f t="shared" si="3"/>
        <v>0.8571428571428571</v>
      </c>
    </row>
    <row r="37" spans="1:11" x14ac:dyDescent="0.35">
      <c r="A37" s="9" t="s">
        <v>96</v>
      </c>
      <c r="B37" s="9" t="s">
        <v>1493</v>
      </c>
      <c r="C37" s="9" t="s">
        <v>1484</v>
      </c>
      <c r="D37" s="9" t="s">
        <v>1450</v>
      </c>
      <c r="E37" s="9" t="s">
        <v>54</v>
      </c>
      <c r="F37" s="41">
        <v>45516</v>
      </c>
      <c r="G37" s="10">
        <f>COUNTIFS('Audit Raw data'!J:J,A:A)</f>
        <v>12</v>
      </c>
      <c r="H37" s="11">
        <f>IFERROR(SUMIFS('Audit Raw data'!BZ:BZ,'Audit Raw data'!J:J,A:A)/G37,"")</f>
        <v>93.833333333333329</v>
      </c>
      <c r="I37" s="9">
        <f>COUNTIFS('Audit Raw data'!AM:AM,"Yes",'Audit Raw data'!J:J,A:A)</f>
        <v>12</v>
      </c>
      <c r="J37" s="9">
        <f t="shared" si="2"/>
        <v>0</v>
      </c>
      <c r="K37" s="12">
        <f t="shared" si="3"/>
        <v>1</v>
      </c>
    </row>
    <row r="38" spans="1:11" x14ac:dyDescent="0.35">
      <c r="A38" s="9" t="s">
        <v>409</v>
      </c>
      <c r="B38" s="9" t="s">
        <v>1494</v>
      </c>
      <c r="C38" s="9" t="s">
        <v>221</v>
      </c>
      <c r="D38" s="9" t="s">
        <v>1450</v>
      </c>
      <c r="E38" s="9" t="s">
        <v>1451</v>
      </c>
      <c r="F38" s="41">
        <v>45518</v>
      </c>
      <c r="G38" s="10">
        <f>COUNTIFS('Audit Raw data'!J:J,A:A)</f>
        <v>17</v>
      </c>
      <c r="H38" s="11">
        <f>IFERROR(SUMIFS('Audit Raw data'!BZ:BZ,'Audit Raw data'!J:J,A:A)/G38,"")</f>
        <v>94.705882352941174</v>
      </c>
      <c r="I38" s="9">
        <f>COUNTIFS('Audit Raw data'!AM:AM,"Yes",'Audit Raw data'!J:J,A:A)</f>
        <v>17</v>
      </c>
      <c r="J38" s="9">
        <f t="shared" si="2"/>
        <v>0</v>
      </c>
      <c r="K38" s="12">
        <f t="shared" si="3"/>
        <v>1</v>
      </c>
    </row>
    <row r="39" spans="1:11" x14ac:dyDescent="0.35">
      <c r="A39" s="9" t="s">
        <v>442</v>
      </c>
      <c r="B39" s="9" t="s">
        <v>1495</v>
      </c>
      <c r="C39" s="9" t="s">
        <v>107</v>
      </c>
      <c r="D39" s="9" t="s">
        <v>1450</v>
      </c>
      <c r="E39" s="9" t="s">
        <v>54</v>
      </c>
      <c r="F39" s="41">
        <v>45520</v>
      </c>
      <c r="G39" s="10">
        <f>COUNTIFS('Audit Raw data'!J:J,A:A)</f>
        <v>11</v>
      </c>
      <c r="H39" s="11">
        <f>IFERROR(SUMIFS('Audit Raw data'!BZ:BZ,'Audit Raw data'!J:J,A:A)/G39,"")</f>
        <v>93.272727272727266</v>
      </c>
      <c r="I39" s="9">
        <f>COUNTIFS('Audit Raw data'!AM:AM,"Yes",'Audit Raw data'!J:J,A:A)</f>
        <v>11</v>
      </c>
      <c r="J39" s="9">
        <f t="shared" si="2"/>
        <v>0</v>
      </c>
      <c r="K39" s="12">
        <f t="shared" si="3"/>
        <v>1</v>
      </c>
    </row>
    <row r="40" spans="1:11" x14ac:dyDescent="0.35">
      <c r="A40" s="9" t="s">
        <v>464</v>
      </c>
      <c r="B40" s="9" t="s">
        <v>1496</v>
      </c>
      <c r="C40" s="9" t="s">
        <v>178</v>
      </c>
      <c r="D40" s="9" t="s">
        <v>1450</v>
      </c>
      <c r="E40" s="9" t="s">
        <v>54</v>
      </c>
      <c r="F40" s="41">
        <v>45526</v>
      </c>
      <c r="G40" s="10">
        <f>COUNTIFS('Audit Raw data'!J:J,A:A)</f>
        <v>13</v>
      </c>
      <c r="H40" s="11">
        <f>IFERROR(SUMIFS('Audit Raw data'!BZ:BZ,'Audit Raw data'!J:J,A:A)/G40,"")</f>
        <v>94.92307692307692</v>
      </c>
      <c r="I40" s="9">
        <f>COUNTIFS('Audit Raw data'!AM:AM,"Yes",'Audit Raw data'!J:J,A:A)</f>
        <v>13</v>
      </c>
      <c r="J40" s="9">
        <f t="shared" si="2"/>
        <v>0</v>
      </c>
      <c r="K40" s="12">
        <f t="shared" si="3"/>
        <v>1</v>
      </c>
    </row>
    <row r="41" spans="1:11" x14ac:dyDescent="0.35">
      <c r="A41" s="9" t="s">
        <v>640</v>
      </c>
      <c r="B41" s="9" t="s">
        <v>1497</v>
      </c>
      <c r="C41" s="9" t="s">
        <v>178</v>
      </c>
      <c r="D41" s="9" t="s">
        <v>1450</v>
      </c>
      <c r="E41" s="9" t="s">
        <v>54</v>
      </c>
      <c r="F41" s="41">
        <v>45528</v>
      </c>
      <c r="G41" s="10">
        <f>COUNTIFS('Audit Raw data'!J:J,A:A)</f>
        <v>8</v>
      </c>
      <c r="H41" s="11">
        <f>IFERROR(SUMIFS('Audit Raw data'!BZ:BZ,'Audit Raw data'!J:J,A:A)/G41,"")</f>
        <v>87.75</v>
      </c>
      <c r="I41" s="9">
        <f>COUNTIFS('Audit Raw data'!AM:AM,"Yes",'Audit Raw data'!J:J,A:A)</f>
        <v>6</v>
      </c>
      <c r="J41" s="9">
        <f t="shared" si="2"/>
        <v>2</v>
      </c>
      <c r="K41" s="12">
        <f t="shared" si="3"/>
        <v>0.75</v>
      </c>
    </row>
    <row r="42" spans="1:11" x14ac:dyDescent="0.35">
      <c r="A42" s="9" t="s">
        <v>643</v>
      </c>
      <c r="B42" s="9" t="s">
        <v>1498</v>
      </c>
      <c r="C42" s="9" t="s">
        <v>1484</v>
      </c>
      <c r="D42" s="9" t="s">
        <v>1450</v>
      </c>
      <c r="E42" s="9" t="s">
        <v>54</v>
      </c>
      <c r="F42" s="41">
        <v>45535</v>
      </c>
      <c r="G42" s="10">
        <f>COUNTIFS('Audit Raw data'!J:J,A:A)</f>
        <v>13</v>
      </c>
      <c r="H42" s="11">
        <f>IFERROR(SUMIFS('Audit Raw data'!BZ:BZ,'Audit Raw data'!J:J,A:A)/G42,"")</f>
        <v>94.461538461538467</v>
      </c>
      <c r="I42" s="9">
        <f>COUNTIFS('Audit Raw data'!AM:AM,"Yes",'Audit Raw data'!J:J,A:A)</f>
        <v>13</v>
      </c>
      <c r="J42" s="9">
        <f t="shared" si="2"/>
        <v>0</v>
      </c>
      <c r="K42" s="12">
        <f t="shared" si="3"/>
        <v>1</v>
      </c>
    </row>
    <row r="43" spans="1:11" x14ac:dyDescent="0.35">
      <c r="A43" s="9" t="s">
        <v>179</v>
      </c>
      <c r="B43" s="9" t="s">
        <v>1499</v>
      </c>
      <c r="C43" s="9" t="s">
        <v>178</v>
      </c>
      <c r="D43" s="9" t="s">
        <v>1450</v>
      </c>
      <c r="E43" s="9" t="s">
        <v>54</v>
      </c>
      <c r="F43" s="41">
        <v>45544</v>
      </c>
      <c r="G43" s="10">
        <f>COUNTIFS('Audit Raw data'!J:J,A:A)</f>
        <v>6</v>
      </c>
      <c r="H43" s="11">
        <f>IFERROR(SUMIFS('Audit Raw data'!BZ:BZ,'Audit Raw data'!J:J,A:A)/G43,"")</f>
        <v>92</v>
      </c>
      <c r="I43" s="9">
        <f>COUNTIFS('Audit Raw data'!AM:AM,"Yes",'Audit Raw data'!J:J,A:A)</f>
        <v>6</v>
      </c>
      <c r="J43" s="9">
        <f t="shared" si="2"/>
        <v>0</v>
      </c>
      <c r="K43" s="12">
        <f t="shared" si="3"/>
        <v>1</v>
      </c>
    </row>
    <row r="44" spans="1:11" x14ac:dyDescent="0.35">
      <c r="A44" s="9" t="s">
        <v>246</v>
      </c>
      <c r="B44" s="9" t="s">
        <v>1500</v>
      </c>
      <c r="C44" s="9" t="s">
        <v>221</v>
      </c>
      <c r="D44" s="9" t="s">
        <v>1450</v>
      </c>
      <c r="E44" s="9" t="s">
        <v>1451</v>
      </c>
      <c r="F44" s="41">
        <v>45550</v>
      </c>
      <c r="G44" s="10">
        <f>COUNTIFS('Audit Raw data'!J:J,A:A)</f>
        <v>34</v>
      </c>
      <c r="H44" s="11">
        <f>IFERROR(SUMIFS('Audit Raw data'!BZ:BZ,'Audit Raw data'!J:J,A:A)/G44,"")</f>
        <v>97.705882352941174</v>
      </c>
      <c r="I44" s="9">
        <f>COUNTIFS('Audit Raw data'!AM:AM,"Yes",'Audit Raw data'!J:J,A:A)</f>
        <v>34</v>
      </c>
      <c r="J44" s="9">
        <f t="shared" si="2"/>
        <v>0</v>
      </c>
      <c r="K44" s="12">
        <f t="shared" si="3"/>
        <v>1</v>
      </c>
    </row>
    <row r="45" spans="1:11" x14ac:dyDescent="0.35">
      <c r="A45" s="9" t="s">
        <v>646</v>
      </c>
      <c r="B45" s="9" t="s">
        <v>1501</v>
      </c>
      <c r="C45" s="14" t="s">
        <v>1484</v>
      </c>
      <c r="D45" s="9" t="s">
        <v>1450</v>
      </c>
      <c r="E45" s="9" t="s">
        <v>54</v>
      </c>
      <c r="F45" s="41">
        <v>45564</v>
      </c>
      <c r="G45" s="10">
        <f>COUNTIFS('Audit Raw data'!J:J,A:A)</f>
        <v>8</v>
      </c>
      <c r="H45" s="11">
        <f>IFERROR(SUMIFS('Audit Raw data'!BZ:BZ,'Audit Raw data'!J:J,A:A)/G45,"")</f>
        <v>91.5</v>
      </c>
      <c r="I45" s="9">
        <f>COUNTIFS('Audit Raw data'!AM:AM,"Yes",'Audit Raw data'!J:J,A:A)</f>
        <v>7</v>
      </c>
      <c r="J45" s="9">
        <f t="shared" si="2"/>
        <v>1</v>
      </c>
      <c r="K45" s="12">
        <f t="shared" si="3"/>
        <v>0.875</v>
      </c>
    </row>
    <row r="46" spans="1:11" x14ac:dyDescent="0.35">
      <c r="A46" s="9" t="s">
        <v>420</v>
      </c>
      <c r="B46" s="9" t="s">
        <v>1502</v>
      </c>
      <c r="C46" s="14" t="s">
        <v>221</v>
      </c>
      <c r="D46" s="9" t="s">
        <v>1450</v>
      </c>
      <c r="E46" s="9" t="s">
        <v>1451</v>
      </c>
      <c r="F46" s="41">
        <v>45518</v>
      </c>
      <c r="G46" s="10">
        <f>COUNTIFS('Audit Raw data'!J:J,A:A)</f>
        <v>25</v>
      </c>
      <c r="H46" s="11">
        <f>IFERROR(SUMIFS('Audit Raw data'!BZ:BZ,'Audit Raw data'!J:J,A:A)/G46,"")</f>
        <v>96.64</v>
      </c>
      <c r="I46" s="9">
        <f>COUNTIFS('Audit Raw data'!AM:AM,"Yes",'Audit Raw data'!J:J,A:A)</f>
        <v>25</v>
      </c>
      <c r="J46" s="9">
        <f t="shared" si="2"/>
        <v>0</v>
      </c>
      <c r="K46" s="12">
        <f t="shared" si="3"/>
        <v>1</v>
      </c>
    </row>
    <row r="47" spans="1:11" x14ac:dyDescent="0.35">
      <c r="A47" s="9" t="s">
        <v>650</v>
      </c>
      <c r="B47" s="9" t="s">
        <v>1503</v>
      </c>
      <c r="C47" s="9" t="s">
        <v>178</v>
      </c>
      <c r="D47" s="9" t="s">
        <v>1504</v>
      </c>
      <c r="E47" s="9" t="s">
        <v>54</v>
      </c>
      <c r="F47" s="41">
        <v>45589</v>
      </c>
      <c r="G47" s="10">
        <f>COUNTIFS('Audit Raw data'!J:J,A:A)</f>
        <v>3</v>
      </c>
      <c r="H47" s="11">
        <f>IFERROR(SUMIFS('Audit Raw data'!BZ:BZ,'Audit Raw data'!J:J,A:A)/G47,"")</f>
        <v>88</v>
      </c>
      <c r="I47" s="9">
        <f>COUNTIFS('Audit Raw data'!AM:AM,"Yes",'Audit Raw data'!J:J,A:A)</f>
        <v>3</v>
      </c>
      <c r="J47" s="9">
        <f t="shared" si="2"/>
        <v>0</v>
      </c>
      <c r="K47" s="12">
        <f t="shared" si="3"/>
        <v>1</v>
      </c>
    </row>
    <row r="48" spans="1:11" x14ac:dyDescent="0.35">
      <c r="A48" s="9" t="s">
        <v>653</v>
      </c>
      <c r="B48" s="9" t="s">
        <v>1505</v>
      </c>
      <c r="C48" s="9" t="s">
        <v>1453</v>
      </c>
      <c r="D48" s="9" t="s">
        <v>1450</v>
      </c>
      <c r="E48" s="9" t="s">
        <v>54</v>
      </c>
      <c r="F48" s="41">
        <v>45635</v>
      </c>
      <c r="G48" s="10">
        <f>COUNTIFS('Audit Raw data'!J:J,A:A)</f>
        <v>9</v>
      </c>
      <c r="H48" s="11">
        <f>IFERROR(SUMIFS('Audit Raw data'!BZ:BZ,'Audit Raw data'!J:J,A:A)/G48,"")</f>
        <v>94.888888888888886</v>
      </c>
      <c r="I48" s="9">
        <f>COUNTIFS('Audit Raw data'!AM:AM,"Yes",'Audit Raw data'!J:J,A:A)</f>
        <v>9</v>
      </c>
      <c r="J48" s="9">
        <f t="shared" si="2"/>
        <v>0</v>
      </c>
      <c r="K48" s="12">
        <f t="shared" si="3"/>
        <v>1</v>
      </c>
    </row>
    <row r="49" spans="1:11" x14ac:dyDescent="0.35">
      <c r="A49" s="9" t="s">
        <v>149</v>
      </c>
      <c r="B49" s="9" t="s">
        <v>1506</v>
      </c>
      <c r="C49" s="14" t="s">
        <v>107</v>
      </c>
      <c r="D49" s="9" t="s">
        <v>1450</v>
      </c>
      <c r="E49" s="9" t="s">
        <v>54</v>
      </c>
      <c r="F49" s="41">
        <v>45637</v>
      </c>
      <c r="G49" s="10">
        <f>COUNTIFS('Audit Raw data'!J:J,A:A)</f>
        <v>13</v>
      </c>
      <c r="H49" s="11">
        <f>IFERROR(SUMIFS('Audit Raw data'!BZ:BZ,'Audit Raw data'!J:J,A:A)/G49,"")</f>
        <v>94.307692307692307</v>
      </c>
      <c r="I49" s="9">
        <f>COUNTIFS('Audit Raw data'!AM:AM,"Yes",'Audit Raw data'!J:J,A:A)</f>
        <v>13</v>
      </c>
      <c r="J49" s="9">
        <f t="shared" si="2"/>
        <v>0</v>
      </c>
      <c r="K49" s="12">
        <f t="shared" si="3"/>
        <v>1</v>
      </c>
    </row>
    <row r="50" spans="1:11" x14ac:dyDescent="0.35">
      <c r="A50" s="9" t="s">
        <v>657</v>
      </c>
      <c r="B50" s="9" t="s">
        <v>1507</v>
      </c>
      <c r="C50" s="9" t="s">
        <v>1453</v>
      </c>
      <c r="D50" s="9" t="s">
        <v>1450</v>
      </c>
      <c r="E50" s="9" t="s">
        <v>54</v>
      </c>
      <c r="F50" s="41">
        <v>45640</v>
      </c>
      <c r="G50" s="10">
        <f>COUNTIFS('Audit Raw data'!J:J,A:A)</f>
        <v>7</v>
      </c>
      <c r="H50" s="11">
        <f>IFERROR(SUMIFS('Audit Raw data'!BZ:BZ,'Audit Raw data'!J:J,A:A)/G50,"")</f>
        <v>88.571428571428569</v>
      </c>
      <c r="I50" s="9">
        <f>COUNTIFS('Audit Raw data'!AM:AM,"Yes",'Audit Raw data'!J:J,A:A)</f>
        <v>6</v>
      </c>
      <c r="J50" s="9">
        <f t="shared" si="2"/>
        <v>1</v>
      </c>
      <c r="K50" s="12">
        <f t="shared" si="3"/>
        <v>0.8571428571428571</v>
      </c>
    </row>
    <row r="51" spans="1:11" x14ac:dyDescent="0.35">
      <c r="A51" s="9" t="s">
        <v>124</v>
      </c>
      <c r="B51" s="9" t="s">
        <v>1508</v>
      </c>
      <c r="C51" s="9" t="s">
        <v>1453</v>
      </c>
      <c r="D51" s="9" t="s">
        <v>1460</v>
      </c>
      <c r="E51" s="9" t="s">
        <v>54</v>
      </c>
      <c r="F51" s="41">
        <v>45641</v>
      </c>
      <c r="G51" s="10">
        <f>COUNTIFS('Audit Raw data'!J:J,A:A)</f>
        <v>16</v>
      </c>
      <c r="H51" s="11">
        <f>IFERROR(SUMIFS('Audit Raw data'!BZ:BZ,'Audit Raw data'!J:J,A:A)/G51,"")</f>
        <v>86.5</v>
      </c>
      <c r="I51" s="9">
        <f>COUNTIFS('Audit Raw data'!AM:AM,"Yes",'Audit Raw data'!J:J,A:A)</f>
        <v>16</v>
      </c>
      <c r="J51" s="9">
        <f t="shared" si="2"/>
        <v>0</v>
      </c>
      <c r="K51" s="12">
        <f t="shared" si="3"/>
        <v>1</v>
      </c>
    </row>
    <row r="52" spans="1:11" x14ac:dyDescent="0.35">
      <c r="A52" s="9" t="s">
        <v>1509</v>
      </c>
      <c r="B52" s="9" t="s">
        <v>1510</v>
      </c>
      <c r="C52" s="14" t="s">
        <v>1484</v>
      </c>
      <c r="D52" s="9" t="s">
        <v>1511</v>
      </c>
      <c r="E52" s="9" t="s">
        <v>54</v>
      </c>
      <c r="F52" s="41">
        <v>45659</v>
      </c>
      <c r="G52" s="10">
        <f>COUNTIFS('Audit Raw data'!J:J,A:A)</f>
        <v>0</v>
      </c>
      <c r="H52" s="11" t="str">
        <f>IFERROR(SUMIFS('Audit Raw data'!BZ:BZ,'Audit Raw data'!J:J,A:A)/G52,"")</f>
        <v/>
      </c>
      <c r="I52" s="9">
        <f>COUNTIFS('Audit Raw data'!AM:AM,"Yes",'Audit Raw data'!J:J,A:A)</f>
        <v>0</v>
      </c>
      <c r="J52" s="9">
        <f t="shared" si="2"/>
        <v>0</v>
      </c>
      <c r="K52" s="12" t="str">
        <f t="shared" si="3"/>
        <v xml:space="preserve"> </v>
      </c>
    </row>
    <row r="53" spans="1:11" x14ac:dyDescent="0.35">
      <c r="A53" s="9" t="s">
        <v>660</v>
      </c>
      <c r="B53" s="9" t="s">
        <v>1512</v>
      </c>
      <c r="C53" s="9" t="s">
        <v>178</v>
      </c>
      <c r="D53" s="9" t="s">
        <v>1450</v>
      </c>
      <c r="E53" s="9" t="s">
        <v>54</v>
      </c>
      <c r="F53" s="41">
        <v>45664</v>
      </c>
      <c r="G53" s="10">
        <f>COUNTIFS('Audit Raw data'!J:J,A:A)</f>
        <v>8</v>
      </c>
      <c r="H53" s="11">
        <f>IFERROR(SUMIFS('Audit Raw data'!BZ:BZ,'Audit Raw data'!J:J,A:A)/G53,"")</f>
        <v>91.25</v>
      </c>
      <c r="I53" s="9">
        <f>COUNTIFS('Audit Raw data'!AM:AM,"Yes",'Audit Raw data'!J:J,A:A)</f>
        <v>7</v>
      </c>
      <c r="J53" s="9">
        <f t="shared" si="2"/>
        <v>1</v>
      </c>
      <c r="K53" s="12">
        <f t="shared" si="3"/>
        <v>0.875</v>
      </c>
    </row>
    <row r="54" spans="1:11" x14ac:dyDescent="0.35">
      <c r="A54" s="9" t="s">
        <v>1513</v>
      </c>
      <c r="B54" s="9" t="s">
        <v>1514</v>
      </c>
      <c r="C54" s="14" t="s">
        <v>1456</v>
      </c>
      <c r="D54" s="9" t="s">
        <v>1450</v>
      </c>
      <c r="E54" s="9" t="s">
        <v>1457</v>
      </c>
      <c r="F54" s="41">
        <v>45674</v>
      </c>
      <c r="G54" s="10">
        <f>COUNTIFS('Audit Raw data'!J:J,A:A)</f>
        <v>0</v>
      </c>
      <c r="H54" s="11" t="str">
        <f>IFERROR(SUMIFS('Audit Raw data'!BZ:BZ,'Audit Raw data'!J:J,A:A)/G54,"")</f>
        <v/>
      </c>
      <c r="I54" s="9">
        <f>COUNTIFS('Audit Raw data'!AM:AM,"Yes",'Audit Raw data'!J:J,A:A)</f>
        <v>0</v>
      </c>
      <c r="J54" s="9">
        <f t="shared" si="2"/>
        <v>0</v>
      </c>
      <c r="K54" s="12" t="str">
        <f t="shared" si="3"/>
        <v xml:space="preserve"> </v>
      </c>
    </row>
    <row r="55" spans="1:11" x14ac:dyDescent="0.35">
      <c r="A55" s="9" t="s">
        <v>108</v>
      </c>
      <c r="B55" s="9" t="s">
        <v>1515</v>
      </c>
      <c r="C55" s="13" t="s">
        <v>1484</v>
      </c>
      <c r="D55" s="9" t="s">
        <v>1460</v>
      </c>
      <c r="E55" s="9" t="s">
        <v>54</v>
      </c>
      <c r="F55" s="41">
        <v>45675</v>
      </c>
      <c r="G55" s="10">
        <f>COUNTIFS('Audit Raw data'!J:J,A:A)</f>
        <v>19</v>
      </c>
      <c r="H55" s="11">
        <f>IFERROR(SUMIFS('Audit Raw data'!BZ:BZ,'Audit Raw data'!J:J,A:A)/G55,"")</f>
        <v>91.368421052631575</v>
      </c>
      <c r="I55" s="9">
        <f>COUNTIFS('Audit Raw data'!AM:AM,"Yes",'Audit Raw data'!J:J,A:A)</f>
        <v>19</v>
      </c>
      <c r="J55" s="9">
        <f t="shared" si="2"/>
        <v>0</v>
      </c>
      <c r="K55" s="12">
        <f t="shared" si="3"/>
        <v>1</v>
      </c>
    </row>
    <row r="56" spans="1:11" x14ac:dyDescent="0.35">
      <c r="A56" s="9" t="s">
        <v>263</v>
      </c>
      <c r="B56" s="9" t="s">
        <v>1516</v>
      </c>
      <c r="C56" s="9" t="s">
        <v>178</v>
      </c>
      <c r="D56" s="9" t="s">
        <v>1460</v>
      </c>
      <c r="E56" s="9" t="s">
        <v>54</v>
      </c>
      <c r="F56" s="41">
        <v>45690</v>
      </c>
      <c r="G56" s="10">
        <f>COUNTIFS('Audit Raw data'!J:J,A:A)</f>
        <v>7</v>
      </c>
      <c r="H56" s="11">
        <f>IFERROR(SUMIFS('Audit Raw data'!BZ:BZ,'Audit Raw data'!J:J,A:A)/G56,"")</f>
        <v>80.571428571428569</v>
      </c>
      <c r="I56" s="9">
        <f>COUNTIFS('Audit Raw data'!AM:AM,"Yes",'Audit Raw data'!J:J,A:A)</f>
        <v>6</v>
      </c>
      <c r="J56" s="9">
        <f t="shared" si="2"/>
        <v>1</v>
      </c>
      <c r="K56" s="12">
        <f t="shared" si="3"/>
        <v>0.8571428571428571</v>
      </c>
    </row>
    <row r="57" spans="1:11" x14ac:dyDescent="0.35">
      <c r="A57" s="9" t="s">
        <v>1517</v>
      </c>
      <c r="B57" s="9" t="s">
        <v>1518</v>
      </c>
      <c r="C57" s="13" t="s">
        <v>1456</v>
      </c>
      <c r="D57" s="9" t="s">
        <v>1450</v>
      </c>
      <c r="E57" s="9" t="s">
        <v>1457</v>
      </c>
      <c r="F57" s="41">
        <v>45705</v>
      </c>
      <c r="G57" s="10">
        <f>COUNTIFS('Audit Raw data'!J:J,A:A)</f>
        <v>0</v>
      </c>
      <c r="H57" s="11" t="str">
        <f>IFERROR(SUMIFS('Audit Raw data'!BZ:BZ,'Audit Raw data'!J:J,A:A)/G57,"")</f>
        <v/>
      </c>
      <c r="I57" s="9">
        <f>COUNTIFS('Audit Raw data'!AM:AM,"Yes",'Audit Raw data'!J:J,A:A)</f>
        <v>0</v>
      </c>
      <c r="J57" s="9">
        <f t="shared" si="2"/>
        <v>0</v>
      </c>
      <c r="K57" s="12" t="str">
        <f t="shared" si="3"/>
        <v xml:space="preserve"> </v>
      </c>
    </row>
    <row r="58" spans="1:11" x14ac:dyDescent="0.35">
      <c r="A58" s="9" t="s">
        <v>1519</v>
      </c>
      <c r="B58" s="9" t="s">
        <v>1520</v>
      </c>
      <c r="C58" s="13" t="s">
        <v>1456</v>
      </c>
      <c r="D58" s="9" t="s">
        <v>1450</v>
      </c>
      <c r="E58" s="9" t="s">
        <v>1457</v>
      </c>
      <c r="F58" s="41">
        <v>45710</v>
      </c>
      <c r="G58" s="10">
        <f>COUNTIFS('Audit Raw data'!J:J,A:A)</f>
        <v>0</v>
      </c>
      <c r="H58" s="11" t="str">
        <f>IFERROR(SUMIFS('Audit Raw data'!BZ:BZ,'Audit Raw data'!J:J,A:A)/G58,"")</f>
        <v/>
      </c>
      <c r="I58" s="9">
        <f>COUNTIFS('Audit Raw data'!AM:AM,"Yes",'Audit Raw data'!J:J,A:A)</f>
        <v>0</v>
      </c>
      <c r="J58" s="9">
        <f t="shared" si="2"/>
        <v>0</v>
      </c>
      <c r="K58" s="12" t="str">
        <f t="shared" si="3"/>
        <v xml:space="preserve"> </v>
      </c>
    </row>
    <row r="59" spans="1:11" x14ac:dyDescent="0.35">
      <c r="A59" s="9" t="s">
        <v>1521</v>
      </c>
      <c r="B59" s="15" t="s">
        <v>1522</v>
      </c>
      <c r="C59" s="15" t="s">
        <v>1456</v>
      </c>
      <c r="D59" s="15" t="s">
        <v>1450</v>
      </c>
      <c r="E59" s="15" t="s">
        <v>1457</v>
      </c>
      <c r="F59" s="41">
        <v>45710</v>
      </c>
      <c r="G59" s="10">
        <f>COUNTIFS('Audit Raw data'!J:J,A:A)</f>
        <v>0</v>
      </c>
      <c r="H59" s="11" t="str">
        <f>IFERROR(SUMIFS('Audit Raw data'!BZ:BZ,'Audit Raw data'!J:J,A:A)/G59,"")</f>
        <v/>
      </c>
      <c r="I59" s="9">
        <f>COUNTIFS('Audit Raw data'!AM:AM,"Yes",'Audit Raw data'!J:J,A:A)</f>
        <v>0</v>
      </c>
      <c r="J59" s="9">
        <f t="shared" si="2"/>
        <v>0</v>
      </c>
      <c r="K59" s="12" t="str">
        <f t="shared" si="3"/>
        <v xml:space="preserve"> </v>
      </c>
    </row>
    <row r="60" spans="1:11" x14ac:dyDescent="0.35">
      <c r="A60" s="9" t="s">
        <v>1523</v>
      </c>
      <c r="B60" s="9" t="s">
        <v>1524</v>
      </c>
      <c r="C60" s="9" t="s">
        <v>1456</v>
      </c>
      <c r="D60" s="9" t="s">
        <v>1450</v>
      </c>
      <c r="E60" s="9" t="s">
        <v>1457</v>
      </c>
      <c r="F60" s="41">
        <v>45710</v>
      </c>
      <c r="G60" s="10">
        <f>COUNTIFS('Audit Raw data'!J:J,A:A)</f>
        <v>0</v>
      </c>
      <c r="H60" s="11" t="str">
        <f>IFERROR(SUMIFS('Audit Raw data'!BZ:BZ,'Audit Raw data'!J:J,A:A)/G60,"")</f>
        <v/>
      </c>
      <c r="I60" s="9">
        <f>COUNTIFS('Audit Raw data'!AM:AM,"Yes",'Audit Raw data'!J:J,A:A)</f>
        <v>0</v>
      </c>
      <c r="J60" s="9">
        <f t="shared" si="2"/>
        <v>0</v>
      </c>
      <c r="K60" s="12" t="str">
        <f t="shared" si="3"/>
        <v xml:space="preserve"> </v>
      </c>
    </row>
    <row r="61" spans="1:11" x14ac:dyDescent="0.35">
      <c r="A61" s="9" t="s">
        <v>662</v>
      </c>
      <c r="B61" s="9" t="s">
        <v>1525</v>
      </c>
      <c r="C61" s="14" t="s">
        <v>1484</v>
      </c>
      <c r="D61" s="9" t="s">
        <v>1450</v>
      </c>
      <c r="E61" s="9" t="s">
        <v>54</v>
      </c>
      <c r="F61" s="41">
        <v>45710</v>
      </c>
      <c r="G61" s="10">
        <f>COUNTIFS('Audit Raw data'!J:J,A:A)</f>
        <v>9</v>
      </c>
      <c r="H61" s="11">
        <f>IFERROR(SUMIFS('Audit Raw data'!BZ:BZ,'Audit Raw data'!J:J,A:A)/G61,"")</f>
        <v>89.555555555555557</v>
      </c>
      <c r="I61" s="9">
        <f>COUNTIFS('Audit Raw data'!AM:AM,"Yes",'Audit Raw data'!J:J,A:A)</f>
        <v>9</v>
      </c>
      <c r="J61" s="9">
        <f t="shared" si="2"/>
        <v>0</v>
      </c>
      <c r="K61" s="12">
        <f t="shared" si="3"/>
        <v>1</v>
      </c>
    </row>
    <row r="62" spans="1:11" x14ac:dyDescent="0.35">
      <c r="A62" s="9" t="s">
        <v>1526</v>
      </c>
      <c r="B62" s="9" t="s">
        <v>1527</v>
      </c>
      <c r="C62" s="9" t="s">
        <v>221</v>
      </c>
      <c r="D62" s="9" t="s">
        <v>1460</v>
      </c>
      <c r="E62" s="9" t="s">
        <v>1451</v>
      </c>
      <c r="F62" s="41">
        <v>45717</v>
      </c>
      <c r="G62" s="10">
        <f>COUNTIFS('Audit Raw data'!J:J,A:A)</f>
        <v>0</v>
      </c>
      <c r="H62" s="11" t="str">
        <f>IFERROR(SUMIFS('Audit Raw data'!BZ:BZ,'Audit Raw data'!J:J,A:A)/G62,"")</f>
        <v/>
      </c>
      <c r="I62" s="9">
        <f>COUNTIFS('Audit Raw data'!AM:AM,"Yes",'Audit Raw data'!J:J,A:A)</f>
        <v>0</v>
      </c>
      <c r="J62" s="9">
        <f t="shared" si="2"/>
        <v>0</v>
      </c>
      <c r="K62" s="12" t="str">
        <f t="shared" si="3"/>
        <v xml:space="preserve"> </v>
      </c>
    </row>
    <row r="63" spans="1:11" x14ac:dyDescent="0.35">
      <c r="A63" s="9" t="s">
        <v>269</v>
      </c>
      <c r="B63" s="9" t="s">
        <v>1528</v>
      </c>
      <c r="C63" s="9" t="s">
        <v>1484</v>
      </c>
      <c r="D63" s="9" t="s">
        <v>1450</v>
      </c>
      <c r="E63" s="9" t="s">
        <v>54</v>
      </c>
      <c r="F63" s="41">
        <v>45723</v>
      </c>
      <c r="G63" s="10">
        <f>COUNTIFS('Audit Raw data'!J:J,A:A)</f>
        <v>13</v>
      </c>
      <c r="H63" s="11">
        <f>IFERROR(SUMIFS('Audit Raw data'!BZ:BZ,'Audit Raw data'!J:J,A:A)/G63,"")</f>
        <v>93.692307692307693</v>
      </c>
      <c r="I63" s="9">
        <f>COUNTIFS('Audit Raw data'!AM:AM,"Yes",'Audit Raw data'!J:J,A:A)</f>
        <v>13</v>
      </c>
      <c r="J63" s="9">
        <f t="shared" si="2"/>
        <v>0</v>
      </c>
      <c r="K63" s="12">
        <f t="shared" si="3"/>
        <v>1</v>
      </c>
    </row>
    <row r="64" spans="1:11" x14ac:dyDescent="0.35">
      <c r="A64" s="9" t="s">
        <v>274</v>
      </c>
      <c r="B64" s="9" t="s">
        <v>1529</v>
      </c>
      <c r="C64" s="9" t="s">
        <v>107</v>
      </c>
      <c r="D64" s="9" t="s">
        <v>1450</v>
      </c>
      <c r="E64" s="9" t="s">
        <v>54</v>
      </c>
      <c r="F64" s="41">
        <v>45735</v>
      </c>
      <c r="G64" s="10">
        <f>COUNTIFS('Audit Raw data'!J:J,A:A)</f>
        <v>15</v>
      </c>
      <c r="H64" s="11">
        <f>IFERROR(SUMIFS('Audit Raw data'!BZ:BZ,'Audit Raw data'!J:J,A:A)/G64,"")</f>
        <v>93.86666666666666</v>
      </c>
      <c r="I64" s="9">
        <f>COUNTIFS('Audit Raw data'!AM:AM,"Yes",'Audit Raw data'!J:J,A:A)</f>
        <v>15</v>
      </c>
      <c r="J64" s="9">
        <f t="shared" si="2"/>
        <v>0</v>
      </c>
      <c r="K64" s="12">
        <f t="shared" si="3"/>
        <v>1</v>
      </c>
    </row>
    <row r="65" spans="1:11" x14ac:dyDescent="0.35">
      <c r="A65" s="9" t="s">
        <v>258</v>
      </c>
      <c r="B65" s="9" t="s">
        <v>1530</v>
      </c>
      <c r="C65" s="14" t="s">
        <v>1484</v>
      </c>
      <c r="D65" s="9" t="s">
        <v>1450</v>
      </c>
      <c r="E65" s="9" t="s">
        <v>54</v>
      </c>
      <c r="F65" s="41">
        <v>45748</v>
      </c>
      <c r="G65" s="10">
        <f>COUNTIFS('Audit Raw data'!J:J,A:A)</f>
        <v>4</v>
      </c>
      <c r="H65" s="11">
        <f>IFERROR(SUMIFS('Audit Raw data'!BZ:BZ,'Audit Raw data'!J:J,A:A)/G65,"")</f>
        <v>93</v>
      </c>
      <c r="I65" s="9">
        <f>COUNTIFS('Audit Raw data'!AM:AM,"Yes",'Audit Raw data'!J:J,A:A)</f>
        <v>4</v>
      </c>
      <c r="J65" s="9">
        <f t="shared" si="2"/>
        <v>0</v>
      </c>
      <c r="K65" s="12">
        <f t="shared" si="3"/>
        <v>1</v>
      </c>
    </row>
    <row r="66" spans="1:11" x14ac:dyDescent="0.35">
      <c r="A66" s="9" t="s">
        <v>307</v>
      </c>
      <c r="B66" s="9" t="s">
        <v>1531</v>
      </c>
      <c r="C66" s="9" t="s">
        <v>221</v>
      </c>
      <c r="D66" s="9" t="s">
        <v>1450</v>
      </c>
      <c r="E66" s="9" t="s">
        <v>1451</v>
      </c>
      <c r="F66" s="41">
        <v>45767</v>
      </c>
      <c r="G66" s="10">
        <f>COUNTIFS('Audit Raw data'!J:J,A:A)</f>
        <v>28</v>
      </c>
      <c r="H66" s="11">
        <f>IFERROR(SUMIFS('Audit Raw data'!BZ:BZ,'Audit Raw data'!J:J,A:A)/G66,"")</f>
        <v>95</v>
      </c>
      <c r="I66" s="9">
        <f>COUNTIFS('Audit Raw data'!AM:AM,"Yes",'Audit Raw data'!J:J,A:A)</f>
        <v>28</v>
      </c>
      <c r="J66" s="9">
        <f t="shared" ref="J66:J97" si="4">G66-I66</f>
        <v>0</v>
      </c>
      <c r="K66" s="12">
        <f t="shared" ref="K66:K97" si="5">IFERROR(I66/G66," ")</f>
        <v>1</v>
      </c>
    </row>
    <row r="67" spans="1:11" x14ac:dyDescent="0.35">
      <c r="A67" s="9" t="s">
        <v>280</v>
      </c>
      <c r="B67" s="9" t="s">
        <v>1532</v>
      </c>
      <c r="C67" s="9" t="s">
        <v>1453</v>
      </c>
      <c r="D67" s="9" t="s">
        <v>1460</v>
      </c>
      <c r="E67" s="9" t="s">
        <v>54</v>
      </c>
      <c r="F67" s="41">
        <v>45766</v>
      </c>
      <c r="G67" s="10">
        <f>COUNTIFS('Audit Raw data'!J:J,A:A)</f>
        <v>5</v>
      </c>
      <c r="H67" s="11">
        <f>IFERROR(SUMIFS('Audit Raw data'!BZ:BZ,'Audit Raw data'!J:J,A:A)/G67,"")</f>
        <v>75.599999999999994</v>
      </c>
      <c r="I67" s="9">
        <f>COUNTIFS('Audit Raw data'!AM:AM,"Yes",'Audit Raw data'!J:J,A:A)</f>
        <v>3</v>
      </c>
      <c r="J67" s="9">
        <f t="shared" si="4"/>
        <v>2</v>
      </c>
      <c r="K67" s="12">
        <f t="shared" si="5"/>
        <v>0.6</v>
      </c>
    </row>
    <row r="68" spans="1:11" x14ac:dyDescent="0.35">
      <c r="A68" s="9" t="s">
        <v>234</v>
      </c>
      <c r="B68" s="9" t="s">
        <v>1533</v>
      </c>
      <c r="C68" s="9" t="s">
        <v>221</v>
      </c>
      <c r="D68" s="9" t="s">
        <v>1450</v>
      </c>
      <c r="E68" s="9" t="s">
        <v>1451</v>
      </c>
      <c r="F68" s="41">
        <v>45775</v>
      </c>
      <c r="G68" s="10">
        <f>COUNTIFS('Audit Raw data'!J:J,A:A)</f>
        <v>19</v>
      </c>
      <c r="H68" s="11">
        <f>IFERROR(SUMIFS('Audit Raw data'!BZ:BZ,'Audit Raw data'!J:J,A:A)/G68,"")</f>
        <v>93.89473684210526</v>
      </c>
      <c r="I68" s="9">
        <f>COUNTIFS('Audit Raw data'!AM:AM,"Yes",'Audit Raw data'!J:J,A:A)</f>
        <v>19</v>
      </c>
      <c r="J68" s="9">
        <f t="shared" si="4"/>
        <v>0</v>
      </c>
      <c r="K68" s="12">
        <f t="shared" si="5"/>
        <v>1</v>
      </c>
    </row>
    <row r="69" spans="1:11" x14ac:dyDescent="0.35">
      <c r="A69" s="9" t="s">
        <v>568</v>
      </c>
      <c r="B69" s="9" t="s">
        <v>1534</v>
      </c>
      <c r="C69" s="9" t="s">
        <v>221</v>
      </c>
      <c r="D69" s="9" t="s">
        <v>1450</v>
      </c>
      <c r="E69" s="9" t="s">
        <v>1451</v>
      </c>
      <c r="F69" s="41">
        <v>45797</v>
      </c>
      <c r="G69" s="10">
        <f>COUNTIFS('Audit Raw data'!J:J,A:A)</f>
        <v>14</v>
      </c>
      <c r="H69" s="11">
        <f>IFERROR(SUMIFS('Audit Raw data'!BZ:BZ,'Audit Raw data'!J:J,A:A)/G69,"")</f>
        <v>94</v>
      </c>
      <c r="I69" s="9">
        <f>COUNTIFS('Audit Raw data'!AM:AM,"Yes",'Audit Raw data'!J:J,A:A)</f>
        <v>14</v>
      </c>
      <c r="J69" s="9">
        <f t="shared" si="4"/>
        <v>0</v>
      </c>
      <c r="K69" s="12">
        <f t="shared" si="5"/>
        <v>1</v>
      </c>
    </row>
    <row r="70" spans="1:11" x14ac:dyDescent="0.35">
      <c r="A70" s="9" t="s">
        <v>570</v>
      </c>
      <c r="B70" s="9" t="s">
        <v>1535</v>
      </c>
      <c r="C70" s="9" t="s">
        <v>221</v>
      </c>
      <c r="D70" s="9" t="s">
        <v>1450</v>
      </c>
      <c r="E70" s="9" t="s">
        <v>1451</v>
      </c>
      <c r="F70" s="41">
        <v>45797</v>
      </c>
      <c r="G70" s="10">
        <f>COUNTIFS('Audit Raw data'!J:J,A:A)</f>
        <v>9</v>
      </c>
      <c r="H70" s="11">
        <f>IFERROR(SUMIFS('Audit Raw data'!BZ:BZ,'Audit Raw data'!J:J,A:A)/G70,"")</f>
        <v>92.222222222222229</v>
      </c>
      <c r="I70" s="9">
        <f>COUNTIFS('Audit Raw data'!AM:AM,"Yes",'Audit Raw data'!J:J,A:A)</f>
        <v>9</v>
      </c>
      <c r="J70" s="9">
        <f t="shared" si="4"/>
        <v>0</v>
      </c>
      <c r="K70" s="12">
        <f t="shared" si="5"/>
        <v>1</v>
      </c>
    </row>
    <row r="71" spans="1:11" x14ac:dyDescent="0.35">
      <c r="A71" s="9" t="s">
        <v>117</v>
      </c>
      <c r="B71" s="9" t="s">
        <v>1536</v>
      </c>
      <c r="C71" s="9" t="s">
        <v>1453</v>
      </c>
      <c r="D71" s="9" t="s">
        <v>1460</v>
      </c>
      <c r="E71" s="9" t="s">
        <v>54</v>
      </c>
      <c r="F71" s="41">
        <v>45809</v>
      </c>
      <c r="G71" s="10">
        <f>COUNTIFS('Audit Raw data'!J:J,A:A)</f>
        <v>10</v>
      </c>
      <c r="H71" s="11">
        <f>IFERROR(SUMIFS('Audit Raw data'!BZ:BZ,'Audit Raw data'!J:J,A:A)/G71,"")</f>
        <v>89.2</v>
      </c>
      <c r="I71" s="9">
        <f>COUNTIFS('Audit Raw data'!AM:AM,"Yes",'Audit Raw data'!J:J,A:A)</f>
        <v>10</v>
      </c>
      <c r="J71" s="9">
        <f t="shared" si="4"/>
        <v>0</v>
      </c>
      <c r="K71" s="12">
        <f t="shared" si="5"/>
        <v>1</v>
      </c>
    </row>
    <row r="72" spans="1:11" x14ac:dyDescent="0.35">
      <c r="A72" s="9" t="s">
        <v>586</v>
      </c>
      <c r="B72" s="9" t="s">
        <v>1537</v>
      </c>
      <c r="C72" s="9" t="s">
        <v>107</v>
      </c>
      <c r="D72" s="9" t="s">
        <v>1450</v>
      </c>
      <c r="E72" s="9" t="s">
        <v>54</v>
      </c>
      <c r="F72" s="41">
        <v>45809</v>
      </c>
      <c r="G72" s="10">
        <f>COUNTIFS('Audit Raw data'!J:J,A:A)</f>
        <v>6</v>
      </c>
      <c r="H72" s="11">
        <f>IFERROR(SUMIFS('Audit Raw data'!BZ:BZ,'Audit Raw data'!J:J,A:A)/G72,"")</f>
        <v>91.333333333333329</v>
      </c>
      <c r="I72" s="9">
        <f>COUNTIFS('Audit Raw data'!AM:AM,"Yes",'Audit Raw data'!J:J,A:A)</f>
        <v>6</v>
      </c>
      <c r="J72" s="9">
        <f t="shared" si="4"/>
        <v>0</v>
      </c>
      <c r="K72" s="12">
        <f t="shared" si="5"/>
        <v>1</v>
      </c>
    </row>
    <row r="73" spans="1:11" x14ac:dyDescent="0.35">
      <c r="A73" s="9" t="s">
        <v>302</v>
      </c>
      <c r="B73" s="9" t="s">
        <v>1538</v>
      </c>
      <c r="C73" s="9" t="s">
        <v>107</v>
      </c>
      <c r="D73" s="9" t="s">
        <v>1450</v>
      </c>
      <c r="E73" s="9" t="s">
        <v>54</v>
      </c>
      <c r="F73" s="41">
        <v>45823</v>
      </c>
      <c r="G73" s="10">
        <f>COUNTIFS('Audit Raw data'!J:J,A:A)</f>
        <v>9</v>
      </c>
      <c r="H73" s="11">
        <f>IFERROR(SUMIFS('Audit Raw data'!BZ:BZ,'Audit Raw data'!J:J,A:A)/G73,"")</f>
        <v>89.777777777777771</v>
      </c>
      <c r="I73" s="9">
        <f>COUNTIFS('Audit Raw data'!AM:AM,"Yes",'Audit Raw data'!J:J,A:A)</f>
        <v>8</v>
      </c>
      <c r="J73" s="9">
        <f t="shared" si="4"/>
        <v>1</v>
      </c>
      <c r="K73" s="12">
        <f t="shared" si="5"/>
        <v>0.88888888888888884</v>
      </c>
    </row>
    <row r="74" spans="1:11" x14ac:dyDescent="0.35">
      <c r="A74" s="9" t="s">
        <v>665</v>
      </c>
      <c r="B74" s="9" t="s">
        <v>1539</v>
      </c>
      <c r="C74" s="9" t="s">
        <v>178</v>
      </c>
      <c r="D74" s="9" t="s">
        <v>1460</v>
      </c>
      <c r="E74" s="9" t="s">
        <v>54</v>
      </c>
      <c r="F74" s="41">
        <v>45830</v>
      </c>
      <c r="G74" s="10">
        <f>COUNTIFS('Audit Raw data'!J:J,A:A)</f>
        <v>2</v>
      </c>
      <c r="H74" s="11">
        <f>IFERROR(SUMIFS('Audit Raw data'!BZ:BZ,'Audit Raw data'!J:J,A:A)/G74,"")</f>
        <v>83</v>
      </c>
      <c r="I74" s="9">
        <f>COUNTIFS('Audit Raw data'!AM:AM,"Yes",'Audit Raw data'!J:J,A:A)</f>
        <v>2</v>
      </c>
      <c r="J74" s="9">
        <f t="shared" si="4"/>
        <v>0</v>
      </c>
      <c r="K74" s="12">
        <f t="shared" si="5"/>
        <v>1</v>
      </c>
    </row>
    <row r="75" spans="1:11" x14ac:dyDescent="0.35">
      <c r="A75" s="9" t="s">
        <v>439</v>
      </c>
      <c r="B75" s="9" t="s">
        <v>1540</v>
      </c>
      <c r="C75" s="9" t="s">
        <v>1453</v>
      </c>
      <c r="D75" s="9" t="s">
        <v>1460</v>
      </c>
      <c r="E75" s="9" t="s">
        <v>54</v>
      </c>
      <c r="F75" s="41">
        <v>45834</v>
      </c>
      <c r="G75" s="10">
        <f>COUNTIFS('Audit Raw data'!J:J,A:A)</f>
        <v>13</v>
      </c>
      <c r="H75" s="11">
        <f>IFERROR(SUMIFS('Audit Raw data'!BZ:BZ,'Audit Raw data'!J:J,A:A)/G75,"")</f>
        <v>86.461538461538467</v>
      </c>
      <c r="I75" s="9">
        <f>COUNTIFS('Audit Raw data'!AM:AM,"Yes",'Audit Raw data'!J:J,A:A)</f>
        <v>13</v>
      </c>
      <c r="J75" s="9">
        <f t="shared" si="4"/>
        <v>0</v>
      </c>
      <c r="K75" s="12">
        <f t="shared" si="5"/>
        <v>1</v>
      </c>
    </row>
    <row r="76" spans="1:11" x14ac:dyDescent="0.35">
      <c r="A76" s="9" t="s">
        <v>427</v>
      </c>
      <c r="B76" s="9" t="s">
        <v>1541</v>
      </c>
      <c r="C76" s="9" t="s">
        <v>107</v>
      </c>
      <c r="D76" s="9" t="s">
        <v>1450</v>
      </c>
      <c r="E76" s="9" t="s">
        <v>54</v>
      </c>
      <c r="F76" s="41">
        <v>45840</v>
      </c>
      <c r="G76" s="10">
        <f>COUNTIFS('Audit Raw data'!J:J,A:A)</f>
        <v>8</v>
      </c>
      <c r="H76" s="11">
        <f>IFERROR(SUMIFS('Audit Raw data'!BZ:BZ,'Audit Raw data'!J:J,A:A)/G76,"")</f>
        <v>93.25</v>
      </c>
      <c r="I76" s="9">
        <f>COUNTIFS('Audit Raw data'!AM:AM,"Yes",'Audit Raw data'!J:J,A:A)</f>
        <v>8</v>
      </c>
      <c r="J76" s="9">
        <f t="shared" si="4"/>
        <v>0</v>
      </c>
      <c r="K76" s="12">
        <f t="shared" si="5"/>
        <v>1</v>
      </c>
    </row>
    <row r="77" spans="1:11" x14ac:dyDescent="0.35">
      <c r="A77" s="9" t="s">
        <v>749</v>
      </c>
      <c r="B77" s="9" t="s">
        <v>1542</v>
      </c>
      <c r="C77" s="9" t="s">
        <v>1484</v>
      </c>
      <c r="D77" s="9" t="s">
        <v>1450</v>
      </c>
      <c r="E77" s="9" t="s">
        <v>54</v>
      </c>
      <c r="F77" s="41">
        <v>45840</v>
      </c>
      <c r="G77" s="10">
        <f>COUNTIFS('Audit Raw data'!J:J,A:A)</f>
        <v>11</v>
      </c>
      <c r="H77" s="11">
        <f>IFERROR(SUMIFS('Audit Raw data'!BZ:BZ,'Audit Raw data'!J:J,A:A)/G77,"")</f>
        <v>91.63636363636364</v>
      </c>
      <c r="I77" s="9">
        <f>COUNTIFS('Audit Raw data'!AM:AM,"Yes",'Audit Raw data'!J:J,A:A)</f>
        <v>11</v>
      </c>
      <c r="J77" s="9">
        <f t="shared" si="4"/>
        <v>0</v>
      </c>
      <c r="K77" s="12">
        <f t="shared" si="5"/>
        <v>1</v>
      </c>
    </row>
    <row r="78" spans="1:11" x14ac:dyDescent="0.35">
      <c r="A78" s="9" t="s">
        <v>528</v>
      </c>
      <c r="B78" s="9" t="s">
        <v>1543</v>
      </c>
      <c r="C78" s="9" t="s">
        <v>178</v>
      </c>
      <c r="D78" s="9" t="s">
        <v>1450</v>
      </c>
      <c r="E78" s="9" t="s">
        <v>54</v>
      </c>
      <c r="F78" s="41">
        <v>45856</v>
      </c>
      <c r="G78" s="10">
        <f>COUNTIFS('Audit Raw data'!J:J,A:A)</f>
        <v>8</v>
      </c>
      <c r="H78" s="11">
        <f>IFERROR(SUMIFS('Audit Raw data'!BZ:BZ,'Audit Raw data'!J:J,A:A)/G78,"")</f>
        <v>92.5</v>
      </c>
      <c r="I78" s="9">
        <f>COUNTIFS('Audit Raw data'!AM:AM,"Yes",'Audit Raw data'!J:J,A:A)</f>
        <v>8</v>
      </c>
      <c r="J78" s="9">
        <f t="shared" si="4"/>
        <v>0</v>
      </c>
      <c r="K78" s="12">
        <f t="shared" si="5"/>
        <v>1</v>
      </c>
    </row>
    <row r="79" spans="1:11" x14ac:dyDescent="0.35">
      <c r="A79" s="9" t="s">
        <v>589</v>
      </c>
      <c r="B79" s="9" t="s">
        <v>1544</v>
      </c>
      <c r="C79" s="9" t="s">
        <v>107</v>
      </c>
      <c r="D79" s="9" t="s">
        <v>1450</v>
      </c>
      <c r="E79" s="9" t="s">
        <v>54</v>
      </c>
      <c r="F79" s="41">
        <v>45856</v>
      </c>
      <c r="G79" s="10">
        <f>COUNTIFS('Audit Raw data'!J:J,A:A)</f>
        <v>8</v>
      </c>
      <c r="H79" s="11">
        <f>IFERROR(SUMIFS('Audit Raw data'!BZ:BZ,'Audit Raw data'!J:J,A:A)/G79,"")</f>
        <v>84.75</v>
      </c>
      <c r="I79" s="9">
        <f>COUNTIFS('Audit Raw data'!AM:AM,"Yes",'Audit Raw data'!J:J,A:A)</f>
        <v>7</v>
      </c>
      <c r="J79" s="9">
        <f t="shared" si="4"/>
        <v>1</v>
      </c>
      <c r="K79" s="12">
        <f t="shared" si="5"/>
        <v>0.875</v>
      </c>
    </row>
    <row r="80" spans="1:11" x14ac:dyDescent="0.35">
      <c r="A80" s="9" t="s">
        <v>367</v>
      </c>
      <c r="B80" s="9" t="s">
        <v>1545</v>
      </c>
      <c r="C80" s="9" t="s">
        <v>1453</v>
      </c>
      <c r="D80" s="9" t="s">
        <v>1460</v>
      </c>
      <c r="E80" s="9" t="s">
        <v>54</v>
      </c>
      <c r="F80" s="41">
        <v>45855</v>
      </c>
      <c r="G80" s="10">
        <f>COUNTIFS('Audit Raw data'!J:J,A:A)</f>
        <v>3</v>
      </c>
      <c r="H80" s="11">
        <f>IFERROR(SUMIFS('Audit Raw data'!BZ:BZ,'Audit Raw data'!J:J,A:A)/G80,"")</f>
        <v>92.666666666666671</v>
      </c>
      <c r="I80" s="9">
        <f>COUNTIFS('Audit Raw data'!AM:AM,"Yes",'Audit Raw data'!J:J,A:A)</f>
        <v>3</v>
      </c>
      <c r="J80" s="9">
        <f t="shared" si="4"/>
        <v>0</v>
      </c>
      <c r="K80" s="12">
        <f t="shared" si="5"/>
        <v>1</v>
      </c>
    </row>
    <row r="81" spans="1:11" x14ac:dyDescent="0.35">
      <c r="A81" s="9" t="s">
        <v>493</v>
      </c>
      <c r="B81" s="9" t="s">
        <v>1546</v>
      </c>
      <c r="C81" s="13" t="s">
        <v>1453</v>
      </c>
      <c r="D81" s="9" t="s">
        <v>1450</v>
      </c>
      <c r="E81" s="9" t="s">
        <v>54</v>
      </c>
      <c r="F81" s="41">
        <v>45856</v>
      </c>
      <c r="G81" s="10">
        <f>COUNTIFS('Audit Raw data'!J:J,A:A)</f>
        <v>6</v>
      </c>
      <c r="H81" s="11">
        <f>IFERROR(SUMIFS('Audit Raw data'!BZ:BZ,'Audit Raw data'!J:J,A:A)/G81,"")</f>
        <v>89.666666666666671</v>
      </c>
      <c r="I81" s="9">
        <f>COUNTIFS('Audit Raw data'!AM:AM,"Yes",'Audit Raw data'!J:J,A:A)</f>
        <v>6</v>
      </c>
      <c r="J81" s="9">
        <f t="shared" si="4"/>
        <v>0</v>
      </c>
      <c r="K81" s="12">
        <f t="shared" si="5"/>
        <v>1</v>
      </c>
    </row>
    <row r="82" spans="1:11" x14ac:dyDescent="0.35">
      <c r="A82" s="9" t="s">
        <v>480</v>
      </c>
      <c r="B82" s="9" t="s">
        <v>1547</v>
      </c>
      <c r="C82" s="9" t="s">
        <v>107</v>
      </c>
      <c r="D82" s="9" t="s">
        <v>1450</v>
      </c>
      <c r="E82" s="9" t="s">
        <v>54</v>
      </c>
      <c r="F82" s="41">
        <v>45855</v>
      </c>
      <c r="G82" s="10">
        <f>COUNTIFS('Audit Raw data'!J:J,A:A)</f>
        <v>7</v>
      </c>
      <c r="H82" s="11">
        <f>IFERROR(SUMIFS('Audit Raw data'!BZ:BZ,'Audit Raw data'!J:J,A:A)/G82,"")</f>
        <v>86</v>
      </c>
      <c r="I82" s="9">
        <f>COUNTIFS('Audit Raw data'!AM:AM,"Yes",'Audit Raw data'!J:J,A:A)</f>
        <v>7</v>
      </c>
      <c r="J82" s="9">
        <f t="shared" si="4"/>
        <v>0</v>
      </c>
      <c r="K82" s="12">
        <f t="shared" si="5"/>
        <v>1</v>
      </c>
    </row>
    <row r="83" spans="1:11" x14ac:dyDescent="0.35">
      <c r="A83" s="9" t="s">
        <v>521</v>
      </c>
      <c r="B83" s="9" t="s">
        <v>1548</v>
      </c>
      <c r="C83" s="9" t="s">
        <v>178</v>
      </c>
      <c r="D83" s="9" t="s">
        <v>1460</v>
      </c>
      <c r="E83" s="9" t="s">
        <v>54</v>
      </c>
      <c r="F83" s="41">
        <v>45865</v>
      </c>
      <c r="G83" s="10">
        <f>COUNTIFS('Audit Raw data'!J:J,A:A)</f>
        <v>5</v>
      </c>
      <c r="H83" s="11">
        <f>IFERROR(SUMIFS('Audit Raw data'!BZ:BZ,'Audit Raw data'!J:J,A:A)/G83,"")</f>
        <v>87.6</v>
      </c>
      <c r="I83" s="9">
        <f>COUNTIFS('Audit Raw data'!AM:AM,"Yes",'Audit Raw data'!J:J,A:A)</f>
        <v>4</v>
      </c>
      <c r="J83" s="9">
        <f t="shared" si="4"/>
        <v>1</v>
      </c>
      <c r="K83" s="12">
        <f t="shared" si="5"/>
        <v>0.8</v>
      </c>
    </row>
    <row r="84" spans="1:11" x14ac:dyDescent="0.35">
      <c r="A84" s="9" t="s">
        <v>154</v>
      </c>
      <c r="B84" s="9" t="s">
        <v>1549</v>
      </c>
      <c r="C84" s="14" t="s">
        <v>107</v>
      </c>
      <c r="D84" s="9" t="s">
        <v>1460</v>
      </c>
      <c r="E84" s="9" t="s">
        <v>54</v>
      </c>
      <c r="F84" s="41">
        <v>45865</v>
      </c>
      <c r="G84" s="10">
        <f>COUNTIFS('Audit Raw data'!J:J,A:A)</f>
        <v>9</v>
      </c>
      <c r="H84" s="11">
        <f>IFERROR(SUMIFS('Audit Raw data'!BZ:BZ,'Audit Raw data'!J:J,A:A)/G84,"")</f>
        <v>82.888888888888886</v>
      </c>
      <c r="I84" s="9">
        <f>COUNTIFS('Audit Raw data'!AM:AM,"Yes",'Audit Raw data'!J:J,A:A)</f>
        <v>9</v>
      </c>
      <c r="J84" s="9">
        <f t="shared" si="4"/>
        <v>0</v>
      </c>
      <c r="K84" s="12">
        <f t="shared" si="5"/>
        <v>1</v>
      </c>
    </row>
    <row r="85" spans="1:11" x14ac:dyDescent="0.35">
      <c r="A85" s="9" t="s">
        <v>519</v>
      </c>
      <c r="B85" s="9" t="s">
        <v>1550</v>
      </c>
      <c r="C85" s="9" t="s">
        <v>178</v>
      </c>
      <c r="D85" s="9" t="s">
        <v>1460</v>
      </c>
      <c r="E85" s="9" t="s">
        <v>54</v>
      </c>
      <c r="F85" s="41">
        <v>45865</v>
      </c>
      <c r="G85" s="10">
        <f>COUNTIFS('Audit Raw data'!J:J,A:A)</f>
        <v>5</v>
      </c>
      <c r="H85" s="11">
        <f>IFERROR(SUMIFS('Audit Raw data'!BZ:BZ,'Audit Raw data'!J:J,A:A)/G85,"")</f>
        <v>81.599999999999994</v>
      </c>
      <c r="I85" s="9">
        <f>COUNTIFS('Audit Raw data'!AM:AM,"Yes",'Audit Raw data'!J:J,A:A)</f>
        <v>4</v>
      </c>
      <c r="J85" s="9">
        <f t="shared" si="4"/>
        <v>1</v>
      </c>
      <c r="K85" s="12">
        <f t="shared" si="5"/>
        <v>0.8</v>
      </c>
    </row>
    <row r="86" spans="1:11" x14ac:dyDescent="0.35">
      <c r="A86" s="9" t="s">
        <v>341</v>
      </c>
      <c r="B86" s="9" t="s">
        <v>1551</v>
      </c>
      <c r="C86" s="9" t="s">
        <v>178</v>
      </c>
      <c r="D86" s="9" t="s">
        <v>1460</v>
      </c>
      <c r="E86" s="9" t="s">
        <v>54</v>
      </c>
      <c r="F86" s="41">
        <v>45881</v>
      </c>
      <c r="G86" s="10">
        <f>COUNTIFS('Audit Raw data'!J:J,A:A)</f>
        <v>6</v>
      </c>
      <c r="H86" s="11">
        <f>IFERROR(SUMIFS('Audit Raw data'!BZ:BZ,'Audit Raw data'!J:J,A:A)/G86,"")</f>
        <v>81.666666666666671</v>
      </c>
      <c r="I86" s="9">
        <f>COUNTIFS('Audit Raw data'!AM:AM,"Yes",'Audit Raw data'!J:J,A:A)</f>
        <v>6</v>
      </c>
      <c r="J86" s="9">
        <f t="shared" si="4"/>
        <v>0</v>
      </c>
      <c r="K86" s="12">
        <f t="shared" si="5"/>
        <v>1</v>
      </c>
    </row>
    <row r="87" spans="1:11" x14ac:dyDescent="0.35">
      <c r="A87" s="9" t="s">
        <v>173</v>
      </c>
      <c r="B87" s="9" t="s">
        <v>1552</v>
      </c>
      <c r="C87" s="13" t="s">
        <v>107</v>
      </c>
      <c r="D87" s="9" t="s">
        <v>1460</v>
      </c>
      <c r="E87" s="9" t="s">
        <v>54</v>
      </c>
      <c r="F87" s="41">
        <v>45880</v>
      </c>
      <c r="G87" s="10">
        <f>COUNTIFS('Audit Raw data'!J:J,A:A)</f>
        <v>8</v>
      </c>
      <c r="H87" s="11">
        <f>IFERROR(SUMIFS('Audit Raw data'!BZ:BZ,'Audit Raw data'!J:J,A:A)/G87,"")</f>
        <v>84.5</v>
      </c>
      <c r="I87" s="9">
        <f>COUNTIFS('Audit Raw data'!AM:AM,"Yes",'Audit Raw data'!J:J,A:A)</f>
        <v>8</v>
      </c>
      <c r="J87" s="9">
        <f t="shared" si="4"/>
        <v>0</v>
      </c>
      <c r="K87" s="12">
        <f t="shared" si="5"/>
        <v>1</v>
      </c>
    </row>
    <row r="88" spans="1:11" x14ac:dyDescent="0.35">
      <c r="A88" s="9" t="s">
        <v>335</v>
      </c>
      <c r="B88" s="9" t="s">
        <v>1553</v>
      </c>
      <c r="C88" s="13" t="s">
        <v>1484</v>
      </c>
      <c r="D88" s="9" t="s">
        <v>1460</v>
      </c>
      <c r="E88" s="9" t="s">
        <v>54</v>
      </c>
      <c r="F88" s="41">
        <v>45880</v>
      </c>
      <c r="G88" s="10">
        <f>COUNTIFS('Audit Raw data'!J:J,A:A)</f>
        <v>7</v>
      </c>
      <c r="H88" s="11">
        <f>IFERROR(SUMIFS('Audit Raw data'!BZ:BZ,'Audit Raw data'!J:J,A:A)/G88,"")</f>
        <v>85.428571428571431</v>
      </c>
      <c r="I88" s="9">
        <f>COUNTIFS('Audit Raw data'!AM:AM,"Yes",'Audit Raw data'!J:J,A:A)</f>
        <v>7</v>
      </c>
      <c r="J88" s="9">
        <f t="shared" si="4"/>
        <v>0</v>
      </c>
      <c r="K88" s="12">
        <f t="shared" si="5"/>
        <v>1</v>
      </c>
    </row>
    <row r="89" spans="1:11" x14ac:dyDescent="0.35">
      <c r="A89" s="9" t="s">
        <v>317</v>
      </c>
      <c r="B89" s="9" t="s">
        <v>1554</v>
      </c>
      <c r="C89" s="9" t="s">
        <v>178</v>
      </c>
      <c r="D89" s="9" t="s">
        <v>1460</v>
      </c>
      <c r="E89" s="9" t="s">
        <v>54</v>
      </c>
      <c r="F89" s="41">
        <v>45897</v>
      </c>
      <c r="G89" s="10">
        <f>COUNTIFS('Audit Raw data'!J:J,A:A)</f>
        <v>7</v>
      </c>
      <c r="H89" s="11">
        <f>IFERROR(SUMIFS('Audit Raw data'!BZ:BZ,'Audit Raw data'!J:J,A:A)/G89,"")</f>
        <v>87.142857142857139</v>
      </c>
      <c r="I89" s="9">
        <f>COUNTIFS('Audit Raw data'!AM:AM,"Yes",'Audit Raw data'!J:J,A:A)</f>
        <v>7</v>
      </c>
      <c r="J89" s="9">
        <f t="shared" si="4"/>
        <v>0</v>
      </c>
      <c r="K89" s="12">
        <f t="shared" si="5"/>
        <v>1</v>
      </c>
    </row>
    <row r="90" spans="1:11" x14ac:dyDescent="0.35">
      <c r="A90" s="9" t="s">
        <v>370</v>
      </c>
      <c r="B90" s="9" t="s">
        <v>1555</v>
      </c>
      <c r="C90" s="14" t="s">
        <v>1453</v>
      </c>
      <c r="D90" s="9" t="s">
        <v>1460</v>
      </c>
      <c r="E90" s="9" t="s">
        <v>54</v>
      </c>
      <c r="F90" s="41">
        <v>45897</v>
      </c>
      <c r="G90" s="10">
        <f>COUNTIFS('Audit Raw data'!J:J,A:A)</f>
        <v>7</v>
      </c>
      <c r="H90" s="11">
        <f>IFERROR(SUMIFS('Audit Raw data'!BZ:BZ,'Audit Raw data'!J:J,A:A)/G90,"")</f>
        <v>88.857142857142861</v>
      </c>
      <c r="I90" s="9">
        <f>COUNTIFS('Audit Raw data'!AM:AM,"Yes",'Audit Raw data'!J:J,A:A)</f>
        <v>7</v>
      </c>
      <c r="J90" s="9">
        <f t="shared" si="4"/>
        <v>0</v>
      </c>
      <c r="K90" s="12">
        <f t="shared" si="5"/>
        <v>1</v>
      </c>
    </row>
    <row r="91" spans="1:11" x14ac:dyDescent="0.35">
      <c r="A91" s="9" t="s">
        <v>159</v>
      </c>
      <c r="B91" s="9" t="s">
        <v>1556</v>
      </c>
      <c r="C91" s="9" t="s">
        <v>107</v>
      </c>
      <c r="D91" s="9" t="s">
        <v>1460</v>
      </c>
      <c r="E91" s="9" t="s">
        <v>54</v>
      </c>
      <c r="F91" s="41">
        <v>45897</v>
      </c>
      <c r="G91" s="10">
        <f>COUNTIFS('Audit Raw data'!J:J,A:A)</f>
        <v>6</v>
      </c>
      <c r="H91" s="11">
        <f>IFERROR(SUMIFS('Audit Raw data'!BZ:BZ,'Audit Raw data'!J:J,A:A)/G91,"")</f>
        <v>81</v>
      </c>
      <c r="I91" s="9">
        <f>COUNTIFS('Audit Raw data'!AM:AM,"Yes",'Audit Raw data'!J:J,A:A)</f>
        <v>6</v>
      </c>
      <c r="J91" s="9">
        <f t="shared" si="4"/>
        <v>0</v>
      </c>
      <c r="K91" s="12">
        <f t="shared" si="5"/>
        <v>1</v>
      </c>
    </row>
    <row r="92" spans="1:11" x14ac:dyDescent="0.35">
      <c r="A92" s="9" t="s">
        <v>291</v>
      </c>
      <c r="B92" s="9" t="s">
        <v>1557</v>
      </c>
      <c r="C92" s="9" t="s">
        <v>1484</v>
      </c>
      <c r="D92" s="9" t="s">
        <v>1450</v>
      </c>
      <c r="E92" s="9" t="s">
        <v>54</v>
      </c>
      <c r="F92" s="41">
        <v>45907</v>
      </c>
      <c r="G92" s="10">
        <f>COUNTIFS('Audit Raw data'!J:J,A:A)</f>
        <v>7</v>
      </c>
      <c r="H92" s="11">
        <f>IFERROR(SUMIFS('Audit Raw data'!BZ:BZ,'Audit Raw data'!J:J,A:A)/G92,"")</f>
        <v>92.857142857142861</v>
      </c>
      <c r="I92" s="9">
        <f>COUNTIFS('Audit Raw data'!AM:AM,"Yes",'Audit Raw data'!J:J,A:A)</f>
        <v>7</v>
      </c>
      <c r="J92" s="9">
        <f t="shared" si="4"/>
        <v>0</v>
      </c>
      <c r="K92" s="12">
        <f t="shared" si="5"/>
        <v>1</v>
      </c>
    </row>
    <row r="93" spans="1:11" x14ac:dyDescent="0.35">
      <c r="A93" s="9" t="s">
        <v>326</v>
      </c>
      <c r="B93" s="9" t="s">
        <v>1510</v>
      </c>
      <c r="C93" s="9" t="s">
        <v>1453</v>
      </c>
      <c r="D93" s="4" t="s">
        <v>1460</v>
      </c>
      <c r="E93" s="9" t="s">
        <v>54</v>
      </c>
      <c r="F93" s="41">
        <v>45908</v>
      </c>
      <c r="G93" s="10">
        <f>COUNTIFS('Audit Raw data'!J:J,A:A)</f>
        <v>7</v>
      </c>
      <c r="H93" s="11">
        <f>IFERROR(SUMIFS('Audit Raw data'!BZ:BZ,'Audit Raw data'!J:J,A:A)/G93,"")</f>
        <v>89.142857142857139</v>
      </c>
      <c r="I93" s="9">
        <f>COUNTIFS('Audit Raw data'!AM:AM,"Yes",'Audit Raw data'!J:J,A:A)</f>
        <v>7</v>
      </c>
      <c r="J93" s="9">
        <f t="shared" si="4"/>
        <v>0</v>
      </c>
      <c r="K93" s="12">
        <f t="shared" si="5"/>
        <v>1</v>
      </c>
    </row>
    <row r="94" spans="1:11" x14ac:dyDescent="0.35">
      <c r="A94" s="9" t="s">
        <v>321</v>
      </c>
      <c r="B94" s="9" t="s">
        <v>1558</v>
      </c>
      <c r="C94" s="9" t="s">
        <v>1453</v>
      </c>
      <c r="D94" s="4" t="s">
        <v>1450</v>
      </c>
      <c r="E94" s="9" t="s">
        <v>54</v>
      </c>
      <c r="F94" s="41">
        <v>45907</v>
      </c>
      <c r="G94" s="10">
        <f>COUNTIFS('Audit Raw data'!J:J,A:A)</f>
        <v>7</v>
      </c>
      <c r="H94" s="11">
        <f>IFERROR(SUMIFS('Audit Raw data'!BZ:BZ,'Audit Raw data'!J:J,A:A)/G94,"")</f>
        <v>86.571428571428569</v>
      </c>
      <c r="I94" s="9">
        <f>COUNTIFS('Audit Raw data'!AM:AM,"Yes",'Audit Raw data'!J:J,A:A)</f>
        <v>7</v>
      </c>
      <c r="J94" s="9">
        <f t="shared" si="4"/>
        <v>0</v>
      </c>
      <c r="K94" s="12">
        <f t="shared" si="5"/>
        <v>1</v>
      </c>
    </row>
    <row r="95" spans="1:11" x14ac:dyDescent="0.35">
      <c r="A95" s="9" t="s">
        <v>288</v>
      </c>
      <c r="B95" s="16" t="s">
        <v>1559</v>
      </c>
      <c r="C95" s="17" t="s">
        <v>107</v>
      </c>
      <c r="D95" s="18" t="s">
        <v>1450</v>
      </c>
      <c r="E95" s="9" t="s">
        <v>54</v>
      </c>
      <c r="F95" s="41">
        <v>45907</v>
      </c>
      <c r="G95" s="10">
        <f>COUNTIFS('Audit Raw data'!J:J,A:A)</f>
        <v>8</v>
      </c>
      <c r="H95" s="11">
        <f>IFERROR(SUMIFS('Audit Raw data'!BZ:BZ,'Audit Raw data'!J:J,A:A)/G95,"")</f>
        <v>92</v>
      </c>
      <c r="I95" s="9">
        <f>COUNTIFS('Audit Raw data'!AM:AM,"Yes",'Audit Raw data'!J:J,A:A)</f>
        <v>7</v>
      </c>
      <c r="J95" s="9">
        <f t="shared" si="4"/>
        <v>1</v>
      </c>
      <c r="K95" s="12">
        <f t="shared" si="5"/>
        <v>0.875</v>
      </c>
    </row>
    <row r="96" spans="1:11" x14ac:dyDescent="0.35">
      <c r="A96" s="9" t="s">
        <v>873</v>
      </c>
      <c r="B96" s="16" t="s">
        <v>1560</v>
      </c>
      <c r="C96" s="14" t="s">
        <v>1484</v>
      </c>
      <c r="D96" s="18" t="s">
        <v>1450</v>
      </c>
      <c r="E96" s="9" t="s">
        <v>54</v>
      </c>
      <c r="F96" s="41">
        <v>45908</v>
      </c>
      <c r="G96" s="10">
        <f>COUNTIFS('Audit Raw data'!J:J,A:A)</f>
        <v>9</v>
      </c>
      <c r="H96" s="11">
        <f>IFERROR(SUMIFS('Audit Raw data'!BZ:BZ,'Audit Raw data'!J:J,A:A)/G96,"")</f>
        <v>91.555555555555557</v>
      </c>
      <c r="I96" s="9">
        <f>COUNTIFS('Audit Raw data'!AM:AM,"Yes",'Audit Raw data'!J:J,A:A)</f>
        <v>9</v>
      </c>
      <c r="J96" s="9">
        <f t="shared" si="4"/>
        <v>0</v>
      </c>
      <c r="K96" s="12">
        <f t="shared" si="5"/>
        <v>1</v>
      </c>
    </row>
    <row r="97" spans="1:11" x14ac:dyDescent="0.35">
      <c r="A97" s="9" t="s">
        <v>238</v>
      </c>
      <c r="B97" s="16" t="s">
        <v>1561</v>
      </c>
      <c r="C97" s="14" t="s">
        <v>1484</v>
      </c>
      <c r="D97" s="18" t="s">
        <v>1460</v>
      </c>
      <c r="E97" s="9" t="s">
        <v>54</v>
      </c>
      <c r="F97" s="41">
        <v>45907</v>
      </c>
      <c r="G97" s="10">
        <f>COUNTIFS('Audit Raw data'!J:J,A:A)</f>
        <v>8</v>
      </c>
      <c r="H97" s="11">
        <f>IFERROR(SUMIFS('Audit Raw data'!BZ:BZ,'Audit Raw data'!J:J,A:A)/G97,"")</f>
        <v>82.5</v>
      </c>
      <c r="I97" s="9">
        <f>COUNTIFS('Audit Raw data'!AM:AM,"Yes",'Audit Raw data'!J:J,A:A)</f>
        <v>8</v>
      </c>
      <c r="J97" s="9">
        <f t="shared" si="4"/>
        <v>0</v>
      </c>
      <c r="K97" s="12">
        <f t="shared" si="5"/>
        <v>1</v>
      </c>
    </row>
    <row r="98" spans="1:11" x14ac:dyDescent="0.35">
      <c r="A98" s="9" t="s">
        <v>231</v>
      </c>
      <c r="B98" s="16" t="s">
        <v>1562</v>
      </c>
      <c r="C98" s="17" t="s">
        <v>107</v>
      </c>
      <c r="D98" s="18" t="s">
        <v>1460</v>
      </c>
      <c r="E98" s="9" t="s">
        <v>54</v>
      </c>
      <c r="F98" s="41">
        <v>45908</v>
      </c>
      <c r="G98" s="10">
        <f>COUNTIFS('Audit Raw data'!J:J,A:A)</f>
        <v>5</v>
      </c>
      <c r="H98" s="11">
        <f>IFERROR(SUMIFS('Audit Raw data'!BZ:BZ,'Audit Raw data'!J:J,A:A)/G98,"")</f>
        <v>84</v>
      </c>
      <c r="I98" s="9">
        <f>COUNTIFS('Audit Raw data'!AM:AM,"Yes",'Audit Raw data'!J:J,A:A)</f>
        <v>5</v>
      </c>
      <c r="J98" s="9">
        <f t="shared" ref="J98:J111" si="6">G98-I98</f>
        <v>0</v>
      </c>
      <c r="K98" s="12">
        <f t="shared" ref="K98:K111" si="7">IFERROR(I98/G98," ")</f>
        <v>1</v>
      </c>
    </row>
    <row r="99" spans="1:11" x14ac:dyDescent="0.35">
      <c r="A99" s="9" t="s">
        <v>215</v>
      </c>
      <c r="B99" s="16" t="s">
        <v>1563</v>
      </c>
      <c r="C99" s="14" t="s">
        <v>178</v>
      </c>
      <c r="D99" s="18" t="s">
        <v>1460</v>
      </c>
      <c r="E99" s="9" t="s">
        <v>54</v>
      </c>
      <c r="F99" s="41">
        <v>45907</v>
      </c>
      <c r="G99" s="10">
        <f>COUNTIFS('Audit Raw data'!J:J,A:A)</f>
        <v>6</v>
      </c>
      <c r="H99" s="11">
        <f>IFERROR(SUMIFS('Audit Raw data'!BZ:BZ,'Audit Raw data'!J:J,A:A)/G99,"")</f>
        <v>91</v>
      </c>
      <c r="I99" s="9">
        <f>COUNTIFS('Audit Raw data'!AM:AM,"Yes",'Audit Raw data'!J:J,A:A)</f>
        <v>5</v>
      </c>
      <c r="J99" s="9">
        <f t="shared" si="6"/>
        <v>1</v>
      </c>
      <c r="K99" s="12">
        <f t="shared" si="7"/>
        <v>0.83333333333333337</v>
      </c>
    </row>
    <row r="100" spans="1:11" x14ac:dyDescent="0.35">
      <c r="A100" s="9" t="s">
        <v>168</v>
      </c>
      <c r="B100" s="16" t="s">
        <v>1564</v>
      </c>
      <c r="C100" s="13" t="s">
        <v>107</v>
      </c>
      <c r="D100" s="18" t="s">
        <v>1460</v>
      </c>
      <c r="E100" s="9" t="s">
        <v>54</v>
      </c>
      <c r="F100" s="41">
        <v>45907</v>
      </c>
      <c r="G100" s="10">
        <f>COUNTIFS('Audit Raw data'!J:J,A:A)</f>
        <v>6</v>
      </c>
      <c r="H100" s="11">
        <f>IFERROR(SUMIFS('Audit Raw data'!BZ:BZ,'Audit Raw data'!J:J,A:A)/G100,"")</f>
        <v>84.666666666666671</v>
      </c>
      <c r="I100" s="9">
        <f>COUNTIFS('Audit Raw data'!AM:AM,"Yes",'Audit Raw data'!J:J,A:A)</f>
        <v>6</v>
      </c>
      <c r="J100" s="9">
        <f t="shared" si="6"/>
        <v>0</v>
      </c>
      <c r="K100" s="12">
        <f t="shared" si="7"/>
        <v>1</v>
      </c>
    </row>
    <row r="101" spans="1:11" x14ac:dyDescent="0.35">
      <c r="A101" s="9" t="s">
        <v>204</v>
      </c>
      <c r="B101" s="16" t="s">
        <v>1565</v>
      </c>
      <c r="C101" s="13" t="s">
        <v>1484</v>
      </c>
      <c r="D101" s="18" t="s">
        <v>1450</v>
      </c>
      <c r="E101" s="9" t="s">
        <v>54</v>
      </c>
      <c r="F101" s="41">
        <v>45919</v>
      </c>
      <c r="G101" s="10">
        <f>COUNTIFS('Audit Raw data'!J:J,A:A)</f>
        <v>10</v>
      </c>
      <c r="H101" s="11">
        <f>IFERROR(SUMIFS('Audit Raw data'!BZ:BZ,'Audit Raw data'!J:J,A:A)/G101,"")</f>
        <v>93.4</v>
      </c>
      <c r="I101" s="9">
        <f>COUNTIFS('Audit Raw data'!AM:AM,"Yes",'Audit Raw data'!J:J,A:A)</f>
        <v>10</v>
      </c>
      <c r="J101" s="9">
        <f t="shared" si="6"/>
        <v>0</v>
      </c>
      <c r="K101" s="12">
        <f t="shared" si="7"/>
        <v>1</v>
      </c>
    </row>
    <row r="102" spans="1:11" x14ac:dyDescent="0.35">
      <c r="A102" s="9" t="s">
        <v>195</v>
      </c>
      <c r="B102" s="16" t="s">
        <v>1566</v>
      </c>
      <c r="C102" s="17" t="s">
        <v>178</v>
      </c>
      <c r="D102" s="18" t="s">
        <v>1450</v>
      </c>
      <c r="E102" s="9" t="s">
        <v>54</v>
      </c>
      <c r="F102" s="41">
        <v>45919</v>
      </c>
      <c r="G102" s="10">
        <f>COUNTIFS('Audit Raw data'!J:J,A:A)</f>
        <v>9</v>
      </c>
      <c r="H102" s="11">
        <f>IFERROR(SUMIFS('Audit Raw data'!BZ:BZ,'Audit Raw data'!J:J,A:A)/G102,"")</f>
        <v>89.555555555555557</v>
      </c>
      <c r="I102" s="9">
        <f>COUNTIFS('Audit Raw data'!AM:AM,"Yes",'Audit Raw data'!J:J,A:A)</f>
        <v>9</v>
      </c>
      <c r="J102" s="9">
        <f t="shared" si="6"/>
        <v>0</v>
      </c>
      <c r="K102" s="12">
        <f t="shared" si="7"/>
        <v>1</v>
      </c>
    </row>
    <row r="103" spans="1:11" x14ac:dyDescent="0.35">
      <c r="A103" s="9" t="s">
        <v>191</v>
      </c>
      <c r="B103" s="16" t="s">
        <v>1567</v>
      </c>
      <c r="C103" s="13" t="s">
        <v>1453</v>
      </c>
      <c r="D103" s="18" t="s">
        <v>1460</v>
      </c>
      <c r="E103" s="9" t="s">
        <v>54</v>
      </c>
      <c r="F103" s="41">
        <v>45919</v>
      </c>
      <c r="G103" s="10">
        <f>COUNTIFS('Audit Raw data'!J:J,A:A)</f>
        <v>9</v>
      </c>
      <c r="H103" s="11">
        <f>IFERROR(SUMIFS('Audit Raw data'!BZ:BZ,'Audit Raw data'!J:J,A:A)/G103,"")</f>
        <v>86.222222222222229</v>
      </c>
      <c r="I103" s="9">
        <f>COUNTIFS('Audit Raw data'!AM:AM,"Yes",'Audit Raw data'!J:J,A:A)</f>
        <v>9</v>
      </c>
      <c r="J103" s="9">
        <f t="shared" si="6"/>
        <v>0</v>
      </c>
      <c r="K103" s="12">
        <f t="shared" si="7"/>
        <v>1</v>
      </c>
    </row>
    <row r="104" spans="1:11" x14ac:dyDescent="0.35">
      <c r="A104" s="9" t="s">
        <v>412</v>
      </c>
      <c r="B104" s="16" t="s">
        <v>1568</v>
      </c>
      <c r="C104" s="17" t="s">
        <v>1453</v>
      </c>
      <c r="D104" s="18" t="s">
        <v>1460</v>
      </c>
      <c r="E104" s="9" t="s">
        <v>54</v>
      </c>
      <c r="F104" s="41">
        <v>45919</v>
      </c>
      <c r="G104" s="10">
        <f>COUNTIFS('Audit Raw data'!J:J,A:A)</f>
        <v>8</v>
      </c>
      <c r="H104" s="11">
        <f>IFERROR(SUMIFS('Audit Raw data'!BZ:BZ,'Audit Raw data'!J:J,A:A)/G104,"")</f>
        <v>89.75</v>
      </c>
      <c r="I104" s="9">
        <f>COUNTIFS('Audit Raw data'!AM:AM,"Yes",'Audit Raw data'!J:J,A:A)</f>
        <v>8</v>
      </c>
      <c r="J104" s="9">
        <f t="shared" si="6"/>
        <v>0</v>
      </c>
      <c r="K104" s="12">
        <f t="shared" si="7"/>
        <v>1</v>
      </c>
    </row>
    <row r="105" spans="1:11" x14ac:dyDescent="0.35">
      <c r="A105" s="9" t="s">
        <v>183</v>
      </c>
      <c r="B105" s="16" t="s">
        <v>1569</v>
      </c>
      <c r="C105" s="9" t="s">
        <v>178</v>
      </c>
      <c r="D105" s="18" t="s">
        <v>1450</v>
      </c>
      <c r="E105" s="9" t="s">
        <v>54</v>
      </c>
      <c r="F105" s="41">
        <v>45927</v>
      </c>
      <c r="G105" s="10">
        <f>COUNTIFS('Audit Raw data'!J:J,A:A)</f>
        <v>4</v>
      </c>
      <c r="H105" s="11">
        <f>IFERROR(SUMIFS('Audit Raw data'!BZ:BZ,'Audit Raw data'!J:J,A:A)/G105,"")</f>
        <v>83.5</v>
      </c>
      <c r="I105" s="9">
        <f>COUNTIFS('Audit Raw data'!AM:AM,"Yes",'Audit Raw data'!J:J,A:A)</f>
        <v>4</v>
      </c>
      <c r="J105" s="9">
        <f t="shared" si="6"/>
        <v>0</v>
      </c>
      <c r="K105" s="12">
        <f t="shared" si="7"/>
        <v>1</v>
      </c>
    </row>
    <row r="106" spans="1:11" x14ac:dyDescent="0.35">
      <c r="A106" s="9" t="s">
        <v>102</v>
      </c>
      <c r="B106" s="16" t="s">
        <v>1570</v>
      </c>
      <c r="C106" s="17" t="s">
        <v>107</v>
      </c>
      <c r="D106" s="18" t="s">
        <v>1460</v>
      </c>
      <c r="E106" s="9" t="s">
        <v>54</v>
      </c>
      <c r="F106" s="41">
        <v>45927</v>
      </c>
      <c r="G106" s="10">
        <f>COUNTIFS('Audit Raw data'!J:J,A:A)</f>
        <v>6</v>
      </c>
      <c r="H106" s="11">
        <f>IFERROR(SUMIFS('Audit Raw data'!BZ:BZ,'Audit Raw data'!J:J,A:A)/G106,"")</f>
        <v>80</v>
      </c>
      <c r="I106" s="9">
        <f>COUNTIFS('Audit Raw data'!AM:AM,"Yes",'Audit Raw data'!J:J,A:A)</f>
        <v>6</v>
      </c>
      <c r="J106" s="9">
        <f t="shared" si="6"/>
        <v>0</v>
      </c>
      <c r="K106" s="12">
        <f t="shared" si="7"/>
        <v>1</v>
      </c>
    </row>
    <row r="107" spans="1:11" x14ac:dyDescent="0.35">
      <c r="A107" s="9" t="s">
        <v>998</v>
      </c>
      <c r="B107" s="16" t="s">
        <v>1571</v>
      </c>
      <c r="C107" s="17" t="s">
        <v>1572</v>
      </c>
      <c r="D107" s="18" t="s">
        <v>1460</v>
      </c>
      <c r="E107" s="9" t="s">
        <v>54</v>
      </c>
      <c r="F107" s="41">
        <v>45938</v>
      </c>
      <c r="G107" s="10">
        <f>COUNTIFS('Audit Raw data'!J:J,A:A)</f>
        <v>6</v>
      </c>
      <c r="H107" s="11">
        <f>IFERROR(SUMIFS('Audit Raw data'!BZ:BZ,'Audit Raw data'!J:J,A:A)/G107,"")</f>
        <v>84.666666666666671</v>
      </c>
      <c r="I107" s="9">
        <f>COUNTIFS('Audit Raw data'!AM:AM,"Yes",'Audit Raw data'!J:J,A:A)</f>
        <v>6</v>
      </c>
      <c r="J107" s="9">
        <f t="shared" si="6"/>
        <v>0</v>
      </c>
      <c r="K107" s="12">
        <f t="shared" si="7"/>
        <v>1</v>
      </c>
    </row>
    <row r="108" spans="1:11" x14ac:dyDescent="0.35">
      <c r="A108" s="9" t="s">
        <v>1009</v>
      </c>
      <c r="B108" s="16" t="s">
        <v>1573</v>
      </c>
      <c r="C108" s="17" t="s">
        <v>1572</v>
      </c>
      <c r="D108" s="18" t="s">
        <v>1460</v>
      </c>
      <c r="E108" s="9" t="s">
        <v>54</v>
      </c>
      <c r="F108" s="41">
        <v>45938</v>
      </c>
      <c r="G108" s="10">
        <f>COUNTIFS('Audit Raw data'!J:J,A:A)</f>
        <v>7</v>
      </c>
      <c r="H108" s="11">
        <f>IFERROR(SUMIFS('Audit Raw data'!BZ:BZ,'Audit Raw data'!J:J,A:A)/G108,"")</f>
        <v>89.142857142857139</v>
      </c>
      <c r="I108" s="9">
        <f>COUNTIFS('Audit Raw data'!AM:AM,"Yes",'Audit Raw data'!J:J,A:A)</f>
        <v>6</v>
      </c>
      <c r="J108" s="9">
        <f t="shared" si="6"/>
        <v>1</v>
      </c>
      <c r="K108" s="12">
        <f t="shared" si="7"/>
        <v>0.8571428571428571</v>
      </c>
    </row>
    <row r="109" spans="1:11" x14ac:dyDescent="0.35">
      <c r="A109" s="9" t="s">
        <v>1098</v>
      </c>
      <c r="B109" s="16" t="s">
        <v>1574</v>
      </c>
      <c r="C109" s="17" t="s">
        <v>1572</v>
      </c>
      <c r="D109" s="18" t="s">
        <v>1460</v>
      </c>
      <c r="E109" s="9" t="s">
        <v>54</v>
      </c>
      <c r="F109" s="41">
        <v>45938</v>
      </c>
      <c r="G109" s="10">
        <f>COUNTIFS('Audit Raw data'!J:J,A:A)</f>
        <v>7</v>
      </c>
      <c r="H109" s="11">
        <f>IFERROR(SUMIFS('Audit Raw data'!BZ:BZ,'Audit Raw data'!J:J,A:A)/G109,"")</f>
        <v>82.285714285714292</v>
      </c>
      <c r="I109" s="9">
        <f>COUNTIFS('Audit Raw data'!AM:AM,"Yes",'Audit Raw data'!J:J,A:A)</f>
        <v>7</v>
      </c>
      <c r="J109" s="9">
        <f t="shared" si="6"/>
        <v>0</v>
      </c>
      <c r="K109" s="12">
        <f t="shared" si="7"/>
        <v>1</v>
      </c>
    </row>
    <row r="110" spans="1:11" x14ac:dyDescent="0.35">
      <c r="A110" s="9" t="s">
        <v>1022</v>
      </c>
      <c r="B110" s="16" t="s">
        <v>1575</v>
      </c>
      <c r="C110" s="17" t="s">
        <v>1572</v>
      </c>
      <c r="D110" s="18" t="s">
        <v>1460</v>
      </c>
      <c r="E110" s="9" t="s">
        <v>54</v>
      </c>
      <c r="F110" s="41">
        <v>45938</v>
      </c>
      <c r="G110" s="10">
        <f>COUNTIFS('Audit Raw data'!J:J,A:A)</f>
        <v>5</v>
      </c>
      <c r="H110" s="11">
        <f>IFERROR(SUMIFS('Audit Raw data'!BZ:BZ,'Audit Raw data'!J:J,A:A)/G110,"")</f>
        <v>89.6</v>
      </c>
      <c r="I110" s="9">
        <f>COUNTIFS('Audit Raw data'!AM:AM,"Yes",'Audit Raw data'!J:J,A:A)</f>
        <v>5</v>
      </c>
      <c r="J110" s="9">
        <f t="shared" si="6"/>
        <v>0</v>
      </c>
      <c r="K110" s="12">
        <f t="shared" si="7"/>
        <v>1</v>
      </c>
    </row>
    <row r="111" spans="1:11" x14ac:dyDescent="0.35">
      <c r="A111" s="9" t="s">
        <v>1030</v>
      </c>
      <c r="B111" s="16" t="s">
        <v>1576</v>
      </c>
      <c r="C111" s="17" t="s">
        <v>1572</v>
      </c>
      <c r="D111" s="18" t="s">
        <v>1460</v>
      </c>
      <c r="E111" s="9" t="s">
        <v>54</v>
      </c>
      <c r="F111" s="41">
        <v>45938</v>
      </c>
      <c r="G111" s="10">
        <f>COUNTIFS('Audit Raw data'!J:J,A:A)</f>
        <v>7</v>
      </c>
      <c r="H111" s="11">
        <f>IFERROR(SUMIFS('Audit Raw data'!BZ:BZ,'Audit Raw data'!J:J,A:A)/G111,"")</f>
        <v>80.857142857142861</v>
      </c>
      <c r="I111" s="9">
        <f>COUNTIFS('Audit Raw data'!AM:AM,"Yes",'Audit Raw data'!J:J,A:A)</f>
        <v>6</v>
      </c>
      <c r="J111" s="9">
        <f t="shared" si="6"/>
        <v>1</v>
      </c>
      <c r="K111" s="12">
        <f t="shared" si="7"/>
        <v>0.8571428571428571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214"/>
  <sheetViews>
    <sheetView workbookViewId="0">
      <selection activeCell="F2" sqref="F2"/>
    </sheetView>
  </sheetViews>
  <sheetFormatPr defaultRowHeight="14.5" x14ac:dyDescent="0.35"/>
  <cols>
    <col min="4" max="4" width="9.36328125" bestFit="1" customWidth="1"/>
    <col min="7" max="7" width="9.08984375" bestFit="1" customWidth="1"/>
  </cols>
  <sheetData>
    <row r="1" spans="1:12" x14ac:dyDescent="0.35">
      <c r="B1" s="7" t="s">
        <v>1577</v>
      </c>
      <c r="C1" s="7" t="s">
        <v>1578</v>
      </c>
      <c r="D1" s="7" t="s">
        <v>1444</v>
      </c>
      <c r="E1" s="7" t="s">
        <v>48</v>
      </c>
      <c r="F1" s="7" t="s">
        <v>1443</v>
      </c>
      <c r="G1" s="7" t="s">
        <v>49</v>
      </c>
      <c r="H1" s="7" t="s">
        <v>1445</v>
      </c>
      <c r="I1" s="8" t="s">
        <v>1446</v>
      </c>
      <c r="J1" s="7" t="s">
        <v>1447</v>
      </c>
      <c r="K1" s="7" t="s">
        <v>1448</v>
      </c>
      <c r="L1" s="7" t="s">
        <v>40</v>
      </c>
    </row>
    <row r="2" spans="1:12" x14ac:dyDescent="0.35">
      <c r="A2" t="str">
        <f t="shared" ref="A2:A65" si="0">B2&amp;G2</f>
        <v>SBM10745931</v>
      </c>
      <c r="B2" t="s">
        <v>313</v>
      </c>
      <c r="C2" t="s">
        <v>1449</v>
      </c>
      <c r="D2" s="32">
        <v>44691</v>
      </c>
      <c r="E2" t="s">
        <v>107</v>
      </c>
      <c r="F2" t="str">
        <f>VLOOKUP(B2,'Agent wise'!A:E,5,0)</f>
        <v>Wire-line</v>
      </c>
      <c r="G2" s="32">
        <v>45931</v>
      </c>
      <c r="H2">
        <f>COUNTIFS('Audit Raw data'!J:J,B:B,'Audit Raw data'!E:E,G:G)</f>
        <v>0</v>
      </c>
      <c r="I2" s="44" t="str">
        <f>IFERROR((SUMIFS('Audit Raw data'!BZ:BZ,'Audit Raw data'!J:J,B:B,'Audit Raw data'!E:E,G:G)/H2)/100,"-")</f>
        <v>-</v>
      </c>
      <c r="J2">
        <f>COUNTIFS('Audit Raw data'!AM:AM,"Yes",'Audit Raw data'!J:J,B:B,'Audit Raw data'!E:E,'Day wise agent'!G:G)</f>
        <v>0</v>
      </c>
      <c r="K2">
        <f>COUNTIFS('Audit Raw data'!AM:AM,"NO",'Audit Raw data'!J:J,B:B,'Audit Raw data'!E:E,'Day wise agent'!G:G)</f>
        <v>0</v>
      </c>
      <c r="L2" s="12" t="str">
        <f t="shared" ref="L2:L65" si="1">IFERROR(J2/H2," ")</f>
        <v xml:space="preserve"> </v>
      </c>
    </row>
    <row r="3" spans="1:12" x14ac:dyDescent="0.35">
      <c r="A3" t="str">
        <f t="shared" si="0"/>
        <v>SBM15045931</v>
      </c>
      <c r="B3" t="s">
        <v>56</v>
      </c>
      <c r="C3" t="s">
        <v>1452</v>
      </c>
      <c r="D3" s="32">
        <v>44707</v>
      </c>
      <c r="E3" t="s">
        <v>1453</v>
      </c>
      <c r="F3" t="str">
        <f>VLOOKUP(B3,'Agent wise'!A:E,5,0)</f>
        <v>Wireless</v>
      </c>
      <c r="G3" s="32">
        <v>45931</v>
      </c>
      <c r="H3">
        <f>COUNTIFS('Audit Raw data'!J:J,B:B,'Audit Raw data'!E:E,G:G)</f>
        <v>1</v>
      </c>
      <c r="I3" s="44">
        <f>IFERROR((SUMIFS('Audit Raw data'!BZ:BZ,'Audit Raw data'!J:J,B:B,'Audit Raw data'!E:E,G:G)/H3)/100,"-")</f>
        <v>0.86</v>
      </c>
      <c r="J3">
        <f>COUNTIFS('Audit Raw data'!AM:AM,"Yes",'Audit Raw data'!J:J,B:B,'Audit Raw data'!E:E,'Day wise agent'!G:G)</f>
        <v>0</v>
      </c>
      <c r="K3">
        <f>COUNTIFS('Audit Raw data'!AM:AM,"NO",'Audit Raw data'!J:J,B:B,'Audit Raw data'!E:E,'Day wise agent'!G:G)</f>
        <v>1</v>
      </c>
      <c r="L3" s="12">
        <f t="shared" si="1"/>
        <v>0</v>
      </c>
    </row>
    <row r="4" spans="1:12" x14ac:dyDescent="0.35">
      <c r="A4" t="str">
        <f t="shared" si="0"/>
        <v>SBM15545931</v>
      </c>
      <c r="B4" t="s">
        <v>1454</v>
      </c>
      <c r="C4" t="s">
        <v>1455</v>
      </c>
      <c r="D4" s="32">
        <v>44707</v>
      </c>
      <c r="E4" t="s">
        <v>1456</v>
      </c>
      <c r="F4" t="str">
        <f>VLOOKUP(B4,'Agent wise'!A:E,5,0)</f>
        <v>RECL</v>
      </c>
      <c r="G4" s="32">
        <v>45931</v>
      </c>
      <c r="H4">
        <f>COUNTIFS('Audit Raw data'!J:J,B:B,'Audit Raw data'!E:E,G:G)</f>
        <v>0</v>
      </c>
      <c r="I4" s="44" t="str">
        <f>IFERROR((SUMIFS('Audit Raw data'!BZ:BZ,'Audit Raw data'!J:J,B:B,'Audit Raw data'!E:E,G:G)/H4)/100,"-")</f>
        <v>-</v>
      </c>
      <c r="J4">
        <f>COUNTIFS('Audit Raw data'!AM:AM,"Yes",'Audit Raw data'!J:J,B:B,'Audit Raw data'!E:E,'Day wise agent'!G:G)</f>
        <v>0</v>
      </c>
      <c r="K4">
        <f>COUNTIFS('Audit Raw data'!AM:AM,"NO",'Audit Raw data'!J:J,B:B,'Audit Raw data'!E:E,'Day wise agent'!G:G)</f>
        <v>0</v>
      </c>
      <c r="L4" s="12" t="str">
        <f t="shared" si="1"/>
        <v xml:space="preserve"> </v>
      </c>
    </row>
    <row r="5" spans="1:12" x14ac:dyDescent="0.35">
      <c r="A5" t="str">
        <f t="shared" si="0"/>
        <v>SBM15745931</v>
      </c>
      <c r="B5" t="s">
        <v>67</v>
      </c>
      <c r="C5" t="s">
        <v>1458</v>
      </c>
      <c r="D5" s="32">
        <v>44713</v>
      </c>
      <c r="E5" t="s">
        <v>1453</v>
      </c>
      <c r="F5" t="str">
        <f>VLOOKUP(B5,'Agent wise'!A:E,5,0)</f>
        <v>Wireless</v>
      </c>
      <c r="G5" s="32">
        <v>45931</v>
      </c>
      <c r="H5">
        <f>COUNTIFS('Audit Raw data'!J:J,B:B,'Audit Raw data'!E:E,G:G)</f>
        <v>1</v>
      </c>
      <c r="I5" s="44">
        <f>IFERROR((SUMIFS('Audit Raw data'!BZ:BZ,'Audit Raw data'!J:J,B:B,'Audit Raw data'!E:E,G:G)/H5)/100,"-")</f>
        <v>0.92</v>
      </c>
      <c r="J5">
        <f>COUNTIFS('Audit Raw data'!AM:AM,"Yes",'Audit Raw data'!J:J,B:B,'Audit Raw data'!E:E,'Day wise agent'!G:G)</f>
        <v>1</v>
      </c>
      <c r="K5">
        <f>COUNTIFS('Audit Raw data'!AM:AM,"NO",'Audit Raw data'!J:J,B:B,'Audit Raw data'!E:E,'Day wise agent'!G:G)</f>
        <v>0</v>
      </c>
      <c r="L5" s="12">
        <f t="shared" si="1"/>
        <v>1</v>
      </c>
    </row>
    <row r="6" spans="1:12" x14ac:dyDescent="0.35">
      <c r="A6" t="str">
        <f t="shared" si="0"/>
        <v>SBM20245931</v>
      </c>
      <c r="B6" t="s">
        <v>466</v>
      </c>
      <c r="C6" t="s">
        <v>1459</v>
      </c>
      <c r="D6" s="32">
        <v>44721</v>
      </c>
      <c r="E6" t="s">
        <v>178</v>
      </c>
      <c r="F6" t="str">
        <f>VLOOKUP(B6,'Agent wise'!A:E,5,0)</f>
        <v>Wireless</v>
      </c>
      <c r="G6" s="32">
        <v>45931</v>
      </c>
      <c r="H6">
        <f>COUNTIFS('Audit Raw data'!J:J,B:B,'Audit Raw data'!E:E,G:G)</f>
        <v>0</v>
      </c>
      <c r="I6" s="44" t="str">
        <f>IFERROR((SUMIFS('Audit Raw data'!BZ:BZ,'Audit Raw data'!J:J,B:B,'Audit Raw data'!E:E,G:G)/H6)/100,"-")</f>
        <v>-</v>
      </c>
      <c r="J6">
        <f>COUNTIFS('Audit Raw data'!AM:AM,"Yes",'Audit Raw data'!J:J,B:B,'Audit Raw data'!E:E,'Day wise agent'!G:G)</f>
        <v>0</v>
      </c>
      <c r="K6">
        <f>COUNTIFS('Audit Raw data'!AM:AM,"NO",'Audit Raw data'!J:J,B:B,'Audit Raw data'!E:E,'Day wise agent'!G:G)</f>
        <v>0</v>
      </c>
      <c r="L6" s="12" t="str">
        <f t="shared" si="1"/>
        <v xml:space="preserve"> </v>
      </c>
    </row>
    <row r="7" spans="1:12" x14ac:dyDescent="0.35">
      <c r="A7" t="str">
        <f t="shared" si="0"/>
        <v>SBM26445931</v>
      </c>
      <c r="B7" t="s">
        <v>575</v>
      </c>
      <c r="C7" t="s">
        <v>1461</v>
      </c>
      <c r="D7" s="32">
        <v>44739</v>
      </c>
      <c r="E7" t="s">
        <v>107</v>
      </c>
      <c r="F7" t="str">
        <f>VLOOKUP(B7,'Agent wise'!A:E,5,0)</f>
        <v>Wireless</v>
      </c>
      <c r="G7" s="32">
        <v>45931</v>
      </c>
      <c r="H7">
        <f>COUNTIFS('Audit Raw data'!J:J,B:B,'Audit Raw data'!E:E,G:G)</f>
        <v>0</v>
      </c>
      <c r="I7" s="44" t="str">
        <f>IFERROR((SUMIFS('Audit Raw data'!BZ:BZ,'Audit Raw data'!J:J,B:B,'Audit Raw data'!E:E,G:G)/H7)/100,"-")</f>
        <v>-</v>
      </c>
      <c r="J7">
        <f>COUNTIFS('Audit Raw data'!AM:AM,"Yes",'Audit Raw data'!J:J,B:B,'Audit Raw data'!E:E,'Day wise agent'!G:G)</f>
        <v>0</v>
      </c>
      <c r="K7">
        <f>COUNTIFS('Audit Raw data'!AM:AM,"NO",'Audit Raw data'!J:J,B:B,'Audit Raw data'!E:E,'Day wise agent'!G:G)</f>
        <v>0</v>
      </c>
      <c r="L7" s="12" t="str">
        <f t="shared" si="1"/>
        <v xml:space="preserve"> </v>
      </c>
    </row>
    <row r="8" spans="1:12" x14ac:dyDescent="0.35">
      <c r="A8" t="str">
        <f t="shared" si="0"/>
        <v>SBM26745931</v>
      </c>
      <c r="B8" t="s">
        <v>91</v>
      </c>
      <c r="C8" t="s">
        <v>1462</v>
      </c>
      <c r="D8" s="32">
        <v>44768</v>
      </c>
      <c r="E8" t="s">
        <v>1453</v>
      </c>
      <c r="F8" t="str">
        <f>VLOOKUP(B8,'Agent wise'!A:E,5,0)</f>
        <v>Wireless</v>
      </c>
      <c r="G8" s="32">
        <v>45931</v>
      </c>
      <c r="H8">
        <f>COUNTIFS('Audit Raw data'!J:J,B:B,'Audit Raw data'!E:E,G:G)</f>
        <v>1</v>
      </c>
      <c r="I8" s="44">
        <f>IFERROR((SUMIFS('Audit Raw data'!BZ:BZ,'Audit Raw data'!J:J,B:B,'Audit Raw data'!E:E,G:G)/H8)/100,"-")</f>
        <v>0.9</v>
      </c>
      <c r="J8">
        <f>COUNTIFS('Audit Raw data'!AM:AM,"Yes",'Audit Raw data'!J:J,B:B,'Audit Raw data'!E:E,'Day wise agent'!G:G)</f>
        <v>1</v>
      </c>
      <c r="K8">
        <f>COUNTIFS('Audit Raw data'!AM:AM,"NO",'Audit Raw data'!J:J,B:B,'Audit Raw data'!E:E,'Day wise agent'!G:G)</f>
        <v>0</v>
      </c>
      <c r="L8" s="12">
        <f t="shared" si="1"/>
        <v>1</v>
      </c>
    </row>
    <row r="9" spans="1:12" x14ac:dyDescent="0.35">
      <c r="A9" t="str">
        <f t="shared" si="0"/>
        <v>SBM31445931</v>
      </c>
      <c r="B9" t="s">
        <v>132</v>
      </c>
      <c r="C9" t="s">
        <v>1463</v>
      </c>
      <c r="D9" s="32">
        <v>44784</v>
      </c>
      <c r="E9" t="s">
        <v>107</v>
      </c>
      <c r="F9" t="str">
        <f>VLOOKUP(B9,'Agent wise'!A:E,5,0)</f>
        <v>Wireless</v>
      </c>
      <c r="G9" s="32">
        <v>45931</v>
      </c>
      <c r="H9">
        <f>COUNTIFS('Audit Raw data'!J:J,B:B,'Audit Raw data'!E:E,G:G)</f>
        <v>1</v>
      </c>
      <c r="I9" s="44">
        <f>IFERROR((SUMIFS('Audit Raw data'!BZ:BZ,'Audit Raw data'!J:J,B:B,'Audit Raw data'!E:E,G:G)/H9)/100,"-")</f>
        <v>0.84</v>
      </c>
      <c r="J9">
        <f>COUNTIFS('Audit Raw data'!AM:AM,"Yes",'Audit Raw data'!J:J,B:B,'Audit Raw data'!E:E,'Day wise agent'!G:G)</f>
        <v>1</v>
      </c>
      <c r="K9">
        <f>COUNTIFS('Audit Raw data'!AM:AM,"NO",'Audit Raw data'!J:J,B:B,'Audit Raw data'!E:E,'Day wise agent'!G:G)</f>
        <v>0</v>
      </c>
      <c r="L9" s="12">
        <f t="shared" si="1"/>
        <v>1</v>
      </c>
    </row>
    <row r="10" spans="1:12" x14ac:dyDescent="0.35">
      <c r="A10" t="str">
        <f t="shared" si="0"/>
        <v>SBM36345931</v>
      </c>
      <c r="B10" t="s">
        <v>70</v>
      </c>
      <c r="C10" t="s">
        <v>1464</v>
      </c>
      <c r="D10" s="32">
        <v>44786</v>
      </c>
      <c r="E10" t="s">
        <v>1453</v>
      </c>
      <c r="F10" t="str">
        <f>VLOOKUP(B10,'Agent wise'!A:E,5,0)</f>
        <v>Wireless</v>
      </c>
      <c r="G10" s="32">
        <v>45931</v>
      </c>
      <c r="H10">
        <f>COUNTIFS('Audit Raw data'!J:J,B:B,'Audit Raw data'!E:E,G:G)</f>
        <v>1</v>
      </c>
      <c r="I10" s="44">
        <f>IFERROR((SUMIFS('Audit Raw data'!BZ:BZ,'Audit Raw data'!J:J,B:B,'Audit Raw data'!E:E,G:G)/H10)/100,"-")</f>
        <v>0.8</v>
      </c>
      <c r="J10">
        <f>COUNTIFS('Audit Raw data'!AM:AM,"Yes",'Audit Raw data'!J:J,B:B,'Audit Raw data'!E:E,'Day wise agent'!G:G)</f>
        <v>1</v>
      </c>
      <c r="K10">
        <f>COUNTIFS('Audit Raw data'!AM:AM,"NO",'Audit Raw data'!J:J,B:B,'Audit Raw data'!E:E,'Day wise agent'!G:G)</f>
        <v>0</v>
      </c>
      <c r="L10" s="12">
        <f t="shared" si="1"/>
        <v>1</v>
      </c>
    </row>
    <row r="11" spans="1:12" x14ac:dyDescent="0.35">
      <c r="A11" t="str">
        <f t="shared" si="0"/>
        <v>SBM37345931</v>
      </c>
      <c r="B11" t="s">
        <v>75</v>
      </c>
      <c r="C11" t="s">
        <v>1465</v>
      </c>
      <c r="D11" s="32">
        <v>44786</v>
      </c>
      <c r="E11" t="s">
        <v>1453</v>
      </c>
      <c r="F11" t="str">
        <f>VLOOKUP(B11,'Agent wise'!A:E,5,0)</f>
        <v>Wireless</v>
      </c>
      <c r="G11" s="32">
        <v>45931</v>
      </c>
      <c r="H11">
        <f>COUNTIFS('Audit Raw data'!J:J,B:B,'Audit Raw data'!E:E,G:G)</f>
        <v>1</v>
      </c>
      <c r="I11" s="44">
        <f>IFERROR((SUMIFS('Audit Raw data'!BZ:BZ,'Audit Raw data'!J:J,B:B,'Audit Raw data'!E:E,G:G)/H11)/100,"-")</f>
        <v>0.88</v>
      </c>
      <c r="J11">
        <f>COUNTIFS('Audit Raw data'!AM:AM,"Yes",'Audit Raw data'!J:J,B:B,'Audit Raw data'!E:E,'Day wise agent'!G:G)</f>
        <v>1</v>
      </c>
      <c r="K11">
        <f>COUNTIFS('Audit Raw data'!AM:AM,"NO",'Audit Raw data'!J:J,B:B,'Audit Raw data'!E:E,'Day wise agent'!G:G)</f>
        <v>0</v>
      </c>
      <c r="L11" s="12">
        <f t="shared" si="1"/>
        <v>1</v>
      </c>
    </row>
    <row r="12" spans="1:12" x14ac:dyDescent="0.35">
      <c r="A12" t="str">
        <f t="shared" si="0"/>
        <v>SBM42245931</v>
      </c>
      <c r="B12" t="s">
        <v>636</v>
      </c>
      <c r="C12" t="s">
        <v>1466</v>
      </c>
      <c r="D12" s="32">
        <v>44882</v>
      </c>
      <c r="E12" t="s">
        <v>107</v>
      </c>
      <c r="F12" t="str">
        <f>VLOOKUP(B12,'Agent wise'!A:E,5,0)</f>
        <v>Wireless</v>
      </c>
      <c r="G12" s="32">
        <v>45931</v>
      </c>
      <c r="H12">
        <f>COUNTIFS('Audit Raw data'!J:J,B:B,'Audit Raw data'!E:E,G:G)</f>
        <v>0</v>
      </c>
      <c r="I12" s="44" t="str">
        <f>IFERROR((SUMIFS('Audit Raw data'!BZ:BZ,'Audit Raw data'!J:J,B:B,'Audit Raw data'!E:E,G:G)/H12)/100,"-")</f>
        <v>-</v>
      </c>
      <c r="J12">
        <f>COUNTIFS('Audit Raw data'!AM:AM,"Yes",'Audit Raw data'!J:J,B:B,'Audit Raw data'!E:E,'Day wise agent'!G:G)</f>
        <v>0</v>
      </c>
      <c r="K12">
        <f>COUNTIFS('Audit Raw data'!AM:AM,"NO",'Audit Raw data'!J:J,B:B,'Audit Raw data'!E:E,'Day wise agent'!G:G)</f>
        <v>0</v>
      </c>
      <c r="L12" s="12" t="str">
        <f t="shared" si="1"/>
        <v xml:space="preserve"> </v>
      </c>
    </row>
    <row r="13" spans="1:12" x14ac:dyDescent="0.35">
      <c r="A13" t="str">
        <f t="shared" si="0"/>
        <v>SBM47945931</v>
      </c>
      <c r="B13" t="s">
        <v>1474</v>
      </c>
      <c r="C13" t="s">
        <v>1475</v>
      </c>
      <c r="D13" s="32">
        <v>44932</v>
      </c>
      <c r="E13" t="s">
        <v>1456</v>
      </c>
      <c r="F13" t="str">
        <f>VLOOKUP(B13,'Agent wise'!A:E,5,0)</f>
        <v>RECL</v>
      </c>
      <c r="G13" s="32">
        <v>45931</v>
      </c>
      <c r="H13">
        <f>COUNTIFS('Audit Raw data'!J:J,B:B,'Audit Raw data'!E:E,G:G)</f>
        <v>0</v>
      </c>
      <c r="I13" s="44" t="str">
        <f>IFERROR((SUMIFS('Audit Raw data'!BZ:BZ,'Audit Raw data'!J:J,B:B,'Audit Raw data'!E:E,G:G)/H13)/100,"-")</f>
        <v>-</v>
      </c>
      <c r="J13">
        <f>COUNTIFS('Audit Raw data'!AM:AM,"Yes",'Audit Raw data'!J:J,B:B,'Audit Raw data'!E:E,'Day wise agent'!G:G)</f>
        <v>0</v>
      </c>
      <c r="K13">
        <f>COUNTIFS('Audit Raw data'!AM:AM,"NO",'Audit Raw data'!J:J,B:B,'Audit Raw data'!E:E,'Day wise agent'!G:G)</f>
        <v>0</v>
      </c>
      <c r="L13" s="12" t="str">
        <f t="shared" si="1"/>
        <v xml:space="preserve"> </v>
      </c>
    </row>
    <row r="14" spans="1:12" x14ac:dyDescent="0.35">
      <c r="A14" t="str">
        <f t="shared" si="0"/>
        <v>SBM48145931</v>
      </c>
      <c r="B14" t="s">
        <v>638</v>
      </c>
      <c r="C14" t="s">
        <v>1467</v>
      </c>
      <c r="D14" s="32">
        <v>44932</v>
      </c>
      <c r="E14" t="s">
        <v>178</v>
      </c>
      <c r="F14" t="str">
        <f>VLOOKUP(B14,'Agent wise'!A:E,5,0)</f>
        <v>Wireless</v>
      </c>
      <c r="G14" s="32">
        <v>45931</v>
      </c>
      <c r="H14">
        <f>COUNTIFS('Audit Raw data'!J:J,B:B,'Audit Raw data'!E:E,G:G)</f>
        <v>0</v>
      </c>
      <c r="I14" s="44" t="str">
        <f>IFERROR((SUMIFS('Audit Raw data'!BZ:BZ,'Audit Raw data'!J:J,B:B,'Audit Raw data'!E:E,G:G)/H14)/100,"-")</f>
        <v>-</v>
      </c>
      <c r="J14">
        <f>COUNTIFS('Audit Raw data'!AM:AM,"Yes",'Audit Raw data'!J:J,B:B,'Audit Raw data'!E:E,'Day wise agent'!G:G)</f>
        <v>0</v>
      </c>
      <c r="K14">
        <f>COUNTIFS('Audit Raw data'!AM:AM,"NO",'Audit Raw data'!J:J,B:B,'Audit Raw data'!E:E,'Day wise agent'!G:G)</f>
        <v>0</v>
      </c>
      <c r="L14" s="12" t="str">
        <f t="shared" si="1"/>
        <v xml:space="preserve"> </v>
      </c>
    </row>
    <row r="15" spans="1:12" x14ac:dyDescent="0.35">
      <c r="A15" t="str">
        <f t="shared" si="0"/>
        <v>SBM48545931</v>
      </c>
      <c r="B15" t="s">
        <v>80</v>
      </c>
      <c r="C15" t="s">
        <v>1469</v>
      </c>
      <c r="D15" s="32">
        <v>44961</v>
      </c>
      <c r="E15" t="s">
        <v>1453</v>
      </c>
      <c r="F15" t="str">
        <f>VLOOKUP(B15,'Agent wise'!A:E,5,0)</f>
        <v>Wireless</v>
      </c>
      <c r="G15" s="32">
        <v>45931</v>
      </c>
      <c r="H15">
        <f>COUNTIFS('Audit Raw data'!J:J,B:B,'Audit Raw data'!E:E,G:G)</f>
        <v>1</v>
      </c>
      <c r="I15" s="44">
        <f>IFERROR((SUMIFS('Audit Raw data'!BZ:BZ,'Audit Raw data'!J:J,B:B,'Audit Raw data'!E:E,G:G)/H15)/100,"-")</f>
        <v>0.76</v>
      </c>
      <c r="J15">
        <f>COUNTIFS('Audit Raw data'!AM:AM,"Yes",'Audit Raw data'!J:J,B:B,'Audit Raw data'!E:E,'Day wise agent'!G:G)</f>
        <v>1</v>
      </c>
      <c r="K15">
        <f>COUNTIFS('Audit Raw data'!AM:AM,"NO",'Audit Raw data'!J:J,B:B,'Audit Raw data'!E:E,'Day wise agent'!G:G)</f>
        <v>0</v>
      </c>
      <c r="L15" s="12">
        <f t="shared" si="1"/>
        <v>1</v>
      </c>
    </row>
    <row r="16" spans="1:12" x14ac:dyDescent="0.35">
      <c r="A16" t="str">
        <f t="shared" si="0"/>
        <v>SBM52445931</v>
      </c>
      <c r="B16" t="s">
        <v>490</v>
      </c>
      <c r="C16" t="s">
        <v>1470</v>
      </c>
      <c r="D16" s="32">
        <v>45093</v>
      </c>
      <c r="E16" t="s">
        <v>1453</v>
      </c>
      <c r="F16" t="str">
        <f>VLOOKUP(B16,'Agent wise'!A:E,5,0)</f>
        <v>Wireless</v>
      </c>
      <c r="G16" s="32">
        <v>45931</v>
      </c>
      <c r="H16">
        <f>COUNTIFS('Audit Raw data'!J:J,B:B,'Audit Raw data'!E:E,G:G)</f>
        <v>0</v>
      </c>
      <c r="I16" s="44" t="str">
        <f>IFERROR((SUMIFS('Audit Raw data'!BZ:BZ,'Audit Raw data'!J:J,B:B,'Audit Raw data'!E:E,G:G)/H16)/100,"-")</f>
        <v>-</v>
      </c>
      <c r="J16">
        <f>COUNTIFS('Audit Raw data'!AM:AM,"Yes",'Audit Raw data'!J:J,B:B,'Audit Raw data'!E:E,'Day wise agent'!G:G)</f>
        <v>0</v>
      </c>
      <c r="K16">
        <f>COUNTIFS('Audit Raw data'!AM:AM,"NO",'Audit Raw data'!J:J,B:B,'Audit Raw data'!E:E,'Day wise agent'!G:G)</f>
        <v>0</v>
      </c>
      <c r="L16" s="12" t="str">
        <f t="shared" si="1"/>
        <v xml:space="preserve"> </v>
      </c>
    </row>
    <row r="17" spans="1:12" x14ac:dyDescent="0.35">
      <c r="A17" t="str">
        <f t="shared" si="0"/>
        <v>SBM55045931</v>
      </c>
      <c r="B17" t="s">
        <v>139</v>
      </c>
      <c r="C17" t="s">
        <v>1471</v>
      </c>
      <c r="D17" s="32">
        <v>45139</v>
      </c>
      <c r="E17" t="s">
        <v>107</v>
      </c>
      <c r="F17" t="str">
        <f>VLOOKUP(B17,'Agent wise'!A:E,5,0)</f>
        <v>Wireless</v>
      </c>
      <c r="G17" s="32">
        <v>45931</v>
      </c>
      <c r="H17">
        <f>COUNTIFS('Audit Raw data'!J:J,B:B,'Audit Raw data'!E:E,G:G)</f>
        <v>1</v>
      </c>
      <c r="I17" s="44">
        <f>IFERROR((SUMIFS('Audit Raw data'!BZ:BZ,'Audit Raw data'!J:J,B:B,'Audit Raw data'!E:E,G:G)/H17)/100,"-")</f>
        <v>0.9</v>
      </c>
      <c r="J17">
        <f>COUNTIFS('Audit Raw data'!AM:AM,"Yes",'Audit Raw data'!J:J,B:B,'Audit Raw data'!E:E,'Day wise agent'!G:G)</f>
        <v>1</v>
      </c>
      <c r="K17">
        <f>COUNTIFS('Audit Raw data'!AM:AM,"NO",'Audit Raw data'!J:J,B:B,'Audit Raw data'!E:E,'Day wise agent'!G:G)</f>
        <v>0</v>
      </c>
      <c r="L17" s="12">
        <f t="shared" si="1"/>
        <v>1</v>
      </c>
    </row>
    <row r="18" spans="1:12" x14ac:dyDescent="0.35">
      <c r="A18" t="str">
        <f t="shared" si="0"/>
        <v>SBM55445931</v>
      </c>
      <c r="B18" t="s">
        <v>208</v>
      </c>
      <c r="C18" t="s">
        <v>1472</v>
      </c>
      <c r="D18" s="32">
        <v>45140</v>
      </c>
      <c r="E18" t="s">
        <v>178</v>
      </c>
      <c r="F18" t="str">
        <f>VLOOKUP(B18,'Agent wise'!A:E,5,0)</f>
        <v>Wireless</v>
      </c>
      <c r="G18" s="32">
        <v>45931</v>
      </c>
      <c r="H18">
        <f>COUNTIFS('Audit Raw data'!J:J,B:B,'Audit Raw data'!E:E,G:G)</f>
        <v>0</v>
      </c>
      <c r="I18" s="44" t="str">
        <f>IFERROR((SUMIFS('Audit Raw data'!BZ:BZ,'Audit Raw data'!J:J,B:B,'Audit Raw data'!E:E,G:G)/H18)/100,"-")</f>
        <v>-</v>
      </c>
      <c r="J18">
        <f>COUNTIFS('Audit Raw data'!AM:AM,"Yes",'Audit Raw data'!J:J,B:B,'Audit Raw data'!E:E,'Day wise agent'!G:G)</f>
        <v>0</v>
      </c>
      <c r="K18">
        <f>COUNTIFS('Audit Raw data'!AM:AM,"NO",'Audit Raw data'!J:J,B:B,'Audit Raw data'!E:E,'Day wise agent'!G:G)</f>
        <v>0</v>
      </c>
      <c r="L18" s="12" t="str">
        <f t="shared" si="1"/>
        <v xml:space="preserve"> </v>
      </c>
    </row>
    <row r="19" spans="1:12" x14ac:dyDescent="0.35">
      <c r="A19" t="str">
        <f t="shared" si="0"/>
        <v>SBM58345931</v>
      </c>
      <c r="B19" t="s">
        <v>546</v>
      </c>
      <c r="C19" t="s">
        <v>1473</v>
      </c>
      <c r="D19" s="32">
        <v>45245</v>
      </c>
      <c r="E19" t="s">
        <v>107</v>
      </c>
      <c r="F19" t="str">
        <f>VLOOKUP(B19,'Agent wise'!A:E,5,0)</f>
        <v>Wireless</v>
      </c>
      <c r="G19" s="32">
        <v>45931</v>
      </c>
      <c r="H19">
        <f>COUNTIFS('Audit Raw data'!J:J,B:B,'Audit Raw data'!E:E,G:G)</f>
        <v>0</v>
      </c>
      <c r="I19" s="44" t="str">
        <f>IFERROR((SUMIFS('Audit Raw data'!BZ:BZ,'Audit Raw data'!J:J,B:B,'Audit Raw data'!E:E,G:G)/H19)/100,"-")</f>
        <v>-</v>
      </c>
      <c r="J19">
        <f>COUNTIFS('Audit Raw data'!AM:AM,"Yes",'Audit Raw data'!J:J,B:B,'Audit Raw data'!E:E,'Day wise agent'!G:G)</f>
        <v>0</v>
      </c>
      <c r="K19">
        <f>COUNTIFS('Audit Raw data'!AM:AM,"NO",'Audit Raw data'!J:J,B:B,'Audit Raw data'!E:E,'Day wise agent'!G:G)</f>
        <v>0</v>
      </c>
      <c r="L19" s="12" t="str">
        <f t="shared" si="1"/>
        <v xml:space="preserve"> </v>
      </c>
    </row>
    <row r="20" spans="1:12" x14ac:dyDescent="0.35">
      <c r="A20" t="str">
        <f t="shared" si="0"/>
        <v>SBM61345931</v>
      </c>
      <c r="B20" t="s">
        <v>391</v>
      </c>
      <c r="C20" t="s">
        <v>1478</v>
      </c>
      <c r="D20" s="32">
        <v>45301</v>
      </c>
      <c r="E20" t="s">
        <v>221</v>
      </c>
      <c r="F20" t="str">
        <f>VLOOKUP(B20,'Agent wise'!A:E,5,0)</f>
        <v>Wire-line</v>
      </c>
      <c r="G20" s="32">
        <v>45931</v>
      </c>
      <c r="H20">
        <f>COUNTIFS('Audit Raw data'!J:J,B:B,'Audit Raw data'!E:E,G:G)</f>
        <v>0</v>
      </c>
      <c r="I20" s="44" t="str">
        <f>IFERROR((SUMIFS('Audit Raw data'!BZ:BZ,'Audit Raw data'!J:J,B:B,'Audit Raw data'!E:E,G:G)/H20)/100,"-")</f>
        <v>-</v>
      </c>
      <c r="J20">
        <f>COUNTIFS('Audit Raw data'!AM:AM,"Yes",'Audit Raw data'!J:J,B:B,'Audit Raw data'!E:E,'Day wise agent'!G:G)</f>
        <v>0</v>
      </c>
      <c r="K20">
        <f>COUNTIFS('Audit Raw data'!AM:AM,"NO",'Audit Raw data'!J:J,B:B,'Audit Raw data'!E:E,'Day wise agent'!G:G)</f>
        <v>0</v>
      </c>
      <c r="L20" s="12" t="str">
        <f t="shared" si="1"/>
        <v xml:space="preserve"> </v>
      </c>
    </row>
    <row r="21" spans="1:12" x14ac:dyDescent="0.35">
      <c r="A21" t="str">
        <f t="shared" si="0"/>
        <v>SBM61845931</v>
      </c>
      <c r="B21" t="s">
        <v>242</v>
      </c>
      <c r="C21" t="s">
        <v>1477</v>
      </c>
      <c r="D21" s="32">
        <v>45292</v>
      </c>
      <c r="E21" t="s">
        <v>221</v>
      </c>
      <c r="F21" t="str">
        <f>VLOOKUP(B21,'Agent wise'!A:E,5,0)</f>
        <v>Wire-line</v>
      </c>
      <c r="G21" s="32">
        <v>45931</v>
      </c>
      <c r="H21">
        <f>COUNTIFS('Audit Raw data'!J:J,B:B,'Audit Raw data'!E:E,G:G)</f>
        <v>0</v>
      </c>
      <c r="I21" s="44" t="str">
        <f>IFERROR((SUMIFS('Audit Raw data'!BZ:BZ,'Audit Raw data'!J:J,B:B,'Audit Raw data'!E:E,G:G)/H21)/100,"-")</f>
        <v>-</v>
      </c>
      <c r="J21">
        <f>COUNTIFS('Audit Raw data'!AM:AM,"Yes",'Audit Raw data'!J:J,B:B,'Audit Raw data'!E:E,'Day wise agent'!G:G)</f>
        <v>0</v>
      </c>
      <c r="K21">
        <f>COUNTIFS('Audit Raw data'!AM:AM,"NO",'Audit Raw data'!J:J,B:B,'Audit Raw data'!E:E,'Day wise agent'!G:G)</f>
        <v>0</v>
      </c>
      <c r="L21" s="12" t="str">
        <f t="shared" si="1"/>
        <v xml:space="preserve"> </v>
      </c>
    </row>
    <row r="22" spans="1:12" x14ac:dyDescent="0.35">
      <c r="A22" t="str">
        <f t="shared" si="0"/>
        <v>SBM62545931</v>
      </c>
      <c r="B22" t="s">
        <v>472</v>
      </c>
      <c r="C22" t="s">
        <v>1476</v>
      </c>
      <c r="D22" s="32">
        <v>45329</v>
      </c>
      <c r="E22" t="s">
        <v>1453</v>
      </c>
      <c r="F22" t="str">
        <f>VLOOKUP(B22,'Agent wise'!A:E,5,0)</f>
        <v>Wireless</v>
      </c>
      <c r="G22" s="32">
        <v>45931</v>
      </c>
      <c r="H22">
        <f>COUNTIFS('Audit Raw data'!J:J,B:B,'Audit Raw data'!E:E,G:G)</f>
        <v>0</v>
      </c>
      <c r="I22" s="44" t="str">
        <f>IFERROR((SUMIFS('Audit Raw data'!BZ:BZ,'Audit Raw data'!J:J,B:B,'Audit Raw data'!E:E,G:G)/H22)/100,"-")</f>
        <v>-</v>
      </c>
      <c r="J22">
        <f>COUNTIFS('Audit Raw data'!AM:AM,"Yes",'Audit Raw data'!J:J,B:B,'Audit Raw data'!E:E,'Day wise agent'!G:G)</f>
        <v>0</v>
      </c>
      <c r="K22">
        <f>COUNTIFS('Audit Raw data'!AM:AM,"NO",'Audit Raw data'!J:J,B:B,'Audit Raw data'!E:E,'Day wise agent'!G:G)</f>
        <v>0</v>
      </c>
      <c r="L22" s="12" t="str">
        <f t="shared" si="1"/>
        <v xml:space="preserve"> </v>
      </c>
    </row>
    <row r="23" spans="1:12" x14ac:dyDescent="0.35">
      <c r="A23" t="str">
        <f t="shared" si="0"/>
        <v>SBM65045931</v>
      </c>
      <c r="B23" t="s">
        <v>353</v>
      </c>
      <c r="C23" t="s">
        <v>1479</v>
      </c>
      <c r="D23" s="32">
        <v>45357</v>
      </c>
      <c r="E23" t="s">
        <v>221</v>
      </c>
      <c r="F23" t="str">
        <f>VLOOKUP(B23,'Agent wise'!A:E,5,0)</f>
        <v>Wire-line</v>
      </c>
      <c r="G23" s="32">
        <v>45931</v>
      </c>
      <c r="H23">
        <f>COUNTIFS('Audit Raw data'!J:J,B:B,'Audit Raw data'!E:E,G:G)</f>
        <v>0</v>
      </c>
      <c r="I23" s="44" t="str">
        <f>IFERROR((SUMIFS('Audit Raw data'!BZ:BZ,'Audit Raw data'!J:J,B:B,'Audit Raw data'!E:E,G:G)/H23)/100,"-")</f>
        <v>-</v>
      </c>
      <c r="J23">
        <f>COUNTIFS('Audit Raw data'!AM:AM,"Yes",'Audit Raw data'!J:J,B:B,'Audit Raw data'!E:E,'Day wise agent'!G:G)</f>
        <v>0</v>
      </c>
      <c r="K23">
        <f>COUNTIFS('Audit Raw data'!AM:AM,"NO",'Audit Raw data'!J:J,B:B,'Audit Raw data'!E:E,'Day wise agent'!G:G)</f>
        <v>0</v>
      </c>
      <c r="L23" s="12" t="str">
        <f t="shared" si="1"/>
        <v xml:space="preserve"> </v>
      </c>
    </row>
    <row r="24" spans="1:12" x14ac:dyDescent="0.35">
      <c r="A24" t="str">
        <f t="shared" si="0"/>
        <v>SBM65345931</v>
      </c>
      <c r="B24" t="s">
        <v>223</v>
      </c>
      <c r="C24" t="s">
        <v>1480</v>
      </c>
      <c r="D24" s="32">
        <v>45367</v>
      </c>
      <c r="E24" t="s">
        <v>221</v>
      </c>
      <c r="F24" t="str">
        <f>VLOOKUP(B24,'Agent wise'!A:E,5,0)</f>
        <v>Wire-line</v>
      </c>
      <c r="G24" s="32">
        <v>45931</v>
      </c>
      <c r="H24">
        <f>COUNTIFS('Audit Raw data'!J:J,B:B,'Audit Raw data'!E:E,G:G)</f>
        <v>0</v>
      </c>
      <c r="I24" s="44" t="str">
        <f>IFERROR((SUMIFS('Audit Raw data'!BZ:BZ,'Audit Raw data'!J:J,B:B,'Audit Raw data'!E:E,G:G)/H24)/100,"-")</f>
        <v>-</v>
      </c>
      <c r="J24">
        <f>COUNTIFS('Audit Raw data'!AM:AM,"Yes",'Audit Raw data'!J:J,B:B,'Audit Raw data'!E:E,'Day wise agent'!G:G)</f>
        <v>0</v>
      </c>
      <c r="K24">
        <f>COUNTIFS('Audit Raw data'!AM:AM,"NO",'Audit Raw data'!J:J,B:B,'Audit Raw data'!E:E,'Day wise agent'!G:G)</f>
        <v>0</v>
      </c>
      <c r="L24" s="12" t="str">
        <f t="shared" si="1"/>
        <v xml:space="preserve"> </v>
      </c>
    </row>
    <row r="25" spans="1:12" x14ac:dyDescent="0.35">
      <c r="A25" t="str">
        <f t="shared" si="0"/>
        <v>SBM67845931</v>
      </c>
      <c r="B25" t="s">
        <v>548</v>
      </c>
      <c r="C25" t="s">
        <v>1481</v>
      </c>
      <c r="D25" s="32">
        <v>45413</v>
      </c>
      <c r="E25" t="s">
        <v>178</v>
      </c>
      <c r="F25" t="str">
        <f>VLOOKUP(B25,'Agent wise'!A:E,5,0)</f>
        <v>Wireless</v>
      </c>
      <c r="G25" s="32">
        <v>45931</v>
      </c>
      <c r="H25">
        <f>COUNTIFS('Audit Raw data'!J:J,B:B,'Audit Raw data'!E:E,G:G)</f>
        <v>0</v>
      </c>
      <c r="I25" s="44" t="str">
        <f>IFERROR((SUMIFS('Audit Raw data'!BZ:BZ,'Audit Raw data'!J:J,B:B,'Audit Raw data'!E:E,G:G)/H25)/100,"-")</f>
        <v>-</v>
      </c>
      <c r="J25">
        <f>COUNTIFS('Audit Raw data'!AM:AM,"Yes",'Audit Raw data'!J:J,B:B,'Audit Raw data'!E:E,'Day wise agent'!G:G)</f>
        <v>0</v>
      </c>
      <c r="K25">
        <f>COUNTIFS('Audit Raw data'!AM:AM,"NO",'Audit Raw data'!J:J,B:B,'Audit Raw data'!E:E,'Day wise agent'!G:G)</f>
        <v>0</v>
      </c>
      <c r="L25" s="12" t="str">
        <f t="shared" si="1"/>
        <v xml:space="preserve"> </v>
      </c>
    </row>
    <row r="26" spans="1:12" x14ac:dyDescent="0.35">
      <c r="A26" t="str">
        <f t="shared" si="0"/>
        <v>SBM69245931</v>
      </c>
      <c r="B26" t="s">
        <v>85</v>
      </c>
      <c r="C26" t="s">
        <v>1482</v>
      </c>
      <c r="D26" s="32">
        <v>45445</v>
      </c>
      <c r="E26" t="s">
        <v>1453</v>
      </c>
      <c r="F26" t="str">
        <f>VLOOKUP(B26,'Agent wise'!A:E,5,0)</f>
        <v>Wireless</v>
      </c>
      <c r="G26" s="32">
        <v>45931</v>
      </c>
      <c r="H26">
        <f>COUNTIFS('Audit Raw data'!J:J,B:B,'Audit Raw data'!E:E,G:G)</f>
        <v>1</v>
      </c>
      <c r="I26" s="44">
        <f>IFERROR((SUMIFS('Audit Raw data'!BZ:BZ,'Audit Raw data'!J:J,B:B,'Audit Raw data'!E:E,G:G)/H26)/100,"-")</f>
        <v>0.94</v>
      </c>
      <c r="J26">
        <f>COUNTIFS('Audit Raw data'!AM:AM,"Yes",'Audit Raw data'!J:J,B:B,'Audit Raw data'!E:E,'Day wise agent'!G:G)</f>
        <v>1</v>
      </c>
      <c r="K26">
        <f>COUNTIFS('Audit Raw data'!AM:AM,"NO",'Audit Raw data'!J:J,B:B,'Audit Raw data'!E:E,'Day wise agent'!G:G)</f>
        <v>0</v>
      </c>
      <c r="L26" s="12">
        <f t="shared" si="1"/>
        <v>1</v>
      </c>
    </row>
    <row r="27" spans="1:12" x14ac:dyDescent="0.35">
      <c r="A27" t="str">
        <f t="shared" si="0"/>
        <v>SBM70345931</v>
      </c>
      <c r="B27" t="s">
        <v>252</v>
      </c>
      <c r="C27" t="s">
        <v>1483</v>
      </c>
      <c r="D27" s="32">
        <v>45451</v>
      </c>
      <c r="E27" t="s">
        <v>1484</v>
      </c>
      <c r="F27" t="str">
        <f>VLOOKUP(B27,'Agent wise'!A:E,5,0)</f>
        <v>Wireless</v>
      </c>
      <c r="G27" s="32">
        <v>45931</v>
      </c>
      <c r="H27">
        <f>COUNTIFS('Audit Raw data'!J:J,B:B,'Audit Raw data'!E:E,G:G)</f>
        <v>0</v>
      </c>
      <c r="I27" s="44" t="str">
        <f>IFERROR((SUMIFS('Audit Raw data'!BZ:BZ,'Audit Raw data'!J:J,B:B,'Audit Raw data'!E:E,G:G)/H27)/100,"-")</f>
        <v>-</v>
      </c>
      <c r="J27">
        <f>COUNTIFS('Audit Raw data'!AM:AM,"Yes",'Audit Raw data'!J:J,B:B,'Audit Raw data'!E:E,'Day wise agent'!G:G)</f>
        <v>0</v>
      </c>
      <c r="K27">
        <f>COUNTIFS('Audit Raw data'!AM:AM,"NO",'Audit Raw data'!J:J,B:B,'Audit Raw data'!E:E,'Day wise agent'!G:G)</f>
        <v>0</v>
      </c>
      <c r="L27" s="12" t="str">
        <f t="shared" si="1"/>
        <v xml:space="preserve"> </v>
      </c>
    </row>
    <row r="28" spans="1:12" x14ac:dyDescent="0.35">
      <c r="A28" t="str">
        <f t="shared" si="0"/>
        <v>SBM71045931</v>
      </c>
      <c r="B28" t="s">
        <v>552</v>
      </c>
      <c r="C28" t="s">
        <v>1485</v>
      </c>
      <c r="D28" s="32">
        <v>45465</v>
      </c>
      <c r="E28" t="s">
        <v>1484</v>
      </c>
      <c r="F28" t="str">
        <f>VLOOKUP(B28,'Agent wise'!A:E,5,0)</f>
        <v>Wireless</v>
      </c>
      <c r="G28" s="32">
        <v>45931</v>
      </c>
      <c r="H28">
        <f>COUNTIFS('Audit Raw data'!J:J,B:B,'Audit Raw data'!E:E,G:G)</f>
        <v>0</v>
      </c>
      <c r="I28" s="44" t="str">
        <f>IFERROR((SUMIFS('Audit Raw data'!BZ:BZ,'Audit Raw data'!J:J,B:B,'Audit Raw data'!E:E,G:G)/H28)/100,"-")</f>
        <v>-</v>
      </c>
      <c r="J28">
        <f>COUNTIFS('Audit Raw data'!AM:AM,"Yes",'Audit Raw data'!J:J,B:B,'Audit Raw data'!E:E,'Day wise agent'!G:G)</f>
        <v>0</v>
      </c>
      <c r="K28">
        <f>COUNTIFS('Audit Raw data'!AM:AM,"NO",'Audit Raw data'!J:J,B:B,'Audit Raw data'!E:E,'Day wise agent'!G:G)</f>
        <v>0</v>
      </c>
      <c r="L28" s="12" t="str">
        <f t="shared" si="1"/>
        <v xml:space="preserve"> </v>
      </c>
    </row>
    <row r="29" spans="1:12" x14ac:dyDescent="0.35">
      <c r="A29" t="str">
        <f t="shared" si="0"/>
        <v>SBM71145931</v>
      </c>
      <c r="B29" t="s">
        <v>533</v>
      </c>
      <c r="C29" t="s">
        <v>1486</v>
      </c>
      <c r="D29" s="32">
        <v>45465</v>
      </c>
      <c r="E29" t="s">
        <v>1484</v>
      </c>
      <c r="F29" t="str">
        <f>VLOOKUP(B29,'Agent wise'!A:E,5,0)</f>
        <v>Wireless</v>
      </c>
      <c r="G29" s="32">
        <v>45931</v>
      </c>
      <c r="H29">
        <f>COUNTIFS('Audit Raw data'!J:J,B:B,'Audit Raw data'!E:E,G:G)</f>
        <v>0</v>
      </c>
      <c r="I29" s="44" t="str">
        <f>IFERROR((SUMIFS('Audit Raw data'!BZ:BZ,'Audit Raw data'!J:J,B:B,'Audit Raw data'!E:E,G:G)/H29)/100,"-")</f>
        <v>-</v>
      </c>
      <c r="J29">
        <f>COUNTIFS('Audit Raw data'!AM:AM,"Yes",'Audit Raw data'!J:J,B:B,'Audit Raw data'!E:E,'Day wise agent'!G:G)</f>
        <v>0</v>
      </c>
      <c r="K29">
        <f>COUNTIFS('Audit Raw data'!AM:AM,"NO",'Audit Raw data'!J:J,B:B,'Audit Raw data'!E:E,'Day wise agent'!G:G)</f>
        <v>0</v>
      </c>
      <c r="L29" s="12" t="str">
        <f t="shared" si="1"/>
        <v xml:space="preserve"> </v>
      </c>
    </row>
    <row r="30" spans="1:12" x14ac:dyDescent="0.35">
      <c r="A30" t="str">
        <f t="shared" si="0"/>
        <v>SBM71845931</v>
      </c>
      <c r="B30" t="s">
        <v>451</v>
      </c>
      <c r="C30" t="s">
        <v>1487</v>
      </c>
      <c r="D30" s="32">
        <v>45491</v>
      </c>
      <c r="E30" t="s">
        <v>1484</v>
      </c>
      <c r="F30" t="str">
        <f>VLOOKUP(B30,'Agent wise'!A:E,5,0)</f>
        <v>Wireless</v>
      </c>
      <c r="G30" s="32">
        <v>45931</v>
      </c>
      <c r="H30">
        <f>COUNTIFS('Audit Raw data'!J:J,B:B,'Audit Raw data'!E:E,G:G)</f>
        <v>0</v>
      </c>
      <c r="I30" s="44" t="str">
        <f>IFERROR((SUMIFS('Audit Raw data'!BZ:BZ,'Audit Raw data'!J:J,B:B,'Audit Raw data'!E:E,G:G)/H30)/100,"-")</f>
        <v>-</v>
      </c>
      <c r="J30">
        <f>COUNTIFS('Audit Raw data'!AM:AM,"Yes",'Audit Raw data'!J:J,B:B,'Audit Raw data'!E:E,'Day wise agent'!G:G)</f>
        <v>0</v>
      </c>
      <c r="K30">
        <f>COUNTIFS('Audit Raw data'!AM:AM,"NO",'Audit Raw data'!J:J,B:B,'Audit Raw data'!E:E,'Day wise agent'!G:G)</f>
        <v>0</v>
      </c>
      <c r="L30" s="12" t="str">
        <f t="shared" si="1"/>
        <v xml:space="preserve"> </v>
      </c>
    </row>
    <row r="31" spans="1:12" x14ac:dyDescent="0.35">
      <c r="A31" t="str">
        <f t="shared" si="0"/>
        <v>SBM72045931</v>
      </c>
      <c r="B31" t="s">
        <v>557</v>
      </c>
      <c r="C31" t="s">
        <v>1488</v>
      </c>
      <c r="D31" s="32">
        <v>45491</v>
      </c>
      <c r="E31" t="s">
        <v>1484</v>
      </c>
      <c r="F31" t="str">
        <f>VLOOKUP(B31,'Agent wise'!A:E,5,0)</f>
        <v>Wireless</v>
      </c>
      <c r="G31" s="32">
        <v>45931</v>
      </c>
      <c r="H31">
        <f>COUNTIFS('Audit Raw data'!J:J,B:B,'Audit Raw data'!E:E,G:G)</f>
        <v>0</v>
      </c>
      <c r="I31" s="44" t="str">
        <f>IFERROR((SUMIFS('Audit Raw data'!BZ:BZ,'Audit Raw data'!J:J,B:B,'Audit Raw data'!E:E,G:G)/H31)/100,"-")</f>
        <v>-</v>
      </c>
      <c r="J31">
        <f>COUNTIFS('Audit Raw data'!AM:AM,"Yes",'Audit Raw data'!J:J,B:B,'Audit Raw data'!E:E,'Day wise agent'!G:G)</f>
        <v>0</v>
      </c>
      <c r="K31">
        <f>COUNTIFS('Audit Raw data'!AM:AM,"NO",'Audit Raw data'!J:J,B:B,'Audit Raw data'!E:E,'Day wise agent'!G:G)</f>
        <v>0</v>
      </c>
      <c r="L31" s="12" t="str">
        <f t="shared" si="1"/>
        <v xml:space="preserve"> </v>
      </c>
    </row>
    <row r="32" spans="1:12" x14ac:dyDescent="0.35">
      <c r="A32" t="str">
        <f t="shared" si="0"/>
        <v>SBM72445931</v>
      </c>
      <c r="B32" t="s">
        <v>144</v>
      </c>
      <c r="C32" t="s">
        <v>1489</v>
      </c>
      <c r="D32" s="32">
        <v>45491</v>
      </c>
      <c r="E32" t="s">
        <v>1484</v>
      </c>
      <c r="F32" t="str">
        <f>VLOOKUP(B32,'Agent wise'!A:E,5,0)</f>
        <v>Wireless</v>
      </c>
      <c r="G32" s="32">
        <v>45931</v>
      </c>
      <c r="H32">
        <f>COUNTIFS('Audit Raw data'!J:J,B:B,'Audit Raw data'!E:E,G:G)</f>
        <v>2</v>
      </c>
      <c r="I32" s="44">
        <f>IFERROR((SUMIFS('Audit Raw data'!BZ:BZ,'Audit Raw data'!J:J,B:B,'Audit Raw data'!E:E,G:G)/H32)/100,"-")</f>
        <v>0.92</v>
      </c>
      <c r="J32">
        <f>COUNTIFS('Audit Raw data'!AM:AM,"Yes",'Audit Raw data'!J:J,B:B,'Audit Raw data'!E:E,'Day wise agent'!G:G)</f>
        <v>2</v>
      </c>
      <c r="K32">
        <f>COUNTIFS('Audit Raw data'!AM:AM,"NO",'Audit Raw data'!J:J,B:B,'Audit Raw data'!E:E,'Day wise agent'!G:G)</f>
        <v>0</v>
      </c>
      <c r="L32" s="12">
        <f t="shared" si="1"/>
        <v>1</v>
      </c>
    </row>
    <row r="33" spans="1:12" x14ac:dyDescent="0.35">
      <c r="A33" t="str">
        <f t="shared" si="0"/>
        <v>SBM73445931</v>
      </c>
      <c r="B33" t="s">
        <v>356</v>
      </c>
      <c r="C33" t="s">
        <v>1490</v>
      </c>
      <c r="D33" s="32">
        <v>45497</v>
      </c>
      <c r="E33" t="s">
        <v>221</v>
      </c>
      <c r="F33" t="str">
        <f>VLOOKUP(B33,'Agent wise'!A:E,5,0)</f>
        <v>Wire-line</v>
      </c>
      <c r="G33" s="32">
        <v>45931</v>
      </c>
      <c r="H33">
        <f>COUNTIFS('Audit Raw data'!J:J,B:B,'Audit Raw data'!E:E,G:G)</f>
        <v>0</v>
      </c>
      <c r="I33" s="44" t="str">
        <f>IFERROR((SUMIFS('Audit Raw data'!BZ:BZ,'Audit Raw data'!J:J,B:B,'Audit Raw data'!E:E,G:G)/H33)/100,"-")</f>
        <v>-</v>
      </c>
      <c r="J33">
        <f>COUNTIFS('Audit Raw data'!AM:AM,"Yes",'Audit Raw data'!J:J,B:B,'Audit Raw data'!E:E,'Day wise agent'!G:G)</f>
        <v>0</v>
      </c>
      <c r="K33">
        <f>COUNTIFS('Audit Raw data'!AM:AM,"NO",'Audit Raw data'!J:J,B:B,'Audit Raw data'!E:E,'Day wise agent'!G:G)</f>
        <v>0</v>
      </c>
      <c r="L33" s="12" t="str">
        <f t="shared" si="1"/>
        <v xml:space="preserve"> </v>
      </c>
    </row>
    <row r="34" spans="1:12" x14ac:dyDescent="0.35">
      <c r="A34" t="str">
        <f t="shared" si="0"/>
        <v>SBM73645931</v>
      </c>
      <c r="B34" t="s">
        <v>501</v>
      </c>
      <c r="C34" t="s">
        <v>1491</v>
      </c>
      <c r="D34" s="32">
        <v>45500</v>
      </c>
      <c r="E34" t="s">
        <v>221</v>
      </c>
      <c r="F34" t="str">
        <f>VLOOKUP(B34,'Agent wise'!A:E,5,0)</f>
        <v>Wire-line</v>
      </c>
      <c r="G34" s="32">
        <v>45931</v>
      </c>
      <c r="H34">
        <f>COUNTIFS('Audit Raw data'!J:J,B:B,'Audit Raw data'!E:E,G:G)</f>
        <v>0</v>
      </c>
      <c r="I34" s="44" t="str">
        <f>IFERROR((SUMIFS('Audit Raw data'!BZ:BZ,'Audit Raw data'!J:J,B:B,'Audit Raw data'!E:E,G:G)/H34)/100,"-")</f>
        <v>-</v>
      </c>
      <c r="J34">
        <f>COUNTIFS('Audit Raw data'!AM:AM,"Yes",'Audit Raw data'!J:J,B:B,'Audit Raw data'!E:E,'Day wise agent'!G:G)</f>
        <v>0</v>
      </c>
      <c r="K34">
        <f>COUNTIFS('Audit Raw data'!AM:AM,"NO",'Audit Raw data'!J:J,B:B,'Audit Raw data'!E:E,'Day wise agent'!G:G)</f>
        <v>0</v>
      </c>
      <c r="L34" s="12" t="str">
        <f t="shared" si="1"/>
        <v xml:space="preserve"> </v>
      </c>
    </row>
    <row r="35" spans="1:12" x14ac:dyDescent="0.35">
      <c r="A35" t="str">
        <f t="shared" si="0"/>
        <v>SBM73945931</v>
      </c>
      <c r="B35" t="s">
        <v>559</v>
      </c>
      <c r="C35" t="s">
        <v>1492</v>
      </c>
      <c r="D35" s="32">
        <v>45516</v>
      </c>
      <c r="E35" t="s">
        <v>1484</v>
      </c>
      <c r="F35" t="str">
        <f>VLOOKUP(B35,'Agent wise'!A:E,5,0)</f>
        <v>Wireless</v>
      </c>
      <c r="G35" s="32">
        <v>45931</v>
      </c>
      <c r="H35">
        <f>COUNTIFS('Audit Raw data'!J:J,B:B,'Audit Raw data'!E:E,G:G)</f>
        <v>0</v>
      </c>
      <c r="I35" s="44" t="str">
        <f>IFERROR((SUMIFS('Audit Raw data'!BZ:BZ,'Audit Raw data'!J:J,B:B,'Audit Raw data'!E:E,G:G)/H35)/100,"-")</f>
        <v>-</v>
      </c>
      <c r="J35">
        <f>COUNTIFS('Audit Raw data'!AM:AM,"Yes",'Audit Raw data'!J:J,B:B,'Audit Raw data'!E:E,'Day wise agent'!G:G)</f>
        <v>0</v>
      </c>
      <c r="K35">
        <f>COUNTIFS('Audit Raw data'!AM:AM,"NO",'Audit Raw data'!J:J,B:B,'Audit Raw data'!E:E,'Day wise agent'!G:G)</f>
        <v>0</v>
      </c>
      <c r="L35" s="12" t="str">
        <f t="shared" si="1"/>
        <v xml:space="preserve"> </v>
      </c>
    </row>
    <row r="36" spans="1:12" x14ac:dyDescent="0.35">
      <c r="A36" t="str">
        <f t="shared" si="0"/>
        <v>SBM74445931</v>
      </c>
      <c r="B36" t="s">
        <v>96</v>
      </c>
      <c r="C36" t="s">
        <v>1493</v>
      </c>
      <c r="D36" s="32">
        <v>45516</v>
      </c>
      <c r="E36" t="s">
        <v>1484</v>
      </c>
      <c r="F36" t="str">
        <f>VLOOKUP(B36,'Agent wise'!A:E,5,0)</f>
        <v>Wireless</v>
      </c>
      <c r="G36" s="32">
        <v>45931</v>
      </c>
      <c r="H36">
        <f>COUNTIFS('Audit Raw data'!J:J,B:B,'Audit Raw data'!E:E,G:G)</f>
        <v>2</v>
      </c>
      <c r="I36" s="44">
        <f>IFERROR((SUMIFS('Audit Raw data'!BZ:BZ,'Audit Raw data'!J:J,B:B,'Audit Raw data'!E:E,G:G)/H36)/100,"-")</f>
        <v>0.91</v>
      </c>
      <c r="J36">
        <f>COUNTIFS('Audit Raw data'!AM:AM,"Yes",'Audit Raw data'!J:J,B:B,'Audit Raw data'!E:E,'Day wise agent'!G:G)</f>
        <v>2</v>
      </c>
      <c r="K36">
        <f>COUNTIFS('Audit Raw data'!AM:AM,"NO",'Audit Raw data'!J:J,B:B,'Audit Raw data'!E:E,'Day wise agent'!G:G)</f>
        <v>0</v>
      </c>
      <c r="L36" s="12">
        <f t="shared" si="1"/>
        <v>1</v>
      </c>
    </row>
    <row r="37" spans="1:12" x14ac:dyDescent="0.35">
      <c r="A37" t="str">
        <f t="shared" si="0"/>
        <v>SBM75545931</v>
      </c>
      <c r="B37" t="s">
        <v>409</v>
      </c>
      <c r="C37" t="s">
        <v>1494</v>
      </c>
      <c r="D37" s="32">
        <v>45518</v>
      </c>
      <c r="E37" t="s">
        <v>221</v>
      </c>
      <c r="F37" t="str">
        <f>VLOOKUP(B37,'Agent wise'!A:E,5,0)</f>
        <v>Wire-line</v>
      </c>
      <c r="G37" s="32">
        <v>45931</v>
      </c>
      <c r="H37">
        <f>COUNTIFS('Audit Raw data'!J:J,B:B,'Audit Raw data'!E:E,G:G)</f>
        <v>0</v>
      </c>
      <c r="I37" s="44" t="str">
        <f>IFERROR((SUMIFS('Audit Raw data'!BZ:BZ,'Audit Raw data'!J:J,B:B,'Audit Raw data'!E:E,G:G)/H37)/100,"-")</f>
        <v>-</v>
      </c>
      <c r="J37">
        <f>COUNTIFS('Audit Raw data'!AM:AM,"Yes",'Audit Raw data'!J:J,B:B,'Audit Raw data'!E:E,'Day wise agent'!G:G)</f>
        <v>0</v>
      </c>
      <c r="K37">
        <f>COUNTIFS('Audit Raw data'!AM:AM,"NO",'Audit Raw data'!J:J,B:B,'Audit Raw data'!E:E,'Day wise agent'!G:G)</f>
        <v>0</v>
      </c>
      <c r="L37" s="12" t="str">
        <f t="shared" si="1"/>
        <v xml:space="preserve"> </v>
      </c>
    </row>
    <row r="38" spans="1:12" x14ac:dyDescent="0.35">
      <c r="A38" t="str">
        <f t="shared" si="0"/>
        <v>SBM75845931</v>
      </c>
      <c r="B38" t="s">
        <v>420</v>
      </c>
      <c r="C38" t="s">
        <v>1502</v>
      </c>
      <c r="D38" s="32">
        <v>45518</v>
      </c>
      <c r="E38" t="s">
        <v>221</v>
      </c>
      <c r="F38" t="str">
        <f>VLOOKUP(B38,'Agent wise'!A:E,5,0)</f>
        <v>Wire-line</v>
      </c>
      <c r="G38" s="32">
        <v>45931</v>
      </c>
      <c r="H38">
        <f>COUNTIFS('Audit Raw data'!J:J,B:B,'Audit Raw data'!E:E,G:G)</f>
        <v>0</v>
      </c>
      <c r="I38" s="44" t="str">
        <f>IFERROR((SUMIFS('Audit Raw data'!BZ:BZ,'Audit Raw data'!J:J,B:B,'Audit Raw data'!E:E,G:G)/H38)/100,"-")</f>
        <v>-</v>
      </c>
      <c r="J38">
        <f>COUNTIFS('Audit Raw data'!AM:AM,"Yes",'Audit Raw data'!J:J,B:B,'Audit Raw data'!E:E,'Day wise agent'!G:G)</f>
        <v>0</v>
      </c>
      <c r="K38">
        <f>COUNTIFS('Audit Raw data'!AM:AM,"NO",'Audit Raw data'!J:J,B:B,'Audit Raw data'!E:E,'Day wise agent'!G:G)</f>
        <v>0</v>
      </c>
      <c r="L38" s="12" t="str">
        <f t="shared" si="1"/>
        <v xml:space="preserve"> </v>
      </c>
    </row>
    <row r="39" spans="1:12" x14ac:dyDescent="0.35">
      <c r="A39" t="str">
        <f t="shared" si="0"/>
        <v>SBM76745931</v>
      </c>
      <c r="B39" t="s">
        <v>442</v>
      </c>
      <c r="C39" t="s">
        <v>1495</v>
      </c>
      <c r="D39" s="32">
        <v>45520</v>
      </c>
      <c r="E39" t="s">
        <v>107</v>
      </c>
      <c r="F39" t="str">
        <f>VLOOKUP(B39,'Agent wise'!A:E,5,0)</f>
        <v>Wireless</v>
      </c>
      <c r="G39" s="32">
        <v>45931</v>
      </c>
      <c r="H39">
        <f>COUNTIFS('Audit Raw data'!J:J,B:B,'Audit Raw data'!E:E,G:G)</f>
        <v>1</v>
      </c>
      <c r="I39" s="44">
        <f>IFERROR((SUMIFS('Audit Raw data'!BZ:BZ,'Audit Raw data'!J:J,B:B,'Audit Raw data'!E:E,G:G)/H39)/100,"-")</f>
        <v>0.96</v>
      </c>
      <c r="J39">
        <f>COUNTIFS('Audit Raw data'!AM:AM,"Yes",'Audit Raw data'!J:J,B:B,'Audit Raw data'!E:E,'Day wise agent'!G:G)</f>
        <v>1</v>
      </c>
      <c r="K39">
        <f>COUNTIFS('Audit Raw data'!AM:AM,"NO",'Audit Raw data'!J:J,B:B,'Audit Raw data'!E:E,'Day wise agent'!G:G)</f>
        <v>0</v>
      </c>
      <c r="L39" s="12">
        <f t="shared" si="1"/>
        <v>1</v>
      </c>
    </row>
    <row r="40" spans="1:12" x14ac:dyDescent="0.35">
      <c r="A40" t="str">
        <f t="shared" si="0"/>
        <v>SBM77245931</v>
      </c>
      <c r="B40" t="s">
        <v>640</v>
      </c>
      <c r="C40" t="s">
        <v>1497</v>
      </c>
      <c r="D40" s="32">
        <v>45528</v>
      </c>
      <c r="E40" t="s">
        <v>178</v>
      </c>
      <c r="F40" t="str">
        <f>VLOOKUP(B40,'Agent wise'!A:E,5,0)</f>
        <v>Wireless</v>
      </c>
      <c r="G40" s="32">
        <v>45931</v>
      </c>
      <c r="H40">
        <f>COUNTIFS('Audit Raw data'!J:J,B:B,'Audit Raw data'!E:E,G:G)</f>
        <v>0</v>
      </c>
      <c r="I40" s="44" t="str">
        <f>IFERROR((SUMIFS('Audit Raw data'!BZ:BZ,'Audit Raw data'!J:J,B:B,'Audit Raw data'!E:E,G:G)/H40)/100,"-")</f>
        <v>-</v>
      </c>
      <c r="J40">
        <f>COUNTIFS('Audit Raw data'!AM:AM,"Yes",'Audit Raw data'!J:J,B:B,'Audit Raw data'!E:E,'Day wise agent'!G:G)</f>
        <v>0</v>
      </c>
      <c r="K40">
        <f>COUNTIFS('Audit Raw data'!AM:AM,"NO",'Audit Raw data'!J:J,B:B,'Audit Raw data'!E:E,'Day wise agent'!G:G)</f>
        <v>0</v>
      </c>
      <c r="L40" s="12" t="str">
        <f t="shared" si="1"/>
        <v xml:space="preserve"> </v>
      </c>
    </row>
    <row r="41" spans="1:12" x14ac:dyDescent="0.35">
      <c r="A41" t="str">
        <f t="shared" si="0"/>
        <v>SBM77345931</v>
      </c>
      <c r="B41" t="s">
        <v>464</v>
      </c>
      <c r="C41" t="s">
        <v>1496</v>
      </c>
      <c r="D41" s="32">
        <v>45526</v>
      </c>
      <c r="E41" t="s">
        <v>178</v>
      </c>
      <c r="F41" t="str">
        <f>VLOOKUP(B41,'Agent wise'!A:E,5,0)</f>
        <v>Wireless</v>
      </c>
      <c r="G41" s="32">
        <v>45931</v>
      </c>
      <c r="H41">
        <f>COUNTIFS('Audit Raw data'!J:J,B:B,'Audit Raw data'!E:E,G:G)</f>
        <v>1</v>
      </c>
      <c r="I41" s="44">
        <f>IFERROR((SUMIFS('Audit Raw data'!BZ:BZ,'Audit Raw data'!J:J,B:B,'Audit Raw data'!E:E,G:G)/H41)/100,"-")</f>
        <v>1</v>
      </c>
      <c r="J41">
        <f>COUNTIFS('Audit Raw data'!AM:AM,"Yes",'Audit Raw data'!J:J,B:B,'Audit Raw data'!E:E,'Day wise agent'!G:G)</f>
        <v>1</v>
      </c>
      <c r="K41">
        <f>COUNTIFS('Audit Raw data'!AM:AM,"NO",'Audit Raw data'!J:J,B:B,'Audit Raw data'!E:E,'Day wise agent'!G:G)</f>
        <v>0</v>
      </c>
      <c r="L41" s="12">
        <f t="shared" si="1"/>
        <v>1</v>
      </c>
    </row>
    <row r="42" spans="1:12" x14ac:dyDescent="0.35">
      <c r="A42" t="str">
        <f t="shared" si="0"/>
        <v>SBM77545931</v>
      </c>
      <c r="B42" t="s">
        <v>643</v>
      </c>
      <c r="C42" t="s">
        <v>1498</v>
      </c>
      <c r="D42" s="32">
        <v>45535</v>
      </c>
      <c r="E42" t="s">
        <v>1484</v>
      </c>
      <c r="F42" t="str">
        <f>VLOOKUP(B42,'Agent wise'!A:E,5,0)</f>
        <v>Wireless</v>
      </c>
      <c r="G42" s="32">
        <v>45931</v>
      </c>
      <c r="H42">
        <f>COUNTIFS('Audit Raw data'!J:J,B:B,'Audit Raw data'!E:E,G:G)</f>
        <v>0</v>
      </c>
      <c r="I42" s="44" t="str">
        <f>IFERROR((SUMIFS('Audit Raw data'!BZ:BZ,'Audit Raw data'!J:J,B:B,'Audit Raw data'!E:E,G:G)/H42)/100,"-")</f>
        <v>-</v>
      </c>
      <c r="J42">
        <f>COUNTIFS('Audit Raw data'!AM:AM,"Yes",'Audit Raw data'!J:J,B:B,'Audit Raw data'!E:E,'Day wise agent'!G:G)</f>
        <v>0</v>
      </c>
      <c r="K42">
        <f>COUNTIFS('Audit Raw data'!AM:AM,"NO",'Audit Raw data'!J:J,B:B,'Audit Raw data'!E:E,'Day wise agent'!G:G)</f>
        <v>0</v>
      </c>
      <c r="L42" s="12" t="str">
        <f t="shared" si="1"/>
        <v xml:space="preserve"> </v>
      </c>
    </row>
    <row r="43" spans="1:12" x14ac:dyDescent="0.35">
      <c r="A43" t="str">
        <f t="shared" si="0"/>
        <v>SBM79245931</v>
      </c>
      <c r="B43" t="s">
        <v>179</v>
      </c>
      <c r="C43" t="s">
        <v>1499</v>
      </c>
      <c r="D43" s="32">
        <v>45545</v>
      </c>
      <c r="E43" t="s">
        <v>178</v>
      </c>
      <c r="F43" t="str">
        <f>VLOOKUP(B43,'Agent wise'!A:E,5,0)</f>
        <v>Wireless</v>
      </c>
      <c r="G43" s="32">
        <v>45931</v>
      </c>
      <c r="H43">
        <f>COUNTIFS('Audit Raw data'!J:J,B:B,'Audit Raw data'!E:E,G:G)</f>
        <v>1</v>
      </c>
      <c r="I43" s="44">
        <f>IFERROR((SUMIFS('Audit Raw data'!BZ:BZ,'Audit Raw data'!J:J,B:B,'Audit Raw data'!E:E,G:G)/H43)/100,"-")</f>
        <v>0.96</v>
      </c>
      <c r="J43">
        <f>COUNTIFS('Audit Raw data'!AM:AM,"Yes",'Audit Raw data'!J:J,B:B,'Audit Raw data'!E:E,'Day wise agent'!G:G)</f>
        <v>1</v>
      </c>
      <c r="K43">
        <f>COUNTIFS('Audit Raw data'!AM:AM,"NO",'Audit Raw data'!J:J,B:B,'Audit Raw data'!E:E,'Day wise agent'!G:G)</f>
        <v>0</v>
      </c>
      <c r="L43" s="12">
        <f t="shared" si="1"/>
        <v>1</v>
      </c>
    </row>
    <row r="44" spans="1:12" x14ac:dyDescent="0.35">
      <c r="A44" t="str">
        <f t="shared" si="0"/>
        <v>SBM79445931</v>
      </c>
      <c r="B44" t="s">
        <v>246</v>
      </c>
      <c r="C44" t="s">
        <v>1500</v>
      </c>
      <c r="D44" s="32">
        <v>45550</v>
      </c>
      <c r="E44" t="s">
        <v>221</v>
      </c>
      <c r="F44" t="str">
        <f>VLOOKUP(B44,'Agent wise'!A:E,5,0)</f>
        <v>Wire-line</v>
      </c>
      <c r="G44" s="32">
        <v>45931</v>
      </c>
      <c r="H44">
        <f>COUNTIFS('Audit Raw data'!J:J,B:B,'Audit Raw data'!E:E,G:G)</f>
        <v>0</v>
      </c>
      <c r="I44" s="44" t="str">
        <f>IFERROR((SUMIFS('Audit Raw data'!BZ:BZ,'Audit Raw data'!J:J,B:B,'Audit Raw data'!E:E,G:G)/H44)/100,"-")</f>
        <v>-</v>
      </c>
      <c r="J44">
        <f>COUNTIFS('Audit Raw data'!AM:AM,"Yes",'Audit Raw data'!J:J,B:B,'Audit Raw data'!E:E,'Day wise agent'!G:G)</f>
        <v>0</v>
      </c>
      <c r="K44">
        <f>COUNTIFS('Audit Raw data'!AM:AM,"NO",'Audit Raw data'!J:J,B:B,'Audit Raw data'!E:E,'Day wise agent'!G:G)</f>
        <v>0</v>
      </c>
      <c r="L44" s="12" t="str">
        <f t="shared" si="1"/>
        <v xml:space="preserve"> </v>
      </c>
    </row>
    <row r="45" spans="1:12" x14ac:dyDescent="0.35">
      <c r="A45" t="str">
        <f t="shared" si="0"/>
        <v>SBM90145931</v>
      </c>
      <c r="B45" t="s">
        <v>646</v>
      </c>
      <c r="C45" t="s">
        <v>1501</v>
      </c>
      <c r="D45" s="32">
        <v>45564</v>
      </c>
      <c r="E45" t="s">
        <v>1484</v>
      </c>
      <c r="F45" t="str">
        <f>VLOOKUP(B45,'Agent wise'!A:E,5,0)</f>
        <v>Wireless</v>
      </c>
      <c r="G45" s="32">
        <v>45931</v>
      </c>
      <c r="H45">
        <f>COUNTIFS('Audit Raw data'!J:J,B:B,'Audit Raw data'!E:E,G:G)</f>
        <v>0</v>
      </c>
      <c r="I45" s="44" t="str">
        <f>IFERROR((SUMIFS('Audit Raw data'!BZ:BZ,'Audit Raw data'!J:J,B:B,'Audit Raw data'!E:E,G:G)/H45)/100,"-")</f>
        <v>-</v>
      </c>
      <c r="J45">
        <f>COUNTIFS('Audit Raw data'!AM:AM,"Yes",'Audit Raw data'!J:J,B:B,'Audit Raw data'!E:E,'Day wise agent'!G:G)</f>
        <v>0</v>
      </c>
      <c r="K45">
        <f>COUNTIFS('Audit Raw data'!AM:AM,"NO",'Audit Raw data'!J:J,B:B,'Audit Raw data'!E:E,'Day wise agent'!G:G)</f>
        <v>0</v>
      </c>
      <c r="L45" s="12" t="str">
        <f t="shared" si="1"/>
        <v xml:space="preserve"> </v>
      </c>
    </row>
    <row r="46" spans="1:12" x14ac:dyDescent="0.35">
      <c r="A46" t="str">
        <f t="shared" si="0"/>
        <v>SBM91345931</v>
      </c>
      <c r="B46" t="s">
        <v>650</v>
      </c>
      <c r="C46" t="s">
        <v>1503</v>
      </c>
      <c r="D46" s="32">
        <v>45589</v>
      </c>
      <c r="E46" t="s">
        <v>178</v>
      </c>
      <c r="F46" t="str">
        <f>VLOOKUP(B46,'Agent wise'!A:E,5,0)</f>
        <v>Wireless</v>
      </c>
      <c r="G46" s="32">
        <v>45931</v>
      </c>
      <c r="H46">
        <f>COUNTIFS('Audit Raw data'!J:J,B:B,'Audit Raw data'!E:E,G:G)</f>
        <v>0</v>
      </c>
      <c r="I46" s="44" t="str">
        <f>IFERROR((SUMIFS('Audit Raw data'!BZ:BZ,'Audit Raw data'!J:J,B:B,'Audit Raw data'!E:E,G:G)/H46)/100,"-")</f>
        <v>-</v>
      </c>
      <c r="J46">
        <f>COUNTIFS('Audit Raw data'!AM:AM,"Yes",'Audit Raw data'!J:J,B:B,'Audit Raw data'!E:E,'Day wise agent'!G:G)</f>
        <v>0</v>
      </c>
      <c r="K46">
        <f>COUNTIFS('Audit Raw data'!AM:AM,"NO",'Audit Raw data'!J:J,B:B,'Audit Raw data'!E:E,'Day wise agent'!G:G)</f>
        <v>0</v>
      </c>
      <c r="L46" s="12" t="str">
        <f t="shared" si="1"/>
        <v xml:space="preserve"> </v>
      </c>
    </row>
    <row r="47" spans="1:12" x14ac:dyDescent="0.35">
      <c r="A47" t="str">
        <f t="shared" si="0"/>
        <v>SBM94645931</v>
      </c>
      <c r="B47" t="s">
        <v>653</v>
      </c>
      <c r="C47" t="s">
        <v>1505</v>
      </c>
      <c r="D47" s="32">
        <v>45635</v>
      </c>
      <c r="E47" t="s">
        <v>1453</v>
      </c>
      <c r="F47" t="str">
        <f>VLOOKUP(B47,'Agent wise'!A:E,5,0)</f>
        <v>Wireless</v>
      </c>
      <c r="G47" s="32">
        <v>45931</v>
      </c>
      <c r="H47">
        <f>COUNTIFS('Audit Raw data'!J:J,B:B,'Audit Raw data'!E:E,G:G)</f>
        <v>0</v>
      </c>
      <c r="I47" s="44" t="str">
        <f>IFERROR((SUMIFS('Audit Raw data'!BZ:BZ,'Audit Raw data'!J:J,B:B,'Audit Raw data'!E:E,G:G)/H47)/100,"-")</f>
        <v>-</v>
      </c>
      <c r="J47">
        <f>COUNTIFS('Audit Raw data'!AM:AM,"Yes",'Audit Raw data'!J:J,B:B,'Audit Raw data'!E:E,'Day wise agent'!G:G)</f>
        <v>0</v>
      </c>
      <c r="K47">
        <f>COUNTIFS('Audit Raw data'!AM:AM,"NO",'Audit Raw data'!J:J,B:B,'Audit Raw data'!E:E,'Day wise agent'!G:G)</f>
        <v>0</v>
      </c>
      <c r="L47" s="12" t="str">
        <f t="shared" si="1"/>
        <v xml:space="preserve"> </v>
      </c>
    </row>
    <row r="48" spans="1:12" x14ac:dyDescent="0.35">
      <c r="A48" t="str">
        <f t="shared" si="0"/>
        <v>SBM95845931</v>
      </c>
      <c r="B48" t="s">
        <v>124</v>
      </c>
      <c r="C48" t="s">
        <v>1508</v>
      </c>
      <c r="D48" s="32">
        <v>45641</v>
      </c>
      <c r="E48" t="s">
        <v>1453</v>
      </c>
      <c r="F48" t="str">
        <f>VLOOKUP(B48,'Agent wise'!A:E,5,0)</f>
        <v>Wireless</v>
      </c>
      <c r="G48" s="32">
        <v>45931</v>
      </c>
      <c r="H48">
        <f>COUNTIFS('Audit Raw data'!J:J,B:B,'Audit Raw data'!E:E,G:G)</f>
        <v>3</v>
      </c>
      <c r="I48" s="44">
        <f>IFERROR((SUMIFS('Audit Raw data'!BZ:BZ,'Audit Raw data'!J:J,B:B,'Audit Raw data'!E:E,G:G)/H48)/100,"-")</f>
        <v>0.83333333333333326</v>
      </c>
      <c r="J48">
        <f>COUNTIFS('Audit Raw data'!AM:AM,"Yes",'Audit Raw data'!J:J,B:B,'Audit Raw data'!E:E,'Day wise agent'!G:G)</f>
        <v>3</v>
      </c>
      <c r="K48">
        <f>COUNTIFS('Audit Raw data'!AM:AM,"NO",'Audit Raw data'!J:J,B:B,'Audit Raw data'!E:E,'Day wise agent'!G:G)</f>
        <v>0</v>
      </c>
      <c r="L48" s="12">
        <f t="shared" si="1"/>
        <v>1</v>
      </c>
    </row>
    <row r="49" spans="1:12" x14ac:dyDescent="0.35">
      <c r="A49" t="str">
        <f t="shared" si="0"/>
        <v>SBM96345931</v>
      </c>
      <c r="B49" t="s">
        <v>149</v>
      </c>
      <c r="C49" t="s">
        <v>1506</v>
      </c>
      <c r="D49" s="32">
        <v>45637</v>
      </c>
      <c r="E49" t="s">
        <v>107</v>
      </c>
      <c r="F49" t="str">
        <f>VLOOKUP(B49,'Agent wise'!A:E,5,0)</f>
        <v>Wireless</v>
      </c>
      <c r="G49" s="32">
        <v>45931</v>
      </c>
      <c r="H49">
        <f>COUNTIFS('Audit Raw data'!J:J,B:B,'Audit Raw data'!E:E,G:G)</f>
        <v>1</v>
      </c>
      <c r="I49" s="44">
        <f>IFERROR((SUMIFS('Audit Raw data'!BZ:BZ,'Audit Raw data'!J:J,B:B,'Audit Raw data'!E:E,G:G)/H49)/100,"-")</f>
        <v>0.96</v>
      </c>
      <c r="J49">
        <f>COUNTIFS('Audit Raw data'!AM:AM,"Yes",'Audit Raw data'!J:J,B:B,'Audit Raw data'!E:E,'Day wise agent'!G:G)</f>
        <v>1</v>
      </c>
      <c r="K49">
        <f>COUNTIFS('Audit Raw data'!AM:AM,"NO",'Audit Raw data'!J:J,B:B,'Audit Raw data'!E:E,'Day wise agent'!G:G)</f>
        <v>0</v>
      </c>
      <c r="L49" s="12">
        <f t="shared" si="1"/>
        <v>1</v>
      </c>
    </row>
    <row r="50" spans="1:12" x14ac:dyDescent="0.35">
      <c r="A50" t="str">
        <f t="shared" si="0"/>
        <v>SBM96745931</v>
      </c>
      <c r="B50" t="s">
        <v>657</v>
      </c>
      <c r="C50" t="s">
        <v>1507</v>
      </c>
      <c r="D50" s="32">
        <v>45640</v>
      </c>
      <c r="E50" t="s">
        <v>1453</v>
      </c>
      <c r="F50" t="str">
        <f>VLOOKUP(B50,'Agent wise'!A:E,5,0)</f>
        <v>Wireless</v>
      </c>
      <c r="G50" s="32">
        <v>45931</v>
      </c>
      <c r="H50">
        <f>COUNTIFS('Audit Raw data'!J:J,B:B,'Audit Raw data'!E:E,G:G)</f>
        <v>0</v>
      </c>
      <c r="I50" s="44" t="str">
        <f>IFERROR((SUMIFS('Audit Raw data'!BZ:BZ,'Audit Raw data'!J:J,B:B,'Audit Raw data'!E:E,G:G)/H50)/100,"-")</f>
        <v>-</v>
      </c>
      <c r="J50">
        <f>COUNTIFS('Audit Raw data'!AM:AM,"Yes",'Audit Raw data'!J:J,B:B,'Audit Raw data'!E:E,'Day wise agent'!G:G)</f>
        <v>0</v>
      </c>
      <c r="K50">
        <f>COUNTIFS('Audit Raw data'!AM:AM,"NO",'Audit Raw data'!J:J,B:B,'Audit Raw data'!E:E,'Day wise agent'!G:G)</f>
        <v>0</v>
      </c>
      <c r="L50" s="12" t="str">
        <f t="shared" si="1"/>
        <v xml:space="preserve"> </v>
      </c>
    </row>
    <row r="51" spans="1:12" x14ac:dyDescent="0.35">
      <c r="A51" t="str">
        <f t="shared" si="0"/>
        <v>SBM98345931</v>
      </c>
      <c r="B51" t="s">
        <v>1509</v>
      </c>
      <c r="C51" t="s">
        <v>1510</v>
      </c>
      <c r="D51" s="32">
        <v>45659</v>
      </c>
      <c r="E51" t="s">
        <v>1484</v>
      </c>
      <c r="F51" t="str">
        <f>VLOOKUP(B51,'Agent wise'!A:E,5,0)</f>
        <v>Wireless</v>
      </c>
      <c r="G51" s="32">
        <v>45931</v>
      </c>
      <c r="H51">
        <f>COUNTIFS('Audit Raw data'!J:J,B:B,'Audit Raw data'!E:E,G:G)</f>
        <v>0</v>
      </c>
      <c r="I51" s="44" t="str">
        <f>IFERROR((SUMIFS('Audit Raw data'!BZ:BZ,'Audit Raw data'!J:J,B:B,'Audit Raw data'!E:E,G:G)/H51)/100,"-")</f>
        <v>-</v>
      </c>
      <c r="J51">
        <f>COUNTIFS('Audit Raw data'!AM:AM,"Yes",'Audit Raw data'!J:J,B:B,'Audit Raw data'!E:E,'Day wise agent'!G:G)</f>
        <v>0</v>
      </c>
      <c r="K51">
        <f>COUNTIFS('Audit Raw data'!AM:AM,"NO",'Audit Raw data'!J:J,B:B,'Audit Raw data'!E:E,'Day wise agent'!G:G)</f>
        <v>0</v>
      </c>
      <c r="L51" s="12" t="str">
        <f t="shared" si="1"/>
        <v xml:space="preserve"> </v>
      </c>
    </row>
    <row r="52" spans="1:12" x14ac:dyDescent="0.35">
      <c r="A52" t="str">
        <f t="shared" si="0"/>
        <v>SBM99045931</v>
      </c>
      <c r="B52" t="s">
        <v>660</v>
      </c>
      <c r="C52" t="s">
        <v>1512</v>
      </c>
      <c r="D52" s="32">
        <v>45663</v>
      </c>
      <c r="E52" t="s">
        <v>178</v>
      </c>
      <c r="F52" t="str">
        <f>VLOOKUP(B52,'Agent wise'!A:E,5,0)</f>
        <v>Wireless</v>
      </c>
      <c r="G52" s="32">
        <v>45931</v>
      </c>
      <c r="H52">
        <f>COUNTIFS('Audit Raw data'!J:J,B:B,'Audit Raw data'!E:E,G:G)</f>
        <v>0</v>
      </c>
      <c r="I52" s="44" t="str">
        <f>IFERROR((SUMIFS('Audit Raw data'!BZ:BZ,'Audit Raw data'!J:J,B:B,'Audit Raw data'!E:E,G:G)/H52)/100,"-")</f>
        <v>-</v>
      </c>
      <c r="J52">
        <f>COUNTIFS('Audit Raw data'!AM:AM,"Yes",'Audit Raw data'!J:J,B:B,'Audit Raw data'!E:E,'Day wise agent'!G:G)</f>
        <v>0</v>
      </c>
      <c r="K52">
        <f>COUNTIFS('Audit Raw data'!AM:AM,"NO",'Audit Raw data'!J:J,B:B,'Audit Raw data'!E:E,'Day wise agent'!G:G)</f>
        <v>0</v>
      </c>
      <c r="L52" s="12" t="str">
        <f t="shared" si="1"/>
        <v xml:space="preserve"> </v>
      </c>
    </row>
    <row r="53" spans="1:12" x14ac:dyDescent="0.35">
      <c r="A53" t="str">
        <f t="shared" si="0"/>
        <v>VPS10645931</v>
      </c>
      <c r="B53" t="s">
        <v>1513</v>
      </c>
      <c r="C53" t="s">
        <v>1514</v>
      </c>
      <c r="D53" s="32">
        <v>45674</v>
      </c>
      <c r="E53" t="s">
        <v>1456</v>
      </c>
      <c r="F53" t="str">
        <f>VLOOKUP(B53,'Agent wise'!A:E,5,0)</f>
        <v>RECL</v>
      </c>
      <c r="G53" s="32">
        <v>45931</v>
      </c>
      <c r="H53">
        <f>COUNTIFS('Audit Raw data'!J:J,B:B,'Audit Raw data'!E:E,G:G)</f>
        <v>0</v>
      </c>
      <c r="I53" s="44" t="str">
        <f>IFERROR((SUMIFS('Audit Raw data'!BZ:BZ,'Audit Raw data'!J:J,B:B,'Audit Raw data'!E:E,G:G)/H53)/100,"-")</f>
        <v>-</v>
      </c>
      <c r="J53">
        <f>COUNTIFS('Audit Raw data'!AM:AM,"Yes",'Audit Raw data'!J:J,B:B,'Audit Raw data'!E:E,'Day wise agent'!G:G)</f>
        <v>0</v>
      </c>
      <c r="K53">
        <f>COUNTIFS('Audit Raw data'!AM:AM,"NO",'Audit Raw data'!J:J,B:B,'Audit Raw data'!E:E,'Day wise agent'!G:G)</f>
        <v>0</v>
      </c>
      <c r="L53" s="12" t="str">
        <f t="shared" si="1"/>
        <v xml:space="preserve"> </v>
      </c>
    </row>
    <row r="54" spans="1:12" x14ac:dyDescent="0.35">
      <c r="A54" t="str">
        <f t="shared" si="0"/>
        <v>VPS11145931</v>
      </c>
      <c r="B54" t="s">
        <v>108</v>
      </c>
      <c r="C54" t="s">
        <v>1515</v>
      </c>
      <c r="D54" s="32">
        <v>45675</v>
      </c>
      <c r="E54" t="s">
        <v>1484</v>
      </c>
      <c r="F54" t="str">
        <f>VLOOKUP(B54,'Agent wise'!A:E,5,0)</f>
        <v>Wireless</v>
      </c>
      <c r="G54" s="32">
        <v>45931</v>
      </c>
      <c r="H54">
        <f>COUNTIFS('Audit Raw data'!J:J,B:B,'Audit Raw data'!E:E,G:G)</f>
        <v>2</v>
      </c>
      <c r="I54" s="44">
        <f>IFERROR((SUMIFS('Audit Raw data'!BZ:BZ,'Audit Raw data'!J:J,B:B,'Audit Raw data'!E:E,G:G)/H54)/100,"-")</f>
        <v>0.87</v>
      </c>
      <c r="J54">
        <f>COUNTIFS('Audit Raw data'!AM:AM,"Yes",'Audit Raw data'!J:J,B:B,'Audit Raw data'!E:E,'Day wise agent'!G:G)</f>
        <v>2</v>
      </c>
      <c r="K54">
        <f>COUNTIFS('Audit Raw data'!AM:AM,"NO",'Audit Raw data'!J:J,B:B,'Audit Raw data'!E:E,'Day wise agent'!G:G)</f>
        <v>0</v>
      </c>
      <c r="L54" s="12">
        <f t="shared" si="1"/>
        <v>1</v>
      </c>
    </row>
    <row r="55" spans="1:12" x14ac:dyDescent="0.35">
      <c r="A55" t="str">
        <f t="shared" si="0"/>
        <v>VPS12045931</v>
      </c>
      <c r="B55" t="s">
        <v>263</v>
      </c>
      <c r="C55" t="s">
        <v>1516</v>
      </c>
      <c r="D55" s="32">
        <v>45690</v>
      </c>
      <c r="E55" t="s">
        <v>178</v>
      </c>
      <c r="F55" t="str">
        <f>VLOOKUP(B55,'Agent wise'!A:E,5,0)</f>
        <v>Wireless</v>
      </c>
      <c r="G55" s="32">
        <v>45931</v>
      </c>
      <c r="H55">
        <f>COUNTIFS('Audit Raw data'!J:J,B:B,'Audit Raw data'!E:E,G:G)</f>
        <v>0</v>
      </c>
      <c r="I55" s="44" t="str">
        <f>IFERROR((SUMIFS('Audit Raw data'!BZ:BZ,'Audit Raw data'!J:J,B:B,'Audit Raw data'!E:E,G:G)/H55)/100,"-")</f>
        <v>-</v>
      </c>
      <c r="J55">
        <f>COUNTIFS('Audit Raw data'!AM:AM,"Yes",'Audit Raw data'!J:J,B:B,'Audit Raw data'!E:E,'Day wise agent'!G:G)</f>
        <v>0</v>
      </c>
      <c r="K55">
        <f>COUNTIFS('Audit Raw data'!AM:AM,"NO",'Audit Raw data'!J:J,B:B,'Audit Raw data'!E:E,'Day wise agent'!G:G)</f>
        <v>0</v>
      </c>
      <c r="L55" s="12" t="str">
        <f t="shared" si="1"/>
        <v xml:space="preserve"> </v>
      </c>
    </row>
    <row r="56" spans="1:12" x14ac:dyDescent="0.35">
      <c r="A56" t="str">
        <f t="shared" si="0"/>
        <v>VPS12445931</v>
      </c>
      <c r="B56" t="s">
        <v>1517</v>
      </c>
      <c r="C56" t="s">
        <v>1518</v>
      </c>
      <c r="D56" s="32">
        <v>45705</v>
      </c>
      <c r="E56" t="s">
        <v>1456</v>
      </c>
      <c r="F56" t="str">
        <f>VLOOKUP(B56,'Agent wise'!A:E,5,0)</f>
        <v>RECL</v>
      </c>
      <c r="G56" s="32">
        <v>45931</v>
      </c>
      <c r="H56">
        <f>COUNTIFS('Audit Raw data'!J:J,B:B,'Audit Raw data'!E:E,G:G)</f>
        <v>0</v>
      </c>
      <c r="I56" s="44" t="str">
        <f>IFERROR((SUMIFS('Audit Raw data'!BZ:BZ,'Audit Raw data'!J:J,B:B,'Audit Raw data'!E:E,G:G)/H56)/100,"-")</f>
        <v>-</v>
      </c>
      <c r="J56">
        <f>COUNTIFS('Audit Raw data'!AM:AM,"Yes",'Audit Raw data'!J:J,B:B,'Audit Raw data'!E:E,'Day wise agent'!G:G)</f>
        <v>0</v>
      </c>
      <c r="K56">
        <f>COUNTIFS('Audit Raw data'!AM:AM,"NO",'Audit Raw data'!J:J,B:B,'Audit Raw data'!E:E,'Day wise agent'!G:G)</f>
        <v>0</v>
      </c>
      <c r="L56" s="12" t="str">
        <f t="shared" si="1"/>
        <v xml:space="preserve"> </v>
      </c>
    </row>
    <row r="57" spans="1:12" x14ac:dyDescent="0.35">
      <c r="A57" t="str">
        <f t="shared" si="0"/>
        <v>VPS12645931</v>
      </c>
      <c r="B57" t="s">
        <v>1521</v>
      </c>
      <c r="C57" t="s">
        <v>1522</v>
      </c>
      <c r="D57" s="32">
        <v>45710</v>
      </c>
      <c r="E57" t="s">
        <v>1456</v>
      </c>
      <c r="F57" t="str">
        <f>VLOOKUP(B57,'Agent wise'!A:E,5,0)</f>
        <v>RECL</v>
      </c>
      <c r="G57" s="32">
        <v>45931</v>
      </c>
      <c r="H57">
        <f>COUNTIFS('Audit Raw data'!J:J,B:B,'Audit Raw data'!E:E,G:G)</f>
        <v>0</v>
      </c>
      <c r="I57" s="44" t="str">
        <f>IFERROR((SUMIFS('Audit Raw data'!BZ:BZ,'Audit Raw data'!J:J,B:B,'Audit Raw data'!E:E,G:G)/H57)/100,"-")</f>
        <v>-</v>
      </c>
      <c r="J57">
        <f>COUNTIFS('Audit Raw data'!AM:AM,"Yes",'Audit Raw data'!J:J,B:B,'Audit Raw data'!E:E,'Day wise agent'!G:G)</f>
        <v>0</v>
      </c>
      <c r="K57">
        <f>COUNTIFS('Audit Raw data'!AM:AM,"NO",'Audit Raw data'!J:J,B:B,'Audit Raw data'!E:E,'Day wise agent'!G:G)</f>
        <v>0</v>
      </c>
      <c r="L57" s="12" t="str">
        <f t="shared" si="1"/>
        <v xml:space="preserve"> </v>
      </c>
    </row>
    <row r="58" spans="1:12" x14ac:dyDescent="0.35">
      <c r="A58" t="str">
        <f t="shared" si="0"/>
        <v>VPS12745931</v>
      </c>
      <c r="B58" t="s">
        <v>1523</v>
      </c>
      <c r="C58" t="s">
        <v>1524</v>
      </c>
      <c r="D58" s="32">
        <v>45710</v>
      </c>
      <c r="E58" t="s">
        <v>1456</v>
      </c>
      <c r="F58" t="str">
        <f>VLOOKUP(B58,'Agent wise'!A:E,5,0)</f>
        <v>RECL</v>
      </c>
      <c r="G58" s="32">
        <v>45931</v>
      </c>
      <c r="H58">
        <f>COUNTIFS('Audit Raw data'!J:J,B:B,'Audit Raw data'!E:E,G:G)</f>
        <v>0</v>
      </c>
      <c r="I58" s="44" t="str">
        <f>IFERROR((SUMIFS('Audit Raw data'!BZ:BZ,'Audit Raw data'!J:J,B:B,'Audit Raw data'!E:E,G:G)/H58)/100,"-")</f>
        <v>-</v>
      </c>
      <c r="J58">
        <f>COUNTIFS('Audit Raw data'!AM:AM,"Yes",'Audit Raw data'!J:J,B:B,'Audit Raw data'!E:E,'Day wise agent'!G:G)</f>
        <v>0</v>
      </c>
      <c r="K58">
        <f>COUNTIFS('Audit Raw data'!AM:AM,"NO",'Audit Raw data'!J:J,B:B,'Audit Raw data'!E:E,'Day wise agent'!G:G)</f>
        <v>0</v>
      </c>
      <c r="L58" s="12" t="str">
        <f t="shared" si="1"/>
        <v xml:space="preserve"> </v>
      </c>
    </row>
    <row r="59" spans="1:12" x14ac:dyDescent="0.35">
      <c r="A59" t="str">
        <f t="shared" si="0"/>
        <v>VPS13045931</v>
      </c>
      <c r="B59" t="s">
        <v>662</v>
      </c>
      <c r="C59" t="s">
        <v>1525</v>
      </c>
      <c r="D59" s="32">
        <v>45710</v>
      </c>
      <c r="E59" t="s">
        <v>1484</v>
      </c>
      <c r="F59" t="str">
        <f>VLOOKUP(B59,'Agent wise'!A:E,5,0)</f>
        <v>Wireless</v>
      </c>
      <c r="G59" s="32">
        <v>45931</v>
      </c>
      <c r="H59">
        <f>COUNTIFS('Audit Raw data'!J:J,B:B,'Audit Raw data'!E:E,G:G)</f>
        <v>0</v>
      </c>
      <c r="I59" s="44" t="str">
        <f>IFERROR((SUMIFS('Audit Raw data'!BZ:BZ,'Audit Raw data'!J:J,B:B,'Audit Raw data'!E:E,G:G)/H59)/100,"-")</f>
        <v>-</v>
      </c>
      <c r="J59">
        <f>COUNTIFS('Audit Raw data'!AM:AM,"Yes",'Audit Raw data'!J:J,B:B,'Audit Raw data'!E:E,'Day wise agent'!G:G)</f>
        <v>0</v>
      </c>
      <c r="K59">
        <f>COUNTIFS('Audit Raw data'!AM:AM,"NO",'Audit Raw data'!J:J,B:B,'Audit Raw data'!E:E,'Day wise agent'!G:G)</f>
        <v>0</v>
      </c>
      <c r="L59" s="12" t="str">
        <f t="shared" si="1"/>
        <v xml:space="preserve"> </v>
      </c>
    </row>
    <row r="60" spans="1:12" x14ac:dyDescent="0.35">
      <c r="A60" t="str">
        <f t="shared" si="0"/>
        <v>VPS13145931</v>
      </c>
      <c r="B60" t="s">
        <v>1519</v>
      </c>
      <c r="C60" t="s">
        <v>1520</v>
      </c>
      <c r="D60" s="32">
        <v>45710</v>
      </c>
      <c r="E60" t="s">
        <v>1456</v>
      </c>
      <c r="F60" t="str">
        <f>VLOOKUP(B60,'Agent wise'!A:E,5,0)</f>
        <v>RECL</v>
      </c>
      <c r="G60" s="32">
        <v>45931</v>
      </c>
      <c r="H60">
        <f>COUNTIFS('Audit Raw data'!J:J,B:B,'Audit Raw data'!E:E,G:G)</f>
        <v>0</v>
      </c>
      <c r="I60" s="44" t="str">
        <f>IFERROR((SUMIFS('Audit Raw data'!BZ:BZ,'Audit Raw data'!J:J,B:B,'Audit Raw data'!E:E,G:G)/H60)/100,"-")</f>
        <v>-</v>
      </c>
      <c r="J60">
        <f>COUNTIFS('Audit Raw data'!AM:AM,"Yes",'Audit Raw data'!J:J,B:B,'Audit Raw data'!E:E,'Day wise agent'!G:G)</f>
        <v>0</v>
      </c>
      <c r="K60">
        <f>COUNTIFS('Audit Raw data'!AM:AM,"NO",'Audit Raw data'!J:J,B:B,'Audit Raw data'!E:E,'Day wise agent'!G:G)</f>
        <v>0</v>
      </c>
      <c r="L60" s="12" t="str">
        <f t="shared" si="1"/>
        <v xml:space="preserve"> </v>
      </c>
    </row>
    <row r="61" spans="1:12" x14ac:dyDescent="0.35">
      <c r="A61" t="str">
        <f t="shared" si="0"/>
        <v>VPS13245931</v>
      </c>
      <c r="B61" t="s">
        <v>1526</v>
      </c>
      <c r="C61" t="s">
        <v>1527</v>
      </c>
      <c r="D61" s="32">
        <v>45717</v>
      </c>
      <c r="E61" t="s">
        <v>221</v>
      </c>
      <c r="F61" t="str">
        <f>VLOOKUP(B61,'Agent wise'!A:E,5,0)</f>
        <v>Wire-line</v>
      </c>
      <c r="G61" s="32">
        <v>45931</v>
      </c>
      <c r="H61">
        <f>COUNTIFS('Audit Raw data'!J:J,B:B,'Audit Raw data'!E:E,G:G)</f>
        <v>0</v>
      </c>
      <c r="I61" s="44" t="str">
        <f>IFERROR((SUMIFS('Audit Raw data'!BZ:BZ,'Audit Raw data'!J:J,B:B,'Audit Raw data'!E:E,G:G)/H61)/100,"-")</f>
        <v>-</v>
      </c>
      <c r="J61">
        <f>COUNTIFS('Audit Raw data'!AM:AM,"Yes",'Audit Raw data'!J:J,B:B,'Audit Raw data'!E:E,'Day wise agent'!G:G)</f>
        <v>0</v>
      </c>
      <c r="K61">
        <f>COUNTIFS('Audit Raw data'!AM:AM,"NO",'Audit Raw data'!J:J,B:B,'Audit Raw data'!E:E,'Day wise agent'!G:G)</f>
        <v>0</v>
      </c>
      <c r="L61" s="12" t="str">
        <f t="shared" si="1"/>
        <v xml:space="preserve"> </v>
      </c>
    </row>
    <row r="62" spans="1:12" x14ac:dyDescent="0.35">
      <c r="A62" t="str">
        <f t="shared" si="0"/>
        <v>VPS14345931</v>
      </c>
      <c r="B62" t="s">
        <v>269</v>
      </c>
      <c r="C62" t="s">
        <v>1528</v>
      </c>
      <c r="D62" s="32">
        <v>45723</v>
      </c>
      <c r="E62" t="s">
        <v>1484</v>
      </c>
      <c r="F62" t="str">
        <f>VLOOKUP(B62,'Agent wise'!A:E,5,0)</f>
        <v>Wireless</v>
      </c>
      <c r="G62" s="32">
        <v>45931</v>
      </c>
      <c r="H62">
        <f>COUNTIFS('Audit Raw data'!J:J,B:B,'Audit Raw data'!E:E,G:G)</f>
        <v>0</v>
      </c>
      <c r="I62" s="44" t="str">
        <f>IFERROR((SUMIFS('Audit Raw data'!BZ:BZ,'Audit Raw data'!J:J,B:B,'Audit Raw data'!E:E,G:G)/H62)/100,"-")</f>
        <v>-</v>
      </c>
      <c r="J62">
        <f>COUNTIFS('Audit Raw data'!AM:AM,"Yes",'Audit Raw data'!J:J,B:B,'Audit Raw data'!E:E,'Day wise agent'!G:G)</f>
        <v>0</v>
      </c>
      <c r="K62">
        <f>COUNTIFS('Audit Raw data'!AM:AM,"NO",'Audit Raw data'!J:J,B:B,'Audit Raw data'!E:E,'Day wise agent'!G:G)</f>
        <v>0</v>
      </c>
      <c r="L62" s="12" t="str">
        <f t="shared" si="1"/>
        <v xml:space="preserve"> </v>
      </c>
    </row>
    <row r="63" spans="1:12" x14ac:dyDescent="0.35">
      <c r="A63" t="str">
        <f t="shared" si="0"/>
        <v>VPS15145931</v>
      </c>
      <c r="B63" t="s">
        <v>274</v>
      </c>
      <c r="C63" t="s">
        <v>1529</v>
      </c>
      <c r="D63" s="32">
        <v>45735</v>
      </c>
      <c r="E63" t="s">
        <v>107</v>
      </c>
      <c r="F63" t="str">
        <f>VLOOKUP(B63,'Agent wise'!A:E,5,0)</f>
        <v>Wireless</v>
      </c>
      <c r="G63" s="32">
        <v>45931</v>
      </c>
      <c r="H63">
        <f>COUNTIFS('Audit Raw data'!J:J,B:B,'Audit Raw data'!E:E,G:G)</f>
        <v>0</v>
      </c>
      <c r="I63" s="44" t="str">
        <f>IFERROR((SUMIFS('Audit Raw data'!BZ:BZ,'Audit Raw data'!J:J,B:B,'Audit Raw data'!E:E,G:G)/H63)/100,"-")</f>
        <v>-</v>
      </c>
      <c r="J63">
        <f>COUNTIFS('Audit Raw data'!AM:AM,"Yes",'Audit Raw data'!J:J,B:B,'Audit Raw data'!E:E,'Day wise agent'!G:G)</f>
        <v>0</v>
      </c>
      <c r="K63">
        <f>COUNTIFS('Audit Raw data'!AM:AM,"NO",'Audit Raw data'!J:J,B:B,'Audit Raw data'!E:E,'Day wise agent'!G:G)</f>
        <v>0</v>
      </c>
      <c r="L63" s="12" t="str">
        <f t="shared" si="1"/>
        <v xml:space="preserve"> </v>
      </c>
    </row>
    <row r="64" spans="1:12" x14ac:dyDescent="0.35">
      <c r="A64" t="str">
        <f t="shared" si="0"/>
        <v>VPS16045931</v>
      </c>
      <c r="B64" t="s">
        <v>258</v>
      </c>
      <c r="C64" t="s">
        <v>1530</v>
      </c>
      <c r="D64" s="32">
        <v>45748</v>
      </c>
      <c r="E64" t="s">
        <v>1484</v>
      </c>
      <c r="F64" t="str">
        <f>VLOOKUP(B64,'Agent wise'!A:E,5,0)</f>
        <v>Wireless</v>
      </c>
      <c r="G64" s="32">
        <v>45931</v>
      </c>
      <c r="H64">
        <f>COUNTIFS('Audit Raw data'!J:J,B:B,'Audit Raw data'!E:E,G:G)</f>
        <v>0</v>
      </c>
      <c r="I64" s="44" t="str">
        <f>IFERROR((SUMIFS('Audit Raw data'!BZ:BZ,'Audit Raw data'!J:J,B:B,'Audit Raw data'!E:E,G:G)/H64)/100,"-")</f>
        <v>-</v>
      </c>
      <c r="J64">
        <f>COUNTIFS('Audit Raw data'!AM:AM,"Yes",'Audit Raw data'!J:J,B:B,'Audit Raw data'!E:E,'Day wise agent'!G:G)</f>
        <v>0</v>
      </c>
      <c r="K64">
        <f>COUNTIFS('Audit Raw data'!AM:AM,"NO",'Audit Raw data'!J:J,B:B,'Audit Raw data'!E:E,'Day wise agent'!G:G)</f>
        <v>0</v>
      </c>
      <c r="L64" s="12" t="str">
        <f t="shared" si="1"/>
        <v xml:space="preserve"> </v>
      </c>
    </row>
    <row r="65" spans="1:12" x14ac:dyDescent="0.35">
      <c r="A65" t="str">
        <f t="shared" si="0"/>
        <v>VPS17145931</v>
      </c>
      <c r="B65" t="s">
        <v>307</v>
      </c>
      <c r="C65" t="s">
        <v>1531</v>
      </c>
      <c r="D65" s="32">
        <v>45767</v>
      </c>
      <c r="E65" t="s">
        <v>221</v>
      </c>
      <c r="F65" t="str">
        <f>VLOOKUP(B65,'Agent wise'!A:E,5,0)</f>
        <v>Wire-line</v>
      </c>
      <c r="G65" s="32">
        <v>45931</v>
      </c>
      <c r="H65">
        <f>COUNTIFS('Audit Raw data'!J:J,B:B,'Audit Raw data'!E:E,G:G)</f>
        <v>0</v>
      </c>
      <c r="I65" s="44" t="str">
        <f>IFERROR((SUMIFS('Audit Raw data'!BZ:BZ,'Audit Raw data'!J:J,B:B,'Audit Raw data'!E:E,G:G)/H65)/100,"-")</f>
        <v>-</v>
      </c>
      <c r="J65">
        <f>COUNTIFS('Audit Raw data'!AM:AM,"Yes",'Audit Raw data'!J:J,B:B,'Audit Raw data'!E:E,'Day wise agent'!G:G)</f>
        <v>0</v>
      </c>
      <c r="K65">
        <f>COUNTIFS('Audit Raw data'!AM:AM,"NO",'Audit Raw data'!J:J,B:B,'Audit Raw data'!E:E,'Day wise agent'!G:G)</f>
        <v>0</v>
      </c>
      <c r="L65" s="12" t="str">
        <f t="shared" si="1"/>
        <v xml:space="preserve"> </v>
      </c>
    </row>
    <row r="66" spans="1:12" x14ac:dyDescent="0.35">
      <c r="A66" t="str">
        <f t="shared" ref="A66:A129" si="2">B66&amp;G66</f>
        <v>VPS17745931</v>
      </c>
      <c r="B66" t="s">
        <v>280</v>
      </c>
      <c r="C66" t="s">
        <v>1532</v>
      </c>
      <c r="D66" s="32">
        <v>45766</v>
      </c>
      <c r="E66" t="s">
        <v>1453</v>
      </c>
      <c r="F66" t="str">
        <f>VLOOKUP(B66,'Agent wise'!A:E,5,0)</f>
        <v>Wireless</v>
      </c>
      <c r="G66" s="32">
        <v>45931</v>
      </c>
      <c r="H66">
        <f>COUNTIFS('Audit Raw data'!J:J,B:B,'Audit Raw data'!E:E,G:G)</f>
        <v>0</v>
      </c>
      <c r="I66" s="44" t="str">
        <f>IFERROR((SUMIFS('Audit Raw data'!BZ:BZ,'Audit Raw data'!J:J,B:B,'Audit Raw data'!E:E,G:G)/H66)/100,"-")</f>
        <v>-</v>
      </c>
      <c r="J66">
        <f>COUNTIFS('Audit Raw data'!AM:AM,"Yes",'Audit Raw data'!J:J,B:B,'Audit Raw data'!E:E,'Day wise agent'!G:G)</f>
        <v>0</v>
      </c>
      <c r="K66">
        <f>COUNTIFS('Audit Raw data'!AM:AM,"NO",'Audit Raw data'!J:J,B:B,'Audit Raw data'!E:E,'Day wise agent'!G:G)</f>
        <v>0</v>
      </c>
      <c r="L66" s="12" t="str">
        <f t="shared" ref="L66:L129" si="3">IFERROR(J66/H66," ")</f>
        <v xml:space="preserve"> </v>
      </c>
    </row>
    <row r="67" spans="1:12" x14ac:dyDescent="0.35">
      <c r="A67" t="str">
        <f t="shared" si="2"/>
        <v>VPS18145931</v>
      </c>
      <c r="B67" t="s">
        <v>234</v>
      </c>
      <c r="C67" t="s">
        <v>1533</v>
      </c>
      <c r="D67" s="32">
        <v>45775</v>
      </c>
      <c r="E67" t="s">
        <v>221</v>
      </c>
      <c r="F67" t="str">
        <f>VLOOKUP(B67,'Agent wise'!A:E,5,0)</f>
        <v>Wire-line</v>
      </c>
      <c r="G67" s="32">
        <v>45931</v>
      </c>
      <c r="H67">
        <f>COUNTIFS('Audit Raw data'!J:J,B:B,'Audit Raw data'!E:E,G:G)</f>
        <v>0</v>
      </c>
      <c r="I67" s="44" t="str">
        <f>IFERROR((SUMIFS('Audit Raw data'!BZ:BZ,'Audit Raw data'!J:J,B:B,'Audit Raw data'!E:E,G:G)/H67)/100,"-")</f>
        <v>-</v>
      </c>
      <c r="J67">
        <f>COUNTIFS('Audit Raw data'!AM:AM,"Yes",'Audit Raw data'!J:J,B:B,'Audit Raw data'!E:E,'Day wise agent'!G:G)</f>
        <v>0</v>
      </c>
      <c r="K67">
        <f>COUNTIFS('Audit Raw data'!AM:AM,"NO",'Audit Raw data'!J:J,B:B,'Audit Raw data'!E:E,'Day wise agent'!G:G)</f>
        <v>0</v>
      </c>
      <c r="L67" s="12" t="str">
        <f t="shared" si="3"/>
        <v xml:space="preserve"> </v>
      </c>
    </row>
    <row r="68" spans="1:12" x14ac:dyDescent="0.35">
      <c r="A68" t="str">
        <f t="shared" si="2"/>
        <v>VPS18245931</v>
      </c>
      <c r="B68" t="s">
        <v>568</v>
      </c>
      <c r="C68" t="s">
        <v>1534</v>
      </c>
      <c r="D68" s="32">
        <v>45797</v>
      </c>
      <c r="E68" t="s">
        <v>221</v>
      </c>
      <c r="F68" t="str">
        <f>VLOOKUP(B68,'Agent wise'!A:E,5,0)</f>
        <v>Wire-line</v>
      </c>
      <c r="G68" s="32">
        <v>45931</v>
      </c>
      <c r="H68">
        <f>COUNTIFS('Audit Raw data'!J:J,B:B,'Audit Raw data'!E:E,G:G)</f>
        <v>0</v>
      </c>
      <c r="I68" s="44" t="str">
        <f>IFERROR((SUMIFS('Audit Raw data'!BZ:BZ,'Audit Raw data'!J:J,B:B,'Audit Raw data'!E:E,G:G)/H68)/100,"-")</f>
        <v>-</v>
      </c>
      <c r="J68">
        <f>COUNTIFS('Audit Raw data'!AM:AM,"Yes",'Audit Raw data'!J:J,B:B,'Audit Raw data'!E:E,'Day wise agent'!G:G)</f>
        <v>0</v>
      </c>
      <c r="K68">
        <f>COUNTIFS('Audit Raw data'!AM:AM,"NO",'Audit Raw data'!J:J,B:B,'Audit Raw data'!E:E,'Day wise agent'!G:G)</f>
        <v>0</v>
      </c>
      <c r="L68" s="12" t="str">
        <f t="shared" si="3"/>
        <v xml:space="preserve"> </v>
      </c>
    </row>
    <row r="69" spans="1:12" x14ac:dyDescent="0.35">
      <c r="A69" t="str">
        <f t="shared" si="2"/>
        <v>VPS18345931</v>
      </c>
      <c r="B69" t="s">
        <v>570</v>
      </c>
      <c r="C69" t="s">
        <v>1535</v>
      </c>
      <c r="D69" s="32">
        <v>45797</v>
      </c>
      <c r="E69" t="s">
        <v>221</v>
      </c>
      <c r="F69" t="str">
        <f>VLOOKUP(B69,'Agent wise'!A:E,5,0)</f>
        <v>Wire-line</v>
      </c>
      <c r="G69" s="32">
        <v>45931</v>
      </c>
      <c r="H69">
        <f>COUNTIFS('Audit Raw data'!J:J,B:B,'Audit Raw data'!E:E,G:G)</f>
        <v>0</v>
      </c>
      <c r="I69" s="44" t="str">
        <f>IFERROR((SUMIFS('Audit Raw data'!BZ:BZ,'Audit Raw data'!J:J,B:B,'Audit Raw data'!E:E,G:G)/H69)/100,"-")</f>
        <v>-</v>
      </c>
      <c r="J69">
        <f>COUNTIFS('Audit Raw data'!AM:AM,"Yes",'Audit Raw data'!J:J,B:B,'Audit Raw data'!E:E,'Day wise agent'!G:G)</f>
        <v>0</v>
      </c>
      <c r="K69">
        <f>COUNTIFS('Audit Raw data'!AM:AM,"NO",'Audit Raw data'!J:J,B:B,'Audit Raw data'!E:E,'Day wise agent'!G:G)</f>
        <v>0</v>
      </c>
      <c r="L69" s="12" t="str">
        <f t="shared" si="3"/>
        <v xml:space="preserve"> </v>
      </c>
    </row>
    <row r="70" spans="1:12" x14ac:dyDescent="0.35">
      <c r="A70" t="str">
        <f t="shared" si="2"/>
        <v>VPS18445931</v>
      </c>
      <c r="B70" t="s">
        <v>117</v>
      </c>
      <c r="C70" t="s">
        <v>1536</v>
      </c>
      <c r="D70" s="32">
        <v>45809</v>
      </c>
      <c r="E70" t="s">
        <v>1453</v>
      </c>
      <c r="F70" t="str">
        <f>VLOOKUP(B70,'Agent wise'!A:E,5,0)</f>
        <v>Wireless</v>
      </c>
      <c r="G70" s="32">
        <v>45931</v>
      </c>
      <c r="H70">
        <f>COUNTIFS('Audit Raw data'!J:J,B:B,'Audit Raw data'!E:E,G:G)</f>
        <v>2</v>
      </c>
      <c r="I70" s="44">
        <f>IFERROR((SUMIFS('Audit Raw data'!BZ:BZ,'Audit Raw data'!J:J,B:B,'Audit Raw data'!E:E,G:G)/H70)/100,"-")</f>
        <v>0.86</v>
      </c>
      <c r="J70">
        <f>COUNTIFS('Audit Raw data'!AM:AM,"Yes",'Audit Raw data'!J:J,B:B,'Audit Raw data'!E:E,'Day wise agent'!G:G)</f>
        <v>2</v>
      </c>
      <c r="K70">
        <f>COUNTIFS('Audit Raw data'!AM:AM,"NO",'Audit Raw data'!J:J,B:B,'Audit Raw data'!E:E,'Day wise agent'!G:G)</f>
        <v>0</v>
      </c>
      <c r="L70" s="12">
        <f t="shared" si="3"/>
        <v>1</v>
      </c>
    </row>
    <row r="71" spans="1:12" x14ac:dyDescent="0.35">
      <c r="A71" t="str">
        <f t="shared" si="2"/>
        <v>VPS19145931</v>
      </c>
      <c r="B71" t="s">
        <v>586</v>
      </c>
      <c r="C71" t="s">
        <v>1537</v>
      </c>
      <c r="D71" s="32">
        <v>45809</v>
      </c>
      <c r="E71" t="s">
        <v>107</v>
      </c>
      <c r="F71" t="str">
        <f>VLOOKUP(B71,'Agent wise'!A:E,5,0)</f>
        <v>Wireless</v>
      </c>
      <c r="G71" s="32">
        <v>45931</v>
      </c>
      <c r="H71">
        <f>COUNTIFS('Audit Raw data'!J:J,B:B,'Audit Raw data'!E:E,G:G)</f>
        <v>0</v>
      </c>
      <c r="I71" s="44" t="str">
        <f>IFERROR((SUMIFS('Audit Raw data'!BZ:BZ,'Audit Raw data'!J:J,B:B,'Audit Raw data'!E:E,G:G)/H71)/100,"-")</f>
        <v>-</v>
      </c>
      <c r="J71">
        <f>COUNTIFS('Audit Raw data'!AM:AM,"Yes",'Audit Raw data'!J:J,B:B,'Audit Raw data'!E:E,'Day wise agent'!G:G)</f>
        <v>0</v>
      </c>
      <c r="K71">
        <f>COUNTIFS('Audit Raw data'!AM:AM,"NO",'Audit Raw data'!J:J,B:B,'Audit Raw data'!E:E,'Day wise agent'!G:G)</f>
        <v>0</v>
      </c>
      <c r="L71" s="12" t="str">
        <f t="shared" si="3"/>
        <v xml:space="preserve"> </v>
      </c>
    </row>
    <row r="72" spans="1:12" x14ac:dyDescent="0.35">
      <c r="A72" t="str">
        <f t="shared" si="2"/>
        <v>VPS19345931</v>
      </c>
      <c r="B72" t="s">
        <v>302</v>
      </c>
      <c r="C72" t="s">
        <v>1538</v>
      </c>
      <c r="D72" s="32">
        <v>45823</v>
      </c>
      <c r="E72" t="s">
        <v>107</v>
      </c>
      <c r="F72" t="str">
        <f>VLOOKUP(B72,'Agent wise'!A:E,5,0)</f>
        <v>Wireless</v>
      </c>
      <c r="G72" s="32">
        <v>45931</v>
      </c>
      <c r="H72">
        <f>COUNTIFS('Audit Raw data'!J:J,B:B,'Audit Raw data'!E:E,G:G)</f>
        <v>0</v>
      </c>
      <c r="I72" s="44" t="str">
        <f>IFERROR((SUMIFS('Audit Raw data'!BZ:BZ,'Audit Raw data'!J:J,B:B,'Audit Raw data'!E:E,G:G)/H72)/100,"-")</f>
        <v>-</v>
      </c>
      <c r="J72">
        <f>COUNTIFS('Audit Raw data'!AM:AM,"Yes",'Audit Raw data'!J:J,B:B,'Audit Raw data'!E:E,'Day wise agent'!G:G)</f>
        <v>0</v>
      </c>
      <c r="K72">
        <f>COUNTIFS('Audit Raw data'!AM:AM,"NO",'Audit Raw data'!J:J,B:B,'Audit Raw data'!E:E,'Day wise agent'!G:G)</f>
        <v>0</v>
      </c>
      <c r="L72" s="12" t="str">
        <f t="shared" si="3"/>
        <v xml:space="preserve"> </v>
      </c>
    </row>
    <row r="73" spans="1:12" x14ac:dyDescent="0.35">
      <c r="A73" t="str">
        <f t="shared" si="2"/>
        <v>VPS19745931</v>
      </c>
      <c r="B73" t="s">
        <v>665</v>
      </c>
      <c r="C73" t="s">
        <v>1539</v>
      </c>
      <c r="D73" s="32">
        <v>45830</v>
      </c>
      <c r="E73" t="s">
        <v>178</v>
      </c>
      <c r="F73" t="str">
        <f>VLOOKUP(B73,'Agent wise'!A:E,5,0)</f>
        <v>Wireless</v>
      </c>
      <c r="G73" s="32">
        <v>45931</v>
      </c>
      <c r="H73">
        <f>COUNTIFS('Audit Raw data'!J:J,B:B,'Audit Raw data'!E:E,G:G)</f>
        <v>0</v>
      </c>
      <c r="I73" s="44" t="str">
        <f>IFERROR((SUMIFS('Audit Raw data'!BZ:BZ,'Audit Raw data'!J:J,B:B,'Audit Raw data'!E:E,G:G)/H73)/100,"-")</f>
        <v>-</v>
      </c>
      <c r="J73">
        <f>COUNTIFS('Audit Raw data'!AM:AM,"Yes",'Audit Raw data'!J:J,B:B,'Audit Raw data'!E:E,'Day wise agent'!G:G)</f>
        <v>0</v>
      </c>
      <c r="K73">
        <f>COUNTIFS('Audit Raw data'!AM:AM,"NO",'Audit Raw data'!J:J,B:B,'Audit Raw data'!E:E,'Day wise agent'!G:G)</f>
        <v>0</v>
      </c>
      <c r="L73" s="12" t="str">
        <f t="shared" si="3"/>
        <v xml:space="preserve"> </v>
      </c>
    </row>
    <row r="74" spans="1:12" x14ac:dyDescent="0.35">
      <c r="A74" t="str">
        <f t="shared" si="2"/>
        <v>VPS20145931</v>
      </c>
      <c r="B74" t="s">
        <v>439</v>
      </c>
      <c r="C74" t="s">
        <v>1540</v>
      </c>
      <c r="D74" s="32">
        <v>45834</v>
      </c>
      <c r="E74" t="s">
        <v>1453</v>
      </c>
      <c r="F74" t="str">
        <f>VLOOKUP(B74,'Agent wise'!A:E,5,0)</f>
        <v>Wireless</v>
      </c>
      <c r="G74" s="32">
        <v>45931</v>
      </c>
      <c r="H74">
        <f>COUNTIFS('Audit Raw data'!J:J,B:B,'Audit Raw data'!E:E,G:G)</f>
        <v>0</v>
      </c>
      <c r="I74" s="44" t="str">
        <f>IFERROR((SUMIFS('Audit Raw data'!BZ:BZ,'Audit Raw data'!J:J,B:B,'Audit Raw data'!E:E,G:G)/H74)/100,"-")</f>
        <v>-</v>
      </c>
      <c r="J74">
        <f>COUNTIFS('Audit Raw data'!AM:AM,"Yes",'Audit Raw data'!J:J,B:B,'Audit Raw data'!E:E,'Day wise agent'!G:G)</f>
        <v>0</v>
      </c>
      <c r="K74">
        <f>COUNTIFS('Audit Raw data'!AM:AM,"NO",'Audit Raw data'!J:J,B:B,'Audit Raw data'!E:E,'Day wise agent'!G:G)</f>
        <v>0</v>
      </c>
      <c r="L74" s="12" t="str">
        <f t="shared" si="3"/>
        <v xml:space="preserve"> </v>
      </c>
    </row>
    <row r="75" spans="1:12" x14ac:dyDescent="0.35">
      <c r="A75" t="str">
        <f t="shared" si="2"/>
        <v>VPS20445931</v>
      </c>
      <c r="B75" t="s">
        <v>749</v>
      </c>
      <c r="C75" t="s">
        <v>1542</v>
      </c>
      <c r="D75" s="32">
        <v>45840</v>
      </c>
      <c r="E75" t="s">
        <v>1484</v>
      </c>
      <c r="F75" t="str">
        <f>VLOOKUP(B75,'Agent wise'!A:E,5,0)</f>
        <v>Wireless</v>
      </c>
      <c r="G75" s="32">
        <v>45931</v>
      </c>
      <c r="H75">
        <f>COUNTIFS('Audit Raw data'!J:J,B:B,'Audit Raw data'!E:E,G:G)</f>
        <v>0</v>
      </c>
      <c r="I75" s="44" t="str">
        <f>IFERROR((SUMIFS('Audit Raw data'!BZ:BZ,'Audit Raw data'!J:J,B:B,'Audit Raw data'!E:E,G:G)/H75)/100,"-")</f>
        <v>-</v>
      </c>
      <c r="J75">
        <f>COUNTIFS('Audit Raw data'!AM:AM,"Yes",'Audit Raw data'!J:J,B:B,'Audit Raw data'!E:E,'Day wise agent'!G:G)</f>
        <v>0</v>
      </c>
      <c r="K75">
        <f>COUNTIFS('Audit Raw data'!AM:AM,"NO",'Audit Raw data'!J:J,B:B,'Audit Raw data'!E:E,'Day wise agent'!G:G)</f>
        <v>0</v>
      </c>
      <c r="L75" s="12" t="str">
        <f t="shared" si="3"/>
        <v xml:space="preserve"> </v>
      </c>
    </row>
    <row r="76" spans="1:12" x14ac:dyDescent="0.35">
      <c r="A76" t="str">
        <f t="shared" si="2"/>
        <v>VPS20645931</v>
      </c>
      <c r="B76" t="s">
        <v>427</v>
      </c>
      <c r="C76" t="s">
        <v>1541</v>
      </c>
      <c r="D76" s="32">
        <v>45840</v>
      </c>
      <c r="E76" t="s">
        <v>107</v>
      </c>
      <c r="F76" t="str">
        <f>VLOOKUP(B76,'Agent wise'!A:E,5,0)</f>
        <v>Wireless</v>
      </c>
      <c r="G76" s="32">
        <v>45931</v>
      </c>
      <c r="H76">
        <f>COUNTIFS('Audit Raw data'!J:J,B:B,'Audit Raw data'!E:E,G:G)</f>
        <v>0</v>
      </c>
      <c r="I76" s="44" t="str">
        <f>IFERROR((SUMIFS('Audit Raw data'!BZ:BZ,'Audit Raw data'!J:J,B:B,'Audit Raw data'!E:E,G:G)/H76)/100,"-")</f>
        <v>-</v>
      </c>
      <c r="J76">
        <f>COUNTIFS('Audit Raw data'!AM:AM,"Yes",'Audit Raw data'!J:J,B:B,'Audit Raw data'!E:E,'Day wise agent'!G:G)</f>
        <v>0</v>
      </c>
      <c r="K76">
        <f>COUNTIFS('Audit Raw data'!AM:AM,"NO",'Audit Raw data'!J:J,B:B,'Audit Raw data'!E:E,'Day wise agent'!G:G)</f>
        <v>0</v>
      </c>
      <c r="L76" s="12" t="str">
        <f t="shared" si="3"/>
        <v xml:space="preserve"> </v>
      </c>
    </row>
    <row r="77" spans="1:12" x14ac:dyDescent="0.35">
      <c r="A77" t="str">
        <f t="shared" si="2"/>
        <v>VPS20945931</v>
      </c>
      <c r="B77" t="s">
        <v>528</v>
      </c>
      <c r="C77" t="s">
        <v>1543</v>
      </c>
      <c r="D77" s="32">
        <v>45856</v>
      </c>
      <c r="E77" t="s">
        <v>178</v>
      </c>
      <c r="F77" t="str">
        <f>VLOOKUP(B77,'Agent wise'!A:E,5,0)</f>
        <v>Wireless</v>
      </c>
      <c r="G77" s="32">
        <v>45931</v>
      </c>
      <c r="H77">
        <f>COUNTIFS('Audit Raw data'!J:J,B:B,'Audit Raw data'!E:E,G:G)</f>
        <v>0</v>
      </c>
      <c r="I77" s="44" t="str">
        <f>IFERROR((SUMIFS('Audit Raw data'!BZ:BZ,'Audit Raw data'!J:J,B:B,'Audit Raw data'!E:E,G:G)/H77)/100,"-")</f>
        <v>-</v>
      </c>
      <c r="J77">
        <f>COUNTIFS('Audit Raw data'!AM:AM,"Yes",'Audit Raw data'!J:J,B:B,'Audit Raw data'!E:E,'Day wise agent'!G:G)</f>
        <v>0</v>
      </c>
      <c r="K77">
        <f>COUNTIFS('Audit Raw data'!AM:AM,"NO",'Audit Raw data'!J:J,B:B,'Audit Raw data'!E:E,'Day wise agent'!G:G)</f>
        <v>0</v>
      </c>
      <c r="L77" s="12" t="str">
        <f t="shared" si="3"/>
        <v xml:space="preserve"> </v>
      </c>
    </row>
    <row r="78" spans="1:12" x14ac:dyDescent="0.35">
      <c r="A78" t="str">
        <f t="shared" si="2"/>
        <v>VPS21045931</v>
      </c>
      <c r="B78" t="s">
        <v>589</v>
      </c>
      <c r="C78" t="s">
        <v>1544</v>
      </c>
      <c r="D78" s="32">
        <v>45856</v>
      </c>
      <c r="E78" t="s">
        <v>107</v>
      </c>
      <c r="F78" t="str">
        <f>VLOOKUP(B78,'Agent wise'!A:E,5,0)</f>
        <v>Wireless</v>
      </c>
      <c r="G78" s="32">
        <v>45931</v>
      </c>
      <c r="H78">
        <f>COUNTIFS('Audit Raw data'!J:J,B:B,'Audit Raw data'!E:E,G:G)</f>
        <v>0</v>
      </c>
      <c r="I78" s="44" t="str">
        <f>IFERROR((SUMIFS('Audit Raw data'!BZ:BZ,'Audit Raw data'!J:J,B:B,'Audit Raw data'!E:E,G:G)/H78)/100,"-")</f>
        <v>-</v>
      </c>
      <c r="J78">
        <f>COUNTIFS('Audit Raw data'!AM:AM,"Yes",'Audit Raw data'!J:J,B:B,'Audit Raw data'!E:E,'Day wise agent'!G:G)</f>
        <v>0</v>
      </c>
      <c r="K78">
        <f>COUNTIFS('Audit Raw data'!AM:AM,"NO",'Audit Raw data'!J:J,B:B,'Audit Raw data'!E:E,'Day wise agent'!G:G)</f>
        <v>0</v>
      </c>
      <c r="L78" s="12" t="str">
        <f t="shared" si="3"/>
        <v xml:space="preserve"> </v>
      </c>
    </row>
    <row r="79" spans="1:12" x14ac:dyDescent="0.35">
      <c r="A79" t="str">
        <f t="shared" si="2"/>
        <v>VPS21145931</v>
      </c>
      <c r="B79" t="s">
        <v>367</v>
      </c>
      <c r="C79" t="s">
        <v>1545</v>
      </c>
      <c r="D79" s="32">
        <v>45855</v>
      </c>
      <c r="E79" t="s">
        <v>1453</v>
      </c>
      <c r="F79" t="str">
        <f>VLOOKUP(B79,'Agent wise'!A:E,5,0)</f>
        <v>Wireless</v>
      </c>
      <c r="G79" s="32">
        <v>45931</v>
      </c>
      <c r="H79">
        <f>COUNTIFS('Audit Raw data'!J:J,B:B,'Audit Raw data'!E:E,G:G)</f>
        <v>0</v>
      </c>
      <c r="I79" s="44" t="str">
        <f>IFERROR((SUMIFS('Audit Raw data'!BZ:BZ,'Audit Raw data'!J:J,B:B,'Audit Raw data'!E:E,G:G)/H79)/100,"-")</f>
        <v>-</v>
      </c>
      <c r="J79">
        <f>COUNTIFS('Audit Raw data'!AM:AM,"Yes",'Audit Raw data'!J:J,B:B,'Audit Raw data'!E:E,'Day wise agent'!G:G)</f>
        <v>0</v>
      </c>
      <c r="K79">
        <f>COUNTIFS('Audit Raw data'!AM:AM,"NO",'Audit Raw data'!J:J,B:B,'Audit Raw data'!E:E,'Day wise agent'!G:G)</f>
        <v>0</v>
      </c>
      <c r="L79" s="12" t="str">
        <f t="shared" si="3"/>
        <v xml:space="preserve"> </v>
      </c>
    </row>
    <row r="80" spans="1:12" x14ac:dyDescent="0.35">
      <c r="A80" t="str">
        <f t="shared" si="2"/>
        <v>VPS21345931</v>
      </c>
      <c r="B80" t="s">
        <v>493</v>
      </c>
      <c r="C80" t="s">
        <v>1546</v>
      </c>
      <c r="D80" s="32">
        <v>45856</v>
      </c>
      <c r="E80" t="s">
        <v>1453</v>
      </c>
      <c r="F80" t="str">
        <f>VLOOKUP(B80,'Agent wise'!A:E,5,0)</f>
        <v>Wireless</v>
      </c>
      <c r="G80" s="32">
        <v>45931</v>
      </c>
      <c r="H80">
        <f>COUNTIFS('Audit Raw data'!J:J,B:B,'Audit Raw data'!E:E,G:G)</f>
        <v>0</v>
      </c>
      <c r="I80" s="44" t="str">
        <f>IFERROR((SUMIFS('Audit Raw data'!BZ:BZ,'Audit Raw data'!J:J,B:B,'Audit Raw data'!E:E,G:G)/H80)/100,"-")</f>
        <v>-</v>
      </c>
      <c r="J80">
        <f>COUNTIFS('Audit Raw data'!AM:AM,"Yes",'Audit Raw data'!J:J,B:B,'Audit Raw data'!E:E,'Day wise agent'!G:G)</f>
        <v>0</v>
      </c>
      <c r="K80">
        <f>COUNTIFS('Audit Raw data'!AM:AM,"NO",'Audit Raw data'!J:J,B:B,'Audit Raw data'!E:E,'Day wise agent'!G:G)</f>
        <v>0</v>
      </c>
      <c r="L80" s="12" t="str">
        <f t="shared" si="3"/>
        <v xml:space="preserve"> </v>
      </c>
    </row>
    <row r="81" spans="1:12" x14ac:dyDescent="0.35">
      <c r="A81" t="str">
        <f t="shared" si="2"/>
        <v>VPS21445931</v>
      </c>
      <c r="B81" t="s">
        <v>480</v>
      </c>
      <c r="C81" t="s">
        <v>1547</v>
      </c>
      <c r="D81" s="32">
        <v>45855</v>
      </c>
      <c r="E81" t="s">
        <v>107</v>
      </c>
      <c r="F81" t="str">
        <f>VLOOKUP(B81,'Agent wise'!A:E,5,0)</f>
        <v>Wireless</v>
      </c>
      <c r="G81" s="32">
        <v>45931</v>
      </c>
      <c r="H81">
        <f>COUNTIFS('Audit Raw data'!J:J,B:B,'Audit Raw data'!E:E,G:G)</f>
        <v>0</v>
      </c>
      <c r="I81" s="44" t="str">
        <f>IFERROR((SUMIFS('Audit Raw data'!BZ:BZ,'Audit Raw data'!J:J,B:B,'Audit Raw data'!E:E,G:G)/H81)/100,"-")</f>
        <v>-</v>
      </c>
      <c r="J81">
        <f>COUNTIFS('Audit Raw data'!AM:AM,"Yes",'Audit Raw data'!J:J,B:B,'Audit Raw data'!E:E,'Day wise agent'!G:G)</f>
        <v>0</v>
      </c>
      <c r="K81">
        <f>COUNTIFS('Audit Raw data'!AM:AM,"NO",'Audit Raw data'!J:J,B:B,'Audit Raw data'!E:E,'Day wise agent'!G:G)</f>
        <v>0</v>
      </c>
      <c r="L81" s="12" t="str">
        <f t="shared" si="3"/>
        <v xml:space="preserve"> </v>
      </c>
    </row>
    <row r="82" spans="1:12" x14ac:dyDescent="0.35">
      <c r="A82" t="str">
        <f t="shared" si="2"/>
        <v>VPS21545931</v>
      </c>
      <c r="B82" t="s">
        <v>521</v>
      </c>
      <c r="C82" t="s">
        <v>1548</v>
      </c>
      <c r="D82" s="32">
        <v>45865</v>
      </c>
      <c r="E82" t="s">
        <v>178</v>
      </c>
      <c r="F82" t="str">
        <f>VLOOKUP(B82,'Agent wise'!A:E,5,0)</f>
        <v>Wireless</v>
      </c>
      <c r="G82" s="32">
        <v>45931</v>
      </c>
      <c r="H82">
        <f>COUNTIFS('Audit Raw data'!J:J,B:B,'Audit Raw data'!E:E,G:G)</f>
        <v>0</v>
      </c>
      <c r="I82" s="44" t="str">
        <f>IFERROR((SUMIFS('Audit Raw data'!BZ:BZ,'Audit Raw data'!J:J,B:B,'Audit Raw data'!E:E,G:G)/H82)/100,"-")</f>
        <v>-</v>
      </c>
      <c r="J82">
        <f>COUNTIFS('Audit Raw data'!AM:AM,"Yes",'Audit Raw data'!J:J,B:B,'Audit Raw data'!E:E,'Day wise agent'!G:G)</f>
        <v>0</v>
      </c>
      <c r="K82">
        <f>COUNTIFS('Audit Raw data'!AM:AM,"NO",'Audit Raw data'!J:J,B:B,'Audit Raw data'!E:E,'Day wise agent'!G:G)</f>
        <v>0</v>
      </c>
      <c r="L82" s="12" t="str">
        <f t="shared" si="3"/>
        <v xml:space="preserve"> </v>
      </c>
    </row>
    <row r="83" spans="1:12" x14ac:dyDescent="0.35">
      <c r="A83" t="str">
        <f t="shared" si="2"/>
        <v>VPS21645931</v>
      </c>
      <c r="B83" t="s">
        <v>154</v>
      </c>
      <c r="C83" t="s">
        <v>1549</v>
      </c>
      <c r="D83" s="32">
        <v>45865</v>
      </c>
      <c r="E83" t="s">
        <v>107</v>
      </c>
      <c r="F83" t="str">
        <f>VLOOKUP(B83,'Agent wise'!A:E,5,0)</f>
        <v>Wireless</v>
      </c>
      <c r="G83" s="32">
        <v>45931</v>
      </c>
      <c r="H83">
        <f>COUNTIFS('Audit Raw data'!J:J,B:B,'Audit Raw data'!E:E,G:G)</f>
        <v>1</v>
      </c>
      <c r="I83" s="44">
        <f>IFERROR((SUMIFS('Audit Raw data'!BZ:BZ,'Audit Raw data'!J:J,B:B,'Audit Raw data'!E:E,G:G)/H83)/100,"-")</f>
        <v>0.8</v>
      </c>
      <c r="J83">
        <f>COUNTIFS('Audit Raw data'!AM:AM,"Yes",'Audit Raw data'!J:J,B:B,'Audit Raw data'!E:E,'Day wise agent'!G:G)</f>
        <v>1</v>
      </c>
      <c r="K83">
        <f>COUNTIFS('Audit Raw data'!AM:AM,"NO",'Audit Raw data'!J:J,B:B,'Audit Raw data'!E:E,'Day wise agent'!G:G)</f>
        <v>0</v>
      </c>
      <c r="L83" s="12">
        <f t="shared" si="3"/>
        <v>1</v>
      </c>
    </row>
    <row r="84" spans="1:12" x14ac:dyDescent="0.35">
      <c r="A84" t="str">
        <f t="shared" si="2"/>
        <v>VPS21745931</v>
      </c>
      <c r="B84" t="s">
        <v>519</v>
      </c>
      <c r="C84" t="s">
        <v>1550</v>
      </c>
      <c r="D84" s="32">
        <v>45865</v>
      </c>
      <c r="E84" t="s">
        <v>178</v>
      </c>
      <c r="F84" t="str">
        <f>VLOOKUP(B84,'Agent wise'!A:E,5,0)</f>
        <v>Wireless</v>
      </c>
      <c r="G84" s="32">
        <v>45931</v>
      </c>
      <c r="H84">
        <f>COUNTIFS('Audit Raw data'!J:J,B:B,'Audit Raw data'!E:E,G:G)</f>
        <v>0</v>
      </c>
      <c r="I84" s="44" t="str">
        <f>IFERROR((SUMIFS('Audit Raw data'!BZ:BZ,'Audit Raw data'!J:J,B:B,'Audit Raw data'!E:E,G:G)/H84)/100,"-")</f>
        <v>-</v>
      </c>
      <c r="J84">
        <f>COUNTIFS('Audit Raw data'!AM:AM,"Yes",'Audit Raw data'!J:J,B:B,'Audit Raw data'!E:E,'Day wise agent'!G:G)</f>
        <v>0</v>
      </c>
      <c r="K84">
        <f>COUNTIFS('Audit Raw data'!AM:AM,"NO",'Audit Raw data'!J:J,B:B,'Audit Raw data'!E:E,'Day wise agent'!G:G)</f>
        <v>0</v>
      </c>
      <c r="L84" s="12" t="str">
        <f t="shared" si="3"/>
        <v xml:space="preserve"> </v>
      </c>
    </row>
    <row r="85" spans="1:12" x14ac:dyDescent="0.35">
      <c r="A85" t="str">
        <f t="shared" si="2"/>
        <v>VPS22845931</v>
      </c>
      <c r="B85" t="s">
        <v>341</v>
      </c>
      <c r="C85" t="s">
        <v>1551</v>
      </c>
      <c r="D85" s="32">
        <v>45881</v>
      </c>
      <c r="E85" t="s">
        <v>178</v>
      </c>
      <c r="F85" t="str">
        <f>VLOOKUP(B85,'Agent wise'!A:E,5,0)</f>
        <v>Wireless</v>
      </c>
      <c r="G85" s="32">
        <v>45931</v>
      </c>
      <c r="H85">
        <f>COUNTIFS('Audit Raw data'!J:J,B:B,'Audit Raw data'!E:E,G:G)</f>
        <v>0</v>
      </c>
      <c r="I85" s="44" t="str">
        <f>IFERROR((SUMIFS('Audit Raw data'!BZ:BZ,'Audit Raw data'!J:J,B:B,'Audit Raw data'!E:E,G:G)/H85)/100,"-")</f>
        <v>-</v>
      </c>
      <c r="J85">
        <f>COUNTIFS('Audit Raw data'!AM:AM,"Yes",'Audit Raw data'!J:J,B:B,'Audit Raw data'!E:E,'Day wise agent'!G:G)</f>
        <v>0</v>
      </c>
      <c r="K85">
        <f>COUNTIFS('Audit Raw data'!AM:AM,"NO",'Audit Raw data'!J:J,B:B,'Audit Raw data'!E:E,'Day wise agent'!G:G)</f>
        <v>0</v>
      </c>
      <c r="L85" s="12" t="str">
        <f t="shared" si="3"/>
        <v xml:space="preserve"> </v>
      </c>
    </row>
    <row r="86" spans="1:12" x14ac:dyDescent="0.35">
      <c r="A86" t="str">
        <f t="shared" si="2"/>
        <v>VPS22945931</v>
      </c>
      <c r="B86" t="s">
        <v>173</v>
      </c>
      <c r="C86" t="s">
        <v>1552</v>
      </c>
      <c r="D86" s="32">
        <v>45880</v>
      </c>
      <c r="E86" t="s">
        <v>107</v>
      </c>
      <c r="F86" t="str">
        <f>VLOOKUP(B86,'Agent wise'!A:E,5,0)</f>
        <v>Wireless</v>
      </c>
      <c r="G86" s="32">
        <v>45931</v>
      </c>
      <c r="H86">
        <f>COUNTIFS('Audit Raw data'!J:J,B:B,'Audit Raw data'!E:E,G:G)</f>
        <v>1</v>
      </c>
      <c r="I86" s="44">
        <f>IFERROR((SUMIFS('Audit Raw data'!BZ:BZ,'Audit Raw data'!J:J,B:B,'Audit Raw data'!E:E,G:G)/H86)/100,"-")</f>
        <v>0.86</v>
      </c>
      <c r="J86">
        <f>COUNTIFS('Audit Raw data'!AM:AM,"Yes",'Audit Raw data'!J:J,B:B,'Audit Raw data'!E:E,'Day wise agent'!G:G)</f>
        <v>1</v>
      </c>
      <c r="K86">
        <f>COUNTIFS('Audit Raw data'!AM:AM,"NO",'Audit Raw data'!J:J,B:B,'Audit Raw data'!E:E,'Day wise agent'!G:G)</f>
        <v>0</v>
      </c>
      <c r="L86" s="12">
        <f t="shared" si="3"/>
        <v>1</v>
      </c>
    </row>
    <row r="87" spans="1:12" x14ac:dyDescent="0.35">
      <c r="A87" t="str">
        <f t="shared" si="2"/>
        <v>VPS23045931</v>
      </c>
      <c r="B87" t="s">
        <v>335</v>
      </c>
      <c r="C87" t="s">
        <v>1553</v>
      </c>
      <c r="D87" s="32">
        <v>45880</v>
      </c>
      <c r="E87" t="s">
        <v>1484</v>
      </c>
      <c r="F87" t="str">
        <f>VLOOKUP(B87,'Agent wise'!A:E,5,0)</f>
        <v>Wireless</v>
      </c>
      <c r="G87" s="32">
        <v>45931</v>
      </c>
      <c r="H87">
        <f>COUNTIFS('Audit Raw data'!J:J,B:B,'Audit Raw data'!E:E,G:G)</f>
        <v>0</v>
      </c>
      <c r="I87" s="44" t="str">
        <f>IFERROR((SUMIFS('Audit Raw data'!BZ:BZ,'Audit Raw data'!J:J,B:B,'Audit Raw data'!E:E,G:G)/H87)/100,"-")</f>
        <v>-</v>
      </c>
      <c r="J87">
        <f>COUNTIFS('Audit Raw data'!AM:AM,"Yes",'Audit Raw data'!J:J,B:B,'Audit Raw data'!E:E,'Day wise agent'!G:G)</f>
        <v>0</v>
      </c>
      <c r="K87">
        <f>COUNTIFS('Audit Raw data'!AM:AM,"NO",'Audit Raw data'!J:J,B:B,'Audit Raw data'!E:E,'Day wise agent'!G:G)</f>
        <v>0</v>
      </c>
      <c r="L87" s="12" t="str">
        <f t="shared" si="3"/>
        <v xml:space="preserve"> </v>
      </c>
    </row>
    <row r="88" spans="1:12" x14ac:dyDescent="0.35">
      <c r="A88" t="str">
        <f t="shared" si="2"/>
        <v>VPS23545931</v>
      </c>
      <c r="B88" t="s">
        <v>317</v>
      </c>
      <c r="C88" t="s">
        <v>1554</v>
      </c>
      <c r="D88" s="32">
        <v>45897</v>
      </c>
      <c r="E88" t="s">
        <v>178</v>
      </c>
      <c r="F88" t="str">
        <f>VLOOKUP(B88,'Agent wise'!A:E,5,0)</f>
        <v>Wireless</v>
      </c>
      <c r="G88" s="32">
        <v>45931</v>
      </c>
      <c r="H88">
        <f>COUNTIFS('Audit Raw data'!J:J,B:B,'Audit Raw data'!E:E,G:G)</f>
        <v>0</v>
      </c>
      <c r="I88" s="44" t="str">
        <f>IFERROR((SUMIFS('Audit Raw data'!BZ:BZ,'Audit Raw data'!J:J,B:B,'Audit Raw data'!E:E,G:G)/H88)/100,"-")</f>
        <v>-</v>
      </c>
      <c r="J88">
        <f>COUNTIFS('Audit Raw data'!AM:AM,"Yes",'Audit Raw data'!J:J,B:B,'Audit Raw data'!E:E,'Day wise agent'!G:G)</f>
        <v>0</v>
      </c>
      <c r="K88">
        <f>COUNTIFS('Audit Raw data'!AM:AM,"NO",'Audit Raw data'!J:J,B:B,'Audit Raw data'!E:E,'Day wise agent'!G:G)</f>
        <v>0</v>
      </c>
      <c r="L88" s="12" t="str">
        <f t="shared" si="3"/>
        <v xml:space="preserve"> </v>
      </c>
    </row>
    <row r="89" spans="1:12" x14ac:dyDescent="0.35">
      <c r="A89" t="str">
        <f t="shared" si="2"/>
        <v>VPS23645931</v>
      </c>
      <c r="B89" t="s">
        <v>370</v>
      </c>
      <c r="C89" t="s">
        <v>1555</v>
      </c>
      <c r="D89" s="32">
        <v>45897</v>
      </c>
      <c r="E89" t="s">
        <v>1453</v>
      </c>
      <c r="F89" t="str">
        <f>VLOOKUP(B89,'Agent wise'!A:E,5,0)</f>
        <v>Wireless</v>
      </c>
      <c r="G89" s="32">
        <v>45931</v>
      </c>
      <c r="H89">
        <f>COUNTIFS('Audit Raw data'!J:J,B:B,'Audit Raw data'!E:E,G:G)</f>
        <v>0</v>
      </c>
      <c r="I89" s="44" t="str">
        <f>IFERROR((SUMIFS('Audit Raw data'!BZ:BZ,'Audit Raw data'!J:J,B:B,'Audit Raw data'!E:E,G:G)/H89)/100,"-")</f>
        <v>-</v>
      </c>
      <c r="J89">
        <f>COUNTIFS('Audit Raw data'!AM:AM,"Yes",'Audit Raw data'!J:J,B:B,'Audit Raw data'!E:E,'Day wise agent'!G:G)</f>
        <v>0</v>
      </c>
      <c r="K89">
        <f>COUNTIFS('Audit Raw data'!AM:AM,"NO",'Audit Raw data'!J:J,B:B,'Audit Raw data'!E:E,'Day wise agent'!G:G)</f>
        <v>0</v>
      </c>
      <c r="L89" s="12" t="str">
        <f t="shared" si="3"/>
        <v xml:space="preserve"> </v>
      </c>
    </row>
    <row r="90" spans="1:12" x14ac:dyDescent="0.35">
      <c r="A90" t="str">
        <f t="shared" si="2"/>
        <v>VPS23745931</v>
      </c>
      <c r="B90" t="s">
        <v>159</v>
      </c>
      <c r="C90" t="s">
        <v>1556</v>
      </c>
      <c r="D90" s="32">
        <v>45897</v>
      </c>
      <c r="E90" t="s">
        <v>107</v>
      </c>
      <c r="F90" t="str">
        <f>VLOOKUP(B90,'Agent wise'!A:E,5,0)</f>
        <v>Wireless</v>
      </c>
      <c r="G90" s="32">
        <v>45931</v>
      </c>
      <c r="H90">
        <f>COUNTIFS('Audit Raw data'!J:J,B:B,'Audit Raw data'!E:E,G:G)</f>
        <v>1</v>
      </c>
      <c r="I90" s="44">
        <f>IFERROR((SUMIFS('Audit Raw data'!BZ:BZ,'Audit Raw data'!J:J,B:B,'Audit Raw data'!E:E,G:G)/H90)/100,"-")</f>
        <v>0.86</v>
      </c>
      <c r="J90">
        <f>COUNTIFS('Audit Raw data'!AM:AM,"Yes",'Audit Raw data'!J:J,B:B,'Audit Raw data'!E:E,'Day wise agent'!G:G)</f>
        <v>1</v>
      </c>
      <c r="K90">
        <f>COUNTIFS('Audit Raw data'!AM:AM,"NO",'Audit Raw data'!J:J,B:B,'Audit Raw data'!E:E,'Day wise agent'!G:G)</f>
        <v>0</v>
      </c>
      <c r="L90" s="12">
        <f t="shared" si="3"/>
        <v>1</v>
      </c>
    </row>
    <row r="91" spans="1:12" x14ac:dyDescent="0.35">
      <c r="A91" t="str">
        <f t="shared" si="2"/>
        <v>VPS23945931</v>
      </c>
      <c r="B91" t="s">
        <v>484</v>
      </c>
      <c r="C91" t="s">
        <v>1468</v>
      </c>
      <c r="D91" s="32">
        <v>44942</v>
      </c>
      <c r="E91" t="s">
        <v>178</v>
      </c>
      <c r="F91" t="str">
        <f>VLOOKUP(B91,'Agent wise'!A:E,5,0)</f>
        <v>Wireless</v>
      </c>
      <c r="G91" s="32">
        <v>45931</v>
      </c>
      <c r="H91">
        <f>COUNTIFS('Audit Raw data'!J:J,B:B,'Audit Raw data'!E:E,G:G)</f>
        <v>0</v>
      </c>
      <c r="I91" s="44" t="str">
        <f>IFERROR((SUMIFS('Audit Raw data'!BZ:BZ,'Audit Raw data'!J:J,B:B,'Audit Raw data'!E:E,G:G)/H91)/100,"-")</f>
        <v>-</v>
      </c>
      <c r="J91">
        <f>COUNTIFS('Audit Raw data'!AM:AM,"Yes",'Audit Raw data'!J:J,B:B,'Audit Raw data'!E:E,'Day wise agent'!G:G)</f>
        <v>0</v>
      </c>
      <c r="K91">
        <f>COUNTIFS('Audit Raw data'!AM:AM,"NO",'Audit Raw data'!J:J,B:B,'Audit Raw data'!E:E,'Day wise agent'!G:G)</f>
        <v>0</v>
      </c>
      <c r="L91" s="12" t="str">
        <f t="shared" si="3"/>
        <v xml:space="preserve"> </v>
      </c>
    </row>
    <row r="92" spans="1:12" x14ac:dyDescent="0.35">
      <c r="A92" t="str">
        <f t="shared" si="2"/>
        <v>VPS24045931</v>
      </c>
      <c r="B92" t="s">
        <v>291</v>
      </c>
      <c r="C92" t="s">
        <v>1557</v>
      </c>
      <c r="D92" s="32">
        <v>45907</v>
      </c>
      <c r="E92" t="s">
        <v>1484</v>
      </c>
      <c r="F92" t="str">
        <f>VLOOKUP(B92,'Agent wise'!A:E,5,0)</f>
        <v>Wireless</v>
      </c>
      <c r="G92" s="32">
        <v>45931</v>
      </c>
      <c r="H92">
        <f>COUNTIFS('Audit Raw data'!J:J,B:B,'Audit Raw data'!E:E,G:G)</f>
        <v>0</v>
      </c>
      <c r="I92" s="44" t="str">
        <f>IFERROR((SUMIFS('Audit Raw data'!BZ:BZ,'Audit Raw data'!J:J,B:B,'Audit Raw data'!E:E,G:G)/H92)/100,"-")</f>
        <v>-</v>
      </c>
      <c r="J92">
        <f>COUNTIFS('Audit Raw data'!AM:AM,"Yes",'Audit Raw data'!J:J,B:B,'Audit Raw data'!E:E,'Day wise agent'!G:G)</f>
        <v>0</v>
      </c>
      <c r="K92">
        <f>COUNTIFS('Audit Raw data'!AM:AM,"NO",'Audit Raw data'!J:J,B:B,'Audit Raw data'!E:E,'Day wise agent'!G:G)</f>
        <v>0</v>
      </c>
      <c r="L92" s="12" t="str">
        <f t="shared" si="3"/>
        <v xml:space="preserve"> </v>
      </c>
    </row>
    <row r="93" spans="1:12" x14ac:dyDescent="0.35">
      <c r="A93" t="str">
        <f t="shared" si="2"/>
        <v>VPS24245931</v>
      </c>
      <c r="B93" t="s">
        <v>326</v>
      </c>
      <c r="C93" t="s">
        <v>1510</v>
      </c>
      <c r="D93" s="32">
        <v>45908</v>
      </c>
      <c r="E93" t="s">
        <v>1453</v>
      </c>
      <c r="F93" t="str">
        <f>VLOOKUP(B93,'Agent wise'!A:E,5,0)</f>
        <v>Wireless</v>
      </c>
      <c r="G93" s="32">
        <v>45931</v>
      </c>
      <c r="H93">
        <f>COUNTIFS('Audit Raw data'!J:J,B:B,'Audit Raw data'!E:E,G:G)</f>
        <v>0</v>
      </c>
      <c r="I93" s="44" t="str">
        <f>IFERROR((SUMIFS('Audit Raw data'!BZ:BZ,'Audit Raw data'!J:J,B:B,'Audit Raw data'!E:E,G:G)/H93)/100,"-")</f>
        <v>-</v>
      </c>
      <c r="J93">
        <f>COUNTIFS('Audit Raw data'!AM:AM,"Yes",'Audit Raw data'!J:J,B:B,'Audit Raw data'!E:E,'Day wise agent'!G:G)</f>
        <v>0</v>
      </c>
      <c r="K93">
        <f>COUNTIFS('Audit Raw data'!AM:AM,"NO",'Audit Raw data'!J:J,B:B,'Audit Raw data'!E:E,'Day wise agent'!G:G)</f>
        <v>0</v>
      </c>
      <c r="L93" s="12" t="str">
        <f t="shared" si="3"/>
        <v xml:space="preserve"> </v>
      </c>
    </row>
    <row r="94" spans="1:12" x14ac:dyDescent="0.35">
      <c r="A94" t="str">
        <f t="shared" si="2"/>
        <v>VPS24345931</v>
      </c>
      <c r="B94" t="s">
        <v>321</v>
      </c>
      <c r="C94" t="s">
        <v>1558</v>
      </c>
      <c r="D94" s="32">
        <v>45907</v>
      </c>
      <c r="E94" t="s">
        <v>1453</v>
      </c>
      <c r="F94" t="str">
        <f>VLOOKUP(B94,'Agent wise'!A:E,5,0)</f>
        <v>Wireless</v>
      </c>
      <c r="G94" s="32">
        <v>45931</v>
      </c>
      <c r="H94">
        <f>COUNTIFS('Audit Raw data'!J:J,B:B,'Audit Raw data'!E:E,G:G)</f>
        <v>0</v>
      </c>
      <c r="I94" s="44" t="str">
        <f>IFERROR((SUMIFS('Audit Raw data'!BZ:BZ,'Audit Raw data'!J:J,B:B,'Audit Raw data'!E:E,G:G)/H94)/100,"-")</f>
        <v>-</v>
      </c>
      <c r="J94">
        <f>COUNTIFS('Audit Raw data'!AM:AM,"Yes",'Audit Raw data'!J:J,B:B,'Audit Raw data'!E:E,'Day wise agent'!G:G)</f>
        <v>0</v>
      </c>
      <c r="K94">
        <f>COUNTIFS('Audit Raw data'!AM:AM,"NO",'Audit Raw data'!J:J,B:B,'Audit Raw data'!E:E,'Day wise agent'!G:G)</f>
        <v>0</v>
      </c>
      <c r="L94" s="12" t="str">
        <f t="shared" si="3"/>
        <v xml:space="preserve"> </v>
      </c>
    </row>
    <row r="95" spans="1:12" x14ac:dyDescent="0.35">
      <c r="A95" t="str">
        <f t="shared" si="2"/>
        <v>VPS24445931</v>
      </c>
      <c r="B95" t="s">
        <v>288</v>
      </c>
      <c r="C95" t="s">
        <v>1559</v>
      </c>
      <c r="D95" s="32">
        <v>45907</v>
      </c>
      <c r="E95" t="s">
        <v>107</v>
      </c>
      <c r="F95" t="str">
        <f>VLOOKUP(B95,'Agent wise'!A:E,5,0)</f>
        <v>Wireless</v>
      </c>
      <c r="G95" s="32">
        <v>45931</v>
      </c>
      <c r="H95">
        <f>COUNTIFS('Audit Raw data'!J:J,B:B,'Audit Raw data'!E:E,G:G)</f>
        <v>0</v>
      </c>
      <c r="I95" s="44" t="str">
        <f>IFERROR((SUMIFS('Audit Raw data'!BZ:BZ,'Audit Raw data'!J:J,B:B,'Audit Raw data'!E:E,G:G)/H95)/100,"-")</f>
        <v>-</v>
      </c>
      <c r="J95">
        <f>COUNTIFS('Audit Raw data'!AM:AM,"Yes",'Audit Raw data'!J:J,B:B,'Audit Raw data'!E:E,'Day wise agent'!G:G)</f>
        <v>0</v>
      </c>
      <c r="K95">
        <f>COUNTIFS('Audit Raw data'!AM:AM,"NO",'Audit Raw data'!J:J,B:B,'Audit Raw data'!E:E,'Day wise agent'!G:G)</f>
        <v>0</v>
      </c>
      <c r="L95" s="12" t="str">
        <f t="shared" si="3"/>
        <v xml:space="preserve"> </v>
      </c>
    </row>
    <row r="96" spans="1:12" x14ac:dyDescent="0.35">
      <c r="A96" t="str">
        <f t="shared" si="2"/>
        <v>VPS24545931</v>
      </c>
      <c r="B96" t="s">
        <v>873</v>
      </c>
      <c r="C96" t="s">
        <v>1560</v>
      </c>
      <c r="D96" s="32">
        <v>45908</v>
      </c>
      <c r="E96" t="s">
        <v>1484</v>
      </c>
      <c r="F96" t="str">
        <f>VLOOKUP(B96,'Agent wise'!A:E,5,0)</f>
        <v>Wireless</v>
      </c>
      <c r="G96" s="32">
        <v>45931</v>
      </c>
      <c r="H96">
        <f>COUNTIFS('Audit Raw data'!J:J,B:B,'Audit Raw data'!E:E,G:G)</f>
        <v>0</v>
      </c>
      <c r="I96" s="44" t="str">
        <f>IFERROR((SUMIFS('Audit Raw data'!BZ:BZ,'Audit Raw data'!J:J,B:B,'Audit Raw data'!E:E,G:G)/H96)/100,"-")</f>
        <v>-</v>
      </c>
      <c r="J96">
        <f>COUNTIFS('Audit Raw data'!AM:AM,"Yes",'Audit Raw data'!J:J,B:B,'Audit Raw data'!E:E,'Day wise agent'!G:G)</f>
        <v>0</v>
      </c>
      <c r="K96">
        <f>COUNTIFS('Audit Raw data'!AM:AM,"NO",'Audit Raw data'!J:J,B:B,'Audit Raw data'!E:E,'Day wise agent'!G:G)</f>
        <v>0</v>
      </c>
      <c r="L96" s="12" t="str">
        <f t="shared" si="3"/>
        <v xml:space="preserve"> </v>
      </c>
    </row>
    <row r="97" spans="1:12" x14ac:dyDescent="0.35">
      <c r="A97" t="str">
        <f t="shared" si="2"/>
        <v>VPS24745931</v>
      </c>
      <c r="B97" t="s">
        <v>238</v>
      </c>
      <c r="C97" t="s">
        <v>1561</v>
      </c>
      <c r="D97" s="32">
        <v>45907</v>
      </c>
      <c r="E97" t="s">
        <v>1484</v>
      </c>
      <c r="F97" t="str">
        <f>VLOOKUP(B97,'Agent wise'!A:E,5,0)</f>
        <v>Wireless</v>
      </c>
      <c r="G97" s="32">
        <v>45931</v>
      </c>
      <c r="H97">
        <f>COUNTIFS('Audit Raw data'!J:J,B:B,'Audit Raw data'!E:E,G:G)</f>
        <v>0</v>
      </c>
      <c r="I97" s="44" t="str">
        <f>IFERROR((SUMIFS('Audit Raw data'!BZ:BZ,'Audit Raw data'!J:J,B:B,'Audit Raw data'!E:E,G:G)/H97)/100,"-")</f>
        <v>-</v>
      </c>
      <c r="J97">
        <f>COUNTIFS('Audit Raw data'!AM:AM,"Yes",'Audit Raw data'!J:J,B:B,'Audit Raw data'!E:E,'Day wise agent'!G:G)</f>
        <v>0</v>
      </c>
      <c r="K97">
        <f>COUNTIFS('Audit Raw data'!AM:AM,"NO",'Audit Raw data'!J:J,B:B,'Audit Raw data'!E:E,'Day wise agent'!G:G)</f>
        <v>0</v>
      </c>
      <c r="L97" s="12" t="str">
        <f t="shared" si="3"/>
        <v xml:space="preserve"> </v>
      </c>
    </row>
    <row r="98" spans="1:12" x14ac:dyDescent="0.35">
      <c r="A98" t="str">
        <f t="shared" si="2"/>
        <v>VPS24845931</v>
      </c>
      <c r="B98" t="s">
        <v>231</v>
      </c>
      <c r="C98" t="s">
        <v>1562</v>
      </c>
      <c r="D98" s="32">
        <v>45908</v>
      </c>
      <c r="E98" t="s">
        <v>107</v>
      </c>
      <c r="F98" t="str">
        <f>VLOOKUP(B98,'Agent wise'!A:E,5,0)</f>
        <v>Wireless</v>
      </c>
      <c r="G98" s="32">
        <v>45931</v>
      </c>
      <c r="H98">
        <f>COUNTIFS('Audit Raw data'!J:J,B:B,'Audit Raw data'!E:E,G:G)</f>
        <v>0</v>
      </c>
      <c r="I98" s="44" t="str">
        <f>IFERROR((SUMIFS('Audit Raw data'!BZ:BZ,'Audit Raw data'!J:J,B:B,'Audit Raw data'!E:E,G:G)/H98)/100,"-")</f>
        <v>-</v>
      </c>
      <c r="J98">
        <f>COUNTIFS('Audit Raw data'!AM:AM,"Yes",'Audit Raw data'!J:J,B:B,'Audit Raw data'!E:E,'Day wise agent'!G:G)</f>
        <v>0</v>
      </c>
      <c r="K98">
        <f>COUNTIFS('Audit Raw data'!AM:AM,"NO",'Audit Raw data'!J:J,B:B,'Audit Raw data'!E:E,'Day wise agent'!G:G)</f>
        <v>0</v>
      </c>
      <c r="L98" s="12" t="str">
        <f t="shared" si="3"/>
        <v xml:space="preserve"> </v>
      </c>
    </row>
    <row r="99" spans="1:12" x14ac:dyDescent="0.35">
      <c r="A99" t="str">
        <f t="shared" si="2"/>
        <v>VPS24945931</v>
      </c>
      <c r="B99" t="s">
        <v>215</v>
      </c>
      <c r="C99" t="s">
        <v>1563</v>
      </c>
      <c r="D99" s="32">
        <v>45907</v>
      </c>
      <c r="E99" t="s">
        <v>178</v>
      </c>
      <c r="F99" t="str">
        <f>VLOOKUP(B99,'Agent wise'!A:E,5,0)</f>
        <v>Wireless</v>
      </c>
      <c r="G99" s="32">
        <v>45931</v>
      </c>
      <c r="H99">
        <f>COUNTIFS('Audit Raw data'!J:J,B:B,'Audit Raw data'!E:E,G:G)</f>
        <v>0</v>
      </c>
      <c r="I99" s="44" t="str">
        <f>IFERROR((SUMIFS('Audit Raw data'!BZ:BZ,'Audit Raw data'!J:J,B:B,'Audit Raw data'!E:E,G:G)/H99)/100,"-")</f>
        <v>-</v>
      </c>
      <c r="J99">
        <f>COUNTIFS('Audit Raw data'!AM:AM,"Yes",'Audit Raw data'!J:J,B:B,'Audit Raw data'!E:E,'Day wise agent'!G:G)</f>
        <v>0</v>
      </c>
      <c r="K99">
        <f>COUNTIFS('Audit Raw data'!AM:AM,"NO",'Audit Raw data'!J:J,B:B,'Audit Raw data'!E:E,'Day wise agent'!G:G)</f>
        <v>0</v>
      </c>
      <c r="L99" s="12" t="str">
        <f t="shared" si="3"/>
        <v xml:space="preserve"> </v>
      </c>
    </row>
    <row r="100" spans="1:12" x14ac:dyDescent="0.35">
      <c r="A100" t="str">
        <f t="shared" si="2"/>
        <v>VPS25145931</v>
      </c>
      <c r="B100" t="s">
        <v>168</v>
      </c>
      <c r="C100" t="s">
        <v>1564</v>
      </c>
      <c r="D100" s="32">
        <v>45907</v>
      </c>
      <c r="E100" t="s">
        <v>107</v>
      </c>
      <c r="F100" t="str">
        <f>VLOOKUP(B100,'Agent wise'!A:E,5,0)</f>
        <v>Wireless</v>
      </c>
      <c r="G100" s="32">
        <v>45931</v>
      </c>
      <c r="H100">
        <f>COUNTIFS('Audit Raw data'!J:J,B:B,'Audit Raw data'!E:E,G:G)</f>
        <v>1</v>
      </c>
      <c r="I100" s="44">
        <f>IFERROR((SUMIFS('Audit Raw data'!BZ:BZ,'Audit Raw data'!J:J,B:B,'Audit Raw data'!E:E,G:G)/H100)/100,"-")</f>
        <v>0.9</v>
      </c>
      <c r="J100">
        <f>COUNTIFS('Audit Raw data'!AM:AM,"Yes",'Audit Raw data'!J:J,B:B,'Audit Raw data'!E:E,'Day wise agent'!G:G)</f>
        <v>1</v>
      </c>
      <c r="K100">
        <f>COUNTIFS('Audit Raw data'!AM:AM,"NO",'Audit Raw data'!J:J,B:B,'Audit Raw data'!E:E,'Day wise agent'!G:G)</f>
        <v>0</v>
      </c>
      <c r="L100" s="12">
        <f t="shared" si="3"/>
        <v>1</v>
      </c>
    </row>
    <row r="101" spans="1:12" x14ac:dyDescent="0.35">
      <c r="A101" t="str">
        <f t="shared" si="2"/>
        <v>VPS25245931</v>
      </c>
      <c r="B101" t="s">
        <v>204</v>
      </c>
      <c r="C101" t="s">
        <v>1565</v>
      </c>
      <c r="D101" s="32">
        <v>45919</v>
      </c>
      <c r="E101" t="s">
        <v>1484</v>
      </c>
      <c r="F101" t="str">
        <f>VLOOKUP(B101,'Agent wise'!A:E,5,0)</f>
        <v>Wireless</v>
      </c>
      <c r="G101" s="32">
        <v>45931</v>
      </c>
      <c r="H101">
        <f>COUNTIFS('Audit Raw data'!J:J,B:B,'Audit Raw data'!E:E,G:G)</f>
        <v>0</v>
      </c>
      <c r="I101" s="44" t="str">
        <f>IFERROR((SUMIFS('Audit Raw data'!BZ:BZ,'Audit Raw data'!J:J,B:B,'Audit Raw data'!E:E,G:G)/H101)/100,"-")</f>
        <v>-</v>
      </c>
      <c r="J101">
        <f>COUNTIFS('Audit Raw data'!AM:AM,"Yes",'Audit Raw data'!J:J,B:B,'Audit Raw data'!E:E,'Day wise agent'!G:G)</f>
        <v>0</v>
      </c>
      <c r="K101">
        <f>COUNTIFS('Audit Raw data'!AM:AM,"NO",'Audit Raw data'!J:J,B:B,'Audit Raw data'!E:E,'Day wise agent'!G:G)</f>
        <v>0</v>
      </c>
      <c r="L101" s="12" t="str">
        <f t="shared" si="3"/>
        <v xml:space="preserve"> </v>
      </c>
    </row>
    <row r="102" spans="1:12" x14ac:dyDescent="0.35">
      <c r="A102" t="str">
        <f t="shared" si="2"/>
        <v>VPS25345931</v>
      </c>
      <c r="B102" t="s">
        <v>195</v>
      </c>
      <c r="C102" t="s">
        <v>1566</v>
      </c>
      <c r="D102" s="32">
        <v>45919</v>
      </c>
      <c r="E102" t="s">
        <v>178</v>
      </c>
      <c r="F102" t="str">
        <f>VLOOKUP(B102,'Agent wise'!A:E,5,0)</f>
        <v>Wireless</v>
      </c>
      <c r="G102" s="32">
        <v>45931</v>
      </c>
      <c r="H102">
        <f>COUNTIFS('Audit Raw data'!J:J,B:B,'Audit Raw data'!E:E,G:G)</f>
        <v>0</v>
      </c>
      <c r="I102" s="44" t="str">
        <f>IFERROR((SUMIFS('Audit Raw data'!BZ:BZ,'Audit Raw data'!J:J,B:B,'Audit Raw data'!E:E,G:G)/H102)/100,"-")</f>
        <v>-</v>
      </c>
      <c r="J102">
        <f>COUNTIFS('Audit Raw data'!AM:AM,"Yes",'Audit Raw data'!J:J,B:B,'Audit Raw data'!E:E,'Day wise agent'!G:G)</f>
        <v>0</v>
      </c>
      <c r="K102">
        <f>COUNTIFS('Audit Raw data'!AM:AM,"NO",'Audit Raw data'!J:J,B:B,'Audit Raw data'!E:E,'Day wise agent'!G:G)</f>
        <v>0</v>
      </c>
      <c r="L102" s="12" t="str">
        <f t="shared" si="3"/>
        <v xml:space="preserve"> </v>
      </c>
    </row>
    <row r="103" spans="1:12" x14ac:dyDescent="0.35">
      <c r="A103" t="str">
        <f t="shared" si="2"/>
        <v>VPS25645931</v>
      </c>
      <c r="B103" t="s">
        <v>191</v>
      </c>
      <c r="C103" t="s">
        <v>1567</v>
      </c>
      <c r="D103" s="32">
        <v>45919</v>
      </c>
      <c r="E103" t="s">
        <v>1453</v>
      </c>
      <c r="F103" t="str">
        <f>VLOOKUP(B103,'Agent wise'!A:E,5,0)</f>
        <v>Wireless</v>
      </c>
      <c r="G103" s="32">
        <v>45931</v>
      </c>
      <c r="H103">
        <f>COUNTIFS('Audit Raw data'!J:J,B:B,'Audit Raw data'!E:E,G:G)</f>
        <v>0</v>
      </c>
      <c r="I103" s="44" t="str">
        <f>IFERROR((SUMIFS('Audit Raw data'!BZ:BZ,'Audit Raw data'!J:J,B:B,'Audit Raw data'!E:E,G:G)/H103)/100,"-")</f>
        <v>-</v>
      </c>
      <c r="J103">
        <f>COUNTIFS('Audit Raw data'!AM:AM,"Yes",'Audit Raw data'!J:J,B:B,'Audit Raw data'!E:E,'Day wise agent'!G:G)</f>
        <v>0</v>
      </c>
      <c r="K103">
        <f>COUNTIFS('Audit Raw data'!AM:AM,"NO",'Audit Raw data'!J:J,B:B,'Audit Raw data'!E:E,'Day wise agent'!G:G)</f>
        <v>0</v>
      </c>
      <c r="L103" s="12" t="str">
        <f t="shared" si="3"/>
        <v xml:space="preserve"> </v>
      </c>
    </row>
    <row r="104" spans="1:12" x14ac:dyDescent="0.35">
      <c r="A104" t="str">
        <f t="shared" si="2"/>
        <v>VPS25745931</v>
      </c>
      <c r="B104" t="s">
        <v>412</v>
      </c>
      <c r="C104" t="s">
        <v>1568</v>
      </c>
      <c r="D104" s="32">
        <v>45919</v>
      </c>
      <c r="E104" t="s">
        <v>1453</v>
      </c>
      <c r="F104" t="str">
        <f>VLOOKUP(B104,'Agent wise'!A:E,5,0)</f>
        <v>Wireless</v>
      </c>
      <c r="G104" s="32">
        <v>45931</v>
      </c>
      <c r="H104">
        <f>COUNTIFS('Audit Raw data'!J:J,B:B,'Audit Raw data'!E:E,G:G)</f>
        <v>0</v>
      </c>
      <c r="I104" s="44" t="str">
        <f>IFERROR((SUMIFS('Audit Raw data'!BZ:BZ,'Audit Raw data'!J:J,B:B,'Audit Raw data'!E:E,G:G)/H104)/100,"-")</f>
        <v>-</v>
      </c>
      <c r="J104">
        <f>COUNTIFS('Audit Raw data'!AM:AM,"Yes",'Audit Raw data'!J:J,B:B,'Audit Raw data'!E:E,'Day wise agent'!G:G)</f>
        <v>0</v>
      </c>
      <c r="K104">
        <f>COUNTIFS('Audit Raw data'!AM:AM,"NO",'Audit Raw data'!J:J,B:B,'Audit Raw data'!E:E,'Day wise agent'!G:G)</f>
        <v>0</v>
      </c>
      <c r="L104" s="12" t="str">
        <f t="shared" si="3"/>
        <v xml:space="preserve"> </v>
      </c>
    </row>
    <row r="105" spans="1:12" x14ac:dyDescent="0.35">
      <c r="A105" t="str">
        <f t="shared" si="2"/>
        <v>VPS25845931</v>
      </c>
      <c r="B105" t="s">
        <v>183</v>
      </c>
      <c r="C105" t="s">
        <v>1569</v>
      </c>
      <c r="D105" s="32">
        <v>45927</v>
      </c>
      <c r="E105" t="s">
        <v>178</v>
      </c>
      <c r="F105" t="str">
        <f>VLOOKUP(B105,'Agent wise'!A:E,5,0)</f>
        <v>Wireless</v>
      </c>
      <c r="G105" s="32">
        <v>45931</v>
      </c>
      <c r="H105">
        <f>COUNTIFS('Audit Raw data'!J:J,B:B,'Audit Raw data'!E:E,G:G)</f>
        <v>0</v>
      </c>
      <c r="I105" s="44" t="str">
        <f>IFERROR((SUMIFS('Audit Raw data'!BZ:BZ,'Audit Raw data'!J:J,B:B,'Audit Raw data'!E:E,G:G)/H105)/100,"-")</f>
        <v>-</v>
      </c>
      <c r="J105">
        <f>COUNTIFS('Audit Raw data'!AM:AM,"Yes",'Audit Raw data'!J:J,B:B,'Audit Raw data'!E:E,'Day wise agent'!G:G)</f>
        <v>0</v>
      </c>
      <c r="K105">
        <f>COUNTIFS('Audit Raw data'!AM:AM,"NO",'Audit Raw data'!J:J,B:B,'Audit Raw data'!E:E,'Day wise agent'!G:G)</f>
        <v>0</v>
      </c>
      <c r="L105" s="12" t="str">
        <f t="shared" si="3"/>
        <v xml:space="preserve"> </v>
      </c>
    </row>
    <row r="106" spans="1:12" x14ac:dyDescent="0.35">
      <c r="A106" t="str">
        <f t="shared" si="2"/>
        <v>VPS25945931</v>
      </c>
      <c r="B106" t="s">
        <v>102</v>
      </c>
      <c r="C106" t="s">
        <v>1570</v>
      </c>
      <c r="D106" s="32">
        <v>45927</v>
      </c>
      <c r="E106" t="s">
        <v>107</v>
      </c>
      <c r="F106" t="str">
        <f>VLOOKUP(B106,'Agent wise'!A:E,5,0)</f>
        <v>Wireless</v>
      </c>
      <c r="G106" s="32">
        <v>45931</v>
      </c>
      <c r="H106">
        <f>COUNTIFS('Audit Raw data'!J:J,B:B,'Audit Raw data'!E:E,G:G)</f>
        <v>1</v>
      </c>
      <c r="I106" s="44">
        <f>IFERROR((SUMIFS('Audit Raw data'!BZ:BZ,'Audit Raw data'!J:J,B:B,'Audit Raw data'!E:E,G:G)/H106)/100,"-")</f>
        <v>0.72</v>
      </c>
      <c r="J106">
        <f>COUNTIFS('Audit Raw data'!AM:AM,"Yes",'Audit Raw data'!J:J,B:B,'Audit Raw data'!E:E,'Day wise agent'!G:G)</f>
        <v>1</v>
      </c>
      <c r="K106">
        <f>COUNTIFS('Audit Raw data'!AM:AM,"NO",'Audit Raw data'!J:J,B:B,'Audit Raw data'!E:E,'Day wise agent'!G:G)</f>
        <v>0</v>
      </c>
      <c r="L106" s="12">
        <f t="shared" si="3"/>
        <v>1</v>
      </c>
    </row>
    <row r="107" spans="1:12" x14ac:dyDescent="0.35">
      <c r="A107" t="str">
        <f t="shared" si="2"/>
        <v>SBM10745932</v>
      </c>
      <c r="B107" t="s">
        <v>313</v>
      </c>
      <c r="C107" t="s">
        <v>1449</v>
      </c>
      <c r="D107" s="32">
        <v>44691</v>
      </c>
      <c r="E107" t="s">
        <v>107</v>
      </c>
      <c r="F107" t="str">
        <f>VLOOKUP(B107,'Agent wise'!A:E,5,0)</f>
        <v>Wire-line</v>
      </c>
      <c r="G107" s="32">
        <v>45932</v>
      </c>
      <c r="H107">
        <f>COUNTIFS('Audit Raw data'!J:J,B:B,'Audit Raw data'!E:E,G:G)</f>
        <v>2</v>
      </c>
      <c r="I107" s="44">
        <f>IFERROR((SUMIFS('Audit Raw data'!BZ:BZ,'Audit Raw data'!J:J,B:B,'Audit Raw data'!E:E,G:G)/H107)/100,"-")</f>
        <v>0.95</v>
      </c>
      <c r="J107">
        <f>COUNTIFS('Audit Raw data'!AM:AM,"Yes",'Audit Raw data'!J:J,B:B,'Audit Raw data'!E:E,'Day wise agent'!G:G)</f>
        <v>2</v>
      </c>
      <c r="K107">
        <f>COUNTIFS('Audit Raw data'!AM:AM,"NO",'Audit Raw data'!J:J,B:B,'Audit Raw data'!E:E,'Day wise agent'!G:G)</f>
        <v>0</v>
      </c>
      <c r="L107" s="12">
        <f t="shared" si="3"/>
        <v>1</v>
      </c>
    </row>
    <row r="108" spans="1:12" x14ac:dyDescent="0.35">
      <c r="A108" t="str">
        <f t="shared" si="2"/>
        <v>SBM15045932</v>
      </c>
      <c r="B108" t="s">
        <v>56</v>
      </c>
      <c r="C108" t="s">
        <v>1452</v>
      </c>
      <c r="D108" s="32">
        <v>44707</v>
      </c>
      <c r="E108" t="s">
        <v>1453</v>
      </c>
      <c r="F108" t="str">
        <f>VLOOKUP(B108,'Agent wise'!A:E,5,0)</f>
        <v>Wireless</v>
      </c>
      <c r="G108" s="32">
        <v>45932</v>
      </c>
      <c r="H108">
        <f>COUNTIFS('Audit Raw data'!J:J,B:B,'Audit Raw data'!E:E,G:G)</f>
        <v>0</v>
      </c>
      <c r="I108" s="44" t="str">
        <f>IFERROR((SUMIFS('Audit Raw data'!BZ:BZ,'Audit Raw data'!J:J,B:B,'Audit Raw data'!E:E,G:G)/H108)/100,"-")</f>
        <v>-</v>
      </c>
      <c r="J108">
        <f>COUNTIFS('Audit Raw data'!AM:AM,"Yes",'Audit Raw data'!J:J,B:B,'Audit Raw data'!E:E,'Day wise agent'!G:G)</f>
        <v>0</v>
      </c>
      <c r="K108">
        <f>COUNTIFS('Audit Raw data'!AM:AM,"NO",'Audit Raw data'!J:J,B:B,'Audit Raw data'!E:E,'Day wise agent'!G:G)</f>
        <v>0</v>
      </c>
      <c r="L108" s="12" t="str">
        <f t="shared" si="3"/>
        <v xml:space="preserve"> </v>
      </c>
    </row>
    <row r="109" spans="1:12" x14ac:dyDescent="0.35">
      <c r="A109" t="str">
        <f t="shared" si="2"/>
        <v>SBM15545932</v>
      </c>
      <c r="B109" t="s">
        <v>1454</v>
      </c>
      <c r="C109" t="s">
        <v>1455</v>
      </c>
      <c r="D109" s="32">
        <v>44707</v>
      </c>
      <c r="E109" t="s">
        <v>1456</v>
      </c>
      <c r="F109" t="str">
        <f>VLOOKUP(B109,'Agent wise'!A:E,5,0)</f>
        <v>RECL</v>
      </c>
      <c r="G109" s="32">
        <v>45932</v>
      </c>
      <c r="H109">
        <f>COUNTIFS('Audit Raw data'!J:J,B:B,'Audit Raw data'!E:E,G:G)</f>
        <v>0</v>
      </c>
      <c r="I109" s="44" t="str">
        <f>IFERROR((SUMIFS('Audit Raw data'!BZ:BZ,'Audit Raw data'!J:J,B:B,'Audit Raw data'!E:E,G:G)/H109)/100,"-")</f>
        <v>-</v>
      </c>
      <c r="J109">
        <f>COUNTIFS('Audit Raw data'!AM:AM,"Yes",'Audit Raw data'!J:J,B:B,'Audit Raw data'!E:E,'Day wise agent'!G:G)</f>
        <v>0</v>
      </c>
      <c r="K109">
        <f>COUNTIFS('Audit Raw data'!AM:AM,"NO",'Audit Raw data'!J:J,B:B,'Audit Raw data'!E:E,'Day wise agent'!G:G)</f>
        <v>0</v>
      </c>
      <c r="L109" s="12" t="str">
        <f t="shared" si="3"/>
        <v xml:space="preserve"> </v>
      </c>
    </row>
    <row r="110" spans="1:12" x14ac:dyDescent="0.35">
      <c r="A110" t="str">
        <f t="shared" si="2"/>
        <v>SBM15745932</v>
      </c>
      <c r="B110" t="s">
        <v>67</v>
      </c>
      <c r="C110" t="s">
        <v>1458</v>
      </c>
      <c r="D110" s="32">
        <v>44713</v>
      </c>
      <c r="E110" t="s">
        <v>1453</v>
      </c>
      <c r="F110" t="str">
        <f>VLOOKUP(B110,'Agent wise'!A:E,5,0)</f>
        <v>Wireless</v>
      </c>
      <c r="G110" s="32">
        <v>45932</v>
      </c>
      <c r="H110">
        <f>COUNTIFS('Audit Raw data'!J:J,B:B,'Audit Raw data'!E:E,G:G)</f>
        <v>0</v>
      </c>
      <c r="I110" s="44" t="str">
        <f>IFERROR((SUMIFS('Audit Raw data'!BZ:BZ,'Audit Raw data'!J:J,B:B,'Audit Raw data'!E:E,G:G)/H110)/100,"-")</f>
        <v>-</v>
      </c>
      <c r="J110">
        <f>COUNTIFS('Audit Raw data'!AM:AM,"Yes",'Audit Raw data'!J:J,B:B,'Audit Raw data'!E:E,'Day wise agent'!G:G)</f>
        <v>0</v>
      </c>
      <c r="K110">
        <f>COUNTIFS('Audit Raw data'!AM:AM,"NO",'Audit Raw data'!J:J,B:B,'Audit Raw data'!E:E,'Day wise agent'!G:G)</f>
        <v>0</v>
      </c>
      <c r="L110" s="12" t="str">
        <f t="shared" si="3"/>
        <v xml:space="preserve"> </v>
      </c>
    </row>
    <row r="111" spans="1:12" x14ac:dyDescent="0.35">
      <c r="A111" t="str">
        <f t="shared" si="2"/>
        <v>SBM20245932</v>
      </c>
      <c r="B111" t="s">
        <v>466</v>
      </c>
      <c r="C111" t="s">
        <v>1459</v>
      </c>
      <c r="D111" s="32">
        <v>44721</v>
      </c>
      <c r="E111" t="s">
        <v>178</v>
      </c>
      <c r="F111" t="str">
        <f>VLOOKUP(B111,'Agent wise'!A:E,5,0)</f>
        <v>Wireless</v>
      </c>
      <c r="G111" s="32">
        <v>45932</v>
      </c>
      <c r="H111">
        <f>COUNTIFS('Audit Raw data'!J:J,B:B,'Audit Raw data'!E:E,G:G)</f>
        <v>0</v>
      </c>
      <c r="I111" s="44" t="str">
        <f>IFERROR((SUMIFS('Audit Raw data'!BZ:BZ,'Audit Raw data'!J:J,B:B,'Audit Raw data'!E:E,G:G)/H111)/100,"-")</f>
        <v>-</v>
      </c>
      <c r="J111">
        <f>COUNTIFS('Audit Raw data'!AM:AM,"Yes",'Audit Raw data'!J:J,B:B,'Audit Raw data'!E:E,'Day wise agent'!G:G)</f>
        <v>0</v>
      </c>
      <c r="K111">
        <f>COUNTIFS('Audit Raw data'!AM:AM,"NO",'Audit Raw data'!J:J,B:B,'Audit Raw data'!E:E,'Day wise agent'!G:G)</f>
        <v>0</v>
      </c>
      <c r="L111" s="12" t="str">
        <f t="shared" si="3"/>
        <v xml:space="preserve"> </v>
      </c>
    </row>
    <row r="112" spans="1:12" x14ac:dyDescent="0.35">
      <c r="A112" t="str">
        <f t="shared" si="2"/>
        <v>SBM26445932</v>
      </c>
      <c r="B112" t="s">
        <v>575</v>
      </c>
      <c r="C112" t="s">
        <v>1461</v>
      </c>
      <c r="D112" s="32">
        <v>44739</v>
      </c>
      <c r="E112" t="s">
        <v>107</v>
      </c>
      <c r="F112" t="str">
        <f>VLOOKUP(B112,'Agent wise'!A:E,5,0)</f>
        <v>Wireless</v>
      </c>
      <c r="G112" s="32">
        <v>45932</v>
      </c>
      <c r="H112">
        <f>COUNTIFS('Audit Raw data'!J:J,B:B,'Audit Raw data'!E:E,G:G)</f>
        <v>0</v>
      </c>
      <c r="I112" s="44" t="str">
        <f>IFERROR((SUMIFS('Audit Raw data'!BZ:BZ,'Audit Raw data'!J:J,B:B,'Audit Raw data'!E:E,G:G)/H112)/100,"-")</f>
        <v>-</v>
      </c>
      <c r="J112">
        <f>COUNTIFS('Audit Raw data'!AM:AM,"Yes",'Audit Raw data'!J:J,B:B,'Audit Raw data'!E:E,'Day wise agent'!G:G)</f>
        <v>0</v>
      </c>
      <c r="K112">
        <f>COUNTIFS('Audit Raw data'!AM:AM,"NO",'Audit Raw data'!J:J,B:B,'Audit Raw data'!E:E,'Day wise agent'!G:G)</f>
        <v>0</v>
      </c>
      <c r="L112" s="12" t="str">
        <f t="shared" si="3"/>
        <v xml:space="preserve"> </v>
      </c>
    </row>
    <row r="113" spans="1:12" x14ac:dyDescent="0.35">
      <c r="A113" t="str">
        <f t="shared" si="2"/>
        <v>SBM26745932</v>
      </c>
      <c r="B113" t="s">
        <v>91</v>
      </c>
      <c r="C113" t="s">
        <v>1462</v>
      </c>
      <c r="D113" s="32">
        <v>44768</v>
      </c>
      <c r="E113" t="s">
        <v>1453</v>
      </c>
      <c r="F113" t="str">
        <f>VLOOKUP(B113,'Agent wise'!A:E,5,0)</f>
        <v>Wireless</v>
      </c>
      <c r="G113" s="32">
        <v>45932</v>
      </c>
      <c r="H113">
        <f>COUNTIFS('Audit Raw data'!J:J,B:B,'Audit Raw data'!E:E,G:G)</f>
        <v>0</v>
      </c>
      <c r="I113" s="44" t="str">
        <f>IFERROR((SUMIFS('Audit Raw data'!BZ:BZ,'Audit Raw data'!J:J,B:B,'Audit Raw data'!E:E,G:G)/H113)/100,"-")</f>
        <v>-</v>
      </c>
      <c r="J113">
        <f>COUNTIFS('Audit Raw data'!AM:AM,"Yes",'Audit Raw data'!J:J,B:B,'Audit Raw data'!E:E,'Day wise agent'!G:G)</f>
        <v>0</v>
      </c>
      <c r="K113">
        <f>COUNTIFS('Audit Raw data'!AM:AM,"NO",'Audit Raw data'!J:J,B:B,'Audit Raw data'!E:E,'Day wise agent'!G:G)</f>
        <v>0</v>
      </c>
      <c r="L113" s="12" t="str">
        <f t="shared" si="3"/>
        <v xml:space="preserve"> </v>
      </c>
    </row>
    <row r="114" spans="1:12" x14ac:dyDescent="0.35">
      <c r="A114" t="str">
        <f t="shared" si="2"/>
        <v>SBM31445932</v>
      </c>
      <c r="B114" t="s">
        <v>132</v>
      </c>
      <c r="C114" t="s">
        <v>1463</v>
      </c>
      <c r="D114" s="32">
        <v>44784</v>
      </c>
      <c r="E114" t="s">
        <v>107</v>
      </c>
      <c r="F114" t="str">
        <f>VLOOKUP(B114,'Agent wise'!A:E,5,0)</f>
        <v>Wireless</v>
      </c>
      <c r="G114" s="32">
        <v>45932</v>
      </c>
      <c r="H114">
        <f>COUNTIFS('Audit Raw data'!J:J,B:B,'Audit Raw data'!E:E,G:G)</f>
        <v>2</v>
      </c>
      <c r="I114" s="44">
        <f>IFERROR((SUMIFS('Audit Raw data'!BZ:BZ,'Audit Raw data'!J:J,B:B,'Audit Raw data'!E:E,G:G)/H114)/100,"-")</f>
        <v>0.92</v>
      </c>
      <c r="J114">
        <f>COUNTIFS('Audit Raw data'!AM:AM,"Yes",'Audit Raw data'!J:J,B:B,'Audit Raw data'!E:E,'Day wise agent'!G:G)</f>
        <v>2</v>
      </c>
      <c r="K114">
        <f>COUNTIFS('Audit Raw data'!AM:AM,"NO",'Audit Raw data'!J:J,B:B,'Audit Raw data'!E:E,'Day wise agent'!G:G)</f>
        <v>0</v>
      </c>
      <c r="L114" s="12">
        <f t="shared" si="3"/>
        <v>1</v>
      </c>
    </row>
    <row r="115" spans="1:12" x14ac:dyDescent="0.35">
      <c r="A115" t="str">
        <f t="shared" si="2"/>
        <v>SBM36345932</v>
      </c>
      <c r="B115" t="s">
        <v>70</v>
      </c>
      <c r="C115" t="s">
        <v>1464</v>
      </c>
      <c r="D115" s="32">
        <v>44786</v>
      </c>
      <c r="E115" t="s">
        <v>1453</v>
      </c>
      <c r="F115" t="str">
        <f>VLOOKUP(B115,'Agent wise'!A:E,5,0)</f>
        <v>Wireless</v>
      </c>
      <c r="G115" s="32">
        <v>45932</v>
      </c>
      <c r="H115">
        <f>COUNTIFS('Audit Raw data'!J:J,B:B,'Audit Raw data'!E:E,G:G)</f>
        <v>0</v>
      </c>
      <c r="I115" s="44" t="str">
        <f>IFERROR((SUMIFS('Audit Raw data'!BZ:BZ,'Audit Raw data'!J:J,B:B,'Audit Raw data'!E:E,G:G)/H115)/100,"-")</f>
        <v>-</v>
      </c>
      <c r="J115">
        <f>COUNTIFS('Audit Raw data'!AM:AM,"Yes",'Audit Raw data'!J:J,B:B,'Audit Raw data'!E:E,'Day wise agent'!G:G)</f>
        <v>0</v>
      </c>
      <c r="K115">
        <f>COUNTIFS('Audit Raw data'!AM:AM,"NO",'Audit Raw data'!J:J,B:B,'Audit Raw data'!E:E,'Day wise agent'!G:G)</f>
        <v>0</v>
      </c>
      <c r="L115" s="12" t="str">
        <f t="shared" si="3"/>
        <v xml:space="preserve"> </v>
      </c>
    </row>
    <row r="116" spans="1:12" x14ac:dyDescent="0.35">
      <c r="A116" t="str">
        <f t="shared" si="2"/>
        <v>SBM37345932</v>
      </c>
      <c r="B116" t="s">
        <v>75</v>
      </c>
      <c r="C116" t="s">
        <v>1465</v>
      </c>
      <c r="D116" s="32">
        <v>44786</v>
      </c>
      <c r="E116" t="s">
        <v>1453</v>
      </c>
      <c r="F116" t="str">
        <f>VLOOKUP(B116,'Agent wise'!A:E,5,0)</f>
        <v>Wireless</v>
      </c>
      <c r="G116" s="32">
        <v>45932</v>
      </c>
      <c r="H116">
        <f>COUNTIFS('Audit Raw data'!J:J,B:B,'Audit Raw data'!E:E,G:G)</f>
        <v>0</v>
      </c>
      <c r="I116" s="44" t="str">
        <f>IFERROR((SUMIFS('Audit Raw data'!BZ:BZ,'Audit Raw data'!J:J,B:B,'Audit Raw data'!E:E,G:G)/H116)/100,"-")</f>
        <v>-</v>
      </c>
      <c r="J116">
        <f>COUNTIFS('Audit Raw data'!AM:AM,"Yes",'Audit Raw data'!J:J,B:B,'Audit Raw data'!E:E,'Day wise agent'!G:G)</f>
        <v>0</v>
      </c>
      <c r="K116">
        <f>COUNTIFS('Audit Raw data'!AM:AM,"NO",'Audit Raw data'!J:J,B:B,'Audit Raw data'!E:E,'Day wise agent'!G:G)</f>
        <v>0</v>
      </c>
      <c r="L116" s="12" t="str">
        <f t="shared" si="3"/>
        <v xml:space="preserve"> </v>
      </c>
    </row>
    <row r="117" spans="1:12" x14ac:dyDescent="0.35">
      <c r="A117" t="str">
        <f t="shared" si="2"/>
        <v>SBM42245932</v>
      </c>
      <c r="B117" t="s">
        <v>636</v>
      </c>
      <c r="C117" t="s">
        <v>1466</v>
      </c>
      <c r="D117" s="32">
        <v>44882</v>
      </c>
      <c r="E117" t="s">
        <v>107</v>
      </c>
      <c r="F117" t="str">
        <f>VLOOKUP(B117,'Agent wise'!A:E,5,0)</f>
        <v>Wireless</v>
      </c>
      <c r="G117" s="32">
        <v>45932</v>
      </c>
      <c r="H117">
        <f>COUNTIFS('Audit Raw data'!J:J,B:B,'Audit Raw data'!E:E,G:G)</f>
        <v>0</v>
      </c>
      <c r="I117" s="44" t="str">
        <f>IFERROR((SUMIFS('Audit Raw data'!BZ:BZ,'Audit Raw data'!J:J,B:B,'Audit Raw data'!E:E,G:G)/H117)/100,"-")</f>
        <v>-</v>
      </c>
      <c r="J117">
        <f>COUNTIFS('Audit Raw data'!AM:AM,"Yes",'Audit Raw data'!J:J,B:B,'Audit Raw data'!E:E,'Day wise agent'!G:G)</f>
        <v>0</v>
      </c>
      <c r="K117">
        <f>COUNTIFS('Audit Raw data'!AM:AM,"NO",'Audit Raw data'!J:J,B:B,'Audit Raw data'!E:E,'Day wise agent'!G:G)</f>
        <v>0</v>
      </c>
      <c r="L117" s="12" t="str">
        <f t="shared" si="3"/>
        <v xml:space="preserve"> </v>
      </c>
    </row>
    <row r="118" spans="1:12" x14ac:dyDescent="0.35">
      <c r="A118" t="str">
        <f t="shared" si="2"/>
        <v>SBM47945932</v>
      </c>
      <c r="B118" t="s">
        <v>1474</v>
      </c>
      <c r="C118" t="s">
        <v>1475</v>
      </c>
      <c r="D118" s="32">
        <v>44932</v>
      </c>
      <c r="E118" t="s">
        <v>1456</v>
      </c>
      <c r="F118" t="str">
        <f>VLOOKUP(B118,'Agent wise'!A:E,5,0)</f>
        <v>RECL</v>
      </c>
      <c r="G118" s="32">
        <v>45932</v>
      </c>
      <c r="H118">
        <f>COUNTIFS('Audit Raw data'!J:J,B:B,'Audit Raw data'!E:E,G:G)</f>
        <v>0</v>
      </c>
      <c r="I118" s="44" t="str">
        <f>IFERROR((SUMIFS('Audit Raw data'!BZ:BZ,'Audit Raw data'!J:J,B:B,'Audit Raw data'!E:E,G:G)/H118)/100,"-")</f>
        <v>-</v>
      </c>
      <c r="J118">
        <f>COUNTIFS('Audit Raw data'!AM:AM,"Yes",'Audit Raw data'!J:J,B:B,'Audit Raw data'!E:E,'Day wise agent'!G:G)</f>
        <v>0</v>
      </c>
      <c r="K118">
        <f>COUNTIFS('Audit Raw data'!AM:AM,"NO",'Audit Raw data'!J:J,B:B,'Audit Raw data'!E:E,'Day wise agent'!G:G)</f>
        <v>0</v>
      </c>
      <c r="L118" s="12" t="str">
        <f t="shared" si="3"/>
        <v xml:space="preserve"> </v>
      </c>
    </row>
    <row r="119" spans="1:12" x14ac:dyDescent="0.35">
      <c r="A119" t="str">
        <f t="shared" si="2"/>
        <v>SBM48145932</v>
      </c>
      <c r="B119" t="s">
        <v>638</v>
      </c>
      <c r="C119" t="s">
        <v>1467</v>
      </c>
      <c r="D119" s="32">
        <v>44932</v>
      </c>
      <c r="E119" t="s">
        <v>178</v>
      </c>
      <c r="F119" t="str">
        <f>VLOOKUP(B119,'Agent wise'!A:E,5,0)</f>
        <v>Wireless</v>
      </c>
      <c r="G119" s="32">
        <v>45932</v>
      </c>
      <c r="H119">
        <f>COUNTIFS('Audit Raw data'!J:J,B:B,'Audit Raw data'!E:E,G:G)</f>
        <v>0</v>
      </c>
      <c r="I119" s="44" t="str">
        <f>IFERROR((SUMIFS('Audit Raw data'!BZ:BZ,'Audit Raw data'!J:J,B:B,'Audit Raw data'!E:E,G:G)/H119)/100,"-")</f>
        <v>-</v>
      </c>
      <c r="J119">
        <f>COUNTIFS('Audit Raw data'!AM:AM,"Yes",'Audit Raw data'!J:J,B:B,'Audit Raw data'!E:E,'Day wise agent'!G:G)</f>
        <v>0</v>
      </c>
      <c r="K119">
        <f>COUNTIFS('Audit Raw data'!AM:AM,"NO",'Audit Raw data'!J:J,B:B,'Audit Raw data'!E:E,'Day wise agent'!G:G)</f>
        <v>0</v>
      </c>
      <c r="L119" s="12" t="str">
        <f t="shared" si="3"/>
        <v xml:space="preserve"> </v>
      </c>
    </row>
    <row r="120" spans="1:12" x14ac:dyDescent="0.35">
      <c r="A120" t="str">
        <f t="shared" si="2"/>
        <v>SBM48545932</v>
      </c>
      <c r="B120" t="s">
        <v>80</v>
      </c>
      <c r="C120" t="s">
        <v>1469</v>
      </c>
      <c r="D120" s="32">
        <v>44961</v>
      </c>
      <c r="E120" t="s">
        <v>1453</v>
      </c>
      <c r="F120" t="str">
        <f>VLOOKUP(B120,'Agent wise'!A:E,5,0)</f>
        <v>Wireless</v>
      </c>
      <c r="G120" s="32">
        <v>45932</v>
      </c>
      <c r="H120">
        <f>COUNTIFS('Audit Raw data'!J:J,B:B,'Audit Raw data'!E:E,G:G)</f>
        <v>0</v>
      </c>
      <c r="I120" s="44" t="str">
        <f>IFERROR((SUMIFS('Audit Raw data'!BZ:BZ,'Audit Raw data'!J:J,B:B,'Audit Raw data'!E:E,G:G)/H120)/100,"-")</f>
        <v>-</v>
      </c>
      <c r="J120">
        <f>COUNTIFS('Audit Raw data'!AM:AM,"Yes",'Audit Raw data'!J:J,B:B,'Audit Raw data'!E:E,'Day wise agent'!G:G)</f>
        <v>0</v>
      </c>
      <c r="K120">
        <f>COUNTIFS('Audit Raw data'!AM:AM,"NO",'Audit Raw data'!J:J,B:B,'Audit Raw data'!E:E,'Day wise agent'!G:G)</f>
        <v>0</v>
      </c>
      <c r="L120" s="12" t="str">
        <f t="shared" si="3"/>
        <v xml:space="preserve"> </v>
      </c>
    </row>
    <row r="121" spans="1:12" x14ac:dyDescent="0.35">
      <c r="A121" t="str">
        <f t="shared" si="2"/>
        <v>SBM52445932</v>
      </c>
      <c r="B121" t="s">
        <v>490</v>
      </c>
      <c r="C121" t="s">
        <v>1470</v>
      </c>
      <c r="D121" s="32">
        <v>45093</v>
      </c>
      <c r="E121" t="s">
        <v>1453</v>
      </c>
      <c r="F121" t="str">
        <f>VLOOKUP(B121,'Agent wise'!A:E,5,0)</f>
        <v>Wireless</v>
      </c>
      <c r="G121" s="32">
        <v>45932</v>
      </c>
      <c r="H121">
        <f>COUNTIFS('Audit Raw data'!J:J,B:B,'Audit Raw data'!E:E,G:G)</f>
        <v>0</v>
      </c>
      <c r="I121" s="44" t="str">
        <f>IFERROR((SUMIFS('Audit Raw data'!BZ:BZ,'Audit Raw data'!J:J,B:B,'Audit Raw data'!E:E,G:G)/H121)/100,"-")</f>
        <v>-</v>
      </c>
      <c r="J121">
        <f>COUNTIFS('Audit Raw data'!AM:AM,"Yes",'Audit Raw data'!J:J,B:B,'Audit Raw data'!E:E,'Day wise agent'!G:G)</f>
        <v>0</v>
      </c>
      <c r="K121">
        <f>COUNTIFS('Audit Raw data'!AM:AM,"NO",'Audit Raw data'!J:J,B:B,'Audit Raw data'!E:E,'Day wise agent'!G:G)</f>
        <v>0</v>
      </c>
      <c r="L121" s="12" t="str">
        <f t="shared" si="3"/>
        <v xml:space="preserve"> </v>
      </c>
    </row>
    <row r="122" spans="1:12" x14ac:dyDescent="0.35">
      <c r="A122" t="str">
        <f t="shared" si="2"/>
        <v>SBM55045932</v>
      </c>
      <c r="B122" t="s">
        <v>139</v>
      </c>
      <c r="C122" t="s">
        <v>1471</v>
      </c>
      <c r="D122" s="32">
        <v>45139</v>
      </c>
      <c r="E122" t="s">
        <v>107</v>
      </c>
      <c r="F122" t="str">
        <f>VLOOKUP(B122,'Agent wise'!A:E,5,0)</f>
        <v>Wireless</v>
      </c>
      <c r="G122" s="32">
        <v>45932</v>
      </c>
      <c r="H122">
        <f>COUNTIFS('Audit Raw data'!J:J,B:B,'Audit Raw data'!E:E,G:G)</f>
        <v>2</v>
      </c>
      <c r="I122" s="44">
        <f>IFERROR((SUMIFS('Audit Raw data'!BZ:BZ,'Audit Raw data'!J:J,B:B,'Audit Raw data'!E:E,G:G)/H122)/100,"-")</f>
        <v>0.96</v>
      </c>
      <c r="J122">
        <f>COUNTIFS('Audit Raw data'!AM:AM,"Yes",'Audit Raw data'!J:J,B:B,'Audit Raw data'!E:E,'Day wise agent'!G:G)</f>
        <v>2</v>
      </c>
      <c r="K122">
        <f>COUNTIFS('Audit Raw data'!AM:AM,"NO",'Audit Raw data'!J:J,B:B,'Audit Raw data'!E:E,'Day wise agent'!G:G)</f>
        <v>0</v>
      </c>
      <c r="L122" s="12">
        <f t="shared" si="3"/>
        <v>1</v>
      </c>
    </row>
    <row r="123" spans="1:12" x14ac:dyDescent="0.35">
      <c r="A123" t="str">
        <f t="shared" si="2"/>
        <v>SBM55445932</v>
      </c>
      <c r="B123" t="s">
        <v>208</v>
      </c>
      <c r="C123" t="s">
        <v>1472</v>
      </c>
      <c r="D123" s="32">
        <v>45140</v>
      </c>
      <c r="E123" t="s">
        <v>178</v>
      </c>
      <c r="F123" t="str">
        <f>VLOOKUP(B123,'Agent wise'!A:E,5,0)</f>
        <v>Wireless</v>
      </c>
      <c r="G123" s="32">
        <v>45932</v>
      </c>
      <c r="H123">
        <f>COUNTIFS('Audit Raw data'!J:J,B:B,'Audit Raw data'!E:E,G:G)</f>
        <v>2</v>
      </c>
      <c r="I123" s="44">
        <f>IFERROR((SUMIFS('Audit Raw data'!BZ:BZ,'Audit Raw data'!J:J,B:B,'Audit Raw data'!E:E,G:G)/H123)/100,"-")</f>
        <v>0.95</v>
      </c>
      <c r="J123">
        <f>COUNTIFS('Audit Raw data'!AM:AM,"Yes",'Audit Raw data'!J:J,B:B,'Audit Raw data'!E:E,'Day wise agent'!G:G)</f>
        <v>2</v>
      </c>
      <c r="K123">
        <f>COUNTIFS('Audit Raw data'!AM:AM,"NO",'Audit Raw data'!J:J,B:B,'Audit Raw data'!E:E,'Day wise agent'!G:G)</f>
        <v>0</v>
      </c>
      <c r="L123" s="12">
        <f t="shared" si="3"/>
        <v>1</v>
      </c>
    </row>
    <row r="124" spans="1:12" x14ac:dyDescent="0.35">
      <c r="A124" t="str">
        <f t="shared" si="2"/>
        <v>SBM58345932</v>
      </c>
      <c r="B124" t="s">
        <v>546</v>
      </c>
      <c r="C124" t="s">
        <v>1473</v>
      </c>
      <c r="D124" s="32">
        <v>45245</v>
      </c>
      <c r="E124" t="s">
        <v>107</v>
      </c>
      <c r="F124" t="str">
        <f>VLOOKUP(B124,'Agent wise'!A:E,5,0)</f>
        <v>Wireless</v>
      </c>
      <c r="G124" s="32">
        <v>45932</v>
      </c>
      <c r="H124">
        <f>COUNTIFS('Audit Raw data'!J:J,B:B,'Audit Raw data'!E:E,G:G)</f>
        <v>0</v>
      </c>
      <c r="I124" s="44" t="str">
        <f>IFERROR((SUMIFS('Audit Raw data'!BZ:BZ,'Audit Raw data'!J:J,B:B,'Audit Raw data'!E:E,G:G)/H124)/100,"-")</f>
        <v>-</v>
      </c>
      <c r="J124">
        <f>COUNTIFS('Audit Raw data'!AM:AM,"Yes",'Audit Raw data'!J:J,B:B,'Audit Raw data'!E:E,'Day wise agent'!G:G)</f>
        <v>0</v>
      </c>
      <c r="K124">
        <f>COUNTIFS('Audit Raw data'!AM:AM,"NO",'Audit Raw data'!J:J,B:B,'Audit Raw data'!E:E,'Day wise agent'!G:G)</f>
        <v>0</v>
      </c>
      <c r="L124" s="12" t="str">
        <f t="shared" si="3"/>
        <v xml:space="preserve"> </v>
      </c>
    </row>
    <row r="125" spans="1:12" x14ac:dyDescent="0.35">
      <c r="A125" t="str">
        <f t="shared" si="2"/>
        <v>SBM61345932</v>
      </c>
      <c r="B125" t="s">
        <v>391</v>
      </c>
      <c r="C125" t="s">
        <v>1478</v>
      </c>
      <c r="D125" s="32">
        <v>45301</v>
      </c>
      <c r="E125" t="s">
        <v>221</v>
      </c>
      <c r="F125" t="str">
        <f>VLOOKUP(B125,'Agent wise'!A:E,5,0)</f>
        <v>Wire-line</v>
      </c>
      <c r="G125" s="32">
        <v>45932</v>
      </c>
      <c r="H125">
        <f>COUNTIFS('Audit Raw data'!J:J,B:B,'Audit Raw data'!E:E,G:G)</f>
        <v>1</v>
      </c>
      <c r="I125" s="44">
        <f>IFERROR((SUMIFS('Audit Raw data'!BZ:BZ,'Audit Raw data'!J:J,B:B,'Audit Raw data'!E:E,G:G)/H125)/100,"-")</f>
        <v>0.94</v>
      </c>
      <c r="J125">
        <f>COUNTIFS('Audit Raw data'!AM:AM,"Yes",'Audit Raw data'!J:J,B:B,'Audit Raw data'!E:E,'Day wise agent'!G:G)</f>
        <v>1</v>
      </c>
      <c r="K125">
        <f>COUNTIFS('Audit Raw data'!AM:AM,"NO",'Audit Raw data'!J:J,B:B,'Audit Raw data'!E:E,'Day wise agent'!G:G)</f>
        <v>0</v>
      </c>
      <c r="L125" s="12">
        <f t="shared" si="3"/>
        <v>1</v>
      </c>
    </row>
    <row r="126" spans="1:12" x14ac:dyDescent="0.35">
      <c r="A126" t="str">
        <f t="shared" si="2"/>
        <v>SBM61845932</v>
      </c>
      <c r="B126" t="s">
        <v>242</v>
      </c>
      <c r="C126" t="s">
        <v>1477</v>
      </c>
      <c r="D126" s="32">
        <v>45292</v>
      </c>
      <c r="E126" t="s">
        <v>221</v>
      </c>
      <c r="F126" t="str">
        <f>VLOOKUP(B126,'Agent wise'!A:E,5,0)</f>
        <v>Wire-line</v>
      </c>
      <c r="G126" s="32">
        <v>45932</v>
      </c>
      <c r="H126">
        <f>COUNTIFS('Audit Raw data'!J:J,B:B,'Audit Raw data'!E:E,G:G)</f>
        <v>4</v>
      </c>
      <c r="I126" s="44">
        <f>IFERROR((SUMIFS('Audit Raw data'!BZ:BZ,'Audit Raw data'!J:J,B:B,'Audit Raw data'!E:E,G:G)/H126)/100,"-")</f>
        <v>0.93</v>
      </c>
      <c r="J126">
        <f>COUNTIFS('Audit Raw data'!AM:AM,"Yes",'Audit Raw data'!J:J,B:B,'Audit Raw data'!E:E,'Day wise agent'!G:G)</f>
        <v>4</v>
      </c>
      <c r="K126">
        <f>COUNTIFS('Audit Raw data'!AM:AM,"NO",'Audit Raw data'!J:J,B:B,'Audit Raw data'!E:E,'Day wise agent'!G:G)</f>
        <v>0</v>
      </c>
      <c r="L126" s="12">
        <f t="shared" si="3"/>
        <v>1</v>
      </c>
    </row>
    <row r="127" spans="1:12" x14ac:dyDescent="0.35">
      <c r="A127" t="str">
        <f t="shared" si="2"/>
        <v>SBM62545932</v>
      </c>
      <c r="B127" t="s">
        <v>472</v>
      </c>
      <c r="C127" t="s">
        <v>1476</v>
      </c>
      <c r="D127" s="32">
        <v>45329</v>
      </c>
      <c r="E127" t="s">
        <v>1453</v>
      </c>
      <c r="F127" t="str">
        <f>VLOOKUP(B127,'Agent wise'!A:E,5,0)</f>
        <v>Wireless</v>
      </c>
      <c r="G127" s="32">
        <v>45932</v>
      </c>
      <c r="H127">
        <f>COUNTIFS('Audit Raw data'!J:J,B:B,'Audit Raw data'!E:E,G:G)</f>
        <v>1</v>
      </c>
      <c r="I127" s="44">
        <f>IFERROR((SUMIFS('Audit Raw data'!BZ:BZ,'Audit Raw data'!J:J,B:B,'Audit Raw data'!E:E,G:G)/H127)/100,"-")</f>
        <v>0.96</v>
      </c>
      <c r="J127">
        <f>COUNTIFS('Audit Raw data'!AM:AM,"Yes",'Audit Raw data'!J:J,B:B,'Audit Raw data'!E:E,'Day wise agent'!G:G)</f>
        <v>1</v>
      </c>
      <c r="K127">
        <f>COUNTIFS('Audit Raw data'!AM:AM,"NO",'Audit Raw data'!J:J,B:B,'Audit Raw data'!E:E,'Day wise agent'!G:G)</f>
        <v>0</v>
      </c>
      <c r="L127" s="12">
        <f t="shared" si="3"/>
        <v>1</v>
      </c>
    </row>
    <row r="128" spans="1:12" x14ac:dyDescent="0.35">
      <c r="A128" t="str">
        <f t="shared" si="2"/>
        <v>SBM65045932</v>
      </c>
      <c r="B128" t="s">
        <v>353</v>
      </c>
      <c r="C128" t="s">
        <v>1479</v>
      </c>
      <c r="D128" s="32">
        <v>45357</v>
      </c>
      <c r="E128" t="s">
        <v>221</v>
      </c>
      <c r="F128" t="str">
        <f>VLOOKUP(B128,'Agent wise'!A:E,5,0)</f>
        <v>Wire-line</v>
      </c>
      <c r="G128" s="32">
        <v>45932</v>
      </c>
      <c r="H128">
        <f>COUNTIFS('Audit Raw data'!J:J,B:B,'Audit Raw data'!E:E,G:G)</f>
        <v>2</v>
      </c>
      <c r="I128" s="44">
        <f>IFERROR((SUMIFS('Audit Raw data'!BZ:BZ,'Audit Raw data'!J:J,B:B,'Audit Raw data'!E:E,G:G)/H128)/100,"-")</f>
        <v>0.94</v>
      </c>
      <c r="J128">
        <f>COUNTIFS('Audit Raw data'!AM:AM,"Yes",'Audit Raw data'!J:J,B:B,'Audit Raw data'!E:E,'Day wise agent'!G:G)</f>
        <v>2</v>
      </c>
      <c r="K128">
        <f>COUNTIFS('Audit Raw data'!AM:AM,"NO",'Audit Raw data'!J:J,B:B,'Audit Raw data'!E:E,'Day wise agent'!G:G)</f>
        <v>0</v>
      </c>
      <c r="L128" s="12">
        <f t="shared" si="3"/>
        <v>1</v>
      </c>
    </row>
    <row r="129" spans="1:12" x14ac:dyDescent="0.35">
      <c r="A129" t="str">
        <f t="shared" si="2"/>
        <v>SBM65345932</v>
      </c>
      <c r="B129" t="s">
        <v>223</v>
      </c>
      <c r="C129" t="s">
        <v>1480</v>
      </c>
      <c r="D129" s="32">
        <v>45367</v>
      </c>
      <c r="E129" t="s">
        <v>221</v>
      </c>
      <c r="F129" t="str">
        <f>VLOOKUP(B129,'Agent wise'!A:E,5,0)</f>
        <v>Wire-line</v>
      </c>
      <c r="G129" s="32">
        <v>45932</v>
      </c>
      <c r="H129">
        <f>COUNTIFS('Audit Raw data'!J:J,B:B,'Audit Raw data'!E:E,G:G)</f>
        <v>2</v>
      </c>
      <c r="I129" s="44">
        <f>IFERROR((SUMIFS('Audit Raw data'!BZ:BZ,'Audit Raw data'!J:J,B:B,'Audit Raw data'!E:E,G:G)/H129)/100,"-")</f>
        <v>0.95</v>
      </c>
      <c r="J129">
        <f>COUNTIFS('Audit Raw data'!AM:AM,"Yes",'Audit Raw data'!J:J,B:B,'Audit Raw data'!E:E,'Day wise agent'!G:G)</f>
        <v>2</v>
      </c>
      <c r="K129">
        <f>COUNTIFS('Audit Raw data'!AM:AM,"NO",'Audit Raw data'!J:J,B:B,'Audit Raw data'!E:E,'Day wise agent'!G:G)</f>
        <v>0</v>
      </c>
      <c r="L129" s="12">
        <f t="shared" si="3"/>
        <v>1</v>
      </c>
    </row>
    <row r="130" spans="1:12" x14ac:dyDescent="0.35">
      <c r="A130" t="str">
        <f t="shared" ref="A130:A193" si="4">B130&amp;G130</f>
        <v>SBM67845932</v>
      </c>
      <c r="B130" t="s">
        <v>548</v>
      </c>
      <c r="C130" t="s">
        <v>1481</v>
      </c>
      <c r="D130" s="32">
        <v>45413</v>
      </c>
      <c r="E130" t="s">
        <v>178</v>
      </c>
      <c r="F130" t="str">
        <f>VLOOKUP(B130,'Agent wise'!A:E,5,0)</f>
        <v>Wireless</v>
      </c>
      <c r="G130" s="32">
        <v>45932</v>
      </c>
      <c r="H130">
        <f>COUNTIFS('Audit Raw data'!J:J,B:B,'Audit Raw data'!E:E,G:G)</f>
        <v>0</v>
      </c>
      <c r="I130" s="44" t="str">
        <f>IFERROR((SUMIFS('Audit Raw data'!BZ:BZ,'Audit Raw data'!J:J,B:B,'Audit Raw data'!E:E,G:G)/H130)/100,"-")</f>
        <v>-</v>
      </c>
      <c r="J130">
        <f>COUNTIFS('Audit Raw data'!AM:AM,"Yes",'Audit Raw data'!J:J,B:B,'Audit Raw data'!E:E,'Day wise agent'!G:G)</f>
        <v>0</v>
      </c>
      <c r="K130">
        <f>COUNTIFS('Audit Raw data'!AM:AM,"NO",'Audit Raw data'!J:J,B:B,'Audit Raw data'!E:E,'Day wise agent'!G:G)</f>
        <v>0</v>
      </c>
      <c r="L130" s="12" t="str">
        <f t="shared" ref="L130:L193" si="5">IFERROR(J130/H130," ")</f>
        <v xml:space="preserve"> </v>
      </c>
    </row>
    <row r="131" spans="1:12" x14ac:dyDescent="0.35">
      <c r="A131" t="str">
        <f t="shared" si="4"/>
        <v>SBM69245932</v>
      </c>
      <c r="B131" t="s">
        <v>85</v>
      </c>
      <c r="C131" t="s">
        <v>1482</v>
      </c>
      <c r="D131" s="32">
        <v>45445</v>
      </c>
      <c r="E131" t="s">
        <v>1453</v>
      </c>
      <c r="F131" t="str">
        <f>VLOOKUP(B131,'Agent wise'!A:E,5,0)</f>
        <v>Wireless</v>
      </c>
      <c r="G131" s="32">
        <v>45932</v>
      </c>
      <c r="H131">
        <f>COUNTIFS('Audit Raw data'!J:J,B:B,'Audit Raw data'!E:E,G:G)</f>
        <v>0</v>
      </c>
      <c r="I131" s="44" t="str">
        <f>IFERROR((SUMIFS('Audit Raw data'!BZ:BZ,'Audit Raw data'!J:J,B:B,'Audit Raw data'!E:E,G:G)/H131)/100,"-")</f>
        <v>-</v>
      </c>
      <c r="J131">
        <f>COUNTIFS('Audit Raw data'!AM:AM,"Yes",'Audit Raw data'!J:J,B:B,'Audit Raw data'!E:E,'Day wise agent'!G:G)</f>
        <v>0</v>
      </c>
      <c r="K131">
        <f>COUNTIFS('Audit Raw data'!AM:AM,"NO",'Audit Raw data'!J:J,B:B,'Audit Raw data'!E:E,'Day wise agent'!G:G)</f>
        <v>0</v>
      </c>
      <c r="L131" s="12" t="str">
        <f t="shared" si="5"/>
        <v xml:space="preserve"> </v>
      </c>
    </row>
    <row r="132" spans="1:12" x14ac:dyDescent="0.35">
      <c r="A132" t="str">
        <f t="shared" si="4"/>
        <v>SBM70345932</v>
      </c>
      <c r="B132" t="s">
        <v>252</v>
      </c>
      <c r="C132" t="s">
        <v>1483</v>
      </c>
      <c r="D132" s="32">
        <v>45451</v>
      </c>
      <c r="E132" t="s">
        <v>1484</v>
      </c>
      <c r="F132" t="str">
        <f>VLOOKUP(B132,'Agent wise'!A:E,5,0)</f>
        <v>Wireless</v>
      </c>
      <c r="G132" s="32">
        <v>45932</v>
      </c>
      <c r="H132">
        <f>COUNTIFS('Audit Raw data'!J:J,B:B,'Audit Raw data'!E:E,G:G)</f>
        <v>1</v>
      </c>
      <c r="I132" s="44">
        <f>IFERROR((SUMIFS('Audit Raw data'!BZ:BZ,'Audit Raw data'!J:J,B:B,'Audit Raw data'!E:E,G:G)/H132)/100,"-")</f>
        <v>0.92</v>
      </c>
      <c r="J132">
        <f>COUNTIFS('Audit Raw data'!AM:AM,"Yes",'Audit Raw data'!J:J,B:B,'Audit Raw data'!E:E,'Day wise agent'!G:G)</f>
        <v>1</v>
      </c>
      <c r="K132">
        <f>COUNTIFS('Audit Raw data'!AM:AM,"NO",'Audit Raw data'!J:J,B:B,'Audit Raw data'!E:E,'Day wise agent'!G:G)</f>
        <v>0</v>
      </c>
      <c r="L132" s="12">
        <f t="shared" si="5"/>
        <v>1</v>
      </c>
    </row>
    <row r="133" spans="1:12" x14ac:dyDescent="0.35">
      <c r="A133" t="str">
        <f t="shared" si="4"/>
        <v>SBM71045932</v>
      </c>
      <c r="B133" t="s">
        <v>552</v>
      </c>
      <c r="C133" t="s">
        <v>1485</v>
      </c>
      <c r="D133" s="32">
        <v>45465</v>
      </c>
      <c r="E133" t="s">
        <v>1484</v>
      </c>
      <c r="F133" t="str">
        <f>VLOOKUP(B133,'Agent wise'!A:E,5,0)</f>
        <v>Wireless</v>
      </c>
      <c r="G133" s="32">
        <v>45932</v>
      </c>
      <c r="H133">
        <f>COUNTIFS('Audit Raw data'!J:J,B:B,'Audit Raw data'!E:E,G:G)</f>
        <v>0</v>
      </c>
      <c r="I133" s="44" t="str">
        <f>IFERROR((SUMIFS('Audit Raw data'!BZ:BZ,'Audit Raw data'!J:J,B:B,'Audit Raw data'!E:E,G:G)/H133)/100,"-")</f>
        <v>-</v>
      </c>
      <c r="J133">
        <f>COUNTIFS('Audit Raw data'!AM:AM,"Yes",'Audit Raw data'!J:J,B:B,'Audit Raw data'!E:E,'Day wise agent'!G:G)</f>
        <v>0</v>
      </c>
      <c r="K133">
        <f>COUNTIFS('Audit Raw data'!AM:AM,"NO",'Audit Raw data'!J:J,B:B,'Audit Raw data'!E:E,'Day wise agent'!G:G)</f>
        <v>0</v>
      </c>
      <c r="L133" s="12" t="str">
        <f t="shared" si="5"/>
        <v xml:space="preserve"> </v>
      </c>
    </row>
    <row r="134" spans="1:12" x14ac:dyDescent="0.35">
      <c r="A134" t="str">
        <f t="shared" si="4"/>
        <v>SBM71145932</v>
      </c>
      <c r="B134" t="s">
        <v>533</v>
      </c>
      <c r="C134" t="s">
        <v>1486</v>
      </c>
      <c r="D134" s="32">
        <v>45465</v>
      </c>
      <c r="E134" t="s">
        <v>1484</v>
      </c>
      <c r="F134" t="str">
        <f>VLOOKUP(B134,'Agent wise'!A:E,5,0)</f>
        <v>Wireless</v>
      </c>
      <c r="G134" s="32">
        <v>45932</v>
      </c>
      <c r="H134">
        <f>COUNTIFS('Audit Raw data'!J:J,B:B,'Audit Raw data'!E:E,G:G)</f>
        <v>0</v>
      </c>
      <c r="I134" s="44" t="str">
        <f>IFERROR((SUMIFS('Audit Raw data'!BZ:BZ,'Audit Raw data'!J:J,B:B,'Audit Raw data'!E:E,G:G)/H134)/100,"-")</f>
        <v>-</v>
      </c>
      <c r="J134">
        <f>COUNTIFS('Audit Raw data'!AM:AM,"Yes",'Audit Raw data'!J:J,B:B,'Audit Raw data'!E:E,'Day wise agent'!G:G)</f>
        <v>0</v>
      </c>
      <c r="K134">
        <f>COUNTIFS('Audit Raw data'!AM:AM,"NO",'Audit Raw data'!J:J,B:B,'Audit Raw data'!E:E,'Day wise agent'!G:G)</f>
        <v>0</v>
      </c>
      <c r="L134" s="12" t="str">
        <f t="shared" si="5"/>
        <v xml:space="preserve"> </v>
      </c>
    </row>
    <row r="135" spans="1:12" x14ac:dyDescent="0.35">
      <c r="A135" t="str">
        <f t="shared" si="4"/>
        <v>SBM71845932</v>
      </c>
      <c r="B135" t="s">
        <v>451</v>
      </c>
      <c r="C135" t="s">
        <v>1487</v>
      </c>
      <c r="D135" s="32">
        <v>45491</v>
      </c>
      <c r="E135" t="s">
        <v>1484</v>
      </c>
      <c r="F135" t="str">
        <f>VLOOKUP(B135,'Agent wise'!A:E,5,0)</f>
        <v>Wireless</v>
      </c>
      <c r="G135" s="32">
        <v>45932</v>
      </c>
      <c r="H135">
        <f>COUNTIFS('Audit Raw data'!J:J,B:B,'Audit Raw data'!E:E,G:G)</f>
        <v>1</v>
      </c>
      <c r="I135" s="44">
        <f>IFERROR((SUMIFS('Audit Raw data'!BZ:BZ,'Audit Raw data'!J:J,B:B,'Audit Raw data'!E:E,G:G)/H135)/100,"-")</f>
        <v>0.94</v>
      </c>
      <c r="J135">
        <f>COUNTIFS('Audit Raw data'!AM:AM,"Yes",'Audit Raw data'!J:J,B:B,'Audit Raw data'!E:E,'Day wise agent'!G:G)</f>
        <v>1</v>
      </c>
      <c r="K135">
        <f>COUNTIFS('Audit Raw data'!AM:AM,"NO",'Audit Raw data'!J:J,B:B,'Audit Raw data'!E:E,'Day wise agent'!G:G)</f>
        <v>0</v>
      </c>
      <c r="L135" s="12">
        <f t="shared" si="5"/>
        <v>1</v>
      </c>
    </row>
    <row r="136" spans="1:12" x14ac:dyDescent="0.35">
      <c r="A136" t="str">
        <f t="shared" si="4"/>
        <v>SBM72045932</v>
      </c>
      <c r="B136" t="s">
        <v>557</v>
      </c>
      <c r="C136" t="s">
        <v>1488</v>
      </c>
      <c r="D136" s="32">
        <v>45491</v>
      </c>
      <c r="E136" t="s">
        <v>1484</v>
      </c>
      <c r="F136" t="str">
        <f>VLOOKUP(B136,'Agent wise'!A:E,5,0)</f>
        <v>Wireless</v>
      </c>
      <c r="G136" s="32">
        <v>45932</v>
      </c>
      <c r="H136">
        <f>COUNTIFS('Audit Raw data'!J:J,B:B,'Audit Raw data'!E:E,G:G)</f>
        <v>0</v>
      </c>
      <c r="I136" s="44" t="str">
        <f>IFERROR((SUMIFS('Audit Raw data'!BZ:BZ,'Audit Raw data'!J:J,B:B,'Audit Raw data'!E:E,G:G)/H136)/100,"-")</f>
        <v>-</v>
      </c>
      <c r="J136">
        <f>COUNTIFS('Audit Raw data'!AM:AM,"Yes",'Audit Raw data'!J:J,B:B,'Audit Raw data'!E:E,'Day wise agent'!G:G)</f>
        <v>0</v>
      </c>
      <c r="K136">
        <f>COUNTIFS('Audit Raw data'!AM:AM,"NO",'Audit Raw data'!J:J,B:B,'Audit Raw data'!E:E,'Day wise agent'!G:G)</f>
        <v>0</v>
      </c>
      <c r="L136" s="12" t="str">
        <f t="shared" si="5"/>
        <v xml:space="preserve"> </v>
      </c>
    </row>
    <row r="137" spans="1:12" x14ac:dyDescent="0.35">
      <c r="A137" t="str">
        <f t="shared" si="4"/>
        <v>SBM72445932</v>
      </c>
      <c r="B137" t="s">
        <v>144</v>
      </c>
      <c r="C137" t="s">
        <v>1489</v>
      </c>
      <c r="D137" s="32">
        <v>45491</v>
      </c>
      <c r="E137" t="s">
        <v>1484</v>
      </c>
      <c r="F137" t="str">
        <f>VLOOKUP(B137,'Agent wise'!A:E,5,0)</f>
        <v>Wireless</v>
      </c>
      <c r="G137" s="32">
        <v>45932</v>
      </c>
      <c r="H137">
        <f>COUNTIFS('Audit Raw data'!J:J,B:B,'Audit Raw data'!E:E,G:G)</f>
        <v>0</v>
      </c>
      <c r="I137" s="44" t="str">
        <f>IFERROR((SUMIFS('Audit Raw data'!BZ:BZ,'Audit Raw data'!J:J,B:B,'Audit Raw data'!E:E,G:G)/H137)/100,"-")</f>
        <v>-</v>
      </c>
      <c r="J137">
        <f>COUNTIFS('Audit Raw data'!AM:AM,"Yes",'Audit Raw data'!J:J,B:B,'Audit Raw data'!E:E,'Day wise agent'!G:G)</f>
        <v>0</v>
      </c>
      <c r="K137">
        <f>COUNTIFS('Audit Raw data'!AM:AM,"NO",'Audit Raw data'!J:J,B:B,'Audit Raw data'!E:E,'Day wise agent'!G:G)</f>
        <v>0</v>
      </c>
      <c r="L137" s="12" t="str">
        <f t="shared" si="5"/>
        <v xml:space="preserve"> </v>
      </c>
    </row>
    <row r="138" spans="1:12" x14ac:dyDescent="0.35">
      <c r="A138" t="str">
        <f t="shared" si="4"/>
        <v>SBM73445932</v>
      </c>
      <c r="B138" t="s">
        <v>356</v>
      </c>
      <c r="C138" t="s">
        <v>1490</v>
      </c>
      <c r="D138" s="32">
        <v>45497</v>
      </c>
      <c r="E138" t="s">
        <v>221</v>
      </c>
      <c r="F138" t="str">
        <f>VLOOKUP(B138,'Agent wise'!A:E,5,0)</f>
        <v>Wire-line</v>
      </c>
      <c r="G138" s="32">
        <v>45932</v>
      </c>
      <c r="H138">
        <f>COUNTIFS('Audit Raw data'!J:J,B:B,'Audit Raw data'!E:E,G:G)</f>
        <v>2</v>
      </c>
      <c r="I138" s="44">
        <f>IFERROR((SUMIFS('Audit Raw data'!BZ:BZ,'Audit Raw data'!J:J,B:B,'Audit Raw data'!E:E,G:G)/H138)/100,"-")</f>
        <v>0.93</v>
      </c>
      <c r="J138">
        <f>COUNTIFS('Audit Raw data'!AM:AM,"Yes",'Audit Raw data'!J:J,B:B,'Audit Raw data'!E:E,'Day wise agent'!G:G)</f>
        <v>2</v>
      </c>
      <c r="K138">
        <f>COUNTIFS('Audit Raw data'!AM:AM,"NO",'Audit Raw data'!J:J,B:B,'Audit Raw data'!E:E,'Day wise agent'!G:G)</f>
        <v>0</v>
      </c>
      <c r="L138" s="12">
        <f t="shared" si="5"/>
        <v>1</v>
      </c>
    </row>
    <row r="139" spans="1:12" x14ac:dyDescent="0.35">
      <c r="A139" t="str">
        <f t="shared" si="4"/>
        <v>SBM73645932</v>
      </c>
      <c r="B139" t="s">
        <v>501</v>
      </c>
      <c r="C139" t="s">
        <v>1491</v>
      </c>
      <c r="D139" s="32">
        <v>45500</v>
      </c>
      <c r="E139" t="s">
        <v>221</v>
      </c>
      <c r="F139" t="str">
        <f>VLOOKUP(B139,'Agent wise'!A:E,5,0)</f>
        <v>Wire-line</v>
      </c>
      <c r="G139" s="32">
        <v>45932</v>
      </c>
      <c r="H139">
        <f>COUNTIFS('Audit Raw data'!J:J,B:B,'Audit Raw data'!E:E,G:G)</f>
        <v>0</v>
      </c>
      <c r="I139" s="44" t="str">
        <f>IFERROR((SUMIFS('Audit Raw data'!BZ:BZ,'Audit Raw data'!J:J,B:B,'Audit Raw data'!E:E,G:G)/H139)/100,"-")</f>
        <v>-</v>
      </c>
      <c r="J139">
        <f>COUNTIFS('Audit Raw data'!AM:AM,"Yes",'Audit Raw data'!J:J,B:B,'Audit Raw data'!E:E,'Day wise agent'!G:G)</f>
        <v>0</v>
      </c>
      <c r="K139">
        <f>COUNTIFS('Audit Raw data'!AM:AM,"NO",'Audit Raw data'!J:J,B:B,'Audit Raw data'!E:E,'Day wise agent'!G:G)</f>
        <v>0</v>
      </c>
      <c r="L139" s="12" t="str">
        <f t="shared" si="5"/>
        <v xml:space="preserve"> </v>
      </c>
    </row>
    <row r="140" spans="1:12" x14ac:dyDescent="0.35">
      <c r="A140" t="str">
        <f t="shared" si="4"/>
        <v>SBM73945932</v>
      </c>
      <c r="B140" t="s">
        <v>559</v>
      </c>
      <c r="C140" t="s">
        <v>1492</v>
      </c>
      <c r="D140" s="32">
        <v>45516</v>
      </c>
      <c r="E140" t="s">
        <v>1484</v>
      </c>
      <c r="F140" t="str">
        <f>VLOOKUP(B140,'Agent wise'!A:E,5,0)</f>
        <v>Wireless</v>
      </c>
      <c r="G140" s="32">
        <v>45932</v>
      </c>
      <c r="H140">
        <f>COUNTIFS('Audit Raw data'!J:J,B:B,'Audit Raw data'!E:E,G:G)</f>
        <v>0</v>
      </c>
      <c r="I140" s="44" t="str">
        <f>IFERROR((SUMIFS('Audit Raw data'!BZ:BZ,'Audit Raw data'!J:J,B:B,'Audit Raw data'!E:E,G:G)/H140)/100,"-")</f>
        <v>-</v>
      </c>
      <c r="J140">
        <f>COUNTIFS('Audit Raw data'!AM:AM,"Yes",'Audit Raw data'!J:J,B:B,'Audit Raw data'!E:E,'Day wise agent'!G:G)</f>
        <v>0</v>
      </c>
      <c r="K140">
        <f>COUNTIFS('Audit Raw data'!AM:AM,"NO",'Audit Raw data'!J:J,B:B,'Audit Raw data'!E:E,'Day wise agent'!G:G)</f>
        <v>0</v>
      </c>
      <c r="L140" s="12" t="str">
        <f t="shared" si="5"/>
        <v xml:space="preserve"> </v>
      </c>
    </row>
    <row r="141" spans="1:12" x14ac:dyDescent="0.35">
      <c r="A141" t="str">
        <f t="shared" si="4"/>
        <v>SBM74445932</v>
      </c>
      <c r="B141" t="s">
        <v>96</v>
      </c>
      <c r="C141" t="s">
        <v>1493</v>
      </c>
      <c r="D141" s="32">
        <v>45516</v>
      </c>
      <c r="E141" t="s">
        <v>1484</v>
      </c>
      <c r="F141" t="str">
        <f>VLOOKUP(B141,'Agent wise'!A:E,5,0)</f>
        <v>Wireless</v>
      </c>
      <c r="G141" s="32">
        <v>45932</v>
      </c>
      <c r="H141">
        <f>COUNTIFS('Audit Raw data'!J:J,B:B,'Audit Raw data'!E:E,G:G)</f>
        <v>0</v>
      </c>
      <c r="I141" s="44" t="str">
        <f>IFERROR((SUMIFS('Audit Raw data'!BZ:BZ,'Audit Raw data'!J:J,B:B,'Audit Raw data'!E:E,G:G)/H141)/100,"-")</f>
        <v>-</v>
      </c>
      <c r="J141">
        <f>COUNTIFS('Audit Raw data'!AM:AM,"Yes",'Audit Raw data'!J:J,B:B,'Audit Raw data'!E:E,'Day wise agent'!G:G)</f>
        <v>0</v>
      </c>
      <c r="K141">
        <f>COUNTIFS('Audit Raw data'!AM:AM,"NO",'Audit Raw data'!J:J,B:B,'Audit Raw data'!E:E,'Day wise agent'!G:G)</f>
        <v>0</v>
      </c>
      <c r="L141" s="12" t="str">
        <f t="shared" si="5"/>
        <v xml:space="preserve"> </v>
      </c>
    </row>
    <row r="142" spans="1:12" x14ac:dyDescent="0.35">
      <c r="A142" t="str">
        <f t="shared" si="4"/>
        <v>SBM75545932</v>
      </c>
      <c r="B142" t="s">
        <v>409</v>
      </c>
      <c r="C142" t="s">
        <v>1494</v>
      </c>
      <c r="D142" s="32">
        <v>45518</v>
      </c>
      <c r="E142" t="s">
        <v>221</v>
      </c>
      <c r="F142" t="str">
        <f>VLOOKUP(B142,'Agent wise'!A:E,5,0)</f>
        <v>Wire-line</v>
      </c>
      <c r="G142" s="32">
        <v>45932</v>
      </c>
      <c r="H142">
        <f>COUNTIFS('Audit Raw data'!J:J,B:B,'Audit Raw data'!E:E,G:G)</f>
        <v>1</v>
      </c>
      <c r="I142" s="44">
        <f>IFERROR((SUMIFS('Audit Raw data'!BZ:BZ,'Audit Raw data'!J:J,B:B,'Audit Raw data'!E:E,G:G)/H142)/100,"-")</f>
        <v>0.96</v>
      </c>
      <c r="J142">
        <f>COUNTIFS('Audit Raw data'!AM:AM,"Yes",'Audit Raw data'!J:J,B:B,'Audit Raw data'!E:E,'Day wise agent'!G:G)</f>
        <v>1</v>
      </c>
      <c r="K142">
        <f>COUNTIFS('Audit Raw data'!AM:AM,"NO",'Audit Raw data'!J:J,B:B,'Audit Raw data'!E:E,'Day wise agent'!G:G)</f>
        <v>0</v>
      </c>
      <c r="L142" s="12">
        <f t="shared" si="5"/>
        <v>1</v>
      </c>
    </row>
    <row r="143" spans="1:12" x14ac:dyDescent="0.35">
      <c r="A143" t="str">
        <f t="shared" si="4"/>
        <v>SBM75845932</v>
      </c>
      <c r="B143" t="s">
        <v>420</v>
      </c>
      <c r="C143" t="s">
        <v>1502</v>
      </c>
      <c r="D143" s="32">
        <v>45518</v>
      </c>
      <c r="E143" t="s">
        <v>221</v>
      </c>
      <c r="F143" t="str">
        <f>VLOOKUP(B143,'Agent wise'!A:E,5,0)</f>
        <v>Wire-line</v>
      </c>
      <c r="G143" s="32">
        <v>45932</v>
      </c>
      <c r="H143">
        <f>COUNTIFS('Audit Raw data'!J:J,B:B,'Audit Raw data'!E:E,G:G)</f>
        <v>1</v>
      </c>
      <c r="I143" s="44">
        <f>IFERROR((SUMIFS('Audit Raw data'!BZ:BZ,'Audit Raw data'!J:J,B:B,'Audit Raw data'!E:E,G:G)/H143)/100,"-")</f>
        <v>0.94</v>
      </c>
      <c r="J143">
        <f>COUNTIFS('Audit Raw data'!AM:AM,"Yes",'Audit Raw data'!J:J,B:B,'Audit Raw data'!E:E,'Day wise agent'!G:G)</f>
        <v>1</v>
      </c>
      <c r="K143">
        <f>COUNTIFS('Audit Raw data'!AM:AM,"NO",'Audit Raw data'!J:J,B:B,'Audit Raw data'!E:E,'Day wise agent'!G:G)</f>
        <v>0</v>
      </c>
      <c r="L143" s="12">
        <f t="shared" si="5"/>
        <v>1</v>
      </c>
    </row>
    <row r="144" spans="1:12" x14ac:dyDescent="0.35">
      <c r="A144" t="str">
        <f t="shared" si="4"/>
        <v>SBM76745932</v>
      </c>
      <c r="B144" t="s">
        <v>442</v>
      </c>
      <c r="C144" t="s">
        <v>1495</v>
      </c>
      <c r="D144" s="32">
        <v>45520</v>
      </c>
      <c r="E144" t="s">
        <v>107</v>
      </c>
      <c r="F144" t="str">
        <f>VLOOKUP(B144,'Agent wise'!A:E,5,0)</f>
        <v>Wireless</v>
      </c>
      <c r="G144" s="32">
        <v>45932</v>
      </c>
      <c r="H144">
        <f>COUNTIFS('Audit Raw data'!J:J,B:B,'Audit Raw data'!E:E,G:G)</f>
        <v>0</v>
      </c>
      <c r="I144" s="44" t="str">
        <f>IFERROR((SUMIFS('Audit Raw data'!BZ:BZ,'Audit Raw data'!J:J,B:B,'Audit Raw data'!E:E,G:G)/H144)/100,"-")</f>
        <v>-</v>
      </c>
      <c r="J144">
        <f>COUNTIFS('Audit Raw data'!AM:AM,"Yes",'Audit Raw data'!J:J,B:B,'Audit Raw data'!E:E,'Day wise agent'!G:G)</f>
        <v>0</v>
      </c>
      <c r="K144">
        <f>COUNTIFS('Audit Raw data'!AM:AM,"NO",'Audit Raw data'!J:J,B:B,'Audit Raw data'!E:E,'Day wise agent'!G:G)</f>
        <v>0</v>
      </c>
      <c r="L144" s="12" t="str">
        <f t="shared" si="5"/>
        <v xml:space="preserve"> </v>
      </c>
    </row>
    <row r="145" spans="1:12" x14ac:dyDescent="0.35">
      <c r="A145" t="str">
        <f t="shared" si="4"/>
        <v>SBM77245932</v>
      </c>
      <c r="B145" t="s">
        <v>640</v>
      </c>
      <c r="C145" t="s">
        <v>1497</v>
      </c>
      <c r="D145" s="32">
        <v>45528</v>
      </c>
      <c r="E145" t="s">
        <v>178</v>
      </c>
      <c r="F145" t="str">
        <f>VLOOKUP(B145,'Agent wise'!A:E,5,0)</f>
        <v>Wireless</v>
      </c>
      <c r="G145" s="32">
        <v>45932</v>
      </c>
      <c r="H145">
        <f>COUNTIFS('Audit Raw data'!J:J,B:B,'Audit Raw data'!E:E,G:G)</f>
        <v>0</v>
      </c>
      <c r="I145" s="44" t="str">
        <f>IFERROR((SUMIFS('Audit Raw data'!BZ:BZ,'Audit Raw data'!J:J,B:B,'Audit Raw data'!E:E,G:G)/H145)/100,"-")</f>
        <v>-</v>
      </c>
      <c r="J145">
        <f>COUNTIFS('Audit Raw data'!AM:AM,"Yes",'Audit Raw data'!J:J,B:B,'Audit Raw data'!E:E,'Day wise agent'!G:G)</f>
        <v>0</v>
      </c>
      <c r="K145">
        <f>COUNTIFS('Audit Raw data'!AM:AM,"NO",'Audit Raw data'!J:J,B:B,'Audit Raw data'!E:E,'Day wise agent'!G:G)</f>
        <v>0</v>
      </c>
      <c r="L145" s="12" t="str">
        <f t="shared" si="5"/>
        <v xml:space="preserve"> </v>
      </c>
    </row>
    <row r="146" spans="1:12" x14ac:dyDescent="0.35">
      <c r="A146" t="str">
        <f t="shared" si="4"/>
        <v>SBM77345932</v>
      </c>
      <c r="B146" t="s">
        <v>464</v>
      </c>
      <c r="C146" t="s">
        <v>1496</v>
      </c>
      <c r="D146" s="32">
        <v>45526</v>
      </c>
      <c r="E146" t="s">
        <v>178</v>
      </c>
      <c r="F146" t="str">
        <f>VLOOKUP(B146,'Agent wise'!A:E,5,0)</f>
        <v>Wireless</v>
      </c>
      <c r="G146" s="32">
        <v>45932</v>
      </c>
      <c r="H146">
        <f>COUNTIFS('Audit Raw data'!J:J,B:B,'Audit Raw data'!E:E,G:G)</f>
        <v>0</v>
      </c>
      <c r="I146" s="44" t="str">
        <f>IFERROR((SUMIFS('Audit Raw data'!BZ:BZ,'Audit Raw data'!J:J,B:B,'Audit Raw data'!E:E,G:G)/H146)/100,"-")</f>
        <v>-</v>
      </c>
      <c r="J146">
        <f>COUNTIFS('Audit Raw data'!AM:AM,"Yes",'Audit Raw data'!J:J,B:B,'Audit Raw data'!E:E,'Day wise agent'!G:G)</f>
        <v>0</v>
      </c>
      <c r="K146">
        <f>COUNTIFS('Audit Raw data'!AM:AM,"NO",'Audit Raw data'!J:J,B:B,'Audit Raw data'!E:E,'Day wise agent'!G:G)</f>
        <v>0</v>
      </c>
      <c r="L146" s="12" t="str">
        <f t="shared" si="5"/>
        <v xml:space="preserve"> </v>
      </c>
    </row>
    <row r="147" spans="1:12" x14ac:dyDescent="0.35">
      <c r="A147" t="str">
        <f t="shared" si="4"/>
        <v>SBM77545932</v>
      </c>
      <c r="B147" t="s">
        <v>643</v>
      </c>
      <c r="C147" t="s">
        <v>1498</v>
      </c>
      <c r="D147" s="32">
        <v>45535</v>
      </c>
      <c r="E147" t="s">
        <v>1484</v>
      </c>
      <c r="F147" t="str">
        <f>VLOOKUP(B147,'Agent wise'!A:E,5,0)</f>
        <v>Wireless</v>
      </c>
      <c r="G147" s="32">
        <v>45932</v>
      </c>
      <c r="H147">
        <f>COUNTIFS('Audit Raw data'!J:J,B:B,'Audit Raw data'!E:E,G:G)</f>
        <v>0</v>
      </c>
      <c r="I147" s="44" t="str">
        <f>IFERROR((SUMIFS('Audit Raw data'!BZ:BZ,'Audit Raw data'!J:J,B:B,'Audit Raw data'!E:E,G:G)/H147)/100,"-")</f>
        <v>-</v>
      </c>
      <c r="J147">
        <f>COUNTIFS('Audit Raw data'!AM:AM,"Yes",'Audit Raw data'!J:J,B:B,'Audit Raw data'!E:E,'Day wise agent'!G:G)</f>
        <v>0</v>
      </c>
      <c r="K147">
        <f>COUNTIFS('Audit Raw data'!AM:AM,"NO",'Audit Raw data'!J:J,B:B,'Audit Raw data'!E:E,'Day wise agent'!G:G)</f>
        <v>0</v>
      </c>
      <c r="L147" s="12" t="str">
        <f t="shared" si="5"/>
        <v xml:space="preserve"> </v>
      </c>
    </row>
    <row r="148" spans="1:12" x14ac:dyDescent="0.35">
      <c r="A148" t="str">
        <f t="shared" si="4"/>
        <v>SBM79245932</v>
      </c>
      <c r="B148" t="s">
        <v>179</v>
      </c>
      <c r="C148" t="s">
        <v>1499</v>
      </c>
      <c r="D148" s="32">
        <v>45545</v>
      </c>
      <c r="E148" t="s">
        <v>178</v>
      </c>
      <c r="F148" t="str">
        <f>VLOOKUP(B148,'Agent wise'!A:E,5,0)</f>
        <v>Wireless</v>
      </c>
      <c r="G148" s="32">
        <v>45932</v>
      </c>
      <c r="H148">
        <f>COUNTIFS('Audit Raw data'!J:J,B:B,'Audit Raw data'!E:E,G:G)</f>
        <v>0</v>
      </c>
      <c r="I148" s="44" t="str">
        <f>IFERROR((SUMIFS('Audit Raw data'!BZ:BZ,'Audit Raw data'!J:J,B:B,'Audit Raw data'!E:E,G:G)/H148)/100,"-")</f>
        <v>-</v>
      </c>
      <c r="J148">
        <f>COUNTIFS('Audit Raw data'!AM:AM,"Yes",'Audit Raw data'!J:J,B:B,'Audit Raw data'!E:E,'Day wise agent'!G:G)</f>
        <v>0</v>
      </c>
      <c r="K148">
        <f>COUNTIFS('Audit Raw data'!AM:AM,"NO",'Audit Raw data'!J:J,B:B,'Audit Raw data'!E:E,'Day wise agent'!G:G)</f>
        <v>0</v>
      </c>
      <c r="L148" s="12" t="str">
        <f t="shared" si="5"/>
        <v xml:space="preserve"> </v>
      </c>
    </row>
    <row r="149" spans="1:12" x14ac:dyDescent="0.35">
      <c r="A149" t="str">
        <f t="shared" si="4"/>
        <v>SBM79445932</v>
      </c>
      <c r="B149" t="s">
        <v>246</v>
      </c>
      <c r="C149" t="s">
        <v>1500</v>
      </c>
      <c r="D149" s="32">
        <v>45550</v>
      </c>
      <c r="E149" t="s">
        <v>221</v>
      </c>
      <c r="F149" t="str">
        <f>VLOOKUP(B149,'Agent wise'!A:E,5,0)</f>
        <v>Wire-line</v>
      </c>
      <c r="G149" s="32">
        <v>45932</v>
      </c>
      <c r="H149">
        <f>COUNTIFS('Audit Raw data'!J:J,B:B,'Audit Raw data'!E:E,G:G)</f>
        <v>3</v>
      </c>
      <c r="I149" s="44">
        <f>IFERROR((SUMIFS('Audit Raw data'!BZ:BZ,'Audit Raw data'!J:J,B:B,'Audit Raw data'!E:E,G:G)/H149)/100,"-")</f>
        <v>0.98666666666666669</v>
      </c>
      <c r="J149">
        <f>COUNTIFS('Audit Raw data'!AM:AM,"Yes",'Audit Raw data'!J:J,B:B,'Audit Raw data'!E:E,'Day wise agent'!G:G)</f>
        <v>3</v>
      </c>
      <c r="K149">
        <f>COUNTIFS('Audit Raw data'!AM:AM,"NO",'Audit Raw data'!J:J,B:B,'Audit Raw data'!E:E,'Day wise agent'!G:G)</f>
        <v>0</v>
      </c>
      <c r="L149" s="12">
        <f t="shared" si="5"/>
        <v>1</v>
      </c>
    </row>
    <row r="150" spans="1:12" x14ac:dyDescent="0.35">
      <c r="A150" t="str">
        <f t="shared" si="4"/>
        <v>SBM90145932</v>
      </c>
      <c r="B150" t="s">
        <v>646</v>
      </c>
      <c r="C150" t="s">
        <v>1501</v>
      </c>
      <c r="D150" s="32">
        <v>45564</v>
      </c>
      <c r="E150" t="s">
        <v>1484</v>
      </c>
      <c r="F150" t="str">
        <f>VLOOKUP(B150,'Agent wise'!A:E,5,0)</f>
        <v>Wireless</v>
      </c>
      <c r="G150" s="32">
        <v>45932</v>
      </c>
      <c r="H150">
        <f>COUNTIFS('Audit Raw data'!J:J,B:B,'Audit Raw data'!E:E,G:G)</f>
        <v>0</v>
      </c>
      <c r="I150" s="44" t="str">
        <f>IFERROR((SUMIFS('Audit Raw data'!BZ:BZ,'Audit Raw data'!J:J,B:B,'Audit Raw data'!E:E,G:G)/H150)/100,"-")</f>
        <v>-</v>
      </c>
      <c r="J150">
        <f>COUNTIFS('Audit Raw data'!AM:AM,"Yes",'Audit Raw data'!J:J,B:B,'Audit Raw data'!E:E,'Day wise agent'!G:G)</f>
        <v>0</v>
      </c>
      <c r="K150">
        <f>COUNTIFS('Audit Raw data'!AM:AM,"NO",'Audit Raw data'!J:J,B:B,'Audit Raw data'!E:E,'Day wise agent'!G:G)</f>
        <v>0</v>
      </c>
      <c r="L150" s="12" t="str">
        <f t="shared" si="5"/>
        <v xml:space="preserve"> </v>
      </c>
    </row>
    <row r="151" spans="1:12" x14ac:dyDescent="0.35">
      <c r="A151" t="str">
        <f t="shared" si="4"/>
        <v>SBM91345932</v>
      </c>
      <c r="B151" t="s">
        <v>650</v>
      </c>
      <c r="C151" t="s">
        <v>1503</v>
      </c>
      <c r="D151" s="32">
        <v>45589</v>
      </c>
      <c r="E151" t="s">
        <v>178</v>
      </c>
      <c r="F151" t="str">
        <f>VLOOKUP(B151,'Agent wise'!A:E,5,0)</f>
        <v>Wireless</v>
      </c>
      <c r="G151" s="32">
        <v>45932</v>
      </c>
      <c r="H151">
        <f>COUNTIFS('Audit Raw data'!J:J,B:B,'Audit Raw data'!E:E,G:G)</f>
        <v>0</v>
      </c>
      <c r="I151" s="44" t="str">
        <f>IFERROR((SUMIFS('Audit Raw data'!BZ:BZ,'Audit Raw data'!J:J,B:B,'Audit Raw data'!E:E,G:G)/H151)/100,"-")</f>
        <v>-</v>
      </c>
      <c r="J151">
        <f>COUNTIFS('Audit Raw data'!AM:AM,"Yes",'Audit Raw data'!J:J,B:B,'Audit Raw data'!E:E,'Day wise agent'!G:G)</f>
        <v>0</v>
      </c>
      <c r="K151">
        <f>COUNTIFS('Audit Raw data'!AM:AM,"NO",'Audit Raw data'!J:J,B:B,'Audit Raw data'!E:E,'Day wise agent'!G:G)</f>
        <v>0</v>
      </c>
      <c r="L151" s="12" t="str">
        <f t="shared" si="5"/>
        <v xml:space="preserve"> </v>
      </c>
    </row>
    <row r="152" spans="1:12" x14ac:dyDescent="0.35">
      <c r="A152" t="str">
        <f t="shared" si="4"/>
        <v>SBM94645932</v>
      </c>
      <c r="B152" t="s">
        <v>653</v>
      </c>
      <c r="C152" t="s">
        <v>1505</v>
      </c>
      <c r="D152" s="32">
        <v>45635</v>
      </c>
      <c r="E152" t="s">
        <v>1453</v>
      </c>
      <c r="F152" t="str">
        <f>VLOOKUP(B152,'Agent wise'!A:E,5,0)</f>
        <v>Wireless</v>
      </c>
      <c r="G152" s="32">
        <v>45932</v>
      </c>
      <c r="H152">
        <f>COUNTIFS('Audit Raw data'!J:J,B:B,'Audit Raw data'!E:E,G:G)</f>
        <v>0</v>
      </c>
      <c r="I152" s="44" t="str">
        <f>IFERROR((SUMIFS('Audit Raw data'!BZ:BZ,'Audit Raw data'!J:J,B:B,'Audit Raw data'!E:E,G:G)/H152)/100,"-")</f>
        <v>-</v>
      </c>
      <c r="J152">
        <f>COUNTIFS('Audit Raw data'!AM:AM,"Yes",'Audit Raw data'!J:J,B:B,'Audit Raw data'!E:E,'Day wise agent'!G:G)</f>
        <v>0</v>
      </c>
      <c r="K152">
        <f>COUNTIFS('Audit Raw data'!AM:AM,"NO",'Audit Raw data'!J:J,B:B,'Audit Raw data'!E:E,'Day wise agent'!G:G)</f>
        <v>0</v>
      </c>
      <c r="L152" s="12" t="str">
        <f t="shared" si="5"/>
        <v xml:space="preserve"> </v>
      </c>
    </row>
    <row r="153" spans="1:12" x14ac:dyDescent="0.35">
      <c r="A153" t="str">
        <f t="shared" si="4"/>
        <v>SBM95845932</v>
      </c>
      <c r="B153" t="s">
        <v>124</v>
      </c>
      <c r="C153" t="s">
        <v>1508</v>
      </c>
      <c r="D153" s="32">
        <v>45641</v>
      </c>
      <c r="E153" t="s">
        <v>1453</v>
      </c>
      <c r="F153" t="str">
        <f>VLOOKUP(B153,'Agent wise'!A:E,5,0)</f>
        <v>Wireless</v>
      </c>
      <c r="G153" s="32">
        <v>45932</v>
      </c>
      <c r="H153">
        <f>COUNTIFS('Audit Raw data'!J:J,B:B,'Audit Raw data'!E:E,G:G)</f>
        <v>1</v>
      </c>
      <c r="I153" s="44">
        <f>IFERROR((SUMIFS('Audit Raw data'!BZ:BZ,'Audit Raw data'!J:J,B:B,'Audit Raw data'!E:E,G:G)/H153)/100,"-")</f>
        <v>0.9</v>
      </c>
      <c r="J153">
        <f>COUNTIFS('Audit Raw data'!AM:AM,"Yes",'Audit Raw data'!J:J,B:B,'Audit Raw data'!E:E,'Day wise agent'!G:G)</f>
        <v>1</v>
      </c>
      <c r="K153">
        <f>COUNTIFS('Audit Raw data'!AM:AM,"NO",'Audit Raw data'!J:J,B:B,'Audit Raw data'!E:E,'Day wise agent'!G:G)</f>
        <v>0</v>
      </c>
      <c r="L153" s="12">
        <f t="shared" si="5"/>
        <v>1</v>
      </c>
    </row>
    <row r="154" spans="1:12" x14ac:dyDescent="0.35">
      <c r="A154" t="str">
        <f t="shared" si="4"/>
        <v>SBM96345932</v>
      </c>
      <c r="B154" t="s">
        <v>149</v>
      </c>
      <c r="C154" t="s">
        <v>1506</v>
      </c>
      <c r="D154" s="32">
        <v>45637</v>
      </c>
      <c r="E154" t="s">
        <v>107</v>
      </c>
      <c r="F154" t="str">
        <f>VLOOKUP(B154,'Agent wise'!A:E,5,0)</f>
        <v>Wireless</v>
      </c>
      <c r="G154" s="32">
        <v>45932</v>
      </c>
      <c r="H154">
        <f>COUNTIFS('Audit Raw data'!J:J,B:B,'Audit Raw data'!E:E,G:G)</f>
        <v>2</v>
      </c>
      <c r="I154" s="44">
        <f>IFERROR((SUMIFS('Audit Raw data'!BZ:BZ,'Audit Raw data'!J:J,B:B,'Audit Raw data'!E:E,G:G)/H154)/100,"-")</f>
        <v>0.95</v>
      </c>
      <c r="J154">
        <f>COUNTIFS('Audit Raw data'!AM:AM,"Yes",'Audit Raw data'!J:J,B:B,'Audit Raw data'!E:E,'Day wise agent'!G:G)</f>
        <v>2</v>
      </c>
      <c r="K154">
        <f>COUNTIFS('Audit Raw data'!AM:AM,"NO",'Audit Raw data'!J:J,B:B,'Audit Raw data'!E:E,'Day wise agent'!G:G)</f>
        <v>0</v>
      </c>
      <c r="L154" s="12">
        <f t="shared" si="5"/>
        <v>1</v>
      </c>
    </row>
    <row r="155" spans="1:12" x14ac:dyDescent="0.35">
      <c r="A155" t="str">
        <f t="shared" si="4"/>
        <v>SBM96745932</v>
      </c>
      <c r="B155" t="s">
        <v>657</v>
      </c>
      <c r="C155" t="s">
        <v>1507</v>
      </c>
      <c r="D155" s="32">
        <v>45640</v>
      </c>
      <c r="E155" t="s">
        <v>1453</v>
      </c>
      <c r="F155" t="str">
        <f>VLOOKUP(B155,'Agent wise'!A:E,5,0)</f>
        <v>Wireless</v>
      </c>
      <c r="G155" s="32">
        <v>45932</v>
      </c>
      <c r="H155">
        <f>COUNTIFS('Audit Raw data'!J:J,B:B,'Audit Raw data'!E:E,G:G)</f>
        <v>0</v>
      </c>
      <c r="I155" s="44" t="str">
        <f>IFERROR((SUMIFS('Audit Raw data'!BZ:BZ,'Audit Raw data'!J:J,B:B,'Audit Raw data'!E:E,G:G)/H155)/100,"-")</f>
        <v>-</v>
      </c>
      <c r="J155">
        <f>COUNTIFS('Audit Raw data'!AM:AM,"Yes",'Audit Raw data'!J:J,B:B,'Audit Raw data'!E:E,'Day wise agent'!G:G)</f>
        <v>0</v>
      </c>
      <c r="K155">
        <f>COUNTIFS('Audit Raw data'!AM:AM,"NO",'Audit Raw data'!J:J,B:B,'Audit Raw data'!E:E,'Day wise agent'!G:G)</f>
        <v>0</v>
      </c>
      <c r="L155" s="12" t="str">
        <f t="shared" si="5"/>
        <v xml:space="preserve"> </v>
      </c>
    </row>
    <row r="156" spans="1:12" x14ac:dyDescent="0.35">
      <c r="A156" t="str">
        <f t="shared" si="4"/>
        <v>SBM98345932</v>
      </c>
      <c r="B156" t="s">
        <v>1509</v>
      </c>
      <c r="C156" t="s">
        <v>1510</v>
      </c>
      <c r="D156" s="32">
        <v>45659</v>
      </c>
      <c r="E156" t="s">
        <v>1484</v>
      </c>
      <c r="F156" t="str">
        <f>VLOOKUP(B156,'Agent wise'!A:E,5,0)</f>
        <v>Wireless</v>
      </c>
      <c r="G156" s="32">
        <v>45932</v>
      </c>
      <c r="H156">
        <f>COUNTIFS('Audit Raw data'!J:J,B:B,'Audit Raw data'!E:E,G:G)</f>
        <v>0</v>
      </c>
      <c r="I156" s="44" t="str">
        <f>IFERROR((SUMIFS('Audit Raw data'!BZ:BZ,'Audit Raw data'!J:J,B:B,'Audit Raw data'!E:E,G:G)/H156)/100,"-")</f>
        <v>-</v>
      </c>
      <c r="J156">
        <f>COUNTIFS('Audit Raw data'!AM:AM,"Yes",'Audit Raw data'!J:J,B:B,'Audit Raw data'!E:E,'Day wise agent'!G:G)</f>
        <v>0</v>
      </c>
      <c r="K156">
        <f>COUNTIFS('Audit Raw data'!AM:AM,"NO",'Audit Raw data'!J:J,B:B,'Audit Raw data'!E:E,'Day wise agent'!G:G)</f>
        <v>0</v>
      </c>
      <c r="L156" s="12" t="str">
        <f t="shared" si="5"/>
        <v xml:space="preserve"> </v>
      </c>
    </row>
    <row r="157" spans="1:12" x14ac:dyDescent="0.35">
      <c r="A157" t="str">
        <f t="shared" si="4"/>
        <v>SBM99045932</v>
      </c>
      <c r="B157" t="s">
        <v>660</v>
      </c>
      <c r="C157" t="s">
        <v>1512</v>
      </c>
      <c r="D157" s="32">
        <v>45663</v>
      </c>
      <c r="E157" t="s">
        <v>178</v>
      </c>
      <c r="F157" t="str">
        <f>VLOOKUP(B157,'Agent wise'!A:E,5,0)</f>
        <v>Wireless</v>
      </c>
      <c r="G157" s="32">
        <v>45932</v>
      </c>
      <c r="H157">
        <f>COUNTIFS('Audit Raw data'!J:J,B:B,'Audit Raw data'!E:E,G:G)</f>
        <v>0</v>
      </c>
      <c r="I157" s="44" t="str">
        <f>IFERROR((SUMIFS('Audit Raw data'!BZ:BZ,'Audit Raw data'!J:J,B:B,'Audit Raw data'!E:E,G:G)/H157)/100,"-")</f>
        <v>-</v>
      </c>
      <c r="J157">
        <f>COUNTIFS('Audit Raw data'!AM:AM,"Yes",'Audit Raw data'!J:J,B:B,'Audit Raw data'!E:E,'Day wise agent'!G:G)</f>
        <v>0</v>
      </c>
      <c r="K157">
        <f>COUNTIFS('Audit Raw data'!AM:AM,"NO",'Audit Raw data'!J:J,B:B,'Audit Raw data'!E:E,'Day wise agent'!G:G)</f>
        <v>0</v>
      </c>
      <c r="L157" s="12" t="str">
        <f t="shared" si="5"/>
        <v xml:space="preserve"> </v>
      </c>
    </row>
    <row r="158" spans="1:12" x14ac:dyDescent="0.35">
      <c r="A158" t="str">
        <f t="shared" si="4"/>
        <v>VPS10645932</v>
      </c>
      <c r="B158" t="s">
        <v>1513</v>
      </c>
      <c r="C158" t="s">
        <v>1514</v>
      </c>
      <c r="D158" s="32">
        <v>45674</v>
      </c>
      <c r="E158" t="s">
        <v>1456</v>
      </c>
      <c r="F158" t="str">
        <f>VLOOKUP(B158,'Agent wise'!A:E,5,0)</f>
        <v>RECL</v>
      </c>
      <c r="G158" s="32">
        <v>45932</v>
      </c>
      <c r="H158">
        <f>COUNTIFS('Audit Raw data'!J:J,B:B,'Audit Raw data'!E:E,G:G)</f>
        <v>0</v>
      </c>
      <c r="I158" s="44" t="str">
        <f>IFERROR((SUMIFS('Audit Raw data'!BZ:BZ,'Audit Raw data'!J:J,B:B,'Audit Raw data'!E:E,G:G)/H158)/100,"-")</f>
        <v>-</v>
      </c>
      <c r="J158">
        <f>COUNTIFS('Audit Raw data'!AM:AM,"Yes",'Audit Raw data'!J:J,B:B,'Audit Raw data'!E:E,'Day wise agent'!G:G)</f>
        <v>0</v>
      </c>
      <c r="K158">
        <f>COUNTIFS('Audit Raw data'!AM:AM,"NO",'Audit Raw data'!J:J,B:B,'Audit Raw data'!E:E,'Day wise agent'!G:G)</f>
        <v>0</v>
      </c>
      <c r="L158" s="12" t="str">
        <f t="shared" si="5"/>
        <v xml:space="preserve"> </v>
      </c>
    </row>
    <row r="159" spans="1:12" x14ac:dyDescent="0.35">
      <c r="A159" t="str">
        <f t="shared" si="4"/>
        <v>VPS11145932</v>
      </c>
      <c r="B159" t="s">
        <v>108</v>
      </c>
      <c r="C159" t="s">
        <v>1515</v>
      </c>
      <c r="D159" s="32">
        <v>45675</v>
      </c>
      <c r="E159" t="s">
        <v>1484</v>
      </c>
      <c r="F159" t="str">
        <f>VLOOKUP(B159,'Agent wise'!A:E,5,0)</f>
        <v>Wireless</v>
      </c>
      <c r="G159" s="32">
        <v>45932</v>
      </c>
      <c r="H159">
        <f>COUNTIFS('Audit Raw data'!J:J,B:B,'Audit Raw data'!E:E,G:G)</f>
        <v>3</v>
      </c>
      <c r="I159" s="44">
        <f>IFERROR((SUMIFS('Audit Raw data'!BZ:BZ,'Audit Raw data'!J:J,B:B,'Audit Raw data'!E:E,G:G)/H159)/100,"-")</f>
        <v>0.87333333333333329</v>
      </c>
      <c r="J159">
        <f>COUNTIFS('Audit Raw data'!AM:AM,"Yes",'Audit Raw data'!J:J,B:B,'Audit Raw data'!E:E,'Day wise agent'!G:G)</f>
        <v>3</v>
      </c>
      <c r="K159">
        <f>COUNTIFS('Audit Raw data'!AM:AM,"NO",'Audit Raw data'!J:J,B:B,'Audit Raw data'!E:E,'Day wise agent'!G:G)</f>
        <v>0</v>
      </c>
      <c r="L159" s="12">
        <f t="shared" si="5"/>
        <v>1</v>
      </c>
    </row>
    <row r="160" spans="1:12" x14ac:dyDescent="0.35">
      <c r="A160" t="str">
        <f t="shared" si="4"/>
        <v>VPS12045932</v>
      </c>
      <c r="B160" t="s">
        <v>263</v>
      </c>
      <c r="C160" t="s">
        <v>1516</v>
      </c>
      <c r="D160" s="32">
        <v>45690</v>
      </c>
      <c r="E160" t="s">
        <v>178</v>
      </c>
      <c r="F160" t="str">
        <f>VLOOKUP(B160,'Agent wise'!A:E,5,0)</f>
        <v>Wireless</v>
      </c>
      <c r="G160" s="32">
        <v>45932</v>
      </c>
      <c r="H160">
        <f>COUNTIFS('Audit Raw data'!J:J,B:B,'Audit Raw data'!E:E,G:G)</f>
        <v>1</v>
      </c>
      <c r="I160" s="44">
        <f>IFERROR((SUMIFS('Audit Raw data'!BZ:BZ,'Audit Raw data'!J:J,B:B,'Audit Raw data'!E:E,G:G)/H160)/100,"-")</f>
        <v>0.8</v>
      </c>
      <c r="J160">
        <f>COUNTIFS('Audit Raw data'!AM:AM,"Yes",'Audit Raw data'!J:J,B:B,'Audit Raw data'!E:E,'Day wise agent'!G:G)</f>
        <v>1</v>
      </c>
      <c r="K160">
        <f>COUNTIFS('Audit Raw data'!AM:AM,"NO",'Audit Raw data'!J:J,B:B,'Audit Raw data'!E:E,'Day wise agent'!G:G)</f>
        <v>0</v>
      </c>
      <c r="L160" s="12">
        <f t="shared" si="5"/>
        <v>1</v>
      </c>
    </row>
    <row r="161" spans="1:12" x14ac:dyDescent="0.35">
      <c r="A161" t="str">
        <f t="shared" si="4"/>
        <v>VPS12445932</v>
      </c>
      <c r="B161" t="s">
        <v>1517</v>
      </c>
      <c r="C161" t="s">
        <v>1518</v>
      </c>
      <c r="D161" s="32">
        <v>45705</v>
      </c>
      <c r="E161" t="s">
        <v>1456</v>
      </c>
      <c r="F161" t="str">
        <f>VLOOKUP(B161,'Agent wise'!A:E,5,0)</f>
        <v>RECL</v>
      </c>
      <c r="G161" s="32">
        <v>45932</v>
      </c>
      <c r="H161">
        <f>COUNTIFS('Audit Raw data'!J:J,B:B,'Audit Raw data'!E:E,G:G)</f>
        <v>0</v>
      </c>
      <c r="I161" s="44" t="str">
        <f>IFERROR((SUMIFS('Audit Raw data'!BZ:BZ,'Audit Raw data'!J:J,B:B,'Audit Raw data'!E:E,G:G)/H161)/100,"-")</f>
        <v>-</v>
      </c>
      <c r="J161">
        <f>COUNTIFS('Audit Raw data'!AM:AM,"Yes",'Audit Raw data'!J:J,B:B,'Audit Raw data'!E:E,'Day wise agent'!G:G)</f>
        <v>0</v>
      </c>
      <c r="K161">
        <f>COUNTIFS('Audit Raw data'!AM:AM,"NO",'Audit Raw data'!J:J,B:B,'Audit Raw data'!E:E,'Day wise agent'!G:G)</f>
        <v>0</v>
      </c>
      <c r="L161" s="12" t="str">
        <f t="shared" si="5"/>
        <v xml:space="preserve"> </v>
      </c>
    </row>
    <row r="162" spans="1:12" x14ac:dyDescent="0.35">
      <c r="A162" t="str">
        <f t="shared" si="4"/>
        <v>VPS12645932</v>
      </c>
      <c r="B162" t="s">
        <v>1521</v>
      </c>
      <c r="C162" t="s">
        <v>1522</v>
      </c>
      <c r="D162" s="32">
        <v>45710</v>
      </c>
      <c r="E162" t="s">
        <v>1456</v>
      </c>
      <c r="F162" t="str">
        <f>VLOOKUP(B162,'Agent wise'!A:E,5,0)</f>
        <v>RECL</v>
      </c>
      <c r="G162" s="32">
        <v>45932</v>
      </c>
      <c r="H162">
        <f>COUNTIFS('Audit Raw data'!J:J,B:B,'Audit Raw data'!E:E,G:G)</f>
        <v>0</v>
      </c>
      <c r="I162" s="44" t="str">
        <f>IFERROR((SUMIFS('Audit Raw data'!BZ:BZ,'Audit Raw data'!J:J,B:B,'Audit Raw data'!E:E,G:G)/H162)/100,"-")</f>
        <v>-</v>
      </c>
      <c r="J162">
        <f>COUNTIFS('Audit Raw data'!AM:AM,"Yes",'Audit Raw data'!J:J,B:B,'Audit Raw data'!E:E,'Day wise agent'!G:G)</f>
        <v>0</v>
      </c>
      <c r="K162">
        <f>COUNTIFS('Audit Raw data'!AM:AM,"NO",'Audit Raw data'!J:J,B:B,'Audit Raw data'!E:E,'Day wise agent'!G:G)</f>
        <v>0</v>
      </c>
      <c r="L162" s="12" t="str">
        <f t="shared" si="5"/>
        <v xml:space="preserve"> </v>
      </c>
    </row>
    <row r="163" spans="1:12" x14ac:dyDescent="0.35">
      <c r="A163" t="str">
        <f t="shared" si="4"/>
        <v>VPS12745932</v>
      </c>
      <c r="B163" t="s">
        <v>1523</v>
      </c>
      <c r="C163" t="s">
        <v>1524</v>
      </c>
      <c r="D163" s="32">
        <v>45710</v>
      </c>
      <c r="E163" t="s">
        <v>1456</v>
      </c>
      <c r="F163" t="str">
        <f>VLOOKUP(B163,'Agent wise'!A:E,5,0)</f>
        <v>RECL</v>
      </c>
      <c r="G163" s="32">
        <v>45932</v>
      </c>
      <c r="H163">
        <f>COUNTIFS('Audit Raw data'!J:J,B:B,'Audit Raw data'!E:E,G:G)</f>
        <v>0</v>
      </c>
      <c r="I163" s="44" t="str">
        <f>IFERROR((SUMIFS('Audit Raw data'!BZ:BZ,'Audit Raw data'!J:J,B:B,'Audit Raw data'!E:E,G:G)/H163)/100,"-")</f>
        <v>-</v>
      </c>
      <c r="J163">
        <f>COUNTIFS('Audit Raw data'!AM:AM,"Yes",'Audit Raw data'!J:J,B:B,'Audit Raw data'!E:E,'Day wise agent'!G:G)</f>
        <v>0</v>
      </c>
      <c r="K163">
        <f>COUNTIFS('Audit Raw data'!AM:AM,"NO",'Audit Raw data'!J:J,B:B,'Audit Raw data'!E:E,'Day wise agent'!G:G)</f>
        <v>0</v>
      </c>
      <c r="L163" s="12" t="str">
        <f t="shared" si="5"/>
        <v xml:space="preserve"> </v>
      </c>
    </row>
    <row r="164" spans="1:12" x14ac:dyDescent="0.35">
      <c r="A164" t="str">
        <f t="shared" si="4"/>
        <v>VPS13045932</v>
      </c>
      <c r="B164" t="s">
        <v>662</v>
      </c>
      <c r="C164" t="s">
        <v>1525</v>
      </c>
      <c r="D164" s="32">
        <v>45710</v>
      </c>
      <c r="E164" t="s">
        <v>1484</v>
      </c>
      <c r="F164" t="str">
        <f>VLOOKUP(B164,'Agent wise'!A:E,5,0)</f>
        <v>Wireless</v>
      </c>
      <c r="G164" s="32">
        <v>45932</v>
      </c>
      <c r="H164">
        <f>COUNTIFS('Audit Raw data'!J:J,B:B,'Audit Raw data'!E:E,G:G)</f>
        <v>0</v>
      </c>
      <c r="I164" s="44" t="str">
        <f>IFERROR((SUMIFS('Audit Raw data'!BZ:BZ,'Audit Raw data'!J:J,B:B,'Audit Raw data'!E:E,G:G)/H164)/100,"-")</f>
        <v>-</v>
      </c>
      <c r="J164">
        <f>COUNTIFS('Audit Raw data'!AM:AM,"Yes",'Audit Raw data'!J:J,B:B,'Audit Raw data'!E:E,'Day wise agent'!G:G)</f>
        <v>0</v>
      </c>
      <c r="K164">
        <f>COUNTIFS('Audit Raw data'!AM:AM,"NO",'Audit Raw data'!J:J,B:B,'Audit Raw data'!E:E,'Day wise agent'!G:G)</f>
        <v>0</v>
      </c>
      <c r="L164" s="12" t="str">
        <f t="shared" si="5"/>
        <v xml:space="preserve"> </v>
      </c>
    </row>
    <row r="165" spans="1:12" x14ac:dyDescent="0.35">
      <c r="A165" t="str">
        <f t="shared" si="4"/>
        <v>VPS13145932</v>
      </c>
      <c r="B165" t="s">
        <v>1519</v>
      </c>
      <c r="C165" t="s">
        <v>1520</v>
      </c>
      <c r="D165" s="32">
        <v>45710</v>
      </c>
      <c r="E165" t="s">
        <v>1456</v>
      </c>
      <c r="F165" t="str">
        <f>VLOOKUP(B165,'Agent wise'!A:E,5,0)</f>
        <v>RECL</v>
      </c>
      <c r="G165" s="32">
        <v>45932</v>
      </c>
      <c r="H165">
        <f>COUNTIFS('Audit Raw data'!J:J,B:B,'Audit Raw data'!E:E,G:G)</f>
        <v>0</v>
      </c>
      <c r="I165" s="44" t="str">
        <f>IFERROR((SUMIFS('Audit Raw data'!BZ:BZ,'Audit Raw data'!J:J,B:B,'Audit Raw data'!E:E,G:G)/H165)/100,"-")</f>
        <v>-</v>
      </c>
      <c r="J165">
        <f>COUNTIFS('Audit Raw data'!AM:AM,"Yes",'Audit Raw data'!J:J,B:B,'Audit Raw data'!E:E,'Day wise agent'!G:G)</f>
        <v>0</v>
      </c>
      <c r="K165">
        <f>COUNTIFS('Audit Raw data'!AM:AM,"NO",'Audit Raw data'!J:J,B:B,'Audit Raw data'!E:E,'Day wise agent'!G:G)</f>
        <v>0</v>
      </c>
      <c r="L165" s="12" t="str">
        <f t="shared" si="5"/>
        <v xml:space="preserve"> </v>
      </c>
    </row>
    <row r="166" spans="1:12" x14ac:dyDescent="0.35">
      <c r="A166" t="str">
        <f t="shared" si="4"/>
        <v>VPS13245932</v>
      </c>
      <c r="B166" t="s">
        <v>1526</v>
      </c>
      <c r="C166" t="s">
        <v>1527</v>
      </c>
      <c r="D166" s="32">
        <v>45717</v>
      </c>
      <c r="E166" t="s">
        <v>221</v>
      </c>
      <c r="F166" t="str">
        <f>VLOOKUP(B166,'Agent wise'!A:E,5,0)</f>
        <v>Wire-line</v>
      </c>
      <c r="G166" s="32">
        <v>45932</v>
      </c>
      <c r="H166">
        <f>COUNTIFS('Audit Raw data'!J:J,B:B,'Audit Raw data'!E:E,G:G)</f>
        <v>0</v>
      </c>
      <c r="I166" s="44" t="str">
        <f>IFERROR((SUMIFS('Audit Raw data'!BZ:BZ,'Audit Raw data'!J:J,B:B,'Audit Raw data'!E:E,G:G)/H166)/100,"-")</f>
        <v>-</v>
      </c>
      <c r="J166">
        <f>COUNTIFS('Audit Raw data'!AM:AM,"Yes",'Audit Raw data'!J:J,B:B,'Audit Raw data'!E:E,'Day wise agent'!G:G)</f>
        <v>0</v>
      </c>
      <c r="K166">
        <f>COUNTIFS('Audit Raw data'!AM:AM,"NO",'Audit Raw data'!J:J,B:B,'Audit Raw data'!E:E,'Day wise agent'!G:G)</f>
        <v>0</v>
      </c>
      <c r="L166" s="12" t="str">
        <f t="shared" si="5"/>
        <v xml:space="preserve"> </v>
      </c>
    </row>
    <row r="167" spans="1:12" x14ac:dyDescent="0.35">
      <c r="A167" t="str">
        <f t="shared" si="4"/>
        <v>VPS14345932</v>
      </c>
      <c r="B167" t="s">
        <v>269</v>
      </c>
      <c r="C167" t="s">
        <v>1528</v>
      </c>
      <c r="D167" s="32">
        <v>45723</v>
      </c>
      <c r="E167" t="s">
        <v>1484</v>
      </c>
      <c r="F167" t="str">
        <f>VLOOKUP(B167,'Agent wise'!A:E,5,0)</f>
        <v>Wireless</v>
      </c>
      <c r="G167" s="32">
        <v>45932</v>
      </c>
      <c r="H167">
        <f>COUNTIFS('Audit Raw data'!J:J,B:B,'Audit Raw data'!E:E,G:G)</f>
        <v>2</v>
      </c>
      <c r="I167" s="44">
        <f>IFERROR((SUMIFS('Audit Raw data'!BZ:BZ,'Audit Raw data'!J:J,B:B,'Audit Raw data'!E:E,G:G)/H167)/100,"-")</f>
        <v>1</v>
      </c>
      <c r="J167">
        <f>COUNTIFS('Audit Raw data'!AM:AM,"Yes",'Audit Raw data'!J:J,B:B,'Audit Raw data'!E:E,'Day wise agent'!G:G)</f>
        <v>2</v>
      </c>
      <c r="K167">
        <f>COUNTIFS('Audit Raw data'!AM:AM,"NO",'Audit Raw data'!J:J,B:B,'Audit Raw data'!E:E,'Day wise agent'!G:G)</f>
        <v>0</v>
      </c>
      <c r="L167" s="12">
        <f t="shared" si="5"/>
        <v>1</v>
      </c>
    </row>
    <row r="168" spans="1:12" x14ac:dyDescent="0.35">
      <c r="A168" t="str">
        <f t="shared" si="4"/>
        <v>VPS15145932</v>
      </c>
      <c r="B168" t="s">
        <v>274</v>
      </c>
      <c r="C168" t="s">
        <v>1529</v>
      </c>
      <c r="D168" s="32">
        <v>45735</v>
      </c>
      <c r="E168" t="s">
        <v>107</v>
      </c>
      <c r="F168" t="str">
        <f>VLOOKUP(B168,'Agent wise'!A:E,5,0)</f>
        <v>Wireless</v>
      </c>
      <c r="G168" s="32">
        <v>45932</v>
      </c>
      <c r="H168">
        <f>COUNTIFS('Audit Raw data'!J:J,B:B,'Audit Raw data'!E:E,G:G)</f>
        <v>1</v>
      </c>
      <c r="I168" s="44">
        <f>IFERROR((SUMIFS('Audit Raw data'!BZ:BZ,'Audit Raw data'!J:J,B:B,'Audit Raw data'!E:E,G:G)/H168)/100,"-")</f>
        <v>0.92</v>
      </c>
      <c r="J168">
        <f>COUNTIFS('Audit Raw data'!AM:AM,"Yes",'Audit Raw data'!J:J,B:B,'Audit Raw data'!E:E,'Day wise agent'!G:G)</f>
        <v>1</v>
      </c>
      <c r="K168">
        <f>COUNTIFS('Audit Raw data'!AM:AM,"NO",'Audit Raw data'!J:J,B:B,'Audit Raw data'!E:E,'Day wise agent'!G:G)</f>
        <v>0</v>
      </c>
      <c r="L168" s="12">
        <f t="shared" si="5"/>
        <v>1</v>
      </c>
    </row>
    <row r="169" spans="1:12" x14ac:dyDescent="0.35">
      <c r="A169" t="str">
        <f t="shared" si="4"/>
        <v>VPS16045932</v>
      </c>
      <c r="B169" t="s">
        <v>258</v>
      </c>
      <c r="C169" t="s">
        <v>1530</v>
      </c>
      <c r="D169" s="32">
        <v>45748</v>
      </c>
      <c r="E169" t="s">
        <v>1484</v>
      </c>
      <c r="F169" t="str">
        <f>VLOOKUP(B169,'Agent wise'!A:E,5,0)</f>
        <v>Wireless</v>
      </c>
      <c r="G169" s="32">
        <v>45932</v>
      </c>
      <c r="H169">
        <f>COUNTIFS('Audit Raw data'!J:J,B:B,'Audit Raw data'!E:E,G:G)</f>
        <v>2</v>
      </c>
      <c r="I169" s="44">
        <f>IFERROR((SUMIFS('Audit Raw data'!BZ:BZ,'Audit Raw data'!J:J,B:B,'Audit Raw data'!E:E,G:G)/H169)/100,"-")</f>
        <v>0.92</v>
      </c>
      <c r="J169">
        <f>COUNTIFS('Audit Raw data'!AM:AM,"Yes",'Audit Raw data'!J:J,B:B,'Audit Raw data'!E:E,'Day wise agent'!G:G)</f>
        <v>2</v>
      </c>
      <c r="K169">
        <f>COUNTIFS('Audit Raw data'!AM:AM,"NO",'Audit Raw data'!J:J,B:B,'Audit Raw data'!E:E,'Day wise agent'!G:G)</f>
        <v>0</v>
      </c>
      <c r="L169" s="12">
        <f t="shared" si="5"/>
        <v>1</v>
      </c>
    </row>
    <row r="170" spans="1:12" x14ac:dyDescent="0.35">
      <c r="A170" t="str">
        <f t="shared" si="4"/>
        <v>VPS17145932</v>
      </c>
      <c r="B170" t="s">
        <v>307</v>
      </c>
      <c r="C170" t="s">
        <v>1531</v>
      </c>
      <c r="D170" s="32">
        <v>45767</v>
      </c>
      <c r="E170" t="s">
        <v>221</v>
      </c>
      <c r="F170" t="str">
        <f>VLOOKUP(B170,'Agent wise'!A:E,5,0)</f>
        <v>Wire-line</v>
      </c>
      <c r="G170" s="32">
        <v>45932</v>
      </c>
      <c r="H170">
        <f>COUNTIFS('Audit Raw data'!J:J,B:B,'Audit Raw data'!E:E,G:G)</f>
        <v>1</v>
      </c>
      <c r="I170" s="44">
        <f>IFERROR((SUMIFS('Audit Raw data'!BZ:BZ,'Audit Raw data'!J:J,B:B,'Audit Raw data'!E:E,G:G)/H170)/100,"-")</f>
        <v>1</v>
      </c>
      <c r="J170">
        <f>COUNTIFS('Audit Raw data'!AM:AM,"Yes",'Audit Raw data'!J:J,B:B,'Audit Raw data'!E:E,'Day wise agent'!G:G)</f>
        <v>1</v>
      </c>
      <c r="K170">
        <f>COUNTIFS('Audit Raw data'!AM:AM,"NO",'Audit Raw data'!J:J,B:B,'Audit Raw data'!E:E,'Day wise agent'!G:G)</f>
        <v>0</v>
      </c>
      <c r="L170" s="12">
        <f t="shared" si="5"/>
        <v>1</v>
      </c>
    </row>
    <row r="171" spans="1:12" x14ac:dyDescent="0.35">
      <c r="A171" t="str">
        <f t="shared" si="4"/>
        <v>VPS17745932</v>
      </c>
      <c r="B171" t="s">
        <v>280</v>
      </c>
      <c r="C171" t="s">
        <v>1532</v>
      </c>
      <c r="D171" s="32">
        <v>45766</v>
      </c>
      <c r="E171" t="s">
        <v>1453</v>
      </c>
      <c r="F171" t="str">
        <f>VLOOKUP(B171,'Agent wise'!A:E,5,0)</f>
        <v>Wireless</v>
      </c>
      <c r="G171" s="32">
        <v>45932</v>
      </c>
      <c r="H171">
        <f>COUNTIFS('Audit Raw data'!J:J,B:B,'Audit Raw data'!E:E,G:G)</f>
        <v>1</v>
      </c>
      <c r="I171" s="44">
        <f>IFERROR((SUMIFS('Audit Raw data'!BZ:BZ,'Audit Raw data'!J:J,B:B,'Audit Raw data'!E:E,G:G)/H171)/100,"-")</f>
        <v>0.7</v>
      </c>
      <c r="J171">
        <f>COUNTIFS('Audit Raw data'!AM:AM,"Yes",'Audit Raw data'!J:J,B:B,'Audit Raw data'!E:E,'Day wise agent'!G:G)</f>
        <v>1</v>
      </c>
      <c r="K171">
        <f>COUNTIFS('Audit Raw data'!AM:AM,"NO",'Audit Raw data'!J:J,B:B,'Audit Raw data'!E:E,'Day wise agent'!G:G)</f>
        <v>0</v>
      </c>
      <c r="L171" s="12">
        <f t="shared" si="5"/>
        <v>1</v>
      </c>
    </row>
    <row r="172" spans="1:12" x14ac:dyDescent="0.35">
      <c r="A172" t="str">
        <f t="shared" si="4"/>
        <v>VPS18145932</v>
      </c>
      <c r="B172" t="s">
        <v>234</v>
      </c>
      <c r="C172" t="s">
        <v>1533</v>
      </c>
      <c r="D172" s="32">
        <v>45775</v>
      </c>
      <c r="E172" t="s">
        <v>221</v>
      </c>
      <c r="F172" t="str">
        <f>VLOOKUP(B172,'Agent wise'!A:E,5,0)</f>
        <v>Wire-line</v>
      </c>
      <c r="G172" s="32">
        <v>45932</v>
      </c>
      <c r="H172">
        <f>COUNTIFS('Audit Raw data'!J:J,B:B,'Audit Raw data'!E:E,G:G)</f>
        <v>1</v>
      </c>
      <c r="I172" s="44">
        <f>IFERROR((SUMIFS('Audit Raw data'!BZ:BZ,'Audit Raw data'!J:J,B:B,'Audit Raw data'!E:E,G:G)/H172)/100,"-")</f>
        <v>0.96</v>
      </c>
      <c r="J172">
        <f>COUNTIFS('Audit Raw data'!AM:AM,"Yes",'Audit Raw data'!J:J,B:B,'Audit Raw data'!E:E,'Day wise agent'!G:G)</f>
        <v>1</v>
      </c>
      <c r="K172">
        <f>COUNTIFS('Audit Raw data'!AM:AM,"NO",'Audit Raw data'!J:J,B:B,'Audit Raw data'!E:E,'Day wise agent'!G:G)</f>
        <v>0</v>
      </c>
      <c r="L172" s="12">
        <f t="shared" si="5"/>
        <v>1</v>
      </c>
    </row>
    <row r="173" spans="1:12" x14ac:dyDescent="0.35">
      <c r="A173" t="str">
        <f t="shared" si="4"/>
        <v>VPS18245932</v>
      </c>
      <c r="B173" t="s">
        <v>568</v>
      </c>
      <c r="C173" t="s">
        <v>1534</v>
      </c>
      <c r="D173" s="32">
        <v>45797</v>
      </c>
      <c r="E173" t="s">
        <v>221</v>
      </c>
      <c r="F173" t="str">
        <f>VLOOKUP(B173,'Agent wise'!A:E,5,0)</f>
        <v>Wire-line</v>
      </c>
      <c r="G173" s="32">
        <v>45932</v>
      </c>
      <c r="H173">
        <f>COUNTIFS('Audit Raw data'!J:J,B:B,'Audit Raw data'!E:E,G:G)</f>
        <v>0</v>
      </c>
      <c r="I173" s="44" t="str">
        <f>IFERROR((SUMIFS('Audit Raw data'!BZ:BZ,'Audit Raw data'!J:J,B:B,'Audit Raw data'!E:E,G:G)/H173)/100,"-")</f>
        <v>-</v>
      </c>
      <c r="J173">
        <f>COUNTIFS('Audit Raw data'!AM:AM,"Yes",'Audit Raw data'!J:J,B:B,'Audit Raw data'!E:E,'Day wise agent'!G:G)</f>
        <v>0</v>
      </c>
      <c r="K173">
        <f>COUNTIFS('Audit Raw data'!AM:AM,"NO",'Audit Raw data'!J:J,B:B,'Audit Raw data'!E:E,'Day wise agent'!G:G)</f>
        <v>0</v>
      </c>
      <c r="L173" s="12" t="str">
        <f t="shared" si="5"/>
        <v xml:space="preserve"> </v>
      </c>
    </row>
    <row r="174" spans="1:12" x14ac:dyDescent="0.35">
      <c r="A174" t="str">
        <f t="shared" si="4"/>
        <v>VPS18345932</v>
      </c>
      <c r="B174" t="s">
        <v>570</v>
      </c>
      <c r="C174" t="s">
        <v>1535</v>
      </c>
      <c r="D174" s="32">
        <v>45797</v>
      </c>
      <c r="E174" t="s">
        <v>221</v>
      </c>
      <c r="F174" t="str">
        <f>VLOOKUP(B174,'Agent wise'!A:E,5,0)</f>
        <v>Wire-line</v>
      </c>
      <c r="G174" s="32">
        <v>45932</v>
      </c>
      <c r="H174">
        <f>COUNTIFS('Audit Raw data'!J:J,B:B,'Audit Raw data'!E:E,G:G)</f>
        <v>0</v>
      </c>
      <c r="I174" s="44" t="str">
        <f>IFERROR((SUMIFS('Audit Raw data'!BZ:BZ,'Audit Raw data'!J:J,B:B,'Audit Raw data'!E:E,G:G)/H174)/100,"-")</f>
        <v>-</v>
      </c>
      <c r="J174">
        <f>COUNTIFS('Audit Raw data'!AM:AM,"Yes",'Audit Raw data'!J:J,B:B,'Audit Raw data'!E:E,'Day wise agent'!G:G)</f>
        <v>0</v>
      </c>
      <c r="K174">
        <f>COUNTIFS('Audit Raw data'!AM:AM,"NO",'Audit Raw data'!J:J,B:B,'Audit Raw data'!E:E,'Day wise agent'!G:G)</f>
        <v>0</v>
      </c>
      <c r="L174" s="12" t="str">
        <f t="shared" si="5"/>
        <v xml:space="preserve"> </v>
      </c>
    </row>
    <row r="175" spans="1:12" x14ac:dyDescent="0.35">
      <c r="A175" t="str">
        <f t="shared" si="4"/>
        <v>VPS18445932</v>
      </c>
      <c r="B175" t="s">
        <v>117</v>
      </c>
      <c r="C175" t="s">
        <v>1536</v>
      </c>
      <c r="D175" s="32">
        <v>45809</v>
      </c>
      <c r="E175" t="s">
        <v>1453</v>
      </c>
      <c r="F175" t="str">
        <f>VLOOKUP(B175,'Agent wise'!A:E,5,0)</f>
        <v>Wireless</v>
      </c>
      <c r="G175" s="32">
        <v>45932</v>
      </c>
      <c r="H175">
        <f>COUNTIFS('Audit Raw data'!J:J,B:B,'Audit Raw data'!E:E,G:G)</f>
        <v>2</v>
      </c>
      <c r="I175" s="44">
        <f>IFERROR((SUMIFS('Audit Raw data'!BZ:BZ,'Audit Raw data'!J:J,B:B,'Audit Raw data'!E:E,G:G)/H175)/100,"-")</f>
        <v>0.89</v>
      </c>
      <c r="J175">
        <f>COUNTIFS('Audit Raw data'!AM:AM,"Yes",'Audit Raw data'!J:J,B:B,'Audit Raw data'!E:E,'Day wise agent'!G:G)</f>
        <v>2</v>
      </c>
      <c r="K175">
        <f>COUNTIFS('Audit Raw data'!AM:AM,"NO",'Audit Raw data'!J:J,B:B,'Audit Raw data'!E:E,'Day wise agent'!G:G)</f>
        <v>0</v>
      </c>
      <c r="L175" s="12">
        <f t="shared" si="5"/>
        <v>1</v>
      </c>
    </row>
    <row r="176" spans="1:12" x14ac:dyDescent="0.35">
      <c r="A176" t="str">
        <f t="shared" si="4"/>
        <v>VPS19145932</v>
      </c>
      <c r="B176" t="s">
        <v>586</v>
      </c>
      <c r="C176" t="s">
        <v>1537</v>
      </c>
      <c r="D176" s="32">
        <v>45809</v>
      </c>
      <c r="E176" t="s">
        <v>107</v>
      </c>
      <c r="F176" t="str">
        <f>VLOOKUP(B176,'Agent wise'!A:E,5,0)</f>
        <v>Wireless</v>
      </c>
      <c r="G176" s="32">
        <v>45932</v>
      </c>
      <c r="H176">
        <f>COUNTIFS('Audit Raw data'!J:J,B:B,'Audit Raw data'!E:E,G:G)</f>
        <v>0</v>
      </c>
      <c r="I176" s="44" t="str">
        <f>IFERROR((SUMIFS('Audit Raw data'!BZ:BZ,'Audit Raw data'!J:J,B:B,'Audit Raw data'!E:E,G:G)/H176)/100,"-")</f>
        <v>-</v>
      </c>
      <c r="J176">
        <f>COUNTIFS('Audit Raw data'!AM:AM,"Yes",'Audit Raw data'!J:J,B:B,'Audit Raw data'!E:E,'Day wise agent'!G:G)</f>
        <v>0</v>
      </c>
      <c r="K176">
        <f>COUNTIFS('Audit Raw data'!AM:AM,"NO",'Audit Raw data'!J:J,B:B,'Audit Raw data'!E:E,'Day wise agent'!G:G)</f>
        <v>0</v>
      </c>
      <c r="L176" s="12" t="str">
        <f t="shared" si="5"/>
        <v xml:space="preserve"> </v>
      </c>
    </row>
    <row r="177" spans="1:12" x14ac:dyDescent="0.35">
      <c r="A177" t="str">
        <f t="shared" si="4"/>
        <v>VPS19345932</v>
      </c>
      <c r="B177" t="s">
        <v>302</v>
      </c>
      <c r="C177" t="s">
        <v>1538</v>
      </c>
      <c r="D177" s="32">
        <v>45823</v>
      </c>
      <c r="E177" t="s">
        <v>107</v>
      </c>
      <c r="F177" t="str">
        <f>VLOOKUP(B177,'Agent wise'!A:E,5,0)</f>
        <v>Wireless</v>
      </c>
      <c r="G177" s="32">
        <v>45932</v>
      </c>
      <c r="H177">
        <f>COUNTIFS('Audit Raw data'!J:J,B:B,'Audit Raw data'!E:E,G:G)</f>
        <v>1</v>
      </c>
      <c r="I177" s="44">
        <f>IFERROR((SUMIFS('Audit Raw data'!BZ:BZ,'Audit Raw data'!J:J,B:B,'Audit Raw data'!E:E,G:G)/H177)/100,"-")</f>
        <v>0.8</v>
      </c>
      <c r="J177">
        <f>COUNTIFS('Audit Raw data'!AM:AM,"Yes",'Audit Raw data'!J:J,B:B,'Audit Raw data'!E:E,'Day wise agent'!G:G)</f>
        <v>0</v>
      </c>
      <c r="K177">
        <f>COUNTIFS('Audit Raw data'!AM:AM,"NO",'Audit Raw data'!J:J,B:B,'Audit Raw data'!E:E,'Day wise agent'!G:G)</f>
        <v>1</v>
      </c>
      <c r="L177" s="12">
        <f t="shared" si="5"/>
        <v>0</v>
      </c>
    </row>
    <row r="178" spans="1:12" x14ac:dyDescent="0.35">
      <c r="A178" t="str">
        <f t="shared" si="4"/>
        <v>VPS19745932</v>
      </c>
      <c r="B178" t="s">
        <v>665</v>
      </c>
      <c r="C178" t="s">
        <v>1539</v>
      </c>
      <c r="D178" s="32">
        <v>45830</v>
      </c>
      <c r="E178" t="s">
        <v>178</v>
      </c>
      <c r="F178" t="str">
        <f>VLOOKUP(B178,'Agent wise'!A:E,5,0)</f>
        <v>Wireless</v>
      </c>
      <c r="G178" s="32">
        <v>45932</v>
      </c>
      <c r="H178">
        <f>COUNTIFS('Audit Raw data'!J:J,B:B,'Audit Raw data'!E:E,G:G)</f>
        <v>0</v>
      </c>
      <c r="I178" s="44" t="str">
        <f>IFERROR((SUMIFS('Audit Raw data'!BZ:BZ,'Audit Raw data'!J:J,B:B,'Audit Raw data'!E:E,G:G)/H178)/100,"-")</f>
        <v>-</v>
      </c>
      <c r="J178">
        <f>COUNTIFS('Audit Raw data'!AM:AM,"Yes",'Audit Raw data'!J:J,B:B,'Audit Raw data'!E:E,'Day wise agent'!G:G)</f>
        <v>0</v>
      </c>
      <c r="K178">
        <f>COUNTIFS('Audit Raw data'!AM:AM,"NO",'Audit Raw data'!J:J,B:B,'Audit Raw data'!E:E,'Day wise agent'!G:G)</f>
        <v>0</v>
      </c>
      <c r="L178" s="12" t="str">
        <f t="shared" si="5"/>
        <v xml:space="preserve"> </v>
      </c>
    </row>
    <row r="179" spans="1:12" x14ac:dyDescent="0.35">
      <c r="A179" t="str">
        <f t="shared" si="4"/>
        <v>VPS20145932</v>
      </c>
      <c r="B179" t="s">
        <v>439</v>
      </c>
      <c r="C179" t="s">
        <v>1540</v>
      </c>
      <c r="D179" s="32">
        <v>45834</v>
      </c>
      <c r="E179" t="s">
        <v>1453</v>
      </c>
      <c r="F179" t="str">
        <f>VLOOKUP(B179,'Agent wise'!A:E,5,0)</f>
        <v>Wireless</v>
      </c>
      <c r="G179" s="32">
        <v>45932</v>
      </c>
      <c r="H179">
        <f>COUNTIFS('Audit Raw data'!J:J,B:B,'Audit Raw data'!E:E,G:G)</f>
        <v>0</v>
      </c>
      <c r="I179" s="44" t="str">
        <f>IFERROR((SUMIFS('Audit Raw data'!BZ:BZ,'Audit Raw data'!J:J,B:B,'Audit Raw data'!E:E,G:G)/H179)/100,"-")</f>
        <v>-</v>
      </c>
      <c r="J179">
        <f>COUNTIFS('Audit Raw data'!AM:AM,"Yes",'Audit Raw data'!J:J,B:B,'Audit Raw data'!E:E,'Day wise agent'!G:G)</f>
        <v>0</v>
      </c>
      <c r="K179">
        <f>COUNTIFS('Audit Raw data'!AM:AM,"NO",'Audit Raw data'!J:J,B:B,'Audit Raw data'!E:E,'Day wise agent'!G:G)</f>
        <v>0</v>
      </c>
      <c r="L179" s="12" t="str">
        <f t="shared" si="5"/>
        <v xml:space="preserve"> </v>
      </c>
    </row>
    <row r="180" spans="1:12" x14ac:dyDescent="0.35">
      <c r="A180" t="str">
        <f t="shared" si="4"/>
        <v>VPS20445932</v>
      </c>
      <c r="B180" t="s">
        <v>749</v>
      </c>
      <c r="C180" t="s">
        <v>1542</v>
      </c>
      <c r="D180" s="32">
        <v>45840</v>
      </c>
      <c r="E180" t="s">
        <v>1484</v>
      </c>
      <c r="F180" t="str">
        <f>VLOOKUP(B180,'Agent wise'!A:E,5,0)</f>
        <v>Wireless</v>
      </c>
      <c r="G180" s="32">
        <v>45932</v>
      </c>
      <c r="H180">
        <f>COUNTIFS('Audit Raw data'!J:J,B:B,'Audit Raw data'!E:E,G:G)</f>
        <v>0</v>
      </c>
      <c r="I180" s="44" t="str">
        <f>IFERROR((SUMIFS('Audit Raw data'!BZ:BZ,'Audit Raw data'!J:J,B:B,'Audit Raw data'!E:E,G:G)/H180)/100,"-")</f>
        <v>-</v>
      </c>
      <c r="J180">
        <f>COUNTIFS('Audit Raw data'!AM:AM,"Yes",'Audit Raw data'!J:J,B:B,'Audit Raw data'!E:E,'Day wise agent'!G:G)</f>
        <v>0</v>
      </c>
      <c r="K180">
        <f>COUNTIFS('Audit Raw data'!AM:AM,"NO",'Audit Raw data'!J:J,B:B,'Audit Raw data'!E:E,'Day wise agent'!G:G)</f>
        <v>0</v>
      </c>
      <c r="L180" s="12" t="str">
        <f t="shared" si="5"/>
        <v xml:space="preserve"> </v>
      </c>
    </row>
    <row r="181" spans="1:12" x14ac:dyDescent="0.35">
      <c r="A181" t="str">
        <f t="shared" si="4"/>
        <v>VPS20645932</v>
      </c>
      <c r="B181" t="s">
        <v>427</v>
      </c>
      <c r="C181" t="s">
        <v>1541</v>
      </c>
      <c r="D181" s="32">
        <v>45840</v>
      </c>
      <c r="E181" t="s">
        <v>107</v>
      </c>
      <c r="F181" t="str">
        <f>VLOOKUP(B181,'Agent wise'!A:E,5,0)</f>
        <v>Wireless</v>
      </c>
      <c r="G181" s="32">
        <v>45932</v>
      </c>
      <c r="H181">
        <f>COUNTIFS('Audit Raw data'!J:J,B:B,'Audit Raw data'!E:E,G:G)</f>
        <v>1</v>
      </c>
      <c r="I181" s="44">
        <f>IFERROR((SUMIFS('Audit Raw data'!BZ:BZ,'Audit Raw data'!J:J,B:B,'Audit Raw data'!E:E,G:G)/H181)/100,"-")</f>
        <v>0.92</v>
      </c>
      <c r="J181">
        <f>COUNTIFS('Audit Raw data'!AM:AM,"Yes",'Audit Raw data'!J:J,B:B,'Audit Raw data'!E:E,'Day wise agent'!G:G)</f>
        <v>1</v>
      </c>
      <c r="K181">
        <f>COUNTIFS('Audit Raw data'!AM:AM,"NO",'Audit Raw data'!J:J,B:B,'Audit Raw data'!E:E,'Day wise agent'!G:G)</f>
        <v>0</v>
      </c>
      <c r="L181" s="12">
        <f t="shared" si="5"/>
        <v>1</v>
      </c>
    </row>
    <row r="182" spans="1:12" x14ac:dyDescent="0.35">
      <c r="A182" t="str">
        <f t="shared" si="4"/>
        <v>VPS20945932</v>
      </c>
      <c r="B182" t="s">
        <v>528</v>
      </c>
      <c r="C182" t="s">
        <v>1543</v>
      </c>
      <c r="D182" s="32">
        <v>45856</v>
      </c>
      <c r="E182" t="s">
        <v>178</v>
      </c>
      <c r="F182" t="str">
        <f>VLOOKUP(B182,'Agent wise'!A:E,5,0)</f>
        <v>Wireless</v>
      </c>
      <c r="G182" s="32">
        <v>45932</v>
      </c>
      <c r="H182">
        <f>COUNTIFS('Audit Raw data'!J:J,B:B,'Audit Raw data'!E:E,G:G)</f>
        <v>0</v>
      </c>
      <c r="I182" s="44" t="str">
        <f>IFERROR((SUMIFS('Audit Raw data'!BZ:BZ,'Audit Raw data'!J:J,B:B,'Audit Raw data'!E:E,G:G)/H182)/100,"-")</f>
        <v>-</v>
      </c>
      <c r="J182">
        <f>COUNTIFS('Audit Raw data'!AM:AM,"Yes",'Audit Raw data'!J:J,B:B,'Audit Raw data'!E:E,'Day wise agent'!G:G)</f>
        <v>0</v>
      </c>
      <c r="K182">
        <f>COUNTIFS('Audit Raw data'!AM:AM,"NO",'Audit Raw data'!J:J,B:B,'Audit Raw data'!E:E,'Day wise agent'!G:G)</f>
        <v>0</v>
      </c>
      <c r="L182" s="12" t="str">
        <f t="shared" si="5"/>
        <v xml:space="preserve"> </v>
      </c>
    </row>
    <row r="183" spans="1:12" x14ac:dyDescent="0.35">
      <c r="A183" t="str">
        <f t="shared" si="4"/>
        <v>VPS21045932</v>
      </c>
      <c r="B183" t="s">
        <v>589</v>
      </c>
      <c r="C183" t="s">
        <v>1544</v>
      </c>
      <c r="D183" s="32">
        <v>45856</v>
      </c>
      <c r="E183" t="s">
        <v>107</v>
      </c>
      <c r="F183" t="str">
        <f>VLOOKUP(B183,'Agent wise'!A:E,5,0)</f>
        <v>Wireless</v>
      </c>
      <c r="G183" s="32">
        <v>45932</v>
      </c>
      <c r="H183">
        <f>COUNTIFS('Audit Raw data'!J:J,B:B,'Audit Raw data'!E:E,G:G)</f>
        <v>0</v>
      </c>
      <c r="I183" s="44" t="str">
        <f>IFERROR((SUMIFS('Audit Raw data'!BZ:BZ,'Audit Raw data'!J:J,B:B,'Audit Raw data'!E:E,G:G)/H183)/100,"-")</f>
        <v>-</v>
      </c>
      <c r="J183">
        <f>COUNTIFS('Audit Raw data'!AM:AM,"Yes",'Audit Raw data'!J:J,B:B,'Audit Raw data'!E:E,'Day wise agent'!G:G)</f>
        <v>0</v>
      </c>
      <c r="K183">
        <f>COUNTIFS('Audit Raw data'!AM:AM,"NO",'Audit Raw data'!J:J,B:B,'Audit Raw data'!E:E,'Day wise agent'!G:G)</f>
        <v>0</v>
      </c>
      <c r="L183" s="12" t="str">
        <f t="shared" si="5"/>
        <v xml:space="preserve"> </v>
      </c>
    </row>
    <row r="184" spans="1:12" x14ac:dyDescent="0.35">
      <c r="A184" t="str">
        <f t="shared" si="4"/>
        <v>VPS21145932</v>
      </c>
      <c r="B184" t="s">
        <v>367</v>
      </c>
      <c r="C184" t="s">
        <v>1545</v>
      </c>
      <c r="D184" s="32">
        <v>45855</v>
      </c>
      <c r="E184" t="s">
        <v>1453</v>
      </c>
      <c r="F184" t="str">
        <f>VLOOKUP(B184,'Agent wise'!A:E,5,0)</f>
        <v>Wireless</v>
      </c>
      <c r="G184" s="32">
        <v>45932</v>
      </c>
      <c r="H184">
        <f>COUNTIFS('Audit Raw data'!J:J,B:B,'Audit Raw data'!E:E,G:G)</f>
        <v>1</v>
      </c>
      <c r="I184" s="44">
        <f>IFERROR((SUMIFS('Audit Raw data'!BZ:BZ,'Audit Raw data'!J:J,B:B,'Audit Raw data'!E:E,G:G)/H184)/100,"-")</f>
        <v>0.94</v>
      </c>
      <c r="J184">
        <f>COUNTIFS('Audit Raw data'!AM:AM,"Yes",'Audit Raw data'!J:J,B:B,'Audit Raw data'!E:E,'Day wise agent'!G:G)</f>
        <v>1</v>
      </c>
      <c r="K184">
        <f>COUNTIFS('Audit Raw data'!AM:AM,"NO",'Audit Raw data'!J:J,B:B,'Audit Raw data'!E:E,'Day wise agent'!G:G)</f>
        <v>0</v>
      </c>
      <c r="L184" s="12">
        <f t="shared" si="5"/>
        <v>1</v>
      </c>
    </row>
    <row r="185" spans="1:12" x14ac:dyDescent="0.35">
      <c r="A185" t="str">
        <f t="shared" si="4"/>
        <v>VPS21345932</v>
      </c>
      <c r="B185" t="s">
        <v>493</v>
      </c>
      <c r="C185" t="s">
        <v>1546</v>
      </c>
      <c r="D185" s="32">
        <v>45856</v>
      </c>
      <c r="E185" t="s">
        <v>1453</v>
      </c>
      <c r="F185" t="str">
        <f>VLOOKUP(B185,'Agent wise'!A:E,5,0)</f>
        <v>Wireless</v>
      </c>
      <c r="G185" s="32">
        <v>45932</v>
      </c>
      <c r="H185">
        <f>COUNTIFS('Audit Raw data'!J:J,B:B,'Audit Raw data'!E:E,G:G)</f>
        <v>0</v>
      </c>
      <c r="I185" s="44" t="str">
        <f>IFERROR((SUMIFS('Audit Raw data'!BZ:BZ,'Audit Raw data'!J:J,B:B,'Audit Raw data'!E:E,G:G)/H185)/100,"-")</f>
        <v>-</v>
      </c>
      <c r="J185">
        <f>COUNTIFS('Audit Raw data'!AM:AM,"Yes",'Audit Raw data'!J:J,B:B,'Audit Raw data'!E:E,'Day wise agent'!G:G)</f>
        <v>0</v>
      </c>
      <c r="K185">
        <f>COUNTIFS('Audit Raw data'!AM:AM,"NO",'Audit Raw data'!J:J,B:B,'Audit Raw data'!E:E,'Day wise agent'!G:G)</f>
        <v>0</v>
      </c>
      <c r="L185" s="12" t="str">
        <f t="shared" si="5"/>
        <v xml:space="preserve"> </v>
      </c>
    </row>
    <row r="186" spans="1:12" x14ac:dyDescent="0.35">
      <c r="A186" t="str">
        <f t="shared" si="4"/>
        <v>VPS21445932</v>
      </c>
      <c r="B186" t="s">
        <v>480</v>
      </c>
      <c r="C186" t="s">
        <v>1547</v>
      </c>
      <c r="D186" s="32">
        <v>45855</v>
      </c>
      <c r="E186" t="s">
        <v>107</v>
      </c>
      <c r="F186" t="str">
        <f>VLOOKUP(B186,'Agent wise'!A:E,5,0)</f>
        <v>Wireless</v>
      </c>
      <c r="G186" s="32">
        <v>45932</v>
      </c>
      <c r="H186">
        <f>COUNTIFS('Audit Raw data'!J:J,B:B,'Audit Raw data'!E:E,G:G)</f>
        <v>1</v>
      </c>
      <c r="I186" s="44">
        <f>IFERROR((SUMIFS('Audit Raw data'!BZ:BZ,'Audit Raw data'!J:J,B:B,'Audit Raw data'!E:E,G:G)/H186)/100,"-")</f>
        <v>0.96</v>
      </c>
      <c r="J186">
        <f>COUNTIFS('Audit Raw data'!AM:AM,"Yes",'Audit Raw data'!J:J,B:B,'Audit Raw data'!E:E,'Day wise agent'!G:G)</f>
        <v>1</v>
      </c>
      <c r="K186">
        <f>COUNTIFS('Audit Raw data'!AM:AM,"NO",'Audit Raw data'!J:J,B:B,'Audit Raw data'!E:E,'Day wise agent'!G:G)</f>
        <v>0</v>
      </c>
      <c r="L186" s="12">
        <f t="shared" si="5"/>
        <v>1</v>
      </c>
    </row>
    <row r="187" spans="1:12" x14ac:dyDescent="0.35">
      <c r="A187" t="str">
        <f t="shared" si="4"/>
        <v>VPS21545932</v>
      </c>
      <c r="B187" t="s">
        <v>521</v>
      </c>
      <c r="C187" t="s">
        <v>1548</v>
      </c>
      <c r="D187" s="32">
        <v>45865</v>
      </c>
      <c r="E187" t="s">
        <v>178</v>
      </c>
      <c r="F187" t="str">
        <f>VLOOKUP(B187,'Agent wise'!A:E,5,0)</f>
        <v>Wireless</v>
      </c>
      <c r="G187" s="32">
        <v>45932</v>
      </c>
      <c r="H187">
        <f>COUNTIFS('Audit Raw data'!J:J,B:B,'Audit Raw data'!E:E,G:G)</f>
        <v>0</v>
      </c>
      <c r="I187" s="44" t="str">
        <f>IFERROR((SUMIFS('Audit Raw data'!BZ:BZ,'Audit Raw data'!J:J,B:B,'Audit Raw data'!E:E,G:G)/H187)/100,"-")</f>
        <v>-</v>
      </c>
      <c r="J187">
        <f>COUNTIFS('Audit Raw data'!AM:AM,"Yes",'Audit Raw data'!J:J,B:B,'Audit Raw data'!E:E,'Day wise agent'!G:G)</f>
        <v>0</v>
      </c>
      <c r="K187">
        <f>COUNTIFS('Audit Raw data'!AM:AM,"NO",'Audit Raw data'!J:J,B:B,'Audit Raw data'!E:E,'Day wise agent'!G:G)</f>
        <v>0</v>
      </c>
      <c r="L187" s="12" t="str">
        <f t="shared" si="5"/>
        <v xml:space="preserve"> </v>
      </c>
    </row>
    <row r="188" spans="1:12" x14ac:dyDescent="0.35">
      <c r="A188" t="str">
        <f t="shared" si="4"/>
        <v>VPS21645932</v>
      </c>
      <c r="B188" t="s">
        <v>154</v>
      </c>
      <c r="C188" t="s">
        <v>1549</v>
      </c>
      <c r="D188" s="32">
        <v>45865</v>
      </c>
      <c r="E188" t="s">
        <v>107</v>
      </c>
      <c r="F188" t="str">
        <f>VLOOKUP(B188,'Agent wise'!A:E,5,0)</f>
        <v>Wireless</v>
      </c>
      <c r="G188" s="32">
        <v>45932</v>
      </c>
      <c r="H188">
        <f>COUNTIFS('Audit Raw data'!J:J,B:B,'Audit Raw data'!E:E,G:G)</f>
        <v>0</v>
      </c>
      <c r="I188" s="44" t="str">
        <f>IFERROR((SUMIFS('Audit Raw data'!BZ:BZ,'Audit Raw data'!J:J,B:B,'Audit Raw data'!E:E,G:G)/H188)/100,"-")</f>
        <v>-</v>
      </c>
      <c r="J188">
        <f>COUNTIFS('Audit Raw data'!AM:AM,"Yes",'Audit Raw data'!J:J,B:B,'Audit Raw data'!E:E,'Day wise agent'!G:G)</f>
        <v>0</v>
      </c>
      <c r="K188">
        <f>COUNTIFS('Audit Raw data'!AM:AM,"NO",'Audit Raw data'!J:J,B:B,'Audit Raw data'!E:E,'Day wise agent'!G:G)</f>
        <v>0</v>
      </c>
      <c r="L188" s="12" t="str">
        <f t="shared" si="5"/>
        <v xml:space="preserve"> </v>
      </c>
    </row>
    <row r="189" spans="1:12" x14ac:dyDescent="0.35">
      <c r="A189" t="str">
        <f t="shared" si="4"/>
        <v>VPS21745932</v>
      </c>
      <c r="B189" t="s">
        <v>519</v>
      </c>
      <c r="C189" t="s">
        <v>1550</v>
      </c>
      <c r="D189" s="32">
        <v>45865</v>
      </c>
      <c r="E189" t="s">
        <v>178</v>
      </c>
      <c r="F189" t="str">
        <f>VLOOKUP(B189,'Agent wise'!A:E,5,0)</f>
        <v>Wireless</v>
      </c>
      <c r="G189" s="32">
        <v>45932</v>
      </c>
      <c r="H189">
        <f>COUNTIFS('Audit Raw data'!J:J,B:B,'Audit Raw data'!E:E,G:G)</f>
        <v>0</v>
      </c>
      <c r="I189" s="44" t="str">
        <f>IFERROR((SUMIFS('Audit Raw data'!BZ:BZ,'Audit Raw data'!J:J,B:B,'Audit Raw data'!E:E,G:G)/H189)/100,"-")</f>
        <v>-</v>
      </c>
      <c r="J189">
        <f>COUNTIFS('Audit Raw data'!AM:AM,"Yes",'Audit Raw data'!J:J,B:B,'Audit Raw data'!E:E,'Day wise agent'!G:G)</f>
        <v>0</v>
      </c>
      <c r="K189">
        <f>COUNTIFS('Audit Raw data'!AM:AM,"NO",'Audit Raw data'!J:J,B:B,'Audit Raw data'!E:E,'Day wise agent'!G:G)</f>
        <v>0</v>
      </c>
      <c r="L189" s="12" t="str">
        <f t="shared" si="5"/>
        <v xml:space="preserve"> </v>
      </c>
    </row>
    <row r="190" spans="1:12" x14ac:dyDescent="0.35">
      <c r="A190" t="str">
        <f t="shared" si="4"/>
        <v>VPS22845932</v>
      </c>
      <c r="B190" t="s">
        <v>341</v>
      </c>
      <c r="C190" t="s">
        <v>1551</v>
      </c>
      <c r="D190" s="32">
        <v>45881</v>
      </c>
      <c r="E190" t="s">
        <v>178</v>
      </c>
      <c r="F190" t="str">
        <f>VLOOKUP(B190,'Agent wise'!A:E,5,0)</f>
        <v>Wireless</v>
      </c>
      <c r="G190" s="32">
        <v>45932</v>
      </c>
      <c r="H190">
        <f>COUNTIFS('Audit Raw data'!J:J,B:B,'Audit Raw data'!E:E,G:G)</f>
        <v>1</v>
      </c>
      <c r="I190" s="44">
        <f>IFERROR((SUMIFS('Audit Raw data'!BZ:BZ,'Audit Raw data'!J:J,B:B,'Audit Raw data'!E:E,G:G)/H190)/100,"-")</f>
        <v>0.86</v>
      </c>
      <c r="J190">
        <f>COUNTIFS('Audit Raw data'!AM:AM,"Yes",'Audit Raw data'!J:J,B:B,'Audit Raw data'!E:E,'Day wise agent'!G:G)</f>
        <v>1</v>
      </c>
      <c r="K190">
        <f>COUNTIFS('Audit Raw data'!AM:AM,"NO",'Audit Raw data'!J:J,B:B,'Audit Raw data'!E:E,'Day wise agent'!G:G)</f>
        <v>0</v>
      </c>
      <c r="L190" s="12">
        <f t="shared" si="5"/>
        <v>1</v>
      </c>
    </row>
    <row r="191" spans="1:12" x14ac:dyDescent="0.35">
      <c r="A191" t="str">
        <f t="shared" si="4"/>
        <v>VPS22945932</v>
      </c>
      <c r="B191" t="s">
        <v>173</v>
      </c>
      <c r="C191" t="s">
        <v>1552</v>
      </c>
      <c r="D191" s="32">
        <v>45880</v>
      </c>
      <c r="E191" t="s">
        <v>107</v>
      </c>
      <c r="F191" t="str">
        <f>VLOOKUP(B191,'Agent wise'!A:E,5,0)</f>
        <v>Wireless</v>
      </c>
      <c r="G191" s="32">
        <v>45932</v>
      </c>
      <c r="H191">
        <f>COUNTIFS('Audit Raw data'!J:J,B:B,'Audit Raw data'!E:E,G:G)</f>
        <v>2</v>
      </c>
      <c r="I191" s="44">
        <f>IFERROR((SUMIFS('Audit Raw data'!BZ:BZ,'Audit Raw data'!J:J,B:B,'Audit Raw data'!E:E,G:G)/H191)/100,"-")</f>
        <v>0.87</v>
      </c>
      <c r="J191">
        <f>COUNTIFS('Audit Raw data'!AM:AM,"Yes",'Audit Raw data'!J:J,B:B,'Audit Raw data'!E:E,'Day wise agent'!G:G)</f>
        <v>2</v>
      </c>
      <c r="K191">
        <f>COUNTIFS('Audit Raw data'!AM:AM,"NO",'Audit Raw data'!J:J,B:B,'Audit Raw data'!E:E,'Day wise agent'!G:G)</f>
        <v>0</v>
      </c>
      <c r="L191" s="12">
        <f t="shared" si="5"/>
        <v>1</v>
      </c>
    </row>
    <row r="192" spans="1:12" x14ac:dyDescent="0.35">
      <c r="A192" t="str">
        <f t="shared" si="4"/>
        <v>VPS23045932</v>
      </c>
      <c r="B192" t="s">
        <v>335</v>
      </c>
      <c r="C192" t="s">
        <v>1553</v>
      </c>
      <c r="D192" s="32">
        <v>45880</v>
      </c>
      <c r="E192" t="s">
        <v>1484</v>
      </c>
      <c r="F192" t="str">
        <f>VLOOKUP(B192,'Agent wise'!A:E,5,0)</f>
        <v>Wireless</v>
      </c>
      <c r="G192" s="32">
        <v>45932</v>
      </c>
      <c r="H192">
        <f>COUNTIFS('Audit Raw data'!J:J,B:B,'Audit Raw data'!E:E,G:G)</f>
        <v>1</v>
      </c>
      <c r="I192" s="44">
        <f>IFERROR((SUMIFS('Audit Raw data'!BZ:BZ,'Audit Raw data'!J:J,B:B,'Audit Raw data'!E:E,G:G)/H192)/100,"-")</f>
        <v>0.94</v>
      </c>
      <c r="J192">
        <f>COUNTIFS('Audit Raw data'!AM:AM,"Yes",'Audit Raw data'!J:J,B:B,'Audit Raw data'!E:E,'Day wise agent'!G:G)</f>
        <v>1</v>
      </c>
      <c r="K192">
        <f>COUNTIFS('Audit Raw data'!AM:AM,"NO",'Audit Raw data'!J:J,B:B,'Audit Raw data'!E:E,'Day wise agent'!G:G)</f>
        <v>0</v>
      </c>
      <c r="L192" s="12">
        <f t="shared" si="5"/>
        <v>1</v>
      </c>
    </row>
    <row r="193" spans="1:12" x14ac:dyDescent="0.35">
      <c r="A193" t="str">
        <f t="shared" si="4"/>
        <v>VPS23545932</v>
      </c>
      <c r="B193" t="s">
        <v>317</v>
      </c>
      <c r="C193" t="s">
        <v>1554</v>
      </c>
      <c r="D193" s="32">
        <v>45897</v>
      </c>
      <c r="E193" t="s">
        <v>178</v>
      </c>
      <c r="F193" t="str">
        <f>VLOOKUP(B193,'Agent wise'!A:E,5,0)</f>
        <v>Wireless</v>
      </c>
      <c r="G193" s="32">
        <v>45932</v>
      </c>
      <c r="H193">
        <f>COUNTIFS('Audit Raw data'!J:J,B:B,'Audit Raw data'!E:E,G:G)</f>
        <v>2</v>
      </c>
      <c r="I193" s="44">
        <f>IFERROR((SUMIFS('Audit Raw data'!BZ:BZ,'Audit Raw data'!J:J,B:B,'Audit Raw data'!E:E,G:G)/H193)/100,"-")</f>
        <v>0.88</v>
      </c>
      <c r="J193">
        <f>COUNTIFS('Audit Raw data'!AM:AM,"Yes",'Audit Raw data'!J:J,B:B,'Audit Raw data'!E:E,'Day wise agent'!G:G)</f>
        <v>2</v>
      </c>
      <c r="K193">
        <f>COUNTIFS('Audit Raw data'!AM:AM,"NO",'Audit Raw data'!J:J,B:B,'Audit Raw data'!E:E,'Day wise agent'!G:G)</f>
        <v>0</v>
      </c>
      <c r="L193" s="12">
        <f t="shared" si="5"/>
        <v>1</v>
      </c>
    </row>
    <row r="194" spans="1:12" x14ac:dyDescent="0.35">
      <c r="A194" t="str">
        <f t="shared" ref="A194:A257" si="6">B194&amp;G194</f>
        <v>VPS23645932</v>
      </c>
      <c r="B194" t="s">
        <v>370</v>
      </c>
      <c r="C194" t="s">
        <v>1555</v>
      </c>
      <c r="D194" s="32">
        <v>45897</v>
      </c>
      <c r="E194" t="s">
        <v>1453</v>
      </c>
      <c r="F194" t="str">
        <f>VLOOKUP(B194,'Agent wise'!A:E,5,0)</f>
        <v>Wireless</v>
      </c>
      <c r="G194" s="32">
        <v>45932</v>
      </c>
      <c r="H194">
        <f>COUNTIFS('Audit Raw data'!J:J,B:B,'Audit Raw data'!E:E,G:G)</f>
        <v>1</v>
      </c>
      <c r="I194" s="44">
        <f>IFERROR((SUMIFS('Audit Raw data'!BZ:BZ,'Audit Raw data'!J:J,B:B,'Audit Raw data'!E:E,G:G)/H194)/100,"-")</f>
        <v>0.88</v>
      </c>
      <c r="J194">
        <f>COUNTIFS('Audit Raw data'!AM:AM,"Yes",'Audit Raw data'!J:J,B:B,'Audit Raw data'!E:E,'Day wise agent'!G:G)</f>
        <v>1</v>
      </c>
      <c r="K194">
        <f>COUNTIFS('Audit Raw data'!AM:AM,"NO",'Audit Raw data'!J:J,B:B,'Audit Raw data'!E:E,'Day wise agent'!G:G)</f>
        <v>0</v>
      </c>
      <c r="L194" s="12">
        <f t="shared" ref="L194:L257" si="7">IFERROR(J194/H194," ")</f>
        <v>1</v>
      </c>
    </row>
    <row r="195" spans="1:12" x14ac:dyDescent="0.35">
      <c r="A195" t="str">
        <f t="shared" si="6"/>
        <v>VPS23745932</v>
      </c>
      <c r="B195" t="s">
        <v>159</v>
      </c>
      <c r="C195" t="s">
        <v>1556</v>
      </c>
      <c r="D195" s="32">
        <v>45897</v>
      </c>
      <c r="E195" t="s">
        <v>107</v>
      </c>
      <c r="F195" t="str">
        <f>VLOOKUP(B195,'Agent wise'!A:E,5,0)</f>
        <v>Wireless</v>
      </c>
      <c r="G195" s="32">
        <v>45932</v>
      </c>
      <c r="H195">
        <f>COUNTIFS('Audit Raw data'!J:J,B:B,'Audit Raw data'!E:E,G:G)</f>
        <v>1</v>
      </c>
      <c r="I195" s="44">
        <f>IFERROR((SUMIFS('Audit Raw data'!BZ:BZ,'Audit Raw data'!J:J,B:B,'Audit Raw data'!E:E,G:G)/H195)/100,"-")</f>
        <v>0.8</v>
      </c>
      <c r="J195">
        <f>COUNTIFS('Audit Raw data'!AM:AM,"Yes",'Audit Raw data'!J:J,B:B,'Audit Raw data'!E:E,'Day wise agent'!G:G)</f>
        <v>1</v>
      </c>
      <c r="K195">
        <f>COUNTIFS('Audit Raw data'!AM:AM,"NO",'Audit Raw data'!J:J,B:B,'Audit Raw data'!E:E,'Day wise agent'!G:G)</f>
        <v>0</v>
      </c>
      <c r="L195" s="12">
        <f t="shared" si="7"/>
        <v>1</v>
      </c>
    </row>
    <row r="196" spans="1:12" x14ac:dyDescent="0.35">
      <c r="A196" t="str">
        <f t="shared" si="6"/>
        <v>VPS23945932</v>
      </c>
      <c r="B196" t="s">
        <v>484</v>
      </c>
      <c r="C196" t="s">
        <v>1468</v>
      </c>
      <c r="D196" s="32">
        <v>44942</v>
      </c>
      <c r="E196" t="s">
        <v>178</v>
      </c>
      <c r="F196" t="str">
        <f>VLOOKUP(B196,'Agent wise'!A:E,5,0)</f>
        <v>Wireless</v>
      </c>
      <c r="G196" s="32">
        <v>45932</v>
      </c>
      <c r="H196">
        <f>COUNTIFS('Audit Raw data'!J:J,B:B,'Audit Raw data'!E:E,G:G)</f>
        <v>0</v>
      </c>
      <c r="I196" s="44" t="str">
        <f>IFERROR((SUMIFS('Audit Raw data'!BZ:BZ,'Audit Raw data'!J:J,B:B,'Audit Raw data'!E:E,G:G)/H196)/100,"-")</f>
        <v>-</v>
      </c>
      <c r="J196">
        <f>COUNTIFS('Audit Raw data'!AM:AM,"Yes",'Audit Raw data'!J:J,B:B,'Audit Raw data'!E:E,'Day wise agent'!G:G)</f>
        <v>0</v>
      </c>
      <c r="K196">
        <f>COUNTIFS('Audit Raw data'!AM:AM,"NO",'Audit Raw data'!J:J,B:B,'Audit Raw data'!E:E,'Day wise agent'!G:G)</f>
        <v>0</v>
      </c>
      <c r="L196" s="12" t="str">
        <f t="shared" si="7"/>
        <v xml:space="preserve"> </v>
      </c>
    </row>
    <row r="197" spans="1:12" x14ac:dyDescent="0.35">
      <c r="A197" t="str">
        <f t="shared" si="6"/>
        <v>VPS24045932</v>
      </c>
      <c r="B197" t="s">
        <v>291</v>
      </c>
      <c r="C197" t="s">
        <v>1557</v>
      </c>
      <c r="D197" s="32">
        <v>45907</v>
      </c>
      <c r="E197" t="s">
        <v>1484</v>
      </c>
      <c r="F197" t="str">
        <f>VLOOKUP(B197,'Agent wise'!A:E,5,0)</f>
        <v>Wireless</v>
      </c>
      <c r="G197" s="32">
        <v>45932</v>
      </c>
      <c r="H197">
        <f>COUNTIFS('Audit Raw data'!J:J,B:B,'Audit Raw data'!E:E,G:G)</f>
        <v>1</v>
      </c>
      <c r="I197" s="44">
        <f>IFERROR((SUMIFS('Audit Raw data'!BZ:BZ,'Audit Raw data'!J:J,B:B,'Audit Raw data'!E:E,G:G)/H197)/100,"-")</f>
        <v>0.92</v>
      </c>
      <c r="J197">
        <f>COUNTIFS('Audit Raw data'!AM:AM,"Yes",'Audit Raw data'!J:J,B:B,'Audit Raw data'!E:E,'Day wise agent'!G:G)</f>
        <v>1</v>
      </c>
      <c r="K197">
        <f>COUNTIFS('Audit Raw data'!AM:AM,"NO",'Audit Raw data'!J:J,B:B,'Audit Raw data'!E:E,'Day wise agent'!G:G)</f>
        <v>0</v>
      </c>
      <c r="L197" s="12">
        <f t="shared" si="7"/>
        <v>1</v>
      </c>
    </row>
    <row r="198" spans="1:12" x14ac:dyDescent="0.35">
      <c r="A198" t="str">
        <f t="shared" si="6"/>
        <v>VPS24245932</v>
      </c>
      <c r="B198" t="s">
        <v>326</v>
      </c>
      <c r="C198" t="s">
        <v>1510</v>
      </c>
      <c r="D198" s="32">
        <v>45908</v>
      </c>
      <c r="E198" t="s">
        <v>1453</v>
      </c>
      <c r="F198" t="str">
        <f>VLOOKUP(B198,'Agent wise'!A:E,5,0)</f>
        <v>Wireless</v>
      </c>
      <c r="G198" s="32">
        <v>45932</v>
      </c>
      <c r="H198">
        <f>COUNTIFS('Audit Raw data'!J:J,B:B,'Audit Raw data'!E:E,G:G)</f>
        <v>2</v>
      </c>
      <c r="I198" s="44">
        <f>IFERROR((SUMIFS('Audit Raw data'!BZ:BZ,'Audit Raw data'!J:J,B:B,'Audit Raw data'!E:E,G:G)/H198)/100,"-")</f>
        <v>0.87</v>
      </c>
      <c r="J198">
        <f>COUNTIFS('Audit Raw data'!AM:AM,"Yes",'Audit Raw data'!J:J,B:B,'Audit Raw data'!E:E,'Day wise agent'!G:G)</f>
        <v>2</v>
      </c>
      <c r="K198">
        <f>COUNTIFS('Audit Raw data'!AM:AM,"NO",'Audit Raw data'!J:J,B:B,'Audit Raw data'!E:E,'Day wise agent'!G:G)</f>
        <v>0</v>
      </c>
      <c r="L198" s="12">
        <f t="shared" si="7"/>
        <v>1</v>
      </c>
    </row>
    <row r="199" spans="1:12" x14ac:dyDescent="0.35">
      <c r="A199" t="str">
        <f t="shared" si="6"/>
        <v>VPS24345932</v>
      </c>
      <c r="B199" t="s">
        <v>321</v>
      </c>
      <c r="C199" t="s">
        <v>1558</v>
      </c>
      <c r="D199" s="32">
        <v>45907</v>
      </c>
      <c r="E199" t="s">
        <v>1453</v>
      </c>
      <c r="F199" t="str">
        <f>VLOOKUP(B199,'Agent wise'!A:E,5,0)</f>
        <v>Wireless</v>
      </c>
      <c r="G199" s="32">
        <v>45932</v>
      </c>
      <c r="H199">
        <f>COUNTIFS('Audit Raw data'!J:J,B:B,'Audit Raw data'!E:E,G:G)</f>
        <v>1</v>
      </c>
      <c r="I199" s="44">
        <f>IFERROR((SUMIFS('Audit Raw data'!BZ:BZ,'Audit Raw data'!J:J,B:B,'Audit Raw data'!E:E,G:G)/H199)/100,"-")</f>
        <v>0.84</v>
      </c>
      <c r="J199">
        <f>COUNTIFS('Audit Raw data'!AM:AM,"Yes",'Audit Raw data'!J:J,B:B,'Audit Raw data'!E:E,'Day wise agent'!G:G)</f>
        <v>1</v>
      </c>
      <c r="K199">
        <f>COUNTIFS('Audit Raw data'!AM:AM,"NO",'Audit Raw data'!J:J,B:B,'Audit Raw data'!E:E,'Day wise agent'!G:G)</f>
        <v>0</v>
      </c>
      <c r="L199" s="12">
        <f t="shared" si="7"/>
        <v>1</v>
      </c>
    </row>
    <row r="200" spans="1:12" x14ac:dyDescent="0.35">
      <c r="A200" t="str">
        <f t="shared" si="6"/>
        <v>VPS24445932</v>
      </c>
      <c r="B200" t="s">
        <v>288</v>
      </c>
      <c r="C200" t="s">
        <v>1559</v>
      </c>
      <c r="D200" s="32">
        <v>45907</v>
      </c>
      <c r="E200" t="s">
        <v>107</v>
      </c>
      <c r="F200" t="str">
        <f>VLOOKUP(B200,'Agent wise'!A:E,5,0)</f>
        <v>Wireless</v>
      </c>
      <c r="G200" s="32">
        <v>45932</v>
      </c>
      <c r="H200">
        <f>COUNTIFS('Audit Raw data'!J:J,B:B,'Audit Raw data'!E:E,G:G)</f>
        <v>1</v>
      </c>
      <c r="I200" s="44">
        <f>IFERROR((SUMIFS('Audit Raw data'!BZ:BZ,'Audit Raw data'!J:J,B:B,'Audit Raw data'!E:E,G:G)/H200)/100,"-")</f>
        <v>0.92</v>
      </c>
      <c r="J200">
        <f>COUNTIFS('Audit Raw data'!AM:AM,"Yes",'Audit Raw data'!J:J,B:B,'Audit Raw data'!E:E,'Day wise agent'!G:G)</f>
        <v>1</v>
      </c>
      <c r="K200">
        <f>COUNTIFS('Audit Raw data'!AM:AM,"NO",'Audit Raw data'!J:J,B:B,'Audit Raw data'!E:E,'Day wise agent'!G:G)</f>
        <v>0</v>
      </c>
      <c r="L200" s="12">
        <f t="shared" si="7"/>
        <v>1</v>
      </c>
    </row>
    <row r="201" spans="1:12" x14ac:dyDescent="0.35">
      <c r="A201" t="str">
        <f t="shared" si="6"/>
        <v>VPS24545932</v>
      </c>
      <c r="B201" t="s">
        <v>873</v>
      </c>
      <c r="C201" t="s">
        <v>1560</v>
      </c>
      <c r="D201" s="32">
        <v>45908</v>
      </c>
      <c r="E201" t="s">
        <v>1484</v>
      </c>
      <c r="F201" t="str">
        <f>VLOOKUP(B201,'Agent wise'!A:E,5,0)</f>
        <v>Wireless</v>
      </c>
      <c r="G201" s="32">
        <v>45932</v>
      </c>
      <c r="H201">
        <f>COUNTIFS('Audit Raw data'!J:J,B:B,'Audit Raw data'!E:E,G:G)</f>
        <v>0</v>
      </c>
      <c r="I201" s="44" t="str">
        <f>IFERROR((SUMIFS('Audit Raw data'!BZ:BZ,'Audit Raw data'!J:J,B:B,'Audit Raw data'!E:E,G:G)/H201)/100,"-")</f>
        <v>-</v>
      </c>
      <c r="J201">
        <f>COUNTIFS('Audit Raw data'!AM:AM,"Yes",'Audit Raw data'!J:J,B:B,'Audit Raw data'!E:E,'Day wise agent'!G:G)</f>
        <v>0</v>
      </c>
      <c r="K201">
        <f>COUNTIFS('Audit Raw data'!AM:AM,"NO",'Audit Raw data'!J:J,B:B,'Audit Raw data'!E:E,'Day wise agent'!G:G)</f>
        <v>0</v>
      </c>
      <c r="L201" s="12" t="str">
        <f t="shared" si="7"/>
        <v xml:space="preserve"> </v>
      </c>
    </row>
    <row r="202" spans="1:12" x14ac:dyDescent="0.35">
      <c r="A202" t="str">
        <f t="shared" si="6"/>
        <v>VPS24745932</v>
      </c>
      <c r="B202" t="s">
        <v>238</v>
      </c>
      <c r="C202" t="s">
        <v>1561</v>
      </c>
      <c r="D202" s="32">
        <v>45907</v>
      </c>
      <c r="E202" t="s">
        <v>1484</v>
      </c>
      <c r="F202" t="str">
        <f>VLOOKUP(B202,'Agent wise'!A:E,5,0)</f>
        <v>Wireless</v>
      </c>
      <c r="G202" s="32">
        <v>45932</v>
      </c>
      <c r="H202">
        <f>COUNTIFS('Audit Raw data'!J:J,B:B,'Audit Raw data'!E:E,G:G)</f>
        <v>1</v>
      </c>
      <c r="I202" s="44">
        <f>IFERROR((SUMIFS('Audit Raw data'!BZ:BZ,'Audit Raw data'!J:J,B:B,'Audit Raw data'!E:E,G:G)/H202)/100,"-")</f>
        <v>0.92</v>
      </c>
      <c r="J202">
        <f>COUNTIFS('Audit Raw data'!AM:AM,"Yes",'Audit Raw data'!J:J,B:B,'Audit Raw data'!E:E,'Day wise agent'!G:G)</f>
        <v>1</v>
      </c>
      <c r="K202">
        <f>COUNTIFS('Audit Raw data'!AM:AM,"NO",'Audit Raw data'!J:J,B:B,'Audit Raw data'!E:E,'Day wise agent'!G:G)</f>
        <v>0</v>
      </c>
      <c r="L202" s="12">
        <f t="shared" si="7"/>
        <v>1</v>
      </c>
    </row>
    <row r="203" spans="1:12" x14ac:dyDescent="0.35">
      <c r="A203" t="str">
        <f t="shared" si="6"/>
        <v>VPS24845932</v>
      </c>
      <c r="B203" t="s">
        <v>231</v>
      </c>
      <c r="C203" t="s">
        <v>1562</v>
      </c>
      <c r="D203" s="32">
        <v>45908</v>
      </c>
      <c r="E203" t="s">
        <v>107</v>
      </c>
      <c r="F203" t="str">
        <f>VLOOKUP(B203,'Agent wise'!A:E,5,0)</f>
        <v>Wireless</v>
      </c>
      <c r="G203" s="32">
        <v>45932</v>
      </c>
      <c r="H203">
        <f>COUNTIFS('Audit Raw data'!J:J,B:B,'Audit Raw data'!E:E,G:G)</f>
        <v>1</v>
      </c>
      <c r="I203" s="44">
        <f>IFERROR((SUMIFS('Audit Raw data'!BZ:BZ,'Audit Raw data'!J:J,B:B,'Audit Raw data'!E:E,G:G)/H203)/100,"-")</f>
        <v>0.92</v>
      </c>
      <c r="J203">
        <f>COUNTIFS('Audit Raw data'!AM:AM,"Yes",'Audit Raw data'!J:J,B:B,'Audit Raw data'!E:E,'Day wise agent'!G:G)</f>
        <v>1</v>
      </c>
      <c r="K203">
        <f>COUNTIFS('Audit Raw data'!AM:AM,"NO",'Audit Raw data'!J:J,B:B,'Audit Raw data'!E:E,'Day wise agent'!G:G)</f>
        <v>0</v>
      </c>
      <c r="L203" s="12">
        <f t="shared" si="7"/>
        <v>1</v>
      </c>
    </row>
    <row r="204" spans="1:12" x14ac:dyDescent="0.35">
      <c r="A204" t="str">
        <f t="shared" si="6"/>
        <v>VPS24945932</v>
      </c>
      <c r="B204" t="s">
        <v>215</v>
      </c>
      <c r="C204" t="s">
        <v>1563</v>
      </c>
      <c r="D204" s="32">
        <v>45907</v>
      </c>
      <c r="E204" t="s">
        <v>178</v>
      </c>
      <c r="F204" t="str">
        <f>VLOOKUP(B204,'Agent wise'!A:E,5,0)</f>
        <v>Wireless</v>
      </c>
      <c r="G204" s="32">
        <v>45932</v>
      </c>
      <c r="H204">
        <f>COUNTIFS('Audit Raw data'!J:J,B:B,'Audit Raw data'!E:E,G:G)</f>
        <v>1</v>
      </c>
      <c r="I204" s="44">
        <f>IFERROR((SUMIFS('Audit Raw data'!BZ:BZ,'Audit Raw data'!J:J,B:B,'Audit Raw data'!E:E,G:G)/H204)/100,"-")</f>
        <v>0.92</v>
      </c>
      <c r="J204">
        <f>COUNTIFS('Audit Raw data'!AM:AM,"Yes",'Audit Raw data'!J:J,B:B,'Audit Raw data'!E:E,'Day wise agent'!G:G)</f>
        <v>1</v>
      </c>
      <c r="K204">
        <f>COUNTIFS('Audit Raw data'!AM:AM,"NO",'Audit Raw data'!J:J,B:B,'Audit Raw data'!E:E,'Day wise agent'!G:G)</f>
        <v>0</v>
      </c>
      <c r="L204" s="12">
        <f t="shared" si="7"/>
        <v>1</v>
      </c>
    </row>
    <row r="205" spans="1:12" x14ac:dyDescent="0.35">
      <c r="A205" t="str">
        <f t="shared" si="6"/>
        <v>VPS25145932</v>
      </c>
      <c r="B205" t="s">
        <v>168</v>
      </c>
      <c r="C205" t="s">
        <v>1564</v>
      </c>
      <c r="D205" s="32">
        <v>45907</v>
      </c>
      <c r="E205" t="s">
        <v>107</v>
      </c>
      <c r="F205" t="str">
        <f>VLOOKUP(B205,'Agent wise'!A:E,5,0)</f>
        <v>Wireless</v>
      </c>
      <c r="G205" s="32">
        <v>45932</v>
      </c>
      <c r="H205">
        <f>COUNTIFS('Audit Raw data'!J:J,B:B,'Audit Raw data'!E:E,G:G)</f>
        <v>1</v>
      </c>
      <c r="I205" s="44">
        <f>IFERROR((SUMIFS('Audit Raw data'!BZ:BZ,'Audit Raw data'!J:J,B:B,'Audit Raw data'!E:E,G:G)/H205)/100,"-")</f>
        <v>0.84</v>
      </c>
      <c r="J205">
        <f>COUNTIFS('Audit Raw data'!AM:AM,"Yes",'Audit Raw data'!J:J,B:B,'Audit Raw data'!E:E,'Day wise agent'!G:G)</f>
        <v>1</v>
      </c>
      <c r="K205">
        <f>COUNTIFS('Audit Raw data'!AM:AM,"NO",'Audit Raw data'!J:J,B:B,'Audit Raw data'!E:E,'Day wise agent'!G:G)</f>
        <v>0</v>
      </c>
      <c r="L205" s="12">
        <f t="shared" si="7"/>
        <v>1</v>
      </c>
    </row>
    <row r="206" spans="1:12" x14ac:dyDescent="0.35">
      <c r="A206" t="str">
        <f t="shared" si="6"/>
        <v>VPS25245932</v>
      </c>
      <c r="B206" t="s">
        <v>204</v>
      </c>
      <c r="C206" t="s">
        <v>1565</v>
      </c>
      <c r="D206" s="32">
        <v>45919</v>
      </c>
      <c r="E206" t="s">
        <v>1484</v>
      </c>
      <c r="F206" t="str">
        <f>VLOOKUP(B206,'Agent wise'!A:E,5,0)</f>
        <v>Wireless</v>
      </c>
      <c r="G206" s="32">
        <v>45932</v>
      </c>
      <c r="H206">
        <f>COUNTIFS('Audit Raw data'!J:J,B:B,'Audit Raw data'!E:E,G:G)</f>
        <v>1</v>
      </c>
      <c r="I206" s="44">
        <f>IFERROR((SUMIFS('Audit Raw data'!BZ:BZ,'Audit Raw data'!J:J,B:B,'Audit Raw data'!E:E,G:G)/H206)/100,"-")</f>
        <v>0.82</v>
      </c>
      <c r="J206">
        <f>COUNTIFS('Audit Raw data'!AM:AM,"Yes",'Audit Raw data'!J:J,B:B,'Audit Raw data'!E:E,'Day wise agent'!G:G)</f>
        <v>1</v>
      </c>
      <c r="K206">
        <f>COUNTIFS('Audit Raw data'!AM:AM,"NO",'Audit Raw data'!J:J,B:B,'Audit Raw data'!E:E,'Day wise agent'!G:G)</f>
        <v>0</v>
      </c>
      <c r="L206" s="12">
        <f t="shared" si="7"/>
        <v>1</v>
      </c>
    </row>
    <row r="207" spans="1:12" x14ac:dyDescent="0.35">
      <c r="A207" t="str">
        <f t="shared" si="6"/>
        <v>VPS25345932</v>
      </c>
      <c r="B207" t="s">
        <v>195</v>
      </c>
      <c r="C207" t="s">
        <v>1566</v>
      </c>
      <c r="D207" s="32">
        <v>45919</v>
      </c>
      <c r="E207" t="s">
        <v>178</v>
      </c>
      <c r="F207" t="str">
        <f>VLOOKUP(B207,'Agent wise'!A:E,5,0)</f>
        <v>Wireless</v>
      </c>
      <c r="G207" s="32">
        <v>45932</v>
      </c>
      <c r="H207">
        <f>COUNTIFS('Audit Raw data'!J:J,B:B,'Audit Raw data'!E:E,G:G)</f>
        <v>1</v>
      </c>
      <c r="I207" s="44">
        <f>IFERROR((SUMIFS('Audit Raw data'!BZ:BZ,'Audit Raw data'!J:J,B:B,'Audit Raw data'!E:E,G:G)/H207)/100,"-")</f>
        <v>0.92</v>
      </c>
      <c r="J207">
        <f>COUNTIFS('Audit Raw data'!AM:AM,"Yes",'Audit Raw data'!J:J,B:B,'Audit Raw data'!E:E,'Day wise agent'!G:G)</f>
        <v>1</v>
      </c>
      <c r="K207">
        <f>COUNTIFS('Audit Raw data'!AM:AM,"NO",'Audit Raw data'!J:J,B:B,'Audit Raw data'!E:E,'Day wise agent'!G:G)</f>
        <v>0</v>
      </c>
      <c r="L207" s="12">
        <f t="shared" si="7"/>
        <v>1</v>
      </c>
    </row>
    <row r="208" spans="1:12" x14ac:dyDescent="0.35">
      <c r="A208" t="str">
        <f t="shared" si="6"/>
        <v>VPS25645932</v>
      </c>
      <c r="B208" t="s">
        <v>191</v>
      </c>
      <c r="C208" t="s">
        <v>1567</v>
      </c>
      <c r="D208" s="32">
        <v>45919</v>
      </c>
      <c r="E208" t="s">
        <v>1453</v>
      </c>
      <c r="F208" t="str">
        <f>VLOOKUP(B208,'Agent wise'!A:E,5,0)</f>
        <v>Wireless</v>
      </c>
      <c r="G208" s="32">
        <v>45932</v>
      </c>
      <c r="H208">
        <f>COUNTIFS('Audit Raw data'!J:J,B:B,'Audit Raw data'!E:E,G:G)</f>
        <v>2</v>
      </c>
      <c r="I208" s="44">
        <f>IFERROR((SUMIFS('Audit Raw data'!BZ:BZ,'Audit Raw data'!J:J,B:B,'Audit Raw data'!E:E,G:G)/H208)/100,"-")</f>
        <v>0.85</v>
      </c>
      <c r="J208">
        <f>COUNTIFS('Audit Raw data'!AM:AM,"Yes",'Audit Raw data'!J:J,B:B,'Audit Raw data'!E:E,'Day wise agent'!G:G)</f>
        <v>2</v>
      </c>
      <c r="K208">
        <f>COUNTIFS('Audit Raw data'!AM:AM,"NO",'Audit Raw data'!J:J,B:B,'Audit Raw data'!E:E,'Day wise agent'!G:G)</f>
        <v>0</v>
      </c>
      <c r="L208" s="12">
        <f t="shared" si="7"/>
        <v>1</v>
      </c>
    </row>
    <row r="209" spans="1:12" x14ac:dyDescent="0.35">
      <c r="A209" t="str">
        <f t="shared" si="6"/>
        <v>VPS25745932</v>
      </c>
      <c r="B209" t="s">
        <v>412</v>
      </c>
      <c r="C209" t="s">
        <v>1568</v>
      </c>
      <c r="D209" s="32">
        <v>45919</v>
      </c>
      <c r="E209" t="s">
        <v>1453</v>
      </c>
      <c r="F209" t="str">
        <f>VLOOKUP(B209,'Agent wise'!A:E,5,0)</f>
        <v>Wireless</v>
      </c>
      <c r="G209" s="32">
        <v>45932</v>
      </c>
      <c r="H209">
        <f>COUNTIFS('Audit Raw data'!J:J,B:B,'Audit Raw data'!E:E,G:G)</f>
        <v>1</v>
      </c>
      <c r="I209" s="44">
        <f>IFERROR((SUMIFS('Audit Raw data'!BZ:BZ,'Audit Raw data'!J:J,B:B,'Audit Raw data'!E:E,G:G)/H209)/100,"-")</f>
        <v>0.92</v>
      </c>
      <c r="J209">
        <f>COUNTIFS('Audit Raw data'!AM:AM,"Yes",'Audit Raw data'!J:J,B:B,'Audit Raw data'!E:E,'Day wise agent'!G:G)</f>
        <v>1</v>
      </c>
      <c r="K209">
        <f>COUNTIFS('Audit Raw data'!AM:AM,"NO",'Audit Raw data'!J:J,B:B,'Audit Raw data'!E:E,'Day wise agent'!G:G)</f>
        <v>0</v>
      </c>
      <c r="L209" s="12">
        <f t="shared" si="7"/>
        <v>1</v>
      </c>
    </row>
    <row r="210" spans="1:12" x14ac:dyDescent="0.35">
      <c r="A210" t="str">
        <f t="shared" si="6"/>
        <v>VPS25845932</v>
      </c>
      <c r="B210" t="s">
        <v>183</v>
      </c>
      <c r="C210" t="s">
        <v>1569</v>
      </c>
      <c r="D210" s="32">
        <v>45927</v>
      </c>
      <c r="E210" t="s">
        <v>178</v>
      </c>
      <c r="F210" t="str">
        <f>VLOOKUP(B210,'Agent wise'!A:E,5,0)</f>
        <v>Wireless</v>
      </c>
      <c r="G210" s="32">
        <v>45932</v>
      </c>
      <c r="H210">
        <f>COUNTIFS('Audit Raw data'!J:J,B:B,'Audit Raw data'!E:E,G:G)</f>
        <v>1</v>
      </c>
      <c r="I210" s="44">
        <f>IFERROR((SUMIFS('Audit Raw data'!BZ:BZ,'Audit Raw data'!J:J,B:B,'Audit Raw data'!E:E,G:G)/H210)/100,"-")</f>
        <v>0.74</v>
      </c>
      <c r="J210">
        <f>COUNTIFS('Audit Raw data'!AM:AM,"Yes",'Audit Raw data'!J:J,B:B,'Audit Raw data'!E:E,'Day wise agent'!G:G)</f>
        <v>1</v>
      </c>
      <c r="K210">
        <f>COUNTIFS('Audit Raw data'!AM:AM,"NO",'Audit Raw data'!J:J,B:B,'Audit Raw data'!E:E,'Day wise agent'!G:G)</f>
        <v>0</v>
      </c>
      <c r="L210" s="12">
        <f t="shared" si="7"/>
        <v>1</v>
      </c>
    </row>
    <row r="211" spans="1:12" x14ac:dyDescent="0.35">
      <c r="A211" t="str">
        <f t="shared" si="6"/>
        <v>VPS25945932</v>
      </c>
      <c r="B211" t="s">
        <v>102</v>
      </c>
      <c r="C211" t="s">
        <v>1570</v>
      </c>
      <c r="D211" s="32">
        <v>45927</v>
      </c>
      <c r="E211" t="s">
        <v>107</v>
      </c>
      <c r="F211" t="str">
        <f>VLOOKUP(B211,'Agent wise'!A:E,5,0)</f>
        <v>Wireless</v>
      </c>
      <c r="G211" s="32">
        <v>45932</v>
      </c>
      <c r="H211">
        <f>COUNTIFS('Audit Raw data'!J:J,B:B,'Audit Raw data'!E:E,G:G)</f>
        <v>0</v>
      </c>
      <c r="I211" s="44" t="str">
        <f>IFERROR((SUMIFS('Audit Raw data'!BZ:BZ,'Audit Raw data'!J:J,B:B,'Audit Raw data'!E:E,G:G)/H211)/100,"-")</f>
        <v>-</v>
      </c>
      <c r="J211">
        <f>COUNTIFS('Audit Raw data'!AM:AM,"Yes",'Audit Raw data'!J:J,B:B,'Audit Raw data'!E:E,'Day wise agent'!G:G)</f>
        <v>0</v>
      </c>
      <c r="K211">
        <f>COUNTIFS('Audit Raw data'!AM:AM,"NO",'Audit Raw data'!J:J,B:B,'Audit Raw data'!E:E,'Day wise agent'!G:G)</f>
        <v>0</v>
      </c>
      <c r="L211" s="12" t="str">
        <f t="shared" si="7"/>
        <v xml:space="preserve"> </v>
      </c>
    </row>
    <row r="212" spans="1:12" x14ac:dyDescent="0.35">
      <c r="A212" t="str">
        <f t="shared" si="6"/>
        <v>SBM10745933</v>
      </c>
      <c r="B212" t="s">
        <v>313</v>
      </c>
      <c r="C212" t="s">
        <v>1449</v>
      </c>
      <c r="D212" s="32">
        <v>44691</v>
      </c>
      <c r="E212" t="s">
        <v>107</v>
      </c>
      <c r="F212" t="str">
        <f>VLOOKUP(B212,'Agent wise'!A:E,5,0)</f>
        <v>Wire-line</v>
      </c>
      <c r="G212" s="32">
        <v>45933</v>
      </c>
      <c r="H212">
        <f>COUNTIFS('Audit Raw data'!J:J,B:B,'Audit Raw data'!E:E,G:G)</f>
        <v>1</v>
      </c>
      <c r="I212" s="44">
        <f>IFERROR((SUMIFS('Audit Raw data'!BZ:BZ,'Audit Raw data'!J:J,B:B,'Audit Raw data'!E:E,G:G)/H212)/100,"-")</f>
        <v>0.96</v>
      </c>
      <c r="J212">
        <f>COUNTIFS('Audit Raw data'!AM:AM,"Yes",'Audit Raw data'!J:J,B:B,'Audit Raw data'!E:E,'Day wise agent'!G:G)</f>
        <v>1</v>
      </c>
      <c r="K212">
        <f>COUNTIFS('Audit Raw data'!AM:AM,"NO",'Audit Raw data'!J:J,B:B,'Audit Raw data'!E:E,'Day wise agent'!G:G)</f>
        <v>0</v>
      </c>
      <c r="L212" s="12">
        <f t="shared" si="7"/>
        <v>1</v>
      </c>
    </row>
    <row r="213" spans="1:12" x14ac:dyDescent="0.35">
      <c r="A213" t="str">
        <f t="shared" si="6"/>
        <v>SBM15045933</v>
      </c>
      <c r="B213" t="s">
        <v>56</v>
      </c>
      <c r="C213" t="s">
        <v>1452</v>
      </c>
      <c r="D213" s="32">
        <v>44707</v>
      </c>
      <c r="E213" t="s">
        <v>1453</v>
      </c>
      <c r="F213" t="str">
        <f>VLOOKUP(B213,'Agent wise'!A:E,5,0)</f>
        <v>Wireless</v>
      </c>
      <c r="G213" s="32">
        <v>45933</v>
      </c>
      <c r="H213">
        <f>COUNTIFS('Audit Raw data'!J:J,B:B,'Audit Raw data'!E:E,G:G)</f>
        <v>2</v>
      </c>
      <c r="I213" s="44">
        <f>IFERROR((SUMIFS('Audit Raw data'!BZ:BZ,'Audit Raw data'!J:J,B:B,'Audit Raw data'!E:E,G:G)/H213)/100,"-")</f>
        <v>0.95</v>
      </c>
      <c r="J213">
        <f>COUNTIFS('Audit Raw data'!AM:AM,"Yes",'Audit Raw data'!J:J,B:B,'Audit Raw data'!E:E,'Day wise agent'!G:G)</f>
        <v>2</v>
      </c>
      <c r="K213">
        <f>COUNTIFS('Audit Raw data'!AM:AM,"NO",'Audit Raw data'!J:J,B:B,'Audit Raw data'!E:E,'Day wise agent'!G:G)</f>
        <v>0</v>
      </c>
      <c r="L213" s="12">
        <f t="shared" si="7"/>
        <v>1</v>
      </c>
    </row>
    <row r="214" spans="1:12" x14ac:dyDescent="0.35">
      <c r="A214" t="str">
        <f t="shared" si="6"/>
        <v>SBM15545933</v>
      </c>
      <c r="B214" t="s">
        <v>1454</v>
      </c>
      <c r="C214" t="s">
        <v>1455</v>
      </c>
      <c r="D214" s="32">
        <v>44707</v>
      </c>
      <c r="E214" t="s">
        <v>1456</v>
      </c>
      <c r="F214" t="str">
        <f>VLOOKUP(B214,'Agent wise'!A:E,5,0)</f>
        <v>RECL</v>
      </c>
      <c r="G214" s="32">
        <v>45933</v>
      </c>
      <c r="H214">
        <f>COUNTIFS('Audit Raw data'!J:J,B:B,'Audit Raw data'!E:E,G:G)</f>
        <v>0</v>
      </c>
      <c r="I214" s="44" t="str">
        <f>IFERROR((SUMIFS('Audit Raw data'!BZ:BZ,'Audit Raw data'!J:J,B:B,'Audit Raw data'!E:E,G:G)/H214)/100,"-")</f>
        <v>-</v>
      </c>
      <c r="J214">
        <f>COUNTIFS('Audit Raw data'!AM:AM,"Yes",'Audit Raw data'!J:J,B:B,'Audit Raw data'!E:E,'Day wise agent'!G:G)</f>
        <v>0</v>
      </c>
      <c r="K214">
        <f>COUNTIFS('Audit Raw data'!AM:AM,"NO",'Audit Raw data'!J:J,B:B,'Audit Raw data'!E:E,'Day wise agent'!G:G)</f>
        <v>0</v>
      </c>
      <c r="L214" s="12" t="str">
        <f t="shared" si="7"/>
        <v xml:space="preserve"> </v>
      </c>
    </row>
    <row r="215" spans="1:12" x14ac:dyDescent="0.35">
      <c r="A215" t="str">
        <f t="shared" si="6"/>
        <v>SBM15745933</v>
      </c>
      <c r="B215" t="s">
        <v>67</v>
      </c>
      <c r="C215" t="s">
        <v>1458</v>
      </c>
      <c r="D215" s="32">
        <v>44713</v>
      </c>
      <c r="E215" t="s">
        <v>1453</v>
      </c>
      <c r="F215" t="str">
        <f>VLOOKUP(B215,'Agent wise'!A:E,5,0)</f>
        <v>Wireless</v>
      </c>
      <c r="G215" s="32">
        <v>45933</v>
      </c>
      <c r="H215">
        <f>COUNTIFS('Audit Raw data'!J:J,B:B,'Audit Raw data'!E:E,G:G)</f>
        <v>1</v>
      </c>
      <c r="I215" s="44">
        <f>IFERROR((SUMIFS('Audit Raw data'!BZ:BZ,'Audit Raw data'!J:J,B:B,'Audit Raw data'!E:E,G:G)/H215)/100,"-")</f>
        <v>1</v>
      </c>
      <c r="J215">
        <f>COUNTIFS('Audit Raw data'!AM:AM,"Yes",'Audit Raw data'!J:J,B:B,'Audit Raw data'!E:E,'Day wise agent'!G:G)</f>
        <v>1</v>
      </c>
      <c r="K215">
        <f>COUNTIFS('Audit Raw data'!AM:AM,"NO",'Audit Raw data'!J:J,B:B,'Audit Raw data'!E:E,'Day wise agent'!G:G)</f>
        <v>0</v>
      </c>
      <c r="L215" s="12">
        <f t="shared" si="7"/>
        <v>1</v>
      </c>
    </row>
    <row r="216" spans="1:12" x14ac:dyDescent="0.35">
      <c r="A216" t="str">
        <f t="shared" si="6"/>
        <v>SBM20245933</v>
      </c>
      <c r="B216" t="s">
        <v>466</v>
      </c>
      <c r="C216" t="s">
        <v>1459</v>
      </c>
      <c r="D216" s="32">
        <v>44721</v>
      </c>
      <c r="E216" t="s">
        <v>178</v>
      </c>
      <c r="F216" t="str">
        <f>VLOOKUP(B216,'Agent wise'!A:E,5,0)</f>
        <v>Wireless</v>
      </c>
      <c r="G216" s="32">
        <v>45933</v>
      </c>
      <c r="H216">
        <f>COUNTIFS('Audit Raw data'!J:J,B:B,'Audit Raw data'!E:E,G:G)</f>
        <v>2</v>
      </c>
      <c r="I216" s="44">
        <f>IFERROR((SUMIFS('Audit Raw data'!BZ:BZ,'Audit Raw data'!J:J,B:B,'Audit Raw data'!E:E,G:G)/H216)/100,"-")</f>
        <v>0.95</v>
      </c>
      <c r="J216">
        <f>COUNTIFS('Audit Raw data'!AM:AM,"Yes",'Audit Raw data'!J:J,B:B,'Audit Raw data'!E:E,'Day wise agent'!G:G)</f>
        <v>2</v>
      </c>
      <c r="K216">
        <f>COUNTIFS('Audit Raw data'!AM:AM,"NO",'Audit Raw data'!J:J,B:B,'Audit Raw data'!E:E,'Day wise agent'!G:G)</f>
        <v>0</v>
      </c>
      <c r="L216" s="12">
        <f t="shared" si="7"/>
        <v>1</v>
      </c>
    </row>
    <row r="217" spans="1:12" x14ac:dyDescent="0.35">
      <c r="A217" t="str">
        <f t="shared" si="6"/>
        <v>SBM26445933</v>
      </c>
      <c r="B217" t="s">
        <v>575</v>
      </c>
      <c r="C217" t="s">
        <v>1461</v>
      </c>
      <c r="D217" s="32">
        <v>44739</v>
      </c>
      <c r="E217" t="s">
        <v>107</v>
      </c>
      <c r="F217" t="str">
        <f>VLOOKUP(B217,'Agent wise'!A:E,5,0)</f>
        <v>Wireless</v>
      </c>
      <c r="G217" s="32">
        <v>45933</v>
      </c>
      <c r="H217">
        <f>COUNTIFS('Audit Raw data'!J:J,B:B,'Audit Raw data'!E:E,G:G)</f>
        <v>2</v>
      </c>
      <c r="I217" s="44">
        <f>IFERROR((SUMIFS('Audit Raw data'!BZ:BZ,'Audit Raw data'!J:J,B:B,'Audit Raw data'!E:E,G:G)/H217)/100,"-")</f>
        <v>0.98</v>
      </c>
      <c r="J217">
        <f>COUNTIFS('Audit Raw data'!AM:AM,"Yes",'Audit Raw data'!J:J,B:B,'Audit Raw data'!E:E,'Day wise agent'!G:G)</f>
        <v>2</v>
      </c>
      <c r="K217">
        <f>COUNTIFS('Audit Raw data'!AM:AM,"NO",'Audit Raw data'!J:J,B:B,'Audit Raw data'!E:E,'Day wise agent'!G:G)</f>
        <v>0</v>
      </c>
      <c r="L217" s="12">
        <f t="shared" si="7"/>
        <v>1</v>
      </c>
    </row>
    <row r="218" spans="1:12" x14ac:dyDescent="0.35">
      <c r="A218" t="str">
        <f t="shared" si="6"/>
        <v>SBM26745933</v>
      </c>
      <c r="B218" t="s">
        <v>91</v>
      </c>
      <c r="C218" t="s">
        <v>1462</v>
      </c>
      <c r="D218" s="32">
        <v>44768</v>
      </c>
      <c r="E218" t="s">
        <v>1453</v>
      </c>
      <c r="F218" t="str">
        <f>VLOOKUP(B218,'Agent wise'!A:E,5,0)</f>
        <v>Wireless</v>
      </c>
      <c r="G218" s="32">
        <v>45933</v>
      </c>
      <c r="H218">
        <f>COUNTIFS('Audit Raw data'!J:J,B:B,'Audit Raw data'!E:E,G:G)</f>
        <v>2</v>
      </c>
      <c r="I218" s="44">
        <f>IFERROR((SUMIFS('Audit Raw data'!BZ:BZ,'Audit Raw data'!J:J,B:B,'Audit Raw data'!E:E,G:G)/H218)/100,"-")</f>
        <v>0.94</v>
      </c>
      <c r="J218">
        <f>COUNTIFS('Audit Raw data'!AM:AM,"Yes",'Audit Raw data'!J:J,B:B,'Audit Raw data'!E:E,'Day wise agent'!G:G)</f>
        <v>2</v>
      </c>
      <c r="K218">
        <f>COUNTIFS('Audit Raw data'!AM:AM,"NO",'Audit Raw data'!J:J,B:B,'Audit Raw data'!E:E,'Day wise agent'!G:G)</f>
        <v>0</v>
      </c>
      <c r="L218" s="12">
        <f t="shared" si="7"/>
        <v>1</v>
      </c>
    </row>
    <row r="219" spans="1:12" x14ac:dyDescent="0.35">
      <c r="A219" t="str">
        <f t="shared" si="6"/>
        <v>SBM31445933</v>
      </c>
      <c r="B219" t="s">
        <v>132</v>
      </c>
      <c r="C219" t="s">
        <v>1463</v>
      </c>
      <c r="D219" s="32">
        <v>44784</v>
      </c>
      <c r="E219" t="s">
        <v>107</v>
      </c>
      <c r="F219" t="str">
        <f>VLOOKUP(B219,'Agent wise'!A:E,5,0)</f>
        <v>Wireless</v>
      </c>
      <c r="G219" s="32">
        <v>45933</v>
      </c>
      <c r="H219">
        <f>COUNTIFS('Audit Raw data'!J:J,B:B,'Audit Raw data'!E:E,G:G)</f>
        <v>1</v>
      </c>
      <c r="I219" s="44">
        <f>IFERROR((SUMIFS('Audit Raw data'!BZ:BZ,'Audit Raw data'!J:J,B:B,'Audit Raw data'!E:E,G:G)/H219)/100,"-")</f>
        <v>1</v>
      </c>
      <c r="J219">
        <f>COUNTIFS('Audit Raw data'!AM:AM,"Yes",'Audit Raw data'!J:J,B:B,'Audit Raw data'!E:E,'Day wise agent'!G:G)</f>
        <v>1</v>
      </c>
      <c r="K219">
        <f>COUNTIFS('Audit Raw data'!AM:AM,"NO",'Audit Raw data'!J:J,B:B,'Audit Raw data'!E:E,'Day wise agent'!G:G)</f>
        <v>0</v>
      </c>
      <c r="L219" s="12">
        <f t="shared" si="7"/>
        <v>1</v>
      </c>
    </row>
    <row r="220" spans="1:12" x14ac:dyDescent="0.35">
      <c r="A220" t="str">
        <f t="shared" si="6"/>
        <v>SBM36345933</v>
      </c>
      <c r="B220" t="s">
        <v>70</v>
      </c>
      <c r="C220" t="s">
        <v>1464</v>
      </c>
      <c r="D220" s="32">
        <v>44786</v>
      </c>
      <c r="E220" t="s">
        <v>1453</v>
      </c>
      <c r="F220" t="str">
        <f>VLOOKUP(B220,'Agent wise'!A:E,5,0)</f>
        <v>Wireless</v>
      </c>
      <c r="G220" s="32">
        <v>45933</v>
      </c>
      <c r="H220">
        <f>COUNTIFS('Audit Raw data'!J:J,B:B,'Audit Raw data'!E:E,G:G)</f>
        <v>0</v>
      </c>
      <c r="I220" s="44" t="str">
        <f>IFERROR((SUMIFS('Audit Raw data'!BZ:BZ,'Audit Raw data'!J:J,B:B,'Audit Raw data'!E:E,G:G)/H220)/100,"-")</f>
        <v>-</v>
      </c>
      <c r="J220">
        <f>COUNTIFS('Audit Raw data'!AM:AM,"Yes",'Audit Raw data'!J:J,B:B,'Audit Raw data'!E:E,'Day wise agent'!G:G)</f>
        <v>0</v>
      </c>
      <c r="K220">
        <f>COUNTIFS('Audit Raw data'!AM:AM,"NO",'Audit Raw data'!J:J,B:B,'Audit Raw data'!E:E,'Day wise agent'!G:G)</f>
        <v>0</v>
      </c>
      <c r="L220" s="12" t="str">
        <f t="shared" si="7"/>
        <v xml:space="preserve"> </v>
      </c>
    </row>
    <row r="221" spans="1:12" x14ac:dyDescent="0.35">
      <c r="A221" t="str">
        <f t="shared" si="6"/>
        <v>SBM37345933</v>
      </c>
      <c r="B221" t="s">
        <v>75</v>
      </c>
      <c r="C221" t="s">
        <v>1465</v>
      </c>
      <c r="D221" s="32">
        <v>44786</v>
      </c>
      <c r="E221" t="s">
        <v>1453</v>
      </c>
      <c r="F221" t="str">
        <f>VLOOKUP(B221,'Agent wise'!A:E,5,0)</f>
        <v>Wireless</v>
      </c>
      <c r="G221" s="32">
        <v>45933</v>
      </c>
      <c r="H221">
        <f>COUNTIFS('Audit Raw data'!J:J,B:B,'Audit Raw data'!E:E,G:G)</f>
        <v>1</v>
      </c>
      <c r="I221" s="44">
        <f>IFERROR((SUMIFS('Audit Raw data'!BZ:BZ,'Audit Raw data'!J:J,B:B,'Audit Raw data'!E:E,G:G)/H221)/100,"-")</f>
        <v>0.88</v>
      </c>
      <c r="J221">
        <f>COUNTIFS('Audit Raw data'!AM:AM,"Yes",'Audit Raw data'!J:J,B:B,'Audit Raw data'!E:E,'Day wise agent'!G:G)</f>
        <v>0</v>
      </c>
      <c r="K221">
        <f>COUNTIFS('Audit Raw data'!AM:AM,"NO",'Audit Raw data'!J:J,B:B,'Audit Raw data'!E:E,'Day wise agent'!G:G)</f>
        <v>1</v>
      </c>
      <c r="L221" s="12">
        <f t="shared" si="7"/>
        <v>0</v>
      </c>
    </row>
    <row r="222" spans="1:12" x14ac:dyDescent="0.35">
      <c r="A222" t="str">
        <f t="shared" si="6"/>
        <v>SBM42245933</v>
      </c>
      <c r="B222" t="s">
        <v>636</v>
      </c>
      <c r="C222" t="s">
        <v>1466</v>
      </c>
      <c r="D222" s="32">
        <v>44882</v>
      </c>
      <c r="E222" t="s">
        <v>107</v>
      </c>
      <c r="F222" t="str">
        <f>VLOOKUP(B222,'Agent wise'!A:E,5,0)</f>
        <v>Wireless</v>
      </c>
      <c r="G222" s="32">
        <v>45933</v>
      </c>
      <c r="H222">
        <f>COUNTIFS('Audit Raw data'!J:J,B:B,'Audit Raw data'!E:E,G:G)</f>
        <v>0</v>
      </c>
      <c r="I222" s="44" t="str">
        <f>IFERROR((SUMIFS('Audit Raw data'!BZ:BZ,'Audit Raw data'!J:J,B:B,'Audit Raw data'!E:E,G:G)/H222)/100,"-")</f>
        <v>-</v>
      </c>
      <c r="J222">
        <f>COUNTIFS('Audit Raw data'!AM:AM,"Yes",'Audit Raw data'!J:J,B:B,'Audit Raw data'!E:E,'Day wise agent'!G:G)</f>
        <v>0</v>
      </c>
      <c r="K222">
        <f>COUNTIFS('Audit Raw data'!AM:AM,"NO",'Audit Raw data'!J:J,B:B,'Audit Raw data'!E:E,'Day wise agent'!G:G)</f>
        <v>0</v>
      </c>
      <c r="L222" s="12" t="str">
        <f t="shared" si="7"/>
        <v xml:space="preserve"> </v>
      </c>
    </row>
    <row r="223" spans="1:12" x14ac:dyDescent="0.35">
      <c r="A223" t="str">
        <f t="shared" si="6"/>
        <v>SBM47945933</v>
      </c>
      <c r="B223" t="s">
        <v>1474</v>
      </c>
      <c r="C223" t="s">
        <v>1475</v>
      </c>
      <c r="D223" s="32">
        <v>44932</v>
      </c>
      <c r="E223" t="s">
        <v>1456</v>
      </c>
      <c r="F223" t="str">
        <f>VLOOKUP(B223,'Agent wise'!A:E,5,0)</f>
        <v>RECL</v>
      </c>
      <c r="G223" s="32">
        <v>45933</v>
      </c>
      <c r="H223">
        <f>COUNTIFS('Audit Raw data'!J:J,B:B,'Audit Raw data'!E:E,G:G)</f>
        <v>0</v>
      </c>
      <c r="I223" s="44" t="str">
        <f>IFERROR((SUMIFS('Audit Raw data'!BZ:BZ,'Audit Raw data'!J:J,B:B,'Audit Raw data'!E:E,G:G)/H223)/100,"-")</f>
        <v>-</v>
      </c>
      <c r="J223">
        <f>COUNTIFS('Audit Raw data'!AM:AM,"Yes",'Audit Raw data'!J:J,B:B,'Audit Raw data'!E:E,'Day wise agent'!G:G)</f>
        <v>0</v>
      </c>
      <c r="K223">
        <f>COUNTIFS('Audit Raw data'!AM:AM,"NO",'Audit Raw data'!J:J,B:B,'Audit Raw data'!E:E,'Day wise agent'!G:G)</f>
        <v>0</v>
      </c>
      <c r="L223" s="12" t="str">
        <f t="shared" si="7"/>
        <v xml:space="preserve"> </v>
      </c>
    </row>
    <row r="224" spans="1:12" x14ac:dyDescent="0.35">
      <c r="A224" t="str">
        <f t="shared" si="6"/>
        <v>SBM48145933</v>
      </c>
      <c r="B224" t="s">
        <v>638</v>
      </c>
      <c r="C224" t="s">
        <v>1467</v>
      </c>
      <c r="D224" s="32">
        <v>44932</v>
      </c>
      <c r="E224" t="s">
        <v>178</v>
      </c>
      <c r="F224" t="str">
        <f>VLOOKUP(B224,'Agent wise'!A:E,5,0)</f>
        <v>Wireless</v>
      </c>
      <c r="G224" s="32">
        <v>45933</v>
      </c>
      <c r="H224">
        <f>COUNTIFS('Audit Raw data'!J:J,B:B,'Audit Raw data'!E:E,G:G)</f>
        <v>0</v>
      </c>
      <c r="I224" s="44" t="str">
        <f>IFERROR((SUMIFS('Audit Raw data'!BZ:BZ,'Audit Raw data'!J:J,B:B,'Audit Raw data'!E:E,G:G)/H224)/100,"-")</f>
        <v>-</v>
      </c>
      <c r="J224">
        <f>COUNTIFS('Audit Raw data'!AM:AM,"Yes",'Audit Raw data'!J:J,B:B,'Audit Raw data'!E:E,'Day wise agent'!G:G)</f>
        <v>0</v>
      </c>
      <c r="K224">
        <f>COUNTIFS('Audit Raw data'!AM:AM,"NO",'Audit Raw data'!J:J,B:B,'Audit Raw data'!E:E,'Day wise agent'!G:G)</f>
        <v>0</v>
      </c>
      <c r="L224" s="12" t="str">
        <f t="shared" si="7"/>
        <v xml:space="preserve"> </v>
      </c>
    </row>
    <row r="225" spans="1:12" x14ac:dyDescent="0.35">
      <c r="A225" t="str">
        <f t="shared" si="6"/>
        <v>SBM48545933</v>
      </c>
      <c r="B225" t="s">
        <v>80</v>
      </c>
      <c r="C225" t="s">
        <v>1469</v>
      </c>
      <c r="D225" s="32">
        <v>44961</v>
      </c>
      <c r="E225" t="s">
        <v>1453</v>
      </c>
      <c r="F225" t="str">
        <f>VLOOKUP(B225,'Agent wise'!A:E,5,0)</f>
        <v>Wireless</v>
      </c>
      <c r="G225" s="32">
        <v>45933</v>
      </c>
      <c r="H225">
        <f>COUNTIFS('Audit Raw data'!J:J,B:B,'Audit Raw data'!E:E,G:G)</f>
        <v>1</v>
      </c>
      <c r="I225" s="44">
        <f>IFERROR((SUMIFS('Audit Raw data'!BZ:BZ,'Audit Raw data'!J:J,B:B,'Audit Raw data'!E:E,G:G)/H225)/100,"-")</f>
        <v>0.9</v>
      </c>
      <c r="J225">
        <f>COUNTIFS('Audit Raw data'!AM:AM,"Yes",'Audit Raw data'!J:J,B:B,'Audit Raw data'!E:E,'Day wise agent'!G:G)</f>
        <v>1</v>
      </c>
      <c r="K225">
        <f>COUNTIFS('Audit Raw data'!AM:AM,"NO",'Audit Raw data'!J:J,B:B,'Audit Raw data'!E:E,'Day wise agent'!G:G)</f>
        <v>0</v>
      </c>
      <c r="L225" s="12">
        <f t="shared" si="7"/>
        <v>1</v>
      </c>
    </row>
    <row r="226" spans="1:12" x14ac:dyDescent="0.35">
      <c r="A226" t="str">
        <f t="shared" si="6"/>
        <v>SBM52445933</v>
      </c>
      <c r="B226" t="s">
        <v>490</v>
      </c>
      <c r="C226" t="s">
        <v>1470</v>
      </c>
      <c r="D226" s="32">
        <v>45093</v>
      </c>
      <c r="E226" t="s">
        <v>1453</v>
      </c>
      <c r="F226" t="str">
        <f>VLOOKUP(B226,'Agent wise'!A:E,5,0)</f>
        <v>Wireless</v>
      </c>
      <c r="G226" s="32">
        <v>45933</v>
      </c>
      <c r="H226">
        <f>COUNTIFS('Audit Raw data'!J:J,B:B,'Audit Raw data'!E:E,G:G)</f>
        <v>2</v>
      </c>
      <c r="I226" s="44">
        <f>IFERROR((SUMIFS('Audit Raw data'!BZ:BZ,'Audit Raw data'!J:J,B:B,'Audit Raw data'!E:E,G:G)/H226)/100,"-")</f>
        <v>0.92</v>
      </c>
      <c r="J226">
        <f>COUNTIFS('Audit Raw data'!AM:AM,"Yes",'Audit Raw data'!J:J,B:B,'Audit Raw data'!E:E,'Day wise agent'!G:G)</f>
        <v>2</v>
      </c>
      <c r="K226">
        <f>COUNTIFS('Audit Raw data'!AM:AM,"NO",'Audit Raw data'!J:J,B:B,'Audit Raw data'!E:E,'Day wise agent'!G:G)</f>
        <v>0</v>
      </c>
      <c r="L226" s="12">
        <f t="shared" si="7"/>
        <v>1</v>
      </c>
    </row>
    <row r="227" spans="1:12" x14ac:dyDescent="0.35">
      <c r="A227" t="str">
        <f t="shared" si="6"/>
        <v>SBM55045933</v>
      </c>
      <c r="B227" t="s">
        <v>139</v>
      </c>
      <c r="C227" t="s">
        <v>1471</v>
      </c>
      <c r="D227" s="32">
        <v>45139</v>
      </c>
      <c r="E227" t="s">
        <v>107</v>
      </c>
      <c r="F227" t="str">
        <f>VLOOKUP(B227,'Agent wise'!A:E,5,0)</f>
        <v>Wireless</v>
      </c>
      <c r="G227" s="32">
        <v>45933</v>
      </c>
      <c r="H227">
        <f>COUNTIFS('Audit Raw data'!J:J,B:B,'Audit Raw data'!E:E,G:G)</f>
        <v>1</v>
      </c>
      <c r="I227" s="44">
        <f>IFERROR((SUMIFS('Audit Raw data'!BZ:BZ,'Audit Raw data'!J:J,B:B,'Audit Raw data'!E:E,G:G)/H227)/100,"-")</f>
        <v>1</v>
      </c>
      <c r="J227">
        <f>COUNTIFS('Audit Raw data'!AM:AM,"Yes",'Audit Raw data'!J:J,B:B,'Audit Raw data'!E:E,'Day wise agent'!G:G)</f>
        <v>1</v>
      </c>
      <c r="K227">
        <f>COUNTIFS('Audit Raw data'!AM:AM,"NO",'Audit Raw data'!J:J,B:B,'Audit Raw data'!E:E,'Day wise agent'!G:G)</f>
        <v>0</v>
      </c>
      <c r="L227" s="12">
        <f t="shared" si="7"/>
        <v>1</v>
      </c>
    </row>
    <row r="228" spans="1:12" x14ac:dyDescent="0.35">
      <c r="A228" t="str">
        <f t="shared" si="6"/>
        <v>SBM55445933</v>
      </c>
      <c r="B228" t="s">
        <v>208</v>
      </c>
      <c r="C228" t="s">
        <v>1472</v>
      </c>
      <c r="D228" s="32">
        <v>45140</v>
      </c>
      <c r="E228" t="s">
        <v>178</v>
      </c>
      <c r="F228" t="str">
        <f>VLOOKUP(B228,'Agent wise'!A:E,5,0)</f>
        <v>Wireless</v>
      </c>
      <c r="G228" s="32">
        <v>45933</v>
      </c>
      <c r="H228">
        <f>COUNTIFS('Audit Raw data'!J:J,B:B,'Audit Raw data'!E:E,G:G)</f>
        <v>1</v>
      </c>
      <c r="I228" s="44">
        <f>IFERROR((SUMIFS('Audit Raw data'!BZ:BZ,'Audit Raw data'!J:J,B:B,'Audit Raw data'!E:E,G:G)/H228)/100,"-")</f>
        <v>0.94</v>
      </c>
      <c r="J228">
        <f>COUNTIFS('Audit Raw data'!AM:AM,"Yes",'Audit Raw data'!J:J,B:B,'Audit Raw data'!E:E,'Day wise agent'!G:G)</f>
        <v>1</v>
      </c>
      <c r="K228">
        <f>COUNTIFS('Audit Raw data'!AM:AM,"NO",'Audit Raw data'!J:J,B:B,'Audit Raw data'!E:E,'Day wise agent'!G:G)</f>
        <v>0</v>
      </c>
      <c r="L228" s="12">
        <f t="shared" si="7"/>
        <v>1</v>
      </c>
    </row>
    <row r="229" spans="1:12" x14ac:dyDescent="0.35">
      <c r="A229" t="str">
        <f t="shared" si="6"/>
        <v>SBM58345933</v>
      </c>
      <c r="B229" t="s">
        <v>546</v>
      </c>
      <c r="C229" t="s">
        <v>1473</v>
      </c>
      <c r="D229" s="32">
        <v>45245</v>
      </c>
      <c r="E229" t="s">
        <v>107</v>
      </c>
      <c r="F229" t="str">
        <f>VLOOKUP(B229,'Agent wise'!A:E,5,0)</f>
        <v>Wireless</v>
      </c>
      <c r="G229" s="32">
        <v>45933</v>
      </c>
      <c r="H229">
        <f>COUNTIFS('Audit Raw data'!J:J,B:B,'Audit Raw data'!E:E,G:G)</f>
        <v>1</v>
      </c>
      <c r="I229" s="44">
        <f>IFERROR((SUMIFS('Audit Raw data'!BZ:BZ,'Audit Raw data'!J:J,B:B,'Audit Raw data'!E:E,G:G)/H229)/100,"-")</f>
        <v>0.92</v>
      </c>
      <c r="J229">
        <f>COUNTIFS('Audit Raw data'!AM:AM,"Yes",'Audit Raw data'!J:J,B:B,'Audit Raw data'!E:E,'Day wise agent'!G:G)</f>
        <v>1</v>
      </c>
      <c r="K229">
        <f>COUNTIFS('Audit Raw data'!AM:AM,"NO",'Audit Raw data'!J:J,B:B,'Audit Raw data'!E:E,'Day wise agent'!G:G)</f>
        <v>0</v>
      </c>
      <c r="L229" s="12">
        <f t="shared" si="7"/>
        <v>1</v>
      </c>
    </row>
    <row r="230" spans="1:12" x14ac:dyDescent="0.35">
      <c r="A230" t="str">
        <f t="shared" si="6"/>
        <v>SBM61345933</v>
      </c>
      <c r="B230" t="s">
        <v>391</v>
      </c>
      <c r="C230" t="s">
        <v>1478</v>
      </c>
      <c r="D230" s="32">
        <v>45301</v>
      </c>
      <c r="E230" t="s">
        <v>221</v>
      </c>
      <c r="F230" t="str">
        <f>VLOOKUP(B230,'Agent wise'!A:E,5,0)</f>
        <v>Wire-line</v>
      </c>
      <c r="G230" s="32">
        <v>45933</v>
      </c>
      <c r="H230">
        <f>COUNTIFS('Audit Raw data'!J:J,B:B,'Audit Raw data'!E:E,G:G)</f>
        <v>2</v>
      </c>
      <c r="I230" s="44">
        <f>IFERROR((SUMIFS('Audit Raw data'!BZ:BZ,'Audit Raw data'!J:J,B:B,'Audit Raw data'!E:E,G:G)/H230)/100,"-")</f>
        <v>0.94</v>
      </c>
      <c r="J230">
        <f>COUNTIFS('Audit Raw data'!AM:AM,"Yes",'Audit Raw data'!J:J,B:B,'Audit Raw data'!E:E,'Day wise agent'!G:G)</f>
        <v>2</v>
      </c>
      <c r="K230">
        <f>COUNTIFS('Audit Raw data'!AM:AM,"NO",'Audit Raw data'!J:J,B:B,'Audit Raw data'!E:E,'Day wise agent'!G:G)</f>
        <v>0</v>
      </c>
      <c r="L230" s="12">
        <f t="shared" si="7"/>
        <v>1</v>
      </c>
    </row>
    <row r="231" spans="1:12" x14ac:dyDescent="0.35">
      <c r="A231" t="str">
        <f t="shared" si="6"/>
        <v>SBM61845933</v>
      </c>
      <c r="B231" t="s">
        <v>242</v>
      </c>
      <c r="C231" t="s">
        <v>1477</v>
      </c>
      <c r="D231" s="32">
        <v>45292</v>
      </c>
      <c r="E231" t="s">
        <v>221</v>
      </c>
      <c r="F231" t="str">
        <f>VLOOKUP(B231,'Agent wise'!A:E,5,0)</f>
        <v>Wire-line</v>
      </c>
      <c r="G231" s="32">
        <v>45933</v>
      </c>
      <c r="H231">
        <f>COUNTIFS('Audit Raw data'!J:J,B:B,'Audit Raw data'!E:E,G:G)</f>
        <v>3</v>
      </c>
      <c r="I231" s="44">
        <f>IFERROR((SUMIFS('Audit Raw data'!BZ:BZ,'Audit Raw data'!J:J,B:B,'Audit Raw data'!E:E,G:G)/H231)/100,"-")</f>
        <v>0.94</v>
      </c>
      <c r="J231">
        <f>COUNTIFS('Audit Raw data'!AM:AM,"Yes",'Audit Raw data'!J:J,B:B,'Audit Raw data'!E:E,'Day wise agent'!G:G)</f>
        <v>3</v>
      </c>
      <c r="K231">
        <f>COUNTIFS('Audit Raw data'!AM:AM,"NO",'Audit Raw data'!J:J,B:B,'Audit Raw data'!E:E,'Day wise agent'!G:G)</f>
        <v>0</v>
      </c>
      <c r="L231" s="12">
        <f t="shared" si="7"/>
        <v>1</v>
      </c>
    </row>
    <row r="232" spans="1:12" x14ac:dyDescent="0.35">
      <c r="A232" t="str">
        <f t="shared" si="6"/>
        <v>SBM62545933</v>
      </c>
      <c r="B232" t="s">
        <v>472</v>
      </c>
      <c r="C232" t="s">
        <v>1476</v>
      </c>
      <c r="D232" s="32">
        <v>45329</v>
      </c>
      <c r="E232" t="s">
        <v>1453</v>
      </c>
      <c r="F232" t="str">
        <f>VLOOKUP(B232,'Agent wise'!A:E,5,0)</f>
        <v>Wireless</v>
      </c>
      <c r="G232" s="32">
        <v>45933</v>
      </c>
      <c r="H232">
        <f>COUNTIFS('Audit Raw data'!J:J,B:B,'Audit Raw data'!E:E,G:G)</f>
        <v>0</v>
      </c>
      <c r="I232" s="44" t="str">
        <f>IFERROR((SUMIFS('Audit Raw data'!BZ:BZ,'Audit Raw data'!J:J,B:B,'Audit Raw data'!E:E,G:G)/H232)/100,"-")</f>
        <v>-</v>
      </c>
      <c r="J232">
        <f>COUNTIFS('Audit Raw data'!AM:AM,"Yes",'Audit Raw data'!J:J,B:B,'Audit Raw data'!E:E,'Day wise agent'!G:G)</f>
        <v>0</v>
      </c>
      <c r="K232">
        <f>COUNTIFS('Audit Raw data'!AM:AM,"NO",'Audit Raw data'!J:J,B:B,'Audit Raw data'!E:E,'Day wise agent'!G:G)</f>
        <v>0</v>
      </c>
      <c r="L232" s="12" t="str">
        <f t="shared" si="7"/>
        <v xml:space="preserve"> </v>
      </c>
    </row>
    <row r="233" spans="1:12" x14ac:dyDescent="0.35">
      <c r="A233" t="str">
        <f t="shared" si="6"/>
        <v>SBM65045933</v>
      </c>
      <c r="B233" t="s">
        <v>353</v>
      </c>
      <c r="C233" t="s">
        <v>1479</v>
      </c>
      <c r="D233" s="32">
        <v>45357</v>
      </c>
      <c r="E233" t="s">
        <v>221</v>
      </c>
      <c r="F233" t="str">
        <f>VLOOKUP(B233,'Agent wise'!A:E,5,0)</f>
        <v>Wire-line</v>
      </c>
      <c r="G233" s="32">
        <v>45933</v>
      </c>
      <c r="H233">
        <f>COUNTIFS('Audit Raw data'!J:J,B:B,'Audit Raw data'!E:E,G:G)</f>
        <v>5</v>
      </c>
      <c r="I233" s="44">
        <f>IFERROR((SUMIFS('Audit Raw data'!BZ:BZ,'Audit Raw data'!J:J,B:B,'Audit Raw data'!E:E,G:G)/H233)/100,"-")</f>
        <v>0.92400000000000004</v>
      </c>
      <c r="J233">
        <f>COUNTIFS('Audit Raw data'!AM:AM,"Yes",'Audit Raw data'!J:J,B:B,'Audit Raw data'!E:E,'Day wise agent'!G:G)</f>
        <v>5</v>
      </c>
      <c r="K233">
        <f>COUNTIFS('Audit Raw data'!AM:AM,"NO",'Audit Raw data'!J:J,B:B,'Audit Raw data'!E:E,'Day wise agent'!G:G)</f>
        <v>0</v>
      </c>
      <c r="L233" s="12">
        <f t="shared" si="7"/>
        <v>1</v>
      </c>
    </row>
    <row r="234" spans="1:12" x14ac:dyDescent="0.35">
      <c r="A234" t="str">
        <f t="shared" si="6"/>
        <v>SBM65345933</v>
      </c>
      <c r="B234" t="s">
        <v>223</v>
      </c>
      <c r="C234" t="s">
        <v>1480</v>
      </c>
      <c r="D234" s="32">
        <v>45367</v>
      </c>
      <c r="E234" t="s">
        <v>221</v>
      </c>
      <c r="F234" t="str">
        <f>VLOOKUP(B234,'Agent wise'!A:E,5,0)</f>
        <v>Wire-line</v>
      </c>
      <c r="G234" s="32">
        <v>45933</v>
      </c>
      <c r="H234">
        <f>COUNTIFS('Audit Raw data'!J:J,B:B,'Audit Raw data'!E:E,G:G)</f>
        <v>1</v>
      </c>
      <c r="I234" s="44">
        <f>IFERROR((SUMIFS('Audit Raw data'!BZ:BZ,'Audit Raw data'!J:J,B:B,'Audit Raw data'!E:E,G:G)/H234)/100,"-")</f>
        <v>0.96</v>
      </c>
      <c r="J234">
        <f>COUNTIFS('Audit Raw data'!AM:AM,"Yes",'Audit Raw data'!J:J,B:B,'Audit Raw data'!E:E,'Day wise agent'!G:G)</f>
        <v>1</v>
      </c>
      <c r="K234">
        <f>COUNTIFS('Audit Raw data'!AM:AM,"NO",'Audit Raw data'!J:J,B:B,'Audit Raw data'!E:E,'Day wise agent'!G:G)</f>
        <v>0</v>
      </c>
      <c r="L234" s="12">
        <f t="shared" si="7"/>
        <v>1</v>
      </c>
    </row>
    <row r="235" spans="1:12" x14ac:dyDescent="0.35">
      <c r="A235" t="str">
        <f t="shared" si="6"/>
        <v>SBM67845933</v>
      </c>
      <c r="B235" t="s">
        <v>548</v>
      </c>
      <c r="C235" t="s">
        <v>1481</v>
      </c>
      <c r="D235" s="32">
        <v>45413</v>
      </c>
      <c r="E235" t="s">
        <v>178</v>
      </c>
      <c r="F235" t="str">
        <f>VLOOKUP(B235,'Agent wise'!A:E,5,0)</f>
        <v>Wireless</v>
      </c>
      <c r="G235" s="32">
        <v>45933</v>
      </c>
      <c r="H235">
        <f>COUNTIFS('Audit Raw data'!J:J,B:B,'Audit Raw data'!E:E,G:G)</f>
        <v>1</v>
      </c>
      <c r="I235" s="44">
        <f>IFERROR((SUMIFS('Audit Raw data'!BZ:BZ,'Audit Raw data'!J:J,B:B,'Audit Raw data'!E:E,G:G)/H235)/100,"-")</f>
        <v>0.9</v>
      </c>
      <c r="J235">
        <f>COUNTIFS('Audit Raw data'!AM:AM,"Yes",'Audit Raw data'!J:J,B:B,'Audit Raw data'!E:E,'Day wise agent'!G:G)</f>
        <v>1</v>
      </c>
      <c r="K235">
        <f>COUNTIFS('Audit Raw data'!AM:AM,"NO",'Audit Raw data'!J:J,B:B,'Audit Raw data'!E:E,'Day wise agent'!G:G)</f>
        <v>0</v>
      </c>
      <c r="L235" s="12">
        <f t="shared" si="7"/>
        <v>1</v>
      </c>
    </row>
    <row r="236" spans="1:12" x14ac:dyDescent="0.35">
      <c r="A236" t="str">
        <f t="shared" si="6"/>
        <v>SBM69245933</v>
      </c>
      <c r="B236" t="s">
        <v>85</v>
      </c>
      <c r="C236" t="s">
        <v>1482</v>
      </c>
      <c r="D236" s="32">
        <v>45445</v>
      </c>
      <c r="E236" t="s">
        <v>1453</v>
      </c>
      <c r="F236" t="str">
        <f>VLOOKUP(B236,'Agent wise'!A:E,5,0)</f>
        <v>Wireless</v>
      </c>
      <c r="G236" s="32">
        <v>45933</v>
      </c>
      <c r="H236">
        <f>COUNTIFS('Audit Raw data'!J:J,B:B,'Audit Raw data'!E:E,G:G)</f>
        <v>0</v>
      </c>
      <c r="I236" s="44" t="str">
        <f>IFERROR((SUMIFS('Audit Raw data'!BZ:BZ,'Audit Raw data'!J:J,B:B,'Audit Raw data'!E:E,G:G)/H236)/100,"-")</f>
        <v>-</v>
      </c>
      <c r="J236">
        <f>COUNTIFS('Audit Raw data'!AM:AM,"Yes",'Audit Raw data'!J:J,B:B,'Audit Raw data'!E:E,'Day wise agent'!G:G)</f>
        <v>0</v>
      </c>
      <c r="K236">
        <f>COUNTIFS('Audit Raw data'!AM:AM,"NO",'Audit Raw data'!J:J,B:B,'Audit Raw data'!E:E,'Day wise agent'!G:G)</f>
        <v>0</v>
      </c>
      <c r="L236" s="12" t="str">
        <f t="shared" si="7"/>
        <v xml:space="preserve"> </v>
      </c>
    </row>
    <row r="237" spans="1:12" x14ac:dyDescent="0.35">
      <c r="A237" t="str">
        <f t="shared" si="6"/>
        <v>SBM70345933</v>
      </c>
      <c r="B237" t="s">
        <v>252</v>
      </c>
      <c r="C237" t="s">
        <v>1483</v>
      </c>
      <c r="D237" s="32">
        <v>45451</v>
      </c>
      <c r="E237" t="s">
        <v>1484</v>
      </c>
      <c r="F237" t="str">
        <f>VLOOKUP(B237,'Agent wise'!A:E,5,0)</f>
        <v>Wireless</v>
      </c>
      <c r="G237" s="32">
        <v>45933</v>
      </c>
      <c r="H237">
        <f>COUNTIFS('Audit Raw data'!J:J,B:B,'Audit Raw data'!E:E,G:G)</f>
        <v>0</v>
      </c>
      <c r="I237" s="44" t="str">
        <f>IFERROR((SUMIFS('Audit Raw data'!BZ:BZ,'Audit Raw data'!J:J,B:B,'Audit Raw data'!E:E,G:G)/H237)/100,"-")</f>
        <v>-</v>
      </c>
      <c r="J237">
        <f>COUNTIFS('Audit Raw data'!AM:AM,"Yes",'Audit Raw data'!J:J,B:B,'Audit Raw data'!E:E,'Day wise agent'!G:G)</f>
        <v>0</v>
      </c>
      <c r="K237">
        <f>COUNTIFS('Audit Raw data'!AM:AM,"NO",'Audit Raw data'!J:J,B:B,'Audit Raw data'!E:E,'Day wise agent'!G:G)</f>
        <v>0</v>
      </c>
      <c r="L237" s="12" t="str">
        <f t="shared" si="7"/>
        <v xml:space="preserve"> </v>
      </c>
    </row>
    <row r="238" spans="1:12" x14ac:dyDescent="0.35">
      <c r="A238" t="str">
        <f t="shared" si="6"/>
        <v>SBM71045933</v>
      </c>
      <c r="B238" t="s">
        <v>552</v>
      </c>
      <c r="C238" t="s">
        <v>1485</v>
      </c>
      <c r="D238" s="32">
        <v>45465</v>
      </c>
      <c r="E238" t="s">
        <v>1484</v>
      </c>
      <c r="F238" t="str">
        <f>VLOOKUP(B238,'Agent wise'!A:E,5,0)</f>
        <v>Wireless</v>
      </c>
      <c r="G238" s="32">
        <v>45933</v>
      </c>
      <c r="H238">
        <f>COUNTIFS('Audit Raw data'!J:J,B:B,'Audit Raw data'!E:E,G:G)</f>
        <v>1</v>
      </c>
      <c r="I238" s="44">
        <f>IFERROR((SUMIFS('Audit Raw data'!BZ:BZ,'Audit Raw data'!J:J,B:B,'Audit Raw data'!E:E,G:G)/H238)/100,"-")</f>
        <v>0.92</v>
      </c>
      <c r="J238">
        <f>COUNTIFS('Audit Raw data'!AM:AM,"Yes",'Audit Raw data'!J:J,B:B,'Audit Raw data'!E:E,'Day wise agent'!G:G)</f>
        <v>1</v>
      </c>
      <c r="K238">
        <f>COUNTIFS('Audit Raw data'!AM:AM,"NO",'Audit Raw data'!J:J,B:B,'Audit Raw data'!E:E,'Day wise agent'!G:G)</f>
        <v>0</v>
      </c>
      <c r="L238" s="12">
        <f t="shared" si="7"/>
        <v>1</v>
      </c>
    </row>
    <row r="239" spans="1:12" x14ac:dyDescent="0.35">
      <c r="A239" t="str">
        <f t="shared" si="6"/>
        <v>SBM71145933</v>
      </c>
      <c r="B239" t="s">
        <v>533</v>
      </c>
      <c r="C239" t="s">
        <v>1486</v>
      </c>
      <c r="D239" s="32">
        <v>45465</v>
      </c>
      <c r="E239" t="s">
        <v>1484</v>
      </c>
      <c r="F239" t="str">
        <f>VLOOKUP(B239,'Agent wise'!A:E,5,0)</f>
        <v>Wireless</v>
      </c>
      <c r="G239" s="32">
        <v>45933</v>
      </c>
      <c r="H239">
        <f>COUNTIFS('Audit Raw data'!J:J,B:B,'Audit Raw data'!E:E,G:G)</f>
        <v>3</v>
      </c>
      <c r="I239" s="44">
        <f>IFERROR((SUMIFS('Audit Raw data'!BZ:BZ,'Audit Raw data'!J:J,B:B,'Audit Raw data'!E:E,G:G)/H239)/100,"-")</f>
        <v>0.93333333333333324</v>
      </c>
      <c r="J239">
        <f>COUNTIFS('Audit Raw data'!AM:AM,"Yes",'Audit Raw data'!J:J,B:B,'Audit Raw data'!E:E,'Day wise agent'!G:G)</f>
        <v>3</v>
      </c>
      <c r="K239">
        <f>COUNTIFS('Audit Raw data'!AM:AM,"NO",'Audit Raw data'!J:J,B:B,'Audit Raw data'!E:E,'Day wise agent'!G:G)</f>
        <v>0</v>
      </c>
      <c r="L239" s="12">
        <f t="shared" si="7"/>
        <v>1</v>
      </c>
    </row>
    <row r="240" spans="1:12" x14ac:dyDescent="0.35">
      <c r="A240" t="str">
        <f t="shared" si="6"/>
        <v>SBM71845933</v>
      </c>
      <c r="B240" t="s">
        <v>451</v>
      </c>
      <c r="C240" t="s">
        <v>1487</v>
      </c>
      <c r="D240" s="32">
        <v>45491</v>
      </c>
      <c r="E240" t="s">
        <v>1484</v>
      </c>
      <c r="F240" t="str">
        <f>VLOOKUP(B240,'Agent wise'!A:E,5,0)</f>
        <v>Wireless</v>
      </c>
      <c r="G240" s="32">
        <v>45933</v>
      </c>
      <c r="H240">
        <f>COUNTIFS('Audit Raw data'!J:J,B:B,'Audit Raw data'!E:E,G:G)</f>
        <v>1</v>
      </c>
      <c r="I240" s="44">
        <f>IFERROR((SUMIFS('Audit Raw data'!BZ:BZ,'Audit Raw data'!J:J,B:B,'Audit Raw data'!E:E,G:G)/H240)/100,"-")</f>
        <v>0.96</v>
      </c>
      <c r="J240">
        <f>COUNTIFS('Audit Raw data'!AM:AM,"Yes",'Audit Raw data'!J:J,B:B,'Audit Raw data'!E:E,'Day wise agent'!G:G)</f>
        <v>1</v>
      </c>
      <c r="K240">
        <f>COUNTIFS('Audit Raw data'!AM:AM,"NO",'Audit Raw data'!J:J,B:B,'Audit Raw data'!E:E,'Day wise agent'!G:G)</f>
        <v>0</v>
      </c>
      <c r="L240" s="12">
        <f t="shared" si="7"/>
        <v>1</v>
      </c>
    </row>
    <row r="241" spans="1:12" x14ac:dyDescent="0.35">
      <c r="A241" t="str">
        <f t="shared" si="6"/>
        <v>SBM72045933</v>
      </c>
      <c r="B241" t="s">
        <v>557</v>
      </c>
      <c r="C241" t="s">
        <v>1488</v>
      </c>
      <c r="D241" s="32">
        <v>45491</v>
      </c>
      <c r="E241" t="s">
        <v>1484</v>
      </c>
      <c r="F241" t="str">
        <f>VLOOKUP(B241,'Agent wise'!A:E,5,0)</f>
        <v>Wireless</v>
      </c>
      <c r="G241" s="32">
        <v>45933</v>
      </c>
      <c r="H241">
        <f>COUNTIFS('Audit Raw data'!J:J,B:B,'Audit Raw data'!E:E,G:G)</f>
        <v>1</v>
      </c>
      <c r="I241" s="44">
        <f>IFERROR((SUMIFS('Audit Raw data'!BZ:BZ,'Audit Raw data'!J:J,B:B,'Audit Raw data'!E:E,G:G)/H241)/100,"-")</f>
        <v>0.96</v>
      </c>
      <c r="J241">
        <f>COUNTIFS('Audit Raw data'!AM:AM,"Yes",'Audit Raw data'!J:J,B:B,'Audit Raw data'!E:E,'Day wise agent'!G:G)</f>
        <v>1</v>
      </c>
      <c r="K241">
        <f>COUNTIFS('Audit Raw data'!AM:AM,"NO",'Audit Raw data'!J:J,B:B,'Audit Raw data'!E:E,'Day wise agent'!G:G)</f>
        <v>0</v>
      </c>
      <c r="L241" s="12">
        <f t="shared" si="7"/>
        <v>1</v>
      </c>
    </row>
    <row r="242" spans="1:12" x14ac:dyDescent="0.35">
      <c r="A242" t="str">
        <f t="shared" si="6"/>
        <v>SBM72445933</v>
      </c>
      <c r="B242" t="s">
        <v>144</v>
      </c>
      <c r="C242" t="s">
        <v>1489</v>
      </c>
      <c r="D242" s="32">
        <v>45491</v>
      </c>
      <c r="E242" t="s">
        <v>1484</v>
      </c>
      <c r="F242" t="str">
        <f>VLOOKUP(B242,'Agent wise'!A:E,5,0)</f>
        <v>Wireless</v>
      </c>
      <c r="G242" s="32">
        <v>45933</v>
      </c>
      <c r="H242">
        <f>COUNTIFS('Audit Raw data'!J:J,B:B,'Audit Raw data'!E:E,G:G)</f>
        <v>0</v>
      </c>
      <c r="I242" s="44" t="str">
        <f>IFERROR((SUMIFS('Audit Raw data'!BZ:BZ,'Audit Raw data'!J:J,B:B,'Audit Raw data'!E:E,G:G)/H242)/100,"-")</f>
        <v>-</v>
      </c>
      <c r="J242">
        <f>COUNTIFS('Audit Raw data'!AM:AM,"Yes",'Audit Raw data'!J:J,B:B,'Audit Raw data'!E:E,'Day wise agent'!G:G)</f>
        <v>0</v>
      </c>
      <c r="K242">
        <f>COUNTIFS('Audit Raw data'!AM:AM,"NO",'Audit Raw data'!J:J,B:B,'Audit Raw data'!E:E,'Day wise agent'!G:G)</f>
        <v>0</v>
      </c>
      <c r="L242" s="12" t="str">
        <f t="shared" si="7"/>
        <v xml:space="preserve"> </v>
      </c>
    </row>
    <row r="243" spans="1:12" x14ac:dyDescent="0.35">
      <c r="A243" t="str">
        <f t="shared" si="6"/>
        <v>SBM73445933</v>
      </c>
      <c r="B243" t="s">
        <v>356</v>
      </c>
      <c r="C243" t="s">
        <v>1490</v>
      </c>
      <c r="D243" s="32">
        <v>45497</v>
      </c>
      <c r="E243" t="s">
        <v>221</v>
      </c>
      <c r="F243" t="str">
        <f>VLOOKUP(B243,'Agent wise'!A:E,5,0)</f>
        <v>Wire-line</v>
      </c>
      <c r="G243" s="32">
        <v>45933</v>
      </c>
      <c r="H243">
        <f>COUNTIFS('Audit Raw data'!J:J,B:B,'Audit Raw data'!E:E,G:G)</f>
        <v>3</v>
      </c>
      <c r="I243" s="44">
        <f>IFERROR((SUMIFS('Audit Raw data'!BZ:BZ,'Audit Raw data'!J:J,B:B,'Audit Raw data'!E:E,G:G)/H243)/100,"-")</f>
        <v>0.87333333333333329</v>
      </c>
      <c r="J243">
        <f>COUNTIFS('Audit Raw data'!AM:AM,"Yes",'Audit Raw data'!J:J,B:B,'Audit Raw data'!E:E,'Day wise agent'!G:G)</f>
        <v>3</v>
      </c>
      <c r="K243">
        <f>COUNTIFS('Audit Raw data'!AM:AM,"NO",'Audit Raw data'!J:J,B:B,'Audit Raw data'!E:E,'Day wise agent'!G:G)</f>
        <v>0</v>
      </c>
      <c r="L243" s="12">
        <f t="shared" si="7"/>
        <v>1</v>
      </c>
    </row>
    <row r="244" spans="1:12" x14ac:dyDescent="0.35">
      <c r="A244" t="str">
        <f t="shared" si="6"/>
        <v>SBM73645933</v>
      </c>
      <c r="B244" t="s">
        <v>501</v>
      </c>
      <c r="C244" t="s">
        <v>1491</v>
      </c>
      <c r="D244" s="32">
        <v>45500</v>
      </c>
      <c r="E244" t="s">
        <v>221</v>
      </c>
      <c r="F244" t="str">
        <f>VLOOKUP(B244,'Agent wise'!A:E,5,0)</f>
        <v>Wire-line</v>
      </c>
      <c r="G244" s="32">
        <v>45933</v>
      </c>
      <c r="H244">
        <f>COUNTIFS('Audit Raw data'!J:J,B:B,'Audit Raw data'!E:E,G:G)</f>
        <v>3</v>
      </c>
      <c r="I244" s="44">
        <f>IFERROR((SUMIFS('Audit Raw data'!BZ:BZ,'Audit Raw data'!J:J,B:B,'Audit Raw data'!E:E,G:G)/H244)/100,"-")</f>
        <v>0.92666666666666675</v>
      </c>
      <c r="J244">
        <f>COUNTIFS('Audit Raw data'!AM:AM,"Yes",'Audit Raw data'!J:J,B:B,'Audit Raw data'!E:E,'Day wise agent'!G:G)</f>
        <v>3</v>
      </c>
      <c r="K244">
        <f>COUNTIFS('Audit Raw data'!AM:AM,"NO",'Audit Raw data'!J:J,B:B,'Audit Raw data'!E:E,'Day wise agent'!G:G)</f>
        <v>0</v>
      </c>
      <c r="L244" s="12">
        <f t="shared" si="7"/>
        <v>1</v>
      </c>
    </row>
    <row r="245" spans="1:12" x14ac:dyDescent="0.35">
      <c r="A245" t="str">
        <f t="shared" si="6"/>
        <v>SBM73945933</v>
      </c>
      <c r="B245" t="s">
        <v>559</v>
      </c>
      <c r="C245" t="s">
        <v>1492</v>
      </c>
      <c r="D245" s="32">
        <v>45516</v>
      </c>
      <c r="E245" t="s">
        <v>1484</v>
      </c>
      <c r="F245" t="str">
        <f>VLOOKUP(B245,'Agent wise'!A:E,5,0)</f>
        <v>Wireless</v>
      </c>
      <c r="G245" s="32">
        <v>45933</v>
      </c>
      <c r="H245">
        <f>COUNTIFS('Audit Raw data'!J:J,B:B,'Audit Raw data'!E:E,G:G)</f>
        <v>1</v>
      </c>
      <c r="I245" s="44">
        <f>IFERROR((SUMIFS('Audit Raw data'!BZ:BZ,'Audit Raw data'!J:J,B:B,'Audit Raw data'!E:E,G:G)/H245)/100,"-")</f>
        <v>0.92</v>
      </c>
      <c r="J245">
        <f>COUNTIFS('Audit Raw data'!AM:AM,"Yes",'Audit Raw data'!J:J,B:B,'Audit Raw data'!E:E,'Day wise agent'!G:G)</f>
        <v>1</v>
      </c>
      <c r="K245">
        <f>COUNTIFS('Audit Raw data'!AM:AM,"NO",'Audit Raw data'!J:J,B:B,'Audit Raw data'!E:E,'Day wise agent'!G:G)</f>
        <v>0</v>
      </c>
      <c r="L245" s="12">
        <f t="shared" si="7"/>
        <v>1</v>
      </c>
    </row>
    <row r="246" spans="1:12" x14ac:dyDescent="0.35">
      <c r="A246" t="str">
        <f t="shared" si="6"/>
        <v>SBM74445933</v>
      </c>
      <c r="B246" t="s">
        <v>96</v>
      </c>
      <c r="C246" t="s">
        <v>1493</v>
      </c>
      <c r="D246" s="32">
        <v>45516</v>
      </c>
      <c r="E246" t="s">
        <v>1484</v>
      </c>
      <c r="F246" t="str">
        <f>VLOOKUP(B246,'Agent wise'!A:E,5,0)</f>
        <v>Wireless</v>
      </c>
      <c r="G246" s="32">
        <v>45933</v>
      </c>
      <c r="H246">
        <f>COUNTIFS('Audit Raw data'!J:J,B:B,'Audit Raw data'!E:E,G:G)</f>
        <v>0</v>
      </c>
      <c r="I246" s="44" t="str">
        <f>IFERROR((SUMIFS('Audit Raw data'!BZ:BZ,'Audit Raw data'!J:J,B:B,'Audit Raw data'!E:E,G:G)/H246)/100,"-")</f>
        <v>-</v>
      </c>
      <c r="J246">
        <f>COUNTIFS('Audit Raw data'!AM:AM,"Yes",'Audit Raw data'!J:J,B:B,'Audit Raw data'!E:E,'Day wise agent'!G:G)</f>
        <v>0</v>
      </c>
      <c r="K246">
        <f>COUNTIFS('Audit Raw data'!AM:AM,"NO",'Audit Raw data'!J:J,B:B,'Audit Raw data'!E:E,'Day wise agent'!G:G)</f>
        <v>0</v>
      </c>
      <c r="L246" s="12" t="str">
        <f t="shared" si="7"/>
        <v xml:space="preserve"> </v>
      </c>
    </row>
    <row r="247" spans="1:12" x14ac:dyDescent="0.35">
      <c r="A247" t="str">
        <f t="shared" si="6"/>
        <v>SBM75545933</v>
      </c>
      <c r="B247" t="s">
        <v>409</v>
      </c>
      <c r="C247" t="s">
        <v>1494</v>
      </c>
      <c r="D247" s="32">
        <v>45518</v>
      </c>
      <c r="E247" t="s">
        <v>221</v>
      </c>
      <c r="F247" t="str">
        <f>VLOOKUP(B247,'Agent wise'!A:E,5,0)</f>
        <v>Wire-line</v>
      </c>
      <c r="G247" s="32">
        <v>45933</v>
      </c>
      <c r="H247">
        <f>COUNTIFS('Audit Raw data'!J:J,B:B,'Audit Raw data'!E:E,G:G)</f>
        <v>0</v>
      </c>
      <c r="I247" s="44" t="str">
        <f>IFERROR((SUMIFS('Audit Raw data'!BZ:BZ,'Audit Raw data'!J:J,B:B,'Audit Raw data'!E:E,G:G)/H247)/100,"-")</f>
        <v>-</v>
      </c>
      <c r="J247">
        <f>COUNTIFS('Audit Raw data'!AM:AM,"Yes",'Audit Raw data'!J:J,B:B,'Audit Raw data'!E:E,'Day wise agent'!G:G)</f>
        <v>0</v>
      </c>
      <c r="K247">
        <f>COUNTIFS('Audit Raw data'!AM:AM,"NO",'Audit Raw data'!J:J,B:B,'Audit Raw data'!E:E,'Day wise agent'!G:G)</f>
        <v>0</v>
      </c>
      <c r="L247" s="12" t="str">
        <f t="shared" si="7"/>
        <v xml:space="preserve"> </v>
      </c>
    </row>
    <row r="248" spans="1:12" x14ac:dyDescent="0.35">
      <c r="A248" t="str">
        <f t="shared" si="6"/>
        <v>SBM75845933</v>
      </c>
      <c r="B248" t="s">
        <v>420</v>
      </c>
      <c r="C248" t="s">
        <v>1502</v>
      </c>
      <c r="D248" s="32">
        <v>45518</v>
      </c>
      <c r="E248" t="s">
        <v>221</v>
      </c>
      <c r="F248" t="str">
        <f>VLOOKUP(B248,'Agent wise'!A:E,5,0)</f>
        <v>Wire-line</v>
      </c>
      <c r="G248" s="32">
        <v>45933</v>
      </c>
      <c r="H248">
        <f>COUNTIFS('Audit Raw data'!J:J,B:B,'Audit Raw data'!E:E,G:G)</f>
        <v>1</v>
      </c>
      <c r="I248" s="44">
        <f>IFERROR((SUMIFS('Audit Raw data'!BZ:BZ,'Audit Raw data'!J:J,B:B,'Audit Raw data'!E:E,G:G)/H248)/100,"-")</f>
        <v>1</v>
      </c>
      <c r="J248">
        <f>COUNTIFS('Audit Raw data'!AM:AM,"Yes",'Audit Raw data'!J:J,B:B,'Audit Raw data'!E:E,'Day wise agent'!G:G)</f>
        <v>1</v>
      </c>
      <c r="K248">
        <f>COUNTIFS('Audit Raw data'!AM:AM,"NO",'Audit Raw data'!J:J,B:B,'Audit Raw data'!E:E,'Day wise agent'!G:G)</f>
        <v>0</v>
      </c>
      <c r="L248" s="12">
        <f t="shared" si="7"/>
        <v>1</v>
      </c>
    </row>
    <row r="249" spans="1:12" x14ac:dyDescent="0.35">
      <c r="A249" t="str">
        <f t="shared" si="6"/>
        <v>SBM76745933</v>
      </c>
      <c r="B249" t="s">
        <v>442</v>
      </c>
      <c r="C249" t="s">
        <v>1495</v>
      </c>
      <c r="D249" s="32">
        <v>45520</v>
      </c>
      <c r="E249" t="s">
        <v>107</v>
      </c>
      <c r="F249" t="str">
        <f>VLOOKUP(B249,'Agent wise'!A:E,5,0)</f>
        <v>Wireless</v>
      </c>
      <c r="G249" s="32">
        <v>45933</v>
      </c>
      <c r="H249">
        <f>COUNTIFS('Audit Raw data'!J:J,B:B,'Audit Raw data'!E:E,G:G)</f>
        <v>0</v>
      </c>
      <c r="I249" s="44" t="str">
        <f>IFERROR((SUMIFS('Audit Raw data'!BZ:BZ,'Audit Raw data'!J:J,B:B,'Audit Raw data'!E:E,G:G)/H249)/100,"-")</f>
        <v>-</v>
      </c>
      <c r="J249">
        <f>COUNTIFS('Audit Raw data'!AM:AM,"Yes",'Audit Raw data'!J:J,B:B,'Audit Raw data'!E:E,'Day wise agent'!G:G)</f>
        <v>0</v>
      </c>
      <c r="K249">
        <f>COUNTIFS('Audit Raw data'!AM:AM,"NO",'Audit Raw data'!J:J,B:B,'Audit Raw data'!E:E,'Day wise agent'!G:G)</f>
        <v>0</v>
      </c>
      <c r="L249" s="12" t="str">
        <f t="shared" si="7"/>
        <v xml:space="preserve"> </v>
      </c>
    </row>
    <row r="250" spans="1:12" x14ac:dyDescent="0.35">
      <c r="A250" t="str">
        <f t="shared" si="6"/>
        <v>SBM77245933</v>
      </c>
      <c r="B250" t="s">
        <v>640</v>
      </c>
      <c r="C250" t="s">
        <v>1497</v>
      </c>
      <c r="D250" s="32">
        <v>45528</v>
      </c>
      <c r="E250" t="s">
        <v>178</v>
      </c>
      <c r="F250" t="str">
        <f>VLOOKUP(B250,'Agent wise'!A:E,5,0)</f>
        <v>Wireless</v>
      </c>
      <c r="G250" s="32">
        <v>45933</v>
      </c>
      <c r="H250">
        <f>COUNTIFS('Audit Raw data'!J:J,B:B,'Audit Raw data'!E:E,G:G)</f>
        <v>0</v>
      </c>
      <c r="I250" s="44" t="str">
        <f>IFERROR((SUMIFS('Audit Raw data'!BZ:BZ,'Audit Raw data'!J:J,B:B,'Audit Raw data'!E:E,G:G)/H250)/100,"-")</f>
        <v>-</v>
      </c>
      <c r="J250">
        <f>COUNTIFS('Audit Raw data'!AM:AM,"Yes",'Audit Raw data'!J:J,B:B,'Audit Raw data'!E:E,'Day wise agent'!G:G)</f>
        <v>0</v>
      </c>
      <c r="K250">
        <f>COUNTIFS('Audit Raw data'!AM:AM,"NO",'Audit Raw data'!J:J,B:B,'Audit Raw data'!E:E,'Day wise agent'!G:G)</f>
        <v>0</v>
      </c>
      <c r="L250" s="12" t="str">
        <f t="shared" si="7"/>
        <v xml:space="preserve"> </v>
      </c>
    </row>
    <row r="251" spans="1:12" x14ac:dyDescent="0.35">
      <c r="A251" t="str">
        <f t="shared" si="6"/>
        <v>SBM77345933</v>
      </c>
      <c r="B251" t="s">
        <v>464</v>
      </c>
      <c r="C251" t="s">
        <v>1496</v>
      </c>
      <c r="D251" s="32">
        <v>45526</v>
      </c>
      <c r="E251" t="s">
        <v>178</v>
      </c>
      <c r="F251" t="str">
        <f>VLOOKUP(B251,'Agent wise'!A:E,5,0)</f>
        <v>Wireless</v>
      </c>
      <c r="G251" s="32">
        <v>45933</v>
      </c>
      <c r="H251">
        <f>COUNTIFS('Audit Raw data'!J:J,B:B,'Audit Raw data'!E:E,G:G)</f>
        <v>0</v>
      </c>
      <c r="I251" s="44" t="str">
        <f>IFERROR((SUMIFS('Audit Raw data'!BZ:BZ,'Audit Raw data'!J:J,B:B,'Audit Raw data'!E:E,G:G)/H251)/100,"-")</f>
        <v>-</v>
      </c>
      <c r="J251">
        <f>COUNTIFS('Audit Raw data'!AM:AM,"Yes",'Audit Raw data'!J:J,B:B,'Audit Raw data'!E:E,'Day wise agent'!G:G)</f>
        <v>0</v>
      </c>
      <c r="K251">
        <f>COUNTIFS('Audit Raw data'!AM:AM,"NO",'Audit Raw data'!J:J,B:B,'Audit Raw data'!E:E,'Day wise agent'!G:G)</f>
        <v>0</v>
      </c>
      <c r="L251" s="12" t="str">
        <f t="shared" si="7"/>
        <v xml:space="preserve"> </v>
      </c>
    </row>
    <row r="252" spans="1:12" x14ac:dyDescent="0.35">
      <c r="A252" t="str">
        <f t="shared" si="6"/>
        <v>SBM77545933</v>
      </c>
      <c r="B252" t="s">
        <v>643</v>
      </c>
      <c r="C252" t="s">
        <v>1498</v>
      </c>
      <c r="D252" s="32">
        <v>45535</v>
      </c>
      <c r="E252" t="s">
        <v>1484</v>
      </c>
      <c r="F252" t="str">
        <f>VLOOKUP(B252,'Agent wise'!A:E,5,0)</f>
        <v>Wireless</v>
      </c>
      <c r="G252" s="32">
        <v>45933</v>
      </c>
      <c r="H252">
        <f>COUNTIFS('Audit Raw data'!J:J,B:B,'Audit Raw data'!E:E,G:G)</f>
        <v>0</v>
      </c>
      <c r="I252" s="44" t="str">
        <f>IFERROR((SUMIFS('Audit Raw data'!BZ:BZ,'Audit Raw data'!J:J,B:B,'Audit Raw data'!E:E,G:G)/H252)/100,"-")</f>
        <v>-</v>
      </c>
      <c r="J252">
        <f>COUNTIFS('Audit Raw data'!AM:AM,"Yes",'Audit Raw data'!J:J,B:B,'Audit Raw data'!E:E,'Day wise agent'!G:G)</f>
        <v>0</v>
      </c>
      <c r="K252">
        <f>COUNTIFS('Audit Raw data'!AM:AM,"NO",'Audit Raw data'!J:J,B:B,'Audit Raw data'!E:E,'Day wise agent'!G:G)</f>
        <v>0</v>
      </c>
      <c r="L252" s="12" t="str">
        <f t="shared" si="7"/>
        <v xml:space="preserve"> </v>
      </c>
    </row>
    <row r="253" spans="1:12" x14ac:dyDescent="0.35">
      <c r="A253" t="str">
        <f t="shared" si="6"/>
        <v>SBM79245933</v>
      </c>
      <c r="B253" t="s">
        <v>179</v>
      </c>
      <c r="C253" t="s">
        <v>1499</v>
      </c>
      <c r="D253" s="32">
        <v>45545</v>
      </c>
      <c r="E253" t="s">
        <v>178</v>
      </c>
      <c r="F253" t="str">
        <f>VLOOKUP(B253,'Agent wise'!A:E,5,0)</f>
        <v>Wireless</v>
      </c>
      <c r="G253" s="32">
        <v>45933</v>
      </c>
      <c r="H253">
        <f>COUNTIFS('Audit Raw data'!J:J,B:B,'Audit Raw data'!E:E,G:G)</f>
        <v>0</v>
      </c>
      <c r="I253" s="44" t="str">
        <f>IFERROR((SUMIFS('Audit Raw data'!BZ:BZ,'Audit Raw data'!J:J,B:B,'Audit Raw data'!E:E,G:G)/H253)/100,"-")</f>
        <v>-</v>
      </c>
      <c r="J253">
        <f>COUNTIFS('Audit Raw data'!AM:AM,"Yes",'Audit Raw data'!J:J,B:B,'Audit Raw data'!E:E,'Day wise agent'!G:G)</f>
        <v>0</v>
      </c>
      <c r="K253">
        <f>COUNTIFS('Audit Raw data'!AM:AM,"NO",'Audit Raw data'!J:J,B:B,'Audit Raw data'!E:E,'Day wise agent'!G:G)</f>
        <v>0</v>
      </c>
      <c r="L253" s="12" t="str">
        <f t="shared" si="7"/>
        <v xml:space="preserve"> </v>
      </c>
    </row>
    <row r="254" spans="1:12" x14ac:dyDescent="0.35">
      <c r="A254" t="str">
        <f t="shared" si="6"/>
        <v>SBM79445933</v>
      </c>
      <c r="B254" t="s">
        <v>246</v>
      </c>
      <c r="C254" t="s">
        <v>1500</v>
      </c>
      <c r="D254" s="32">
        <v>45550</v>
      </c>
      <c r="E254" t="s">
        <v>221</v>
      </c>
      <c r="F254" t="str">
        <f>VLOOKUP(B254,'Agent wise'!A:E,5,0)</f>
        <v>Wire-line</v>
      </c>
      <c r="G254" s="32">
        <v>45933</v>
      </c>
      <c r="H254">
        <f>COUNTIFS('Audit Raw data'!J:J,B:B,'Audit Raw data'!E:E,G:G)</f>
        <v>3</v>
      </c>
      <c r="I254" s="44">
        <f>IFERROR((SUMIFS('Audit Raw data'!BZ:BZ,'Audit Raw data'!J:J,B:B,'Audit Raw data'!E:E,G:G)/H254)/100,"-")</f>
        <v>0.98</v>
      </c>
      <c r="J254">
        <f>COUNTIFS('Audit Raw data'!AM:AM,"Yes",'Audit Raw data'!J:J,B:B,'Audit Raw data'!E:E,'Day wise agent'!G:G)</f>
        <v>3</v>
      </c>
      <c r="K254">
        <f>COUNTIFS('Audit Raw data'!AM:AM,"NO",'Audit Raw data'!J:J,B:B,'Audit Raw data'!E:E,'Day wise agent'!G:G)</f>
        <v>0</v>
      </c>
      <c r="L254" s="12">
        <f t="shared" si="7"/>
        <v>1</v>
      </c>
    </row>
    <row r="255" spans="1:12" x14ac:dyDescent="0.35">
      <c r="A255" t="str">
        <f t="shared" si="6"/>
        <v>SBM90145933</v>
      </c>
      <c r="B255" t="s">
        <v>646</v>
      </c>
      <c r="C255" t="s">
        <v>1501</v>
      </c>
      <c r="D255" s="32">
        <v>45564</v>
      </c>
      <c r="E255" t="s">
        <v>1484</v>
      </c>
      <c r="F255" t="str">
        <f>VLOOKUP(B255,'Agent wise'!A:E,5,0)</f>
        <v>Wireless</v>
      </c>
      <c r="G255" s="32">
        <v>45933</v>
      </c>
      <c r="H255">
        <f>COUNTIFS('Audit Raw data'!J:J,B:B,'Audit Raw data'!E:E,G:G)</f>
        <v>0</v>
      </c>
      <c r="I255" s="44" t="str">
        <f>IFERROR((SUMIFS('Audit Raw data'!BZ:BZ,'Audit Raw data'!J:J,B:B,'Audit Raw data'!E:E,G:G)/H255)/100,"-")</f>
        <v>-</v>
      </c>
      <c r="J255">
        <f>COUNTIFS('Audit Raw data'!AM:AM,"Yes",'Audit Raw data'!J:J,B:B,'Audit Raw data'!E:E,'Day wise agent'!G:G)</f>
        <v>0</v>
      </c>
      <c r="K255">
        <f>COUNTIFS('Audit Raw data'!AM:AM,"NO",'Audit Raw data'!J:J,B:B,'Audit Raw data'!E:E,'Day wise agent'!G:G)</f>
        <v>0</v>
      </c>
      <c r="L255" s="12" t="str">
        <f t="shared" si="7"/>
        <v xml:space="preserve"> </v>
      </c>
    </row>
    <row r="256" spans="1:12" x14ac:dyDescent="0.35">
      <c r="A256" t="str">
        <f t="shared" si="6"/>
        <v>SBM91345933</v>
      </c>
      <c r="B256" t="s">
        <v>650</v>
      </c>
      <c r="C256" t="s">
        <v>1503</v>
      </c>
      <c r="D256" s="32">
        <v>45589</v>
      </c>
      <c r="E256" t="s">
        <v>178</v>
      </c>
      <c r="F256" t="str">
        <f>VLOOKUP(B256,'Agent wise'!A:E,5,0)</f>
        <v>Wireless</v>
      </c>
      <c r="G256" s="32">
        <v>45933</v>
      </c>
      <c r="H256">
        <f>COUNTIFS('Audit Raw data'!J:J,B:B,'Audit Raw data'!E:E,G:G)</f>
        <v>0</v>
      </c>
      <c r="I256" s="44" t="str">
        <f>IFERROR((SUMIFS('Audit Raw data'!BZ:BZ,'Audit Raw data'!J:J,B:B,'Audit Raw data'!E:E,G:G)/H256)/100,"-")</f>
        <v>-</v>
      </c>
      <c r="J256">
        <f>COUNTIFS('Audit Raw data'!AM:AM,"Yes",'Audit Raw data'!J:J,B:B,'Audit Raw data'!E:E,'Day wise agent'!G:G)</f>
        <v>0</v>
      </c>
      <c r="K256">
        <f>COUNTIFS('Audit Raw data'!AM:AM,"NO",'Audit Raw data'!J:J,B:B,'Audit Raw data'!E:E,'Day wise agent'!G:G)</f>
        <v>0</v>
      </c>
      <c r="L256" s="12" t="str">
        <f t="shared" si="7"/>
        <v xml:space="preserve"> </v>
      </c>
    </row>
    <row r="257" spans="1:12" x14ac:dyDescent="0.35">
      <c r="A257" t="str">
        <f t="shared" si="6"/>
        <v>SBM94645933</v>
      </c>
      <c r="B257" t="s">
        <v>653</v>
      </c>
      <c r="C257" t="s">
        <v>1505</v>
      </c>
      <c r="D257" s="32">
        <v>45635</v>
      </c>
      <c r="E257" t="s">
        <v>1453</v>
      </c>
      <c r="F257" t="str">
        <f>VLOOKUP(B257,'Agent wise'!A:E,5,0)</f>
        <v>Wireless</v>
      </c>
      <c r="G257" s="32">
        <v>45933</v>
      </c>
      <c r="H257">
        <f>COUNTIFS('Audit Raw data'!J:J,B:B,'Audit Raw data'!E:E,G:G)</f>
        <v>1</v>
      </c>
      <c r="I257" s="44">
        <f>IFERROR((SUMIFS('Audit Raw data'!BZ:BZ,'Audit Raw data'!J:J,B:B,'Audit Raw data'!E:E,G:G)/H257)/100,"-")</f>
        <v>0.92</v>
      </c>
      <c r="J257">
        <f>COUNTIFS('Audit Raw data'!AM:AM,"Yes",'Audit Raw data'!J:J,B:B,'Audit Raw data'!E:E,'Day wise agent'!G:G)</f>
        <v>1</v>
      </c>
      <c r="K257">
        <f>COUNTIFS('Audit Raw data'!AM:AM,"NO",'Audit Raw data'!J:J,B:B,'Audit Raw data'!E:E,'Day wise agent'!G:G)</f>
        <v>0</v>
      </c>
      <c r="L257" s="12">
        <f t="shared" si="7"/>
        <v>1</v>
      </c>
    </row>
    <row r="258" spans="1:12" x14ac:dyDescent="0.35">
      <c r="A258" t="str">
        <f t="shared" ref="A258:A321" si="8">B258&amp;G258</f>
        <v>SBM95845933</v>
      </c>
      <c r="B258" t="s">
        <v>124</v>
      </c>
      <c r="C258" t="s">
        <v>1508</v>
      </c>
      <c r="D258" s="32">
        <v>45641</v>
      </c>
      <c r="E258" t="s">
        <v>1453</v>
      </c>
      <c r="F258" t="str">
        <f>VLOOKUP(B258,'Agent wise'!A:E,5,0)</f>
        <v>Wireless</v>
      </c>
      <c r="G258" s="32">
        <v>45933</v>
      </c>
      <c r="H258">
        <f>COUNTIFS('Audit Raw data'!J:J,B:B,'Audit Raw data'!E:E,G:G)</f>
        <v>0</v>
      </c>
      <c r="I258" s="44" t="str">
        <f>IFERROR((SUMIFS('Audit Raw data'!BZ:BZ,'Audit Raw data'!J:J,B:B,'Audit Raw data'!E:E,G:G)/H258)/100,"-")</f>
        <v>-</v>
      </c>
      <c r="J258">
        <f>COUNTIFS('Audit Raw data'!AM:AM,"Yes",'Audit Raw data'!J:J,B:B,'Audit Raw data'!E:E,'Day wise agent'!G:G)</f>
        <v>0</v>
      </c>
      <c r="K258">
        <f>COUNTIFS('Audit Raw data'!AM:AM,"NO",'Audit Raw data'!J:J,B:B,'Audit Raw data'!E:E,'Day wise agent'!G:G)</f>
        <v>0</v>
      </c>
      <c r="L258" s="12" t="str">
        <f t="shared" ref="L258:L321" si="9">IFERROR(J258/H258," ")</f>
        <v xml:space="preserve"> </v>
      </c>
    </row>
    <row r="259" spans="1:12" x14ac:dyDescent="0.35">
      <c r="A259" t="str">
        <f t="shared" si="8"/>
        <v>SBM96345933</v>
      </c>
      <c r="B259" t="s">
        <v>149</v>
      </c>
      <c r="C259" t="s">
        <v>1506</v>
      </c>
      <c r="D259" s="32">
        <v>45637</v>
      </c>
      <c r="E259" t="s">
        <v>107</v>
      </c>
      <c r="F259" t="str">
        <f>VLOOKUP(B259,'Agent wise'!A:E,5,0)</f>
        <v>Wireless</v>
      </c>
      <c r="G259" s="32">
        <v>45933</v>
      </c>
      <c r="H259">
        <f>COUNTIFS('Audit Raw data'!J:J,B:B,'Audit Raw data'!E:E,G:G)</f>
        <v>0</v>
      </c>
      <c r="I259" s="44" t="str">
        <f>IFERROR((SUMIFS('Audit Raw data'!BZ:BZ,'Audit Raw data'!J:J,B:B,'Audit Raw data'!E:E,G:G)/H259)/100,"-")</f>
        <v>-</v>
      </c>
      <c r="J259">
        <f>COUNTIFS('Audit Raw data'!AM:AM,"Yes",'Audit Raw data'!J:J,B:B,'Audit Raw data'!E:E,'Day wise agent'!G:G)</f>
        <v>0</v>
      </c>
      <c r="K259">
        <f>COUNTIFS('Audit Raw data'!AM:AM,"NO",'Audit Raw data'!J:J,B:B,'Audit Raw data'!E:E,'Day wise agent'!G:G)</f>
        <v>0</v>
      </c>
      <c r="L259" s="12" t="str">
        <f t="shared" si="9"/>
        <v xml:space="preserve"> </v>
      </c>
    </row>
    <row r="260" spans="1:12" x14ac:dyDescent="0.35">
      <c r="A260" t="str">
        <f t="shared" si="8"/>
        <v>SBM96745933</v>
      </c>
      <c r="B260" t="s">
        <v>657</v>
      </c>
      <c r="C260" t="s">
        <v>1507</v>
      </c>
      <c r="D260" s="32">
        <v>45640</v>
      </c>
      <c r="E260" t="s">
        <v>1453</v>
      </c>
      <c r="F260" t="str">
        <f>VLOOKUP(B260,'Agent wise'!A:E,5,0)</f>
        <v>Wireless</v>
      </c>
      <c r="G260" s="32">
        <v>45933</v>
      </c>
      <c r="H260">
        <f>COUNTIFS('Audit Raw data'!J:J,B:B,'Audit Raw data'!E:E,G:G)</f>
        <v>0</v>
      </c>
      <c r="I260" s="44" t="str">
        <f>IFERROR((SUMIFS('Audit Raw data'!BZ:BZ,'Audit Raw data'!J:J,B:B,'Audit Raw data'!E:E,G:G)/H260)/100,"-")</f>
        <v>-</v>
      </c>
      <c r="J260">
        <f>COUNTIFS('Audit Raw data'!AM:AM,"Yes",'Audit Raw data'!J:J,B:B,'Audit Raw data'!E:E,'Day wise agent'!G:G)</f>
        <v>0</v>
      </c>
      <c r="K260">
        <f>COUNTIFS('Audit Raw data'!AM:AM,"NO",'Audit Raw data'!J:J,B:B,'Audit Raw data'!E:E,'Day wise agent'!G:G)</f>
        <v>0</v>
      </c>
      <c r="L260" s="12" t="str">
        <f t="shared" si="9"/>
        <v xml:space="preserve"> </v>
      </c>
    </row>
    <row r="261" spans="1:12" x14ac:dyDescent="0.35">
      <c r="A261" t="str">
        <f t="shared" si="8"/>
        <v>SBM98345933</v>
      </c>
      <c r="B261" t="s">
        <v>1509</v>
      </c>
      <c r="C261" t="s">
        <v>1510</v>
      </c>
      <c r="D261" s="32">
        <v>45659</v>
      </c>
      <c r="E261" t="s">
        <v>1484</v>
      </c>
      <c r="F261" t="str">
        <f>VLOOKUP(B261,'Agent wise'!A:E,5,0)</f>
        <v>Wireless</v>
      </c>
      <c r="G261" s="32">
        <v>45933</v>
      </c>
      <c r="H261">
        <f>COUNTIFS('Audit Raw data'!J:J,B:B,'Audit Raw data'!E:E,G:G)</f>
        <v>0</v>
      </c>
      <c r="I261" s="44" t="str">
        <f>IFERROR((SUMIFS('Audit Raw data'!BZ:BZ,'Audit Raw data'!J:J,B:B,'Audit Raw data'!E:E,G:G)/H261)/100,"-")</f>
        <v>-</v>
      </c>
      <c r="J261">
        <f>COUNTIFS('Audit Raw data'!AM:AM,"Yes",'Audit Raw data'!J:J,B:B,'Audit Raw data'!E:E,'Day wise agent'!G:G)</f>
        <v>0</v>
      </c>
      <c r="K261">
        <f>COUNTIFS('Audit Raw data'!AM:AM,"NO",'Audit Raw data'!J:J,B:B,'Audit Raw data'!E:E,'Day wise agent'!G:G)</f>
        <v>0</v>
      </c>
      <c r="L261" s="12" t="str">
        <f t="shared" si="9"/>
        <v xml:space="preserve"> </v>
      </c>
    </row>
    <row r="262" spans="1:12" x14ac:dyDescent="0.35">
      <c r="A262" t="str">
        <f t="shared" si="8"/>
        <v>SBM99045933</v>
      </c>
      <c r="B262" t="s">
        <v>660</v>
      </c>
      <c r="C262" t="s">
        <v>1512</v>
      </c>
      <c r="D262" s="32">
        <v>45663</v>
      </c>
      <c r="E262" t="s">
        <v>178</v>
      </c>
      <c r="F262" t="str">
        <f>VLOOKUP(B262,'Agent wise'!A:E,5,0)</f>
        <v>Wireless</v>
      </c>
      <c r="G262" s="32">
        <v>45933</v>
      </c>
      <c r="H262">
        <f>COUNTIFS('Audit Raw data'!J:J,B:B,'Audit Raw data'!E:E,G:G)</f>
        <v>0</v>
      </c>
      <c r="I262" s="44" t="str">
        <f>IFERROR((SUMIFS('Audit Raw data'!BZ:BZ,'Audit Raw data'!J:J,B:B,'Audit Raw data'!E:E,G:G)/H262)/100,"-")</f>
        <v>-</v>
      </c>
      <c r="J262">
        <f>COUNTIFS('Audit Raw data'!AM:AM,"Yes",'Audit Raw data'!J:J,B:B,'Audit Raw data'!E:E,'Day wise agent'!G:G)</f>
        <v>0</v>
      </c>
      <c r="K262">
        <f>COUNTIFS('Audit Raw data'!AM:AM,"NO",'Audit Raw data'!J:J,B:B,'Audit Raw data'!E:E,'Day wise agent'!G:G)</f>
        <v>0</v>
      </c>
      <c r="L262" s="12" t="str">
        <f t="shared" si="9"/>
        <v xml:space="preserve"> </v>
      </c>
    </row>
    <row r="263" spans="1:12" x14ac:dyDescent="0.35">
      <c r="A263" t="str">
        <f t="shared" si="8"/>
        <v>VPS10645933</v>
      </c>
      <c r="B263" t="s">
        <v>1513</v>
      </c>
      <c r="C263" t="s">
        <v>1514</v>
      </c>
      <c r="D263" s="32">
        <v>45674</v>
      </c>
      <c r="E263" t="s">
        <v>1456</v>
      </c>
      <c r="F263" t="str">
        <f>VLOOKUP(B263,'Agent wise'!A:E,5,0)</f>
        <v>RECL</v>
      </c>
      <c r="G263" s="32">
        <v>45933</v>
      </c>
      <c r="H263">
        <f>COUNTIFS('Audit Raw data'!J:J,B:B,'Audit Raw data'!E:E,G:G)</f>
        <v>0</v>
      </c>
      <c r="I263" s="44" t="str">
        <f>IFERROR((SUMIFS('Audit Raw data'!BZ:BZ,'Audit Raw data'!J:J,B:B,'Audit Raw data'!E:E,G:G)/H263)/100,"-")</f>
        <v>-</v>
      </c>
      <c r="J263">
        <f>COUNTIFS('Audit Raw data'!AM:AM,"Yes",'Audit Raw data'!J:J,B:B,'Audit Raw data'!E:E,'Day wise agent'!G:G)</f>
        <v>0</v>
      </c>
      <c r="K263">
        <f>COUNTIFS('Audit Raw data'!AM:AM,"NO",'Audit Raw data'!J:J,B:B,'Audit Raw data'!E:E,'Day wise agent'!G:G)</f>
        <v>0</v>
      </c>
      <c r="L263" s="12" t="str">
        <f t="shared" si="9"/>
        <v xml:space="preserve"> </v>
      </c>
    </row>
    <row r="264" spans="1:12" x14ac:dyDescent="0.35">
      <c r="A264" t="str">
        <f t="shared" si="8"/>
        <v>VPS11145933</v>
      </c>
      <c r="B264" t="s">
        <v>108</v>
      </c>
      <c r="C264" t="s">
        <v>1515</v>
      </c>
      <c r="D264" s="32">
        <v>45675</v>
      </c>
      <c r="E264" t="s">
        <v>1484</v>
      </c>
      <c r="F264" t="str">
        <f>VLOOKUP(B264,'Agent wise'!A:E,5,0)</f>
        <v>Wireless</v>
      </c>
      <c r="G264" s="32">
        <v>45933</v>
      </c>
      <c r="H264">
        <f>COUNTIFS('Audit Raw data'!J:J,B:B,'Audit Raw data'!E:E,G:G)</f>
        <v>0</v>
      </c>
      <c r="I264" s="44" t="str">
        <f>IFERROR((SUMIFS('Audit Raw data'!BZ:BZ,'Audit Raw data'!J:J,B:B,'Audit Raw data'!E:E,G:G)/H264)/100,"-")</f>
        <v>-</v>
      </c>
      <c r="J264">
        <f>COUNTIFS('Audit Raw data'!AM:AM,"Yes",'Audit Raw data'!J:J,B:B,'Audit Raw data'!E:E,'Day wise agent'!G:G)</f>
        <v>0</v>
      </c>
      <c r="K264">
        <f>COUNTIFS('Audit Raw data'!AM:AM,"NO",'Audit Raw data'!J:J,B:B,'Audit Raw data'!E:E,'Day wise agent'!G:G)</f>
        <v>0</v>
      </c>
      <c r="L264" s="12" t="str">
        <f t="shared" si="9"/>
        <v xml:space="preserve"> </v>
      </c>
    </row>
    <row r="265" spans="1:12" x14ac:dyDescent="0.35">
      <c r="A265" t="str">
        <f t="shared" si="8"/>
        <v>VPS12045933</v>
      </c>
      <c r="B265" t="s">
        <v>263</v>
      </c>
      <c r="C265" t="s">
        <v>1516</v>
      </c>
      <c r="D265" s="32">
        <v>45690</v>
      </c>
      <c r="E265" t="s">
        <v>178</v>
      </c>
      <c r="F265" t="str">
        <f>VLOOKUP(B265,'Agent wise'!A:E,5,0)</f>
        <v>Wireless</v>
      </c>
      <c r="G265" s="32">
        <v>45933</v>
      </c>
      <c r="H265">
        <f>COUNTIFS('Audit Raw data'!J:J,B:B,'Audit Raw data'!E:E,G:G)</f>
        <v>0</v>
      </c>
      <c r="I265" s="44" t="str">
        <f>IFERROR((SUMIFS('Audit Raw data'!BZ:BZ,'Audit Raw data'!J:J,B:B,'Audit Raw data'!E:E,G:G)/H265)/100,"-")</f>
        <v>-</v>
      </c>
      <c r="J265">
        <f>COUNTIFS('Audit Raw data'!AM:AM,"Yes",'Audit Raw data'!J:J,B:B,'Audit Raw data'!E:E,'Day wise agent'!G:G)</f>
        <v>0</v>
      </c>
      <c r="K265">
        <f>COUNTIFS('Audit Raw data'!AM:AM,"NO",'Audit Raw data'!J:J,B:B,'Audit Raw data'!E:E,'Day wise agent'!G:G)</f>
        <v>0</v>
      </c>
      <c r="L265" s="12" t="str">
        <f t="shared" si="9"/>
        <v xml:space="preserve"> </v>
      </c>
    </row>
    <row r="266" spans="1:12" x14ac:dyDescent="0.35">
      <c r="A266" t="str">
        <f t="shared" si="8"/>
        <v>VPS12445933</v>
      </c>
      <c r="B266" t="s">
        <v>1517</v>
      </c>
      <c r="C266" t="s">
        <v>1518</v>
      </c>
      <c r="D266" s="32">
        <v>45705</v>
      </c>
      <c r="E266" t="s">
        <v>1456</v>
      </c>
      <c r="F266" t="str">
        <f>VLOOKUP(B266,'Agent wise'!A:E,5,0)</f>
        <v>RECL</v>
      </c>
      <c r="G266" s="32">
        <v>45933</v>
      </c>
      <c r="H266">
        <f>COUNTIFS('Audit Raw data'!J:J,B:B,'Audit Raw data'!E:E,G:G)</f>
        <v>0</v>
      </c>
      <c r="I266" s="44" t="str">
        <f>IFERROR((SUMIFS('Audit Raw data'!BZ:BZ,'Audit Raw data'!J:J,B:B,'Audit Raw data'!E:E,G:G)/H266)/100,"-")</f>
        <v>-</v>
      </c>
      <c r="J266">
        <f>COUNTIFS('Audit Raw data'!AM:AM,"Yes",'Audit Raw data'!J:J,B:B,'Audit Raw data'!E:E,'Day wise agent'!G:G)</f>
        <v>0</v>
      </c>
      <c r="K266">
        <f>COUNTIFS('Audit Raw data'!AM:AM,"NO",'Audit Raw data'!J:J,B:B,'Audit Raw data'!E:E,'Day wise agent'!G:G)</f>
        <v>0</v>
      </c>
      <c r="L266" s="12" t="str">
        <f t="shared" si="9"/>
        <v xml:space="preserve"> </v>
      </c>
    </row>
    <row r="267" spans="1:12" x14ac:dyDescent="0.35">
      <c r="A267" t="str">
        <f t="shared" si="8"/>
        <v>VPS12645933</v>
      </c>
      <c r="B267" t="s">
        <v>1521</v>
      </c>
      <c r="C267" t="s">
        <v>1522</v>
      </c>
      <c r="D267" s="32">
        <v>45710</v>
      </c>
      <c r="E267" t="s">
        <v>1456</v>
      </c>
      <c r="F267" t="str">
        <f>VLOOKUP(B267,'Agent wise'!A:E,5,0)</f>
        <v>RECL</v>
      </c>
      <c r="G267" s="32">
        <v>45933</v>
      </c>
      <c r="H267">
        <f>COUNTIFS('Audit Raw data'!J:J,B:B,'Audit Raw data'!E:E,G:G)</f>
        <v>0</v>
      </c>
      <c r="I267" s="44" t="str">
        <f>IFERROR((SUMIFS('Audit Raw data'!BZ:BZ,'Audit Raw data'!J:J,B:B,'Audit Raw data'!E:E,G:G)/H267)/100,"-")</f>
        <v>-</v>
      </c>
      <c r="J267">
        <f>COUNTIFS('Audit Raw data'!AM:AM,"Yes",'Audit Raw data'!J:J,B:B,'Audit Raw data'!E:E,'Day wise agent'!G:G)</f>
        <v>0</v>
      </c>
      <c r="K267">
        <f>COUNTIFS('Audit Raw data'!AM:AM,"NO",'Audit Raw data'!J:J,B:B,'Audit Raw data'!E:E,'Day wise agent'!G:G)</f>
        <v>0</v>
      </c>
      <c r="L267" s="12" t="str">
        <f t="shared" si="9"/>
        <v xml:space="preserve"> </v>
      </c>
    </row>
    <row r="268" spans="1:12" x14ac:dyDescent="0.35">
      <c r="A268" t="str">
        <f t="shared" si="8"/>
        <v>VPS12745933</v>
      </c>
      <c r="B268" t="s">
        <v>1523</v>
      </c>
      <c r="C268" t="s">
        <v>1524</v>
      </c>
      <c r="D268" s="32">
        <v>45710</v>
      </c>
      <c r="E268" t="s">
        <v>1456</v>
      </c>
      <c r="F268" t="str">
        <f>VLOOKUP(B268,'Agent wise'!A:E,5,0)</f>
        <v>RECL</v>
      </c>
      <c r="G268" s="32">
        <v>45933</v>
      </c>
      <c r="H268">
        <f>COUNTIFS('Audit Raw data'!J:J,B:B,'Audit Raw data'!E:E,G:G)</f>
        <v>0</v>
      </c>
      <c r="I268" s="44" t="str">
        <f>IFERROR((SUMIFS('Audit Raw data'!BZ:BZ,'Audit Raw data'!J:J,B:B,'Audit Raw data'!E:E,G:G)/H268)/100,"-")</f>
        <v>-</v>
      </c>
      <c r="J268">
        <f>COUNTIFS('Audit Raw data'!AM:AM,"Yes",'Audit Raw data'!J:J,B:B,'Audit Raw data'!E:E,'Day wise agent'!G:G)</f>
        <v>0</v>
      </c>
      <c r="K268">
        <f>COUNTIFS('Audit Raw data'!AM:AM,"NO",'Audit Raw data'!J:J,B:B,'Audit Raw data'!E:E,'Day wise agent'!G:G)</f>
        <v>0</v>
      </c>
      <c r="L268" s="12" t="str">
        <f t="shared" si="9"/>
        <v xml:space="preserve"> </v>
      </c>
    </row>
    <row r="269" spans="1:12" x14ac:dyDescent="0.35">
      <c r="A269" t="str">
        <f t="shared" si="8"/>
        <v>VPS13045933</v>
      </c>
      <c r="B269" t="s">
        <v>662</v>
      </c>
      <c r="C269" t="s">
        <v>1525</v>
      </c>
      <c r="D269" s="32">
        <v>45710</v>
      </c>
      <c r="E269" t="s">
        <v>1484</v>
      </c>
      <c r="F269" t="str">
        <f>VLOOKUP(B269,'Agent wise'!A:E,5,0)</f>
        <v>Wireless</v>
      </c>
      <c r="G269" s="32">
        <v>45933</v>
      </c>
      <c r="H269">
        <f>COUNTIFS('Audit Raw data'!J:J,B:B,'Audit Raw data'!E:E,G:G)</f>
        <v>1</v>
      </c>
      <c r="I269" s="44">
        <f>IFERROR((SUMIFS('Audit Raw data'!BZ:BZ,'Audit Raw data'!J:J,B:B,'Audit Raw data'!E:E,G:G)/H269)/100,"-")</f>
        <v>0.9</v>
      </c>
      <c r="J269">
        <f>COUNTIFS('Audit Raw data'!AM:AM,"Yes",'Audit Raw data'!J:J,B:B,'Audit Raw data'!E:E,'Day wise agent'!G:G)</f>
        <v>1</v>
      </c>
      <c r="K269">
        <f>COUNTIFS('Audit Raw data'!AM:AM,"NO",'Audit Raw data'!J:J,B:B,'Audit Raw data'!E:E,'Day wise agent'!G:G)</f>
        <v>0</v>
      </c>
      <c r="L269" s="12">
        <f t="shared" si="9"/>
        <v>1</v>
      </c>
    </row>
    <row r="270" spans="1:12" x14ac:dyDescent="0.35">
      <c r="A270" t="str">
        <f t="shared" si="8"/>
        <v>VPS13145933</v>
      </c>
      <c r="B270" t="s">
        <v>1519</v>
      </c>
      <c r="C270" t="s">
        <v>1520</v>
      </c>
      <c r="D270" s="32">
        <v>45710</v>
      </c>
      <c r="E270" t="s">
        <v>1456</v>
      </c>
      <c r="F270" t="str">
        <f>VLOOKUP(B270,'Agent wise'!A:E,5,0)</f>
        <v>RECL</v>
      </c>
      <c r="G270" s="32">
        <v>45933</v>
      </c>
      <c r="H270">
        <f>COUNTIFS('Audit Raw data'!J:J,B:B,'Audit Raw data'!E:E,G:G)</f>
        <v>0</v>
      </c>
      <c r="I270" s="44" t="str">
        <f>IFERROR((SUMIFS('Audit Raw data'!BZ:BZ,'Audit Raw data'!J:J,B:B,'Audit Raw data'!E:E,G:G)/H270)/100,"-")</f>
        <v>-</v>
      </c>
      <c r="J270">
        <f>COUNTIFS('Audit Raw data'!AM:AM,"Yes",'Audit Raw data'!J:J,B:B,'Audit Raw data'!E:E,'Day wise agent'!G:G)</f>
        <v>0</v>
      </c>
      <c r="K270">
        <f>COUNTIFS('Audit Raw data'!AM:AM,"NO",'Audit Raw data'!J:J,B:B,'Audit Raw data'!E:E,'Day wise agent'!G:G)</f>
        <v>0</v>
      </c>
      <c r="L270" s="12" t="str">
        <f t="shared" si="9"/>
        <v xml:space="preserve"> </v>
      </c>
    </row>
    <row r="271" spans="1:12" x14ac:dyDescent="0.35">
      <c r="A271" t="str">
        <f t="shared" si="8"/>
        <v>VPS13245933</v>
      </c>
      <c r="B271" t="s">
        <v>1526</v>
      </c>
      <c r="C271" t="s">
        <v>1527</v>
      </c>
      <c r="D271" s="32">
        <v>45717</v>
      </c>
      <c r="E271" t="s">
        <v>221</v>
      </c>
      <c r="F271" t="str">
        <f>VLOOKUP(B271,'Agent wise'!A:E,5,0)</f>
        <v>Wire-line</v>
      </c>
      <c r="G271" s="32">
        <v>45933</v>
      </c>
      <c r="H271">
        <f>COUNTIFS('Audit Raw data'!J:J,B:B,'Audit Raw data'!E:E,G:G)</f>
        <v>0</v>
      </c>
      <c r="I271" s="44" t="str">
        <f>IFERROR((SUMIFS('Audit Raw data'!BZ:BZ,'Audit Raw data'!J:J,B:B,'Audit Raw data'!E:E,G:G)/H271)/100,"-")</f>
        <v>-</v>
      </c>
      <c r="J271">
        <f>COUNTIFS('Audit Raw data'!AM:AM,"Yes",'Audit Raw data'!J:J,B:B,'Audit Raw data'!E:E,'Day wise agent'!G:G)</f>
        <v>0</v>
      </c>
      <c r="K271">
        <f>COUNTIFS('Audit Raw data'!AM:AM,"NO",'Audit Raw data'!J:J,B:B,'Audit Raw data'!E:E,'Day wise agent'!G:G)</f>
        <v>0</v>
      </c>
      <c r="L271" s="12" t="str">
        <f t="shared" si="9"/>
        <v xml:space="preserve"> </v>
      </c>
    </row>
    <row r="272" spans="1:12" x14ac:dyDescent="0.35">
      <c r="A272" t="str">
        <f t="shared" si="8"/>
        <v>VPS14345933</v>
      </c>
      <c r="B272" t="s">
        <v>269</v>
      </c>
      <c r="C272" t="s">
        <v>1528</v>
      </c>
      <c r="D272" s="32">
        <v>45723</v>
      </c>
      <c r="E272" t="s">
        <v>1484</v>
      </c>
      <c r="F272" t="str">
        <f>VLOOKUP(B272,'Agent wise'!A:E,5,0)</f>
        <v>Wireless</v>
      </c>
      <c r="G272" s="32">
        <v>45933</v>
      </c>
      <c r="H272">
        <f>COUNTIFS('Audit Raw data'!J:J,B:B,'Audit Raw data'!E:E,G:G)</f>
        <v>0</v>
      </c>
      <c r="I272" s="44" t="str">
        <f>IFERROR((SUMIFS('Audit Raw data'!BZ:BZ,'Audit Raw data'!J:J,B:B,'Audit Raw data'!E:E,G:G)/H272)/100,"-")</f>
        <v>-</v>
      </c>
      <c r="J272">
        <f>COUNTIFS('Audit Raw data'!AM:AM,"Yes",'Audit Raw data'!J:J,B:B,'Audit Raw data'!E:E,'Day wise agent'!G:G)</f>
        <v>0</v>
      </c>
      <c r="K272">
        <f>COUNTIFS('Audit Raw data'!AM:AM,"NO",'Audit Raw data'!J:J,B:B,'Audit Raw data'!E:E,'Day wise agent'!G:G)</f>
        <v>0</v>
      </c>
      <c r="L272" s="12" t="str">
        <f t="shared" si="9"/>
        <v xml:space="preserve"> </v>
      </c>
    </row>
    <row r="273" spans="1:12" x14ac:dyDescent="0.35">
      <c r="A273" t="str">
        <f t="shared" si="8"/>
        <v>VPS15145933</v>
      </c>
      <c r="B273" t="s">
        <v>274</v>
      </c>
      <c r="C273" t="s">
        <v>1529</v>
      </c>
      <c r="D273" s="32">
        <v>45735</v>
      </c>
      <c r="E273" t="s">
        <v>107</v>
      </c>
      <c r="F273" t="str">
        <f>VLOOKUP(B273,'Agent wise'!A:E,5,0)</f>
        <v>Wireless</v>
      </c>
      <c r="G273" s="32">
        <v>45933</v>
      </c>
      <c r="H273">
        <f>COUNTIFS('Audit Raw data'!J:J,B:B,'Audit Raw data'!E:E,G:G)</f>
        <v>1</v>
      </c>
      <c r="I273" s="44">
        <f>IFERROR((SUMIFS('Audit Raw data'!BZ:BZ,'Audit Raw data'!J:J,B:B,'Audit Raw data'!E:E,G:G)/H273)/100,"-")</f>
        <v>1</v>
      </c>
      <c r="J273">
        <f>COUNTIFS('Audit Raw data'!AM:AM,"Yes",'Audit Raw data'!J:J,B:B,'Audit Raw data'!E:E,'Day wise agent'!G:G)</f>
        <v>1</v>
      </c>
      <c r="K273">
        <f>COUNTIFS('Audit Raw data'!AM:AM,"NO",'Audit Raw data'!J:J,B:B,'Audit Raw data'!E:E,'Day wise agent'!G:G)</f>
        <v>0</v>
      </c>
      <c r="L273" s="12">
        <f t="shared" si="9"/>
        <v>1</v>
      </c>
    </row>
    <row r="274" spans="1:12" x14ac:dyDescent="0.35">
      <c r="A274" t="str">
        <f t="shared" si="8"/>
        <v>VPS16045933</v>
      </c>
      <c r="B274" t="s">
        <v>258</v>
      </c>
      <c r="C274" t="s">
        <v>1530</v>
      </c>
      <c r="D274" s="32">
        <v>45748</v>
      </c>
      <c r="E274" t="s">
        <v>1484</v>
      </c>
      <c r="F274" t="str">
        <f>VLOOKUP(B274,'Agent wise'!A:E,5,0)</f>
        <v>Wireless</v>
      </c>
      <c r="G274" s="32">
        <v>45933</v>
      </c>
      <c r="H274">
        <f>COUNTIFS('Audit Raw data'!J:J,B:B,'Audit Raw data'!E:E,G:G)</f>
        <v>0</v>
      </c>
      <c r="I274" s="44" t="str">
        <f>IFERROR((SUMIFS('Audit Raw data'!BZ:BZ,'Audit Raw data'!J:J,B:B,'Audit Raw data'!E:E,G:G)/H274)/100,"-")</f>
        <v>-</v>
      </c>
      <c r="J274">
        <f>COUNTIFS('Audit Raw data'!AM:AM,"Yes",'Audit Raw data'!J:J,B:B,'Audit Raw data'!E:E,'Day wise agent'!G:G)</f>
        <v>0</v>
      </c>
      <c r="K274">
        <f>COUNTIFS('Audit Raw data'!AM:AM,"NO",'Audit Raw data'!J:J,B:B,'Audit Raw data'!E:E,'Day wise agent'!G:G)</f>
        <v>0</v>
      </c>
      <c r="L274" s="12" t="str">
        <f t="shared" si="9"/>
        <v xml:space="preserve"> </v>
      </c>
    </row>
    <row r="275" spans="1:12" x14ac:dyDescent="0.35">
      <c r="A275" t="str">
        <f t="shared" si="8"/>
        <v>VPS17145933</v>
      </c>
      <c r="B275" t="s">
        <v>307</v>
      </c>
      <c r="C275" t="s">
        <v>1531</v>
      </c>
      <c r="D275" s="32">
        <v>45767</v>
      </c>
      <c r="E275" t="s">
        <v>221</v>
      </c>
      <c r="F275" t="str">
        <f>VLOOKUP(B275,'Agent wise'!A:E,5,0)</f>
        <v>Wire-line</v>
      </c>
      <c r="G275" s="32">
        <v>45933</v>
      </c>
      <c r="H275">
        <f>COUNTIFS('Audit Raw data'!J:J,B:B,'Audit Raw data'!E:E,G:G)</f>
        <v>1</v>
      </c>
      <c r="I275" s="44">
        <f>IFERROR((SUMIFS('Audit Raw data'!BZ:BZ,'Audit Raw data'!J:J,B:B,'Audit Raw data'!E:E,G:G)/H275)/100,"-")</f>
        <v>0.96</v>
      </c>
      <c r="J275">
        <f>COUNTIFS('Audit Raw data'!AM:AM,"Yes",'Audit Raw data'!J:J,B:B,'Audit Raw data'!E:E,'Day wise agent'!G:G)</f>
        <v>1</v>
      </c>
      <c r="K275">
        <f>COUNTIFS('Audit Raw data'!AM:AM,"NO",'Audit Raw data'!J:J,B:B,'Audit Raw data'!E:E,'Day wise agent'!G:G)</f>
        <v>0</v>
      </c>
      <c r="L275" s="12">
        <f t="shared" si="9"/>
        <v>1</v>
      </c>
    </row>
    <row r="276" spans="1:12" x14ac:dyDescent="0.35">
      <c r="A276" t="str">
        <f t="shared" si="8"/>
        <v>VPS17745933</v>
      </c>
      <c r="B276" t="s">
        <v>280</v>
      </c>
      <c r="C276" t="s">
        <v>1532</v>
      </c>
      <c r="D276" s="32">
        <v>45766</v>
      </c>
      <c r="E276" t="s">
        <v>1453</v>
      </c>
      <c r="F276" t="str">
        <f>VLOOKUP(B276,'Agent wise'!A:E,5,0)</f>
        <v>Wireless</v>
      </c>
      <c r="G276" s="32">
        <v>45933</v>
      </c>
      <c r="H276">
        <f>COUNTIFS('Audit Raw data'!J:J,B:B,'Audit Raw data'!E:E,G:G)</f>
        <v>0</v>
      </c>
      <c r="I276" s="44" t="str">
        <f>IFERROR((SUMIFS('Audit Raw data'!BZ:BZ,'Audit Raw data'!J:J,B:B,'Audit Raw data'!E:E,G:G)/H276)/100,"-")</f>
        <v>-</v>
      </c>
      <c r="J276">
        <f>COUNTIFS('Audit Raw data'!AM:AM,"Yes",'Audit Raw data'!J:J,B:B,'Audit Raw data'!E:E,'Day wise agent'!G:G)</f>
        <v>0</v>
      </c>
      <c r="K276">
        <f>COUNTIFS('Audit Raw data'!AM:AM,"NO",'Audit Raw data'!J:J,B:B,'Audit Raw data'!E:E,'Day wise agent'!G:G)</f>
        <v>0</v>
      </c>
      <c r="L276" s="12" t="str">
        <f t="shared" si="9"/>
        <v xml:space="preserve"> </v>
      </c>
    </row>
    <row r="277" spans="1:12" x14ac:dyDescent="0.35">
      <c r="A277" t="str">
        <f t="shared" si="8"/>
        <v>VPS18145933</v>
      </c>
      <c r="B277" t="s">
        <v>234</v>
      </c>
      <c r="C277" t="s">
        <v>1533</v>
      </c>
      <c r="D277" s="32">
        <v>45775</v>
      </c>
      <c r="E277" t="s">
        <v>221</v>
      </c>
      <c r="F277" t="str">
        <f>VLOOKUP(B277,'Agent wise'!A:E,5,0)</f>
        <v>Wire-line</v>
      </c>
      <c r="G277" s="32">
        <v>45933</v>
      </c>
      <c r="H277">
        <f>COUNTIFS('Audit Raw data'!J:J,B:B,'Audit Raw data'!E:E,G:G)</f>
        <v>1</v>
      </c>
      <c r="I277" s="44">
        <f>IFERROR((SUMIFS('Audit Raw data'!BZ:BZ,'Audit Raw data'!J:J,B:B,'Audit Raw data'!E:E,G:G)/H277)/100,"-")</f>
        <v>0.94</v>
      </c>
      <c r="J277">
        <f>COUNTIFS('Audit Raw data'!AM:AM,"Yes",'Audit Raw data'!J:J,B:B,'Audit Raw data'!E:E,'Day wise agent'!G:G)</f>
        <v>1</v>
      </c>
      <c r="K277">
        <f>COUNTIFS('Audit Raw data'!AM:AM,"NO",'Audit Raw data'!J:J,B:B,'Audit Raw data'!E:E,'Day wise agent'!G:G)</f>
        <v>0</v>
      </c>
      <c r="L277" s="12">
        <f t="shared" si="9"/>
        <v>1</v>
      </c>
    </row>
    <row r="278" spans="1:12" x14ac:dyDescent="0.35">
      <c r="A278" t="str">
        <f t="shared" si="8"/>
        <v>VPS18245933</v>
      </c>
      <c r="B278" t="s">
        <v>568</v>
      </c>
      <c r="C278" t="s">
        <v>1534</v>
      </c>
      <c r="D278" s="32">
        <v>45797</v>
      </c>
      <c r="E278" t="s">
        <v>221</v>
      </c>
      <c r="F278" t="str">
        <f>VLOOKUP(B278,'Agent wise'!A:E,5,0)</f>
        <v>Wire-line</v>
      </c>
      <c r="G278" s="32">
        <v>45933</v>
      </c>
      <c r="H278">
        <f>COUNTIFS('Audit Raw data'!J:J,B:B,'Audit Raw data'!E:E,G:G)</f>
        <v>2</v>
      </c>
      <c r="I278" s="44">
        <f>IFERROR((SUMIFS('Audit Raw data'!BZ:BZ,'Audit Raw data'!J:J,B:B,'Audit Raw data'!E:E,G:G)/H278)/100,"-")</f>
        <v>0.97</v>
      </c>
      <c r="J278">
        <f>COUNTIFS('Audit Raw data'!AM:AM,"Yes",'Audit Raw data'!J:J,B:B,'Audit Raw data'!E:E,'Day wise agent'!G:G)</f>
        <v>2</v>
      </c>
      <c r="K278">
        <f>COUNTIFS('Audit Raw data'!AM:AM,"NO",'Audit Raw data'!J:J,B:B,'Audit Raw data'!E:E,'Day wise agent'!G:G)</f>
        <v>0</v>
      </c>
      <c r="L278" s="12">
        <f t="shared" si="9"/>
        <v>1</v>
      </c>
    </row>
    <row r="279" spans="1:12" x14ac:dyDescent="0.35">
      <c r="A279" t="str">
        <f t="shared" si="8"/>
        <v>VPS18345933</v>
      </c>
      <c r="B279" t="s">
        <v>570</v>
      </c>
      <c r="C279" t="s">
        <v>1535</v>
      </c>
      <c r="D279" s="32">
        <v>45797</v>
      </c>
      <c r="E279" t="s">
        <v>221</v>
      </c>
      <c r="F279" t="str">
        <f>VLOOKUP(B279,'Agent wise'!A:E,5,0)</f>
        <v>Wire-line</v>
      </c>
      <c r="G279" s="32">
        <v>45933</v>
      </c>
      <c r="H279">
        <f>COUNTIFS('Audit Raw data'!J:J,B:B,'Audit Raw data'!E:E,G:G)</f>
        <v>1</v>
      </c>
      <c r="I279" s="44">
        <f>IFERROR((SUMIFS('Audit Raw data'!BZ:BZ,'Audit Raw data'!J:J,B:B,'Audit Raw data'!E:E,G:G)/H279)/100,"-")</f>
        <v>0.96</v>
      </c>
      <c r="J279">
        <f>COUNTIFS('Audit Raw data'!AM:AM,"Yes",'Audit Raw data'!J:J,B:B,'Audit Raw data'!E:E,'Day wise agent'!G:G)</f>
        <v>1</v>
      </c>
      <c r="K279">
        <f>COUNTIFS('Audit Raw data'!AM:AM,"NO",'Audit Raw data'!J:J,B:B,'Audit Raw data'!E:E,'Day wise agent'!G:G)</f>
        <v>0</v>
      </c>
      <c r="L279" s="12">
        <f t="shared" si="9"/>
        <v>1</v>
      </c>
    </row>
    <row r="280" spans="1:12" x14ac:dyDescent="0.35">
      <c r="A280" t="str">
        <f t="shared" si="8"/>
        <v>VPS18445933</v>
      </c>
      <c r="B280" t="s">
        <v>117</v>
      </c>
      <c r="C280" t="s">
        <v>1536</v>
      </c>
      <c r="D280" s="32">
        <v>45809</v>
      </c>
      <c r="E280" t="s">
        <v>1453</v>
      </c>
      <c r="F280" t="str">
        <f>VLOOKUP(B280,'Agent wise'!A:E,5,0)</f>
        <v>Wireless</v>
      </c>
      <c r="G280" s="32">
        <v>45933</v>
      </c>
      <c r="H280">
        <f>COUNTIFS('Audit Raw data'!J:J,B:B,'Audit Raw data'!E:E,G:G)</f>
        <v>0</v>
      </c>
      <c r="I280" s="44" t="str">
        <f>IFERROR((SUMIFS('Audit Raw data'!BZ:BZ,'Audit Raw data'!J:J,B:B,'Audit Raw data'!E:E,G:G)/H280)/100,"-")</f>
        <v>-</v>
      </c>
      <c r="J280">
        <f>COUNTIFS('Audit Raw data'!AM:AM,"Yes",'Audit Raw data'!J:J,B:B,'Audit Raw data'!E:E,'Day wise agent'!G:G)</f>
        <v>0</v>
      </c>
      <c r="K280">
        <f>COUNTIFS('Audit Raw data'!AM:AM,"NO",'Audit Raw data'!J:J,B:B,'Audit Raw data'!E:E,'Day wise agent'!G:G)</f>
        <v>0</v>
      </c>
      <c r="L280" s="12" t="str">
        <f t="shared" si="9"/>
        <v xml:space="preserve"> </v>
      </c>
    </row>
    <row r="281" spans="1:12" x14ac:dyDescent="0.35">
      <c r="A281" t="str">
        <f t="shared" si="8"/>
        <v>VPS19145933</v>
      </c>
      <c r="B281" t="s">
        <v>586</v>
      </c>
      <c r="C281" t="s">
        <v>1537</v>
      </c>
      <c r="D281" s="32">
        <v>45809</v>
      </c>
      <c r="E281" t="s">
        <v>107</v>
      </c>
      <c r="F281" t="str">
        <f>VLOOKUP(B281,'Agent wise'!A:E,5,0)</f>
        <v>Wireless</v>
      </c>
      <c r="G281" s="32">
        <v>45933</v>
      </c>
      <c r="H281">
        <f>COUNTIFS('Audit Raw data'!J:J,B:B,'Audit Raw data'!E:E,G:G)</f>
        <v>0</v>
      </c>
      <c r="I281" s="44" t="str">
        <f>IFERROR((SUMIFS('Audit Raw data'!BZ:BZ,'Audit Raw data'!J:J,B:B,'Audit Raw data'!E:E,G:G)/H281)/100,"-")</f>
        <v>-</v>
      </c>
      <c r="J281">
        <f>COUNTIFS('Audit Raw data'!AM:AM,"Yes",'Audit Raw data'!J:J,B:B,'Audit Raw data'!E:E,'Day wise agent'!G:G)</f>
        <v>0</v>
      </c>
      <c r="K281">
        <f>COUNTIFS('Audit Raw data'!AM:AM,"NO",'Audit Raw data'!J:J,B:B,'Audit Raw data'!E:E,'Day wise agent'!G:G)</f>
        <v>0</v>
      </c>
      <c r="L281" s="12" t="str">
        <f t="shared" si="9"/>
        <v xml:space="preserve"> </v>
      </c>
    </row>
    <row r="282" spans="1:12" x14ac:dyDescent="0.35">
      <c r="A282" t="str">
        <f t="shared" si="8"/>
        <v>VPS19345933</v>
      </c>
      <c r="B282" t="s">
        <v>302</v>
      </c>
      <c r="C282" t="s">
        <v>1538</v>
      </c>
      <c r="D282" s="32">
        <v>45823</v>
      </c>
      <c r="E282" t="s">
        <v>107</v>
      </c>
      <c r="F282" t="str">
        <f>VLOOKUP(B282,'Agent wise'!A:E,5,0)</f>
        <v>Wireless</v>
      </c>
      <c r="G282" s="32">
        <v>45933</v>
      </c>
      <c r="H282">
        <f>COUNTIFS('Audit Raw data'!J:J,B:B,'Audit Raw data'!E:E,G:G)</f>
        <v>0</v>
      </c>
      <c r="I282" s="44" t="str">
        <f>IFERROR((SUMIFS('Audit Raw data'!BZ:BZ,'Audit Raw data'!J:J,B:B,'Audit Raw data'!E:E,G:G)/H282)/100,"-")</f>
        <v>-</v>
      </c>
      <c r="J282">
        <f>COUNTIFS('Audit Raw data'!AM:AM,"Yes",'Audit Raw data'!J:J,B:B,'Audit Raw data'!E:E,'Day wise agent'!G:G)</f>
        <v>0</v>
      </c>
      <c r="K282">
        <f>COUNTIFS('Audit Raw data'!AM:AM,"NO",'Audit Raw data'!J:J,B:B,'Audit Raw data'!E:E,'Day wise agent'!G:G)</f>
        <v>0</v>
      </c>
      <c r="L282" s="12" t="str">
        <f t="shared" si="9"/>
        <v xml:space="preserve"> </v>
      </c>
    </row>
    <row r="283" spans="1:12" x14ac:dyDescent="0.35">
      <c r="A283" t="str">
        <f t="shared" si="8"/>
        <v>VPS19745933</v>
      </c>
      <c r="B283" t="s">
        <v>665</v>
      </c>
      <c r="C283" t="s">
        <v>1539</v>
      </c>
      <c r="D283" s="32">
        <v>45830</v>
      </c>
      <c r="E283" t="s">
        <v>178</v>
      </c>
      <c r="F283" t="str">
        <f>VLOOKUP(B283,'Agent wise'!A:E,5,0)</f>
        <v>Wireless</v>
      </c>
      <c r="G283" s="32">
        <v>45933</v>
      </c>
      <c r="H283">
        <f>COUNTIFS('Audit Raw data'!J:J,B:B,'Audit Raw data'!E:E,G:G)</f>
        <v>0</v>
      </c>
      <c r="I283" s="44" t="str">
        <f>IFERROR((SUMIFS('Audit Raw data'!BZ:BZ,'Audit Raw data'!J:J,B:B,'Audit Raw data'!E:E,G:G)/H283)/100,"-")</f>
        <v>-</v>
      </c>
      <c r="J283">
        <f>COUNTIFS('Audit Raw data'!AM:AM,"Yes",'Audit Raw data'!J:J,B:B,'Audit Raw data'!E:E,'Day wise agent'!G:G)</f>
        <v>0</v>
      </c>
      <c r="K283">
        <f>COUNTIFS('Audit Raw data'!AM:AM,"NO",'Audit Raw data'!J:J,B:B,'Audit Raw data'!E:E,'Day wise agent'!G:G)</f>
        <v>0</v>
      </c>
      <c r="L283" s="12" t="str">
        <f t="shared" si="9"/>
        <v xml:space="preserve"> </v>
      </c>
    </row>
    <row r="284" spans="1:12" x14ac:dyDescent="0.35">
      <c r="A284" t="str">
        <f t="shared" si="8"/>
        <v>VPS20145933</v>
      </c>
      <c r="B284" t="s">
        <v>439</v>
      </c>
      <c r="C284" t="s">
        <v>1540</v>
      </c>
      <c r="D284" s="32">
        <v>45834</v>
      </c>
      <c r="E284" t="s">
        <v>1453</v>
      </c>
      <c r="F284" t="str">
        <f>VLOOKUP(B284,'Agent wise'!A:E,5,0)</f>
        <v>Wireless</v>
      </c>
      <c r="G284" s="32">
        <v>45933</v>
      </c>
      <c r="H284">
        <f>COUNTIFS('Audit Raw data'!J:J,B:B,'Audit Raw data'!E:E,G:G)</f>
        <v>1</v>
      </c>
      <c r="I284" s="44">
        <f>IFERROR((SUMIFS('Audit Raw data'!BZ:BZ,'Audit Raw data'!J:J,B:B,'Audit Raw data'!E:E,G:G)/H284)/100,"-")</f>
        <v>0.94</v>
      </c>
      <c r="J284">
        <f>COUNTIFS('Audit Raw data'!AM:AM,"Yes",'Audit Raw data'!J:J,B:B,'Audit Raw data'!E:E,'Day wise agent'!G:G)</f>
        <v>1</v>
      </c>
      <c r="K284">
        <f>COUNTIFS('Audit Raw data'!AM:AM,"NO",'Audit Raw data'!J:J,B:B,'Audit Raw data'!E:E,'Day wise agent'!G:G)</f>
        <v>0</v>
      </c>
      <c r="L284" s="12">
        <f t="shared" si="9"/>
        <v>1</v>
      </c>
    </row>
    <row r="285" spans="1:12" x14ac:dyDescent="0.35">
      <c r="A285" t="str">
        <f t="shared" si="8"/>
        <v>VPS20445933</v>
      </c>
      <c r="B285" t="s">
        <v>749</v>
      </c>
      <c r="C285" t="s">
        <v>1542</v>
      </c>
      <c r="D285" s="32">
        <v>45840</v>
      </c>
      <c r="E285" t="s">
        <v>1484</v>
      </c>
      <c r="F285" t="str">
        <f>VLOOKUP(B285,'Agent wise'!A:E,5,0)</f>
        <v>Wireless</v>
      </c>
      <c r="G285" s="32">
        <v>45933</v>
      </c>
      <c r="H285">
        <f>COUNTIFS('Audit Raw data'!J:J,B:B,'Audit Raw data'!E:E,G:G)</f>
        <v>0</v>
      </c>
      <c r="I285" s="44" t="str">
        <f>IFERROR((SUMIFS('Audit Raw data'!BZ:BZ,'Audit Raw data'!J:J,B:B,'Audit Raw data'!E:E,G:G)/H285)/100,"-")</f>
        <v>-</v>
      </c>
      <c r="J285">
        <f>COUNTIFS('Audit Raw data'!AM:AM,"Yes",'Audit Raw data'!J:J,B:B,'Audit Raw data'!E:E,'Day wise agent'!G:G)</f>
        <v>0</v>
      </c>
      <c r="K285">
        <f>COUNTIFS('Audit Raw data'!AM:AM,"NO",'Audit Raw data'!J:J,B:B,'Audit Raw data'!E:E,'Day wise agent'!G:G)</f>
        <v>0</v>
      </c>
      <c r="L285" s="12" t="str">
        <f t="shared" si="9"/>
        <v xml:space="preserve"> </v>
      </c>
    </row>
    <row r="286" spans="1:12" x14ac:dyDescent="0.35">
      <c r="A286" t="str">
        <f t="shared" si="8"/>
        <v>VPS20645933</v>
      </c>
      <c r="B286" t="s">
        <v>427</v>
      </c>
      <c r="C286" t="s">
        <v>1541</v>
      </c>
      <c r="D286" s="32">
        <v>45840</v>
      </c>
      <c r="E286" t="s">
        <v>107</v>
      </c>
      <c r="F286" t="str">
        <f>VLOOKUP(B286,'Agent wise'!A:E,5,0)</f>
        <v>Wireless</v>
      </c>
      <c r="G286" s="32">
        <v>45933</v>
      </c>
      <c r="H286">
        <f>COUNTIFS('Audit Raw data'!J:J,B:B,'Audit Raw data'!E:E,G:G)</f>
        <v>0</v>
      </c>
      <c r="I286" s="44" t="str">
        <f>IFERROR((SUMIFS('Audit Raw data'!BZ:BZ,'Audit Raw data'!J:J,B:B,'Audit Raw data'!E:E,G:G)/H286)/100,"-")</f>
        <v>-</v>
      </c>
      <c r="J286">
        <f>COUNTIFS('Audit Raw data'!AM:AM,"Yes",'Audit Raw data'!J:J,B:B,'Audit Raw data'!E:E,'Day wise agent'!G:G)</f>
        <v>0</v>
      </c>
      <c r="K286">
        <f>COUNTIFS('Audit Raw data'!AM:AM,"NO",'Audit Raw data'!J:J,B:B,'Audit Raw data'!E:E,'Day wise agent'!G:G)</f>
        <v>0</v>
      </c>
      <c r="L286" s="12" t="str">
        <f t="shared" si="9"/>
        <v xml:space="preserve"> </v>
      </c>
    </row>
    <row r="287" spans="1:12" x14ac:dyDescent="0.35">
      <c r="A287" t="str">
        <f t="shared" si="8"/>
        <v>VPS20945933</v>
      </c>
      <c r="B287" t="s">
        <v>528</v>
      </c>
      <c r="C287" t="s">
        <v>1543</v>
      </c>
      <c r="D287" s="32">
        <v>45856</v>
      </c>
      <c r="E287" t="s">
        <v>178</v>
      </c>
      <c r="F287" t="str">
        <f>VLOOKUP(B287,'Agent wise'!A:E,5,0)</f>
        <v>Wireless</v>
      </c>
      <c r="G287" s="32">
        <v>45933</v>
      </c>
      <c r="H287">
        <f>COUNTIFS('Audit Raw data'!J:J,B:B,'Audit Raw data'!E:E,G:G)</f>
        <v>1</v>
      </c>
      <c r="I287" s="44">
        <f>IFERROR((SUMIFS('Audit Raw data'!BZ:BZ,'Audit Raw data'!J:J,B:B,'Audit Raw data'!E:E,G:G)/H287)/100,"-")</f>
        <v>0.96</v>
      </c>
      <c r="J287">
        <f>COUNTIFS('Audit Raw data'!AM:AM,"Yes",'Audit Raw data'!J:J,B:B,'Audit Raw data'!E:E,'Day wise agent'!G:G)</f>
        <v>1</v>
      </c>
      <c r="K287">
        <f>COUNTIFS('Audit Raw data'!AM:AM,"NO",'Audit Raw data'!J:J,B:B,'Audit Raw data'!E:E,'Day wise agent'!G:G)</f>
        <v>0</v>
      </c>
      <c r="L287" s="12">
        <f t="shared" si="9"/>
        <v>1</v>
      </c>
    </row>
    <row r="288" spans="1:12" x14ac:dyDescent="0.35">
      <c r="A288" t="str">
        <f t="shared" si="8"/>
        <v>VPS21045933</v>
      </c>
      <c r="B288" t="s">
        <v>589</v>
      </c>
      <c r="C288" t="s">
        <v>1544</v>
      </c>
      <c r="D288" s="32">
        <v>45856</v>
      </c>
      <c r="E288" t="s">
        <v>107</v>
      </c>
      <c r="F288" t="str">
        <f>VLOOKUP(B288,'Agent wise'!A:E,5,0)</f>
        <v>Wireless</v>
      </c>
      <c r="G288" s="32">
        <v>45933</v>
      </c>
      <c r="H288">
        <f>COUNTIFS('Audit Raw data'!J:J,B:B,'Audit Raw data'!E:E,G:G)</f>
        <v>0</v>
      </c>
      <c r="I288" s="44" t="str">
        <f>IFERROR((SUMIFS('Audit Raw data'!BZ:BZ,'Audit Raw data'!J:J,B:B,'Audit Raw data'!E:E,G:G)/H288)/100,"-")</f>
        <v>-</v>
      </c>
      <c r="J288">
        <f>COUNTIFS('Audit Raw data'!AM:AM,"Yes",'Audit Raw data'!J:J,B:B,'Audit Raw data'!E:E,'Day wise agent'!G:G)</f>
        <v>0</v>
      </c>
      <c r="K288">
        <f>COUNTIFS('Audit Raw data'!AM:AM,"NO",'Audit Raw data'!J:J,B:B,'Audit Raw data'!E:E,'Day wise agent'!G:G)</f>
        <v>0</v>
      </c>
      <c r="L288" s="12" t="str">
        <f t="shared" si="9"/>
        <v xml:space="preserve"> </v>
      </c>
    </row>
    <row r="289" spans="1:12" x14ac:dyDescent="0.35">
      <c r="A289" t="str">
        <f t="shared" si="8"/>
        <v>VPS21145933</v>
      </c>
      <c r="B289" t="s">
        <v>367</v>
      </c>
      <c r="C289" t="s">
        <v>1545</v>
      </c>
      <c r="D289" s="32">
        <v>45855</v>
      </c>
      <c r="E289" t="s">
        <v>1453</v>
      </c>
      <c r="F289" t="str">
        <f>VLOOKUP(B289,'Agent wise'!A:E,5,0)</f>
        <v>Wireless</v>
      </c>
      <c r="G289" s="32">
        <v>45933</v>
      </c>
      <c r="H289">
        <f>COUNTIFS('Audit Raw data'!J:J,B:B,'Audit Raw data'!E:E,G:G)</f>
        <v>0</v>
      </c>
      <c r="I289" s="44" t="str">
        <f>IFERROR((SUMIFS('Audit Raw data'!BZ:BZ,'Audit Raw data'!J:J,B:B,'Audit Raw data'!E:E,G:G)/H289)/100,"-")</f>
        <v>-</v>
      </c>
      <c r="J289">
        <f>COUNTIFS('Audit Raw data'!AM:AM,"Yes",'Audit Raw data'!J:J,B:B,'Audit Raw data'!E:E,'Day wise agent'!G:G)</f>
        <v>0</v>
      </c>
      <c r="K289">
        <f>COUNTIFS('Audit Raw data'!AM:AM,"NO",'Audit Raw data'!J:J,B:B,'Audit Raw data'!E:E,'Day wise agent'!G:G)</f>
        <v>0</v>
      </c>
      <c r="L289" s="12" t="str">
        <f t="shared" si="9"/>
        <v xml:space="preserve"> </v>
      </c>
    </row>
    <row r="290" spans="1:12" x14ac:dyDescent="0.35">
      <c r="A290" t="str">
        <f t="shared" si="8"/>
        <v>VPS21345933</v>
      </c>
      <c r="B290" t="s">
        <v>493</v>
      </c>
      <c r="C290" t="s">
        <v>1546</v>
      </c>
      <c r="D290" s="32">
        <v>45856</v>
      </c>
      <c r="E290" t="s">
        <v>1453</v>
      </c>
      <c r="F290" t="str">
        <f>VLOOKUP(B290,'Agent wise'!A:E,5,0)</f>
        <v>Wireless</v>
      </c>
      <c r="G290" s="32">
        <v>45933</v>
      </c>
      <c r="H290">
        <f>COUNTIFS('Audit Raw data'!J:J,B:B,'Audit Raw data'!E:E,G:G)</f>
        <v>1</v>
      </c>
      <c r="I290" s="44">
        <f>IFERROR((SUMIFS('Audit Raw data'!BZ:BZ,'Audit Raw data'!J:J,B:B,'Audit Raw data'!E:E,G:G)/H290)/100,"-")</f>
        <v>0.94</v>
      </c>
      <c r="J290">
        <f>COUNTIFS('Audit Raw data'!AM:AM,"Yes",'Audit Raw data'!J:J,B:B,'Audit Raw data'!E:E,'Day wise agent'!G:G)</f>
        <v>1</v>
      </c>
      <c r="K290">
        <f>COUNTIFS('Audit Raw data'!AM:AM,"NO",'Audit Raw data'!J:J,B:B,'Audit Raw data'!E:E,'Day wise agent'!G:G)</f>
        <v>0</v>
      </c>
      <c r="L290" s="12">
        <f t="shared" si="9"/>
        <v>1</v>
      </c>
    </row>
    <row r="291" spans="1:12" x14ac:dyDescent="0.35">
      <c r="A291" t="str">
        <f t="shared" si="8"/>
        <v>VPS21445933</v>
      </c>
      <c r="B291" t="s">
        <v>480</v>
      </c>
      <c r="C291" t="s">
        <v>1547</v>
      </c>
      <c r="D291" s="32">
        <v>45855</v>
      </c>
      <c r="E291" t="s">
        <v>107</v>
      </c>
      <c r="F291" t="str">
        <f>VLOOKUP(B291,'Agent wise'!A:E,5,0)</f>
        <v>Wireless</v>
      </c>
      <c r="G291" s="32">
        <v>45933</v>
      </c>
      <c r="H291">
        <f>COUNTIFS('Audit Raw data'!J:J,B:B,'Audit Raw data'!E:E,G:G)</f>
        <v>0</v>
      </c>
      <c r="I291" s="44" t="str">
        <f>IFERROR((SUMIFS('Audit Raw data'!BZ:BZ,'Audit Raw data'!J:J,B:B,'Audit Raw data'!E:E,G:G)/H291)/100,"-")</f>
        <v>-</v>
      </c>
      <c r="J291">
        <f>COUNTIFS('Audit Raw data'!AM:AM,"Yes",'Audit Raw data'!J:J,B:B,'Audit Raw data'!E:E,'Day wise agent'!G:G)</f>
        <v>0</v>
      </c>
      <c r="K291">
        <f>COUNTIFS('Audit Raw data'!AM:AM,"NO",'Audit Raw data'!J:J,B:B,'Audit Raw data'!E:E,'Day wise agent'!G:G)</f>
        <v>0</v>
      </c>
      <c r="L291" s="12" t="str">
        <f t="shared" si="9"/>
        <v xml:space="preserve"> </v>
      </c>
    </row>
    <row r="292" spans="1:12" x14ac:dyDescent="0.35">
      <c r="A292" t="str">
        <f t="shared" si="8"/>
        <v>VPS21545933</v>
      </c>
      <c r="B292" t="s">
        <v>521</v>
      </c>
      <c r="C292" t="s">
        <v>1548</v>
      </c>
      <c r="D292" s="32">
        <v>45865</v>
      </c>
      <c r="E292" t="s">
        <v>178</v>
      </c>
      <c r="F292" t="str">
        <f>VLOOKUP(B292,'Agent wise'!A:E,5,0)</f>
        <v>Wireless</v>
      </c>
      <c r="G292" s="32">
        <v>45933</v>
      </c>
      <c r="H292">
        <f>COUNTIFS('Audit Raw data'!J:J,B:B,'Audit Raw data'!E:E,G:G)</f>
        <v>1</v>
      </c>
      <c r="I292" s="44">
        <f>IFERROR((SUMIFS('Audit Raw data'!BZ:BZ,'Audit Raw data'!J:J,B:B,'Audit Raw data'!E:E,G:G)/H292)/100,"-")</f>
        <v>0.92</v>
      </c>
      <c r="J292">
        <f>COUNTIFS('Audit Raw data'!AM:AM,"Yes",'Audit Raw data'!J:J,B:B,'Audit Raw data'!E:E,'Day wise agent'!G:G)</f>
        <v>1</v>
      </c>
      <c r="K292">
        <f>COUNTIFS('Audit Raw data'!AM:AM,"NO",'Audit Raw data'!J:J,B:B,'Audit Raw data'!E:E,'Day wise agent'!G:G)</f>
        <v>0</v>
      </c>
      <c r="L292" s="12">
        <f t="shared" si="9"/>
        <v>1</v>
      </c>
    </row>
    <row r="293" spans="1:12" x14ac:dyDescent="0.35">
      <c r="A293" t="str">
        <f t="shared" si="8"/>
        <v>VPS21645933</v>
      </c>
      <c r="B293" t="s">
        <v>154</v>
      </c>
      <c r="C293" t="s">
        <v>1549</v>
      </c>
      <c r="D293" s="32">
        <v>45865</v>
      </c>
      <c r="E293" t="s">
        <v>107</v>
      </c>
      <c r="F293" t="str">
        <f>VLOOKUP(B293,'Agent wise'!A:E,5,0)</f>
        <v>Wireless</v>
      </c>
      <c r="G293" s="32">
        <v>45933</v>
      </c>
      <c r="H293">
        <f>COUNTIFS('Audit Raw data'!J:J,B:B,'Audit Raw data'!E:E,G:G)</f>
        <v>0</v>
      </c>
      <c r="I293" s="44" t="str">
        <f>IFERROR((SUMIFS('Audit Raw data'!BZ:BZ,'Audit Raw data'!J:J,B:B,'Audit Raw data'!E:E,G:G)/H293)/100,"-")</f>
        <v>-</v>
      </c>
      <c r="J293">
        <f>COUNTIFS('Audit Raw data'!AM:AM,"Yes",'Audit Raw data'!J:J,B:B,'Audit Raw data'!E:E,'Day wise agent'!G:G)</f>
        <v>0</v>
      </c>
      <c r="K293">
        <f>COUNTIFS('Audit Raw data'!AM:AM,"NO",'Audit Raw data'!J:J,B:B,'Audit Raw data'!E:E,'Day wise agent'!G:G)</f>
        <v>0</v>
      </c>
      <c r="L293" s="12" t="str">
        <f t="shared" si="9"/>
        <v xml:space="preserve"> </v>
      </c>
    </row>
    <row r="294" spans="1:12" x14ac:dyDescent="0.35">
      <c r="A294" t="str">
        <f t="shared" si="8"/>
        <v>VPS21745933</v>
      </c>
      <c r="B294" t="s">
        <v>519</v>
      </c>
      <c r="C294" t="s">
        <v>1550</v>
      </c>
      <c r="D294" s="32">
        <v>45865</v>
      </c>
      <c r="E294" t="s">
        <v>178</v>
      </c>
      <c r="F294" t="str">
        <f>VLOOKUP(B294,'Agent wise'!A:E,5,0)</f>
        <v>Wireless</v>
      </c>
      <c r="G294" s="32">
        <v>45933</v>
      </c>
      <c r="H294">
        <f>COUNTIFS('Audit Raw data'!J:J,B:B,'Audit Raw data'!E:E,G:G)</f>
        <v>1</v>
      </c>
      <c r="I294" s="44">
        <f>IFERROR((SUMIFS('Audit Raw data'!BZ:BZ,'Audit Raw data'!J:J,B:B,'Audit Raw data'!E:E,G:G)/H294)/100,"-")</f>
        <v>0.82</v>
      </c>
      <c r="J294">
        <f>COUNTIFS('Audit Raw data'!AM:AM,"Yes",'Audit Raw data'!J:J,B:B,'Audit Raw data'!E:E,'Day wise agent'!G:G)</f>
        <v>1</v>
      </c>
      <c r="K294">
        <f>COUNTIFS('Audit Raw data'!AM:AM,"NO",'Audit Raw data'!J:J,B:B,'Audit Raw data'!E:E,'Day wise agent'!G:G)</f>
        <v>0</v>
      </c>
      <c r="L294" s="12">
        <f t="shared" si="9"/>
        <v>1</v>
      </c>
    </row>
    <row r="295" spans="1:12" x14ac:dyDescent="0.35">
      <c r="A295" t="str">
        <f t="shared" si="8"/>
        <v>VPS22845933</v>
      </c>
      <c r="B295" t="s">
        <v>341</v>
      </c>
      <c r="C295" t="s">
        <v>1551</v>
      </c>
      <c r="D295" s="32">
        <v>45881</v>
      </c>
      <c r="E295" t="s">
        <v>178</v>
      </c>
      <c r="F295" t="str">
        <f>VLOOKUP(B295,'Agent wise'!A:E,5,0)</f>
        <v>Wireless</v>
      </c>
      <c r="G295" s="32">
        <v>45933</v>
      </c>
      <c r="H295">
        <f>COUNTIFS('Audit Raw data'!J:J,B:B,'Audit Raw data'!E:E,G:G)</f>
        <v>1</v>
      </c>
      <c r="I295" s="44">
        <f>IFERROR((SUMIFS('Audit Raw data'!BZ:BZ,'Audit Raw data'!J:J,B:B,'Audit Raw data'!E:E,G:G)/H295)/100,"-")</f>
        <v>0.84</v>
      </c>
      <c r="J295">
        <f>COUNTIFS('Audit Raw data'!AM:AM,"Yes",'Audit Raw data'!J:J,B:B,'Audit Raw data'!E:E,'Day wise agent'!G:G)</f>
        <v>1</v>
      </c>
      <c r="K295">
        <f>COUNTIFS('Audit Raw data'!AM:AM,"NO",'Audit Raw data'!J:J,B:B,'Audit Raw data'!E:E,'Day wise agent'!G:G)</f>
        <v>0</v>
      </c>
      <c r="L295" s="12">
        <f t="shared" si="9"/>
        <v>1</v>
      </c>
    </row>
    <row r="296" spans="1:12" x14ac:dyDescent="0.35">
      <c r="A296" t="str">
        <f t="shared" si="8"/>
        <v>VPS22945933</v>
      </c>
      <c r="B296" t="s">
        <v>173</v>
      </c>
      <c r="C296" t="s">
        <v>1552</v>
      </c>
      <c r="D296" s="32">
        <v>45880</v>
      </c>
      <c r="E296" t="s">
        <v>107</v>
      </c>
      <c r="F296" t="str">
        <f>VLOOKUP(B296,'Agent wise'!A:E,5,0)</f>
        <v>Wireless</v>
      </c>
      <c r="G296" s="32">
        <v>45933</v>
      </c>
      <c r="H296">
        <f>COUNTIFS('Audit Raw data'!J:J,B:B,'Audit Raw data'!E:E,G:G)</f>
        <v>0</v>
      </c>
      <c r="I296" s="44" t="str">
        <f>IFERROR((SUMIFS('Audit Raw data'!BZ:BZ,'Audit Raw data'!J:J,B:B,'Audit Raw data'!E:E,G:G)/H296)/100,"-")</f>
        <v>-</v>
      </c>
      <c r="J296">
        <f>COUNTIFS('Audit Raw data'!AM:AM,"Yes",'Audit Raw data'!J:J,B:B,'Audit Raw data'!E:E,'Day wise agent'!G:G)</f>
        <v>0</v>
      </c>
      <c r="K296">
        <f>COUNTIFS('Audit Raw data'!AM:AM,"NO",'Audit Raw data'!J:J,B:B,'Audit Raw data'!E:E,'Day wise agent'!G:G)</f>
        <v>0</v>
      </c>
      <c r="L296" s="12" t="str">
        <f t="shared" si="9"/>
        <v xml:space="preserve"> </v>
      </c>
    </row>
    <row r="297" spans="1:12" x14ac:dyDescent="0.35">
      <c r="A297" t="str">
        <f t="shared" si="8"/>
        <v>VPS23045933</v>
      </c>
      <c r="B297" t="s">
        <v>335</v>
      </c>
      <c r="C297" t="s">
        <v>1553</v>
      </c>
      <c r="D297" s="32">
        <v>45880</v>
      </c>
      <c r="E297" t="s">
        <v>1484</v>
      </c>
      <c r="F297" t="str">
        <f>VLOOKUP(B297,'Agent wise'!A:E,5,0)</f>
        <v>Wireless</v>
      </c>
      <c r="G297" s="32">
        <v>45933</v>
      </c>
      <c r="H297">
        <f>COUNTIFS('Audit Raw data'!J:J,B:B,'Audit Raw data'!E:E,G:G)</f>
        <v>0</v>
      </c>
      <c r="I297" s="44" t="str">
        <f>IFERROR((SUMIFS('Audit Raw data'!BZ:BZ,'Audit Raw data'!J:J,B:B,'Audit Raw data'!E:E,G:G)/H297)/100,"-")</f>
        <v>-</v>
      </c>
      <c r="J297">
        <f>COUNTIFS('Audit Raw data'!AM:AM,"Yes",'Audit Raw data'!J:J,B:B,'Audit Raw data'!E:E,'Day wise agent'!G:G)</f>
        <v>0</v>
      </c>
      <c r="K297">
        <f>COUNTIFS('Audit Raw data'!AM:AM,"NO",'Audit Raw data'!J:J,B:B,'Audit Raw data'!E:E,'Day wise agent'!G:G)</f>
        <v>0</v>
      </c>
      <c r="L297" s="12" t="str">
        <f t="shared" si="9"/>
        <v xml:space="preserve"> </v>
      </c>
    </row>
    <row r="298" spans="1:12" x14ac:dyDescent="0.35">
      <c r="A298" t="str">
        <f t="shared" si="8"/>
        <v>VPS23545933</v>
      </c>
      <c r="B298" t="s">
        <v>317</v>
      </c>
      <c r="C298" t="s">
        <v>1554</v>
      </c>
      <c r="D298" s="32">
        <v>45897</v>
      </c>
      <c r="E298" t="s">
        <v>178</v>
      </c>
      <c r="F298" t="str">
        <f>VLOOKUP(B298,'Agent wise'!A:E,5,0)</f>
        <v>Wireless</v>
      </c>
      <c r="G298" s="32">
        <v>45933</v>
      </c>
      <c r="H298">
        <f>COUNTIFS('Audit Raw data'!J:J,B:B,'Audit Raw data'!E:E,G:G)</f>
        <v>1</v>
      </c>
      <c r="I298" s="44">
        <f>IFERROR((SUMIFS('Audit Raw data'!BZ:BZ,'Audit Raw data'!J:J,B:B,'Audit Raw data'!E:E,G:G)/H298)/100,"-")</f>
        <v>0.82</v>
      </c>
      <c r="J298">
        <f>COUNTIFS('Audit Raw data'!AM:AM,"Yes",'Audit Raw data'!J:J,B:B,'Audit Raw data'!E:E,'Day wise agent'!G:G)</f>
        <v>1</v>
      </c>
      <c r="K298">
        <f>COUNTIFS('Audit Raw data'!AM:AM,"NO",'Audit Raw data'!J:J,B:B,'Audit Raw data'!E:E,'Day wise agent'!G:G)</f>
        <v>0</v>
      </c>
      <c r="L298" s="12">
        <f t="shared" si="9"/>
        <v>1</v>
      </c>
    </row>
    <row r="299" spans="1:12" x14ac:dyDescent="0.35">
      <c r="A299" t="str">
        <f t="shared" si="8"/>
        <v>VPS23645933</v>
      </c>
      <c r="B299" t="s">
        <v>370</v>
      </c>
      <c r="C299" t="s">
        <v>1555</v>
      </c>
      <c r="D299" s="32">
        <v>45897</v>
      </c>
      <c r="E299" t="s">
        <v>1453</v>
      </c>
      <c r="F299" t="str">
        <f>VLOOKUP(B299,'Agent wise'!A:E,5,0)</f>
        <v>Wireless</v>
      </c>
      <c r="G299" s="32">
        <v>45933</v>
      </c>
      <c r="H299">
        <f>COUNTIFS('Audit Raw data'!J:J,B:B,'Audit Raw data'!E:E,G:G)</f>
        <v>0</v>
      </c>
      <c r="I299" s="44" t="str">
        <f>IFERROR((SUMIFS('Audit Raw data'!BZ:BZ,'Audit Raw data'!J:J,B:B,'Audit Raw data'!E:E,G:G)/H299)/100,"-")</f>
        <v>-</v>
      </c>
      <c r="J299">
        <f>COUNTIFS('Audit Raw data'!AM:AM,"Yes",'Audit Raw data'!J:J,B:B,'Audit Raw data'!E:E,'Day wise agent'!G:G)</f>
        <v>0</v>
      </c>
      <c r="K299">
        <f>COUNTIFS('Audit Raw data'!AM:AM,"NO",'Audit Raw data'!J:J,B:B,'Audit Raw data'!E:E,'Day wise agent'!G:G)</f>
        <v>0</v>
      </c>
      <c r="L299" s="12" t="str">
        <f t="shared" si="9"/>
        <v xml:space="preserve"> </v>
      </c>
    </row>
    <row r="300" spans="1:12" x14ac:dyDescent="0.35">
      <c r="A300" t="str">
        <f t="shared" si="8"/>
        <v>VPS23745933</v>
      </c>
      <c r="B300" t="s">
        <v>159</v>
      </c>
      <c r="C300" t="s">
        <v>1556</v>
      </c>
      <c r="D300" s="32">
        <v>45897</v>
      </c>
      <c r="E300" t="s">
        <v>107</v>
      </c>
      <c r="F300" t="str">
        <f>VLOOKUP(B300,'Agent wise'!A:E,5,0)</f>
        <v>Wireless</v>
      </c>
      <c r="G300" s="32">
        <v>45933</v>
      </c>
      <c r="H300">
        <f>COUNTIFS('Audit Raw data'!J:J,B:B,'Audit Raw data'!E:E,G:G)</f>
        <v>0</v>
      </c>
      <c r="I300" s="44" t="str">
        <f>IFERROR((SUMIFS('Audit Raw data'!BZ:BZ,'Audit Raw data'!J:J,B:B,'Audit Raw data'!E:E,G:G)/H300)/100,"-")</f>
        <v>-</v>
      </c>
      <c r="J300">
        <f>COUNTIFS('Audit Raw data'!AM:AM,"Yes",'Audit Raw data'!J:J,B:B,'Audit Raw data'!E:E,'Day wise agent'!G:G)</f>
        <v>0</v>
      </c>
      <c r="K300">
        <f>COUNTIFS('Audit Raw data'!AM:AM,"NO",'Audit Raw data'!J:J,B:B,'Audit Raw data'!E:E,'Day wise agent'!G:G)</f>
        <v>0</v>
      </c>
      <c r="L300" s="12" t="str">
        <f t="shared" si="9"/>
        <v xml:space="preserve"> </v>
      </c>
    </row>
    <row r="301" spans="1:12" x14ac:dyDescent="0.35">
      <c r="A301" t="str">
        <f t="shared" si="8"/>
        <v>VPS23945933</v>
      </c>
      <c r="B301" t="s">
        <v>484</v>
      </c>
      <c r="C301" t="s">
        <v>1468</v>
      </c>
      <c r="D301" s="32">
        <v>44942</v>
      </c>
      <c r="E301" t="s">
        <v>178</v>
      </c>
      <c r="F301" t="str">
        <f>VLOOKUP(B301,'Agent wise'!A:E,5,0)</f>
        <v>Wireless</v>
      </c>
      <c r="G301" s="32">
        <v>45933</v>
      </c>
      <c r="H301">
        <f>COUNTIFS('Audit Raw data'!J:J,B:B,'Audit Raw data'!E:E,G:G)</f>
        <v>2</v>
      </c>
      <c r="I301" s="44">
        <f>IFERROR((SUMIFS('Audit Raw data'!BZ:BZ,'Audit Raw data'!J:J,B:B,'Audit Raw data'!E:E,G:G)/H301)/100,"-")</f>
        <v>0.92</v>
      </c>
      <c r="J301">
        <f>COUNTIFS('Audit Raw data'!AM:AM,"Yes",'Audit Raw data'!J:J,B:B,'Audit Raw data'!E:E,'Day wise agent'!G:G)</f>
        <v>2</v>
      </c>
      <c r="K301">
        <f>COUNTIFS('Audit Raw data'!AM:AM,"NO",'Audit Raw data'!J:J,B:B,'Audit Raw data'!E:E,'Day wise agent'!G:G)</f>
        <v>0</v>
      </c>
      <c r="L301" s="12">
        <f t="shared" si="9"/>
        <v>1</v>
      </c>
    </row>
    <row r="302" spans="1:12" x14ac:dyDescent="0.35">
      <c r="A302" t="str">
        <f t="shared" si="8"/>
        <v>VPS24045933</v>
      </c>
      <c r="B302" t="s">
        <v>291</v>
      </c>
      <c r="C302" t="s">
        <v>1557</v>
      </c>
      <c r="D302" s="32">
        <v>45907</v>
      </c>
      <c r="E302" t="s">
        <v>1484</v>
      </c>
      <c r="F302" t="str">
        <f>VLOOKUP(B302,'Agent wise'!A:E,5,0)</f>
        <v>Wireless</v>
      </c>
      <c r="G302" s="32">
        <v>45933</v>
      </c>
      <c r="H302">
        <f>COUNTIFS('Audit Raw data'!J:J,B:B,'Audit Raw data'!E:E,G:G)</f>
        <v>0</v>
      </c>
      <c r="I302" s="44" t="str">
        <f>IFERROR((SUMIFS('Audit Raw data'!BZ:BZ,'Audit Raw data'!J:J,B:B,'Audit Raw data'!E:E,G:G)/H302)/100,"-")</f>
        <v>-</v>
      </c>
      <c r="J302">
        <f>COUNTIFS('Audit Raw data'!AM:AM,"Yes",'Audit Raw data'!J:J,B:B,'Audit Raw data'!E:E,'Day wise agent'!G:G)</f>
        <v>0</v>
      </c>
      <c r="K302">
        <f>COUNTIFS('Audit Raw data'!AM:AM,"NO",'Audit Raw data'!J:J,B:B,'Audit Raw data'!E:E,'Day wise agent'!G:G)</f>
        <v>0</v>
      </c>
      <c r="L302" s="12" t="str">
        <f t="shared" si="9"/>
        <v xml:space="preserve"> </v>
      </c>
    </row>
    <row r="303" spans="1:12" x14ac:dyDescent="0.35">
      <c r="A303" t="str">
        <f t="shared" si="8"/>
        <v>VPS24245933</v>
      </c>
      <c r="B303" t="s">
        <v>326</v>
      </c>
      <c r="C303" t="s">
        <v>1510</v>
      </c>
      <c r="D303" s="32">
        <v>45908</v>
      </c>
      <c r="E303" t="s">
        <v>1453</v>
      </c>
      <c r="F303" t="str">
        <f>VLOOKUP(B303,'Agent wise'!A:E,5,0)</f>
        <v>Wireless</v>
      </c>
      <c r="G303" s="32">
        <v>45933</v>
      </c>
      <c r="H303">
        <f>COUNTIFS('Audit Raw data'!J:J,B:B,'Audit Raw data'!E:E,G:G)</f>
        <v>0</v>
      </c>
      <c r="I303" s="44" t="str">
        <f>IFERROR((SUMIFS('Audit Raw data'!BZ:BZ,'Audit Raw data'!J:J,B:B,'Audit Raw data'!E:E,G:G)/H303)/100,"-")</f>
        <v>-</v>
      </c>
      <c r="J303">
        <f>COUNTIFS('Audit Raw data'!AM:AM,"Yes",'Audit Raw data'!J:J,B:B,'Audit Raw data'!E:E,'Day wise agent'!G:G)</f>
        <v>0</v>
      </c>
      <c r="K303">
        <f>COUNTIFS('Audit Raw data'!AM:AM,"NO",'Audit Raw data'!J:J,B:B,'Audit Raw data'!E:E,'Day wise agent'!G:G)</f>
        <v>0</v>
      </c>
      <c r="L303" s="12" t="str">
        <f t="shared" si="9"/>
        <v xml:space="preserve"> </v>
      </c>
    </row>
    <row r="304" spans="1:12" x14ac:dyDescent="0.35">
      <c r="A304" t="str">
        <f t="shared" si="8"/>
        <v>VPS24345933</v>
      </c>
      <c r="B304" t="s">
        <v>321</v>
      </c>
      <c r="C304" t="s">
        <v>1558</v>
      </c>
      <c r="D304" s="32">
        <v>45907</v>
      </c>
      <c r="E304" t="s">
        <v>1453</v>
      </c>
      <c r="F304" t="str">
        <f>VLOOKUP(B304,'Agent wise'!A:E,5,0)</f>
        <v>Wireless</v>
      </c>
      <c r="G304" s="32">
        <v>45933</v>
      </c>
      <c r="H304">
        <f>COUNTIFS('Audit Raw data'!J:J,B:B,'Audit Raw data'!E:E,G:G)</f>
        <v>0</v>
      </c>
      <c r="I304" s="44" t="str">
        <f>IFERROR((SUMIFS('Audit Raw data'!BZ:BZ,'Audit Raw data'!J:J,B:B,'Audit Raw data'!E:E,G:G)/H304)/100,"-")</f>
        <v>-</v>
      </c>
      <c r="J304">
        <f>COUNTIFS('Audit Raw data'!AM:AM,"Yes",'Audit Raw data'!J:J,B:B,'Audit Raw data'!E:E,'Day wise agent'!G:G)</f>
        <v>0</v>
      </c>
      <c r="K304">
        <f>COUNTIFS('Audit Raw data'!AM:AM,"NO",'Audit Raw data'!J:J,B:B,'Audit Raw data'!E:E,'Day wise agent'!G:G)</f>
        <v>0</v>
      </c>
      <c r="L304" s="12" t="str">
        <f t="shared" si="9"/>
        <v xml:space="preserve"> </v>
      </c>
    </row>
    <row r="305" spans="1:12" x14ac:dyDescent="0.35">
      <c r="A305" t="str">
        <f t="shared" si="8"/>
        <v>VPS24445933</v>
      </c>
      <c r="B305" t="s">
        <v>288</v>
      </c>
      <c r="C305" t="s">
        <v>1559</v>
      </c>
      <c r="D305" s="32">
        <v>45907</v>
      </c>
      <c r="E305" t="s">
        <v>107</v>
      </c>
      <c r="F305" t="str">
        <f>VLOOKUP(B305,'Agent wise'!A:E,5,0)</f>
        <v>Wireless</v>
      </c>
      <c r="G305" s="32">
        <v>45933</v>
      </c>
      <c r="H305">
        <f>COUNTIFS('Audit Raw data'!J:J,B:B,'Audit Raw data'!E:E,G:G)</f>
        <v>1</v>
      </c>
      <c r="I305" s="44">
        <f>IFERROR((SUMIFS('Audit Raw data'!BZ:BZ,'Audit Raw data'!J:J,B:B,'Audit Raw data'!E:E,G:G)/H305)/100,"-")</f>
        <v>0.96</v>
      </c>
      <c r="J305">
        <f>COUNTIFS('Audit Raw data'!AM:AM,"Yes",'Audit Raw data'!J:J,B:B,'Audit Raw data'!E:E,'Day wise agent'!G:G)</f>
        <v>1</v>
      </c>
      <c r="K305">
        <f>COUNTIFS('Audit Raw data'!AM:AM,"NO",'Audit Raw data'!J:J,B:B,'Audit Raw data'!E:E,'Day wise agent'!G:G)</f>
        <v>0</v>
      </c>
      <c r="L305" s="12">
        <f t="shared" si="9"/>
        <v>1</v>
      </c>
    </row>
    <row r="306" spans="1:12" x14ac:dyDescent="0.35">
      <c r="A306" t="str">
        <f t="shared" si="8"/>
        <v>VPS24545933</v>
      </c>
      <c r="B306" t="s">
        <v>873</v>
      </c>
      <c r="C306" t="s">
        <v>1560</v>
      </c>
      <c r="D306" s="32">
        <v>45908</v>
      </c>
      <c r="E306" t="s">
        <v>1484</v>
      </c>
      <c r="F306" t="str">
        <f>VLOOKUP(B306,'Agent wise'!A:E,5,0)</f>
        <v>Wireless</v>
      </c>
      <c r="G306" s="32">
        <v>45933</v>
      </c>
      <c r="H306">
        <f>COUNTIFS('Audit Raw data'!J:J,B:B,'Audit Raw data'!E:E,G:G)</f>
        <v>0</v>
      </c>
      <c r="I306" s="44" t="str">
        <f>IFERROR((SUMIFS('Audit Raw data'!BZ:BZ,'Audit Raw data'!J:J,B:B,'Audit Raw data'!E:E,G:G)/H306)/100,"-")</f>
        <v>-</v>
      </c>
      <c r="J306">
        <f>COUNTIFS('Audit Raw data'!AM:AM,"Yes",'Audit Raw data'!J:J,B:B,'Audit Raw data'!E:E,'Day wise agent'!G:G)</f>
        <v>0</v>
      </c>
      <c r="K306">
        <f>COUNTIFS('Audit Raw data'!AM:AM,"NO",'Audit Raw data'!J:J,B:B,'Audit Raw data'!E:E,'Day wise agent'!G:G)</f>
        <v>0</v>
      </c>
      <c r="L306" s="12" t="str">
        <f t="shared" si="9"/>
        <v xml:space="preserve"> </v>
      </c>
    </row>
    <row r="307" spans="1:12" x14ac:dyDescent="0.35">
      <c r="A307" t="str">
        <f t="shared" si="8"/>
        <v>VPS24745933</v>
      </c>
      <c r="B307" t="s">
        <v>238</v>
      </c>
      <c r="C307" t="s">
        <v>1561</v>
      </c>
      <c r="D307" s="32">
        <v>45907</v>
      </c>
      <c r="E307" t="s">
        <v>1484</v>
      </c>
      <c r="F307" t="str">
        <f>VLOOKUP(B307,'Agent wise'!A:E,5,0)</f>
        <v>Wireless</v>
      </c>
      <c r="G307" s="32">
        <v>45933</v>
      </c>
      <c r="H307">
        <f>COUNTIFS('Audit Raw data'!J:J,B:B,'Audit Raw data'!E:E,G:G)</f>
        <v>0</v>
      </c>
      <c r="I307" s="44" t="str">
        <f>IFERROR((SUMIFS('Audit Raw data'!BZ:BZ,'Audit Raw data'!J:J,B:B,'Audit Raw data'!E:E,G:G)/H307)/100,"-")</f>
        <v>-</v>
      </c>
      <c r="J307">
        <f>COUNTIFS('Audit Raw data'!AM:AM,"Yes",'Audit Raw data'!J:J,B:B,'Audit Raw data'!E:E,'Day wise agent'!G:G)</f>
        <v>0</v>
      </c>
      <c r="K307">
        <f>COUNTIFS('Audit Raw data'!AM:AM,"NO",'Audit Raw data'!J:J,B:B,'Audit Raw data'!E:E,'Day wise agent'!G:G)</f>
        <v>0</v>
      </c>
      <c r="L307" s="12" t="str">
        <f t="shared" si="9"/>
        <v xml:space="preserve"> </v>
      </c>
    </row>
    <row r="308" spans="1:12" x14ac:dyDescent="0.35">
      <c r="A308" t="str">
        <f t="shared" si="8"/>
        <v>VPS24845933</v>
      </c>
      <c r="B308" t="s">
        <v>231</v>
      </c>
      <c r="C308" t="s">
        <v>1562</v>
      </c>
      <c r="D308" s="32">
        <v>45908</v>
      </c>
      <c r="E308" t="s">
        <v>107</v>
      </c>
      <c r="F308" t="str">
        <f>VLOOKUP(B308,'Agent wise'!A:E,5,0)</f>
        <v>Wireless</v>
      </c>
      <c r="G308" s="32">
        <v>45933</v>
      </c>
      <c r="H308">
        <f>COUNTIFS('Audit Raw data'!J:J,B:B,'Audit Raw data'!E:E,G:G)</f>
        <v>0</v>
      </c>
      <c r="I308" s="44" t="str">
        <f>IFERROR((SUMIFS('Audit Raw data'!BZ:BZ,'Audit Raw data'!J:J,B:B,'Audit Raw data'!E:E,G:G)/H308)/100,"-")</f>
        <v>-</v>
      </c>
      <c r="J308">
        <f>COUNTIFS('Audit Raw data'!AM:AM,"Yes",'Audit Raw data'!J:J,B:B,'Audit Raw data'!E:E,'Day wise agent'!G:G)</f>
        <v>0</v>
      </c>
      <c r="K308">
        <f>COUNTIFS('Audit Raw data'!AM:AM,"NO",'Audit Raw data'!J:J,B:B,'Audit Raw data'!E:E,'Day wise agent'!G:G)</f>
        <v>0</v>
      </c>
      <c r="L308" s="12" t="str">
        <f t="shared" si="9"/>
        <v xml:space="preserve"> </v>
      </c>
    </row>
    <row r="309" spans="1:12" x14ac:dyDescent="0.35">
      <c r="A309" t="str">
        <f t="shared" si="8"/>
        <v>VPS24945933</v>
      </c>
      <c r="B309" t="s">
        <v>215</v>
      </c>
      <c r="C309" t="s">
        <v>1563</v>
      </c>
      <c r="D309" s="32">
        <v>45907</v>
      </c>
      <c r="E309" t="s">
        <v>178</v>
      </c>
      <c r="F309" t="str">
        <f>VLOOKUP(B309,'Agent wise'!A:E,5,0)</f>
        <v>Wireless</v>
      </c>
      <c r="G309" s="32">
        <v>45933</v>
      </c>
      <c r="H309">
        <f>COUNTIFS('Audit Raw data'!J:J,B:B,'Audit Raw data'!E:E,G:G)</f>
        <v>1</v>
      </c>
      <c r="I309" s="44">
        <f>IFERROR((SUMIFS('Audit Raw data'!BZ:BZ,'Audit Raw data'!J:J,B:B,'Audit Raw data'!E:E,G:G)/H309)/100,"-")</f>
        <v>0.9</v>
      </c>
      <c r="J309">
        <f>COUNTIFS('Audit Raw data'!AM:AM,"Yes",'Audit Raw data'!J:J,B:B,'Audit Raw data'!E:E,'Day wise agent'!G:G)</f>
        <v>1</v>
      </c>
      <c r="K309">
        <f>COUNTIFS('Audit Raw data'!AM:AM,"NO",'Audit Raw data'!J:J,B:B,'Audit Raw data'!E:E,'Day wise agent'!G:G)</f>
        <v>0</v>
      </c>
      <c r="L309" s="12">
        <f t="shared" si="9"/>
        <v>1</v>
      </c>
    </row>
    <row r="310" spans="1:12" x14ac:dyDescent="0.35">
      <c r="A310" t="str">
        <f t="shared" si="8"/>
        <v>VPS25145933</v>
      </c>
      <c r="B310" t="s">
        <v>168</v>
      </c>
      <c r="C310" t="s">
        <v>1564</v>
      </c>
      <c r="D310" s="32">
        <v>45907</v>
      </c>
      <c r="E310" t="s">
        <v>107</v>
      </c>
      <c r="F310" t="str">
        <f>VLOOKUP(B310,'Agent wise'!A:E,5,0)</f>
        <v>Wireless</v>
      </c>
      <c r="G310" s="32">
        <v>45933</v>
      </c>
      <c r="H310">
        <f>COUNTIFS('Audit Raw data'!J:J,B:B,'Audit Raw data'!E:E,G:G)</f>
        <v>0</v>
      </c>
      <c r="I310" s="44" t="str">
        <f>IFERROR((SUMIFS('Audit Raw data'!BZ:BZ,'Audit Raw data'!J:J,B:B,'Audit Raw data'!E:E,G:G)/H310)/100,"-")</f>
        <v>-</v>
      </c>
      <c r="J310">
        <f>COUNTIFS('Audit Raw data'!AM:AM,"Yes",'Audit Raw data'!J:J,B:B,'Audit Raw data'!E:E,'Day wise agent'!G:G)</f>
        <v>0</v>
      </c>
      <c r="K310">
        <f>COUNTIFS('Audit Raw data'!AM:AM,"NO",'Audit Raw data'!J:J,B:B,'Audit Raw data'!E:E,'Day wise agent'!G:G)</f>
        <v>0</v>
      </c>
      <c r="L310" s="12" t="str">
        <f t="shared" si="9"/>
        <v xml:space="preserve"> </v>
      </c>
    </row>
    <row r="311" spans="1:12" x14ac:dyDescent="0.35">
      <c r="A311" t="str">
        <f t="shared" si="8"/>
        <v>VPS25245933</v>
      </c>
      <c r="B311" t="s">
        <v>204</v>
      </c>
      <c r="C311" t="s">
        <v>1565</v>
      </c>
      <c r="D311" s="32">
        <v>45919</v>
      </c>
      <c r="E311" t="s">
        <v>1484</v>
      </c>
      <c r="F311" t="str">
        <f>VLOOKUP(B311,'Agent wise'!A:E,5,0)</f>
        <v>Wireless</v>
      </c>
      <c r="G311" s="32">
        <v>45933</v>
      </c>
      <c r="H311">
        <f>COUNTIFS('Audit Raw data'!J:J,B:B,'Audit Raw data'!E:E,G:G)</f>
        <v>1</v>
      </c>
      <c r="I311" s="44">
        <f>IFERROR((SUMIFS('Audit Raw data'!BZ:BZ,'Audit Raw data'!J:J,B:B,'Audit Raw data'!E:E,G:G)/H311)/100,"-")</f>
        <v>0.96</v>
      </c>
      <c r="J311">
        <f>COUNTIFS('Audit Raw data'!AM:AM,"Yes",'Audit Raw data'!J:J,B:B,'Audit Raw data'!E:E,'Day wise agent'!G:G)</f>
        <v>1</v>
      </c>
      <c r="K311">
        <f>COUNTIFS('Audit Raw data'!AM:AM,"NO",'Audit Raw data'!J:J,B:B,'Audit Raw data'!E:E,'Day wise agent'!G:G)</f>
        <v>0</v>
      </c>
      <c r="L311" s="12">
        <f t="shared" si="9"/>
        <v>1</v>
      </c>
    </row>
    <row r="312" spans="1:12" x14ac:dyDescent="0.35">
      <c r="A312" t="str">
        <f t="shared" si="8"/>
        <v>VPS25345933</v>
      </c>
      <c r="B312" t="s">
        <v>195</v>
      </c>
      <c r="C312" t="s">
        <v>1566</v>
      </c>
      <c r="D312" s="32">
        <v>45919</v>
      </c>
      <c r="E312" t="s">
        <v>178</v>
      </c>
      <c r="F312" t="str">
        <f>VLOOKUP(B312,'Agent wise'!A:E,5,0)</f>
        <v>Wireless</v>
      </c>
      <c r="G312" s="32">
        <v>45933</v>
      </c>
      <c r="H312">
        <f>COUNTIFS('Audit Raw data'!J:J,B:B,'Audit Raw data'!E:E,G:G)</f>
        <v>0</v>
      </c>
      <c r="I312" s="44" t="str">
        <f>IFERROR((SUMIFS('Audit Raw data'!BZ:BZ,'Audit Raw data'!J:J,B:B,'Audit Raw data'!E:E,G:G)/H312)/100,"-")</f>
        <v>-</v>
      </c>
      <c r="J312">
        <f>COUNTIFS('Audit Raw data'!AM:AM,"Yes",'Audit Raw data'!J:J,B:B,'Audit Raw data'!E:E,'Day wise agent'!G:G)</f>
        <v>0</v>
      </c>
      <c r="K312">
        <f>COUNTIFS('Audit Raw data'!AM:AM,"NO",'Audit Raw data'!J:J,B:B,'Audit Raw data'!E:E,'Day wise agent'!G:G)</f>
        <v>0</v>
      </c>
      <c r="L312" s="12" t="str">
        <f t="shared" si="9"/>
        <v xml:space="preserve"> </v>
      </c>
    </row>
    <row r="313" spans="1:12" x14ac:dyDescent="0.35">
      <c r="A313" t="str">
        <f t="shared" si="8"/>
        <v>VPS25645933</v>
      </c>
      <c r="B313" t="s">
        <v>191</v>
      </c>
      <c r="C313" t="s">
        <v>1567</v>
      </c>
      <c r="D313" s="32">
        <v>45919</v>
      </c>
      <c r="E313" t="s">
        <v>1453</v>
      </c>
      <c r="F313" t="str">
        <f>VLOOKUP(B313,'Agent wise'!A:E,5,0)</f>
        <v>Wireless</v>
      </c>
      <c r="G313" s="32">
        <v>45933</v>
      </c>
      <c r="H313">
        <f>COUNTIFS('Audit Raw data'!J:J,B:B,'Audit Raw data'!E:E,G:G)</f>
        <v>0</v>
      </c>
      <c r="I313" s="44" t="str">
        <f>IFERROR((SUMIFS('Audit Raw data'!BZ:BZ,'Audit Raw data'!J:J,B:B,'Audit Raw data'!E:E,G:G)/H313)/100,"-")</f>
        <v>-</v>
      </c>
      <c r="J313">
        <f>COUNTIFS('Audit Raw data'!AM:AM,"Yes",'Audit Raw data'!J:J,B:B,'Audit Raw data'!E:E,'Day wise agent'!G:G)</f>
        <v>0</v>
      </c>
      <c r="K313">
        <f>COUNTIFS('Audit Raw data'!AM:AM,"NO",'Audit Raw data'!J:J,B:B,'Audit Raw data'!E:E,'Day wise agent'!G:G)</f>
        <v>0</v>
      </c>
      <c r="L313" s="12" t="str">
        <f t="shared" si="9"/>
        <v xml:space="preserve"> </v>
      </c>
    </row>
    <row r="314" spans="1:12" x14ac:dyDescent="0.35">
      <c r="A314" t="str">
        <f t="shared" si="8"/>
        <v>VPS25745933</v>
      </c>
      <c r="B314" t="s">
        <v>412</v>
      </c>
      <c r="C314" t="s">
        <v>1568</v>
      </c>
      <c r="D314" s="32">
        <v>45919</v>
      </c>
      <c r="E314" t="s">
        <v>1453</v>
      </c>
      <c r="F314" t="str">
        <f>VLOOKUP(B314,'Agent wise'!A:E,5,0)</f>
        <v>Wireless</v>
      </c>
      <c r="G314" s="32">
        <v>45933</v>
      </c>
      <c r="H314">
        <f>COUNTIFS('Audit Raw data'!J:J,B:B,'Audit Raw data'!E:E,G:G)</f>
        <v>0</v>
      </c>
      <c r="I314" s="44" t="str">
        <f>IFERROR((SUMIFS('Audit Raw data'!BZ:BZ,'Audit Raw data'!J:J,B:B,'Audit Raw data'!E:E,G:G)/H314)/100,"-")</f>
        <v>-</v>
      </c>
      <c r="J314">
        <f>COUNTIFS('Audit Raw data'!AM:AM,"Yes",'Audit Raw data'!J:J,B:B,'Audit Raw data'!E:E,'Day wise agent'!G:G)</f>
        <v>0</v>
      </c>
      <c r="K314">
        <f>COUNTIFS('Audit Raw data'!AM:AM,"NO",'Audit Raw data'!J:J,B:B,'Audit Raw data'!E:E,'Day wise agent'!G:G)</f>
        <v>0</v>
      </c>
      <c r="L314" s="12" t="str">
        <f t="shared" si="9"/>
        <v xml:space="preserve"> </v>
      </c>
    </row>
    <row r="315" spans="1:12" x14ac:dyDescent="0.35">
      <c r="A315" t="str">
        <f t="shared" si="8"/>
        <v>VPS25845933</v>
      </c>
      <c r="B315" t="s">
        <v>183</v>
      </c>
      <c r="C315" t="s">
        <v>1569</v>
      </c>
      <c r="D315" s="32">
        <v>45927</v>
      </c>
      <c r="E315" t="s">
        <v>178</v>
      </c>
      <c r="F315" t="str">
        <f>VLOOKUP(B315,'Agent wise'!A:E,5,0)</f>
        <v>Wireless</v>
      </c>
      <c r="G315" s="32">
        <v>45933</v>
      </c>
      <c r="H315">
        <f>COUNTIFS('Audit Raw data'!J:J,B:B,'Audit Raw data'!E:E,G:G)</f>
        <v>0</v>
      </c>
      <c r="I315" s="44" t="str">
        <f>IFERROR((SUMIFS('Audit Raw data'!BZ:BZ,'Audit Raw data'!J:J,B:B,'Audit Raw data'!E:E,G:G)/H315)/100,"-")</f>
        <v>-</v>
      </c>
      <c r="J315">
        <f>COUNTIFS('Audit Raw data'!AM:AM,"Yes",'Audit Raw data'!J:J,B:B,'Audit Raw data'!E:E,'Day wise agent'!G:G)</f>
        <v>0</v>
      </c>
      <c r="K315">
        <f>COUNTIFS('Audit Raw data'!AM:AM,"NO",'Audit Raw data'!J:J,B:B,'Audit Raw data'!E:E,'Day wise agent'!G:G)</f>
        <v>0</v>
      </c>
      <c r="L315" s="12" t="str">
        <f t="shared" si="9"/>
        <v xml:space="preserve"> </v>
      </c>
    </row>
    <row r="316" spans="1:12" x14ac:dyDescent="0.35">
      <c r="A316" t="str">
        <f t="shared" si="8"/>
        <v>VPS25945933</v>
      </c>
      <c r="B316" t="s">
        <v>102</v>
      </c>
      <c r="C316" t="s">
        <v>1570</v>
      </c>
      <c r="D316" s="32">
        <v>45927</v>
      </c>
      <c r="E316" t="s">
        <v>107</v>
      </c>
      <c r="F316" t="str">
        <f>VLOOKUP(B316,'Agent wise'!A:E,5,0)</f>
        <v>Wireless</v>
      </c>
      <c r="G316" s="32">
        <v>45933</v>
      </c>
      <c r="H316">
        <f>COUNTIFS('Audit Raw data'!J:J,B:B,'Audit Raw data'!E:E,G:G)</f>
        <v>0</v>
      </c>
      <c r="I316" s="44" t="str">
        <f>IFERROR((SUMIFS('Audit Raw data'!BZ:BZ,'Audit Raw data'!J:J,B:B,'Audit Raw data'!E:E,G:G)/H316)/100,"-")</f>
        <v>-</v>
      </c>
      <c r="J316">
        <f>COUNTIFS('Audit Raw data'!AM:AM,"Yes",'Audit Raw data'!J:J,B:B,'Audit Raw data'!E:E,'Day wise agent'!G:G)</f>
        <v>0</v>
      </c>
      <c r="K316">
        <f>COUNTIFS('Audit Raw data'!AM:AM,"NO",'Audit Raw data'!J:J,B:B,'Audit Raw data'!E:E,'Day wise agent'!G:G)</f>
        <v>0</v>
      </c>
      <c r="L316" s="12" t="str">
        <f t="shared" si="9"/>
        <v xml:space="preserve"> </v>
      </c>
    </row>
    <row r="317" spans="1:12" x14ac:dyDescent="0.35">
      <c r="A317" t="str">
        <f t="shared" si="8"/>
        <v>SBM10745934</v>
      </c>
      <c r="B317" t="s">
        <v>313</v>
      </c>
      <c r="C317" t="s">
        <v>1449</v>
      </c>
      <c r="D317" s="32">
        <v>44691</v>
      </c>
      <c r="E317" t="s">
        <v>107</v>
      </c>
      <c r="F317" t="str">
        <f>VLOOKUP(B317,'Agent wise'!A:E,5,0)</f>
        <v>Wire-line</v>
      </c>
      <c r="G317" s="32">
        <v>45934</v>
      </c>
      <c r="H317">
        <f>COUNTIFS('Audit Raw data'!J:J,B:B,'Audit Raw data'!E:E,G:G)</f>
        <v>0</v>
      </c>
      <c r="I317" s="44" t="str">
        <f>IFERROR((SUMIFS('Audit Raw data'!BZ:BZ,'Audit Raw data'!J:J,B:B,'Audit Raw data'!E:E,G:G)/H317)/100,"-")</f>
        <v>-</v>
      </c>
      <c r="J317">
        <f>COUNTIFS('Audit Raw data'!AM:AM,"Yes",'Audit Raw data'!J:J,B:B,'Audit Raw data'!E:E,'Day wise agent'!G:G)</f>
        <v>0</v>
      </c>
      <c r="K317">
        <f>COUNTIFS('Audit Raw data'!AM:AM,"NO",'Audit Raw data'!J:J,B:B,'Audit Raw data'!E:E,'Day wise agent'!G:G)</f>
        <v>0</v>
      </c>
      <c r="L317" s="12" t="str">
        <f t="shared" si="9"/>
        <v xml:space="preserve"> </v>
      </c>
    </row>
    <row r="318" spans="1:12" x14ac:dyDescent="0.35">
      <c r="A318" t="str">
        <f t="shared" si="8"/>
        <v>SBM15045934</v>
      </c>
      <c r="B318" t="s">
        <v>56</v>
      </c>
      <c r="C318" t="s">
        <v>1452</v>
      </c>
      <c r="D318" s="32">
        <v>44707</v>
      </c>
      <c r="E318" t="s">
        <v>1453</v>
      </c>
      <c r="F318" t="str">
        <f>VLOOKUP(B318,'Agent wise'!A:E,5,0)</f>
        <v>Wireless</v>
      </c>
      <c r="G318" s="32">
        <v>45934</v>
      </c>
      <c r="H318">
        <f>COUNTIFS('Audit Raw data'!J:J,B:B,'Audit Raw data'!E:E,G:G)</f>
        <v>1</v>
      </c>
      <c r="I318" s="44">
        <f>IFERROR((SUMIFS('Audit Raw data'!BZ:BZ,'Audit Raw data'!J:J,B:B,'Audit Raw data'!E:E,G:G)/H318)/100,"-")</f>
        <v>0.96</v>
      </c>
      <c r="J318">
        <f>COUNTIFS('Audit Raw data'!AM:AM,"Yes",'Audit Raw data'!J:J,B:B,'Audit Raw data'!E:E,'Day wise agent'!G:G)</f>
        <v>1</v>
      </c>
      <c r="K318">
        <f>COUNTIFS('Audit Raw data'!AM:AM,"NO",'Audit Raw data'!J:J,B:B,'Audit Raw data'!E:E,'Day wise agent'!G:G)</f>
        <v>0</v>
      </c>
      <c r="L318" s="12">
        <f t="shared" si="9"/>
        <v>1</v>
      </c>
    </row>
    <row r="319" spans="1:12" x14ac:dyDescent="0.35">
      <c r="A319" t="str">
        <f t="shared" si="8"/>
        <v>SBM15545934</v>
      </c>
      <c r="B319" t="s">
        <v>1454</v>
      </c>
      <c r="C319" t="s">
        <v>1455</v>
      </c>
      <c r="D319" s="32">
        <v>44707</v>
      </c>
      <c r="E319" t="s">
        <v>1456</v>
      </c>
      <c r="F319" t="str">
        <f>VLOOKUP(B319,'Agent wise'!A:E,5,0)</f>
        <v>RECL</v>
      </c>
      <c r="G319" s="32">
        <v>45934</v>
      </c>
      <c r="H319">
        <f>COUNTIFS('Audit Raw data'!J:J,B:B,'Audit Raw data'!E:E,G:G)</f>
        <v>0</v>
      </c>
      <c r="I319" s="44" t="str">
        <f>IFERROR((SUMIFS('Audit Raw data'!BZ:BZ,'Audit Raw data'!J:J,B:B,'Audit Raw data'!E:E,G:G)/H319)/100,"-")</f>
        <v>-</v>
      </c>
      <c r="J319">
        <f>COUNTIFS('Audit Raw data'!AM:AM,"Yes",'Audit Raw data'!J:J,B:B,'Audit Raw data'!E:E,'Day wise agent'!G:G)</f>
        <v>0</v>
      </c>
      <c r="K319">
        <f>COUNTIFS('Audit Raw data'!AM:AM,"NO",'Audit Raw data'!J:J,B:B,'Audit Raw data'!E:E,'Day wise agent'!G:G)</f>
        <v>0</v>
      </c>
      <c r="L319" s="12" t="str">
        <f t="shared" si="9"/>
        <v xml:space="preserve"> </v>
      </c>
    </row>
    <row r="320" spans="1:12" x14ac:dyDescent="0.35">
      <c r="A320" t="str">
        <f t="shared" si="8"/>
        <v>SBM15745934</v>
      </c>
      <c r="B320" t="s">
        <v>67</v>
      </c>
      <c r="C320" t="s">
        <v>1458</v>
      </c>
      <c r="D320" s="32">
        <v>44713</v>
      </c>
      <c r="E320" t="s">
        <v>1453</v>
      </c>
      <c r="F320" t="str">
        <f>VLOOKUP(B320,'Agent wise'!A:E,5,0)</f>
        <v>Wireless</v>
      </c>
      <c r="G320" s="32">
        <v>45934</v>
      </c>
      <c r="H320">
        <f>COUNTIFS('Audit Raw data'!J:J,B:B,'Audit Raw data'!E:E,G:G)</f>
        <v>0</v>
      </c>
      <c r="I320" s="44" t="str">
        <f>IFERROR((SUMIFS('Audit Raw data'!BZ:BZ,'Audit Raw data'!J:J,B:B,'Audit Raw data'!E:E,G:G)/H320)/100,"-")</f>
        <v>-</v>
      </c>
      <c r="J320">
        <f>COUNTIFS('Audit Raw data'!AM:AM,"Yes",'Audit Raw data'!J:J,B:B,'Audit Raw data'!E:E,'Day wise agent'!G:G)</f>
        <v>0</v>
      </c>
      <c r="K320">
        <f>COUNTIFS('Audit Raw data'!AM:AM,"NO",'Audit Raw data'!J:J,B:B,'Audit Raw data'!E:E,'Day wise agent'!G:G)</f>
        <v>0</v>
      </c>
      <c r="L320" s="12" t="str">
        <f t="shared" si="9"/>
        <v xml:space="preserve"> </v>
      </c>
    </row>
    <row r="321" spans="1:12" x14ac:dyDescent="0.35">
      <c r="A321" t="str">
        <f t="shared" si="8"/>
        <v>SBM20245934</v>
      </c>
      <c r="B321" t="s">
        <v>466</v>
      </c>
      <c r="C321" t="s">
        <v>1459</v>
      </c>
      <c r="D321" s="32">
        <v>44721</v>
      </c>
      <c r="E321" t="s">
        <v>178</v>
      </c>
      <c r="F321" t="str">
        <f>VLOOKUP(B321,'Agent wise'!A:E,5,0)</f>
        <v>Wireless</v>
      </c>
      <c r="G321" s="32">
        <v>45934</v>
      </c>
      <c r="H321">
        <f>COUNTIFS('Audit Raw data'!J:J,B:B,'Audit Raw data'!E:E,G:G)</f>
        <v>0</v>
      </c>
      <c r="I321" s="44" t="str">
        <f>IFERROR((SUMIFS('Audit Raw data'!BZ:BZ,'Audit Raw data'!J:J,B:B,'Audit Raw data'!E:E,G:G)/H321)/100,"-")</f>
        <v>-</v>
      </c>
      <c r="J321">
        <f>COUNTIFS('Audit Raw data'!AM:AM,"Yes",'Audit Raw data'!J:J,B:B,'Audit Raw data'!E:E,'Day wise agent'!G:G)</f>
        <v>0</v>
      </c>
      <c r="K321">
        <f>COUNTIFS('Audit Raw data'!AM:AM,"NO",'Audit Raw data'!J:J,B:B,'Audit Raw data'!E:E,'Day wise agent'!G:G)</f>
        <v>0</v>
      </c>
      <c r="L321" s="12" t="str">
        <f t="shared" si="9"/>
        <v xml:space="preserve"> </v>
      </c>
    </row>
    <row r="322" spans="1:12" x14ac:dyDescent="0.35">
      <c r="A322" t="str">
        <f t="shared" ref="A322:A385" si="10">B322&amp;G322</f>
        <v>SBM26445934</v>
      </c>
      <c r="B322" t="s">
        <v>575</v>
      </c>
      <c r="C322" t="s">
        <v>1461</v>
      </c>
      <c r="D322" s="32">
        <v>44739</v>
      </c>
      <c r="E322" t="s">
        <v>107</v>
      </c>
      <c r="F322" t="str">
        <f>VLOOKUP(B322,'Agent wise'!A:E,5,0)</f>
        <v>Wireless</v>
      </c>
      <c r="G322" s="32">
        <v>45934</v>
      </c>
      <c r="H322">
        <f>COUNTIFS('Audit Raw data'!J:J,B:B,'Audit Raw data'!E:E,G:G)</f>
        <v>0</v>
      </c>
      <c r="I322" s="44" t="str">
        <f>IFERROR((SUMIFS('Audit Raw data'!BZ:BZ,'Audit Raw data'!J:J,B:B,'Audit Raw data'!E:E,G:G)/H322)/100,"-")</f>
        <v>-</v>
      </c>
      <c r="J322">
        <f>COUNTIFS('Audit Raw data'!AM:AM,"Yes",'Audit Raw data'!J:J,B:B,'Audit Raw data'!E:E,'Day wise agent'!G:G)</f>
        <v>0</v>
      </c>
      <c r="K322">
        <f>COUNTIFS('Audit Raw data'!AM:AM,"NO",'Audit Raw data'!J:J,B:B,'Audit Raw data'!E:E,'Day wise agent'!G:G)</f>
        <v>0</v>
      </c>
      <c r="L322" s="12" t="str">
        <f t="shared" ref="L322:L385" si="11">IFERROR(J322/H322," ")</f>
        <v xml:space="preserve"> </v>
      </c>
    </row>
    <row r="323" spans="1:12" x14ac:dyDescent="0.35">
      <c r="A323" t="str">
        <f t="shared" si="10"/>
        <v>SBM26745934</v>
      </c>
      <c r="B323" t="s">
        <v>91</v>
      </c>
      <c r="C323" t="s">
        <v>1462</v>
      </c>
      <c r="D323" s="32">
        <v>44768</v>
      </c>
      <c r="E323" t="s">
        <v>1453</v>
      </c>
      <c r="F323" t="str">
        <f>VLOOKUP(B323,'Agent wise'!A:E,5,0)</f>
        <v>Wireless</v>
      </c>
      <c r="G323" s="32">
        <v>45934</v>
      </c>
      <c r="H323">
        <f>COUNTIFS('Audit Raw data'!J:J,B:B,'Audit Raw data'!E:E,G:G)</f>
        <v>3</v>
      </c>
      <c r="I323" s="44">
        <f>IFERROR((SUMIFS('Audit Raw data'!BZ:BZ,'Audit Raw data'!J:J,B:B,'Audit Raw data'!E:E,G:G)/H323)/100,"-")</f>
        <v>0.91333333333333333</v>
      </c>
      <c r="J323">
        <f>COUNTIFS('Audit Raw data'!AM:AM,"Yes",'Audit Raw data'!J:J,B:B,'Audit Raw data'!E:E,'Day wise agent'!G:G)</f>
        <v>3</v>
      </c>
      <c r="K323">
        <f>COUNTIFS('Audit Raw data'!AM:AM,"NO",'Audit Raw data'!J:J,B:B,'Audit Raw data'!E:E,'Day wise agent'!G:G)</f>
        <v>0</v>
      </c>
      <c r="L323" s="12">
        <f t="shared" si="11"/>
        <v>1</v>
      </c>
    </row>
    <row r="324" spans="1:12" x14ac:dyDescent="0.35">
      <c r="A324" t="str">
        <f t="shared" si="10"/>
        <v>SBM31445934</v>
      </c>
      <c r="B324" t="s">
        <v>132</v>
      </c>
      <c r="C324" t="s">
        <v>1463</v>
      </c>
      <c r="D324" s="32">
        <v>44784</v>
      </c>
      <c r="E324" t="s">
        <v>107</v>
      </c>
      <c r="F324" t="str">
        <f>VLOOKUP(B324,'Agent wise'!A:E,5,0)</f>
        <v>Wireless</v>
      </c>
      <c r="G324" s="32">
        <v>45934</v>
      </c>
      <c r="H324">
        <f>COUNTIFS('Audit Raw data'!J:J,B:B,'Audit Raw data'!E:E,G:G)</f>
        <v>2</v>
      </c>
      <c r="I324" s="44">
        <f>IFERROR((SUMIFS('Audit Raw data'!BZ:BZ,'Audit Raw data'!J:J,B:B,'Audit Raw data'!E:E,G:G)/H324)/100,"-")</f>
        <v>1</v>
      </c>
      <c r="J324">
        <f>COUNTIFS('Audit Raw data'!AM:AM,"Yes",'Audit Raw data'!J:J,B:B,'Audit Raw data'!E:E,'Day wise agent'!G:G)</f>
        <v>2</v>
      </c>
      <c r="K324">
        <f>COUNTIFS('Audit Raw data'!AM:AM,"NO",'Audit Raw data'!J:J,B:B,'Audit Raw data'!E:E,'Day wise agent'!G:G)</f>
        <v>0</v>
      </c>
      <c r="L324" s="12">
        <f t="shared" si="11"/>
        <v>1</v>
      </c>
    </row>
    <row r="325" spans="1:12" x14ac:dyDescent="0.35">
      <c r="A325" t="str">
        <f t="shared" si="10"/>
        <v>SBM36345934</v>
      </c>
      <c r="B325" t="s">
        <v>70</v>
      </c>
      <c r="C325" t="s">
        <v>1464</v>
      </c>
      <c r="D325" s="32">
        <v>44786</v>
      </c>
      <c r="E325" t="s">
        <v>1453</v>
      </c>
      <c r="F325" t="str">
        <f>VLOOKUP(B325,'Agent wise'!A:E,5,0)</f>
        <v>Wireless</v>
      </c>
      <c r="G325" s="32">
        <v>45934</v>
      </c>
      <c r="H325">
        <f>COUNTIFS('Audit Raw data'!J:J,B:B,'Audit Raw data'!E:E,G:G)</f>
        <v>0</v>
      </c>
      <c r="I325" s="44" t="str">
        <f>IFERROR((SUMIFS('Audit Raw data'!BZ:BZ,'Audit Raw data'!J:J,B:B,'Audit Raw data'!E:E,G:G)/H325)/100,"-")</f>
        <v>-</v>
      </c>
      <c r="J325">
        <f>COUNTIFS('Audit Raw data'!AM:AM,"Yes",'Audit Raw data'!J:J,B:B,'Audit Raw data'!E:E,'Day wise agent'!G:G)</f>
        <v>0</v>
      </c>
      <c r="K325">
        <f>COUNTIFS('Audit Raw data'!AM:AM,"NO",'Audit Raw data'!J:J,B:B,'Audit Raw data'!E:E,'Day wise agent'!G:G)</f>
        <v>0</v>
      </c>
      <c r="L325" s="12" t="str">
        <f t="shared" si="11"/>
        <v xml:space="preserve"> </v>
      </c>
    </row>
    <row r="326" spans="1:12" x14ac:dyDescent="0.35">
      <c r="A326" t="str">
        <f t="shared" si="10"/>
        <v>SBM37345934</v>
      </c>
      <c r="B326" t="s">
        <v>75</v>
      </c>
      <c r="C326" t="s">
        <v>1465</v>
      </c>
      <c r="D326" s="32">
        <v>44786</v>
      </c>
      <c r="E326" t="s">
        <v>1453</v>
      </c>
      <c r="F326" t="str">
        <f>VLOOKUP(B326,'Agent wise'!A:E,5,0)</f>
        <v>Wireless</v>
      </c>
      <c r="G326" s="32">
        <v>45934</v>
      </c>
      <c r="H326">
        <f>COUNTIFS('Audit Raw data'!J:J,B:B,'Audit Raw data'!E:E,G:G)</f>
        <v>1</v>
      </c>
      <c r="I326" s="44">
        <f>IFERROR((SUMIFS('Audit Raw data'!BZ:BZ,'Audit Raw data'!J:J,B:B,'Audit Raw data'!E:E,G:G)/H326)/100,"-")</f>
        <v>0.82</v>
      </c>
      <c r="J326">
        <f>COUNTIFS('Audit Raw data'!AM:AM,"Yes",'Audit Raw data'!J:J,B:B,'Audit Raw data'!E:E,'Day wise agent'!G:G)</f>
        <v>1</v>
      </c>
      <c r="K326">
        <f>COUNTIFS('Audit Raw data'!AM:AM,"NO",'Audit Raw data'!J:J,B:B,'Audit Raw data'!E:E,'Day wise agent'!G:G)</f>
        <v>0</v>
      </c>
      <c r="L326" s="12">
        <f t="shared" si="11"/>
        <v>1</v>
      </c>
    </row>
    <row r="327" spans="1:12" x14ac:dyDescent="0.35">
      <c r="A327" t="str">
        <f t="shared" si="10"/>
        <v>SBM42245934</v>
      </c>
      <c r="B327" t="s">
        <v>636</v>
      </c>
      <c r="C327" t="s">
        <v>1466</v>
      </c>
      <c r="D327" s="32">
        <v>44882</v>
      </c>
      <c r="E327" t="s">
        <v>107</v>
      </c>
      <c r="F327" t="str">
        <f>VLOOKUP(B327,'Agent wise'!A:E,5,0)</f>
        <v>Wireless</v>
      </c>
      <c r="G327" s="32">
        <v>45934</v>
      </c>
      <c r="H327">
        <f>COUNTIFS('Audit Raw data'!J:J,B:B,'Audit Raw data'!E:E,G:G)</f>
        <v>1</v>
      </c>
      <c r="I327" s="44">
        <f>IFERROR((SUMIFS('Audit Raw data'!BZ:BZ,'Audit Raw data'!J:J,B:B,'Audit Raw data'!E:E,G:G)/H327)/100,"-")</f>
        <v>0.96</v>
      </c>
      <c r="J327">
        <f>COUNTIFS('Audit Raw data'!AM:AM,"Yes",'Audit Raw data'!J:J,B:B,'Audit Raw data'!E:E,'Day wise agent'!G:G)</f>
        <v>1</v>
      </c>
      <c r="K327">
        <f>COUNTIFS('Audit Raw data'!AM:AM,"NO",'Audit Raw data'!J:J,B:B,'Audit Raw data'!E:E,'Day wise agent'!G:G)</f>
        <v>0</v>
      </c>
      <c r="L327" s="12">
        <f t="shared" si="11"/>
        <v>1</v>
      </c>
    </row>
    <row r="328" spans="1:12" x14ac:dyDescent="0.35">
      <c r="A328" t="str">
        <f t="shared" si="10"/>
        <v>SBM47945934</v>
      </c>
      <c r="B328" t="s">
        <v>1474</v>
      </c>
      <c r="C328" t="s">
        <v>1475</v>
      </c>
      <c r="D328" s="32">
        <v>44932</v>
      </c>
      <c r="E328" t="s">
        <v>1456</v>
      </c>
      <c r="F328" t="str">
        <f>VLOOKUP(B328,'Agent wise'!A:E,5,0)</f>
        <v>RECL</v>
      </c>
      <c r="G328" s="32">
        <v>45934</v>
      </c>
      <c r="H328">
        <f>COUNTIFS('Audit Raw data'!J:J,B:B,'Audit Raw data'!E:E,G:G)</f>
        <v>0</v>
      </c>
      <c r="I328" s="44" t="str">
        <f>IFERROR((SUMIFS('Audit Raw data'!BZ:BZ,'Audit Raw data'!J:J,B:B,'Audit Raw data'!E:E,G:G)/H328)/100,"-")</f>
        <v>-</v>
      </c>
      <c r="J328">
        <f>COUNTIFS('Audit Raw data'!AM:AM,"Yes",'Audit Raw data'!J:J,B:B,'Audit Raw data'!E:E,'Day wise agent'!G:G)</f>
        <v>0</v>
      </c>
      <c r="K328">
        <f>COUNTIFS('Audit Raw data'!AM:AM,"NO",'Audit Raw data'!J:J,B:B,'Audit Raw data'!E:E,'Day wise agent'!G:G)</f>
        <v>0</v>
      </c>
      <c r="L328" s="12" t="str">
        <f t="shared" si="11"/>
        <v xml:space="preserve"> </v>
      </c>
    </row>
    <row r="329" spans="1:12" x14ac:dyDescent="0.35">
      <c r="A329" t="str">
        <f t="shared" si="10"/>
        <v>SBM48145934</v>
      </c>
      <c r="B329" t="s">
        <v>638</v>
      </c>
      <c r="C329" t="s">
        <v>1467</v>
      </c>
      <c r="D329" s="32">
        <v>44932</v>
      </c>
      <c r="E329" t="s">
        <v>178</v>
      </c>
      <c r="F329" t="str">
        <f>VLOOKUP(B329,'Agent wise'!A:E,5,0)</f>
        <v>Wireless</v>
      </c>
      <c r="G329" s="32">
        <v>45934</v>
      </c>
      <c r="H329">
        <f>COUNTIFS('Audit Raw data'!J:J,B:B,'Audit Raw data'!E:E,G:G)</f>
        <v>1</v>
      </c>
      <c r="I329" s="44">
        <f>IFERROR((SUMIFS('Audit Raw data'!BZ:BZ,'Audit Raw data'!J:J,B:B,'Audit Raw data'!E:E,G:G)/H329)/100,"-")</f>
        <v>0.94</v>
      </c>
      <c r="J329">
        <f>COUNTIFS('Audit Raw data'!AM:AM,"Yes",'Audit Raw data'!J:J,B:B,'Audit Raw data'!E:E,'Day wise agent'!G:G)</f>
        <v>1</v>
      </c>
      <c r="K329">
        <f>COUNTIFS('Audit Raw data'!AM:AM,"NO",'Audit Raw data'!J:J,B:B,'Audit Raw data'!E:E,'Day wise agent'!G:G)</f>
        <v>0</v>
      </c>
      <c r="L329" s="12">
        <f t="shared" si="11"/>
        <v>1</v>
      </c>
    </row>
    <row r="330" spans="1:12" x14ac:dyDescent="0.35">
      <c r="A330" t="str">
        <f t="shared" si="10"/>
        <v>SBM48545934</v>
      </c>
      <c r="B330" t="s">
        <v>80</v>
      </c>
      <c r="C330" t="s">
        <v>1469</v>
      </c>
      <c r="D330" s="32">
        <v>44961</v>
      </c>
      <c r="E330" t="s">
        <v>1453</v>
      </c>
      <c r="F330" t="str">
        <f>VLOOKUP(B330,'Agent wise'!A:E,5,0)</f>
        <v>Wireless</v>
      </c>
      <c r="G330" s="32">
        <v>45934</v>
      </c>
      <c r="H330">
        <f>COUNTIFS('Audit Raw data'!J:J,B:B,'Audit Raw data'!E:E,G:G)</f>
        <v>0</v>
      </c>
      <c r="I330" s="44" t="str">
        <f>IFERROR((SUMIFS('Audit Raw data'!BZ:BZ,'Audit Raw data'!J:J,B:B,'Audit Raw data'!E:E,G:G)/H330)/100,"-")</f>
        <v>-</v>
      </c>
      <c r="J330">
        <f>COUNTIFS('Audit Raw data'!AM:AM,"Yes",'Audit Raw data'!J:J,B:B,'Audit Raw data'!E:E,'Day wise agent'!G:G)</f>
        <v>0</v>
      </c>
      <c r="K330">
        <f>COUNTIFS('Audit Raw data'!AM:AM,"NO",'Audit Raw data'!J:J,B:B,'Audit Raw data'!E:E,'Day wise agent'!G:G)</f>
        <v>0</v>
      </c>
      <c r="L330" s="12" t="str">
        <f t="shared" si="11"/>
        <v xml:space="preserve"> </v>
      </c>
    </row>
    <row r="331" spans="1:12" x14ac:dyDescent="0.35">
      <c r="A331" t="str">
        <f t="shared" si="10"/>
        <v>SBM52445934</v>
      </c>
      <c r="B331" t="s">
        <v>490</v>
      </c>
      <c r="C331" t="s">
        <v>1470</v>
      </c>
      <c r="D331" s="32">
        <v>45093</v>
      </c>
      <c r="E331" t="s">
        <v>1453</v>
      </c>
      <c r="F331" t="str">
        <f>VLOOKUP(B331,'Agent wise'!A:E,5,0)</f>
        <v>Wireless</v>
      </c>
      <c r="G331" s="32">
        <v>45934</v>
      </c>
      <c r="H331">
        <f>COUNTIFS('Audit Raw data'!J:J,B:B,'Audit Raw data'!E:E,G:G)</f>
        <v>0</v>
      </c>
      <c r="I331" s="44" t="str">
        <f>IFERROR((SUMIFS('Audit Raw data'!BZ:BZ,'Audit Raw data'!J:J,B:B,'Audit Raw data'!E:E,G:G)/H331)/100,"-")</f>
        <v>-</v>
      </c>
      <c r="J331">
        <f>COUNTIFS('Audit Raw data'!AM:AM,"Yes",'Audit Raw data'!J:J,B:B,'Audit Raw data'!E:E,'Day wise agent'!G:G)</f>
        <v>0</v>
      </c>
      <c r="K331">
        <f>COUNTIFS('Audit Raw data'!AM:AM,"NO",'Audit Raw data'!J:J,B:B,'Audit Raw data'!E:E,'Day wise agent'!G:G)</f>
        <v>0</v>
      </c>
      <c r="L331" s="12" t="str">
        <f t="shared" si="11"/>
        <v xml:space="preserve"> </v>
      </c>
    </row>
    <row r="332" spans="1:12" x14ac:dyDescent="0.35">
      <c r="A332" t="str">
        <f t="shared" si="10"/>
        <v>SBM55045934</v>
      </c>
      <c r="B332" t="s">
        <v>139</v>
      </c>
      <c r="C332" t="s">
        <v>1471</v>
      </c>
      <c r="D332" s="32">
        <v>45139</v>
      </c>
      <c r="E332" t="s">
        <v>107</v>
      </c>
      <c r="F332" t="str">
        <f>VLOOKUP(B332,'Agent wise'!A:E,5,0)</f>
        <v>Wireless</v>
      </c>
      <c r="G332" s="32">
        <v>45934</v>
      </c>
      <c r="H332">
        <f>COUNTIFS('Audit Raw data'!J:J,B:B,'Audit Raw data'!E:E,G:G)</f>
        <v>0</v>
      </c>
      <c r="I332" s="44" t="str">
        <f>IFERROR((SUMIFS('Audit Raw data'!BZ:BZ,'Audit Raw data'!J:J,B:B,'Audit Raw data'!E:E,G:G)/H332)/100,"-")</f>
        <v>-</v>
      </c>
      <c r="J332">
        <f>COUNTIFS('Audit Raw data'!AM:AM,"Yes",'Audit Raw data'!J:J,B:B,'Audit Raw data'!E:E,'Day wise agent'!G:G)</f>
        <v>0</v>
      </c>
      <c r="K332">
        <f>COUNTIFS('Audit Raw data'!AM:AM,"NO",'Audit Raw data'!J:J,B:B,'Audit Raw data'!E:E,'Day wise agent'!G:G)</f>
        <v>0</v>
      </c>
      <c r="L332" s="12" t="str">
        <f t="shared" si="11"/>
        <v xml:space="preserve"> </v>
      </c>
    </row>
    <row r="333" spans="1:12" x14ac:dyDescent="0.35">
      <c r="A333" t="str">
        <f t="shared" si="10"/>
        <v>SBM55445934</v>
      </c>
      <c r="B333" t="s">
        <v>208</v>
      </c>
      <c r="C333" t="s">
        <v>1472</v>
      </c>
      <c r="D333" s="32">
        <v>45140</v>
      </c>
      <c r="E333" t="s">
        <v>178</v>
      </c>
      <c r="F333" t="str">
        <f>VLOOKUP(B333,'Agent wise'!A:E,5,0)</f>
        <v>Wireless</v>
      </c>
      <c r="G333" s="32">
        <v>45934</v>
      </c>
      <c r="H333">
        <f>COUNTIFS('Audit Raw data'!J:J,B:B,'Audit Raw data'!E:E,G:G)</f>
        <v>2</v>
      </c>
      <c r="I333" s="44">
        <f>IFERROR((SUMIFS('Audit Raw data'!BZ:BZ,'Audit Raw data'!J:J,B:B,'Audit Raw data'!E:E,G:G)/H333)/100,"-")</f>
        <v>0.95</v>
      </c>
      <c r="J333">
        <f>COUNTIFS('Audit Raw data'!AM:AM,"Yes",'Audit Raw data'!J:J,B:B,'Audit Raw data'!E:E,'Day wise agent'!G:G)</f>
        <v>2</v>
      </c>
      <c r="K333">
        <f>COUNTIFS('Audit Raw data'!AM:AM,"NO",'Audit Raw data'!J:J,B:B,'Audit Raw data'!E:E,'Day wise agent'!G:G)</f>
        <v>0</v>
      </c>
      <c r="L333" s="12">
        <f t="shared" si="11"/>
        <v>1</v>
      </c>
    </row>
    <row r="334" spans="1:12" x14ac:dyDescent="0.35">
      <c r="A334" t="str">
        <f t="shared" si="10"/>
        <v>SBM58345934</v>
      </c>
      <c r="B334" t="s">
        <v>546</v>
      </c>
      <c r="C334" t="s">
        <v>1473</v>
      </c>
      <c r="D334" s="32">
        <v>45245</v>
      </c>
      <c r="E334" t="s">
        <v>107</v>
      </c>
      <c r="F334" t="str">
        <f>VLOOKUP(B334,'Agent wise'!A:E,5,0)</f>
        <v>Wireless</v>
      </c>
      <c r="G334" s="32">
        <v>45934</v>
      </c>
      <c r="H334">
        <f>COUNTIFS('Audit Raw data'!J:J,B:B,'Audit Raw data'!E:E,G:G)</f>
        <v>0</v>
      </c>
      <c r="I334" s="44" t="str">
        <f>IFERROR((SUMIFS('Audit Raw data'!BZ:BZ,'Audit Raw data'!J:J,B:B,'Audit Raw data'!E:E,G:G)/H334)/100,"-")</f>
        <v>-</v>
      </c>
      <c r="J334">
        <f>COUNTIFS('Audit Raw data'!AM:AM,"Yes",'Audit Raw data'!J:J,B:B,'Audit Raw data'!E:E,'Day wise agent'!G:G)</f>
        <v>0</v>
      </c>
      <c r="K334">
        <f>COUNTIFS('Audit Raw data'!AM:AM,"NO",'Audit Raw data'!J:J,B:B,'Audit Raw data'!E:E,'Day wise agent'!G:G)</f>
        <v>0</v>
      </c>
      <c r="L334" s="12" t="str">
        <f t="shared" si="11"/>
        <v xml:space="preserve"> </v>
      </c>
    </row>
    <row r="335" spans="1:12" x14ac:dyDescent="0.35">
      <c r="A335" t="str">
        <f t="shared" si="10"/>
        <v>SBM61345934</v>
      </c>
      <c r="B335" t="s">
        <v>391</v>
      </c>
      <c r="C335" t="s">
        <v>1478</v>
      </c>
      <c r="D335" s="32">
        <v>45301</v>
      </c>
      <c r="E335" t="s">
        <v>221</v>
      </c>
      <c r="F335" t="str">
        <f>VLOOKUP(B335,'Agent wise'!A:E,5,0)</f>
        <v>Wire-line</v>
      </c>
      <c r="G335" s="32">
        <v>45934</v>
      </c>
      <c r="H335">
        <f>COUNTIFS('Audit Raw data'!J:J,B:B,'Audit Raw data'!E:E,G:G)</f>
        <v>0</v>
      </c>
      <c r="I335" s="44" t="str">
        <f>IFERROR((SUMIFS('Audit Raw data'!BZ:BZ,'Audit Raw data'!J:J,B:B,'Audit Raw data'!E:E,G:G)/H335)/100,"-")</f>
        <v>-</v>
      </c>
      <c r="J335">
        <f>COUNTIFS('Audit Raw data'!AM:AM,"Yes",'Audit Raw data'!J:J,B:B,'Audit Raw data'!E:E,'Day wise agent'!G:G)</f>
        <v>0</v>
      </c>
      <c r="K335">
        <f>COUNTIFS('Audit Raw data'!AM:AM,"NO",'Audit Raw data'!J:J,B:B,'Audit Raw data'!E:E,'Day wise agent'!G:G)</f>
        <v>0</v>
      </c>
      <c r="L335" s="12" t="str">
        <f t="shared" si="11"/>
        <v xml:space="preserve"> </v>
      </c>
    </row>
    <row r="336" spans="1:12" x14ac:dyDescent="0.35">
      <c r="A336" t="str">
        <f t="shared" si="10"/>
        <v>SBM61845934</v>
      </c>
      <c r="B336" t="s">
        <v>242</v>
      </c>
      <c r="C336" t="s">
        <v>1477</v>
      </c>
      <c r="D336" s="32">
        <v>45292</v>
      </c>
      <c r="E336" t="s">
        <v>221</v>
      </c>
      <c r="F336" t="str">
        <f>VLOOKUP(B336,'Agent wise'!A:E,5,0)</f>
        <v>Wire-line</v>
      </c>
      <c r="G336" s="32">
        <v>45934</v>
      </c>
      <c r="H336">
        <f>COUNTIFS('Audit Raw data'!J:J,B:B,'Audit Raw data'!E:E,G:G)</f>
        <v>0</v>
      </c>
      <c r="I336" s="44" t="str">
        <f>IFERROR((SUMIFS('Audit Raw data'!BZ:BZ,'Audit Raw data'!J:J,B:B,'Audit Raw data'!E:E,G:G)/H336)/100,"-")</f>
        <v>-</v>
      </c>
      <c r="J336">
        <f>COUNTIFS('Audit Raw data'!AM:AM,"Yes",'Audit Raw data'!J:J,B:B,'Audit Raw data'!E:E,'Day wise agent'!G:G)</f>
        <v>0</v>
      </c>
      <c r="K336">
        <f>COUNTIFS('Audit Raw data'!AM:AM,"NO",'Audit Raw data'!J:J,B:B,'Audit Raw data'!E:E,'Day wise agent'!G:G)</f>
        <v>0</v>
      </c>
      <c r="L336" s="12" t="str">
        <f t="shared" si="11"/>
        <v xml:space="preserve"> </v>
      </c>
    </row>
    <row r="337" spans="1:12" x14ac:dyDescent="0.35">
      <c r="A337" t="str">
        <f t="shared" si="10"/>
        <v>SBM62545934</v>
      </c>
      <c r="B337" t="s">
        <v>472</v>
      </c>
      <c r="C337" t="s">
        <v>1476</v>
      </c>
      <c r="D337" s="32">
        <v>45329</v>
      </c>
      <c r="E337" t="s">
        <v>1453</v>
      </c>
      <c r="F337" t="str">
        <f>VLOOKUP(B337,'Agent wise'!A:E,5,0)</f>
        <v>Wireless</v>
      </c>
      <c r="G337" s="32">
        <v>45934</v>
      </c>
      <c r="H337">
        <f>COUNTIFS('Audit Raw data'!J:J,B:B,'Audit Raw data'!E:E,G:G)</f>
        <v>3</v>
      </c>
      <c r="I337" s="44">
        <f>IFERROR((SUMIFS('Audit Raw data'!BZ:BZ,'Audit Raw data'!J:J,B:B,'Audit Raw data'!E:E,G:G)/H337)/100,"-")</f>
        <v>0.98666666666666669</v>
      </c>
      <c r="J337">
        <f>COUNTIFS('Audit Raw data'!AM:AM,"Yes",'Audit Raw data'!J:J,B:B,'Audit Raw data'!E:E,'Day wise agent'!G:G)</f>
        <v>3</v>
      </c>
      <c r="K337">
        <f>COUNTIFS('Audit Raw data'!AM:AM,"NO",'Audit Raw data'!J:J,B:B,'Audit Raw data'!E:E,'Day wise agent'!G:G)</f>
        <v>0</v>
      </c>
      <c r="L337" s="12">
        <f t="shared" si="11"/>
        <v>1</v>
      </c>
    </row>
    <row r="338" spans="1:12" x14ac:dyDescent="0.35">
      <c r="A338" t="str">
        <f t="shared" si="10"/>
        <v>SBM65045934</v>
      </c>
      <c r="B338" t="s">
        <v>353</v>
      </c>
      <c r="C338" t="s">
        <v>1479</v>
      </c>
      <c r="D338" s="32">
        <v>45357</v>
      </c>
      <c r="E338" t="s">
        <v>221</v>
      </c>
      <c r="F338" t="str">
        <f>VLOOKUP(B338,'Agent wise'!A:E,5,0)</f>
        <v>Wire-line</v>
      </c>
      <c r="G338" s="32">
        <v>45934</v>
      </c>
      <c r="H338">
        <f>COUNTIFS('Audit Raw data'!J:J,B:B,'Audit Raw data'!E:E,G:G)</f>
        <v>1</v>
      </c>
      <c r="I338" s="44">
        <f>IFERROR((SUMIFS('Audit Raw data'!BZ:BZ,'Audit Raw data'!J:J,B:B,'Audit Raw data'!E:E,G:G)/H338)/100,"-")</f>
        <v>0.86</v>
      </c>
      <c r="J338">
        <f>COUNTIFS('Audit Raw data'!AM:AM,"Yes",'Audit Raw data'!J:J,B:B,'Audit Raw data'!E:E,'Day wise agent'!G:G)</f>
        <v>1</v>
      </c>
      <c r="K338">
        <f>COUNTIFS('Audit Raw data'!AM:AM,"NO",'Audit Raw data'!J:J,B:B,'Audit Raw data'!E:E,'Day wise agent'!G:G)</f>
        <v>0</v>
      </c>
      <c r="L338" s="12">
        <f t="shared" si="11"/>
        <v>1</v>
      </c>
    </row>
    <row r="339" spans="1:12" x14ac:dyDescent="0.35">
      <c r="A339" t="str">
        <f t="shared" si="10"/>
        <v>SBM65345934</v>
      </c>
      <c r="B339" t="s">
        <v>223</v>
      </c>
      <c r="C339" t="s">
        <v>1480</v>
      </c>
      <c r="D339" s="32">
        <v>45367</v>
      </c>
      <c r="E339" t="s">
        <v>221</v>
      </c>
      <c r="F339" t="str">
        <f>VLOOKUP(B339,'Agent wise'!A:E,5,0)</f>
        <v>Wire-line</v>
      </c>
      <c r="G339" s="32">
        <v>45934</v>
      </c>
      <c r="H339">
        <f>COUNTIFS('Audit Raw data'!J:J,B:B,'Audit Raw data'!E:E,G:G)</f>
        <v>0</v>
      </c>
      <c r="I339" s="44" t="str">
        <f>IFERROR((SUMIFS('Audit Raw data'!BZ:BZ,'Audit Raw data'!J:J,B:B,'Audit Raw data'!E:E,G:G)/H339)/100,"-")</f>
        <v>-</v>
      </c>
      <c r="J339">
        <f>COUNTIFS('Audit Raw data'!AM:AM,"Yes",'Audit Raw data'!J:J,B:B,'Audit Raw data'!E:E,'Day wise agent'!G:G)</f>
        <v>0</v>
      </c>
      <c r="K339">
        <f>COUNTIFS('Audit Raw data'!AM:AM,"NO",'Audit Raw data'!J:J,B:B,'Audit Raw data'!E:E,'Day wise agent'!G:G)</f>
        <v>0</v>
      </c>
      <c r="L339" s="12" t="str">
        <f t="shared" si="11"/>
        <v xml:space="preserve"> </v>
      </c>
    </row>
    <row r="340" spans="1:12" x14ac:dyDescent="0.35">
      <c r="A340" t="str">
        <f t="shared" si="10"/>
        <v>SBM67845934</v>
      </c>
      <c r="B340" t="s">
        <v>548</v>
      </c>
      <c r="C340" t="s">
        <v>1481</v>
      </c>
      <c r="D340" s="32">
        <v>45413</v>
      </c>
      <c r="E340" t="s">
        <v>178</v>
      </c>
      <c r="F340" t="str">
        <f>VLOOKUP(B340,'Agent wise'!A:E,5,0)</f>
        <v>Wireless</v>
      </c>
      <c r="G340" s="32">
        <v>45934</v>
      </c>
      <c r="H340">
        <f>COUNTIFS('Audit Raw data'!J:J,B:B,'Audit Raw data'!E:E,G:G)</f>
        <v>0</v>
      </c>
      <c r="I340" s="44" t="str">
        <f>IFERROR((SUMIFS('Audit Raw data'!BZ:BZ,'Audit Raw data'!J:J,B:B,'Audit Raw data'!E:E,G:G)/H340)/100,"-")</f>
        <v>-</v>
      </c>
      <c r="J340">
        <f>COUNTIFS('Audit Raw data'!AM:AM,"Yes",'Audit Raw data'!J:J,B:B,'Audit Raw data'!E:E,'Day wise agent'!G:G)</f>
        <v>0</v>
      </c>
      <c r="K340">
        <f>COUNTIFS('Audit Raw data'!AM:AM,"NO",'Audit Raw data'!J:J,B:B,'Audit Raw data'!E:E,'Day wise agent'!G:G)</f>
        <v>0</v>
      </c>
      <c r="L340" s="12" t="str">
        <f t="shared" si="11"/>
        <v xml:space="preserve"> </v>
      </c>
    </row>
    <row r="341" spans="1:12" x14ac:dyDescent="0.35">
      <c r="A341" t="str">
        <f t="shared" si="10"/>
        <v>SBM69245934</v>
      </c>
      <c r="B341" t="s">
        <v>85</v>
      </c>
      <c r="C341" t="s">
        <v>1482</v>
      </c>
      <c r="D341" s="32">
        <v>45445</v>
      </c>
      <c r="E341" t="s">
        <v>1453</v>
      </c>
      <c r="F341" t="str">
        <f>VLOOKUP(B341,'Agent wise'!A:E,5,0)</f>
        <v>Wireless</v>
      </c>
      <c r="G341" s="32">
        <v>45934</v>
      </c>
      <c r="H341">
        <f>COUNTIFS('Audit Raw data'!J:J,B:B,'Audit Raw data'!E:E,G:G)</f>
        <v>1</v>
      </c>
      <c r="I341" s="44">
        <f>IFERROR((SUMIFS('Audit Raw data'!BZ:BZ,'Audit Raw data'!J:J,B:B,'Audit Raw data'!E:E,G:G)/H341)/100,"-")</f>
        <v>0.92</v>
      </c>
      <c r="J341">
        <f>COUNTIFS('Audit Raw data'!AM:AM,"Yes",'Audit Raw data'!J:J,B:B,'Audit Raw data'!E:E,'Day wise agent'!G:G)</f>
        <v>1</v>
      </c>
      <c r="K341">
        <f>COUNTIFS('Audit Raw data'!AM:AM,"NO",'Audit Raw data'!J:J,B:B,'Audit Raw data'!E:E,'Day wise agent'!G:G)</f>
        <v>0</v>
      </c>
      <c r="L341" s="12">
        <f t="shared" si="11"/>
        <v>1</v>
      </c>
    </row>
    <row r="342" spans="1:12" x14ac:dyDescent="0.35">
      <c r="A342" t="str">
        <f t="shared" si="10"/>
        <v>SBM70345934</v>
      </c>
      <c r="B342" t="s">
        <v>252</v>
      </c>
      <c r="C342" t="s">
        <v>1483</v>
      </c>
      <c r="D342" s="32">
        <v>45451</v>
      </c>
      <c r="E342" t="s">
        <v>1484</v>
      </c>
      <c r="F342" t="str">
        <f>VLOOKUP(B342,'Agent wise'!A:E,5,0)</f>
        <v>Wireless</v>
      </c>
      <c r="G342" s="32">
        <v>45934</v>
      </c>
      <c r="H342">
        <f>COUNTIFS('Audit Raw data'!J:J,B:B,'Audit Raw data'!E:E,G:G)</f>
        <v>0</v>
      </c>
      <c r="I342" s="44" t="str">
        <f>IFERROR((SUMIFS('Audit Raw data'!BZ:BZ,'Audit Raw data'!J:J,B:B,'Audit Raw data'!E:E,G:G)/H342)/100,"-")</f>
        <v>-</v>
      </c>
      <c r="J342">
        <f>COUNTIFS('Audit Raw data'!AM:AM,"Yes",'Audit Raw data'!J:J,B:B,'Audit Raw data'!E:E,'Day wise agent'!G:G)</f>
        <v>0</v>
      </c>
      <c r="K342">
        <f>COUNTIFS('Audit Raw data'!AM:AM,"NO",'Audit Raw data'!J:J,B:B,'Audit Raw data'!E:E,'Day wise agent'!G:G)</f>
        <v>0</v>
      </c>
      <c r="L342" s="12" t="str">
        <f t="shared" si="11"/>
        <v xml:space="preserve"> </v>
      </c>
    </row>
    <row r="343" spans="1:12" x14ac:dyDescent="0.35">
      <c r="A343" t="str">
        <f t="shared" si="10"/>
        <v>SBM71045934</v>
      </c>
      <c r="B343" t="s">
        <v>552</v>
      </c>
      <c r="C343" t="s">
        <v>1485</v>
      </c>
      <c r="D343" s="32">
        <v>45465</v>
      </c>
      <c r="E343" t="s">
        <v>1484</v>
      </c>
      <c r="F343" t="str">
        <f>VLOOKUP(B343,'Agent wise'!A:E,5,0)</f>
        <v>Wireless</v>
      </c>
      <c r="G343" s="32">
        <v>45934</v>
      </c>
      <c r="H343">
        <f>COUNTIFS('Audit Raw data'!J:J,B:B,'Audit Raw data'!E:E,G:G)</f>
        <v>1</v>
      </c>
      <c r="I343" s="44">
        <f>IFERROR((SUMIFS('Audit Raw data'!BZ:BZ,'Audit Raw data'!J:J,B:B,'Audit Raw data'!E:E,G:G)/H343)/100,"-")</f>
        <v>0.86</v>
      </c>
      <c r="J343">
        <f>COUNTIFS('Audit Raw data'!AM:AM,"Yes",'Audit Raw data'!J:J,B:B,'Audit Raw data'!E:E,'Day wise agent'!G:G)</f>
        <v>1</v>
      </c>
      <c r="K343">
        <f>COUNTIFS('Audit Raw data'!AM:AM,"NO",'Audit Raw data'!J:J,B:B,'Audit Raw data'!E:E,'Day wise agent'!G:G)</f>
        <v>0</v>
      </c>
      <c r="L343" s="12">
        <f t="shared" si="11"/>
        <v>1</v>
      </c>
    </row>
    <row r="344" spans="1:12" x14ac:dyDescent="0.35">
      <c r="A344" t="str">
        <f t="shared" si="10"/>
        <v>SBM71145934</v>
      </c>
      <c r="B344" t="s">
        <v>533</v>
      </c>
      <c r="C344" t="s">
        <v>1486</v>
      </c>
      <c r="D344" s="32">
        <v>45465</v>
      </c>
      <c r="E344" t="s">
        <v>1484</v>
      </c>
      <c r="F344" t="str">
        <f>VLOOKUP(B344,'Agent wise'!A:E,5,0)</f>
        <v>Wireless</v>
      </c>
      <c r="G344" s="32">
        <v>45934</v>
      </c>
      <c r="H344">
        <f>COUNTIFS('Audit Raw data'!J:J,B:B,'Audit Raw data'!E:E,G:G)</f>
        <v>2</v>
      </c>
      <c r="I344" s="44">
        <f>IFERROR((SUMIFS('Audit Raw data'!BZ:BZ,'Audit Raw data'!J:J,B:B,'Audit Raw data'!E:E,G:G)/H344)/100,"-")</f>
        <v>0.94</v>
      </c>
      <c r="J344">
        <f>COUNTIFS('Audit Raw data'!AM:AM,"Yes",'Audit Raw data'!J:J,B:B,'Audit Raw data'!E:E,'Day wise agent'!G:G)</f>
        <v>2</v>
      </c>
      <c r="K344">
        <f>COUNTIFS('Audit Raw data'!AM:AM,"NO",'Audit Raw data'!J:J,B:B,'Audit Raw data'!E:E,'Day wise agent'!G:G)</f>
        <v>0</v>
      </c>
      <c r="L344" s="12">
        <f t="shared" si="11"/>
        <v>1</v>
      </c>
    </row>
    <row r="345" spans="1:12" x14ac:dyDescent="0.35">
      <c r="A345" t="str">
        <f t="shared" si="10"/>
        <v>SBM71845934</v>
      </c>
      <c r="B345" t="s">
        <v>451</v>
      </c>
      <c r="C345" t="s">
        <v>1487</v>
      </c>
      <c r="D345" s="32">
        <v>45491</v>
      </c>
      <c r="E345" t="s">
        <v>1484</v>
      </c>
      <c r="F345" t="str">
        <f>VLOOKUP(B345,'Agent wise'!A:E,5,0)</f>
        <v>Wireless</v>
      </c>
      <c r="G345" s="32">
        <v>45934</v>
      </c>
      <c r="H345">
        <f>COUNTIFS('Audit Raw data'!J:J,B:B,'Audit Raw data'!E:E,G:G)</f>
        <v>0</v>
      </c>
      <c r="I345" s="44" t="str">
        <f>IFERROR((SUMIFS('Audit Raw data'!BZ:BZ,'Audit Raw data'!J:J,B:B,'Audit Raw data'!E:E,G:G)/H345)/100,"-")</f>
        <v>-</v>
      </c>
      <c r="J345">
        <f>COUNTIFS('Audit Raw data'!AM:AM,"Yes",'Audit Raw data'!J:J,B:B,'Audit Raw data'!E:E,'Day wise agent'!G:G)</f>
        <v>0</v>
      </c>
      <c r="K345">
        <f>COUNTIFS('Audit Raw data'!AM:AM,"NO",'Audit Raw data'!J:J,B:B,'Audit Raw data'!E:E,'Day wise agent'!G:G)</f>
        <v>0</v>
      </c>
      <c r="L345" s="12" t="str">
        <f t="shared" si="11"/>
        <v xml:space="preserve"> </v>
      </c>
    </row>
    <row r="346" spans="1:12" x14ac:dyDescent="0.35">
      <c r="A346" t="str">
        <f t="shared" si="10"/>
        <v>SBM72045934</v>
      </c>
      <c r="B346" t="s">
        <v>557</v>
      </c>
      <c r="C346" t="s">
        <v>1488</v>
      </c>
      <c r="D346" s="32">
        <v>45491</v>
      </c>
      <c r="E346" t="s">
        <v>1484</v>
      </c>
      <c r="F346" t="str">
        <f>VLOOKUP(B346,'Agent wise'!A:E,5,0)</f>
        <v>Wireless</v>
      </c>
      <c r="G346" s="32">
        <v>45934</v>
      </c>
      <c r="H346">
        <f>COUNTIFS('Audit Raw data'!J:J,B:B,'Audit Raw data'!E:E,G:G)</f>
        <v>0</v>
      </c>
      <c r="I346" s="44" t="str">
        <f>IFERROR((SUMIFS('Audit Raw data'!BZ:BZ,'Audit Raw data'!J:J,B:B,'Audit Raw data'!E:E,G:G)/H346)/100,"-")</f>
        <v>-</v>
      </c>
      <c r="J346">
        <f>COUNTIFS('Audit Raw data'!AM:AM,"Yes",'Audit Raw data'!J:J,B:B,'Audit Raw data'!E:E,'Day wise agent'!G:G)</f>
        <v>0</v>
      </c>
      <c r="K346">
        <f>COUNTIFS('Audit Raw data'!AM:AM,"NO",'Audit Raw data'!J:J,B:B,'Audit Raw data'!E:E,'Day wise agent'!G:G)</f>
        <v>0</v>
      </c>
      <c r="L346" s="12" t="str">
        <f t="shared" si="11"/>
        <v xml:space="preserve"> </v>
      </c>
    </row>
    <row r="347" spans="1:12" x14ac:dyDescent="0.35">
      <c r="A347" t="str">
        <f t="shared" si="10"/>
        <v>SBM72445934</v>
      </c>
      <c r="B347" t="s">
        <v>144</v>
      </c>
      <c r="C347" t="s">
        <v>1489</v>
      </c>
      <c r="D347" s="32">
        <v>45491</v>
      </c>
      <c r="E347" t="s">
        <v>1484</v>
      </c>
      <c r="F347" t="str">
        <f>VLOOKUP(B347,'Agent wise'!A:E,5,0)</f>
        <v>Wireless</v>
      </c>
      <c r="G347" s="32">
        <v>45934</v>
      </c>
      <c r="H347">
        <f>COUNTIFS('Audit Raw data'!J:J,B:B,'Audit Raw data'!E:E,G:G)</f>
        <v>0</v>
      </c>
      <c r="I347" s="44" t="str">
        <f>IFERROR((SUMIFS('Audit Raw data'!BZ:BZ,'Audit Raw data'!J:J,B:B,'Audit Raw data'!E:E,G:G)/H347)/100,"-")</f>
        <v>-</v>
      </c>
      <c r="J347">
        <f>COUNTIFS('Audit Raw data'!AM:AM,"Yes",'Audit Raw data'!J:J,B:B,'Audit Raw data'!E:E,'Day wise agent'!G:G)</f>
        <v>0</v>
      </c>
      <c r="K347">
        <f>COUNTIFS('Audit Raw data'!AM:AM,"NO",'Audit Raw data'!J:J,B:B,'Audit Raw data'!E:E,'Day wise agent'!G:G)</f>
        <v>0</v>
      </c>
      <c r="L347" s="12" t="str">
        <f t="shared" si="11"/>
        <v xml:space="preserve"> </v>
      </c>
    </row>
    <row r="348" spans="1:12" x14ac:dyDescent="0.35">
      <c r="A348" t="str">
        <f t="shared" si="10"/>
        <v>SBM73445934</v>
      </c>
      <c r="B348" t="s">
        <v>356</v>
      </c>
      <c r="C348" t="s">
        <v>1490</v>
      </c>
      <c r="D348" s="32">
        <v>45497</v>
      </c>
      <c r="E348" t="s">
        <v>221</v>
      </c>
      <c r="F348" t="str">
        <f>VLOOKUP(B348,'Agent wise'!A:E,5,0)</f>
        <v>Wire-line</v>
      </c>
      <c r="G348" s="32">
        <v>45934</v>
      </c>
      <c r="H348">
        <f>COUNTIFS('Audit Raw data'!J:J,B:B,'Audit Raw data'!E:E,G:G)</f>
        <v>0</v>
      </c>
      <c r="I348" s="44" t="str">
        <f>IFERROR((SUMIFS('Audit Raw data'!BZ:BZ,'Audit Raw data'!J:J,B:B,'Audit Raw data'!E:E,G:G)/H348)/100,"-")</f>
        <v>-</v>
      </c>
      <c r="J348">
        <f>COUNTIFS('Audit Raw data'!AM:AM,"Yes",'Audit Raw data'!J:J,B:B,'Audit Raw data'!E:E,'Day wise agent'!G:G)</f>
        <v>0</v>
      </c>
      <c r="K348">
        <f>COUNTIFS('Audit Raw data'!AM:AM,"NO",'Audit Raw data'!J:J,B:B,'Audit Raw data'!E:E,'Day wise agent'!G:G)</f>
        <v>0</v>
      </c>
      <c r="L348" s="12" t="str">
        <f t="shared" si="11"/>
        <v xml:space="preserve"> </v>
      </c>
    </row>
    <row r="349" spans="1:12" x14ac:dyDescent="0.35">
      <c r="A349" t="str">
        <f t="shared" si="10"/>
        <v>SBM73645934</v>
      </c>
      <c r="B349" t="s">
        <v>501</v>
      </c>
      <c r="C349" t="s">
        <v>1491</v>
      </c>
      <c r="D349" s="32">
        <v>45500</v>
      </c>
      <c r="E349" t="s">
        <v>221</v>
      </c>
      <c r="F349" t="str">
        <f>VLOOKUP(B349,'Agent wise'!A:E,5,0)</f>
        <v>Wire-line</v>
      </c>
      <c r="G349" s="32">
        <v>45934</v>
      </c>
      <c r="H349">
        <f>COUNTIFS('Audit Raw data'!J:J,B:B,'Audit Raw data'!E:E,G:G)</f>
        <v>0</v>
      </c>
      <c r="I349" s="44" t="str">
        <f>IFERROR((SUMIFS('Audit Raw data'!BZ:BZ,'Audit Raw data'!J:J,B:B,'Audit Raw data'!E:E,G:G)/H349)/100,"-")</f>
        <v>-</v>
      </c>
      <c r="J349">
        <f>COUNTIFS('Audit Raw data'!AM:AM,"Yes",'Audit Raw data'!J:J,B:B,'Audit Raw data'!E:E,'Day wise agent'!G:G)</f>
        <v>0</v>
      </c>
      <c r="K349">
        <f>COUNTIFS('Audit Raw data'!AM:AM,"NO",'Audit Raw data'!J:J,B:B,'Audit Raw data'!E:E,'Day wise agent'!G:G)</f>
        <v>0</v>
      </c>
      <c r="L349" s="12" t="str">
        <f t="shared" si="11"/>
        <v xml:space="preserve"> </v>
      </c>
    </row>
    <row r="350" spans="1:12" x14ac:dyDescent="0.35">
      <c r="A350" t="str">
        <f t="shared" si="10"/>
        <v>SBM73945934</v>
      </c>
      <c r="B350" t="s">
        <v>559</v>
      </c>
      <c r="C350" t="s">
        <v>1492</v>
      </c>
      <c r="D350" s="32">
        <v>45516</v>
      </c>
      <c r="E350" t="s">
        <v>1484</v>
      </c>
      <c r="F350" t="str">
        <f>VLOOKUP(B350,'Agent wise'!A:E,5,0)</f>
        <v>Wireless</v>
      </c>
      <c r="G350" s="32">
        <v>45934</v>
      </c>
      <c r="H350">
        <f>COUNTIFS('Audit Raw data'!J:J,B:B,'Audit Raw data'!E:E,G:G)</f>
        <v>0</v>
      </c>
      <c r="I350" s="44" t="str">
        <f>IFERROR((SUMIFS('Audit Raw data'!BZ:BZ,'Audit Raw data'!J:J,B:B,'Audit Raw data'!E:E,G:G)/H350)/100,"-")</f>
        <v>-</v>
      </c>
      <c r="J350">
        <f>COUNTIFS('Audit Raw data'!AM:AM,"Yes",'Audit Raw data'!J:J,B:B,'Audit Raw data'!E:E,'Day wise agent'!G:G)</f>
        <v>0</v>
      </c>
      <c r="K350">
        <f>COUNTIFS('Audit Raw data'!AM:AM,"NO",'Audit Raw data'!J:J,B:B,'Audit Raw data'!E:E,'Day wise agent'!G:G)</f>
        <v>0</v>
      </c>
      <c r="L350" s="12" t="str">
        <f t="shared" si="11"/>
        <v xml:space="preserve"> </v>
      </c>
    </row>
    <row r="351" spans="1:12" x14ac:dyDescent="0.35">
      <c r="A351" t="str">
        <f t="shared" si="10"/>
        <v>SBM74445934</v>
      </c>
      <c r="B351" t="s">
        <v>96</v>
      </c>
      <c r="C351" t="s">
        <v>1493</v>
      </c>
      <c r="D351" s="32">
        <v>45516</v>
      </c>
      <c r="E351" t="s">
        <v>1484</v>
      </c>
      <c r="F351" t="str">
        <f>VLOOKUP(B351,'Agent wise'!A:E,5,0)</f>
        <v>Wireless</v>
      </c>
      <c r="G351" s="32">
        <v>45934</v>
      </c>
      <c r="H351">
        <f>COUNTIFS('Audit Raw data'!J:J,B:B,'Audit Raw data'!E:E,G:G)</f>
        <v>2</v>
      </c>
      <c r="I351" s="44">
        <f>IFERROR((SUMIFS('Audit Raw data'!BZ:BZ,'Audit Raw data'!J:J,B:B,'Audit Raw data'!E:E,G:G)/H351)/100,"-")</f>
        <v>1</v>
      </c>
      <c r="J351">
        <f>COUNTIFS('Audit Raw data'!AM:AM,"Yes",'Audit Raw data'!J:J,B:B,'Audit Raw data'!E:E,'Day wise agent'!G:G)</f>
        <v>2</v>
      </c>
      <c r="K351">
        <f>COUNTIFS('Audit Raw data'!AM:AM,"NO",'Audit Raw data'!J:J,B:B,'Audit Raw data'!E:E,'Day wise agent'!G:G)</f>
        <v>0</v>
      </c>
      <c r="L351" s="12">
        <f t="shared" si="11"/>
        <v>1</v>
      </c>
    </row>
    <row r="352" spans="1:12" x14ac:dyDescent="0.35">
      <c r="A352" t="str">
        <f t="shared" si="10"/>
        <v>SBM75545934</v>
      </c>
      <c r="B352" t="s">
        <v>409</v>
      </c>
      <c r="C352" t="s">
        <v>1494</v>
      </c>
      <c r="D352" s="32">
        <v>45518</v>
      </c>
      <c r="E352" t="s">
        <v>221</v>
      </c>
      <c r="F352" t="str">
        <f>VLOOKUP(B352,'Agent wise'!A:E,5,0)</f>
        <v>Wire-line</v>
      </c>
      <c r="G352" s="32">
        <v>45934</v>
      </c>
      <c r="H352">
        <f>COUNTIFS('Audit Raw data'!J:J,B:B,'Audit Raw data'!E:E,G:G)</f>
        <v>0</v>
      </c>
      <c r="I352" s="44" t="str">
        <f>IFERROR((SUMIFS('Audit Raw data'!BZ:BZ,'Audit Raw data'!J:J,B:B,'Audit Raw data'!E:E,G:G)/H352)/100,"-")</f>
        <v>-</v>
      </c>
      <c r="J352">
        <f>COUNTIFS('Audit Raw data'!AM:AM,"Yes",'Audit Raw data'!J:J,B:B,'Audit Raw data'!E:E,'Day wise agent'!G:G)</f>
        <v>0</v>
      </c>
      <c r="K352">
        <f>COUNTIFS('Audit Raw data'!AM:AM,"NO",'Audit Raw data'!J:J,B:B,'Audit Raw data'!E:E,'Day wise agent'!G:G)</f>
        <v>0</v>
      </c>
      <c r="L352" s="12" t="str">
        <f t="shared" si="11"/>
        <v xml:space="preserve"> </v>
      </c>
    </row>
    <row r="353" spans="1:12" x14ac:dyDescent="0.35">
      <c r="A353" t="str">
        <f t="shared" si="10"/>
        <v>SBM75845934</v>
      </c>
      <c r="B353" t="s">
        <v>420</v>
      </c>
      <c r="C353" t="s">
        <v>1502</v>
      </c>
      <c r="D353" s="32">
        <v>45518</v>
      </c>
      <c r="E353" t="s">
        <v>221</v>
      </c>
      <c r="F353" t="str">
        <f>VLOOKUP(B353,'Agent wise'!A:E,5,0)</f>
        <v>Wire-line</v>
      </c>
      <c r="G353" s="32">
        <v>45934</v>
      </c>
      <c r="H353">
        <f>COUNTIFS('Audit Raw data'!J:J,B:B,'Audit Raw data'!E:E,G:G)</f>
        <v>0</v>
      </c>
      <c r="I353" s="44" t="str">
        <f>IFERROR((SUMIFS('Audit Raw data'!BZ:BZ,'Audit Raw data'!J:J,B:B,'Audit Raw data'!E:E,G:G)/H353)/100,"-")</f>
        <v>-</v>
      </c>
      <c r="J353">
        <f>COUNTIFS('Audit Raw data'!AM:AM,"Yes",'Audit Raw data'!J:J,B:B,'Audit Raw data'!E:E,'Day wise agent'!G:G)</f>
        <v>0</v>
      </c>
      <c r="K353">
        <f>COUNTIFS('Audit Raw data'!AM:AM,"NO",'Audit Raw data'!J:J,B:B,'Audit Raw data'!E:E,'Day wise agent'!G:G)</f>
        <v>0</v>
      </c>
      <c r="L353" s="12" t="str">
        <f t="shared" si="11"/>
        <v xml:space="preserve"> </v>
      </c>
    </row>
    <row r="354" spans="1:12" x14ac:dyDescent="0.35">
      <c r="A354" t="str">
        <f t="shared" si="10"/>
        <v>SBM76745934</v>
      </c>
      <c r="B354" t="s">
        <v>442</v>
      </c>
      <c r="C354" t="s">
        <v>1495</v>
      </c>
      <c r="D354" s="32">
        <v>45520</v>
      </c>
      <c r="E354" t="s">
        <v>107</v>
      </c>
      <c r="F354" t="str">
        <f>VLOOKUP(B354,'Agent wise'!A:E,5,0)</f>
        <v>Wireless</v>
      </c>
      <c r="G354" s="32">
        <v>45934</v>
      </c>
      <c r="H354">
        <f>COUNTIFS('Audit Raw data'!J:J,B:B,'Audit Raw data'!E:E,G:G)</f>
        <v>0</v>
      </c>
      <c r="I354" s="44" t="str">
        <f>IFERROR((SUMIFS('Audit Raw data'!BZ:BZ,'Audit Raw data'!J:J,B:B,'Audit Raw data'!E:E,G:G)/H354)/100,"-")</f>
        <v>-</v>
      </c>
      <c r="J354">
        <f>COUNTIFS('Audit Raw data'!AM:AM,"Yes",'Audit Raw data'!J:J,B:B,'Audit Raw data'!E:E,'Day wise agent'!G:G)</f>
        <v>0</v>
      </c>
      <c r="K354">
        <f>COUNTIFS('Audit Raw data'!AM:AM,"NO",'Audit Raw data'!J:J,B:B,'Audit Raw data'!E:E,'Day wise agent'!G:G)</f>
        <v>0</v>
      </c>
      <c r="L354" s="12" t="str">
        <f t="shared" si="11"/>
        <v xml:space="preserve"> </v>
      </c>
    </row>
    <row r="355" spans="1:12" x14ac:dyDescent="0.35">
      <c r="A355" t="str">
        <f t="shared" si="10"/>
        <v>SBM77245934</v>
      </c>
      <c r="B355" t="s">
        <v>640</v>
      </c>
      <c r="C355" t="s">
        <v>1497</v>
      </c>
      <c r="D355" s="32">
        <v>45528</v>
      </c>
      <c r="E355" t="s">
        <v>178</v>
      </c>
      <c r="F355" t="str">
        <f>VLOOKUP(B355,'Agent wise'!A:E,5,0)</f>
        <v>Wireless</v>
      </c>
      <c r="G355" s="32">
        <v>45934</v>
      </c>
      <c r="H355">
        <f>COUNTIFS('Audit Raw data'!J:J,B:B,'Audit Raw data'!E:E,G:G)</f>
        <v>1</v>
      </c>
      <c r="I355" s="44">
        <f>IFERROR((SUMIFS('Audit Raw data'!BZ:BZ,'Audit Raw data'!J:J,B:B,'Audit Raw data'!E:E,G:G)/H355)/100,"-")</f>
        <v>0.9</v>
      </c>
      <c r="J355">
        <f>COUNTIFS('Audit Raw data'!AM:AM,"Yes",'Audit Raw data'!J:J,B:B,'Audit Raw data'!E:E,'Day wise agent'!G:G)</f>
        <v>1</v>
      </c>
      <c r="K355">
        <f>COUNTIFS('Audit Raw data'!AM:AM,"NO",'Audit Raw data'!J:J,B:B,'Audit Raw data'!E:E,'Day wise agent'!G:G)</f>
        <v>0</v>
      </c>
      <c r="L355" s="12">
        <f t="shared" si="11"/>
        <v>1</v>
      </c>
    </row>
    <row r="356" spans="1:12" x14ac:dyDescent="0.35">
      <c r="A356" t="str">
        <f t="shared" si="10"/>
        <v>SBM77345934</v>
      </c>
      <c r="B356" t="s">
        <v>464</v>
      </c>
      <c r="C356" t="s">
        <v>1496</v>
      </c>
      <c r="D356" s="32">
        <v>45526</v>
      </c>
      <c r="E356" t="s">
        <v>178</v>
      </c>
      <c r="F356" t="str">
        <f>VLOOKUP(B356,'Agent wise'!A:E,5,0)</f>
        <v>Wireless</v>
      </c>
      <c r="G356" s="32">
        <v>45934</v>
      </c>
      <c r="H356">
        <f>COUNTIFS('Audit Raw data'!J:J,B:B,'Audit Raw data'!E:E,G:G)</f>
        <v>0</v>
      </c>
      <c r="I356" s="44" t="str">
        <f>IFERROR((SUMIFS('Audit Raw data'!BZ:BZ,'Audit Raw data'!J:J,B:B,'Audit Raw data'!E:E,G:G)/H356)/100,"-")</f>
        <v>-</v>
      </c>
      <c r="J356">
        <f>COUNTIFS('Audit Raw data'!AM:AM,"Yes",'Audit Raw data'!J:J,B:B,'Audit Raw data'!E:E,'Day wise agent'!G:G)</f>
        <v>0</v>
      </c>
      <c r="K356">
        <f>COUNTIFS('Audit Raw data'!AM:AM,"NO",'Audit Raw data'!J:J,B:B,'Audit Raw data'!E:E,'Day wise agent'!G:G)</f>
        <v>0</v>
      </c>
      <c r="L356" s="12" t="str">
        <f t="shared" si="11"/>
        <v xml:space="preserve"> </v>
      </c>
    </row>
    <row r="357" spans="1:12" x14ac:dyDescent="0.35">
      <c r="A357" t="str">
        <f t="shared" si="10"/>
        <v>SBM77545934</v>
      </c>
      <c r="B357" t="s">
        <v>643</v>
      </c>
      <c r="C357" t="s">
        <v>1498</v>
      </c>
      <c r="D357" s="32">
        <v>45535</v>
      </c>
      <c r="E357" t="s">
        <v>1484</v>
      </c>
      <c r="F357" t="str">
        <f>VLOOKUP(B357,'Agent wise'!A:E,5,0)</f>
        <v>Wireless</v>
      </c>
      <c r="G357" s="32">
        <v>45934</v>
      </c>
      <c r="H357">
        <f>COUNTIFS('Audit Raw data'!J:J,B:B,'Audit Raw data'!E:E,G:G)</f>
        <v>1</v>
      </c>
      <c r="I357" s="44">
        <f>IFERROR((SUMIFS('Audit Raw data'!BZ:BZ,'Audit Raw data'!J:J,B:B,'Audit Raw data'!E:E,G:G)/H357)/100,"-")</f>
        <v>0.96</v>
      </c>
      <c r="J357">
        <f>COUNTIFS('Audit Raw data'!AM:AM,"Yes",'Audit Raw data'!J:J,B:B,'Audit Raw data'!E:E,'Day wise agent'!G:G)</f>
        <v>1</v>
      </c>
      <c r="K357">
        <f>COUNTIFS('Audit Raw data'!AM:AM,"NO",'Audit Raw data'!J:J,B:B,'Audit Raw data'!E:E,'Day wise agent'!G:G)</f>
        <v>0</v>
      </c>
      <c r="L357" s="12">
        <f t="shared" si="11"/>
        <v>1</v>
      </c>
    </row>
    <row r="358" spans="1:12" x14ac:dyDescent="0.35">
      <c r="A358" t="str">
        <f t="shared" si="10"/>
        <v>SBM79245934</v>
      </c>
      <c r="B358" t="s">
        <v>179</v>
      </c>
      <c r="C358" t="s">
        <v>1499</v>
      </c>
      <c r="D358" s="32">
        <v>45545</v>
      </c>
      <c r="E358" t="s">
        <v>178</v>
      </c>
      <c r="F358" t="str">
        <f>VLOOKUP(B358,'Agent wise'!A:E,5,0)</f>
        <v>Wireless</v>
      </c>
      <c r="G358" s="32">
        <v>45934</v>
      </c>
      <c r="H358">
        <f>COUNTIFS('Audit Raw data'!J:J,B:B,'Audit Raw data'!E:E,G:G)</f>
        <v>1</v>
      </c>
      <c r="I358" s="44">
        <f>IFERROR((SUMIFS('Audit Raw data'!BZ:BZ,'Audit Raw data'!J:J,B:B,'Audit Raw data'!E:E,G:G)/H358)/100,"-")</f>
        <v>0.94</v>
      </c>
      <c r="J358">
        <f>COUNTIFS('Audit Raw data'!AM:AM,"Yes",'Audit Raw data'!J:J,B:B,'Audit Raw data'!E:E,'Day wise agent'!G:G)</f>
        <v>1</v>
      </c>
      <c r="K358">
        <f>COUNTIFS('Audit Raw data'!AM:AM,"NO",'Audit Raw data'!J:J,B:B,'Audit Raw data'!E:E,'Day wise agent'!G:G)</f>
        <v>0</v>
      </c>
      <c r="L358" s="12">
        <f t="shared" si="11"/>
        <v>1</v>
      </c>
    </row>
    <row r="359" spans="1:12" x14ac:dyDescent="0.35">
      <c r="A359" t="str">
        <f t="shared" si="10"/>
        <v>SBM79445934</v>
      </c>
      <c r="B359" t="s">
        <v>246</v>
      </c>
      <c r="C359" t="s">
        <v>1500</v>
      </c>
      <c r="D359" s="32">
        <v>45550</v>
      </c>
      <c r="E359" t="s">
        <v>221</v>
      </c>
      <c r="F359" t="str">
        <f>VLOOKUP(B359,'Agent wise'!A:E,5,0)</f>
        <v>Wire-line</v>
      </c>
      <c r="G359" s="32">
        <v>45934</v>
      </c>
      <c r="H359">
        <f>COUNTIFS('Audit Raw data'!J:J,B:B,'Audit Raw data'!E:E,G:G)</f>
        <v>0</v>
      </c>
      <c r="I359" s="44" t="str">
        <f>IFERROR((SUMIFS('Audit Raw data'!BZ:BZ,'Audit Raw data'!J:J,B:B,'Audit Raw data'!E:E,G:G)/H359)/100,"-")</f>
        <v>-</v>
      </c>
      <c r="J359">
        <f>COUNTIFS('Audit Raw data'!AM:AM,"Yes",'Audit Raw data'!J:J,B:B,'Audit Raw data'!E:E,'Day wise agent'!G:G)</f>
        <v>0</v>
      </c>
      <c r="K359">
        <f>COUNTIFS('Audit Raw data'!AM:AM,"NO",'Audit Raw data'!J:J,B:B,'Audit Raw data'!E:E,'Day wise agent'!G:G)</f>
        <v>0</v>
      </c>
      <c r="L359" s="12" t="str">
        <f t="shared" si="11"/>
        <v xml:space="preserve"> </v>
      </c>
    </row>
    <row r="360" spans="1:12" x14ac:dyDescent="0.35">
      <c r="A360" t="str">
        <f t="shared" si="10"/>
        <v>SBM90145934</v>
      </c>
      <c r="B360" t="s">
        <v>646</v>
      </c>
      <c r="C360" t="s">
        <v>1501</v>
      </c>
      <c r="D360" s="32">
        <v>45564</v>
      </c>
      <c r="E360" t="s">
        <v>1484</v>
      </c>
      <c r="F360" t="str">
        <f>VLOOKUP(B360,'Agent wise'!A:E,5,0)</f>
        <v>Wireless</v>
      </c>
      <c r="G360" s="32">
        <v>45934</v>
      </c>
      <c r="H360">
        <f>COUNTIFS('Audit Raw data'!J:J,B:B,'Audit Raw data'!E:E,G:G)</f>
        <v>1</v>
      </c>
      <c r="I360" s="44">
        <f>IFERROR((SUMIFS('Audit Raw data'!BZ:BZ,'Audit Raw data'!J:J,B:B,'Audit Raw data'!E:E,G:G)/H360)/100,"-")</f>
        <v>0.94</v>
      </c>
      <c r="J360">
        <f>COUNTIFS('Audit Raw data'!AM:AM,"Yes",'Audit Raw data'!J:J,B:B,'Audit Raw data'!E:E,'Day wise agent'!G:G)</f>
        <v>1</v>
      </c>
      <c r="K360">
        <f>COUNTIFS('Audit Raw data'!AM:AM,"NO",'Audit Raw data'!J:J,B:B,'Audit Raw data'!E:E,'Day wise agent'!G:G)</f>
        <v>0</v>
      </c>
      <c r="L360" s="12">
        <f t="shared" si="11"/>
        <v>1</v>
      </c>
    </row>
    <row r="361" spans="1:12" x14ac:dyDescent="0.35">
      <c r="A361" t="str">
        <f t="shared" si="10"/>
        <v>SBM91345934</v>
      </c>
      <c r="B361" t="s">
        <v>650</v>
      </c>
      <c r="C361" t="s">
        <v>1503</v>
      </c>
      <c r="D361" s="32">
        <v>45589</v>
      </c>
      <c r="E361" t="s">
        <v>178</v>
      </c>
      <c r="F361" t="str">
        <f>VLOOKUP(B361,'Agent wise'!A:E,5,0)</f>
        <v>Wireless</v>
      </c>
      <c r="G361" s="32">
        <v>45934</v>
      </c>
      <c r="H361">
        <f>COUNTIFS('Audit Raw data'!J:J,B:B,'Audit Raw data'!E:E,G:G)</f>
        <v>1</v>
      </c>
      <c r="I361" s="44">
        <f>IFERROR((SUMIFS('Audit Raw data'!BZ:BZ,'Audit Raw data'!J:J,B:B,'Audit Raw data'!E:E,G:G)/H361)/100,"-")</f>
        <v>0.92</v>
      </c>
      <c r="J361">
        <f>COUNTIFS('Audit Raw data'!AM:AM,"Yes",'Audit Raw data'!J:J,B:B,'Audit Raw data'!E:E,'Day wise agent'!G:G)</f>
        <v>1</v>
      </c>
      <c r="K361">
        <f>COUNTIFS('Audit Raw data'!AM:AM,"NO",'Audit Raw data'!J:J,B:B,'Audit Raw data'!E:E,'Day wise agent'!G:G)</f>
        <v>0</v>
      </c>
      <c r="L361" s="12">
        <f t="shared" si="11"/>
        <v>1</v>
      </c>
    </row>
    <row r="362" spans="1:12" x14ac:dyDescent="0.35">
      <c r="A362" t="str">
        <f t="shared" si="10"/>
        <v>SBM94645934</v>
      </c>
      <c r="B362" t="s">
        <v>653</v>
      </c>
      <c r="C362" t="s">
        <v>1505</v>
      </c>
      <c r="D362" s="32">
        <v>45635</v>
      </c>
      <c r="E362" t="s">
        <v>1453</v>
      </c>
      <c r="F362" t="str">
        <f>VLOOKUP(B362,'Agent wise'!A:E,5,0)</f>
        <v>Wireless</v>
      </c>
      <c r="G362" s="32">
        <v>45934</v>
      </c>
      <c r="H362">
        <f>COUNTIFS('Audit Raw data'!J:J,B:B,'Audit Raw data'!E:E,G:G)</f>
        <v>2</v>
      </c>
      <c r="I362" s="44">
        <f>IFERROR((SUMIFS('Audit Raw data'!BZ:BZ,'Audit Raw data'!J:J,B:B,'Audit Raw data'!E:E,G:G)/H362)/100,"-")</f>
        <v>0.96</v>
      </c>
      <c r="J362">
        <f>COUNTIFS('Audit Raw data'!AM:AM,"Yes",'Audit Raw data'!J:J,B:B,'Audit Raw data'!E:E,'Day wise agent'!G:G)</f>
        <v>2</v>
      </c>
      <c r="K362">
        <f>COUNTIFS('Audit Raw data'!AM:AM,"NO",'Audit Raw data'!J:J,B:B,'Audit Raw data'!E:E,'Day wise agent'!G:G)</f>
        <v>0</v>
      </c>
      <c r="L362" s="12">
        <f t="shared" si="11"/>
        <v>1</v>
      </c>
    </row>
    <row r="363" spans="1:12" x14ac:dyDescent="0.35">
      <c r="A363" t="str">
        <f t="shared" si="10"/>
        <v>SBM95845934</v>
      </c>
      <c r="B363" t="s">
        <v>124</v>
      </c>
      <c r="C363" t="s">
        <v>1508</v>
      </c>
      <c r="D363" s="32">
        <v>45641</v>
      </c>
      <c r="E363" t="s">
        <v>1453</v>
      </c>
      <c r="F363" t="str">
        <f>VLOOKUP(B363,'Agent wise'!A:E,5,0)</f>
        <v>Wireless</v>
      </c>
      <c r="G363" s="32">
        <v>45934</v>
      </c>
      <c r="H363">
        <f>COUNTIFS('Audit Raw data'!J:J,B:B,'Audit Raw data'!E:E,G:G)</f>
        <v>2</v>
      </c>
      <c r="I363" s="44">
        <f>IFERROR((SUMIFS('Audit Raw data'!BZ:BZ,'Audit Raw data'!J:J,B:B,'Audit Raw data'!E:E,G:G)/H363)/100,"-")</f>
        <v>0.81</v>
      </c>
      <c r="J363">
        <f>COUNTIFS('Audit Raw data'!AM:AM,"Yes",'Audit Raw data'!J:J,B:B,'Audit Raw data'!E:E,'Day wise agent'!G:G)</f>
        <v>2</v>
      </c>
      <c r="K363">
        <f>COUNTIFS('Audit Raw data'!AM:AM,"NO",'Audit Raw data'!J:J,B:B,'Audit Raw data'!E:E,'Day wise agent'!G:G)</f>
        <v>0</v>
      </c>
      <c r="L363" s="12">
        <f t="shared" si="11"/>
        <v>1</v>
      </c>
    </row>
    <row r="364" spans="1:12" x14ac:dyDescent="0.35">
      <c r="A364" t="str">
        <f t="shared" si="10"/>
        <v>SBM96345934</v>
      </c>
      <c r="B364" t="s">
        <v>149</v>
      </c>
      <c r="C364" t="s">
        <v>1506</v>
      </c>
      <c r="D364" s="32">
        <v>45637</v>
      </c>
      <c r="E364" t="s">
        <v>107</v>
      </c>
      <c r="F364" t="str">
        <f>VLOOKUP(B364,'Agent wise'!A:E,5,0)</f>
        <v>Wireless</v>
      </c>
      <c r="G364" s="32">
        <v>45934</v>
      </c>
      <c r="H364">
        <f>COUNTIFS('Audit Raw data'!J:J,B:B,'Audit Raw data'!E:E,G:G)</f>
        <v>1</v>
      </c>
      <c r="I364" s="44">
        <f>IFERROR((SUMIFS('Audit Raw data'!BZ:BZ,'Audit Raw data'!J:J,B:B,'Audit Raw data'!E:E,G:G)/H364)/100,"-")</f>
        <v>0.88</v>
      </c>
      <c r="J364">
        <f>COUNTIFS('Audit Raw data'!AM:AM,"Yes",'Audit Raw data'!J:J,B:B,'Audit Raw data'!E:E,'Day wise agent'!G:G)</f>
        <v>1</v>
      </c>
      <c r="K364">
        <f>COUNTIFS('Audit Raw data'!AM:AM,"NO",'Audit Raw data'!J:J,B:B,'Audit Raw data'!E:E,'Day wise agent'!G:G)</f>
        <v>0</v>
      </c>
      <c r="L364" s="12">
        <f t="shared" si="11"/>
        <v>1</v>
      </c>
    </row>
    <row r="365" spans="1:12" x14ac:dyDescent="0.35">
      <c r="A365" t="str">
        <f t="shared" si="10"/>
        <v>SBM96745934</v>
      </c>
      <c r="B365" t="s">
        <v>657</v>
      </c>
      <c r="C365" t="s">
        <v>1507</v>
      </c>
      <c r="D365" s="32">
        <v>45640</v>
      </c>
      <c r="E365" t="s">
        <v>1453</v>
      </c>
      <c r="F365" t="str">
        <f>VLOOKUP(B365,'Agent wise'!A:E,5,0)</f>
        <v>Wireless</v>
      </c>
      <c r="G365" s="32">
        <v>45934</v>
      </c>
      <c r="H365">
        <f>COUNTIFS('Audit Raw data'!J:J,B:B,'Audit Raw data'!E:E,G:G)</f>
        <v>2</v>
      </c>
      <c r="I365" s="44">
        <f>IFERROR((SUMIFS('Audit Raw data'!BZ:BZ,'Audit Raw data'!J:J,B:B,'Audit Raw data'!E:E,G:G)/H365)/100,"-")</f>
        <v>0.89</v>
      </c>
      <c r="J365">
        <f>COUNTIFS('Audit Raw data'!AM:AM,"Yes",'Audit Raw data'!J:J,B:B,'Audit Raw data'!E:E,'Day wise agent'!G:G)</f>
        <v>2</v>
      </c>
      <c r="K365">
        <f>COUNTIFS('Audit Raw data'!AM:AM,"NO",'Audit Raw data'!J:J,B:B,'Audit Raw data'!E:E,'Day wise agent'!G:G)</f>
        <v>0</v>
      </c>
      <c r="L365" s="12">
        <f t="shared" si="11"/>
        <v>1</v>
      </c>
    </row>
    <row r="366" spans="1:12" x14ac:dyDescent="0.35">
      <c r="A366" t="str">
        <f t="shared" si="10"/>
        <v>SBM98345934</v>
      </c>
      <c r="B366" t="s">
        <v>1509</v>
      </c>
      <c r="C366" t="s">
        <v>1510</v>
      </c>
      <c r="D366" s="32">
        <v>45659</v>
      </c>
      <c r="E366" t="s">
        <v>1484</v>
      </c>
      <c r="F366" t="str">
        <f>VLOOKUP(B366,'Agent wise'!A:E,5,0)</f>
        <v>Wireless</v>
      </c>
      <c r="G366" s="32">
        <v>45934</v>
      </c>
      <c r="H366">
        <f>COUNTIFS('Audit Raw data'!J:J,B:B,'Audit Raw data'!E:E,G:G)</f>
        <v>0</v>
      </c>
      <c r="I366" s="44" t="str">
        <f>IFERROR((SUMIFS('Audit Raw data'!BZ:BZ,'Audit Raw data'!J:J,B:B,'Audit Raw data'!E:E,G:G)/H366)/100,"-")</f>
        <v>-</v>
      </c>
      <c r="J366">
        <f>COUNTIFS('Audit Raw data'!AM:AM,"Yes",'Audit Raw data'!J:J,B:B,'Audit Raw data'!E:E,'Day wise agent'!G:G)</f>
        <v>0</v>
      </c>
      <c r="K366">
        <f>COUNTIFS('Audit Raw data'!AM:AM,"NO",'Audit Raw data'!J:J,B:B,'Audit Raw data'!E:E,'Day wise agent'!G:G)</f>
        <v>0</v>
      </c>
      <c r="L366" s="12" t="str">
        <f t="shared" si="11"/>
        <v xml:space="preserve"> </v>
      </c>
    </row>
    <row r="367" spans="1:12" x14ac:dyDescent="0.35">
      <c r="A367" t="str">
        <f t="shared" si="10"/>
        <v>SBM99045934</v>
      </c>
      <c r="B367" t="s">
        <v>660</v>
      </c>
      <c r="C367" t="s">
        <v>1512</v>
      </c>
      <c r="D367" s="32">
        <v>45663</v>
      </c>
      <c r="E367" t="s">
        <v>178</v>
      </c>
      <c r="F367" t="str">
        <f>VLOOKUP(B367,'Agent wise'!A:E,5,0)</f>
        <v>Wireless</v>
      </c>
      <c r="G367" s="32">
        <v>45934</v>
      </c>
      <c r="H367">
        <f>COUNTIFS('Audit Raw data'!J:J,B:B,'Audit Raw data'!E:E,G:G)</f>
        <v>1</v>
      </c>
      <c r="I367" s="44">
        <f>IFERROR((SUMIFS('Audit Raw data'!BZ:BZ,'Audit Raw data'!J:J,B:B,'Audit Raw data'!E:E,G:G)/H367)/100,"-")</f>
        <v>1</v>
      </c>
      <c r="J367">
        <f>COUNTIFS('Audit Raw data'!AM:AM,"Yes",'Audit Raw data'!J:J,B:B,'Audit Raw data'!E:E,'Day wise agent'!G:G)</f>
        <v>1</v>
      </c>
      <c r="K367">
        <f>COUNTIFS('Audit Raw data'!AM:AM,"NO",'Audit Raw data'!J:J,B:B,'Audit Raw data'!E:E,'Day wise agent'!G:G)</f>
        <v>0</v>
      </c>
      <c r="L367" s="12">
        <f t="shared" si="11"/>
        <v>1</v>
      </c>
    </row>
    <row r="368" spans="1:12" x14ac:dyDescent="0.35">
      <c r="A368" t="str">
        <f t="shared" si="10"/>
        <v>VPS10645934</v>
      </c>
      <c r="B368" t="s">
        <v>1513</v>
      </c>
      <c r="C368" t="s">
        <v>1514</v>
      </c>
      <c r="D368" s="32">
        <v>45674</v>
      </c>
      <c r="E368" t="s">
        <v>1456</v>
      </c>
      <c r="F368" t="str">
        <f>VLOOKUP(B368,'Agent wise'!A:E,5,0)</f>
        <v>RECL</v>
      </c>
      <c r="G368" s="32">
        <v>45934</v>
      </c>
      <c r="H368">
        <f>COUNTIFS('Audit Raw data'!J:J,B:B,'Audit Raw data'!E:E,G:G)</f>
        <v>0</v>
      </c>
      <c r="I368" s="44" t="str">
        <f>IFERROR((SUMIFS('Audit Raw data'!BZ:BZ,'Audit Raw data'!J:J,B:B,'Audit Raw data'!E:E,G:G)/H368)/100,"-")</f>
        <v>-</v>
      </c>
      <c r="J368">
        <f>COUNTIFS('Audit Raw data'!AM:AM,"Yes",'Audit Raw data'!J:J,B:B,'Audit Raw data'!E:E,'Day wise agent'!G:G)</f>
        <v>0</v>
      </c>
      <c r="K368">
        <f>COUNTIFS('Audit Raw data'!AM:AM,"NO",'Audit Raw data'!J:J,B:B,'Audit Raw data'!E:E,'Day wise agent'!G:G)</f>
        <v>0</v>
      </c>
      <c r="L368" s="12" t="str">
        <f t="shared" si="11"/>
        <v xml:space="preserve"> </v>
      </c>
    </row>
    <row r="369" spans="1:12" x14ac:dyDescent="0.35">
      <c r="A369" t="str">
        <f t="shared" si="10"/>
        <v>VPS11145934</v>
      </c>
      <c r="B369" t="s">
        <v>108</v>
      </c>
      <c r="C369" t="s">
        <v>1515</v>
      </c>
      <c r="D369" s="32">
        <v>45675</v>
      </c>
      <c r="E369" t="s">
        <v>1484</v>
      </c>
      <c r="F369" t="str">
        <f>VLOOKUP(B369,'Agent wise'!A:E,5,0)</f>
        <v>Wireless</v>
      </c>
      <c r="G369" s="32">
        <v>45934</v>
      </c>
      <c r="H369">
        <f>COUNTIFS('Audit Raw data'!J:J,B:B,'Audit Raw data'!E:E,G:G)</f>
        <v>1</v>
      </c>
      <c r="I369" s="44">
        <f>IFERROR((SUMIFS('Audit Raw data'!BZ:BZ,'Audit Raw data'!J:J,B:B,'Audit Raw data'!E:E,G:G)/H369)/100,"-")</f>
        <v>0.88</v>
      </c>
      <c r="J369">
        <f>COUNTIFS('Audit Raw data'!AM:AM,"Yes",'Audit Raw data'!J:J,B:B,'Audit Raw data'!E:E,'Day wise agent'!G:G)</f>
        <v>1</v>
      </c>
      <c r="K369">
        <f>COUNTIFS('Audit Raw data'!AM:AM,"NO",'Audit Raw data'!J:J,B:B,'Audit Raw data'!E:E,'Day wise agent'!G:G)</f>
        <v>0</v>
      </c>
      <c r="L369" s="12">
        <f t="shared" si="11"/>
        <v>1</v>
      </c>
    </row>
    <row r="370" spans="1:12" x14ac:dyDescent="0.35">
      <c r="A370" t="str">
        <f t="shared" si="10"/>
        <v>VPS12045934</v>
      </c>
      <c r="B370" t="s">
        <v>263</v>
      </c>
      <c r="C370" t="s">
        <v>1516</v>
      </c>
      <c r="D370" s="32">
        <v>45690</v>
      </c>
      <c r="E370" t="s">
        <v>178</v>
      </c>
      <c r="F370" t="str">
        <f>VLOOKUP(B370,'Agent wise'!A:E,5,0)</f>
        <v>Wireless</v>
      </c>
      <c r="G370" s="32">
        <v>45934</v>
      </c>
      <c r="H370">
        <f>COUNTIFS('Audit Raw data'!J:J,B:B,'Audit Raw data'!E:E,G:G)</f>
        <v>0</v>
      </c>
      <c r="I370" s="44" t="str">
        <f>IFERROR((SUMIFS('Audit Raw data'!BZ:BZ,'Audit Raw data'!J:J,B:B,'Audit Raw data'!E:E,G:G)/H370)/100,"-")</f>
        <v>-</v>
      </c>
      <c r="J370">
        <f>COUNTIFS('Audit Raw data'!AM:AM,"Yes",'Audit Raw data'!J:J,B:B,'Audit Raw data'!E:E,'Day wise agent'!G:G)</f>
        <v>0</v>
      </c>
      <c r="K370">
        <f>COUNTIFS('Audit Raw data'!AM:AM,"NO",'Audit Raw data'!J:J,B:B,'Audit Raw data'!E:E,'Day wise agent'!G:G)</f>
        <v>0</v>
      </c>
      <c r="L370" s="12" t="str">
        <f t="shared" si="11"/>
        <v xml:space="preserve"> </v>
      </c>
    </row>
    <row r="371" spans="1:12" x14ac:dyDescent="0.35">
      <c r="A371" t="str">
        <f t="shared" si="10"/>
        <v>VPS12445934</v>
      </c>
      <c r="B371" t="s">
        <v>1517</v>
      </c>
      <c r="C371" t="s">
        <v>1518</v>
      </c>
      <c r="D371" s="32">
        <v>45705</v>
      </c>
      <c r="E371" t="s">
        <v>1456</v>
      </c>
      <c r="F371" t="str">
        <f>VLOOKUP(B371,'Agent wise'!A:E,5,0)</f>
        <v>RECL</v>
      </c>
      <c r="G371" s="32">
        <v>45934</v>
      </c>
      <c r="H371">
        <f>COUNTIFS('Audit Raw data'!J:J,B:B,'Audit Raw data'!E:E,G:G)</f>
        <v>0</v>
      </c>
      <c r="I371" s="44" t="str">
        <f>IFERROR((SUMIFS('Audit Raw data'!BZ:BZ,'Audit Raw data'!J:J,B:B,'Audit Raw data'!E:E,G:G)/H371)/100,"-")</f>
        <v>-</v>
      </c>
      <c r="J371">
        <f>COUNTIFS('Audit Raw data'!AM:AM,"Yes",'Audit Raw data'!J:J,B:B,'Audit Raw data'!E:E,'Day wise agent'!G:G)</f>
        <v>0</v>
      </c>
      <c r="K371">
        <f>COUNTIFS('Audit Raw data'!AM:AM,"NO",'Audit Raw data'!J:J,B:B,'Audit Raw data'!E:E,'Day wise agent'!G:G)</f>
        <v>0</v>
      </c>
      <c r="L371" s="12" t="str">
        <f t="shared" si="11"/>
        <v xml:space="preserve"> </v>
      </c>
    </row>
    <row r="372" spans="1:12" x14ac:dyDescent="0.35">
      <c r="A372" t="str">
        <f t="shared" si="10"/>
        <v>VPS12645934</v>
      </c>
      <c r="B372" t="s">
        <v>1521</v>
      </c>
      <c r="C372" t="s">
        <v>1522</v>
      </c>
      <c r="D372" s="32">
        <v>45710</v>
      </c>
      <c r="E372" t="s">
        <v>1456</v>
      </c>
      <c r="F372" t="str">
        <f>VLOOKUP(B372,'Agent wise'!A:E,5,0)</f>
        <v>RECL</v>
      </c>
      <c r="G372" s="32">
        <v>45934</v>
      </c>
      <c r="H372">
        <f>COUNTIFS('Audit Raw data'!J:J,B:B,'Audit Raw data'!E:E,G:G)</f>
        <v>0</v>
      </c>
      <c r="I372" s="44" t="str">
        <f>IFERROR((SUMIFS('Audit Raw data'!BZ:BZ,'Audit Raw data'!J:J,B:B,'Audit Raw data'!E:E,G:G)/H372)/100,"-")</f>
        <v>-</v>
      </c>
      <c r="J372">
        <f>COUNTIFS('Audit Raw data'!AM:AM,"Yes",'Audit Raw data'!J:J,B:B,'Audit Raw data'!E:E,'Day wise agent'!G:G)</f>
        <v>0</v>
      </c>
      <c r="K372">
        <f>COUNTIFS('Audit Raw data'!AM:AM,"NO",'Audit Raw data'!J:J,B:B,'Audit Raw data'!E:E,'Day wise agent'!G:G)</f>
        <v>0</v>
      </c>
      <c r="L372" s="12" t="str">
        <f t="shared" si="11"/>
        <v xml:space="preserve"> </v>
      </c>
    </row>
    <row r="373" spans="1:12" x14ac:dyDescent="0.35">
      <c r="A373" t="str">
        <f t="shared" si="10"/>
        <v>VPS12745934</v>
      </c>
      <c r="B373" t="s">
        <v>1523</v>
      </c>
      <c r="C373" t="s">
        <v>1524</v>
      </c>
      <c r="D373" s="32">
        <v>45710</v>
      </c>
      <c r="E373" t="s">
        <v>1456</v>
      </c>
      <c r="F373" t="str">
        <f>VLOOKUP(B373,'Agent wise'!A:E,5,0)</f>
        <v>RECL</v>
      </c>
      <c r="G373" s="32">
        <v>45934</v>
      </c>
      <c r="H373">
        <f>COUNTIFS('Audit Raw data'!J:J,B:B,'Audit Raw data'!E:E,G:G)</f>
        <v>0</v>
      </c>
      <c r="I373" s="44" t="str">
        <f>IFERROR((SUMIFS('Audit Raw data'!BZ:BZ,'Audit Raw data'!J:J,B:B,'Audit Raw data'!E:E,G:G)/H373)/100,"-")</f>
        <v>-</v>
      </c>
      <c r="J373">
        <f>COUNTIFS('Audit Raw data'!AM:AM,"Yes",'Audit Raw data'!J:J,B:B,'Audit Raw data'!E:E,'Day wise agent'!G:G)</f>
        <v>0</v>
      </c>
      <c r="K373">
        <f>COUNTIFS('Audit Raw data'!AM:AM,"NO",'Audit Raw data'!J:J,B:B,'Audit Raw data'!E:E,'Day wise agent'!G:G)</f>
        <v>0</v>
      </c>
      <c r="L373" s="12" t="str">
        <f t="shared" si="11"/>
        <v xml:space="preserve"> </v>
      </c>
    </row>
    <row r="374" spans="1:12" x14ac:dyDescent="0.35">
      <c r="A374" t="str">
        <f t="shared" si="10"/>
        <v>VPS13045934</v>
      </c>
      <c r="B374" t="s">
        <v>662</v>
      </c>
      <c r="C374" t="s">
        <v>1525</v>
      </c>
      <c r="D374" s="32">
        <v>45710</v>
      </c>
      <c r="E374" t="s">
        <v>1484</v>
      </c>
      <c r="F374" t="str">
        <f>VLOOKUP(B374,'Agent wise'!A:E,5,0)</f>
        <v>Wireless</v>
      </c>
      <c r="G374" s="32">
        <v>45934</v>
      </c>
      <c r="H374">
        <f>COUNTIFS('Audit Raw data'!J:J,B:B,'Audit Raw data'!E:E,G:G)</f>
        <v>0</v>
      </c>
      <c r="I374" s="44" t="str">
        <f>IFERROR((SUMIFS('Audit Raw data'!BZ:BZ,'Audit Raw data'!J:J,B:B,'Audit Raw data'!E:E,G:G)/H374)/100,"-")</f>
        <v>-</v>
      </c>
      <c r="J374">
        <f>COUNTIFS('Audit Raw data'!AM:AM,"Yes",'Audit Raw data'!J:J,B:B,'Audit Raw data'!E:E,'Day wise agent'!G:G)</f>
        <v>0</v>
      </c>
      <c r="K374">
        <f>COUNTIFS('Audit Raw data'!AM:AM,"NO",'Audit Raw data'!J:J,B:B,'Audit Raw data'!E:E,'Day wise agent'!G:G)</f>
        <v>0</v>
      </c>
      <c r="L374" s="12" t="str">
        <f t="shared" si="11"/>
        <v xml:space="preserve"> </v>
      </c>
    </row>
    <row r="375" spans="1:12" x14ac:dyDescent="0.35">
      <c r="A375" t="str">
        <f t="shared" si="10"/>
        <v>VPS13145934</v>
      </c>
      <c r="B375" t="s">
        <v>1519</v>
      </c>
      <c r="C375" t="s">
        <v>1520</v>
      </c>
      <c r="D375" s="32">
        <v>45710</v>
      </c>
      <c r="E375" t="s">
        <v>1456</v>
      </c>
      <c r="F375" t="str">
        <f>VLOOKUP(B375,'Agent wise'!A:E,5,0)</f>
        <v>RECL</v>
      </c>
      <c r="G375" s="32">
        <v>45934</v>
      </c>
      <c r="H375">
        <f>COUNTIFS('Audit Raw data'!J:J,B:B,'Audit Raw data'!E:E,G:G)</f>
        <v>0</v>
      </c>
      <c r="I375" s="44" t="str">
        <f>IFERROR((SUMIFS('Audit Raw data'!BZ:BZ,'Audit Raw data'!J:J,B:B,'Audit Raw data'!E:E,G:G)/H375)/100,"-")</f>
        <v>-</v>
      </c>
      <c r="J375">
        <f>COUNTIFS('Audit Raw data'!AM:AM,"Yes",'Audit Raw data'!J:J,B:B,'Audit Raw data'!E:E,'Day wise agent'!G:G)</f>
        <v>0</v>
      </c>
      <c r="K375">
        <f>COUNTIFS('Audit Raw data'!AM:AM,"NO",'Audit Raw data'!J:J,B:B,'Audit Raw data'!E:E,'Day wise agent'!G:G)</f>
        <v>0</v>
      </c>
      <c r="L375" s="12" t="str">
        <f t="shared" si="11"/>
        <v xml:space="preserve"> </v>
      </c>
    </row>
    <row r="376" spans="1:12" x14ac:dyDescent="0.35">
      <c r="A376" t="str">
        <f t="shared" si="10"/>
        <v>VPS13245934</v>
      </c>
      <c r="B376" t="s">
        <v>1526</v>
      </c>
      <c r="C376" t="s">
        <v>1527</v>
      </c>
      <c r="D376" s="32">
        <v>45717</v>
      </c>
      <c r="E376" t="s">
        <v>221</v>
      </c>
      <c r="F376" t="str">
        <f>VLOOKUP(B376,'Agent wise'!A:E,5,0)</f>
        <v>Wire-line</v>
      </c>
      <c r="G376" s="32">
        <v>45934</v>
      </c>
      <c r="H376">
        <f>COUNTIFS('Audit Raw data'!J:J,B:B,'Audit Raw data'!E:E,G:G)</f>
        <v>0</v>
      </c>
      <c r="I376" s="44" t="str">
        <f>IFERROR((SUMIFS('Audit Raw data'!BZ:BZ,'Audit Raw data'!J:J,B:B,'Audit Raw data'!E:E,G:G)/H376)/100,"-")</f>
        <v>-</v>
      </c>
      <c r="J376">
        <f>COUNTIFS('Audit Raw data'!AM:AM,"Yes",'Audit Raw data'!J:J,B:B,'Audit Raw data'!E:E,'Day wise agent'!G:G)</f>
        <v>0</v>
      </c>
      <c r="K376">
        <f>COUNTIFS('Audit Raw data'!AM:AM,"NO",'Audit Raw data'!J:J,B:B,'Audit Raw data'!E:E,'Day wise agent'!G:G)</f>
        <v>0</v>
      </c>
      <c r="L376" s="12" t="str">
        <f t="shared" si="11"/>
        <v xml:space="preserve"> </v>
      </c>
    </row>
    <row r="377" spans="1:12" x14ac:dyDescent="0.35">
      <c r="A377" t="str">
        <f t="shared" si="10"/>
        <v>VPS14345934</v>
      </c>
      <c r="B377" t="s">
        <v>269</v>
      </c>
      <c r="C377" t="s">
        <v>1528</v>
      </c>
      <c r="D377" s="32">
        <v>45723</v>
      </c>
      <c r="E377" t="s">
        <v>1484</v>
      </c>
      <c r="F377" t="str">
        <f>VLOOKUP(B377,'Agent wise'!A:E,5,0)</f>
        <v>Wireless</v>
      </c>
      <c r="G377" s="32">
        <v>45934</v>
      </c>
      <c r="H377">
        <f>COUNTIFS('Audit Raw data'!J:J,B:B,'Audit Raw data'!E:E,G:G)</f>
        <v>0</v>
      </c>
      <c r="I377" s="44" t="str">
        <f>IFERROR((SUMIFS('Audit Raw data'!BZ:BZ,'Audit Raw data'!J:J,B:B,'Audit Raw data'!E:E,G:G)/H377)/100,"-")</f>
        <v>-</v>
      </c>
      <c r="J377">
        <f>COUNTIFS('Audit Raw data'!AM:AM,"Yes",'Audit Raw data'!J:J,B:B,'Audit Raw data'!E:E,'Day wise agent'!G:G)</f>
        <v>0</v>
      </c>
      <c r="K377">
        <f>COUNTIFS('Audit Raw data'!AM:AM,"NO",'Audit Raw data'!J:J,B:B,'Audit Raw data'!E:E,'Day wise agent'!G:G)</f>
        <v>0</v>
      </c>
      <c r="L377" s="12" t="str">
        <f t="shared" si="11"/>
        <v xml:space="preserve"> </v>
      </c>
    </row>
    <row r="378" spans="1:12" x14ac:dyDescent="0.35">
      <c r="A378" t="str">
        <f t="shared" si="10"/>
        <v>VPS15145934</v>
      </c>
      <c r="B378" t="s">
        <v>274</v>
      </c>
      <c r="C378" t="s">
        <v>1529</v>
      </c>
      <c r="D378" s="32">
        <v>45735</v>
      </c>
      <c r="E378" t="s">
        <v>107</v>
      </c>
      <c r="F378" t="str">
        <f>VLOOKUP(B378,'Agent wise'!A:E,5,0)</f>
        <v>Wireless</v>
      </c>
      <c r="G378" s="32">
        <v>45934</v>
      </c>
      <c r="H378">
        <f>COUNTIFS('Audit Raw data'!J:J,B:B,'Audit Raw data'!E:E,G:G)</f>
        <v>1</v>
      </c>
      <c r="I378" s="44">
        <f>IFERROR((SUMIFS('Audit Raw data'!BZ:BZ,'Audit Raw data'!J:J,B:B,'Audit Raw data'!E:E,G:G)/H378)/100,"-")</f>
        <v>0.96</v>
      </c>
      <c r="J378">
        <f>COUNTIFS('Audit Raw data'!AM:AM,"Yes",'Audit Raw data'!J:J,B:B,'Audit Raw data'!E:E,'Day wise agent'!G:G)</f>
        <v>1</v>
      </c>
      <c r="K378">
        <f>COUNTIFS('Audit Raw data'!AM:AM,"NO",'Audit Raw data'!J:J,B:B,'Audit Raw data'!E:E,'Day wise agent'!G:G)</f>
        <v>0</v>
      </c>
      <c r="L378" s="12">
        <f t="shared" si="11"/>
        <v>1</v>
      </c>
    </row>
    <row r="379" spans="1:12" x14ac:dyDescent="0.35">
      <c r="A379" t="str">
        <f t="shared" si="10"/>
        <v>VPS16045934</v>
      </c>
      <c r="B379" t="s">
        <v>258</v>
      </c>
      <c r="C379" t="s">
        <v>1530</v>
      </c>
      <c r="D379" s="32">
        <v>45748</v>
      </c>
      <c r="E379" t="s">
        <v>1484</v>
      </c>
      <c r="F379" t="str">
        <f>VLOOKUP(B379,'Agent wise'!A:E,5,0)</f>
        <v>Wireless</v>
      </c>
      <c r="G379" s="32">
        <v>45934</v>
      </c>
      <c r="H379">
        <f>COUNTIFS('Audit Raw data'!J:J,B:B,'Audit Raw data'!E:E,G:G)</f>
        <v>0</v>
      </c>
      <c r="I379" s="44" t="str">
        <f>IFERROR((SUMIFS('Audit Raw data'!BZ:BZ,'Audit Raw data'!J:J,B:B,'Audit Raw data'!E:E,G:G)/H379)/100,"-")</f>
        <v>-</v>
      </c>
      <c r="J379">
        <f>COUNTIFS('Audit Raw data'!AM:AM,"Yes",'Audit Raw data'!J:J,B:B,'Audit Raw data'!E:E,'Day wise agent'!G:G)</f>
        <v>0</v>
      </c>
      <c r="K379">
        <f>COUNTIFS('Audit Raw data'!AM:AM,"NO",'Audit Raw data'!J:J,B:B,'Audit Raw data'!E:E,'Day wise agent'!G:G)</f>
        <v>0</v>
      </c>
      <c r="L379" s="12" t="str">
        <f t="shared" si="11"/>
        <v xml:space="preserve"> </v>
      </c>
    </row>
    <row r="380" spans="1:12" x14ac:dyDescent="0.35">
      <c r="A380" t="str">
        <f t="shared" si="10"/>
        <v>VPS17145934</v>
      </c>
      <c r="B380" t="s">
        <v>307</v>
      </c>
      <c r="C380" t="s">
        <v>1531</v>
      </c>
      <c r="D380" s="32">
        <v>45767</v>
      </c>
      <c r="E380" t="s">
        <v>221</v>
      </c>
      <c r="F380" t="str">
        <f>VLOOKUP(B380,'Agent wise'!A:E,5,0)</f>
        <v>Wire-line</v>
      </c>
      <c r="G380" s="32">
        <v>45934</v>
      </c>
      <c r="H380">
        <f>COUNTIFS('Audit Raw data'!J:J,B:B,'Audit Raw data'!E:E,G:G)</f>
        <v>0</v>
      </c>
      <c r="I380" s="44" t="str">
        <f>IFERROR((SUMIFS('Audit Raw data'!BZ:BZ,'Audit Raw data'!J:J,B:B,'Audit Raw data'!E:E,G:G)/H380)/100,"-")</f>
        <v>-</v>
      </c>
      <c r="J380">
        <f>COUNTIFS('Audit Raw data'!AM:AM,"Yes",'Audit Raw data'!J:J,B:B,'Audit Raw data'!E:E,'Day wise agent'!G:G)</f>
        <v>0</v>
      </c>
      <c r="K380">
        <f>COUNTIFS('Audit Raw data'!AM:AM,"NO",'Audit Raw data'!J:J,B:B,'Audit Raw data'!E:E,'Day wise agent'!G:G)</f>
        <v>0</v>
      </c>
      <c r="L380" s="12" t="str">
        <f t="shared" si="11"/>
        <v xml:space="preserve"> </v>
      </c>
    </row>
    <row r="381" spans="1:12" x14ac:dyDescent="0.35">
      <c r="A381" t="str">
        <f t="shared" si="10"/>
        <v>VPS17745934</v>
      </c>
      <c r="B381" t="s">
        <v>280</v>
      </c>
      <c r="C381" t="s">
        <v>1532</v>
      </c>
      <c r="D381" s="32">
        <v>45766</v>
      </c>
      <c r="E381" t="s">
        <v>1453</v>
      </c>
      <c r="F381" t="str">
        <f>VLOOKUP(B381,'Agent wise'!A:E,5,0)</f>
        <v>Wireless</v>
      </c>
      <c r="G381" s="32">
        <v>45934</v>
      </c>
      <c r="H381">
        <f>COUNTIFS('Audit Raw data'!J:J,B:B,'Audit Raw data'!E:E,G:G)</f>
        <v>0</v>
      </c>
      <c r="I381" s="44" t="str">
        <f>IFERROR((SUMIFS('Audit Raw data'!BZ:BZ,'Audit Raw data'!J:J,B:B,'Audit Raw data'!E:E,G:G)/H381)/100,"-")</f>
        <v>-</v>
      </c>
      <c r="J381">
        <f>COUNTIFS('Audit Raw data'!AM:AM,"Yes",'Audit Raw data'!J:J,B:B,'Audit Raw data'!E:E,'Day wise agent'!G:G)</f>
        <v>0</v>
      </c>
      <c r="K381">
        <f>COUNTIFS('Audit Raw data'!AM:AM,"NO",'Audit Raw data'!J:J,B:B,'Audit Raw data'!E:E,'Day wise agent'!G:G)</f>
        <v>0</v>
      </c>
      <c r="L381" s="12" t="str">
        <f t="shared" si="11"/>
        <v xml:space="preserve"> </v>
      </c>
    </row>
    <row r="382" spans="1:12" x14ac:dyDescent="0.35">
      <c r="A382" t="str">
        <f t="shared" si="10"/>
        <v>VPS18145934</v>
      </c>
      <c r="B382" t="s">
        <v>234</v>
      </c>
      <c r="C382" t="s">
        <v>1533</v>
      </c>
      <c r="D382" s="32">
        <v>45775</v>
      </c>
      <c r="E382" t="s">
        <v>221</v>
      </c>
      <c r="F382" t="str">
        <f>VLOOKUP(B382,'Agent wise'!A:E,5,0)</f>
        <v>Wire-line</v>
      </c>
      <c r="G382" s="32">
        <v>45934</v>
      </c>
      <c r="H382">
        <f>COUNTIFS('Audit Raw data'!J:J,B:B,'Audit Raw data'!E:E,G:G)</f>
        <v>0</v>
      </c>
      <c r="I382" s="44" t="str">
        <f>IFERROR((SUMIFS('Audit Raw data'!BZ:BZ,'Audit Raw data'!J:J,B:B,'Audit Raw data'!E:E,G:G)/H382)/100,"-")</f>
        <v>-</v>
      </c>
      <c r="J382">
        <f>COUNTIFS('Audit Raw data'!AM:AM,"Yes",'Audit Raw data'!J:J,B:B,'Audit Raw data'!E:E,'Day wise agent'!G:G)</f>
        <v>0</v>
      </c>
      <c r="K382">
        <f>COUNTIFS('Audit Raw data'!AM:AM,"NO",'Audit Raw data'!J:J,B:B,'Audit Raw data'!E:E,'Day wise agent'!G:G)</f>
        <v>0</v>
      </c>
      <c r="L382" s="12" t="str">
        <f t="shared" si="11"/>
        <v xml:space="preserve"> </v>
      </c>
    </row>
    <row r="383" spans="1:12" x14ac:dyDescent="0.35">
      <c r="A383" t="str">
        <f t="shared" si="10"/>
        <v>VPS18245934</v>
      </c>
      <c r="B383" t="s">
        <v>568</v>
      </c>
      <c r="C383" t="s">
        <v>1534</v>
      </c>
      <c r="D383" s="32">
        <v>45797</v>
      </c>
      <c r="E383" t="s">
        <v>221</v>
      </c>
      <c r="F383" t="str">
        <f>VLOOKUP(B383,'Agent wise'!A:E,5,0)</f>
        <v>Wire-line</v>
      </c>
      <c r="G383" s="32">
        <v>45934</v>
      </c>
      <c r="H383">
        <f>COUNTIFS('Audit Raw data'!J:J,B:B,'Audit Raw data'!E:E,G:G)</f>
        <v>0</v>
      </c>
      <c r="I383" s="44" t="str">
        <f>IFERROR((SUMIFS('Audit Raw data'!BZ:BZ,'Audit Raw data'!J:J,B:B,'Audit Raw data'!E:E,G:G)/H383)/100,"-")</f>
        <v>-</v>
      </c>
      <c r="J383">
        <f>COUNTIFS('Audit Raw data'!AM:AM,"Yes",'Audit Raw data'!J:J,B:B,'Audit Raw data'!E:E,'Day wise agent'!G:G)</f>
        <v>0</v>
      </c>
      <c r="K383">
        <f>COUNTIFS('Audit Raw data'!AM:AM,"NO",'Audit Raw data'!J:J,B:B,'Audit Raw data'!E:E,'Day wise agent'!G:G)</f>
        <v>0</v>
      </c>
      <c r="L383" s="12" t="str">
        <f t="shared" si="11"/>
        <v xml:space="preserve"> </v>
      </c>
    </row>
    <row r="384" spans="1:12" x14ac:dyDescent="0.35">
      <c r="A384" t="str">
        <f t="shared" si="10"/>
        <v>VPS18345934</v>
      </c>
      <c r="B384" t="s">
        <v>570</v>
      </c>
      <c r="C384" t="s">
        <v>1535</v>
      </c>
      <c r="D384" s="32">
        <v>45797</v>
      </c>
      <c r="E384" t="s">
        <v>221</v>
      </c>
      <c r="F384" t="str">
        <f>VLOOKUP(B384,'Agent wise'!A:E,5,0)</f>
        <v>Wire-line</v>
      </c>
      <c r="G384" s="32">
        <v>45934</v>
      </c>
      <c r="H384">
        <f>COUNTIFS('Audit Raw data'!J:J,B:B,'Audit Raw data'!E:E,G:G)</f>
        <v>0</v>
      </c>
      <c r="I384" s="44" t="str">
        <f>IFERROR((SUMIFS('Audit Raw data'!BZ:BZ,'Audit Raw data'!J:J,B:B,'Audit Raw data'!E:E,G:G)/H384)/100,"-")</f>
        <v>-</v>
      </c>
      <c r="J384">
        <f>COUNTIFS('Audit Raw data'!AM:AM,"Yes",'Audit Raw data'!J:J,B:B,'Audit Raw data'!E:E,'Day wise agent'!G:G)</f>
        <v>0</v>
      </c>
      <c r="K384">
        <f>COUNTIFS('Audit Raw data'!AM:AM,"NO",'Audit Raw data'!J:J,B:B,'Audit Raw data'!E:E,'Day wise agent'!G:G)</f>
        <v>0</v>
      </c>
      <c r="L384" s="12" t="str">
        <f t="shared" si="11"/>
        <v xml:space="preserve"> </v>
      </c>
    </row>
    <row r="385" spans="1:12" x14ac:dyDescent="0.35">
      <c r="A385" t="str">
        <f t="shared" si="10"/>
        <v>VPS18445934</v>
      </c>
      <c r="B385" t="s">
        <v>117</v>
      </c>
      <c r="C385" t="s">
        <v>1536</v>
      </c>
      <c r="D385" s="32">
        <v>45809</v>
      </c>
      <c r="E385" t="s">
        <v>1453</v>
      </c>
      <c r="F385" t="str">
        <f>VLOOKUP(B385,'Agent wise'!A:E,5,0)</f>
        <v>Wireless</v>
      </c>
      <c r="G385" s="32">
        <v>45934</v>
      </c>
      <c r="H385">
        <f>COUNTIFS('Audit Raw data'!J:J,B:B,'Audit Raw data'!E:E,G:G)</f>
        <v>0</v>
      </c>
      <c r="I385" s="44" t="str">
        <f>IFERROR((SUMIFS('Audit Raw data'!BZ:BZ,'Audit Raw data'!J:J,B:B,'Audit Raw data'!E:E,G:G)/H385)/100,"-")</f>
        <v>-</v>
      </c>
      <c r="J385">
        <f>COUNTIFS('Audit Raw data'!AM:AM,"Yes",'Audit Raw data'!J:J,B:B,'Audit Raw data'!E:E,'Day wise agent'!G:G)</f>
        <v>0</v>
      </c>
      <c r="K385">
        <f>COUNTIFS('Audit Raw data'!AM:AM,"NO",'Audit Raw data'!J:J,B:B,'Audit Raw data'!E:E,'Day wise agent'!G:G)</f>
        <v>0</v>
      </c>
      <c r="L385" s="12" t="str">
        <f t="shared" si="11"/>
        <v xml:space="preserve"> </v>
      </c>
    </row>
    <row r="386" spans="1:12" x14ac:dyDescent="0.35">
      <c r="A386" t="str">
        <f t="shared" ref="A386:A449" si="12">B386&amp;G386</f>
        <v>VPS19145934</v>
      </c>
      <c r="B386" t="s">
        <v>586</v>
      </c>
      <c r="C386" t="s">
        <v>1537</v>
      </c>
      <c r="D386" s="32">
        <v>45809</v>
      </c>
      <c r="E386" t="s">
        <v>107</v>
      </c>
      <c r="F386" t="str">
        <f>VLOOKUP(B386,'Agent wise'!A:E,5,0)</f>
        <v>Wireless</v>
      </c>
      <c r="G386" s="32">
        <v>45934</v>
      </c>
      <c r="H386">
        <f>COUNTIFS('Audit Raw data'!J:J,B:B,'Audit Raw data'!E:E,G:G)</f>
        <v>2</v>
      </c>
      <c r="I386" s="44">
        <f>IFERROR((SUMIFS('Audit Raw data'!BZ:BZ,'Audit Raw data'!J:J,B:B,'Audit Raw data'!E:E,G:G)/H386)/100,"-")</f>
        <v>0.91</v>
      </c>
      <c r="J386">
        <f>COUNTIFS('Audit Raw data'!AM:AM,"Yes",'Audit Raw data'!J:J,B:B,'Audit Raw data'!E:E,'Day wise agent'!G:G)</f>
        <v>2</v>
      </c>
      <c r="K386">
        <f>COUNTIFS('Audit Raw data'!AM:AM,"NO",'Audit Raw data'!J:J,B:B,'Audit Raw data'!E:E,'Day wise agent'!G:G)</f>
        <v>0</v>
      </c>
      <c r="L386" s="12">
        <f t="shared" ref="L386:L449" si="13">IFERROR(J386/H386," ")</f>
        <v>1</v>
      </c>
    </row>
    <row r="387" spans="1:12" x14ac:dyDescent="0.35">
      <c r="A387" t="str">
        <f t="shared" si="12"/>
        <v>VPS19345934</v>
      </c>
      <c r="B387" t="s">
        <v>302</v>
      </c>
      <c r="C387" t="s">
        <v>1538</v>
      </c>
      <c r="D387" s="32">
        <v>45823</v>
      </c>
      <c r="E387" t="s">
        <v>107</v>
      </c>
      <c r="F387" t="str">
        <f>VLOOKUP(B387,'Agent wise'!A:E,5,0)</f>
        <v>Wireless</v>
      </c>
      <c r="G387" s="32">
        <v>45934</v>
      </c>
      <c r="H387">
        <f>COUNTIFS('Audit Raw data'!J:J,B:B,'Audit Raw data'!E:E,G:G)</f>
        <v>0</v>
      </c>
      <c r="I387" s="44" t="str">
        <f>IFERROR((SUMIFS('Audit Raw data'!BZ:BZ,'Audit Raw data'!J:J,B:B,'Audit Raw data'!E:E,G:G)/H387)/100,"-")</f>
        <v>-</v>
      </c>
      <c r="J387">
        <f>COUNTIFS('Audit Raw data'!AM:AM,"Yes",'Audit Raw data'!J:J,B:B,'Audit Raw data'!E:E,'Day wise agent'!G:G)</f>
        <v>0</v>
      </c>
      <c r="K387">
        <f>COUNTIFS('Audit Raw data'!AM:AM,"NO",'Audit Raw data'!J:J,B:B,'Audit Raw data'!E:E,'Day wise agent'!G:G)</f>
        <v>0</v>
      </c>
      <c r="L387" s="12" t="str">
        <f t="shared" si="13"/>
        <v xml:space="preserve"> </v>
      </c>
    </row>
    <row r="388" spans="1:12" x14ac:dyDescent="0.35">
      <c r="A388" t="str">
        <f t="shared" si="12"/>
        <v>VPS19745934</v>
      </c>
      <c r="B388" t="s">
        <v>665</v>
      </c>
      <c r="C388" t="s">
        <v>1539</v>
      </c>
      <c r="D388" s="32">
        <v>45830</v>
      </c>
      <c r="E388" t="s">
        <v>178</v>
      </c>
      <c r="F388" t="str">
        <f>VLOOKUP(B388,'Agent wise'!A:E,5,0)</f>
        <v>Wireless</v>
      </c>
      <c r="G388" s="32">
        <v>45934</v>
      </c>
      <c r="H388">
        <f>COUNTIFS('Audit Raw data'!J:J,B:B,'Audit Raw data'!E:E,G:G)</f>
        <v>1</v>
      </c>
      <c r="I388" s="44">
        <f>IFERROR((SUMIFS('Audit Raw data'!BZ:BZ,'Audit Raw data'!J:J,B:B,'Audit Raw data'!E:E,G:G)/H388)/100,"-")</f>
        <v>0.94</v>
      </c>
      <c r="J388">
        <f>COUNTIFS('Audit Raw data'!AM:AM,"Yes",'Audit Raw data'!J:J,B:B,'Audit Raw data'!E:E,'Day wise agent'!G:G)</f>
        <v>1</v>
      </c>
      <c r="K388">
        <f>COUNTIFS('Audit Raw data'!AM:AM,"NO",'Audit Raw data'!J:J,B:B,'Audit Raw data'!E:E,'Day wise agent'!G:G)</f>
        <v>0</v>
      </c>
      <c r="L388" s="12">
        <f t="shared" si="13"/>
        <v>1</v>
      </c>
    </row>
    <row r="389" spans="1:12" x14ac:dyDescent="0.35">
      <c r="A389" t="str">
        <f t="shared" si="12"/>
        <v>VPS20145934</v>
      </c>
      <c r="B389" t="s">
        <v>439</v>
      </c>
      <c r="C389" t="s">
        <v>1540</v>
      </c>
      <c r="D389" s="32">
        <v>45834</v>
      </c>
      <c r="E389" t="s">
        <v>1453</v>
      </c>
      <c r="F389" t="str">
        <f>VLOOKUP(B389,'Agent wise'!A:E,5,0)</f>
        <v>Wireless</v>
      </c>
      <c r="G389" s="32">
        <v>45934</v>
      </c>
      <c r="H389">
        <f>COUNTIFS('Audit Raw data'!J:J,B:B,'Audit Raw data'!E:E,G:G)</f>
        <v>0</v>
      </c>
      <c r="I389" s="44" t="str">
        <f>IFERROR((SUMIFS('Audit Raw data'!BZ:BZ,'Audit Raw data'!J:J,B:B,'Audit Raw data'!E:E,G:G)/H389)/100,"-")</f>
        <v>-</v>
      </c>
      <c r="J389">
        <f>COUNTIFS('Audit Raw data'!AM:AM,"Yes",'Audit Raw data'!J:J,B:B,'Audit Raw data'!E:E,'Day wise agent'!G:G)</f>
        <v>0</v>
      </c>
      <c r="K389">
        <f>COUNTIFS('Audit Raw data'!AM:AM,"NO",'Audit Raw data'!J:J,B:B,'Audit Raw data'!E:E,'Day wise agent'!G:G)</f>
        <v>0</v>
      </c>
      <c r="L389" s="12" t="str">
        <f t="shared" si="13"/>
        <v xml:space="preserve"> </v>
      </c>
    </row>
    <row r="390" spans="1:12" x14ac:dyDescent="0.35">
      <c r="A390" t="str">
        <f t="shared" si="12"/>
        <v>VPS20445934</v>
      </c>
      <c r="B390" t="s">
        <v>749</v>
      </c>
      <c r="C390" t="s">
        <v>1542</v>
      </c>
      <c r="D390" s="32">
        <v>45840</v>
      </c>
      <c r="E390" t="s">
        <v>1484</v>
      </c>
      <c r="F390" t="str">
        <f>VLOOKUP(B390,'Agent wise'!A:E,5,0)</f>
        <v>Wireless</v>
      </c>
      <c r="G390" s="32">
        <v>45934</v>
      </c>
      <c r="H390">
        <f>COUNTIFS('Audit Raw data'!J:J,B:B,'Audit Raw data'!E:E,G:G)</f>
        <v>0</v>
      </c>
      <c r="I390" s="44" t="str">
        <f>IFERROR((SUMIFS('Audit Raw data'!BZ:BZ,'Audit Raw data'!J:J,B:B,'Audit Raw data'!E:E,G:G)/H390)/100,"-")</f>
        <v>-</v>
      </c>
      <c r="J390">
        <f>COUNTIFS('Audit Raw data'!AM:AM,"Yes",'Audit Raw data'!J:J,B:B,'Audit Raw data'!E:E,'Day wise agent'!G:G)</f>
        <v>0</v>
      </c>
      <c r="K390">
        <f>COUNTIFS('Audit Raw data'!AM:AM,"NO",'Audit Raw data'!J:J,B:B,'Audit Raw data'!E:E,'Day wise agent'!G:G)</f>
        <v>0</v>
      </c>
      <c r="L390" s="12" t="str">
        <f t="shared" si="13"/>
        <v xml:space="preserve"> </v>
      </c>
    </row>
    <row r="391" spans="1:12" x14ac:dyDescent="0.35">
      <c r="A391" t="str">
        <f t="shared" si="12"/>
        <v>VPS20645934</v>
      </c>
      <c r="B391" t="s">
        <v>427</v>
      </c>
      <c r="C391" t="s">
        <v>1541</v>
      </c>
      <c r="D391" s="32">
        <v>45840</v>
      </c>
      <c r="E391" t="s">
        <v>107</v>
      </c>
      <c r="F391" t="str">
        <f>VLOOKUP(B391,'Agent wise'!A:E,5,0)</f>
        <v>Wireless</v>
      </c>
      <c r="G391" s="32">
        <v>45934</v>
      </c>
      <c r="H391">
        <f>COUNTIFS('Audit Raw data'!J:J,B:B,'Audit Raw data'!E:E,G:G)</f>
        <v>1</v>
      </c>
      <c r="I391" s="44">
        <f>IFERROR((SUMIFS('Audit Raw data'!BZ:BZ,'Audit Raw data'!J:J,B:B,'Audit Raw data'!E:E,G:G)/H391)/100,"-")</f>
        <v>0.92</v>
      </c>
      <c r="J391">
        <f>COUNTIFS('Audit Raw data'!AM:AM,"Yes",'Audit Raw data'!J:J,B:B,'Audit Raw data'!E:E,'Day wise agent'!G:G)</f>
        <v>1</v>
      </c>
      <c r="K391">
        <f>COUNTIFS('Audit Raw data'!AM:AM,"NO",'Audit Raw data'!J:J,B:B,'Audit Raw data'!E:E,'Day wise agent'!G:G)</f>
        <v>0</v>
      </c>
      <c r="L391" s="12">
        <f t="shared" si="13"/>
        <v>1</v>
      </c>
    </row>
    <row r="392" spans="1:12" x14ac:dyDescent="0.35">
      <c r="A392" t="str">
        <f t="shared" si="12"/>
        <v>VPS20945934</v>
      </c>
      <c r="B392" t="s">
        <v>528</v>
      </c>
      <c r="C392" t="s">
        <v>1543</v>
      </c>
      <c r="D392" s="32">
        <v>45856</v>
      </c>
      <c r="E392" t="s">
        <v>178</v>
      </c>
      <c r="F392" t="str">
        <f>VLOOKUP(B392,'Agent wise'!A:E,5,0)</f>
        <v>Wireless</v>
      </c>
      <c r="G392" s="32">
        <v>45934</v>
      </c>
      <c r="H392">
        <f>COUNTIFS('Audit Raw data'!J:J,B:B,'Audit Raw data'!E:E,G:G)</f>
        <v>0</v>
      </c>
      <c r="I392" s="44" t="str">
        <f>IFERROR((SUMIFS('Audit Raw data'!BZ:BZ,'Audit Raw data'!J:J,B:B,'Audit Raw data'!E:E,G:G)/H392)/100,"-")</f>
        <v>-</v>
      </c>
      <c r="J392">
        <f>COUNTIFS('Audit Raw data'!AM:AM,"Yes",'Audit Raw data'!J:J,B:B,'Audit Raw data'!E:E,'Day wise agent'!G:G)</f>
        <v>0</v>
      </c>
      <c r="K392">
        <f>COUNTIFS('Audit Raw data'!AM:AM,"NO",'Audit Raw data'!J:J,B:B,'Audit Raw data'!E:E,'Day wise agent'!G:G)</f>
        <v>0</v>
      </c>
      <c r="L392" s="12" t="str">
        <f t="shared" si="13"/>
        <v xml:space="preserve"> </v>
      </c>
    </row>
    <row r="393" spans="1:12" x14ac:dyDescent="0.35">
      <c r="A393" t="str">
        <f t="shared" si="12"/>
        <v>VPS21045934</v>
      </c>
      <c r="B393" t="s">
        <v>589</v>
      </c>
      <c r="C393" t="s">
        <v>1544</v>
      </c>
      <c r="D393" s="32">
        <v>45856</v>
      </c>
      <c r="E393" t="s">
        <v>107</v>
      </c>
      <c r="F393" t="str">
        <f>VLOOKUP(B393,'Agent wise'!A:E,5,0)</f>
        <v>Wireless</v>
      </c>
      <c r="G393" s="32">
        <v>45934</v>
      </c>
      <c r="H393">
        <f>COUNTIFS('Audit Raw data'!J:J,B:B,'Audit Raw data'!E:E,G:G)</f>
        <v>1</v>
      </c>
      <c r="I393" s="44">
        <f>IFERROR((SUMIFS('Audit Raw data'!BZ:BZ,'Audit Raw data'!J:J,B:B,'Audit Raw data'!E:E,G:G)/H393)/100,"-")</f>
        <v>0.78</v>
      </c>
      <c r="J393">
        <f>COUNTIFS('Audit Raw data'!AM:AM,"Yes",'Audit Raw data'!J:J,B:B,'Audit Raw data'!E:E,'Day wise agent'!G:G)</f>
        <v>1</v>
      </c>
      <c r="K393">
        <f>COUNTIFS('Audit Raw data'!AM:AM,"NO",'Audit Raw data'!J:J,B:B,'Audit Raw data'!E:E,'Day wise agent'!G:G)</f>
        <v>0</v>
      </c>
      <c r="L393" s="12">
        <f t="shared" si="13"/>
        <v>1</v>
      </c>
    </row>
    <row r="394" spans="1:12" x14ac:dyDescent="0.35">
      <c r="A394" t="str">
        <f t="shared" si="12"/>
        <v>VPS21145934</v>
      </c>
      <c r="B394" t="s">
        <v>367</v>
      </c>
      <c r="C394" t="s">
        <v>1545</v>
      </c>
      <c r="D394" s="32">
        <v>45855</v>
      </c>
      <c r="E394" t="s">
        <v>1453</v>
      </c>
      <c r="F394" t="str">
        <f>VLOOKUP(B394,'Agent wise'!A:E,5,0)</f>
        <v>Wireless</v>
      </c>
      <c r="G394" s="32">
        <v>45934</v>
      </c>
      <c r="H394">
        <f>COUNTIFS('Audit Raw data'!J:J,B:B,'Audit Raw data'!E:E,G:G)</f>
        <v>0</v>
      </c>
      <c r="I394" s="44" t="str">
        <f>IFERROR((SUMIFS('Audit Raw data'!BZ:BZ,'Audit Raw data'!J:J,B:B,'Audit Raw data'!E:E,G:G)/H394)/100,"-")</f>
        <v>-</v>
      </c>
      <c r="J394">
        <f>COUNTIFS('Audit Raw data'!AM:AM,"Yes",'Audit Raw data'!J:J,B:B,'Audit Raw data'!E:E,'Day wise agent'!G:G)</f>
        <v>0</v>
      </c>
      <c r="K394">
        <f>COUNTIFS('Audit Raw data'!AM:AM,"NO",'Audit Raw data'!J:J,B:B,'Audit Raw data'!E:E,'Day wise agent'!G:G)</f>
        <v>0</v>
      </c>
      <c r="L394" s="12" t="str">
        <f t="shared" si="13"/>
        <v xml:space="preserve"> </v>
      </c>
    </row>
    <row r="395" spans="1:12" x14ac:dyDescent="0.35">
      <c r="A395" t="str">
        <f t="shared" si="12"/>
        <v>VPS21345934</v>
      </c>
      <c r="B395" t="s">
        <v>493</v>
      </c>
      <c r="C395" t="s">
        <v>1546</v>
      </c>
      <c r="D395" s="32">
        <v>45856</v>
      </c>
      <c r="E395" t="s">
        <v>1453</v>
      </c>
      <c r="F395" t="str">
        <f>VLOOKUP(B395,'Agent wise'!A:E,5,0)</f>
        <v>Wireless</v>
      </c>
      <c r="G395" s="32">
        <v>45934</v>
      </c>
      <c r="H395">
        <f>COUNTIFS('Audit Raw data'!J:J,B:B,'Audit Raw data'!E:E,G:G)</f>
        <v>1</v>
      </c>
      <c r="I395" s="44">
        <f>IFERROR((SUMIFS('Audit Raw data'!BZ:BZ,'Audit Raw data'!J:J,B:B,'Audit Raw data'!E:E,G:G)/H395)/100,"-")</f>
        <v>0.92</v>
      </c>
      <c r="J395">
        <f>COUNTIFS('Audit Raw data'!AM:AM,"Yes",'Audit Raw data'!J:J,B:B,'Audit Raw data'!E:E,'Day wise agent'!G:G)</f>
        <v>1</v>
      </c>
      <c r="K395">
        <f>COUNTIFS('Audit Raw data'!AM:AM,"NO",'Audit Raw data'!J:J,B:B,'Audit Raw data'!E:E,'Day wise agent'!G:G)</f>
        <v>0</v>
      </c>
      <c r="L395" s="12">
        <f t="shared" si="13"/>
        <v>1</v>
      </c>
    </row>
    <row r="396" spans="1:12" x14ac:dyDescent="0.35">
      <c r="A396" t="str">
        <f t="shared" si="12"/>
        <v>VPS21445934</v>
      </c>
      <c r="B396" t="s">
        <v>480</v>
      </c>
      <c r="C396" t="s">
        <v>1547</v>
      </c>
      <c r="D396" s="32">
        <v>45855</v>
      </c>
      <c r="E396" t="s">
        <v>107</v>
      </c>
      <c r="F396" t="str">
        <f>VLOOKUP(B396,'Agent wise'!A:E,5,0)</f>
        <v>Wireless</v>
      </c>
      <c r="G396" s="32">
        <v>45934</v>
      </c>
      <c r="H396">
        <f>COUNTIFS('Audit Raw data'!J:J,B:B,'Audit Raw data'!E:E,G:G)</f>
        <v>1</v>
      </c>
      <c r="I396" s="44">
        <f>IFERROR((SUMIFS('Audit Raw data'!BZ:BZ,'Audit Raw data'!J:J,B:B,'Audit Raw data'!E:E,G:G)/H396)/100,"-")</f>
        <v>0.88</v>
      </c>
      <c r="J396">
        <f>COUNTIFS('Audit Raw data'!AM:AM,"Yes",'Audit Raw data'!J:J,B:B,'Audit Raw data'!E:E,'Day wise agent'!G:G)</f>
        <v>1</v>
      </c>
      <c r="K396">
        <f>COUNTIFS('Audit Raw data'!AM:AM,"NO",'Audit Raw data'!J:J,B:B,'Audit Raw data'!E:E,'Day wise agent'!G:G)</f>
        <v>0</v>
      </c>
      <c r="L396" s="12">
        <f t="shared" si="13"/>
        <v>1</v>
      </c>
    </row>
    <row r="397" spans="1:12" x14ac:dyDescent="0.35">
      <c r="A397" t="str">
        <f t="shared" si="12"/>
        <v>VPS21545934</v>
      </c>
      <c r="B397" t="s">
        <v>521</v>
      </c>
      <c r="C397" t="s">
        <v>1548</v>
      </c>
      <c r="D397" s="32">
        <v>45865</v>
      </c>
      <c r="E397" t="s">
        <v>178</v>
      </c>
      <c r="F397" t="str">
        <f>VLOOKUP(B397,'Agent wise'!A:E,5,0)</f>
        <v>Wireless</v>
      </c>
      <c r="G397" s="32">
        <v>45934</v>
      </c>
      <c r="H397">
        <f>COUNTIFS('Audit Raw data'!J:J,B:B,'Audit Raw data'!E:E,G:G)</f>
        <v>0</v>
      </c>
      <c r="I397" s="44" t="str">
        <f>IFERROR((SUMIFS('Audit Raw data'!BZ:BZ,'Audit Raw data'!J:J,B:B,'Audit Raw data'!E:E,G:G)/H397)/100,"-")</f>
        <v>-</v>
      </c>
      <c r="J397">
        <f>COUNTIFS('Audit Raw data'!AM:AM,"Yes",'Audit Raw data'!J:J,B:B,'Audit Raw data'!E:E,'Day wise agent'!G:G)</f>
        <v>0</v>
      </c>
      <c r="K397">
        <f>COUNTIFS('Audit Raw data'!AM:AM,"NO",'Audit Raw data'!J:J,B:B,'Audit Raw data'!E:E,'Day wise agent'!G:G)</f>
        <v>0</v>
      </c>
      <c r="L397" s="12" t="str">
        <f t="shared" si="13"/>
        <v xml:space="preserve"> </v>
      </c>
    </row>
    <row r="398" spans="1:12" x14ac:dyDescent="0.35">
      <c r="A398" t="str">
        <f t="shared" si="12"/>
        <v>VPS21645934</v>
      </c>
      <c r="B398" t="s">
        <v>154</v>
      </c>
      <c r="C398" t="s">
        <v>1549</v>
      </c>
      <c r="D398" s="32">
        <v>45865</v>
      </c>
      <c r="E398" t="s">
        <v>107</v>
      </c>
      <c r="F398" t="str">
        <f>VLOOKUP(B398,'Agent wise'!A:E,5,0)</f>
        <v>Wireless</v>
      </c>
      <c r="G398" s="32">
        <v>45934</v>
      </c>
      <c r="H398">
        <f>COUNTIFS('Audit Raw data'!J:J,B:B,'Audit Raw data'!E:E,G:G)</f>
        <v>1</v>
      </c>
      <c r="I398" s="44">
        <f>IFERROR((SUMIFS('Audit Raw data'!BZ:BZ,'Audit Raw data'!J:J,B:B,'Audit Raw data'!E:E,G:G)/H398)/100,"-")</f>
        <v>0.8</v>
      </c>
      <c r="J398">
        <f>COUNTIFS('Audit Raw data'!AM:AM,"Yes",'Audit Raw data'!J:J,B:B,'Audit Raw data'!E:E,'Day wise agent'!G:G)</f>
        <v>1</v>
      </c>
      <c r="K398">
        <f>COUNTIFS('Audit Raw data'!AM:AM,"NO",'Audit Raw data'!J:J,B:B,'Audit Raw data'!E:E,'Day wise agent'!G:G)</f>
        <v>0</v>
      </c>
      <c r="L398" s="12">
        <f t="shared" si="13"/>
        <v>1</v>
      </c>
    </row>
    <row r="399" spans="1:12" x14ac:dyDescent="0.35">
      <c r="A399" t="str">
        <f t="shared" si="12"/>
        <v>VPS21745934</v>
      </c>
      <c r="B399" t="s">
        <v>519</v>
      </c>
      <c r="C399" t="s">
        <v>1550</v>
      </c>
      <c r="D399" s="32">
        <v>45865</v>
      </c>
      <c r="E399" t="s">
        <v>178</v>
      </c>
      <c r="F399" t="str">
        <f>VLOOKUP(B399,'Agent wise'!A:E,5,0)</f>
        <v>Wireless</v>
      </c>
      <c r="G399" s="32">
        <v>45934</v>
      </c>
      <c r="H399">
        <f>COUNTIFS('Audit Raw data'!J:J,B:B,'Audit Raw data'!E:E,G:G)</f>
        <v>0</v>
      </c>
      <c r="I399" s="44" t="str">
        <f>IFERROR((SUMIFS('Audit Raw data'!BZ:BZ,'Audit Raw data'!J:J,B:B,'Audit Raw data'!E:E,G:G)/H399)/100,"-")</f>
        <v>-</v>
      </c>
      <c r="J399">
        <f>COUNTIFS('Audit Raw data'!AM:AM,"Yes",'Audit Raw data'!J:J,B:B,'Audit Raw data'!E:E,'Day wise agent'!G:G)</f>
        <v>0</v>
      </c>
      <c r="K399">
        <f>COUNTIFS('Audit Raw data'!AM:AM,"NO",'Audit Raw data'!J:J,B:B,'Audit Raw data'!E:E,'Day wise agent'!G:G)</f>
        <v>0</v>
      </c>
      <c r="L399" s="12" t="str">
        <f t="shared" si="13"/>
        <v xml:space="preserve"> </v>
      </c>
    </row>
    <row r="400" spans="1:12" x14ac:dyDescent="0.35">
      <c r="A400" t="str">
        <f t="shared" si="12"/>
        <v>VPS22845934</v>
      </c>
      <c r="B400" t="s">
        <v>341</v>
      </c>
      <c r="C400" t="s">
        <v>1551</v>
      </c>
      <c r="D400" s="32">
        <v>45881</v>
      </c>
      <c r="E400" t="s">
        <v>178</v>
      </c>
      <c r="F400" t="str">
        <f>VLOOKUP(B400,'Agent wise'!A:E,5,0)</f>
        <v>Wireless</v>
      </c>
      <c r="G400" s="32">
        <v>45934</v>
      </c>
      <c r="H400">
        <f>COUNTIFS('Audit Raw data'!J:J,B:B,'Audit Raw data'!E:E,G:G)</f>
        <v>0</v>
      </c>
      <c r="I400" s="44" t="str">
        <f>IFERROR((SUMIFS('Audit Raw data'!BZ:BZ,'Audit Raw data'!J:J,B:B,'Audit Raw data'!E:E,G:G)/H400)/100,"-")</f>
        <v>-</v>
      </c>
      <c r="J400">
        <f>COUNTIFS('Audit Raw data'!AM:AM,"Yes",'Audit Raw data'!J:J,B:B,'Audit Raw data'!E:E,'Day wise agent'!G:G)</f>
        <v>0</v>
      </c>
      <c r="K400">
        <f>COUNTIFS('Audit Raw data'!AM:AM,"NO",'Audit Raw data'!J:J,B:B,'Audit Raw data'!E:E,'Day wise agent'!G:G)</f>
        <v>0</v>
      </c>
      <c r="L400" s="12" t="str">
        <f t="shared" si="13"/>
        <v xml:space="preserve"> </v>
      </c>
    </row>
    <row r="401" spans="1:12" x14ac:dyDescent="0.35">
      <c r="A401" t="str">
        <f t="shared" si="12"/>
        <v>VPS22945934</v>
      </c>
      <c r="B401" t="s">
        <v>173</v>
      </c>
      <c r="C401" t="s">
        <v>1552</v>
      </c>
      <c r="D401" s="32">
        <v>45880</v>
      </c>
      <c r="E401" t="s">
        <v>107</v>
      </c>
      <c r="F401" t="str">
        <f>VLOOKUP(B401,'Agent wise'!A:E,5,0)</f>
        <v>Wireless</v>
      </c>
      <c r="G401" s="32">
        <v>45934</v>
      </c>
      <c r="H401">
        <f>COUNTIFS('Audit Raw data'!J:J,B:B,'Audit Raw data'!E:E,G:G)</f>
        <v>0</v>
      </c>
      <c r="I401" s="44" t="str">
        <f>IFERROR((SUMIFS('Audit Raw data'!BZ:BZ,'Audit Raw data'!J:J,B:B,'Audit Raw data'!E:E,G:G)/H401)/100,"-")</f>
        <v>-</v>
      </c>
      <c r="J401">
        <f>COUNTIFS('Audit Raw data'!AM:AM,"Yes",'Audit Raw data'!J:J,B:B,'Audit Raw data'!E:E,'Day wise agent'!G:G)</f>
        <v>0</v>
      </c>
      <c r="K401">
        <f>COUNTIFS('Audit Raw data'!AM:AM,"NO",'Audit Raw data'!J:J,B:B,'Audit Raw data'!E:E,'Day wise agent'!G:G)</f>
        <v>0</v>
      </c>
      <c r="L401" s="12" t="str">
        <f t="shared" si="13"/>
        <v xml:space="preserve"> </v>
      </c>
    </row>
    <row r="402" spans="1:12" x14ac:dyDescent="0.35">
      <c r="A402" t="str">
        <f t="shared" si="12"/>
        <v>VPS23045934</v>
      </c>
      <c r="B402" t="s">
        <v>335</v>
      </c>
      <c r="C402" t="s">
        <v>1553</v>
      </c>
      <c r="D402" s="32">
        <v>45880</v>
      </c>
      <c r="E402" t="s">
        <v>1484</v>
      </c>
      <c r="F402" t="str">
        <f>VLOOKUP(B402,'Agent wise'!A:E,5,0)</f>
        <v>Wireless</v>
      </c>
      <c r="G402" s="32">
        <v>45934</v>
      </c>
      <c r="H402">
        <f>COUNTIFS('Audit Raw data'!J:J,B:B,'Audit Raw data'!E:E,G:G)</f>
        <v>0</v>
      </c>
      <c r="I402" s="44" t="str">
        <f>IFERROR((SUMIFS('Audit Raw data'!BZ:BZ,'Audit Raw data'!J:J,B:B,'Audit Raw data'!E:E,G:G)/H402)/100,"-")</f>
        <v>-</v>
      </c>
      <c r="J402">
        <f>COUNTIFS('Audit Raw data'!AM:AM,"Yes",'Audit Raw data'!J:J,B:B,'Audit Raw data'!E:E,'Day wise agent'!G:G)</f>
        <v>0</v>
      </c>
      <c r="K402">
        <f>COUNTIFS('Audit Raw data'!AM:AM,"NO",'Audit Raw data'!J:J,B:B,'Audit Raw data'!E:E,'Day wise agent'!G:G)</f>
        <v>0</v>
      </c>
      <c r="L402" s="12" t="str">
        <f t="shared" si="13"/>
        <v xml:space="preserve"> </v>
      </c>
    </row>
    <row r="403" spans="1:12" x14ac:dyDescent="0.35">
      <c r="A403" t="str">
        <f t="shared" si="12"/>
        <v>VPS23545934</v>
      </c>
      <c r="B403" t="s">
        <v>317</v>
      </c>
      <c r="C403" t="s">
        <v>1554</v>
      </c>
      <c r="D403" s="32">
        <v>45897</v>
      </c>
      <c r="E403" t="s">
        <v>178</v>
      </c>
      <c r="F403" t="str">
        <f>VLOOKUP(B403,'Agent wise'!A:E,5,0)</f>
        <v>Wireless</v>
      </c>
      <c r="G403" s="32">
        <v>45934</v>
      </c>
      <c r="H403">
        <f>COUNTIFS('Audit Raw data'!J:J,B:B,'Audit Raw data'!E:E,G:G)</f>
        <v>0</v>
      </c>
      <c r="I403" s="44" t="str">
        <f>IFERROR((SUMIFS('Audit Raw data'!BZ:BZ,'Audit Raw data'!J:J,B:B,'Audit Raw data'!E:E,G:G)/H403)/100,"-")</f>
        <v>-</v>
      </c>
      <c r="J403">
        <f>COUNTIFS('Audit Raw data'!AM:AM,"Yes",'Audit Raw data'!J:J,B:B,'Audit Raw data'!E:E,'Day wise agent'!G:G)</f>
        <v>0</v>
      </c>
      <c r="K403">
        <f>COUNTIFS('Audit Raw data'!AM:AM,"NO",'Audit Raw data'!J:J,B:B,'Audit Raw data'!E:E,'Day wise agent'!G:G)</f>
        <v>0</v>
      </c>
      <c r="L403" s="12" t="str">
        <f t="shared" si="13"/>
        <v xml:space="preserve"> </v>
      </c>
    </row>
    <row r="404" spans="1:12" x14ac:dyDescent="0.35">
      <c r="A404" t="str">
        <f t="shared" si="12"/>
        <v>VPS23645934</v>
      </c>
      <c r="B404" t="s">
        <v>370</v>
      </c>
      <c r="C404" t="s">
        <v>1555</v>
      </c>
      <c r="D404" s="32">
        <v>45897</v>
      </c>
      <c r="E404" t="s">
        <v>1453</v>
      </c>
      <c r="F404" t="str">
        <f>VLOOKUP(B404,'Agent wise'!A:E,5,0)</f>
        <v>Wireless</v>
      </c>
      <c r="G404" s="32">
        <v>45934</v>
      </c>
      <c r="H404">
        <f>COUNTIFS('Audit Raw data'!J:J,B:B,'Audit Raw data'!E:E,G:G)</f>
        <v>0</v>
      </c>
      <c r="I404" s="44" t="str">
        <f>IFERROR((SUMIFS('Audit Raw data'!BZ:BZ,'Audit Raw data'!J:J,B:B,'Audit Raw data'!E:E,G:G)/H404)/100,"-")</f>
        <v>-</v>
      </c>
      <c r="J404">
        <f>COUNTIFS('Audit Raw data'!AM:AM,"Yes",'Audit Raw data'!J:J,B:B,'Audit Raw data'!E:E,'Day wise agent'!G:G)</f>
        <v>0</v>
      </c>
      <c r="K404">
        <f>COUNTIFS('Audit Raw data'!AM:AM,"NO",'Audit Raw data'!J:J,B:B,'Audit Raw data'!E:E,'Day wise agent'!G:G)</f>
        <v>0</v>
      </c>
      <c r="L404" s="12" t="str">
        <f t="shared" si="13"/>
        <v xml:space="preserve"> </v>
      </c>
    </row>
    <row r="405" spans="1:12" x14ac:dyDescent="0.35">
      <c r="A405" t="str">
        <f t="shared" si="12"/>
        <v>VPS23745934</v>
      </c>
      <c r="B405" t="s">
        <v>159</v>
      </c>
      <c r="C405" t="s">
        <v>1556</v>
      </c>
      <c r="D405" s="32">
        <v>45897</v>
      </c>
      <c r="E405" t="s">
        <v>107</v>
      </c>
      <c r="F405" t="str">
        <f>VLOOKUP(B405,'Agent wise'!A:E,5,0)</f>
        <v>Wireless</v>
      </c>
      <c r="G405" s="32">
        <v>45934</v>
      </c>
      <c r="H405">
        <f>COUNTIFS('Audit Raw data'!J:J,B:B,'Audit Raw data'!E:E,G:G)</f>
        <v>0</v>
      </c>
      <c r="I405" s="44" t="str">
        <f>IFERROR((SUMIFS('Audit Raw data'!BZ:BZ,'Audit Raw data'!J:J,B:B,'Audit Raw data'!E:E,G:G)/H405)/100,"-")</f>
        <v>-</v>
      </c>
      <c r="J405">
        <f>COUNTIFS('Audit Raw data'!AM:AM,"Yes",'Audit Raw data'!J:J,B:B,'Audit Raw data'!E:E,'Day wise agent'!G:G)</f>
        <v>0</v>
      </c>
      <c r="K405">
        <f>COUNTIFS('Audit Raw data'!AM:AM,"NO",'Audit Raw data'!J:J,B:B,'Audit Raw data'!E:E,'Day wise agent'!G:G)</f>
        <v>0</v>
      </c>
      <c r="L405" s="12" t="str">
        <f t="shared" si="13"/>
        <v xml:space="preserve"> </v>
      </c>
    </row>
    <row r="406" spans="1:12" x14ac:dyDescent="0.35">
      <c r="A406" t="str">
        <f t="shared" si="12"/>
        <v>VPS23945934</v>
      </c>
      <c r="B406" t="s">
        <v>484</v>
      </c>
      <c r="C406" t="s">
        <v>1468</v>
      </c>
      <c r="D406" s="32">
        <v>44942</v>
      </c>
      <c r="E406" t="s">
        <v>178</v>
      </c>
      <c r="F406" t="str">
        <f>VLOOKUP(B406,'Agent wise'!A:E,5,0)</f>
        <v>Wireless</v>
      </c>
      <c r="G406" s="32">
        <v>45934</v>
      </c>
      <c r="H406">
        <f>COUNTIFS('Audit Raw data'!J:J,B:B,'Audit Raw data'!E:E,G:G)</f>
        <v>0</v>
      </c>
      <c r="I406" s="44" t="str">
        <f>IFERROR((SUMIFS('Audit Raw data'!BZ:BZ,'Audit Raw data'!J:J,B:B,'Audit Raw data'!E:E,G:G)/H406)/100,"-")</f>
        <v>-</v>
      </c>
      <c r="J406">
        <f>COUNTIFS('Audit Raw data'!AM:AM,"Yes",'Audit Raw data'!J:J,B:B,'Audit Raw data'!E:E,'Day wise agent'!G:G)</f>
        <v>0</v>
      </c>
      <c r="K406">
        <f>COUNTIFS('Audit Raw data'!AM:AM,"NO",'Audit Raw data'!J:J,B:B,'Audit Raw data'!E:E,'Day wise agent'!G:G)</f>
        <v>0</v>
      </c>
      <c r="L406" s="12" t="str">
        <f t="shared" si="13"/>
        <v xml:space="preserve"> </v>
      </c>
    </row>
    <row r="407" spans="1:12" x14ac:dyDescent="0.35">
      <c r="A407" t="str">
        <f t="shared" si="12"/>
        <v>VPS24045934</v>
      </c>
      <c r="B407" t="s">
        <v>291</v>
      </c>
      <c r="C407" t="s">
        <v>1557</v>
      </c>
      <c r="D407" s="32">
        <v>45907</v>
      </c>
      <c r="E407" t="s">
        <v>1484</v>
      </c>
      <c r="F407" t="str">
        <f>VLOOKUP(B407,'Agent wise'!A:E,5,0)</f>
        <v>Wireless</v>
      </c>
      <c r="G407" s="32">
        <v>45934</v>
      </c>
      <c r="H407">
        <f>COUNTIFS('Audit Raw data'!J:J,B:B,'Audit Raw data'!E:E,G:G)</f>
        <v>0</v>
      </c>
      <c r="I407" s="44" t="str">
        <f>IFERROR((SUMIFS('Audit Raw data'!BZ:BZ,'Audit Raw data'!J:J,B:B,'Audit Raw data'!E:E,G:G)/H407)/100,"-")</f>
        <v>-</v>
      </c>
      <c r="J407">
        <f>COUNTIFS('Audit Raw data'!AM:AM,"Yes",'Audit Raw data'!J:J,B:B,'Audit Raw data'!E:E,'Day wise agent'!G:G)</f>
        <v>0</v>
      </c>
      <c r="K407">
        <f>COUNTIFS('Audit Raw data'!AM:AM,"NO",'Audit Raw data'!J:J,B:B,'Audit Raw data'!E:E,'Day wise agent'!G:G)</f>
        <v>0</v>
      </c>
      <c r="L407" s="12" t="str">
        <f t="shared" si="13"/>
        <v xml:space="preserve"> </v>
      </c>
    </row>
    <row r="408" spans="1:12" x14ac:dyDescent="0.35">
      <c r="A408" t="str">
        <f t="shared" si="12"/>
        <v>VPS24245934</v>
      </c>
      <c r="B408" t="s">
        <v>326</v>
      </c>
      <c r="C408" t="s">
        <v>1510</v>
      </c>
      <c r="D408" s="32">
        <v>45908</v>
      </c>
      <c r="E408" t="s">
        <v>1453</v>
      </c>
      <c r="F408" t="str">
        <f>VLOOKUP(B408,'Agent wise'!A:E,5,0)</f>
        <v>Wireless</v>
      </c>
      <c r="G408" s="32">
        <v>45934</v>
      </c>
      <c r="H408">
        <f>COUNTIFS('Audit Raw data'!J:J,B:B,'Audit Raw data'!E:E,G:G)</f>
        <v>0</v>
      </c>
      <c r="I408" s="44" t="str">
        <f>IFERROR((SUMIFS('Audit Raw data'!BZ:BZ,'Audit Raw data'!J:J,B:B,'Audit Raw data'!E:E,G:G)/H408)/100,"-")</f>
        <v>-</v>
      </c>
      <c r="J408">
        <f>COUNTIFS('Audit Raw data'!AM:AM,"Yes",'Audit Raw data'!J:J,B:B,'Audit Raw data'!E:E,'Day wise agent'!G:G)</f>
        <v>0</v>
      </c>
      <c r="K408">
        <f>COUNTIFS('Audit Raw data'!AM:AM,"NO",'Audit Raw data'!J:J,B:B,'Audit Raw data'!E:E,'Day wise agent'!G:G)</f>
        <v>0</v>
      </c>
      <c r="L408" s="12" t="str">
        <f t="shared" si="13"/>
        <v xml:space="preserve"> </v>
      </c>
    </row>
    <row r="409" spans="1:12" x14ac:dyDescent="0.35">
      <c r="A409" t="str">
        <f t="shared" si="12"/>
        <v>VPS24345934</v>
      </c>
      <c r="B409" t="s">
        <v>321</v>
      </c>
      <c r="C409" t="s">
        <v>1558</v>
      </c>
      <c r="D409" s="32">
        <v>45907</v>
      </c>
      <c r="E409" t="s">
        <v>1453</v>
      </c>
      <c r="F409" t="str">
        <f>VLOOKUP(B409,'Agent wise'!A:E,5,0)</f>
        <v>Wireless</v>
      </c>
      <c r="G409" s="32">
        <v>45934</v>
      </c>
      <c r="H409">
        <f>COUNTIFS('Audit Raw data'!J:J,B:B,'Audit Raw data'!E:E,G:G)</f>
        <v>1</v>
      </c>
      <c r="I409" s="44">
        <f>IFERROR((SUMIFS('Audit Raw data'!BZ:BZ,'Audit Raw data'!J:J,B:B,'Audit Raw data'!E:E,G:G)/H409)/100,"-")</f>
        <v>0.92</v>
      </c>
      <c r="J409">
        <f>COUNTIFS('Audit Raw data'!AM:AM,"Yes",'Audit Raw data'!J:J,B:B,'Audit Raw data'!E:E,'Day wise agent'!G:G)</f>
        <v>1</v>
      </c>
      <c r="K409">
        <f>COUNTIFS('Audit Raw data'!AM:AM,"NO",'Audit Raw data'!J:J,B:B,'Audit Raw data'!E:E,'Day wise agent'!G:G)</f>
        <v>0</v>
      </c>
      <c r="L409" s="12">
        <f t="shared" si="13"/>
        <v>1</v>
      </c>
    </row>
    <row r="410" spans="1:12" x14ac:dyDescent="0.35">
      <c r="A410" t="str">
        <f t="shared" si="12"/>
        <v>VPS24445934</v>
      </c>
      <c r="B410" t="s">
        <v>288</v>
      </c>
      <c r="C410" t="s">
        <v>1559</v>
      </c>
      <c r="D410" s="32">
        <v>45907</v>
      </c>
      <c r="E410" t="s">
        <v>107</v>
      </c>
      <c r="F410" t="str">
        <f>VLOOKUP(B410,'Agent wise'!A:E,5,0)</f>
        <v>Wireless</v>
      </c>
      <c r="G410" s="32">
        <v>45934</v>
      </c>
      <c r="H410">
        <f>COUNTIFS('Audit Raw data'!J:J,B:B,'Audit Raw data'!E:E,G:G)</f>
        <v>0</v>
      </c>
      <c r="I410" s="44" t="str">
        <f>IFERROR((SUMIFS('Audit Raw data'!BZ:BZ,'Audit Raw data'!J:J,B:B,'Audit Raw data'!E:E,G:G)/H410)/100,"-")</f>
        <v>-</v>
      </c>
      <c r="J410">
        <f>COUNTIFS('Audit Raw data'!AM:AM,"Yes",'Audit Raw data'!J:J,B:B,'Audit Raw data'!E:E,'Day wise agent'!G:G)</f>
        <v>0</v>
      </c>
      <c r="K410">
        <f>COUNTIFS('Audit Raw data'!AM:AM,"NO",'Audit Raw data'!J:J,B:B,'Audit Raw data'!E:E,'Day wise agent'!G:G)</f>
        <v>0</v>
      </c>
      <c r="L410" s="12" t="str">
        <f t="shared" si="13"/>
        <v xml:space="preserve"> </v>
      </c>
    </row>
    <row r="411" spans="1:12" x14ac:dyDescent="0.35">
      <c r="A411" t="str">
        <f t="shared" si="12"/>
        <v>VPS24545934</v>
      </c>
      <c r="B411" t="s">
        <v>873</v>
      </c>
      <c r="C411" t="s">
        <v>1560</v>
      </c>
      <c r="D411" s="32">
        <v>45908</v>
      </c>
      <c r="E411" t="s">
        <v>1484</v>
      </c>
      <c r="F411" t="str">
        <f>VLOOKUP(B411,'Agent wise'!A:E,5,0)</f>
        <v>Wireless</v>
      </c>
      <c r="G411" s="32">
        <v>45934</v>
      </c>
      <c r="H411">
        <f>COUNTIFS('Audit Raw data'!J:J,B:B,'Audit Raw data'!E:E,G:G)</f>
        <v>0</v>
      </c>
      <c r="I411" s="44" t="str">
        <f>IFERROR((SUMIFS('Audit Raw data'!BZ:BZ,'Audit Raw data'!J:J,B:B,'Audit Raw data'!E:E,G:G)/H411)/100,"-")</f>
        <v>-</v>
      </c>
      <c r="J411">
        <f>COUNTIFS('Audit Raw data'!AM:AM,"Yes",'Audit Raw data'!J:J,B:B,'Audit Raw data'!E:E,'Day wise agent'!G:G)</f>
        <v>0</v>
      </c>
      <c r="K411">
        <f>COUNTIFS('Audit Raw data'!AM:AM,"NO",'Audit Raw data'!J:J,B:B,'Audit Raw data'!E:E,'Day wise agent'!G:G)</f>
        <v>0</v>
      </c>
      <c r="L411" s="12" t="str">
        <f t="shared" si="13"/>
        <v xml:space="preserve"> </v>
      </c>
    </row>
    <row r="412" spans="1:12" x14ac:dyDescent="0.35">
      <c r="A412" t="str">
        <f t="shared" si="12"/>
        <v>VPS24745934</v>
      </c>
      <c r="B412" t="s">
        <v>238</v>
      </c>
      <c r="C412" t="s">
        <v>1561</v>
      </c>
      <c r="D412" s="32">
        <v>45907</v>
      </c>
      <c r="E412" t="s">
        <v>1484</v>
      </c>
      <c r="F412" t="str">
        <f>VLOOKUP(B412,'Agent wise'!A:E,5,0)</f>
        <v>Wireless</v>
      </c>
      <c r="G412" s="32">
        <v>45934</v>
      </c>
      <c r="H412">
        <f>COUNTIFS('Audit Raw data'!J:J,B:B,'Audit Raw data'!E:E,G:G)</f>
        <v>0</v>
      </c>
      <c r="I412" s="44" t="str">
        <f>IFERROR((SUMIFS('Audit Raw data'!BZ:BZ,'Audit Raw data'!J:J,B:B,'Audit Raw data'!E:E,G:G)/H412)/100,"-")</f>
        <v>-</v>
      </c>
      <c r="J412">
        <f>COUNTIFS('Audit Raw data'!AM:AM,"Yes",'Audit Raw data'!J:J,B:B,'Audit Raw data'!E:E,'Day wise agent'!G:G)</f>
        <v>0</v>
      </c>
      <c r="K412">
        <f>COUNTIFS('Audit Raw data'!AM:AM,"NO",'Audit Raw data'!J:J,B:B,'Audit Raw data'!E:E,'Day wise agent'!G:G)</f>
        <v>0</v>
      </c>
      <c r="L412" s="12" t="str">
        <f t="shared" si="13"/>
        <v xml:space="preserve"> </v>
      </c>
    </row>
    <row r="413" spans="1:12" x14ac:dyDescent="0.35">
      <c r="A413" t="str">
        <f t="shared" si="12"/>
        <v>VPS24845934</v>
      </c>
      <c r="B413" t="s">
        <v>231</v>
      </c>
      <c r="C413" t="s">
        <v>1562</v>
      </c>
      <c r="D413" s="32">
        <v>45908</v>
      </c>
      <c r="E413" t="s">
        <v>107</v>
      </c>
      <c r="F413" t="str">
        <f>VLOOKUP(B413,'Agent wise'!A:E,5,0)</f>
        <v>Wireless</v>
      </c>
      <c r="G413" s="32">
        <v>45934</v>
      </c>
      <c r="H413">
        <f>COUNTIFS('Audit Raw data'!J:J,B:B,'Audit Raw data'!E:E,G:G)</f>
        <v>0</v>
      </c>
      <c r="I413" s="44" t="str">
        <f>IFERROR((SUMIFS('Audit Raw data'!BZ:BZ,'Audit Raw data'!J:J,B:B,'Audit Raw data'!E:E,G:G)/H413)/100,"-")</f>
        <v>-</v>
      </c>
      <c r="J413">
        <f>COUNTIFS('Audit Raw data'!AM:AM,"Yes",'Audit Raw data'!J:J,B:B,'Audit Raw data'!E:E,'Day wise agent'!G:G)</f>
        <v>0</v>
      </c>
      <c r="K413">
        <f>COUNTIFS('Audit Raw data'!AM:AM,"NO",'Audit Raw data'!J:J,B:B,'Audit Raw data'!E:E,'Day wise agent'!G:G)</f>
        <v>0</v>
      </c>
      <c r="L413" s="12" t="str">
        <f t="shared" si="13"/>
        <v xml:space="preserve"> </v>
      </c>
    </row>
    <row r="414" spans="1:12" x14ac:dyDescent="0.35">
      <c r="A414" t="str">
        <f t="shared" si="12"/>
        <v>VPS24945934</v>
      </c>
      <c r="B414" t="s">
        <v>215</v>
      </c>
      <c r="C414" t="s">
        <v>1563</v>
      </c>
      <c r="D414" s="32">
        <v>45907</v>
      </c>
      <c r="E414" t="s">
        <v>178</v>
      </c>
      <c r="F414" t="str">
        <f>VLOOKUP(B414,'Agent wise'!A:E,5,0)</f>
        <v>Wireless</v>
      </c>
      <c r="G414" s="32">
        <v>45934</v>
      </c>
      <c r="H414">
        <f>COUNTIFS('Audit Raw data'!J:J,B:B,'Audit Raw data'!E:E,G:G)</f>
        <v>0</v>
      </c>
      <c r="I414" s="44" t="str">
        <f>IFERROR((SUMIFS('Audit Raw data'!BZ:BZ,'Audit Raw data'!J:J,B:B,'Audit Raw data'!E:E,G:G)/H414)/100,"-")</f>
        <v>-</v>
      </c>
      <c r="J414">
        <f>COUNTIFS('Audit Raw data'!AM:AM,"Yes",'Audit Raw data'!J:J,B:B,'Audit Raw data'!E:E,'Day wise agent'!G:G)</f>
        <v>0</v>
      </c>
      <c r="K414">
        <f>COUNTIFS('Audit Raw data'!AM:AM,"NO",'Audit Raw data'!J:J,B:B,'Audit Raw data'!E:E,'Day wise agent'!G:G)</f>
        <v>0</v>
      </c>
      <c r="L414" s="12" t="str">
        <f t="shared" si="13"/>
        <v xml:space="preserve"> </v>
      </c>
    </row>
    <row r="415" spans="1:12" x14ac:dyDescent="0.35">
      <c r="A415" t="str">
        <f t="shared" si="12"/>
        <v>VPS25145934</v>
      </c>
      <c r="B415" t="s">
        <v>168</v>
      </c>
      <c r="C415" t="s">
        <v>1564</v>
      </c>
      <c r="D415" s="32">
        <v>45907</v>
      </c>
      <c r="E415" t="s">
        <v>107</v>
      </c>
      <c r="F415" t="str">
        <f>VLOOKUP(B415,'Agent wise'!A:E,5,0)</f>
        <v>Wireless</v>
      </c>
      <c r="G415" s="32">
        <v>45934</v>
      </c>
      <c r="H415">
        <f>COUNTIFS('Audit Raw data'!J:J,B:B,'Audit Raw data'!E:E,G:G)</f>
        <v>0</v>
      </c>
      <c r="I415" s="44" t="str">
        <f>IFERROR((SUMIFS('Audit Raw data'!BZ:BZ,'Audit Raw data'!J:J,B:B,'Audit Raw data'!E:E,G:G)/H415)/100,"-")</f>
        <v>-</v>
      </c>
      <c r="J415">
        <f>COUNTIFS('Audit Raw data'!AM:AM,"Yes",'Audit Raw data'!J:J,B:B,'Audit Raw data'!E:E,'Day wise agent'!G:G)</f>
        <v>0</v>
      </c>
      <c r="K415">
        <f>COUNTIFS('Audit Raw data'!AM:AM,"NO",'Audit Raw data'!J:J,B:B,'Audit Raw data'!E:E,'Day wise agent'!G:G)</f>
        <v>0</v>
      </c>
      <c r="L415" s="12" t="str">
        <f t="shared" si="13"/>
        <v xml:space="preserve"> </v>
      </c>
    </row>
    <row r="416" spans="1:12" x14ac:dyDescent="0.35">
      <c r="A416" t="str">
        <f t="shared" si="12"/>
        <v>VPS25245934</v>
      </c>
      <c r="B416" t="s">
        <v>204</v>
      </c>
      <c r="C416" t="s">
        <v>1565</v>
      </c>
      <c r="D416" s="32">
        <v>45919</v>
      </c>
      <c r="E416" t="s">
        <v>1484</v>
      </c>
      <c r="F416" t="str">
        <f>VLOOKUP(B416,'Agent wise'!A:E,5,0)</f>
        <v>Wireless</v>
      </c>
      <c r="G416" s="32">
        <v>45934</v>
      </c>
      <c r="H416">
        <f>COUNTIFS('Audit Raw data'!J:J,B:B,'Audit Raw data'!E:E,G:G)</f>
        <v>1</v>
      </c>
      <c r="I416" s="44">
        <f>IFERROR((SUMIFS('Audit Raw data'!BZ:BZ,'Audit Raw data'!J:J,B:B,'Audit Raw data'!E:E,G:G)/H416)/100,"-")</f>
        <v>0.96</v>
      </c>
      <c r="J416">
        <f>COUNTIFS('Audit Raw data'!AM:AM,"Yes",'Audit Raw data'!J:J,B:B,'Audit Raw data'!E:E,'Day wise agent'!G:G)</f>
        <v>1</v>
      </c>
      <c r="K416">
        <f>COUNTIFS('Audit Raw data'!AM:AM,"NO",'Audit Raw data'!J:J,B:B,'Audit Raw data'!E:E,'Day wise agent'!G:G)</f>
        <v>0</v>
      </c>
      <c r="L416" s="12">
        <f t="shared" si="13"/>
        <v>1</v>
      </c>
    </row>
    <row r="417" spans="1:12" x14ac:dyDescent="0.35">
      <c r="A417" t="str">
        <f t="shared" si="12"/>
        <v>VPS25345934</v>
      </c>
      <c r="B417" t="s">
        <v>195</v>
      </c>
      <c r="C417" t="s">
        <v>1566</v>
      </c>
      <c r="D417" s="32">
        <v>45919</v>
      </c>
      <c r="E417" t="s">
        <v>178</v>
      </c>
      <c r="F417" t="str">
        <f>VLOOKUP(B417,'Agent wise'!A:E,5,0)</f>
        <v>Wireless</v>
      </c>
      <c r="G417" s="32">
        <v>45934</v>
      </c>
      <c r="H417">
        <f>COUNTIFS('Audit Raw data'!J:J,B:B,'Audit Raw data'!E:E,G:G)</f>
        <v>0</v>
      </c>
      <c r="I417" s="44" t="str">
        <f>IFERROR((SUMIFS('Audit Raw data'!BZ:BZ,'Audit Raw data'!J:J,B:B,'Audit Raw data'!E:E,G:G)/H417)/100,"-")</f>
        <v>-</v>
      </c>
      <c r="J417">
        <f>COUNTIFS('Audit Raw data'!AM:AM,"Yes",'Audit Raw data'!J:J,B:B,'Audit Raw data'!E:E,'Day wise agent'!G:G)</f>
        <v>0</v>
      </c>
      <c r="K417">
        <f>COUNTIFS('Audit Raw data'!AM:AM,"NO",'Audit Raw data'!J:J,B:B,'Audit Raw data'!E:E,'Day wise agent'!G:G)</f>
        <v>0</v>
      </c>
      <c r="L417" s="12" t="str">
        <f t="shared" si="13"/>
        <v xml:space="preserve"> </v>
      </c>
    </row>
    <row r="418" spans="1:12" x14ac:dyDescent="0.35">
      <c r="A418" t="str">
        <f t="shared" si="12"/>
        <v>VPS25645934</v>
      </c>
      <c r="B418" t="s">
        <v>191</v>
      </c>
      <c r="C418" t="s">
        <v>1567</v>
      </c>
      <c r="D418" s="32">
        <v>45919</v>
      </c>
      <c r="E418" t="s">
        <v>1453</v>
      </c>
      <c r="F418" t="str">
        <f>VLOOKUP(B418,'Agent wise'!A:E,5,0)</f>
        <v>Wireless</v>
      </c>
      <c r="G418" s="32">
        <v>45934</v>
      </c>
      <c r="H418">
        <f>COUNTIFS('Audit Raw data'!J:J,B:B,'Audit Raw data'!E:E,G:G)</f>
        <v>1</v>
      </c>
      <c r="I418" s="44">
        <f>IFERROR((SUMIFS('Audit Raw data'!BZ:BZ,'Audit Raw data'!J:J,B:B,'Audit Raw data'!E:E,G:G)/H418)/100,"-")</f>
        <v>0.94</v>
      </c>
      <c r="J418">
        <f>COUNTIFS('Audit Raw data'!AM:AM,"Yes",'Audit Raw data'!J:J,B:B,'Audit Raw data'!E:E,'Day wise agent'!G:G)</f>
        <v>1</v>
      </c>
      <c r="K418">
        <f>COUNTIFS('Audit Raw data'!AM:AM,"NO",'Audit Raw data'!J:J,B:B,'Audit Raw data'!E:E,'Day wise agent'!G:G)</f>
        <v>0</v>
      </c>
      <c r="L418" s="12">
        <f t="shared" si="13"/>
        <v>1</v>
      </c>
    </row>
    <row r="419" spans="1:12" x14ac:dyDescent="0.35">
      <c r="A419" t="str">
        <f t="shared" si="12"/>
        <v>VPS25745934</v>
      </c>
      <c r="B419" t="s">
        <v>412</v>
      </c>
      <c r="C419" t="s">
        <v>1568</v>
      </c>
      <c r="D419" s="32">
        <v>45919</v>
      </c>
      <c r="E419" t="s">
        <v>1453</v>
      </c>
      <c r="F419" t="str">
        <f>VLOOKUP(B419,'Agent wise'!A:E,5,0)</f>
        <v>Wireless</v>
      </c>
      <c r="G419" s="32">
        <v>45934</v>
      </c>
      <c r="H419">
        <f>COUNTIFS('Audit Raw data'!J:J,B:B,'Audit Raw data'!E:E,G:G)</f>
        <v>0</v>
      </c>
      <c r="I419" s="44" t="str">
        <f>IFERROR((SUMIFS('Audit Raw data'!BZ:BZ,'Audit Raw data'!J:J,B:B,'Audit Raw data'!E:E,G:G)/H419)/100,"-")</f>
        <v>-</v>
      </c>
      <c r="J419">
        <f>COUNTIFS('Audit Raw data'!AM:AM,"Yes",'Audit Raw data'!J:J,B:B,'Audit Raw data'!E:E,'Day wise agent'!G:G)</f>
        <v>0</v>
      </c>
      <c r="K419">
        <f>COUNTIFS('Audit Raw data'!AM:AM,"NO",'Audit Raw data'!J:J,B:B,'Audit Raw data'!E:E,'Day wise agent'!G:G)</f>
        <v>0</v>
      </c>
      <c r="L419" s="12" t="str">
        <f t="shared" si="13"/>
        <v xml:space="preserve"> </v>
      </c>
    </row>
    <row r="420" spans="1:12" x14ac:dyDescent="0.35">
      <c r="A420" t="str">
        <f t="shared" si="12"/>
        <v>VPS25845934</v>
      </c>
      <c r="B420" t="s">
        <v>183</v>
      </c>
      <c r="C420" t="s">
        <v>1569</v>
      </c>
      <c r="D420" s="32">
        <v>45927</v>
      </c>
      <c r="E420" t="s">
        <v>178</v>
      </c>
      <c r="F420" t="str">
        <f>VLOOKUP(B420,'Agent wise'!A:E,5,0)</f>
        <v>Wireless</v>
      </c>
      <c r="G420" s="32">
        <v>45934</v>
      </c>
      <c r="H420">
        <f>COUNTIFS('Audit Raw data'!J:J,B:B,'Audit Raw data'!E:E,G:G)</f>
        <v>1</v>
      </c>
      <c r="I420" s="44">
        <f>IFERROR((SUMIFS('Audit Raw data'!BZ:BZ,'Audit Raw data'!J:J,B:B,'Audit Raw data'!E:E,G:G)/H420)/100,"-")</f>
        <v>0.9</v>
      </c>
      <c r="J420">
        <f>COUNTIFS('Audit Raw data'!AM:AM,"Yes",'Audit Raw data'!J:J,B:B,'Audit Raw data'!E:E,'Day wise agent'!G:G)</f>
        <v>1</v>
      </c>
      <c r="K420">
        <f>COUNTIFS('Audit Raw data'!AM:AM,"NO",'Audit Raw data'!J:J,B:B,'Audit Raw data'!E:E,'Day wise agent'!G:G)</f>
        <v>0</v>
      </c>
      <c r="L420" s="12">
        <f t="shared" si="13"/>
        <v>1</v>
      </c>
    </row>
    <row r="421" spans="1:12" x14ac:dyDescent="0.35">
      <c r="A421" t="str">
        <f t="shared" si="12"/>
        <v>VPS25945934</v>
      </c>
      <c r="B421" t="s">
        <v>102</v>
      </c>
      <c r="C421" t="s">
        <v>1570</v>
      </c>
      <c r="D421" s="32">
        <v>45927</v>
      </c>
      <c r="E421" t="s">
        <v>107</v>
      </c>
      <c r="F421" t="str">
        <f>VLOOKUP(B421,'Agent wise'!A:E,5,0)</f>
        <v>Wireless</v>
      </c>
      <c r="G421" s="32">
        <v>45934</v>
      </c>
      <c r="H421">
        <f>COUNTIFS('Audit Raw data'!J:J,B:B,'Audit Raw data'!E:E,G:G)</f>
        <v>0</v>
      </c>
      <c r="I421" s="44" t="str">
        <f>IFERROR((SUMIFS('Audit Raw data'!BZ:BZ,'Audit Raw data'!J:J,B:B,'Audit Raw data'!E:E,G:G)/H421)/100,"-")</f>
        <v>-</v>
      </c>
      <c r="J421">
        <f>COUNTIFS('Audit Raw data'!AM:AM,"Yes",'Audit Raw data'!J:J,B:B,'Audit Raw data'!E:E,'Day wise agent'!G:G)</f>
        <v>0</v>
      </c>
      <c r="K421">
        <f>COUNTIFS('Audit Raw data'!AM:AM,"NO",'Audit Raw data'!J:J,B:B,'Audit Raw data'!E:E,'Day wise agent'!G:G)</f>
        <v>0</v>
      </c>
      <c r="L421" s="12" t="str">
        <f t="shared" si="13"/>
        <v xml:space="preserve"> </v>
      </c>
    </row>
    <row r="422" spans="1:12" x14ac:dyDescent="0.35">
      <c r="A422" t="str">
        <f t="shared" si="12"/>
        <v>SBM10745935</v>
      </c>
      <c r="B422" t="s">
        <v>313</v>
      </c>
      <c r="C422" t="s">
        <v>1449</v>
      </c>
      <c r="D422" s="32">
        <v>44691</v>
      </c>
      <c r="E422" t="s">
        <v>107</v>
      </c>
      <c r="F422" t="str">
        <f>VLOOKUP(B422,'Agent wise'!A:E,5,0)</f>
        <v>Wire-line</v>
      </c>
      <c r="G422" s="32">
        <v>45935</v>
      </c>
      <c r="H422">
        <f>COUNTIFS('Audit Raw data'!J:J,B:B,'Audit Raw data'!E:E,G:G)</f>
        <v>2</v>
      </c>
      <c r="I422" s="44">
        <f>IFERROR((SUMIFS('Audit Raw data'!BZ:BZ,'Audit Raw data'!J:J,B:B,'Audit Raw data'!E:E,G:G)/H422)/100,"-")</f>
        <v>0.97</v>
      </c>
      <c r="J422">
        <f>COUNTIFS('Audit Raw data'!AM:AM,"Yes",'Audit Raw data'!J:J,B:B,'Audit Raw data'!E:E,'Day wise agent'!G:G)</f>
        <v>2</v>
      </c>
      <c r="K422">
        <f>COUNTIFS('Audit Raw data'!AM:AM,"NO",'Audit Raw data'!J:J,B:B,'Audit Raw data'!E:E,'Day wise agent'!G:G)</f>
        <v>0</v>
      </c>
      <c r="L422" s="12">
        <f t="shared" si="13"/>
        <v>1</v>
      </c>
    </row>
    <row r="423" spans="1:12" x14ac:dyDescent="0.35">
      <c r="A423" t="str">
        <f t="shared" si="12"/>
        <v>SBM15045935</v>
      </c>
      <c r="B423" t="s">
        <v>56</v>
      </c>
      <c r="C423" t="s">
        <v>1452</v>
      </c>
      <c r="D423" s="32">
        <v>44707</v>
      </c>
      <c r="E423" t="s">
        <v>1453</v>
      </c>
      <c r="F423" t="str">
        <f>VLOOKUP(B423,'Agent wise'!A:E,5,0)</f>
        <v>Wireless</v>
      </c>
      <c r="G423" s="32">
        <v>45935</v>
      </c>
      <c r="H423">
        <f>COUNTIFS('Audit Raw data'!J:J,B:B,'Audit Raw data'!E:E,G:G)</f>
        <v>1</v>
      </c>
      <c r="I423" s="44">
        <f>IFERROR((SUMIFS('Audit Raw data'!BZ:BZ,'Audit Raw data'!J:J,B:B,'Audit Raw data'!E:E,G:G)/H423)/100,"-")</f>
        <v>0.96</v>
      </c>
      <c r="J423">
        <f>COUNTIFS('Audit Raw data'!AM:AM,"Yes",'Audit Raw data'!J:J,B:B,'Audit Raw data'!E:E,'Day wise agent'!G:G)</f>
        <v>1</v>
      </c>
      <c r="K423">
        <f>COUNTIFS('Audit Raw data'!AM:AM,"NO",'Audit Raw data'!J:J,B:B,'Audit Raw data'!E:E,'Day wise agent'!G:G)</f>
        <v>0</v>
      </c>
      <c r="L423" s="12">
        <f t="shared" si="13"/>
        <v>1</v>
      </c>
    </row>
    <row r="424" spans="1:12" x14ac:dyDescent="0.35">
      <c r="A424" t="str">
        <f t="shared" si="12"/>
        <v>SBM15545935</v>
      </c>
      <c r="B424" t="s">
        <v>1454</v>
      </c>
      <c r="C424" t="s">
        <v>1455</v>
      </c>
      <c r="D424" s="32">
        <v>44707</v>
      </c>
      <c r="E424" t="s">
        <v>1456</v>
      </c>
      <c r="F424" t="str">
        <f>VLOOKUP(B424,'Agent wise'!A:E,5,0)</f>
        <v>RECL</v>
      </c>
      <c r="G424" s="32">
        <v>45935</v>
      </c>
      <c r="H424">
        <f>COUNTIFS('Audit Raw data'!J:J,B:B,'Audit Raw data'!E:E,G:G)</f>
        <v>0</v>
      </c>
      <c r="I424" s="44" t="str">
        <f>IFERROR((SUMIFS('Audit Raw data'!BZ:BZ,'Audit Raw data'!J:J,B:B,'Audit Raw data'!E:E,G:G)/H424)/100,"-")</f>
        <v>-</v>
      </c>
      <c r="J424">
        <f>COUNTIFS('Audit Raw data'!AM:AM,"Yes",'Audit Raw data'!J:J,B:B,'Audit Raw data'!E:E,'Day wise agent'!G:G)</f>
        <v>0</v>
      </c>
      <c r="K424">
        <f>COUNTIFS('Audit Raw data'!AM:AM,"NO",'Audit Raw data'!J:J,B:B,'Audit Raw data'!E:E,'Day wise agent'!G:G)</f>
        <v>0</v>
      </c>
      <c r="L424" s="12" t="str">
        <f t="shared" si="13"/>
        <v xml:space="preserve"> </v>
      </c>
    </row>
    <row r="425" spans="1:12" x14ac:dyDescent="0.35">
      <c r="A425" t="str">
        <f t="shared" si="12"/>
        <v>SBM15745935</v>
      </c>
      <c r="B425" t="s">
        <v>67</v>
      </c>
      <c r="C425" t="s">
        <v>1458</v>
      </c>
      <c r="D425" s="32">
        <v>44713</v>
      </c>
      <c r="E425" t="s">
        <v>1453</v>
      </c>
      <c r="F425" t="str">
        <f>VLOOKUP(B425,'Agent wise'!A:E,5,0)</f>
        <v>Wireless</v>
      </c>
      <c r="G425" s="32">
        <v>45935</v>
      </c>
      <c r="H425">
        <f>COUNTIFS('Audit Raw data'!J:J,B:B,'Audit Raw data'!E:E,G:G)</f>
        <v>2</v>
      </c>
      <c r="I425" s="44">
        <f>IFERROR((SUMIFS('Audit Raw data'!BZ:BZ,'Audit Raw data'!J:J,B:B,'Audit Raw data'!E:E,G:G)/H425)/100,"-")</f>
        <v>0.96</v>
      </c>
      <c r="J425">
        <f>COUNTIFS('Audit Raw data'!AM:AM,"Yes",'Audit Raw data'!J:J,B:B,'Audit Raw data'!E:E,'Day wise agent'!G:G)</f>
        <v>2</v>
      </c>
      <c r="K425">
        <f>COUNTIFS('Audit Raw data'!AM:AM,"NO",'Audit Raw data'!J:J,B:B,'Audit Raw data'!E:E,'Day wise agent'!G:G)</f>
        <v>0</v>
      </c>
      <c r="L425" s="12">
        <f t="shared" si="13"/>
        <v>1</v>
      </c>
    </row>
    <row r="426" spans="1:12" x14ac:dyDescent="0.35">
      <c r="A426" t="str">
        <f t="shared" si="12"/>
        <v>SBM20245935</v>
      </c>
      <c r="B426" t="s">
        <v>466</v>
      </c>
      <c r="C426" t="s">
        <v>1459</v>
      </c>
      <c r="D426" s="32">
        <v>44721</v>
      </c>
      <c r="E426" t="s">
        <v>178</v>
      </c>
      <c r="F426" t="str">
        <f>VLOOKUP(B426,'Agent wise'!A:E,5,0)</f>
        <v>Wireless</v>
      </c>
      <c r="G426" s="32">
        <v>45935</v>
      </c>
      <c r="H426">
        <f>COUNTIFS('Audit Raw data'!J:J,B:B,'Audit Raw data'!E:E,G:G)</f>
        <v>1</v>
      </c>
      <c r="I426" s="44">
        <f>IFERROR((SUMIFS('Audit Raw data'!BZ:BZ,'Audit Raw data'!J:J,B:B,'Audit Raw data'!E:E,G:G)/H426)/100,"-")</f>
        <v>0.98</v>
      </c>
      <c r="J426">
        <f>COUNTIFS('Audit Raw data'!AM:AM,"Yes",'Audit Raw data'!J:J,B:B,'Audit Raw data'!E:E,'Day wise agent'!G:G)</f>
        <v>1</v>
      </c>
      <c r="K426">
        <f>COUNTIFS('Audit Raw data'!AM:AM,"NO",'Audit Raw data'!J:J,B:B,'Audit Raw data'!E:E,'Day wise agent'!G:G)</f>
        <v>0</v>
      </c>
      <c r="L426" s="12">
        <f t="shared" si="13"/>
        <v>1</v>
      </c>
    </row>
    <row r="427" spans="1:12" x14ac:dyDescent="0.35">
      <c r="A427" t="str">
        <f t="shared" si="12"/>
        <v>SBM26445935</v>
      </c>
      <c r="B427" t="s">
        <v>575</v>
      </c>
      <c r="C427" t="s">
        <v>1461</v>
      </c>
      <c r="D427" s="32">
        <v>44739</v>
      </c>
      <c r="E427" t="s">
        <v>107</v>
      </c>
      <c r="F427" t="str">
        <f>VLOOKUP(B427,'Agent wise'!A:E,5,0)</f>
        <v>Wireless</v>
      </c>
      <c r="G427" s="32">
        <v>45935</v>
      </c>
      <c r="H427">
        <f>COUNTIFS('Audit Raw data'!J:J,B:B,'Audit Raw data'!E:E,G:G)</f>
        <v>1</v>
      </c>
      <c r="I427" s="44">
        <f>IFERROR((SUMIFS('Audit Raw data'!BZ:BZ,'Audit Raw data'!J:J,B:B,'Audit Raw data'!E:E,G:G)/H427)/100,"-")</f>
        <v>0.88</v>
      </c>
      <c r="J427">
        <f>COUNTIFS('Audit Raw data'!AM:AM,"Yes",'Audit Raw data'!J:J,B:B,'Audit Raw data'!E:E,'Day wise agent'!G:G)</f>
        <v>1</v>
      </c>
      <c r="K427">
        <f>COUNTIFS('Audit Raw data'!AM:AM,"NO",'Audit Raw data'!J:J,B:B,'Audit Raw data'!E:E,'Day wise agent'!G:G)</f>
        <v>0</v>
      </c>
      <c r="L427" s="12">
        <f t="shared" si="13"/>
        <v>1</v>
      </c>
    </row>
    <row r="428" spans="1:12" x14ac:dyDescent="0.35">
      <c r="A428" t="str">
        <f t="shared" si="12"/>
        <v>SBM26745935</v>
      </c>
      <c r="B428" t="s">
        <v>91</v>
      </c>
      <c r="C428" t="s">
        <v>1462</v>
      </c>
      <c r="D428" s="32">
        <v>44768</v>
      </c>
      <c r="E428" t="s">
        <v>1453</v>
      </c>
      <c r="F428" t="str">
        <f>VLOOKUP(B428,'Agent wise'!A:E,5,0)</f>
        <v>Wireless</v>
      </c>
      <c r="G428" s="32">
        <v>45935</v>
      </c>
      <c r="H428">
        <f>COUNTIFS('Audit Raw data'!J:J,B:B,'Audit Raw data'!E:E,G:G)</f>
        <v>3</v>
      </c>
      <c r="I428" s="44">
        <f>IFERROR((SUMIFS('Audit Raw data'!BZ:BZ,'Audit Raw data'!J:J,B:B,'Audit Raw data'!E:E,G:G)/H428)/100,"-")</f>
        <v>0.93333333333333324</v>
      </c>
      <c r="J428">
        <f>COUNTIFS('Audit Raw data'!AM:AM,"Yes",'Audit Raw data'!J:J,B:B,'Audit Raw data'!E:E,'Day wise agent'!G:G)</f>
        <v>3</v>
      </c>
      <c r="K428">
        <f>COUNTIFS('Audit Raw data'!AM:AM,"NO",'Audit Raw data'!J:J,B:B,'Audit Raw data'!E:E,'Day wise agent'!G:G)</f>
        <v>0</v>
      </c>
      <c r="L428" s="12">
        <f t="shared" si="13"/>
        <v>1</v>
      </c>
    </row>
    <row r="429" spans="1:12" x14ac:dyDescent="0.35">
      <c r="A429" t="str">
        <f t="shared" si="12"/>
        <v>SBM31445935</v>
      </c>
      <c r="B429" t="s">
        <v>132</v>
      </c>
      <c r="C429" t="s">
        <v>1463</v>
      </c>
      <c r="D429" s="32">
        <v>44784</v>
      </c>
      <c r="E429" t="s">
        <v>107</v>
      </c>
      <c r="F429" t="str">
        <f>VLOOKUP(B429,'Agent wise'!A:E,5,0)</f>
        <v>Wireless</v>
      </c>
      <c r="G429" s="32">
        <v>45935</v>
      </c>
      <c r="H429">
        <f>COUNTIFS('Audit Raw data'!J:J,B:B,'Audit Raw data'!E:E,G:G)</f>
        <v>1</v>
      </c>
      <c r="I429" s="44">
        <f>IFERROR((SUMIFS('Audit Raw data'!BZ:BZ,'Audit Raw data'!J:J,B:B,'Audit Raw data'!E:E,G:G)/H429)/100,"-")</f>
        <v>1</v>
      </c>
      <c r="J429">
        <f>COUNTIFS('Audit Raw data'!AM:AM,"Yes",'Audit Raw data'!J:J,B:B,'Audit Raw data'!E:E,'Day wise agent'!G:G)</f>
        <v>1</v>
      </c>
      <c r="K429">
        <f>COUNTIFS('Audit Raw data'!AM:AM,"NO",'Audit Raw data'!J:J,B:B,'Audit Raw data'!E:E,'Day wise agent'!G:G)</f>
        <v>0</v>
      </c>
      <c r="L429" s="12">
        <f t="shared" si="13"/>
        <v>1</v>
      </c>
    </row>
    <row r="430" spans="1:12" x14ac:dyDescent="0.35">
      <c r="A430" t="str">
        <f t="shared" si="12"/>
        <v>SBM36345935</v>
      </c>
      <c r="B430" t="s">
        <v>70</v>
      </c>
      <c r="C430" t="s">
        <v>1464</v>
      </c>
      <c r="D430" s="32">
        <v>44786</v>
      </c>
      <c r="E430" t="s">
        <v>1453</v>
      </c>
      <c r="F430" t="str">
        <f>VLOOKUP(B430,'Agent wise'!A:E,5,0)</f>
        <v>Wireless</v>
      </c>
      <c r="G430" s="32">
        <v>45935</v>
      </c>
      <c r="H430">
        <f>COUNTIFS('Audit Raw data'!J:J,B:B,'Audit Raw data'!E:E,G:G)</f>
        <v>1</v>
      </c>
      <c r="I430" s="44">
        <f>IFERROR((SUMIFS('Audit Raw data'!BZ:BZ,'Audit Raw data'!J:J,B:B,'Audit Raw data'!E:E,G:G)/H430)/100,"-")</f>
        <v>0.92</v>
      </c>
      <c r="J430">
        <f>COUNTIFS('Audit Raw data'!AM:AM,"Yes",'Audit Raw data'!J:J,B:B,'Audit Raw data'!E:E,'Day wise agent'!G:G)</f>
        <v>1</v>
      </c>
      <c r="K430">
        <f>COUNTIFS('Audit Raw data'!AM:AM,"NO",'Audit Raw data'!J:J,B:B,'Audit Raw data'!E:E,'Day wise agent'!G:G)</f>
        <v>0</v>
      </c>
      <c r="L430" s="12">
        <f t="shared" si="13"/>
        <v>1</v>
      </c>
    </row>
    <row r="431" spans="1:12" x14ac:dyDescent="0.35">
      <c r="A431" t="str">
        <f t="shared" si="12"/>
        <v>SBM37345935</v>
      </c>
      <c r="B431" t="s">
        <v>75</v>
      </c>
      <c r="C431" t="s">
        <v>1465</v>
      </c>
      <c r="D431" s="32">
        <v>44786</v>
      </c>
      <c r="E431" t="s">
        <v>1453</v>
      </c>
      <c r="F431" t="str">
        <f>VLOOKUP(B431,'Agent wise'!A:E,5,0)</f>
        <v>Wireless</v>
      </c>
      <c r="G431" s="32">
        <v>45935</v>
      </c>
      <c r="H431">
        <f>COUNTIFS('Audit Raw data'!J:J,B:B,'Audit Raw data'!E:E,G:G)</f>
        <v>1</v>
      </c>
      <c r="I431" s="44">
        <f>IFERROR((SUMIFS('Audit Raw data'!BZ:BZ,'Audit Raw data'!J:J,B:B,'Audit Raw data'!E:E,G:G)/H431)/100,"-")</f>
        <v>1</v>
      </c>
      <c r="J431">
        <f>COUNTIFS('Audit Raw data'!AM:AM,"Yes",'Audit Raw data'!J:J,B:B,'Audit Raw data'!E:E,'Day wise agent'!G:G)</f>
        <v>1</v>
      </c>
      <c r="K431">
        <f>COUNTIFS('Audit Raw data'!AM:AM,"NO",'Audit Raw data'!J:J,B:B,'Audit Raw data'!E:E,'Day wise agent'!G:G)</f>
        <v>0</v>
      </c>
      <c r="L431" s="12">
        <f t="shared" si="13"/>
        <v>1</v>
      </c>
    </row>
    <row r="432" spans="1:12" x14ac:dyDescent="0.35">
      <c r="A432" t="str">
        <f t="shared" si="12"/>
        <v>SBM42245935</v>
      </c>
      <c r="B432" t="s">
        <v>636</v>
      </c>
      <c r="C432" t="s">
        <v>1466</v>
      </c>
      <c r="D432" s="32">
        <v>44882</v>
      </c>
      <c r="E432" t="s">
        <v>107</v>
      </c>
      <c r="F432" t="str">
        <f>VLOOKUP(B432,'Agent wise'!A:E,5,0)</f>
        <v>Wireless</v>
      </c>
      <c r="G432" s="32">
        <v>45935</v>
      </c>
      <c r="H432">
        <f>COUNTIFS('Audit Raw data'!J:J,B:B,'Audit Raw data'!E:E,G:G)</f>
        <v>3</v>
      </c>
      <c r="I432" s="44">
        <f>IFERROR((SUMIFS('Audit Raw data'!BZ:BZ,'Audit Raw data'!J:J,B:B,'Audit Raw data'!E:E,G:G)/H432)/100,"-")</f>
        <v>0.92666666666666675</v>
      </c>
      <c r="J432">
        <f>COUNTIFS('Audit Raw data'!AM:AM,"Yes",'Audit Raw data'!J:J,B:B,'Audit Raw data'!E:E,'Day wise agent'!G:G)</f>
        <v>3</v>
      </c>
      <c r="K432">
        <f>COUNTIFS('Audit Raw data'!AM:AM,"NO",'Audit Raw data'!J:J,B:B,'Audit Raw data'!E:E,'Day wise agent'!G:G)</f>
        <v>0</v>
      </c>
      <c r="L432" s="12">
        <f t="shared" si="13"/>
        <v>1</v>
      </c>
    </row>
    <row r="433" spans="1:12" x14ac:dyDescent="0.35">
      <c r="A433" t="str">
        <f t="shared" si="12"/>
        <v>SBM47945935</v>
      </c>
      <c r="B433" t="s">
        <v>1474</v>
      </c>
      <c r="C433" t="s">
        <v>1475</v>
      </c>
      <c r="D433" s="32">
        <v>44932</v>
      </c>
      <c r="E433" t="s">
        <v>1456</v>
      </c>
      <c r="F433" t="str">
        <f>VLOOKUP(B433,'Agent wise'!A:E,5,0)</f>
        <v>RECL</v>
      </c>
      <c r="G433" s="32">
        <v>45935</v>
      </c>
      <c r="H433">
        <f>COUNTIFS('Audit Raw data'!J:J,B:B,'Audit Raw data'!E:E,G:G)</f>
        <v>0</v>
      </c>
      <c r="I433" s="44" t="str">
        <f>IFERROR((SUMIFS('Audit Raw data'!BZ:BZ,'Audit Raw data'!J:J,B:B,'Audit Raw data'!E:E,G:G)/H433)/100,"-")</f>
        <v>-</v>
      </c>
      <c r="J433">
        <f>COUNTIFS('Audit Raw data'!AM:AM,"Yes",'Audit Raw data'!J:J,B:B,'Audit Raw data'!E:E,'Day wise agent'!G:G)</f>
        <v>0</v>
      </c>
      <c r="K433">
        <f>COUNTIFS('Audit Raw data'!AM:AM,"NO",'Audit Raw data'!J:J,B:B,'Audit Raw data'!E:E,'Day wise agent'!G:G)</f>
        <v>0</v>
      </c>
      <c r="L433" s="12" t="str">
        <f t="shared" si="13"/>
        <v xml:space="preserve"> </v>
      </c>
    </row>
    <row r="434" spans="1:12" x14ac:dyDescent="0.35">
      <c r="A434" t="str">
        <f t="shared" si="12"/>
        <v>SBM48145935</v>
      </c>
      <c r="B434" t="s">
        <v>638</v>
      </c>
      <c r="C434" t="s">
        <v>1467</v>
      </c>
      <c r="D434" s="32">
        <v>44932</v>
      </c>
      <c r="E434" t="s">
        <v>178</v>
      </c>
      <c r="F434" t="str">
        <f>VLOOKUP(B434,'Agent wise'!A:E,5,0)</f>
        <v>Wireless</v>
      </c>
      <c r="G434" s="32">
        <v>45935</v>
      </c>
      <c r="H434">
        <f>COUNTIFS('Audit Raw data'!J:J,B:B,'Audit Raw data'!E:E,G:G)</f>
        <v>1</v>
      </c>
      <c r="I434" s="44">
        <f>IFERROR((SUMIFS('Audit Raw data'!BZ:BZ,'Audit Raw data'!J:J,B:B,'Audit Raw data'!E:E,G:G)/H434)/100,"-")</f>
        <v>0.96</v>
      </c>
      <c r="J434">
        <f>COUNTIFS('Audit Raw data'!AM:AM,"Yes",'Audit Raw data'!J:J,B:B,'Audit Raw data'!E:E,'Day wise agent'!G:G)</f>
        <v>1</v>
      </c>
      <c r="K434">
        <f>COUNTIFS('Audit Raw data'!AM:AM,"NO",'Audit Raw data'!J:J,B:B,'Audit Raw data'!E:E,'Day wise agent'!G:G)</f>
        <v>0</v>
      </c>
      <c r="L434" s="12">
        <f t="shared" si="13"/>
        <v>1</v>
      </c>
    </row>
    <row r="435" spans="1:12" x14ac:dyDescent="0.35">
      <c r="A435" t="str">
        <f t="shared" si="12"/>
        <v>SBM48545935</v>
      </c>
      <c r="B435" t="s">
        <v>80</v>
      </c>
      <c r="C435" t="s">
        <v>1469</v>
      </c>
      <c r="D435" s="32">
        <v>44961</v>
      </c>
      <c r="E435" t="s">
        <v>1453</v>
      </c>
      <c r="F435" t="str">
        <f>VLOOKUP(B435,'Agent wise'!A:E,5,0)</f>
        <v>Wireless</v>
      </c>
      <c r="G435" s="32">
        <v>45935</v>
      </c>
      <c r="H435">
        <f>COUNTIFS('Audit Raw data'!J:J,B:B,'Audit Raw data'!E:E,G:G)</f>
        <v>1</v>
      </c>
      <c r="I435" s="44">
        <f>IFERROR((SUMIFS('Audit Raw data'!BZ:BZ,'Audit Raw data'!J:J,B:B,'Audit Raw data'!E:E,G:G)/H435)/100,"-")</f>
        <v>0.86</v>
      </c>
      <c r="J435">
        <f>COUNTIFS('Audit Raw data'!AM:AM,"Yes",'Audit Raw data'!J:J,B:B,'Audit Raw data'!E:E,'Day wise agent'!G:G)</f>
        <v>1</v>
      </c>
      <c r="K435">
        <f>COUNTIFS('Audit Raw data'!AM:AM,"NO",'Audit Raw data'!J:J,B:B,'Audit Raw data'!E:E,'Day wise agent'!G:G)</f>
        <v>0</v>
      </c>
      <c r="L435" s="12">
        <f t="shared" si="13"/>
        <v>1</v>
      </c>
    </row>
    <row r="436" spans="1:12" x14ac:dyDescent="0.35">
      <c r="A436" t="str">
        <f t="shared" si="12"/>
        <v>SBM52445935</v>
      </c>
      <c r="B436" t="s">
        <v>490</v>
      </c>
      <c r="C436" t="s">
        <v>1470</v>
      </c>
      <c r="D436" s="32">
        <v>45093</v>
      </c>
      <c r="E436" t="s">
        <v>1453</v>
      </c>
      <c r="F436" t="str">
        <f>VLOOKUP(B436,'Agent wise'!A:E,5,0)</f>
        <v>Wireless</v>
      </c>
      <c r="G436" s="32">
        <v>45935</v>
      </c>
      <c r="H436">
        <f>COUNTIFS('Audit Raw data'!J:J,B:B,'Audit Raw data'!E:E,G:G)</f>
        <v>0</v>
      </c>
      <c r="I436" s="44" t="str">
        <f>IFERROR((SUMIFS('Audit Raw data'!BZ:BZ,'Audit Raw data'!J:J,B:B,'Audit Raw data'!E:E,G:G)/H436)/100,"-")</f>
        <v>-</v>
      </c>
      <c r="J436">
        <f>COUNTIFS('Audit Raw data'!AM:AM,"Yes",'Audit Raw data'!J:J,B:B,'Audit Raw data'!E:E,'Day wise agent'!G:G)</f>
        <v>0</v>
      </c>
      <c r="K436">
        <f>COUNTIFS('Audit Raw data'!AM:AM,"NO",'Audit Raw data'!J:J,B:B,'Audit Raw data'!E:E,'Day wise agent'!G:G)</f>
        <v>0</v>
      </c>
      <c r="L436" s="12" t="str">
        <f t="shared" si="13"/>
        <v xml:space="preserve"> </v>
      </c>
    </row>
    <row r="437" spans="1:12" x14ac:dyDescent="0.35">
      <c r="A437" t="str">
        <f t="shared" si="12"/>
        <v>SBM55045935</v>
      </c>
      <c r="B437" t="s">
        <v>139</v>
      </c>
      <c r="C437" t="s">
        <v>1471</v>
      </c>
      <c r="D437" s="32">
        <v>45139</v>
      </c>
      <c r="E437" t="s">
        <v>107</v>
      </c>
      <c r="F437" t="str">
        <f>VLOOKUP(B437,'Agent wise'!A:E,5,0)</f>
        <v>Wireless</v>
      </c>
      <c r="G437" s="32">
        <v>45935</v>
      </c>
      <c r="H437">
        <f>COUNTIFS('Audit Raw data'!J:J,B:B,'Audit Raw data'!E:E,G:G)</f>
        <v>0</v>
      </c>
      <c r="I437" s="44" t="str">
        <f>IFERROR((SUMIFS('Audit Raw data'!BZ:BZ,'Audit Raw data'!J:J,B:B,'Audit Raw data'!E:E,G:G)/H437)/100,"-")</f>
        <v>-</v>
      </c>
      <c r="J437">
        <f>COUNTIFS('Audit Raw data'!AM:AM,"Yes",'Audit Raw data'!J:J,B:B,'Audit Raw data'!E:E,'Day wise agent'!G:G)</f>
        <v>0</v>
      </c>
      <c r="K437">
        <f>COUNTIFS('Audit Raw data'!AM:AM,"NO",'Audit Raw data'!J:J,B:B,'Audit Raw data'!E:E,'Day wise agent'!G:G)</f>
        <v>0</v>
      </c>
      <c r="L437" s="12" t="str">
        <f t="shared" si="13"/>
        <v xml:space="preserve"> </v>
      </c>
    </row>
    <row r="438" spans="1:12" x14ac:dyDescent="0.35">
      <c r="A438" t="str">
        <f t="shared" si="12"/>
        <v>SBM55445935</v>
      </c>
      <c r="B438" t="s">
        <v>208</v>
      </c>
      <c r="C438" t="s">
        <v>1472</v>
      </c>
      <c r="D438" s="32">
        <v>45140</v>
      </c>
      <c r="E438" t="s">
        <v>178</v>
      </c>
      <c r="F438" t="str">
        <f>VLOOKUP(B438,'Agent wise'!A:E,5,0)</f>
        <v>Wireless</v>
      </c>
      <c r="G438" s="32">
        <v>45935</v>
      </c>
      <c r="H438">
        <f>COUNTIFS('Audit Raw data'!J:J,B:B,'Audit Raw data'!E:E,G:G)</f>
        <v>3</v>
      </c>
      <c r="I438" s="44">
        <f>IFERROR((SUMIFS('Audit Raw data'!BZ:BZ,'Audit Raw data'!J:J,B:B,'Audit Raw data'!E:E,G:G)/H438)/100,"-")</f>
        <v>0.96666666666666667</v>
      </c>
      <c r="J438">
        <f>COUNTIFS('Audit Raw data'!AM:AM,"Yes",'Audit Raw data'!J:J,B:B,'Audit Raw data'!E:E,'Day wise agent'!G:G)</f>
        <v>3</v>
      </c>
      <c r="K438">
        <f>COUNTIFS('Audit Raw data'!AM:AM,"NO",'Audit Raw data'!J:J,B:B,'Audit Raw data'!E:E,'Day wise agent'!G:G)</f>
        <v>0</v>
      </c>
      <c r="L438" s="12">
        <f t="shared" si="13"/>
        <v>1</v>
      </c>
    </row>
    <row r="439" spans="1:12" x14ac:dyDescent="0.35">
      <c r="A439" t="str">
        <f t="shared" si="12"/>
        <v>SBM58345935</v>
      </c>
      <c r="B439" t="s">
        <v>546</v>
      </c>
      <c r="C439" t="s">
        <v>1473</v>
      </c>
      <c r="D439" s="32">
        <v>45245</v>
      </c>
      <c r="E439" t="s">
        <v>107</v>
      </c>
      <c r="F439" t="str">
        <f>VLOOKUP(B439,'Agent wise'!A:E,5,0)</f>
        <v>Wireless</v>
      </c>
      <c r="G439" s="32">
        <v>45935</v>
      </c>
      <c r="H439">
        <f>COUNTIFS('Audit Raw data'!J:J,B:B,'Audit Raw data'!E:E,G:G)</f>
        <v>2</v>
      </c>
      <c r="I439" s="44">
        <f>IFERROR((SUMIFS('Audit Raw data'!BZ:BZ,'Audit Raw data'!J:J,B:B,'Audit Raw data'!E:E,G:G)/H439)/100,"-")</f>
        <v>0.96</v>
      </c>
      <c r="J439">
        <f>COUNTIFS('Audit Raw data'!AM:AM,"Yes",'Audit Raw data'!J:J,B:B,'Audit Raw data'!E:E,'Day wise agent'!G:G)</f>
        <v>2</v>
      </c>
      <c r="K439">
        <f>COUNTIFS('Audit Raw data'!AM:AM,"NO",'Audit Raw data'!J:J,B:B,'Audit Raw data'!E:E,'Day wise agent'!G:G)</f>
        <v>0</v>
      </c>
      <c r="L439" s="12">
        <f t="shared" si="13"/>
        <v>1</v>
      </c>
    </row>
    <row r="440" spans="1:12" x14ac:dyDescent="0.35">
      <c r="A440" t="str">
        <f t="shared" si="12"/>
        <v>SBM61345935</v>
      </c>
      <c r="B440" t="s">
        <v>391</v>
      </c>
      <c r="C440" t="s">
        <v>1478</v>
      </c>
      <c r="D440" s="32">
        <v>45301</v>
      </c>
      <c r="E440" t="s">
        <v>221</v>
      </c>
      <c r="F440" t="str">
        <f>VLOOKUP(B440,'Agent wise'!A:E,5,0)</f>
        <v>Wire-line</v>
      </c>
      <c r="G440" s="32">
        <v>45935</v>
      </c>
      <c r="H440">
        <f>COUNTIFS('Audit Raw data'!J:J,B:B,'Audit Raw data'!E:E,G:G)</f>
        <v>3</v>
      </c>
      <c r="I440" s="44">
        <f>IFERROR((SUMIFS('Audit Raw data'!BZ:BZ,'Audit Raw data'!J:J,B:B,'Audit Raw data'!E:E,G:G)/H440)/100,"-")</f>
        <v>0.95333333333333325</v>
      </c>
      <c r="J440">
        <f>COUNTIFS('Audit Raw data'!AM:AM,"Yes",'Audit Raw data'!J:J,B:B,'Audit Raw data'!E:E,'Day wise agent'!G:G)</f>
        <v>3</v>
      </c>
      <c r="K440">
        <f>COUNTIFS('Audit Raw data'!AM:AM,"NO",'Audit Raw data'!J:J,B:B,'Audit Raw data'!E:E,'Day wise agent'!G:G)</f>
        <v>0</v>
      </c>
      <c r="L440" s="12">
        <f t="shared" si="13"/>
        <v>1</v>
      </c>
    </row>
    <row r="441" spans="1:12" x14ac:dyDescent="0.35">
      <c r="A441" t="str">
        <f t="shared" si="12"/>
        <v>SBM61845935</v>
      </c>
      <c r="B441" t="s">
        <v>242</v>
      </c>
      <c r="C441" t="s">
        <v>1477</v>
      </c>
      <c r="D441" s="32">
        <v>45292</v>
      </c>
      <c r="E441" t="s">
        <v>221</v>
      </c>
      <c r="F441" t="str">
        <f>VLOOKUP(B441,'Agent wise'!A:E,5,0)</f>
        <v>Wire-line</v>
      </c>
      <c r="G441" s="32">
        <v>45935</v>
      </c>
      <c r="H441">
        <f>COUNTIFS('Audit Raw data'!J:J,B:B,'Audit Raw data'!E:E,G:G)</f>
        <v>2</v>
      </c>
      <c r="I441" s="44">
        <f>IFERROR((SUMIFS('Audit Raw data'!BZ:BZ,'Audit Raw data'!J:J,B:B,'Audit Raw data'!E:E,G:G)/H441)/100,"-")</f>
        <v>0.94</v>
      </c>
      <c r="J441">
        <f>COUNTIFS('Audit Raw data'!AM:AM,"Yes",'Audit Raw data'!J:J,B:B,'Audit Raw data'!E:E,'Day wise agent'!G:G)</f>
        <v>2</v>
      </c>
      <c r="K441">
        <f>COUNTIFS('Audit Raw data'!AM:AM,"NO",'Audit Raw data'!J:J,B:B,'Audit Raw data'!E:E,'Day wise agent'!G:G)</f>
        <v>0</v>
      </c>
      <c r="L441" s="12">
        <f t="shared" si="13"/>
        <v>1</v>
      </c>
    </row>
    <row r="442" spans="1:12" x14ac:dyDescent="0.35">
      <c r="A442" t="str">
        <f t="shared" si="12"/>
        <v>SBM62545935</v>
      </c>
      <c r="B442" t="s">
        <v>472</v>
      </c>
      <c r="C442" t="s">
        <v>1476</v>
      </c>
      <c r="D442" s="32">
        <v>45329</v>
      </c>
      <c r="E442" t="s">
        <v>1453</v>
      </c>
      <c r="F442" t="str">
        <f>VLOOKUP(B442,'Agent wise'!A:E,5,0)</f>
        <v>Wireless</v>
      </c>
      <c r="G442" s="32">
        <v>45935</v>
      </c>
      <c r="H442">
        <f>COUNTIFS('Audit Raw data'!J:J,B:B,'Audit Raw data'!E:E,G:G)</f>
        <v>2</v>
      </c>
      <c r="I442" s="44">
        <f>IFERROR((SUMIFS('Audit Raw data'!BZ:BZ,'Audit Raw data'!J:J,B:B,'Audit Raw data'!E:E,G:G)/H442)/100,"-")</f>
        <v>0.95</v>
      </c>
      <c r="J442">
        <f>COUNTIFS('Audit Raw data'!AM:AM,"Yes",'Audit Raw data'!J:J,B:B,'Audit Raw data'!E:E,'Day wise agent'!G:G)</f>
        <v>2</v>
      </c>
      <c r="K442">
        <f>COUNTIFS('Audit Raw data'!AM:AM,"NO",'Audit Raw data'!J:J,B:B,'Audit Raw data'!E:E,'Day wise agent'!G:G)</f>
        <v>0</v>
      </c>
      <c r="L442" s="12">
        <f t="shared" si="13"/>
        <v>1</v>
      </c>
    </row>
    <row r="443" spans="1:12" x14ac:dyDescent="0.35">
      <c r="A443" t="str">
        <f t="shared" si="12"/>
        <v>SBM65045935</v>
      </c>
      <c r="B443" t="s">
        <v>353</v>
      </c>
      <c r="C443" t="s">
        <v>1479</v>
      </c>
      <c r="D443" s="32">
        <v>45357</v>
      </c>
      <c r="E443" t="s">
        <v>221</v>
      </c>
      <c r="F443" t="str">
        <f>VLOOKUP(B443,'Agent wise'!A:E,5,0)</f>
        <v>Wire-line</v>
      </c>
      <c r="G443" s="32">
        <v>45935</v>
      </c>
      <c r="H443">
        <f>COUNTIFS('Audit Raw data'!J:J,B:B,'Audit Raw data'!E:E,G:G)</f>
        <v>3</v>
      </c>
      <c r="I443" s="44">
        <f>IFERROR((SUMIFS('Audit Raw data'!BZ:BZ,'Audit Raw data'!J:J,B:B,'Audit Raw data'!E:E,G:G)/H443)/100,"-")</f>
        <v>0.9</v>
      </c>
      <c r="J443">
        <f>COUNTIFS('Audit Raw data'!AM:AM,"Yes",'Audit Raw data'!J:J,B:B,'Audit Raw data'!E:E,'Day wise agent'!G:G)</f>
        <v>3</v>
      </c>
      <c r="K443">
        <f>COUNTIFS('Audit Raw data'!AM:AM,"NO",'Audit Raw data'!J:J,B:B,'Audit Raw data'!E:E,'Day wise agent'!G:G)</f>
        <v>0</v>
      </c>
      <c r="L443" s="12">
        <f t="shared" si="13"/>
        <v>1</v>
      </c>
    </row>
    <row r="444" spans="1:12" x14ac:dyDescent="0.35">
      <c r="A444" t="str">
        <f t="shared" si="12"/>
        <v>SBM65345935</v>
      </c>
      <c r="B444" t="s">
        <v>223</v>
      </c>
      <c r="C444" t="s">
        <v>1480</v>
      </c>
      <c r="D444" s="32">
        <v>45367</v>
      </c>
      <c r="E444" t="s">
        <v>221</v>
      </c>
      <c r="F444" t="str">
        <f>VLOOKUP(B444,'Agent wise'!A:E,5,0)</f>
        <v>Wire-line</v>
      </c>
      <c r="G444" s="32">
        <v>45935</v>
      </c>
      <c r="H444">
        <f>COUNTIFS('Audit Raw data'!J:J,B:B,'Audit Raw data'!E:E,G:G)</f>
        <v>3</v>
      </c>
      <c r="I444" s="44">
        <f>IFERROR((SUMIFS('Audit Raw data'!BZ:BZ,'Audit Raw data'!J:J,B:B,'Audit Raw data'!E:E,G:G)/H444)/100,"-")</f>
        <v>0.98666666666666669</v>
      </c>
      <c r="J444">
        <f>COUNTIFS('Audit Raw data'!AM:AM,"Yes",'Audit Raw data'!J:J,B:B,'Audit Raw data'!E:E,'Day wise agent'!G:G)</f>
        <v>3</v>
      </c>
      <c r="K444">
        <f>COUNTIFS('Audit Raw data'!AM:AM,"NO",'Audit Raw data'!J:J,B:B,'Audit Raw data'!E:E,'Day wise agent'!G:G)</f>
        <v>0</v>
      </c>
      <c r="L444" s="12">
        <f t="shared" si="13"/>
        <v>1</v>
      </c>
    </row>
    <row r="445" spans="1:12" x14ac:dyDescent="0.35">
      <c r="A445" t="str">
        <f t="shared" si="12"/>
        <v>SBM67845935</v>
      </c>
      <c r="B445" t="s">
        <v>548</v>
      </c>
      <c r="C445" t="s">
        <v>1481</v>
      </c>
      <c r="D445" s="32">
        <v>45413</v>
      </c>
      <c r="E445" t="s">
        <v>178</v>
      </c>
      <c r="F445" t="str">
        <f>VLOOKUP(B445,'Agent wise'!A:E,5,0)</f>
        <v>Wireless</v>
      </c>
      <c r="G445" s="32">
        <v>45935</v>
      </c>
      <c r="H445">
        <f>COUNTIFS('Audit Raw data'!J:J,B:B,'Audit Raw data'!E:E,G:G)</f>
        <v>0</v>
      </c>
      <c r="I445" s="44" t="str">
        <f>IFERROR((SUMIFS('Audit Raw data'!BZ:BZ,'Audit Raw data'!J:J,B:B,'Audit Raw data'!E:E,G:G)/H445)/100,"-")</f>
        <v>-</v>
      </c>
      <c r="J445">
        <f>COUNTIFS('Audit Raw data'!AM:AM,"Yes",'Audit Raw data'!J:J,B:B,'Audit Raw data'!E:E,'Day wise agent'!G:G)</f>
        <v>0</v>
      </c>
      <c r="K445">
        <f>COUNTIFS('Audit Raw data'!AM:AM,"NO",'Audit Raw data'!J:J,B:B,'Audit Raw data'!E:E,'Day wise agent'!G:G)</f>
        <v>0</v>
      </c>
      <c r="L445" s="12" t="str">
        <f t="shared" si="13"/>
        <v xml:space="preserve"> </v>
      </c>
    </row>
    <row r="446" spans="1:12" x14ac:dyDescent="0.35">
      <c r="A446" t="str">
        <f t="shared" si="12"/>
        <v>SBM69245935</v>
      </c>
      <c r="B446" t="s">
        <v>85</v>
      </c>
      <c r="C446" t="s">
        <v>1482</v>
      </c>
      <c r="D446" s="32">
        <v>45445</v>
      </c>
      <c r="E446" t="s">
        <v>1453</v>
      </c>
      <c r="F446" t="str">
        <f>VLOOKUP(B446,'Agent wise'!A:E,5,0)</f>
        <v>Wireless</v>
      </c>
      <c r="G446" s="32">
        <v>45935</v>
      </c>
      <c r="H446">
        <f>COUNTIFS('Audit Raw data'!J:J,B:B,'Audit Raw data'!E:E,G:G)</f>
        <v>0</v>
      </c>
      <c r="I446" s="44" t="str">
        <f>IFERROR((SUMIFS('Audit Raw data'!BZ:BZ,'Audit Raw data'!J:J,B:B,'Audit Raw data'!E:E,G:G)/H446)/100,"-")</f>
        <v>-</v>
      </c>
      <c r="J446">
        <f>COUNTIFS('Audit Raw data'!AM:AM,"Yes",'Audit Raw data'!J:J,B:B,'Audit Raw data'!E:E,'Day wise agent'!G:G)</f>
        <v>0</v>
      </c>
      <c r="K446">
        <f>COUNTIFS('Audit Raw data'!AM:AM,"NO",'Audit Raw data'!J:J,B:B,'Audit Raw data'!E:E,'Day wise agent'!G:G)</f>
        <v>0</v>
      </c>
      <c r="L446" s="12" t="str">
        <f t="shared" si="13"/>
        <v xml:space="preserve"> </v>
      </c>
    </row>
    <row r="447" spans="1:12" x14ac:dyDescent="0.35">
      <c r="A447" t="str">
        <f t="shared" si="12"/>
        <v>SBM70345935</v>
      </c>
      <c r="B447" t="s">
        <v>252</v>
      </c>
      <c r="C447" t="s">
        <v>1483</v>
      </c>
      <c r="D447" s="32">
        <v>45451</v>
      </c>
      <c r="E447" t="s">
        <v>1484</v>
      </c>
      <c r="F447" t="str">
        <f>VLOOKUP(B447,'Agent wise'!A:E,5,0)</f>
        <v>Wireless</v>
      </c>
      <c r="G447" s="32">
        <v>45935</v>
      </c>
      <c r="H447">
        <f>COUNTIFS('Audit Raw data'!J:J,B:B,'Audit Raw data'!E:E,G:G)</f>
        <v>0</v>
      </c>
      <c r="I447" s="44" t="str">
        <f>IFERROR((SUMIFS('Audit Raw data'!BZ:BZ,'Audit Raw data'!J:J,B:B,'Audit Raw data'!E:E,G:G)/H447)/100,"-")</f>
        <v>-</v>
      </c>
      <c r="J447">
        <f>COUNTIFS('Audit Raw data'!AM:AM,"Yes",'Audit Raw data'!J:J,B:B,'Audit Raw data'!E:E,'Day wise agent'!G:G)</f>
        <v>0</v>
      </c>
      <c r="K447">
        <f>COUNTIFS('Audit Raw data'!AM:AM,"NO",'Audit Raw data'!J:J,B:B,'Audit Raw data'!E:E,'Day wise agent'!G:G)</f>
        <v>0</v>
      </c>
      <c r="L447" s="12" t="str">
        <f t="shared" si="13"/>
        <v xml:space="preserve"> </v>
      </c>
    </row>
    <row r="448" spans="1:12" x14ac:dyDescent="0.35">
      <c r="A448" t="str">
        <f t="shared" si="12"/>
        <v>SBM71045935</v>
      </c>
      <c r="B448" t="s">
        <v>552</v>
      </c>
      <c r="C448" t="s">
        <v>1485</v>
      </c>
      <c r="D448" s="32">
        <v>45465</v>
      </c>
      <c r="E448" t="s">
        <v>1484</v>
      </c>
      <c r="F448" t="str">
        <f>VLOOKUP(B448,'Agent wise'!A:E,5,0)</f>
        <v>Wireless</v>
      </c>
      <c r="G448" s="32">
        <v>45935</v>
      </c>
      <c r="H448">
        <f>COUNTIFS('Audit Raw data'!J:J,B:B,'Audit Raw data'!E:E,G:G)</f>
        <v>0</v>
      </c>
      <c r="I448" s="44" t="str">
        <f>IFERROR((SUMIFS('Audit Raw data'!BZ:BZ,'Audit Raw data'!J:J,B:B,'Audit Raw data'!E:E,G:G)/H448)/100,"-")</f>
        <v>-</v>
      </c>
      <c r="J448">
        <f>COUNTIFS('Audit Raw data'!AM:AM,"Yes",'Audit Raw data'!J:J,B:B,'Audit Raw data'!E:E,'Day wise agent'!G:G)</f>
        <v>0</v>
      </c>
      <c r="K448">
        <f>COUNTIFS('Audit Raw data'!AM:AM,"NO",'Audit Raw data'!J:J,B:B,'Audit Raw data'!E:E,'Day wise agent'!G:G)</f>
        <v>0</v>
      </c>
      <c r="L448" s="12" t="str">
        <f t="shared" si="13"/>
        <v xml:space="preserve"> </v>
      </c>
    </row>
    <row r="449" spans="1:12" x14ac:dyDescent="0.35">
      <c r="A449" t="str">
        <f t="shared" si="12"/>
        <v>SBM71145935</v>
      </c>
      <c r="B449" t="s">
        <v>533</v>
      </c>
      <c r="C449" t="s">
        <v>1486</v>
      </c>
      <c r="D449" s="32">
        <v>45465</v>
      </c>
      <c r="E449" t="s">
        <v>1484</v>
      </c>
      <c r="F449" t="str">
        <f>VLOOKUP(B449,'Agent wise'!A:E,5,0)</f>
        <v>Wireless</v>
      </c>
      <c r="G449" s="32">
        <v>45935</v>
      </c>
      <c r="H449">
        <f>COUNTIFS('Audit Raw data'!J:J,B:B,'Audit Raw data'!E:E,G:G)</f>
        <v>2</v>
      </c>
      <c r="I449" s="44">
        <f>IFERROR((SUMIFS('Audit Raw data'!BZ:BZ,'Audit Raw data'!J:J,B:B,'Audit Raw data'!E:E,G:G)/H449)/100,"-")</f>
        <v>0.97</v>
      </c>
      <c r="J449">
        <f>COUNTIFS('Audit Raw data'!AM:AM,"Yes",'Audit Raw data'!J:J,B:B,'Audit Raw data'!E:E,'Day wise agent'!G:G)</f>
        <v>2</v>
      </c>
      <c r="K449">
        <f>COUNTIFS('Audit Raw data'!AM:AM,"NO",'Audit Raw data'!J:J,B:B,'Audit Raw data'!E:E,'Day wise agent'!G:G)</f>
        <v>0</v>
      </c>
      <c r="L449" s="12">
        <f t="shared" si="13"/>
        <v>1</v>
      </c>
    </row>
    <row r="450" spans="1:12" x14ac:dyDescent="0.35">
      <c r="A450" t="str">
        <f t="shared" ref="A450:A513" si="14">B450&amp;G450</f>
        <v>SBM71845935</v>
      </c>
      <c r="B450" t="s">
        <v>451</v>
      </c>
      <c r="C450" t="s">
        <v>1487</v>
      </c>
      <c r="D450" s="32">
        <v>45491</v>
      </c>
      <c r="E450" t="s">
        <v>1484</v>
      </c>
      <c r="F450" t="str">
        <f>VLOOKUP(B450,'Agent wise'!A:E,5,0)</f>
        <v>Wireless</v>
      </c>
      <c r="G450" s="32">
        <v>45935</v>
      </c>
      <c r="H450">
        <f>COUNTIFS('Audit Raw data'!J:J,B:B,'Audit Raw data'!E:E,G:G)</f>
        <v>1</v>
      </c>
      <c r="I450" s="44">
        <f>IFERROR((SUMIFS('Audit Raw data'!BZ:BZ,'Audit Raw data'!J:J,B:B,'Audit Raw data'!E:E,G:G)/H450)/100,"-")</f>
        <v>0.9</v>
      </c>
      <c r="J450">
        <f>COUNTIFS('Audit Raw data'!AM:AM,"Yes",'Audit Raw data'!J:J,B:B,'Audit Raw data'!E:E,'Day wise agent'!G:G)</f>
        <v>1</v>
      </c>
      <c r="K450">
        <f>COUNTIFS('Audit Raw data'!AM:AM,"NO",'Audit Raw data'!J:J,B:B,'Audit Raw data'!E:E,'Day wise agent'!G:G)</f>
        <v>0</v>
      </c>
      <c r="L450" s="12">
        <f t="shared" ref="L450:L513" si="15">IFERROR(J450/H450," ")</f>
        <v>1</v>
      </c>
    </row>
    <row r="451" spans="1:12" x14ac:dyDescent="0.35">
      <c r="A451" t="str">
        <f t="shared" si="14"/>
        <v>SBM72045935</v>
      </c>
      <c r="B451" t="s">
        <v>557</v>
      </c>
      <c r="C451" t="s">
        <v>1488</v>
      </c>
      <c r="D451" s="32">
        <v>45491</v>
      </c>
      <c r="E451" t="s">
        <v>1484</v>
      </c>
      <c r="F451" t="str">
        <f>VLOOKUP(B451,'Agent wise'!A:E,5,0)</f>
        <v>Wireless</v>
      </c>
      <c r="G451" s="32">
        <v>45935</v>
      </c>
      <c r="H451">
        <f>COUNTIFS('Audit Raw data'!J:J,B:B,'Audit Raw data'!E:E,G:G)</f>
        <v>0</v>
      </c>
      <c r="I451" s="44" t="str">
        <f>IFERROR((SUMIFS('Audit Raw data'!BZ:BZ,'Audit Raw data'!J:J,B:B,'Audit Raw data'!E:E,G:G)/H451)/100,"-")</f>
        <v>-</v>
      </c>
      <c r="J451">
        <f>COUNTIFS('Audit Raw data'!AM:AM,"Yes",'Audit Raw data'!J:J,B:B,'Audit Raw data'!E:E,'Day wise agent'!G:G)</f>
        <v>0</v>
      </c>
      <c r="K451">
        <f>COUNTIFS('Audit Raw data'!AM:AM,"NO",'Audit Raw data'!J:J,B:B,'Audit Raw data'!E:E,'Day wise agent'!G:G)</f>
        <v>0</v>
      </c>
      <c r="L451" s="12" t="str">
        <f t="shared" si="15"/>
        <v xml:space="preserve"> </v>
      </c>
    </row>
    <row r="452" spans="1:12" x14ac:dyDescent="0.35">
      <c r="A452" t="str">
        <f t="shared" si="14"/>
        <v>SBM72445935</v>
      </c>
      <c r="B452" t="s">
        <v>144</v>
      </c>
      <c r="C452" t="s">
        <v>1489</v>
      </c>
      <c r="D452" s="32">
        <v>45491</v>
      </c>
      <c r="E452" t="s">
        <v>1484</v>
      </c>
      <c r="F452" t="str">
        <f>VLOOKUP(B452,'Agent wise'!A:E,5,0)</f>
        <v>Wireless</v>
      </c>
      <c r="G452" s="32">
        <v>45935</v>
      </c>
      <c r="H452">
        <f>COUNTIFS('Audit Raw data'!J:J,B:B,'Audit Raw data'!E:E,G:G)</f>
        <v>1</v>
      </c>
      <c r="I452" s="44">
        <f>IFERROR((SUMIFS('Audit Raw data'!BZ:BZ,'Audit Raw data'!J:J,B:B,'Audit Raw data'!E:E,G:G)/H452)/100,"-")</f>
        <v>0.92</v>
      </c>
      <c r="J452">
        <f>COUNTIFS('Audit Raw data'!AM:AM,"Yes",'Audit Raw data'!J:J,B:B,'Audit Raw data'!E:E,'Day wise agent'!G:G)</f>
        <v>1</v>
      </c>
      <c r="K452">
        <f>COUNTIFS('Audit Raw data'!AM:AM,"NO",'Audit Raw data'!J:J,B:B,'Audit Raw data'!E:E,'Day wise agent'!G:G)</f>
        <v>0</v>
      </c>
      <c r="L452" s="12">
        <f t="shared" si="15"/>
        <v>1</v>
      </c>
    </row>
    <row r="453" spans="1:12" x14ac:dyDescent="0.35">
      <c r="A453" t="str">
        <f t="shared" si="14"/>
        <v>SBM73445935</v>
      </c>
      <c r="B453" t="s">
        <v>356</v>
      </c>
      <c r="C453" t="s">
        <v>1490</v>
      </c>
      <c r="D453" s="32">
        <v>45497</v>
      </c>
      <c r="E453" t="s">
        <v>221</v>
      </c>
      <c r="F453" t="str">
        <f>VLOOKUP(B453,'Agent wise'!A:E,5,0)</f>
        <v>Wire-line</v>
      </c>
      <c r="G453" s="32">
        <v>45935</v>
      </c>
      <c r="H453">
        <f>COUNTIFS('Audit Raw data'!J:J,B:B,'Audit Raw data'!E:E,G:G)</f>
        <v>2</v>
      </c>
      <c r="I453" s="44">
        <f>IFERROR((SUMIFS('Audit Raw data'!BZ:BZ,'Audit Raw data'!J:J,B:B,'Audit Raw data'!E:E,G:G)/H453)/100,"-")</f>
        <v>0.98</v>
      </c>
      <c r="J453">
        <f>COUNTIFS('Audit Raw data'!AM:AM,"Yes",'Audit Raw data'!J:J,B:B,'Audit Raw data'!E:E,'Day wise agent'!G:G)</f>
        <v>2</v>
      </c>
      <c r="K453">
        <f>COUNTIFS('Audit Raw data'!AM:AM,"NO",'Audit Raw data'!J:J,B:B,'Audit Raw data'!E:E,'Day wise agent'!G:G)</f>
        <v>0</v>
      </c>
      <c r="L453" s="12">
        <f t="shared" si="15"/>
        <v>1</v>
      </c>
    </row>
    <row r="454" spans="1:12" x14ac:dyDescent="0.35">
      <c r="A454" t="str">
        <f t="shared" si="14"/>
        <v>SBM73645935</v>
      </c>
      <c r="B454" t="s">
        <v>501</v>
      </c>
      <c r="C454" t="s">
        <v>1491</v>
      </c>
      <c r="D454" s="32">
        <v>45500</v>
      </c>
      <c r="E454" t="s">
        <v>221</v>
      </c>
      <c r="F454" t="str">
        <f>VLOOKUP(B454,'Agent wise'!A:E,5,0)</f>
        <v>Wire-line</v>
      </c>
      <c r="G454" s="32">
        <v>45935</v>
      </c>
      <c r="H454">
        <f>COUNTIFS('Audit Raw data'!J:J,B:B,'Audit Raw data'!E:E,G:G)</f>
        <v>1</v>
      </c>
      <c r="I454" s="44">
        <f>IFERROR((SUMIFS('Audit Raw data'!BZ:BZ,'Audit Raw data'!J:J,B:B,'Audit Raw data'!E:E,G:G)/H454)/100,"-")</f>
        <v>0.88</v>
      </c>
      <c r="J454">
        <f>COUNTIFS('Audit Raw data'!AM:AM,"Yes",'Audit Raw data'!J:J,B:B,'Audit Raw data'!E:E,'Day wise agent'!G:G)</f>
        <v>1</v>
      </c>
      <c r="K454">
        <f>COUNTIFS('Audit Raw data'!AM:AM,"NO",'Audit Raw data'!J:J,B:B,'Audit Raw data'!E:E,'Day wise agent'!G:G)</f>
        <v>0</v>
      </c>
      <c r="L454" s="12">
        <f t="shared" si="15"/>
        <v>1</v>
      </c>
    </row>
    <row r="455" spans="1:12" x14ac:dyDescent="0.35">
      <c r="A455" t="str">
        <f t="shared" si="14"/>
        <v>SBM73945935</v>
      </c>
      <c r="B455" t="s">
        <v>559</v>
      </c>
      <c r="C455" t="s">
        <v>1492</v>
      </c>
      <c r="D455" s="32">
        <v>45516</v>
      </c>
      <c r="E455" t="s">
        <v>1484</v>
      </c>
      <c r="F455" t="str">
        <f>VLOOKUP(B455,'Agent wise'!A:E,5,0)</f>
        <v>Wireless</v>
      </c>
      <c r="G455" s="32">
        <v>45935</v>
      </c>
      <c r="H455">
        <f>COUNTIFS('Audit Raw data'!J:J,B:B,'Audit Raw data'!E:E,G:G)</f>
        <v>1</v>
      </c>
      <c r="I455" s="44">
        <f>IFERROR((SUMIFS('Audit Raw data'!BZ:BZ,'Audit Raw data'!J:J,B:B,'Audit Raw data'!E:E,G:G)/H455)/100,"-")</f>
        <v>0.84</v>
      </c>
      <c r="J455">
        <f>COUNTIFS('Audit Raw data'!AM:AM,"Yes",'Audit Raw data'!J:J,B:B,'Audit Raw data'!E:E,'Day wise agent'!G:G)</f>
        <v>1</v>
      </c>
      <c r="K455">
        <f>COUNTIFS('Audit Raw data'!AM:AM,"NO",'Audit Raw data'!J:J,B:B,'Audit Raw data'!E:E,'Day wise agent'!G:G)</f>
        <v>0</v>
      </c>
      <c r="L455" s="12">
        <f t="shared" si="15"/>
        <v>1</v>
      </c>
    </row>
    <row r="456" spans="1:12" x14ac:dyDescent="0.35">
      <c r="A456" t="str">
        <f t="shared" si="14"/>
        <v>SBM74445935</v>
      </c>
      <c r="B456" t="s">
        <v>96</v>
      </c>
      <c r="C456" t="s">
        <v>1493</v>
      </c>
      <c r="D456" s="32">
        <v>45516</v>
      </c>
      <c r="E456" t="s">
        <v>1484</v>
      </c>
      <c r="F456" t="str">
        <f>VLOOKUP(B456,'Agent wise'!A:E,5,0)</f>
        <v>Wireless</v>
      </c>
      <c r="G456" s="32">
        <v>45935</v>
      </c>
      <c r="H456">
        <f>COUNTIFS('Audit Raw data'!J:J,B:B,'Audit Raw data'!E:E,G:G)</f>
        <v>0</v>
      </c>
      <c r="I456" s="44" t="str">
        <f>IFERROR((SUMIFS('Audit Raw data'!BZ:BZ,'Audit Raw data'!J:J,B:B,'Audit Raw data'!E:E,G:G)/H456)/100,"-")</f>
        <v>-</v>
      </c>
      <c r="J456">
        <f>COUNTIFS('Audit Raw data'!AM:AM,"Yes",'Audit Raw data'!J:J,B:B,'Audit Raw data'!E:E,'Day wise agent'!G:G)</f>
        <v>0</v>
      </c>
      <c r="K456">
        <f>COUNTIFS('Audit Raw data'!AM:AM,"NO",'Audit Raw data'!J:J,B:B,'Audit Raw data'!E:E,'Day wise agent'!G:G)</f>
        <v>0</v>
      </c>
      <c r="L456" s="12" t="str">
        <f t="shared" si="15"/>
        <v xml:space="preserve"> </v>
      </c>
    </row>
    <row r="457" spans="1:12" x14ac:dyDescent="0.35">
      <c r="A457" t="str">
        <f t="shared" si="14"/>
        <v>SBM75545935</v>
      </c>
      <c r="B457" t="s">
        <v>409</v>
      </c>
      <c r="C457" t="s">
        <v>1494</v>
      </c>
      <c r="D457" s="32">
        <v>45518</v>
      </c>
      <c r="E457" t="s">
        <v>221</v>
      </c>
      <c r="F457" t="str">
        <f>VLOOKUP(B457,'Agent wise'!A:E,5,0)</f>
        <v>Wire-line</v>
      </c>
      <c r="G457" s="32">
        <v>45935</v>
      </c>
      <c r="H457">
        <f>COUNTIFS('Audit Raw data'!J:J,B:B,'Audit Raw data'!E:E,G:G)</f>
        <v>1</v>
      </c>
      <c r="I457" s="44">
        <f>IFERROR((SUMIFS('Audit Raw data'!BZ:BZ,'Audit Raw data'!J:J,B:B,'Audit Raw data'!E:E,G:G)/H457)/100,"-")</f>
        <v>0.92</v>
      </c>
      <c r="J457">
        <f>COUNTIFS('Audit Raw data'!AM:AM,"Yes",'Audit Raw data'!J:J,B:B,'Audit Raw data'!E:E,'Day wise agent'!G:G)</f>
        <v>1</v>
      </c>
      <c r="K457">
        <f>COUNTIFS('Audit Raw data'!AM:AM,"NO",'Audit Raw data'!J:J,B:B,'Audit Raw data'!E:E,'Day wise agent'!G:G)</f>
        <v>0</v>
      </c>
      <c r="L457" s="12">
        <f t="shared" si="15"/>
        <v>1</v>
      </c>
    </row>
    <row r="458" spans="1:12" x14ac:dyDescent="0.35">
      <c r="A458" t="str">
        <f t="shared" si="14"/>
        <v>SBM75845935</v>
      </c>
      <c r="B458" t="s">
        <v>420</v>
      </c>
      <c r="C458" t="s">
        <v>1502</v>
      </c>
      <c r="D458" s="32">
        <v>45518</v>
      </c>
      <c r="E458" t="s">
        <v>221</v>
      </c>
      <c r="F458" t="str">
        <f>VLOOKUP(B458,'Agent wise'!A:E,5,0)</f>
        <v>Wire-line</v>
      </c>
      <c r="G458" s="32">
        <v>45935</v>
      </c>
      <c r="H458">
        <f>COUNTIFS('Audit Raw data'!J:J,B:B,'Audit Raw data'!E:E,G:G)</f>
        <v>2</v>
      </c>
      <c r="I458" s="44">
        <f>IFERROR((SUMIFS('Audit Raw data'!BZ:BZ,'Audit Raw data'!J:J,B:B,'Audit Raw data'!E:E,G:G)/H458)/100,"-")</f>
        <v>0.98</v>
      </c>
      <c r="J458">
        <f>COUNTIFS('Audit Raw data'!AM:AM,"Yes",'Audit Raw data'!J:J,B:B,'Audit Raw data'!E:E,'Day wise agent'!G:G)</f>
        <v>2</v>
      </c>
      <c r="K458">
        <f>COUNTIFS('Audit Raw data'!AM:AM,"NO",'Audit Raw data'!J:J,B:B,'Audit Raw data'!E:E,'Day wise agent'!G:G)</f>
        <v>0</v>
      </c>
      <c r="L458" s="12">
        <f t="shared" si="15"/>
        <v>1</v>
      </c>
    </row>
    <row r="459" spans="1:12" x14ac:dyDescent="0.35">
      <c r="A459" t="str">
        <f t="shared" si="14"/>
        <v>SBM76745935</v>
      </c>
      <c r="B459" t="s">
        <v>442</v>
      </c>
      <c r="C459" t="s">
        <v>1495</v>
      </c>
      <c r="D459" s="32">
        <v>45520</v>
      </c>
      <c r="E459" t="s">
        <v>107</v>
      </c>
      <c r="F459" t="str">
        <f>VLOOKUP(B459,'Agent wise'!A:E,5,0)</f>
        <v>Wireless</v>
      </c>
      <c r="G459" s="32">
        <v>45935</v>
      </c>
      <c r="H459">
        <f>COUNTIFS('Audit Raw data'!J:J,B:B,'Audit Raw data'!E:E,G:G)</f>
        <v>4</v>
      </c>
      <c r="I459" s="44">
        <f>IFERROR((SUMIFS('Audit Raw data'!BZ:BZ,'Audit Raw data'!J:J,B:B,'Audit Raw data'!E:E,G:G)/H459)/100,"-")</f>
        <v>0.95499999999999996</v>
      </c>
      <c r="J459">
        <f>COUNTIFS('Audit Raw data'!AM:AM,"Yes",'Audit Raw data'!J:J,B:B,'Audit Raw data'!E:E,'Day wise agent'!G:G)</f>
        <v>4</v>
      </c>
      <c r="K459">
        <f>COUNTIFS('Audit Raw data'!AM:AM,"NO",'Audit Raw data'!J:J,B:B,'Audit Raw data'!E:E,'Day wise agent'!G:G)</f>
        <v>0</v>
      </c>
      <c r="L459" s="12">
        <f t="shared" si="15"/>
        <v>1</v>
      </c>
    </row>
    <row r="460" spans="1:12" x14ac:dyDescent="0.35">
      <c r="A460" t="str">
        <f t="shared" si="14"/>
        <v>SBM77245935</v>
      </c>
      <c r="B460" t="s">
        <v>640</v>
      </c>
      <c r="C460" t="s">
        <v>1497</v>
      </c>
      <c r="D460" s="32">
        <v>45528</v>
      </c>
      <c r="E460" t="s">
        <v>178</v>
      </c>
      <c r="F460" t="str">
        <f>VLOOKUP(B460,'Agent wise'!A:E,5,0)</f>
        <v>Wireless</v>
      </c>
      <c r="G460" s="32">
        <v>45935</v>
      </c>
      <c r="H460">
        <f>COUNTIFS('Audit Raw data'!J:J,B:B,'Audit Raw data'!E:E,G:G)</f>
        <v>1</v>
      </c>
      <c r="I460" s="44">
        <f>IFERROR((SUMIFS('Audit Raw data'!BZ:BZ,'Audit Raw data'!J:J,B:B,'Audit Raw data'!E:E,G:G)/H460)/100,"-")</f>
        <v>0.92</v>
      </c>
      <c r="J460">
        <f>COUNTIFS('Audit Raw data'!AM:AM,"Yes",'Audit Raw data'!J:J,B:B,'Audit Raw data'!E:E,'Day wise agent'!G:G)</f>
        <v>1</v>
      </c>
      <c r="K460">
        <f>COUNTIFS('Audit Raw data'!AM:AM,"NO",'Audit Raw data'!J:J,B:B,'Audit Raw data'!E:E,'Day wise agent'!G:G)</f>
        <v>0</v>
      </c>
      <c r="L460" s="12">
        <f t="shared" si="15"/>
        <v>1</v>
      </c>
    </row>
    <row r="461" spans="1:12" x14ac:dyDescent="0.35">
      <c r="A461" t="str">
        <f t="shared" si="14"/>
        <v>SBM77345935</v>
      </c>
      <c r="B461" t="s">
        <v>464</v>
      </c>
      <c r="C461" t="s">
        <v>1496</v>
      </c>
      <c r="D461" s="32">
        <v>45526</v>
      </c>
      <c r="E461" t="s">
        <v>178</v>
      </c>
      <c r="F461" t="str">
        <f>VLOOKUP(B461,'Agent wise'!A:E,5,0)</f>
        <v>Wireless</v>
      </c>
      <c r="G461" s="32">
        <v>45935</v>
      </c>
      <c r="H461">
        <f>COUNTIFS('Audit Raw data'!J:J,B:B,'Audit Raw data'!E:E,G:G)</f>
        <v>0</v>
      </c>
      <c r="I461" s="44" t="str">
        <f>IFERROR((SUMIFS('Audit Raw data'!BZ:BZ,'Audit Raw data'!J:J,B:B,'Audit Raw data'!E:E,G:G)/H461)/100,"-")</f>
        <v>-</v>
      </c>
      <c r="J461">
        <f>COUNTIFS('Audit Raw data'!AM:AM,"Yes",'Audit Raw data'!J:J,B:B,'Audit Raw data'!E:E,'Day wise agent'!G:G)</f>
        <v>0</v>
      </c>
      <c r="K461">
        <f>COUNTIFS('Audit Raw data'!AM:AM,"NO",'Audit Raw data'!J:J,B:B,'Audit Raw data'!E:E,'Day wise agent'!G:G)</f>
        <v>0</v>
      </c>
      <c r="L461" s="12" t="str">
        <f t="shared" si="15"/>
        <v xml:space="preserve"> </v>
      </c>
    </row>
    <row r="462" spans="1:12" x14ac:dyDescent="0.35">
      <c r="A462" t="str">
        <f t="shared" si="14"/>
        <v>SBM77545935</v>
      </c>
      <c r="B462" t="s">
        <v>643</v>
      </c>
      <c r="C462" t="s">
        <v>1498</v>
      </c>
      <c r="D462" s="32">
        <v>45535</v>
      </c>
      <c r="E462" t="s">
        <v>1484</v>
      </c>
      <c r="F462" t="str">
        <f>VLOOKUP(B462,'Agent wise'!A:E,5,0)</f>
        <v>Wireless</v>
      </c>
      <c r="G462" s="32">
        <v>45935</v>
      </c>
      <c r="H462">
        <f>COUNTIFS('Audit Raw data'!J:J,B:B,'Audit Raw data'!E:E,G:G)</f>
        <v>0</v>
      </c>
      <c r="I462" s="44" t="str">
        <f>IFERROR((SUMIFS('Audit Raw data'!BZ:BZ,'Audit Raw data'!J:J,B:B,'Audit Raw data'!E:E,G:G)/H462)/100,"-")</f>
        <v>-</v>
      </c>
      <c r="J462">
        <f>COUNTIFS('Audit Raw data'!AM:AM,"Yes",'Audit Raw data'!J:J,B:B,'Audit Raw data'!E:E,'Day wise agent'!G:G)</f>
        <v>0</v>
      </c>
      <c r="K462">
        <f>COUNTIFS('Audit Raw data'!AM:AM,"NO",'Audit Raw data'!J:J,B:B,'Audit Raw data'!E:E,'Day wise agent'!G:G)</f>
        <v>0</v>
      </c>
      <c r="L462" s="12" t="str">
        <f t="shared" si="15"/>
        <v xml:space="preserve"> </v>
      </c>
    </row>
    <row r="463" spans="1:12" x14ac:dyDescent="0.35">
      <c r="A463" t="str">
        <f t="shared" si="14"/>
        <v>SBM79245935</v>
      </c>
      <c r="B463" t="s">
        <v>179</v>
      </c>
      <c r="C463" t="s">
        <v>1499</v>
      </c>
      <c r="D463" s="32">
        <v>45545</v>
      </c>
      <c r="E463" t="s">
        <v>178</v>
      </c>
      <c r="F463" t="str">
        <f>VLOOKUP(B463,'Agent wise'!A:E,5,0)</f>
        <v>Wireless</v>
      </c>
      <c r="G463" s="32">
        <v>45935</v>
      </c>
      <c r="H463">
        <f>COUNTIFS('Audit Raw data'!J:J,B:B,'Audit Raw data'!E:E,G:G)</f>
        <v>0</v>
      </c>
      <c r="I463" s="44" t="str">
        <f>IFERROR((SUMIFS('Audit Raw data'!BZ:BZ,'Audit Raw data'!J:J,B:B,'Audit Raw data'!E:E,G:G)/H463)/100,"-")</f>
        <v>-</v>
      </c>
      <c r="J463">
        <f>COUNTIFS('Audit Raw data'!AM:AM,"Yes",'Audit Raw data'!J:J,B:B,'Audit Raw data'!E:E,'Day wise agent'!G:G)</f>
        <v>0</v>
      </c>
      <c r="K463">
        <f>COUNTIFS('Audit Raw data'!AM:AM,"NO",'Audit Raw data'!J:J,B:B,'Audit Raw data'!E:E,'Day wise agent'!G:G)</f>
        <v>0</v>
      </c>
      <c r="L463" s="12" t="str">
        <f t="shared" si="15"/>
        <v xml:space="preserve"> </v>
      </c>
    </row>
    <row r="464" spans="1:12" x14ac:dyDescent="0.35">
      <c r="A464" t="str">
        <f t="shared" si="14"/>
        <v>SBM79445935</v>
      </c>
      <c r="B464" t="s">
        <v>246</v>
      </c>
      <c r="C464" t="s">
        <v>1500</v>
      </c>
      <c r="D464" s="32">
        <v>45550</v>
      </c>
      <c r="E464" t="s">
        <v>221</v>
      </c>
      <c r="F464" t="str">
        <f>VLOOKUP(B464,'Agent wise'!A:E,5,0)</f>
        <v>Wire-line</v>
      </c>
      <c r="G464" s="32">
        <v>45935</v>
      </c>
      <c r="H464">
        <f>COUNTIFS('Audit Raw data'!J:J,B:B,'Audit Raw data'!E:E,G:G)</f>
        <v>6</v>
      </c>
      <c r="I464" s="44">
        <f>IFERROR((SUMIFS('Audit Raw data'!BZ:BZ,'Audit Raw data'!J:J,B:B,'Audit Raw data'!E:E,G:G)/H464)/100,"-")</f>
        <v>1</v>
      </c>
      <c r="J464">
        <f>COUNTIFS('Audit Raw data'!AM:AM,"Yes",'Audit Raw data'!J:J,B:B,'Audit Raw data'!E:E,'Day wise agent'!G:G)</f>
        <v>6</v>
      </c>
      <c r="K464">
        <f>COUNTIFS('Audit Raw data'!AM:AM,"NO",'Audit Raw data'!J:J,B:B,'Audit Raw data'!E:E,'Day wise agent'!G:G)</f>
        <v>0</v>
      </c>
      <c r="L464" s="12">
        <f t="shared" si="15"/>
        <v>1</v>
      </c>
    </row>
    <row r="465" spans="1:12" x14ac:dyDescent="0.35">
      <c r="A465" t="str">
        <f t="shared" si="14"/>
        <v>SBM90145935</v>
      </c>
      <c r="B465" t="s">
        <v>646</v>
      </c>
      <c r="C465" t="s">
        <v>1501</v>
      </c>
      <c r="D465" s="32">
        <v>45564</v>
      </c>
      <c r="E465" t="s">
        <v>1484</v>
      </c>
      <c r="F465" t="str">
        <f>VLOOKUP(B465,'Agent wise'!A:E,5,0)</f>
        <v>Wireless</v>
      </c>
      <c r="G465" s="32">
        <v>45935</v>
      </c>
      <c r="H465">
        <f>COUNTIFS('Audit Raw data'!J:J,B:B,'Audit Raw data'!E:E,G:G)</f>
        <v>0</v>
      </c>
      <c r="I465" s="44" t="str">
        <f>IFERROR((SUMIFS('Audit Raw data'!BZ:BZ,'Audit Raw data'!J:J,B:B,'Audit Raw data'!E:E,G:G)/H465)/100,"-")</f>
        <v>-</v>
      </c>
      <c r="J465">
        <f>COUNTIFS('Audit Raw data'!AM:AM,"Yes",'Audit Raw data'!J:J,B:B,'Audit Raw data'!E:E,'Day wise agent'!G:G)</f>
        <v>0</v>
      </c>
      <c r="K465">
        <f>COUNTIFS('Audit Raw data'!AM:AM,"NO",'Audit Raw data'!J:J,B:B,'Audit Raw data'!E:E,'Day wise agent'!G:G)</f>
        <v>0</v>
      </c>
      <c r="L465" s="12" t="str">
        <f t="shared" si="15"/>
        <v xml:space="preserve"> </v>
      </c>
    </row>
    <row r="466" spans="1:12" x14ac:dyDescent="0.35">
      <c r="A466" t="str">
        <f t="shared" si="14"/>
        <v>SBM91345935</v>
      </c>
      <c r="B466" t="s">
        <v>650</v>
      </c>
      <c r="C466" t="s">
        <v>1503</v>
      </c>
      <c r="D466" s="32">
        <v>45589</v>
      </c>
      <c r="E466" t="s">
        <v>178</v>
      </c>
      <c r="F466" t="str">
        <f>VLOOKUP(B466,'Agent wise'!A:E,5,0)</f>
        <v>Wireless</v>
      </c>
      <c r="G466" s="32">
        <v>45935</v>
      </c>
      <c r="H466">
        <f>COUNTIFS('Audit Raw data'!J:J,B:B,'Audit Raw data'!E:E,G:G)</f>
        <v>0</v>
      </c>
      <c r="I466" s="44" t="str">
        <f>IFERROR((SUMIFS('Audit Raw data'!BZ:BZ,'Audit Raw data'!J:J,B:B,'Audit Raw data'!E:E,G:G)/H466)/100,"-")</f>
        <v>-</v>
      </c>
      <c r="J466">
        <f>COUNTIFS('Audit Raw data'!AM:AM,"Yes",'Audit Raw data'!J:J,B:B,'Audit Raw data'!E:E,'Day wise agent'!G:G)</f>
        <v>0</v>
      </c>
      <c r="K466">
        <f>COUNTIFS('Audit Raw data'!AM:AM,"NO",'Audit Raw data'!J:J,B:B,'Audit Raw data'!E:E,'Day wise agent'!G:G)</f>
        <v>0</v>
      </c>
      <c r="L466" s="12" t="str">
        <f t="shared" si="15"/>
        <v xml:space="preserve"> </v>
      </c>
    </row>
    <row r="467" spans="1:12" x14ac:dyDescent="0.35">
      <c r="A467" t="str">
        <f t="shared" si="14"/>
        <v>SBM94645935</v>
      </c>
      <c r="B467" t="s">
        <v>653</v>
      </c>
      <c r="C467" t="s">
        <v>1505</v>
      </c>
      <c r="D467" s="32">
        <v>45635</v>
      </c>
      <c r="E467" t="s">
        <v>1453</v>
      </c>
      <c r="F467" t="str">
        <f>VLOOKUP(B467,'Agent wise'!A:E,5,0)</f>
        <v>Wireless</v>
      </c>
      <c r="G467" s="32">
        <v>45935</v>
      </c>
      <c r="H467">
        <f>COUNTIFS('Audit Raw data'!J:J,B:B,'Audit Raw data'!E:E,G:G)</f>
        <v>1</v>
      </c>
      <c r="I467" s="44">
        <f>IFERROR((SUMIFS('Audit Raw data'!BZ:BZ,'Audit Raw data'!J:J,B:B,'Audit Raw data'!E:E,G:G)/H467)/100,"-")</f>
        <v>0.96</v>
      </c>
      <c r="J467">
        <f>COUNTIFS('Audit Raw data'!AM:AM,"Yes",'Audit Raw data'!J:J,B:B,'Audit Raw data'!E:E,'Day wise agent'!G:G)</f>
        <v>1</v>
      </c>
      <c r="K467">
        <f>COUNTIFS('Audit Raw data'!AM:AM,"NO",'Audit Raw data'!J:J,B:B,'Audit Raw data'!E:E,'Day wise agent'!G:G)</f>
        <v>0</v>
      </c>
      <c r="L467" s="12">
        <f t="shared" si="15"/>
        <v>1</v>
      </c>
    </row>
    <row r="468" spans="1:12" x14ac:dyDescent="0.35">
      <c r="A468" t="str">
        <f t="shared" si="14"/>
        <v>SBM95845935</v>
      </c>
      <c r="B468" t="s">
        <v>124</v>
      </c>
      <c r="C468" t="s">
        <v>1508</v>
      </c>
      <c r="D468" s="32">
        <v>45641</v>
      </c>
      <c r="E468" t="s">
        <v>1453</v>
      </c>
      <c r="F468" t="str">
        <f>VLOOKUP(B468,'Agent wise'!A:E,5,0)</f>
        <v>Wireless</v>
      </c>
      <c r="G468" s="32">
        <v>45935</v>
      </c>
      <c r="H468">
        <f>COUNTIFS('Audit Raw data'!J:J,B:B,'Audit Raw data'!E:E,G:G)</f>
        <v>0</v>
      </c>
      <c r="I468" s="44" t="str">
        <f>IFERROR((SUMIFS('Audit Raw data'!BZ:BZ,'Audit Raw data'!J:J,B:B,'Audit Raw data'!E:E,G:G)/H468)/100,"-")</f>
        <v>-</v>
      </c>
      <c r="J468">
        <f>COUNTIFS('Audit Raw data'!AM:AM,"Yes",'Audit Raw data'!J:J,B:B,'Audit Raw data'!E:E,'Day wise agent'!G:G)</f>
        <v>0</v>
      </c>
      <c r="K468">
        <f>COUNTIFS('Audit Raw data'!AM:AM,"NO",'Audit Raw data'!J:J,B:B,'Audit Raw data'!E:E,'Day wise agent'!G:G)</f>
        <v>0</v>
      </c>
      <c r="L468" s="12" t="str">
        <f t="shared" si="15"/>
        <v xml:space="preserve"> </v>
      </c>
    </row>
    <row r="469" spans="1:12" x14ac:dyDescent="0.35">
      <c r="A469" t="str">
        <f t="shared" si="14"/>
        <v>SBM96345935</v>
      </c>
      <c r="B469" t="s">
        <v>149</v>
      </c>
      <c r="C469" t="s">
        <v>1506</v>
      </c>
      <c r="D469" s="32">
        <v>45637</v>
      </c>
      <c r="E469" t="s">
        <v>107</v>
      </c>
      <c r="F469" t="str">
        <f>VLOOKUP(B469,'Agent wise'!A:E,5,0)</f>
        <v>Wireless</v>
      </c>
      <c r="G469" s="32">
        <v>45935</v>
      </c>
      <c r="H469">
        <f>COUNTIFS('Audit Raw data'!J:J,B:B,'Audit Raw data'!E:E,G:G)</f>
        <v>3</v>
      </c>
      <c r="I469" s="44">
        <f>IFERROR((SUMIFS('Audit Raw data'!BZ:BZ,'Audit Raw data'!J:J,B:B,'Audit Raw data'!E:E,G:G)/H469)/100,"-")</f>
        <v>0.92666666666666675</v>
      </c>
      <c r="J469">
        <f>COUNTIFS('Audit Raw data'!AM:AM,"Yes",'Audit Raw data'!J:J,B:B,'Audit Raw data'!E:E,'Day wise agent'!G:G)</f>
        <v>3</v>
      </c>
      <c r="K469">
        <f>COUNTIFS('Audit Raw data'!AM:AM,"NO",'Audit Raw data'!J:J,B:B,'Audit Raw data'!E:E,'Day wise agent'!G:G)</f>
        <v>0</v>
      </c>
      <c r="L469" s="12">
        <f t="shared" si="15"/>
        <v>1</v>
      </c>
    </row>
    <row r="470" spans="1:12" x14ac:dyDescent="0.35">
      <c r="A470" t="str">
        <f t="shared" si="14"/>
        <v>SBM96745935</v>
      </c>
      <c r="B470" t="s">
        <v>657</v>
      </c>
      <c r="C470" t="s">
        <v>1507</v>
      </c>
      <c r="D470" s="32">
        <v>45640</v>
      </c>
      <c r="E470" t="s">
        <v>1453</v>
      </c>
      <c r="F470" t="str">
        <f>VLOOKUP(B470,'Agent wise'!A:E,5,0)</f>
        <v>Wireless</v>
      </c>
      <c r="G470" s="32">
        <v>45935</v>
      </c>
      <c r="H470">
        <f>COUNTIFS('Audit Raw data'!J:J,B:B,'Audit Raw data'!E:E,G:G)</f>
        <v>0</v>
      </c>
      <c r="I470" s="44" t="str">
        <f>IFERROR((SUMIFS('Audit Raw data'!BZ:BZ,'Audit Raw data'!J:J,B:B,'Audit Raw data'!E:E,G:G)/H470)/100,"-")</f>
        <v>-</v>
      </c>
      <c r="J470">
        <f>COUNTIFS('Audit Raw data'!AM:AM,"Yes",'Audit Raw data'!J:J,B:B,'Audit Raw data'!E:E,'Day wise agent'!G:G)</f>
        <v>0</v>
      </c>
      <c r="K470">
        <f>COUNTIFS('Audit Raw data'!AM:AM,"NO",'Audit Raw data'!J:J,B:B,'Audit Raw data'!E:E,'Day wise agent'!G:G)</f>
        <v>0</v>
      </c>
      <c r="L470" s="12" t="str">
        <f t="shared" si="15"/>
        <v xml:space="preserve"> </v>
      </c>
    </row>
    <row r="471" spans="1:12" x14ac:dyDescent="0.35">
      <c r="A471" t="str">
        <f t="shared" si="14"/>
        <v>SBM98345935</v>
      </c>
      <c r="B471" t="s">
        <v>1509</v>
      </c>
      <c r="C471" t="s">
        <v>1510</v>
      </c>
      <c r="D471" s="32">
        <v>45659</v>
      </c>
      <c r="E471" t="s">
        <v>1484</v>
      </c>
      <c r="F471" t="str">
        <f>VLOOKUP(B471,'Agent wise'!A:E,5,0)</f>
        <v>Wireless</v>
      </c>
      <c r="G471" s="32">
        <v>45935</v>
      </c>
      <c r="H471">
        <f>COUNTIFS('Audit Raw data'!J:J,B:B,'Audit Raw data'!E:E,G:G)</f>
        <v>0</v>
      </c>
      <c r="I471" s="44" t="str">
        <f>IFERROR((SUMIFS('Audit Raw data'!BZ:BZ,'Audit Raw data'!J:J,B:B,'Audit Raw data'!E:E,G:G)/H471)/100,"-")</f>
        <v>-</v>
      </c>
      <c r="J471">
        <f>COUNTIFS('Audit Raw data'!AM:AM,"Yes",'Audit Raw data'!J:J,B:B,'Audit Raw data'!E:E,'Day wise agent'!G:G)</f>
        <v>0</v>
      </c>
      <c r="K471">
        <f>COUNTIFS('Audit Raw data'!AM:AM,"NO",'Audit Raw data'!J:J,B:B,'Audit Raw data'!E:E,'Day wise agent'!G:G)</f>
        <v>0</v>
      </c>
      <c r="L471" s="12" t="str">
        <f t="shared" si="15"/>
        <v xml:space="preserve"> </v>
      </c>
    </row>
    <row r="472" spans="1:12" x14ac:dyDescent="0.35">
      <c r="A472" t="str">
        <f t="shared" si="14"/>
        <v>SBM99045935</v>
      </c>
      <c r="B472" t="s">
        <v>660</v>
      </c>
      <c r="C472" t="s">
        <v>1512</v>
      </c>
      <c r="D472" s="32">
        <v>45663</v>
      </c>
      <c r="E472" t="s">
        <v>178</v>
      </c>
      <c r="F472" t="str">
        <f>VLOOKUP(B472,'Agent wise'!A:E,5,0)</f>
        <v>Wireless</v>
      </c>
      <c r="G472" s="32">
        <v>45935</v>
      </c>
      <c r="H472">
        <f>COUNTIFS('Audit Raw data'!J:J,B:B,'Audit Raw data'!E:E,G:G)</f>
        <v>0</v>
      </c>
      <c r="I472" s="44" t="str">
        <f>IFERROR((SUMIFS('Audit Raw data'!BZ:BZ,'Audit Raw data'!J:J,B:B,'Audit Raw data'!E:E,G:G)/H472)/100,"-")</f>
        <v>-</v>
      </c>
      <c r="J472">
        <f>COUNTIFS('Audit Raw data'!AM:AM,"Yes",'Audit Raw data'!J:J,B:B,'Audit Raw data'!E:E,'Day wise agent'!G:G)</f>
        <v>0</v>
      </c>
      <c r="K472">
        <f>COUNTIFS('Audit Raw data'!AM:AM,"NO",'Audit Raw data'!J:J,B:B,'Audit Raw data'!E:E,'Day wise agent'!G:G)</f>
        <v>0</v>
      </c>
      <c r="L472" s="12" t="str">
        <f t="shared" si="15"/>
        <v xml:space="preserve"> </v>
      </c>
    </row>
    <row r="473" spans="1:12" x14ac:dyDescent="0.35">
      <c r="A473" t="str">
        <f t="shared" si="14"/>
        <v>VPS10645935</v>
      </c>
      <c r="B473" t="s">
        <v>1513</v>
      </c>
      <c r="C473" t="s">
        <v>1514</v>
      </c>
      <c r="D473" s="32">
        <v>45674</v>
      </c>
      <c r="E473" t="s">
        <v>1456</v>
      </c>
      <c r="F473" t="str">
        <f>VLOOKUP(B473,'Agent wise'!A:E,5,0)</f>
        <v>RECL</v>
      </c>
      <c r="G473" s="32">
        <v>45935</v>
      </c>
      <c r="H473">
        <f>COUNTIFS('Audit Raw data'!J:J,B:B,'Audit Raw data'!E:E,G:G)</f>
        <v>0</v>
      </c>
      <c r="I473" s="44" t="str">
        <f>IFERROR((SUMIFS('Audit Raw data'!BZ:BZ,'Audit Raw data'!J:J,B:B,'Audit Raw data'!E:E,G:G)/H473)/100,"-")</f>
        <v>-</v>
      </c>
      <c r="J473">
        <f>COUNTIFS('Audit Raw data'!AM:AM,"Yes",'Audit Raw data'!J:J,B:B,'Audit Raw data'!E:E,'Day wise agent'!G:G)</f>
        <v>0</v>
      </c>
      <c r="K473">
        <f>COUNTIFS('Audit Raw data'!AM:AM,"NO",'Audit Raw data'!J:J,B:B,'Audit Raw data'!E:E,'Day wise agent'!G:G)</f>
        <v>0</v>
      </c>
      <c r="L473" s="12" t="str">
        <f t="shared" si="15"/>
        <v xml:space="preserve"> </v>
      </c>
    </row>
    <row r="474" spans="1:12" x14ac:dyDescent="0.35">
      <c r="A474" t="str">
        <f t="shared" si="14"/>
        <v>VPS11145935</v>
      </c>
      <c r="B474" t="s">
        <v>108</v>
      </c>
      <c r="C474" t="s">
        <v>1515</v>
      </c>
      <c r="D474" s="32">
        <v>45675</v>
      </c>
      <c r="E474" t="s">
        <v>1484</v>
      </c>
      <c r="F474" t="str">
        <f>VLOOKUP(B474,'Agent wise'!A:E,5,0)</f>
        <v>Wireless</v>
      </c>
      <c r="G474" s="32">
        <v>45935</v>
      </c>
      <c r="H474">
        <f>COUNTIFS('Audit Raw data'!J:J,B:B,'Audit Raw data'!E:E,G:G)</f>
        <v>1</v>
      </c>
      <c r="I474" s="44">
        <f>IFERROR((SUMIFS('Audit Raw data'!BZ:BZ,'Audit Raw data'!J:J,B:B,'Audit Raw data'!E:E,G:G)/H474)/100,"-")</f>
        <v>0.9</v>
      </c>
      <c r="J474">
        <f>COUNTIFS('Audit Raw data'!AM:AM,"Yes",'Audit Raw data'!J:J,B:B,'Audit Raw data'!E:E,'Day wise agent'!G:G)</f>
        <v>1</v>
      </c>
      <c r="K474">
        <f>COUNTIFS('Audit Raw data'!AM:AM,"NO",'Audit Raw data'!J:J,B:B,'Audit Raw data'!E:E,'Day wise agent'!G:G)</f>
        <v>0</v>
      </c>
      <c r="L474" s="12">
        <f t="shared" si="15"/>
        <v>1</v>
      </c>
    </row>
    <row r="475" spans="1:12" x14ac:dyDescent="0.35">
      <c r="A475" t="str">
        <f t="shared" si="14"/>
        <v>VPS12045935</v>
      </c>
      <c r="B475" t="s">
        <v>263</v>
      </c>
      <c r="C475" t="s">
        <v>1516</v>
      </c>
      <c r="D475" s="32">
        <v>45690</v>
      </c>
      <c r="E475" t="s">
        <v>178</v>
      </c>
      <c r="F475" t="str">
        <f>VLOOKUP(B475,'Agent wise'!A:E,5,0)</f>
        <v>Wireless</v>
      </c>
      <c r="G475" s="32">
        <v>45935</v>
      </c>
      <c r="H475">
        <f>COUNTIFS('Audit Raw data'!J:J,B:B,'Audit Raw data'!E:E,G:G)</f>
        <v>0</v>
      </c>
      <c r="I475" s="44" t="str">
        <f>IFERROR((SUMIFS('Audit Raw data'!BZ:BZ,'Audit Raw data'!J:J,B:B,'Audit Raw data'!E:E,G:G)/H475)/100,"-")</f>
        <v>-</v>
      </c>
      <c r="J475">
        <f>COUNTIFS('Audit Raw data'!AM:AM,"Yes",'Audit Raw data'!J:J,B:B,'Audit Raw data'!E:E,'Day wise agent'!G:G)</f>
        <v>0</v>
      </c>
      <c r="K475">
        <f>COUNTIFS('Audit Raw data'!AM:AM,"NO",'Audit Raw data'!J:J,B:B,'Audit Raw data'!E:E,'Day wise agent'!G:G)</f>
        <v>0</v>
      </c>
      <c r="L475" s="12" t="str">
        <f t="shared" si="15"/>
        <v xml:space="preserve"> </v>
      </c>
    </row>
    <row r="476" spans="1:12" x14ac:dyDescent="0.35">
      <c r="A476" t="str">
        <f t="shared" si="14"/>
        <v>VPS12445935</v>
      </c>
      <c r="B476" t="s">
        <v>1517</v>
      </c>
      <c r="C476" t="s">
        <v>1518</v>
      </c>
      <c r="D476" s="32">
        <v>45705</v>
      </c>
      <c r="E476" t="s">
        <v>1456</v>
      </c>
      <c r="F476" t="str">
        <f>VLOOKUP(B476,'Agent wise'!A:E,5,0)</f>
        <v>RECL</v>
      </c>
      <c r="G476" s="32">
        <v>45935</v>
      </c>
      <c r="H476">
        <f>COUNTIFS('Audit Raw data'!J:J,B:B,'Audit Raw data'!E:E,G:G)</f>
        <v>0</v>
      </c>
      <c r="I476" s="44" t="str">
        <f>IFERROR((SUMIFS('Audit Raw data'!BZ:BZ,'Audit Raw data'!J:J,B:B,'Audit Raw data'!E:E,G:G)/H476)/100,"-")</f>
        <v>-</v>
      </c>
      <c r="J476">
        <f>COUNTIFS('Audit Raw data'!AM:AM,"Yes",'Audit Raw data'!J:J,B:B,'Audit Raw data'!E:E,'Day wise agent'!G:G)</f>
        <v>0</v>
      </c>
      <c r="K476">
        <f>COUNTIFS('Audit Raw data'!AM:AM,"NO",'Audit Raw data'!J:J,B:B,'Audit Raw data'!E:E,'Day wise agent'!G:G)</f>
        <v>0</v>
      </c>
      <c r="L476" s="12" t="str">
        <f t="shared" si="15"/>
        <v xml:space="preserve"> </v>
      </c>
    </row>
    <row r="477" spans="1:12" x14ac:dyDescent="0.35">
      <c r="A477" t="str">
        <f t="shared" si="14"/>
        <v>VPS12645935</v>
      </c>
      <c r="B477" t="s">
        <v>1521</v>
      </c>
      <c r="C477" t="s">
        <v>1522</v>
      </c>
      <c r="D477" s="32">
        <v>45710</v>
      </c>
      <c r="E477" t="s">
        <v>1456</v>
      </c>
      <c r="F477" t="str">
        <f>VLOOKUP(B477,'Agent wise'!A:E,5,0)</f>
        <v>RECL</v>
      </c>
      <c r="G477" s="32">
        <v>45935</v>
      </c>
      <c r="H477">
        <f>COUNTIFS('Audit Raw data'!J:J,B:B,'Audit Raw data'!E:E,G:G)</f>
        <v>0</v>
      </c>
      <c r="I477" s="44" t="str">
        <f>IFERROR((SUMIFS('Audit Raw data'!BZ:BZ,'Audit Raw data'!J:J,B:B,'Audit Raw data'!E:E,G:G)/H477)/100,"-")</f>
        <v>-</v>
      </c>
      <c r="J477">
        <f>COUNTIFS('Audit Raw data'!AM:AM,"Yes",'Audit Raw data'!J:J,B:B,'Audit Raw data'!E:E,'Day wise agent'!G:G)</f>
        <v>0</v>
      </c>
      <c r="K477">
        <f>COUNTIFS('Audit Raw data'!AM:AM,"NO",'Audit Raw data'!J:J,B:B,'Audit Raw data'!E:E,'Day wise agent'!G:G)</f>
        <v>0</v>
      </c>
      <c r="L477" s="12" t="str">
        <f t="shared" si="15"/>
        <v xml:space="preserve"> </v>
      </c>
    </row>
    <row r="478" spans="1:12" x14ac:dyDescent="0.35">
      <c r="A478" t="str">
        <f t="shared" si="14"/>
        <v>VPS12745935</v>
      </c>
      <c r="B478" t="s">
        <v>1523</v>
      </c>
      <c r="C478" t="s">
        <v>1524</v>
      </c>
      <c r="D478" s="32">
        <v>45710</v>
      </c>
      <c r="E478" t="s">
        <v>1456</v>
      </c>
      <c r="F478" t="str">
        <f>VLOOKUP(B478,'Agent wise'!A:E,5,0)</f>
        <v>RECL</v>
      </c>
      <c r="G478" s="32">
        <v>45935</v>
      </c>
      <c r="H478">
        <f>COUNTIFS('Audit Raw data'!J:J,B:B,'Audit Raw data'!E:E,G:G)</f>
        <v>0</v>
      </c>
      <c r="I478" s="44" t="str">
        <f>IFERROR((SUMIFS('Audit Raw data'!BZ:BZ,'Audit Raw data'!J:J,B:B,'Audit Raw data'!E:E,G:G)/H478)/100,"-")</f>
        <v>-</v>
      </c>
      <c r="J478">
        <f>COUNTIFS('Audit Raw data'!AM:AM,"Yes",'Audit Raw data'!J:J,B:B,'Audit Raw data'!E:E,'Day wise agent'!G:G)</f>
        <v>0</v>
      </c>
      <c r="K478">
        <f>COUNTIFS('Audit Raw data'!AM:AM,"NO",'Audit Raw data'!J:J,B:B,'Audit Raw data'!E:E,'Day wise agent'!G:G)</f>
        <v>0</v>
      </c>
      <c r="L478" s="12" t="str">
        <f t="shared" si="15"/>
        <v xml:space="preserve"> </v>
      </c>
    </row>
    <row r="479" spans="1:12" x14ac:dyDescent="0.35">
      <c r="A479" t="str">
        <f t="shared" si="14"/>
        <v>VPS13045935</v>
      </c>
      <c r="B479" t="s">
        <v>662</v>
      </c>
      <c r="C479" t="s">
        <v>1525</v>
      </c>
      <c r="D479" s="32">
        <v>45710</v>
      </c>
      <c r="E479" t="s">
        <v>1484</v>
      </c>
      <c r="F479" t="str">
        <f>VLOOKUP(B479,'Agent wise'!A:E,5,0)</f>
        <v>Wireless</v>
      </c>
      <c r="G479" s="32">
        <v>45935</v>
      </c>
      <c r="H479">
        <f>COUNTIFS('Audit Raw data'!J:J,B:B,'Audit Raw data'!E:E,G:G)</f>
        <v>1</v>
      </c>
      <c r="I479" s="44">
        <f>IFERROR((SUMIFS('Audit Raw data'!BZ:BZ,'Audit Raw data'!J:J,B:B,'Audit Raw data'!E:E,G:G)/H479)/100,"-")</f>
        <v>0.88</v>
      </c>
      <c r="J479">
        <f>COUNTIFS('Audit Raw data'!AM:AM,"Yes",'Audit Raw data'!J:J,B:B,'Audit Raw data'!E:E,'Day wise agent'!G:G)</f>
        <v>1</v>
      </c>
      <c r="K479">
        <f>COUNTIFS('Audit Raw data'!AM:AM,"NO",'Audit Raw data'!J:J,B:B,'Audit Raw data'!E:E,'Day wise agent'!G:G)</f>
        <v>0</v>
      </c>
      <c r="L479" s="12">
        <f t="shared" si="15"/>
        <v>1</v>
      </c>
    </row>
    <row r="480" spans="1:12" x14ac:dyDescent="0.35">
      <c r="A480" t="str">
        <f t="shared" si="14"/>
        <v>VPS13145935</v>
      </c>
      <c r="B480" t="s">
        <v>1519</v>
      </c>
      <c r="C480" t="s">
        <v>1520</v>
      </c>
      <c r="D480" s="32">
        <v>45710</v>
      </c>
      <c r="E480" t="s">
        <v>1456</v>
      </c>
      <c r="F480" t="str">
        <f>VLOOKUP(B480,'Agent wise'!A:E,5,0)</f>
        <v>RECL</v>
      </c>
      <c r="G480" s="32">
        <v>45935</v>
      </c>
      <c r="H480">
        <f>COUNTIFS('Audit Raw data'!J:J,B:B,'Audit Raw data'!E:E,G:G)</f>
        <v>0</v>
      </c>
      <c r="I480" s="44" t="str">
        <f>IFERROR((SUMIFS('Audit Raw data'!BZ:BZ,'Audit Raw data'!J:J,B:B,'Audit Raw data'!E:E,G:G)/H480)/100,"-")</f>
        <v>-</v>
      </c>
      <c r="J480">
        <f>COUNTIFS('Audit Raw data'!AM:AM,"Yes",'Audit Raw data'!J:J,B:B,'Audit Raw data'!E:E,'Day wise agent'!G:G)</f>
        <v>0</v>
      </c>
      <c r="K480">
        <f>COUNTIFS('Audit Raw data'!AM:AM,"NO",'Audit Raw data'!J:J,B:B,'Audit Raw data'!E:E,'Day wise agent'!G:G)</f>
        <v>0</v>
      </c>
      <c r="L480" s="12" t="str">
        <f t="shared" si="15"/>
        <v xml:space="preserve"> </v>
      </c>
    </row>
    <row r="481" spans="1:12" x14ac:dyDescent="0.35">
      <c r="A481" t="str">
        <f t="shared" si="14"/>
        <v>VPS13245935</v>
      </c>
      <c r="B481" t="s">
        <v>1526</v>
      </c>
      <c r="C481" t="s">
        <v>1527</v>
      </c>
      <c r="D481" s="32">
        <v>45717</v>
      </c>
      <c r="E481" t="s">
        <v>221</v>
      </c>
      <c r="F481" t="str">
        <f>VLOOKUP(B481,'Agent wise'!A:E,5,0)</f>
        <v>Wire-line</v>
      </c>
      <c r="G481" s="32">
        <v>45935</v>
      </c>
      <c r="H481">
        <f>COUNTIFS('Audit Raw data'!J:J,B:B,'Audit Raw data'!E:E,G:G)</f>
        <v>0</v>
      </c>
      <c r="I481" s="44" t="str">
        <f>IFERROR((SUMIFS('Audit Raw data'!BZ:BZ,'Audit Raw data'!J:J,B:B,'Audit Raw data'!E:E,G:G)/H481)/100,"-")</f>
        <v>-</v>
      </c>
      <c r="J481">
        <f>COUNTIFS('Audit Raw data'!AM:AM,"Yes",'Audit Raw data'!J:J,B:B,'Audit Raw data'!E:E,'Day wise agent'!G:G)</f>
        <v>0</v>
      </c>
      <c r="K481">
        <f>COUNTIFS('Audit Raw data'!AM:AM,"NO",'Audit Raw data'!J:J,B:B,'Audit Raw data'!E:E,'Day wise agent'!G:G)</f>
        <v>0</v>
      </c>
      <c r="L481" s="12" t="str">
        <f t="shared" si="15"/>
        <v xml:space="preserve"> </v>
      </c>
    </row>
    <row r="482" spans="1:12" x14ac:dyDescent="0.35">
      <c r="A482" t="str">
        <f t="shared" si="14"/>
        <v>VPS14345935</v>
      </c>
      <c r="B482" t="s">
        <v>269</v>
      </c>
      <c r="C482" t="s">
        <v>1528</v>
      </c>
      <c r="D482" s="32">
        <v>45723</v>
      </c>
      <c r="E482" t="s">
        <v>1484</v>
      </c>
      <c r="F482" t="str">
        <f>VLOOKUP(B482,'Agent wise'!A:E,5,0)</f>
        <v>Wireless</v>
      </c>
      <c r="G482" s="32">
        <v>45935</v>
      </c>
      <c r="H482">
        <f>COUNTIFS('Audit Raw data'!J:J,B:B,'Audit Raw data'!E:E,G:G)</f>
        <v>1</v>
      </c>
      <c r="I482" s="44">
        <f>IFERROR((SUMIFS('Audit Raw data'!BZ:BZ,'Audit Raw data'!J:J,B:B,'Audit Raw data'!E:E,G:G)/H482)/100,"-")</f>
        <v>1</v>
      </c>
      <c r="J482">
        <f>COUNTIFS('Audit Raw data'!AM:AM,"Yes",'Audit Raw data'!J:J,B:B,'Audit Raw data'!E:E,'Day wise agent'!G:G)</f>
        <v>1</v>
      </c>
      <c r="K482">
        <f>COUNTIFS('Audit Raw data'!AM:AM,"NO",'Audit Raw data'!J:J,B:B,'Audit Raw data'!E:E,'Day wise agent'!G:G)</f>
        <v>0</v>
      </c>
      <c r="L482" s="12">
        <f t="shared" si="15"/>
        <v>1</v>
      </c>
    </row>
    <row r="483" spans="1:12" x14ac:dyDescent="0.35">
      <c r="A483" t="str">
        <f t="shared" si="14"/>
        <v>VPS15145935</v>
      </c>
      <c r="B483" t="s">
        <v>274</v>
      </c>
      <c r="C483" t="s">
        <v>1529</v>
      </c>
      <c r="D483" s="32">
        <v>45735</v>
      </c>
      <c r="E483" t="s">
        <v>107</v>
      </c>
      <c r="F483" t="str">
        <f>VLOOKUP(B483,'Agent wise'!A:E,5,0)</f>
        <v>Wireless</v>
      </c>
      <c r="G483" s="32">
        <v>45935</v>
      </c>
      <c r="H483">
        <f>COUNTIFS('Audit Raw data'!J:J,B:B,'Audit Raw data'!E:E,G:G)</f>
        <v>0</v>
      </c>
      <c r="I483" s="44" t="str">
        <f>IFERROR((SUMIFS('Audit Raw data'!BZ:BZ,'Audit Raw data'!J:J,B:B,'Audit Raw data'!E:E,G:G)/H483)/100,"-")</f>
        <v>-</v>
      </c>
      <c r="J483">
        <f>COUNTIFS('Audit Raw data'!AM:AM,"Yes",'Audit Raw data'!J:J,B:B,'Audit Raw data'!E:E,'Day wise agent'!G:G)</f>
        <v>0</v>
      </c>
      <c r="K483">
        <f>COUNTIFS('Audit Raw data'!AM:AM,"NO",'Audit Raw data'!J:J,B:B,'Audit Raw data'!E:E,'Day wise agent'!G:G)</f>
        <v>0</v>
      </c>
      <c r="L483" s="12" t="str">
        <f t="shared" si="15"/>
        <v xml:space="preserve"> </v>
      </c>
    </row>
    <row r="484" spans="1:12" x14ac:dyDescent="0.35">
      <c r="A484" t="str">
        <f t="shared" si="14"/>
        <v>VPS16045935</v>
      </c>
      <c r="B484" t="s">
        <v>258</v>
      </c>
      <c r="C484" t="s">
        <v>1530</v>
      </c>
      <c r="D484" s="32">
        <v>45748</v>
      </c>
      <c r="E484" t="s">
        <v>1484</v>
      </c>
      <c r="F484" t="str">
        <f>VLOOKUP(B484,'Agent wise'!A:E,5,0)</f>
        <v>Wireless</v>
      </c>
      <c r="G484" s="32">
        <v>45935</v>
      </c>
      <c r="H484">
        <f>COUNTIFS('Audit Raw data'!J:J,B:B,'Audit Raw data'!E:E,G:G)</f>
        <v>0</v>
      </c>
      <c r="I484" s="44" t="str">
        <f>IFERROR((SUMIFS('Audit Raw data'!BZ:BZ,'Audit Raw data'!J:J,B:B,'Audit Raw data'!E:E,G:G)/H484)/100,"-")</f>
        <v>-</v>
      </c>
      <c r="J484">
        <f>COUNTIFS('Audit Raw data'!AM:AM,"Yes",'Audit Raw data'!J:J,B:B,'Audit Raw data'!E:E,'Day wise agent'!G:G)</f>
        <v>0</v>
      </c>
      <c r="K484">
        <f>COUNTIFS('Audit Raw data'!AM:AM,"NO",'Audit Raw data'!J:J,B:B,'Audit Raw data'!E:E,'Day wise agent'!G:G)</f>
        <v>0</v>
      </c>
      <c r="L484" s="12" t="str">
        <f t="shared" si="15"/>
        <v xml:space="preserve"> </v>
      </c>
    </row>
    <row r="485" spans="1:12" x14ac:dyDescent="0.35">
      <c r="A485" t="str">
        <f t="shared" si="14"/>
        <v>VPS17145935</v>
      </c>
      <c r="B485" t="s">
        <v>307</v>
      </c>
      <c r="C485" t="s">
        <v>1531</v>
      </c>
      <c r="D485" s="32">
        <v>45767</v>
      </c>
      <c r="E485" t="s">
        <v>221</v>
      </c>
      <c r="F485" t="str">
        <f>VLOOKUP(B485,'Agent wise'!A:E,5,0)</f>
        <v>Wire-line</v>
      </c>
      <c r="G485" s="32">
        <v>45935</v>
      </c>
      <c r="H485">
        <f>COUNTIFS('Audit Raw data'!J:J,B:B,'Audit Raw data'!E:E,G:G)</f>
        <v>4</v>
      </c>
      <c r="I485" s="44">
        <f>IFERROR((SUMIFS('Audit Raw data'!BZ:BZ,'Audit Raw data'!J:J,B:B,'Audit Raw data'!E:E,G:G)/H485)/100,"-")</f>
        <v>0.99</v>
      </c>
      <c r="J485">
        <f>COUNTIFS('Audit Raw data'!AM:AM,"Yes",'Audit Raw data'!J:J,B:B,'Audit Raw data'!E:E,'Day wise agent'!G:G)</f>
        <v>4</v>
      </c>
      <c r="K485">
        <f>COUNTIFS('Audit Raw data'!AM:AM,"NO",'Audit Raw data'!J:J,B:B,'Audit Raw data'!E:E,'Day wise agent'!G:G)</f>
        <v>0</v>
      </c>
      <c r="L485" s="12">
        <f t="shared" si="15"/>
        <v>1</v>
      </c>
    </row>
    <row r="486" spans="1:12" x14ac:dyDescent="0.35">
      <c r="A486" t="str">
        <f t="shared" si="14"/>
        <v>VPS17745935</v>
      </c>
      <c r="B486" t="s">
        <v>280</v>
      </c>
      <c r="C486" t="s">
        <v>1532</v>
      </c>
      <c r="D486" s="32">
        <v>45766</v>
      </c>
      <c r="E486" t="s">
        <v>1453</v>
      </c>
      <c r="F486" t="str">
        <f>VLOOKUP(B486,'Agent wise'!A:E,5,0)</f>
        <v>Wireless</v>
      </c>
      <c r="G486" s="32">
        <v>45935</v>
      </c>
      <c r="H486">
        <f>COUNTIFS('Audit Raw data'!J:J,B:B,'Audit Raw data'!E:E,G:G)</f>
        <v>0</v>
      </c>
      <c r="I486" s="44" t="str">
        <f>IFERROR((SUMIFS('Audit Raw data'!BZ:BZ,'Audit Raw data'!J:J,B:B,'Audit Raw data'!E:E,G:G)/H486)/100,"-")</f>
        <v>-</v>
      </c>
      <c r="J486">
        <f>COUNTIFS('Audit Raw data'!AM:AM,"Yes",'Audit Raw data'!J:J,B:B,'Audit Raw data'!E:E,'Day wise agent'!G:G)</f>
        <v>0</v>
      </c>
      <c r="K486">
        <f>COUNTIFS('Audit Raw data'!AM:AM,"NO",'Audit Raw data'!J:J,B:B,'Audit Raw data'!E:E,'Day wise agent'!G:G)</f>
        <v>0</v>
      </c>
      <c r="L486" s="12" t="str">
        <f t="shared" si="15"/>
        <v xml:space="preserve"> </v>
      </c>
    </row>
    <row r="487" spans="1:12" x14ac:dyDescent="0.35">
      <c r="A487" t="str">
        <f t="shared" si="14"/>
        <v>VPS18145935</v>
      </c>
      <c r="B487" t="s">
        <v>234</v>
      </c>
      <c r="C487" t="s">
        <v>1533</v>
      </c>
      <c r="D487" s="32">
        <v>45775</v>
      </c>
      <c r="E487" t="s">
        <v>221</v>
      </c>
      <c r="F487" t="str">
        <f>VLOOKUP(B487,'Agent wise'!A:E,5,0)</f>
        <v>Wire-line</v>
      </c>
      <c r="G487" s="32">
        <v>45935</v>
      </c>
      <c r="H487">
        <f>COUNTIFS('Audit Raw data'!J:J,B:B,'Audit Raw data'!E:E,G:G)</f>
        <v>2</v>
      </c>
      <c r="I487" s="44">
        <f>IFERROR((SUMIFS('Audit Raw data'!BZ:BZ,'Audit Raw data'!J:J,B:B,'Audit Raw data'!E:E,G:G)/H487)/100,"-")</f>
        <v>1</v>
      </c>
      <c r="J487">
        <f>COUNTIFS('Audit Raw data'!AM:AM,"Yes",'Audit Raw data'!J:J,B:B,'Audit Raw data'!E:E,'Day wise agent'!G:G)</f>
        <v>2</v>
      </c>
      <c r="K487">
        <f>COUNTIFS('Audit Raw data'!AM:AM,"NO",'Audit Raw data'!J:J,B:B,'Audit Raw data'!E:E,'Day wise agent'!G:G)</f>
        <v>0</v>
      </c>
      <c r="L487" s="12">
        <f t="shared" si="15"/>
        <v>1</v>
      </c>
    </row>
    <row r="488" spans="1:12" x14ac:dyDescent="0.35">
      <c r="A488" t="str">
        <f t="shared" si="14"/>
        <v>VPS18245935</v>
      </c>
      <c r="B488" t="s">
        <v>568</v>
      </c>
      <c r="C488" t="s">
        <v>1534</v>
      </c>
      <c r="D488" s="32">
        <v>45797</v>
      </c>
      <c r="E488" t="s">
        <v>221</v>
      </c>
      <c r="F488" t="str">
        <f>VLOOKUP(B488,'Agent wise'!A:E,5,0)</f>
        <v>Wire-line</v>
      </c>
      <c r="G488" s="32">
        <v>45935</v>
      </c>
      <c r="H488">
        <f>COUNTIFS('Audit Raw data'!J:J,B:B,'Audit Raw data'!E:E,G:G)</f>
        <v>0</v>
      </c>
      <c r="I488" s="44" t="str">
        <f>IFERROR((SUMIFS('Audit Raw data'!BZ:BZ,'Audit Raw data'!J:J,B:B,'Audit Raw data'!E:E,G:G)/H488)/100,"-")</f>
        <v>-</v>
      </c>
      <c r="J488">
        <f>COUNTIFS('Audit Raw data'!AM:AM,"Yes",'Audit Raw data'!J:J,B:B,'Audit Raw data'!E:E,'Day wise agent'!G:G)</f>
        <v>0</v>
      </c>
      <c r="K488">
        <f>COUNTIFS('Audit Raw data'!AM:AM,"NO",'Audit Raw data'!J:J,B:B,'Audit Raw data'!E:E,'Day wise agent'!G:G)</f>
        <v>0</v>
      </c>
      <c r="L488" s="12" t="str">
        <f t="shared" si="15"/>
        <v xml:space="preserve"> </v>
      </c>
    </row>
    <row r="489" spans="1:12" x14ac:dyDescent="0.35">
      <c r="A489" t="str">
        <f t="shared" si="14"/>
        <v>VPS18345935</v>
      </c>
      <c r="B489" t="s">
        <v>570</v>
      </c>
      <c r="C489" t="s">
        <v>1535</v>
      </c>
      <c r="D489" s="32">
        <v>45797</v>
      </c>
      <c r="E489" t="s">
        <v>221</v>
      </c>
      <c r="F489" t="str">
        <f>VLOOKUP(B489,'Agent wise'!A:E,5,0)</f>
        <v>Wire-line</v>
      </c>
      <c r="G489" s="32">
        <v>45935</v>
      </c>
      <c r="H489">
        <f>COUNTIFS('Audit Raw data'!J:J,B:B,'Audit Raw data'!E:E,G:G)</f>
        <v>1</v>
      </c>
      <c r="I489" s="44">
        <f>IFERROR((SUMIFS('Audit Raw data'!BZ:BZ,'Audit Raw data'!J:J,B:B,'Audit Raw data'!E:E,G:G)/H489)/100,"-")</f>
        <v>0.92</v>
      </c>
      <c r="J489">
        <f>COUNTIFS('Audit Raw data'!AM:AM,"Yes",'Audit Raw data'!J:J,B:B,'Audit Raw data'!E:E,'Day wise agent'!G:G)</f>
        <v>1</v>
      </c>
      <c r="K489">
        <f>COUNTIFS('Audit Raw data'!AM:AM,"NO",'Audit Raw data'!J:J,B:B,'Audit Raw data'!E:E,'Day wise agent'!G:G)</f>
        <v>0</v>
      </c>
      <c r="L489" s="12">
        <f t="shared" si="15"/>
        <v>1</v>
      </c>
    </row>
    <row r="490" spans="1:12" x14ac:dyDescent="0.35">
      <c r="A490" t="str">
        <f t="shared" si="14"/>
        <v>VPS18445935</v>
      </c>
      <c r="B490" t="s">
        <v>117</v>
      </c>
      <c r="C490" t="s">
        <v>1536</v>
      </c>
      <c r="D490" s="32">
        <v>45809</v>
      </c>
      <c r="E490" t="s">
        <v>1453</v>
      </c>
      <c r="F490" t="str">
        <f>VLOOKUP(B490,'Agent wise'!A:E,5,0)</f>
        <v>Wireless</v>
      </c>
      <c r="G490" s="32">
        <v>45935</v>
      </c>
      <c r="H490">
        <f>COUNTIFS('Audit Raw data'!J:J,B:B,'Audit Raw data'!E:E,G:G)</f>
        <v>0</v>
      </c>
      <c r="I490" s="44" t="str">
        <f>IFERROR((SUMIFS('Audit Raw data'!BZ:BZ,'Audit Raw data'!J:J,B:B,'Audit Raw data'!E:E,G:G)/H490)/100,"-")</f>
        <v>-</v>
      </c>
      <c r="J490">
        <f>COUNTIFS('Audit Raw data'!AM:AM,"Yes",'Audit Raw data'!J:J,B:B,'Audit Raw data'!E:E,'Day wise agent'!G:G)</f>
        <v>0</v>
      </c>
      <c r="K490">
        <f>COUNTIFS('Audit Raw data'!AM:AM,"NO",'Audit Raw data'!J:J,B:B,'Audit Raw data'!E:E,'Day wise agent'!G:G)</f>
        <v>0</v>
      </c>
      <c r="L490" s="12" t="str">
        <f t="shared" si="15"/>
        <v xml:space="preserve"> </v>
      </c>
    </row>
    <row r="491" spans="1:12" x14ac:dyDescent="0.35">
      <c r="A491" t="str">
        <f t="shared" si="14"/>
        <v>VPS19145935</v>
      </c>
      <c r="B491" t="s">
        <v>586</v>
      </c>
      <c r="C491" t="s">
        <v>1537</v>
      </c>
      <c r="D491" s="32">
        <v>45809</v>
      </c>
      <c r="E491" t="s">
        <v>107</v>
      </c>
      <c r="F491" t="str">
        <f>VLOOKUP(B491,'Agent wise'!A:E,5,0)</f>
        <v>Wireless</v>
      </c>
      <c r="G491" s="32">
        <v>45935</v>
      </c>
      <c r="H491">
        <f>COUNTIFS('Audit Raw data'!J:J,B:B,'Audit Raw data'!E:E,G:G)</f>
        <v>0</v>
      </c>
      <c r="I491" s="44" t="str">
        <f>IFERROR((SUMIFS('Audit Raw data'!BZ:BZ,'Audit Raw data'!J:J,B:B,'Audit Raw data'!E:E,G:G)/H491)/100,"-")</f>
        <v>-</v>
      </c>
      <c r="J491">
        <f>COUNTIFS('Audit Raw data'!AM:AM,"Yes",'Audit Raw data'!J:J,B:B,'Audit Raw data'!E:E,'Day wise agent'!G:G)</f>
        <v>0</v>
      </c>
      <c r="K491">
        <f>COUNTIFS('Audit Raw data'!AM:AM,"NO",'Audit Raw data'!J:J,B:B,'Audit Raw data'!E:E,'Day wise agent'!G:G)</f>
        <v>0</v>
      </c>
      <c r="L491" s="12" t="str">
        <f t="shared" si="15"/>
        <v xml:space="preserve"> </v>
      </c>
    </row>
    <row r="492" spans="1:12" x14ac:dyDescent="0.35">
      <c r="A492" t="str">
        <f t="shared" si="14"/>
        <v>VPS19345935</v>
      </c>
      <c r="B492" t="s">
        <v>302</v>
      </c>
      <c r="C492" t="s">
        <v>1538</v>
      </c>
      <c r="D492" s="32">
        <v>45823</v>
      </c>
      <c r="E492" t="s">
        <v>107</v>
      </c>
      <c r="F492" t="str">
        <f>VLOOKUP(B492,'Agent wise'!A:E,5,0)</f>
        <v>Wireless</v>
      </c>
      <c r="G492" s="32">
        <v>45935</v>
      </c>
      <c r="H492">
        <f>COUNTIFS('Audit Raw data'!J:J,B:B,'Audit Raw data'!E:E,G:G)</f>
        <v>0</v>
      </c>
      <c r="I492" s="44" t="str">
        <f>IFERROR((SUMIFS('Audit Raw data'!BZ:BZ,'Audit Raw data'!J:J,B:B,'Audit Raw data'!E:E,G:G)/H492)/100,"-")</f>
        <v>-</v>
      </c>
      <c r="J492">
        <f>COUNTIFS('Audit Raw data'!AM:AM,"Yes",'Audit Raw data'!J:J,B:B,'Audit Raw data'!E:E,'Day wise agent'!G:G)</f>
        <v>0</v>
      </c>
      <c r="K492">
        <f>COUNTIFS('Audit Raw data'!AM:AM,"NO",'Audit Raw data'!J:J,B:B,'Audit Raw data'!E:E,'Day wise agent'!G:G)</f>
        <v>0</v>
      </c>
      <c r="L492" s="12" t="str">
        <f t="shared" si="15"/>
        <v xml:space="preserve"> </v>
      </c>
    </row>
    <row r="493" spans="1:12" x14ac:dyDescent="0.35">
      <c r="A493" t="str">
        <f t="shared" si="14"/>
        <v>VPS19745935</v>
      </c>
      <c r="B493" t="s">
        <v>665</v>
      </c>
      <c r="C493" t="s">
        <v>1539</v>
      </c>
      <c r="D493" s="32">
        <v>45830</v>
      </c>
      <c r="E493" t="s">
        <v>178</v>
      </c>
      <c r="F493" t="str">
        <f>VLOOKUP(B493,'Agent wise'!A:E,5,0)</f>
        <v>Wireless</v>
      </c>
      <c r="G493" s="32">
        <v>45935</v>
      </c>
      <c r="H493">
        <f>COUNTIFS('Audit Raw data'!J:J,B:B,'Audit Raw data'!E:E,G:G)</f>
        <v>0</v>
      </c>
      <c r="I493" s="44" t="str">
        <f>IFERROR((SUMIFS('Audit Raw data'!BZ:BZ,'Audit Raw data'!J:J,B:B,'Audit Raw data'!E:E,G:G)/H493)/100,"-")</f>
        <v>-</v>
      </c>
      <c r="J493">
        <f>COUNTIFS('Audit Raw data'!AM:AM,"Yes",'Audit Raw data'!J:J,B:B,'Audit Raw data'!E:E,'Day wise agent'!G:G)</f>
        <v>0</v>
      </c>
      <c r="K493">
        <f>COUNTIFS('Audit Raw data'!AM:AM,"NO",'Audit Raw data'!J:J,B:B,'Audit Raw data'!E:E,'Day wise agent'!G:G)</f>
        <v>0</v>
      </c>
      <c r="L493" s="12" t="str">
        <f t="shared" si="15"/>
        <v xml:space="preserve"> </v>
      </c>
    </row>
    <row r="494" spans="1:12" x14ac:dyDescent="0.35">
      <c r="A494" t="str">
        <f t="shared" si="14"/>
        <v>VPS20145935</v>
      </c>
      <c r="B494" t="s">
        <v>439</v>
      </c>
      <c r="C494" t="s">
        <v>1540</v>
      </c>
      <c r="D494" s="32">
        <v>45834</v>
      </c>
      <c r="E494" t="s">
        <v>1453</v>
      </c>
      <c r="F494" t="str">
        <f>VLOOKUP(B494,'Agent wise'!A:E,5,0)</f>
        <v>Wireless</v>
      </c>
      <c r="G494" s="32">
        <v>45935</v>
      </c>
      <c r="H494">
        <f>COUNTIFS('Audit Raw data'!J:J,B:B,'Audit Raw data'!E:E,G:G)</f>
        <v>2</v>
      </c>
      <c r="I494" s="44">
        <f>IFERROR((SUMIFS('Audit Raw data'!BZ:BZ,'Audit Raw data'!J:J,B:B,'Audit Raw data'!E:E,G:G)/H494)/100,"-")</f>
        <v>0.89</v>
      </c>
      <c r="J494">
        <f>COUNTIFS('Audit Raw data'!AM:AM,"Yes",'Audit Raw data'!J:J,B:B,'Audit Raw data'!E:E,'Day wise agent'!G:G)</f>
        <v>2</v>
      </c>
      <c r="K494">
        <f>COUNTIFS('Audit Raw data'!AM:AM,"NO",'Audit Raw data'!J:J,B:B,'Audit Raw data'!E:E,'Day wise agent'!G:G)</f>
        <v>0</v>
      </c>
      <c r="L494" s="12">
        <f t="shared" si="15"/>
        <v>1</v>
      </c>
    </row>
    <row r="495" spans="1:12" x14ac:dyDescent="0.35">
      <c r="A495" t="str">
        <f t="shared" si="14"/>
        <v>VPS20445935</v>
      </c>
      <c r="B495" t="s">
        <v>749</v>
      </c>
      <c r="C495" t="s">
        <v>1542</v>
      </c>
      <c r="D495" s="32">
        <v>45840</v>
      </c>
      <c r="E495" t="s">
        <v>1484</v>
      </c>
      <c r="F495" t="str">
        <f>VLOOKUP(B495,'Agent wise'!A:E,5,0)</f>
        <v>Wireless</v>
      </c>
      <c r="G495" s="32">
        <v>45935</v>
      </c>
      <c r="H495">
        <f>COUNTIFS('Audit Raw data'!J:J,B:B,'Audit Raw data'!E:E,G:G)</f>
        <v>2</v>
      </c>
      <c r="I495" s="44">
        <f>IFERROR((SUMIFS('Audit Raw data'!BZ:BZ,'Audit Raw data'!J:J,B:B,'Audit Raw data'!E:E,G:G)/H495)/100,"-")</f>
        <v>0.92</v>
      </c>
      <c r="J495">
        <f>COUNTIFS('Audit Raw data'!AM:AM,"Yes",'Audit Raw data'!J:J,B:B,'Audit Raw data'!E:E,'Day wise agent'!G:G)</f>
        <v>2</v>
      </c>
      <c r="K495">
        <f>COUNTIFS('Audit Raw data'!AM:AM,"NO",'Audit Raw data'!J:J,B:B,'Audit Raw data'!E:E,'Day wise agent'!G:G)</f>
        <v>0</v>
      </c>
      <c r="L495" s="12">
        <f t="shared" si="15"/>
        <v>1</v>
      </c>
    </row>
    <row r="496" spans="1:12" x14ac:dyDescent="0.35">
      <c r="A496" t="str">
        <f t="shared" si="14"/>
        <v>VPS20645935</v>
      </c>
      <c r="B496" t="s">
        <v>427</v>
      </c>
      <c r="C496" t="s">
        <v>1541</v>
      </c>
      <c r="D496" s="32">
        <v>45840</v>
      </c>
      <c r="E496" t="s">
        <v>107</v>
      </c>
      <c r="F496" t="str">
        <f>VLOOKUP(B496,'Agent wise'!A:E,5,0)</f>
        <v>Wireless</v>
      </c>
      <c r="G496" s="32">
        <v>45935</v>
      </c>
      <c r="H496">
        <f>COUNTIFS('Audit Raw data'!J:J,B:B,'Audit Raw data'!E:E,G:G)</f>
        <v>0</v>
      </c>
      <c r="I496" s="44" t="str">
        <f>IFERROR((SUMIFS('Audit Raw data'!BZ:BZ,'Audit Raw data'!J:J,B:B,'Audit Raw data'!E:E,G:G)/H496)/100,"-")</f>
        <v>-</v>
      </c>
      <c r="J496">
        <f>COUNTIFS('Audit Raw data'!AM:AM,"Yes",'Audit Raw data'!J:J,B:B,'Audit Raw data'!E:E,'Day wise agent'!G:G)</f>
        <v>0</v>
      </c>
      <c r="K496">
        <f>COUNTIFS('Audit Raw data'!AM:AM,"NO",'Audit Raw data'!J:J,B:B,'Audit Raw data'!E:E,'Day wise agent'!G:G)</f>
        <v>0</v>
      </c>
      <c r="L496" s="12" t="str">
        <f t="shared" si="15"/>
        <v xml:space="preserve"> </v>
      </c>
    </row>
    <row r="497" spans="1:12" x14ac:dyDescent="0.35">
      <c r="A497" t="str">
        <f t="shared" si="14"/>
        <v>VPS20945935</v>
      </c>
      <c r="B497" t="s">
        <v>528</v>
      </c>
      <c r="C497" t="s">
        <v>1543</v>
      </c>
      <c r="D497" s="32">
        <v>45856</v>
      </c>
      <c r="E497" t="s">
        <v>178</v>
      </c>
      <c r="F497" t="str">
        <f>VLOOKUP(B497,'Agent wise'!A:E,5,0)</f>
        <v>Wireless</v>
      </c>
      <c r="G497" s="32">
        <v>45935</v>
      </c>
      <c r="H497">
        <f>COUNTIFS('Audit Raw data'!J:J,B:B,'Audit Raw data'!E:E,G:G)</f>
        <v>0</v>
      </c>
      <c r="I497" s="44" t="str">
        <f>IFERROR((SUMIFS('Audit Raw data'!BZ:BZ,'Audit Raw data'!J:J,B:B,'Audit Raw data'!E:E,G:G)/H497)/100,"-")</f>
        <v>-</v>
      </c>
      <c r="J497">
        <f>COUNTIFS('Audit Raw data'!AM:AM,"Yes",'Audit Raw data'!J:J,B:B,'Audit Raw data'!E:E,'Day wise agent'!G:G)</f>
        <v>0</v>
      </c>
      <c r="K497">
        <f>COUNTIFS('Audit Raw data'!AM:AM,"NO",'Audit Raw data'!J:J,B:B,'Audit Raw data'!E:E,'Day wise agent'!G:G)</f>
        <v>0</v>
      </c>
      <c r="L497" s="12" t="str">
        <f t="shared" si="15"/>
        <v xml:space="preserve"> </v>
      </c>
    </row>
    <row r="498" spans="1:12" x14ac:dyDescent="0.35">
      <c r="A498" t="str">
        <f t="shared" si="14"/>
        <v>VPS21045935</v>
      </c>
      <c r="B498" t="s">
        <v>589</v>
      </c>
      <c r="C498" t="s">
        <v>1544</v>
      </c>
      <c r="D498" s="32">
        <v>45856</v>
      </c>
      <c r="E498" t="s">
        <v>107</v>
      </c>
      <c r="F498" t="str">
        <f>VLOOKUP(B498,'Agent wise'!A:E,5,0)</f>
        <v>Wireless</v>
      </c>
      <c r="G498" s="32">
        <v>45935</v>
      </c>
      <c r="H498">
        <f>COUNTIFS('Audit Raw data'!J:J,B:B,'Audit Raw data'!E:E,G:G)</f>
        <v>0</v>
      </c>
      <c r="I498" s="44" t="str">
        <f>IFERROR((SUMIFS('Audit Raw data'!BZ:BZ,'Audit Raw data'!J:J,B:B,'Audit Raw data'!E:E,G:G)/H498)/100,"-")</f>
        <v>-</v>
      </c>
      <c r="J498">
        <f>COUNTIFS('Audit Raw data'!AM:AM,"Yes",'Audit Raw data'!J:J,B:B,'Audit Raw data'!E:E,'Day wise agent'!G:G)</f>
        <v>0</v>
      </c>
      <c r="K498">
        <f>COUNTIFS('Audit Raw data'!AM:AM,"NO",'Audit Raw data'!J:J,B:B,'Audit Raw data'!E:E,'Day wise agent'!G:G)</f>
        <v>0</v>
      </c>
      <c r="L498" s="12" t="str">
        <f t="shared" si="15"/>
        <v xml:space="preserve"> </v>
      </c>
    </row>
    <row r="499" spans="1:12" x14ac:dyDescent="0.35">
      <c r="A499" t="str">
        <f t="shared" si="14"/>
        <v>VPS21145935</v>
      </c>
      <c r="B499" t="s">
        <v>367</v>
      </c>
      <c r="C499" t="s">
        <v>1545</v>
      </c>
      <c r="D499" s="32">
        <v>45855</v>
      </c>
      <c r="E499" t="s">
        <v>1453</v>
      </c>
      <c r="F499" t="str">
        <f>VLOOKUP(B499,'Agent wise'!A:E,5,0)</f>
        <v>Wireless</v>
      </c>
      <c r="G499" s="32">
        <v>45935</v>
      </c>
      <c r="H499">
        <f>COUNTIFS('Audit Raw data'!J:J,B:B,'Audit Raw data'!E:E,G:G)</f>
        <v>0</v>
      </c>
      <c r="I499" s="44" t="str">
        <f>IFERROR((SUMIFS('Audit Raw data'!BZ:BZ,'Audit Raw data'!J:J,B:B,'Audit Raw data'!E:E,G:G)/H499)/100,"-")</f>
        <v>-</v>
      </c>
      <c r="J499">
        <f>COUNTIFS('Audit Raw data'!AM:AM,"Yes",'Audit Raw data'!J:J,B:B,'Audit Raw data'!E:E,'Day wise agent'!G:G)</f>
        <v>0</v>
      </c>
      <c r="K499">
        <f>COUNTIFS('Audit Raw data'!AM:AM,"NO",'Audit Raw data'!J:J,B:B,'Audit Raw data'!E:E,'Day wise agent'!G:G)</f>
        <v>0</v>
      </c>
      <c r="L499" s="12" t="str">
        <f t="shared" si="15"/>
        <v xml:space="preserve"> </v>
      </c>
    </row>
    <row r="500" spans="1:12" x14ac:dyDescent="0.35">
      <c r="A500" t="str">
        <f t="shared" si="14"/>
        <v>VPS21345935</v>
      </c>
      <c r="B500" t="s">
        <v>493</v>
      </c>
      <c r="C500" t="s">
        <v>1546</v>
      </c>
      <c r="D500" s="32">
        <v>45856</v>
      </c>
      <c r="E500" t="s">
        <v>1453</v>
      </c>
      <c r="F500" t="str">
        <f>VLOOKUP(B500,'Agent wise'!A:E,5,0)</f>
        <v>Wireless</v>
      </c>
      <c r="G500" s="32">
        <v>45935</v>
      </c>
      <c r="H500">
        <f>COUNTIFS('Audit Raw data'!J:J,B:B,'Audit Raw data'!E:E,G:G)</f>
        <v>1</v>
      </c>
      <c r="I500" s="44">
        <f>IFERROR((SUMIFS('Audit Raw data'!BZ:BZ,'Audit Raw data'!J:J,B:B,'Audit Raw data'!E:E,G:G)/H500)/100,"-")</f>
        <v>0.8</v>
      </c>
      <c r="J500">
        <f>COUNTIFS('Audit Raw data'!AM:AM,"Yes",'Audit Raw data'!J:J,B:B,'Audit Raw data'!E:E,'Day wise agent'!G:G)</f>
        <v>1</v>
      </c>
      <c r="K500">
        <f>COUNTIFS('Audit Raw data'!AM:AM,"NO",'Audit Raw data'!J:J,B:B,'Audit Raw data'!E:E,'Day wise agent'!G:G)</f>
        <v>0</v>
      </c>
      <c r="L500" s="12">
        <f t="shared" si="15"/>
        <v>1</v>
      </c>
    </row>
    <row r="501" spans="1:12" x14ac:dyDescent="0.35">
      <c r="A501" t="str">
        <f t="shared" si="14"/>
        <v>VPS21445935</v>
      </c>
      <c r="B501" t="s">
        <v>480</v>
      </c>
      <c r="C501" t="s">
        <v>1547</v>
      </c>
      <c r="D501" s="32">
        <v>45855</v>
      </c>
      <c r="E501" t="s">
        <v>107</v>
      </c>
      <c r="F501" t="str">
        <f>VLOOKUP(B501,'Agent wise'!A:E,5,0)</f>
        <v>Wireless</v>
      </c>
      <c r="G501" s="32">
        <v>45935</v>
      </c>
      <c r="H501">
        <f>COUNTIFS('Audit Raw data'!J:J,B:B,'Audit Raw data'!E:E,G:G)</f>
        <v>0</v>
      </c>
      <c r="I501" s="44" t="str">
        <f>IFERROR((SUMIFS('Audit Raw data'!BZ:BZ,'Audit Raw data'!J:J,B:B,'Audit Raw data'!E:E,G:G)/H501)/100,"-")</f>
        <v>-</v>
      </c>
      <c r="J501">
        <f>COUNTIFS('Audit Raw data'!AM:AM,"Yes",'Audit Raw data'!J:J,B:B,'Audit Raw data'!E:E,'Day wise agent'!G:G)</f>
        <v>0</v>
      </c>
      <c r="K501">
        <f>COUNTIFS('Audit Raw data'!AM:AM,"NO",'Audit Raw data'!J:J,B:B,'Audit Raw data'!E:E,'Day wise agent'!G:G)</f>
        <v>0</v>
      </c>
      <c r="L501" s="12" t="str">
        <f t="shared" si="15"/>
        <v xml:space="preserve"> </v>
      </c>
    </row>
    <row r="502" spans="1:12" x14ac:dyDescent="0.35">
      <c r="A502" t="str">
        <f t="shared" si="14"/>
        <v>VPS21545935</v>
      </c>
      <c r="B502" t="s">
        <v>521</v>
      </c>
      <c r="C502" t="s">
        <v>1548</v>
      </c>
      <c r="D502" s="32">
        <v>45865</v>
      </c>
      <c r="E502" t="s">
        <v>178</v>
      </c>
      <c r="F502" t="str">
        <f>VLOOKUP(B502,'Agent wise'!A:E,5,0)</f>
        <v>Wireless</v>
      </c>
      <c r="G502" s="32">
        <v>45935</v>
      </c>
      <c r="H502">
        <f>COUNTIFS('Audit Raw data'!J:J,B:B,'Audit Raw data'!E:E,G:G)</f>
        <v>0</v>
      </c>
      <c r="I502" s="44" t="str">
        <f>IFERROR((SUMIFS('Audit Raw data'!BZ:BZ,'Audit Raw data'!J:J,B:B,'Audit Raw data'!E:E,G:G)/H502)/100,"-")</f>
        <v>-</v>
      </c>
      <c r="J502">
        <f>COUNTIFS('Audit Raw data'!AM:AM,"Yes",'Audit Raw data'!J:J,B:B,'Audit Raw data'!E:E,'Day wise agent'!G:G)</f>
        <v>0</v>
      </c>
      <c r="K502">
        <f>COUNTIFS('Audit Raw data'!AM:AM,"NO",'Audit Raw data'!J:J,B:B,'Audit Raw data'!E:E,'Day wise agent'!G:G)</f>
        <v>0</v>
      </c>
      <c r="L502" s="12" t="str">
        <f t="shared" si="15"/>
        <v xml:space="preserve"> </v>
      </c>
    </row>
    <row r="503" spans="1:12" x14ac:dyDescent="0.35">
      <c r="A503" t="str">
        <f t="shared" si="14"/>
        <v>VPS21645935</v>
      </c>
      <c r="B503" t="s">
        <v>154</v>
      </c>
      <c r="C503" t="s">
        <v>1549</v>
      </c>
      <c r="D503" s="32">
        <v>45865</v>
      </c>
      <c r="E503" t="s">
        <v>107</v>
      </c>
      <c r="F503" t="str">
        <f>VLOOKUP(B503,'Agent wise'!A:E,5,0)</f>
        <v>Wireless</v>
      </c>
      <c r="G503" s="32">
        <v>45935</v>
      </c>
      <c r="H503">
        <f>COUNTIFS('Audit Raw data'!J:J,B:B,'Audit Raw data'!E:E,G:G)</f>
        <v>0</v>
      </c>
      <c r="I503" s="44" t="str">
        <f>IFERROR((SUMIFS('Audit Raw data'!BZ:BZ,'Audit Raw data'!J:J,B:B,'Audit Raw data'!E:E,G:G)/H503)/100,"-")</f>
        <v>-</v>
      </c>
      <c r="J503">
        <f>COUNTIFS('Audit Raw data'!AM:AM,"Yes",'Audit Raw data'!J:J,B:B,'Audit Raw data'!E:E,'Day wise agent'!G:G)</f>
        <v>0</v>
      </c>
      <c r="K503">
        <f>COUNTIFS('Audit Raw data'!AM:AM,"NO",'Audit Raw data'!J:J,B:B,'Audit Raw data'!E:E,'Day wise agent'!G:G)</f>
        <v>0</v>
      </c>
      <c r="L503" s="12" t="str">
        <f t="shared" si="15"/>
        <v xml:space="preserve"> </v>
      </c>
    </row>
    <row r="504" spans="1:12" x14ac:dyDescent="0.35">
      <c r="A504" t="str">
        <f t="shared" si="14"/>
        <v>VPS21745935</v>
      </c>
      <c r="B504" t="s">
        <v>519</v>
      </c>
      <c r="C504" t="s">
        <v>1550</v>
      </c>
      <c r="D504" s="32">
        <v>45865</v>
      </c>
      <c r="E504" t="s">
        <v>178</v>
      </c>
      <c r="F504" t="str">
        <f>VLOOKUP(B504,'Agent wise'!A:E,5,0)</f>
        <v>Wireless</v>
      </c>
      <c r="G504" s="32">
        <v>45935</v>
      </c>
      <c r="H504">
        <f>COUNTIFS('Audit Raw data'!J:J,B:B,'Audit Raw data'!E:E,G:G)</f>
        <v>0</v>
      </c>
      <c r="I504" s="44" t="str">
        <f>IFERROR((SUMIFS('Audit Raw data'!BZ:BZ,'Audit Raw data'!J:J,B:B,'Audit Raw data'!E:E,G:G)/H504)/100,"-")</f>
        <v>-</v>
      </c>
      <c r="J504">
        <f>COUNTIFS('Audit Raw data'!AM:AM,"Yes",'Audit Raw data'!J:J,B:B,'Audit Raw data'!E:E,'Day wise agent'!G:G)</f>
        <v>0</v>
      </c>
      <c r="K504">
        <f>COUNTIFS('Audit Raw data'!AM:AM,"NO",'Audit Raw data'!J:J,B:B,'Audit Raw data'!E:E,'Day wise agent'!G:G)</f>
        <v>0</v>
      </c>
      <c r="L504" s="12" t="str">
        <f t="shared" si="15"/>
        <v xml:space="preserve"> </v>
      </c>
    </row>
    <row r="505" spans="1:12" x14ac:dyDescent="0.35">
      <c r="A505" t="str">
        <f t="shared" si="14"/>
        <v>VPS22845935</v>
      </c>
      <c r="B505" t="s">
        <v>341</v>
      </c>
      <c r="C505" t="s">
        <v>1551</v>
      </c>
      <c r="D505" s="32">
        <v>45881</v>
      </c>
      <c r="E505" t="s">
        <v>178</v>
      </c>
      <c r="F505" t="str">
        <f>VLOOKUP(B505,'Agent wise'!A:E,5,0)</f>
        <v>Wireless</v>
      </c>
      <c r="G505" s="32">
        <v>45935</v>
      </c>
      <c r="H505">
        <f>COUNTIFS('Audit Raw data'!J:J,B:B,'Audit Raw data'!E:E,G:G)</f>
        <v>0</v>
      </c>
      <c r="I505" s="44" t="str">
        <f>IFERROR((SUMIFS('Audit Raw data'!BZ:BZ,'Audit Raw data'!J:J,B:B,'Audit Raw data'!E:E,G:G)/H505)/100,"-")</f>
        <v>-</v>
      </c>
      <c r="J505">
        <f>COUNTIFS('Audit Raw data'!AM:AM,"Yes",'Audit Raw data'!J:J,B:B,'Audit Raw data'!E:E,'Day wise agent'!G:G)</f>
        <v>0</v>
      </c>
      <c r="K505">
        <f>COUNTIFS('Audit Raw data'!AM:AM,"NO",'Audit Raw data'!J:J,B:B,'Audit Raw data'!E:E,'Day wise agent'!G:G)</f>
        <v>0</v>
      </c>
      <c r="L505" s="12" t="str">
        <f t="shared" si="15"/>
        <v xml:space="preserve"> </v>
      </c>
    </row>
    <row r="506" spans="1:12" x14ac:dyDescent="0.35">
      <c r="A506" t="str">
        <f t="shared" si="14"/>
        <v>VPS22945935</v>
      </c>
      <c r="B506" t="s">
        <v>173</v>
      </c>
      <c r="C506" t="s">
        <v>1552</v>
      </c>
      <c r="D506" s="32">
        <v>45880</v>
      </c>
      <c r="E506" t="s">
        <v>107</v>
      </c>
      <c r="F506" t="str">
        <f>VLOOKUP(B506,'Agent wise'!A:E,5,0)</f>
        <v>Wireless</v>
      </c>
      <c r="G506" s="32">
        <v>45935</v>
      </c>
      <c r="H506">
        <f>COUNTIFS('Audit Raw data'!J:J,B:B,'Audit Raw data'!E:E,G:G)</f>
        <v>0</v>
      </c>
      <c r="I506" s="44" t="str">
        <f>IFERROR((SUMIFS('Audit Raw data'!BZ:BZ,'Audit Raw data'!J:J,B:B,'Audit Raw data'!E:E,G:G)/H506)/100,"-")</f>
        <v>-</v>
      </c>
      <c r="J506">
        <f>COUNTIFS('Audit Raw data'!AM:AM,"Yes",'Audit Raw data'!J:J,B:B,'Audit Raw data'!E:E,'Day wise agent'!G:G)</f>
        <v>0</v>
      </c>
      <c r="K506">
        <f>COUNTIFS('Audit Raw data'!AM:AM,"NO",'Audit Raw data'!J:J,B:B,'Audit Raw data'!E:E,'Day wise agent'!G:G)</f>
        <v>0</v>
      </c>
      <c r="L506" s="12" t="str">
        <f t="shared" si="15"/>
        <v xml:space="preserve"> </v>
      </c>
    </row>
    <row r="507" spans="1:12" x14ac:dyDescent="0.35">
      <c r="A507" t="str">
        <f t="shared" si="14"/>
        <v>VPS23045935</v>
      </c>
      <c r="B507" t="s">
        <v>335</v>
      </c>
      <c r="C507" t="s">
        <v>1553</v>
      </c>
      <c r="D507" s="32">
        <v>45880</v>
      </c>
      <c r="E507" t="s">
        <v>1484</v>
      </c>
      <c r="F507" t="str">
        <f>VLOOKUP(B507,'Agent wise'!A:E,5,0)</f>
        <v>Wireless</v>
      </c>
      <c r="G507" s="32">
        <v>45935</v>
      </c>
      <c r="H507">
        <f>COUNTIFS('Audit Raw data'!J:J,B:B,'Audit Raw data'!E:E,G:G)</f>
        <v>0</v>
      </c>
      <c r="I507" s="44" t="str">
        <f>IFERROR((SUMIFS('Audit Raw data'!BZ:BZ,'Audit Raw data'!J:J,B:B,'Audit Raw data'!E:E,G:G)/H507)/100,"-")</f>
        <v>-</v>
      </c>
      <c r="J507">
        <f>COUNTIFS('Audit Raw data'!AM:AM,"Yes",'Audit Raw data'!J:J,B:B,'Audit Raw data'!E:E,'Day wise agent'!G:G)</f>
        <v>0</v>
      </c>
      <c r="K507">
        <f>COUNTIFS('Audit Raw data'!AM:AM,"NO",'Audit Raw data'!J:J,B:B,'Audit Raw data'!E:E,'Day wise agent'!G:G)</f>
        <v>0</v>
      </c>
      <c r="L507" s="12" t="str">
        <f t="shared" si="15"/>
        <v xml:space="preserve"> </v>
      </c>
    </row>
    <row r="508" spans="1:12" x14ac:dyDescent="0.35">
      <c r="A508" t="str">
        <f t="shared" si="14"/>
        <v>VPS23545935</v>
      </c>
      <c r="B508" t="s">
        <v>317</v>
      </c>
      <c r="C508" t="s">
        <v>1554</v>
      </c>
      <c r="D508" s="32">
        <v>45897</v>
      </c>
      <c r="E508" t="s">
        <v>178</v>
      </c>
      <c r="F508" t="str">
        <f>VLOOKUP(B508,'Agent wise'!A:E,5,0)</f>
        <v>Wireless</v>
      </c>
      <c r="G508" s="32">
        <v>45935</v>
      </c>
      <c r="H508">
        <f>COUNTIFS('Audit Raw data'!J:J,B:B,'Audit Raw data'!E:E,G:G)</f>
        <v>0</v>
      </c>
      <c r="I508" s="44" t="str">
        <f>IFERROR((SUMIFS('Audit Raw data'!BZ:BZ,'Audit Raw data'!J:J,B:B,'Audit Raw data'!E:E,G:G)/H508)/100,"-")</f>
        <v>-</v>
      </c>
      <c r="J508">
        <f>COUNTIFS('Audit Raw data'!AM:AM,"Yes",'Audit Raw data'!J:J,B:B,'Audit Raw data'!E:E,'Day wise agent'!G:G)</f>
        <v>0</v>
      </c>
      <c r="K508">
        <f>COUNTIFS('Audit Raw data'!AM:AM,"NO",'Audit Raw data'!J:J,B:B,'Audit Raw data'!E:E,'Day wise agent'!G:G)</f>
        <v>0</v>
      </c>
      <c r="L508" s="12" t="str">
        <f t="shared" si="15"/>
        <v xml:space="preserve"> </v>
      </c>
    </row>
    <row r="509" spans="1:12" x14ac:dyDescent="0.35">
      <c r="A509" t="str">
        <f t="shared" si="14"/>
        <v>VPS23645935</v>
      </c>
      <c r="B509" t="s">
        <v>370</v>
      </c>
      <c r="C509" t="s">
        <v>1555</v>
      </c>
      <c r="D509" s="32">
        <v>45897</v>
      </c>
      <c r="E509" t="s">
        <v>1453</v>
      </c>
      <c r="F509" t="str">
        <f>VLOOKUP(B509,'Agent wise'!A:E,5,0)</f>
        <v>Wireless</v>
      </c>
      <c r="G509" s="32">
        <v>45935</v>
      </c>
      <c r="H509">
        <f>COUNTIFS('Audit Raw data'!J:J,B:B,'Audit Raw data'!E:E,G:G)</f>
        <v>1</v>
      </c>
      <c r="I509" s="44">
        <f>IFERROR((SUMIFS('Audit Raw data'!BZ:BZ,'Audit Raw data'!J:J,B:B,'Audit Raw data'!E:E,G:G)/H509)/100,"-")</f>
        <v>0.86</v>
      </c>
      <c r="J509">
        <f>COUNTIFS('Audit Raw data'!AM:AM,"Yes",'Audit Raw data'!J:J,B:B,'Audit Raw data'!E:E,'Day wise agent'!G:G)</f>
        <v>1</v>
      </c>
      <c r="K509">
        <f>COUNTIFS('Audit Raw data'!AM:AM,"NO",'Audit Raw data'!J:J,B:B,'Audit Raw data'!E:E,'Day wise agent'!G:G)</f>
        <v>0</v>
      </c>
      <c r="L509" s="12">
        <f t="shared" si="15"/>
        <v>1</v>
      </c>
    </row>
    <row r="510" spans="1:12" x14ac:dyDescent="0.35">
      <c r="A510" t="str">
        <f t="shared" si="14"/>
        <v>VPS23745935</v>
      </c>
      <c r="B510" t="s">
        <v>159</v>
      </c>
      <c r="C510" t="s">
        <v>1556</v>
      </c>
      <c r="D510" s="32">
        <v>45897</v>
      </c>
      <c r="E510" t="s">
        <v>107</v>
      </c>
      <c r="F510" t="str">
        <f>VLOOKUP(B510,'Agent wise'!A:E,5,0)</f>
        <v>Wireless</v>
      </c>
      <c r="G510" s="32">
        <v>45935</v>
      </c>
      <c r="H510">
        <f>COUNTIFS('Audit Raw data'!J:J,B:B,'Audit Raw data'!E:E,G:G)</f>
        <v>0</v>
      </c>
      <c r="I510" s="44" t="str">
        <f>IFERROR((SUMIFS('Audit Raw data'!BZ:BZ,'Audit Raw data'!J:J,B:B,'Audit Raw data'!E:E,G:G)/H510)/100,"-")</f>
        <v>-</v>
      </c>
      <c r="J510">
        <f>COUNTIFS('Audit Raw data'!AM:AM,"Yes",'Audit Raw data'!J:J,B:B,'Audit Raw data'!E:E,'Day wise agent'!G:G)</f>
        <v>0</v>
      </c>
      <c r="K510">
        <f>COUNTIFS('Audit Raw data'!AM:AM,"NO",'Audit Raw data'!J:J,B:B,'Audit Raw data'!E:E,'Day wise agent'!G:G)</f>
        <v>0</v>
      </c>
      <c r="L510" s="12" t="str">
        <f t="shared" si="15"/>
        <v xml:space="preserve"> </v>
      </c>
    </row>
    <row r="511" spans="1:12" x14ac:dyDescent="0.35">
      <c r="A511" t="str">
        <f t="shared" si="14"/>
        <v>VPS23945935</v>
      </c>
      <c r="B511" t="s">
        <v>484</v>
      </c>
      <c r="C511" t="s">
        <v>1468</v>
      </c>
      <c r="D511" s="32">
        <v>44942</v>
      </c>
      <c r="E511" t="s">
        <v>178</v>
      </c>
      <c r="F511" t="str">
        <f>VLOOKUP(B511,'Agent wise'!A:E,5,0)</f>
        <v>Wireless</v>
      </c>
      <c r="G511" s="32">
        <v>45935</v>
      </c>
      <c r="H511">
        <f>COUNTIFS('Audit Raw data'!J:J,B:B,'Audit Raw data'!E:E,G:G)</f>
        <v>0</v>
      </c>
      <c r="I511" s="44" t="str">
        <f>IFERROR((SUMIFS('Audit Raw data'!BZ:BZ,'Audit Raw data'!J:J,B:B,'Audit Raw data'!E:E,G:G)/H511)/100,"-")</f>
        <v>-</v>
      </c>
      <c r="J511">
        <f>COUNTIFS('Audit Raw data'!AM:AM,"Yes",'Audit Raw data'!J:J,B:B,'Audit Raw data'!E:E,'Day wise agent'!G:G)</f>
        <v>0</v>
      </c>
      <c r="K511">
        <f>COUNTIFS('Audit Raw data'!AM:AM,"NO",'Audit Raw data'!J:J,B:B,'Audit Raw data'!E:E,'Day wise agent'!G:G)</f>
        <v>0</v>
      </c>
      <c r="L511" s="12" t="str">
        <f t="shared" si="15"/>
        <v xml:space="preserve"> </v>
      </c>
    </row>
    <row r="512" spans="1:12" x14ac:dyDescent="0.35">
      <c r="A512" t="str">
        <f t="shared" si="14"/>
        <v>VPS24045935</v>
      </c>
      <c r="B512" t="s">
        <v>291</v>
      </c>
      <c r="C512" t="s">
        <v>1557</v>
      </c>
      <c r="D512" s="32">
        <v>45907</v>
      </c>
      <c r="E512" t="s">
        <v>1484</v>
      </c>
      <c r="F512" t="str">
        <f>VLOOKUP(B512,'Agent wise'!A:E,5,0)</f>
        <v>Wireless</v>
      </c>
      <c r="G512" s="32">
        <v>45935</v>
      </c>
      <c r="H512">
        <f>COUNTIFS('Audit Raw data'!J:J,B:B,'Audit Raw data'!E:E,G:G)</f>
        <v>1</v>
      </c>
      <c r="I512" s="44">
        <f>IFERROR((SUMIFS('Audit Raw data'!BZ:BZ,'Audit Raw data'!J:J,B:B,'Audit Raw data'!E:E,G:G)/H512)/100,"-")</f>
        <v>0.9</v>
      </c>
      <c r="J512">
        <f>COUNTIFS('Audit Raw data'!AM:AM,"Yes",'Audit Raw data'!J:J,B:B,'Audit Raw data'!E:E,'Day wise agent'!G:G)</f>
        <v>1</v>
      </c>
      <c r="K512">
        <f>COUNTIFS('Audit Raw data'!AM:AM,"NO",'Audit Raw data'!J:J,B:B,'Audit Raw data'!E:E,'Day wise agent'!G:G)</f>
        <v>0</v>
      </c>
      <c r="L512" s="12">
        <f t="shared" si="15"/>
        <v>1</v>
      </c>
    </row>
    <row r="513" spans="1:12" x14ac:dyDescent="0.35">
      <c r="A513" t="str">
        <f t="shared" si="14"/>
        <v>VPS24245935</v>
      </c>
      <c r="B513" t="s">
        <v>326</v>
      </c>
      <c r="C513" t="s">
        <v>1510</v>
      </c>
      <c r="D513" s="32">
        <v>45908</v>
      </c>
      <c r="E513" t="s">
        <v>1453</v>
      </c>
      <c r="F513" t="str">
        <f>VLOOKUP(B513,'Agent wise'!A:E,5,0)</f>
        <v>Wireless</v>
      </c>
      <c r="G513" s="32">
        <v>45935</v>
      </c>
      <c r="H513">
        <f>COUNTIFS('Audit Raw data'!J:J,B:B,'Audit Raw data'!E:E,G:G)</f>
        <v>1</v>
      </c>
      <c r="I513" s="44">
        <f>IFERROR((SUMIFS('Audit Raw data'!BZ:BZ,'Audit Raw data'!J:J,B:B,'Audit Raw data'!E:E,G:G)/H513)/100,"-")</f>
        <v>0.9</v>
      </c>
      <c r="J513">
        <f>COUNTIFS('Audit Raw data'!AM:AM,"Yes",'Audit Raw data'!J:J,B:B,'Audit Raw data'!E:E,'Day wise agent'!G:G)</f>
        <v>1</v>
      </c>
      <c r="K513">
        <f>COUNTIFS('Audit Raw data'!AM:AM,"NO",'Audit Raw data'!J:J,B:B,'Audit Raw data'!E:E,'Day wise agent'!G:G)</f>
        <v>0</v>
      </c>
      <c r="L513" s="12">
        <f t="shared" si="15"/>
        <v>1</v>
      </c>
    </row>
    <row r="514" spans="1:12" x14ac:dyDescent="0.35">
      <c r="A514" t="str">
        <f t="shared" ref="A514:A577" si="16">B514&amp;G514</f>
        <v>VPS24345935</v>
      </c>
      <c r="B514" t="s">
        <v>321</v>
      </c>
      <c r="C514" t="s">
        <v>1558</v>
      </c>
      <c r="D514" s="32">
        <v>45907</v>
      </c>
      <c r="E514" t="s">
        <v>1453</v>
      </c>
      <c r="F514" t="str">
        <f>VLOOKUP(B514,'Agent wise'!A:E,5,0)</f>
        <v>Wireless</v>
      </c>
      <c r="G514" s="32">
        <v>45935</v>
      </c>
      <c r="H514">
        <f>COUNTIFS('Audit Raw data'!J:J,B:B,'Audit Raw data'!E:E,G:G)</f>
        <v>1</v>
      </c>
      <c r="I514" s="44">
        <f>IFERROR((SUMIFS('Audit Raw data'!BZ:BZ,'Audit Raw data'!J:J,B:B,'Audit Raw data'!E:E,G:G)/H514)/100,"-")</f>
        <v>0.82</v>
      </c>
      <c r="J514">
        <f>COUNTIFS('Audit Raw data'!AM:AM,"Yes",'Audit Raw data'!J:J,B:B,'Audit Raw data'!E:E,'Day wise agent'!G:G)</f>
        <v>1</v>
      </c>
      <c r="K514">
        <f>COUNTIFS('Audit Raw data'!AM:AM,"NO",'Audit Raw data'!J:J,B:B,'Audit Raw data'!E:E,'Day wise agent'!G:G)</f>
        <v>0</v>
      </c>
      <c r="L514" s="12">
        <f t="shared" ref="L514:L577" si="17">IFERROR(J514/H514," ")</f>
        <v>1</v>
      </c>
    </row>
    <row r="515" spans="1:12" x14ac:dyDescent="0.35">
      <c r="A515" t="str">
        <f t="shared" si="16"/>
        <v>VPS24445935</v>
      </c>
      <c r="B515" t="s">
        <v>288</v>
      </c>
      <c r="C515" t="s">
        <v>1559</v>
      </c>
      <c r="D515" s="32">
        <v>45907</v>
      </c>
      <c r="E515" t="s">
        <v>107</v>
      </c>
      <c r="F515" t="str">
        <f>VLOOKUP(B515,'Agent wise'!A:E,5,0)</f>
        <v>Wireless</v>
      </c>
      <c r="G515" s="32">
        <v>45935</v>
      </c>
      <c r="H515">
        <f>COUNTIFS('Audit Raw data'!J:J,B:B,'Audit Raw data'!E:E,G:G)</f>
        <v>0</v>
      </c>
      <c r="I515" s="44" t="str">
        <f>IFERROR((SUMIFS('Audit Raw data'!BZ:BZ,'Audit Raw data'!J:J,B:B,'Audit Raw data'!E:E,G:G)/H515)/100,"-")</f>
        <v>-</v>
      </c>
      <c r="J515">
        <f>COUNTIFS('Audit Raw data'!AM:AM,"Yes",'Audit Raw data'!J:J,B:B,'Audit Raw data'!E:E,'Day wise agent'!G:G)</f>
        <v>0</v>
      </c>
      <c r="K515">
        <f>COUNTIFS('Audit Raw data'!AM:AM,"NO",'Audit Raw data'!J:J,B:B,'Audit Raw data'!E:E,'Day wise agent'!G:G)</f>
        <v>0</v>
      </c>
      <c r="L515" s="12" t="str">
        <f t="shared" si="17"/>
        <v xml:space="preserve"> </v>
      </c>
    </row>
    <row r="516" spans="1:12" x14ac:dyDescent="0.35">
      <c r="A516" t="str">
        <f t="shared" si="16"/>
        <v>VPS24545935</v>
      </c>
      <c r="B516" t="s">
        <v>873</v>
      </c>
      <c r="C516" t="s">
        <v>1560</v>
      </c>
      <c r="D516" s="32">
        <v>45908</v>
      </c>
      <c r="E516" t="s">
        <v>1484</v>
      </c>
      <c r="F516" t="str">
        <f>VLOOKUP(B516,'Agent wise'!A:E,5,0)</f>
        <v>Wireless</v>
      </c>
      <c r="G516" s="32">
        <v>45935</v>
      </c>
      <c r="H516">
        <f>COUNTIFS('Audit Raw data'!J:J,B:B,'Audit Raw data'!E:E,G:G)</f>
        <v>0</v>
      </c>
      <c r="I516" s="44" t="str">
        <f>IFERROR((SUMIFS('Audit Raw data'!BZ:BZ,'Audit Raw data'!J:J,B:B,'Audit Raw data'!E:E,G:G)/H516)/100,"-")</f>
        <v>-</v>
      </c>
      <c r="J516">
        <f>COUNTIFS('Audit Raw data'!AM:AM,"Yes",'Audit Raw data'!J:J,B:B,'Audit Raw data'!E:E,'Day wise agent'!G:G)</f>
        <v>0</v>
      </c>
      <c r="K516">
        <f>COUNTIFS('Audit Raw data'!AM:AM,"NO",'Audit Raw data'!J:J,B:B,'Audit Raw data'!E:E,'Day wise agent'!G:G)</f>
        <v>0</v>
      </c>
      <c r="L516" s="12" t="str">
        <f t="shared" si="17"/>
        <v xml:space="preserve"> </v>
      </c>
    </row>
    <row r="517" spans="1:12" x14ac:dyDescent="0.35">
      <c r="A517" t="str">
        <f t="shared" si="16"/>
        <v>VPS24745935</v>
      </c>
      <c r="B517" t="s">
        <v>238</v>
      </c>
      <c r="C517" t="s">
        <v>1561</v>
      </c>
      <c r="D517" s="32">
        <v>45907</v>
      </c>
      <c r="E517" t="s">
        <v>1484</v>
      </c>
      <c r="F517" t="str">
        <f>VLOOKUP(B517,'Agent wise'!A:E,5,0)</f>
        <v>Wireless</v>
      </c>
      <c r="G517" s="32">
        <v>45935</v>
      </c>
      <c r="H517">
        <f>COUNTIFS('Audit Raw data'!J:J,B:B,'Audit Raw data'!E:E,G:G)</f>
        <v>0</v>
      </c>
      <c r="I517" s="44" t="str">
        <f>IFERROR((SUMIFS('Audit Raw data'!BZ:BZ,'Audit Raw data'!J:J,B:B,'Audit Raw data'!E:E,G:G)/H517)/100,"-")</f>
        <v>-</v>
      </c>
      <c r="J517">
        <f>COUNTIFS('Audit Raw data'!AM:AM,"Yes",'Audit Raw data'!J:J,B:B,'Audit Raw data'!E:E,'Day wise agent'!G:G)</f>
        <v>0</v>
      </c>
      <c r="K517">
        <f>COUNTIFS('Audit Raw data'!AM:AM,"NO",'Audit Raw data'!J:J,B:B,'Audit Raw data'!E:E,'Day wise agent'!G:G)</f>
        <v>0</v>
      </c>
      <c r="L517" s="12" t="str">
        <f t="shared" si="17"/>
        <v xml:space="preserve"> </v>
      </c>
    </row>
    <row r="518" spans="1:12" x14ac:dyDescent="0.35">
      <c r="A518" t="str">
        <f t="shared" si="16"/>
        <v>VPS24845935</v>
      </c>
      <c r="B518" t="s">
        <v>231</v>
      </c>
      <c r="C518" t="s">
        <v>1562</v>
      </c>
      <c r="D518" s="32">
        <v>45908</v>
      </c>
      <c r="E518" t="s">
        <v>107</v>
      </c>
      <c r="F518" t="str">
        <f>VLOOKUP(B518,'Agent wise'!A:E,5,0)</f>
        <v>Wireless</v>
      </c>
      <c r="G518" s="32">
        <v>45935</v>
      </c>
      <c r="H518">
        <f>COUNTIFS('Audit Raw data'!J:J,B:B,'Audit Raw data'!E:E,G:G)</f>
        <v>1</v>
      </c>
      <c r="I518" s="44">
        <f>IFERROR((SUMIFS('Audit Raw data'!BZ:BZ,'Audit Raw data'!J:J,B:B,'Audit Raw data'!E:E,G:G)/H518)/100,"-")</f>
        <v>0.82</v>
      </c>
      <c r="J518">
        <f>COUNTIFS('Audit Raw data'!AM:AM,"Yes",'Audit Raw data'!J:J,B:B,'Audit Raw data'!E:E,'Day wise agent'!G:G)</f>
        <v>1</v>
      </c>
      <c r="K518">
        <f>COUNTIFS('Audit Raw data'!AM:AM,"NO",'Audit Raw data'!J:J,B:B,'Audit Raw data'!E:E,'Day wise agent'!G:G)</f>
        <v>0</v>
      </c>
      <c r="L518" s="12">
        <f t="shared" si="17"/>
        <v>1</v>
      </c>
    </row>
    <row r="519" spans="1:12" x14ac:dyDescent="0.35">
      <c r="A519" t="str">
        <f t="shared" si="16"/>
        <v>VPS24945935</v>
      </c>
      <c r="B519" t="s">
        <v>215</v>
      </c>
      <c r="C519" t="s">
        <v>1563</v>
      </c>
      <c r="D519" s="32">
        <v>45907</v>
      </c>
      <c r="E519" t="s">
        <v>178</v>
      </c>
      <c r="F519" t="str">
        <f>VLOOKUP(B519,'Agent wise'!A:E,5,0)</f>
        <v>Wireless</v>
      </c>
      <c r="G519" s="32">
        <v>45935</v>
      </c>
      <c r="H519">
        <f>COUNTIFS('Audit Raw data'!J:J,B:B,'Audit Raw data'!E:E,G:G)</f>
        <v>1</v>
      </c>
      <c r="I519" s="44">
        <f>IFERROR((SUMIFS('Audit Raw data'!BZ:BZ,'Audit Raw data'!J:J,B:B,'Audit Raw data'!E:E,G:G)/H519)/100,"-")</f>
        <v>0.94</v>
      </c>
      <c r="J519">
        <f>COUNTIFS('Audit Raw data'!AM:AM,"Yes",'Audit Raw data'!J:J,B:B,'Audit Raw data'!E:E,'Day wise agent'!G:G)</f>
        <v>1</v>
      </c>
      <c r="K519">
        <f>COUNTIFS('Audit Raw data'!AM:AM,"NO",'Audit Raw data'!J:J,B:B,'Audit Raw data'!E:E,'Day wise agent'!G:G)</f>
        <v>0</v>
      </c>
      <c r="L519" s="12">
        <f t="shared" si="17"/>
        <v>1</v>
      </c>
    </row>
    <row r="520" spans="1:12" x14ac:dyDescent="0.35">
      <c r="A520" t="str">
        <f t="shared" si="16"/>
        <v>VPS25145935</v>
      </c>
      <c r="B520" t="s">
        <v>168</v>
      </c>
      <c r="C520" t="s">
        <v>1564</v>
      </c>
      <c r="D520" s="32">
        <v>45907</v>
      </c>
      <c r="E520" t="s">
        <v>107</v>
      </c>
      <c r="F520" t="str">
        <f>VLOOKUP(B520,'Agent wise'!A:E,5,0)</f>
        <v>Wireless</v>
      </c>
      <c r="G520" s="32">
        <v>45935</v>
      </c>
      <c r="H520">
        <f>COUNTIFS('Audit Raw data'!J:J,B:B,'Audit Raw data'!E:E,G:G)</f>
        <v>1</v>
      </c>
      <c r="I520" s="44">
        <f>IFERROR((SUMIFS('Audit Raw data'!BZ:BZ,'Audit Raw data'!J:J,B:B,'Audit Raw data'!E:E,G:G)/H520)/100,"-")</f>
        <v>0.92</v>
      </c>
      <c r="J520">
        <f>COUNTIFS('Audit Raw data'!AM:AM,"Yes",'Audit Raw data'!J:J,B:B,'Audit Raw data'!E:E,'Day wise agent'!G:G)</f>
        <v>1</v>
      </c>
      <c r="K520">
        <f>COUNTIFS('Audit Raw data'!AM:AM,"NO",'Audit Raw data'!J:J,B:B,'Audit Raw data'!E:E,'Day wise agent'!G:G)</f>
        <v>0</v>
      </c>
      <c r="L520" s="12">
        <f t="shared" si="17"/>
        <v>1</v>
      </c>
    </row>
    <row r="521" spans="1:12" x14ac:dyDescent="0.35">
      <c r="A521" t="str">
        <f t="shared" si="16"/>
        <v>VPS25245935</v>
      </c>
      <c r="B521" t="s">
        <v>204</v>
      </c>
      <c r="C521" t="s">
        <v>1565</v>
      </c>
      <c r="D521" s="32">
        <v>45919</v>
      </c>
      <c r="E521" t="s">
        <v>1484</v>
      </c>
      <c r="F521" t="str">
        <f>VLOOKUP(B521,'Agent wise'!A:E,5,0)</f>
        <v>Wireless</v>
      </c>
      <c r="G521" s="32">
        <v>45935</v>
      </c>
      <c r="H521">
        <f>COUNTIFS('Audit Raw data'!J:J,B:B,'Audit Raw data'!E:E,G:G)</f>
        <v>2</v>
      </c>
      <c r="I521" s="44">
        <f>IFERROR((SUMIFS('Audit Raw data'!BZ:BZ,'Audit Raw data'!J:J,B:B,'Audit Raw data'!E:E,G:G)/H521)/100,"-")</f>
        <v>0.94</v>
      </c>
      <c r="J521">
        <f>COUNTIFS('Audit Raw data'!AM:AM,"Yes",'Audit Raw data'!J:J,B:B,'Audit Raw data'!E:E,'Day wise agent'!G:G)</f>
        <v>2</v>
      </c>
      <c r="K521">
        <f>COUNTIFS('Audit Raw data'!AM:AM,"NO",'Audit Raw data'!J:J,B:B,'Audit Raw data'!E:E,'Day wise agent'!G:G)</f>
        <v>0</v>
      </c>
      <c r="L521" s="12">
        <f t="shared" si="17"/>
        <v>1</v>
      </c>
    </row>
    <row r="522" spans="1:12" x14ac:dyDescent="0.35">
      <c r="A522" t="str">
        <f t="shared" si="16"/>
        <v>VPS25345935</v>
      </c>
      <c r="B522" t="s">
        <v>195</v>
      </c>
      <c r="C522" t="s">
        <v>1566</v>
      </c>
      <c r="D522" s="32">
        <v>45919</v>
      </c>
      <c r="E522" t="s">
        <v>178</v>
      </c>
      <c r="F522" t="str">
        <f>VLOOKUP(B522,'Agent wise'!A:E,5,0)</f>
        <v>Wireless</v>
      </c>
      <c r="G522" s="32">
        <v>45935</v>
      </c>
      <c r="H522">
        <f>COUNTIFS('Audit Raw data'!J:J,B:B,'Audit Raw data'!E:E,G:G)</f>
        <v>2</v>
      </c>
      <c r="I522" s="44">
        <f>IFERROR((SUMIFS('Audit Raw data'!BZ:BZ,'Audit Raw data'!J:J,B:B,'Audit Raw data'!E:E,G:G)/H522)/100,"-")</f>
        <v>0.96</v>
      </c>
      <c r="J522">
        <f>COUNTIFS('Audit Raw data'!AM:AM,"Yes",'Audit Raw data'!J:J,B:B,'Audit Raw data'!E:E,'Day wise agent'!G:G)</f>
        <v>2</v>
      </c>
      <c r="K522">
        <f>COUNTIFS('Audit Raw data'!AM:AM,"NO",'Audit Raw data'!J:J,B:B,'Audit Raw data'!E:E,'Day wise agent'!G:G)</f>
        <v>0</v>
      </c>
      <c r="L522" s="12">
        <f t="shared" si="17"/>
        <v>1</v>
      </c>
    </row>
    <row r="523" spans="1:12" x14ac:dyDescent="0.35">
      <c r="A523" t="str">
        <f t="shared" si="16"/>
        <v>VPS25645935</v>
      </c>
      <c r="B523" t="s">
        <v>191</v>
      </c>
      <c r="C523" t="s">
        <v>1567</v>
      </c>
      <c r="D523" s="32">
        <v>45919</v>
      </c>
      <c r="E523" t="s">
        <v>1453</v>
      </c>
      <c r="F523" t="str">
        <f>VLOOKUP(B523,'Agent wise'!A:E,5,0)</f>
        <v>Wireless</v>
      </c>
      <c r="G523" s="32">
        <v>45935</v>
      </c>
      <c r="H523">
        <f>COUNTIFS('Audit Raw data'!J:J,B:B,'Audit Raw data'!E:E,G:G)</f>
        <v>1</v>
      </c>
      <c r="I523" s="44">
        <f>IFERROR((SUMIFS('Audit Raw data'!BZ:BZ,'Audit Raw data'!J:J,B:B,'Audit Raw data'!E:E,G:G)/H523)/100,"-")</f>
        <v>0.82</v>
      </c>
      <c r="J523">
        <f>COUNTIFS('Audit Raw data'!AM:AM,"Yes",'Audit Raw data'!J:J,B:B,'Audit Raw data'!E:E,'Day wise agent'!G:G)</f>
        <v>1</v>
      </c>
      <c r="K523">
        <f>COUNTIFS('Audit Raw data'!AM:AM,"NO",'Audit Raw data'!J:J,B:B,'Audit Raw data'!E:E,'Day wise agent'!G:G)</f>
        <v>0</v>
      </c>
      <c r="L523" s="12">
        <f t="shared" si="17"/>
        <v>1</v>
      </c>
    </row>
    <row r="524" spans="1:12" x14ac:dyDescent="0.35">
      <c r="A524" t="str">
        <f t="shared" si="16"/>
        <v>VPS25745935</v>
      </c>
      <c r="B524" t="s">
        <v>412</v>
      </c>
      <c r="C524" t="s">
        <v>1568</v>
      </c>
      <c r="D524" s="32">
        <v>45919</v>
      </c>
      <c r="E524" t="s">
        <v>1453</v>
      </c>
      <c r="F524" t="str">
        <f>VLOOKUP(B524,'Agent wise'!A:E,5,0)</f>
        <v>Wireless</v>
      </c>
      <c r="G524" s="32">
        <v>45935</v>
      </c>
      <c r="H524">
        <f>COUNTIFS('Audit Raw data'!J:J,B:B,'Audit Raw data'!E:E,G:G)</f>
        <v>2</v>
      </c>
      <c r="I524" s="44">
        <f>IFERROR((SUMIFS('Audit Raw data'!BZ:BZ,'Audit Raw data'!J:J,B:B,'Audit Raw data'!E:E,G:G)/H524)/100,"-")</f>
        <v>0.9</v>
      </c>
      <c r="J524">
        <f>COUNTIFS('Audit Raw data'!AM:AM,"Yes",'Audit Raw data'!J:J,B:B,'Audit Raw data'!E:E,'Day wise agent'!G:G)</f>
        <v>2</v>
      </c>
      <c r="K524">
        <f>COUNTIFS('Audit Raw data'!AM:AM,"NO",'Audit Raw data'!J:J,B:B,'Audit Raw data'!E:E,'Day wise agent'!G:G)</f>
        <v>0</v>
      </c>
      <c r="L524" s="12">
        <f t="shared" si="17"/>
        <v>1</v>
      </c>
    </row>
    <row r="525" spans="1:12" x14ac:dyDescent="0.35">
      <c r="A525" t="str">
        <f t="shared" si="16"/>
        <v>VPS25845935</v>
      </c>
      <c r="B525" t="s">
        <v>183</v>
      </c>
      <c r="C525" t="s">
        <v>1569</v>
      </c>
      <c r="D525" s="32">
        <v>45927</v>
      </c>
      <c r="E525" t="s">
        <v>178</v>
      </c>
      <c r="F525" t="str">
        <f>VLOOKUP(B525,'Agent wise'!A:E,5,0)</f>
        <v>Wireless</v>
      </c>
      <c r="G525" s="32">
        <v>45935</v>
      </c>
      <c r="H525">
        <f>COUNTIFS('Audit Raw data'!J:J,B:B,'Audit Raw data'!E:E,G:G)</f>
        <v>0</v>
      </c>
      <c r="I525" s="44" t="str">
        <f>IFERROR((SUMIFS('Audit Raw data'!BZ:BZ,'Audit Raw data'!J:J,B:B,'Audit Raw data'!E:E,G:G)/H525)/100,"-")</f>
        <v>-</v>
      </c>
      <c r="J525">
        <f>COUNTIFS('Audit Raw data'!AM:AM,"Yes",'Audit Raw data'!J:J,B:B,'Audit Raw data'!E:E,'Day wise agent'!G:G)</f>
        <v>0</v>
      </c>
      <c r="K525">
        <f>COUNTIFS('Audit Raw data'!AM:AM,"NO",'Audit Raw data'!J:J,B:B,'Audit Raw data'!E:E,'Day wise agent'!G:G)</f>
        <v>0</v>
      </c>
      <c r="L525" s="12" t="str">
        <f t="shared" si="17"/>
        <v xml:space="preserve"> </v>
      </c>
    </row>
    <row r="526" spans="1:12" x14ac:dyDescent="0.35">
      <c r="A526" t="str">
        <f t="shared" si="16"/>
        <v>VPS25945935</v>
      </c>
      <c r="B526" t="s">
        <v>102</v>
      </c>
      <c r="C526" t="s">
        <v>1570</v>
      </c>
      <c r="D526" s="32">
        <v>45927</v>
      </c>
      <c r="E526" t="s">
        <v>107</v>
      </c>
      <c r="F526" t="str">
        <f>VLOOKUP(B526,'Agent wise'!A:E,5,0)</f>
        <v>Wireless</v>
      </c>
      <c r="G526" s="32">
        <v>45935</v>
      </c>
      <c r="H526">
        <f>COUNTIFS('Audit Raw data'!J:J,B:B,'Audit Raw data'!E:E,G:G)</f>
        <v>1</v>
      </c>
      <c r="I526" s="44">
        <f>IFERROR((SUMIFS('Audit Raw data'!BZ:BZ,'Audit Raw data'!J:J,B:B,'Audit Raw data'!E:E,G:G)/H526)/100,"-")</f>
        <v>0.9</v>
      </c>
      <c r="J526">
        <f>COUNTIFS('Audit Raw data'!AM:AM,"Yes",'Audit Raw data'!J:J,B:B,'Audit Raw data'!E:E,'Day wise agent'!G:G)</f>
        <v>1</v>
      </c>
      <c r="K526">
        <f>COUNTIFS('Audit Raw data'!AM:AM,"NO",'Audit Raw data'!J:J,B:B,'Audit Raw data'!E:E,'Day wise agent'!G:G)</f>
        <v>0</v>
      </c>
      <c r="L526" s="12">
        <f t="shared" si="17"/>
        <v>1</v>
      </c>
    </row>
    <row r="527" spans="1:12" x14ac:dyDescent="0.35">
      <c r="A527" t="str">
        <f t="shared" si="16"/>
        <v>SBM10745936</v>
      </c>
      <c r="B527" t="s">
        <v>313</v>
      </c>
      <c r="C527" t="s">
        <v>1449</v>
      </c>
      <c r="D527" s="32">
        <v>44691</v>
      </c>
      <c r="E527" t="s">
        <v>107</v>
      </c>
      <c r="F527" t="str">
        <f>VLOOKUP(B527,'Agent wise'!A:E,5,0)</f>
        <v>Wire-line</v>
      </c>
      <c r="G527" s="32">
        <v>45936</v>
      </c>
      <c r="H527">
        <f>COUNTIFS('Audit Raw data'!J:J,B:B,'Audit Raw data'!E:E,G:G)</f>
        <v>2</v>
      </c>
      <c r="I527" s="44">
        <f>IFERROR((SUMIFS('Audit Raw data'!BZ:BZ,'Audit Raw data'!J:J,B:B,'Audit Raw data'!E:E,G:G)/H527)/100,"-")</f>
        <v>0.98</v>
      </c>
      <c r="J527">
        <f>COUNTIFS('Audit Raw data'!AM:AM,"Yes",'Audit Raw data'!J:J,B:B,'Audit Raw data'!E:E,'Day wise agent'!G:G)</f>
        <v>2</v>
      </c>
      <c r="K527">
        <f>COUNTIFS('Audit Raw data'!AM:AM,"NO",'Audit Raw data'!J:J,B:B,'Audit Raw data'!E:E,'Day wise agent'!G:G)</f>
        <v>0</v>
      </c>
      <c r="L527" s="12">
        <f t="shared" si="17"/>
        <v>1</v>
      </c>
    </row>
    <row r="528" spans="1:12" x14ac:dyDescent="0.35">
      <c r="A528" t="str">
        <f t="shared" si="16"/>
        <v>SBM15045936</v>
      </c>
      <c r="B528" t="s">
        <v>56</v>
      </c>
      <c r="C528" t="s">
        <v>1452</v>
      </c>
      <c r="D528" s="32">
        <v>44707</v>
      </c>
      <c r="E528" t="s">
        <v>1453</v>
      </c>
      <c r="F528" t="str">
        <f>VLOOKUP(B528,'Agent wise'!A:E,5,0)</f>
        <v>Wireless</v>
      </c>
      <c r="G528" s="32">
        <v>45936</v>
      </c>
      <c r="H528">
        <f>COUNTIFS('Audit Raw data'!J:J,B:B,'Audit Raw data'!E:E,G:G)</f>
        <v>0</v>
      </c>
      <c r="I528" s="44" t="str">
        <f>IFERROR((SUMIFS('Audit Raw data'!BZ:BZ,'Audit Raw data'!J:J,B:B,'Audit Raw data'!E:E,G:G)/H528)/100,"-")</f>
        <v>-</v>
      </c>
      <c r="J528">
        <f>COUNTIFS('Audit Raw data'!AM:AM,"Yes",'Audit Raw data'!J:J,B:B,'Audit Raw data'!E:E,'Day wise agent'!G:G)</f>
        <v>0</v>
      </c>
      <c r="K528">
        <f>COUNTIFS('Audit Raw data'!AM:AM,"NO",'Audit Raw data'!J:J,B:B,'Audit Raw data'!E:E,'Day wise agent'!G:G)</f>
        <v>0</v>
      </c>
      <c r="L528" s="12" t="str">
        <f t="shared" si="17"/>
        <v xml:space="preserve"> </v>
      </c>
    </row>
    <row r="529" spans="1:12" x14ac:dyDescent="0.35">
      <c r="A529" t="str">
        <f t="shared" si="16"/>
        <v>SBM15545936</v>
      </c>
      <c r="B529" t="s">
        <v>1454</v>
      </c>
      <c r="C529" t="s">
        <v>1455</v>
      </c>
      <c r="D529" s="32">
        <v>44707</v>
      </c>
      <c r="E529" t="s">
        <v>1456</v>
      </c>
      <c r="F529" t="str">
        <f>VLOOKUP(B529,'Agent wise'!A:E,5,0)</f>
        <v>RECL</v>
      </c>
      <c r="G529" s="32">
        <v>45936</v>
      </c>
      <c r="H529">
        <f>COUNTIFS('Audit Raw data'!J:J,B:B,'Audit Raw data'!E:E,G:G)</f>
        <v>0</v>
      </c>
      <c r="I529" s="44" t="str">
        <f>IFERROR((SUMIFS('Audit Raw data'!BZ:BZ,'Audit Raw data'!J:J,B:B,'Audit Raw data'!E:E,G:G)/H529)/100,"-")</f>
        <v>-</v>
      </c>
      <c r="J529">
        <f>COUNTIFS('Audit Raw data'!AM:AM,"Yes",'Audit Raw data'!J:J,B:B,'Audit Raw data'!E:E,'Day wise agent'!G:G)</f>
        <v>0</v>
      </c>
      <c r="K529">
        <f>COUNTIFS('Audit Raw data'!AM:AM,"NO",'Audit Raw data'!J:J,B:B,'Audit Raw data'!E:E,'Day wise agent'!G:G)</f>
        <v>0</v>
      </c>
      <c r="L529" s="12" t="str">
        <f t="shared" si="17"/>
        <v xml:space="preserve"> </v>
      </c>
    </row>
    <row r="530" spans="1:12" x14ac:dyDescent="0.35">
      <c r="A530" t="str">
        <f t="shared" si="16"/>
        <v>SBM15745936</v>
      </c>
      <c r="B530" t="s">
        <v>67</v>
      </c>
      <c r="C530" t="s">
        <v>1458</v>
      </c>
      <c r="D530" s="32">
        <v>44713</v>
      </c>
      <c r="E530" t="s">
        <v>1453</v>
      </c>
      <c r="F530" t="str">
        <f>VLOOKUP(B530,'Agent wise'!A:E,5,0)</f>
        <v>Wireless</v>
      </c>
      <c r="G530" s="32">
        <v>45936</v>
      </c>
      <c r="H530">
        <f>COUNTIFS('Audit Raw data'!J:J,B:B,'Audit Raw data'!E:E,G:G)</f>
        <v>1</v>
      </c>
      <c r="I530" s="44">
        <f>IFERROR((SUMIFS('Audit Raw data'!BZ:BZ,'Audit Raw data'!J:J,B:B,'Audit Raw data'!E:E,G:G)/H530)/100,"-")</f>
        <v>0.96</v>
      </c>
      <c r="J530">
        <f>COUNTIFS('Audit Raw data'!AM:AM,"Yes",'Audit Raw data'!J:J,B:B,'Audit Raw data'!E:E,'Day wise agent'!G:G)</f>
        <v>1</v>
      </c>
      <c r="K530">
        <f>COUNTIFS('Audit Raw data'!AM:AM,"NO",'Audit Raw data'!J:J,B:B,'Audit Raw data'!E:E,'Day wise agent'!G:G)</f>
        <v>0</v>
      </c>
      <c r="L530" s="12">
        <f t="shared" si="17"/>
        <v>1</v>
      </c>
    </row>
    <row r="531" spans="1:12" x14ac:dyDescent="0.35">
      <c r="A531" t="str">
        <f t="shared" si="16"/>
        <v>SBM20245936</v>
      </c>
      <c r="B531" t="s">
        <v>466</v>
      </c>
      <c r="C531" t="s">
        <v>1459</v>
      </c>
      <c r="D531" s="32">
        <v>44721</v>
      </c>
      <c r="E531" t="s">
        <v>178</v>
      </c>
      <c r="F531" t="str">
        <f>VLOOKUP(B531,'Agent wise'!A:E,5,0)</f>
        <v>Wireless</v>
      </c>
      <c r="G531" s="32">
        <v>45936</v>
      </c>
      <c r="H531">
        <f>COUNTIFS('Audit Raw data'!J:J,B:B,'Audit Raw data'!E:E,G:G)</f>
        <v>0</v>
      </c>
      <c r="I531" s="44" t="str">
        <f>IFERROR((SUMIFS('Audit Raw data'!BZ:BZ,'Audit Raw data'!J:J,B:B,'Audit Raw data'!E:E,G:G)/H531)/100,"-")</f>
        <v>-</v>
      </c>
      <c r="J531">
        <f>COUNTIFS('Audit Raw data'!AM:AM,"Yes",'Audit Raw data'!J:J,B:B,'Audit Raw data'!E:E,'Day wise agent'!G:G)</f>
        <v>0</v>
      </c>
      <c r="K531">
        <f>COUNTIFS('Audit Raw data'!AM:AM,"NO",'Audit Raw data'!J:J,B:B,'Audit Raw data'!E:E,'Day wise agent'!G:G)</f>
        <v>0</v>
      </c>
      <c r="L531" s="12" t="str">
        <f t="shared" si="17"/>
        <v xml:space="preserve"> </v>
      </c>
    </row>
    <row r="532" spans="1:12" x14ac:dyDescent="0.35">
      <c r="A532" t="str">
        <f t="shared" si="16"/>
        <v>SBM26445936</v>
      </c>
      <c r="B532" t="s">
        <v>575</v>
      </c>
      <c r="C532" t="s">
        <v>1461</v>
      </c>
      <c r="D532" s="32">
        <v>44739</v>
      </c>
      <c r="E532" t="s">
        <v>107</v>
      </c>
      <c r="F532" t="str">
        <f>VLOOKUP(B532,'Agent wise'!A:E,5,0)</f>
        <v>Wireless</v>
      </c>
      <c r="G532" s="32">
        <v>45936</v>
      </c>
      <c r="H532">
        <f>COUNTIFS('Audit Raw data'!J:J,B:B,'Audit Raw data'!E:E,G:G)</f>
        <v>1</v>
      </c>
      <c r="I532" s="44">
        <f>IFERROR((SUMIFS('Audit Raw data'!BZ:BZ,'Audit Raw data'!J:J,B:B,'Audit Raw data'!E:E,G:G)/H532)/100,"-")</f>
        <v>0.94</v>
      </c>
      <c r="J532">
        <f>COUNTIFS('Audit Raw data'!AM:AM,"Yes",'Audit Raw data'!J:J,B:B,'Audit Raw data'!E:E,'Day wise agent'!G:G)</f>
        <v>1</v>
      </c>
      <c r="K532">
        <f>COUNTIFS('Audit Raw data'!AM:AM,"NO",'Audit Raw data'!J:J,B:B,'Audit Raw data'!E:E,'Day wise agent'!G:G)</f>
        <v>0</v>
      </c>
      <c r="L532" s="12">
        <f t="shared" si="17"/>
        <v>1</v>
      </c>
    </row>
    <row r="533" spans="1:12" x14ac:dyDescent="0.35">
      <c r="A533" t="str">
        <f t="shared" si="16"/>
        <v>SBM26745936</v>
      </c>
      <c r="B533" t="s">
        <v>91</v>
      </c>
      <c r="C533" t="s">
        <v>1462</v>
      </c>
      <c r="D533" s="32">
        <v>44768</v>
      </c>
      <c r="E533" t="s">
        <v>1453</v>
      </c>
      <c r="F533" t="str">
        <f>VLOOKUP(B533,'Agent wise'!A:E,5,0)</f>
        <v>Wireless</v>
      </c>
      <c r="G533" s="32">
        <v>45936</v>
      </c>
      <c r="H533">
        <f>COUNTIFS('Audit Raw data'!J:J,B:B,'Audit Raw data'!E:E,G:G)</f>
        <v>0</v>
      </c>
      <c r="I533" s="44" t="str">
        <f>IFERROR((SUMIFS('Audit Raw data'!BZ:BZ,'Audit Raw data'!J:J,B:B,'Audit Raw data'!E:E,G:G)/H533)/100,"-")</f>
        <v>-</v>
      </c>
      <c r="J533">
        <f>COUNTIFS('Audit Raw data'!AM:AM,"Yes",'Audit Raw data'!J:J,B:B,'Audit Raw data'!E:E,'Day wise agent'!G:G)</f>
        <v>0</v>
      </c>
      <c r="K533">
        <f>COUNTIFS('Audit Raw data'!AM:AM,"NO",'Audit Raw data'!J:J,B:B,'Audit Raw data'!E:E,'Day wise agent'!G:G)</f>
        <v>0</v>
      </c>
      <c r="L533" s="12" t="str">
        <f t="shared" si="17"/>
        <v xml:space="preserve"> </v>
      </c>
    </row>
    <row r="534" spans="1:12" x14ac:dyDescent="0.35">
      <c r="A534" t="str">
        <f t="shared" si="16"/>
        <v>SBM31445936</v>
      </c>
      <c r="B534" t="s">
        <v>132</v>
      </c>
      <c r="C534" t="s">
        <v>1463</v>
      </c>
      <c r="D534" s="32">
        <v>44784</v>
      </c>
      <c r="E534" t="s">
        <v>107</v>
      </c>
      <c r="F534" t="str">
        <f>VLOOKUP(B534,'Agent wise'!A:E,5,0)</f>
        <v>Wireless</v>
      </c>
      <c r="G534" s="32">
        <v>45936</v>
      </c>
      <c r="H534">
        <f>COUNTIFS('Audit Raw data'!J:J,B:B,'Audit Raw data'!E:E,G:G)</f>
        <v>0</v>
      </c>
      <c r="I534" s="44" t="str">
        <f>IFERROR((SUMIFS('Audit Raw data'!BZ:BZ,'Audit Raw data'!J:J,B:B,'Audit Raw data'!E:E,G:G)/H534)/100,"-")</f>
        <v>-</v>
      </c>
      <c r="J534">
        <f>COUNTIFS('Audit Raw data'!AM:AM,"Yes",'Audit Raw data'!J:J,B:B,'Audit Raw data'!E:E,'Day wise agent'!G:G)</f>
        <v>0</v>
      </c>
      <c r="K534">
        <f>COUNTIFS('Audit Raw data'!AM:AM,"NO",'Audit Raw data'!J:J,B:B,'Audit Raw data'!E:E,'Day wise agent'!G:G)</f>
        <v>0</v>
      </c>
      <c r="L534" s="12" t="str">
        <f t="shared" si="17"/>
        <v xml:space="preserve"> </v>
      </c>
    </row>
    <row r="535" spans="1:12" x14ac:dyDescent="0.35">
      <c r="A535" t="str">
        <f t="shared" si="16"/>
        <v>SBM36345936</v>
      </c>
      <c r="B535" t="s">
        <v>70</v>
      </c>
      <c r="C535" t="s">
        <v>1464</v>
      </c>
      <c r="D535" s="32">
        <v>44786</v>
      </c>
      <c r="E535" t="s">
        <v>1453</v>
      </c>
      <c r="F535" t="str">
        <f>VLOOKUP(B535,'Agent wise'!A:E,5,0)</f>
        <v>Wireless</v>
      </c>
      <c r="G535" s="32">
        <v>45936</v>
      </c>
      <c r="H535">
        <f>COUNTIFS('Audit Raw data'!J:J,B:B,'Audit Raw data'!E:E,G:G)</f>
        <v>0</v>
      </c>
      <c r="I535" s="44" t="str">
        <f>IFERROR((SUMIFS('Audit Raw data'!BZ:BZ,'Audit Raw data'!J:J,B:B,'Audit Raw data'!E:E,G:G)/H535)/100,"-")</f>
        <v>-</v>
      </c>
      <c r="J535">
        <f>COUNTIFS('Audit Raw data'!AM:AM,"Yes",'Audit Raw data'!J:J,B:B,'Audit Raw data'!E:E,'Day wise agent'!G:G)</f>
        <v>0</v>
      </c>
      <c r="K535">
        <f>COUNTIFS('Audit Raw data'!AM:AM,"NO",'Audit Raw data'!J:J,B:B,'Audit Raw data'!E:E,'Day wise agent'!G:G)</f>
        <v>0</v>
      </c>
      <c r="L535" s="12" t="str">
        <f t="shared" si="17"/>
        <v xml:space="preserve"> </v>
      </c>
    </row>
    <row r="536" spans="1:12" x14ac:dyDescent="0.35">
      <c r="A536" t="str">
        <f t="shared" si="16"/>
        <v>SBM37345936</v>
      </c>
      <c r="B536" t="s">
        <v>75</v>
      </c>
      <c r="C536" t="s">
        <v>1465</v>
      </c>
      <c r="D536" s="32">
        <v>44786</v>
      </c>
      <c r="E536" t="s">
        <v>1453</v>
      </c>
      <c r="F536" t="str">
        <f>VLOOKUP(B536,'Agent wise'!A:E,5,0)</f>
        <v>Wireless</v>
      </c>
      <c r="G536" s="32">
        <v>45936</v>
      </c>
      <c r="H536">
        <f>COUNTIFS('Audit Raw data'!J:J,B:B,'Audit Raw data'!E:E,G:G)</f>
        <v>0</v>
      </c>
      <c r="I536" s="44" t="str">
        <f>IFERROR((SUMIFS('Audit Raw data'!BZ:BZ,'Audit Raw data'!J:J,B:B,'Audit Raw data'!E:E,G:G)/H536)/100,"-")</f>
        <v>-</v>
      </c>
      <c r="J536">
        <f>COUNTIFS('Audit Raw data'!AM:AM,"Yes",'Audit Raw data'!J:J,B:B,'Audit Raw data'!E:E,'Day wise agent'!G:G)</f>
        <v>0</v>
      </c>
      <c r="K536">
        <f>COUNTIFS('Audit Raw data'!AM:AM,"NO",'Audit Raw data'!J:J,B:B,'Audit Raw data'!E:E,'Day wise agent'!G:G)</f>
        <v>0</v>
      </c>
      <c r="L536" s="12" t="str">
        <f t="shared" si="17"/>
        <v xml:space="preserve"> </v>
      </c>
    </row>
    <row r="537" spans="1:12" x14ac:dyDescent="0.35">
      <c r="A537" t="str">
        <f t="shared" si="16"/>
        <v>SBM42245936</v>
      </c>
      <c r="B537" t="s">
        <v>636</v>
      </c>
      <c r="C537" t="s">
        <v>1466</v>
      </c>
      <c r="D537" s="32">
        <v>44882</v>
      </c>
      <c r="E537" t="s">
        <v>107</v>
      </c>
      <c r="F537" t="str">
        <f>VLOOKUP(B537,'Agent wise'!A:E,5,0)</f>
        <v>Wireless</v>
      </c>
      <c r="G537" s="32">
        <v>45936</v>
      </c>
      <c r="H537">
        <f>COUNTIFS('Audit Raw data'!J:J,B:B,'Audit Raw data'!E:E,G:G)</f>
        <v>0</v>
      </c>
      <c r="I537" s="44" t="str">
        <f>IFERROR((SUMIFS('Audit Raw data'!BZ:BZ,'Audit Raw data'!J:J,B:B,'Audit Raw data'!E:E,G:G)/H537)/100,"-")</f>
        <v>-</v>
      </c>
      <c r="J537">
        <f>COUNTIFS('Audit Raw data'!AM:AM,"Yes",'Audit Raw data'!J:J,B:B,'Audit Raw data'!E:E,'Day wise agent'!G:G)</f>
        <v>0</v>
      </c>
      <c r="K537">
        <f>COUNTIFS('Audit Raw data'!AM:AM,"NO",'Audit Raw data'!J:J,B:B,'Audit Raw data'!E:E,'Day wise agent'!G:G)</f>
        <v>0</v>
      </c>
      <c r="L537" s="12" t="str">
        <f t="shared" si="17"/>
        <v xml:space="preserve"> </v>
      </c>
    </row>
    <row r="538" spans="1:12" x14ac:dyDescent="0.35">
      <c r="A538" t="str">
        <f t="shared" si="16"/>
        <v>SBM47945936</v>
      </c>
      <c r="B538" t="s">
        <v>1474</v>
      </c>
      <c r="C538" t="s">
        <v>1475</v>
      </c>
      <c r="D538" s="32">
        <v>44932</v>
      </c>
      <c r="E538" t="s">
        <v>1456</v>
      </c>
      <c r="F538" t="str">
        <f>VLOOKUP(B538,'Agent wise'!A:E,5,0)</f>
        <v>RECL</v>
      </c>
      <c r="G538" s="32">
        <v>45936</v>
      </c>
      <c r="H538">
        <f>COUNTIFS('Audit Raw data'!J:J,B:B,'Audit Raw data'!E:E,G:G)</f>
        <v>0</v>
      </c>
      <c r="I538" s="44" t="str">
        <f>IFERROR((SUMIFS('Audit Raw data'!BZ:BZ,'Audit Raw data'!J:J,B:B,'Audit Raw data'!E:E,G:G)/H538)/100,"-")</f>
        <v>-</v>
      </c>
      <c r="J538">
        <f>COUNTIFS('Audit Raw data'!AM:AM,"Yes",'Audit Raw data'!J:J,B:B,'Audit Raw data'!E:E,'Day wise agent'!G:G)</f>
        <v>0</v>
      </c>
      <c r="K538">
        <f>COUNTIFS('Audit Raw data'!AM:AM,"NO",'Audit Raw data'!J:J,B:B,'Audit Raw data'!E:E,'Day wise agent'!G:G)</f>
        <v>0</v>
      </c>
      <c r="L538" s="12" t="str">
        <f t="shared" si="17"/>
        <v xml:space="preserve"> </v>
      </c>
    </row>
    <row r="539" spans="1:12" x14ac:dyDescent="0.35">
      <c r="A539" t="str">
        <f t="shared" si="16"/>
        <v>SBM48145936</v>
      </c>
      <c r="B539" t="s">
        <v>638</v>
      </c>
      <c r="C539" t="s">
        <v>1467</v>
      </c>
      <c r="D539" s="32">
        <v>44932</v>
      </c>
      <c r="E539" t="s">
        <v>178</v>
      </c>
      <c r="F539" t="str">
        <f>VLOOKUP(B539,'Agent wise'!A:E,5,0)</f>
        <v>Wireless</v>
      </c>
      <c r="G539" s="32">
        <v>45936</v>
      </c>
      <c r="H539">
        <f>COUNTIFS('Audit Raw data'!J:J,B:B,'Audit Raw data'!E:E,G:G)</f>
        <v>1</v>
      </c>
      <c r="I539" s="44">
        <f>IFERROR((SUMIFS('Audit Raw data'!BZ:BZ,'Audit Raw data'!J:J,B:B,'Audit Raw data'!E:E,G:G)/H539)/100,"-")</f>
        <v>0.92</v>
      </c>
      <c r="J539">
        <f>COUNTIFS('Audit Raw data'!AM:AM,"Yes",'Audit Raw data'!J:J,B:B,'Audit Raw data'!E:E,'Day wise agent'!G:G)</f>
        <v>1</v>
      </c>
      <c r="K539">
        <f>COUNTIFS('Audit Raw data'!AM:AM,"NO",'Audit Raw data'!J:J,B:B,'Audit Raw data'!E:E,'Day wise agent'!G:G)</f>
        <v>0</v>
      </c>
      <c r="L539" s="12">
        <f t="shared" si="17"/>
        <v>1</v>
      </c>
    </row>
    <row r="540" spans="1:12" x14ac:dyDescent="0.35">
      <c r="A540" t="str">
        <f t="shared" si="16"/>
        <v>SBM48545936</v>
      </c>
      <c r="B540" t="s">
        <v>80</v>
      </c>
      <c r="C540" t="s">
        <v>1469</v>
      </c>
      <c r="D540" s="32">
        <v>44961</v>
      </c>
      <c r="E540" t="s">
        <v>1453</v>
      </c>
      <c r="F540" t="str">
        <f>VLOOKUP(B540,'Agent wise'!A:E,5,0)</f>
        <v>Wireless</v>
      </c>
      <c r="G540" s="32">
        <v>45936</v>
      </c>
      <c r="H540">
        <f>COUNTIFS('Audit Raw data'!J:J,B:B,'Audit Raw data'!E:E,G:G)</f>
        <v>0</v>
      </c>
      <c r="I540" s="44" t="str">
        <f>IFERROR((SUMIFS('Audit Raw data'!BZ:BZ,'Audit Raw data'!J:J,B:B,'Audit Raw data'!E:E,G:G)/H540)/100,"-")</f>
        <v>-</v>
      </c>
      <c r="J540">
        <f>COUNTIFS('Audit Raw data'!AM:AM,"Yes",'Audit Raw data'!J:J,B:B,'Audit Raw data'!E:E,'Day wise agent'!G:G)</f>
        <v>0</v>
      </c>
      <c r="K540">
        <f>COUNTIFS('Audit Raw data'!AM:AM,"NO",'Audit Raw data'!J:J,B:B,'Audit Raw data'!E:E,'Day wise agent'!G:G)</f>
        <v>0</v>
      </c>
      <c r="L540" s="12" t="str">
        <f t="shared" si="17"/>
        <v xml:space="preserve"> </v>
      </c>
    </row>
    <row r="541" spans="1:12" x14ac:dyDescent="0.35">
      <c r="A541" t="str">
        <f t="shared" si="16"/>
        <v>SBM52445936</v>
      </c>
      <c r="B541" t="s">
        <v>490</v>
      </c>
      <c r="C541" t="s">
        <v>1470</v>
      </c>
      <c r="D541" s="32">
        <v>45093</v>
      </c>
      <c r="E541" t="s">
        <v>1453</v>
      </c>
      <c r="F541" t="str">
        <f>VLOOKUP(B541,'Agent wise'!A:E,5,0)</f>
        <v>Wireless</v>
      </c>
      <c r="G541" s="32">
        <v>45936</v>
      </c>
      <c r="H541">
        <f>COUNTIFS('Audit Raw data'!J:J,B:B,'Audit Raw data'!E:E,G:G)</f>
        <v>1</v>
      </c>
      <c r="I541" s="44">
        <f>IFERROR((SUMIFS('Audit Raw data'!BZ:BZ,'Audit Raw data'!J:J,B:B,'Audit Raw data'!E:E,G:G)/H541)/100,"-")</f>
        <v>0.96</v>
      </c>
      <c r="J541">
        <f>COUNTIFS('Audit Raw data'!AM:AM,"Yes",'Audit Raw data'!J:J,B:B,'Audit Raw data'!E:E,'Day wise agent'!G:G)</f>
        <v>1</v>
      </c>
      <c r="K541">
        <f>COUNTIFS('Audit Raw data'!AM:AM,"NO",'Audit Raw data'!J:J,B:B,'Audit Raw data'!E:E,'Day wise agent'!G:G)</f>
        <v>0</v>
      </c>
      <c r="L541" s="12">
        <f t="shared" si="17"/>
        <v>1</v>
      </c>
    </row>
    <row r="542" spans="1:12" x14ac:dyDescent="0.35">
      <c r="A542" t="str">
        <f t="shared" si="16"/>
        <v>SBM55045936</v>
      </c>
      <c r="B542" t="s">
        <v>139</v>
      </c>
      <c r="C542" t="s">
        <v>1471</v>
      </c>
      <c r="D542" s="32">
        <v>45139</v>
      </c>
      <c r="E542" t="s">
        <v>107</v>
      </c>
      <c r="F542" t="str">
        <f>VLOOKUP(B542,'Agent wise'!A:E,5,0)</f>
        <v>Wireless</v>
      </c>
      <c r="G542" s="32">
        <v>45936</v>
      </c>
      <c r="H542">
        <f>COUNTIFS('Audit Raw data'!J:J,B:B,'Audit Raw data'!E:E,G:G)</f>
        <v>0</v>
      </c>
      <c r="I542" s="44" t="str">
        <f>IFERROR((SUMIFS('Audit Raw data'!BZ:BZ,'Audit Raw data'!J:J,B:B,'Audit Raw data'!E:E,G:G)/H542)/100,"-")</f>
        <v>-</v>
      </c>
      <c r="J542">
        <f>COUNTIFS('Audit Raw data'!AM:AM,"Yes",'Audit Raw data'!J:J,B:B,'Audit Raw data'!E:E,'Day wise agent'!G:G)</f>
        <v>0</v>
      </c>
      <c r="K542">
        <f>COUNTIFS('Audit Raw data'!AM:AM,"NO",'Audit Raw data'!J:J,B:B,'Audit Raw data'!E:E,'Day wise agent'!G:G)</f>
        <v>0</v>
      </c>
      <c r="L542" s="12" t="str">
        <f t="shared" si="17"/>
        <v xml:space="preserve"> </v>
      </c>
    </row>
    <row r="543" spans="1:12" x14ac:dyDescent="0.35">
      <c r="A543" t="str">
        <f t="shared" si="16"/>
        <v>SBM55445936</v>
      </c>
      <c r="B543" t="s">
        <v>208</v>
      </c>
      <c r="C543" t="s">
        <v>1472</v>
      </c>
      <c r="D543" s="32">
        <v>45140</v>
      </c>
      <c r="E543" t="s">
        <v>178</v>
      </c>
      <c r="F543" t="str">
        <f>VLOOKUP(B543,'Agent wise'!A:E,5,0)</f>
        <v>Wireless</v>
      </c>
      <c r="G543" s="32">
        <v>45936</v>
      </c>
      <c r="H543">
        <f>COUNTIFS('Audit Raw data'!J:J,B:B,'Audit Raw data'!E:E,G:G)</f>
        <v>5</v>
      </c>
      <c r="I543" s="44">
        <f>IFERROR((SUMIFS('Audit Raw data'!BZ:BZ,'Audit Raw data'!J:J,B:B,'Audit Raw data'!E:E,G:G)/H543)/100,"-")</f>
        <v>0.92799999999999994</v>
      </c>
      <c r="J543">
        <f>COUNTIFS('Audit Raw data'!AM:AM,"Yes",'Audit Raw data'!J:J,B:B,'Audit Raw data'!E:E,'Day wise agent'!G:G)</f>
        <v>5</v>
      </c>
      <c r="K543">
        <f>COUNTIFS('Audit Raw data'!AM:AM,"NO",'Audit Raw data'!J:J,B:B,'Audit Raw data'!E:E,'Day wise agent'!G:G)</f>
        <v>0</v>
      </c>
      <c r="L543" s="12">
        <f t="shared" si="17"/>
        <v>1</v>
      </c>
    </row>
    <row r="544" spans="1:12" x14ac:dyDescent="0.35">
      <c r="A544" t="str">
        <f t="shared" si="16"/>
        <v>SBM58345936</v>
      </c>
      <c r="B544" t="s">
        <v>546</v>
      </c>
      <c r="C544" t="s">
        <v>1473</v>
      </c>
      <c r="D544" s="32">
        <v>45245</v>
      </c>
      <c r="E544" t="s">
        <v>107</v>
      </c>
      <c r="F544" t="str">
        <f>VLOOKUP(B544,'Agent wise'!A:E,5,0)</f>
        <v>Wireless</v>
      </c>
      <c r="G544" s="32">
        <v>45936</v>
      </c>
      <c r="H544">
        <f>COUNTIFS('Audit Raw data'!J:J,B:B,'Audit Raw data'!E:E,G:G)</f>
        <v>1</v>
      </c>
      <c r="I544" s="44">
        <f>IFERROR((SUMIFS('Audit Raw data'!BZ:BZ,'Audit Raw data'!J:J,B:B,'Audit Raw data'!E:E,G:G)/H544)/100,"-")</f>
        <v>0.96</v>
      </c>
      <c r="J544">
        <f>COUNTIFS('Audit Raw data'!AM:AM,"Yes",'Audit Raw data'!J:J,B:B,'Audit Raw data'!E:E,'Day wise agent'!G:G)</f>
        <v>1</v>
      </c>
      <c r="K544">
        <f>COUNTIFS('Audit Raw data'!AM:AM,"NO",'Audit Raw data'!J:J,B:B,'Audit Raw data'!E:E,'Day wise agent'!G:G)</f>
        <v>0</v>
      </c>
      <c r="L544" s="12">
        <f t="shared" si="17"/>
        <v>1</v>
      </c>
    </row>
    <row r="545" spans="1:12" x14ac:dyDescent="0.35">
      <c r="A545" t="str">
        <f t="shared" si="16"/>
        <v>SBM61345936</v>
      </c>
      <c r="B545" t="s">
        <v>391</v>
      </c>
      <c r="C545" t="s">
        <v>1478</v>
      </c>
      <c r="D545" s="32">
        <v>45301</v>
      </c>
      <c r="E545" t="s">
        <v>221</v>
      </c>
      <c r="F545" t="str">
        <f>VLOOKUP(B545,'Agent wise'!A:E,5,0)</f>
        <v>Wire-line</v>
      </c>
      <c r="G545" s="32">
        <v>45936</v>
      </c>
      <c r="H545">
        <f>COUNTIFS('Audit Raw data'!J:J,B:B,'Audit Raw data'!E:E,G:G)</f>
        <v>0</v>
      </c>
      <c r="I545" s="44" t="str">
        <f>IFERROR((SUMIFS('Audit Raw data'!BZ:BZ,'Audit Raw data'!J:J,B:B,'Audit Raw data'!E:E,G:G)/H545)/100,"-")</f>
        <v>-</v>
      </c>
      <c r="J545">
        <f>COUNTIFS('Audit Raw data'!AM:AM,"Yes",'Audit Raw data'!J:J,B:B,'Audit Raw data'!E:E,'Day wise agent'!G:G)</f>
        <v>0</v>
      </c>
      <c r="K545">
        <f>COUNTIFS('Audit Raw data'!AM:AM,"NO",'Audit Raw data'!J:J,B:B,'Audit Raw data'!E:E,'Day wise agent'!G:G)</f>
        <v>0</v>
      </c>
      <c r="L545" s="12" t="str">
        <f t="shared" si="17"/>
        <v xml:space="preserve"> </v>
      </c>
    </row>
    <row r="546" spans="1:12" x14ac:dyDescent="0.35">
      <c r="A546" t="str">
        <f t="shared" si="16"/>
        <v>SBM61845936</v>
      </c>
      <c r="B546" t="s">
        <v>242</v>
      </c>
      <c r="C546" t="s">
        <v>1477</v>
      </c>
      <c r="D546" s="32">
        <v>45292</v>
      </c>
      <c r="E546" t="s">
        <v>221</v>
      </c>
      <c r="F546" t="str">
        <f>VLOOKUP(B546,'Agent wise'!A:E,5,0)</f>
        <v>Wire-line</v>
      </c>
      <c r="G546" s="32">
        <v>45936</v>
      </c>
      <c r="H546">
        <f>COUNTIFS('Audit Raw data'!J:J,B:B,'Audit Raw data'!E:E,G:G)</f>
        <v>0</v>
      </c>
      <c r="I546" s="44" t="str">
        <f>IFERROR((SUMIFS('Audit Raw data'!BZ:BZ,'Audit Raw data'!J:J,B:B,'Audit Raw data'!E:E,G:G)/H546)/100,"-")</f>
        <v>-</v>
      </c>
      <c r="J546">
        <f>COUNTIFS('Audit Raw data'!AM:AM,"Yes",'Audit Raw data'!J:J,B:B,'Audit Raw data'!E:E,'Day wise agent'!G:G)</f>
        <v>0</v>
      </c>
      <c r="K546">
        <f>COUNTIFS('Audit Raw data'!AM:AM,"NO",'Audit Raw data'!J:J,B:B,'Audit Raw data'!E:E,'Day wise agent'!G:G)</f>
        <v>0</v>
      </c>
      <c r="L546" s="12" t="str">
        <f t="shared" si="17"/>
        <v xml:space="preserve"> </v>
      </c>
    </row>
    <row r="547" spans="1:12" x14ac:dyDescent="0.35">
      <c r="A547" t="str">
        <f t="shared" si="16"/>
        <v>SBM62545936</v>
      </c>
      <c r="B547" t="s">
        <v>472</v>
      </c>
      <c r="C547" t="s">
        <v>1476</v>
      </c>
      <c r="D547" s="32">
        <v>45329</v>
      </c>
      <c r="E547" t="s">
        <v>1453</v>
      </c>
      <c r="F547" t="str">
        <f>VLOOKUP(B547,'Agent wise'!A:E,5,0)</f>
        <v>Wireless</v>
      </c>
      <c r="G547" s="32">
        <v>45936</v>
      </c>
      <c r="H547">
        <f>COUNTIFS('Audit Raw data'!J:J,B:B,'Audit Raw data'!E:E,G:G)</f>
        <v>0</v>
      </c>
      <c r="I547" s="44" t="str">
        <f>IFERROR((SUMIFS('Audit Raw data'!BZ:BZ,'Audit Raw data'!J:J,B:B,'Audit Raw data'!E:E,G:G)/H547)/100,"-")</f>
        <v>-</v>
      </c>
      <c r="J547">
        <f>COUNTIFS('Audit Raw data'!AM:AM,"Yes",'Audit Raw data'!J:J,B:B,'Audit Raw data'!E:E,'Day wise agent'!G:G)</f>
        <v>0</v>
      </c>
      <c r="K547">
        <f>COUNTIFS('Audit Raw data'!AM:AM,"NO",'Audit Raw data'!J:J,B:B,'Audit Raw data'!E:E,'Day wise agent'!G:G)</f>
        <v>0</v>
      </c>
      <c r="L547" s="12" t="str">
        <f t="shared" si="17"/>
        <v xml:space="preserve"> </v>
      </c>
    </row>
    <row r="548" spans="1:12" x14ac:dyDescent="0.35">
      <c r="A548" t="str">
        <f t="shared" si="16"/>
        <v>SBM65045936</v>
      </c>
      <c r="B548" t="s">
        <v>353</v>
      </c>
      <c r="C548" t="s">
        <v>1479</v>
      </c>
      <c r="D548" s="32">
        <v>45357</v>
      </c>
      <c r="E548" t="s">
        <v>221</v>
      </c>
      <c r="F548" t="str">
        <f>VLOOKUP(B548,'Agent wise'!A:E,5,0)</f>
        <v>Wire-line</v>
      </c>
      <c r="G548" s="32">
        <v>45936</v>
      </c>
      <c r="H548">
        <f>COUNTIFS('Audit Raw data'!J:J,B:B,'Audit Raw data'!E:E,G:G)</f>
        <v>2</v>
      </c>
      <c r="I548" s="44">
        <f>IFERROR((SUMIFS('Audit Raw data'!BZ:BZ,'Audit Raw data'!J:J,B:B,'Audit Raw data'!E:E,G:G)/H548)/100,"-")</f>
        <v>0.9</v>
      </c>
      <c r="J548">
        <f>COUNTIFS('Audit Raw data'!AM:AM,"Yes",'Audit Raw data'!J:J,B:B,'Audit Raw data'!E:E,'Day wise agent'!G:G)</f>
        <v>2</v>
      </c>
      <c r="K548">
        <f>COUNTIFS('Audit Raw data'!AM:AM,"NO",'Audit Raw data'!J:J,B:B,'Audit Raw data'!E:E,'Day wise agent'!G:G)</f>
        <v>0</v>
      </c>
      <c r="L548" s="12">
        <f t="shared" si="17"/>
        <v>1</v>
      </c>
    </row>
    <row r="549" spans="1:12" x14ac:dyDescent="0.35">
      <c r="A549" t="str">
        <f t="shared" si="16"/>
        <v>SBM65345936</v>
      </c>
      <c r="B549" t="s">
        <v>223</v>
      </c>
      <c r="C549" t="s">
        <v>1480</v>
      </c>
      <c r="D549" s="32">
        <v>45367</v>
      </c>
      <c r="E549" t="s">
        <v>221</v>
      </c>
      <c r="F549" t="str">
        <f>VLOOKUP(B549,'Agent wise'!A:E,5,0)</f>
        <v>Wire-line</v>
      </c>
      <c r="G549" s="32">
        <v>45936</v>
      </c>
      <c r="H549">
        <f>COUNTIFS('Audit Raw data'!J:J,B:B,'Audit Raw data'!E:E,G:G)</f>
        <v>2</v>
      </c>
      <c r="I549" s="44">
        <f>IFERROR((SUMIFS('Audit Raw data'!BZ:BZ,'Audit Raw data'!J:J,B:B,'Audit Raw data'!E:E,G:G)/H549)/100,"-")</f>
        <v>1</v>
      </c>
      <c r="J549">
        <f>COUNTIFS('Audit Raw data'!AM:AM,"Yes",'Audit Raw data'!J:J,B:B,'Audit Raw data'!E:E,'Day wise agent'!G:G)</f>
        <v>2</v>
      </c>
      <c r="K549">
        <f>COUNTIFS('Audit Raw data'!AM:AM,"NO",'Audit Raw data'!J:J,B:B,'Audit Raw data'!E:E,'Day wise agent'!G:G)</f>
        <v>0</v>
      </c>
      <c r="L549" s="12">
        <f t="shared" si="17"/>
        <v>1</v>
      </c>
    </row>
    <row r="550" spans="1:12" x14ac:dyDescent="0.35">
      <c r="A550" t="str">
        <f t="shared" si="16"/>
        <v>SBM67845936</v>
      </c>
      <c r="B550" t="s">
        <v>548</v>
      </c>
      <c r="C550" t="s">
        <v>1481</v>
      </c>
      <c r="D550" s="32">
        <v>45413</v>
      </c>
      <c r="E550" t="s">
        <v>178</v>
      </c>
      <c r="F550" t="str">
        <f>VLOOKUP(B550,'Agent wise'!A:E,5,0)</f>
        <v>Wireless</v>
      </c>
      <c r="G550" s="32">
        <v>45936</v>
      </c>
      <c r="H550">
        <f>COUNTIFS('Audit Raw data'!J:J,B:B,'Audit Raw data'!E:E,G:G)</f>
        <v>4</v>
      </c>
      <c r="I550" s="44">
        <f>IFERROR((SUMIFS('Audit Raw data'!BZ:BZ,'Audit Raw data'!J:J,B:B,'Audit Raw data'!E:E,G:G)/H550)/100,"-")</f>
        <v>0.92500000000000004</v>
      </c>
      <c r="J550">
        <f>COUNTIFS('Audit Raw data'!AM:AM,"Yes",'Audit Raw data'!J:J,B:B,'Audit Raw data'!E:E,'Day wise agent'!G:G)</f>
        <v>4</v>
      </c>
      <c r="K550">
        <f>COUNTIFS('Audit Raw data'!AM:AM,"NO",'Audit Raw data'!J:J,B:B,'Audit Raw data'!E:E,'Day wise agent'!G:G)</f>
        <v>0</v>
      </c>
      <c r="L550" s="12">
        <f t="shared" si="17"/>
        <v>1</v>
      </c>
    </row>
    <row r="551" spans="1:12" x14ac:dyDescent="0.35">
      <c r="A551" t="str">
        <f t="shared" si="16"/>
        <v>SBM69245936</v>
      </c>
      <c r="B551" t="s">
        <v>85</v>
      </c>
      <c r="C551" t="s">
        <v>1482</v>
      </c>
      <c r="D551" s="32">
        <v>45445</v>
      </c>
      <c r="E551" t="s">
        <v>1453</v>
      </c>
      <c r="F551" t="str">
        <f>VLOOKUP(B551,'Agent wise'!A:E,5,0)</f>
        <v>Wireless</v>
      </c>
      <c r="G551" s="32">
        <v>45936</v>
      </c>
      <c r="H551">
        <f>COUNTIFS('Audit Raw data'!J:J,B:B,'Audit Raw data'!E:E,G:G)</f>
        <v>0</v>
      </c>
      <c r="I551" s="44" t="str">
        <f>IFERROR((SUMIFS('Audit Raw data'!BZ:BZ,'Audit Raw data'!J:J,B:B,'Audit Raw data'!E:E,G:G)/H551)/100,"-")</f>
        <v>-</v>
      </c>
      <c r="J551">
        <f>COUNTIFS('Audit Raw data'!AM:AM,"Yes",'Audit Raw data'!J:J,B:B,'Audit Raw data'!E:E,'Day wise agent'!G:G)</f>
        <v>0</v>
      </c>
      <c r="K551">
        <f>COUNTIFS('Audit Raw data'!AM:AM,"NO",'Audit Raw data'!J:J,B:B,'Audit Raw data'!E:E,'Day wise agent'!G:G)</f>
        <v>0</v>
      </c>
      <c r="L551" s="12" t="str">
        <f t="shared" si="17"/>
        <v xml:space="preserve"> </v>
      </c>
    </row>
    <row r="552" spans="1:12" x14ac:dyDescent="0.35">
      <c r="A552" t="str">
        <f t="shared" si="16"/>
        <v>SBM70345936</v>
      </c>
      <c r="B552" t="s">
        <v>252</v>
      </c>
      <c r="C552" t="s">
        <v>1483</v>
      </c>
      <c r="D552" s="32">
        <v>45451</v>
      </c>
      <c r="E552" t="s">
        <v>1484</v>
      </c>
      <c r="F552" t="str">
        <f>VLOOKUP(B552,'Agent wise'!A:E,5,0)</f>
        <v>Wireless</v>
      </c>
      <c r="G552" s="32">
        <v>45936</v>
      </c>
      <c r="H552">
        <f>COUNTIFS('Audit Raw data'!J:J,B:B,'Audit Raw data'!E:E,G:G)</f>
        <v>1</v>
      </c>
      <c r="I552" s="44">
        <f>IFERROR((SUMIFS('Audit Raw data'!BZ:BZ,'Audit Raw data'!J:J,B:B,'Audit Raw data'!E:E,G:G)/H552)/100,"-")</f>
        <v>0.96</v>
      </c>
      <c r="J552">
        <f>COUNTIFS('Audit Raw data'!AM:AM,"Yes",'Audit Raw data'!J:J,B:B,'Audit Raw data'!E:E,'Day wise agent'!G:G)</f>
        <v>1</v>
      </c>
      <c r="K552">
        <f>COUNTIFS('Audit Raw data'!AM:AM,"NO",'Audit Raw data'!J:J,B:B,'Audit Raw data'!E:E,'Day wise agent'!G:G)</f>
        <v>0</v>
      </c>
      <c r="L552" s="12">
        <f t="shared" si="17"/>
        <v>1</v>
      </c>
    </row>
    <row r="553" spans="1:12" x14ac:dyDescent="0.35">
      <c r="A553" t="str">
        <f t="shared" si="16"/>
        <v>SBM71045936</v>
      </c>
      <c r="B553" t="s">
        <v>552</v>
      </c>
      <c r="C553" t="s">
        <v>1485</v>
      </c>
      <c r="D553" s="32">
        <v>45465</v>
      </c>
      <c r="E553" t="s">
        <v>1484</v>
      </c>
      <c r="F553" t="str">
        <f>VLOOKUP(B553,'Agent wise'!A:E,5,0)</f>
        <v>Wireless</v>
      </c>
      <c r="G553" s="32">
        <v>45936</v>
      </c>
      <c r="H553">
        <f>COUNTIFS('Audit Raw data'!J:J,B:B,'Audit Raw data'!E:E,G:G)</f>
        <v>3</v>
      </c>
      <c r="I553" s="44">
        <f>IFERROR((SUMIFS('Audit Raw data'!BZ:BZ,'Audit Raw data'!J:J,B:B,'Audit Raw data'!E:E,G:G)/H553)/100,"-")</f>
        <v>0.95333333333333325</v>
      </c>
      <c r="J553">
        <f>COUNTIFS('Audit Raw data'!AM:AM,"Yes",'Audit Raw data'!J:J,B:B,'Audit Raw data'!E:E,'Day wise agent'!G:G)</f>
        <v>3</v>
      </c>
      <c r="K553">
        <f>COUNTIFS('Audit Raw data'!AM:AM,"NO",'Audit Raw data'!J:J,B:B,'Audit Raw data'!E:E,'Day wise agent'!G:G)</f>
        <v>0</v>
      </c>
      <c r="L553" s="12">
        <f t="shared" si="17"/>
        <v>1</v>
      </c>
    </row>
    <row r="554" spans="1:12" x14ac:dyDescent="0.35">
      <c r="A554" t="str">
        <f t="shared" si="16"/>
        <v>SBM71145936</v>
      </c>
      <c r="B554" t="s">
        <v>533</v>
      </c>
      <c r="C554" t="s">
        <v>1486</v>
      </c>
      <c r="D554" s="32">
        <v>45465</v>
      </c>
      <c r="E554" t="s">
        <v>1484</v>
      </c>
      <c r="F554" t="str">
        <f>VLOOKUP(B554,'Agent wise'!A:E,5,0)</f>
        <v>Wireless</v>
      </c>
      <c r="G554" s="32">
        <v>45936</v>
      </c>
      <c r="H554">
        <f>COUNTIFS('Audit Raw data'!J:J,B:B,'Audit Raw data'!E:E,G:G)</f>
        <v>1</v>
      </c>
      <c r="I554" s="44">
        <f>IFERROR((SUMIFS('Audit Raw data'!BZ:BZ,'Audit Raw data'!J:J,B:B,'Audit Raw data'!E:E,G:G)/H554)/100,"-")</f>
        <v>0.92</v>
      </c>
      <c r="J554">
        <f>COUNTIFS('Audit Raw data'!AM:AM,"Yes",'Audit Raw data'!J:J,B:B,'Audit Raw data'!E:E,'Day wise agent'!G:G)</f>
        <v>1</v>
      </c>
      <c r="K554">
        <f>COUNTIFS('Audit Raw data'!AM:AM,"NO",'Audit Raw data'!J:J,B:B,'Audit Raw data'!E:E,'Day wise agent'!G:G)</f>
        <v>0</v>
      </c>
      <c r="L554" s="12">
        <f t="shared" si="17"/>
        <v>1</v>
      </c>
    </row>
    <row r="555" spans="1:12" x14ac:dyDescent="0.35">
      <c r="A555" t="str">
        <f t="shared" si="16"/>
        <v>SBM71845936</v>
      </c>
      <c r="B555" t="s">
        <v>451</v>
      </c>
      <c r="C555" t="s">
        <v>1487</v>
      </c>
      <c r="D555" s="32">
        <v>45491</v>
      </c>
      <c r="E555" t="s">
        <v>1484</v>
      </c>
      <c r="F555" t="str">
        <f>VLOOKUP(B555,'Agent wise'!A:E,5,0)</f>
        <v>Wireless</v>
      </c>
      <c r="G555" s="32">
        <v>45936</v>
      </c>
      <c r="H555">
        <f>COUNTIFS('Audit Raw data'!J:J,B:B,'Audit Raw data'!E:E,G:G)</f>
        <v>0</v>
      </c>
      <c r="I555" s="44" t="str">
        <f>IFERROR((SUMIFS('Audit Raw data'!BZ:BZ,'Audit Raw data'!J:J,B:B,'Audit Raw data'!E:E,G:G)/H555)/100,"-")</f>
        <v>-</v>
      </c>
      <c r="J555">
        <f>COUNTIFS('Audit Raw data'!AM:AM,"Yes",'Audit Raw data'!J:J,B:B,'Audit Raw data'!E:E,'Day wise agent'!G:G)</f>
        <v>0</v>
      </c>
      <c r="K555">
        <f>COUNTIFS('Audit Raw data'!AM:AM,"NO",'Audit Raw data'!J:J,B:B,'Audit Raw data'!E:E,'Day wise agent'!G:G)</f>
        <v>0</v>
      </c>
      <c r="L555" s="12" t="str">
        <f t="shared" si="17"/>
        <v xml:space="preserve"> </v>
      </c>
    </row>
    <row r="556" spans="1:12" x14ac:dyDescent="0.35">
      <c r="A556" t="str">
        <f t="shared" si="16"/>
        <v>SBM72045936</v>
      </c>
      <c r="B556" t="s">
        <v>557</v>
      </c>
      <c r="C556" t="s">
        <v>1488</v>
      </c>
      <c r="D556" s="32">
        <v>45491</v>
      </c>
      <c r="E556" t="s">
        <v>1484</v>
      </c>
      <c r="F556" t="str">
        <f>VLOOKUP(B556,'Agent wise'!A:E,5,0)</f>
        <v>Wireless</v>
      </c>
      <c r="G556" s="32">
        <v>45936</v>
      </c>
      <c r="H556">
        <f>COUNTIFS('Audit Raw data'!J:J,B:B,'Audit Raw data'!E:E,G:G)</f>
        <v>2</v>
      </c>
      <c r="I556" s="44">
        <f>IFERROR((SUMIFS('Audit Raw data'!BZ:BZ,'Audit Raw data'!J:J,B:B,'Audit Raw data'!E:E,G:G)/H556)/100,"-")</f>
        <v>0.94</v>
      </c>
      <c r="J556">
        <f>COUNTIFS('Audit Raw data'!AM:AM,"Yes",'Audit Raw data'!J:J,B:B,'Audit Raw data'!E:E,'Day wise agent'!G:G)</f>
        <v>2</v>
      </c>
      <c r="K556">
        <f>COUNTIFS('Audit Raw data'!AM:AM,"NO",'Audit Raw data'!J:J,B:B,'Audit Raw data'!E:E,'Day wise agent'!G:G)</f>
        <v>0</v>
      </c>
      <c r="L556" s="12">
        <f t="shared" si="17"/>
        <v>1</v>
      </c>
    </row>
    <row r="557" spans="1:12" x14ac:dyDescent="0.35">
      <c r="A557" t="str">
        <f t="shared" si="16"/>
        <v>SBM72445936</v>
      </c>
      <c r="B557" t="s">
        <v>144</v>
      </c>
      <c r="C557" t="s">
        <v>1489</v>
      </c>
      <c r="D557" s="32">
        <v>45491</v>
      </c>
      <c r="E557" t="s">
        <v>1484</v>
      </c>
      <c r="F557" t="str">
        <f>VLOOKUP(B557,'Agent wise'!A:E,5,0)</f>
        <v>Wireless</v>
      </c>
      <c r="G557" s="32">
        <v>45936</v>
      </c>
      <c r="H557">
        <f>COUNTIFS('Audit Raw data'!J:J,B:B,'Audit Raw data'!E:E,G:G)</f>
        <v>0</v>
      </c>
      <c r="I557" s="44" t="str">
        <f>IFERROR((SUMIFS('Audit Raw data'!BZ:BZ,'Audit Raw data'!J:J,B:B,'Audit Raw data'!E:E,G:G)/H557)/100,"-")</f>
        <v>-</v>
      </c>
      <c r="J557">
        <f>COUNTIFS('Audit Raw data'!AM:AM,"Yes",'Audit Raw data'!J:J,B:B,'Audit Raw data'!E:E,'Day wise agent'!G:G)</f>
        <v>0</v>
      </c>
      <c r="K557">
        <f>COUNTIFS('Audit Raw data'!AM:AM,"NO",'Audit Raw data'!J:J,B:B,'Audit Raw data'!E:E,'Day wise agent'!G:G)</f>
        <v>0</v>
      </c>
      <c r="L557" s="12" t="str">
        <f t="shared" si="17"/>
        <v xml:space="preserve"> </v>
      </c>
    </row>
    <row r="558" spans="1:12" x14ac:dyDescent="0.35">
      <c r="A558" t="str">
        <f t="shared" si="16"/>
        <v>SBM73445936</v>
      </c>
      <c r="B558" t="s">
        <v>356</v>
      </c>
      <c r="C558" t="s">
        <v>1490</v>
      </c>
      <c r="D558" s="32">
        <v>45497</v>
      </c>
      <c r="E558" t="s">
        <v>221</v>
      </c>
      <c r="F558" t="str">
        <f>VLOOKUP(B558,'Agent wise'!A:E,5,0)</f>
        <v>Wire-line</v>
      </c>
      <c r="G558" s="32">
        <v>45936</v>
      </c>
      <c r="H558">
        <f>COUNTIFS('Audit Raw data'!J:J,B:B,'Audit Raw data'!E:E,G:G)</f>
        <v>1</v>
      </c>
      <c r="I558" s="44">
        <f>IFERROR((SUMIFS('Audit Raw data'!BZ:BZ,'Audit Raw data'!J:J,B:B,'Audit Raw data'!E:E,G:G)/H558)/100,"-")</f>
        <v>0.9</v>
      </c>
      <c r="J558">
        <f>COUNTIFS('Audit Raw data'!AM:AM,"Yes",'Audit Raw data'!J:J,B:B,'Audit Raw data'!E:E,'Day wise agent'!G:G)</f>
        <v>1</v>
      </c>
      <c r="K558">
        <f>COUNTIFS('Audit Raw data'!AM:AM,"NO",'Audit Raw data'!J:J,B:B,'Audit Raw data'!E:E,'Day wise agent'!G:G)</f>
        <v>0</v>
      </c>
      <c r="L558" s="12">
        <f t="shared" si="17"/>
        <v>1</v>
      </c>
    </row>
    <row r="559" spans="1:12" x14ac:dyDescent="0.35">
      <c r="A559" t="str">
        <f t="shared" si="16"/>
        <v>SBM73645936</v>
      </c>
      <c r="B559" t="s">
        <v>501</v>
      </c>
      <c r="C559" t="s">
        <v>1491</v>
      </c>
      <c r="D559" s="32">
        <v>45500</v>
      </c>
      <c r="E559" t="s">
        <v>221</v>
      </c>
      <c r="F559" t="str">
        <f>VLOOKUP(B559,'Agent wise'!A:E,5,0)</f>
        <v>Wire-line</v>
      </c>
      <c r="G559" s="32">
        <v>45936</v>
      </c>
      <c r="H559">
        <f>COUNTIFS('Audit Raw data'!J:J,B:B,'Audit Raw data'!E:E,G:G)</f>
        <v>1</v>
      </c>
      <c r="I559" s="44">
        <f>IFERROR((SUMIFS('Audit Raw data'!BZ:BZ,'Audit Raw data'!J:J,B:B,'Audit Raw data'!E:E,G:G)/H559)/100,"-")</f>
        <v>0.9</v>
      </c>
      <c r="J559">
        <f>COUNTIFS('Audit Raw data'!AM:AM,"Yes",'Audit Raw data'!J:J,B:B,'Audit Raw data'!E:E,'Day wise agent'!G:G)</f>
        <v>1</v>
      </c>
      <c r="K559">
        <f>COUNTIFS('Audit Raw data'!AM:AM,"NO",'Audit Raw data'!J:J,B:B,'Audit Raw data'!E:E,'Day wise agent'!G:G)</f>
        <v>0</v>
      </c>
      <c r="L559" s="12">
        <f t="shared" si="17"/>
        <v>1</v>
      </c>
    </row>
    <row r="560" spans="1:12" x14ac:dyDescent="0.35">
      <c r="A560" t="str">
        <f t="shared" si="16"/>
        <v>SBM73945936</v>
      </c>
      <c r="B560" t="s">
        <v>559</v>
      </c>
      <c r="C560" t="s">
        <v>1492</v>
      </c>
      <c r="D560" s="32">
        <v>45516</v>
      </c>
      <c r="E560" t="s">
        <v>1484</v>
      </c>
      <c r="F560" t="str">
        <f>VLOOKUP(B560,'Agent wise'!A:E,5,0)</f>
        <v>Wireless</v>
      </c>
      <c r="G560" s="32">
        <v>45936</v>
      </c>
      <c r="H560">
        <f>COUNTIFS('Audit Raw data'!J:J,B:B,'Audit Raw data'!E:E,G:G)</f>
        <v>1</v>
      </c>
      <c r="I560" s="44">
        <f>IFERROR((SUMIFS('Audit Raw data'!BZ:BZ,'Audit Raw data'!J:J,B:B,'Audit Raw data'!E:E,G:G)/H560)/100,"-")</f>
        <v>0.96</v>
      </c>
      <c r="J560">
        <f>COUNTIFS('Audit Raw data'!AM:AM,"Yes",'Audit Raw data'!J:J,B:B,'Audit Raw data'!E:E,'Day wise agent'!G:G)</f>
        <v>1</v>
      </c>
      <c r="K560">
        <f>COUNTIFS('Audit Raw data'!AM:AM,"NO",'Audit Raw data'!J:J,B:B,'Audit Raw data'!E:E,'Day wise agent'!G:G)</f>
        <v>0</v>
      </c>
      <c r="L560" s="12">
        <f t="shared" si="17"/>
        <v>1</v>
      </c>
    </row>
    <row r="561" spans="1:12" x14ac:dyDescent="0.35">
      <c r="A561" t="str">
        <f t="shared" si="16"/>
        <v>SBM74445936</v>
      </c>
      <c r="B561" t="s">
        <v>96</v>
      </c>
      <c r="C561" t="s">
        <v>1493</v>
      </c>
      <c r="D561" s="32">
        <v>45516</v>
      </c>
      <c r="E561" t="s">
        <v>1484</v>
      </c>
      <c r="F561" t="str">
        <f>VLOOKUP(B561,'Agent wise'!A:E,5,0)</f>
        <v>Wireless</v>
      </c>
      <c r="G561" s="32">
        <v>45936</v>
      </c>
      <c r="H561">
        <f>COUNTIFS('Audit Raw data'!J:J,B:B,'Audit Raw data'!E:E,G:G)</f>
        <v>0</v>
      </c>
      <c r="I561" s="44" t="str">
        <f>IFERROR((SUMIFS('Audit Raw data'!BZ:BZ,'Audit Raw data'!J:J,B:B,'Audit Raw data'!E:E,G:G)/H561)/100,"-")</f>
        <v>-</v>
      </c>
      <c r="J561">
        <f>COUNTIFS('Audit Raw data'!AM:AM,"Yes",'Audit Raw data'!J:J,B:B,'Audit Raw data'!E:E,'Day wise agent'!G:G)</f>
        <v>0</v>
      </c>
      <c r="K561">
        <f>COUNTIFS('Audit Raw data'!AM:AM,"NO",'Audit Raw data'!J:J,B:B,'Audit Raw data'!E:E,'Day wise agent'!G:G)</f>
        <v>0</v>
      </c>
      <c r="L561" s="12" t="str">
        <f t="shared" si="17"/>
        <v xml:space="preserve"> </v>
      </c>
    </row>
    <row r="562" spans="1:12" x14ac:dyDescent="0.35">
      <c r="A562" t="str">
        <f t="shared" si="16"/>
        <v>SBM75545936</v>
      </c>
      <c r="B562" t="s">
        <v>409</v>
      </c>
      <c r="C562" t="s">
        <v>1494</v>
      </c>
      <c r="D562" s="32">
        <v>45518</v>
      </c>
      <c r="E562" t="s">
        <v>221</v>
      </c>
      <c r="F562" t="str">
        <f>VLOOKUP(B562,'Agent wise'!A:E,5,0)</f>
        <v>Wire-line</v>
      </c>
      <c r="G562" s="32">
        <v>45936</v>
      </c>
      <c r="H562">
        <f>COUNTIFS('Audit Raw data'!J:J,B:B,'Audit Raw data'!E:E,G:G)</f>
        <v>0</v>
      </c>
      <c r="I562" s="44" t="str">
        <f>IFERROR((SUMIFS('Audit Raw data'!BZ:BZ,'Audit Raw data'!J:J,B:B,'Audit Raw data'!E:E,G:G)/H562)/100,"-")</f>
        <v>-</v>
      </c>
      <c r="J562">
        <f>COUNTIFS('Audit Raw data'!AM:AM,"Yes",'Audit Raw data'!J:J,B:B,'Audit Raw data'!E:E,'Day wise agent'!G:G)</f>
        <v>0</v>
      </c>
      <c r="K562">
        <f>COUNTIFS('Audit Raw data'!AM:AM,"NO",'Audit Raw data'!J:J,B:B,'Audit Raw data'!E:E,'Day wise agent'!G:G)</f>
        <v>0</v>
      </c>
      <c r="L562" s="12" t="str">
        <f t="shared" si="17"/>
        <v xml:space="preserve"> </v>
      </c>
    </row>
    <row r="563" spans="1:12" x14ac:dyDescent="0.35">
      <c r="A563" t="str">
        <f t="shared" si="16"/>
        <v>SBM75845936</v>
      </c>
      <c r="B563" t="s">
        <v>420</v>
      </c>
      <c r="C563" t="s">
        <v>1502</v>
      </c>
      <c r="D563" s="32">
        <v>45518</v>
      </c>
      <c r="E563" t="s">
        <v>221</v>
      </c>
      <c r="F563" t="str">
        <f>VLOOKUP(B563,'Agent wise'!A:E,5,0)</f>
        <v>Wire-line</v>
      </c>
      <c r="G563" s="32">
        <v>45936</v>
      </c>
      <c r="H563">
        <f>COUNTIFS('Audit Raw data'!J:J,B:B,'Audit Raw data'!E:E,G:G)</f>
        <v>1</v>
      </c>
      <c r="I563" s="44">
        <f>IFERROR((SUMIFS('Audit Raw data'!BZ:BZ,'Audit Raw data'!J:J,B:B,'Audit Raw data'!E:E,G:G)/H563)/100,"-")</f>
        <v>1</v>
      </c>
      <c r="J563">
        <f>COUNTIFS('Audit Raw data'!AM:AM,"Yes",'Audit Raw data'!J:J,B:B,'Audit Raw data'!E:E,'Day wise agent'!G:G)</f>
        <v>1</v>
      </c>
      <c r="K563">
        <f>COUNTIFS('Audit Raw data'!AM:AM,"NO",'Audit Raw data'!J:J,B:B,'Audit Raw data'!E:E,'Day wise agent'!G:G)</f>
        <v>0</v>
      </c>
      <c r="L563" s="12">
        <f t="shared" si="17"/>
        <v>1</v>
      </c>
    </row>
    <row r="564" spans="1:12" x14ac:dyDescent="0.35">
      <c r="A564" t="str">
        <f t="shared" si="16"/>
        <v>SBM76745936</v>
      </c>
      <c r="B564" t="s">
        <v>442</v>
      </c>
      <c r="C564" t="s">
        <v>1495</v>
      </c>
      <c r="D564" s="32">
        <v>45520</v>
      </c>
      <c r="E564" t="s">
        <v>107</v>
      </c>
      <c r="F564" t="str">
        <f>VLOOKUP(B564,'Agent wise'!A:E,5,0)</f>
        <v>Wireless</v>
      </c>
      <c r="G564" s="32">
        <v>45936</v>
      </c>
      <c r="H564">
        <f>COUNTIFS('Audit Raw data'!J:J,B:B,'Audit Raw data'!E:E,G:G)</f>
        <v>1</v>
      </c>
      <c r="I564" s="44">
        <f>IFERROR((SUMIFS('Audit Raw data'!BZ:BZ,'Audit Raw data'!J:J,B:B,'Audit Raw data'!E:E,G:G)/H564)/100,"-")</f>
        <v>0.96</v>
      </c>
      <c r="J564">
        <f>COUNTIFS('Audit Raw data'!AM:AM,"Yes",'Audit Raw data'!J:J,B:B,'Audit Raw data'!E:E,'Day wise agent'!G:G)</f>
        <v>1</v>
      </c>
      <c r="K564">
        <f>COUNTIFS('Audit Raw data'!AM:AM,"NO",'Audit Raw data'!J:J,B:B,'Audit Raw data'!E:E,'Day wise agent'!G:G)</f>
        <v>0</v>
      </c>
      <c r="L564" s="12">
        <f t="shared" si="17"/>
        <v>1</v>
      </c>
    </row>
    <row r="565" spans="1:12" x14ac:dyDescent="0.35">
      <c r="A565" t="str">
        <f t="shared" si="16"/>
        <v>SBM77245936</v>
      </c>
      <c r="B565" t="s">
        <v>640</v>
      </c>
      <c r="C565" t="s">
        <v>1497</v>
      </c>
      <c r="D565" s="32">
        <v>45528</v>
      </c>
      <c r="E565" t="s">
        <v>178</v>
      </c>
      <c r="F565" t="str">
        <f>VLOOKUP(B565,'Agent wise'!A:E,5,0)</f>
        <v>Wireless</v>
      </c>
      <c r="G565" s="32">
        <v>45936</v>
      </c>
      <c r="H565">
        <f>COUNTIFS('Audit Raw data'!J:J,B:B,'Audit Raw data'!E:E,G:G)</f>
        <v>1</v>
      </c>
      <c r="I565" s="44">
        <f>IFERROR((SUMIFS('Audit Raw data'!BZ:BZ,'Audit Raw data'!J:J,B:B,'Audit Raw data'!E:E,G:G)/H565)/100,"-")</f>
        <v>0.82</v>
      </c>
      <c r="J565">
        <f>COUNTIFS('Audit Raw data'!AM:AM,"Yes",'Audit Raw data'!J:J,B:B,'Audit Raw data'!E:E,'Day wise agent'!G:G)</f>
        <v>1</v>
      </c>
      <c r="K565">
        <f>COUNTIFS('Audit Raw data'!AM:AM,"NO",'Audit Raw data'!J:J,B:B,'Audit Raw data'!E:E,'Day wise agent'!G:G)</f>
        <v>0</v>
      </c>
      <c r="L565" s="12">
        <f t="shared" si="17"/>
        <v>1</v>
      </c>
    </row>
    <row r="566" spans="1:12" x14ac:dyDescent="0.35">
      <c r="A566" t="str">
        <f t="shared" si="16"/>
        <v>SBM77345936</v>
      </c>
      <c r="B566" t="s">
        <v>464</v>
      </c>
      <c r="C566" t="s">
        <v>1496</v>
      </c>
      <c r="D566" s="32">
        <v>45526</v>
      </c>
      <c r="E566" t="s">
        <v>178</v>
      </c>
      <c r="F566" t="str">
        <f>VLOOKUP(B566,'Agent wise'!A:E,5,0)</f>
        <v>Wireless</v>
      </c>
      <c r="G566" s="32">
        <v>45936</v>
      </c>
      <c r="H566">
        <f>COUNTIFS('Audit Raw data'!J:J,B:B,'Audit Raw data'!E:E,G:G)</f>
        <v>2</v>
      </c>
      <c r="I566" s="44">
        <f>IFERROR((SUMIFS('Audit Raw data'!BZ:BZ,'Audit Raw data'!J:J,B:B,'Audit Raw data'!E:E,G:G)/H566)/100,"-")</f>
        <v>0.92</v>
      </c>
      <c r="J566">
        <f>COUNTIFS('Audit Raw data'!AM:AM,"Yes",'Audit Raw data'!J:J,B:B,'Audit Raw data'!E:E,'Day wise agent'!G:G)</f>
        <v>2</v>
      </c>
      <c r="K566">
        <f>COUNTIFS('Audit Raw data'!AM:AM,"NO",'Audit Raw data'!J:J,B:B,'Audit Raw data'!E:E,'Day wise agent'!G:G)</f>
        <v>0</v>
      </c>
      <c r="L566" s="12">
        <f t="shared" si="17"/>
        <v>1</v>
      </c>
    </row>
    <row r="567" spans="1:12" x14ac:dyDescent="0.35">
      <c r="A567" t="str">
        <f t="shared" si="16"/>
        <v>SBM77545936</v>
      </c>
      <c r="B567" t="s">
        <v>643</v>
      </c>
      <c r="C567" t="s">
        <v>1498</v>
      </c>
      <c r="D567" s="32">
        <v>45535</v>
      </c>
      <c r="E567" t="s">
        <v>1484</v>
      </c>
      <c r="F567" t="str">
        <f>VLOOKUP(B567,'Agent wise'!A:E,5,0)</f>
        <v>Wireless</v>
      </c>
      <c r="G567" s="32">
        <v>45936</v>
      </c>
      <c r="H567">
        <f>COUNTIFS('Audit Raw data'!J:J,B:B,'Audit Raw data'!E:E,G:G)</f>
        <v>1</v>
      </c>
      <c r="I567" s="44">
        <f>IFERROR((SUMIFS('Audit Raw data'!BZ:BZ,'Audit Raw data'!J:J,B:B,'Audit Raw data'!E:E,G:G)/H567)/100,"-")</f>
        <v>0.92</v>
      </c>
      <c r="J567">
        <f>COUNTIFS('Audit Raw data'!AM:AM,"Yes",'Audit Raw data'!J:J,B:B,'Audit Raw data'!E:E,'Day wise agent'!G:G)</f>
        <v>1</v>
      </c>
      <c r="K567">
        <f>COUNTIFS('Audit Raw data'!AM:AM,"NO",'Audit Raw data'!J:J,B:B,'Audit Raw data'!E:E,'Day wise agent'!G:G)</f>
        <v>0</v>
      </c>
      <c r="L567" s="12">
        <f t="shared" si="17"/>
        <v>1</v>
      </c>
    </row>
    <row r="568" spans="1:12" x14ac:dyDescent="0.35">
      <c r="A568" t="str">
        <f t="shared" si="16"/>
        <v>SBM79245936</v>
      </c>
      <c r="B568" t="s">
        <v>179</v>
      </c>
      <c r="C568" t="s">
        <v>1499</v>
      </c>
      <c r="D568" s="32">
        <v>45545</v>
      </c>
      <c r="E568" t="s">
        <v>178</v>
      </c>
      <c r="F568" t="str">
        <f>VLOOKUP(B568,'Agent wise'!A:E,5,0)</f>
        <v>Wireless</v>
      </c>
      <c r="G568" s="32">
        <v>45936</v>
      </c>
      <c r="H568">
        <f>COUNTIFS('Audit Raw data'!J:J,B:B,'Audit Raw data'!E:E,G:G)</f>
        <v>1</v>
      </c>
      <c r="I568" s="44">
        <f>IFERROR((SUMIFS('Audit Raw data'!BZ:BZ,'Audit Raw data'!J:J,B:B,'Audit Raw data'!E:E,G:G)/H568)/100,"-")</f>
        <v>0.88</v>
      </c>
      <c r="J568">
        <f>COUNTIFS('Audit Raw data'!AM:AM,"Yes",'Audit Raw data'!J:J,B:B,'Audit Raw data'!E:E,'Day wise agent'!G:G)</f>
        <v>1</v>
      </c>
      <c r="K568">
        <f>COUNTIFS('Audit Raw data'!AM:AM,"NO",'Audit Raw data'!J:J,B:B,'Audit Raw data'!E:E,'Day wise agent'!G:G)</f>
        <v>0</v>
      </c>
      <c r="L568" s="12">
        <f t="shared" si="17"/>
        <v>1</v>
      </c>
    </row>
    <row r="569" spans="1:12" x14ac:dyDescent="0.35">
      <c r="A569" t="str">
        <f t="shared" si="16"/>
        <v>SBM79445936</v>
      </c>
      <c r="B569" t="s">
        <v>246</v>
      </c>
      <c r="C569" t="s">
        <v>1500</v>
      </c>
      <c r="D569" s="32">
        <v>45550</v>
      </c>
      <c r="E569" t="s">
        <v>221</v>
      </c>
      <c r="F569" t="str">
        <f>VLOOKUP(B569,'Agent wise'!A:E,5,0)</f>
        <v>Wire-line</v>
      </c>
      <c r="G569" s="32">
        <v>45936</v>
      </c>
      <c r="H569">
        <f>COUNTIFS('Audit Raw data'!J:J,B:B,'Audit Raw data'!E:E,G:G)</f>
        <v>1</v>
      </c>
      <c r="I569" s="44">
        <f>IFERROR((SUMIFS('Audit Raw data'!BZ:BZ,'Audit Raw data'!J:J,B:B,'Audit Raw data'!E:E,G:G)/H569)/100,"-")</f>
        <v>1</v>
      </c>
      <c r="J569">
        <f>COUNTIFS('Audit Raw data'!AM:AM,"Yes",'Audit Raw data'!J:J,B:B,'Audit Raw data'!E:E,'Day wise agent'!G:G)</f>
        <v>1</v>
      </c>
      <c r="K569">
        <f>COUNTIFS('Audit Raw data'!AM:AM,"NO",'Audit Raw data'!J:J,B:B,'Audit Raw data'!E:E,'Day wise agent'!G:G)</f>
        <v>0</v>
      </c>
      <c r="L569" s="12">
        <f t="shared" si="17"/>
        <v>1</v>
      </c>
    </row>
    <row r="570" spans="1:12" x14ac:dyDescent="0.35">
      <c r="A570" t="str">
        <f t="shared" si="16"/>
        <v>SBM90145936</v>
      </c>
      <c r="B570" t="s">
        <v>646</v>
      </c>
      <c r="C570" t="s">
        <v>1501</v>
      </c>
      <c r="D570" s="32">
        <v>45564</v>
      </c>
      <c r="E570" t="s">
        <v>1484</v>
      </c>
      <c r="F570" t="str">
        <f>VLOOKUP(B570,'Agent wise'!A:E,5,0)</f>
        <v>Wireless</v>
      </c>
      <c r="G570" s="32">
        <v>45936</v>
      </c>
      <c r="H570">
        <f>COUNTIFS('Audit Raw data'!J:J,B:B,'Audit Raw data'!E:E,G:G)</f>
        <v>2</v>
      </c>
      <c r="I570" s="44">
        <f>IFERROR((SUMIFS('Audit Raw data'!BZ:BZ,'Audit Raw data'!J:J,B:B,'Audit Raw data'!E:E,G:G)/H570)/100,"-")</f>
        <v>0.94</v>
      </c>
      <c r="J570">
        <f>COUNTIFS('Audit Raw data'!AM:AM,"Yes",'Audit Raw data'!J:J,B:B,'Audit Raw data'!E:E,'Day wise agent'!G:G)</f>
        <v>2</v>
      </c>
      <c r="K570">
        <f>COUNTIFS('Audit Raw data'!AM:AM,"NO",'Audit Raw data'!J:J,B:B,'Audit Raw data'!E:E,'Day wise agent'!G:G)</f>
        <v>0</v>
      </c>
      <c r="L570" s="12">
        <f t="shared" si="17"/>
        <v>1</v>
      </c>
    </row>
    <row r="571" spans="1:12" x14ac:dyDescent="0.35">
      <c r="A571" t="str">
        <f t="shared" si="16"/>
        <v>SBM91345936</v>
      </c>
      <c r="B571" t="s">
        <v>650</v>
      </c>
      <c r="C571" t="s">
        <v>1503</v>
      </c>
      <c r="D571" s="32">
        <v>45589</v>
      </c>
      <c r="E571" t="s">
        <v>178</v>
      </c>
      <c r="F571" t="str">
        <f>VLOOKUP(B571,'Agent wise'!A:E,5,0)</f>
        <v>Wireless</v>
      </c>
      <c r="G571" s="32">
        <v>45936</v>
      </c>
      <c r="H571">
        <f>COUNTIFS('Audit Raw data'!J:J,B:B,'Audit Raw data'!E:E,G:G)</f>
        <v>0</v>
      </c>
      <c r="I571" s="44" t="str">
        <f>IFERROR((SUMIFS('Audit Raw data'!BZ:BZ,'Audit Raw data'!J:J,B:B,'Audit Raw data'!E:E,G:G)/H571)/100,"-")</f>
        <v>-</v>
      </c>
      <c r="J571">
        <f>COUNTIFS('Audit Raw data'!AM:AM,"Yes",'Audit Raw data'!J:J,B:B,'Audit Raw data'!E:E,'Day wise agent'!G:G)</f>
        <v>0</v>
      </c>
      <c r="K571">
        <f>COUNTIFS('Audit Raw data'!AM:AM,"NO",'Audit Raw data'!J:J,B:B,'Audit Raw data'!E:E,'Day wise agent'!G:G)</f>
        <v>0</v>
      </c>
      <c r="L571" s="12" t="str">
        <f t="shared" si="17"/>
        <v xml:space="preserve"> </v>
      </c>
    </row>
    <row r="572" spans="1:12" x14ac:dyDescent="0.35">
      <c r="A572" t="str">
        <f t="shared" si="16"/>
        <v>SBM94645936</v>
      </c>
      <c r="B572" t="s">
        <v>653</v>
      </c>
      <c r="C572" t="s">
        <v>1505</v>
      </c>
      <c r="D572" s="32">
        <v>45635</v>
      </c>
      <c r="E572" t="s">
        <v>1453</v>
      </c>
      <c r="F572" t="str">
        <f>VLOOKUP(B572,'Agent wise'!A:E,5,0)</f>
        <v>Wireless</v>
      </c>
      <c r="G572" s="32">
        <v>45936</v>
      </c>
      <c r="H572">
        <f>COUNTIFS('Audit Raw data'!J:J,B:B,'Audit Raw data'!E:E,G:G)</f>
        <v>1</v>
      </c>
      <c r="I572" s="44">
        <f>IFERROR((SUMIFS('Audit Raw data'!BZ:BZ,'Audit Raw data'!J:J,B:B,'Audit Raw data'!E:E,G:G)/H572)/100,"-")</f>
        <v>0.98</v>
      </c>
      <c r="J572">
        <f>COUNTIFS('Audit Raw data'!AM:AM,"Yes",'Audit Raw data'!J:J,B:B,'Audit Raw data'!E:E,'Day wise agent'!G:G)</f>
        <v>1</v>
      </c>
      <c r="K572">
        <f>COUNTIFS('Audit Raw data'!AM:AM,"NO",'Audit Raw data'!J:J,B:B,'Audit Raw data'!E:E,'Day wise agent'!G:G)</f>
        <v>0</v>
      </c>
      <c r="L572" s="12">
        <f t="shared" si="17"/>
        <v>1</v>
      </c>
    </row>
    <row r="573" spans="1:12" x14ac:dyDescent="0.35">
      <c r="A573" t="str">
        <f t="shared" si="16"/>
        <v>SBM95845936</v>
      </c>
      <c r="B573" t="s">
        <v>124</v>
      </c>
      <c r="C573" t="s">
        <v>1508</v>
      </c>
      <c r="D573" s="32">
        <v>45641</v>
      </c>
      <c r="E573" t="s">
        <v>1453</v>
      </c>
      <c r="F573" t="str">
        <f>VLOOKUP(B573,'Agent wise'!A:E,5,0)</f>
        <v>Wireless</v>
      </c>
      <c r="G573" s="32">
        <v>45936</v>
      </c>
      <c r="H573">
        <f>COUNTIFS('Audit Raw data'!J:J,B:B,'Audit Raw data'!E:E,G:G)</f>
        <v>0</v>
      </c>
      <c r="I573" s="44" t="str">
        <f>IFERROR((SUMIFS('Audit Raw data'!BZ:BZ,'Audit Raw data'!J:J,B:B,'Audit Raw data'!E:E,G:G)/H573)/100,"-")</f>
        <v>-</v>
      </c>
      <c r="J573">
        <f>COUNTIFS('Audit Raw data'!AM:AM,"Yes",'Audit Raw data'!J:J,B:B,'Audit Raw data'!E:E,'Day wise agent'!G:G)</f>
        <v>0</v>
      </c>
      <c r="K573">
        <f>COUNTIFS('Audit Raw data'!AM:AM,"NO",'Audit Raw data'!J:J,B:B,'Audit Raw data'!E:E,'Day wise agent'!G:G)</f>
        <v>0</v>
      </c>
      <c r="L573" s="12" t="str">
        <f t="shared" si="17"/>
        <v xml:space="preserve"> </v>
      </c>
    </row>
    <row r="574" spans="1:12" x14ac:dyDescent="0.35">
      <c r="A574" t="str">
        <f t="shared" si="16"/>
        <v>SBM96345936</v>
      </c>
      <c r="B574" t="s">
        <v>149</v>
      </c>
      <c r="C574" t="s">
        <v>1506</v>
      </c>
      <c r="D574" s="32">
        <v>45637</v>
      </c>
      <c r="E574" t="s">
        <v>107</v>
      </c>
      <c r="F574" t="str">
        <f>VLOOKUP(B574,'Agent wise'!A:E,5,0)</f>
        <v>Wireless</v>
      </c>
      <c r="G574" s="32">
        <v>45936</v>
      </c>
      <c r="H574">
        <f>COUNTIFS('Audit Raw data'!J:J,B:B,'Audit Raw data'!E:E,G:G)</f>
        <v>2</v>
      </c>
      <c r="I574" s="44">
        <f>IFERROR((SUMIFS('Audit Raw data'!BZ:BZ,'Audit Raw data'!J:J,B:B,'Audit Raw data'!E:E,G:G)/H574)/100,"-")</f>
        <v>0.98</v>
      </c>
      <c r="J574">
        <f>COUNTIFS('Audit Raw data'!AM:AM,"Yes",'Audit Raw data'!J:J,B:B,'Audit Raw data'!E:E,'Day wise agent'!G:G)</f>
        <v>2</v>
      </c>
      <c r="K574">
        <f>COUNTIFS('Audit Raw data'!AM:AM,"NO",'Audit Raw data'!J:J,B:B,'Audit Raw data'!E:E,'Day wise agent'!G:G)</f>
        <v>0</v>
      </c>
      <c r="L574" s="12">
        <f t="shared" si="17"/>
        <v>1</v>
      </c>
    </row>
    <row r="575" spans="1:12" x14ac:dyDescent="0.35">
      <c r="A575" t="str">
        <f t="shared" si="16"/>
        <v>SBM96745936</v>
      </c>
      <c r="B575" t="s">
        <v>657</v>
      </c>
      <c r="C575" t="s">
        <v>1507</v>
      </c>
      <c r="D575" s="32">
        <v>45640</v>
      </c>
      <c r="E575" t="s">
        <v>1453</v>
      </c>
      <c r="F575" t="str">
        <f>VLOOKUP(B575,'Agent wise'!A:E,5,0)</f>
        <v>Wireless</v>
      </c>
      <c r="G575" s="32">
        <v>45936</v>
      </c>
      <c r="H575">
        <f>COUNTIFS('Audit Raw data'!J:J,B:B,'Audit Raw data'!E:E,G:G)</f>
        <v>0</v>
      </c>
      <c r="I575" s="44" t="str">
        <f>IFERROR((SUMIFS('Audit Raw data'!BZ:BZ,'Audit Raw data'!J:J,B:B,'Audit Raw data'!E:E,G:G)/H575)/100,"-")</f>
        <v>-</v>
      </c>
      <c r="J575">
        <f>COUNTIFS('Audit Raw data'!AM:AM,"Yes",'Audit Raw data'!J:J,B:B,'Audit Raw data'!E:E,'Day wise agent'!G:G)</f>
        <v>0</v>
      </c>
      <c r="K575">
        <f>COUNTIFS('Audit Raw data'!AM:AM,"NO",'Audit Raw data'!J:J,B:B,'Audit Raw data'!E:E,'Day wise agent'!G:G)</f>
        <v>0</v>
      </c>
      <c r="L575" s="12" t="str">
        <f t="shared" si="17"/>
        <v xml:space="preserve"> </v>
      </c>
    </row>
    <row r="576" spans="1:12" x14ac:dyDescent="0.35">
      <c r="A576" t="str">
        <f t="shared" si="16"/>
        <v>SBM98345936</v>
      </c>
      <c r="B576" t="s">
        <v>1509</v>
      </c>
      <c r="C576" t="s">
        <v>1510</v>
      </c>
      <c r="D576" s="32">
        <v>45659</v>
      </c>
      <c r="E576" t="s">
        <v>1484</v>
      </c>
      <c r="F576" t="str">
        <f>VLOOKUP(B576,'Agent wise'!A:E,5,0)</f>
        <v>Wireless</v>
      </c>
      <c r="G576" s="32">
        <v>45936</v>
      </c>
      <c r="H576">
        <f>COUNTIFS('Audit Raw data'!J:J,B:B,'Audit Raw data'!E:E,G:G)</f>
        <v>0</v>
      </c>
      <c r="I576" s="44" t="str">
        <f>IFERROR((SUMIFS('Audit Raw data'!BZ:BZ,'Audit Raw data'!J:J,B:B,'Audit Raw data'!E:E,G:G)/H576)/100,"-")</f>
        <v>-</v>
      </c>
      <c r="J576">
        <f>COUNTIFS('Audit Raw data'!AM:AM,"Yes",'Audit Raw data'!J:J,B:B,'Audit Raw data'!E:E,'Day wise agent'!G:G)</f>
        <v>0</v>
      </c>
      <c r="K576">
        <f>COUNTIFS('Audit Raw data'!AM:AM,"NO",'Audit Raw data'!J:J,B:B,'Audit Raw data'!E:E,'Day wise agent'!G:G)</f>
        <v>0</v>
      </c>
      <c r="L576" s="12" t="str">
        <f t="shared" si="17"/>
        <v xml:space="preserve"> </v>
      </c>
    </row>
    <row r="577" spans="1:12" x14ac:dyDescent="0.35">
      <c r="A577" t="str">
        <f t="shared" si="16"/>
        <v>SBM99045936</v>
      </c>
      <c r="B577" t="s">
        <v>660</v>
      </c>
      <c r="C577" t="s">
        <v>1512</v>
      </c>
      <c r="D577" s="32">
        <v>45663</v>
      </c>
      <c r="E577" t="s">
        <v>178</v>
      </c>
      <c r="F577" t="str">
        <f>VLOOKUP(B577,'Agent wise'!A:E,5,0)</f>
        <v>Wireless</v>
      </c>
      <c r="G577" s="32">
        <v>45936</v>
      </c>
      <c r="H577">
        <f>COUNTIFS('Audit Raw data'!J:J,B:B,'Audit Raw data'!E:E,G:G)</f>
        <v>1</v>
      </c>
      <c r="I577" s="44">
        <f>IFERROR((SUMIFS('Audit Raw data'!BZ:BZ,'Audit Raw data'!J:J,B:B,'Audit Raw data'!E:E,G:G)/H577)/100,"-")</f>
        <v>0.96</v>
      </c>
      <c r="J577">
        <f>COUNTIFS('Audit Raw data'!AM:AM,"Yes",'Audit Raw data'!J:J,B:B,'Audit Raw data'!E:E,'Day wise agent'!G:G)</f>
        <v>1</v>
      </c>
      <c r="K577">
        <f>COUNTIFS('Audit Raw data'!AM:AM,"NO",'Audit Raw data'!J:J,B:B,'Audit Raw data'!E:E,'Day wise agent'!G:G)</f>
        <v>0</v>
      </c>
      <c r="L577" s="12">
        <f t="shared" si="17"/>
        <v>1</v>
      </c>
    </row>
    <row r="578" spans="1:12" x14ac:dyDescent="0.35">
      <c r="A578" t="str">
        <f t="shared" ref="A578:A641" si="18">B578&amp;G578</f>
        <v>VPS10645936</v>
      </c>
      <c r="B578" t="s">
        <v>1513</v>
      </c>
      <c r="C578" t="s">
        <v>1514</v>
      </c>
      <c r="D578" s="32">
        <v>45674</v>
      </c>
      <c r="E578" t="s">
        <v>1456</v>
      </c>
      <c r="F578" t="str">
        <f>VLOOKUP(B578,'Agent wise'!A:E,5,0)</f>
        <v>RECL</v>
      </c>
      <c r="G578" s="32">
        <v>45936</v>
      </c>
      <c r="H578">
        <f>COUNTIFS('Audit Raw data'!J:J,B:B,'Audit Raw data'!E:E,G:G)</f>
        <v>0</v>
      </c>
      <c r="I578" s="44" t="str">
        <f>IFERROR((SUMIFS('Audit Raw data'!BZ:BZ,'Audit Raw data'!J:J,B:B,'Audit Raw data'!E:E,G:G)/H578)/100,"-")</f>
        <v>-</v>
      </c>
      <c r="J578">
        <f>COUNTIFS('Audit Raw data'!AM:AM,"Yes",'Audit Raw data'!J:J,B:B,'Audit Raw data'!E:E,'Day wise agent'!G:G)</f>
        <v>0</v>
      </c>
      <c r="K578">
        <f>COUNTIFS('Audit Raw data'!AM:AM,"NO",'Audit Raw data'!J:J,B:B,'Audit Raw data'!E:E,'Day wise agent'!G:G)</f>
        <v>0</v>
      </c>
      <c r="L578" s="12" t="str">
        <f t="shared" ref="L578:L641" si="19">IFERROR(J578/H578," ")</f>
        <v xml:space="preserve"> </v>
      </c>
    </row>
    <row r="579" spans="1:12" x14ac:dyDescent="0.35">
      <c r="A579" t="str">
        <f t="shared" si="18"/>
        <v>VPS11145936</v>
      </c>
      <c r="B579" t="s">
        <v>108</v>
      </c>
      <c r="C579" t="s">
        <v>1515</v>
      </c>
      <c r="D579" s="32">
        <v>45675</v>
      </c>
      <c r="E579" t="s">
        <v>1484</v>
      </c>
      <c r="F579" t="str">
        <f>VLOOKUP(B579,'Agent wise'!A:E,5,0)</f>
        <v>Wireless</v>
      </c>
      <c r="G579" s="32">
        <v>45936</v>
      </c>
      <c r="H579">
        <f>COUNTIFS('Audit Raw data'!J:J,B:B,'Audit Raw data'!E:E,G:G)</f>
        <v>3</v>
      </c>
      <c r="I579" s="44">
        <f>IFERROR((SUMIFS('Audit Raw data'!BZ:BZ,'Audit Raw data'!J:J,B:B,'Audit Raw data'!E:E,G:G)/H579)/100,"-")</f>
        <v>0.93333333333333324</v>
      </c>
      <c r="J579">
        <f>COUNTIFS('Audit Raw data'!AM:AM,"Yes",'Audit Raw data'!J:J,B:B,'Audit Raw data'!E:E,'Day wise agent'!G:G)</f>
        <v>3</v>
      </c>
      <c r="K579">
        <f>COUNTIFS('Audit Raw data'!AM:AM,"NO",'Audit Raw data'!J:J,B:B,'Audit Raw data'!E:E,'Day wise agent'!G:G)</f>
        <v>0</v>
      </c>
      <c r="L579" s="12">
        <f t="shared" si="19"/>
        <v>1</v>
      </c>
    </row>
    <row r="580" spans="1:12" x14ac:dyDescent="0.35">
      <c r="A580" t="str">
        <f t="shared" si="18"/>
        <v>VPS12045936</v>
      </c>
      <c r="B580" t="s">
        <v>263</v>
      </c>
      <c r="C580" t="s">
        <v>1516</v>
      </c>
      <c r="D580" s="32">
        <v>45690</v>
      </c>
      <c r="E580" t="s">
        <v>178</v>
      </c>
      <c r="F580" t="str">
        <f>VLOOKUP(B580,'Agent wise'!A:E,5,0)</f>
        <v>Wireless</v>
      </c>
      <c r="G580" s="32">
        <v>45936</v>
      </c>
      <c r="H580">
        <f>COUNTIFS('Audit Raw data'!J:J,B:B,'Audit Raw data'!E:E,G:G)</f>
        <v>0</v>
      </c>
      <c r="I580" s="44" t="str">
        <f>IFERROR((SUMIFS('Audit Raw data'!BZ:BZ,'Audit Raw data'!J:J,B:B,'Audit Raw data'!E:E,G:G)/H580)/100,"-")</f>
        <v>-</v>
      </c>
      <c r="J580">
        <f>COUNTIFS('Audit Raw data'!AM:AM,"Yes",'Audit Raw data'!J:J,B:B,'Audit Raw data'!E:E,'Day wise agent'!G:G)</f>
        <v>0</v>
      </c>
      <c r="K580">
        <f>COUNTIFS('Audit Raw data'!AM:AM,"NO",'Audit Raw data'!J:J,B:B,'Audit Raw data'!E:E,'Day wise agent'!G:G)</f>
        <v>0</v>
      </c>
      <c r="L580" s="12" t="str">
        <f t="shared" si="19"/>
        <v xml:space="preserve"> </v>
      </c>
    </row>
    <row r="581" spans="1:12" x14ac:dyDescent="0.35">
      <c r="A581" t="str">
        <f t="shared" si="18"/>
        <v>VPS12445936</v>
      </c>
      <c r="B581" t="s">
        <v>1517</v>
      </c>
      <c r="C581" t="s">
        <v>1518</v>
      </c>
      <c r="D581" s="32">
        <v>45705</v>
      </c>
      <c r="E581" t="s">
        <v>1456</v>
      </c>
      <c r="F581" t="str">
        <f>VLOOKUP(B581,'Agent wise'!A:E,5,0)</f>
        <v>RECL</v>
      </c>
      <c r="G581" s="32">
        <v>45936</v>
      </c>
      <c r="H581">
        <f>COUNTIFS('Audit Raw data'!J:J,B:B,'Audit Raw data'!E:E,G:G)</f>
        <v>0</v>
      </c>
      <c r="I581" s="44" t="str">
        <f>IFERROR((SUMIFS('Audit Raw data'!BZ:BZ,'Audit Raw data'!J:J,B:B,'Audit Raw data'!E:E,G:G)/H581)/100,"-")</f>
        <v>-</v>
      </c>
      <c r="J581">
        <f>COUNTIFS('Audit Raw data'!AM:AM,"Yes",'Audit Raw data'!J:J,B:B,'Audit Raw data'!E:E,'Day wise agent'!G:G)</f>
        <v>0</v>
      </c>
      <c r="K581">
        <f>COUNTIFS('Audit Raw data'!AM:AM,"NO",'Audit Raw data'!J:J,B:B,'Audit Raw data'!E:E,'Day wise agent'!G:G)</f>
        <v>0</v>
      </c>
      <c r="L581" s="12" t="str">
        <f t="shared" si="19"/>
        <v xml:space="preserve"> </v>
      </c>
    </row>
    <row r="582" spans="1:12" x14ac:dyDescent="0.35">
      <c r="A582" t="str">
        <f t="shared" si="18"/>
        <v>VPS12645936</v>
      </c>
      <c r="B582" t="s">
        <v>1521</v>
      </c>
      <c r="C582" t="s">
        <v>1522</v>
      </c>
      <c r="D582" s="32">
        <v>45710</v>
      </c>
      <c r="E582" t="s">
        <v>1456</v>
      </c>
      <c r="F582" t="str">
        <f>VLOOKUP(B582,'Agent wise'!A:E,5,0)</f>
        <v>RECL</v>
      </c>
      <c r="G582" s="32">
        <v>45936</v>
      </c>
      <c r="H582">
        <f>COUNTIFS('Audit Raw data'!J:J,B:B,'Audit Raw data'!E:E,G:G)</f>
        <v>0</v>
      </c>
      <c r="I582" s="44" t="str">
        <f>IFERROR((SUMIFS('Audit Raw data'!BZ:BZ,'Audit Raw data'!J:J,B:B,'Audit Raw data'!E:E,G:G)/H582)/100,"-")</f>
        <v>-</v>
      </c>
      <c r="J582">
        <f>COUNTIFS('Audit Raw data'!AM:AM,"Yes",'Audit Raw data'!J:J,B:B,'Audit Raw data'!E:E,'Day wise agent'!G:G)</f>
        <v>0</v>
      </c>
      <c r="K582">
        <f>COUNTIFS('Audit Raw data'!AM:AM,"NO",'Audit Raw data'!J:J,B:B,'Audit Raw data'!E:E,'Day wise agent'!G:G)</f>
        <v>0</v>
      </c>
      <c r="L582" s="12" t="str">
        <f t="shared" si="19"/>
        <v xml:space="preserve"> </v>
      </c>
    </row>
    <row r="583" spans="1:12" x14ac:dyDescent="0.35">
      <c r="A583" t="str">
        <f t="shared" si="18"/>
        <v>VPS12745936</v>
      </c>
      <c r="B583" t="s">
        <v>1523</v>
      </c>
      <c r="C583" t="s">
        <v>1524</v>
      </c>
      <c r="D583" s="32">
        <v>45710</v>
      </c>
      <c r="E583" t="s">
        <v>1456</v>
      </c>
      <c r="F583" t="str">
        <f>VLOOKUP(B583,'Agent wise'!A:E,5,0)</f>
        <v>RECL</v>
      </c>
      <c r="G583" s="32">
        <v>45936</v>
      </c>
      <c r="H583">
        <f>COUNTIFS('Audit Raw data'!J:J,B:B,'Audit Raw data'!E:E,G:G)</f>
        <v>0</v>
      </c>
      <c r="I583" s="44" t="str">
        <f>IFERROR((SUMIFS('Audit Raw data'!BZ:BZ,'Audit Raw data'!J:J,B:B,'Audit Raw data'!E:E,G:G)/H583)/100,"-")</f>
        <v>-</v>
      </c>
      <c r="J583">
        <f>COUNTIFS('Audit Raw data'!AM:AM,"Yes",'Audit Raw data'!J:J,B:B,'Audit Raw data'!E:E,'Day wise agent'!G:G)</f>
        <v>0</v>
      </c>
      <c r="K583">
        <f>COUNTIFS('Audit Raw data'!AM:AM,"NO",'Audit Raw data'!J:J,B:B,'Audit Raw data'!E:E,'Day wise agent'!G:G)</f>
        <v>0</v>
      </c>
      <c r="L583" s="12" t="str">
        <f t="shared" si="19"/>
        <v xml:space="preserve"> </v>
      </c>
    </row>
    <row r="584" spans="1:12" x14ac:dyDescent="0.35">
      <c r="A584" t="str">
        <f t="shared" si="18"/>
        <v>VPS13045936</v>
      </c>
      <c r="B584" t="s">
        <v>662</v>
      </c>
      <c r="C584" t="s">
        <v>1525</v>
      </c>
      <c r="D584" s="32">
        <v>45710</v>
      </c>
      <c r="E584" t="s">
        <v>1484</v>
      </c>
      <c r="F584" t="str">
        <f>VLOOKUP(B584,'Agent wise'!A:E,5,0)</f>
        <v>Wireless</v>
      </c>
      <c r="G584" s="32">
        <v>45936</v>
      </c>
      <c r="H584">
        <f>COUNTIFS('Audit Raw data'!J:J,B:B,'Audit Raw data'!E:E,G:G)</f>
        <v>0</v>
      </c>
      <c r="I584" s="44" t="str">
        <f>IFERROR((SUMIFS('Audit Raw data'!BZ:BZ,'Audit Raw data'!J:J,B:B,'Audit Raw data'!E:E,G:G)/H584)/100,"-")</f>
        <v>-</v>
      </c>
      <c r="J584">
        <f>COUNTIFS('Audit Raw data'!AM:AM,"Yes",'Audit Raw data'!J:J,B:B,'Audit Raw data'!E:E,'Day wise agent'!G:G)</f>
        <v>0</v>
      </c>
      <c r="K584">
        <f>COUNTIFS('Audit Raw data'!AM:AM,"NO",'Audit Raw data'!J:J,B:B,'Audit Raw data'!E:E,'Day wise agent'!G:G)</f>
        <v>0</v>
      </c>
      <c r="L584" s="12" t="str">
        <f t="shared" si="19"/>
        <v xml:space="preserve"> </v>
      </c>
    </row>
    <row r="585" spans="1:12" x14ac:dyDescent="0.35">
      <c r="A585" t="str">
        <f t="shared" si="18"/>
        <v>VPS13145936</v>
      </c>
      <c r="B585" t="s">
        <v>1519</v>
      </c>
      <c r="C585" t="s">
        <v>1520</v>
      </c>
      <c r="D585" s="32">
        <v>45710</v>
      </c>
      <c r="E585" t="s">
        <v>1456</v>
      </c>
      <c r="F585" t="str">
        <f>VLOOKUP(B585,'Agent wise'!A:E,5,0)</f>
        <v>RECL</v>
      </c>
      <c r="G585" s="32">
        <v>45936</v>
      </c>
      <c r="H585">
        <f>COUNTIFS('Audit Raw data'!J:J,B:B,'Audit Raw data'!E:E,G:G)</f>
        <v>0</v>
      </c>
      <c r="I585" s="44" t="str">
        <f>IFERROR((SUMIFS('Audit Raw data'!BZ:BZ,'Audit Raw data'!J:J,B:B,'Audit Raw data'!E:E,G:G)/H585)/100,"-")</f>
        <v>-</v>
      </c>
      <c r="J585">
        <f>COUNTIFS('Audit Raw data'!AM:AM,"Yes",'Audit Raw data'!J:J,B:B,'Audit Raw data'!E:E,'Day wise agent'!G:G)</f>
        <v>0</v>
      </c>
      <c r="K585">
        <f>COUNTIFS('Audit Raw data'!AM:AM,"NO",'Audit Raw data'!J:J,B:B,'Audit Raw data'!E:E,'Day wise agent'!G:G)</f>
        <v>0</v>
      </c>
      <c r="L585" s="12" t="str">
        <f t="shared" si="19"/>
        <v xml:space="preserve"> </v>
      </c>
    </row>
    <row r="586" spans="1:12" x14ac:dyDescent="0.35">
      <c r="A586" t="str">
        <f t="shared" si="18"/>
        <v>VPS13245936</v>
      </c>
      <c r="B586" t="s">
        <v>1526</v>
      </c>
      <c r="C586" t="s">
        <v>1527</v>
      </c>
      <c r="D586" s="32">
        <v>45717</v>
      </c>
      <c r="E586" t="s">
        <v>221</v>
      </c>
      <c r="F586" t="str">
        <f>VLOOKUP(B586,'Agent wise'!A:E,5,0)</f>
        <v>Wire-line</v>
      </c>
      <c r="G586" s="32">
        <v>45936</v>
      </c>
      <c r="H586">
        <f>COUNTIFS('Audit Raw data'!J:J,B:B,'Audit Raw data'!E:E,G:G)</f>
        <v>0</v>
      </c>
      <c r="I586" s="44" t="str">
        <f>IFERROR((SUMIFS('Audit Raw data'!BZ:BZ,'Audit Raw data'!J:J,B:B,'Audit Raw data'!E:E,G:G)/H586)/100,"-")</f>
        <v>-</v>
      </c>
      <c r="J586">
        <f>COUNTIFS('Audit Raw data'!AM:AM,"Yes",'Audit Raw data'!J:J,B:B,'Audit Raw data'!E:E,'Day wise agent'!G:G)</f>
        <v>0</v>
      </c>
      <c r="K586">
        <f>COUNTIFS('Audit Raw data'!AM:AM,"NO",'Audit Raw data'!J:J,B:B,'Audit Raw data'!E:E,'Day wise agent'!G:G)</f>
        <v>0</v>
      </c>
      <c r="L586" s="12" t="str">
        <f t="shared" si="19"/>
        <v xml:space="preserve"> </v>
      </c>
    </row>
    <row r="587" spans="1:12" x14ac:dyDescent="0.35">
      <c r="A587" t="str">
        <f t="shared" si="18"/>
        <v>VPS14345936</v>
      </c>
      <c r="B587" t="s">
        <v>269</v>
      </c>
      <c r="C587" t="s">
        <v>1528</v>
      </c>
      <c r="D587" s="32">
        <v>45723</v>
      </c>
      <c r="E587" t="s">
        <v>1484</v>
      </c>
      <c r="F587" t="str">
        <f>VLOOKUP(B587,'Agent wise'!A:E,5,0)</f>
        <v>Wireless</v>
      </c>
      <c r="G587" s="32">
        <v>45936</v>
      </c>
      <c r="H587">
        <f>COUNTIFS('Audit Raw data'!J:J,B:B,'Audit Raw data'!E:E,G:G)</f>
        <v>2</v>
      </c>
      <c r="I587" s="44">
        <f>IFERROR((SUMIFS('Audit Raw data'!BZ:BZ,'Audit Raw data'!J:J,B:B,'Audit Raw data'!E:E,G:G)/H587)/100,"-")</f>
        <v>0.88</v>
      </c>
      <c r="J587">
        <f>COUNTIFS('Audit Raw data'!AM:AM,"Yes",'Audit Raw data'!J:J,B:B,'Audit Raw data'!E:E,'Day wise agent'!G:G)</f>
        <v>2</v>
      </c>
      <c r="K587">
        <f>COUNTIFS('Audit Raw data'!AM:AM,"NO",'Audit Raw data'!J:J,B:B,'Audit Raw data'!E:E,'Day wise agent'!G:G)</f>
        <v>0</v>
      </c>
      <c r="L587" s="12">
        <f t="shared" si="19"/>
        <v>1</v>
      </c>
    </row>
    <row r="588" spans="1:12" x14ac:dyDescent="0.35">
      <c r="A588" t="str">
        <f t="shared" si="18"/>
        <v>VPS15145936</v>
      </c>
      <c r="B588" t="s">
        <v>274</v>
      </c>
      <c r="C588" t="s">
        <v>1529</v>
      </c>
      <c r="D588" s="32">
        <v>45735</v>
      </c>
      <c r="E588" t="s">
        <v>107</v>
      </c>
      <c r="F588" t="str">
        <f>VLOOKUP(B588,'Agent wise'!A:E,5,0)</f>
        <v>Wireless</v>
      </c>
      <c r="G588" s="32">
        <v>45936</v>
      </c>
      <c r="H588">
        <f>COUNTIFS('Audit Raw data'!J:J,B:B,'Audit Raw data'!E:E,G:G)</f>
        <v>0</v>
      </c>
      <c r="I588" s="44" t="str">
        <f>IFERROR((SUMIFS('Audit Raw data'!BZ:BZ,'Audit Raw data'!J:J,B:B,'Audit Raw data'!E:E,G:G)/H588)/100,"-")</f>
        <v>-</v>
      </c>
      <c r="J588">
        <f>COUNTIFS('Audit Raw data'!AM:AM,"Yes",'Audit Raw data'!J:J,B:B,'Audit Raw data'!E:E,'Day wise agent'!G:G)</f>
        <v>0</v>
      </c>
      <c r="K588">
        <f>COUNTIFS('Audit Raw data'!AM:AM,"NO",'Audit Raw data'!J:J,B:B,'Audit Raw data'!E:E,'Day wise agent'!G:G)</f>
        <v>0</v>
      </c>
      <c r="L588" s="12" t="str">
        <f t="shared" si="19"/>
        <v xml:space="preserve"> </v>
      </c>
    </row>
    <row r="589" spans="1:12" x14ac:dyDescent="0.35">
      <c r="A589" t="str">
        <f t="shared" si="18"/>
        <v>VPS16045936</v>
      </c>
      <c r="B589" t="s">
        <v>258</v>
      </c>
      <c r="C589" t="s">
        <v>1530</v>
      </c>
      <c r="D589" s="32">
        <v>45748</v>
      </c>
      <c r="E589" t="s">
        <v>1484</v>
      </c>
      <c r="F589" t="str">
        <f>VLOOKUP(B589,'Agent wise'!A:E,5,0)</f>
        <v>Wireless</v>
      </c>
      <c r="G589" s="32">
        <v>45936</v>
      </c>
      <c r="H589">
        <f>COUNTIFS('Audit Raw data'!J:J,B:B,'Audit Raw data'!E:E,G:G)</f>
        <v>0</v>
      </c>
      <c r="I589" s="44" t="str">
        <f>IFERROR((SUMIFS('Audit Raw data'!BZ:BZ,'Audit Raw data'!J:J,B:B,'Audit Raw data'!E:E,G:G)/H589)/100,"-")</f>
        <v>-</v>
      </c>
      <c r="J589">
        <f>COUNTIFS('Audit Raw data'!AM:AM,"Yes",'Audit Raw data'!J:J,B:B,'Audit Raw data'!E:E,'Day wise agent'!G:G)</f>
        <v>0</v>
      </c>
      <c r="K589">
        <f>COUNTIFS('Audit Raw data'!AM:AM,"NO",'Audit Raw data'!J:J,B:B,'Audit Raw data'!E:E,'Day wise agent'!G:G)</f>
        <v>0</v>
      </c>
      <c r="L589" s="12" t="str">
        <f t="shared" si="19"/>
        <v xml:space="preserve"> </v>
      </c>
    </row>
    <row r="590" spans="1:12" x14ac:dyDescent="0.35">
      <c r="A590" t="str">
        <f t="shared" si="18"/>
        <v>VPS17145936</v>
      </c>
      <c r="B590" t="s">
        <v>307</v>
      </c>
      <c r="C590" t="s">
        <v>1531</v>
      </c>
      <c r="D590" s="32">
        <v>45767</v>
      </c>
      <c r="E590" t="s">
        <v>221</v>
      </c>
      <c r="F590" t="str">
        <f>VLOOKUP(B590,'Agent wise'!A:E,5,0)</f>
        <v>Wire-line</v>
      </c>
      <c r="G590" s="32">
        <v>45936</v>
      </c>
      <c r="H590">
        <f>COUNTIFS('Audit Raw data'!J:J,B:B,'Audit Raw data'!E:E,G:G)</f>
        <v>2</v>
      </c>
      <c r="I590" s="44">
        <f>IFERROR((SUMIFS('Audit Raw data'!BZ:BZ,'Audit Raw data'!J:J,B:B,'Audit Raw data'!E:E,G:G)/H590)/100,"-")</f>
        <v>0.92</v>
      </c>
      <c r="J590">
        <f>COUNTIFS('Audit Raw data'!AM:AM,"Yes",'Audit Raw data'!J:J,B:B,'Audit Raw data'!E:E,'Day wise agent'!G:G)</f>
        <v>2</v>
      </c>
      <c r="K590">
        <f>COUNTIFS('Audit Raw data'!AM:AM,"NO",'Audit Raw data'!J:J,B:B,'Audit Raw data'!E:E,'Day wise agent'!G:G)</f>
        <v>0</v>
      </c>
      <c r="L590" s="12">
        <f t="shared" si="19"/>
        <v>1</v>
      </c>
    </row>
    <row r="591" spans="1:12" x14ac:dyDescent="0.35">
      <c r="A591" t="str">
        <f t="shared" si="18"/>
        <v>VPS17745936</v>
      </c>
      <c r="B591" t="s">
        <v>280</v>
      </c>
      <c r="C591" t="s">
        <v>1532</v>
      </c>
      <c r="D591" s="32">
        <v>45766</v>
      </c>
      <c r="E591" t="s">
        <v>1453</v>
      </c>
      <c r="F591" t="str">
        <f>VLOOKUP(B591,'Agent wise'!A:E,5,0)</f>
        <v>Wireless</v>
      </c>
      <c r="G591" s="32">
        <v>45936</v>
      </c>
      <c r="H591">
        <f>COUNTIFS('Audit Raw data'!J:J,B:B,'Audit Raw data'!E:E,G:G)</f>
        <v>0</v>
      </c>
      <c r="I591" s="44" t="str">
        <f>IFERROR((SUMIFS('Audit Raw data'!BZ:BZ,'Audit Raw data'!J:J,B:B,'Audit Raw data'!E:E,G:G)/H591)/100,"-")</f>
        <v>-</v>
      </c>
      <c r="J591">
        <f>COUNTIFS('Audit Raw data'!AM:AM,"Yes",'Audit Raw data'!J:J,B:B,'Audit Raw data'!E:E,'Day wise agent'!G:G)</f>
        <v>0</v>
      </c>
      <c r="K591">
        <f>COUNTIFS('Audit Raw data'!AM:AM,"NO",'Audit Raw data'!J:J,B:B,'Audit Raw data'!E:E,'Day wise agent'!G:G)</f>
        <v>0</v>
      </c>
      <c r="L591" s="12" t="str">
        <f t="shared" si="19"/>
        <v xml:space="preserve"> </v>
      </c>
    </row>
    <row r="592" spans="1:12" x14ac:dyDescent="0.35">
      <c r="A592" t="str">
        <f t="shared" si="18"/>
        <v>VPS18145936</v>
      </c>
      <c r="B592" t="s">
        <v>234</v>
      </c>
      <c r="C592" t="s">
        <v>1533</v>
      </c>
      <c r="D592" s="32">
        <v>45775</v>
      </c>
      <c r="E592" t="s">
        <v>221</v>
      </c>
      <c r="F592" t="str">
        <f>VLOOKUP(B592,'Agent wise'!A:E,5,0)</f>
        <v>Wire-line</v>
      </c>
      <c r="G592" s="32">
        <v>45936</v>
      </c>
      <c r="H592">
        <f>COUNTIFS('Audit Raw data'!J:J,B:B,'Audit Raw data'!E:E,G:G)</f>
        <v>1</v>
      </c>
      <c r="I592" s="44">
        <f>IFERROR((SUMIFS('Audit Raw data'!BZ:BZ,'Audit Raw data'!J:J,B:B,'Audit Raw data'!E:E,G:G)/H592)/100,"-")</f>
        <v>0.94</v>
      </c>
      <c r="J592">
        <f>COUNTIFS('Audit Raw data'!AM:AM,"Yes",'Audit Raw data'!J:J,B:B,'Audit Raw data'!E:E,'Day wise agent'!G:G)</f>
        <v>1</v>
      </c>
      <c r="K592">
        <f>COUNTIFS('Audit Raw data'!AM:AM,"NO",'Audit Raw data'!J:J,B:B,'Audit Raw data'!E:E,'Day wise agent'!G:G)</f>
        <v>0</v>
      </c>
      <c r="L592" s="12">
        <f t="shared" si="19"/>
        <v>1</v>
      </c>
    </row>
    <row r="593" spans="1:12" x14ac:dyDescent="0.35">
      <c r="A593" t="str">
        <f t="shared" si="18"/>
        <v>VPS18245936</v>
      </c>
      <c r="B593" t="s">
        <v>568</v>
      </c>
      <c r="C593" t="s">
        <v>1534</v>
      </c>
      <c r="D593" s="32">
        <v>45797</v>
      </c>
      <c r="E593" t="s">
        <v>221</v>
      </c>
      <c r="F593" t="str">
        <f>VLOOKUP(B593,'Agent wise'!A:E,5,0)</f>
        <v>Wire-line</v>
      </c>
      <c r="G593" s="32">
        <v>45936</v>
      </c>
      <c r="H593">
        <f>COUNTIFS('Audit Raw data'!J:J,B:B,'Audit Raw data'!E:E,G:G)</f>
        <v>1</v>
      </c>
      <c r="I593" s="44">
        <f>IFERROR((SUMIFS('Audit Raw data'!BZ:BZ,'Audit Raw data'!J:J,B:B,'Audit Raw data'!E:E,G:G)/H593)/100,"-")</f>
        <v>0.92</v>
      </c>
      <c r="J593">
        <f>COUNTIFS('Audit Raw data'!AM:AM,"Yes",'Audit Raw data'!J:J,B:B,'Audit Raw data'!E:E,'Day wise agent'!G:G)</f>
        <v>1</v>
      </c>
      <c r="K593">
        <f>COUNTIFS('Audit Raw data'!AM:AM,"NO",'Audit Raw data'!J:J,B:B,'Audit Raw data'!E:E,'Day wise agent'!G:G)</f>
        <v>0</v>
      </c>
      <c r="L593" s="12">
        <f t="shared" si="19"/>
        <v>1</v>
      </c>
    </row>
    <row r="594" spans="1:12" x14ac:dyDescent="0.35">
      <c r="A594" t="str">
        <f t="shared" si="18"/>
        <v>VPS18345936</v>
      </c>
      <c r="B594" t="s">
        <v>570</v>
      </c>
      <c r="C594" t="s">
        <v>1535</v>
      </c>
      <c r="D594" s="32">
        <v>45797</v>
      </c>
      <c r="E594" t="s">
        <v>221</v>
      </c>
      <c r="F594" t="str">
        <f>VLOOKUP(B594,'Agent wise'!A:E,5,0)</f>
        <v>Wire-line</v>
      </c>
      <c r="G594" s="32">
        <v>45936</v>
      </c>
      <c r="H594">
        <f>COUNTIFS('Audit Raw data'!J:J,B:B,'Audit Raw data'!E:E,G:G)</f>
        <v>2</v>
      </c>
      <c r="I594" s="44">
        <f>IFERROR((SUMIFS('Audit Raw data'!BZ:BZ,'Audit Raw data'!J:J,B:B,'Audit Raw data'!E:E,G:G)/H594)/100,"-")</f>
        <v>0.92</v>
      </c>
      <c r="J594">
        <f>COUNTIFS('Audit Raw data'!AM:AM,"Yes",'Audit Raw data'!J:J,B:B,'Audit Raw data'!E:E,'Day wise agent'!G:G)</f>
        <v>2</v>
      </c>
      <c r="K594">
        <f>COUNTIFS('Audit Raw data'!AM:AM,"NO",'Audit Raw data'!J:J,B:B,'Audit Raw data'!E:E,'Day wise agent'!G:G)</f>
        <v>0</v>
      </c>
      <c r="L594" s="12">
        <f t="shared" si="19"/>
        <v>1</v>
      </c>
    </row>
    <row r="595" spans="1:12" x14ac:dyDescent="0.35">
      <c r="A595" t="str">
        <f t="shared" si="18"/>
        <v>VPS18445936</v>
      </c>
      <c r="B595" t="s">
        <v>117</v>
      </c>
      <c r="C595" t="s">
        <v>1536</v>
      </c>
      <c r="D595" s="32">
        <v>45809</v>
      </c>
      <c r="E595" t="s">
        <v>1453</v>
      </c>
      <c r="F595" t="str">
        <f>VLOOKUP(B595,'Agent wise'!A:E,5,0)</f>
        <v>Wireless</v>
      </c>
      <c r="G595" s="32">
        <v>45936</v>
      </c>
      <c r="H595">
        <f>COUNTIFS('Audit Raw data'!J:J,B:B,'Audit Raw data'!E:E,G:G)</f>
        <v>2</v>
      </c>
      <c r="I595" s="44">
        <f>IFERROR((SUMIFS('Audit Raw data'!BZ:BZ,'Audit Raw data'!J:J,B:B,'Audit Raw data'!E:E,G:G)/H595)/100,"-")</f>
        <v>0.91</v>
      </c>
      <c r="J595">
        <f>COUNTIFS('Audit Raw data'!AM:AM,"Yes",'Audit Raw data'!J:J,B:B,'Audit Raw data'!E:E,'Day wise agent'!G:G)</f>
        <v>2</v>
      </c>
      <c r="K595">
        <f>COUNTIFS('Audit Raw data'!AM:AM,"NO",'Audit Raw data'!J:J,B:B,'Audit Raw data'!E:E,'Day wise agent'!G:G)</f>
        <v>0</v>
      </c>
      <c r="L595" s="12">
        <f t="shared" si="19"/>
        <v>1</v>
      </c>
    </row>
    <row r="596" spans="1:12" x14ac:dyDescent="0.35">
      <c r="A596" t="str">
        <f t="shared" si="18"/>
        <v>VPS19145936</v>
      </c>
      <c r="B596" t="s">
        <v>586</v>
      </c>
      <c r="C596" t="s">
        <v>1537</v>
      </c>
      <c r="D596" s="32">
        <v>45809</v>
      </c>
      <c r="E596" t="s">
        <v>107</v>
      </c>
      <c r="F596" t="str">
        <f>VLOOKUP(B596,'Agent wise'!A:E,5,0)</f>
        <v>Wireless</v>
      </c>
      <c r="G596" s="32">
        <v>45936</v>
      </c>
      <c r="H596">
        <f>COUNTIFS('Audit Raw data'!J:J,B:B,'Audit Raw data'!E:E,G:G)</f>
        <v>0</v>
      </c>
      <c r="I596" s="44" t="str">
        <f>IFERROR((SUMIFS('Audit Raw data'!BZ:BZ,'Audit Raw data'!J:J,B:B,'Audit Raw data'!E:E,G:G)/H596)/100,"-")</f>
        <v>-</v>
      </c>
      <c r="J596">
        <f>COUNTIFS('Audit Raw data'!AM:AM,"Yes",'Audit Raw data'!J:J,B:B,'Audit Raw data'!E:E,'Day wise agent'!G:G)</f>
        <v>0</v>
      </c>
      <c r="K596">
        <f>COUNTIFS('Audit Raw data'!AM:AM,"NO",'Audit Raw data'!J:J,B:B,'Audit Raw data'!E:E,'Day wise agent'!G:G)</f>
        <v>0</v>
      </c>
      <c r="L596" s="12" t="str">
        <f t="shared" si="19"/>
        <v xml:space="preserve"> </v>
      </c>
    </row>
    <row r="597" spans="1:12" x14ac:dyDescent="0.35">
      <c r="A597" t="str">
        <f t="shared" si="18"/>
        <v>VPS19345936</v>
      </c>
      <c r="B597" t="s">
        <v>302</v>
      </c>
      <c r="C597" t="s">
        <v>1538</v>
      </c>
      <c r="D597" s="32">
        <v>45823</v>
      </c>
      <c r="E597" t="s">
        <v>107</v>
      </c>
      <c r="F597" t="str">
        <f>VLOOKUP(B597,'Agent wise'!A:E,5,0)</f>
        <v>Wireless</v>
      </c>
      <c r="G597" s="32">
        <v>45936</v>
      </c>
      <c r="H597">
        <f>COUNTIFS('Audit Raw data'!J:J,B:B,'Audit Raw data'!E:E,G:G)</f>
        <v>1</v>
      </c>
      <c r="I597" s="44">
        <f>IFERROR((SUMIFS('Audit Raw data'!BZ:BZ,'Audit Raw data'!J:J,B:B,'Audit Raw data'!E:E,G:G)/H597)/100,"-")</f>
        <v>0.96</v>
      </c>
      <c r="J597">
        <f>COUNTIFS('Audit Raw data'!AM:AM,"Yes",'Audit Raw data'!J:J,B:B,'Audit Raw data'!E:E,'Day wise agent'!G:G)</f>
        <v>1</v>
      </c>
      <c r="K597">
        <f>COUNTIFS('Audit Raw data'!AM:AM,"NO",'Audit Raw data'!J:J,B:B,'Audit Raw data'!E:E,'Day wise agent'!G:G)</f>
        <v>0</v>
      </c>
      <c r="L597" s="12">
        <f t="shared" si="19"/>
        <v>1</v>
      </c>
    </row>
    <row r="598" spans="1:12" x14ac:dyDescent="0.35">
      <c r="A598" t="str">
        <f t="shared" si="18"/>
        <v>VPS19745936</v>
      </c>
      <c r="B598" t="s">
        <v>665</v>
      </c>
      <c r="C598" t="s">
        <v>1539</v>
      </c>
      <c r="D598" s="32">
        <v>45830</v>
      </c>
      <c r="E598" t="s">
        <v>178</v>
      </c>
      <c r="F598" t="str">
        <f>VLOOKUP(B598,'Agent wise'!A:E,5,0)</f>
        <v>Wireless</v>
      </c>
      <c r="G598" s="32">
        <v>45936</v>
      </c>
      <c r="H598">
        <f>COUNTIFS('Audit Raw data'!J:J,B:B,'Audit Raw data'!E:E,G:G)</f>
        <v>0</v>
      </c>
      <c r="I598" s="44" t="str">
        <f>IFERROR((SUMIFS('Audit Raw data'!BZ:BZ,'Audit Raw data'!J:J,B:B,'Audit Raw data'!E:E,G:G)/H598)/100,"-")</f>
        <v>-</v>
      </c>
      <c r="J598">
        <f>COUNTIFS('Audit Raw data'!AM:AM,"Yes",'Audit Raw data'!J:J,B:B,'Audit Raw data'!E:E,'Day wise agent'!G:G)</f>
        <v>0</v>
      </c>
      <c r="K598">
        <f>COUNTIFS('Audit Raw data'!AM:AM,"NO",'Audit Raw data'!J:J,B:B,'Audit Raw data'!E:E,'Day wise agent'!G:G)</f>
        <v>0</v>
      </c>
      <c r="L598" s="12" t="str">
        <f t="shared" si="19"/>
        <v xml:space="preserve"> </v>
      </c>
    </row>
    <row r="599" spans="1:12" x14ac:dyDescent="0.35">
      <c r="A599" t="str">
        <f t="shared" si="18"/>
        <v>VPS20145936</v>
      </c>
      <c r="B599" t="s">
        <v>439</v>
      </c>
      <c r="C599" t="s">
        <v>1540</v>
      </c>
      <c r="D599" s="32">
        <v>45834</v>
      </c>
      <c r="E599" t="s">
        <v>1453</v>
      </c>
      <c r="F599" t="str">
        <f>VLOOKUP(B599,'Agent wise'!A:E,5,0)</f>
        <v>Wireless</v>
      </c>
      <c r="G599" s="32">
        <v>45936</v>
      </c>
      <c r="H599">
        <f>COUNTIFS('Audit Raw data'!J:J,B:B,'Audit Raw data'!E:E,G:G)</f>
        <v>1</v>
      </c>
      <c r="I599" s="44">
        <f>IFERROR((SUMIFS('Audit Raw data'!BZ:BZ,'Audit Raw data'!J:J,B:B,'Audit Raw data'!E:E,G:G)/H599)/100,"-")</f>
        <v>0.76</v>
      </c>
      <c r="J599">
        <f>COUNTIFS('Audit Raw data'!AM:AM,"Yes",'Audit Raw data'!J:J,B:B,'Audit Raw data'!E:E,'Day wise agent'!G:G)</f>
        <v>1</v>
      </c>
      <c r="K599">
        <f>COUNTIFS('Audit Raw data'!AM:AM,"NO",'Audit Raw data'!J:J,B:B,'Audit Raw data'!E:E,'Day wise agent'!G:G)</f>
        <v>0</v>
      </c>
      <c r="L599" s="12">
        <f t="shared" si="19"/>
        <v>1</v>
      </c>
    </row>
    <row r="600" spans="1:12" x14ac:dyDescent="0.35">
      <c r="A600" t="str">
        <f t="shared" si="18"/>
        <v>VPS20445936</v>
      </c>
      <c r="B600" t="s">
        <v>749</v>
      </c>
      <c r="C600" t="s">
        <v>1542</v>
      </c>
      <c r="D600" s="32">
        <v>45840</v>
      </c>
      <c r="E600" t="s">
        <v>1484</v>
      </c>
      <c r="F600" t="str">
        <f>VLOOKUP(B600,'Agent wise'!A:E,5,0)</f>
        <v>Wireless</v>
      </c>
      <c r="G600" s="32">
        <v>45936</v>
      </c>
      <c r="H600">
        <f>COUNTIFS('Audit Raw data'!J:J,B:B,'Audit Raw data'!E:E,G:G)</f>
        <v>2</v>
      </c>
      <c r="I600" s="44">
        <f>IFERROR((SUMIFS('Audit Raw data'!BZ:BZ,'Audit Raw data'!J:J,B:B,'Audit Raw data'!E:E,G:G)/H600)/100,"-")</f>
        <v>0.95</v>
      </c>
      <c r="J600">
        <f>COUNTIFS('Audit Raw data'!AM:AM,"Yes",'Audit Raw data'!J:J,B:B,'Audit Raw data'!E:E,'Day wise agent'!G:G)</f>
        <v>2</v>
      </c>
      <c r="K600">
        <f>COUNTIFS('Audit Raw data'!AM:AM,"NO",'Audit Raw data'!J:J,B:B,'Audit Raw data'!E:E,'Day wise agent'!G:G)</f>
        <v>0</v>
      </c>
      <c r="L600" s="12">
        <f t="shared" si="19"/>
        <v>1</v>
      </c>
    </row>
    <row r="601" spans="1:12" x14ac:dyDescent="0.35">
      <c r="A601" t="str">
        <f t="shared" si="18"/>
        <v>VPS20645936</v>
      </c>
      <c r="B601" t="s">
        <v>427</v>
      </c>
      <c r="C601" t="s">
        <v>1541</v>
      </c>
      <c r="D601" s="32">
        <v>45840</v>
      </c>
      <c r="E601" t="s">
        <v>107</v>
      </c>
      <c r="F601" t="str">
        <f>VLOOKUP(B601,'Agent wise'!A:E,5,0)</f>
        <v>Wireless</v>
      </c>
      <c r="G601" s="32">
        <v>45936</v>
      </c>
      <c r="H601">
        <f>COUNTIFS('Audit Raw data'!J:J,B:B,'Audit Raw data'!E:E,G:G)</f>
        <v>2</v>
      </c>
      <c r="I601" s="44">
        <f>IFERROR((SUMIFS('Audit Raw data'!BZ:BZ,'Audit Raw data'!J:J,B:B,'Audit Raw data'!E:E,G:G)/H601)/100,"-")</f>
        <v>0.96</v>
      </c>
      <c r="J601">
        <f>COUNTIFS('Audit Raw data'!AM:AM,"Yes",'Audit Raw data'!J:J,B:B,'Audit Raw data'!E:E,'Day wise agent'!G:G)</f>
        <v>2</v>
      </c>
      <c r="K601">
        <f>COUNTIFS('Audit Raw data'!AM:AM,"NO",'Audit Raw data'!J:J,B:B,'Audit Raw data'!E:E,'Day wise agent'!G:G)</f>
        <v>0</v>
      </c>
      <c r="L601" s="12">
        <f t="shared" si="19"/>
        <v>1</v>
      </c>
    </row>
    <row r="602" spans="1:12" x14ac:dyDescent="0.35">
      <c r="A602" t="str">
        <f t="shared" si="18"/>
        <v>VPS20945936</v>
      </c>
      <c r="B602" t="s">
        <v>528</v>
      </c>
      <c r="C602" t="s">
        <v>1543</v>
      </c>
      <c r="D602" s="32">
        <v>45856</v>
      </c>
      <c r="E602" t="s">
        <v>178</v>
      </c>
      <c r="F602" t="str">
        <f>VLOOKUP(B602,'Agent wise'!A:E,5,0)</f>
        <v>Wireless</v>
      </c>
      <c r="G602" s="32">
        <v>45936</v>
      </c>
      <c r="H602">
        <f>COUNTIFS('Audit Raw data'!J:J,B:B,'Audit Raw data'!E:E,G:G)</f>
        <v>1</v>
      </c>
      <c r="I602" s="44">
        <f>IFERROR((SUMIFS('Audit Raw data'!BZ:BZ,'Audit Raw data'!J:J,B:B,'Audit Raw data'!E:E,G:G)/H602)/100,"-")</f>
        <v>0.88</v>
      </c>
      <c r="J602">
        <f>COUNTIFS('Audit Raw data'!AM:AM,"Yes",'Audit Raw data'!J:J,B:B,'Audit Raw data'!E:E,'Day wise agent'!G:G)</f>
        <v>1</v>
      </c>
      <c r="K602">
        <f>COUNTIFS('Audit Raw data'!AM:AM,"NO",'Audit Raw data'!J:J,B:B,'Audit Raw data'!E:E,'Day wise agent'!G:G)</f>
        <v>0</v>
      </c>
      <c r="L602" s="12">
        <f t="shared" si="19"/>
        <v>1</v>
      </c>
    </row>
    <row r="603" spans="1:12" x14ac:dyDescent="0.35">
      <c r="A603" t="str">
        <f t="shared" si="18"/>
        <v>VPS21045936</v>
      </c>
      <c r="B603" t="s">
        <v>589</v>
      </c>
      <c r="C603" t="s">
        <v>1544</v>
      </c>
      <c r="D603" s="32">
        <v>45856</v>
      </c>
      <c r="E603" t="s">
        <v>107</v>
      </c>
      <c r="F603" t="str">
        <f>VLOOKUP(B603,'Agent wise'!A:E,5,0)</f>
        <v>Wireless</v>
      </c>
      <c r="G603" s="32">
        <v>45936</v>
      </c>
      <c r="H603">
        <f>COUNTIFS('Audit Raw data'!J:J,B:B,'Audit Raw data'!E:E,G:G)</f>
        <v>0</v>
      </c>
      <c r="I603" s="44" t="str">
        <f>IFERROR((SUMIFS('Audit Raw data'!BZ:BZ,'Audit Raw data'!J:J,B:B,'Audit Raw data'!E:E,G:G)/H603)/100,"-")</f>
        <v>-</v>
      </c>
      <c r="J603">
        <f>COUNTIFS('Audit Raw data'!AM:AM,"Yes",'Audit Raw data'!J:J,B:B,'Audit Raw data'!E:E,'Day wise agent'!G:G)</f>
        <v>0</v>
      </c>
      <c r="K603">
        <f>COUNTIFS('Audit Raw data'!AM:AM,"NO",'Audit Raw data'!J:J,B:B,'Audit Raw data'!E:E,'Day wise agent'!G:G)</f>
        <v>0</v>
      </c>
      <c r="L603" s="12" t="str">
        <f t="shared" si="19"/>
        <v xml:space="preserve"> </v>
      </c>
    </row>
    <row r="604" spans="1:12" x14ac:dyDescent="0.35">
      <c r="A604" t="str">
        <f t="shared" si="18"/>
        <v>VPS21145936</v>
      </c>
      <c r="B604" t="s">
        <v>367</v>
      </c>
      <c r="C604" t="s">
        <v>1545</v>
      </c>
      <c r="D604" s="32">
        <v>45855</v>
      </c>
      <c r="E604" t="s">
        <v>1453</v>
      </c>
      <c r="F604" t="str">
        <f>VLOOKUP(B604,'Agent wise'!A:E,5,0)</f>
        <v>Wireless</v>
      </c>
      <c r="G604" s="32">
        <v>45936</v>
      </c>
      <c r="H604">
        <f>COUNTIFS('Audit Raw data'!J:J,B:B,'Audit Raw data'!E:E,G:G)</f>
        <v>1</v>
      </c>
      <c r="I604" s="44">
        <f>IFERROR((SUMIFS('Audit Raw data'!BZ:BZ,'Audit Raw data'!J:J,B:B,'Audit Raw data'!E:E,G:G)/H604)/100,"-")</f>
        <v>0.92</v>
      </c>
      <c r="J604">
        <f>COUNTIFS('Audit Raw data'!AM:AM,"Yes",'Audit Raw data'!J:J,B:B,'Audit Raw data'!E:E,'Day wise agent'!G:G)</f>
        <v>1</v>
      </c>
      <c r="K604">
        <f>COUNTIFS('Audit Raw data'!AM:AM,"NO",'Audit Raw data'!J:J,B:B,'Audit Raw data'!E:E,'Day wise agent'!G:G)</f>
        <v>0</v>
      </c>
      <c r="L604" s="12">
        <f t="shared" si="19"/>
        <v>1</v>
      </c>
    </row>
    <row r="605" spans="1:12" x14ac:dyDescent="0.35">
      <c r="A605" t="str">
        <f t="shared" si="18"/>
        <v>VPS21345936</v>
      </c>
      <c r="B605" t="s">
        <v>493</v>
      </c>
      <c r="C605" t="s">
        <v>1546</v>
      </c>
      <c r="D605" s="32">
        <v>45856</v>
      </c>
      <c r="E605" t="s">
        <v>1453</v>
      </c>
      <c r="F605" t="str">
        <f>VLOOKUP(B605,'Agent wise'!A:E,5,0)</f>
        <v>Wireless</v>
      </c>
      <c r="G605" s="32">
        <v>45936</v>
      </c>
      <c r="H605">
        <f>COUNTIFS('Audit Raw data'!J:J,B:B,'Audit Raw data'!E:E,G:G)</f>
        <v>1</v>
      </c>
      <c r="I605" s="44">
        <f>IFERROR((SUMIFS('Audit Raw data'!BZ:BZ,'Audit Raw data'!J:J,B:B,'Audit Raw data'!E:E,G:G)/H605)/100,"-")</f>
        <v>0.86</v>
      </c>
      <c r="J605">
        <f>COUNTIFS('Audit Raw data'!AM:AM,"Yes",'Audit Raw data'!J:J,B:B,'Audit Raw data'!E:E,'Day wise agent'!G:G)</f>
        <v>1</v>
      </c>
      <c r="K605">
        <f>COUNTIFS('Audit Raw data'!AM:AM,"NO",'Audit Raw data'!J:J,B:B,'Audit Raw data'!E:E,'Day wise agent'!G:G)</f>
        <v>0</v>
      </c>
      <c r="L605" s="12">
        <f t="shared" si="19"/>
        <v>1</v>
      </c>
    </row>
    <row r="606" spans="1:12" x14ac:dyDescent="0.35">
      <c r="A606" t="str">
        <f t="shared" si="18"/>
        <v>VPS21445936</v>
      </c>
      <c r="B606" t="s">
        <v>480</v>
      </c>
      <c r="C606" t="s">
        <v>1547</v>
      </c>
      <c r="D606" s="32">
        <v>45855</v>
      </c>
      <c r="E606" t="s">
        <v>107</v>
      </c>
      <c r="F606" t="str">
        <f>VLOOKUP(B606,'Agent wise'!A:E,5,0)</f>
        <v>Wireless</v>
      </c>
      <c r="G606" s="32">
        <v>45936</v>
      </c>
      <c r="H606">
        <f>COUNTIFS('Audit Raw data'!J:J,B:B,'Audit Raw data'!E:E,G:G)</f>
        <v>0</v>
      </c>
      <c r="I606" s="44" t="str">
        <f>IFERROR((SUMIFS('Audit Raw data'!BZ:BZ,'Audit Raw data'!J:J,B:B,'Audit Raw data'!E:E,G:G)/H606)/100,"-")</f>
        <v>-</v>
      </c>
      <c r="J606">
        <f>COUNTIFS('Audit Raw data'!AM:AM,"Yes",'Audit Raw data'!J:J,B:B,'Audit Raw data'!E:E,'Day wise agent'!G:G)</f>
        <v>0</v>
      </c>
      <c r="K606">
        <f>COUNTIFS('Audit Raw data'!AM:AM,"NO",'Audit Raw data'!J:J,B:B,'Audit Raw data'!E:E,'Day wise agent'!G:G)</f>
        <v>0</v>
      </c>
      <c r="L606" s="12" t="str">
        <f t="shared" si="19"/>
        <v xml:space="preserve"> </v>
      </c>
    </row>
    <row r="607" spans="1:12" x14ac:dyDescent="0.35">
      <c r="A607" t="str">
        <f t="shared" si="18"/>
        <v>VPS21545936</v>
      </c>
      <c r="B607" t="s">
        <v>521</v>
      </c>
      <c r="C607" t="s">
        <v>1548</v>
      </c>
      <c r="D607" s="32">
        <v>45865</v>
      </c>
      <c r="E607" t="s">
        <v>178</v>
      </c>
      <c r="F607" t="str">
        <f>VLOOKUP(B607,'Agent wise'!A:E,5,0)</f>
        <v>Wireless</v>
      </c>
      <c r="G607" s="32">
        <v>45936</v>
      </c>
      <c r="H607">
        <f>COUNTIFS('Audit Raw data'!J:J,B:B,'Audit Raw data'!E:E,G:G)</f>
        <v>0</v>
      </c>
      <c r="I607" s="44" t="str">
        <f>IFERROR((SUMIFS('Audit Raw data'!BZ:BZ,'Audit Raw data'!J:J,B:B,'Audit Raw data'!E:E,G:G)/H607)/100,"-")</f>
        <v>-</v>
      </c>
      <c r="J607">
        <f>COUNTIFS('Audit Raw data'!AM:AM,"Yes",'Audit Raw data'!J:J,B:B,'Audit Raw data'!E:E,'Day wise agent'!G:G)</f>
        <v>0</v>
      </c>
      <c r="K607">
        <f>COUNTIFS('Audit Raw data'!AM:AM,"NO",'Audit Raw data'!J:J,B:B,'Audit Raw data'!E:E,'Day wise agent'!G:G)</f>
        <v>0</v>
      </c>
      <c r="L607" s="12" t="str">
        <f t="shared" si="19"/>
        <v xml:space="preserve"> </v>
      </c>
    </row>
    <row r="608" spans="1:12" x14ac:dyDescent="0.35">
      <c r="A608" t="str">
        <f t="shared" si="18"/>
        <v>VPS21645936</v>
      </c>
      <c r="B608" t="s">
        <v>154</v>
      </c>
      <c r="C608" t="s">
        <v>1549</v>
      </c>
      <c r="D608" s="32">
        <v>45865</v>
      </c>
      <c r="E608" t="s">
        <v>107</v>
      </c>
      <c r="F608" t="str">
        <f>VLOOKUP(B608,'Agent wise'!A:E,5,0)</f>
        <v>Wireless</v>
      </c>
      <c r="G608" s="32">
        <v>45936</v>
      </c>
      <c r="H608">
        <f>COUNTIFS('Audit Raw data'!J:J,B:B,'Audit Raw data'!E:E,G:G)</f>
        <v>0</v>
      </c>
      <c r="I608" s="44" t="str">
        <f>IFERROR((SUMIFS('Audit Raw data'!BZ:BZ,'Audit Raw data'!J:J,B:B,'Audit Raw data'!E:E,G:G)/H608)/100,"-")</f>
        <v>-</v>
      </c>
      <c r="J608">
        <f>COUNTIFS('Audit Raw data'!AM:AM,"Yes",'Audit Raw data'!J:J,B:B,'Audit Raw data'!E:E,'Day wise agent'!G:G)</f>
        <v>0</v>
      </c>
      <c r="K608">
        <f>COUNTIFS('Audit Raw data'!AM:AM,"NO",'Audit Raw data'!J:J,B:B,'Audit Raw data'!E:E,'Day wise agent'!G:G)</f>
        <v>0</v>
      </c>
      <c r="L608" s="12" t="str">
        <f t="shared" si="19"/>
        <v xml:space="preserve"> </v>
      </c>
    </row>
    <row r="609" spans="1:12" x14ac:dyDescent="0.35">
      <c r="A609" t="str">
        <f t="shared" si="18"/>
        <v>VPS21745936</v>
      </c>
      <c r="B609" t="s">
        <v>519</v>
      </c>
      <c r="C609" t="s">
        <v>1550</v>
      </c>
      <c r="D609" s="32">
        <v>45865</v>
      </c>
      <c r="E609" t="s">
        <v>178</v>
      </c>
      <c r="F609" t="str">
        <f>VLOOKUP(B609,'Agent wise'!A:E,5,0)</f>
        <v>Wireless</v>
      </c>
      <c r="G609" s="32">
        <v>45936</v>
      </c>
      <c r="H609">
        <f>COUNTIFS('Audit Raw data'!J:J,B:B,'Audit Raw data'!E:E,G:G)</f>
        <v>0</v>
      </c>
      <c r="I609" s="44" t="str">
        <f>IFERROR((SUMIFS('Audit Raw data'!BZ:BZ,'Audit Raw data'!J:J,B:B,'Audit Raw data'!E:E,G:G)/H609)/100,"-")</f>
        <v>-</v>
      </c>
      <c r="J609">
        <f>COUNTIFS('Audit Raw data'!AM:AM,"Yes",'Audit Raw data'!J:J,B:B,'Audit Raw data'!E:E,'Day wise agent'!G:G)</f>
        <v>0</v>
      </c>
      <c r="K609">
        <f>COUNTIFS('Audit Raw data'!AM:AM,"NO",'Audit Raw data'!J:J,B:B,'Audit Raw data'!E:E,'Day wise agent'!G:G)</f>
        <v>0</v>
      </c>
      <c r="L609" s="12" t="str">
        <f t="shared" si="19"/>
        <v xml:space="preserve"> </v>
      </c>
    </row>
    <row r="610" spans="1:12" x14ac:dyDescent="0.35">
      <c r="A610" t="str">
        <f t="shared" si="18"/>
        <v>VPS22845936</v>
      </c>
      <c r="B610" t="s">
        <v>341</v>
      </c>
      <c r="C610" t="s">
        <v>1551</v>
      </c>
      <c r="D610" s="32">
        <v>45881</v>
      </c>
      <c r="E610" t="s">
        <v>178</v>
      </c>
      <c r="F610" t="str">
        <f>VLOOKUP(B610,'Agent wise'!A:E,5,0)</f>
        <v>Wireless</v>
      </c>
      <c r="G610" s="32">
        <v>45936</v>
      </c>
      <c r="H610">
        <f>COUNTIFS('Audit Raw data'!J:J,B:B,'Audit Raw data'!E:E,G:G)</f>
        <v>0</v>
      </c>
      <c r="I610" s="44" t="str">
        <f>IFERROR((SUMIFS('Audit Raw data'!BZ:BZ,'Audit Raw data'!J:J,B:B,'Audit Raw data'!E:E,G:G)/H610)/100,"-")</f>
        <v>-</v>
      </c>
      <c r="J610">
        <f>COUNTIFS('Audit Raw data'!AM:AM,"Yes",'Audit Raw data'!J:J,B:B,'Audit Raw data'!E:E,'Day wise agent'!G:G)</f>
        <v>0</v>
      </c>
      <c r="K610">
        <f>COUNTIFS('Audit Raw data'!AM:AM,"NO",'Audit Raw data'!J:J,B:B,'Audit Raw data'!E:E,'Day wise agent'!G:G)</f>
        <v>0</v>
      </c>
      <c r="L610" s="12" t="str">
        <f t="shared" si="19"/>
        <v xml:space="preserve"> </v>
      </c>
    </row>
    <row r="611" spans="1:12" x14ac:dyDescent="0.35">
      <c r="A611" t="str">
        <f t="shared" si="18"/>
        <v>VPS22945936</v>
      </c>
      <c r="B611" t="s">
        <v>173</v>
      </c>
      <c r="C611" t="s">
        <v>1552</v>
      </c>
      <c r="D611" s="32">
        <v>45880</v>
      </c>
      <c r="E611" t="s">
        <v>107</v>
      </c>
      <c r="F611" t="str">
        <f>VLOOKUP(B611,'Agent wise'!A:E,5,0)</f>
        <v>Wireless</v>
      </c>
      <c r="G611" s="32">
        <v>45936</v>
      </c>
      <c r="H611">
        <f>COUNTIFS('Audit Raw data'!J:J,B:B,'Audit Raw data'!E:E,G:G)</f>
        <v>0</v>
      </c>
      <c r="I611" s="44" t="str">
        <f>IFERROR((SUMIFS('Audit Raw data'!BZ:BZ,'Audit Raw data'!J:J,B:B,'Audit Raw data'!E:E,G:G)/H611)/100,"-")</f>
        <v>-</v>
      </c>
      <c r="J611">
        <f>COUNTIFS('Audit Raw data'!AM:AM,"Yes",'Audit Raw data'!J:J,B:B,'Audit Raw data'!E:E,'Day wise agent'!G:G)</f>
        <v>0</v>
      </c>
      <c r="K611">
        <f>COUNTIFS('Audit Raw data'!AM:AM,"NO",'Audit Raw data'!J:J,B:B,'Audit Raw data'!E:E,'Day wise agent'!G:G)</f>
        <v>0</v>
      </c>
      <c r="L611" s="12" t="str">
        <f t="shared" si="19"/>
        <v xml:space="preserve"> </v>
      </c>
    </row>
    <row r="612" spans="1:12" x14ac:dyDescent="0.35">
      <c r="A612" t="str">
        <f t="shared" si="18"/>
        <v>VPS23045936</v>
      </c>
      <c r="B612" t="s">
        <v>335</v>
      </c>
      <c r="C612" t="s">
        <v>1553</v>
      </c>
      <c r="D612" s="32">
        <v>45880</v>
      </c>
      <c r="E612" t="s">
        <v>1484</v>
      </c>
      <c r="F612" t="str">
        <f>VLOOKUP(B612,'Agent wise'!A:E,5,0)</f>
        <v>Wireless</v>
      </c>
      <c r="G612" s="32">
        <v>45936</v>
      </c>
      <c r="H612">
        <f>COUNTIFS('Audit Raw data'!J:J,B:B,'Audit Raw data'!E:E,G:G)</f>
        <v>1</v>
      </c>
      <c r="I612" s="44">
        <f>IFERROR((SUMIFS('Audit Raw data'!BZ:BZ,'Audit Raw data'!J:J,B:B,'Audit Raw data'!E:E,G:G)/H612)/100,"-")</f>
        <v>0.88</v>
      </c>
      <c r="J612">
        <f>COUNTIFS('Audit Raw data'!AM:AM,"Yes",'Audit Raw data'!J:J,B:B,'Audit Raw data'!E:E,'Day wise agent'!G:G)</f>
        <v>1</v>
      </c>
      <c r="K612">
        <f>COUNTIFS('Audit Raw data'!AM:AM,"NO",'Audit Raw data'!J:J,B:B,'Audit Raw data'!E:E,'Day wise agent'!G:G)</f>
        <v>0</v>
      </c>
      <c r="L612" s="12">
        <f t="shared" si="19"/>
        <v>1</v>
      </c>
    </row>
    <row r="613" spans="1:12" x14ac:dyDescent="0.35">
      <c r="A613" t="str">
        <f t="shared" si="18"/>
        <v>VPS23545936</v>
      </c>
      <c r="B613" t="s">
        <v>317</v>
      </c>
      <c r="C613" t="s">
        <v>1554</v>
      </c>
      <c r="D613" s="32">
        <v>45897</v>
      </c>
      <c r="E613" t="s">
        <v>178</v>
      </c>
      <c r="F613" t="str">
        <f>VLOOKUP(B613,'Agent wise'!A:E,5,0)</f>
        <v>Wireless</v>
      </c>
      <c r="G613" s="32">
        <v>45936</v>
      </c>
      <c r="H613">
        <f>COUNTIFS('Audit Raw data'!J:J,B:B,'Audit Raw data'!E:E,G:G)</f>
        <v>0</v>
      </c>
      <c r="I613" s="44" t="str">
        <f>IFERROR((SUMIFS('Audit Raw data'!BZ:BZ,'Audit Raw data'!J:J,B:B,'Audit Raw data'!E:E,G:G)/H613)/100,"-")</f>
        <v>-</v>
      </c>
      <c r="J613">
        <f>COUNTIFS('Audit Raw data'!AM:AM,"Yes",'Audit Raw data'!J:J,B:B,'Audit Raw data'!E:E,'Day wise agent'!G:G)</f>
        <v>0</v>
      </c>
      <c r="K613">
        <f>COUNTIFS('Audit Raw data'!AM:AM,"NO",'Audit Raw data'!J:J,B:B,'Audit Raw data'!E:E,'Day wise agent'!G:G)</f>
        <v>0</v>
      </c>
      <c r="L613" s="12" t="str">
        <f t="shared" si="19"/>
        <v xml:space="preserve"> </v>
      </c>
    </row>
    <row r="614" spans="1:12" x14ac:dyDescent="0.35">
      <c r="A614" t="str">
        <f t="shared" si="18"/>
        <v>VPS23645936</v>
      </c>
      <c r="B614" t="s">
        <v>370</v>
      </c>
      <c r="C614" t="s">
        <v>1555</v>
      </c>
      <c r="D614" s="32">
        <v>45897</v>
      </c>
      <c r="E614" t="s">
        <v>1453</v>
      </c>
      <c r="F614" t="str">
        <f>VLOOKUP(B614,'Agent wise'!A:E,5,0)</f>
        <v>Wireless</v>
      </c>
      <c r="G614" s="32">
        <v>45936</v>
      </c>
      <c r="H614">
        <f>COUNTIFS('Audit Raw data'!J:J,B:B,'Audit Raw data'!E:E,G:G)</f>
        <v>1</v>
      </c>
      <c r="I614" s="44">
        <f>IFERROR((SUMIFS('Audit Raw data'!BZ:BZ,'Audit Raw data'!J:J,B:B,'Audit Raw data'!E:E,G:G)/H614)/100,"-")</f>
        <v>0.88</v>
      </c>
      <c r="J614">
        <f>COUNTIFS('Audit Raw data'!AM:AM,"Yes",'Audit Raw data'!J:J,B:B,'Audit Raw data'!E:E,'Day wise agent'!G:G)</f>
        <v>1</v>
      </c>
      <c r="K614">
        <f>COUNTIFS('Audit Raw data'!AM:AM,"NO",'Audit Raw data'!J:J,B:B,'Audit Raw data'!E:E,'Day wise agent'!G:G)</f>
        <v>0</v>
      </c>
      <c r="L614" s="12">
        <f t="shared" si="19"/>
        <v>1</v>
      </c>
    </row>
    <row r="615" spans="1:12" x14ac:dyDescent="0.35">
      <c r="A615" t="str">
        <f t="shared" si="18"/>
        <v>VPS23745936</v>
      </c>
      <c r="B615" t="s">
        <v>159</v>
      </c>
      <c r="C615" t="s">
        <v>1556</v>
      </c>
      <c r="D615" s="32">
        <v>45897</v>
      </c>
      <c r="E615" t="s">
        <v>107</v>
      </c>
      <c r="F615" t="str">
        <f>VLOOKUP(B615,'Agent wise'!A:E,5,0)</f>
        <v>Wireless</v>
      </c>
      <c r="G615" s="32">
        <v>45936</v>
      </c>
      <c r="H615">
        <f>COUNTIFS('Audit Raw data'!J:J,B:B,'Audit Raw data'!E:E,G:G)</f>
        <v>0</v>
      </c>
      <c r="I615" s="44" t="str">
        <f>IFERROR((SUMIFS('Audit Raw data'!BZ:BZ,'Audit Raw data'!J:J,B:B,'Audit Raw data'!E:E,G:G)/H615)/100,"-")</f>
        <v>-</v>
      </c>
      <c r="J615">
        <f>COUNTIFS('Audit Raw data'!AM:AM,"Yes",'Audit Raw data'!J:J,B:B,'Audit Raw data'!E:E,'Day wise agent'!G:G)</f>
        <v>0</v>
      </c>
      <c r="K615">
        <f>COUNTIFS('Audit Raw data'!AM:AM,"NO",'Audit Raw data'!J:J,B:B,'Audit Raw data'!E:E,'Day wise agent'!G:G)</f>
        <v>0</v>
      </c>
      <c r="L615" s="12" t="str">
        <f t="shared" si="19"/>
        <v xml:space="preserve"> </v>
      </c>
    </row>
    <row r="616" spans="1:12" x14ac:dyDescent="0.35">
      <c r="A616" t="str">
        <f t="shared" si="18"/>
        <v>VPS23945936</v>
      </c>
      <c r="B616" t="s">
        <v>484</v>
      </c>
      <c r="C616" t="s">
        <v>1468</v>
      </c>
      <c r="D616" s="32">
        <v>44942</v>
      </c>
      <c r="E616" t="s">
        <v>178</v>
      </c>
      <c r="F616" t="str">
        <f>VLOOKUP(B616,'Agent wise'!A:E,5,0)</f>
        <v>Wireless</v>
      </c>
      <c r="G616" s="32">
        <v>45936</v>
      </c>
      <c r="H616">
        <f>COUNTIFS('Audit Raw data'!J:J,B:B,'Audit Raw data'!E:E,G:G)</f>
        <v>0</v>
      </c>
      <c r="I616" s="44" t="str">
        <f>IFERROR((SUMIFS('Audit Raw data'!BZ:BZ,'Audit Raw data'!J:J,B:B,'Audit Raw data'!E:E,G:G)/H616)/100,"-")</f>
        <v>-</v>
      </c>
      <c r="J616">
        <f>COUNTIFS('Audit Raw data'!AM:AM,"Yes",'Audit Raw data'!J:J,B:B,'Audit Raw data'!E:E,'Day wise agent'!G:G)</f>
        <v>0</v>
      </c>
      <c r="K616">
        <f>COUNTIFS('Audit Raw data'!AM:AM,"NO",'Audit Raw data'!J:J,B:B,'Audit Raw data'!E:E,'Day wise agent'!G:G)</f>
        <v>0</v>
      </c>
      <c r="L616" s="12" t="str">
        <f t="shared" si="19"/>
        <v xml:space="preserve"> </v>
      </c>
    </row>
    <row r="617" spans="1:12" x14ac:dyDescent="0.35">
      <c r="A617" t="str">
        <f t="shared" si="18"/>
        <v>VPS24045936</v>
      </c>
      <c r="B617" t="s">
        <v>291</v>
      </c>
      <c r="C617" t="s">
        <v>1557</v>
      </c>
      <c r="D617" s="32">
        <v>45907</v>
      </c>
      <c r="E617" t="s">
        <v>1484</v>
      </c>
      <c r="F617" t="str">
        <f>VLOOKUP(B617,'Agent wise'!A:E,5,0)</f>
        <v>Wireless</v>
      </c>
      <c r="G617" s="32">
        <v>45936</v>
      </c>
      <c r="H617">
        <f>COUNTIFS('Audit Raw data'!J:J,B:B,'Audit Raw data'!E:E,G:G)</f>
        <v>1</v>
      </c>
      <c r="I617" s="44">
        <f>IFERROR((SUMIFS('Audit Raw data'!BZ:BZ,'Audit Raw data'!J:J,B:B,'Audit Raw data'!E:E,G:G)/H617)/100,"-")</f>
        <v>0.92</v>
      </c>
      <c r="J617">
        <f>COUNTIFS('Audit Raw data'!AM:AM,"Yes",'Audit Raw data'!J:J,B:B,'Audit Raw data'!E:E,'Day wise agent'!G:G)</f>
        <v>1</v>
      </c>
      <c r="K617">
        <f>COUNTIFS('Audit Raw data'!AM:AM,"NO",'Audit Raw data'!J:J,B:B,'Audit Raw data'!E:E,'Day wise agent'!G:G)</f>
        <v>0</v>
      </c>
      <c r="L617" s="12">
        <f t="shared" si="19"/>
        <v>1</v>
      </c>
    </row>
    <row r="618" spans="1:12" x14ac:dyDescent="0.35">
      <c r="A618" t="str">
        <f t="shared" si="18"/>
        <v>VPS24245936</v>
      </c>
      <c r="B618" t="s">
        <v>326</v>
      </c>
      <c r="C618" t="s">
        <v>1510</v>
      </c>
      <c r="D618" s="32">
        <v>45908</v>
      </c>
      <c r="E618" t="s">
        <v>1453</v>
      </c>
      <c r="F618" t="str">
        <f>VLOOKUP(B618,'Agent wise'!A:E,5,0)</f>
        <v>Wireless</v>
      </c>
      <c r="G618" s="32">
        <v>45936</v>
      </c>
      <c r="H618">
        <f>COUNTIFS('Audit Raw data'!J:J,B:B,'Audit Raw data'!E:E,G:G)</f>
        <v>0</v>
      </c>
      <c r="I618" s="44" t="str">
        <f>IFERROR((SUMIFS('Audit Raw data'!BZ:BZ,'Audit Raw data'!J:J,B:B,'Audit Raw data'!E:E,G:G)/H618)/100,"-")</f>
        <v>-</v>
      </c>
      <c r="J618">
        <f>COUNTIFS('Audit Raw data'!AM:AM,"Yes",'Audit Raw data'!J:J,B:B,'Audit Raw data'!E:E,'Day wise agent'!G:G)</f>
        <v>0</v>
      </c>
      <c r="K618">
        <f>COUNTIFS('Audit Raw data'!AM:AM,"NO",'Audit Raw data'!J:J,B:B,'Audit Raw data'!E:E,'Day wise agent'!G:G)</f>
        <v>0</v>
      </c>
      <c r="L618" s="12" t="str">
        <f t="shared" si="19"/>
        <v xml:space="preserve"> </v>
      </c>
    </row>
    <row r="619" spans="1:12" x14ac:dyDescent="0.35">
      <c r="A619" t="str">
        <f t="shared" si="18"/>
        <v>VPS24345936</v>
      </c>
      <c r="B619" t="s">
        <v>321</v>
      </c>
      <c r="C619" t="s">
        <v>1558</v>
      </c>
      <c r="D619" s="32">
        <v>45907</v>
      </c>
      <c r="E619" t="s">
        <v>1453</v>
      </c>
      <c r="F619" t="str">
        <f>VLOOKUP(B619,'Agent wise'!A:E,5,0)</f>
        <v>Wireless</v>
      </c>
      <c r="G619" s="32">
        <v>45936</v>
      </c>
      <c r="H619">
        <f>COUNTIFS('Audit Raw data'!J:J,B:B,'Audit Raw data'!E:E,G:G)</f>
        <v>1</v>
      </c>
      <c r="I619" s="44">
        <f>IFERROR((SUMIFS('Audit Raw data'!BZ:BZ,'Audit Raw data'!J:J,B:B,'Audit Raw data'!E:E,G:G)/H619)/100,"-")</f>
        <v>0.9</v>
      </c>
      <c r="J619">
        <f>COUNTIFS('Audit Raw data'!AM:AM,"Yes",'Audit Raw data'!J:J,B:B,'Audit Raw data'!E:E,'Day wise agent'!G:G)</f>
        <v>1</v>
      </c>
      <c r="K619">
        <f>COUNTIFS('Audit Raw data'!AM:AM,"NO",'Audit Raw data'!J:J,B:B,'Audit Raw data'!E:E,'Day wise agent'!G:G)</f>
        <v>0</v>
      </c>
      <c r="L619" s="12">
        <f t="shared" si="19"/>
        <v>1</v>
      </c>
    </row>
    <row r="620" spans="1:12" x14ac:dyDescent="0.35">
      <c r="A620" t="str">
        <f t="shared" si="18"/>
        <v>VPS24445936</v>
      </c>
      <c r="B620" t="s">
        <v>288</v>
      </c>
      <c r="C620" t="s">
        <v>1559</v>
      </c>
      <c r="D620" s="32">
        <v>45907</v>
      </c>
      <c r="E620" t="s">
        <v>107</v>
      </c>
      <c r="F620" t="str">
        <f>VLOOKUP(B620,'Agent wise'!A:E,5,0)</f>
        <v>Wireless</v>
      </c>
      <c r="G620" s="32">
        <v>45936</v>
      </c>
      <c r="H620">
        <f>COUNTIFS('Audit Raw data'!J:J,B:B,'Audit Raw data'!E:E,G:G)</f>
        <v>0</v>
      </c>
      <c r="I620" s="44" t="str">
        <f>IFERROR((SUMIFS('Audit Raw data'!BZ:BZ,'Audit Raw data'!J:J,B:B,'Audit Raw data'!E:E,G:G)/H620)/100,"-")</f>
        <v>-</v>
      </c>
      <c r="J620">
        <f>COUNTIFS('Audit Raw data'!AM:AM,"Yes",'Audit Raw data'!J:J,B:B,'Audit Raw data'!E:E,'Day wise agent'!G:G)</f>
        <v>0</v>
      </c>
      <c r="K620">
        <f>COUNTIFS('Audit Raw data'!AM:AM,"NO",'Audit Raw data'!J:J,B:B,'Audit Raw data'!E:E,'Day wise agent'!G:G)</f>
        <v>0</v>
      </c>
      <c r="L620" s="12" t="str">
        <f t="shared" si="19"/>
        <v xml:space="preserve"> </v>
      </c>
    </row>
    <row r="621" spans="1:12" x14ac:dyDescent="0.35">
      <c r="A621" t="str">
        <f t="shared" si="18"/>
        <v>VPS24545936</v>
      </c>
      <c r="B621" t="s">
        <v>873</v>
      </c>
      <c r="C621" t="s">
        <v>1560</v>
      </c>
      <c r="D621" s="32">
        <v>45908</v>
      </c>
      <c r="E621" t="s">
        <v>1484</v>
      </c>
      <c r="F621" t="str">
        <f>VLOOKUP(B621,'Agent wise'!A:E,5,0)</f>
        <v>Wireless</v>
      </c>
      <c r="G621" s="32">
        <v>45936</v>
      </c>
      <c r="H621">
        <f>COUNTIFS('Audit Raw data'!J:J,B:B,'Audit Raw data'!E:E,G:G)</f>
        <v>2</v>
      </c>
      <c r="I621" s="44">
        <f>IFERROR((SUMIFS('Audit Raw data'!BZ:BZ,'Audit Raw data'!J:J,B:B,'Audit Raw data'!E:E,G:G)/H621)/100,"-")</f>
        <v>0.93</v>
      </c>
      <c r="J621">
        <f>COUNTIFS('Audit Raw data'!AM:AM,"Yes",'Audit Raw data'!J:J,B:B,'Audit Raw data'!E:E,'Day wise agent'!G:G)</f>
        <v>2</v>
      </c>
      <c r="K621">
        <f>COUNTIFS('Audit Raw data'!AM:AM,"NO",'Audit Raw data'!J:J,B:B,'Audit Raw data'!E:E,'Day wise agent'!G:G)</f>
        <v>0</v>
      </c>
      <c r="L621" s="12">
        <f t="shared" si="19"/>
        <v>1</v>
      </c>
    </row>
    <row r="622" spans="1:12" x14ac:dyDescent="0.35">
      <c r="A622" t="str">
        <f t="shared" si="18"/>
        <v>VPS24745936</v>
      </c>
      <c r="B622" t="s">
        <v>238</v>
      </c>
      <c r="C622" t="s">
        <v>1561</v>
      </c>
      <c r="D622" s="32">
        <v>45907</v>
      </c>
      <c r="E622" t="s">
        <v>1484</v>
      </c>
      <c r="F622" t="str">
        <f>VLOOKUP(B622,'Agent wise'!A:E,5,0)</f>
        <v>Wireless</v>
      </c>
      <c r="G622" s="32">
        <v>45936</v>
      </c>
      <c r="H622">
        <f>COUNTIFS('Audit Raw data'!J:J,B:B,'Audit Raw data'!E:E,G:G)</f>
        <v>2</v>
      </c>
      <c r="I622" s="44">
        <f>IFERROR((SUMIFS('Audit Raw data'!BZ:BZ,'Audit Raw data'!J:J,B:B,'Audit Raw data'!E:E,G:G)/H622)/100,"-")</f>
        <v>0.79</v>
      </c>
      <c r="J622">
        <f>COUNTIFS('Audit Raw data'!AM:AM,"Yes",'Audit Raw data'!J:J,B:B,'Audit Raw data'!E:E,'Day wise agent'!G:G)</f>
        <v>2</v>
      </c>
      <c r="K622">
        <f>COUNTIFS('Audit Raw data'!AM:AM,"NO",'Audit Raw data'!J:J,B:B,'Audit Raw data'!E:E,'Day wise agent'!G:G)</f>
        <v>0</v>
      </c>
      <c r="L622" s="12">
        <f t="shared" si="19"/>
        <v>1</v>
      </c>
    </row>
    <row r="623" spans="1:12" x14ac:dyDescent="0.35">
      <c r="A623" t="str">
        <f t="shared" si="18"/>
        <v>VPS24845936</v>
      </c>
      <c r="B623" t="s">
        <v>231</v>
      </c>
      <c r="C623" t="s">
        <v>1562</v>
      </c>
      <c r="D623" s="32">
        <v>45908</v>
      </c>
      <c r="E623" t="s">
        <v>107</v>
      </c>
      <c r="F623" t="str">
        <f>VLOOKUP(B623,'Agent wise'!A:E,5,0)</f>
        <v>Wireless</v>
      </c>
      <c r="G623" s="32">
        <v>45936</v>
      </c>
      <c r="H623">
        <f>COUNTIFS('Audit Raw data'!J:J,B:B,'Audit Raw data'!E:E,G:G)</f>
        <v>0</v>
      </c>
      <c r="I623" s="44" t="str">
        <f>IFERROR((SUMIFS('Audit Raw data'!BZ:BZ,'Audit Raw data'!J:J,B:B,'Audit Raw data'!E:E,G:G)/H623)/100,"-")</f>
        <v>-</v>
      </c>
      <c r="J623">
        <f>COUNTIFS('Audit Raw data'!AM:AM,"Yes",'Audit Raw data'!J:J,B:B,'Audit Raw data'!E:E,'Day wise agent'!G:G)</f>
        <v>0</v>
      </c>
      <c r="K623">
        <f>COUNTIFS('Audit Raw data'!AM:AM,"NO",'Audit Raw data'!J:J,B:B,'Audit Raw data'!E:E,'Day wise agent'!G:G)</f>
        <v>0</v>
      </c>
      <c r="L623" s="12" t="str">
        <f t="shared" si="19"/>
        <v xml:space="preserve"> </v>
      </c>
    </row>
    <row r="624" spans="1:12" x14ac:dyDescent="0.35">
      <c r="A624" t="str">
        <f t="shared" si="18"/>
        <v>VPS24945936</v>
      </c>
      <c r="B624" t="s">
        <v>215</v>
      </c>
      <c r="C624" t="s">
        <v>1563</v>
      </c>
      <c r="D624" s="32">
        <v>45907</v>
      </c>
      <c r="E624" t="s">
        <v>178</v>
      </c>
      <c r="F624" t="str">
        <f>VLOOKUP(B624,'Agent wise'!A:E,5,0)</f>
        <v>Wireless</v>
      </c>
      <c r="G624" s="32">
        <v>45936</v>
      </c>
      <c r="H624">
        <f>COUNTIFS('Audit Raw data'!J:J,B:B,'Audit Raw data'!E:E,G:G)</f>
        <v>0</v>
      </c>
      <c r="I624" s="44" t="str">
        <f>IFERROR((SUMIFS('Audit Raw data'!BZ:BZ,'Audit Raw data'!J:J,B:B,'Audit Raw data'!E:E,G:G)/H624)/100,"-")</f>
        <v>-</v>
      </c>
      <c r="J624">
        <f>COUNTIFS('Audit Raw data'!AM:AM,"Yes",'Audit Raw data'!J:J,B:B,'Audit Raw data'!E:E,'Day wise agent'!G:G)</f>
        <v>0</v>
      </c>
      <c r="K624">
        <f>COUNTIFS('Audit Raw data'!AM:AM,"NO",'Audit Raw data'!J:J,B:B,'Audit Raw data'!E:E,'Day wise agent'!G:G)</f>
        <v>0</v>
      </c>
      <c r="L624" s="12" t="str">
        <f t="shared" si="19"/>
        <v xml:space="preserve"> </v>
      </c>
    </row>
    <row r="625" spans="1:12" x14ac:dyDescent="0.35">
      <c r="A625" t="str">
        <f t="shared" si="18"/>
        <v>VPS25145936</v>
      </c>
      <c r="B625" t="s">
        <v>168</v>
      </c>
      <c r="C625" t="s">
        <v>1564</v>
      </c>
      <c r="D625" s="32">
        <v>45907</v>
      </c>
      <c r="E625" t="s">
        <v>107</v>
      </c>
      <c r="F625" t="str">
        <f>VLOOKUP(B625,'Agent wise'!A:E,5,0)</f>
        <v>Wireless</v>
      </c>
      <c r="G625" s="32">
        <v>45936</v>
      </c>
      <c r="H625">
        <f>COUNTIFS('Audit Raw data'!J:J,B:B,'Audit Raw data'!E:E,G:G)</f>
        <v>0</v>
      </c>
      <c r="I625" s="44" t="str">
        <f>IFERROR((SUMIFS('Audit Raw data'!BZ:BZ,'Audit Raw data'!J:J,B:B,'Audit Raw data'!E:E,G:G)/H625)/100,"-")</f>
        <v>-</v>
      </c>
      <c r="J625">
        <f>COUNTIFS('Audit Raw data'!AM:AM,"Yes",'Audit Raw data'!J:J,B:B,'Audit Raw data'!E:E,'Day wise agent'!G:G)</f>
        <v>0</v>
      </c>
      <c r="K625">
        <f>COUNTIFS('Audit Raw data'!AM:AM,"NO",'Audit Raw data'!J:J,B:B,'Audit Raw data'!E:E,'Day wise agent'!G:G)</f>
        <v>0</v>
      </c>
      <c r="L625" s="12" t="str">
        <f t="shared" si="19"/>
        <v xml:space="preserve"> </v>
      </c>
    </row>
    <row r="626" spans="1:12" x14ac:dyDescent="0.35">
      <c r="A626" t="str">
        <f t="shared" si="18"/>
        <v>VPS25245936</v>
      </c>
      <c r="B626" t="s">
        <v>204</v>
      </c>
      <c r="C626" t="s">
        <v>1565</v>
      </c>
      <c r="D626" s="32">
        <v>45919</v>
      </c>
      <c r="E626" t="s">
        <v>1484</v>
      </c>
      <c r="F626" t="str">
        <f>VLOOKUP(B626,'Agent wise'!A:E,5,0)</f>
        <v>Wireless</v>
      </c>
      <c r="G626" s="32">
        <v>45936</v>
      </c>
      <c r="H626">
        <f>COUNTIFS('Audit Raw data'!J:J,B:B,'Audit Raw data'!E:E,G:G)</f>
        <v>0</v>
      </c>
      <c r="I626" s="44" t="str">
        <f>IFERROR((SUMIFS('Audit Raw data'!BZ:BZ,'Audit Raw data'!J:J,B:B,'Audit Raw data'!E:E,G:G)/H626)/100,"-")</f>
        <v>-</v>
      </c>
      <c r="J626">
        <f>COUNTIFS('Audit Raw data'!AM:AM,"Yes",'Audit Raw data'!J:J,B:B,'Audit Raw data'!E:E,'Day wise agent'!G:G)</f>
        <v>0</v>
      </c>
      <c r="K626">
        <f>COUNTIFS('Audit Raw data'!AM:AM,"NO",'Audit Raw data'!J:J,B:B,'Audit Raw data'!E:E,'Day wise agent'!G:G)</f>
        <v>0</v>
      </c>
      <c r="L626" s="12" t="str">
        <f t="shared" si="19"/>
        <v xml:space="preserve"> </v>
      </c>
    </row>
    <row r="627" spans="1:12" x14ac:dyDescent="0.35">
      <c r="A627" t="str">
        <f t="shared" si="18"/>
        <v>VPS25345936</v>
      </c>
      <c r="B627" t="s">
        <v>195</v>
      </c>
      <c r="C627" t="s">
        <v>1566</v>
      </c>
      <c r="D627" s="32">
        <v>45919</v>
      </c>
      <c r="E627" t="s">
        <v>178</v>
      </c>
      <c r="F627" t="str">
        <f>VLOOKUP(B627,'Agent wise'!A:E,5,0)</f>
        <v>Wireless</v>
      </c>
      <c r="G627" s="32">
        <v>45936</v>
      </c>
      <c r="H627">
        <f>COUNTIFS('Audit Raw data'!J:J,B:B,'Audit Raw data'!E:E,G:G)</f>
        <v>1</v>
      </c>
      <c r="I627" s="44">
        <f>IFERROR((SUMIFS('Audit Raw data'!BZ:BZ,'Audit Raw data'!J:J,B:B,'Audit Raw data'!E:E,G:G)/H627)/100,"-")</f>
        <v>0.92</v>
      </c>
      <c r="J627">
        <f>COUNTIFS('Audit Raw data'!AM:AM,"Yes",'Audit Raw data'!J:J,B:B,'Audit Raw data'!E:E,'Day wise agent'!G:G)</f>
        <v>1</v>
      </c>
      <c r="K627">
        <f>COUNTIFS('Audit Raw data'!AM:AM,"NO",'Audit Raw data'!J:J,B:B,'Audit Raw data'!E:E,'Day wise agent'!G:G)</f>
        <v>0</v>
      </c>
      <c r="L627" s="12">
        <f t="shared" si="19"/>
        <v>1</v>
      </c>
    </row>
    <row r="628" spans="1:12" x14ac:dyDescent="0.35">
      <c r="A628" t="str">
        <f t="shared" si="18"/>
        <v>VPS25645936</v>
      </c>
      <c r="B628" t="s">
        <v>191</v>
      </c>
      <c r="C628" t="s">
        <v>1567</v>
      </c>
      <c r="D628" s="32">
        <v>45919</v>
      </c>
      <c r="E628" t="s">
        <v>1453</v>
      </c>
      <c r="F628" t="str">
        <f>VLOOKUP(B628,'Agent wise'!A:E,5,0)</f>
        <v>Wireless</v>
      </c>
      <c r="G628" s="32">
        <v>45936</v>
      </c>
      <c r="H628">
        <f>COUNTIFS('Audit Raw data'!J:J,B:B,'Audit Raw data'!E:E,G:G)</f>
        <v>0</v>
      </c>
      <c r="I628" s="44" t="str">
        <f>IFERROR((SUMIFS('Audit Raw data'!BZ:BZ,'Audit Raw data'!J:J,B:B,'Audit Raw data'!E:E,G:G)/H628)/100,"-")</f>
        <v>-</v>
      </c>
      <c r="J628">
        <f>COUNTIFS('Audit Raw data'!AM:AM,"Yes",'Audit Raw data'!J:J,B:B,'Audit Raw data'!E:E,'Day wise agent'!G:G)</f>
        <v>0</v>
      </c>
      <c r="K628">
        <f>COUNTIFS('Audit Raw data'!AM:AM,"NO",'Audit Raw data'!J:J,B:B,'Audit Raw data'!E:E,'Day wise agent'!G:G)</f>
        <v>0</v>
      </c>
      <c r="L628" s="12" t="str">
        <f t="shared" si="19"/>
        <v xml:space="preserve"> </v>
      </c>
    </row>
    <row r="629" spans="1:12" x14ac:dyDescent="0.35">
      <c r="A629" t="str">
        <f t="shared" si="18"/>
        <v>VPS25745936</v>
      </c>
      <c r="B629" t="s">
        <v>412</v>
      </c>
      <c r="C629" t="s">
        <v>1568</v>
      </c>
      <c r="D629" s="32">
        <v>45919</v>
      </c>
      <c r="E629" t="s">
        <v>1453</v>
      </c>
      <c r="F629" t="str">
        <f>VLOOKUP(B629,'Agent wise'!A:E,5,0)</f>
        <v>Wireless</v>
      </c>
      <c r="G629" s="32">
        <v>45936</v>
      </c>
      <c r="H629">
        <f>COUNTIFS('Audit Raw data'!J:J,B:B,'Audit Raw data'!E:E,G:G)</f>
        <v>0</v>
      </c>
      <c r="I629" s="44" t="str">
        <f>IFERROR((SUMIFS('Audit Raw data'!BZ:BZ,'Audit Raw data'!J:J,B:B,'Audit Raw data'!E:E,G:G)/H629)/100,"-")</f>
        <v>-</v>
      </c>
      <c r="J629">
        <f>COUNTIFS('Audit Raw data'!AM:AM,"Yes",'Audit Raw data'!J:J,B:B,'Audit Raw data'!E:E,'Day wise agent'!G:G)</f>
        <v>0</v>
      </c>
      <c r="K629">
        <f>COUNTIFS('Audit Raw data'!AM:AM,"NO",'Audit Raw data'!J:J,B:B,'Audit Raw data'!E:E,'Day wise agent'!G:G)</f>
        <v>0</v>
      </c>
      <c r="L629" s="12" t="str">
        <f t="shared" si="19"/>
        <v xml:space="preserve"> </v>
      </c>
    </row>
    <row r="630" spans="1:12" x14ac:dyDescent="0.35">
      <c r="A630" t="str">
        <f t="shared" si="18"/>
        <v>VPS25845936</v>
      </c>
      <c r="B630" t="s">
        <v>183</v>
      </c>
      <c r="C630" t="s">
        <v>1569</v>
      </c>
      <c r="D630" s="32">
        <v>45927</v>
      </c>
      <c r="E630" t="s">
        <v>178</v>
      </c>
      <c r="F630" t="str">
        <f>VLOOKUP(B630,'Agent wise'!A:E,5,0)</f>
        <v>Wireless</v>
      </c>
      <c r="G630" s="32">
        <v>45936</v>
      </c>
      <c r="H630">
        <f>COUNTIFS('Audit Raw data'!J:J,B:B,'Audit Raw data'!E:E,G:G)</f>
        <v>1</v>
      </c>
      <c r="I630" s="44">
        <f>IFERROR((SUMIFS('Audit Raw data'!BZ:BZ,'Audit Raw data'!J:J,B:B,'Audit Raw data'!E:E,G:G)/H630)/100,"-")</f>
        <v>0.92</v>
      </c>
      <c r="J630">
        <f>COUNTIFS('Audit Raw data'!AM:AM,"Yes",'Audit Raw data'!J:J,B:B,'Audit Raw data'!E:E,'Day wise agent'!G:G)</f>
        <v>1</v>
      </c>
      <c r="K630">
        <f>COUNTIFS('Audit Raw data'!AM:AM,"NO",'Audit Raw data'!J:J,B:B,'Audit Raw data'!E:E,'Day wise agent'!G:G)</f>
        <v>0</v>
      </c>
      <c r="L630" s="12">
        <f t="shared" si="19"/>
        <v>1</v>
      </c>
    </row>
    <row r="631" spans="1:12" x14ac:dyDescent="0.35">
      <c r="A631" t="str">
        <f t="shared" si="18"/>
        <v>VPS25945936</v>
      </c>
      <c r="B631" t="s">
        <v>102</v>
      </c>
      <c r="C631" t="s">
        <v>1570</v>
      </c>
      <c r="D631" s="32">
        <v>45927</v>
      </c>
      <c r="E631" t="s">
        <v>107</v>
      </c>
      <c r="F631" t="str">
        <f>VLOOKUP(B631,'Agent wise'!A:E,5,0)</f>
        <v>Wireless</v>
      </c>
      <c r="G631" s="32">
        <v>45936</v>
      </c>
      <c r="H631">
        <f>COUNTIFS('Audit Raw data'!J:J,B:B,'Audit Raw data'!E:E,G:G)</f>
        <v>0</v>
      </c>
      <c r="I631" s="44" t="str">
        <f>IFERROR((SUMIFS('Audit Raw data'!BZ:BZ,'Audit Raw data'!J:J,B:B,'Audit Raw data'!E:E,G:G)/H631)/100,"-")</f>
        <v>-</v>
      </c>
      <c r="J631">
        <f>COUNTIFS('Audit Raw data'!AM:AM,"Yes",'Audit Raw data'!J:J,B:B,'Audit Raw data'!E:E,'Day wise agent'!G:G)</f>
        <v>0</v>
      </c>
      <c r="K631">
        <f>COUNTIFS('Audit Raw data'!AM:AM,"NO",'Audit Raw data'!J:J,B:B,'Audit Raw data'!E:E,'Day wise agent'!G:G)</f>
        <v>0</v>
      </c>
      <c r="L631" s="12" t="str">
        <f t="shared" si="19"/>
        <v xml:space="preserve"> </v>
      </c>
    </row>
    <row r="632" spans="1:12" x14ac:dyDescent="0.35">
      <c r="A632" t="str">
        <f t="shared" si="18"/>
        <v>VPS26045936</v>
      </c>
      <c r="B632" t="s">
        <v>998</v>
      </c>
      <c r="C632" t="s">
        <v>1571</v>
      </c>
      <c r="D632" s="32">
        <v>45938</v>
      </c>
      <c r="E632" t="s">
        <v>1572</v>
      </c>
      <c r="F632" t="str">
        <f>VLOOKUP(B632,'Agent wise'!A:E,5,0)</f>
        <v>Wireless</v>
      </c>
      <c r="G632" s="32">
        <v>45936</v>
      </c>
      <c r="H632">
        <f>COUNTIFS('Audit Raw data'!J:J,B:B,'Audit Raw data'!E:E,G:G)</f>
        <v>0</v>
      </c>
      <c r="I632" s="44" t="str">
        <f>IFERROR((SUMIFS('Audit Raw data'!BZ:BZ,'Audit Raw data'!J:J,B:B,'Audit Raw data'!E:E,G:G)/H632)/100,"-")</f>
        <v>-</v>
      </c>
      <c r="J632">
        <f>COUNTIFS('Audit Raw data'!AM:AM,"Yes",'Audit Raw data'!J:J,B:B,'Audit Raw data'!E:E,'Day wise agent'!G:G)</f>
        <v>0</v>
      </c>
      <c r="K632">
        <f>COUNTIFS('Audit Raw data'!AM:AM,"NO",'Audit Raw data'!J:J,B:B,'Audit Raw data'!E:E,'Day wise agent'!G:G)</f>
        <v>0</v>
      </c>
      <c r="L632" s="12" t="str">
        <f t="shared" si="19"/>
        <v xml:space="preserve"> </v>
      </c>
    </row>
    <row r="633" spans="1:12" x14ac:dyDescent="0.35">
      <c r="A633" t="str">
        <f t="shared" si="18"/>
        <v>VPS26145936</v>
      </c>
      <c r="B633" t="s">
        <v>1009</v>
      </c>
      <c r="C633" t="s">
        <v>1573</v>
      </c>
      <c r="D633" s="32">
        <v>45938</v>
      </c>
      <c r="E633" t="s">
        <v>1572</v>
      </c>
      <c r="F633" t="str">
        <f>VLOOKUP(B633,'Agent wise'!A:E,5,0)</f>
        <v>Wireless</v>
      </c>
      <c r="G633" s="32">
        <v>45936</v>
      </c>
      <c r="H633">
        <f>COUNTIFS('Audit Raw data'!J:J,B:B,'Audit Raw data'!E:E,G:G)</f>
        <v>0</v>
      </c>
      <c r="I633" s="44" t="str">
        <f>IFERROR((SUMIFS('Audit Raw data'!BZ:BZ,'Audit Raw data'!J:J,B:B,'Audit Raw data'!E:E,G:G)/H633)/100,"-")</f>
        <v>-</v>
      </c>
      <c r="J633">
        <f>COUNTIFS('Audit Raw data'!AM:AM,"Yes",'Audit Raw data'!J:J,B:B,'Audit Raw data'!E:E,'Day wise agent'!G:G)</f>
        <v>0</v>
      </c>
      <c r="K633">
        <f>COUNTIFS('Audit Raw data'!AM:AM,"NO",'Audit Raw data'!J:J,B:B,'Audit Raw data'!E:E,'Day wise agent'!G:G)</f>
        <v>0</v>
      </c>
      <c r="L633" s="12" t="str">
        <f t="shared" si="19"/>
        <v xml:space="preserve"> </v>
      </c>
    </row>
    <row r="634" spans="1:12" x14ac:dyDescent="0.35">
      <c r="A634" t="str">
        <f t="shared" si="18"/>
        <v>VPS26245936</v>
      </c>
      <c r="B634" t="s">
        <v>1098</v>
      </c>
      <c r="C634" t="s">
        <v>1574</v>
      </c>
      <c r="D634" s="32">
        <v>45938</v>
      </c>
      <c r="E634" t="s">
        <v>1572</v>
      </c>
      <c r="F634" t="str">
        <f>VLOOKUP(B634,'Agent wise'!A:E,5,0)</f>
        <v>Wireless</v>
      </c>
      <c r="G634" s="32">
        <v>45936</v>
      </c>
      <c r="H634">
        <f>COUNTIFS('Audit Raw data'!J:J,B:B,'Audit Raw data'!E:E,G:G)</f>
        <v>0</v>
      </c>
      <c r="I634" s="44" t="str">
        <f>IFERROR((SUMIFS('Audit Raw data'!BZ:BZ,'Audit Raw data'!J:J,B:B,'Audit Raw data'!E:E,G:G)/H634)/100,"-")</f>
        <v>-</v>
      </c>
      <c r="J634">
        <f>COUNTIFS('Audit Raw data'!AM:AM,"Yes",'Audit Raw data'!J:J,B:B,'Audit Raw data'!E:E,'Day wise agent'!G:G)</f>
        <v>0</v>
      </c>
      <c r="K634">
        <f>COUNTIFS('Audit Raw data'!AM:AM,"NO",'Audit Raw data'!J:J,B:B,'Audit Raw data'!E:E,'Day wise agent'!G:G)</f>
        <v>0</v>
      </c>
      <c r="L634" s="12" t="str">
        <f t="shared" si="19"/>
        <v xml:space="preserve"> </v>
      </c>
    </row>
    <row r="635" spans="1:12" x14ac:dyDescent="0.35">
      <c r="A635" t="str">
        <f t="shared" si="18"/>
        <v>VPS26345936</v>
      </c>
      <c r="B635" t="s">
        <v>1022</v>
      </c>
      <c r="C635" t="s">
        <v>1575</v>
      </c>
      <c r="D635" s="32">
        <v>45938</v>
      </c>
      <c r="E635" t="s">
        <v>1572</v>
      </c>
      <c r="F635" t="str">
        <f>VLOOKUP(B635,'Agent wise'!A:E,5,0)</f>
        <v>Wireless</v>
      </c>
      <c r="G635" s="32">
        <v>45936</v>
      </c>
      <c r="H635">
        <f>COUNTIFS('Audit Raw data'!J:J,B:B,'Audit Raw data'!E:E,G:G)</f>
        <v>0</v>
      </c>
      <c r="I635" s="44" t="str">
        <f>IFERROR((SUMIFS('Audit Raw data'!BZ:BZ,'Audit Raw data'!J:J,B:B,'Audit Raw data'!E:E,G:G)/H635)/100,"-")</f>
        <v>-</v>
      </c>
      <c r="J635">
        <f>COUNTIFS('Audit Raw data'!AM:AM,"Yes",'Audit Raw data'!J:J,B:B,'Audit Raw data'!E:E,'Day wise agent'!G:G)</f>
        <v>0</v>
      </c>
      <c r="K635">
        <f>COUNTIFS('Audit Raw data'!AM:AM,"NO",'Audit Raw data'!J:J,B:B,'Audit Raw data'!E:E,'Day wise agent'!G:G)</f>
        <v>0</v>
      </c>
      <c r="L635" s="12" t="str">
        <f t="shared" si="19"/>
        <v xml:space="preserve"> </v>
      </c>
    </row>
    <row r="636" spans="1:12" x14ac:dyDescent="0.35">
      <c r="A636" t="str">
        <f t="shared" si="18"/>
        <v>VPS26445936</v>
      </c>
      <c r="B636" t="s">
        <v>1030</v>
      </c>
      <c r="C636" t="s">
        <v>1576</v>
      </c>
      <c r="D636" s="32">
        <v>45938</v>
      </c>
      <c r="E636" t="s">
        <v>1572</v>
      </c>
      <c r="F636" t="str">
        <f>VLOOKUP(B636,'Agent wise'!A:E,5,0)</f>
        <v>Wireless</v>
      </c>
      <c r="G636" s="32">
        <v>45936</v>
      </c>
      <c r="H636">
        <f>COUNTIFS('Audit Raw data'!J:J,B:B,'Audit Raw data'!E:E,G:G)</f>
        <v>0</v>
      </c>
      <c r="I636" s="44" t="str">
        <f>IFERROR((SUMIFS('Audit Raw data'!BZ:BZ,'Audit Raw data'!J:J,B:B,'Audit Raw data'!E:E,G:G)/H636)/100,"-")</f>
        <v>-</v>
      </c>
      <c r="J636">
        <f>COUNTIFS('Audit Raw data'!AM:AM,"Yes",'Audit Raw data'!J:J,B:B,'Audit Raw data'!E:E,'Day wise agent'!G:G)</f>
        <v>0</v>
      </c>
      <c r="K636">
        <f>COUNTIFS('Audit Raw data'!AM:AM,"NO",'Audit Raw data'!J:J,B:B,'Audit Raw data'!E:E,'Day wise agent'!G:G)</f>
        <v>0</v>
      </c>
      <c r="L636" s="12" t="str">
        <f t="shared" si="19"/>
        <v xml:space="preserve"> </v>
      </c>
    </row>
    <row r="637" spans="1:12" x14ac:dyDescent="0.35">
      <c r="A637" t="str">
        <f t="shared" si="18"/>
        <v>SBM10745937</v>
      </c>
      <c r="B637" t="s">
        <v>313</v>
      </c>
      <c r="C637" t="s">
        <v>1449</v>
      </c>
      <c r="D637" s="32">
        <v>44691</v>
      </c>
      <c r="E637" t="s">
        <v>107</v>
      </c>
      <c r="F637" t="str">
        <f>VLOOKUP(B637,'Agent wise'!A:E,5,0)</f>
        <v>Wire-line</v>
      </c>
      <c r="G637" s="32">
        <v>45937</v>
      </c>
      <c r="H637">
        <f>COUNTIFS('Audit Raw data'!J:J,B:B,'Audit Raw data'!E:E,G:G)</f>
        <v>2</v>
      </c>
      <c r="I637" s="44">
        <f>IFERROR((SUMIFS('Audit Raw data'!BZ:BZ,'Audit Raw data'!J:J,B:B,'Audit Raw data'!E:E,G:G)/H637)/100,"-")</f>
        <v>0.96</v>
      </c>
      <c r="J637">
        <f>COUNTIFS('Audit Raw data'!AM:AM,"Yes",'Audit Raw data'!J:J,B:B,'Audit Raw data'!E:E,'Day wise agent'!G:G)</f>
        <v>2</v>
      </c>
      <c r="K637">
        <f>COUNTIFS('Audit Raw data'!AM:AM,"NO",'Audit Raw data'!J:J,B:B,'Audit Raw data'!E:E,'Day wise agent'!G:G)</f>
        <v>0</v>
      </c>
      <c r="L637" s="12">
        <f t="shared" si="19"/>
        <v>1</v>
      </c>
    </row>
    <row r="638" spans="1:12" x14ac:dyDescent="0.35">
      <c r="A638" t="str">
        <f t="shared" si="18"/>
        <v>SBM15045937</v>
      </c>
      <c r="B638" t="s">
        <v>56</v>
      </c>
      <c r="C638" t="s">
        <v>1452</v>
      </c>
      <c r="D638" s="32">
        <v>44707</v>
      </c>
      <c r="E638" t="s">
        <v>1453</v>
      </c>
      <c r="F638" t="str">
        <f>VLOOKUP(B638,'Agent wise'!A:E,5,0)</f>
        <v>Wireless</v>
      </c>
      <c r="G638" s="32">
        <v>45937</v>
      </c>
      <c r="H638">
        <f>COUNTIFS('Audit Raw data'!J:J,B:B,'Audit Raw data'!E:E,G:G)</f>
        <v>1</v>
      </c>
      <c r="I638" s="44">
        <f>IFERROR((SUMIFS('Audit Raw data'!BZ:BZ,'Audit Raw data'!J:J,B:B,'Audit Raw data'!E:E,G:G)/H638)/100,"-")</f>
        <v>0.9</v>
      </c>
      <c r="J638">
        <f>COUNTIFS('Audit Raw data'!AM:AM,"Yes",'Audit Raw data'!J:J,B:B,'Audit Raw data'!E:E,'Day wise agent'!G:G)</f>
        <v>1</v>
      </c>
      <c r="K638">
        <f>COUNTIFS('Audit Raw data'!AM:AM,"NO",'Audit Raw data'!J:J,B:B,'Audit Raw data'!E:E,'Day wise agent'!G:G)</f>
        <v>0</v>
      </c>
      <c r="L638" s="12">
        <f t="shared" si="19"/>
        <v>1</v>
      </c>
    </row>
    <row r="639" spans="1:12" x14ac:dyDescent="0.35">
      <c r="A639" t="str">
        <f t="shared" si="18"/>
        <v>SBM15545937</v>
      </c>
      <c r="B639" t="s">
        <v>1454</v>
      </c>
      <c r="C639" t="s">
        <v>1455</v>
      </c>
      <c r="D639" s="32">
        <v>44707</v>
      </c>
      <c r="E639" t="s">
        <v>1456</v>
      </c>
      <c r="F639" t="str">
        <f>VLOOKUP(B639,'Agent wise'!A:E,5,0)</f>
        <v>RECL</v>
      </c>
      <c r="G639" s="32">
        <v>45937</v>
      </c>
      <c r="H639">
        <f>COUNTIFS('Audit Raw data'!J:J,B:B,'Audit Raw data'!E:E,G:G)</f>
        <v>0</v>
      </c>
      <c r="I639" s="44" t="str">
        <f>IFERROR((SUMIFS('Audit Raw data'!BZ:BZ,'Audit Raw data'!J:J,B:B,'Audit Raw data'!E:E,G:G)/H639)/100,"-")</f>
        <v>-</v>
      </c>
      <c r="J639">
        <f>COUNTIFS('Audit Raw data'!AM:AM,"Yes",'Audit Raw data'!J:J,B:B,'Audit Raw data'!E:E,'Day wise agent'!G:G)</f>
        <v>0</v>
      </c>
      <c r="K639">
        <f>COUNTIFS('Audit Raw data'!AM:AM,"NO",'Audit Raw data'!J:J,B:B,'Audit Raw data'!E:E,'Day wise agent'!G:G)</f>
        <v>0</v>
      </c>
      <c r="L639" s="12" t="str">
        <f t="shared" si="19"/>
        <v xml:space="preserve"> </v>
      </c>
    </row>
    <row r="640" spans="1:12" x14ac:dyDescent="0.35">
      <c r="A640" t="str">
        <f t="shared" si="18"/>
        <v>SBM15745937</v>
      </c>
      <c r="B640" t="s">
        <v>67</v>
      </c>
      <c r="C640" t="s">
        <v>1458</v>
      </c>
      <c r="D640" s="32">
        <v>44713</v>
      </c>
      <c r="E640" t="s">
        <v>1453</v>
      </c>
      <c r="F640" t="str">
        <f>VLOOKUP(B640,'Agent wise'!A:E,5,0)</f>
        <v>Wireless</v>
      </c>
      <c r="G640" s="32">
        <v>45937</v>
      </c>
      <c r="H640">
        <f>COUNTIFS('Audit Raw data'!J:J,B:B,'Audit Raw data'!E:E,G:G)</f>
        <v>0</v>
      </c>
      <c r="I640" s="44" t="str">
        <f>IFERROR((SUMIFS('Audit Raw data'!BZ:BZ,'Audit Raw data'!J:J,B:B,'Audit Raw data'!E:E,G:G)/H640)/100,"-")</f>
        <v>-</v>
      </c>
      <c r="J640">
        <f>COUNTIFS('Audit Raw data'!AM:AM,"Yes",'Audit Raw data'!J:J,B:B,'Audit Raw data'!E:E,'Day wise agent'!G:G)</f>
        <v>0</v>
      </c>
      <c r="K640">
        <f>COUNTIFS('Audit Raw data'!AM:AM,"NO",'Audit Raw data'!J:J,B:B,'Audit Raw data'!E:E,'Day wise agent'!G:G)</f>
        <v>0</v>
      </c>
      <c r="L640" s="12" t="str">
        <f t="shared" si="19"/>
        <v xml:space="preserve"> </v>
      </c>
    </row>
    <row r="641" spans="1:12" x14ac:dyDescent="0.35">
      <c r="A641" t="str">
        <f t="shared" si="18"/>
        <v>SBM20245937</v>
      </c>
      <c r="B641" t="s">
        <v>466</v>
      </c>
      <c r="C641" t="s">
        <v>1459</v>
      </c>
      <c r="D641" s="32">
        <v>44721</v>
      </c>
      <c r="E641" t="s">
        <v>178</v>
      </c>
      <c r="F641" t="str">
        <f>VLOOKUP(B641,'Agent wise'!A:E,5,0)</f>
        <v>Wireless</v>
      </c>
      <c r="G641" s="32">
        <v>45937</v>
      </c>
      <c r="H641">
        <f>COUNTIFS('Audit Raw data'!J:J,B:B,'Audit Raw data'!E:E,G:G)</f>
        <v>0</v>
      </c>
      <c r="I641" s="44" t="str">
        <f>IFERROR((SUMIFS('Audit Raw data'!BZ:BZ,'Audit Raw data'!J:J,B:B,'Audit Raw data'!E:E,G:G)/H641)/100,"-")</f>
        <v>-</v>
      </c>
      <c r="J641">
        <f>COUNTIFS('Audit Raw data'!AM:AM,"Yes",'Audit Raw data'!J:J,B:B,'Audit Raw data'!E:E,'Day wise agent'!G:G)</f>
        <v>0</v>
      </c>
      <c r="K641">
        <f>COUNTIFS('Audit Raw data'!AM:AM,"NO",'Audit Raw data'!J:J,B:B,'Audit Raw data'!E:E,'Day wise agent'!G:G)</f>
        <v>0</v>
      </c>
      <c r="L641" s="12" t="str">
        <f t="shared" si="19"/>
        <v xml:space="preserve"> </v>
      </c>
    </row>
    <row r="642" spans="1:12" x14ac:dyDescent="0.35">
      <c r="A642" t="str">
        <f t="shared" ref="A642:A705" si="20">B642&amp;G642</f>
        <v>SBM26445937</v>
      </c>
      <c r="B642" t="s">
        <v>575</v>
      </c>
      <c r="C642" t="s">
        <v>1461</v>
      </c>
      <c r="D642" s="32">
        <v>44739</v>
      </c>
      <c r="E642" t="s">
        <v>107</v>
      </c>
      <c r="F642" t="str">
        <f>VLOOKUP(B642,'Agent wise'!A:E,5,0)</f>
        <v>Wireless</v>
      </c>
      <c r="G642" s="32">
        <v>45937</v>
      </c>
      <c r="H642">
        <f>COUNTIFS('Audit Raw data'!J:J,B:B,'Audit Raw data'!E:E,G:G)</f>
        <v>1</v>
      </c>
      <c r="I642" s="44">
        <f>IFERROR((SUMIFS('Audit Raw data'!BZ:BZ,'Audit Raw data'!J:J,B:B,'Audit Raw data'!E:E,G:G)/H642)/100,"-")</f>
        <v>0.96</v>
      </c>
      <c r="J642">
        <f>COUNTIFS('Audit Raw data'!AM:AM,"Yes",'Audit Raw data'!J:J,B:B,'Audit Raw data'!E:E,'Day wise agent'!G:G)</f>
        <v>1</v>
      </c>
      <c r="K642">
        <f>COUNTIFS('Audit Raw data'!AM:AM,"NO",'Audit Raw data'!J:J,B:B,'Audit Raw data'!E:E,'Day wise agent'!G:G)</f>
        <v>0</v>
      </c>
      <c r="L642" s="12">
        <f t="shared" ref="L642:L705" si="21">IFERROR(J642/H642," ")</f>
        <v>1</v>
      </c>
    </row>
    <row r="643" spans="1:12" x14ac:dyDescent="0.35">
      <c r="A643" t="str">
        <f t="shared" si="20"/>
        <v>SBM26745937</v>
      </c>
      <c r="B643" t="s">
        <v>91</v>
      </c>
      <c r="C643" t="s">
        <v>1462</v>
      </c>
      <c r="D643" s="32">
        <v>44768</v>
      </c>
      <c r="E643" t="s">
        <v>1453</v>
      </c>
      <c r="F643" t="str">
        <f>VLOOKUP(B643,'Agent wise'!A:E,5,0)</f>
        <v>Wireless</v>
      </c>
      <c r="G643" s="32">
        <v>45937</v>
      </c>
      <c r="H643">
        <f>COUNTIFS('Audit Raw data'!J:J,B:B,'Audit Raw data'!E:E,G:G)</f>
        <v>1</v>
      </c>
      <c r="I643" s="44">
        <f>IFERROR((SUMIFS('Audit Raw data'!BZ:BZ,'Audit Raw data'!J:J,B:B,'Audit Raw data'!E:E,G:G)/H643)/100,"-")</f>
        <v>0.94</v>
      </c>
      <c r="J643">
        <f>COUNTIFS('Audit Raw data'!AM:AM,"Yes",'Audit Raw data'!J:J,B:B,'Audit Raw data'!E:E,'Day wise agent'!G:G)</f>
        <v>1</v>
      </c>
      <c r="K643">
        <f>COUNTIFS('Audit Raw data'!AM:AM,"NO",'Audit Raw data'!J:J,B:B,'Audit Raw data'!E:E,'Day wise agent'!G:G)</f>
        <v>0</v>
      </c>
      <c r="L643" s="12">
        <f t="shared" si="21"/>
        <v>1</v>
      </c>
    </row>
    <row r="644" spans="1:12" x14ac:dyDescent="0.35">
      <c r="A644" t="str">
        <f t="shared" si="20"/>
        <v>SBM31445937</v>
      </c>
      <c r="B644" t="s">
        <v>132</v>
      </c>
      <c r="C644" t="s">
        <v>1463</v>
      </c>
      <c r="D644" s="32">
        <v>44784</v>
      </c>
      <c r="E644" t="s">
        <v>107</v>
      </c>
      <c r="F644" t="str">
        <f>VLOOKUP(B644,'Agent wise'!A:E,5,0)</f>
        <v>Wireless</v>
      </c>
      <c r="G644" s="32">
        <v>45937</v>
      </c>
      <c r="H644">
        <f>COUNTIFS('Audit Raw data'!J:J,B:B,'Audit Raw data'!E:E,G:G)</f>
        <v>0</v>
      </c>
      <c r="I644" s="44" t="str">
        <f>IFERROR((SUMIFS('Audit Raw data'!BZ:BZ,'Audit Raw data'!J:J,B:B,'Audit Raw data'!E:E,G:G)/H644)/100,"-")</f>
        <v>-</v>
      </c>
      <c r="J644">
        <f>COUNTIFS('Audit Raw data'!AM:AM,"Yes",'Audit Raw data'!J:J,B:B,'Audit Raw data'!E:E,'Day wise agent'!G:G)</f>
        <v>0</v>
      </c>
      <c r="K644">
        <f>COUNTIFS('Audit Raw data'!AM:AM,"NO",'Audit Raw data'!J:J,B:B,'Audit Raw data'!E:E,'Day wise agent'!G:G)</f>
        <v>0</v>
      </c>
      <c r="L644" s="12" t="str">
        <f t="shared" si="21"/>
        <v xml:space="preserve"> </v>
      </c>
    </row>
    <row r="645" spans="1:12" x14ac:dyDescent="0.35">
      <c r="A645" t="str">
        <f t="shared" si="20"/>
        <v>SBM36345937</v>
      </c>
      <c r="B645" t="s">
        <v>70</v>
      </c>
      <c r="C645" t="s">
        <v>1464</v>
      </c>
      <c r="D645" s="32">
        <v>44786</v>
      </c>
      <c r="E645" t="s">
        <v>1453</v>
      </c>
      <c r="F645" t="str">
        <f>VLOOKUP(B645,'Agent wise'!A:E,5,0)</f>
        <v>Wireless</v>
      </c>
      <c r="G645" s="32">
        <v>45937</v>
      </c>
      <c r="H645">
        <f>COUNTIFS('Audit Raw data'!J:J,B:B,'Audit Raw data'!E:E,G:G)</f>
        <v>0</v>
      </c>
      <c r="I645" s="44" t="str">
        <f>IFERROR((SUMIFS('Audit Raw data'!BZ:BZ,'Audit Raw data'!J:J,B:B,'Audit Raw data'!E:E,G:G)/H645)/100,"-")</f>
        <v>-</v>
      </c>
      <c r="J645">
        <f>COUNTIFS('Audit Raw data'!AM:AM,"Yes",'Audit Raw data'!J:J,B:B,'Audit Raw data'!E:E,'Day wise agent'!G:G)</f>
        <v>0</v>
      </c>
      <c r="K645">
        <f>COUNTIFS('Audit Raw data'!AM:AM,"NO",'Audit Raw data'!J:J,B:B,'Audit Raw data'!E:E,'Day wise agent'!G:G)</f>
        <v>0</v>
      </c>
      <c r="L645" s="12" t="str">
        <f t="shared" si="21"/>
        <v xml:space="preserve"> </v>
      </c>
    </row>
    <row r="646" spans="1:12" x14ac:dyDescent="0.35">
      <c r="A646" t="str">
        <f t="shared" si="20"/>
        <v>SBM37345937</v>
      </c>
      <c r="B646" t="s">
        <v>75</v>
      </c>
      <c r="C646" t="s">
        <v>1465</v>
      </c>
      <c r="D646" s="32">
        <v>44786</v>
      </c>
      <c r="E646" t="s">
        <v>1453</v>
      </c>
      <c r="F646" t="str">
        <f>VLOOKUP(B646,'Agent wise'!A:E,5,0)</f>
        <v>Wireless</v>
      </c>
      <c r="G646" s="32">
        <v>45937</v>
      </c>
      <c r="H646">
        <f>COUNTIFS('Audit Raw data'!J:J,B:B,'Audit Raw data'!E:E,G:G)</f>
        <v>0</v>
      </c>
      <c r="I646" s="44" t="str">
        <f>IFERROR((SUMIFS('Audit Raw data'!BZ:BZ,'Audit Raw data'!J:J,B:B,'Audit Raw data'!E:E,G:G)/H646)/100,"-")</f>
        <v>-</v>
      </c>
      <c r="J646">
        <f>COUNTIFS('Audit Raw data'!AM:AM,"Yes",'Audit Raw data'!J:J,B:B,'Audit Raw data'!E:E,'Day wise agent'!G:G)</f>
        <v>0</v>
      </c>
      <c r="K646">
        <f>COUNTIFS('Audit Raw data'!AM:AM,"NO",'Audit Raw data'!J:J,B:B,'Audit Raw data'!E:E,'Day wise agent'!G:G)</f>
        <v>0</v>
      </c>
      <c r="L646" s="12" t="str">
        <f t="shared" si="21"/>
        <v xml:space="preserve"> </v>
      </c>
    </row>
    <row r="647" spans="1:12" x14ac:dyDescent="0.35">
      <c r="A647" t="str">
        <f t="shared" si="20"/>
        <v>SBM42245937</v>
      </c>
      <c r="B647" t="s">
        <v>636</v>
      </c>
      <c r="C647" t="s">
        <v>1466</v>
      </c>
      <c r="D647" s="32">
        <v>44882</v>
      </c>
      <c r="E647" t="s">
        <v>107</v>
      </c>
      <c r="F647" t="str">
        <f>VLOOKUP(B647,'Agent wise'!A:E,5,0)</f>
        <v>Wireless</v>
      </c>
      <c r="G647" s="32">
        <v>45937</v>
      </c>
      <c r="H647">
        <f>COUNTIFS('Audit Raw data'!J:J,B:B,'Audit Raw data'!E:E,G:G)</f>
        <v>1</v>
      </c>
      <c r="I647" s="44">
        <f>IFERROR((SUMIFS('Audit Raw data'!BZ:BZ,'Audit Raw data'!J:J,B:B,'Audit Raw data'!E:E,G:G)/H647)/100,"-")</f>
        <v>0.82</v>
      </c>
      <c r="J647">
        <f>COUNTIFS('Audit Raw data'!AM:AM,"Yes",'Audit Raw data'!J:J,B:B,'Audit Raw data'!E:E,'Day wise agent'!G:G)</f>
        <v>1</v>
      </c>
      <c r="K647">
        <f>COUNTIFS('Audit Raw data'!AM:AM,"NO",'Audit Raw data'!J:J,B:B,'Audit Raw data'!E:E,'Day wise agent'!G:G)</f>
        <v>0</v>
      </c>
      <c r="L647" s="12">
        <f t="shared" si="21"/>
        <v>1</v>
      </c>
    </row>
    <row r="648" spans="1:12" x14ac:dyDescent="0.35">
      <c r="A648" t="str">
        <f t="shared" si="20"/>
        <v>SBM47945937</v>
      </c>
      <c r="B648" t="s">
        <v>1474</v>
      </c>
      <c r="C648" t="s">
        <v>1475</v>
      </c>
      <c r="D648" s="32">
        <v>44932</v>
      </c>
      <c r="E648" t="s">
        <v>1456</v>
      </c>
      <c r="F648" t="str">
        <f>VLOOKUP(B648,'Agent wise'!A:E,5,0)</f>
        <v>RECL</v>
      </c>
      <c r="G648" s="32">
        <v>45937</v>
      </c>
      <c r="H648">
        <f>COUNTIFS('Audit Raw data'!J:J,B:B,'Audit Raw data'!E:E,G:G)</f>
        <v>0</v>
      </c>
      <c r="I648" s="44" t="str">
        <f>IFERROR((SUMIFS('Audit Raw data'!BZ:BZ,'Audit Raw data'!J:J,B:B,'Audit Raw data'!E:E,G:G)/H648)/100,"-")</f>
        <v>-</v>
      </c>
      <c r="J648">
        <f>COUNTIFS('Audit Raw data'!AM:AM,"Yes",'Audit Raw data'!J:J,B:B,'Audit Raw data'!E:E,'Day wise agent'!G:G)</f>
        <v>0</v>
      </c>
      <c r="K648">
        <f>COUNTIFS('Audit Raw data'!AM:AM,"NO",'Audit Raw data'!J:J,B:B,'Audit Raw data'!E:E,'Day wise agent'!G:G)</f>
        <v>0</v>
      </c>
      <c r="L648" s="12" t="str">
        <f t="shared" si="21"/>
        <v xml:space="preserve"> </v>
      </c>
    </row>
    <row r="649" spans="1:12" x14ac:dyDescent="0.35">
      <c r="A649" t="str">
        <f t="shared" si="20"/>
        <v>SBM48145937</v>
      </c>
      <c r="B649" t="s">
        <v>638</v>
      </c>
      <c r="C649" t="s">
        <v>1467</v>
      </c>
      <c r="D649" s="32">
        <v>44932</v>
      </c>
      <c r="E649" t="s">
        <v>178</v>
      </c>
      <c r="F649" t="str">
        <f>VLOOKUP(B649,'Agent wise'!A:E,5,0)</f>
        <v>Wireless</v>
      </c>
      <c r="G649" s="32">
        <v>45937</v>
      </c>
      <c r="H649">
        <f>COUNTIFS('Audit Raw data'!J:J,B:B,'Audit Raw data'!E:E,G:G)</f>
        <v>1</v>
      </c>
      <c r="I649" s="44">
        <f>IFERROR((SUMIFS('Audit Raw data'!BZ:BZ,'Audit Raw data'!J:J,B:B,'Audit Raw data'!E:E,G:G)/H649)/100,"-")</f>
        <v>0.86</v>
      </c>
      <c r="J649">
        <f>COUNTIFS('Audit Raw data'!AM:AM,"Yes",'Audit Raw data'!J:J,B:B,'Audit Raw data'!E:E,'Day wise agent'!G:G)</f>
        <v>1</v>
      </c>
      <c r="K649">
        <f>COUNTIFS('Audit Raw data'!AM:AM,"NO",'Audit Raw data'!J:J,B:B,'Audit Raw data'!E:E,'Day wise agent'!G:G)</f>
        <v>0</v>
      </c>
      <c r="L649" s="12">
        <f t="shared" si="21"/>
        <v>1</v>
      </c>
    </row>
    <row r="650" spans="1:12" x14ac:dyDescent="0.35">
      <c r="A650" t="str">
        <f t="shared" si="20"/>
        <v>SBM48545937</v>
      </c>
      <c r="B650" t="s">
        <v>80</v>
      </c>
      <c r="C650" t="s">
        <v>1469</v>
      </c>
      <c r="D650" s="32">
        <v>44961</v>
      </c>
      <c r="E650" t="s">
        <v>1453</v>
      </c>
      <c r="F650" t="str">
        <f>VLOOKUP(B650,'Agent wise'!A:E,5,0)</f>
        <v>Wireless</v>
      </c>
      <c r="G650" s="32">
        <v>45937</v>
      </c>
      <c r="H650">
        <f>COUNTIFS('Audit Raw data'!J:J,B:B,'Audit Raw data'!E:E,G:G)</f>
        <v>1</v>
      </c>
      <c r="I650" s="44">
        <f>IFERROR((SUMIFS('Audit Raw data'!BZ:BZ,'Audit Raw data'!J:J,B:B,'Audit Raw data'!E:E,G:G)/H650)/100,"-")</f>
        <v>0.96</v>
      </c>
      <c r="J650">
        <f>COUNTIFS('Audit Raw data'!AM:AM,"Yes",'Audit Raw data'!J:J,B:B,'Audit Raw data'!E:E,'Day wise agent'!G:G)</f>
        <v>1</v>
      </c>
      <c r="K650">
        <f>COUNTIFS('Audit Raw data'!AM:AM,"NO",'Audit Raw data'!J:J,B:B,'Audit Raw data'!E:E,'Day wise agent'!G:G)</f>
        <v>0</v>
      </c>
      <c r="L650" s="12">
        <f t="shared" si="21"/>
        <v>1</v>
      </c>
    </row>
    <row r="651" spans="1:12" x14ac:dyDescent="0.35">
      <c r="A651" t="str">
        <f t="shared" si="20"/>
        <v>SBM52445937</v>
      </c>
      <c r="B651" t="s">
        <v>490</v>
      </c>
      <c r="C651" t="s">
        <v>1470</v>
      </c>
      <c r="D651" s="32">
        <v>45093</v>
      </c>
      <c r="E651" t="s">
        <v>1453</v>
      </c>
      <c r="F651" t="str">
        <f>VLOOKUP(B651,'Agent wise'!A:E,5,0)</f>
        <v>Wireless</v>
      </c>
      <c r="G651" s="32">
        <v>45937</v>
      </c>
      <c r="H651">
        <f>COUNTIFS('Audit Raw data'!J:J,B:B,'Audit Raw data'!E:E,G:G)</f>
        <v>1</v>
      </c>
      <c r="I651" s="44">
        <f>IFERROR((SUMIFS('Audit Raw data'!BZ:BZ,'Audit Raw data'!J:J,B:B,'Audit Raw data'!E:E,G:G)/H651)/100,"-")</f>
        <v>0.96</v>
      </c>
      <c r="J651">
        <f>COUNTIFS('Audit Raw data'!AM:AM,"Yes",'Audit Raw data'!J:J,B:B,'Audit Raw data'!E:E,'Day wise agent'!G:G)</f>
        <v>1</v>
      </c>
      <c r="K651">
        <f>COUNTIFS('Audit Raw data'!AM:AM,"NO",'Audit Raw data'!J:J,B:B,'Audit Raw data'!E:E,'Day wise agent'!G:G)</f>
        <v>0</v>
      </c>
      <c r="L651" s="12">
        <f t="shared" si="21"/>
        <v>1</v>
      </c>
    </row>
    <row r="652" spans="1:12" x14ac:dyDescent="0.35">
      <c r="A652" t="str">
        <f t="shared" si="20"/>
        <v>SBM55045937</v>
      </c>
      <c r="B652" t="s">
        <v>139</v>
      </c>
      <c r="C652" t="s">
        <v>1471</v>
      </c>
      <c r="D652" s="32">
        <v>45139</v>
      </c>
      <c r="E652" t="s">
        <v>107</v>
      </c>
      <c r="F652" t="str">
        <f>VLOOKUP(B652,'Agent wise'!A:E,5,0)</f>
        <v>Wireless</v>
      </c>
      <c r="G652" s="32">
        <v>45937</v>
      </c>
      <c r="H652">
        <f>COUNTIFS('Audit Raw data'!J:J,B:B,'Audit Raw data'!E:E,G:G)</f>
        <v>2</v>
      </c>
      <c r="I652" s="44">
        <f>IFERROR((SUMIFS('Audit Raw data'!BZ:BZ,'Audit Raw data'!J:J,B:B,'Audit Raw data'!E:E,G:G)/H652)/100,"-")</f>
        <v>0.97</v>
      </c>
      <c r="J652">
        <f>COUNTIFS('Audit Raw data'!AM:AM,"Yes",'Audit Raw data'!J:J,B:B,'Audit Raw data'!E:E,'Day wise agent'!G:G)</f>
        <v>2</v>
      </c>
      <c r="K652">
        <f>COUNTIFS('Audit Raw data'!AM:AM,"NO",'Audit Raw data'!J:J,B:B,'Audit Raw data'!E:E,'Day wise agent'!G:G)</f>
        <v>0</v>
      </c>
      <c r="L652" s="12">
        <f t="shared" si="21"/>
        <v>1</v>
      </c>
    </row>
    <row r="653" spans="1:12" x14ac:dyDescent="0.35">
      <c r="A653" t="str">
        <f t="shared" si="20"/>
        <v>SBM55445937</v>
      </c>
      <c r="B653" t="s">
        <v>208</v>
      </c>
      <c r="C653" t="s">
        <v>1472</v>
      </c>
      <c r="D653" s="32">
        <v>45140</v>
      </c>
      <c r="E653" t="s">
        <v>178</v>
      </c>
      <c r="F653" t="str">
        <f>VLOOKUP(B653,'Agent wise'!A:E,5,0)</f>
        <v>Wireless</v>
      </c>
      <c r="G653" s="32">
        <v>45937</v>
      </c>
      <c r="H653">
        <f>COUNTIFS('Audit Raw data'!J:J,B:B,'Audit Raw data'!E:E,G:G)</f>
        <v>1</v>
      </c>
      <c r="I653" s="44">
        <f>IFERROR((SUMIFS('Audit Raw data'!BZ:BZ,'Audit Raw data'!J:J,B:B,'Audit Raw data'!E:E,G:G)/H653)/100,"-")</f>
        <v>0.96</v>
      </c>
      <c r="J653">
        <f>COUNTIFS('Audit Raw data'!AM:AM,"Yes",'Audit Raw data'!J:J,B:B,'Audit Raw data'!E:E,'Day wise agent'!G:G)</f>
        <v>1</v>
      </c>
      <c r="K653">
        <f>COUNTIFS('Audit Raw data'!AM:AM,"NO",'Audit Raw data'!J:J,B:B,'Audit Raw data'!E:E,'Day wise agent'!G:G)</f>
        <v>0</v>
      </c>
      <c r="L653" s="12">
        <f t="shared" si="21"/>
        <v>1</v>
      </c>
    </row>
    <row r="654" spans="1:12" x14ac:dyDescent="0.35">
      <c r="A654" t="str">
        <f t="shared" si="20"/>
        <v>SBM58345937</v>
      </c>
      <c r="B654" t="s">
        <v>546</v>
      </c>
      <c r="C654" t="s">
        <v>1473</v>
      </c>
      <c r="D654" s="32">
        <v>45245</v>
      </c>
      <c r="E654" t="s">
        <v>107</v>
      </c>
      <c r="F654" t="str">
        <f>VLOOKUP(B654,'Agent wise'!A:E,5,0)</f>
        <v>Wireless</v>
      </c>
      <c r="G654" s="32">
        <v>45937</v>
      </c>
      <c r="H654">
        <f>COUNTIFS('Audit Raw data'!J:J,B:B,'Audit Raw data'!E:E,G:G)</f>
        <v>1</v>
      </c>
      <c r="I654" s="44">
        <f>IFERROR((SUMIFS('Audit Raw data'!BZ:BZ,'Audit Raw data'!J:J,B:B,'Audit Raw data'!E:E,G:G)/H654)/100,"-")</f>
        <v>0.88</v>
      </c>
      <c r="J654">
        <f>COUNTIFS('Audit Raw data'!AM:AM,"Yes",'Audit Raw data'!J:J,B:B,'Audit Raw data'!E:E,'Day wise agent'!G:G)</f>
        <v>1</v>
      </c>
      <c r="K654">
        <f>COUNTIFS('Audit Raw data'!AM:AM,"NO",'Audit Raw data'!J:J,B:B,'Audit Raw data'!E:E,'Day wise agent'!G:G)</f>
        <v>0</v>
      </c>
      <c r="L654" s="12">
        <f t="shared" si="21"/>
        <v>1</v>
      </c>
    </row>
    <row r="655" spans="1:12" x14ac:dyDescent="0.35">
      <c r="A655" t="str">
        <f t="shared" si="20"/>
        <v>SBM61345937</v>
      </c>
      <c r="B655" t="s">
        <v>391</v>
      </c>
      <c r="C655" t="s">
        <v>1478</v>
      </c>
      <c r="D655" s="32">
        <v>45301</v>
      </c>
      <c r="E655" t="s">
        <v>221</v>
      </c>
      <c r="F655" t="str">
        <f>VLOOKUP(B655,'Agent wise'!A:E,5,0)</f>
        <v>Wire-line</v>
      </c>
      <c r="G655" s="32">
        <v>45937</v>
      </c>
      <c r="H655">
        <f>COUNTIFS('Audit Raw data'!J:J,B:B,'Audit Raw data'!E:E,G:G)</f>
        <v>1</v>
      </c>
      <c r="I655" s="44">
        <f>IFERROR((SUMIFS('Audit Raw data'!BZ:BZ,'Audit Raw data'!J:J,B:B,'Audit Raw data'!E:E,G:G)/H655)/100,"-")</f>
        <v>0.86</v>
      </c>
      <c r="J655">
        <f>COUNTIFS('Audit Raw data'!AM:AM,"Yes",'Audit Raw data'!J:J,B:B,'Audit Raw data'!E:E,'Day wise agent'!G:G)</f>
        <v>1</v>
      </c>
      <c r="K655">
        <f>COUNTIFS('Audit Raw data'!AM:AM,"NO",'Audit Raw data'!J:J,B:B,'Audit Raw data'!E:E,'Day wise agent'!G:G)</f>
        <v>0</v>
      </c>
      <c r="L655" s="12">
        <f t="shared" si="21"/>
        <v>1</v>
      </c>
    </row>
    <row r="656" spans="1:12" x14ac:dyDescent="0.35">
      <c r="A656" t="str">
        <f t="shared" si="20"/>
        <v>SBM61845937</v>
      </c>
      <c r="B656" t="s">
        <v>242</v>
      </c>
      <c r="C656" t="s">
        <v>1477</v>
      </c>
      <c r="D656" s="32">
        <v>45292</v>
      </c>
      <c r="E656" t="s">
        <v>221</v>
      </c>
      <c r="F656" t="str">
        <f>VLOOKUP(B656,'Agent wise'!A:E,5,0)</f>
        <v>Wire-line</v>
      </c>
      <c r="G656" s="32">
        <v>45937</v>
      </c>
      <c r="H656">
        <f>COUNTIFS('Audit Raw data'!J:J,B:B,'Audit Raw data'!E:E,G:G)</f>
        <v>1</v>
      </c>
      <c r="I656" s="44">
        <f>IFERROR((SUMIFS('Audit Raw data'!BZ:BZ,'Audit Raw data'!J:J,B:B,'Audit Raw data'!E:E,G:G)/H656)/100,"-")</f>
        <v>0.94</v>
      </c>
      <c r="J656">
        <f>COUNTIFS('Audit Raw data'!AM:AM,"Yes",'Audit Raw data'!J:J,B:B,'Audit Raw data'!E:E,'Day wise agent'!G:G)</f>
        <v>1</v>
      </c>
      <c r="K656">
        <f>COUNTIFS('Audit Raw data'!AM:AM,"NO",'Audit Raw data'!J:J,B:B,'Audit Raw data'!E:E,'Day wise agent'!G:G)</f>
        <v>0</v>
      </c>
      <c r="L656" s="12">
        <f t="shared" si="21"/>
        <v>1</v>
      </c>
    </row>
    <row r="657" spans="1:12" x14ac:dyDescent="0.35">
      <c r="A657" t="str">
        <f t="shared" si="20"/>
        <v>SBM62545937</v>
      </c>
      <c r="B657" t="s">
        <v>472</v>
      </c>
      <c r="C657" t="s">
        <v>1476</v>
      </c>
      <c r="D657" s="32">
        <v>45329</v>
      </c>
      <c r="E657" t="s">
        <v>1453</v>
      </c>
      <c r="F657" t="str">
        <f>VLOOKUP(B657,'Agent wise'!A:E,5,0)</f>
        <v>Wireless</v>
      </c>
      <c r="G657" s="32">
        <v>45937</v>
      </c>
      <c r="H657">
        <f>COUNTIFS('Audit Raw data'!J:J,B:B,'Audit Raw data'!E:E,G:G)</f>
        <v>0</v>
      </c>
      <c r="I657" s="44" t="str">
        <f>IFERROR((SUMIFS('Audit Raw data'!BZ:BZ,'Audit Raw data'!J:J,B:B,'Audit Raw data'!E:E,G:G)/H657)/100,"-")</f>
        <v>-</v>
      </c>
      <c r="J657">
        <f>COUNTIFS('Audit Raw data'!AM:AM,"Yes",'Audit Raw data'!J:J,B:B,'Audit Raw data'!E:E,'Day wise agent'!G:G)</f>
        <v>0</v>
      </c>
      <c r="K657">
        <f>COUNTIFS('Audit Raw data'!AM:AM,"NO",'Audit Raw data'!J:J,B:B,'Audit Raw data'!E:E,'Day wise agent'!G:G)</f>
        <v>0</v>
      </c>
      <c r="L657" s="12" t="str">
        <f t="shared" si="21"/>
        <v xml:space="preserve"> </v>
      </c>
    </row>
    <row r="658" spans="1:12" x14ac:dyDescent="0.35">
      <c r="A658" t="str">
        <f t="shared" si="20"/>
        <v>SBM65045937</v>
      </c>
      <c r="B658" t="s">
        <v>353</v>
      </c>
      <c r="C658" t="s">
        <v>1479</v>
      </c>
      <c r="D658" s="32">
        <v>45357</v>
      </c>
      <c r="E658" t="s">
        <v>221</v>
      </c>
      <c r="F658" t="str">
        <f>VLOOKUP(B658,'Agent wise'!A:E,5,0)</f>
        <v>Wire-line</v>
      </c>
      <c r="G658" s="32">
        <v>45937</v>
      </c>
      <c r="H658">
        <f>COUNTIFS('Audit Raw data'!J:J,B:B,'Audit Raw data'!E:E,G:G)</f>
        <v>2</v>
      </c>
      <c r="I658" s="44">
        <f>IFERROR((SUMIFS('Audit Raw data'!BZ:BZ,'Audit Raw data'!J:J,B:B,'Audit Raw data'!E:E,G:G)/H658)/100,"-")</f>
        <v>0.91</v>
      </c>
      <c r="J658">
        <f>COUNTIFS('Audit Raw data'!AM:AM,"Yes",'Audit Raw data'!J:J,B:B,'Audit Raw data'!E:E,'Day wise agent'!G:G)</f>
        <v>2</v>
      </c>
      <c r="K658">
        <f>COUNTIFS('Audit Raw data'!AM:AM,"NO",'Audit Raw data'!J:J,B:B,'Audit Raw data'!E:E,'Day wise agent'!G:G)</f>
        <v>0</v>
      </c>
      <c r="L658" s="12">
        <f t="shared" si="21"/>
        <v>1</v>
      </c>
    </row>
    <row r="659" spans="1:12" x14ac:dyDescent="0.35">
      <c r="A659" t="str">
        <f t="shared" si="20"/>
        <v>SBM65345937</v>
      </c>
      <c r="B659" t="s">
        <v>223</v>
      </c>
      <c r="C659" t="s">
        <v>1480</v>
      </c>
      <c r="D659" s="32">
        <v>45367</v>
      </c>
      <c r="E659" t="s">
        <v>221</v>
      </c>
      <c r="F659" t="str">
        <f>VLOOKUP(B659,'Agent wise'!A:E,5,0)</f>
        <v>Wire-line</v>
      </c>
      <c r="G659" s="32">
        <v>45937</v>
      </c>
      <c r="H659">
        <f>COUNTIFS('Audit Raw data'!J:J,B:B,'Audit Raw data'!E:E,G:G)</f>
        <v>0</v>
      </c>
      <c r="I659" s="44" t="str">
        <f>IFERROR((SUMIFS('Audit Raw data'!BZ:BZ,'Audit Raw data'!J:J,B:B,'Audit Raw data'!E:E,G:G)/H659)/100,"-")</f>
        <v>-</v>
      </c>
      <c r="J659">
        <f>COUNTIFS('Audit Raw data'!AM:AM,"Yes",'Audit Raw data'!J:J,B:B,'Audit Raw data'!E:E,'Day wise agent'!G:G)</f>
        <v>0</v>
      </c>
      <c r="K659">
        <f>COUNTIFS('Audit Raw data'!AM:AM,"NO",'Audit Raw data'!J:J,B:B,'Audit Raw data'!E:E,'Day wise agent'!G:G)</f>
        <v>0</v>
      </c>
      <c r="L659" s="12" t="str">
        <f t="shared" si="21"/>
        <v xml:space="preserve"> </v>
      </c>
    </row>
    <row r="660" spans="1:12" x14ac:dyDescent="0.35">
      <c r="A660" t="str">
        <f t="shared" si="20"/>
        <v>SBM67845937</v>
      </c>
      <c r="B660" t="s">
        <v>548</v>
      </c>
      <c r="C660" t="s">
        <v>1481</v>
      </c>
      <c r="D660" s="32">
        <v>45413</v>
      </c>
      <c r="E660" t="s">
        <v>178</v>
      </c>
      <c r="F660" t="str">
        <f>VLOOKUP(B660,'Agent wise'!A:E,5,0)</f>
        <v>Wireless</v>
      </c>
      <c r="G660" s="32">
        <v>45937</v>
      </c>
      <c r="H660">
        <f>COUNTIFS('Audit Raw data'!J:J,B:B,'Audit Raw data'!E:E,G:G)</f>
        <v>0</v>
      </c>
      <c r="I660" s="44" t="str">
        <f>IFERROR((SUMIFS('Audit Raw data'!BZ:BZ,'Audit Raw data'!J:J,B:B,'Audit Raw data'!E:E,G:G)/H660)/100,"-")</f>
        <v>-</v>
      </c>
      <c r="J660">
        <f>COUNTIFS('Audit Raw data'!AM:AM,"Yes",'Audit Raw data'!J:J,B:B,'Audit Raw data'!E:E,'Day wise agent'!G:G)</f>
        <v>0</v>
      </c>
      <c r="K660">
        <f>COUNTIFS('Audit Raw data'!AM:AM,"NO",'Audit Raw data'!J:J,B:B,'Audit Raw data'!E:E,'Day wise agent'!G:G)</f>
        <v>0</v>
      </c>
      <c r="L660" s="12" t="str">
        <f t="shared" si="21"/>
        <v xml:space="preserve"> </v>
      </c>
    </row>
    <row r="661" spans="1:12" x14ac:dyDescent="0.35">
      <c r="A661" t="str">
        <f t="shared" si="20"/>
        <v>SBM69245937</v>
      </c>
      <c r="B661" t="s">
        <v>85</v>
      </c>
      <c r="C661" t="s">
        <v>1482</v>
      </c>
      <c r="D661" s="32">
        <v>45445</v>
      </c>
      <c r="E661" t="s">
        <v>1453</v>
      </c>
      <c r="F661" t="str">
        <f>VLOOKUP(B661,'Agent wise'!A:E,5,0)</f>
        <v>Wireless</v>
      </c>
      <c r="G661" s="32">
        <v>45937</v>
      </c>
      <c r="H661">
        <f>COUNTIFS('Audit Raw data'!J:J,B:B,'Audit Raw data'!E:E,G:G)</f>
        <v>0</v>
      </c>
      <c r="I661" s="44" t="str">
        <f>IFERROR((SUMIFS('Audit Raw data'!BZ:BZ,'Audit Raw data'!J:J,B:B,'Audit Raw data'!E:E,G:G)/H661)/100,"-")</f>
        <v>-</v>
      </c>
      <c r="J661">
        <f>COUNTIFS('Audit Raw data'!AM:AM,"Yes",'Audit Raw data'!J:J,B:B,'Audit Raw data'!E:E,'Day wise agent'!G:G)</f>
        <v>0</v>
      </c>
      <c r="K661">
        <f>COUNTIFS('Audit Raw data'!AM:AM,"NO",'Audit Raw data'!J:J,B:B,'Audit Raw data'!E:E,'Day wise agent'!G:G)</f>
        <v>0</v>
      </c>
      <c r="L661" s="12" t="str">
        <f t="shared" si="21"/>
        <v xml:space="preserve"> </v>
      </c>
    </row>
    <row r="662" spans="1:12" x14ac:dyDescent="0.35">
      <c r="A662" t="str">
        <f t="shared" si="20"/>
        <v>SBM70345937</v>
      </c>
      <c r="B662" t="s">
        <v>252</v>
      </c>
      <c r="C662" t="s">
        <v>1483</v>
      </c>
      <c r="D662" s="32">
        <v>45451</v>
      </c>
      <c r="E662" t="s">
        <v>1484</v>
      </c>
      <c r="F662" t="str">
        <f>VLOOKUP(B662,'Agent wise'!A:E,5,0)</f>
        <v>Wireless</v>
      </c>
      <c r="G662" s="32">
        <v>45937</v>
      </c>
      <c r="H662">
        <f>COUNTIFS('Audit Raw data'!J:J,B:B,'Audit Raw data'!E:E,G:G)</f>
        <v>0</v>
      </c>
      <c r="I662" s="44" t="str">
        <f>IFERROR((SUMIFS('Audit Raw data'!BZ:BZ,'Audit Raw data'!J:J,B:B,'Audit Raw data'!E:E,G:G)/H662)/100,"-")</f>
        <v>-</v>
      </c>
      <c r="J662">
        <f>COUNTIFS('Audit Raw data'!AM:AM,"Yes",'Audit Raw data'!J:J,B:B,'Audit Raw data'!E:E,'Day wise agent'!G:G)</f>
        <v>0</v>
      </c>
      <c r="K662">
        <f>COUNTIFS('Audit Raw data'!AM:AM,"NO",'Audit Raw data'!J:J,B:B,'Audit Raw data'!E:E,'Day wise agent'!G:G)</f>
        <v>0</v>
      </c>
      <c r="L662" s="12" t="str">
        <f t="shared" si="21"/>
        <v xml:space="preserve"> </v>
      </c>
    </row>
    <row r="663" spans="1:12" x14ac:dyDescent="0.35">
      <c r="A663" t="str">
        <f t="shared" si="20"/>
        <v>SBM71045937</v>
      </c>
      <c r="B663" t="s">
        <v>552</v>
      </c>
      <c r="C663" t="s">
        <v>1485</v>
      </c>
      <c r="D663" s="32">
        <v>45465</v>
      </c>
      <c r="E663" t="s">
        <v>1484</v>
      </c>
      <c r="F663" t="str">
        <f>VLOOKUP(B663,'Agent wise'!A:E,5,0)</f>
        <v>Wireless</v>
      </c>
      <c r="G663" s="32">
        <v>45937</v>
      </c>
      <c r="H663">
        <f>COUNTIFS('Audit Raw data'!J:J,B:B,'Audit Raw data'!E:E,G:G)</f>
        <v>1</v>
      </c>
      <c r="I663" s="44">
        <f>IFERROR((SUMIFS('Audit Raw data'!BZ:BZ,'Audit Raw data'!J:J,B:B,'Audit Raw data'!E:E,G:G)/H663)/100,"-")</f>
        <v>0.96</v>
      </c>
      <c r="J663">
        <f>COUNTIFS('Audit Raw data'!AM:AM,"Yes",'Audit Raw data'!J:J,B:B,'Audit Raw data'!E:E,'Day wise agent'!G:G)</f>
        <v>1</v>
      </c>
      <c r="K663">
        <f>COUNTIFS('Audit Raw data'!AM:AM,"NO",'Audit Raw data'!J:J,B:B,'Audit Raw data'!E:E,'Day wise agent'!G:G)</f>
        <v>0</v>
      </c>
      <c r="L663" s="12">
        <f t="shared" si="21"/>
        <v>1</v>
      </c>
    </row>
    <row r="664" spans="1:12" x14ac:dyDescent="0.35">
      <c r="A664" t="str">
        <f t="shared" si="20"/>
        <v>SBM71145937</v>
      </c>
      <c r="B664" t="s">
        <v>533</v>
      </c>
      <c r="C664" t="s">
        <v>1486</v>
      </c>
      <c r="D664" s="32">
        <v>45465</v>
      </c>
      <c r="E664" t="s">
        <v>1484</v>
      </c>
      <c r="F664" t="str">
        <f>VLOOKUP(B664,'Agent wise'!A:E,5,0)</f>
        <v>Wireless</v>
      </c>
      <c r="G664" s="32">
        <v>45937</v>
      </c>
      <c r="H664">
        <f>COUNTIFS('Audit Raw data'!J:J,B:B,'Audit Raw data'!E:E,G:G)</f>
        <v>1</v>
      </c>
      <c r="I664" s="44">
        <f>IFERROR((SUMIFS('Audit Raw data'!BZ:BZ,'Audit Raw data'!J:J,B:B,'Audit Raw data'!E:E,G:G)/H664)/100,"-")</f>
        <v>0.98</v>
      </c>
      <c r="J664">
        <f>COUNTIFS('Audit Raw data'!AM:AM,"Yes",'Audit Raw data'!J:J,B:B,'Audit Raw data'!E:E,'Day wise agent'!G:G)</f>
        <v>1</v>
      </c>
      <c r="K664">
        <f>COUNTIFS('Audit Raw data'!AM:AM,"NO",'Audit Raw data'!J:J,B:B,'Audit Raw data'!E:E,'Day wise agent'!G:G)</f>
        <v>0</v>
      </c>
      <c r="L664" s="12">
        <f t="shared" si="21"/>
        <v>1</v>
      </c>
    </row>
    <row r="665" spans="1:12" x14ac:dyDescent="0.35">
      <c r="A665" t="str">
        <f t="shared" si="20"/>
        <v>SBM71845937</v>
      </c>
      <c r="B665" t="s">
        <v>451</v>
      </c>
      <c r="C665" t="s">
        <v>1487</v>
      </c>
      <c r="D665" s="32">
        <v>45491</v>
      </c>
      <c r="E665" t="s">
        <v>1484</v>
      </c>
      <c r="F665" t="str">
        <f>VLOOKUP(B665,'Agent wise'!A:E,5,0)</f>
        <v>Wireless</v>
      </c>
      <c r="G665" s="32">
        <v>45937</v>
      </c>
      <c r="H665">
        <f>COUNTIFS('Audit Raw data'!J:J,B:B,'Audit Raw data'!E:E,G:G)</f>
        <v>0</v>
      </c>
      <c r="I665" s="44" t="str">
        <f>IFERROR((SUMIFS('Audit Raw data'!BZ:BZ,'Audit Raw data'!J:J,B:B,'Audit Raw data'!E:E,G:G)/H665)/100,"-")</f>
        <v>-</v>
      </c>
      <c r="J665">
        <f>COUNTIFS('Audit Raw data'!AM:AM,"Yes",'Audit Raw data'!J:J,B:B,'Audit Raw data'!E:E,'Day wise agent'!G:G)</f>
        <v>0</v>
      </c>
      <c r="K665">
        <f>COUNTIFS('Audit Raw data'!AM:AM,"NO",'Audit Raw data'!J:J,B:B,'Audit Raw data'!E:E,'Day wise agent'!G:G)</f>
        <v>0</v>
      </c>
      <c r="L665" s="12" t="str">
        <f t="shared" si="21"/>
        <v xml:space="preserve"> </v>
      </c>
    </row>
    <row r="666" spans="1:12" x14ac:dyDescent="0.35">
      <c r="A666" t="str">
        <f t="shared" si="20"/>
        <v>SBM72045937</v>
      </c>
      <c r="B666" t="s">
        <v>557</v>
      </c>
      <c r="C666" t="s">
        <v>1488</v>
      </c>
      <c r="D666" s="32">
        <v>45491</v>
      </c>
      <c r="E666" t="s">
        <v>1484</v>
      </c>
      <c r="F666" t="str">
        <f>VLOOKUP(B666,'Agent wise'!A:E,5,0)</f>
        <v>Wireless</v>
      </c>
      <c r="G666" s="32">
        <v>45937</v>
      </c>
      <c r="H666">
        <f>COUNTIFS('Audit Raw data'!J:J,B:B,'Audit Raw data'!E:E,G:G)</f>
        <v>1</v>
      </c>
      <c r="I666" s="44">
        <f>IFERROR((SUMIFS('Audit Raw data'!BZ:BZ,'Audit Raw data'!J:J,B:B,'Audit Raw data'!E:E,G:G)/H666)/100,"-")</f>
        <v>0.98</v>
      </c>
      <c r="J666">
        <f>COUNTIFS('Audit Raw data'!AM:AM,"Yes",'Audit Raw data'!J:J,B:B,'Audit Raw data'!E:E,'Day wise agent'!G:G)</f>
        <v>1</v>
      </c>
      <c r="K666">
        <f>COUNTIFS('Audit Raw data'!AM:AM,"NO",'Audit Raw data'!J:J,B:B,'Audit Raw data'!E:E,'Day wise agent'!G:G)</f>
        <v>0</v>
      </c>
      <c r="L666" s="12">
        <f t="shared" si="21"/>
        <v>1</v>
      </c>
    </row>
    <row r="667" spans="1:12" x14ac:dyDescent="0.35">
      <c r="A667" t="str">
        <f t="shared" si="20"/>
        <v>SBM72445937</v>
      </c>
      <c r="B667" t="s">
        <v>144</v>
      </c>
      <c r="C667" t="s">
        <v>1489</v>
      </c>
      <c r="D667" s="32">
        <v>45491</v>
      </c>
      <c r="E667" t="s">
        <v>1484</v>
      </c>
      <c r="F667" t="str">
        <f>VLOOKUP(B667,'Agent wise'!A:E,5,0)</f>
        <v>Wireless</v>
      </c>
      <c r="G667" s="32">
        <v>45937</v>
      </c>
      <c r="H667">
        <f>COUNTIFS('Audit Raw data'!J:J,B:B,'Audit Raw data'!E:E,G:G)</f>
        <v>0</v>
      </c>
      <c r="I667" s="44" t="str">
        <f>IFERROR((SUMIFS('Audit Raw data'!BZ:BZ,'Audit Raw data'!J:J,B:B,'Audit Raw data'!E:E,G:G)/H667)/100,"-")</f>
        <v>-</v>
      </c>
      <c r="J667">
        <f>COUNTIFS('Audit Raw data'!AM:AM,"Yes",'Audit Raw data'!J:J,B:B,'Audit Raw data'!E:E,'Day wise agent'!G:G)</f>
        <v>0</v>
      </c>
      <c r="K667">
        <f>COUNTIFS('Audit Raw data'!AM:AM,"NO",'Audit Raw data'!J:J,B:B,'Audit Raw data'!E:E,'Day wise agent'!G:G)</f>
        <v>0</v>
      </c>
      <c r="L667" s="12" t="str">
        <f t="shared" si="21"/>
        <v xml:space="preserve"> </v>
      </c>
    </row>
    <row r="668" spans="1:12" x14ac:dyDescent="0.35">
      <c r="A668" t="str">
        <f t="shared" si="20"/>
        <v>SBM73445937</v>
      </c>
      <c r="B668" t="s">
        <v>356</v>
      </c>
      <c r="C668" t="s">
        <v>1490</v>
      </c>
      <c r="D668" s="32">
        <v>45497</v>
      </c>
      <c r="E668" t="s">
        <v>221</v>
      </c>
      <c r="F668" t="str">
        <f>VLOOKUP(B668,'Agent wise'!A:E,5,0)</f>
        <v>Wire-line</v>
      </c>
      <c r="G668" s="32">
        <v>45937</v>
      </c>
      <c r="H668">
        <f>COUNTIFS('Audit Raw data'!J:J,B:B,'Audit Raw data'!E:E,G:G)</f>
        <v>1</v>
      </c>
      <c r="I668" s="44">
        <f>IFERROR((SUMIFS('Audit Raw data'!BZ:BZ,'Audit Raw data'!J:J,B:B,'Audit Raw data'!E:E,G:G)/H668)/100,"-")</f>
        <v>1</v>
      </c>
      <c r="J668">
        <f>COUNTIFS('Audit Raw data'!AM:AM,"Yes",'Audit Raw data'!J:J,B:B,'Audit Raw data'!E:E,'Day wise agent'!G:G)</f>
        <v>1</v>
      </c>
      <c r="K668">
        <f>COUNTIFS('Audit Raw data'!AM:AM,"NO",'Audit Raw data'!J:J,B:B,'Audit Raw data'!E:E,'Day wise agent'!G:G)</f>
        <v>0</v>
      </c>
      <c r="L668" s="12">
        <f t="shared" si="21"/>
        <v>1</v>
      </c>
    </row>
    <row r="669" spans="1:12" x14ac:dyDescent="0.35">
      <c r="A669" t="str">
        <f t="shared" si="20"/>
        <v>SBM73645937</v>
      </c>
      <c r="B669" t="s">
        <v>501</v>
      </c>
      <c r="C669" t="s">
        <v>1491</v>
      </c>
      <c r="D669" s="32">
        <v>45500</v>
      </c>
      <c r="E669" t="s">
        <v>221</v>
      </c>
      <c r="F669" t="str">
        <f>VLOOKUP(B669,'Agent wise'!A:E,5,0)</f>
        <v>Wire-line</v>
      </c>
      <c r="G669" s="32">
        <v>45937</v>
      </c>
      <c r="H669">
        <f>COUNTIFS('Audit Raw data'!J:J,B:B,'Audit Raw data'!E:E,G:G)</f>
        <v>1</v>
      </c>
      <c r="I669" s="44">
        <f>IFERROR((SUMIFS('Audit Raw data'!BZ:BZ,'Audit Raw data'!J:J,B:B,'Audit Raw data'!E:E,G:G)/H669)/100,"-")</f>
        <v>0.94</v>
      </c>
      <c r="J669">
        <f>COUNTIFS('Audit Raw data'!AM:AM,"Yes",'Audit Raw data'!J:J,B:B,'Audit Raw data'!E:E,'Day wise agent'!G:G)</f>
        <v>1</v>
      </c>
      <c r="K669">
        <f>COUNTIFS('Audit Raw data'!AM:AM,"NO",'Audit Raw data'!J:J,B:B,'Audit Raw data'!E:E,'Day wise agent'!G:G)</f>
        <v>0</v>
      </c>
      <c r="L669" s="12">
        <f t="shared" si="21"/>
        <v>1</v>
      </c>
    </row>
    <row r="670" spans="1:12" x14ac:dyDescent="0.35">
      <c r="A670" t="str">
        <f t="shared" si="20"/>
        <v>SBM73945937</v>
      </c>
      <c r="B670" t="s">
        <v>559</v>
      </c>
      <c r="C670" t="s">
        <v>1492</v>
      </c>
      <c r="D670" s="32">
        <v>45516</v>
      </c>
      <c r="E670" t="s">
        <v>1484</v>
      </c>
      <c r="F670" t="str">
        <f>VLOOKUP(B670,'Agent wise'!A:E,5,0)</f>
        <v>Wireless</v>
      </c>
      <c r="G670" s="32">
        <v>45937</v>
      </c>
      <c r="H670">
        <f>COUNTIFS('Audit Raw data'!J:J,B:B,'Audit Raw data'!E:E,G:G)</f>
        <v>0</v>
      </c>
      <c r="I670" s="44" t="str">
        <f>IFERROR((SUMIFS('Audit Raw data'!BZ:BZ,'Audit Raw data'!J:J,B:B,'Audit Raw data'!E:E,G:G)/H670)/100,"-")</f>
        <v>-</v>
      </c>
      <c r="J670">
        <f>COUNTIFS('Audit Raw data'!AM:AM,"Yes",'Audit Raw data'!J:J,B:B,'Audit Raw data'!E:E,'Day wise agent'!G:G)</f>
        <v>0</v>
      </c>
      <c r="K670">
        <f>COUNTIFS('Audit Raw data'!AM:AM,"NO",'Audit Raw data'!J:J,B:B,'Audit Raw data'!E:E,'Day wise agent'!G:G)</f>
        <v>0</v>
      </c>
      <c r="L670" s="12" t="str">
        <f t="shared" si="21"/>
        <v xml:space="preserve"> </v>
      </c>
    </row>
    <row r="671" spans="1:12" x14ac:dyDescent="0.35">
      <c r="A671" t="str">
        <f t="shared" si="20"/>
        <v>SBM74445937</v>
      </c>
      <c r="B671" t="s">
        <v>96</v>
      </c>
      <c r="C671" t="s">
        <v>1493</v>
      </c>
      <c r="D671" s="32">
        <v>45516</v>
      </c>
      <c r="E671" t="s">
        <v>1484</v>
      </c>
      <c r="F671" t="str">
        <f>VLOOKUP(B671,'Agent wise'!A:E,5,0)</f>
        <v>Wireless</v>
      </c>
      <c r="G671" s="32">
        <v>45937</v>
      </c>
      <c r="H671">
        <f>COUNTIFS('Audit Raw data'!J:J,B:B,'Audit Raw data'!E:E,G:G)</f>
        <v>1</v>
      </c>
      <c r="I671" s="44">
        <f>IFERROR((SUMIFS('Audit Raw data'!BZ:BZ,'Audit Raw data'!J:J,B:B,'Audit Raw data'!E:E,G:G)/H671)/100,"-")</f>
        <v>0.96</v>
      </c>
      <c r="J671">
        <f>COUNTIFS('Audit Raw data'!AM:AM,"Yes",'Audit Raw data'!J:J,B:B,'Audit Raw data'!E:E,'Day wise agent'!G:G)</f>
        <v>1</v>
      </c>
      <c r="K671">
        <f>COUNTIFS('Audit Raw data'!AM:AM,"NO",'Audit Raw data'!J:J,B:B,'Audit Raw data'!E:E,'Day wise agent'!G:G)</f>
        <v>0</v>
      </c>
      <c r="L671" s="12">
        <f t="shared" si="21"/>
        <v>1</v>
      </c>
    </row>
    <row r="672" spans="1:12" x14ac:dyDescent="0.35">
      <c r="A672" t="str">
        <f t="shared" si="20"/>
        <v>SBM75545937</v>
      </c>
      <c r="B672" t="s">
        <v>409</v>
      </c>
      <c r="C672" t="s">
        <v>1494</v>
      </c>
      <c r="D672" s="32">
        <v>45518</v>
      </c>
      <c r="E672" t="s">
        <v>221</v>
      </c>
      <c r="F672" t="str">
        <f>VLOOKUP(B672,'Agent wise'!A:E,5,0)</f>
        <v>Wire-line</v>
      </c>
      <c r="G672" s="32">
        <v>45937</v>
      </c>
      <c r="H672">
        <f>COUNTIFS('Audit Raw data'!J:J,B:B,'Audit Raw data'!E:E,G:G)</f>
        <v>0</v>
      </c>
      <c r="I672" s="44" t="str">
        <f>IFERROR((SUMIFS('Audit Raw data'!BZ:BZ,'Audit Raw data'!J:J,B:B,'Audit Raw data'!E:E,G:G)/H672)/100,"-")</f>
        <v>-</v>
      </c>
      <c r="J672">
        <f>COUNTIFS('Audit Raw data'!AM:AM,"Yes",'Audit Raw data'!J:J,B:B,'Audit Raw data'!E:E,'Day wise agent'!G:G)</f>
        <v>0</v>
      </c>
      <c r="K672">
        <f>COUNTIFS('Audit Raw data'!AM:AM,"NO",'Audit Raw data'!J:J,B:B,'Audit Raw data'!E:E,'Day wise agent'!G:G)</f>
        <v>0</v>
      </c>
      <c r="L672" s="12" t="str">
        <f t="shared" si="21"/>
        <v xml:space="preserve"> </v>
      </c>
    </row>
    <row r="673" spans="1:12" x14ac:dyDescent="0.35">
      <c r="A673" t="str">
        <f t="shared" si="20"/>
        <v>SBM75845937</v>
      </c>
      <c r="B673" t="s">
        <v>420</v>
      </c>
      <c r="C673" t="s">
        <v>1502</v>
      </c>
      <c r="D673" s="32">
        <v>45518</v>
      </c>
      <c r="E673" t="s">
        <v>221</v>
      </c>
      <c r="F673" t="str">
        <f>VLOOKUP(B673,'Agent wise'!A:E,5,0)</f>
        <v>Wire-line</v>
      </c>
      <c r="G673" s="32">
        <v>45937</v>
      </c>
      <c r="H673">
        <f>COUNTIFS('Audit Raw data'!J:J,B:B,'Audit Raw data'!E:E,G:G)</f>
        <v>2</v>
      </c>
      <c r="I673" s="44">
        <f>IFERROR((SUMIFS('Audit Raw data'!BZ:BZ,'Audit Raw data'!J:J,B:B,'Audit Raw data'!E:E,G:G)/H673)/100,"-")</f>
        <v>0.94</v>
      </c>
      <c r="J673">
        <f>COUNTIFS('Audit Raw data'!AM:AM,"Yes",'Audit Raw data'!J:J,B:B,'Audit Raw data'!E:E,'Day wise agent'!G:G)</f>
        <v>2</v>
      </c>
      <c r="K673">
        <f>COUNTIFS('Audit Raw data'!AM:AM,"NO",'Audit Raw data'!J:J,B:B,'Audit Raw data'!E:E,'Day wise agent'!G:G)</f>
        <v>0</v>
      </c>
      <c r="L673" s="12">
        <f t="shared" si="21"/>
        <v>1</v>
      </c>
    </row>
    <row r="674" spans="1:12" x14ac:dyDescent="0.35">
      <c r="A674" t="str">
        <f t="shared" si="20"/>
        <v>SBM76745937</v>
      </c>
      <c r="B674" t="s">
        <v>442</v>
      </c>
      <c r="C674" t="s">
        <v>1495</v>
      </c>
      <c r="D674" s="32">
        <v>45520</v>
      </c>
      <c r="E674" t="s">
        <v>107</v>
      </c>
      <c r="F674" t="str">
        <f>VLOOKUP(B674,'Agent wise'!A:E,5,0)</f>
        <v>Wireless</v>
      </c>
      <c r="G674" s="32">
        <v>45937</v>
      </c>
      <c r="H674">
        <f>COUNTIFS('Audit Raw data'!J:J,B:B,'Audit Raw data'!E:E,G:G)</f>
        <v>1</v>
      </c>
      <c r="I674" s="44">
        <f>IFERROR((SUMIFS('Audit Raw data'!BZ:BZ,'Audit Raw data'!J:J,B:B,'Audit Raw data'!E:E,G:G)/H674)/100,"-")</f>
        <v>0.88</v>
      </c>
      <c r="J674">
        <f>COUNTIFS('Audit Raw data'!AM:AM,"Yes",'Audit Raw data'!J:J,B:B,'Audit Raw data'!E:E,'Day wise agent'!G:G)</f>
        <v>1</v>
      </c>
      <c r="K674">
        <f>COUNTIFS('Audit Raw data'!AM:AM,"NO",'Audit Raw data'!J:J,B:B,'Audit Raw data'!E:E,'Day wise agent'!G:G)</f>
        <v>0</v>
      </c>
      <c r="L674" s="12">
        <f t="shared" si="21"/>
        <v>1</v>
      </c>
    </row>
    <row r="675" spans="1:12" x14ac:dyDescent="0.35">
      <c r="A675" t="str">
        <f t="shared" si="20"/>
        <v>SBM77245937</v>
      </c>
      <c r="B675" t="s">
        <v>640</v>
      </c>
      <c r="C675" t="s">
        <v>1497</v>
      </c>
      <c r="D675" s="32">
        <v>45528</v>
      </c>
      <c r="E675" t="s">
        <v>178</v>
      </c>
      <c r="F675" t="str">
        <f>VLOOKUP(B675,'Agent wise'!A:E,5,0)</f>
        <v>Wireless</v>
      </c>
      <c r="G675" s="32">
        <v>45937</v>
      </c>
      <c r="H675">
        <f>COUNTIFS('Audit Raw data'!J:J,B:B,'Audit Raw data'!E:E,G:G)</f>
        <v>0</v>
      </c>
      <c r="I675" s="44" t="str">
        <f>IFERROR((SUMIFS('Audit Raw data'!BZ:BZ,'Audit Raw data'!J:J,B:B,'Audit Raw data'!E:E,G:G)/H675)/100,"-")</f>
        <v>-</v>
      </c>
      <c r="J675">
        <f>COUNTIFS('Audit Raw data'!AM:AM,"Yes",'Audit Raw data'!J:J,B:B,'Audit Raw data'!E:E,'Day wise agent'!G:G)</f>
        <v>0</v>
      </c>
      <c r="K675">
        <f>COUNTIFS('Audit Raw data'!AM:AM,"NO",'Audit Raw data'!J:J,B:B,'Audit Raw data'!E:E,'Day wise agent'!G:G)</f>
        <v>0</v>
      </c>
      <c r="L675" s="12" t="str">
        <f t="shared" si="21"/>
        <v xml:space="preserve"> </v>
      </c>
    </row>
    <row r="676" spans="1:12" x14ac:dyDescent="0.35">
      <c r="A676" t="str">
        <f t="shared" si="20"/>
        <v>SBM77345937</v>
      </c>
      <c r="B676" t="s">
        <v>464</v>
      </c>
      <c r="C676" t="s">
        <v>1496</v>
      </c>
      <c r="D676" s="32">
        <v>45526</v>
      </c>
      <c r="E676" t="s">
        <v>178</v>
      </c>
      <c r="F676" t="str">
        <f>VLOOKUP(B676,'Agent wise'!A:E,5,0)</f>
        <v>Wireless</v>
      </c>
      <c r="G676" s="32">
        <v>45937</v>
      </c>
      <c r="H676">
        <f>COUNTIFS('Audit Raw data'!J:J,B:B,'Audit Raw data'!E:E,G:G)</f>
        <v>0</v>
      </c>
      <c r="I676" s="44" t="str">
        <f>IFERROR((SUMIFS('Audit Raw data'!BZ:BZ,'Audit Raw data'!J:J,B:B,'Audit Raw data'!E:E,G:G)/H676)/100,"-")</f>
        <v>-</v>
      </c>
      <c r="J676">
        <f>COUNTIFS('Audit Raw data'!AM:AM,"Yes",'Audit Raw data'!J:J,B:B,'Audit Raw data'!E:E,'Day wise agent'!G:G)</f>
        <v>0</v>
      </c>
      <c r="K676">
        <f>COUNTIFS('Audit Raw data'!AM:AM,"NO",'Audit Raw data'!J:J,B:B,'Audit Raw data'!E:E,'Day wise agent'!G:G)</f>
        <v>0</v>
      </c>
      <c r="L676" s="12" t="str">
        <f t="shared" si="21"/>
        <v xml:space="preserve"> </v>
      </c>
    </row>
    <row r="677" spans="1:12" x14ac:dyDescent="0.35">
      <c r="A677" t="str">
        <f t="shared" si="20"/>
        <v>SBM77545937</v>
      </c>
      <c r="B677" t="s">
        <v>643</v>
      </c>
      <c r="C677" t="s">
        <v>1498</v>
      </c>
      <c r="D677" s="32">
        <v>45535</v>
      </c>
      <c r="E677" t="s">
        <v>1484</v>
      </c>
      <c r="F677" t="str">
        <f>VLOOKUP(B677,'Agent wise'!A:E,5,0)</f>
        <v>Wireless</v>
      </c>
      <c r="G677" s="32">
        <v>45937</v>
      </c>
      <c r="H677">
        <f>COUNTIFS('Audit Raw data'!J:J,B:B,'Audit Raw data'!E:E,G:G)</f>
        <v>2</v>
      </c>
      <c r="I677" s="44">
        <f>IFERROR((SUMIFS('Audit Raw data'!BZ:BZ,'Audit Raw data'!J:J,B:B,'Audit Raw data'!E:E,G:G)/H677)/100,"-")</f>
        <v>0.95</v>
      </c>
      <c r="J677">
        <f>COUNTIFS('Audit Raw data'!AM:AM,"Yes",'Audit Raw data'!J:J,B:B,'Audit Raw data'!E:E,'Day wise agent'!G:G)</f>
        <v>2</v>
      </c>
      <c r="K677">
        <f>COUNTIFS('Audit Raw data'!AM:AM,"NO",'Audit Raw data'!J:J,B:B,'Audit Raw data'!E:E,'Day wise agent'!G:G)</f>
        <v>0</v>
      </c>
      <c r="L677" s="12">
        <f t="shared" si="21"/>
        <v>1</v>
      </c>
    </row>
    <row r="678" spans="1:12" x14ac:dyDescent="0.35">
      <c r="A678" t="str">
        <f t="shared" si="20"/>
        <v>SBM79245937</v>
      </c>
      <c r="B678" t="s">
        <v>179</v>
      </c>
      <c r="C678" t="s">
        <v>1499</v>
      </c>
      <c r="D678" s="32">
        <v>45545</v>
      </c>
      <c r="E678" t="s">
        <v>178</v>
      </c>
      <c r="F678" t="str">
        <f>VLOOKUP(B678,'Agent wise'!A:E,5,0)</f>
        <v>Wireless</v>
      </c>
      <c r="G678" s="32">
        <v>45937</v>
      </c>
      <c r="H678">
        <f>COUNTIFS('Audit Raw data'!J:J,B:B,'Audit Raw data'!E:E,G:G)</f>
        <v>0</v>
      </c>
      <c r="I678" s="44" t="str">
        <f>IFERROR((SUMIFS('Audit Raw data'!BZ:BZ,'Audit Raw data'!J:J,B:B,'Audit Raw data'!E:E,G:G)/H678)/100,"-")</f>
        <v>-</v>
      </c>
      <c r="J678">
        <f>COUNTIFS('Audit Raw data'!AM:AM,"Yes",'Audit Raw data'!J:J,B:B,'Audit Raw data'!E:E,'Day wise agent'!G:G)</f>
        <v>0</v>
      </c>
      <c r="K678">
        <f>COUNTIFS('Audit Raw data'!AM:AM,"NO",'Audit Raw data'!J:J,B:B,'Audit Raw data'!E:E,'Day wise agent'!G:G)</f>
        <v>0</v>
      </c>
      <c r="L678" s="12" t="str">
        <f t="shared" si="21"/>
        <v xml:space="preserve"> </v>
      </c>
    </row>
    <row r="679" spans="1:12" x14ac:dyDescent="0.35">
      <c r="A679" t="str">
        <f t="shared" si="20"/>
        <v>SBM79445937</v>
      </c>
      <c r="B679" t="s">
        <v>246</v>
      </c>
      <c r="C679" t="s">
        <v>1500</v>
      </c>
      <c r="D679" s="32">
        <v>45550</v>
      </c>
      <c r="E679" t="s">
        <v>221</v>
      </c>
      <c r="F679" t="str">
        <f>VLOOKUP(B679,'Agent wise'!A:E,5,0)</f>
        <v>Wire-line</v>
      </c>
      <c r="G679" s="32">
        <v>45937</v>
      </c>
      <c r="H679">
        <f>COUNTIFS('Audit Raw data'!J:J,B:B,'Audit Raw data'!E:E,G:G)</f>
        <v>1</v>
      </c>
      <c r="I679" s="44">
        <f>IFERROR((SUMIFS('Audit Raw data'!BZ:BZ,'Audit Raw data'!J:J,B:B,'Audit Raw data'!E:E,G:G)/H679)/100,"-")</f>
        <v>0.96</v>
      </c>
      <c r="J679">
        <f>COUNTIFS('Audit Raw data'!AM:AM,"Yes",'Audit Raw data'!J:J,B:B,'Audit Raw data'!E:E,'Day wise agent'!G:G)</f>
        <v>1</v>
      </c>
      <c r="K679">
        <f>COUNTIFS('Audit Raw data'!AM:AM,"NO",'Audit Raw data'!J:J,B:B,'Audit Raw data'!E:E,'Day wise agent'!G:G)</f>
        <v>0</v>
      </c>
      <c r="L679" s="12">
        <f t="shared" si="21"/>
        <v>1</v>
      </c>
    </row>
    <row r="680" spans="1:12" x14ac:dyDescent="0.35">
      <c r="A680" t="str">
        <f t="shared" si="20"/>
        <v>SBM90145937</v>
      </c>
      <c r="B680" t="s">
        <v>646</v>
      </c>
      <c r="C680" t="s">
        <v>1501</v>
      </c>
      <c r="D680" s="32">
        <v>45564</v>
      </c>
      <c r="E680" t="s">
        <v>1484</v>
      </c>
      <c r="F680" t="str">
        <f>VLOOKUP(B680,'Agent wise'!A:E,5,0)</f>
        <v>Wireless</v>
      </c>
      <c r="G680" s="32">
        <v>45937</v>
      </c>
      <c r="H680">
        <f>COUNTIFS('Audit Raw data'!J:J,B:B,'Audit Raw data'!E:E,G:G)</f>
        <v>0</v>
      </c>
      <c r="I680" s="44" t="str">
        <f>IFERROR((SUMIFS('Audit Raw data'!BZ:BZ,'Audit Raw data'!J:J,B:B,'Audit Raw data'!E:E,G:G)/H680)/100,"-")</f>
        <v>-</v>
      </c>
      <c r="J680">
        <f>COUNTIFS('Audit Raw data'!AM:AM,"Yes",'Audit Raw data'!J:J,B:B,'Audit Raw data'!E:E,'Day wise agent'!G:G)</f>
        <v>0</v>
      </c>
      <c r="K680">
        <f>COUNTIFS('Audit Raw data'!AM:AM,"NO",'Audit Raw data'!J:J,B:B,'Audit Raw data'!E:E,'Day wise agent'!G:G)</f>
        <v>0</v>
      </c>
      <c r="L680" s="12" t="str">
        <f t="shared" si="21"/>
        <v xml:space="preserve"> </v>
      </c>
    </row>
    <row r="681" spans="1:12" x14ac:dyDescent="0.35">
      <c r="A681" t="str">
        <f t="shared" si="20"/>
        <v>SBM91345937</v>
      </c>
      <c r="B681" t="s">
        <v>650</v>
      </c>
      <c r="C681" t="s">
        <v>1503</v>
      </c>
      <c r="D681" s="32">
        <v>45589</v>
      </c>
      <c r="E681" t="s">
        <v>178</v>
      </c>
      <c r="F681" t="str">
        <f>VLOOKUP(B681,'Agent wise'!A:E,5,0)</f>
        <v>Wireless</v>
      </c>
      <c r="G681" s="32">
        <v>45937</v>
      </c>
      <c r="H681">
        <f>COUNTIFS('Audit Raw data'!J:J,B:B,'Audit Raw data'!E:E,G:G)</f>
        <v>0</v>
      </c>
      <c r="I681" s="44" t="str">
        <f>IFERROR((SUMIFS('Audit Raw data'!BZ:BZ,'Audit Raw data'!J:J,B:B,'Audit Raw data'!E:E,G:G)/H681)/100,"-")</f>
        <v>-</v>
      </c>
      <c r="J681">
        <f>COUNTIFS('Audit Raw data'!AM:AM,"Yes",'Audit Raw data'!J:J,B:B,'Audit Raw data'!E:E,'Day wise agent'!G:G)</f>
        <v>0</v>
      </c>
      <c r="K681">
        <f>COUNTIFS('Audit Raw data'!AM:AM,"NO",'Audit Raw data'!J:J,B:B,'Audit Raw data'!E:E,'Day wise agent'!G:G)</f>
        <v>0</v>
      </c>
      <c r="L681" s="12" t="str">
        <f t="shared" si="21"/>
        <v xml:space="preserve"> </v>
      </c>
    </row>
    <row r="682" spans="1:12" x14ac:dyDescent="0.35">
      <c r="A682" t="str">
        <f t="shared" si="20"/>
        <v>SBM94645937</v>
      </c>
      <c r="B682" t="s">
        <v>653</v>
      </c>
      <c r="C682" t="s">
        <v>1505</v>
      </c>
      <c r="D682" s="32">
        <v>45635</v>
      </c>
      <c r="E682" t="s">
        <v>1453</v>
      </c>
      <c r="F682" t="str">
        <f>VLOOKUP(B682,'Agent wise'!A:E,5,0)</f>
        <v>Wireless</v>
      </c>
      <c r="G682" s="32">
        <v>45937</v>
      </c>
      <c r="H682">
        <f>COUNTIFS('Audit Raw data'!J:J,B:B,'Audit Raw data'!E:E,G:G)</f>
        <v>1</v>
      </c>
      <c r="I682" s="44">
        <f>IFERROR((SUMIFS('Audit Raw data'!BZ:BZ,'Audit Raw data'!J:J,B:B,'Audit Raw data'!E:E,G:G)/H682)/100,"-")</f>
        <v>0.98</v>
      </c>
      <c r="J682">
        <f>COUNTIFS('Audit Raw data'!AM:AM,"Yes",'Audit Raw data'!J:J,B:B,'Audit Raw data'!E:E,'Day wise agent'!G:G)</f>
        <v>1</v>
      </c>
      <c r="K682">
        <f>COUNTIFS('Audit Raw data'!AM:AM,"NO",'Audit Raw data'!J:J,B:B,'Audit Raw data'!E:E,'Day wise agent'!G:G)</f>
        <v>0</v>
      </c>
      <c r="L682" s="12">
        <f t="shared" si="21"/>
        <v>1</v>
      </c>
    </row>
    <row r="683" spans="1:12" x14ac:dyDescent="0.35">
      <c r="A683" t="str">
        <f t="shared" si="20"/>
        <v>SBM95845937</v>
      </c>
      <c r="B683" t="s">
        <v>124</v>
      </c>
      <c r="C683" t="s">
        <v>1508</v>
      </c>
      <c r="D683" s="32">
        <v>45641</v>
      </c>
      <c r="E683" t="s">
        <v>1453</v>
      </c>
      <c r="F683" t="str">
        <f>VLOOKUP(B683,'Agent wise'!A:E,5,0)</f>
        <v>Wireless</v>
      </c>
      <c r="G683" s="32">
        <v>45937</v>
      </c>
      <c r="H683">
        <f>COUNTIFS('Audit Raw data'!J:J,B:B,'Audit Raw data'!E:E,G:G)</f>
        <v>3</v>
      </c>
      <c r="I683" s="44">
        <f>IFERROR((SUMIFS('Audit Raw data'!BZ:BZ,'Audit Raw data'!J:J,B:B,'Audit Raw data'!E:E,G:G)/H683)/100,"-")</f>
        <v>0.88666666666666671</v>
      </c>
      <c r="J683">
        <f>COUNTIFS('Audit Raw data'!AM:AM,"Yes",'Audit Raw data'!J:J,B:B,'Audit Raw data'!E:E,'Day wise agent'!G:G)</f>
        <v>3</v>
      </c>
      <c r="K683">
        <f>COUNTIFS('Audit Raw data'!AM:AM,"NO",'Audit Raw data'!J:J,B:B,'Audit Raw data'!E:E,'Day wise agent'!G:G)</f>
        <v>0</v>
      </c>
      <c r="L683" s="12">
        <f t="shared" si="21"/>
        <v>1</v>
      </c>
    </row>
    <row r="684" spans="1:12" x14ac:dyDescent="0.35">
      <c r="A684" t="str">
        <f t="shared" si="20"/>
        <v>SBM96345937</v>
      </c>
      <c r="B684" t="s">
        <v>149</v>
      </c>
      <c r="C684" t="s">
        <v>1506</v>
      </c>
      <c r="D684" s="32">
        <v>45637</v>
      </c>
      <c r="E684" t="s">
        <v>107</v>
      </c>
      <c r="F684" t="str">
        <f>VLOOKUP(B684,'Agent wise'!A:E,5,0)</f>
        <v>Wireless</v>
      </c>
      <c r="G684" s="32">
        <v>45937</v>
      </c>
      <c r="H684">
        <f>COUNTIFS('Audit Raw data'!J:J,B:B,'Audit Raw data'!E:E,G:G)</f>
        <v>4</v>
      </c>
      <c r="I684" s="44">
        <f>IFERROR((SUMIFS('Audit Raw data'!BZ:BZ,'Audit Raw data'!J:J,B:B,'Audit Raw data'!E:E,G:G)/H684)/100,"-")</f>
        <v>0.94499999999999995</v>
      </c>
      <c r="J684">
        <f>COUNTIFS('Audit Raw data'!AM:AM,"Yes",'Audit Raw data'!J:J,B:B,'Audit Raw data'!E:E,'Day wise agent'!G:G)</f>
        <v>4</v>
      </c>
      <c r="K684">
        <f>COUNTIFS('Audit Raw data'!AM:AM,"NO",'Audit Raw data'!J:J,B:B,'Audit Raw data'!E:E,'Day wise agent'!G:G)</f>
        <v>0</v>
      </c>
      <c r="L684" s="12">
        <f t="shared" si="21"/>
        <v>1</v>
      </c>
    </row>
    <row r="685" spans="1:12" x14ac:dyDescent="0.35">
      <c r="A685" t="str">
        <f t="shared" si="20"/>
        <v>SBM96745937</v>
      </c>
      <c r="B685" t="s">
        <v>657</v>
      </c>
      <c r="C685" t="s">
        <v>1507</v>
      </c>
      <c r="D685" s="32">
        <v>45640</v>
      </c>
      <c r="E685" t="s">
        <v>1453</v>
      </c>
      <c r="F685" t="str">
        <f>VLOOKUP(B685,'Agent wise'!A:E,5,0)</f>
        <v>Wireless</v>
      </c>
      <c r="G685" s="32">
        <v>45937</v>
      </c>
      <c r="H685">
        <f>COUNTIFS('Audit Raw data'!J:J,B:B,'Audit Raw data'!E:E,G:G)</f>
        <v>0</v>
      </c>
      <c r="I685" s="44" t="str">
        <f>IFERROR((SUMIFS('Audit Raw data'!BZ:BZ,'Audit Raw data'!J:J,B:B,'Audit Raw data'!E:E,G:G)/H685)/100,"-")</f>
        <v>-</v>
      </c>
      <c r="J685">
        <f>COUNTIFS('Audit Raw data'!AM:AM,"Yes",'Audit Raw data'!J:J,B:B,'Audit Raw data'!E:E,'Day wise agent'!G:G)</f>
        <v>0</v>
      </c>
      <c r="K685">
        <f>COUNTIFS('Audit Raw data'!AM:AM,"NO",'Audit Raw data'!J:J,B:B,'Audit Raw data'!E:E,'Day wise agent'!G:G)</f>
        <v>0</v>
      </c>
      <c r="L685" s="12" t="str">
        <f t="shared" si="21"/>
        <v xml:space="preserve"> </v>
      </c>
    </row>
    <row r="686" spans="1:12" x14ac:dyDescent="0.35">
      <c r="A686" t="str">
        <f t="shared" si="20"/>
        <v>SBM98345937</v>
      </c>
      <c r="B686" t="s">
        <v>1509</v>
      </c>
      <c r="C686" t="s">
        <v>1510</v>
      </c>
      <c r="D686" s="32">
        <v>45659</v>
      </c>
      <c r="E686" t="s">
        <v>1484</v>
      </c>
      <c r="F686" t="str">
        <f>VLOOKUP(B686,'Agent wise'!A:E,5,0)</f>
        <v>Wireless</v>
      </c>
      <c r="G686" s="32">
        <v>45937</v>
      </c>
      <c r="H686">
        <f>COUNTIFS('Audit Raw data'!J:J,B:B,'Audit Raw data'!E:E,G:G)</f>
        <v>0</v>
      </c>
      <c r="I686" s="44" t="str">
        <f>IFERROR((SUMIFS('Audit Raw data'!BZ:BZ,'Audit Raw data'!J:J,B:B,'Audit Raw data'!E:E,G:G)/H686)/100,"-")</f>
        <v>-</v>
      </c>
      <c r="J686">
        <f>COUNTIFS('Audit Raw data'!AM:AM,"Yes",'Audit Raw data'!J:J,B:B,'Audit Raw data'!E:E,'Day wise agent'!G:G)</f>
        <v>0</v>
      </c>
      <c r="K686">
        <f>COUNTIFS('Audit Raw data'!AM:AM,"NO",'Audit Raw data'!J:J,B:B,'Audit Raw data'!E:E,'Day wise agent'!G:G)</f>
        <v>0</v>
      </c>
      <c r="L686" s="12" t="str">
        <f t="shared" si="21"/>
        <v xml:space="preserve"> </v>
      </c>
    </row>
    <row r="687" spans="1:12" x14ac:dyDescent="0.35">
      <c r="A687" t="str">
        <f t="shared" si="20"/>
        <v>SBM99045937</v>
      </c>
      <c r="B687" t="s">
        <v>660</v>
      </c>
      <c r="C687" t="s">
        <v>1512</v>
      </c>
      <c r="D687" s="32">
        <v>45663</v>
      </c>
      <c r="E687" t="s">
        <v>178</v>
      </c>
      <c r="F687" t="str">
        <f>VLOOKUP(B687,'Agent wise'!A:E,5,0)</f>
        <v>Wireless</v>
      </c>
      <c r="G687" s="32">
        <v>45937</v>
      </c>
      <c r="H687">
        <f>COUNTIFS('Audit Raw data'!J:J,B:B,'Audit Raw data'!E:E,G:G)</f>
        <v>0</v>
      </c>
      <c r="I687" s="44" t="str">
        <f>IFERROR((SUMIFS('Audit Raw data'!BZ:BZ,'Audit Raw data'!J:J,B:B,'Audit Raw data'!E:E,G:G)/H687)/100,"-")</f>
        <v>-</v>
      </c>
      <c r="J687">
        <f>COUNTIFS('Audit Raw data'!AM:AM,"Yes",'Audit Raw data'!J:J,B:B,'Audit Raw data'!E:E,'Day wise agent'!G:G)</f>
        <v>0</v>
      </c>
      <c r="K687">
        <f>COUNTIFS('Audit Raw data'!AM:AM,"NO",'Audit Raw data'!J:J,B:B,'Audit Raw data'!E:E,'Day wise agent'!G:G)</f>
        <v>0</v>
      </c>
      <c r="L687" s="12" t="str">
        <f t="shared" si="21"/>
        <v xml:space="preserve"> </v>
      </c>
    </row>
    <row r="688" spans="1:12" x14ac:dyDescent="0.35">
      <c r="A688" t="str">
        <f t="shared" si="20"/>
        <v>VPS10645937</v>
      </c>
      <c r="B688" t="s">
        <v>1513</v>
      </c>
      <c r="C688" t="s">
        <v>1514</v>
      </c>
      <c r="D688" s="32">
        <v>45674</v>
      </c>
      <c r="E688" t="s">
        <v>1456</v>
      </c>
      <c r="F688" t="str">
        <f>VLOOKUP(B688,'Agent wise'!A:E,5,0)</f>
        <v>RECL</v>
      </c>
      <c r="G688" s="32">
        <v>45937</v>
      </c>
      <c r="H688">
        <f>COUNTIFS('Audit Raw data'!J:J,B:B,'Audit Raw data'!E:E,G:G)</f>
        <v>0</v>
      </c>
      <c r="I688" s="44" t="str">
        <f>IFERROR((SUMIFS('Audit Raw data'!BZ:BZ,'Audit Raw data'!J:J,B:B,'Audit Raw data'!E:E,G:G)/H688)/100,"-")</f>
        <v>-</v>
      </c>
      <c r="J688">
        <f>COUNTIFS('Audit Raw data'!AM:AM,"Yes",'Audit Raw data'!J:J,B:B,'Audit Raw data'!E:E,'Day wise agent'!G:G)</f>
        <v>0</v>
      </c>
      <c r="K688">
        <f>COUNTIFS('Audit Raw data'!AM:AM,"NO",'Audit Raw data'!J:J,B:B,'Audit Raw data'!E:E,'Day wise agent'!G:G)</f>
        <v>0</v>
      </c>
      <c r="L688" s="12" t="str">
        <f t="shared" si="21"/>
        <v xml:space="preserve"> </v>
      </c>
    </row>
    <row r="689" spans="1:12" x14ac:dyDescent="0.35">
      <c r="A689" t="str">
        <f t="shared" si="20"/>
        <v>VPS11145937</v>
      </c>
      <c r="B689" t="s">
        <v>108</v>
      </c>
      <c r="C689" t="s">
        <v>1515</v>
      </c>
      <c r="D689" s="32">
        <v>45675</v>
      </c>
      <c r="E689" t="s">
        <v>1484</v>
      </c>
      <c r="F689" t="str">
        <f>VLOOKUP(B689,'Agent wise'!A:E,5,0)</f>
        <v>Wireless</v>
      </c>
      <c r="G689" s="32">
        <v>45937</v>
      </c>
      <c r="H689">
        <f>COUNTIFS('Audit Raw data'!J:J,B:B,'Audit Raw data'!E:E,G:G)</f>
        <v>4</v>
      </c>
      <c r="I689" s="44">
        <f>IFERROR((SUMIFS('Audit Raw data'!BZ:BZ,'Audit Raw data'!J:J,B:B,'Audit Raw data'!E:E,G:G)/H689)/100,"-")</f>
        <v>0.91500000000000004</v>
      </c>
      <c r="J689">
        <f>COUNTIFS('Audit Raw data'!AM:AM,"Yes",'Audit Raw data'!J:J,B:B,'Audit Raw data'!E:E,'Day wise agent'!G:G)</f>
        <v>4</v>
      </c>
      <c r="K689">
        <f>COUNTIFS('Audit Raw data'!AM:AM,"NO",'Audit Raw data'!J:J,B:B,'Audit Raw data'!E:E,'Day wise agent'!G:G)</f>
        <v>0</v>
      </c>
      <c r="L689" s="12">
        <f t="shared" si="21"/>
        <v>1</v>
      </c>
    </row>
    <row r="690" spans="1:12" x14ac:dyDescent="0.35">
      <c r="A690" t="str">
        <f t="shared" si="20"/>
        <v>VPS12045937</v>
      </c>
      <c r="B690" t="s">
        <v>263</v>
      </c>
      <c r="C690" t="s">
        <v>1516</v>
      </c>
      <c r="D690" s="32">
        <v>45690</v>
      </c>
      <c r="E690" t="s">
        <v>178</v>
      </c>
      <c r="F690" t="str">
        <f>VLOOKUP(B690,'Agent wise'!A:E,5,0)</f>
        <v>Wireless</v>
      </c>
      <c r="G690" s="32">
        <v>45937</v>
      </c>
      <c r="H690">
        <f>COUNTIFS('Audit Raw data'!J:J,B:B,'Audit Raw data'!E:E,G:G)</f>
        <v>2</v>
      </c>
      <c r="I690" s="44">
        <f>IFERROR((SUMIFS('Audit Raw data'!BZ:BZ,'Audit Raw data'!J:J,B:B,'Audit Raw data'!E:E,G:G)/H690)/100,"-")</f>
        <v>0.73</v>
      </c>
      <c r="J690">
        <f>COUNTIFS('Audit Raw data'!AM:AM,"Yes",'Audit Raw data'!J:J,B:B,'Audit Raw data'!E:E,'Day wise agent'!G:G)</f>
        <v>2</v>
      </c>
      <c r="K690">
        <f>COUNTIFS('Audit Raw data'!AM:AM,"NO",'Audit Raw data'!J:J,B:B,'Audit Raw data'!E:E,'Day wise agent'!G:G)</f>
        <v>0</v>
      </c>
      <c r="L690" s="12">
        <f t="shared" si="21"/>
        <v>1</v>
      </c>
    </row>
    <row r="691" spans="1:12" x14ac:dyDescent="0.35">
      <c r="A691" t="str">
        <f t="shared" si="20"/>
        <v>VPS12445937</v>
      </c>
      <c r="B691" t="s">
        <v>1517</v>
      </c>
      <c r="C691" t="s">
        <v>1518</v>
      </c>
      <c r="D691" s="32">
        <v>45705</v>
      </c>
      <c r="E691" t="s">
        <v>1456</v>
      </c>
      <c r="F691" t="str">
        <f>VLOOKUP(B691,'Agent wise'!A:E,5,0)</f>
        <v>RECL</v>
      </c>
      <c r="G691" s="32">
        <v>45937</v>
      </c>
      <c r="H691">
        <f>COUNTIFS('Audit Raw data'!J:J,B:B,'Audit Raw data'!E:E,G:G)</f>
        <v>0</v>
      </c>
      <c r="I691" s="44" t="str">
        <f>IFERROR((SUMIFS('Audit Raw data'!BZ:BZ,'Audit Raw data'!J:J,B:B,'Audit Raw data'!E:E,G:G)/H691)/100,"-")</f>
        <v>-</v>
      </c>
      <c r="J691">
        <f>COUNTIFS('Audit Raw data'!AM:AM,"Yes",'Audit Raw data'!J:J,B:B,'Audit Raw data'!E:E,'Day wise agent'!G:G)</f>
        <v>0</v>
      </c>
      <c r="K691">
        <f>COUNTIFS('Audit Raw data'!AM:AM,"NO",'Audit Raw data'!J:J,B:B,'Audit Raw data'!E:E,'Day wise agent'!G:G)</f>
        <v>0</v>
      </c>
      <c r="L691" s="12" t="str">
        <f t="shared" si="21"/>
        <v xml:space="preserve"> </v>
      </c>
    </row>
    <row r="692" spans="1:12" x14ac:dyDescent="0.35">
      <c r="A692" t="str">
        <f t="shared" si="20"/>
        <v>VPS12645937</v>
      </c>
      <c r="B692" t="s">
        <v>1521</v>
      </c>
      <c r="C692" t="s">
        <v>1522</v>
      </c>
      <c r="D692" s="32">
        <v>45710</v>
      </c>
      <c r="E692" t="s">
        <v>1456</v>
      </c>
      <c r="F692" t="str">
        <f>VLOOKUP(B692,'Agent wise'!A:E,5,0)</f>
        <v>RECL</v>
      </c>
      <c r="G692" s="32">
        <v>45937</v>
      </c>
      <c r="H692">
        <f>COUNTIFS('Audit Raw data'!J:J,B:B,'Audit Raw data'!E:E,G:G)</f>
        <v>0</v>
      </c>
      <c r="I692" s="44" t="str">
        <f>IFERROR((SUMIFS('Audit Raw data'!BZ:BZ,'Audit Raw data'!J:J,B:B,'Audit Raw data'!E:E,G:G)/H692)/100,"-")</f>
        <v>-</v>
      </c>
      <c r="J692">
        <f>COUNTIFS('Audit Raw data'!AM:AM,"Yes",'Audit Raw data'!J:J,B:B,'Audit Raw data'!E:E,'Day wise agent'!G:G)</f>
        <v>0</v>
      </c>
      <c r="K692">
        <f>COUNTIFS('Audit Raw data'!AM:AM,"NO",'Audit Raw data'!J:J,B:B,'Audit Raw data'!E:E,'Day wise agent'!G:G)</f>
        <v>0</v>
      </c>
      <c r="L692" s="12" t="str">
        <f t="shared" si="21"/>
        <v xml:space="preserve"> </v>
      </c>
    </row>
    <row r="693" spans="1:12" x14ac:dyDescent="0.35">
      <c r="A693" t="str">
        <f t="shared" si="20"/>
        <v>VPS12745937</v>
      </c>
      <c r="B693" t="s">
        <v>1523</v>
      </c>
      <c r="C693" t="s">
        <v>1524</v>
      </c>
      <c r="D693" s="32">
        <v>45710</v>
      </c>
      <c r="E693" t="s">
        <v>1456</v>
      </c>
      <c r="F693" t="str">
        <f>VLOOKUP(B693,'Agent wise'!A:E,5,0)</f>
        <v>RECL</v>
      </c>
      <c r="G693" s="32">
        <v>45937</v>
      </c>
      <c r="H693">
        <f>COUNTIFS('Audit Raw data'!J:J,B:B,'Audit Raw data'!E:E,G:G)</f>
        <v>0</v>
      </c>
      <c r="I693" s="44" t="str">
        <f>IFERROR((SUMIFS('Audit Raw data'!BZ:BZ,'Audit Raw data'!J:J,B:B,'Audit Raw data'!E:E,G:G)/H693)/100,"-")</f>
        <v>-</v>
      </c>
      <c r="J693">
        <f>COUNTIFS('Audit Raw data'!AM:AM,"Yes",'Audit Raw data'!J:J,B:B,'Audit Raw data'!E:E,'Day wise agent'!G:G)</f>
        <v>0</v>
      </c>
      <c r="K693">
        <f>COUNTIFS('Audit Raw data'!AM:AM,"NO",'Audit Raw data'!J:J,B:B,'Audit Raw data'!E:E,'Day wise agent'!G:G)</f>
        <v>0</v>
      </c>
      <c r="L693" s="12" t="str">
        <f t="shared" si="21"/>
        <v xml:space="preserve"> </v>
      </c>
    </row>
    <row r="694" spans="1:12" x14ac:dyDescent="0.35">
      <c r="A694" t="str">
        <f t="shared" si="20"/>
        <v>VPS13045937</v>
      </c>
      <c r="B694" t="s">
        <v>662</v>
      </c>
      <c r="C694" t="s">
        <v>1525</v>
      </c>
      <c r="D694" s="32">
        <v>45710</v>
      </c>
      <c r="E694" t="s">
        <v>1484</v>
      </c>
      <c r="F694" t="str">
        <f>VLOOKUP(B694,'Agent wise'!A:E,5,0)</f>
        <v>Wireless</v>
      </c>
      <c r="G694" s="32">
        <v>45937</v>
      </c>
      <c r="H694">
        <f>COUNTIFS('Audit Raw data'!J:J,B:B,'Audit Raw data'!E:E,G:G)</f>
        <v>0</v>
      </c>
      <c r="I694" s="44" t="str">
        <f>IFERROR((SUMIFS('Audit Raw data'!BZ:BZ,'Audit Raw data'!J:J,B:B,'Audit Raw data'!E:E,G:G)/H694)/100,"-")</f>
        <v>-</v>
      </c>
      <c r="J694">
        <f>COUNTIFS('Audit Raw data'!AM:AM,"Yes",'Audit Raw data'!J:J,B:B,'Audit Raw data'!E:E,'Day wise agent'!G:G)</f>
        <v>0</v>
      </c>
      <c r="K694">
        <f>COUNTIFS('Audit Raw data'!AM:AM,"NO",'Audit Raw data'!J:J,B:B,'Audit Raw data'!E:E,'Day wise agent'!G:G)</f>
        <v>0</v>
      </c>
      <c r="L694" s="12" t="str">
        <f t="shared" si="21"/>
        <v xml:space="preserve"> </v>
      </c>
    </row>
    <row r="695" spans="1:12" x14ac:dyDescent="0.35">
      <c r="A695" t="str">
        <f t="shared" si="20"/>
        <v>VPS13145937</v>
      </c>
      <c r="B695" t="s">
        <v>1519</v>
      </c>
      <c r="C695" t="s">
        <v>1520</v>
      </c>
      <c r="D695" s="32">
        <v>45710</v>
      </c>
      <c r="E695" t="s">
        <v>1456</v>
      </c>
      <c r="F695" t="str">
        <f>VLOOKUP(B695,'Agent wise'!A:E,5,0)</f>
        <v>RECL</v>
      </c>
      <c r="G695" s="32">
        <v>45937</v>
      </c>
      <c r="H695">
        <f>COUNTIFS('Audit Raw data'!J:J,B:B,'Audit Raw data'!E:E,G:G)</f>
        <v>0</v>
      </c>
      <c r="I695" s="44" t="str">
        <f>IFERROR((SUMIFS('Audit Raw data'!BZ:BZ,'Audit Raw data'!J:J,B:B,'Audit Raw data'!E:E,G:G)/H695)/100,"-")</f>
        <v>-</v>
      </c>
      <c r="J695">
        <f>COUNTIFS('Audit Raw data'!AM:AM,"Yes",'Audit Raw data'!J:J,B:B,'Audit Raw data'!E:E,'Day wise agent'!G:G)</f>
        <v>0</v>
      </c>
      <c r="K695">
        <f>COUNTIFS('Audit Raw data'!AM:AM,"NO",'Audit Raw data'!J:J,B:B,'Audit Raw data'!E:E,'Day wise agent'!G:G)</f>
        <v>0</v>
      </c>
      <c r="L695" s="12" t="str">
        <f t="shared" si="21"/>
        <v xml:space="preserve"> </v>
      </c>
    </row>
    <row r="696" spans="1:12" x14ac:dyDescent="0.35">
      <c r="A696" t="str">
        <f t="shared" si="20"/>
        <v>VPS13245937</v>
      </c>
      <c r="B696" t="s">
        <v>1526</v>
      </c>
      <c r="C696" t="s">
        <v>1527</v>
      </c>
      <c r="D696" s="32">
        <v>45717</v>
      </c>
      <c r="E696" t="s">
        <v>221</v>
      </c>
      <c r="F696" t="str">
        <f>VLOOKUP(B696,'Agent wise'!A:E,5,0)</f>
        <v>Wire-line</v>
      </c>
      <c r="G696" s="32">
        <v>45937</v>
      </c>
      <c r="H696">
        <f>COUNTIFS('Audit Raw data'!J:J,B:B,'Audit Raw data'!E:E,G:G)</f>
        <v>0</v>
      </c>
      <c r="I696" s="44" t="str">
        <f>IFERROR((SUMIFS('Audit Raw data'!BZ:BZ,'Audit Raw data'!J:J,B:B,'Audit Raw data'!E:E,G:G)/H696)/100,"-")</f>
        <v>-</v>
      </c>
      <c r="J696">
        <f>COUNTIFS('Audit Raw data'!AM:AM,"Yes",'Audit Raw data'!J:J,B:B,'Audit Raw data'!E:E,'Day wise agent'!G:G)</f>
        <v>0</v>
      </c>
      <c r="K696">
        <f>COUNTIFS('Audit Raw data'!AM:AM,"NO",'Audit Raw data'!J:J,B:B,'Audit Raw data'!E:E,'Day wise agent'!G:G)</f>
        <v>0</v>
      </c>
      <c r="L696" s="12" t="str">
        <f t="shared" si="21"/>
        <v xml:space="preserve"> </v>
      </c>
    </row>
    <row r="697" spans="1:12" x14ac:dyDescent="0.35">
      <c r="A697" t="str">
        <f t="shared" si="20"/>
        <v>VPS14345937</v>
      </c>
      <c r="B697" t="s">
        <v>269</v>
      </c>
      <c r="C697" t="s">
        <v>1528</v>
      </c>
      <c r="D697" s="32">
        <v>45723</v>
      </c>
      <c r="E697" t="s">
        <v>1484</v>
      </c>
      <c r="F697" t="str">
        <f>VLOOKUP(B697,'Agent wise'!A:E,5,0)</f>
        <v>Wireless</v>
      </c>
      <c r="G697" s="32">
        <v>45937</v>
      </c>
      <c r="H697">
        <f>COUNTIFS('Audit Raw data'!J:J,B:B,'Audit Raw data'!E:E,G:G)</f>
        <v>0</v>
      </c>
      <c r="I697" s="44" t="str">
        <f>IFERROR((SUMIFS('Audit Raw data'!BZ:BZ,'Audit Raw data'!J:J,B:B,'Audit Raw data'!E:E,G:G)/H697)/100,"-")</f>
        <v>-</v>
      </c>
      <c r="J697">
        <f>COUNTIFS('Audit Raw data'!AM:AM,"Yes",'Audit Raw data'!J:J,B:B,'Audit Raw data'!E:E,'Day wise agent'!G:G)</f>
        <v>0</v>
      </c>
      <c r="K697">
        <f>COUNTIFS('Audit Raw data'!AM:AM,"NO",'Audit Raw data'!J:J,B:B,'Audit Raw data'!E:E,'Day wise agent'!G:G)</f>
        <v>0</v>
      </c>
      <c r="L697" s="12" t="str">
        <f t="shared" si="21"/>
        <v xml:space="preserve"> </v>
      </c>
    </row>
    <row r="698" spans="1:12" x14ac:dyDescent="0.35">
      <c r="A698" t="str">
        <f t="shared" si="20"/>
        <v>VPS15145937</v>
      </c>
      <c r="B698" t="s">
        <v>274</v>
      </c>
      <c r="C698" t="s">
        <v>1529</v>
      </c>
      <c r="D698" s="32">
        <v>45735</v>
      </c>
      <c r="E698" t="s">
        <v>107</v>
      </c>
      <c r="F698" t="str">
        <f>VLOOKUP(B698,'Agent wise'!A:E,5,0)</f>
        <v>Wireless</v>
      </c>
      <c r="G698" s="32">
        <v>45937</v>
      </c>
      <c r="H698">
        <f>COUNTIFS('Audit Raw data'!J:J,B:B,'Audit Raw data'!E:E,G:G)</f>
        <v>2</v>
      </c>
      <c r="I698" s="44">
        <f>IFERROR((SUMIFS('Audit Raw data'!BZ:BZ,'Audit Raw data'!J:J,B:B,'Audit Raw data'!E:E,G:G)/H698)/100,"-")</f>
        <v>0.9</v>
      </c>
      <c r="J698">
        <f>COUNTIFS('Audit Raw data'!AM:AM,"Yes",'Audit Raw data'!J:J,B:B,'Audit Raw data'!E:E,'Day wise agent'!G:G)</f>
        <v>2</v>
      </c>
      <c r="K698">
        <f>COUNTIFS('Audit Raw data'!AM:AM,"NO",'Audit Raw data'!J:J,B:B,'Audit Raw data'!E:E,'Day wise agent'!G:G)</f>
        <v>0</v>
      </c>
      <c r="L698" s="12">
        <f t="shared" si="21"/>
        <v>1</v>
      </c>
    </row>
    <row r="699" spans="1:12" x14ac:dyDescent="0.35">
      <c r="A699" t="str">
        <f t="shared" si="20"/>
        <v>VPS16045937</v>
      </c>
      <c r="B699" t="s">
        <v>258</v>
      </c>
      <c r="C699" t="s">
        <v>1530</v>
      </c>
      <c r="D699" s="32">
        <v>45748</v>
      </c>
      <c r="E699" t="s">
        <v>1484</v>
      </c>
      <c r="F699" t="str">
        <f>VLOOKUP(B699,'Agent wise'!A:E,5,0)</f>
        <v>Wireless</v>
      </c>
      <c r="G699" s="32">
        <v>45937</v>
      </c>
      <c r="H699">
        <f>COUNTIFS('Audit Raw data'!J:J,B:B,'Audit Raw data'!E:E,G:G)</f>
        <v>0</v>
      </c>
      <c r="I699" s="44" t="str">
        <f>IFERROR((SUMIFS('Audit Raw data'!BZ:BZ,'Audit Raw data'!J:J,B:B,'Audit Raw data'!E:E,G:G)/H699)/100,"-")</f>
        <v>-</v>
      </c>
      <c r="J699">
        <f>COUNTIFS('Audit Raw data'!AM:AM,"Yes",'Audit Raw data'!J:J,B:B,'Audit Raw data'!E:E,'Day wise agent'!G:G)</f>
        <v>0</v>
      </c>
      <c r="K699">
        <f>COUNTIFS('Audit Raw data'!AM:AM,"NO",'Audit Raw data'!J:J,B:B,'Audit Raw data'!E:E,'Day wise agent'!G:G)</f>
        <v>0</v>
      </c>
      <c r="L699" s="12" t="str">
        <f t="shared" si="21"/>
        <v xml:space="preserve"> </v>
      </c>
    </row>
    <row r="700" spans="1:12" x14ac:dyDescent="0.35">
      <c r="A700" t="str">
        <f t="shared" si="20"/>
        <v>VPS17145937</v>
      </c>
      <c r="B700" t="s">
        <v>307</v>
      </c>
      <c r="C700" t="s">
        <v>1531</v>
      </c>
      <c r="D700" s="32">
        <v>45767</v>
      </c>
      <c r="E700" t="s">
        <v>221</v>
      </c>
      <c r="F700" t="str">
        <f>VLOOKUP(B700,'Agent wise'!A:E,5,0)</f>
        <v>Wire-line</v>
      </c>
      <c r="G700" s="32">
        <v>45937</v>
      </c>
      <c r="H700">
        <f>COUNTIFS('Audit Raw data'!J:J,B:B,'Audit Raw data'!E:E,G:G)</f>
        <v>2</v>
      </c>
      <c r="I700" s="44">
        <f>IFERROR((SUMIFS('Audit Raw data'!BZ:BZ,'Audit Raw data'!J:J,B:B,'Audit Raw data'!E:E,G:G)/H700)/100,"-")</f>
        <v>0.96</v>
      </c>
      <c r="J700">
        <f>COUNTIFS('Audit Raw data'!AM:AM,"Yes",'Audit Raw data'!J:J,B:B,'Audit Raw data'!E:E,'Day wise agent'!G:G)</f>
        <v>2</v>
      </c>
      <c r="K700">
        <f>COUNTIFS('Audit Raw data'!AM:AM,"NO",'Audit Raw data'!J:J,B:B,'Audit Raw data'!E:E,'Day wise agent'!G:G)</f>
        <v>0</v>
      </c>
      <c r="L700" s="12">
        <f t="shared" si="21"/>
        <v>1</v>
      </c>
    </row>
    <row r="701" spans="1:12" x14ac:dyDescent="0.35">
      <c r="A701" t="str">
        <f t="shared" si="20"/>
        <v>VPS17745937</v>
      </c>
      <c r="B701" t="s">
        <v>280</v>
      </c>
      <c r="C701" t="s">
        <v>1532</v>
      </c>
      <c r="D701" s="32">
        <v>45766</v>
      </c>
      <c r="E701" t="s">
        <v>1453</v>
      </c>
      <c r="F701" t="str">
        <f>VLOOKUP(B701,'Agent wise'!A:E,5,0)</f>
        <v>Wireless</v>
      </c>
      <c r="G701" s="32">
        <v>45937</v>
      </c>
      <c r="H701">
        <f>COUNTIFS('Audit Raw data'!J:J,B:B,'Audit Raw data'!E:E,G:G)</f>
        <v>0</v>
      </c>
      <c r="I701" s="44" t="str">
        <f>IFERROR((SUMIFS('Audit Raw data'!BZ:BZ,'Audit Raw data'!J:J,B:B,'Audit Raw data'!E:E,G:G)/H701)/100,"-")</f>
        <v>-</v>
      </c>
      <c r="J701">
        <f>COUNTIFS('Audit Raw data'!AM:AM,"Yes",'Audit Raw data'!J:J,B:B,'Audit Raw data'!E:E,'Day wise agent'!G:G)</f>
        <v>0</v>
      </c>
      <c r="K701">
        <f>COUNTIFS('Audit Raw data'!AM:AM,"NO",'Audit Raw data'!J:J,B:B,'Audit Raw data'!E:E,'Day wise agent'!G:G)</f>
        <v>0</v>
      </c>
      <c r="L701" s="12" t="str">
        <f t="shared" si="21"/>
        <v xml:space="preserve"> </v>
      </c>
    </row>
    <row r="702" spans="1:12" x14ac:dyDescent="0.35">
      <c r="A702" t="str">
        <f t="shared" si="20"/>
        <v>VPS18145937</v>
      </c>
      <c r="B702" t="s">
        <v>234</v>
      </c>
      <c r="C702" t="s">
        <v>1533</v>
      </c>
      <c r="D702" s="32">
        <v>45775</v>
      </c>
      <c r="E702" t="s">
        <v>221</v>
      </c>
      <c r="F702" t="str">
        <f>VLOOKUP(B702,'Agent wise'!A:E,5,0)</f>
        <v>Wire-line</v>
      </c>
      <c r="G702" s="32">
        <v>45937</v>
      </c>
      <c r="H702">
        <f>COUNTIFS('Audit Raw data'!J:J,B:B,'Audit Raw data'!E:E,G:G)</f>
        <v>3</v>
      </c>
      <c r="I702" s="44">
        <f>IFERROR((SUMIFS('Audit Raw data'!BZ:BZ,'Audit Raw data'!J:J,B:B,'Audit Raw data'!E:E,G:G)/H702)/100,"-")</f>
        <v>0.94666666666666677</v>
      </c>
      <c r="J702">
        <f>COUNTIFS('Audit Raw data'!AM:AM,"Yes",'Audit Raw data'!J:J,B:B,'Audit Raw data'!E:E,'Day wise agent'!G:G)</f>
        <v>3</v>
      </c>
      <c r="K702">
        <f>COUNTIFS('Audit Raw data'!AM:AM,"NO",'Audit Raw data'!J:J,B:B,'Audit Raw data'!E:E,'Day wise agent'!G:G)</f>
        <v>0</v>
      </c>
      <c r="L702" s="12">
        <f t="shared" si="21"/>
        <v>1</v>
      </c>
    </row>
    <row r="703" spans="1:12" x14ac:dyDescent="0.35">
      <c r="A703" t="str">
        <f t="shared" si="20"/>
        <v>VPS18245937</v>
      </c>
      <c r="B703" t="s">
        <v>568</v>
      </c>
      <c r="C703" t="s">
        <v>1534</v>
      </c>
      <c r="D703" s="32">
        <v>45797</v>
      </c>
      <c r="E703" t="s">
        <v>221</v>
      </c>
      <c r="F703" t="str">
        <f>VLOOKUP(B703,'Agent wise'!A:E,5,0)</f>
        <v>Wire-line</v>
      </c>
      <c r="G703" s="32">
        <v>45937</v>
      </c>
      <c r="H703">
        <f>COUNTIFS('Audit Raw data'!J:J,B:B,'Audit Raw data'!E:E,G:G)</f>
        <v>1</v>
      </c>
      <c r="I703" s="44">
        <f>IFERROR((SUMIFS('Audit Raw data'!BZ:BZ,'Audit Raw data'!J:J,B:B,'Audit Raw data'!E:E,G:G)/H703)/100,"-")</f>
        <v>0.92</v>
      </c>
      <c r="J703">
        <f>COUNTIFS('Audit Raw data'!AM:AM,"Yes",'Audit Raw data'!J:J,B:B,'Audit Raw data'!E:E,'Day wise agent'!G:G)</f>
        <v>1</v>
      </c>
      <c r="K703">
        <f>COUNTIFS('Audit Raw data'!AM:AM,"NO",'Audit Raw data'!J:J,B:B,'Audit Raw data'!E:E,'Day wise agent'!G:G)</f>
        <v>0</v>
      </c>
      <c r="L703" s="12">
        <f t="shared" si="21"/>
        <v>1</v>
      </c>
    </row>
    <row r="704" spans="1:12" x14ac:dyDescent="0.35">
      <c r="A704" t="str">
        <f t="shared" si="20"/>
        <v>VPS18345937</v>
      </c>
      <c r="B704" t="s">
        <v>570</v>
      </c>
      <c r="C704" t="s">
        <v>1535</v>
      </c>
      <c r="D704" s="32">
        <v>45797</v>
      </c>
      <c r="E704" t="s">
        <v>221</v>
      </c>
      <c r="F704" t="str">
        <f>VLOOKUP(B704,'Agent wise'!A:E,5,0)</f>
        <v>Wire-line</v>
      </c>
      <c r="G704" s="32">
        <v>45937</v>
      </c>
      <c r="H704">
        <f>COUNTIFS('Audit Raw data'!J:J,B:B,'Audit Raw data'!E:E,G:G)</f>
        <v>0</v>
      </c>
      <c r="I704" s="44" t="str">
        <f>IFERROR((SUMIFS('Audit Raw data'!BZ:BZ,'Audit Raw data'!J:J,B:B,'Audit Raw data'!E:E,G:G)/H704)/100,"-")</f>
        <v>-</v>
      </c>
      <c r="J704">
        <f>COUNTIFS('Audit Raw data'!AM:AM,"Yes",'Audit Raw data'!J:J,B:B,'Audit Raw data'!E:E,'Day wise agent'!G:G)</f>
        <v>0</v>
      </c>
      <c r="K704">
        <f>COUNTIFS('Audit Raw data'!AM:AM,"NO",'Audit Raw data'!J:J,B:B,'Audit Raw data'!E:E,'Day wise agent'!G:G)</f>
        <v>0</v>
      </c>
      <c r="L704" s="12" t="str">
        <f t="shared" si="21"/>
        <v xml:space="preserve"> </v>
      </c>
    </row>
    <row r="705" spans="1:12" x14ac:dyDescent="0.35">
      <c r="A705" t="str">
        <f t="shared" si="20"/>
        <v>VPS18445937</v>
      </c>
      <c r="B705" t="s">
        <v>117</v>
      </c>
      <c r="C705" t="s">
        <v>1536</v>
      </c>
      <c r="D705" s="32">
        <v>45809</v>
      </c>
      <c r="E705" t="s">
        <v>1453</v>
      </c>
      <c r="F705" t="str">
        <f>VLOOKUP(B705,'Agent wise'!A:E,5,0)</f>
        <v>Wireless</v>
      </c>
      <c r="G705" s="32">
        <v>45937</v>
      </c>
      <c r="H705">
        <f>COUNTIFS('Audit Raw data'!J:J,B:B,'Audit Raw data'!E:E,G:G)</f>
        <v>0</v>
      </c>
      <c r="I705" s="44" t="str">
        <f>IFERROR((SUMIFS('Audit Raw data'!BZ:BZ,'Audit Raw data'!J:J,B:B,'Audit Raw data'!E:E,G:G)/H705)/100,"-")</f>
        <v>-</v>
      </c>
      <c r="J705">
        <f>COUNTIFS('Audit Raw data'!AM:AM,"Yes",'Audit Raw data'!J:J,B:B,'Audit Raw data'!E:E,'Day wise agent'!G:G)</f>
        <v>0</v>
      </c>
      <c r="K705">
        <f>COUNTIFS('Audit Raw data'!AM:AM,"NO",'Audit Raw data'!J:J,B:B,'Audit Raw data'!E:E,'Day wise agent'!G:G)</f>
        <v>0</v>
      </c>
      <c r="L705" s="12" t="str">
        <f t="shared" si="21"/>
        <v xml:space="preserve"> </v>
      </c>
    </row>
    <row r="706" spans="1:12" x14ac:dyDescent="0.35">
      <c r="A706" t="str">
        <f t="shared" ref="A706:A769" si="22">B706&amp;G706</f>
        <v>VPS19145937</v>
      </c>
      <c r="B706" t="s">
        <v>586</v>
      </c>
      <c r="C706" t="s">
        <v>1537</v>
      </c>
      <c r="D706" s="32">
        <v>45809</v>
      </c>
      <c r="E706" t="s">
        <v>107</v>
      </c>
      <c r="F706" t="str">
        <f>VLOOKUP(B706,'Agent wise'!A:E,5,0)</f>
        <v>Wireless</v>
      </c>
      <c r="G706" s="32">
        <v>45937</v>
      </c>
      <c r="H706">
        <f>COUNTIFS('Audit Raw data'!J:J,B:B,'Audit Raw data'!E:E,G:G)</f>
        <v>0</v>
      </c>
      <c r="I706" s="44" t="str">
        <f>IFERROR((SUMIFS('Audit Raw data'!BZ:BZ,'Audit Raw data'!J:J,B:B,'Audit Raw data'!E:E,G:G)/H706)/100,"-")</f>
        <v>-</v>
      </c>
      <c r="J706">
        <f>COUNTIFS('Audit Raw data'!AM:AM,"Yes",'Audit Raw data'!J:J,B:B,'Audit Raw data'!E:E,'Day wise agent'!G:G)</f>
        <v>0</v>
      </c>
      <c r="K706">
        <f>COUNTIFS('Audit Raw data'!AM:AM,"NO",'Audit Raw data'!J:J,B:B,'Audit Raw data'!E:E,'Day wise agent'!G:G)</f>
        <v>0</v>
      </c>
      <c r="L706" s="12" t="str">
        <f t="shared" ref="L706:L769" si="23">IFERROR(J706/H706," ")</f>
        <v xml:space="preserve"> </v>
      </c>
    </row>
    <row r="707" spans="1:12" x14ac:dyDescent="0.35">
      <c r="A707" t="str">
        <f t="shared" si="22"/>
        <v>VPS19345937</v>
      </c>
      <c r="B707" t="s">
        <v>302</v>
      </c>
      <c r="C707" t="s">
        <v>1538</v>
      </c>
      <c r="D707" s="32">
        <v>45823</v>
      </c>
      <c r="E707" t="s">
        <v>107</v>
      </c>
      <c r="F707" t="str">
        <f>VLOOKUP(B707,'Agent wise'!A:E,5,0)</f>
        <v>Wireless</v>
      </c>
      <c r="G707" s="32">
        <v>45937</v>
      </c>
      <c r="H707">
        <f>COUNTIFS('Audit Raw data'!J:J,B:B,'Audit Raw data'!E:E,G:G)</f>
        <v>2</v>
      </c>
      <c r="I707" s="44">
        <f>IFERROR((SUMIFS('Audit Raw data'!BZ:BZ,'Audit Raw data'!J:J,B:B,'Audit Raw data'!E:E,G:G)/H707)/100,"-")</f>
        <v>0.89</v>
      </c>
      <c r="J707">
        <f>COUNTIFS('Audit Raw data'!AM:AM,"Yes",'Audit Raw data'!J:J,B:B,'Audit Raw data'!E:E,'Day wise agent'!G:G)</f>
        <v>2</v>
      </c>
      <c r="K707">
        <f>COUNTIFS('Audit Raw data'!AM:AM,"NO",'Audit Raw data'!J:J,B:B,'Audit Raw data'!E:E,'Day wise agent'!G:G)</f>
        <v>0</v>
      </c>
      <c r="L707" s="12">
        <f t="shared" si="23"/>
        <v>1</v>
      </c>
    </row>
    <row r="708" spans="1:12" x14ac:dyDescent="0.35">
      <c r="A708" t="str">
        <f t="shared" si="22"/>
        <v>VPS19745937</v>
      </c>
      <c r="B708" t="s">
        <v>665</v>
      </c>
      <c r="C708" t="s">
        <v>1539</v>
      </c>
      <c r="D708" s="32">
        <v>45830</v>
      </c>
      <c r="E708" t="s">
        <v>178</v>
      </c>
      <c r="F708" t="str">
        <f>VLOOKUP(B708,'Agent wise'!A:E,5,0)</f>
        <v>Wireless</v>
      </c>
      <c r="G708" s="32">
        <v>45937</v>
      </c>
      <c r="H708">
        <f>COUNTIFS('Audit Raw data'!J:J,B:B,'Audit Raw data'!E:E,G:G)</f>
        <v>0</v>
      </c>
      <c r="I708" s="44" t="str">
        <f>IFERROR((SUMIFS('Audit Raw data'!BZ:BZ,'Audit Raw data'!J:J,B:B,'Audit Raw data'!E:E,G:G)/H708)/100,"-")</f>
        <v>-</v>
      </c>
      <c r="J708">
        <f>COUNTIFS('Audit Raw data'!AM:AM,"Yes",'Audit Raw data'!J:J,B:B,'Audit Raw data'!E:E,'Day wise agent'!G:G)</f>
        <v>0</v>
      </c>
      <c r="K708">
        <f>COUNTIFS('Audit Raw data'!AM:AM,"NO",'Audit Raw data'!J:J,B:B,'Audit Raw data'!E:E,'Day wise agent'!G:G)</f>
        <v>0</v>
      </c>
      <c r="L708" s="12" t="str">
        <f t="shared" si="23"/>
        <v xml:space="preserve"> </v>
      </c>
    </row>
    <row r="709" spans="1:12" x14ac:dyDescent="0.35">
      <c r="A709" t="str">
        <f t="shared" si="22"/>
        <v>VPS20145937</v>
      </c>
      <c r="B709" t="s">
        <v>439</v>
      </c>
      <c r="C709" t="s">
        <v>1540</v>
      </c>
      <c r="D709" s="32">
        <v>45834</v>
      </c>
      <c r="E709" t="s">
        <v>1453</v>
      </c>
      <c r="F709" t="str">
        <f>VLOOKUP(B709,'Agent wise'!A:E,5,0)</f>
        <v>Wireless</v>
      </c>
      <c r="G709" s="32">
        <v>45937</v>
      </c>
      <c r="H709">
        <f>COUNTIFS('Audit Raw data'!J:J,B:B,'Audit Raw data'!E:E,G:G)</f>
        <v>0</v>
      </c>
      <c r="I709" s="44" t="str">
        <f>IFERROR((SUMIFS('Audit Raw data'!BZ:BZ,'Audit Raw data'!J:J,B:B,'Audit Raw data'!E:E,G:G)/H709)/100,"-")</f>
        <v>-</v>
      </c>
      <c r="J709">
        <f>COUNTIFS('Audit Raw data'!AM:AM,"Yes",'Audit Raw data'!J:J,B:B,'Audit Raw data'!E:E,'Day wise agent'!G:G)</f>
        <v>0</v>
      </c>
      <c r="K709">
        <f>COUNTIFS('Audit Raw data'!AM:AM,"NO",'Audit Raw data'!J:J,B:B,'Audit Raw data'!E:E,'Day wise agent'!G:G)</f>
        <v>0</v>
      </c>
      <c r="L709" s="12" t="str">
        <f t="shared" si="23"/>
        <v xml:space="preserve"> </v>
      </c>
    </row>
    <row r="710" spans="1:12" x14ac:dyDescent="0.35">
      <c r="A710" t="str">
        <f t="shared" si="22"/>
        <v>VPS20445937</v>
      </c>
      <c r="B710" t="s">
        <v>749</v>
      </c>
      <c r="C710" t="s">
        <v>1542</v>
      </c>
      <c r="D710" s="32">
        <v>45840</v>
      </c>
      <c r="E710" t="s">
        <v>1484</v>
      </c>
      <c r="F710" t="str">
        <f>VLOOKUP(B710,'Agent wise'!A:E,5,0)</f>
        <v>Wireless</v>
      </c>
      <c r="G710" s="32">
        <v>45937</v>
      </c>
      <c r="H710">
        <f>COUNTIFS('Audit Raw data'!J:J,B:B,'Audit Raw data'!E:E,G:G)</f>
        <v>0</v>
      </c>
      <c r="I710" s="44" t="str">
        <f>IFERROR((SUMIFS('Audit Raw data'!BZ:BZ,'Audit Raw data'!J:J,B:B,'Audit Raw data'!E:E,G:G)/H710)/100,"-")</f>
        <v>-</v>
      </c>
      <c r="J710">
        <f>COUNTIFS('Audit Raw data'!AM:AM,"Yes",'Audit Raw data'!J:J,B:B,'Audit Raw data'!E:E,'Day wise agent'!G:G)</f>
        <v>0</v>
      </c>
      <c r="K710">
        <f>COUNTIFS('Audit Raw data'!AM:AM,"NO",'Audit Raw data'!J:J,B:B,'Audit Raw data'!E:E,'Day wise agent'!G:G)</f>
        <v>0</v>
      </c>
      <c r="L710" s="12" t="str">
        <f t="shared" si="23"/>
        <v xml:space="preserve"> </v>
      </c>
    </row>
    <row r="711" spans="1:12" x14ac:dyDescent="0.35">
      <c r="A711" t="str">
        <f t="shared" si="22"/>
        <v>VPS20645937</v>
      </c>
      <c r="B711" t="s">
        <v>427</v>
      </c>
      <c r="C711" t="s">
        <v>1541</v>
      </c>
      <c r="D711" s="32">
        <v>45840</v>
      </c>
      <c r="E711" t="s">
        <v>107</v>
      </c>
      <c r="F711" t="str">
        <f>VLOOKUP(B711,'Agent wise'!A:E,5,0)</f>
        <v>Wireless</v>
      </c>
      <c r="G711" s="32">
        <v>45937</v>
      </c>
      <c r="H711">
        <f>COUNTIFS('Audit Raw data'!J:J,B:B,'Audit Raw data'!E:E,G:G)</f>
        <v>0</v>
      </c>
      <c r="I711" s="44" t="str">
        <f>IFERROR((SUMIFS('Audit Raw data'!BZ:BZ,'Audit Raw data'!J:J,B:B,'Audit Raw data'!E:E,G:G)/H711)/100,"-")</f>
        <v>-</v>
      </c>
      <c r="J711">
        <f>COUNTIFS('Audit Raw data'!AM:AM,"Yes",'Audit Raw data'!J:J,B:B,'Audit Raw data'!E:E,'Day wise agent'!G:G)</f>
        <v>0</v>
      </c>
      <c r="K711">
        <f>COUNTIFS('Audit Raw data'!AM:AM,"NO",'Audit Raw data'!J:J,B:B,'Audit Raw data'!E:E,'Day wise agent'!G:G)</f>
        <v>0</v>
      </c>
      <c r="L711" s="12" t="str">
        <f t="shared" si="23"/>
        <v xml:space="preserve"> </v>
      </c>
    </row>
    <row r="712" spans="1:12" x14ac:dyDescent="0.35">
      <c r="A712" t="str">
        <f t="shared" si="22"/>
        <v>VPS20945937</v>
      </c>
      <c r="B712" t="s">
        <v>528</v>
      </c>
      <c r="C712" t="s">
        <v>1543</v>
      </c>
      <c r="D712" s="32">
        <v>45856</v>
      </c>
      <c r="E712" t="s">
        <v>178</v>
      </c>
      <c r="F712" t="str">
        <f>VLOOKUP(B712,'Agent wise'!A:E,5,0)</f>
        <v>Wireless</v>
      </c>
      <c r="G712" s="32">
        <v>45937</v>
      </c>
      <c r="H712">
        <f>COUNTIFS('Audit Raw data'!J:J,B:B,'Audit Raw data'!E:E,G:G)</f>
        <v>1</v>
      </c>
      <c r="I712" s="44">
        <f>IFERROR((SUMIFS('Audit Raw data'!BZ:BZ,'Audit Raw data'!J:J,B:B,'Audit Raw data'!E:E,G:G)/H712)/100,"-")</f>
        <v>0.9</v>
      </c>
      <c r="J712">
        <f>COUNTIFS('Audit Raw data'!AM:AM,"Yes",'Audit Raw data'!J:J,B:B,'Audit Raw data'!E:E,'Day wise agent'!G:G)</f>
        <v>1</v>
      </c>
      <c r="K712">
        <f>COUNTIFS('Audit Raw data'!AM:AM,"NO",'Audit Raw data'!J:J,B:B,'Audit Raw data'!E:E,'Day wise agent'!G:G)</f>
        <v>0</v>
      </c>
      <c r="L712" s="12">
        <f t="shared" si="23"/>
        <v>1</v>
      </c>
    </row>
    <row r="713" spans="1:12" x14ac:dyDescent="0.35">
      <c r="A713" t="str">
        <f t="shared" si="22"/>
        <v>VPS21045937</v>
      </c>
      <c r="B713" t="s">
        <v>589</v>
      </c>
      <c r="C713" t="s">
        <v>1544</v>
      </c>
      <c r="D713" s="32">
        <v>45856</v>
      </c>
      <c r="E713" t="s">
        <v>107</v>
      </c>
      <c r="F713" t="str">
        <f>VLOOKUP(B713,'Agent wise'!A:E,5,0)</f>
        <v>Wireless</v>
      </c>
      <c r="G713" s="32">
        <v>45937</v>
      </c>
      <c r="H713">
        <f>COUNTIFS('Audit Raw data'!J:J,B:B,'Audit Raw data'!E:E,G:G)</f>
        <v>0</v>
      </c>
      <c r="I713" s="44" t="str">
        <f>IFERROR((SUMIFS('Audit Raw data'!BZ:BZ,'Audit Raw data'!J:J,B:B,'Audit Raw data'!E:E,G:G)/H713)/100,"-")</f>
        <v>-</v>
      </c>
      <c r="J713">
        <f>COUNTIFS('Audit Raw data'!AM:AM,"Yes",'Audit Raw data'!J:J,B:B,'Audit Raw data'!E:E,'Day wise agent'!G:G)</f>
        <v>0</v>
      </c>
      <c r="K713">
        <f>COUNTIFS('Audit Raw data'!AM:AM,"NO",'Audit Raw data'!J:J,B:B,'Audit Raw data'!E:E,'Day wise agent'!G:G)</f>
        <v>0</v>
      </c>
      <c r="L713" s="12" t="str">
        <f t="shared" si="23"/>
        <v xml:space="preserve"> </v>
      </c>
    </row>
    <row r="714" spans="1:12" x14ac:dyDescent="0.35">
      <c r="A714" t="str">
        <f t="shared" si="22"/>
        <v>VPS21145937</v>
      </c>
      <c r="B714" t="s">
        <v>367</v>
      </c>
      <c r="C714" t="s">
        <v>1545</v>
      </c>
      <c r="D714" s="32">
        <v>45855</v>
      </c>
      <c r="E714" t="s">
        <v>1453</v>
      </c>
      <c r="F714" t="str">
        <f>VLOOKUP(B714,'Agent wise'!A:E,5,0)</f>
        <v>Wireless</v>
      </c>
      <c r="G714" s="32">
        <v>45937</v>
      </c>
      <c r="H714">
        <f>COUNTIFS('Audit Raw data'!J:J,B:B,'Audit Raw data'!E:E,G:G)</f>
        <v>0</v>
      </c>
      <c r="I714" s="44" t="str">
        <f>IFERROR((SUMIFS('Audit Raw data'!BZ:BZ,'Audit Raw data'!J:J,B:B,'Audit Raw data'!E:E,G:G)/H714)/100,"-")</f>
        <v>-</v>
      </c>
      <c r="J714">
        <f>COUNTIFS('Audit Raw data'!AM:AM,"Yes",'Audit Raw data'!J:J,B:B,'Audit Raw data'!E:E,'Day wise agent'!G:G)</f>
        <v>0</v>
      </c>
      <c r="K714">
        <f>COUNTIFS('Audit Raw data'!AM:AM,"NO",'Audit Raw data'!J:J,B:B,'Audit Raw data'!E:E,'Day wise agent'!G:G)</f>
        <v>0</v>
      </c>
      <c r="L714" s="12" t="str">
        <f t="shared" si="23"/>
        <v xml:space="preserve"> </v>
      </c>
    </row>
    <row r="715" spans="1:12" x14ac:dyDescent="0.35">
      <c r="A715" t="str">
        <f t="shared" si="22"/>
        <v>VPS21345937</v>
      </c>
      <c r="B715" t="s">
        <v>493</v>
      </c>
      <c r="C715" t="s">
        <v>1546</v>
      </c>
      <c r="D715" s="32">
        <v>45856</v>
      </c>
      <c r="E715" t="s">
        <v>1453</v>
      </c>
      <c r="F715" t="str">
        <f>VLOOKUP(B715,'Agent wise'!A:E,5,0)</f>
        <v>Wireless</v>
      </c>
      <c r="G715" s="32">
        <v>45937</v>
      </c>
      <c r="H715">
        <f>COUNTIFS('Audit Raw data'!J:J,B:B,'Audit Raw data'!E:E,G:G)</f>
        <v>0</v>
      </c>
      <c r="I715" s="44" t="str">
        <f>IFERROR((SUMIFS('Audit Raw data'!BZ:BZ,'Audit Raw data'!J:J,B:B,'Audit Raw data'!E:E,G:G)/H715)/100,"-")</f>
        <v>-</v>
      </c>
      <c r="J715">
        <f>COUNTIFS('Audit Raw data'!AM:AM,"Yes",'Audit Raw data'!J:J,B:B,'Audit Raw data'!E:E,'Day wise agent'!G:G)</f>
        <v>0</v>
      </c>
      <c r="K715">
        <f>COUNTIFS('Audit Raw data'!AM:AM,"NO",'Audit Raw data'!J:J,B:B,'Audit Raw data'!E:E,'Day wise agent'!G:G)</f>
        <v>0</v>
      </c>
      <c r="L715" s="12" t="str">
        <f t="shared" si="23"/>
        <v xml:space="preserve"> </v>
      </c>
    </row>
    <row r="716" spans="1:12" x14ac:dyDescent="0.35">
      <c r="A716" t="str">
        <f t="shared" si="22"/>
        <v>VPS21445937</v>
      </c>
      <c r="B716" t="s">
        <v>480</v>
      </c>
      <c r="C716" t="s">
        <v>1547</v>
      </c>
      <c r="D716" s="32">
        <v>45855</v>
      </c>
      <c r="E716" t="s">
        <v>107</v>
      </c>
      <c r="F716" t="str">
        <f>VLOOKUP(B716,'Agent wise'!A:E,5,0)</f>
        <v>Wireless</v>
      </c>
      <c r="G716" s="32">
        <v>45937</v>
      </c>
      <c r="H716">
        <f>COUNTIFS('Audit Raw data'!J:J,B:B,'Audit Raw data'!E:E,G:G)</f>
        <v>0</v>
      </c>
      <c r="I716" s="44" t="str">
        <f>IFERROR((SUMIFS('Audit Raw data'!BZ:BZ,'Audit Raw data'!J:J,B:B,'Audit Raw data'!E:E,G:G)/H716)/100,"-")</f>
        <v>-</v>
      </c>
      <c r="J716">
        <f>COUNTIFS('Audit Raw data'!AM:AM,"Yes",'Audit Raw data'!J:J,B:B,'Audit Raw data'!E:E,'Day wise agent'!G:G)</f>
        <v>0</v>
      </c>
      <c r="K716">
        <f>COUNTIFS('Audit Raw data'!AM:AM,"NO",'Audit Raw data'!J:J,B:B,'Audit Raw data'!E:E,'Day wise agent'!G:G)</f>
        <v>0</v>
      </c>
      <c r="L716" s="12" t="str">
        <f t="shared" si="23"/>
        <v xml:space="preserve"> </v>
      </c>
    </row>
    <row r="717" spans="1:12" x14ac:dyDescent="0.35">
      <c r="A717" t="str">
        <f t="shared" si="22"/>
        <v>VPS21545937</v>
      </c>
      <c r="B717" t="s">
        <v>521</v>
      </c>
      <c r="C717" t="s">
        <v>1548</v>
      </c>
      <c r="D717" s="32">
        <v>45865</v>
      </c>
      <c r="E717" t="s">
        <v>178</v>
      </c>
      <c r="F717" t="str">
        <f>VLOOKUP(B717,'Agent wise'!A:E,5,0)</f>
        <v>Wireless</v>
      </c>
      <c r="G717" s="32">
        <v>45937</v>
      </c>
      <c r="H717">
        <f>COUNTIFS('Audit Raw data'!J:J,B:B,'Audit Raw data'!E:E,G:G)</f>
        <v>0</v>
      </c>
      <c r="I717" s="44" t="str">
        <f>IFERROR((SUMIFS('Audit Raw data'!BZ:BZ,'Audit Raw data'!J:J,B:B,'Audit Raw data'!E:E,G:G)/H717)/100,"-")</f>
        <v>-</v>
      </c>
      <c r="J717">
        <f>COUNTIFS('Audit Raw data'!AM:AM,"Yes",'Audit Raw data'!J:J,B:B,'Audit Raw data'!E:E,'Day wise agent'!G:G)</f>
        <v>0</v>
      </c>
      <c r="K717">
        <f>COUNTIFS('Audit Raw data'!AM:AM,"NO",'Audit Raw data'!J:J,B:B,'Audit Raw data'!E:E,'Day wise agent'!G:G)</f>
        <v>0</v>
      </c>
      <c r="L717" s="12" t="str">
        <f t="shared" si="23"/>
        <v xml:space="preserve"> </v>
      </c>
    </row>
    <row r="718" spans="1:12" x14ac:dyDescent="0.35">
      <c r="A718" t="str">
        <f t="shared" si="22"/>
        <v>VPS21645937</v>
      </c>
      <c r="B718" t="s">
        <v>154</v>
      </c>
      <c r="C718" t="s">
        <v>1549</v>
      </c>
      <c r="D718" s="32">
        <v>45865</v>
      </c>
      <c r="E718" t="s">
        <v>107</v>
      </c>
      <c r="F718" t="str">
        <f>VLOOKUP(B718,'Agent wise'!A:E,5,0)</f>
        <v>Wireless</v>
      </c>
      <c r="G718" s="32">
        <v>45937</v>
      </c>
      <c r="H718">
        <f>COUNTIFS('Audit Raw data'!J:J,B:B,'Audit Raw data'!E:E,G:G)</f>
        <v>0</v>
      </c>
      <c r="I718" s="44" t="str">
        <f>IFERROR((SUMIFS('Audit Raw data'!BZ:BZ,'Audit Raw data'!J:J,B:B,'Audit Raw data'!E:E,G:G)/H718)/100,"-")</f>
        <v>-</v>
      </c>
      <c r="J718">
        <f>COUNTIFS('Audit Raw data'!AM:AM,"Yes",'Audit Raw data'!J:J,B:B,'Audit Raw data'!E:E,'Day wise agent'!G:G)</f>
        <v>0</v>
      </c>
      <c r="K718">
        <f>COUNTIFS('Audit Raw data'!AM:AM,"NO",'Audit Raw data'!J:J,B:B,'Audit Raw data'!E:E,'Day wise agent'!G:G)</f>
        <v>0</v>
      </c>
      <c r="L718" s="12" t="str">
        <f t="shared" si="23"/>
        <v xml:space="preserve"> </v>
      </c>
    </row>
    <row r="719" spans="1:12" x14ac:dyDescent="0.35">
      <c r="A719" t="str">
        <f t="shared" si="22"/>
        <v>VPS21745937</v>
      </c>
      <c r="B719" t="s">
        <v>519</v>
      </c>
      <c r="C719" t="s">
        <v>1550</v>
      </c>
      <c r="D719" s="32">
        <v>45865</v>
      </c>
      <c r="E719" t="s">
        <v>178</v>
      </c>
      <c r="F719" t="str">
        <f>VLOOKUP(B719,'Agent wise'!A:E,5,0)</f>
        <v>Wireless</v>
      </c>
      <c r="G719" s="32">
        <v>45937</v>
      </c>
      <c r="H719">
        <f>COUNTIFS('Audit Raw data'!J:J,B:B,'Audit Raw data'!E:E,G:G)</f>
        <v>0</v>
      </c>
      <c r="I719" s="44" t="str">
        <f>IFERROR((SUMIFS('Audit Raw data'!BZ:BZ,'Audit Raw data'!J:J,B:B,'Audit Raw data'!E:E,G:G)/H719)/100,"-")</f>
        <v>-</v>
      </c>
      <c r="J719">
        <f>COUNTIFS('Audit Raw data'!AM:AM,"Yes",'Audit Raw data'!J:J,B:B,'Audit Raw data'!E:E,'Day wise agent'!G:G)</f>
        <v>0</v>
      </c>
      <c r="K719">
        <f>COUNTIFS('Audit Raw data'!AM:AM,"NO",'Audit Raw data'!J:J,B:B,'Audit Raw data'!E:E,'Day wise agent'!G:G)</f>
        <v>0</v>
      </c>
      <c r="L719" s="12" t="str">
        <f t="shared" si="23"/>
        <v xml:space="preserve"> </v>
      </c>
    </row>
    <row r="720" spans="1:12" x14ac:dyDescent="0.35">
      <c r="A720" t="str">
        <f t="shared" si="22"/>
        <v>VPS22845937</v>
      </c>
      <c r="B720" t="s">
        <v>341</v>
      </c>
      <c r="C720" t="s">
        <v>1551</v>
      </c>
      <c r="D720" s="32">
        <v>45881</v>
      </c>
      <c r="E720" t="s">
        <v>178</v>
      </c>
      <c r="F720" t="str">
        <f>VLOOKUP(B720,'Agent wise'!A:E,5,0)</f>
        <v>Wireless</v>
      </c>
      <c r="G720" s="32">
        <v>45937</v>
      </c>
      <c r="H720">
        <f>COUNTIFS('Audit Raw data'!J:J,B:B,'Audit Raw data'!E:E,G:G)</f>
        <v>0</v>
      </c>
      <c r="I720" s="44" t="str">
        <f>IFERROR((SUMIFS('Audit Raw data'!BZ:BZ,'Audit Raw data'!J:J,B:B,'Audit Raw data'!E:E,G:G)/H720)/100,"-")</f>
        <v>-</v>
      </c>
      <c r="J720">
        <f>COUNTIFS('Audit Raw data'!AM:AM,"Yes",'Audit Raw data'!J:J,B:B,'Audit Raw data'!E:E,'Day wise agent'!G:G)</f>
        <v>0</v>
      </c>
      <c r="K720">
        <f>COUNTIFS('Audit Raw data'!AM:AM,"NO",'Audit Raw data'!J:J,B:B,'Audit Raw data'!E:E,'Day wise agent'!G:G)</f>
        <v>0</v>
      </c>
      <c r="L720" s="12" t="str">
        <f t="shared" si="23"/>
        <v xml:space="preserve"> </v>
      </c>
    </row>
    <row r="721" spans="1:12" x14ac:dyDescent="0.35">
      <c r="A721" t="str">
        <f t="shared" si="22"/>
        <v>VPS22945937</v>
      </c>
      <c r="B721" t="s">
        <v>173</v>
      </c>
      <c r="C721" t="s">
        <v>1552</v>
      </c>
      <c r="D721" s="32">
        <v>45880</v>
      </c>
      <c r="E721" t="s">
        <v>107</v>
      </c>
      <c r="F721" t="str">
        <f>VLOOKUP(B721,'Agent wise'!A:E,5,0)</f>
        <v>Wireless</v>
      </c>
      <c r="G721" s="32">
        <v>45937</v>
      </c>
      <c r="H721">
        <f>COUNTIFS('Audit Raw data'!J:J,B:B,'Audit Raw data'!E:E,G:G)</f>
        <v>0</v>
      </c>
      <c r="I721" s="44" t="str">
        <f>IFERROR((SUMIFS('Audit Raw data'!BZ:BZ,'Audit Raw data'!J:J,B:B,'Audit Raw data'!E:E,G:G)/H721)/100,"-")</f>
        <v>-</v>
      </c>
      <c r="J721">
        <f>COUNTIFS('Audit Raw data'!AM:AM,"Yes",'Audit Raw data'!J:J,B:B,'Audit Raw data'!E:E,'Day wise agent'!G:G)</f>
        <v>0</v>
      </c>
      <c r="K721">
        <f>COUNTIFS('Audit Raw data'!AM:AM,"NO",'Audit Raw data'!J:J,B:B,'Audit Raw data'!E:E,'Day wise agent'!G:G)</f>
        <v>0</v>
      </c>
      <c r="L721" s="12" t="str">
        <f t="shared" si="23"/>
        <v xml:space="preserve"> </v>
      </c>
    </row>
    <row r="722" spans="1:12" x14ac:dyDescent="0.35">
      <c r="A722" t="str">
        <f t="shared" si="22"/>
        <v>VPS23045937</v>
      </c>
      <c r="B722" t="s">
        <v>335</v>
      </c>
      <c r="C722" t="s">
        <v>1553</v>
      </c>
      <c r="D722" s="32">
        <v>45880</v>
      </c>
      <c r="E722" t="s">
        <v>1484</v>
      </c>
      <c r="F722" t="str">
        <f>VLOOKUP(B722,'Agent wise'!A:E,5,0)</f>
        <v>Wireless</v>
      </c>
      <c r="G722" s="32">
        <v>45937</v>
      </c>
      <c r="H722">
        <f>COUNTIFS('Audit Raw data'!J:J,B:B,'Audit Raw data'!E:E,G:G)</f>
        <v>0</v>
      </c>
      <c r="I722" s="44" t="str">
        <f>IFERROR((SUMIFS('Audit Raw data'!BZ:BZ,'Audit Raw data'!J:J,B:B,'Audit Raw data'!E:E,G:G)/H722)/100,"-")</f>
        <v>-</v>
      </c>
      <c r="J722">
        <f>COUNTIFS('Audit Raw data'!AM:AM,"Yes",'Audit Raw data'!J:J,B:B,'Audit Raw data'!E:E,'Day wise agent'!G:G)</f>
        <v>0</v>
      </c>
      <c r="K722">
        <f>COUNTIFS('Audit Raw data'!AM:AM,"NO",'Audit Raw data'!J:J,B:B,'Audit Raw data'!E:E,'Day wise agent'!G:G)</f>
        <v>0</v>
      </c>
      <c r="L722" s="12" t="str">
        <f t="shared" si="23"/>
        <v xml:space="preserve"> </v>
      </c>
    </row>
    <row r="723" spans="1:12" x14ac:dyDescent="0.35">
      <c r="A723" t="str">
        <f t="shared" si="22"/>
        <v>VPS23545937</v>
      </c>
      <c r="B723" t="s">
        <v>317</v>
      </c>
      <c r="C723" t="s">
        <v>1554</v>
      </c>
      <c r="D723" s="32">
        <v>45897</v>
      </c>
      <c r="E723" t="s">
        <v>178</v>
      </c>
      <c r="F723" t="str">
        <f>VLOOKUP(B723,'Agent wise'!A:E,5,0)</f>
        <v>Wireless</v>
      </c>
      <c r="G723" s="32">
        <v>45937</v>
      </c>
      <c r="H723">
        <f>COUNTIFS('Audit Raw data'!J:J,B:B,'Audit Raw data'!E:E,G:G)</f>
        <v>0</v>
      </c>
      <c r="I723" s="44" t="str">
        <f>IFERROR((SUMIFS('Audit Raw data'!BZ:BZ,'Audit Raw data'!J:J,B:B,'Audit Raw data'!E:E,G:G)/H723)/100,"-")</f>
        <v>-</v>
      </c>
      <c r="J723">
        <f>COUNTIFS('Audit Raw data'!AM:AM,"Yes",'Audit Raw data'!J:J,B:B,'Audit Raw data'!E:E,'Day wise agent'!G:G)</f>
        <v>0</v>
      </c>
      <c r="K723">
        <f>COUNTIFS('Audit Raw data'!AM:AM,"NO",'Audit Raw data'!J:J,B:B,'Audit Raw data'!E:E,'Day wise agent'!G:G)</f>
        <v>0</v>
      </c>
      <c r="L723" s="12" t="str">
        <f t="shared" si="23"/>
        <v xml:space="preserve"> </v>
      </c>
    </row>
    <row r="724" spans="1:12" x14ac:dyDescent="0.35">
      <c r="A724" t="str">
        <f t="shared" si="22"/>
        <v>VPS23645937</v>
      </c>
      <c r="B724" t="s">
        <v>370</v>
      </c>
      <c r="C724" t="s">
        <v>1555</v>
      </c>
      <c r="D724" s="32">
        <v>45897</v>
      </c>
      <c r="E724" t="s">
        <v>1453</v>
      </c>
      <c r="F724" t="str">
        <f>VLOOKUP(B724,'Agent wise'!A:E,5,0)</f>
        <v>Wireless</v>
      </c>
      <c r="G724" s="32">
        <v>45937</v>
      </c>
      <c r="H724">
        <f>COUNTIFS('Audit Raw data'!J:J,B:B,'Audit Raw data'!E:E,G:G)</f>
        <v>0</v>
      </c>
      <c r="I724" s="44" t="str">
        <f>IFERROR((SUMIFS('Audit Raw data'!BZ:BZ,'Audit Raw data'!J:J,B:B,'Audit Raw data'!E:E,G:G)/H724)/100,"-")</f>
        <v>-</v>
      </c>
      <c r="J724">
        <f>COUNTIFS('Audit Raw data'!AM:AM,"Yes",'Audit Raw data'!J:J,B:B,'Audit Raw data'!E:E,'Day wise agent'!G:G)</f>
        <v>0</v>
      </c>
      <c r="K724">
        <f>COUNTIFS('Audit Raw data'!AM:AM,"NO",'Audit Raw data'!J:J,B:B,'Audit Raw data'!E:E,'Day wise agent'!G:G)</f>
        <v>0</v>
      </c>
      <c r="L724" s="12" t="str">
        <f t="shared" si="23"/>
        <v xml:space="preserve"> </v>
      </c>
    </row>
    <row r="725" spans="1:12" x14ac:dyDescent="0.35">
      <c r="A725" t="str">
        <f t="shared" si="22"/>
        <v>VPS23745937</v>
      </c>
      <c r="B725" t="s">
        <v>159</v>
      </c>
      <c r="C725" t="s">
        <v>1556</v>
      </c>
      <c r="D725" s="32">
        <v>45897</v>
      </c>
      <c r="E725" t="s">
        <v>107</v>
      </c>
      <c r="F725" t="str">
        <f>VLOOKUP(B725,'Agent wise'!A:E,5,0)</f>
        <v>Wireless</v>
      </c>
      <c r="G725" s="32">
        <v>45937</v>
      </c>
      <c r="H725">
        <f>COUNTIFS('Audit Raw data'!J:J,B:B,'Audit Raw data'!E:E,G:G)</f>
        <v>0</v>
      </c>
      <c r="I725" s="44" t="str">
        <f>IFERROR((SUMIFS('Audit Raw data'!BZ:BZ,'Audit Raw data'!J:J,B:B,'Audit Raw data'!E:E,G:G)/H725)/100,"-")</f>
        <v>-</v>
      </c>
      <c r="J725">
        <f>COUNTIFS('Audit Raw data'!AM:AM,"Yes",'Audit Raw data'!J:J,B:B,'Audit Raw data'!E:E,'Day wise agent'!G:G)</f>
        <v>0</v>
      </c>
      <c r="K725">
        <f>COUNTIFS('Audit Raw data'!AM:AM,"NO",'Audit Raw data'!J:J,B:B,'Audit Raw data'!E:E,'Day wise agent'!G:G)</f>
        <v>0</v>
      </c>
      <c r="L725" s="12" t="str">
        <f t="shared" si="23"/>
        <v xml:space="preserve"> </v>
      </c>
    </row>
    <row r="726" spans="1:12" x14ac:dyDescent="0.35">
      <c r="A726" t="str">
        <f t="shared" si="22"/>
        <v>VPS23945937</v>
      </c>
      <c r="B726" t="s">
        <v>484</v>
      </c>
      <c r="C726" t="s">
        <v>1468</v>
      </c>
      <c r="D726" s="32">
        <v>44942</v>
      </c>
      <c r="E726" t="s">
        <v>178</v>
      </c>
      <c r="F726" t="str">
        <f>VLOOKUP(B726,'Agent wise'!A:E,5,0)</f>
        <v>Wireless</v>
      </c>
      <c r="G726" s="32">
        <v>45937</v>
      </c>
      <c r="H726">
        <f>COUNTIFS('Audit Raw data'!J:J,B:B,'Audit Raw data'!E:E,G:G)</f>
        <v>1</v>
      </c>
      <c r="I726" s="44">
        <f>IFERROR((SUMIFS('Audit Raw data'!BZ:BZ,'Audit Raw data'!J:J,B:B,'Audit Raw data'!E:E,G:G)/H726)/100,"-")</f>
        <v>0.94</v>
      </c>
      <c r="J726">
        <f>COUNTIFS('Audit Raw data'!AM:AM,"Yes",'Audit Raw data'!J:J,B:B,'Audit Raw data'!E:E,'Day wise agent'!G:G)</f>
        <v>1</v>
      </c>
      <c r="K726">
        <f>COUNTIFS('Audit Raw data'!AM:AM,"NO",'Audit Raw data'!J:J,B:B,'Audit Raw data'!E:E,'Day wise agent'!G:G)</f>
        <v>0</v>
      </c>
      <c r="L726" s="12">
        <f t="shared" si="23"/>
        <v>1</v>
      </c>
    </row>
    <row r="727" spans="1:12" x14ac:dyDescent="0.35">
      <c r="A727" t="str">
        <f t="shared" si="22"/>
        <v>VPS24045937</v>
      </c>
      <c r="B727" t="s">
        <v>291</v>
      </c>
      <c r="C727" t="s">
        <v>1557</v>
      </c>
      <c r="D727" s="32">
        <v>45907</v>
      </c>
      <c r="E727" t="s">
        <v>1484</v>
      </c>
      <c r="F727" t="str">
        <f>VLOOKUP(B727,'Agent wise'!A:E,5,0)</f>
        <v>Wireless</v>
      </c>
      <c r="G727" s="32">
        <v>45937</v>
      </c>
      <c r="H727">
        <f>COUNTIFS('Audit Raw data'!J:J,B:B,'Audit Raw data'!E:E,G:G)</f>
        <v>0</v>
      </c>
      <c r="I727" s="44" t="str">
        <f>IFERROR((SUMIFS('Audit Raw data'!BZ:BZ,'Audit Raw data'!J:J,B:B,'Audit Raw data'!E:E,G:G)/H727)/100,"-")</f>
        <v>-</v>
      </c>
      <c r="J727">
        <f>COUNTIFS('Audit Raw data'!AM:AM,"Yes",'Audit Raw data'!J:J,B:B,'Audit Raw data'!E:E,'Day wise agent'!G:G)</f>
        <v>0</v>
      </c>
      <c r="K727">
        <f>COUNTIFS('Audit Raw data'!AM:AM,"NO",'Audit Raw data'!J:J,B:B,'Audit Raw data'!E:E,'Day wise agent'!G:G)</f>
        <v>0</v>
      </c>
      <c r="L727" s="12" t="str">
        <f t="shared" si="23"/>
        <v xml:space="preserve"> </v>
      </c>
    </row>
    <row r="728" spans="1:12" x14ac:dyDescent="0.35">
      <c r="A728" t="str">
        <f t="shared" si="22"/>
        <v>VPS24245937</v>
      </c>
      <c r="B728" t="s">
        <v>326</v>
      </c>
      <c r="C728" t="s">
        <v>1510</v>
      </c>
      <c r="D728" s="32">
        <v>45908</v>
      </c>
      <c r="E728" t="s">
        <v>1453</v>
      </c>
      <c r="F728" t="str">
        <f>VLOOKUP(B728,'Agent wise'!A:E,5,0)</f>
        <v>Wireless</v>
      </c>
      <c r="G728" s="32">
        <v>45937</v>
      </c>
      <c r="H728">
        <f>COUNTIFS('Audit Raw data'!J:J,B:B,'Audit Raw data'!E:E,G:G)</f>
        <v>0</v>
      </c>
      <c r="I728" s="44" t="str">
        <f>IFERROR((SUMIFS('Audit Raw data'!BZ:BZ,'Audit Raw data'!J:J,B:B,'Audit Raw data'!E:E,G:G)/H728)/100,"-")</f>
        <v>-</v>
      </c>
      <c r="J728">
        <f>COUNTIFS('Audit Raw data'!AM:AM,"Yes",'Audit Raw data'!J:J,B:B,'Audit Raw data'!E:E,'Day wise agent'!G:G)</f>
        <v>0</v>
      </c>
      <c r="K728">
        <f>COUNTIFS('Audit Raw data'!AM:AM,"NO",'Audit Raw data'!J:J,B:B,'Audit Raw data'!E:E,'Day wise agent'!G:G)</f>
        <v>0</v>
      </c>
      <c r="L728" s="12" t="str">
        <f t="shared" si="23"/>
        <v xml:space="preserve"> </v>
      </c>
    </row>
    <row r="729" spans="1:12" x14ac:dyDescent="0.35">
      <c r="A729" t="str">
        <f t="shared" si="22"/>
        <v>VPS24345937</v>
      </c>
      <c r="B729" t="s">
        <v>321</v>
      </c>
      <c r="C729" t="s">
        <v>1558</v>
      </c>
      <c r="D729" s="32">
        <v>45907</v>
      </c>
      <c r="E729" t="s">
        <v>1453</v>
      </c>
      <c r="F729" t="str">
        <f>VLOOKUP(B729,'Agent wise'!A:E,5,0)</f>
        <v>Wireless</v>
      </c>
      <c r="G729" s="32">
        <v>45937</v>
      </c>
      <c r="H729">
        <f>COUNTIFS('Audit Raw data'!J:J,B:B,'Audit Raw data'!E:E,G:G)</f>
        <v>0</v>
      </c>
      <c r="I729" s="44" t="str">
        <f>IFERROR((SUMIFS('Audit Raw data'!BZ:BZ,'Audit Raw data'!J:J,B:B,'Audit Raw data'!E:E,G:G)/H729)/100,"-")</f>
        <v>-</v>
      </c>
      <c r="J729">
        <f>COUNTIFS('Audit Raw data'!AM:AM,"Yes",'Audit Raw data'!J:J,B:B,'Audit Raw data'!E:E,'Day wise agent'!G:G)</f>
        <v>0</v>
      </c>
      <c r="K729">
        <f>COUNTIFS('Audit Raw data'!AM:AM,"NO",'Audit Raw data'!J:J,B:B,'Audit Raw data'!E:E,'Day wise agent'!G:G)</f>
        <v>0</v>
      </c>
      <c r="L729" s="12" t="str">
        <f t="shared" si="23"/>
        <v xml:space="preserve"> </v>
      </c>
    </row>
    <row r="730" spans="1:12" x14ac:dyDescent="0.35">
      <c r="A730" t="str">
        <f t="shared" si="22"/>
        <v>VPS24445937</v>
      </c>
      <c r="B730" t="s">
        <v>288</v>
      </c>
      <c r="C730" t="s">
        <v>1559</v>
      </c>
      <c r="D730" s="32">
        <v>45907</v>
      </c>
      <c r="E730" t="s">
        <v>107</v>
      </c>
      <c r="F730" t="str">
        <f>VLOOKUP(B730,'Agent wise'!A:E,5,0)</f>
        <v>Wireless</v>
      </c>
      <c r="G730" s="32">
        <v>45937</v>
      </c>
      <c r="H730">
        <f>COUNTIFS('Audit Raw data'!J:J,B:B,'Audit Raw data'!E:E,G:G)</f>
        <v>0</v>
      </c>
      <c r="I730" s="44" t="str">
        <f>IFERROR((SUMIFS('Audit Raw data'!BZ:BZ,'Audit Raw data'!J:J,B:B,'Audit Raw data'!E:E,G:G)/H730)/100,"-")</f>
        <v>-</v>
      </c>
      <c r="J730">
        <f>COUNTIFS('Audit Raw data'!AM:AM,"Yes",'Audit Raw data'!J:J,B:B,'Audit Raw data'!E:E,'Day wise agent'!G:G)</f>
        <v>0</v>
      </c>
      <c r="K730">
        <f>COUNTIFS('Audit Raw data'!AM:AM,"NO",'Audit Raw data'!J:J,B:B,'Audit Raw data'!E:E,'Day wise agent'!G:G)</f>
        <v>0</v>
      </c>
      <c r="L730" s="12" t="str">
        <f t="shared" si="23"/>
        <v xml:space="preserve"> </v>
      </c>
    </row>
    <row r="731" spans="1:12" x14ac:dyDescent="0.35">
      <c r="A731" t="str">
        <f t="shared" si="22"/>
        <v>VPS24545937</v>
      </c>
      <c r="B731" t="s">
        <v>873</v>
      </c>
      <c r="C731" t="s">
        <v>1560</v>
      </c>
      <c r="D731" s="32">
        <v>45908</v>
      </c>
      <c r="E731" t="s">
        <v>1484</v>
      </c>
      <c r="F731" t="str">
        <f>VLOOKUP(B731,'Agent wise'!A:E,5,0)</f>
        <v>Wireless</v>
      </c>
      <c r="G731" s="32">
        <v>45937</v>
      </c>
      <c r="H731">
        <f>COUNTIFS('Audit Raw data'!J:J,B:B,'Audit Raw data'!E:E,G:G)</f>
        <v>1</v>
      </c>
      <c r="I731" s="44">
        <f>IFERROR((SUMIFS('Audit Raw data'!BZ:BZ,'Audit Raw data'!J:J,B:B,'Audit Raw data'!E:E,G:G)/H731)/100,"-")</f>
        <v>0.88</v>
      </c>
      <c r="J731">
        <f>COUNTIFS('Audit Raw data'!AM:AM,"Yes",'Audit Raw data'!J:J,B:B,'Audit Raw data'!E:E,'Day wise agent'!G:G)</f>
        <v>1</v>
      </c>
      <c r="K731">
        <f>COUNTIFS('Audit Raw data'!AM:AM,"NO",'Audit Raw data'!J:J,B:B,'Audit Raw data'!E:E,'Day wise agent'!G:G)</f>
        <v>0</v>
      </c>
      <c r="L731" s="12">
        <f t="shared" si="23"/>
        <v>1</v>
      </c>
    </row>
    <row r="732" spans="1:12" x14ac:dyDescent="0.35">
      <c r="A732" t="str">
        <f t="shared" si="22"/>
        <v>VPS24745937</v>
      </c>
      <c r="B732" t="s">
        <v>238</v>
      </c>
      <c r="C732" t="s">
        <v>1561</v>
      </c>
      <c r="D732" s="32">
        <v>45907</v>
      </c>
      <c r="E732" t="s">
        <v>1484</v>
      </c>
      <c r="F732" t="str">
        <f>VLOOKUP(B732,'Agent wise'!A:E,5,0)</f>
        <v>Wireless</v>
      </c>
      <c r="G732" s="32">
        <v>45937</v>
      </c>
      <c r="H732">
        <f>COUNTIFS('Audit Raw data'!J:J,B:B,'Audit Raw data'!E:E,G:G)</f>
        <v>0</v>
      </c>
      <c r="I732" s="44" t="str">
        <f>IFERROR((SUMIFS('Audit Raw data'!BZ:BZ,'Audit Raw data'!J:J,B:B,'Audit Raw data'!E:E,G:G)/H732)/100,"-")</f>
        <v>-</v>
      </c>
      <c r="J732">
        <f>COUNTIFS('Audit Raw data'!AM:AM,"Yes",'Audit Raw data'!J:J,B:B,'Audit Raw data'!E:E,'Day wise agent'!G:G)</f>
        <v>0</v>
      </c>
      <c r="K732">
        <f>COUNTIFS('Audit Raw data'!AM:AM,"NO",'Audit Raw data'!J:J,B:B,'Audit Raw data'!E:E,'Day wise agent'!G:G)</f>
        <v>0</v>
      </c>
      <c r="L732" s="12" t="str">
        <f t="shared" si="23"/>
        <v xml:space="preserve"> </v>
      </c>
    </row>
    <row r="733" spans="1:12" x14ac:dyDescent="0.35">
      <c r="A733" t="str">
        <f t="shared" si="22"/>
        <v>VPS24845937</v>
      </c>
      <c r="B733" t="s">
        <v>231</v>
      </c>
      <c r="C733" t="s">
        <v>1562</v>
      </c>
      <c r="D733" s="32">
        <v>45908</v>
      </c>
      <c r="E733" t="s">
        <v>107</v>
      </c>
      <c r="F733" t="str">
        <f>VLOOKUP(B733,'Agent wise'!A:E,5,0)</f>
        <v>Wireless</v>
      </c>
      <c r="G733" s="32">
        <v>45937</v>
      </c>
      <c r="H733">
        <f>COUNTIFS('Audit Raw data'!J:J,B:B,'Audit Raw data'!E:E,G:G)</f>
        <v>0</v>
      </c>
      <c r="I733" s="44" t="str">
        <f>IFERROR((SUMIFS('Audit Raw data'!BZ:BZ,'Audit Raw data'!J:J,B:B,'Audit Raw data'!E:E,G:G)/H733)/100,"-")</f>
        <v>-</v>
      </c>
      <c r="J733">
        <f>COUNTIFS('Audit Raw data'!AM:AM,"Yes",'Audit Raw data'!J:J,B:B,'Audit Raw data'!E:E,'Day wise agent'!G:G)</f>
        <v>0</v>
      </c>
      <c r="K733">
        <f>COUNTIFS('Audit Raw data'!AM:AM,"NO",'Audit Raw data'!J:J,B:B,'Audit Raw data'!E:E,'Day wise agent'!G:G)</f>
        <v>0</v>
      </c>
      <c r="L733" s="12" t="str">
        <f t="shared" si="23"/>
        <v xml:space="preserve"> </v>
      </c>
    </row>
    <row r="734" spans="1:12" x14ac:dyDescent="0.35">
      <c r="A734" t="str">
        <f t="shared" si="22"/>
        <v>VPS24945937</v>
      </c>
      <c r="B734" t="s">
        <v>215</v>
      </c>
      <c r="C734" t="s">
        <v>1563</v>
      </c>
      <c r="D734" s="32">
        <v>45907</v>
      </c>
      <c r="E734" t="s">
        <v>178</v>
      </c>
      <c r="F734" t="str">
        <f>VLOOKUP(B734,'Agent wise'!A:E,5,0)</f>
        <v>Wireless</v>
      </c>
      <c r="G734" s="32">
        <v>45937</v>
      </c>
      <c r="H734">
        <f>COUNTIFS('Audit Raw data'!J:J,B:B,'Audit Raw data'!E:E,G:G)</f>
        <v>0</v>
      </c>
      <c r="I734" s="44" t="str">
        <f>IFERROR((SUMIFS('Audit Raw data'!BZ:BZ,'Audit Raw data'!J:J,B:B,'Audit Raw data'!E:E,G:G)/H734)/100,"-")</f>
        <v>-</v>
      </c>
      <c r="J734">
        <f>COUNTIFS('Audit Raw data'!AM:AM,"Yes",'Audit Raw data'!J:J,B:B,'Audit Raw data'!E:E,'Day wise agent'!G:G)</f>
        <v>0</v>
      </c>
      <c r="K734">
        <f>COUNTIFS('Audit Raw data'!AM:AM,"NO",'Audit Raw data'!J:J,B:B,'Audit Raw data'!E:E,'Day wise agent'!G:G)</f>
        <v>0</v>
      </c>
      <c r="L734" s="12" t="str">
        <f t="shared" si="23"/>
        <v xml:space="preserve"> </v>
      </c>
    </row>
    <row r="735" spans="1:12" x14ac:dyDescent="0.35">
      <c r="A735" t="str">
        <f t="shared" si="22"/>
        <v>VPS25145937</v>
      </c>
      <c r="B735" t="s">
        <v>168</v>
      </c>
      <c r="C735" t="s">
        <v>1564</v>
      </c>
      <c r="D735" s="32">
        <v>45907</v>
      </c>
      <c r="E735" t="s">
        <v>107</v>
      </c>
      <c r="F735" t="str">
        <f>VLOOKUP(B735,'Agent wise'!A:E,5,0)</f>
        <v>Wireless</v>
      </c>
      <c r="G735" s="32">
        <v>45937</v>
      </c>
      <c r="H735">
        <f>COUNTIFS('Audit Raw data'!J:J,B:B,'Audit Raw data'!E:E,G:G)</f>
        <v>0</v>
      </c>
      <c r="I735" s="44" t="str">
        <f>IFERROR((SUMIFS('Audit Raw data'!BZ:BZ,'Audit Raw data'!J:J,B:B,'Audit Raw data'!E:E,G:G)/H735)/100,"-")</f>
        <v>-</v>
      </c>
      <c r="J735">
        <f>COUNTIFS('Audit Raw data'!AM:AM,"Yes",'Audit Raw data'!J:J,B:B,'Audit Raw data'!E:E,'Day wise agent'!G:G)</f>
        <v>0</v>
      </c>
      <c r="K735">
        <f>COUNTIFS('Audit Raw data'!AM:AM,"NO",'Audit Raw data'!J:J,B:B,'Audit Raw data'!E:E,'Day wise agent'!G:G)</f>
        <v>0</v>
      </c>
      <c r="L735" s="12" t="str">
        <f t="shared" si="23"/>
        <v xml:space="preserve"> </v>
      </c>
    </row>
    <row r="736" spans="1:12" x14ac:dyDescent="0.35">
      <c r="A736" t="str">
        <f t="shared" si="22"/>
        <v>VPS25245937</v>
      </c>
      <c r="B736" t="s">
        <v>204</v>
      </c>
      <c r="C736" t="s">
        <v>1565</v>
      </c>
      <c r="D736" s="32">
        <v>45919</v>
      </c>
      <c r="E736" t="s">
        <v>1484</v>
      </c>
      <c r="F736" t="str">
        <f>VLOOKUP(B736,'Agent wise'!A:E,5,0)</f>
        <v>Wireless</v>
      </c>
      <c r="G736" s="32">
        <v>45937</v>
      </c>
      <c r="H736">
        <f>COUNTIFS('Audit Raw data'!J:J,B:B,'Audit Raw data'!E:E,G:G)</f>
        <v>0</v>
      </c>
      <c r="I736" s="44" t="str">
        <f>IFERROR((SUMIFS('Audit Raw data'!BZ:BZ,'Audit Raw data'!J:J,B:B,'Audit Raw data'!E:E,G:G)/H736)/100,"-")</f>
        <v>-</v>
      </c>
      <c r="J736">
        <f>COUNTIFS('Audit Raw data'!AM:AM,"Yes",'Audit Raw data'!J:J,B:B,'Audit Raw data'!E:E,'Day wise agent'!G:G)</f>
        <v>0</v>
      </c>
      <c r="K736">
        <f>COUNTIFS('Audit Raw data'!AM:AM,"NO",'Audit Raw data'!J:J,B:B,'Audit Raw data'!E:E,'Day wise agent'!G:G)</f>
        <v>0</v>
      </c>
      <c r="L736" s="12" t="str">
        <f t="shared" si="23"/>
        <v xml:space="preserve"> </v>
      </c>
    </row>
    <row r="737" spans="1:12" x14ac:dyDescent="0.35">
      <c r="A737" t="str">
        <f t="shared" si="22"/>
        <v>VPS25345937</v>
      </c>
      <c r="B737" t="s">
        <v>195</v>
      </c>
      <c r="C737" t="s">
        <v>1566</v>
      </c>
      <c r="D737" s="32">
        <v>45919</v>
      </c>
      <c r="E737" t="s">
        <v>178</v>
      </c>
      <c r="F737" t="str">
        <f>VLOOKUP(B737,'Agent wise'!A:E,5,0)</f>
        <v>Wireless</v>
      </c>
      <c r="G737" s="32">
        <v>45937</v>
      </c>
      <c r="H737">
        <f>COUNTIFS('Audit Raw data'!J:J,B:B,'Audit Raw data'!E:E,G:G)</f>
        <v>1</v>
      </c>
      <c r="I737" s="44">
        <f>IFERROR((SUMIFS('Audit Raw data'!BZ:BZ,'Audit Raw data'!J:J,B:B,'Audit Raw data'!E:E,G:G)/H737)/100,"-")</f>
        <v>0.9</v>
      </c>
      <c r="J737">
        <f>COUNTIFS('Audit Raw data'!AM:AM,"Yes",'Audit Raw data'!J:J,B:B,'Audit Raw data'!E:E,'Day wise agent'!G:G)</f>
        <v>1</v>
      </c>
      <c r="K737">
        <f>COUNTIFS('Audit Raw data'!AM:AM,"NO",'Audit Raw data'!J:J,B:B,'Audit Raw data'!E:E,'Day wise agent'!G:G)</f>
        <v>0</v>
      </c>
      <c r="L737" s="12">
        <f t="shared" si="23"/>
        <v>1</v>
      </c>
    </row>
    <row r="738" spans="1:12" x14ac:dyDescent="0.35">
      <c r="A738" t="str">
        <f t="shared" si="22"/>
        <v>VPS25645937</v>
      </c>
      <c r="B738" t="s">
        <v>191</v>
      </c>
      <c r="C738" t="s">
        <v>1567</v>
      </c>
      <c r="D738" s="32">
        <v>45919</v>
      </c>
      <c r="E738" t="s">
        <v>1453</v>
      </c>
      <c r="F738" t="str">
        <f>VLOOKUP(B738,'Agent wise'!A:E,5,0)</f>
        <v>Wireless</v>
      </c>
      <c r="G738" s="32">
        <v>45937</v>
      </c>
      <c r="H738">
        <f>COUNTIFS('Audit Raw data'!J:J,B:B,'Audit Raw data'!E:E,G:G)</f>
        <v>1</v>
      </c>
      <c r="I738" s="44">
        <f>IFERROR((SUMIFS('Audit Raw data'!BZ:BZ,'Audit Raw data'!J:J,B:B,'Audit Raw data'!E:E,G:G)/H738)/100,"-")</f>
        <v>0.92</v>
      </c>
      <c r="J738">
        <f>COUNTIFS('Audit Raw data'!AM:AM,"Yes",'Audit Raw data'!J:J,B:B,'Audit Raw data'!E:E,'Day wise agent'!G:G)</f>
        <v>1</v>
      </c>
      <c r="K738">
        <f>COUNTIFS('Audit Raw data'!AM:AM,"NO",'Audit Raw data'!J:J,B:B,'Audit Raw data'!E:E,'Day wise agent'!G:G)</f>
        <v>0</v>
      </c>
      <c r="L738" s="12">
        <f t="shared" si="23"/>
        <v>1</v>
      </c>
    </row>
    <row r="739" spans="1:12" x14ac:dyDescent="0.35">
      <c r="A739" t="str">
        <f t="shared" si="22"/>
        <v>VPS25745937</v>
      </c>
      <c r="B739" t="s">
        <v>412</v>
      </c>
      <c r="C739" t="s">
        <v>1568</v>
      </c>
      <c r="D739" s="32">
        <v>45919</v>
      </c>
      <c r="E739" t="s">
        <v>1453</v>
      </c>
      <c r="F739" t="str">
        <f>VLOOKUP(B739,'Agent wise'!A:E,5,0)</f>
        <v>Wireless</v>
      </c>
      <c r="G739" s="32">
        <v>45937</v>
      </c>
      <c r="H739">
        <f>COUNTIFS('Audit Raw data'!J:J,B:B,'Audit Raw data'!E:E,G:G)</f>
        <v>2</v>
      </c>
      <c r="I739" s="44">
        <f>IFERROR((SUMIFS('Audit Raw data'!BZ:BZ,'Audit Raw data'!J:J,B:B,'Audit Raw data'!E:E,G:G)/H739)/100,"-")</f>
        <v>0.96</v>
      </c>
      <c r="J739">
        <f>COUNTIFS('Audit Raw data'!AM:AM,"Yes",'Audit Raw data'!J:J,B:B,'Audit Raw data'!E:E,'Day wise agent'!G:G)</f>
        <v>2</v>
      </c>
      <c r="K739">
        <f>COUNTIFS('Audit Raw data'!AM:AM,"NO",'Audit Raw data'!J:J,B:B,'Audit Raw data'!E:E,'Day wise agent'!G:G)</f>
        <v>0</v>
      </c>
      <c r="L739" s="12">
        <f t="shared" si="23"/>
        <v>1</v>
      </c>
    </row>
    <row r="740" spans="1:12" x14ac:dyDescent="0.35">
      <c r="A740" t="str">
        <f t="shared" si="22"/>
        <v>VPS25845937</v>
      </c>
      <c r="B740" t="s">
        <v>183</v>
      </c>
      <c r="C740" t="s">
        <v>1569</v>
      </c>
      <c r="D740" s="32">
        <v>45927</v>
      </c>
      <c r="E740" t="s">
        <v>178</v>
      </c>
      <c r="F740" t="str">
        <f>VLOOKUP(B740,'Agent wise'!A:E,5,0)</f>
        <v>Wireless</v>
      </c>
      <c r="G740" s="32">
        <v>45937</v>
      </c>
      <c r="H740">
        <f>COUNTIFS('Audit Raw data'!J:J,B:B,'Audit Raw data'!E:E,G:G)</f>
        <v>0</v>
      </c>
      <c r="I740" s="44" t="str">
        <f>IFERROR((SUMIFS('Audit Raw data'!BZ:BZ,'Audit Raw data'!J:J,B:B,'Audit Raw data'!E:E,G:G)/H740)/100,"-")</f>
        <v>-</v>
      </c>
      <c r="J740">
        <f>COUNTIFS('Audit Raw data'!AM:AM,"Yes",'Audit Raw data'!J:J,B:B,'Audit Raw data'!E:E,'Day wise agent'!G:G)</f>
        <v>0</v>
      </c>
      <c r="K740">
        <f>COUNTIFS('Audit Raw data'!AM:AM,"NO",'Audit Raw data'!J:J,B:B,'Audit Raw data'!E:E,'Day wise agent'!G:G)</f>
        <v>0</v>
      </c>
      <c r="L740" s="12" t="str">
        <f t="shared" si="23"/>
        <v xml:space="preserve"> </v>
      </c>
    </row>
    <row r="741" spans="1:12" x14ac:dyDescent="0.35">
      <c r="A741" t="str">
        <f t="shared" si="22"/>
        <v>VPS25945937</v>
      </c>
      <c r="B741" t="s">
        <v>102</v>
      </c>
      <c r="C741" t="s">
        <v>1570</v>
      </c>
      <c r="D741" s="32">
        <v>45927</v>
      </c>
      <c r="E741" t="s">
        <v>107</v>
      </c>
      <c r="F741" t="str">
        <f>VLOOKUP(B741,'Agent wise'!A:E,5,0)</f>
        <v>Wireless</v>
      </c>
      <c r="G741" s="32">
        <v>45937</v>
      </c>
      <c r="H741">
        <f>COUNTIFS('Audit Raw data'!J:J,B:B,'Audit Raw data'!E:E,G:G)</f>
        <v>0</v>
      </c>
      <c r="I741" s="44" t="str">
        <f>IFERROR((SUMIFS('Audit Raw data'!BZ:BZ,'Audit Raw data'!J:J,B:B,'Audit Raw data'!E:E,G:G)/H741)/100,"-")</f>
        <v>-</v>
      </c>
      <c r="J741">
        <f>COUNTIFS('Audit Raw data'!AM:AM,"Yes",'Audit Raw data'!J:J,B:B,'Audit Raw data'!E:E,'Day wise agent'!G:G)</f>
        <v>0</v>
      </c>
      <c r="K741">
        <f>COUNTIFS('Audit Raw data'!AM:AM,"NO",'Audit Raw data'!J:J,B:B,'Audit Raw data'!E:E,'Day wise agent'!G:G)</f>
        <v>0</v>
      </c>
      <c r="L741" s="12" t="str">
        <f t="shared" si="23"/>
        <v xml:space="preserve"> </v>
      </c>
    </row>
    <row r="742" spans="1:12" x14ac:dyDescent="0.35">
      <c r="A742" t="str">
        <f t="shared" si="22"/>
        <v>VPS26045937</v>
      </c>
      <c r="B742" t="s">
        <v>998</v>
      </c>
      <c r="C742" t="s">
        <v>1571</v>
      </c>
      <c r="D742" s="32">
        <v>45938</v>
      </c>
      <c r="E742" t="s">
        <v>1572</v>
      </c>
      <c r="F742" t="str">
        <f>VLOOKUP(B742,'Agent wise'!A:E,5,0)</f>
        <v>Wireless</v>
      </c>
      <c r="G742" s="32">
        <v>45937</v>
      </c>
      <c r="H742">
        <f>COUNTIFS('Audit Raw data'!J:J,B:B,'Audit Raw data'!E:E,G:G)</f>
        <v>2</v>
      </c>
      <c r="I742" s="44">
        <f>IFERROR((SUMIFS('Audit Raw data'!BZ:BZ,'Audit Raw data'!J:J,B:B,'Audit Raw data'!E:E,G:G)/H742)/100,"-")</f>
        <v>0.91</v>
      </c>
      <c r="J742">
        <f>COUNTIFS('Audit Raw data'!AM:AM,"Yes",'Audit Raw data'!J:J,B:B,'Audit Raw data'!E:E,'Day wise agent'!G:G)</f>
        <v>2</v>
      </c>
      <c r="K742">
        <f>COUNTIFS('Audit Raw data'!AM:AM,"NO",'Audit Raw data'!J:J,B:B,'Audit Raw data'!E:E,'Day wise agent'!G:G)</f>
        <v>0</v>
      </c>
      <c r="L742" s="12">
        <f t="shared" si="23"/>
        <v>1</v>
      </c>
    </row>
    <row r="743" spans="1:12" x14ac:dyDescent="0.35">
      <c r="A743" t="str">
        <f t="shared" si="22"/>
        <v>VPS26145937</v>
      </c>
      <c r="B743" t="s">
        <v>1009</v>
      </c>
      <c r="C743" t="s">
        <v>1573</v>
      </c>
      <c r="D743" s="32">
        <v>45938</v>
      </c>
      <c r="E743" t="s">
        <v>1572</v>
      </c>
      <c r="F743" t="str">
        <f>VLOOKUP(B743,'Agent wise'!A:E,5,0)</f>
        <v>Wireless</v>
      </c>
      <c r="G743" s="32">
        <v>45937</v>
      </c>
      <c r="H743">
        <f>COUNTIFS('Audit Raw data'!J:J,B:B,'Audit Raw data'!E:E,G:G)</f>
        <v>3</v>
      </c>
      <c r="I743" s="44">
        <f>IFERROR((SUMIFS('Audit Raw data'!BZ:BZ,'Audit Raw data'!J:J,B:B,'Audit Raw data'!E:E,G:G)/H743)/100,"-")</f>
        <v>0.88</v>
      </c>
      <c r="J743">
        <f>COUNTIFS('Audit Raw data'!AM:AM,"Yes",'Audit Raw data'!J:J,B:B,'Audit Raw data'!E:E,'Day wise agent'!G:G)</f>
        <v>2</v>
      </c>
      <c r="K743">
        <f>COUNTIFS('Audit Raw data'!AM:AM,"NO",'Audit Raw data'!J:J,B:B,'Audit Raw data'!E:E,'Day wise agent'!G:G)</f>
        <v>1</v>
      </c>
      <c r="L743" s="12">
        <f t="shared" si="23"/>
        <v>0.66666666666666663</v>
      </c>
    </row>
    <row r="744" spans="1:12" x14ac:dyDescent="0.35">
      <c r="A744" t="str">
        <f t="shared" si="22"/>
        <v>VPS26245937</v>
      </c>
      <c r="B744" t="s">
        <v>1098</v>
      </c>
      <c r="C744" t="s">
        <v>1574</v>
      </c>
      <c r="D744" s="32">
        <v>45938</v>
      </c>
      <c r="E744" t="s">
        <v>1572</v>
      </c>
      <c r="F744" t="str">
        <f>VLOOKUP(B744,'Agent wise'!A:E,5,0)</f>
        <v>Wireless</v>
      </c>
      <c r="G744" s="32">
        <v>45937</v>
      </c>
      <c r="H744">
        <f>COUNTIFS('Audit Raw data'!J:J,B:B,'Audit Raw data'!E:E,G:G)</f>
        <v>3</v>
      </c>
      <c r="I744" s="44">
        <f>IFERROR((SUMIFS('Audit Raw data'!BZ:BZ,'Audit Raw data'!J:J,B:B,'Audit Raw data'!E:E,G:G)/H744)/100,"-")</f>
        <v>0.84</v>
      </c>
      <c r="J744">
        <f>COUNTIFS('Audit Raw data'!AM:AM,"Yes",'Audit Raw data'!J:J,B:B,'Audit Raw data'!E:E,'Day wise agent'!G:G)</f>
        <v>3</v>
      </c>
      <c r="K744">
        <f>COUNTIFS('Audit Raw data'!AM:AM,"NO",'Audit Raw data'!J:J,B:B,'Audit Raw data'!E:E,'Day wise agent'!G:G)</f>
        <v>0</v>
      </c>
      <c r="L744" s="12">
        <f t="shared" si="23"/>
        <v>1</v>
      </c>
    </row>
    <row r="745" spans="1:12" x14ac:dyDescent="0.35">
      <c r="A745" t="str">
        <f t="shared" si="22"/>
        <v>VPS26345937</v>
      </c>
      <c r="B745" t="s">
        <v>1022</v>
      </c>
      <c r="C745" t="s">
        <v>1575</v>
      </c>
      <c r="D745" s="32">
        <v>45938</v>
      </c>
      <c r="E745" t="s">
        <v>1572</v>
      </c>
      <c r="F745" t="str">
        <f>VLOOKUP(B745,'Agent wise'!A:E,5,0)</f>
        <v>Wireless</v>
      </c>
      <c r="G745" s="32">
        <v>45937</v>
      </c>
      <c r="H745">
        <f>COUNTIFS('Audit Raw data'!J:J,B:B,'Audit Raw data'!E:E,G:G)</f>
        <v>3</v>
      </c>
      <c r="I745" s="44">
        <f>IFERROR((SUMIFS('Audit Raw data'!BZ:BZ,'Audit Raw data'!J:J,B:B,'Audit Raw data'!E:E,G:G)/H745)/100,"-")</f>
        <v>0.9</v>
      </c>
      <c r="J745">
        <f>COUNTIFS('Audit Raw data'!AM:AM,"Yes",'Audit Raw data'!J:J,B:B,'Audit Raw data'!E:E,'Day wise agent'!G:G)</f>
        <v>3</v>
      </c>
      <c r="K745">
        <f>COUNTIFS('Audit Raw data'!AM:AM,"NO",'Audit Raw data'!J:J,B:B,'Audit Raw data'!E:E,'Day wise agent'!G:G)</f>
        <v>0</v>
      </c>
      <c r="L745" s="12">
        <f t="shared" si="23"/>
        <v>1</v>
      </c>
    </row>
    <row r="746" spans="1:12" x14ac:dyDescent="0.35">
      <c r="A746" t="str">
        <f t="shared" si="22"/>
        <v>VPS26445937</v>
      </c>
      <c r="B746" t="s">
        <v>1030</v>
      </c>
      <c r="C746" t="s">
        <v>1576</v>
      </c>
      <c r="D746" s="32">
        <v>45938</v>
      </c>
      <c r="E746" t="s">
        <v>1572</v>
      </c>
      <c r="F746" t="str">
        <f>VLOOKUP(B746,'Agent wise'!A:E,5,0)</f>
        <v>Wireless</v>
      </c>
      <c r="G746" s="32">
        <v>45937</v>
      </c>
      <c r="H746">
        <f>COUNTIFS('Audit Raw data'!J:J,B:B,'Audit Raw data'!E:E,G:G)</f>
        <v>3</v>
      </c>
      <c r="I746" s="44">
        <f>IFERROR((SUMIFS('Audit Raw data'!BZ:BZ,'Audit Raw data'!J:J,B:B,'Audit Raw data'!E:E,G:G)/H746)/100,"-")</f>
        <v>0.84666666666666668</v>
      </c>
      <c r="J746">
        <f>COUNTIFS('Audit Raw data'!AM:AM,"Yes",'Audit Raw data'!J:J,B:B,'Audit Raw data'!E:E,'Day wise agent'!G:G)</f>
        <v>2</v>
      </c>
      <c r="K746">
        <f>COUNTIFS('Audit Raw data'!AM:AM,"NO",'Audit Raw data'!J:J,B:B,'Audit Raw data'!E:E,'Day wise agent'!G:G)</f>
        <v>1</v>
      </c>
      <c r="L746" s="12">
        <f t="shared" si="23"/>
        <v>0.66666666666666663</v>
      </c>
    </row>
    <row r="747" spans="1:12" x14ac:dyDescent="0.35">
      <c r="A747" t="str">
        <f t="shared" si="22"/>
        <v>SBM10745938</v>
      </c>
      <c r="B747" t="s">
        <v>313</v>
      </c>
      <c r="C747" t="s">
        <v>1449</v>
      </c>
      <c r="D747" s="32">
        <v>44691</v>
      </c>
      <c r="E747" t="s">
        <v>107</v>
      </c>
      <c r="F747" t="str">
        <f>VLOOKUP(B747,'Agent wise'!A:E,5,0)</f>
        <v>Wire-line</v>
      </c>
      <c r="G747" s="32">
        <v>45938</v>
      </c>
      <c r="H747">
        <f>COUNTIFS('Audit Raw data'!J:J,B:B,'Audit Raw data'!E:E,G:G)</f>
        <v>0</v>
      </c>
      <c r="I747" s="44" t="str">
        <f>IFERROR((SUMIFS('Audit Raw data'!BZ:BZ,'Audit Raw data'!J:J,B:B,'Audit Raw data'!E:E,G:G)/H747)/100,"-")</f>
        <v>-</v>
      </c>
      <c r="J747">
        <f>COUNTIFS('Audit Raw data'!AM:AM,"Yes",'Audit Raw data'!J:J,B:B,'Audit Raw data'!E:E,'Day wise agent'!G:G)</f>
        <v>0</v>
      </c>
      <c r="K747">
        <f>COUNTIFS('Audit Raw data'!AM:AM,"NO",'Audit Raw data'!J:J,B:B,'Audit Raw data'!E:E,'Day wise agent'!G:G)</f>
        <v>0</v>
      </c>
      <c r="L747" s="12" t="str">
        <f t="shared" si="23"/>
        <v xml:space="preserve"> </v>
      </c>
    </row>
    <row r="748" spans="1:12" x14ac:dyDescent="0.35">
      <c r="A748" t="str">
        <f t="shared" si="22"/>
        <v>SBM15045938</v>
      </c>
      <c r="B748" t="s">
        <v>56</v>
      </c>
      <c r="C748" t="s">
        <v>1452</v>
      </c>
      <c r="D748" s="32">
        <v>44707</v>
      </c>
      <c r="E748" t="s">
        <v>1453</v>
      </c>
      <c r="F748" t="str">
        <f>VLOOKUP(B748,'Agent wise'!A:E,5,0)</f>
        <v>Wireless</v>
      </c>
      <c r="G748" s="32">
        <v>45938</v>
      </c>
      <c r="H748">
        <f>COUNTIFS('Audit Raw data'!J:J,B:B,'Audit Raw data'!E:E,G:G)</f>
        <v>0</v>
      </c>
      <c r="I748" s="44" t="str">
        <f>IFERROR((SUMIFS('Audit Raw data'!BZ:BZ,'Audit Raw data'!J:J,B:B,'Audit Raw data'!E:E,G:G)/H748)/100,"-")</f>
        <v>-</v>
      </c>
      <c r="J748">
        <f>COUNTIFS('Audit Raw data'!AM:AM,"Yes",'Audit Raw data'!J:J,B:B,'Audit Raw data'!E:E,'Day wise agent'!G:G)</f>
        <v>0</v>
      </c>
      <c r="K748">
        <f>COUNTIFS('Audit Raw data'!AM:AM,"NO",'Audit Raw data'!J:J,B:B,'Audit Raw data'!E:E,'Day wise agent'!G:G)</f>
        <v>0</v>
      </c>
      <c r="L748" s="12" t="str">
        <f t="shared" si="23"/>
        <v xml:space="preserve"> </v>
      </c>
    </row>
    <row r="749" spans="1:12" x14ac:dyDescent="0.35">
      <c r="A749" t="str">
        <f t="shared" si="22"/>
        <v>SBM15545938</v>
      </c>
      <c r="B749" t="s">
        <v>1454</v>
      </c>
      <c r="C749" t="s">
        <v>1455</v>
      </c>
      <c r="D749" s="32">
        <v>44707</v>
      </c>
      <c r="E749" t="s">
        <v>1456</v>
      </c>
      <c r="F749" t="str">
        <f>VLOOKUP(B749,'Agent wise'!A:E,5,0)</f>
        <v>RECL</v>
      </c>
      <c r="G749" s="32">
        <v>45938</v>
      </c>
      <c r="H749">
        <f>COUNTIFS('Audit Raw data'!J:J,B:B,'Audit Raw data'!E:E,G:G)</f>
        <v>0</v>
      </c>
      <c r="I749" s="44" t="str">
        <f>IFERROR((SUMIFS('Audit Raw data'!BZ:BZ,'Audit Raw data'!J:J,B:B,'Audit Raw data'!E:E,G:G)/H749)/100,"-")</f>
        <v>-</v>
      </c>
      <c r="J749">
        <f>COUNTIFS('Audit Raw data'!AM:AM,"Yes",'Audit Raw data'!J:J,B:B,'Audit Raw data'!E:E,'Day wise agent'!G:G)</f>
        <v>0</v>
      </c>
      <c r="K749">
        <f>COUNTIFS('Audit Raw data'!AM:AM,"NO",'Audit Raw data'!J:J,B:B,'Audit Raw data'!E:E,'Day wise agent'!G:G)</f>
        <v>0</v>
      </c>
      <c r="L749" s="12" t="str">
        <f t="shared" si="23"/>
        <v xml:space="preserve"> </v>
      </c>
    </row>
    <row r="750" spans="1:12" x14ac:dyDescent="0.35">
      <c r="A750" t="str">
        <f t="shared" si="22"/>
        <v>SBM15745938</v>
      </c>
      <c r="B750" t="s">
        <v>67</v>
      </c>
      <c r="C750" t="s">
        <v>1458</v>
      </c>
      <c r="D750" s="32">
        <v>44713</v>
      </c>
      <c r="E750" t="s">
        <v>1453</v>
      </c>
      <c r="F750" t="str">
        <f>VLOOKUP(B750,'Agent wise'!A:E,5,0)</f>
        <v>Wireless</v>
      </c>
      <c r="G750" s="32">
        <v>45938</v>
      </c>
      <c r="H750">
        <f>COUNTIFS('Audit Raw data'!J:J,B:B,'Audit Raw data'!E:E,G:G)</f>
        <v>0</v>
      </c>
      <c r="I750" s="44" t="str">
        <f>IFERROR((SUMIFS('Audit Raw data'!BZ:BZ,'Audit Raw data'!J:J,B:B,'Audit Raw data'!E:E,G:G)/H750)/100,"-")</f>
        <v>-</v>
      </c>
      <c r="J750">
        <f>COUNTIFS('Audit Raw data'!AM:AM,"Yes",'Audit Raw data'!J:J,B:B,'Audit Raw data'!E:E,'Day wise agent'!G:G)</f>
        <v>0</v>
      </c>
      <c r="K750">
        <f>COUNTIFS('Audit Raw data'!AM:AM,"NO",'Audit Raw data'!J:J,B:B,'Audit Raw data'!E:E,'Day wise agent'!G:G)</f>
        <v>0</v>
      </c>
      <c r="L750" s="12" t="str">
        <f t="shared" si="23"/>
        <v xml:space="preserve"> </v>
      </c>
    </row>
    <row r="751" spans="1:12" x14ac:dyDescent="0.35">
      <c r="A751" t="str">
        <f t="shared" si="22"/>
        <v>SBM20245938</v>
      </c>
      <c r="B751" t="s">
        <v>466</v>
      </c>
      <c r="C751" t="s">
        <v>1459</v>
      </c>
      <c r="D751" s="32">
        <v>44721</v>
      </c>
      <c r="E751" t="s">
        <v>178</v>
      </c>
      <c r="F751" t="str">
        <f>VLOOKUP(B751,'Agent wise'!A:E,5,0)</f>
        <v>Wireless</v>
      </c>
      <c r="G751" s="32">
        <v>45938</v>
      </c>
      <c r="H751">
        <f>COUNTIFS('Audit Raw data'!J:J,B:B,'Audit Raw data'!E:E,G:G)</f>
        <v>1</v>
      </c>
      <c r="I751" s="44">
        <f>IFERROR((SUMIFS('Audit Raw data'!BZ:BZ,'Audit Raw data'!J:J,B:B,'Audit Raw data'!E:E,G:G)/H751)/100,"-")</f>
        <v>0.94</v>
      </c>
      <c r="J751">
        <f>COUNTIFS('Audit Raw data'!AM:AM,"Yes",'Audit Raw data'!J:J,B:B,'Audit Raw data'!E:E,'Day wise agent'!G:G)</f>
        <v>1</v>
      </c>
      <c r="K751">
        <f>COUNTIFS('Audit Raw data'!AM:AM,"NO",'Audit Raw data'!J:J,B:B,'Audit Raw data'!E:E,'Day wise agent'!G:G)</f>
        <v>0</v>
      </c>
      <c r="L751" s="12">
        <f t="shared" si="23"/>
        <v>1</v>
      </c>
    </row>
    <row r="752" spans="1:12" x14ac:dyDescent="0.35">
      <c r="A752" t="str">
        <f t="shared" si="22"/>
        <v>SBM26445938</v>
      </c>
      <c r="B752" t="s">
        <v>575</v>
      </c>
      <c r="C752" t="s">
        <v>1461</v>
      </c>
      <c r="D752" s="32">
        <v>44739</v>
      </c>
      <c r="E752" t="s">
        <v>107</v>
      </c>
      <c r="F752" t="str">
        <f>VLOOKUP(B752,'Agent wise'!A:E,5,0)</f>
        <v>Wireless</v>
      </c>
      <c r="G752" s="32">
        <v>45938</v>
      </c>
      <c r="H752">
        <f>COUNTIFS('Audit Raw data'!J:J,B:B,'Audit Raw data'!E:E,G:G)</f>
        <v>0</v>
      </c>
      <c r="I752" s="44" t="str">
        <f>IFERROR((SUMIFS('Audit Raw data'!BZ:BZ,'Audit Raw data'!J:J,B:B,'Audit Raw data'!E:E,G:G)/H752)/100,"-")</f>
        <v>-</v>
      </c>
      <c r="J752">
        <f>COUNTIFS('Audit Raw data'!AM:AM,"Yes",'Audit Raw data'!J:J,B:B,'Audit Raw data'!E:E,'Day wise agent'!G:G)</f>
        <v>0</v>
      </c>
      <c r="K752">
        <f>COUNTIFS('Audit Raw data'!AM:AM,"NO",'Audit Raw data'!J:J,B:B,'Audit Raw data'!E:E,'Day wise agent'!G:G)</f>
        <v>0</v>
      </c>
      <c r="L752" s="12" t="str">
        <f t="shared" si="23"/>
        <v xml:space="preserve"> </v>
      </c>
    </row>
    <row r="753" spans="1:12" x14ac:dyDescent="0.35">
      <c r="A753" t="str">
        <f t="shared" si="22"/>
        <v>SBM26745938</v>
      </c>
      <c r="B753" t="s">
        <v>91</v>
      </c>
      <c r="C753" t="s">
        <v>1462</v>
      </c>
      <c r="D753" s="32">
        <v>44768</v>
      </c>
      <c r="E753" t="s">
        <v>1453</v>
      </c>
      <c r="F753" t="str">
        <f>VLOOKUP(B753,'Agent wise'!A:E,5,0)</f>
        <v>Wireless</v>
      </c>
      <c r="G753" s="32">
        <v>45938</v>
      </c>
      <c r="H753">
        <f>COUNTIFS('Audit Raw data'!J:J,B:B,'Audit Raw data'!E:E,G:G)</f>
        <v>1</v>
      </c>
      <c r="I753" s="44">
        <f>IFERROR((SUMIFS('Audit Raw data'!BZ:BZ,'Audit Raw data'!J:J,B:B,'Audit Raw data'!E:E,G:G)/H753)/100,"-")</f>
        <v>0.84</v>
      </c>
      <c r="J753">
        <f>COUNTIFS('Audit Raw data'!AM:AM,"Yes",'Audit Raw data'!J:J,B:B,'Audit Raw data'!E:E,'Day wise agent'!G:G)</f>
        <v>1</v>
      </c>
      <c r="K753">
        <f>COUNTIFS('Audit Raw data'!AM:AM,"NO",'Audit Raw data'!J:J,B:B,'Audit Raw data'!E:E,'Day wise agent'!G:G)</f>
        <v>0</v>
      </c>
      <c r="L753" s="12">
        <f t="shared" si="23"/>
        <v>1</v>
      </c>
    </row>
    <row r="754" spans="1:12" x14ac:dyDescent="0.35">
      <c r="A754" t="str">
        <f t="shared" si="22"/>
        <v>SBM31445938</v>
      </c>
      <c r="B754" t="s">
        <v>132</v>
      </c>
      <c r="C754" t="s">
        <v>1463</v>
      </c>
      <c r="D754" s="32">
        <v>44784</v>
      </c>
      <c r="E754" t="s">
        <v>107</v>
      </c>
      <c r="F754" t="str">
        <f>VLOOKUP(B754,'Agent wise'!A:E,5,0)</f>
        <v>Wireless</v>
      </c>
      <c r="G754" s="32">
        <v>45938</v>
      </c>
      <c r="H754">
        <f>COUNTIFS('Audit Raw data'!J:J,B:B,'Audit Raw data'!E:E,G:G)</f>
        <v>0</v>
      </c>
      <c r="I754" s="44" t="str">
        <f>IFERROR((SUMIFS('Audit Raw data'!BZ:BZ,'Audit Raw data'!J:J,B:B,'Audit Raw data'!E:E,G:G)/H754)/100,"-")</f>
        <v>-</v>
      </c>
      <c r="J754">
        <f>COUNTIFS('Audit Raw data'!AM:AM,"Yes",'Audit Raw data'!J:J,B:B,'Audit Raw data'!E:E,'Day wise agent'!G:G)</f>
        <v>0</v>
      </c>
      <c r="K754">
        <f>COUNTIFS('Audit Raw data'!AM:AM,"NO",'Audit Raw data'!J:J,B:B,'Audit Raw data'!E:E,'Day wise agent'!G:G)</f>
        <v>0</v>
      </c>
      <c r="L754" s="12" t="str">
        <f t="shared" si="23"/>
        <v xml:space="preserve"> </v>
      </c>
    </row>
    <row r="755" spans="1:12" x14ac:dyDescent="0.35">
      <c r="A755" t="str">
        <f t="shared" si="22"/>
        <v>SBM36345938</v>
      </c>
      <c r="B755" t="s">
        <v>70</v>
      </c>
      <c r="C755" t="s">
        <v>1464</v>
      </c>
      <c r="D755" s="32">
        <v>44786</v>
      </c>
      <c r="E755" t="s">
        <v>1453</v>
      </c>
      <c r="F755" t="str">
        <f>VLOOKUP(B755,'Agent wise'!A:E,5,0)</f>
        <v>Wireless</v>
      </c>
      <c r="G755" s="32">
        <v>45938</v>
      </c>
      <c r="H755">
        <f>COUNTIFS('Audit Raw data'!J:J,B:B,'Audit Raw data'!E:E,G:G)</f>
        <v>0</v>
      </c>
      <c r="I755" s="44" t="str">
        <f>IFERROR((SUMIFS('Audit Raw data'!BZ:BZ,'Audit Raw data'!J:J,B:B,'Audit Raw data'!E:E,G:G)/H755)/100,"-")</f>
        <v>-</v>
      </c>
      <c r="J755">
        <f>COUNTIFS('Audit Raw data'!AM:AM,"Yes",'Audit Raw data'!J:J,B:B,'Audit Raw data'!E:E,'Day wise agent'!G:G)</f>
        <v>0</v>
      </c>
      <c r="K755">
        <f>COUNTIFS('Audit Raw data'!AM:AM,"NO",'Audit Raw data'!J:J,B:B,'Audit Raw data'!E:E,'Day wise agent'!G:G)</f>
        <v>0</v>
      </c>
      <c r="L755" s="12" t="str">
        <f t="shared" si="23"/>
        <v xml:space="preserve"> </v>
      </c>
    </row>
    <row r="756" spans="1:12" x14ac:dyDescent="0.35">
      <c r="A756" t="str">
        <f t="shared" si="22"/>
        <v>SBM37345938</v>
      </c>
      <c r="B756" t="s">
        <v>75</v>
      </c>
      <c r="C756" t="s">
        <v>1465</v>
      </c>
      <c r="D756" s="32">
        <v>44786</v>
      </c>
      <c r="E756" t="s">
        <v>1453</v>
      </c>
      <c r="F756" t="str">
        <f>VLOOKUP(B756,'Agent wise'!A:E,5,0)</f>
        <v>Wireless</v>
      </c>
      <c r="G756" s="32">
        <v>45938</v>
      </c>
      <c r="H756">
        <f>COUNTIFS('Audit Raw data'!J:J,B:B,'Audit Raw data'!E:E,G:G)</f>
        <v>1</v>
      </c>
      <c r="I756" s="44">
        <f>IFERROR((SUMIFS('Audit Raw data'!BZ:BZ,'Audit Raw data'!J:J,B:B,'Audit Raw data'!E:E,G:G)/H756)/100,"-")</f>
        <v>0.94</v>
      </c>
      <c r="J756">
        <f>COUNTIFS('Audit Raw data'!AM:AM,"Yes",'Audit Raw data'!J:J,B:B,'Audit Raw data'!E:E,'Day wise agent'!G:G)</f>
        <v>1</v>
      </c>
      <c r="K756">
        <f>COUNTIFS('Audit Raw data'!AM:AM,"NO",'Audit Raw data'!J:J,B:B,'Audit Raw data'!E:E,'Day wise agent'!G:G)</f>
        <v>0</v>
      </c>
      <c r="L756" s="12">
        <f t="shared" si="23"/>
        <v>1</v>
      </c>
    </row>
    <row r="757" spans="1:12" x14ac:dyDescent="0.35">
      <c r="A757" t="str">
        <f t="shared" si="22"/>
        <v>SBM42245938</v>
      </c>
      <c r="B757" t="s">
        <v>636</v>
      </c>
      <c r="C757" t="s">
        <v>1466</v>
      </c>
      <c r="D757" s="32">
        <v>44882</v>
      </c>
      <c r="E757" t="s">
        <v>107</v>
      </c>
      <c r="F757" t="str">
        <f>VLOOKUP(B757,'Agent wise'!A:E,5,0)</f>
        <v>Wireless</v>
      </c>
      <c r="G757" s="32">
        <v>45938</v>
      </c>
      <c r="H757">
        <f>COUNTIFS('Audit Raw data'!J:J,B:B,'Audit Raw data'!E:E,G:G)</f>
        <v>0</v>
      </c>
      <c r="I757" s="44" t="str">
        <f>IFERROR((SUMIFS('Audit Raw data'!BZ:BZ,'Audit Raw data'!J:J,B:B,'Audit Raw data'!E:E,G:G)/H757)/100,"-")</f>
        <v>-</v>
      </c>
      <c r="J757">
        <f>COUNTIFS('Audit Raw data'!AM:AM,"Yes",'Audit Raw data'!J:J,B:B,'Audit Raw data'!E:E,'Day wise agent'!G:G)</f>
        <v>0</v>
      </c>
      <c r="K757">
        <f>COUNTIFS('Audit Raw data'!AM:AM,"NO",'Audit Raw data'!J:J,B:B,'Audit Raw data'!E:E,'Day wise agent'!G:G)</f>
        <v>0</v>
      </c>
      <c r="L757" s="12" t="str">
        <f t="shared" si="23"/>
        <v xml:space="preserve"> </v>
      </c>
    </row>
    <row r="758" spans="1:12" x14ac:dyDescent="0.35">
      <c r="A758" t="str">
        <f t="shared" si="22"/>
        <v>SBM47945938</v>
      </c>
      <c r="B758" t="s">
        <v>1474</v>
      </c>
      <c r="C758" t="s">
        <v>1475</v>
      </c>
      <c r="D758" s="32">
        <v>44932</v>
      </c>
      <c r="E758" t="s">
        <v>1456</v>
      </c>
      <c r="F758" t="str">
        <f>VLOOKUP(B758,'Agent wise'!A:E,5,0)</f>
        <v>RECL</v>
      </c>
      <c r="G758" s="32">
        <v>45938</v>
      </c>
      <c r="H758">
        <f>COUNTIFS('Audit Raw data'!J:J,B:B,'Audit Raw data'!E:E,G:G)</f>
        <v>0</v>
      </c>
      <c r="I758" s="44" t="str">
        <f>IFERROR((SUMIFS('Audit Raw data'!BZ:BZ,'Audit Raw data'!J:J,B:B,'Audit Raw data'!E:E,G:G)/H758)/100,"-")</f>
        <v>-</v>
      </c>
      <c r="J758">
        <f>COUNTIFS('Audit Raw data'!AM:AM,"Yes",'Audit Raw data'!J:J,B:B,'Audit Raw data'!E:E,'Day wise agent'!G:G)</f>
        <v>0</v>
      </c>
      <c r="K758">
        <f>COUNTIFS('Audit Raw data'!AM:AM,"NO",'Audit Raw data'!J:J,B:B,'Audit Raw data'!E:E,'Day wise agent'!G:G)</f>
        <v>0</v>
      </c>
      <c r="L758" s="12" t="str">
        <f t="shared" si="23"/>
        <v xml:space="preserve"> </v>
      </c>
    </row>
    <row r="759" spans="1:12" x14ac:dyDescent="0.35">
      <c r="A759" t="str">
        <f t="shared" si="22"/>
        <v>SBM48145938</v>
      </c>
      <c r="B759" t="s">
        <v>638</v>
      </c>
      <c r="C759" t="s">
        <v>1467</v>
      </c>
      <c r="D759" s="32">
        <v>44932</v>
      </c>
      <c r="E759" t="s">
        <v>178</v>
      </c>
      <c r="F759" t="str">
        <f>VLOOKUP(B759,'Agent wise'!A:E,5,0)</f>
        <v>Wireless</v>
      </c>
      <c r="G759" s="32">
        <v>45938</v>
      </c>
      <c r="H759">
        <f>COUNTIFS('Audit Raw data'!J:J,B:B,'Audit Raw data'!E:E,G:G)</f>
        <v>0</v>
      </c>
      <c r="I759" s="44" t="str">
        <f>IFERROR((SUMIFS('Audit Raw data'!BZ:BZ,'Audit Raw data'!J:J,B:B,'Audit Raw data'!E:E,G:G)/H759)/100,"-")</f>
        <v>-</v>
      </c>
      <c r="J759">
        <f>COUNTIFS('Audit Raw data'!AM:AM,"Yes",'Audit Raw data'!J:J,B:B,'Audit Raw data'!E:E,'Day wise agent'!G:G)</f>
        <v>0</v>
      </c>
      <c r="K759">
        <f>COUNTIFS('Audit Raw data'!AM:AM,"NO",'Audit Raw data'!J:J,B:B,'Audit Raw data'!E:E,'Day wise agent'!G:G)</f>
        <v>0</v>
      </c>
      <c r="L759" s="12" t="str">
        <f t="shared" si="23"/>
        <v xml:space="preserve"> </v>
      </c>
    </row>
    <row r="760" spans="1:12" x14ac:dyDescent="0.35">
      <c r="A760" t="str">
        <f t="shared" si="22"/>
        <v>SBM48545938</v>
      </c>
      <c r="B760" t="s">
        <v>80</v>
      </c>
      <c r="C760" t="s">
        <v>1469</v>
      </c>
      <c r="D760" s="32">
        <v>44961</v>
      </c>
      <c r="E760" t="s">
        <v>1453</v>
      </c>
      <c r="F760" t="str">
        <f>VLOOKUP(B760,'Agent wise'!A:E,5,0)</f>
        <v>Wireless</v>
      </c>
      <c r="G760" s="32">
        <v>45938</v>
      </c>
      <c r="H760">
        <f>COUNTIFS('Audit Raw data'!J:J,B:B,'Audit Raw data'!E:E,G:G)</f>
        <v>1</v>
      </c>
      <c r="I760" s="44">
        <f>IFERROR((SUMIFS('Audit Raw data'!BZ:BZ,'Audit Raw data'!J:J,B:B,'Audit Raw data'!E:E,G:G)/H760)/100,"-")</f>
        <v>0.92</v>
      </c>
      <c r="J760">
        <f>COUNTIFS('Audit Raw data'!AM:AM,"Yes",'Audit Raw data'!J:J,B:B,'Audit Raw data'!E:E,'Day wise agent'!G:G)</f>
        <v>1</v>
      </c>
      <c r="K760">
        <f>COUNTIFS('Audit Raw data'!AM:AM,"NO",'Audit Raw data'!J:J,B:B,'Audit Raw data'!E:E,'Day wise agent'!G:G)</f>
        <v>0</v>
      </c>
      <c r="L760" s="12">
        <f t="shared" si="23"/>
        <v>1</v>
      </c>
    </row>
    <row r="761" spans="1:12" x14ac:dyDescent="0.35">
      <c r="A761" t="str">
        <f t="shared" si="22"/>
        <v>SBM52445938</v>
      </c>
      <c r="B761" t="s">
        <v>490</v>
      </c>
      <c r="C761" t="s">
        <v>1470</v>
      </c>
      <c r="D761" s="32">
        <v>45093</v>
      </c>
      <c r="E761" t="s">
        <v>1453</v>
      </c>
      <c r="F761" t="str">
        <f>VLOOKUP(B761,'Agent wise'!A:E,5,0)</f>
        <v>Wireless</v>
      </c>
      <c r="G761" s="32">
        <v>45938</v>
      </c>
      <c r="H761">
        <f>COUNTIFS('Audit Raw data'!J:J,B:B,'Audit Raw data'!E:E,G:G)</f>
        <v>1</v>
      </c>
      <c r="I761" s="44">
        <f>IFERROR((SUMIFS('Audit Raw data'!BZ:BZ,'Audit Raw data'!J:J,B:B,'Audit Raw data'!E:E,G:G)/H761)/100,"-")</f>
        <v>0.94</v>
      </c>
      <c r="J761">
        <f>COUNTIFS('Audit Raw data'!AM:AM,"Yes",'Audit Raw data'!J:J,B:B,'Audit Raw data'!E:E,'Day wise agent'!G:G)</f>
        <v>1</v>
      </c>
      <c r="K761">
        <f>COUNTIFS('Audit Raw data'!AM:AM,"NO",'Audit Raw data'!J:J,B:B,'Audit Raw data'!E:E,'Day wise agent'!G:G)</f>
        <v>0</v>
      </c>
      <c r="L761" s="12">
        <f t="shared" si="23"/>
        <v>1</v>
      </c>
    </row>
    <row r="762" spans="1:12" x14ac:dyDescent="0.35">
      <c r="A762" t="str">
        <f t="shared" si="22"/>
        <v>SBM55045938</v>
      </c>
      <c r="B762" t="s">
        <v>139</v>
      </c>
      <c r="C762" t="s">
        <v>1471</v>
      </c>
      <c r="D762" s="32">
        <v>45139</v>
      </c>
      <c r="E762" t="s">
        <v>107</v>
      </c>
      <c r="F762" t="str">
        <f>VLOOKUP(B762,'Agent wise'!A:E,5,0)</f>
        <v>Wireless</v>
      </c>
      <c r="G762" s="32">
        <v>45938</v>
      </c>
      <c r="H762">
        <f>COUNTIFS('Audit Raw data'!J:J,B:B,'Audit Raw data'!E:E,G:G)</f>
        <v>0</v>
      </c>
      <c r="I762" s="44" t="str">
        <f>IFERROR((SUMIFS('Audit Raw data'!BZ:BZ,'Audit Raw data'!J:J,B:B,'Audit Raw data'!E:E,G:G)/H762)/100,"-")</f>
        <v>-</v>
      </c>
      <c r="J762">
        <f>COUNTIFS('Audit Raw data'!AM:AM,"Yes",'Audit Raw data'!J:J,B:B,'Audit Raw data'!E:E,'Day wise agent'!G:G)</f>
        <v>0</v>
      </c>
      <c r="K762">
        <f>COUNTIFS('Audit Raw data'!AM:AM,"NO",'Audit Raw data'!J:J,B:B,'Audit Raw data'!E:E,'Day wise agent'!G:G)</f>
        <v>0</v>
      </c>
      <c r="L762" s="12" t="str">
        <f t="shared" si="23"/>
        <v xml:space="preserve"> </v>
      </c>
    </row>
    <row r="763" spans="1:12" x14ac:dyDescent="0.35">
      <c r="A763" t="str">
        <f t="shared" si="22"/>
        <v>SBM55445938</v>
      </c>
      <c r="B763" t="s">
        <v>208</v>
      </c>
      <c r="C763" t="s">
        <v>1472</v>
      </c>
      <c r="D763" s="32">
        <v>45140</v>
      </c>
      <c r="E763" t="s">
        <v>178</v>
      </c>
      <c r="F763" t="str">
        <f>VLOOKUP(B763,'Agent wise'!A:E,5,0)</f>
        <v>Wireless</v>
      </c>
      <c r="G763" s="32">
        <v>45938</v>
      </c>
      <c r="H763">
        <f>COUNTIFS('Audit Raw data'!J:J,B:B,'Audit Raw data'!E:E,G:G)</f>
        <v>0</v>
      </c>
      <c r="I763" s="44" t="str">
        <f>IFERROR((SUMIFS('Audit Raw data'!BZ:BZ,'Audit Raw data'!J:J,B:B,'Audit Raw data'!E:E,G:G)/H763)/100,"-")</f>
        <v>-</v>
      </c>
      <c r="J763">
        <f>COUNTIFS('Audit Raw data'!AM:AM,"Yes",'Audit Raw data'!J:J,B:B,'Audit Raw data'!E:E,'Day wise agent'!G:G)</f>
        <v>0</v>
      </c>
      <c r="K763">
        <f>COUNTIFS('Audit Raw data'!AM:AM,"NO",'Audit Raw data'!J:J,B:B,'Audit Raw data'!E:E,'Day wise agent'!G:G)</f>
        <v>0</v>
      </c>
      <c r="L763" s="12" t="str">
        <f t="shared" si="23"/>
        <v xml:space="preserve"> </v>
      </c>
    </row>
    <row r="764" spans="1:12" x14ac:dyDescent="0.35">
      <c r="A764" t="str">
        <f t="shared" si="22"/>
        <v>SBM58345938</v>
      </c>
      <c r="B764" t="s">
        <v>546</v>
      </c>
      <c r="C764" t="s">
        <v>1473</v>
      </c>
      <c r="D764" s="32">
        <v>45245</v>
      </c>
      <c r="E764" t="s">
        <v>107</v>
      </c>
      <c r="F764" t="str">
        <f>VLOOKUP(B764,'Agent wise'!A:E,5,0)</f>
        <v>Wireless</v>
      </c>
      <c r="G764" s="32">
        <v>45938</v>
      </c>
      <c r="H764">
        <f>COUNTIFS('Audit Raw data'!J:J,B:B,'Audit Raw data'!E:E,G:G)</f>
        <v>0</v>
      </c>
      <c r="I764" s="44" t="str">
        <f>IFERROR((SUMIFS('Audit Raw data'!BZ:BZ,'Audit Raw data'!J:J,B:B,'Audit Raw data'!E:E,G:G)/H764)/100,"-")</f>
        <v>-</v>
      </c>
      <c r="J764">
        <f>COUNTIFS('Audit Raw data'!AM:AM,"Yes",'Audit Raw data'!J:J,B:B,'Audit Raw data'!E:E,'Day wise agent'!G:G)</f>
        <v>0</v>
      </c>
      <c r="K764">
        <f>COUNTIFS('Audit Raw data'!AM:AM,"NO",'Audit Raw data'!J:J,B:B,'Audit Raw data'!E:E,'Day wise agent'!G:G)</f>
        <v>0</v>
      </c>
      <c r="L764" s="12" t="str">
        <f t="shared" si="23"/>
        <v xml:space="preserve"> </v>
      </c>
    </row>
    <row r="765" spans="1:12" x14ac:dyDescent="0.35">
      <c r="A765" t="str">
        <f t="shared" si="22"/>
        <v>SBM61345938</v>
      </c>
      <c r="B765" t="s">
        <v>391</v>
      </c>
      <c r="C765" t="s">
        <v>1478</v>
      </c>
      <c r="D765" s="32">
        <v>45301</v>
      </c>
      <c r="E765" t="s">
        <v>221</v>
      </c>
      <c r="F765" t="str">
        <f>VLOOKUP(B765,'Agent wise'!A:E,5,0)</f>
        <v>Wire-line</v>
      </c>
      <c r="G765" s="32">
        <v>45938</v>
      </c>
      <c r="H765">
        <f>COUNTIFS('Audit Raw data'!J:J,B:B,'Audit Raw data'!E:E,G:G)</f>
        <v>2</v>
      </c>
      <c r="I765" s="44">
        <f>IFERROR((SUMIFS('Audit Raw data'!BZ:BZ,'Audit Raw data'!J:J,B:B,'Audit Raw data'!E:E,G:G)/H765)/100,"-")</f>
        <v>0.92</v>
      </c>
      <c r="J765">
        <f>COUNTIFS('Audit Raw data'!AM:AM,"Yes",'Audit Raw data'!J:J,B:B,'Audit Raw data'!E:E,'Day wise agent'!G:G)</f>
        <v>2</v>
      </c>
      <c r="K765">
        <f>COUNTIFS('Audit Raw data'!AM:AM,"NO",'Audit Raw data'!J:J,B:B,'Audit Raw data'!E:E,'Day wise agent'!G:G)</f>
        <v>0</v>
      </c>
      <c r="L765" s="12">
        <f t="shared" si="23"/>
        <v>1</v>
      </c>
    </row>
    <row r="766" spans="1:12" x14ac:dyDescent="0.35">
      <c r="A766" t="str">
        <f t="shared" si="22"/>
        <v>SBM61845938</v>
      </c>
      <c r="B766" t="s">
        <v>242</v>
      </c>
      <c r="C766" t="s">
        <v>1477</v>
      </c>
      <c r="D766" s="32">
        <v>45292</v>
      </c>
      <c r="E766" t="s">
        <v>221</v>
      </c>
      <c r="F766" t="str">
        <f>VLOOKUP(B766,'Agent wise'!A:E,5,0)</f>
        <v>Wire-line</v>
      </c>
      <c r="G766" s="32">
        <v>45938</v>
      </c>
      <c r="H766">
        <f>COUNTIFS('Audit Raw data'!J:J,B:B,'Audit Raw data'!E:E,G:G)</f>
        <v>1</v>
      </c>
      <c r="I766" s="44">
        <f>IFERROR((SUMIFS('Audit Raw data'!BZ:BZ,'Audit Raw data'!J:J,B:B,'Audit Raw data'!E:E,G:G)/H766)/100,"-")</f>
        <v>1</v>
      </c>
      <c r="J766">
        <f>COUNTIFS('Audit Raw data'!AM:AM,"Yes",'Audit Raw data'!J:J,B:B,'Audit Raw data'!E:E,'Day wise agent'!G:G)</f>
        <v>1</v>
      </c>
      <c r="K766">
        <f>COUNTIFS('Audit Raw data'!AM:AM,"NO",'Audit Raw data'!J:J,B:B,'Audit Raw data'!E:E,'Day wise agent'!G:G)</f>
        <v>0</v>
      </c>
      <c r="L766" s="12">
        <f t="shared" si="23"/>
        <v>1</v>
      </c>
    </row>
    <row r="767" spans="1:12" x14ac:dyDescent="0.35">
      <c r="A767" t="str">
        <f t="shared" si="22"/>
        <v>SBM62545938</v>
      </c>
      <c r="B767" t="s">
        <v>472</v>
      </c>
      <c r="C767" t="s">
        <v>1476</v>
      </c>
      <c r="D767" s="32">
        <v>45329</v>
      </c>
      <c r="E767" t="s">
        <v>1453</v>
      </c>
      <c r="F767" t="str">
        <f>VLOOKUP(B767,'Agent wise'!A:E,5,0)</f>
        <v>Wireless</v>
      </c>
      <c r="G767" s="32">
        <v>45938</v>
      </c>
      <c r="H767">
        <f>COUNTIFS('Audit Raw data'!J:J,B:B,'Audit Raw data'!E:E,G:G)</f>
        <v>1</v>
      </c>
      <c r="I767" s="44">
        <f>IFERROR((SUMIFS('Audit Raw data'!BZ:BZ,'Audit Raw data'!J:J,B:B,'Audit Raw data'!E:E,G:G)/H767)/100,"-")</f>
        <v>0.86</v>
      </c>
      <c r="J767">
        <f>COUNTIFS('Audit Raw data'!AM:AM,"Yes",'Audit Raw data'!J:J,B:B,'Audit Raw data'!E:E,'Day wise agent'!G:G)</f>
        <v>1</v>
      </c>
      <c r="K767">
        <f>COUNTIFS('Audit Raw data'!AM:AM,"NO",'Audit Raw data'!J:J,B:B,'Audit Raw data'!E:E,'Day wise agent'!G:G)</f>
        <v>0</v>
      </c>
      <c r="L767" s="12">
        <f t="shared" si="23"/>
        <v>1</v>
      </c>
    </row>
    <row r="768" spans="1:12" x14ac:dyDescent="0.35">
      <c r="A768" t="str">
        <f t="shared" si="22"/>
        <v>SBM65045938</v>
      </c>
      <c r="B768" t="s">
        <v>353</v>
      </c>
      <c r="C768" t="s">
        <v>1479</v>
      </c>
      <c r="D768" s="32">
        <v>45357</v>
      </c>
      <c r="E768" t="s">
        <v>221</v>
      </c>
      <c r="F768" t="str">
        <f>VLOOKUP(B768,'Agent wise'!A:E,5,0)</f>
        <v>Wire-line</v>
      </c>
      <c r="G768" s="32">
        <v>45938</v>
      </c>
      <c r="H768">
        <f>COUNTIFS('Audit Raw data'!J:J,B:B,'Audit Raw data'!E:E,G:G)</f>
        <v>0</v>
      </c>
      <c r="I768" s="44" t="str">
        <f>IFERROR((SUMIFS('Audit Raw data'!BZ:BZ,'Audit Raw data'!J:J,B:B,'Audit Raw data'!E:E,G:G)/H768)/100,"-")</f>
        <v>-</v>
      </c>
      <c r="J768">
        <f>COUNTIFS('Audit Raw data'!AM:AM,"Yes",'Audit Raw data'!J:J,B:B,'Audit Raw data'!E:E,'Day wise agent'!G:G)</f>
        <v>0</v>
      </c>
      <c r="K768">
        <f>COUNTIFS('Audit Raw data'!AM:AM,"NO",'Audit Raw data'!J:J,B:B,'Audit Raw data'!E:E,'Day wise agent'!G:G)</f>
        <v>0</v>
      </c>
      <c r="L768" s="12" t="str">
        <f t="shared" si="23"/>
        <v xml:space="preserve"> </v>
      </c>
    </row>
    <row r="769" spans="1:12" x14ac:dyDescent="0.35">
      <c r="A769" t="str">
        <f t="shared" si="22"/>
        <v>SBM65345938</v>
      </c>
      <c r="B769" t="s">
        <v>223</v>
      </c>
      <c r="C769" t="s">
        <v>1480</v>
      </c>
      <c r="D769" s="32">
        <v>45367</v>
      </c>
      <c r="E769" t="s">
        <v>221</v>
      </c>
      <c r="F769" t="str">
        <f>VLOOKUP(B769,'Agent wise'!A:E,5,0)</f>
        <v>Wire-line</v>
      </c>
      <c r="G769" s="32">
        <v>45938</v>
      </c>
      <c r="H769">
        <f>COUNTIFS('Audit Raw data'!J:J,B:B,'Audit Raw data'!E:E,G:G)</f>
        <v>0</v>
      </c>
      <c r="I769" s="44" t="str">
        <f>IFERROR((SUMIFS('Audit Raw data'!BZ:BZ,'Audit Raw data'!J:J,B:B,'Audit Raw data'!E:E,G:G)/H769)/100,"-")</f>
        <v>-</v>
      </c>
      <c r="J769">
        <f>COUNTIFS('Audit Raw data'!AM:AM,"Yes",'Audit Raw data'!J:J,B:B,'Audit Raw data'!E:E,'Day wise agent'!G:G)</f>
        <v>0</v>
      </c>
      <c r="K769">
        <f>COUNTIFS('Audit Raw data'!AM:AM,"NO",'Audit Raw data'!J:J,B:B,'Audit Raw data'!E:E,'Day wise agent'!G:G)</f>
        <v>0</v>
      </c>
      <c r="L769" s="12" t="str">
        <f t="shared" si="23"/>
        <v xml:space="preserve"> </v>
      </c>
    </row>
    <row r="770" spans="1:12" x14ac:dyDescent="0.35">
      <c r="A770" t="str">
        <f t="shared" ref="A770:A833" si="24">B770&amp;G770</f>
        <v>SBM67845938</v>
      </c>
      <c r="B770" t="s">
        <v>548</v>
      </c>
      <c r="C770" t="s">
        <v>1481</v>
      </c>
      <c r="D770" s="32">
        <v>45413</v>
      </c>
      <c r="E770" t="s">
        <v>178</v>
      </c>
      <c r="F770" t="str">
        <f>VLOOKUP(B770,'Agent wise'!A:E,5,0)</f>
        <v>Wireless</v>
      </c>
      <c r="G770" s="32">
        <v>45938</v>
      </c>
      <c r="H770">
        <f>COUNTIFS('Audit Raw data'!J:J,B:B,'Audit Raw data'!E:E,G:G)</f>
        <v>0</v>
      </c>
      <c r="I770" s="44" t="str">
        <f>IFERROR((SUMIFS('Audit Raw data'!BZ:BZ,'Audit Raw data'!J:J,B:B,'Audit Raw data'!E:E,G:G)/H770)/100,"-")</f>
        <v>-</v>
      </c>
      <c r="J770">
        <f>COUNTIFS('Audit Raw data'!AM:AM,"Yes",'Audit Raw data'!J:J,B:B,'Audit Raw data'!E:E,'Day wise agent'!G:G)</f>
        <v>0</v>
      </c>
      <c r="K770">
        <f>COUNTIFS('Audit Raw data'!AM:AM,"NO",'Audit Raw data'!J:J,B:B,'Audit Raw data'!E:E,'Day wise agent'!G:G)</f>
        <v>0</v>
      </c>
      <c r="L770" s="12" t="str">
        <f t="shared" ref="L770:L833" si="25">IFERROR(J770/H770," ")</f>
        <v xml:space="preserve"> </v>
      </c>
    </row>
    <row r="771" spans="1:12" x14ac:dyDescent="0.35">
      <c r="A771" t="str">
        <f t="shared" si="24"/>
        <v>SBM69245938</v>
      </c>
      <c r="B771" t="s">
        <v>85</v>
      </c>
      <c r="C771" t="s">
        <v>1482</v>
      </c>
      <c r="D771" s="32">
        <v>45445</v>
      </c>
      <c r="E771" t="s">
        <v>1453</v>
      </c>
      <c r="F771" t="str">
        <f>VLOOKUP(B771,'Agent wise'!A:E,5,0)</f>
        <v>Wireless</v>
      </c>
      <c r="G771" s="32">
        <v>45938</v>
      </c>
      <c r="H771">
        <f>COUNTIFS('Audit Raw data'!J:J,B:B,'Audit Raw data'!E:E,G:G)</f>
        <v>1</v>
      </c>
      <c r="I771" s="44">
        <f>IFERROR((SUMIFS('Audit Raw data'!BZ:BZ,'Audit Raw data'!J:J,B:B,'Audit Raw data'!E:E,G:G)/H771)/100,"-")</f>
        <v>0.98</v>
      </c>
      <c r="J771">
        <f>COUNTIFS('Audit Raw data'!AM:AM,"Yes",'Audit Raw data'!J:J,B:B,'Audit Raw data'!E:E,'Day wise agent'!G:G)</f>
        <v>1</v>
      </c>
      <c r="K771">
        <f>COUNTIFS('Audit Raw data'!AM:AM,"NO",'Audit Raw data'!J:J,B:B,'Audit Raw data'!E:E,'Day wise agent'!G:G)</f>
        <v>0</v>
      </c>
      <c r="L771" s="12">
        <f t="shared" si="25"/>
        <v>1</v>
      </c>
    </row>
    <row r="772" spans="1:12" x14ac:dyDescent="0.35">
      <c r="A772" t="str">
        <f t="shared" si="24"/>
        <v>SBM70345938</v>
      </c>
      <c r="B772" t="s">
        <v>252</v>
      </c>
      <c r="C772" t="s">
        <v>1483</v>
      </c>
      <c r="D772" s="32">
        <v>45451</v>
      </c>
      <c r="E772" t="s">
        <v>1484</v>
      </c>
      <c r="F772" t="str">
        <f>VLOOKUP(B772,'Agent wise'!A:E,5,0)</f>
        <v>Wireless</v>
      </c>
      <c r="G772" s="32">
        <v>45938</v>
      </c>
      <c r="H772">
        <f>COUNTIFS('Audit Raw data'!J:J,B:B,'Audit Raw data'!E:E,G:G)</f>
        <v>0</v>
      </c>
      <c r="I772" s="44" t="str">
        <f>IFERROR((SUMIFS('Audit Raw data'!BZ:BZ,'Audit Raw data'!J:J,B:B,'Audit Raw data'!E:E,G:G)/H772)/100,"-")</f>
        <v>-</v>
      </c>
      <c r="J772">
        <f>COUNTIFS('Audit Raw data'!AM:AM,"Yes",'Audit Raw data'!J:J,B:B,'Audit Raw data'!E:E,'Day wise agent'!G:G)</f>
        <v>0</v>
      </c>
      <c r="K772">
        <f>COUNTIFS('Audit Raw data'!AM:AM,"NO",'Audit Raw data'!J:J,B:B,'Audit Raw data'!E:E,'Day wise agent'!G:G)</f>
        <v>0</v>
      </c>
      <c r="L772" s="12" t="str">
        <f t="shared" si="25"/>
        <v xml:space="preserve"> </v>
      </c>
    </row>
    <row r="773" spans="1:12" x14ac:dyDescent="0.35">
      <c r="A773" t="str">
        <f t="shared" si="24"/>
        <v>SBM71045938</v>
      </c>
      <c r="B773" t="s">
        <v>552</v>
      </c>
      <c r="C773" t="s">
        <v>1485</v>
      </c>
      <c r="D773" s="32">
        <v>45465</v>
      </c>
      <c r="E773" t="s">
        <v>1484</v>
      </c>
      <c r="F773" t="str">
        <f>VLOOKUP(B773,'Agent wise'!A:E,5,0)</f>
        <v>Wireless</v>
      </c>
      <c r="G773" s="32">
        <v>45938</v>
      </c>
      <c r="H773">
        <f>COUNTIFS('Audit Raw data'!J:J,B:B,'Audit Raw data'!E:E,G:G)</f>
        <v>0</v>
      </c>
      <c r="I773" s="44" t="str">
        <f>IFERROR((SUMIFS('Audit Raw data'!BZ:BZ,'Audit Raw data'!J:J,B:B,'Audit Raw data'!E:E,G:G)/H773)/100,"-")</f>
        <v>-</v>
      </c>
      <c r="J773">
        <f>COUNTIFS('Audit Raw data'!AM:AM,"Yes",'Audit Raw data'!J:J,B:B,'Audit Raw data'!E:E,'Day wise agent'!G:G)</f>
        <v>0</v>
      </c>
      <c r="K773">
        <f>COUNTIFS('Audit Raw data'!AM:AM,"NO",'Audit Raw data'!J:J,B:B,'Audit Raw data'!E:E,'Day wise agent'!G:G)</f>
        <v>0</v>
      </c>
      <c r="L773" s="12" t="str">
        <f t="shared" si="25"/>
        <v xml:space="preserve"> </v>
      </c>
    </row>
    <row r="774" spans="1:12" x14ac:dyDescent="0.35">
      <c r="A774" t="str">
        <f t="shared" si="24"/>
        <v>SBM71145938</v>
      </c>
      <c r="B774" t="s">
        <v>533</v>
      </c>
      <c r="C774" t="s">
        <v>1486</v>
      </c>
      <c r="D774" s="32">
        <v>45465</v>
      </c>
      <c r="E774" t="s">
        <v>1484</v>
      </c>
      <c r="F774" t="str">
        <f>VLOOKUP(B774,'Agent wise'!A:E,5,0)</f>
        <v>Wireless</v>
      </c>
      <c r="G774" s="32">
        <v>45938</v>
      </c>
      <c r="H774">
        <f>COUNTIFS('Audit Raw data'!J:J,B:B,'Audit Raw data'!E:E,G:G)</f>
        <v>0</v>
      </c>
      <c r="I774" s="44" t="str">
        <f>IFERROR((SUMIFS('Audit Raw data'!BZ:BZ,'Audit Raw data'!J:J,B:B,'Audit Raw data'!E:E,G:G)/H774)/100,"-")</f>
        <v>-</v>
      </c>
      <c r="J774">
        <f>COUNTIFS('Audit Raw data'!AM:AM,"Yes",'Audit Raw data'!J:J,B:B,'Audit Raw data'!E:E,'Day wise agent'!G:G)</f>
        <v>0</v>
      </c>
      <c r="K774">
        <f>COUNTIFS('Audit Raw data'!AM:AM,"NO",'Audit Raw data'!J:J,B:B,'Audit Raw data'!E:E,'Day wise agent'!G:G)</f>
        <v>0</v>
      </c>
      <c r="L774" s="12" t="str">
        <f t="shared" si="25"/>
        <v xml:space="preserve"> </v>
      </c>
    </row>
    <row r="775" spans="1:12" x14ac:dyDescent="0.35">
      <c r="A775" t="str">
        <f t="shared" si="24"/>
        <v>SBM71845938</v>
      </c>
      <c r="B775" t="s">
        <v>451</v>
      </c>
      <c r="C775" t="s">
        <v>1487</v>
      </c>
      <c r="D775" s="32">
        <v>45491</v>
      </c>
      <c r="E775" t="s">
        <v>1484</v>
      </c>
      <c r="F775" t="str">
        <f>VLOOKUP(B775,'Agent wise'!A:E,5,0)</f>
        <v>Wireless</v>
      </c>
      <c r="G775" s="32">
        <v>45938</v>
      </c>
      <c r="H775">
        <f>COUNTIFS('Audit Raw data'!J:J,B:B,'Audit Raw data'!E:E,G:G)</f>
        <v>0</v>
      </c>
      <c r="I775" s="44" t="str">
        <f>IFERROR((SUMIFS('Audit Raw data'!BZ:BZ,'Audit Raw data'!J:J,B:B,'Audit Raw data'!E:E,G:G)/H775)/100,"-")</f>
        <v>-</v>
      </c>
      <c r="J775">
        <f>COUNTIFS('Audit Raw data'!AM:AM,"Yes",'Audit Raw data'!J:J,B:B,'Audit Raw data'!E:E,'Day wise agent'!G:G)</f>
        <v>0</v>
      </c>
      <c r="K775">
        <f>COUNTIFS('Audit Raw data'!AM:AM,"NO",'Audit Raw data'!J:J,B:B,'Audit Raw data'!E:E,'Day wise agent'!G:G)</f>
        <v>0</v>
      </c>
      <c r="L775" s="12" t="str">
        <f t="shared" si="25"/>
        <v xml:space="preserve"> </v>
      </c>
    </row>
    <row r="776" spans="1:12" x14ac:dyDescent="0.35">
      <c r="A776" t="str">
        <f t="shared" si="24"/>
        <v>SBM72045938</v>
      </c>
      <c r="B776" t="s">
        <v>557</v>
      </c>
      <c r="C776" t="s">
        <v>1488</v>
      </c>
      <c r="D776" s="32">
        <v>45491</v>
      </c>
      <c r="E776" t="s">
        <v>1484</v>
      </c>
      <c r="F776" t="str">
        <f>VLOOKUP(B776,'Agent wise'!A:E,5,0)</f>
        <v>Wireless</v>
      </c>
      <c r="G776" s="32">
        <v>45938</v>
      </c>
      <c r="H776">
        <f>COUNTIFS('Audit Raw data'!J:J,B:B,'Audit Raw data'!E:E,G:G)</f>
        <v>0</v>
      </c>
      <c r="I776" s="44" t="str">
        <f>IFERROR((SUMIFS('Audit Raw data'!BZ:BZ,'Audit Raw data'!J:J,B:B,'Audit Raw data'!E:E,G:G)/H776)/100,"-")</f>
        <v>-</v>
      </c>
      <c r="J776">
        <f>COUNTIFS('Audit Raw data'!AM:AM,"Yes",'Audit Raw data'!J:J,B:B,'Audit Raw data'!E:E,'Day wise agent'!G:G)</f>
        <v>0</v>
      </c>
      <c r="K776">
        <f>COUNTIFS('Audit Raw data'!AM:AM,"NO",'Audit Raw data'!J:J,B:B,'Audit Raw data'!E:E,'Day wise agent'!G:G)</f>
        <v>0</v>
      </c>
      <c r="L776" s="12" t="str">
        <f t="shared" si="25"/>
        <v xml:space="preserve"> </v>
      </c>
    </row>
    <row r="777" spans="1:12" x14ac:dyDescent="0.35">
      <c r="A777" t="str">
        <f t="shared" si="24"/>
        <v>SBM72445938</v>
      </c>
      <c r="B777" t="s">
        <v>144</v>
      </c>
      <c r="C777" t="s">
        <v>1489</v>
      </c>
      <c r="D777" s="32">
        <v>45491</v>
      </c>
      <c r="E777" t="s">
        <v>1484</v>
      </c>
      <c r="F777" t="str">
        <f>VLOOKUP(B777,'Agent wise'!A:E,5,0)</f>
        <v>Wireless</v>
      </c>
      <c r="G777" s="32">
        <v>45938</v>
      </c>
      <c r="H777">
        <f>COUNTIFS('Audit Raw data'!J:J,B:B,'Audit Raw data'!E:E,G:G)</f>
        <v>0</v>
      </c>
      <c r="I777" s="44" t="str">
        <f>IFERROR((SUMIFS('Audit Raw data'!BZ:BZ,'Audit Raw data'!J:J,B:B,'Audit Raw data'!E:E,G:G)/H777)/100,"-")</f>
        <v>-</v>
      </c>
      <c r="J777">
        <f>COUNTIFS('Audit Raw data'!AM:AM,"Yes",'Audit Raw data'!J:J,B:B,'Audit Raw data'!E:E,'Day wise agent'!G:G)</f>
        <v>0</v>
      </c>
      <c r="K777">
        <f>COUNTIFS('Audit Raw data'!AM:AM,"NO",'Audit Raw data'!J:J,B:B,'Audit Raw data'!E:E,'Day wise agent'!G:G)</f>
        <v>0</v>
      </c>
      <c r="L777" s="12" t="str">
        <f t="shared" si="25"/>
        <v xml:space="preserve"> </v>
      </c>
    </row>
    <row r="778" spans="1:12" x14ac:dyDescent="0.35">
      <c r="A778" t="str">
        <f t="shared" si="24"/>
        <v>SBM73445938</v>
      </c>
      <c r="B778" t="s">
        <v>356</v>
      </c>
      <c r="C778" t="s">
        <v>1490</v>
      </c>
      <c r="D778" s="32">
        <v>45497</v>
      </c>
      <c r="E778" t="s">
        <v>221</v>
      </c>
      <c r="F778" t="str">
        <f>VLOOKUP(B778,'Agent wise'!A:E,5,0)</f>
        <v>Wire-line</v>
      </c>
      <c r="G778" s="32">
        <v>45938</v>
      </c>
      <c r="H778">
        <f>COUNTIFS('Audit Raw data'!J:J,B:B,'Audit Raw data'!E:E,G:G)</f>
        <v>1</v>
      </c>
      <c r="I778" s="44">
        <f>IFERROR((SUMIFS('Audit Raw data'!BZ:BZ,'Audit Raw data'!J:J,B:B,'Audit Raw data'!E:E,G:G)/H778)/100,"-")</f>
        <v>0.92</v>
      </c>
      <c r="J778">
        <f>COUNTIFS('Audit Raw data'!AM:AM,"Yes",'Audit Raw data'!J:J,B:B,'Audit Raw data'!E:E,'Day wise agent'!G:G)</f>
        <v>1</v>
      </c>
      <c r="K778">
        <f>COUNTIFS('Audit Raw data'!AM:AM,"NO",'Audit Raw data'!J:J,B:B,'Audit Raw data'!E:E,'Day wise agent'!G:G)</f>
        <v>0</v>
      </c>
      <c r="L778" s="12">
        <f t="shared" si="25"/>
        <v>1</v>
      </c>
    </row>
    <row r="779" spans="1:12" x14ac:dyDescent="0.35">
      <c r="A779" t="str">
        <f t="shared" si="24"/>
        <v>SBM73645938</v>
      </c>
      <c r="B779" t="s">
        <v>501</v>
      </c>
      <c r="C779" t="s">
        <v>1491</v>
      </c>
      <c r="D779" s="32">
        <v>45500</v>
      </c>
      <c r="E779" t="s">
        <v>221</v>
      </c>
      <c r="F779" t="str">
        <f>VLOOKUP(B779,'Agent wise'!A:E,5,0)</f>
        <v>Wire-line</v>
      </c>
      <c r="G779" s="32">
        <v>45938</v>
      </c>
      <c r="H779">
        <f>COUNTIFS('Audit Raw data'!J:J,B:B,'Audit Raw data'!E:E,G:G)</f>
        <v>0</v>
      </c>
      <c r="I779" s="44" t="str">
        <f>IFERROR((SUMIFS('Audit Raw data'!BZ:BZ,'Audit Raw data'!J:J,B:B,'Audit Raw data'!E:E,G:G)/H779)/100,"-")</f>
        <v>-</v>
      </c>
      <c r="J779">
        <f>COUNTIFS('Audit Raw data'!AM:AM,"Yes",'Audit Raw data'!J:J,B:B,'Audit Raw data'!E:E,'Day wise agent'!G:G)</f>
        <v>0</v>
      </c>
      <c r="K779">
        <f>COUNTIFS('Audit Raw data'!AM:AM,"NO",'Audit Raw data'!J:J,B:B,'Audit Raw data'!E:E,'Day wise agent'!G:G)</f>
        <v>0</v>
      </c>
      <c r="L779" s="12" t="str">
        <f t="shared" si="25"/>
        <v xml:space="preserve"> </v>
      </c>
    </row>
    <row r="780" spans="1:12" x14ac:dyDescent="0.35">
      <c r="A780" t="str">
        <f t="shared" si="24"/>
        <v>SBM73945938</v>
      </c>
      <c r="B780" t="s">
        <v>559</v>
      </c>
      <c r="C780" t="s">
        <v>1492</v>
      </c>
      <c r="D780" s="32">
        <v>45516</v>
      </c>
      <c r="E780" t="s">
        <v>1484</v>
      </c>
      <c r="F780" t="str">
        <f>VLOOKUP(B780,'Agent wise'!A:E,5,0)</f>
        <v>Wireless</v>
      </c>
      <c r="G780" s="32">
        <v>45938</v>
      </c>
      <c r="H780">
        <f>COUNTIFS('Audit Raw data'!J:J,B:B,'Audit Raw data'!E:E,G:G)</f>
        <v>0</v>
      </c>
      <c r="I780" s="44" t="str">
        <f>IFERROR((SUMIFS('Audit Raw data'!BZ:BZ,'Audit Raw data'!J:J,B:B,'Audit Raw data'!E:E,G:G)/H780)/100,"-")</f>
        <v>-</v>
      </c>
      <c r="J780">
        <f>COUNTIFS('Audit Raw data'!AM:AM,"Yes",'Audit Raw data'!J:J,B:B,'Audit Raw data'!E:E,'Day wise agent'!G:G)</f>
        <v>0</v>
      </c>
      <c r="K780">
        <f>COUNTIFS('Audit Raw data'!AM:AM,"NO",'Audit Raw data'!J:J,B:B,'Audit Raw data'!E:E,'Day wise agent'!G:G)</f>
        <v>0</v>
      </c>
      <c r="L780" s="12" t="str">
        <f t="shared" si="25"/>
        <v xml:space="preserve"> </v>
      </c>
    </row>
    <row r="781" spans="1:12" x14ac:dyDescent="0.35">
      <c r="A781" t="str">
        <f t="shared" si="24"/>
        <v>SBM74445938</v>
      </c>
      <c r="B781" t="s">
        <v>96</v>
      </c>
      <c r="C781" t="s">
        <v>1493</v>
      </c>
      <c r="D781" s="32">
        <v>45516</v>
      </c>
      <c r="E781" t="s">
        <v>1484</v>
      </c>
      <c r="F781" t="str">
        <f>VLOOKUP(B781,'Agent wise'!A:E,5,0)</f>
        <v>Wireless</v>
      </c>
      <c r="G781" s="32">
        <v>45938</v>
      </c>
      <c r="H781">
        <f>COUNTIFS('Audit Raw data'!J:J,B:B,'Audit Raw data'!E:E,G:G)</f>
        <v>0</v>
      </c>
      <c r="I781" s="44" t="str">
        <f>IFERROR((SUMIFS('Audit Raw data'!BZ:BZ,'Audit Raw data'!J:J,B:B,'Audit Raw data'!E:E,G:G)/H781)/100,"-")</f>
        <v>-</v>
      </c>
      <c r="J781">
        <f>COUNTIFS('Audit Raw data'!AM:AM,"Yes",'Audit Raw data'!J:J,B:B,'Audit Raw data'!E:E,'Day wise agent'!G:G)</f>
        <v>0</v>
      </c>
      <c r="K781">
        <f>COUNTIFS('Audit Raw data'!AM:AM,"NO",'Audit Raw data'!J:J,B:B,'Audit Raw data'!E:E,'Day wise agent'!G:G)</f>
        <v>0</v>
      </c>
      <c r="L781" s="12" t="str">
        <f t="shared" si="25"/>
        <v xml:space="preserve"> </v>
      </c>
    </row>
    <row r="782" spans="1:12" x14ac:dyDescent="0.35">
      <c r="A782" t="str">
        <f t="shared" si="24"/>
        <v>SBM75545938</v>
      </c>
      <c r="B782" t="s">
        <v>409</v>
      </c>
      <c r="C782" t="s">
        <v>1494</v>
      </c>
      <c r="D782" s="32">
        <v>45518</v>
      </c>
      <c r="E782" t="s">
        <v>221</v>
      </c>
      <c r="F782" t="str">
        <f>VLOOKUP(B782,'Agent wise'!A:E,5,0)</f>
        <v>Wire-line</v>
      </c>
      <c r="G782" s="32">
        <v>45938</v>
      </c>
      <c r="H782">
        <f>COUNTIFS('Audit Raw data'!J:J,B:B,'Audit Raw data'!E:E,G:G)</f>
        <v>1</v>
      </c>
      <c r="I782" s="44">
        <f>IFERROR((SUMIFS('Audit Raw data'!BZ:BZ,'Audit Raw data'!J:J,B:B,'Audit Raw data'!E:E,G:G)/H782)/100,"-")</f>
        <v>1</v>
      </c>
      <c r="J782">
        <f>COUNTIFS('Audit Raw data'!AM:AM,"Yes",'Audit Raw data'!J:J,B:B,'Audit Raw data'!E:E,'Day wise agent'!G:G)</f>
        <v>1</v>
      </c>
      <c r="K782">
        <f>COUNTIFS('Audit Raw data'!AM:AM,"NO",'Audit Raw data'!J:J,B:B,'Audit Raw data'!E:E,'Day wise agent'!G:G)</f>
        <v>0</v>
      </c>
      <c r="L782" s="12">
        <f t="shared" si="25"/>
        <v>1</v>
      </c>
    </row>
    <row r="783" spans="1:12" x14ac:dyDescent="0.35">
      <c r="A783" t="str">
        <f t="shared" si="24"/>
        <v>SBM75845938</v>
      </c>
      <c r="B783" t="s">
        <v>420</v>
      </c>
      <c r="C783" t="s">
        <v>1502</v>
      </c>
      <c r="D783" s="32">
        <v>45518</v>
      </c>
      <c r="E783" t="s">
        <v>221</v>
      </c>
      <c r="F783" t="str">
        <f>VLOOKUP(B783,'Agent wise'!A:E,5,0)</f>
        <v>Wire-line</v>
      </c>
      <c r="G783" s="32">
        <v>45938</v>
      </c>
      <c r="H783">
        <f>COUNTIFS('Audit Raw data'!J:J,B:B,'Audit Raw data'!E:E,G:G)</f>
        <v>1</v>
      </c>
      <c r="I783" s="44">
        <f>IFERROR((SUMIFS('Audit Raw data'!BZ:BZ,'Audit Raw data'!J:J,B:B,'Audit Raw data'!E:E,G:G)/H783)/100,"-")</f>
        <v>1</v>
      </c>
      <c r="J783">
        <f>COUNTIFS('Audit Raw data'!AM:AM,"Yes",'Audit Raw data'!J:J,B:B,'Audit Raw data'!E:E,'Day wise agent'!G:G)</f>
        <v>1</v>
      </c>
      <c r="K783">
        <f>COUNTIFS('Audit Raw data'!AM:AM,"NO",'Audit Raw data'!J:J,B:B,'Audit Raw data'!E:E,'Day wise agent'!G:G)</f>
        <v>0</v>
      </c>
      <c r="L783" s="12">
        <f t="shared" si="25"/>
        <v>1</v>
      </c>
    </row>
    <row r="784" spans="1:12" x14ac:dyDescent="0.35">
      <c r="A784" t="str">
        <f t="shared" si="24"/>
        <v>SBM76745938</v>
      </c>
      <c r="B784" t="s">
        <v>442</v>
      </c>
      <c r="C784" t="s">
        <v>1495</v>
      </c>
      <c r="D784" s="32">
        <v>45520</v>
      </c>
      <c r="E784" t="s">
        <v>107</v>
      </c>
      <c r="F784" t="str">
        <f>VLOOKUP(B784,'Agent wise'!A:E,5,0)</f>
        <v>Wireless</v>
      </c>
      <c r="G784" s="32">
        <v>45938</v>
      </c>
      <c r="H784">
        <f>COUNTIFS('Audit Raw data'!J:J,B:B,'Audit Raw data'!E:E,G:G)</f>
        <v>0</v>
      </c>
      <c r="I784" s="44" t="str">
        <f>IFERROR((SUMIFS('Audit Raw data'!BZ:BZ,'Audit Raw data'!J:J,B:B,'Audit Raw data'!E:E,G:G)/H784)/100,"-")</f>
        <v>-</v>
      </c>
      <c r="J784">
        <f>COUNTIFS('Audit Raw data'!AM:AM,"Yes",'Audit Raw data'!J:J,B:B,'Audit Raw data'!E:E,'Day wise agent'!G:G)</f>
        <v>0</v>
      </c>
      <c r="K784">
        <f>COUNTIFS('Audit Raw data'!AM:AM,"NO",'Audit Raw data'!J:J,B:B,'Audit Raw data'!E:E,'Day wise agent'!G:G)</f>
        <v>0</v>
      </c>
      <c r="L784" s="12" t="str">
        <f t="shared" si="25"/>
        <v xml:space="preserve"> </v>
      </c>
    </row>
    <row r="785" spans="1:12" x14ac:dyDescent="0.35">
      <c r="A785" t="str">
        <f t="shared" si="24"/>
        <v>SBM77245938</v>
      </c>
      <c r="B785" t="s">
        <v>640</v>
      </c>
      <c r="C785" t="s">
        <v>1497</v>
      </c>
      <c r="D785" s="32">
        <v>45528</v>
      </c>
      <c r="E785" t="s">
        <v>178</v>
      </c>
      <c r="F785" t="str">
        <f>VLOOKUP(B785,'Agent wise'!A:E,5,0)</f>
        <v>Wireless</v>
      </c>
      <c r="G785" s="32">
        <v>45938</v>
      </c>
      <c r="H785">
        <f>COUNTIFS('Audit Raw data'!J:J,B:B,'Audit Raw data'!E:E,G:G)</f>
        <v>0</v>
      </c>
      <c r="I785" s="44" t="str">
        <f>IFERROR((SUMIFS('Audit Raw data'!BZ:BZ,'Audit Raw data'!J:J,B:B,'Audit Raw data'!E:E,G:G)/H785)/100,"-")</f>
        <v>-</v>
      </c>
      <c r="J785">
        <f>COUNTIFS('Audit Raw data'!AM:AM,"Yes",'Audit Raw data'!J:J,B:B,'Audit Raw data'!E:E,'Day wise agent'!G:G)</f>
        <v>0</v>
      </c>
      <c r="K785">
        <f>COUNTIFS('Audit Raw data'!AM:AM,"NO",'Audit Raw data'!J:J,B:B,'Audit Raw data'!E:E,'Day wise agent'!G:G)</f>
        <v>0</v>
      </c>
      <c r="L785" s="12" t="str">
        <f t="shared" si="25"/>
        <v xml:space="preserve"> </v>
      </c>
    </row>
    <row r="786" spans="1:12" x14ac:dyDescent="0.35">
      <c r="A786" t="str">
        <f t="shared" si="24"/>
        <v>SBM77345938</v>
      </c>
      <c r="B786" t="s">
        <v>464</v>
      </c>
      <c r="C786" t="s">
        <v>1496</v>
      </c>
      <c r="D786" s="32">
        <v>45526</v>
      </c>
      <c r="E786" t="s">
        <v>178</v>
      </c>
      <c r="F786" t="str">
        <f>VLOOKUP(B786,'Agent wise'!A:E,5,0)</f>
        <v>Wireless</v>
      </c>
      <c r="G786" s="32">
        <v>45938</v>
      </c>
      <c r="H786">
        <f>COUNTIFS('Audit Raw data'!J:J,B:B,'Audit Raw data'!E:E,G:G)</f>
        <v>0</v>
      </c>
      <c r="I786" s="44" t="str">
        <f>IFERROR((SUMIFS('Audit Raw data'!BZ:BZ,'Audit Raw data'!J:J,B:B,'Audit Raw data'!E:E,G:G)/H786)/100,"-")</f>
        <v>-</v>
      </c>
      <c r="J786">
        <f>COUNTIFS('Audit Raw data'!AM:AM,"Yes",'Audit Raw data'!J:J,B:B,'Audit Raw data'!E:E,'Day wise agent'!G:G)</f>
        <v>0</v>
      </c>
      <c r="K786">
        <f>COUNTIFS('Audit Raw data'!AM:AM,"NO",'Audit Raw data'!J:J,B:B,'Audit Raw data'!E:E,'Day wise agent'!G:G)</f>
        <v>0</v>
      </c>
      <c r="L786" s="12" t="str">
        <f t="shared" si="25"/>
        <v xml:space="preserve"> </v>
      </c>
    </row>
    <row r="787" spans="1:12" x14ac:dyDescent="0.35">
      <c r="A787" t="str">
        <f t="shared" si="24"/>
        <v>SBM77545938</v>
      </c>
      <c r="B787" t="s">
        <v>643</v>
      </c>
      <c r="C787" t="s">
        <v>1498</v>
      </c>
      <c r="D787" s="32">
        <v>45535</v>
      </c>
      <c r="E787" t="s">
        <v>1484</v>
      </c>
      <c r="F787" t="str">
        <f>VLOOKUP(B787,'Agent wise'!A:E,5,0)</f>
        <v>Wireless</v>
      </c>
      <c r="G787" s="32">
        <v>45938</v>
      </c>
      <c r="H787">
        <f>COUNTIFS('Audit Raw data'!J:J,B:B,'Audit Raw data'!E:E,G:G)</f>
        <v>1</v>
      </c>
      <c r="I787" s="44">
        <f>IFERROR((SUMIFS('Audit Raw data'!BZ:BZ,'Audit Raw data'!J:J,B:B,'Audit Raw data'!E:E,G:G)/H787)/100,"-")</f>
        <v>1</v>
      </c>
      <c r="J787">
        <f>COUNTIFS('Audit Raw data'!AM:AM,"Yes",'Audit Raw data'!J:J,B:B,'Audit Raw data'!E:E,'Day wise agent'!G:G)</f>
        <v>1</v>
      </c>
      <c r="K787">
        <f>COUNTIFS('Audit Raw data'!AM:AM,"NO",'Audit Raw data'!J:J,B:B,'Audit Raw data'!E:E,'Day wise agent'!G:G)</f>
        <v>0</v>
      </c>
      <c r="L787" s="12">
        <f t="shared" si="25"/>
        <v>1</v>
      </c>
    </row>
    <row r="788" spans="1:12" x14ac:dyDescent="0.35">
      <c r="A788" t="str">
        <f t="shared" si="24"/>
        <v>SBM79245938</v>
      </c>
      <c r="B788" t="s">
        <v>179</v>
      </c>
      <c r="C788" t="s">
        <v>1499</v>
      </c>
      <c r="D788" s="32">
        <v>45545</v>
      </c>
      <c r="E788" t="s">
        <v>178</v>
      </c>
      <c r="F788" t="str">
        <f>VLOOKUP(B788,'Agent wise'!A:E,5,0)</f>
        <v>Wireless</v>
      </c>
      <c r="G788" s="32">
        <v>45938</v>
      </c>
      <c r="H788">
        <f>COUNTIFS('Audit Raw data'!J:J,B:B,'Audit Raw data'!E:E,G:G)</f>
        <v>0</v>
      </c>
      <c r="I788" s="44" t="str">
        <f>IFERROR((SUMIFS('Audit Raw data'!BZ:BZ,'Audit Raw data'!J:J,B:B,'Audit Raw data'!E:E,G:G)/H788)/100,"-")</f>
        <v>-</v>
      </c>
      <c r="J788">
        <f>COUNTIFS('Audit Raw data'!AM:AM,"Yes",'Audit Raw data'!J:J,B:B,'Audit Raw data'!E:E,'Day wise agent'!G:G)</f>
        <v>0</v>
      </c>
      <c r="K788">
        <f>COUNTIFS('Audit Raw data'!AM:AM,"NO",'Audit Raw data'!J:J,B:B,'Audit Raw data'!E:E,'Day wise agent'!G:G)</f>
        <v>0</v>
      </c>
      <c r="L788" s="12" t="str">
        <f t="shared" si="25"/>
        <v xml:space="preserve"> </v>
      </c>
    </row>
    <row r="789" spans="1:12" x14ac:dyDescent="0.35">
      <c r="A789" t="str">
        <f t="shared" si="24"/>
        <v>SBM79445938</v>
      </c>
      <c r="B789" t="s">
        <v>246</v>
      </c>
      <c r="C789" t="s">
        <v>1500</v>
      </c>
      <c r="D789" s="32">
        <v>45550</v>
      </c>
      <c r="E789" t="s">
        <v>221</v>
      </c>
      <c r="F789" t="str">
        <f>VLOOKUP(B789,'Agent wise'!A:E,5,0)</f>
        <v>Wire-line</v>
      </c>
      <c r="G789" s="32">
        <v>45938</v>
      </c>
      <c r="H789">
        <f>COUNTIFS('Audit Raw data'!J:J,B:B,'Audit Raw data'!E:E,G:G)</f>
        <v>0</v>
      </c>
      <c r="I789" s="44" t="str">
        <f>IFERROR((SUMIFS('Audit Raw data'!BZ:BZ,'Audit Raw data'!J:J,B:B,'Audit Raw data'!E:E,G:G)/H789)/100,"-")</f>
        <v>-</v>
      </c>
      <c r="J789">
        <f>COUNTIFS('Audit Raw data'!AM:AM,"Yes",'Audit Raw data'!J:J,B:B,'Audit Raw data'!E:E,'Day wise agent'!G:G)</f>
        <v>0</v>
      </c>
      <c r="K789">
        <f>COUNTIFS('Audit Raw data'!AM:AM,"NO",'Audit Raw data'!J:J,B:B,'Audit Raw data'!E:E,'Day wise agent'!G:G)</f>
        <v>0</v>
      </c>
      <c r="L789" s="12" t="str">
        <f t="shared" si="25"/>
        <v xml:space="preserve"> </v>
      </c>
    </row>
    <row r="790" spans="1:12" x14ac:dyDescent="0.35">
      <c r="A790" t="str">
        <f t="shared" si="24"/>
        <v>SBM90145938</v>
      </c>
      <c r="B790" t="s">
        <v>646</v>
      </c>
      <c r="C790" t="s">
        <v>1501</v>
      </c>
      <c r="D790" s="32">
        <v>45564</v>
      </c>
      <c r="E790" t="s">
        <v>1484</v>
      </c>
      <c r="F790" t="str">
        <f>VLOOKUP(B790,'Agent wise'!A:E,5,0)</f>
        <v>Wireless</v>
      </c>
      <c r="G790" s="32">
        <v>45938</v>
      </c>
      <c r="H790">
        <f>COUNTIFS('Audit Raw data'!J:J,B:B,'Audit Raw data'!E:E,G:G)</f>
        <v>0</v>
      </c>
      <c r="I790" s="44" t="str">
        <f>IFERROR((SUMIFS('Audit Raw data'!BZ:BZ,'Audit Raw data'!J:J,B:B,'Audit Raw data'!E:E,G:G)/H790)/100,"-")</f>
        <v>-</v>
      </c>
      <c r="J790">
        <f>COUNTIFS('Audit Raw data'!AM:AM,"Yes",'Audit Raw data'!J:J,B:B,'Audit Raw data'!E:E,'Day wise agent'!G:G)</f>
        <v>0</v>
      </c>
      <c r="K790">
        <f>COUNTIFS('Audit Raw data'!AM:AM,"NO",'Audit Raw data'!J:J,B:B,'Audit Raw data'!E:E,'Day wise agent'!G:G)</f>
        <v>0</v>
      </c>
      <c r="L790" s="12" t="str">
        <f t="shared" si="25"/>
        <v xml:space="preserve"> </v>
      </c>
    </row>
    <row r="791" spans="1:12" x14ac:dyDescent="0.35">
      <c r="A791" t="str">
        <f t="shared" si="24"/>
        <v>SBM91345938</v>
      </c>
      <c r="B791" t="s">
        <v>650</v>
      </c>
      <c r="C791" t="s">
        <v>1503</v>
      </c>
      <c r="D791" s="32">
        <v>45589</v>
      </c>
      <c r="E791" t="s">
        <v>178</v>
      </c>
      <c r="F791" t="str">
        <f>VLOOKUP(B791,'Agent wise'!A:E,5,0)</f>
        <v>Wireless</v>
      </c>
      <c r="G791" s="32">
        <v>45938</v>
      </c>
      <c r="H791">
        <f>COUNTIFS('Audit Raw data'!J:J,B:B,'Audit Raw data'!E:E,G:G)</f>
        <v>1</v>
      </c>
      <c r="I791" s="44">
        <f>IFERROR((SUMIFS('Audit Raw data'!BZ:BZ,'Audit Raw data'!J:J,B:B,'Audit Raw data'!E:E,G:G)/H791)/100,"-")</f>
        <v>0.78</v>
      </c>
      <c r="J791">
        <f>COUNTIFS('Audit Raw data'!AM:AM,"Yes",'Audit Raw data'!J:J,B:B,'Audit Raw data'!E:E,'Day wise agent'!G:G)</f>
        <v>1</v>
      </c>
      <c r="K791">
        <f>COUNTIFS('Audit Raw data'!AM:AM,"NO",'Audit Raw data'!J:J,B:B,'Audit Raw data'!E:E,'Day wise agent'!G:G)</f>
        <v>0</v>
      </c>
      <c r="L791" s="12">
        <f t="shared" si="25"/>
        <v>1</v>
      </c>
    </row>
    <row r="792" spans="1:12" x14ac:dyDescent="0.35">
      <c r="A792" t="str">
        <f t="shared" si="24"/>
        <v>SBM94645938</v>
      </c>
      <c r="B792" t="s">
        <v>653</v>
      </c>
      <c r="C792" t="s">
        <v>1505</v>
      </c>
      <c r="D792" s="32">
        <v>45635</v>
      </c>
      <c r="E792" t="s">
        <v>1453</v>
      </c>
      <c r="F792" t="str">
        <f>VLOOKUP(B792,'Agent wise'!A:E,5,0)</f>
        <v>Wireless</v>
      </c>
      <c r="G792" s="32">
        <v>45938</v>
      </c>
      <c r="H792">
        <f>COUNTIFS('Audit Raw data'!J:J,B:B,'Audit Raw data'!E:E,G:G)</f>
        <v>0</v>
      </c>
      <c r="I792" s="44" t="str">
        <f>IFERROR((SUMIFS('Audit Raw data'!BZ:BZ,'Audit Raw data'!J:J,B:B,'Audit Raw data'!E:E,G:G)/H792)/100,"-")</f>
        <v>-</v>
      </c>
      <c r="J792">
        <f>COUNTIFS('Audit Raw data'!AM:AM,"Yes",'Audit Raw data'!J:J,B:B,'Audit Raw data'!E:E,'Day wise agent'!G:G)</f>
        <v>0</v>
      </c>
      <c r="K792">
        <f>COUNTIFS('Audit Raw data'!AM:AM,"NO",'Audit Raw data'!J:J,B:B,'Audit Raw data'!E:E,'Day wise agent'!G:G)</f>
        <v>0</v>
      </c>
      <c r="L792" s="12" t="str">
        <f t="shared" si="25"/>
        <v xml:space="preserve"> </v>
      </c>
    </row>
    <row r="793" spans="1:12" x14ac:dyDescent="0.35">
      <c r="A793" t="str">
        <f t="shared" si="24"/>
        <v>SBM95845938</v>
      </c>
      <c r="B793" t="s">
        <v>124</v>
      </c>
      <c r="C793" t="s">
        <v>1508</v>
      </c>
      <c r="D793" s="32">
        <v>45641</v>
      </c>
      <c r="E793" t="s">
        <v>1453</v>
      </c>
      <c r="F793" t="str">
        <f>VLOOKUP(B793,'Agent wise'!A:E,5,0)</f>
        <v>Wireless</v>
      </c>
      <c r="G793" s="32">
        <v>45938</v>
      </c>
      <c r="H793">
        <f>COUNTIFS('Audit Raw data'!J:J,B:B,'Audit Raw data'!E:E,G:G)</f>
        <v>0</v>
      </c>
      <c r="I793" s="44" t="str">
        <f>IFERROR((SUMIFS('Audit Raw data'!BZ:BZ,'Audit Raw data'!J:J,B:B,'Audit Raw data'!E:E,G:G)/H793)/100,"-")</f>
        <v>-</v>
      </c>
      <c r="J793">
        <f>COUNTIFS('Audit Raw data'!AM:AM,"Yes",'Audit Raw data'!J:J,B:B,'Audit Raw data'!E:E,'Day wise agent'!G:G)</f>
        <v>0</v>
      </c>
      <c r="K793">
        <f>COUNTIFS('Audit Raw data'!AM:AM,"NO",'Audit Raw data'!J:J,B:B,'Audit Raw data'!E:E,'Day wise agent'!G:G)</f>
        <v>0</v>
      </c>
      <c r="L793" s="12" t="str">
        <f t="shared" si="25"/>
        <v xml:space="preserve"> </v>
      </c>
    </row>
    <row r="794" spans="1:12" x14ac:dyDescent="0.35">
      <c r="A794" t="str">
        <f t="shared" si="24"/>
        <v>SBM96345938</v>
      </c>
      <c r="B794" t="s">
        <v>149</v>
      </c>
      <c r="C794" t="s">
        <v>1506</v>
      </c>
      <c r="D794" s="32">
        <v>45637</v>
      </c>
      <c r="E794" t="s">
        <v>107</v>
      </c>
      <c r="F794" t="str">
        <f>VLOOKUP(B794,'Agent wise'!A:E,5,0)</f>
        <v>Wireless</v>
      </c>
      <c r="G794" s="32">
        <v>45938</v>
      </c>
      <c r="H794">
        <f>COUNTIFS('Audit Raw data'!J:J,B:B,'Audit Raw data'!E:E,G:G)</f>
        <v>0</v>
      </c>
      <c r="I794" s="44" t="str">
        <f>IFERROR((SUMIFS('Audit Raw data'!BZ:BZ,'Audit Raw data'!J:J,B:B,'Audit Raw data'!E:E,G:G)/H794)/100,"-")</f>
        <v>-</v>
      </c>
      <c r="J794">
        <f>COUNTIFS('Audit Raw data'!AM:AM,"Yes",'Audit Raw data'!J:J,B:B,'Audit Raw data'!E:E,'Day wise agent'!G:G)</f>
        <v>0</v>
      </c>
      <c r="K794">
        <f>COUNTIFS('Audit Raw data'!AM:AM,"NO",'Audit Raw data'!J:J,B:B,'Audit Raw data'!E:E,'Day wise agent'!G:G)</f>
        <v>0</v>
      </c>
      <c r="L794" s="12" t="str">
        <f t="shared" si="25"/>
        <v xml:space="preserve"> </v>
      </c>
    </row>
    <row r="795" spans="1:12" x14ac:dyDescent="0.35">
      <c r="A795" t="str">
        <f t="shared" si="24"/>
        <v>SBM96745938</v>
      </c>
      <c r="B795" t="s">
        <v>657</v>
      </c>
      <c r="C795" t="s">
        <v>1507</v>
      </c>
      <c r="D795" s="32">
        <v>45640</v>
      </c>
      <c r="E795" t="s">
        <v>1453</v>
      </c>
      <c r="F795" t="str">
        <f>VLOOKUP(B795,'Agent wise'!A:E,5,0)</f>
        <v>Wireless</v>
      </c>
      <c r="G795" s="32">
        <v>45938</v>
      </c>
      <c r="H795">
        <f>COUNTIFS('Audit Raw data'!J:J,B:B,'Audit Raw data'!E:E,G:G)</f>
        <v>0</v>
      </c>
      <c r="I795" s="44" t="str">
        <f>IFERROR((SUMIFS('Audit Raw data'!BZ:BZ,'Audit Raw data'!J:J,B:B,'Audit Raw data'!E:E,G:G)/H795)/100,"-")</f>
        <v>-</v>
      </c>
      <c r="J795">
        <f>COUNTIFS('Audit Raw data'!AM:AM,"Yes",'Audit Raw data'!J:J,B:B,'Audit Raw data'!E:E,'Day wise agent'!G:G)</f>
        <v>0</v>
      </c>
      <c r="K795">
        <f>COUNTIFS('Audit Raw data'!AM:AM,"NO",'Audit Raw data'!J:J,B:B,'Audit Raw data'!E:E,'Day wise agent'!G:G)</f>
        <v>0</v>
      </c>
      <c r="L795" s="12" t="str">
        <f t="shared" si="25"/>
        <v xml:space="preserve"> </v>
      </c>
    </row>
    <row r="796" spans="1:12" x14ac:dyDescent="0.35">
      <c r="A796" t="str">
        <f t="shared" si="24"/>
        <v>SBM98345938</v>
      </c>
      <c r="B796" t="s">
        <v>1509</v>
      </c>
      <c r="C796" t="s">
        <v>1510</v>
      </c>
      <c r="D796" s="32">
        <v>45659</v>
      </c>
      <c r="E796" t="s">
        <v>1484</v>
      </c>
      <c r="F796" t="str">
        <f>VLOOKUP(B796,'Agent wise'!A:E,5,0)</f>
        <v>Wireless</v>
      </c>
      <c r="G796" s="32">
        <v>45938</v>
      </c>
      <c r="H796">
        <f>COUNTIFS('Audit Raw data'!J:J,B:B,'Audit Raw data'!E:E,G:G)</f>
        <v>0</v>
      </c>
      <c r="I796" s="44" t="str">
        <f>IFERROR((SUMIFS('Audit Raw data'!BZ:BZ,'Audit Raw data'!J:J,B:B,'Audit Raw data'!E:E,G:G)/H796)/100,"-")</f>
        <v>-</v>
      </c>
      <c r="J796">
        <f>COUNTIFS('Audit Raw data'!AM:AM,"Yes",'Audit Raw data'!J:J,B:B,'Audit Raw data'!E:E,'Day wise agent'!G:G)</f>
        <v>0</v>
      </c>
      <c r="K796">
        <f>COUNTIFS('Audit Raw data'!AM:AM,"NO",'Audit Raw data'!J:J,B:B,'Audit Raw data'!E:E,'Day wise agent'!G:G)</f>
        <v>0</v>
      </c>
      <c r="L796" s="12" t="str">
        <f t="shared" si="25"/>
        <v xml:space="preserve"> </v>
      </c>
    </row>
    <row r="797" spans="1:12" x14ac:dyDescent="0.35">
      <c r="A797" t="str">
        <f t="shared" si="24"/>
        <v>SBM99045938</v>
      </c>
      <c r="B797" t="s">
        <v>660</v>
      </c>
      <c r="C797" t="s">
        <v>1512</v>
      </c>
      <c r="D797" s="32">
        <v>45663</v>
      </c>
      <c r="E797" t="s">
        <v>178</v>
      </c>
      <c r="F797" t="str">
        <f>VLOOKUP(B797,'Agent wise'!A:E,5,0)</f>
        <v>Wireless</v>
      </c>
      <c r="G797" s="32">
        <v>45938</v>
      </c>
      <c r="H797">
        <f>COUNTIFS('Audit Raw data'!J:J,B:B,'Audit Raw data'!E:E,G:G)</f>
        <v>0</v>
      </c>
      <c r="I797" s="44" t="str">
        <f>IFERROR((SUMIFS('Audit Raw data'!BZ:BZ,'Audit Raw data'!J:J,B:B,'Audit Raw data'!E:E,G:G)/H797)/100,"-")</f>
        <v>-</v>
      </c>
      <c r="J797">
        <f>COUNTIFS('Audit Raw data'!AM:AM,"Yes",'Audit Raw data'!J:J,B:B,'Audit Raw data'!E:E,'Day wise agent'!G:G)</f>
        <v>0</v>
      </c>
      <c r="K797">
        <f>COUNTIFS('Audit Raw data'!AM:AM,"NO",'Audit Raw data'!J:J,B:B,'Audit Raw data'!E:E,'Day wise agent'!G:G)</f>
        <v>0</v>
      </c>
      <c r="L797" s="12" t="str">
        <f t="shared" si="25"/>
        <v xml:space="preserve"> </v>
      </c>
    </row>
    <row r="798" spans="1:12" x14ac:dyDescent="0.35">
      <c r="A798" t="str">
        <f t="shared" si="24"/>
        <v>VPS10645938</v>
      </c>
      <c r="B798" t="s">
        <v>1513</v>
      </c>
      <c r="C798" t="s">
        <v>1514</v>
      </c>
      <c r="D798" s="32">
        <v>45674</v>
      </c>
      <c r="E798" t="s">
        <v>1456</v>
      </c>
      <c r="F798" t="str">
        <f>VLOOKUP(B798,'Agent wise'!A:E,5,0)</f>
        <v>RECL</v>
      </c>
      <c r="G798" s="32">
        <v>45938</v>
      </c>
      <c r="H798">
        <f>COUNTIFS('Audit Raw data'!J:J,B:B,'Audit Raw data'!E:E,G:G)</f>
        <v>0</v>
      </c>
      <c r="I798" s="44" t="str">
        <f>IFERROR((SUMIFS('Audit Raw data'!BZ:BZ,'Audit Raw data'!J:J,B:B,'Audit Raw data'!E:E,G:G)/H798)/100,"-")</f>
        <v>-</v>
      </c>
      <c r="J798">
        <f>COUNTIFS('Audit Raw data'!AM:AM,"Yes",'Audit Raw data'!J:J,B:B,'Audit Raw data'!E:E,'Day wise agent'!G:G)</f>
        <v>0</v>
      </c>
      <c r="K798">
        <f>COUNTIFS('Audit Raw data'!AM:AM,"NO",'Audit Raw data'!J:J,B:B,'Audit Raw data'!E:E,'Day wise agent'!G:G)</f>
        <v>0</v>
      </c>
      <c r="L798" s="12" t="str">
        <f t="shared" si="25"/>
        <v xml:space="preserve"> </v>
      </c>
    </row>
    <row r="799" spans="1:12" x14ac:dyDescent="0.35">
      <c r="A799" t="str">
        <f t="shared" si="24"/>
        <v>VPS11145938</v>
      </c>
      <c r="B799" t="s">
        <v>108</v>
      </c>
      <c r="C799" t="s">
        <v>1515</v>
      </c>
      <c r="D799" s="32">
        <v>45675</v>
      </c>
      <c r="E799" t="s">
        <v>1484</v>
      </c>
      <c r="F799" t="str">
        <f>VLOOKUP(B799,'Agent wise'!A:E,5,0)</f>
        <v>Wireless</v>
      </c>
      <c r="G799" s="32">
        <v>45938</v>
      </c>
      <c r="H799">
        <f>COUNTIFS('Audit Raw data'!J:J,B:B,'Audit Raw data'!E:E,G:G)</f>
        <v>0</v>
      </c>
      <c r="I799" s="44" t="str">
        <f>IFERROR((SUMIFS('Audit Raw data'!BZ:BZ,'Audit Raw data'!J:J,B:B,'Audit Raw data'!E:E,G:G)/H799)/100,"-")</f>
        <v>-</v>
      </c>
      <c r="J799">
        <f>COUNTIFS('Audit Raw data'!AM:AM,"Yes",'Audit Raw data'!J:J,B:B,'Audit Raw data'!E:E,'Day wise agent'!G:G)</f>
        <v>0</v>
      </c>
      <c r="K799">
        <f>COUNTIFS('Audit Raw data'!AM:AM,"NO",'Audit Raw data'!J:J,B:B,'Audit Raw data'!E:E,'Day wise agent'!G:G)</f>
        <v>0</v>
      </c>
      <c r="L799" s="12" t="str">
        <f t="shared" si="25"/>
        <v xml:space="preserve"> </v>
      </c>
    </row>
    <row r="800" spans="1:12" x14ac:dyDescent="0.35">
      <c r="A800" t="str">
        <f t="shared" si="24"/>
        <v>VPS12045938</v>
      </c>
      <c r="B800" t="s">
        <v>263</v>
      </c>
      <c r="C800" t="s">
        <v>1516</v>
      </c>
      <c r="D800" s="32">
        <v>45690</v>
      </c>
      <c r="E800" t="s">
        <v>178</v>
      </c>
      <c r="F800" t="str">
        <f>VLOOKUP(B800,'Agent wise'!A:E,5,0)</f>
        <v>Wireless</v>
      </c>
      <c r="G800" s="32">
        <v>45938</v>
      </c>
      <c r="H800">
        <f>COUNTIFS('Audit Raw data'!J:J,B:B,'Audit Raw data'!E:E,G:G)</f>
        <v>1</v>
      </c>
      <c r="I800" s="44">
        <f>IFERROR((SUMIFS('Audit Raw data'!BZ:BZ,'Audit Raw data'!J:J,B:B,'Audit Raw data'!E:E,G:G)/H800)/100,"-")</f>
        <v>0.68</v>
      </c>
      <c r="J800">
        <f>COUNTIFS('Audit Raw data'!AM:AM,"Yes",'Audit Raw data'!J:J,B:B,'Audit Raw data'!E:E,'Day wise agent'!G:G)</f>
        <v>0</v>
      </c>
      <c r="K800">
        <f>COUNTIFS('Audit Raw data'!AM:AM,"NO",'Audit Raw data'!J:J,B:B,'Audit Raw data'!E:E,'Day wise agent'!G:G)</f>
        <v>1</v>
      </c>
      <c r="L800" s="12">
        <f t="shared" si="25"/>
        <v>0</v>
      </c>
    </row>
    <row r="801" spans="1:12" x14ac:dyDescent="0.35">
      <c r="A801" t="str">
        <f t="shared" si="24"/>
        <v>VPS12445938</v>
      </c>
      <c r="B801" t="s">
        <v>1517</v>
      </c>
      <c r="C801" t="s">
        <v>1518</v>
      </c>
      <c r="D801" s="32">
        <v>45705</v>
      </c>
      <c r="E801" t="s">
        <v>1456</v>
      </c>
      <c r="F801" t="str">
        <f>VLOOKUP(B801,'Agent wise'!A:E,5,0)</f>
        <v>RECL</v>
      </c>
      <c r="G801" s="32">
        <v>45938</v>
      </c>
      <c r="H801">
        <f>COUNTIFS('Audit Raw data'!J:J,B:B,'Audit Raw data'!E:E,G:G)</f>
        <v>0</v>
      </c>
      <c r="I801" s="44" t="str">
        <f>IFERROR((SUMIFS('Audit Raw data'!BZ:BZ,'Audit Raw data'!J:J,B:B,'Audit Raw data'!E:E,G:G)/H801)/100,"-")</f>
        <v>-</v>
      </c>
      <c r="J801">
        <f>COUNTIFS('Audit Raw data'!AM:AM,"Yes",'Audit Raw data'!J:J,B:B,'Audit Raw data'!E:E,'Day wise agent'!G:G)</f>
        <v>0</v>
      </c>
      <c r="K801">
        <f>COUNTIFS('Audit Raw data'!AM:AM,"NO",'Audit Raw data'!J:J,B:B,'Audit Raw data'!E:E,'Day wise agent'!G:G)</f>
        <v>0</v>
      </c>
      <c r="L801" s="12" t="str">
        <f t="shared" si="25"/>
        <v xml:space="preserve"> </v>
      </c>
    </row>
    <row r="802" spans="1:12" x14ac:dyDescent="0.35">
      <c r="A802" t="str">
        <f t="shared" si="24"/>
        <v>VPS12645938</v>
      </c>
      <c r="B802" t="s">
        <v>1521</v>
      </c>
      <c r="C802" t="s">
        <v>1522</v>
      </c>
      <c r="D802" s="32">
        <v>45710</v>
      </c>
      <c r="E802" t="s">
        <v>1456</v>
      </c>
      <c r="F802" t="str">
        <f>VLOOKUP(B802,'Agent wise'!A:E,5,0)</f>
        <v>RECL</v>
      </c>
      <c r="G802" s="32">
        <v>45938</v>
      </c>
      <c r="H802">
        <f>COUNTIFS('Audit Raw data'!J:J,B:B,'Audit Raw data'!E:E,G:G)</f>
        <v>0</v>
      </c>
      <c r="I802" s="44" t="str">
        <f>IFERROR((SUMIFS('Audit Raw data'!BZ:BZ,'Audit Raw data'!J:J,B:B,'Audit Raw data'!E:E,G:G)/H802)/100,"-")</f>
        <v>-</v>
      </c>
      <c r="J802">
        <f>COUNTIFS('Audit Raw data'!AM:AM,"Yes",'Audit Raw data'!J:J,B:B,'Audit Raw data'!E:E,'Day wise agent'!G:G)</f>
        <v>0</v>
      </c>
      <c r="K802">
        <f>COUNTIFS('Audit Raw data'!AM:AM,"NO",'Audit Raw data'!J:J,B:B,'Audit Raw data'!E:E,'Day wise agent'!G:G)</f>
        <v>0</v>
      </c>
      <c r="L802" s="12" t="str">
        <f t="shared" si="25"/>
        <v xml:space="preserve"> </v>
      </c>
    </row>
    <row r="803" spans="1:12" x14ac:dyDescent="0.35">
      <c r="A803" t="str">
        <f t="shared" si="24"/>
        <v>VPS12745938</v>
      </c>
      <c r="B803" t="s">
        <v>1523</v>
      </c>
      <c r="C803" t="s">
        <v>1524</v>
      </c>
      <c r="D803" s="32">
        <v>45710</v>
      </c>
      <c r="E803" t="s">
        <v>1456</v>
      </c>
      <c r="F803" t="str">
        <f>VLOOKUP(B803,'Agent wise'!A:E,5,0)</f>
        <v>RECL</v>
      </c>
      <c r="G803" s="32">
        <v>45938</v>
      </c>
      <c r="H803">
        <f>COUNTIFS('Audit Raw data'!J:J,B:B,'Audit Raw data'!E:E,G:G)</f>
        <v>0</v>
      </c>
      <c r="I803" s="44" t="str">
        <f>IFERROR((SUMIFS('Audit Raw data'!BZ:BZ,'Audit Raw data'!J:J,B:B,'Audit Raw data'!E:E,G:G)/H803)/100,"-")</f>
        <v>-</v>
      </c>
      <c r="J803">
        <f>COUNTIFS('Audit Raw data'!AM:AM,"Yes",'Audit Raw data'!J:J,B:B,'Audit Raw data'!E:E,'Day wise agent'!G:G)</f>
        <v>0</v>
      </c>
      <c r="K803">
        <f>COUNTIFS('Audit Raw data'!AM:AM,"NO",'Audit Raw data'!J:J,B:B,'Audit Raw data'!E:E,'Day wise agent'!G:G)</f>
        <v>0</v>
      </c>
      <c r="L803" s="12" t="str">
        <f t="shared" si="25"/>
        <v xml:space="preserve"> </v>
      </c>
    </row>
    <row r="804" spans="1:12" x14ac:dyDescent="0.35">
      <c r="A804" t="str">
        <f t="shared" si="24"/>
        <v>VPS13045938</v>
      </c>
      <c r="B804" t="s">
        <v>662</v>
      </c>
      <c r="C804" t="s">
        <v>1525</v>
      </c>
      <c r="D804" s="32">
        <v>45710</v>
      </c>
      <c r="E804" t="s">
        <v>1484</v>
      </c>
      <c r="F804" t="str">
        <f>VLOOKUP(B804,'Agent wise'!A:E,5,0)</f>
        <v>Wireless</v>
      </c>
      <c r="G804" s="32">
        <v>45938</v>
      </c>
      <c r="H804">
        <f>COUNTIFS('Audit Raw data'!J:J,B:B,'Audit Raw data'!E:E,G:G)</f>
        <v>0</v>
      </c>
      <c r="I804" s="44" t="str">
        <f>IFERROR((SUMIFS('Audit Raw data'!BZ:BZ,'Audit Raw data'!J:J,B:B,'Audit Raw data'!E:E,G:G)/H804)/100,"-")</f>
        <v>-</v>
      </c>
      <c r="J804">
        <f>COUNTIFS('Audit Raw data'!AM:AM,"Yes",'Audit Raw data'!J:J,B:B,'Audit Raw data'!E:E,'Day wise agent'!G:G)</f>
        <v>0</v>
      </c>
      <c r="K804">
        <f>COUNTIFS('Audit Raw data'!AM:AM,"NO",'Audit Raw data'!J:J,B:B,'Audit Raw data'!E:E,'Day wise agent'!G:G)</f>
        <v>0</v>
      </c>
      <c r="L804" s="12" t="str">
        <f t="shared" si="25"/>
        <v xml:space="preserve"> </v>
      </c>
    </row>
    <row r="805" spans="1:12" x14ac:dyDescent="0.35">
      <c r="A805" t="str">
        <f t="shared" si="24"/>
        <v>VPS13145938</v>
      </c>
      <c r="B805" t="s">
        <v>1519</v>
      </c>
      <c r="C805" t="s">
        <v>1520</v>
      </c>
      <c r="D805" s="32">
        <v>45710</v>
      </c>
      <c r="E805" t="s">
        <v>1456</v>
      </c>
      <c r="F805" t="str">
        <f>VLOOKUP(B805,'Agent wise'!A:E,5,0)</f>
        <v>RECL</v>
      </c>
      <c r="G805" s="32">
        <v>45938</v>
      </c>
      <c r="H805">
        <f>COUNTIFS('Audit Raw data'!J:J,B:B,'Audit Raw data'!E:E,G:G)</f>
        <v>0</v>
      </c>
      <c r="I805" s="44" t="str">
        <f>IFERROR((SUMIFS('Audit Raw data'!BZ:BZ,'Audit Raw data'!J:J,B:B,'Audit Raw data'!E:E,G:G)/H805)/100,"-")</f>
        <v>-</v>
      </c>
      <c r="J805">
        <f>COUNTIFS('Audit Raw data'!AM:AM,"Yes",'Audit Raw data'!J:J,B:B,'Audit Raw data'!E:E,'Day wise agent'!G:G)</f>
        <v>0</v>
      </c>
      <c r="K805">
        <f>COUNTIFS('Audit Raw data'!AM:AM,"NO",'Audit Raw data'!J:J,B:B,'Audit Raw data'!E:E,'Day wise agent'!G:G)</f>
        <v>0</v>
      </c>
      <c r="L805" s="12" t="str">
        <f t="shared" si="25"/>
        <v xml:space="preserve"> </v>
      </c>
    </row>
    <row r="806" spans="1:12" x14ac:dyDescent="0.35">
      <c r="A806" t="str">
        <f t="shared" si="24"/>
        <v>VPS13245938</v>
      </c>
      <c r="B806" t="s">
        <v>1526</v>
      </c>
      <c r="C806" t="s">
        <v>1527</v>
      </c>
      <c r="D806" s="32">
        <v>45717</v>
      </c>
      <c r="E806" t="s">
        <v>221</v>
      </c>
      <c r="F806" t="str">
        <f>VLOOKUP(B806,'Agent wise'!A:E,5,0)</f>
        <v>Wire-line</v>
      </c>
      <c r="G806" s="32">
        <v>45938</v>
      </c>
      <c r="H806">
        <f>COUNTIFS('Audit Raw data'!J:J,B:B,'Audit Raw data'!E:E,G:G)</f>
        <v>0</v>
      </c>
      <c r="I806" s="44" t="str">
        <f>IFERROR((SUMIFS('Audit Raw data'!BZ:BZ,'Audit Raw data'!J:J,B:B,'Audit Raw data'!E:E,G:G)/H806)/100,"-")</f>
        <v>-</v>
      </c>
      <c r="J806">
        <f>COUNTIFS('Audit Raw data'!AM:AM,"Yes",'Audit Raw data'!J:J,B:B,'Audit Raw data'!E:E,'Day wise agent'!G:G)</f>
        <v>0</v>
      </c>
      <c r="K806">
        <f>COUNTIFS('Audit Raw data'!AM:AM,"NO",'Audit Raw data'!J:J,B:B,'Audit Raw data'!E:E,'Day wise agent'!G:G)</f>
        <v>0</v>
      </c>
      <c r="L806" s="12" t="str">
        <f t="shared" si="25"/>
        <v xml:space="preserve"> </v>
      </c>
    </row>
    <row r="807" spans="1:12" x14ac:dyDescent="0.35">
      <c r="A807" t="str">
        <f t="shared" si="24"/>
        <v>VPS14345938</v>
      </c>
      <c r="B807" t="s">
        <v>269</v>
      </c>
      <c r="C807" t="s">
        <v>1528</v>
      </c>
      <c r="D807" s="32">
        <v>45723</v>
      </c>
      <c r="E807" t="s">
        <v>1484</v>
      </c>
      <c r="F807" t="str">
        <f>VLOOKUP(B807,'Agent wise'!A:E,5,0)</f>
        <v>Wireless</v>
      </c>
      <c r="G807" s="32">
        <v>45938</v>
      </c>
      <c r="H807">
        <f>COUNTIFS('Audit Raw data'!J:J,B:B,'Audit Raw data'!E:E,G:G)</f>
        <v>0</v>
      </c>
      <c r="I807" s="44" t="str">
        <f>IFERROR((SUMIFS('Audit Raw data'!BZ:BZ,'Audit Raw data'!J:J,B:B,'Audit Raw data'!E:E,G:G)/H807)/100,"-")</f>
        <v>-</v>
      </c>
      <c r="J807">
        <f>COUNTIFS('Audit Raw data'!AM:AM,"Yes",'Audit Raw data'!J:J,B:B,'Audit Raw data'!E:E,'Day wise agent'!G:G)</f>
        <v>0</v>
      </c>
      <c r="K807">
        <f>COUNTIFS('Audit Raw data'!AM:AM,"NO",'Audit Raw data'!J:J,B:B,'Audit Raw data'!E:E,'Day wise agent'!G:G)</f>
        <v>0</v>
      </c>
      <c r="L807" s="12" t="str">
        <f t="shared" si="25"/>
        <v xml:space="preserve"> </v>
      </c>
    </row>
    <row r="808" spans="1:12" x14ac:dyDescent="0.35">
      <c r="A808" t="str">
        <f t="shared" si="24"/>
        <v>VPS15145938</v>
      </c>
      <c r="B808" t="s">
        <v>274</v>
      </c>
      <c r="C808" t="s">
        <v>1529</v>
      </c>
      <c r="D808" s="32">
        <v>45735</v>
      </c>
      <c r="E808" t="s">
        <v>107</v>
      </c>
      <c r="F808" t="str">
        <f>VLOOKUP(B808,'Agent wise'!A:E,5,0)</f>
        <v>Wireless</v>
      </c>
      <c r="G808" s="32">
        <v>45938</v>
      </c>
      <c r="H808">
        <f>COUNTIFS('Audit Raw data'!J:J,B:B,'Audit Raw data'!E:E,G:G)</f>
        <v>0</v>
      </c>
      <c r="I808" s="44" t="str">
        <f>IFERROR((SUMIFS('Audit Raw data'!BZ:BZ,'Audit Raw data'!J:J,B:B,'Audit Raw data'!E:E,G:G)/H808)/100,"-")</f>
        <v>-</v>
      </c>
      <c r="J808">
        <f>COUNTIFS('Audit Raw data'!AM:AM,"Yes",'Audit Raw data'!J:J,B:B,'Audit Raw data'!E:E,'Day wise agent'!G:G)</f>
        <v>0</v>
      </c>
      <c r="K808">
        <f>COUNTIFS('Audit Raw data'!AM:AM,"NO",'Audit Raw data'!J:J,B:B,'Audit Raw data'!E:E,'Day wise agent'!G:G)</f>
        <v>0</v>
      </c>
      <c r="L808" s="12" t="str">
        <f t="shared" si="25"/>
        <v xml:space="preserve"> </v>
      </c>
    </row>
    <row r="809" spans="1:12" x14ac:dyDescent="0.35">
      <c r="A809" t="str">
        <f t="shared" si="24"/>
        <v>VPS16045938</v>
      </c>
      <c r="B809" t="s">
        <v>258</v>
      </c>
      <c r="C809" t="s">
        <v>1530</v>
      </c>
      <c r="D809" s="32">
        <v>45748</v>
      </c>
      <c r="E809" t="s">
        <v>1484</v>
      </c>
      <c r="F809" t="str">
        <f>VLOOKUP(B809,'Agent wise'!A:E,5,0)</f>
        <v>Wireless</v>
      </c>
      <c r="G809" s="32">
        <v>45938</v>
      </c>
      <c r="H809">
        <f>COUNTIFS('Audit Raw data'!J:J,B:B,'Audit Raw data'!E:E,G:G)</f>
        <v>0</v>
      </c>
      <c r="I809" s="44" t="str">
        <f>IFERROR((SUMIFS('Audit Raw data'!BZ:BZ,'Audit Raw data'!J:J,B:B,'Audit Raw data'!E:E,G:G)/H809)/100,"-")</f>
        <v>-</v>
      </c>
      <c r="J809">
        <f>COUNTIFS('Audit Raw data'!AM:AM,"Yes",'Audit Raw data'!J:J,B:B,'Audit Raw data'!E:E,'Day wise agent'!G:G)</f>
        <v>0</v>
      </c>
      <c r="K809">
        <f>COUNTIFS('Audit Raw data'!AM:AM,"NO",'Audit Raw data'!J:J,B:B,'Audit Raw data'!E:E,'Day wise agent'!G:G)</f>
        <v>0</v>
      </c>
      <c r="L809" s="12" t="str">
        <f t="shared" si="25"/>
        <v xml:space="preserve"> </v>
      </c>
    </row>
    <row r="810" spans="1:12" x14ac:dyDescent="0.35">
      <c r="A810" t="str">
        <f t="shared" si="24"/>
        <v>VPS17145938</v>
      </c>
      <c r="B810" t="s">
        <v>307</v>
      </c>
      <c r="C810" t="s">
        <v>1531</v>
      </c>
      <c r="D810" s="32">
        <v>45767</v>
      </c>
      <c r="E810" t="s">
        <v>221</v>
      </c>
      <c r="F810" t="str">
        <f>VLOOKUP(B810,'Agent wise'!A:E,5,0)</f>
        <v>Wire-line</v>
      </c>
      <c r="G810" s="32">
        <v>45938</v>
      </c>
      <c r="H810">
        <f>COUNTIFS('Audit Raw data'!J:J,B:B,'Audit Raw data'!E:E,G:G)</f>
        <v>0</v>
      </c>
      <c r="I810" s="44" t="str">
        <f>IFERROR((SUMIFS('Audit Raw data'!BZ:BZ,'Audit Raw data'!J:J,B:B,'Audit Raw data'!E:E,G:G)/H810)/100,"-")</f>
        <v>-</v>
      </c>
      <c r="J810">
        <f>COUNTIFS('Audit Raw data'!AM:AM,"Yes",'Audit Raw data'!J:J,B:B,'Audit Raw data'!E:E,'Day wise agent'!G:G)</f>
        <v>0</v>
      </c>
      <c r="K810">
        <f>COUNTIFS('Audit Raw data'!AM:AM,"NO",'Audit Raw data'!J:J,B:B,'Audit Raw data'!E:E,'Day wise agent'!G:G)</f>
        <v>0</v>
      </c>
      <c r="L810" s="12" t="str">
        <f t="shared" si="25"/>
        <v xml:space="preserve"> </v>
      </c>
    </row>
    <row r="811" spans="1:12" x14ac:dyDescent="0.35">
      <c r="A811" t="str">
        <f t="shared" si="24"/>
        <v>VPS17745938</v>
      </c>
      <c r="B811" t="s">
        <v>280</v>
      </c>
      <c r="C811" t="s">
        <v>1532</v>
      </c>
      <c r="D811" s="32">
        <v>45766</v>
      </c>
      <c r="E811" t="s">
        <v>1453</v>
      </c>
      <c r="F811" t="str">
        <f>VLOOKUP(B811,'Agent wise'!A:E,5,0)</f>
        <v>Wireless</v>
      </c>
      <c r="G811" s="32">
        <v>45938</v>
      </c>
      <c r="H811">
        <f>COUNTIFS('Audit Raw data'!J:J,B:B,'Audit Raw data'!E:E,G:G)</f>
        <v>1</v>
      </c>
      <c r="I811" s="44">
        <f>IFERROR((SUMIFS('Audit Raw data'!BZ:BZ,'Audit Raw data'!J:J,B:B,'Audit Raw data'!E:E,G:G)/H811)/100,"-")</f>
        <v>0.7</v>
      </c>
      <c r="J811">
        <f>COUNTIFS('Audit Raw data'!AM:AM,"Yes",'Audit Raw data'!J:J,B:B,'Audit Raw data'!E:E,'Day wise agent'!G:G)</f>
        <v>0</v>
      </c>
      <c r="K811">
        <f>COUNTIFS('Audit Raw data'!AM:AM,"NO",'Audit Raw data'!J:J,B:B,'Audit Raw data'!E:E,'Day wise agent'!G:G)</f>
        <v>1</v>
      </c>
      <c r="L811" s="12">
        <f t="shared" si="25"/>
        <v>0</v>
      </c>
    </row>
    <row r="812" spans="1:12" x14ac:dyDescent="0.35">
      <c r="A812" t="str">
        <f t="shared" si="24"/>
        <v>VPS18145938</v>
      </c>
      <c r="B812" t="s">
        <v>234</v>
      </c>
      <c r="C812" t="s">
        <v>1533</v>
      </c>
      <c r="D812" s="32">
        <v>45775</v>
      </c>
      <c r="E812" t="s">
        <v>221</v>
      </c>
      <c r="F812" t="str">
        <f>VLOOKUP(B812,'Agent wise'!A:E,5,0)</f>
        <v>Wire-line</v>
      </c>
      <c r="G812" s="32">
        <v>45938</v>
      </c>
      <c r="H812">
        <f>COUNTIFS('Audit Raw data'!J:J,B:B,'Audit Raw data'!E:E,G:G)</f>
        <v>0</v>
      </c>
      <c r="I812" s="44" t="str">
        <f>IFERROR((SUMIFS('Audit Raw data'!BZ:BZ,'Audit Raw data'!J:J,B:B,'Audit Raw data'!E:E,G:G)/H812)/100,"-")</f>
        <v>-</v>
      </c>
      <c r="J812">
        <f>COUNTIFS('Audit Raw data'!AM:AM,"Yes",'Audit Raw data'!J:J,B:B,'Audit Raw data'!E:E,'Day wise agent'!G:G)</f>
        <v>0</v>
      </c>
      <c r="K812">
        <f>COUNTIFS('Audit Raw data'!AM:AM,"NO",'Audit Raw data'!J:J,B:B,'Audit Raw data'!E:E,'Day wise agent'!G:G)</f>
        <v>0</v>
      </c>
      <c r="L812" s="12" t="str">
        <f t="shared" si="25"/>
        <v xml:space="preserve"> </v>
      </c>
    </row>
    <row r="813" spans="1:12" x14ac:dyDescent="0.35">
      <c r="A813" t="str">
        <f t="shared" si="24"/>
        <v>VPS18245938</v>
      </c>
      <c r="B813" t="s">
        <v>568</v>
      </c>
      <c r="C813" t="s">
        <v>1534</v>
      </c>
      <c r="D813" s="32">
        <v>45797</v>
      </c>
      <c r="E813" t="s">
        <v>221</v>
      </c>
      <c r="F813" t="str">
        <f>VLOOKUP(B813,'Agent wise'!A:E,5,0)</f>
        <v>Wire-line</v>
      </c>
      <c r="G813" s="32">
        <v>45938</v>
      </c>
      <c r="H813">
        <f>COUNTIFS('Audit Raw data'!J:J,B:B,'Audit Raw data'!E:E,G:G)</f>
        <v>1</v>
      </c>
      <c r="I813" s="44">
        <f>IFERROR((SUMIFS('Audit Raw data'!BZ:BZ,'Audit Raw data'!J:J,B:B,'Audit Raw data'!E:E,G:G)/H813)/100,"-")</f>
        <v>1</v>
      </c>
      <c r="J813">
        <f>COUNTIFS('Audit Raw data'!AM:AM,"Yes",'Audit Raw data'!J:J,B:B,'Audit Raw data'!E:E,'Day wise agent'!G:G)</f>
        <v>1</v>
      </c>
      <c r="K813">
        <f>COUNTIFS('Audit Raw data'!AM:AM,"NO",'Audit Raw data'!J:J,B:B,'Audit Raw data'!E:E,'Day wise agent'!G:G)</f>
        <v>0</v>
      </c>
      <c r="L813" s="12">
        <f t="shared" si="25"/>
        <v>1</v>
      </c>
    </row>
    <row r="814" spans="1:12" x14ac:dyDescent="0.35">
      <c r="A814" t="str">
        <f t="shared" si="24"/>
        <v>VPS18345938</v>
      </c>
      <c r="B814" t="s">
        <v>570</v>
      </c>
      <c r="C814" t="s">
        <v>1535</v>
      </c>
      <c r="D814" s="32">
        <v>45797</v>
      </c>
      <c r="E814" t="s">
        <v>221</v>
      </c>
      <c r="F814" t="str">
        <f>VLOOKUP(B814,'Agent wise'!A:E,5,0)</f>
        <v>Wire-line</v>
      </c>
      <c r="G814" s="32">
        <v>45938</v>
      </c>
      <c r="H814">
        <f>COUNTIFS('Audit Raw data'!J:J,B:B,'Audit Raw data'!E:E,G:G)</f>
        <v>0</v>
      </c>
      <c r="I814" s="44" t="str">
        <f>IFERROR((SUMIFS('Audit Raw data'!BZ:BZ,'Audit Raw data'!J:J,B:B,'Audit Raw data'!E:E,G:G)/H814)/100,"-")</f>
        <v>-</v>
      </c>
      <c r="J814">
        <f>COUNTIFS('Audit Raw data'!AM:AM,"Yes",'Audit Raw data'!J:J,B:B,'Audit Raw data'!E:E,'Day wise agent'!G:G)</f>
        <v>0</v>
      </c>
      <c r="K814">
        <f>COUNTIFS('Audit Raw data'!AM:AM,"NO",'Audit Raw data'!J:J,B:B,'Audit Raw data'!E:E,'Day wise agent'!G:G)</f>
        <v>0</v>
      </c>
      <c r="L814" s="12" t="str">
        <f t="shared" si="25"/>
        <v xml:space="preserve"> </v>
      </c>
    </row>
    <row r="815" spans="1:12" x14ac:dyDescent="0.35">
      <c r="A815" t="str">
        <f t="shared" si="24"/>
        <v>VPS18445938</v>
      </c>
      <c r="B815" t="s">
        <v>117</v>
      </c>
      <c r="C815" t="s">
        <v>1536</v>
      </c>
      <c r="D815" s="32">
        <v>45809</v>
      </c>
      <c r="E815" t="s">
        <v>1453</v>
      </c>
      <c r="F815" t="str">
        <f>VLOOKUP(B815,'Agent wise'!A:E,5,0)</f>
        <v>Wireless</v>
      </c>
      <c r="G815" s="32">
        <v>45938</v>
      </c>
      <c r="H815">
        <f>COUNTIFS('Audit Raw data'!J:J,B:B,'Audit Raw data'!E:E,G:G)</f>
        <v>0</v>
      </c>
      <c r="I815" s="44" t="str">
        <f>IFERROR((SUMIFS('Audit Raw data'!BZ:BZ,'Audit Raw data'!J:J,B:B,'Audit Raw data'!E:E,G:G)/H815)/100,"-")</f>
        <v>-</v>
      </c>
      <c r="J815">
        <f>COUNTIFS('Audit Raw data'!AM:AM,"Yes",'Audit Raw data'!J:J,B:B,'Audit Raw data'!E:E,'Day wise agent'!G:G)</f>
        <v>0</v>
      </c>
      <c r="K815">
        <f>COUNTIFS('Audit Raw data'!AM:AM,"NO",'Audit Raw data'!J:J,B:B,'Audit Raw data'!E:E,'Day wise agent'!G:G)</f>
        <v>0</v>
      </c>
      <c r="L815" s="12" t="str">
        <f t="shared" si="25"/>
        <v xml:space="preserve"> </v>
      </c>
    </row>
    <row r="816" spans="1:12" x14ac:dyDescent="0.35">
      <c r="A816" t="str">
        <f t="shared" si="24"/>
        <v>VPS19145938</v>
      </c>
      <c r="B816" t="s">
        <v>586</v>
      </c>
      <c r="C816" t="s">
        <v>1537</v>
      </c>
      <c r="D816" s="32">
        <v>45809</v>
      </c>
      <c r="E816" t="s">
        <v>107</v>
      </c>
      <c r="F816" t="str">
        <f>VLOOKUP(B816,'Agent wise'!A:E,5,0)</f>
        <v>Wireless</v>
      </c>
      <c r="G816" s="32">
        <v>45938</v>
      </c>
      <c r="H816">
        <f>COUNTIFS('Audit Raw data'!J:J,B:B,'Audit Raw data'!E:E,G:G)</f>
        <v>0</v>
      </c>
      <c r="I816" s="44" t="str">
        <f>IFERROR((SUMIFS('Audit Raw data'!BZ:BZ,'Audit Raw data'!J:J,B:B,'Audit Raw data'!E:E,G:G)/H816)/100,"-")</f>
        <v>-</v>
      </c>
      <c r="J816">
        <f>COUNTIFS('Audit Raw data'!AM:AM,"Yes",'Audit Raw data'!J:J,B:B,'Audit Raw data'!E:E,'Day wise agent'!G:G)</f>
        <v>0</v>
      </c>
      <c r="K816">
        <f>COUNTIFS('Audit Raw data'!AM:AM,"NO",'Audit Raw data'!J:J,B:B,'Audit Raw data'!E:E,'Day wise agent'!G:G)</f>
        <v>0</v>
      </c>
      <c r="L816" s="12" t="str">
        <f t="shared" si="25"/>
        <v xml:space="preserve"> </v>
      </c>
    </row>
    <row r="817" spans="1:12" x14ac:dyDescent="0.35">
      <c r="A817" t="str">
        <f t="shared" si="24"/>
        <v>VPS19345938</v>
      </c>
      <c r="B817" t="s">
        <v>302</v>
      </c>
      <c r="C817" t="s">
        <v>1538</v>
      </c>
      <c r="D817" s="32">
        <v>45823</v>
      </c>
      <c r="E817" t="s">
        <v>107</v>
      </c>
      <c r="F817" t="str">
        <f>VLOOKUP(B817,'Agent wise'!A:E,5,0)</f>
        <v>Wireless</v>
      </c>
      <c r="G817" s="32">
        <v>45938</v>
      </c>
      <c r="H817">
        <f>COUNTIFS('Audit Raw data'!J:J,B:B,'Audit Raw data'!E:E,G:G)</f>
        <v>0</v>
      </c>
      <c r="I817" s="44" t="str">
        <f>IFERROR((SUMIFS('Audit Raw data'!BZ:BZ,'Audit Raw data'!J:J,B:B,'Audit Raw data'!E:E,G:G)/H817)/100,"-")</f>
        <v>-</v>
      </c>
      <c r="J817">
        <f>COUNTIFS('Audit Raw data'!AM:AM,"Yes",'Audit Raw data'!J:J,B:B,'Audit Raw data'!E:E,'Day wise agent'!G:G)</f>
        <v>0</v>
      </c>
      <c r="K817">
        <f>COUNTIFS('Audit Raw data'!AM:AM,"NO",'Audit Raw data'!J:J,B:B,'Audit Raw data'!E:E,'Day wise agent'!G:G)</f>
        <v>0</v>
      </c>
      <c r="L817" s="12" t="str">
        <f t="shared" si="25"/>
        <v xml:space="preserve"> </v>
      </c>
    </row>
    <row r="818" spans="1:12" x14ac:dyDescent="0.35">
      <c r="A818" t="str">
        <f t="shared" si="24"/>
        <v>VPS19745938</v>
      </c>
      <c r="B818" t="s">
        <v>665</v>
      </c>
      <c r="C818" t="s">
        <v>1539</v>
      </c>
      <c r="D818" s="32">
        <v>45830</v>
      </c>
      <c r="E818" t="s">
        <v>178</v>
      </c>
      <c r="F818" t="str">
        <f>VLOOKUP(B818,'Agent wise'!A:E,5,0)</f>
        <v>Wireless</v>
      </c>
      <c r="G818" s="32">
        <v>45938</v>
      </c>
      <c r="H818">
        <f>COUNTIFS('Audit Raw data'!J:J,B:B,'Audit Raw data'!E:E,G:G)</f>
        <v>1</v>
      </c>
      <c r="I818" s="44">
        <f>IFERROR((SUMIFS('Audit Raw data'!BZ:BZ,'Audit Raw data'!J:J,B:B,'Audit Raw data'!E:E,G:G)/H818)/100,"-")</f>
        <v>0.72</v>
      </c>
      <c r="J818">
        <f>COUNTIFS('Audit Raw data'!AM:AM,"Yes",'Audit Raw data'!J:J,B:B,'Audit Raw data'!E:E,'Day wise agent'!G:G)</f>
        <v>1</v>
      </c>
      <c r="K818">
        <f>COUNTIFS('Audit Raw data'!AM:AM,"NO",'Audit Raw data'!J:J,B:B,'Audit Raw data'!E:E,'Day wise agent'!G:G)</f>
        <v>0</v>
      </c>
      <c r="L818" s="12">
        <f t="shared" si="25"/>
        <v>1</v>
      </c>
    </row>
    <row r="819" spans="1:12" x14ac:dyDescent="0.35">
      <c r="A819" t="str">
        <f t="shared" si="24"/>
        <v>VPS20145938</v>
      </c>
      <c r="B819" t="s">
        <v>439</v>
      </c>
      <c r="C819" t="s">
        <v>1540</v>
      </c>
      <c r="D819" s="32">
        <v>45834</v>
      </c>
      <c r="E819" t="s">
        <v>1453</v>
      </c>
      <c r="F819" t="str">
        <f>VLOOKUP(B819,'Agent wise'!A:E,5,0)</f>
        <v>Wireless</v>
      </c>
      <c r="G819" s="32">
        <v>45938</v>
      </c>
      <c r="H819">
        <f>COUNTIFS('Audit Raw data'!J:J,B:B,'Audit Raw data'!E:E,G:G)</f>
        <v>0</v>
      </c>
      <c r="I819" s="44" t="str">
        <f>IFERROR((SUMIFS('Audit Raw data'!BZ:BZ,'Audit Raw data'!J:J,B:B,'Audit Raw data'!E:E,G:G)/H819)/100,"-")</f>
        <v>-</v>
      </c>
      <c r="J819">
        <f>COUNTIFS('Audit Raw data'!AM:AM,"Yes",'Audit Raw data'!J:J,B:B,'Audit Raw data'!E:E,'Day wise agent'!G:G)</f>
        <v>0</v>
      </c>
      <c r="K819">
        <f>COUNTIFS('Audit Raw data'!AM:AM,"NO",'Audit Raw data'!J:J,B:B,'Audit Raw data'!E:E,'Day wise agent'!G:G)</f>
        <v>0</v>
      </c>
      <c r="L819" s="12" t="str">
        <f t="shared" si="25"/>
        <v xml:space="preserve"> </v>
      </c>
    </row>
    <row r="820" spans="1:12" x14ac:dyDescent="0.35">
      <c r="A820" t="str">
        <f t="shared" si="24"/>
        <v>VPS20445938</v>
      </c>
      <c r="B820" t="s">
        <v>749</v>
      </c>
      <c r="C820" t="s">
        <v>1542</v>
      </c>
      <c r="D820" s="32">
        <v>45840</v>
      </c>
      <c r="E820" t="s">
        <v>1484</v>
      </c>
      <c r="F820" t="str">
        <f>VLOOKUP(B820,'Agent wise'!A:E,5,0)</f>
        <v>Wireless</v>
      </c>
      <c r="G820" s="32">
        <v>45938</v>
      </c>
      <c r="H820">
        <f>COUNTIFS('Audit Raw data'!J:J,B:B,'Audit Raw data'!E:E,G:G)</f>
        <v>0</v>
      </c>
      <c r="I820" s="44" t="str">
        <f>IFERROR((SUMIFS('Audit Raw data'!BZ:BZ,'Audit Raw data'!J:J,B:B,'Audit Raw data'!E:E,G:G)/H820)/100,"-")</f>
        <v>-</v>
      </c>
      <c r="J820">
        <f>COUNTIFS('Audit Raw data'!AM:AM,"Yes",'Audit Raw data'!J:J,B:B,'Audit Raw data'!E:E,'Day wise agent'!G:G)</f>
        <v>0</v>
      </c>
      <c r="K820">
        <f>COUNTIFS('Audit Raw data'!AM:AM,"NO",'Audit Raw data'!J:J,B:B,'Audit Raw data'!E:E,'Day wise agent'!G:G)</f>
        <v>0</v>
      </c>
      <c r="L820" s="12" t="str">
        <f t="shared" si="25"/>
        <v xml:space="preserve"> </v>
      </c>
    </row>
    <row r="821" spans="1:12" x14ac:dyDescent="0.35">
      <c r="A821" t="str">
        <f t="shared" si="24"/>
        <v>VPS20645938</v>
      </c>
      <c r="B821" t="s">
        <v>427</v>
      </c>
      <c r="C821" t="s">
        <v>1541</v>
      </c>
      <c r="D821" s="32">
        <v>45840</v>
      </c>
      <c r="E821" t="s">
        <v>107</v>
      </c>
      <c r="F821" t="str">
        <f>VLOOKUP(B821,'Agent wise'!A:E,5,0)</f>
        <v>Wireless</v>
      </c>
      <c r="G821" s="32">
        <v>45938</v>
      </c>
      <c r="H821">
        <f>COUNTIFS('Audit Raw data'!J:J,B:B,'Audit Raw data'!E:E,G:G)</f>
        <v>0</v>
      </c>
      <c r="I821" s="44" t="str">
        <f>IFERROR((SUMIFS('Audit Raw data'!BZ:BZ,'Audit Raw data'!J:J,B:B,'Audit Raw data'!E:E,G:G)/H821)/100,"-")</f>
        <v>-</v>
      </c>
      <c r="J821">
        <f>COUNTIFS('Audit Raw data'!AM:AM,"Yes",'Audit Raw data'!J:J,B:B,'Audit Raw data'!E:E,'Day wise agent'!G:G)</f>
        <v>0</v>
      </c>
      <c r="K821">
        <f>COUNTIFS('Audit Raw data'!AM:AM,"NO",'Audit Raw data'!J:J,B:B,'Audit Raw data'!E:E,'Day wise agent'!G:G)</f>
        <v>0</v>
      </c>
      <c r="L821" s="12" t="str">
        <f t="shared" si="25"/>
        <v xml:space="preserve"> </v>
      </c>
    </row>
    <row r="822" spans="1:12" x14ac:dyDescent="0.35">
      <c r="A822" t="str">
        <f t="shared" si="24"/>
        <v>VPS20945938</v>
      </c>
      <c r="B822" t="s">
        <v>528</v>
      </c>
      <c r="C822" t="s">
        <v>1543</v>
      </c>
      <c r="D822" s="32">
        <v>45856</v>
      </c>
      <c r="E822" t="s">
        <v>178</v>
      </c>
      <c r="F822" t="str">
        <f>VLOOKUP(B822,'Agent wise'!A:E,5,0)</f>
        <v>Wireless</v>
      </c>
      <c r="G822" s="32">
        <v>45938</v>
      </c>
      <c r="H822">
        <f>COUNTIFS('Audit Raw data'!J:J,B:B,'Audit Raw data'!E:E,G:G)</f>
        <v>2</v>
      </c>
      <c r="I822" s="44">
        <f>IFERROR((SUMIFS('Audit Raw data'!BZ:BZ,'Audit Raw data'!J:J,B:B,'Audit Raw data'!E:E,G:G)/H822)/100,"-")</f>
        <v>0.94</v>
      </c>
      <c r="J822">
        <f>COUNTIFS('Audit Raw data'!AM:AM,"Yes",'Audit Raw data'!J:J,B:B,'Audit Raw data'!E:E,'Day wise agent'!G:G)</f>
        <v>2</v>
      </c>
      <c r="K822">
        <f>COUNTIFS('Audit Raw data'!AM:AM,"NO",'Audit Raw data'!J:J,B:B,'Audit Raw data'!E:E,'Day wise agent'!G:G)</f>
        <v>0</v>
      </c>
      <c r="L822" s="12">
        <f t="shared" si="25"/>
        <v>1</v>
      </c>
    </row>
    <row r="823" spans="1:12" x14ac:dyDescent="0.35">
      <c r="A823" t="str">
        <f t="shared" si="24"/>
        <v>VPS21045938</v>
      </c>
      <c r="B823" t="s">
        <v>589</v>
      </c>
      <c r="C823" t="s">
        <v>1544</v>
      </c>
      <c r="D823" s="32">
        <v>45856</v>
      </c>
      <c r="E823" t="s">
        <v>107</v>
      </c>
      <c r="F823" t="str">
        <f>VLOOKUP(B823,'Agent wise'!A:E,5,0)</f>
        <v>Wireless</v>
      </c>
      <c r="G823" s="32">
        <v>45938</v>
      </c>
      <c r="H823">
        <f>COUNTIFS('Audit Raw data'!J:J,B:B,'Audit Raw data'!E:E,G:G)</f>
        <v>1</v>
      </c>
      <c r="I823" s="44">
        <f>IFERROR((SUMIFS('Audit Raw data'!BZ:BZ,'Audit Raw data'!J:J,B:B,'Audit Raw data'!E:E,G:G)/H823)/100,"-")</f>
        <v>0.62</v>
      </c>
      <c r="J823">
        <f>COUNTIFS('Audit Raw data'!AM:AM,"Yes",'Audit Raw data'!J:J,B:B,'Audit Raw data'!E:E,'Day wise agent'!G:G)</f>
        <v>1</v>
      </c>
      <c r="K823">
        <f>COUNTIFS('Audit Raw data'!AM:AM,"NO",'Audit Raw data'!J:J,B:B,'Audit Raw data'!E:E,'Day wise agent'!G:G)</f>
        <v>0</v>
      </c>
      <c r="L823" s="12">
        <f t="shared" si="25"/>
        <v>1</v>
      </c>
    </row>
    <row r="824" spans="1:12" x14ac:dyDescent="0.35">
      <c r="A824" t="str">
        <f t="shared" si="24"/>
        <v>VPS21145938</v>
      </c>
      <c r="B824" t="s">
        <v>367</v>
      </c>
      <c r="C824" t="s">
        <v>1545</v>
      </c>
      <c r="D824" s="32">
        <v>45855</v>
      </c>
      <c r="E824" t="s">
        <v>1453</v>
      </c>
      <c r="F824" t="str">
        <f>VLOOKUP(B824,'Agent wise'!A:E,5,0)</f>
        <v>Wireless</v>
      </c>
      <c r="G824" s="32">
        <v>45938</v>
      </c>
      <c r="H824">
        <f>COUNTIFS('Audit Raw data'!J:J,B:B,'Audit Raw data'!E:E,G:G)</f>
        <v>1</v>
      </c>
      <c r="I824" s="44">
        <f>IFERROR((SUMIFS('Audit Raw data'!BZ:BZ,'Audit Raw data'!J:J,B:B,'Audit Raw data'!E:E,G:G)/H824)/100,"-")</f>
        <v>0.92</v>
      </c>
      <c r="J824">
        <f>COUNTIFS('Audit Raw data'!AM:AM,"Yes",'Audit Raw data'!J:J,B:B,'Audit Raw data'!E:E,'Day wise agent'!G:G)</f>
        <v>1</v>
      </c>
      <c r="K824">
        <f>COUNTIFS('Audit Raw data'!AM:AM,"NO",'Audit Raw data'!J:J,B:B,'Audit Raw data'!E:E,'Day wise agent'!G:G)</f>
        <v>0</v>
      </c>
      <c r="L824" s="12">
        <f t="shared" si="25"/>
        <v>1</v>
      </c>
    </row>
    <row r="825" spans="1:12" x14ac:dyDescent="0.35">
      <c r="A825" t="str">
        <f t="shared" si="24"/>
        <v>VPS21345938</v>
      </c>
      <c r="B825" t="s">
        <v>493</v>
      </c>
      <c r="C825" t="s">
        <v>1546</v>
      </c>
      <c r="D825" s="32">
        <v>45856</v>
      </c>
      <c r="E825" t="s">
        <v>1453</v>
      </c>
      <c r="F825" t="str">
        <f>VLOOKUP(B825,'Agent wise'!A:E,5,0)</f>
        <v>Wireless</v>
      </c>
      <c r="G825" s="32">
        <v>45938</v>
      </c>
      <c r="H825">
        <f>COUNTIFS('Audit Raw data'!J:J,B:B,'Audit Raw data'!E:E,G:G)</f>
        <v>0</v>
      </c>
      <c r="I825" s="44" t="str">
        <f>IFERROR((SUMIFS('Audit Raw data'!BZ:BZ,'Audit Raw data'!J:J,B:B,'Audit Raw data'!E:E,G:G)/H825)/100,"-")</f>
        <v>-</v>
      </c>
      <c r="J825">
        <f>COUNTIFS('Audit Raw data'!AM:AM,"Yes",'Audit Raw data'!J:J,B:B,'Audit Raw data'!E:E,'Day wise agent'!G:G)</f>
        <v>0</v>
      </c>
      <c r="K825">
        <f>COUNTIFS('Audit Raw data'!AM:AM,"NO",'Audit Raw data'!J:J,B:B,'Audit Raw data'!E:E,'Day wise agent'!G:G)</f>
        <v>0</v>
      </c>
      <c r="L825" s="12" t="str">
        <f t="shared" si="25"/>
        <v xml:space="preserve"> </v>
      </c>
    </row>
    <row r="826" spans="1:12" x14ac:dyDescent="0.35">
      <c r="A826" t="str">
        <f t="shared" si="24"/>
        <v>VPS21445938</v>
      </c>
      <c r="B826" t="s">
        <v>480</v>
      </c>
      <c r="C826" t="s">
        <v>1547</v>
      </c>
      <c r="D826" s="32">
        <v>45855</v>
      </c>
      <c r="E826" t="s">
        <v>107</v>
      </c>
      <c r="F826" t="str">
        <f>VLOOKUP(B826,'Agent wise'!A:E,5,0)</f>
        <v>Wireless</v>
      </c>
      <c r="G826" s="32">
        <v>45938</v>
      </c>
      <c r="H826">
        <f>COUNTIFS('Audit Raw data'!J:J,B:B,'Audit Raw data'!E:E,G:G)</f>
        <v>0</v>
      </c>
      <c r="I826" s="44" t="str">
        <f>IFERROR((SUMIFS('Audit Raw data'!BZ:BZ,'Audit Raw data'!J:J,B:B,'Audit Raw data'!E:E,G:G)/H826)/100,"-")</f>
        <v>-</v>
      </c>
      <c r="J826">
        <f>COUNTIFS('Audit Raw data'!AM:AM,"Yes",'Audit Raw data'!J:J,B:B,'Audit Raw data'!E:E,'Day wise agent'!G:G)</f>
        <v>0</v>
      </c>
      <c r="K826">
        <f>COUNTIFS('Audit Raw data'!AM:AM,"NO",'Audit Raw data'!J:J,B:B,'Audit Raw data'!E:E,'Day wise agent'!G:G)</f>
        <v>0</v>
      </c>
      <c r="L826" s="12" t="str">
        <f t="shared" si="25"/>
        <v xml:space="preserve"> </v>
      </c>
    </row>
    <row r="827" spans="1:12" x14ac:dyDescent="0.35">
      <c r="A827" t="str">
        <f t="shared" si="24"/>
        <v>VPS21545938</v>
      </c>
      <c r="B827" t="s">
        <v>521</v>
      </c>
      <c r="C827" t="s">
        <v>1548</v>
      </c>
      <c r="D827" s="32">
        <v>45865</v>
      </c>
      <c r="E827" t="s">
        <v>178</v>
      </c>
      <c r="F827" t="str">
        <f>VLOOKUP(B827,'Agent wise'!A:E,5,0)</f>
        <v>Wireless</v>
      </c>
      <c r="G827" s="32">
        <v>45938</v>
      </c>
      <c r="H827">
        <f>COUNTIFS('Audit Raw data'!J:J,B:B,'Audit Raw data'!E:E,G:G)</f>
        <v>0</v>
      </c>
      <c r="I827" s="44" t="str">
        <f>IFERROR((SUMIFS('Audit Raw data'!BZ:BZ,'Audit Raw data'!J:J,B:B,'Audit Raw data'!E:E,G:G)/H827)/100,"-")</f>
        <v>-</v>
      </c>
      <c r="J827">
        <f>COUNTIFS('Audit Raw data'!AM:AM,"Yes",'Audit Raw data'!J:J,B:B,'Audit Raw data'!E:E,'Day wise agent'!G:G)</f>
        <v>0</v>
      </c>
      <c r="K827">
        <f>COUNTIFS('Audit Raw data'!AM:AM,"NO",'Audit Raw data'!J:J,B:B,'Audit Raw data'!E:E,'Day wise agent'!G:G)</f>
        <v>0</v>
      </c>
      <c r="L827" s="12" t="str">
        <f t="shared" si="25"/>
        <v xml:space="preserve"> </v>
      </c>
    </row>
    <row r="828" spans="1:12" x14ac:dyDescent="0.35">
      <c r="A828" t="str">
        <f t="shared" si="24"/>
        <v>VPS21645938</v>
      </c>
      <c r="B828" t="s">
        <v>154</v>
      </c>
      <c r="C828" t="s">
        <v>1549</v>
      </c>
      <c r="D828" s="32">
        <v>45865</v>
      </c>
      <c r="E828" t="s">
        <v>107</v>
      </c>
      <c r="F828" t="str">
        <f>VLOOKUP(B828,'Agent wise'!A:E,5,0)</f>
        <v>Wireless</v>
      </c>
      <c r="G828" s="32">
        <v>45938</v>
      </c>
      <c r="H828">
        <f>COUNTIFS('Audit Raw data'!J:J,B:B,'Audit Raw data'!E:E,G:G)</f>
        <v>0</v>
      </c>
      <c r="I828" s="44" t="str">
        <f>IFERROR((SUMIFS('Audit Raw data'!BZ:BZ,'Audit Raw data'!J:J,B:B,'Audit Raw data'!E:E,G:G)/H828)/100,"-")</f>
        <v>-</v>
      </c>
      <c r="J828">
        <f>COUNTIFS('Audit Raw data'!AM:AM,"Yes",'Audit Raw data'!J:J,B:B,'Audit Raw data'!E:E,'Day wise agent'!G:G)</f>
        <v>0</v>
      </c>
      <c r="K828">
        <f>COUNTIFS('Audit Raw data'!AM:AM,"NO",'Audit Raw data'!J:J,B:B,'Audit Raw data'!E:E,'Day wise agent'!G:G)</f>
        <v>0</v>
      </c>
      <c r="L828" s="12" t="str">
        <f t="shared" si="25"/>
        <v xml:space="preserve"> </v>
      </c>
    </row>
    <row r="829" spans="1:12" x14ac:dyDescent="0.35">
      <c r="A829" t="str">
        <f t="shared" si="24"/>
        <v>VPS21745938</v>
      </c>
      <c r="B829" t="s">
        <v>519</v>
      </c>
      <c r="C829" t="s">
        <v>1550</v>
      </c>
      <c r="D829" s="32">
        <v>45865</v>
      </c>
      <c r="E829" t="s">
        <v>178</v>
      </c>
      <c r="F829" t="str">
        <f>VLOOKUP(B829,'Agent wise'!A:E,5,0)</f>
        <v>Wireless</v>
      </c>
      <c r="G829" s="32">
        <v>45938</v>
      </c>
      <c r="H829">
        <f>COUNTIFS('Audit Raw data'!J:J,B:B,'Audit Raw data'!E:E,G:G)</f>
        <v>1</v>
      </c>
      <c r="I829" s="44">
        <f>IFERROR((SUMIFS('Audit Raw data'!BZ:BZ,'Audit Raw data'!J:J,B:B,'Audit Raw data'!E:E,G:G)/H829)/100,"-")</f>
        <v>0.8</v>
      </c>
      <c r="J829">
        <f>COUNTIFS('Audit Raw data'!AM:AM,"Yes",'Audit Raw data'!J:J,B:B,'Audit Raw data'!E:E,'Day wise agent'!G:G)</f>
        <v>1</v>
      </c>
      <c r="K829">
        <f>COUNTIFS('Audit Raw data'!AM:AM,"NO",'Audit Raw data'!J:J,B:B,'Audit Raw data'!E:E,'Day wise agent'!G:G)</f>
        <v>0</v>
      </c>
      <c r="L829" s="12">
        <f t="shared" si="25"/>
        <v>1</v>
      </c>
    </row>
    <row r="830" spans="1:12" x14ac:dyDescent="0.35">
      <c r="A830" t="str">
        <f t="shared" si="24"/>
        <v>VPS22845938</v>
      </c>
      <c r="B830" t="s">
        <v>341</v>
      </c>
      <c r="C830" t="s">
        <v>1551</v>
      </c>
      <c r="D830" s="32">
        <v>45881</v>
      </c>
      <c r="E830" t="s">
        <v>178</v>
      </c>
      <c r="F830" t="str">
        <f>VLOOKUP(B830,'Agent wise'!A:E,5,0)</f>
        <v>Wireless</v>
      </c>
      <c r="G830" s="32">
        <v>45938</v>
      </c>
      <c r="H830">
        <f>COUNTIFS('Audit Raw data'!J:J,B:B,'Audit Raw data'!E:E,G:G)</f>
        <v>0</v>
      </c>
      <c r="I830" s="44" t="str">
        <f>IFERROR((SUMIFS('Audit Raw data'!BZ:BZ,'Audit Raw data'!J:J,B:B,'Audit Raw data'!E:E,G:G)/H830)/100,"-")</f>
        <v>-</v>
      </c>
      <c r="J830">
        <f>COUNTIFS('Audit Raw data'!AM:AM,"Yes",'Audit Raw data'!J:J,B:B,'Audit Raw data'!E:E,'Day wise agent'!G:G)</f>
        <v>0</v>
      </c>
      <c r="K830">
        <f>COUNTIFS('Audit Raw data'!AM:AM,"NO",'Audit Raw data'!J:J,B:B,'Audit Raw data'!E:E,'Day wise agent'!G:G)</f>
        <v>0</v>
      </c>
      <c r="L830" s="12" t="str">
        <f t="shared" si="25"/>
        <v xml:space="preserve"> </v>
      </c>
    </row>
    <row r="831" spans="1:12" x14ac:dyDescent="0.35">
      <c r="A831" t="str">
        <f t="shared" si="24"/>
        <v>VPS22945938</v>
      </c>
      <c r="B831" t="s">
        <v>173</v>
      </c>
      <c r="C831" t="s">
        <v>1552</v>
      </c>
      <c r="D831" s="32">
        <v>45880</v>
      </c>
      <c r="E831" t="s">
        <v>107</v>
      </c>
      <c r="F831" t="str">
        <f>VLOOKUP(B831,'Agent wise'!A:E,5,0)</f>
        <v>Wireless</v>
      </c>
      <c r="G831" s="32">
        <v>45938</v>
      </c>
      <c r="H831">
        <f>COUNTIFS('Audit Raw data'!J:J,B:B,'Audit Raw data'!E:E,G:G)</f>
        <v>0</v>
      </c>
      <c r="I831" s="44" t="str">
        <f>IFERROR((SUMIFS('Audit Raw data'!BZ:BZ,'Audit Raw data'!J:J,B:B,'Audit Raw data'!E:E,G:G)/H831)/100,"-")</f>
        <v>-</v>
      </c>
      <c r="J831">
        <f>COUNTIFS('Audit Raw data'!AM:AM,"Yes",'Audit Raw data'!J:J,B:B,'Audit Raw data'!E:E,'Day wise agent'!G:G)</f>
        <v>0</v>
      </c>
      <c r="K831">
        <f>COUNTIFS('Audit Raw data'!AM:AM,"NO",'Audit Raw data'!J:J,B:B,'Audit Raw data'!E:E,'Day wise agent'!G:G)</f>
        <v>0</v>
      </c>
      <c r="L831" s="12" t="str">
        <f t="shared" si="25"/>
        <v xml:space="preserve"> </v>
      </c>
    </row>
    <row r="832" spans="1:12" x14ac:dyDescent="0.35">
      <c r="A832" t="str">
        <f t="shared" si="24"/>
        <v>VPS23045938</v>
      </c>
      <c r="B832" t="s">
        <v>335</v>
      </c>
      <c r="C832" t="s">
        <v>1553</v>
      </c>
      <c r="D832" s="32">
        <v>45880</v>
      </c>
      <c r="E832" t="s">
        <v>1484</v>
      </c>
      <c r="F832" t="str">
        <f>VLOOKUP(B832,'Agent wise'!A:E,5,0)</f>
        <v>Wireless</v>
      </c>
      <c r="G832" s="32">
        <v>45938</v>
      </c>
      <c r="H832">
        <f>COUNTIFS('Audit Raw data'!J:J,B:B,'Audit Raw data'!E:E,G:G)</f>
        <v>0</v>
      </c>
      <c r="I832" s="44" t="str">
        <f>IFERROR((SUMIFS('Audit Raw data'!BZ:BZ,'Audit Raw data'!J:J,B:B,'Audit Raw data'!E:E,G:G)/H832)/100,"-")</f>
        <v>-</v>
      </c>
      <c r="J832">
        <f>COUNTIFS('Audit Raw data'!AM:AM,"Yes",'Audit Raw data'!J:J,B:B,'Audit Raw data'!E:E,'Day wise agent'!G:G)</f>
        <v>0</v>
      </c>
      <c r="K832">
        <f>COUNTIFS('Audit Raw data'!AM:AM,"NO",'Audit Raw data'!J:J,B:B,'Audit Raw data'!E:E,'Day wise agent'!G:G)</f>
        <v>0</v>
      </c>
      <c r="L832" s="12" t="str">
        <f t="shared" si="25"/>
        <v xml:space="preserve"> </v>
      </c>
    </row>
    <row r="833" spans="1:12" x14ac:dyDescent="0.35">
      <c r="A833" t="str">
        <f t="shared" si="24"/>
        <v>VPS23545938</v>
      </c>
      <c r="B833" t="s">
        <v>317</v>
      </c>
      <c r="C833" t="s">
        <v>1554</v>
      </c>
      <c r="D833" s="32">
        <v>45897</v>
      </c>
      <c r="E833" t="s">
        <v>178</v>
      </c>
      <c r="F833" t="str">
        <f>VLOOKUP(B833,'Agent wise'!A:E,5,0)</f>
        <v>Wireless</v>
      </c>
      <c r="G833" s="32">
        <v>45938</v>
      </c>
      <c r="H833">
        <f>COUNTIFS('Audit Raw data'!J:J,B:B,'Audit Raw data'!E:E,G:G)</f>
        <v>0</v>
      </c>
      <c r="I833" s="44" t="str">
        <f>IFERROR((SUMIFS('Audit Raw data'!BZ:BZ,'Audit Raw data'!J:J,B:B,'Audit Raw data'!E:E,G:G)/H833)/100,"-")</f>
        <v>-</v>
      </c>
      <c r="J833">
        <f>COUNTIFS('Audit Raw data'!AM:AM,"Yes",'Audit Raw data'!J:J,B:B,'Audit Raw data'!E:E,'Day wise agent'!G:G)</f>
        <v>0</v>
      </c>
      <c r="K833">
        <f>COUNTIFS('Audit Raw data'!AM:AM,"NO",'Audit Raw data'!J:J,B:B,'Audit Raw data'!E:E,'Day wise agent'!G:G)</f>
        <v>0</v>
      </c>
      <c r="L833" s="12" t="str">
        <f t="shared" si="25"/>
        <v xml:space="preserve"> </v>
      </c>
    </row>
    <row r="834" spans="1:12" x14ac:dyDescent="0.35">
      <c r="A834" t="str">
        <f t="shared" ref="A834:A897" si="26">B834&amp;G834</f>
        <v>VPS23645938</v>
      </c>
      <c r="B834" t="s">
        <v>370</v>
      </c>
      <c r="C834" t="s">
        <v>1555</v>
      </c>
      <c r="D834" s="32">
        <v>45897</v>
      </c>
      <c r="E834" t="s">
        <v>1453</v>
      </c>
      <c r="F834" t="str">
        <f>VLOOKUP(B834,'Agent wise'!A:E,5,0)</f>
        <v>Wireless</v>
      </c>
      <c r="G834" s="32">
        <v>45938</v>
      </c>
      <c r="H834">
        <f>COUNTIFS('Audit Raw data'!J:J,B:B,'Audit Raw data'!E:E,G:G)</f>
        <v>1</v>
      </c>
      <c r="I834" s="44">
        <f>IFERROR((SUMIFS('Audit Raw data'!BZ:BZ,'Audit Raw data'!J:J,B:B,'Audit Raw data'!E:E,G:G)/H834)/100,"-")</f>
        <v>0.86</v>
      </c>
      <c r="J834">
        <f>COUNTIFS('Audit Raw data'!AM:AM,"Yes",'Audit Raw data'!J:J,B:B,'Audit Raw data'!E:E,'Day wise agent'!G:G)</f>
        <v>1</v>
      </c>
      <c r="K834">
        <f>COUNTIFS('Audit Raw data'!AM:AM,"NO",'Audit Raw data'!J:J,B:B,'Audit Raw data'!E:E,'Day wise agent'!G:G)</f>
        <v>0</v>
      </c>
      <c r="L834" s="12">
        <f t="shared" ref="L834:L897" si="27">IFERROR(J834/H834," ")</f>
        <v>1</v>
      </c>
    </row>
    <row r="835" spans="1:12" x14ac:dyDescent="0.35">
      <c r="A835" t="str">
        <f t="shared" si="26"/>
        <v>VPS23745938</v>
      </c>
      <c r="B835" t="s">
        <v>159</v>
      </c>
      <c r="C835" t="s">
        <v>1556</v>
      </c>
      <c r="D835" s="32">
        <v>45897</v>
      </c>
      <c r="E835" t="s">
        <v>107</v>
      </c>
      <c r="F835" t="str">
        <f>VLOOKUP(B835,'Agent wise'!A:E,5,0)</f>
        <v>Wireless</v>
      </c>
      <c r="G835" s="32">
        <v>45938</v>
      </c>
      <c r="H835">
        <f>COUNTIFS('Audit Raw data'!J:J,B:B,'Audit Raw data'!E:E,G:G)</f>
        <v>0</v>
      </c>
      <c r="I835" s="44" t="str">
        <f>IFERROR((SUMIFS('Audit Raw data'!BZ:BZ,'Audit Raw data'!J:J,B:B,'Audit Raw data'!E:E,G:G)/H835)/100,"-")</f>
        <v>-</v>
      </c>
      <c r="J835">
        <f>COUNTIFS('Audit Raw data'!AM:AM,"Yes",'Audit Raw data'!J:J,B:B,'Audit Raw data'!E:E,'Day wise agent'!G:G)</f>
        <v>0</v>
      </c>
      <c r="K835">
        <f>COUNTIFS('Audit Raw data'!AM:AM,"NO",'Audit Raw data'!J:J,B:B,'Audit Raw data'!E:E,'Day wise agent'!G:G)</f>
        <v>0</v>
      </c>
      <c r="L835" s="12" t="str">
        <f t="shared" si="27"/>
        <v xml:space="preserve"> </v>
      </c>
    </row>
    <row r="836" spans="1:12" x14ac:dyDescent="0.35">
      <c r="A836" t="str">
        <f t="shared" si="26"/>
        <v>VPS23945938</v>
      </c>
      <c r="B836" t="s">
        <v>484</v>
      </c>
      <c r="C836" t="s">
        <v>1468</v>
      </c>
      <c r="D836" s="32">
        <v>44942</v>
      </c>
      <c r="E836" t="s">
        <v>178</v>
      </c>
      <c r="F836" t="str">
        <f>VLOOKUP(B836,'Agent wise'!A:E,5,0)</f>
        <v>Wireless</v>
      </c>
      <c r="G836" s="32">
        <v>45938</v>
      </c>
      <c r="H836">
        <f>COUNTIFS('Audit Raw data'!J:J,B:B,'Audit Raw data'!E:E,G:G)</f>
        <v>0</v>
      </c>
      <c r="I836" s="44" t="str">
        <f>IFERROR((SUMIFS('Audit Raw data'!BZ:BZ,'Audit Raw data'!J:J,B:B,'Audit Raw data'!E:E,G:G)/H836)/100,"-")</f>
        <v>-</v>
      </c>
      <c r="J836">
        <f>COUNTIFS('Audit Raw data'!AM:AM,"Yes",'Audit Raw data'!J:J,B:B,'Audit Raw data'!E:E,'Day wise agent'!G:G)</f>
        <v>0</v>
      </c>
      <c r="K836">
        <f>COUNTIFS('Audit Raw data'!AM:AM,"NO",'Audit Raw data'!J:J,B:B,'Audit Raw data'!E:E,'Day wise agent'!G:G)</f>
        <v>0</v>
      </c>
      <c r="L836" s="12" t="str">
        <f t="shared" si="27"/>
        <v xml:space="preserve"> </v>
      </c>
    </row>
    <row r="837" spans="1:12" x14ac:dyDescent="0.35">
      <c r="A837" t="str">
        <f t="shared" si="26"/>
        <v>VPS24045938</v>
      </c>
      <c r="B837" t="s">
        <v>291</v>
      </c>
      <c r="C837" t="s">
        <v>1557</v>
      </c>
      <c r="D837" s="32">
        <v>45907</v>
      </c>
      <c r="E837" t="s">
        <v>1484</v>
      </c>
      <c r="F837" t="str">
        <f>VLOOKUP(B837,'Agent wise'!A:E,5,0)</f>
        <v>Wireless</v>
      </c>
      <c r="G837" s="32">
        <v>45938</v>
      </c>
      <c r="H837">
        <f>COUNTIFS('Audit Raw data'!J:J,B:B,'Audit Raw data'!E:E,G:G)</f>
        <v>0</v>
      </c>
      <c r="I837" s="44" t="str">
        <f>IFERROR((SUMIFS('Audit Raw data'!BZ:BZ,'Audit Raw data'!J:J,B:B,'Audit Raw data'!E:E,G:G)/H837)/100,"-")</f>
        <v>-</v>
      </c>
      <c r="J837">
        <f>COUNTIFS('Audit Raw data'!AM:AM,"Yes",'Audit Raw data'!J:J,B:B,'Audit Raw data'!E:E,'Day wise agent'!G:G)</f>
        <v>0</v>
      </c>
      <c r="K837">
        <f>COUNTIFS('Audit Raw data'!AM:AM,"NO",'Audit Raw data'!J:J,B:B,'Audit Raw data'!E:E,'Day wise agent'!G:G)</f>
        <v>0</v>
      </c>
      <c r="L837" s="12" t="str">
        <f t="shared" si="27"/>
        <v xml:space="preserve"> </v>
      </c>
    </row>
    <row r="838" spans="1:12" x14ac:dyDescent="0.35">
      <c r="A838" t="str">
        <f t="shared" si="26"/>
        <v>VPS24245938</v>
      </c>
      <c r="B838" t="s">
        <v>326</v>
      </c>
      <c r="C838" t="s">
        <v>1510</v>
      </c>
      <c r="D838" s="32">
        <v>45908</v>
      </c>
      <c r="E838" t="s">
        <v>1453</v>
      </c>
      <c r="F838" t="str">
        <f>VLOOKUP(B838,'Agent wise'!A:E,5,0)</f>
        <v>Wireless</v>
      </c>
      <c r="G838" s="32">
        <v>45938</v>
      </c>
      <c r="H838">
        <f>COUNTIFS('Audit Raw data'!J:J,B:B,'Audit Raw data'!E:E,G:G)</f>
        <v>1</v>
      </c>
      <c r="I838" s="44">
        <f>IFERROR((SUMIFS('Audit Raw data'!BZ:BZ,'Audit Raw data'!J:J,B:B,'Audit Raw data'!E:E,G:G)/H838)/100,"-")</f>
        <v>0.86</v>
      </c>
      <c r="J838">
        <f>COUNTIFS('Audit Raw data'!AM:AM,"Yes",'Audit Raw data'!J:J,B:B,'Audit Raw data'!E:E,'Day wise agent'!G:G)</f>
        <v>1</v>
      </c>
      <c r="K838">
        <f>COUNTIFS('Audit Raw data'!AM:AM,"NO",'Audit Raw data'!J:J,B:B,'Audit Raw data'!E:E,'Day wise agent'!G:G)</f>
        <v>0</v>
      </c>
      <c r="L838" s="12">
        <f t="shared" si="27"/>
        <v>1</v>
      </c>
    </row>
    <row r="839" spans="1:12" x14ac:dyDescent="0.35">
      <c r="A839" t="str">
        <f t="shared" si="26"/>
        <v>VPS24345938</v>
      </c>
      <c r="B839" t="s">
        <v>321</v>
      </c>
      <c r="C839" t="s">
        <v>1558</v>
      </c>
      <c r="D839" s="32">
        <v>45907</v>
      </c>
      <c r="E839" t="s">
        <v>1453</v>
      </c>
      <c r="F839" t="str">
        <f>VLOOKUP(B839,'Agent wise'!A:E,5,0)</f>
        <v>Wireless</v>
      </c>
      <c r="G839" s="32">
        <v>45938</v>
      </c>
      <c r="H839">
        <f>COUNTIFS('Audit Raw data'!J:J,B:B,'Audit Raw data'!E:E,G:G)</f>
        <v>0</v>
      </c>
      <c r="I839" s="44" t="str">
        <f>IFERROR((SUMIFS('Audit Raw data'!BZ:BZ,'Audit Raw data'!J:J,B:B,'Audit Raw data'!E:E,G:G)/H839)/100,"-")</f>
        <v>-</v>
      </c>
      <c r="J839">
        <f>COUNTIFS('Audit Raw data'!AM:AM,"Yes",'Audit Raw data'!J:J,B:B,'Audit Raw data'!E:E,'Day wise agent'!G:G)</f>
        <v>0</v>
      </c>
      <c r="K839">
        <f>COUNTIFS('Audit Raw data'!AM:AM,"NO",'Audit Raw data'!J:J,B:B,'Audit Raw data'!E:E,'Day wise agent'!G:G)</f>
        <v>0</v>
      </c>
      <c r="L839" s="12" t="str">
        <f t="shared" si="27"/>
        <v xml:space="preserve"> </v>
      </c>
    </row>
    <row r="840" spans="1:12" x14ac:dyDescent="0.35">
      <c r="A840" t="str">
        <f t="shared" si="26"/>
        <v>VPS24445938</v>
      </c>
      <c r="B840" t="s">
        <v>288</v>
      </c>
      <c r="C840" t="s">
        <v>1559</v>
      </c>
      <c r="D840" s="32">
        <v>45907</v>
      </c>
      <c r="E840" t="s">
        <v>107</v>
      </c>
      <c r="F840" t="str">
        <f>VLOOKUP(B840,'Agent wise'!A:E,5,0)</f>
        <v>Wireless</v>
      </c>
      <c r="G840" s="32">
        <v>45938</v>
      </c>
      <c r="H840">
        <f>COUNTIFS('Audit Raw data'!J:J,B:B,'Audit Raw data'!E:E,G:G)</f>
        <v>0</v>
      </c>
      <c r="I840" s="44" t="str">
        <f>IFERROR((SUMIFS('Audit Raw data'!BZ:BZ,'Audit Raw data'!J:J,B:B,'Audit Raw data'!E:E,G:G)/H840)/100,"-")</f>
        <v>-</v>
      </c>
      <c r="J840">
        <f>COUNTIFS('Audit Raw data'!AM:AM,"Yes",'Audit Raw data'!J:J,B:B,'Audit Raw data'!E:E,'Day wise agent'!G:G)</f>
        <v>0</v>
      </c>
      <c r="K840">
        <f>COUNTIFS('Audit Raw data'!AM:AM,"NO",'Audit Raw data'!J:J,B:B,'Audit Raw data'!E:E,'Day wise agent'!G:G)</f>
        <v>0</v>
      </c>
      <c r="L840" s="12" t="str">
        <f t="shared" si="27"/>
        <v xml:space="preserve"> </v>
      </c>
    </row>
    <row r="841" spans="1:12" x14ac:dyDescent="0.35">
      <c r="A841" t="str">
        <f t="shared" si="26"/>
        <v>VPS24545938</v>
      </c>
      <c r="B841" t="s">
        <v>873</v>
      </c>
      <c r="C841" t="s">
        <v>1560</v>
      </c>
      <c r="D841" s="32">
        <v>45908</v>
      </c>
      <c r="E841" t="s">
        <v>1484</v>
      </c>
      <c r="F841" t="str">
        <f>VLOOKUP(B841,'Agent wise'!A:E,5,0)</f>
        <v>Wireless</v>
      </c>
      <c r="G841" s="32">
        <v>45938</v>
      </c>
      <c r="H841">
        <f>COUNTIFS('Audit Raw data'!J:J,B:B,'Audit Raw data'!E:E,G:G)</f>
        <v>0</v>
      </c>
      <c r="I841" s="44" t="str">
        <f>IFERROR((SUMIFS('Audit Raw data'!BZ:BZ,'Audit Raw data'!J:J,B:B,'Audit Raw data'!E:E,G:G)/H841)/100,"-")</f>
        <v>-</v>
      </c>
      <c r="J841">
        <f>COUNTIFS('Audit Raw data'!AM:AM,"Yes",'Audit Raw data'!J:J,B:B,'Audit Raw data'!E:E,'Day wise agent'!G:G)</f>
        <v>0</v>
      </c>
      <c r="K841">
        <f>COUNTIFS('Audit Raw data'!AM:AM,"NO",'Audit Raw data'!J:J,B:B,'Audit Raw data'!E:E,'Day wise agent'!G:G)</f>
        <v>0</v>
      </c>
      <c r="L841" s="12" t="str">
        <f t="shared" si="27"/>
        <v xml:space="preserve"> </v>
      </c>
    </row>
    <row r="842" spans="1:12" x14ac:dyDescent="0.35">
      <c r="A842" t="str">
        <f t="shared" si="26"/>
        <v>VPS24745938</v>
      </c>
      <c r="B842" t="s">
        <v>238</v>
      </c>
      <c r="C842" t="s">
        <v>1561</v>
      </c>
      <c r="D842" s="32">
        <v>45907</v>
      </c>
      <c r="E842" t="s">
        <v>1484</v>
      </c>
      <c r="F842" t="str">
        <f>VLOOKUP(B842,'Agent wise'!A:E,5,0)</f>
        <v>Wireless</v>
      </c>
      <c r="G842" s="32">
        <v>45938</v>
      </c>
      <c r="H842">
        <f>COUNTIFS('Audit Raw data'!J:J,B:B,'Audit Raw data'!E:E,G:G)</f>
        <v>0</v>
      </c>
      <c r="I842" s="44" t="str">
        <f>IFERROR((SUMIFS('Audit Raw data'!BZ:BZ,'Audit Raw data'!J:J,B:B,'Audit Raw data'!E:E,G:G)/H842)/100,"-")</f>
        <v>-</v>
      </c>
      <c r="J842">
        <f>COUNTIFS('Audit Raw data'!AM:AM,"Yes",'Audit Raw data'!J:J,B:B,'Audit Raw data'!E:E,'Day wise agent'!G:G)</f>
        <v>0</v>
      </c>
      <c r="K842">
        <f>COUNTIFS('Audit Raw data'!AM:AM,"NO",'Audit Raw data'!J:J,B:B,'Audit Raw data'!E:E,'Day wise agent'!G:G)</f>
        <v>0</v>
      </c>
      <c r="L842" s="12" t="str">
        <f t="shared" si="27"/>
        <v xml:space="preserve"> </v>
      </c>
    </row>
    <row r="843" spans="1:12" x14ac:dyDescent="0.35">
      <c r="A843" t="str">
        <f t="shared" si="26"/>
        <v>VPS24845938</v>
      </c>
      <c r="B843" t="s">
        <v>231</v>
      </c>
      <c r="C843" t="s">
        <v>1562</v>
      </c>
      <c r="D843" s="32">
        <v>45908</v>
      </c>
      <c r="E843" t="s">
        <v>107</v>
      </c>
      <c r="F843" t="str">
        <f>VLOOKUP(B843,'Agent wise'!A:E,5,0)</f>
        <v>Wireless</v>
      </c>
      <c r="G843" s="32">
        <v>45938</v>
      </c>
      <c r="H843">
        <f>COUNTIFS('Audit Raw data'!J:J,B:B,'Audit Raw data'!E:E,G:G)</f>
        <v>0</v>
      </c>
      <c r="I843" s="44" t="str">
        <f>IFERROR((SUMIFS('Audit Raw data'!BZ:BZ,'Audit Raw data'!J:J,B:B,'Audit Raw data'!E:E,G:G)/H843)/100,"-")</f>
        <v>-</v>
      </c>
      <c r="J843">
        <f>COUNTIFS('Audit Raw data'!AM:AM,"Yes",'Audit Raw data'!J:J,B:B,'Audit Raw data'!E:E,'Day wise agent'!G:G)</f>
        <v>0</v>
      </c>
      <c r="K843">
        <f>COUNTIFS('Audit Raw data'!AM:AM,"NO",'Audit Raw data'!J:J,B:B,'Audit Raw data'!E:E,'Day wise agent'!G:G)</f>
        <v>0</v>
      </c>
      <c r="L843" s="12" t="str">
        <f t="shared" si="27"/>
        <v xml:space="preserve"> </v>
      </c>
    </row>
    <row r="844" spans="1:12" x14ac:dyDescent="0.35">
      <c r="A844" t="str">
        <f t="shared" si="26"/>
        <v>VPS24945938</v>
      </c>
      <c r="B844" t="s">
        <v>215</v>
      </c>
      <c r="C844" t="s">
        <v>1563</v>
      </c>
      <c r="D844" s="32">
        <v>45907</v>
      </c>
      <c r="E844" t="s">
        <v>178</v>
      </c>
      <c r="F844" t="str">
        <f>VLOOKUP(B844,'Agent wise'!A:E,5,0)</f>
        <v>Wireless</v>
      </c>
      <c r="G844" s="32">
        <v>45938</v>
      </c>
      <c r="H844">
        <f>COUNTIFS('Audit Raw data'!J:J,B:B,'Audit Raw data'!E:E,G:G)</f>
        <v>0</v>
      </c>
      <c r="I844" s="44" t="str">
        <f>IFERROR((SUMIFS('Audit Raw data'!BZ:BZ,'Audit Raw data'!J:J,B:B,'Audit Raw data'!E:E,G:G)/H844)/100,"-")</f>
        <v>-</v>
      </c>
      <c r="J844">
        <f>COUNTIFS('Audit Raw data'!AM:AM,"Yes",'Audit Raw data'!J:J,B:B,'Audit Raw data'!E:E,'Day wise agent'!G:G)</f>
        <v>0</v>
      </c>
      <c r="K844">
        <f>COUNTIFS('Audit Raw data'!AM:AM,"NO",'Audit Raw data'!J:J,B:B,'Audit Raw data'!E:E,'Day wise agent'!G:G)</f>
        <v>0</v>
      </c>
      <c r="L844" s="12" t="str">
        <f t="shared" si="27"/>
        <v xml:space="preserve"> </v>
      </c>
    </row>
    <row r="845" spans="1:12" x14ac:dyDescent="0.35">
      <c r="A845" t="str">
        <f t="shared" si="26"/>
        <v>VPS25145938</v>
      </c>
      <c r="B845" t="s">
        <v>168</v>
      </c>
      <c r="C845" t="s">
        <v>1564</v>
      </c>
      <c r="D845" s="32">
        <v>45907</v>
      </c>
      <c r="E845" t="s">
        <v>107</v>
      </c>
      <c r="F845" t="str">
        <f>VLOOKUP(B845,'Agent wise'!A:E,5,0)</f>
        <v>Wireless</v>
      </c>
      <c r="G845" s="32">
        <v>45938</v>
      </c>
      <c r="H845">
        <f>COUNTIFS('Audit Raw data'!J:J,B:B,'Audit Raw data'!E:E,G:G)</f>
        <v>0</v>
      </c>
      <c r="I845" s="44" t="str">
        <f>IFERROR((SUMIFS('Audit Raw data'!BZ:BZ,'Audit Raw data'!J:J,B:B,'Audit Raw data'!E:E,G:G)/H845)/100,"-")</f>
        <v>-</v>
      </c>
      <c r="J845">
        <f>COUNTIFS('Audit Raw data'!AM:AM,"Yes",'Audit Raw data'!J:J,B:B,'Audit Raw data'!E:E,'Day wise agent'!G:G)</f>
        <v>0</v>
      </c>
      <c r="K845">
        <f>COUNTIFS('Audit Raw data'!AM:AM,"NO",'Audit Raw data'!J:J,B:B,'Audit Raw data'!E:E,'Day wise agent'!G:G)</f>
        <v>0</v>
      </c>
      <c r="L845" s="12" t="str">
        <f t="shared" si="27"/>
        <v xml:space="preserve"> </v>
      </c>
    </row>
    <row r="846" spans="1:12" x14ac:dyDescent="0.35">
      <c r="A846" t="str">
        <f t="shared" si="26"/>
        <v>VPS25245938</v>
      </c>
      <c r="B846" t="s">
        <v>204</v>
      </c>
      <c r="C846" t="s">
        <v>1565</v>
      </c>
      <c r="D846" s="32">
        <v>45919</v>
      </c>
      <c r="E846" t="s">
        <v>1484</v>
      </c>
      <c r="F846" t="str">
        <f>VLOOKUP(B846,'Agent wise'!A:E,5,0)</f>
        <v>Wireless</v>
      </c>
      <c r="G846" s="32">
        <v>45938</v>
      </c>
      <c r="H846">
        <f>COUNTIFS('Audit Raw data'!J:J,B:B,'Audit Raw data'!E:E,G:G)</f>
        <v>0</v>
      </c>
      <c r="I846" s="44" t="str">
        <f>IFERROR((SUMIFS('Audit Raw data'!BZ:BZ,'Audit Raw data'!J:J,B:B,'Audit Raw data'!E:E,G:G)/H846)/100,"-")</f>
        <v>-</v>
      </c>
      <c r="J846">
        <f>COUNTIFS('Audit Raw data'!AM:AM,"Yes",'Audit Raw data'!J:J,B:B,'Audit Raw data'!E:E,'Day wise agent'!G:G)</f>
        <v>0</v>
      </c>
      <c r="K846">
        <f>COUNTIFS('Audit Raw data'!AM:AM,"NO",'Audit Raw data'!J:J,B:B,'Audit Raw data'!E:E,'Day wise agent'!G:G)</f>
        <v>0</v>
      </c>
      <c r="L846" s="12" t="str">
        <f t="shared" si="27"/>
        <v xml:space="preserve"> </v>
      </c>
    </row>
    <row r="847" spans="1:12" x14ac:dyDescent="0.35">
      <c r="A847" t="str">
        <f t="shared" si="26"/>
        <v>VPS25345938</v>
      </c>
      <c r="B847" t="s">
        <v>195</v>
      </c>
      <c r="C847" t="s">
        <v>1566</v>
      </c>
      <c r="D847" s="32">
        <v>45919</v>
      </c>
      <c r="E847" t="s">
        <v>178</v>
      </c>
      <c r="F847" t="str">
        <f>VLOOKUP(B847,'Agent wise'!A:E,5,0)</f>
        <v>Wireless</v>
      </c>
      <c r="G847" s="32">
        <v>45938</v>
      </c>
      <c r="H847">
        <f>COUNTIFS('Audit Raw data'!J:J,B:B,'Audit Raw data'!E:E,G:G)</f>
        <v>0</v>
      </c>
      <c r="I847" s="44" t="str">
        <f>IFERROR((SUMIFS('Audit Raw data'!BZ:BZ,'Audit Raw data'!J:J,B:B,'Audit Raw data'!E:E,G:G)/H847)/100,"-")</f>
        <v>-</v>
      </c>
      <c r="J847">
        <f>COUNTIFS('Audit Raw data'!AM:AM,"Yes",'Audit Raw data'!J:J,B:B,'Audit Raw data'!E:E,'Day wise agent'!G:G)</f>
        <v>0</v>
      </c>
      <c r="K847">
        <f>COUNTIFS('Audit Raw data'!AM:AM,"NO",'Audit Raw data'!J:J,B:B,'Audit Raw data'!E:E,'Day wise agent'!G:G)</f>
        <v>0</v>
      </c>
      <c r="L847" s="12" t="str">
        <f t="shared" si="27"/>
        <v xml:space="preserve"> </v>
      </c>
    </row>
    <row r="848" spans="1:12" x14ac:dyDescent="0.35">
      <c r="A848" t="str">
        <f t="shared" si="26"/>
        <v>VPS25645938</v>
      </c>
      <c r="B848" t="s">
        <v>191</v>
      </c>
      <c r="C848" t="s">
        <v>1567</v>
      </c>
      <c r="D848" s="32">
        <v>45919</v>
      </c>
      <c r="E848" t="s">
        <v>1453</v>
      </c>
      <c r="F848" t="str">
        <f>VLOOKUP(B848,'Agent wise'!A:E,5,0)</f>
        <v>Wireless</v>
      </c>
      <c r="G848" s="32">
        <v>45938</v>
      </c>
      <c r="H848">
        <f>COUNTIFS('Audit Raw data'!J:J,B:B,'Audit Raw data'!E:E,G:G)</f>
        <v>1</v>
      </c>
      <c r="I848" s="44">
        <f>IFERROR((SUMIFS('Audit Raw data'!BZ:BZ,'Audit Raw data'!J:J,B:B,'Audit Raw data'!E:E,G:G)/H848)/100,"-")</f>
        <v>0.84</v>
      </c>
      <c r="J848">
        <f>COUNTIFS('Audit Raw data'!AM:AM,"Yes",'Audit Raw data'!J:J,B:B,'Audit Raw data'!E:E,'Day wise agent'!G:G)</f>
        <v>1</v>
      </c>
      <c r="K848">
        <f>COUNTIFS('Audit Raw data'!AM:AM,"NO",'Audit Raw data'!J:J,B:B,'Audit Raw data'!E:E,'Day wise agent'!G:G)</f>
        <v>0</v>
      </c>
      <c r="L848" s="12">
        <f t="shared" si="27"/>
        <v>1</v>
      </c>
    </row>
    <row r="849" spans="1:12" x14ac:dyDescent="0.35">
      <c r="A849" t="str">
        <f t="shared" si="26"/>
        <v>VPS25745938</v>
      </c>
      <c r="B849" t="s">
        <v>412</v>
      </c>
      <c r="C849" t="s">
        <v>1568</v>
      </c>
      <c r="D849" s="32">
        <v>45919</v>
      </c>
      <c r="E849" t="s">
        <v>1453</v>
      </c>
      <c r="F849" t="str">
        <f>VLOOKUP(B849,'Agent wise'!A:E,5,0)</f>
        <v>Wireless</v>
      </c>
      <c r="G849" s="32">
        <v>45938</v>
      </c>
      <c r="H849">
        <f>COUNTIFS('Audit Raw data'!J:J,B:B,'Audit Raw data'!E:E,G:G)</f>
        <v>0</v>
      </c>
      <c r="I849" s="44" t="str">
        <f>IFERROR((SUMIFS('Audit Raw data'!BZ:BZ,'Audit Raw data'!J:J,B:B,'Audit Raw data'!E:E,G:G)/H849)/100,"-")</f>
        <v>-</v>
      </c>
      <c r="J849">
        <f>COUNTIFS('Audit Raw data'!AM:AM,"Yes",'Audit Raw data'!J:J,B:B,'Audit Raw data'!E:E,'Day wise agent'!G:G)</f>
        <v>0</v>
      </c>
      <c r="K849">
        <f>COUNTIFS('Audit Raw data'!AM:AM,"NO",'Audit Raw data'!J:J,B:B,'Audit Raw data'!E:E,'Day wise agent'!G:G)</f>
        <v>0</v>
      </c>
      <c r="L849" s="12" t="str">
        <f t="shared" si="27"/>
        <v xml:space="preserve"> </v>
      </c>
    </row>
    <row r="850" spans="1:12" x14ac:dyDescent="0.35">
      <c r="A850" t="str">
        <f t="shared" si="26"/>
        <v>VPS25845938</v>
      </c>
      <c r="B850" t="s">
        <v>183</v>
      </c>
      <c r="C850" t="s">
        <v>1569</v>
      </c>
      <c r="D850" s="32">
        <v>45927</v>
      </c>
      <c r="E850" t="s">
        <v>178</v>
      </c>
      <c r="F850" t="str">
        <f>VLOOKUP(B850,'Agent wise'!A:E,5,0)</f>
        <v>Wireless</v>
      </c>
      <c r="G850" s="32">
        <v>45938</v>
      </c>
      <c r="H850">
        <f>COUNTIFS('Audit Raw data'!J:J,B:B,'Audit Raw data'!E:E,G:G)</f>
        <v>0</v>
      </c>
      <c r="I850" s="44" t="str">
        <f>IFERROR((SUMIFS('Audit Raw data'!BZ:BZ,'Audit Raw data'!J:J,B:B,'Audit Raw data'!E:E,G:G)/H850)/100,"-")</f>
        <v>-</v>
      </c>
      <c r="J850">
        <f>COUNTIFS('Audit Raw data'!AM:AM,"Yes",'Audit Raw data'!J:J,B:B,'Audit Raw data'!E:E,'Day wise agent'!G:G)</f>
        <v>0</v>
      </c>
      <c r="K850">
        <f>COUNTIFS('Audit Raw data'!AM:AM,"NO",'Audit Raw data'!J:J,B:B,'Audit Raw data'!E:E,'Day wise agent'!G:G)</f>
        <v>0</v>
      </c>
      <c r="L850" s="12" t="str">
        <f t="shared" si="27"/>
        <v xml:space="preserve"> </v>
      </c>
    </row>
    <row r="851" spans="1:12" x14ac:dyDescent="0.35">
      <c r="A851" t="str">
        <f t="shared" si="26"/>
        <v>VPS25945938</v>
      </c>
      <c r="B851" t="s">
        <v>102</v>
      </c>
      <c r="C851" t="s">
        <v>1570</v>
      </c>
      <c r="D851" s="32">
        <v>45927</v>
      </c>
      <c r="E851" t="s">
        <v>107</v>
      </c>
      <c r="F851" t="str">
        <f>VLOOKUP(B851,'Agent wise'!A:E,5,0)</f>
        <v>Wireless</v>
      </c>
      <c r="G851" s="32">
        <v>45938</v>
      </c>
      <c r="H851">
        <f>COUNTIFS('Audit Raw data'!J:J,B:B,'Audit Raw data'!E:E,G:G)</f>
        <v>0</v>
      </c>
      <c r="I851" s="44" t="str">
        <f>IFERROR((SUMIFS('Audit Raw data'!BZ:BZ,'Audit Raw data'!J:J,B:B,'Audit Raw data'!E:E,G:G)/H851)/100,"-")</f>
        <v>-</v>
      </c>
      <c r="J851">
        <f>COUNTIFS('Audit Raw data'!AM:AM,"Yes",'Audit Raw data'!J:J,B:B,'Audit Raw data'!E:E,'Day wise agent'!G:G)</f>
        <v>0</v>
      </c>
      <c r="K851">
        <f>COUNTIFS('Audit Raw data'!AM:AM,"NO",'Audit Raw data'!J:J,B:B,'Audit Raw data'!E:E,'Day wise agent'!G:G)</f>
        <v>0</v>
      </c>
      <c r="L851" s="12" t="str">
        <f t="shared" si="27"/>
        <v xml:space="preserve"> </v>
      </c>
    </row>
    <row r="852" spans="1:12" x14ac:dyDescent="0.35">
      <c r="A852" t="str">
        <f t="shared" si="26"/>
        <v>VPS26045938</v>
      </c>
      <c r="B852" t="s">
        <v>998</v>
      </c>
      <c r="C852" t="s">
        <v>1571</v>
      </c>
      <c r="D852" s="32">
        <v>45938</v>
      </c>
      <c r="E852" t="s">
        <v>1572</v>
      </c>
      <c r="F852" t="str">
        <f>VLOOKUP(B852,'Agent wise'!A:E,5,0)</f>
        <v>Wireless</v>
      </c>
      <c r="G852" s="32">
        <v>45938</v>
      </c>
      <c r="H852">
        <f>COUNTIFS('Audit Raw data'!J:J,B:B,'Audit Raw data'!E:E,G:G)</f>
        <v>2</v>
      </c>
      <c r="I852" s="44">
        <f>IFERROR((SUMIFS('Audit Raw data'!BZ:BZ,'Audit Raw data'!J:J,B:B,'Audit Raw data'!E:E,G:G)/H852)/100,"-")</f>
        <v>0.87</v>
      </c>
      <c r="J852">
        <f>COUNTIFS('Audit Raw data'!AM:AM,"Yes",'Audit Raw data'!J:J,B:B,'Audit Raw data'!E:E,'Day wise agent'!G:G)</f>
        <v>2</v>
      </c>
      <c r="K852">
        <f>COUNTIFS('Audit Raw data'!AM:AM,"NO",'Audit Raw data'!J:J,B:B,'Audit Raw data'!E:E,'Day wise agent'!G:G)</f>
        <v>0</v>
      </c>
      <c r="L852" s="12">
        <f t="shared" si="27"/>
        <v>1</v>
      </c>
    </row>
    <row r="853" spans="1:12" x14ac:dyDescent="0.35">
      <c r="A853" t="str">
        <f t="shared" si="26"/>
        <v>VPS26145938</v>
      </c>
      <c r="B853" t="s">
        <v>1009</v>
      </c>
      <c r="C853" t="s">
        <v>1573</v>
      </c>
      <c r="D853" s="32">
        <v>45938</v>
      </c>
      <c r="E853" t="s">
        <v>1572</v>
      </c>
      <c r="F853" t="str">
        <f>VLOOKUP(B853,'Agent wise'!A:E,5,0)</f>
        <v>Wireless</v>
      </c>
      <c r="G853" s="32">
        <v>45938</v>
      </c>
      <c r="H853">
        <f>COUNTIFS('Audit Raw data'!J:J,B:B,'Audit Raw data'!E:E,G:G)</f>
        <v>3</v>
      </c>
      <c r="I853" s="44">
        <f>IFERROR((SUMIFS('Audit Raw data'!BZ:BZ,'Audit Raw data'!J:J,B:B,'Audit Raw data'!E:E,G:G)/H853)/100,"-")</f>
        <v>0.89333333333333331</v>
      </c>
      <c r="J853">
        <f>COUNTIFS('Audit Raw data'!AM:AM,"Yes",'Audit Raw data'!J:J,B:B,'Audit Raw data'!E:E,'Day wise agent'!G:G)</f>
        <v>3</v>
      </c>
      <c r="K853">
        <f>COUNTIFS('Audit Raw data'!AM:AM,"NO",'Audit Raw data'!J:J,B:B,'Audit Raw data'!E:E,'Day wise agent'!G:G)</f>
        <v>0</v>
      </c>
      <c r="L853" s="12">
        <f t="shared" si="27"/>
        <v>1</v>
      </c>
    </row>
    <row r="854" spans="1:12" x14ac:dyDescent="0.35">
      <c r="A854" t="str">
        <f t="shared" si="26"/>
        <v>VPS26245938</v>
      </c>
      <c r="B854" t="s">
        <v>1098</v>
      </c>
      <c r="C854" t="s">
        <v>1574</v>
      </c>
      <c r="D854" s="32">
        <v>45938</v>
      </c>
      <c r="E854" t="s">
        <v>1572</v>
      </c>
      <c r="F854" t="str">
        <f>VLOOKUP(B854,'Agent wise'!A:E,5,0)</f>
        <v>Wireless</v>
      </c>
      <c r="G854" s="32">
        <v>45938</v>
      </c>
      <c r="H854">
        <f>COUNTIFS('Audit Raw data'!J:J,B:B,'Audit Raw data'!E:E,G:G)</f>
        <v>2</v>
      </c>
      <c r="I854" s="44">
        <f>IFERROR((SUMIFS('Audit Raw data'!BZ:BZ,'Audit Raw data'!J:J,B:B,'Audit Raw data'!E:E,G:G)/H854)/100,"-")</f>
        <v>0.93</v>
      </c>
      <c r="J854">
        <f>COUNTIFS('Audit Raw data'!AM:AM,"Yes",'Audit Raw data'!J:J,B:B,'Audit Raw data'!E:E,'Day wise agent'!G:G)</f>
        <v>2</v>
      </c>
      <c r="K854">
        <f>COUNTIFS('Audit Raw data'!AM:AM,"NO",'Audit Raw data'!J:J,B:B,'Audit Raw data'!E:E,'Day wise agent'!G:G)</f>
        <v>0</v>
      </c>
      <c r="L854" s="12">
        <f t="shared" si="27"/>
        <v>1</v>
      </c>
    </row>
    <row r="855" spans="1:12" x14ac:dyDescent="0.35">
      <c r="A855" t="str">
        <f t="shared" si="26"/>
        <v>VPS26345938</v>
      </c>
      <c r="B855" t="s">
        <v>1022</v>
      </c>
      <c r="C855" t="s">
        <v>1575</v>
      </c>
      <c r="D855" s="32">
        <v>45938</v>
      </c>
      <c r="E855" t="s">
        <v>1572</v>
      </c>
      <c r="F855" t="str">
        <f>VLOOKUP(B855,'Agent wise'!A:E,5,0)</f>
        <v>Wireless</v>
      </c>
      <c r="G855" s="32">
        <v>45938</v>
      </c>
      <c r="H855">
        <f>COUNTIFS('Audit Raw data'!J:J,B:B,'Audit Raw data'!E:E,G:G)</f>
        <v>2</v>
      </c>
      <c r="I855" s="44">
        <f>IFERROR((SUMIFS('Audit Raw data'!BZ:BZ,'Audit Raw data'!J:J,B:B,'Audit Raw data'!E:E,G:G)/H855)/100,"-")</f>
        <v>0.89</v>
      </c>
      <c r="J855">
        <f>COUNTIFS('Audit Raw data'!AM:AM,"Yes",'Audit Raw data'!J:J,B:B,'Audit Raw data'!E:E,'Day wise agent'!G:G)</f>
        <v>2</v>
      </c>
      <c r="K855">
        <f>COUNTIFS('Audit Raw data'!AM:AM,"NO",'Audit Raw data'!J:J,B:B,'Audit Raw data'!E:E,'Day wise agent'!G:G)</f>
        <v>0</v>
      </c>
      <c r="L855" s="12">
        <f t="shared" si="27"/>
        <v>1</v>
      </c>
    </row>
    <row r="856" spans="1:12" x14ac:dyDescent="0.35">
      <c r="A856" t="str">
        <f t="shared" si="26"/>
        <v>VPS26445938</v>
      </c>
      <c r="B856" t="s">
        <v>1030</v>
      </c>
      <c r="C856" t="s">
        <v>1576</v>
      </c>
      <c r="D856" s="32">
        <v>45938</v>
      </c>
      <c r="E856" t="s">
        <v>1572</v>
      </c>
      <c r="F856" t="str">
        <f>VLOOKUP(B856,'Agent wise'!A:E,5,0)</f>
        <v>Wireless</v>
      </c>
      <c r="G856" s="32">
        <v>45938</v>
      </c>
      <c r="H856">
        <f>COUNTIFS('Audit Raw data'!J:J,B:B,'Audit Raw data'!E:E,G:G)</f>
        <v>2</v>
      </c>
      <c r="I856" s="44">
        <f>IFERROR((SUMIFS('Audit Raw data'!BZ:BZ,'Audit Raw data'!J:J,B:B,'Audit Raw data'!E:E,G:G)/H856)/100,"-")</f>
        <v>0.85</v>
      </c>
      <c r="J856">
        <f>COUNTIFS('Audit Raw data'!AM:AM,"Yes",'Audit Raw data'!J:J,B:B,'Audit Raw data'!E:E,'Day wise agent'!G:G)</f>
        <v>2</v>
      </c>
      <c r="K856">
        <f>COUNTIFS('Audit Raw data'!AM:AM,"NO",'Audit Raw data'!J:J,B:B,'Audit Raw data'!E:E,'Day wise agent'!G:G)</f>
        <v>0</v>
      </c>
      <c r="L856" s="12">
        <f t="shared" si="27"/>
        <v>1</v>
      </c>
    </row>
    <row r="857" spans="1:12" x14ac:dyDescent="0.35">
      <c r="A857" t="str">
        <f t="shared" si="26"/>
        <v>SBM10745939</v>
      </c>
      <c r="B857" t="s">
        <v>313</v>
      </c>
      <c r="C857" t="s">
        <v>1449</v>
      </c>
      <c r="D857" s="32">
        <v>44691</v>
      </c>
      <c r="E857" t="s">
        <v>107</v>
      </c>
      <c r="F857" t="str">
        <f>VLOOKUP(B857,'Agent wise'!A:E,5,0)</f>
        <v>Wire-line</v>
      </c>
      <c r="G857" s="32">
        <v>45939</v>
      </c>
      <c r="H857">
        <f>COUNTIFS('Audit Raw data'!J:J,B:B,'Audit Raw data'!E:E,G:G)</f>
        <v>0</v>
      </c>
      <c r="I857" s="44" t="str">
        <f>IFERROR((SUMIFS('Audit Raw data'!BZ:BZ,'Audit Raw data'!J:J,B:B,'Audit Raw data'!E:E,G:G)/H857)/100,"-")</f>
        <v>-</v>
      </c>
      <c r="J857">
        <f>COUNTIFS('Audit Raw data'!AM:AM,"Yes",'Audit Raw data'!J:J,B:B,'Audit Raw data'!E:E,'Day wise agent'!G:G)</f>
        <v>0</v>
      </c>
      <c r="K857">
        <f>COUNTIFS('Audit Raw data'!AM:AM,"NO",'Audit Raw data'!J:J,B:B,'Audit Raw data'!E:E,'Day wise agent'!G:G)</f>
        <v>0</v>
      </c>
      <c r="L857" s="12" t="str">
        <f t="shared" si="27"/>
        <v xml:space="preserve"> </v>
      </c>
    </row>
    <row r="858" spans="1:12" x14ac:dyDescent="0.35">
      <c r="A858" t="str">
        <f t="shared" si="26"/>
        <v>SBM15045939</v>
      </c>
      <c r="B858" t="s">
        <v>56</v>
      </c>
      <c r="C858" t="s">
        <v>1452</v>
      </c>
      <c r="D858" s="32">
        <v>44707</v>
      </c>
      <c r="E858" t="s">
        <v>1453</v>
      </c>
      <c r="F858" t="str">
        <f>VLOOKUP(B858,'Agent wise'!A:E,5,0)</f>
        <v>Wireless</v>
      </c>
      <c r="G858" s="32">
        <v>45939</v>
      </c>
      <c r="H858">
        <f>COUNTIFS('Audit Raw data'!J:J,B:B,'Audit Raw data'!E:E,G:G)</f>
        <v>0</v>
      </c>
      <c r="I858" s="44" t="str">
        <f>IFERROR((SUMIFS('Audit Raw data'!BZ:BZ,'Audit Raw data'!J:J,B:B,'Audit Raw data'!E:E,G:G)/H858)/100,"-")</f>
        <v>-</v>
      </c>
      <c r="J858">
        <f>COUNTIFS('Audit Raw data'!AM:AM,"Yes",'Audit Raw data'!J:J,B:B,'Audit Raw data'!E:E,'Day wise agent'!G:G)</f>
        <v>0</v>
      </c>
      <c r="K858">
        <f>COUNTIFS('Audit Raw data'!AM:AM,"NO",'Audit Raw data'!J:J,B:B,'Audit Raw data'!E:E,'Day wise agent'!G:G)</f>
        <v>0</v>
      </c>
      <c r="L858" s="12" t="str">
        <f t="shared" si="27"/>
        <v xml:space="preserve"> </v>
      </c>
    </row>
    <row r="859" spans="1:12" x14ac:dyDescent="0.35">
      <c r="A859" t="str">
        <f t="shared" si="26"/>
        <v>SBM15545939</v>
      </c>
      <c r="B859" t="s">
        <v>1454</v>
      </c>
      <c r="C859" t="s">
        <v>1455</v>
      </c>
      <c r="D859" s="32">
        <v>44707</v>
      </c>
      <c r="E859" t="s">
        <v>1456</v>
      </c>
      <c r="F859" t="str">
        <f>VLOOKUP(B859,'Agent wise'!A:E,5,0)</f>
        <v>RECL</v>
      </c>
      <c r="G859" s="32">
        <v>45939</v>
      </c>
      <c r="H859">
        <f>COUNTIFS('Audit Raw data'!J:J,B:B,'Audit Raw data'!E:E,G:G)</f>
        <v>0</v>
      </c>
      <c r="I859" s="44" t="str">
        <f>IFERROR((SUMIFS('Audit Raw data'!BZ:BZ,'Audit Raw data'!J:J,B:B,'Audit Raw data'!E:E,G:G)/H859)/100,"-")</f>
        <v>-</v>
      </c>
      <c r="J859">
        <f>COUNTIFS('Audit Raw data'!AM:AM,"Yes",'Audit Raw data'!J:J,B:B,'Audit Raw data'!E:E,'Day wise agent'!G:G)</f>
        <v>0</v>
      </c>
      <c r="K859">
        <f>COUNTIFS('Audit Raw data'!AM:AM,"NO",'Audit Raw data'!J:J,B:B,'Audit Raw data'!E:E,'Day wise agent'!G:G)</f>
        <v>0</v>
      </c>
      <c r="L859" s="12" t="str">
        <f t="shared" si="27"/>
        <v xml:space="preserve"> </v>
      </c>
    </row>
    <row r="860" spans="1:12" x14ac:dyDescent="0.35">
      <c r="A860" t="str">
        <f t="shared" si="26"/>
        <v>SBM15745939</v>
      </c>
      <c r="B860" t="s">
        <v>67</v>
      </c>
      <c r="C860" t="s">
        <v>1458</v>
      </c>
      <c r="D860" s="32">
        <v>44713</v>
      </c>
      <c r="E860" t="s">
        <v>1453</v>
      </c>
      <c r="F860" t="str">
        <f>VLOOKUP(B860,'Agent wise'!A:E,5,0)</f>
        <v>Wireless</v>
      </c>
      <c r="G860" s="32">
        <v>45939</v>
      </c>
      <c r="H860">
        <f>COUNTIFS('Audit Raw data'!J:J,B:B,'Audit Raw data'!E:E,G:G)</f>
        <v>0</v>
      </c>
      <c r="I860" s="44" t="str">
        <f>IFERROR((SUMIFS('Audit Raw data'!BZ:BZ,'Audit Raw data'!J:J,B:B,'Audit Raw data'!E:E,G:G)/H860)/100,"-")</f>
        <v>-</v>
      </c>
      <c r="J860">
        <f>COUNTIFS('Audit Raw data'!AM:AM,"Yes",'Audit Raw data'!J:J,B:B,'Audit Raw data'!E:E,'Day wise agent'!G:G)</f>
        <v>0</v>
      </c>
      <c r="K860">
        <f>COUNTIFS('Audit Raw data'!AM:AM,"NO",'Audit Raw data'!J:J,B:B,'Audit Raw data'!E:E,'Day wise agent'!G:G)</f>
        <v>0</v>
      </c>
      <c r="L860" s="12" t="str">
        <f t="shared" si="27"/>
        <v xml:space="preserve"> </v>
      </c>
    </row>
    <row r="861" spans="1:12" x14ac:dyDescent="0.35">
      <c r="A861" t="str">
        <f t="shared" si="26"/>
        <v>SBM20245939</v>
      </c>
      <c r="B861" t="s">
        <v>466</v>
      </c>
      <c r="C861" t="s">
        <v>1459</v>
      </c>
      <c r="D861" s="32">
        <v>44721</v>
      </c>
      <c r="E861" t="s">
        <v>178</v>
      </c>
      <c r="F861" t="str">
        <f>VLOOKUP(B861,'Agent wise'!A:E,5,0)</f>
        <v>Wireless</v>
      </c>
      <c r="G861" s="32">
        <v>45939</v>
      </c>
      <c r="H861">
        <f>COUNTIFS('Audit Raw data'!J:J,B:B,'Audit Raw data'!E:E,G:G)</f>
        <v>0</v>
      </c>
      <c r="I861" s="44" t="str">
        <f>IFERROR((SUMIFS('Audit Raw data'!BZ:BZ,'Audit Raw data'!J:J,B:B,'Audit Raw data'!E:E,G:G)/H861)/100,"-")</f>
        <v>-</v>
      </c>
      <c r="J861">
        <f>COUNTIFS('Audit Raw data'!AM:AM,"Yes",'Audit Raw data'!J:J,B:B,'Audit Raw data'!E:E,'Day wise agent'!G:G)</f>
        <v>0</v>
      </c>
      <c r="K861">
        <f>COUNTIFS('Audit Raw data'!AM:AM,"NO",'Audit Raw data'!J:J,B:B,'Audit Raw data'!E:E,'Day wise agent'!G:G)</f>
        <v>0</v>
      </c>
      <c r="L861" s="12" t="str">
        <f t="shared" si="27"/>
        <v xml:space="preserve"> </v>
      </c>
    </row>
    <row r="862" spans="1:12" x14ac:dyDescent="0.35">
      <c r="A862" t="str">
        <f t="shared" si="26"/>
        <v>SBM26445939</v>
      </c>
      <c r="B862" t="s">
        <v>575</v>
      </c>
      <c r="C862" t="s">
        <v>1461</v>
      </c>
      <c r="D862" s="32">
        <v>44739</v>
      </c>
      <c r="E862" t="s">
        <v>107</v>
      </c>
      <c r="F862" t="str">
        <f>VLOOKUP(B862,'Agent wise'!A:E,5,0)</f>
        <v>Wireless</v>
      </c>
      <c r="G862" s="32">
        <v>45939</v>
      </c>
      <c r="H862">
        <f>COUNTIFS('Audit Raw data'!J:J,B:B,'Audit Raw data'!E:E,G:G)</f>
        <v>1</v>
      </c>
      <c r="I862" s="44">
        <f>IFERROR((SUMIFS('Audit Raw data'!BZ:BZ,'Audit Raw data'!J:J,B:B,'Audit Raw data'!E:E,G:G)/H862)/100,"-")</f>
        <v>0.96</v>
      </c>
      <c r="J862">
        <f>COUNTIFS('Audit Raw data'!AM:AM,"Yes",'Audit Raw data'!J:J,B:B,'Audit Raw data'!E:E,'Day wise agent'!G:G)</f>
        <v>1</v>
      </c>
      <c r="K862">
        <f>COUNTIFS('Audit Raw data'!AM:AM,"NO",'Audit Raw data'!J:J,B:B,'Audit Raw data'!E:E,'Day wise agent'!G:G)</f>
        <v>0</v>
      </c>
      <c r="L862" s="12">
        <f t="shared" si="27"/>
        <v>1</v>
      </c>
    </row>
    <row r="863" spans="1:12" x14ac:dyDescent="0.35">
      <c r="A863" t="str">
        <f t="shared" si="26"/>
        <v>SBM26745939</v>
      </c>
      <c r="B863" t="s">
        <v>91</v>
      </c>
      <c r="C863" t="s">
        <v>1462</v>
      </c>
      <c r="D863" s="32">
        <v>44768</v>
      </c>
      <c r="E863" t="s">
        <v>1453</v>
      </c>
      <c r="F863" t="str">
        <f>VLOOKUP(B863,'Agent wise'!A:E,5,0)</f>
        <v>Wireless</v>
      </c>
      <c r="G863" s="32">
        <v>45939</v>
      </c>
      <c r="H863">
        <f>COUNTIFS('Audit Raw data'!J:J,B:B,'Audit Raw data'!E:E,G:G)</f>
        <v>0</v>
      </c>
      <c r="I863" s="44" t="str">
        <f>IFERROR((SUMIFS('Audit Raw data'!BZ:BZ,'Audit Raw data'!J:J,B:B,'Audit Raw data'!E:E,G:G)/H863)/100,"-")</f>
        <v>-</v>
      </c>
      <c r="J863">
        <f>COUNTIFS('Audit Raw data'!AM:AM,"Yes",'Audit Raw data'!J:J,B:B,'Audit Raw data'!E:E,'Day wise agent'!G:G)</f>
        <v>0</v>
      </c>
      <c r="K863">
        <f>COUNTIFS('Audit Raw data'!AM:AM,"NO",'Audit Raw data'!J:J,B:B,'Audit Raw data'!E:E,'Day wise agent'!G:G)</f>
        <v>0</v>
      </c>
      <c r="L863" s="12" t="str">
        <f t="shared" si="27"/>
        <v xml:space="preserve"> </v>
      </c>
    </row>
    <row r="864" spans="1:12" x14ac:dyDescent="0.35">
      <c r="A864" t="str">
        <f t="shared" si="26"/>
        <v>SBM31445939</v>
      </c>
      <c r="B864" t="s">
        <v>132</v>
      </c>
      <c r="C864" t="s">
        <v>1463</v>
      </c>
      <c r="D864" s="32">
        <v>44784</v>
      </c>
      <c r="E864" t="s">
        <v>107</v>
      </c>
      <c r="F864" t="str">
        <f>VLOOKUP(B864,'Agent wise'!A:E,5,0)</f>
        <v>Wireless</v>
      </c>
      <c r="G864" s="32">
        <v>45939</v>
      </c>
      <c r="H864">
        <f>COUNTIFS('Audit Raw data'!J:J,B:B,'Audit Raw data'!E:E,G:G)</f>
        <v>0</v>
      </c>
      <c r="I864" s="44" t="str">
        <f>IFERROR((SUMIFS('Audit Raw data'!BZ:BZ,'Audit Raw data'!J:J,B:B,'Audit Raw data'!E:E,G:G)/H864)/100,"-")</f>
        <v>-</v>
      </c>
      <c r="J864">
        <f>COUNTIFS('Audit Raw data'!AM:AM,"Yes",'Audit Raw data'!J:J,B:B,'Audit Raw data'!E:E,'Day wise agent'!G:G)</f>
        <v>0</v>
      </c>
      <c r="K864">
        <f>COUNTIFS('Audit Raw data'!AM:AM,"NO",'Audit Raw data'!J:J,B:B,'Audit Raw data'!E:E,'Day wise agent'!G:G)</f>
        <v>0</v>
      </c>
      <c r="L864" s="12" t="str">
        <f t="shared" si="27"/>
        <v xml:space="preserve"> </v>
      </c>
    </row>
    <row r="865" spans="1:12" x14ac:dyDescent="0.35">
      <c r="A865" t="str">
        <f t="shared" si="26"/>
        <v>SBM36345939</v>
      </c>
      <c r="B865" t="s">
        <v>70</v>
      </c>
      <c r="C865" t="s">
        <v>1464</v>
      </c>
      <c r="D865" s="32">
        <v>44786</v>
      </c>
      <c r="E865" t="s">
        <v>1453</v>
      </c>
      <c r="F865" t="str">
        <f>VLOOKUP(B865,'Agent wise'!A:E,5,0)</f>
        <v>Wireless</v>
      </c>
      <c r="G865" s="32">
        <v>45939</v>
      </c>
      <c r="H865">
        <f>COUNTIFS('Audit Raw data'!J:J,B:B,'Audit Raw data'!E:E,G:G)</f>
        <v>0</v>
      </c>
      <c r="I865" s="44" t="str">
        <f>IFERROR((SUMIFS('Audit Raw data'!BZ:BZ,'Audit Raw data'!J:J,B:B,'Audit Raw data'!E:E,G:G)/H865)/100,"-")</f>
        <v>-</v>
      </c>
      <c r="J865">
        <f>COUNTIFS('Audit Raw data'!AM:AM,"Yes",'Audit Raw data'!J:J,B:B,'Audit Raw data'!E:E,'Day wise agent'!G:G)</f>
        <v>0</v>
      </c>
      <c r="K865">
        <f>COUNTIFS('Audit Raw data'!AM:AM,"NO",'Audit Raw data'!J:J,B:B,'Audit Raw data'!E:E,'Day wise agent'!G:G)</f>
        <v>0</v>
      </c>
      <c r="L865" s="12" t="str">
        <f t="shared" si="27"/>
        <v xml:space="preserve"> </v>
      </c>
    </row>
    <row r="866" spans="1:12" x14ac:dyDescent="0.35">
      <c r="A866" t="str">
        <f t="shared" si="26"/>
        <v>SBM37345939</v>
      </c>
      <c r="B866" t="s">
        <v>75</v>
      </c>
      <c r="C866" t="s">
        <v>1465</v>
      </c>
      <c r="D866" s="32">
        <v>44786</v>
      </c>
      <c r="E866" t="s">
        <v>1453</v>
      </c>
      <c r="F866" t="str">
        <f>VLOOKUP(B866,'Agent wise'!A:E,5,0)</f>
        <v>Wireless</v>
      </c>
      <c r="G866" s="32">
        <v>45939</v>
      </c>
      <c r="H866">
        <f>COUNTIFS('Audit Raw data'!J:J,B:B,'Audit Raw data'!E:E,G:G)</f>
        <v>1</v>
      </c>
      <c r="I866" s="44">
        <f>IFERROR((SUMIFS('Audit Raw data'!BZ:BZ,'Audit Raw data'!J:J,B:B,'Audit Raw data'!E:E,G:G)/H866)/100,"-")</f>
        <v>0.92</v>
      </c>
      <c r="J866">
        <f>COUNTIFS('Audit Raw data'!AM:AM,"Yes",'Audit Raw data'!J:J,B:B,'Audit Raw data'!E:E,'Day wise agent'!G:G)</f>
        <v>1</v>
      </c>
      <c r="K866">
        <f>COUNTIFS('Audit Raw data'!AM:AM,"NO",'Audit Raw data'!J:J,B:B,'Audit Raw data'!E:E,'Day wise agent'!G:G)</f>
        <v>0</v>
      </c>
      <c r="L866" s="12">
        <f t="shared" si="27"/>
        <v>1</v>
      </c>
    </row>
    <row r="867" spans="1:12" x14ac:dyDescent="0.35">
      <c r="A867" t="str">
        <f t="shared" si="26"/>
        <v>SBM42245939</v>
      </c>
      <c r="B867" t="s">
        <v>636</v>
      </c>
      <c r="C867" t="s">
        <v>1466</v>
      </c>
      <c r="D867" s="32">
        <v>44882</v>
      </c>
      <c r="E867" t="s">
        <v>107</v>
      </c>
      <c r="F867" t="str">
        <f>VLOOKUP(B867,'Agent wise'!A:E,5,0)</f>
        <v>Wireless</v>
      </c>
      <c r="G867" s="32">
        <v>45939</v>
      </c>
      <c r="H867">
        <f>COUNTIFS('Audit Raw data'!J:J,B:B,'Audit Raw data'!E:E,G:G)</f>
        <v>1</v>
      </c>
      <c r="I867" s="44">
        <f>IFERROR((SUMIFS('Audit Raw data'!BZ:BZ,'Audit Raw data'!J:J,B:B,'Audit Raw data'!E:E,G:G)/H867)/100,"-")</f>
        <v>0.86</v>
      </c>
      <c r="J867">
        <f>COUNTIFS('Audit Raw data'!AM:AM,"Yes",'Audit Raw data'!J:J,B:B,'Audit Raw data'!E:E,'Day wise agent'!G:G)</f>
        <v>1</v>
      </c>
      <c r="K867">
        <f>COUNTIFS('Audit Raw data'!AM:AM,"NO",'Audit Raw data'!J:J,B:B,'Audit Raw data'!E:E,'Day wise agent'!G:G)</f>
        <v>0</v>
      </c>
      <c r="L867" s="12">
        <f t="shared" si="27"/>
        <v>1</v>
      </c>
    </row>
    <row r="868" spans="1:12" x14ac:dyDescent="0.35">
      <c r="A868" t="str">
        <f t="shared" si="26"/>
        <v>SBM47945939</v>
      </c>
      <c r="B868" t="s">
        <v>1474</v>
      </c>
      <c r="C868" t="s">
        <v>1475</v>
      </c>
      <c r="D868" s="32">
        <v>44932</v>
      </c>
      <c r="E868" t="s">
        <v>1456</v>
      </c>
      <c r="F868" t="str">
        <f>VLOOKUP(B868,'Agent wise'!A:E,5,0)</f>
        <v>RECL</v>
      </c>
      <c r="G868" s="32">
        <v>45939</v>
      </c>
      <c r="H868">
        <f>COUNTIFS('Audit Raw data'!J:J,B:B,'Audit Raw data'!E:E,G:G)</f>
        <v>0</v>
      </c>
      <c r="I868" s="44" t="str">
        <f>IFERROR((SUMIFS('Audit Raw data'!BZ:BZ,'Audit Raw data'!J:J,B:B,'Audit Raw data'!E:E,G:G)/H868)/100,"-")</f>
        <v>-</v>
      </c>
      <c r="J868">
        <f>COUNTIFS('Audit Raw data'!AM:AM,"Yes",'Audit Raw data'!J:J,B:B,'Audit Raw data'!E:E,'Day wise agent'!G:G)</f>
        <v>0</v>
      </c>
      <c r="K868">
        <f>COUNTIFS('Audit Raw data'!AM:AM,"NO",'Audit Raw data'!J:J,B:B,'Audit Raw data'!E:E,'Day wise agent'!G:G)</f>
        <v>0</v>
      </c>
      <c r="L868" s="12" t="str">
        <f t="shared" si="27"/>
        <v xml:space="preserve"> </v>
      </c>
    </row>
    <row r="869" spans="1:12" x14ac:dyDescent="0.35">
      <c r="A869" t="str">
        <f t="shared" si="26"/>
        <v>SBM48145939</v>
      </c>
      <c r="B869" t="s">
        <v>638</v>
      </c>
      <c r="C869" t="s">
        <v>1467</v>
      </c>
      <c r="D869" s="32">
        <v>44932</v>
      </c>
      <c r="E869" t="s">
        <v>178</v>
      </c>
      <c r="F869" t="str">
        <f>VLOOKUP(B869,'Agent wise'!A:E,5,0)</f>
        <v>Wireless</v>
      </c>
      <c r="G869" s="32">
        <v>45939</v>
      </c>
      <c r="H869">
        <f>COUNTIFS('Audit Raw data'!J:J,B:B,'Audit Raw data'!E:E,G:G)</f>
        <v>1</v>
      </c>
      <c r="I869" s="44">
        <f>IFERROR((SUMIFS('Audit Raw data'!BZ:BZ,'Audit Raw data'!J:J,B:B,'Audit Raw data'!E:E,G:G)/H869)/100,"-")</f>
        <v>0.92</v>
      </c>
      <c r="J869">
        <f>COUNTIFS('Audit Raw data'!AM:AM,"Yes",'Audit Raw data'!J:J,B:B,'Audit Raw data'!E:E,'Day wise agent'!G:G)</f>
        <v>1</v>
      </c>
      <c r="K869">
        <f>COUNTIFS('Audit Raw data'!AM:AM,"NO",'Audit Raw data'!J:J,B:B,'Audit Raw data'!E:E,'Day wise agent'!G:G)</f>
        <v>0</v>
      </c>
      <c r="L869" s="12">
        <f t="shared" si="27"/>
        <v>1</v>
      </c>
    </row>
    <row r="870" spans="1:12" x14ac:dyDescent="0.35">
      <c r="A870" t="str">
        <f t="shared" si="26"/>
        <v>SBM48545939</v>
      </c>
      <c r="B870" t="s">
        <v>80</v>
      </c>
      <c r="C870" t="s">
        <v>1469</v>
      </c>
      <c r="D870" s="32">
        <v>44961</v>
      </c>
      <c r="E870" t="s">
        <v>1453</v>
      </c>
      <c r="F870" t="str">
        <f>VLOOKUP(B870,'Agent wise'!A:E,5,0)</f>
        <v>Wireless</v>
      </c>
      <c r="G870" s="32">
        <v>45939</v>
      </c>
      <c r="H870">
        <f>COUNTIFS('Audit Raw data'!J:J,B:B,'Audit Raw data'!E:E,G:G)</f>
        <v>1</v>
      </c>
      <c r="I870" s="44">
        <f>IFERROR((SUMIFS('Audit Raw data'!BZ:BZ,'Audit Raw data'!J:J,B:B,'Audit Raw data'!E:E,G:G)/H870)/100,"-")</f>
        <v>0.94</v>
      </c>
      <c r="J870">
        <f>COUNTIFS('Audit Raw data'!AM:AM,"Yes",'Audit Raw data'!J:J,B:B,'Audit Raw data'!E:E,'Day wise agent'!G:G)</f>
        <v>1</v>
      </c>
      <c r="K870">
        <f>COUNTIFS('Audit Raw data'!AM:AM,"NO",'Audit Raw data'!J:J,B:B,'Audit Raw data'!E:E,'Day wise agent'!G:G)</f>
        <v>0</v>
      </c>
      <c r="L870" s="12">
        <f t="shared" si="27"/>
        <v>1</v>
      </c>
    </row>
    <row r="871" spans="1:12" x14ac:dyDescent="0.35">
      <c r="A871" t="str">
        <f t="shared" si="26"/>
        <v>SBM52445939</v>
      </c>
      <c r="B871" t="s">
        <v>490</v>
      </c>
      <c r="C871" t="s">
        <v>1470</v>
      </c>
      <c r="D871" s="32">
        <v>45093</v>
      </c>
      <c r="E871" t="s">
        <v>1453</v>
      </c>
      <c r="F871" t="str">
        <f>VLOOKUP(B871,'Agent wise'!A:E,5,0)</f>
        <v>Wireless</v>
      </c>
      <c r="G871" s="32">
        <v>45939</v>
      </c>
      <c r="H871">
        <f>COUNTIFS('Audit Raw data'!J:J,B:B,'Audit Raw data'!E:E,G:G)</f>
        <v>1</v>
      </c>
      <c r="I871" s="44">
        <f>IFERROR((SUMIFS('Audit Raw data'!BZ:BZ,'Audit Raw data'!J:J,B:B,'Audit Raw data'!E:E,G:G)/H871)/100,"-")</f>
        <v>0.92</v>
      </c>
      <c r="J871">
        <f>COUNTIFS('Audit Raw data'!AM:AM,"Yes",'Audit Raw data'!J:J,B:B,'Audit Raw data'!E:E,'Day wise agent'!G:G)</f>
        <v>1</v>
      </c>
      <c r="K871">
        <f>COUNTIFS('Audit Raw data'!AM:AM,"NO",'Audit Raw data'!J:J,B:B,'Audit Raw data'!E:E,'Day wise agent'!G:G)</f>
        <v>0</v>
      </c>
      <c r="L871" s="12">
        <f t="shared" si="27"/>
        <v>1</v>
      </c>
    </row>
    <row r="872" spans="1:12" x14ac:dyDescent="0.35">
      <c r="A872" t="str">
        <f t="shared" si="26"/>
        <v>SBM55045939</v>
      </c>
      <c r="B872" t="s">
        <v>139</v>
      </c>
      <c r="C872" t="s">
        <v>1471</v>
      </c>
      <c r="D872" s="32">
        <v>45139</v>
      </c>
      <c r="E872" t="s">
        <v>107</v>
      </c>
      <c r="F872" t="str">
        <f>VLOOKUP(B872,'Agent wise'!A:E,5,0)</f>
        <v>Wireless</v>
      </c>
      <c r="G872" s="32">
        <v>45939</v>
      </c>
      <c r="H872">
        <f>COUNTIFS('Audit Raw data'!J:J,B:B,'Audit Raw data'!E:E,G:G)</f>
        <v>0</v>
      </c>
      <c r="I872" s="44" t="str">
        <f>IFERROR((SUMIFS('Audit Raw data'!BZ:BZ,'Audit Raw data'!J:J,B:B,'Audit Raw data'!E:E,G:G)/H872)/100,"-")</f>
        <v>-</v>
      </c>
      <c r="J872">
        <f>COUNTIFS('Audit Raw data'!AM:AM,"Yes",'Audit Raw data'!J:J,B:B,'Audit Raw data'!E:E,'Day wise agent'!G:G)</f>
        <v>0</v>
      </c>
      <c r="K872">
        <f>COUNTIFS('Audit Raw data'!AM:AM,"NO",'Audit Raw data'!J:J,B:B,'Audit Raw data'!E:E,'Day wise agent'!G:G)</f>
        <v>0</v>
      </c>
      <c r="L872" s="12" t="str">
        <f t="shared" si="27"/>
        <v xml:space="preserve"> </v>
      </c>
    </row>
    <row r="873" spans="1:12" x14ac:dyDescent="0.35">
      <c r="A873" t="str">
        <f t="shared" si="26"/>
        <v>SBM55445939</v>
      </c>
      <c r="B873" t="s">
        <v>208</v>
      </c>
      <c r="C873" t="s">
        <v>1472</v>
      </c>
      <c r="D873" s="32">
        <v>45140</v>
      </c>
      <c r="E873" t="s">
        <v>178</v>
      </c>
      <c r="F873" t="str">
        <f>VLOOKUP(B873,'Agent wise'!A:E,5,0)</f>
        <v>Wireless</v>
      </c>
      <c r="G873" s="32">
        <v>45939</v>
      </c>
      <c r="H873">
        <f>COUNTIFS('Audit Raw data'!J:J,B:B,'Audit Raw data'!E:E,G:G)</f>
        <v>3</v>
      </c>
      <c r="I873" s="44">
        <f>IFERROR((SUMIFS('Audit Raw data'!BZ:BZ,'Audit Raw data'!J:J,B:B,'Audit Raw data'!E:E,G:G)/H873)/100,"-")</f>
        <v>0.97333333333333327</v>
      </c>
      <c r="J873">
        <f>COUNTIFS('Audit Raw data'!AM:AM,"Yes",'Audit Raw data'!J:J,B:B,'Audit Raw data'!E:E,'Day wise agent'!G:G)</f>
        <v>3</v>
      </c>
      <c r="K873">
        <f>COUNTIFS('Audit Raw data'!AM:AM,"NO",'Audit Raw data'!J:J,B:B,'Audit Raw data'!E:E,'Day wise agent'!G:G)</f>
        <v>0</v>
      </c>
      <c r="L873" s="12">
        <f t="shared" si="27"/>
        <v>1</v>
      </c>
    </row>
    <row r="874" spans="1:12" x14ac:dyDescent="0.35">
      <c r="A874" t="str">
        <f t="shared" si="26"/>
        <v>SBM58345939</v>
      </c>
      <c r="B874" t="s">
        <v>546</v>
      </c>
      <c r="C874" t="s">
        <v>1473</v>
      </c>
      <c r="D874" s="32">
        <v>45245</v>
      </c>
      <c r="E874" t="s">
        <v>107</v>
      </c>
      <c r="F874" t="str">
        <f>VLOOKUP(B874,'Agent wise'!A:E,5,0)</f>
        <v>Wireless</v>
      </c>
      <c r="G874" s="32">
        <v>45939</v>
      </c>
      <c r="H874">
        <f>COUNTIFS('Audit Raw data'!J:J,B:B,'Audit Raw data'!E:E,G:G)</f>
        <v>1</v>
      </c>
      <c r="I874" s="44">
        <f>IFERROR((SUMIFS('Audit Raw data'!BZ:BZ,'Audit Raw data'!J:J,B:B,'Audit Raw data'!E:E,G:G)/H874)/100,"-")</f>
        <v>0.94</v>
      </c>
      <c r="J874">
        <f>COUNTIFS('Audit Raw data'!AM:AM,"Yes",'Audit Raw data'!J:J,B:B,'Audit Raw data'!E:E,'Day wise agent'!G:G)</f>
        <v>1</v>
      </c>
      <c r="K874">
        <f>COUNTIFS('Audit Raw data'!AM:AM,"NO",'Audit Raw data'!J:J,B:B,'Audit Raw data'!E:E,'Day wise agent'!G:G)</f>
        <v>0</v>
      </c>
      <c r="L874" s="12">
        <f t="shared" si="27"/>
        <v>1</v>
      </c>
    </row>
    <row r="875" spans="1:12" x14ac:dyDescent="0.35">
      <c r="A875" t="str">
        <f t="shared" si="26"/>
        <v>SBM61345939</v>
      </c>
      <c r="B875" t="s">
        <v>391</v>
      </c>
      <c r="C875" t="s">
        <v>1478</v>
      </c>
      <c r="D875" s="32">
        <v>45301</v>
      </c>
      <c r="E875" t="s">
        <v>221</v>
      </c>
      <c r="F875" t="str">
        <f>VLOOKUP(B875,'Agent wise'!A:E,5,0)</f>
        <v>Wire-line</v>
      </c>
      <c r="G875" s="32">
        <v>45939</v>
      </c>
      <c r="H875">
        <f>COUNTIFS('Audit Raw data'!J:J,B:B,'Audit Raw data'!E:E,G:G)</f>
        <v>0</v>
      </c>
      <c r="I875" s="44" t="str">
        <f>IFERROR((SUMIFS('Audit Raw data'!BZ:BZ,'Audit Raw data'!J:J,B:B,'Audit Raw data'!E:E,G:G)/H875)/100,"-")</f>
        <v>-</v>
      </c>
      <c r="J875">
        <f>COUNTIFS('Audit Raw data'!AM:AM,"Yes",'Audit Raw data'!J:J,B:B,'Audit Raw data'!E:E,'Day wise agent'!G:G)</f>
        <v>0</v>
      </c>
      <c r="K875">
        <f>COUNTIFS('Audit Raw data'!AM:AM,"NO",'Audit Raw data'!J:J,B:B,'Audit Raw data'!E:E,'Day wise agent'!G:G)</f>
        <v>0</v>
      </c>
      <c r="L875" s="12" t="str">
        <f t="shared" si="27"/>
        <v xml:space="preserve"> </v>
      </c>
    </row>
    <row r="876" spans="1:12" x14ac:dyDescent="0.35">
      <c r="A876" t="str">
        <f t="shared" si="26"/>
        <v>SBM61845939</v>
      </c>
      <c r="B876" t="s">
        <v>242</v>
      </c>
      <c r="C876" t="s">
        <v>1477</v>
      </c>
      <c r="D876" s="32">
        <v>45292</v>
      </c>
      <c r="E876" t="s">
        <v>221</v>
      </c>
      <c r="F876" t="str">
        <f>VLOOKUP(B876,'Agent wise'!A:E,5,0)</f>
        <v>Wire-line</v>
      </c>
      <c r="G876" s="32">
        <v>45939</v>
      </c>
      <c r="H876">
        <f>COUNTIFS('Audit Raw data'!J:J,B:B,'Audit Raw data'!E:E,G:G)</f>
        <v>0</v>
      </c>
      <c r="I876" s="44" t="str">
        <f>IFERROR((SUMIFS('Audit Raw data'!BZ:BZ,'Audit Raw data'!J:J,B:B,'Audit Raw data'!E:E,G:G)/H876)/100,"-")</f>
        <v>-</v>
      </c>
      <c r="J876">
        <f>COUNTIFS('Audit Raw data'!AM:AM,"Yes",'Audit Raw data'!J:J,B:B,'Audit Raw data'!E:E,'Day wise agent'!G:G)</f>
        <v>0</v>
      </c>
      <c r="K876">
        <f>COUNTIFS('Audit Raw data'!AM:AM,"NO",'Audit Raw data'!J:J,B:B,'Audit Raw data'!E:E,'Day wise agent'!G:G)</f>
        <v>0</v>
      </c>
      <c r="L876" s="12" t="str">
        <f t="shared" si="27"/>
        <v xml:space="preserve"> </v>
      </c>
    </row>
    <row r="877" spans="1:12" x14ac:dyDescent="0.35">
      <c r="A877" t="str">
        <f t="shared" si="26"/>
        <v>SBM62545939</v>
      </c>
      <c r="B877" t="s">
        <v>472</v>
      </c>
      <c r="C877" t="s">
        <v>1476</v>
      </c>
      <c r="D877" s="32">
        <v>45329</v>
      </c>
      <c r="E877" t="s">
        <v>1453</v>
      </c>
      <c r="F877" t="str">
        <f>VLOOKUP(B877,'Agent wise'!A:E,5,0)</f>
        <v>Wireless</v>
      </c>
      <c r="G877" s="32">
        <v>45939</v>
      </c>
      <c r="H877">
        <f>COUNTIFS('Audit Raw data'!J:J,B:B,'Audit Raw data'!E:E,G:G)</f>
        <v>2</v>
      </c>
      <c r="I877" s="44">
        <f>IFERROR((SUMIFS('Audit Raw data'!BZ:BZ,'Audit Raw data'!J:J,B:B,'Audit Raw data'!E:E,G:G)/H877)/100,"-")</f>
        <v>0.99</v>
      </c>
      <c r="J877">
        <f>COUNTIFS('Audit Raw data'!AM:AM,"Yes",'Audit Raw data'!J:J,B:B,'Audit Raw data'!E:E,'Day wise agent'!G:G)</f>
        <v>2</v>
      </c>
      <c r="K877">
        <f>COUNTIFS('Audit Raw data'!AM:AM,"NO",'Audit Raw data'!J:J,B:B,'Audit Raw data'!E:E,'Day wise agent'!G:G)</f>
        <v>0</v>
      </c>
      <c r="L877" s="12">
        <f t="shared" si="27"/>
        <v>1</v>
      </c>
    </row>
    <row r="878" spans="1:12" x14ac:dyDescent="0.35">
      <c r="A878" t="str">
        <f t="shared" si="26"/>
        <v>SBM65045939</v>
      </c>
      <c r="B878" t="s">
        <v>353</v>
      </c>
      <c r="C878" t="s">
        <v>1479</v>
      </c>
      <c r="D878" s="32">
        <v>45357</v>
      </c>
      <c r="E878" t="s">
        <v>221</v>
      </c>
      <c r="F878" t="str">
        <f>VLOOKUP(B878,'Agent wise'!A:E,5,0)</f>
        <v>Wire-line</v>
      </c>
      <c r="G878" s="32">
        <v>45939</v>
      </c>
      <c r="H878">
        <f>COUNTIFS('Audit Raw data'!J:J,B:B,'Audit Raw data'!E:E,G:G)</f>
        <v>0</v>
      </c>
      <c r="I878" s="44" t="str">
        <f>IFERROR((SUMIFS('Audit Raw data'!BZ:BZ,'Audit Raw data'!J:J,B:B,'Audit Raw data'!E:E,G:G)/H878)/100,"-")</f>
        <v>-</v>
      </c>
      <c r="J878">
        <f>COUNTIFS('Audit Raw data'!AM:AM,"Yes",'Audit Raw data'!J:J,B:B,'Audit Raw data'!E:E,'Day wise agent'!G:G)</f>
        <v>0</v>
      </c>
      <c r="K878">
        <f>COUNTIFS('Audit Raw data'!AM:AM,"NO",'Audit Raw data'!J:J,B:B,'Audit Raw data'!E:E,'Day wise agent'!G:G)</f>
        <v>0</v>
      </c>
      <c r="L878" s="12" t="str">
        <f t="shared" si="27"/>
        <v xml:space="preserve"> </v>
      </c>
    </row>
    <row r="879" spans="1:12" x14ac:dyDescent="0.35">
      <c r="A879" t="str">
        <f t="shared" si="26"/>
        <v>SBM65345939</v>
      </c>
      <c r="B879" t="s">
        <v>223</v>
      </c>
      <c r="C879" t="s">
        <v>1480</v>
      </c>
      <c r="D879" s="32">
        <v>45367</v>
      </c>
      <c r="E879" t="s">
        <v>221</v>
      </c>
      <c r="F879" t="str">
        <f>VLOOKUP(B879,'Agent wise'!A:E,5,0)</f>
        <v>Wire-line</v>
      </c>
      <c r="G879" s="32">
        <v>45939</v>
      </c>
      <c r="H879">
        <f>COUNTIFS('Audit Raw data'!J:J,B:B,'Audit Raw data'!E:E,G:G)</f>
        <v>0</v>
      </c>
      <c r="I879" s="44" t="str">
        <f>IFERROR((SUMIFS('Audit Raw data'!BZ:BZ,'Audit Raw data'!J:J,B:B,'Audit Raw data'!E:E,G:G)/H879)/100,"-")</f>
        <v>-</v>
      </c>
      <c r="J879">
        <f>COUNTIFS('Audit Raw data'!AM:AM,"Yes",'Audit Raw data'!J:J,B:B,'Audit Raw data'!E:E,'Day wise agent'!G:G)</f>
        <v>0</v>
      </c>
      <c r="K879">
        <f>COUNTIFS('Audit Raw data'!AM:AM,"NO",'Audit Raw data'!J:J,B:B,'Audit Raw data'!E:E,'Day wise agent'!G:G)</f>
        <v>0</v>
      </c>
      <c r="L879" s="12" t="str">
        <f t="shared" si="27"/>
        <v xml:space="preserve"> </v>
      </c>
    </row>
    <row r="880" spans="1:12" x14ac:dyDescent="0.35">
      <c r="A880" t="str">
        <f t="shared" si="26"/>
        <v>SBM67845939</v>
      </c>
      <c r="B880" t="s">
        <v>548</v>
      </c>
      <c r="C880" t="s">
        <v>1481</v>
      </c>
      <c r="D880" s="32">
        <v>45413</v>
      </c>
      <c r="E880" t="s">
        <v>178</v>
      </c>
      <c r="F880" t="str">
        <f>VLOOKUP(B880,'Agent wise'!A:E,5,0)</f>
        <v>Wireless</v>
      </c>
      <c r="G880" s="32">
        <v>45939</v>
      </c>
      <c r="H880">
        <f>COUNTIFS('Audit Raw data'!J:J,B:B,'Audit Raw data'!E:E,G:G)</f>
        <v>1</v>
      </c>
      <c r="I880" s="44">
        <f>IFERROR((SUMIFS('Audit Raw data'!BZ:BZ,'Audit Raw data'!J:J,B:B,'Audit Raw data'!E:E,G:G)/H880)/100,"-")</f>
        <v>0.96</v>
      </c>
      <c r="J880">
        <f>COUNTIFS('Audit Raw data'!AM:AM,"Yes",'Audit Raw data'!J:J,B:B,'Audit Raw data'!E:E,'Day wise agent'!G:G)</f>
        <v>1</v>
      </c>
      <c r="K880">
        <f>COUNTIFS('Audit Raw data'!AM:AM,"NO",'Audit Raw data'!J:J,B:B,'Audit Raw data'!E:E,'Day wise agent'!G:G)</f>
        <v>0</v>
      </c>
      <c r="L880" s="12">
        <f t="shared" si="27"/>
        <v>1</v>
      </c>
    </row>
    <row r="881" spans="1:12" x14ac:dyDescent="0.35">
      <c r="A881" t="str">
        <f t="shared" si="26"/>
        <v>SBM69245939</v>
      </c>
      <c r="B881" t="s">
        <v>85</v>
      </c>
      <c r="C881" t="s">
        <v>1482</v>
      </c>
      <c r="D881" s="32">
        <v>45445</v>
      </c>
      <c r="E881" t="s">
        <v>1453</v>
      </c>
      <c r="F881" t="str">
        <f>VLOOKUP(B881,'Agent wise'!A:E,5,0)</f>
        <v>Wireless</v>
      </c>
      <c r="G881" s="32">
        <v>45939</v>
      </c>
      <c r="H881">
        <f>COUNTIFS('Audit Raw data'!J:J,B:B,'Audit Raw data'!E:E,G:G)</f>
        <v>1</v>
      </c>
      <c r="I881" s="44">
        <f>IFERROR((SUMIFS('Audit Raw data'!BZ:BZ,'Audit Raw data'!J:J,B:B,'Audit Raw data'!E:E,G:G)/H881)/100,"-")</f>
        <v>0.94</v>
      </c>
      <c r="J881">
        <f>COUNTIFS('Audit Raw data'!AM:AM,"Yes",'Audit Raw data'!J:J,B:B,'Audit Raw data'!E:E,'Day wise agent'!G:G)</f>
        <v>1</v>
      </c>
      <c r="K881">
        <f>COUNTIFS('Audit Raw data'!AM:AM,"NO",'Audit Raw data'!J:J,B:B,'Audit Raw data'!E:E,'Day wise agent'!G:G)</f>
        <v>0</v>
      </c>
      <c r="L881" s="12">
        <f t="shared" si="27"/>
        <v>1</v>
      </c>
    </row>
    <row r="882" spans="1:12" x14ac:dyDescent="0.35">
      <c r="A882" t="str">
        <f t="shared" si="26"/>
        <v>SBM70345939</v>
      </c>
      <c r="B882" t="s">
        <v>252</v>
      </c>
      <c r="C882" t="s">
        <v>1483</v>
      </c>
      <c r="D882" s="32">
        <v>45451</v>
      </c>
      <c r="E882" t="s">
        <v>1484</v>
      </c>
      <c r="F882" t="str">
        <f>VLOOKUP(B882,'Agent wise'!A:E,5,0)</f>
        <v>Wireless</v>
      </c>
      <c r="G882" s="32">
        <v>45939</v>
      </c>
      <c r="H882">
        <f>COUNTIFS('Audit Raw data'!J:J,B:B,'Audit Raw data'!E:E,G:G)</f>
        <v>1</v>
      </c>
      <c r="I882" s="44">
        <f>IFERROR((SUMIFS('Audit Raw data'!BZ:BZ,'Audit Raw data'!J:J,B:B,'Audit Raw data'!E:E,G:G)/H882)/100,"-")</f>
        <v>0.86</v>
      </c>
      <c r="J882">
        <f>COUNTIFS('Audit Raw data'!AM:AM,"Yes",'Audit Raw data'!J:J,B:B,'Audit Raw data'!E:E,'Day wise agent'!G:G)</f>
        <v>1</v>
      </c>
      <c r="K882">
        <f>COUNTIFS('Audit Raw data'!AM:AM,"NO",'Audit Raw data'!J:J,B:B,'Audit Raw data'!E:E,'Day wise agent'!G:G)</f>
        <v>0</v>
      </c>
      <c r="L882" s="12">
        <f t="shared" si="27"/>
        <v>1</v>
      </c>
    </row>
    <row r="883" spans="1:12" x14ac:dyDescent="0.35">
      <c r="A883" t="str">
        <f t="shared" si="26"/>
        <v>SBM71045939</v>
      </c>
      <c r="B883" t="s">
        <v>552</v>
      </c>
      <c r="C883" t="s">
        <v>1485</v>
      </c>
      <c r="D883" s="32">
        <v>45465</v>
      </c>
      <c r="E883" t="s">
        <v>1484</v>
      </c>
      <c r="F883" t="str">
        <f>VLOOKUP(B883,'Agent wise'!A:E,5,0)</f>
        <v>Wireless</v>
      </c>
      <c r="G883" s="32">
        <v>45939</v>
      </c>
      <c r="H883">
        <f>COUNTIFS('Audit Raw data'!J:J,B:B,'Audit Raw data'!E:E,G:G)</f>
        <v>2</v>
      </c>
      <c r="I883" s="44">
        <f>IFERROR((SUMIFS('Audit Raw data'!BZ:BZ,'Audit Raw data'!J:J,B:B,'Audit Raw data'!E:E,G:G)/H883)/100,"-")</f>
        <v>0.94</v>
      </c>
      <c r="J883">
        <f>COUNTIFS('Audit Raw data'!AM:AM,"Yes",'Audit Raw data'!J:J,B:B,'Audit Raw data'!E:E,'Day wise agent'!G:G)</f>
        <v>2</v>
      </c>
      <c r="K883">
        <f>COUNTIFS('Audit Raw data'!AM:AM,"NO",'Audit Raw data'!J:J,B:B,'Audit Raw data'!E:E,'Day wise agent'!G:G)</f>
        <v>0</v>
      </c>
      <c r="L883" s="12">
        <f t="shared" si="27"/>
        <v>1</v>
      </c>
    </row>
    <row r="884" spans="1:12" x14ac:dyDescent="0.35">
      <c r="A884" t="str">
        <f t="shared" si="26"/>
        <v>SBM71145939</v>
      </c>
      <c r="B884" t="s">
        <v>533</v>
      </c>
      <c r="C884" t="s">
        <v>1486</v>
      </c>
      <c r="D884" s="32">
        <v>45465</v>
      </c>
      <c r="E884" t="s">
        <v>1484</v>
      </c>
      <c r="F884" t="str">
        <f>VLOOKUP(B884,'Agent wise'!A:E,5,0)</f>
        <v>Wireless</v>
      </c>
      <c r="G884" s="32">
        <v>45939</v>
      </c>
      <c r="H884">
        <f>COUNTIFS('Audit Raw data'!J:J,B:B,'Audit Raw data'!E:E,G:G)</f>
        <v>1</v>
      </c>
      <c r="I884" s="44">
        <f>IFERROR((SUMIFS('Audit Raw data'!BZ:BZ,'Audit Raw data'!J:J,B:B,'Audit Raw data'!E:E,G:G)/H884)/100,"-")</f>
        <v>0.94</v>
      </c>
      <c r="J884">
        <f>COUNTIFS('Audit Raw data'!AM:AM,"Yes",'Audit Raw data'!J:J,B:B,'Audit Raw data'!E:E,'Day wise agent'!G:G)</f>
        <v>1</v>
      </c>
      <c r="K884">
        <f>COUNTIFS('Audit Raw data'!AM:AM,"NO",'Audit Raw data'!J:J,B:B,'Audit Raw data'!E:E,'Day wise agent'!G:G)</f>
        <v>0</v>
      </c>
      <c r="L884" s="12">
        <f t="shared" si="27"/>
        <v>1</v>
      </c>
    </row>
    <row r="885" spans="1:12" x14ac:dyDescent="0.35">
      <c r="A885" t="str">
        <f t="shared" si="26"/>
        <v>SBM71845939</v>
      </c>
      <c r="B885" t="s">
        <v>451</v>
      </c>
      <c r="C885" t="s">
        <v>1487</v>
      </c>
      <c r="D885" s="32">
        <v>45491</v>
      </c>
      <c r="E885" t="s">
        <v>1484</v>
      </c>
      <c r="F885" t="str">
        <f>VLOOKUP(B885,'Agent wise'!A:E,5,0)</f>
        <v>Wireless</v>
      </c>
      <c r="G885" s="32">
        <v>45939</v>
      </c>
      <c r="H885">
        <f>COUNTIFS('Audit Raw data'!J:J,B:B,'Audit Raw data'!E:E,G:G)</f>
        <v>2</v>
      </c>
      <c r="I885" s="44">
        <f>IFERROR((SUMIFS('Audit Raw data'!BZ:BZ,'Audit Raw data'!J:J,B:B,'Audit Raw data'!E:E,G:G)/H885)/100,"-")</f>
        <v>0.94</v>
      </c>
      <c r="J885">
        <f>COUNTIFS('Audit Raw data'!AM:AM,"Yes",'Audit Raw data'!J:J,B:B,'Audit Raw data'!E:E,'Day wise agent'!G:G)</f>
        <v>2</v>
      </c>
      <c r="K885">
        <f>COUNTIFS('Audit Raw data'!AM:AM,"NO",'Audit Raw data'!J:J,B:B,'Audit Raw data'!E:E,'Day wise agent'!G:G)</f>
        <v>0</v>
      </c>
      <c r="L885" s="12">
        <f t="shared" si="27"/>
        <v>1</v>
      </c>
    </row>
    <row r="886" spans="1:12" x14ac:dyDescent="0.35">
      <c r="A886" t="str">
        <f t="shared" si="26"/>
        <v>SBM72045939</v>
      </c>
      <c r="B886" t="s">
        <v>557</v>
      </c>
      <c r="C886" t="s">
        <v>1488</v>
      </c>
      <c r="D886" s="32">
        <v>45491</v>
      </c>
      <c r="E886" t="s">
        <v>1484</v>
      </c>
      <c r="F886" t="str">
        <f>VLOOKUP(B886,'Agent wise'!A:E,5,0)</f>
        <v>Wireless</v>
      </c>
      <c r="G886" s="32">
        <v>45939</v>
      </c>
      <c r="H886">
        <f>COUNTIFS('Audit Raw data'!J:J,B:B,'Audit Raw data'!E:E,G:G)</f>
        <v>0</v>
      </c>
      <c r="I886" s="44" t="str">
        <f>IFERROR((SUMIFS('Audit Raw data'!BZ:BZ,'Audit Raw data'!J:J,B:B,'Audit Raw data'!E:E,G:G)/H886)/100,"-")</f>
        <v>-</v>
      </c>
      <c r="J886">
        <f>COUNTIFS('Audit Raw data'!AM:AM,"Yes",'Audit Raw data'!J:J,B:B,'Audit Raw data'!E:E,'Day wise agent'!G:G)</f>
        <v>0</v>
      </c>
      <c r="K886">
        <f>COUNTIFS('Audit Raw data'!AM:AM,"NO",'Audit Raw data'!J:J,B:B,'Audit Raw data'!E:E,'Day wise agent'!G:G)</f>
        <v>0</v>
      </c>
      <c r="L886" s="12" t="str">
        <f t="shared" si="27"/>
        <v xml:space="preserve"> </v>
      </c>
    </row>
    <row r="887" spans="1:12" x14ac:dyDescent="0.35">
      <c r="A887" t="str">
        <f t="shared" si="26"/>
        <v>SBM72445939</v>
      </c>
      <c r="B887" t="s">
        <v>144</v>
      </c>
      <c r="C887" t="s">
        <v>1489</v>
      </c>
      <c r="D887" s="32">
        <v>45491</v>
      </c>
      <c r="E887" t="s">
        <v>1484</v>
      </c>
      <c r="F887" t="str">
        <f>VLOOKUP(B887,'Agent wise'!A:E,5,0)</f>
        <v>Wireless</v>
      </c>
      <c r="G887" s="32">
        <v>45939</v>
      </c>
      <c r="H887">
        <f>COUNTIFS('Audit Raw data'!J:J,B:B,'Audit Raw data'!E:E,G:G)</f>
        <v>0</v>
      </c>
      <c r="I887" s="44" t="str">
        <f>IFERROR((SUMIFS('Audit Raw data'!BZ:BZ,'Audit Raw data'!J:J,B:B,'Audit Raw data'!E:E,G:G)/H887)/100,"-")</f>
        <v>-</v>
      </c>
      <c r="J887">
        <f>COUNTIFS('Audit Raw data'!AM:AM,"Yes",'Audit Raw data'!J:J,B:B,'Audit Raw data'!E:E,'Day wise agent'!G:G)</f>
        <v>0</v>
      </c>
      <c r="K887">
        <f>COUNTIFS('Audit Raw data'!AM:AM,"NO",'Audit Raw data'!J:J,B:B,'Audit Raw data'!E:E,'Day wise agent'!G:G)</f>
        <v>0</v>
      </c>
      <c r="L887" s="12" t="str">
        <f t="shared" si="27"/>
        <v xml:space="preserve"> </v>
      </c>
    </row>
    <row r="888" spans="1:12" x14ac:dyDescent="0.35">
      <c r="A888" t="str">
        <f t="shared" si="26"/>
        <v>SBM73445939</v>
      </c>
      <c r="B888" t="s">
        <v>356</v>
      </c>
      <c r="C888" t="s">
        <v>1490</v>
      </c>
      <c r="D888" s="32">
        <v>45497</v>
      </c>
      <c r="E888" t="s">
        <v>221</v>
      </c>
      <c r="F888" t="str">
        <f>VLOOKUP(B888,'Agent wise'!A:E,5,0)</f>
        <v>Wire-line</v>
      </c>
      <c r="G888" s="32">
        <v>45939</v>
      </c>
      <c r="H888">
        <f>COUNTIFS('Audit Raw data'!J:J,B:B,'Audit Raw data'!E:E,G:G)</f>
        <v>1</v>
      </c>
      <c r="I888" s="44">
        <f>IFERROR((SUMIFS('Audit Raw data'!BZ:BZ,'Audit Raw data'!J:J,B:B,'Audit Raw data'!E:E,G:G)/H888)/100,"-")</f>
        <v>0.96</v>
      </c>
      <c r="J888">
        <f>COUNTIFS('Audit Raw data'!AM:AM,"Yes",'Audit Raw data'!J:J,B:B,'Audit Raw data'!E:E,'Day wise agent'!G:G)</f>
        <v>1</v>
      </c>
      <c r="K888">
        <f>COUNTIFS('Audit Raw data'!AM:AM,"NO",'Audit Raw data'!J:J,B:B,'Audit Raw data'!E:E,'Day wise agent'!G:G)</f>
        <v>0</v>
      </c>
      <c r="L888" s="12">
        <f t="shared" si="27"/>
        <v>1</v>
      </c>
    </row>
    <row r="889" spans="1:12" x14ac:dyDescent="0.35">
      <c r="A889" t="str">
        <f t="shared" si="26"/>
        <v>SBM73645939</v>
      </c>
      <c r="B889" t="s">
        <v>501</v>
      </c>
      <c r="C889" t="s">
        <v>1491</v>
      </c>
      <c r="D889" s="32">
        <v>45500</v>
      </c>
      <c r="E889" t="s">
        <v>221</v>
      </c>
      <c r="F889" t="str">
        <f>VLOOKUP(B889,'Agent wise'!A:E,5,0)</f>
        <v>Wire-line</v>
      </c>
      <c r="G889" s="32">
        <v>45939</v>
      </c>
      <c r="H889">
        <f>COUNTIFS('Audit Raw data'!J:J,B:B,'Audit Raw data'!E:E,G:G)</f>
        <v>1</v>
      </c>
      <c r="I889" s="44">
        <f>IFERROR((SUMIFS('Audit Raw data'!BZ:BZ,'Audit Raw data'!J:J,B:B,'Audit Raw data'!E:E,G:G)/H889)/100,"-")</f>
        <v>0.98</v>
      </c>
      <c r="J889">
        <f>COUNTIFS('Audit Raw data'!AM:AM,"Yes",'Audit Raw data'!J:J,B:B,'Audit Raw data'!E:E,'Day wise agent'!G:G)</f>
        <v>1</v>
      </c>
      <c r="K889">
        <f>COUNTIFS('Audit Raw data'!AM:AM,"NO",'Audit Raw data'!J:J,B:B,'Audit Raw data'!E:E,'Day wise agent'!G:G)</f>
        <v>0</v>
      </c>
      <c r="L889" s="12">
        <f t="shared" si="27"/>
        <v>1</v>
      </c>
    </row>
    <row r="890" spans="1:12" x14ac:dyDescent="0.35">
      <c r="A890" t="str">
        <f t="shared" si="26"/>
        <v>SBM73945939</v>
      </c>
      <c r="B890" t="s">
        <v>559</v>
      </c>
      <c r="C890" t="s">
        <v>1492</v>
      </c>
      <c r="D890" s="32">
        <v>45516</v>
      </c>
      <c r="E890" t="s">
        <v>1484</v>
      </c>
      <c r="F890" t="str">
        <f>VLOOKUP(B890,'Agent wise'!A:E,5,0)</f>
        <v>Wireless</v>
      </c>
      <c r="G890" s="32">
        <v>45939</v>
      </c>
      <c r="H890">
        <f>COUNTIFS('Audit Raw data'!J:J,B:B,'Audit Raw data'!E:E,G:G)</f>
        <v>1</v>
      </c>
      <c r="I890" s="44">
        <f>IFERROR((SUMIFS('Audit Raw data'!BZ:BZ,'Audit Raw data'!J:J,B:B,'Audit Raw data'!E:E,G:G)/H890)/100,"-")</f>
        <v>0.9</v>
      </c>
      <c r="J890">
        <f>COUNTIFS('Audit Raw data'!AM:AM,"Yes",'Audit Raw data'!J:J,B:B,'Audit Raw data'!E:E,'Day wise agent'!G:G)</f>
        <v>1</v>
      </c>
      <c r="K890">
        <f>COUNTIFS('Audit Raw data'!AM:AM,"NO",'Audit Raw data'!J:J,B:B,'Audit Raw data'!E:E,'Day wise agent'!G:G)</f>
        <v>0</v>
      </c>
      <c r="L890" s="12">
        <f t="shared" si="27"/>
        <v>1</v>
      </c>
    </row>
    <row r="891" spans="1:12" x14ac:dyDescent="0.35">
      <c r="A891" t="str">
        <f t="shared" si="26"/>
        <v>SBM74445939</v>
      </c>
      <c r="B891" t="s">
        <v>96</v>
      </c>
      <c r="C891" t="s">
        <v>1493</v>
      </c>
      <c r="D891" s="32">
        <v>45516</v>
      </c>
      <c r="E891" t="s">
        <v>1484</v>
      </c>
      <c r="F891" t="str">
        <f>VLOOKUP(B891,'Agent wise'!A:E,5,0)</f>
        <v>Wireless</v>
      </c>
      <c r="G891" s="32">
        <v>45939</v>
      </c>
      <c r="H891">
        <f>COUNTIFS('Audit Raw data'!J:J,B:B,'Audit Raw data'!E:E,G:G)</f>
        <v>0</v>
      </c>
      <c r="I891" s="44" t="str">
        <f>IFERROR((SUMIFS('Audit Raw data'!BZ:BZ,'Audit Raw data'!J:J,B:B,'Audit Raw data'!E:E,G:G)/H891)/100,"-")</f>
        <v>-</v>
      </c>
      <c r="J891">
        <f>COUNTIFS('Audit Raw data'!AM:AM,"Yes",'Audit Raw data'!J:J,B:B,'Audit Raw data'!E:E,'Day wise agent'!G:G)</f>
        <v>0</v>
      </c>
      <c r="K891">
        <f>COUNTIFS('Audit Raw data'!AM:AM,"NO",'Audit Raw data'!J:J,B:B,'Audit Raw data'!E:E,'Day wise agent'!G:G)</f>
        <v>0</v>
      </c>
      <c r="L891" s="12" t="str">
        <f t="shared" si="27"/>
        <v xml:space="preserve"> </v>
      </c>
    </row>
    <row r="892" spans="1:12" x14ac:dyDescent="0.35">
      <c r="A892" t="str">
        <f t="shared" si="26"/>
        <v>SBM75545939</v>
      </c>
      <c r="B892" t="s">
        <v>409</v>
      </c>
      <c r="C892" t="s">
        <v>1494</v>
      </c>
      <c r="D892" s="32">
        <v>45518</v>
      </c>
      <c r="E892" t="s">
        <v>221</v>
      </c>
      <c r="F892" t="str">
        <f>VLOOKUP(B892,'Agent wise'!A:E,5,0)</f>
        <v>Wire-line</v>
      </c>
      <c r="G892" s="32">
        <v>45939</v>
      </c>
      <c r="H892">
        <f>COUNTIFS('Audit Raw data'!J:J,B:B,'Audit Raw data'!E:E,G:G)</f>
        <v>1</v>
      </c>
      <c r="I892" s="44">
        <f>IFERROR((SUMIFS('Audit Raw data'!BZ:BZ,'Audit Raw data'!J:J,B:B,'Audit Raw data'!E:E,G:G)/H892)/100,"-")</f>
        <v>0.94</v>
      </c>
      <c r="J892">
        <f>COUNTIFS('Audit Raw data'!AM:AM,"Yes",'Audit Raw data'!J:J,B:B,'Audit Raw data'!E:E,'Day wise agent'!G:G)</f>
        <v>1</v>
      </c>
      <c r="K892">
        <f>COUNTIFS('Audit Raw data'!AM:AM,"NO",'Audit Raw data'!J:J,B:B,'Audit Raw data'!E:E,'Day wise agent'!G:G)</f>
        <v>0</v>
      </c>
      <c r="L892" s="12">
        <f t="shared" si="27"/>
        <v>1</v>
      </c>
    </row>
    <row r="893" spans="1:12" x14ac:dyDescent="0.35">
      <c r="A893" t="str">
        <f t="shared" si="26"/>
        <v>SBM75845939</v>
      </c>
      <c r="B893" t="s">
        <v>420</v>
      </c>
      <c r="C893" t="s">
        <v>1502</v>
      </c>
      <c r="D893" s="32">
        <v>45518</v>
      </c>
      <c r="E893" t="s">
        <v>221</v>
      </c>
      <c r="F893" t="str">
        <f>VLOOKUP(B893,'Agent wise'!A:E,5,0)</f>
        <v>Wire-line</v>
      </c>
      <c r="G893" s="32">
        <v>45939</v>
      </c>
      <c r="H893">
        <f>COUNTIFS('Audit Raw data'!J:J,B:B,'Audit Raw data'!E:E,G:G)</f>
        <v>0</v>
      </c>
      <c r="I893" s="44" t="str">
        <f>IFERROR((SUMIFS('Audit Raw data'!BZ:BZ,'Audit Raw data'!J:J,B:B,'Audit Raw data'!E:E,G:G)/H893)/100,"-")</f>
        <v>-</v>
      </c>
      <c r="J893">
        <f>COUNTIFS('Audit Raw data'!AM:AM,"Yes",'Audit Raw data'!J:J,B:B,'Audit Raw data'!E:E,'Day wise agent'!G:G)</f>
        <v>0</v>
      </c>
      <c r="K893">
        <f>COUNTIFS('Audit Raw data'!AM:AM,"NO",'Audit Raw data'!J:J,B:B,'Audit Raw data'!E:E,'Day wise agent'!G:G)</f>
        <v>0</v>
      </c>
      <c r="L893" s="12" t="str">
        <f t="shared" si="27"/>
        <v xml:space="preserve"> </v>
      </c>
    </row>
    <row r="894" spans="1:12" x14ac:dyDescent="0.35">
      <c r="A894" t="str">
        <f t="shared" si="26"/>
        <v>SBM76745939</v>
      </c>
      <c r="B894" t="s">
        <v>442</v>
      </c>
      <c r="C894" t="s">
        <v>1495</v>
      </c>
      <c r="D894" s="32">
        <v>45520</v>
      </c>
      <c r="E894" t="s">
        <v>107</v>
      </c>
      <c r="F894" t="str">
        <f>VLOOKUP(B894,'Agent wise'!A:E,5,0)</f>
        <v>Wireless</v>
      </c>
      <c r="G894" s="32">
        <v>45939</v>
      </c>
      <c r="H894">
        <f>COUNTIFS('Audit Raw data'!J:J,B:B,'Audit Raw data'!E:E,G:G)</f>
        <v>0</v>
      </c>
      <c r="I894" s="44" t="str">
        <f>IFERROR((SUMIFS('Audit Raw data'!BZ:BZ,'Audit Raw data'!J:J,B:B,'Audit Raw data'!E:E,G:G)/H894)/100,"-")</f>
        <v>-</v>
      </c>
      <c r="J894">
        <f>COUNTIFS('Audit Raw data'!AM:AM,"Yes",'Audit Raw data'!J:J,B:B,'Audit Raw data'!E:E,'Day wise agent'!G:G)</f>
        <v>0</v>
      </c>
      <c r="K894">
        <f>COUNTIFS('Audit Raw data'!AM:AM,"NO",'Audit Raw data'!J:J,B:B,'Audit Raw data'!E:E,'Day wise agent'!G:G)</f>
        <v>0</v>
      </c>
      <c r="L894" s="12" t="str">
        <f t="shared" si="27"/>
        <v xml:space="preserve"> </v>
      </c>
    </row>
    <row r="895" spans="1:12" x14ac:dyDescent="0.35">
      <c r="A895" t="str">
        <f t="shared" si="26"/>
        <v>SBM77245939</v>
      </c>
      <c r="B895" t="s">
        <v>640</v>
      </c>
      <c r="C895" t="s">
        <v>1497</v>
      </c>
      <c r="D895" s="32">
        <v>45528</v>
      </c>
      <c r="E895" t="s">
        <v>178</v>
      </c>
      <c r="F895" t="str">
        <f>VLOOKUP(B895,'Agent wise'!A:E,5,0)</f>
        <v>Wireless</v>
      </c>
      <c r="G895" s="32">
        <v>45939</v>
      </c>
      <c r="H895">
        <f>COUNTIFS('Audit Raw data'!J:J,B:B,'Audit Raw data'!E:E,G:G)</f>
        <v>0</v>
      </c>
      <c r="I895" s="44" t="str">
        <f>IFERROR((SUMIFS('Audit Raw data'!BZ:BZ,'Audit Raw data'!J:J,B:B,'Audit Raw data'!E:E,G:G)/H895)/100,"-")</f>
        <v>-</v>
      </c>
      <c r="J895">
        <f>COUNTIFS('Audit Raw data'!AM:AM,"Yes",'Audit Raw data'!J:J,B:B,'Audit Raw data'!E:E,'Day wise agent'!G:G)</f>
        <v>0</v>
      </c>
      <c r="K895">
        <f>COUNTIFS('Audit Raw data'!AM:AM,"NO",'Audit Raw data'!J:J,B:B,'Audit Raw data'!E:E,'Day wise agent'!G:G)</f>
        <v>0</v>
      </c>
      <c r="L895" s="12" t="str">
        <f t="shared" si="27"/>
        <v xml:space="preserve"> </v>
      </c>
    </row>
    <row r="896" spans="1:12" x14ac:dyDescent="0.35">
      <c r="A896" t="str">
        <f t="shared" si="26"/>
        <v>SBM77345939</v>
      </c>
      <c r="B896" t="s">
        <v>464</v>
      </c>
      <c r="C896" t="s">
        <v>1496</v>
      </c>
      <c r="D896" s="32">
        <v>45526</v>
      </c>
      <c r="E896" t="s">
        <v>178</v>
      </c>
      <c r="F896" t="str">
        <f>VLOOKUP(B896,'Agent wise'!A:E,5,0)</f>
        <v>Wireless</v>
      </c>
      <c r="G896" s="32">
        <v>45939</v>
      </c>
      <c r="H896">
        <f>COUNTIFS('Audit Raw data'!J:J,B:B,'Audit Raw data'!E:E,G:G)</f>
        <v>0</v>
      </c>
      <c r="I896" s="44" t="str">
        <f>IFERROR((SUMIFS('Audit Raw data'!BZ:BZ,'Audit Raw data'!J:J,B:B,'Audit Raw data'!E:E,G:G)/H896)/100,"-")</f>
        <v>-</v>
      </c>
      <c r="J896">
        <f>COUNTIFS('Audit Raw data'!AM:AM,"Yes",'Audit Raw data'!J:J,B:B,'Audit Raw data'!E:E,'Day wise agent'!G:G)</f>
        <v>0</v>
      </c>
      <c r="K896">
        <f>COUNTIFS('Audit Raw data'!AM:AM,"NO",'Audit Raw data'!J:J,B:B,'Audit Raw data'!E:E,'Day wise agent'!G:G)</f>
        <v>0</v>
      </c>
      <c r="L896" s="12" t="str">
        <f t="shared" si="27"/>
        <v xml:space="preserve"> </v>
      </c>
    </row>
    <row r="897" spans="1:12" x14ac:dyDescent="0.35">
      <c r="A897" t="str">
        <f t="shared" si="26"/>
        <v>SBM77545939</v>
      </c>
      <c r="B897" t="s">
        <v>643</v>
      </c>
      <c r="C897" t="s">
        <v>1498</v>
      </c>
      <c r="D897" s="32">
        <v>45535</v>
      </c>
      <c r="E897" t="s">
        <v>1484</v>
      </c>
      <c r="F897" t="str">
        <f>VLOOKUP(B897,'Agent wise'!A:E,5,0)</f>
        <v>Wireless</v>
      </c>
      <c r="G897" s="32">
        <v>45939</v>
      </c>
      <c r="H897">
        <f>COUNTIFS('Audit Raw data'!J:J,B:B,'Audit Raw data'!E:E,G:G)</f>
        <v>0</v>
      </c>
      <c r="I897" s="44" t="str">
        <f>IFERROR((SUMIFS('Audit Raw data'!BZ:BZ,'Audit Raw data'!J:J,B:B,'Audit Raw data'!E:E,G:G)/H897)/100,"-")</f>
        <v>-</v>
      </c>
      <c r="J897">
        <f>COUNTIFS('Audit Raw data'!AM:AM,"Yes",'Audit Raw data'!J:J,B:B,'Audit Raw data'!E:E,'Day wise agent'!G:G)</f>
        <v>0</v>
      </c>
      <c r="K897">
        <f>COUNTIFS('Audit Raw data'!AM:AM,"NO",'Audit Raw data'!J:J,B:B,'Audit Raw data'!E:E,'Day wise agent'!G:G)</f>
        <v>0</v>
      </c>
      <c r="L897" s="12" t="str">
        <f t="shared" si="27"/>
        <v xml:space="preserve"> </v>
      </c>
    </row>
    <row r="898" spans="1:12" x14ac:dyDescent="0.35">
      <c r="A898" t="str">
        <f t="shared" ref="A898:A961" si="28">B898&amp;G898</f>
        <v>SBM79245939</v>
      </c>
      <c r="B898" t="s">
        <v>179</v>
      </c>
      <c r="C898" t="s">
        <v>1499</v>
      </c>
      <c r="D898" s="32">
        <v>45545</v>
      </c>
      <c r="E898" t="s">
        <v>178</v>
      </c>
      <c r="F898" t="str">
        <f>VLOOKUP(B898,'Agent wise'!A:E,5,0)</f>
        <v>Wireless</v>
      </c>
      <c r="G898" s="32">
        <v>45939</v>
      </c>
      <c r="H898">
        <f>COUNTIFS('Audit Raw data'!J:J,B:B,'Audit Raw data'!E:E,G:G)</f>
        <v>0</v>
      </c>
      <c r="I898" s="44" t="str">
        <f>IFERROR((SUMIFS('Audit Raw data'!BZ:BZ,'Audit Raw data'!J:J,B:B,'Audit Raw data'!E:E,G:G)/H898)/100,"-")</f>
        <v>-</v>
      </c>
      <c r="J898">
        <f>COUNTIFS('Audit Raw data'!AM:AM,"Yes",'Audit Raw data'!J:J,B:B,'Audit Raw data'!E:E,'Day wise agent'!G:G)</f>
        <v>0</v>
      </c>
      <c r="K898">
        <f>COUNTIFS('Audit Raw data'!AM:AM,"NO",'Audit Raw data'!J:J,B:B,'Audit Raw data'!E:E,'Day wise agent'!G:G)</f>
        <v>0</v>
      </c>
      <c r="L898" s="12" t="str">
        <f t="shared" ref="L898:L961" si="29">IFERROR(J898/H898," ")</f>
        <v xml:space="preserve"> </v>
      </c>
    </row>
    <row r="899" spans="1:12" x14ac:dyDescent="0.35">
      <c r="A899" t="str">
        <f t="shared" si="28"/>
        <v>SBM79445939</v>
      </c>
      <c r="B899" t="s">
        <v>246</v>
      </c>
      <c r="C899" t="s">
        <v>1500</v>
      </c>
      <c r="D899" s="32">
        <v>45550</v>
      </c>
      <c r="E899" t="s">
        <v>221</v>
      </c>
      <c r="F899" t="str">
        <f>VLOOKUP(B899,'Agent wise'!A:E,5,0)</f>
        <v>Wire-line</v>
      </c>
      <c r="G899" s="32">
        <v>45939</v>
      </c>
      <c r="H899">
        <f>COUNTIFS('Audit Raw data'!J:J,B:B,'Audit Raw data'!E:E,G:G)</f>
        <v>0</v>
      </c>
      <c r="I899" s="44" t="str">
        <f>IFERROR((SUMIFS('Audit Raw data'!BZ:BZ,'Audit Raw data'!J:J,B:B,'Audit Raw data'!E:E,G:G)/H899)/100,"-")</f>
        <v>-</v>
      </c>
      <c r="J899">
        <f>COUNTIFS('Audit Raw data'!AM:AM,"Yes",'Audit Raw data'!J:J,B:B,'Audit Raw data'!E:E,'Day wise agent'!G:G)</f>
        <v>0</v>
      </c>
      <c r="K899">
        <f>COUNTIFS('Audit Raw data'!AM:AM,"NO",'Audit Raw data'!J:J,B:B,'Audit Raw data'!E:E,'Day wise agent'!G:G)</f>
        <v>0</v>
      </c>
      <c r="L899" s="12" t="str">
        <f t="shared" si="29"/>
        <v xml:space="preserve"> </v>
      </c>
    </row>
    <row r="900" spans="1:12" x14ac:dyDescent="0.35">
      <c r="A900" t="str">
        <f t="shared" si="28"/>
        <v>SBM90145939</v>
      </c>
      <c r="B900" t="s">
        <v>646</v>
      </c>
      <c r="C900" t="s">
        <v>1501</v>
      </c>
      <c r="D900" s="32">
        <v>45564</v>
      </c>
      <c r="E900" t="s">
        <v>1484</v>
      </c>
      <c r="F900" t="str">
        <f>VLOOKUP(B900,'Agent wise'!A:E,5,0)</f>
        <v>Wireless</v>
      </c>
      <c r="G900" s="32">
        <v>45939</v>
      </c>
      <c r="H900">
        <f>COUNTIFS('Audit Raw data'!J:J,B:B,'Audit Raw data'!E:E,G:G)</f>
        <v>0</v>
      </c>
      <c r="I900" s="44" t="str">
        <f>IFERROR((SUMIFS('Audit Raw data'!BZ:BZ,'Audit Raw data'!J:J,B:B,'Audit Raw data'!E:E,G:G)/H900)/100,"-")</f>
        <v>-</v>
      </c>
      <c r="J900">
        <f>COUNTIFS('Audit Raw data'!AM:AM,"Yes",'Audit Raw data'!J:J,B:B,'Audit Raw data'!E:E,'Day wise agent'!G:G)</f>
        <v>0</v>
      </c>
      <c r="K900">
        <f>COUNTIFS('Audit Raw data'!AM:AM,"NO",'Audit Raw data'!J:J,B:B,'Audit Raw data'!E:E,'Day wise agent'!G:G)</f>
        <v>0</v>
      </c>
      <c r="L900" s="12" t="str">
        <f t="shared" si="29"/>
        <v xml:space="preserve"> </v>
      </c>
    </row>
    <row r="901" spans="1:12" x14ac:dyDescent="0.35">
      <c r="A901" t="str">
        <f t="shared" si="28"/>
        <v>SBM91345939</v>
      </c>
      <c r="B901" t="s">
        <v>650</v>
      </c>
      <c r="C901" t="s">
        <v>1503</v>
      </c>
      <c r="D901" s="32">
        <v>45589</v>
      </c>
      <c r="E901" t="s">
        <v>178</v>
      </c>
      <c r="F901" t="str">
        <f>VLOOKUP(B901,'Agent wise'!A:E,5,0)</f>
        <v>Wireless</v>
      </c>
      <c r="G901" s="32">
        <v>45939</v>
      </c>
      <c r="H901">
        <f>COUNTIFS('Audit Raw data'!J:J,B:B,'Audit Raw data'!E:E,G:G)</f>
        <v>0</v>
      </c>
      <c r="I901" s="44" t="str">
        <f>IFERROR((SUMIFS('Audit Raw data'!BZ:BZ,'Audit Raw data'!J:J,B:B,'Audit Raw data'!E:E,G:G)/H901)/100,"-")</f>
        <v>-</v>
      </c>
      <c r="J901">
        <f>COUNTIFS('Audit Raw data'!AM:AM,"Yes",'Audit Raw data'!J:J,B:B,'Audit Raw data'!E:E,'Day wise agent'!G:G)</f>
        <v>0</v>
      </c>
      <c r="K901">
        <f>COUNTIFS('Audit Raw data'!AM:AM,"NO",'Audit Raw data'!J:J,B:B,'Audit Raw data'!E:E,'Day wise agent'!G:G)</f>
        <v>0</v>
      </c>
      <c r="L901" s="12" t="str">
        <f t="shared" si="29"/>
        <v xml:space="preserve"> </v>
      </c>
    </row>
    <row r="902" spans="1:12" x14ac:dyDescent="0.35">
      <c r="A902" t="str">
        <f t="shared" si="28"/>
        <v>SBM94645939</v>
      </c>
      <c r="B902" t="s">
        <v>653</v>
      </c>
      <c r="C902" t="s">
        <v>1505</v>
      </c>
      <c r="D902" s="32">
        <v>45635</v>
      </c>
      <c r="E902" t="s">
        <v>1453</v>
      </c>
      <c r="F902" t="str">
        <f>VLOOKUP(B902,'Agent wise'!A:E,5,0)</f>
        <v>Wireless</v>
      </c>
      <c r="G902" s="32">
        <v>45939</v>
      </c>
      <c r="H902">
        <f>COUNTIFS('Audit Raw data'!J:J,B:B,'Audit Raw data'!E:E,G:G)</f>
        <v>0</v>
      </c>
      <c r="I902" s="44" t="str">
        <f>IFERROR((SUMIFS('Audit Raw data'!BZ:BZ,'Audit Raw data'!J:J,B:B,'Audit Raw data'!E:E,G:G)/H902)/100,"-")</f>
        <v>-</v>
      </c>
      <c r="J902">
        <f>COUNTIFS('Audit Raw data'!AM:AM,"Yes",'Audit Raw data'!J:J,B:B,'Audit Raw data'!E:E,'Day wise agent'!G:G)</f>
        <v>0</v>
      </c>
      <c r="K902">
        <f>COUNTIFS('Audit Raw data'!AM:AM,"NO",'Audit Raw data'!J:J,B:B,'Audit Raw data'!E:E,'Day wise agent'!G:G)</f>
        <v>0</v>
      </c>
      <c r="L902" s="12" t="str">
        <f t="shared" si="29"/>
        <v xml:space="preserve"> </v>
      </c>
    </row>
    <row r="903" spans="1:12" x14ac:dyDescent="0.35">
      <c r="A903" t="str">
        <f t="shared" si="28"/>
        <v>SBM95845939</v>
      </c>
      <c r="B903" t="s">
        <v>124</v>
      </c>
      <c r="C903" t="s">
        <v>1508</v>
      </c>
      <c r="D903" s="32">
        <v>45641</v>
      </c>
      <c r="E903" t="s">
        <v>1453</v>
      </c>
      <c r="F903" t="str">
        <f>VLOOKUP(B903,'Agent wise'!A:E,5,0)</f>
        <v>Wireless</v>
      </c>
      <c r="G903" s="32">
        <v>45939</v>
      </c>
      <c r="H903">
        <f>COUNTIFS('Audit Raw data'!J:J,B:B,'Audit Raw data'!E:E,G:G)</f>
        <v>0</v>
      </c>
      <c r="I903" s="44" t="str">
        <f>IFERROR((SUMIFS('Audit Raw data'!BZ:BZ,'Audit Raw data'!J:J,B:B,'Audit Raw data'!E:E,G:G)/H903)/100,"-")</f>
        <v>-</v>
      </c>
      <c r="J903">
        <f>COUNTIFS('Audit Raw data'!AM:AM,"Yes",'Audit Raw data'!J:J,B:B,'Audit Raw data'!E:E,'Day wise agent'!G:G)</f>
        <v>0</v>
      </c>
      <c r="K903">
        <f>COUNTIFS('Audit Raw data'!AM:AM,"NO",'Audit Raw data'!J:J,B:B,'Audit Raw data'!E:E,'Day wise agent'!G:G)</f>
        <v>0</v>
      </c>
      <c r="L903" s="12" t="str">
        <f t="shared" si="29"/>
        <v xml:space="preserve"> </v>
      </c>
    </row>
    <row r="904" spans="1:12" x14ac:dyDescent="0.35">
      <c r="A904" t="str">
        <f t="shared" si="28"/>
        <v>SBM96345939</v>
      </c>
      <c r="B904" t="s">
        <v>149</v>
      </c>
      <c r="C904" t="s">
        <v>1506</v>
      </c>
      <c r="D904" s="32">
        <v>45637</v>
      </c>
      <c r="E904" t="s">
        <v>107</v>
      </c>
      <c r="F904" t="str">
        <f>VLOOKUP(B904,'Agent wise'!A:E,5,0)</f>
        <v>Wireless</v>
      </c>
      <c r="G904" s="32">
        <v>45939</v>
      </c>
      <c r="H904">
        <f>COUNTIFS('Audit Raw data'!J:J,B:B,'Audit Raw data'!E:E,G:G)</f>
        <v>0</v>
      </c>
      <c r="I904" s="44" t="str">
        <f>IFERROR((SUMIFS('Audit Raw data'!BZ:BZ,'Audit Raw data'!J:J,B:B,'Audit Raw data'!E:E,G:G)/H904)/100,"-")</f>
        <v>-</v>
      </c>
      <c r="J904">
        <f>COUNTIFS('Audit Raw data'!AM:AM,"Yes",'Audit Raw data'!J:J,B:B,'Audit Raw data'!E:E,'Day wise agent'!G:G)</f>
        <v>0</v>
      </c>
      <c r="K904">
        <f>COUNTIFS('Audit Raw data'!AM:AM,"NO",'Audit Raw data'!J:J,B:B,'Audit Raw data'!E:E,'Day wise agent'!G:G)</f>
        <v>0</v>
      </c>
      <c r="L904" s="12" t="str">
        <f t="shared" si="29"/>
        <v xml:space="preserve"> </v>
      </c>
    </row>
    <row r="905" spans="1:12" x14ac:dyDescent="0.35">
      <c r="A905" t="str">
        <f t="shared" si="28"/>
        <v>SBM96745939</v>
      </c>
      <c r="B905" t="s">
        <v>657</v>
      </c>
      <c r="C905" t="s">
        <v>1507</v>
      </c>
      <c r="D905" s="32">
        <v>45640</v>
      </c>
      <c r="E905" t="s">
        <v>1453</v>
      </c>
      <c r="F905" t="str">
        <f>VLOOKUP(B905,'Agent wise'!A:E,5,0)</f>
        <v>Wireless</v>
      </c>
      <c r="G905" s="32">
        <v>45939</v>
      </c>
      <c r="H905">
        <f>COUNTIFS('Audit Raw data'!J:J,B:B,'Audit Raw data'!E:E,G:G)</f>
        <v>0</v>
      </c>
      <c r="I905" s="44" t="str">
        <f>IFERROR((SUMIFS('Audit Raw data'!BZ:BZ,'Audit Raw data'!J:J,B:B,'Audit Raw data'!E:E,G:G)/H905)/100,"-")</f>
        <v>-</v>
      </c>
      <c r="J905">
        <f>COUNTIFS('Audit Raw data'!AM:AM,"Yes",'Audit Raw data'!J:J,B:B,'Audit Raw data'!E:E,'Day wise agent'!G:G)</f>
        <v>0</v>
      </c>
      <c r="K905">
        <f>COUNTIFS('Audit Raw data'!AM:AM,"NO",'Audit Raw data'!J:J,B:B,'Audit Raw data'!E:E,'Day wise agent'!G:G)</f>
        <v>0</v>
      </c>
      <c r="L905" s="12" t="str">
        <f t="shared" si="29"/>
        <v xml:space="preserve"> </v>
      </c>
    </row>
    <row r="906" spans="1:12" x14ac:dyDescent="0.35">
      <c r="A906" t="str">
        <f t="shared" si="28"/>
        <v>SBM98345939</v>
      </c>
      <c r="B906" t="s">
        <v>1509</v>
      </c>
      <c r="C906" t="s">
        <v>1510</v>
      </c>
      <c r="D906" s="32">
        <v>45659</v>
      </c>
      <c r="E906" t="s">
        <v>1484</v>
      </c>
      <c r="F906" t="str">
        <f>VLOOKUP(B906,'Agent wise'!A:E,5,0)</f>
        <v>Wireless</v>
      </c>
      <c r="G906" s="32">
        <v>45939</v>
      </c>
      <c r="H906">
        <f>COUNTIFS('Audit Raw data'!J:J,B:B,'Audit Raw data'!E:E,G:G)</f>
        <v>0</v>
      </c>
      <c r="I906" s="44" t="str">
        <f>IFERROR((SUMIFS('Audit Raw data'!BZ:BZ,'Audit Raw data'!J:J,B:B,'Audit Raw data'!E:E,G:G)/H906)/100,"-")</f>
        <v>-</v>
      </c>
      <c r="J906">
        <f>COUNTIFS('Audit Raw data'!AM:AM,"Yes",'Audit Raw data'!J:J,B:B,'Audit Raw data'!E:E,'Day wise agent'!G:G)</f>
        <v>0</v>
      </c>
      <c r="K906">
        <f>COUNTIFS('Audit Raw data'!AM:AM,"NO",'Audit Raw data'!J:J,B:B,'Audit Raw data'!E:E,'Day wise agent'!G:G)</f>
        <v>0</v>
      </c>
      <c r="L906" s="12" t="str">
        <f t="shared" si="29"/>
        <v xml:space="preserve"> </v>
      </c>
    </row>
    <row r="907" spans="1:12" x14ac:dyDescent="0.35">
      <c r="A907" t="str">
        <f t="shared" si="28"/>
        <v>SBM99045939</v>
      </c>
      <c r="B907" t="s">
        <v>660</v>
      </c>
      <c r="C907" t="s">
        <v>1512</v>
      </c>
      <c r="D907" s="32">
        <v>45663</v>
      </c>
      <c r="E907" t="s">
        <v>178</v>
      </c>
      <c r="F907" t="str">
        <f>VLOOKUP(B907,'Agent wise'!A:E,5,0)</f>
        <v>Wireless</v>
      </c>
      <c r="G907" s="32">
        <v>45939</v>
      </c>
      <c r="H907">
        <f>COUNTIFS('Audit Raw data'!J:J,B:B,'Audit Raw data'!E:E,G:G)</f>
        <v>0</v>
      </c>
      <c r="I907" s="44" t="str">
        <f>IFERROR((SUMIFS('Audit Raw data'!BZ:BZ,'Audit Raw data'!J:J,B:B,'Audit Raw data'!E:E,G:G)/H907)/100,"-")</f>
        <v>-</v>
      </c>
      <c r="J907">
        <f>COUNTIFS('Audit Raw data'!AM:AM,"Yes",'Audit Raw data'!J:J,B:B,'Audit Raw data'!E:E,'Day wise agent'!G:G)</f>
        <v>0</v>
      </c>
      <c r="K907">
        <f>COUNTIFS('Audit Raw data'!AM:AM,"NO",'Audit Raw data'!J:J,B:B,'Audit Raw data'!E:E,'Day wise agent'!G:G)</f>
        <v>0</v>
      </c>
      <c r="L907" s="12" t="str">
        <f t="shared" si="29"/>
        <v xml:space="preserve"> </v>
      </c>
    </row>
    <row r="908" spans="1:12" x14ac:dyDescent="0.35">
      <c r="A908" t="str">
        <f t="shared" si="28"/>
        <v>VPS10645939</v>
      </c>
      <c r="B908" t="s">
        <v>1513</v>
      </c>
      <c r="C908" t="s">
        <v>1514</v>
      </c>
      <c r="D908" s="32">
        <v>45674</v>
      </c>
      <c r="E908" t="s">
        <v>1456</v>
      </c>
      <c r="F908" t="str">
        <f>VLOOKUP(B908,'Agent wise'!A:E,5,0)</f>
        <v>RECL</v>
      </c>
      <c r="G908" s="32">
        <v>45939</v>
      </c>
      <c r="H908">
        <f>COUNTIFS('Audit Raw data'!J:J,B:B,'Audit Raw data'!E:E,G:G)</f>
        <v>0</v>
      </c>
      <c r="I908" s="44" t="str">
        <f>IFERROR((SUMIFS('Audit Raw data'!BZ:BZ,'Audit Raw data'!J:J,B:B,'Audit Raw data'!E:E,G:G)/H908)/100,"-")</f>
        <v>-</v>
      </c>
      <c r="J908">
        <f>COUNTIFS('Audit Raw data'!AM:AM,"Yes",'Audit Raw data'!J:J,B:B,'Audit Raw data'!E:E,'Day wise agent'!G:G)</f>
        <v>0</v>
      </c>
      <c r="K908">
        <f>COUNTIFS('Audit Raw data'!AM:AM,"NO",'Audit Raw data'!J:J,B:B,'Audit Raw data'!E:E,'Day wise agent'!G:G)</f>
        <v>0</v>
      </c>
      <c r="L908" s="12" t="str">
        <f t="shared" si="29"/>
        <v xml:space="preserve"> </v>
      </c>
    </row>
    <row r="909" spans="1:12" x14ac:dyDescent="0.35">
      <c r="A909" t="str">
        <f t="shared" si="28"/>
        <v>VPS11145939</v>
      </c>
      <c r="B909" t="s">
        <v>108</v>
      </c>
      <c r="C909" t="s">
        <v>1515</v>
      </c>
      <c r="D909" s="32">
        <v>45675</v>
      </c>
      <c r="E909" t="s">
        <v>1484</v>
      </c>
      <c r="F909" t="str">
        <f>VLOOKUP(B909,'Agent wise'!A:E,5,0)</f>
        <v>Wireless</v>
      </c>
      <c r="G909" s="32">
        <v>45939</v>
      </c>
      <c r="H909">
        <f>COUNTIFS('Audit Raw data'!J:J,B:B,'Audit Raw data'!E:E,G:G)</f>
        <v>0</v>
      </c>
      <c r="I909" s="44" t="str">
        <f>IFERROR((SUMIFS('Audit Raw data'!BZ:BZ,'Audit Raw data'!J:J,B:B,'Audit Raw data'!E:E,G:G)/H909)/100,"-")</f>
        <v>-</v>
      </c>
      <c r="J909">
        <f>COUNTIFS('Audit Raw data'!AM:AM,"Yes",'Audit Raw data'!J:J,B:B,'Audit Raw data'!E:E,'Day wise agent'!G:G)</f>
        <v>0</v>
      </c>
      <c r="K909">
        <f>COUNTIFS('Audit Raw data'!AM:AM,"NO",'Audit Raw data'!J:J,B:B,'Audit Raw data'!E:E,'Day wise agent'!G:G)</f>
        <v>0</v>
      </c>
      <c r="L909" s="12" t="str">
        <f t="shared" si="29"/>
        <v xml:space="preserve"> </v>
      </c>
    </row>
    <row r="910" spans="1:12" x14ac:dyDescent="0.35">
      <c r="A910" t="str">
        <f t="shared" si="28"/>
        <v>VPS12045939</v>
      </c>
      <c r="B910" t="s">
        <v>263</v>
      </c>
      <c r="C910" t="s">
        <v>1516</v>
      </c>
      <c r="D910" s="32">
        <v>45690</v>
      </c>
      <c r="E910" t="s">
        <v>178</v>
      </c>
      <c r="F910" t="str">
        <f>VLOOKUP(B910,'Agent wise'!A:E,5,0)</f>
        <v>Wireless</v>
      </c>
      <c r="G910" s="32">
        <v>45939</v>
      </c>
      <c r="H910">
        <f>COUNTIFS('Audit Raw data'!J:J,B:B,'Audit Raw data'!E:E,G:G)</f>
        <v>0</v>
      </c>
      <c r="I910" s="44" t="str">
        <f>IFERROR((SUMIFS('Audit Raw data'!BZ:BZ,'Audit Raw data'!J:J,B:B,'Audit Raw data'!E:E,G:G)/H910)/100,"-")</f>
        <v>-</v>
      </c>
      <c r="J910">
        <f>COUNTIFS('Audit Raw data'!AM:AM,"Yes",'Audit Raw data'!J:J,B:B,'Audit Raw data'!E:E,'Day wise agent'!G:G)</f>
        <v>0</v>
      </c>
      <c r="K910">
        <f>COUNTIFS('Audit Raw data'!AM:AM,"NO",'Audit Raw data'!J:J,B:B,'Audit Raw data'!E:E,'Day wise agent'!G:G)</f>
        <v>0</v>
      </c>
      <c r="L910" s="12" t="str">
        <f t="shared" si="29"/>
        <v xml:space="preserve"> </v>
      </c>
    </row>
    <row r="911" spans="1:12" x14ac:dyDescent="0.35">
      <c r="A911" t="str">
        <f t="shared" si="28"/>
        <v>VPS12445939</v>
      </c>
      <c r="B911" t="s">
        <v>1517</v>
      </c>
      <c r="C911" t="s">
        <v>1518</v>
      </c>
      <c r="D911" s="32">
        <v>45705</v>
      </c>
      <c r="E911" t="s">
        <v>1456</v>
      </c>
      <c r="F911" t="str">
        <f>VLOOKUP(B911,'Agent wise'!A:E,5,0)</f>
        <v>RECL</v>
      </c>
      <c r="G911" s="32">
        <v>45939</v>
      </c>
      <c r="H911">
        <f>COUNTIFS('Audit Raw data'!J:J,B:B,'Audit Raw data'!E:E,G:G)</f>
        <v>0</v>
      </c>
      <c r="I911" s="44" t="str">
        <f>IFERROR((SUMIFS('Audit Raw data'!BZ:BZ,'Audit Raw data'!J:J,B:B,'Audit Raw data'!E:E,G:G)/H911)/100,"-")</f>
        <v>-</v>
      </c>
      <c r="J911">
        <f>COUNTIFS('Audit Raw data'!AM:AM,"Yes",'Audit Raw data'!J:J,B:B,'Audit Raw data'!E:E,'Day wise agent'!G:G)</f>
        <v>0</v>
      </c>
      <c r="K911">
        <f>COUNTIFS('Audit Raw data'!AM:AM,"NO",'Audit Raw data'!J:J,B:B,'Audit Raw data'!E:E,'Day wise agent'!G:G)</f>
        <v>0</v>
      </c>
      <c r="L911" s="12" t="str">
        <f t="shared" si="29"/>
        <v xml:space="preserve"> </v>
      </c>
    </row>
    <row r="912" spans="1:12" x14ac:dyDescent="0.35">
      <c r="A912" t="str">
        <f t="shared" si="28"/>
        <v>VPS12645939</v>
      </c>
      <c r="B912" t="s">
        <v>1521</v>
      </c>
      <c r="C912" t="s">
        <v>1522</v>
      </c>
      <c r="D912" s="32">
        <v>45710</v>
      </c>
      <c r="E912" t="s">
        <v>1456</v>
      </c>
      <c r="F912" t="str">
        <f>VLOOKUP(B912,'Agent wise'!A:E,5,0)</f>
        <v>RECL</v>
      </c>
      <c r="G912" s="32">
        <v>45939</v>
      </c>
      <c r="H912">
        <f>COUNTIFS('Audit Raw data'!J:J,B:B,'Audit Raw data'!E:E,G:G)</f>
        <v>0</v>
      </c>
      <c r="I912" s="44" t="str">
        <f>IFERROR((SUMIFS('Audit Raw data'!BZ:BZ,'Audit Raw data'!J:J,B:B,'Audit Raw data'!E:E,G:G)/H912)/100,"-")</f>
        <v>-</v>
      </c>
      <c r="J912">
        <f>COUNTIFS('Audit Raw data'!AM:AM,"Yes",'Audit Raw data'!J:J,B:B,'Audit Raw data'!E:E,'Day wise agent'!G:G)</f>
        <v>0</v>
      </c>
      <c r="K912">
        <f>COUNTIFS('Audit Raw data'!AM:AM,"NO",'Audit Raw data'!J:J,B:B,'Audit Raw data'!E:E,'Day wise agent'!G:G)</f>
        <v>0</v>
      </c>
      <c r="L912" s="12" t="str">
        <f t="shared" si="29"/>
        <v xml:space="preserve"> </v>
      </c>
    </row>
    <row r="913" spans="1:12" x14ac:dyDescent="0.35">
      <c r="A913" t="str">
        <f t="shared" si="28"/>
        <v>VPS12745939</v>
      </c>
      <c r="B913" t="s">
        <v>1523</v>
      </c>
      <c r="C913" t="s">
        <v>1524</v>
      </c>
      <c r="D913" s="32">
        <v>45710</v>
      </c>
      <c r="E913" t="s">
        <v>1456</v>
      </c>
      <c r="F913" t="str">
        <f>VLOOKUP(B913,'Agent wise'!A:E,5,0)</f>
        <v>RECL</v>
      </c>
      <c r="G913" s="32">
        <v>45939</v>
      </c>
      <c r="H913">
        <f>COUNTIFS('Audit Raw data'!J:J,B:B,'Audit Raw data'!E:E,G:G)</f>
        <v>0</v>
      </c>
      <c r="I913" s="44" t="str">
        <f>IFERROR((SUMIFS('Audit Raw data'!BZ:BZ,'Audit Raw data'!J:J,B:B,'Audit Raw data'!E:E,G:G)/H913)/100,"-")</f>
        <v>-</v>
      </c>
      <c r="J913">
        <f>COUNTIFS('Audit Raw data'!AM:AM,"Yes",'Audit Raw data'!J:J,B:B,'Audit Raw data'!E:E,'Day wise agent'!G:G)</f>
        <v>0</v>
      </c>
      <c r="K913">
        <f>COUNTIFS('Audit Raw data'!AM:AM,"NO",'Audit Raw data'!J:J,B:B,'Audit Raw data'!E:E,'Day wise agent'!G:G)</f>
        <v>0</v>
      </c>
      <c r="L913" s="12" t="str">
        <f t="shared" si="29"/>
        <v xml:space="preserve"> </v>
      </c>
    </row>
    <row r="914" spans="1:12" x14ac:dyDescent="0.35">
      <c r="A914" t="str">
        <f t="shared" si="28"/>
        <v>VPS13045939</v>
      </c>
      <c r="B914" t="s">
        <v>662</v>
      </c>
      <c r="C914" t="s">
        <v>1525</v>
      </c>
      <c r="D914" s="32">
        <v>45710</v>
      </c>
      <c r="E914" t="s">
        <v>1484</v>
      </c>
      <c r="F914" t="str">
        <f>VLOOKUP(B914,'Agent wise'!A:E,5,0)</f>
        <v>Wireless</v>
      </c>
      <c r="G914" s="32">
        <v>45939</v>
      </c>
      <c r="H914">
        <f>COUNTIFS('Audit Raw data'!J:J,B:B,'Audit Raw data'!E:E,G:G)</f>
        <v>0</v>
      </c>
      <c r="I914" s="44" t="str">
        <f>IFERROR((SUMIFS('Audit Raw data'!BZ:BZ,'Audit Raw data'!J:J,B:B,'Audit Raw data'!E:E,G:G)/H914)/100,"-")</f>
        <v>-</v>
      </c>
      <c r="J914">
        <f>COUNTIFS('Audit Raw data'!AM:AM,"Yes",'Audit Raw data'!J:J,B:B,'Audit Raw data'!E:E,'Day wise agent'!G:G)</f>
        <v>0</v>
      </c>
      <c r="K914">
        <f>COUNTIFS('Audit Raw data'!AM:AM,"NO",'Audit Raw data'!J:J,B:B,'Audit Raw data'!E:E,'Day wise agent'!G:G)</f>
        <v>0</v>
      </c>
      <c r="L914" s="12" t="str">
        <f t="shared" si="29"/>
        <v xml:space="preserve"> </v>
      </c>
    </row>
    <row r="915" spans="1:12" x14ac:dyDescent="0.35">
      <c r="A915" t="str">
        <f t="shared" si="28"/>
        <v>VPS13145939</v>
      </c>
      <c r="B915" t="s">
        <v>1519</v>
      </c>
      <c r="C915" t="s">
        <v>1520</v>
      </c>
      <c r="D915" s="32">
        <v>45710</v>
      </c>
      <c r="E915" t="s">
        <v>1456</v>
      </c>
      <c r="F915" t="str">
        <f>VLOOKUP(B915,'Agent wise'!A:E,5,0)</f>
        <v>RECL</v>
      </c>
      <c r="G915" s="32">
        <v>45939</v>
      </c>
      <c r="H915">
        <f>COUNTIFS('Audit Raw data'!J:J,B:B,'Audit Raw data'!E:E,G:G)</f>
        <v>0</v>
      </c>
      <c r="I915" s="44" t="str">
        <f>IFERROR((SUMIFS('Audit Raw data'!BZ:BZ,'Audit Raw data'!J:J,B:B,'Audit Raw data'!E:E,G:G)/H915)/100,"-")</f>
        <v>-</v>
      </c>
      <c r="J915">
        <f>COUNTIFS('Audit Raw data'!AM:AM,"Yes",'Audit Raw data'!J:J,B:B,'Audit Raw data'!E:E,'Day wise agent'!G:G)</f>
        <v>0</v>
      </c>
      <c r="K915">
        <f>COUNTIFS('Audit Raw data'!AM:AM,"NO",'Audit Raw data'!J:J,B:B,'Audit Raw data'!E:E,'Day wise agent'!G:G)</f>
        <v>0</v>
      </c>
      <c r="L915" s="12" t="str">
        <f t="shared" si="29"/>
        <v xml:space="preserve"> </v>
      </c>
    </row>
    <row r="916" spans="1:12" x14ac:dyDescent="0.35">
      <c r="A916" t="str">
        <f t="shared" si="28"/>
        <v>VPS13245939</v>
      </c>
      <c r="B916" t="s">
        <v>1526</v>
      </c>
      <c r="C916" t="s">
        <v>1527</v>
      </c>
      <c r="D916" s="32">
        <v>45717</v>
      </c>
      <c r="E916" t="s">
        <v>221</v>
      </c>
      <c r="F916" t="str">
        <f>VLOOKUP(B916,'Agent wise'!A:E,5,0)</f>
        <v>Wire-line</v>
      </c>
      <c r="G916" s="32">
        <v>45939</v>
      </c>
      <c r="H916">
        <f>COUNTIFS('Audit Raw data'!J:J,B:B,'Audit Raw data'!E:E,G:G)</f>
        <v>0</v>
      </c>
      <c r="I916" s="44" t="str">
        <f>IFERROR((SUMIFS('Audit Raw data'!BZ:BZ,'Audit Raw data'!J:J,B:B,'Audit Raw data'!E:E,G:G)/H916)/100,"-")</f>
        <v>-</v>
      </c>
      <c r="J916">
        <f>COUNTIFS('Audit Raw data'!AM:AM,"Yes",'Audit Raw data'!J:J,B:B,'Audit Raw data'!E:E,'Day wise agent'!G:G)</f>
        <v>0</v>
      </c>
      <c r="K916">
        <f>COUNTIFS('Audit Raw data'!AM:AM,"NO",'Audit Raw data'!J:J,B:B,'Audit Raw data'!E:E,'Day wise agent'!G:G)</f>
        <v>0</v>
      </c>
      <c r="L916" s="12" t="str">
        <f t="shared" si="29"/>
        <v xml:space="preserve"> </v>
      </c>
    </row>
    <row r="917" spans="1:12" x14ac:dyDescent="0.35">
      <c r="A917" t="str">
        <f t="shared" si="28"/>
        <v>VPS14345939</v>
      </c>
      <c r="B917" t="s">
        <v>269</v>
      </c>
      <c r="C917" t="s">
        <v>1528</v>
      </c>
      <c r="D917" s="32">
        <v>45723</v>
      </c>
      <c r="E917" t="s">
        <v>1484</v>
      </c>
      <c r="F917" t="str">
        <f>VLOOKUP(B917,'Agent wise'!A:E,5,0)</f>
        <v>Wireless</v>
      </c>
      <c r="G917" s="32">
        <v>45939</v>
      </c>
      <c r="H917">
        <f>COUNTIFS('Audit Raw data'!J:J,B:B,'Audit Raw data'!E:E,G:G)</f>
        <v>0</v>
      </c>
      <c r="I917" s="44" t="str">
        <f>IFERROR((SUMIFS('Audit Raw data'!BZ:BZ,'Audit Raw data'!J:J,B:B,'Audit Raw data'!E:E,G:G)/H917)/100,"-")</f>
        <v>-</v>
      </c>
      <c r="J917">
        <f>COUNTIFS('Audit Raw data'!AM:AM,"Yes",'Audit Raw data'!J:J,B:B,'Audit Raw data'!E:E,'Day wise agent'!G:G)</f>
        <v>0</v>
      </c>
      <c r="K917">
        <f>COUNTIFS('Audit Raw data'!AM:AM,"NO",'Audit Raw data'!J:J,B:B,'Audit Raw data'!E:E,'Day wise agent'!G:G)</f>
        <v>0</v>
      </c>
      <c r="L917" s="12" t="str">
        <f t="shared" si="29"/>
        <v xml:space="preserve"> </v>
      </c>
    </row>
    <row r="918" spans="1:12" x14ac:dyDescent="0.35">
      <c r="A918" t="str">
        <f t="shared" si="28"/>
        <v>VPS15145939</v>
      </c>
      <c r="B918" t="s">
        <v>274</v>
      </c>
      <c r="C918" t="s">
        <v>1529</v>
      </c>
      <c r="D918" s="32">
        <v>45735</v>
      </c>
      <c r="E918" t="s">
        <v>107</v>
      </c>
      <c r="F918" t="str">
        <f>VLOOKUP(B918,'Agent wise'!A:E,5,0)</f>
        <v>Wireless</v>
      </c>
      <c r="G918" s="32">
        <v>45939</v>
      </c>
      <c r="H918">
        <f>COUNTIFS('Audit Raw data'!J:J,B:B,'Audit Raw data'!E:E,G:G)</f>
        <v>0</v>
      </c>
      <c r="I918" s="44" t="str">
        <f>IFERROR((SUMIFS('Audit Raw data'!BZ:BZ,'Audit Raw data'!J:J,B:B,'Audit Raw data'!E:E,G:G)/H918)/100,"-")</f>
        <v>-</v>
      </c>
      <c r="J918">
        <f>COUNTIFS('Audit Raw data'!AM:AM,"Yes",'Audit Raw data'!J:J,B:B,'Audit Raw data'!E:E,'Day wise agent'!G:G)</f>
        <v>0</v>
      </c>
      <c r="K918">
        <f>COUNTIFS('Audit Raw data'!AM:AM,"NO",'Audit Raw data'!J:J,B:B,'Audit Raw data'!E:E,'Day wise agent'!G:G)</f>
        <v>0</v>
      </c>
      <c r="L918" s="12" t="str">
        <f t="shared" si="29"/>
        <v xml:space="preserve"> </v>
      </c>
    </row>
    <row r="919" spans="1:12" x14ac:dyDescent="0.35">
      <c r="A919" t="str">
        <f t="shared" si="28"/>
        <v>VPS16045939</v>
      </c>
      <c r="B919" t="s">
        <v>258</v>
      </c>
      <c r="C919" t="s">
        <v>1530</v>
      </c>
      <c r="D919" s="32">
        <v>45748</v>
      </c>
      <c r="E919" t="s">
        <v>1484</v>
      </c>
      <c r="F919" t="str">
        <f>VLOOKUP(B919,'Agent wise'!A:E,5,0)</f>
        <v>Wireless</v>
      </c>
      <c r="G919" s="32">
        <v>45939</v>
      </c>
      <c r="H919">
        <f>COUNTIFS('Audit Raw data'!J:J,B:B,'Audit Raw data'!E:E,G:G)</f>
        <v>1</v>
      </c>
      <c r="I919" s="44">
        <f>IFERROR((SUMIFS('Audit Raw data'!BZ:BZ,'Audit Raw data'!J:J,B:B,'Audit Raw data'!E:E,G:G)/H919)/100,"-")</f>
        <v>0.9</v>
      </c>
      <c r="J919">
        <f>COUNTIFS('Audit Raw data'!AM:AM,"Yes",'Audit Raw data'!J:J,B:B,'Audit Raw data'!E:E,'Day wise agent'!G:G)</f>
        <v>1</v>
      </c>
      <c r="K919">
        <f>COUNTIFS('Audit Raw data'!AM:AM,"NO",'Audit Raw data'!J:J,B:B,'Audit Raw data'!E:E,'Day wise agent'!G:G)</f>
        <v>0</v>
      </c>
      <c r="L919" s="12">
        <f t="shared" si="29"/>
        <v>1</v>
      </c>
    </row>
    <row r="920" spans="1:12" x14ac:dyDescent="0.35">
      <c r="A920" t="str">
        <f t="shared" si="28"/>
        <v>VPS17145939</v>
      </c>
      <c r="B920" t="s">
        <v>307</v>
      </c>
      <c r="C920" t="s">
        <v>1531</v>
      </c>
      <c r="D920" s="32">
        <v>45767</v>
      </c>
      <c r="E920" t="s">
        <v>221</v>
      </c>
      <c r="F920" t="str">
        <f>VLOOKUP(B920,'Agent wise'!A:E,5,0)</f>
        <v>Wire-line</v>
      </c>
      <c r="G920" s="32">
        <v>45939</v>
      </c>
      <c r="H920">
        <f>COUNTIFS('Audit Raw data'!J:J,B:B,'Audit Raw data'!E:E,G:G)</f>
        <v>0</v>
      </c>
      <c r="I920" s="44" t="str">
        <f>IFERROR((SUMIFS('Audit Raw data'!BZ:BZ,'Audit Raw data'!J:J,B:B,'Audit Raw data'!E:E,G:G)/H920)/100,"-")</f>
        <v>-</v>
      </c>
      <c r="J920">
        <f>COUNTIFS('Audit Raw data'!AM:AM,"Yes",'Audit Raw data'!J:J,B:B,'Audit Raw data'!E:E,'Day wise agent'!G:G)</f>
        <v>0</v>
      </c>
      <c r="K920">
        <f>COUNTIFS('Audit Raw data'!AM:AM,"NO",'Audit Raw data'!J:J,B:B,'Audit Raw data'!E:E,'Day wise agent'!G:G)</f>
        <v>0</v>
      </c>
      <c r="L920" s="12" t="str">
        <f t="shared" si="29"/>
        <v xml:space="preserve"> </v>
      </c>
    </row>
    <row r="921" spans="1:12" x14ac:dyDescent="0.35">
      <c r="A921" t="str">
        <f t="shared" si="28"/>
        <v>VPS17745939</v>
      </c>
      <c r="B921" t="s">
        <v>280</v>
      </c>
      <c r="C921" t="s">
        <v>1532</v>
      </c>
      <c r="D921" s="32">
        <v>45766</v>
      </c>
      <c r="E921" t="s">
        <v>1453</v>
      </c>
      <c r="F921" t="str">
        <f>VLOOKUP(B921,'Agent wise'!A:E,5,0)</f>
        <v>Wireless</v>
      </c>
      <c r="G921" s="32">
        <v>45939</v>
      </c>
      <c r="H921">
        <f>COUNTIFS('Audit Raw data'!J:J,B:B,'Audit Raw data'!E:E,G:G)</f>
        <v>0</v>
      </c>
      <c r="I921" s="44" t="str">
        <f>IFERROR((SUMIFS('Audit Raw data'!BZ:BZ,'Audit Raw data'!J:J,B:B,'Audit Raw data'!E:E,G:G)/H921)/100,"-")</f>
        <v>-</v>
      </c>
      <c r="J921">
        <f>COUNTIFS('Audit Raw data'!AM:AM,"Yes",'Audit Raw data'!J:J,B:B,'Audit Raw data'!E:E,'Day wise agent'!G:G)</f>
        <v>0</v>
      </c>
      <c r="K921">
        <f>COUNTIFS('Audit Raw data'!AM:AM,"NO",'Audit Raw data'!J:J,B:B,'Audit Raw data'!E:E,'Day wise agent'!G:G)</f>
        <v>0</v>
      </c>
      <c r="L921" s="12" t="str">
        <f t="shared" si="29"/>
        <v xml:space="preserve"> </v>
      </c>
    </row>
    <row r="922" spans="1:12" x14ac:dyDescent="0.35">
      <c r="A922" t="str">
        <f t="shared" si="28"/>
        <v>VPS18145939</v>
      </c>
      <c r="B922" t="s">
        <v>234</v>
      </c>
      <c r="C922" t="s">
        <v>1533</v>
      </c>
      <c r="D922" s="32">
        <v>45775</v>
      </c>
      <c r="E922" t="s">
        <v>221</v>
      </c>
      <c r="F922" t="str">
        <f>VLOOKUP(B922,'Agent wise'!A:E,5,0)</f>
        <v>Wire-line</v>
      </c>
      <c r="G922" s="32">
        <v>45939</v>
      </c>
      <c r="H922">
        <f>COUNTIFS('Audit Raw data'!J:J,B:B,'Audit Raw data'!E:E,G:G)</f>
        <v>0</v>
      </c>
      <c r="I922" s="44" t="str">
        <f>IFERROR((SUMIFS('Audit Raw data'!BZ:BZ,'Audit Raw data'!J:J,B:B,'Audit Raw data'!E:E,G:G)/H922)/100,"-")</f>
        <v>-</v>
      </c>
      <c r="J922">
        <f>COUNTIFS('Audit Raw data'!AM:AM,"Yes",'Audit Raw data'!J:J,B:B,'Audit Raw data'!E:E,'Day wise agent'!G:G)</f>
        <v>0</v>
      </c>
      <c r="K922">
        <f>COUNTIFS('Audit Raw data'!AM:AM,"NO",'Audit Raw data'!J:J,B:B,'Audit Raw data'!E:E,'Day wise agent'!G:G)</f>
        <v>0</v>
      </c>
      <c r="L922" s="12" t="str">
        <f t="shared" si="29"/>
        <v xml:space="preserve"> </v>
      </c>
    </row>
    <row r="923" spans="1:12" x14ac:dyDescent="0.35">
      <c r="A923" t="str">
        <f t="shared" si="28"/>
        <v>VPS18245939</v>
      </c>
      <c r="B923" t="s">
        <v>568</v>
      </c>
      <c r="C923" t="s">
        <v>1534</v>
      </c>
      <c r="D923" s="32">
        <v>45797</v>
      </c>
      <c r="E923" t="s">
        <v>221</v>
      </c>
      <c r="F923" t="str">
        <f>VLOOKUP(B923,'Agent wise'!A:E,5,0)</f>
        <v>Wire-line</v>
      </c>
      <c r="G923" s="32">
        <v>45939</v>
      </c>
      <c r="H923">
        <f>COUNTIFS('Audit Raw data'!J:J,B:B,'Audit Raw data'!E:E,G:G)</f>
        <v>0</v>
      </c>
      <c r="I923" s="44" t="str">
        <f>IFERROR((SUMIFS('Audit Raw data'!BZ:BZ,'Audit Raw data'!J:J,B:B,'Audit Raw data'!E:E,G:G)/H923)/100,"-")</f>
        <v>-</v>
      </c>
      <c r="J923">
        <f>COUNTIFS('Audit Raw data'!AM:AM,"Yes",'Audit Raw data'!J:J,B:B,'Audit Raw data'!E:E,'Day wise agent'!G:G)</f>
        <v>0</v>
      </c>
      <c r="K923">
        <f>COUNTIFS('Audit Raw data'!AM:AM,"NO",'Audit Raw data'!J:J,B:B,'Audit Raw data'!E:E,'Day wise agent'!G:G)</f>
        <v>0</v>
      </c>
      <c r="L923" s="12" t="str">
        <f t="shared" si="29"/>
        <v xml:space="preserve"> </v>
      </c>
    </row>
    <row r="924" spans="1:12" x14ac:dyDescent="0.35">
      <c r="A924" t="str">
        <f t="shared" si="28"/>
        <v>VPS18345939</v>
      </c>
      <c r="B924" t="s">
        <v>570</v>
      </c>
      <c r="C924" t="s">
        <v>1535</v>
      </c>
      <c r="D924" s="32">
        <v>45797</v>
      </c>
      <c r="E924" t="s">
        <v>221</v>
      </c>
      <c r="F924" t="str">
        <f>VLOOKUP(B924,'Agent wise'!A:E,5,0)</f>
        <v>Wire-line</v>
      </c>
      <c r="G924" s="32">
        <v>45939</v>
      </c>
      <c r="H924">
        <f>COUNTIFS('Audit Raw data'!J:J,B:B,'Audit Raw data'!E:E,G:G)</f>
        <v>0</v>
      </c>
      <c r="I924" s="44" t="str">
        <f>IFERROR((SUMIFS('Audit Raw data'!BZ:BZ,'Audit Raw data'!J:J,B:B,'Audit Raw data'!E:E,G:G)/H924)/100,"-")</f>
        <v>-</v>
      </c>
      <c r="J924">
        <f>COUNTIFS('Audit Raw data'!AM:AM,"Yes",'Audit Raw data'!J:J,B:B,'Audit Raw data'!E:E,'Day wise agent'!G:G)</f>
        <v>0</v>
      </c>
      <c r="K924">
        <f>COUNTIFS('Audit Raw data'!AM:AM,"NO",'Audit Raw data'!J:J,B:B,'Audit Raw data'!E:E,'Day wise agent'!G:G)</f>
        <v>0</v>
      </c>
      <c r="L924" s="12" t="str">
        <f t="shared" si="29"/>
        <v xml:space="preserve"> </v>
      </c>
    </row>
    <row r="925" spans="1:12" x14ac:dyDescent="0.35">
      <c r="A925" t="str">
        <f t="shared" si="28"/>
        <v>VPS18445939</v>
      </c>
      <c r="B925" t="s">
        <v>117</v>
      </c>
      <c r="C925" t="s">
        <v>1536</v>
      </c>
      <c r="D925" s="32">
        <v>45809</v>
      </c>
      <c r="E925" t="s">
        <v>1453</v>
      </c>
      <c r="F925" t="str">
        <f>VLOOKUP(B925,'Agent wise'!A:E,5,0)</f>
        <v>Wireless</v>
      </c>
      <c r="G925" s="32">
        <v>45939</v>
      </c>
      <c r="H925">
        <f>COUNTIFS('Audit Raw data'!J:J,B:B,'Audit Raw data'!E:E,G:G)</f>
        <v>0</v>
      </c>
      <c r="I925" s="44" t="str">
        <f>IFERROR((SUMIFS('Audit Raw data'!BZ:BZ,'Audit Raw data'!J:J,B:B,'Audit Raw data'!E:E,G:G)/H925)/100,"-")</f>
        <v>-</v>
      </c>
      <c r="J925">
        <f>COUNTIFS('Audit Raw data'!AM:AM,"Yes",'Audit Raw data'!J:J,B:B,'Audit Raw data'!E:E,'Day wise agent'!G:G)</f>
        <v>0</v>
      </c>
      <c r="K925">
        <f>COUNTIFS('Audit Raw data'!AM:AM,"NO",'Audit Raw data'!J:J,B:B,'Audit Raw data'!E:E,'Day wise agent'!G:G)</f>
        <v>0</v>
      </c>
      <c r="L925" s="12" t="str">
        <f t="shared" si="29"/>
        <v xml:space="preserve"> </v>
      </c>
    </row>
    <row r="926" spans="1:12" x14ac:dyDescent="0.35">
      <c r="A926" t="str">
        <f t="shared" si="28"/>
        <v>VPS19145939</v>
      </c>
      <c r="B926" t="s">
        <v>586</v>
      </c>
      <c r="C926" t="s">
        <v>1537</v>
      </c>
      <c r="D926" s="32">
        <v>45809</v>
      </c>
      <c r="E926" t="s">
        <v>107</v>
      </c>
      <c r="F926" t="str">
        <f>VLOOKUP(B926,'Agent wise'!A:E,5,0)</f>
        <v>Wireless</v>
      </c>
      <c r="G926" s="32">
        <v>45939</v>
      </c>
      <c r="H926">
        <f>COUNTIFS('Audit Raw data'!J:J,B:B,'Audit Raw data'!E:E,G:G)</f>
        <v>0</v>
      </c>
      <c r="I926" s="44" t="str">
        <f>IFERROR((SUMIFS('Audit Raw data'!BZ:BZ,'Audit Raw data'!J:J,B:B,'Audit Raw data'!E:E,G:G)/H926)/100,"-")</f>
        <v>-</v>
      </c>
      <c r="J926">
        <f>COUNTIFS('Audit Raw data'!AM:AM,"Yes",'Audit Raw data'!J:J,B:B,'Audit Raw data'!E:E,'Day wise agent'!G:G)</f>
        <v>0</v>
      </c>
      <c r="K926">
        <f>COUNTIFS('Audit Raw data'!AM:AM,"NO",'Audit Raw data'!J:J,B:B,'Audit Raw data'!E:E,'Day wise agent'!G:G)</f>
        <v>0</v>
      </c>
      <c r="L926" s="12" t="str">
        <f t="shared" si="29"/>
        <v xml:space="preserve"> </v>
      </c>
    </row>
    <row r="927" spans="1:12" x14ac:dyDescent="0.35">
      <c r="A927" t="str">
        <f t="shared" si="28"/>
        <v>VPS19345939</v>
      </c>
      <c r="B927" t="s">
        <v>302</v>
      </c>
      <c r="C927" t="s">
        <v>1538</v>
      </c>
      <c r="D927" s="32">
        <v>45823</v>
      </c>
      <c r="E927" t="s">
        <v>107</v>
      </c>
      <c r="F927" t="str">
        <f>VLOOKUP(B927,'Agent wise'!A:E,5,0)</f>
        <v>Wireless</v>
      </c>
      <c r="G927" s="32">
        <v>45939</v>
      </c>
      <c r="H927">
        <f>COUNTIFS('Audit Raw data'!J:J,B:B,'Audit Raw data'!E:E,G:G)</f>
        <v>0</v>
      </c>
      <c r="I927" s="44" t="str">
        <f>IFERROR((SUMIFS('Audit Raw data'!BZ:BZ,'Audit Raw data'!J:J,B:B,'Audit Raw data'!E:E,G:G)/H927)/100,"-")</f>
        <v>-</v>
      </c>
      <c r="J927">
        <f>COUNTIFS('Audit Raw data'!AM:AM,"Yes",'Audit Raw data'!J:J,B:B,'Audit Raw data'!E:E,'Day wise agent'!G:G)</f>
        <v>0</v>
      </c>
      <c r="K927">
        <f>COUNTIFS('Audit Raw data'!AM:AM,"NO",'Audit Raw data'!J:J,B:B,'Audit Raw data'!E:E,'Day wise agent'!G:G)</f>
        <v>0</v>
      </c>
      <c r="L927" s="12" t="str">
        <f t="shared" si="29"/>
        <v xml:space="preserve"> </v>
      </c>
    </row>
    <row r="928" spans="1:12" x14ac:dyDescent="0.35">
      <c r="A928" t="str">
        <f t="shared" si="28"/>
        <v>VPS19745939</v>
      </c>
      <c r="B928" t="s">
        <v>665</v>
      </c>
      <c r="C928" t="s">
        <v>1539</v>
      </c>
      <c r="D928" s="32">
        <v>45830</v>
      </c>
      <c r="E928" t="s">
        <v>178</v>
      </c>
      <c r="F928" t="str">
        <f>VLOOKUP(B928,'Agent wise'!A:E,5,0)</f>
        <v>Wireless</v>
      </c>
      <c r="G928" s="32">
        <v>45939</v>
      </c>
      <c r="H928">
        <f>COUNTIFS('Audit Raw data'!J:J,B:B,'Audit Raw data'!E:E,G:G)</f>
        <v>0</v>
      </c>
      <c r="I928" s="44" t="str">
        <f>IFERROR((SUMIFS('Audit Raw data'!BZ:BZ,'Audit Raw data'!J:J,B:B,'Audit Raw data'!E:E,G:G)/H928)/100,"-")</f>
        <v>-</v>
      </c>
      <c r="J928">
        <f>COUNTIFS('Audit Raw data'!AM:AM,"Yes",'Audit Raw data'!J:J,B:B,'Audit Raw data'!E:E,'Day wise agent'!G:G)</f>
        <v>0</v>
      </c>
      <c r="K928">
        <f>COUNTIFS('Audit Raw data'!AM:AM,"NO",'Audit Raw data'!J:J,B:B,'Audit Raw data'!E:E,'Day wise agent'!G:G)</f>
        <v>0</v>
      </c>
      <c r="L928" s="12" t="str">
        <f t="shared" si="29"/>
        <v xml:space="preserve"> </v>
      </c>
    </row>
    <row r="929" spans="1:12" x14ac:dyDescent="0.35">
      <c r="A929" t="str">
        <f t="shared" si="28"/>
        <v>VPS20145939</v>
      </c>
      <c r="B929" t="s">
        <v>439</v>
      </c>
      <c r="C929" t="s">
        <v>1540</v>
      </c>
      <c r="D929" s="32">
        <v>45834</v>
      </c>
      <c r="E929" t="s">
        <v>1453</v>
      </c>
      <c r="F929" t="str">
        <f>VLOOKUP(B929,'Agent wise'!A:E,5,0)</f>
        <v>Wireless</v>
      </c>
      <c r="G929" s="32">
        <v>45939</v>
      </c>
      <c r="H929">
        <f>COUNTIFS('Audit Raw data'!J:J,B:B,'Audit Raw data'!E:E,G:G)</f>
        <v>0</v>
      </c>
      <c r="I929" s="44" t="str">
        <f>IFERROR((SUMIFS('Audit Raw data'!BZ:BZ,'Audit Raw data'!J:J,B:B,'Audit Raw data'!E:E,G:G)/H929)/100,"-")</f>
        <v>-</v>
      </c>
      <c r="J929">
        <f>COUNTIFS('Audit Raw data'!AM:AM,"Yes",'Audit Raw data'!J:J,B:B,'Audit Raw data'!E:E,'Day wise agent'!G:G)</f>
        <v>0</v>
      </c>
      <c r="K929">
        <f>COUNTIFS('Audit Raw data'!AM:AM,"NO",'Audit Raw data'!J:J,B:B,'Audit Raw data'!E:E,'Day wise agent'!G:G)</f>
        <v>0</v>
      </c>
      <c r="L929" s="12" t="str">
        <f t="shared" si="29"/>
        <v xml:space="preserve"> </v>
      </c>
    </row>
    <row r="930" spans="1:12" x14ac:dyDescent="0.35">
      <c r="A930" t="str">
        <f t="shared" si="28"/>
        <v>VPS20445939</v>
      </c>
      <c r="B930" t="s">
        <v>749</v>
      </c>
      <c r="C930" t="s">
        <v>1542</v>
      </c>
      <c r="D930" s="32">
        <v>45840</v>
      </c>
      <c r="E930" t="s">
        <v>1484</v>
      </c>
      <c r="F930" t="str">
        <f>VLOOKUP(B930,'Agent wise'!A:E,5,0)</f>
        <v>Wireless</v>
      </c>
      <c r="G930" s="32">
        <v>45939</v>
      </c>
      <c r="H930">
        <f>COUNTIFS('Audit Raw data'!J:J,B:B,'Audit Raw data'!E:E,G:G)</f>
        <v>1</v>
      </c>
      <c r="I930" s="44">
        <f>IFERROR((SUMIFS('Audit Raw data'!BZ:BZ,'Audit Raw data'!J:J,B:B,'Audit Raw data'!E:E,G:G)/H930)/100,"-")</f>
        <v>0.92</v>
      </c>
      <c r="J930">
        <f>COUNTIFS('Audit Raw data'!AM:AM,"Yes",'Audit Raw data'!J:J,B:B,'Audit Raw data'!E:E,'Day wise agent'!G:G)</f>
        <v>1</v>
      </c>
      <c r="K930">
        <f>COUNTIFS('Audit Raw data'!AM:AM,"NO",'Audit Raw data'!J:J,B:B,'Audit Raw data'!E:E,'Day wise agent'!G:G)</f>
        <v>0</v>
      </c>
      <c r="L930" s="12">
        <f t="shared" si="29"/>
        <v>1</v>
      </c>
    </row>
    <row r="931" spans="1:12" x14ac:dyDescent="0.35">
      <c r="A931" t="str">
        <f t="shared" si="28"/>
        <v>VPS20645939</v>
      </c>
      <c r="B931" t="s">
        <v>427</v>
      </c>
      <c r="C931" t="s">
        <v>1541</v>
      </c>
      <c r="D931" s="32">
        <v>45840</v>
      </c>
      <c r="E931" t="s">
        <v>107</v>
      </c>
      <c r="F931" t="str">
        <f>VLOOKUP(B931,'Agent wise'!A:E,5,0)</f>
        <v>Wireless</v>
      </c>
      <c r="G931" s="32">
        <v>45939</v>
      </c>
      <c r="H931">
        <f>COUNTIFS('Audit Raw data'!J:J,B:B,'Audit Raw data'!E:E,G:G)</f>
        <v>0</v>
      </c>
      <c r="I931" s="44" t="str">
        <f>IFERROR((SUMIFS('Audit Raw data'!BZ:BZ,'Audit Raw data'!J:J,B:B,'Audit Raw data'!E:E,G:G)/H931)/100,"-")</f>
        <v>-</v>
      </c>
      <c r="J931">
        <f>COUNTIFS('Audit Raw data'!AM:AM,"Yes",'Audit Raw data'!J:J,B:B,'Audit Raw data'!E:E,'Day wise agent'!G:G)</f>
        <v>0</v>
      </c>
      <c r="K931">
        <f>COUNTIFS('Audit Raw data'!AM:AM,"NO",'Audit Raw data'!J:J,B:B,'Audit Raw data'!E:E,'Day wise agent'!G:G)</f>
        <v>0</v>
      </c>
      <c r="L931" s="12" t="str">
        <f t="shared" si="29"/>
        <v xml:space="preserve"> </v>
      </c>
    </row>
    <row r="932" spans="1:12" x14ac:dyDescent="0.35">
      <c r="A932" t="str">
        <f t="shared" si="28"/>
        <v>VPS20945939</v>
      </c>
      <c r="B932" t="s">
        <v>528</v>
      </c>
      <c r="C932" t="s">
        <v>1543</v>
      </c>
      <c r="D932" s="32">
        <v>45856</v>
      </c>
      <c r="E932" t="s">
        <v>178</v>
      </c>
      <c r="F932" t="str">
        <f>VLOOKUP(B932,'Agent wise'!A:E,5,0)</f>
        <v>Wireless</v>
      </c>
      <c r="G932" s="32">
        <v>45939</v>
      </c>
      <c r="H932">
        <f>COUNTIFS('Audit Raw data'!J:J,B:B,'Audit Raw data'!E:E,G:G)</f>
        <v>0</v>
      </c>
      <c r="I932" s="44" t="str">
        <f>IFERROR((SUMIFS('Audit Raw data'!BZ:BZ,'Audit Raw data'!J:J,B:B,'Audit Raw data'!E:E,G:G)/H932)/100,"-")</f>
        <v>-</v>
      </c>
      <c r="J932">
        <f>COUNTIFS('Audit Raw data'!AM:AM,"Yes",'Audit Raw data'!J:J,B:B,'Audit Raw data'!E:E,'Day wise agent'!G:G)</f>
        <v>0</v>
      </c>
      <c r="K932">
        <f>COUNTIFS('Audit Raw data'!AM:AM,"NO",'Audit Raw data'!J:J,B:B,'Audit Raw data'!E:E,'Day wise agent'!G:G)</f>
        <v>0</v>
      </c>
      <c r="L932" s="12" t="str">
        <f t="shared" si="29"/>
        <v xml:space="preserve"> </v>
      </c>
    </row>
    <row r="933" spans="1:12" x14ac:dyDescent="0.35">
      <c r="A933" t="str">
        <f t="shared" si="28"/>
        <v>VPS21045939</v>
      </c>
      <c r="B933" t="s">
        <v>589</v>
      </c>
      <c r="C933" t="s">
        <v>1544</v>
      </c>
      <c r="D933" s="32">
        <v>45856</v>
      </c>
      <c r="E933" t="s">
        <v>107</v>
      </c>
      <c r="F933" t="str">
        <f>VLOOKUP(B933,'Agent wise'!A:E,5,0)</f>
        <v>Wireless</v>
      </c>
      <c r="G933" s="32">
        <v>45939</v>
      </c>
      <c r="H933">
        <f>COUNTIFS('Audit Raw data'!J:J,B:B,'Audit Raw data'!E:E,G:G)</f>
        <v>0</v>
      </c>
      <c r="I933" s="44" t="str">
        <f>IFERROR((SUMIFS('Audit Raw data'!BZ:BZ,'Audit Raw data'!J:J,B:B,'Audit Raw data'!E:E,G:G)/H933)/100,"-")</f>
        <v>-</v>
      </c>
      <c r="J933">
        <f>COUNTIFS('Audit Raw data'!AM:AM,"Yes",'Audit Raw data'!J:J,B:B,'Audit Raw data'!E:E,'Day wise agent'!G:G)</f>
        <v>0</v>
      </c>
      <c r="K933">
        <f>COUNTIFS('Audit Raw data'!AM:AM,"NO",'Audit Raw data'!J:J,B:B,'Audit Raw data'!E:E,'Day wise agent'!G:G)</f>
        <v>0</v>
      </c>
      <c r="L933" s="12" t="str">
        <f t="shared" si="29"/>
        <v xml:space="preserve"> </v>
      </c>
    </row>
    <row r="934" spans="1:12" x14ac:dyDescent="0.35">
      <c r="A934" t="str">
        <f t="shared" si="28"/>
        <v>VPS21145939</v>
      </c>
      <c r="B934" t="s">
        <v>367</v>
      </c>
      <c r="C934" t="s">
        <v>1545</v>
      </c>
      <c r="D934" s="32">
        <v>45855</v>
      </c>
      <c r="E934" t="s">
        <v>1453</v>
      </c>
      <c r="F934" t="str">
        <f>VLOOKUP(B934,'Agent wise'!A:E,5,0)</f>
        <v>Wireless</v>
      </c>
      <c r="G934" s="32">
        <v>45939</v>
      </c>
      <c r="H934">
        <f>COUNTIFS('Audit Raw data'!J:J,B:B,'Audit Raw data'!E:E,G:G)</f>
        <v>0</v>
      </c>
      <c r="I934" s="44" t="str">
        <f>IFERROR((SUMIFS('Audit Raw data'!BZ:BZ,'Audit Raw data'!J:J,B:B,'Audit Raw data'!E:E,G:G)/H934)/100,"-")</f>
        <v>-</v>
      </c>
      <c r="J934">
        <f>COUNTIFS('Audit Raw data'!AM:AM,"Yes",'Audit Raw data'!J:J,B:B,'Audit Raw data'!E:E,'Day wise agent'!G:G)</f>
        <v>0</v>
      </c>
      <c r="K934">
        <f>COUNTIFS('Audit Raw data'!AM:AM,"NO",'Audit Raw data'!J:J,B:B,'Audit Raw data'!E:E,'Day wise agent'!G:G)</f>
        <v>0</v>
      </c>
      <c r="L934" s="12" t="str">
        <f t="shared" si="29"/>
        <v xml:space="preserve"> </v>
      </c>
    </row>
    <row r="935" spans="1:12" x14ac:dyDescent="0.35">
      <c r="A935" t="str">
        <f t="shared" si="28"/>
        <v>VPS21345939</v>
      </c>
      <c r="B935" t="s">
        <v>493</v>
      </c>
      <c r="C935" t="s">
        <v>1546</v>
      </c>
      <c r="D935" s="32">
        <v>45856</v>
      </c>
      <c r="E935" t="s">
        <v>1453</v>
      </c>
      <c r="F935" t="str">
        <f>VLOOKUP(B935,'Agent wise'!A:E,5,0)</f>
        <v>Wireless</v>
      </c>
      <c r="G935" s="32">
        <v>45939</v>
      </c>
      <c r="H935">
        <f>COUNTIFS('Audit Raw data'!J:J,B:B,'Audit Raw data'!E:E,G:G)</f>
        <v>0</v>
      </c>
      <c r="I935" s="44" t="str">
        <f>IFERROR((SUMIFS('Audit Raw data'!BZ:BZ,'Audit Raw data'!J:J,B:B,'Audit Raw data'!E:E,G:G)/H935)/100,"-")</f>
        <v>-</v>
      </c>
      <c r="J935">
        <f>COUNTIFS('Audit Raw data'!AM:AM,"Yes",'Audit Raw data'!J:J,B:B,'Audit Raw data'!E:E,'Day wise agent'!G:G)</f>
        <v>0</v>
      </c>
      <c r="K935">
        <f>COUNTIFS('Audit Raw data'!AM:AM,"NO",'Audit Raw data'!J:J,B:B,'Audit Raw data'!E:E,'Day wise agent'!G:G)</f>
        <v>0</v>
      </c>
      <c r="L935" s="12" t="str">
        <f t="shared" si="29"/>
        <v xml:space="preserve"> </v>
      </c>
    </row>
    <row r="936" spans="1:12" x14ac:dyDescent="0.35">
      <c r="A936" t="str">
        <f t="shared" si="28"/>
        <v>VPS21445939</v>
      </c>
      <c r="B936" t="s">
        <v>480</v>
      </c>
      <c r="C936" t="s">
        <v>1547</v>
      </c>
      <c r="D936" s="32">
        <v>45855</v>
      </c>
      <c r="E936" t="s">
        <v>107</v>
      </c>
      <c r="F936" t="str">
        <f>VLOOKUP(B936,'Agent wise'!A:E,5,0)</f>
        <v>Wireless</v>
      </c>
      <c r="G936" s="32">
        <v>45939</v>
      </c>
      <c r="H936">
        <f>COUNTIFS('Audit Raw data'!J:J,B:B,'Audit Raw data'!E:E,G:G)</f>
        <v>2</v>
      </c>
      <c r="I936" s="44">
        <f>IFERROR((SUMIFS('Audit Raw data'!BZ:BZ,'Audit Raw data'!J:J,B:B,'Audit Raw data'!E:E,G:G)/H936)/100,"-")</f>
        <v>0.86</v>
      </c>
      <c r="J936">
        <f>COUNTIFS('Audit Raw data'!AM:AM,"Yes",'Audit Raw data'!J:J,B:B,'Audit Raw data'!E:E,'Day wise agent'!G:G)</f>
        <v>2</v>
      </c>
      <c r="K936">
        <f>COUNTIFS('Audit Raw data'!AM:AM,"NO",'Audit Raw data'!J:J,B:B,'Audit Raw data'!E:E,'Day wise agent'!G:G)</f>
        <v>0</v>
      </c>
      <c r="L936" s="12">
        <f t="shared" si="29"/>
        <v>1</v>
      </c>
    </row>
    <row r="937" spans="1:12" x14ac:dyDescent="0.35">
      <c r="A937" t="str">
        <f t="shared" si="28"/>
        <v>VPS21545939</v>
      </c>
      <c r="B937" t="s">
        <v>521</v>
      </c>
      <c r="C937" t="s">
        <v>1548</v>
      </c>
      <c r="D937" s="32">
        <v>45865</v>
      </c>
      <c r="E937" t="s">
        <v>178</v>
      </c>
      <c r="F937" t="str">
        <f>VLOOKUP(B937,'Agent wise'!A:E,5,0)</f>
        <v>Wireless</v>
      </c>
      <c r="G937" s="32">
        <v>45939</v>
      </c>
      <c r="H937">
        <f>COUNTIFS('Audit Raw data'!J:J,B:B,'Audit Raw data'!E:E,G:G)</f>
        <v>0</v>
      </c>
      <c r="I937" s="44" t="str">
        <f>IFERROR((SUMIFS('Audit Raw data'!BZ:BZ,'Audit Raw data'!J:J,B:B,'Audit Raw data'!E:E,G:G)/H937)/100,"-")</f>
        <v>-</v>
      </c>
      <c r="J937">
        <f>COUNTIFS('Audit Raw data'!AM:AM,"Yes",'Audit Raw data'!J:J,B:B,'Audit Raw data'!E:E,'Day wise agent'!G:G)</f>
        <v>0</v>
      </c>
      <c r="K937">
        <f>COUNTIFS('Audit Raw data'!AM:AM,"NO",'Audit Raw data'!J:J,B:B,'Audit Raw data'!E:E,'Day wise agent'!G:G)</f>
        <v>0</v>
      </c>
      <c r="L937" s="12" t="str">
        <f t="shared" si="29"/>
        <v xml:space="preserve"> </v>
      </c>
    </row>
    <row r="938" spans="1:12" x14ac:dyDescent="0.35">
      <c r="A938" t="str">
        <f t="shared" si="28"/>
        <v>VPS21645939</v>
      </c>
      <c r="B938" t="s">
        <v>154</v>
      </c>
      <c r="C938" t="s">
        <v>1549</v>
      </c>
      <c r="D938" s="32">
        <v>45865</v>
      </c>
      <c r="E938" t="s">
        <v>107</v>
      </c>
      <c r="F938" t="str">
        <f>VLOOKUP(B938,'Agent wise'!A:E,5,0)</f>
        <v>Wireless</v>
      </c>
      <c r="G938" s="32">
        <v>45939</v>
      </c>
      <c r="H938">
        <f>COUNTIFS('Audit Raw data'!J:J,B:B,'Audit Raw data'!E:E,G:G)</f>
        <v>0</v>
      </c>
      <c r="I938" s="44" t="str">
        <f>IFERROR((SUMIFS('Audit Raw data'!BZ:BZ,'Audit Raw data'!J:J,B:B,'Audit Raw data'!E:E,G:G)/H938)/100,"-")</f>
        <v>-</v>
      </c>
      <c r="J938">
        <f>COUNTIFS('Audit Raw data'!AM:AM,"Yes",'Audit Raw data'!J:J,B:B,'Audit Raw data'!E:E,'Day wise agent'!G:G)</f>
        <v>0</v>
      </c>
      <c r="K938">
        <f>COUNTIFS('Audit Raw data'!AM:AM,"NO",'Audit Raw data'!J:J,B:B,'Audit Raw data'!E:E,'Day wise agent'!G:G)</f>
        <v>0</v>
      </c>
      <c r="L938" s="12" t="str">
        <f t="shared" si="29"/>
        <v xml:space="preserve"> </v>
      </c>
    </row>
    <row r="939" spans="1:12" x14ac:dyDescent="0.35">
      <c r="A939" t="str">
        <f t="shared" si="28"/>
        <v>VPS21745939</v>
      </c>
      <c r="B939" t="s">
        <v>519</v>
      </c>
      <c r="C939" t="s">
        <v>1550</v>
      </c>
      <c r="D939" s="32">
        <v>45865</v>
      </c>
      <c r="E939" t="s">
        <v>178</v>
      </c>
      <c r="F939" t="str">
        <f>VLOOKUP(B939,'Agent wise'!A:E,5,0)</f>
        <v>Wireless</v>
      </c>
      <c r="G939" s="32">
        <v>45939</v>
      </c>
      <c r="H939">
        <f>COUNTIFS('Audit Raw data'!J:J,B:B,'Audit Raw data'!E:E,G:G)</f>
        <v>0</v>
      </c>
      <c r="I939" s="44" t="str">
        <f>IFERROR((SUMIFS('Audit Raw data'!BZ:BZ,'Audit Raw data'!J:J,B:B,'Audit Raw data'!E:E,G:G)/H939)/100,"-")</f>
        <v>-</v>
      </c>
      <c r="J939">
        <f>COUNTIFS('Audit Raw data'!AM:AM,"Yes",'Audit Raw data'!J:J,B:B,'Audit Raw data'!E:E,'Day wise agent'!G:G)</f>
        <v>0</v>
      </c>
      <c r="K939">
        <f>COUNTIFS('Audit Raw data'!AM:AM,"NO",'Audit Raw data'!J:J,B:B,'Audit Raw data'!E:E,'Day wise agent'!G:G)</f>
        <v>0</v>
      </c>
      <c r="L939" s="12" t="str">
        <f t="shared" si="29"/>
        <v xml:space="preserve"> </v>
      </c>
    </row>
    <row r="940" spans="1:12" x14ac:dyDescent="0.35">
      <c r="A940" t="str">
        <f t="shared" si="28"/>
        <v>VPS22845939</v>
      </c>
      <c r="B940" t="s">
        <v>341</v>
      </c>
      <c r="C940" t="s">
        <v>1551</v>
      </c>
      <c r="D940" s="32">
        <v>45881</v>
      </c>
      <c r="E940" t="s">
        <v>178</v>
      </c>
      <c r="F940" t="str">
        <f>VLOOKUP(B940,'Agent wise'!A:E,5,0)</f>
        <v>Wireless</v>
      </c>
      <c r="G940" s="32">
        <v>45939</v>
      </c>
      <c r="H940">
        <f>COUNTIFS('Audit Raw data'!J:J,B:B,'Audit Raw data'!E:E,G:G)</f>
        <v>0</v>
      </c>
      <c r="I940" s="44" t="str">
        <f>IFERROR((SUMIFS('Audit Raw data'!BZ:BZ,'Audit Raw data'!J:J,B:B,'Audit Raw data'!E:E,G:G)/H940)/100,"-")</f>
        <v>-</v>
      </c>
      <c r="J940">
        <f>COUNTIFS('Audit Raw data'!AM:AM,"Yes",'Audit Raw data'!J:J,B:B,'Audit Raw data'!E:E,'Day wise agent'!G:G)</f>
        <v>0</v>
      </c>
      <c r="K940">
        <f>COUNTIFS('Audit Raw data'!AM:AM,"NO",'Audit Raw data'!J:J,B:B,'Audit Raw data'!E:E,'Day wise agent'!G:G)</f>
        <v>0</v>
      </c>
      <c r="L940" s="12" t="str">
        <f t="shared" si="29"/>
        <v xml:space="preserve"> </v>
      </c>
    </row>
    <row r="941" spans="1:12" x14ac:dyDescent="0.35">
      <c r="A941" t="str">
        <f t="shared" si="28"/>
        <v>VPS22945939</v>
      </c>
      <c r="B941" t="s">
        <v>173</v>
      </c>
      <c r="C941" t="s">
        <v>1552</v>
      </c>
      <c r="D941" s="32">
        <v>45880</v>
      </c>
      <c r="E941" t="s">
        <v>107</v>
      </c>
      <c r="F941" t="str">
        <f>VLOOKUP(B941,'Agent wise'!A:E,5,0)</f>
        <v>Wireless</v>
      </c>
      <c r="G941" s="32">
        <v>45939</v>
      </c>
      <c r="H941">
        <f>COUNTIFS('Audit Raw data'!J:J,B:B,'Audit Raw data'!E:E,G:G)</f>
        <v>2</v>
      </c>
      <c r="I941" s="44">
        <f>IFERROR((SUMIFS('Audit Raw data'!BZ:BZ,'Audit Raw data'!J:J,B:B,'Audit Raw data'!E:E,G:G)/H941)/100,"-")</f>
        <v>0.83</v>
      </c>
      <c r="J941">
        <f>COUNTIFS('Audit Raw data'!AM:AM,"Yes",'Audit Raw data'!J:J,B:B,'Audit Raw data'!E:E,'Day wise agent'!G:G)</f>
        <v>2</v>
      </c>
      <c r="K941">
        <f>COUNTIFS('Audit Raw data'!AM:AM,"NO",'Audit Raw data'!J:J,B:B,'Audit Raw data'!E:E,'Day wise agent'!G:G)</f>
        <v>0</v>
      </c>
      <c r="L941" s="12">
        <f t="shared" si="29"/>
        <v>1</v>
      </c>
    </row>
    <row r="942" spans="1:12" x14ac:dyDescent="0.35">
      <c r="A942" t="str">
        <f t="shared" si="28"/>
        <v>VPS23045939</v>
      </c>
      <c r="B942" t="s">
        <v>335</v>
      </c>
      <c r="C942" t="s">
        <v>1553</v>
      </c>
      <c r="D942" s="32">
        <v>45880</v>
      </c>
      <c r="E942" t="s">
        <v>1484</v>
      </c>
      <c r="F942" t="str">
        <f>VLOOKUP(B942,'Agent wise'!A:E,5,0)</f>
        <v>Wireless</v>
      </c>
      <c r="G942" s="32">
        <v>45939</v>
      </c>
      <c r="H942">
        <f>COUNTIFS('Audit Raw data'!J:J,B:B,'Audit Raw data'!E:E,G:G)</f>
        <v>0</v>
      </c>
      <c r="I942" s="44" t="str">
        <f>IFERROR((SUMIFS('Audit Raw data'!BZ:BZ,'Audit Raw data'!J:J,B:B,'Audit Raw data'!E:E,G:G)/H942)/100,"-")</f>
        <v>-</v>
      </c>
      <c r="J942">
        <f>COUNTIFS('Audit Raw data'!AM:AM,"Yes",'Audit Raw data'!J:J,B:B,'Audit Raw data'!E:E,'Day wise agent'!G:G)</f>
        <v>0</v>
      </c>
      <c r="K942">
        <f>COUNTIFS('Audit Raw data'!AM:AM,"NO",'Audit Raw data'!J:J,B:B,'Audit Raw data'!E:E,'Day wise agent'!G:G)</f>
        <v>0</v>
      </c>
      <c r="L942" s="12" t="str">
        <f t="shared" si="29"/>
        <v xml:space="preserve"> </v>
      </c>
    </row>
    <row r="943" spans="1:12" x14ac:dyDescent="0.35">
      <c r="A943" t="str">
        <f t="shared" si="28"/>
        <v>VPS23545939</v>
      </c>
      <c r="B943" t="s">
        <v>317</v>
      </c>
      <c r="C943" t="s">
        <v>1554</v>
      </c>
      <c r="D943" s="32">
        <v>45897</v>
      </c>
      <c r="E943" t="s">
        <v>178</v>
      </c>
      <c r="F943" t="str">
        <f>VLOOKUP(B943,'Agent wise'!A:E,5,0)</f>
        <v>Wireless</v>
      </c>
      <c r="G943" s="32">
        <v>45939</v>
      </c>
      <c r="H943">
        <f>COUNTIFS('Audit Raw data'!J:J,B:B,'Audit Raw data'!E:E,G:G)</f>
        <v>0</v>
      </c>
      <c r="I943" s="44" t="str">
        <f>IFERROR((SUMIFS('Audit Raw data'!BZ:BZ,'Audit Raw data'!J:J,B:B,'Audit Raw data'!E:E,G:G)/H943)/100,"-")</f>
        <v>-</v>
      </c>
      <c r="J943">
        <f>COUNTIFS('Audit Raw data'!AM:AM,"Yes",'Audit Raw data'!J:J,B:B,'Audit Raw data'!E:E,'Day wise agent'!G:G)</f>
        <v>0</v>
      </c>
      <c r="K943">
        <f>COUNTIFS('Audit Raw data'!AM:AM,"NO",'Audit Raw data'!J:J,B:B,'Audit Raw data'!E:E,'Day wise agent'!G:G)</f>
        <v>0</v>
      </c>
      <c r="L943" s="12" t="str">
        <f t="shared" si="29"/>
        <v xml:space="preserve"> </v>
      </c>
    </row>
    <row r="944" spans="1:12" x14ac:dyDescent="0.35">
      <c r="A944" t="str">
        <f t="shared" si="28"/>
        <v>VPS23645939</v>
      </c>
      <c r="B944" t="s">
        <v>370</v>
      </c>
      <c r="C944" t="s">
        <v>1555</v>
      </c>
      <c r="D944" s="32">
        <v>45897</v>
      </c>
      <c r="E944" t="s">
        <v>1453</v>
      </c>
      <c r="F944" t="str">
        <f>VLOOKUP(B944,'Agent wise'!A:E,5,0)</f>
        <v>Wireless</v>
      </c>
      <c r="G944" s="32">
        <v>45939</v>
      </c>
      <c r="H944">
        <f>COUNTIFS('Audit Raw data'!J:J,B:B,'Audit Raw data'!E:E,G:G)</f>
        <v>0</v>
      </c>
      <c r="I944" s="44" t="str">
        <f>IFERROR((SUMIFS('Audit Raw data'!BZ:BZ,'Audit Raw data'!J:J,B:B,'Audit Raw data'!E:E,G:G)/H944)/100,"-")</f>
        <v>-</v>
      </c>
      <c r="J944">
        <f>COUNTIFS('Audit Raw data'!AM:AM,"Yes",'Audit Raw data'!J:J,B:B,'Audit Raw data'!E:E,'Day wise agent'!G:G)</f>
        <v>0</v>
      </c>
      <c r="K944">
        <f>COUNTIFS('Audit Raw data'!AM:AM,"NO",'Audit Raw data'!J:J,B:B,'Audit Raw data'!E:E,'Day wise agent'!G:G)</f>
        <v>0</v>
      </c>
      <c r="L944" s="12" t="str">
        <f t="shared" si="29"/>
        <v xml:space="preserve"> </v>
      </c>
    </row>
    <row r="945" spans="1:12" x14ac:dyDescent="0.35">
      <c r="A945" t="str">
        <f t="shared" si="28"/>
        <v>VPS23745939</v>
      </c>
      <c r="B945" t="s">
        <v>159</v>
      </c>
      <c r="C945" t="s">
        <v>1556</v>
      </c>
      <c r="D945" s="32">
        <v>45897</v>
      </c>
      <c r="E945" t="s">
        <v>107</v>
      </c>
      <c r="F945" t="str">
        <f>VLOOKUP(B945,'Agent wise'!A:E,5,0)</f>
        <v>Wireless</v>
      </c>
      <c r="G945" s="32">
        <v>45939</v>
      </c>
      <c r="H945">
        <f>COUNTIFS('Audit Raw data'!J:J,B:B,'Audit Raw data'!E:E,G:G)</f>
        <v>1</v>
      </c>
      <c r="I945" s="44">
        <f>IFERROR((SUMIFS('Audit Raw data'!BZ:BZ,'Audit Raw data'!J:J,B:B,'Audit Raw data'!E:E,G:G)/H945)/100,"-")</f>
        <v>0.8</v>
      </c>
      <c r="J945">
        <f>COUNTIFS('Audit Raw data'!AM:AM,"Yes",'Audit Raw data'!J:J,B:B,'Audit Raw data'!E:E,'Day wise agent'!G:G)</f>
        <v>1</v>
      </c>
      <c r="K945">
        <f>COUNTIFS('Audit Raw data'!AM:AM,"NO",'Audit Raw data'!J:J,B:B,'Audit Raw data'!E:E,'Day wise agent'!G:G)</f>
        <v>0</v>
      </c>
      <c r="L945" s="12">
        <f t="shared" si="29"/>
        <v>1</v>
      </c>
    </row>
    <row r="946" spans="1:12" x14ac:dyDescent="0.35">
      <c r="A946" t="str">
        <f t="shared" si="28"/>
        <v>VPS23945939</v>
      </c>
      <c r="B946" t="s">
        <v>484</v>
      </c>
      <c r="C946" t="s">
        <v>1468</v>
      </c>
      <c r="D946" s="32">
        <v>44942</v>
      </c>
      <c r="E946" t="s">
        <v>178</v>
      </c>
      <c r="F946" t="str">
        <f>VLOOKUP(B946,'Agent wise'!A:E,5,0)</f>
        <v>Wireless</v>
      </c>
      <c r="G946" s="32">
        <v>45939</v>
      </c>
      <c r="H946">
        <f>COUNTIFS('Audit Raw data'!J:J,B:B,'Audit Raw data'!E:E,G:G)</f>
        <v>1</v>
      </c>
      <c r="I946" s="44">
        <f>IFERROR((SUMIFS('Audit Raw data'!BZ:BZ,'Audit Raw data'!J:J,B:B,'Audit Raw data'!E:E,G:G)/H946)/100,"-")</f>
        <v>0.94</v>
      </c>
      <c r="J946">
        <f>COUNTIFS('Audit Raw data'!AM:AM,"Yes",'Audit Raw data'!J:J,B:B,'Audit Raw data'!E:E,'Day wise agent'!G:G)</f>
        <v>1</v>
      </c>
      <c r="K946">
        <f>COUNTIFS('Audit Raw data'!AM:AM,"NO",'Audit Raw data'!J:J,B:B,'Audit Raw data'!E:E,'Day wise agent'!G:G)</f>
        <v>0</v>
      </c>
      <c r="L946" s="12">
        <f t="shared" si="29"/>
        <v>1</v>
      </c>
    </row>
    <row r="947" spans="1:12" x14ac:dyDescent="0.35">
      <c r="A947" t="str">
        <f t="shared" si="28"/>
        <v>VPS24045939</v>
      </c>
      <c r="B947" t="s">
        <v>291</v>
      </c>
      <c r="C947" t="s">
        <v>1557</v>
      </c>
      <c r="D947" s="32">
        <v>45907</v>
      </c>
      <c r="E947" t="s">
        <v>1484</v>
      </c>
      <c r="F947" t="str">
        <f>VLOOKUP(B947,'Agent wise'!A:E,5,0)</f>
        <v>Wireless</v>
      </c>
      <c r="G947" s="32">
        <v>45939</v>
      </c>
      <c r="H947">
        <f>COUNTIFS('Audit Raw data'!J:J,B:B,'Audit Raw data'!E:E,G:G)</f>
        <v>1</v>
      </c>
      <c r="I947" s="44">
        <f>IFERROR((SUMIFS('Audit Raw data'!BZ:BZ,'Audit Raw data'!J:J,B:B,'Audit Raw data'!E:E,G:G)/H947)/100,"-")</f>
        <v>0.96</v>
      </c>
      <c r="J947">
        <f>COUNTIFS('Audit Raw data'!AM:AM,"Yes",'Audit Raw data'!J:J,B:B,'Audit Raw data'!E:E,'Day wise agent'!G:G)</f>
        <v>1</v>
      </c>
      <c r="K947">
        <f>COUNTIFS('Audit Raw data'!AM:AM,"NO",'Audit Raw data'!J:J,B:B,'Audit Raw data'!E:E,'Day wise agent'!G:G)</f>
        <v>0</v>
      </c>
      <c r="L947" s="12">
        <f t="shared" si="29"/>
        <v>1</v>
      </c>
    </row>
    <row r="948" spans="1:12" x14ac:dyDescent="0.35">
      <c r="A948" t="str">
        <f t="shared" si="28"/>
        <v>VPS24245939</v>
      </c>
      <c r="B948" t="s">
        <v>326</v>
      </c>
      <c r="C948" t="s">
        <v>1510</v>
      </c>
      <c r="D948" s="32">
        <v>45908</v>
      </c>
      <c r="E948" t="s">
        <v>1453</v>
      </c>
      <c r="F948" t="str">
        <f>VLOOKUP(B948,'Agent wise'!A:E,5,0)</f>
        <v>Wireless</v>
      </c>
      <c r="G948" s="32">
        <v>45939</v>
      </c>
      <c r="H948">
        <f>COUNTIFS('Audit Raw data'!J:J,B:B,'Audit Raw data'!E:E,G:G)</f>
        <v>0</v>
      </c>
      <c r="I948" s="44" t="str">
        <f>IFERROR((SUMIFS('Audit Raw data'!BZ:BZ,'Audit Raw data'!J:J,B:B,'Audit Raw data'!E:E,G:G)/H948)/100,"-")</f>
        <v>-</v>
      </c>
      <c r="J948">
        <f>COUNTIFS('Audit Raw data'!AM:AM,"Yes",'Audit Raw data'!J:J,B:B,'Audit Raw data'!E:E,'Day wise agent'!G:G)</f>
        <v>0</v>
      </c>
      <c r="K948">
        <f>COUNTIFS('Audit Raw data'!AM:AM,"NO",'Audit Raw data'!J:J,B:B,'Audit Raw data'!E:E,'Day wise agent'!G:G)</f>
        <v>0</v>
      </c>
      <c r="L948" s="12" t="str">
        <f t="shared" si="29"/>
        <v xml:space="preserve"> </v>
      </c>
    </row>
    <row r="949" spans="1:12" x14ac:dyDescent="0.35">
      <c r="A949" t="str">
        <f t="shared" si="28"/>
        <v>VPS24345939</v>
      </c>
      <c r="B949" t="s">
        <v>321</v>
      </c>
      <c r="C949" t="s">
        <v>1558</v>
      </c>
      <c r="D949" s="32">
        <v>45907</v>
      </c>
      <c r="E949" t="s">
        <v>1453</v>
      </c>
      <c r="F949" t="str">
        <f>VLOOKUP(B949,'Agent wise'!A:E,5,0)</f>
        <v>Wireless</v>
      </c>
      <c r="G949" s="32">
        <v>45939</v>
      </c>
      <c r="H949">
        <f>COUNTIFS('Audit Raw data'!J:J,B:B,'Audit Raw data'!E:E,G:G)</f>
        <v>0</v>
      </c>
      <c r="I949" s="44" t="str">
        <f>IFERROR((SUMIFS('Audit Raw data'!BZ:BZ,'Audit Raw data'!J:J,B:B,'Audit Raw data'!E:E,G:G)/H949)/100,"-")</f>
        <v>-</v>
      </c>
      <c r="J949">
        <f>COUNTIFS('Audit Raw data'!AM:AM,"Yes",'Audit Raw data'!J:J,B:B,'Audit Raw data'!E:E,'Day wise agent'!G:G)</f>
        <v>0</v>
      </c>
      <c r="K949">
        <f>COUNTIFS('Audit Raw data'!AM:AM,"NO",'Audit Raw data'!J:J,B:B,'Audit Raw data'!E:E,'Day wise agent'!G:G)</f>
        <v>0</v>
      </c>
      <c r="L949" s="12" t="str">
        <f t="shared" si="29"/>
        <v xml:space="preserve"> </v>
      </c>
    </row>
    <row r="950" spans="1:12" x14ac:dyDescent="0.35">
      <c r="A950" t="str">
        <f t="shared" si="28"/>
        <v>VPS24445939</v>
      </c>
      <c r="B950" t="s">
        <v>288</v>
      </c>
      <c r="C950" t="s">
        <v>1559</v>
      </c>
      <c r="D950" s="32">
        <v>45907</v>
      </c>
      <c r="E950" t="s">
        <v>107</v>
      </c>
      <c r="F950" t="str">
        <f>VLOOKUP(B950,'Agent wise'!A:E,5,0)</f>
        <v>Wireless</v>
      </c>
      <c r="G950" s="32">
        <v>45939</v>
      </c>
      <c r="H950">
        <f>COUNTIFS('Audit Raw data'!J:J,B:B,'Audit Raw data'!E:E,G:G)</f>
        <v>0</v>
      </c>
      <c r="I950" s="44" t="str">
        <f>IFERROR((SUMIFS('Audit Raw data'!BZ:BZ,'Audit Raw data'!J:J,B:B,'Audit Raw data'!E:E,G:G)/H950)/100,"-")</f>
        <v>-</v>
      </c>
      <c r="J950">
        <f>COUNTIFS('Audit Raw data'!AM:AM,"Yes",'Audit Raw data'!J:J,B:B,'Audit Raw data'!E:E,'Day wise agent'!G:G)</f>
        <v>0</v>
      </c>
      <c r="K950">
        <f>COUNTIFS('Audit Raw data'!AM:AM,"NO",'Audit Raw data'!J:J,B:B,'Audit Raw data'!E:E,'Day wise agent'!G:G)</f>
        <v>0</v>
      </c>
      <c r="L950" s="12" t="str">
        <f t="shared" si="29"/>
        <v xml:space="preserve"> </v>
      </c>
    </row>
    <row r="951" spans="1:12" x14ac:dyDescent="0.35">
      <c r="A951" t="str">
        <f t="shared" si="28"/>
        <v>VPS24545939</v>
      </c>
      <c r="B951" t="s">
        <v>873</v>
      </c>
      <c r="C951" t="s">
        <v>1560</v>
      </c>
      <c r="D951" s="32">
        <v>45908</v>
      </c>
      <c r="E951" t="s">
        <v>1484</v>
      </c>
      <c r="F951" t="str">
        <f>VLOOKUP(B951,'Agent wise'!A:E,5,0)</f>
        <v>Wireless</v>
      </c>
      <c r="G951" s="32">
        <v>45939</v>
      </c>
      <c r="H951">
        <f>COUNTIFS('Audit Raw data'!J:J,B:B,'Audit Raw data'!E:E,G:G)</f>
        <v>1</v>
      </c>
      <c r="I951" s="44">
        <f>IFERROR((SUMIFS('Audit Raw data'!BZ:BZ,'Audit Raw data'!J:J,B:B,'Audit Raw data'!E:E,G:G)/H951)/100,"-")</f>
        <v>0.9</v>
      </c>
      <c r="J951">
        <f>COUNTIFS('Audit Raw data'!AM:AM,"Yes",'Audit Raw data'!J:J,B:B,'Audit Raw data'!E:E,'Day wise agent'!G:G)</f>
        <v>1</v>
      </c>
      <c r="K951">
        <f>COUNTIFS('Audit Raw data'!AM:AM,"NO",'Audit Raw data'!J:J,B:B,'Audit Raw data'!E:E,'Day wise agent'!G:G)</f>
        <v>0</v>
      </c>
      <c r="L951" s="12">
        <f t="shared" si="29"/>
        <v>1</v>
      </c>
    </row>
    <row r="952" spans="1:12" x14ac:dyDescent="0.35">
      <c r="A952" t="str">
        <f t="shared" si="28"/>
        <v>VPS24745939</v>
      </c>
      <c r="B952" t="s">
        <v>238</v>
      </c>
      <c r="C952" t="s">
        <v>1561</v>
      </c>
      <c r="D952" s="32">
        <v>45907</v>
      </c>
      <c r="E952" t="s">
        <v>1484</v>
      </c>
      <c r="F952" t="str">
        <f>VLOOKUP(B952,'Agent wise'!A:E,5,0)</f>
        <v>Wireless</v>
      </c>
      <c r="G952" s="32">
        <v>45939</v>
      </c>
      <c r="H952">
        <f>COUNTIFS('Audit Raw data'!J:J,B:B,'Audit Raw data'!E:E,G:G)</f>
        <v>1</v>
      </c>
      <c r="I952" s="44">
        <f>IFERROR((SUMIFS('Audit Raw data'!BZ:BZ,'Audit Raw data'!J:J,B:B,'Audit Raw data'!E:E,G:G)/H952)/100,"-")</f>
        <v>0.8</v>
      </c>
      <c r="J952">
        <f>COUNTIFS('Audit Raw data'!AM:AM,"Yes",'Audit Raw data'!J:J,B:B,'Audit Raw data'!E:E,'Day wise agent'!G:G)</f>
        <v>1</v>
      </c>
      <c r="K952">
        <f>COUNTIFS('Audit Raw data'!AM:AM,"NO",'Audit Raw data'!J:J,B:B,'Audit Raw data'!E:E,'Day wise agent'!G:G)</f>
        <v>0</v>
      </c>
      <c r="L952" s="12">
        <f t="shared" si="29"/>
        <v>1</v>
      </c>
    </row>
    <row r="953" spans="1:12" x14ac:dyDescent="0.35">
      <c r="A953" t="str">
        <f t="shared" si="28"/>
        <v>VPS24845939</v>
      </c>
      <c r="B953" t="s">
        <v>231</v>
      </c>
      <c r="C953" t="s">
        <v>1562</v>
      </c>
      <c r="D953" s="32">
        <v>45908</v>
      </c>
      <c r="E953" t="s">
        <v>107</v>
      </c>
      <c r="F953" t="str">
        <f>VLOOKUP(B953,'Agent wise'!A:E,5,0)</f>
        <v>Wireless</v>
      </c>
      <c r="G953" s="32">
        <v>45939</v>
      </c>
      <c r="H953">
        <f>COUNTIFS('Audit Raw data'!J:J,B:B,'Audit Raw data'!E:E,G:G)</f>
        <v>0</v>
      </c>
      <c r="I953" s="44" t="str">
        <f>IFERROR((SUMIFS('Audit Raw data'!BZ:BZ,'Audit Raw data'!J:J,B:B,'Audit Raw data'!E:E,G:G)/H953)/100,"-")</f>
        <v>-</v>
      </c>
      <c r="J953">
        <f>COUNTIFS('Audit Raw data'!AM:AM,"Yes",'Audit Raw data'!J:J,B:B,'Audit Raw data'!E:E,'Day wise agent'!G:G)</f>
        <v>0</v>
      </c>
      <c r="K953">
        <f>COUNTIFS('Audit Raw data'!AM:AM,"NO",'Audit Raw data'!J:J,B:B,'Audit Raw data'!E:E,'Day wise agent'!G:G)</f>
        <v>0</v>
      </c>
      <c r="L953" s="12" t="str">
        <f t="shared" si="29"/>
        <v xml:space="preserve"> </v>
      </c>
    </row>
    <row r="954" spans="1:12" x14ac:dyDescent="0.35">
      <c r="A954" t="str">
        <f t="shared" si="28"/>
        <v>VPS24945939</v>
      </c>
      <c r="B954" t="s">
        <v>215</v>
      </c>
      <c r="C954" t="s">
        <v>1563</v>
      </c>
      <c r="D954" s="32">
        <v>45907</v>
      </c>
      <c r="E954" t="s">
        <v>178</v>
      </c>
      <c r="F954" t="str">
        <f>VLOOKUP(B954,'Agent wise'!A:E,5,0)</f>
        <v>Wireless</v>
      </c>
      <c r="G954" s="32">
        <v>45939</v>
      </c>
      <c r="H954">
        <f>COUNTIFS('Audit Raw data'!J:J,B:B,'Audit Raw data'!E:E,G:G)</f>
        <v>0</v>
      </c>
      <c r="I954" s="44" t="str">
        <f>IFERROR((SUMIFS('Audit Raw data'!BZ:BZ,'Audit Raw data'!J:J,B:B,'Audit Raw data'!E:E,G:G)/H954)/100,"-")</f>
        <v>-</v>
      </c>
      <c r="J954">
        <f>COUNTIFS('Audit Raw data'!AM:AM,"Yes",'Audit Raw data'!J:J,B:B,'Audit Raw data'!E:E,'Day wise agent'!G:G)</f>
        <v>0</v>
      </c>
      <c r="K954">
        <f>COUNTIFS('Audit Raw data'!AM:AM,"NO",'Audit Raw data'!J:J,B:B,'Audit Raw data'!E:E,'Day wise agent'!G:G)</f>
        <v>0</v>
      </c>
      <c r="L954" s="12" t="str">
        <f t="shared" si="29"/>
        <v xml:space="preserve"> </v>
      </c>
    </row>
    <row r="955" spans="1:12" x14ac:dyDescent="0.35">
      <c r="A955" t="str">
        <f t="shared" si="28"/>
        <v>VPS25145939</v>
      </c>
      <c r="B955" t="s">
        <v>168</v>
      </c>
      <c r="C955" t="s">
        <v>1564</v>
      </c>
      <c r="D955" s="32">
        <v>45907</v>
      </c>
      <c r="E955" t="s">
        <v>107</v>
      </c>
      <c r="F955" t="str">
        <f>VLOOKUP(B955,'Agent wise'!A:E,5,0)</f>
        <v>Wireless</v>
      </c>
      <c r="G955" s="32">
        <v>45939</v>
      </c>
      <c r="H955">
        <f>COUNTIFS('Audit Raw data'!J:J,B:B,'Audit Raw data'!E:E,G:G)</f>
        <v>0</v>
      </c>
      <c r="I955" s="44" t="str">
        <f>IFERROR((SUMIFS('Audit Raw data'!BZ:BZ,'Audit Raw data'!J:J,B:B,'Audit Raw data'!E:E,G:G)/H955)/100,"-")</f>
        <v>-</v>
      </c>
      <c r="J955">
        <f>COUNTIFS('Audit Raw data'!AM:AM,"Yes",'Audit Raw data'!J:J,B:B,'Audit Raw data'!E:E,'Day wise agent'!G:G)</f>
        <v>0</v>
      </c>
      <c r="K955">
        <f>COUNTIFS('Audit Raw data'!AM:AM,"NO",'Audit Raw data'!J:J,B:B,'Audit Raw data'!E:E,'Day wise agent'!G:G)</f>
        <v>0</v>
      </c>
      <c r="L955" s="12" t="str">
        <f t="shared" si="29"/>
        <v xml:space="preserve"> </v>
      </c>
    </row>
    <row r="956" spans="1:12" x14ac:dyDescent="0.35">
      <c r="A956" t="str">
        <f t="shared" si="28"/>
        <v>VPS25245939</v>
      </c>
      <c r="B956" t="s">
        <v>204</v>
      </c>
      <c r="C956" t="s">
        <v>1565</v>
      </c>
      <c r="D956" s="32">
        <v>45919</v>
      </c>
      <c r="E956" t="s">
        <v>1484</v>
      </c>
      <c r="F956" t="str">
        <f>VLOOKUP(B956,'Agent wise'!A:E,5,0)</f>
        <v>Wireless</v>
      </c>
      <c r="G956" s="32">
        <v>45939</v>
      </c>
      <c r="H956">
        <f>COUNTIFS('Audit Raw data'!J:J,B:B,'Audit Raw data'!E:E,G:G)</f>
        <v>0</v>
      </c>
      <c r="I956" s="44" t="str">
        <f>IFERROR((SUMIFS('Audit Raw data'!BZ:BZ,'Audit Raw data'!J:J,B:B,'Audit Raw data'!E:E,G:G)/H956)/100,"-")</f>
        <v>-</v>
      </c>
      <c r="J956">
        <f>COUNTIFS('Audit Raw data'!AM:AM,"Yes",'Audit Raw data'!J:J,B:B,'Audit Raw data'!E:E,'Day wise agent'!G:G)</f>
        <v>0</v>
      </c>
      <c r="K956">
        <f>COUNTIFS('Audit Raw data'!AM:AM,"NO",'Audit Raw data'!J:J,B:B,'Audit Raw data'!E:E,'Day wise agent'!G:G)</f>
        <v>0</v>
      </c>
      <c r="L956" s="12" t="str">
        <f t="shared" si="29"/>
        <v xml:space="preserve"> </v>
      </c>
    </row>
    <row r="957" spans="1:12" x14ac:dyDescent="0.35">
      <c r="A957" t="str">
        <f t="shared" si="28"/>
        <v>VPS25345939</v>
      </c>
      <c r="B957" t="s">
        <v>195</v>
      </c>
      <c r="C957" t="s">
        <v>1566</v>
      </c>
      <c r="D957" s="32">
        <v>45919</v>
      </c>
      <c r="E957" t="s">
        <v>178</v>
      </c>
      <c r="F957" t="str">
        <f>VLOOKUP(B957,'Agent wise'!A:E,5,0)</f>
        <v>Wireless</v>
      </c>
      <c r="G957" s="32">
        <v>45939</v>
      </c>
      <c r="H957">
        <f>COUNTIFS('Audit Raw data'!J:J,B:B,'Audit Raw data'!E:E,G:G)</f>
        <v>1</v>
      </c>
      <c r="I957" s="44">
        <f>IFERROR((SUMIFS('Audit Raw data'!BZ:BZ,'Audit Raw data'!J:J,B:B,'Audit Raw data'!E:E,G:G)/H957)/100,"-")</f>
        <v>0.88</v>
      </c>
      <c r="J957">
        <f>COUNTIFS('Audit Raw data'!AM:AM,"Yes",'Audit Raw data'!J:J,B:B,'Audit Raw data'!E:E,'Day wise agent'!G:G)</f>
        <v>1</v>
      </c>
      <c r="K957">
        <f>COUNTIFS('Audit Raw data'!AM:AM,"NO",'Audit Raw data'!J:J,B:B,'Audit Raw data'!E:E,'Day wise agent'!G:G)</f>
        <v>0</v>
      </c>
      <c r="L957" s="12">
        <f t="shared" si="29"/>
        <v>1</v>
      </c>
    </row>
    <row r="958" spans="1:12" x14ac:dyDescent="0.35">
      <c r="A958" t="str">
        <f t="shared" si="28"/>
        <v>VPS25645939</v>
      </c>
      <c r="B958" t="s">
        <v>191</v>
      </c>
      <c r="C958" t="s">
        <v>1567</v>
      </c>
      <c r="D958" s="32">
        <v>45919</v>
      </c>
      <c r="E958" t="s">
        <v>1453</v>
      </c>
      <c r="F958" t="str">
        <f>VLOOKUP(B958,'Agent wise'!A:E,5,0)</f>
        <v>Wireless</v>
      </c>
      <c r="G958" s="32">
        <v>45939</v>
      </c>
      <c r="H958">
        <f>COUNTIFS('Audit Raw data'!J:J,B:B,'Audit Raw data'!E:E,G:G)</f>
        <v>0</v>
      </c>
      <c r="I958" s="44" t="str">
        <f>IFERROR((SUMIFS('Audit Raw data'!BZ:BZ,'Audit Raw data'!J:J,B:B,'Audit Raw data'!E:E,G:G)/H958)/100,"-")</f>
        <v>-</v>
      </c>
      <c r="J958">
        <f>COUNTIFS('Audit Raw data'!AM:AM,"Yes",'Audit Raw data'!J:J,B:B,'Audit Raw data'!E:E,'Day wise agent'!G:G)</f>
        <v>0</v>
      </c>
      <c r="K958">
        <f>COUNTIFS('Audit Raw data'!AM:AM,"NO",'Audit Raw data'!J:J,B:B,'Audit Raw data'!E:E,'Day wise agent'!G:G)</f>
        <v>0</v>
      </c>
      <c r="L958" s="12" t="str">
        <f t="shared" si="29"/>
        <v xml:space="preserve"> </v>
      </c>
    </row>
    <row r="959" spans="1:12" x14ac:dyDescent="0.35">
      <c r="A959" t="str">
        <f t="shared" si="28"/>
        <v>VPS25745939</v>
      </c>
      <c r="B959" t="s">
        <v>412</v>
      </c>
      <c r="C959" t="s">
        <v>1568</v>
      </c>
      <c r="D959" s="32">
        <v>45919</v>
      </c>
      <c r="E959" t="s">
        <v>1453</v>
      </c>
      <c r="F959" t="str">
        <f>VLOOKUP(B959,'Agent wise'!A:E,5,0)</f>
        <v>Wireless</v>
      </c>
      <c r="G959" s="32">
        <v>45939</v>
      </c>
      <c r="H959">
        <f>COUNTIFS('Audit Raw data'!J:J,B:B,'Audit Raw data'!E:E,G:G)</f>
        <v>0</v>
      </c>
      <c r="I959" s="44" t="str">
        <f>IFERROR((SUMIFS('Audit Raw data'!BZ:BZ,'Audit Raw data'!J:J,B:B,'Audit Raw data'!E:E,G:G)/H959)/100,"-")</f>
        <v>-</v>
      </c>
      <c r="J959">
        <f>COUNTIFS('Audit Raw data'!AM:AM,"Yes",'Audit Raw data'!J:J,B:B,'Audit Raw data'!E:E,'Day wise agent'!G:G)</f>
        <v>0</v>
      </c>
      <c r="K959">
        <f>COUNTIFS('Audit Raw data'!AM:AM,"NO",'Audit Raw data'!J:J,B:B,'Audit Raw data'!E:E,'Day wise agent'!G:G)</f>
        <v>0</v>
      </c>
      <c r="L959" s="12" t="str">
        <f t="shared" si="29"/>
        <v xml:space="preserve"> </v>
      </c>
    </row>
    <row r="960" spans="1:12" x14ac:dyDescent="0.35">
      <c r="A960" t="str">
        <f t="shared" si="28"/>
        <v>VPS25845939</v>
      </c>
      <c r="B960" t="s">
        <v>183</v>
      </c>
      <c r="C960" t="s">
        <v>1569</v>
      </c>
      <c r="D960" s="32">
        <v>45927</v>
      </c>
      <c r="E960" t="s">
        <v>178</v>
      </c>
      <c r="F960" t="str">
        <f>VLOOKUP(B960,'Agent wise'!A:E,5,0)</f>
        <v>Wireless</v>
      </c>
      <c r="G960" s="32">
        <v>45939</v>
      </c>
      <c r="H960">
        <f>COUNTIFS('Audit Raw data'!J:J,B:B,'Audit Raw data'!E:E,G:G)</f>
        <v>1</v>
      </c>
      <c r="I960" s="44">
        <f>IFERROR((SUMIFS('Audit Raw data'!BZ:BZ,'Audit Raw data'!J:J,B:B,'Audit Raw data'!E:E,G:G)/H960)/100,"-")</f>
        <v>0.78</v>
      </c>
      <c r="J960">
        <f>COUNTIFS('Audit Raw data'!AM:AM,"Yes",'Audit Raw data'!J:J,B:B,'Audit Raw data'!E:E,'Day wise agent'!G:G)</f>
        <v>1</v>
      </c>
      <c r="K960">
        <f>COUNTIFS('Audit Raw data'!AM:AM,"NO",'Audit Raw data'!J:J,B:B,'Audit Raw data'!E:E,'Day wise agent'!G:G)</f>
        <v>0</v>
      </c>
      <c r="L960" s="12">
        <f t="shared" si="29"/>
        <v>1</v>
      </c>
    </row>
    <row r="961" spans="1:12" x14ac:dyDescent="0.35">
      <c r="A961" t="str">
        <f t="shared" si="28"/>
        <v>VPS25945939</v>
      </c>
      <c r="B961" t="s">
        <v>102</v>
      </c>
      <c r="C961" t="s">
        <v>1570</v>
      </c>
      <c r="D961" s="32">
        <v>45927</v>
      </c>
      <c r="E961" t="s">
        <v>107</v>
      </c>
      <c r="F961" t="str">
        <f>VLOOKUP(B961,'Agent wise'!A:E,5,0)</f>
        <v>Wireless</v>
      </c>
      <c r="G961" s="32">
        <v>45939</v>
      </c>
      <c r="H961">
        <f>COUNTIFS('Audit Raw data'!J:J,B:B,'Audit Raw data'!E:E,G:G)</f>
        <v>1</v>
      </c>
      <c r="I961" s="44">
        <f>IFERROR((SUMIFS('Audit Raw data'!BZ:BZ,'Audit Raw data'!J:J,B:B,'Audit Raw data'!E:E,G:G)/H961)/100,"-")</f>
        <v>0.72</v>
      </c>
      <c r="J961">
        <f>COUNTIFS('Audit Raw data'!AM:AM,"Yes",'Audit Raw data'!J:J,B:B,'Audit Raw data'!E:E,'Day wise agent'!G:G)</f>
        <v>1</v>
      </c>
      <c r="K961">
        <f>COUNTIFS('Audit Raw data'!AM:AM,"NO",'Audit Raw data'!J:J,B:B,'Audit Raw data'!E:E,'Day wise agent'!G:G)</f>
        <v>0</v>
      </c>
      <c r="L961" s="12">
        <f t="shared" si="29"/>
        <v>1</v>
      </c>
    </row>
    <row r="962" spans="1:12" x14ac:dyDescent="0.35">
      <c r="A962" t="str">
        <f t="shared" ref="A962:A1025" si="30">B962&amp;G962</f>
        <v>VPS26045939</v>
      </c>
      <c r="B962" t="s">
        <v>998</v>
      </c>
      <c r="C962" t="s">
        <v>1571</v>
      </c>
      <c r="D962" s="32">
        <v>45938</v>
      </c>
      <c r="E962" t="s">
        <v>1572</v>
      </c>
      <c r="F962" t="str">
        <f>VLOOKUP(B962,'Agent wise'!A:E,5,0)</f>
        <v>Wireless</v>
      </c>
      <c r="G962" s="32">
        <v>45939</v>
      </c>
      <c r="H962">
        <f>COUNTIFS('Audit Raw data'!J:J,B:B,'Audit Raw data'!E:E,G:G)</f>
        <v>0</v>
      </c>
      <c r="I962" s="44" t="str">
        <f>IFERROR((SUMIFS('Audit Raw data'!BZ:BZ,'Audit Raw data'!J:J,B:B,'Audit Raw data'!E:E,G:G)/H962)/100,"-")</f>
        <v>-</v>
      </c>
      <c r="J962">
        <f>COUNTIFS('Audit Raw data'!AM:AM,"Yes",'Audit Raw data'!J:J,B:B,'Audit Raw data'!E:E,'Day wise agent'!G:G)</f>
        <v>0</v>
      </c>
      <c r="K962">
        <f>COUNTIFS('Audit Raw data'!AM:AM,"NO",'Audit Raw data'!J:J,B:B,'Audit Raw data'!E:E,'Day wise agent'!G:G)</f>
        <v>0</v>
      </c>
      <c r="L962" s="12" t="str">
        <f t="shared" ref="L962:L1025" si="31">IFERROR(J962/H962," ")</f>
        <v xml:space="preserve"> </v>
      </c>
    </row>
    <row r="963" spans="1:12" x14ac:dyDescent="0.35">
      <c r="A963" t="str">
        <f t="shared" si="30"/>
        <v>VPS26145939</v>
      </c>
      <c r="B963" t="s">
        <v>1009</v>
      </c>
      <c r="C963" t="s">
        <v>1573</v>
      </c>
      <c r="D963" s="32">
        <v>45938</v>
      </c>
      <c r="E963" t="s">
        <v>1572</v>
      </c>
      <c r="F963" t="str">
        <f>VLOOKUP(B963,'Agent wise'!A:E,5,0)</f>
        <v>Wireless</v>
      </c>
      <c r="G963" s="32">
        <v>45939</v>
      </c>
      <c r="H963">
        <f>COUNTIFS('Audit Raw data'!J:J,B:B,'Audit Raw data'!E:E,G:G)</f>
        <v>0</v>
      </c>
      <c r="I963" s="44" t="str">
        <f>IFERROR((SUMIFS('Audit Raw data'!BZ:BZ,'Audit Raw data'!J:J,B:B,'Audit Raw data'!E:E,G:G)/H963)/100,"-")</f>
        <v>-</v>
      </c>
      <c r="J963">
        <f>COUNTIFS('Audit Raw data'!AM:AM,"Yes",'Audit Raw data'!J:J,B:B,'Audit Raw data'!E:E,'Day wise agent'!G:G)</f>
        <v>0</v>
      </c>
      <c r="K963">
        <f>COUNTIFS('Audit Raw data'!AM:AM,"NO",'Audit Raw data'!J:J,B:B,'Audit Raw data'!E:E,'Day wise agent'!G:G)</f>
        <v>0</v>
      </c>
      <c r="L963" s="12" t="str">
        <f t="shared" si="31"/>
        <v xml:space="preserve"> </v>
      </c>
    </row>
    <row r="964" spans="1:12" x14ac:dyDescent="0.35">
      <c r="A964" t="str">
        <f t="shared" si="30"/>
        <v>VPS26245939</v>
      </c>
      <c r="B964" t="s">
        <v>1098</v>
      </c>
      <c r="C964" t="s">
        <v>1574</v>
      </c>
      <c r="D964" s="32">
        <v>45938</v>
      </c>
      <c r="E964" t="s">
        <v>1572</v>
      </c>
      <c r="F964" t="str">
        <f>VLOOKUP(B964,'Agent wise'!A:E,5,0)</f>
        <v>Wireless</v>
      </c>
      <c r="G964" s="32">
        <v>45939</v>
      </c>
      <c r="H964">
        <f>COUNTIFS('Audit Raw data'!J:J,B:B,'Audit Raw data'!E:E,G:G)</f>
        <v>0</v>
      </c>
      <c r="I964" s="44" t="str">
        <f>IFERROR((SUMIFS('Audit Raw data'!BZ:BZ,'Audit Raw data'!J:J,B:B,'Audit Raw data'!E:E,G:G)/H964)/100,"-")</f>
        <v>-</v>
      </c>
      <c r="J964">
        <f>COUNTIFS('Audit Raw data'!AM:AM,"Yes",'Audit Raw data'!J:J,B:B,'Audit Raw data'!E:E,'Day wise agent'!G:G)</f>
        <v>0</v>
      </c>
      <c r="K964">
        <f>COUNTIFS('Audit Raw data'!AM:AM,"NO",'Audit Raw data'!J:J,B:B,'Audit Raw data'!E:E,'Day wise agent'!G:G)</f>
        <v>0</v>
      </c>
      <c r="L964" s="12" t="str">
        <f t="shared" si="31"/>
        <v xml:space="preserve"> </v>
      </c>
    </row>
    <row r="965" spans="1:12" x14ac:dyDescent="0.35">
      <c r="A965" t="str">
        <f t="shared" si="30"/>
        <v>VPS26345939</v>
      </c>
      <c r="B965" t="s">
        <v>1022</v>
      </c>
      <c r="C965" t="s">
        <v>1575</v>
      </c>
      <c r="D965" s="32">
        <v>45938</v>
      </c>
      <c r="E965" t="s">
        <v>1572</v>
      </c>
      <c r="F965" t="str">
        <f>VLOOKUP(B965,'Agent wise'!A:E,5,0)</f>
        <v>Wireless</v>
      </c>
      <c r="G965" s="32">
        <v>45939</v>
      </c>
      <c r="H965">
        <f>COUNTIFS('Audit Raw data'!J:J,B:B,'Audit Raw data'!E:E,G:G)</f>
        <v>0</v>
      </c>
      <c r="I965" s="44" t="str">
        <f>IFERROR((SUMIFS('Audit Raw data'!BZ:BZ,'Audit Raw data'!J:J,B:B,'Audit Raw data'!E:E,G:G)/H965)/100,"-")</f>
        <v>-</v>
      </c>
      <c r="J965">
        <f>COUNTIFS('Audit Raw data'!AM:AM,"Yes",'Audit Raw data'!J:J,B:B,'Audit Raw data'!E:E,'Day wise agent'!G:G)</f>
        <v>0</v>
      </c>
      <c r="K965">
        <f>COUNTIFS('Audit Raw data'!AM:AM,"NO",'Audit Raw data'!J:J,B:B,'Audit Raw data'!E:E,'Day wise agent'!G:G)</f>
        <v>0</v>
      </c>
      <c r="L965" s="12" t="str">
        <f t="shared" si="31"/>
        <v xml:space="preserve"> </v>
      </c>
    </row>
    <row r="966" spans="1:12" x14ac:dyDescent="0.35">
      <c r="A966" t="str">
        <f t="shared" si="30"/>
        <v>VPS26445939</v>
      </c>
      <c r="B966" t="s">
        <v>1030</v>
      </c>
      <c r="C966" t="s">
        <v>1576</v>
      </c>
      <c r="D966" s="32">
        <v>45938</v>
      </c>
      <c r="E966" t="s">
        <v>1572</v>
      </c>
      <c r="F966" t="str">
        <f>VLOOKUP(B966,'Agent wise'!A:E,5,0)</f>
        <v>Wireless</v>
      </c>
      <c r="G966" s="32">
        <v>45939</v>
      </c>
      <c r="H966">
        <f>COUNTIFS('Audit Raw data'!J:J,B:B,'Audit Raw data'!E:E,G:G)</f>
        <v>0</v>
      </c>
      <c r="I966" s="44" t="str">
        <f>IFERROR((SUMIFS('Audit Raw data'!BZ:BZ,'Audit Raw data'!J:J,B:B,'Audit Raw data'!E:E,G:G)/H966)/100,"-")</f>
        <v>-</v>
      </c>
      <c r="J966">
        <f>COUNTIFS('Audit Raw data'!AM:AM,"Yes",'Audit Raw data'!J:J,B:B,'Audit Raw data'!E:E,'Day wise agent'!G:G)</f>
        <v>0</v>
      </c>
      <c r="K966">
        <f>COUNTIFS('Audit Raw data'!AM:AM,"NO",'Audit Raw data'!J:J,B:B,'Audit Raw data'!E:E,'Day wise agent'!G:G)</f>
        <v>0</v>
      </c>
      <c r="L966" s="12" t="str">
        <f t="shared" si="31"/>
        <v xml:space="preserve"> </v>
      </c>
    </row>
    <row r="967" spans="1:12" x14ac:dyDescent="0.35">
      <c r="A967" t="str">
        <f t="shared" si="30"/>
        <v>SBM10745940</v>
      </c>
      <c r="B967" t="s">
        <v>313</v>
      </c>
      <c r="C967" t="s">
        <v>1449</v>
      </c>
      <c r="D967" s="32">
        <v>44691</v>
      </c>
      <c r="E967" t="s">
        <v>107</v>
      </c>
      <c r="F967" t="str">
        <f>VLOOKUP(B967,'Agent wise'!A:E,5,0)</f>
        <v>Wire-line</v>
      </c>
      <c r="G967" s="32">
        <v>45940</v>
      </c>
      <c r="H967">
        <f>COUNTIFS('Audit Raw data'!J:J,B:B,'Audit Raw data'!E:E,G:G)</f>
        <v>0</v>
      </c>
      <c r="I967" s="44" t="str">
        <f>IFERROR((SUMIFS('Audit Raw data'!BZ:BZ,'Audit Raw data'!J:J,B:B,'Audit Raw data'!E:E,G:G)/H967)/100,"-")</f>
        <v>-</v>
      </c>
      <c r="J967">
        <f>COUNTIFS('Audit Raw data'!AM:AM,"Yes",'Audit Raw data'!J:J,B:B,'Audit Raw data'!E:E,'Day wise agent'!G:G)</f>
        <v>0</v>
      </c>
      <c r="K967">
        <f>COUNTIFS('Audit Raw data'!AM:AM,"NO",'Audit Raw data'!J:J,B:B,'Audit Raw data'!E:E,'Day wise agent'!G:G)</f>
        <v>0</v>
      </c>
      <c r="L967" s="12" t="str">
        <f t="shared" si="31"/>
        <v xml:space="preserve"> </v>
      </c>
    </row>
    <row r="968" spans="1:12" x14ac:dyDescent="0.35">
      <c r="A968" t="str">
        <f t="shared" si="30"/>
        <v>SBM15045940</v>
      </c>
      <c r="B968" t="s">
        <v>56</v>
      </c>
      <c r="C968" t="s">
        <v>1452</v>
      </c>
      <c r="D968" s="32">
        <v>44707</v>
      </c>
      <c r="E968" t="s">
        <v>1453</v>
      </c>
      <c r="F968" t="str">
        <f>VLOOKUP(B968,'Agent wise'!A:E,5,0)</f>
        <v>Wireless</v>
      </c>
      <c r="G968" s="32">
        <v>45940</v>
      </c>
      <c r="H968">
        <f>COUNTIFS('Audit Raw data'!J:J,B:B,'Audit Raw data'!E:E,G:G)</f>
        <v>0</v>
      </c>
      <c r="I968" s="44" t="str">
        <f>IFERROR((SUMIFS('Audit Raw data'!BZ:BZ,'Audit Raw data'!J:J,B:B,'Audit Raw data'!E:E,G:G)/H968)/100,"-")</f>
        <v>-</v>
      </c>
      <c r="J968">
        <f>COUNTIFS('Audit Raw data'!AM:AM,"Yes",'Audit Raw data'!J:J,B:B,'Audit Raw data'!E:E,'Day wise agent'!G:G)</f>
        <v>0</v>
      </c>
      <c r="K968">
        <f>COUNTIFS('Audit Raw data'!AM:AM,"NO",'Audit Raw data'!J:J,B:B,'Audit Raw data'!E:E,'Day wise agent'!G:G)</f>
        <v>0</v>
      </c>
      <c r="L968" s="12" t="str">
        <f t="shared" si="31"/>
        <v xml:space="preserve"> </v>
      </c>
    </row>
    <row r="969" spans="1:12" x14ac:dyDescent="0.35">
      <c r="A969" t="str">
        <f t="shared" si="30"/>
        <v>SBM15545940</v>
      </c>
      <c r="B969" t="s">
        <v>1454</v>
      </c>
      <c r="C969" t="s">
        <v>1455</v>
      </c>
      <c r="D969" s="32">
        <v>44707</v>
      </c>
      <c r="E969" t="s">
        <v>1456</v>
      </c>
      <c r="F969" t="str">
        <f>VLOOKUP(B969,'Agent wise'!A:E,5,0)</f>
        <v>RECL</v>
      </c>
      <c r="G969" s="32">
        <v>45940</v>
      </c>
      <c r="H969">
        <f>COUNTIFS('Audit Raw data'!J:J,B:B,'Audit Raw data'!E:E,G:G)</f>
        <v>0</v>
      </c>
      <c r="I969" s="44" t="str">
        <f>IFERROR((SUMIFS('Audit Raw data'!BZ:BZ,'Audit Raw data'!J:J,B:B,'Audit Raw data'!E:E,G:G)/H969)/100,"-")</f>
        <v>-</v>
      </c>
      <c r="J969">
        <f>COUNTIFS('Audit Raw data'!AM:AM,"Yes",'Audit Raw data'!J:J,B:B,'Audit Raw data'!E:E,'Day wise agent'!G:G)</f>
        <v>0</v>
      </c>
      <c r="K969">
        <f>COUNTIFS('Audit Raw data'!AM:AM,"NO",'Audit Raw data'!J:J,B:B,'Audit Raw data'!E:E,'Day wise agent'!G:G)</f>
        <v>0</v>
      </c>
      <c r="L969" s="12" t="str">
        <f t="shared" si="31"/>
        <v xml:space="preserve"> </v>
      </c>
    </row>
    <row r="970" spans="1:12" x14ac:dyDescent="0.35">
      <c r="A970" t="str">
        <f t="shared" si="30"/>
        <v>SBM15745940</v>
      </c>
      <c r="B970" t="s">
        <v>67</v>
      </c>
      <c r="C970" t="s">
        <v>1458</v>
      </c>
      <c r="D970" s="32">
        <v>44713</v>
      </c>
      <c r="E970" t="s">
        <v>1453</v>
      </c>
      <c r="F970" t="str">
        <f>VLOOKUP(B970,'Agent wise'!A:E,5,0)</f>
        <v>Wireless</v>
      </c>
      <c r="G970" s="32">
        <v>45940</v>
      </c>
      <c r="H970">
        <f>COUNTIFS('Audit Raw data'!J:J,B:B,'Audit Raw data'!E:E,G:G)</f>
        <v>0</v>
      </c>
      <c r="I970" s="44" t="str">
        <f>IFERROR((SUMIFS('Audit Raw data'!BZ:BZ,'Audit Raw data'!J:J,B:B,'Audit Raw data'!E:E,G:G)/H970)/100,"-")</f>
        <v>-</v>
      </c>
      <c r="J970">
        <f>COUNTIFS('Audit Raw data'!AM:AM,"Yes",'Audit Raw data'!J:J,B:B,'Audit Raw data'!E:E,'Day wise agent'!G:G)</f>
        <v>0</v>
      </c>
      <c r="K970">
        <f>COUNTIFS('Audit Raw data'!AM:AM,"NO",'Audit Raw data'!J:J,B:B,'Audit Raw data'!E:E,'Day wise agent'!G:G)</f>
        <v>0</v>
      </c>
      <c r="L970" s="12" t="str">
        <f t="shared" si="31"/>
        <v xml:space="preserve"> </v>
      </c>
    </row>
    <row r="971" spans="1:12" x14ac:dyDescent="0.35">
      <c r="A971" t="str">
        <f t="shared" si="30"/>
        <v>SBM20245940</v>
      </c>
      <c r="B971" t="s">
        <v>466</v>
      </c>
      <c r="C971" t="s">
        <v>1459</v>
      </c>
      <c r="D971" s="32">
        <v>44721</v>
      </c>
      <c r="E971" t="s">
        <v>178</v>
      </c>
      <c r="F971" t="str">
        <f>VLOOKUP(B971,'Agent wise'!A:E,5,0)</f>
        <v>Wireless</v>
      </c>
      <c r="G971" s="32">
        <v>45940</v>
      </c>
      <c r="H971">
        <f>COUNTIFS('Audit Raw data'!J:J,B:B,'Audit Raw data'!E:E,G:G)</f>
        <v>0</v>
      </c>
      <c r="I971" s="44" t="str">
        <f>IFERROR((SUMIFS('Audit Raw data'!BZ:BZ,'Audit Raw data'!J:J,B:B,'Audit Raw data'!E:E,G:G)/H971)/100,"-")</f>
        <v>-</v>
      </c>
      <c r="J971">
        <f>COUNTIFS('Audit Raw data'!AM:AM,"Yes",'Audit Raw data'!J:J,B:B,'Audit Raw data'!E:E,'Day wise agent'!G:G)</f>
        <v>0</v>
      </c>
      <c r="K971">
        <f>COUNTIFS('Audit Raw data'!AM:AM,"NO",'Audit Raw data'!J:J,B:B,'Audit Raw data'!E:E,'Day wise agent'!G:G)</f>
        <v>0</v>
      </c>
      <c r="L971" s="12" t="str">
        <f t="shared" si="31"/>
        <v xml:space="preserve"> </v>
      </c>
    </row>
    <row r="972" spans="1:12" x14ac:dyDescent="0.35">
      <c r="A972" t="str">
        <f t="shared" si="30"/>
        <v>SBM26445940</v>
      </c>
      <c r="B972" t="s">
        <v>575</v>
      </c>
      <c r="C972" t="s">
        <v>1461</v>
      </c>
      <c r="D972" s="32">
        <v>44739</v>
      </c>
      <c r="E972" t="s">
        <v>107</v>
      </c>
      <c r="F972" t="str">
        <f>VLOOKUP(B972,'Agent wise'!A:E,5,0)</f>
        <v>Wireless</v>
      </c>
      <c r="G972" s="32">
        <v>45940</v>
      </c>
      <c r="H972">
        <f>COUNTIFS('Audit Raw data'!J:J,B:B,'Audit Raw data'!E:E,G:G)</f>
        <v>0</v>
      </c>
      <c r="I972" s="44" t="str">
        <f>IFERROR((SUMIFS('Audit Raw data'!BZ:BZ,'Audit Raw data'!J:J,B:B,'Audit Raw data'!E:E,G:G)/H972)/100,"-")</f>
        <v>-</v>
      </c>
      <c r="J972">
        <f>COUNTIFS('Audit Raw data'!AM:AM,"Yes",'Audit Raw data'!J:J,B:B,'Audit Raw data'!E:E,'Day wise agent'!G:G)</f>
        <v>0</v>
      </c>
      <c r="K972">
        <f>COUNTIFS('Audit Raw data'!AM:AM,"NO",'Audit Raw data'!J:J,B:B,'Audit Raw data'!E:E,'Day wise agent'!G:G)</f>
        <v>0</v>
      </c>
      <c r="L972" s="12" t="str">
        <f t="shared" si="31"/>
        <v xml:space="preserve"> </v>
      </c>
    </row>
    <row r="973" spans="1:12" x14ac:dyDescent="0.35">
      <c r="A973" t="str">
        <f t="shared" si="30"/>
        <v>SBM26745940</v>
      </c>
      <c r="B973" t="s">
        <v>91</v>
      </c>
      <c r="C973" t="s">
        <v>1462</v>
      </c>
      <c r="D973" s="32">
        <v>44768</v>
      </c>
      <c r="E973" t="s">
        <v>1453</v>
      </c>
      <c r="F973" t="str">
        <f>VLOOKUP(B973,'Agent wise'!A:E,5,0)</f>
        <v>Wireless</v>
      </c>
      <c r="G973" s="32">
        <v>45940</v>
      </c>
      <c r="H973">
        <f>COUNTIFS('Audit Raw data'!J:J,B:B,'Audit Raw data'!E:E,G:G)</f>
        <v>1</v>
      </c>
      <c r="I973" s="44">
        <f>IFERROR((SUMIFS('Audit Raw data'!BZ:BZ,'Audit Raw data'!J:J,B:B,'Audit Raw data'!E:E,G:G)/H973)/100,"-")</f>
        <v>0.94</v>
      </c>
      <c r="J973">
        <f>COUNTIFS('Audit Raw data'!AM:AM,"Yes",'Audit Raw data'!J:J,B:B,'Audit Raw data'!E:E,'Day wise agent'!G:G)</f>
        <v>1</v>
      </c>
      <c r="K973">
        <f>COUNTIFS('Audit Raw data'!AM:AM,"NO",'Audit Raw data'!J:J,B:B,'Audit Raw data'!E:E,'Day wise agent'!G:G)</f>
        <v>0</v>
      </c>
      <c r="L973" s="12">
        <f t="shared" si="31"/>
        <v>1</v>
      </c>
    </row>
    <row r="974" spans="1:12" x14ac:dyDescent="0.35">
      <c r="A974" t="str">
        <f t="shared" si="30"/>
        <v>SBM31445940</v>
      </c>
      <c r="B974" t="s">
        <v>132</v>
      </c>
      <c r="C974" t="s">
        <v>1463</v>
      </c>
      <c r="D974" s="32">
        <v>44784</v>
      </c>
      <c r="E974" t="s">
        <v>107</v>
      </c>
      <c r="F974" t="str">
        <f>VLOOKUP(B974,'Agent wise'!A:E,5,0)</f>
        <v>Wireless</v>
      </c>
      <c r="G974" s="32">
        <v>45940</v>
      </c>
      <c r="H974">
        <f>COUNTIFS('Audit Raw data'!J:J,B:B,'Audit Raw data'!E:E,G:G)</f>
        <v>0</v>
      </c>
      <c r="I974" s="44" t="str">
        <f>IFERROR((SUMIFS('Audit Raw data'!BZ:BZ,'Audit Raw data'!J:J,B:B,'Audit Raw data'!E:E,G:G)/H974)/100,"-")</f>
        <v>-</v>
      </c>
      <c r="J974">
        <f>COUNTIFS('Audit Raw data'!AM:AM,"Yes",'Audit Raw data'!J:J,B:B,'Audit Raw data'!E:E,'Day wise agent'!G:G)</f>
        <v>0</v>
      </c>
      <c r="K974">
        <f>COUNTIFS('Audit Raw data'!AM:AM,"NO",'Audit Raw data'!J:J,B:B,'Audit Raw data'!E:E,'Day wise agent'!G:G)</f>
        <v>0</v>
      </c>
      <c r="L974" s="12" t="str">
        <f t="shared" si="31"/>
        <v xml:space="preserve"> </v>
      </c>
    </row>
    <row r="975" spans="1:12" x14ac:dyDescent="0.35">
      <c r="A975" t="str">
        <f t="shared" si="30"/>
        <v>SBM36345940</v>
      </c>
      <c r="B975" t="s">
        <v>70</v>
      </c>
      <c r="C975" t="s">
        <v>1464</v>
      </c>
      <c r="D975" s="32">
        <v>44786</v>
      </c>
      <c r="E975" t="s">
        <v>1453</v>
      </c>
      <c r="F975" t="str">
        <f>VLOOKUP(B975,'Agent wise'!A:E,5,0)</f>
        <v>Wireless</v>
      </c>
      <c r="G975" s="32">
        <v>45940</v>
      </c>
      <c r="H975">
        <f>COUNTIFS('Audit Raw data'!J:J,B:B,'Audit Raw data'!E:E,G:G)</f>
        <v>0</v>
      </c>
      <c r="I975" s="44" t="str">
        <f>IFERROR((SUMIFS('Audit Raw data'!BZ:BZ,'Audit Raw data'!J:J,B:B,'Audit Raw data'!E:E,G:G)/H975)/100,"-")</f>
        <v>-</v>
      </c>
      <c r="J975">
        <f>COUNTIFS('Audit Raw data'!AM:AM,"Yes",'Audit Raw data'!J:J,B:B,'Audit Raw data'!E:E,'Day wise agent'!G:G)</f>
        <v>0</v>
      </c>
      <c r="K975">
        <f>COUNTIFS('Audit Raw data'!AM:AM,"NO",'Audit Raw data'!J:J,B:B,'Audit Raw data'!E:E,'Day wise agent'!G:G)</f>
        <v>0</v>
      </c>
      <c r="L975" s="12" t="str">
        <f t="shared" si="31"/>
        <v xml:space="preserve"> </v>
      </c>
    </row>
    <row r="976" spans="1:12" x14ac:dyDescent="0.35">
      <c r="A976" t="str">
        <f t="shared" si="30"/>
        <v>SBM37345940</v>
      </c>
      <c r="B976" t="s">
        <v>75</v>
      </c>
      <c r="C976" t="s">
        <v>1465</v>
      </c>
      <c r="D976" s="32">
        <v>44786</v>
      </c>
      <c r="E976" t="s">
        <v>1453</v>
      </c>
      <c r="F976" t="str">
        <f>VLOOKUP(B976,'Agent wise'!A:E,5,0)</f>
        <v>Wireless</v>
      </c>
      <c r="G976" s="32">
        <v>45940</v>
      </c>
      <c r="H976">
        <f>COUNTIFS('Audit Raw data'!J:J,B:B,'Audit Raw data'!E:E,G:G)</f>
        <v>0</v>
      </c>
      <c r="I976" s="44" t="str">
        <f>IFERROR((SUMIFS('Audit Raw data'!BZ:BZ,'Audit Raw data'!J:J,B:B,'Audit Raw data'!E:E,G:G)/H976)/100,"-")</f>
        <v>-</v>
      </c>
      <c r="J976">
        <f>COUNTIFS('Audit Raw data'!AM:AM,"Yes",'Audit Raw data'!J:J,B:B,'Audit Raw data'!E:E,'Day wise agent'!G:G)</f>
        <v>0</v>
      </c>
      <c r="K976">
        <f>COUNTIFS('Audit Raw data'!AM:AM,"NO",'Audit Raw data'!J:J,B:B,'Audit Raw data'!E:E,'Day wise agent'!G:G)</f>
        <v>0</v>
      </c>
      <c r="L976" s="12" t="str">
        <f t="shared" si="31"/>
        <v xml:space="preserve"> </v>
      </c>
    </row>
    <row r="977" spans="1:12" x14ac:dyDescent="0.35">
      <c r="A977" t="str">
        <f t="shared" si="30"/>
        <v>SBM42245940</v>
      </c>
      <c r="B977" t="s">
        <v>636</v>
      </c>
      <c r="C977" t="s">
        <v>1466</v>
      </c>
      <c r="D977" s="32">
        <v>44882</v>
      </c>
      <c r="E977" t="s">
        <v>107</v>
      </c>
      <c r="F977" t="str">
        <f>VLOOKUP(B977,'Agent wise'!A:E,5,0)</f>
        <v>Wireless</v>
      </c>
      <c r="G977" s="32">
        <v>45940</v>
      </c>
      <c r="H977">
        <f>COUNTIFS('Audit Raw data'!J:J,B:B,'Audit Raw data'!E:E,G:G)</f>
        <v>0</v>
      </c>
      <c r="I977" s="44" t="str">
        <f>IFERROR((SUMIFS('Audit Raw data'!BZ:BZ,'Audit Raw data'!J:J,B:B,'Audit Raw data'!E:E,G:G)/H977)/100,"-")</f>
        <v>-</v>
      </c>
      <c r="J977">
        <f>COUNTIFS('Audit Raw data'!AM:AM,"Yes",'Audit Raw data'!J:J,B:B,'Audit Raw data'!E:E,'Day wise agent'!G:G)</f>
        <v>0</v>
      </c>
      <c r="K977">
        <f>COUNTIFS('Audit Raw data'!AM:AM,"NO",'Audit Raw data'!J:J,B:B,'Audit Raw data'!E:E,'Day wise agent'!G:G)</f>
        <v>0</v>
      </c>
      <c r="L977" s="12" t="str">
        <f t="shared" si="31"/>
        <v xml:space="preserve"> </v>
      </c>
    </row>
    <row r="978" spans="1:12" x14ac:dyDescent="0.35">
      <c r="A978" t="str">
        <f t="shared" si="30"/>
        <v>SBM47945940</v>
      </c>
      <c r="B978" t="s">
        <v>1474</v>
      </c>
      <c r="C978" t="s">
        <v>1475</v>
      </c>
      <c r="D978" s="32">
        <v>44932</v>
      </c>
      <c r="E978" t="s">
        <v>1456</v>
      </c>
      <c r="F978" t="str">
        <f>VLOOKUP(B978,'Agent wise'!A:E,5,0)</f>
        <v>RECL</v>
      </c>
      <c r="G978" s="32">
        <v>45940</v>
      </c>
      <c r="H978">
        <f>COUNTIFS('Audit Raw data'!J:J,B:B,'Audit Raw data'!E:E,G:G)</f>
        <v>0</v>
      </c>
      <c r="I978" s="44" t="str">
        <f>IFERROR((SUMIFS('Audit Raw data'!BZ:BZ,'Audit Raw data'!J:J,B:B,'Audit Raw data'!E:E,G:G)/H978)/100,"-")</f>
        <v>-</v>
      </c>
      <c r="J978">
        <f>COUNTIFS('Audit Raw data'!AM:AM,"Yes",'Audit Raw data'!J:J,B:B,'Audit Raw data'!E:E,'Day wise agent'!G:G)</f>
        <v>0</v>
      </c>
      <c r="K978">
        <f>COUNTIFS('Audit Raw data'!AM:AM,"NO",'Audit Raw data'!J:J,B:B,'Audit Raw data'!E:E,'Day wise agent'!G:G)</f>
        <v>0</v>
      </c>
      <c r="L978" s="12" t="str">
        <f t="shared" si="31"/>
        <v xml:space="preserve"> </v>
      </c>
    </row>
    <row r="979" spans="1:12" x14ac:dyDescent="0.35">
      <c r="A979" t="str">
        <f t="shared" si="30"/>
        <v>SBM48145940</v>
      </c>
      <c r="B979" t="s">
        <v>638</v>
      </c>
      <c r="C979" t="s">
        <v>1467</v>
      </c>
      <c r="D979" s="32">
        <v>44932</v>
      </c>
      <c r="E979" t="s">
        <v>178</v>
      </c>
      <c r="F979" t="str">
        <f>VLOOKUP(B979,'Agent wise'!A:E,5,0)</f>
        <v>Wireless</v>
      </c>
      <c r="G979" s="32">
        <v>45940</v>
      </c>
      <c r="H979">
        <f>COUNTIFS('Audit Raw data'!J:J,B:B,'Audit Raw data'!E:E,G:G)</f>
        <v>0</v>
      </c>
      <c r="I979" s="44" t="str">
        <f>IFERROR((SUMIFS('Audit Raw data'!BZ:BZ,'Audit Raw data'!J:J,B:B,'Audit Raw data'!E:E,G:G)/H979)/100,"-")</f>
        <v>-</v>
      </c>
      <c r="J979">
        <f>COUNTIFS('Audit Raw data'!AM:AM,"Yes",'Audit Raw data'!J:J,B:B,'Audit Raw data'!E:E,'Day wise agent'!G:G)</f>
        <v>0</v>
      </c>
      <c r="K979">
        <f>COUNTIFS('Audit Raw data'!AM:AM,"NO",'Audit Raw data'!J:J,B:B,'Audit Raw data'!E:E,'Day wise agent'!G:G)</f>
        <v>0</v>
      </c>
      <c r="L979" s="12" t="str">
        <f t="shared" si="31"/>
        <v xml:space="preserve"> </v>
      </c>
    </row>
    <row r="980" spans="1:12" x14ac:dyDescent="0.35">
      <c r="A980" t="str">
        <f t="shared" si="30"/>
        <v>SBM48545940</v>
      </c>
      <c r="B980" t="s">
        <v>80</v>
      </c>
      <c r="C980" t="s">
        <v>1469</v>
      </c>
      <c r="D980" s="32">
        <v>44961</v>
      </c>
      <c r="E980" t="s">
        <v>1453</v>
      </c>
      <c r="F980" t="str">
        <f>VLOOKUP(B980,'Agent wise'!A:E,5,0)</f>
        <v>Wireless</v>
      </c>
      <c r="G980" s="32">
        <v>45940</v>
      </c>
      <c r="H980">
        <f>COUNTIFS('Audit Raw data'!J:J,B:B,'Audit Raw data'!E:E,G:G)</f>
        <v>1</v>
      </c>
      <c r="I980" s="44">
        <f>IFERROR((SUMIFS('Audit Raw data'!BZ:BZ,'Audit Raw data'!J:J,B:B,'Audit Raw data'!E:E,G:G)/H980)/100,"-")</f>
        <v>0.96</v>
      </c>
      <c r="J980">
        <f>COUNTIFS('Audit Raw data'!AM:AM,"Yes",'Audit Raw data'!J:J,B:B,'Audit Raw data'!E:E,'Day wise agent'!G:G)</f>
        <v>1</v>
      </c>
      <c r="K980">
        <f>COUNTIFS('Audit Raw data'!AM:AM,"NO",'Audit Raw data'!J:J,B:B,'Audit Raw data'!E:E,'Day wise agent'!G:G)</f>
        <v>0</v>
      </c>
      <c r="L980" s="12">
        <f t="shared" si="31"/>
        <v>1</v>
      </c>
    </row>
    <row r="981" spans="1:12" x14ac:dyDescent="0.35">
      <c r="A981" t="str">
        <f t="shared" si="30"/>
        <v>SBM52445940</v>
      </c>
      <c r="B981" t="s">
        <v>490</v>
      </c>
      <c r="C981" t="s">
        <v>1470</v>
      </c>
      <c r="D981" s="32">
        <v>45093</v>
      </c>
      <c r="E981" t="s">
        <v>1453</v>
      </c>
      <c r="F981" t="str">
        <f>VLOOKUP(B981,'Agent wise'!A:E,5,0)</f>
        <v>Wireless</v>
      </c>
      <c r="G981" s="32">
        <v>45940</v>
      </c>
      <c r="H981">
        <f>COUNTIFS('Audit Raw data'!J:J,B:B,'Audit Raw data'!E:E,G:G)</f>
        <v>2</v>
      </c>
      <c r="I981" s="44">
        <f>IFERROR((SUMIFS('Audit Raw data'!BZ:BZ,'Audit Raw data'!J:J,B:B,'Audit Raw data'!E:E,G:G)/H981)/100,"-")</f>
        <v>0.95</v>
      </c>
      <c r="J981">
        <f>COUNTIFS('Audit Raw data'!AM:AM,"Yes",'Audit Raw data'!J:J,B:B,'Audit Raw data'!E:E,'Day wise agent'!G:G)</f>
        <v>2</v>
      </c>
      <c r="K981">
        <f>COUNTIFS('Audit Raw data'!AM:AM,"NO",'Audit Raw data'!J:J,B:B,'Audit Raw data'!E:E,'Day wise agent'!G:G)</f>
        <v>0</v>
      </c>
      <c r="L981" s="12">
        <f t="shared" si="31"/>
        <v>1</v>
      </c>
    </row>
    <row r="982" spans="1:12" x14ac:dyDescent="0.35">
      <c r="A982" t="str">
        <f t="shared" si="30"/>
        <v>SBM55045940</v>
      </c>
      <c r="B982" t="s">
        <v>139</v>
      </c>
      <c r="C982" t="s">
        <v>1471</v>
      </c>
      <c r="D982" s="32">
        <v>45139</v>
      </c>
      <c r="E982" t="s">
        <v>107</v>
      </c>
      <c r="F982" t="str">
        <f>VLOOKUP(B982,'Agent wise'!A:E,5,0)</f>
        <v>Wireless</v>
      </c>
      <c r="G982" s="32">
        <v>45940</v>
      </c>
      <c r="H982">
        <f>COUNTIFS('Audit Raw data'!J:J,B:B,'Audit Raw data'!E:E,G:G)</f>
        <v>0</v>
      </c>
      <c r="I982" s="44" t="str">
        <f>IFERROR((SUMIFS('Audit Raw data'!BZ:BZ,'Audit Raw data'!J:J,B:B,'Audit Raw data'!E:E,G:G)/H982)/100,"-")</f>
        <v>-</v>
      </c>
      <c r="J982">
        <f>COUNTIFS('Audit Raw data'!AM:AM,"Yes",'Audit Raw data'!J:J,B:B,'Audit Raw data'!E:E,'Day wise agent'!G:G)</f>
        <v>0</v>
      </c>
      <c r="K982">
        <f>COUNTIFS('Audit Raw data'!AM:AM,"NO",'Audit Raw data'!J:J,B:B,'Audit Raw data'!E:E,'Day wise agent'!G:G)</f>
        <v>0</v>
      </c>
      <c r="L982" s="12" t="str">
        <f t="shared" si="31"/>
        <v xml:space="preserve"> </v>
      </c>
    </row>
    <row r="983" spans="1:12" x14ac:dyDescent="0.35">
      <c r="A983" t="str">
        <f t="shared" si="30"/>
        <v>SBM55445940</v>
      </c>
      <c r="B983" t="s">
        <v>208</v>
      </c>
      <c r="C983" t="s">
        <v>1472</v>
      </c>
      <c r="D983" s="32">
        <v>45140</v>
      </c>
      <c r="E983" t="s">
        <v>178</v>
      </c>
      <c r="F983" t="str">
        <f>VLOOKUP(B983,'Agent wise'!A:E,5,0)</f>
        <v>Wireless</v>
      </c>
      <c r="G983" s="32">
        <v>45940</v>
      </c>
      <c r="H983">
        <f>COUNTIFS('Audit Raw data'!J:J,B:B,'Audit Raw data'!E:E,G:G)</f>
        <v>0</v>
      </c>
      <c r="I983" s="44" t="str">
        <f>IFERROR((SUMIFS('Audit Raw data'!BZ:BZ,'Audit Raw data'!J:J,B:B,'Audit Raw data'!E:E,G:G)/H983)/100,"-")</f>
        <v>-</v>
      </c>
      <c r="J983">
        <f>COUNTIFS('Audit Raw data'!AM:AM,"Yes",'Audit Raw data'!J:J,B:B,'Audit Raw data'!E:E,'Day wise agent'!G:G)</f>
        <v>0</v>
      </c>
      <c r="K983">
        <f>COUNTIFS('Audit Raw data'!AM:AM,"NO",'Audit Raw data'!J:J,B:B,'Audit Raw data'!E:E,'Day wise agent'!G:G)</f>
        <v>0</v>
      </c>
      <c r="L983" s="12" t="str">
        <f t="shared" si="31"/>
        <v xml:space="preserve"> </v>
      </c>
    </row>
    <row r="984" spans="1:12" x14ac:dyDescent="0.35">
      <c r="A984" t="str">
        <f t="shared" si="30"/>
        <v>SBM58345940</v>
      </c>
      <c r="B984" t="s">
        <v>546</v>
      </c>
      <c r="C984" t="s">
        <v>1473</v>
      </c>
      <c r="D984" s="32">
        <v>45245</v>
      </c>
      <c r="E984" t="s">
        <v>107</v>
      </c>
      <c r="F984" t="str">
        <f>VLOOKUP(B984,'Agent wise'!A:E,5,0)</f>
        <v>Wireless</v>
      </c>
      <c r="G984" s="32">
        <v>45940</v>
      </c>
      <c r="H984">
        <f>COUNTIFS('Audit Raw data'!J:J,B:B,'Audit Raw data'!E:E,G:G)</f>
        <v>0</v>
      </c>
      <c r="I984" s="44" t="str">
        <f>IFERROR((SUMIFS('Audit Raw data'!BZ:BZ,'Audit Raw data'!J:J,B:B,'Audit Raw data'!E:E,G:G)/H984)/100,"-")</f>
        <v>-</v>
      </c>
      <c r="J984">
        <f>COUNTIFS('Audit Raw data'!AM:AM,"Yes",'Audit Raw data'!J:J,B:B,'Audit Raw data'!E:E,'Day wise agent'!G:G)</f>
        <v>0</v>
      </c>
      <c r="K984">
        <f>COUNTIFS('Audit Raw data'!AM:AM,"NO",'Audit Raw data'!J:J,B:B,'Audit Raw data'!E:E,'Day wise agent'!G:G)</f>
        <v>0</v>
      </c>
      <c r="L984" s="12" t="str">
        <f t="shared" si="31"/>
        <v xml:space="preserve"> </v>
      </c>
    </row>
    <row r="985" spans="1:12" x14ac:dyDescent="0.35">
      <c r="A985" t="str">
        <f t="shared" si="30"/>
        <v>SBM61345940</v>
      </c>
      <c r="B985" t="s">
        <v>391</v>
      </c>
      <c r="C985" t="s">
        <v>1478</v>
      </c>
      <c r="D985" s="32">
        <v>45301</v>
      </c>
      <c r="E985" t="s">
        <v>221</v>
      </c>
      <c r="F985" t="str">
        <f>VLOOKUP(B985,'Agent wise'!A:E,5,0)</f>
        <v>Wire-line</v>
      </c>
      <c r="G985" s="32">
        <v>45940</v>
      </c>
      <c r="H985">
        <f>COUNTIFS('Audit Raw data'!J:J,B:B,'Audit Raw data'!E:E,G:G)</f>
        <v>0</v>
      </c>
      <c r="I985" s="44" t="str">
        <f>IFERROR((SUMIFS('Audit Raw data'!BZ:BZ,'Audit Raw data'!J:J,B:B,'Audit Raw data'!E:E,G:G)/H985)/100,"-")</f>
        <v>-</v>
      </c>
      <c r="J985">
        <f>COUNTIFS('Audit Raw data'!AM:AM,"Yes",'Audit Raw data'!J:J,B:B,'Audit Raw data'!E:E,'Day wise agent'!G:G)</f>
        <v>0</v>
      </c>
      <c r="K985">
        <f>COUNTIFS('Audit Raw data'!AM:AM,"NO",'Audit Raw data'!J:J,B:B,'Audit Raw data'!E:E,'Day wise agent'!G:G)</f>
        <v>0</v>
      </c>
      <c r="L985" s="12" t="str">
        <f t="shared" si="31"/>
        <v xml:space="preserve"> </v>
      </c>
    </row>
    <row r="986" spans="1:12" x14ac:dyDescent="0.35">
      <c r="A986" t="str">
        <f t="shared" si="30"/>
        <v>SBM61845940</v>
      </c>
      <c r="B986" t="s">
        <v>242</v>
      </c>
      <c r="C986" t="s">
        <v>1477</v>
      </c>
      <c r="D986" s="32">
        <v>45292</v>
      </c>
      <c r="E986" t="s">
        <v>221</v>
      </c>
      <c r="F986" t="str">
        <f>VLOOKUP(B986,'Agent wise'!A:E,5,0)</f>
        <v>Wire-line</v>
      </c>
      <c r="G986" s="32">
        <v>45940</v>
      </c>
      <c r="H986">
        <f>COUNTIFS('Audit Raw data'!J:J,B:B,'Audit Raw data'!E:E,G:G)</f>
        <v>0</v>
      </c>
      <c r="I986" s="44" t="str">
        <f>IFERROR((SUMIFS('Audit Raw data'!BZ:BZ,'Audit Raw data'!J:J,B:B,'Audit Raw data'!E:E,G:G)/H986)/100,"-")</f>
        <v>-</v>
      </c>
      <c r="J986">
        <f>COUNTIFS('Audit Raw data'!AM:AM,"Yes",'Audit Raw data'!J:J,B:B,'Audit Raw data'!E:E,'Day wise agent'!G:G)</f>
        <v>0</v>
      </c>
      <c r="K986">
        <f>COUNTIFS('Audit Raw data'!AM:AM,"NO",'Audit Raw data'!J:J,B:B,'Audit Raw data'!E:E,'Day wise agent'!G:G)</f>
        <v>0</v>
      </c>
      <c r="L986" s="12" t="str">
        <f t="shared" si="31"/>
        <v xml:space="preserve"> </v>
      </c>
    </row>
    <row r="987" spans="1:12" x14ac:dyDescent="0.35">
      <c r="A987" t="str">
        <f t="shared" si="30"/>
        <v>SBM62545940</v>
      </c>
      <c r="B987" t="s">
        <v>472</v>
      </c>
      <c r="C987" t="s">
        <v>1476</v>
      </c>
      <c r="D987" s="32">
        <v>45329</v>
      </c>
      <c r="E987" t="s">
        <v>1453</v>
      </c>
      <c r="F987" t="str">
        <f>VLOOKUP(B987,'Agent wise'!A:E,5,0)</f>
        <v>Wireless</v>
      </c>
      <c r="G987" s="32">
        <v>45940</v>
      </c>
      <c r="H987">
        <f>COUNTIFS('Audit Raw data'!J:J,B:B,'Audit Raw data'!E:E,G:G)</f>
        <v>2</v>
      </c>
      <c r="I987" s="44">
        <f>IFERROR((SUMIFS('Audit Raw data'!BZ:BZ,'Audit Raw data'!J:J,B:B,'Audit Raw data'!E:E,G:G)/H987)/100,"-")</f>
        <v>0.97</v>
      </c>
      <c r="J987">
        <f>COUNTIFS('Audit Raw data'!AM:AM,"Yes",'Audit Raw data'!J:J,B:B,'Audit Raw data'!E:E,'Day wise agent'!G:G)</f>
        <v>2</v>
      </c>
      <c r="K987">
        <f>COUNTIFS('Audit Raw data'!AM:AM,"NO",'Audit Raw data'!J:J,B:B,'Audit Raw data'!E:E,'Day wise agent'!G:G)</f>
        <v>0</v>
      </c>
      <c r="L987" s="12">
        <f t="shared" si="31"/>
        <v>1</v>
      </c>
    </row>
    <row r="988" spans="1:12" x14ac:dyDescent="0.35">
      <c r="A988" t="str">
        <f t="shared" si="30"/>
        <v>SBM65045940</v>
      </c>
      <c r="B988" t="s">
        <v>353</v>
      </c>
      <c r="C988" t="s">
        <v>1479</v>
      </c>
      <c r="D988" s="32">
        <v>45357</v>
      </c>
      <c r="E988" t="s">
        <v>221</v>
      </c>
      <c r="F988" t="str">
        <f>VLOOKUP(B988,'Agent wise'!A:E,5,0)</f>
        <v>Wire-line</v>
      </c>
      <c r="G988" s="32">
        <v>45940</v>
      </c>
      <c r="H988">
        <f>COUNTIFS('Audit Raw data'!J:J,B:B,'Audit Raw data'!E:E,G:G)</f>
        <v>0</v>
      </c>
      <c r="I988" s="44" t="str">
        <f>IFERROR((SUMIFS('Audit Raw data'!BZ:BZ,'Audit Raw data'!J:J,B:B,'Audit Raw data'!E:E,G:G)/H988)/100,"-")</f>
        <v>-</v>
      </c>
      <c r="J988">
        <f>COUNTIFS('Audit Raw data'!AM:AM,"Yes",'Audit Raw data'!J:J,B:B,'Audit Raw data'!E:E,'Day wise agent'!G:G)</f>
        <v>0</v>
      </c>
      <c r="K988">
        <f>COUNTIFS('Audit Raw data'!AM:AM,"NO",'Audit Raw data'!J:J,B:B,'Audit Raw data'!E:E,'Day wise agent'!G:G)</f>
        <v>0</v>
      </c>
      <c r="L988" s="12" t="str">
        <f t="shared" si="31"/>
        <v xml:space="preserve"> </v>
      </c>
    </row>
    <row r="989" spans="1:12" x14ac:dyDescent="0.35">
      <c r="A989" t="str">
        <f t="shared" si="30"/>
        <v>SBM65345940</v>
      </c>
      <c r="B989" t="s">
        <v>223</v>
      </c>
      <c r="C989" t="s">
        <v>1480</v>
      </c>
      <c r="D989" s="32">
        <v>45367</v>
      </c>
      <c r="E989" t="s">
        <v>221</v>
      </c>
      <c r="F989" t="str">
        <f>VLOOKUP(B989,'Agent wise'!A:E,5,0)</f>
        <v>Wire-line</v>
      </c>
      <c r="G989" s="32">
        <v>45940</v>
      </c>
      <c r="H989">
        <f>COUNTIFS('Audit Raw data'!J:J,B:B,'Audit Raw data'!E:E,G:G)</f>
        <v>0</v>
      </c>
      <c r="I989" s="44" t="str">
        <f>IFERROR((SUMIFS('Audit Raw data'!BZ:BZ,'Audit Raw data'!J:J,B:B,'Audit Raw data'!E:E,G:G)/H989)/100,"-")</f>
        <v>-</v>
      </c>
      <c r="J989">
        <f>COUNTIFS('Audit Raw data'!AM:AM,"Yes",'Audit Raw data'!J:J,B:B,'Audit Raw data'!E:E,'Day wise agent'!G:G)</f>
        <v>0</v>
      </c>
      <c r="K989">
        <f>COUNTIFS('Audit Raw data'!AM:AM,"NO",'Audit Raw data'!J:J,B:B,'Audit Raw data'!E:E,'Day wise agent'!G:G)</f>
        <v>0</v>
      </c>
      <c r="L989" s="12" t="str">
        <f t="shared" si="31"/>
        <v xml:space="preserve"> </v>
      </c>
    </row>
    <row r="990" spans="1:12" x14ac:dyDescent="0.35">
      <c r="A990" t="str">
        <f t="shared" si="30"/>
        <v>SBM67845940</v>
      </c>
      <c r="B990" t="s">
        <v>548</v>
      </c>
      <c r="C990" t="s">
        <v>1481</v>
      </c>
      <c r="D990" s="32">
        <v>45413</v>
      </c>
      <c r="E990" t="s">
        <v>178</v>
      </c>
      <c r="F990" t="str">
        <f>VLOOKUP(B990,'Agent wise'!A:E,5,0)</f>
        <v>Wireless</v>
      </c>
      <c r="G990" s="32">
        <v>45940</v>
      </c>
      <c r="H990">
        <f>COUNTIFS('Audit Raw data'!J:J,B:B,'Audit Raw data'!E:E,G:G)</f>
        <v>0</v>
      </c>
      <c r="I990" s="44" t="str">
        <f>IFERROR((SUMIFS('Audit Raw data'!BZ:BZ,'Audit Raw data'!J:J,B:B,'Audit Raw data'!E:E,G:G)/H990)/100,"-")</f>
        <v>-</v>
      </c>
      <c r="J990">
        <f>COUNTIFS('Audit Raw data'!AM:AM,"Yes",'Audit Raw data'!J:J,B:B,'Audit Raw data'!E:E,'Day wise agent'!G:G)</f>
        <v>0</v>
      </c>
      <c r="K990">
        <f>COUNTIFS('Audit Raw data'!AM:AM,"NO",'Audit Raw data'!J:J,B:B,'Audit Raw data'!E:E,'Day wise agent'!G:G)</f>
        <v>0</v>
      </c>
      <c r="L990" s="12" t="str">
        <f t="shared" si="31"/>
        <v xml:space="preserve"> </v>
      </c>
    </row>
    <row r="991" spans="1:12" x14ac:dyDescent="0.35">
      <c r="A991" t="str">
        <f t="shared" si="30"/>
        <v>SBM69245940</v>
      </c>
      <c r="B991" t="s">
        <v>85</v>
      </c>
      <c r="C991" t="s">
        <v>1482</v>
      </c>
      <c r="D991" s="32">
        <v>45445</v>
      </c>
      <c r="E991" t="s">
        <v>1453</v>
      </c>
      <c r="F991" t="str">
        <f>VLOOKUP(B991,'Agent wise'!A:E,5,0)</f>
        <v>Wireless</v>
      </c>
      <c r="G991" s="32">
        <v>45940</v>
      </c>
      <c r="H991">
        <f>COUNTIFS('Audit Raw data'!J:J,B:B,'Audit Raw data'!E:E,G:G)</f>
        <v>1</v>
      </c>
      <c r="I991" s="44">
        <f>IFERROR((SUMIFS('Audit Raw data'!BZ:BZ,'Audit Raw data'!J:J,B:B,'Audit Raw data'!E:E,G:G)/H991)/100,"-")</f>
        <v>0.9</v>
      </c>
      <c r="J991">
        <f>COUNTIFS('Audit Raw data'!AM:AM,"Yes",'Audit Raw data'!J:J,B:B,'Audit Raw data'!E:E,'Day wise agent'!G:G)</f>
        <v>1</v>
      </c>
      <c r="K991">
        <f>COUNTIFS('Audit Raw data'!AM:AM,"NO",'Audit Raw data'!J:J,B:B,'Audit Raw data'!E:E,'Day wise agent'!G:G)</f>
        <v>0</v>
      </c>
      <c r="L991" s="12">
        <f t="shared" si="31"/>
        <v>1</v>
      </c>
    </row>
    <row r="992" spans="1:12" x14ac:dyDescent="0.35">
      <c r="A992" t="str">
        <f t="shared" si="30"/>
        <v>SBM70345940</v>
      </c>
      <c r="B992" t="s">
        <v>252</v>
      </c>
      <c r="C992" t="s">
        <v>1483</v>
      </c>
      <c r="D992" s="32">
        <v>45451</v>
      </c>
      <c r="E992" t="s">
        <v>1484</v>
      </c>
      <c r="F992" t="str">
        <f>VLOOKUP(B992,'Agent wise'!A:E,5,0)</f>
        <v>Wireless</v>
      </c>
      <c r="G992" s="32">
        <v>45940</v>
      </c>
      <c r="H992">
        <f>COUNTIFS('Audit Raw data'!J:J,B:B,'Audit Raw data'!E:E,G:G)</f>
        <v>0</v>
      </c>
      <c r="I992" s="44" t="str">
        <f>IFERROR((SUMIFS('Audit Raw data'!BZ:BZ,'Audit Raw data'!J:J,B:B,'Audit Raw data'!E:E,G:G)/H992)/100,"-")</f>
        <v>-</v>
      </c>
      <c r="J992">
        <f>COUNTIFS('Audit Raw data'!AM:AM,"Yes",'Audit Raw data'!J:J,B:B,'Audit Raw data'!E:E,'Day wise agent'!G:G)</f>
        <v>0</v>
      </c>
      <c r="K992">
        <f>COUNTIFS('Audit Raw data'!AM:AM,"NO",'Audit Raw data'!J:J,B:B,'Audit Raw data'!E:E,'Day wise agent'!G:G)</f>
        <v>0</v>
      </c>
      <c r="L992" s="12" t="str">
        <f t="shared" si="31"/>
        <v xml:space="preserve"> </v>
      </c>
    </row>
    <row r="993" spans="1:12" x14ac:dyDescent="0.35">
      <c r="A993" t="str">
        <f t="shared" si="30"/>
        <v>SBM71045940</v>
      </c>
      <c r="B993" t="s">
        <v>552</v>
      </c>
      <c r="C993" t="s">
        <v>1485</v>
      </c>
      <c r="D993" s="32">
        <v>45465</v>
      </c>
      <c r="E993" t="s">
        <v>1484</v>
      </c>
      <c r="F993" t="str">
        <f>VLOOKUP(B993,'Agent wise'!A:E,5,0)</f>
        <v>Wireless</v>
      </c>
      <c r="G993" s="32">
        <v>45940</v>
      </c>
      <c r="H993">
        <f>COUNTIFS('Audit Raw data'!J:J,B:B,'Audit Raw data'!E:E,G:G)</f>
        <v>2</v>
      </c>
      <c r="I993" s="44">
        <f>IFERROR((SUMIFS('Audit Raw data'!BZ:BZ,'Audit Raw data'!J:J,B:B,'Audit Raw data'!E:E,G:G)/H993)/100,"-")</f>
        <v>0.93</v>
      </c>
      <c r="J993">
        <f>COUNTIFS('Audit Raw data'!AM:AM,"Yes",'Audit Raw data'!J:J,B:B,'Audit Raw data'!E:E,'Day wise agent'!G:G)</f>
        <v>2</v>
      </c>
      <c r="K993">
        <f>COUNTIFS('Audit Raw data'!AM:AM,"NO",'Audit Raw data'!J:J,B:B,'Audit Raw data'!E:E,'Day wise agent'!G:G)</f>
        <v>0</v>
      </c>
      <c r="L993" s="12">
        <f t="shared" si="31"/>
        <v>1</v>
      </c>
    </row>
    <row r="994" spans="1:12" x14ac:dyDescent="0.35">
      <c r="A994" t="str">
        <f t="shared" si="30"/>
        <v>SBM71145940</v>
      </c>
      <c r="B994" t="s">
        <v>533</v>
      </c>
      <c r="C994" t="s">
        <v>1486</v>
      </c>
      <c r="D994" s="32">
        <v>45465</v>
      </c>
      <c r="E994" t="s">
        <v>1484</v>
      </c>
      <c r="F994" t="str">
        <f>VLOOKUP(B994,'Agent wise'!A:E,5,0)</f>
        <v>Wireless</v>
      </c>
      <c r="G994" s="32">
        <v>45940</v>
      </c>
      <c r="H994">
        <f>COUNTIFS('Audit Raw data'!J:J,B:B,'Audit Raw data'!E:E,G:G)</f>
        <v>2</v>
      </c>
      <c r="I994" s="44">
        <f>IFERROR((SUMIFS('Audit Raw data'!BZ:BZ,'Audit Raw data'!J:J,B:B,'Audit Raw data'!E:E,G:G)/H994)/100,"-")</f>
        <v>0.98</v>
      </c>
      <c r="J994">
        <f>COUNTIFS('Audit Raw data'!AM:AM,"Yes",'Audit Raw data'!J:J,B:B,'Audit Raw data'!E:E,'Day wise agent'!G:G)</f>
        <v>2</v>
      </c>
      <c r="K994">
        <f>COUNTIFS('Audit Raw data'!AM:AM,"NO",'Audit Raw data'!J:J,B:B,'Audit Raw data'!E:E,'Day wise agent'!G:G)</f>
        <v>0</v>
      </c>
      <c r="L994" s="12">
        <f t="shared" si="31"/>
        <v>1</v>
      </c>
    </row>
    <row r="995" spans="1:12" x14ac:dyDescent="0.35">
      <c r="A995" t="str">
        <f t="shared" si="30"/>
        <v>SBM71845940</v>
      </c>
      <c r="B995" t="s">
        <v>451</v>
      </c>
      <c r="C995" t="s">
        <v>1487</v>
      </c>
      <c r="D995" s="32">
        <v>45491</v>
      </c>
      <c r="E995" t="s">
        <v>1484</v>
      </c>
      <c r="F995" t="str">
        <f>VLOOKUP(B995,'Agent wise'!A:E,5,0)</f>
        <v>Wireless</v>
      </c>
      <c r="G995" s="32">
        <v>45940</v>
      </c>
      <c r="H995">
        <f>COUNTIFS('Audit Raw data'!J:J,B:B,'Audit Raw data'!E:E,G:G)</f>
        <v>2</v>
      </c>
      <c r="I995" s="44">
        <f>IFERROR((SUMIFS('Audit Raw data'!BZ:BZ,'Audit Raw data'!J:J,B:B,'Audit Raw data'!E:E,G:G)/H995)/100,"-")</f>
        <v>0.99</v>
      </c>
      <c r="J995">
        <f>COUNTIFS('Audit Raw data'!AM:AM,"Yes",'Audit Raw data'!J:J,B:B,'Audit Raw data'!E:E,'Day wise agent'!G:G)</f>
        <v>2</v>
      </c>
      <c r="K995">
        <f>COUNTIFS('Audit Raw data'!AM:AM,"NO",'Audit Raw data'!J:J,B:B,'Audit Raw data'!E:E,'Day wise agent'!G:G)</f>
        <v>0</v>
      </c>
      <c r="L995" s="12">
        <f t="shared" si="31"/>
        <v>1</v>
      </c>
    </row>
    <row r="996" spans="1:12" x14ac:dyDescent="0.35">
      <c r="A996" t="str">
        <f t="shared" si="30"/>
        <v>SBM72045940</v>
      </c>
      <c r="B996" t="s">
        <v>557</v>
      </c>
      <c r="C996" t="s">
        <v>1488</v>
      </c>
      <c r="D996" s="32">
        <v>45491</v>
      </c>
      <c r="E996" t="s">
        <v>1484</v>
      </c>
      <c r="F996" t="str">
        <f>VLOOKUP(B996,'Agent wise'!A:E,5,0)</f>
        <v>Wireless</v>
      </c>
      <c r="G996" s="32">
        <v>45940</v>
      </c>
      <c r="H996">
        <f>COUNTIFS('Audit Raw data'!J:J,B:B,'Audit Raw data'!E:E,G:G)</f>
        <v>0</v>
      </c>
      <c r="I996" s="44" t="str">
        <f>IFERROR((SUMIFS('Audit Raw data'!BZ:BZ,'Audit Raw data'!J:J,B:B,'Audit Raw data'!E:E,G:G)/H996)/100,"-")</f>
        <v>-</v>
      </c>
      <c r="J996">
        <f>COUNTIFS('Audit Raw data'!AM:AM,"Yes",'Audit Raw data'!J:J,B:B,'Audit Raw data'!E:E,'Day wise agent'!G:G)</f>
        <v>0</v>
      </c>
      <c r="K996">
        <f>COUNTIFS('Audit Raw data'!AM:AM,"NO",'Audit Raw data'!J:J,B:B,'Audit Raw data'!E:E,'Day wise agent'!G:G)</f>
        <v>0</v>
      </c>
      <c r="L996" s="12" t="str">
        <f t="shared" si="31"/>
        <v xml:space="preserve"> </v>
      </c>
    </row>
    <row r="997" spans="1:12" x14ac:dyDescent="0.35">
      <c r="A997" t="str">
        <f t="shared" si="30"/>
        <v>SBM72445940</v>
      </c>
      <c r="B997" t="s">
        <v>144</v>
      </c>
      <c r="C997" t="s">
        <v>1489</v>
      </c>
      <c r="D997" s="32">
        <v>45491</v>
      </c>
      <c r="E997" t="s">
        <v>1484</v>
      </c>
      <c r="F997" t="str">
        <f>VLOOKUP(B997,'Agent wise'!A:E,5,0)</f>
        <v>Wireless</v>
      </c>
      <c r="G997" s="32">
        <v>45940</v>
      </c>
      <c r="H997">
        <f>COUNTIFS('Audit Raw data'!J:J,B:B,'Audit Raw data'!E:E,G:G)</f>
        <v>0</v>
      </c>
      <c r="I997" s="44" t="str">
        <f>IFERROR((SUMIFS('Audit Raw data'!BZ:BZ,'Audit Raw data'!J:J,B:B,'Audit Raw data'!E:E,G:G)/H997)/100,"-")</f>
        <v>-</v>
      </c>
      <c r="J997">
        <f>COUNTIFS('Audit Raw data'!AM:AM,"Yes",'Audit Raw data'!J:J,B:B,'Audit Raw data'!E:E,'Day wise agent'!G:G)</f>
        <v>0</v>
      </c>
      <c r="K997">
        <f>COUNTIFS('Audit Raw data'!AM:AM,"NO",'Audit Raw data'!J:J,B:B,'Audit Raw data'!E:E,'Day wise agent'!G:G)</f>
        <v>0</v>
      </c>
      <c r="L997" s="12" t="str">
        <f t="shared" si="31"/>
        <v xml:space="preserve"> </v>
      </c>
    </row>
    <row r="998" spans="1:12" x14ac:dyDescent="0.35">
      <c r="A998" t="str">
        <f t="shared" si="30"/>
        <v>SBM73445940</v>
      </c>
      <c r="B998" t="s">
        <v>356</v>
      </c>
      <c r="C998" t="s">
        <v>1490</v>
      </c>
      <c r="D998" s="32">
        <v>45497</v>
      </c>
      <c r="E998" t="s">
        <v>221</v>
      </c>
      <c r="F998" t="str">
        <f>VLOOKUP(B998,'Agent wise'!A:E,5,0)</f>
        <v>Wire-line</v>
      </c>
      <c r="G998" s="32">
        <v>45940</v>
      </c>
      <c r="H998">
        <f>COUNTIFS('Audit Raw data'!J:J,B:B,'Audit Raw data'!E:E,G:G)</f>
        <v>0</v>
      </c>
      <c r="I998" s="44" t="str">
        <f>IFERROR((SUMIFS('Audit Raw data'!BZ:BZ,'Audit Raw data'!J:J,B:B,'Audit Raw data'!E:E,G:G)/H998)/100,"-")</f>
        <v>-</v>
      </c>
      <c r="J998">
        <f>COUNTIFS('Audit Raw data'!AM:AM,"Yes",'Audit Raw data'!J:J,B:B,'Audit Raw data'!E:E,'Day wise agent'!G:G)</f>
        <v>0</v>
      </c>
      <c r="K998">
        <f>COUNTIFS('Audit Raw data'!AM:AM,"NO",'Audit Raw data'!J:J,B:B,'Audit Raw data'!E:E,'Day wise agent'!G:G)</f>
        <v>0</v>
      </c>
      <c r="L998" s="12" t="str">
        <f t="shared" si="31"/>
        <v xml:space="preserve"> </v>
      </c>
    </row>
    <row r="999" spans="1:12" x14ac:dyDescent="0.35">
      <c r="A999" t="str">
        <f t="shared" si="30"/>
        <v>SBM73645940</v>
      </c>
      <c r="B999" t="s">
        <v>501</v>
      </c>
      <c r="C999" t="s">
        <v>1491</v>
      </c>
      <c r="D999" s="32">
        <v>45500</v>
      </c>
      <c r="E999" t="s">
        <v>221</v>
      </c>
      <c r="F999" t="str">
        <f>VLOOKUP(B999,'Agent wise'!A:E,5,0)</f>
        <v>Wire-line</v>
      </c>
      <c r="G999" s="32">
        <v>45940</v>
      </c>
      <c r="H999">
        <f>COUNTIFS('Audit Raw data'!J:J,B:B,'Audit Raw data'!E:E,G:G)</f>
        <v>0</v>
      </c>
      <c r="I999" s="44" t="str">
        <f>IFERROR((SUMIFS('Audit Raw data'!BZ:BZ,'Audit Raw data'!J:J,B:B,'Audit Raw data'!E:E,G:G)/H999)/100,"-")</f>
        <v>-</v>
      </c>
      <c r="J999">
        <f>COUNTIFS('Audit Raw data'!AM:AM,"Yes",'Audit Raw data'!J:J,B:B,'Audit Raw data'!E:E,'Day wise agent'!G:G)</f>
        <v>0</v>
      </c>
      <c r="K999">
        <f>COUNTIFS('Audit Raw data'!AM:AM,"NO",'Audit Raw data'!J:J,B:B,'Audit Raw data'!E:E,'Day wise agent'!G:G)</f>
        <v>0</v>
      </c>
      <c r="L999" s="12" t="str">
        <f t="shared" si="31"/>
        <v xml:space="preserve"> </v>
      </c>
    </row>
    <row r="1000" spans="1:12" x14ac:dyDescent="0.35">
      <c r="A1000" t="str">
        <f t="shared" si="30"/>
        <v>SBM73945940</v>
      </c>
      <c r="B1000" t="s">
        <v>559</v>
      </c>
      <c r="C1000" t="s">
        <v>1492</v>
      </c>
      <c r="D1000" s="32">
        <v>45516</v>
      </c>
      <c r="E1000" t="s">
        <v>1484</v>
      </c>
      <c r="F1000" t="str">
        <f>VLOOKUP(B1000,'Agent wise'!A:E,5,0)</f>
        <v>Wireless</v>
      </c>
      <c r="G1000" s="32">
        <v>45940</v>
      </c>
      <c r="H1000">
        <f>COUNTIFS('Audit Raw data'!J:J,B:B,'Audit Raw data'!E:E,G:G)</f>
        <v>0</v>
      </c>
      <c r="I1000" s="44" t="str">
        <f>IFERROR((SUMIFS('Audit Raw data'!BZ:BZ,'Audit Raw data'!J:J,B:B,'Audit Raw data'!E:E,G:G)/H1000)/100,"-")</f>
        <v>-</v>
      </c>
      <c r="J1000">
        <f>COUNTIFS('Audit Raw data'!AM:AM,"Yes",'Audit Raw data'!J:J,B:B,'Audit Raw data'!E:E,'Day wise agent'!G:G)</f>
        <v>0</v>
      </c>
      <c r="K1000">
        <f>COUNTIFS('Audit Raw data'!AM:AM,"NO",'Audit Raw data'!J:J,B:B,'Audit Raw data'!E:E,'Day wise agent'!G:G)</f>
        <v>0</v>
      </c>
      <c r="L1000" s="12" t="str">
        <f t="shared" si="31"/>
        <v xml:space="preserve"> </v>
      </c>
    </row>
    <row r="1001" spans="1:12" x14ac:dyDescent="0.35">
      <c r="A1001" t="str">
        <f t="shared" si="30"/>
        <v>SBM74445940</v>
      </c>
      <c r="B1001" t="s">
        <v>96</v>
      </c>
      <c r="C1001" t="s">
        <v>1493</v>
      </c>
      <c r="D1001" s="32">
        <v>45516</v>
      </c>
      <c r="E1001" t="s">
        <v>1484</v>
      </c>
      <c r="F1001" t="str">
        <f>VLOOKUP(B1001,'Agent wise'!A:E,5,0)</f>
        <v>Wireless</v>
      </c>
      <c r="G1001" s="32">
        <v>45940</v>
      </c>
      <c r="H1001">
        <f>COUNTIFS('Audit Raw data'!J:J,B:B,'Audit Raw data'!E:E,G:G)</f>
        <v>1</v>
      </c>
      <c r="I1001" s="44">
        <f>IFERROR((SUMIFS('Audit Raw data'!BZ:BZ,'Audit Raw data'!J:J,B:B,'Audit Raw data'!E:E,G:G)/H1001)/100,"-")</f>
        <v>0.96</v>
      </c>
      <c r="J1001">
        <f>COUNTIFS('Audit Raw data'!AM:AM,"Yes",'Audit Raw data'!J:J,B:B,'Audit Raw data'!E:E,'Day wise agent'!G:G)</f>
        <v>1</v>
      </c>
      <c r="K1001">
        <f>COUNTIFS('Audit Raw data'!AM:AM,"NO",'Audit Raw data'!J:J,B:B,'Audit Raw data'!E:E,'Day wise agent'!G:G)</f>
        <v>0</v>
      </c>
      <c r="L1001" s="12">
        <f t="shared" si="31"/>
        <v>1</v>
      </c>
    </row>
    <row r="1002" spans="1:12" x14ac:dyDescent="0.35">
      <c r="A1002" t="str">
        <f t="shared" si="30"/>
        <v>SBM75545940</v>
      </c>
      <c r="B1002" t="s">
        <v>409</v>
      </c>
      <c r="C1002" t="s">
        <v>1494</v>
      </c>
      <c r="D1002" s="32">
        <v>45518</v>
      </c>
      <c r="E1002" t="s">
        <v>221</v>
      </c>
      <c r="F1002" t="str">
        <f>VLOOKUP(B1002,'Agent wise'!A:E,5,0)</f>
        <v>Wire-line</v>
      </c>
      <c r="G1002" s="32">
        <v>45940</v>
      </c>
      <c r="H1002">
        <f>COUNTIFS('Audit Raw data'!J:J,B:B,'Audit Raw data'!E:E,G:G)</f>
        <v>0</v>
      </c>
      <c r="I1002" s="44" t="str">
        <f>IFERROR((SUMIFS('Audit Raw data'!BZ:BZ,'Audit Raw data'!J:J,B:B,'Audit Raw data'!E:E,G:G)/H1002)/100,"-")</f>
        <v>-</v>
      </c>
      <c r="J1002">
        <f>COUNTIFS('Audit Raw data'!AM:AM,"Yes",'Audit Raw data'!J:J,B:B,'Audit Raw data'!E:E,'Day wise agent'!G:G)</f>
        <v>0</v>
      </c>
      <c r="K1002">
        <f>COUNTIFS('Audit Raw data'!AM:AM,"NO",'Audit Raw data'!J:J,B:B,'Audit Raw data'!E:E,'Day wise agent'!G:G)</f>
        <v>0</v>
      </c>
      <c r="L1002" s="12" t="str">
        <f t="shared" si="31"/>
        <v xml:space="preserve"> </v>
      </c>
    </row>
    <row r="1003" spans="1:12" x14ac:dyDescent="0.35">
      <c r="A1003" t="str">
        <f t="shared" si="30"/>
        <v>SBM75845940</v>
      </c>
      <c r="B1003" t="s">
        <v>420</v>
      </c>
      <c r="C1003" t="s">
        <v>1502</v>
      </c>
      <c r="D1003" s="32">
        <v>45518</v>
      </c>
      <c r="E1003" t="s">
        <v>221</v>
      </c>
      <c r="F1003" t="str">
        <f>VLOOKUP(B1003,'Agent wise'!A:E,5,0)</f>
        <v>Wire-line</v>
      </c>
      <c r="G1003" s="32">
        <v>45940</v>
      </c>
      <c r="H1003">
        <f>COUNTIFS('Audit Raw data'!J:J,B:B,'Audit Raw data'!E:E,G:G)</f>
        <v>0</v>
      </c>
      <c r="I1003" s="44" t="str">
        <f>IFERROR((SUMIFS('Audit Raw data'!BZ:BZ,'Audit Raw data'!J:J,B:B,'Audit Raw data'!E:E,G:G)/H1003)/100,"-")</f>
        <v>-</v>
      </c>
      <c r="J1003">
        <f>COUNTIFS('Audit Raw data'!AM:AM,"Yes",'Audit Raw data'!J:J,B:B,'Audit Raw data'!E:E,'Day wise agent'!G:G)</f>
        <v>0</v>
      </c>
      <c r="K1003">
        <f>COUNTIFS('Audit Raw data'!AM:AM,"NO",'Audit Raw data'!J:J,B:B,'Audit Raw data'!E:E,'Day wise agent'!G:G)</f>
        <v>0</v>
      </c>
      <c r="L1003" s="12" t="str">
        <f t="shared" si="31"/>
        <v xml:space="preserve"> </v>
      </c>
    </row>
    <row r="1004" spans="1:12" x14ac:dyDescent="0.35">
      <c r="A1004" t="str">
        <f t="shared" si="30"/>
        <v>SBM76745940</v>
      </c>
      <c r="B1004" t="s">
        <v>442</v>
      </c>
      <c r="C1004" t="s">
        <v>1495</v>
      </c>
      <c r="D1004" s="32">
        <v>45520</v>
      </c>
      <c r="E1004" t="s">
        <v>107</v>
      </c>
      <c r="F1004" t="str">
        <f>VLOOKUP(B1004,'Agent wise'!A:E,5,0)</f>
        <v>Wireless</v>
      </c>
      <c r="G1004" s="32">
        <v>45940</v>
      </c>
      <c r="H1004">
        <f>COUNTIFS('Audit Raw data'!J:J,B:B,'Audit Raw data'!E:E,G:G)</f>
        <v>0</v>
      </c>
      <c r="I1004" s="44" t="str">
        <f>IFERROR((SUMIFS('Audit Raw data'!BZ:BZ,'Audit Raw data'!J:J,B:B,'Audit Raw data'!E:E,G:G)/H1004)/100,"-")</f>
        <v>-</v>
      </c>
      <c r="J1004">
        <f>COUNTIFS('Audit Raw data'!AM:AM,"Yes",'Audit Raw data'!J:J,B:B,'Audit Raw data'!E:E,'Day wise agent'!G:G)</f>
        <v>0</v>
      </c>
      <c r="K1004">
        <f>COUNTIFS('Audit Raw data'!AM:AM,"NO",'Audit Raw data'!J:J,B:B,'Audit Raw data'!E:E,'Day wise agent'!G:G)</f>
        <v>0</v>
      </c>
      <c r="L1004" s="12" t="str">
        <f t="shared" si="31"/>
        <v xml:space="preserve"> </v>
      </c>
    </row>
    <row r="1005" spans="1:12" x14ac:dyDescent="0.35">
      <c r="A1005" t="str">
        <f t="shared" si="30"/>
        <v>SBM77245940</v>
      </c>
      <c r="B1005" t="s">
        <v>640</v>
      </c>
      <c r="C1005" t="s">
        <v>1497</v>
      </c>
      <c r="D1005" s="32">
        <v>45528</v>
      </c>
      <c r="E1005" t="s">
        <v>178</v>
      </c>
      <c r="F1005" t="str">
        <f>VLOOKUP(B1005,'Agent wise'!A:E,5,0)</f>
        <v>Wireless</v>
      </c>
      <c r="G1005" s="32">
        <v>45940</v>
      </c>
      <c r="H1005">
        <f>COUNTIFS('Audit Raw data'!J:J,B:B,'Audit Raw data'!E:E,G:G)</f>
        <v>0</v>
      </c>
      <c r="I1005" s="44" t="str">
        <f>IFERROR((SUMIFS('Audit Raw data'!BZ:BZ,'Audit Raw data'!J:J,B:B,'Audit Raw data'!E:E,G:G)/H1005)/100,"-")</f>
        <v>-</v>
      </c>
      <c r="J1005">
        <f>COUNTIFS('Audit Raw data'!AM:AM,"Yes",'Audit Raw data'!J:J,B:B,'Audit Raw data'!E:E,'Day wise agent'!G:G)</f>
        <v>0</v>
      </c>
      <c r="K1005">
        <f>COUNTIFS('Audit Raw data'!AM:AM,"NO",'Audit Raw data'!J:J,B:B,'Audit Raw data'!E:E,'Day wise agent'!G:G)</f>
        <v>0</v>
      </c>
      <c r="L1005" s="12" t="str">
        <f t="shared" si="31"/>
        <v xml:space="preserve"> </v>
      </c>
    </row>
    <row r="1006" spans="1:12" x14ac:dyDescent="0.35">
      <c r="A1006" t="str">
        <f t="shared" si="30"/>
        <v>SBM77345940</v>
      </c>
      <c r="B1006" t="s">
        <v>464</v>
      </c>
      <c r="C1006" t="s">
        <v>1496</v>
      </c>
      <c r="D1006" s="32">
        <v>45526</v>
      </c>
      <c r="E1006" t="s">
        <v>178</v>
      </c>
      <c r="F1006" t="str">
        <f>VLOOKUP(B1006,'Agent wise'!A:E,5,0)</f>
        <v>Wireless</v>
      </c>
      <c r="G1006" s="32">
        <v>45940</v>
      </c>
      <c r="H1006">
        <f>COUNTIFS('Audit Raw data'!J:J,B:B,'Audit Raw data'!E:E,G:G)</f>
        <v>0</v>
      </c>
      <c r="I1006" s="44" t="str">
        <f>IFERROR((SUMIFS('Audit Raw data'!BZ:BZ,'Audit Raw data'!J:J,B:B,'Audit Raw data'!E:E,G:G)/H1006)/100,"-")</f>
        <v>-</v>
      </c>
      <c r="J1006">
        <f>COUNTIFS('Audit Raw data'!AM:AM,"Yes",'Audit Raw data'!J:J,B:B,'Audit Raw data'!E:E,'Day wise agent'!G:G)</f>
        <v>0</v>
      </c>
      <c r="K1006">
        <f>COUNTIFS('Audit Raw data'!AM:AM,"NO",'Audit Raw data'!J:J,B:B,'Audit Raw data'!E:E,'Day wise agent'!G:G)</f>
        <v>0</v>
      </c>
      <c r="L1006" s="12" t="str">
        <f t="shared" si="31"/>
        <v xml:space="preserve"> </v>
      </c>
    </row>
    <row r="1007" spans="1:12" x14ac:dyDescent="0.35">
      <c r="A1007" t="str">
        <f t="shared" si="30"/>
        <v>SBM77545940</v>
      </c>
      <c r="B1007" t="s">
        <v>643</v>
      </c>
      <c r="C1007" t="s">
        <v>1498</v>
      </c>
      <c r="D1007" s="32">
        <v>45535</v>
      </c>
      <c r="E1007" t="s">
        <v>1484</v>
      </c>
      <c r="F1007" t="str">
        <f>VLOOKUP(B1007,'Agent wise'!A:E,5,0)</f>
        <v>Wireless</v>
      </c>
      <c r="G1007" s="32">
        <v>45940</v>
      </c>
      <c r="H1007">
        <f>COUNTIFS('Audit Raw data'!J:J,B:B,'Audit Raw data'!E:E,G:G)</f>
        <v>1</v>
      </c>
      <c r="I1007" s="44">
        <f>IFERROR((SUMIFS('Audit Raw data'!BZ:BZ,'Audit Raw data'!J:J,B:B,'Audit Raw data'!E:E,G:G)/H1007)/100,"-")</f>
        <v>0.94</v>
      </c>
      <c r="J1007">
        <f>COUNTIFS('Audit Raw data'!AM:AM,"Yes",'Audit Raw data'!J:J,B:B,'Audit Raw data'!E:E,'Day wise agent'!G:G)</f>
        <v>1</v>
      </c>
      <c r="K1007">
        <f>COUNTIFS('Audit Raw data'!AM:AM,"NO",'Audit Raw data'!J:J,B:B,'Audit Raw data'!E:E,'Day wise agent'!G:G)</f>
        <v>0</v>
      </c>
      <c r="L1007" s="12">
        <f t="shared" si="31"/>
        <v>1</v>
      </c>
    </row>
    <row r="1008" spans="1:12" x14ac:dyDescent="0.35">
      <c r="A1008" t="str">
        <f t="shared" si="30"/>
        <v>SBM79245940</v>
      </c>
      <c r="B1008" t="s">
        <v>179</v>
      </c>
      <c r="C1008" t="s">
        <v>1499</v>
      </c>
      <c r="D1008" s="32">
        <v>45545</v>
      </c>
      <c r="E1008" t="s">
        <v>178</v>
      </c>
      <c r="F1008" t="str">
        <f>VLOOKUP(B1008,'Agent wise'!A:E,5,0)</f>
        <v>Wireless</v>
      </c>
      <c r="G1008" s="32">
        <v>45940</v>
      </c>
      <c r="H1008">
        <f>COUNTIFS('Audit Raw data'!J:J,B:B,'Audit Raw data'!E:E,G:G)</f>
        <v>0</v>
      </c>
      <c r="I1008" s="44" t="str">
        <f>IFERROR((SUMIFS('Audit Raw data'!BZ:BZ,'Audit Raw data'!J:J,B:B,'Audit Raw data'!E:E,G:G)/H1008)/100,"-")</f>
        <v>-</v>
      </c>
      <c r="J1008">
        <f>COUNTIFS('Audit Raw data'!AM:AM,"Yes",'Audit Raw data'!J:J,B:B,'Audit Raw data'!E:E,'Day wise agent'!G:G)</f>
        <v>0</v>
      </c>
      <c r="K1008">
        <f>COUNTIFS('Audit Raw data'!AM:AM,"NO",'Audit Raw data'!J:J,B:B,'Audit Raw data'!E:E,'Day wise agent'!G:G)</f>
        <v>0</v>
      </c>
      <c r="L1008" s="12" t="str">
        <f t="shared" si="31"/>
        <v xml:space="preserve"> </v>
      </c>
    </row>
    <row r="1009" spans="1:12" x14ac:dyDescent="0.35">
      <c r="A1009" t="str">
        <f t="shared" si="30"/>
        <v>SBM79445940</v>
      </c>
      <c r="B1009" t="s">
        <v>246</v>
      </c>
      <c r="C1009" t="s">
        <v>1500</v>
      </c>
      <c r="D1009" s="32">
        <v>45550</v>
      </c>
      <c r="E1009" t="s">
        <v>221</v>
      </c>
      <c r="F1009" t="str">
        <f>VLOOKUP(B1009,'Agent wise'!A:E,5,0)</f>
        <v>Wire-line</v>
      </c>
      <c r="G1009" s="32">
        <v>45940</v>
      </c>
      <c r="H1009">
        <f>COUNTIFS('Audit Raw data'!J:J,B:B,'Audit Raw data'!E:E,G:G)</f>
        <v>0</v>
      </c>
      <c r="I1009" s="44" t="str">
        <f>IFERROR((SUMIFS('Audit Raw data'!BZ:BZ,'Audit Raw data'!J:J,B:B,'Audit Raw data'!E:E,G:G)/H1009)/100,"-")</f>
        <v>-</v>
      </c>
      <c r="J1009">
        <f>COUNTIFS('Audit Raw data'!AM:AM,"Yes",'Audit Raw data'!J:J,B:B,'Audit Raw data'!E:E,'Day wise agent'!G:G)</f>
        <v>0</v>
      </c>
      <c r="K1009">
        <f>COUNTIFS('Audit Raw data'!AM:AM,"NO",'Audit Raw data'!J:J,B:B,'Audit Raw data'!E:E,'Day wise agent'!G:G)</f>
        <v>0</v>
      </c>
      <c r="L1009" s="12" t="str">
        <f t="shared" si="31"/>
        <v xml:space="preserve"> </v>
      </c>
    </row>
    <row r="1010" spans="1:12" x14ac:dyDescent="0.35">
      <c r="A1010" t="str">
        <f t="shared" si="30"/>
        <v>SBM90145940</v>
      </c>
      <c r="B1010" t="s">
        <v>646</v>
      </c>
      <c r="C1010" t="s">
        <v>1501</v>
      </c>
      <c r="D1010" s="32">
        <v>45564</v>
      </c>
      <c r="E1010" t="s">
        <v>1484</v>
      </c>
      <c r="F1010" t="str">
        <f>VLOOKUP(B1010,'Agent wise'!A:E,5,0)</f>
        <v>Wireless</v>
      </c>
      <c r="G1010" s="32">
        <v>45940</v>
      </c>
      <c r="H1010">
        <f>COUNTIFS('Audit Raw data'!J:J,B:B,'Audit Raw data'!E:E,G:G)</f>
        <v>0</v>
      </c>
      <c r="I1010" s="44" t="str">
        <f>IFERROR((SUMIFS('Audit Raw data'!BZ:BZ,'Audit Raw data'!J:J,B:B,'Audit Raw data'!E:E,G:G)/H1010)/100,"-")</f>
        <v>-</v>
      </c>
      <c r="J1010">
        <f>COUNTIFS('Audit Raw data'!AM:AM,"Yes",'Audit Raw data'!J:J,B:B,'Audit Raw data'!E:E,'Day wise agent'!G:G)</f>
        <v>0</v>
      </c>
      <c r="K1010">
        <f>COUNTIFS('Audit Raw data'!AM:AM,"NO",'Audit Raw data'!J:J,B:B,'Audit Raw data'!E:E,'Day wise agent'!G:G)</f>
        <v>0</v>
      </c>
      <c r="L1010" s="12" t="str">
        <f t="shared" si="31"/>
        <v xml:space="preserve"> </v>
      </c>
    </row>
    <row r="1011" spans="1:12" x14ac:dyDescent="0.35">
      <c r="A1011" t="str">
        <f t="shared" si="30"/>
        <v>SBM91345940</v>
      </c>
      <c r="B1011" t="s">
        <v>650</v>
      </c>
      <c r="C1011" t="s">
        <v>1503</v>
      </c>
      <c r="D1011" s="32">
        <v>45589</v>
      </c>
      <c r="E1011" t="s">
        <v>178</v>
      </c>
      <c r="F1011" t="str">
        <f>VLOOKUP(B1011,'Agent wise'!A:E,5,0)</f>
        <v>Wireless</v>
      </c>
      <c r="G1011" s="32">
        <v>45940</v>
      </c>
      <c r="H1011">
        <f>COUNTIFS('Audit Raw data'!J:J,B:B,'Audit Raw data'!E:E,G:G)</f>
        <v>0</v>
      </c>
      <c r="I1011" s="44" t="str">
        <f>IFERROR((SUMIFS('Audit Raw data'!BZ:BZ,'Audit Raw data'!J:J,B:B,'Audit Raw data'!E:E,G:G)/H1011)/100,"-")</f>
        <v>-</v>
      </c>
      <c r="J1011">
        <f>COUNTIFS('Audit Raw data'!AM:AM,"Yes",'Audit Raw data'!J:J,B:B,'Audit Raw data'!E:E,'Day wise agent'!G:G)</f>
        <v>0</v>
      </c>
      <c r="K1011">
        <f>COUNTIFS('Audit Raw data'!AM:AM,"NO",'Audit Raw data'!J:J,B:B,'Audit Raw data'!E:E,'Day wise agent'!G:G)</f>
        <v>0</v>
      </c>
      <c r="L1011" s="12" t="str">
        <f t="shared" si="31"/>
        <v xml:space="preserve"> </v>
      </c>
    </row>
    <row r="1012" spans="1:12" x14ac:dyDescent="0.35">
      <c r="A1012" t="str">
        <f t="shared" si="30"/>
        <v>SBM94645940</v>
      </c>
      <c r="B1012" t="s">
        <v>653</v>
      </c>
      <c r="C1012" t="s">
        <v>1505</v>
      </c>
      <c r="D1012" s="32">
        <v>45635</v>
      </c>
      <c r="E1012" t="s">
        <v>1453</v>
      </c>
      <c r="F1012" t="str">
        <f>VLOOKUP(B1012,'Agent wise'!A:E,5,0)</f>
        <v>Wireless</v>
      </c>
      <c r="G1012" s="32">
        <v>45940</v>
      </c>
      <c r="H1012">
        <f>COUNTIFS('Audit Raw data'!J:J,B:B,'Audit Raw data'!E:E,G:G)</f>
        <v>0</v>
      </c>
      <c r="I1012" s="44" t="str">
        <f>IFERROR((SUMIFS('Audit Raw data'!BZ:BZ,'Audit Raw data'!J:J,B:B,'Audit Raw data'!E:E,G:G)/H1012)/100,"-")</f>
        <v>-</v>
      </c>
      <c r="J1012">
        <f>COUNTIFS('Audit Raw data'!AM:AM,"Yes",'Audit Raw data'!J:J,B:B,'Audit Raw data'!E:E,'Day wise agent'!G:G)</f>
        <v>0</v>
      </c>
      <c r="K1012">
        <f>COUNTIFS('Audit Raw data'!AM:AM,"NO",'Audit Raw data'!J:J,B:B,'Audit Raw data'!E:E,'Day wise agent'!G:G)</f>
        <v>0</v>
      </c>
      <c r="L1012" s="12" t="str">
        <f t="shared" si="31"/>
        <v xml:space="preserve"> </v>
      </c>
    </row>
    <row r="1013" spans="1:12" x14ac:dyDescent="0.35">
      <c r="A1013" t="str">
        <f t="shared" si="30"/>
        <v>SBM95845940</v>
      </c>
      <c r="B1013" t="s">
        <v>124</v>
      </c>
      <c r="C1013" t="s">
        <v>1508</v>
      </c>
      <c r="D1013" s="32">
        <v>45641</v>
      </c>
      <c r="E1013" t="s">
        <v>1453</v>
      </c>
      <c r="F1013" t="str">
        <f>VLOOKUP(B1013,'Agent wise'!A:E,5,0)</f>
        <v>Wireless</v>
      </c>
      <c r="G1013" s="32">
        <v>45940</v>
      </c>
      <c r="H1013">
        <f>COUNTIFS('Audit Raw data'!J:J,B:B,'Audit Raw data'!E:E,G:G)</f>
        <v>3</v>
      </c>
      <c r="I1013" s="44">
        <f>IFERROR((SUMIFS('Audit Raw data'!BZ:BZ,'Audit Raw data'!J:J,B:B,'Audit Raw data'!E:E,G:G)/H1013)/100,"-")</f>
        <v>0.89333333333333331</v>
      </c>
      <c r="J1013">
        <f>COUNTIFS('Audit Raw data'!AM:AM,"Yes",'Audit Raw data'!J:J,B:B,'Audit Raw data'!E:E,'Day wise agent'!G:G)</f>
        <v>3</v>
      </c>
      <c r="K1013">
        <f>COUNTIFS('Audit Raw data'!AM:AM,"NO",'Audit Raw data'!J:J,B:B,'Audit Raw data'!E:E,'Day wise agent'!G:G)</f>
        <v>0</v>
      </c>
      <c r="L1013" s="12">
        <f t="shared" si="31"/>
        <v>1</v>
      </c>
    </row>
    <row r="1014" spans="1:12" x14ac:dyDescent="0.35">
      <c r="A1014" t="str">
        <f t="shared" si="30"/>
        <v>SBM96345940</v>
      </c>
      <c r="B1014" t="s">
        <v>149</v>
      </c>
      <c r="C1014" t="s">
        <v>1506</v>
      </c>
      <c r="D1014" s="32">
        <v>45637</v>
      </c>
      <c r="E1014" t="s">
        <v>107</v>
      </c>
      <c r="F1014" t="str">
        <f>VLOOKUP(B1014,'Agent wise'!A:E,5,0)</f>
        <v>Wireless</v>
      </c>
      <c r="G1014" s="32">
        <v>45940</v>
      </c>
      <c r="H1014">
        <f>COUNTIFS('Audit Raw data'!J:J,B:B,'Audit Raw data'!E:E,G:G)</f>
        <v>0</v>
      </c>
      <c r="I1014" s="44" t="str">
        <f>IFERROR((SUMIFS('Audit Raw data'!BZ:BZ,'Audit Raw data'!J:J,B:B,'Audit Raw data'!E:E,G:G)/H1014)/100,"-")</f>
        <v>-</v>
      </c>
      <c r="J1014">
        <f>COUNTIFS('Audit Raw data'!AM:AM,"Yes",'Audit Raw data'!J:J,B:B,'Audit Raw data'!E:E,'Day wise agent'!G:G)</f>
        <v>0</v>
      </c>
      <c r="K1014">
        <f>COUNTIFS('Audit Raw data'!AM:AM,"NO",'Audit Raw data'!J:J,B:B,'Audit Raw data'!E:E,'Day wise agent'!G:G)</f>
        <v>0</v>
      </c>
      <c r="L1014" s="12" t="str">
        <f t="shared" si="31"/>
        <v xml:space="preserve"> </v>
      </c>
    </row>
    <row r="1015" spans="1:12" x14ac:dyDescent="0.35">
      <c r="A1015" t="str">
        <f t="shared" si="30"/>
        <v>SBM96745940</v>
      </c>
      <c r="B1015" t="s">
        <v>657</v>
      </c>
      <c r="C1015" t="s">
        <v>1507</v>
      </c>
      <c r="D1015" s="32">
        <v>45640</v>
      </c>
      <c r="E1015" t="s">
        <v>1453</v>
      </c>
      <c r="F1015" t="str">
        <f>VLOOKUP(B1015,'Agent wise'!A:E,5,0)</f>
        <v>Wireless</v>
      </c>
      <c r="G1015" s="32">
        <v>45940</v>
      </c>
      <c r="H1015">
        <f>COUNTIFS('Audit Raw data'!J:J,B:B,'Audit Raw data'!E:E,G:G)</f>
        <v>0</v>
      </c>
      <c r="I1015" s="44" t="str">
        <f>IFERROR((SUMIFS('Audit Raw data'!BZ:BZ,'Audit Raw data'!J:J,B:B,'Audit Raw data'!E:E,G:G)/H1015)/100,"-")</f>
        <v>-</v>
      </c>
      <c r="J1015">
        <f>COUNTIFS('Audit Raw data'!AM:AM,"Yes",'Audit Raw data'!J:J,B:B,'Audit Raw data'!E:E,'Day wise agent'!G:G)</f>
        <v>0</v>
      </c>
      <c r="K1015">
        <f>COUNTIFS('Audit Raw data'!AM:AM,"NO",'Audit Raw data'!J:J,B:B,'Audit Raw data'!E:E,'Day wise agent'!G:G)</f>
        <v>0</v>
      </c>
      <c r="L1015" s="12" t="str">
        <f t="shared" si="31"/>
        <v xml:space="preserve"> </v>
      </c>
    </row>
    <row r="1016" spans="1:12" x14ac:dyDescent="0.35">
      <c r="A1016" t="str">
        <f t="shared" si="30"/>
        <v>SBM98345940</v>
      </c>
      <c r="B1016" t="s">
        <v>1509</v>
      </c>
      <c r="C1016" t="s">
        <v>1510</v>
      </c>
      <c r="D1016" s="32">
        <v>45659</v>
      </c>
      <c r="E1016" t="s">
        <v>1484</v>
      </c>
      <c r="F1016" t="str">
        <f>VLOOKUP(B1016,'Agent wise'!A:E,5,0)</f>
        <v>Wireless</v>
      </c>
      <c r="G1016" s="32">
        <v>45940</v>
      </c>
      <c r="H1016">
        <f>COUNTIFS('Audit Raw data'!J:J,B:B,'Audit Raw data'!E:E,G:G)</f>
        <v>0</v>
      </c>
      <c r="I1016" s="44" t="str">
        <f>IFERROR((SUMIFS('Audit Raw data'!BZ:BZ,'Audit Raw data'!J:J,B:B,'Audit Raw data'!E:E,G:G)/H1016)/100,"-")</f>
        <v>-</v>
      </c>
      <c r="J1016">
        <f>COUNTIFS('Audit Raw data'!AM:AM,"Yes",'Audit Raw data'!J:J,B:B,'Audit Raw data'!E:E,'Day wise agent'!G:G)</f>
        <v>0</v>
      </c>
      <c r="K1016">
        <f>COUNTIFS('Audit Raw data'!AM:AM,"NO",'Audit Raw data'!J:J,B:B,'Audit Raw data'!E:E,'Day wise agent'!G:G)</f>
        <v>0</v>
      </c>
      <c r="L1016" s="12" t="str">
        <f t="shared" si="31"/>
        <v xml:space="preserve"> </v>
      </c>
    </row>
    <row r="1017" spans="1:12" x14ac:dyDescent="0.35">
      <c r="A1017" t="str">
        <f t="shared" si="30"/>
        <v>SBM99045940</v>
      </c>
      <c r="B1017" t="s">
        <v>660</v>
      </c>
      <c r="C1017" t="s">
        <v>1512</v>
      </c>
      <c r="D1017" s="32">
        <v>45663</v>
      </c>
      <c r="E1017" t="s">
        <v>178</v>
      </c>
      <c r="F1017" t="str">
        <f>VLOOKUP(B1017,'Agent wise'!A:E,5,0)</f>
        <v>Wireless</v>
      </c>
      <c r="G1017" s="32">
        <v>45940</v>
      </c>
      <c r="H1017">
        <f>COUNTIFS('Audit Raw data'!J:J,B:B,'Audit Raw data'!E:E,G:G)</f>
        <v>0</v>
      </c>
      <c r="I1017" s="44" t="str">
        <f>IFERROR((SUMIFS('Audit Raw data'!BZ:BZ,'Audit Raw data'!J:J,B:B,'Audit Raw data'!E:E,G:G)/H1017)/100,"-")</f>
        <v>-</v>
      </c>
      <c r="J1017">
        <f>COUNTIFS('Audit Raw data'!AM:AM,"Yes",'Audit Raw data'!J:J,B:B,'Audit Raw data'!E:E,'Day wise agent'!G:G)</f>
        <v>0</v>
      </c>
      <c r="K1017">
        <f>COUNTIFS('Audit Raw data'!AM:AM,"NO",'Audit Raw data'!J:J,B:B,'Audit Raw data'!E:E,'Day wise agent'!G:G)</f>
        <v>0</v>
      </c>
      <c r="L1017" s="12" t="str">
        <f t="shared" si="31"/>
        <v xml:space="preserve"> </v>
      </c>
    </row>
    <row r="1018" spans="1:12" x14ac:dyDescent="0.35">
      <c r="A1018" t="str">
        <f t="shared" si="30"/>
        <v>VPS10645940</v>
      </c>
      <c r="B1018" t="s">
        <v>1513</v>
      </c>
      <c r="C1018" t="s">
        <v>1514</v>
      </c>
      <c r="D1018" s="32">
        <v>45674</v>
      </c>
      <c r="E1018" t="s">
        <v>1456</v>
      </c>
      <c r="F1018" t="str">
        <f>VLOOKUP(B1018,'Agent wise'!A:E,5,0)</f>
        <v>RECL</v>
      </c>
      <c r="G1018" s="32">
        <v>45940</v>
      </c>
      <c r="H1018">
        <f>COUNTIFS('Audit Raw data'!J:J,B:B,'Audit Raw data'!E:E,G:G)</f>
        <v>0</v>
      </c>
      <c r="I1018" s="44" t="str">
        <f>IFERROR((SUMIFS('Audit Raw data'!BZ:BZ,'Audit Raw data'!J:J,B:B,'Audit Raw data'!E:E,G:G)/H1018)/100,"-")</f>
        <v>-</v>
      </c>
      <c r="J1018">
        <f>COUNTIFS('Audit Raw data'!AM:AM,"Yes",'Audit Raw data'!J:J,B:B,'Audit Raw data'!E:E,'Day wise agent'!G:G)</f>
        <v>0</v>
      </c>
      <c r="K1018">
        <f>COUNTIFS('Audit Raw data'!AM:AM,"NO",'Audit Raw data'!J:J,B:B,'Audit Raw data'!E:E,'Day wise agent'!G:G)</f>
        <v>0</v>
      </c>
      <c r="L1018" s="12" t="str">
        <f t="shared" si="31"/>
        <v xml:space="preserve"> </v>
      </c>
    </row>
    <row r="1019" spans="1:12" x14ac:dyDescent="0.35">
      <c r="A1019" t="str">
        <f t="shared" si="30"/>
        <v>VPS11145940</v>
      </c>
      <c r="B1019" t="s">
        <v>108</v>
      </c>
      <c r="C1019" t="s">
        <v>1515</v>
      </c>
      <c r="D1019" s="32">
        <v>45675</v>
      </c>
      <c r="E1019" t="s">
        <v>1484</v>
      </c>
      <c r="F1019" t="str">
        <f>VLOOKUP(B1019,'Agent wise'!A:E,5,0)</f>
        <v>Wireless</v>
      </c>
      <c r="G1019" s="32">
        <v>45940</v>
      </c>
      <c r="H1019">
        <f>COUNTIFS('Audit Raw data'!J:J,B:B,'Audit Raw data'!E:E,G:G)</f>
        <v>2</v>
      </c>
      <c r="I1019" s="44">
        <f>IFERROR((SUMIFS('Audit Raw data'!BZ:BZ,'Audit Raw data'!J:J,B:B,'Audit Raw data'!E:E,G:G)/H1019)/100,"-")</f>
        <v>0.97</v>
      </c>
      <c r="J1019">
        <f>COUNTIFS('Audit Raw data'!AM:AM,"Yes",'Audit Raw data'!J:J,B:B,'Audit Raw data'!E:E,'Day wise agent'!G:G)</f>
        <v>2</v>
      </c>
      <c r="K1019">
        <f>COUNTIFS('Audit Raw data'!AM:AM,"NO",'Audit Raw data'!J:J,B:B,'Audit Raw data'!E:E,'Day wise agent'!G:G)</f>
        <v>0</v>
      </c>
      <c r="L1019" s="12">
        <f t="shared" si="31"/>
        <v>1</v>
      </c>
    </row>
    <row r="1020" spans="1:12" x14ac:dyDescent="0.35">
      <c r="A1020" t="str">
        <f t="shared" si="30"/>
        <v>VPS12045940</v>
      </c>
      <c r="B1020" t="s">
        <v>263</v>
      </c>
      <c r="C1020" t="s">
        <v>1516</v>
      </c>
      <c r="D1020" s="32">
        <v>45690</v>
      </c>
      <c r="E1020" t="s">
        <v>178</v>
      </c>
      <c r="F1020" t="str">
        <f>VLOOKUP(B1020,'Agent wise'!A:E,5,0)</f>
        <v>Wireless</v>
      </c>
      <c r="G1020" s="32">
        <v>45940</v>
      </c>
      <c r="H1020">
        <f>COUNTIFS('Audit Raw data'!J:J,B:B,'Audit Raw data'!E:E,G:G)</f>
        <v>0</v>
      </c>
      <c r="I1020" s="44" t="str">
        <f>IFERROR((SUMIFS('Audit Raw data'!BZ:BZ,'Audit Raw data'!J:J,B:B,'Audit Raw data'!E:E,G:G)/H1020)/100,"-")</f>
        <v>-</v>
      </c>
      <c r="J1020">
        <f>COUNTIFS('Audit Raw data'!AM:AM,"Yes",'Audit Raw data'!J:J,B:B,'Audit Raw data'!E:E,'Day wise agent'!G:G)</f>
        <v>0</v>
      </c>
      <c r="K1020">
        <f>COUNTIFS('Audit Raw data'!AM:AM,"NO",'Audit Raw data'!J:J,B:B,'Audit Raw data'!E:E,'Day wise agent'!G:G)</f>
        <v>0</v>
      </c>
      <c r="L1020" s="12" t="str">
        <f t="shared" si="31"/>
        <v xml:space="preserve"> </v>
      </c>
    </row>
    <row r="1021" spans="1:12" x14ac:dyDescent="0.35">
      <c r="A1021" t="str">
        <f t="shared" si="30"/>
        <v>VPS12445940</v>
      </c>
      <c r="B1021" t="s">
        <v>1517</v>
      </c>
      <c r="C1021" t="s">
        <v>1518</v>
      </c>
      <c r="D1021" s="32">
        <v>45705</v>
      </c>
      <c r="E1021" t="s">
        <v>1456</v>
      </c>
      <c r="F1021" t="str">
        <f>VLOOKUP(B1021,'Agent wise'!A:E,5,0)</f>
        <v>RECL</v>
      </c>
      <c r="G1021" s="32">
        <v>45940</v>
      </c>
      <c r="H1021">
        <f>COUNTIFS('Audit Raw data'!J:J,B:B,'Audit Raw data'!E:E,G:G)</f>
        <v>0</v>
      </c>
      <c r="I1021" s="44" t="str">
        <f>IFERROR((SUMIFS('Audit Raw data'!BZ:BZ,'Audit Raw data'!J:J,B:B,'Audit Raw data'!E:E,G:G)/H1021)/100,"-")</f>
        <v>-</v>
      </c>
      <c r="J1021">
        <f>COUNTIFS('Audit Raw data'!AM:AM,"Yes",'Audit Raw data'!J:J,B:B,'Audit Raw data'!E:E,'Day wise agent'!G:G)</f>
        <v>0</v>
      </c>
      <c r="K1021">
        <f>COUNTIFS('Audit Raw data'!AM:AM,"NO",'Audit Raw data'!J:J,B:B,'Audit Raw data'!E:E,'Day wise agent'!G:G)</f>
        <v>0</v>
      </c>
      <c r="L1021" s="12" t="str">
        <f t="shared" si="31"/>
        <v xml:space="preserve"> </v>
      </c>
    </row>
    <row r="1022" spans="1:12" x14ac:dyDescent="0.35">
      <c r="A1022" t="str">
        <f t="shared" si="30"/>
        <v>VPS12645940</v>
      </c>
      <c r="B1022" t="s">
        <v>1521</v>
      </c>
      <c r="C1022" t="s">
        <v>1522</v>
      </c>
      <c r="D1022" s="32">
        <v>45710</v>
      </c>
      <c r="E1022" t="s">
        <v>1456</v>
      </c>
      <c r="F1022" t="str">
        <f>VLOOKUP(B1022,'Agent wise'!A:E,5,0)</f>
        <v>RECL</v>
      </c>
      <c r="G1022" s="32">
        <v>45940</v>
      </c>
      <c r="H1022">
        <f>COUNTIFS('Audit Raw data'!J:J,B:B,'Audit Raw data'!E:E,G:G)</f>
        <v>0</v>
      </c>
      <c r="I1022" s="44" t="str">
        <f>IFERROR((SUMIFS('Audit Raw data'!BZ:BZ,'Audit Raw data'!J:J,B:B,'Audit Raw data'!E:E,G:G)/H1022)/100,"-")</f>
        <v>-</v>
      </c>
      <c r="J1022">
        <f>COUNTIFS('Audit Raw data'!AM:AM,"Yes",'Audit Raw data'!J:J,B:B,'Audit Raw data'!E:E,'Day wise agent'!G:G)</f>
        <v>0</v>
      </c>
      <c r="K1022">
        <f>COUNTIFS('Audit Raw data'!AM:AM,"NO",'Audit Raw data'!J:J,B:B,'Audit Raw data'!E:E,'Day wise agent'!G:G)</f>
        <v>0</v>
      </c>
      <c r="L1022" s="12" t="str">
        <f t="shared" si="31"/>
        <v xml:space="preserve"> </v>
      </c>
    </row>
    <row r="1023" spans="1:12" x14ac:dyDescent="0.35">
      <c r="A1023" t="str">
        <f t="shared" si="30"/>
        <v>VPS12745940</v>
      </c>
      <c r="B1023" t="s">
        <v>1523</v>
      </c>
      <c r="C1023" t="s">
        <v>1524</v>
      </c>
      <c r="D1023" s="32">
        <v>45710</v>
      </c>
      <c r="E1023" t="s">
        <v>1456</v>
      </c>
      <c r="F1023" t="str">
        <f>VLOOKUP(B1023,'Agent wise'!A:E,5,0)</f>
        <v>RECL</v>
      </c>
      <c r="G1023" s="32">
        <v>45940</v>
      </c>
      <c r="H1023">
        <f>COUNTIFS('Audit Raw data'!J:J,B:B,'Audit Raw data'!E:E,G:G)</f>
        <v>0</v>
      </c>
      <c r="I1023" s="44" t="str">
        <f>IFERROR((SUMIFS('Audit Raw data'!BZ:BZ,'Audit Raw data'!J:J,B:B,'Audit Raw data'!E:E,G:G)/H1023)/100,"-")</f>
        <v>-</v>
      </c>
      <c r="J1023">
        <f>COUNTIFS('Audit Raw data'!AM:AM,"Yes",'Audit Raw data'!J:J,B:B,'Audit Raw data'!E:E,'Day wise agent'!G:G)</f>
        <v>0</v>
      </c>
      <c r="K1023">
        <f>COUNTIFS('Audit Raw data'!AM:AM,"NO",'Audit Raw data'!J:J,B:B,'Audit Raw data'!E:E,'Day wise agent'!G:G)</f>
        <v>0</v>
      </c>
      <c r="L1023" s="12" t="str">
        <f t="shared" si="31"/>
        <v xml:space="preserve"> </v>
      </c>
    </row>
    <row r="1024" spans="1:12" x14ac:dyDescent="0.35">
      <c r="A1024" t="str">
        <f t="shared" si="30"/>
        <v>VPS13045940</v>
      </c>
      <c r="B1024" t="s">
        <v>662</v>
      </c>
      <c r="C1024" t="s">
        <v>1525</v>
      </c>
      <c r="D1024" s="32">
        <v>45710</v>
      </c>
      <c r="E1024" t="s">
        <v>1484</v>
      </c>
      <c r="F1024" t="str">
        <f>VLOOKUP(B1024,'Agent wise'!A:E,5,0)</f>
        <v>Wireless</v>
      </c>
      <c r="G1024" s="32">
        <v>45940</v>
      </c>
      <c r="H1024">
        <f>COUNTIFS('Audit Raw data'!J:J,B:B,'Audit Raw data'!E:E,G:G)</f>
        <v>0</v>
      </c>
      <c r="I1024" s="44" t="str">
        <f>IFERROR((SUMIFS('Audit Raw data'!BZ:BZ,'Audit Raw data'!J:J,B:B,'Audit Raw data'!E:E,G:G)/H1024)/100,"-")</f>
        <v>-</v>
      </c>
      <c r="J1024">
        <f>COUNTIFS('Audit Raw data'!AM:AM,"Yes",'Audit Raw data'!J:J,B:B,'Audit Raw data'!E:E,'Day wise agent'!G:G)</f>
        <v>0</v>
      </c>
      <c r="K1024">
        <f>COUNTIFS('Audit Raw data'!AM:AM,"NO",'Audit Raw data'!J:J,B:B,'Audit Raw data'!E:E,'Day wise agent'!G:G)</f>
        <v>0</v>
      </c>
      <c r="L1024" s="12" t="str">
        <f t="shared" si="31"/>
        <v xml:space="preserve"> </v>
      </c>
    </row>
    <row r="1025" spans="1:12" x14ac:dyDescent="0.35">
      <c r="A1025" t="str">
        <f t="shared" si="30"/>
        <v>VPS13145940</v>
      </c>
      <c r="B1025" t="s">
        <v>1519</v>
      </c>
      <c r="C1025" t="s">
        <v>1520</v>
      </c>
      <c r="D1025" s="32">
        <v>45710</v>
      </c>
      <c r="E1025" t="s">
        <v>1456</v>
      </c>
      <c r="F1025" t="str">
        <f>VLOOKUP(B1025,'Agent wise'!A:E,5,0)</f>
        <v>RECL</v>
      </c>
      <c r="G1025" s="32">
        <v>45940</v>
      </c>
      <c r="H1025">
        <f>COUNTIFS('Audit Raw data'!J:J,B:B,'Audit Raw data'!E:E,G:G)</f>
        <v>0</v>
      </c>
      <c r="I1025" s="44" t="str">
        <f>IFERROR((SUMIFS('Audit Raw data'!BZ:BZ,'Audit Raw data'!J:J,B:B,'Audit Raw data'!E:E,G:G)/H1025)/100,"-")</f>
        <v>-</v>
      </c>
      <c r="J1025">
        <f>COUNTIFS('Audit Raw data'!AM:AM,"Yes",'Audit Raw data'!J:J,B:B,'Audit Raw data'!E:E,'Day wise agent'!G:G)</f>
        <v>0</v>
      </c>
      <c r="K1025">
        <f>COUNTIFS('Audit Raw data'!AM:AM,"NO",'Audit Raw data'!J:J,B:B,'Audit Raw data'!E:E,'Day wise agent'!G:G)</f>
        <v>0</v>
      </c>
      <c r="L1025" s="12" t="str">
        <f t="shared" si="31"/>
        <v xml:space="preserve"> </v>
      </c>
    </row>
    <row r="1026" spans="1:12" x14ac:dyDescent="0.35">
      <c r="A1026" t="str">
        <f t="shared" ref="A1026:A1089" si="32">B1026&amp;G1026</f>
        <v>VPS13245940</v>
      </c>
      <c r="B1026" t="s">
        <v>1526</v>
      </c>
      <c r="C1026" t="s">
        <v>1527</v>
      </c>
      <c r="D1026" s="32">
        <v>45717</v>
      </c>
      <c r="E1026" t="s">
        <v>221</v>
      </c>
      <c r="F1026" t="str">
        <f>VLOOKUP(B1026,'Agent wise'!A:E,5,0)</f>
        <v>Wire-line</v>
      </c>
      <c r="G1026" s="32">
        <v>45940</v>
      </c>
      <c r="H1026">
        <f>COUNTIFS('Audit Raw data'!J:J,B:B,'Audit Raw data'!E:E,G:G)</f>
        <v>0</v>
      </c>
      <c r="I1026" s="44" t="str">
        <f>IFERROR((SUMIFS('Audit Raw data'!BZ:BZ,'Audit Raw data'!J:J,B:B,'Audit Raw data'!E:E,G:G)/H1026)/100,"-")</f>
        <v>-</v>
      </c>
      <c r="J1026">
        <f>COUNTIFS('Audit Raw data'!AM:AM,"Yes",'Audit Raw data'!J:J,B:B,'Audit Raw data'!E:E,'Day wise agent'!G:G)</f>
        <v>0</v>
      </c>
      <c r="K1026">
        <f>COUNTIFS('Audit Raw data'!AM:AM,"NO",'Audit Raw data'!J:J,B:B,'Audit Raw data'!E:E,'Day wise agent'!G:G)</f>
        <v>0</v>
      </c>
      <c r="L1026" s="12" t="str">
        <f t="shared" ref="L1026:L1089" si="33">IFERROR(J1026/H1026," ")</f>
        <v xml:space="preserve"> </v>
      </c>
    </row>
    <row r="1027" spans="1:12" x14ac:dyDescent="0.35">
      <c r="A1027" t="str">
        <f t="shared" si="32"/>
        <v>VPS14345940</v>
      </c>
      <c r="B1027" t="s">
        <v>269</v>
      </c>
      <c r="C1027" t="s">
        <v>1528</v>
      </c>
      <c r="D1027" s="32">
        <v>45723</v>
      </c>
      <c r="E1027" t="s">
        <v>1484</v>
      </c>
      <c r="F1027" t="str">
        <f>VLOOKUP(B1027,'Agent wise'!A:E,5,0)</f>
        <v>Wireless</v>
      </c>
      <c r="G1027" s="32">
        <v>45940</v>
      </c>
      <c r="H1027">
        <f>COUNTIFS('Audit Raw data'!J:J,B:B,'Audit Raw data'!E:E,G:G)</f>
        <v>2</v>
      </c>
      <c r="I1027" s="44">
        <f>IFERROR((SUMIFS('Audit Raw data'!BZ:BZ,'Audit Raw data'!J:J,B:B,'Audit Raw data'!E:E,G:G)/H1027)/100,"-")</f>
        <v>0.9</v>
      </c>
      <c r="J1027">
        <f>COUNTIFS('Audit Raw data'!AM:AM,"Yes",'Audit Raw data'!J:J,B:B,'Audit Raw data'!E:E,'Day wise agent'!G:G)</f>
        <v>2</v>
      </c>
      <c r="K1027">
        <f>COUNTIFS('Audit Raw data'!AM:AM,"NO",'Audit Raw data'!J:J,B:B,'Audit Raw data'!E:E,'Day wise agent'!G:G)</f>
        <v>0</v>
      </c>
      <c r="L1027" s="12">
        <f t="shared" si="33"/>
        <v>1</v>
      </c>
    </row>
    <row r="1028" spans="1:12" x14ac:dyDescent="0.35">
      <c r="A1028" t="str">
        <f t="shared" si="32"/>
        <v>VPS15145940</v>
      </c>
      <c r="B1028" t="s">
        <v>274</v>
      </c>
      <c r="C1028" t="s">
        <v>1529</v>
      </c>
      <c r="D1028" s="32">
        <v>45735</v>
      </c>
      <c r="E1028" t="s">
        <v>107</v>
      </c>
      <c r="F1028" t="str">
        <f>VLOOKUP(B1028,'Agent wise'!A:E,5,0)</f>
        <v>Wireless</v>
      </c>
      <c r="G1028" s="32">
        <v>45940</v>
      </c>
      <c r="H1028">
        <f>COUNTIFS('Audit Raw data'!J:J,B:B,'Audit Raw data'!E:E,G:G)</f>
        <v>2</v>
      </c>
      <c r="I1028" s="44">
        <f>IFERROR((SUMIFS('Audit Raw data'!BZ:BZ,'Audit Raw data'!J:J,B:B,'Audit Raw data'!E:E,G:G)/H1028)/100,"-")</f>
        <v>0.94</v>
      </c>
      <c r="J1028">
        <f>COUNTIFS('Audit Raw data'!AM:AM,"Yes",'Audit Raw data'!J:J,B:B,'Audit Raw data'!E:E,'Day wise agent'!G:G)</f>
        <v>2</v>
      </c>
      <c r="K1028">
        <f>COUNTIFS('Audit Raw data'!AM:AM,"NO",'Audit Raw data'!J:J,B:B,'Audit Raw data'!E:E,'Day wise agent'!G:G)</f>
        <v>0</v>
      </c>
      <c r="L1028" s="12">
        <f t="shared" si="33"/>
        <v>1</v>
      </c>
    </row>
    <row r="1029" spans="1:12" x14ac:dyDescent="0.35">
      <c r="A1029" t="str">
        <f t="shared" si="32"/>
        <v>VPS16045940</v>
      </c>
      <c r="B1029" t="s">
        <v>258</v>
      </c>
      <c r="C1029" t="s">
        <v>1530</v>
      </c>
      <c r="D1029" s="32">
        <v>45748</v>
      </c>
      <c r="E1029" t="s">
        <v>1484</v>
      </c>
      <c r="F1029" t="str">
        <f>VLOOKUP(B1029,'Agent wise'!A:E,5,0)</f>
        <v>Wireless</v>
      </c>
      <c r="G1029" s="32">
        <v>45940</v>
      </c>
      <c r="H1029">
        <f>COUNTIFS('Audit Raw data'!J:J,B:B,'Audit Raw data'!E:E,G:G)</f>
        <v>1</v>
      </c>
      <c r="I1029" s="44">
        <f>IFERROR((SUMIFS('Audit Raw data'!BZ:BZ,'Audit Raw data'!J:J,B:B,'Audit Raw data'!E:E,G:G)/H1029)/100,"-")</f>
        <v>0.98</v>
      </c>
      <c r="J1029">
        <f>COUNTIFS('Audit Raw data'!AM:AM,"Yes",'Audit Raw data'!J:J,B:B,'Audit Raw data'!E:E,'Day wise agent'!G:G)</f>
        <v>1</v>
      </c>
      <c r="K1029">
        <f>COUNTIFS('Audit Raw data'!AM:AM,"NO",'Audit Raw data'!J:J,B:B,'Audit Raw data'!E:E,'Day wise agent'!G:G)</f>
        <v>0</v>
      </c>
      <c r="L1029" s="12">
        <f t="shared" si="33"/>
        <v>1</v>
      </c>
    </row>
    <row r="1030" spans="1:12" x14ac:dyDescent="0.35">
      <c r="A1030" t="str">
        <f t="shared" si="32"/>
        <v>VPS17145940</v>
      </c>
      <c r="B1030" t="s">
        <v>307</v>
      </c>
      <c r="C1030" t="s">
        <v>1531</v>
      </c>
      <c r="D1030" s="32">
        <v>45767</v>
      </c>
      <c r="E1030" t="s">
        <v>221</v>
      </c>
      <c r="F1030" t="str">
        <f>VLOOKUP(B1030,'Agent wise'!A:E,5,0)</f>
        <v>Wire-line</v>
      </c>
      <c r="G1030" s="32">
        <v>45940</v>
      </c>
      <c r="H1030">
        <f>COUNTIFS('Audit Raw data'!J:J,B:B,'Audit Raw data'!E:E,G:G)</f>
        <v>0</v>
      </c>
      <c r="I1030" s="44" t="str">
        <f>IFERROR((SUMIFS('Audit Raw data'!BZ:BZ,'Audit Raw data'!J:J,B:B,'Audit Raw data'!E:E,G:G)/H1030)/100,"-")</f>
        <v>-</v>
      </c>
      <c r="J1030">
        <f>COUNTIFS('Audit Raw data'!AM:AM,"Yes",'Audit Raw data'!J:J,B:B,'Audit Raw data'!E:E,'Day wise agent'!G:G)</f>
        <v>0</v>
      </c>
      <c r="K1030">
        <f>COUNTIFS('Audit Raw data'!AM:AM,"NO",'Audit Raw data'!J:J,B:B,'Audit Raw data'!E:E,'Day wise agent'!G:G)</f>
        <v>0</v>
      </c>
      <c r="L1030" s="12" t="str">
        <f t="shared" si="33"/>
        <v xml:space="preserve"> </v>
      </c>
    </row>
    <row r="1031" spans="1:12" x14ac:dyDescent="0.35">
      <c r="A1031" t="str">
        <f t="shared" si="32"/>
        <v>VPS17745940</v>
      </c>
      <c r="B1031" t="s">
        <v>280</v>
      </c>
      <c r="C1031" t="s">
        <v>1532</v>
      </c>
      <c r="D1031" s="32">
        <v>45766</v>
      </c>
      <c r="E1031" t="s">
        <v>1453</v>
      </c>
      <c r="F1031" t="str">
        <f>VLOOKUP(B1031,'Agent wise'!A:E,5,0)</f>
        <v>Wireless</v>
      </c>
      <c r="G1031" s="32">
        <v>45940</v>
      </c>
      <c r="H1031">
        <f>COUNTIFS('Audit Raw data'!J:J,B:B,'Audit Raw data'!E:E,G:G)</f>
        <v>0</v>
      </c>
      <c r="I1031" s="44" t="str">
        <f>IFERROR((SUMIFS('Audit Raw data'!BZ:BZ,'Audit Raw data'!J:J,B:B,'Audit Raw data'!E:E,G:G)/H1031)/100,"-")</f>
        <v>-</v>
      </c>
      <c r="J1031">
        <f>COUNTIFS('Audit Raw data'!AM:AM,"Yes",'Audit Raw data'!J:J,B:B,'Audit Raw data'!E:E,'Day wise agent'!G:G)</f>
        <v>0</v>
      </c>
      <c r="K1031">
        <f>COUNTIFS('Audit Raw data'!AM:AM,"NO",'Audit Raw data'!J:J,B:B,'Audit Raw data'!E:E,'Day wise agent'!G:G)</f>
        <v>0</v>
      </c>
      <c r="L1031" s="12" t="str">
        <f t="shared" si="33"/>
        <v xml:space="preserve"> </v>
      </c>
    </row>
    <row r="1032" spans="1:12" x14ac:dyDescent="0.35">
      <c r="A1032" t="str">
        <f t="shared" si="32"/>
        <v>VPS18145940</v>
      </c>
      <c r="B1032" t="s">
        <v>234</v>
      </c>
      <c r="C1032" t="s">
        <v>1533</v>
      </c>
      <c r="D1032" s="32">
        <v>45775</v>
      </c>
      <c r="E1032" t="s">
        <v>221</v>
      </c>
      <c r="F1032" t="str">
        <f>VLOOKUP(B1032,'Agent wise'!A:E,5,0)</f>
        <v>Wire-line</v>
      </c>
      <c r="G1032" s="32">
        <v>45940</v>
      </c>
      <c r="H1032">
        <f>COUNTIFS('Audit Raw data'!J:J,B:B,'Audit Raw data'!E:E,G:G)</f>
        <v>2</v>
      </c>
      <c r="I1032" s="44">
        <f>IFERROR((SUMIFS('Audit Raw data'!BZ:BZ,'Audit Raw data'!J:J,B:B,'Audit Raw data'!E:E,G:G)/H1032)/100,"-")</f>
        <v>0.97</v>
      </c>
      <c r="J1032">
        <f>COUNTIFS('Audit Raw data'!AM:AM,"Yes",'Audit Raw data'!J:J,B:B,'Audit Raw data'!E:E,'Day wise agent'!G:G)</f>
        <v>2</v>
      </c>
      <c r="K1032">
        <f>COUNTIFS('Audit Raw data'!AM:AM,"NO",'Audit Raw data'!J:J,B:B,'Audit Raw data'!E:E,'Day wise agent'!G:G)</f>
        <v>0</v>
      </c>
      <c r="L1032" s="12">
        <f t="shared" si="33"/>
        <v>1</v>
      </c>
    </row>
    <row r="1033" spans="1:12" x14ac:dyDescent="0.35">
      <c r="A1033" t="str">
        <f t="shared" si="32"/>
        <v>VPS18245940</v>
      </c>
      <c r="B1033" t="s">
        <v>568</v>
      </c>
      <c r="C1033" t="s">
        <v>1534</v>
      </c>
      <c r="D1033" s="32">
        <v>45797</v>
      </c>
      <c r="E1033" t="s">
        <v>221</v>
      </c>
      <c r="F1033" t="str">
        <f>VLOOKUP(B1033,'Agent wise'!A:E,5,0)</f>
        <v>Wire-line</v>
      </c>
      <c r="G1033" s="32">
        <v>45940</v>
      </c>
      <c r="H1033">
        <f>COUNTIFS('Audit Raw data'!J:J,B:B,'Audit Raw data'!E:E,G:G)</f>
        <v>0</v>
      </c>
      <c r="I1033" s="44" t="str">
        <f>IFERROR((SUMIFS('Audit Raw data'!BZ:BZ,'Audit Raw data'!J:J,B:B,'Audit Raw data'!E:E,G:G)/H1033)/100,"-")</f>
        <v>-</v>
      </c>
      <c r="J1033">
        <f>COUNTIFS('Audit Raw data'!AM:AM,"Yes",'Audit Raw data'!J:J,B:B,'Audit Raw data'!E:E,'Day wise agent'!G:G)</f>
        <v>0</v>
      </c>
      <c r="K1033">
        <f>COUNTIFS('Audit Raw data'!AM:AM,"NO",'Audit Raw data'!J:J,B:B,'Audit Raw data'!E:E,'Day wise agent'!G:G)</f>
        <v>0</v>
      </c>
      <c r="L1033" s="12" t="str">
        <f t="shared" si="33"/>
        <v xml:space="preserve"> </v>
      </c>
    </row>
    <row r="1034" spans="1:12" x14ac:dyDescent="0.35">
      <c r="A1034" t="str">
        <f t="shared" si="32"/>
        <v>VPS18345940</v>
      </c>
      <c r="B1034" t="s">
        <v>570</v>
      </c>
      <c r="C1034" t="s">
        <v>1535</v>
      </c>
      <c r="D1034" s="32">
        <v>45797</v>
      </c>
      <c r="E1034" t="s">
        <v>221</v>
      </c>
      <c r="F1034" t="str">
        <f>VLOOKUP(B1034,'Agent wise'!A:E,5,0)</f>
        <v>Wire-line</v>
      </c>
      <c r="G1034" s="32">
        <v>45940</v>
      </c>
      <c r="H1034">
        <f>COUNTIFS('Audit Raw data'!J:J,B:B,'Audit Raw data'!E:E,G:G)</f>
        <v>0</v>
      </c>
      <c r="I1034" s="44" t="str">
        <f>IFERROR((SUMIFS('Audit Raw data'!BZ:BZ,'Audit Raw data'!J:J,B:B,'Audit Raw data'!E:E,G:G)/H1034)/100,"-")</f>
        <v>-</v>
      </c>
      <c r="J1034">
        <f>COUNTIFS('Audit Raw data'!AM:AM,"Yes",'Audit Raw data'!J:J,B:B,'Audit Raw data'!E:E,'Day wise agent'!G:G)</f>
        <v>0</v>
      </c>
      <c r="K1034">
        <f>COUNTIFS('Audit Raw data'!AM:AM,"NO",'Audit Raw data'!J:J,B:B,'Audit Raw data'!E:E,'Day wise agent'!G:G)</f>
        <v>0</v>
      </c>
      <c r="L1034" s="12" t="str">
        <f t="shared" si="33"/>
        <v xml:space="preserve"> </v>
      </c>
    </row>
    <row r="1035" spans="1:12" x14ac:dyDescent="0.35">
      <c r="A1035" t="str">
        <f t="shared" si="32"/>
        <v>VPS18445940</v>
      </c>
      <c r="B1035" t="s">
        <v>117</v>
      </c>
      <c r="C1035" t="s">
        <v>1536</v>
      </c>
      <c r="D1035" s="32">
        <v>45809</v>
      </c>
      <c r="E1035" t="s">
        <v>1453</v>
      </c>
      <c r="F1035" t="str">
        <f>VLOOKUP(B1035,'Agent wise'!A:E,5,0)</f>
        <v>Wireless</v>
      </c>
      <c r="G1035" s="32">
        <v>45940</v>
      </c>
      <c r="H1035">
        <f>COUNTIFS('Audit Raw data'!J:J,B:B,'Audit Raw data'!E:E,G:G)</f>
        <v>0</v>
      </c>
      <c r="I1035" s="44" t="str">
        <f>IFERROR((SUMIFS('Audit Raw data'!BZ:BZ,'Audit Raw data'!J:J,B:B,'Audit Raw data'!E:E,G:G)/H1035)/100,"-")</f>
        <v>-</v>
      </c>
      <c r="J1035">
        <f>COUNTIFS('Audit Raw data'!AM:AM,"Yes",'Audit Raw data'!J:J,B:B,'Audit Raw data'!E:E,'Day wise agent'!G:G)</f>
        <v>0</v>
      </c>
      <c r="K1035">
        <f>COUNTIFS('Audit Raw data'!AM:AM,"NO",'Audit Raw data'!J:J,B:B,'Audit Raw data'!E:E,'Day wise agent'!G:G)</f>
        <v>0</v>
      </c>
      <c r="L1035" s="12" t="str">
        <f t="shared" si="33"/>
        <v xml:space="preserve"> </v>
      </c>
    </row>
    <row r="1036" spans="1:12" x14ac:dyDescent="0.35">
      <c r="A1036" t="str">
        <f t="shared" si="32"/>
        <v>VPS19145940</v>
      </c>
      <c r="B1036" t="s">
        <v>586</v>
      </c>
      <c r="C1036" t="s">
        <v>1537</v>
      </c>
      <c r="D1036" s="32">
        <v>45809</v>
      </c>
      <c r="E1036" t="s">
        <v>107</v>
      </c>
      <c r="F1036" t="str">
        <f>VLOOKUP(B1036,'Agent wise'!A:E,5,0)</f>
        <v>Wireless</v>
      </c>
      <c r="G1036" s="32">
        <v>45940</v>
      </c>
      <c r="H1036">
        <f>COUNTIFS('Audit Raw data'!J:J,B:B,'Audit Raw data'!E:E,G:G)</f>
        <v>0</v>
      </c>
      <c r="I1036" s="44" t="str">
        <f>IFERROR((SUMIFS('Audit Raw data'!BZ:BZ,'Audit Raw data'!J:J,B:B,'Audit Raw data'!E:E,G:G)/H1036)/100,"-")</f>
        <v>-</v>
      </c>
      <c r="J1036">
        <f>COUNTIFS('Audit Raw data'!AM:AM,"Yes",'Audit Raw data'!J:J,B:B,'Audit Raw data'!E:E,'Day wise agent'!G:G)</f>
        <v>0</v>
      </c>
      <c r="K1036">
        <f>COUNTIFS('Audit Raw data'!AM:AM,"NO",'Audit Raw data'!J:J,B:B,'Audit Raw data'!E:E,'Day wise agent'!G:G)</f>
        <v>0</v>
      </c>
      <c r="L1036" s="12" t="str">
        <f t="shared" si="33"/>
        <v xml:space="preserve"> </v>
      </c>
    </row>
    <row r="1037" spans="1:12" x14ac:dyDescent="0.35">
      <c r="A1037" t="str">
        <f t="shared" si="32"/>
        <v>VPS19345940</v>
      </c>
      <c r="B1037" t="s">
        <v>302</v>
      </c>
      <c r="C1037" t="s">
        <v>1538</v>
      </c>
      <c r="D1037" s="32">
        <v>45823</v>
      </c>
      <c r="E1037" t="s">
        <v>107</v>
      </c>
      <c r="F1037" t="str">
        <f>VLOOKUP(B1037,'Agent wise'!A:E,5,0)</f>
        <v>Wireless</v>
      </c>
      <c r="G1037" s="32">
        <v>45940</v>
      </c>
      <c r="H1037">
        <f>COUNTIFS('Audit Raw data'!J:J,B:B,'Audit Raw data'!E:E,G:G)</f>
        <v>0</v>
      </c>
      <c r="I1037" s="44" t="str">
        <f>IFERROR((SUMIFS('Audit Raw data'!BZ:BZ,'Audit Raw data'!J:J,B:B,'Audit Raw data'!E:E,G:G)/H1037)/100,"-")</f>
        <v>-</v>
      </c>
      <c r="J1037">
        <f>COUNTIFS('Audit Raw data'!AM:AM,"Yes",'Audit Raw data'!J:J,B:B,'Audit Raw data'!E:E,'Day wise agent'!G:G)</f>
        <v>0</v>
      </c>
      <c r="K1037">
        <f>COUNTIFS('Audit Raw data'!AM:AM,"NO",'Audit Raw data'!J:J,B:B,'Audit Raw data'!E:E,'Day wise agent'!G:G)</f>
        <v>0</v>
      </c>
      <c r="L1037" s="12" t="str">
        <f t="shared" si="33"/>
        <v xml:space="preserve"> </v>
      </c>
    </row>
    <row r="1038" spans="1:12" x14ac:dyDescent="0.35">
      <c r="A1038" t="str">
        <f t="shared" si="32"/>
        <v>VPS19745940</v>
      </c>
      <c r="B1038" t="s">
        <v>665</v>
      </c>
      <c r="C1038" t="s">
        <v>1539</v>
      </c>
      <c r="D1038" s="32">
        <v>45830</v>
      </c>
      <c r="E1038" t="s">
        <v>178</v>
      </c>
      <c r="F1038" t="str">
        <f>VLOOKUP(B1038,'Agent wise'!A:E,5,0)</f>
        <v>Wireless</v>
      </c>
      <c r="G1038" s="32">
        <v>45940</v>
      </c>
      <c r="H1038">
        <f>COUNTIFS('Audit Raw data'!J:J,B:B,'Audit Raw data'!E:E,G:G)</f>
        <v>0</v>
      </c>
      <c r="I1038" s="44" t="str">
        <f>IFERROR((SUMIFS('Audit Raw data'!BZ:BZ,'Audit Raw data'!J:J,B:B,'Audit Raw data'!E:E,G:G)/H1038)/100,"-")</f>
        <v>-</v>
      </c>
      <c r="J1038">
        <f>COUNTIFS('Audit Raw data'!AM:AM,"Yes",'Audit Raw data'!J:J,B:B,'Audit Raw data'!E:E,'Day wise agent'!G:G)</f>
        <v>0</v>
      </c>
      <c r="K1038">
        <f>COUNTIFS('Audit Raw data'!AM:AM,"NO",'Audit Raw data'!J:J,B:B,'Audit Raw data'!E:E,'Day wise agent'!G:G)</f>
        <v>0</v>
      </c>
      <c r="L1038" s="12" t="str">
        <f t="shared" si="33"/>
        <v xml:space="preserve"> </v>
      </c>
    </row>
    <row r="1039" spans="1:12" x14ac:dyDescent="0.35">
      <c r="A1039" t="str">
        <f t="shared" si="32"/>
        <v>VPS20145940</v>
      </c>
      <c r="B1039" t="s">
        <v>439</v>
      </c>
      <c r="C1039" t="s">
        <v>1540</v>
      </c>
      <c r="D1039" s="32">
        <v>45834</v>
      </c>
      <c r="E1039" t="s">
        <v>1453</v>
      </c>
      <c r="F1039" t="str">
        <f>VLOOKUP(B1039,'Agent wise'!A:E,5,0)</f>
        <v>Wireless</v>
      </c>
      <c r="G1039" s="32">
        <v>45940</v>
      </c>
      <c r="H1039">
        <f>COUNTIFS('Audit Raw data'!J:J,B:B,'Audit Raw data'!E:E,G:G)</f>
        <v>0</v>
      </c>
      <c r="I1039" s="44" t="str">
        <f>IFERROR((SUMIFS('Audit Raw data'!BZ:BZ,'Audit Raw data'!J:J,B:B,'Audit Raw data'!E:E,G:G)/H1039)/100,"-")</f>
        <v>-</v>
      </c>
      <c r="J1039">
        <f>COUNTIFS('Audit Raw data'!AM:AM,"Yes",'Audit Raw data'!J:J,B:B,'Audit Raw data'!E:E,'Day wise agent'!G:G)</f>
        <v>0</v>
      </c>
      <c r="K1039">
        <f>COUNTIFS('Audit Raw data'!AM:AM,"NO",'Audit Raw data'!J:J,B:B,'Audit Raw data'!E:E,'Day wise agent'!G:G)</f>
        <v>0</v>
      </c>
      <c r="L1039" s="12" t="str">
        <f t="shared" si="33"/>
        <v xml:space="preserve"> </v>
      </c>
    </row>
    <row r="1040" spans="1:12" x14ac:dyDescent="0.35">
      <c r="A1040" t="str">
        <f t="shared" si="32"/>
        <v>VPS20445940</v>
      </c>
      <c r="B1040" t="s">
        <v>749</v>
      </c>
      <c r="C1040" t="s">
        <v>1542</v>
      </c>
      <c r="D1040" s="32">
        <v>45840</v>
      </c>
      <c r="E1040" t="s">
        <v>1484</v>
      </c>
      <c r="F1040" t="str">
        <f>VLOOKUP(B1040,'Agent wise'!A:E,5,0)</f>
        <v>Wireless</v>
      </c>
      <c r="G1040" s="32">
        <v>45940</v>
      </c>
      <c r="H1040">
        <f>COUNTIFS('Audit Raw data'!J:J,B:B,'Audit Raw data'!E:E,G:G)</f>
        <v>0</v>
      </c>
      <c r="I1040" s="44" t="str">
        <f>IFERROR((SUMIFS('Audit Raw data'!BZ:BZ,'Audit Raw data'!J:J,B:B,'Audit Raw data'!E:E,G:G)/H1040)/100,"-")</f>
        <v>-</v>
      </c>
      <c r="J1040">
        <f>COUNTIFS('Audit Raw data'!AM:AM,"Yes",'Audit Raw data'!J:J,B:B,'Audit Raw data'!E:E,'Day wise agent'!G:G)</f>
        <v>0</v>
      </c>
      <c r="K1040">
        <f>COUNTIFS('Audit Raw data'!AM:AM,"NO",'Audit Raw data'!J:J,B:B,'Audit Raw data'!E:E,'Day wise agent'!G:G)</f>
        <v>0</v>
      </c>
      <c r="L1040" s="12" t="str">
        <f t="shared" si="33"/>
        <v xml:space="preserve"> </v>
      </c>
    </row>
    <row r="1041" spans="1:12" x14ac:dyDescent="0.35">
      <c r="A1041" t="str">
        <f t="shared" si="32"/>
        <v>VPS20645940</v>
      </c>
      <c r="B1041" t="s">
        <v>427</v>
      </c>
      <c r="C1041" t="s">
        <v>1541</v>
      </c>
      <c r="D1041" s="32">
        <v>45840</v>
      </c>
      <c r="E1041" t="s">
        <v>107</v>
      </c>
      <c r="F1041" t="str">
        <f>VLOOKUP(B1041,'Agent wise'!A:E,5,0)</f>
        <v>Wireless</v>
      </c>
      <c r="G1041" s="32">
        <v>45940</v>
      </c>
      <c r="H1041">
        <f>COUNTIFS('Audit Raw data'!J:J,B:B,'Audit Raw data'!E:E,G:G)</f>
        <v>0</v>
      </c>
      <c r="I1041" s="44" t="str">
        <f>IFERROR((SUMIFS('Audit Raw data'!BZ:BZ,'Audit Raw data'!J:J,B:B,'Audit Raw data'!E:E,G:G)/H1041)/100,"-")</f>
        <v>-</v>
      </c>
      <c r="J1041">
        <f>COUNTIFS('Audit Raw data'!AM:AM,"Yes",'Audit Raw data'!J:J,B:B,'Audit Raw data'!E:E,'Day wise agent'!G:G)</f>
        <v>0</v>
      </c>
      <c r="K1041">
        <f>COUNTIFS('Audit Raw data'!AM:AM,"NO",'Audit Raw data'!J:J,B:B,'Audit Raw data'!E:E,'Day wise agent'!G:G)</f>
        <v>0</v>
      </c>
      <c r="L1041" s="12" t="str">
        <f t="shared" si="33"/>
        <v xml:space="preserve"> </v>
      </c>
    </row>
    <row r="1042" spans="1:12" x14ac:dyDescent="0.35">
      <c r="A1042" t="str">
        <f t="shared" si="32"/>
        <v>VPS20945940</v>
      </c>
      <c r="B1042" t="s">
        <v>528</v>
      </c>
      <c r="C1042" t="s">
        <v>1543</v>
      </c>
      <c r="D1042" s="32">
        <v>45856</v>
      </c>
      <c r="E1042" t="s">
        <v>178</v>
      </c>
      <c r="F1042" t="str">
        <f>VLOOKUP(B1042,'Agent wise'!A:E,5,0)</f>
        <v>Wireless</v>
      </c>
      <c r="G1042" s="32">
        <v>45940</v>
      </c>
      <c r="H1042">
        <f>COUNTIFS('Audit Raw data'!J:J,B:B,'Audit Raw data'!E:E,G:G)</f>
        <v>0</v>
      </c>
      <c r="I1042" s="44" t="str">
        <f>IFERROR((SUMIFS('Audit Raw data'!BZ:BZ,'Audit Raw data'!J:J,B:B,'Audit Raw data'!E:E,G:G)/H1042)/100,"-")</f>
        <v>-</v>
      </c>
      <c r="J1042">
        <f>COUNTIFS('Audit Raw data'!AM:AM,"Yes",'Audit Raw data'!J:J,B:B,'Audit Raw data'!E:E,'Day wise agent'!G:G)</f>
        <v>0</v>
      </c>
      <c r="K1042">
        <f>COUNTIFS('Audit Raw data'!AM:AM,"NO",'Audit Raw data'!J:J,B:B,'Audit Raw data'!E:E,'Day wise agent'!G:G)</f>
        <v>0</v>
      </c>
      <c r="L1042" s="12" t="str">
        <f t="shared" si="33"/>
        <v xml:space="preserve"> </v>
      </c>
    </row>
    <row r="1043" spans="1:12" x14ac:dyDescent="0.35">
      <c r="A1043" t="str">
        <f t="shared" si="32"/>
        <v>VPS21045940</v>
      </c>
      <c r="B1043" t="s">
        <v>589</v>
      </c>
      <c r="C1043" t="s">
        <v>1544</v>
      </c>
      <c r="D1043" s="32">
        <v>45856</v>
      </c>
      <c r="E1043" t="s">
        <v>107</v>
      </c>
      <c r="F1043" t="str">
        <f>VLOOKUP(B1043,'Agent wise'!A:E,5,0)</f>
        <v>Wireless</v>
      </c>
      <c r="G1043" s="32">
        <v>45940</v>
      </c>
      <c r="H1043">
        <f>COUNTIFS('Audit Raw data'!J:J,B:B,'Audit Raw data'!E:E,G:G)</f>
        <v>0</v>
      </c>
      <c r="I1043" s="44" t="str">
        <f>IFERROR((SUMIFS('Audit Raw data'!BZ:BZ,'Audit Raw data'!J:J,B:B,'Audit Raw data'!E:E,G:G)/H1043)/100,"-")</f>
        <v>-</v>
      </c>
      <c r="J1043">
        <f>COUNTIFS('Audit Raw data'!AM:AM,"Yes",'Audit Raw data'!J:J,B:B,'Audit Raw data'!E:E,'Day wise agent'!G:G)</f>
        <v>0</v>
      </c>
      <c r="K1043">
        <f>COUNTIFS('Audit Raw data'!AM:AM,"NO",'Audit Raw data'!J:J,B:B,'Audit Raw data'!E:E,'Day wise agent'!G:G)</f>
        <v>0</v>
      </c>
      <c r="L1043" s="12" t="str">
        <f t="shared" si="33"/>
        <v xml:space="preserve"> </v>
      </c>
    </row>
    <row r="1044" spans="1:12" x14ac:dyDescent="0.35">
      <c r="A1044" t="str">
        <f t="shared" si="32"/>
        <v>VPS21145940</v>
      </c>
      <c r="B1044" t="s">
        <v>367</v>
      </c>
      <c r="C1044" t="s">
        <v>1545</v>
      </c>
      <c r="D1044" s="32">
        <v>45855</v>
      </c>
      <c r="E1044" t="s">
        <v>1453</v>
      </c>
      <c r="F1044" t="str">
        <f>VLOOKUP(B1044,'Agent wise'!A:E,5,0)</f>
        <v>Wireless</v>
      </c>
      <c r="G1044" s="32">
        <v>45940</v>
      </c>
      <c r="H1044">
        <f>COUNTIFS('Audit Raw data'!J:J,B:B,'Audit Raw data'!E:E,G:G)</f>
        <v>0</v>
      </c>
      <c r="I1044" s="44" t="str">
        <f>IFERROR((SUMIFS('Audit Raw data'!BZ:BZ,'Audit Raw data'!J:J,B:B,'Audit Raw data'!E:E,G:G)/H1044)/100,"-")</f>
        <v>-</v>
      </c>
      <c r="J1044">
        <f>COUNTIFS('Audit Raw data'!AM:AM,"Yes",'Audit Raw data'!J:J,B:B,'Audit Raw data'!E:E,'Day wise agent'!G:G)</f>
        <v>0</v>
      </c>
      <c r="K1044">
        <f>COUNTIFS('Audit Raw data'!AM:AM,"NO",'Audit Raw data'!J:J,B:B,'Audit Raw data'!E:E,'Day wise agent'!G:G)</f>
        <v>0</v>
      </c>
      <c r="L1044" s="12" t="str">
        <f t="shared" si="33"/>
        <v xml:space="preserve"> </v>
      </c>
    </row>
    <row r="1045" spans="1:12" x14ac:dyDescent="0.35">
      <c r="A1045" t="str">
        <f t="shared" si="32"/>
        <v>VPS21345940</v>
      </c>
      <c r="B1045" t="s">
        <v>493</v>
      </c>
      <c r="C1045" t="s">
        <v>1546</v>
      </c>
      <c r="D1045" s="32">
        <v>45856</v>
      </c>
      <c r="E1045" t="s">
        <v>1453</v>
      </c>
      <c r="F1045" t="str">
        <f>VLOOKUP(B1045,'Agent wise'!A:E,5,0)</f>
        <v>Wireless</v>
      </c>
      <c r="G1045" s="32">
        <v>45940</v>
      </c>
      <c r="H1045">
        <f>COUNTIFS('Audit Raw data'!J:J,B:B,'Audit Raw data'!E:E,G:G)</f>
        <v>0</v>
      </c>
      <c r="I1045" s="44" t="str">
        <f>IFERROR((SUMIFS('Audit Raw data'!BZ:BZ,'Audit Raw data'!J:J,B:B,'Audit Raw data'!E:E,G:G)/H1045)/100,"-")</f>
        <v>-</v>
      </c>
      <c r="J1045">
        <f>COUNTIFS('Audit Raw data'!AM:AM,"Yes",'Audit Raw data'!J:J,B:B,'Audit Raw data'!E:E,'Day wise agent'!G:G)</f>
        <v>0</v>
      </c>
      <c r="K1045">
        <f>COUNTIFS('Audit Raw data'!AM:AM,"NO",'Audit Raw data'!J:J,B:B,'Audit Raw data'!E:E,'Day wise agent'!G:G)</f>
        <v>0</v>
      </c>
      <c r="L1045" s="12" t="str">
        <f t="shared" si="33"/>
        <v xml:space="preserve"> </v>
      </c>
    </row>
    <row r="1046" spans="1:12" x14ac:dyDescent="0.35">
      <c r="A1046" t="str">
        <f t="shared" si="32"/>
        <v>VPS21445940</v>
      </c>
      <c r="B1046" t="s">
        <v>480</v>
      </c>
      <c r="C1046" t="s">
        <v>1547</v>
      </c>
      <c r="D1046" s="32">
        <v>45855</v>
      </c>
      <c r="E1046" t="s">
        <v>107</v>
      </c>
      <c r="F1046" t="str">
        <f>VLOOKUP(B1046,'Agent wise'!A:E,5,0)</f>
        <v>Wireless</v>
      </c>
      <c r="G1046" s="32">
        <v>45940</v>
      </c>
      <c r="H1046">
        <f>COUNTIFS('Audit Raw data'!J:J,B:B,'Audit Raw data'!E:E,G:G)</f>
        <v>0</v>
      </c>
      <c r="I1046" s="44" t="str">
        <f>IFERROR((SUMIFS('Audit Raw data'!BZ:BZ,'Audit Raw data'!J:J,B:B,'Audit Raw data'!E:E,G:G)/H1046)/100,"-")</f>
        <v>-</v>
      </c>
      <c r="J1046">
        <f>COUNTIFS('Audit Raw data'!AM:AM,"Yes",'Audit Raw data'!J:J,B:B,'Audit Raw data'!E:E,'Day wise agent'!G:G)</f>
        <v>0</v>
      </c>
      <c r="K1046">
        <f>COUNTIFS('Audit Raw data'!AM:AM,"NO",'Audit Raw data'!J:J,B:B,'Audit Raw data'!E:E,'Day wise agent'!G:G)</f>
        <v>0</v>
      </c>
      <c r="L1046" s="12" t="str">
        <f t="shared" si="33"/>
        <v xml:space="preserve"> </v>
      </c>
    </row>
    <row r="1047" spans="1:12" x14ac:dyDescent="0.35">
      <c r="A1047" t="str">
        <f t="shared" si="32"/>
        <v>VPS21545940</v>
      </c>
      <c r="B1047" t="s">
        <v>521</v>
      </c>
      <c r="C1047" t="s">
        <v>1548</v>
      </c>
      <c r="D1047" s="32">
        <v>45865</v>
      </c>
      <c r="E1047" t="s">
        <v>178</v>
      </c>
      <c r="F1047" t="str">
        <f>VLOOKUP(B1047,'Agent wise'!A:E,5,0)</f>
        <v>Wireless</v>
      </c>
      <c r="G1047" s="32">
        <v>45940</v>
      </c>
      <c r="H1047">
        <f>COUNTIFS('Audit Raw data'!J:J,B:B,'Audit Raw data'!E:E,G:G)</f>
        <v>0</v>
      </c>
      <c r="I1047" s="44" t="str">
        <f>IFERROR((SUMIFS('Audit Raw data'!BZ:BZ,'Audit Raw data'!J:J,B:B,'Audit Raw data'!E:E,G:G)/H1047)/100,"-")</f>
        <v>-</v>
      </c>
      <c r="J1047">
        <f>COUNTIFS('Audit Raw data'!AM:AM,"Yes",'Audit Raw data'!J:J,B:B,'Audit Raw data'!E:E,'Day wise agent'!G:G)</f>
        <v>0</v>
      </c>
      <c r="K1047">
        <f>COUNTIFS('Audit Raw data'!AM:AM,"NO",'Audit Raw data'!J:J,B:B,'Audit Raw data'!E:E,'Day wise agent'!G:G)</f>
        <v>0</v>
      </c>
      <c r="L1047" s="12" t="str">
        <f t="shared" si="33"/>
        <v xml:space="preserve"> </v>
      </c>
    </row>
    <row r="1048" spans="1:12" x14ac:dyDescent="0.35">
      <c r="A1048" t="str">
        <f t="shared" si="32"/>
        <v>VPS21645940</v>
      </c>
      <c r="B1048" t="s">
        <v>154</v>
      </c>
      <c r="C1048" t="s">
        <v>1549</v>
      </c>
      <c r="D1048" s="32">
        <v>45865</v>
      </c>
      <c r="E1048" t="s">
        <v>107</v>
      </c>
      <c r="F1048" t="str">
        <f>VLOOKUP(B1048,'Agent wise'!A:E,5,0)</f>
        <v>Wireless</v>
      </c>
      <c r="G1048" s="32">
        <v>45940</v>
      </c>
      <c r="H1048">
        <f>COUNTIFS('Audit Raw data'!J:J,B:B,'Audit Raw data'!E:E,G:G)</f>
        <v>0</v>
      </c>
      <c r="I1048" s="44" t="str">
        <f>IFERROR((SUMIFS('Audit Raw data'!BZ:BZ,'Audit Raw data'!J:J,B:B,'Audit Raw data'!E:E,G:G)/H1048)/100,"-")</f>
        <v>-</v>
      </c>
      <c r="J1048">
        <f>COUNTIFS('Audit Raw data'!AM:AM,"Yes",'Audit Raw data'!J:J,B:B,'Audit Raw data'!E:E,'Day wise agent'!G:G)</f>
        <v>0</v>
      </c>
      <c r="K1048">
        <f>COUNTIFS('Audit Raw data'!AM:AM,"NO",'Audit Raw data'!J:J,B:B,'Audit Raw data'!E:E,'Day wise agent'!G:G)</f>
        <v>0</v>
      </c>
      <c r="L1048" s="12" t="str">
        <f t="shared" si="33"/>
        <v xml:space="preserve"> </v>
      </c>
    </row>
    <row r="1049" spans="1:12" x14ac:dyDescent="0.35">
      <c r="A1049" t="str">
        <f t="shared" si="32"/>
        <v>VPS21745940</v>
      </c>
      <c r="B1049" t="s">
        <v>519</v>
      </c>
      <c r="C1049" t="s">
        <v>1550</v>
      </c>
      <c r="D1049" s="32">
        <v>45865</v>
      </c>
      <c r="E1049" t="s">
        <v>178</v>
      </c>
      <c r="F1049" t="str">
        <f>VLOOKUP(B1049,'Agent wise'!A:E,5,0)</f>
        <v>Wireless</v>
      </c>
      <c r="G1049" s="32">
        <v>45940</v>
      </c>
      <c r="H1049">
        <f>COUNTIFS('Audit Raw data'!J:J,B:B,'Audit Raw data'!E:E,G:G)</f>
        <v>0</v>
      </c>
      <c r="I1049" s="44" t="str">
        <f>IFERROR((SUMIFS('Audit Raw data'!BZ:BZ,'Audit Raw data'!J:J,B:B,'Audit Raw data'!E:E,G:G)/H1049)/100,"-")</f>
        <v>-</v>
      </c>
      <c r="J1049">
        <f>COUNTIFS('Audit Raw data'!AM:AM,"Yes",'Audit Raw data'!J:J,B:B,'Audit Raw data'!E:E,'Day wise agent'!G:G)</f>
        <v>0</v>
      </c>
      <c r="K1049">
        <f>COUNTIFS('Audit Raw data'!AM:AM,"NO",'Audit Raw data'!J:J,B:B,'Audit Raw data'!E:E,'Day wise agent'!G:G)</f>
        <v>0</v>
      </c>
      <c r="L1049" s="12" t="str">
        <f t="shared" si="33"/>
        <v xml:space="preserve"> </v>
      </c>
    </row>
    <row r="1050" spans="1:12" x14ac:dyDescent="0.35">
      <c r="A1050" t="str">
        <f t="shared" si="32"/>
        <v>VPS22845940</v>
      </c>
      <c r="B1050" t="s">
        <v>341</v>
      </c>
      <c r="C1050" t="s">
        <v>1551</v>
      </c>
      <c r="D1050" s="32">
        <v>45881</v>
      </c>
      <c r="E1050" t="s">
        <v>178</v>
      </c>
      <c r="F1050" t="str">
        <f>VLOOKUP(B1050,'Agent wise'!A:E,5,0)</f>
        <v>Wireless</v>
      </c>
      <c r="G1050" s="32">
        <v>45940</v>
      </c>
      <c r="H1050">
        <f>COUNTIFS('Audit Raw data'!J:J,B:B,'Audit Raw data'!E:E,G:G)</f>
        <v>0</v>
      </c>
      <c r="I1050" s="44" t="str">
        <f>IFERROR((SUMIFS('Audit Raw data'!BZ:BZ,'Audit Raw data'!J:J,B:B,'Audit Raw data'!E:E,G:G)/H1050)/100,"-")</f>
        <v>-</v>
      </c>
      <c r="J1050">
        <f>COUNTIFS('Audit Raw data'!AM:AM,"Yes",'Audit Raw data'!J:J,B:B,'Audit Raw data'!E:E,'Day wise agent'!G:G)</f>
        <v>0</v>
      </c>
      <c r="K1050">
        <f>COUNTIFS('Audit Raw data'!AM:AM,"NO",'Audit Raw data'!J:J,B:B,'Audit Raw data'!E:E,'Day wise agent'!G:G)</f>
        <v>0</v>
      </c>
      <c r="L1050" s="12" t="str">
        <f t="shared" si="33"/>
        <v xml:space="preserve"> </v>
      </c>
    </row>
    <row r="1051" spans="1:12" x14ac:dyDescent="0.35">
      <c r="A1051" t="str">
        <f t="shared" si="32"/>
        <v>VPS22945940</v>
      </c>
      <c r="B1051" t="s">
        <v>173</v>
      </c>
      <c r="C1051" t="s">
        <v>1552</v>
      </c>
      <c r="D1051" s="32">
        <v>45880</v>
      </c>
      <c r="E1051" t="s">
        <v>107</v>
      </c>
      <c r="F1051" t="str">
        <f>VLOOKUP(B1051,'Agent wise'!A:E,5,0)</f>
        <v>Wireless</v>
      </c>
      <c r="G1051" s="32">
        <v>45940</v>
      </c>
      <c r="H1051">
        <f>COUNTIFS('Audit Raw data'!J:J,B:B,'Audit Raw data'!E:E,G:G)</f>
        <v>0</v>
      </c>
      <c r="I1051" s="44" t="str">
        <f>IFERROR((SUMIFS('Audit Raw data'!BZ:BZ,'Audit Raw data'!J:J,B:B,'Audit Raw data'!E:E,G:G)/H1051)/100,"-")</f>
        <v>-</v>
      </c>
      <c r="J1051">
        <f>COUNTIFS('Audit Raw data'!AM:AM,"Yes",'Audit Raw data'!J:J,B:B,'Audit Raw data'!E:E,'Day wise agent'!G:G)</f>
        <v>0</v>
      </c>
      <c r="K1051">
        <f>COUNTIFS('Audit Raw data'!AM:AM,"NO",'Audit Raw data'!J:J,B:B,'Audit Raw data'!E:E,'Day wise agent'!G:G)</f>
        <v>0</v>
      </c>
      <c r="L1051" s="12" t="str">
        <f t="shared" si="33"/>
        <v xml:space="preserve"> </v>
      </c>
    </row>
    <row r="1052" spans="1:12" x14ac:dyDescent="0.35">
      <c r="A1052" t="str">
        <f t="shared" si="32"/>
        <v>VPS23045940</v>
      </c>
      <c r="B1052" t="s">
        <v>335</v>
      </c>
      <c r="C1052" t="s">
        <v>1553</v>
      </c>
      <c r="D1052" s="32">
        <v>45880</v>
      </c>
      <c r="E1052" t="s">
        <v>1484</v>
      </c>
      <c r="F1052" t="str">
        <f>VLOOKUP(B1052,'Agent wise'!A:E,5,0)</f>
        <v>Wireless</v>
      </c>
      <c r="G1052" s="32">
        <v>45940</v>
      </c>
      <c r="H1052">
        <f>COUNTIFS('Audit Raw data'!J:J,B:B,'Audit Raw data'!E:E,G:G)</f>
        <v>0</v>
      </c>
      <c r="I1052" s="44" t="str">
        <f>IFERROR((SUMIFS('Audit Raw data'!BZ:BZ,'Audit Raw data'!J:J,B:B,'Audit Raw data'!E:E,G:G)/H1052)/100,"-")</f>
        <v>-</v>
      </c>
      <c r="J1052">
        <f>COUNTIFS('Audit Raw data'!AM:AM,"Yes",'Audit Raw data'!J:J,B:B,'Audit Raw data'!E:E,'Day wise agent'!G:G)</f>
        <v>0</v>
      </c>
      <c r="K1052">
        <f>COUNTIFS('Audit Raw data'!AM:AM,"NO",'Audit Raw data'!J:J,B:B,'Audit Raw data'!E:E,'Day wise agent'!G:G)</f>
        <v>0</v>
      </c>
      <c r="L1052" s="12" t="str">
        <f t="shared" si="33"/>
        <v xml:space="preserve"> </v>
      </c>
    </row>
    <row r="1053" spans="1:12" x14ac:dyDescent="0.35">
      <c r="A1053" t="str">
        <f t="shared" si="32"/>
        <v>VPS23545940</v>
      </c>
      <c r="B1053" t="s">
        <v>317</v>
      </c>
      <c r="C1053" t="s">
        <v>1554</v>
      </c>
      <c r="D1053" s="32">
        <v>45897</v>
      </c>
      <c r="E1053" t="s">
        <v>178</v>
      </c>
      <c r="F1053" t="str">
        <f>VLOOKUP(B1053,'Agent wise'!A:E,5,0)</f>
        <v>Wireless</v>
      </c>
      <c r="G1053" s="32">
        <v>45940</v>
      </c>
      <c r="H1053">
        <f>COUNTIFS('Audit Raw data'!J:J,B:B,'Audit Raw data'!E:E,G:G)</f>
        <v>1</v>
      </c>
      <c r="I1053" s="44">
        <f>IFERROR((SUMIFS('Audit Raw data'!BZ:BZ,'Audit Raw data'!J:J,B:B,'Audit Raw data'!E:E,G:G)/H1053)/100,"-")</f>
        <v>0.9</v>
      </c>
      <c r="J1053">
        <f>COUNTIFS('Audit Raw data'!AM:AM,"Yes",'Audit Raw data'!J:J,B:B,'Audit Raw data'!E:E,'Day wise agent'!G:G)</f>
        <v>1</v>
      </c>
      <c r="K1053">
        <f>COUNTIFS('Audit Raw data'!AM:AM,"NO",'Audit Raw data'!J:J,B:B,'Audit Raw data'!E:E,'Day wise agent'!G:G)</f>
        <v>0</v>
      </c>
      <c r="L1053" s="12">
        <f t="shared" si="33"/>
        <v>1</v>
      </c>
    </row>
    <row r="1054" spans="1:12" x14ac:dyDescent="0.35">
      <c r="A1054" t="str">
        <f t="shared" si="32"/>
        <v>VPS23645940</v>
      </c>
      <c r="B1054" t="s">
        <v>370</v>
      </c>
      <c r="C1054" t="s">
        <v>1555</v>
      </c>
      <c r="D1054" s="32">
        <v>45897</v>
      </c>
      <c r="E1054" t="s">
        <v>1453</v>
      </c>
      <c r="F1054" t="str">
        <f>VLOOKUP(B1054,'Agent wise'!A:E,5,0)</f>
        <v>Wireless</v>
      </c>
      <c r="G1054" s="32">
        <v>45940</v>
      </c>
      <c r="H1054">
        <f>COUNTIFS('Audit Raw data'!J:J,B:B,'Audit Raw data'!E:E,G:G)</f>
        <v>0</v>
      </c>
      <c r="I1054" s="44" t="str">
        <f>IFERROR((SUMIFS('Audit Raw data'!BZ:BZ,'Audit Raw data'!J:J,B:B,'Audit Raw data'!E:E,G:G)/H1054)/100,"-")</f>
        <v>-</v>
      </c>
      <c r="J1054">
        <f>COUNTIFS('Audit Raw data'!AM:AM,"Yes",'Audit Raw data'!J:J,B:B,'Audit Raw data'!E:E,'Day wise agent'!G:G)</f>
        <v>0</v>
      </c>
      <c r="K1054">
        <f>COUNTIFS('Audit Raw data'!AM:AM,"NO",'Audit Raw data'!J:J,B:B,'Audit Raw data'!E:E,'Day wise agent'!G:G)</f>
        <v>0</v>
      </c>
      <c r="L1054" s="12" t="str">
        <f t="shared" si="33"/>
        <v xml:space="preserve"> </v>
      </c>
    </row>
    <row r="1055" spans="1:12" x14ac:dyDescent="0.35">
      <c r="A1055" t="str">
        <f t="shared" si="32"/>
        <v>VPS23745940</v>
      </c>
      <c r="B1055" t="s">
        <v>159</v>
      </c>
      <c r="C1055" t="s">
        <v>1556</v>
      </c>
      <c r="D1055" s="32">
        <v>45897</v>
      </c>
      <c r="E1055" t="s">
        <v>107</v>
      </c>
      <c r="F1055" t="str">
        <f>VLOOKUP(B1055,'Agent wise'!A:E,5,0)</f>
        <v>Wireless</v>
      </c>
      <c r="G1055" s="32">
        <v>45940</v>
      </c>
      <c r="H1055">
        <f>COUNTIFS('Audit Raw data'!J:J,B:B,'Audit Raw data'!E:E,G:G)</f>
        <v>0</v>
      </c>
      <c r="I1055" s="44" t="str">
        <f>IFERROR((SUMIFS('Audit Raw data'!BZ:BZ,'Audit Raw data'!J:J,B:B,'Audit Raw data'!E:E,G:G)/H1055)/100,"-")</f>
        <v>-</v>
      </c>
      <c r="J1055">
        <f>COUNTIFS('Audit Raw data'!AM:AM,"Yes",'Audit Raw data'!J:J,B:B,'Audit Raw data'!E:E,'Day wise agent'!G:G)</f>
        <v>0</v>
      </c>
      <c r="K1055">
        <f>COUNTIFS('Audit Raw data'!AM:AM,"NO",'Audit Raw data'!J:J,B:B,'Audit Raw data'!E:E,'Day wise agent'!G:G)</f>
        <v>0</v>
      </c>
      <c r="L1055" s="12" t="str">
        <f t="shared" si="33"/>
        <v xml:space="preserve"> </v>
      </c>
    </row>
    <row r="1056" spans="1:12" x14ac:dyDescent="0.35">
      <c r="A1056" t="str">
        <f t="shared" si="32"/>
        <v>VPS23945940</v>
      </c>
      <c r="B1056" t="s">
        <v>484</v>
      </c>
      <c r="C1056" t="s">
        <v>1468</v>
      </c>
      <c r="D1056" s="32">
        <v>44942</v>
      </c>
      <c r="E1056" t="s">
        <v>178</v>
      </c>
      <c r="F1056" t="str">
        <f>VLOOKUP(B1056,'Agent wise'!A:E,5,0)</f>
        <v>Wireless</v>
      </c>
      <c r="G1056" s="32">
        <v>45940</v>
      </c>
      <c r="H1056">
        <f>COUNTIFS('Audit Raw data'!J:J,B:B,'Audit Raw data'!E:E,G:G)</f>
        <v>0</v>
      </c>
      <c r="I1056" s="44" t="str">
        <f>IFERROR((SUMIFS('Audit Raw data'!BZ:BZ,'Audit Raw data'!J:J,B:B,'Audit Raw data'!E:E,G:G)/H1056)/100,"-")</f>
        <v>-</v>
      </c>
      <c r="J1056">
        <f>COUNTIFS('Audit Raw data'!AM:AM,"Yes",'Audit Raw data'!J:J,B:B,'Audit Raw data'!E:E,'Day wise agent'!G:G)</f>
        <v>0</v>
      </c>
      <c r="K1056">
        <f>COUNTIFS('Audit Raw data'!AM:AM,"NO",'Audit Raw data'!J:J,B:B,'Audit Raw data'!E:E,'Day wise agent'!G:G)</f>
        <v>0</v>
      </c>
      <c r="L1056" s="12" t="str">
        <f t="shared" si="33"/>
        <v xml:space="preserve"> </v>
      </c>
    </row>
    <row r="1057" spans="1:12" x14ac:dyDescent="0.35">
      <c r="A1057" t="str">
        <f t="shared" si="32"/>
        <v>VPS24045940</v>
      </c>
      <c r="B1057" t="s">
        <v>291</v>
      </c>
      <c r="C1057" t="s">
        <v>1557</v>
      </c>
      <c r="D1057" s="32">
        <v>45907</v>
      </c>
      <c r="E1057" t="s">
        <v>1484</v>
      </c>
      <c r="F1057" t="str">
        <f>VLOOKUP(B1057,'Agent wise'!A:E,5,0)</f>
        <v>Wireless</v>
      </c>
      <c r="G1057" s="32">
        <v>45940</v>
      </c>
      <c r="H1057">
        <f>COUNTIFS('Audit Raw data'!J:J,B:B,'Audit Raw data'!E:E,G:G)</f>
        <v>1</v>
      </c>
      <c r="I1057" s="44">
        <f>IFERROR((SUMIFS('Audit Raw data'!BZ:BZ,'Audit Raw data'!J:J,B:B,'Audit Raw data'!E:E,G:G)/H1057)/100,"-")</f>
        <v>0.96</v>
      </c>
      <c r="J1057">
        <f>COUNTIFS('Audit Raw data'!AM:AM,"Yes",'Audit Raw data'!J:J,B:B,'Audit Raw data'!E:E,'Day wise agent'!G:G)</f>
        <v>1</v>
      </c>
      <c r="K1057">
        <f>COUNTIFS('Audit Raw data'!AM:AM,"NO",'Audit Raw data'!J:J,B:B,'Audit Raw data'!E:E,'Day wise agent'!G:G)</f>
        <v>0</v>
      </c>
      <c r="L1057" s="12">
        <f t="shared" si="33"/>
        <v>1</v>
      </c>
    </row>
    <row r="1058" spans="1:12" x14ac:dyDescent="0.35">
      <c r="A1058" t="str">
        <f t="shared" si="32"/>
        <v>VPS24245940</v>
      </c>
      <c r="B1058" t="s">
        <v>326</v>
      </c>
      <c r="C1058" t="s">
        <v>1510</v>
      </c>
      <c r="D1058" s="32">
        <v>45908</v>
      </c>
      <c r="E1058" t="s">
        <v>1453</v>
      </c>
      <c r="F1058" t="str">
        <f>VLOOKUP(B1058,'Agent wise'!A:E,5,0)</f>
        <v>Wireless</v>
      </c>
      <c r="G1058" s="32">
        <v>45940</v>
      </c>
      <c r="H1058">
        <f>COUNTIFS('Audit Raw data'!J:J,B:B,'Audit Raw data'!E:E,G:G)</f>
        <v>0</v>
      </c>
      <c r="I1058" s="44" t="str">
        <f>IFERROR((SUMIFS('Audit Raw data'!BZ:BZ,'Audit Raw data'!J:J,B:B,'Audit Raw data'!E:E,G:G)/H1058)/100,"-")</f>
        <v>-</v>
      </c>
      <c r="J1058">
        <f>COUNTIFS('Audit Raw data'!AM:AM,"Yes",'Audit Raw data'!J:J,B:B,'Audit Raw data'!E:E,'Day wise agent'!G:G)</f>
        <v>0</v>
      </c>
      <c r="K1058">
        <f>COUNTIFS('Audit Raw data'!AM:AM,"NO",'Audit Raw data'!J:J,B:B,'Audit Raw data'!E:E,'Day wise agent'!G:G)</f>
        <v>0</v>
      </c>
      <c r="L1058" s="12" t="str">
        <f t="shared" si="33"/>
        <v xml:space="preserve"> </v>
      </c>
    </row>
    <row r="1059" spans="1:12" x14ac:dyDescent="0.35">
      <c r="A1059" t="str">
        <f t="shared" si="32"/>
        <v>VPS24345940</v>
      </c>
      <c r="B1059" t="s">
        <v>321</v>
      </c>
      <c r="C1059" t="s">
        <v>1558</v>
      </c>
      <c r="D1059" s="32">
        <v>45907</v>
      </c>
      <c r="E1059" t="s">
        <v>1453</v>
      </c>
      <c r="F1059" t="str">
        <f>VLOOKUP(B1059,'Agent wise'!A:E,5,0)</f>
        <v>Wireless</v>
      </c>
      <c r="G1059" s="32">
        <v>45940</v>
      </c>
      <c r="H1059">
        <f>COUNTIFS('Audit Raw data'!J:J,B:B,'Audit Raw data'!E:E,G:G)</f>
        <v>0</v>
      </c>
      <c r="I1059" s="44" t="str">
        <f>IFERROR((SUMIFS('Audit Raw data'!BZ:BZ,'Audit Raw data'!J:J,B:B,'Audit Raw data'!E:E,G:G)/H1059)/100,"-")</f>
        <v>-</v>
      </c>
      <c r="J1059">
        <f>COUNTIFS('Audit Raw data'!AM:AM,"Yes",'Audit Raw data'!J:J,B:B,'Audit Raw data'!E:E,'Day wise agent'!G:G)</f>
        <v>0</v>
      </c>
      <c r="K1059">
        <f>COUNTIFS('Audit Raw data'!AM:AM,"NO",'Audit Raw data'!J:J,B:B,'Audit Raw data'!E:E,'Day wise agent'!G:G)</f>
        <v>0</v>
      </c>
      <c r="L1059" s="12" t="str">
        <f t="shared" si="33"/>
        <v xml:space="preserve"> </v>
      </c>
    </row>
    <row r="1060" spans="1:12" x14ac:dyDescent="0.35">
      <c r="A1060" t="str">
        <f t="shared" si="32"/>
        <v>VPS24445940</v>
      </c>
      <c r="B1060" t="s">
        <v>288</v>
      </c>
      <c r="C1060" t="s">
        <v>1559</v>
      </c>
      <c r="D1060" s="32">
        <v>45907</v>
      </c>
      <c r="E1060" t="s">
        <v>107</v>
      </c>
      <c r="F1060" t="str">
        <f>VLOOKUP(B1060,'Agent wise'!A:E,5,0)</f>
        <v>Wireless</v>
      </c>
      <c r="G1060" s="32">
        <v>45940</v>
      </c>
      <c r="H1060">
        <f>COUNTIFS('Audit Raw data'!J:J,B:B,'Audit Raw data'!E:E,G:G)</f>
        <v>0</v>
      </c>
      <c r="I1060" s="44" t="str">
        <f>IFERROR((SUMIFS('Audit Raw data'!BZ:BZ,'Audit Raw data'!J:J,B:B,'Audit Raw data'!E:E,G:G)/H1060)/100,"-")</f>
        <v>-</v>
      </c>
      <c r="J1060">
        <f>COUNTIFS('Audit Raw data'!AM:AM,"Yes",'Audit Raw data'!J:J,B:B,'Audit Raw data'!E:E,'Day wise agent'!G:G)</f>
        <v>0</v>
      </c>
      <c r="K1060">
        <f>COUNTIFS('Audit Raw data'!AM:AM,"NO",'Audit Raw data'!J:J,B:B,'Audit Raw data'!E:E,'Day wise agent'!G:G)</f>
        <v>0</v>
      </c>
      <c r="L1060" s="12" t="str">
        <f t="shared" si="33"/>
        <v xml:space="preserve"> </v>
      </c>
    </row>
    <row r="1061" spans="1:12" x14ac:dyDescent="0.35">
      <c r="A1061" t="str">
        <f t="shared" si="32"/>
        <v>VPS24545940</v>
      </c>
      <c r="B1061" t="s">
        <v>873</v>
      </c>
      <c r="C1061" t="s">
        <v>1560</v>
      </c>
      <c r="D1061" s="32">
        <v>45908</v>
      </c>
      <c r="E1061" t="s">
        <v>1484</v>
      </c>
      <c r="F1061" t="str">
        <f>VLOOKUP(B1061,'Agent wise'!A:E,5,0)</f>
        <v>Wireless</v>
      </c>
      <c r="G1061" s="32">
        <v>45940</v>
      </c>
      <c r="H1061">
        <f>COUNTIFS('Audit Raw data'!J:J,B:B,'Audit Raw data'!E:E,G:G)</f>
        <v>1</v>
      </c>
      <c r="I1061" s="44">
        <f>IFERROR((SUMIFS('Audit Raw data'!BZ:BZ,'Audit Raw data'!J:J,B:B,'Audit Raw data'!E:E,G:G)/H1061)/100,"-")</f>
        <v>0.88</v>
      </c>
      <c r="J1061">
        <f>COUNTIFS('Audit Raw data'!AM:AM,"Yes",'Audit Raw data'!J:J,B:B,'Audit Raw data'!E:E,'Day wise agent'!G:G)</f>
        <v>1</v>
      </c>
      <c r="K1061">
        <f>COUNTIFS('Audit Raw data'!AM:AM,"NO",'Audit Raw data'!J:J,B:B,'Audit Raw data'!E:E,'Day wise agent'!G:G)</f>
        <v>0</v>
      </c>
      <c r="L1061" s="12">
        <f t="shared" si="33"/>
        <v>1</v>
      </c>
    </row>
    <row r="1062" spans="1:12" x14ac:dyDescent="0.35">
      <c r="A1062" t="str">
        <f t="shared" si="32"/>
        <v>VPS24745940</v>
      </c>
      <c r="B1062" t="s">
        <v>238</v>
      </c>
      <c r="C1062" t="s">
        <v>1561</v>
      </c>
      <c r="D1062" s="32">
        <v>45907</v>
      </c>
      <c r="E1062" t="s">
        <v>1484</v>
      </c>
      <c r="F1062" t="str">
        <f>VLOOKUP(B1062,'Agent wise'!A:E,5,0)</f>
        <v>Wireless</v>
      </c>
      <c r="G1062" s="32">
        <v>45940</v>
      </c>
      <c r="H1062">
        <f>COUNTIFS('Audit Raw data'!J:J,B:B,'Audit Raw data'!E:E,G:G)</f>
        <v>1</v>
      </c>
      <c r="I1062" s="44">
        <f>IFERROR((SUMIFS('Audit Raw data'!BZ:BZ,'Audit Raw data'!J:J,B:B,'Audit Raw data'!E:E,G:G)/H1062)/100,"-")</f>
        <v>0.84</v>
      </c>
      <c r="J1062">
        <f>COUNTIFS('Audit Raw data'!AM:AM,"Yes",'Audit Raw data'!J:J,B:B,'Audit Raw data'!E:E,'Day wise agent'!G:G)</f>
        <v>1</v>
      </c>
      <c r="K1062">
        <f>COUNTIFS('Audit Raw data'!AM:AM,"NO",'Audit Raw data'!J:J,B:B,'Audit Raw data'!E:E,'Day wise agent'!G:G)</f>
        <v>0</v>
      </c>
      <c r="L1062" s="12">
        <f t="shared" si="33"/>
        <v>1</v>
      </c>
    </row>
    <row r="1063" spans="1:12" x14ac:dyDescent="0.35">
      <c r="A1063" t="str">
        <f t="shared" si="32"/>
        <v>VPS24845940</v>
      </c>
      <c r="B1063" t="s">
        <v>231</v>
      </c>
      <c r="C1063" t="s">
        <v>1562</v>
      </c>
      <c r="D1063" s="32">
        <v>45908</v>
      </c>
      <c r="E1063" t="s">
        <v>107</v>
      </c>
      <c r="F1063" t="str">
        <f>VLOOKUP(B1063,'Agent wise'!A:E,5,0)</f>
        <v>Wireless</v>
      </c>
      <c r="G1063" s="32">
        <v>45940</v>
      </c>
      <c r="H1063">
        <f>COUNTIFS('Audit Raw data'!J:J,B:B,'Audit Raw data'!E:E,G:G)</f>
        <v>0</v>
      </c>
      <c r="I1063" s="44" t="str">
        <f>IFERROR((SUMIFS('Audit Raw data'!BZ:BZ,'Audit Raw data'!J:J,B:B,'Audit Raw data'!E:E,G:G)/H1063)/100,"-")</f>
        <v>-</v>
      </c>
      <c r="J1063">
        <f>COUNTIFS('Audit Raw data'!AM:AM,"Yes",'Audit Raw data'!J:J,B:B,'Audit Raw data'!E:E,'Day wise agent'!G:G)</f>
        <v>0</v>
      </c>
      <c r="K1063">
        <f>COUNTIFS('Audit Raw data'!AM:AM,"NO",'Audit Raw data'!J:J,B:B,'Audit Raw data'!E:E,'Day wise agent'!G:G)</f>
        <v>0</v>
      </c>
      <c r="L1063" s="12" t="str">
        <f t="shared" si="33"/>
        <v xml:space="preserve"> </v>
      </c>
    </row>
    <row r="1064" spans="1:12" x14ac:dyDescent="0.35">
      <c r="A1064" t="str">
        <f t="shared" si="32"/>
        <v>VPS24945940</v>
      </c>
      <c r="B1064" t="s">
        <v>215</v>
      </c>
      <c r="C1064" t="s">
        <v>1563</v>
      </c>
      <c r="D1064" s="32">
        <v>45907</v>
      </c>
      <c r="E1064" t="s">
        <v>178</v>
      </c>
      <c r="F1064" t="str">
        <f>VLOOKUP(B1064,'Agent wise'!A:E,5,0)</f>
        <v>Wireless</v>
      </c>
      <c r="G1064" s="32">
        <v>45940</v>
      </c>
      <c r="H1064">
        <f>COUNTIFS('Audit Raw data'!J:J,B:B,'Audit Raw data'!E:E,G:G)</f>
        <v>0</v>
      </c>
      <c r="I1064" s="44" t="str">
        <f>IFERROR((SUMIFS('Audit Raw data'!BZ:BZ,'Audit Raw data'!J:J,B:B,'Audit Raw data'!E:E,G:G)/H1064)/100,"-")</f>
        <v>-</v>
      </c>
      <c r="J1064">
        <f>COUNTIFS('Audit Raw data'!AM:AM,"Yes",'Audit Raw data'!J:J,B:B,'Audit Raw data'!E:E,'Day wise agent'!G:G)</f>
        <v>0</v>
      </c>
      <c r="K1064">
        <f>COUNTIFS('Audit Raw data'!AM:AM,"NO",'Audit Raw data'!J:J,B:B,'Audit Raw data'!E:E,'Day wise agent'!G:G)</f>
        <v>0</v>
      </c>
      <c r="L1064" s="12" t="str">
        <f t="shared" si="33"/>
        <v xml:space="preserve"> </v>
      </c>
    </row>
    <row r="1065" spans="1:12" x14ac:dyDescent="0.35">
      <c r="A1065" t="str">
        <f t="shared" si="32"/>
        <v>VPS25145940</v>
      </c>
      <c r="B1065" t="s">
        <v>168</v>
      </c>
      <c r="C1065" t="s">
        <v>1564</v>
      </c>
      <c r="D1065" s="32">
        <v>45907</v>
      </c>
      <c r="E1065" t="s">
        <v>107</v>
      </c>
      <c r="F1065" t="str">
        <f>VLOOKUP(B1065,'Agent wise'!A:E,5,0)</f>
        <v>Wireless</v>
      </c>
      <c r="G1065" s="32">
        <v>45940</v>
      </c>
      <c r="H1065">
        <f>COUNTIFS('Audit Raw data'!J:J,B:B,'Audit Raw data'!E:E,G:G)</f>
        <v>0</v>
      </c>
      <c r="I1065" s="44" t="str">
        <f>IFERROR((SUMIFS('Audit Raw data'!BZ:BZ,'Audit Raw data'!J:J,B:B,'Audit Raw data'!E:E,G:G)/H1065)/100,"-")</f>
        <v>-</v>
      </c>
      <c r="J1065">
        <f>COUNTIFS('Audit Raw data'!AM:AM,"Yes",'Audit Raw data'!J:J,B:B,'Audit Raw data'!E:E,'Day wise agent'!G:G)</f>
        <v>0</v>
      </c>
      <c r="K1065">
        <f>COUNTIFS('Audit Raw data'!AM:AM,"NO",'Audit Raw data'!J:J,B:B,'Audit Raw data'!E:E,'Day wise agent'!G:G)</f>
        <v>0</v>
      </c>
      <c r="L1065" s="12" t="str">
        <f t="shared" si="33"/>
        <v xml:space="preserve"> </v>
      </c>
    </row>
    <row r="1066" spans="1:12" x14ac:dyDescent="0.35">
      <c r="A1066" t="str">
        <f t="shared" si="32"/>
        <v>VPS25245940</v>
      </c>
      <c r="B1066" t="s">
        <v>204</v>
      </c>
      <c r="C1066" t="s">
        <v>1565</v>
      </c>
      <c r="D1066" s="32">
        <v>45919</v>
      </c>
      <c r="E1066" t="s">
        <v>1484</v>
      </c>
      <c r="F1066" t="str">
        <f>VLOOKUP(B1066,'Agent wise'!A:E,5,0)</f>
        <v>Wireless</v>
      </c>
      <c r="G1066" s="32">
        <v>45940</v>
      </c>
      <c r="H1066">
        <f>COUNTIFS('Audit Raw data'!J:J,B:B,'Audit Raw data'!E:E,G:G)</f>
        <v>1</v>
      </c>
      <c r="I1066" s="44">
        <f>IFERROR((SUMIFS('Audit Raw data'!BZ:BZ,'Audit Raw data'!J:J,B:B,'Audit Raw data'!E:E,G:G)/H1066)/100,"-")</f>
        <v>0.84</v>
      </c>
      <c r="J1066">
        <f>COUNTIFS('Audit Raw data'!AM:AM,"Yes",'Audit Raw data'!J:J,B:B,'Audit Raw data'!E:E,'Day wise agent'!G:G)</f>
        <v>1</v>
      </c>
      <c r="K1066">
        <f>COUNTIFS('Audit Raw data'!AM:AM,"NO",'Audit Raw data'!J:J,B:B,'Audit Raw data'!E:E,'Day wise agent'!G:G)</f>
        <v>0</v>
      </c>
      <c r="L1066" s="12">
        <f t="shared" si="33"/>
        <v>1</v>
      </c>
    </row>
    <row r="1067" spans="1:12" x14ac:dyDescent="0.35">
      <c r="A1067" t="str">
        <f t="shared" si="32"/>
        <v>VPS25345940</v>
      </c>
      <c r="B1067" t="s">
        <v>195</v>
      </c>
      <c r="C1067" t="s">
        <v>1566</v>
      </c>
      <c r="D1067" s="32">
        <v>45919</v>
      </c>
      <c r="E1067" t="s">
        <v>178</v>
      </c>
      <c r="F1067" t="str">
        <f>VLOOKUP(B1067,'Agent wise'!A:E,5,0)</f>
        <v>Wireless</v>
      </c>
      <c r="G1067" s="32">
        <v>45940</v>
      </c>
      <c r="H1067">
        <f>COUNTIFS('Audit Raw data'!J:J,B:B,'Audit Raw data'!E:E,G:G)</f>
        <v>0</v>
      </c>
      <c r="I1067" s="44" t="str">
        <f>IFERROR((SUMIFS('Audit Raw data'!BZ:BZ,'Audit Raw data'!J:J,B:B,'Audit Raw data'!E:E,G:G)/H1067)/100,"-")</f>
        <v>-</v>
      </c>
      <c r="J1067">
        <f>COUNTIFS('Audit Raw data'!AM:AM,"Yes",'Audit Raw data'!J:J,B:B,'Audit Raw data'!E:E,'Day wise agent'!G:G)</f>
        <v>0</v>
      </c>
      <c r="K1067">
        <f>COUNTIFS('Audit Raw data'!AM:AM,"NO",'Audit Raw data'!J:J,B:B,'Audit Raw data'!E:E,'Day wise agent'!G:G)</f>
        <v>0</v>
      </c>
      <c r="L1067" s="12" t="str">
        <f t="shared" si="33"/>
        <v xml:space="preserve"> </v>
      </c>
    </row>
    <row r="1068" spans="1:12" x14ac:dyDescent="0.35">
      <c r="A1068" t="str">
        <f t="shared" si="32"/>
        <v>VPS25645940</v>
      </c>
      <c r="B1068" t="s">
        <v>191</v>
      </c>
      <c r="C1068" t="s">
        <v>1567</v>
      </c>
      <c r="D1068" s="32">
        <v>45919</v>
      </c>
      <c r="E1068" t="s">
        <v>1453</v>
      </c>
      <c r="F1068" t="str">
        <f>VLOOKUP(B1068,'Agent wise'!A:E,5,0)</f>
        <v>Wireless</v>
      </c>
      <c r="G1068" s="32">
        <v>45940</v>
      </c>
      <c r="H1068">
        <f>COUNTIFS('Audit Raw data'!J:J,B:B,'Audit Raw data'!E:E,G:G)</f>
        <v>0</v>
      </c>
      <c r="I1068" s="44" t="str">
        <f>IFERROR((SUMIFS('Audit Raw data'!BZ:BZ,'Audit Raw data'!J:J,B:B,'Audit Raw data'!E:E,G:G)/H1068)/100,"-")</f>
        <v>-</v>
      </c>
      <c r="J1068">
        <f>COUNTIFS('Audit Raw data'!AM:AM,"Yes",'Audit Raw data'!J:J,B:B,'Audit Raw data'!E:E,'Day wise agent'!G:G)</f>
        <v>0</v>
      </c>
      <c r="K1068">
        <f>COUNTIFS('Audit Raw data'!AM:AM,"NO",'Audit Raw data'!J:J,B:B,'Audit Raw data'!E:E,'Day wise agent'!G:G)</f>
        <v>0</v>
      </c>
      <c r="L1068" s="12" t="str">
        <f t="shared" si="33"/>
        <v xml:space="preserve"> </v>
      </c>
    </row>
    <row r="1069" spans="1:12" x14ac:dyDescent="0.35">
      <c r="A1069" t="str">
        <f t="shared" si="32"/>
        <v>VPS25745940</v>
      </c>
      <c r="B1069" t="s">
        <v>412</v>
      </c>
      <c r="C1069" t="s">
        <v>1568</v>
      </c>
      <c r="D1069" s="32">
        <v>45919</v>
      </c>
      <c r="E1069" t="s">
        <v>1453</v>
      </c>
      <c r="F1069" t="str">
        <f>VLOOKUP(B1069,'Agent wise'!A:E,5,0)</f>
        <v>Wireless</v>
      </c>
      <c r="G1069" s="32">
        <v>45940</v>
      </c>
      <c r="H1069">
        <f>COUNTIFS('Audit Raw data'!J:J,B:B,'Audit Raw data'!E:E,G:G)</f>
        <v>0</v>
      </c>
      <c r="I1069" s="44" t="str">
        <f>IFERROR((SUMIFS('Audit Raw data'!BZ:BZ,'Audit Raw data'!J:J,B:B,'Audit Raw data'!E:E,G:G)/H1069)/100,"-")</f>
        <v>-</v>
      </c>
      <c r="J1069">
        <f>COUNTIFS('Audit Raw data'!AM:AM,"Yes",'Audit Raw data'!J:J,B:B,'Audit Raw data'!E:E,'Day wise agent'!G:G)</f>
        <v>0</v>
      </c>
      <c r="K1069">
        <f>COUNTIFS('Audit Raw data'!AM:AM,"NO",'Audit Raw data'!J:J,B:B,'Audit Raw data'!E:E,'Day wise agent'!G:G)</f>
        <v>0</v>
      </c>
      <c r="L1069" s="12" t="str">
        <f t="shared" si="33"/>
        <v xml:space="preserve"> </v>
      </c>
    </row>
    <row r="1070" spans="1:12" x14ac:dyDescent="0.35">
      <c r="A1070" t="str">
        <f t="shared" si="32"/>
        <v>VPS25845940</v>
      </c>
      <c r="B1070" t="s">
        <v>183</v>
      </c>
      <c r="C1070" t="s">
        <v>1569</v>
      </c>
      <c r="D1070" s="32">
        <v>45927</v>
      </c>
      <c r="E1070" t="s">
        <v>178</v>
      </c>
      <c r="F1070" t="str">
        <f>VLOOKUP(B1070,'Agent wise'!A:E,5,0)</f>
        <v>Wireless</v>
      </c>
      <c r="G1070" s="32">
        <v>45940</v>
      </c>
      <c r="H1070">
        <f>COUNTIFS('Audit Raw data'!J:J,B:B,'Audit Raw data'!E:E,G:G)</f>
        <v>0</v>
      </c>
      <c r="I1070" s="44" t="str">
        <f>IFERROR((SUMIFS('Audit Raw data'!BZ:BZ,'Audit Raw data'!J:J,B:B,'Audit Raw data'!E:E,G:G)/H1070)/100,"-")</f>
        <v>-</v>
      </c>
      <c r="J1070">
        <f>COUNTIFS('Audit Raw data'!AM:AM,"Yes",'Audit Raw data'!J:J,B:B,'Audit Raw data'!E:E,'Day wise agent'!G:G)</f>
        <v>0</v>
      </c>
      <c r="K1070">
        <f>COUNTIFS('Audit Raw data'!AM:AM,"NO",'Audit Raw data'!J:J,B:B,'Audit Raw data'!E:E,'Day wise agent'!G:G)</f>
        <v>0</v>
      </c>
      <c r="L1070" s="12" t="str">
        <f t="shared" si="33"/>
        <v xml:space="preserve"> </v>
      </c>
    </row>
    <row r="1071" spans="1:12" x14ac:dyDescent="0.35">
      <c r="A1071" t="str">
        <f t="shared" si="32"/>
        <v>VPS25945940</v>
      </c>
      <c r="B1071" t="s">
        <v>102</v>
      </c>
      <c r="C1071" t="s">
        <v>1570</v>
      </c>
      <c r="D1071" s="32">
        <v>45927</v>
      </c>
      <c r="E1071" t="s">
        <v>107</v>
      </c>
      <c r="F1071" t="str">
        <f>VLOOKUP(B1071,'Agent wise'!A:E,5,0)</f>
        <v>Wireless</v>
      </c>
      <c r="G1071" s="32">
        <v>45940</v>
      </c>
      <c r="H1071">
        <f>COUNTIFS('Audit Raw data'!J:J,B:B,'Audit Raw data'!E:E,G:G)</f>
        <v>0</v>
      </c>
      <c r="I1071" s="44" t="str">
        <f>IFERROR((SUMIFS('Audit Raw data'!BZ:BZ,'Audit Raw data'!J:J,B:B,'Audit Raw data'!E:E,G:G)/H1071)/100,"-")</f>
        <v>-</v>
      </c>
      <c r="J1071">
        <f>COUNTIFS('Audit Raw data'!AM:AM,"Yes",'Audit Raw data'!J:J,B:B,'Audit Raw data'!E:E,'Day wise agent'!G:G)</f>
        <v>0</v>
      </c>
      <c r="K1071">
        <f>COUNTIFS('Audit Raw data'!AM:AM,"NO",'Audit Raw data'!J:J,B:B,'Audit Raw data'!E:E,'Day wise agent'!G:G)</f>
        <v>0</v>
      </c>
      <c r="L1071" s="12" t="str">
        <f t="shared" si="33"/>
        <v xml:space="preserve"> </v>
      </c>
    </row>
    <row r="1072" spans="1:12" x14ac:dyDescent="0.35">
      <c r="A1072" t="str">
        <f t="shared" si="32"/>
        <v>VPS26045940</v>
      </c>
      <c r="B1072" t="s">
        <v>998</v>
      </c>
      <c r="C1072" t="s">
        <v>1571</v>
      </c>
      <c r="D1072" s="32">
        <v>45938</v>
      </c>
      <c r="E1072" t="s">
        <v>1572</v>
      </c>
      <c r="F1072" t="str">
        <f>VLOOKUP(B1072,'Agent wise'!A:E,5,0)</f>
        <v>Wireless</v>
      </c>
      <c r="G1072" s="32">
        <v>45940</v>
      </c>
      <c r="H1072">
        <f>COUNTIFS('Audit Raw data'!J:J,B:B,'Audit Raw data'!E:E,G:G)</f>
        <v>0</v>
      </c>
      <c r="I1072" s="44" t="str">
        <f>IFERROR((SUMIFS('Audit Raw data'!BZ:BZ,'Audit Raw data'!J:J,B:B,'Audit Raw data'!E:E,G:G)/H1072)/100,"-")</f>
        <v>-</v>
      </c>
      <c r="J1072">
        <f>COUNTIFS('Audit Raw data'!AM:AM,"Yes",'Audit Raw data'!J:J,B:B,'Audit Raw data'!E:E,'Day wise agent'!G:G)</f>
        <v>0</v>
      </c>
      <c r="K1072">
        <f>COUNTIFS('Audit Raw data'!AM:AM,"NO",'Audit Raw data'!J:J,B:B,'Audit Raw data'!E:E,'Day wise agent'!G:G)</f>
        <v>0</v>
      </c>
      <c r="L1072" s="12" t="str">
        <f t="shared" si="33"/>
        <v xml:space="preserve"> </v>
      </c>
    </row>
    <row r="1073" spans="1:12" x14ac:dyDescent="0.35">
      <c r="A1073" t="str">
        <f t="shared" si="32"/>
        <v>VPS26145940</v>
      </c>
      <c r="B1073" t="s">
        <v>1009</v>
      </c>
      <c r="C1073" t="s">
        <v>1573</v>
      </c>
      <c r="D1073" s="32">
        <v>45938</v>
      </c>
      <c r="E1073" t="s">
        <v>1572</v>
      </c>
      <c r="F1073" t="str">
        <f>VLOOKUP(B1073,'Agent wise'!A:E,5,0)</f>
        <v>Wireless</v>
      </c>
      <c r="G1073" s="32">
        <v>45940</v>
      </c>
      <c r="H1073">
        <f>COUNTIFS('Audit Raw data'!J:J,B:B,'Audit Raw data'!E:E,G:G)</f>
        <v>0</v>
      </c>
      <c r="I1073" s="44" t="str">
        <f>IFERROR((SUMIFS('Audit Raw data'!BZ:BZ,'Audit Raw data'!J:J,B:B,'Audit Raw data'!E:E,G:G)/H1073)/100,"-")</f>
        <v>-</v>
      </c>
      <c r="J1073">
        <f>COUNTIFS('Audit Raw data'!AM:AM,"Yes",'Audit Raw data'!J:J,B:B,'Audit Raw data'!E:E,'Day wise agent'!G:G)</f>
        <v>0</v>
      </c>
      <c r="K1073">
        <f>COUNTIFS('Audit Raw data'!AM:AM,"NO",'Audit Raw data'!J:J,B:B,'Audit Raw data'!E:E,'Day wise agent'!G:G)</f>
        <v>0</v>
      </c>
      <c r="L1073" s="12" t="str">
        <f t="shared" si="33"/>
        <v xml:space="preserve"> </v>
      </c>
    </row>
    <row r="1074" spans="1:12" x14ac:dyDescent="0.35">
      <c r="A1074" t="str">
        <f t="shared" si="32"/>
        <v>VPS26245940</v>
      </c>
      <c r="B1074" t="s">
        <v>1098</v>
      </c>
      <c r="C1074" t="s">
        <v>1574</v>
      </c>
      <c r="D1074" s="32">
        <v>45938</v>
      </c>
      <c r="E1074" t="s">
        <v>1572</v>
      </c>
      <c r="F1074" t="str">
        <f>VLOOKUP(B1074,'Agent wise'!A:E,5,0)</f>
        <v>Wireless</v>
      </c>
      <c r="G1074" s="32">
        <v>45940</v>
      </c>
      <c r="H1074">
        <f>COUNTIFS('Audit Raw data'!J:J,B:B,'Audit Raw data'!E:E,G:G)</f>
        <v>0</v>
      </c>
      <c r="I1074" s="44" t="str">
        <f>IFERROR((SUMIFS('Audit Raw data'!BZ:BZ,'Audit Raw data'!J:J,B:B,'Audit Raw data'!E:E,G:G)/H1074)/100,"-")</f>
        <v>-</v>
      </c>
      <c r="J1074">
        <f>COUNTIFS('Audit Raw data'!AM:AM,"Yes",'Audit Raw data'!J:J,B:B,'Audit Raw data'!E:E,'Day wise agent'!G:G)</f>
        <v>0</v>
      </c>
      <c r="K1074">
        <f>COUNTIFS('Audit Raw data'!AM:AM,"NO",'Audit Raw data'!J:J,B:B,'Audit Raw data'!E:E,'Day wise agent'!G:G)</f>
        <v>0</v>
      </c>
      <c r="L1074" s="12" t="str">
        <f t="shared" si="33"/>
        <v xml:space="preserve"> </v>
      </c>
    </row>
    <row r="1075" spans="1:12" x14ac:dyDescent="0.35">
      <c r="A1075" t="str">
        <f t="shared" si="32"/>
        <v>VPS26345940</v>
      </c>
      <c r="B1075" t="s">
        <v>1022</v>
      </c>
      <c r="C1075" t="s">
        <v>1575</v>
      </c>
      <c r="D1075" s="32">
        <v>45938</v>
      </c>
      <c r="E1075" t="s">
        <v>1572</v>
      </c>
      <c r="F1075" t="str">
        <f>VLOOKUP(B1075,'Agent wise'!A:E,5,0)</f>
        <v>Wireless</v>
      </c>
      <c r="G1075" s="32">
        <v>45940</v>
      </c>
      <c r="H1075">
        <f>COUNTIFS('Audit Raw data'!J:J,B:B,'Audit Raw data'!E:E,G:G)</f>
        <v>0</v>
      </c>
      <c r="I1075" s="44" t="str">
        <f>IFERROR((SUMIFS('Audit Raw data'!BZ:BZ,'Audit Raw data'!J:J,B:B,'Audit Raw data'!E:E,G:G)/H1075)/100,"-")</f>
        <v>-</v>
      </c>
      <c r="J1075">
        <f>COUNTIFS('Audit Raw data'!AM:AM,"Yes",'Audit Raw data'!J:J,B:B,'Audit Raw data'!E:E,'Day wise agent'!G:G)</f>
        <v>0</v>
      </c>
      <c r="K1075">
        <f>COUNTIFS('Audit Raw data'!AM:AM,"NO",'Audit Raw data'!J:J,B:B,'Audit Raw data'!E:E,'Day wise agent'!G:G)</f>
        <v>0</v>
      </c>
      <c r="L1075" s="12" t="str">
        <f t="shared" si="33"/>
        <v xml:space="preserve"> </v>
      </c>
    </row>
    <row r="1076" spans="1:12" x14ac:dyDescent="0.35">
      <c r="A1076" t="str">
        <f t="shared" si="32"/>
        <v>VPS26445940</v>
      </c>
      <c r="B1076" t="s">
        <v>1030</v>
      </c>
      <c r="C1076" t="s">
        <v>1576</v>
      </c>
      <c r="D1076" s="32">
        <v>45938</v>
      </c>
      <c r="E1076" t="s">
        <v>1572</v>
      </c>
      <c r="F1076" t="str">
        <f>VLOOKUP(B1076,'Agent wise'!A:E,5,0)</f>
        <v>Wireless</v>
      </c>
      <c r="G1076" s="32">
        <v>45940</v>
      </c>
      <c r="H1076">
        <f>COUNTIFS('Audit Raw data'!J:J,B:B,'Audit Raw data'!E:E,G:G)</f>
        <v>0</v>
      </c>
      <c r="I1076" s="44" t="str">
        <f>IFERROR((SUMIFS('Audit Raw data'!BZ:BZ,'Audit Raw data'!J:J,B:B,'Audit Raw data'!E:E,G:G)/H1076)/100,"-")</f>
        <v>-</v>
      </c>
      <c r="J1076">
        <f>COUNTIFS('Audit Raw data'!AM:AM,"Yes",'Audit Raw data'!J:J,B:B,'Audit Raw data'!E:E,'Day wise agent'!G:G)</f>
        <v>0</v>
      </c>
      <c r="K1076">
        <f>COUNTIFS('Audit Raw data'!AM:AM,"NO",'Audit Raw data'!J:J,B:B,'Audit Raw data'!E:E,'Day wise agent'!G:G)</f>
        <v>0</v>
      </c>
      <c r="L1076" s="12" t="str">
        <f t="shared" si="33"/>
        <v xml:space="preserve"> </v>
      </c>
    </row>
    <row r="1077" spans="1:12" x14ac:dyDescent="0.35">
      <c r="A1077" t="str">
        <f t="shared" si="32"/>
        <v>SBM10745941</v>
      </c>
      <c r="B1077" t="s">
        <v>313</v>
      </c>
      <c r="C1077" t="s">
        <v>1449</v>
      </c>
      <c r="D1077" s="32">
        <v>44691</v>
      </c>
      <c r="E1077" t="s">
        <v>107</v>
      </c>
      <c r="F1077" t="str">
        <f>VLOOKUP(B1077,'Agent wise'!A:E,5,0)</f>
        <v>Wire-line</v>
      </c>
      <c r="G1077" s="32">
        <v>45941</v>
      </c>
      <c r="H1077">
        <f>COUNTIFS('Audit Raw data'!J:J,B:B,'Audit Raw data'!E:E,G:G)</f>
        <v>1</v>
      </c>
      <c r="I1077" s="44">
        <f>IFERROR((SUMIFS('Audit Raw data'!BZ:BZ,'Audit Raw data'!J:J,B:B,'Audit Raw data'!E:E,G:G)/H1077)/100,"-")</f>
        <v>0.96</v>
      </c>
      <c r="J1077">
        <f>COUNTIFS('Audit Raw data'!AM:AM,"Yes",'Audit Raw data'!J:J,B:B,'Audit Raw data'!E:E,'Day wise agent'!G:G)</f>
        <v>1</v>
      </c>
      <c r="K1077">
        <f>COUNTIFS('Audit Raw data'!AM:AM,"NO",'Audit Raw data'!J:J,B:B,'Audit Raw data'!E:E,'Day wise agent'!G:G)</f>
        <v>0</v>
      </c>
      <c r="L1077" s="12">
        <f t="shared" si="33"/>
        <v>1</v>
      </c>
    </row>
    <row r="1078" spans="1:12" x14ac:dyDescent="0.35">
      <c r="A1078" t="str">
        <f t="shared" si="32"/>
        <v>SBM15045941</v>
      </c>
      <c r="B1078" t="s">
        <v>56</v>
      </c>
      <c r="C1078" t="s">
        <v>1452</v>
      </c>
      <c r="D1078" s="32">
        <v>44707</v>
      </c>
      <c r="E1078" t="s">
        <v>1453</v>
      </c>
      <c r="F1078" t="str">
        <f>VLOOKUP(B1078,'Agent wise'!A:E,5,0)</f>
        <v>Wireless</v>
      </c>
      <c r="G1078" s="32">
        <v>45941</v>
      </c>
      <c r="H1078">
        <f>COUNTIFS('Audit Raw data'!J:J,B:B,'Audit Raw data'!E:E,G:G)</f>
        <v>3</v>
      </c>
      <c r="I1078" s="44">
        <f>IFERROR((SUMIFS('Audit Raw data'!BZ:BZ,'Audit Raw data'!J:J,B:B,'Audit Raw data'!E:E,G:G)/H1078)/100,"-")</f>
        <v>0.95333333333333325</v>
      </c>
      <c r="J1078">
        <f>COUNTIFS('Audit Raw data'!AM:AM,"Yes",'Audit Raw data'!J:J,B:B,'Audit Raw data'!E:E,'Day wise agent'!G:G)</f>
        <v>3</v>
      </c>
      <c r="K1078">
        <f>COUNTIFS('Audit Raw data'!AM:AM,"NO",'Audit Raw data'!J:J,B:B,'Audit Raw data'!E:E,'Day wise agent'!G:G)</f>
        <v>0</v>
      </c>
      <c r="L1078" s="12">
        <f t="shared" si="33"/>
        <v>1</v>
      </c>
    </row>
    <row r="1079" spans="1:12" x14ac:dyDescent="0.35">
      <c r="A1079" t="str">
        <f t="shared" si="32"/>
        <v>SBM15545941</v>
      </c>
      <c r="B1079" t="s">
        <v>1454</v>
      </c>
      <c r="C1079" t="s">
        <v>1455</v>
      </c>
      <c r="D1079" s="32">
        <v>44707</v>
      </c>
      <c r="E1079" t="s">
        <v>1456</v>
      </c>
      <c r="F1079" t="str">
        <f>VLOOKUP(B1079,'Agent wise'!A:E,5,0)</f>
        <v>RECL</v>
      </c>
      <c r="G1079" s="32">
        <v>45941</v>
      </c>
      <c r="H1079">
        <f>COUNTIFS('Audit Raw data'!J:J,B:B,'Audit Raw data'!E:E,G:G)</f>
        <v>0</v>
      </c>
      <c r="I1079" s="44" t="str">
        <f>IFERROR((SUMIFS('Audit Raw data'!BZ:BZ,'Audit Raw data'!J:J,B:B,'Audit Raw data'!E:E,G:G)/H1079)/100,"-")</f>
        <v>-</v>
      </c>
      <c r="J1079">
        <f>COUNTIFS('Audit Raw data'!AM:AM,"Yes",'Audit Raw data'!J:J,B:B,'Audit Raw data'!E:E,'Day wise agent'!G:G)</f>
        <v>0</v>
      </c>
      <c r="K1079">
        <f>COUNTIFS('Audit Raw data'!AM:AM,"NO",'Audit Raw data'!J:J,B:B,'Audit Raw data'!E:E,'Day wise agent'!G:G)</f>
        <v>0</v>
      </c>
      <c r="L1079" s="12" t="str">
        <f t="shared" si="33"/>
        <v xml:space="preserve"> </v>
      </c>
    </row>
    <row r="1080" spans="1:12" x14ac:dyDescent="0.35">
      <c r="A1080" t="str">
        <f t="shared" si="32"/>
        <v>SBM15745941</v>
      </c>
      <c r="B1080" t="s">
        <v>67</v>
      </c>
      <c r="C1080" t="s">
        <v>1458</v>
      </c>
      <c r="D1080" s="32">
        <v>44713</v>
      </c>
      <c r="E1080" t="s">
        <v>1453</v>
      </c>
      <c r="F1080" t="str">
        <f>VLOOKUP(B1080,'Agent wise'!A:E,5,0)</f>
        <v>Wireless</v>
      </c>
      <c r="G1080" s="32">
        <v>45941</v>
      </c>
      <c r="H1080">
        <f>COUNTIFS('Audit Raw data'!J:J,B:B,'Audit Raw data'!E:E,G:G)</f>
        <v>0</v>
      </c>
      <c r="I1080" s="44" t="str">
        <f>IFERROR((SUMIFS('Audit Raw data'!BZ:BZ,'Audit Raw data'!J:J,B:B,'Audit Raw data'!E:E,G:G)/H1080)/100,"-")</f>
        <v>-</v>
      </c>
      <c r="J1080">
        <f>COUNTIFS('Audit Raw data'!AM:AM,"Yes",'Audit Raw data'!J:J,B:B,'Audit Raw data'!E:E,'Day wise agent'!G:G)</f>
        <v>0</v>
      </c>
      <c r="K1080">
        <f>COUNTIFS('Audit Raw data'!AM:AM,"NO",'Audit Raw data'!J:J,B:B,'Audit Raw data'!E:E,'Day wise agent'!G:G)</f>
        <v>0</v>
      </c>
      <c r="L1080" s="12" t="str">
        <f t="shared" si="33"/>
        <v xml:space="preserve"> </v>
      </c>
    </row>
    <row r="1081" spans="1:12" x14ac:dyDescent="0.35">
      <c r="A1081" t="str">
        <f t="shared" si="32"/>
        <v>SBM20245941</v>
      </c>
      <c r="B1081" t="s">
        <v>466</v>
      </c>
      <c r="C1081" t="s">
        <v>1459</v>
      </c>
      <c r="D1081" s="32">
        <v>44721</v>
      </c>
      <c r="E1081" t="s">
        <v>178</v>
      </c>
      <c r="F1081" t="str">
        <f>VLOOKUP(B1081,'Agent wise'!A:E,5,0)</f>
        <v>Wireless</v>
      </c>
      <c r="G1081" s="32">
        <v>45941</v>
      </c>
      <c r="H1081">
        <f>COUNTIFS('Audit Raw data'!J:J,B:B,'Audit Raw data'!E:E,G:G)</f>
        <v>2</v>
      </c>
      <c r="I1081" s="44">
        <f>IFERROR((SUMIFS('Audit Raw data'!BZ:BZ,'Audit Raw data'!J:J,B:B,'Audit Raw data'!E:E,G:G)/H1081)/100,"-")</f>
        <v>0.94</v>
      </c>
      <c r="J1081">
        <f>COUNTIFS('Audit Raw data'!AM:AM,"Yes",'Audit Raw data'!J:J,B:B,'Audit Raw data'!E:E,'Day wise agent'!G:G)</f>
        <v>2</v>
      </c>
      <c r="K1081">
        <f>COUNTIFS('Audit Raw data'!AM:AM,"NO",'Audit Raw data'!J:J,B:B,'Audit Raw data'!E:E,'Day wise agent'!G:G)</f>
        <v>0</v>
      </c>
      <c r="L1081" s="12">
        <f t="shared" si="33"/>
        <v>1</v>
      </c>
    </row>
    <row r="1082" spans="1:12" x14ac:dyDescent="0.35">
      <c r="A1082" t="str">
        <f t="shared" si="32"/>
        <v>SBM26445941</v>
      </c>
      <c r="B1082" t="s">
        <v>575</v>
      </c>
      <c r="C1082" t="s">
        <v>1461</v>
      </c>
      <c r="D1082" s="32">
        <v>44739</v>
      </c>
      <c r="E1082" t="s">
        <v>107</v>
      </c>
      <c r="F1082" t="str">
        <f>VLOOKUP(B1082,'Agent wise'!A:E,5,0)</f>
        <v>Wireless</v>
      </c>
      <c r="G1082" s="32">
        <v>45941</v>
      </c>
      <c r="H1082">
        <f>COUNTIFS('Audit Raw data'!J:J,B:B,'Audit Raw data'!E:E,G:G)</f>
        <v>2</v>
      </c>
      <c r="I1082" s="44">
        <f>IFERROR((SUMIFS('Audit Raw data'!BZ:BZ,'Audit Raw data'!J:J,B:B,'Audit Raw data'!E:E,G:G)/H1082)/100,"-")</f>
        <v>0.87</v>
      </c>
      <c r="J1082">
        <f>COUNTIFS('Audit Raw data'!AM:AM,"Yes",'Audit Raw data'!J:J,B:B,'Audit Raw data'!E:E,'Day wise agent'!G:G)</f>
        <v>2</v>
      </c>
      <c r="K1082">
        <f>COUNTIFS('Audit Raw data'!AM:AM,"NO",'Audit Raw data'!J:J,B:B,'Audit Raw data'!E:E,'Day wise agent'!G:G)</f>
        <v>0</v>
      </c>
      <c r="L1082" s="12">
        <f t="shared" si="33"/>
        <v>1</v>
      </c>
    </row>
    <row r="1083" spans="1:12" x14ac:dyDescent="0.35">
      <c r="A1083" t="str">
        <f t="shared" si="32"/>
        <v>SBM26745941</v>
      </c>
      <c r="B1083" t="s">
        <v>91</v>
      </c>
      <c r="C1083" t="s">
        <v>1462</v>
      </c>
      <c r="D1083" s="32">
        <v>44768</v>
      </c>
      <c r="E1083" t="s">
        <v>1453</v>
      </c>
      <c r="F1083" t="str">
        <f>VLOOKUP(B1083,'Agent wise'!A:E,5,0)</f>
        <v>Wireless</v>
      </c>
      <c r="G1083" s="32">
        <v>45941</v>
      </c>
      <c r="H1083">
        <f>COUNTIFS('Audit Raw data'!J:J,B:B,'Audit Raw data'!E:E,G:G)</f>
        <v>0</v>
      </c>
      <c r="I1083" s="44" t="str">
        <f>IFERROR((SUMIFS('Audit Raw data'!BZ:BZ,'Audit Raw data'!J:J,B:B,'Audit Raw data'!E:E,G:G)/H1083)/100,"-")</f>
        <v>-</v>
      </c>
      <c r="J1083">
        <f>COUNTIFS('Audit Raw data'!AM:AM,"Yes",'Audit Raw data'!J:J,B:B,'Audit Raw data'!E:E,'Day wise agent'!G:G)</f>
        <v>0</v>
      </c>
      <c r="K1083">
        <f>COUNTIFS('Audit Raw data'!AM:AM,"NO",'Audit Raw data'!J:J,B:B,'Audit Raw data'!E:E,'Day wise agent'!G:G)</f>
        <v>0</v>
      </c>
      <c r="L1083" s="12" t="str">
        <f t="shared" si="33"/>
        <v xml:space="preserve"> </v>
      </c>
    </row>
    <row r="1084" spans="1:12" x14ac:dyDescent="0.35">
      <c r="A1084" t="str">
        <f t="shared" si="32"/>
        <v>SBM31445941</v>
      </c>
      <c r="B1084" t="s">
        <v>132</v>
      </c>
      <c r="C1084" t="s">
        <v>1463</v>
      </c>
      <c r="D1084" s="32">
        <v>44784</v>
      </c>
      <c r="E1084" t="s">
        <v>107</v>
      </c>
      <c r="F1084" t="str">
        <f>VLOOKUP(B1084,'Agent wise'!A:E,5,0)</f>
        <v>Wireless</v>
      </c>
      <c r="G1084" s="32">
        <v>45941</v>
      </c>
      <c r="H1084">
        <f>COUNTIFS('Audit Raw data'!J:J,B:B,'Audit Raw data'!E:E,G:G)</f>
        <v>0</v>
      </c>
      <c r="I1084" s="44" t="str">
        <f>IFERROR((SUMIFS('Audit Raw data'!BZ:BZ,'Audit Raw data'!J:J,B:B,'Audit Raw data'!E:E,G:G)/H1084)/100,"-")</f>
        <v>-</v>
      </c>
      <c r="J1084">
        <f>COUNTIFS('Audit Raw data'!AM:AM,"Yes",'Audit Raw data'!J:J,B:B,'Audit Raw data'!E:E,'Day wise agent'!G:G)</f>
        <v>0</v>
      </c>
      <c r="K1084">
        <f>COUNTIFS('Audit Raw data'!AM:AM,"NO",'Audit Raw data'!J:J,B:B,'Audit Raw data'!E:E,'Day wise agent'!G:G)</f>
        <v>0</v>
      </c>
      <c r="L1084" s="12" t="str">
        <f t="shared" si="33"/>
        <v xml:space="preserve"> </v>
      </c>
    </row>
    <row r="1085" spans="1:12" x14ac:dyDescent="0.35">
      <c r="A1085" t="str">
        <f t="shared" si="32"/>
        <v>SBM36345941</v>
      </c>
      <c r="B1085" t="s">
        <v>70</v>
      </c>
      <c r="C1085" t="s">
        <v>1464</v>
      </c>
      <c r="D1085" s="32">
        <v>44786</v>
      </c>
      <c r="E1085" t="s">
        <v>1453</v>
      </c>
      <c r="F1085" t="str">
        <f>VLOOKUP(B1085,'Agent wise'!A:E,5,0)</f>
        <v>Wireless</v>
      </c>
      <c r="G1085" s="32">
        <v>45941</v>
      </c>
      <c r="H1085">
        <f>COUNTIFS('Audit Raw data'!J:J,B:B,'Audit Raw data'!E:E,G:G)</f>
        <v>2</v>
      </c>
      <c r="I1085" s="44">
        <f>IFERROR((SUMIFS('Audit Raw data'!BZ:BZ,'Audit Raw data'!J:J,B:B,'Audit Raw data'!E:E,G:G)/H1085)/100,"-")</f>
        <v>0.94</v>
      </c>
      <c r="J1085">
        <f>COUNTIFS('Audit Raw data'!AM:AM,"Yes",'Audit Raw data'!J:J,B:B,'Audit Raw data'!E:E,'Day wise agent'!G:G)</f>
        <v>2</v>
      </c>
      <c r="K1085">
        <f>COUNTIFS('Audit Raw data'!AM:AM,"NO",'Audit Raw data'!J:J,B:B,'Audit Raw data'!E:E,'Day wise agent'!G:G)</f>
        <v>0</v>
      </c>
      <c r="L1085" s="12">
        <f t="shared" si="33"/>
        <v>1</v>
      </c>
    </row>
    <row r="1086" spans="1:12" x14ac:dyDescent="0.35">
      <c r="A1086" t="str">
        <f t="shared" si="32"/>
        <v>SBM37345941</v>
      </c>
      <c r="B1086" t="s">
        <v>75</v>
      </c>
      <c r="C1086" t="s">
        <v>1465</v>
      </c>
      <c r="D1086" s="32">
        <v>44786</v>
      </c>
      <c r="E1086" t="s">
        <v>1453</v>
      </c>
      <c r="F1086" t="str">
        <f>VLOOKUP(B1086,'Agent wise'!A:E,5,0)</f>
        <v>Wireless</v>
      </c>
      <c r="G1086" s="32">
        <v>45941</v>
      </c>
      <c r="H1086">
        <f>COUNTIFS('Audit Raw data'!J:J,B:B,'Audit Raw data'!E:E,G:G)</f>
        <v>2</v>
      </c>
      <c r="I1086" s="44">
        <f>IFERROR((SUMIFS('Audit Raw data'!BZ:BZ,'Audit Raw data'!J:J,B:B,'Audit Raw data'!E:E,G:G)/H1086)/100,"-")</f>
        <v>0.93</v>
      </c>
      <c r="J1086">
        <f>COUNTIFS('Audit Raw data'!AM:AM,"Yes",'Audit Raw data'!J:J,B:B,'Audit Raw data'!E:E,'Day wise agent'!G:G)</f>
        <v>2</v>
      </c>
      <c r="K1086">
        <f>COUNTIFS('Audit Raw data'!AM:AM,"NO",'Audit Raw data'!J:J,B:B,'Audit Raw data'!E:E,'Day wise agent'!G:G)</f>
        <v>0</v>
      </c>
      <c r="L1086" s="12">
        <f t="shared" si="33"/>
        <v>1</v>
      </c>
    </row>
    <row r="1087" spans="1:12" x14ac:dyDescent="0.35">
      <c r="A1087" t="str">
        <f t="shared" si="32"/>
        <v>SBM42245941</v>
      </c>
      <c r="B1087" t="s">
        <v>636</v>
      </c>
      <c r="C1087" t="s">
        <v>1466</v>
      </c>
      <c r="D1087" s="32">
        <v>44882</v>
      </c>
      <c r="E1087" t="s">
        <v>107</v>
      </c>
      <c r="F1087" t="str">
        <f>VLOOKUP(B1087,'Agent wise'!A:E,5,0)</f>
        <v>Wireless</v>
      </c>
      <c r="G1087" s="32">
        <v>45941</v>
      </c>
      <c r="H1087">
        <f>COUNTIFS('Audit Raw data'!J:J,B:B,'Audit Raw data'!E:E,G:G)</f>
        <v>1</v>
      </c>
      <c r="I1087" s="44">
        <f>IFERROR((SUMIFS('Audit Raw data'!BZ:BZ,'Audit Raw data'!J:J,B:B,'Audit Raw data'!E:E,G:G)/H1087)/100,"-")</f>
        <v>0.9</v>
      </c>
      <c r="J1087">
        <f>COUNTIFS('Audit Raw data'!AM:AM,"Yes",'Audit Raw data'!J:J,B:B,'Audit Raw data'!E:E,'Day wise agent'!G:G)</f>
        <v>1</v>
      </c>
      <c r="K1087">
        <f>COUNTIFS('Audit Raw data'!AM:AM,"NO",'Audit Raw data'!J:J,B:B,'Audit Raw data'!E:E,'Day wise agent'!G:G)</f>
        <v>0</v>
      </c>
      <c r="L1087" s="12">
        <f t="shared" si="33"/>
        <v>1</v>
      </c>
    </row>
    <row r="1088" spans="1:12" x14ac:dyDescent="0.35">
      <c r="A1088" t="str">
        <f t="shared" si="32"/>
        <v>SBM47945941</v>
      </c>
      <c r="B1088" t="s">
        <v>1474</v>
      </c>
      <c r="C1088" t="s">
        <v>1475</v>
      </c>
      <c r="D1088" s="32">
        <v>44932</v>
      </c>
      <c r="E1088" t="s">
        <v>1456</v>
      </c>
      <c r="F1088" t="str">
        <f>VLOOKUP(B1088,'Agent wise'!A:E,5,0)</f>
        <v>RECL</v>
      </c>
      <c r="G1088" s="32">
        <v>45941</v>
      </c>
      <c r="H1088">
        <f>COUNTIFS('Audit Raw data'!J:J,B:B,'Audit Raw data'!E:E,G:G)</f>
        <v>0</v>
      </c>
      <c r="I1088" s="44" t="str">
        <f>IFERROR((SUMIFS('Audit Raw data'!BZ:BZ,'Audit Raw data'!J:J,B:B,'Audit Raw data'!E:E,G:G)/H1088)/100,"-")</f>
        <v>-</v>
      </c>
      <c r="J1088">
        <f>COUNTIFS('Audit Raw data'!AM:AM,"Yes",'Audit Raw data'!J:J,B:B,'Audit Raw data'!E:E,'Day wise agent'!G:G)</f>
        <v>0</v>
      </c>
      <c r="K1088">
        <f>COUNTIFS('Audit Raw data'!AM:AM,"NO",'Audit Raw data'!J:J,B:B,'Audit Raw data'!E:E,'Day wise agent'!G:G)</f>
        <v>0</v>
      </c>
      <c r="L1088" s="12" t="str">
        <f t="shared" si="33"/>
        <v xml:space="preserve"> </v>
      </c>
    </row>
    <row r="1089" spans="1:12" x14ac:dyDescent="0.35">
      <c r="A1089" t="str">
        <f t="shared" si="32"/>
        <v>SBM48145941</v>
      </c>
      <c r="B1089" t="s">
        <v>638</v>
      </c>
      <c r="C1089" t="s">
        <v>1467</v>
      </c>
      <c r="D1089" s="32">
        <v>44932</v>
      </c>
      <c r="E1089" t="s">
        <v>178</v>
      </c>
      <c r="F1089" t="str">
        <f>VLOOKUP(B1089,'Agent wise'!A:E,5,0)</f>
        <v>Wireless</v>
      </c>
      <c r="G1089" s="32">
        <v>45941</v>
      </c>
      <c r="H1089">
        <f>COUNTIFS('Audit Raw data'!J:J,B:B,'Audit Raw data'!E:E,G:G)</f>
        <v>1</v>
      </c>
      <c r="I1089" s="44">
        <f>IFERROR((SUMIFS('Audit Raw data'!BZ:BZ,'Audit Raw data'!J:J,B:B,'Audit Raw data'!E:E,G:G)/H1089)/100,"-")</f>
        <v>0.96</v>
      </c>
      <c r="J1089">
        <f>COUNTIFS('Audit Raw data'!AM:AM,"Yes",'Audit Raw data'!J:J,B:B,'Audit Raw data'!E:E,'Day wise agent'!G:G)</f>
        <v>1</v>
      </c>
      <c r="K1089">
        <f>COUNTIFS('Audit Raw data'!AM:AM,"NO",'Audit Raw data'!J:J,B:B,'Audit Raw data'!E:E,'Day wise agent'!G:G)</f>
        <v>0</v>
      </c>
      <c r="L1089" s="12">
        <f t="shared" si="33"/>
        <v>1</v>
      </c>
    </row>
    <row r="1090" spans="1:12" x14ac:dyDescent="0.35">
      <c r="A1090" t="str">
        <f t="shared" ref="A1090:A1153" si="34">B1090&amp;G1090</f>
        <v>SBM48545941</v>
      </c>
      <c r="B1090" t="s">
        <v>80</v>
      </c>
      <c r="C1090" t="s">
        <v>1469</v>
      </c>
      <c r="D1090" s="32">
        <v>44961</v>
      </c>
      <c r="E1090" t="s">
        <v>1453</v>
      </c>
      <c r="F1090" t="str">
        <f>VLOOKUP(B1090,'Agent wise'!A:E,5,0)</f>
        <v>Wireless</v>
      </c>
      <c r="G1090" s="32">
        <v>45941</v>
      </c>
      <c r="H1090">
        <f>COUNTIFS('Audit Raw data'!J:J,B:B,'Audit Raw data'!E:E,G:G)</f>
        <v>2</v>
      </c>
      <c r="I1090" s="44">
        <f>IFERROR((SUMIFS('Audit Raw data'!BZ:BZ,'Audit Raw data'!J:J,B:B,'Audit Raw data'!E:E,G:G)/H1090)/100,"-")</f>
        <v>0.93</v>
      </c>
      <c r="J1090">
        <f>COUNTIFS('Audit Raw data'!AM:AM,"Yes",'Audit Raw data'!J:J,B:B,'Audit Raw data'!E:E,'Day wise agent'!G:G)</f>
        <v>2</v>
      </c>
      <c r="K1090">
        <f>COUNTIFS('Audit Raw data'!AM:AM,"NO",'Audit Raw data'!J:J,B:B,'Audit Raw data'!E:E,'Day wise agent'!G:G)</f>
        <v>0</v>
      </c>
      <c r="L1090" s="12">
        <f t="shared" ref="L1090:L1153" si="35">IFERROR(J1090/H1090," ")</f>
        <v>1</v>
      </c>
    </row>
    <row r="1091" spans="1:12" x14ac:dyDescent="0.35">
      <c r="A1091" t="str">
        <f t="shared" si="34"/>
        <v>SBM52445941</v>
      </c>
      <c r="B1091" t="s">
        <v>490</v>
      </c>
      <c r="C1091" t="s">
        <v>1470</v>
      </c>
      <c r="D1091" s="32">
        <v>45093</v>
      </c>
      <c r="E1091" t="s">
        <v>1453</v>
      </c>
      <c r="F1091" t="str">
        <f>VLOOKUP(B1091,'Agent wise'!A:E,5,0)</f>
        <v>Wireless</v>
      </c>
      <c r="G1091" s="32">
        <v>45941</v>
      </c>
      <c r="H1091">
        <f>COUNTIFS('Audit Raw data'!J:J,B:B,'Audit Raw data'!E:E,G:G)</f>
        <v>3</v>
      </c>
      <c r="I1091" s="44">
        <f>IFERROR((SUMIFS('Audit Raw data'!BZ:BZ,'Audit Raw data'!J:J,B:B,'Audit Raw data'!E:E,G:G)/H1091)/100,"-")</f>
        <v>0.94</v>
      </c>
      <c r="J1091">
        <f>COUNTIFS('Audit Raw data'!AM:AM,"Yes",'Audit Raw data'!J:J,B:B,'Audit Raw data'!E:E,'Day wise agent'!G:G)</f>
        <v>3</v>
      </c>
      <c r="K1091">
        <f>COUNTIFS('Audit Raw data'!AM:AM,"NO",'Audit Raw data'!J:J,B:B,'Audit Raw data'!E:E,'Day wise agent'!G:G)</f>
        <v>0</v>
      </c>
      <c r="L1091" s="12">
        <f t="shared" si="35"/>
        <v>1</v>
      </c>
    </row>
    <row r="1092" spans="1:12" x14ac:dyDescent="0.35">
      <c r="A1092" t="str">
        <f t="shared" si="34"/>
        <v>SBM55045941</v>
      </c>
      <c r="B1092" t="s">
        <v>139</v>
      </c>
      <c r="C1092" t="s">
        <v>1471</v>
      </c>
      <c r="D1092" s="32">
        <v>45139</v>
      </c>
      <c r="E1092" t="s">
        <v>107</v>
      </c>
      <c r="F1092" t="str">
        <f>VLOOKUP(B1092,'Agent wise'!A:E,5,0)</f>
        <v>Wireless</v>
      </c>
      <c r="G1092" s="32">
        <v>45941</v>
      </c>
      <c r="H1092">
        <f>COUNTIFS('Audit Raw data'!J:J,B:B,'Audit Raw data'!E:E,G:G)</f>
        <v>0</v>
      </c>
      <c r="I1092" s="44" t="str">
        <f>IFERROR((SUMIFS('Audit Raw data'!BZ:BZ,'Audit Raw data'!J:J,B:B,'Audit Raw data'!E:E,G:G)/H1092)/100,"-")</f>
        <v>-</v>
      </c>
      <c r="J1092">
        <f>COUNTIFS('Audit Raw data'!AM:AM,"Yes",'Audit Raw data'!J:J,B:B,'Audit Raw data'!E:E,'Day wise agent'!G:G)</f>
        <v>0</v>
      </c>
      <c r="K1092">
        <f>COUNTIFS('Audit Raw data'!AM:AM,"NO",'Audit Raw data'!J:J,B:B,'Audit Raw data'!E:E,'Day wise agent'!G:G)</f>
        <v>0</v>
      </c>
      <c r="L1092" s="12" t="str">
        <f t="shared" si="35"/>
        <v xml:space="preserve"> </v>
      </c>
    </row>
    <row r="1093" spans="1:12" x14ac:dyDescent="0.35">
      <c r="A1093" t="str">
        <f t="shared" si="34"/>
        <v>SBM55445941</v>
      </c>
      <c r="B1093" t="s">
        <v>208</v>
      </c>
      <c r="C1093" t="s">
        <v>1472</v>
      </c>
      <c r="D1093" s="32">
        <v>45140</v>
      </c>
      <c r="E1093" t="s">
        <v>178</v>
      </c>
      <c r="F1093" t="str">
        <f>VLOOKUP(B1093,'Agent wise'!A:E,5,0)</f>
        <v>Wireless</v>
      </c>
      <c r="G1093" s="32">
        <v>45941</v>
      </c>
      <c r="H1093">
        <f>COUNTIFS('Audit Raw data'!J:J,B:B,'Audit Raw data'!E:E,G:G)</f>
        <v>0</v>
      </c>
      <c r="I1093" s="44" t="str">
        <f>IFERROR((SUMIFS('Audit Raw data'!BZ:BZ,'Audit Raw data'!J:J,B:B,'Audit Raw data'!E:E,G:G)/H1093)/100,"-")</f>
        <v>-</v>
      </c>
      <c r="J1093">
        <f>COUNTIFS('Audit Raw data'!AM:AM,"Yes",'Audit Raw data'!J:J,B:B,'Audit Raw data'!E:E,'Day wise agent'!G:G)</f>
        <v>0</v>
      </c>
      <c r="K1093">
        <f>COUNTIFS('Audit Raw data'!AM:AM,"NO",'Audit Raw data'!J:J,B:B,'Audit Raw data'!E:E,'Day wise agent'!G:G)</f>
        <v>0</v>
      </c>
      <c r="L1093" s="12" t="str">
        <f t="shared" si="35"/>
        <v xml:space="preserve"> </v>
      </c>
    </row>
    <row r="1094" spans="1:12" x14ac:dyDescent="0.35">
      <c r="A1094" t="str">
        <f t="shared" si="34"/>
        <v>SBM58345941</v>
      </c>
      <c r="B1094" t="s">
        <v>546</v>
      </c>
      <c r="C1094" t="s">
        <v>1473</v>
      </c>
      <c r="D1094" s="32">
        <v>45245</v>
      </c>
      <c r="E1094" t="s">
        <v>107</v>
      </c>
      <c r="F1094" t="str">
        <f>VLOOKUP(B1094,'Agent wise'!A:E,5,0)</f>
        <v>Wireless</v>
      </c>
      <c r="G1094" s="32">
        <v>45941</v>
      </c>
      <c r="H1094">
        <f>COUNTIFS('Audit Raw data'!J:J,B:B,'Audit Raw data'!E:E,G:G)</f>
        <v>0</v>
      </c>
      <c r="I1094" s="44" t="str">
        <f>IFERROR((SUMIFS('Audit Raw data'!BZ:BZ,'Audit Raw data'!J:J,B:B,'Audit Raw data'!E:E,G:G)/H1094)/100,"-")</f>
        <v>-</v>
      </c>
      <c r="J1094">
        <f>COUNTIFS('Audit Raw data'!AM:AM,"Yes",'Audit Raw data'!J:J,B:B,'Audit Raw data'!E:E,'Day wise agent'!G:G)</f>
        <v>0</v>
      </c>
      <c r="K1094">
        <f>COUNTIFS('Audit Raw data'!AM:AM,"NO",'Audit Raw data'!J:J,B:B,'Audit Raw data'!E:E,'Day wise agent'!G:G)</f>
        <v>0</v>
      </c>
      <c r="L1094" s="12" t="str">
        <f t="shared" si="35"/>
        <v xml:space="preserve"> </v>
      </c>
    </row>
    <row r="1095" spans="1:12" x14ac:dyDescent="0.35">
      <c r="A1095" t="str">
        <f t="shared" si="34"/>
        <v>SBM61345941</v>
      </c>
      <c r="B1095" t="s">
        <v>391</v>
      </c>
      <c r="C1095" t="s">
        <v>1478</v>
      </c>
      <c r="D1095" s="32">
        <v>45301</v>
      </c>
      <c r="E1095" t="s">
        <v>221</v>
      </c>
      <c r="F1095" t="str">
        <f>VLOOKUP(B1095,'Agent wise'!A:E,5,0)</f>
        <v>Wire-line</v>
      </c>
      <c r="G1095" s="32">
        <v>45941</v>
      </c>
      <c r="H1095">
        <f>COUNTIFS('Audit Raw data'!J:J,B:B,'Audit Raw data'!E:E,G:G)</f>
        <v>3</v>
      </c>
      <c r="I1095" s="44">
        <f>IFERROR((SUMIFS('Audit Raw data'!BZ:BZ,'Audit Raw data'!J:J,B:B,'Audit Raw data'!E:E,G:G)/H1095)/100,"-")</f>
        <v>0.89333333333333331</v>
      </c>
      <c r="J1095">
        <f>COUNTIFS('Audit Raw data'!AM:AM,"Yes",'Audit Raw data'!J:J,B:B,'Audit Raw data'!E:E,'Day wise agent'!G:G)</f>
        <v>3</v>
      </c>
      <c r="K1095">
        <f>COUNTIFS('Audit Raw data'!AM:AM,"NO",'Audit Raw data'!J:J,B:B,'Audit Raw data'!E:E,'Day wise agent'!G:G)</f>
        <v>0</v>
      </c>
      <c r="L1095" s="12">
        <f t="shared" si="35"/>
        <v>1</v>
      </c>
    </row>
    <row r="1096" spans="1:12" x14ac:dyDescent="0.35">
      <c r="A1096" t="str">
        <f t="shared" si="34"/>
        <v>SBM61845941</v>
      </c>
      <c r="B1096" t="s">
        <v>242</v>
      </c>
      <c r="C1096" t="s">
        <v>1477</v>
      </c>
      <c r="D1096" s="32">
        <v>45292</v>
      </c>
      <c r="E1096" t="s">
        <v>221</v>
      </c>
      <c r="F1096" t="str">
        <f>VLOOKUP(B1096,'Agent wise'!A:E,5,0)</f>
        <v>Wire-line</v>
      </c>
      <c r="G1096" s="32">
        <v>45941</v>
      </c>
      <c r="H1096">
        <f>COUNTIFS('Audit Raw data'!J:J,B:B,'Audit Raw data'!E:E,G:G)</f>
        <v>2</v>
      </c>
      <c r="I1096" s="44">
        <f>IFERROR((SUMIFS('Audit Raw data'!BZ:BZ,'Audit Raw data'!J:J,B:B,'Audit Raw data'!E:E,G:G)/H1096)/100,"-")</f>
        <v>0.86</v>
      </c>
      <c r="J1096">
        <f>COUNTIFS('Audit Raw data'!AM:AM,"Yes",'Audit Raw data'!J:J,B:B,'Audit Raw data'!E:E,'Day wise agent'!G:G)</f>
        <v>2</v>
      </c>
      <c r="K1096">
        <f>COUNTIFS('Audit Raw data'!AM:AM,"NO",'Audit Raw data'!J:J,B:B,'Audit Raw data'!E:E,'Day wise agent'!G:G)</f>
        <v>0</v>
      </c>
      <c r="L1096" s="12">
        <f t="shared" si="35"/>
        <v>1</v>
      </c>
    </row>
    <row r="1097" spans="1:12" x14ac:dyDescent="0.35">
      <c r="A1097" t="str">
        <f t="shared" si="34"/>
        <v>SBM62545941</v>
      </c>
      <c r="B1097" t="s">
        <v>472</v>
      </c>
      <c r="C1097" t="s">
        <v>1476</v>
      </c>
      <c r="D1097" s="32">
        <v>45329</v>
      </c>
      <c r="E1097" t="s">
        <v>1453</v>
      </c>
      <c r="F1097" t="str">
        <f>VLOOKUP(B1097,'Agent wise'!A:E,5,0)</f>
        <v>Wireless</v>
      </c>
      <c r="G1097" s="32">
        <v>45941</v>
      </c>
      <c r="H1097">
        <f>COUNTIFS('Audit Raw data'!J:J,B:B,'Audit Raw data'!E:E,G:G)</f>
        <v>1</v>
      </c>
      <c r="I1097" s="44">
        <f>IFERROR((SUMIFS('Audit Raw data'!BZ:BZ,'Audit Raw data'!J:J,B:B,'Audit Raw data'!E:E,G:G)/H1097)/100,"-")</f>
        <v>0.94</v>
      </c>
      <c r="J1097">
        <f>COUNTIFS('Audit Raw data'!AM:AM,"Yes",'Audit Raw data'!J:J,B:B,'Audit Raw data'!E:E,'Day wise agent'!G:G)</f>
        <v>1</v>
      </c>
      <c r="K1097">
        <f>COUNTIFS('Audit Raw data'!AM:AM,"NO",'Audit Raw data'!J:J,B:B,'Audit Raw data'!E:E,'Day wise agent'!G:G)</f>
        <v>0</v>
      </c>
      <c r="L1097" s="12">
        <f t="shared" si="35"/>
        <v>1</v>
      </c>
    </row>
    <row r="1098" spans="1:12" x14ac:dyDescent="0.35">
      <c r="A1098" t="str">
        <f t="shared" si="34"/>
        <v>SBM65045941</v>
      </c>
      <c r="B1098" t="s">
        <v>353</v>
      </c>
      <c r="C1098" t="s">
        <v>1479</v>
      </c>
      <c r="D1098" s="32">
        <v>45357</v>
      </c>
      <c r="E1098" t="s">
        <v>221</v>
      </c>
      <c r="F1098" t="str">
        <f>VLOOKUP(B1098,'Agent wise'!A:E,5,0)</f>
        <v>Wire-line</v>
      </c>
      <c r="G1098" s="32">
        <v>45941</v>
      </c>
      <c r="H1098">
        <f>COUNTIFS('Audit Raw data'!J:J,B:B,'Audit Raw data'!E:E,G:G)</f>
        <v>3</v>
      </c>
      <c r="I1098" s="44">
        <f>IFERROR((SUMIFS('Audit Raw data'!BZ:BZ,'Audit Raw data'!J:J,B:B,'Audit Raw data'!E:E,G:G)/H1098)/100,"-")</f>
        <v>0.83333333333333326</v>
      </c>
      <c r="J1098">
        <f>COUNTIFS('Audit Raw data'!AM:AM,"Yes",'Audit Raw data'!J:J,B:B,'Audit Raw data'!E:E,'Day wise agent'!G:G)</f>
        <v>3</v>
      </c>
      <c r="K1098">
        <f>COUNTIFS('Audit Raw data'!AM:AM,"NO",'Audit Raw data'!J:J,B:B,'Audit Raw data'!E:E,'Day wise agent'!G:G)</f>
        <v>0</v>
      </c>
      <c r="L1098" s="12">
        <f t="shared" si="35"/>
        <v>1</v>
      </c>
    </row>
    <row r="1099" spans="1:12" x14ac:dyDescent="0.35">
      <c r="A1099" t="str">
        <f t="shared" si="34"/>
        <v>SBM65345941</v>
      </c>
      <c r="B1099" t="s">
        <v>223</v>
      </c>
      <c r="C1099" t="s">
        <v>1480</v>
      </c>
      <c r="D1099" s="32">
        <v>45367</v>
      </c>
      <c r="E1099" t="s">
        <v>221</v>
      </c>
      <c r="F1099" t="str">
        <f>VLOOKUP(B1099,'Agent wise'!A:E,5,0)</f>
        <v>Wire-line</v>
      </c>
      <c r="G1099" s="32">
        <v>45941</v>
      </c>
      <c r="H1099">
        <f>COUNTIFS('Audit Raw data'!J:J,B:B,'Audit Raw data'!E:E,G:G)</f>
        <v>0</v>
      </c>
      <c r="I1099" s="44" t="str">
        <f>IFERROR((SUMIFS('Audit Raw data'!BZ:BZ,'Audit Raw data'!J:J,B:B,'Audit Raw data'!E:E,G:G)/H1099)/100,"-")</f>
        <v>-</v>
      </c>
      <c r="J1099">
        <f>COUNTIFS('Audit Raw data'!AM:AM,"Yes",'Audit Raw data'!J:J,B:B,'Audit Raw data'!E:E,'Day wise agent'!G:G)</f>
        <v>0</v>
      </c>
      <c r="K1099">
        <f>COUNTIFS('Audit Raw data'!AM:AM,"NO",'Audit Raw data'!J:J,B:B,'Audit Raw data'!E:E,'Day wise agent'!G:G)</f>
        <v>0</v>
      </c>
      <c r="L1099" s="12" t="str">
        <f t="shared" si="35"/>
        <v xml:space="preserve"> </v>
      </c>
    </row>
    <row r="1100" spans="1:12" x14ac:dyDescent="0.35">
      <c r="A1100" t="str">
        <f t="shared" si="34"/>
        <v>SBM67845941</v>
      </c>
      <c r="B1100" t="s">
        <v>548</v>
      </c>
      <c r="C1100" t="s">
        <v>1481</v>
      </c>
      <c r="D1100" s="32">
        <v>45413</v>
      </c>
      <c r="E1100" t="s">
        <v>178</v>
      </c>
      <c r="F1100" t="str">
        <f>VLOOKUP(B1100,'Agent wise'!A:E,5,0)</f>
        <v>Wireless</v>
      </c>
      <c r="G1100" s="32">
        <v>45941</v>
      </c>
      <c r="H1100">
        <f>COUNTIFS('Audit Raw data'!J:J,B:B,'Audit Raw data'!E:E,G:G)</f>
        <v>0</v>
      </c>
      <c r="I1100" s="44" t="str">
        <f>IFERROR((SUMIFS('Audit Raw data'!BZ:BZ,'Audit Raw data'!J:J,B:B,'Audit Raw data'!E:E,G:G)/H1100)/100,"-")</f>
        <v>-</v>
      </c>
      <c r="J1100">
        <f>COUNTIFS('Audit Raw data'!AM:AM,"Yes",'Audit Raw data'!J:J,B:B,'Audit Raw data'!E:E,'Day wise agent'!G:G)</f>
        <v>0</v>
      </c>
      <c r="K1100">
        <f>COUNTIFS('Audit Raw data'!AM:AM,"NO",'Audit Raw data'!J:J,B:B,'Audit Raw data'!E:E,'Day wise agent'!G:G)</f>
        <v>0</v>
      </c>
      <c r="L1100" s="12" t="str">
        <f t="shared" si="35"/>
        <v xml:space="preserve"> </v>
      </c>
    </row>
    <row r="1101" spans="1:12" x14ac:dyDescent="0.35">
      <c r="A1101" t="str">
        <f t="shared" si="34"/>
        <v>SBM69245941</v>
      </c>
      <c r="B1101" t="s">
        <v>85</v>
      </c>
      <c r="C1101" t="s">
        <v>1482</v>
      </c>
      <c r="D1101" s="32">
        <v>45445</v>
      </c>
      <c r="E1101" t="s">
        <v>1453</v>
      </c>
      <c r="F1101" t="str">
        <f>VLOOKUP(B1101,'Agent wise'!A:E,5,0)</f>
        <v>Wireless</v>
      </c>
      <c r="G1101" s="32">
        <v>45941</v>
      </c>
      <c r="H1101">
        <f>COUNTIFS('Audit Raw data'!J:J,B:B,'Audit Raw data'!E:E,G:G)</f>
        <v>0</v>
      </c>
      <c r="I1101" s="44" t="str">
        <f>IFERROR((SUMIFS('Audit Raw data'!BZ:BZ,'Audit Raw data'!J:J,B:B,'Audit Raw data'!E:E,G:G)/H1101)/100,"-")</f>
        <v>-</v>
      </c>
      <c r="J1101">
        <f>COUNTIFS('Audit Raw data'!AM:AM,"Yes",'Audit Raw data'!J:J,B:B,'Audit Raw data'!E:E,'Day wise agent'!G:G)</f>
        <v>0</v>
      </c>
      <c r="K1101">
        <f>COUNTIFS('Audit Raw data'!AM:AM,"NO",'Audit Raw data'!J:J,B:B,'Audit Raw data'!E:E,'Day wise agent'!G:G)</f>
        <v>0</v>
      </c>
      <c r="L1101" s="12" t="str">
        <f t="shared" si="35"/>
        <v xml:space="preserve"> </v>
      </c>
    </row>
    <row r="1102" spans="1:12" x14ac:dyDescent="0.35">
      <c r="A1102" t="str">
        <f t="shared" si="34"/>
        <v>SBM70345941</v>
      </c>
      <c r="B1102" t="s">
        <v>252</v>
      </c>
      <c r="C1102" t="s">
        <v>1483</v>
      </c>
      <c r="D1102" s="32">
        <v>45451</v>
      </c>
      <c r="E1102" t="s">
        <v>1484</v>
      </c>
      <c r="F1102" t="str">
        <f>VLOOKUP(B1102,'Agent wise'!A:E,5,0)</f>
        <v>Wireless</v>
      </c>
      <c r="G1102" s="32">
        <v>45941</v>
      </c>
      <c r="H1102">
        <f>COUNTIFS('Audit Raw data'!J:J,B:B,'Audit Raw data'!E:E,G:G)</f>
        <v>2</v>
      </c>
      <c r="I1102" s="44">
        <f>IFERROR((SUMIFS('Audit Raw data'!BZ:BZ,'Audit Raw data'!J:J,B:B,'Audit Raw data'!E:E,G:G)/H1102)/100,"-")</f>
        <v>0.93</v>
      </c>
      <c r="J1102">
        <f>COUNTIFS('Audit Raw data'!AM:AM,"Yes",'Audit Raw data'!J:J,B:B,'Audit Raw data'!E:E,'Day wise agent'!G:G)</f>
        <v>2</v>
      </c>
      <c r="K1102">
        <f>COUNTIFS('Audit Raw data'!AM:AM,"NO",'Audit Raw data'!J:J,B:B,'Audit Raw data'!E:E,'Day wise agent'!G:G)</f>
        <v>0</v>
      </c>
      <c r="L1102" s="12">
        <f t="shared" si="35"/>
        <v>1</v>
      </c>
    </row>
    <row r="1103" spans="1:12" x14ac:dyDescent="0.35">
      <c r="A1103" t="str">
        <f t="shared" si="34"/>
        <v>SBM71045941</v>
      </c>
      <c r="B1103" t="s">
        <v>552</v>
      </c>
      <c r="C1103" t="s">
        <v>1485</v>
      </c>
      <c r="D1103" s="32">
        <v>45465</v>
      </c>
      <c r="E1103" t="s">
        <v>1484</v>
      </c>
      <c r="F1103" t="str">
        <f>VLOOKUP(B1103,'Agent wise'!A:E,5,0)</f>
        <v>Wireless</v>
      </c>
      <c r="G1103" s="32">
        <v>45941</v>
      </c>
      <c r="H1103">
        <f>COUNTIFS('Audit Raw data'!J:J,B:B,'Audit Raw data'!E:E,G:G)</f>
        <v>1</v>
      </c>
      <c r="I1103" s="44">
        <f>IFERROR((SUMIFS('Audit Raw data'!BZ:BZ,'Audit Raw data'!J:J,B:B,'Audit Raw data'!E:E,G:G)/H1103)/100,"-")</f>
        <v>0.9</v>
      </c>
      <c r="J1103">
        <f>COUNTIFS('Audit Raw data'!AM:AM,"Yes",'Audit Raw data'!J:J,B:B,'Audit Raw data'!E:E,'Day wise agent'!G:G)</f>
        <v>1</v>
      </c>
      <c r="K1103">
        <f>COUNTIFS('Audit Raw data'!AM:AM,"NO",'Audit Raw data'!J:J,B:B,'Audit Raw data'!E:E,'Day wise agent'!G:G)</f>
        <v>0</v>
      </c>
      <c r="L1103" s="12">
        <f t="shared" si="35"/>
        <v>1</v>
      </c>
    </row>
    <row r="1104" spans="1:12" x14ac:dyDescent="0.35">
      <c r="A1104" t="str">
        <f t="shared" si="34"/>
        <v>SBM71145941</v>
      </c>
      <c r="B1104" t="s">
        <v>533</v>
      </c>
      <c r="C1104" t="s">
        <v>1486</v>
      </c>
      <c r="D1104" s="32">
        <v>45465</v>
      </c>
      <c r="E1104" t="s">
        <v>1484</v>
      </c>
      <c r="F1104" t="str">
        <f>VLOOKUP(B1104,'Agent wise'!A:E,5,0)</f>
        <v>Wireless</v>
      </c>
      <c r="G1104" s="32">
        <v>45941</v>
      </c>
      <c r="H1104">
        <f>COUNTIFS('Audit Raw data'!J:J,B:B,'Audit Raw data'!E:E,G:G)</f>
        <v>1</v>
      </c>
      <c r="I1104" s="44">
        <f>IFERROR((SUMIFS('Audit Raw data'!BZ:BZ,'Audit Raw data'!J:J,B:B,'Audit Raw data'!E:E,G:G)/H1104)/100,"-")</f>
        <v>0.76</v>
      </c>
      <c r="J1104">
        <f>COUNTIFS('Audit Raw data'!AM:AM,"Yes",'Audit Raw data'!J:J,B:B,'Audit Raw data'!E:E,'Day wise agent'!G:G)</f>
        <v>1</v>
      </c>
      <c r="K1104">
        <f>COUNTIFS('Audit Raw data'!AM:AM,"NO",'Audit Raw data'!J:J,B:B,'Audit Raw data'!E:E,'Day wise agent'!G:G)</f>
        <v>0</v>
      </c>
      <c r="L1104" s="12">
        <f t="shared" si="35"/>
        <v>1</v>
      </c>
    </row>
    <row r="1105" spans="1:12" x14ac:dyDescent="0.35">
      <c r="A1105" t="str">
        <f t="shared" si="34"/>
        <v>SBM71845941</v>
      </c>
      <c r="B1105" t="s">
        <v>451</v>
      </c>
      <c r="C1105" t="s">
        <v>1487</v>
      </c>
      <c r="D1105" s="32">
        <v>45491</v>
      </c>
      <c r="E1105" t="s">
        <v>1484</v>
      </c>
      <c r="F1105" t="str">
        <f>VLOOKUP(B1105,'Agent wise'!A:E,5,0)</f>
        <v>Wireless</v>
      </c>
      <c r="G1105" s="32">
        <v>45941</v>
      </c>
      <c r="H1105">
        <f>COUNTIFS('Audit Raw data'!J:J,B:B,'Audit Raw data'!E:E,G:G)</f>
        <v>0</v>
      </c>
      <c r="I1105" s="44" t="str">
        <f>IFERROR((SUMIFS('Audit Raw data'!BZ:BZ,'Audit Raw data'!J:J,B:B,'Audit Raw data'!E:E,G:G)/H1105)/100,"-")</f>
        <v>-</v>
      </c>
      <c r="J1105">
        <f>COUNTIFS('Audit Raw data'!AM:AM,"Yes",'Audit Raw data'!J:J,B:B,'Audit Raw data'!E:E,'Day wise agent'!G:G)</f>
        <v>0</v>
      </c>
      <c r="K1105">
        <f>COUNTIFS('Audit Raw data'!AM:AM,"NO",'Audit Raw data'!J:J,B:B,'Audit Raw data'!E:E,'Day wise agent'!G:G)</f>
        <v>0</v>
      </c>
      <c r="L1105" s="12" t="str">
        <f t="shared" si="35"/>
        <v xml:space="preserve"> </v>
      </c>
    </row>
    <row r="1106" spans="1:12" x14ac:dyDescent="0.35">
      <c r="A1106" t="str">
        <f t="shared" si="34"/>
        <v>SBM72045941</v>
      </c>
      <c r="B1106" t="s">
        <v>557</v>
      </c>
      <c r="C1106" t="s">
        <v>1488</v>
      </c>
      <c r="D1106" s="32">
        <v>45491</v>
      </c>
      <c r="E1106" t="s">
        <v>1484</v>
      </c>
      <c r="F1106" t="str">
        <f>VLOOKUP(B1106,'Agent wise'!A:E,5,0)</f>
        <v>Wireless</v>
      </c>
      <c r="G1106" s="32">
        <v>45941</v>
      </c>
      <c r="H1106">
        <f>COUNTIFS('Audit Raw data'!J:J,B:B,'Audit Raw data'!E:E,G:G)</f>
        <v>0</v>
      </c>
      <c r="I1106" s="44" t="str">
        <f>IFERROR((SUMIFS('Audit Raw data'!BZ:BZ,'Audit Raw data'!J:J,B:B,'Audit Raw data'!E:E,G:G)/H1106)/100,"-")</f>
        <v>-</v>
      </c>
      <c r="J1106">
        <f>COUNTIFS('Audit Raw data'!AM:AM,"Yes",'Audit Raw data'!J:J,B:B,'Audit Raw data'!E:E,'Day wise agent'!G:G)</f>
        <v>0</v>
      </c>
      <c r="K1106">
        <f>COUNTIFS('Audit Raw data'!AM:AM,"NO",'Audit Raw data'!J:J,B:B,'Audit Raw data'!E:E,'Day wise agent'!G:G)</f>
        <v>0</v>
      </c>
      <c r="L1106" s="12" t="str">
        <f t="shared" si="35"/>
        <v xml:space="preserve"> </v>
      </c>
    </row>
    <row r="1107" spans="1:12" x14ac:dyDescent="0.35">
      <c r="A1107" t="str">
        <f t="shared" si="34"/>
        <v>SBM72445941</v>
      </c>
      <c r="B1107" t="s">
        <v>144</v>
      </c>
      <c r="C1107" t="s">
        <v>1489</v>
      </c>
      <c r="D1107" s="32">
        <v>45491</v>
      </c>
      <c r="E1107" t="s">
        <v>1484</v>
      </c>
      <c r="F1107" t="str">
        <f>VLOOKUP(B1107,'Agent wise'!A:E,5,0)</f>
        <v>Wireless</v>
      </c>
      <c r="G1107" s="32">
        <v>45941</v>
      </c>
      <c r="H1107">
        <f>COUNTIFS('Audit Raw data'!J:J,B:B,'Audit Raw data'!E:E,G:G)</f>
        <v>0</v>
      </c>
      <c r="I1107" s="44" t="str">
        <f>IFERROR((SUMIFS('Audit Raw data'!BZ:BZ,'Audit Raw data'!J:J,B:B,'Audit Raw data'!E:E,G:G)/H1107)/100,"-")</f>
        <v>-</v>
      </c>
      <c r="J1107">
        <f>COUNTIFS('Audit Raw data'!AM:AM,"Yes",'Audit Raw data'!J:J,B:B,'Audit Raw data'!E:E,'Day wise agent'!G:G)</f>
        <v>0</v>
      </c>
      <c r="K1107">
        <f>COUNTIFS('Audit Raw data'!AM:AM,"NO",'Audit Raw data'!J:J,B:B,'Audit Raw data'!E:E,'Day wise agent'!G:G)</f>
        <v>0</v>
      </c>
      <c r="L1107" s="12" t="str">
        <f t="shared" si="35"/>
        <v xml:space="preserve"> </v>
      </c>
    </row>
    <row r="1108" spans="1:12" x14ac:dyDescent="0.35">
      <c r="A1108" t="str">
        <f t="shared" si="34"/>
        <v>SBM73445941</v>
      </c>
      <c r="B1108" t="s">
        <v>356</v>
      </c>
      <c r="C1108" t="s">
        <v>1490</v>
      </c>
      <c r="D1108" s="32">
        <v>45497</v>
      </c>
      <c r="E1108" t="s">
        <v>221</v>
      </c>
      <c r="F1108" t="str">
        <f>VLOOKUP(B1108,'Agent wise'!A:E,5,0)</f>
        <v>Wire-line</v>
      </c>
      <c r="G1108" s="32">
        <v>45941</v>
      </c>
      <c r="H1108">
        <f>COUNTIFS('Audit Raw data'!J:J,B:B,'Audit Raw data'!E:E,G:G)</f>
        <v>1</v>
      </c>
      <c r="I1108" s="44">
        <f>IFERROR((SUMIFS('Audit Raw data'!BZ:BZ,'Audit Raw data'!J:J,B:B,'Audit Raw data'!E:E,G:G)/H1108)/100,"-")</f>
        <v>0.96</v>
      </c>
      <c r="J1108">
        <f>COUNTIFS('Audit Raw data'!AM:AM,"Yes",'Audit Raw data'!J:J,B:B,'Audit Raw data'!E:E,'Day wise agent'!G:G)</f>
        <v>1</v>
      </c>
      <c r="K1108">
        <f>COUNTIFS('Audit Raw data'!AM:AM,"NO",'Audit Raw data'!J:J,B:B,'Audit Raw data'!E:E,'Day wise agent'!G:G)</f>
        <v>0</v>
      </c>
      <c r="L1108" s="12">
        <f t="shared" si="35"/>
        <v>1</v>
      </c>
    </row>
    <row r="1109" spans="1:12" x14ac:dyDescent="0.35">
      <c r="A1109" t="str">
        <f t="shared" si="34"/>
        <v>SBM73645941</v>
      </c>
      <c r="B1109" t="s">
        <v>501</v>
      </c>
      <c r="C1109" t="s">
        <v>1491</v>
      </c>
      <c r="D1109" s="32">
        <v>45500</v>
      </c>
      <c r="E1109" t="s">
        <v>221</v>
      </c>
      <c r="F1109" t="str">
        <f>VLOOKUP(B1109,'Agent wise'!A:E,5,0)</f>
        <v>Wire-line</v>
      </c>
      <c r="G1109" s="32">
        <v>45941</v>
      </c>
      <c r="H1109">
        <f>COUNTIFS('Audit Raw data'!J:J,B:B,'Audit Raw data'!E:E,G:G)</f>
        <v>2</v>
      </c>
      <c r="I1109" s="44">
        <f>IFERROR((SUMIFS('Audit Raw data'!BZ:BZ,'Audit Raw data'!J:J,B:B,'Audit Raw data'!E:E,G:G)/H1109)/100,"-")</f>
        <v>0.88</v>
      </c>
      <c r="J1109">
        <f>COUNTIFS('Audit Raw data'!AM:AM,"Yes",'Audit Raw data'!J:J,B:B,'Audit Raw data'!E:E,'Day wise agent'!G:G)</f>
        <v>2</v>
      </c>
      <c r="K1109">
        <f>COUNTIFS('Audit Raw data'!AM:AM,"NO",'Audit Raw data'!J:J,B:B,'Audit Raw data'!E:E,'Day wise agent'!G:G)</f>
        <v>0</v>
      </c>
      <c r="L1109" s="12">
        <f t="shared" si="35"/>
        <v>1</v>
      </c>
    </row>
    <row r="1110" spans="1:12" x14ac:dyDescent="0.35">
      <c r="A1110" t="str">
        <f t="shared" si="34"/>
        <v>SBM73945941</v>
      </c>
      <c r="B1110" t="s">
        <v>559</v>
      </c>
      <c r="C1110" t="s">
        <v>1492</v>
      </c>
      <c r="D1110" s="32">
        <v>45516</v>
      </c>
      <c r="E1110" t="s">
        <v>1484</v>
      </c>
      <c r="F1110" t="str">
        <f>VLOOKUP(B1110,'Agent wise'!A:E,5,0)</f>
        <v>Wireless</v>
      </c>
      <c r="G1110" s="32">
        <v>45941</v>
      </c>
      <c r="H1110">
        <f>COUNTIFS('Audit Raw data'!J:J,B:B,'Audit Raw data'!E:E,G:G)</f>
        <v>0</v>
      </c>
      <c r="I1110" s="44" t="str">
        <f>IFERROR((SUMIFS('Audit Raw data'!BZ:BZ,'Audit Raw data'!J:J,B:B,'Audit Raw data'!E:E,G:G)/H1110)/100,"-")</f>
        <v>-</v>
      </c>
      <c r="J1110">
        <f>COUNTIFS('Audit Raw data'!AM:AM,"Yes",'Audit Raw data'!J:J,B:B,'Audit Raw data'!E:E,'Day wise agent'!G:G)</f>
        <v>0</v>
      </c>
      <c r="K1110">
        <f>COUNTIFS('Audit Raw data'!AM:AM,"NO",'Audit Raw data'!J:J,B:B,'Audit Raw data'!E:E,'Day wise agent'!G:G)</f>
        <v>0</v>
      </c>
      <c r="L1110" s="12" t="str">
        <f t="shared" si="35"/>
        <v xml:space="preserve"> </v>
      </c>
    </row>
    <row r="1111" spans="1:12" x14ac:dyDescent="0.35">
      <c r="A1111" t="str">
        <f t="shared" si="34"/>
        <v>SBM74445941</v>
      </c>
      <c r="B1111" t="s">
        <v>96</v>
      </c>
      <c r="C1111" t="s">
        <v>1493</v>
      </c>
      <c r="D1111" s="32">
        <v>45516</v>
      </c>
      <c r="E1111" t="s">
        <v>1484</v>
      </c>
      <c r="F1111" t="str">
        <f>VLOOKUP(B1111,'Agent wise'!A:E,5,0)</f>
        <v>Wireless</v>
      </c>
      <c r="G1111" s="32">
        <v>45941</v>
      </c>
      <c r="H1111">
        <f>COUNTIFS('Audit Raw data'!J:J,B:B,'Audit Raw data'!E:E,G:G)</f>
        <v>0</v>
      </c>
      <c r="I1111" s="44" t="str">
        <f>IFERROR((SUMIFS('Audit Raw data'!BZ:BZ,'Audit Raw data'!J:J,B:B,'Audit Raw data'!E:E,G:G)/H1111)/100,"-")</f>
        <v>-</v>
      </c>
      <c r="J1111">
        <f>COUNTIFS('Audit Raw data'!AM:AM,"Yes",'Audit Raw data'!J:J,B:B,'Audit Raw data'!E:E,'Day wise agent'!G:G)</f>
        <v>0</v>
      </c>
      <c r="K1111">
        <f>COUNTIFS('Audit Raw data'!AM:AM,"NO",'Audit Raw data'!J:J,B:B,'Audit Raw data'!E:E,'Day wise agent'!G:G)</f>
        <v>0</v>
      </c>
      <c r="L1111" s="12" t="str">
        <f t="shared" si="35"/>
        <v xml:space="preserve"> </v>
      </c>
    </row>
    <row r="1112" spans="1:12" x14ac:dyDescent="0.35">
      <c r="A1112" t="str">
        <f t="shared" si="34"/>
        <v>SBM75545941</v>
      </c>
      <c r="B1112" t="s">
        <v>409</v>
      </c>
      <c r="C1112" t="s">
        <v>1494</v>
      </c>
      <c r="D1112" s="32">
        <v>45518</v>
      </c>
      <c r="E1112" t="s">
        <v>221</v>
      </c>
      <c r="F1112" t="str">
        <f>VLOOKUP(B1112,'Agent wise'!A:E,5,0)</f>
        <v>Wire-line</v>
      </c>
      <c r="G1112" s="32">
        <v>45941</v>
      </c>
      <c r="H1112">
        <f>COUNTIFS('Audit Raw data'!J:J,B:B,'Audit Raw data'!E:E,G:G)</f>
        <v>1</v>
      </c>
      <c r="I1112" s="44">
        <f>IFERROR((SUMIFS('Audit Raw data'!BZ:BZ,'Audit Raw data'!J:J,B:B,'Audit Raw data'!E:E,G:G)/H1112)/100,"-")</f>
        <v>0.94</v>
      </c>
      <c r="J1112">
        <f>COUNTIFS('Audit Raw data'!AM:AM,"Yes",'Audit Raw data'!J:J,B:B,'Audit Raw data'!E:E,'Day wise agent'!G:G)</f>
        <v>1</v>
      </c>
      <c r="K1112">
        <f>COUNTIFS('Audit Raw data'!AM:AM,"NO",'Audit Raw data'!J:J,B:B,'Audit Raw data'!E:E,'Day wise agent'!G:G)</f>
        <v>0</v>
      </c>
      <c r="L1112" s="12">
        <f t="shared" si="35"/>
        <v>1</v>
      </c>
    </row>
    <row r="1113" spans="1:12" x14ac:dyDescent="0.35">
      <c r="A1113" t="str">
        <f t="shared" si="34"/>
        <v>SBM75845941</v>
      </c>
      <c r="B1113" t="s">
        <v>420</v>
      </c>
      <c r="C1113" t="s">
        <v>1502</v>
      </c>
      <c r="D1113" s="32">
        <v>45518</v>
      </c>
      <c r="E1113" t="s">
        <v>221</v>
      </c>
      <c r="F1113" t="str">
        <f>VLOOKUP(B1113,'Agent wise'!A:E,5,0)</f>
        <v>Wire-line</v>
      </c>
      <c r="G1113" s="32">
        <v>45941</v>
      </c>
      <c r="H1113">
        <f>COUNTIFS('Audit Raw data'!J:J,B:B,'Audit Raw data'!E:E,G:G)</f>
        <v>2</v>
      </c>
      <c r="I1113" s="44">
        <f>IFERROR((SUMIFS('Audit Raw data'!BZ:BZ,'Audit Raw data'!J:J,B:B,'Audit Raw data'!E:E,G:G)/H1113)/100,"-")</f>
        <v>0.97</v>
      </c>
      <c r="J1113">
        <f>COUNTIFS('Audit Raw data'!AM:AM,"Yes",'Audit Raw data'!J:J,B:B,'Audit Raw data'!E:E,'Day wise agent'!G:G)</f>
        <v>2</v>
      </c>
      <c r="K1113">
        <f>COUNTIFS('Audit Raw data'!AM:AM,"NO",'Audit Raw data'!J:J,B:B,'Audit Raw data'!E:E,'Day wise agent'!G:G)</f>
        <v>0</v>
      </c>
      <c r="L1113" s="12">
        <f t="shared" si="35"/>
        <v>1</v>
      </c>
    </row>
    <row r="1114" spans="1:12" x14ac:dyDescent="0.35">
      <c r="A1114" t="str">
        <f t="shared" si="34"/>
        <v>SBM76745941</v>
      </c>
      <c r="B1114" t="s">
        <v>442</v>
      </c>
      <c r="C1114" t="s">
        <v>1495</v>
      </c>
      <c r="D1114" s="32">
        <v>45520</v>
      </c>
      <c r="E1114" t="s">
        <v>107</v>
      </c>
      <c r="F1114" t="str">
        <f>VLOOKUP(B1114,'Agent wise'!A:E,5,0)</f>
        <v>Wireless</v>
      </c>
      <c r="G1114" s="32">
        <v>45941</v>
      </c>
      <c r="H1114">
        <f>COUNTIFS('Audit Raw data'!J:J,B:B,'Audit Raw data'!E:E,G:G)</f>
        <v>0</v>
      </c>
      <c r="I1114" s="44" t="str">
        <f>IFERROR((SUMIFS('Audit Raw data'!BZ:BZ,'Audit Raw data'!J:J,B:B,'Audit Raw data'!E:E,G:G)/H1114)/100,"-")</f>
        <v>-</v>
      </c>
      <c r="J1114">
        <f>COUNTIFS('Audit Raw data'!AM:AM,"Yes",'Audit Raw data'!J:J,B:B,'Audit Raw data'!E:E,'Day wise agent'!G:G)</f>
        <v>0</v>
      </c>
      <c r="K1114">
        <f>COUNTIFS('Audit Raw data'!AM:AM,"NO",'Audit Raw data'!J:J,B:B,'Audit Raw data'!E:E,'Day wise agent'!G:G)</f>
        <v>0</v>
      </c>
      <c r="L1114" s="12" t="str">
        <f t="shared" si="35"/>
        <v xml:space="preserve"> </v>
      </c>
    </row>
    <row r="1115" spans="1:12" x14ac:dyDescent="0.35">
      <c r="A1115" t="str">
        <f t="shared" si="34"/>
        <v>SBM77245941</v>
      </c>
      <c r="B1115" t="s">
        <v>640</v>
      </c>
      <c r="C1115" t="s">
        <v>1497</v>
      </c>
      <c r="D1115" s="32">
        <v>45528</v>
      </c>
      <c r="E1115" t="s">
        <v>178</v>
      </c>
      <c r="F1115" t="str">
        <f>VLOOKUP(B1115,'Agent wise'!A:E,5,0)</f>
        <v>Wireless</v>
      </c>
      <c r="G1115" s="32">
        <v>45941</v>
      </c>
      <c r="H1115">
        <f>COUNTIFS('Audit Raw data'!J:J,B:B,'Audit Raw data'!E:E,G:G)</f>
        <v>0</v>
      </c>
      <c r="I1115" s="44" t="str">
        <f>IFERROR((SUMIFS('Audit Raw data'!BZ:BZ,'Audit Raw data'!J:J,B:B,'Audit Raw data'!E:E,G:G)/H1115)/100,"-")</f>
        <v>-</v>
      </c>
      <c r="J1115">
        <f>COUNTIFS('Audit Raw data'!AM:AM,"Yes",'Audit Raw data'!J:J,B:B,'Audit Raw data'!E:E,'Day wise agent'!G:G)</f>
        <v>0</v>
      </c>
      <c r="K1115">
        <f>COUNTIFS('Audit Raw data'!AM:AM,"NO",'Audit Raw data'!J:J,B:B,'Audit Raw data'!E:E,'Day wise agent'!G:G)</f>
        <v>0</v>
      </c>
      <c r="L1115" s="12" t="str">
        <f t="shared" si="35"/>
        <v xml:space="preserve"> </v>
      </c>
    </row>
    <row r="1116" spans="1:12" x14ac:dyDescent="0.35">
      <c r="A1116" t="str">
        <f t="shared" si="34"/>
        <v>SBM77345941</v>
      </c>
      <c r="B1116" t="s">
        <v>464</v>
      </c>
      <c r="C1116" t="s">
        <v>1496</v>
      </c>
      <c r="D1116" s="32">
        <v>45526</v>
      </c>
      <c r="E1116" t="s">
        <v>178</v>
      </c>
      <c r="F1116" t="str">
        <f>VLOOKUP(B1116,'Agent wise'!A:E,5,0)</f>
        <v>Wireless</v>
      </c>
      <c r="G1116" s="32">
        <v>45941</v>
      </c>
      <c r="H1116">
        <f>COUNTIFS('Audit Raw data'!J:J,B:B,'Audit Raw data'!E:E,G:G)</f>
        <v>0</v>
      </c>
      <c r="I1116" s="44" t="str">
        <f>IFERROR((SUMIFS('Audit Raw data'!BZ:BZ,'Audit Raw data'!J:J,B:B,'Audit Raw data'!E:E,G:G)/H1116)/100,"-")</f>
        <v>-</v>
      </c>
      <c r="J1116">
        <f>COUNTIFS('Audit Raw data'!AM:AM,"Yes",'Audit Raw data'!J:J,B:B,'Audit Raw data'!E:E,'Day wise agent'!G:G)</f>
        <v>0</v>
      </c>
      <c r="K1116">
        <f>COUNTIFS('Audit Raw data'!AM:AM,"NO",'Audit Raw data'!J:J,B:B,'Audit Raw data'!E:E,'Day wise agent'!G:G)</f>
        <v>0</v>
      </c>
      <c r="L1116" s="12" t="str">
        <f t="shared" si="35"/>
        <v xml:space="preserve"> </v>
      </c>
    </row>
    <row r="1117" spans="1:12" x14ac:dyDescent="0.35">
      <c r="A1117" t="str">
        <f t="shared" si="34"/>
        <v>SBM77545941</v>
      </c>
      <c r="B1117" t="s">
        <v>643</v>
      </c>
      <c r="C1117" t="s">
        <v>1498</v>
      </c>
      <c r="D1117" s="32">
        <v>45535</v>
      </c>
      <c r="E1117" t="s">
        <v>1484</v>
      </c>
      <c r="F1117" t="str">
        <f>VLOOKUP(B1117,'Agent wise'!A:E,5,0)</f>
        <v>Wireless</v>
      </c>
      <c r="G1117" s="32">
        <v>45941</v>
      </c>
      <c r="H1117">
        <f>COUNTIFS('Audit Raw data'!J:J,B:B,'Audit Raw data'!E:E,G:G)</f>
        <v>0</v>
      </c>
      <c r="I1117" s="44" t="str">
        <f>IFERROR((SUMIFS('Audit Raw data'!BZ:BZ,'Audit Raw data'!J:J,B:B,'Audit Raw data'!E:E,G:G)/H1117)/100,"-")</f>
        <v>-</v>
      </c>
      <c r="J1117">
        <f>COUNTIFS('Audit Raw data'!AM:AM,"Yes",'Audit Raw data'!J:J,B:B,'Audit Raw data'!E:E,'Day wise agent'!G:G)</f>
        <v>0</v>
      </c>
      <c r="K1117">
        <f>COUNTIFS('Audit Raw data'!AM:AM,"NO",'Audit Raw data'!J:J,B:B,'Audit Raw data'!E:E,'Day wise agent'!G:G)</f>
        <v>0</v>
      </c>
      <c r="L1117" s="12" t="str">
        <f t="shared" si="35"/>
        <v xml:space="preserve"> </v>
      </c>
    </row>
    <row r="1118" spans="1:12" x14ac:dyDescent="0.35">
      <c r="A1118" t="str">
        <f t="shared" si="34"/>
        <v>SBM79245941</v>
      </c>
      <c r="B1118" t="s">
        <v>179</v>
      </c>
      <c r="C1118" t="s">
        <v>1499</v>
      </c>
      <c r="D1118" s="32">
        <v>45545</v>
      </c>
      <c r="E1118" t="s">
        <v>178</v>
      </c>
      <c r="F1118" t="str">
        <f>VLOOKUP(B1118,'Agent wise'!A:E,5,0)</f>
        <v>Wireless</v>
      </c>
      <c r="G1118" s="32">
        <v>45941</v>
      </c>
      <c r="H1118">
        <f>COUNTIFS('Audit Raw data'!J:J,B:B,'Audit Raw data'!E:E,G:G)</f>
        <v>0</v>
      </c>
      <c r="I1118" s="44" t="str">
        <f>IFERROR((SUMIFS('Audit Raw data'!BZ:BZ,'Audit Raw data'!J:J,B:B,'Audit Raw data'!E:E,G:G)/H1118)/100,"-")</f>
        <v>-</v>
      </c>
      <c r="J1118">
        <f>COUNTIFS('Audit Raw data'!AM:AM,"Yes",'Audit Raw data'!J:J,B:B,'Audit Raw data'!E:E,'Day wise agent'!G:G)</f>
        <v>0</v>
      </c>
      <c r="K1118">
        <f>COUNTIFS('Audit Raw data'!AM:AM,"NO",'Audit Raw data'!J:J,B:B,'Audit Raw data'!E:E,'Day wise agent'!G:G)</f>
        <v>0</v>
      </c>
      <c r="L1118" s="12" t="str">
        <f t="shared" si="35"/>
        <v xml:space="preserve"> </v>
      </c>
    </row>
    <row r="1119" spans="1:12" x14ac:dyDescent="0.35">
      <c r="A1119" t="str">
        <f t="shared" si="34"/>
        <v>SBM79445941</v>
      </c>
      <c r="B1119" t="s">
        <v>246</v>
      </c>
      <c r="C1119" t="s">
        <v>1500</v>
      </c>
      <c r="D1119" s="32">
        <v>45550</v>
      </c>
      <c r="E1119" t="s">
        <v>221</v>
      </c>
      <c r="F1119" t="str">
        <f>VLOOKUP(B1119,'Agent wise'!A:E,5,0)</f>
        <v>Wire-line</v>
      </c>
      <c r="G1119" s="32">
        <v>45941</v>
      </c>
      <c r="H1119">
        <f>COUNTIFS('Audit Raw data'!J:J,B:B,'Audit Raw data'!E:E,G:G)</f>
        <v>2</v>
      </c>
      <c r="I1119" s="44">
        <f>IFERROR((SUMIFS('Audit Raw data'!BZ:BZ,'Audit Raw data'!J:J,B:B,'Audit Raw data'!E:E,G:G)/H1119)/100,"-")</f>
        <v>0.97</v>
      </c>
      <c r="J1119">
        <f>COUNTIFS('Audit Raw data'!AM:AM,"Yes",'Audit Raw data'!J:J,B:B,'Audit Raw data'!E:E,'Day wise agent'!G:G)</f>
        <v>2</v>
      </c>
      <c r="K1119">
        <f>COUNTIFS('Audit Raw data'!AM:AM,"NO",'Audit Raw data'!J:J,B:B,'Audit Raw data'!E:E,'Day wise agent'!G:G)</f>
        <v>0</v>
      </c>
      <c r="L1119" s="12">
        <f t="shared" si="35"/>
        <v>1</v>
      </c>
    </row>
    <row r="1120" spans="1:12" x14ac:dyDescent="0.35">
      <c r="A1120" t="str">
        <f t="shared" si="34"/>
        <v>SBM90145941</v>
      </c>
      <c r="B1120" t="s">
        <v>646</v>
      </c>
      <c r="C1120" t="s">
        <v>1501</v>
      </c>
      <c r="D1120" s="32">
        <v>45564</v>
      </c>
      <c r="E1120" t="s">
        <v>1484</v>
      </c>
      <c r="F1120" t="str">
        <f>VLOOKUP(B1120,'Agent wise'!A:E,5,0)</f>
        <v>Wireless</v>
      </c>
      <c r="G1120" s="32">
        <v>45941</v>
      </c>
      <c r="H1120">
        <f>COUNTIFS('Audit Raw data'!J:J,B:B,'Audit Raw data'!E:E,G:G)</f>
        <v>2</v>
      </c>
      <c r="I1120" s="44">
        <f>IFERROR((SUMIFS('Audit Raw data'!BZ:BZ,'Audit Raw data'!J:J,B:B,'Audit Raw data'!E:E,G:G)/H1120)/100,"-")</f>
        <v>0.9</v>
      </c>
      <c r="J1120">
        <f>COUNTIFS('Audit Raw data'!AM:AM,"Yes",'Audit Raw data'!J:J,B:B,'Audit Raw data'!E:E,'Day wise agent'!G:G)</f>
        <v>2</v>
      </c>
      <c r="K1120">
        <f>COUNTIFS('Audit Raw data'!AM:AM,"NO",'Audit Raw data'!J:J,B:B,'Audit Raw data'!E:E,'Day wise agent'!G:G)</f>
        <v>0</v>
      </c>
      <c r="L1120" s="12">
        <f t="shared" si="35"/>
        <v>1</v>
      </c>
    </row>
    <row r="1121" spans="1:12" x14ac:dyDescent="0.35">
      <c r="A1121" t="str">
        <f t="shared" si="34"/>
        <v>SBM91345941</v>
      </c>
      <c r="B1121" t="s">
        <v>650</v>
      </c>
      <c r="C1121" t="s">
        <v>1503</v>
      </c>
      <c r="D1121" s="32">
        <v>45589</v>
      </c>
      <c r="E1121" t="s">
        <v>178</v>
      </c>
      <c r="F1121" t="str">
        <f>VLOOKUP(B1121,'Agent wise'!A:E,5,0)</f>
        <v>Wireless</v>
      </c>
      <c r="G1121" s="32">
        <v>45941</v>
      </c>
      <c r="H1121">
        <f>COUNTIFS('Audit Raw data'!J:J,B:B,'Audit Raw data'!E:E,G:G)</f>
        <v>0</v>
      </c>
      <c r="I1121" s="44" t="str">
        <f>IFERROR((SUMIFS('Audit Raw data'!BZ:BZ,'Audit Raw data'!J:J,B:B,'Audit Raw data'!E:E,G:G)/H1121)/100,"-")</f>
        <v>-</v>
      </c>
      <c r="J1121">
        <f>COUNTIFS('Audit Raw data'!AM:AM,"Yes",'Audit Raw data'!J:J,B:B,'Audit Raw data'!E:E,'Day wise agent'!G:G)</f>
        <v>0</v>
      </c>
      <c r="K1121">
        <f>COUNTIFS('Audit Raw data'!AM:AM,"NO",'Audit Raw data'!J:J,B:B,'Audit Raw data'!E:E,'Day wise agent'!G:G)</f>
        <v>0</v>
      </c>
      <c r="L1121" s="12" t="str">
        <f t="shared" si="35"/>
        <v xml:space="preserve"> </v>
      </c>
    </row>
    <row r="1122" spans="1:12" x14ac:dyDescent="0.35">
      <c r="A1122" t="str">
        <f t="shared" si="34"/>
        <v>SBM94645941</v>
      </c>
      <c r="B1122" t="s">
        <v>653</v>
      </c>
      <c r="C1122" t="s">
        <v>1505</v>
      </c>
      <c r="D1122" s="32">
        <v>45635</v>
      </c>
      <c r="E1122" t="s">
        <v>1453</v>
      </c>
      <c r="F1122" t="str">
        <f>VLOOKUP(B1122,'Agent wise'!A:E,5,0)</f>
        <v>Wireless</v>
      </c>
      <c r="G1122" s="32">
        <v>45941</v>
      </c>
      <c r="H1122">
        <f>COUNTIFS('Audit Raw data'!J:J,B:B,'Audit Raw data'!E:E,G:G)</f>
        <v>1</v>
      </c>
      <c r="I1122" s="44">
        <f>IFERROR((SUMIFS('Audit Raw data'!BZ:BZ,'Audit Raw data'!J:J,B:B,'Audit Raw data'!E:E,G:G)/H1122)/100,"-")</f>
        <v>0.98</v>
      </c>
      <c r="J1122">
        <f>COUNTIFS('Audit Raw data'!AM:AM,"Yes",'Audit Raw data'!J:J,B:B,'Audit Raw data'!E:E,'Day wise agent'!G:G)</f>
        <v>1</v>
      </c>
      <c r="K1122">
        <f>COUNTIFS('Audit Raw data'!AM:AM,"NO",'Audit Raw data'!J:J,B:B,'Audit Raw data'!E:E,'Day wise agent'!G:G)</f>
        <v>0</v>
      </c>
      <c r="L1122" s="12">
        <f t="shared" si="35"/>
        <v>1</v>
      </c>
    </row>
    <row r="1123" spans="1:12" x14ac:dyDescent="0.35">
      <c r="A1123" t="str">
        <f t="shared" si="34"/>
        <v>SBM95845941</v>
      </c>
      <c r="B1123" t="s">
        <v>124</v>
      </c>
      <c r="C1123" t="s">
        <v>1508</v>
      </c>
      <c r="D1123" s="32">
        <v>45641</v>
      </c>
      <c r="E1123" t="s">
        <v>1453</v>
      </c>
      <c r="F1123" t="str">
        <f>VLOOKUP(B1123,'Agent wise'!A:E,5,0)</f>
        <v>Wireless</v>
      </c>
      <c r="G1123" s="32">
        <v>45941</v>
      </c>
      <c r="H1123">
        <f>COUNTIFS('Audit Raw data'!J:J,B:B,'Audit Raw data'!E:E,G:G)</f>
        <v>0</v>
      </c>
      <c r="I1123" s="44" t="str">
        <f>IFERROR((SUMIFS('Audit Raw data'!BZ:BZ,'Audit Raw data'!J:J,B:B,'Audit Raw data'!E:E,G:G)/H1123)/100,"-")</f>
        <v>-</v>
      </c>
      <c r="J1123">
        <f>COUNTIFS('Audit Raw data'!AM:AM,"Yes",'Audit Raw data'!J:J,B:B,'Audit Raw data'!E:E,'Day wise agent'!G:G)</f>
        <v>0</v>
      </c>
      <c r="K1123">
        <f>COUNTIFS('Audit Raw data'!AM:AM,"NO",'Audit Raw data'!J:J,B:B,'Audit Raw data'!E:E,'Day wise agent'!G:G)</f>
        <v>0</v>
      </c>
      <c r="L1123" s="12" t="str">
        <f t="shared" si="35"/>
        <v xml:space="preserve"> </v>
      </c>
    </row>
    <row r="1124" spans="1:12" x14ac:dyDescent="0.35">
      <c r="A1124" t="str">
        <f t="shared" si="34"/>
        <v>SBM96345941</v>
      </c>
      <c r="B1124" t="s">
        <v>149</v>
      </c>
      <c r="C1124" t="s">
        <v>1506</v>
      </c>
      <c r="D1124" s="32">
        <v>45637</v>
      </c>
      <c r="E1124" t="s">
        <v>107</v>
      </c>
      <c r="F1124" t="str">
        <f>VLOOKUP(B1124,'Agent wise'!A:E,5,0)</f>
        <v>Wireless</v>
      </c>
      <c r="G1124" s="32">
        <v>45941</v>
      </c>
      <c r="H1124">
        <f>COUNTIFS('Audit Raw data'!J:J,B:B,'Audit Raw data'!E:E,G:G)</f>
        <v>0</v>
      </c>
      <c r="I1124" s="44" t="str">
        <f>IFERROR((SUMIFS('Audit Raw data'!BZ:BZ,'Audit Raw data'!J:J,B:B,'Audit Raw data'!E:E,G:G)/H1124)/100,"-")</f>
        <v>-</v>
      </c>
      <c r="J1124">
        <f>COUNTIFS('Audit Raw data'!AM:AM,"Yes",'Audit Raw data'!J:J,B:B,'Audit Raw data'!E:E,'Day wise agent'!G:G)</f>
        <v>0</v>
      </c>
      <c r="K1124">
        <f>COUNTIFS('Audit Raw data'!AM:AM,"NO",'Audit Raw data'!J:J,B:B,'Audit Raw data'!E:E,'Day wise agent'!G:G)</f>
        <v>0</v>
      </c>
      <c r="L1124" s="12" t="str">
        <f t="shared" si="35"/>
        <v xml:space="preserve"> </v>
      </c>
    </row>
    <row r="1125" spans="1:12" x14ac:dyDescent="0.35">
      <c r="A1125" t="str">
        <f t="shared" si="34"/>
        <v>SBM96745941</v>
      </c>
      <c r="B1125" t="s">
        <v>657</v>
      </c>
      <c r="C1125" t="s">
        <v>1507</v>
      </c>
      <c r="D1125" s="32">
        <v>45640</v>
      </c>
      <c r="E1125" t="s">
        <v>1453</v>
      </c>
      <c r="F1125" t="str">
        <f>VLOOKUP(B1125,'Agent wise'!A:E,5,0)</f>
        <v>Wireless</v>
      </c>
      <c r="G1125" s="32">
        <v>45941</v>
      </c>
      <c r="H1125">
        <f>COUNTIFS('Audit Raw data'!J:J,B:B,'Audit Raw data'!E:E,G:G)</f>
        <v>0</v>
      </c>
      <c r="I1125" s="44" t="str">
        <f>IFERROR((SUMIFS('Audit Raw data'!BZ:BZ,'Audit Raw data'!J:J,B:B,'Audit Raw data'!E:E,G:G)/H1125)/100,"-")</f>
        <v>-</v>
      </c>
      <c r="J1125">
        <f>COUNTIFS('Audit Raw data'!AM:AM,"Yes",'Audit Raw data'!J:J,B:B,'Audit Raw data'!E:E,'Day wise agent'!G:G)</f>
        <v>0</v>
      </c>
      <c r="K1125">
        <f>COUNTIFS('Audit Raw data'!AM:AM,"NO",'Audit Raw data'!J:J,B:B,'Audit Raw data'!E:E,'Day wise agent'!G:G)</f>
        <v>0</v>
      </c>
      <c r="L1125" s="12" t="str">
        <f t="shared" si="35"/>
        <v xml:space="preserve"> </v>
      </c>
    </row>
    <row r="1126" spans="1:12" x14ac:dyDescent="0.35">
      <c r="A1126" t="str">
        <f t="shared" si="34"/>
        <v>SBM98345941</v>
      </c>
      <c r="B1126" t="s">
        <v>1509</v>
      </c>
      <c r="C1126" t="s">
        <v>1510</v>
      </c>
      <c r="D1126" s="32">
        <v>45659</v>
      </c>
      <c r="E1126" t="s">
        <v>1484</v>
      </c>
      <c r="F1126" t="str">
        <f>VLOOKUP(B1126,'Agent wise'!A:E,5,0)</f>
        <v>Wireless</v>
      </c>
      <c r="G1126" s="32">
        <v>45941</v>
      </c>
      <c r="H1126">
        <f>COUNTIFS('Audit Raw data'!J:J,B:B,'Audit Raw data'!E:E,G:G)</f>
        <v>0</v>
      </c>
      <c r="I1126" s="44" t="str">
        <f>IFERROR((SUMIFS('Audit Raw data'!BZ:BZ,'Audit Raw data'!J:J,B:B,'Audit Raw data'!E:E,G:G)/H1126)/100,"-")</f>
        <v>-</v>
      </c>
      <c r="J1126">
        <f>COUNTIFS('Audit Raw data'!AM:AM,"Yes",'Audit Raw data'!J:J,B:B,'Audit Raw data'!E:E,'Day wise agent'!G:G)</f>
        <v>0</v>
      </c>
      <c r="K1126">
        <f>COUNTIFS('Audit Raw data'!AM:AM,"NO",'Audit Raw data'!J:J,B:B,'Audit Raw data'!E:E,'Day wise agent'!G:G)</f>
        <v>0</v>
      </c>
      <c r="L1126" s="12" t="str">
        <f t="shared" si="35"/>
        <v xml:space="preserve"> </v>
      </c>
    </row>
    <row r="1127" spans="1:12" x14ac:dyDescent="0.35">
      <c r="A1127" t="str">
        <f t="shared" si="34"/>
        <v>SBM99045941</v>
      </c>
      <c r="B1127" t="s">
        <v>660</v>
      </c>
      <c r="C1127" t="s">
        <v>1512</v>
      </c>
      <c r="D1127" s="32">
        <v>45663</v>
      </c>
      <c r="E1127" t="s">
        <v>178</v>
      </c>
      <c r="F1127" t="str">
        <f>VLOOKUP(B1127,'Agent wise'!A:E,5,0)</f>
        <v>Wireless</v>
      </c>
      <c r="G1127" s="32">
        <v>45941</v>
      </c>
      <c r="H1127">
        <f>COUNTIFS('Audit Raw data'!J:J,B:B,'Audit Raw data'!E:E,G:G)</f>
        <v>0</v>
      </c>
      <c r="I1127" s="44" t="str">
        <f>IFERROR((SUMIFS('Audit Raw data'!BZ:BZ,'Audit Raw data'!J:J,B:B,'Audit Raw data'!E:E,G:G)/H1127)/100,"-")</f>
        <v>-</v>
      </c>
      <c r="J1127">
        <f>COUNTIFS('Audit Raw data'!AM:AM,"Yes",'Audit Raw data'!J:J,B:B,'Audit Raw data'!E:E,'Day wise agent'!G:G)</f>
        <v>0</v>
      </c>
      <c r="K1127">
        <f>COUNTIFS('Audit Raw data'!AM:AM,"NO",'Audit Raw data'!J:J,B:B,'Audit Raw data'!E:E,'Day wise agent'!G:G)</f>
        <v>0</v>
      </c>
      <c r="L1127" s="12" t="str">
        <f t="shared" si="35"/>
        <v xml:space="preserve"> </v>
      </c>
    </row>
    <row r="1128" spans="1:12" x14ac:dyDescent="0.35">
      <c r="A1128" t="str">
        <f t="shared" si="34"/>
        <v>VPS10645941</v>
      </c>
      <c r="B1128" t="s">
        <v>1513</v>
      </c>
      <c r="C1128" t="s">
        <v>1514</v>
      </c>
      <c r="D1128" s="32">
        <v>45674</v>
      </c>
      <c r="E1128" t="s">
        <v>1456</v>
      </c>
      <c r="F1128" t="str">
        <f>VLOOKUP(B1128,'Agent wise'!A:E,5,0)</f>
        <v>RECL</v>
      </c>
      <c r="G1128" s="32">
        <v>45941</v>
      </c>
      <c r="H1128">
        <f>COUNTIFS('Audit Raw data'!J:J,B:B,'Audit Raw data'!E:E,G:G)</f>
        <v>0</v>
      </c>
      <c r="I1128" s="44" t="str">
        <f>IFERROR((SUMIFS('Audit Raw data'!BZ:BZ,'Audit Raw data'!J:J,B:B,'Audit Raw data'!E:E,G:G)/H1128)/100,"-")</f>
        <v>-</v>
      </c>
      <c r="J1128">
        <f>COUNTIFS('Audit Raw data'!AM:AM,"Yes",'Audit Raw data'!J:J,B:B,'Audit Raw data'!E:E,'Day wise agent'!G:G)</f>
        <v>0</v>
      </c>
      <c r="K1128">
        <f>COUNTIFS('Audit Raw data'!AM:AM,"NO",'Audit Raw data'!J:J,B:B,'Audit Raw data'!E:E,'Day wise agent'!G:G)</f>
        <v>0</v>
      </c>
      <c r="L1128" s="12" t="str">
        <f t="shared" si="35"/>
        <v xml:space="preserve"> </v>
      </c>
    </row>
    <row r="1129" spans="1:12" x14ac:dyDescent="0.35">
      <c r="A1129" t="str">
        <f t="shared" si="34"/>
        <v>VPS11145941</v>
      </c>
      <c r="B1129" t="s">
        <v>108</v>
      </c>
      <c r="C1129" t="s">
        <v>1515</v>
      </c>
      <c r="D1129" s="32">
        <v>45675</v>
      </c>
      <c r="E1129" t="s">
        <v>1484</v>
      </c>
      <c r="F1129" t="str">
        <f>VLOOKUP(B1129,'Agent wise'!A:E,5,0)</f>
        <v>Wireless</v>
      </c>
      <c r="G1129" s="32">
        <v>45941</v>
      </c>
      <c r="H1129">
        <f>COUNTIFS('Audit Raw data'!J:J,B:B,'Audit Raw data'!E:E,G:G)</f>
        <v>0</v>
      </c>
      <c r="I1129" s="44" t="str">
        <f>IFERROR((SUMIFS('Audit Raw data'!BZ:BZ,'Audit Raw data'!J:J,B:B,'Audit Raw data'!E:E,G:G)/H1129)/100,"-")</f>
        <v>-</v>
      </c>
      <c r="J1129">
        <f>COUNTIFS('Audit Raw data'!AM:AM,"Yes",'Audit Raw data'!J:J,B:B,'Audit Raw data'!E:E,'Day wise agent'!G:G)</f>
        <v>0</v>
      </c>
      <c r="K1129">
        <f>COUNTIFS('Audit Raw data'!AM:AM,"NO",'Audit Raw data'!J:J,B:B,'Audit Raw data'!E:E,'Day wise agent'!G:G)</f>
        <v>0</v>
      </c>
      <c r="L1129" s="12" t="str">
        <f t="shared" si="35"/>
        <v xml:space="preserve"> </v>
      </c>
    </row>
    <row r="1130" spans="1:12" x14ac:dyDescent="0.35">
      <c r="A1130" t="str">
        <f t="shared" si="34"/>
        <v>VPS12045941</v>
      </c>
      <c r="B1130" t="s">
        <v>263</v>
      </c>
      <c r="C1130" t="s">
        <v>1516</v>
      </c>
      <c r="D1130" s="32">
        <v>45690</v>
      </c>
      <c r="E1130" t="s">
        <v>178</v>
      </c>
      <c r="F1130" t="str">
        <f>VLOOKUP(B1130,'Agent wise'!A:E,5,0)</f>
        <v>Wireless</v>
      </c>
      <c r="G1130" s="32">
        <v>45941</v>
      </c>
      <c r="H1130">
        <f>COUNTIFS('Audit Raw data'!J:J,B:B,'Audit Raw data'!E:E,G:G)</f>
        <v>0</v>
      </c>
      <c r="I1130" s="44" t="str">
        <f>IFERROR((SUMIFS('Audit Raw data'!BZ:BZ,'Audit Raw data'!J:J,B:B,'Audit Raw data'!E:E,G:G)/H1130)/100,"-")</f>
        <v>-</v>
      </c>
      <c r="J1130">
        <f>COUNTIFS('Audit Raw data'!AM:AM,"Yes",'Audit Raw data'!J:J,B:B,'Audit Raw data'!E:E,'Day wise agent'!G:G)</f>
        <v>0</v>
      </c>
      <c r="K1130">
        <f>COUNTIFS('Audit Raw data'!AM:AM,"NO",'Audit Raw data'!J:J,B:B,'Audit Raw data'!E:E,'Day wise agent'!G:G)</f>
        <v>0</v>
      </c>
      <c r="L1130" s="12" t="str">
        <f t="shared" si="35"/>
        <v xml:space="preserve"> </v>
      </c>
    </row>
    <row r="1131" spans="1:12" x14ac:dyDescent="0.35">
      <c r="A1131" t="str">
        <f t="shared" si="34"/>
        <v>VPS12445941</v>
      </c>
      <c r="B1131" t="s">
        <v>1517</v>
      </c>
      <c r="C1131" t="s">
        <v>1518</v>
      </c>
      <c r="D1131" s="32">
        <v>45705</v>
      </c>
      <c r="E1131" t="s">
        <v>1456</v>
      </c>
      <c r="F1131" t="str">
        <f>VLOOKUP(B1131,'Agent wise'!A:E,5,0)</f>
        <v>RECL</v>
      </c>
      <c r="G1131" s="32">
        <v>45941</v>
      </c>
      <c r="H1131">
        <f>COUNTIFS('Audit Raw data'!J:J,B:B,'Audit Raw data'!E:E,G:G)</f>
        <v>0</v>
      </c>
      <c r="I1131" s="44" t="str">
        <f>IFERROR((SUMIFS('Audit Raw data'!BZ:BZ,'Audit Raw data'!J:J,B:B,'Audit Raw data'!E:E,G:G)/H1131)/100,"-")</f>
        <v>-</v>
      </c>
      <c r="J1131">
        <f>COUNTIFS('Audit Raw data'!AM:AM,"Yes",'Audit Raw data'!J:J,B:B,'Audit Raw data'!E:E,'Day wise agent'!G:G)</f>
        <v>0</v>
      </c>
      <c r="K1131">
        <f>COUNTIFS('Audit Raw data'!AM:AM,"NO",'Audit Raw data'!J:J,B:B,'Audit Raw data'!E:E,'Day wise agent'!G:G)</f>
        <v>0</v>
      </c>
      <c r="L1131" s="12" t="str">
        <f t="shared" si="35"/>
        <v xml:space="preserve"> </v>
      </c>
    </row>
    <row r="1132" spans="1:12" x14ac:dyDescent="0.35">
      <c r="A1132" t="str">
        <f t="shared" si="34"/>
        <v>VPS12645941</v>
      </c>
      <c r="B1132" t="s">
        <v>1521</v>
      </c>
      <c r="C1132" t="s">
        <v>1522</v>
      </c>
      <c r="D1132" s="32">
        <v>45710</v>
      </c>
      <c r="E1132" t="s">
        <v>1456</v>
      </c>
      <c r="F1132" t="str">
        <f>VLOOKUP(B1132,'Agent wise'!A:E,5,0)</f>
        <v>RECL</v>
      </c>
      <c r="G1132" s="32">
        <v>45941</v>
      </c>
      <c r="H1132">
        <f>COUNTIFS('Audit Raw data'!J:J,B:B,'Audit Raw data'!E:E,G:G)</f>
        <v>0</v>
      </c>
      <c r="I1132" s="44" t="str">
        <f>IFERROR((SUMIFS('Audit Raw data'!BZ:BZ,'Audit Raw data'!J:J,B:B,'Audit Raw data'!E:E,G:G)/H1132)/100,"-")</f>
        <v>-</v>
      </c>
      <c r="J1132">
        <f>COUNTIFS('Audit Raw data'!AM:AM,"Yes",'Audit Raw data'!J:J,B:B,'Audit Raw data'!E:E,'Day wise agent'!G:G)</f>
        <v>0</v>
      </c>
      <c r="K1132">
        <f>COUNTIFS('Audit Raw data'!AM:AM,"NO",'Audit Raw data'!J:J,B:B,'Audit Raw data'!E:E,'Day wise agent'!G:G)</f>
        <v>0</v>
      </c>
      <c r="L1132" s="12" t="str">
        <f t="shared" si="35"/>
        <v xml:space="preserve"> </v>
      </c>
    </row>
    <row r="1133" spans="1:12" x14ac:dyDescent="0.35">
      <c r="A1133" t="str">
        <f t="shared" si="34"/>
        <v>VPS12745941</v>
      </c>
      <c r="B1133" t="s">
        <v>1523</v>
      </c>
      <c r="C1133" t="s">
        <v>1524</v>
      </c>
      <c r="D1133" s="32">
        <v>45710</v>
      </c>
      <c r="E1133" t="s">
        <v>1456</v>
      </c>
      <c r="F1133" t="str">
        <f>VLOOKUP(B1133,'Agent wise'!A:E,5,0)</f>
        <v>RECL</v>
      </c>
      <c r="G1133" s="32">
        <v>45941</v>
      </c>
      <c r="H1133">
        <f>COUNTIFS('Audit Raw data'!J:J,B:B,'Audit Raw data'!E:E,G:G)</f>
        <v>0</v>
      </c>
      <c r="I1133" s="44" t="str">
        <f>IFERROR((SUMIFS('Audit Raw data'!BZ:BZ,'Audit Raw data'!J:J,B:B,'Audit Raw data'!E:E,G:G)/H1133)/100,"-")</f>
        <v>-</v>
      </c>
      <c r="J1133">
        <f>COUNTIFS('Audit Raw data'!AM:AM,"Yes",'Audit Raw data'!J:J,B:B,'Audit Raw data'!E:E,'Day wise agent'!G:G)</f>
        <v>0</v>
      </c>
      <c r="K1133">
        <f>COUNTIFS('Audit Raw data'!AM:AM,"NO",'Audit Raw data'!J:J,B:B,'Audit Raw data'!E:E,'Day wise agent'!G:G)</f>
        <v>0</v>
      </c>
      <c r="L1133" s="12" t="str">
        <f t="shared" si="35"/>
        <v xml:space="preserve"> </v>
      </c>
    </row>
    <row r="1134" spans="1:12" x14ac:dyDescent="0.35">
      <c r="A1134" t="str">
        <f t="shared" si="34"/>
        <v>VPS13045941</v>
      </c>
      <c r="B1134" t="s">
        <v>662</v>
      </c>
      <c r="C1134" t="s">
        <v>1525</v>
      </c>
      <c r="D1134" s="32">
        <v>45710</v>
      </c>
      <c r="E1134" t="s">
        <v>1484</v>
      </c>
      <c r="F1134" t="str">
        <f>VLOOKUP(B1134,'Agent wise'!A:E,5,0)</f>
        <v>Wireless</v>
      </c>
      <c r="G1134" s="32">
        <v>45941</v>
      </c>
      <c r="H1134">
        <f>COUNTIFS('Audit Raw data'!J:J,B:B,'Audit Raw data'!E:E,G:G)</f>
        <v>1</v>
      </c>
      <c r="I1134" s="44">
        <f>IFERROR((SUMIFS('Audit Raw data'!BZ:BZ,'Audit Raw data'!J:J,B:B,'Audit Raw data'!E:E,G:G)/H1134)/100,"-")</f>
        <v>0.9</v>
      </c>
      <c r="J1134">
        <f>COUNTIFS('Audit Raw data'!AM:AM,"Yes",'Audit Raw data'!J:J,B:B,'Audit Raw data'!E:E,'Day wise agent'!G:G)</f>
        <v>1</v>
      </c>
      <c r="K1134">
        <f>COUNTIFS('Audit Raw data'!AM:AM,"NO",'Audit Raw data'!J:J,B:B,'Audit Raw data'!E:E,'Day wise agent'!G:G)</f>
        <v>0</v>
      </c>
      <c r="L1134" s="12">
        <f t="shared" si="35"/>
        <v>1</v>
      </c>
    </row>
    <row r="1135" spans="1:12" x14ac:dyDescent="0.35">
      <c r="A1135" t="str">
        <f t="shared" si="34"/>
        <v>VPS13145941</v>
      </c>
      <c r="B1135" t="s">
        <v>1519</v>
      </c>
      <c r="C1135" t="s">
        <v>1520</v>
      </c>
      <c r="D1135" s="32">
        <v>45710</v>
      </c>
      <c r="E1135" t="s">
        <v>1456</v>
      </c>
      <c r="F1135" t="str">
        <f>VLOOKUP(B1135,'Agent wise'!A:E,5,0)</f>
        <v>RECL</v>
      </c>
      <c r="G1135" s="32">
        <v>45941</v>
      </c>
      <c r="H1135">
        <f>COUNTIFS('Audit Raw data'!J:J,B:B,'Audit Raw data'!E:E,G:G)</f>
        <v>0</v>
      </c>
      <c r="I1135" s="44" t="str">
        <f>IFERROR((SUMIFS('Audit Raw data'!BZ:BZ,'Audit Raw data'!J:J,B:B,'Audit Raw data'!E:E,G:G)/H1135)/100,"-")</f>
        <v>-</v>
      </c>
      <c r="J1135">
        <f>COUNTIFS('Audit Raw data'!AM:AM,"Yes",'Audit Raw data'!J:J,B:B,'Audit Raw data'!E:E,'Day wise agent'!G:G)</f>
        <v>0</v>
      </c>
      <c r="K1135">
        <f>COUNTIFS('Audit Raw data'!AM:AM,"NO",'Audit Raw data'!J:J,B:B,'Audit Raw data'!E:E,'Day wise agent'!G:G)</f>
        <v>0</v>
      </c>
      <c r="L1135" s="12" t="str">
        <f t="shared" si="35"/>
        <v xml:space="preserve"> </v>
      </c>
    </row>
    <row r="1136" spans="1:12" x14ac:dyDescent="0.35">
      <c r="A1136" t="str">
        <f t="shared" si="34"/>
        <v>VPS13245941</v>
      </c>
      <c r="B1136" t="s">
        <v>1526</v>
      </c>
      <c r="C1136" t="s">
        <v>1527</v>
      </c>
      <c r="D1136" s="32">
        <v>45717</v>
      </c>
      <c r="E1136" t="s">
        <v>221</v>
      </c>
      <c r="F1136" t="str">
        <f>VLOOKUP(B1136,'Agent wise'!A:E,5,0)</f>
        <v>Wire-line</v>
      </c>
      <c r="G1136" s="32">
        <v>45941</v>
      </c>
      <c r="H1136">
        <f>COUNTIFS('Audit Raw data'!J:J,B:B,'Audit Raw data'!E:E,G:G)</f>
        <v>0</v>
      </c>
      <c r="I1136" s="44" t="str">
        <f>IFERROR((SUMIFS('Audit Raw data'!BZ:BZ,'Audit Raw data'!J:J,B:B,'Audit Raw data'!E:E,G:G)/H1136)/100,"-")</f>
        <v>-</v>
      </c>
      <c r="J1136">
        <f>COUNTIFS('Audit Raw data'!AM:AM,"Yes",'Audit Raw data'!J:J,B:B,'Audit Raw data'!E:E,'Day wise agent'!G:G)</f>
        <v>0</v>
      </c>
      <c r="K1136">
        <f>COUNTIFS('Audit Raw data'!AM:AM,"NO",'Audit Raw data'!J:J,B:B,'Audit Raw data'!E:E,'Day wise agent'!G:G)</f>
        <v>0</v>
      </c>
      <c r="L1136" s="12" t="str">
        <f t="shared" si="35"/>
        <v xml:space="preserve"> </v>
      </c>
    </row>
    <row r="1137" spans="1:12" x14ac:dyDescent="0.35">
      <c r="A1137" t="str">
        <f t="shared" si="34"/>
        <v>VPS14345941</v>
      </c>
      <c r="B1137" t="s">
        <v>269</v>
      </c>
      <c r="C1137" t="s">
        <v>1528</v>
      </c>
      <c r="D1137" s="32">
        <v>45723</v>
      </c>
      <c r="E1137" t="s">
        <v>1484</v>
      </c>
      <c r="F1137" t="str">
        <f>VLOOKUP(B1137,'Agent wise'!A:E,5,0)</f>
        <v>Wireless</v>
      </c>
      <c r="G1137" s="32">
        <v>45941</v>
      </c>
      <c r="H1137">
        <f>COUNTIFS('Audit Raw data'!J:J,B:B,'Audit Raw data'!E:E,G:G)</f>
        <v>0</v>
      </c>
      <c r="I1137" s="44" t="str">
        <f>IFERROR((SUMIFS('Audit Raw data'!BZ:BZ,'Audit Raw data'!J:J,B:B,'Audit Raw data'!E:E,G:G)/H1137)/100,"-")</f>
        <v>-</v>
      </c>
      <c r="J1137">
        <f>COUNTIFS('Audit Raw data'!AM:AM,"Yes",'Audit Raw data'!J:J,B:B,'Audit Raw data'!E:E,'Day wise agent'!G:G)</f>
        <v>0</v>
      </c>
      <c r="K1137">
        <f>COUNTIFS('Audit Raw data'!AM:AM,"NO",'Audit Raw data'!J:J,B:B,'Audit Raw data'!E:E,'Day wise agent'!G:G)</f>
        <v>0</v>
      </c>
      <c r="L1137" s="12" t="str">
        <f t="shared" si="35"/>
        <v xml:space="preserve"> </v>
      </c>
    </row>
    <row r="1138" spans="1:12" x14ac:dyDescent="0.35">
      <c r="A1138" t="str">
        <f t="shared" si="34"/>
        <v>VPS15145941</v>
      </c>
      <c r="B1138" t="s">
        <v>274</v>
      </c>
      <c r="C1138" t="s">
        <v>1529</v>
      </c>
      <c r="D1138" s="32">
        <v>45735</v>
      </c>
      <c r="E1138" t="s">
        <v>107</v>
      </c>
      <c r="F1138" t="str">
        <f>VLOOKUP(B1138,'Agent wise'!A:E,5,0)</f>
        <v>Wireless</v>
      </c>
      <c r="G1138" s="32">
        <v>45941</v>
      </c>
      <c r="H1138">
        <f>COUNTIFS('Audit Raw data'!J:J,B:B,'Audit Raw data'!E:E,G:G)</f>
        <v>0</v>
      </c>
      <c r="I1138" s="44" t="str">
        <f>IFERROR((SUMIFS('Audit Raw data'!BZ:BZ,'Audit Raw data'!J:J,B:B,'Audit Raw data'!E:E,G:G)/H1138)/100,"-")</f>
        <v>-</v>
      </c>
      <c r="J1138">
        <f>COUNTIFS('Audit Raw data'!AM:AM,"Yes",'Audit Raw data'!J:J,B:B,'Audit Raw data'!E:E,'Day wise agent'!G:G)</f>
        <v>0</v>
      </c>
      <c r="K1138">
        <f>COUNTIFS('Audit Raw data'!AM:AM,"NO",'Audit Raw data'!J:J,B:B,'Audit Raw data'!E:E,'Day wise agent'!G:G)</f>
        <v>0</v>
      </c>
      <c r="L1138" s="12" t="str">
        <f t="shared" si="35"/>
        <v xml:space="preserve"> </v>
      </c>
    </row>
    <row r="1139" spans="1:12" x14ac:dyDescent="0.35">
      <c r="A1139" t="str">
        <f t="shared" si="34"/>
        <v>VPS16045941</v>
      </c>
      <c r="B1139" t="s">
        <v>258</v>
      </c>
      <c r="C1139" t="s">
        <v>1530</v>
      </c>
      <c r="D1139" s="32">
        <v>45748</v>
      </c>
      <c r="E1139" t="s">
        <v>1484</v>
      </c>
      <c r="F1139" t="str">
        <f>VLOOKUP(B1139,'Agent wise'!A:E,5,0)</f>
        <v>Wireless</v>
      </c>
      <c r="G1139" s="32">
        <v>45941</v>
      </c>
      <c r="H1139">
        <f>COUNTIFS('Audit Raw data'!J:J,B:B,'Audit Raw data'!E:E,G:G)</f>
        <v>0</v>
      </c>
      <c r="I1139" s="44" t="str">
        <f>IFERROR((SUMIFS('Audit Raw data'!BZ:BZ,'Audit Raw data'!J:J,B:B,'Audit Raw data'!E:E,G:G)/H1139)/100,"-")</f>
        <v>-</v>
      </c>
      <c r="J1139">
        <f>COUNTIFS('Audit Raw data'!AM:AM,"Yes",'Audit Raw data'!J:J,B:B,'Audit Raw data'!E:E,'Day wise agent'!G:G)</f>
        <v>0</v>
      </c>
      <c r="K1139">
        <f>COUNTIFS('Audit Raw data'!AM:AM,"NO",'Audit Raw data'!J:J,B:B,'Audit Raw data'!E:E,'Day wise agent'!G:G)</f>
        <v>0</v>
      </c>
      <c r="L1139" s="12" t="str">
        <f t="shared" si="35"/>
        <v xml:space="preserve"> </v>
      </c>
    </row>
    <row r="1140" spans="1:12" x14ac:dyDescent="0.35">
      <c r="A1140" t="str">
        <f t="shared" si="34"/>
        <v>VPS17145941</v>
      </c>
      <c r="B1140" t="s">
        <v>307</v>
      </c>
      <c r="C1140" t="s">
        <v>1531</v>
      </c>
      <c r="D1140" s="32">
        <v>45767</v>
      </c>
      <c r="E1140" t="s">
        <v>221</v>
      </c>
      <c r="F1140" t="str">
        <f>VLOOKUP(B1140,'Agent wise'!A:E,5,0)</f>
        <v>Wire-line</v>
      </c>
      <c r="G1140" s="32">
        <v>45941</v>
      </c>
      <c r="H1140">
        <f>COUNTIFS('Audit Raw data'!J:J,B:B,'Audit Raw data'!E:E,G:G)</f>
        <v>1</v>
      </c>
      <c r="I1140" s="44">
        <f>IFERROR((SUMIFS('Audit Raw data'!BZ:BZ,'Audit Raw data'!J:J,B:B,'Audit Raw data'!E:E,G:G)/H1140)/100,"-")</f>
        <v>0.92</v>
      </c>
      <c r="J1140">
        <f>COUNTIFS('Audit Raw data'!AM:AM,"Yes",'Audit Raw data'!J:J,B:B,'Audit Raw data'!E:E,'Day wise agent'!G:G)</f>
        <v>1</v>
      </c>
      <c r="K1140">
        <f>COUNTIFS('Audit Raw data'!AM:AM,"NO",'Audit Raw data'!J:J,B:B,'Audit Raw data'!E:E,'Day wise agent'!G:G)</f>
        <v>0</v>
      </c>
      <c r="L1140" s="12">
        <f t="shared" si="35"/>
        <v>1</v>
      </c>
    </row>
    <row r="1141" spans="1:12" x14ac:dyDescent="0.35">
      <c r="A1141" t="str">
        <f t="shared" si="34"/>
        <v>VPS17745941</v>
      </c>
      <c r="B1141" t="s">
        <v>280</v>
      </c>
      <c r="C1141" t="s">
        <v>1532</v>
      </c>
      <c r="D1141" s="32">
        <v>45766</v>
      </c>
      <c r="E1141" t="s">
        <v>1453</v>
      </c>
      <c r="F1141" t="str">
        <f>VLOOKUP(B1141,'Agent wise'!A:E,5,0)</f>
        <v>Wireless</v>
      </c>
      <c r="G1141" s="32">
        <v>45941</v>
      </c>
      <c r="H1141">
        <f>COUNTIFS('Audit Raw data'!J:J,B:B,'Audit Raw data'!E:E,G:G)</f>
        <v>0</v>
      </c>
      <c r="I1141" s="44" t="str">
        <f>IFERROR((SUMIFS('Audit Raw data'!BZ:BZ,'Audit Raw data'!J:J,B:B,'Audit Raw data'!E:E,G:G)/H1141)/100,"-")</f>
        <v>-</v>
      </c>
      <c r="J1141">
        <f>COUNTIFS('Audit Raw data'!AM:AM,"Yes",'Audit Raw data'!J:J,B:B,'Audit Raw data'!E:E,'Day wise agent'!G:G)</f>
        <v>0</v>
      </c>
      <c r="K1141">
        <f>COUNTIFS('Audit Raw data'!AM:AM,"NO",'Audit Raw data'!J:J,B:B,'Audit Raw data'!E:E,'Day wise agent'!G:G)</f>
        <v>0</v>
      </c>
      <c r="L1141" s="12" t="str">
        <f t="shared" si="35"/>
        <v xml:space="preserve"> </v>
      </c>
    </row>
    <row r="1142" spans="1:12" x14ac:dyDescent="0.35">
      <c r="A1142" t="str">
        <f t="shared" si="34"/>
        <v>VPS18145941</v>
      </c>
      <c r="B1142" t="s">
        <v>234</v>
      </c>
      <c r="C1142" t="s">
        <v>1533</v>
      </c>
      <c r="D1142" s="32">
        <v>45775</v>
      </c>
      <c r="E1142" t="s">
        <v>221</v>
      </c>
      <c r="F1142" t="str">
        <f>VLOOKUP(B1142,'Agent wise'!A:E,5,0)</f>
        <v>Wire-line</v>
      </c>
      <c r="G1142" s="32">
        <v>45941</v>
      </c>
      <c r="H1142">
        <f>COUNTIFS('Audit Raw data'!J:J,B:B,'Audit Raw data'!E:E,G:G)</f>
        <v>1</v>
      </c>
      <c r="I1142" s="44">
        <f>IFERROR((SUMIFS('Audit Raw data'!BZ:BZ,'Audit Raw data'!J:J,B:B,'Audit Raw data'!E:E,G:G)/H1142)/100,"-")</f>
        <v>1</v>
      </c>
      <c r="J1142">
        <f>COUNTIFS('Audit Raw data'!AM:AM,"Yes",'Audit Raw data'!J:J,B:B,'Audit Raw data'!E:E,'Day wise agent'!G:G)</f>
        <v>1</v>
      </c>
      <c r="K1142">
        <f>COUNTIFS('Audit Raw data'!AM:AM,"NO",'Audit Raw data'!J:J,B:B,'Audit Raw data'!E:E,'Day wise agent'!G:G)</f>
        <v>0</v>
      </c>
      <c r="L1142" s="12">
        <f t="shared" si="35"/>
        <v>1</v>
      </c>
    </row>
    <row r="1143" spans="1:12" x14ac:dyDescent="0.35">
      <c r="A1143" t="str">
        <f t="shared" si="34"/>
        <v>VPS18245941</v>
      </c>
      <c r="B1143" t="s">
        <v>568</v>
      </c>
      <c r="C1143" t="s">
        <v>1534</v>
      </c>
      <c r="D1143" s="32">
        <v>45797</v>
      </c>
      <c r="E1143" t="s">
        <v>221</v>
      </c>
      <c r="F1143" t="str">
        <f>VLOOKUP(B1143,'Agent wise'!A:E,5,0)</f>
        <v>Wire-line</v>
      </c>
      <c r="G1143" s="32">
        <v>45941</v>
      </c>
      <c r="H1143">
        <f>COUNTIFS('Audit Raw data'!J:J,B:B,'Audit Raw data'!E:E,G:G)</f>
        <v>0</v>
      </c>
      <c r="I1143" s="44" t="str">
        <f>IFERROR((SUMIFS('Audit Raw data'!BZ:BZ,'Audit Raw data'!J:J,B:B,'Audit Raw data'!E:E,G:G)/H1143)/100,"-")</f>
        <v>-</v>
      </c>
      <c r="J1143">
        <f>COUNTIFS('Audit Raw data'!AM:AM,"Yes",'Audit Raw data'!J:J,B:B,'Audit Raw data'!E:E,'Day wise agent'!G:G)</f>
        <v>0</v>
      </c>
      <c r="K1143">
        <f>COUNTIFS('Audit Raw data'!AM:AM,"NO",'Audit Raw data'!J:J,B:B,'Audit Raw data'!E:E,'Day wise agent'!G:G)</f>
        <v>0</v>
      </c>
      <c r="L1143" s="12" t="str">
        <f t="shared" si="35"/>
        <v xml:space="preserve"> </v>
      </c>
    </row>
    <row r="1144" spans="1:12" x14ac:dyDescent="0.35">
      <c r="A1144" t="str">
        <f t="shared" si="34"/>
        <v>VPS18345941</v>
      </c>
      <c r="B1144" t="s">
        <v>570</v>
      </c>
      <c r="C1144" t="s">
        <v>1535</v>
      </c>
      <c r="D1144" s="32">
        <v>45797</v>
      </c>
      <c r="E1144" t="s">
        <v>221</v>
      </c>
      <c r="F1144" t="str">
        <f>VLOOKUP(B1144,'Agent wise'!A:E,5,0)</f>
        <v>Wire-line</v>
      </c>
      <c r="G1144" s="32">
        <v>45941</v>
      </c>
      <c r="H1144">
        <f>COUNTIFS('Audit Raw data'!J:J,B:B,'Audit Raw data'!E:E,G:G)</f>
        <v>1</v>
      </c>
      <c r="I1144" s="44">
        <f>IFERROR((SUMIFS('Audit Raw data'!BZ:BZ,'Audit Raw data'!J:J,B:B,'Audit Raw data'!E:E,G:G)/H1144)/100,"-")</f>
        <v>0.9</v>
      </c>
      <c r="J1144">
        <f>COUNTIFS('Audit Raw data'!AM:AM,"Yes",'Audit Raw data'!J:J,B:B,'Audit Raw data'!E:E,'Day wise agent'!G:G)</f>
        <v>1</v>
      </c>
      <c r="K1144">
        <f>COUNTIFS('Audit Raw data'!AM:AM,"NO",'Audit Raw data'!J:J,B:B,'Audit Raw data'!E:E,'Day wise agent'!G:G)</f>
        <v>0</v>
      </c>
      <c r="L1144" s="12">
        <f t="shared" si="35"/>
        <v>1</v>
      </c>
    </row>
    <row r="1145" spans="1:12" x14ac:dyDescent="0.35">
      <c r="A1145" t="str">
        <f t="shared" si="34"/>
        <v>VPS18445941</v>
      </c>
      <c r="B1145" t="s">
        <v>117</v>
      </c>
      <c r="C1145" t="s">
        <v>1536</v>
      </c>
      <c r="D1145" s="32">
        <v>45809</v>
      </c>
      <c r="E1145" t="s">
        <v>1453</v>
      </c>
      <c r="F1145" t="str">
        <f>VLOOKUP(B1145,'Agent wise'!A:E,5,0)</f>
        <v>Wireless</v>
      </c>
      <c r="G1145" s="32">
        <v>45941</v>
      </c>
      <c r="H1145">
        <f>COUNTIFS('Audit Raw data'!J:J,B:B,'Audit Raw data'!E:E,G:G)</f>
        <v>0</v>
      </c>
      <c r="I1145" s="44" t="str">
        <f>IFERROR((SUMIFS('Audit Raw data'!BZ:BZ,'Audit Raw data'!J:J,B:B,'Audit Raw data'!E:E,G:G)/H1145)/100,"-")</f>
        <v>-</v>
      </c>
      <c r="J1145">
        <f>COUNTIFS('Audit Raw data'!AM:AM,"Yes",'Audit Raw data'!J:J,B:B,'Audit Raw data'!E:E,'Day wise agent'!G:G)</f>
        <v>0</v>
      </c>
      <c r="K1145">
        <f>COUNTIFS('Audit Raw data'!AM:AM,"NO",'Audit Raw data'!J:J,B:B,'Audit Raw data'!E:E,'Day wise agent'!G:G)</f>
        <v>0</v>
      </c>
      <c r="L1145" s="12" t="str">
        <f t="shared" si="35"/>
        <v xml:space="preserve"> </v>
      </c>
    </row>
    <row r="1146" spans="1:12" x14ac:dyDescent="0.35">
      <c r="A1146" t="str">
        <f t="shared" si="34"/>
        <v>VPS19145941</v>
      </c>
      <c r="B1146" t="s">
        <v>586</v>
      </c>
      <c r="C1146" t="s">
        <v>1537</v>
      </c>
      <c r="D1146" s="32">
        <v>45809</v>
      </c>
      <c r="E1146" t="s">
        <v>107</v>
      </c>
      <c r="F1146" t="str">
        <f>VLOOKUP(B1146,'Agent wise'!A:E,5,0)</f>
        <v>Wireless</v>
      </c>
      <c r="G1146" s="32">
        <v>45941</v>
      </c>
      <c r="H1146">
        <f>COUNTIFS('Audit Raw data'!J:J,B:B,'Audit Raw data'!E:E,G:G)</f>
        <v>0</v>
      </c>
      <c r="I1146" s="44" t="str">
        <f>IFERROR((SUMIFS('Audit Raw data'!BZ:BZ,'Audit Raw data'!J:J,B:B,'Audit Raw data'!E:E,G:G)/H1146)/100,"-")</f>
        <v>-</v>
      </c>
      <c r="J1146">
        <f>COUNTIFS('Audit Raw data'!AM:AM,"Yes",'Audit Raw data'!J:J,B:B,'Audit Raw data'!E:E,'Day wise agent'!G:G)</f>
        <v>0</v>
      </c>
      <c r="K1146">
        <f>COUNTIFS('Audit Raw data'!AM:AM,"NO",'Audit Raw data'!J:J,B:B,'Audit Raw data'!E:E,'Day wise agent'!G:G)</f>
        <v>0</v>
      </c>
      <c r="L1146" s="12" t="str">
        <f t="shared" si="35"/>
        <v xml:space="preserve"> </v>
      </c>
    </row>
    <row r="1147" spans="1:12" x14ac:dyDescent="0.35">
      <c r="A1147" t="str">
        <f t="shared" si="34"/>
        <v>VPS19345941</v>
      </c>
      <c r="B1147" t="s">
        <v>302</v>
      </c>
      <c r="C1147" t="s">
        <v>1538</v>
      </c>
      <c r="D1147" s="32">
        <v>45823</v>
      </c>
      <c r="E1147" t="s">
        <v>107</v>
      </c>
      <c r="F1147" t="str">
        <f>VLOOKUP(B1147,'Agent wise'!A:E,5,0)</f>
        <v>Wireless</v>
      </c>
      <c r="G1147" s="32">
        <v>45941</v>
      </c>
      <c r="H1147">
        <f>COUNTIFS('Audit Raw data'!J:J,B:B,'Audit Raw data'!E:E,G:G)</f>
        <v>0</v>
      </c>
      <c r="I1147" s="44" t="str">
        <f>IFERROR((SUMIFS('Audit Raw data'!BZ:BZ,'Audit Raw data'!J:J,B:B,'Audit Raw data'!E:E,G:G)/H1147)/100,"-")</f>
        <v>-</v>
      </c>
      <c r="J1147">
        <f>COUNTIFS('Audit Raw data'!AM:AM,"Yes",'Audit Raw data'!J:J,B:B,'Audit Raw data'!E:E,'Day wise agent'!G:G)</f>
        <v>0</v>
      </c>
      <c r="K1147">
        <f>COUNTIFS('Audit Raw data'!AM:AM,"NO",'Audit Raw data'!J:J,B:B,'Audit Raw data'!E:E,'Day wise agent'!G:G)</f>
        <v>0</v>
      </c>
      <c r="L1147" s="12" t="str">
        <f t="shared" si="35"/>
        <v xml:space="preserve"> </v>
      </c>
    </row>
    <row r="1148" spans="1:12" x14ac:dyDescent="0.35">
      <c r="A1148" t="str">
        <f t="shared" si="34"/>
        <v>VPS19745941</v>
      </c>
      <c r="B1148" t="s">
        <v>665</v>
      </c>
      <c r="C1148" t="s">
        <v>1539</v>
      </c>
      <c r="D1148" s="32">
        <v>45830</v>
      </c>
      <c r="E1148" t="s">
        <v>178</v>
      </c>
      <c r="F1148" t="str">
        <f>VLOOKUP(B1148,'Agent wise'!A:E,5,0)</f>
        <v>Wireless</v>
      </c>
      <c r="G1148" s="32">
        <v>45941</v>
      </c>
      <c r="H1148">
        <f>COUNTIFS('Audit Raw data'!J:J,B:B,'Audit Raw data'!E:E,G:G)</f>
        <v>0</v>
      </c>
      <c r="I1148" s="44" t="str">
        <f>IFERROR((SUMIFS('Audit Raw data'!BZ:BZ,'Audit Raw data'!J:J,B:B,'Audit Raw data'!E:E,G:G)/H1148)/100,"-")</f>
        <v>-</v>
      </c>
      <c r="J1148">
        <f>COUNTIFS('Audit Raw data'!AM:AM,"Yes",'Audit Raw data'!J:J,B:B,'Audit Raw data'!E:E,'Day wise agent'!G:G)</f>
        <v>0</v>
      </c>
      <c r="K1148">
        <f>COUNTIFS('Audit Raw data'!AM:AM,"NO",'Audit Raw data'!J:J,B:B,'Audit Raw data'!E:E,'Day wise agent'!G:G)</f>
        <v>0</v>
      </c>
      <c r="L1148" s="12" t="str">
        <f t="shared" si="35"/>
        <v xml:space="preserve"> </v>
      </c>
    </row>
    <row r="1149" spans="1:12" x14ac:dyDescent="0.35">
      <c r="A1149" t="str">
        <f t="shared" si="34"/>
        <v>VPS20145941</v>
      </c>
      <c r="B1149" t="s">
        <v>439</v>
      </c>
      <c r="C1149" t="s">
        <v>1540</v>
      </c>
      <c r="D1149" s="32">
        <v>45834</v>
      </c>
      <c r="E1149" t="s">
        <v>1453</v>
      </c>
      <c r="F1149" t="str">
        <f>VLOOKUP(B1149,'Agent wise'!A:E,5,0)</f>
        <v>Wireless</v>
      </c>
      <c r="G1149" s="32">
        <v>45941</v>
      </c>
      <c r="H1149">
        <f>COUNTIFS('Audit Raw data'!J:J,B:B,'Audit Raw data'!E:E,G:G)</f>
        <v>1</v>
      </c>
      <c r="I1149" s="44">
        <f>IFERROR((SUMIFS('Audit Raw data'!BZ:BZ,'Audit Raw data'!J:J,B:B,'Audit Raw data'!E:E,G:G)/H1149)/100,"-")</f>
        <v>0.86</v>
      </c>
      <c r="J1149">
        <f>COUNTIFS('Audit Raw data'!AM:AM,"Yes",'Audit Raw data'!J:J,B:B,'Audit Raw data'!E:E,'Day wise agent'!G:G)</f>
        <v>1</v>
      </c>
      <c r="K1149">
        <f>COUNTIFS('Audit Raw data'!AM:AM,"NO",'Audit Raw data'!J:J,B:B,'Audit Raw data'!E:E,'Day wise agent'!G:G)</f>
        <v>0</v>
      </c>
      <c r="L1149" s="12">
        <f t="shared" si="35"/>
        <v>1</v>
      </c>
    </row>
    <row r="1150" spans="1:12" x14ac:dyDescent="0.35">
      <c r="A1150" t="str">
        <f t="shared" si="34"/>
        <v>VPS20445941</v>
      </c>
      <c r="B1150" t="s">
        <v>749</v>
      </c>
      <c r="C1150" t="s">
        <v>1542</v>
      </c>
      <c r="D1150" s="32">
        <v>45840</v>
      </c>
      <c r="E1150" t="s">
        <v>1484</v>
      </c>
      <c r="F1150" t="str">
        <f>VLOOKUP(B1150,'Agent wise'!A:E,5,0)</f>
        <v>Wireless</v>
      </c>
      <c r="G1150" s="32">
        <v>45941</v>
      </c>
      <c r="H1150">
        <f>COUNTIFS('Audit Raw data'!J:J,B:B,'Audit Raw data'!E:E,G:G)</f>
        <v>1</v>
      </c>
      <c r="I1150" s="44">
        <f>IFERROR((SUMIFS('Audit Raw data'!BZ:BZ,'Audit Raw data'!J:J,B:B,'Audit Raw data'!E:E,G:G)/H1150)/100,"-")</f>
        <v>0.84</v>
      </c>
      <c r="J1150">
        <f>COUNTIFS('Audit Raw data'!AM:AM,"Yes",'Audit Raw data'!J:J,B:B,'Audit Raw data'!E:E,'Day wise agent'!G:G)</f>
        <v>1</v>
      </c>
      <c r="K1150">
        <f>COUNTIFS('Audit Raw data'!AM:AM,"NO",'Audit Raw data'!J:J,B:B,'Audit Raw data'!E:E,'Day wise agent'!G:G)</f>
        <v>0</v>
      </c>
      <c r="L1150" s="12">
        <f t="shared" si="35"/>
        <v>1</v>
      </c>
    </row>
    <row r="1151" spans="1:12" x14ac:dyDescent="0.35">
      <c r="A1151" t="str">
        <f t="shared" si="34"/>
        <v>VPS20645941</v>
      </c>
      <c r="B1151" t="s">
        <v>427</v>
      </c>
      <c r="C1151" t="s">
        <v>1541</v>
      </c>
      <c r="D1151" s="32">
        <v>45840</v>
      </c>
      <c r="E1151" t="s">
        <v>107</v>
      </c>
      <c r="F1151" t="str">
        <f>VLOOKUP(B1151,'Agent wise'!A:E,5,0)</f>
        <v>Wireless</v>
      </c>
      <c r="G1151" s="32">
        <v>45941</v>
      </c>
      <c r="H1151">
        <f>COUNTIFS('Audit Raw data'!J:J,B:B,'Audit Raw data'!E:E,G:G)</f>
        <v>0</v>
      </c>
      <c r="I1151" s="44" t="str">
        <f>IFERROR((SUMIFS('Audit Raw data'!BZ:BZ,'Audit Raw data'!J:J,B:B,'Audit Raw data'!E:E,G:G)/H1151)/100,"-")</f>
        <v>-</v>
      </c>
      <c r="J1151">
        <f>COUNTIFS('Audit Raw data'!AM:AM,"Yes",'Audit Raw data'!J:J,B:B,'Audit Raw data'!E:E,'Day wise agent'!G:G)</f>
        <v>0</v>
      </c>
      <c r="K1151">
        <f>COUNTIFS('Audit Raw data'!AM:AM,"NO",'Audit Raw data'!J:J,B:B,'Audit Raw data'!E:E,'Day wise agent'!G:G)</f>
        <v>0</v>
      </c>
      <c r="L1151" s="12" t="str">
        <f t="shared" si="35"/>
        <v xml:space="preserve"> </v>
      </c>
    </row>
    <row r="1152" spans="1:12" x14ac:dyDescent="0.35">
      <c r="A1152" t="str">
        <f t="shared" si="34"/>
        <v>VPS20945941</v>
      </c>
      <c r="B1152" t="s">
        <v>528</v>
      </c>
      <c r="C1152" t="s">
        <v>1543</v>
      </c>
      <c r="D1152" s="32">
        <v>45856</v>
      </c>
      <c r="E1152" t="s">
        <v>178</v>
      </c>
      <c r="F1152" t="str">
        <f>VLOOKUP(B1152,'Agent wise'!A:E,5,0)</f>
        <v>Wireless</v>
      </c>
      <c r="G1152" s="32">
        <v>45941</v>
      </c>
      <c r="H1152">
        <f>COUNTIFS('Audit Raw data'!J:J,B:B,'Audit Raw data'!E:E,G:G)</f>
        <v>0</v>
      </c>
      <c r="I1152" s="44" t="str">
        <f>IFERROR((SUMIFS('Audit Raw data'!BZ:BZ,'Audit Raw data'!J:J,B:B,'Audit Raw data'!E:E,G:G)/H1152)/100,"-")</f>
        <v>-</v>
      </c>
      <c r="J1152">
        <f>COUNTIFS('Audit Raw data'!AM:AM,"Yes",'Audit Raw data'!J:J,B:B,'Audit Raw data'!E:E,'Day wise agent'!G:G)</f>
        <v>0</v>
      </c>
      <c r="K1152">
        <f>COUNTIFS('Audit Raw data'!AM:AM,"NO",'Audit Raw data'!J:J,B:B,'Audit Raw data'!E:E,'Day wise agent'!G:G)</f>
        <v>0</v>
      </c>
      <c r="L1152" s="12" t="str">
        <f t="shared" si="35"/>
        <v xml:space="preserve"> </v>
      </c>
    </row>
    <row r="1153" spans="1:12" x14ac:dyDescent="0.35">
      <c r="A1153" t="str">
        <f t="shared" si="34"/>
        <v>VPS21045941</v>
      </c>
      <c r="B1153" t="s">
        <v>589</v>
      </c>
      <c r="C1153" t="s">
        <v>1544</v>
      </c>
      <c r="D1153" s="32">
        <v>45856</v>
      </c>
      <c r="E1153" t="s">
        <v>107</v>
      </c>
      <c r="F1153" t="str">
        <f>VLOOKUP(B1153,'Agent wise'!A:E,5,0)</f>
        <v>Wireless</v>
      </c>
      <c r="G1153" s="32">
        <v>45941</v>
      </c>
      <c r="H1153">
        <f>COUNTIFS('Audit Raw data'!J:J,B:B,'Audit Raw data'!E:E,G:G)</f>
        <v>0</v>
      </c>
      <c r="I1153" s="44" t="str">
        <f>IFERROR((SUMIFS('Audit Raw data'!BZ:BZ,'Audit Raw data'!J:J,B:B,'Audit Raw data'!E:E,G:G)/H1153)/100,"-")</f>
        <v>-</v>
      </c>
      <c r="J1153">
        <f>COUNTIFS('Audit Raw data'!AM:AM,"Yes",'Audit Raw data'!J:J,B:B,'Audit Raw data'!E:E,'Day wise agent'!G:G)</f>
        <v>0</v>
      </c>
      <c r="K1153">
        <f>COUNTIFS('Audit Raw data'!AM:AM,"NO",'Audit Raw data'!J:J,B:B,'Audit Raw data'!E:E,'Day wise agent'!G:G)</f>
        <v>0</v>
      </c>
      <c r="L1153" s="12" t="str">
        <f t="shared" si="35"/>
        <v xml:space="preserve"> </v>
      </c>
    </row>
    <row r="1154" spans="1:12" x14ac:dyDescent="0.35">
      <c r="A1154" t="str">
        <f t="shared" ref="A1154:A1217" si="36">B1154&amp;G1154</f>
        <v>VPS21145941</v>
      </c>
      <c r="B1154" t="s">
        <v>367</v>
      </c>
      <c r="C1154" t="s">
        <v>1545</v>
      </c>
      <c r="D1154" s="32">
        <v>45855</v>
      </c>
      <c r="E1154" t="s">
        <v>1453</v>
      </c>
      <c r="F1154" t="str">
        <f>VLOOKUP(B1154,'Agent wise'!A:E,5,0)</f>
        <v>Wireless</v>
      </c>
      <c r="G1154" s="32">
        <v>45941</v>
      </c>
      <c r="H1154">
        <f>COUNTIFS('Audit Raw data'!J:J,B:B,'Audit Raw data'!E:E,G:G)</f>
        <v>0</v>
      </c>
      <c r="I1154" s="44" t="str">
        <f>IFERROR((SUMIFS('Audit Raw data'!BZ:BZ,'Audit Raw data'!J:J,B:B,'Audit Raw data'!E:E,G:G)/H1154)/100,"-")</f>
        <v>-</v>
      </c>
      <c r="J1154">
        <f>COUNTIFS('Audit Raw data'!AM:AM,"Yes",'Audit Raw data'!J:J,B:B,'Audit Raw data'!E:E,'Day wise agent'!G:G)</f>
        <v>0</v>
      </c>
      <c r="K1154">
        <f>COUNTIFS('Audit Raw data'!AM:AM,"NO",'Audit Raw data'!J:J,B:B,'Audit Raw data'!E:E,'Day wise agent'!G:G)</f>
        <v>0</v>
      </c>
      <c r="L1154" s="12" t="str">
        <f t="shared" ref="L1154:L1217" si="37">IFERROR(J1154/H1154," ")</f>
        <v xml:space="preserve"> </v>
      </c>
    </row>
    <row r="1155" spans="1:12" x14ac:dyDescent="0.35">
      <c r="A1155" t="str">
        <f t="shared" si="36"/>
        <v>VPS21345941</v>
      </c>
      <c r="B1155" t="s">
        <v>493</v>
      </c>
      <c r="C1155" t="s">
        <v>1546</v>
      </c>
      <c r="D1155" s="32">
        <v>45856</v>
      </c>
      <c r="E1155" t="s">
        <v>1453</v>
      </c>
      <c r="F1155" t="str">
        <f>VLOOKUP(B1155,'Agent wise'!A:E,5,0)</f>
        <v>Wireless</v>
      </c>
      <c r="G1155" s="32">
        <v>45941</v>
      </c>
      <c r="H1155">
        <f>COUNTIFS('Audit Raw data'!J:J,B:B,'Audit Raw data'!E:E,G:G)</f>
        <v>1</v>
      </c>
      <c r="I1155" s="44">
        <f>IFERROR((SUMIFS('Audit Raw data'!BZ:BZ,'Audit Raw data'!J:J,B:B,'Audit Raw data'!E:E,G:G)/H1155)/100,"-")</f>
        <v>0.92</v>
      </c>
      <c r="J1155">
        <f>COUNTIFS('Audit Raw data'!AM:AM,"Yes",'Audit Raw data'!J:J,B:B,'Audit Raw data'!E:E,'Day wise agent'!G:G)</f>
        <v>1</v>
      </c>
      <c r="K1155">
        <f>COUNTIFS('Audit Raw data'!AM:AM,"NO",'Audit Raw data'!J:J,B:B,'Audit Raw data'!E:E,'Day wise agent'!G:G)</f>
        <v>0</v>
      </c>
      <c r="L1155" s="12">
        <f t="shared" si="37"/>
        <v>1</v>
      </c>
    </row>
    <row r="1156" spans="1:12" x14ac:dyDescent="0.35">
      <c r="A1156" t="str">
        <f t="shared" si="36"/>
        <v>VPS21445941</v>
      </c>
      <c r="B1156" t="s">
        <v>480</v>
      </c>
      <c r="C1156" t="s">
        <v>1547</v>
      </c>
      <c r="D1156" s="32">
        <v>45855</v>
      </c>
      <c r="E1156" t="s">
        <v>107</v>
      </c>
      <c r="F1156" t="str">
        <f>VLOOKUP(B1156,'Agent wise'!A:E,5,0)</f>
        <v>Wireless</v>
      </c>
      <c r="G1156" s="32">
        <v>45941</v>
      </c>
      <c r="H1156">
        <f>COUNTIFS('Audit Raw data'!J:J,B:B,'Audit Raw data'!E:E,G:G)</f>
        <v>0</v>
      </c>
      <c r="I1156" s="44" t="str">
        <f>IFERROR((SUMIFS('Audit Raw data'!BZ:BZ,'Audit Raw data'!J:J,B:B,'Audit Raw data'!E:E,G:G)/H1156)/100,"-")</f>
        <v>-</v>
      </c>
      <c r="J1156">
        <f>COUNTIFS('Audit Raw data'!AM:AM,"Yes",'Audit Raw data'!J:J,B:B,'Audit Raw data'!E:E,'Day wise agent'!G:G)</f>
        <v>0</v>
      </c>
      <c r="K1156">
        <f>COUNTIFS('Audit Raw data'!AM:AM,"NO",'Audit Raw data'!J:J,B:B,'Audit Raw data'!E:E,'Day wise agent'!G:G)</f>
        <v>0</v>
      </c>
      <c r="L1156" s="12" t="str">
        <f t="shared" si="37"/>
        <v xml:space="preserve"> </v>
      </c>
    </row>
    <row r="1157" spans="1:12" x14ac:dyDescent="0.35">
      <c r="A1157" t="str">
        <f t="shared" si="36"/>
        <v>VPS21545941</v>
      </c>
      <c r="B1157" t="s">
        <v>521</v>
      </c>
      <c r="C1157" t="s">
        <v>1548</v>
      </c>
      <c r="D1157" s="32">
        <v>45865</v>
      </c>
      <c r="E1157" t="s">
        <v>178</v>
      </c>
      <c r="F1157" t="str">
        <f>VLOOKUP(B1157,'Agent wise'!A:E,5,0)</f>
        <v>Wireless</v>
      </c>
      <c r="G1157" s="32">
        <v>45941</v>
      </c>
      <c r="H1157">
        <f>COUNTIFS('Audit Raw data'!J:J,B:B,'Audit Raw data'!E:E,G:G)</f>
        <v>0</v>
      </c>
      <c r="I1157" s="44" t="str">
        <f>IFERROR((SUMIFS('Audit Raw data'!BZ:BZ,'Audit Raw data'!J:J,B:B,'Audit Raw data'!E:E,G:G)/H1157)/100,"-")</f>
        <v>-</v>
      </c>
      <c r="J1157">
        <f>COUNTIFS('Audit Raw data'!AM:AM,"Yes",'Audit Raw data'!J:J,B:B,'Audit Raw data'!E:E,'Day wise agent'!G:G)</f>
        <v>0</v>
      </c>
      <c r="K1157">
        <f>COUNTIFS('Audit Raw data'!AM:AM,"NO",'Audit Raw data'!J:J,B:B,'Audit Raw data'!E:E,'Day wise agent'!G:G)</f>
        <v>0</v>
      </c>
      <c r="L1157" s="12" t="str">
        <f t="shared" si="37"/>
        <v xml:space="preserve"> </v>
      </c>
    </row>
    <row r="1158" spans="1:12" x14ac:dyDescent="0.35">
      <c r="A1158" t="str">
        <f t="shared" si="36"/>
        <v>VPS21645941</v>
      </c>
      <c r="B1158" t="s">
        <v>154</v>
      </c>
      <c r="C1158" t="s">
        <v>1549</v>
      </c>
      <c r="D1158" s="32">
        <v>45865</v>
      </c>
      <c r="E1158" t="s">
        <v>107</v>
      </c>
      <c r="F1158" t="str">
        <f>VLOOKUP(B1158,'Agent wise'!A:E,5,0)</f>
        <v>Wireless</v>
      </c>
      <c r="G1158" s="32">
        <v>45941</v>
      </c>
      <c r="H1158">
        <f>COUNTIFS('Audit Raw data'!J:J,B:B,'Audit Raw data'!E:E,G:G)</f>
        <v>0</v>
      </c>
      <c r="I1158" s="44" t="str">
        <f>IFERROR((SUMIFS('Audit Raw data'!BZ:BZ,'Audit Raw data'!J:J,B:B,'Audit Raw data'!E:E,G:G)/H1158)/100,"-")</f>
        <v>-</v>
      </c>
      <c r="J1158">
        <f>COUNTIFS('Audit Raw data'!AM:AM,"Yes",'Audit Raw data'!J:J,B:B,'Audit Raw data'!E:E,'Day wise agent'!G:G)</f>
        <v>0</v>
      </c>
      <c r="K1158">
        <f>COUNTIFS('Audit Raw data'!AM:AM,"NO",'Audit Raw data'!J:J,B:B,'Audit Raw data'!E:E,'Day wise agent'!G:G)</f>
        <v>0</v>
      </c>
      <c r="L1158" s="12" t="str">
        <f t="shared" si="37"/>
        <v xml:space="preserve"> </v>
      </c>
    </row>
    <row r="1159" spans="1:12" x14ac:dyDescent="0.35">
      <c r="A1159" t="str">
        <f t="shared" si="36"/>
        <v>VPS21745941</v>
      </c>
      <c r="B1159" t="s">
        <v>519</v>
      </c>
      <c r="C1159" t="s">
        <v>1550</v>
      </c>
      <c r="D1159" s="32">
        <v>45865</v>
      </c>
      <c r="E1159" t="s">
        <v>178</v>
      </c>
      <c r="F1159" t="str">
        <f>VLOOKUP(B1159,'Agent wise'!A:E,5,0)</f>
        <v>Wireless</v>
      </c>
      <c r="G1159" s="32">
        <v>45941</v>
      </c>
      <c r="H1159">
        <f>COUNTIFS('Audit Raw data'!J:J,B:B,'Audit Raw data'!E:E,G:G)</f>
        <v>0</v>
      </c>
      <c r="I1159" s="44" t="str">
        <f>IFERROR((SUMIFS('Audit Raw data'!BZ:BZ,'Audit Raw data'!J:J,B:B,'Audit Raw data'!E:E,G:G)/H1159)/100,"-")</f>
        <v>-</v>
      </c>
      <c r="J1159">
        <f>COUNTIFS('Audit Raw data'!AM:AM,"Yes",'Audit Raw data'!J:J,B:B,'Audit Raw data'!E:E,'Day wise agent'!G:G)</f>
        <v>0</v>
      </c>
      <c r="K1159">
        <f>COUNTIFS('Audit Raw data'!AM:AM,"NO",'Audit Raw data'!J:J,B:B,'Audit Raw data'!E:E,'Day wise agent'!G:G)</f>
        <v>0</v>
      </c>
      <c r="L1159" s="12" t="str">
        <f t="shared" si="37"/>
        <v xml:space="preserve"> </v>
      </c>
    </row>
    <row r="1160" spans="1:12" x14ac:dyDescent="0.35">
      <c r="A1160" t="str">
        <f t="shared" si="36"/>
        <v>VPS22845941</v>
      </c>
      <c r="B1160" t="s">
        <v>341</v>
      </c>
      <c r="C1160" t="s">
        <v>1551</v>
      </c>
      <c r="D1160" s="32">
        <v>45881</v>
      </c>
      <c r="E1160" t="s">
        <v>178</v>
      </c>
      <c r="F1160" t="str">
        <f>VLOOKUP(B1160,'Agent wise'!A:E,5,0)</f>
        <v>Wireless</v>
      </c>
      <c r="G1160" s="32">
        <v>45941</v>
      </c>
      <c r="H1160">
        <f>COUNTIFS('Audit Raw data'!J:J,B:B,'Audit Raw data'!E:E,G:G)</f>
        <v>0</v>
      </c>
      <c r="I1160" s="44" t="str">
        <f>IFERROR((SUMIFS('Audit Raw data'!BZ:BZ,'Audit Raw data'!J:J,B:B,'Audit Raw data'!E:E,G:G)/H1160)/100,"-")</f>
        <v>-</v>
      </c>
      <c r="J1160">
        <f>COUNTIFS('Audit Raw data'!AM:AM,"Yes",'Audit Raw data'!J:J,B:B,'Audit Raw data'!E:E,'Day wise agent'!G:G)</f>
        <v>0</v>
      </c>
      <c r="K1160">
        <f>COUNTIFS('Audit Raw data'!AM:AM,"NO",'Audit Raw data'!J:J,B:B,'Audit Raw data'!E:E,'Day wise agent'!G:G)</f>
        <v>0</v>
      </c>
      <c r="L1160" s="12" t="str">
        <f t="shared" si="37"/>
        <v xml:space="preserve"> </v>
      </c>
    </row>
    <row r="1161" spans="1:12" x14ac:dyDescent="0.35">
      <c r="A1161" t="str">
        <f t="shared" si="36"/>
        <v>VPS22945941</v>
      </c>
      <c r="B1161" t="s">
        <v>173</v>
      </c>
      <c r="C1161" t="s">
        <v>1552</v>
      </c>
      <c r="D1161" s="32">
        <v>45880</v>
      </c>
      <c r="E1161" t="s">
        <v>107</v>
      </c>
      <c r="F1161" t="str">
        <f>VLOOKUP(B1161,'Agent wise'!A:E,5,0)</f>
        <v>Wireless</v>
      </c>
      <c r="G1161" s="32">
        <v>45941</v>
      </c>
      <c r="H1161">
        <f>COUNTIFS('Audit Raw data'!J:J,B:B,'Audit Raw data'!E:E,G:G)</f>
        <v>0</v>
      </c>
      <c r="I1161" s="44" t="str">
        <f>IFERROR((SUMIFS('Audit Raw data'!BZ:BZ,'Audit Raw data'!J:J,B:B,'Audit Raw data'!E:E,G:G)/H1161)/100,"-")</f>
        <v>-</v>
      </c>
      <c r="J1161">
        <f>COUNTIFS('Audit Raw data'!AM:AM,"Yes",'Audit Raw data'!J:J,B:B,'Audit Raw data'!E:E,'Day wise agent'!G:G)</f>
        <v>0</v>
      </c>
      <c r="K1161">
        <f>COUNTIFS('Audit Raw data'!AM:AM,"NO",'Audit Raw data'!J:J,B:B,'Audit Raw data'!E:E,'Day wise agent'!G:G)</f>
        <v>0</v>
      </c>
      <c r="L1161" s="12" t="str">
        <f t="shared" si="37"/>
        <v xml:space="preserve"> </v>
      </c>
    </row>
    <row r="1162" spans="1:12" x14ac:dyDescent="0.35">
      <c r="A1162" t="str">
        <f t="shared" si="36"/>
        <v>VPS23045941</v>
      </c>
      <c r="B1162" t="s">
        <v>335</v>
      </c>
      <c r="C1162" t="s">
        <v>1553</v>
      </c>
      <c r="D1162" s="32">
        <v>45880</v>
      </c>
      <c r="E1162" t="s">
        <v>1484</v>
      </c>
      <c r="F1162" t="str">
        <f>VLOOKUP(B1162,'Agent wise'!A:E,5,0)</f>
        <v>Wireless</v>
      </c>
      <c r="G1162" s="32">
        <v>45941</v>
      </c>
      <c r="H1162">
        <f>COUNTIFS('Audit Raw data'!J:J,B:B,'Audit Raw data'!E:E,G:G)</f>
        <v>2</v>
      </c>
      <c r="I1162" s="44">
        <f>IFERROR((SUMIFS('Audit Raw data'!BZ:BZ,'Audit Raw data'!J:J,B:B,'Audit Raw data'!E:E,G:G)/H1162)/100,"-")</f>
        <v>0.84</v>
      </c>
      <c r="J1162">
        <f>COUNTIFS('Audit Raw data'!AM:AM,"Yes",'Audit Raw data'!J:J,B:B,'Audit Raw data'!E:E,'Day wise agent'!G:G)</f>
        <v>2</v>
      </c>
      <c r="K1162">
        <f>COUNTIFS('Audit Raw data'!AM:AM,"NO",'Audit Raw data'!J:J,B:B,'Audit Raw data'!E:E,'Day wise agent'!G:G)</f>
        <v>0</v>
      </c>
      <c r="L1162" s="12">
        <f t="shared" si="37"/>
        <v>1</v>
      </c>
    </row>
    <row r="1163" spans="1:12" x14ac:dyDescent="0.35">
      <c r="A1163" t="str">
        <f t="shared" si="36"/>
        <v>VPS23545941</v>
      </c>
      <c r="B1163" t="s">
        <v>317</v>
      </c>
      <c r="C1163" t="s">
        <v>1554</v>
      </c>
      <c r="D1163" s="32">
        <v>45897</v>
      </c>
      <c r="E1163" t="s">
        <v>178</v>
      </c>
      <c r="F1163" t="str">
        <f>VLOOKUP(B1163,'Agent wise'!A:E,5,0)</f>
        <v>Wireless</v>
      </c>
      <c r="G1163" s="32">
        <v>45941</v>
      </c>
      <c r="H1163">
        <f>COUNTIFS('Audit Raw data'!J:J,B:B,'Audit Raw data'!E:E,G:G)</f>
        <v>0</v>
      </c>
      <c r="I1163" s="44" t="str">
        <f>IFERROR((SUMIFS('Audit Raw data'!BZ:BZ,'Audit Raw data'!J:J,B:B,'Audit Raw data'!E:E,G:G)/H1163)/100,"-")</f>
        <v>-</v>
      </c>
      <c r="J1163">
        <f>COUNTIFS('Audit Raw data'!AM:AM,"Yes",'Audit Raw data'!J:J,B:B,'Audit Raw data'!E:E,'Day wise agent'!G:G)</f>
        <v>0</v>
      </c>
      <c r="K1163">
        <f>COUNTIFS('Audit Raw data'!AM:AM,"NO",'Audit Raw data'!J:J,B:B,'Audit Raw data'!E:E,'Day wise agent'!G:G)</f>
        <v>0</v>
      </c>
      <c r="L1163" s="12" t="str">
        <f t="shared" si="37"/>
        <v xml:space="preserve"> </v>
      </c>
    </row>
    <row r="1164" spans="1:12" x14ac:dyDescent="0.35">
      <c r="A1164" t="str">
        <f t="shared" si="36"/>
        <v>VPS23645941</v>
      </c>
      <c r="B1164" t="s">
        <v>370</v>
      </c>
      <c r="C1164" t="s">
        <v>1555</v>
      </c>
      <c r="D1164" s="32">
        <v>45897</v>
      </c>
      <c r="E1164" t="s">
        <v>1453</v>
      </c>
      <c r="F1164" t="str">
        <f>VLOOKUP(B1164,'Agent wise'!A:E,5,0)</f>
        <v>Wireless</v>
      </c>
      <c r="G1164" s="32">
        <v>45941</v>
      </c>
      <c r="H1164">
        <f>COUNTIFS('Audit Raw data'!J:J,B:B,'Audit Raw data'!E:E,G:G)</f>
        <v>0</v>
      </c>
      <c r="I1164" s="44" t="str">
        <f>IFERROR((SUMIFS('Audit Raw data'!BZ:BZ,'Audit Raw data'!J:J,B:B,'Audit Raw data'!E:E,G:G)/H1164)/100,"-")</f>
        <v>-</v>
      </c>
      <c r="J1164">
        <f>COUNTIFS('Audit Raw data'!AM:AM,"Yes",'Audit Raw data'!J:J,B:B,'Audit Raw data'!E:E,'Day wise agent'!G:G)</f>
        <v>0</v>
      </c>
      <c r="K1164">
        <f>COUNTIFS('Audit Raw data'!AM:AM,"NO",'Audit Raw data'!J:J,B:B,'Audit Raw data'!E:E,'Day wise agent'!G:G)</f>
        <v>0</v>
      </c>
      <c r="L1164" s="12" t="str">
        <f t="shared" si="37"/>
        <v xml:space="preserve"> </v>
      </c>
    </row>
    <row r="1165" spans="1:12" x14ac:dyDescent="0.35">
      <c r="A1165" t="str">
        <f t="shared" si="36"/>
        <v>VPS23745941</v>
      </c>
      <c r="B1165" t="s">
        <v>159</v>
      </c>
      <c r="C1165" t="s">
        <v>1556</v>
      </c>
      <c r="D1165" s="32">
        <v>45897</v>
      </c>
      <c r="E1165" t="s">
        <v>107</v>
      </c>
      <c r="F1165" t="str">
        <f>VLOOKUP(B1165,'Agent wise'!A:E,5,0)</f>
        <v>Wireless</v>
      </c>
      <c r="G1165" s="32">
        <v>45941</v>
      </c>
      <c r="H1165">
        <f>COUNTIFS('Audit Raw data'!J:J,B:B,'Audit Raw data'!E:E,G:G)</f>
        <v>0</v>
      </c>
      <c r="I1165" s="44" t="str">
        <f>IFERROR((SUMIFS('Audit Raw data'!BZ:BZ,'Audit Raw data'!J:J,B:B,'Audit Raw data'!E:E,G:G)/H1165)/100,"-")</f>
        <v>-</v>
      </c>
      <c r="J1165">
        <f>COUNTIFS('Audit Raw data'!AM:AM,"Yes",'Audit Raw data'!J:J,B:B,'Audit Raw data'!E:E,'Day wise agent'!G:G)</f>
        <v>0</v>
      </c>
      <c r="K1165">
        <f>COUNTIFS('Audit Raw data'!AM:AM,"NO",'Audit Raw data'!J:J,B:B,'Audit Raw data'!E:E,'Day wise agent'!G:G)</f>
        <v>0</v>
      </c>
      <c r="L1165" s="12" t="str">
        <f t="shared" si="37"/>
        <v xml:space="preserve"> </v>
      </c>
    </row>
    <row r="1166" spans="1:12" x14ac:dyDescent="0.35">
      <c r="A1166" t="str">
        <f t="shared" si="36"/>
        <v>VPS23945941</v>
      </c>
      <c r="B1166" t="s">
        <v>484</v>
      </c>
      <c r="C1166" t="s">
        <v>1468</v>
      </c>
      <c r="D1166" s="32">
        <v>44942</v>
      </c>
      <c r="E1166" t="s">
        <v>178</v>
      </c>
      <c r="F1166" t="str">
        <f>VLOOKUP(B1166,'Agent wise'!A:E,5,0)</f>
        <v>Wireless</v>
      </c>
      <c r="G1166" s="32">
        <v>45941</v>
      </c>
      <c r="H1166">
        <f>COUNTIFS('Audit Raw data'!J:J,B:B,'Audit Raw data'!E:E,G:G)</f>
        <v>1</v>
      </c>
      <c r="I1166" s="44">
        <f>IFERROR((SUMIFS('Audit Raw data'!BZ:BZ,'Audit Raw data'!J:J,B:B,'Audit Raw data'!E:E,G:G)/H1166)/100,"-")</f>
        <v>0.92</v>
      </c>
      <c r="J1166">
        <f>COUNTIFS('Audit Raw data'!AM:AM,"Yes",'Audit Raw data'!J:J,B:B,'Audit Raw data'!E:E,'Day wise agent'!G:G)</f>
        <v>1</v>
      </c>
      <c r="K1166">
        <f>COUNTIFS('Audit Raw data'!AM:AM,"NO",'Audit Raw data'!J:J,B:B,'Audit Raw data'!E:E,'Day wise agent'!G:G)</f>
        <v>0</v>
      </c>
      <c r="L1166" s="12">
        <f t="shared" si="37"/>
        <v>1</v>
      </c>
    </row>
    <row r="1167" spans="1:12" x14ac:dyDescent="0.35">
      <c r="A1167" t="str">
        <f t="shared" si="36"/>
        <v>VPS24045941</v>
      </c>
      <c r="B1167" t="s">
        <v>291</v>
      </c>
      <c r="C1167" t="s">
        <v>1557</v>
      </c>
      <c r="D1167" s="32">
        <v>45907</v>
      </c>
      <c r="E1167" t="s">
        <v>1484</v>
      </c>
      <c r="F1167" t="str">
        <f>VLOOKUP(B1167,'Agent wise'!A:E,5,0)</f>
        <v>Wireless</v>
      </c>
      <c r="G1167" s="32">
        <v>45941</v>
      </c>
      <c r="H1167">
        <f>COUNTIFS('Audit Raw data'!J:J,B:B,'Audit Raw data'!E:E,G:G)</f>
        <v>0</v>
      </c>
      <c r="I1167" s="44" t="str">
        <f>IFERROR((SUMIFS('Audit Raw data'!BZ:BZ,'Audit Raw data'!J:J,B:B,'Audit Raw data'!E:E,G:G)/H1167)/100,"-")</f>
        <v>-</v>
      </c>
      <c r="J1167">
        <f>COUNTIFS('Audit Raw data'!AM:AM,"Yes",'Audit Raw data'!J:J,B:B,'Audit Raw data'!E:E,'Day wise agent'!G:G)</f>
        <v>0</v>
      </c>
      <c r="K1167">
        <f>COUNTIFS('Audit Raw data'!AM:AM,"NO",'Audit Raw data'!J:J,B:B,'Audit Raw data'!E:E,'Day wise agent'!G:G)</f>
        <v>0</v>
      </c>
      <c r="L1167" s="12" t="str">
        <f t="shared" si="37"/>
        <v xml:space="preserve"> </v>
      </c>
    </row>
    <row r="1168" spans="1:12" x14ac:dyDescent="0.35">
      <c r="A1168" t="str">
        <f t="shared" si="36"/>
        <v>VPS24245941</v>
      </c>
      <c r="B1168" t="s">
        <v>326</v>
      </c>
      <c r="C1168" t="s">
        <v>1510</v>
      </c>
      <c r="D1168" s="32">
        <v>45908</v>
      </c>
      <c r="E1168" t="s">
        <v>1453</v>
      </c>
      <c r="F1168" t="str">
        <f>VLOOKUP(B1168,'Agent wise'!A:E,5,0)</f>
        <v>Wireless</v>
      </c>
      <c r="G1168" s="32">
        <v>45941</v>
      </c>
      <c r="H1168">
        <f>COUNTIFS('Audit Raw data'!J:J,B:B,'Audit Raw data'!E:E,G:G)</f>
        <v>0</v>
      </c>
      <c r="I1168" s="44" t="str">
        <f>IFERROR((SUMIFS('Audit Raw data'!BZ:BZ,'Audit Raw data'!J:J,B:B,'Audit Raw data'!E:E,G:G)/H1168)/100,"-")</f>
        <v>-</v>
      </c>
      <c r="J1168">
        <f>COUNTIFS('Audit Raw data'!AM:AM,"Yes",'Audit Raw data'!J:J,B:B,'Audit Raw data'!E:E,'Day wise agent'!G:G)</f>
        <v>0</v>
      </c>
      <c r="K1168">
        <f>COUNTIFS('Audit Raw data'!AM:AM,"NO",'Audit Raw data'!J:J,B:B,'Audit Raw data'!E:E,'Day wise agent'!G:G)</f>
        <v>0</v>
      </c>
      <c r="L1168" s="12" t="str">
        <f t="shared" si="37"/>
        <v xml:space="preserve"> </v>
      </c>
    </row>
    <row r="1169" spans="1:12" x14ac:dyDescent="0.35">
      <c r="A1169" t="str">
        <f t="shared" si="36"/>
        <v>VPS24345941</v>
      </c>
      <c r="B1169" t="s">
        <v>321</v>
      </c>
      <c r="C1169" t="s">
        <v>1558</v>
      </c>
      <c r="D1169" s="32">
        <v>45907</v>
      </c>
      <c r="E1169" t="s">
        <v>1453</v>
      </c>
      <c r="F1169" t="str">
        <f>VLOOKUP(B1169,'Agent wise'!A:E,5,0)</f>
        <v>Wireless</v>
      </c>
      <c r="G1169" s="32">
        <v>45941</v>
      </c>
      <c r="H1169">
        <f>COUNTIFS('Audit Raw data'!J:J,B:B,'Audit Raw data'!E:E,G:G)</f>
        <v>0</v>
      </c>
      <c r="I1169" s="44" t="str">
        <f>IFERROR((SUMIFS('Audit Raw data'!BZ:BZ,'Audit Raw data'!J:J,B:B,'Audit Raw data'!E:E,G:G)/H1169)/100,"-")</f>
        <v>-</v>
      </c>
      <c r="J1169">
        <f>COUNTIFS('Audit Raw data'!AM:AM,"Yes",'Audit Raw data'!J:J,B:B,'Audit Raw data'!E:E,'Day wise agent'!G:G)</f>
        <v>0</v>
      </c>
      <c r="K1169">
        <f>COUNTIFS('Audit Raw data'!AM:AM,"NO",'Audit Raw data'!J:J,B:B,'Audit Raw data'!E:E,'Day wise agent'!G:G)</f>
        <v>0</v>
      </c>
      <c r="L1169" s="12" t="str">
        <f t="shared" si="37"/>
        <v xml:space="preserve"> </v>
      </c>
    </row>
    <row r="1170" spans="1:12" x14ac:dyDescent="0.35">
      <c r="A1170" t="str">
        <f t="shared" si="36"/>
        <v>VPS24445941</v>
      </c>
      <c r="B1170" t="s">
        <v>288</v>
      </c>
      <c r="C1170" t="s">
        <v>1559</v>
      </c>
      <c r="D1170" s="32">
        <v>45907</v>
      </c>
      <c r="E1170" t="s">
        <v>107</v>
      </c>
      <c r="F1170" t="str">
        <f>VLOOKUP(B1170,'Agent wise'!A:E,5,0)</f>
        <v>Wireless</v>
      </c>
      <c r="G1170" s="32">
        <v>45941</v>
      </c>
      <c r="H1170">
        <f>COUNTIFS('Audit Raw data'!J:J,B:B,'Audit Raw data'!E:E,G:G)</f>
        <v>0</v>
      </c>
      <c r="I1170" s="44" t="str">
        <f>IFERROR((SUMIFS('Audit Raw data'!BZ:BZ,'Audit Raw data'!J:J,B:B,'Audit Raw data'!E:E,G:G)/H1170)/100,"-")</f>
        <v>-</v>
      </c>
      <c r="J1170">
        <f>COUNTIFS('Audit Raw data'!AM:AM,"Yes",'Audit Raw data'!J:J,B:B,'Audit Raw data'!E:E,'Day wise agent'!G:G)</f>
        <v>0</v>
      </c>
      <c r="K1170">
        <f>COUNTIFS('Audit Raw data'!AM:AM,"NO",'Audit Raw data'!J:J,B:B,'Audit Raw data'!E:E,'Day wise agent'!G:G)</f>
        <v>0</v>
      </c>
      <c r="L1170" s="12" t="str">
        <f t="shared" si="37"/>
        <v xml:space="preserve"> </v>
      </c>
    </row>
    <row r="1171" spans="1:12" x14ac:dyDescent="0.35">
      <c r="A1171" t="str">
        <f t="shared" si="36"/>
        <v>VPS24545941</v>
      </c>
      <c r="B1171" t="s">
        <v>873</v>
      </c>
      <c r="C1171" t="s">
        <v>1560</v>
      </c>
      <c r="D1171" s="32">
        <v>45908</v>
      </c>
      <c r="E1171" t="s">
        <v>1484</v>
      </c>
      <c r="F1171" t="str">
        <f>VLOOKUP(B1171,'Agent wise'!A:E,5,0)</f>
        <v>Wireless</v>
      </c>
      <c r="G1171" s="32">
        <v>45941</v>
      </c>
      <c r="H1171">
        <f>COUNTIFS('Audit Raw data'!J:J,B:B,'Audit Raw data'!E:E,G:G)</f>
        <v>0</v>
      </c>
      <c r="I1171" s="44" t="str">
        <f>IFERROR((SUMIFS('Audit Raw data'!BZ:BZ,'Audit Raw data'!J:J,B:B,'Audit Raw data'!E:E,G:G)/H1171)/100,"-")</f>
        <v>-</v>
      </c>
      <c r="J1171">
        <f>COUNTIFS('Audit Raw data'!AM:AM,"Yes",'Audit Raw data'!J:J,B:B,'Audit Raw data'!E:E,'Day wise agent'!G:G)</f>
        <v>0</v>
      </c>
      <c r="K1171">
        <f>COUNTIFS('Audit Raw data'!AM:AM,"NO",'Audit Raw data'!J:J,B:B,'Audit Raw data'!E:E,'Day wise agent'!G:G)</f>
        <v>0</v>
      </c>
      <c r="L1171" s="12" t="str">
        <f t="shared" si="37"/>
        <v xml:space="preserve"> </v>
      </c>
    </row>
    <row r="1172" spans="1:12" x14ac:dyDescent="0.35">
      <c r="A1172" t="str">
        <f t="shared" si="36"/>
        <v>VPS24745941</v>
      </c>
      <c r="B1172" t="s">
        <v>238</v>
      </c>
      <c r="C1172" t="s">
        <v>1561</v>
      </c>
      <c r="D1172" s="32">
        <v>45907</v>
      </c>
      <c r="E1172" t="s">
        <v>1484</v>
      </c>
      <c r="F1172" t="str">
        <f>VLOOKUP(B1172,'Agent wise'!A:E,5,0)</f>
        <v>Wireless</v>
      </c>
      <c r="G1172" s="32">
        <v>45941</v>
      </c>
      <c r="H1172">
        <f>COUNTIFS('Audit Raw data'!J:J,B:B,'Audit Raw data'!E:E,G:G)</f>
        <v>0</v>
      </c>
      <c r="I1172" s="44" t="str">
        <f>IFERROR((SUMIFS('Audit Raw data'!BZ:BZ,'Audit Raw data'!J:J,B:B,'Audit Raw data'!E:E,G:G)/H1172)/100,"-")</f>
        <v>-</v>
      </c>
      <c r="J1172">
        <f>COUNTIFS('Audit Raw data'!AM:AM,"Yes",'Audit Raw data'!J:J,B:B,'Audit Raw data'!E:E,'Day wise agent'!G:G)</f>
        <v>0</v>
      </c>
      <c r="K1172">
        <f>COUNTIFS('Audit Raw data'!AM:AM,"NO",'Audit Raw data'!J:J,B:B,'Audit Raw data'!E:E,'Day wise agent'!G:G)</f>
        <v>0</v>
      </c>
      <c r="L1172" s="12" t="str">
        <f t="shared" si="37"/>
        <v xml:space="preserve"> </v>
      </c>
    </row>
    <row r="1173" spans="1:12" x14ac:dyDescent="0.35">
      <c r="A1173" t="str">
        <f t="shared" si="36"/>
        <v>VPS24845941</v>
      </c>
      <c r="B1173" t="s">
        <v>231</v>
      </c>
      <c r="C1173" t="s">
        <v>1562</v>
      </c>
      <c r="D1173" s="32">
        <v>45908</v>
      </c>
      <c r="E1173" t="s">
        <v>107</v>
      </c>
      <c r="F1173" t="str">
        <f>VLOOKUP(B1173,'Agent wise'!A:E,5,0)</f>
        <v>Wireless</v>
      </c>
      <c r="G1173" s="32">
        <v>45941</v>
      </c>
      <c r="H1173">
        <f>COUNTIFS('Audit Raw data'!J:J,B:B,'Audit Raw data'!E:E,G:G)</f>
        <v>0</v>
      </c>
      <c r="I1173" s="44" t="str">
        <f>IFERROR((SUMIFS('Audit Raw data'!BZ:BZ,'Audit Raw data'!J:J,B:B,'Audit Raw data'!E:E,G:G)/H1173)/100,"-")</f>
        <v>-</v>
      </c>
      <c r="J1173">
        <f>COUNTIFS('Audit Raw data'!AM:AM,"Yes",'Audit Raw data'!J:J,B:B,'Audit Raw data'!E:E,'Day wise agent'!G:G)</f>
        <v>0</v>
      </c>
      <c r="K1173">
        <f>COUNTIFS('Audit Raw data'!AM:AM,"NO",'Audit Raw data'!J:J,B:B,'Audit Raw data'!E:E,'Day wise agent'!G:G)</f>
        <v>0</v>
      </c>
      <c r="L1173" s="12" t="str">
        <f t="shared" si="37"/>
        <v xml:space="preserve"> </v>
      </c>
    </row>
    <row r="1174" spans="1:12" x14ac:dyDescent="0.35">
      <c r="A1174" t="str">
        <f t="shared" si="36"/>
        <v>VPS24945941</v>
      </c>
      <c r="B1174" t="s">
        <v>215</v>
      </c>
      <c r="C1174" t="s">
        <v>1563</v>
      </c>
      <c r="D1174" s="32">
        <v>45907</v>
      </c>
      <c r="E1174" t="s">
        <v>178</v>
      </c>
      <c r="F1174" t="str">
        <f>VLOOKUP(B1174,'Agent wise'!A:E,5,0)</f>
        <v>Wireless</v>
      </c>
      <c r="G1174" s="32">
        <v>45941</v>
      </c>
      <c r="H1174">
        <f>COUNTIFS('Audit Raw data'!J:J,B:B,'Audit Raw data'!E:E,G:G)</f>
        <v>0</v>
      </c>
      <c r="I1174" s="44" t="str">
        <f>IFERROR((SUMIFS('Audit Raw data'!BZ:BZ,'Audit Raw data'!J:J,B:B,'Audit Raw data'!E:E,G:G)/H1174)/100,"-")</f>
        <v>-</v>
      </c>
      <c r="J1174">
        <f>COUNTIFS('Audit Raw data'!AM:AM,"Yes",'Audit Raw data'!J:J,B:B,'Audit Raw data'!E:E,'Day wise agent'!G:G)</f>
        <v>0</v>
      </c>
      <c r="K1174">
        <f>COUNTIFS('Audit Raw data'!AM:AM,"NO",'Audit Raw data'!J:J,B:B,'Audit Raw data'!E:E,'Day wise agent'!G:G)</f>
        <v>0</v>
      </c>
      <c r="L1174" s="12" t="str">
        <f t="shared" si="37"/>
        <v xml:space="preserve"> </v>
      </c>
    </row>
    <row r="1175" spans="1:12" x14ac:dyDescent="0.35">
      <c r="A1175" t="str">
        <f t="shared" si="36"/>
        <v>VPS25145941</v>
      </c>
      <c r="B1175" t="s">
        <v>168</v>
      </c>
      <c r="C1175" t="s">
        <v>1564</v>
      </c>
      <c r="D1175" s="32">
        <v>45907</v>
      </c>
      <c r="E1175" t="s">
        <v>107</v>
      </c>
      <c r="F1175" t="str">
        <f>VLOOKUP(B1175,'Agent wise'!A:E,5,0)</f>
        <v>Wireless</v>
      </c>
      <c r="G1175" s="32">
        <v>45941</v>
      </c>
      <c r="H1175">
        <f>COUNTIFS('Audit Raw data'!J:J,B:B,'Audit Raw data'!E:E,G:G)</f>
        <v>0</v>
      </c>
      <c r="I1175" s="44" t="str">
        <f>IFERROR((SUMIFS('Audit Raw data'!BZ:BZ,'Audit Raw data'!J:J,B:B,'Audit Raw data'!E:E,G:G)/H1175)/100,"-")</f>
        <v>-</v>
      </c>
      <c r="J1175">
        <f>COUNTIFS('Audit Raw data'!AM:AM,"Yes",'Audit Raw data'!J:J,B:B,'Audit Raw data'!E:E,'Day wise agent'!G:G)</f>
        <v>0</v>
      </c>
      <c r="K1175">
        <f>COUNTIFS('Audit Raw data'!AM:AM,"NO",'Audit Raw data'!J:J,B:B,'Audit Raw data'!E:E,'Day wise agent'!G:G)</f>
        <v>0</v>
      </c>
      <c r="L1175" s="12" t="str">
        <f t="shared" si="37"/>
        <v xml:space="preserve"> </v>
      </c>
    </row>
    <row r="1176" spans="1:12" x14ac:dyDescent="0.35">
      <c r="A1176" t="str">
        <f t="shared" si="36"/>
        <v>VPS25245941</v>
      </c>
      <c r="B1176" t="s">
        <v>204</v>
      </c>
      <c r="C1176" t="s">
        <v>1565</v>
      </c>
      <c r="D1176" s="32">
        <v>45919</v>
      </c>
      <c r="E1176" t="s">
        <v>1484</v>
      </c>
      <c r="F1176" t="str">
        <f>VLOOKUP(B1176,'Agent wise'!A:E,5,0)</f>
        <v>Wireless</v>
      </c>
      <c r="G1176" s="32">
        <v>45941</v>
      </c>
      <c r="H1176">
        <f>COUNTIFS('Audit Raw data'!J:J,B:B,'Audit Raw data'!E:E,G:G)</f>
        <v>0</v>
      </c>
      <c r="I1176" s="44" t="str">
        <f>IFERROR((SUMIFS('Audit Raw data'!BZ:BZ,'Audit Raw data'!J:J,B:B,'Audit Raw data'!E:E,G:G)/H1176)/100,"-")</f>
        <v>-</v>
      </c>
      <c r="J1176">
        <f>COUNTIFS('Audit Raw data'!AM:AM,"Yes",'Audit Raw data'!J:J,B:B,'Audit Raw data'!E:E,'Day wise agent'!G:G)</f>
        <v>0</v>
      </c>
      <c r="K1176">
        <f>COUNTIFS('Audit Raw data'!AM:AM,"NO",'Audit Raw data'!J:J,B:B,'Audit Raw data'!E:E,'Day wise agent'!G:G)</f>
        <v>0</v>
      </c>
      <c r="L1176" s="12" t="str">
        <f t="shared" si="37"/>
        <v xml:space="preserve"> </v>
      </c>
    </row>
    <row r="1177" spans="1:12" x14ac:dyDescent="0.35">
      <c r="A1177" t="str">
        <f t="shared" si="36"/>
        <v>VPS25345941</v>
      </c>
      <c r="B1177" t="s">
        <v>195</v>
      </c>
      <c r="C1177" t="s">
        <v>1566</v>
      </c>
      <c r="D1177" s="32">
        <v>45919</v>
      </c>
      <c r="E1177" t="s">
        <v>178</v>
      </c>
      <c r="F1177" t="str">
        <f>VLOOKUP(B1177,'Agent wise'!A:E,5,0)</f>
        <v>Wireless</v>
      </c>
      <c r="G1177" s="32">
        <v>45941</v>
      </c>
      <c r="H1177">
        <f>COUNTIFS('Audit Raw data'!J:J,B:B,'Audit Raw data'!E:E,G:G)</f>
        <v>0</v>
      </c>
      <c r="I1177" s="44" t="str">
        <f>IFERROR((SUMIFS('Audit Raw data'!BZ:BZ,'Audit Raw data'!J:J,B:B,'Audit Raw data'!E:E,G:G)/H1177)/100,"-")</f>
        <v>-</v>
      </c>
      <c r="J1177">
        <f>COUNTIFS('Audit Raw data'!AM:AM,"Yes",'Audit Raw data'!J:J,B:B,'Audit Raw data'!E:E,'Day wise agent'!G:G)</f>
        <v>0</v>
      </c>
      <c r="K1177">
        <f>COUNTIFS('Audit Raw data'!AM:AM,"NO",'Audit Raw data'!J:J,B:B,'Audit Raw data'!E:E,'Day wise agent'!G:G)</f>
        <v>0</v>
      </c>
      <c r="L1177" s="12" t="str">
        <f t="shared" si="37"/>
        <v xml:space="preserve"> </v>
      </c>
    </row>
    <row r="1178" spans="1:12" x14ac:dyDescent="0.35">
      <c r="A1178" t="str">
        <f t="shared" si="36"/>
        <v>VPS25645941</v>
      </c>
      <c r="B1178" t="s">
        <v>191</v>
      </c>
      <c r="C1178" t="s">
        <v>1567</v>
      </c>
      <c r="D1178" s="32">
        <v>45919</v>
      </c>
      <c r="E1178" t="s">
        <v>1453</v>
      </c>
      <c r="F1178" t="str">
        <f>VLOOKUP(B1178,'Agent wise'!A:E,5,0)</f>
        <v>Wireless</v>
      </c>
      <c r="G1178" s="32">
        <v>45941</v>
      </c>
      <c r="H1178">
        <f>COUNTIFS('Audit Raw data'!J:J,B:B,'Audit Raw data'!E:E,G:G)</f>
        <v>0</v>
      </c>
      <c r="I1178" s="44" t="str">
        <f>IFERROR((SUMIFS('Audit Raw data'!BZ:BZ,'Audit Raw data'!J:J,B:B,'Audit Raw data'!E:E,G:G)/H1178)/100,"-")</f>
        <v>-</v>
      </c>
      <c r="J1178">
        <f>COUNTIFS('Audit Raw data'!AM:AM,"Yes",'Audit Raw data'!J:J,B:B,'Audit Raw data'!E:E,'Day wise agent'!G:G)</f>
        <v>0</v>
      </c>
      <c r="K1178">
        <f>COUNTIFS('Audit Raw data'!AM:AM,"NO",'Audit Raw data'!J:J,B:B,'Audit Raw data'!E:E,'Day wise agent'!G:G)</f>
        <v>0</v>
      </c>
      <c r="L1178" s="12" t="str">
        <f t="shared" si="37"/>
        <v xml:space="preserve"> </v>
      </c>
    </row>
    <row r="1179" spans="1:12" x14ac:dyDescent="0.35">
      <c r="A1179" t="str">
        <f t="shared" si="36"/>
        <v>VPS25745941</v>
      </c>
      <c r="B1179" t="s">
        <v>412</v>
      </c>
      <c r="C1179" t="s">
        <v>1568</v>
      </c>
      <c r="D1179" s="32">
        <v>45919</v>
      </c>
      <c r="E1179" t="s">
        <v>1453</v>
      </c>
      <c r="F1179" t="str">
        <f>VLOOKUP(B1179,'Agent wise'!A:E,5,0)</f>
        <v>Wireless</v>
      </c>
      <c r="G1179" s="32">
        <v>45941</v>
      </c>
      <c r="H1179">
        <f>COUNTIFS('Audit Raw data'!J:J,B:B,'Audit Raw data'!E:E,G:G)</f>
        <v>0</v>
      </c>
      <c r="I1179" s="44" t="str">
        <f>IFERROR((SUMIFS('Audit Raw data'!BZ:BZ,'Audit Raw data'!J:J,B:B,'Audit Raw data'!E:E,G:G)/H1179)/100,"-")</f>
        <v>-</v>
      </c>
      <c r="J1179">
        <f>COUNTIFS('Audit Raw data'!AM:AM,"Yes",'Audit Raw data'!J:J,B:B,'Audit Raw data'!E:E,'Day wise agent'!G:G)</f>
        <v>0</v>
      </c>
      <c r="K1179">
        <f>COUNTIFS('Audit Raw data'!AM:AM,"NO",'Audit Raw data'!J:J,B:B,'Audit Raw data'!E:E,'Day wise agent'!G:G)</f>
        <v>0</v>
      </c>
      <c r="L1179" s="12" t="str">
        <f t="shared" si="37"/>
        <v xml:space="preserve"> </v>
      </c>
    </row>
    <row r="1180" spans="1:12" x14ac:dyDescent="0.35">
      <c r="A1180" t="str">
        <f t="shared" si="36"/>
        <v>VPS25845941</v>
      </c>
      <c r="B1180" t="s">
        <v>183</v>
      </c>
      <c r="C1180" t="s">
        <v>1569</v>
      </c>
      <c r="D1180" s="32">
        <v>45927</v>
      </c>
      <c r="E1180" t="s">
        <v>178</v>
      </c>
      <c r="F1180" t="str">
        <f>VLOOKUP(B1180,'Agent wise'!A:E,5,0)</f>
        <v>Wireless</v>
      </c>
      <c r="G1180" s="32">
        <v>45941</v>
      </c>
      <c r="H1180">
        <f>COUNTIFS('Audit Raw data'!J:J,B:B,'Audit Raw data'!E:E,G:G)</f>
        <v>0</v>
      </c>
      <c r="I1180" s="44" t="str">
        <f>IFERROR((SUMIFS('Audit Raw data'!BZ:BZ,'Audit Raw data'!J:J,B:B,'Audit Raw data'!E:E,G:G)/H1180)/100,"-")</f>
        <v>-</v>
      </c>
      <c r="J1180">
        <f>COUNTIFS('Audit Raw data'!AM:AM,"Yes",'Audit Raw data'!J:J,B:B,'Audit Raw data'!E:E,'Day wise agent'!G:G)</f>
        <v>0</v>
      </c>
      <c r="K1180">
        <f>COUNTIFS('Audit Raw data'!AM:AM,"NO",'Audit Raw data'!J:J,B:B,'Audit Raw data'!E:E,'Day wise agent'!G:G)</f>
        <v>0</v>
      </c>
      <c r="L1180" s="12" t="str">
        <f t="shared" si="37"/>
        <v xml:space="preserve"> </v>
      </c>
    </row>
    <row r="1181" spans="1:12" x14ac:dyDescent="0.35">
      <c r="A1181" t="str">
        <f t="shared" si="36"/>
        <v>VPS25945941</v>
      </c>
      <c r="B1181" t="s">
        <v>102</v>
      </c>
      <c r="C1181" t="s">
        <v>1570</v>
      </c>
      <c r="D1181" s="32">
        <v>45927</v>
      </c>
      <c r="E1181" t="s">
        <v>107</v>
      </c>
      <c r="F1181" t="str">
        <f>VLOOKUP(B1181,'Agent wise'!A:E,5,0)</f>
        <v>Wireless</v>
      </c>
      <c r="G1181" s="32">
        <v>45941</v>
      </c>
      <c r="H1181">
        <f>COUNTIFS('Audit Raw data'!J:J,B:B,'Audit Raw data'!E:E,G:G)</f>
        <v>0</v>
      </c>
      <c r="I1181" s="44" t="str">
        <f>IFERROR((SUMIFS('Audit Raw data'!BZ:BZ,'Audit Raw data'!J:J,B:B,'Audit Raw data'!E:E,G:G)/H1181)/100,"-")</f>
        <v>-</v>
      </c>
      <c r="J1181">
        <f>COUNTIFS('Audit Raw data'!AM:AM,"Yes",'Audit Raw data'!J:J,B:B,'Audit Raw data'!E:E,'Day wise agent'!G:G)</f>
        <v>0</v>
      </c>
      <c r="K1181">
        <f>COUNTIFS('Audit Raw data'!AM:AM,"NO",'Audit Raw data'!J:J,B:B,'Audit Raw data'!E:E,'Day wise agent'!G:G)</f>
        <v>0</v>
      </c>
      <c r="L1181" s="12" t="str">
        <f t="shared" si="37"/>
        <v xml:space="preserve"> </v>
      </c>
    </row>
    <row r="1182" spans="1:12" x14ac:dyDescent="0.35">
      <c r="A1182" t="str">
        <f t="shared" si="36"/>
        <v>VPS26045941</v>
      </c>
      <c r="B1182" t="s">
        <v>998</v>
      </c>
      <c r="C1182" t="s">
        <v>1571</v>
      </c>
      <c r="D1182" s="32">
        <v>45938</v>
      </c>
      <c r="E1182" t="s">
        <v>1572</v>
      </c>
      <c r="F1182" t="str">
        <f>VLOOKUP(B1182,'Agent wise'!A:E,5,0)</f>
        <v>Wireless</v>
      </c>
      <c r="G1182" s="32">
        <v>45941</v>
      </c>
      <c r="H1182">
        <f>COUNTIFS('Audit Raw data'!J:J,B:B,'Audit Raw data'!E:E,G:G)</f>
        <v>0</v>
      </c>
      <c r="I1182" s="44" t="str">
        <f>IFERROR((SUMIFS('Audit Raw data'!BZ:BZ,'Audit Raw data'!J:J,B:B,'Audit Raw data'!E:E,G:G)/H1182)/100,"-")</f>
        <v>-</v>
      </c>
      <c r="J1182">
        <f>COUNTIFS('Audit Raw data'!AM:AM,"Yes",'Audit Raw data'!J:J,B:B,'Audit Raw data'!E:E,'Day wise agent'!G:G)</f>
        <v>0</v>
      </c>
      <c r="K1182">
        <f>COUNTIFS('Audit Raw data'!AM:AM,"NO",'Audit Raw data'!J:J,B:B,'Audit Raw data'!E:E,'Day wise agent'!G:G)</f>
        <v>0</v>
      </c>
      <c r="L1182" s="12" t="str">
        <f t="shared" si="37"/>
        <v xml:space="preserve"> </v>
      </c>
    </row>
    <row r="1183" spans="1:12" x14ac:dyDescent="0.35">
      <c r="A1183" t="str">
        <f t="shared" si="36"/>
        <v>VPS26145941</v>
      </c>
      <c r="B1183" t="s">
        <v>1009</v>
      </c>
      <c r="C1183" t="s">
        <v>1573</v>
      </c>
      <c r="D1183" s="32">
        <v>45938</v>
      </c>
      <c r="E1183" t="s">
        <v>1572</v>
      </c>
      <c r="F1183" t="str">
        <f>VLOOKUP(B1183,'Agent wise'!A:E,5,0)</f>
        <v>Wireless</v>
      </c>
      <c r="G1183" s="32">
        <v>45941</v>
      </c>
      <c r="H1183">
        <f>COUNTIFS('Audit Raw data'!J:J,B:B,'Audit Raw data'!E:E,G:G)</f>
        <v>0</v>
      </c>
      <c r="I1183" s="44" t="str">
        <f>IFERROR((SUMIFS('Audit Raw data'!BZ:BZ,'Audit Raw data'!J:J,B:B,'Audit Raw data'!E:E,G:G)/H1183)/100,"-")</f>
        <v>-</v>
      </c>
      <c r="J1183">
        <f>COUNTIFS('Audit Raw data'!AM:AM,"Yes",'Audit Raw data'!J:J,B:B,'Audit Raw data'!E:E,'Day wise agent'!G:G)</f>
        <v>0</v>
      </c>
      <c r="K1183">
        <f>COUNTIFS('Audit Raw data'!AM:AM,"NO",'Audit Raw data'!J:J,B:B,'Audit Raw data'!E:E,'Day wise agent'!G:G)</f>
        <v>0</v>
      </c>
      <c r="L1183" s="12" t="str">
        <f t="shared" si="37"/>
        <v xml:space="preserve"> </v>
      </c>
    </row>
    <row r="1184" spans="1:12" x14ac:dyDescent="0.35">
      <c r="A1184" t="str">
        <f t="shared" si="36"/>
        <v>VPS26245941</v>
      </c>
      <c r="B1184" t="s">
        <v>1098</v>
      </c>
      <c r="C1184" t="s">
        <v>1574</v>
      </c>
      <c r="D1184" s="32">
        <v>45938</v>
      </c>
      <c r="E1184" t="s">
        <v>1572</v>
      </c>
      <c r="F1184" t="str">
        <f>VLOOKUP(B1184,'Agent wise'!A:E,5,0)</f>
        <v>Wireless</v>
      </c>
      <c r="G1184" s="32">
        <v>45941</v>
      </c>
      <c r="H1184">
        <f>COUNTIFS('Audit Raw data'!J:J,B:B,'Audit Raw data'!E:E,G:G)</f>
        <v>0</v>
      </c>
      <c r="I1184" s="44" t="str">
        <f>IFERROR((SUMIFS('Audit Raw data'!BZ:BZ,'Audit Raw data'!J:J,B:B,'Audit Raw data'!E:E,G:G)/H1184)/100,"-")</f>
        <v>-</v>
      </c>
      <c r="J1184">
        <f>COUNTIFS('Audit Raw data'!AM:AM,"Yes",'Audit Raw data'!J:J,B:B,'Audit Raw data'!E:E,'Day wise agent'!G:G)</f>
        <v>0</v>
      </c>
      <c r="K1184">
        <f>COUNTIFS('Audit Raw data'!AM:AM,"NO",'Audit Raw data'!J:J,B:B,'Audit Raw data'!E:E,'Day wise agent'!G:G)</f>
        <v>0</v>
      </c>
      <c r="L1184" s="12" t="str">
        <f t="shared" si="37"/>
        <v xml:space="preserve"> </v>
      </c>
    </row>
    <row r="1185" spans="1:12" x14ac:dyDescent="0.35">
      <c r="A1185" t="str">
        <f t="shared" si="36"/>
        <v>VPS26345941</v>
      </c>
      <c r="B1185" t="s">
        <v>1022</v>
      </c>
      <c r="C1185" t="s">
        <v>1575</v>
      </c>
      <c r="D1185" s="32">
        <v>45938</v>
      </c>
      <c r="E1185" t="s">
        <v>1572</v>
      </c>
      <c r="F1185" t="str">
        <f>VLOOKUP(B1185,'Agent wise'!A:E,5,0)</f>
        <v>Wireless</v>
      </c>
      <c r="G1185" s="32">
        <v>45941</v>
      </c>
      <c r="H1185">
        <f>COUNTIFS('Audit Raw data'!J:J,B:B,'Audit Raw data'!E:E,G:G)</f>
        <v>0</v>
      </c>
      <c r="I1185" s="44" t="str">
        <f>IFERROR((SUMIFS('Audit Raw data'!BZ:BZ,'Audit Raw data'!J:J,B:B,'Audit Raw data'!E:E,G:G)/H1185)/100,"-")</f>
        <v>-</v>
      </c>
      <c r="J1185">
        <f>COUNTIFS('Audit Raw data'!AM:AM,"Yes",'Audit Raw data'!J:J,B:B,'Audit Raw data'!E:E,'Day wise agent'!G:G)</f>
        <v>0</v>
      </c>
      <c r="K1185">
        <f>COUNTIFS('Audit Raw data'!AM:AM,"NO",'Audit Raw data'!J:J,B:B,'Audit Raw data'!E:E,'Day wise agent'!G:G)</f>
        <v>0</v>
      </c>
      <c r="L1185" s="12" t="str">
        <f t="shared" si="37"/>
        <v xml:space="preserve"> </v>
      </c>
    </row>
    <row r="1186" spans="1:12" x14ac:dyDescent="0.35">
      <c r="A1186" t="str">
        <f t="shared" si="36"/>
        <v>VPS26445941</v>
      </c>
      <c r="B1186" t="s">
        <v>1030</v>
      </c>
      <c r="C1186" t="s">
        <v>1576</v>
      </c>
      <c r="D1186" s="32">
        <v>45938</v>
      </c>
      <c r="E1186" t="s">
        <v>1572</v>
      </c>
      <c r="F1186" t="str">
        <f>VLOOKUP(B1186,'Agent wise'!A:E,5,0)</f>
        <v>Wireless</v>
      </c>
      <c r="G1186" s="32">
        <v>45941</v>
      </c>
      <c r="H1186">
        <f>COUNTIFS('Audit Raw data'!J:J,B:B,'Audit Raw data'!E:E,G:G)</f>
        <v>0</v>
      </c>
      <c r="I1186" s="44" t="str">
        <f>IFERROR((SUMIFS('Audit Raw data'!BZ:BZ,'Audit Raw data'!J:J,B:B,'Audit Raw data'!E:E,G:G)/H1186)/100,"-")</f>
        <v>-</v>
      </c>
      <c r="J1186">
        <f>COUNTIFS('Audit Raw data'!AM:AM,"Yes",'Audit Raw data'!J:J,B:B,'Audit Raw data'!E:E,'Day wise agent'!G:G)</f>
        <v>0</v>
      </c>
      <c r="K1186">
        <f>COUNTIFS('Audit Raw data'!AM:AM,"NO",'Audit Raw data'!J:J,B:B,'Audit Raw data'!E:E,'Day wise agent'!G:G)</f>
        <v>0</v>
      </c>
      <c r="L1186" s="12" t="str">
        <f t="shared" si="37"/>
        <v xml:space="preserve"> </v>
      </c>
    </row>
    <row r="1187" spans="1:12" x14ac:dyDescent="0.35">
      <c r="A1187" t="str">
        <f t="shared" si="36"/>
        <v>SBM10745942</v>
      </c>
      <c r="B1187" t="s">
        <v>313</v>
      </c>
      <c r="C1187" t="s">
        <v>1449</v>
      </c>
      <c r="D1187" s="32">
        <v>44691</v>
      </c>
      <c r="E1187" t="s">
        <v>107</v>
      </c>
      <c r="F1187" t="str">
        <f>VLOOKUP(B1187,'Agent wise'!A:E,5,0)</f>
        <v>Wire-line</v>
      </c>
      <c r="G1187" s="32">
        <v>45942</v>
      </c>
      <c r="H1187">
        <f>COUNTIFS('Audit Raw data'!J:J,B:B,'Audit Raw data'!E:E,G:G)</f>
        <v>0</v>
      </c>
      <c r="I1187" s="44" t="str">
        <f>IFERROR((SUMIFS('Audit Raw data'!BZ:BZ,'Audit Raw data'!J:J,B:B,'Audit Raw data'!E:E,G:G)/H1187)/100,"-")</f>
        <v>-</v>
      </c>
      <c r="J1187">
        <f>COUNTIFS('Audit Raw data'!AM:AM,"Yes",'Audit Raw data'!J:J,B:B,'Audit Raw data'!E:E,'Day wise agent'!G:G)</f>
        <v>0</v>
      </c>
      <c r="K1187">
        <f>COUNTIFS('Audit Raw data'!AM:AM,"NO",'Audit Raw data'!J:J,B:B,'Audit Raw data'!E:E,'Day wise agent'!G:G)</f>
        <v>0</v>
      </c>
      <c r="L1187" s="12" t="str">
        <f t="shared" si="37"/>
        <v xml:space="preserve"> </v>
      </c>
    </row>
    <row r="1188" spans="1:12" x14ac:dyDescent="0.35">
      <c r="A1188" t="str">
        <f t="shared" si="36"/>
        <v>SBM15045942</v>
      </c>
      <c r="B1188" t="s">
        <v>56</v>
      </c>
      <c r="C1188" t="s">
        <v>1452</v>
      </c>
      <c r="D1188" s="32">
        <v>44707</v>
      </c>
      <c r="E1188" t="s">
        <v>1453</v>
      </c>
      <c r="F1188" t="str">
        <f>VLOOKUP(B1188,'Agent wise'!A:E,5,0)</f>
        <v>Wireless</v>
      </c>
      <c r="G1188" s="32">
        <v>45942</v>
      </c>
      <c r="H1188">
        <f>COUNTIFS('Audit Raw data'!J:J,B:B,'Audit Raw data'!E:E,G:G)</f>
        <v>0</v>
      </c>
      <c r="I1188" s="44" t="str">
        <f>IFERROR((SUMIFS('Audit Raw data'!BZ:BZ,'Audit Raw data'!J:J,B:B,'Audit Raw data'!E:E,G:G)/H1188)/100,"-")</f>
        <v>-</v>
      </c>
      <c r="J1188">
        <f>COUNTIFS('Audit Raw data'!AM:AM,"Yes",'Audit Raw data'!J:J,B:B,'Audit Raw data'!E:E,'Day wise agent'!G:G)</f>
        <v>0</v>
      </c>
      <c r="K1188">
        <f>COUNTIFS('Audit Raw data'!AM:AM,"NO",'Audit Raw data'!J:J,B:B,'Audit Raw data'!E:E,'Day wise agent'!G:G)</f>
        <v>0</v>
      </c>
      <c r="L1188" s="12" t="str">
        <f t="shared" si="37"/>
        <v xml:space="preserve"> </v>
      </c>
    </row>
    <row r="1189" spans="1:12" x14ac:dyDescent="0.35">
      <c r="A1189" t="str">
        <f t="shared" si="36"/>
        <v>SBM15545942</v>
      </c>
      <c r="B1189" t="s">
        <v>1454</v>
      </c>
      <c r="C1189" t="s">
        <v>1455</v>
      </c>
      <c r="D1189" s="32">
        <v>44707</v>
      </c>
      <c r="E1189" t="s">
        <v>1456</v>
      </c>
      <c r="F1189" t="str">
        <f>VLOOKUP(B1189,'Agent wise'!A:E,5,0)</f>
        <v>RECL</v>
      </c>
      <c r="G1189" s="32">
        <v>45942</v>
      </c>
      <c r="H1189">
        <f>COUNTIFS('Audit Raw data'!J:J,B:B,'Audit Raw data'!E:E,G:G)</f>
        <v>0</v>
      </c>
      <c r="I1189" s="44" t="str">
        <f>IFERROR((SUMIFS('Audit Raw data'!BZ:BZ,'Audit Raw data'!J:J,B:B,'Audit Raw data'!E:E,G:G)/H1189)/100,"-")</f>
        <v>-</v>
      </c>
      <c r="J1189">
        <f>COUNTIFS('Audit Raw data'!AM:AM,"Yes",'Audit Raw data'!J:J,B:B,'Audit Raw data'!E:E,'Day wise agent'!G:G)</f>
        <v>0</v>
      </c>
      <c r="K1189">
        <f>COUNTIFS('Audit Raw data'!AM:AM,"NO",'Audit Raw data'!J:J,B:B,'Audit Raw data'!E:E,'Day wise agent'!G:G)</f>
        <v>0</v>
      </c>
      <c r="L1189" s="12" t="str">
        <f t="shared" si="37"/>
        <v xml:space="preserve"> </v>
      </c>
    </row>
    <row r="1190" spans="1:12" x14ac:dyDescent="0.35">
      <c r="A1190" t="str">
        <f t="shared" si="36"/>
        <v>SBM15745942</v>
      </c>
      <c r="B1190" t="s">
        <v>67</v>
      </c>
      <c r="C1190" t="s">
        <v>1458</v>
      </c>
      <c r="D1190" s="32">
        <v>44713</v>
      </c>
      <c r="E1190" t="s">
        <v>1453</v>
      </c>
      <c r="F1190" t="str">
        <f>VLOOKUP(B1190,'Agent wise'!A:E,5,0)</f>
        <v>Wireless</v>
      </c>
      <c r="G1190" s="32">
        <v>45942</v>
      </c>
      <c r="H1190">
        <f>COUNTIFS('Audit Raw data'!J:J,B:B,'Audit Raw data'!E:E,G:G)</f>
        <v>0</v>
      </c>
      <c r="I1190" s="44" t="str">
        <f>IFERROR((SUMIFS('Audit Raw data'!BZ:BZ,'Audit Raw data'!J:J,B:B,'Audit Raw data'!E:E,G:G)/H1190)/100,"-")</f>
        <v>-</v>
      </c>
      <c r="J1190">
        <f>COUNTIFS('Audit Raw data'!AM:AM,"Yes",'Audit Raw data'!J:J,B:B,'Audit Raw data'!E:E,'Day wise agent'!G:G)</f>
        <v>0</v>
      </c>
      <c r="K1190">
        <f>COUNTIFS('Audit Raw data'!AM:AM,"NO",'Audit Raw data'!J:J,B:B,'Audit Raw data'!E:E,'Day wise agent'!G:G)</f>
        <v>0</v>
      </c>
      <c r="L1190" s="12" t="str">
        <f t="shared" si="37"/>
        <v xml:space="preserve"> </v>
      </c>
    </row>
    <row r="1191" spans="1:12" x14ac:dyDescent="0.35">
      <c r="A1191" t="str">
        <f t="shared" si="36"/>
        <v>SBM20245942</v>
      </c>
      <c r="B1191" t="s">
        <v>466</v>
      </c>
      <c r="C1191" t="s">
        <v>1459</v>
      </c>
      <c r="D1191" s="32">
        <v>44721</v>
      </c>
      <c r="E1191" t="s">
        <v>178</v>
      </c>
      <c r="F1191" t="str">
        <f>VLOOKUP(B1191,'Agent wise'!A:E,5,0)</f>
        <v>Wireless</v>
      </c>
      <c r="G1191" s="32">
        <v>45942</v>
      </c>
      <c r="H1191">
        <f>COUNTIFS('Audit Raw data'!J:J,B:B,'Audit Raw data'!E:E,G:G)</f>
        <v>0</v>
      </c>
      <c r="I1191" s="44" t="str">
        <f>IFERROR((SUMIFS('Audit Raw data'!BZ:BZ,'Audit Raw data'!J:J,B:B,'Audit Raw data'!E:E,G:G)/H1191)/100,"-")</f>
        <v>-</v>
      </c>
      <c r="J1191">
        <f>COUNTIFS('Audit Raw data'!AM:AM,"Yes",'Audit Raw data'!J:J,B:B,'Audit Raw data'!E:E,'Day wise agent'!G:G)</f>
        <v>0</v>
      </c>
      <c r="K1191">
        <f>COUNTIFS('Audit Raw data'!AM:AM,"NO",'Audit Raw data'!J:J,B:B,'Audit Raw data'!E:E,'Day wise agent'!G:G)</f>
        <v>0</v>
      </c>
      <c r="L1191" s="12" t="str">
        <f t="shared" si="37"/>
        <v xml:space="preserve"> </v>
      </c>
    </row>
    <row r="1192" spans="1:12" x14ac:dyDescent="0.35">
      <c r="A1192" t="str">
        <f t="shared" si="36"/>
        <v>SBM26445942</v>
      </c>
      <c r="B1192" t="s">
        <v>575</v>
      </c>
      <c r="C1192" t="s">
        <v>1461</v>
      </c>
      <c r="D1192" s="32">
        <v>44739</v>
      </c>
      <c r="E1192" t="s">
        <v>107</v>
      </c>
      <c r="F1192" t="str">
        <f>VLOOKUP(B1192,'Agent wise'!A:E,5,0)</f>
        <v>Wireless</v>
      </c>
      <c r="G1192" s="32">
        <v>45942</v>
      </c>
      <c r="H1192">
        <f>COUNTIFS('Audit Raw data'!J:J,B:B,'Audit Raw data'!E:E,G:G)</f>
        <v>2</v>
      </c>
      <c r="I1192" s="44">
        <f>IFERROR((SUMIFS('Audit Raw data'!BZ:BZ,'Audit Raw data'!J:J,B:B,'Audit Raw data'!E:E,G:G)/H1192)/100,"-")</f>
        <v>0.91</v>
      </c>
      <c r="J1192">
        <f>COUNTIFS('Audit Raw data'!AM:AM,"Yes",'Audit Raw data'!J:J,B:B,'Audit Raw data'!E:E,'Day wise agent'!G:G)</f>
        <v>2</v>
      </c>
      <c r="K1192">
        <f>COUNTIFS('Audit Raw data'!AM:AM,"NO",'Audit Raw data'!J:J,B:B,'Audit Raw data'!E:E,'Day wise agent'!G:G)</f>
        <v>0</v>
      </c>
      <c r="L1192" s="12">
        <f t="shared" si="37"/>
        <v>1</v>
      </c>
    </row>
    <row r="1193" spans="1:12" x14ac:dyDescent="0.35">
      <c r="A1193" t="str">
        <f t="shared" si="36"/>
        <v>SBM26745942</v>
      </c>
      <c r="B1193" t="s">
        <v>91</v>
      </c>
      <c r="C1193" t="s">
        <v>1462</v>
      </c>
      <c r="D1193" s="32">
        <v>44768</v>
      </c>
      <c r="E1193" t="s">
        <v>1453</v>
      </c>
      <c r="F1193" t="str">
        <f>VLOOKUP(B1193,'Agent wise'!A:E,5,0)</f>
        <v>Wireless</v>
      </c>
      <c r="G1193" s="32">
        <v>45942</v>
      </c>
      <c r="H1193">
        <f>COUNTIFS('Audit Raw data'!J:J,B:B,'Audit Raw data'!E:E,G:G)</f>
        <v>1</v>
      </c>
      <c r="I1193" s="44">
        <f>IFERROR((SUMIFS('Audit Raw data'!BZ:BZ,'Audit Raw data'!J:J,B:B,'Audit Raw data'!E:E,G:G)/H1193)/100,"-")</f>
        <v>0.94</v>
      </c>
      <c r="J1193">
        <f>COUNTIFS('Audit Raw data'!AM:AM,"Yes",'Audit Raw data'!J:J,B:B,'Audit Raw data'!E:E,'Day wise agent'!G:G)</f>
        <v>1</v>
      </c>
      <c r="K1193">
        <f>COUNTIFS('Audit Raw data'!AM:AM,"NO",'Audit Raw data'!J:J,B:B,'Audit Raw data'!E:E,'Day wise agent'!G:G)</f>
        <v>0</v>
      </c>
      <c r="L1193" s="12">
        <f t="shared" si="37"/>
        <v>1</v>
      </c>
    </row>
    <row r="1194" spans="1:12" x14ac:dyDescent="0.35">
      <c r="A1194" t="str">
        <f t="shared" si="36"/>
        <v>SBM31445942</v>
      </c>
      <c r="B1194" t="s">
        <v>132</v>
      </c>
      <c r="C1194" t="s">
        <v>1463</v>
      </c>
      <c r="D1194" s="32">
        <v>44784</v>
      </c>
      <c r="E1194" t="s">
        <v>107</v>
      </c>
      <c r="F1194" t="str">
        <f>VLOOKUP(B1194,'Agent wise'!A:E,5,0)</f>
        <v>Wireless</v>
      </c>
      <c r="G1194" s="32">
        <v>45942</v>
      </c>
      <c r="H1194">
        <f>COUNTIFS('Audit Raw data'!J:J,B:B,'Audit Raw data'!E:E,G:G)</f>
        <v>0</v>
      </c>
      <c r="I1194" s="44" t="str">
        <f>IFERROR((SUMIFS('Audit Raw data'!BZ:BZ,'Audit Raw data'!J:J,B:B,'Audit Raw data'!E:E,G:G)/H1194)/100,"-")</f>
        <v>-</v>
      </c>
      <c r="J1194">
        <f>COUNTIFS('Audit Raw data'!AM:AM,"Yes",'Audit Raw data'!J:J,B:B,'Audit Raw data'!E:E,'Day wise agent'!G:G)</f>
        <v>0</v>
      </c>
      <c r="K1194">
        <f>COUNTIFS('Audit Raw data'!AM:AM,"NO",'Audit Raw data'!J:J,B:B,'Audit Raw data'!E:E,'Day wise agent'!G:G)</f>
        <v>0</v>
      </c>
      <c r="L1194" s="12" t="str">
        <f t="shared" si="37"/>
        <v xml:space="preserve"> </v>
      </c>
    </row>
    <row r="1195" spans="1:12" x14ac:dyDescent="0.35">
      <c r="A1195" t="str">
        <f t="shared" si="36"/>
        <v>SBM36345942</v>
      </c>
      <c r="B1195" t="s">
        <v>70</v>
      </c>
      <c r="C1195" t="s">
        <v>1464</v>
      </c>
      <c r="D1195" s="32">
        <v>44786</v>
      </c>
      <c r="E1195" t="s">
        <v>1453</v>
      </c>
      <c r="F1195" t="str">
        <f>VLOOKUP(B1195,'Agent wise'!A:E,5,0)</f>
        <v>Wireless</v>
      </c>
      <c r="G1195" s="32">
        <v>45942</v>
      </c>
      <c r="H1195">
        <f>COUNTIFS('Audit Raw data'!J:J,B:B,'Audit Raw data'!E:E,G:G)</f>
        <v>1</v>
      </c>
      <c r="I1195" s="44">
        <f>IFERROR((SUMIFS('Audit Raw data'!BZ:BZ,'Audit Raw data'!J:J,B:B,'Audit Raw data'!E:E,G:G)/H1195)/100,"-")</f>
        <v>0.92</v>
      </c>
      <c r="J1195">
        <f>COUNTIFS('Audit Raw data'!AM:AM,"Yes",'Audit Raw data'!J:J,B:B,'Audit Raw data'!E:E,'Day wise agent'!G:G)</f>
        <v>1</v>
      </c>
      <c r="K1195">
        <f>COUNTIFS('Audit Raw data'!AM:AM,"NO",'Audit Raw data'!J:J,B:B,'Audit Raw data'!E:E,'Day wise agent'!G:G)</f>
        <v>0</v>
      </c>
      <c r="L1195" s="12">
        <f t="shared" si="37"/>
        <v>1</v>
      </c>
    </row>
    <row r="1196" spans="1:12" x14ac:dyDescent="0.35">
      <c r="A1196" t="str">
        <f t="shared" si="36"/>
        <v>SBM37345942</v>
      </c>
      <c r="B1196" t="s">
        <v>75</v>
      </c>
      <c r="C1196" t="s">
        <v>1465</v>
      </c>
      <c r="D1196" s="32">
        <v>44786</v>
      </c>
      <c r="E1196" t="s">
        <v>1453</v>
      </c>
      <c r="F1196" t="str">
        <f>VLOOKUP(B1196,'Agent wise'!A:E,5,0)</f>
        <v>Wireless</v>
      </c>
      <c r="G1196" s="32">
        <v>45942</v>
      </c>
      <c r="H1196">
        <f>COUNTIFS('Audit Raw data'!J:J,B:B,'Audit Raw data'!E:E,G:G)</f>
        <v>0</v>
      </c>
      <c r="I1196" s="44" t="str">
        <f>IFERROR((SUMIFS('Audit Raw data'!BZ:BZ,'Audit Raw data'!J:J,B:B,'Audit Raw data'!E:E,G:G)/H1196)/100,"-")</f>
        <v>-</v>
      </c>
      <c r="J1196">
        <f>COUNTIFS('Audit Raw data'!AM:AM,"Yes",'Audit Raw data'!J:J,B:B,'Audit Raw data'!E:E,'Day wise agent'!G:G)</f>
        <v>0</v>
      </c>
      <c r="K1196">
        <f>COUNTIFS('Audit Raw data'!AM:AM,"NO",'Audit Raw data'!J:J,B:B,'Audit Raw data'!E:E,'Day wise agent'!G:G)</f>
        <v>0</v>
      </c>
      <c r="L1196" s="12" t="str">
        <f t="shared" si="37"/>
        <v xml:space="preserve"> </v>
      </c>
    </row>
    <row r="1197" spans="1:12" x14ac:dyDescent="0.35">
      <c r="A1197" t="str">
        <f t="shared" si="36"/>
        <v>SBM42245942</v>
      </c>
      <c r="B1197" t="s">
        <v>636</v>
      </c>
      <c r="C1197" t="s">
        <v>1466</v>
      </c>
      <c r="D1197" s="32">
        <v>44882</v>
      </c>
      <c r="E1197" t="s">
        <v>107</v>
      </c>
      <c r="F1197" t="str">
        <f>VLOOKUP(B1197,'Agent wise'!A:E,5,0)</f>
        <v>Wireless</v>
      </c>
      <c r="G1197" s="32">
        <v>45942</v>
      </c>
      <c r="H1197">
        <f>COUNTIFS('Audit Raw data'!J:J,B:B,'Audit Raw data'!E:E,G:G)</f>
        <v>0</v>
      </c>
      <c r="I1197" s="44" t="str">
        <f>IFERROR((SUMIFS('Audit Raw data'!BZ:BZ,'Audit Raw data'!J:J,B:B,'Audit Raw data'!E:E,G:G)/H1197)/100,"-")</f>
        <v>-</v>
      </c>
      <c r="J1197">
        <f>COUNTIFS('Audit Raw data'!AM:AM,"Yes",'Audit Raw data'!J:J,B:B,'Audit Raw data'!E:E,'Day wise agent'!G:G)</f>
        <v>0</v>
      </c>
      <c r="K1197">
        <f>COUNTIFS('Audit Raw data'!AM:AM,"NO",'Audit Raw data'!J:J,B:B,'Audit Raw data'!E:E,'Day wise agent'!G:G)</f>
        <v>0</v>
      </c>
      <c r="L1197" s="12" t="str">
        <f t="shared" si="37"/>
        <v xml:space="preserve"> </v>
      </c>
    </row>
    <row r="1198" spans="1:12" x14ac:dyDescent="0.35">
      <c r="A1198" t="str">
        <f t="shared" si="36"/>
        <v>SBM47945942</v>
      </c>
      <c r="B1198" t="s">
        <v>1474</v>
      </c>
      <c r="C1198" t="s">
        <v>1475</v>
      </c>
      <c r="D1198" s="32">
        <v>44932</v>
      </c>
      <c r="E1198" t="s">
        <v>1456</v>
      </c>
      <c r="F1198" t="str">
        <f>VLOOKUP(B1198,'Agent wise'!A:E,5,0)</f>
        <v>RECL</v>
      </c>
      <c r="G1198" s="32">
        <v>45942</v>
      </c>
      <c r="H1198">
        <f>COUNTIFS('Audit Raw data'!J:J,B:B,'Audit Raw data'!E:E,G:G)</f>
        <v>0</v>
      </c>
      <c r="I1198" s="44" t="str">
        <f>IFERROR((SUMIFS('Audit Raw data'!BZ:BZ,'Audit Raw data'!J:J,B:B,'Audit Raw data'!E:E,G:G)/H1198)/100,"-")</f>
        <v>-</v>
      </c>
      <c r="J1198">
        <f>COUNTIFS('Audit Raw data'!AM:AM,"Yes",'Audit Raw data'!J:J,B:B,'Audit Raw data'!E:E,'Day wise agent'!G:G)</f>
        <v>0</v>
      </c>
      <c r="K1198">
        <f>COUNTIFS('Audit Raw data'!AM:AM,"NO",'Audit Raw data'!J:J,B:B,'Audit Raw data'!E:E,'Day wise agent'!G:G)</f>
        <v>0</v>
      </c>
      <c r="L1198" s="12" t="str">
        <f t="shared" si="37"/>
        <v xml:space="preserve"> </v>
      </c>
    </row>
    <row r="1199" spans="1:12" x14ac:dyDescent="0.35">
      <c r="A1199" t="str">
        <f t="shared" si="36"/>
        <v>SBM48145942</v>
      </c>
      <c r="B1199" t="s">
        <v>638</v>
      </c>
      <c r="C1199" t="s">
        <v>1467</v>
      </c>
      <c r="D1199" s="32">
        <v>44932</v>
      </c>
      <c r="E1199" t="s">
        <v>178</v>
      </c>
      <c r="F1199" t="str">
        <f>VLOOKUP(B1199,'Agent wise'!A:E,5,0)</f>
        <v>Wireless</v>
      </c>
      <c r="G1199" s="32">
        <v>45942</v>
      </c>
      <c r="H1199">
        <f>COUNTIFS('Audit Raw data'!J:J,B:B,'Audit Raw data'!E:E,G:G)</f>
        <v>0</v>
      </c>
      <c r="I1199" s="44" t="str">
        <f>IFERROR((SUMIFS('Audit Raw data'!BZ:BZ,'Audit Raw data'!J:J,B:B,'Audit Raw data'!E:E,G:G)/H1199)/100,"-")</f>
        <v>-</v>
      </c>
      <c r="J1199">
        <f>COUNTIFS('Audit Raw data'!AM:AM,"Yes",'Audit Raw data'!J:J,B:B,'Audit Raw data'!E:E,'Day wise agent'!G:G)</f>
        <v>0</v>
      </c>
      <c r="K1199">
        <f>COUNTIFS('Audit Raw data'!AM:AM,"NO",'Audit Raw data'!J:J,B:B,'Audit Raw data'!E:E,'Day wise agent'!G:G)</f>
        <v>0</v>
      </c>
      <c r="L1199" s="12" t="str">
        <f t="shared" si="37"/>
        <v xml:space="preserve"> </v>
      </c>
    </row>
    <row r="1200" spans="1:12" x14ac:dyDescent="0.35">
      <c r="A1200" t="str">
        <f t="shared" si="36"/>
        <v>SBM48545942</v>
      </c>
      <c r="B1200" t="s">
        <v>80</v>
      </c>
      <c r="C1200" t="s">
        <v>1469</v>
      </c>
      <c r="D1200" s="32">
        <v>44961</v>
      </c>
      <c r="E1200" t="s">
        <v>1453</v>
      </c>
      <c r="F1200" t="str">
        <f>VLOOKUP(B1200,'Agent wise'!A:E,5,0)</f>
        <v>Wireless</v>
      </c>
      <c r="G1200" s="32">
        <v>45942</v>
      </c>
      <c r="H1200">
        <f>COUNTIFS('Audit Raw data'!J:J,B:B,'Audit Raw data'!E:E,G:G)</f>
        <v>2</v>
      </c>
      <c r="I1200" s="44">
        <f>IFERROR((SUMIFS('Audit Raw data'!BZ:BZ,'Audit Raw data'!J:J,B:B,'Audit Raw data'!E:E,G:G)/H1200)/100,"-")</f>
        <v>0.93</v>
      </c>
      <c r="J1200">
        <f>COUNTIFS('Audit Raw data'!AM:AM,"Yes",'Audit Raw data'!J:J,B:B,'Audit Raw data'!E:E,'Day wise agent'!G:G)</f>
        <v>2</v>
      </c>
      <c r="K1200">
        <f>COUNTIFS('Audit Raw data'!AM:AM,"NO",'Audit Raw data'!J:J,B:B,'Audit Raw data'!E:E,'Day wise agent'!G:G)</f>
        <v>0</v>
      </c>
      <c r="L1200" s="12">
        <f t="shared" si="37"/>
        <v>1</v>
      </c>
    </row>
    <row r="1201" spans="1:12" x14ac:dyDescent="0.35">
      <c r="A1201" t="str">
        <f t="shared" si="36"/>
        <v>SBM52445942</v>
      </c>
      <c r="B1201" t="s">
        <v>490</v>
      </c>
      <c r="C1201" t="s">
        <v>1470</v>
      </c>
      <c r="D1201" s="32">
        <v>45093</v>
      </c>
      <c r="E1201" t="s">
        <v>1453</v>
      </c>
      <c r="F1201" t="str">
        <f>VLOOKUP(B1201,'Agent wise'!A:E,5,0)</f>
        <v>Wireless</v>
      </c>
      <c r="G1201" s="32">
        <v>45942</v>
      </c>
      <c r="H1201">
        <f>COUNTIFS('Audit Raw data'!J:J,B:B,'Audit Raw data'!E:E,G:G)</f>
        <v>0</v>
      </c>
      <c r="I1201" s="44" t="str">
        <f>IFERROR((SUMIFS('Audit Raw data'!BZ:BZ,'Audit Raw data'!J:J,B:B,'Audit Raw data'!E:E,G:G)/H1201)/100,"-")</f>
        <v>-</v>
      </c>
      <c r="J1201">
        <f>COUNTIFS('Audit Raw data'!AM:AM,"Yes",'Audit Raw data'!J:J,B:B,'Audit Raw data'!E:E,'Day wise agent'!G:G)</f>
        <v>0</v>
      </c>
      <c r="K1201">
        <f>COUNTIFS('Audit Raw data'!AM:AM,"NO",'Audit Raw data'!J:J,B:B,'Audit Raw data'!E:E,'Day wise agent'!G:G)</f>
        <v>0</v>
      </c>
      <c r="L1201" s="12" t="str">
        <f t="shared" si="37"/>
        <v xml:space="preserve"> </v>
      </c>
    </row>
    <row r="1202" spans="1:12" x14ac:dyDescent="0.35">
      <c r="A1202" t="str">
        <f t="shared" si="36"/>
        <v>SBM55045942</v>
      </c>
      <c r="B1202" t="s">
        <v>139</v>
      </c>
      <c r="C1202" t="s">
        <v>1471</v>
      </c>
      <c r="D1202" s="32">
        <v>45139</v>
      </c>
      <c r="E1202" t="s">
        <v>107</v>
      </c>
      <c r="F1202" t="str">
        <f>VLOOKUP(B1202,'Agent wise'!A:E,5,0)</f>
        <v>Wireless</v>
      </c>
      <c r="G1202" s="32">
        <v>45942</v>
      </c>
      <c r="H1202">
        <f>COUNTIFS('Audit Raw data'!J:J,B:B,'Audit Raw data'!E:E,G:G)</f>
        <v>0</v>
      </c>
      <c r="I1202" s="44" t="str">
        <f>IFERROR((SUMIFS('Audit Raw data'!BZ:BZ,'Audit Raw data'!J:J,B:B,'Audit Raw data'!E:E,G:G)/H1202)/100,"-")</f>
        <v>-</v>
      </c>
      <c r="J1202">
        <f>COUNTIFS('Audit Raw data'!AM:AM,"Yes",'Audit Raw data'!J:J,B:B,'Audit Raw data'!E:E,'Day wise agent'!G:G)</f>
        <v>0</v>
      </c>
      <c r="K1202">
        <f>COUNTIFS('Audit Raw data'!AM:AM,"NO",'Audit Raw data'!J:J,B:B,'Audit Raw data'!E:E,'Day wise agent'!G:G)</f>
        <v>0</v>
      </c>
      <c r="L1202" s="12" t="str">
        <f t="shared" si="37"/>
        <v xml:space="preserve"> </v>
      </c>
    </row>
    <row r="1203" spans="1:12" x14ac:dyDescent="0.35">
      <c r="A1203" t="str">
        <f t="shared" si="36"/>
        <v>SBM55445942</v>
      </c>
      <c r="B1203" t="s">
        <v>208</v>
      </c>
      <c r="C1203" t="s">
        <v>1472</v>
      </c>
      <c r="D1203" s="32">
        <v>45140</v>
      </c>
      <c r="E1203" t="s">
        <v>178</v>
      </c>
      <c r="F1203" t="str">
        <f>VLOOKUP(B1203,'Agent wise'!A:E,5,0)</f>
        <v>Wireless</v>
      </c>
      <c r="G1203" s="32">
        <v>45942</v>
      </c>
      <c r="H1203">
        <f>COUNTIFS('Audit Raw data'!J:J,B:B,'Audit Raw data'!E:E,G:G)</f>
        <v>1</v>
      </c>
      <c r="I1203" s="44">
        <f>IFERROR((SUMIFS('Audit Raw data'!BZ:BZ,'Audit Raw data'!J:J,B:B,'Audit Raw data'!E:E,G:G)/H1203)/100,"-")</f>
        <v>0.92</v>
      </c>
      <c r="J1203">
        <f>COUNTIFS('Audit Raw data'!AM:AM,"Yes",'Audit Raw data'!J:J,B:B,'Audit Raw data'!E:E,'Day wise agent'!G:G)</f>
        <v>1</v>
      </c>
      <c r="K1203">
        <f>COUNTIFS('Audit Raw data'!AM:AM,"NO",'Audit Raw data'!J:J,B:B,'Audit Raw data'!E:E,'Day wise agent'!G:G)</f>
        <v>0</v>
      </c>
      <c r="L1203" s="12">
        <f t="shared" si="37"/>
        <v>1</v>
      </c>
    </row>
    <row r="1204" spans="1:12" x14ac:dyDescent="0.35">
      <c r="A1204" t="str">
        <f t="shared" si="36"/>
        <v>SBM58345942</v>
      </c>
      <c r="B1204" t="s">
        <v>546</v>
      </c>
      <c r="C1204" t="s">
        <v>1473</v>
      </c>
      <c r="D1204" s="32">
        <v>45245</v>
      </c>
      <c r="E1204" t="s">
        <v>107</v>
      </c>
      <c r="F1204" t="str">
        <f>VLOOKUP(B1204,'Agent wise'!A:E,5,0)</f>
        <v>Wireless</v>
      </c>
      <c r="G1204" s="32">
        <v>45942</v>
      </c>
      <c r="H1204">
        <f>COUNTIFS('Audit Raw data'!J:J,B:B,'Audit Raw data'!E:E,G:G)</f>
        <v>0</v>
      </c>
      <c r="I1204" s="44" t="str">
        <f>IFERROR((SUMIFS('Audit Raw data'!BZ:BZ,'Audit Raw data'!J:J,B:B,'Audit Raw data'!E:E,G:G)/H1204)/100,"-")</f>
        <v>-</v>
      </c>
      <c r="J1204">
        <f>COUNTIFS('Audit Raw data'!AM:AM,"Yes",'Audit Raw data'!J:J,B:B,'Audit Raw data'!E:E,'Day wise agent'!G:G)</f>
        <v>0</v>
      </c>
      <c r="K1204">
        <f>COUNTIFS('Audit Raw data'!AM:AM,"NO",'Audit Raw data'!J:J,B:B,'Audit Raw data'!E:E,'Day wise agent'!G:G)</f>
        <v>0</v>
      </c>
      <c r="L1204" s="12" t="str">
        <f t="shared" si="37"/>
        <v xml:space="preserve"> </v>
      </c>
    </row>
    <row r="1205" spans="1:12" x14ac:dyDescent="0.35">
      <c r="A1205" t="str">
        <f t="shared" si="36"/>
        <v>SBM61345942</v>
      </c>
      <c r="B1205" t="s">
        <v>391</v>
      </c>
      <c r="C1205" t="s">
        <v>1478</v>
      </c>
      <c r="D1205" s="32">
        <v>45301</v>
      </c>
      <c r="E1205" t="s">
        <v>221</v>
      </c>
      <c r="F1205" t="str">
        <f>VLOOKUP(B1205,'Agent wise'!A:E,5,0)</f>
        <v>Wire-line</v>
      </c>
      <c r="G1205" s="32">
        <v>45942</v>
      </c>
      <c r="H1205">
        <f>COUNTIFS('Audit Raw data'!J:J,B:B,'Audit Raw data'!E:E,G:G)</f>
        <v>0</v>
      </c>
      <c r="I1205" s="44" t="str">
        <f>IFERROR((SUMIFS('Audit Raw data'!BZ:BZ,'Audit Raw data'!J:J,B:B,'Audit Raw data'!E:E,G:G)/H1205)/100,"-")</f>
        <v>-</v>
      </c>
      <c r="J1205">
        <f>COUNTIFS('Audit Raw data'!AM:AM,"Yes",'Audit Raw data'!J:J,B:B,'Audit Raw data'!E:E,'Day wise agent'!G:G)</f>
        <v>0</v>
      </c>
      <c r="K1205">
        <f>COUNTIFS('Audit Raw data'!AM:AM,"NO",'Audit Raw data'!J:J,B:B,'Audit Raw data'!E:E,'Day wise agent'!G:G)</f>
        <v>0</v>
      </c>
      <c r="L1205" s="12" t="str">
        <f t="shared" si="37"/>
        <v xml:space="preserve"> </v>
      </c>
    </row>
    <row r="1206" spans="1:12" x14ac:dyDescent="0.35">
      <c r="A1206" t="str">
        <f t="shared" si="36"/>
        <v>SBM61845942</v>
      </c>
      <c r="B1206" t="s">
        <v>242</v>
      </c>
      <c r="C1206" t="s">
        <v>1477</v>
      </c>
      <c r="D1206" s="32">
        <v>45292</v>
      </c>
      <c r="E1206" t="s">
        <v>221</v>
      </c>
      <c r="F1206" t="str">
        <f>VLOOKUP(B1206,'Agent wise'!A:E,5,0)</f>
        <v>Wire-line</v>
      </c>
      <c r="G1206" s="32">
        <v>45942</v>
      </c>
      <c r="H1206">
        <f>COUNTIFS('Audit Raw data'!J:J,B:B,'Audit Raw data'!E:E,G:G)</f>
        <v>0</v>
      </c>
      <c r="I1206" s="44" t="str">
        <f>IFERROR((SUMIFS('Audit Raw data'!BZ:BZ,'Audit Raw data'!J:J,B:B,'Audit Raw data'!E:E,G:G)/H1206)/100,"-")</f>
        <v>-</v>
      </c>
      <c r="J1206">
        <f>COUNTIFS('Audit Raw data'!AM:AM,"Yes",'Audit Raw data'!J:J,B:B,'Audit Raw data'!E:E,'Day wise agent'!G:G)</f>
        <v>0</v>
      </c>
      <c r="K1206">
        <f>COUNTIFS('Audit Raw data'!AM:AM,"NO",'Audit Raw data'!J:J,B:B,'Audit Raw data'!E:E,'Day wise agent'!G:G)</f>
        <v>0</v>
      </c>
      <c r="L1206" s="12" t="str">
        <f t="shared" si="37"/>
        <v xml:space="preserve"> </v>
      </c>
    </row>
    <row r="1207" spans="1:12" x14ac:dyDescent="0.35">
      <c r="A1207" t="str">
        <f t="shared" si="36"/>
        <v>SBM62545942</v>
      </c>
      <c r="B1207" t="s">
        <v>472</v>
      </c>
      <c r="C1207" t="s">
        <v>1476</v>
      </c>
      <c r="D1207" s="32">
        <v>45329</v>
      </c>
      <c r="E1207" t="s">
        <v>1453</v>
      </c>
      <c r="F1207" t="str">
        <f>VLOOKUP(B1207,'Agent wise'!A:E,5,0)</f>
        <v>Wireless</v>
      </c>
      <c r="G1207" s="32">
        <v>45942</v>
      </c>
      <c r="H1207">
        <f>COUNTIFS('Audit Raw data'!J:J,B:B,'Audit Raw data'!E:E,G:G)</f>
        <v>0</v>
      </c>
      <c r="I1207" s="44" t="str">
        <f>IFERROR((SUMIFS('Audit Raw data'!BZ:BZ,'Audit Raw data'!J:J,B:B,'Audit Raw data'!E:E,G:G)/H1207)/100,"-")</f>
        <v>-</v>
      </c>
      <c r="J1207">
        <f>COUNTIFS('Audit Raw data'!AM:AM,"Yes",'Audit Raw data'!J:J,B:B,'Audit Raw data'!E:E,'Day wise agent'!G:G)</f>
        <v>0</v>
      </c>
      <c r="K1207">
        <f>COUNTIFS('Audit Raw data'!AM:AM,"NO",'Audit Raw data'!J:J,B:B,'Audit Raw data'!E:E,'Day wise agent'!G:G)</f>
        <v>0</v>
      </c>
      <c r="L1207" s="12" t="str">
        <f t="shared" si="37"/>
        <v xml:space="preserve"> </v>
      </c>
    </row>
    <row r="1208" spans="1:12" x14ac:dyDescent="0.35">
      <c r="A1208" t="str">
        <f t="shared" si="36"/>
        <v>SBM65045942</v>
      </c>
      <c r="B1208" t="s">
        <v>353</v>
      </c>
      <c r="C1208" t="s">
        <v>1479</v>
      </c>
      <c r="D1208" s="32">
        <v>45357</v>
      </c>
      <c r="E1208" t="s">
        <v>221</v>
      </c>
      <c r="F1208" t="str">
        <f>VLOOKUP(B1208,'Agent wise'!A:E,5,0)</f>
        <v>Wire-line</v>
      </c>
      <c r="G1208" s="32">
        <v>45942</v>
      </c>
      <c r="H1208">
        <f>COUNTIFS('Audit Raw data'!J:J,B:B,'Audit Raw data'!E:E,G:G)</f>
        <v>3</v>
      </c>
      <c r="I1208" s="44">
        <f>IFERROR((SUMIFS('Audit Raw data'!BZ:BZ,'Audit Raw data'!J:J,B:B,'Audit Raw data'!E:E,G:G)/H1208)/100,"-")</f>
        <v>0.91333333333333333</v>
      </c>
      <c r="J1208">
        <f>COUNTIFS('Audit Raw data'!AM:AM,"Yes",'Audit Raw data'!J:J,B:B,'Audit Raw data'!E:E,'Day wise agent'!G:G)</f>
        <v>3</v>
      </c>
      <c r="K1208">
        <f>COUNTIFS('Audit Raw data'!AM:AM,"NO",'Audit Raw data'!J:J,B:B,'Audit Raw data'!E:E,'Day wise agent'!G:G)</f>
        <v>0</v>
      </c>
      <c r="L1208" s="12">
        <f t="shared" si="37"/>
        <v>1</v>
      </c>
    </row>
    <row r="1209" spans="1:12" x14ac:dyDescent="0.35">
      <c r="A1209" t="str">
        <f t="shared" si="36"/>
        <v>SBM65345942</v>
      </c>
      <c r="B1209" t="s">
        <v>223</v>
      </c>
      <c r="C1209" t="s">
        <v>1480</v>
      </c>
      <c r="D1209" s="32">
        <v>45367</v>
      </c>
      <c r="E1209" t="s">
        <v>221</v>
      </c>
      <c r="F1209" t="str">
        <f>VLOOKUP(B1209,'Agent wise'!A:E,5,0)</f>
        <v>Wire-line</v>
      </c>
      <c r="G1209" s="32">
        <v>45942</v>
      </c>
      <c r="H1209">
        <f>COUNTIFS('Audit Raw data'!J:J,B:B,'Audit Raw data'!E:E,G:G)</f>
        <v>2</v>
      </c>
      <c r="I1209" s="44">
        <f>IFERROR((SUMIFS('Audit Raw data'!BZ:BZ,'Audit Raw data'!J:J,B:B,'Audit Raw data'!E:E,G:G)/H1209)/100,"-")</f>
        <v>0.95</v>
      </c>
      <c r="J1209">
        <f>COUNTIFS('Audit Raw data'!AM:AM,"Yes",'Audit Raw data'!J:J,B:B,'Audit Raw data'!E:E,'Day wise agent'!G:G)</f>
        <v>2</v>
      </c>
      <c r="K1209">
        <f>COUNTIFS('Audit Raw data'!AM:AM,"NO",'Audit Raw data'!J:J,B:B,'Audit Raw data'!E:E,'Day wise agent'!G:G)</f>
        <v>0</v>
      </c>
      <c r="L1209" s="12">
        <f t="shared" si="37"/>
        <v>1</v>
      </c>
    </row>
    <row r="1210" spans="1:12" x14ac:dyDescent="0.35">
      <c r="A1210" t="str">
        <f t="shared" si="36"/>
        <v>SBM67845942</v>
      </c>
      <c r="B1210" t="s">
        <v>548</v>
      </c>
      <c r="C1210" t="s">
        <v>1481</v>
      </c>
      <c r="D1210" s="32">
        <v>45413</v>
      </c>
      <c r="E1210" t="s">
        <v>178</v>
      </c>
      <c r="F1210" t="str">
        <f>VLOOKUP(B1210,'Agent wise'!A:E,5,0)</f>
        <v>Wireless</v>
      </c>
      <c r="G1210" s="32">
        <v>45942</v>
      </c>
      <c r="H1210">
        <f>COUNTIFS('Audit Raw data'!J:J,B:B,'Audit Raw data'!E:E,G:G)</f>
        <v>1</v>
      </c>
      <c r="I1210" s="44">
        <f>IFERROR((SUMIFS('Audit Raw data'!BZ:BZ,'Audit Raw data'!J:J,B:B,'Audit Raw data'!E:E,G:G)/H1210)/100,"-")</f>
        <v>0.92</v>
      </c>
      <c r="J1210">
        <f>COUNTIFS('Audit Raw data'!AM:AM,"Yes",'Audit Raw data'!J:J,B:B,'Audit Raw data'!E:E,'Day wise agent'!G:G)</f>
        <v>1</v>
      </c>
      <c r="K1210">
        <f>COUNTIFS('Audit Raw data'!AM:AM,"NO",'Audit Raw data'!J:J,B:B,'Audit Raw data'!E:E,'Day wise agent'!G:G)</f>
        <v>0</v>
      </c>
      <c r="L1210" s="12">
        <f t="shared" si="37"/>
        <v>1</v>
      </c>
    </row>
    <row r="1211" spans="1:12" x14ac:dyDescent="0.35">
      <c r="A1211" t="str">
        <f t="shared" si="36"/>
        <v>SBM69245942</v>
      </c>
      <c r="B1211" t="s">
        <v>85</v>
      </c>
      <c r="C1211" t="s">
        <v>1482</v>
      </c>
      <c r="D1211" s="32">
        <v>45445</v>
      </c>
      <c r="E1211" t="s">
        <v>1453</v>
      </c>
      <c r="F1211" t="str">
        <f>VLOOKUP(B1211,'Agent wise'!A:E,5,0)</f>
        <v>Wireless</v>
      </c>
      <c r="G1211" s="32">
        <v>45942</v>
      </c>
      <c r="H1211">
        <f>COUNTIFS('Audit Raw data'!J:J,B:B,'Audit Raw data'!E:E,G:G)</f>
        <v>0</v>
      </c>
      <c r="I1211" s="44" t="str">
        <f>IFERROR((SUMIFS('Audit Raw data'!BZ:BZ,'Audit Raw data'!J:J,B:B,'Audit Raw data'!E:E,G:G)/H1211)/100,"-")</f>
        <v>-</v>
      </c>
      <c r="J1211">
        <f>COUNTIFS('Audit Raw data'!AM:AM,"Yes",'Audit Raw data'!J:J,B:B,'Audit Raw data'!E:E,'Day wise agent'!G:G)</f>
        <v>0</v>
      </c>
      <c r="K1211">
        <f>COUNTIFS('Audit Raw data'!AM:AM,"NO",'Audit Raw data'!J:J,B:B,'Audit Raw data'!E:E,'Day wise agent'!G:G)</f>
        <v>0</v>
      </c>
      <c r="L1211" s="12" t="str">
        <f t="shared" si="37"/>
        <v xml:space="preserve"> </v>
      </c>
    </row>
    <row r="1212" spans="1:12" x14ac:dyDescent="0.35">
      <c r="A1212" t="str">
        <f t="shared" si="36"/>
        <v>SBM70345942</v>
      </c>
      <c r="B1212" t="s">
        <v>252</v>
      </c>
      <c r="C1212" t="s">
        <v>1483</v>
      </c>
      <c r="D1212" s="32">
        <v>45451</v>
      </c>
      <c r="E1212" t="s">
        <v>1484</v>
      </c>
      <c r="F1212" t="str">
        <f>VLOOKUP(B1212,'Agent wise'!A:E,5,0)</f>
        <v>Wireless</v>
      </c>
      <c r="G1212" s="32">
        <v>45942</v>
      </c>
      <c r="H1212">
        <f>COUNTIFS('Audit Raw data'!J:J,B:B,'Audit Raw data'!E:E,G:G)</f>
        <v>1</v>
      </c>
      <c r="I1212" s="44">
        <f>IFERROR((SUMIFS('Audit Raw data'!BZ:BZ,'Audit Raw data'!J:J,B:B,'Audit Raw data'!E:E,G:G)/H1212)/100,"-")</f>
        <v>0.96</v>
      </c>
      <c r="J1212">
        <f>COUNTIFS('Audit Raw data'!AM:AM,"Yes",'Audit Raw data'!J:J,B:B,'Audit Raw data'!E:E,'Day wise agent'!G:G)</f>
        <v>1</v>
      </c>
      <c r="K1212">
        <f>COUNTIFS('Audit Raw data'!AM:AM,"NO",'Audit Raw data'!J:J,B:B,'Audit Raw data'!E:E,'Day wise agent'!G:G)</f>
        <v>0</v>
      </c>
      <c r="L1212" s="12">
        <f t="shared" si="37"/>
        <v>1</v>
      </c>
    </row>
    <row r="1213" spans="1:12" x14ac:dyDescent="0.35">
      <c r="A1213" t="str">
        <f t="shared" si="36"/>
        <v>SBM71045942</v>
      </c>
      <c r="B1213" t="s">
        <v>552</v>
      </c>
      <c r="C1213" t="s">
        <v>1485</v>
      </c>
      <c r="D1213" s="32">
        <v>45465</v>
      </c>
      <c r="E1213" t="s">
        <v>1484</v>
      </c>
      <c r="F1213" t="str">
        <f>VLOOKUP(B1213,'Agent wise'!A:E,5,0)</f>
        <v>Wireless</v>
      </c>
      <c r="G1213" s="32">
        <v>45942</v>
      </c>
      <c r="H1213">
        <f>COUNTIFS('Audit Raw data'!J:J,B:B,'Audit Raw data'!E:E,G:G)</f>
        <v>0</v>
      </c>
      <c r="I1213" s="44" t="str">
        <f>IFERROR((SUMIFS('Audit Raw data'!BZ:BZ,'Audit Raw data'!J:J,B:B,'Audit Raw data'!E:E,G:G)/H1213)/100,"-")</f>
        <v>-</v>
      </c>
      <c r="J1213">
        <f>COUNTIFS('Audit Raw data'!AM:AM,"Yes",'Audit Raw data'!J:J,B:B,'Audit Raw data'!E:E,'Day wise agent'!G:G)</f>
        <v>0</v>
      </c>
      <c r="K1213">
        <f>COUNTIFS('Audit Raw data'!AM:AM,"NO",'Audit Raw data'!J:J,B:B,'Audit Raw data'!E:E,'Day wise agent'!G:G)</f>
        <v>0</v>
      </c>
      <c r="L1213" s="12" t="str">
        <f t="shared" si="37"/>
        <v xml:space="preserve"> </v>
      </c>
    </row>
    <row r="1214" spans="1:12" x14ac:dyDescent="0.35">
      <c r="A1214" t="str">
        <f t="shared" si="36"/>
        <v>SBM71145942</v>
      </c>
      <c r="B1214" t="s">
        <v>533</v>
      </c>
      <c r="C1214" t="s">
        <v>1486</v>
      </c>
      <c r="D1214" s="32">
        <v>45465</v>
      </c>
      <c r="E1214" t="s">
        <v>1484</v>
      </c>
      <c r="F1214" t="str">
        <f>VLOOKUP(B1214,'Agent wise'!A:E,5,0)</f>
        <v>Wireless</v>
      </c>
      <c r="G1214" s="32">
        <v>45942</v>
      </c>
      <c r="H1214">
        <f>COUNTIFS('Audit Raw data'!J:J,B:B,'Audit Raw data'!E:E,G:G)</f>
        <v>1</v>
      </c>
      <c r="I1214" s="44">
        <f>IFERROR((SUMIFS('Audit Raw data'!BZ:BZ,'Audit Raw data'!J:J,B:B,'Audit Raw data'!E:E,G:G)/H1214)/100,"-")</f>
        <v>0.96</v>
      </c>
      <c r="J1214">
        <f>COUNTIFS('Audit Raw data'!AM:AM,"Yes",'Audit Raw data'!J:J,B:B,'Audit Raw data'!E:E,'Day wise agent'!G:G)</f>
        <v>1</v>
      </c>
      <c r="K1214">
        <f>COUNTIFS('Audit Raw data'!AM:AM,"NO",'Audit Raw data'!J:J,B:B,'Audit Raw data'!E:E,'Day wise agent'!G:G)</f>
        <v>0</v>
      </c>
      <c r="L1214" s="12">
        <f t="shared" si="37"/>
        <v>1</v>
      </c>
    </row>
    <row r="1215" spans="1:12" x14ac:dyDescent="0.35">
      <c r="A1215" t="str">
        <f t="shared" si="36"/>
        <v>SBM71845942</v>
      </c>
      <c r="B1215" t="s">
        <v>451</v>
      </c>
      <c r="C1215" t="s">
        <v>1487</v>
      </c>
      <c r="D1215" s="32">
        <v>45491</v>
      </c>
      <c r="E1215" t="s">
        <v>1484</v>
      </c>
      <c r="F1215" t="str">
        <f>VLOOKUP(B1215,'Agent wise'!A:E,5,0)</f>
        <v>Wireless</v>
      </c>
      <c r="G1215" s="32">
        <v>45942</v>
      </c>
      <c r="H1215">
        <f>COUNTIFS('Audit Raw data'!J:J,B:B,'Audit Raw data'!E:E,G:G)</f>
        <v>1</v>
      </c>
      <c r="I1215" s="44">
        <f>IFERROR((SUMIFS('Audit Raw data'!BZ:BZ,'Audit Raw data'!J:J,B:B,'Audit Raw data'!E:E,G:G)/H1215)/100,"-")</f>
        <v>0.96</v>
      </c>
      <c r="J1215">
        <f>COUNTIFS('Audit Raw data'!AM:AM,"Yes",'Audit Raw data'!J:J,B:B,'Audit Raw data'!E:E,'Day wise agent'!G:G)</f>
        <v>1</v>
      </c>
      <c r="K1215">
        <f>COUNTIFS('Audit Raw data'!AM:AM,"NO",'Audit Raw data'!J:J,B:B,'Audit Raw data'!E:E,'Day wise agent'!G:G)</f>
        <v>0</v>
      </c>
      <c r="L1215" s="12">
        <f t="shared" si="37"/>
        <v>1</v>
      </c>
    </row>
    <row r="1216" spans="1:12" x14ac:dyDescent="0.35">
      <c r="A1216" t="str">
        <f t="shared" si="36"/>
        <v>SBM72045942</v>
      </c>
      <c r="B1216" t="s">
        <v>557</v>
      </c>
      <c r="C1216" t="s">
        <v>1488</v>
      </c>
      <c r="D1216" s="32">
        <v>45491</v>
      </c>
      <c r="E1216" t="s">
        <v>1484</v>
      </c>
      <c r="F1216" t="str">
        <f>VLOOKUP(B1216,'Agent wise'!A:E,5,0)</f>
        <v>Wireless</v>
      </c>
      <c r="G1216" s="32">
        <v>45942</v>
      </c>
      <c r="H1216">
        <f>COUNTIFS('Audit Raw data'!J:J,B:B,'Audit Raw data'!E:E,G:G)</f>
        <v>0</v>
      </c>
      <c r="I1216" s="44" t="str">
        <f>IFERROR((SUMIFS('Audit Raw data'!BZ:BZ,'Audit Raw data'!J:J,B:B,'Audit Raw data'!E:E,G:G)/H1216)/100,"-")</f>
        <v>-</v>
      </c>
      <c r="J1216">
        <f>COUNTIFS('Audit Raw data'!AM:AM,"Yes",'Audit Raw data'!J:J,B:B,'Audit Raw data'!E:E,'Day wise agent'!G:G)</f>
        <v>0</v>
      </c>
      <c r="K1216">
        <f>COUNTIFS('Audit Raw data'!AM:AM,"NO",'Audit Raw data'!J:J,B:B,'Audit Raw data'!E:E,'Day wise agent'!G:G)</f>
        <v>0</v>
      </c>
      <c r="L1216" s="12" t="str">
        <f t="shared" si="37"/>
        <v xml:space="preserve"> </v>
      </c>
    </row>
    <row r="1217" spans="1:12" x14ac:dyDescent="0.35">
      <c r="A1217" t="str">
        <f t="shared" si="36"/>
        <v>SBM72445942</v>
      </c>
      <c r="B1217" t="s">
        <v>144</v>
      </c>
      <c r="C1217" t="s">
        <v>1489</v>
      </c>
      <c r="D1217" s="32">
        <v>45491</v>
      </c>
      <c r="E1217" t="s">
        <v>1484</v>
      </c>
      <c r="F1217" t="str">
        <f>VLOOKUP(B1217,'Agent wise'!A:E,5,0)</f>
        <v>Wireless</v>
      </c>
      <c r="G1217" s="32">
        <v>45942</v>
      </c>
      <c r="H1217">
        <f>COUNTIFS('Audit Raw data'!J:J,B:B,'Audit Raw data'!E:E,G:G)</f>
        <v>0</v>
      </c>
      <c r="I1217" s="44" t="str">
        <f>IFERROR((SUMIFS('Audit Raw data'!BZ:BZ,'Audit Raw data'!J:J,B:B,'Audit Raw data'!E:E,G:G)/H1217)/100,"-")</f>
        <v>-</v>
      </c>
      <c r="J1217">
        <f>COUNTIFS('Audit Raw data'!AM:AM,"Yes",'Audit Raw data'!J:J,B:B,'Audit Raw data'!E:E,'Day wise agent'!G:G)</f>
        <v>0</v>
      </c>
      <c r="K1217">
        <f>COUNTIFS('Audit Raw data'!AM:AM,"NO",'Audit Raw data'!J:J,B:B,'Audit Raw data'!E:E,'Day wise agent'!G:G)</f>
        <v>0</v>
      </c>
      <c r="L1217" s="12" t="str">
        <f t="shared" si="37"/>
        <v xml:space="preserve"> </v>
      </c>
    </row>
    <row r="1218" spans="1:12" x14ac:dyDescent="0.35">
      <c r="A1218" t="str">
        <f t="shared" ref="A1218:A1281" si="38">B1218&amp;G1218</f>
        <v>SBM73445942</v>
      </c>
      <c r="B1218" t="s">
        <v>356</v>
      </c>
      <c r="C1218" t="s">
        <v>1490</v>
      </c>
      <c r="D1218" s="32">
        <v>45497</v>
      </c>
      <c r="E1218" t="s">
        <v>221</v>
      </c>
      <c r="F1218" t="str">
        <f>VLOOKUP(B1218,'Agent wise'!A:E,5,0)</f>
        <v>Wire-line</v>
      </c>
      <c r="G1218" s="32">
        <v>45942</v>
      </c>
      <c r="H1218">
        <f>COUNTIFS('Audit Raw data'!J:J,B:B,'Audit Raw data'!E:E,G:G)</f>
        <v>3</v>
      </c>
      <c r="I1218" s="44">
        <f>IFERROR((SUMIFS('Audit Raw data'!BZ:BZ,'Audit Raw data'!J:J,B:B,'Audit Raw data'!E:E,G:G)/H1218)/100,"-")</f>
        <v>0.94</v>
      </c>
      <c r="J1218">
        <f>COUNTIFS('Audit Raw data'!AM:AM,"Yes",'Audit Raw data'!J:J,B:B,'Audit Raw data'!E:E,'Day wise agent'!G:G)</f>
        <v>3</v>
      </c>
      <c r="K1218">
        <f>COUNTIFS('Audit Raw data'!AM:AM,"NO",'Audit Raw data'!J:J,B:B,'Audit Raw data'!E:E,'Day wise agent'!G:G)</f>
        <v>0</v>
      </c>
      <c r="L1218" s="12">
        <f t="shared" ref="L1218:L1281" si="39">IFERROR(J1218/H1218," ")</f>
        <v>1</v>
      </c>
    </row>
    <row r="1219" spans="1:12" x14ac:dyDescent="0.35">
      <c r="A1219" t="str">
        <f t="shared" si="38"/>
        <v>SBM73645942</v>
      </c>
      <c r="B1219" t="s">
        <v>501</v>
      </c>
      <c r="C1219" t="s">
        <v>1491</v>
      </c>
      <c r="D1219" s="32">
        <v>45500</v>
      </c>
      <c r="E1219" t="s">
        <v>221</v>
      </c>
      <c r="F1219" t="str">
        <f>VLOOKUP(B1219,'Agent wise'!A:E,5,0)</f>
        <v>Wire-line</v>
      </c>
      <c r="G1219" s="32">
        <v>45942</v>
      </c>
      <c r="H1219">
        <f>COUNTIFS('Audit Raw data'!J:J,B:B,'Audit Raw data'!E:E,G:G)</f>
        <v>3</v>
      </c>
      <c r="I1219" s="44">
        <f>IFERROR((SUMIFS('Audit Raw data'!BZ:BZ,'Audit Raw data'!J:J,B:B,'Audit Raw data'!E:E,G:G)/H1219)/100,"-")</f>
        <v>0.87333333333333329</v>
      </c>
      <c r="J1219">
        <f>COUNTIFS('Audit Raw data'!AM:AM,"Yes",'Audit Raw data'!J:J,B:B,'Audit Raw data'!E:E,'Day wise agent'!G:G)</f>
        <v>3</v>
      </c>
      <c r="K1219">
        <f>COUNTIFS('Audit Raw data'!AM:AM,"NO",'Audit Raw data'!J:J,B:B,'Audit Raw data'!E:E,'Day wise agent'!G:G)</f>
        <v>0</v>
      </c>
      <c r="L1219" s="12">
        <f t="shared" si="39"/>
        <v>1</v>
      </c>
    </row>
    <row r="1220" spans="1:12" x14ac:dyDescent="0.35">
      <c r="A1220" t="str">
        <f t="shared" si="38"/>
        <v>SBM73945942</v>
      </c>
      <c r="B1220" t="s">
        <v>559</v>
      </c>
      <c r="C1220" t="s">
        <v>1492</v>
      </c>
      <c r="D1220" s="32">
        <v>45516</v>
      </c>
      <c r="E1220" t="s">
        <v>1484</v>
      </c>
      <c r="F1220" t="str">
        <f>VLOOKUP(B1220,'Agent wise'!A:E,5,0)</f>
        <v>Wireless</v>
      </c>
      <c r="G1220" s="32">
        <v>45942</v>
      </c>
      <c r="H1220">
        <f>COUNTIFS('Audit Raw data'!J:J,B:B,'Audit Raw data'!E:E,G:G)</f>
        <v>0</v>
      </c>
      <c r="I1220" s="44" t="str">
        <f>IFERROR((SUMIFS('Audit Raw data'!BZ:BZ,'Audit Raw data'!J:J,B:B,'Audit Raw data'!E:E,G:G)/H1220)/100,"-")</f>
        <v>-</v>
      </c>
      <c r="J1220">
        <f>COUNTIFS('Audit Raw data'!AM:AM,"Yes",'Audit Raw data'!J:J,B:B,'Audit Raw data'!E:E,'Day wise agent'!G:G)</f>
        <v>0</v>
      </c>
      <c r="K1220">
        <f>COUNTIFS('Audit Raw data'!AM:AM,"NO",'Audit Raw data'!J:J,B:B,'Audit Raw data'!E:E,'Day wise agent'!G:G)</f>
        <v>0</v>
      </c>
      <c r="L1220" s="12" t="str">
        <f t="shared" si="39"/>
        <v xml:space="preserve"> </v>
      </c>
    </row>
    <row r="1221" spans="1:12" x14ac:dyDescent="0.35">
      <c r="A1221" t="str">
        <f t="shared" si="38"/>
        <v>SBM74445942</v>
      </c>
      <c r="B1221" t="s">
        <v>96</v>
      </c>
      <c r="C1221" t="s">
        <v>1493</v>
      </c>
      <c r="D1221" s="32">
        <v>45516</v>
      </c>
      <c r="E1221" t="s">
        <v>1484</v>
      </c>
      <c r="F1221" t="str">
        <f>VLOOKUP(B1221,'Agent wise'!A:E,5,0)</f>
        <v>Wireless</v>
      </c>
      <c r="G1221" s="32">
        <v>45942</v>
      </c>
      <c r="H1221">
        <f>COUNTIFS('Audit Raw data'!J:J,B:B,'Audit Raw data'!E:E,G:G)</f>
        <v>1</v>
      </c>
      <c r="I1221" s="44">
        <f>IFERROR((SUMIFS('Audit Raw data'!BZ:BZ,'Audit Raw data'!J:J,B:B,'Audit Raw data'!E:E,G:G)/H1221)/100,"-")</f>
        <v>0.84</v>
      </c>
      <c r="J1221">
        <f>COUNTIFS('Audit Raw data'!AM:AM,"Yes",'Audit Raw data'!J:J,B:B,'Audit Raw data'!E:E,'Day wise agent'!G:G)</f>
        <v>1</v>
      </c>
      <c r="K1221">
        <f>COUNTIFS('Audit Raw data'!AM:AM,"NO",'Audit Raw data'!J:J,B:B,'Audit Raw data'!E:E,'Day wise agent'!G:G)</f>
        <v>0</v>
      </c>
      <c r="L1221" s="12">
        <f t="shared" si="39"/>
        <v>1</v>
      </c>
    </row>
    <row r="1222" spans="1:12" x14ac:dyDescent="0.35">
      <c r="A1222" t="str">
        <f t="shared" si="38"/>
        <v>SBM75545942</v>
      </c>
      <c r="B1222" t="s">
        <v>409</v>
      </c>
      <c r="C1222" t="s">
        <v>1494</v>
      </c>
      <c r="D1222" s="32">
        <v>45518</v>
      </c>
      <c r="E1222" t="s">
        <v>221</v>
      </c>
      <c r="F1222" t="str">
        <f>VLOOKUP(B1222,'Agent wise'!A:E,5,0)</f>
        <v>Wire-line</v>
      </c>
      <c r="G1222" s="32">
        <v>45942</v>
      </c>
      <c r="H1222">
        <f>COUNTIFS('Audit Raw data'!J:J,B:B,'Audit Raw data'!E:E,G:G)</f>
        <v>3</v>
      </c>
      <c r="I1222" s="44">
        <f>IFERROR((SUMIFS('Audit Raw data'!BZ:BZ,'Audit Raw data'!J:J,B:B,'Audit Raw data'!E:E,G:G)/H1222)/100,"-")</f>
        <v>0.95333333333333325</v>
      </c>
      <c r="J1222">
        <f>COUNTIFS('Audit Raw data'!AM:AM,"Yes",'Audit Raw data'!J:J,B:B,'Audit Raw data'!E:E,'Day wise agent'!G:G)</f>
        <v>3</v>
      </c>
      <c r="K1222">
        <f>COUNTIFS('Audit Raw data'!AM:AM,"NO",'Audit Raw data'!J:J,B:B,'Audit Raw data'!E:E,'Day wise agent'!G:G)</f>
        <v>0</v>
      </c>
      <c r="L1222" s="12">
        <f t="shared" si="39"/>
        <v>1</v>
      </c>
    </row>
    <row r="1223" spans="1:12" x14ac:dyDescent="0.35">
      <c r="A1223" t="str">
        <f t="shared" si="38"/>
        <v>SBM75845942</v>
      </c>
      <c r="B1223" t="s">
        <v>420</v>
      </c>
      <c r="C1223" t="s">
        <v>1502</v>
      </c>
      <c r="D1223" s="32">
        <v>45518</v>
      </c>
      <c r="E1223" t="s">
        <v>221</v>
      </c>
      <c r="F1223" t="str">
        <f>VLOOKUP(B1223,'Agent wise'!A:E,5,0)</f>
        <v>Wire-line</v>
      </c>
      <c r="G1223" s="32">
        <v>45942</v>
      </c>
      <c r="H1223">
        <f>COUNTIFS('Audit Raw data'!J:J,B:B,'Audit Raw data'!E:E,G:G)</f>
        <v>2</v>
      </c>
      <c r="I1223" s="44">
        <f>IFERROR((SUMIFS('Audit Raw data'!BZ:BZ,'Audit Raw data'!J:J,B:B,'Audit Raw data'!E:E,G:G)/H1223)/100,"-")</f>
        <v>0.98</v>
      </c>
      <c r="J1223">
        <f>COUNTIFS('Audit Raw data'!AM:AM,"Yes",'Audit Raw data'!J:J,B:B,'Audit Raw data'!E:E,'Day wise agent'!G:G)</f>
        <v>2</v>
      </c>
      <c r="K1223">
        <f>COUNTIFS('Audit Raw data'!AM:AM,"NO",'Audit Raw data'!J:J,B:B,'Audit Raw data'!E:E,'Day wise agent'!G:G)</f>
        <v>0</v>
      </c>
      <c r="L1223" s="12">
        <f t="shared" si="39"/>
        <v>1</v>
      </c>
    </row>
    <row r="1224" spans="1:12" x14ac:dyDescent="0.35">
      <c r="A1224" t="str">
        <f t="shared" si="38"/>
        <v>SBM76745942</v>
      </c>
      <c r="B1224" t="s">
        <v>442</v>
      </c>
      <c r="C1224" t="s">
        <v>1495</v>
      </c>
      <c r="D1224" s="32">
        <v>45520</v>
      </c>
      <c r="E1224" t="s">
        <v>107</v>
      </c>
      <c r="F1224" t="str">
        <f>VLOOKUP(B1224,'Agent wise'!A:E,5,0)</f>
        <v>Wireless</v>
      </c>
      <c r="G1224" s="32">
        <v>45942</v>
      </c>
      <c r="H1224">
        <f>COUNTIFS('Audit Raw data'!J:J,B:B,'Audit Raw data'!E:E,G:G)</f>
        <v>0</v>
      </c>
      <c r="I1224" s="44" t="str">
        <f>IFERROR((SUMIFS('Audit Raw data'!BZ:BZ,'Audit Raw data'!J:J,B:B,'Audit Raw data'!E:E,G:G)/H1224)/100,"-")</f>
        <v>-</v>
      </c>
      <c r="J1224">
        <f>COUNTIFS('Audit Raw data'!AM:AM,"Yes",'Audit Raw data'!J:J,B:B,'Audit Raw data'!E:E,'Day wise agent'!G:G)</f>
        <v>0</v>
      </c>
      <c r="K1224">
        <f>COUNTIFS('Audit Raw data'!AM:AM,"NO",'Audit Raw data'!J:J,B:B,'Audit Raw data'!E:E,'Day wise agent'!G:G)</f>
        <v>0</v>
      </c>
      <c r="L1224" s="12" t="str">
        <f t="shared" si="39"/>
        <v xml:space="preserve"> </v>
      </c>
    </row>
    <row r="1225" spans="1:12" x14ac:dyDescent="0.35">
      <c r="A1225" t="str">
        <f t="shared" si="38"/>
        <v>SBM77245942</v>
      </c>
      <c r="B1225" t="s">
        <v>640</v>
      </c>
      <c r="C1225" t="s">
        <v>1497</v>
      </c>
      <c r="D1225" s="32">
        <v>45528</v>
      </c>
      <c r="E1225" t="s">
        <v>178</v>
      </c>
      <c r="F1225" t="str">
        <f>VLOOKUP(B1225,'Agent wise'!A:E,5,0)</f>
        <v>Wireless</v>
      </c>
      <c r="G1225" s="32">
        <v>45942</v>
      </c>
      <c r="H1225">
        <f>COUNTIFS('Audit Raw data'!J:J,B:B,'Audit Raw data'!E:E,G:G)</f>
        <v>0</v>
      </c>
      <c r="I1225" s="44" t="str">
        <f>IFERROR((SUMIFS('Audit Raw data'!BZ:BZ,'Audit Raw data'!J:J,B:B,'Audit Raw data'!E:E,G:G)/H1225)/100,"-")</f>
        <v>-</v>
      </c>
      <c r="J1225">
        <f>COUNTIFS('Audit Raw data'!AM:AM,"Yes",'Audit Raw data'!J:J,B:B,'Audit Raw data'!E:E,'Day wise agent'!G:G)</f>
        <v>0</v>
      </c>
      <c r="K1225">
        <f>COUNTIFS('Audit Raw data'!AM:AM,"NO",'Audit Raw data'!J:J,B:B,'Audit Raw data'!E:E,'Day wise agent'!G:G)</f>
        <v>0</v>
      </c>
      <c r="L1225" s="12" t="str">
        <f t="shared" si="39"/>
        <v xml:space="preserve"> </v>
      </c>
    </row>
    <row r="1226" spans="1:12" x14ac:dyDescent="0.35">
      <c r="A1226" t="str">
        <f t="shared" si="38"/>
        <v>SBM77345942</v>
      </c>
      <c r="B1226" t="s">
        <v>464</v>
      </c>
      <c r="C1226" t="s">
        <v>1496</v>
      </c>
      <c r="D1226" s="32">
        <v>45526</v>
      </c>
      <c r="E1226" t="s">
        <v>178</v>
      </c>
      <c r="F1226" t="str">
        <f>VLOOKUP(B1226,'Agent wise'!A:E,5,0)</f>
        <v>Wireless</v>
      </c>
      <c r="G1226" s="32">
        <v>45942</v>
      </c>
      <c r="H1226">
        <f>COUNTIFS('Audit Raw data'!J:J,B:B,'Audit Raw data'!E:E,G:G)</f>
        <v>1</v>
      </c>
      <c r="I1226" s="44">
        <f>IFERROR((SUMIFS('Audit Raw data'!BZ:BZ,'Audit Raw data'!J:J,B:B,'Audit Raw data'!E:E,G:G)/H1226)/100,"-")</f>
        <v>1</v>
      </c>
      <c r="J1226">
        <f>COUNTIFS('Audit Raw data'!AM:AM,"Yes",'Audit Raw data'!J:J,B:B,'Audit Raw data'!E:E,'Day wise agent'!G:G)</f>
        <v>1</v>
      </c>
      <c r="K1226">
        <f>COUNTIFS('Audit Raw data'!AM:AM,"NO",'Audit Raw data'!J:J,B:B,'Audit Raw data'!E:E,'Day wise agent'!G:G)</f>
        <v>0</v>
      </c>
      <c r="L1226" s="12">
        <f t="shared" si="39"/>
        <v>1</v>
      </c>
    </row>
    <row r="1227" spans="1:12" x14ac:dyDescent="0.35">
      <c r="A1227" t="str">
        <f t="shared" si="38"/>
        <v>SBM77545942</v>
      </c>
      <c r="B1227" t="s">
        <v>643</v>
      </c>
      <c r="C1227" t="s">
        <v>1498</v>
      </c>
      <c r="D1227" s="32">
        <v>45535</v>
      </c>
      <c r="E1227" t="s">
        <v>1484</v>
      </c>
      <c r="F1227" t="str">
        <f>VLOOKUP(B1227,'Agent wise'!A:E,5,0)</f>
        <v>Wireless</v>
      </c>
      <c r="G1227" s="32">
        <v>45942</v>
      </c>
      <c r="H1227">
        <f>COUNTIFS('Audit Raw data'!J:J,B:B,'Audit Raw data'!E:E,G:G)</f>
        <v>1</v>
      </c>
      <c r="I1227" s="44">
        <f>IFERROR((SUMIFS('Audit Raw data'!BZ:BZ,'Audit Raw data'!J:J,B:B,'Audit Raw data'!E:E,G:G)/H1227)/100,"-")</f>
        <v>1</v>
      </c>
      <c r="J1227">
        <f>COUNTIFS('Audit Raw data'!AM:AM,"Yes",'Audit Raw data'!J:J,B:B,'Audit Raw data'!E:E,'Day wise agent'!G:G)</f>
        <v>1</v>
      </c>
      <c r="K1227">
        <f>COUNTIFS('Audit Raw data'!AM:AM,"NO",'Audit Raw data'!J:J,B:B,'Audit Raw data'!E:E,'Day wise agent'!G:G)</f>
        <v>0</v>
      </c>
      <c r="L1227" s="12">
        <f t="shared" si="39"/>
        <v>1</v>
      </c>
    </row>
    <row r="1228" spans="1:12" x14ac:dyDescent="0.35">
      <c r="A1228" t="str">
        <f t="shared" si="38"/>
        <v>SBM79245942</v>
      </c>
      <c r="B1228" t="s">
        <v>179</v>
      </c>
      <c r="C1228" t="s">
        <v>1499</v>
      </c>
      <c r="D1228" s="32">
        <v>45545</v>
      </c>
      <c r="E1228" t="s">
        <v>178</v>
      </c>
      <c r="F1228" t="str">
        <f>VLOOKUP(B1228,'Agent wise'!A:E,5,0)</f>
        <v>Wireless</v>
      </c>
      <c r="G1228" s="32">
        <v>45942</v>
      </c>
      <c r="H1228">
        <f>COUNTIFS('Audit Raw data'!J:J,B:B,'Audit Raw data'!E:E,G:G)</f>
        <v>0</v>
      </c>
      <c r="I1228" s="44" t="str">
        <f>IFERROR((SUMIFS('Audit Raw data'!BZ:BZ,'Audit Raw data'!J:J,B:B,'Audit Raw data'!E:E,G:G)/H1228)/100,"-")</f>
        <v>-</v>
      </c>
      <c r="J1228">
        <f>COUNTIFS('Audit Raw data'!AM:AM,"Yes",'Audit Raw data'!J:J,B:B,'Audit Raw data'!E:E,'Day wise agent'!G:G)</f>
        <v>0</v>
      </c>
      <c r="K1228">
        <f>COUNTIFS('Audit Raw data'!AM:AM,"NO",'Audit Raw data'!J:J,B:B,'Audit Raw data'!E:E,'Day wise agent'!G:G)</f>
        <v>0</v>
      </c>
      <c r="L1228" s="12" t="str">
        <f t="shared" si="39"/>
        <v xml:space="preserve"> </v>
      </c>
    </row>
    <row r="1229" spans="1:12" x14ac:dyDescent="0.35">
      <c r="A1229" t="str">
        <f t="shared" si="38"/>
        <v>SBM79445942</v>
      </c>
      <c r="B1229" t="s">
        <v>246</v>
      </c>
      <c r="C1229" t="s">
        <v>1500</v>
      </c>
      <c r="D1229" s="32">
        <v>45550</v>
      </c>
      <c r="E1229" t="s">
        <v>221</v>
      </c>
      <c r="F1229" t="str">
        <f>VLOOKUP(B1229,'Agent wise'!A:E,5,0)</f>
        <v>Wire-line</v>
      </c>
      <c r="G1229" s="32">
        <v>45942</v>
      </c>
      <c r="H1229">
        <f>COUNTIFS('Audit Raw data'!J:J,B:B,'Audit Raw data'!E:E,G:G)</f>
        <v>1</v>
      </c>
      <c r="I1229" s="44">
        <f>IFERROR((SUMIFS('Audit Raw data'!BZ:BZ,'Audit Raw data'!J:J,B:B,'Audit Raw data'!E:E,G:G)/H1229)/100,"-")</f>
        <v>1</v>
      </c>
      <c r="J1229">
        <f>COUNTIFS('Audit Raw data'!AM:AM,"Yes",'Audit Raw data'!J:J,B:B,'Audit Raw data'!E:E,'Day wise agent'!G:G)</f>
        <v>1</v>
      </c>
      <c r="K1229">
        <f>COUNTIFS('Audit Raw data'!AM:AM,"NO",'Audit Raw data'!J:J,B:B,'Audit Raw data'!E:E,'Day wise agent'!G:G)</f>
        <v>0</v>
      </c>
      <c r="L1229" s="12">
        <f t="shared" si="39"/>
        <v>1</v>
      </c>
    </row>
    <row r="1230" spans="1:12" x14ac:dyDescent="0.35">
      <c r="A1230" t="str">
        <f t="shared" si="38"/>
        <v>SBM90145942</v>
      </c>
      <c r="B1230" t="s">
        <v>646</v>
      </c>
      <c r="C1230" t="s">
        <v>1501</v>
      </c>
      <c r="D1230" s="32">
        <v>45564</v>
      </c>
      <c r="E1230" t="s">
        <v>1484</v>
      </c>
      <c r="F1230" t="str">
        <f>VLOOKUP(B1230,'Agent wise'!A:E,5,0)</f>
        <v>Wireless</v>
      </c>
      <c r="G1230" s="32">
        <v>45942</v>
      </c>
      <c r="H1230">
        <f>COUNTIFS('Audit Raw data'!J:J,B:B,'Audit Raw data'!E:E,G:G)</f>
        <v>0</v>
      </c>
      <c r="I1230" s="44" t="str">
        <f>IFERROR((SUMIFS('Audit Raw data'!BZ:BZ,'Audit Raw data'!J:J,B:B,'Audit Raw data'!E:E,G:G)/H1230)/100,"-")</f>
        <v>-</v>
      </c>
      <c r="J1230">
        <f>COUNTIFS('Audit Raw data'!AM:AM,"Yes",'Audit Raw data'!J:J,B:B,'Audit Raw data'!E:E,'Day wise agent'!G:G)</f>
        <v>0</v>
      </c>
      <c r="K1230">
        <f>COUNTIFS('Audit Raw data'!AM:AM,"NO",'Audit Raw data'!J:J,B:B,'Audit Raw data'!E:E,'Day wise agent'!G:G)</f>
        <v>0</v>
      </c>
      <c r="L1230" s="12" t="str">
        <f t="shared" si="39"/>
        <v xml:space="preserve"> </v>
      </c>
    </row>
    <row r="1231" spans="1:12" x14ac:dyDescent="0.35">
      <c r="A1231" t="str">
        <f t="shared" si="38"/>
        <v>SBM91345942</v>
      </c>
      <c r="B1231" t="s">
        <v>650</v>
      </c>
      <c r="C1231" t="s">
        <v>1503</v>
      </c>
      <c r="D1231" s="32">
        <v>45589</v>
      </c>
      <c r="E1231" t="s">
        <v>178</v>
      </c>
      <c r="F1231" t="str">
        <f>VLOOKUP(B1231,'Agent wise'!A:E,5,0)</f>
        <v>Wireless</v>
      </c>
      <c r="G1231" s="32">
        <v>45942</v>
      </c>
      <c r="H1231">
        <f>COUNTIFS('Audit Raw data'!J:J,B:B,'Audit Raw data'!E:E,G:G)</f>
        <v>1</v>
      </c>
      <c r="I1231" s="44">
        <f>IFERROR((SUMIFS('Audit Raw data'!BZ:BZ,'Audit Raw data'!J:J,B:B,'Audit Raw data'!E:E,G:G)/H1231)/100,"-")</f>
        <v>0.94</v>
      </c>
      <c r="J1231">
        <f>COUNTIFS('Audit Raw data'!AM:AM,"Yes",'Audit Raw data'!J:J,B:B,'Audit Raw data'!E:E,'Day wise agent'!G:G)</f>
        <v>1</v>
      </c>
      <c r="K1231">
        <f>COUNTIFS('Audit Raw data'!AM:AM,"NO",'Audit Raw data'!J:J,B:B,'Audit Raw data'!E:E,'Day wise agent'!G:G)</f>
        <v>0</v>
      </c>
      <c r="L1231" s="12">
        <f t="shared" si="39"/>
        <v>1</v>
      </c>
    </row>
    <row r="1232" spans="1:12" x14ac:dyDescent="0.35">
      <c r="A1232" t="str">
        <f t="shared" si="38"/>
        <v>SBM94645942</v>
      </c>
      <c r="B1232" t="s">
        <v>653</v>
      </c>
      <c r="C1232" t="s">
        <v>1505</v>
      </c>
      <c r="D1232" s="32">
        <v>45635</v>
      </c>
      <c r="E1232" t="s">
        <v>1453</v>
      </c>
      <c r="F1232" t="str">
        <f>VLOOKUP(B1232,'Agent wise'!A:E,5,0)</f>
        <v>Wireless</v>
      </c>
      <c r="G1232" s="32">
        <v>45942</v>
      </c>
      <c r="H1232">
        <f>COUNTIFS('Audit Raw data'!J:J,B:B,'Audit Raw data'!E:E,G:G)</f>
        <v>2</v>
      </c>
      <c r="I1232" s="44">
        <f>IFERROR((SUMIFS('Audit Raw data'!BZ:BZ,'Audit Raw data'!J:J,B:B,'Audit Raw data'!E:E,G:G)/H1232)/100,"-")</f>
        <v>0.9</v>
      </c>
      <c r="J1232">
        <f>COUNTIFS('Audit Raw data'!AM:AM,"Yes",'Audit Raw data'!J:J,B:B,'Audit Raw data'!E:E,'Day wise agent'!G:G)</f>
        <v>2</v>
      </c>
      <c r="K1232">
        <f>COUNTIFS('Audit Raw data'!AM:AM,"NO",'Audit Raw data'!J:J,B:B,'Audit Raw data'!E:E,'Day wise agent'!G:G)</f>
        <v>0</v>
      </c>
      <c r="L1232" s="12">
        <f t="shared" si="39"/>
        <v>1</v>
      </c>
    </row>
    <row r="1233" spans="1:12" x14ac:dyDescent="0.35">
      <c r="A1233" t="str">
        <f t="shared" si="38"/>
        <v>SBM95845942</v>
      </c>
      <c r="B1233" t="s">
        <v>124</v>
      </c>
      <c r="C1233" t="s">
        <v>1508</v>
      </c>
      <c r="D1233" s="32">
        <v>45641</v>
      </c>
      <c r="E1233" t="s">
        <v>1453</v>
      </c>
      <c r="F1233" t="str">
        <f>VLOOKUP(B1233,'Agent wise'!A:E,5,0)</f>
        <v>Wireless</v>
      </c>
      <c r="G1233" s="32">
        <v>45942</v>
      </c>
      <c r="H1233">
        <f>COUNTIFS('Audit Raw data'!J:J,B:B,'Audit Raw data'!E:E,G:G)</f>
        <v>0</v>
      </c>
      <c r="I1233" s="44" t="str">
        <f>IFERROR((SUMIFS('Audit Raw data'!BZ:BZ,'Audit Raw data'!J:J,B:B,'Audit Raw data'!E:E,G:G)/H1233)/100,"-")</f>
        <v>-</v>
      </c>
      <c r="J1233">
        <f>COUNTIFS('Audit Raw data'!AM:AM,"Yes",'Audit Raw data'!J:J,B:B,'Audit Raw data'!E:E,'Day wise agent'!G:G)</f>
        <v>0</v>
      </c>
      <c r="K1233">
        <f>COUNTIFS('Audit Raw data'!AM:AM,"NO",'Audit Raw data'!J:J,B:B,'Audit Raw data'!E:E,'Day wise agent'!G:G)</f>
        <v>0</v>
      </c>
      <c r="L1233" s="12" t="str">
        <f t="shared" si="39"/>
        <v xml:space="preserve"> </v>
      </c>
    </row>
    <row r="1234" spans="1:12" x14ac:dyDescent="0.35">
      <c r="A1234" t="str">
        <f t="shared" si="38"/>
        <v>SBM96345942</v>
      </c>
      <c r="B1234" t="s">
        <v>149</v>
      </c>
      <c r="C1234" t="s">
        <v>1506</v>
      </c>
      <c r="D1234" s="32">
        <v>45637</v>
      </c>
      <c r="E1234" t="s">
        <v>107</v>
      </c>
      <c r="F1234" t="str">
        <f>VLOOKUP(B1234,'Agent wise'!A:E,5,0)</f>
        <v>Wireless</v>
      </c>
      <c r="G1234" s="32">
        <v>45942</v>
      </c>
      <c r="H1234">
        <f>COUNTIFS('Audit Raw data'!J:J,B:B,'Audit Raw data'!E:E,G:G)</f>
        <v>0</v>
      </c>
      <c r="I1234" s="44" t="str">
        <f>IFERROR((SUMIFS('Audit Raw data'!BZ:BZ,'Audit Raw data'!J:J,B:B,'Audit Raw data'!E:E,G:G)/H1234)/100,"-")</f>
        <v>-</v>
      </c>
      <c r="J1234">
        <f>COUNTIFS('Audit Raw data'!AM:AM,"Yes",'Audit Raw data'!J:J,B:B,'Audit Raw data'!E:E,'Day wise agent'!G:G)</f>
        <v>0</v>
      </c>
      <c r="K1234">
        <f>COUNTIFS('Audit Raw data'!AM:AM,"NO",'Audit Raw data'!J:J,B:B,'Audit Raw data'!E:E,'Day wise agent'!G:G)</f>
        <v>0</v>
      </c>
      <c r="L1234" s="12" t="str">
        <f t="shared" si="39"/>
        <v xml:space="preserve"> </v>
      </c>
    </row>
    <row r="1235" spans="1:12" x14ac:dyDescent="0.35">
      <c r="A1235" t="str">
        <f t="shared" si="38"/>
        <v>SBM96745942</v>
      </c>
      <c r="B1235" t="s">
        <v>657</v>
      </c>
      <c r="C1235" t="s">
        <v>1507</v>
      </c>
      <c r="D1235" s="32">
        <v>45640</v>
      </c>
      <c r="E1235" t="s">
        <v>1453</v>
      </c>
      <c r="F1235" t="str">
        <f>VLOOKUP(B1235,'Agent wise'!A:E,5,0)</f>
        <v>Wireless</v>
      </c>
      <c r="G1235" s="32">
        <v>45942</v>
      </c>
      <c r="H1235">
        <f>COUNTIFS('Audit Raw data'!J:J,B:B,'Audit Raw data'!E:E,G:G)</f>
        <v>1</v>
      </c>
      <c r="I1235" s="44">
        <f>IFERROR((SUMIFS('Audit Raw data'!BZ:BZ,'Audit Raw data'!J:J,B:B,'Audit Raw data'!E:E,G:G)/H1235)/100,"-")</f>
        <v>0.88</v>
      </c>
      <c r="J1235">
        <f>COUNTIFS('Audit Raw data'!AM:AM,"Yes",'Audit Raw data'!J:J,B:B,'Audit Raw data'!E:E,'Day wise agent'!G:G)</f>
        <v>1</v>
      </c>
      <c r="K1235">
        <f>COUNTIFS('Audit Raw data'!AM:AM,"NO",'Audit Raw data'!J:J,B:B,'Audit Raw data'!E:E,'Day wise agent'!G:G)</f>
        <v>0</v>
      </c>
      <c r="L1235" s="12">
        <f t="shared" si="39"/>
        <v>1</v>
      </c>
    </row>
    <row r="1236" spans="1:12" x14ac:dyDescent="0.35">
      <c r="A1236" t="str">
        <f t="shared" si="38"/>
        <v>SBM98345942</v>
      </c>
      <c r="B1236" t="s">
        <v>1509</v>
      </c>
      <c r="C1236" t="s">
        <v>1510</v>
      </c>
      <c r="D1236" s="32">
        <v>45659</v>
      </c>
      <c r="E1236" t="s">
        <v>1484</v>
      </c>
      <c r="F1236" t="str">
        <f>VLOOKUP(B1236,'Agent wise'!A:E,5,0)</f>
        <v>Wireless</v>
      </c>
      <c r="G1236" s="32">
        <v>45942</v>
      </c>
      <c r="H1236">
        <f>COUNTIFS('Audit Raw data'!J:J,B:B,'Audit Raw data'!E:E,G:G)</f>
        <v>0</v>
      </c>
      <c r="I1236" s="44" t="str">
        <f>IFERROR((SUMIFS('Audit Raw data'!BZ:BZ,'Audit Raw data'!J:J,B:B,'Audit Raw data'!E:E,G:G)/H1236)/100,"-")</f>
        <v>-</v>
      </c>
      <c r="J1236">
        <f>COUNTIFS('Audit Raw data'!AM:AM,"Yes",'Audit Raw data'!J:J,B:B,'Audit Raw data'!E:E,'Day wise agent'!G:G)</f>
        <v>0</v>
      </c>
      <c r="K1236">
        <f>COUNTIFS('Audit Raw data'!AM:AM,"NO",'Audit Raw data'!J:J,B:B,'Audit Raw data'!E:E,'Day wise agent'!G:G)</f>
        <v>0</v>
      </c>
      <c r="L1236" s="12" t="str">
        <f t="shared" si="39"/>
        <v xml:space="preserve"> </v>
      </c>
    </row>
    <row r="1237" spans="1:12" x14ac:dyDescent="0.35">
      <c r="A1237" t="str">
        <f t="shared" si="38"/>
        <v>SBM99045942</v>
      </c>
      <c r="B1237" t="s">
        <v>660</v>
      </c>
      <c r="C1237" t="s">
        <v>1512</v>
      </c>
      <c r="D1237" s="32">
        <v>45663</v>
      </c>
      <c r="E1237" t="s">
        <v>178</v>
      </c>
      <c r="F1237" t="str">
        <f>VLOOKUP(B1237,'Agent wise'!A:E,5,0)</f>
        <v>Wireless</v>
      </c>
      <c r="G1237" s="32">
        <v>45942</v>
      </c>
      <c r="H1237">
        <f>COUNTIFS('Audit Raw data'!J:J,B:B,'Audit Raw data'!E:E,G:G)</f>
        <v>0</v>
      </c>
      <c r="I1237" s="44" t="str">
        <f>IFERROR((SUMIFS('Audit Raw data'!BZ:BZ,'Audit Raw data'!J:J,B:B,'Audit Raw data'!E:E,G:G)/H1237)/100,"-")</f>
        <v>-</v>
      </c>
      <c r="J1237">
        <f>COUNTIFS('Audit Raw data'!AM:AM,"Yes",'Audit Raw data'!J:J,B:B,'Audit Raw data'!E:E,'Day wise agent'!G:G)</f>
        <v>0</v>
      </c>
      <c r="K1237">
        <f>COUNTIFS('Audit Raw data'!AM:AM,"NO",'Audit Raw data'!J:J,B:B,'Audit Raw data'!E:E,'Day wise agent'!G:G)</f>
        <v>0</v>
      </c>
      <c r="L1237" s="12" t="str">
        <f t="shared" si="39"/>
        <v xml:space="preserve"> </v>
      </c>
    </row>
    <row r="1238" spans="1:12" x14ac:dyDescent="0.35">
      <c r="A1238" t="str">
        <f t="shared" si="38"/>
        <v>VPS10645942</v>
      </c>
      <c r="B1238" t="s">
        <v>1513</v>
      </c>
      <c r="C1238" t="s">
        <v>1514</v>
      </c>
      <c r="D1238" s="32">
        <v>45674</v>
      </c>
      <c r="E1238" t="s">
        <v>1456</v>
      </c>
      <c r="F1238" t="str">
        <f>VLOOKUP(B1238,'Agent wise'!A:E,5,0)</f>
        <v>RECL</v>
      </c>
      <c r="G1238" s="32">
        <v>45942</v>
      </c>
      <c r="H1238">
        <f>COUNTIFS('Audit Raw data'!J:J,B:B,'Audit Raw data'!E:E,G:G)</f>
        <v>0</v>
      </c>
      <c r="I1238" s="44" t="str">
        <f>IFERROR((SUMIFS('Audit Raw data'!BZ:BZ,'Audit Raw data'!J:J,B:B,'Audit Raw data'!E:E,G:G)/H1238)/100,"-")</f>
        <v>-</v>
      </c>
      <c r="J1238">
        <f>COUNTIFS('Audit Raw data'!AM:AM,"Yes",'Audit Raw data'!J:J,B:B,'Audit Raw data'!E:E,'Day wise agent'!G:G)</f>
        <v>0</v>
      </c>
      <c r="K1238">
        <f>COUNTIFS('Audit Raw data'!AM:AM,"NO",'Audit Raw data'!J:J,B:B,'Audit Raw data'!E:E,'Day wise agent'!G:G)</f>
        <v>0</v>
      </c>
      <c r="L1238" s="12" t="str">
        <f t="shared" si="39"/>
        <v xml:space="preserve"> </v>
      </c>
    </row>
    <row r="1239" spans="1:12" x14ac:dyDescent="0.35">
      <c r="A1239" t="str">
        <f t="shared" si="38"/>
        <v>VPS11145942</v>
      </c>
      <c r="B1239" t="s">
        <v>108</v>
      </c>
      <c r="C1239" t="s">
        <v>1515</v>
      </c>
      <c r="D1239" s="32">
        <v>45675</v>
      </c>
      <c r="E1239" t="s">
        <v>1484</v>
      </c>
      <c r="F1239" t="str">
        <f>VLOOKUP(B1239,'Agent wise'!A:E,5,0)</f>
        <v>Wireless</v>
      </c>
      <c r="G1239" s="32">
        <v>45942</v>
      </c>
      <c r="H1239">
        <f>COUNTIFS('Audit Raw data'!J:J,B:B,'Audit Raw data'!E:E,G:G)</f>
        <v>0</v>
      </c>
      <c r="I1239" s="44" t="str">
        <f>IFERROR((SUMIFS('Audit Raw data'!BZ:BZ,'Audit Raw data'!J:J,B:B,'Audit Raw data'!E:E,G:G)/H1239)/100,"-")</f>
        <v>-</v>
      </c>
      <c r="J1239">
        <f>COUNTIFS('Audit Raw data'!AM:AM,"Yes",'Audit Raw data'!J:J,B:B,'Audit Raw data'!E:E,'Day wise agent'!G:G)</f>
        <v>0</v>
      </c>
      <c r="K1239">
        <f>COUNTIFS('Audit Raw data'!AM:AM,"NO",'Audit Raw data'!J:J,B:B,'Audit Raw data'!E:E,'Day wise agent'!G:G)</f>
        <v>0</v>
      </c>
      <c r="L1239" s="12" t="str">
        <f t="shared" si="39"/>
        <v xml:space="preserve"> </v>
      </c>
    </row>
    <row r="1240" spans="1:12" x14ac:dyDescent="0.35">
      <c r="A1240" t="str">
        <f t="shared" si="38"/>
        <v>VPS12045942</v>
      </c>
      <c r="B1240" t="s">
        <v>263</v>
      </c>
      <c r="C1240" t="s">
        <v>1516</v>
      </c>
      <c r="D1240" s="32">
        <v>45690</v>
      </c>
      <c r="E1240" t="s">
        <v>178</v>
      </c>
      <c r="F1240" t="str">
        <f>VLOOKUP(B1240,'Agent wise'!A:E,5,0)</f>
        <v>Wireless</v>
      </c>
      <c r="G1240" s="32">
        <v>45942</v>
      </c>
      <c r="H1240">
        <f>COUNTIFS('Audit Raw data'!J:J,B:B,'Audit Raw data'!E:E,G:G)</f>
        <v>1</v>
      </c>
      <c r="I1240" s="44">
        <f>IFERROR((SUMIFS('Audit Raw data'!BZ:BZ,'Audit Raw data'!J:J,B:B,'Audit Raw data'!E:E,G:G)/H1240)/100,"-")</f>
        <v>0.96</v>
      </c>
      <c r="J1240">
        <f>COUNTIFS('Audit Raw data'!AM:AM,"Yes",'Audit Raw data'!J:J,B:B,'Audit Raw data'!E:E,'Day wise agent'!G:G)</f>
        <v>1</v>
      </c>
      <c r="K1240">
        <f>COUNTIFS('Audit Raw data'!AM:AM,"NO",'Audit Raw data'!J:J,B:B,'Audit Raw data'!E:E,'Day wise agent'!G:G)</f>
        <v>0</v>
      </c>
      <c r="L1240" s="12">
        <f t="shared" si="39"/>
        <v>1</v>
      </c>
    </row>
    <row r="1241" spans="1:12" x14ac:dyDescent="0.35">
      <c r="A1241" t="str">
        <f t="shared" si="38"/>
        <v>VPS12445942</v>
      </c>
      <c r="B1241" t="s">
        <v>1517</v>
      </c>
      <c r="C1241" t="s">
        <v>1518</v>
      </c>
      <c r="D1241" s="32">
        <v>45705</v>
      </c>
      <c r="E1241" t="s">
        <v>1456</v>
      </c>
      <c r="F1241" t="str">
        <f>VLOOKUP(B1241,'Agent wise'!A:E,5,0)</f>
        <v>RECL</v>
      </c>
      <c r="G1241" s="32">
        <v>45942</v>
      </c>
      <c r="H1241">
        <f>COUNTIFS('Audit Raw data'!J:J,B:B,'Audit Raw data'!E:E,G:G)</f>
        <v>0</v>
      </c>
      <c r="I1241" s="44" t="str">
        <f>IFERROR((SUMIFS('Audit Raw data'!BZ:BZ,'Audit Raw data'!J:J,B:B,'Audit Raw data'!E:E,G:G)/H1241)/100,"-")</f>
        <v>-</v>
      </c>
      <c r="J1241">
        <f>COUNTIFS('Audit Raw data'!AM:AM,"Yes",'Audit Raw data'!J:J,B:B,'Audit Raw data'!E:E,'Day wise agent'!G:G)</f>
        <v>0</v>
      </c>
      <c r="K1241">
        <f>COUNTIFS('Audit Raw data'!AM:AM,"NO",'Audit Raw data'!J:J,B:B,'Audit Raw data'!E:E,'Day wise agent'!G:G)</f>
        <v>0</v>
      </c>
      <c r="L1241" s="12" t="str">
        <f t="shared" si="39"/>
        <v xml:space="preserve"> </v>
      </c>
    </row>
    <row r="1242" spans="1:12" x14ac:dyDescent="0.35">
      <c r="A1242" t="str">
        <f t="shared" si="38"/>
        <v>VPS12645942</v>
      </c>
      <c r="B1242" t="s">
        <v>1521</v>
      </c>
      <c r="C1242" t="s">
        <v>1522</v>
      </c>
      <c r="D1242" s="32">
        <v>45710</v>
      </c>
      <c r="E1242" t="s">
        <v>1456</v>
      </c>
      <c r="F1242" t="str">
        <f>VLOOKUP(B1242,'Agent wise'!A:E,5,0)</f>
        <v>RECL</v>
      </c>
      <c r="G1242" s="32">
        <v>45942</v>
      </c>
      <c r="H1242">
        <f>COUNTIFS('Audit Raw data'!J:J,B:B,'Audit Raw data'!E:E,G:G)</f>
        <v>0</v>
      </c>
      <c r="I1242" s="44" t="str">
        <f>IFERROR((SUMIFS('Audit Raw data'!BZ:BZ,'Audit Raw data'!J:J,B:B,'Audit Raw data'!E:E,G:G)/H1242)/100,"-")</f>
        <v>-</v>
      </c>
      <c r="J1242">
        <f>COUNTIFS('Audit Raw data'!AM:AM,"Yes",'Audit Raw data'!J:J,B:B,'Audit Raw data'!E:E,'Day wise agent'!G:G)</f>
        <v>0</v>
      </c>
      <c r="K1242">
        <f>COUNTIFS('Audit Raw data'!AM:AM,"NO",'Audit Raw data'!J:J,B:B,'Audit Raw data'!E:E,'Day wise agent'!G:G)</f>
        <v>0</v>
      </c>
      <c r="L1242" s="12" t="str">
        <f t="shared" si="39"/>
        <v xml:space="preserve"> </v>
      </c>
    </row>
    <row r="1243" spans="1:12" x14ac:dyDescent="0.35">
      <c r="A1243" t="str">
        <f t="shared" si="38"/>
        <v>VPS12745942</v>
      </c>
      <c r="B1243" t="s">
        <v>1523</v>
      </c>
      <c r="C1243" t="s">
        <v>1524</v>
      </c>
      <c r="D1243" s="32">
        <v>45710</v>
      </c>
      <c r="E1243" t="s">
        <v>1456</v>
      </c>
      <c r="F1243" t="str">
        <f>VLOOKUP(B1243,'Agent wise'!A:E,5,0)</f>
        <v>RECL</v>
      </c>
      <c r="G1243" s="32">
        <v>45942</v>
      </c>
      <c r="H1243">
        <f>COUNTIFS('Audit Raw data'!J:J,B:B,'Audit Raw data'!E:E,G:G)</f>
        <v>0</v>
      </c>
      <c r="I1243" s="44" t="str">
        <f>IFERROR((SUMIFS('Audit Raw data'!BZ:BZ,'Audit Raw data'!J:J,B:B,'Audit Raw data'!E:E,G:G)/H1243)/100,"-")</f>
        <v>-</v>
      </c>
      <c r="J1243">
        <f>COUNTIFS('Audit Raw data'!AM:AM,"Yes",'Audit Raw data'!J:J,B:B,'Audit Raw data'!E:E,'Day wise agent'!G:G)</f>
        <v>0</v>
      </c>
      <c r="K1243">
        <f>COUNTIFS('Audit Raw data'!AM:AM,"NO",'Audit Raw data'!J:J,B:B,'Audit Raw data'!E:E,'Day wise agent'!G:G)</f>
        <v>0</v>
      </c>
      <c r="L1243" s="12" t="str">
        <f t="shared" si="39"/>
        <v xml:space="preserve"> </v>
      </c>
    </row>
    <row r="1244" spans="1:12" x14ac:dyDescent="0.35">
      <c r="A1244" t="str">
        <f t="shared" si="38"/>
        <v>VPS13045942</v>
      </c>
      <c r="B1244" t="s">
        <v>662</v>
      </c>
      <c r="C1244" t="s">
        <v>1525</v>
      </c>
      <c r="D1244" s="32">
        <v>45710</v>
      </c>
      <c r="E1244" t="s">
        <v>1484</v>
      </c>
      <c r="F1244" t="str">
        <f>VLOOKUP(B1244,'Agent wise'!A:E,5,0)</f>
        <v>Wireless</v>
      </c>
      <c r="G1244" s="32">
        <v>45942</v>
      </c>
      <c r="H1244">
        <f>COUNTIFS('Audit Raw data'!J:J,B:B,'Audit Raw data'!E:E,G:G)</f>
        <v>0</v>
      </c>
      <c r="I1244" s="44" t="str">
        <f>IFERROR((SUMIFS('Audit Raw data'!BZ:BZ,'Audit Raw data'!J:J,B:B,'Audit Raw data'!E:E,G:G)/H1244)/100,"-")</f>
        <v>-</v>
      </c>
      <c r="J1244">
        <f>COUNTIFS('Audit Raw data'!AM:AM,"Yes",'Audit Raw data'!J:J,B:B,'Audit Raw data'!E:E,'Day wise agent'!G:G)</f>
        <v>0</v>
      </c>
      <c r="K1244">
        <f>COUNTIFS('Audit Raw data'!AM:AM,"NO",'Audit Raw data'!J:J,B:B,'Audit Raw data'!E:E,'Day wise agent'!G:G)</f>
        <v>0</v>
      </c>
      <c r="L1244" s="12" t="str">
        <f t="shared" si="39"/>
        <v xml:space="preserve"> </v>
      </c>
    </row>
    <row r="1245" spans="1:12" x14ac:dyDescent="0.35">
      <c r="A1245" t="str">
        <f t="shared" si="38"/>
        <v>VPS13145942</v>
      </c>
      <c r="B1245" t="s">
        <v>1519</v>
      </c>
      <c r="C1245" t="s">
        <v>1520</v>
      </c>
      <c r="D1245" s="32">
        <v>45710</v>
      </c>
      <c r="E1245" t="s">
        <v>1456</v>
      </c>
      <c r="F1245" t="str">
        <f>VLOOKUP(B1245,'Agent wise'!A:E,5,0)</f>
        <v>RECL</v>
      </c>
      <c r="G1245" s="32">
        <v>45942</v>
      </c>
      <c r="H1245">
        <f>COUNTIFS('Audit Raw data'!J:J,B:B,'Audit Raw data'!E:E,G:G)</f>
        <v>0</v>
      </c>
      <c r="I1245" s="44" t="str">
        <f>IFERROR((SUMIFS('Audit Raw data'!BZ:BZ,'Audit Raw data'!J:J,B:B,'Audit Raw data'!E:E,G:G)/H1245)/100,"-")</f>
        <v>-</v>
      </c>
      <c r="J1245">
        <f>COUNTIFS('Audit Raw data'!AM:AM,"Yes",'Audit Raw data'!J:J,B:B,'Audit Raw data'!E:E,'Day wise agent'!G:G)</f>
        <v>0</v>
      </c>
      <c r="K1245">
        <f>COUNTIFS('Audit Raw data'!AM:AM,"NO",'Audit Raw data'!J:J,B:B,'Audit Raw data'!E:E,'Day wise agent'!G:G)</f>
        <v>0</v>
      </c>
      <c r="L1245" s="12" t="str">
        <f t="shared" si="39"/>
        <v xml:space="preserve"> </v>
      </c>
    </row>
    <row r="1246" spans="1:12" x14ac:dyDescent="0.35">
      <c r="A1246" t="str">
        <f t="shared" si="38"/>
        <v>VPS13245942</v>
      </c>
      <c r="B1246" t="s">
        <v>1526</v>
      </c>
      <c r="C1246" t="s">
        <v>1527</v>
      </c>
      <c r="D1246" s="32">
        <v>45717</v>
      </c>
      <c r="E1246" t="s">
        <v>221</v>
      </c>
      <c r="F1246" t="str">
        <f>VLOOKUP(B1246,'Agent wise'!A:E,5,0)</f>
        <v>Wire-line</v>
      </c>
      <c r="G1246" s="32">
        <v>45942</v>
      </c>
      <c r="H1246">
        <f>COUNTIFS('Audit Raw data'!J:J,B:B,'Audit Raw data'!E:E,G:G)</f>
        <v>0</v>
      </c>
      <c r="I1246" s="44" t="str">
        <f>IFERROR((SUMIFS('Audit Raw data'!BZ:BZ,'Audit Raw data'!J:J,B:B,'Audit Raw data'!E:E,G:G)/H1246)/100,"-")</f>
        <v>-</v>
      </c>
      <c r="J1246">
        <f>COUNTIFS('Audit Raw data'!AM:AM,"Yes",'Audit Raw data'!J:J,B:B,'Audit Raw data'!E:E,'Day wise agent'!G:G)</f>
        <v>0</v>
      </c>
      <c r="K1246">
        <f>COUNTIFS('Audit Raw data'!AM:AM,"NO",'Audit Raw data'!J:J,B:B,'Audit Raw data'!E:E,'Day wise agent'!G:G)</f>
        <v>0</v>
      </c>
      <c r="L1246" s="12" t="str">
        <f t="shared" si="39"/>
        <v xml:space="preserve"> </v>
      </c>
    </row>
    <row r="1247" spans="1:12" x14ac:dyDescent="0.35">
      <c r="A1247" t="str">
        <f t="shared" si="38"/>
        <v>VPS14345942</v>
      </c>
      <c r="B1247" t="s">
        <v>269</v>
      </c>
      <c r="C1247" t="s">
        <v>1528</v>
      </c>
      <c r="D1247" s="32">
        <v>45723</v>
      </c>
      <c r="E1247" t="s">
        <v>1484</v>
      </c>
      <c r="F1247" t="str">
        <f>VLOOKUP(B1247,'Agent wise'!A:E,5,0)</f>
        <v>Wireless</v>
      </c>
      <c r="G1247" s="32">
        <v>45942</v>
      </c>
      <c r="H1247">
        <f>COUNTIFS('Audit Raw data'!J:J,B:B,'Audit Raw data'!E:E,G:G)</f>
        <v>0</v>
      </c>
      <c r="I1247" s="44" t="str">
        <f>IFERROR((SUMIFS('Audit Raw data'!BZ:BZ,'Audit Raw data'!J:J,B:B,'Audit Raw data'!E:E,G:G)/H1247)/100,"-")</f>
        <v>-</v>
      </c>
      <c r="J1247">
        <f>COUNTIFS('Audit Raw data'!AM:AM,"Yes",'Audit Raw data'!J:J,B:B,'Audit Raw data'!E:E,'Day wise agent'!G:G)</f>
        <v>0</v>
      </c>
      <c r="K1247">
        <f>COUNTIFS('Audit Raw data'!AM:AM,"NO",'Audit Raw data'!J:J,B:B,'Audit Raw data'!E:E,'Day wise agent'!G:G)</f>
        <v>0</v>
      </c>
      <c r="L1247" s="12" t="str">
        <f t="shared" si="39"/>
        <v xml:space="preserve"> </v>
      </c>
    </row>
    <row r="1248" spans="1:12" x14ac:dyDescent="0.35">
      <c r="A1248" t="str">
        <f t="shared" si="38"/>
        <v>VPS15145942</v>
      </c>
      <c r="B1248" t="s">
        <v>274</v>
      </c>
      <c r="C1248" t="s">
        <v>1529</v>
      </c>
      <c r="D1248" s="32">
        <v>45735</v>
      </c>
      <c r="E1248" t="s">
        <v>107</v>
      </c>
      <c r="F1248" t="str">
        <f>VLOOKUP(B1248,'Agent wise'!A:E,5,0)</f>
        <v>Wireless</v>
      </c>
      <c r="G1248" s="32">
        <v>45942</v>
      </c>
      <c r="H1248">
        <f>COUNTIFS('Audit Raw data'!J:J,B:B,'Audit Raw data'!E:E,G:G)</f>
        <v>0</v>
      </c>
      <c r="I1248" s="44" t="str">
        <f>IFERROR((SUMIFS('Audit Raw data'!BZ:BZ,'Audit Raw data'!J:J,B:B,'Audit Raw data'!E:E,G:G)/H1248)/100,"-")</f>
        <v>-</v>
      </c>
      <c r="J1248">
        <f>COUNTIFS('Audit Raw data'!AM:AM,"Yes",'Audit Raw data'!J:J,B:B,'Audit Raw data'!E:E,'Day wise agent'!G:G)</f>
        <v>0</v>
      </c>
      <c r="K1248">
        <f>COUNTIFS('Audit Raw data'!AM:AM,"NO",'Audit Raw data'!J:J,B:B,'Audit Raw data'!E:E,'Day wise agent'!G:G)</f>
        <v>0</v>
      </c>
      <c r="L1248" s="12" t="str">
        <f t="shared" si="39"/>
        <v xml:space="preserve"> </v>
      </c>
    </row>
    <row r="1249" spans="1:12" x14ac:dyDescent="0.35">
      <c r="A1249" t="str">
        <f t="shared" si="38"/>
        <v>VPS16045942</v>
      </c>
      <c r="B1249" t="s">
        <v>258</v>
      </c>
      <c r="C1249" t="s">
        <v>1530</v>
      </c>
      <c r="D1249" s="32">
        <v>45748</v>
      </c>
      <c r="E1249" t="s">
        <v>1484</v>
      </c>
      <c r="F1249" t="str">
        <f>VLOOKUP(B1249,'Agent wise'!A:E,5,0)</f>
        <v>Wireless</v>
      </c>
      <c r="G1249" s="32">
        <v>45942</v>
      </c>
      <c r="H1249">
        <f>COUNTIFS('Audit Raw data'!J:J,B:B,'Audit Raw data'!E:E,G:G)</f>
        <v>0</v>
      </c>
      <c r="I1249" s="44" t="str">
        <f>IFERROR((SUMIFS('Audit Raw data'!BZ:BZ,'Audit Raw data'!J:J,B:B,'Audit Raw data'!E:E,G:G)/H1249)/100,"-")</f>
        <v>-</v>
      </c>
      <c r="J1249">
        <f>COUNTIFS('Audit Raw data'!AM:AM,"Yes",'Audit Raw data'!J:J,B:B,'Audit Raw data'!E:E,'Day wise agent'!G:G)</f>
        <v>0</v>
      </c>
      <c r="K1249">
        <f>COUNTIFS('Audit Raw data'!AM:AM,"NO",'Audit Raw data'!J:J,B:B,'Audit Raw data'!E:E,'Day wise agent'!G:G)</f>
        <v>0</v>
      </c>
      <c r="L1249" s="12" t="str">
        <f t="shared" si="39"/>
        <v xml:space="preserve"> </v>
      </c>
    </row>
    <row r="1250" spans="1:12" x14ac:dyDescent="0.35">
      <c r="A1250" t="str">
        <f t="shared" si="38"/>
        <v>VPS17145942</v>
      </c>
      <c r="B1250" t="s">
        <v>307</v>
      </c>
      <c r="C1250" t="s">
        <v>1531</v>
      </c>
      <c r="D1250" s="32">
        <v>45767</v>
      </c>
      <c r="E1250" t="s">
        <v>221</v>
      </c>
      <c r="F1250" t="str">
        <f>VLOOKUP(B1250,'Agent wise'!A:E,5,0)</f>
        <v>Wire-line</v>
      </c>
      <c r="G1250" s="32">
        <v>45942</v>
      </c>
      <c r="H1250">
        <f>COUNTIFS('Audit Raw data'!J:J,B:B,'Audit Raw data'!E:E,G:G)</f>
        <v>0</v>
      </c>
      <c r="I1250" s="44" t="str">
        <f>IFERROR((SUMIFS('Audit Raw data'!BZ:BZ,'Audit Raw data'!J:J,B:B,'Audit Raw data'!E:E,G:G)/H1250)/100,"-")</f>
        <v>-</v>
      </c>
      <c r="J1250">
        <f>COUNTIFS('Audit Raw data'!AM:AM,"Yes",'Audit Raw data'!J:J,B:B,'Audit Raw data'!E:E,'Day wise agent'!G:G)</f>
        <v>0</v>
      </c>
      <c r="K1250">
        <f>COUNTIFS('Audit Raw data'!AM:AM,"NO",'Audit Raw data'!J:J,B:B,'Audit Raw data'!E:E,'Day wise agent'!G:G)</f>
        <v>0</v>
      </c>
      <c r="L1250" s="12" t="str">
        <f t="shared" si="39"/>
        <v xml:space="preserve"> </v>
      </c>
    </row>
    <row r="1251" spans="1:12" x14ac:dyDescent="0.35">
      <c r="A1251" t="str">
        <f t="shared" si="38"/>
        <v>VPS17745942</v>
      </c>
      <c r="B1251" t="s">
        <v>280</v>
      </c>
      <c r="C1251" t="s">
        <v>1532</v>
      </c>
      <c r="D1251" s="32">
        <v>45766</v>
      </c>
      <c r="E1251" t="s">
        <v>1453</v>
      </c>
      <c r="F1251" t="str">
        <f>VLOOKUP(B1251,'Agent wise'!A:E,5,0)</f>
        <v>Wireless</v>
      </c>
      <c r="G1251" s="32">
        <v>45942</v>
      </c>
      <c r="H1251">
        <f>COUNTIFS('Audit Raw data'!J:J,B:B,'Audit Raw data'!E:E,G:G)</f>
        <v>0</v>
      </c>
      <c r="I1251" s="44" t="str">
        <f>IFERROR((SUMIFS('Audit Raw data'!BZ:BZ,'Audit Raw data'!J:J,B:B,'Audit Raw data'!E:E,G:G)/H1251)/100,"-")</f>
        <v>-</v>
      </c>
      <c r="J1251">
        <f>COUNTIFS('Audit Raw data'!AM:AM,"Yes",'Audit Raw data'!J:J,B:B,'Audit Raw data'!E:E,'Day wise agent'!G:G)</f>
        <v>0</v>
      </c>
      <c r="K1251">
        <f>COUNTIFS('Audit Raw data'!AM:AM,"NO",'Audit Raw data'!J:J,B:B,'Audit Raw data'!E:E,'Day wise agent'!G:G)</f>
        <v>0</v>
      </c>
      <c r="L1251" s="12" t="str">
        <f t="shared" si="39"/>
        <v xml:space="preserve"> </v>
      </c>
    </row>
    <row r="1252" spans="1:12" x14ac:dyDescent="0.35">
      <c r="A1252" t="str">
        <f t="shared" si="38"/>
        <v>VPS18145942</v>
      </c>
      <c r="B1252" t="s">
        <v>234</v>
      </c>
      <c r="C1252" t="s">
        <v>1533</v>
      </c>
      <c r="D1252" s="32">
        <v>45775</v>
      </c>
      <c r="E1252" t="s">
        <v>221</v>
      </c>
      <c r="F1252" t="str">
        <f>VLOOKUP(B1252,'Agent wise'!A:E,5,0)</f>
        <v>Wire-line</v>
      </c>
      <c r="G1252" s="32">
        <v>45942</v>
      </c>
      <c r="H1252">
        <f>COUNTIFS('Audit Raw data'!J:J,B:B,'Audit Raw data'!E:E,G:G)</f>
        <v>0</v>
      </c>
      <c r="I1252" s="44" t="str">
        <f>IFERROR((SUMIFS('Audit Raw data'!BZ:BZ,'Audit Raw data'!J:J,B:B,'Audit Raw data'!E:E,G:G)/H1252)/100,"-")</f>
        <v>-</v>
      </c>
      <c r="J1252">
        <f>COUNTIFS('Audit Raw data'!AM:AM,"Yes",'Audit Raw data'!J:J,B:B,'Audit Raw data'!E:E,'Day wise agent'!G:G)</f>
        <v>0</v>
      </c>
      <c r="K1252">
        <f>COUNTIFS('Audit Raw data'!AM:AM,"NO",'Audit Raw data'!J:J,B:B,'Audit Raw data'!E:E,'Day wise agent'!G:G)</f>
        <v>0</v>
      </c>
      <c r="L1252" s="12" t="str">
        <f t="shared" si="39"/>
        <v xml:space="preserve"> </v>
      </c>
    </row>
    <row r="1253" spans="1:12" x14ac:dyDescent="0.35">
      <c r="A1253" t="str">
        <f t="shared" si="38"/>
        <v>VPS18245942</v>
      </c>
      <c r="B1253" t="s">
        <v>568</v>
      </c>
      <c r="C1253" t="s">
        <v>1534</v>
      </c>
      <c r="D1253" s="32">
        <v>45797</v>
      </c>
      <c r="E1253" t="s">
        <v>221</v>
      </c>
      <c r="F1253" t="str">
        <f>VLOOKUP(B1253,'Agent wise'!A:E,5,0)</f>
        <v>Wire-line</v>
      </c>
      <c r="G1253" s="32">
        <v>45942</v>
      </c>
      <c r="H1253">
        <f>COUNTIFS('Audit Raw data'!J:J,B:B,'Audit Raw data'!E:E,G:G)</f>
        <v>0</v>
      </c>
      <c r="I1253" s="44" t="str">
        <f>IFERROR((SUMIFS('Audit Raw data'!BZ:BZ,'Audit Raw data'!J:J,B:B,'Audit Raw data'!E:E,G:G)/H1253)/100,"-")</f>
        <v>-</v>
      </c>
      <c r="J1253">
        <f>COUNTIFS('Audit Raw data'!AM:AM,"Yes",'Audit Raw data'!J:J,B:B,'Audit Raw data'!E:E,'Day wise agent'!G:G)</f>
        <v>0</v>
      </c>
      <c r="K1253">
        <f>COUNTIFS('Audit Raw data'!AM:AM,"NO",'Audit Raw data'!J:J,B:B,'Audit Raw data'!E:E,'Day wise agent'!G:G)</f>
        <v>0</v>
      </c>
      <c r="L1253" s="12" t="str">
        <f t="shared" si="39"/>
        <v xml:space="preserve"> </v>
      </c>
    </row>
    <row r="1254" spans="1:12" x14ac:dyDescent="0.35">
      <c r="A1254" t="str">
        <f t="shared" si="38"/>
        <v>VPS18345942</v>
      </c>
      <c r="B1254" t="s">
        <v>570</v>
      </c>
      <c r="C1254" t="s">
        <v>1535</v>
      </c>
      <c r="D1254" s="32">
        <v>45797</v>
      </c>
      <c r="E1254" t="s">
        <v>221</v>
      </c>
      <c r="F1254" t="str">
        <f>VLOOKUP(B1254,'Agent wise'!A:E,5,0)</f>
        <v>Wire-line</v>
      </c>
      <c r="G1254" s="32">
        <v>45942</v>
      </c>
      <c r="H1254">
        <f>COUNTIFS('Audit Raw data'!J:J,B:B,'Audit Raw data'!E:E,G:G)</f>
        <v>0</v>
      </c>
      <c r="I1254" s="44" t="str">
        <f>IFERROR((SUMIFS('Audit Raw data'!BZ:BZ,'Audit Raw data'!J:J,B:B,'Audit Raw data'!E:E,G:G)/H1254)/100,"-")</f>
        <v>-</v>
      </c>
      <c r="J1254">
        <f>COUNTIFS('Audit Raw data'!AM:AM,"Yes",'Audit Raw data'!J:J,B:B,'Audit Raw data'!E:E,'Day wise agent'!G:G)</f>
        <v>0</v>
      </c>
      <c r="K1254">
        <f>COUNTIFS('Audit Raw data'!AM:AM,"NO",'Audit Raw data'!J:J,B:B,'Audit Raw data'!E:E,'Day wise agent'!G:G)</f>
        <v>0</v>
      </c>
      <c r="L1254" s="12" t="str">
        <f t="shared" si="39"/>
        <v xml:space="preserve"> </v>
      </c>
    </row>
    <row r="1255" spans="1:12" x14ac:dyDescent="0.35">
      <c r="A1255" t="str">
        <f t="shared" si="38"/>
        <v>VPS18445942</v>
      </c>
      <c r="B1255" t="s">
        <v>117</v>
      </c>
      <c r="C1255" t="s">
        <v>1536</v>
      </c>
      <c r="D1255" s="32">
        <v>45809</v>
      </c>
      <c r="E1255" t="s">
        <v>1453</v>
      </c>
      <c r="F1255" t="str">
        <f>VLOOKUP(B1255,'Agent wise'!A:E,5,0)</f>
        <v>Wireless</v>
      </c>
      <c r="G1255" s="32">
        <v>45942</v>
      </c>
      <c r="H1255">
        <f>COUNTIFS('Audit Raw data'!J:J,B:B,'Audit Raw data'!E:E,G:G)</f>
        <v>1</v>
      </c>
      <c r="I1255" s="44">
        <f>IFERROR((SUMIFS('Audit Raw data'!BZ:BZ,'Audit Raw data'!J:J,B:B,'Audit Raw data'!E:E,G:G)/H1255)/100,"-")</f>
        <v>0.94</v>
      </c>
      <c r="J1255">
        <f>COUNTIFS('Audit Raw data'!AM:AM,"Yes",'Audit Raw data'!J:J,B:B,'Audit Raw data'!E:E,'Day wise agent'!G:G)</f>
        <v>1</v>
      </c>
      <c r="K1255">
        <f>COUNTIFS('Audit Raw data'!AM:AM,"NO",'Audit Raw data'!J:J,B:B,'Audit Raw data'!E:E,'Day wise agent'!G:G)</f>
        <v>0</v>
      </c>
      <c r="L1255" s="12">
        <f t="shared" si="39"/>
        <v>1</v>
      </c>
    </row>
    <row r="1256" spans="1:12" x14ac:dyDescent="0.35">
      <c r="A1256" t="str">
        <f t="shared" si="38"/>
        <v>VPS19145942</v>
      </c>
      <c r="B1256" t="s">
        <v>586</v>
      </c>
      <c r="C1256" t="s">
        <v>1537</v>
      </c>
      <c r="D1256" s="32">
        <v>45809</v>
      </c>
      <c r="E1256" t="s">
        <v>107</v>
      </c>
      <c r="F1256" t="str">
        <f>VLOOKUP(B1256,'Agent wise'!A:E,5,0)</f>
        <v>Wireless</v>
      </c>
      <c r="G1256" s="32">
        <v>45942</v>
      </c>
      <c r="H1256">
        <f>COUNTIFS('Audit Raw data'!J:J,B:B,'Audit Raw data'!E:E,G:G)</f>
        <v>0</v>
      </c>
      <c r="I1256" s="44" t="str">
        <f>IFERROR((SUMIFS('Audit Raw data'!BZ:BZ,'Audit Raw data'!J:J,B:B,'Audit Raw data'!E:E,G:G)/H1256)/100,"-")</f>
        <v>-</v>
      </c>
      <c r="J1256">
        <f>COUNTIFS('Audit Raw data'!AM:AM,"Yes",'Audit Raw data'!J:J,B:B,'Audit Raw data'!E:E,'Day wise agent'!G:G)</f>
        <v>0</v>
      </c>
      <c r="K1256">
        <f>COUNTIFS('Audit Raw data'!AM:AM,"NO",'Audit Raw data'!J:J,B:B,'Audit Raw data'!E:E,'Day wise agent'!G:G)</f>
        <v>0</v>
      </c>
      <c r="L1256" s="12" t="str">
        <f t="shared" si="39"/>
        <v xml:space="preserve"> </v>
      </c>
    </row>
    <row r="1257" spans="1:12" x14ac:dyDescent="0.35">
      <c r="A1257" t="str">
        <f t="shared" si="38"/>
        <v>VPS19345942</v>
      </c>
      <c r="B1257" t="s">
        <v>302</v>
      </c>
      <c r="C1257" t="s">
        <v>1538</v>
      </c>
      <c r="D1257" s="32">
        <v>45823</v>
      </c>
      <c r="E1257" t="s">
        <v>107</v>
      </c>
      <c r="F1257" t="str">
        <f>VLOOKUP(B1257,'Agent wise'!A:E,5,0)</f>
        <v>Wireless</v>
      </c>
      <c r="G1257" s="32">
        <v>45942</v>
      </c>
      <c r="H1257">
        <f>COUNTIFS('Audit Raw data'!J:J,B:B,'Audit Raw data'!E:E,G:G)</f>
        <v>0</v>
      </c>
      <c r="I1257" s="44" t="str">
        <f>IFERROR((SUMIFS('Audit Raw data'!BZ:BZ,'Audit Raw data'!J:J,B:B,'Audit Raw data'!E:E,G:G)/H1257)/100,"-")</f>
        <v>-</v>
      </c>
      <c r="J1257">
        <f>COUNTIFS('Audit Raw data'!AM:AM,"Yes",'Audit Raw data'!J:J,B:B,'Audit Raw data'!E:E,'Day wise agent'!G:G)</f>
        <v>0</v>
      </c>
      <c r="K1257">
        <f>COUNTIFS('Audit Raw data'!AM:AM,"NO",'Audit Raw data'!J:J,B:B,'Audit Raw data'!E:E,'Day wise agent'!G:G)</f>
        <v>0</v>
      </c>
      <c r="L1257" s="12" t="str">
        <f t="shared" si="39"/>
        <v xml:space="preserve"> </v>
      </c>
    </row>
    <row r="1258" spans="1:12" x14ac:dyDescent="0.35">
      <c r="A1258" t="str">
        <f t="shared" si="38"/>
        <v>VPS19745942</v>
      </c>
      <c r="B1258" t="s">
        <v>665</v>
      </c>
      <c r="C1258" t="s">
        <v>1539</v>
      </c>
      <c r="D1258" s="32">
        <v>45830</v>
      </c>
      <c r="E1258" t="s">
        <v>178</v>
      </c>
      <c r="F1258" t="str">
        <f>VLOOKUP(B1258,'Agent wise'!A:E,5,0)</f>
        <v>Wireless</v>
      </c>
      <c r="G1258" s="32">
        <v>45942</v>
      </c>
      <c r="H1258">
        <f>COUNTIFS('Audit Raw data'!J:J,B:B,'Audit Raw data'!E:E,G:G)</f>
        <v>0</v>
      </c>
      <c r="I1258" s="44" t="str">
        <f>IFERROR((SUMIFS('Audit Raw data'!BZ:BZ,'Audit Raw data'!J:J,B:B,'Audit Raw data'!E:E,G:G)/H1258)/100,"-")</f>
        <v>-</v>
      </c>
      <c r="J1258">
        <f>COUNTIFS('Audit Raw data'!AM:AM,"Yes",'Audit Raw data'!J:J,B:B,'Audit Raw data'!E:E,'Day wise agent'!G:G)</f>
        <v>0</v>
      </c>
      <c r="K1258">
        <f>COUNTIFS('Audit Raw data'!AM:AM,"NO",'Audit Raw data'!J:J,B:B,'Audit Raw data'!E:E,'Day wise agent'!G:G)</f>
        <v>0</v>
      </c>
      <c r="L1258" s="12" t="str">
        <f t="shared" si="39"/>
        <v xml:space="preserve"> </v>
      </c>
    </row>
    <row r="1259" spans="1:12" x14ac:dyDescent="0.35">
      <c r="A1259" t="str">
        <f t="shared" si="38"/>
        <v>VPS20145942</v>
      </c>
      <c r="B1259" t="s">
        <v>439</v>
      </c>
      <c r="C1259" t="s">
        <v>1540</v>
      </c>
      <c r="D1259" s="32">
        <v>45834</v>
      </c>
      <c r="E1259" t="s">
        <v>1453</v>
      </c>
      <c r="F1259" t="str">
        <f>VLOOKUP(B1259,'Agent wise'!A:E,5,0)</f>
        <v>Wireless</v>
      </c>
      <c r="G1259" s="32">
        <v>45942</v>
      </c>
      <c r="H1259">
        <f>COUNTIFS('Audit Raw data'!J:J,B:B,'Audit Raw data'!E:E,G:G)</f>
        <v>2</v>
      </c>
      <c r="I1259" s="44">
        <f>IFERROR((SUMIFS('Audit Raw data'!BZ:BZ,'Audit Raw data'!J:J,B:B,'Audit Raw data'!E:E,G:G)/H1259)/100,"-")</f>
        <v>0.87</v>
      </c>
      <c r="J1259">
        <f>COUNTIFS('Audit Raw data'!AM:AM,"Yes",'Audit Raw data'!J:J,B:B,'Audit Raw data'!E:E,'Day wise agent'!G:G)</f>
        <v>2</v>
      </c>
      <c r="K1259">
        <f>COUNTIFS('Audit Raw data'!AM:AM,"NO",'Audit Raw data'!J:J,B:B,'Audit Raw data'!E:E,'Day wise agent'!G:G)</f>
        <v>0</v>
      </c>
      <c r="L1259" s="12">
        <f t="shared" si="39"/>
        <v>1</v>
      </c>
    </row>
    <row r="1260" spans="1:12" x14ac:dyDescent="0.35">
      <c r="A1260" t="str">
        <f t="shared" si="38"/>
        <v>VPS20445942</v>
      </c>
      <c r="B1260" t="s">
        <v>749</v>
      </c>
      <c r="C1260" t="s">
        <v>1542</v>
      </c>
      <c r="D1260" s="32">
        <v>45840</v>
      </c>
      <c r="E1260" t="s">
        <v>1484</v>
      </c>
      <c r="F1260" t="str">
        <f>VLOOKUP(B1260,'Agent wise'!A:E,5,0)</f>
        <v>Wireless</v>
      </c>
      <c r="G1260" s="32">
        <v>45942</v>
      </c>
      <c r="H1260">
        <f>COUNTIFS('Audit Raw data'!J:J,B:B,'Audit Raw data'!E:E,G:G)</f>
        <v>0</v>
      </c>
      <c r="I1260" s="44" t="str">
        <f>IFERROR((SUMIFS('Audit Raw data'!BZ:BZ,'Audit Raw data'!J:J,B:B,'Audit Raw data'!E:E,G:G)/H1260)/100,"-")</f>
        <v>-</v>
      </c>
      <c r="J1260">
        <f>COUNTIFS('Audit Raw data'!AM:AM,"Yes",'Audit Raw data'!J:J,B:B,'Audit Raw data'!E:E,'Day wise agent'!G:G)</f>
        <v>0</v>
      </c>
      <c r="K1260">
        <f>COUNTIFS('Audit Raw data'!AM:AM,"NO",'Audit Raw data'!J:J,B:B,'Audit Raw data'!E:E,'Day wise agent'!G:G)</f>
        <v>0</v>
      </c>
      <c r="L1260" s="12" t="str">
        <f t="shared" si="39"/>
        <v xml:space="preserve"> </v>
      </c>
    </row>
    <row r="1261" spans="1:12" x14ac:dyDescent="0.35">
      <c r="A1261" t="str">
        <f t="shared" si="38"/>
        <v>VPS20645942</v>
      </c>
      <c r="B1261" t="s">
        <v>427</v>
      </c>
      <c r="C1261" t="s">
        <v>1541</v>
      </c>
      <c r="D1261" s="32">
        <v>45840</v>
      </c>
      <c r="E1261" t="s">
        <v>107</v>
      </c>
      <c r="F1261" t="str">
        <f>VLOOKUP(B1261,'Agent wise'!A:E,5,0)</f>
        <v>Wireless</v>
      </c>
      <c r="G1261" s="32">
        <v>45942</v>
      </c>
      <c r="H1261">
        <f>COUNTIFS('Audit Raw data'!J:J,B:B,'Audit Raw data'!E:E,G:G)</f>
        <v>0</v>
      </c>
      <c r="I1261" s="44" t="str">
        <f>IFERROR((SUMIFS('Audit Raw data'!BZ:BZ,'Audit Raw data'!J:J,B:B,'Audit Raw data'!E:E,G:G)/H1261)/100,"-")</f>
        <v>-</v>
      </c>
      <c r="J1261">
        <f>COUNTIFS('Audit Raw data'!AM:AM,"Yes",'Audit Raw data'!J:J,B:B,'Audit Raw data'!E:E,'Day wise agent'!G:G)</f>
        <v>0</v>
      </c>
      <c r="K1261">
        <f>COUNTIFS('Audit Raw data'!AM:AM,"NO",'Audit Raw data'!J:J,B:B,'Audit Raw data'!E:E,'Day wise agent'!G:G)</f>
        <v>0</v>
      </c>
      <c r="L1261" s="12" t="str">
        <f t="shared" si="39"/>
        <v xml:space="preserve"> </v>
      </c>
    </row>
    <row r="1262" spans="1:12" x14ac:dyDescent="0.35">
      <c r="A1262" t="str">
        <f t="shared" si="38"/>
        <v>VPS20945942</v>
      </c>
      <c r="B1262" t="s">
        <v>528</v>
      </c>
      <c r="C1262" t="s">
        <v>1543</v>
      </c>
      <c r="D1262" s="32">
        <v>45856</v>
      </c>
      <c r="E1262" t="s">
        <v>178</v>
      </c>
      <c r="F1262" t="str">
        <f>VLOOKUP(B1262,'Agent wise'!A:E,5,0)</f>
        <v>Wireless</v>
      </c>
      <c r="G1262" s="32">
        <v>45942</v>
      </c>
      <c r="H1262">
        <f>COUNTIFS('Audit Raw data'!J:J,B:B,'Audit Raw data'!E:E,G:G)</f>
        <v>0</v>
      </c>
      <c r="I1262" s="44" t="str">
        <f>IFERROR((SUMIFS('Audit Raw data'!BZ:BZ,'Audit Raw data'!J:J,B:B,'Audit Raw data'!E:E,G:G)/H1262)/100,"-")</f>
        <v>-</v>
      </c>
      <c r="J1262">
        <f>COUNTIFS('Audit Raw data'!AM:AM,"Yes",'Audit Raw data'!J:J,B:B,'Audit Raw data'!E:E,'Day wise agent'!G:G)</f>
        <v>0</v>
      </c>
      <c r="K1262">
        <f>COUNTIFS('Audit Raw data'!AM:AM,"NO",'Audit Raw data'!J:J,B:B,'Audit Raw data'!E:E,'Day wise agent'!G:G)</f>
        <v>0</v>
      </c>
      <c r="L1262" s="12" t="str">
        <f t="shared" si="39"/>
        <v xml:space="preserve"> </v>
      </c>
    </row>
    <row r="1263" spans="1:12" x14ac:dyDescent="0.35">
      <c r="A1263" t="str">
        <f t="shared" si="38"/>
        <v>VPS21045942</v>
      </c>
      <c r="B1263" t="s">
        <v>589</v>
      </c>
      <c r="C1263" t="s">
        <v>1544</v>
      </c>
      <c r="D1263" s="32">
        <v>45856</v>
      </c>
      <c r="E1263" t="s">
        <v>107</v>
      </c>
      <c r="F1263" t="str">
        <f>VLOOKUP(B1263,'Agent wise'!A:E,5,0)</f>
        <v>Wireless</v>
      </c>
      <c r="G1263" s="32">
        <v>45942</v>
      </c>
      <c r="H1263">
        <f>COUNTIFS('Audit Raw data'!J:J,B:B,'Audit Raw data'!E:E,G:G)</f>
        <v>0</v>
      </c>
      <c r="I1263" s="44" t="str">
        <f>IFERROR((SUMIFS('Audit Raw data'!BZ:BZ,'Audit Raw data'!J:J,B:B,'Audit Raw data'!E:E,G:G)/H1263)/100,"-")</f>
        <v>-</v>
      </c>
      <c r="J1263">
        <f>COUNTIFS('Audit Raw data'!AM:AM,"Yes",'Audit Raw data'!J:J,B:B,'Audit Raw data'!E:E,'Day wise agent'!G:G)</f>
        <v>0</v>
      </c>
      <c r="K1263">
        <f>COUNTIFS('Audit Raw data'!AM:AM,"NO",'Audit Raw data'!J:J,B:B,'Audit Raw data'!E:E,'Day wise agent'!G:G)</f>
        <v>0</v>
      </c>
      <c r="L1263" s="12" t="str">
        <f t="shared" si="39"/>
        <v xml:space="preserve"> </v>
      </c>
    </row>
    <row r="1264" spans="1:12" x14ac:dyDescent="0.35">
      <c r="A1264" t="str">
        <f t="shared" si="38"/>
        <v>VPS21145942</v>
      </c>
      <c r="B1264" t="s">
        <v>367</v>
      </c>
      <c r="C1264" t="s">
        <v>1545</v>
      </c>
      <c r="D1264" s="32">
        <v>45855</v>
      </c>
      <c r="E1264" t="s">
        <v>1453</v>
      </c>
      <c r="F1264" t="str">
        <f>VLOOKUP(B1264,'Agent wise'!A:E,5,0)</f>
        <v>Wireless</v>
      </c>
      <c r="G1264" s="32">
        <v>45942</v>
      </c>
      <c r="H1264">
        <f>COUNTIFS('Audit Raw data'!J:J,B:B,'Audit Raw data'!E:E,G:G)</f>
        <v>0</v>
      </c>
      <c r="I1264" s="44" t="str">
        <f>IFERROR((SUMIFS('Audit Raw data'!BZ:BZ,'Audit Raw data'!J:J,B:B,'Audit Raw data'!E:E,G:G)/H1264)/100,"-")</f>
        <v>-</v>
      </c>
      <c r="J1264">
        <f>COUNTIFS('Audit Raw data'!AM:AM,"Yes",'Audit Raw data'!J:J,B:B,'Audit Raw data'!E:E,'Day wise agent'!G:G)</f>
        <v>0</v>
      </c>
      <c r="K1264">
        <f>COUNTIFS('Audit Raw data'!AM:AM,"NO",'Audit Raw data'!J:J,B:B,'Audit Raw data'!E:E,'Day wise agent'!G:G)</f>
        <v>0</v>
      </c>
      <c r="L1264" s="12" t="str">
        <f t="shared" si="39"/>
        <v xml:space="preserve"> </v>
      </c>
    </row>
    <row r="1265" spans="1:12" x14ac:dyDescent="0.35">
      <c r="A1265" t="str">
        <f t="shared" si="38"/>
        <v>VPS21345942</v>
      </c>
      <c r="B1265" t="s">
        <v>493</v>
      </c>
      <c r="C1265" t="s">
        <v>1546</v>
      </c>
      <c r="D1265" s="32">
        <v>45856</v>
      </c>
      <c r="E1265" t="s">
        <v>1453</v>
      </c>
      <c r="F1265" t="str">
        <f>VLOOKUP(B1265,'Agent wise'!A:E,5,0)</f>
        <v>Wireless</v>
      </c>
      <c r="G1265" s="32">
        <v>45942</v>
      </c>
      <c r="H1265">
        <f>COUNTIFS('Audit Raw data'!J:J,B:B,'Audit Raw data'!E:E,G:G)</f>
        <v>0</v>
      </c>
      <c r="I1265" s="44" t="str">
        <f>IFERROR((SUMIFS('Audit Raw data'!BZ:BZ,'Audit Raw data'!J:J,B:B,'Audit Raw data'!E:E,G:G)/H1265)/100,"-")</f>
        <v>-</v>
      </c>
      <c r="J1265">
        <f>COUNTIFS('Audit Raw data'!AM:AM,"Yes",'Audit Raw data'!J:J,B:B,'Audit Raw data'!E:E,'Day wise agent'!G:G)</f>
        <v>0</v>
      </c>
      <c r="K1265">
        <f>COUNTIFS('Audit Raw data'!AM:AM,"NO",'Audit Raw data'!J:J,B:B,'Audit Raw data'!E:E,'Day wise agent'!G:G)</f>
        <v>0</v>
      </c>
      <c r="L1265" s="12" t="str">
        <f t="shared" si="39"/>
        <v xml:space="preserve"> </v>
      </c>
    </row>
    <row r="1266" spans="1:12" x14ac:dyDescent="0.35">
      <c r="A1266" t="str">
        <f t="shared" si="38"/>
        <v>VPS21445942</v>
      </c>
      <c r="B1266" t="s">
        <v>480</v>
      </c>
      <c r="C1266" t="s">
        <v>1547</v>
      </c>
      <c r="D1266" s="32">
        <v>45855</v>
      </c>
      <c r="E1266" t="s">
        <v>107</v>
      </c>
      <c r="F1266" t="str">
        <f>VLOOKUP(B1266,'Agent wise'!A:E,5,0)</f>
        <v>Wireless</v>
      </c>
      <c r="G1266" s="32">
        <v>45942</v>
      </c>
      <c r="H1266">
        <f>COUNTIFS('Audit Raw data'!J:J,B:B,'Audit Raw data'!E:E,G:G)</f>
        <v>0</v>
      </c>
      <c r="I1266" s="44" t="str">
        <f>IFERROR((SUMIFS('Audit Raw data'!BZ:BZ,'Audit Raw data'!J:J,B:B,'Audit Raw data'!E:E,G:G)/H1266)/100,"-")</f>
        <v>-</v>
      </c>
      <c r="J1266">
        <f>COUNTIFS('Audit Raw data'!AM:AM,"Yes",'Audit Raw data'!J:J,B:B,'Audit Raw data'!E:E,'Day wise agent'!G:G)</f>
        <v>0</v>
      </c>
      <c r="K1266">
        <f>COUNTIFS('Audit Raw data'!AM:AM,"NO",'Audit Raw data'!J:J,B:B,'Audit Raw data'!E:E,'Day wise agent'!G:G)</f>
        <v>0</v>
      </c>
      <c r="L1266" s="12" t="str">
        <f t="shared" si="39"/>
        <v xml:space="preserve"> </v>
      </c>
    </row>
    <row r="1267" spans="1:12" x14ac:dyDescent="0.35">
      <c r="A1267" t="str">
        <f t="shared" si="38"/>
        <v>VPS21545942</v>
      </c>
      <c r="B1267" t="s">
        <v>521</v>
      </c>
      <c r="C1267" t="s">
        <v>1548</v>
      </c>
      <c r="D1267" s="32">
        <v>45865</v>
      </c>
      <c r="E1267" t="s">
        <v>178</v>
      </c>
      <c r="F1267" t="str">
        <f>VLOOKUP(B1267,'Agent wise'!A:E,5,0)</f>
        <v>Wireless</v>
      </c>
      <c r="G1267" s="32">
        <v>45942</v>
      </c>
      <c r="H1267">
        <f>COUNTIFS('Audit Raw data'!J:J,B:B,'Audit Raw data'!E:E,G:G)</f>
        <v>0</v>
      </c>
      <c r="I1267" s="44" t="str">
        <f>IFERROR((SUMIFS('Audit Raw data'!BZ:BZ,'Audit Raw data'!J:J,B:B,'Audit Raw data'!E:E,G:G)/H1267)/100,"-")</f>
        <v>-</v>
      </c>
      <c r="J1267">
        <f>COUNTIFS('Audit Raw data'!AM:AM,"Yes",'Audit Raw data'!J:J,B:B,'Audit Raw data'!E:E,'Day wise agent'!G:G)</f>
        <v>0</v>
      </c>
      <c r="K1267">
        <f>COUNTIFS('Audit Raw data'!AM:AM,"NO",'Audit Raw data'!J:J,B:B,'Audit Raw data'!E:E,'Day wise agent'!G:G)</f>
        <v>0</v>
      </c>
      <c r="L1267" s="12" t="str">
        <f t="shared" si="39"/>
        <v xml:space="preserve"> </v>
      </c>
    </row>
    <row r="1268" spans="1:12" x14ac:dyDescent="0.35">
      <c r="A1268" t="str">
        <f t="shared" si="38"/>
        <v>VPS21645942</v>
      </c>
      <c r="B1268" t="s">
        <v>154</v>
      </c>
      <c r="C1268" t="s">
        <v>1549</v>
      </c>
      <c r="D1268" s="32">
        <v>45865</v>
      </c>
      <c r="E1268" t="s">
        <v>107</v>
      </c>
      <c r="F1268" t="str">
        <f>VLOOKUP(B1268,'Agent wise'!A:E,5,0)</f>
        <v>Wireless</v>
      </c>
      <c r="G1268" s="32">
        <v>45942</v>
      </c>
      <c r="H1268">
        <f>COUNTIFS('Audit Raw data'!J:J,B:B,'Audit Raw data'!E:E,G:G)</f>
        <v>1</v>
      </c>
      <c r="I1268" s="44">
        <f>IFERROR((SUMIFS('Audit Raw data'!BZ:BZ,'Audit Raw data'!J:J,B:B,'Audit Raw data'!E:E,G:G)/H1268)/100,"-")</f>
        <v>0.92</v>
      </c>
      <c r="J1268">
        <f>COUNTIFS('Audit Raw data'!AM:AM,"Yes",'Audit Raw data'!J:J,B:B,'Audit Raw data'!E:E,'Day wise agent'!G:G)</f>
        <v>1</v>
      </c>
      <c r="K1268">
        <f>COUNTIFS('Audit Raw data'!AM:AM,"NO",'Audit Raw data'!J:J,B:B,'Audit Raw data'!E:E,'Day wise agent'!G:G)</f>
        <v>0</v>
      </c>
      <c r="L1268" s="12">
        <f t="shared" si="39"/>
        <v>1</v>
      </c>
    </row>
    <row r="1269" spans="1:12" x14ac:dyDescent="0.35">
      <c r="A1269" t="str">
        <f t="shared" si="38"/>
        <v>VPS21745942</v>
      </c>
      <c r="B1269" t="s">
        <v>519</v>
      </c>
      <c r="C1269" t="s">
        <v>1550</v>
      </c>
      <c r="D1269" s="32">
        <v>45865</v>
      </c>
      <c r="E1269" t="s">
        <v>178</v>
      </c>
      <c r="F1269" t="str">
        <f>VLOOKUP(B1269,'Agent wise'!A:E,5,0)</f>
        <v>Wireless</v>
      </c>
      <c r="G1269" s="32">
        <v>45942</v>
      </c>
      <c r="H1269">
        <f>COUNTIFS('Audit Raw data'!J:J,B:B,'Audit Raw data'!E:E,G:G)</f>
        <v>1</v>
      </c>
      <c r="I1269" s="44">
        <f>IFERROR((SUMIFS('Audit Raw data'!BZ:BZ,'Audit Raw data'!J:J,B:B,'Audit Raw data'!E:E,G:G)/H1269)/100,"-")</f>
        <v>0.74</v>
      </c>
      <c r="J1269">
        <f>COUNTIFS('Audit Raw data'!AM:AM,"Yes",'Audit Raw data'!J:J,B:B,'Audit Raw data'!E:E,'Day wise agent'!G:G)</f>
        <v>1</v>
      </c>
      <c r="K1269">
        <f>COUNTIFS('Audit Raw data'!AM:AM,"NO",'Audit Raw data'!J:J,B:B,'Audit Raw data'!E:E,'Day wise agent'!G:G)</f>
        <v>0</v>
      </c>
      <c r="L1269" s="12">
        <f t="shared" si="39"/>
        <v>1</v>
      </c>
    </row>
    <row r="1270" spans="1:12" x14ac:dyDescent="0.35">
      <c r="A1270" t="str">
        <f t="shared" si="38"/>
        <v>VPS22845942</v>
      </c>
      <c r="B1270" t="s">
        <v>341</v>
      </c>
      <c r="C1270" t="s">
        <v>1551</v>
      </c>
      <c r="D1270" s="32">
        <v>45881</v>
      </c>
      <c r="E1270" t="s">
        <v>178</v>
      </c>
      <c r="F1270" t="str">
        <f>VLOOKUP(B1270,'Agent wise'!A:E,5,0)</f>
        <v>Wireless</v>
      </c>
      <c r="G1270" s="32">
        <v>45942</v>
      </c>
      <c r="H1270">
        <f>COUNTIFS('Audit Raw data'!J:J,B:B,'Audit Raw data'!E:E,G:G)</f>
        <v>1</v>
      </c>
      <c r="I1270" s="44">
        <f>IFERROR((SUMIFS('Audit Raw data'!BZ:BZ,'Audit Raw data'!J:J,B:B,'Audit Raw data'!E:E,G:G)/H1270)/100,"-")</f>
        <v>0.72</v>
      </c>
      <c r="J1270">
        <f>COUNTIFS('Audit Raw data'!AM:AM,"Yes",'Audit Raw data'!J:J,B:B,'Audit Raw data'!E:E,'Day wise agent'!G:G)</f>
        <v>1</v>
      </c>
      <c r="K1270">
        <f>COUNTIFS('Audit Raw data'!AM:AM,"NO",'Audit Raw data'!J:J,B:B,'Audit Raw data'!E:E,'Day wise agent'!G:G)</f>
        <v>0</v>
      </c>
      <c r="L1270" s="12">
        <f t="shared" si="39"/>
        <v>1</v>
      </c>
    </row>
    <row r="1271" spans="1:12" x14ac:dyDescent="0.35">
      <c r="A1271" t="str">
        <f t="shared" si="38"/>
        <v>VPS22945942</v>
      </c>
      <c r="B1271" t="s">
        <v>173</v>
      </c>
      <c r="C1271" t="s">
        <v>1552</v>
      </c>
      <c r="D1271" s="32">
        <v>45880</v>
      </c>
      <c r="E1271" t="s">
        <v>107</v>
      </c>
      <c r="F1271" t="str">
        <f>VLOOKUP(B1271,'Agent wise'!A:E,5,0)</f>
        <v>Wireless</v>
      </c>
      <c r="G1271" s="32">
        <v>45942</v>
      </c>
      <c r="H1271">
        <f>COUNTIFS('Audit Raw data'!J:J,B:B,'Audit Raw data'!E:E,G:G)</f>
        <v>0</v>
      </c>
      <c r="I1271" s="44" t="str">
        <f>IFERROR((SUMIFS('Audit Raw data'!BZ:BZ,'Audit Raw data'!J:J,B:B,'Audit Raw data'!E:E,G:G)/H1271)/100,"-")</f>
        <v>-</v>
      </c>
      <c r="J1271">
        <f>COUNTIFS('Audit Raw data'!AM:AM,"Yes",'Audit Raw data'!J:J,B:B,'Audit Raw data'!E:E,'Day wise agent'!G:G)</f>
        <v>0</v>
      </c>
      <c r="K1271">
        <f>COUNTIFS('Audit Raw data'!AM:AM,"NO",'Audit Raw data'!J:J,B:B,'Audit Raw data'!E:E,'Day wise agent'!G:G)</f>
        <v>0</v>
      </c>
      <c r="L1271" s="12" t="str">
        <f t="shared" si="39"/>
        <v xml:space="preserve"> </v>
      </c>
    </row>
    <row r="1272" spans="1:12" x14ac:dyDescent="0.35">
      <c r="A1272" t="str">
        <f t="shared" si="38"/>
        <v>VPS23045942</v>
      </c>
      <c r="B1272" t="s">
        <v>335</v>
      </c>
      <c r="C1272" t="s">
        <v>1553</v>
      </c>
      <c r="D1272" s="32">
        <v>45880</v>
      </c>
      <c r="E1272" t="s">
        <v>1484</v>
      </c>
      <c r="F1272" t="str">
        <f>VLOOKUP(B1272,'Agent wise'!A:E,5,0)</f>
        <v>Wireless</v>
      </c>
      <c r="G1272" s="32">
        <v>45942</v>
      </c>
      <c r="H1272">
        <f>COUNTIFS('Audit Raw data'!J:J,B:B,'Audit Raw data'!E:E,G:G)</f>
        <v>0</v>
      </c>
      <c r="I1272" s="44" t="str">
        <f>IFERROR((SUMIFS('Audit Raw data'!BZ:BZ,'Audit Raw data'!J:J,B:B,'Audit Raw data'!E:E,G:G)/H1272)/100,"-")</f>
        <v>-</v>
      </c>
      <c r="J1272">
        <f>COUNTIFS('Audit Raw data'!AM:AM,"Yes",'Audit Raw data'!J:J,B:B,'Audit Raw data'!E:E,'Day wise agent'!G:G)</f>
        <v>0</v>
      </c>
      <c r="K1272">
        <f>COUNTIFS('Audit Raw data'!AM:AM,"NO",'Audit Raw data'!J:J,B:B,'Audit Raw data'!E:E,'Day wise agent'!G:G)</f>
        <v>0</v>
      </c>
      <c r="L1272" s="12" t="str">
        <f t="shared" si="39"/>
        <v xml:space="preserve"> </v>
      </c>
    </row>
    <row r="1273" spans="1:12" x14ac:dyDescent="0.35">
      <c r="A1273" t="str">
        <f t="shared" si="38"/>
        <v>VPS23545942</v>
      </c>
      <c r="B1273" t="s">
        <v>317</v>
      </c>
      <c r="C1273" t="s">
        <v>1554</v>
      </c>
      <c r="D1273" s="32">
        <v>45897</v>
      </c>
      <c r="E1273" t="s">
        <v>178</v>
      </c>
      <c r="F1273" t="str">
        <f>VLOOKUP(B1273,'Agent wise'!A:E,5,0)</f>
        <v>Wireless</v>
      </c>
      <c r="G1273" s="32">
        <v>45942</v>
      </c>
      <c r="H1273">
        <f>COUNTIFS('Audit Raw data'!J:J,B:B,'Audit Raw data'!E:E,G:G)</f>
        <v>0</v>
      </c>
      <c r="I1273" s="44" t="str">
        <f>IFERROR((SUMIFS('Audit Raw data'!BZ:BZ,'Audit Raw data'!J:J,B:B,'Audit Raw data'!E:E,G:G)/H1273)/100,"-")</f>
        <v>-</v>
      </c>
      <c r="J1273">
        <f>COUNTIFS('Audit Raw data'!AM:AM,"Yes",'Audit Raw data'!J:J,B:B,'Audit Raw data'!E:E,'Day wise agent'!G:G)</f>
        <v>0</v>
      </c>
      <c r="K1273">
        <f>COUNTIFS('Audit Raw data'!AM:AM,"NO",'Audit Raw data'!J:J,B:B,'Audit Raw data'!E:E,'Day wise agent'!G:G)</f>
        <v>0</v>
      </c>
      <c r="L1273" s="12" t="str">
        <f t="shared" si="39"/>
        <v xml:space="preserve"> </v>
      </c>
    </row>
    <row r="1274" spans="1:12" x14ac:dyDescent="0.35">
      <c r="A1274" t="str">
        <f t="shared" si="38"/>
        <v>VPS23645942</v>
      </c>
      <c r="B1274" t="s">
        <v>370</v>
      </c>
      <c r="C1274" t="s">
        <v>1555</v>
      </c>
      <c r="D1274" s="32">
        <v>45897</v>
      </c>
      <c r="E1274" t="s">
        <v>1453</v>
      </c>
      <c r="F1274" t="str">
        <f>VLOOKUP(B1274,'Agent wise'!A:E,5,0)</f>
        <v>Wireless</v>
      </c>
      <c r="G1274" s="32">
        <v>45942</v>
      </c>
      <c r="H1274">
        <f>COUNTIFS('Audit Raw data'!J:J,B:B,'Audit Raw data'!E:E,G:G)</f>
        <v>1</v>
      </c>
      <c r="I1274" s="44">
        <f>IFERROR((SUMIFS('Audit Raw data'!BZ:BZ,'Audit Raw data'!J:J,B:B,'Audit Raw data'!E:E,G:G)/H1274)/100,"-")</f>
        <v>0.92</v>
      </c>
      <c r="J1274">
        <f>COUNTIFS('Audit Raw data'!AM:AM,"Yes",'Audit Raw data'!J:J,B:B,'Audit Raw data'!E:E,'Day wise agent'!G:G)</f>
        <v>1</v>
      </c>
      <c r="K1274">
        <f>COUNTIFS('Audit Raw data'!AM:AM,"NO",'Audit Raw data'!J:J,B:B,'Audit Raw data'!E:E,'Day wise agent'!G:G)</f>
        <v>0</v>
      </c>
      <c r="L1274" s="12">
        <f t="shared" si="39"/>
        <v>1</v>
      </c>
    </row>
    <row r="1275" spans="1:12" x14ac:dyDescent="0.35">
      <c r="A1275" t="str">
        <f t="shared" si="38"/>
        <v>VPS23745942</v>
      </c>
      <c r="B1275" t="s">
        <v>159</v>
      </c>
      <c r="C1275" t="s">
        <v>1556</v>
      </c>
      <c r="D1275" s="32">
        <v>45897</v>
      </c>
      <c r="E1275" t="s">
        <v>107</v>
      </c>
      <c r="F1275" t="str">
        <f>VLOOKUP(B1275,'Agent wise'!A:E,5,0)</f>
        <v>Wireless</v>
      </c>
      <c r="G1275" s="32">
        <v>45942</v>
      </c>
      <c r="H1275">
        <f>COUNTIFS('Audit Raw data'!J:J,B:B,'Audit Raw data'!E:E,G:G)</f>
        <v>0</v>
      </c>
      <c r="I1275" s="44" t="str">
        <f>IFERROR((SUMIFS('Audit Raw data'!BZ:BZ,'Audit Raw data'!J:J,B:B,'Audit Raw data'!E:E,G:G)/H1275)/100,"-")</f>
        <v>-</v>
      </c>
      <c r="J1275">
        <f>COUNTIFS('Audit Raw data'!AM:AM,"Yes",'Audit Raw data'!J:J,B:B,'Audit Raw data'!E:E,'Day wise agent'!G:G)</f>
        <v>0</v>
      </c>
      <c r="K1275">
        <f>COUNTIFS('Audit Raw data'!AM:AM,"NO",'Audit Raw data'!J:J,B:B,'Audit Raw data'!E:E,'Day wise agent'!G:G)</f>
        <v>0</v>
      </c>
      <c r="L1275" s="12" t="str">
        <f t="shared" si="39"/>
        <v xml:space="preserve"> </v>
      </c>
    </row>
    <row r="1276" spans="1:12" x14ac:dyDescent="0.35">
      <c r="A1276" t="str">
        <f t="shared" si="38"/>
        <v>VPS23945942</v>
      </c>
      <c r="B1276" t="s">
        <v>484</v>
      </c>
      <c r="C1276" t="s">
        <v>1468</v>
      </c>
      <c r="D1276" s="32">
        <v>44942</v>
      </c>
      <c r="E1276" t="s">
        <v>178</v>
      </c>
      <c r="F1276" t="str">
        <f>VLOOKUP(B1276,'Agent wise'!A:E,5,0)</f>
        <v>Wireless</v>
      </c>
      <c r="G1276" s="32">
        <v>45942</v>
      </c>
      <c r="H1276">
        <f>COUNTIFS('Audit Raw data'!J:J,B:B,'Audit Raw data'!E:E,G:G)</f>
        <v>1</v>
      </c>
      <c r="I1276" s="44">
        <f>IFERROR((SUMIFS('Audit Raw data'!BZ:BZ,'Audit Raw data'!J:J,B:B,'Audit Raw data'!E:E,G:G)/H1276)/100,"-")</f>
        <v>0.82</v>
      </c>
      <c r="J1276">
        <f>COUNTIFS('Audit Raw data'!AM:AM,"Yes",'Audit Raw data'!J:J,B:B,'Audit Raw data'!E:E,'Day wise agent'!G:G)</f>
        <v>1</v>
      </c>
      <c r="K1276">
        <f>COUNTIFS('Audit Raw data'!AM:AM,"NO",'Audit Raw data'!J:J,B:B,'Audit Raw data'!E:E,'Day wise agent'!G:G)</f>
        <v>0</v>
      </c>
      <c r="L1276" s="12">
        <f t="shared" si="39"/>
        <v>1</v>
      </c>
    </row>
    <row r="1277" spans="1:12" x14ac:dyDescent="0.35">
      <c r="A1277" t="str">
        <f t="shared" si="38"/>
        <v>VPS24045942</v>
      </c>
      <c r="B1277" t="s">
        <v>291</v>
      </c>
      <c r="C1277" t="s">
        <v>1557</v>
      </c>
      <c r="D1277" s="32">
        <v>45907</v>
      </c>
      <c r="E1277" t="s">
        <v>1484</v>
      </c>
      <c r="F1277" t="str">
        <f>VLOOKUP(B1277,'Agent wise'!A:E,5,0)</f>
        <v>Wireless</v>
      </c>
      <c r="G1277" s="32">
        <v>45942</v>
      </c>
      <c r="H1277">
        <f>COUNTIFS('Audit Raw data'!J:J,B:B,'Audit Raw data'!E:E,G:G)</f>
        <v>0</v>
      </c>
      <c r="I1277" s="44" t="str">
        <f>IFERROR((SUMIFS('Audit Raw data'!BZ:BZ,'Audit Raw data'!J:J,B:B,'Audit Raw data'!E:E,G:G)/H1277)/100,"-")</f>
        <v>-</v>
      </c>
      <c r="J1277">
        <f>COUNTIFS('Audit Raw data'!AM:AM,"Yes",'Audit Raw data'!J:J,B:B,'Audit Raw data'!E:E,'Day wise agent'!G:G)</f>
        <v>0</v>
      </c>
      <c r="K1277">
        <f>COUNTIFS('Audit Raw data'!AM:AM,"NO",'Audit Raw data'!J:J,B:B,'Audit Raw data'!E:E,'Day wise agent'!G:G)</f>
        <v>0</v>
      </c>
      <c r="L1277" s="12" t="str">
        <f t="shared" si="39"/>
        <v xml:space="preserve"> </v>
      </c>
    </row>
    <row r="1278" spans="1:12" x14ac:dyDescent="0.35">
      <c r="A1278" t="str">
        <f t="shared" si="38"/>
        <v>VPS24245942</v>
      </c>
      <c r="B1278" t="s">
        <v>326</v>
      </c>
      <c r="C1278" t="s">
        <v>1510</v>
      </c>
      <c r="D1278" s="32">
        <v>45908</v>
      </c>
      <c r="E1278" t="s">
        <v>1453</v>
      </c>
      <c r="F1278" t="str">
        <f>VLOOKUP(B1278,'Agent wise'!A:E,5,0)</f>
        <v>Wireless</v>
      </c>
      <c r="G1278" s="32">
        <v>45942</v>
      </c>
      <c r="H1278">
        <f>COUNTIFS('Audit Raw data'!J:J,B:B,'Audit Raw data'!E:E,G:G)</f>
        <v>0</v>
      </c>
      <c r="I1278" s="44" t="str">
        <f>IFERROR((SUMIFS('Audit Raw data'!BZ:BZ,'Audit Raw data'!J:J,B:B,'Audit Raw data'!E:E,G:G)/H1278)/100,"-")</f>
        <v>-</v>
      </c>
      <c r="J1278">
        <f>COUNTIFS('Audit Raw data'!AM:AM,"Yes",'Audit Raw data'!J:J,B:B,'Audit Raw data'!E:E,'Day wise agent'!G:G)</f>
        <v>0</v>
      </c>
      <c r="K1278">
        <f>COUNTIFS('Audit Raw data'!AM:AM,"NO",'Audit Raw data'!J:J,B:B,'Audit Raw data'!E:E,'Day wise agent'!G:G)</f>
        <v>0</v>
      </c>
      <c r="L1278" s="12" t="str">
        <f t="shared" si="39"/>
        <v xml:space="preserve"> </v>
      </c>
    </row>
    <row r="1279" spans="1:12" x14ac:dyDescent="0.35">
      <c r="A1279" t="str">
        <f t="shared" si="38"/>
        <v>VPS24345942</v>
      </c>
      <c r="B1279" t="s">
        <v>321</v>
      </c>
      <c r="C1279" t="s">
        <v>1558</v>
      </c>
      <c r="D1279" s="32">
        <v>45907</v>
      </c>
      <c r="E1279" t="s">
        <v>1453</v>
      </c>
      <c r="F1279" t="str">
        <f>VLOOKUP(B1279,'Agent wise'!A:E,5,0)</f>
        <v>Wireless</v>
      </c>
      <c r="G1279" s="32">
        <v>45942</v>
      </c>
      <c r="H1279">
        <f>COUNTIFS('Audit Raw data'!J:J,B:B,'Audit Raw data'!E:E,G:G)</f>
        <v>0</v>
      </c>
      <c r="I1279" s="44" t="str">
        <f>IFERROR((SUMIFS('Audit Raw data'!BZ:BZ,'Audit Raw data'!J:J,B:B,'Audit Raw data'!E:E,G:G)/H1279)/100,"-")</f>
        <v>-</v>
      </c>
      <c r="J1279">
        <f>COUNTIFS('Audit Raw data'!AM:AM,"Yes",'Audit Raw data'!J:J,B:B,'Audit Raw data'!E:E,'Day wise agent'!G:G)</f>
        <v>0</v>
      </c>
      <c r="K1279">
        <f>COUNTIFS('Audit Raw data'!AM:AM,"NO",'Audit Raw data'!J:J,B:B,'Audit Raw data'!E:E,'Day wise agent'!G:G)</f>
        <v>0</v>
      </c>
      <c r="L1279" s="12" t="str">
        <f t="shared" si="39"/>
        <v xml:space="preserve"> </v>
      </c>
    </row>
    <row r="1280" spans="1:12" x14ac:dyDescent="0.35">
      <c r="A1280" t="str">
        <f t="shared" si="38"/>
        <v>VPS24445942</v>
      </c>
      <c r="B1280" t="s">
        <v>288</v>
      </c>
      <c r="C1280" t="s">
        <v>1559</v>
      </c>
      <c r="D1280" s="32">
        <v>45907</v>
      </c>
      <c r="E1280" t="s">
        <v>107</v>
      </c>
      <c r="F1280" t="str">
        <f>VLOOKUP(B1280,'Agent wise'!A:E,5,0)</f>
        <v>Wireless</v>
      </c>
      <c r="G1280" s="32">
        <v>45942</v>
      </c>
      <c r="H1280">
        <f>COUNTIFS('Audit Raw data'!J:J,B:B,'Audit Raw data'!E:E,G:G)</f>
        <v>0</v>
      </c>
      <c r="I1280" s="44" t="str">
        <f>IFERROR((SUMIFS('Audit Raw data'!BZ:BZ,'Audit Raw data'!J:J,B:B,'Audit Raw data'!E:E,G:G)/H1280)/100,"-")</f>
        <v>-</v>
      </c>
      <c r="J1280">
        <f>COUNTIFS('Audit Raw data'!AM:AM,"Yes",'Audit Raw data'!J:J,B:B,'Audit Raw data'!E:E,'Day wise agent'!G:G)</f>
        <v>0</v>
      </c>
      <c r="K1280">
        <f>COUNTIFS('Audit Raw data'!AM:AM,"NO",'Audit Raw data'!J:J,B:B,'Audit Raw data'!E:E,'Day wise agent'!G:G)</f>
        <v>0</v>
      </c>
      <c r="L1280" s="12" t="str">
        <f t="shared" si="39"/>
        <v xml:space="preserve"> </v>
      </c>
    </row>
    <row r="1281" spans="1:12" x14ac:dyDescent="0.35">
      <c r="A1281" t="str">
        <f t="shared" si="38"/>
        <v>VPS24545942</v>
      </c>
      <c r="B1281" t="s">
        <v>873</v>
      </c>
      <c r="C1281" t="s">
        <v>1560</v>
      </c>
      <c r="D1281" s="32">
        <v>45908</v>
      </c>
      <c r="E1281" t="s">
        <v>1484</v>
      </c>
      <c r="F1281" t="str">
        <f>VLOOKUP(B1281,'Agent wise'!A:E,5,0)</f>
        <v>Wireless</v>
      </c>
      <c r="G1281" s="32">
        <v>45942</v>
      </c>
      <c r="H1281">
        <f>COUNTIFS('Audit Raw data'!J:J,B:B,'Audit Raw data'!E:E,G:G)</f>
        <v>0</v>
      </c>
      <c r="I1281" s="44" t="str">
        <f>IFERROR((SUMIFS('Audit Raw data'!BZ:BZ,'Audit Raw data'!J:J,B:B,'Audit Raw data'!E:E,G:G)/H1281)/100,"-")</f>
        <v>-</v>
      </c>
      <c r="J1281">
        <f>COUNTIFS('Audit Raw data'!AM:AM,"Yes",'Audit Raw data'!J:J,B:B,'Audit Raw data'!E:E,'Day wise agent'!G:G)</f>
        <v>0</v>
      </c>
      <c r="K1281">
        <f>COUNTIFS('Audit Raw data'!AM:AM,"NO",'Audit Raw data'!J:J,B:B,'Audit Raw data'!E:E,'Day wise agent'!G:G)</f>
        <v>0</v>
      </c>
      <c r="L1281" s="12" t="str">
        <f t="shared" si="39"/>
        <v xml:space="preserve"> </v>
      </c>
    </row>
    <row r="1282" spans="1:12" x14ac:dyDescent="0.35">
      <c r="A1282" t="str">
        <f t="shared" ref="A1282:A1296" si="40">B1282&amp;G1282</f>
        <v>VPS24745942</v>
      </c>
      <c r="B1282" t="s">
        <v>238</v>
      </c>
      <c r="C1282" t="s">
        <v>1561</v>
      </c>
      <c r="D1282" s="32">
        <v>45907</v>
      </c>
      <c r="E1282" t="s">
        <v>1484</v>
      </c>
      <c r="F1282" t="str">
        <f>VLOOKUP(B1282,'Agent wise'!A:E,5,0)</f>
        <v>Wireless</v>
      </c>
      <c r="G1282" s="32">
        <v>45942</v>
      </c>
      <c r="H1282">
        <f>COUNTIFS('Audit Raw data'!J:J,B:B,'Audit Raw data'!E:E,G:G)</f>
        <v>0</v>
      </c>
      <c r="I1282" s="44" t="str">
        <f>IFERROR((SUMIFS('Audit Raw data'!BZ:BZ,'Audit Raw data'!J:J,B:B,'Audit Raw data'!E:E,G:G)/H1282)/100,"-")</f>
        <v>-</v>
      </c>
      <c r="J1282">
        <f>COUNTIFS('Audit Raw data'!AM:AM,"Yes",'Audit Raw data'!J:J,B:B,'Audit Raw data'!E:E,'Day wise agent'!G:G)</f>
        <v>0</v>
      </c>
      <c r="K1282">
        <f>COUNTIFS('Audit Raw data'!AM:AM,"NO",'Audit Raw data'!J:J,B:B,'Audit Raw data'!E:E,'Day wise agent'!G:G)</f>
        <v>0</v>
      </c>
      <c r="L1282" s="12" t="str">
        <f t="shared" ref="L1282:L1345" si="41">IFERROR(J1282/H1282," ")</f>
        <v xml:space="preserve"> </v>
      </c>
    </row>
    <row r="1283" spans="1:12" x14ac:dyDescent="0.35">
      <c r="A1283" t="str">
        <f t="shared" si="40"/>
        <v>VPS24845942</v>
      </c>
      <c r="B1283" t="s">
        <v>231</v>
      </c>
      <c r="C1283" t="s">
        <v>1562</v>
      </c>
      <c r="D1283" s="32">
        <v>45908</v>
      </c>
      <c r="E1283" t="s">
        <v>107</v>
      </c>
      <c r="F1283" t="str">
        <f>VLOOKUP(B1283,'Agent wise'!A:E,5,0)</f>
        <v>Wireless</v>
      </c>
      <c r="G1283" s="32">
        <v>45942</v>
      </c>
      <c r="H1283">
        <f>COUNTIFS('Audit Raw data'!J:J,B:B,'Audit Raw data'!E:E,G:G)</f>
        <v>0</v>
      </c>
      <c r="I1283" s="44" t="str">
        <f>IFERROR((SUMIFS('Audit Raw data'!BZ:BZ,'Audit Raw data'!J:J,B:B,'Audit Raw data'!E:E,G:G)/H1283)/100,"-")</f>
        <v>-</v>
      </c>
      <c r="J1283">
        <f>COUNTIFS('Audit Raw data'!AM:AM,"Yes",'Audit Raw data'!J:J,B:B,'Audit Raw data'!E:E,'Day wise agent'!G:G)</f>
        <v>0</v>
      </c>
      <c r="K1283">
        <f>COUNTIFS('Audit Raw data'!AM:AM,"NO",'Audit Raw data'!J:J,B:B,'Audit Raw data'!E:E,'Day wise agent'!G:G)</f>
        <v>0</v>
      </c>
      <c r="L1283" s="12" t="str">
        <f t="shared" si="41"/>
        <v xml:space="preserve"> </v>
      </c>
    </row>
    <row r="1284" spans="1:12" x14ac:dyDescent="0.35">
      <c r="A1284" t="str">
        <f t="shared" si="40"/>
        <v>VPS24945942</v>
      </c>
      <c r="B1284" t="s">
        <v>215</v>
      </c>
      <c r="C1284" t="s">
        <v>1563</v>
      </c>
      <c r="D1284" s="32">
        <v>45907</v>
      </c>
      <c r="E1284" t="s">
        <v>178</v>
      </c>
      <c r="F1284" t="str">
        <f>VLOOKUP(B1284,'Agent wise'!A:E,5,0)</f>
        <v>Wireless</v>
      </c>
      <c r="G1284" s="32">
        <v>45942</v>
      </c>
      <c r="H1284">
        <f>COUNTIFS('Audit Raw data'!J:J,B:B,'Audit Raw data'!E:E,G:G)</f>
        <v>0</v>
      </c>
      <c r="I1284" s="44" t="str">
        <f>IFERROR((SUMIFS('Audit Raw data'!BZ:BZ,'Audit Raw data'!J:J,B:B,'Audit Raw data'!E:E,G:G)/H1284)/100,"-")</f>
        <v>-</v>
      </c>
      <c r="J1284">
        <f>COUNTIFS('Audit Raw data'!AM:AM,"Yes",'Audit Raw data'!J:J,B:B,'Audit Raw data'!E:E,'Day wise agent'!G:G)</f>
        <v>0</v>
      </c>
      <c r="K1284">
        <f>COUNTIFS('Audit Raw data'!AM:AM,"NO",'Audit Raw data'!J:J,B:B,'Audit Raw data'!E:E,'Day wise agent'!G:G)</f>
        <v>0</v>
      </c>
      <c r="L1284" s="12" t="str">
        <f t="shared" si="41"/>
        <v xml:space="preserve"> </v>
      </c>
    </row>
    <row r="1285" spans="1:12" x14ac:dyDescent="0.35">
      <c r="A1285" t="str">
        <f t="shared" si="40"/>
        <v>VPS25145942</v>
      </c>
      <c r="B1285" t="s">
        <v>168</v>
      </c>
      <c r="C1285" t="s">
        <v>1564</v>
      </c>
      <c r="D1285" s="32">
        <v>45907</v>
      </c>
      <c r="E1285" t="s">
        <v>107</v>
      </c>
      <c r="F1285" t="str">
        <f>VLOOKUP(B1285,'Agent wise'!A:E,5,0)</f>
        <v>Wireless</v>
      </c>
      <c r="G1285" s="32">
        <v>45942</v>
      </c>
      <c r="H1285">
        <f>COUNTIFS('Audit Raw data'!J:J,B:B,'Audit Raw data'!E:E,G:G)</f>
        <v>0</v>
      </c>
      <c r="I1285" s="44" t="str">
        <f>IFERROR((SUMIFS('Audit Raw data'!BZ:BZ,'Audit Raw data'!J:J,B:B,'Audit Raw data'!E:E,G:G)/H1285)/100,"-")</f>
        <v>-</v>
      </c>
      <c r="J1285">
        <f>COUNTIFS('Audit Raw data'!AM:AM,"Yes",'Audit Raw data'!J:J,B:B,'Audit Raw data'!E:E,'Day wise agent'!G:G)</f>
        <v>0</v>
      </c>
      <c r="K1285">
        <f>COUNTIFS('Audit Raw data'!AM:AM,"NO",'Audit Raw data'!J:J,B:B,'Audit Raw data'!E:E,'Day wise agent'!G:G)</f>
        <v>0</v>
      </c>
      <c r="L1285" s="12" t="str">
        <f t="shared" si="41"/>
        <v xml:space="preserve"> </v>
      </c>
    </row>
    <row r="1286" spans="1:12" x14ac:dyDescent="0.35">
      <c r="A1286" t="str">
        <f t="shared" si="40"/>
        <v>VPS25245942</v>
      </c>
      <c r="B1286" t="s">
        <v>204</v>
      </c>
      <c r="C1286" t="s">
        <v>1565</v>
      </c>
      <c r="D1286" s="32">
        <v>45919</v>
      </c>
      <c r="E1286" t="s">
        <v>1484</v>
      </c>
      <c r="F1286" t="str">
        <f>VLOOKUP(B1286,'Agent wise'!A:E,5,0)</f>
        <v>Wireless</v>
      </c>
      <c r="G1286" s="32">
        <v>45942</v>
      </c>
      <c r="H1286">
        <f>COUNTIFS('Audit Raw data'!J:J,B:B,'Audit Raw data'!E:E,G:G)</f>
        <v>0</v>
      </c>
      <c r="I1286" s="44" t="str">
        <f>IFERROR((SUMIFS('Audit Raw data'!BZ:BZ,'Audit Raw data'!J:J,B:B,'Audit Raw data'!E:E,G:G)/H1286)/100,"-")</f>
        <v>-</v>
      </c>
      <c r="J1286">
        <f>COUNTIFS('Audit Raw data'!AM:AM,"Yes",'Audit Raw data'!J:J,B:B,'Audit Raw data'!E:E,'Day wise agent'!G:G)</f>
        <v>0</v>
      </c>
      <c r="K1286">
        <f>COUNTIFS('Audit Raw data'!AM:AM,"NO",'Audit Raw data'!J:J,B:B,'Audit Raw data'!E:E,'Day wise agent'!G:G)</f>
        <v>0</v>
      </c>
      <c r="L1286" s="12" t="str">
        <f t="shared" si="41"/>
        <v xml:space="preserve"> </v>
      </c>
    </row>
    <row r="1287" spans="1:12" x14ac:dyDescent="0.35">
      <c r="A1287" t="str">
        <f t="shared" si="40"/>
        <v>VPS25345942</v>
      </c>
      <c r="B1287" t="s">
        <v>195</v>
      </c>
      <c r="C1287" t="s">
        <v>1566</v>
      </c>
      <c r="D1287" s="32">
        <v>45919</v>
      </c>
      <c r="E1287" t="s">
        <v>178</v>
      </c>
      <c r="F1287" t="str">
        <f>VLOOKUP(B1287,'Agent wise'!A:E,5,0)</f>
        <v>Wireless</v>
      </c>
      <c r="G1287" s="32">
        <v>45942</v>
      </c>
      <c r="H1287">
        <f>COUNTIFS('Audit Raw data'!J:J,B:B,'Audit Raw data'!E:E,G:G)</f>
        <v>1</v>
      </c>
      <c r="I1287" s="44">
        <f>IFERROR((SUMIFS('Audit Raw data'!BZ:BZ,'Audit Raw data'!J:J,B:B,'Audit Raw data'!E:E,G:G)/H1287)/100,"-")</f>
        <v>0.78</v>
      </c>
      <c r="J1287">
        <f>COUNTIFS('Audit Raw data'!AM:AM,"Yes",'Audit Raw data'!J:J,B:B,'Audit Raw data'!E:E,'Day wise agent'!G:G)</f>
        <v>1</v>
      </c>
      <c r="K1287">
        <f>COUNTIFS('Audit Raw data'!AM:AM,"NO",'Audit Raw data'!J:J,B:B,'Audit Raw data'!E:E,'Day wise agent'!G:G)</f>
        <v>0</v>
      </c>
      <c r="L1287" s="12">
        <f t="shared" si="41"/>
        <v>1</v>
      </c>
    </row>
    <row r="1288" spans="1:12" x14ac:dyDescent="0.35">
      <c r="A1288" t="str">
        <f t="shared" si="40"/>
        <v>VPS25645942</v>
      </c>
      <c r="B1288" t="s">
        <v>191</v>
      </c>
      <c r="C1288" t="s">
        <v>1567</v>
      </c>
      <c r="D1288" s="32">
        <v>45919</v>
      </c>
      <c r="E1288" t="s">
        <v>1453</v>
      </c>
      <c r="F1288" t="str">
        <f>VLOOKUP(B1288,'Agent wise'!A:E,5,0)</f>
        <v>Wireless</v>
      </c>
      <c r="G1288" s="32">
        <v>45942</v>
      </c>
      <c r="H1288">
        <f>COUNTIFS('Audit Raw data'!J:J,B:B,'Audit Raw data'!E:E,G:G)</f>
        <v>0</v>
      </c>
      <c r="I1288" s="44" t="str">
        <f>IFERROR((SUMIFS('Audit Raw data'!BZ:BZ,'Audit Raw data'!J:J,B:B,'Audit Raw data'!E:E,G:G)/H1288)/100,"-")</f>
        <v>-</v>
      </c>
      <c r="J1288">
        <f>COUNTIFS('Audit Raw data'!AM:AM,"Yes",'Audit Raw data'!J:J,B:B,'Audit Raw data'!E:E,'Day wise agent'!G:G)</f>
        <v>0</v>
      </c>
      <c r="K1288">
        <f>COUNTIFS('Audit Raw data'!AM:AM,"NO",'Audit Raw data'!J:J,B:B,'Audit Raw data'!E:E,'Day wise agent'!G:G)</f>
        <v>0</v>
      </c>
      <c r="L1288" s="12" t="str">
        <f t="shared" si="41"/>
        <v xml:space="preserve"> </v>
      </c>
    </row>
    <row r="1289" spans="1:12" x14ac:dyDescent="0.35">
      <c r="A1289" t="str">
        <f t="shared" si="40"/>
        <v>VPS25745942</v>
      </c>
      <c r="B1289" t="s">
        <v>412</v>
      </c>
      <c r="C1289" t="s">
        <v>1568</v>
      </c>
      <c r="D1289" s="32">
        <v>45919</v>
      </c>
      <c r="E1289" t="s">
        <v>1453</v>
      </c>
      <c r="F1289" t="str">
        <f>VLOOKUP(B1289,'Agent wise'!A:E,5,0)</f>
        <v>Wireless</v>
      </c>
      <c r="G1289" s="32">
        <v>45942</v>
      </c>
      <c r="H1289">
        <f>COUNTIFS('Audit Raw data'!J:J,B:B,'Audit Raw data'!E:E,G:G)</f>
        <v>0</v>
      </c>
      <c r="I1289" s="44" t="str">
        <f>IFERROR((SUMIFS('Audit Raw data'!BZ:BZ,'Audit Raw data'!J:J,B:B,'Audit Raw data'!E:E,G:G)/H1289)/100,"-")</f>
        <v>-</v>
      </c>
      <c r="J1289">
        <f>COUNTIFS('Audit Raw data'!AM:AM,"Yes",'Audit Raw data'!J:J,B:B,'Audit Raw data'!E:E,'Day wise agent'!G:G)</f>
        <v>0</v>
      </c>
      <c r="K1289">
        <f>COUNTIFS('Audit Raw data'!AM:AM,"NO",'Audit Raw data'!J:J,B:B,'Audit Raw data'!E:E,'Day wise agent'!G:G)</f>
        <v>0</v>
      </c>
      <c r="L1289" s="12" t="str">
        <f t="shared" si="41"/>
        <v xml:space="preserve"> </v>
      </c>
    </row>
    <row r="1290" spans="1:12" x14ac:dyDescent="0.35">
      <c r="A1290" t="str">
        <f t="shared" si="40"/>
        <v>VPS25845942</v>
      </c>
      <c r="B1290" t="s">
        <v>183</v>
      </c>
      <c r="C1290" t="s">
        <v>1569</v>
      </c>
      <c r="D1290" s="32">
        <v>45927</v>
      </c>
      <c r="E1290" t="s">
        <v>178</v>
      </c>
      <c r="F1290" t="str">
        <f>VLOOKUP(B1290,'Agent wise'!A:E,5,0)</f>
        <v>Wireless</v>
      </c>
      <c r="G1290" s="32">
        <v>45942</v>
      </c>
      <c r="H1290">
        <f>COUNTIFS('Audit Raw data'!J:J,B:B,'Audit Raw data'!E:E,G:G)</f>
        <v>0</v>
      </c>
      <c r="I1290" s="44" t="str">
        <f>IFERROR((SUMIFS('Audit Raw data'!BZ:BZ,'Audit Raw data'!J:J,B:B,'Audit Raw data'!E:E,G:G)/H1290)/100,"-")</f>
        <v>-</v>
      </c>
      <c r="J1290">
        <f>COUNTIFS('Audit Raw data'!AM:AM,"Yes",'Audit Raw data'!J:J,B:B,'Audit Raw data'!E:E,'Day wise agent'!G:G)</f>
        <v>0</v>
      </c>
      <c r="K1290">
        <f>COUNTIFS('Audit Raw data'!AM:AM,"NO",'Audit Raw data'!J:J,B:B,'Audit Raw data'!E:E,'Day wise agent'!G:G)</f>
        <v>0</v>
      </c>
      <c r="L1290" s="12" t="str">
        <f t="shared" si="41"/>
        <v xml:space="preserve"> </v>
      </c>
    </row>
    <row r="1291" spans="1:12" x14ac:dyDescent="0.35">
      <c r="A1291" t="str">
        <f t="shared" si="40"/>
        <v>VPS25945942</v>
      </c>
      <c r="B1291" t="s">
        <v>102</v>
      </c>
      <c r="C1291" t="s">
        <v>1570</v>
      </c>
      <c r="D1291" s="32">
        <v>45927</v>
      </c>
      <c r="E1291" t="s">
        <v>107</v>
      </c>
      <c r="F1291" t="str">
        <f>VLOOKUP(B1291,'Agent wise'!A:E,5,0)</f>
        <v>Wireless</v>
      </c>
      <c r="G1291" s="32">
        <v>45942</v>
      </c>
      <c r="H1291">
        <f>COUNTIFS('Audit Raw data'!J:J,B:B,'Audit Raw data'!E:E,G:G)</f>
        <v>0</v>
      </c>
      <c r="I1291" s="44" t="str">
        <f>IFERROR((SUMIFS('Audit Raw data'!BZ:BZ,'Audit Raw data'!J:J,B:B,'Audit Raw data'!E:E,G:G)/H1291)/100,"-")</f>
        <v>-</v>
      </c>
      <c r="J1291">
        <f>COUNTIFS('Audit Raw data'!AM:AM,"Yes",'Audit Raw data'!J:J,B:B,'Audit Raw data'!E:E,'Day wise agent'!G:G)</f>
        <v>0</v>
      </c>
      <c r="K1291">
        <f>COUNTIFS('Audit Raw data'!AM:AM,"NO",'Audit Raw data'!J:J,B:B,'Audit Raw data'!E:E,'Day wise agent'!G:G)</f>
        <v>0</v>
      </c>
      <c r="L1291" s="12" t="str">
        <f t="shared" si="41"/>
        <v xml:space="preserve"> </v>
      </c>
    </row>
    <row r="1292" spans="1:12" x14ac:dyDescent="0.35">
      <c r="A1292" t="str">
        <f t="shared" si="40"/>
        <v>VPS26045942</v>
      </c>
      <c r="B1292" t="s">
        <v>998</v>
      </c>
      <c r="C1292" t="s">
        <v>1571</v>
      </c>
      <c r="D1292" s="32">
        <v>45938</v>
      </c>
      <c r="E1292" t="s">
        <v>1572</v>
      </c>
      <c r="F1292" t="str">
        <f>VLOOKUP(B1292,'Agent wise'!A:E,5,0)</f>
        <v>Wireless</v>
      </c>
      <c r="G1292" s="32">
        <v>45942</v>
      </c>
      <c r="H1292">
        <f>COUNTIFS('Audit Raw data'!J:J,B:B,'Audit Raw data'!E:E,G:G)</f>
        <v>0</v>
      </c>
      <c r="I1292" s="44" t="str">
        <f>IFERROR((SUMIFS('Audit Raw data'!BZ:BZ,'Audit Raw data'!J:J,B:B,'Audit Raw data'!E:E,G:G)/H1292)/100,"-")</f>
        <v>-</v>
      </c>
      <c r="J1292">
        <f>COUNTIFS('Audit Raw data'!AM:AM,"Yes",'Audit Raw data'!J:J,B:B,'Audit Raw data'!E:E,'Day wise agent'!G:G)</f>
        <v>0</v>
      </c>
      <c r="K1292">
        <f>COUNTIFS('Audit Raw data'!AM:AM,"NO",'Audit Raw data'!J:J,B:B,'Audit Raw data'!E:E,'Day wise agent'!G:G)</f>
        <v>0</v>
      </c>
      <c r="L1292" s="12" t="str">
        <f t="shared" si="41"/>
        <v xml:space="preserve"> </v>
      </c>
    </row>
    <row r="1293" spans="1:12" x14ac:dyDescent="0.35">
      <c r="A1293" t="str">
        <f t="shared" si="40"/>
        <v>VPS26145942</v>
      </c>
      <c r="B1293" t="s">
        <v>1009</v>
      </c>
      <c r="C1293" t="s">
        <v>1573</v>
      </c>
      <c r="D1293" s="32">
        <v>45938</v>
      </c>
      <c r="E1293" t="s">
        <v>1572</v>
      </c>
      <c r="F1293" t="str">
        <f>VLOOKUP(B1293,'Agent wise'!A:E,5,0)</f>
        <v>Wireless</v>
      </c>
      <c r="G1293" s="32">
        <v>45942</v>
      </c>
      <c r="H1293">
        <f>COUNTIFS('Audit Raw data'!J:J,B:B,'Audit Raw data'!E:E,G:G)</f>
        <v>0</v>
      </c>
      <c r="I1293" s="44" t="str">
        <f>IFERROR((SUMIFS('Audit Raw data'!BZ:BZ,'Audit Raw data'!J:J,B:B,'Audit Raw data'!E:E,G:G)/H1293)/100,"-")</f>
        <v>-</v>
      </c>
      <c r="J1293">
        <f>COUNTIFS('Audit Raw data'!AM:AM,"Yes",'Audit Raw data'!J:J,B:B,'Audit Raw data'!E:E,'Day wise agent'!G:G)</f>
        <v>0</v>
      </c>
      <c r="K1293">
        <f>COUNTIFS('Audit Raw data'!AM:AM,"NO",'Audit Raw data'!J:J,B:B,'Audit Raw data'!E:E,'Day wise agent'!G:G)</f>
        <v>0</v>
      </c>
      <c r="L1293" s="12" t="str">
        <f t="shared" si="41"/>
        <v xml:space="preserve"> </v>
      </c>
    </row>
    <row r="1294" spans="1:12" x14ac:dyDescent="0.35">
      <c r="A1294" t="str">
        <f t="shared" si="40"/>
        <v>VPS26245942</v>
      </c>
      <c r="B1294" t="s">
        <v>1098</v>
      </c>
      <c r="C1294" t="s">
        <v>1574</v>
      </c>
      <c r="D1294" s="32">
        <v>45938</v>
      </c>
      <c r="E1294" t="s">
        <v>1572</v>
      </c>
      <c r="F1294" t="str">
        <f>VLOOKUP(B1294,'Agent wise'!A:E,5,0)</f>
        <v>Wireless</v>
      </c>
      <c r="G1294" s="32">
        <v>45942</v>
      </c>
      <c r="H1294">
        <f>COUNTIFS('Audit Raw data'!J:J,B:B,'Audit Raw data'!E:E,G:G)</f>
        <v>0</v>
      </c>
      <c r="I1294" s="44" t="str">
        <f>IFERROR((SUMIFS('Audit Raw data'!BZ:BZ,'Audit Raw data'!J:J,B:B,'Audit Raw data'!E:E,G:G)/H1294)/100,"-")</f>
        <v>-</v>
      </c>
      <c r="J1294">
        <f>COUNTIFS('Audit Raw data'!AM:AM,"Yes",'Audit Raw data'!J:J,B:B,'Audit Raw data'!E:E,'Day wise agent'!G:G)</f>
        <v>0</v>
      </c>
      <c r="K1294">
        <f>COUNTIFS('Audit Raw data'!AM:AM,"NO",'Audit Raw data'!J:J,B:B,'Audit Raw data'!E:E,'Day wise agent'!G:G)</f>
        <v>0</v>
      </c>
      <c r="L1294" s="12" t="str">
        <f t="shared" si="41"/>
        <v xml:space="preserve"> </v>
      </c>
    </row>
    <row r="1295" spans="1:12" x14ac:dyDescent="0.35">
      <c r="A1295" t="str">
        <f t="shared" si="40"/>
        <v>VPS26345942</v>
      </c>
      <c r="B1295" t="s">
        <v>1022</v>
      </c>
      <c r="C1295" t="s">
        <v>1575</v>
      </c>
      <c r="D1295" s="32">
        <v>45938</v>
      </c>
      <c r="E1295" t="s">
        <v>1572</v>
      </c>
      <c r="F1295" t="str">
        <f>VLOOKUP(B1295,'Agent wise'!A:E,5,0)</f>
        <v>Wireless</v>
      </c>
      <c r="G1295" s="32">
        <v>45942</v>
      </c>
      <c r="H1295">
        <f>COUNTIFS('Audit Raw data'!J:J,B:B,'Audit Raw data'!E:E,G:G)</f>
        <v>0</v>
      </c>
      <c r="I1295" s="44" t="str">
        <f>IFERROR((SUMIFS('Audit Raw data'!BZ:BZ,'Audit Raw data'!J:J,B:B,'Audit Raw data'!E:E,G:G)/H1295)/100,"-")</f>
        <v>-</v>
      </c>
      <c r="J1295">
        <f>COUNTIFS('Audit Raw data'!AM:AM,"Yes",'Audit Raw data'!J:J,B:B,'Audit Raw data'!E:E,'Day wise agent'!G:G)</f>
        <v>0</v>
      </c>
      <c r="K1295">
        <f>COUNTIFS('Audit Raw data'!AM:AM,"NO",'Audit Raw data'!J:J,B:B,'Audit Raw data'!E:E,'Day wise agent'!G:G)</f>
        <v>0</v>
      </c>
      <c r="L1295" s="12" t="str">
        <f t="shared" si="41"/>
        <v xml:space="preserve"> </v>
      </c>
    </row>
    <row r="1296" spans="1:12" x14ac:dyDescent="0.35">
      <c r="A1296" t="str">
        <f t="shared" si="40"/>
        <v>VPS26445942</v>
      </c>
      <c r="B1296" t="s">
        <v>1030</v>
      </c>
      <c r="C1296" t="s">
        <v>1576</v>
      </c>
      <c r="D1296" s="32">
        <v>45938</v>
      </c>
      <c r="E1296" t="s">
        <v>1572</v>
      </c>
      <c r="F1296" t="str">
        <f>VLOOKUP(B1296,'Agent wise'!A:E,5,0)</f>
        <v>Wireless</v>
      </c>
      <c r="G1296" s="32">
        <v>45942</v>
      </c>
      <c r="H1296">
        <f>COUNTIFS('Audit Raw data'!J:J,B:B,'Audit Raw data'!E:E,G:G)</f>
        <v>0</v>
      </c>
      <c r="I1296" s="44" t="str">
        <f>IFERROR((SUMIFS('Audit Raw data'!BZ:BZ,'Audit Raw data'!J:J,B:B,'Audit Raw data'!E:E,G:G)/H1296)/100,"-")</f>
        <v>-</v>
      </c>
      <c r="J1296">
        <f>COUNTIFS('Audit Raw data'!AM:AM,"Yes",'Audit Raw data'!J:J,B:B,'Audit Raw data'!E:E,'Day wise agent'!G:G)</f>
        <v>0</v>
      </c>
      <c r="K1296">
        <f>COUNTIFS('Audit Raw data'!AM:AM,"NO",'Audit Raw data'!J:J,B:B,'Audit Raw data'!E:E,'Day wise agent'!G:G)</f>
        <v>0</v>
      </c>
      <c r="L1296" s="12" t="str">
        <f t="shared" si="41"/>
        <v xml:space="preserve"> </v>
      </c>
    </row>
    <row r="1297" spans="4:12" x14ac:dyDescent="0.35">
      <c r="D1297" s="32"/>
      <c r="G1297" s="32"/>
      <c r="H1297">
        <f>COUNTIFS('Audit Raw data'!J:J,B:B,'Audit Raw data'!E:E,G:G)</f>
        <v>0</v>
      </c>
      <c r="I1297" s="44" t="str">
        <f>IFERROR((SUMIFS('Audit Raw data'!BZ:BZ,'Audit Raw data'!J:J,B:B,'Audit Raw data'!E:E,G:G)/H1297)/100,"-")</f>
        <v>-</v>
      </c>
      <c r="J1297">
        <f>COUNTIFS('Audit Raw data'!AM:AM,"Yes",'Audit Raw data'!J:J,B:B,'Audit Raw data'!E:E,'Day wise agent'!G:G)</f>
        <v>0</v>
      </c>
      <c r="K1297">
        <f>COUNTIFS('Audit Raw data'!AM:AM,"NO",'Audit Raw data'!J:J,B:B,'Audit Raw data'!E:E,'Day wise agent'!G:G)</f>
        <v>0</v>
      </c>
      <c r="L1297" s="12" t="str">
        <f t="shared" si="41"/>
        <v xml:space="preserve"> </v>
      </c>
    </row>
    <row r="1298" spans="4:12" x14ac:dyDescent="0.35">
      <c r="D1298" s="32"/>
      <c r="G1298" s="32"/>
      <c r="H1298">
        <f>COUNTIFS('Audit Raw data'!J:J,B:B,'Audit Raw data'!E:E,G:G)</f>
        <v>0</v>
      </c>
      <c r="I1298" s="44" t="str">
        <f>IFERROR((SUMIFS('Audit Raw data'!BZ:BZ,'Audit Raw data'!J:J,B:B,'Audit Raw data'!E:E,G:G)/H1298)/100,"-")</f>
        <v>-</v>
      </c>
      <c r="J1298">
        <f>COUNTIFS('Audit Raw data'!AM:AM,"Yes",'Audit Raw data'!J:J,B:B,'Audit Raw data'!E:E,'Day wise agent'!G:G)</f>
        <v>0</v>
      </c>
      <c r="K1298">
        <f>COUNTIFS('Audit Raw data'!AM:AM,"NO",'Audit Raw data'!J:J,B:B,'Audit Raw data'!E:E,'Day wise agent'!G:G)</f>
        <v>0</v>
      </c>
      <c r="L1298" s="12" t="str">
        <f t="shared" si="41"/>
        <v xml:space="preserve"> </v>
      </c>
    </row>
    <row r="1299" spans="4:12" x14ac:dyDescent="0.35">
      <c r="D1299" s="32"/>
      <c r="G1299" s="32"/>
      <c r="H1299">
        <f>COUNTIFS('Audit Raw data'!J:J,B:B,'Audit Raw data'!E:E,G:G)</f>
        <v>0</v>
      </c>
      <c r="I1299" s="44" t="str">
        <f>IFERROR((SUMIFS('Audit Raw data'!BZ:BZ,'Audit Raw data'!J:J,B:B,'Audit Raw data'!E:E,G:G)/H1299)/100,"-")</f>
        <v>-</v>
      </c>
      <c r="J1299">
        <f>COUNTIFS('Audit Raw data'!AM:AM,"Yes",'Audit Raw data'!J:J,B:B,'Audit Raw data'!E:E,'Day wise agent'!G:G)</f>
        <v>0</v>
      </c>
      <c r="K1299">
        <f>COUNTIFS('Audit Raw data'!AM:AM,"NO",'Audit Raw data'!J:J,B:B,'Audit Raw data'!E:E,'Day wise agent'!G:G)</f>
        <v>0</v>
      </c>
      <c r="L1299" s="12" t="str">
        <f t="shared" si="41"/>
        <v xml:space="preserve"> </v>
      </c>
    </row>
    <row r="1300" spans="4:12" x14ac:dyDescent="0.35">
      <c r="D1300" s="32"/>
      <c r="G1300" s="32"/>
      <c r="H1300">
        <f>COUNTIFS('Audit Raw data'!J:J,B:B,'Audit Raw data'!E:E,G:G)</f>
        <v>0</v>
      </c>
      <c r="I1300" s="44" t="str">
        <f>IFERROR((SUMIFS('Audit Raw data'!BZ:BZ,'Audit Raw data'!J:J,B:B,'Audit Raw data'!E:E,G:G)/H1300)/100,"-")</f>
        <v>-</v>
      </c>
      <c r="J1300">
        <f>COUNTIFS('Audit Raw data'!AM:AM,"Yes",'Audit Raw data'!J:J,B:B,'Audit Raw data'!E:E,'Day wise agent'!G:G)</f>
        <v>0</v>
      </c>
      <c r="K1300">
        <f>COUNTIFS('Audit Raw data'!AM:AM,"NO",'Audit Raw data'!J:J,B:B,'Audit Raw data'!E:E,'Day wise agent'!G:G)</f>
        <v>0</v>
      </c>
      <c r="L1300" s="12" t="str">
        <f t="shared" si="41"/>
        <v xml:space="preserve"> </v>
      </c>
    </row>
    <row r="1301" spans="4:12" x14ac:dyDescent="0.35">
      <c r="D1301" s="32"/>
      <c r="G1301" s="32"/>
      <c r="H1301">
        <f>COUNTIFS('Audit Raw data'!J:J,B:B,'Audit Raw data'!E:E,G:G)</f>
        <v>0</v>
      </c>
      <c r="I1301" s="44" t="str">
        <f>IFERROR((SUMIFS('Audit Raw data'!BZ:BZ,'Audit Raw data'!J:J,B:B,'Audit Raw data'!E:E,G:G)/H1301)/100,"-")</f>
        <v>-</v>
      </c>
      <c r="J1301">
        <f>COUNTIFS('Audit Raw data'!AM:AM,"Yes",'Audit Raw data'!J:J,B:B,'Audit Raw data'!E:E,'Day wise agent'!G:G)</f>
        <v>0</v>
      </c>
      <c r="K1301">
        <f>COUNTIFS('Audit Raw data'!AM:AM,"NO",'Audit Raw data'!J:J,B:B,'Audit Raw data'!E:E,'Day wise agent'!G:G)</f>
        <v>0</v>
      </c>
      <c r="L1301" s="12" t="str">
        <f t="shared" si="41"/>
        <v xml:space="preserve"> </v>
      </c>
    </row>
    <row r="1302" spans="4:12" x14ac:dyDescent="0.35">
      <c r="D1302" s="32"/>
      <c r="G1302" s="32"/>
      <c r="H1302">
        <f>COUNTIFS('Audit Raw data'!J:J,B:B,'Audit Raw data'!E:E,G:G)</f>
        <v>0</v>
      </c>
      <c r="I1302" s="44" t="str">
        <f>IFERROR((SUMIFS('Audit Raw data'!BZ:BZ,'Audit Raw data'!J:J,B:B,'Audit Raw data'!E:E,G:G)/H1302)/100,"-")</f>
        <v>-</v>
      </c>
      <c r="J1302">
        <f>COUNTIFS('Audit Raw data'!AM:AM,"Yes",'Audit Raw data'!J:J,B:B,'Audit Raw data'!E:E,'Day wise agent'!G:G)</f>
        <v>0</v>
      </c>
      <c r="K1302">
        <f>COUNTIFS('Audit Raw data'!AM:AM,"NO",'Audit Raw data'!J:J,B:B,'Audit Raw data'!E:E,'Day wise agent'!G:G)</f>
        <v>0</v>
      </c>
      <c r="L1302" s="12" t="str">
        <f t="shared" si="41"/>
        <v xml:space="preserve"> </v>
      </c>
    </row>
    <row r="1303" spans="4:12" x14ac:dyDescent="0.35">
      <c r="D1303" s="32"/>
      <c r="G1303" s="32"/>
      <c r="H1303">
        <f>COUNTIFS('Audit Raw data'!J:J,B:B,'Audit Raw data'!E:E,G:G)</f>
        <v>0</v>
      </c>
      <c r="I1303" s="44" t="str">
        <f>IFERROR((SUMIFS('Audit Raw data'!BZ:BZ,'Audit Raw data'!J:J,B:B,'Audit Raw data'!E:E,G:G)/H1303)/100,"-")</f>
        <v>-</v>
      </c>
      <c r="J1303">
        <f>COUNTIFS('Audit Raw data'!AM:AM,"Yes",'Audit Raw data'!J:J,B:B,'Audit Raw data'!E:E,'Day wise agent'!G:G)</f>
        <v>0</v>
      </c>
      <c r="K1303">
        <f>COUNTIFS('Audit Raw data'!AM:AM,"NO",'Audit Raw data'!J:J,B:B,'Audit Raw data'!E:E,'Day wise agent'!G:G)</f>
        <v>0</v>
      </c>
      <c r="L1303" s="12" t="str">
        <f t="shared" si="41"/>
        <v xml:space="preserve"> </v>
      </c>
    </row>
    <row r="1304" spans="4:12" x14ac:dyDescent="0.35">
      <c r="D1304" s="32"/>
      <c r="G1304" s="32"/>
      <c r="H1304">
        <f>COUNTIFS('Audit Raw data'!J:J,B:B,'Audit Raw data'!E:E,G:G)</f>
        <v>0</v>
      </c>
      <c r="I1304" s="44" t="str">
        <f>IFERROR((SUMIFS('Audit Raw data'!BZ:BZ,'Audit Raw data'!J:J,B:B,'Audit Raw data'!E:E,G:G)/H1304)/100,"-")</f>
        <v>-</v>
      </c>
      <c r="J1304">
        <f>COUNTIFS('Audit Raw data'!AM:AM,"Yes",'Audit Raw data'!J:J,B:B,'Audit Raw data'!E:E,'Day wise agent'!G:G)</f>
        <v>0</v>
      </c>
      <c r="K1304">
        <f>COUNTIFS('Audit Raw data'!AM:AM,"NO",'Audit Raw data'!J:J,B:B,'Audit Raw data'!E:E,'Day wise agent'!G:G)</f>
        <v>0</v>
      </c>
      <c r="L1304" s="12" t="str">
        <f t="shared" si="41"/>
        <v xml:space="preserve"> </v>
      </c>
    </row>
    <row r="1305" spans="4:12" x14ac:dyDescent="0.35">
      <c r="D1305" s="32"/>
      <c r="G1305" s="32"/>
      <c r="H1305">
        <f>COUNTIFS('Audit Raw data'!J:J,B:B,'Audit Raw data'!E:E,G:G)</f>
        <v>0</v>
      </c>
      <c r="I1305" s="44" t="str">
        <f>IFERROR((SUMIFS('Audit Raw data'!BZ:BZ,'Audit Raw data'!J:J,B:B,'Audit Raw data'!E:E,G:G)/H1305)/100,"-")</f>
        <v>-</v>
      </c>
      <c r="J1305">
        <f>COUNTIFS('Audit Raw data'!AM:AM,"Yes",'Audit Raw data'!J:J,B:B,'Audit Raw data'!E:E,'Day wise agent'!G:G)</f>
        <v>0</v>
      </c>
      <c r="K1305">
        <f>COUNTIFS('Audit Raw data'!AM:AM,"NO",'Audit Raw data'!J:J,B:B,'Audit Raw data'!E:E,'Day wise agent'!G:G)</f>
        <v>0</v>
      </c>
      <c r="L1305" s="12" t="str">
        <f t="shared" si="41"/>
        <v xml:space="preserve"> </v>
      </c>
    </row>
    <row r="1306" spans="4:12" x14ac:dyDescent="0.35">
      <c r="D1306" s="32"/>
      <c r="G1306" s="32"/>
      <c r="H1306">
        <f>COUNTIFS('Audit Raw data'!J:J,B:B,'Audit Raw data'!E:E,G:G)</f>
        <v>0</v>
      </c>
      <c r="I1306" s="44" t="str">
        <f>IFERROR((SUMIFS('Audit Raw data'!BZ:BZ,'Audit Raw data'!J:J,B:B,'Audit Raw data'!E:E,G:G)/H1306)/100,"-")</f>
        <v>-</v>
      </c>
      <c r="J1306">
        <f>COUNTIFS('Audit Raw data'!AM:AM,"Yes",'Audit Raw data'!J:J,B:B,'Audit Raw data'!E:E,'Day wise agent'!G:G)</f>
        <v>0</v>
      </c>
      <c r="K1306">
        <f>COUNTIFS('Audit Raw data'!AM:AM,"NO",'Audit Raw data'!J:J,B:B,'Audit Raw data'!E:E,'Day wise agent'!G:G)</f>
        <v>0</v>
      </c>
      <c r="L1306" s="12" t="str">
        <f t="shared" si="41"/>
        <v xml:space="preserve"> </v>
      </c>
    </row>
    <row r="1307" spans="4:12" x14ac:dyDescent="0.35">
      <c r="D1307" s="32"/>
      <c r="G1307" s="32"/>
      <c r="H1307">
        <f>COUNTIFS('Audit Raw data'!J:J,B:B,'Audit Raw data'!E:E,G:G)</f>
        <v>0</v>
      </c>
      <c r="I1307" s="44" t="str">
        <f>IFERROR((SUMIFS('Audit Raw data'!BZ:BZ,'Audit Raw data'!J:J,B:B,'Audit Raw data'!E:E,G:G)/H1307)/100,"-")</f>
        <v>-</v>
      </c>
      <c r="J1307">
        <f>COUNTIFS('Audit Raw data'!AM:AM,"Yes",'Audit Raw data'!J:J,B:B,'Audit Raw data'!E:E,'Day wise agent'!G:G)</f>
        <v>0</v>
      </c>
      <c r="K1307">
        <f>COUNTIFS('Audit Raw data'!AM:AM,"NO",'Audit Raw data'!J:J,B:B,'Audit Raw data'!E:E,'Day wise agent'!G:G)</f>
        <v>0</v>
      </c>
      <c r="L1307" s="12" t="str">
        <f t="shared" si="41"/>
        <v xml:space="preserve"> </v>
      </c>
    </row>
    <row r="1308" spans="4:12" x14ac:dyDescent="0.35">
      <c r="D1308" s="32"/>
      <c r="G1308" s="32"/>
      <c r="H1308">
        <f>COUNTIFS('Audit Raw data'!J:J,B:B,'Audit Raw data'!E:E,G:G)</f>
        <v>0</v>
      </c>
      <c r="I1308" s="44" t="str">
        <f>IFERROR((SUMIFS('Audit Raw data'!BZ:BZ,'Audit Raw data'!J:J,B:B,'Audit Raw data'!E:E,G:G)/H1308)/100,"-")</f>
        <v>-</v>
      </c>
      <c r="J1308">
        <f>COUNTIFS('Audit Raw data'!AM:AM,"Yes",'Audit Raw data'!J:J,B:B,'Audit Raw data'!E:E,'Day wise agent'!G:G)</f>
        <v>0</v>
      </c>
      <c r="K1308">
        <f>COUNTIFS('Audit Raw data'!AM:AM,"NO",'Audit Raw data'!J:J,B:B,'Audit Raw data'!E:E,'Day wise agent'!G:G)</f>
        <v>0</v>
      </c>
      <c r="L1308" s="12" t="str">
        <f t="shared" si="41"/>
        <v xml:space="preserve"> </v>
      </c>
    </row>
    <row r="1309" spans="4:12" x14ac:dyDescent="0.35">
      <c r="D1309" s="32"/>
      <c r="G1309" s="32"/>
      <c r="H1309">
        <f>COUNTIFS('Audit Raw data'!J:J,B:B,'Audit Raw data'!E:E,G:G)</f>
        <v>0</v>
      </c>
      <c r="I1309" s="44" t="str">
        <f>IFERROR((SUMIFS('Audit Raw data'!BZ:BZ,'Audit Raw data'!J:J,B:B,'Audit Raw data'!E:E,G:G)/H1309)/100,"-")</f>
        <v>-</v>
      </c>
      <c r="J1309">
        <f>COUNTIFS('Audit Raw data'!AM:AM,"Yes",'Audit Raw data'!J:J,B:B,'Audit Raw data'!E:E,'Day wise agent'!G:G)</f>
        <v>0</v>
      </c>
      <c r="K1309">
        <f>COUNTIFS('Audit Raw data'!AM:AM,"NO",'Audit Raw data'!J:J,B:B,'Audit Raw data'!E:E,'Day wise agent'!G:G)</f>
        <v>0</v>
      </c>
      <c r="L1309" s="12" t="str">
        <f t="shared" si="41"/>
        <v xml:space="preserve"> </v>
      </c>
    </row>
    <row r="1310" spans="4:12" x14ac:dyDescent="0.35">
      <c r="D1310" s="32"/>
      <c r="G1310" s="32"/>
      <c r="H1310">
        <f>COUNTIFS('Audit Raw data'!J:J,B:B,'Audit Raw data'!E:E,G:G)</f>
        <v>0</v>
      </c>
      <c r="I1310" s="44" t="str">
        <f>IFERROR((SUMIFS('Audit Raw data'!BZ:BZ,'Audit Raw data'!J:J,B:B,'Audit Raw data'!E:E,G:G)/H1310)/100,"-")</f>
        <v>-</v>
      </c>
      <c r="J1310">
        <f>COUNTIFS('Audit Raw data'!AM:AM,"Yes",'Audit Raw data'!J:J,B:B,'Audit Raw data'!E:E,'Day wise agent'!G:G)</f>
        <v>0</v>
      </c>
      <c r="K1310">
        <f>COUNTIFS('Audit Raw data'!AM:AM,"NO",'Audit Raw data'!J:J,B:B,'Audit Raw data'!E:E,'Day wise agent'!G:G)</f>
        <v>0</v>
      </c>
      <c r="L1310" s="12" t="str">
        <f t="shared" si="41"/>
        <v xml:space="preserve"> </v>
      </c>
    </row>
    <row r="1311" spans="4:12" x14ac:dyDescent="0.35">
      <c r="D1311" s="32"/>
      <c r="G1311" s="32"/>
      <c r="H1311">
        <f>COUNTIFS('Audit Raw data'!J:J,B:B,'Audit Raw data'!E:E,G:G)</f>
        <v>0</v>
      </c>
      <c r="I1311" s="44" t="str">
        <f>IFERROR((SUMIFS('Audit Raw data'!BZ:BZ,'Audit Raw data'!J:J,B:B,'Audit Raw data'!E:E,G:G)/H1311)/100,"-")</f>
        <v>-</v>
      </c>
      <c r="J1311">
        <f>COUNTIFS('Audit Raw data'!AM:AM,"Yes",'Audit Raw data'!J:J,B:B,'Audit Raw data'!E:E,'Day wise agent'!G:G)</f>
        <v>0</v>
      </c>
      <c r="K1311">
        <f>COUNTIFS('Audit Raw data'!AM:AM,"NO",'Audit Raw data'!J:J,B:B,'Audit Raw data'!E:E,'Day wise agent'!G:G)</f>
        <v>0</v>
      </c>
      <c r="L1311" s="12" t="str">
        <f t="shared" si="41"/>
        <v xml:space="preserve"> </v>
      </c>
    </row>
    <row r="1312" spans="4:12" x14ac:dyDescent="0.35">
      <c r="D1312" s="32"/>
      <c r="G1312" s="32"/>
      <c r="H1312">
        <f>COUNTIFS('Audit Raw data'!J:J,B:B,'Audit Raw data'!E:E,G:G)</f>
        <v>0</v>
      </c>
      <c r="I1312" s="44" t="str">
        <f>IFERROR((SUMIFS('Audit Raw data'!BZ:BZ,'Audit Raw data'!J:J,B:B,'Audit Raw data'!E:E,G:G)/H1312)/100,"-")</f>
        <v>-</v>
      </c>
      <c r="J1312">
        <f>COUNTIFS('Audit Raw data'!AM:AM,"Yes",'Audit Raw data'!J:J,B:B,'Audit Raw data'!E:E,'Day wise agent'!G:G)</f>
        <v>0</v>
      </c>
      <c r="K1312">
        <f>COUNTIFS('Audit Raw data'!AM:AM,"NO",'Audit Raw data'!J:J,B:B,'Audit Raw data'!E:E,'Day wise agent'!G:G)</f>
        <v>0</v>
      </c>
      <c r="L1312" s="12" t="str">
        <f t="shared" si="41"/>
        <v xml:space="preserve"> </v>
      </c>
    </row>
    <row r="1313" spans="4:12" x14ac:dyDescent="0.35">
      <c r="D1313" s="32"/>
      <c r="G1313" s="32"/>
      <c r="H1313">
        <f>COUNTIFS('Audit Raw data'!J:J,B:B,'Audit Raw data'!E:E,G:G)</f>
        <v>0</v>
      </c>
      <c r="I1313" s="44" t="str">
        <f>IFERROR((SUMIFS('Audit Raw data'!BZ:BZ,'Audit Raw data'!J:J,B:B,'Audit Raw data'!E:E,G:G)/H1313)/100,"-")</f>
        <v>-</v>
      </c>
      <c r="J1313">
        <f>COUNTIFS('Audit Raw data'!AM:AM,"Yes",'Audit Raw data'!J:J,B:B,'Audit Raw data'!E:E,'Day wise agent'!G:G)</f>
        <v>0</v>
      </c>
      <c r="K1313">
        <f>COUNTIFS('Audit Raw data'!AM:AM,"NO",'Audit Raw data'!J:J,B:B,'Audit Raw data'!E:E,'Day wise agent'!G:G)</f>
        <v>0</v>
      </c>
      <c r="L1313" s="12" t="str">
        <f t="shared" si="41"/>
        <v xml:space="preserve"> </v>
      </c>
    </row>
    <row r="1314" spans="4:12" x14ac:dyDescent="0.35">
      <c r="D1314" s="32"/>
      <c r="G1314" s="32"/>
      <c r="H1314">
        <f>COUNTIFS('Audit Raw data'!J:J,B:B,'Audit Raw data'!E:E,G:G)</f>
        <v>0</v>
      </c>
      <c r="I1314" s="44" t="str">
        <f>IFERROR((SUMIFS('Audit Raw data'!BZ:BZ,'Audit Raw data'!J:J,B:B,'Audit Raw data'!E:E,G:G)/H1314)/100,"-")</f>
        <v>-</v>
      </c>
      <c r="J1314">
        <f>COUNTIFS('Audit Raw data'!AM:AM,"Yes",'Audit Raw data'!J:J,B:B,'Audit Raw data'!E:E,'Day wise agent'!G:G)</f>
        <v>0</v>
      </c>
      <c r="K1314">
        <f>COUNTIFS('Audit Raw data'!AM:AM,"NO",'Audit Raw data'!J:J,B:B,'Audit Raw data'!E:E,'Day wise agent'!G:G)</f>
        <v>0</v>
      </c>
      <c r="L1314" s="12" t="str">
        <f t="shared" si="41"/>
        <v xml:space="preserve"> </v>
      </c>
    </row>
    <row r="1315" spans="4:12" x14ac:dyDescent="0.35">
      <c r="D1315" s="32"/>
      <c r="G1315" s="32"/>
      <c r="H1315">
        <f>COUNTIFS('Audit Raw data'!J:J,B:B,'Audit Raw data'!E:E,G:G)</f>
        <v>0</v>
      </c>
      <c r="I1315" s="44" t="str">
        <f>IFERROR((SUMIFS('Audit Raw data'!BZ:BZ,'Audit Raw data'!J:J,B:B,'Audit Raw data'!E:E,G:G)/H1315)/100,"-")</f>
        <v>-</v>
      </c>
      <c r="J1315">
        <f>COUNTIFS('Audit Raw data'!AM:AM,"Yes",'Audit Raw data'!J:J,B:B,'Audit Raw data'!E:E,'Day wise agent'!G:G)</f>
        <v>0</v>
      </c>
      <c r="K1315">
        <f>COUNTIFS('Audit Raw data'!AM:AM,"NO",'Audit Raw data'!J:J,B:B,'Audit Raw data'!E:E,'Day wise agent'!G:G)</f>
        <v>0</v>
      </c>
      <c r="L1315" s="12" t="str">
        <f t="shared" si="41"/>
        <v xml:space="preserve"> </v>
      </c>
    </row>
    <row r="1316" spans="4:12" x14ac:dyDescent="0.35">
      <c r="D1316" s="32"/>
      <c r="G1316" s="32"/>
      <c r="H1316">
        <f>COUNTIFS('Audit Raw data'!J:J,B:B,'Audit Raw data'!E:E,G:G)</f>
        <v>0</v>
      </c>
      <c r="I1316" s="44" t="str">
        <f>IFERROR((SUMIFS('Audit Raw data'!BZ:BZ,'Audit Raw data'!J:J,B:B,'Audit Raw data'!E:E,G:G)/H1316)/100,"-")</f>
        <v>-</v>
      </c>
      <c r="J1316">
        <f>COUNTIFS('Audit Raw data'!AM:AM,"Yes",'Audit Raw data'!J:J,B:B,'Audit Raw data'!E:E,'Day wise agent'!G:G)</f>
        <v>0</v>
      </c>
      <c r="K1316">
        <f>COUNTIFS('Audit Raw data'!AM:AM,"NO",'Audit Raw data'!J:J,B:B,'Audit Raw data'!E:E,'Day wise agent'!G:G)</f>
        <v>0</v>
      </c>
      <c r="L1316" s="12" t="str">
        <f t="shared" si="41"/>
        <v xml:space="preserve"> </v>
      </c>
    </row>
    <row r="1317" spans="4:12" x14ac:dyDescent="0.35">
      <c r="D1317" s="32"/>
      <c r="G1317" s="32"/>
      <c r="H1317">
        <f>COUNTIFS('Audit Raw data'!J:J,B:B,'Audit Raw data'!E:E,G:G)</f>
        <v>0</v>
      </c>
      <c r="I1317" s="44" t="str">
        <f>IFERROR((SUMIFS('Audit Raw data'!BZ:BZ,'Audit Raw data'!J:J,B:B,'Audit Raw data'!E:E,G:G)/H1317)/100,"-")</f>
        <v>-</v>
      </c>
      <c r="J1317">
        <f>COUNTIFS('Audit Raw data'!AM:AM,"Yes",'Audit Raw data'!J:J,B:B,'Audit Raw data'!E:E,'Day wise agent'!G:G)</f>
        <v>0</v>
      </c>
      <c r="K1317">
        <f>COUNTIFS('Audit Raw data'!AM:AM,"NO",'Audit Raw data'!J:J,B:B,'Audit Raw data'!E:E,'Day wise agent'!G:G)</f>
        <v>0</v>
      </c>
      <c r="L1317" s="12" t="str">
        <f t="shared" si="41"/>
        <v xml:space="preserve"> </v>
      </c>
    </row>
    <row r="1318" spans="4:12" x14ac:dyDescent="0.35">
      <c r="D1318" s="32"/>
      <c r="G1318" s="32"/>
      <c r="H1318">
        <f>COUNTIFS('Audit Raw data'!J:J,B:B,'Audit Raw data'!E:E,G:G)</f>
        <v>0</v>
      </c>
      <c r="I1318" s="44" t="str">
        <f>IFERROR((SUMIFS('Audit Raw data'!BZ:BZ,'Audit Raw data'!J:J,B:B,'Audit Raw data'!E:E,G:G)/H1318)/100,"-")</f>
        <v>-</v>
      </c>
      <c r="J1318">
        <f>COUNTIFS('Audit Raw data'!AM:AM,"Yes",'Audit Raw data'!J:J,B:B,'Audit Raw data'!E:E,'Day wise agent'!G:G)</f>
        <v>0</v>
      </c>
      <c r="K1318">
        <f>COUNTIFS('Audit Raw data'!AM:AM,"NO",'Audit Raw data'!J:J,B:B,'Audit Raw data'!E:E,'Day wise agent'!G:G)</f>
        <v>0</v>
      </c>
      <c r="L1318" s="12" t="str">
        <f t="shared" si="41"/>
        <v xml:space="preserve"> </v>
      </c>
    </row>
    <row r="1319" spans="4:12" x14ac:dyDescent="0.35">
      <c r="D1319" s="32"/>
      <c r="G1319" s="32"/>
      <c r="H1319">
        <f>COUNTIFS('Audit Raw data'!J:J,B:B,'Audit Raw data'!E:E,G:G)</f>
        <v>0</v>
      </c>
      <c r="I1319" s="44" t="str">
        <f>IFERROR((SUMIFS('Audit Raw data'!BZ:BZ,'Audit Raw data'!J:J,B:B,'Audit Raw data'!E:E,G:G)/H1319)/100,"-")</f>
        <v>-</v>
      </c>
      <c r="J1319">
        <f>COUNTIFS('Audit Raw data'!AM:AM,"Yes",'Audit Raw data'!J:J,B:B,'Audit Raw data'!E:E,'Day wise agent'!G:G)</f>
        <v>0</v>
      </c>
      <c r="K1319">
        <f>COUNTIFS('Audit Raw data'!AM:AM,"NO",'Audit Raw data'!J:J,B:B,'Audit Raw data'!E:E,'Day wise agent'!G:G)</f>
        <v>0</v>
      </c>
      <c r="L1319" s="12" t="str">
        <f t="shared" si="41"/>
        <v xml:space="preserve"> </v>
      </c>
    </row>
    <row r="1320" spans="4:12" x14ac:dyDescent="0.35">
      <c r="D1320" s="32"/>
      <c r="G1320" s="32"/>
      <c r="H1320">
        <f>COUNTIFS('Audit Raw data'!J:J,B:B,'Audit Raw data'!E:E,G:G)</f>
        <v>0</v>
      </c>
      <c r="I1320" s="44" t="str">
        <f>IFERROR((SUMIFS('Audit Raw data'!BZ:BZ,'Audit Raw data'!J:J,B:B,'Audit Raw data'!E:E,G:G)/H1320)/100,"-")</f>
        <v>-</v>
      </c>
      <c r="J1320">
        <f>COUNTIFS('Audit Raw data'!AM:AM,"Yes",'Audit Raw data'!J:J,B:B,'Audit Raw data'!E:E,'Day wise agent'!G:G)</f>
        <v>0</v>
      </c>
      <c r="K1320">
        <f>COUNTIFS('Audit Raw data'!AM:AM,"NO",'Audit Raw data'!J:J,B:B,'Audit Raw data'!E:E,'Day wise agent'!G:G)</f>
        <v>0</v>
      </c>
      <c r="L1320" s="12" t="str">
        <f t="shared" si="41"/>
        <v xml:space="preserve"> </v>
      </c>
    </row>
    <row r="1321" spans="4:12" x14ac:dyDescent="0.35">
      <c r="D1321" s="32"/>
      <c r="G1321" s="32"/>
      <c r="H1321">
        <f>COUNTIFS('Audit Raw data'!J:J,B:B,'Audit Raw data'!E:E,G:G)</f>
        <v>0</v>
      </c>
      <c r="I1321" s="44" t="str">
        <f>IFERROR((SUMIFS('Audit Raw data'!BZ:BZ,'Audit Raw data'!J:J,B:B,'Audit Raw data'!E:E,G:G)/H1321)/100,"-")</f>
        <v>-</v>
      </c>
      <c r="J1321">
        <f>COUNTIFS('Audit Raw data'!AM:AM,"Yes",'Audit Raw data'!J:J,B:B,'Audit Raw data'!E:E,'Day wise agent'!G:G)</f>
        <v>0</v>
      </c>
      <c r="K1321">
        <f>COUNTIFS('Audit Raw data'!AM:AM,"NO",'Audit Raw data'!J:J,B:B,'Audit Raw data'!E:E,'Day wise agent'!G:G)</f>
        <v>0</v>
      </c>
      <c r="L1321" s="12" t="str">
        <f t="shared" si="41"/>
        <v xml:space="preserve"> </v>
      </c>
    </row>
    <row r="1322" spans="4:12" x14ac:dyDescent="0.35">
      <c r="D1322" s="32"/>
      <c r="G1322" s="32"/>
      <c r="H1322">
        <f>COUNTIFS('Audit Raw data'!J:J,B:B,'Audit Raw data'!E:E,G:G)</f>
        <v>0</v>
      </c>
      <c r="I1322" s="44" t="str">
        <f>IFERROR((SUMIFS('Audit Raw data'!BZ:BZ,'Audit Raw data'!J:J,B:B,'Audit Raw data'!E:E,G:G)/H1322)/100,"-")</f>
        <v>-</v>
      </c>
      <c r="J1322">
        <f>COUNTIFS('Audit Raw data'!AM:AM,"Yes",'Audit Raw data'!J:J,B:B,'Audit Raw data'!E:E,'Day wise agent'!G:G)</f>
        <v>0</v>
      </c>
      <c r="K1322">
        <f>COUNTIFS('Audit Raw data'!AM:AM,"NO",'Audit Raw data'!J:J,B:B,'Audit Raw data'!E:E,'Day wise agent'!G:G)</f>
        <v>0</v>
      </c>
      <c r="L1322" s="12" t="str">
        <f t="shared" si="41"/>
        <v xml:space="preserve"> </v>
      </c>
    </row>
    <row r="1323" spans="4:12" x14ac:dyDescent="0.35">
      <c r="D1323" s="32"/>
      <c r="G1323" s="32"/>
      <c r="H1323">
        <f>COUNTIFS('Audit Raw data'!J:J,B:B,'Audit Raw data'!E:E,G:G)</f>
        <v>0</v>
      </c>
      <c r="I1323" s="44" t="str">
        <f>IFERROR((SUMIFS('Audit Raw data'!BZ:BZ,'Audit Raw data'!J:J,B:B,'Audit Raw data'!E:E,G:G)/H1323)/100,"-")</f>
        <v>-</v>
      </c>
      <c r="J1323">
        <f>COUNTIFS('Audit Raw data'!AM:AM,"Yes",'Audit Raw data'!J:J,B:B,'Audit Raw data'!E:E,'Day wise agent'!G:G)</f>
        <v>0</v>
      </c>
      <c r="K1323">
        <f>COUNTIFS('Audit Raw data'!AM:AM,"NO",'Audit Raw data'!J:J,B:B,'Audit Raw data'!E:E,'Day wise agent'!G:G)</f>
        <v>0</v>
      </c>
      <c r="L1323" s="12" t="str">
        <f t="shared" si="41"/>
        <v xml:space="preserve"> </v>
      </c>
    </row>
    <row r="1324" spans="4:12" x14ac:dyDescent="0.35">
      <c r="D1324" s="32"/>
      <c r="G1324" s="32"/>
      <c r="H1324">
        <f>COUNTIFS('Audit Raw data'!J:J,B:B,'Audit Raw data'!E:E,G:G)</f>
        <v>0</v>
      </c>
      <c r="I1324" s="44" t="str">
        <f>IFERROR((SUMIFS('Audit Raw data'!BZ:BZ,'Audit Raw data'!J:J,B:B,'Audit Raw data'!E:E,G:G)/H1324)/100,"-")</f>
        <v>-</v>
      </c>
      <c r="J1324">
        <f>COUNTIFS('Audit Raw data'!AM:AM,"Yes",'Audit Raw data'!J:J,B:B,'Audit Raw data'!E:E,'Day wise agent'!G:G)</f>
        <v>0</v>
      </c>
      <c r="K1324">
        <f>COUNTIFS('Audit Raw data'!AM:AM,"NO",'Audit Raw data'!J:J,B:B,'Audit Raw data'!E:E,'Day wise agent'!G:G)</f>
        <v>0</v>
      </c>
      <c r="L1324" s="12" t="str">
        <f t="shared" si="41"/>
        <v xml:space="preserve"> </v>
      </c>
    </row>
    <row r="1325" spans="4:12" x14ac:dyDescent="0.35">
      <c r="D1325" s="32"/>
      <c r="G1325" s="32"/>
      <c r="H1325">
        <f>COUNTIFS('Audit Raw data'!J:J,B:B,'Audit Raw data'!E:E,G:G)</f>
        <v>0</v>
      </c>
      <c r="I1325" s="44" t="str">
        <f>IFERROR((SUMIFS('Audit Raw data'!BZ:BZ,'Audit Raw data'!J:J,B:B,'Audit Raw data'!E:E,G:G)/H1325)/100,"-")</f>
        <v>-</v>
      </c>
      <c r="J1325">
        <f>COUNTIFS('Audit Raw data'!AM:AM,"Yes",'Audit Raw data'!J:J,B:B,'Audit Raw data'!E:E,'Day wise agent'!G:G)</f>
        <v>0</v>
      </c>
      <c r="K1325">
        <f>COUNTIFS('Audit Raw data'!AM:AM,"NO",'Audit Raw data'!J:J,B:B,'Audit Raw data'!E:E,'Day wise agent'!G:G)</f>
        <v>0</v>
      </c>
      <c r="L1325" s="12" t="str">
        <f t="shared" si="41"/>
        <v xml:space="preserve"> </v>
      </c>
    </row>
    <row r="1326" spans="4:12" x14ac:dyDescent="0.35">
      <c r="D1326" s="32"/>
      <c r="G1326" s="32"/>
      <c r="H1326">
        <f>COUNTIFS('Audit Raw data'!J:J,B:B,'Audit Raw data'!E:E,G:G)</f>
        <v>0</v>
      </c>
      <c r="I1326" s="44" t="str">
        <f>IFERROR((SUMIFS('Audit Raw data'!BZ:BZ,'Audit Raw data'!J:J,B:B,'Audit Raw data'!E:E,G:G)/H1326)/100,"-")</f>
        <v>-</v>
      </c>
      <c r="J1326">
        <f>COUNTIFS('Audit Raw data'!AM:AM,"Yes",'Audit Raw data'!J:J,B:B,'Audit Raw data'!E:E,'Day wise agent'!G:G)</f>
        <v>0</v>
      </c>
      <c r="K1326">
        <f>COUNTIFS('Audit Raw data'!AM:AM,"NO",'Audit Raw data'!J:J,B:B,'Audit Raw data'!E:E,'Day wise agent'!G:G)</f>
        <v>0</v>
      </c>
      <c r="L1326" s="12" t="str">
        <f t="shared" si="41"/>
        <v xml:space="preserve"> </v>
      </c>
    </row>
    <row r="1327" spans="4:12" x14ac:dyDescent="0.35">
      <c r="D1327" s="32"/>
      <c r="G1327" s="32"/>
      <c r="H1327">
        <f>COUNTIFS('Audit Raw data'!J:J,B:B,'Audit Raw data'!E:E,G:G)</f>
        <v>0</v>
      </c>
      <c r="I1327" s="44" t="str">
        <f>IFERROR((SUMIFS('Audit Raw data'!BZ:BZ,'Audit Raw data'!J:J,B:B,'Audit Raw data'!E:E,G:G)/H1327)/100,"-")</f>
        <v>-</v>
      </c>
      <c r="J1327">
        <f>COUNTIFS('Audit Raw data'!AM:AM,"Yes",'Audit Raw data'!J:J,B:B,'Audit Raw data'!E:E,'Day wise agent'!G:G)</f>
        <v>0</v>
      </c>
      <c r="K1327">
        <f>COUNTIFS('Audit Raw data'!AM:AM,"NO",'Audit Raw data'!J:J,B:B,'Audit Raw data'!E:E,'Day wise agent'!G:G)</f>
        <v>0</v>
      </c>
      <c r="L1327" s="12" t="str">
        <f t="shared" si="41"/>
        <v xml:space="preserve"> </v>
      </c>
    </row>
    <row r="1328" spans="4:12" x14ac:dyDescent="0.35">
      <c r="D1328" s="32"/>
      <c r="G1328" s="32"/>
      <c r="H1328">
        <f>COUNTIFS('Audit Raw data'!J:J,B:B,'Audit Raw data'!E:E,G:G)</f>
        <v>0</v>
      </c>
      <c r="I1328" s="44" t="str">
        <f>IFERROR((SUMIFS('Audit Raw data'!BZ:BZ,'Audit Raw data'!J:J,B:B,'Audit Raw data'!E:E,G:G)/H1328)/100,"-")</f>
        <v>-</v>
      </c>
      <c r="J1328">
        <f>COUNTIFS('Audit Raw data'!AM:AM,"Yes",'Audit Raw data'!J:J,B:B,'Audit Raw data'!E:E,'Day wise agent'!G:G)</f>
        <v>0</v>
      </c>
      <c r="K1328">
        <f>COUNTIFS('Audit Raw data'!AM:AM,"NO",'Audit Raw data'!J:J,B:B,'Audit Raw data'!E:E,'Day wise agent'!G:G)</f>
        <v>0</v>
      </c>
      <c r="L1328" s="12" t="str">
        <f t="shared" si="41"/>
        <v xml:space="preserve"> </v>
      </c>
    </row>
    <row r="1329" spans="4:12" x14ac:dyDescent="0.35">
      <c r="D1329" s="32"/>
      <c r="G1329" s="32"/>
      <c r="H1329">
        <f>COUNTIFS('Audit Raw data'!J:J,B:B,'Audit Raw data'!E:E,G:G)</f>
        <v>0</v>
      </c>
      <c r="I1329" s="44" t="str">
        <f>IFERROR((SUMIFS('Audit Raw data'!BZ:BZ,'Audit Raw data'!J:J,B:B,'Audit Raw data'!E:E,G:G)/H1329)/100,"-")</f>
        <v>-</v>
      </c>
      <c r="J1329">
        <f>COUNTIFS('Audit Raw data'!AM:AM,"Yes",'Audit Raw data'!J:J,B:B,'Audit Raw data'!E:E,'Day wise agent'!G:G)</f>
        <v>0</v>
      </c>
      <c r="K1329">
        <f>COUNTIFS('Audit Raw data'!AM:AM,"NO",'Audit Raw data'!J:J,B:B,'Audit Raw data'!E:E,'Day wise agent'!G:G)</f>
        <v>0</v>
      </c>
      <c r="L1329" s="12" t="str">
        <f t="shared" si="41"/>
        <v xml:space="preserve"> </v>
      </c>
    </row>
    <row r="1330" spans="4:12" x14ac:dyDescent="0.35">
      <c r="D1330" s="32"/>
      <c r="G1330" s="32"/>
      <c r="H1330">
        <f>COUNTIFS('Audit Raw data'!J:J,B:B,'Audit Raw data'!E:E,G:G)</f>
        <v>0</v>
      </c>
      <c r="I1330" s="44" t="str">
        <f>IFERROR((SUMIFS('Audit Raw data'!BZ:BZ,'Audit Raw data'!J:J,B:B,'Audit Raw data'!E:E,G:G)/H1330)/100,"-")</f>
        <v>-</v>
      </c>
      <c r="J1330">
        <f>COUNTIFS('Audit Raw data'!AM:AM,"Yes",'Audit Raw data'!J:J,B:B,'Audit Raw data'!E:E,'Day wise agent'!G:G)</f>
        <v>0</v>
      </c>
      <c r="K1330">
        <f>COUNTIFS('Audit Raw data'!AM:AM,"NO",'Audit Raw data'!J:J,B:B,'Audit Raw data'!E:E,'Day wise agent'!G:G)</f>
        <v>0</v>
      </c>
      <c r="L1330" s="12" t="str">
        <f t="shared" si="41"/>
        <v xml:space="preserve"> </v>
      </c>
    </row>
    <row r="1331" spans="4:12" x14ac:dyDescent="0.35">
      <c r="D1331" s="32"/>
      <c r="G1331" s="32"/>
      <c r="H1331">
        <f>COUNTIFS('Audit Raw data'!J:J,B:B,'Audit Raw data'!E:E,G:G)</f>
        <v>0</v>
      </c>
      <c r="I1331" s="44" t="str">
        <f>IFERROR((SUMIFS('Audit Raw data'!BZ:BZ,'Audit Raw data'!J:J,B:B,'Audit Raw data'!E:E,G:G)/H1331)/100,"-")</f>
        <v>-</v>
      </c>
      <c r="J1331">
        <f>COUNTIFS('Audit Raw data'!AM:AM,"Yes",'Audit Raw data'!J:J,B:B,'Audit Raw data'!E:E,'Day wise agent'!G:G)</f>
        <v>0</v>
      </c>
      <c r="K1331">
        <f>COUNTIFS('Audit Raw data'!AM:AM,"NO",'Audit Raw data'!J:J,B:B,'Audit Raw data'!E:E,'Day wise agent'!G:G)</f>
        <v>0</v>
      </c>
      <c r="L1331" s="12" t="str">
        <f t="shared" si="41"/>
        <v xml:space="preserve"> </v>
      </c>
    </row>
    <row r="1332" spans="4:12" x14ac:dyDescent="0.35">
      <c r="D1332" s="32"/>
      <c r="G1332" s="32"/>
      <c r="H1332">
        <f>COUNTIFS('Audit Raw data'!J:J,B:B,'Audit Raw data'!E:E,G:G)</f>
        <v>0</v>
      </c>
      <c r="I1332" s="44" t="str">
        <f>IFERROR((SUMIFS('Audit Raw data'!BZ:BZ,'Audit Raw data'!J:J,B:B,'Audit Raw data'!E:E,G:G)/H1332)/100,"-")</f>
        <v>-</v>
      </c>
      <c r="J1332">
        <f>COUNTIFS('Audit Raw data'!AM:AM,"Yes",'Audit Raw data'!J:J,B:B,'Audit Raw data'!E:E,'Day wise agent'!G:G)</f>
        <v>0</v>
      </c>
      <c r="K1332">
        <f>COUNTIFS('Audit Raw data'!AM:AM,"NO",'Audit Raw data'!J:J,B:B,'Audit Raw data'!E:E,'Day wise agent'!G:G)</f>
        <v>0</v>
      </c>
      <c r="L1332" s="12" t="str">
        <f t="shared" si="41"/>
        <v xml:space="preserve"> </v>
      </c>
    </row>
    <row r="1333" spans="4:12" x14ac:dyDescent="0.35">
      <c r="D1333" s="32"/>
      <c r="G1333" s="32"/>
      <c r="H1333">
        <f>COUNTIFS('Audit Raw data'!J:J,B:B,'Audit Raw data'!E:E,G:G)</f>
        <v>0</v>
      </c>
      <c r="I1333" s="44" t="str">
        <f>IFERROR((SUMIFS('Audit Raw data'!BZ:BZ,'Audit Raw data'!J:J,B:B,'Audit Raw data'!E:E,G:G)/H1333)/100,"-")</f>
        <v>-</v>
      </c>
      <c r="J1333">
        <f>COUNTIFS('Audit Raw data'!AM:AM,"Yes",'Audit Raw data'!J:J,B:B,'Audit Raw data'!E:E,'Day wise agent'!G:G)</f>
        <v>0</v>
      </c>
      <c r="K1333">
        <f>COUNTIFS('Audit Raw data'!AM:AM,"NO",'Audit Raw data'!J:J,B:B,'Audit Raw data'!E:E,'Day wise agent'!G:G)</f>
        <v>0</v>
      </c>
      <c r="L1333" s="12" t="str">
        <f t="shared" si="41"/>
        <v xml:space="preserve"> </v>
      </c>
    </row>
    <row r="1334" spans="4:12" x14ac:dyDescent="0.35">
      <c r="D1334" s="32"/>
      <c r="G1334" s="32"/>
      <c r="H1334">
        <f>COUNTIFS('Audit Raw data'!J:J,B:B,'Audit Raw data'!E:E,G:G)</f>
        <v>0</v>
      </c>
      <c r="I1334" s="44" t="str">
        <f>IFERROR((SUMIFS('Audit Raw data'!BZ:BZ,'Audit Raw data'!J:J,B:B,'Audit Raw data'!E:E,G:G)/H1334)/100,"-")</f>
        <v>-</v>
      </c>
      <c r="J1334">
        <f>COUNTIFS('Audit Raw data'!AM:AM,"Yes",'Audit Raw data'!J:J,B:B,'Audit Raw data'!E:E,'Day wise agent'!G:G)</f>
        <v>0</v>
      </c>
      <c r="K1334">
        <f>COUNTIFS('Audit Raw data'!AM:AM,"NO",'Audit Raw data'!J:J,B:B,'Audit Raw data'!E:E,'Day wise agent'!G:G)</f>
        <v>0</v>
      </c>
      <c r="L1334" s="12" t="str">
        <f t="shared" si="41"/>
        <v xml:space="preserve"> </v>
      </c>
    </row>
    <row r="1335" spans="4:12" x14ac:dyDescent="0.35">
      <c r="D1335" s="32"/>
      <c r="G1335" s="32"/>
      <c r="H1335">
        <f>COUNTIFS('Audit Raw data'!J:J,B:B,'Audit Raw data'!E:E,G:G)</f>
        <v>0</v>
      </c>
      <c r="I1335" s="44" t="str">
        <f>IFERROR((SUMIFS('Audit Raw data'!BZ:BZ,'Audit Raw data'!J:J,B:B,'Audit Raw data'!E:E,G:G)/H1335)/100,"-")</f>
        <v>-</v>
      </c>
      <c r="J1335">
        <f>COUNTIFS('Audit Raw data'!AM:AM,"Yes",'Audit Raw data'!J:J,B:B,'Audit Raw data'!E:E,'Day wise agent'!G:G)</f>
        <v>0</v>
      </c>
      <c r="K1335">
        <f>COUNTIFS('Audit Raw data'!AM:AM,"NO",'Audit Raw data'!J:J,B:B,'Audit Raw data'!E:E,'Day wise agent'!G:G)</f>
        <v>0</v>
      </c>
      <c r="L1335" s="12" t="str">
        <f t="shared" si="41"/>
        <v xml:space="preserve"> </v>
      </c>
    </row>
    <row r="1336" spans="4:12" x14ac:dyDescent="0.35">
      <c r="D1336" s="32"/>
      <c r="G1336" s="32"/>
      <c r="H1336">
        <f>COUNTIFS('Audit Raw data'!J:J,B:B,'Audit Raw data'!E:E,G:G)</f>
        <v>0</v>
      </c>
      <c r="I1336" s="44" t="str">
        <f>IFERROR((SUMIFS('Audit Raw data'!BZ:BZ,'Audit Raw data'!J:J,B:B,'Audit Raw data'!E:E,G:G)/H1336)/100,"-")</f>
        <v>-</v>
      </c>
      <c r="J1336">
        <f>COUNTIFS('Audit Raw data'!AM:AM,"Yes",'Audit Raw data'!J:J,B:B,'Audit Raw data'!E:E,'Day wise agent'!G:G)</f>
        <v>0</v>
      </c>
      <c r="K1336">
        <f>COUNTIFS('Audit Raw data'!AM:AM,"NO",'Audit Raw data'!J:J,B:B,'Audit Raw data'!E:E,'Day wise agent'!G:G)</f>
        <v>0</v>
      </c>
      <c r="L1336" s="12" t="str">
        <f t="shared" si="41"/>
        <v xml:space="preserve"> </v>
      </c>
    </row>
    <row r="1337" spans="4:12" x14ac:dyDescent="0.35">
      <c r="D1337" s="32"/>
      <c r="G1337" s="32"/>
      <c r="H1337">
        <f>COUNTIFS('Audit Raw data'!J:J,B:B,'Audit Raw data'!E:E,G:G)</f>
        <v>0</v>
      </c>
      <c r="I1337" s="44" t="str">
        <f>IFERROR((SUMIFS('Audit Raw data'!BZ:BZ,'Audit Raw data'!J:J,B:B,'Audit Raw data'!E:E,G:G)/H1337)/100,"-")</f>
        <v>-</v>
      </c>
      <c r="J1337">
        <f>COUNTIFS('Audit Raw data'!AM:AM,"Yes",'Audit Raw data'!J:J,B:B,'Audit Raw data'!E:E,'Day wise agent'!G:G)</f>
        <v>0</v>
      </c>
      <c r="K1337">
        <f>COUNTIFS('Audit Raw data'!AM:AM,"NO",'Audit Raw data'!J:J,B:B,'Audit Raw data'!E:E,'Day wise agent'!G:G)</f>
        <v>0</v>
      </c>
      <c r="L1337" s="12" t="str">
        <f t="shared" si="41"/>
        <v xml:space="preserve"> </v>
      </c>
    </row>
    <row r="1338" spans="4:12" x14ac:dyDescent="0.35">
      <c r="D1338" s="32"/>
      <c r="G1338" s="32"/>
      <c r="H1338">
        <f>COUNTIFS('Audit Raw data'!J:J,B:B,'Audit Raw data'!E:E,G:G)</f>
        <v>0</v>
      </c>
      <c r="I1338" s="44" t="str">
        <f>IFERROR((SUMIFS('Audit Raw data'!BZ:BZ,'Audit Raw data'!J:J,B:B,'Audit Raw data'!E:E,G:G)/H1338)/100,"-")</f>
        <v>-</v>
      </c>
      <c r="J1338">
        <f>COUNTIFS('Audit Raw data'!AM:AM,"Yes",'Audit Raw data'!J:J,B:B,'Audit Raw data'!E:E,'Day wise agent'!G:G)</f>
        <v>0</v>
      </c>
      <c r="K1338">
        <f>COUNTIFS('Audit Raw data'!AM:AM,"NO",'Audit Raw data'!J:J,B:B,'Audit Raw data'!E:E,'Day wise agent'!G:G)</f>
        <v>0</v>
      </c>
      <c r="L1338" s="12" t="str">
        <f t="shared" si="41"/>
        <v xml:space="preserve"> </v>
      </c>
    </row>
    <row r="1339" spans="4:12" x14ac:dyDescent="0.35">
      <c r="D1339" s="32"/>
      <c r="G1339" s="32"/>
      <c r="H1339">
        <f>COUNTIFS('Audit Raw data'!J:J,B:B,'Audit Raw data'!E:E,G:G)</f>
        <v>0</v>
      </c>
      <c r="I1339" s="44" t="str">
        <f>IFERROR((SUMIFS('Audit Raw data'!BZ:BZ,'Audit Raw data'!J:J,B:B,'Audit Raw data'!E:E,G:G)/H1339)/100,"-")</f>
        <v>-</v>
      </c>
      <c r="J1339">
        <f>COUNTIFS('Audit Raw data'!AM:AM,"Yes",'Audit Raw data'!J:J,B:B,'Audit Raw data'!E:E,'Day wise agent'!G:G)</f>
        <v>0</v>
      </c>
      <c r="K1339">
        <f>COUNTIFS('Audit Raw data'!AM:AM,"NO",'Audit Raw data'!J:J,B:B,'Audit Raw data'!E:E,'Day wise agent'!G:G)</f>
        <v>0</v>
      </c>
      <c r="L1339" s="12" t="str">
        <f t="shared" si="41"/>
        <v xml:space="preserve"> </v>
      </c>
    </row>
    <row r="1340" spans="4:12" x14ac:dyDescent="0.35">
      <c r="D1340" s="32"/>
      <c r="G1340" s="32"/>
      <c r="H1340">
        <f>COUNTIFS('Audit Raw data'!J:J,B:B,'Audit Raw data'!E:E,G:G)</f>
        <v>0</v>
      </c>
      <c r="I1340" s="44" t="str">
        <f>IFERROR((SUMIFS('Audit Raw data'!BZ:BZ,'Audit Raw data'!J:J,B:B,'Audit Raw data'!E:E,G:G)/H1340)/100,"-")</f>
        <v>-</v>
      </c>
      <c r="J1340">
        <f>COUNTIFS('Audit Raw data'!AM:AM,"Yes",'Audit Raw data'!J:J,B:B,'Audit Raw data'!E:E,'Day wise agent'!G:G)</f>
        <v>0</v>
      </c>
      <c r="K1340">
        <f>COUNTIFS('Audit Raw data'!AM:AM,"NO",'Audit Raw data'!J:J,B:B,'Audit Raw data'!E:E,'Day wise agent'!G:G)</f>
        <v>0</v>
      </c>
      <c r="L1340" s="12" t="str">
        <f t="shared" si="41"/>
        <v xml:space="preserve"> </v>
      </c>
    </row>
    <row r="1341" spans="4:12" x14ac:dyDescent="0.35">
      <c r="D1341" s="32"/>
      <c r="G1341" s="32"/>
      <c r="H1341">
        <f>COUNTIFS('Audit Raw data'!J:J,B:B,'Audit Raw data'!E:E,G:G)</f>
        <v>0</v>
      </c>
      <c r="I1341" s="44" t="str">
        <f>IFERROR((SUMIFS('Audit Raw data'!BZ:BZ,'Audit Raw data'!J:J,B:B,'Audit Raw data'!E:E,G:G)/H1341)/100,"-")</f>
        <v>-</v>
      </c>
      <c r="J1341">
        <f>COUNTIFS('Audit Raw data'!AM:AM,"Yes",'Audit Raw data'!J:J,B:B,'Audit Raw data'!E:E,'Day wise agent'!G:G)</f>
        <v>0</v>
      </c>
      <c r="K1341">
        <f>COUNTIFS('Audit Raw data'!AM:AM,"NO",'Audit Raw data'!J:J,B:B,'Audit Raw data'!E:E,'Day wise agent'!G:G)</f>
        <v>0</v>
      </c>
      <c r="L1341" s="12" t="str">
        <f t="shared" si="41"/>
        <v xml:space="preserve"> </v>
      </c>
    </row>
    <row r="1342" spans="4:12" x14ac:dyDescent="0.35">
      <c r="D1342" s="32"/>
      <c r="G1342" s="32"/>
      <c r="H1342">
        <f>COUNTIFS('Audit Raw data'!J:J,B:B,'Audit Raw data'!E:E,G:G)</f>
        <v>0</v>
      </c>
      <c r="I1342" s="44" t="str">
        <f>IFERROR((SUMIFS('Audit Raw data'!BZ:BZ,'Audit Raw data'!J:J,B:B,'Audit Raw data'!E:E,G:G)/H1342)/100,"-")</f>
        <v>-</v>
      </c>
      <c r="J1342">
        <f>COUNTIFS('Audit Raw data'!AM:AM,"Yes",'Audit Raw data'!J:J,B:B,'Audit Raw data'!E:E,'Day wise agent'!G:G)</f>
        <v>0</v>
      </c>
      <c r="K1342">
        <f>COUNTIFS('Audit Raw data'!AM:AM,"NO",'Audit Raw data'!J:J,B:B,'Audit Raw data'!E:E,'Day wise agent'!G:G)</f>
        <v>0</v>
      </c>
      <c r="L1342" s="12" t="str">
        <f t="shared" si="41"/>
        <v xml:space="preserve"> </v>
      </c>
    </row>
    <row r="1343" spans="4:12" x14ac:dyDescent="0.35">
      <c r="D1343" s="32"/>
      <c r="G1343" s="32"/>
      <c r="H1343">
        <f>COUNTIFS('Audit Raw data'!J:J,B:B,'Audit Raw data'!E:E,G:G)</f>
        <v>0</v>
      </c>
      <c r="I1343" s="44" t="str">
        <f>IFERROR((SUMIFS('Audit Raw data'!BZ:BZ,'Audit Raw data'!J:J,B:B,'Audit Raw data'!E:E,G:G)/H1343)/100,"-")</f>
        <v>-</v>
      </c>
      <c r="J1343">
        <f>COUNTIFS('Audit Raw data'!AM:AM,"Yes",'Audit Raw data'!J:J,B:B,'Audit Raw data'!E:E,'Day wise agent'!G:G)</f>
        <v>0</v>
      </c>
      <c r="K1343">
        <f>COUNTIFS('Audit Raw data'!AM:AM,"NO",'Audit Raw data'!J:J,B:B,'Audit Raw data'!E:E,'Day wise agent'!G:G)</f>
        <v>0</v>
      </c>
      <c r="L1343" s="12" t="str">
        <f t="shared" si="41"/>
        <v xml:space="preserve"> </v>
      </c>
    </row>
    <row r="1344" spans="4:12" x14ac:dyDescent="0.35">
      <c r="D1344" s="32"/>
      <c r="G1344" s="32"/>
      <c r="H1344">
        <f>COUNTIFS('Audit Raw data'!J:J,B:B,'Audit Raw data'!E:E,G:G)</f>
        <v>0</v>
      </c>
      <c r="I1344" s="44" t="str">
        <f>IFERROR((SUMIFS('Audit Raw data'!BZ:BZ,'Audit Raw data'!J:J,B:B,'Audit Raw data'!E:E,G:G)/H1344)/100,"-")</f>
        <v>-</v>
      </c>
      <c r="J1344">
        <f>COUNTIFS('Audit Raw data'!AM:AM,"Yes",'Audit Raw data'!J:J,B:B,'Audit Raw data'!E:E,'Day wise agent'!G:G)</f>
        <v>0</v>
      </c>
      <c r="K1344">
        <f>COUNTIFS('Audit Raw data'!AM:AM,"NO",'Audit Raw data'!J:J,B:B,'Audit Raw data'!E:E,'Day wise agent'!G:G)</f>
        <v>0</v>
      </c>
      <c r="L1344" s="12" t="str">
        <f t="shared" si="41"/>
        <v xml:space="preserve"> </v>
      </c>
    </row>
    <row r="1345" spans="4:12" x14ac:dyDescent="0.35">
      <c r="D1345" s="32"/>
      <c r="G1345" s="32"/>
      <c r="H1345">
        <f>COUNTIFS('Audit Raw data'!J:J,B:B,'Audit Raw data'!E:E,G:G)</f>
        <v>0</v>
      </c>
      <c r="I1345" s="44" t="str">
        <f>IFERROR((SUMIFS('Audit Raw data'!BZ:BZ,'Audit Raw data'!J:J,B:B,'Audit Raw data'!E:E,G:G)/H1345)/100,"-")</f>
        <v>-</v>
      </c>
      <c r="J1345">
        <f>COUNTIFS('Audit Raw data'!AM:AM,"Yes",'Audit Raw data'!J:J,B:B,'Audit Raw data'!E:E,'Day wise agent'!G:G)</f>
        <v>0</v>
      </c>
      <c r="K1345">
        <f>COUNTIFS('Audit Raw data'!AM:AM,"NO",'Audit Raw data'!J:J,B:B,'Audit Raw data'!E:E,'Day wise agent'!G:G)</f>
        <v>0</v>
      </c>
      <c r="L1345" s="12" t="str">
        <f t="shared" si="41"/>
        <v xml:space="preserve"> </v>
      </c>
    </row>
    <row r="1346" spans="4:12" x14ac:dyDescent="0.35">
      <c r="D1346" s="32"/>
      <c r="G1346" s="32"/>
      <c r="H1346">
        <f>COUNTIFS('Audit Raw data'!J:J,B:B,'Audit Raw data'!E:E,G:G)</f>
        <v>0</v>
      </c>
      <c r="I1346" s="44" t="str">
        <f>IFERROR((SUMIFS('Audit Raw data'!BZ:BZ,'Audit Raw data'!J:J,B:B,'Audit Raw data'!E:E,G:G)/H1346)/100,"-")</f>
        <v>-</v>
      </c>
      <c r="J1346">
        <f>COUNTIFS('Audit Raw data'!AM:AM,"Yes",'Audit Raw data'!J:J,B:B,'Audit Raw data'!E:E,'Day wise agent'!G:G)</f>
        <v>0</v>
      </c>
      <c r="K1346">
        <f>COUNTIFS('Audit Raw data'!AM:AM,"NO",'Audit Raw data'!J:J,B:B,'Audit Raw data'!E:E,'Day wise agent'!G:G)</f>
        <v>0</v>
      </c>
      <c r="L1346" s="12" t="str">
        <f t="shared" ref="L1346:L1409" si="42">IFERROR(J1346/H1346," ")</f>
        <v xml:space="preserve"> </v>
      </c>
    </row>
    <row r="1347" spans="4:12" x14ac:dyDescent="0.35">
      <c r="D1347" s="32"/>
      <c r="G1347" s="32"/>
      <c r="H1347">
        <f>COUNTIFS('Audit Raw data'!J:J,B:B,'Audit Raw data'!E:E,G:G)</f>
        <v>0</v>
      </c>
      <c r="I1347" s="44" t="str">
        <f>IFERROR((SUMIFS('Audit Raw data'!BZ:BZ,'Audit Raw data'!J:J,B:B,'Audit Raw data'!E:E,G:G)/H1347)/100,"-")</f>
        <v>-</v>
      </c>
      <c r="J1347">
        <f>COUNTIFS('Audit Raw data'!AM:AM,"Yes",'Audit Raw data'!J:J,B:B,'Audit Raw data'!E:E,'Day wise agent'!G:G)</f>
        <v>0</v>
      </c>
      <c r="K1347">
        <f>COUNTIFS('Audit Raw data'!AM:AM,"NO",'Audit Raw data'!J:J,B:B,'Audit Raw data'!E:E,'Day wise agent'!G:G)</f>
        <v>0</v>
      </c>
      <c r="L1347" s="12" t="str">
        <f t="shared" si="42"/>
        <v xml:space="preserve"> </v>
      </c>
    </row>
    <row r="1348" spans="4:12" x14ac:dyDescent="0.35">
      <c r="D1348" s="32"/>
      <c r="G1348" s="32"/>
      <c r="H1348">
        <f>COUNTIFS('Audit Raw data'!J:J,B:B,'Audit Raw data'!E:E,G:G)</f>
        <v>0</v>
      </c>
      <c r="I1348" s="44" t="str">
        <f>IFERROR((SUMIFS('Audit Raw data'!BZ:BZ,'Audit Raw data'!J:J,B:B,'Audit Raw data'!E:E,G:G)/H1348)/100,"-")</f>
        <v>-</v>
      </c>
      <c r="J1348">
        <f>COUNTIFS('Audit Raw data'!AM:AM,"Yes",'Audit Raw data'!J:J,B:B,'Audit Raw data'!E:E,'Day wise agent'!G:G)</f>
        <v>0</v>
      </c>
      <c r="K1348">
        <f>COUNTIFS('Audit Raw data'!AM:AM,"NO",'Audit Raw data'!J:J,B:B,'Audit Raw data'!E:E,'Day wise agent'!G:G)</f>
        <v>0</v>
      </c>
      <c r="L1348" s="12" t="str">
        <f t="shared" si="42"/>
        <v xml:space="preserve"> </v>
      </c>
    </row>
    <row r="1349" spans="4:12" x14ac:dyDescent="0.35">
      <c r="D1349" s="32"/>
      <c r="G1349" s="32"/>
      <c r="H1349">
        <f>COUNTIFS('Audit Raw data'!J:J,B:B,'Audit Raw data'!E:E,G:G)</f>
        <v>0</v>
      </c>
      <c r="I1349" s="44" t="str">
        <f>IFERROR((SUMIFS('Audit Raw data'!BZ:BZ,'Audit Raw data'!J:J,B:B,'Audit Raw data'!E:E,G:G)/H1349)/100,"-")</f>
        <v>-</v>
      </c>
      <c r="J1349">
        <f>COUNTIFS('Audit Raw data'!AM:AM,"Yes",'Audit Raw data'!J:J,B:B,'Audit Raw data'!E:E,'Day wise agent'!G:G)</f>
        <v>0</v>
      </c>
      <c r="K1349">
        <f>COUNTIFS('Audit Raw data'!AM:AM,"NO",'Audit Raw data'!J:J,B:B,'Audit Raw data'!E:E,'Day wise agent'!G:G)</f>
        <v>0</v>
      </c>
      <c r="L1349" s="12" t="str">
        <f t="shared" si="42"/>
        <v xml:space="preserve"> </v>
      </c>
    </row>
    <row r="1350" spans="4:12" x14ac:dyDescent="0.35">
      <c r="D1350" s="32"/>
      <c r="G1350" s="32"/>
      <c r="H1350">
        <f>COUNTIFS('Audit Raw data'!J:J,B:B,'Audit Raw data'!E:E,G:G)</f>
        <v>0</v>
      </c>
      <c r="I1350" s="44" t="str">
        <f>IFERROR((SUMIFS('Audit Raw data'!BZ:BZ,'Audit Raw data'!J:J,B:B,'Audit Raw data'!E:E,G:G)/H1350)/100,"-")</f>
        <v>-</v>
      </c>
      <c r="J1350">
        <f>COUNTIFS('Audit Raw data'!AM:AM,"Yes",'Audit Raw data'!J:J,B:B,'Audit Raw data'!E:E,'Day wise agent'!G:G)</f>
        <v>0</v>
      </c>
      <c r="K1350">
        <f>COUNTIFS('Audit Raw data'!AM:AM,"NO",'Audit Raw data'!J:J,B:B,'Audit Raw data'!E:E,'Day wise agent'!G:G)</f>
        <v>0</v>
      </c>
      <c r="L1350" s="12" t="str">
        <f t="shared" si="42"/>
        <v xml:space="preserve"> </v>
      </c>
    </row>
    <row r="1351" spans="4:12" x14ac:dyDescent="0.35">
      <c r="D1351" s="32"/>
      <c r="G1351" s="32"/>
      <c r="H1351">
        <f>COUNTIFS('Audit Raw data'!J:J,B:B,'Audit Raw data'!E:E,G:G)</f>
        <v>0</v>
      </c>
      <c r="I1351" s="44" t="str">
        <f>IFERROR((SUMIFS('Audit Raw data'!BZ:BZ,'Audit Raw data'!J:J,B:B,'Audit Raw data'!E:E,G:G)/H1351)/100,"-")</f>
        <v>-</v>
      </c>
      <c r="J1351">
        <f>COUNTIFS('Audit Raw data'!AM:AM,"Yes",'Audit Raw data'!J:J,B:B,'Audit Raw data'!E:E,'Day wise agent'!G:G)</f>
        <v>0</v>
      </c>
      <c r="K1351">
        <f>COUNTIFS('Audit Raw data'!AM:AM,"NO",'Audit Raw data'!J:J,B:B,'Audit Raw data'!E:E,'Day wise agent'!G:G)</f>
        <v>0</v>
      </c>
      <c r="L1351" s="12" t="str">
        <f t="shared" si="42"/>
        <v xml:space="preserve"> </v>
      </c>
    </row>
    <row r="1352" spans="4:12" x14ac:dyDescent="0.35">
      <c r="D1352" s="32"/>
      <c r="G1352" s="32"/>
      <c r="H1352">
        <f>COUNTIFS('Audit Raw data'!J:J,B:B,'Audit Raw data'!E:E,G:G)</f>
        <v>0</v>
      </c>
      <c r="I1352" s="44" t="str">
        <f>IFERROR((SUMIFS('Audit Raw data'!BZ:BZ,'Audit Raw data'!J:J,B:B,'Audit Raw data'!E:E,G:G)/H1352)/100,"-")</f>
        <v>-</v>
      </c>
      <c r="J1352">
        <f>COUNTIFS('Audit Raw data'!AM:AM,"Yes",'Audit Raw data'!J:J,B:B,'Audit Raw data'!E:E,'Day wise agent'!G:G)</f>
        <v>0</v>
      </c>
      <c r="K1352">
        <f>COUNTIFS('Audit Raw data'!AM:AM,"NO",'Audit Raw data'!J:J,B:B,'Audit Raw data'!E:E,'Day wise agent'!G:G)</f>
        <v>0</v>
      </c>
      <c r="L1352" s="12" t="str">
        <f t="shared" si="42"/>
        <v xml:space="preserve"> </v>
      </c>
    </row>
    <row r="1353" spans="4:12" x14ac:dyDescent="0.35">
      <c r="D1353" s="32"/>
      <c r="G1353" s="32"/>
      <c r="H1353">
        <f>COUNTIFS('Audit Raw data'!J:J,B:B,'Audit Raw data'!E:E,G:G)</f>
        <v>0</v>
      </c>
      <c r="I1353" s="44" t="str">
        <f>IFERROR((SUMIFS('Audit Raw data'!BZ:BZ,'Audit Raw data'!J:J,B:B,'Audit Raw data'!E:E,G:G)/H1353)/100,"-")</f>
        <v>-</v>
      </c>
      <c r="J1353">
        <f>COUNTIFS('Audit Raw data'!AM:AM,"Yes",'Audit Raw data'!J:J,B:B,'Audit Raw data'!E:E,'Day wise agent'!G:G)</f>
        <v>0</v>
      </c>
      <c r="K1353">
        <f>COUNTIFS('Audit Raw data'!AM:AM,"NO",'Audit Raw data'!J:J,B:B,'Audit Raw data'!E:E,'Day wise agent'!G:G)</f>
        <v>0</v>
      </c>
      <c r="L1353" s="12" t="str">
        <f t="shared" si="42"/>
        <v xml:space="preserve"> </v>
      </c>
    </row>
    <row r="1354" spans="4:12" x14ac:dyDescent="0.35">
      <c r="D1354" s="32"/>
      <c r="G1354" s="32"/>
      <c r="H1354">
        <f>COUNTIFS('Audit Raw data'!J:J,B:B,'Audit Raw data'!E:E,G:G)</f>
        <v>0</v>
      </c>
      <c r="I1354" s="44" t="str">
        <f>IFERROR((SUMIFS('Audit Raw data'!BZ:BZ,'Audit Raw data'!J:J,B:B,'Audit Raw data'!E:E,G:G)/H1354)/100,"-")</f>
        <v>-</v>
      </c>
      <c r="J1354">
        <f>COUNTIFS('Audit Raw data'!AM:AM,"Yes",'Audit Raw data'!J:J,B:B,'Audit Raw data'!E:E,'Day wise agent'!G:G)</f>
        <v>0</v>
      </c>
      <c r="K1354">
        <f>COUNTIFS('Audit Raw data'!AM:AM,"NO",'Audit Raw data'!J:J,B:B,'Audit Raw data'!E:E,'Day wise agent'!G:G)</f>
        <v>0</v>
      </c>
      <c r="L1354" s="12" t="str">
        <f t="shared" si="42"/>
        <v xml:space="preserve"> </v>
      </c>
    </row>
    <row r="1355" spans="4:12" x14ac:dyDescent="0.35">
      <c r="D1355" s="32"/>
      <c r="G1355" s="32"/>
      <c r="H1355">
        <f>COUNTIFS('Audit Raw data'!J:J,B:B,'Audit Raw data'!E:E,G:G)</f>
        <v>0</v>
      </c>
      <c r="I1355" s="44" t="str">
        <f>IFERROR((SUMIFS('Audit Raw data'!BZ:BZ,'Audit Raw data'!J:J,B:B,'Audit Raw data'!E:E,G:G)/H1355)/100,"-")</f>
        <v>-</v>
      </c>
      <c r="J1355">
        <f>COUNTIFS('Audit Raw data'!AM:AM,"Yes",'Audit Raw data'!J:J,B:B,'Audit Raw data'!E:E,'Day wise agent'!G:G)</f>
        <v>0</v>
      </c>
      <c r="K1355">
        <f>COUNTIFS('Audit Raw data'!AM:AM,"NO",'Audit Raw data'!J:J,B:B,'Audit Raw data'!E:E,'Day wise agent'!G:G)</f>
        <v>0</v>
      </c>
      <c r="L1355" s="12" t="str">
        <f t="shared" si="42"/>
        <v xml:space="preserve"> </v>
      </c>
    </row>
    <row r="1356" spans="4:12" x14ac:dyDescent="0.35">
      <c r="D1356" s="32"/>
      <c r="G1356" s="32"/>
      <c r="H1356">
        <f>COUNTIFS('Audit Raw data'!J:J,B:B,'Audit Raw data'!E:E,G:G)</f>
        <v>0</v>
      </c>
      <c r="I1356" s="44" t="str">
        <f>IFERROR((SUMIFS('Audit Raw data'!BZ:BZ,'Audit Raw data'!J:J,B:B,'Audit Raw data'!E:E,G:G)/H1356)/100,"-")</f>
        <v>-</v>
      </c>
      <c r="J1356">
        <f>COUNTIFS('Audit Raw data'!AM:AM,"Yes",'Audit Raw data'!J:J,B:B,'Audit Raw data'!E:E,'Day wise agent'!G:G)</f>
        <v>0</v>
      </c>
      <c r="K1356">
        <f>COUNTIFS('Audit Raw data'!AM:AM,"NO",'Audit Raw data'!J:J,B:B,'Audit Raw data'!E:E,'Day wise agent'!G:G)</f>
        <v>0</v>
      </c>
      <c r="L1356" s="12" t="str">
        <f t="shared" si="42"/>
        <v xml:space="preserve"> </v>
      </c>
    </row>
    <row r="1357" spans="4:12" x14ac:dyDescent="0.35">
      <c r="D1357" s="32"/>
      <c r="G1357" s="32"/>
      <c r="H1357">
        <f>COUNTIFS('Audit Raw data'!J:J,B:B,'Audit Raw data'!E:E,G:G)</f>
        <v>0</v>
      </c>
      <c r="I1357" s="44" t="str">
        <f>IFERROR((SUMIFS('Audit Raw data'!BZ:BZ,'Audit Raw data'!J:J,B:B,'Audit Raw data'!E:E,G:G)/H1357)/100,"-")</f>
        <v>-</v>
      </c>
      <c r="J1357">
        <f>COUNTIFS('Audit Raw data'!AM:AM,"Yes",'Audit Raw data'!J:J,B:B,'Audit Raw data'!E:E,'Day wise agent'!G:G)</f>
        <v>0</v>
      </c>
      <c r="K1357">
        <f>COUNTIFS('Audit Raw data'!AM:AM,"NO",'Audit Raw data'!J:J,B:B,'Audit Raw data'!E:E,'Day wise agent'!G:G)</f>
        <v>0</v>
      </c>
      <c r="L1357" s="12" t="str">
        <f t="shared" si="42"/>
        <v xml:space="preserve"> </v>
      </c>
    </row>
    <row r="1358" spans="4:12" x14ac:dyDescent="0.35">
      <c r="D1358" s="32"/>
      <c r="G1358" s="32"/>
      <c r="H1358">
        <f>COUNTIFS('Audit Raw data'!J:J,B:B,'Audit Raw data'!E:E,G:G)</f>
        <v>0</v>
      </c>
      <c r="I1358" s="44" t="str">
        <f>IFERROR((SUMIFS('Audit Raw data'!BZ:BZ,'Audit Raw data'!J:J,B:B,'Audit Raw data'!E:E,G:G)/H1358)/100,"-")</f>
        <v>-</v>
      </c>
      <c r="J1358">
        <f>COUNTIFS('Audit Raw data'!AM:AM,"Yes",'Audit Raw data'!J:J,B:B,'Audit Raw data'!E:E,'Day wise agent'!G:G)</f>
        <v>0</v>
      </c>
      <c r="K1358">
        <f>COUNTIFS('Audit Raw data'!AM:AM,"NO",'Audit Raw data'!J:J,B:B,'Audit Raw data'!E:E,'Day wise agent'!G:G)</f>
        <v>0</v>
      </c>
      <c r="L1358" s="12" t="str">
        <f t="shared" si="42"/>
        <v xml:space="preserve"> </v>
      </c>
    </row>
    <row r="1359" spans="4:12" x14ac:dyDescent="0.35">
      <c r="D1359" s="32"/>
      <c r="G1359" s="32"/>
      <c r="H1359">
        <f>COUNTIFS('Audit Raw data'!J:J,B:B,'Audit Raw data'!E:E,G:G)</f>
        <v>0</v>
      </c>
      <c r="I1359" s="44" t="str">
        <f>IFERROR((SUMIFS('Audit Raw data'!BZ:BZ,'Audit Raw data'!J:J,B:B,'Audit Raw data'!E:E,G:G)/H1359)/100,"-")</f>
        <v>-</v>
      </c>
      <c r="J1359">
        <f>COUNTIFS('Audit Raw data'!AM:AM,"Yes",'Audit Raw data'!J:J,B:B,'Audit Raw data'!E:E,'Day wise agent'!G:G)</f>
        <v>0</v>
      </c>
      <c r="K1359">
        <f>COUNTIFS('Audit Raw data'!AM:AM,"NO",'Audit Raw data'!J:J,B:B,'Audit Raw data'!E:E,'Day wise agent'!G:G)</f>
        <v>0</v>
      </c>
      <c r="L1359" s="12" t="str">
        <f t="shared" si="42"/>
        <v xml:space="preserve"> </v>
      </c>
    </row>
    <row r="1360" spans="4:12" x14ac:dyDescent="0.35">
      <c r="D1360" s="32"/>
      <c r="G1360" s="32"/>
      <c r="H1360">
        <f>COUNTIFS('Audit Raw data'!J:J,B:B,'Audit Raw data'!E:E,G:G)</f>
        <v>0</v>
      </c>
      <c r="I1360" s="44" t="str">
        <f>IFERROR((SUMIFS('Audit Raw data'!BZ:BZ,'Audit Raw data'!J:J,B:B,'Audit Raw data'!E:E,G:G)/H1360)/100,"-")</f>
        <v>-</v>
      </c>
      <c r="J1360">
        <f>COUNTIFS('Audit Raw data'!AM:AM,"Yes",'Audit Raw data'!J:J,B:B,'Audit Raw data'!E:E,'Day wise agent'!G:G)</f>
        <v>0</v>
      </c>
      <c r="K1360">
        <f>COUNTIFS('Audit Raw data'!AM:AM,"NO",'Audit Raw data'!J:J,B:B,'Audit Raw data'!E:E,'Day wise agent'!G:G)</f>
        <v>0</v>
      </c>
      <c r="L1360" s="12" t="str">
        <f t="shared" si="42"/>
        <v xml:space="preserve"> </v>
      </c>
    </row>
    <row r="1361" spans="4:12" x14ac:dyDescent="0.35">
      <c r="D1361" s="32"/>
      <c r="G1361" s="32"/>
      <c r="H1361">
        <f>COUNTIFS('Audit Raw data'!J:J,B:B,'Audit Raw data'!E:E,G:G)</f>
        <v>0</v>
      </c>
      <c r="I1361" s="44" t="str">
        <f>IFERROR((SUMIFS('Audit Raw data'!BZ:BZ,'Audit Raw data'!J:J,B:B,'Audit Raw data'!E:E,G:G)/H1361)/100,"-")</f>
        <v>-</v>
      </c>
      <c r="J1361">
        <f>COUNTIFS('Audit Raw data'!AM:AM,"Yes",'Audit Raw data'!J:J,B:B,'Audit Raw data'!E:E,'Day wise agent'!G:G)</f>
        <v>0</v>
      </c>
      <c r="K1361">
        <f>COUNTIFS('Audit Raw data'!AM:AM,"NO",'Audit Raw data'!J:J,B:B,'Audit Raw data'!E:E,'Day wise agent'!G:G)</f>
        <v>0</v>
      </c>
      <c r="L1361" s="12" t="str">
        <f t="shared" si="42"/>
        <v xml:space="preserve"> </v>
      </c>
    </row>
    <row r="1362" spans="4:12" x14ac:dyDescent="0.35">
      <c r="D1362" s="32"/>
      <c r="G1362" s="32"/>
      <c r="H1362">
        <f>COUNTIFS('Audit Raw data'!J:J,B:B,'Audit Raw data'!E:E,G:G)</f>
        <v>0</v>
      </c>
      <c r="I1362" s="44" t="str">
        <f>IFERROR((SUMIFS('Audit Raw data'!BZ:BZ,'Audit Raw data'!J:J,B:B,'Audit Raw data'!E:E,G:G)/H1362)/100,"-")</f>
        <v>-</v>
      </c>
      <c r="J1362">
        <f>COUNTIFS('Audit Raw data'!AM:AM,"Yes",'Audit Raw data'!J:J,B:B,'Audit Raw data'!E:E,'Day wise agent'!G:G)</f>
        <v>0</v>
      </c>
      <c r="K1362">
        <f>COUNTIFS('Audit Raw data'!AM:AM,"NO",'Audit Raw data'!J:J,B:B,'Audit Raw data'!E:E,'Day wise agent'!G:G)</f>
        <v>0</v>
      </c>
      <c r="L1362" s="12" t="str">
        <f t="shared" si="42"/>
        <v xml:space="preserve"> </v>
      </c>
    </row>
    <row r="1363" spans="4:12" x14ac:dyDescent="0.35">
      <c r="D1363" s="32"/>
      <c r="G1363" s="32"/>
      <c r="H1363">
        <f>COUNTIFS('Audit Raw data'!J:J,B:B,'Audit Raw data'!E:E,G:G)</f>
        <v>0</v>
      </c>
      <c r="I1363" s="44" t="str">
        <f>IFERROR((SUMIFS('Audit Raw data'!BZ:BZ,'Audit Raw data'!J:J,B:B,'Audit Raw data'!E:E,G:G)/H1363)/100,"-")</f>
        <v>-</v>
      </c>
      <c r="J1363">
        <f>COUNTIFS('Audit Raw data'!AM:AM,"Yes",'Audit Raw data'!J:J,B:B,'Audit Raw data'!E:E,'Day wise agent'!G:G)</f>
        <v>0</v>
      </c>
      <c r="K1363">
        <f>COUNTIFS('Audit Raw data'!AM:AM,"NO",'Audit Raw data'!J:J,B:B,'Audit Raw data'!E:E,'Day wise agent'!G:G)</f>
        <v>0</v>
      </c>
      <c r="L1363" s="12" t="str">
        <f t="shared" si="42"/>
        <v xml:space="preserve"> </v>
      </c>
    </row>
    <row r="1364" spans="4:12" x14ac:dyDescent="0.35">
      <c r="D1364" s="32"/>
      <c r="G1364" s="32"/>
      <c r="H1364">
        <f>COUNTIFS('Audit Raw data'!J:J,B:B,'Audit Raw data'!E:E,G:G)</f>
        <v>0</v>
      </c>
      <c r="I1364" s="44" t="str">
        <f>IFERROR((SUMIFS('Audit Raw data'!BZ:BZ,'Audit Raw data'!J:J,B:B,'Audit Raw data'!E:E,G:G)/H1364)/100,"-")</f>
        <v>-</v>
      </c>
      <c r="J1364">
        <f>COUNTIFS('Audit Raw data'!AM:AM,"Yes",'Audit Raw data'!J:J,B:B,'Audit Raw data'!E:E,'Day wise agent'!G:G)</f>
        <v>0</v>
      </c>
      <c r="K1364">
        <f>COUNTIFS('Audit Raw data'!AM:AM,"NO",'Audit Raw data'!J:J,B:B,'Audit Raw data'!E:E,'Day wise agent'!G:G)</f>
        <v>0</v>
      </c>
      <c r="L1364" s="12" t="str">
        <f t="shared" si="42"/>
        <v xml:space="preserve"> </v>
      </c>
    </row>
    <row r="1365" spans="4:12" x14ac:dyDescent="0.35">
      <c r="D1365" s="32"/>
      <c r="G1365" s="32"/>
      <c r="H1365">
        <f>COUNTIFS('Audit Raw data'!J:J,B:B,'Audit Raw data'!E:E,G:G)</f>
        <v>0</v>
      </c>
      <c r="I1365" s="44" t="str">
        <f>IFERROR((SUMIFS('Audit Raw data'!BZ:BZ,'Audit Raw data'!J:J,B:B,'Audit Raw data'!E:E,G:G)/H1365)/100,"-")</f>
        <v>-</v>
      </c>
      <c r="J1365">
        <f>COUNTIFS('Audit Raw data'!AM:AM,"Yes",'Audit Raw data'!J:J,B:B,'Audit Raw data'!E:E,'Day wise agent'!G:G)</f>
        <v>0</v>
      </c>
      <c r="K1365">
        <f>COUNTIFS('Audit Raw data'!AM:AM,"NO",'Audit Raw data'!J:J,B:B,'Audit Raw data'!E:E,'Day wise agent'!G:G)</f>
        <v>0</v>
      </c>
      <c r="L1365" s="12" t="str">
        <f t="shared" si="42"/>
        <v xml:space="preserve"> </v>
      </c>
    </row>
    <row r="1366" spans="4:12" x14ac:dyDescent="0.35">
      <c r="D1366" s="32"/>
      <c r="G1366" s="32"/>
      <c r="H1366">
        <f>COUNTIFS('Audit Raw data'!J:J,B:B,'Audit Raw data'!E:E,G:G)</f>
        <v>0</v>
      </c>
      <c r="I1366" s="44" t="str">
        <f>IFERROR((SUMIFS('Audit Raw data'!BZ:BZ,'Audit Raw data'!J:J,B:B,'Audit Raw data'!E:E,G:G)/H1366)/100,"-")</f>
        <v>-</v>
      </c>
      <c r="J1366">
        <f>COUNTIFS('Audit Raw data'!AM:AM,"Yes",'Audit Raw data'!J:J,B:B,'Audit Raw data'!E:E,'Day wise agent'!G:G)</f>
        <v>0</v>
      </c>
      <c r="K1366">
        <f>COUNTIFS('Audit Raw data'!AM:AM,"NO",'Audit Raw data'!J:J,B:B,'Audit Raw data'!E:E,'Day wise agent'!G:G)</f>
        <v>0</v>
      </c>
      <c r="L1366" s="12" t="str">
        <f t="shared" si="42"/>
        <v xml:space="preserve"> </v>
      </c>
    </row>
    <row r="1367" spans="4:12" x14ac:dyDescent="0.35">
      <c r="D1367" s="32"/>
      <c r="G1367" s="32"/>
      <c r="H1367">
        <f>COUNTIFS('Audit Raw data'!J:J,B:B,'Audit Raw data'!E:E,G:G)</f>
        <v>0</v>
      </c>
      <c r="I1367" s="44" t="str">
        <f>IFERROR((SUMIFS('Audit Raw data'!BZ:BZ,'Audit Raw data'!J:J,B:B,'Audit Raw data'!E:E,G:G)/H1367)/100,"-")</f>
        <v>-</v>
      </c>
      <c r="J1367">
        <f>COUNTIFS('Audit Raw data'!AM:AM,"Yes",'Audit Raw data'!J:J,B:B,'Audit Raw data'!E:E,'Day wise agent'!G:G)</f>
        <v>0</v>
      </c>
      <c r="K1367">
        <f>COUNTIFS('Audit Raw data'!AM:AM,"NO",'Audit Raw data'!J:J,B:B,'Audit Raw data'!E:E,'Day wise agent'!G:G)</f>
        <v>0</v>
      </c>
      <c r="L1367" s="12" t="str">
        <f t="shared" si="42"/>
        <v xml:space="preserve"> </v>
      </c>
    </row>
    <row r="1368" spans="4:12" x14ac:dyDescent="0.35">
      <c r="D1368" s="32"/>
      <c r="G1368" s="32"/>
      <c r="H1368">
        <f>COUNTIFS('Audit Raw data'!J:J,B:B,'Audit Raw data'!E:E,G:G)</f>
        <v>0</v>
      </c>
      <c r="I1368" s="44" t="str">
        <f>IFERROR((SUMIFS('Audit Raw data'!BZ:BZ,'Audit Raw data'!J:J,B:B,'Audit Raw data'!E:E,G:G)/H1368)/100,"-")</f>
        <v>-</v>
      </c>
      <c r="J1368">
        <f>COUNTIFS('Audit Raw data'!AM:AM,"Yes",'Audit Raw data'!J:J,B:B,'Audit Raw data'!E:E,'Day wise agent'!G:G)</f>
        <v>0</v>
      </c>
      <c r="K1368">
        <f>COUNTIFS('Audit Raw data'!AM:AM,"NO",'Audit Raw data'!J:J,B:B,'Audit Raw data'!E:E,'Day wise agent'!G:G)</f>
        <v>0</v>
      </c>
      <c r="L1368" s="12" t="str">
        <f t="shared" si="42"/>
        <v xml:space="preserve"> </v>
      </c>
    </row>
    <row r="1369" spans="4:12" x14ac:dyDescent="0.35">
      <c r="D1369" s="32"/>
      <c r="G1369" s="32"/>
      <c r="H1369">
        <f>COUNTIFS('Audit Raw data'!J:J,B:B,'Audit Raw data'!E:E,G:G)</f>
        <v>0</v>
      </c>
      <c r="I1369" s="44" t="str">
        <f>IFERROR((SUMIFS('Audit Raw data'!BZ:BZ,'Audit Raw data'!J:J,B:B,'Audit Raw data'!E:E,G:G)/H1369)/100,"-")</f>
        <v>-</v>
      </c>
      <c r="J1369">
        <f>COUNTIFS('Audit Raw data'!AM:AM,"Yes",'Audit Raw data'!J:J,B:B,'Audit Raw data'!E:E,'Day wise agent'!G:G)</f>
        <v>0</v>
      </c>
      <c r="K1369">
        <f>COUNTIFS('Audit Raw data'!AM:AM,"NO",'Audit Raw data'!J:J,B:B,'Audit Raw data'!E:E,'Day wise agent'!G:G)</f>
        <v>0</v>
      </c>
      <c r="L1369" s="12" t="str">
        <f t="shared" si="42"/>
        <v xml:space="preserve"> </v>
      </c>
    </row>
    <row r="1370" spans="4:12" x14ac:dyDescent="0.35">
      <c r="D1370" s="32"/>
      <c r="G1370" s="32"/>
      <c r="H1370">
        <f>COUNTIFS('Audit Raw data'!J:J,B:B,'Audit Raw data'!E:E,G:G)</f>
        <v>0</v>
      </c>
      <c r="I1370" s="44" t="str">
        <f>IFERROR((SUMIFS('Audit Raw data'!BZ:BZ,'Audit Raw data'!J:J,B:B,'Audit Raw data'!E:E,G:G)/H1370)/100,"-")</f>
        <v>-</v>
      </c>
      <c r="J1370">
        <f>COUNTIFS('Audit Raw data'!AM:AM,"Yes",'Audit Raw data'!J:J,B:B,'Audit Raw data'!E:E,'Day wise agent'!G:G)</f>
        <v>0</v>
      </c>
      <c r="K1370">
        <f>COUNTIFS('Audit Raw data'!AM:AM,"NO",'Audit Raw data'!J:J,B:B,'Audit Raw data'!E:E,'Day wise agent'!G:G)</f>
        <v>0</v>
      </c>
      <c r="L1370" s="12" t="str">
        <f t="shared" si="42"/>
        <v xml:space="preserve"> </v>
      </c>
    </row>
    <row r="1371" spans="4:12" x14ac:dyDescent="0.35">
      <c r="D1371" s="32"/>
      <c r="G1371" s="32"/>
      <c r="H1371">
        <f>COUNTIFS('Audit Raw data'!J:J,B:B,'Audit Raw data'!E:E,G:G)</f>
        <v>0</v>
      </c>
      <c r="I1371" s="44" t="str">
        <f>IFERROR((SUMIFS('Audit Raw data'!BZ:BZ,'Audit Raw data'!J:J,B:B,'Audit Raw data'!E:E,G:G)/H1371)/100,"-")</f>
        <v>-</v>
      </c>
      <c r="J1371">
        <f>COUNTIFS('Audit Raw data'!AM:AM,"Yes",'Audit Raw data'!J:J,B:B,'Audit Raw data'!E:E,'Day wise agent'!G:G)</f>
        <v>0</v>
      </c>
      <c r="K1371">
        <f>COUNTIFS('Audit Raw data'!AM:AM,"NO",'Audit Raw data'!J:J,B:B,'Audit Raw data'!E:E,'Day wise agent'!G:G)</f>
        <v>0</v>
      </c>
      <c r="L1371" s="12" t="str">
        <f t="shared" si="42"/>
        <v xml:space="preserve"> </v>
      </c>
    </row>
    <row r="1372" spans="4:12" x14ac:dyDescent="0.35">
      <c r="D1372" s="32"/>
      <c r="G1372" s="32"/>
      <c r="H1372">
        <f>COUNTIFS('Audit Raw data'!J:J,B:B,'Audit Raw data'!E:E,G:G)</f>
        <v>0</v>
      </c>
      <c r="I1372" s="44" t="str">
        <f>IFERROR((SUMIFS('Audit Raw data'!BZ:BZ,'Audit Raw data'!J:J,B:B,'Audit Raw data'!E:E,G:G)/H1372)/100,"-")</f>
        <v>-</v>
      </c>
      <c r="J1372">
        <f>COUNTIFS('Audit Raw data'!AM:AM,"Yes",'Audit Raw data'!J:J,B:B,'Audit Raw data'!E:E,'Day wise agent'!G:G)</f>
        <v>0</v>
      </c>
      <c r="K1372">
        <f>COUNTIFS('Audit Raw data'!AM:AM,"NO",'Audit Raw data'!J:J,B:B,'Audit Raw data'!E:E,'Day wise agent'!G:G)</f>
        <v>0</v>
      </c>
      <c r="L1372" s="12" t="str">
        <f t="shared" si="42"/>
        <v xml:space="preserve"> </v>
      </c>
    </row>
    <row r="1373" spans="4:12" x14ac:dyDescent="0.35">
      <c r="D1373" s="32"/>
      <c r="G1373" s="32"/>
      <c r="H1373">
        <f>COUNTIFS('Audit Raw data'!J:J,B:B,'Audit Raw data'!E:E,G:G)</f>
        <v>0</v>
      </c>
      <c r="I1373" s="44" t="str">
        <f>IFERROR((SUMIFS('Audit Raw data'!BZ:BZ,'Audit Raw data'!J:J,B:B,'Audit Raw data'!E:E,G:G)/H1373)/100,"-")</f>
        <v>-</v>
      </c>
      <c r="J1373">
        <f>COUNTIFS('Audit Raw data'!AM:AM,"Yes",'Audit Raw data'!J:J,B:B,'Audit Raw data'!E:E,'Day wise agent'!G:G)</f>
        <v>0</v>
      </c>
      <c r="K1373">
        <f>COUNTIFS('Audit Raw data'!AM:AM,"NO",'Audit Raw data'!J:J,B:B,'Audit Raw data'!E:E,'Day wise agent'!G:G)</f>
        <v>0</v>
      </c>
      <c r="L1373" s="12" t="str">
        <f t="shared" si="42"/>
        <v xml:space="preserve"> </v>
      </c>
    </row>
    <row r="1374" spans="4:12" x14ac:dyDescent="0.35">
      <c r="D1374" s="32"/>
      <c r="G1374" s="32"/>
      <c r="H1374">
        <f>COUNTIFS('Audit Raw data'!J:J,B:B,'Audit Raw data'!E:E,G:G)</f>
        <v>0</v>
      </c>
      <c r="I1374" s="44" t="str">
        <f>IFERROR((SUMIFS('Audit Raw data'!BZ:BZ,'Audit Raw data'!J:J,B:B,'Audit Raw data'!E:E,G:G)/H1374)/100,"-")</f>
        <v>-</v>
      </c>
      <c r="J1374">
        <f>COUNTIFS('Audit Raw data'!AM:AM,"Yes",'Audit Raw data'!J:J,B:B,'Audit Raw data'!E:E,'Day wise agent'!G:G)</f>
        <v>0</v>
      </c>
      <c r="K1374">
        <f>COUNTIFS('Audit Raw data'!AM:AM,"NO",'Audit Raw data'!J:J,B:B,'Audit Raw data'!E:E,'Day wise agent'!G:G)</f>
        <v>0</v>
      </c>
      <c r="L1374" s="12" t="str">
        <f t="shared" si="42"/>
        <v xml:space="preserve"> </v>
      </c>
    </row>
    <row r="1375" spans="4:12" x14ac:dyDescent="0.35">
      <c r="D1375" s="32"/>
      <c r="G1375" s="32"/>
      <c r="H1375">
        <f>COUNTIFS('Audit Raw data'!J:J,B:B,'Audit Raw data'!E:E,G:G)</f>
        <v>0</v>
      </c>
      <c r="I1375" s="44" t="str">
        <f>IFERROR((SUMIFS('Audit Raw data'!BZ:BZ,'Audit Raw data'!J:J,B:B,'Audit Raw data'!E:E,G:G)/H1375)/100,"-")</f>
        <v>-</v>
      </c>
      <c r="J1375">
        <f>COUNTIFS('Audit Raw data'!AM:AM,"Yes",'Audit Raw data'!J:J,B:B,'Audit Raw data'!E:E,'Day wise agent'!G:G)</f>
        <v>0</v>
      </c>
      <c r="K1375">
        <f>COUNTIFS('Audit Raw data'!AM:AM,"NO",'Audit Raw data'!J:J,B:B,'Audit Raw data'!E:E,'Day wise agent'!G:G)</f>
        <v>0</v>
      </c>
      <c r="L1375" s="12" t="str">
        <f t="shared" si="42"/>
        <v xml:space="preserve"> </v>
      </c>
    </row>
    <row r="1376" spans="4:12" x14ac:dyDescent="0.35">
      <c r="D1376" s="32"/>
      <c r="G1376" s="32"/>
      <c r="H1376">
        <f>COUNTIFS('Audit Raw data'!J:J,B:B,'Audit Raw data'!E:E,G:G)</f>
        <v>0</v>
      </c>
      <c r="I1376" s="44" t="str">
        <f>IFERROR((SUMIFS('Audit Raw data'!BZ:BZ,'Audit Raw data'!J:J,B:B,'Audit Raw data'!E:E,G:G)/H1376)/100,"-")</f>
        <v>-</v>
      </c>
      <c r="J1376">
        <f>COUNTIFS('Audit Raw data'!AM:AM,"Yes",'Audit Raw data'!J:J,B:B,'Audit Raw data'!E:E,'Day wise agent'!G:G)</f>
        <v>0</v>
      </c>
      <c r="K1376">
        <f>COUNTIFS('Audit Raw data'!AM:AM,"NO",'Audit Raw data'!J:J,B:B,'Audit Raw data'!E:E,'Day wise agent'!G:G)</f>
        <v>0</v>
      </c>
      <c r="L1376" s="12" t="str">
        <f t="shared" si="42"/>
        <v xml:space="preserve"> </v>
      </c>
    </row>
    <row r="1377" spans="4:12" x14ac:dyDescent="0.35">
      <c r="D1377" s="32"/>
      <c r="G1377" s="32"/>
      <c r="H1377">
        <f>COUNTIFS('Audit Raw data'!J:J,B:B,'Audit Raw data'!E:E,G:G)</f>
        <v>0</v>
      </c>
      <c r="I1377" s="44" t="str">
        <f>IFERROR((SUMIFS('Audit Raw data'!BZ:BZ,'Audit Raw data'!J:J,B:B,'Audit Raw data'!E:E,G:G)/H1377)/100,"-")</f>
        <v>-</v>
      </c>
      <c r="J1377">
        <f>COUNTIFS('Audit Raw data'!AM:AM,"Yes",'Audit Raw data'!J:J,B:B,'Audit Raw data'!E:E,'Day wise agent'!G:G)</f>
        <v>0</v>
      </c>
      <c r="K1377">
        <f>COUNTIFS('Audit Raw data'!AM:AM,"NO",'Audit Raw data'!J:J,B:B,'Audit Raw data'!E:E,'Day wise agent'!G:G)</f>
        <v>0</v>
      </c>
      <c r="L1377" s="12" t="str">
        <f t="shared" si="42"/>
        <v xml:space="preserve"> </v>
      </c>
    </row>
    <row r="1378" spans="4:12" x14ac:dyDescent="0.35">
      <c r="D1378" s="32"/>
      <c r="G1378" s="32"/>
      <c r="H1378">
        <f>COUNTIFS('Audit Raw data'!J:J,B:B,'Audit Raw data'!E:E,G:G)</f>
        <v>0</v>
      </c>
      <c r="I1378" s="44" t="str">
        <f>IFERROR((SUMIFS('Audit Raw data'!BZ:BZ,'Audit Raw data'!J:J,B:B,'Audit Raw data'!E:E,G:G)/H1378)/100,"-")</f>
        <v>-</v>
      </c>
      <c r="J1378">
        <f>COUNTIFS('Audit Raw data'!AM:AM,"Yes",'Audit Raw data'!J:J,B:B,'Audit Raw data'!E:E,'Day wise agent'!G:G)</f>
        <v>0</v>
      </c>
      <c r="K1378">
        <f>COUNTIFS('Audit Raw data'!AM:AM,"NO",'Audit Raw data'!J:J,B:B,'Audit Raw data'!E:E,'Day wise agent'!G:G)</f>
        <v>0</v>
      </c>
      <c r="L1378" s="12" t="str">
        <f t="shared" si="42"/>
        <v xml:space="preserve"> </v>
      </c>
    </row>
    <row r="1379" spans="4:12" x14ac:dyDescent="0.35">
      <c r="D1379" s="32"/>
      <c r="G1379" s="32"/>
      <c r="H1379">
        <f>COUNTIFS('Audit Raw data'!J:J,B:B,'Audit Raw data'!E:E,G:G)</f>
        <v>0</v>
      </c>
      <c r="I1379" s="44" t="str">
        <f>IFERROR((SUMIFS('Audit Raw data'!BZ:BZ,'Audit Raw data'!J:J,B:B,'Audit Raw data'!E:E,G:G)/H1379)/100,"-")</f>
        <v>-</v>
      </c>
      <c r="J1379">
        <f>COUNTIFS('Audit Raw data'!AM:AM,"Yes",'Audit Raw data'!J:J,B:B,'Audit Raw data'!E:E,'Day wise agent'!G:G)</f>
        <v>0</v>
      </c>
      <c r="K1379">
        <f>COUNTIFS('Audit Raw data'!AM:AM,"NO",'Audit Raw data'!J:J,B:B,'Audit Raw data'!E:E,'Day wise agent'!G:G)</f>
        <v>0</v>
      </c>
      <c r="L1379" s="12" t="str">
        <f t="shared" si="42"/>
        <v xml:space="preserve"> </v>
      </c>
    </row>
    <row r="1380" spans="4:12" x14ac:dyDescent="0.35">
      <c r="D1380" s="32"/>
      <c r="G1380" s="32"/>
      <c r="H1380">
        <f>COUNTIFS('Audit Raw data'!J:J,B:B,'Audit Raw data'!E:E,G:G)</f>
        <v>0</v>
      </c>
      <c r="I1380" s="44" t="str">
        <f>IFERROR((SUMIFS('Audit Raw data'!BZ:BZ,'Audit Raw data'!J:J,B:B,'Audit Raw data'!E:E,G:G)/H1380)/100,"-")</f>
        <v>-</v>
      </c>
      <c r="J1380">
        <f>COUNTIFS('Audit Raw data'!AM:AM,"Yes",'Audit Raw data'!J:J,B:B,'Audit Raw data'!E:E,'Day wise agent'!G:G)</f>
        <v>0</v>
      </c>
      <c r="K1380">
        <f>COUNTIFS('Audit Raw data'!AM:AM,"NO",'Audit Raw data'!J:J,B:B,'Audit Raw data'!E:E,'Day wise agent'!G:G)</f>
        <v>0</v>
      </c>
      <c r="L1380" s="12" t="str">
        <f t="shared" si="42"/>
        <v xml:space="preserve"> </v>
      </c>
    </row>
    <row r="1381" spans="4:12" x14ac:dyDescent="0.35">
      <c r="D1381" s="32"/>
      <c r="G1381" s="32"/>
      <c r="H1381">
        <f>COUNTIFS('Audit Raw data'!J:J,B:B,'Audit Raw data'!E:E,G:G)</f>
        <v>0</v>
      </c>
      <c r="I1381" s="44" t="str">
        <f>IFERROR((SUMIFS('Audit Raw data'!BZ:BZ,'Audit Raw data'!J:J,B:B,'Audit Raw data'!E:E,G:G)/H1381)/100,"-")</f>
        <v>-</v>
      </c>
      <c r="J1381">
        <f>COUNTIFS('Audit Raw data'!AM:AM,"Yes",'Audit Raw data'!J:J,B:B,'Audit Raw data'!E:E,'Day wise agent'!G:G)</f>
        <v>0</v>
      </c>
      <c r="K1381">
        <f>COUNTIFS('Audit Raw data'!AM:AM,"NO",'Audit Raw data'!J:J,B:B,'Audit Raw data'!E:E,'Day wise agent'!G:G)</f>
        <v>0</v>
      </c>
      <c r="L1381" s="12" t="str">
        <f t="shared" si="42"/>
        <v xml:space="preserve"> </v>
      </c>
    </row>
    <row r="1382" spans="4:12" x14ac:dyDescent="0.35">
      <c r="D1382" s="32"/>
      <c r="G1382" s="32"/>
      <c r="H1382">
        <f>COUNTIFS('Audit Raw data'!J:J,B:B,'Audit Raw data'!E:E,G:G)</f>
        <v>0</v>
      </c>
      <c r="I1382" s="44" t="str">
        <f>IFERROR((SUMIFS('Audit Raw data'!BZ:BZ,'Audit Raw data'!J:J,B:B,'Audit Raw data'!E:E,G:G)/H1382)/100,"-")</f>
        <v>-</v>
      </c>
      <c r="J1382">
        <f>COUNTIFS('Audit Raw data'!AM:AM,"Yes",'Audit Raw data'!J:J,B:B,'Audit Raw data'!E:E,'Day wise agent'!G:G)</f>
        <v>0</v>
      </c>
      <c r="K1382">
        <f>COUNTIFS('Audit Raw data'!AM:AM,"NO",'Audit Raw data'!J:J,B:B,'Audit Raw data'!E:E,'Day wise agent'!G:G)</f>
        <v>0</v>
      </c>
      <c r="L1382" s="12" t="str">
        <f t="shared" si="42"/>
        <v xml:space="preserve"> </v>
      </c>
    </row>
    <row r="1383" spans="4:12" x14ac:dyDescent="0.35">
      <c r="D1383" s="32"/>
      <c r="G1383" s="32"/>
      <c r="H1383">
        <f>COUNTIFS('Audit Raw data'!J:J,B:B,'Audit Raw data'!E:E,G:G)</f>
        <v>0</v>
      </c>
      <c r="I1383" s="44" t="str">
        <f>IFERROR((SUMIFS('Audit Raw data'!BZ:BZ,'Audit Raw data'!J:J,B:B,'Audit Raw data'!E:E,G:G)/H1383)/100,"-")</f>
        <v>-</v>
      </c>
      <c r="J1383">
        <f>COUNTIFS('Audit Raw data'!AM:AM,"Yes",'Audit Raw data'!J:J,B:B,'Audit Raw data'!E:E,'Day wise agent'!G:G)</f>
        <v>0</v>
      </c>
      <c r="K1383">
        <f>COUNTIFS('Audit Raw data'!AM:AM,"NO",'Audit Raw data'!J:J,B:B,'Audit Raw data'!E:E,'Day wise agent'!G:G)</f>
        <v>0</v>
      </c>
      <c r="L1383" s="12" t="str">
        <f t="shared" si="42"/>
        <v xml:space="preserve"> </v>
      </c>
    </row>
    <row r="1384" spans="4:12" x14ac:dyDescent="0.35">
      <c r="D1384" s="32"/>
      <c r="G1384" s="32"/>
      <c r="H1384">
        <f>COUNTIFS('Audit Raw data'!J:J,B:B,'Audit Raw data'!E:E,G:G)</f>
        <v>0</v>
      </c>
      <c r="I1384" s="44" t="str">
        <f>IFERROR((SUMIFS('Audit Raw data'!BZ:BZ,'Audit Raw data'!J:J,B:B,'Audit Raw data'!E:E,G:G)/H1384)/100,"-")</f>
        <v>-</v>
      </c>
      <c r="J1384">
        <f>COUNTIFS('Audit Raw data'!AM:AM,"Yes",'Audit Raw data'!J:J,B:B,'Audit Raw data'!E:E,'Day wise agent'!G:G)</f>
        <v>0</v>
      </c>
      <c r="K1384">
        <f>COUNTIFS('Audit Raw data'!AM:AM,"NO",'Audit Raw data'!J:J,B:B,'Audit Raw data'!E:E,'Day wise agent'!G:G)</f>
        <v>0</v>
      </c>
      <c r="L1384" s="12" t="str">
        <f t="shared" si="42"/>
        <v xml:space="preserve"> </v>
      </c>
    </row>
    <row r="1385" spans="4:12" x14ac:dyDescent="0.35">
      <c r="D1385" s="32"/>
      <c r="G1385" s="32"/>
      <c r="H1385">
        <f>COUNTIFS('Audit Raw data'!J:J,B:B,'Audit Raw data'!E:E,G:G)</f>
        <v>0</v>
      </c>
      <c r="I1385" s="44" t="str">
        <f>IFERROR((SUMIFS('Audit Raw data'!BZ:BZ,'Audit Raw data'!J:J,B:B,'Audit Raw data'!E:E,G:G)/H1385)/100,"-")</f>
        <v>-</v>
      </c>
      <c r="J1385">
        <f>COUNTIFS('Audit Raw data'!AM:AM,"Yes",'Audit Raw data'!J:J,B:B,'Audit Raw data'!E:E,'Day wise agent'!G:G)</f>
        <v>0</v>
      </c>
      <c r="K1385">
        <f>COUNTIFS('Audit Raw data'!AM:AM,"NO",'Audit Raw data'!J:J,B:B,'Audit Raw data'!E:E,'Day wise agent'!G:G)</f>
        <v>0</v>
      </c>
      <c r="L1385" s="12" t="str">
        <f t="shared" si="42"/>
        <v xml:space="preserve"> </v>
      </c>
    </row>
    <row r="1386" spans="4:12" x14ac:dyDescent="0.35">
      <c r="D1386" s="32"/>
      <c r="G1386" s="32"/>
      <c r="H1386">
        <f>COUNTIFS('Audit Raw data'!J:J,B:B,'Audit Raw data'!E:E,G:G)</f>
        <v>0</v>
      </c>
      <c r="I1386" s="44" t="str">
        <f>IFERROR((SUMIFS('Audit Raw data'!BZ:BZ,'Audit Raw data'!J:J,B:B,'Audit Raw data'!E:E,G:G)/H1386)/100,"-")</f>
        <v>-</v>
      </c>
      <c r="J1386">
        <f>COUNTIFS('Audit Raw data'!AM:AM,"Yes",'Audit Raw data'!J:J,B:B,'Audit Raw data'!E:E,'Day wise agent'!G:G)</f>
        <v>0</v>
      </c>
      <c r="K1386">
        <f>COUNTIFS('Audit Raw data'!AM:AM,"NO",'Audit Raw data'!J:J,B:B,'Audit Raw data'!E:E,'Day wise agent'!G:G)</f>
        <v>0</v>
      </c>
      <c r="L1386" s="12" t="str">
        <f t="shared" si="42"/>
        <v xml:space="preserve"> </v>
      </c>
    </row>
    <row r="1387" spans="4:12" x14ac:dyDescent="0.35">
      <c r="D1387" s="32"/>
      <c r="G1387" s="32"/>
      <c r="H1387">
        <f>COUNTIFS('Audit Raw data'!J:J,B:B,'Audit Raw data'!E:E,G:G)</f>
        <v>0</v>
      </c>
      <c r="I1387" s="44" t="str">
        <f>IFERROR((SUMIFS('Audit Raw data'!BZ:BZ,'Audit Raw data'!J:J,B:B,'Audit Raw data'!E:E,G:G)/H1387)/100,"-")</f>
        <v>-</v>
      </c>
      <c r="J1387">
        <f>COUNTIFS('Audit Raw data'!AM:AM,"Yes",'Audit Raw data'!J:J,B:B,'Audit Raw data'!E:E,'Day wise agent'!G:G)</f>
        <v>0</v>
      </c>
      <c r="K1387">
        <f>COUNTIFS('Audit Raw data'!AM:AM,"NO",'Audit Raw data'!J:J,B:B,'Audit Raw data'!E:E,'Day wise agent'!G:G)</f>
        <v>0</v>
      </c>
      <c r="L1387" s="12" t="str">
        <f t="shared" si="42"/>
        <v xml:space="preserve"> </v>
      </c>
    </row>
    <row r="1388" spans="4:12" x14ac:dyDescent="0.35">
      <c r="D1388" s="32"/>
      <c r="G1388" s="32"/>
      <c r="H1388">
        <f>COUNTIFS('Audit Raw data'!J:J,B:B,'Audit Raw data'!E:E,G:G)</f>
        <v>0</v>
      </c>
      <c r="I1388" s="44" t="str">
        <f>IFERROR((SUMIFS('Audit Raw data'!BZ:BZ,'Audit Raw data'!J:J,B:B,'Audit Raw data'!E:E,G:G)/H1388)/100,"-")</f>
        <v>-</v>
      </c>
      <c r="J1388">
        <f>COUNTIFS('Audit Raw data'!AM:AM,"Yes",'Audit Raw data'!J:J,B:B,'Audit Raw data'!E:E,'Day wise agent'!G:G)</f>
        <v>0</v>
      </c>
      <c r="K1388">
        <f>COUNTIFS('Audit Raw data'!AM:AM,"NO",'Audit Raw data'!J:J,B:B,'Audit Raw data'!E:E,'Day wise agent'!G:G)</f>
        <v>0</v>
      </c>
      <c r="L1388" s="12" t="str">
        <f t="shared" si="42"/>
        <v xml:space="preserve"> </v>
      </c>
    </row>
    <row r="1389" spans="4:12" x14ac:dyDescent="0.35">
      <c r="D1389" s="32"/>
      <c r="G1389" s="32"/>
      <c r="H1389">
        <f>COUNTIFS('Audit Raw data'!J:J,B:B,'Audit Raw data'!E:E,G:G)</f>
        <v>0</v>
      </c>
      <c r="I1389" s="44" t="str">
        <f>IFERROR((SUMIFS('Audit Raw data'!BZ:BZ,'Audit Raw data'!J:J,B:B,'Audit Raw data'!E:E,G:G)/H1389)/100,"-")</f>
        <v>-</v>
      </c>
      <c r="J1389">
        <f>COUNTIFS('Audit Raw data'!AM:AM,"Yes",'Audit Raw data'!J:J,B:B,'Audit Raw data'!E:E,'Day wise agent'!G:G)</f>
        <v>0</v>
      </c>
      <c r="K1389">
        <f>COUNTIFS('Audit Raw data'!AM:AM,"NO",'Audit Raw data'!J:J,B:B,'Audit Raw data'!E:E,'Day wise agent'!G:G)</f>
        <v>0</v>
      </c>
      <c r="L1389" s="12" t="str">
        <f t="shared" si="42"/>
        <v xml:space="preserve"> </v>
      </c>
    </row>
    <row r="1390" spans="4:12" x14ac:dyDescent="0.35">
      <c r="D1390" s="32"/>
      <c r="G1390" s="32"/>
      <c r="H1390">
        <f>COUNTIFS('Audit Raw data'!J:J,B:B,'Audit Raw data'!E:E,G:G)</f>
        <v>0</v>
      </c>
      <c r="I1390" s="44" t="str">
        <f>IFERROR((SUMIFS('Audit Raw data'!BZ:BZ,'Audit Raw data'!J:J,B:B,'Audit Raw data'!E:E,G:G)/H1390)/100,"-")</f>
        <v>-</v>
      </c>
      <c r="J1390">
        <f>COUNTIFS('Audit Raw data'!AM:AM,"Yes",'Audit Raw data'!J:J,B:B,'Audit Raw data'!E:E,'Day wise agent'!G:G)</f>
        <v>0</v>
      </c>
      <c r="K1390">
        <f>COUNTIFS('Audit Raw data'!AM:AM,"NO",'Audit Raw data'!J:J,B:B,'Audit Raw data'!E:E,'Day wise agent'!G:G)</f>
        <v>0</v>
      </c>
      <c r="L1390" s="12" t="str">
        <f t="shared" si="42"/>
        <v xml:space="preserve"> </v>
      </c>
    </row>
    <row r="1391" spans="4:12" x14ac:dyDescent="0.35">
      <c r="D1391" s="32"/>
      <c r="G1391" s="32"/>
      <c r="H1391">
        <f>COUNTIFS('Audit Raw data'!J:J,B:B,'Audit Raw data'!E:E,G:G)</f>
        <v>0</v>
      </c>
      <c r="I1391" s="44" t="str">
        <f>IFERROR((SUMIFS('Audit Raw data'!BZ:BZ,'Audit Raw data'!J:J,B:B,'Audit Raw data'!E:E,G:G)/H1391)/100,"-")</f>
        <v>-</v>
      </c>
      <c r="J1391">
        <f>COUNTIFS('Audit Raw data'!AM:AM,"Yes",'Audit Raw data'!J:J,B:B,'Audit Raw data'!E:E,'Day wise agent'!G:G)</f>
        <v>0</v>
      </c>
      <c r="K1391">
        <f>COUNTIFS('Audit Raw data'!AM:AM,"NO",'Audit Raw data'!J:J,B:B,'Audit Raw data'!E:E,'Day wise agent'!G:G)</f>
        <v>0</v>
      </c>
      <c r="L1391" s="12" t="str">
        <f t="shared" si="42"/>
        <v xml:space="preserve"> </v>
      </c>
    </row>
    <row r="1392" spans="4:12" x14ac:dyDescent="0.35">
      <c r="D1392" s="32"/>
      <c r="G1392" s="32"/>
      <c r="H1392">
        <f>COUNTIFS('Audit Raw data'!J:J,B:B,'Audit Raw data'!E:E,G:G)</f>
        <v>0</v>
      </c>
      <c r="I1392" s="44" t="str">
        <f>IFERROR((SUMIFS('Audit Raw data'!BZ:BZ,'Audit Raw data'!J:J,B:B,'Audit Raw data'!E:E,G:G)/H1392)/100,"-")</f>
        <v>-</v>
      </c>
      <c r="J1392">
        <f>COUNTIFS('Audit Raw data'!AM:AM,"Yes",'Audit Raw data'!J:J,B:B,'Audit Raw data'!E:E,'Day wise agent'!G:G)</f>
        <v>0</v>
      </c>
      <c r="K1392">
        <f>COUNTIFS('Audit Raw data'!AM:AM,"NO",'Audit Raw data'!J:J,B:B,'Audit Raw data'!E:E,'Day wise agent'!G:G)</f>
        <v>0</v>
      </c>
      <c r="L1392" s="12" t="str">
        <f t="shared" si="42"/>
        <v xml:space="preserve"> </v>
      </c>
    </row>
    <row r="1393" spans="4:12" x14ac:dyDescent="0.35">
      <c r="D1393" s="32"/>
      <c r="G1393" s="32"/>
      <c r="H1393">
        <f>COUNTIFS('Audit Raw data'!J:J,B:B,'Audit Raw data'!E:E,G:G)</f>
        <v>0</v>
      </c>
      <c r="I1393" s="44" t="str">
        <f>IFERROR((SUMIFS('Audit Raw data'!BZ:BZ,'Audit Raw data'!J:J,B:B,'Audit Raw data'!E:E,G:G)/H1393)/100,"-")</f>
        <v>-</v>
      </c>
      <c r="J1393">
        <f>COUNTIFS('Audit Raw data'!AM:AM,"Yes",'Audit Raw data'!J:J,B:B,'Audit Raw data'!E:E,'Day wise agent'!G:G)</f>
        <v>0</v>
      </c>
      <c r="K1393">
        <f>COUNTIFS('Audit Raw data'!AM:AM,"NO",'Audit Raw data'!J:J,B:B,'Audit Raw data'!E:E,'Day wise agent'!G:G)</f>
        <v>0</v>
      </c>
      <c r="L1393" s="12" t="str">
        <f t="shared" si="42"/>
        <v xml:space="preserve"> </v>
      </c>
    </row>
    <row r="1394" spans="4:12" x14ac:dyDescent="0.35">
      <c r="D1394" s="32"/>
      <c r="G1394" s="32"/>
      <c r="H1394">
        <f>COUNTIFS('Audit Raw data'!J:J,B:B,'Audit Raw data'!E:E,G:G)</f>
        <v>0</v>
      </c>
      <c r="I1394" s="44" t="str">
        <f>IFERROR((SUMIFS('Audit Raw data'!BZ:BZ,'Audit Raw data'!J:J,B:B,'Audit Raw data'!E:E,G:G)/H1394)/100,"-")</f>
        <v>-</v>
      </c>
      <c r="J1394">
        <f>COUNTIFS('Audit Raw data'!AM:AM,"Yes",'Audit Raw data'!J:J,B:B,'Audit Raw data'!E:E,'Day wise agent'!G:G)</f>
        <v>0</v>
      </c>
      <c r="K1394">
        <f>COUNTIFS('Audit Raw data'!AM:AM,"NO",'Audit Raw data'!J:J,B:B,'Audit Raw data'!E:E,'Day wise agent'!G:G)</f>
        <v>0</v>
      </c>
      <c r="L1394" s="12" t="str">
        <f t="shared" si="42"/>
        <v xml:space="preserve"> </v>
      </c>
    </row>
    <row r="1395" spans="4:12" x14ac:dyDescent="0.35">
      <c r="D1395" s="32"/>
      <c r="G1395" s="32"/>
      <c r="H1395">
        <f>COUNTIFS('Audit Raw data'!J:J,B:B,'Audit Raw data'!E:E,G:G)</f>
        <v>0</v>
      </c>
      <c r="I1395" s="44" t="str">
        <f>IFERROR((SUMIFS('Audit Raw data'!BZ:BZ,'Audit Raw data'!J:J,B:B,'Audit Raw data'!E:E,G:G)/H1395)/100,"-")</f>
        <v>-</v>
      </c>
      <c r="J1395">
        <f>COUNTIFS('Audit Raw data'!AM:AM,"Yes",'Audit Raw data'!J:J,B:B,'Audit Raw data'!E:E,'Day wise agent'!G:G)</f>
        <v>0</v>
      </c>
      <c r="K1395">
        <f>COUNTIFS('Audit Raw data'!AM:AM,"NO",'Audit Raw data'!J:J,B:B,'Audit Raw data'!E:E,'Day wise agent'!G:G)</f>
        <v>0</v>
      </c>
      <c r="L1395" s="12" t="str">
        <f t="shared" si="42"/>
        <v xml:space="preserve"> </v>
      </c>
    </row>
    <row r="1396" spans="4:12" x14ac:dyDescent="0.35">
      <c r="D1396" s="32"/>
      <c r="G1396" s="32"/>
      <c r="H1396">
        <f>COUNTIFS('Audit Raw data'!J:J,B:B,'Audit Raw data'!E:E,G:G)</f>
        <v>0</v>
      </c>
      <c r="I1396" s="44" t="str">
        <f>IFERROR((SUMIFS('Audit Raw data'!BZ:BZ,'Audit Raw data'!J:J,B:B,'Audit Raw data'!E:E,G:G)/H1396)/100,"-")</f>
        <v>-</v>
      </c>
      <c r="J1396">
        <f>COUNTIFS('Audit Raw data'!AM:AM,"Yes",'Audit Raw data'!J:J,B:B,'Audit Raw data'!E:E,'Day wise agent'!G:G)</f>
        <v>0</v>
      </c>
      <c r="K1396">
        <f>COUNTIFS('Audit Raw data'!AM:AM,"NO",'Audit Raw data'!J:J,B:B,'Audit Raw data'!E:E,'Day wise agent'!G:G)</f>
        <v>0</v>
      </c>
      <c r="L1396" s="12" t="str">
        <f t="shared" si="42"/>
        <v xml:space="preserve"> </v>
      </c>
    </row>
    <row r="1397" spans="4:12" x14ac:dyDescent="0.35">
      <c r="D1397" s="32"/>
      <c r="G1397" s="32"/>
      <c r="H1397">
        <f>COUNTIFS('Audit Raw data'!J:J,B:B,'Audit Raw data'!E:E,G:G)</f>
        <v>0</v>
      </c>
      <c r="I1397" s="44" t="str">
        <f>IFERROR((SUMIFS('Audit Raw data'!BZ:BZ,'Audit Raw data'!J:J,B:B,'Audit Raw data'!E:E,G:G)/H1397)/100,"-")</f>
        <v>-</v>
      </c>
      <c r="J1397">
        <f>COUNTIFS('Audit Raw data'!AM:AM,"Yes",'Audit Raw data'!J:J,B:B,'Audit Raw data'!E:E,'Day wise agent'!G:G)</f>
        <v>0</v>
      </c>
      <c r="K1397">
        <f>COUNTIFS('Audit Raw data'!AM:AM,"NO",'Audit Raw data'!J:J,B:B,'Audit Raw data'!E:E,'Day wise agent'!G:G)</f>
        <v>0</v>
      </c>
      <c r="L1397" s="12" t="str">
        <f t="shared" si="42"/>
        <v xml:space="preserve"> </v>
      </c>
    </row>
    <row r="1398" spans="4:12" x14ac:dyDescent="0.35">
      <c r="D1398" s="32"/>
      <c r="G1398" s="32"/>
      <c r="H1398">
        <f>COUNTIFS('Audit Raw data'!J:J,B:B,'Audit Raw data'!E:E,G:G)</f>
        <v>0</v>
      </c>
      <c r="I1398" s="44" t="str">
        <f>IFERROR((SUMIFS('Audit Raw data'!BZ:BZ,'Audit Raw data'!J:J,B:B,'Audit Raw data'!E:E,G:G)/H1398)/100,"-")</f>
        <v>-</v>
      </c>
      <c r="J1398">
        <f>COUNTIFS('Audit Raw data'!AM:AM,"Yes",'Audit Raw data'!J:J,B:B,'Audit Raw data'!E:E,'Day wise agent'!G:G)</f>
        <v>0</v>
      </c>
      <c r="K1398">
        <f>COUNTIFS('Audit Raw data'!AM:AM,"NO",'Audit Raw data'!J:J,B:B,'Audit Raw data'!E:E,'Day wise agent'!G:G)</f>
        <v>0</v>
      </c>
      <c r="L1398" s="12" t="str">
        <f t="shared" si="42"/>
        <v xml:space="preserve"> </v>
      </c>
    </row>
    <row r="1399" spans="4:12" x14ac:dyDescent="0.35">
      <c r="D1399" s="32"/>
      <c r="G1399" s="32"/>
      <c r="H1399">
        <f>COUNTIFS('Audit Raw data'!J:J,B:B,'Audit Raw data'!E:E,G:G)</f>
        <v>0</v>
      </c>
      <c r="I1399" s="44" t="str">
        <f>IFERROR((SUMIFS('Audit Raw data'!BZ:BZ,'Audit Raw data'!J:J,B:B,'Audit Raw data'!E:E,G:G)/H1399)/100,"-")</f>
        <v>-</v>
      </c>
      <c r="J1399">
        <f>COUNTIFS('Audit Raw data'!AM:AM,"Yes",'Audit Raw data'!J:J,B:B,'Audit Raw data'!E:E,'Day wise agent'!G:G)</f>
        <v>0</v>
      </c>
      <c r="K1399">
        <f>COUNTIFS('Audit Raw data'!AM:AM,"NO",'Audit Raw data'!J:J,B:B,'Audit Raw data'!E:E,'Day wise agent'!G:G)</f>
        <v>0</v>
      </c>
      <c r="L1399" s="12" t="str">
        <f t="shared" si="42"/>
        <v xml:space="preserve"> </v>
      </c>
    </row>
    <row r="1400" spans="4:12" x14ac:dyDescent="0.35">
      <c r="D1400" s="32"/>
      <c r="G1400" s="32"/>
      <c r="H1400">
        <f>COUNTIFS('Audit Raw data'!J:J,B:B,'Audit Raw data'!E:E,G:G)</f>
        <v>0</v>
      </c>
      <c r="I1400" s="44" t="str">
        <f>IFERROR((SUMIFS('Audit Raw data'!BZ:BZ,'Audit Raw data'!J:J,B:B,'Audit Raw data'!E:E,G:G)/H1400)/100,"-")</f>
        <v>-</v>
      </c>
      <c r="J1400">
        <f>COUNTIFS('Audit Raw data'!AM:AM,"Yes",'Audit Raw data'!J:J,B:B,'Audit Raw data'!E:E,'Day wise agent'!G:G)</f>
        <v>0</v>
      </c>
      <c r="K1400">
        <f>COUNTIFS('Audit Raw data'!AM:AM,"NO",'Audit Raw data'!J:J,B:B,'Audit Raw data'!E:E,'Day wise agent'!G:G)</f>
        <v>0</v>
      </c>
      <c r="L1400" s="12" t="str">
        <f t="shared" si="42"/>
        <v xml:space="preserve"> </v>
      </c>
    </row>
    <row r="1401" spans="4:12" x14ac:dyDescent="0.35">
      <c r="D1401" s="32"/>
      <c r="G1401" s="32"/>
      <c r="H1401">
        <f>COUNTIFS('Audit Raw data'!J:J,B:B,'Audit Raw data'!E:E,G:G)</f>
        <v>0</v>
      </c>
      <c r="I1401" s="44" t="str">
        <f>IFERROR((SUMIFS('Audit Raw data'!BZ:BZ,'Audit Raw data'!J:J,B:B,'Audit Raw data'!E:E,G:G)/H1401)/100,"-")</f>
        <v>-</v>
      </c>
      <c r="J1401">
        <f>COUNTIFS('Audit Raw data'!AM:AM,"Yes",'Audit Raw data'!J:J,B:B,'Audit Raw data'!E:E,'Day wise agent'!G:G)</f>
        <v>0</v>
      </c>
      <c r="K1401">
        <f>COUNTIFS('Audit Raw data'!AM:AM,"NO",'Audit Raw data'!J:J,B:B,'Audit Raw data'!E:E,'Day wise agent'!G:G)</f>
        <v>0</v>
      </c>
      <c r="L1401" s="12" t="str">
        <f t="shared" si="42"/>
        <v xml:space="preserve"> </v>
      </c>
    </row>
    <row r="1402" spans="4:12" x14ac:dyDescent="0.35">
      <c r="D1402" s="32"/>
      <c r="G1402" s="32"/>
      <c r="H1402">
        <f>COUNTIFS('Audit Raw data'!J:J,B:B,'Audit Raw data'!E:E,G:G)</f>
        <v>0</v>
      </c>
      <c r="I1402" s="44" t="str">
        <f>IFERROR((SUMIFS('Audit Raw data'!BZ:BZ,'Audit Raw data'!J:J,B:B,'Audit Raw data'!E:E,G:G)/H1402)/100,"-")</f>
        <v>-</v>
      </c>
      <c r="J1402">
        <f>COUNTIFS('Audit Raw data'!AM:AM,"Yes",'Audit Raw data'!J:J,B:B,'Audit Raw data'!E:E,'Day wise agent'!G:G)</f>
        <v>0</v>
      </c>
      <c r="K1402">
        <f>COUNTIFS('Audit Raw data'!AM:AM,"NO",'Audit Raw data'!J:J,B:B,'Audit Raw data'!E:E,'Day wise agent'!G:G)</f>
        <v>0</v>
      </c>
      <c r="L1402" s="12" t="str">
        <f t="shared" si="42"/>
        <v xml:space="preserve"> </v>
      </c>
    </row>
    <row r="1403" spans="4:12" x14ac:dyDescent="0.35">
      <c r="D1403" s="32"/>
      <c r="G1403" s="32"/>
      <c r="H1403">
        <f>COUNTIFS('Audit Raw data'!J:J,B:B,'Audit Raw data'!E:E,G:G)</f>
        <v>0</v>
      </c>
      <c r="I1403" s="44" t="str">
        <f>IFERROR((SUMIFS('Audit Raw data'!BZ:BZ,'Audit Raw data'!J:J,B:B,'Audit Raw data'!E:E,G:G)/H1403)/100,"-")</f>
        <v>-</v>
      </c>
      <c r="J1403">
        <f>COUNTIFS('Audit Raw data'!AM:AM,"Yes",'Audit Raw data'!J:J,B:B,'Audit Raw data'!E:E,'Day wise agent'!G:G)</f>
        <v>0</v>
      </c>
      <c r="K1403">
        <f>COUNTIFS('Audit Raw data'!AM:AM,"NO",'Audit Raw data'!J:J,B:B,'Audit Raw data'!E:E,'Day wise agent'!G:G)</f>
        <v>0</v>
      </c>
      <c r="L1403" s="12" t="str">
        <f t="shared" si="42"/>
        <v xml:space="preserve"> </v>
      </c>
    </row>
    <row r="1404" spans="4:12" x14ac:dyDescent="0.35">
      <c r="D1404" s="32"/>
      <c r="G1404" s="32"/>
      <c r="H1404">
        <f>COUNTIFS('Audit Raw data'!J:J,B:B,'Audit Raw data'!E:E,G:G)</f>
        <v>0</v>
      </c>
      <c r="I1404" s="44" t="str">
        <f>IFERROR((SUMIFS('Audit Raw data'!BZ:BZ,'Audit Raw data'!J:J,B:B,'Audit Raw data'!E:E,G:G)/H1404)/100,"-")</f>
        <v>-</v>
      </c>
      <c r="J1404">
        <f>COUNTIFS('Audit Raw data'!AM:AM,"Yes",'Audit Raw data'!J:J,B:B,'Audit Raw data'!E:E,'Day wise agent'!G:G)</f>
        <v>0</v>
      </c>
      <c r="K1404">
        <f>COUNTIFS('Audit Raw data'!AM:AM,"NO",'Audit Raw data'!J:J,B:B,'Audit Raw data'!E:E,'Day wise agent'!G:G)</f>
        <v>0</v>
      </c>
      <c r="L1404" s="12" t="str">
        <f t="shared" si="42"/>
        <v xml:space="preserve"> </v>
      </c>
    </row>
    <row r="1405" spans="4:12" x14ac:dyDescent="0.35">
      <c r="D1405" s="32"/>
      <c r="G1405" s="32"/>
      <c r="H1405">
        <f>COUNTIFS('Audit Raw data'!J:J,B:B,'Audit Raw data'!E:E,G:G)</f>
        <v>0</v>
      </c>
      <c r="I1405" s="44" t="str">
        <f>IFERROR((SUMIFS('Audit Raw data'!BZ:BZ,'Audit Raw data'!J:J,B:B,'Audit Raw data'!E:E,G:G)/H1405)/100,"-")</f>
        <v>-</v>
      </c>
      <c r="J1405">
        <f>COUNTIFS('Audit Raw data'!AM:AM,"Yes",'Audit Raw data'!J:J,B:B,'Audit Raw data'!E:E,'Day wise agent'!G:G)</f>
        <v>0</v>
      </c>
      <c r="K1405">
        <f>COUNTIFS('Audit Raw data'!AM:AM,"NO",'Audit Raw data'!J:J,B:B,'Audit Raw data'!E:E,'Day wise agent'!G:G)</f>
        <v>0</v>
      </c>
      <c r="L1405" s="12" t="str">
        <f t="shared" si="42"/>
        <v xml:space="preserve"> </v>
      </c>
    </row>
    <row r="1406" spans="4:12" x14ac:dyDescent="0.35">
      <c r="D1406" s="32"/>
      <c r="G1406" s="32"/>
      <c r="H1406">
        <f>COUNTIFS('Audit Raw data'!J:J,B:B,'Audit Raw data'!E:E,G:G)</f>
        <v>0</v>
      </c>
      <c r="I1406" s="44" t="str">
        <f>IFERROR((SUMIFS('Audit Raw data'!BZ:BZ,'Audit Raw data'!J:J,B:B,'Audit Raw data'!E:E,G:G)/H1406)/100,"-")</f>
        <v>-</v>
      </c>
      <c r="J1406">
        <f>COUNTIFS('Audit Raw data'!AM:AM,"Yes",'Audit Raw data'!J:J,B:B,'Audit Raw data'!E:E,'Day wise agent'!G:G)</f>
        <v>0</v>
      </c>
      <c r="K1406">
        <f>COUNTIFS('Audit Raw data'!AM:AM,"NO",'Audit Raw data'!J:J,B:B,'Audit Raw data'!E:E,'Day wise agent'!G:G)</f>
        <v>0</v>
      </c>
      <c r="L1406" s="12" t="str">
        <f t="shared" si="42"/>
        <v xml:space="preserve"> </v>
      </c>
    </row>
    <row r="1407" spans="4:12" x14ac:dyDescent="0.35">
      <c r="D1407" s="32"/>
      <c r="G1407" s="32"/>
      <c r="H1407">
        <f>COUNTIFS('Audit Raw data'!J:J,B:B,'Audit Raw data'!E:E,G:G)</f>
        <v>0</v>
      </c>
      <c r="I1407" s="44" t="str">
        <f>IFERROR((SUMIFS('Audit Raw data'!BZ:BZ,'Audit Raw data'!J:J,B:B,'Audit Raw data'!E:E,G:G)/H1407)/100,"-")</f>
        <v>-</v>
      </c>
      <c r="J1407">
        <f>COUNTIFS('Audit Raw data'!AM:AM,"Yes",'Audit Raw data'!J:J,B:B,'Audit Raw data'!E:E,'Day wise agent'!G:G)</f>
        <v>0</v>
      </c>
      <c r="K1407">
        <f>COUNTIFS('Audit Raw data'!AM:AM,"NO",'Audit Raw data'!J:J,B:B,'Audit Raw data'!E:E,'Day wise agent'!G:G)</f>
        <v>0</v>
      </c>
      <c r="L1407" s="12" t="str">
        <f t="shared" si="42"/>
        <v xml:space="preserve"> </v>
      </c>
    </row>
    <row r="1408" spans="4:12" x14ac:dyDescent="0.35">
      <c r="D1408" s="32"/>
      <c r="G1408" s="32"/>
      <c r="H1408">
        <f>COUNTIFS('Audit Raw data'!J:J,B:B,'Audit Raw data'!E:E,G:G)</f>
        <v>0</v>
      </c>
      <c r="I1408" s="44" t="str">
        <f>IFERROR((SUMIFS('Audit Raw data'!BZ:BZ,'Audit Raw data'!J:J,B:B,'Audit Raw data'!E:E,G:G)/H1408)/100,"-")</f>
        <v>-</v>
      </c>
      <c r="J1408">
        <f>COUNTIFS('Audit Raw data'!AM:AM,"Yes",'Audit Raw data'!J:J,B:B,'Audit Raw data'!E:E,'Day wise agent'!G:G)</f>
        <v>0</v>
      </c>
      <c r="K1408">
        <f>COUNTIFS('Audit Raw data'!AM:AM,"NO",'Audit Raw data'!J:J,B:B,'Audit Raw data'!E:E,'Day wise agent'!G:G)</f>
        <v>0</v>
      </c>
      <c r="L1408" s="12" t="str">
        <f t="shared" si="42"/>
        <v xml:space="preserve"> </v>
      </c>
    </row>
    <row r="1409" spans="4:12" x14ac:dyDescent="0.35">
      <c r="D1409" s="32"/>
      <c r="G1409" s="32"/>
      <c r="H1409">
        <f>COUNTIFS('Audit Raw data'!J:J,B:B,'Audit Raw data'!E:E,G:G)</f>
        <v>0</v>
      </c>
      <c r="I1409" s="44" t="str">
        <f>IFERROR((SUMIFS('Audit Raw data'!BZ:BZ,'Audit Raw data'!J:J,B:B,'Audit Raw data'!E:E,G:G)/H1409)/100,"-")</f>
        <v>-</v>
      </c>
      <c r="J1409">
        <f>COUNTIFS('Audit Raw data'!AM:AM,"Yes",'Audit Raw data'!J:J,B:B,'Audit Raw data'!E:E,'Day wise agent'!G:G)</f>
        <v>0</v>
      </c>
      <c r="K1409">
        <f>COUNTIFS('Audit Raw data'!AM:AM,"NO",'Audit Raw data'!J:J,B:B,'Audit Raw data'!E:E,'Day wise agent'!G:G)</f>
        <v>0</v>
      </c>
      <c r="L1409" s="12" t="str">
        <f t="shared" si="42"/>
        <v xml:space="preserve"> </v>
      </c>
    </row>
    <row r="1410" spans="4:12" x14ac:dyDescent="0.35">
      <c r="D1410" s="32"/>
      <c r="G1410" s="32"/>
      <c r="H1410">
        <f>COUNTIFS('Audit Raw data'!J:J,B:B,'Audit Raw data'!E:E,G:G)</f>
        <v>0</v>
      </c>
      <c r="I1410" s="44" t="str">
        <f>IFERROR((SUMIFS('Audit Raw data'!BZ:BZ,'Audit Raw data'!J:J,B:B,'Audit Raw data'!E:E,G:G)/H1410)/100,"-")</f>
        <v>-</v>
      </c>
      <c r="J1410">
        <f>COUNTIFS('Audit Raw data'!AM:AM,"Yes",'Audit Raw data'!J:J,B:B,'Audit Raw data'!E:E,'Day wise agent'!G:G)</f>
        <v>0</v>
      </c>
      <c r="K1410">
        <f>COUNTIFS('Audit Raw data'!AM:AM,"NO",'Audit Raw data'!J:J,B:B,'Audit Raw data'!E:E,'Day wise agent'!G:G)</f>
        <v>0</v>
      </c>
      <c r="L1410" s="12" t="str">
        <f t="shared" ref="L1410:L1473" si="43">IFERROR(J1410/H1410," ")</f>
        <v xml:space="preserve"> </v>
      </c>
    </row>
    <row r="1411" spans="4:12" x14ac:dyDescent="0.35">
      <c r="D1411" s="32"/>
      <c r="G1411" s="32"/>
      <c r="H1411">
        <f>COUNTIFS('Audit Raw data'!J:J,B:B,'Audit Raw data'!E:E,G:G)</f>
        <v>0</v>
      </c>
      <c r="I1411" s="44" t="str">
        <f>IFERROR((SUMIFS('Audit Raw data'!BZ:BZ,'Audit Raw data'!J:J,B:B,'Audit Raw data'!E:E,G:G)/H1411)/100,"-")</f>
        <v>-</v>
      </c>
      <c r="J1411">
        <f>COUNTIFS('Audit Raw data'!AM:AM,"Yes",'Audit Raw data'!J:J,B:B,'Audit Raw data'!E:E,'Day wise agent'!G:G)</f>
        <v>0</v>
      </c>
      <c r="K1411">
        <f>COUNTIFS('Audit Raw data'!AM:AM,"NO",'Audit Raw data'!J:J,B:B,'Audit Raw data'!E:E,'Day wise agent'!G:G)</f>
        <v>0</v>
      </c>
      <c r="L1411" s="12" t="str">
        <f t="shared" si="43"/>
        <v xml:space="preserve"> </v>
      </c>
    </row>
    <row r="1412" spans="4:12" x14ac:dyDescent="0.35">
      <c r="D1412" s="32"/>
      <c r="G1412" s="32"/>
      <c r="H1412">
        <f>COUNTIFS('Audit Raw data'!J:J,B:B,'Audit Raw data'!E:E,G:G)</f>
        <v>0</v>
      </c>
      <c r="I1412" s="44" t="str">
        <f>IFERROR((SUMIFS('Audit Raw data'!BZ:BZ,'Audit Raw data'!J:J,B:B,'Audit Raw data'!E:E,G:G)/H1412)/100,"-")</f>
        <v>-</v>
      </c>
      <c r="J1412">
        <f>COUNTIFS('Audit Raw data'!AM:AM,"Yes",'Audit Raw data'!J:J,B:B,'Audit Raw data'!E:E,'Day wise agent'!G:G)</f>
        <v>0</v>
      </c>
      <c r="K1412">
        <f>COUNTIFS('Audit Raw data'!AM:AM,"NO",'Audit Raw data'!J:J,B:B,'Audit Raw data'!E:E,'Day wise agent'!G:G)</f>
        <v>0</v>
      </c>
      <c r="L1412" s="12" t="str">
        <f t="shared" si="43"/>
        <v xml:space="preserve"> </v>
      </c>
    </row>
    <row r="1413" spans="4:12" x14ac:dyDescent="0.35">
      <c r="D1413" s="32"/>
      <c r="G1413" s="32"/>
      <c r="H1413">
        <f>COUNTIFS('Audit Raw data'!J:J,B:B,'Audit Raw data'!E:E,G:G)</f>
        <v>0</v>
      </c>
      <c r="I1413" s="44" t="str">
        <f>IFERROR((SUMIFS('Audit Raw data'!BZ:BZ,'Audit Raw data'!J:J,B:B,'Audit Raw data'!E:E,G:G)/H1413)/100,"-")</f>
        <v>-</v>
      </c>
      <c r="J1413">
        <f>COUNTIFS('Audit Raw data'!AM:AM,"Yes",'Audit Raw data'!J:J,B:B,'Audit Raw data'!E:E,'Day wise agent'!G:G)</f>
        <v>0</v>
      </c>
      <c r="K1413">
        <f>COUNTIFS('Audit Raw data'!AM:AM,"NO",'Audit Raw data'!J:J,B:B,'Audit Raw data'!E:E,'Day wise agent'!G:G)</f>
        <v>0</v>
      </c>
      <c r="L1413" s="12" t="str">
        <f t="shared" si="43"/>
        <v xml:space="preserve"> </v>
      </c>
    </row>
    <row r="1414" spans="4:12" x14ac:dyDescent="0.35">
      <c r="D1414" s="32"/>
      <c r="G1414" s="32"/>
      <c r="H1414">
        <f>COUNTIFS('Audit Raw data'!J:J,B:B,'Audit Raw data'!E:E,G:G)</f>
        <v>0</v>
      </c>
      <c r="I1414" s="44" t="str">
        <f>IFERROR((SUMIFS('Audit Raw data'!BZ:BZ,'Audit Raw data'!J:J,B:B,'Audit Raw data'!E:E,G:G)/H1414)/100,"-")</f>
        <v>-</v>
      </c>
      <c r="J1414">
        <f>COUNTIFS('Audit Raw data'!AM:AM,"Yes",'Audit Raw data'!J:J,B:B,'Audit Raw data'!E:E,'Day wise agent'!G:G)</f>
        <v>0</v>
      </c>
      <c r="K1414">
        <f>COUNTIFS('Audit Raw data'!AM:AM,"NO",'Audit Raw data'!J:J,B:B,'Audit Raw data'!E:E,'Day wise agent'!G:G)</f>
        <v>0</v>
      </c>
      <c r="L1414" s="12" t="str">
        <f t="shared" si="43"/>
        <v xml:space="preserve"> </v>
      </c>
    </row>
    <row r="1415" spans="4:12" x14ac:dyDescent="0.35">
      <c r="D1415" s="32"/>
      <c r="G1415" s="32"/>
      <c r="H1415">
        <f>COUNTIFS('Audit Raw data'!J:J,B:B,'Audit Raw data'!E:E,G:G)</f>
        <v>0</v>
      </c>
      <c r="I1415" s="44" t="str">
        <f>IFERROR((SUMIFS('Audit Raw data'!BZ:BZ,'Audit Raw data'!J:J,B:B,'Audit Raw data'!E:E,G:G)/H1415)/100,"-")</f>
        <v>-</v>
      </c>
      <c r="J1415">
        <f>COUNTIFS('Audit Raw data'!AM:AM,"Yes",'Audit Raw data'!J:J,B:B,'Audit Raw data'!E:E,'Day wise agent'!G:G)</f>
        <v>0</v>
      </c>
      <c r="K1415">
        <f>COUNTIFS('Audit Raw data'!AM:AM,"NO",'Audit Raw data'!J:J,B:B,'Audit Raw data'!E:E,'Day wise agent'!G:G)</f>
        <v>0</v>
      </c>
      <c r="L1415" s="12" t="str">
        <f t="shared" si="43"/>
        <v xml:space="preserve"> </v>
      </c>
    </row>
    <row r="1416" spans="4:12" x14ac:dyDescent="0.35">
      <c r="D1416" s="32"/>
      <c r="G1416" s="32"/>
      <c r="H1416">
        <f>COUNTIFS('Audit Raw data'!J:J,B:B,'Audit Raw data'!E:E,G:G)</f>
        <v>0</v>
      </c>
      <c r="I1416" s="44" t="str">
        <f>IFERROR((SUMIFS('Audit Raw data'!BZ:BZ,'Audit Raw data'!J:J,B:B,'Audit Raw data'!E:E,G:G)/H1416)/100,"-")</f>
        <v>-</v>
      </c>
      <c r="J1416">
        <f>COUNTIFS('Audit Raw data'!AM:AM,"Yes",'Audit Raw data'!J:J,B:B,'Audit Raw data'!E:E,'Day wise agent'!G:G)</f>
        <v>0</v>
      </c>
      <c r="K1416">
        <f>COUNTIFS('Audit Raw data'!AM:AM,"NO",'Audit Raw data'!J:J,B:B,'Audit Raw data'!E:E,'Day wise agent'!G:G)</f>
        <v>0</v>
      </c>
      <c r="L1416" s="12" t="str">
        <f t="shared" si="43"/>
        <v xml:space="preserve"> </v>
      </c>
    </row>
    <row r="1417" spans="4:12" x14ac:dyDescent="0.35">
      <c r="D1417" s="32"/>
      <c r="G1417" s="32"/>
      <c r="H1417">
        <f>COUNTIFS('Audit Raw data'!J:J,B:B,'Audit Raw data'!E:E,G:G)</f>
        <v>0</v>
      </c>
      <c r="I1417" s="44" t="str">
        <f>IFERROR((SUMIFS('Audit Raw data'!BZ:BZ,'Audit Raw data'!J:J,B:B,'Audit Raw data'!E:E,G:G)/H1417)/100,"-")</f>
        <v>-</v>
      </c>
      <c r="J1417">
        <f>COUNTIFS('Audit Raw data'!AM:AM,"Yes",'Audit Raw data'!J:J,B:B,'Audit Raw data'!E:E,'Day wise agent'!G:G)</f>
        <v>0</v>
      </c>
      <c r="K1417">
        <f>COUNTIFS('Audit Raw data'!AM:AM,"NO",'Audit Raw data'!J:J,B:B,'Audit Raw data'!E:E,'Day wise agent'!G:G)</f>
        <v>0</v>
      </c>
      <c r="L1417" s="12" t="str">
        <f t="shared" si="43"/>
        <v xml:space="preserve"> </v>
      </c>
    </row>
    <row r="1418" spans="4:12" x14ac:dyDescent="0.35">
      <c r="D1418" s="32"/>
      <c r="G1418" s="32"/>
      <c r="H1418">
        <f>COUNTIFS('Audit Raw data'!J:J,B:B,'Audit Raw data'!E:E,G:G)</f>
        <v>0</v>
      </c>
      <c r="I1418" s="44" t="str">
        <f>IFERROR((SUMIFS('Audit Raw data'!BZ:BZ,'Audit Raw data'!J:J,B:B,'Audit Raw data'!E:E,G:G)/H1418)/100,"-")</f>
        <v>-</v>
      </c>
      <c r="J1418">
        <f>COUNTIFS('Audit Raw data'!AM:AM,"Yes",'Audit Raw data'!J:J,B:B,'Audit Raw data'!E:E,'Day wise agent'!G:G)</f>
        <v>0</v>
      </c>
      <c r="K1418">
        <f>COUNTIFS('Audit Raw data'!AM:AM,"NO",'Audit Raw data'!J:J,B:B,'Audit Raw data'!E:E,'Day wise agent'!G:G)</f>
        <v>0</v>
      </c>
      <c r="L1418" s="12" t="str">
        <f t="shared" si="43"/>
        <v xml:space="preserve"> </v>
      </c>
    </row>
    <row r="1419" spans="4:12" x14ac:dyDescent="0.35">
      <c r="D1419" s="32"/>
      <c r="G1419" s="32"/>
      <c r="H1419">
        <f>COUNTIFS('Audit Raw data'!J:J,B:B,'Audit Raw data'!E:E,G:G)</f>
        <v>0</v>
      </c>
      <c r="I1419" s="44" t="str">
        <f>IFERROR((SUMIFS('Audit Raw data'!BZ:BZ,'Audit Raw data'!J:J,B:B,'Audit Raw data'!E:E,G:G)/H1419)/100,"-")</f>
        <v>-</v>
      </c>
      <c r="J1419">
        <f>COUNTIFS('Audit Raw data'!AM:AM,"Yes",'Audit Raw data'!J:J,B:B,'Audit Raw data'!E:E,'Day wise agent'!G:G)</f>
        <v>0</v>
      </c>
      <c r="K1419">
        <f>COUNTIFS('Audit Raw data'!AM:AM,"NO",'Audit Raw data'!J:J,B:B,'Audit Raw data'!E:E,'Day wise agent'!G:G)</f>
        <v>0</v>
      </c>
      <c r="L1419" s="12" t="str">
        <f t="shared" si="43"/>
        <v xml:space="preserve"> </v>
      </c>
    </row>
    <row r="1420" spans="4:12" x14ac:dyDescent="0.35">
      <c r="D1420" s="32"/>
      <c r="G1420" s="32"/>
      <c r="H1420">
        <f>COUNTIFS('Audit Raw data'!J:J,B:B,'Audit Raw data'!E:E,G:G)</f>
        <v>0</v>
      </c>
      <c r="I1420" s="44" t="str">
        <f>IFERROR((SUMIFS('Audit Raw data'!BZ:BZ,'Audit Raw data'!J:J,B:B,'Audit Raw data'!E:E,G:G)/H1420)/100,"-")</f>
        <v>-</v>
      </c>
      <c r="J1420">
        <f>COUNTIFS('Audit Raw data'!AM:AM,"Yes",'Audit Raw data'!J:J,B:B,'Audit Raw data'!E:E,'Day wise agent'!G:G)</f>
        <v>0</v>
      </c>
      <c r="K1420">
        <f>COUNTIFS('Audit Raw data'!AM:AM,"NO",'Audit Raw data'!J:J,B:B,'Audit Raw data'!E:E,'Day wise agent'!G:G)</f>
        <v>0</v>
      </c>
      <c r="L1420" s="12" t="str">
        <f t="shared" si="43"/>
        <v xml:space="preserve"> </v>
      </c>
    </row>
    <row r="1421" spans="4:12" x14ac:dyDescent="0.35">
      <c r="D1421" s="32"/>
      <c r="G1421" s="32"/>
      <c r="H1421">
        <f>COUNTIFS('Audit Raw data'!J:J,B:B,'Audit Raw data'!E:E,G:G)</f>
        <v>0</v>
      </c>
      <c r="I1421" s="44" t="str">
        <f>IFERROR((SUMIFS('Audit Raw data'!BZ:BZ,'Audit Raw data'!J:J,B:B,'Audit Raw data'!E:E,G:G)/H1421)/100,"-")</f>
        <v>-</v>
      </c>
      <c r="J1421">
        <f>COUNTIFS('Audit Raw data'!AM:AM,"Yes",'Audit Raw data'!J:J,B:B,'Audit Raw data'!E:E,'Day wise agent'!G:G)</f>
        <v>0</v>
      </c>
      <c r="K1421">
        <f>COUNTIFS('Audit Raw data'!AM:AM,"NO",'Audit Raw data'!J:J,B:B,'Audit Raw data'!E:E,'Day wise agent'!G:G)</f>
        <v>0</v>
      </c>
      <c r="L1421" s="12" t="str">
        <f t="shared" si="43"/>
        <v xml:space="preserve"> </v>
      </c>
    </row>
    <row r="1422" spans="4:12" x14ac:dyDescent="0.35">
      <c r="D1422" s="32"/>
      <c r="G1422" s="32"/>
      <c r="H1422">
        <f>COUNTIFS('Audit Raw data'!J:J,B:B,'Audit Raw data'!E:E,G:G)</f>
        <v>0</v>
      </c>
      <c r="I1422" s="44" t="str">
        <f>IFERROR((SUMIFS('Audit Raw data'!BZ:BZ,'Audit Raw data'!J:J,B:B,'Audit Raw data'!E:E,G:G)/H1422)/100,"-")</f>
        <v>-</v>
      </c>
      <c r="J1422">
        <f>COUNTIFS('Audit Raw data'!AM:AM,"Yes",'Audit Raw data'!J:J,B:B,'Audit Raw data'!E:E,'Day wise agent'!G:G)</f>
        <v>0</v>
      </c>
      <c r="K1422">
        <f>COUNTIFS('Audit Raw data'!AM:AM,"NO",'Audit Raw data'!J:J,B:B,'Audit Raw data'!E:E,'Day wise agent'!G:G)</f>
        <v>0</v>
      </c>
      <c r="L1422" s="12" t="str">
        <f t="shared" si="43"/>
        <v xml:space="preserve"> </v>
      </c>
    </row>
    <row r="1423" spans="4:12" x14ac:dyDescent="0.35">
      <c r="D1423" s="32"/>
      <c r="G1423" s="32"/>
      <c r="H1423">
        <f>COUNTIFS('Audit Raw data'!J:J,B:B,'Audit Raw data'!E:E,G:G)</f>
        <v>0</v>
      </c>
      <c r="I1423" s="44" t="str">
        <f>IFERROR((SUMIFS('Audit Raw data'!BZ:BZ,'Audit Raw data'!J:J,B:B,'Audit Raw data'!E:E,G:G)/H1423)/100,"-")</f>
        <v>-</v>
      </c>
      <c r="J1423">
        <f>COUNTIFS('Audit Raw data'!AM:AM,"Yes",'Audit Raw data'!J:J,B:B,'Audit Raw data'!E:E,'Day wise agent'!G:G)</f>
        <v>0</v>
      </c>
      <c r="K1423">
        <f>COUNTIFS('Audit Raw data'!AM:AM,"NO",'Audit Raw data'!J:J,B:B,'Audit Raw data'!E:E,'Day wise agent'!G:G)</f>
        <v>0</v>
      </c>
      <c r="L1423" s="12" t="str">
        <f t="shared" si="43"/>
        <v xml:space="preserve"> </v>
      </c>
    </row>
    <row r="1424" spans="4:12" x14ac:dyDescent="0.35">
      <c r="D1424" s="32"/>
      <c r="G1424" s="32"/>
      <c r="H1424">
        <f>COUNTIFS('Audit Raw data'!J:J,B:B,'Audit Raw data'!E:E,G:G)</f>
        <v>0</v>
      </c>
      <c r="I1424" s="44" t="str">
        <f>IFERROR((SUMIFS('Audit Raw data'!BZ:BZ,'Audit Raw data'!J:J,B:B,'Audit Raw data'!E:E,G:G)/H1424)/100,"-")</f>
        <v>-</v>
      </c>
      <c r="J1424">
        <f>COUNTIFS('Audit Raw data'!AM:AM,"Yes",'Audit Raw data'!J:J,B:B,'Audit Raw data'!E:E,'Day wise agent'!G:G)</f>
        <v>0</v>
      </c>
      <c r="K1424">
        <f>COUNTIFS('Audit Raw data'!AM:AM,"NO",'Audit Raw data'!J:J,B:B,'Audit Raw data'!E:E,'Day wise agent'!G:G)</f>
        <v>0</v>
      </c>
      <c r="L1424" s="12" t="str">
        <f t="shared" si="43"/>
        <v xml:space="preserve"> </v>
      </c>
    </row>
    <row r="1425" spans="4:12" x14ac:dyDescent="0.35">
      <c r="D1425" s="32"/>
      <c r="G1425" s="32"/>
      <c r="H1425">
        <f>COUNTIFS('Audit Raw data'!J:J,B:B,'Audit Raw data'!E:E,G:G)</f>
        <v>0</v>
      </c>
      <c r="I1425" s="44" t="str">
        <f>IFERROR((SUMIFS('Audit Raw data'!BZ:BZ,'Audit Raw data'!J:J,B:B,'Audit Raw data'!E:E,G:G)/H1425)/100,"-")</f>
        <v>-</v>
      </c>
      <c r="J1425">
        <f>COUNTIFS('Audit Raw data'!AM:AM,"Yes",'Audit Raw data'!J:J,B:B,'Audit Raw data'!E:E,'Day wise agent'!G:G)</f>
        <v>0</v>
      </c>
      <c r="K1425">
        <f>COUNTIFS('Audit Raw data'!AM:AM,"NO",'Audit Raw data'!J:J,B:B,'Audit Raw data'!E:E,'Day wise agent'!G:G)</f>
        <v>0</v>
      </c>
      <c r="L1425" s="12" t="str">
        <f t="shared" si="43"/>
        <v xml:space="preserve"> </v>
      </c>
    </row>
    <row r="1426" spans="4:12" x14ac:dyDescent="0.35">
      <c r="D1426" s="32"/>
      <c r="G1426" s="32"/>
      <c r="H1426">
        <f>COUNTIFS('Audit Raw data'!J:J,B:B,'Audit Raw data'!E:E,G:G)</f>
        <v>0</v>
      </c>
      <c r="I1426" s="44" t="str">
        <f>IFERROR((SUMIFS('Audit Raw data'!BZ:BZ,'Audit Raw data'!J:J,B:B,'Audit Raw data'!E:E,G:G)/H1426)/100,"-")</f>
        <v>-</v>
      </c>
      <c r="J1426">
        <f>COUNTIFS('Audit Raw data'!AM:AM,"Yes",'Audit Raw data'!J:J,B:B,'Audit Raw data'!E:E,'Day wise agent'!G:G)</f>
        <v>0</v>
      </c>
      <c r="K1426">
        <f>COUNTIFS('Audit Raw data'!AM:AM,"NO",'Audit Raw data'!J:J,B:B,'Audit Raw data'!E:E,'Day wise agent'!G:G)</f>
        <v>0</v>
      </c>
      <c r="L1426" s="12" t="str">
        <f t="shared" si="43"/>
        <v xml:space="preserve"> </v>
      </c>
    </row>
    <row r="1427" spans="4:12" x14ac:dyDescent="0.35">
      <c r="D1427" s="32"/>
      <c r="G1427" s="32"/>
      <c r="H1427">
        <f>COUNTIFS('Audit Raw data'!J:J,B:B,'Audit Raw data'!E:E,G:G)</f>
        <v>0</v>
      </c>
      <c r="I1427" s="44" t="str">
        <f>IFERROR((SUMIFS('Audit Raw data'!BZ:BZ,'Audit Raw data'!J:J,B:B,'Audit Raw data'!E:E,G:G)/H1427)/100,"-")</f>
        <v>-</v>
      </c>
      <c r="J1427">
        <f>COUNTIFS('Audit Raw data'!AM:AM,"Yes",'Audit Raw data'!J:J,B:B,'Audit Raw data'!E:E,'Day wise agent'!G:G)</f>
        <v>0</v>
      </c>
      <c r="K1427">
        <f>COUNTIFS('Audit Raw data'!AM:AM,"NO",'Audit Raw data'!J:J,B:B,'Audit Raw data'!E:E,'Day wise agent'!G:G)</f>
        <v>0</v>
      </c>
      <c r="L1427" s="12" t="str">
        <f t="shared" si="43"/>
        <v xml:space="preserve"> </v>
      </c>
    </row>
    <row r="1428" spans="4:12" x14ac:dyDescent="0.35">
      <c r="D1428" s="32"/>
      <c r="G1428" s="32"/>
      <c r="H1428">
        <f>COUNTIFS('Audit Raw data'!J:J,B:B,'Audit Raw data'!E:E,G:G)</f>
        <v>0</v>
      </c>
      <c r="I1428" s="44" t="str">
        <f>IFERROR((SUMIFS('Audit Raw data'!BZ:BZ,'Audit Raw data'!J:J,B:B,'Audit Raw data'!E:E,G:G)/H1428)/100,"-")</f>
        <v>-</v>
      </c>
      <c r="J1428">
        <f>COUNTIFS('Audit Raw data'!AM:AM,"Yes",'Audit Raw data'!J:J,B:B,'Audit Raw data'!E:E,'Day wise agent'!G:G)</f>
        <v>0</v>
      </c>
      <c r="K1428">
        <f>COUNTIFS('Audit Raw data'!AM:AM,"NO",'Audit Raw data'!J:J,B:B,'Audit Raw data'!E:E,'Day wise agent'!G:G)</f>
        <v>0</v>
      </c>
      <c r="L1428" s="12" t="str">
        <f t="shared" si="43"/>
        <v xml:space="preserve"> </v>
      </c>
    </row>
    <row r="1429" spans="4:12" x14ac:dyDescent="0.35">
      <c r="D1429" s="32"/>
      <c r="G1429" s="32"/>
      <c r="H1429">
        <f>COUNTIFS('Audit Raw data'!J:J,B:B,'Audit Raw data'!E:E,G:G)</f>
        <v>0</v>
      </c>
      <c r="I1429" s="44" t="str">
        <f>IFERROR((SUMIFS('Audit Raw data'!BZ:BZ,'Audit Raw data'!J:J,B:B,'Audit Raw data'!E:E,G:G)/H1429)/100,"-")</f>
        <v>-</v>
      </c>
      <c r="J1429">
        <f>COUNTIFS('Audit Raw data'!AM:AM,"Yes",'Audit Raw data'!J:J,B:B,'Audit Raw data'!E:E,'Day wise agent'!G:G)</f>
        <v>0</v>
      </c>
      <c r="K1429">
        <f>COUNTIFS('Audit Raw data'!AM:AM,"NO",'Audit Raw data'!J:J,B:B,'Audit Raw data'!E:E,'Day wise agent'!G:G)</f>
        <v>0</v>
      </c>
      <c r="L1429" s="12" t="str">
        <f t="shared" si="43"/>
        <v xml:space="preserve"> </v>
      </c>
    </row>
    <row r="1430" spans="4:12" x14ac:dyDescent="0.35">
      <c r="D1430" s="32"/>
      <c r="G1430" s="32"/>
      <c r="H1430">
        <f>COUNTIFS('Audit Raw data'!J:J,B:B,'Audit Raw data'!E:E,G:G)</f>
        <v>0</v>
      </c>
      <c r="I1430" s="44" t="str">
        <f>IFERROR((SUMIFS('Audit Raw data'!BZ:BZ,'Audit Raw data'!J:J,B:B,'Audit Raw data'!E:E,G:G)/H1430)/100,"-")</f>
        <v>-</v>
      </c>
      <c r="J1430">
        <f>COUNTIFS('Audit Raw data'!AM:AM,"Yes",'Audit Raw data'!J:J,B:B,'Audit Raw data'!E:E,'Day wise agent'!G:G)</f>
        <v>0</v>
      </c>
      <c r="K1430">
        <f>COUNTIFS('Audit Raw data'!AM:AM,"NO",'Audit Raw data'!J:J,B:B,'Audit Raw data'!E:E,'Day wise agent'!G:G)</f>
        <v>0</v>
      </c>
      <c r="L1430" s="12" t="str">
        <f t="shared" si="43"/>
        <v xml:space="preserve"> </v>
      </c>
    </row>
    <row r="1431" spans="4:12" x14ac:dyDescent="0.35">
      <c r="D1431" s="32"/>
      <c r="G1431" s="32"/>
      <c r="H1431">
        <f>COUNTIFS('Audit Raw data'!J:J,B:B,'Audit Raw data'!E:E,G:G)</f>
        <v>0</v>
      </c>
      <c r="I1431" s="44" t="str">
        <f>IFERROR((SUMIFS('Audit Raw data'!BZ:BZ,'Audit Raw data'!J:J,B:B,'Audit Raw data'!E:E,G:G)/H1431)/100,"-")</f>
        <v>-</v>
      </c>
      <c r="J1431">
        <f>COUNTIFS('Audit Raw data'!AM:AM,"Yes",'Audit Raw data'!J:J,B:B,'Audit Raw data'!E:E,'Day wise agent'!G:G)</f>
        <v>0</v>
      </c>
      <c r="K1431">
        <f>COUNTIFS('Audit Raw data'!AM:AM,"NO",'Audit Raw data'!J:J,B:B,'Audit Raw data'!E:E,'Day wise agent'!G:G)</f>
        <v>0</v>
      </c>
      <c r="L1431" s="12" t="str">
        <f t="shared" si="43"/>
        <v xml:space="preserve"> </v>
      </c>
    </row>
    <row r="1432" spans="4:12" x14ac:dyDescent="0.35">
      <c r="D1432" s="32"/>
      <c r="G1432" s="32"/>
      <c r="H1432">
        <f>COUNTIFS('Audit Raw data'!J:J,B:B,'Audit Raw data'!E:E,G:G)</f>
        <v>0</v>
      </c>
      <c r="I1432" s="44" t="str">
        <f>IFERROR((SUMIFS('Audit Raw data'!BZ:BZ,'Audit Raw data'!J:J,B:B,'Audit Raw data'!E:E,G:G)/H1432)/100,"-")</f>
        <v>-</v>
      </c>
      <c r="J1432">
        <f>COUNTIFS('Audit Raw data'!AM:AM,"Yes",'Audit Raw data'!J:J,B:B,'Audit Raw data'!E:E,'Day wise agent'!G:G)</f>
        <v>0</v>
      </c>
      <c r="K1432">
        <f>COUNTIFS('Audit Raw data'!AM:AM,"NO",'Audit Raw data'!J:J,B:B,'Audit Raw data'!E:E,'Day wise agent'!G:G)</f>
        <v>0</v>
      </c>
      <c r="L1432" s="12" t="str">
        <f t="shared" si="43"/>
        <v xml:space="preserve"> </v>
      </c>
    </row>
    <row r="1433" spans="4:12" x14ac:dyDescent="0.35">
      <c r="D1433" s="32"/>
      <c r="G1433" s="32"/>
      <c r="H1433">
        <f>COUNTIFS('Audit Raw data'!J:J,B:B,'Audit Raw data'!E:E,G:G)</f>
        <v>0</v>
      </c>
      <c r="I1433" s="44" t="str">
        <f>IFERROR((SUMIFS('Audit Raw data'!BZ:BZ,'Audit Raw data'!J:J,B:B,'Audit Raw data'!E:E,G:G)/H1433)/100,"-")</f>
        <v>-</v>
      </c>
      <c r="J1433">
        <f>COUNTIFS('Audit Raw data'!AM:AM,"Yes",'Audit Raw data'!J:J,B:B,'Audit Raw data'!E:E,'Day wise agent'!G:G)</f>
        <v>0</v>
      </c>
      <c r="K1433">
        <f>COUNTIFS('Audit Raw data'!AM:AM,"NO",'Audit Raw data'!J:J,B:B,'Audit Raw data'!E:E,'Day wise agent'!G:G)</f>
        <v>0</v>
      </c>
      <c r="L1433" s="12" t="str">
        <f t="shared" si="43"/>
        <v xml:space="preserve"> </v>
      </c>
    </row>
    <row r="1434" spans="4:12" x14ac:dyDescent="0.35">
      <c r="D1434" s="32"/>
      <c r="G1434" s="32"/>
      <c r="H1434">
        <f>COUNTIFS('Audit Raw data'!J:J,B:B,'Audit Raw data'!E:E,G:G)</f>
        <v>0</v>
      </c>
      <c r="I1434" s="44" t="str">
        <f>IFERROR((SUMIFS('Audit Raw data'!BZ:BZ,'Audit Raw data'!J:J,B:B,'Audit Raw data'!E:E,G:G)/H1434)/100,"-")</f>
        <v>-</v>
      </c>
      <c r="J1434">
        <f>COUNTIFS('Audit Raw data'!AM:AM,"Yes",'Audit Raw data'!J:J,B:B,'Audit Raw data'!E:E,'Day wise agent'!G:G)</f>
        <v>0</v>
      </c>
      <c r="K1434">
        <f>COUNTIFS('Audit Raw data'!AM:AM,"NO",'Audit Raw data'!J:J,B:B,'Audit Raw data'!E:E,'Day wise agent'!G:G)</f>
        <v>0</v>
      </c>
      <c r="L1434" s="12" t="str">
        <f t="shared" si="43"/>
        <v xml:space="preserve"> </v>
      </c>
    </row>
    <row r="1435" spans="4:12" x14ac:dyDescent="0.35">
      <c r="D1435" s="32"/>
      <c r="G1435" s="32"/>
      <c r="H1435">
        <f>COUNTIFS('Audit Raw data'!J:J,B:B,'Audit Raw data'!E:E,G:G)</f>
        <v>0</v>
      </c>
      <c r="I1435" s="44" t="str">
        <f>IFERROR((SUMIFS('Audit Raw data'!BZ:BZ,'Audit Raw data'!J:J,B:B,'Audit Raw data'!E:E,G:G)/H1435)/100,"-")</f>
        <v>-</v>
      </c>
      <c r="J1435">
        <f>COUNTIFS('Audit Raw data'!AM:AM,"Yes",'Audit Raw data'!J:J,B:B,'Audit Raw data'!E:E,'Day wise agent'!G:G)</f>
        <v>0</v>
      </c>
      <c r="K1435">
        <f>COUNTIFS('Audit Raw data'!AM:AM,"NO",'Audit Raw data'!J:J,B:B,'Audit Raw data'!E:E,'Day wise agent'!G:G)</f>
        <v>0</v>
      </c>
      <c r="L1435" s="12" t="str">
        <f t="shared" si="43"/>
        <v xml:space="preserve"> </v>
      </c>
    </row>
    <row r="1436" spans="4:12" x14ac:dyDescent="0.35">
      <c r="D1436" s="32"/>
      <c r="G1436" s="32"/>
      <c r="H1436">
        <f>COUNTIFS('Audit Raw data'!J:J,B:B,'Audit Raw data'!E:E,G:G)</f>
        <v>0</v>
      </c>
      <c r="I1436" s="44" t="str">
        <f>IFERROR((SUMIFS('Audit Raw data'!BZ:BZ,'Audit Raw data'!J:J,B:B,'Audit Raw data'!E:E,G:G)/H1436)/100,"-")</f>
        <v>-</v>
      </c>
      <c r="J1436">
        <f>COUNTIFS('Audit Raw data'!AM:AM,"Yes",'Audit Raw data'!J:J,B:B,'Audit Raw data'!E:E,'Day wise agent'!G:G)</f>
        <v>0</v>
      </c>
      <c r="K1436">
        <f>COUNTIFS('Audit Raw data'!AM:AM,"NO",'Audit Raw data'!J:J,B:B,'Audit Raw data'!E:E,'Day wise agent'!G:G)</f>
        <v>0</v>
      </c>
      <c r="L1436" s="12" t="str">
        <f t="shared" si="43"/>
        <v xml:space="preserve"> </v>
      </c>
    </row>
    <row r="1437" spans="4:12" x14ac:dyDescent="0.35">
      <c r="D1437" s="32"/>
      <c r="G1437" s="32"/>
      <c r="H1437">
        <f>COUNTIFS('Audit Raw data'!J:J,B:B,'Audit Raw data'!E:E,G:G)</f>
        <v>0</v>
      </c>
      <c r="I1437" s="44" t="str">
        <f>IFERROR((SUMIFS('Audit Raw data'!BZ:BZ,'Audit Raw data'!J:J,B:B,'Audit Raw data'!E:E,G:G)/H1437)/100,"-")</f>
        <v>-</v>
      </c>
      <c r="J1437">
        <f>COUNTIFS('Audit Raw data'!AM:AM,"Yes",'Audit Raw data'!J:J,B:B,'Audit Raw data'!E:E,'Day wise agent'!G:G)</f>
        <v>0</v>
      </c>
      <c r="K1437">
        <f>COUNTIFS('Audit Raw data'!AM:AM,"NO",'Audit Raw data'!J:J,B:B,'Audit Raw data'!E:E,'Day wise agent'!G:G)</f>
        <v>0</v>
      </c>
      <c r="L1437" s="12" t="str">
        <f t="shared" si="43"/>
        <v xml:space="preserve"> </v>
      </c>
    </row>
    <row r="1438" spans="4:12" x14ac:dyDescent="0.35">
      <c r="D1438" s="32"/>
      <c r="G1438" s="32"/>
      <c r="H1438">
        <f>COUNTIFS('Audit Raw data'!J:J,B:B,'Audit Raw data'!E:E,G:G)</f>
        <v>0</v>
      </c>
      <c r="I1438" s="44" t="str">
        <f>IFERROR((SUMIFS('Audit Raw data'!BZ:BZ,'Audit Raw data'!J:J,B:B,'Audit Raw data'!E:E,G:G)/H1438)/100,"-")</f>
        <v>-</v>
      </c>
      <c r="J1438">
        <f>COUNTIFS('Audit Raw data'!AM:AM,"Yes",'Audit Raw data'!J:J,B:B,'Audit Raw data'!E:E,'Day wise agent'!G:G)</f>
        <v>0</v>
      </c>
      <c r="K1438">
        <f>COUNTIFS('Audit Raw data'!AM:AM,"NO",'Audit Raw data'!J:J,B:B,'Audit Raw data'!E:E,'Day wise agent'!G:G)</f>
        <v>0</v>
      </c>
      <c r="L1438" s="12" t="str">
        <f t="shared" si="43"/>
        <v xml:space="preserve"> </v>
      </c>
    </row>
    <row r="1439" spans="4:12" x14ac:dyDescent="0.35">
      <c r="D1439" s="32"/>
      <c r="G1439" s="32"/>
      <c r="H1439">
        <f>COUNTIFS('Audit Raw data'!J:J,B:B,'Audit Raw data'!E:E,G:G)</f>
        <v>0</v>
      </c>
      <c r="I1439" s="44" t="str">
        <f>IFERROR((SUMIFS('Audit Raw data'!BZ:BZ,'Audit Raw data'!J:J,B:B,'Audit Raw data'!E:E,G:G)/H1439)/100,"-")</f>
        <v>-</v>
      </c>
      <c r="J1439">
        <f>COUNTIFS('Audit Raw data'!AM:AM,"Yes",'Audit Raw data'!J:J,B:B,'Audit Raw data'!E:E,'Day wise agent'!G:G)</f>
        <v>0</v>
      </c>
      <c r="K1439">
        <f>COUNTIFS('Audit Raw data'!AM:AM,"NO",'Audit Raw data'!J:J,B:B,'Audit Raw data'!E:E,'Day wise agent'!G:G)</f>
        <v>0</v>
      </c>
      <c r="L1439" s="12" t="str">
        <f t="shared" si="43"/>
        <v xml:space="preserve"> </v>
      </c>
    </row>
    <row r="1440" spans="4:12" x14ac:dyDescent="0.35">
      <c r="D1440" s="32"/>
      <c r="G1440" s="32"/>
      <c r="H1440">
        <f>COUNTIFS('Audit Raw data'!J:J,B:B,'Audit Raw data'!E:E,G:G)</f>
        <v>0</v>
      </c>
      <c r="I1440" s="44" t="str">
        <f>IFERROR((SUMIFS('Audit Raw data'!BZ:BZ,'Audit Raw data'!J:J,B:B,'Audit Raw data'!E:E,G:G)/H1440)/100,"-")</f>
        <v>-</v>
      </c>
      <c r="J1440">
        <f>COUNTIFS('Audit Raw data'!AM:AM,"Yes",'Audit Raw data'!J:J,B:B,'Audit Raw data'!E:E,'Day wise agent'!G:G)</f>
        <v>0</v>
      </c>
      <c r="K1440">
        <f>COUNTIFS('Audit Raw data'!AM:AM,"NO",'Audit Raw data'!J:J,B:B,'Audit Raw data'!E:E,'Day wise agent'!G:G)</f>
        <v>0</v>
      </c>
      <c r="L1440" s="12" t="str">
        <f t="shared" si="43"/>
        <v xml:space="preserve"> </v>
      </c>
    </row>
    <row r="1441" spans="4:12" x14ac:dyDescent="0.35">
      <c r="D1441" s="32"/>
      <c r="G1441" s="32"/>
      <c r="H1441">
        <f>COUNTIFS('Audit Raw data'!J:J,B:B,'Audit Raw data'!E:E,G:G)</f>
        <v>0</v>
      </c>
      <c r="I1441" s="44" t="str">
        <f>IFERROR((SUMIFS('Audit Raw data'!BZ:BZ,'Audit Raw data'!J:J,B:B,'Audit Raw data'!E:E,G:G)/H1441)/100,"-")</f>
        <v>-</v>
      </c>
      <c r="J1441">
        <f>COUNTIFS('Audit Raw data'!AM:AM,"Yes",'Audit Raw data'!J:J,B:B,'Audit Raw data'!E:E,'Day wise agent'!G:G)</f>
        <v>0</v>
      </c>
      <c r="K1441">
        <f>COUNTIFS('Audit Raw data'!AM:AM,"NO",'Audit Raw data'!J:J,B:B,'Audit Raw data'!E:E,'Day wise agent'!G:G)</f>
        <v>0</v>
      </c>
      <c r="L1441" s="12" t="str">
        <f t="shared" si="43"/>
        <v xml:space="preserve"> </v>
      </c>
    </row>
    <row r="1442" spans="4:12" x14ac:dyDescent="0.35">
      <c r="D1442" s="32"/>
      <c r="G1442" s="32"/>
      <c r="H1442">
        <f>COUNTIFS('Audit Raw data'!J:J,B:B,'Audit Raw data'!E:E,G:G)</f>
        <v>0</v>
      </c>
      <c r="I1442" s="44" t="str">
        <f>IFERROR((SUMIFS('Audit Raw data'!BZ:BZ,'Audit Raw data'!J:J,B:B,'Audit Raw data'!E:E,G:G)/H1442)/100,"-")</f>
        <v>-</v>
      </c>
      <c r="J1442">
        <f>COUNTIFS('Audit Raw data'!AM:AM,"Yes",'Audit Raw data'!J:J,B:B,'Audit Raw data'!E:E,'Day wise agent'!G:G)</f>
        <v>0</v>
      </c>
      <c r="K1442">
        <f>COUNTIFS('Audit Raw data'!AM:AM,"NO",'Audit Raw data'!J:J,B:B,'Audit Raw data'!E:E,'Day wise agent'!G:G)</f>
        <v>0</v>
      </c>
      <c r="L1442" s="12" t="str">
        <f t="shared" si="43"/>
        <v xml:space="preserve"> </v>
      </c>
    </row>
    <row r="1443" spans="4:12" x14ac:dyDescent="0.35">
      <c r="D1443" s="32"/>
      <c r="G1443" s="32"/>
      <c r="H1443">
        <f>COUNTIFS('Audit Raw data'!J:J,B:B,'Audit Raw data'!E:E,G:G)</f>
        <v>0</v>
      </c>
      <c r="I1443" s="44" t="str">
        <f>IFERROR((SUMIFS('Audit Raw data'!BZ:BZ,'Audit Raw data'!J:J,B:B,'Audit Raw data'!E:E,G:G)/H1443)/100,"-")</f>
        <v>-</v>
      </c>
      <c r="J1443">
        <f>COUNTIFS('Audit Raw data'!AM:AM,"Yes",'Audit Raw data'!J:J,B:B,'Audit Raw data'!E:E,'Day wise agent'!G:G)</f>
        <v>0</v>
      </c>
      <c r="K1443">
        <f>COUNTIFS('Audit Raw data'!AM:AM,"NO",'Audit Raw data'!J:J,B:B,'Audit Raw data'!E:E,'Day wise agent'!G:G)</f>
        <v>0</v>
      </c>
      <c r="L1443" s="12" t="str">
        <f t="shared" si="43"/>
        <v xml:space="preserve"> </v>
      </c>
    </row>
    <row r="1444" spans="4:12" x14ac:dyDescent="0.35">
      <c r="D1444" s="32"/>
      <c r="G1444" s="32"/>
      <c r="H1444">
        <f>COUNTIFS('Audit Raw data'!J:J,B:B,'Audit Raw data'!E:E,G:G)</f>
        <v>0</v>
      </c>
      <c r="I1444" s="44" t="str">
        <f>IFERROR((SUMIFS('Audit Raw data'!BZ:BZ,'Audit Raw data'!J:J,B:B,'Audit Raw data'!E:E,G:G)/H1444)/100,"-")</f>
        <v>-</v>
      </c>
      <c r="J1444">
        <f>COUNTIFS('Audit Raw data'!AM:AM,"Yes",'Audit Raw data'!J:J,B:B,'Audit Raw data'!E:E,'Day wise agent'!G:G)</f>
        <v>0</v>
      </c>
      <c r="K1444">
        <f>COUNTIFS('Audit Raw data'!AM:AM,"NO",'Audit Raw data'!J:J,B:B,'Audit Raw data'!E:E,'Day wise agent'!G:G)</f>
        <v>0</v>
      </c>
      <c r="L1444" s="12" t="str">
        <f t="shared" si="43"/>
        <v xml:space="preserve"> </v>
      </c>
    </row>
    <row r="1445" spans="4:12" x14ac:dyDescent="0.35">
      <c r="D1445" s="32"/>
      <c r="G1445" s="32"/>
      <c r="H1445">
        <f>COUNTIFS('Audit Raw data'!J:J,B:B,'Audit Raw data'!E:E,G:G)</f>
        <v>0</v>
      </c>
      <c r="I1445" s="44" t="str">
        <f>IFERROR((SUMIFS('Audit Raw data'!BZ:BZ,'Audit Raw data'!J:J,B:B,'Audit Raw data'!E:E,G:G)/H1445)/100,"-")</f>
        <v>-</v>
      </c>
      <c r="J1445">
        <f>COUNTIFS('Audit Raw data'!AM:AM,"Yes",'Audit Raw data'!J:J,B:B,'Audit Raw data'!E:E,'Day wise agent'!G:G)</f>
        <v>0</v>
      </c>
      <c r="K1445">
        <f>COUNTIFS('Audit Raw data'!AM:AM,"NO",'Audit Raw data'!J:J,B:B,'Audit Raw data'!E:E,'Day wise agent'!G:G)</f>
        <v>0</v>
      </c>
      <c r="L1445" s="12" t="str">
        <f t="shared" si="43"/>
        <v xml:space="preserve"> </v>
      </c>
    </row>
    <row r="1446" spans="4:12" x14ac:dyDescent="0.35">
      <c r="D1446" s="32"/>
      <c r="G1446" s="32"/>
      <c r="H1446">
        <f>COUNTIFS('Audit Raw data'!J:J,B:B,'Audit Raw data'!E:E,G:G)</f>
        <v>0</v>
      </c>
      <c r="I1446" s="44" t="str">
        <f>IFERROR((SUMIFS('Audit Raw data'!BZ:BZ,'Audit Raw data'!J:J,B:B,'Audit Raw data'!E:E,G:G)/H1446)/100,"-")</f>
        <v>-</v>
      </c>
      <c r="J1446">
        <f>COUNTIFS('Audit Raw data'!AM:AM,"Yes",'Audit Raw data'!J:J,B:B,'Audit Raw data'!E:E,'Day wise agent'!G:G)</f>
        <v>0</v>
      </c>
      <c r="K1446">
        <f>COUNTIFS('Audit Raw data'!AM:AM,"NO",'Audit Raw data'!J:J,B:B,'Audit Raw data'!E:E,'Day wise agent'!G:G)</f>
        <v>0</v>
      </c>
      <c r="L1446" s="12" t="str">
        <f t="shared" si="43"/>
        <v xml:space="preserve"> </v>
      </c>
    </row>
    <row r="1447" spans="4:12" x14ac:dyDescent="0.35">
      <c r="D1447" s="32"/>
      <c r="G1447" s="32"/>
      <c r="H1447">
        <f>COUNTIFS('Audit Raw data'!J:J,B:B,'Audit Raw data'!E:E,G:G)</f>
        <v>0</v>
      </c>
      <c r="I1447" s="44" t="str">
        <f>IFERROR((SUMIFS('Audit Raw data'!BZ:BZ,'Audit Raw data'!J:J,B:B,'Audit Raw data'!E:E,G:G)/H1447)/100,"-")</f>
        <v>-</v>
      </c>
      <c r="J1447">
        <f>COUNTIFS('Audit Raw data'!AM:AM,"Yes",'Audit Raw data'!J:J,B:B,'Audit Raw data'!E:E,'Day wise agent'!G:G)</f>
        <v>0</v>
      </c>
      <c r="K1447">
        <f>COUNTIFS('Audit Raw data'!AM:AM,"NO",'Audit Raw data'!J:J,B:B,'Audit Raw data'!E:E,'Day wise agent'!G:G)</f>
        <v>0</v>
      </c>
      <c r="L1447" s="12" t="str">
        <f t="shared" si="43"/>
        <v xml:space="preserve"> </v>
      </c>
    </row>
    <row r="1448" spans="4:12" x14ac:dyDescent="0.35">
      <c r="D1448" s="32"/>
      <c r="G1448" s="32"/>
      <c r="H1448">
        <f>COUNTIFS('Audit Raw data'!J:J,B:B,'Audit Raw data'!E:E,G:G)</f>
        <v>0</v>
      </c>
      <c r="I1448" s="44" t="str">
        <f>IFERROR((SUMIFS('Audit Raw data'!BZ:BZ,'Audit Raw data'!J:J,B:B,'Audit Raw data'!E:E,G:G)/H1448)/100,"-")</f>
        <v>-</v>
      </c>
      <c r="J1448">
        <f>COUNTIFS('Audit Raw data'!AM:AM,"Yes",'Audit Raw data'!J:J,B:B,'Audit Raw data'!E:E,'Day wise agent'!G:G)</f>
        <v>0</v>
      </c>
      <c r="K1448">
        <f>COUNTIFS('Audit Raw data'!AM:AM,"NO",'Audit Raw data'!J:J,B:B,'Audit Raw data'!E:E,'Day wise agent'!G:G)</f>
        <v>0</v>
      </c>
      <c r="L1448" s="12" t="str">
        <f t="shared" si="43"/>
        <v xml:space="preserve"> </v>
      </c>
    </row>
    <row r="1449" spans="4:12" x14ac:dyDescent="0.35">
      <c r="D1449" s="32"/>
      <c r="G1449" s="32"/>
      <c r="H1449">
        <f>COUNTIFS('Audit Raw data'!J:J,B:B,'Audit Raw data'!E:E,G:G)</f>
        <v>0</v>
      </c>
      <c r="I1449" s="44" t="str">
        <f>IFERROR((SUMIFS('Audit Raw data'!BZ:BZ,'Audit Raw data'!J:J,B:B,'Audit Raw data'!E:E,G:G)/H1449)/100,"-")</f>
        <v>-</v>
      </c>
      <c r="J1449">
        <f>COUNTIFS('Audit Raw data'!AM:AM,"Yes",'Audit Raw data'!J:J,B:B,'Audit Raw data'!E:E,'Day wise agent'!G:G)</f>
        <v>0</v>
      </c>
      <c r="K1449">
        <f>COUNTIFS('Audit Raw data'!AM:AM,"NO",'Audit Raw data'!J:J,B:B,'Audit Raw data'!E:E,'Day wise agent'!G:G)</f>
        <v>0</v>
      </c>
      <c r="L1449" s="12" t="str">
        <f t="shared" si="43"/>
        <v xml:space="preserve"> </v>
      </c>
    </row>
    <row r="1450" spans="4:12" x14ac:dyDescent="0.35">
      <c r="D1450" s="32"/>
      <c r="G1450" s="32"/>
      <c r="H1450">
        <f>COUNTIFS('Audit Raw data'!J:J,B:B,'Audit Raw data'!E:E,G:G)</f>
        <v>0</v>
      </c>
      <c r="I1450" s="44" t="str">
        <f>IFERROR((SUMIFS('Audit Raw data'!BZ:BZ,'Audit Raw data'!J:J,B:B,'Audit Raw data'!E:E,G:G)/H1450)/100,"-")</f>
        <v>-</v>
      </c>
      <c r="J1450">
        <f>COUNTIFS('Audit Raw data'!AM:AM,"Yes",'Audit Raw data'!J:J,B:B,'Audit Raw data'!E:E,'Day wise agent'!G:G)</f>
        <v>0</v>
      </c>
      <c r="K1450">
        <f>COUNTIFS('Audit Raw data'!AM:AM,"NO",'Audit Raw data'!J:J,B:B,'Audit Raw data'!E:E,'Day wise agent'!G:G)</f>
        <v>0</v>
      </c>
      <c r="L1450" s="12" t="str">
        <f t="shared" si="43"/>
        <v xml:space="preserve"> </v>
      </c>
    </row>
    <row r="1451" spans="4:12" x14ac:dyDescent="0.35">
      <c r="D1451" s="32"/>
      <c r="G1451" s="32"/>
      <c r="H1451">
        <f>COUNTIFS('Audit Raw data'!J:J,B:B,'Audit Raw data'!E:E,G:G)</f>
        <v>0</v>
      </c>
      <c r="I1451" s="44" t="str">
        <f>IFERROR((SUMIFS('Audit Raw data'!BZ:BZ,'Audit Raw data'!J:J,B:B,'Audit Raw data'!E:E,G:G)/H1451)/100,"-")</f>
        <v>-</v>
      </c>
      <c r="J1451">
        <f>COUNTIFS('Audit Raw data'!AM:AM,"Yes",'Audit Raw data'!J:J,B:B,'Audit Raw data'!E:E,'Day wise agent'!G:G)</f>
        <v>0</v>
      </c>
      <c r="K1451">
        <f>COUNTIFS('Audit Raw data'!AM:AM,"NO",'Audit Raw data'!J:J,B:B,'Audit Raw data'!E:E,'Day wise agent'!G:G)</f>
        <v>0</v>
      </c>
      <c r="L1451" s="12" t="str">
        <f t="shared" si="43"/>
        <v xml:space="preserve"> </v>
      </c>
    </row>
    <row r="1452" spans="4:12" x14ac:dyDescent="0.35">
      <c r="D1452" s="32"/>
      <c r="G1452" s="32"/>
      <c r="H1452">
        <f>COUNTIFS('Audit Raw data'!J:J,B:B,'Audit Raw data'!E:E,G:G)</f>
        <v>0</v>
      </c>
      <c r="I1452" s="44" t="str">
        <f>IFERROR((SUMIFS('Audit Raw data'!BZ:BZ,'Audit Raw data'!J:J,B:B,'Audit Raw data'!E:E,G:G)/H1452)/100,"-")</f>
        <v>-</v>
      </c>
      <c r="J1452">
        <f>COUNTIFS('Audit Raw data'!AM:AM,"Yes",'Audit Raw data'!J:J,B:B,'Audit Raw data'!E:E,'Day wise agent'!G:G)</f>
        <v>0</v>
      </c>
      <c r="K1452">
        <f>COUNTIFS('Audit Raw data'!AM:AM,"NO",'Audit Raw data'!J:J,B:B,'Audit Raw data'!E:E,'Day wise agent'!G:G)</f>
        <v>0</v>
      </c>
      <c r="L1452" s="12" t="str">
        <f t="shared" si="43"/>
        <v xml:space="preserve"> </v>
      </c>
    </row>
    <row r="1453" spans="4:12" x14ac:dyDescent="0.35">
      <c r="D1453" s="32"/>
      <c r="G1453" s="32"/>
      <c r="H1453">
        <f>COUNTIFS('Audit Raw data'!J:J,B:B,'Audit Raw data'!E:E,G:G)</f>
        <v>0</v>
      </c>
      <c r="I1453" s="44" t="str">
        <f>IFERROR((SUMIFS('Audit Raw data'!BZ:BZ,'Audit Raw data'!J:J,B:B,'Audit Raw data'!E:E,G:G)/H1453)/100,"-")</f>
        <v>-</v>
      </c>
      <c r="J1453">
        <f>COUNTIFS('Audit Raw data'!AM:AM,"Yes",'Audit Raw data'!J:J,B:B,'Audit Raw data'!E:E,'Day wise agent'!G:G)</f>
        <v>0</v>
      </c>
      <c r="K1453">
        <f>COUNTIFS('Audit Raw data'!AM:AM,"NO",'Audit Raw data'!J:J,B:B,'Audit Raw data'!E:E,'Day wise agent'!G:G)</f>
        <v>0</v>
      </c>
      <c r="L1453" s="12" t="str">
        <f t="shared" si="43"/>
        <v xml:space="preserve"> </v>
      </c>
    </row>
    <row r="1454" spans="4:12" x14ac:dyDescent="0.35">
      <c r="D1454" s="32"/>
      <c r="G1454" s="32"/>
      <c r="H1454">
        <f>COUNTIFS('Audit Raw data'!J:J,B:B,'Audit Raw data'!E:E,G:G)</f>
        <v>0</v>
      </c>
      <c r="I1454" s="44" t="str">
        <f>IFERROR((SUMIFS('Audit Raw data'!BZ:BZ,'Audit Raw data'!J:J,B:B,'Audit Raw data'!E:E,G:G)/H1454)/100,"-")</f>
        <v>-</v>
      </c>
      <c r="J1454">
        <f>COUNTIFS('Audit Raw data'!AM:AM,"Yes",'Audit Raw data'!J:J,B:B,'Audit Raw data'!E:E,'Day wise agent'!G:G)</f>
        <v>0</v>
      </c>
      <c r="K1454">
        <f>COUNTIFS('Audit Raw data'!AM:AM,"NO",'Audit Raw data'!J:J,B:B,'Audit Raw data'!E:E,'Day wise agent'!G:G)</f>
        <v>0</v>
      </c>
      <c r="L1454" s="12" t="str">
        <f t="shared" si="43"/>
        <v xml:space="preserve"> </v>
      </c>
    </row>
    <row r="1455" spans="4:12" x14ac:dyDescent="0.35">
      <c r="D1455" s="32"/>
      <c r="G1455" s="32"/>
      <c r="H1455">
        <f>COUNTIFS('Audit Raw data'!J:J,B:B,'Audit Raw data'!E:E,G:G)</f>
        <v>0</v>
      </c>
      <c r="I1455" s="44" t="str">
        <f>IFERROR((SUMIFS('Audit Raw data'!BZ:BZ,'Audit Raw data'!J:J,B:B,'Audit Raw data'!E:E,G:G)/H1455)/100,"-")</f>
        <v>-</v>
      </c>
      <c r="J1455">
        <f>COUNTIFS('Audit Raw data'!AM:AM,"Yes",'Audit Raw data'!J:J,B:B,'Audit Raw data'!E:E,'Day wise agent'!G:G)</f>
        <v>0</v>
      </c>
      <c r="K1455">
        <f>COUNTIFS('Audit Raw data'!AM:AM,"NO",'Audit Raw data'!J:J,B:B,'Audit Raw data'!E:E,'Day wise agent'!G:G)</f>
        <v>0</v>
      </c>
      <c r="L1455" s="12" t="str">
        <f t="shared" si="43"/>
        <v xml:space="preserve"> </v>
      </c>
    </row>
    <row r="1456" spans="4:12" x14ac:dyDescent="0.35">
      <c r="D1456" s="32"/>
      <c r="G1456" s="32"/>
      <c r="H1456">
        <f>COUNTIFS('Audit Raw data'!J:J,B:B,'Audit Raw data'!E:E,G:G)</f>
        <v>0</v>
      </c>
      <c r="I1456" s="44" t="str">
        <f>IFERROR((SUMIFS('Audit Raw data'!BZ:BZ,'Audit Raw data'!J:J,B:B,'Audit Raw data'!E:E,G:G)/H1456)/100,"-")</f>
        <v>-</v>
      </c>
      <c r="J1456">
        <f>COUNTIFS('Audit Raw data'!AM:AM,"Yes",'Audit Raw data'!J:J,B:B,'Audit Raw data'!E:E,'Day wise agent'!G:G)</f>
        <v>0</v>
      </c>
      <c r="K1456">
        <f>COUNTIFS('Audit Raw data'!AM:AM,"NO",'Audit Raw data'!J:J,B:B,'Audit Raw data'!E:E,'Day wise agent'!G:G)</f>
        <v>0</v>
      </c>
      <c r="L1456" s="12" t="str">
        <f t="shared" si="43"/>
        <v xml:space="preserve"> </v>
      </c>
    </row>
    <row r="1457" spans="4:12" x14ac:dyDescent="0.35">
      <c r="D1457" s="32"/>
      <c r="G1457" s="32"/>
      <c r="H1457">
        <f>COUNTIFS('Audit Raw data'!J:J,B:B,'Audit Raw data'!E:E,G:G)</f>
        <v>0</v>
      </c>
      <c r="I1457" s="44" t="str">
        <f>IFERROR((SUMIFS('Audit Raw data'!BZ:BZ,'Audit Raw data'!J:J,B:B,'Audit Raw data'!E:E,G:G)/H1457)/100,"-")</f>
        <v>-</v>
      </c>
      <c r="J1457">
        <f>COUNTIFS('Audit Raw data'!AM:AM,"Yes",'Audit Raw data'!J:J,B:B,'Audit Raw data'!E:E,'Day wise agent'!G:G)</f>
        <v>0</v>
      </c>
      <c r="K1457">
        <f>COUNTIFS('Audit Raw data'!AM:AM,"NO",'Audit Raw data'!J:J,B:B,'Audit Raw data'!E:E,'Day wise agent'!G:G)</f>
        <v>0</v>
      </c>
      <c r="L1457" s="12" t="str">
        <f t="shared" si="43"/>
        <v xml:space="preserve"> </v>
      </c>
    </row>
    <row r="1458" spans="4:12" x14ac:dyDescent="0.35">
      <c r="D1458" s="32"/>
      <c r="G1458" s="32"/>
      <c r="H1458">
        <f>COUNTIFS('Audit Raw data'!J:J,B:B,'Audit Raw data'!E:E,G:G)</f>
        <v>0</v>
      </c>
      <c r="I1458" s="44" t="str">
        <f>IFERROR((SUMIFS('Audit Raw data'!BZ:BZ,'Audit Raw data'!J:J,B:B,'Audit Raw data'!E:E,G:G)/H1458)/100,"-")</f>
        <v>-</v>
      </c>
      <c r="J1458">
        <f>COUNTIFS('Audit Raw data'!AM:AM,"Yes",'Audit Raw data'!J:J,B:B,'Audit Raw data'!E:E,'Day wise agent'!G:G)</f>
        <v>0</v>
      </c>
      <c r="K1458">
        <f>COUNTIFS('Audit Raw data'!AM:AM,"NO",'Audit Raw data'!J:J,B:B,'Audit Raw data'!E:E,'Day wise agent'!G:G)</f>
        <v>0</v>
      </c>
      <c r="L1458" s="12" t="str">
        <f t="shared" si="43"/>
        <v xml:space="preserve"> </v>
      </c>
    </row>
    <row r="1459" spans="4:12" x14ac:dyDescent="0.35">
      <c r="D1459" s="32"/>
      <c r="G1459" s="32"/>
      <c r="H1459">
        <f>COUNTIFS('Audit Raw data'!J:J,B:B,'Audit Raw data'!E:E,G:G)</f>
        <v>0</v>
      </c>
      <c r="I1459" s="44" t="str">
        <f>IFERROR((SUMIFS('Audit Raw data'!BZ:BZ,'Audit Raw data'!J:J,B:B,'Audit Raw data'!E:E,G:G)/H1459)/100,"-")</f>
        <v>-</v>
      </c>
      <c r="J1459">
        <f>COUNTIFS('Audit Raw data'!AM:AM,"Yes",'Audit Raw data'!J:J,B:B,'Audit Raw data'!E:E,'Day wise agent'!G:G)</f>
        <v>0</v>
      </c>
      <c r="K1459">
        <f>COUNTIFS('Audit Raw data'!AM:AM,"NO",'Audit Raw data'!J:J,B:B,'Audit Raw data'!E:E,'Day wise agent'!G:G)</f>
        <v>0</v>
      </c>
      <c r="L1459" s="12" t="str">
        <f t="shared" si="43"/>
        <v xml:space="preserve"> </v>
      </c>
    </row>
    <row r="1460" spans="4:12" x14ac:dyDescent="0.35">
      <c r="D1460" s="32"/>
      <c r="G1460" s="32"/>
      <c r="H1460">
        <f>COUNTIFS('Audit Raw data'!J:J,B:B,'Audit Raw data'!E:E,G:G)</f>
        <v>0</v>
      </c>
      <c r="I1460" s="44" t="str">
        <f>IFERROR((SUMIFS('Audit Raw data'!BZ:BZ,'Audit Raw data'!J:J,B:B,'Audit Raw data'!E:E,G:G)/H1460)/100,"-")</f>
        <v>-</v>
      </c>
      <c r="J1460">
        <f>COUNTIFS('Audit Raw data'!AM:AM,"Yes",'Audit Raw data'!J:J,B:B,'Audit Raw data'!E:E,'Day wise agent'!G:G)</f>
        <v>0</v>
      </c>
      <c r="K1460">
        <f>COUNTIFS('Audit Raw data'!AM:AM,"NO",'Audit Raw data'!J:J,B:B,'Audit Raw data'!E:E,'Day wise agent'!G:G)</f>
        <v>0</v>
      </c>
      <c r="L1460" s="12" t="str">
        <f t="shared" si="43"/>
        <v xml:space="preserve"> </v>
      </c>
    </row>
    <row r="1461" spans="4:12" x14ac:dyDescent="0.35">
      <c r="D1461" s="32"/>
      <c r="G1461" s="32"/>
      <c r="H1461">
        <f>COUNTIFS('Audit Raw data'!J:J,B:B,'Audit Raw data'!E:E,G:G)</f>
        <v>0</v>
      </c>
      <c r="I1461" s="44" t="str">
        <f>IFERROR((SUMIFS('Audit Raw data'!BZ:BZ,'Audit Raw data'!J:J,B:B,'Audit Raw data'!E:E,G:G)/H1461)/100,"-")</f>
        <v>-</v>
      </c>
      <c r="J1461">
        <f>COUNTIFS('Audit Raw data'!AM:AM,"Yes",'Audit Raw data'!J:J,B:B,'Audit Raw data'!E:E,'Day wise agent'!G:G)</f>
        <v>0</v>
      </c>
      <c r="K1461">
        <f>COUNTIFS('Audit Raw data'!AM:AM,"NO",'Audit Raw data'!J:J,B:B,'Audit Raw data'!E:E,'Day wise agent'!G:G)</f>
        <v>0</v>
      </c>
      <c r="L1461" s="12" t="str">
        <f t="shared" si="43"/>
        <v xml:space="preserve"> </v>
      </c>
    </row>
    <row r="1462" spans="4:12" x14ac:dyDescent="0.35">
      <c r="D1462" s="32"/>
      <c r="G1462" s="32"/>
      <c r="H1462">
        <f>COUNTIFS('Audit Raw data'!J:J,B:B,'Audit Raw data'!E:E,G:G)</f>
        <v>0</v>
      </c>
      <c r="I1462" s="44" t="str">
        <f>IFERROR((SUMIFS('Audit Raw data'!BZ:BZ,'Audit Raw data'!J:J,B:B,'Audit Raw data'!E:E,G:G)/H1462)/100,"-")</f>
        <v>-</v>
      </c>
      <c r="J1462">
        <f>COUNTIFS('Audit Raw data'!AM:AM,"Yes",'Audit Raw data'!J:J,B:B,'Audit Raw data'!E:E,'Day wise agent'!G:G)</f>
        <v>0</v>
      </c>
      <c r="K1462">
        <f>COUNTIFS('Audit Raw data'!AM:AM,"NO",'Audit Raw data'!J:J,B:B,'Audit Raw data'!E:E,'Day wise agent'!G:G)</f>
        <v>0</v>
      </c>
      <c r="L1462" s="12" t="str">
        <f t="shared" si="43"/>
        <v xml:space="preserve"> </v>
      </c>
    </row>
    <row r="1463" spans="4:12" x14ac:dyDescent="0.35">
      <c r="D1463" s="32"/>
      <c r="G1463" s="32"/>
      <c r="H1463">
        <f>COUNTIFS('Audit Raw data'!J:J,B:B,'Audit Raw data'!E:E,G:G)</f>
        <v>0</v>
      </c>
      <c r="I1463" s="44" t="str">
        <f>IFERROR((SUMIFS('Audit Raw data'!BZ:BZ,'Audit Raw data'!J:J,B:B,'Audit Raw data'!E:E,G:G)/H1463)/100,"-")</f>
        <v>-</v>
      </c>
      <c r="J1463">
        <f>COUNTIFS('Audit Raw data'!AM:AM,"Yes",'Audit Raw data'!J:J,B:B,'Audit Raw data'!E:E,'Day wise agent'!G:G)</f>
        <v>0</v>
      </c>
      <c r="K1463">
        <f>COUNTIFS('Audit Raw data'!AM:AM,"NO",'Audit Raw data'!J:J,B:B,'Audit Raw data'!E:E,'Day wise agent'!G:G)</f>
        <v>0</v>
      </c>
      <c r="L1463" s="12" t="str">
        <f t="shared" si="43"/>
        <v xml:space="preserve"> </v>
      </c>
    </row>
    <row r="1464" spans="4:12" x14ac:dyDescent="0.35">
      <c r="D1464" s="32"/>
      <c r="G1464" s="32"/>
      <c r="H1464">
        <f>COUNTIFS('Audit Raw data'!J:J,B:B,'Audit Raw data'!E:E,G:G)</f>
        <v>0</v>
      </c>
      <c r="I1464" s="44" t="str">
        <f>IFERROR((SUMIFS('Audit Raw data'!BZ:BZ,'Audit Raw data'!J:J,B:B,'Audit Raw data'!E:E,G:G)/H1464)/100,"-")</f>
        <v>-</v>
      </c>
      <c r="J1464">
        <f>COUNTIFS('Audit Raw data'!AM:AM,"Yes",'Audit Raw data'!J:J,B:B,'Audit Raw data'!E:E,'Day wise agent'!G:G)</f>
        <v>0</v>
      </c>
      <c r="K1464">
        <f>COUNTIFS('Audit Raw data'!AM:AM,"NO",'Audit Raw data'!J:J,B:B,'Audit Raw data'!E:E,'Day wise agent'!G:G)</f>
        <v>0</v>
      </c>
      <c r="L1464" s="12" t="str">
        <f t="shared" si="43"/>
        <v xml:space="preserve"> </v>
      </c>
    </row>
    <row r="1465" spans="4:12" x14ac:dyDescent="0.35">
      <c r="D1465" s="32"/>
      <c r="G1465" s="32"/>
      <c r="H1465">
        <f>COUNTIFS('Audit Raw data'!J:J,B:B,'Audit Raw data'!E:E,G:G)</f>
        <v>0</v>
      </c>
      <c r="I1465" s="44" t="str">
        <f>IFERROR((SUMIFS('Audit Raw data'!BZ:BZ,'Audit Raw data'!J:J,B:B,'Audit Raw data'!E:E,G:G)/H1465)/100,"-")</f>
        <v>-</v>
      </c>
      <c r="J1465">
        <f>COUNTIFS('Audit Raw data'!AM:AM,"Yes",'Audit Raw data'!J:J,B:B,'Audit Raw data'!E:E,'Day wise agent'!G:G)</f>
        <v>0</v>
      </c>
      <c r="K1465">
        <f>COUNTIFS('Audit Raw data'!AM:AM,"NO",'Audit Raw data'!J:J,B:B,'Audit Raw data'!E:E,'Day wise agent'!G:G)</f>
        <v>0</v>
      </c>
      <c r="L1465" s="12" t="str">
        <f t="shared" si="43"/>
        <v xml:space="preserve"> </v>
      </c>
    </row>
    <row r="1466" spans="4:12" x14ac:dyDescent="0.35">
      <c r="D1466" s="32"/>
      <c r="G1466" s="32"/>
      <c r="H1466">
        <f>COUNTIFS('Audit Raw data'!J:J,B:B,'Audit Raw data'!E:E,G:G)</f>
        <v>0</v>
      </c>
      <c r="I1466" s="44" t="str">
        <f>IFERROR((SUMIFS('Audit Raw data'!BZ:BZ,'Audit Raw data'!J:J,B:B,'Audit Raw data'!E:E,G:G)/H1466)/100,"-")</f>
        <v>-</v>
      </c>
      <c r="J1466">
        <f>COUNTIFS('Audit Raw data'!AM:AM,"Yes",'Audit Raw data'!J:J,B:B,'Audit Raw data'!E:E,'Day wise agent'!G:G)</f>
        <v>0</v>
      </c>
      <c r="K1466">
        <f>COUNTIFS('Audit Raw data'!AM:AM,"NO",'Audit Raw data'!J:J,B:B,'Audit Raw data'!E:E,'Day wise agent'!G:G)</f>
        <v>0</v>
      </c>
      <c r="L1466" s="12" t="str">
        <f t="shared" si="43"/>
        <v xml:space="preserve"> </v>
      </c>
    </row>
    <row r="1467" spans="4:12" x14ac:dyDescent="0.35">
      <c r="D1467" s="32"/>
      <c r="G1467" s="32"/>
      <c r="H1467">
        <f>COUNTIFS('Audit Raw data'!J:J,B:B,'Audit Raw data'!E:E,G:G)</f>
        <v>0</v>
      </c>
      <c r="I1467" s="44" t="str">
        <f>IFERROR((SUMIFS('Audit Raw data'!BZ:BZ,'Audit Raw data'!J:J,B:B,'Audit Raw data'!E:E,G:G)/H1467)/100,"-")</f>
        <v>-</v>
      </c>
      <c r="J1467">
        <f>COUNTIFS('Audit Raw data'!AM:AM,"Yes",'Audit Raw data'!J:J,B:B,'Audit Raw data'!E:E,'Day wise agent'!G:G)</f>
        <v>0</v>
      </c>
      <c r="K1467">
        <f>COUNTIFS('Audit Raw data'!AM:AM,"NO",'Audit Raw data'!J:J,B:B,'Audit Raw data'!E:E,'Day wise agent'!G:G)</f>
        <v>0</v>
      </c>
      <c r="L1467" s="12" t="str">
        <f t="shared" si="43"/>
        <v xml:space="preserve"> </v>
      </c>
    </row>
    <row r="1468" spans="4:12" x14ac:dyDescent="0.35">
      <c r="D1468" s="32"/>
      <c r="G1468" s="32"/>
      <c r="H1468">
        <f>COUNTIFS('Audit Raw data'!J:J,B:B,'Audit Raw data'!E:E,G:G)</f>
        <v>0</v>
      </c>
      <c r="I1468" s="44" t="str">
        <f>IFERROR((SUMIFS('Audit Raw data'!BZ:BZ,'Audit Raw data'!J:J,B:B,'Audit Raw data'!E:E,G:G)/H1468)/100,"-")</f>
        <v>-</v>
      </c>
      <c r="J1468">
        <f>COUNTIFS('Audit Raw data'!AM:AM,"Yes",'Audit Raw data'!J:J,B:B,'Audit Raw data'!E:E,'Day wise agent'!G:G)</f>
        <v>0</v>
      </c>
      <c r="K1468">
        <f>COUNTIFS('Audit Raw data'!AM:AM,"NO",'Audit Raw data'!J:J,B:B,'Audit Raw data'!E:E,'Day wise agent'!G:G)</f>
        <v>0</v>
      </c>
      <c r="L1468" s="12" t="str">
        <f t="shared" si="43"/>
        <v xml:space="preserve"> </v>
      </c>
    </row>
    <row r="1469" spans="4:12" x14ac:dyDescent="0.35">
      <c r="D1469" s="32"/>
      <c r="G1469" s="32"/>
      <c r="H1469">
        <f>COUNTIFS('Audit Raw data'!J:J,B:B,'Audit Raw data'!E:E,G:G)</f>
        <v>0</v>
      </c>
      <c r="I1469" s="44" t="str">
        <f>IFERROR((SUMIFS('Audit Raw data'!BZ:BZ,'Audit Raw data'!J:J,B:B,'Audit Raw data'!E:E,G:G)/H1469)/100,"-")</f>
        <v>-</v>
      </c>
      <c r="J1469">
        <f>COUNTIFS('Audit Raw data'!AM:AM,"Yes",'Audit Raw data'!J:J,B:B,'Audit Raw data'!E:E,'Day wise agent'!G:G)</f>
        <v>0</v>
      </c>
      <c r="K1469">
        <f>COUNTIFS('Audit Raw data'!AM:AM,"NO",'Audit Raw data'!J:J,B:B,'Audit Raw data'!E:E,'Day wise agent'!G:G)</f>
        <v>0</v>
      </c>
      <c r="L1469" s="12" t="str">
        <f t="shared" si="43"/>
        <v xml:space="preserve"> </v>
      </c>
    </row>
    <row r="1470" spans="4:12" x14ac:dyDescent="0.35">
      <c r="D1470" s="32"/>
      <c r="G1470" s="32"/>
      <c r="H1470">
        <f>COUNTIFS('Audit Raw data'!J:J,B:B,'Audit Raw data'!E:E,G:G)</f>
        <v>0</v>
      </c>
      <c r="I1470" s="44" t="str">
        <f>IFERROR((SUMIFS('Audit Raw data'!BZ:BZ,'Audit Raw data'!J:J,B:B,'Audit Raw data'!E:E,G:G)/H1470)/100,"-")</f>
        <v>-</v>
      </c>
      <c r="J1470">
        <f>COUNTIFS('Audit Raw data'!AM:AM,"Yes",'Audit Raw data'!J:J,B:B,'Audit Raw data'!E:E,'Day wise agent'!G:G)</f>
        <v>0</v>
      </c>
      <c r="K1470">
        <f>COUNTIFS('Audit Raw data'!AM:AM,"NO",'Audit Raw data'!J:J,B:B,'Audit Raw data'!E:E,'Day wise agent'!G:G)</f>
        <v>0</v>
      </c>
      <c r="L1470" s="12" t="str">
        <f t="shared" si="43"/>
        <v xml:space="preserve"> </v>
      </c>
    </row>
    <row r="1471" spans="4:12" x14ac:dyDescent="0.35">
      <c r="D1471" s="32"/>
      <c r="G1471" s="32"/>
      <c r="H1471">
        <f>COUNTIFS('Audit Raw data'!J:J,B:B,'Audit Raw data'!E:E,G:G)</f>
        <v>0</v>
      </c>
      <c r="I1471" s="44" t="str">
        <f>IFERROR((SUMIFS('Audit Raw data'!BZ:BZ,'Audit Raw data'!J:J,B:B,'Audit Raw data'!E:E,G:G)/H1471)/100,"-")</f>
        <v>-</v>
      </c>
      <c r="J1471">
        <f>COUNTIFS('Audit Raw data'!AM:AM,"Yes",'Audit Raw data'!J:J,B:B,'Audit Raw data'!E:E,'Day wise agent'!G:G)</f>
        <v>0</v>
      </c>
      <c r="K1471">
        <f>COUNTIFS('Audit Raw data'!AM:AM,"NO",'Audit Raw data'!J:J,B:B,'Audit Raw data'!E:E,'Day wise agent'!G:G)</f>
        <v>0</v>
      </c>
      <c r="L1471" s="12" t="str">
        <f t="shared" si="43"/>
        <v xml:space="preserve"> </v>
      </c>
    </row>
    <row r="1472" spans="4:12" x14ac:dyDescent="0.35">
      <c r="D1472" s="32"/>
      <c r="G1472" s="32"/>
      <c r="H1472">
        <f>COUNTIFS('Audit Raw data'!J:J,B:B,'Audit Raw data'!E:E,G:G)</f>
        <v>0</v>
      </c>
      <c r="I1472" s="44" t="str">
        <f>IFERROR((SUMIFS('Audit Raw data'!BZ:BZ,'Audit Raw data'!J:J,B:B,'Audit Raw data'!E:E,G:G)/H1472)/100,"-")</f>
        <v>-</v>
      </c>
      <c r="J1472">
        <f>COUNTIFS('Audit Raw data'!AM:AM,"Yes",'Audit Raw data'!J:J,B:B,'Audit Raw data'!E:E,'Day wise agent'!G:G)</f>
        <v>0</v>
      </c>
      <c r="K1472">
        <f>COUNTIFS('Audit Raw data'!AM:AM,"NO",'Audit Raw data'!J:J,B:B,'Audit Raw data'!E:E,'Day wise agent'!G:G)</f>
        <v>0</v>
      </c>
      <c r="L1472" s="12" t="str">
        <f t="shared" si="43"/>
        <v xml:space="preserve"> </v>
      </c>
    </row>
    <row r="1473" spans="4:12" x14ac:dyDescent="0.35">
      <c r="D1473" s="32"/>
      <c r="G1473" s="32"/>
      <c r="H1473">
        <f>COUNTIFS('Audit Raw data'!J:J,B:B,'Audit Raw data'!E:E,G:G)</f>
        <v>0</v>
      </c>
      <c r="I1473" s="44" t="str">
        <f>IFERROR((SUMIFS('Audit Raw data'!BZ:BZ,'Audit Raw data'!J:J,B:B,'Audit Raw data'!E:E,G:G)/H1473)/100,"-")</f>
        <v>-</v>
      </c>
      <c r="J1473">
        <f>COUNTIFS('Audit Raw data'!AM:AM,"Yes",'Audit Raw data'!J:J,B:B,'Audit Raw data'!E:E,'Day wise agent'!G:G)</f>
        <v>0</v>
      </c>
      <c r="K1473">
        <f>COUNTIFS('Audit Raw data'!AM:AM,"NO",'Audit Raw data'!J:J,B:B,'Audit Raw data'!E:E,'Day wise agent'!G:G)</f>
        <v>0</v>
      </c>
      <c r="L1473" s="12" t="str">
        <f t="shared" si="43"/>
        <v xml:space="preserve"> </v>
      </c>
    </row>
    <row r="1474" spans="4:12" x14ac:dyDescent="0.35">
      <c r="D1474" s="32"/>
      <c r="G1474" s="32"/>
      <c r="H1474">
        <f>COUNTIFS('Audit Raw data'!J:J,B:B,'Audit Raw data'!E:E,G:G)</f>
        <v>0</v>
      </c>
      <c r="I1474" s="44" t="str">
        <f>IFERROR((SUMIFS('Audit Raw data'!BZ:BZ,'Audit Raw data'!J:J,B:B,'Audit Raw data'!E:E,G:G)/H1474)/100,"-")</f>
        <v>-</v>
      </c>
      <c r="J1474">
        <f>COUNTIFS('Audit Raw data'!AM:AM,"Yes",'Audit Raw data'!J:J,B:B,'Audit Raw data'!E:E,'Day wise agent'!G:G)</f>
        <v>0</v>
      </c>
      <c r="K1474">
        <f>COUNTIFS('Audit Raw data'!AM:AM,"NO",'Audit Raw data'!J:J,B:B,'Audit Raw data'!E:E,'Day wise agent'!G:G)</f>
        <v>0</v>
      </c>
      <c r="L1474" s="12" t="str">
        <f t="shared" ref="L1474:L1537" si="44">IFERROR(J1474/H1474," ")</f>
        <v xml:space="preserve"> </v>
      </c>
    </row>
    <row r="1475" spans="4:12" x14ac:dyDescent="0.35">
      <c r="D1475" s="32"/>
      <c r="G1475" s="32"/>
      <c r="H1475">
        <f>COUNTIFS('Audit Raw data'!J:J,B:B,'Audit Raw data'!E:E,G:G)</f>
        <v>0</v>
      </c>
      <c r="I1475" s="44" t="str">
        <f>IFERROR((SUMIFS('Audit Raw data'!BZ:BZ,'Audit Raw data'!J:J,B:B,'Audit Raw data'!E:E,G:G)/H1475)/100,"-")</f>
        <v>-</v>
      </c>
      <c r="J1475">
        <f>COUNTIFS('Audit Raw data'!AM:AM,"Yes",'Audit Raw data'!J:J,B:B,'Audit Raw data'!E:E,'Day wise agent'!G:G)</f>
        <v>0</v>
      </c>
      <c r="K1475">
        <f>COUNTIFS('Audit Raw data'!AM:AM,"NO",'Audit Raw data'!J:J,B:B,'Audit Raw data'!E:E,'Day wise agent'!G:G)</f>
        <v>0</v>
      </c>
      <c r="L1475" s="12" t="str">
        <f t="shared" si="44"/>
        <v xml:space="preserve"> </v>
      </c>
    </row>
    <row r="1476" spans="4:12" x14ac:dyDescent="0.35">
      <c r="D1476" s="32"/>
      <c r="G1476" s="32"/>
      <c r="H1476">
        <f>COUNTIFS('Audit Raw data'!J:J,B:B,'Audit Raw data'!E:E,G:G)</f>
        <v>0</v>
      </c>
      <c r="I1476" s="44" t="str">
        <f>IFERROR((SUMIFS('Audit Raw data'!BZ:BZ,'Audit Raw data'!J:J,B:B,'Audit Raw data'!E:E,G:G)/H1476)/100,"-")</f>
        <v>-</v>
      </c>
      <c r="J1476">
        <f>COUNTIFS('Audit Raw data'!AM:AM,"Yes",'Audit Raw data'!J:J,B:B,'Audit Raw data'!E:E,'Day wise agent'!G:G)</f>
        <v>0</v>
      </c>
      <c r="K1476">
        <f>COUNTIFS('Audit Raw data'!AM:AM,"NO",'Audit Raw data'!J:J,B:B,'Audit Raw data'!E:E,'Day wise agent'!G:G)</f>
        <v>0</v>
      </c>
      <c r="L1476" s="12" t="str">
        <f t="shared" si="44"/>
        <v xml:space="preserve"> </v>
      </c>
    </row>
    <row r="1477" spans="4:12" x14ac:dyDescent="0.35">
      <c r="D1477" s="32"/>
      <c r="G1477" s="32"/>
      <c r="H1477">
        <f>COUNTIFS('Audit Raw data'!J:J,B:B,'Audit Raw data'!E:E,G:G)</f>
        <v>0</v>
      </c>
      <c r="I1477" s="44" t="str">
        <f>IFERROR((SUMIFS('Audit Raw data'!BZ:BZ,'Audit Raw data'!J:J,B:B,'Audit Raw data'!E:E,G:G)/H1477)/100,"-")</f>
        <v>-</v>
      </c>
      <c r="J1477">
        <f>COUNTIFS('Audit Raw data'!AM:AM,"Yes",'Audit Raw data'!J:J,B:B,'Audit Raw data'!E:E,'Day wise agent'!G:G)</f>
        <v>0</v>
      </c>
      <c r="K1477">
        <f>COUNTIFS('Audit Raw data'!AM:AM,"NO",'Audit Raw data'!J:J,B:B,'Audit Raw data'!E:E,'Day wise agent'!G:G)</f>
        <v>0</v>
      </c>
      <c r="L1477" s="12" t="str">
        <f t="shared" si="44"/>
        <v xml:space="preserve"> </v>
      </c>
    </row>
    <row r="1478" spans="4:12" x14ac:dyDescent="0.35">
      <c r="D1478" s="32"/>
      <c r="G1478" s="32"/>
      <c r="H1478">
        <f>COUNTIFS('Audit Raw data'!J:J,B:B,'Audit Raw data'!E:E,G:G)</f>
        <v>0</v>
      </c>
      <c r="I1478" s="44" t="str">
        <f>IFERROR((SUMIFS('Audit Raw data'!BZ:BZ,'Audit Raw data'!J:J,B:B,'Audit Raw data'!E:E,G:G)/H1478)/100,"-")</f>
        <v>-</v>
      </c>
      <c r="J1478">
        <f>COUNTIFS('Audit Raw data'!AM:AM,"Yes",'Audit Raw data'!J:J,B:B,'Audit Raw data'!E:E,'Day wise agent'!G:G)</f>
        <v>0</v>
      </c>
      <c r="K1478">
        <f>COUNTIFS('Audit Raw data'!AM:AM,"NO",'Audit Raw data'!J:J,B:B,'Audit Raw data'!E:E,'Day wise agent'!G:G)</f>
        <v>0</v>
      </c>
      <c r="L1478" s="12" t="str">
        <f t="shared" si="44"/>
        <v xml:space="preserve"> </v>
      </c>
    </row>
    <row r="1479" spans="4:12" x14ac:dyDescent="0.35">
      <c r="D1479" s="32"/>
      <c r="G1479" s="32"/>
      <c r="H1479">
        <f>COUNTIFS('Audit Raw data'!J:J,B:B,'Audit Raw data'!E:E,G:G)</f>
        <v>0</v>
      </c>
      <c r="I1479" s="44" t="str">
        <f>IFERROR((SUMIFS('Audit Raw data'!BZ:BZ,'Audit Raw data'!J:J,B:B,'Audit Raw data'!E:E,G:G)/H1479)/100,"-")</f>
        <v>-</v>
      </c>
      <c r="J1479">
        <f>COUNTIFS('Audit Raw data'!AM:AM,"Yes",'Audit Raw data'!J:J,B:B,'Audit Raw data'!E:E,'Day wise agent'!G:G)</f>
        <v>0</v>
      </c>
      <c r="K1479">
        <f>COUNTIFS('Audit Raw data'!AM:AM,"NO",'Audit Raw data'!J:J,B:B,'Audit Raw data'!E:E,'Day wise agent'!G:G)</f>
        <v>0</v>
      </c>
      <c r="L1479" s="12" t="str">
        <f t="shared" si="44"/>
        <v xml:space="preserve"> </v>
      </c>
    </row>
    <row r="1480" spans="4:12" x14ac:dyDescent="0.35">
      <c r="D1480" s="32"/>
      <c r="G1480" s="32"/>
      <c r="H1480">
        <f>COUNTIFS('Audit Raw data'!J:J,B:B,'Audit Raw data'!E:E,G:G)</f>
        <v>0</v>
      </c>
      <c r="I1480" s="44" t="str">
        <f>IFERROR((SUMIFS('Audit Raw data'!BZ:BZ,'Audit Raw data'!J:J,B:B,'Audit Raw data'!E:E,G:G)/H1480)/100,"-")</f>
        <v>-</v>
      </c>
      <c r="J1480">
        <f>COUNTIFS('Audit Raw data'!AM:AM,"Yes",'Audit Raw data'!J:J,B:B,'Audit Raw data'!E:E,'Day wise agent'!G:G)</f>
        <v>0</v>
      </c>
      <c r="K1480">
        <f>COUNTIFS('Audit Raw data'!AM:AM,"NO",'Audit Raw data'!J:J,B:B,'Audit Raw data'!E:E,'Day wise agent'!G:G)</f>
        <v>0</v>
      </c>
      <c r="L1480" s="12" t="str">
        <f t="shared" si="44"/>
        <v xml:space="preserve"> </v>
      </c>
    </row>
    <row r="1481" spans="4:12" x14ac:dyDescent="0.35">
      <c r="D1481" s="32"/>
      <c r="G1481" s="32"/>
      <c r="H1481">
        <f>COUNTIFS('Audit Raw data'!J:J,B:B,'Audit Raw data'!E:E,G:G)</f>
        <v>0</v>
      </c>
      <c r="I1481" s="44" t="str">
        <f>IFERROR((SUMIFS('Audit Raw data'!BZ:BZ,'Audit Raw data'!J:J,B:B,'Audit Raw data'!E:E,G:G)/H1481)/100,"-")</f>
        <v>-</v>
      </c>
      <c r="J1481">
        <f>COUNTIFS('Audit Raw data'!AM:AM,"Yes",'Audit Raw data'!J:J,B:B,'Audit Raw data'!E:E,'Day wise agent'!G:G)</f>
        <v>0</v>
      </c>
      <c r="K1481">
        <f>COUNTIFS('Audit Raw data'!AM:AM,"NO",'Audit Raw data'!J:J,B:B,'Audit Raw data'!E:E,'Day wise agent'!G:G)</f>
        <v>0</v>
      </c>
      <c r="L1481" s="12" t="str">
        <f t="shared" si="44"/>
        <v xml:space="preserve"> </v>
      </c>
    </row>
    <row r="1482" spans="4:12" x14ac:dyDescent="0.35">
      <c r="D1482" s="32"/>
      <c r="G1482" s="32"/>
      <c r="H1482">
        <f>COUNTIFS('Audit Raw data'!J:J,B:B,'Audit Raw data'!E:E,G:G)</f>
        <v>0</v>
      </c>
      <c r="I1482" s="44" t="str">
        <f>IFERROR((SUMIFS('Audit Raw data'!BZ:BZ,'Audit Raw data'!J:J,B:B,'Audit Raw data'!E:E,G:G)/H1482)/100,"-")</f>
        <v>-</v>
      </c>
      <c r="J1482">
        <f>COUNTIFS('Audit Raw data'!AM:AM,"Yes",'Audit Raw data'!J:J,B:B,'Audit Raw data'!E:E,'Day wise agent'!G:G)</f>
        <v>0</v>
      </c>
      <c r="K1482">
        <f>COUNTIFS('Audit Raw data'!AM:AM,"NO",'Audit Raw data'!J:J,B:B,'Audit Raw data'!E:E,'Day wise agent'!G:G)</f>
        <v>0</v>
      </c>
      <c r="L1482" s="12" t="str">
        <f t="shared" si="44"/>
        <v xml:space="preserve"> </v>
      </c>
    </row>
    <row r="1483" spans="4:12" x14ac:dyDescent="0.35">
      <c r="D1483" s="32"/>
      <c r="G1483" s="32"/>
      <c r="H1483">
        <f>COUNTIFS('Audit Raw data'!J:J,B:B,'Audit Raw data'!E:E,G:G)</f>
        <v>0</v>
      </c>
      <c r="I1483" s="44" t="str">
        <f>IFERROR((SUMIFS('Audit Raw data'!BZ:BZ,'Audit Raw data'!J:J,B:B,'Audit Raw data'!E:E,G:G)/H1483)/100,"-")</f>
        <v>-</v>
      </c>
      <c r="J1483">
        <f>COUNTIFS('Audit Raw data'!AM:AM,"Yes",'Audit Raw data'!J:J,B:B,'Audit Raw data'!E:E,'Day wise agent'!G:G)</f>
        <v>0</v>
      </c>
      <c r="K1483">
        <f>COUNTIFS('Audit Raw data'!AM:AM,"NO",'Audit Raw data'!J:J,B:B,'Audit Raw data'!E:E,'Day wise agent'!G:G)</f>
        <v>0</v>
      </c>
      <c r="L1483" s="12" t="str">
        <f t="shared" si="44"/>
        <v xml:space="preserve"> </v>
      </c>
    </row>
    <row r="1484" spans="4:12" x14ac:dyDescent="0.35">
      <c r="D1484" s="32"/>
      <c r="G1484" s="32"/>
      <c r="H1484">
        <f>COUNTIFS('Audit Raw data'!J:J,B:B,'Audit Raw data'!E:E,G:G)</f>
        <v>0</v>
      </c>
      <c r="I1484" s="44" t="str">
        <f>IFERROR((SUMIFS('Audit Raw data'!BZ:BZ,'Audit Raw data'!J:J,B:B,'Audit Raw data'!E:E,G:G)/H1484)/100,"-")</f>
        <v>-</v>
      </c>
      <c r="J1484">
        <f>COUNTIFS('Audit Raw data'!AM:AM,"Yes",'Audit Raw data'!J:J,B:B,'Audit Raw data'!E:E,'Day wise agent'!G:G)</f>
        <v>0</v>
      </c>
      <c r="K1484">
        <f>COUNTIFS('Audit Raw data'!AM:AM,"NO",'Audit Raw data'!J:J,B:B,'Audit Raw data'!E:E,'Day wise agent'!G:G)</f>
        <v>0</v>
      </c>
      <c r="L1484" s="12" t="str">
        <f t="shared" si="44"/>
        <v xml:space="preserve"> </v>
      </c>
    </row>
    <row r="1485" spans="4:12" x14ac:dyDescent="0.35">
      <c r="D1485" s="32"/>
      <c r="G1485" s="32"/>
      <c r="H1485">
        <f>COUNTIFS('Audit Raw data'!J:J,B:B,'Audit Raw data'!E:E,G:G)</f>
        <v>0</v>
      </c>
      <c r="I1485" s="44" t="str">
        <f>IFERROR((SUMIFS('Audit Raw data'!BZ:BZ,'Audit Raw data'!J:J,B:B,'Audit Raw data'!E:E,G:G)/H1485)/100,"-")</f>
        <v>-</v>
      </c>
      <c r="J1485">
        <f>COUNTIFS('Audit Raw data'!AM:AM,"Yes",'Audit Raw data'!J:J,B:B,'Audit Raw data'!E:E,'Day wise agent'!G:G)</f>
        <v>0</v>
      </c>
      <c r="K1485">
        <f>COUNTIFS('Audit Raw data'!AM:AM,"NO",'Audit Raw data'!J:J,B:B,'Audit Raw data'!E:E,'Day wise agent'!G:G)</f>
        <v>0</v>
      </c>
      <c r="L1485" s="12" t="str">
        <f t="shared" si="44"/>
        <v xml:space="preserve"> </v>
      </c>
    </row>
    <row r="1486" spans="4:12" x14ac:dyDescent="0.35">
      <c r="D1486" s="32"/>
      <c r="G1486" s="32"/>
      <c r="H1486">
        <f>COUNTIFS('Audit Raw data'!J:J,B:B,'Audit Raw data'!E:E,G:G)</f>
        <v>0</v>
      </c>
      <c r="I1486" s="44" t="str">
        <f>IFERROR((SUMIFS('Audit Raw data'!BZ:BZ,'Audit Raw data'!J:J,B:B,'Audit Raw data'!E:E,G:G)/H1486)/100,"-")</f>
        <v>-</v>
      </c>
      <c r="J1486">
        <f>COUNTIFS('Audit Raw data'!AM:AM,"Yes",'Audit Raw data'!J:J,B:B,'Audit Raw data'!E:E,'Day wise agent'!G:G)</f>
        <v>0</v>
      </c>
      <c r="K1486">
        <f>COUNTIFS('Audit Raw data'!AM:AM,"NO",'Audit Raw data'!J:J,B:B,'Audit Raw data'!E:E,'Day wise agent'!G:G)</f>
        <v>0</v>
      </c>
      <c r="L1486" s="12" t="str">
        <f t="shared" si="44"/>
        <v xml:space="preserve"> </v>
      </c>
    </row>
    <row r="1487" spans="4:12" x14ac:dyDescent="0.35">
      <c r="D1487" s="32"/>
      <c r="G1487" s="32"/>
      <c r="H1487">
        <f>COUNTIFS('Audit Raw data'!J:J,B:B,'Audit Raw data'!E:E,G:G)</f>
        <v>0</v>
      </c>
      <c r="I1487" s="44" t="str">
        <f>IFERROR((SUMIFS('Audit Raw data'!BZ:BZ,'Audit Raw data'!J:J,B:B,'Audit Raw data'!E:E,G:G)/H1487)/100,"-")</f>
        <v>-</v>
      </c>
      <c r="J1487">
        <f>COUNTIFS('Audit Raw data'!AM:AM,"Yes",'Audit Raw data'!J:J,B:B,'Audit Raw data'!E:E,'Day wise agent'!G:G)</f>
        <v>0</v>
      </c>
      <c r="K1487">
        <f>COUNTIFS('Audit Raw data'!AM:AM,"NO",'Audit Raw data'!J:J,B:B,'Audit Raw data'!E:E,'Day wise agent'!G:G)</f>
        <v>0</v>
      </c>
      <c r="L1487" s="12" t="str">
        <f t="shared" si="44"/>
        <v xml:space="preserve"> </v>
      </c>
    </row>
    <row r="1488" spans="4:12" x14ac:dyDescent="0.35">
      <c r="D1488" s="32"/>
      <c r="G1488" s="32"/>
      <c r="H1488">
        <f>COUNTIFS('Audit Raw data'!J:J,B:B,'Audit Raw data'!E:E,G:G)</f>
        <v>0</v>
      </c>
      <c r="I1488" s="44" t="str">
        <f>IFERROR((SUMIFS('Audit Raw data'!BZ:BZ,'Audit Raw data'!J:J,B:B,'Audit Raw data'!E:E,G:G)/H1488)/100,"-")</f>
        <v>-</v>
      </c>
      <c r="J1488">
        <f>COUNTIFS('Audit Raw data'!AM:AM,"Yes",'Audit Raw data'!J:J,B:B,'Audit Raw data'!E:E,'Day wise agent'!G:G)</f>
        <v>0</v>
      </c>
      <c r="K1488">
        <f>COUNTIFS('Audit Raw data'!AM:AM,"NO",'Audit Raw data'!J:J,B:B,'Audit Raw data'!E:E,'Day wise agent'!G:G)</f>
        <v>0</v>
      </c>
      <c r="L1488" s="12" t="str">
        <f t="shared" si="44"/>
        <v xml:space="preserve"> </v>
      </c>
    </row>
    <row r="1489" spans="4:12" x14ac:dyDescent="0.35">
      <c r="D1489" s="32"/>
      <c r="G1489" s="32"/>
      <c r="H1489">
        <f>COUNTIFS('Audit Raw data'!J:J,B:B,'Audit Raw data'!E:E,G:G)</f>
        <v>0</v>
      </c>
      <c r="I1489" s="44" t="str">
        <f>IFERROR((SUMIFS('Audit Raw data'!BZ:BZ,'Audit Raw data'!J:J,B:B,'Audit Raw data'!E:E,G:G)/H1489)/100,"-")</f>
        <v>-</v>
      </c>
      <c r="J1489">
        <f>COUNTIFS('Audit Raw data'!AM:AM,"Yes",'Audit Raw data'!J:J,B:B,'Audit Raw data'!E:E,'Day wise agent'!G:G)</f>
        <v>0</v>
      </c>
      <c r="K1489">
        <f>COUNTIFS('Audit Raw data'!AM:AM,"NO",'Audit Raw data'!J:J,B:B,'Audit Raw data'!E:E,'Day wise agent'!G:G)</f>
        <v>0</v>
      </c>
      <c r="L1489" s="12" t="str">
        <f t="shared" si="44"/>
        <v xml:space="preserve"> </v>
      </c>
    </row>
    <row r="1490" spans="4:12" x14ac:dyDescent="0.35">
      <c r="D1490" s="32"/>
      <c r="G1490" s="32"/>
      <c r="H1490">
        <f>COUNTIFS('Audit Raw data'!J:J,B:B,'Audit Raw data'!E:E,G:G)</f>
        <v>0</v>
      </c>
      <c r="I1490" s="44" t="str">
        <f>IFERROR((SUMIFS('Audit Raw data'!BZ:BZ,'Audit Raw data'!J:J,B:B,'Audit Raw data'!E:E,G:G)/H1490)/100,"-")</f>
        <v>-</v>
      </c>
      <c r="J1490">
        <f>COUNTIFS('Audit Raw data'!AM:AM,"Yes",'Audit Raw data'!J:J,B:B,'Audit Raw data'!E:E,'Day wise agent'!G:G)</f>
        <v>0</v>
      </c>
      <c r="K1490">
        <f>COUNTIFS('Audit Raw data'!AM:AM,"NO",'Audit Raw data'!J:J,B:B,'Audit Raw data'!E:E,'Day wise agent'!G:G)</f>
        <v>0</v>
      </c>
      <c r="L1490" s="12" t="str">
        <f t="shared" si="44"/>
        <v xml:space="preserve"> </v>
      </c>
    </row>
    <row r="1491" spans="4:12" x14ac:dyDescent="0.35">
      <c r="D1491" s="32"/>
      <c r="G1491" s="32"/>
      <c r="H1491">
        <f>COUNTIFS('Audit Raw data'!J:J,B:B,'Audit Raw data'!E:E,G:G)</f>
        <v>0</v>
      </c>
      <c r="I1491" s="44" t="str">
        <f>IFERROR((SUMIFS('Audit Raw data'!BZ:BZ,'Audit Raw data'!J:J,B:B,'Audit Raw data'!E:E,G:G)/H1491)/100,"-")</f>
        <v>-</v>
      </c>
      <c r="J1491">
        <f>COUNTIFS('Audit Raw data'!AM:AM,"Yes",'Audit Raw data'!J:J,B:B,'Audit Raw data'!E:E,'Day wise agent'!G:G)</f>
        <v>0</v>
      </c>
      <c r="K1491">
        <f>COUNTIFS('Audit Raw data'!AM:AM,"NO",'Audit Raw data'!J:J,B:B,'Audit Raw data'!E:E,'Day wise agent'!G:G)</f>
        <v>0</v>
      </c>
      <c r="L1491" s="12" t="str">
        <f t="shared" si="44"/>
        <v xml:space="preserve"> </v>
      </c>
    </row>
    <row r="1492" spans="4:12" x14ac:dyDescent="0.35">
      <c r="D1492" s="32"/>
      <c r="G1492" s="32"/>
      <c r="H1492">
        <f>COUNTIFS('Audit Raw data'!J:J,B:B,'Audit Raw data'!E:E,G:G)</f>
        <v>0</v>
      </c>
      <c r="I1492" s="44" t="str">
        <f>IFERROR((SUMIFS('Audit Raw data'!BZ:BZ,'Audit Raw data'!J:J,B:B,'Audit Raw data'!E:E,G:G)/H1492)/100,"-")</f>
        <v>-</v>
      </c>
      <c r="J1492">
        <f>COUNTIFS('Audit Raw data'!AM:AM,"Yes",'Audit Raw data'!J:J,B:B,'Audit Raw data'!E:E,'Day wise agent'!G:G)</f>
        <v>0</v>
      </c>
      <c r="K1492">
        <f>COUNTIFS('Audit Raw data'!AM:AM,"NO",'Audit Raw data'!J:J,B:B,'Audit Raw data'!E:E,'Day wise agent'!G:G)</f>
        <v>0</v>
      </c>
      <c r="L1492" s="12" t="str">
        <f t="shared" si="44"/>
        <v xml:space="preserve"> </v>
      </c>
    </row>
    <row r="1493" spans="4:12" x14ac:dyDescent="0.35">
      <c r="D1493" s="32"/>
      <c r="G1493" s="32"/>
      <c r="H1493">
        <f>COUNTIFS('Audit Raw data'!J:J,B:B,'Audit Raw data'!E:E,G:G)</f>
        <v>0</v>
      </c>
      <c r="I1493" s="44" t="str">
        <f>IFERROR((SUMIFS('Audit Raw data'!BZ:BZ,'Audit Raw data'!J:J,B:B,'Audit Raw data'!E:E,G:G)/H1493)/100,"-")</f>
        <v>-</v>
      </c>
      <c r="J1493">
        <f>COUNTIFS('Audit Raw data'!AM:AM,"Yes",'Audit Raw data'!J:J,B:B,'Audit Raw data'!E:E,'Day wise agent'!G:G)</f>
        <v>0</v>
      </c>
      <c r="K1493">
        <f>COUNTIFS('Audit Raw data'!AM:AM,"NO",'Audit Raw data'!J:J,B:B,'Audit Raw data'!E:E,'Day wise agent'!G:G)</f>
        <v>0</v>
      </c>
      <c r="L1493" s="12" t="str">
        <f t="shared" si="44"/>
        <v xml:space="preserve"> </v>
      </c>
    </row>
    <row r="1494" spans="4:12" x14ac:dyDescent="0.35">
      <c r="D1494" s="32"/>
      <c r="G1494" s="32"/>
      <c r="H1494">
        <f>COUNTIFS('Audit Raw data'!J:J,B:B,'Audit Raw data'!E:E,G:G)</f>
        <v>0</v>
      </c>
      <c r="I1494" s="44" t="str">
        <f>IFERROR((SUMIFS('Audit Raw data'!BZ:BZ,'Audit Raw data'!J:J,B:B,'Audit Raw data'!E:E,G:G)/H1494)/100,"-")</f>
        <v>-</v>
      </c>
      <c r="J1494">
        <f>COUNTIFS('Audit Raw data'!AM:AM,"Yes",'Audit Raw data'!J:J,B:B,'Audit Raw data'!E:E,'Day wise agent'!G:G)</f>
        <v>0</v>
      </c>
      <c r="K1494">
        <f>COUNTIFS('Audit Raw data'!AM:AM,"NO",'Audit Raw data'!J:J,B:B,'Audit Raw data'!E:E,'Day wise agent'!G:G)</f>
        <v>0</v>
      </c>
      <c r="L1494" s="12" t="str">
        <f t="shared" si="44"/>
        <v xml:space="preserve"> </v>
      </c>
    </row>
    <row r="1495" spans="4:12" x14ac:dyDescent="0.35">
      <c r="D1495" s="32"/>
      <c r="G1495" s="32"/>
      <c r="H1495">
        <f>COUNTIFS('Audit Raw data'!J:J,B:B,'Audit Raw data'!E:E,G:G)</f>
        <v>0</v>
      </c>
      <c r="I1495" s="44" t="str">
        <f>IFERROR((SUMIFS('Audit Raw data'!BZ:BZ,'Audit Raw data'!J:J,B:B,'Audit Raw data'!E:E,G:G)/H1495)/100,"-")</f>
        <v>-</v>
      </c>
      <c r="J1495">
        <f>COUNTIFS('Audit Raw data'!AM:AM,"Yes",'Audit Raw data'!J:J,B:B,'Audit Raw data'!E:E,'Day wise agent'!G:G)</f>
        <v>0</v>
      </c>
      <c r="K1495">
        <f>COUNTIFS('Audit Raw data'!AM:AM,"NO",'Audit Raw data'!J:J,B:B,'Audit Raw data'!E:E,'Day wise agent'!G:G)</f>
        <v>0</v>
      </c>
      <c r="L1495" s="12" t="str">
        <f t="shared" si="44"/>
        <v xml:space="preserve"> </v>
      </c>
    </row>
    <row r="1496" spans="4:12" x14ac:dyDescent="0.35">
      <c r="D1496" s="32"/>
      <c r="G1496" s="32"/>
      <c r="H1496">
        <f>COUNTIFS('Audit Raw data'!J:J,B:B,'Audit Raw data'!E:E,G:G)</f>
        <v>0</v>
      </c>
      <c r="I1496" s="44" t="str">
        <f>IFERROR((SUMIFS('Audit Raw data'!BZ:BZ,'Audit Raw data'!J:J,B:B,'Audit Raw data'!E:E,G:G)/H1496)/100,"-")</f>
        <v>-</v>
      </c>
      <c r="J1496">
        <f>COUNTIFS('Audit Raw data'!AM:AM,"Yes",'Audit Raw data'!J:J,B:B,'Audit Raw data'!E:E,'Day wise agent'!G:G)</f>
        <v>0</v>
      </c>
      <c r="K1496">
        <f>COUNTIFS('Audit Raw data'!AM:AM,"NO",'Audit Raw data'!J:J,B:B,'Audit Raw data'!E:E,'Day wise agent'!G:G)</f>
        <v>0</v>
      </c>
      <c r="L1496" s="12" t="str">
        <f t="shared" si="44"/>
        <v xml:space="preserve"> </v>
      </c>
    </row>
    <row r="1497" spans="4:12" x14ac:dyDescent="0.35">
      <c r="D1497" s="32"/>
      <c r="G1497" s="32"/>
      <c r="H1497">
        <f>COUNTIFS('Audit Raw data'!J:J,B:B,'Audit Raw data'!E:E,G:G)</f>
        <v>0</v>
      </c>
      <c r="I1497" s="44" t="str">
        <f>IFERROR((SUMIFS('Audit Raw data'!BZ:BZ,'Audit Raw data'!J:J,B:B,'Audit Raw data'!E:E,G:G)/H1497)/100,"-")</f>
        <v>-</v>
      </c>
      <c r="J1497">
        <f>COUNTIFS('Audit Raw data'!AM:AM,"Yes",'Audit Raw data'!J:J,B:B,'Audit Raw data'!E:E,'Day wise agent'!G:G)</f>
        <v>0</v>
      </c>
      <c r="K1497">
        <f>COUNTIFS('Audit Raw data'!AM:AM,"NO",'Audit Raw data'!J:J,B:B,'Audit Raw data'!E:E,'Day wise agent'!G:G)</f>
        <v>0</v>
      </c>
      <c r="L1497" s="12" t="str">
        <f t="shared" si="44"/>
        <v xml:space="preserve"> </v>
      </c>
    </row>
    <row r="1498" spans="4:12" x14ac:dyDescent="0.35">
      <c r="D1498" s="32"/>
      <c r="G1498" s="32"/>
      <c r="H1498">
        <f>COUNTIFS('Audit Raw data'!J:J,B:B,'Audit Raw data'!E:E,G:G)</f>
        <v>0</v>
      </c>
      <c r="I1498" s="44" t="str">
        <f>IFERROR((SUMIFS('Audit Raw data'!BZ:BZ,'Audit Raw data'!J:J,B:B,'Audit Raw data'!E:E,G:G)/H1498)/100,"-")</f>
        <v>-</v>
      </c>
      <c r="J1498">
        <f>COUNTIFS('Audit Raw data'!AM:AM,"Yes",'Audit Raw data'!J:J,B:B,'Audit Raw data'!E:E,'Day wise agent'!G:G)</f>
        <v>0</v>
      </c>
      <c r="K1498">
        <f>COUNTIFS('Audit Raw data'!AM:AM,"NO",'Audit Raw data'!J:J,B:B,'Audit Raw data'!E:E,'Day wise agent'!G:G)</f>
        <v>0</v>
      </c>
      <c r="L1498" s="12" t="str">
        <f t="shared" si="44"/>
        <v xml:space="preserve"> </v>
      </c>
    </row>
    <row r="1499" spans="4:12" x14ac:dyDescent="0.35">
      <c r="D1499" s="32"/>
      <c r="G1499" s="32"/>
      <c r="H1499">
        <f>COUNTIFS('Audit Raw data'!J:J,B:B,'Audit Raw data'!E:E,G:G)</f>
        <v>0</v>
      </c>
      <c r="I1499" s="44" t="str">
        <f>IFERROR((SUMIFS('Audit Raw data'!BZ:BZ,'Audit Raw data'!J:J,B:B,'Audit Raw data'!E:E,G:G)/H1499)/100,"-")</f>
        <v>-</v>
      </c>
      <c r="J1499">
        <f>COUNTIFS('Audit Raw data'!AM:AM,"Yes",'Audit Raw data'!J:J,B:B,'Audit Raw data'!E:E,'Day wise agent'!G:G)</f>
        <v>0</v>
      </c>
      <c r="K1499">
        <f>COUNTIFS('Audit Raw data'!AM:AM,"NO",'Audit Raw data'!J:J,B:B,'Audit Raw data'!E:E,'Day wise agent'!G:G)</f>
        <v>0</v>
      </c>
      <c r="L1499" s="12" t="str">
        <f t="shared" si="44"/>
        <v xml:space="preserve"> </v>
      </c>
    </row>
    <row r="1500" spans="4:12" x14ac:dyDescent="0.35">
      <c r="D1500" s="32"/>
      <c r="G1500" s="32"/>
      <c r="H1500">
        <f>COUNTIFS('Audit Raw data'!J:J,B:B,'Audit Raw data'!E:E,G:G)</f>
        <v>0</v>
      </c>
      <c r="I1500" s="44" t="str">
        <f>IFERROR((SUMIFS('Audit Raw data'!BZ:BZ,'Audit Raw data'!J:J,B:B,'Audit Raw data'!E:E,G:G)/H1500)/100,"-")</f>
        <v>-</v>
      </c>
      <c r="J1500">
        <f>COUNTIFS('Audit Raw data'!AM:AM,"Yes",'Audit Raw data'!J:J,B:B,'Audit Raw data'!E:E,'Day wise agent'!G:G)</f>
        <v>0</v>
      </c>
      <c r="K1500">
        <f>COUNTIFS('Audit Raw data'!AM:AM,"NO",'Audit Raw data'!J:J,B:B,'Audit Raw data'!E:E,'Day wise agent'!G:G)</f>
        <v>0</v>
      </c>
      <c r="L1500" s="12" t="str">
        <f t="shared" si="44"/>
        <v xml:space="preserve"> </v>
      </c>
    </row>
    <row r="1501" spans="4:12" x14ac:dyDescent="0.35">
      <c r="D1501" s="32"/>
      <c r="G1501" s="32"/>
      <c r="H1501">
        <f>COUNTIFS('Audit Raw data'!J:J,B:B,'Audit Raw data'!E:E,G:G)</f>
        <v>0</v>
      </c>
      <c r="I1501" s="44" t="str">
        <f>IFERROR((SUMIFS('Audit Raw data'!BZ:BZ,'Audit Raw data'!J:J,B:B,'Audit Raw data'!E:E,G:G)/H1501)/100,"-")</f>
        <v>-</v>
      </c>
      <c r="J1501">
        <f>COUNTIFS('Audit Raw data'!AM:AM,"Yes",'Audit Raw data'!J:J,B:B,'Audit Raw data'!E:E,'Day wise agent'!G:G)</f>
        <v>0</v>
      </c>
      <c r="K1501">
        <f>COUNTIFS('Audit Raw data'!AM:AM,"NO",'Audit Raw data'!J:J,B:B,'Audit Raw data'!E:E,'Day wise agent'!G:G)</f>
        <v>0</v>
      </c>
      <c r="L1501" s="12" t="str">
        <f t="shared" si="44"/>
        <v xml:space="preserve"> </v>
      </c>
    </row>
    <row r="1502" spans="4:12" x14ac:dyDescent="0.35">
      <c r="D1502" s="32"/>
      <c r="G1502" s="32"/>
      <c r="H1502">
        <f>COUNTIFS('Audit Raw data'!J:J,B:B,'Audit Raw data'!E:E,G:G)</f>
        <v>0</v>
      </c>
      <c r="I1502" s="44" t="str">
        <f>IFERROR((SUMIFS('Audit Raw data'!BZ:BZ,'Audit Raw data'!J:J,B:B,'Audit Raw data'!E:E,G:G)/H1502)/100,"-")</f>
        <v>-</v>
      </c>
      <c r="J1502">
        <f>COUNTIFS('Audit Raw data'!AM:AM,"Yes",'Audit Raw data'!J:J,B:B,'Audit Raw data'!E:E,'Day wise agent'!G:G)</f>
        <v>0</v>
      </c>
      <c r="K1502">
        <f>COUNTIFS('Audit Raw data'!AM:AM,"NO",'Audit Raw data'!J:J,B:B,'Audit Raw data'!E:E,'Day wise agent'!G:G)</f>
        <v>0</v>
      </c>
      <c r="L1502" s="12" t="str">
        <f t="shared" si="44"/>
        <v xml:space="preserve"> </v>
      </c>
    </row>
    <row r="1503" spans="4:12" x14ac:dyDescent="0.35">
      <c r="D1503" s="32"/>
      <c r="G1503" s="32"/>
      <c r="H1503">
        <f>COUNTIFS('Audit Raw data'!J:J,B:B,'Audit Raw data'!E:E,G:G)</f>
        <v>0</v>
      </c>
      <c r="I1503" s="44" t="str">
        <f>IFERROR((SUMIFS('Audit Raw data'!BZ:BZ,'Audit Raw data'!J:J,B:B,'Audit Raw data'!E:E,G:G)/H1503)/100,"-")</f>
        <v>-</v>
      </c>
      <c r="J1503">
        <f>COUNTIFS('Audit Raw data'!AM:AM,"Yes",'Audit Raw data'!J:J,B:B,'Audit Raw data'!E:E,'Day wise agent'!G:G)</f>
        <v>0</v>
      </c>
      <c r="K1503">
        <f>COUNTIFS('Audit Raw data'!AM:AM,"NO",'Audit Raw data'!J:J,B:B,'Audit Raw data'!E:E,'Day wise agent'!G:G)</f>
        <v>0</v>
      </c>
      <c r="L1503" s="12" t="str">
        <f t="shared" si="44"/>
        <v xml:space="preserve"> </v>
      </c>
    </row>
    <row r="1504" spans="4:12" x14ac:dyDescent="0.35">
      <c r="D1504" s="32"/>
      <c r="G1504" s="32"/>
      <c r="H1504">
        <f>COUNTIFS('Audit Raw data'!J:J,B:B,'Audit Raw data'!E:E,G:G)</f>
        <v>0</v>
      </c>
      <c r="I1504" s="44" t="str">
        <f>IFERROR((SUMIFS('Audit Raw data'!BZ:BZ,'Audit Raw data'!J:J,B:B,'Audit Raw data'!E:E,G:G)/H1504)/100,"-")</f>
        <v>-</v>
      </c>
      <c r="J1504">
        <f>COUNTIFS('Audit Raw data'!AM:AM,"Yes",'Audit Raw data'!J:J,B:B,'Audit Raw data'!E:E,'Day wise agent'!G:G)</f>
        <v>0</v>
      </c>
      <c r="K1504">
        <f>COUNTIFS('Audit Raw data'!AM:AM,"NO",'Audit Raw data'!J:J,B:B,'Audit Raw data'!E:E,'Day wise agent'!G:G)</f>
        <v>0</v>
      </c>
      <c r="L1504" s="12" t="str">
        <f t="shared" si="44"/>
        <v xml:space="preserve"> </v>
      </c>
    </row>
    <row r="1505" spans="4:12" x14ac:dyDescent="0.35">
      <c r="D1505" s="32"/>
      <c r="G1505" s="32"/>
      <c r="H1505">
        <f>COUNTIFS('Audit Raw data'!J:J,B:B,'Audit Raw data'!E:E,G:G)</f>
        <v>0</v>
      </c>
      <c r="I1505" s="44" t="str">
        <f>IFERROR((SUMIFS('Audit Raw data'!BZ:BZ,'Audit Raw data'!J:J,B:B,'Audit Raw data'!E:E,G:G)/H1505)/100,"-")</f>
        <v>-</v>
      </c>
      <c r="J1505">
        <f>COUNTIFS('Audit Raw data'!AM:AM,"Yes",'Audit Raw data'!J:J,B:B,'Audit Raw data'!E:E,'Day wise agent'!G:G)</f>
        <v>0</v>
      </c>
      <c r="K1505">
        <f>COUNTIFS('Audit Raw data'!AM:AM,"NO",'Audit Raw data'!J:J,B:B,'Audit Raw data'!E:E,'Day wise agent'!G:G)</f>
        <v>0</v>
      </c>
      <c r="L1505" s="12" t="str">
        <f t="shared" si="44"/>
        <v xml:space="preserve"> </v>
      </c>
    </row>
    <row r="1506" spans="4:12" x14ac:dyDescent="0.35">
      <c r="D1506" s="32"/>
      <c r="G1506" s="32"/>
      <c r="H1506">
        <f>COUNTIFS('Audit Raw data'!J:J,B:B,'Audit Raw data'!E:E,G:G)</f>
        <v>0</v>
      </c>
      <c r="I1506" s="44" t="str">
        <f>IFERROR((SUMIFS('Audit Raw data'!BZ:BZ,'Audit Raw data'!J:J,B:B,'Audit Raw data'!E:E,G:G)/H1506)/100,"-")</f>
        <v>-</v>
      </c>
      <c r="J1506">
        <f>COUNTIFS('Audit Raw data'!AM:AM,"Yes",'Audit Raw data'!J:J,B:B,'Audit Raw data'!E:E,'Day wise agent'!G:G)</f>
        <v>0</v>
      </c>
      <c r="K1506">
        <f>COUNTIFS('Audit Raw data'!AM:AM,"NO",'Audit Raw data'!J:J,B:B,'Audit Raw data'!E:E,'Day wise agent'!G:G)</f>
        <v>0</v>
      </c>
      <c r="L1506" s="12" t="str">
        <f t="shared" si="44"/>
        <v xml:space="preserve"> </v>
      </c>
    </row>
    <row r="1507" spans="4:12" x14ac:dyDescent="0.35">
      <c r="D1507" s="32"/>
      <c r="G1507" s="32"/>
      <c r="H1507">
        <f>COUNTIFS('Audit Raw data'!J:J,B:B,'Audit Raw data'!E:E,G:G)</f>
        <v>0</v>
      </c>
      <c r="I1507" s="44" t="str">
        <f>IFERROR((SUMIFS('Audit Raw data'!BZ:BZ,'Audit Raw data'!J:J,B:B,'Audit Raw data'!E:E,G:G)/H1507)/100,"-")</f>
        <v>-</v>
      </c>
      <c r="J1507">
        <f>COUNTIFS('Audit Raw data'!AM:AM,"Yes",'Audit Raw data'!J:J,B:B,'Audit Raw data'!E:E,'Day wise agent'!G:G)</f>
        <v>0</v>
      </c>
      <c r="K1507">
        <f>COUNTIFS('Audit Raw data'!AM:AM,"NO",'Audit Raw data'!J:J,B:B,'Audit Raw data'!E:E,'Day wise agent'!G:G)</f>
        <v>0</v>
      </c>
      <c r="L1507" s="12" t="str">
        <f t="shared" si="44"/>
        <v xml:space="preserve"> </v>
      </c>
    </row>
    <row r="1508" spans="4:12" x14ac:dyDescent="0.35">
      <c r="D1508" s="32"/>
      <c r="G1508" s="32"/>
      <c r="H1508">
        <f>COUNTIFS('Audit Raw data'!J:J,B:B,'Audit Raw data'!E:E,G:G)</f>
        <v>0</v>
      </c>
      <c r="I1508" s="44" t="str">
        <f>IFERROR((SUMIFS('Audit Raw data'!BZ:BZ,'Audit Raw data'!J:J,B:B,'Audit Raw data'!E:E,G:G)/H1508)/100,"-")</f>
        <v>-</v>
      </c>
      <c r="J1508">
        <f>COUNTIFS('Audit Raw data'!AM:AM,"Yes",'Audit Raw data'!J:J,B:B,'Audit Raw data'!E:E,'Day wise agent'!G:G)</f>
        <v>0</v>
      </c>
      <c r="K1508">
        <f>COUNTIFS('Audit Raw data'!AM:AM,"NO",'Audit Raw data'!J:J,B:B,'Audit Raw data'!E:E,'Day wise agent'!G:G)</f>
        <v>0</v>
      </c>
      <c r="L1508" s="12" t="str">
        <f t="shared" si="44"/>
        <v xml:space="preserve"> </v>
      </c>
    </row>
    <row r="1509" spans="4:12" x14ac:dyDescent="0.35">
      <c r="D1509" s="32"/>
      <c r="G1509" s="32"/>
      <c r="H1509">
        <f>COUNTIFS('Audit Raw data'!J:J,B:B,'Audit Raw data'!E:E,G:G)</f>
        <v>0</v>
      </c>
      <c r="I1509" s="44" t="str">
        <f>IFERROR((SUMIFS('Audit Raw data'!BZ:BZ,'Audit Raw data'!J:J,B:B,'Audit Raw data'!E:E,G:G)/H1509)/100,"-")</f>
        <v>-</v>
      </c>
      <c r="J1509">
        <f>COUNTIFS('Audit Raw data'!AM:AM,"Yes",'Audit Raw data'!J:J,B:B,'Audit Raw data'!E:E,'Day wise agent'!G:G)</f>
        <v>0</v>
      </c>
      <c r="K1509">
        <f>COUNTIFS('Audit Raw data'!AM:AM,"NO",'Audit Raw data'!J:J,B:B,'Audit Raw data'!E:E,'Day wise agent'!G:G)</f>
        <v>0</v>
      </c>
      <c r="L1509" s="12" t="str">
        <f t="shared" si="44"/>
        <v xml:space="preserve"> </v>
      </c>
    </row>
    <row r="1510" spans="4:12" x14ac:dyDescent="0.35">
      <c r="D1510" s="32"/>
      <c r="G1510" s="32"/>
      <c r="H1510">
        <f>COUNTIFS('Audit Raw data'!J:J,B:B,'Audit Raw data'!E:E,G:G)</f>
        <v>0</v>
      </c>
      <c r="I1510" s="44" t="str">
        <f>IFERROR((SUMIFS('Audit Raw data'!BZ:BZ,'Audit Raw data'!J:J,B:B,'Audit Raw data'!E:E,G:G)/H1510)/100,"-")</f>
        <v>-</v>
      </c>
      <c r="J1510">
        <f>COUNTIFS('Audit Raw data'!AM:AM,"Yes",'Audit Raw data'!J:J,B:B,'Audit Raw data'!E:E,'Day wise agent'!G:G)</f>
        <v>0</v>
      </c>
      <c r="K1510">
        <f>COUNTIFS('Audit Raw data'!AM:AM,"NO",'Audit Raw data'!J:J,B:B,'Audit Raw data'!E:E,'Day wise agent'!G:G)</f>
        <v>0</v>
      </c>
      <c r="L1510" s="12" t="str">
        <f t="shared" si="44"/>
        <v xml:space="preserve"> </v>
      </c>
    </row>
    <row r="1511" spans="4:12" x14ac:dyDescent="0.35">
      <c r="D1511" s="32"/>
      <c r="G1511" s="32"/>
      <c r="H1511">
        <f>COUNTIFS('Audit Raw data'!J:J,B:B,'Audit Raw data'!E:E,G:G)</f>
        <v>0</v>
      </c>
      <c r="I1511" s="44" t="str">
        <f>IFERROR((SUMIFS('Audit Raw data'!BZ:BZ,'Audit Raw data'!J:J,B:B,'Audit Raw data'!E:E,G:G)/H1511)/100,"-")</f>
        <v>-</v>
      </c>
      <c r="J1511">
        <f>COUNTIFS('Audit Raw data'!AM:AM,"Yes",'Audit Raw data'!J:J,B:B,'Audit Raw data'!E:E,'Day wise agent'!G:G)</f>
        <v>0</v>
      </c>
      <c r="K1511">
        <f>COUNTIFS('Audit Raw data'!AM:AM,"NO",'Audit Raw data'!J:J,B:B,'Audit Raw data'!E:E,'Day wise agent'!G:G)</f>
        <v>0</v>
      </c>
      <c r="L1511" s="12" t="str">
        <f t="shared" si="44"/>
        <v xml:space="preserve"> </v>
      </c>
    </row>
    <row r="1512" spans="4:12" x14ac:dyDescent="0.35">
      <c r="D1512" s="32"/>
      <c r="G1512" s="32"/>
      <c r="H1512">
        <f>COUNTIFS('Audit Raw data'!J:J,B:B,'Audit Raw data'!E:E,G:G)</f>
        <v>0</v>
      </c>
      <c r="I1512" s="44" t="str">
        <f>IFERROR((SUMIFS('Audit Raw data'!BZ:BZ,'Audit Raw data'!J:J,B:B,'Audit Raw data'!E:E,G:G)/H1512)/100,"-")</f>
        <v>-</v>
      </c>
      <c r="J1512">
        <f>COUNTIFS('Audit Raw data'!AM:AM,"Yes",'Audit Raw data'!J:J,B:B,'Audit Raw data'!E:E,'Day wise agent'!G:G)</f>
        <v>0</v>
      </c>
      <c r="K1512">
        <f>COUNTIFS('Audit Raw data'!AM:AM,"NO",'Audit Raw data'!J:J,B:B,'Audit Raw data'!E:E,'Day wise agent'!G:G)</f>
        <v>0</v>
      </c>
      <c r="L1512" s="12" t="str">
        <f t="shared" si="44"/>
        <v xml:space="preserve"> </v>
      </c>
    </row>
    <row r="1513" spans="4:12" x14ac:dyDescent="0.35">
      <c r="D1513" s="32"/>
      <c r="G1513" s="32"/>
      <c r="H1513">
        <f>COUNTIFS('Audit Raw data'!J:J,B:B,'Audit Raw data'!E:E,G:G)</f>
        <v>0</v>
      </c>
      <c r="I1513" s="44" t="str">
        <f>IFERROR((SUMIFS('Audit Raw data'!BZ:BZ,'Audit Raw data'!J:J,B:B,'Audit Raw data'!E:E,G:G)/H1513)/100,"-")</f>
        <v>-</v>
      </c>
      <c r="J1513">
        <f>COUNTIFS('Audit Raw data'!AM:AM,"Yes",'Audit Raw data'!J:J,B:B,'Audit Raw data'!E:E,'Day wise agent'!G:G)</f>
        <v>0</v>
      </c>
      <c r="K1513">
        <f>COUNTIFS('Audit Raw data'!AM:AM,"NO",'Audit Raw data'!J:J,B:B,'Audit Raw data'!E:E,'Day wise agent'!G:G)</f>
        <v>0</v>
      </c>
      <c r="L1513" s="12" t="str">
        <f t="shared" si="44"/>
        <v xml:space="preserve"> </v>
      </c>
    </row>
    <row r="1514" spans="4:12" x14ac:dyDescent="0.35">
      <c r="D1514" s="32"/>
      <c r="G1514" s="32"/>
      <c r="H1514">
        <f>COUNTIFS('Audit Raw data'!J:J,B:B,'Audit Raw data'!E:E,G:G)</f>
        <v>0</v>
      </c>
      <c r="I1514" s="44" t="str">
        <f>IFERROR((SUMIFS('Audit Raw data'!BZ:BZ,'Audit Raw data'!J:J,B:B,'Audit Raw data'!E:E,G:G)/H1514)/100,"-")</f>
        <v>-</v>
      </c>
      <c r="J1514">
        <f>COUNTIFS('Audit Raw data'!AM:AM,"Yes",'Audit Raw data'!J:J,B:B,'Audit Raw data'!E:E,'Day wise agent'!G:G)</f>
        <v>0</v>
      </c>
      <c r="K1514">
        <f>COUNTIFS('Audit Raw data'!AM:AM,"NO",'Audit Raw data'!J:J,B:B,'Audit Raw data'!E:E,'Day wise agent'!G:G)</f>
        <v>0</v>
      </c>
      <c r="L1514" s="12" t="str">
        <f t="shared" si="44"/>
        <v xml:space="preserve"> </v>
      </c>
    </row>
    <row r="1515" spans="4:12" x14ac:dyDescent="0.35">
      <c r="D1515" s="32"/>
      <c r="G1515" s="32"/>
      <c r="H1515">
        <f>COUNTIFS('Audit Raw data'!J:J,B:B,'Audit Raw data'!E:E,G:G)</f>
        <v>0</v>
      </c>
      <c r="I1515" s="44" t="str">
        <f>IFERROR((SUMIFS('Audit Raw data'!BZ:BZ,'Audit Raw data'!J:J,B:B,'Audit Raw data'!E:E,G:G)/H1515)/100,"-")</f>
        <v>-</v>
      </c>
      <c r="J1515">
        <f>COUNTIFS('Audit Raw data'!AM:AM,"Yes",'Audit Raw data'!J:J,B:B,'Audit Raw data'!E:E,'Day wise agent'!G:G)</f>
        <v>0</v>
      </c>
      <c r="K1515">
        <f>COUNTIFS('Audit Raw data'!AM:AM,"NO",'Audit Raw data'!J:J,B:B,'Audit Raw data'!E:E,'Day wise agent'!G:G)</f>
        <v>0</v>
      </c>
      <c r="L1515" s="12" t="str">
        <f t="shared" si="44"/>
        <v xml:space="preserve"> </v>
      </c>
    </row>
    <row r="1516" spans="4:12" x14ac:dyDescent="0.35">
      <c r="D1516" s="32"/>
      <c r="G1516" s="32"/>
      <c r="H1516">
        <f>COUNTIFS('Audit Raw data'!J:J,B:B,'Audit Raw data'!E:E,G:G)</f>
        <v>0</v>
      </c>
      <c r="I1516" s="44" t="str">
        <f>IFERROR((SUMIFS('Audit Raw data'!BZ:BZ,'Audit Raw data'!J:J,B:B,'Audit Raw data'!E:E,G:G)/H1516)/100,"-")</f>
        <v>-</v>
      </c>
      <c r="J1516">
        <f>COUNTIFS('Audit Raw data'!AM:AM,"Yes",'Audit Raw data'!J:J,B:B,'Audit Raw data'!E:E,'Day wise agent'!G:G)</f>
        <v>0</v>
      </c>
      <c r="K1516">
        <f>COUNTIFS('Audit Raw data'!AM:AM,"NO",'Audit Raw data'!J:J,B:B,'Audit Raw data'!E:E,'Day wise agent'!G:G)</f>
        <v>0</v>
      </c>
      <c r="L1516" s="12" t="str">
        <f t="shared" si="44"/>
        <v xml:space="preserve"> </v>
      </c>
    </row>
    <row r="1517" spans="4:12" x14ac:dyDescent="0.35">
      <c r="D1517" s="32"/>
      <c r="G1517" s="32"/>
      <c r="H1517">
        <f>COUNTIFS('Audit Raw data'!J:J,B:B,'Audit Raw data'!E:E,G:G)</f>
        <v>0</v>
      </c>
      <c r="I1517" s="44" t="str">
        <f>IFERROR((SUMIFS('Audit Raw data'!BZ:BZ,'Audit Raw data'!J:J,B:B,'Audit Raw data'!E:E,G:G)/H1517)/100,"-")</f>
        <v>-</v>
      </c>
      <c r="J1517">
        <f>COUNTIFS('Audit Raw data'!AM:AM,"Yes",'Audit Raw data'!J:J,B:B,'Audit Raw data'!E:E,'Day wise agent'!G:G)</f>
        <v>0</v>
      </c>
      <c r="K1517">
        <f>COUNTIFS('Audit Raw data'!AM:AM,"NO",'Audit Raw data'!J:J,B:B,'Audit Raw data'!E:E,'Day wise agent'!G:G)</f>
        <v>0</v>
      </c>
      <c r="L1517" s="12" t="str">
        <f t="shared" si="44"/>
        <v xml:space="preserve"> </v>
      </c>
    </row>
    <row r="1518" spans="4:12" x14ac:dyDescent="0.35">
      <c r="D1518" s="32"/>
      <c r="G1518" s="32"/>
      <c r="H1518">
        <f>COUNTIFS('Audit Raw data'!J:J,B:B,'Audit Raw data'!E:E,G:G)</f>
        <v>0</v>
      </c>
      <c r="I1518" s="44" t="str">
        <f>IFERROR((SUMIFS('Audit Raw data'!BZ:BZ,'Audit Raw data'!J:J,B:B,'Audit Raw data'!E:E,G:G)/H1518)/100,"-")</f>
        <v>-</v>
      </c>
      <c r="J1518">
        <f>COUNTIFS('Audit Raw data'!AM:AM,"Yes",'Audit Raw data'!J:J,B:B,'Audit Raw data'!E:E,'Day wise agent'!G:G)</f>
        <v>0</v>
      </c>
      <c r="K1518">
        <f>COUNTIFS('Audit Raw data'!AM:AM,"NO",'Audit Raw data'!J:J,B:B,'Audit Raw data'!E:E,'Day wise agent'!G:G)</f>
        <v>0</v>
      </c>
      <c r="L1518" s="12" t="str">
        <f t="shared" si="44"/>
        <v xml:space="preserve"> </v>
      </c>
    </row>
    <row r="1519" spans="4:12" x14ac:dyDescent="0.35">
      <c r="D1519" s="32"/>
      <c r="G1519" s="32"/>
      <c r="H1519">
        <f>COUNTIFS('Audit Raw data'!J:J,B:B,'Audit Raw data'!E:E,G:G)</f>
        <v>0</v>
      </c>
      <c r="I1519" s="44" t="str">
        <f>IFERROR((SUMIFS('Audit Raw data'!BZ:BZ,'Audit Raw data'!J:J,B:B,'Audit Raw data'!E:E,G:G)/H1519)/100,"-")</f>
        <v>-</v>
      </c>
      <c r="J1519">
        <f>COUNTIFS('Audit Raw data'!AM:AM,"Yes",'Audit Raw data'!J:J,B:B,'Audit Raw data'!E:E,'Day wise agent'!G:G)</f>
        <v>0</v>
      </c>
      <c r="K1519">
        <f>COUNTIFS('Audit Raw data'!AM:AM,"NO",'Audit Raw data'!J:J,B:B,'Audit Raw data'!E:E,'Day wise agent'!G:G)</f>
        <v>0</v>
      </c>
      <c r="L1519" s="12" t="str">
        <f t="shared" si="44"/>
        <v xml:space="preserve"> </v>
      </c>
    </row>
    <row r="1520" spans="4:12" x14ac:dyDescent="0.35">
      <c r="D1520" s="32"/>
      <c r="G1520" s="32"/>
      <c r="H1520">
        <f>COUNTIFS('Audit Raw data'!J:J,B:B,'Audit Raw data'!E:E,G:G)</f>
        <v>0</v>
      </c>
      <c r="I1520" s="44" t="str">
        <f>IFERROR((SUMIFS('Audit Raw data'!BZ:BZ,'Audit Raw data'!J:J,B:B,'Audit Raw data'!E:E,G:G)/H1520)/100,"-")</f>
        <v>-</v>
      </c>
      <c r="J1520">
        <f>COUNTIFS('Audit Raw data'!AM:AM,"Yes",'Audit Raw data'!J:J,B:B,'Audit Raw data'!E:E,'Day wise agent'!G:G)</f>
        <v>0</v>
      </c>
      <c r="K1520">
        <f>COUNTIFS('Audit Raw data'!AM:AM,"NO",'Audit Raw data'!J:J,B:B,'Audit Raw data'!E:E,'Day wise agent'!G:G)</f>
        <v>0</v>
      </c>
      <c r="L1520" s="12" t="str">
        <f t="shared" si="44"/>
        <v xml:space="preserve"> </v>
      </c>
    </row>
    <row r="1521" spans="4:12" x14ac:dyDescent="0.35">
      <c r="D1521" s="32"/>
      <c r="G1521" s="32"/>
      <c r="H1521">
        <f>COUNTIFS('Audit Raw data'!J:J,B:B,'Audit Raw data'!E:E,G:G)</f>
        <v>0</v>
      </c>
      <c r="I1521" s="44" t="str">
        <f>IFERROR((SUMIFS('Audit Raw data'!BZ:BZ,'Audit Raw data'!J:J,B:B,'Audit Raw data'!E:E,G:G)/H1521)/100,"-")</f>
        <v>-</v>
      </c>
      <c r="J1521">
        <f>COUNTIFS('Audit Raw data'!AM:AM,"Yes",'Audit Raw data'!J:J,B:B,'Audit Raw data'!E:E,'Day wise agent'!G:G)</f>
        <v>0</v>
      </c>
      <c r="K1521">
        <f>COUNTIFS('Audit Raw data'!AM:AM,"NO",'Audit Raw data'!J:J,B:B,'Audit Raw data'!E:E,'Day wise agent'!G:G)</f>
        <v>0</v>
      </c>
      <c r="L1521" s="12" t="str">
        <f t="shared" si="44"/>
        <v xml:space="preserve"> </v>
      </c>
    </row>
    <row r="1522" spans="4:12" x14ac:dyDescent="0.35">
      <c r="D1522" s="32"/>
      <c r="G1522" s="32"/>
      <c r="H1522">
        <f>COUNTIFS('Audit Raw data'!J:J,B:B,'Audit Raw data'!E:E,G:G)</f>
        <v>0</v>
      </c>
      <c r="I1522" s="44" t="str">
        <f>IFERROR((SUMIFS('Audit Raw data'!BZ:BZ,'Audit Raw data'!J:J,B:B,'Audit Raw data'!E:E,G:G)/H1522)/100,"-")</f>
        <v>-</v>
      </c>
      <c r="J1522">
        <f>COUNTIFS('Audit Raw data'!AM:AM,"Yes",'Audit Raw data'!J:J,B:B,'Audit Raw data'!E:E,'Day wise agent'!G:G)</f>
        <v>0</v>
      </c>
      <c r="K1522">
        <f>COUNTIFS('Audit Raw data'!AM:AM,"NO",'Audit Raw data'!J:J,B:B,'Audit Raw data'!E:E,'Day wise agent'!G:G)</f>
        <v>0</v>
      </c>
      <c r="L1522" s="12" t="str">
        <f t="shared" si="44"/>
        <v xml:space="preserve"> </v>
      </c>
    </row>
    <row r="1523" spans="4:12" x14ac:dyDescent="0.35">
      <c r="D1523" s="32"/>
      <c r="G1523" s="32"/>
      <c r="H1523">
        <f>COUNTIFS('Audit Raw data'!J:J,B:B,'Audit Raw data'!E:E,G:G)</f>
        <v>0</v>
      </c>
      <c r="I1523" s="44" t="str">
        <f>IFERROR((SUMIFS('Audit Raw data'!BZ:BZ,'Audit Raw data'!J:J,B:B,'Audit Raw data'!E:E,G:G)/H1523)/100,"-")</f>
        <v>-</v>
      </c>
      <c r="J1523">
        <f>COUNTIFS('Audit Raw data'!AM:AM,"Yes",'Audit Raw data'!J:J,B:B,'Audit Raw data'!E:E,'Day wise agent'!G:G)</f>
        <v>0</v>
      </c>
      <c r="K1523">
        <f>COUNTIFS('Audit Raw data'!AM:AM,"NO",'Audit Raw data'!J:J,B:B,'Audit Raw data'!E:E,'Day wise agent'!G:G)</f>
        <v>0</v>
      </c>
      <c r="L1523" s="12" t="str">
        <f t="shared" si="44"/>
        <v xml:space="preserve"> </v>
      </c>
    </row>
    <row r="1524" spans="4:12" x14ac:dyDescent="0.35">
      <c r="D1524" s="32"/>
      <c r="G1524" s="32"/>
      <c r="H1524">
        <f>COUNTIFS('Audit Raw data'!J:J,B:B,'Audit Raw data'!E:E,G:G)</f>
        <v>0</v>
      </c>
      <c r="I1524" s="44" t="str">
        <f>IFERROR((SUMIFS('Audit Raw data'!BZ:BZ,'Audit Raw data'!J:J,B:B,'Audit Raw data'!E:E,G:G)/H1524)/100,"-")</f>
        <v>-</v>
      </c>
      <c r="J1524">
        <f>COUNTIFS('Audit Raw data'!AM:AM,"Yes",'Audit Raw data'!J:J,B:B,'Audit Raw data'!E:E,'Day wise agent'!G:G)</f>
        <v>0</v>
      </c>
      <c r="K1524">
        <f>COUNTIFS('Audit Raw data'!AM:AM,"NO",'Audit Raw data'!J:J,B:B,'Audit Raw data'!E:E,'Day wise agent'!G:G)</f>
        <v>0</v>
      </c>
      <c r="L1524" s="12" t="str">
        <f t="shared" si="44"/>
        <v xml:space="preserve"> </v>
      </c>
    </row>
    <row r="1525" spans="4:12" x14ac:dyDescent="0.35">
      <c r="D1525" s="32"/>
      <c r="G1525" s="32"/>
      <c r="H1525">
        <f>COUNTIFS('Audit Raw data'!J:J,B:B,'Audit Raw data'!E:E,G:G)</f>
        <v>0</v>
      </c>
      <c r="I1525" s="44" t="str">
        <f>IFERROR((SUMIFS('Audit Raw data'!BZ:BZ,'Audit Raw data'!J:J,B:B,'Audit Raw data'!E:E,G:G)/H1525)/100,"-")</f>
        <v>-</v>
      </c>
      <c r="J1525">
        <f>COUNTIFS('Audit Raw data'!AM:AM,"Yes",'Audit Raw data'!J:J,B:B,'Audit Raw data'!E:E,'Day wise agent'!G:G)</f>
        <v>0</v>
      </c>
      <c r="K1525">
        <f>COUNTIFS('Audit Raw data'!AM:AM,"NO",'Audit Raw data'!J:J,B:B,'Audit Raw data'!E:E,'Day wise agent'!G:G)</f>
        <v>0</v>
      </c>
      <c r="L1525" s="12" t="str">
        <f t="shared" si="44"/>
        <v xml:space="preserve"> </v>
      </c>
    </row>
    <row r="1526" spans="4:12" x14ac:dyDescent="0.35">
      <c r="D1526" s="32"/>
      <c r="G1526" s="32"/>
      <c r="H1526">
        <f>COUNTIFS('Audit Raw data'!J:J,B:B,'Audit Raw data'!E:E,G:G)</f>
        <v>0</v>
      </c>
      <c r="I1526" s="44" t="str">
        <f>IFERROR((SUMIFS('Audit Raw data'!BZ:BZ,'Audit Raw data'!J:J,B:B,'Audit Raw data'!E:E,G:G)/H1526)/100,"-")</f>
        <v>-</v>
      </c>
      <c r="J1526">
        <f>COUNTIFS('Audit Raw data'!AM:AM,"Yes",'Audit Raw data'!J:J,B:B,'Audit Raw data'!E:E,'Day wise agent'!G:G)</f>
        <v>0</v>
      </c>
      <c r="K1526">
        <f>COUNTIFS('Audit Raw data'!AM:AM,"NO",'Audit Raw data'!J:J,B:B,'Audit Raw data'!E:E,'Day wise agent'!G:G)</f>
        <v>0</v>
      </c>
      <c r="L1526" s="12" t="str">
        <f t="shared" si="44"/>
        <v xml:space="preserve"> </v>
      </c>
    </row>
    <row r="1527" spans="4:12" x14ac:dyDescent="0.35">
      <c r="D1527" s="32"/>
      <c r="G1527" s="32"/>
      <c r="H1527">
        <f>COUNTIFS('Audit Raw data'!J:J,B:B,'Audit Raw data'!E:E,G:G)</f>
        <v>0</v>
      </c>
      <c r="I1527" s="44" t="str">
        <f>IFERROR((SUMIFS('Audit Raw data'!BZ:BZ,'Audit Raw data'!J:J,B:B,'Audit Raw data'!E:E,G:G)/H1527)/100,"-")</f>
        <v>-</v>
      </c>
      <c r="J1527">
        <f>COUNTIFS('Audit Raw data'!AM:AM,"Yes",'Audit Raw data'!J:J,B:B,'Audit Raw data'!E:E,'Day wise agent'!G:G)</f>
        <v>0</v>
      </c>
      <c r="K1527">
        <f>COUNTIFS('Audit Raw data'!AM:AM,"NO",'Audit Raw data'!J:J,B:B,'Audit Raw data'!E:E,'Day wise agent'!G:G)</f>
        <v>0</v>
      </c>
      <c r="L1527" s="12" t="str">
        <f t="shared" si="44"/>
        <v xml:space="preserve"> </v>
      </c>
    </row>
    <row r="1528" spans="4:12" x14ac:dyDescent="0.35">
      <c r="D1528" s="32"/>
      <c r="G1528" s="32"/>
      <c r="H1528">
        <f>COUNTIFS('Audit Raw data'!J:J,B:B,'Audit Raw data'!E:E,G:G)</f>
        <v>0</v>
      </c>
      <c r="I1528" s="44" t="str">
        <f>IFERROR((SUMIFS('Audit Raw data'!BZ:BZ,'Audit Raw data'!J:J,B:B,'Audit Raw data'!E:E,G:G)/H1528)/100,"-")</f>
        <v>-</v>
      </c>
      <c r="J1528">
        <f>COUNTIFS('Audit Raw data'!AM:AM,"Yes",'Audit Raw data'!J:J,B:B,'Audit Raw data'!E:E,'Day wise agent'!G:G)</f>
        <v>0</v>
      </c>
      <c r="K1528">
        <f>COUNTIFS('Audit Raw data'!AM:AM,"NO",'Audit Raw data'!J:J,B:B,'Audit Raw data'!E:E,'Day wise agent'!G:G)</f>
        <v>0</v>
      </c>
      <c r="L1528" s="12" t="str">
        <f t="shared" si="44"/>
        <v xml:space="preserve"> </v>
      </c>
    </row>
    <row r="1529" spans="4:12" x14ac:dyDescent="0.35">
      <c r="D1529" s="32"/>
      <c r="G1529" s="32"/>
      <c r="H1529">
        <f>COUNTIFS('Audit Raw data'!J:J,B:B,'Audit Raw data'!E:E,G:G)</f>
        <v>0</v>
      </c>
      <c r="I1529" s="44" t="str">
        <f>IFERROR((SUMIFS('Audit Raw data'!BZ:BZ,'Audit Raw data'!J:J,B:B,'Audit Raw data'!E:E,G:G)/H1529)/100,"-")</f>
        <v>-</v>
      </c>
      <c r="J1529">
        <f>COUNTIFS('Audit Raw data'!AM:AM,"Yes",'Audit Raw data'!J:J,B:B,'Audit Raw data'!E:E,'Day wise agent'!G:G)</f>
        <v>0</v>
      </c>
      <c r="K1529">
        <f>COUNTIFS('Audit Raw data'!AM:AM,"NO",'Audit Raw data'!J:J,B:B,'Audit Raw data'!E:E,'Day wise agent'!G:G)</f>
        <v>0</v>
      </c>
      <c r="L1529" s="12" t="str">
        <f t="shared" si="44"/>
        <v xml:space="preserve"> </v>
      </c>
    </row>
    <row r="1530" spans="4:12" x14ac:dyDescent="0.35">
      <c r="D1530" s="32"/>
      <c r="G1530" s="32"/>
      <c r="H1530">
        <f>COUNTIFS('Audit Raw data'!J:J,B:B,'Audit Raw data'!E:E,G:G)</f>
        <v>0</v>
      </c>
      <c r="I1530" s="44" t="str">
        <f>IFERROR((SUMIFS('Audit Raw data'!BZ:BZ,'Audit Raw data'!J:J,B:B,'Audit Raw data'!E:E,G:G)/H1530)/100,"-")</f>
        <v>-</v>
      </c>
      <c r="J1530">
        <f>COUNTIFS('Audit Raw data'!AM:AM,"Yes",'Audit Raw data'!J:J,B:B,'Audit Raw data'!E:E,'Day wise agent'!G:G)</f>
        <v>0</v>
      </c>
      <c r="K1530">
        <f>COUNTIFS('Audit Raw data'!AM:AM,"NO",'Audit Raw data'!J:J,B:B,'Audit Raw data'!E:E,'Day wise agent'!G:G)</f>
        <v>0</v>
      </c>
      <c r="L1530" s="12" t="str">
        <f t="shared" si="44"/>
        <v xml:space="preserve"> </v>
      </c>
    </row>
    <row r="1531" spans="4:12" x14ac:dyDescent="0.35">
      <c r="D1531" s="32"/>
      <c r="G1531" s="32"/>
      <c r="H1531">
        <f>COUNTIFS('Audit Raw data'!J:J,B:B,'Audit Raw data'!E:E,G:G)</f>
        <v>0</v>
      </c>
      <c r="I1531" s="44" t="str">
        <f>IFERROR((SUMIFS('Audit Raw data'!BZ:BZ,'Audit Raw data'!J:J,B:B,'Audit Raw data'!E:E,G:G)/H1531)/100,"-")</f>
        <v>-</v>
      </c>
      <c r="J1531">
        <f>COUNTIFS('Audit Raw data'!AM:AM,"Yes",'Audit Raw data'!J:J,B:B,'Audit Raw data'!E:E,'Day wise agent'!G:G)</f>
        <v>0</v>
      </c>
      <c r="K1531">
        <f>COUNTIFS('Audit Raw data'!AM:AM,"NO",'Audit Raw data'!J:J,B:B,'Audit Raw data'!E:E,'Day wise agent'!G:G)</f>
        <v>0</v>
      </c>
      <c r="L1531" s="12" t="str">
        <f t="shared" si="44"/>
        <v xml:space="preserve"> </v>
      </c>
    </row>
    <row r="1532" spans="4:12" x14ac:dyDescent="0.35">
      <c r="D1532" s="32"/>
      <c r="G1532" s="32"/>
      <c r="H1532">
        <f>COUNTIFS('Audit Raw data'!J:J,B:B,'Audit Raw data'!E:E,G:G)</f>
        <v>0</v>
      </c>
      <c r="I1532" s="44" t="str">
        <f>IFERROR((SUMIFS('Audit Raw data'!BZ:BZ,'Audit Raw data'!J:J,B:B,'Audit Raw data'!E:E,G:G)/H1532)/100,"-")</f>
        <v>-</v>
      </c>
      <c r="J1532">
        <f>COUNTIFS('Audit Raw data'!AM:AM,"Yes",'Audit Raw data'!J:J,B:B,'Audit Raw data'!E:E,'Day wise agent'!G:G)</f>
        <v>0</v>
      </c>
      <c r="K1532">
        <f>COUNTIFS('Audit Raw data'!AM:AM,"NO",'Audit Raw data'!J:J,B:B,'Audit Raw data'!E:E,'Day wise agent'!G:G)</f>
        <v>0</v>
      </c>
      <c r="L1532" s="12" t="str">
        <f t="shared" si="44"/>
        <v xml:space="preserve"> </v>
      </c>
    </row>
    <row r="1533" spans="4:12" x14ac:dyDescent="0.35">
      <c r="D1533" s="32"/>
      <c r="G1533" s="32"/>
      <c r="H1533">
        <f>COUNTIFS('Audit Raw data'!J:J,B:B,'Audit Raw data'!E:E,G:G)</f>
        <v>0</v>
      </c>
      <c r="I1533" s="44" t="str">
        <f>IFERROR((SUMIFS('Audit Raw data'!BZ:BZ,'Audit Raw data'!J:J,B:B,'Audit Raw data'!E:E,G:G)/H1533)/100,"-")</f>
        <v>-</v>
      </c>
      <c r="J1533">
        <f>COUNTIFS('Audit Raw data'!AM:AM,"Yes",'Audit Raw data'!J:J,B:B,'Audit Raw data'!E:E,'Day wise agent'!G:G)</f>
        <v>0</v>
      </c>
      <c r="K1533">
        <f>COUNTIFS('Audit Raw data'!AM:AM,"NO",'Audit Raw data'!J:J,B:B,'Audit Raw data'!E:E,'Day wise agent'!G:G)</f>
        <v>0</v>
      </c>
      <c r="L1533" s="12" t="str">
        <f t="shared" si="44"/>
        <v xml:space="preserve"> </v>
      </c>
    </row>
    <row r="1534" spans="4:12" x14ac:dyDescent="0.35">
      <c r="D1534" s="32"/>
      <c r="G1534" s="32"/>
      <c r="H1534">
        <f>COUNTIFS('Audit Raw data'!J:J,B:B,'Audit Raw data'!E:E,G:G)</f>
        <v>0</v>
      </c>
      <c r="I1534" s="44" t="str">
        <f>IFERROR((SUMIFS('Audit Raw data'!BZ:BZ,'Audit Raw data'!J:J,B:B,'Audit Raw data'!E:E,G:G)/H1534)/100,"-")</f>
        <v>-</v>
      </c>
      <c r="J1534">
        <f>COUNTIFS('Audit Raw data'!AM:AM,"Yes",'Audit Raw data'!J:J,B:B,'Audit Raw data'!E:E,'Day wise agent'!G:G)</f>
        <v>0</v>
      </c>
      <c r="K1534">
        <f>COUNTIFS('Audit Raw data'!AM:AM,"NO",'Audit Raw data'!J:J,B:B,'Audit Raw data'!E:E,'Day wise agent'!G:G)</f>
        <v>0</v>
      </c>
      <c r="L1534" s="12" t="str">
        <f t="shared" si="44"/>
        <v xml:space="preserve"> </v>
      </c>
    </row>
    <row r="1535" spans="4:12" x14ac:dyDescent="0.35">
      <c r="D1535" s="32"/>
      <c r="G1535" s="32"/>
      <c r="H1535">
        <f>COUNTIFS('Audit Raw data'!J:J,B:B,'Audit Raw data'!E:E,G:G)</f>
        <v>0</v>
      </c>
      <c r="I1535" s="44" t="str">
        <f>IFERROR((SUMIFS('Audit Raw data'!BZ:BZ,'Audit Raw data'!J:J,B:B,'Audit Raw data'!E:E,G:G)/H1535)/100,"-")</f>
        <v>-</v>
      </c>
      <c r="J1535">
        <f>COUNTIFS('Audit Raw data'!AM:AM,"Yes",'Audit Raw data'!J:J,B:B,'Audit Raw data'!E:E,'Day wise agent'!G:G)</f>
        <v>0</v>
      </c>
      <c r="K1535">
        <f>COUNTIFS('Audit Raw data'!AM:AM,"NO",'Audit Raw data'!J:J,B:B,'Audit Raw data'!E:E,'Day wise agent'!G:G)</f>
        <v>0</v>
      </c>
      <c r="L1535" s="12" t="str">
        <f t="shared" si="44"/>
        <v xml:space="preserve"> </v>
      </c>
    </row>
    <row r="1536" spans="4:12" x14ac:dyDescent="0.35">
      <c r="D1536" s="32"/>
      <c r="G1536" s="32"/>
      <c r="H1536">
        <f>COUNTIFS('Audit Raw data'!J:J,B:B,'Audit Raw data'!E:E,G:G)</f>
        <v>0</v>
      </c>
      <c r="I1536" s="44" t="str">
        <f>IFERROR((SUMIFS('Audit Raw data'!BZ:BZ,'Audit Raw data'!J:J,B:B,'Audit Raw data'!E:E,G:G)/H1536)/100,"-")</f>
        <v>-</v>
      </c>
      <c r="J1536">
        <f>COUNTIFS('Audit Raw data'!AM:AM,"Yes",'Audit Raw data'!J:J,B:B,'Audit Raw data'!E:E,'Day wise agent'!G:G)</f>
        <v>0</v>
      </c>
      <c r="K1536">
        <f>COUNTIFS('Audit Raw data'!AM:AM,"NO",'Audit Raw data'!J:J,B:B,'Audit Raw data'!E:E,'Day wise agent'!G:G)</f>
        <v>0</v>
      </c>
      <c r="L1536" s="12" t="str">
        <f t="shared" si="44"/>
        <v xml:space="preserve"> </v>
      </c>
    </row>
    <row r="1537" spans="4:12" x14ac:dyDescent="0.35">
      <c r="D1537" s="32"/>
      <c r="G1537" s="32"/>
      <c r="H1537">
        <f>COUNTIFS('Audit Raw data'!J:J,B:B,'Audit Raw data'!E:E,G:G)</f>
        <v>0</v>
      </c>
      <c r="I1537" s="44" t="str">
        <f>IFERROR((SUMIFS('Audit Raw data'!BZ:BZ,'Audit Raw data'!J:J,B:B,'Audit Raw data'!E:E,G:G)/H1537)/100,"-")</f>
        <v>-</v>
      </c>
      <c r="J1537">
        <f>COUNTIFS('Audit Raw data'!AM:AM,"Yes",'Audit Raw data'!J:J,B:B,'Audit Raw data'!E:E,'Day wise agent'!G:G)</f>
        <v>0</v>
      </c>
      <c r="K1537">
        <f>COUNTIFS('Audit Raw data'!AM:AM,"NO",'Audit Raw data'!J:J,B:B,'Audit Raw data'!E:E,'Day wise agent'!G:G)</f>
        <v>0</v>
      </c>
      <c r="L1537" s="12" t="str">
        <f t="shared" si="44"/>
        <v xml:space="preserve"> </v>
      </c>
    </row>
    <row r="1538" spans="4:12" x14ac:dyDescent="0.35">
      <c r="D1538" s="32"/>
      <c r="G1538" s="32"/>
      <c r="H1538">
        <f>COUNTIFS('Audit Raw data'!J:J,B:B,'Audit Raw data'!E:E,G:G)</f>
        <v>0</v>
      </c>
      <c r="I1538" s="44" t="str">
        <f>IFERROR((SUMIFS('Audit Raw data'!BZ:BZ,'Audit Raw data'!J:J,B:B,'Audit Raw data'!E:E,G:G)/H1538)/100,"-")</f>
        <v>-</v>
      </c>
      <c r="J1538">
        <f>COUNTIFS('Audit Raw data'!AM:AM,"Yes",'Audit Raw data'!J:J,B:B,'Audit Raw data'!E:E,'Day wise agent'!G:G)</f>
        <v>0</v>
      </c>
      <c r="K1538">
        <f>COUNTIFS('Audit Raw data'!AM:AM,"NO",'Audit Raw data'!J:J,B:B,'Audit Raw data'!E:E,'Day wise agent'!G:G)</f>
        <v>0</v>
      </c>
      <c r="L1538" s="12" t="str">
        <f t="shared" ref="L1538:L1601" si="45">IFERROR(J1538/H1538," ")</f>
        <v xml:space="preserve"> </v>
      </c>
    </row>
    <row r="1539" spans="4:12" x14ac:dyDescent="0.35">
      <c r="D1539" s="32"/>
      <c r="G1539" s="32"/>
      <c r="H1539">
        <f>COUNTIFS('Audit Raw data'!J:J,B:B,'Audit Raw data'!E:E,G:G)</f>
        <v>0</v>
      </c>
      <c r="I1539" s="44" t="str">
        <f>IFERROR((SUMIFS('Audit Raw data'!BZ:BZ,'Audit Raw data'!J:J,B:B,'Audit Raw data'!E:E,G:G)/H1539)/100,"-")</f>
        <v>-</v>
      </c>
      <c r="J1539">
        <f>COUNTIFS('Audit Raw data'!AM:AM,"Yes",'Audit Raw data'!J:J,B:B,'Audit Raw data'!E:E,'Day wise agent'!G:G)</f>
        <v>0</v>
      </c>
      <c r="K1539">
        <f>COUNTIFS('Audit Raw data'!AM:AM,"NO",'Audit Raw data'!J:J,B:B,'Audit Raw data'!E:E,'Day wise agent'!G:G)</f>
        <v>0</v>
      </c>
      <c r="L1539" s="12" t="str">
        <f t="shared" si="45"/>
        <v xml:space="preserve"> </v>
      </c>
    </row>
    <row r="1540" spans="4:12" x14ac:dyDescent="0.35">
      <c r="D1540" s="32"/>
      <c r="G1540" s="32"/>
      <c r="H1540">
        <f>COUNTIFS('Audit Raw data'!J:J,B:B,'Audit Raw data'!E:E,G:G)</f>
        <v>0</v>
      </c>
      <c r="I1540" s="44" t="str">
        <f>IFERROR((SUMIFS('Audit Raw data'!BZ:BZ,'Audit Raw data'!J:J,B:B,'Audit Raw data'!E:E,G:G)/H1540)/100,"-")</f>
        <v>-</v>
      </c>
      <c r="J1540">
        <f>COUNTIFS('Audit Raw data'!AM:AM,"Yes",'Audit Raw data'!J:J,B:B,'Audit Raw data'!E:E,'Day wise agent'!G:G)</f>
        <v>0</v>
      </c>
      <c r="K1540">
        <f>COUNTIFS('Audit Raw data'!AM:AM,"NO",'Audit Raw data'!J:J,B:B,'Audit Raw data'!E:E,'Day wise agent'!G:G)</f>
        <v>0</v>
      </c>
      <c r="L1540" s="12" t="str">
        <f t="shared" si="45"/>
        <v xml:space="preserve"> </v>
      </c>
    </row>
    <row r="1541" spans="4:12" x14ac:dyDescent="0.35">
      <c r="D1541" s="32"/>
      <c r="G1541" s="32"/>
      <c r="H1541">
        <f>COUNTIFS('Audit Raw data'!J:J,B:B,'Audit Raw data'!E:E,G:G)</f>
        <v>0</v>
      </c>
      <c r="I1541" s="44" t="str">
        <f>IFERROR((SUMIFS('Audit Raw data'!BZ:BZ,'Audit Raw data'!J:J,B:B,'Audit Raw data'!E:E,G:G)/H1541)/100,"-")</f>
        <v>-</v>
      </c>
      <c r="J1541">
        <f>COUNTIFS('Audit Raw data'!AM:AM,"Yes",'Audit Raw data'!J:J,B:B,'Audit Raw data'!E:E,'Day wise agent'!G:G)</f>
        <v>0</v>
      </c>
      <c r="K1541">
        <f>COUNTIFS('Audit Raw data'!AM:AM,"NO",'Audit Raw data'!J:J,B:B,'Audit Raw data'!E:E,'Day wise agent'!G:G)</f>
        <v>0</v>
      </c>
      <c r="L1541" s="12" t="str">
        <f t="shared" si="45"/>
        <v xml:space="preserve"> </v>
      </c>
    </row>
    <row r="1542" spans="4:12" x14ac:dyDescent="0.35">
      <c r="D1542" s="32"/>
      <c r="G1542" s="32"/>
      <c r="H1542">
        <f>COUNTIFS('Audit Raw data'!J:J,B:B,'Audit Raw data'!E:E,G:G)</f>
        <v>0</v>
      </c>
      <c r="I1542" s="44" t="str">
        <f>IFERROR((SUMIFS('Audit Raw data'!BZ:BZ,'Audit Raw data'!J:J,B:B,'Audit Raw data'!E:E,G:G)/H1542)/100,"-")</f>
        <v>-</v>
      </c>
      <c r="J1542">
        <f>COUNTIFS('Audit Raw data'!AM:AM,"Yes",'Audit Raw data'!J:J,B:B,'Audit Raw data'!E:E,'Day wise agent'!G:G)</f>
        <v>0</v>
      </c>
      <c r="K1542">
        <f>COUNTIFS('Audit Raw data'!AM:AM,"NO",'Audit Raw data'!J:J,B:B,'Audit Raw data'!E:E,'Day wise agent'!G:G)</f>
        <v>0</v>
      </c>
      <c r="L1542" s="12" t="str">
        <f t="shared" si="45"/>
        <v xml:space="preserve"> </v>
      </c>
    </row>
    <row r="1543" spans="4:12" x14ac:dyDescent="0.35">
      <c r="D1543" s="32"/>
      <c r="G1543" s="32"/>
      <c r="H1543">
        <f>COUNTIFS('Audit Raw data'!J:J,B:B,'Audit Raw data'!E:E,G:G)</f>
        <v>0</v>
      </c>
      <c r="I1543" s="44" t="str">
        <f>IFERROR((SUMIFS('Audit Raw data'!BZ:BZ,'Audit Raw data'!J:J,B:B,'Audit Raw data'!E:E,G:G)/H1543)/100,"-")</f>
        <v>-</v>
      </c>
      <c r="J1543">
        <f>COUNTIFS('Audit Raw data'!AM:AM,"Yes",'Audit Raw data'!J:J,B:B,'Audit Raw data'!E:E,'Day wise agent'!G:G)</f>
        <v>0</v>
      </c>
      <c r="K1543">
        <f>COUNTIFS('Audit Raw data'!AM:AM,"NO",'Audit Raw data'!J:J,B:B,'Audit Raw data'!E:E,'Day wise agent'!G:G)</f>
        <v>0</v>
      </c>
      <c r="L1543" s="12" t="str">
        <f t="shared" si="45"/>
        <v xml:space="preserve"> </v>
      </c>
    </row>
    <row r="1544" spans="4:12" x14ac:dyDescent="0.35">
      <c r="D1544" s="32"/>
      <c r="G1544" s="32"/>
      <c r="H1544">
        <f>COUNTIFS('Audit Raw data'!J:J,B:B,'Audit Raw data'!E:E,G:G)</f>
        <v>0</v>
      </c>
      <c r="I1544" s="44" t="str">
        <f>IFERROR((SUMIFS('Audit Raw data'!BZ:BZ,'Audit Raw data'!J:J,B:B,'Audit Raw data'!E:E,G:G)/H1544)/100,"-")</f>
        <v>-</v>
      </c>
      <c r="J1544">
        <f>COUNTIFS('Audit Raw data'!AM:AM,"Yes",'Audit Raw data'!J:J,B:B,'Audit Raw data'!E:E,'Day wise agent'!G:G)</f>
        <v>0</v>
      </c>
      <c r="K1544">
        <f>COUNTIFS('Audit Raw data'!AM:AM,"NO",'Audit Raw data'!J:J,B:B,'Audit Raw data'!E:E,'Day wise agent'!G:G)</f>
        <v>0</v>
      </c>
      <c r="L1544" s="12" t="str">
        <f t="shared" si="45"/>
        <v xml:space="preserve"> </v>
      </c>
    </row>
    <row r="1545" spans="4:12" x14ac:dyDescent="0.35">
      <c r="D1545" s="32"/>
      <c r="G1545" s="32"/>
      <c r="H1545">
        <f>COUNTIFS('Audit Raw data'!J:J,B:B,'Audit Raw data'!E:E,G:G)</f>
        <v>0</v>
      </c>
      <c r="I1545" s="44" t="str">
        <f>IFERROR((SUMIFS('Audit Raw data'!BZ:BZ,'Audit Raw data'!J:J,B:B,'Audit Raw data'!E:E,G:G)/H1545)/100,"-")</f>
        <v>-</v>
      </c>
      <c r="J1545">
        <f>COUNTIFS('Audit Raw data'!AM:AM,"Yes",'Audit Raw data'!J:J,B:B,'Audit Raw data'!E:E,'Day wise agent'!G:G)</f>
        <v>0</v>
      </c>
      <c r="K1545">
        <f>COUNTIFS('Audit Raw data'!AM:AM,"NO",'Audit Raw data'!J:J,B:B,'Audit Raw data'!E:E,'Day wise agent'!G:G)</f>
        <v>0</v>
      </c>
      <c r="L1545" s="12" t="str">
        <f t="shared" si="45"/>
        <v xml:space="preserve"> </v>
      </c>
    </row>
    <row r="1546" spans="4:12" x14ac:dyDescent="0.35">
      <c r="D1546" s="32"/>
      <c r="G1546" s="32"/>
      <c r="H1546">
        <f>COUNTIFS('Audit Raw data'!J:J,B:B,'Audit Raw data'!E:E,G:G)</f>
        <v>0</v>
      </c>
      <c r="I1546" s="44" t="str">
        <f>IFERROR((SUMIFS('Audit Raw data'!BZ:BZ,'Audit Raw data'!J:J,B:B,'Audit Raw data'!E:E,G:G)/H1546)/100,"-")</f>
        <v>-</v>
      </c>
      <c r="J1546">
        <f>COUNTIFS('Audit Raw data'!AM:AM,"Yes",'Audit Raw data'!J:J,B:B,'Audit Raw data'!E:E,'Day wise agent'!G:G)</f>
        <v>0</v>
      </c>
      <c r="K1546">
        <f>COUNTIFS('Audit Raw data'!AM:AM,"NO",'Audit Raw data'!J:J,B:B,'Audit Raw data'!E:E,'Day wise agent'!G:G)</f>
        <v>0</v>
      </c>
      <c r="L1546" s="12" t="str">
        <f t="shared" si="45"/>
        <v xml:space="preserve"> </v>
      </c>
    </row>
    <row r="1547" spans="4:12" x14ac:dyDescent="0.35">
      <c r="D1547" s="32"/>
      <c r="G1547" s="32"/>
      <c r="H1547">
        <f>COUNTIFS('Audit Raw data'!J:J,B:B,'Audit Raw data'!E:E,G:G)</f>
        <v>0</v>
      </c>
      <c r="I1547" s="44" t="str">
        <f>IFERROR((SUMIFS('Audit Raw data'!BZ:BZ,'Audit Raw data'!J:J,B:B,'Audit Raw data'!E:E,G:G)/H1547)/100,"-")</f>
        <v>-</v>
      </c>
      <c r="J1547">
        <f>COUNTIFS('Audit Raw data'!AM:AM,"Yes",'Audit Raw data'!J:J,B:B,'Audit Raw data'!E:E,'Day wise agent'!G:G)</f>
        <v>0</v>
      </c>
      <c r="K1547">
        <f>COUNTIFS('Audit Raw data'!AM:AM,"NO",'Audit Raw data'!J:J,B:B,'Audit Raw data'!E:E,'Day wise agent'!G:G)</f>
        <v>0</v>
      </c>
      <c r="L1547" s="12" t="str">
        <f t="shared" si="45"/>
        <v xml:space="preserve"> </v>
      </c>
    </row>
    <row r="1548" spans="4:12" x14ac:dyDescent="0.35">
      <c r="D1548" s="32"/>
      <c r="G1548" s="32"/>
      <c r="H1548">
        <f>COUNTIFS('Audit Raw data'!J:J,B:B,'Audit Raw data'!E:E,G:G)</f>
        <v>0</v>
      </c>
      <c r="I1548" s="44" t="str">
        <f>IFERROR((SUMIFS('Audit Raw data'!BZ:BZ,'Audit Raw data'!J:J,B:B,'Audit Raw data'!E:E,G:G)/H1548)/100,"-")</f>
        <v>-</v>
      </c>
      <c r="J1548">
        <f>COUNTIFS('Audit Raw data'!AM:AM,"Yes",'Audit Raw data'!J:J,B:B,'Audit Raw data'!E:E,'Day wise agent'!G:G)</f>
        <v>0</v>
      </c>
      <c r="K1548">
        <f>COUNTIFS('Audit Raw data'!AM:AM,"NO",'Audit Raw data'!J:J,B:B,'Audit Raw data'!E:E,'Day wise agent'!G:G)</f>
        <v>0</v>
      </c>
      <c r="L1548" s="12" t="str">
        <f t="shared" si="45"/>
        <v xml:space="preserve"> </v>
      </c>
    </row>
    <row r="1549" spans="4:12" x14ac:dyDescent="0.35">
      <c r="D1549" s="32"/>
      <c r="G1549" s="32"/>
      <c r="H1549">
        <f>COUNTIFS('Audit Raw data'!J:J,B:B,'Audit Raw data'!E:E,G:G)</f>
        <v>0</v>
      </c>
      <c r="I1549" s="44" t="str">
        <f>IFERROR((SUMIFS('Audit Raw data'!BZ:BZ,'Audit Raw data'!J:J,B:B,'Audit Raw data'!E:E,G:G)/H1549)/100,"-")</f>
        <v>-</v>
      </c>
      <c r="J1549">
        <f>COUNTIFS('Audit Raw data'!AM:AM,"Yes",'Audit Raw data'!J:J,B:B,'Audit Raw data'!E:E,'Day wise agent'!G:G)</f>
        <v>0</v>
      </c>
      <c r="K1549">
        <f>COUNTIFS('Audit Raw data'!AM:AM,"NO",'Audit Raw data'!J:J,B:B,'Audit Raw data'!E:E,'Day wise agent'!G:G)</f>
        <v>0</v>
      </c>
      <c r="L1549" s="12" t="str">
        <f t="shared" si="45"/>
        <v xml:space="preserve"> </v>
      </c>
    </row>
    <row r="1550" spans="4:12" x14ac:dyDescent="0.35">
      <c r="D1550" s="32"/>
      <c r="G1550" s="32"/>
      <c r="H1550">
        <f>COUNTIFS('Audit Raw data'!J:J,B:B,'Audit Raw data'!E:E,G:G)</f>
        <v>0</v>
      </c>
      <c r="I1550" s="44" t="str">
        <f>IFERROR((SUMIFS('Audit Raw data'!BZ:BZ,'Audit Raw data'!J:J,B:B,'Audit Raw data'!E:E,G:G)/H1550)/100,"-")</f>
        <v>-</v>
      </c>
      <c r="J1550">
        <f>COUNTIFS('Audit Raw data'!AM:AM,"Yes",'Audit Raw data'!J:J,B:B,'Audit Raw data'!E:E,'Day wise agent'!G:G)</f>
        <v>0</v>
      </c>
      <c r="K1550">
        <f>COUNTIFS('Audit Raw data'!AM:AM,"NO",'Audit Raw data'!J:J,B:B,'Audit Raw data'!E:E,'Day wise agent'!G:G)</f>
        <v>0</v>
      </c>
      <c r="L1550" s="12" t="str">
        <f t="shared" si="45"/>
        <v xml:space="preserve"> </v>
      </c>
    </row>
    <row r="1551" spans="4:12" x14ac:dyDescent="0.35">
      <c r="D1551" s="32"/>
      <c r="G1551" s="32"/>
      <c r="H1551">
        <f>COUNTIFS('Audit Raw data'!J:J,B:B,'Audit Raw data'!E:E,G:G)</f>
        <v>0</v>
      </c>
      <c r="I1551" s="44" t="str">
        <f>IFERROR((SUMIFS('Audit Raw data'!BZ:BZ,'Audit Raw data'!J:J,B:B,'Audit Raw data'!E:E,G:G)/H1551)/100,"-")</f>
        <v>-</v>
      </c>
      <c r="J1551">
        <f>COUNTIFS('Audit Raw data'!AM:AM,"Yes",'Audit Raw data'!J:J,B:B,'Audit Raw data'!E:E,'Day wise agent'!G:G)</f>
        <v>0</v>
      </c>
      <c r="K1551">
        <f>COUNTIFS('Audit Raw data'!AM:AM,"NO",'Audit Raw data'!J:J,B:B,'Audit Raw data'!E:E,'Day wise agent'!G:G)</f>
        <v>0</v>
      </c>
      <c r="L1551" s="12" t="str">
        <f t="shared" si="45"/>
        <v xml:space="preserve"> </v>
      </c>
    </row>
    <row r="1552" spans="4:12" x14ac:dyDescent="0.35">
      <c r="D1552" s="32"/>
      <c r="G1552" s="32"/>
      <c r="H1552">
        <f>COUNTIFS('Audit Raw data'!J:J,B:B,'Audit Raw data'!E:E,G:G)</f>
        <v>0</v>
      </c>
      <c r="I1552" s="44" t="str">
        <f>IFERROR((SUMIFS('Audit Raw data'!BZ:BZ,'Audit Raw data'!J:J,B:B,'Audit Raw data'!E:E,G:G)/H1552)/100,"-")</f>
        <v>-</v>
      </c>
      <c r="J1552">
        <f>COUNTIFS('Audit Raw data'!AM:AM,"Yes",'Audit Raw data'!J:J,B:B,'Audit Raw data'!E:E,'Day wise agent'!G:G)</f>
        <v>0</v>
      </c>
      <c r="K1552">
        <f>COUNTIFS('Audit Raw data'!AM:AM,"NO",'Audit Raw data'!J:J,B:B,'Audit Raw data'!E:E,'Day wise agent'!G:G)</f>
        <v>0</v>
      </c>
      <c r="L1552" s="12" t="str">
        <f t="shared" si="45"/>
        <v xml:space="preserve"> </v>
      </c>
    </row>
    <row r="1553" spans="4:12" x14ac:dyDescent="0.35">
      <c r="D1553" s="32"/>
      <c r="G1553" s="32"/>
      <c r="H1553">
        <f>COUNTIFS('Audit Raw data'!J:J,B:B,'Audit Raw data'!E:E,G:G)</f>
        <v>0</v>
      </c>
      <c r="I1553" s="44" t="str">
        <f>IFERROR((SUMIFS('Audit Raw data'!BZ:BZ,'Audit Raw data'!J:J,B:B,'Audit Raw data'!E:E,G:G)/H1553)/100,"-")</f>
        <v>-</v>
      </c>
      <c r="J1553">
        <f>COUNTIFS('Audit Raw data'!AM:AM,"Yes",'Audit Raw data'!J:J,B:B,'Audit Raw data'!E:E,'Day wise agent'!G:G)</f>
        <v>0</v>
      </c>
      <c r="K1553">
        <f>COUNTIFS('Audit Raw data'!AM:AM,"NO",'Audit Raw data'!J:J,B:B,'Audit Raw data'!E:E,'Day wise agent'!G:G)</f>
        <v>0</v>
      </c>
      <c r="L1553" s="12" t="str">
        <f t="shared" si="45"/>
        <v xml:space="preserve"> </v>
      </c>
    </row>
    <row r="1554" spans="4:12" x14ac:dyDescent="0.35">
      <c r="D1554" s="32"/>
      <c r="G1554" s="32"/>
      <c r="H1554">
        <f>COUNTIFS('Audit Raw data'!J:J,B:B,'Audit Raw data'!E:E,G:G)</f>
        <v>0</v>
      </c>
      <c r="I1554" s="44" t="str">
        <f>IFERROR((SUMIFS('Audit Raw data'!BZ:BZ,'Audit Raw data'!J:J,B:B,'Audit Raw data'!E:E,G:G)/H1554)/100,"-")</f>
        <v>-</v>
      </c>
      <c r="J1554">
        <f>COUNTIFS('Audit Raw data'!AM:AM,"Yes",'Audit Raw data'!J:J,B:B,'Audit Raw data'!E:E,'Day wise agent'!G:G)</f>
        <v>0</v>
      </c>
      <c r="K1554">
        <f>COUNTIFS('Audit Raw data'!AM:AM,"NO",'Audit Raw data'!J:J,B:B,'Audit Raw data'!E:E,'Day wise agent'!G:G)</f>
        <v>0</v>
      </c>
      <c r="L1554" s="12" t="str">
        <f t="shared" si="45"/>
        <v xml:space="preserve"> </v>
      </c>
    </row>
    <row r="1555" spans="4:12" x14ac:dyDescent="0.35">
      <c r="D1555" s="32"/>
      <c r="G1555" s="32"/>
      <c r="H1555">
        <f>COUNTIFS('Audit Raw data'!J:J,B:B,'Audit Raw data'!E:E,G:G)</f>
        <v>0</v>
      </c>
      <c r="I1555" s="44" t="str">
        <f>IFERROR((SUMIFS('Audit Raw data'!BZ:BZ,'Audit Raw data'!J:J,B:B,'Audit Raw data'!E:E,G:G)/H1555)/100,"-")</f>
        <v>-</v>
      </c>
      <c r="J1555">
        <f>COUNTIFS('Audit Raw data'!AM:AM,"Yes",'Audit Raw data'!J:J,B:B,'Audit Raw data'!E:E,'Day wise agent'!G:G)</f>
        <v>0</v>
      </c>
      <c r="K1555">
        <f>COUNTIFS('Audit Raw data'!AM:AM,"NO",'Audit Raw data'!J:J,B:B,'Audit Raw data'!E:E,'Day wise agent'!G:G)</f>
        <v>0</v>
      </c>
      <c r="L1555" s="12" t="str">
        <f t="shared" si="45"/>
        <v xml:space="preserve"> </v>
      </c>
    </row>
    <row r="1556" spans="4:12" x14ac:dyDescent="0.35">
      <c r="D1556" s="32"/>
      <c r="G1556" s="32"/>
      <c r="H1556">
        <f>COUNTIFS('Audit Raw data'!J:J,B:B,'Audit Raw data'!E:E,G:G)</f>
        <v>0</v>
      </c>
      <c r="I1556" s="44" t="str">
        <f>IFERROR((SUMIFS('Audit Raw data'!BZ:BZ,'Audit Raw data'!J:J,B:B,'Audit Raw data'!E:E,G:G)/H1556)/100,"-")</f>
        <v>-</v>
      </c>
      <c r="J1556">
        <f>COUNTIFS('Audit Raw data'!AM:AM,"Yes",'Audit Raw data'!J:J,B:B,'Audit Raw data'!E:E,'Day wise agent'!G:G)</f>
        <v>0</v>
      </c>
      <c r="K1556">
        <f>COUNTIFS('Audit Raw data'!AM:AM,"NO",'Audit Raw data'!J:J,B:B,'Audit Raw data'!E:E,'Day wise agent'!G:G)</f>
        <v>0</v>
      </c>
      <c r="L1556" s="12" t="str">
        <f t="shared" si="45"/>
        <v xml:space="preserve"> </v>
      </c>
    </row>
    <row r="1557" spans="4:12" x14ac:dyDescent="0.35">
      <c r="D1557" s="32"/>
      <c r="G1557" s="32"/>
      <c r="H1557">
        <f>COUNTIFS('Audit Raw data'!J:J,B:B,'Audit Raw data'!E:E,G:G)</f>
        <v>0</v>
      </c>
      <c r="I1557" s="44" t="str">
        <f>IFERROR((SUMIFS('Audit Raw data'!BZ:BZ,'Audit Raw data'!J:J,B:B,'Audit Raw data'!E:E,G:G)/H1557)/100,"-")</f>
        <v>-</v>
      </c>
      <c r="J1557">
        <f>COUNTIFS('Audit Raw data'!AM:AM,"Yes",'Audit Raw data'!J:J,B:B,'Audit Raw data'!E:E,'Day wise agent'!G:G)</f>
        <v>0</v>
      </c>
      <c r="K1557">
        <f>COUNTIFS('Audit Raw data'!AM:AM,"NO",'Audit Raw data'!J:J,B:B,'Audit Raw data'!E:E,'Day wise agent'!G:G)</f>
        <v>0</v>
      </c>
      <c r="L1557" s="12" t="str">
        <f t="shared" si="45"/>
        <v xml:space="preserve"> </v>
      </c>
    </row>
    <row r="1558" spans="4:12" x14ac:dyDescent="0.35">
      <c r="D1558" s="32"/>
      <c r="G1558" s="32"/>
      <c r="H1558">
        <f>COUNTIFS('Audit Raw data'!J:J,B:B,'Audit Raw data'!E:E,G:G)</f>
        <v>0</v>
      </c>
      <c r="I1558" s="44" t="str">
        <f>IFERROR((SUMIFS('Audit Raw data'!BZ:BZ,'Audit Raw data'!J:J,B:B,'Audit Raw data'!E:E,G:G)/H1558)/100,"-")</f>
        <v>-</v>
      </c>
      <c r="J1558">
        <f>COUNTIFS('Audit Raw data'!AM:AM,"Yes",'Audit Raw data'!J:J,B:B,'Audit Raw data'!E:E,'Day wise agent'!G:G)</f>
        <v>0</v>
      </c>
      <c r="K1558">
        <f>COUNTIFS('Audit Raw data'!AM:AM,"NO",'Audit Raw data'!J:J,B:B,'Audit Raw data'!E:E,'Day wise agent'!G:G)</f>
        <v>0</v>
      </c>
      <c r="L1558" s="12" t="str">
        <f t="shared" si="45"/>
        <v xml:space="preserve"> </v>
      </c>
    </row>
    <row r="1559" spans="4:12" x14ac:dyDescent="0.35">
      <c r="D1559" s="32"/>
      <c r="G1559" s="32"/>
      <c r="H1559">
        <f>COUNTIFS('Audit Raw data'!J:J,B:B,'Audit Raw data'!E:E,G:G)</f>
        <v>0</v>
      </c>
      <c r="I1559" s="44" t="str">
        <f>IFERROR((SUMIFS('Audit Raw data'!BZ:BZ,'Audit Raw data'!J:J,B:B,'Audit Raw data'!E:E,G:G)/H1559)/100,"-")</f>
        <v>-</v>
      </c>
      <c r="J1559">
        <f>COUNTIFS('Audit Raw data'!AM:AM,"Yes",'Audit Raw data'!J:J,B:B,'Audit Raw data'!E:E,'Day wise agent'!G:G)</f>
        <v>0</v>
      </c>
      <c r="K1559">
        <f>COUNTIFS('Audit Raw data'!AM:AM,"NO",'Audit Raw data'!J:J,B:B,'Audit Raw data'!E:E,'Day wise agent'!G:G)</f>
        <v>0</v>
      </c>
      <c r="L1559" s="12" t="str">
        <f t="shared" si="45"/>
        <v xml:space="preserve"> </v>
      </c>
    </row>
    <row r="1560" spans="4:12" x14ac:dyDescent="0.35">
      <c r="D1560" s="32"/>
      <c r="G1560" s="32"/>
      <c r="H1560">
        <f>COUNTIFS('Audit Raw data'!J:J,B:B,'Audit Raw data'!E:E,G:G)</f>
        <v>0</v>
      </c>
      <c r="I1560" s="44" t="str">
        <f>IFERROR((SUMIFS('Audit Raw data'!BZ:BZ,'Audit Raw data'!J:J,B:B,'Audit Raw data'!E:E,G:G)/H1560)/100,"-")</f>
        <v>-</v>
      </c>
      <c r="J1560">
        <f>COUNTIFS('Audit Raw data'!AM:AM,"Yes",'Audit Raw data'!J:J,B:B,'Audit Raw data'!E:E,'Day wise agent'!G:G)</f>
        <v>0</v>
      </c>
      <c r="K1560">
        <f>COUNTIFS('Audit Raw data'!AM:AM,"NO",'Audit Raw data'!J:J,B:B,'Audit Raw data'!E:E,'Day wise agent'!G:G)</f>
        <v>0</v>
      </c>
      <c r="L1560" s="12" t="str">
        <f t="shared" si="45"/>
        <v xml:space="preserve"> </v>
      </c>
    </row>
    <row r="1561" spans="4:12" x14ac:dyDescent="0.35">
      <c r="D1561" s="32"/>
      <c r="G1561" s="32"/>
      <c r="H1561">
        <f>COUNTIFS('Audit Raw data'!J:J,B:B,'Audit Raw data'!E:E,G:G)</f>
        <v>0</v>
      </c>
      <c r="I1561" s="44" t="str">
        <f>IFERROR((SUMIFS('Audit Raw data'!BZ:BZ,'Audit Raw data'!J:J,B:B,'Audit Raw data'!E:E,G:G)/H1561)/100,"-")</f>
        <v>-</v>
      </c>
      <c r="J1561">
        <f>COUNTIFS('Audit Raw data'!AM:AM,"Yes",'Audit Raw data'!J:J,B:B,'Audit Raw data'!E:E,'Day wise agent'!G:G)</f>
        <v>0</v>
      </c>
      <c r="K1561">
        <f>COUNTIFS('Audit Raw data'!AM:AM,"NO",'Audit Raw data'!J:J,B:B,'Audit Raw data'!E:E,'Day wise agent'!G:G)</f>
        <v>0</v>
      </c>
      <c r="L1561" s="12" t="str">
        <f t="shared" si="45"/>
        <v xml:space="preserve"> </v>
      </c>
    </row>
    <row r="1562" spans="4:12" x14ac:dyDescent="0.35">
      <c r="D1562" s="32"/>
      <c r="G1562" s="32"/>
      <c r="H1562">
        <f>COUNTIFS('Audit Raw data'!J:J,B:B,'Audit Raw data'!E:E,G:G)</f>
        <v>0</v>
      </c>
      <c r="I1562" s="44" t="str">
        <f>IFERROR((SUMIFS('Audit Raw data'!BZ:BZ,'Audit Raw data'!J:J,B:B,'Audit Raw data'!E:E,G:G)/H1562)/100,"-")</f>
        <v>-</v>
      </c>
      <c r="J1562">
        <f>COUNTIFS('Audit Raw data'!AM:AM,"Yes",'Audit Raw data'!J:J,B:B,'Audit Raw data'!E:E,'Day wise agent'!G:G)</f>
        <v>0</v>
      </c>
      <c r="K1562">
        <f>COUNTIFS('Audit Raw data'!AM:AM,"NO",'Audit Raw data'!J:J,B:B,'Audit Raw data'!E:E,'Day wise agent'!G:G)</f>
        <v>0</v>
      </c>
      <c r="L1562" s="12" t="str">
        <f t="shared" si="45"/>
        <v xml:space="preserve"> </v>
      </c>
    </row>
    <row r="1563" spans="4:12" x14ac:dyDescent="0.35">
      <c r="D1563" s="32"/>
      <c r="G1563" s="32"/>
      <c r="H1563">
        <f>COUNTIFS('Audit Raw data'!J:J,B:B,'Audit Raw data'!E:E,G:G)</f>
        <v>0</v>
      </c>
      <c r="I1563" s="44" t="str">
        <f>IFERROR((SUMIFS('Audit Raw data'!BZ:BZ,'Audit Raw data'!J:J,B:B,'Audit Raw data'!E:E,G:G)/H1563)/100,"-")</f>
        <v>-</v>
      </c>
      <c r="J1563">
        <f>COUNTIFS('Audit Raw data'!AM:AM,"Yes",'Audit Raw data'!J:J,B:B,'Audit Raw data'!E:E,'Day wise agent'!G:G)</f>
        <v>0</v>
      </c>
      <c r="K1563">
        <f>COUNTIFS('Audit Raw data'!AM:AM,"NO",'Audit Raw data'!J:J,B:B,'Audit Raw data'!E:E,'Day wise agent'!G:G)</f>
        <v>0</v>
      </c>
      <c r="L1563" s="12" t="str">
        <f t="shared" si="45"/>
        <v xml:space="preserve"> </v>
      </c>
    </row>
    <row r="1564" spans="4:12" x14ac:dyDescent="0.35">
      <c r="D1564" s="32"/>
      <c r="G1564" s="32"/>
      <c r="H1564">
        <f>COUNTIFS('Audit Raw data'!J:J,B:B,'Audit Raw data'!E:E,G:G)</f>
        <v>0</v>
      </c>
      <c r="I1564" s="44" t="str">
        <f>IFERROR((SUMIFS('Audit Raw data'!BZ:BZ,'Audit Raw data'!J:J,B:B,'Audit Raw data'!E:E,G:G)/H1564)/100,"-")</f>
        <v>-</v>
      </c>
      <c r="J1564">
        <f>COUNTIFS('Audit Raw data'!AM:AM,"Yes",'Audit Raw data'!J:J,B:B,'Audit Raw data'!E:E,'Day wise agent'!G:G)</f>
        <v>0</v>
      </c>
      <c r="K1564">
        <f>COUNTIFS('Audit Raw data'!AM:AM,"NO",'Audit Raw data'!J:J,B:B,'Audit Raw data'!E:E,'Day wise agent'!G:G)</f>
        <v>0</v>
      </c>
      <c r="L1564" s="12" t="str">
        <f t="shared" si="45"/>
        <v xml:space="preserve"> </v>
      </c>
    </row>
    <row r="1565" spans="4:12" x14ac:dyDescent="0.35">
      <c r="D1565" s="32"/>
      <c r="G1565" s="32"/>
      <c r="H1565">
        <f>COUNTIFS('Audit Raw data'!J:J,B:B,'Audit Raw data'!E:E,G:G)</f>
        <v>0</v>
      </c>
      <c r="I1565" s="44" t="str">
        <f>IFERROR((SUMIFS('Audit Raw data'!BZ:BZ,'Audit Raw data'!J:J,B:B,'Audit Raw data'!E:E,G:G)/H1565)/100,"-")</f>
        <v>-</v>
      </c>
      <c r="J1565">
        <f>COUNTIFS('Audit Raw data'!AM:AM,"Yes",'Audit Raw data'!J:J,B:B,'Audit Raw data'!E:E,'Day wise agent'!G:G)</f>
        <v>0</v>
      </c>
      <c r="K1565">
        <f>COUNTIFS('Audit Raw data'!AM:AM,"NO",'Audit Raw data'!J:J,B:B,'Audit Raw data'!E:E,'Day wise agent'!G:G)</f>
        <v>0</v>
      </c>
      <c r="L1565" s="12" t="str">
        <f t="shared" si="45"/>
        <v xml:space="preserve"> </v>
      </c>
    </row>
    <row r="1566" spans="4:12" x14ac:dyDescent="0.35">
      <c r="D1566" s="32"/>
      <c r="G1566" s="32"/>
      <c r="H1566">
        <f>COUNTIFS('Audit Raw data'!J:J,B:B,'Audit Raw data'!E:E,G:G)</f>
        <v>0</v>
      </c>
      <c r="I1566" s="44" t="str">
        <f>IFERROR((SUMIFS('Audit Raw data'!BZ:BZ,'Audit Raw data'!J:J,B:B,'Audit Raw data'!E:E,G:G)/H1566)/100,"-")</f>
        <v>-</v>
      </c>
      <c r="J1566">
        <f>COUNTIFS('Audit Raw data'!AM:AM,"Yes",'Audit Raw data'!J:J,B:B,'Audit Raw data'!E:E,'Day wise agent'!G:G)</f>
        <v>0</v>
      </c>
      <c r="K1566">
        <f>COUNTIFS('Audit Raw data'!AM:AM,"NO",'Audit Raw data'!J:J,B:B,'Audit Raw data'!E:E,'Day wise agent'!G:G)</f>
        <v>0</v>
      </c>
      <c r="L1566" s="12" t="str">
        <f t="shared" si="45"/>
        <v xml:space="preserve"> </v>
      </c>
    </row>
    <row r="1567" spans="4:12" x14ac:dyDescent="0.35">
      <c r="D1567" s="32"/>
      <c r="G1567" s="32"/>
      <c r="H1567">
        <f>COUNTIFS('Audit Raw data'!J:J,B:B,'Audit Raw data'!E:E,G:G)</f>
        <v>0</v>
      </c>
      <c r="I1567" s="44" t="str">
        <f>IFERROR((SUMIFS('Audit Raw data'!BZ:BZ,'Audit Raw data'!J:J,B:B,'Audit Raw data'!E:E,G:G)/H1567)/100,"-")</f>
        <v>-</v>
      </c>
      <c r="J1567">
        <f>COUNTIFS('Audit Raw data'!AM:AM,"Yes",'Audit Raw data'!J:J,B:B,'Audit Raw data'!E:E,'Day wise agent'!G:G)</f>
        <v>0</v>
      </c>
      <c r="K1567">
        <f>COUNTIFS('Audit Raw data'!AM:AM,"NO",'Audit Raw data'!J:J,B:B,'Audit Raw data'!E:E,'Day wise agent'!G:G)</f>
        <v>0</v>
      </c>
      <c r="L1567" s="12" t="str">
        <f t="shared" si="45"/>
        <v xml:space="preserve"> </v>
      </c>
    </row>
    <row r="1568" spans="4:12" x14ac:dyDescent="0.35">
      <c r="D1568" s="32"/>
      <c r="G1568" s="32"/>
      <c r="H1568">
        <f>COUNTIFS('Audit Raw data'!J:J,B:B,'Audit Raw data'!E:E,G:G)</f>
        <v>0</v>
      </c>
      <c r="I1568" s="44" t="str">
        <f>IFERROR((SUMIFS('Audit Raw data'!BZ:BZ,'Audit Raw data'!J:J,B:B,'Audit Raw data'!E:E,G:G)/H1568)/100,"-")</f>
        <v>-</v>
      </c>
      <c r="J1568">
        <f>COUNTIFS('Audit Raw data'!AM:AM,"Yes",'Audit Raw data'!J:J,B:B,'Audit Raw data'!E:E,'Day wise agent'!G:G)</f>
        <v>0</v>
      </c>
      <c r="K1568">
        <f>COUNTIFS('Audit Raw data'!AM:AM,"NO",'Audit Raw data'!J:J,B:B,'Audit Raw data'!E:E,'Day wise agent'!G:G)</f>
        <v>0</v>
      </c>
      <c r="L1568" s="12" t="str">
        <f t="shared" si="45"/>
        <v xml:space="preserve"> </v>
      </c>
    </row>
    <row r="1569" spans="4:12" x14ac:dyDescent="0.35">
      <c r="D1569" s="32"/>
      <c r="G1569" s="32"/>
      <c r="H1569">
        <f>COUNTIFS('Audit Raw data'!J:J,B:B,'Audit Raw data'!E:E,G:G)</f>
        <v>0</v>
      </c>
      <c r="I1569" s="44" t="str">
        <f>IFERROR((SUMIFS('Audit Raw data'!BZ:BZ,'Audit Raw data'!J:J,B:B,'Audit Raw data'!E:E,G:G)/H1569)/100,"-")</f>
        <v>-</v>
      </c>
      <c r="J1569">
        <f>COUNTIFS('Audit Raw data'!AM:AM,"Yes",'Audit Raw data'!J:J,B:B,'Audit Raw data'!E:E,'Day wise agent'!G:G)</f>
        <v>0</v>
      </c>
      <c r="K1569">
        <f>COUNTIFS('Audit Raw data'!AM:AM,"NO",'Audit Raw data'!J:J,B:B,'Audit Raw data'!E:E,'Day wise agent'!G:G)</f>
        <v>0</v>
      </c>
      <c r="L1569" s="12" t="str">
        <f t="shared" si="45"/>
        <v xml:space="preserve"> </v>
      </c>
    </row>
    <row r="1570" spans="4:12" x14ac:dyDescent="0.35">
      <c r="D1570" s="32"/>
      <c r="G1570" s="32"/>
      <c r="H1570">
        <f>COUNTIFS('Audit Raw data'!J:J,B:B,'Audit Raw data'!E:E,G:G)</f>
        <v>0</v>
      </c>
      <c r="I1570" s="44" t="str">
        <f>IFERROR((SUMIFS('Audit Raw data'!BZ:BZ,'Audit Raw data'!J:J,B:B,'Audit Raw data'!E:E,G:G)/H1570)/100,"-")</f>
        <v>-</v>
      </c>
      <c r="J1570">
        <f>COUNTIFS('Audit Raw data'!AM:AM,"Yes",'Audit Raw data'!J:J,B:B,'Audit Raw data'!E:E,'Day wise agent'!G:G)</f>
        <v>0</v>
      </c>
      <c r="K1570">
        <f>COUNTIFS('Audit Raw data'!AM:AM,"NO",'Audit Raw data'!J:J,B:B,'Audit Raw data'!E:E,'Day wise agent'!G:G)</f>
        <v>0</v>
      </c>
      <c r="L1570" s="12" t="str">
        <f t="shared" si="45"/>
        <v xml:space="preserve"> </v>
      </c>
    </row>
    <row r="1571" spans="4:12" x14ac:dyDescent="0.35">
      <c r="D1571" s="32"/>
      <c r="G1571" s="32"/>
      <c r="H1571">
        <f>COUNTIFS('Audit Raw data'!J:J,B:B,'Audit Raw data'!E:E,G:G)</f>
        <v>0</v>
      </c>
      <c r="I1571" s="44" t="str">
        <f>IFERROR((SUMIFS('Audit Raw data'!BZ:BZ,'Audit Raw data'!J:J,B:B,'Audit Raw data'!E:E,G:G)/H1571)/100,"-")</f>
        <v>-</v>
      </c>
      <c r="J1571">
        <f>COUNTIFS('Audit Raw data'!AM:AM,"Yes",'Audit Raw data'!J:J,B:B,'Audit Raw data'!E:E,'Day wise agent'!G:G)</f>
        <v>0</v>
      </c>
      <c r="K1571">
        <f>COUNTIFS('Audit Raw data'!AM:AM,"NO",'Audit Raw data'!J:J,B:B,'Audit Raw data'!E:E,'Day wise agent'!G:G)</f>
        <v>0</v>
      </c>
      <c r="L1571" s="12" t="str">
        <f t="shared" si="45"/>
        <v xml:space="preserve"> </v>
      </c>
    </row>
    <row r="1572" spans="4:12" x14ac:dyDescent="0.35">
      <c r="D1572" s="32"/>
      <c r="G1572" s="32"/>
      <c r="H1572">
        <f>COUNTIFS('Audit Raw data'!J:J,B:B,'Audit Raw data'!E:E,G:G)</f>
        <v>0</v>
      </c>
      <c r="I1572" s="44" t="str">
        <f>IFERROR((SUMIFS('Audit Raw data'!BZ:BZ,'Audit Raw data'!J:J,B:B,'Audit Raw data'!E:E,G:G)/H1572)/100,"-")</f>
        <v>-</v>
      </c>
      <c r="J1572">
        <f>COUNTIFS('Audit Raw data'!AM:AM,"Yes",'Audit Raw data'!J:J,B:B,'Audit Raw data'!E:E,'Day wise agent'!G:G)</f>
        <v>0</v>
      </c>
      <c r="K1572">
        <f>COUNTIFS('Audit Raw data'!AM:AM,"NO",'Audit Raw data'!J:J,B:B,'Audit Raw data'!E:E,'Day wise agent'!G:G)</f>
        <v>0</v>
      </c>
      <c r="L1572" s="12" t="str">
        <f t="shared" si="45"/>
        <v xml:space="preserve"> </v>
      </c>
    </row>
    <row r="1573" spans="4:12" x14ac:dyDescent="0.35">
      <c r="D1573" s="32"/>
      <c r="G1573" s="32"/>
      <c r="H1573">
        <f>COUNTIFS('Audit Raw data'!J:J,B:B,'Audit Raw data'!E:E,G:G)</f>
        <v>0</v>
      </c>
      <c r="I1573" s="44" t="str">
        <f>IFERROR((SUMIFS('Audit Raw data'!BZ:BZ,'Audit Raw data'!J:J,B:B,'Audit Raw data'!E:E,G:G)/H1573)/100,"-")</f>
        <v>-</v>
      </c>
      <c r="J1573">
        <f>COUNTIFS('Audit Raw data'!AM:AM,"Yes",'Audit Raw data'!J:J,B:B,'Audit Raw data'!E:E,'Day wise agent'!G:G)</f>
        <v>0</v>
      </c>
      <c r="K1573">
        <f>COUNTIFS('Audit Raw data'!AM:AM,"NO",'Audit Raw data'!J:J,B:B,'Audit Raw data'!E:E,'Day wise agent'!G:G)</f>
        <v>0</v>
      </c>
      <c r="L1573" s="12" t="str">
        <f t="shared" si="45"/>
        <v xml:space="preserve"> </v>
      </c>
    </row>
    <row r="1574" spans="4:12" x14ac:dyDescent="0.35">
      <c r="D1574" s="32"/>
      <c r="G1574" s="32"/>
      <c r="H1574">
        <f>COUNTIFS('Audit Raw data'!J:J,B:B,'Audit Raw data'!E:E,G:G)</f>
        <v>0</v>
      </c>
      <c r="I1574" s="44" t="str">
        <f>IFERROR((SUMIFS('Audit Raw data'!BZ:BZ,'Audit Raw data'!J:J,B:B,'Audit Raw data'!E:E,G:G)/H1574)/100,"-")</f>
        <v>-</v>
      </c>
      <c r="J1574">
        <f>COUNTIFS('Audit Raw data'!AM:AM,"Yes",'Audit Raw data'!J:J,B:B,'Audit Raw data'!E:E,'Day wise agent'!G:G)</f>
        <v>0</v>
      </c>
      <c r="K1574">
        <f>COUNTIFS('Audit Raw data'!AM:AM,"NO",'Audit Raw data'!J:J,B:B,'Audit Raw data'!E:E,'Day wise agent'!G:G)</f>
        <v>0</v>
      </c>
      <c r="L1574" s="12" t="str">
        <f t="shared" si="45"/>
        <v xml:space="preserve"> </v>
      </c>
    </row>
    <row r="1575" spans="4:12" x14ac:dyDescent="0.35">
      <c r="D1575" s="32"/>
      <c r="G1575" s="32"/>
      <c r="H1575">
        <f>COUNTIFS('Audit Raw data'!J:J,B:B,'Audit Raw data'!E:E,G:G)</f>
        <v>0</v>
      </c>
      <c r="I1575" s="44" t="str">
        <f>IFERROR((SUMIFS('Audit Raw data'!BZ:BZ,'Audit Raw data'!J:J,B:B,'Audit Raw data'!E:E,G:G)/H1575)/100,"-")</f>
        <v>-</v>
      </c>
      <c r="J1575">
        <f>COUNTIFS('Audit Raw data'!AM:AM,"Yes",'Audit Raw data'!J:J,B:B,'Audit Raw data'!E:E,'Day wise agent'!G:G)</f>
        <v>0</v>
      </c>
      <c r="K1575">
        <f>COUNTIFS('Audit Raw data'!AM:AM,"NO",'Audit Raw data'!J:J,B:B,'Audit Raw data'!E:E,'Day wise agent'!G:G)</f>
        <v>0</v>
      </c>
      <c r="L1575" s="12" t="str">
        <f t="shared" si="45"/>
        <v xml:space="preserve"> </v>
      </c>
    </row>
    <row r="1576" spans="4:12" x14ac:dyDescent="0.35">
      <c r="D1576" s="32"/>
      <c r="G1576" s="32"/>
      <c r="H1576">
        <f>COUNTIFS('Audit Raw data'!J:J,B:B,'Audit Raw data'!E:E,G:G)</f>
        <v>0</v>
      </c>
      <c r="I1576" s="44" t="str">
        <f>IFERROR((SUMIFS('Audit Raw data'!BZ:BZ,'Audit Raw data'!J:J,B:B,'Audit Raw data'!E:E,G:G)/H1576)/100,"-")</f>
        <v>-</v>
      </c>
      <c r="J1576">
        <f>COUNTIFS('Audit Raw data'!AM:AM,"Yes",'Audit Raw data'!J:J,B:B,'Audit Raw data'!E:E,'Day wise agent'!G:G)</f>
        <v>0</v>
      </c>
      <c r="K1576">
        <f>COUNTIFS('Audit Raw data'!AM:AM,"NO",'Audit Raw data'!J:J,B:B,'Audit Raw data'!E:E,'Day wise agent'!G:G)</f>
        <v>0</v>
      </c>
      <c r="L1576" s="12" t="str">
        <f t="shared" si="45"/>
        <v xml:space="preserve"> </v>
      </c>
    </row>
    <row r="1577" spans="4:12" x14ac:dyDescent="0.35">
      <c r="D1577" s="32"/>
      <c r="G1577" s="32"/>
      <c r="H1577">
        <f>COUNTIFS('Audit Raw data'!J:J,B:B,'Audit Raw data'!E:E,G:G)</f>
        <v>0</v>
      </c>
      <c r="I1577" s="44" t="str">
        <f>IFERROR((SUMIFS('Audit Raw data'!BZ:BZ,'Audit Raw data'!J:J,B:B,'Audit Raw data'!E:E,G:G)/H1577)/100,"-")</f>
        <v>-</v>
      </c>
      <c r="J1577">
        <f>COUNTIFS('Audit Raw data'!AM:AM,"Yes",'Audit Raw data'!J:J,B:B,'Audit Raw data'!E:E,'Day wise agent'!G:G)</f>
        <v>0</v>
      </c>
      <c r="K1577">
        <f>COUNTIFS('Audit Raw data'!AM:AM,"NO",'Audit Raw data'!J:J,B:B,'Audit Raw data'!E:E,'Day wise agent'!G:G)</f>
        <v>0</v>
      </c>
      <c r="L1577" s="12" t="str">
        <f t="shared" si="45"/>
        <v xml:space="preserve"> </v>
      </c>
    </row>
    <row r="1578" spans="4:12" x14ac:dyDescent="0.35">
      <c r="D1578" s="32"/>
      <c r="G1578" s="32"/>
      <c r="H1578">
        <f>COUNTIFS('Audit Raw data'!J:J,B:B,'Audit Raw data'!E:E,G:G)</f>
        <v>0</v>
      </c>
      <c r="I1578" s="44" t="str">
        <f>IFERROR((SUMIFS('Audit Raw data'!BZ:BZ,'Audit Raw data'!J:J,B:B,'Audit Raw data'!E:E,G:G)/H1578)/100,"-")</f>
        <v>-</v>
      </c>
      <c r="J1578">
        <f>COUNTIFS('Audit Raw data'!AM:AM,"Yes",'Audit Raw data'!J:J,B:B,'Audit Raw data'!E:E,'Day wise agent'!G:G)</f>
        <v>0</v>
      </c>
      <c r="K1578">
        <f>COUNTIFS('Audit Raw data'!AM:AM,"NO",'Audit Raw data'!J:J,B:B,'Audit Raw data'!E:E,'Day wise agent'!G:G)</f>
        <v>0</v>
      </c>
      <c r="L1578" s="12" t="str">
        <f t="shared" si="45"/>
        <v xml:space="preserve"> </v>
      </c>
    </row>
    <row r="1579" spans="4:12" x14ac:dyDescent="0.35">
      <c r="D1579" s="32"/>
      <c r="G1579" s="32"/>
      <c r="H1579">
        <f>COUNTIFS('Audit Raw data'!J:J,B:B,'Audit Raw data'!E:E,G:G)</f>
        <v>0</v>
      </c>
      <c r="I1579" s="44" t="str">
        <f>IFERROR((SUMIFS('Audit Raw data'!BZ:BZ,'Audit Raw data'!J:J,B:B,'Audit Raw data'!E:E,G:G)/H1579)/100,"-")</f>
        <v>-</v>
      </c>
      <c r="J1579">
        <f>COUNTIFS('Audit Raw data'!AM:AM,"Yes",'Audit Raw data'!J:J,B:B,'Audit Raw data'!E:E,'Day wise agent'!G:G)</f>
        <v>0</v>
      </c>
      <c r="K1579">
        <f>COUNTIFS('Audit Raw data'!AM:AM,"NO",'Audit Raw data'!J:J,B:B,'Audit Raw data'!E:E,'Day wise agent'!G:G)</f>
        <v>0</v>
      </c>
      <c r="L1579" s="12" t="str">
        <f t="shared" si="45"/>
        <v xml:space="preserve"> </v>
      </c>
    </row>
    <row r="1580" spans="4:12" x14ac:dyDescent="0.35">
      <c r="D1580" s="32"/>
      <c r="G1580" s="32"/>
      <c r="H1580">
        <f>COUNTIFS('Audit Raw data'!J:J,B:B,'Audit Raw data'!E:E,G:G)</f>
        <v>0</v>
      </c>
      <c r="I1580" s="44" t="str">
        <f>IFERROR((SUMIFS('Audit Raw data'!BZ:BZ,'Audit Raw data'!J:J,B:B,'Audit Raw data'!E:E,G:G)/H1580)/100,"-")</f>
        <v>-</v>
      </c>
      <c r="J1580">
        <f>COUNTIFS('Audit Raw data'!AM:AM,"Yes",'Audit Raw data'!J:J,B:B,'Audit Raw data'!E:E,'Day wise agent'!G:G)</f>
        <v>0</v>
      </c>
      <c r="K1580">
        <f>COUNTIFS('Audit Raw data'!AM:AM,"NO",'Audit Raw data'!J:J,B:B,'Audit Raw data'!E:E,'Day wise agent'!G:G)</f>
        <v>0</v>
      </c>
      <c r="L1580" s="12" t="str">
        <f t="shared" si="45"/>
        <v xml:space="preserve"> </v>
      </c>
    </row>
    <row r="1581" spans="4:12" x14ac:dyDescent="0.35">
      <c r="D1581" s="32"/>
      <c r="G1581" s="32"/>
      <c r="H1581">
        <f>COUNTIFS('Audit Raw data'!J:J,B:B,'Audit Raw data'!E:E,G:G)</f>
        <v>0</v>
      </c>
      <c r="I1581" s="44" t="str">
        <f>IFERROR((SUMIFS('Audit Raw data'!BZ:BZ,'Audit Raw data'!J:J,B:B,'Audit Raw data'!E:E,G:G)/H1581)/100,"-")</f>
        <v>-</v>
      </c>
      <c r="J1581">
        <f>COUNTIFS('Audit Raw data'!AM:AM,"Yes",'Audit Raw data'!J:J,B:B,'Audit Raw data'!E:E,'Day wise agent'!G:G)</f>
        <v>0</v>
      </c>
      <c r="K1581">
        <f>COUNTIFS('Audit Raw data'!AM:AM,"NO",'Audit Raw data'!J:J,B:B,'Audit Raw data'!E:E,'Day wise agent'!G:G)</f>
        <v>0</v>
      </c>
      <c r="L1581" s="12" t="str">
        <f t="shared" si="45"/>
        <v xml:space="preserve"> </v>
      </c>
    </row>
    <row r="1582" spans="4:12" x14ac:dyDescent="0.35">
      <c r="D1582" s="32"/>
      <c r="G1582" s="32"/>
      <c r="H1582">
        <f>COUNTIFS('Audit Raw data'!J:J,B:B,'Audit Raw data'!E:E,G:G)</f>
        <v>0</v>
      </c>
      <c r="I1582" s="44" t="str">
        <f>IFERROR((SUMIFS('Audit Raw data'!BZ:BZ,'Audit Raw data'!J:J,B:B,'Audit Raw data'!E:E,G:G)/H1582)/100,"-")</f>
        <v>-</v>
      </c>
      <c r="J1582">
        <f>COUNTIFS('Audit Raw data'!AM:AM,"Yes",'Audit Raw data'!J:J,B:B,'Audit Raw data'!E:E,'Day wise agent'!G:G)</f>
        <v>0</v>
      </c>
      <c r="K1582">
        <f>COUNTIFS('Audit Raw data'!AM:AM,"NO",'Audit Raw data'!J:J,B:B,'Audit Raw data'!E:E,'Day wise agent'!G:G)</f>
        <v>0</v>
      </c>
      <c r="L1582" s="12" t="str">
        <f t="shared" si="45"/>
        <v xml:space="preserve"> </v>
      </c>
    </row>
    <row r="1583" spans="4:12" x14ac:dyDescent="0.35">
      <c r="D1583" s="32"/>
      <c r="G1583" s="32"/>
      <c r="H1583">
        <f>COUNTIFS('Audit Raw data'!J:J,B:B,'Audit Raw data'!E:E,G:G)</f>
        <v>0</v>
      </c>
      <c r="I1583" s="44" t="str">
        <f>IFERROR((SUMIFS('Audit Raw data'!BZ:BZ,'Audit Raw data'!J:J,B:B,'Audit Raw data'!E:E,G:G)/H1583)/100,"-")</f>
        <v>-</v>
      </c>
      <c r="J1583">
        <f>COUNTIFS('Audit Raw data'!AM:AM,"Yes",'Audit Raw data'!J:J,B:B,'Audit Raw data'!E:E,'Day wise agent'!G:G)</f>
        <v>0</v>
      </c>
      <c r="K1583">
        <f>COUNTIFS('Audit Raw data'!AM:AM,"NO",'Audit Raw data'!J:J,B:B,'Audit Raw data'!E:E,'Day wise agent'!G:G)</f>
        <v>0</v>
      </c>
      <c r="L1583" s="12" t="str">
        <f t="shared" si="45"/>
        <v xml:space="preserve"> </v>
      </c>
    </row>
    <row r="1584" spans="4:12" x14ac:dyDescent="0.35">
      <c r="D1584" s="32"/>
      <c r="G1584" s="32"/>
      <c r="H1584">
        <f>COUNTIFS('Audit Raw data'!J:J,B:B,'Audit Raw data'!E:E,G:G)</f>
        <v>0</v>
      </c>
      <c r="I1584" s="44" t="str">
        <f>IFERROR((SUMIFS('Audit Raw data'!BZ:BZ,'Audit Raw data'!J:J,B:B,'Audit Raw data'!E:E,G:G)/H1584)/100,"-")</f>
        <v>-</v>
      </c>
      <c r="J1584">
        <f>COUNTIFS('Audit Raw data'!AM:AM,"Yes",'Audit Raw data'!J:J,B:B,'Audit Raw data'!E:E,'Day wise agent'!G:G)</f>
        <v>0</v>
      </c>
      <c r="K1584">
        <f>COUNTIFS('Audit Raw data'!AM:AM,"NO",'Audit Raw data'!J:J,B:B,'Audit Raw data'!E:E,'Day wise agent'!G:G)</f>
        <v>0</v>
      </c>
      <c r="L1584" s="12" t="str">
        <f t="shared" si="45"/>
        <v xml:space="preserve"> </v>
      </c>
    </row>
    <row r="1585" spans="4:12" x14ac:dyDescent="0.35">
      <c r="D1585" s="32"/>
      <c r="G1585" s="32"/>
      <c r="H1585">
        <f>COUNTIFS('Audit Raw data'!J:J,B:B,'Audit Raw data'!E:E,G:G)</f>
        <v>0</v>
      </c>
      <c r="I1585" s="44" t="str">
        <f>IFERROR((SUMIFS('Audit Raw data'!BZ:BZ,'Audit Raw data'!J:J,B:B,'Audit Raw data'!E:E,G:G)/H1585)/100,"-")</f>
        <v>-</v>
      </c>
      <c r="J1585">
        <f>COUNTIFS('Audit Raw data'!AM:AM,"Yes",'Audit Raw data'!J:J,B:B,'Audit Raw data'!E:E,'Day wise agent'!G:G)</f>
        <v>0</v>
      </c>
      <c r="K1585">
        <f>COUNTIFS('Audit Raw data'!AM:AM,"NO",'Audit Raw data'!J:J,B:B,'Audit Raw data'!E:E,'Day wise agent'!G:G)</f>
        <v>0</v>
      </c>
      <c r="L1585" s="12" t="str">
        <f t="shared" si="45"/>
        <v xml:space="preserve"> </v>
      </c>
    </row>
    <row r="1586" spans="4:12" x14ac:dyDescent="0.35">
      <c r="D1586" s="32"/>
      <c r="G1586" s="32"/>
      <c r="H1586">
        <f>COUNTIFS('Audit Raw data'!J:J,B:B,'Audit Raw data'!E:E,G:G)</f>
        <v>0</v>
      </c>
      <c r="I1586" s="44" t="str">
        <f>IFERROR((SUMIFS('Audit Raw data'!BZ:BZ,'Audit Raw data'!J:J,B:B,'Audit Raw data'!E:E,G:G)/H1586)/100,"-")</f>
        <v>-</v>
      </c>
      <c r="J1586">
        <f>COUNTIFS('Audit Raw data'!AM:AM,"Yes",'Audit Raw data'!J:J,B:B,'Audit Raw data'!E:E,'Day wise agent'!G:G)</f>
        <v>0</v>
      </c>
      <c r="K1586">
        <f>COUNTIFS('Audit Raw data'!AM:AM,"NO",'Audit Raw data'!J:J,B:B,'Audit Raw data'!E:E,'Day wise agent'!G:G)</f>
        <v>0</v>
      </c>
      <c r="L1586" s="12" t="str">
        <f t="shared" si="45"/>
        <v xml:space="preserve"> </v>
      </c>
    </row>
    <row r="1587" spans="4:12" x14ac:dyDescent="0.35">
      <c r="D1587" s="32"/>
      <c r="G1587" s="32"/>
      <c r="H1587">
        <f>COUNTIFS('Audit Raw data'!J:J,B:B,'Audit Raw data'!E:E,G:G)</f>
        <v>0</v>
      </c>
      <c r="I1587" s="44" t="str">
        <f>IFERROR((SUMIFS('Audit Raw data'!BZ:BZ,'Audit Raw data'!J:J,B:B,'Audit Raw data'!E:E,G:G)/H1587)/100,"-")</f>
        <v>-</v>
      </c>
      <c r="J1587">
        <f>COUNTIFS('Audit Raw data'!AM:AM,"Yes",'Audit Raw data'!J:J,B:B,'Audit Raw data'!E:E,'Day wise agent'!G:G)</f>
        <v>0</v>
      </c>
      <c r="K1587">
        <f>COUNTIFS('Audit Raw data'!AM:AM,"NO",'Audit Raw data'!J:J,B:B,'Audit Raw data'!E:E,'Day wise agent'!G:G)</f>
        <v>0</v>
      </c>
      <c r="L1587" s="12" t="str">
        <f t="shared" si="45"/>
        <v xml:space="preserve"> </v>
      </c>
    </row>
    <row r="1588" spans="4:12" x14ac:dyDescent="0.35">
      <c r="D1588" s="32"/>
      <c r="G1588" s="32"/>
      <c r="H1588">
        <f>COUNTIFS('Audit Raw data'!J:J,B:B,'Audit Raw data'!E:E,G:G)</f>
        <v>0</v>
      </c>
      <c r="I1588" s="44" t="str">
        <f>IFERROR((SUMIFS('Audit Raw data'!BZ:BZ,'Audit Raw data'!J:J,B:B,'Audit Raw data'!E:E,G:G)/H1588)/100,"-")</f>
        <v>-</v>
      </c>
      <c r="J1588">
        <f>COUNTIFS('Audit Raw data'!AM:AM,"Yes",'Audit Raw data'!J:J,B:B,'Audit Raw data'!E:E,'Day wise agent'!G:G)</f>
        <v>0</v>
      </c>
      <c r="K1588">
        <f>COUNTIFS('Audit Raw data'!AM:AM,"NO",'Audit Raw data'!J:J,B:B,'Audit Raw data'!E:E,'Day wise agent'!G:G)</f>
        <v>0</v>
      </c>
      <c r="L1588" s="12" t="str">
        <f t="shared" si="45"/>
        <v xml:space="preserve"> </v>
      </c>
    </row>
    <row r="1589" spans="4:12" x14ac:dyDescent="0.35">
      <c r="D1589" s="32"/>
      <c r="G1589" s="32"/>
      <c r="H1589">
        <f>COUNTIFS('Audit Raw data'!J:J,B:B,'Audit Raw data'!E:E,G:G)</f>
        <v>0</v>
      </c>
      <c r="I1589" s="44" t="str">
        <f>IFERROR((SUMIFS('Audit Raw data'!BZ:BZ,'Audit Raw data'!J:J,B:B,'Audit Raw data'!E:E,G:G)/H1589)/100,"-")</f>
        <v>-</v>
      </c>
      <c r="J1589">
        <f>COUNTIFS('Audit Raw data'!AM:AM,"Yes",'Audit Raw data'!J:J,B:B,'Audit Raw data'!E:E,'Day wise agent'!G:G)</f>
        <v>0</v>
      </c>
      <c r="K1589">
        <f>COUNTIFS('Audit Raw data'!AM:AM,"NO",'Audit Raw data'!J:J,B:B,'Audit Raw data'!E:E,'Day wise agent'!G:G)</f>
        <v>0</v>
      </c>
      <c r="L1589" s="12" t="str">
        <f t="shared" si="45"/>
        <v xml:space="preserve"> </v>
      </c>
    </row>
    <row r="1590" spans="4:12" x14ac:dyDescent="0.35">
      <c r="D1590" s="32"/>
      <c r="G1590" s="32"/>
      <c r="H1590">
        <f>COUNTIFS('Audit Raw data'!J:J,B:B,'Audit Raw data'!E:E,G:G)</f>
        <v>0</v>
      </c>
      <c r="I1590" s="44" t="str">
        <f>IFERROR((SUMIFS('Audit Raw data'!BZ:BZ,'Audit Raw data'!J:J,B:B,'Audit Raw data'!E:E,G:G)/H1590)/100,"-")</f>
        <v>-</v>
      </c>
      <c r="J1590">
        <f>COUNTIFS('Audit Raw data'!AM:AM,"Yes",'Audit Raw data'!J:J,B:B,'Audit Raw data'!E:E,'Day wise agent'!G:G)</f>
        <v>0</v>
      </c>
      <c r="K1590">
        <f>COUNTIFS('Audit Raw data'!AM:AM,"NO",'Audit Raw data'!J:J,B:B,'Audit Raw data'!E:E,'Day wise agent'!G:G)</f>
        <v>0</v>
      </c>
      <c r="L1590" s="12" t="str">
        <f t="shared" si="45"/>
        <v xml:space="preserve"> </v>
      </c>
    </row>
    <row r="1591" spans="4:12" x14ac:dyDescent="0.35">
      <c r="D1591" s="32"/>
      <c r="G1591" s="32"/>
      <c r="H1591">
        <f>COUNTIFS('Audit Raw data'!J:J,B:B,'Audit Raw data'!E:E,G:G)</f>
        <v>0</v>
      </c>
      <c r="I1591" s="44" t="str">
        <f>IFERROR((SUMIFS('Audit Raw data'!BZ:BZ,'Audit Raw data'!J:J,B:B,'Audit Raw data'!E:E,G:G)/H1591)/100,"-")</f>
        <v>-</v>
      </c>
      <c r="J1591">
        <f>COUNTIFS('Audit Raw data'!AM:AM,"Yes",'Audit Raw data'!J:J,B:B,'Audit Raw data'!E:E,'Day wise agent'!G:G)</f>
        <v>0</v>
      </c>
      <c r="K1591">
        <f>COUNTIFS('Audit Raw data'!AM:AM,"NO",'Audit Raw data'!J:J,B:B,'Audit Raw data'!E:E,'Day wise agent'!G:G)</f>
        <v>0</v>
      </c>
      <c r="L1591" s="12" t="str">
        <f t="shared" si="45"/>
        <v xml:space="preserve"> </v>
      </c>
    </row>
    <row r="1592" spans="4:12" x14ac:dyDescent="0.35">
      <c r="D1592" s="32"/>
      <c r="G1592" s="32"/>
      <c r="H1592">
        <f>COUNTIFS('Audit Raw data'!J:J,B:B,'Audit Raw data'!E:E,G:G)</f>
        <v>0</v>
      </c>
      <c r="I1592" s="44" t="str">
        <f>IFERROR((SUMIFS('Audit Raw data'!BZ:BZ,'Audit Raw data'!J:J,B:B,'Audit Raw data'!E:E,G:G)/H1592)/100,"-")</f>
        <v>-</v>
      </c>
      <c r="J1592">
        <f>COUNTIFS('Audit Raw data'!AM:AM,"Yes",'Audit Raw data'!J:J,B:B,'Audit Raw data'!E:E,'Day wise agent'!G:G)</f>
        <v>0</v>
      </c>
      <c r="K1592">
        <f>COUNTIFS('Audit Raw data'!AM:AM,"NO",'Audit Raw data'!J:J,B:B,'Audit Raw data'!E:E,'Day wise agent'!G:G)</f>
        <v>0</v>
      </c>
      <c r="L1592" s="12" t="str">
        <f t="shared" si="45"/>
        <v xml:space="preserve"> </v>
      </c>
    </row>
    <row r="1593" spans="4:12" x14ac:dyDescent="0.35">
      <c r="D1593" s="32"/>
      <c r="G1593" s="32"/>
      <c r="H1593">
        <f>COUNTIFS('Audit Raw data'!J:J,B:B,'Audit Raw data'!E:E,G:G)</f>
        <v>0</v>
      </c>
      <c r="I1593" s="44" t="str">
        <f>IFERROR((SUMIFS('Audit Raw data'!BZ:BZ,'Audit Raw data'!J:J,B:B,'Audit Raw data'!E:E,G:G)/H1593)/100,"-")</f>
        <v>-</v>
      </c>
      <c r="J1593">
        <f>COUNTIFS('Audit Raw data'!AM:AM,"Yes",'Audit Raw data'!J:J,B:B,'Audit Raw data'!E:E,'Day wise agent'!G:G)</f>
        <v>0</v>
      </c>
      <c r="K1593">
        <f>COUNTIFS('Audit Raw data'!AM:AM,"NO",'Audit Raw data'!J:J,B:B,'Audit Raw data'!E:E,'Day wise agent'!G:G)</f>
        <v>0</v>
      </c>
      <c r="L1593" s="12" t="str">
        <f t="shared" si="45"/>
        <v xml:space="preserve"> </v>
      </c>
    </row>
    <row r="1594" spans="4:12" x14ac:dyDescent="0.35">
      <c r="D1594" s="32"/>
      <c r="G1594" s="32"/>
      <c r="H1594">
        <f>COUNTIFS('Audit Raw data'!J:J,B:B,'Audit Raw data'!E:E,G:G)</f>
        <v>0</v>
      </c>
      <c r="I1594" s="44" t="str">
        <f>IFERROR((SUMIFS('Audit Raw data'!BZ:BZ,'Audit Raw data'!J:J,B:B,'Audit Raw data'!E:E,G:G)/H1594)/100,"-")</f>
        <v>-</v>
      </c>
      <c r="J1594">
        <f>COUNTIFS('Audit Raw data'!AM:AM,"Yes",'Audit Raw data'!J:J,B:B,'Audit Raw data'!E:E,'Day wise agent'!G:G)</f>
        <v>0</v>
      </c>
      <c r="K1594">
        <f>COUNTIFS('Audit Raw data'!AM:AM,"NO",'Audit Raw data'!J:J,B:B,'Audit Raw data'!E:E,'Day wise agent'!G:G)</f>
        <v>0</v>
      </c>
      <c r="L1594" s="12" t="str">
        <f t="shared" si="45"/>
        <v xml:space="preserve"> </v>
      </c>
    </row>
    <row r="1595" spans="4:12" x14ac:dyDescent="0.35">
      <c r="D1595" s="32"/>
      <c r="G1595" s="32"/>
      <c r="H1595">
        <f>COUNTIFS('Audit Raw data'!J:J,B:B,'Audit Raw data'!E:E,G:G)</f>
        <v>0</v>
      </c>
      <c r="I1595" s="44" t="str">
        <f>IFERROR((SUMIFS('Audit Raw data'!BZ:BZ,'Audit Raw data'!J:J,B:B,'Audit Raw data'!E:E,G:G)/H1595)/100,"-")</f>
        <v>-</v>
      </c>
      <c r="J1595">
        <f>COUNTIFS('Audit Raw data'!AM:AM,"Yes",'Audit Raw data'!J:J,B:B,'Audit Raw data'!E:E,'Day wise agent'!G:G)</f>
        <v>0</v>
      </c>
      <c r="K1595">
        <f>COUNTIFS('Audit Raw data'!AM:AM,"NO",'Audit Raw data'!J:J,B:B,'Audit Raw data'!E:E,'Day wise agent'!G:G)</f>
        <v>0</v>
      </c>
      <c r="L1595" s="12" t="str">
        <f t="shared" si="45"/>
        <v xml:space="preserve"> </v>
      </c>
    </row>
    <row r="1596" spans="4:12" x14ac:dyDescent="0.35">
      <c r="D1596" s="32"/>
      <c r="G1596" s="32"/>
      <c r="H1596">
        <f>COUNTIFS('Audit Raw data'!J:J,B:B,'Audit Raw data'!E:E,G:G)</f>
        <v>0</v>
      </c>
      <c r="I1596" s="44" t="str">
        <f>IFERROR((SUMIFS('Audit Raw data'!BZ:BZ,'Audit Raw data'!J:J,B:B,'Audit Raw data'!E:E,G:G)/H1596)/100,"-")</f>
        <v>-</v>
      </c>
      <c r="J1596">
        <f>COUNTIFS('Audit Raw data'!AM:AM,"Yes",'Audit Raw data'!J:J,B:B,'Audit Raw data'!E:E,'Day wise agent'!G:G)</f>
        <v>0</v>
      </c>
      <c r="K1596">
        <f>COUNTIFS('Audit Raw data'!AM:AM,"NO",'Audit Raw data'!J:J,B:B,'Audit Raw data'!E:E,'Day wise agent'!G:G)</f>
        <v>0</v>
      </c>
      <c r="L1596" s="12" t="str">
        <f t="shared" si="45"/>
        <v xml:space="preserve"> </v>
      </c>
    </row>
    <row r="1597" spans="4:12" x14ac:dyDescent="0.35">
      <c r="D1597" s="32"/>
      <c r="G1597" s="32"/>
      <c r="H1597">
        <f>COUNTIFS('Audit Raw data'!J:J,B:B,'Audit Raw data'!E:E,G:G)</f>
        <v>0</v>
      </c>
      <c r="I1597" s="44" t="str">
        <f>IFERROR((SUMIFS('Audit Raw data'!BZ:BZ,'Audit Raw data'!J:J,B:B,'Audit Raw data'!E:E,G:G)/H1597)/100,"-")</f>
        <v>-</v>
      </c>
      <c r="J1597">
        <f>COUNTIFS('Audit Raw data'!AM:AM,"Yes",'Audit Raw data'!J:J,B:B,'Audit Raw data'!E:E,'Day wise agent'!G:G)</f>
        <v>0</v>
      </c>
      <c r="K1597">
        <f>COUNTIFS('Audit Raw data'!AM:AM,"NO",'Audit Raw data'!J:J,B:B,'Audit Raw data'!E:E,'Day wise agent'!G:G)</f>
        <v>0</v>
      </c>
      <c r="L1597" s="12" t="str">
        <f t="shared" si="45"/>
        <v xml:space="preserve"> </v>
      </c>
    </row>
    <row r="1598" spans="4:12" x14ac:dyDescent="0.35">
      <c r="D1598" s="32"/>
      <c r="G1598" s="32"/>
      <c r="H1598">
        <f>COUNTIFS('Audit Raw data'!J:J,B:B,'Audit Raw data'!E:E,G:G)</f>
        <v>0</v>
      </c>
      <c r="I1598" s="44" t="str">
        <f>IFERROR((SUMIFS('Audit Raw data'!BZ:BZ,'Audit Raw data'!J:J,B:B,'Audit Raw data'!E:E,G:G)/H1598)/100,"-")</f>
        <v>-</v>
      </c>
      <c r="J1598">
        <f>COUNTIFS('Audit Raw data'!AM:AM,"Yes",'Audit Raw data'!J:J,B:B,'Audit Raw data'!E:E,'Day wise agent'!G:G)</f>
        <v>0</v>
      </c>
      <c r="K1598">
        <f>COUNTIFS('Audit Raw data'!AM:AM,"NO",'Audit Raw data'!J:J,B:B,'Audit Raw data'!E:E,'Day wise agent'!G:G)</f>
        <v>0</v>
      </c>
      <c r="L1598" s="12" t="str">
        <f t="shared" si="45"/>
        <v xml:space="preserve"> </v>
      </c>
    </row>
    <row r="1599" spans="4:12" x14ac:dyDescent="0.35">
      <c r="D1599" s="32"/>
      <c r="G1599" s="32"/>
      <c r="H1599">
        <f>COUNTIFS('Audit Raw data'!J:J,B:B,'Audit Raw data'!E:E,G:G)</f>
        <v>0</v>
      </c>
      <c r="I1599" s="44" t="str">
        <f>IFERROR((SUMIFS('Audit Raw data'!BZ:BZ,'Audit Raw data'!J:J,B:B,'Audit Raw data'!E:E,G:G)/H1599)/100,"-")</f>
        <v>-</v>
      </c>
      <c r="J1599">
        <f>COUNTIFS('Audit Raw data'!AM:AM,"Yes",'Audit Raw data'!J:J,B:B,'Audit Raw data'!E:E,'Day wise agent'!G:G)</f>
        <v>0</v>
      </c>
      <c r="K1599">
        <f>COUNTIFS('Audit Raw data'!AM:AM,"NO",'Audit Raw data'!J:J,B:B,'Audit Raw data'!E:E,'Day wise agent'!G:G)</f>
        <v>0</v>
      </c>
      <c r="L1599" s="12" t="str">
        <f t="shared" si="45"/>
        <v xml:space="preserve"> </v>
      </c>
    </row>
    <row r="1600" spans="4:12" x14ac:dyDescent="0.35">
      <c r="D1600" s="32"/>
      <c r="G1600" s="32"/>
      <c r="H1600">
        <f>COUNTIFS('Audit Raw data'!J:J,B:B,'Audit Raw data'!E:E,G:G)</f>
        <v>0</v>
      </c>
      <c r="I1600" s="44" t="str">
        <f>IFERROR((SUMIFS('Audit Raw data'!BZ:BZ,'Audit Raw data'!J:J,B:B,'Audit Raw data'!E:E,G:G)/H1600)/100,"-")</f>
        <v>-</v>
      </c>
      <c r="J1600">
        <f>COUNTIFS('Audit Raw data'!AM:AM,"Yes",'Audit Raw data'!J:J,B:B,'Audit Raw data'!E:E,'Day wise agent'!G:G)</f>
        <v>0</v>
      </c>
      <c r="K1600">
        <f>COUNTIFS('Audit Raw data'!AM:AM,"NO",'Audit Raw data'!J:J,B:B,'Audit Raw data'!E:E,'Day wise agent'!G:G)</f>
        <v>0</v>
      </c>
      <c r="L1600" s="12" t="str">
        <f t="shared" si="45"/>
        <v xml:space="preserve"> </v>
      </c>
    </row>
    <row r="1601" spans="4:12" x14ac:dyDescent="0.35">
      <c r="D1601" s="32"/>
      <c r="G1601" s="32"/>
      <c r="H1601">
        <f>COUNTIFS('Audit Raw data'!J:J,B:B,'Audit Raw data'!E:E,G:G)</f>
        <v>0</v>
      </c>
      <c r="I1601" s="44" t="str">
        <f>IFERROR((SUMIFS('Audit Raw data'!BZ:BZ,'Audit Raw data'!J:J,B:B,'Audit Raw data'!E:E,G:G)/H1601)/100,"-")</f>
        <v>-</v>
      </c>
      <c r="J1601">
        <f>COUNTIFS('Audit Raw data'!AM:AM,"Yes",'Audit Raw data'!J:J,B:B,'Audit Raw data'!E:E,'Day wise agent'!G:G)</f>
        <v>0</v>
      </c>
      <c r="K1601">
        <f>COUNTIFS('Audit Raw data'!AM:AM,"NO",'Audit Raw data'!J:J,B:B,'Audit Raw data'!E:E,'Day wise agent'!G:G)</f>
        <v>0</v>
      </c>
      <c r="L1601" s="12" t="str">
        <f t="shared" si="45"/>
        <v xml:space="preserve"> </v>
      </c>
    </row>
    <row r="1602" spans="4:12" x14ac:dyDescent="0.35">
      <c r="D1602" s="32"/>
      <c r="G1602" s="32"/>
      <c r="H1602">
        <f>COUNTIFS('Audit Raw data'!J:J,B:B,'Audit Raw data'!E:E,G:G)</f>
        <v>0</v>
      </c>
      <c r="I1602" s="44" t="str">
        <f>IFERROR((SUMIFS('Audit Raw data'!BZ:BZ,'Audit Raw data'!J:J,B:B,'Audit Raw data'!E:E,G:G)/H1602)/100,"-")</f>
        <v>-</v>
      </c>
      <c r="J1602">
        <f>COUNTIFS('Audit Raw data'!AM:AM,"Yes",'Audit Raw data'!J:J,B:B,'Audit Raw data'!E:E,'Day wise agent'!G:G)</f>
        <v>0</v>
      </c>
      <c r="K1602">
        <f>COUNTIFS('Audit Raw data'!AM:AM,"NO",'Audit Raw data'!J:J,B:B,'Audit Raw data'!E:E,'Day wise agent'!G:G)</f>
        <v>0</v>
      </c>
      <c r="L1602" s="12" t="str">
        <f t="shared" ref="L1602:L1665" si="46">IFERROR(J1602/H1602," ")</f>
        <v xml:space="preserve"> </v>
      </c>
    </row>
    <row r="1603" spans="4:12" x14ac:dyDescent="0.35">
      <c r="D1603" s="32"/>
      <c r="G1603" s="32"/>
      <c r="H1603">
        <f>COUNTIFS('Audit Raw data'!J:J,B:B,'Audit Raw data'!E:E,G:G)</f>
        <v>0</v>
      </c>
      <c r="I1603" s="44" t="str">
        <f>IFERROR((SUMIFS('Audit Raw data'!BZ:BZ,'Audit Raw data'!J:J,B:B,'Audit Raw data'!E:E,G:G)/H1603)/100,"-")</f>
        <v>-</v>
      </c>
      <c r="J1603">
        <f>COUNTIFS('Audit Raw data'!AM:AM,"Yes",'Audit Raw data'!J:J,B:B,'Audit Raw data'!E:E,'Day wise agent'!G:G)</f>
        <v>0</v>
      </c>
      <c r="K1603">
        <f>COUNTIFS('Audit Raw data'!AM:AM,"NO",'Audit Raw data'!J:J,B:B,'Audit Raw data'!E:E,'Day wise agent'!G:G)</f>
        <v>0</v>
      </c>
      <c r="L1603" s="12" t="str">
        <f t="shared" si="46"/>
        <v xml:space="preserve"> </v>
      </c>
    </row>
    <row r="1604" spans="4:12" x14ac:dyDescent="0.35">
      <c r="D1604" s="32"/>
      <c r="G1604" s="32"/>
      <c r="H1604">
        <f>COUNTIFS('Audit Raw data'!J:J,B:B,'Audit Raw data'!E:E,G:G)</f>
        <v>0</v>
      </c>
      <c r="I1604" s="44" t="str">
        <f>IFERROR((SUMIFS('Audit Raw data'!BZ:BZ,'Audit Raw data'!J:J,B:B,'Audit Raw data'!E:E,G:G)/H1604)/100,"-")</f>
        <v>-</v>
      </c>
      <c r="J1604">
        <f>COUNTIFS('Audit Raw data'!AM:AM,"Yes",'Audit Raw data'!J:J,B:B,'Audit Raw data'!E:E,'Day wise agent'!G:G)</f>
        <v>0</v>
      </c>
      <c r="K1604">
        <f>COUNTIFS('Audit Raw data'!AM:AM,"NO",'Audit Raw data'!J:J,B:B,'Audit Raw data'!E:E,'Day wise agent'!G:G)</f>
        <v>0</v>
      </c>
      <c r="L1604" s="12" t="str">
        <f t="shared" si="46"/>
        <v xml:space="preserve"> </v>
      </c>
    </row>
    <row r="1605" spans="4:12" x14ac:dyDescent="0.35">
      <c r="D1605" s="32"/>
      <c r="G1605" s="32"/>
      <c r="H1605">
        <f>COUNTIFS('Audit Raw data'!J:J,B:B,'Audit Raw data'!E:E,G:G)</f>
        <v>0</v>
      </c>
      <c r="I1605" s="44" t="str">
        <f>IFERROR((SUMIFS('Audit Raw data'!BZ:BZ,'Audit Raw data'!J:J,B:B,'Audit Raw data'!E:E,G:G)/H1605)/100,"-")</f>
        <v>-</v>
      </c>
      <c r="J1605">
        <f>COUNTIFS('Audit Raw data'!AM:AM,"Yes",'Audit Raw data'!J:J,B:B,'Audit Raw data'!E:E,'Day wise agent'!G:G)</f>
        <v>0</v>
      </c>
      <c r="K1605">
        <f>COUNTIFS('Audit Raw data'!AM:AM,"NO",'Audit Raw data'!J:J,B:B,'Audit Raw data'!E:E,'Day wise agent'!G:G)</f>
        <v>0</v>
      </c>
      <c r="L1605" s="12" t="str">
        <f t="shared" si="46"/>
        <v xml:space="preserve"> </v>
      </c>
    </row>
    <row r="1606" spans="4:12" x14ac:dyDescent="0.35">
      <c r="D1606" s="32"/>
      <c r="G1606" s="32"/>
      <c r="H1606">
        <f>COUNTIFS('Audit Raw data'!J:J,B:B,'Audit Raw data'!E:E,G:G)</f>
        <v>0</v>
      </c>
      <c r="I1606" s="44" t="str">
        <f>IFERROR((SUMIFS('Audit Raw data'!BZ:BZ,'Audit Raw data'!J:J,B:B,'Audit Raw data'!E:E,G:G)/H1606)/100,"-")</f>
        <v>-</v>
      </c>
      <c r="J1606">
        <f>COUNTIFS('Audit Raw data'!AM:AM,"Yes",'Audit Raw data'!J:J,B:B,'Audit Raw data'!E:E,'Day wise agent'!G:G)</f>
        <v>0</v>
      </c>
      <c r="K1606">
        <f>COUNTIFS('Audit Raw data'!AM:AM,"NO",'Audit Raw data'!J:J,B:B,'Audit Raw data'!E:E,'Day wise agent'!G:G)</f>
        <v>0</v>
      </c>
      <c r="L1606" s="12" t="str">
        <f t="shared" si="46"/>
        <v xml:space="preserve"> </v>
      </c>
    </row>
    <row r="1607" spans="4:12" x14ac:dyDescent="0.35">
      <c r="D1607" s="32"/>
      <c r="G1607" s="32"/>
      <c r="H1607">
        <f>COUNTIFS('Audit Raw data'!J:J,B:B,'Audit Raw data'!E:E,G:G)</f>
        <v>0</v>
      </c>
      <c r="I1607" s="44" t="str">
        <f>IFERROR((SUMIFS('Audit Raw data'!BZ:BZ,'Audit Raw data'!J:J,B:B,'Audit Raw data'!E:E,G:G)/H1607)/100,"-")</f>
        <v>-</v>
      </c>
      <c r="J1607">
        <f>COUNTIFS('Audit Raw data'!AM:AM,"Yes",'Audit Raw data'!J:J,B:B,'Audit Raw data'!E:E,'Day wise agent'!G:G)</f>
        <v>0</v>
      </c>
      <c r="K1607">
        <f>COUNTIFS('Audit Raw data'!AM:AM,"NO",'Audit Raw data'!J:J,B:B,'Audit Raw data'!E:E,'Day wise agent'!G:G)</f>
        <v>0</v>
      </c>
      <c r="L1607" s="12" t="str">
        <f t="shared" si="46"/>
        <v xml:space="preserve"> </v>
      </c>
    </row>
    <row r="1608" spans="4:12" x14ac:dyDescent="0.35">
      <c r="D1608" s="32"/>
      <c r="G1608" s="32"/>
      <c r="H1608">
        <f>COUNTIFS('Audit Raw data'!J:J,B:B,'Audit Raw data'!E:E,G:G)</f>
        <v>0</v>
      </c>
      <c r="I1608" s="44" t="str">
        <f>IFERROR((SUMIFS('Audit Raw data'!BZ:BZ,'Audit Raw data'!J:J,B:B,'Audit Raw data'!E:E,G:G)/H1608)/100,"-")</f>
        <v>-</v>
      </c>
      <c r="J1608">
        <f>COUNTIFS('Audit Raw data'!AM:AM,"Yes",'Audit Raw data'!J:J,B:B,'Audit Raw data'!E:E,'Day wise agent'!G:G)</f>
        <v>0</v>
      </c>
      <c r="K1608">
        <f>COUNTIFS('Audit Raw data'!AM:AM,"NO",'Audit Raw data'!J:J,B:B,'Audit Raw data'!E:E,'Day wise agent'!G:G)</f>
        <v>0</v>
      </c>
      <c r="L1608" s="12" t="str">
        <f t="shared" si="46"/>
        <v xml:space="preserve"> </v>
      </c>
    </row>
    <row r="1609" spans="4:12" x14ac:dyDescent="0.35">
      <c r="D1609" s="32"/>
      <c r="G1609" s="32"/>
      <c r="H1609">
        <f>COUNTIFS('Audit Raw data'!J:J,B:B,'Audit Raw data'!E:E,G:G)</f>
        <v>0</v>
      </c>
      <c r="I1609" s="44" t="str">
        <f>IFERROR((SUMIFS('Audit Raw data'!BZ:BZ,'Audit Raw data'!J:J,B:B,'Audit Raw data'!E:E,G:G)/H1609)/100,"-")</f>
        <v>-</v>
      </c>
      <c r="J1609">
        <f>COUNTIFS('Audit Raw data'!AM:AM,"Yes",'Audit Raw data'!J:J,B:B,'Audit Raw data'!E:E,'Day wise agent'!G:G)</f>
        <v>0</v>
      </c>
      <c r="K1609">
        <f>COUNTIFS('Audit Raw data'!AM:AM,"NO",'Audit Raw data'!J:J,B:B,'Audit Raw data'!E:E,'Day wise agent'!G:G)</f>
        <v>0</v>
      </c>
      <c r="L1609" s="12" t="str">
        <f t="shared" si="46"/>
        <v xml:space="preserve"> </v>
      </c>
    </row>
    <row r="1610" spans="4:12" x14ac:dyDescent="0.35">
      <c r="D1610" s="32"/>
      <c r="G1610" s="32"/>
      <c r="H1610">
        <f>COUNTIFS('Audit Raw data'!J:J,B:B,'Audit Raw data'!E:E,G:G)</f>
        <v>0</v>
      </c>
      <c r="I1610" s="44" t="str">
        <f>IFERROR((SUMIFS('Audit Raw data'!BZ:BZ,'Audit Raw data'!J:J,B:B,'Audit Raw data'!E:E,G:G)/H1610)/100,"-")</f>
        <v>-</v>
      </c>
      <c r="J1610">
        <f>COUNTIFS('Audit Raw data'!AM:AM,"Yes",'Audit Raw data'!J:J,B:B,'Audit Raw data'!E:E,'Day wise agent'!G:G)</f>
        <v>0</v>
      </c>
      <c r="K1610">
        <f>COUNTIFS('Audit Raw data'!AM:AM,"NO",'Audit Raw data'!J:J,B:B,'Audit Raw data'!E:E,'Day wise agent'!G:G)</f>
        <v>0</v>
      </c>
      <c r="L1610" s="12" t="str">
        <f t="shared" si="46"/>
        <v xml:space="preserve"> </v>
      </c>
    </row>
    <row r="1611" spans="4:12" x14ac:dyDescent="0.35">
      <c r="D1611" s="32"/>
      <c r="G1611" s="32"/>
      <c r="H1611">
        <f>COUNTIFS('Audit Raw data'!J:J,B:B,'Audit Raw data'!E:E,G:G)</f>
        <v>0</v>
      </c>
      <c r="I1611" s="44" t="str">
        <f>IFERROR((SUMIFS('Audit Raw data'!BZ:BZ,'Audit Raw data'!J:J,B:B,'Audit Raw data'!E:E,G:G)/H1611)/100,"-")</f>
        <v>-</v>
      </c>
      <c r="J1611">
        <f>COUNTIFS('Audit Raw data'!AM:AM,"Yes",'Audit Raw data'!J:J,B:B,'Audit Raw data'!E:E,'Day wise agent'!G:G)</f>
        <v>0</v>
      </c>
      <c r="K1611">
        <f>COUNTIFS('Audit Raw data'!AM:AM,"NO",'Audit Raw data'!J:J,B:B,'Audit Raw data'!E:E,'Day wise agent'!G:G)</f>
        <v>0</v>
      </c>
      <c r="L1611" s="12" t="str">
        <f t="shared" si="46"/>
        <v xml:space="preserve"> </v>
      </c>
    </row>
    <row r="1612" spans="4:12" x14ac:dyDescent="0.35">
      <c r="D1612" s="32"/>
      <c r="G1612" s="32"/>
      <c r="H1612">
        <f>COUNTIFS('Audit Raw data'!J:J,B:B,'Audit Raw data'!E:E,G:G)</f>
        <v>0</v>
      </c>
      <c r="I1612" s="44" t="str">
        <f>IFERROR((SUMIFS('Audit Raw data'!BZ:BZ,'Audit Raw data'!J:J,B:B,'Audit Raw data'!E:E,G:G)/H1612)/100,"-")</f>
        <v>-</v>
      </c>
      <c r="J1612">
        <f>COUNTIFS('Audit Raw data'!AM:AM,"Yes",'Audit Raw data'!J:J,B:B,'Audit Raw data'!E:E,'Day wise agent'!G:G)</f>
        <v>0</v>
      </c>
      <c r="K1612">
        <f>COUNTIFS('Audit Raw data'!AM:AM,"NO",'Audit Raw data'!J:J,B:B,'Audit Raw data'!E:E,'Day wise agent'!G:G)</f>
        <v>0</v>
      </c>
      <c r="L1612" s="12" t="str">
        <f t="shared" si="46"/>
        <v xml:space="preserve"> </v>
      </c>
    </row>
    <row r="1613" spans="4:12" x14ac:dyDescent="0.35">
      <c r="D1613" s="32"/>
      <c r="G1613" s="32"/>
      <c r="H1613">
        <f>COUNTIFS('Audit Raw data'!J:J,B:B,'Audit Raw data'!E:E,G:G)</f>
        <v>0</v>
      </c>
      <c r="I1613" s="44" t="str">
        <f>IFERROR((SUMIFS('Audit Raw data'!BZ:BZ,'Audit Raw data'!J:J,B:B,'Audit Raw data'!E:E,G:G)/H1613)/100,"-")</f>
        <v>-</v>
      </c>
      <c r="J1613">
        <f>COUNTIFS('Audit Raw data'!AM:AM,"Yes",'Audit Raw data'!J:J,B:B,'Audit Raw data'!E:E,'Day wise agent'!G:G)</f>
        <v>0</v>
      </c>
      <c r="K1613">
        <f>COUNTIFS('Audit Raw data'!AM:AM,"NO",'Audit Raw data'!J:J,B:B,'Audit Raw data'!E:E,'Day wise agent'!G:G)</f>
        <v>0</v>
      </c>
      <c r="L1613" s="12" t="str">
        <f t="shared" si="46"/>
        <v xml:space="preserve"> </v>
      </c>
    </row>
    <row r="1614" spans="4:12" x14ac:dyDescent="0.35">
      <c r="D1614" s="32"/>
      <c r="G1614" s="32"/>
      <c r="H1614">
        <f>COUNTIFS('Audit Raw data'!J:J,B:B,'Audit Raw data'!E:E,G:G)</f>
        <v>0</v>
      </c>
      <c r="I1614" s="44" t="str">
        <f>IFERROR((SUMIFS('Audit Raw data'!BZ:BZ,'Audit Raw data'!J:J,B:B,'Audit Raw data'!E:E,G:G)/H1614)/100,"-")</f>
        <v>-</v>
      </c>
      <c r="J1614">
        <f>COUNTIFS('Audit Raw data'!AM:AM,"Yes",'Audit Raw data'!J:J,B:B,'Audit Raw data'!E:E,'Day wise agent'!G:G)</f>
        <v>0</v>
      </c>
      <c r="K1614">
        <f>COUNTIFS('Audit Raw data'!AM:AM,"NO",'Audit Raw data'!J:J,B:B,'Audit Raw data'!E:E,'Day wise agent'!G:G)</f>
        <v>0</v>
      </c>
      <c r="L1614" s="12" t="str">
        <f t="shared" si="46"/>
        <v xml:space="preserve"> </v>
      </c>
    </row>
    <row r="1615" spans="4:12" x14ac:dyDescent="0.35">
      <c r="D1615" s="32"/>
      <c r="G1615" s="32"/>
      <c r="H1615">
        <f>COUNTIFS('Audit Raw data'!J:J,B:B,'Audit Raw data'!E:E,G:G)</f>
        <v>0</v>
      </c>
      <c r="I1615" s="44" t="str">
        <f>IFERROR((SUMIFS('Audit Raw data'!BZ:BZ,'Audit Raw data'!J:J,B:B,'Audit Raw data'!E:E,G:G)/H1615)/100,"-")</f>
        <v>-</v>
      </c>
      <c r="J1615">
        <f>COUNTIFS('Audit Raw data'!AM:AM,"Yes",'Audit Raw data'!J:J,B:B,'Audit Raw data'!E:E,'Day wise agent'!G:G)</f>
        <v>0</v>
      </c>
      <c r="K1615">
        <f>COUNTIFS('Audit Raw data'!AM:AM,"NO",'Audit Raw data'!J:J,B:B,'Audit Raw data'!E:E,'Day wise agent'!G:G)</f>
        <v>0</v>
      </c>
      <c r="L1615" s="12" t="str">
        <f t="shared" si="46"/>
        <v xml:space="preserve"> </v>
      </c>
    </row>
    <row r="1616" spans="4:12" x14ac:dyDescent="0.35">
      <c r="D1616" s="32"/>
      <c r="G1616" s="32"/>
      <c r="H1616">
        <f>COUNTIFS('Audit Raw data'!J:J,B:B,'Audit Raw data'!E:E,G:G)</f>
        <v>0</v>
      </c>
      <c r="I1616" s="44" t="str">
        <f>IFERROR((SUMIFS('Audit Raw data'!BZ:BZ,'Audit Raw data'!J:J,B:B,'Audit Raw data'!E:E,G:G)/H1616)/100,"-")</f>
        <v>-</v>
      </c>
      <c r="J1616">
        <f>COUNTIFS('Audit Raw data'!AM:AM,"Yes",'Audit Raw data'!J:J,B:B,'Audit Raw data'!E:E,'Day wise agent'!G:G)</f>
        <v>0</v>
      </c>
      <c r="K1616">
        <f>COUNTIFS('Audit Raw data'!AM:AM,"NO",'Audit Raw data'!J:J,B:B,'Audit Raw data'!E:E,'Day wise agent'!G:G)</f>
        <v>0</v>
      </c>
      <c r="L1616" s="12" t="str">
        <f t="shared" si="46"/>
        <v xml:space="preserve"> </v>
      </c>
    </row>
    <row r="1617" spans="4:12" x14ac:dyDescent="0.35">
      <c r="D1617" s="32"/>
      <c r="G1617" s="32"/>
      <c r="H1617">
        <f>COUNTIFS('Audit Raw data'!J:J,B:B,'Audit Raw data'!E:E,G:G)</f>
        <v>0</v>
      </c>
      <c r="I1617" s="44" t="str">
        <f>IFERROR((SUMIFS('Audit Raw data'!BZ:BZ,'Audit Raw data'!J:J,B:B,'Audit Raw data'!E:E,G:G)/H1617)/100,"-")</f>
        <v>-</v>
      </c>
      <c r="J1617">
        <f>COUNTIFS('Audit Raw data'!AM:AM,"Yes",'Audit Raw data'!J:J,B:B,'Audit Raw data'!E:E,'Day wise agent'!G:G)</f>
        <v>0</v>
      </c>
      <c r="K1617">
        <f>COUNTIFS('Audit Raw data'!AM:AM,"NO",'Audit Raw data'!J:J,B:B,'Audit Raw data'!E:E,'Day wise agent'!G:G)</f>
        <v>0</v>
      </c>
      <c r="L1617" s="12" t="str">
        <f t="shared" si="46"/>
        <v xml:space="preserve"> </v>
      </c>
    </row>
    <row r="1618" spans="4:12" x14ac:dyDescent="0.35">
      <c r="D1618" s="32"/>
      <c r="G1618" s="32"/>
      <c r="H1618">
        <f>COUNTIFS('Audit Raw data'!J:J,B:B,'Audit Raw data'!E:E,G:G)</f>
        <v>0</v>
      </c>
      <c r="I1618" s="44" t="str">
        <f>IFERROR((SUMIFS('Audit Raw data'!BZ:BZ,'Audit Raw data'!J:J,B:B,'Audit Raw data'!E:E,G:G)/H1618)/100,"-")</f>
        <v>-</v>
      </c>
      <c r="J1618">
        <f>COUNTIFS('Audit Raw data'!AM:AM,"Yes",'Audit Raw data'!J:J,B:B,'Audit Raw data'!E:E,'Day wise agent'!G:G)</f>
        <v>0</v>
      </c>
      <c r="K1618">
        <f>COUNTIFS('Audit Raw data'!AM:AM,"NO",'Audit Raw data'!J:J,B:B,'Audit Raw data'!E:E,'Day wise agent'!G:G)</f>
        <v>0</v>
      </c>
      <c r="L1618" s="12" t="str">
        <f t="shared" si="46"/>
        <v xml:space="preserve"> </v>
      </c>
    </row>
    <row r="1619" spans="4:12" x14ac:dyDescent="0.35">
      <c r="D1619" s="32"/>
      <c r="G1619" s="32"/>
      <c r="H1619">
        <f>COUNTIFS('Audit Raw data'!J:J,B:B,'Audit Raw data'!E:E,G:G)</f>
        <v>0</v>
      </c>
      <c r="I1619" s="44" t="str">
        <f>IFERROR((SUMIFS('Audit Raw data'!BZ:BZ,'Audit Raw data'!J:J,B:B,'Audit Raw data'!E:E,G:G)/H1619)/100,"-")</f>
        <v>-</v>
      </c>
      <c r="J1619">
        <f>COUNTIFS('Audit Raw data'!AM:AM,"Yes",'Audit Raw data'!J:J,B:B,'Audit Raw data'!E:E,'Day wise agent'!G:G)</f>
        <v>0</v>
      </c>
      <c r="K1619">
        <f>COUNTIFS('Audit Raw data'!AM:AM,"NO",'Audit Raw data'!J:J,B:B,'Audit Raw data'!E:E,'Day wise agent'!G:G)</f>
        <v>0</v>
      </c>
      <c r="L1619" s="12" t="str">
        <f t="shared" si="46"/>
        <v xml:space="preserve"> </v>
      </c>
    </row>
    <row r="1620" spans="4:12" x14ac:dyDescent="0.35">
      <c r="D1620" s="32"/>
      <c r="G1620" s="32"/>
      <c r="H1620">
        <f>COUNTIFS('Audit Raw data'!J:J,B:B,'Audit Raw data'!E:E,G:G)</f>
        <v>0</v>
      </c>
      <c r="I1620" s="44" t="str">
        <f>IFERROR((SUMIFS('Audit Raw data'!BZ:BZ,'Audit Raw data'!J:J,B:B,'Audit Raw data'!E:E,G:G)/H1620)/100,"-")</f>
        <v>-</v>
      </c>
      <c r="J1620">
        <f>COUNTIFS('Audit Raw data'!AM:AM,"Yes",'Audit Raw data'!J:J,B:B,'Audit Raw data'!E:E,'Day wise agent'!G:G)</f>
        <v>0</v>
      </c>
      <c r="K1620">
        <f>COUNTIFS('Audit Raw data'!AM:AM,"NO",'Audit Raw data'!J:J,B:B,'Audit Raw data'!E:E,'Day wise agent'!G:G)</f>
        <v>0</v>
      </c>
      <c r="L1620" s="12" t="str">
        <f t="shared" si="46"/>
        <v xml:space="preserve"> </v>
      </c>
    </row>
    <row r="1621" spans="4:12" x14ac:dyDescent="0.35">
      <c r="D1621" s="32"/>
      <c r="G1621" s="32"/>
      <c r="H1621">
        <f>COUNTIFS('Audit Raw data'!J:J,B:B,'Audit Raw data'!E:E,G:G)</f>
        <v>0</v>
      </c>
      <c r="I1621" s="44" t="str">
        <f>IFERROR((SUMIFS('Audit Raw data'!BZ:BZ,'Audit Raw data'!J:J,B:B,'Audit Raw data'!E:E,G:G)/H1621)/100,"-")</f>
        <v>-</v>
      </c>
      <c r="J1621">
        <f>COUNTIFS('Audit Raw data'!AM:AM,"Yes",'Audit Raw data'!J:J,B:B,'Audit Raw data'!E:E,'Day wise agent'!G:G)</f>
        <v>0</v>
      </c>
      <c r="K1621">
        <f>COUNTIFS('Audit Raw data'!AM:AM,"NO",'Audit Raw data'!J:J,B:B,'Audit Raw data'!E:E,'Day wise agent'!G:G)</f>
        <v>0</v>
      </c>
      <c r="L1621" s="12" t="str">
        <f t="shared" si="46"/>
        <v xml:space="preserve"> </v>
      </c>
    </row>
    <row r="1622" spans="4:12" x14ac:dyDescent="0.35">
      <c r="D1622" s="32"/>
      <c r="G1622" s="32"/>
      <c r="H1622">
        <f>COUNTIFS('Audit Raw data'!J:J,B:B,'Audit Raw data'!E:E,G:G)</f>
        <v>0</v>
      </c>
      <c r="I1622" s="44" t="str">
        <f>IFERROR((SUMIFS('Audit Raw data'!BZ:BZ,'Audit Raw data'!J:J,B:B,'Audit Raw data'!E:E,G:G)/H1622)/100,"-")</f>
        <v>-</v>
      </c>
      <c r="J1622">
        <f>COUNTIFS('Audit Raw data'!AM:AM,"Yes",'Audit Raw data'!J:J,B:B,'Audit Raw data'!E:E,'Day wise agent'!G:G)</f>
        <v>0</v>
      </c>
      <c r="K1622">
        <f>COUNTIFS('Audit Raw data'!AM:AM,"NO",'Audit Raw data'!J:J,B:B,'Audit Raw data'!E:E,'Day wise agent'!G:G)</f>
        <v>0</v>
      </c>
      <c r="L1622" s="12" t="str">
        <f t="shared" si="46"/>
        <v xml:space="preserve"> </v>
      </c>
    </row>
    <row r="1623" spans="4:12" x14ac:dyDescent="0.35">
      <c r="D1623" s="32"/>
      <c r="G1623" s="32"/>
      <c r="H1623">
        <f>COUNTIFS('Audit Raw data'!J:J,B:B,'Audit Raw data'!E:E,G:G)</f>
        <v>0</v>
      </c>
      <c r="I1623" s="44" t="str">
        <f>IFERROR((SUMIFS('Audit Raw data'!BZ:BZ,'Audit Raw data'!J:J,B:B,'Audit Raw data'!E:E,G:G)/H1623)/100,"-")</f>
        <v>-</v>
      </c>
      <c r="J1623">
        <f>COUNTIFS('Audit Raw data'!AM:AM,"Yes",'Audit Raw data'!J:J,B:B,'Audit Raw data'!E:E,'Day wise agent'!G:G)</f>
        <v>0</v>
      </c>
      <c r="K1623">
        <f>COUNTIFS('Audit Raw data'!AM:AM,"NO",'Audit Raw data'!J:J,B:B,'Audit Raw data'!E:E,'Day wise agent'!G:G)</f>
        <v>0</v>
      </c>
      <c r="L1623" s="12" t="str">
        <f t="shared" si="46"/>
        <v xml:space="preserve"> </v>
      </c>
    </row>
    <row r="1624" spans="4:12" x14ac:dyDescent="0.35">
      <c r="D1624" s="32"/>
      <c r="G1624" s="32"/>
      <c r="H1624">
        <f>COUNTIFS('Audit Raw data'!J:J,B:B,'Audit Raw data'!E:E,G:G)</f>
        <v>0</v>
      </c>
      <c r="I1624" s="44" t="str">
        <f>IFERROR((SUMIFS('Audit Raw data'!BZ:BZ,'Audit Raw data'!J:J,B:B,'Audit Raw data'!E:E,G:G)/H1624)/100,"-")</f>
        <v>-</v>
      </c>
      <c r="J1624">
        <f>COUNTIFS('Audit Raw data'!AM:AM,"Yes",'Audit Raw data'!J:J,B:B,'Audit Raw data'!E:E,'Day wise agent'!G:G)</f>
        <v>0</v>
      </c>
      <c r="K1624">
        <f>COUNTIFS('Audit Raw data'!AM:AM,"NO",'Audit Raw data'!J:J,B:B,'Audit Raw data'!E:E,'Day wise agent'!G:G)</f>
        <v>0</v>
      </c>
      <c r="L1624" s="12" t="str">
        <f t="shared" si="46"/>
        <v xml:space="preserve"> </v>
      </c>
    </row>
    <row r="1625" spans="4:12" x14ac:dyDescent="0.35">
      <c r="D1625" s="32"/>
      <c r="G1625" s="32"/>
      <c r="H1625">
        <f>COUNTIFS('Audit Raw data'!J:J,B:B,'Audit Raw data'!E:E,G:G)</f>
        <v>0</v>
      </c>
      <c r="I1625" s="44" t="str">
        <f>IFERROR((SUMIFS('Audit Raw data'!BZ:BZ,'Audit Raw data'!J:J,B:B,'Audit Raw data'!E:E,G:G)/H1625)/100,"-")</f>
        <v>-</v>
      </c>
      <c r="J1625">
        <f>COUNTIFS('Audit Raw data'!AM:AM,"Yes",'Audit Raw data'!J:J,B:B,'Audit Raw data'!E:E,'Day wise agent'!G:G)</f>
        <v>0</v>
      </c>
      <c r="K1625">
        <f>COUNTIFS('Audit Raw data'!AM:AM,"NO",'Audit Raw data'!J:J,B:B,'Audit Raw data'!E:E,'Day wise agent'!G:G)</f>
        <v>0</v>
      </c>
      <c r="L1625" s="12" t="str">
        <f t="shared" si="46"/>
        <v xml:space="preserve"> </v>
      </c>
    </row>
    <row r="1626" spans="4:12" x14ac:dyDescent="0.35">
      <c r="D1626" s="32"/>
      <c r="G1626" s="32"/>
      <c r="H1626">
        <f>COUNTIFS('Audit Raw data'!J:J,B:B,'Audit Raw data'!E:E,G:G)</f>
        <v>0</v>
      </c>
      <c r="I1626" s="44" t="str">
        <f>IFERROR((SUMIFS('Audit Raw data'!BZ:BZ,'Audit Raw data'!J:J,B:B,'Audit Raw data'!E:E,G:G)/H1626)/100,"-")</f>
        <v>-</v>
      </c>
      <c r="J1626">
        <f>COUNTIFS('Audit Raw data'!AM:AM,"Yes",'Audit Raw data'!J:J,B:B,'Audit Raw data'!E:E,'Day wise agent'!G:G)</f>
        <v>0</v>
      </c>
      <c r="K1626">
        <f>COUNTIFS('Audit Raw data'!AM:AM,"NO",'Audit Raw data'!J:J,B:B,'Audit Raw data'!E:E,'Day wise agent'!G:G)</f>
        <v>0</v>
      </c>
      <c r="L1626" s="12" t="str">
        <f t="shared" si="46"/>
        <v xml:space="preserve"> </v>
      </c>
    </row>
    <row r="1627" spans="4:12" x14ac:dyDescent="0.35">
      <c r="D1627" s="32"/>
      <c r="G1627" s="32"/>
      <c r="H1627">
        <f>COUNTIFS('Audit Raw data'!J:J,B:B,'Audit Raw data'!E:E,G:G)</f>
        <v>0</v>
      </c>
      <c r="I1627" s="44" t="str">
        <f>IFERROR((SUMIFS('Audit Raw data'!BZ:BZ,'Audit Raw data'!J:J,B:B,'Audit Raw data'!E:E,G:G)/H1627)/100,"-")</f>
        <v>-</v>
      </c>
      <c r="J1627">
        <f>COUNTIFS('Audit Raw data'!AM:AM,"Yes",'Audit Raw data'!J:J,B:B,'Audit Raw data'!E:E,'Day wise agent'!G:G)</f>
        <v>0</v>
      </c>
      <c r="K1627">
        <f>COUNTIFS('Audit Raw data'!AM:AM,"NO",'Audit Raw data'!J:J,B:B,'Audit Raw data'!E:E,'Day wise agent'!G:G)</f>
        <v>0</v>
      </c>
      <c r="L1627" s="12" t="str">
        <f t="shared" si="46"/>
        <v xml:space="preserve"> </v>
      </c>
    </row>
    <row r="1628" spans="4:12" x14ac:dyDescent="0.35">
      <c r="D1628" s="32"/>
      <c r="G1628" s="32"/>
      <c r="H1628">
        <f>COUNTIFS('Audit Raw data'!J:J,B:B,'Audit Raw data'!E:E,G:G)</f>
        <v>0</v>
      </c>
      <c r="I1628" s="44" t="str">
        <f>IFERROR((SUMIFS('Audit Raw data'!BZ:BZ,'Audit Raw data'!J:J,B:B,'Audit Raw data'!E:E,G:G)/H1628)/100,"-")</f>
        <v>-</v>
      </c>
      <c r="J1628">
        <f>COUNTIFS('Audit Raw data'!AM:AM,"Yes",'Audit Raw data'!J:J,B:B,'Audit Raw data'!E:E,'Day wise agent'!G:G)</f>
        <v>0</v>
      </c>
      <c r="K1628">
        <f>COUNTIFS('Audit Raw data'!AM:AM,"NO",'Audit Raw data'!J:J,B:B,'Audit Raw data'!E:E,'Day wise agent'!G:G)</f>
        <v>0</v>
      </c>
      <c r="L1628" s="12" t="str">
        <f t="shared" si="46"/>
        <v xml:space="preserve"> </v>
      </c>
    </row>
    <row r="1629" spans="4:12" x14ac:dyDescent="0.35">
      <c r="D1629" s="32"/>
      <c r="G1629" s="32"/>
      <c r="H1629">
        <f>COUNTIFS('Audit Raw data'!J:J,B:B,'Audit Raw data'!E:E,G:G)</f>
        <v>0</v>
      </c>
      <c r="I1629" s="44" t="str">
        <f>IFERROR((SUMIFS('Audit Raw data'!BZ:BZ,'Audit Raw data'!J:J,B:B,'Audit Raw data'!E:E,G:G)/H1629)/100,"-")</f>
        <v>-</v>
      </c>
      <c r="J1629">
        <f>COUNTIFS('Audit Raw data'!AM:AM,"Yes",'Audit Raw data'!J:J,B:B,'Audit Raw data'!E:E,'Day wise agent'!G:G)</f>
        <v>0</v>
      </c>
      <c r="K1629">
        <f>COUNTIFS('Audit Raw data'!AM:AM,"NO",'Audit Raw data'!J:J,B:B,'Audit Raw data'!E:E,'Day wise agent'!G:G)</f>
        <v>0</v>
      </c>
      <c r="L1629" s="12" t="str">
        <f t="shared" si="46"/>
        <v xml:space="preserve"> </v>
      </c>
    </row>
    <row r="1630" spans="4:12" x14ac:dyDescent="0.35">
      <c r="D1630" s="32"/>
      <c r="G1630" s="32"/>
      <c r="H1630">
        <f>COUNTIFS('Audit Raw data'!J:J,B:B,'Audit Raw data'!E:E,G:G)</f>
        <v>0</v>
      </c>
      <c r="I1630" s="44" t="str">
        <f>IFERROR((SUMIFS('Audit Raw data'!BZ:BZ,'Audit Raw data'!J:J,B:B,'Audit Raw data'!E:E,G:G)/H1630)/100,"-")</f>
        <v>-</v>
      </c>
      <c r="J1630">
        <f>COUNTIFS('Audit Raw data'!AM:AM,"Yes",'Audit Raw data'!J:J,B:B,'Audit Raw data'!E:E,'Day wise agent'!G:G)</f>
        <v>0</v>
      </c>
      <c r="K1630">
        <f>COUNTIFS('Audit Raw data'!AM:AM,"NO",'Audit Raw data'!J:J,B:B,'Audit Raw data'!E:E,'Day wise agent'!G:G)</f>
        <v>0</v>
      </c>
      <c r="L1630" s="12" t="str">
        <f t="shared" si="46"/>
        <v xml:space="preserve"> </v>
      </c>
    </row>
    <row r="1631" spans="4:12" x14ac:dyDescent="0.35">
      <c r="D1631" s="32"/>
      <c r="G1631" s="32"/>
      <c r="H1631">
        <f>COUNTIFS('Audit Raw data'!J:J,B:B,'Audit Raw data'!E:E,G:G)</f>
        <v>0</v>
      </c>
      <c r="I1631" s="44" t="str">
        <f>IFERROR((SUMIFS('Audit Raw data'!BZ:BZ,'Audit Raw data'!J:J,B:B,'Audit Raw data'!E:E,G:G)/H1631)/100,"-")</f>
        <v>-</v>
      </c>
      <c r="J1631">
        <f>COUNTIFS('Audit Raw data'!AM:AM,"Yes",'Audit Raw data'!J:J,B:B,'Audit Raw data'!E:E,'Day wise agent'!G:G)</f>
        <v>0</v>
      </c>
      <c r="K1631">
        <f>COUNTIFS('Audit Raw data'!AM:AM,"NO",'Audit Raw data'!J:J,B:B,'Audit Raw data'!E:E,'Day wise agent'!G:G)</f>
        <v>0</v>
      </c>
      <c r="L1631" s="12" t="str">
        <f t="shared" si="46"/>
        <v xml:space="preserve"> </v>
      </c>
    </row>
    <row r="1632" spans="4:12" x14ac:dyDescent="0.35">
      <c r="D1632" s="32"/>
      <c r="G1632" s="32"/>
      <c r="H1632">
        <f>COUNTIFS('Audit Raw data'!J:J,B:B,'Audit Raw data'!E:E,G:G)</f>
        <v>0</v>
      </c>
      <c r="I1632" s="44" t="str">
        <f>IFERROR((SUMIFS('Audit Raw data'!BZ:BZ,'Audit Raw data'!J:J,B:B,'Audit Raw data'!E:E,G:G)/H1632)/100,"-")</f>
        <v>-</v>
      </c>
      <c r="J1632">
        <f>COUNTIFS('Audit Raw data'!AM:AM,"Yes",'Audit Raw data'!J:J,B:B,'Audit Raw data'!E:E,'Day wise agent'!G:G)</f>
        <v>0</v>
      </c>
      <c r="K1632">
        <f>COUNTIFS('Audit Raw data'!AM:AM,"NO",'Audit Raw data'!J:J,B:B,'Audit Raw data'!E:E,'Day wise agent'!G:G)</f>
        <v>0</v>
      </c>
      <c r="L1632" s="12" t="str">
        <f t="shared" si="46"/>
        <v xml:space="preserve"> </v>
      </c>
    </row>
    <row r="1633" spans="4:12" x14ac:dyDescent="0.35">
      <c r="D1633" s="32"/>
      <c r="G1633" s="32"/>
      <c r="H1633">
        <f>COUNTIFS('Audit Raw data'!J:J,B:B,'Audit Raw data'!E:E,G:G)</f>
        <v>0</v>
      </c>
      <c r="I1633" s="44" t="str">
        <f>IFERROR((SUMIFS('Audit Raw data'!BZ:BZ,'Audit Raw data'!J:J,B:B,'Audit Raw data'!E:E,G:G)/H1633)/100,"-")</f>
        <v>-</v>
      </c>
      <c r="J1633">
        <f>COUNTIFS('Audit Raw data'!AM:AM,"Yes",'Audit Raw data'!J:J,B:B,'Audit Raw data'!E:E,'Day wise agent'!G:G)</f>
        <v>0</v>
      </c>
      <c r="K1633">
        <f>COUNTIFS('Audit Raw data'!AM:AM,"NO",'Audit Raw data'!J:J,B:B,'Audit Raw data'!E:E,'Day wise agent'!G:G)</f>
        <v>0</v>
      </c>
      <c r="L1633" s="12" t="str">
        <f t="shared" si="46"/>
        <v xml:space="preserve"> </v>
      </c>
    </row>
    <row r="1634" spans="4:12" x14ac:dyDescent="0.35">
      <c r="D1634" s="32"/>
      <c r="G1634" s="32"/>
      <c r="H1634">
        <f>COUNTIFS('Audit Raw data'!J:J,B:B,'Audit Raw data'!E:E,G:G)</f>
        <v>0</v>
      </c>
      <c r="I1634" s="44" t="str">
        <f>IFERROR((SUMIFS('Audit Raw data'!BZ:BZ,'Audit Raw data'!J:J,B:B,'Audit Raw data'!E:E,G:G)/H1634)/100,"-")</f>
        <v>-</v>
      </c>
      <c r="J1634">
        <f>COUNTIFS('Audit Raw data'!AM:AM,"Yes",'Audit Raw data'!J:J,B:B,'Audit Raw data'!E:E,'Day wise agent'!G:G)</f>
        <v>0</v>
      </c>
      <c r="K1634">
        <f>COUNTIFS('Audit Raw data'!AM:AM,"NO",'Audit Raw data'!J:J,B:B,'Audit Raw data'!E:E,'Day wise agent'!G:G)</f>
        <v>0</v>
      </c>
      <c r="L1634" s="12" t="str">
        <f t="shared" si="46"/>
        <v xml:space="preserve"> </v>
      </c>
    </row>
    <row r="1635" spans="4:12" x14ac:dyDescent="0.35">
      <c r="D1635" s="32"/>
      <c r="G1635" s="32"/>
      <c r="H1635">
        <f>COUNTIFS('Audit Raw data'!J:J,B:B,'Audit Raw data'!E:E,G:G)</f>
        <v>0</v>
      </c>
      <c r="I1635" s="44" t="str">
        <f>IFERROR((SUMIFS('Audit Raw data'!BZ:BZ,'Audit Raw data'!J:J,B:B,'Audit Raw data'!E:E,G:G)/H1635)/100,"-")</f>
        <v>-</v>
      </c>
      <c r="J1635">
        <f>COUNTIFS('Audit Raw data'!AM:AM,"Yes",'Audit Raw data'!J:J,B:B,'Audit Raw data'!E:E,'Day wise agent'!G:G)</f>
        <v>0</v>
      </c>
      <c r="K1635">
        <f>COUNTIFS('Audit Raw data'!AM:AM,"NO",'Audit Raw data'!J:J,B:B,'Audit Raw data'!E:E,'Day wise agent'!G:G)</f>
        <v>0</v>
      </c>
      <c r="L1635" s="12" t="str">
        <f t="shared" si="46"/>
        <v xml:space="preserve"> </v>
      </c>
    </row>
    <row r="1636" spans="4:12" x14ac:dyDescent="0.35">
      <c r="D1636" s="32"/>
      <c r="G1636" s="32"/>
      <c r="H1636">
        <f>COUNTIFS('Audit Raw data'!J:J,B:B,'Audit Raw data'!E:E,G:G)</f>
        <v>0</v>
      </c>
      <c r="I1636" s="44" t="str">
        <f>IFERROR((SUMIFS('Audit Raw data'!BZ:BZ,'Audit Raw data'!J:J,B:B,'Audit Raw data'!E:E,G:G)/H1636)/100,"-")</f>
        <v>-</v>
      </c>
      <c r="J1636">
        <f>COUNTIFS('Audit Raw data'!AM:AM,"Yes",'Audit Raw data'!J:J,B:B,'Audit Raw data'!E:E,'Day wise agent'!G:G)</f>
        <v>0</v>
      </c>
      <c r="K1636">
        <f>COUNTIFS('Audit Raw data'!AM:AM,"NO",'Audit Raw data'!J:J,B:B,'Audit Raw data'!E:E,'Day wise agent'!G:G)</f>
        <v>0</v>
      </c>
      <c r="L1636" s="12" t="str">
        <f t="shared" si="46"/>
        <v xml:space="preserve"> </v>
      </c>
    </row>
    <row r="1637" spans="4:12" x14ac:dyDescent="0.35">
      <c r="D1637" s="32"/>
      <c r="G1637" s="32"/>
      <c r="H1637">
        <f>COUNTIFS('Audit Raw data'!J:J,B:B,'Audit Raw data'!E:E,G:G)</f>
        <v>0</v>
      </c>
      <c r="I1637" s="44" t="str">
        <f>IFERROR((SUMIFS('Audit Raw data'!BZ:BZ,'Audit Raw data'!J:J,B:B,'Audit Raw data'!E:E,G:G)/H1637)/100,"-")</f>
        <v>-</v>
      </c>
      <c r="J1637">
        <f>COUNTIFS('Audit Raw data'!AM:AM,"Yes",'Audit Raw data'!J:J,B:B,'Audit Raw data'!E:E,'Day wise agent'!G:G)</f>
        <v>0</v>
      </c>
      <c r="K1637">
        <f>COUNTIFS('Audit Raw data'!AM:AM,"NO",'Audit Raw data'!J:J,B:B,'Audit Raw data'!E:E,'Day wise agent'!G:G)</f>
        <v>0</v>
      </c>
      <c r="L1637" s="12" t="str">
        <f t="shared" si="46"/>
        <v xml:space="preserve"> </v>
      </c>
    </row>
    <row r="1638" spans="4:12" x14ac:dyDescent="0.35">
      <c r="D1638" s="32"/>
      <c r="G1638" s="32"/>
      <c r="H1638">
        <f>COUNTIFS('Audit Raw data'!J:J,B:B,'Audit Raw data'!E:E,G:G)</f>
        <v>0</v>
      </c>
      <c r="I1638" s="44" t="str">
        <f>IFERROR((SUMIFS('Audit Raw data'!BZ:BZ,'Audit Raw data'!J:J,B:B,'Audit Raw data'!E:E,G:G)/H1638)/100,"-")</f>
        <v>-</v>
      </c>
      <c r="J1638">
        <f>COUNTIFS('Audit Raw data'!AM:AM,"Yes",'Audit Raw data'!J:J,B:B,'Audit Raw data'!E:E,'Day wise agent'!G:G)</f>
        <v>0</v>
      </c>
      <c r="K1638">
        <f>COUNTIFS('Audit Raw data'!AM:AM,"NO",'Audit Raw data'!J:J,B:B,'Audit Raw data'!E:E,'Day wise agent'!G:G)</f>
        <v>0</v>
      </c>
      <c r="L1638" s="12" t="str">
        <f t="shared" si="46"/>
        <v xml:space="preserve"> </v>
      </c>
    </row>
    <row r="1639" spans="4:12" x14ac:dyDescent="0.35">
      <c r="D1639" s="32"/>
      <c r="G1639" s="32"/>
      <c r="H1639">
        <f>COUNTIFS('Audit Raw data'!J:J,B:B,'Audit Raw data'!E:E,G:G)</f>
        <v>0</v>
      </c>
      <c r="I1639" s="44" t="str">
        <f>IFERROR((SUMIFS('Audit Raw data'!BZ:BZ,'Audit Raw data'!J:J,B:B,'Audit Raw data'!E:E,G:G)/H1639)/100,"-")</f>
        <v>-</v>
      </c>
      <c r="J1639">
        <f>COUNTIFS('Audit Raw data'!AM:AM,"Yes",'Audit Raw data'!J:J,B:B,'Audit Raw data'!E:E,'Day wise agent'!G:G)</f>
        <v>0</v>
      </c>
      <c r="K1639">
        <f>COUNTIFS('Audit Raw data'!AM:AM,"NO",'Audit Raw data'!J:J,B:B,'Audit Raw data'!E:E,'Day wise agent'!G:G)</f>
        <v>0</v>
      </c>
      <c r="L1639" s="12" t="str">
        <f t="shared" si="46"/>
        <v xml:space="preserve"> </v>
      </c>
    </row>
    <row r="1640" spans="4:12" x14ac:dyDescent="0.35">
      <c r="D1640" s="32"/>
      <c r="G1640" s="32"/>
      <c r="H1640">
        <f>COUNTIFS('Audit Raw data'!J:J,B:B,'Audit Raw data'!E:E,G:G)</f>
        <v>0</v>
      </c>
      <c r="I1640" s="44" t="str">
        <f>IFERROR((SUMIFS('Audit Raw data'!BZ:BZ,'Audit Raw data'!J:J,B:B,'Audit Raw data'!E:E,G:G)/H1640)/100,"-")</f>
        <v>-</v>
      </c>
      <c r="J1640">
        <f>COUNTIFS('Audit Raw data'!AM:AM,"Yes",'Audit Raw data'!J:J,B:B,'Audit Raw data'!E:E,'Day wise agent'!G:G)</f>
        <v>0</v>
      </c>
      <c r="K1640">
        <f>COUNTIFS('Audit Raw data'!AM:AM,"NO",'Audit Raw data'!J:J,B:B,'Audit Raw data'!E:E,'Day wise agent'!G:G)</f>
        <v>0</v>
      </c>
      <c r="L1640" s="12" t="str">
        <f t="shared" si="46"/>
        <v xml:space="preserve"> </v>
      </c>
    </row>
    <row r="1641" spans="4:12" x14ac:dyDescent="0.35">
      <c r="D1641" s="32"/>
      <c r="G1641" s="32"/>
      <c r="H1641">
        <f>COUNTIFS('Audit Raw data'!J:J,B:B,'Audit Raw data'!E:E,G:G)</f>
        <v>0</v>
      </c>
      <c r="I1641" s="44" t="str">
        <f>IFERROR((SUMIFS('Audit Raw data'!BZ:BZ,'Audit Raw data'!J:J,B:B,'Audit Raw data'!E:E,G:G)/H1641)/100,"-")</f>
        <v>-</v>
      </c>
      <c r="J1641">
        <f>COUNTIFS('Audit Raw data'!AM:AM,"Yes",'Audit Raw data'!J:J,B:B,'Audit Raw data'!E:E,'Day wise agent'!G:G)</f>
        <v>0</v>
      </c>
      <c r="K1641">
        <f>COUNTIFS('Audit Raw data'!AM:AM,"NO",'Audit Raw data'!J:J,B:B,'Audit Raw data'!E:E,'Day wise agent'!G:G)</f>
        <v>0</v>
      </c>
      <c r="L1641" s="12" t="str">
        <f t="shared" si="46"/>
        <v xml:space="preserve"> </v>
      </c>
    </row>
    <row r="1642" spans="4:12" x14ac:dyDescent="0.35">
      <c r="D1642" s="32"/>
      <c r="G1642" s="32"/>
      <c r="H1642">
        <f>COUNTIFS('Audit Raw data'!J:J,B:B,'Audit Raw data'!E:E,G:G)</f>
        <v>0</v>
      </c>
      <c r="I1642" s="44" t="str">
        <f>IFERROR((SUMIFS('Audit Raw data'!BZ:BZ,'Audit Raw data'!J:J,B:B,'Audit Raw data'!E:E,G:G)/H1642)/100,"-")</f>
        <v>-</v>
      </c>
      <c r="J1642">
        <f>COUNTIFS('Audit Raw data'!AM:AM,"Yes",'Audit Raw data'!J:J,B:B,'Audit Raw data'!E:E,'Day wise agent'!G:G)</f>
        <v>0</v>
      </c>
      <c r="K1642">
        <f>COUNTIFS('Audit Raw data'!AM:AM,"NO",'Audit Raw data'!J:J,B:B,'Audit Raw data'!E:E,'Day wise agent'!G:G)</f>
        <v>0</v>
      </c>
      <c r="L1642" s="12" t="str">
        <f t="shared" si="46"/>
        <v xml:space="preserve"> </v>
      </c>
    </row>
    <row r="1643" spans="4:12" x14ac:dyDescent="0.35">
      <c r="D1643" s="32"/>
      <c r="G1643" s="32"/>
      <c r="H1643">
        <f>COUNTIFS('Audit Raw data'!J:J,B:B,'Audit Raw data'!E:E,G:G)</f>
        <v>0</v>
      </c>
      <c r="I1643" s="44" t="str">
        <f>IFERROR((SUMIFS('Audit Raw data'!BZ:BZ,'Audit Raw data'!J:J,B:B,'Audit Raw data'!E:E,G:G)/H1643)/100,"-")</f>
        <v>-</v>
      </c>
      <c r="J1643">
        <f>COUNTIFS('Audit Raw data'!AM:AM,"Yes",'Audit Raw data'!J:J,B:B,'Audit Raw data'!E:E,'Day wise agent'!G:G)</f>
        <v>0</v>
      </c>
      <c r="K1643">
        <f>COUNTIFS('Audit Raw data'!AM:AM,"NO",'Audit Raw data'!J:J,B:B,'Audit Raw data'!E:E,'Day wise agent'!G:G)</f>
        <v>0</v>
      </c>
      <c r="L1643" s="12" t="str">
        <f t="shared" si="46"/>
        <v xml:space="preserve"> </v>
      </c>
    </row>
    <row r="1644" spans="4:12" x14ac:dyDescent="0.35">
      <c r="D1644" s="32"/>
      <c r="G1644" s="32"/>
      <c r="H1644">
        <f>COUNTIFS('Audit Raw data'!J:J,B:B,'Audit Raw data'!E:E,G:G)</f>
        <v>0</v>
      </c>
      <c r="I1644" s="44" t="str">
        <f>IFERROR((SUMIFS('Audit Raw data'!BZ:BZ,'Audit Raw data'!J:J,B:B,'Audit Raw data'!E:E,G:G)/H1644)/100,"-")</f>
        <v>-</v>
      </c>
      <c r="J1644">
        <f>COUNTIFS('Audit Raw data'!AM:AM,"Yes",'Audit Raw data'!J:J,B:B,'Audit Raw data'!E:E,'Day wise agent'!G:G)</f>
        <v>0</v>
      </c>
      <c r="K1644">
        <f>COUNTIFS('Audit Raw data'!AM:AM,"NO",'Audit Raw data'!J:J,B:B,'Audit Raw data'!E:E,'Day wise agent'!G:G)</f>
        <v>0</v>
      </c>
      <c r="L1644" s="12" t="str">
        <f t="shared" si="46"/>
        <v xml:space="preserve"> </v>
      </c>
    </row>
    <row r="1645" spans="4:12" x14ac:dyDescent="0.35">
      <c r="D1645" s="32"/>
      <c r="G1645" s="32"/>
      <c r="H1645">
        <f>COUNTIFS('Audit Raw data'!J:J,B:B,'Audit Raw data'!E:E,G:G)</f>
        <v>0</v>
      </c>
      <c r="I1645" s="44" t="str">
        <f>IFERROR((SUMIFS('Audit Raw data'!BZ:BZ,'Audit Raw data'!J:J,B:B,'Audit Raw data'!E:E,G:G)/H1645)/100,"-")</f>
        <v>-</v>
      </c>
      <c r="J1645">
        <f>COUNTIFS('Audit Raw data'!AM:AM,"Yes",'Audit Raw data'!J:J,B:B,'Audit Raw data'!E:E,'Day wise agent'!G:G)</f>
        <v>0</v>
      </c>
      <c r="K1645">
        <f>COUNTIFS('Audit Raw data'!AM:AM,"NO",'Audit Raw data'!J:J,B:B,'Audit Raw data'!E:E,'Day wise agent'!G:G)</f>
        <v>0</v>
      </c>
      <c r="L1645" s="12" t="str">
        <f t="shared" si="46"/>
        <v xml:space="preserve"> </v>
      </c>
    </row>
    <row r="1646" spans="4:12" x14ac:dyDescent="0.35">
      <c r="D1646" s="32"/>
      <c r="G1646" s="32"/>
      <c r="H1646">
        <f>COUNTIFS('Audit Raw data'!J:J,B:B,'Audit Raw data'!E:E,G:G)</f>
        <v>0</v>
      </c>
      <c r="I1646" s="44" t="str">
        <f>IFERROR((SUMIFS('Audit Raw data'!BZ:BZ,'Audit Raw data'!J:J,B:B,'Audit Raw data'!E:E,G:G)/H1646)/100,"-")</f>
        <v>-</v>
      </c>
      <c r="J1646">
        <f>COUNTIFS('Audit Raw data'!AM:AM,"Yes",'Audit Raw data'!J:J,B:B,'Audit Raw data'!E:E,'Day wise agent'!G:G)</f>
        <v>0</v>
      </c>
      <c r="K1646">
        <f>COUNTIFS('Audit Raw data'!AM:AM,"NO",'Audit Raw data'!J:J,B:B,'Audit Raw data'!E:E,'Day wise agent'!G:G)</f>
        <v>0</v>
      </c>
      <c r="L1646" s="12" t="str">
        <f t="shared" si="46"/>
        <v xml:space="preserve"> </v>
      </c>
    </row>
    <row r="1647" spans="4:12" x14ac:dyDescent="0.35">
      <c r="D1647" s="32"/>
      <c r="G1647" s="32"/>
      <c r="H1647">
        <f>COUNTIFS('Audit Raw data'!J:J,B:B,'Audit Raw data'!E:E,G:G)</f>
        <v>0</v>
      </c>
      <c r="I1647" s="44" t="str">
        <f>IFERROR((SUMIFS('Audit Raw data'!BZ:BZ,'Audit Raw data'!J:J,B:B,'Audit Raw data'!E:E,G:G)/H1647)/100,"-")</f>
        <v>-</v>
      </c>
      <c r="J1647">
        <f>COUNTIFS('Audit Raw data'!AM:AM,"Yes",'Audit Raw data'!J:J,B:B,'Audit Raw data'!E:E,'Day wise agent'!G:G)</f>
        <v>0</v>
      </c>
      <c r="K1647">
        <f>COUNTIFS('Audit Raw data'!AM:AM,"NO",'Audit Raw data'!J:J,B:B,'Audit Raw data'!E:E,'Day wise agent'!G:G)</f>
        <v>0</v>
      </c>
      <c r="L1647" s="12" t="str">
        <f t="shared" si="46"/>
        <v xml:space="preserve"> </v>
      </c>
    </row>
    <row r="1648" spans="4:12" x14ac:dyDescent="0.35">
      <c r="D1648" s="32"/>
      <c r="G1648" s="32"/>
      <c r="H1648">
        <f>COUNTIFS('Audit Raw data'!J:J,B:B,'Audit Raw data'!E:E,G:G)</f>
        <v>0</v>
      </c>
      <c r="I1648" s="44" t="str">
        <f>IFERROR((SUMIFS('Audit Raw data'!BZ:BZ,'Audit Raw data'!J:J,B:B,'Audit Raw data'!E:E,G:G)/H1648)/100,"-")</f>
        <v>-</v>
      </c>
      <c r="J1648">
        <f>COUNTIFS('Audit Raw data'!AM:AM,"Yes",'Audit Raw data'!J:J,B:B,'Audit Raw data'!E:E,'Day wise agent'!G:G)</f>
        <v>0</v>
      </c>
      <c r="K1648">
        <f>COUNTIFS('Audit Raw data'!AM:AM,"NO",'Audit Raw data'!J:J,B:B,'Audit Raw data'!E:E,'Day wise agent'!G:G)</f>
        <v>0</v>
      </c>
      <c r="L1648" s="12" t="str">
        <f t="shared" si="46"/>
        <v xml:space="preserve"> </v>
      </c>
    </row>
    <row r="1649" spans="4:12" x14ac:dyDescent="0.35">
      <c r="D1649" s="32"/>
      <c r="G1649" s="32"/>
      <c r="H1649">
        <f>COUNTIFS('Audit Raw data'!J:J,B:B,'Audit Raw data'!E:E,G:G)</f>
        <v>0</v>
      </c>
      <c r="I1649" s="44" t="str">
        <f>IFERROR((SUMIFS('Audit Raw data'!BZ:BZ,'Audit Raw data'!J:J,B:B,'Audit Raw data'!E:E,G:G)/H1649)/100,"-")</f>
        <v>-</v>
      </c>
      <c r="J1649">
        <f>COUNTIFS('Audit Raw data'!AM:AM,"Yes",'Audit Raw data'!J:J,B:B,'Audit Raw data'!E:E,'Day wise agent'!G:G)</f>
        <v>0</v>
      </c>
      <c r="K1649">
        <f>COUNTIFS('Audit Raw data'!AM:AM,"NO",'Audit Raw data'!J:J,B:B,'Audit Raw data'!E:E,'Day wise agent'!G:G)</f>
        <v>0</v>
      </c>
      <c r="L1649" s="12" t="str">
        <f t="shared" si="46"/>
        <v xml:space="preserve"> </v>
      </c>
    </row>
    <row r="1650" spans="4:12" x14ac:dyDescent="0.35">
      <c r="D1650" s="32"/>
      <c r="G1650" s="32"/>
      <c r="H1650">
        <f>COUNTIFS('Audit Raw data'!J:J,B:B,'Audit Raw data'!E:E,G:G)</f>
        <v>0</v>
      </c>
      <c r="I1650" s="44" t="str">
        <f>IFERROR((SUMIFS('Audit Raw data'!BZ:BZ,'Audit Raw data'!J:J,B:B,'Audit Raw data'!E:E,G:G)/H1650)/100,"-")</f>
        <v>-</v>
      </c>
      <c r="J1650">
        <f>COUNTIFS('Audit Raw data'!AM:AM,"Yes",'Audit Raw data'!J:J,B:B,'Audit Raw data'!E:E,'Day wise agent'!G:G)</f>
        <v>0</v>
      </c>
      <c r="K1650">
        <f>COUNTIFS('Audit Raw data'!AM:AM,"NO",'Audit Raw data'!J:J,B:B,'Audit Raw data'!E:E,'Day wise agent'!G:G)</f>
        <v>0</v>
      </c>
      <c r="L1650" s="12" t="str">
        <f t="shared" si="46"/>
        <v xml:space="preserve"> </v>
      </c>
    </row>
    <row r="1651" spans="4:12" x14ac:dyDescent="0.35">
      <c r="D1651" s="32"/>
      <c r="G1651" s="32"/>
      <c r="H1651">
        <f>COUNTIFS('Audit Raw data'!J:J,B:B,'Audit Raw data'!E:E,G:G)</f>
        <v>0</v>
      </c>
      <c r="I1651" s="44" t="str">
        <f>IFERROR((SUMIFS('Audit Raw data'!BZ:BZ,'Audit Raw data'!J:J,B:B,'Audit Raw data'!E:E,G:G)/H1651)/100,"-")</f>
        <v>-</v>
      </c>
      <c r="J1651">
        <f>COUNTIFS('Audit Raw data'!AM:AM,"Yes",'Audit Raw data'!J:J,B:B,'Audit Raw data'!E:E,'Day wise agent'!G:G)</f>
        <v>0</v>
      </c>
      <c r="K1651">
        <f>COUNTIFS('Audit Raw data'!AM:AM,"NO",'Audit Raw data'!J:J,B:B,'Audit Raw data'!E:E,'Day wise agent'!G:G)</f>
        <v>0</v>
      </c>
      <c r="L1651" s="12" t="str">
        <f t="shared" si="46"/>
        <v xml:space="preserve"> </v>
      </c>
    </row>
    <row r="1652" spans="4:12" x14ac:dyDescent="0.35">
      <c r="D1652" s="32"/>
      <c r="G1652" s="32"/>
      <c r="H1652">
        <f>COUNTIFS('Audit Raw data'!J:J,B:B,'Audit Raw data'!E:E,G:G)</f>
        <v>0</v>
      </c>
      <c r="I1652" s="44" t="str">
        <f>IFERROR((SUMIFS('Audit Raw data'!BZ:BZ,'Audit Raw data'!J:J,B:B,'Audit Raw data'!E:E,G:G)/H1652)/100,"-")</f>
        <v>-</v>
      </c>
      <c r="J1652">
        <f>COUNTIFS('Audit Raw data'!AM:AM,"Yes",'Audit Raw data'!J:J,B:B,'Audit Raw data'!E:E,'Day wise agent'!G:G)</f>
        <v>0</v>
      </c>
      <c r="K1652">
        <f>COUNTIFS('Audit Raw data'!AM:AM,"NO",'Audit Raw data'!J:J,B:B,'Audit Raw data'!E:E,'Day wise agent'!G:G)</f>
        <v>0</v>
      </c>
      <c r="L1652" s="12" t="str">
        <f t="shared" si="46"/>
        <v xml:space="preserve"> </v>
      </c>
    </row>
    <row r="1653" spans="4:12" x14ac:dyDescent="0.35">
      <c r="D1653" s="32"/>
      <c r="G1653" s="32"/>
      <c r="H1653">
        <f>COUNTIFS('Audit Raw data'!J:J,B:B,'Audit Raw data'!E:E,G:G)</f>
        <v>0</v>
      </c>
      <c r="I1653" s="44" t="str">
        <f>IFERROR((SUMIFS('Audit Raw data'!BZ:BZ,'Audit Raw data'!J:J,B:B,'Audit Raw data'!E:E,G:G)/H1653)/100,"-")</f>
        <v>-</v>
      </c>
      <c r="J1653">
        <f>COUNTIFS('Audit Raw data'!AM:AM,"Yes",'Audit Raw data'!J:J,B:B,'Audit Raw data'!E:E,'Day wise agent'!G:G)</f>
        <v>0</v>
      </c>
      <c r="K1653">
        <f>COUNTIFS('Audit Raw data'!AM:AM,"NO",'Audit Raw data'!J:J,B:B,'Audit Raw data'!E:E,'Day wise agent'!G:G)</f>
        <v>0</v>
      </c>
      <c r="L1653" s="12" t="str">
        <f t="shared" si="46"/>
        <v xml:space="preserve"> </v>
      </c>
    </row>
    <row r="1654" spans="4:12" x14ac:dyDescent="0.35">
      <c r="D1654" s="32"/>
      <c r="G1654" s="32"/>
      <c r="H1654">
        <f>COUNTIFS('Audit Raw data'!J:J,B:B,'Audit Raw data'!E:E,G:G)</f>
        <v>0</v>
      </c>
      <c r="I1654" s="44" t="str">
        <f>IFERROR((SUMIFS('Audit Raw data'!BZ:BZ,'Audit Raw data'!J:J,B:B,'Audit Raw data'!E:E,G:G)/H1654)/100,"-")</f>
        <v>-</v>
      </c>
      <c r="J1654">
        <f>COUNTIFS('Audit Raw data'!AM:AM,"Yes",'Audit Raw data'!J:J,B:B,'Audit Raw data'!E:E,'Day wise agent'!G:G)</f>
        <v>0</v>
      </c>
      <c r="K1654">
        <f>COUNTIFS('Audit Raw data'!AM:AM,"NO",'Audit Raw data'!J:J,B:B,'Audit Raw data'!E:E,'Day wise agent'!G:G)</f>
        <v>0</v>
      </c>
      <c r="L1654" s="12" t="str">
        <f t="shared" si="46"/>
        <v xml:space="preserve"> </v>
      </c>
    </row>
    <row r="1655" spans="4:12" x14ac:dyDescent="0.35">
      <c r="D1655" s="32"/>
      <c r="G1655" s="32"/>
      <c r="H1655">
        <f>COUNTIFS('Audit Raw data'!J:J,B:B,'Audit Raw data'!E:E,G:G)</f>
        <v>0</v>
      </c>
      <c r="I1655" s="44" t="str">
        <f>IFERROR((SUMIFS('Audit Raw data'!BZ:BZ,'Audit Raw data'!J:J,B:B,'Audit Raw data'!E:E,G:G)/H1655)/100,"-")</f>
        <v>-</v>
      </c>
      <c r="J1655">
        <f>COUNTIFS('Audit Raw data'!AM:AM,"Yes",'Audit Raw data'!J:J,B:B,'Audit Raw data'!E:E,'Day wise agent'!G:G)</f>
        <v>0</v>
      </c>
      <c r="K1655">
        <f>COUNTIFS('Audit Raw data'!AM:AM,"NO",'Audit Raw data'!J:J,B:B,'Audit Raw data'!E:E,'Day wise agent'!G:G)</f>
        <v>0</v>
      </c>
      <c r="L1655" s="12" t="str">
        <f t="shared" si="46"/>
        <v xml:space="preserve"> </v>
      </c>
    </row>
    <row r="1656" spans="4:12" x14ac:dyDescent="0.35">
      <c r="D1656" s="32"/>
      <c r="G1656" s="32"/>
      <c r="H1656">
        <f>COUNTIFS('Audit Raw data'!J:J,B:B,'Audit Raw data'!E:E,G:G)</f>
        <v>0</v>
      </c>
      <c r="I1656" s="44" t="str">
        <f>IFERROR((SUMIFS('Audit Raw data'!BZ:BZ,'Audit Raw data'!J:J,B:B,'Audit Raw data'!E:E,G:G)/H1656)/100,"-")</f>
        <v>-</v>
      </c>
      <c r="J1656">
        <f>COUNTIFS('Audit Raw data'!AM:AM,"Yes",'Audit Raw data'!J:J,B:B,'Audit Raw data'!E:E,'Day wise agent'!G:G)</f>
        <v>0</v>
      </c>
      <c r="K1656">
        <f>COUNTIFS('Audit Raw data'!AM:AM,"NO",'Audit Raw data'!J:J,B:B,'Audit Raw data'!E:E,'Day wise agent'!G:G)</f>
        <v>0</v>
      </c>
      <c r="L1656" s="12" t="str">
        <f t="shared" si="46"/>
        <v xml:space="preserve"> </v>
      </c>
    </row>
    <row r="1657" spans="4:12" x14ac:dyDescent="0.35">
      <c r="D1657" s="32"/>
      <c r="G1657" s="32"/>
      <c r="H1657">
        <f>COUNTIFS('Audit Raw data'!J:J,B:B,'Audit Raw data'!E:E,G:G)</f>
        <v>0</v>
      </c>
      <c r="I1657" s="44" t="str">
        <f>IFERROR((SUMIFS('Audit Raw data'!BZ:BZ,'Audit Raw data'!J:J,B:B,'Audit Raw data'!E:E,G:G)/H1657)/100,"-")</f>
        <v>-</v>
      </c>
      <c r="J1657">
        <f>COUNTIFS('Audit Raw data'!AM:AM,"Yes",'Audit Raw data'!J:J,B:B,'Audit Raw data'!E:E,'Day wise agent'!G:G)</f>
        <v>0</v>
      </c>
      <c r="K1657">
        <f>COUNTIFS('Audit Raw data'!AM:AM,"NO",'Audit Raw data'!J:J,B:B,'Audit Raw data'!E:E,'Day wise agent'!G:G)</f>
        <v>0</v>
      </c>
      <c r="L1657" s="12" t="str">
        <f t="shared" si="46"/>
        <v xml:space="preserve"> </v>
      </c>
    </row>
    <row r="1658" spans="4:12" x14ac:dyDescent="0.35">
      <c r="D1658" s="32"/>
      <c r="G1658" s="32"/>
      <c r="H1658">
        <f>COUNTIFS('Audit Raw data'!J:J,B:B,'Audit Raw data'!E:E,G:G)</f>
        <v>0</v>
      </c>
      <c r="I1658" s="44" t="str">
        <f>IFERROR((SUMIFS('Audit Raw data'!BZ:BZ,'Audit Raw data'!J:J,B:B,'Audit Raw data'!E:E,G:G)/H1658)/100,"-")</f>
        <v>-</v>
      </c>
      <c r="J1658">
        <f>COUNTIFS('Audit Raw data'!AM:AM,"Yes",'Audit Raw data'!J:J,B:B,'Audit Raw data'!E:E,'Day wise agent'!G:G)</f>
        <v>0</v>
      </c>
      <c r="K1658">
        <f>COUNTIFS('Audit Raw data'!AM:AM,"NO",'Audit Raw data'!J:J,B:B,'Audit Raw data'!E:E,'Day wise agent'!G:G)</f>
        <v>0</v>
      </c>
      <c r="L1658" s="12" t="str">
        <f t="shared" si="46"/>
        <v xml:space="preserve"> </v>
      </c>
    </row>
    <row r="1659" spans="4:12" x14ac:dyDescent="0.35">
      <c r="D1659" s="32"/>
      <c r="G1659" s="32"/>
      <c r="H1659">
        <f>COUNTIFS('Audit Raw data'!J:J,B:B,'Audit Raw data'!E:E,G:G)</f>
        <v>0</v>
      </c>
      <c r="I1659" s="44" t="str">
        <f>IFERROR((SUMIFS('Audit Raw data'!BZ:BZ,'Audit Raw data'!J:J,B:B,'Audit Raw data'!E:E,G:G)/H1659)/100,"-")</f>
        <v>-</v>
      </c>
      <c r="J1659">
        <f>COUNTIFS('Audit Raw data'!AM:AM,"Yes",'Audit Raw data'!J:J,B:B,'Audit Raw data'!E:E,'Day wise agent'!G:G)</f>
        <v>0</v>
      </c>
      <c r="K1659">
        <f>COUNTIFS('Audit Raw data'!AM:AM,"NO",'Audit Raw data'!J:J,B:B,'Audit Raw data'!E:E,'Day wise agent'!G:G)</f>
        <v>0</v>
      </c>
      <c r="L1659" s="12" t="str">
        <f t="shared" si="46"/>
        <v xml:space="preserve"> </v>
      </c>
    </row>
    <row r="1660" spans="4:12" x14ac:dyDescent="0.35">
      <c r="D1660" s="32"/>
      <c r="G1660" s="32"/>
      <c r="H1660">
        <f>COUNTIFS('Audit Raw data'!J:J,B:B,'Audit Raw data'!E:E,G:G)</f>
        <v>0</v>
      </c>
      <c r="I1660" s="44" t="str">
        <f>IFERROR((SUMIFS('Audit Raw data'!BZ:BZ,'Audit Raw data'!J:J,B:B,'Audit Raw data'!E:E,G:G)/H1660)/100,"-")</f>
        <v>-</v>
      </c>
      <c r="J1660">
        <f>COUNTIFS('Audit Raw data'!AM:AM,"Yes",'Audit Raw data'!J:J,B:B,'Audit Raw data'!E:E,'Day wise agent'!G:G)</f>
        <v>0</v>
      </c>
      <c r="K1660">
        <f>COUNTIFS('Audit Raw data'!AM:AM,"NO",'Audit Raw data'!J:J,B:B,'Audit Raw data'!E:E,'Day wise agent'!G:G)</f>
        <v>0</v>
      </c>
      <c r="L1660" s="12" t="str">
        <f t="shared" si="46"/>
        <v xml:space="preserve"> </v>
      </c>
    </row>
    <row r="1661" spans="4:12" x14ac:dyDescent="0.35">
      <c r="D1661" s="32"/>
      <c r="G1661" s="32"/>
      <c r="H1661">
        <f>COUNTIFS('Audit Raw data'!J:J,B:B,'Audit Raw data'!E:E,G:G)</f>
        <v>0</v>
      </c>
      <c r="I1661" s="44" t="str">
        <f>IFERROR((SUMIFS('Audit Raw data'!BZ:BZ,'Audit Raw data'!J:J,B:B,'Audit Raw data'!E:E,G:G)/H1661)/100,"-")</f>
        <v>-</v>
      </c>
      <c r="J1661">
        <f>COUNTIFS('Audit Raw data'!AM:AM,"Yes",'Audit Raw data'!J:J,B:B,'Audit Raw data'!E:E,'Day wise agent'!G:G)</f>
        <v>0</v>
      </c>
      <c r="K1661">
        <f>COUNTIFS('Audit Raw data'!AM:AM,"NO",'Audit Raw data'!J:J,B:B,'Audit Raw data'!E:E,'Day wise agent'!G:G)</f>
        <v>0</v>
      </c>
      <c r="L1661" s="12" t="str">
        <f t="shared" si="46"/>
        <v xml:space="preserve"> </v>
      </c>
    </row>
    <row r="1662" spans="4:12" x14ac:dyDescent="0.35">
      <c r="D1662" s="32"/>
      <c r="G1662" s="32"/>
      <c r="H1662">
        <f>COUNTIFS('Audit Raw data'!J:J,B:B,'Audit Raw data'!E:E,G:G)</f>
        <v>0</v>
      </c>
      <c r="I1662" s="44" t="str">
        <f>IFERROR((SUMIFS('Audit Raw data'!BZ:BZ,'Audit Raw data'!J:J,B:B,'Audit Raw data'!E:E,G:G)/H1662)/100,"-")</f>
        <v>-</v>
      </c>
      <c r="J1662">
        <f>COUNTIFS('Audit Raw data'!AM:AM,"Yes",'Audit Raw data'!J:J,B:B,'Audit Raw data'!E:E,'Day wise agent'!G:G)</f>
        <v>0</v>
      </c>
      <c r="K1662">
        <f>COUNTIFS('Audit Raw data'!AM:AM,"NO",'Audit Raw data'!J:J,B:B,'Audit Raw data'!E:E,'Day wise agent'!G:G)</f>
        <v>0</v>
      </c>
      <c r="L1662" s="12" t="str">
        <f t="shared" si="46"/>
        <v xml:space="preserve"> </v>
      </c>
    </row>
    <row r="1663" spans="4:12" x14ac:dyDescent="0.35">
      <c r="D1663" s="32"/>
      <c r="G1663" s="32"/>
      <c r="H1663">
        <f>COUNTIFS('Audit Raw data'!J:J,B:B,'Audit Raw data'!E:E,G:G)</f>
        <v>0</v>
      </c>
      <c r="I1663" s="44" t="str">
        <f>IFERROR((SUMIFS('Audit Raw data'!BZ:BZ,'Audit Raw data'!J:J,B:B,'Audit Raw data'!E:E,G:G)/H1663)/100,"-")</f>
        <v>-</v>
      </c>
      <c r="J1663">
        <f>COUNTIFS('Audit Raw data'!AM:AM,"Yes",'Audit Raw data'!J:J,B:B,'Audit Raw data'!E:E,'Day wise agent'!G:G)</f>
        <v>0</v>
      </c>
      <c r="K1663">
        <f>COUNTIFS('Audit Raw data'!AM:AM,"NO",'Audit Raw data'!J:J,B:B,'Audit Raw data'!E:E,'Day wise agent'!G:G)</f>
        <v>0</v>
      </c>
      <c r="L1663" s="12" t="str">
        <f t="shared" si="46"/>
        <v xml:space="preserve"> </v>
      </c>
    </row>
    <row r="1664" spans="4:12" x14ac:dyDescent="0.35">
      <c r="D1664" s="32"/>
      <c r="G1664" s="32"/>
      <c r="H1664">
        <f>COUNTIFS('Audit Raw data'!J:J,B:B,'Audit Raw data'!E:E,G:G)</f>
        <v>0</v>
      </c>
      <c r="I1664" s="44" t="str">
        <f>IFERROR((SUMIFS('Audit Raw data'!BZ:BZ,'Audit Raw data'!J:J,B:B,'Audit Raw data'!E:E,G:G)/H1664)/100,"-")</f>
        <v>-</v>
      </c>
      <c r="J1664">
        <f>COUNTIFS('Audit Raw data'!AM:AM,"Yes",'Audit Raw data'!J:J,B:B,'Audit Raw data'!E:E,'Day wise agent'!G:G)</f>
        <v>0</v>
      </c>
      <c r="K1664">
        <f>COUNTIFS('Audit Raw data'!AM:AM,"NO",'Audit Raw data'!J:J,B:B,'Audit Raw data'!E:E,'Day wise agent'!G:G)</f>
        <v>0</v>
      </c>
      <c r="L1664" s="12" t="str">
        <f t="shared" si="46"/>
        <v xml:space="preserve"> </v>
      </c>
    </row>
    <row r="1665" spans="4:12" x14ac:dyDescent="0.35">
      <c r="D1665" s="32"/>
      <c r="G1665" s="32"/>
      <c r="H1665">
        <f>COUNTIFS('Audit Raw data'!J:J,B:B,'Audit Raw data'!E:E,G:G)</f>
        <v>0</v>
      </c>
      <c r="I1665" s="44" t="str">
        <f>IFERROR((SUMIFS('Audit Raw data'!BZ:BZ,'Audit Raw data'!J:J,B:B,'Audit Raw data'!E:E,G:G)/H1665)/100,"-")</f>
        <v>-</v>
      </c>
      <c r="J1665">
        <f>COUNTIFS('Audit Raw data'!AM:AM,"Yes",'Audit Raw data'!J:J,B:B,'Audit Raw data'!E:E,'Day wise agent'!G:G)</f>
        <v>0</v>
      </c>
      <c r="K1665">
        <f>COUNTIFS('Audit Raw data'!AM:AM,"NO",'Audit Raw data'!J:J,B:B,'Audit Raw data'!E:E,'Day wise agent'!G:G)</f>
        <v>0</v>
      </c>
      <c r="L1665" s="12" t="str">
        <f t="shared" si="46"/>
        <v xml:space="preserve"> </v>
      </c>
    </row>
    <row r="1666" spans="4:12" x14ac:dyDescent="0.35">
      <c r="D1666" s="32"/>
      <c r="G1666" s="32"/>
      <c r="H1666">
        <f>COUNTIFS('Audit Raw data'!J:J,B:B,'Audit Raw data'!E:E,G:G)</f>
        <v>0</v>
      </c>
      <c r="I1666" s="44" t="str">
        <f>IFERROR((SUMIFS('Audit Raw data'!BZ:BZ,'Audit Raw data'!J:J,B:B,'Audit Raw data'!E:E,G:G)/H1666)/100,"-")</f>
        <v>-</v>
      </c>
      <c r="J1666">
        <f>COUNTIFS('Audit Raw data'!AM:AM,"Yes",'Audit Raw data'!J:J,B:B,'Audit Raw data'!E:E,'Day wise agent'!G:G)</f>
        <v>0</v>
      </c>
      <c r="K1666">
        <f>COUNTIFS('Audit Raw data'!AM:AM,"NO",'Audit Raw data'!J:J,B:B,'Audit Raw data'!E:E,'Day wise agent'!G:G)</f>
        <v>0</v>
      </c>
      <c r="L1666" s="12" t="str">
        <f t="shared" ref="L1666:L1729" si="47">IFERROR(J1666/H1666," ")</f>
        <v xml:space="preserve"> </v>
      </c>
    </row>
    <row r="1667" spans="4:12" x14ac:dyDescent="0.35">
      <c r="D1667" s="32"/>
      <c r="G1667" s="32"/>
      <c r="H1667">
        <f>COUNTIFS('Audit Raw data'!J:J,B:B,'Audit Raw data'!E:E,G:G)</f>
        <v>0</v>
      </c>
      <c r="I1667" s="44" t="str">
        <f>IFERROR((SUMIFS('Audit Raw data'!BZ:BZ,'Audit Raw data'!J:J,B:B,'Audit Raw data'!E:E,G:G)/H1667)/100,"-")</f>
        <v>-</v>
      </c>
      <c r="J1667">
        <f>COUNTIFS('Audit Raw data'!AM:AM,"Yes",'Audit Raw data'!J:J,B:B,'Audit Raw data'!E:E,'Day wise agent'!G:G)</f>
        <v>0</v>
      </c>
      <c r="K1667">
        <f>COUNTIFS('Audit Raw data'!AM:AM,"NO",'Audit Raw data'!J:J,B:B,'Audit Raw data'!E:E,'Day wise agent'!G:G)</f>
        <v>0</v>
      </c>
      <c r="L1667" s="12" t="str">
        <f t="shared" si="47"/>
        <v xml:space="preserve"> </v>
      </c>
    </row>
    <row r="1668" spans="4:12" x14ac:dyDescent="0.35">
      <c r="D1668" s="32"/>
      <c r="G1668" s="32"/>
      <c r="H1668">
        <f>COUNTIFS('Audit Raw data'!J:J,B:B,'Audit Raw data'!E:E,G:G)</f>
        <v>0</v>
      </c>
      <c r="I1668" s="44" t="str">
        <f>IFERROR((SUMIFS('Audit Raw data'!BZ:BZ,'Audit Raw data'!J:J,B:B,'Audit Raw data'!E:E,G:G)/H1668)/100,"-")</f>
        <v>-</v>
      </c>
      <c r="J1668">
        <f>COUNTIFS('Audit Raw data'!AM:AM,"Yes",'Audit Raw data'!J:J,B:B,'Audit Raw data'!E:E,'Day wise agent'!G:G)</f>
        <v>0</v>
      </c>
      <c r="K1668">
        <f>COUNTIFS('Audit Raw data'!AM:AM,"NO",'Audit Raw data'!J:J,B:B,'Audit Raw data'!E:E,'Day wise agent'!G:G)</f>
        <v>0</v>
      </c>
      <c r="L1668" s="12" t="str">
        <f t="shared" si="47"/>
        <v xml:space="preserve"> </v>
      </c>
    </row>
    <row r="1669" spans="4:12" x14ac:dyDescent="0.35">
      <c r="D1669" s="32"/>
      <c r="G1669" s="32"/>
      <c r="H1669">
        <f>COUNTIFS('Audit Raw data'!J:J,B:B,'Audit Raw data'!E:E,G:G)</f>
        <v>0</v>
      </c>
      <c r="I1669" s="44" t="str">
        <f>IFERROR((SUMIFS('Audit Raw data'!BZ:BZ,'Audit Raw data'!J:J,B:B,'Audit Raw data'!E:E,G:G)/H1669)/100,"-")</f>
        <v>-</v>
      </c>
      <c r="J1669">
        <f>COUNTIFS('Audit Raw data'!AM:AM,"Yes",'Audit Raw data'!J:J,B:B,'Audit Raw data'!E:E,'Day wise agent'!G:G)</f>
        <v>0</v>
      </c>
      <c r="K1669">
        <f>COUNTIFS('Audit Raw data'!AM:AM,"NO",'Audit Raw data'!J:J,B:B,'Audit Raw data'!E:E,'Day wise agent'!G:G)</f>
        <v>0</v>
      </c>
      <c r="L1669" s="12" t="str">
        <f t="shared" si="47"/>
        <v xml:space="preserve"> </v>
      </c>
    </row>
    <row r="1670" spans="4:12" x14ac:dyDescent="0.35">
      <c r="D1670" s="32"/>
      <c r="G1670" s="32"/>
      <c r="H1670">
        <f>COUNTIFS('Audit Raw data'!J:J,B:B,'Audit Raw data'!E:E,G:G)</f>
        <v>0</v>
      </c>
      <c r="I1670" s="44" t="str">
        <f>IFERROR((SUMIFS('Audit Raw data'!BZ:BZ,'Audit Raw data'!J:J,B:B,'Audit Raw data'!E:E,G:G)/H1670)/100,"-")</f>
        <v>-</v>
      </c>
      <c r="J1670">
        <f>COUNTIFS('Audit Raw data'!AM:AM,"Yes",'Audit Raw data'!J:J,B:B,'Audit Raw data'!E:E,'Day wise agent'!G:G)</f>
        <v>0</v>
      </c>
      <c r="K1670">
        <f>COUNTIFS('Audit Raw data'!AM:AM,"NO",'Audit Raw data'!J:J,B:B,'Audit Raw data'!E:E,'Day wise agent'!G:G)</f>
        <v>0</v>
      </c>
      <c r="L1670" s="12" t="str">
        <f t="shared" si="47"/>
        <v xml:space="preserve"> </v>
      </c>
    </row>
    <row r="1671" spans="4:12" x14ac:dyDescent="0.35">
      <c r="D1671" s="32"/>
      <c r="G1671" s="32"/>
      <c r="H1671">
        <f>COUNTIFS('Audit Raw data'!J:J,B:B,'Audit Raw data'!E:E,G:G)</f>
        <v>0</v>
      </c>
      <c r="I1671" s="44" t="str">
        <f>IFERROR((SUMIFS('Audit Raw data'!BZ:BZ,'Audit Raw data'!J:J,B:B,'Audit Raw data'!E:E,G:G)/H1671)/100,"-")</f>
        <v>-</v>
      </c>
      <c r="J1671">
        <f>COUNTIFS('Audit Raw data'!AM:AM,"Yes",'Audit Raw data'!J:J,B:B,'Audit Raw data'!E:E,'Day wise agent'!G:G)</f>
        <v>0</v>
      </c>
      <c r="K1671">
        <f>COUNTIFS('Audit Raw data'!AM:AM,"NO",'Audit Raw data'!J:J,B:B,'Audit Raw data'!E:E,'Day wise agent'!G:G)</f>
        <v>0</v>
      </c>
      <c r="L1671" s="12" t="str">
        <f t="shared" si="47"/>
        <v xml:space="preserve"> </v>
      </c>
    </row>
    <row r="1672" spans="4:12" x14ac:dyDescent="0.35">
      <c r="D1672" s="32"/>
      <c r="G1672" s="32"/>
      <c r="H1672">
        <f>COUNTIFS('Audit Raw data'!J:J,B:B,'Audit Raw data'!E:E,G:G)</f>
        <v>0</v>
      </c>
      <c r="I1672" s="44" t="str">
        <f>IFERROR((SUMIFS('Audit Raw data'!BZ:BZ,'Audit Raw data'!J:J,B:B,'Audit Raw data'!E:E,G:G)/H1672)/100,"-")</f>
        <v>-</v>
      </c>
      <c r="J1672">
        <f>COUNTIFS('Audit Raw data'!AM:AM,"Yes",'Audit Raw data'!J:J,B:B,'Audit Raw data'!E:E,'Day wise agent'!G:G)</f>
        <v>0</v>
      </c>
      <c r="K1672">
        <f>COUNTIFS('Audit Raw data'!AM:AM,"NO",'Audit Raw data'!J:J,B:B,'Audit Raw data'!E:E,'Day wise agent'!G:G)</f>
        <v>0</v>
      </c>
      <c r="L1672" s="12" t="str">
        <f t="shared" si="47"/>
        <v xml:space="preserve"> </v>
      </c>
    </row>
    <row r="1673" spans="4:12" x14ac:dyDescent="0.35">
      <c r="D1673" s="32"/>
      <c r="G1673" s="32"/>
      <c r="H1673">
        <f>COUNTIFS('Audit Raw data'!J:J,B:B,'Audit Raw data'!E:E,G:G)</f>
        <v>0</v>
      </c>
      <c r="I1673" s="44" t="str">
        <f>IFERROR((SUMIFS('Audit Raw data'!BZ:BZ,'Audit Raw data'!J:J,B:B,'Audit Raw data'!E:E,G:G)/H1673)/100,"-")</f>
        <v>-</v>
      </c>
      <c r="J1673">
        <f>COUNTIFS('Audit Raw data'!AM:AM,"Yes",'Audit Raw data'!J:J,B:B,'Audit Raw data'!E:E,'Day wise agent'!G:G)</f>
        <v>0</v>
      </c>
      <c r="K1673">
        <f>COUNTIFS('Audit Raw data'!AM:AM,"NO",'Audit Raw data'!J:J,B:B,'Audit Raw data'!E:E,'Day wise agent'!G:G)</f>
        <v>0</v>
      </c>
      <c r="L1673" s="12" t="str">
        <f t="shared" si="47"/>
        <v xml:space="preserve"> </v>
      </c>
    </row>
    <row r="1674" spans="4:12" x14ac:dyDescent="0.35">
      <c r="D1674" s="32"/>
      <c r="G1674" s="32"/>
      <c r="H1674">
        <f>COUNTIFS('Audit Raw data'!J:J,B:B,'Audit Raw data'!E:E,G:G)</f>
        <v>0</v>
      </c>
      <c r="I1674" s="44" t="str">
        <f>IFERROR((SUMIFS('Audit Raw data'!BZ:BZ,'Audit Raw data'!J:J,B:B,'Audit Raw data'!E:E,G:G)/H1674)/100,"-")</f>
        <v>-</v>
      </c>
      <c r="J1674">
        <f>COUNTIFS('Audit Raw data'!AM:AM,"Yes",'Audit Raw data'!J:J,B:B,'Audit Raw data'!E:E,'Day wise agent'!G:G)</f>
        <v>0</v>
      </c>
      <c r="K1674">
        <f>COUNTIFS('Audit Raw data'!AM:AM,"NO",'Audit Raw data'!J:J,B:B,'Audit Raw data'!E:E,'Day wise agent'!G:G)</f>
        <v>0</v>
      </c>
      <c r="L1674" s="12" t="str">
        <f t="shared" si="47"/>
        <v xml:space="preserve"> </v>
      </c>
    </row>
    <row r="1675" spans="4:12" x14ac:dyDescent="0.35">
      <c r="D1675" s="32"/>
      <c r="G1675" s="32"/>
      <c r="H1675">
        <f>COUNTIFS('Audit Raw data'!J:J,B:B,'Audit Raw data'!E:E,G:G)</f>
        <v>0</v>
      </c>
      <c r="I1675" s="44" t="str">
        <f>IFERROR((SUMIFS('Audit Raw data'!BZ:BZ,'Audit Raw data'!J:J,B:B,'Audit Raw data'!E:E,G:G)/H1675)/100,"-")</f>
        <v>-</v>
      </c>
      <c r="J1675">
        <f>COUNTIFS('Audit Raw data'!AM:AM,"Yes",'Audit Raw data'!J:J,B:B,'Audit Raw data'!E:E,'Day wise agent'!G:G)</f>
        <v>0</v>
      </c>
      <c r="K1675">
        <f>COUNTIFS('Audit Raw data'!AM:AM,"NO",'Audit Raw data'!J:J,B:B,'Audit Raw data'!E:E,'Day wise agent'!G:G)</f>
        <v>0</v>
      </c>
      <c r="L1675" s="12" t="str">
        <f t="shared" si="47"/>
        <v xml:space="preserve"> </v>
      </c>
    </row>
    <row r="1676" spans="4:12" x14ac:dyDescent="0.35">
      <c r="D1676" s="32"/>
      <c r="G1676" s="32"/>
      <c r="H1676">
        <f>COUNTIFS('Audit Raw data'!J:J,B:B,'Audit Raw data'!E:E,G:G)</f>
        <v>0</v>
      </c>
      <c r="I1676" s="44" t="str">
        <f>IFERROR((SUMIFS('Audit Raw data'!BZ:BZ,'Audit Raw data'!J:J,B:B,'Audit Raw data'!E:E,G:G)/H1676)/100,"-")</f>
        <v>-</v>
      </c>
      <c r="J1676">
        <f>COUNTIFS('Audit Raw data'!AM:AM,"Yes",'Audit Raw data'!J:J,B:B,'Audit Raw data'!E:E,'Day wise agent'!G:G)</f>
        <v>0</v>
      </c>
      <c r="K1676">
        <f>COUNTIFS('Audit Raw data'!AM:AM,"NO",'Audit Raw data'!J:J,B:B,'Audit Raw data'!E:E,'Day wise agent'!G:G)</f>
        <v>0</v>
      </c>
      <c r="L1676" s="12" t="str">
        <f t="shared" si="47"/>
        <v xml:space="preserve"> </v>
      </c>
    </row>
    <row r="1677" spans="4:12" x14ac:dyDescent="0.35">
      <c r="D1677" s="32"/>
      <c r="G1677" s="32"/>
      <c r="H1677">
        <f>COUNTIFS('Audit Raw data'!J:J,B:B,'Audit Raw data'!E:E,G:G)</f>
        <v>0</v>
      </c>
      <c r="I1677" s="44" t="str">
        <f>IFERROR((SUMIFS('Audit Raw data'!BZ:BZ,'Audit Raw data'!J:J,B:B,'Audit Raw data'!E:E,G:G)/H1677)/100,"-")</f>
        <v>-</v>
      </c>
      <c r="J1677">
        <f>COUNTIFS('Audit Raw data'!AM:AM,"Yes",'Audit Raw data'!J:J,B:B,'Audit Raw data'!E:E,'Day wise agent'!G:G)</f>
        <v>0</v>
      </c>
      <c r="K1677">
        <f>COUNTIFS('Audit Raw data'!AM:AM,"NO",'Audit Raw data'!J:J,B:B,'Audit Raw data'!E:E,'Day wise agent'!G:G)</f>
        <v>0</v>
      </c>
      <c r="L1677" s="12" t="str">
        <f t="shared" si="47"/>
        <v xml:space="preserve"> </v>
      </c>
    </row>
    <row r="1678" spans="4:12" x14ac:dyDescent="0.35">
      <c r="D1678" s="32"/>
      <c r="G1678" s="32"/>
      <c r="H1678">
        <f>COUNTIFS('Audit Raw data'!J:J,B:B,'Audit Raw data'!E:E,G:G)</f>
        <v>0</v>
      </c>
      <c r="I1678" s="44" t="str">
        <f>IFERROR((SUMIFS('Audit Raw data'!BZ:BZ,'Audit Raw data'!J:J,B:B,'Audit Raw data'!E:E,G:G)/H1678)/100,"-")</f>
        <v>-</v>
      </c>
      <c r="J1678">
        <f>COUNTIFS('Audit Raw data'!AM:AM,"Yes",'Audit Raw data'!J:J,B:B,'Audit Raw data'!E:E,'Day wise agent'!G:G)</f>
        <v>0</v>
      </c>
      <c r="K1678">
        <f>COUNTIFS('Audit Raw data'!AM:AM,"NO",'Audit Raw data'!J:J,B:B,'Audit Raw data'!E:E,'Day wise agent'!G:G)</f>
        <v>0</v>
      </c>
      <c r="L1678" s="12" t="str">
        <f t="shared" si="47"/>
        <v xml:space="preserve"> </v>
      </c>
    </row>
    <row r="1679" spans="4:12" x14ac:dyDescent="0.35">
      <c r="D1679" s="32"/>
      <c r="G1679" s="32"/>
      <c r="H1679">
        <f>COUNTIFS('Audit Raw data'!J:J,B:B,'Audit Raw data'!E:E,G:G)</f>
        <v>0</v>
      </c>
      <c r="I1679" s="44" t="str">
        <f>IFERROR((SUMIFS('Audit Raw data'!BZ:BZ,'Audit Raw data'!J:J,B:B,'Audit Raw data'!E:E,G:G)/H1679)/100,"-")</f>
        <v>-</v>
      </c>
      <c r="J1679">
        <f>COUNTIFS('Audit Raw data'!AM:AM,"Yes",'Audit Raw data'!J:J,B:B,'Audit Raw data'!E:E,'Day wise agent'!G:G)</f>
        <v>0</v>
      </c>
      <c r="K1679">
        <f>COUNTIFS('Audit Raw data'!AM:AM,"NO",'Audit Raw data'!J:J,B:B,'Audit Raw data'!E:E,'Day wise agent'!G:G)</f>
        <v>0</v>
      </c>
      <c r="L1679" s="12" t="str">
        <f t="shared" si="47"/>
        <v xml:space="preserve"> </v>
      </c>
    </row>
    <row r="1680" spans="4:12" x14ac:dyDescent="0.35">
      <c r="D1680" s="32"/>
      <c r="G1680" s="32"/>
      <c r="H1680">
        <f>COUNTIFS('Audit Raw data'!J:J,B:B,'Audit Raw data'!E:E,G:G)</f>
        <v>0</v>
      </c>
      <c r="I1680" s="44" t="str">
        <f>IFERROR((SUMIFS('Audit Raw data'!BZ:BZ,'Audit Raw data'!J:J,B:B,'Audit Raw data'!E:E,G:G)/H1680)/100,"-")</f>
        <v>-</v>
      </c>
      <c r="J1680">
        <f>COUNTIFS('Audit Raw data'!AM:AM,"Yes",'Audit Raw data'!J:J,B:B,'Audit Raw data'!E:E,'Day wise agent'!G:G)</f>
        <v>0</v>
      </c>
      <c r="K1680">
        <f>COUNTIFS('Audit Raw data'!AM:AM,"NO",'Audit Raw data'!J:J,B:B,'Audit Raw data'!E:E,'Day wise agent'!G:G)</f>
        <v>0</v>
      </c>
      <c r="L1680" s="12" t="str">
        <f t="shared" si="47"/>
        <v xml:space="preserve"> </v>
      </c>
    </row>
    <row r="1681" spans="4:12" x14ac:dyDescent="0.35">
      <c r="D1681" s="32"/>
      <c r="G1681" s="32"/>
      <c r="H1681">
        <f>COUNTIFS('Audit Raw data'!J:J,B:B,'Audit Raw data'!E:E,G:G)</f>
        <v>0</v>
      </c>
      <c r="I1681" s="44" t="str">
        <f>IFERROR((SUMIFS('Audit Raw data'!BZ:BZ,'Audit Raw data'!J:J,B:B,'Audit Raw data'!E:E,G:G)/H1681)/100,"-")</f>
        <v>-</v>
      </c>
      <c r="J1681">
        <f>COUNTIFS('Audit Raw data'!AM:AM,"Yes",'Audit Raw data'!J:J,B:B,'Audit Raw data'!E:E,'Day wise agent'!G:G)</f>
        <v>0</v>
      </c>
      <c r="K1681">
        <f>COUNTIFS('Audit Raw data'!AM:AM,"NO",'Audit Raw data'!J:J,B:B,'Audit Raw data'!E:E,'Day wise agent'!G:G)</f>
        <v>0</v>
      </c>
      <c r="L1681" s="12" t="str">
        <f t="shared" si="47"/>
        <v xml:space="preserve"> </v>
      </c>
    </row>
    <row r="1682" spans="4:12" x14ac:dyDescent="0.35">
      <c r="D1682" s="32"/>
      <c r="G1682" s="32"/>
      <c r="H1682">
        <f>COUNTIFS('Audit Raw data'!J:J,B:B,'Audit Raw data'!E:E,G:G)</f>
        <v>0</v>
      </c>
      <c r="I1682" s="44" t="str">
        <f>IFERROR((SUMIFS('Audit Raw data'!BZ:BZ,'Audit Raw data'!J:J,B:B,'Audit Raw data'!E:E,G:G)/H1682)/100,"-")</f>
        <v>-</v>
      </c>
      <c r="J1682">
        <f>COUNTIFS('Audit Raw data'!AM:AM,"Yes",'Audit Raw data'!J:J,B:B,'Audit Raw data'!E:E,'Day wise agent'!G:G)</f>
        <v>0</v>
      </c>
      <c r="K1682">
        <f>COUNTIFS('Audit Raw data'!AM:AM,"NO",'Audit Raw data'!J:J,B:B,'Audit Raw data'!E:E,'Day wise agent'!G:G)</f>
        <v>0</v>
      </c>
      <c r="L1682" s="12" t="str">
        <f t="shared" si="47"/>
        <v xml:space="preserve"> </v>
      </c>
    </row>
    <row r="1683" spans="4:12" x14ac:dyDescent="0.35">
      <c r="D1683" s="32"/>
      <c r="G1683" s="32"/>
      <c r="H1683">
        <f>COUNTIFS('Audit Raw data'!J:J,B:B,'Audit Raw data'!E:E,G:G)</f>
        <v>0</v>
      </c>
      <c r="I1683" s="44" t="str">
        <f>IFERROR((SUMIFS('Audit Raw data'!BZ:BZ,'Audit Raw data'!J:J,B:B,'Audit Raw data'!E:E,G:G)/H1683)/100,"-")</f>
        <v>-</v>
      </c>
      <c r="J1683">
        <f>COUNTIFS('Audit Raw data'!AM:AM,"Yes",'Audit Raw data'!J:J,B:B,'Audit Raw data'!E:E,'Day wise agent'!G:G)</f>
        <v>0</v>
      </c>
      <c r="K1683">
        <f>COUNTIFS('Audit Raw data'!AM:AM,"NO",'Audit Raw data'!J:J,B:B,'Audit Raw data'!E:E,'Day wise agent'!G:G)</f>
        <v>0</v>
      </c>
      <c r="L1683" s="12" t="str">
        <f t="shared" si="47"/>
        <v xml:space="preserve"> </v>
      </c>
    </row>
    <row r="1684" spans="4:12" x14ac:dyDescent="0.35">
      <c r="D1684" s="32"/>
      <c r="G1684" s="32"/>
      <c r="H1684">
        <f>COUNTIFS('Audit Raw data'!J:J,B:B,'Audit Raw data'!E:E,G:G)</f>
        <v>0</v>
      </c>
      <c r="I1684" s="44" t="str">
        <f>IFERROR((SUMIFS('Audit Raw data'!BZ:BZ,'Audit Raw data'!J:J,B:B,'Audit Raw data'!E:E,G:G)/H1684)/100,"-")</f>
        <v>-</v>
      </c>
      <c r="J1684">
        <f>COUNTIFS('Audit Raw data'!AM:AM,"Yes",'Audit Raw data'!J:J,B:B,'Audit Raw data'!E:E,'Day wise agent'!G:G)</f>
        <v>0</v>
      </c>
      <c r="K1684">
        <f>COUNTIFS('Audit Raw data'!AM:AM,"NO",'Audit Raw data'!J:J,B:B,'Audit Raw data'!E:E,'Day wise agent'!G:G)</f>
        <v>0</v>
      </c>
      <c r="L1684" s="12" t="str">
        <f t="shared" si="47"/>
        <v xml:space="preserve"> </v>
      </c>
    </row>
    <row r="1685" spans="4:12" x14ac:dyDescent="0.35">
      <c r="D1685" s="32"/>
      <c r="G1685" s="32"/>
      <c r="H1685">
        <f>COUNTIFS('Audit Raw data'!J:J,B:B,'Audit Raw data'!E:E,G:G)</f>
        <v>0</v>
      </c>
      <c r="I1685" s="44" t="str">
        <f>IFERROR((SUMIFS('Audit Raw data'!BZ:BZ,'Audit Raw data'!J:J,B:B,'Audit Raw data'!E:E,G:G)/H1685)/100,"-")</f>
        <v>-</v>
      </c>
      <c r="J1685">
        <f>COUNTIFS('Audit Raw data'!AM:AM,"Yes",'Audit Raw data'!J:J,B:B,'Audit Raw data'!E:E,'Day wise agent'!G:G)</f>
        <v>0</v>
      </c>
      <c r="K1685">
        <f>COUNTIFS('Audit Raw data'!AM:AM,"NO",'Audit Raw data'!J:J,B:B,'Audit Raw data'!E:E,'Day wise agent'!G:G)</f>
        <v>0</v>
      </c>
      <c r="L1685" s="12" t="str">
        <f t="shared" si="47"/>
        <v xml:space="preserve"> </v>
      </c>
    </row>
    <row r="1686" spans="4:12" x14ac:dyDescent="0.35">
      <c r="D1686" s="32"/>
      <c r="G1686" s="32"/>
      <c r="H1686">
        <f>COUNTIFS('Audit Raw data'!J:J,B:B,'Audit Raw data'!E:E,G:G)</f>
        <v>0</v>
      </c>
      <c r="I1686" s="44" t="str">
        <f>IFERROR((SUMIFS('Audit Raw data'!BZ:BZ,'Audit Raw data'!J:J,B:B,'Audit Raw data'!E:E,G:G)/H1686)/100,"-")</f>
        <v>-</v>
      </c>
      <c r="J1686">
        <f>COUNTIFS('Audit Raw data'!AM:AM,"Yes",'Audit Raw data'!J:J,B:B,'Audit Raw data'!E:E,'Day wise agent'!G:G)</f>
        <v>0</v>
      </c>
      <c r="K1686">
        <f>COUNTIFS('Audit Raw data'!AM:AM,"NO",'Audit Raw data'!J:J,B:B,'Audit Raw data'!E:E,'Day wise agent'!G:G)</f>
        <v>0</v>
      </c>
      <c r="L1686" s="12" t="str">
        <f t="shared" si="47"/>
        <v xml:space="preserve"> </v>
      </c>
    </row>
    <row r="1687" spans="4:12" x14ac:dyDescent="0.35">
      <c r="D1687" s="32"/>
      <c r="G1687" s="32"/>
      <c r="H1687">
        <f>COUNTIFS('Audit Raw data'!J:J,B:B,'Audit Raw data'!E:E,G:G)</f>
        <v>0</v>
      </c>
      <c r="I1687" s="44" t="str">
        <f>IFERROR((SUMIFS('Audit Raw data'!BZ:BZ,'Audit Raw data'!J:J,B:B,'Audit Raw data'!E:E,G:G)/H1687)/100,"-")</f>
        <v>-</v>
      </c>
      <c r="J1687">
        <f>COUNTIFS('Audit Raw data'!AM:AM,"Yes",'Audit Raw data'!J:J,B:B,'Audit Raw data'!E:E,'Day wise agent'!G:G)</f>
        <v>0</v>
      </c>
      <c r="K1687">
        <f>COUNTIFS('Audit Raw data'!AM:AM,"NO",'Audit Raw data'!J:J,B:B,'Audit Raw data'!E:E,'Day wise agent'!G:G)</f>
        <v>0</v>
      </c>
      <c r="L1687" s="12" t="str">
        <f t="shared" si="47"/>
        <v xml:space="preserve"> </v>
      </c>
    </row>
    <row r="1688" spans="4:12" x14ac:dyDescent="0.35">
      <c r="D1688" s="32"/>
      <c r="G1688" s="32"/>
      <c r="H1688">
        <f>COUNTIFS('Audit Raw data'!J:J,B:B,'Audit Raw data'!E:E,G:G)</f>
        <v>0</v>
      </c>
      <c r="I1688" s="44" t="str">
        <f>IFERROR((SUMIFS('Audit Raw data'!BZ:BZ,'Audit Raw data'!J:J,B:B,'Audit Raw data'!E:E,G:G)/H1688)/100,"-")</f>
        <v>-</v>
      </c>
      <c r="J1688">
        <f>COUNTIFS('Audit Raw data'!AM:AM,"Yes",'Audit Raw data'!J:J,B:B,'Audit Raw data'!E:E,'Day wise agent'!G:G)</f>
        <v>0</v>
      </c>
      <c r="K1688">
        <f>COUNTIFS('Audit Raw data'!AM:AM,"NO",'Audit Raw data'!J:J,B:B,'Audit Raw data'!E:E,'Day wise agent'!G:G)</f>
        <v>0</v>
      </c>
      <c r="L1688" s="12" t="str">
        <f t="shared" si="47"/>
        <v xml:space="preserve"> </v>
      </c>
    </row>
    <row r="1689" spans="4:12" x14ac:dyDescent="0.35">
      <c r="D1689" s="32"/>
      <c r="G1689" s="32"/>
      <c r="H1689">
        <f>COUNTIFS('Audit Raw data'!J:J,B:B,'Audit Raw data'!E:E,G:G)</f>
        <v>0</v>
      </c>
      <c r="I1689" s="44" t="str">
        <f>IFERROR((SUMIFS('Audit Raw data'!BZ:BZ,'Audit Raw data'!J:J,B:B,'Audit Raw data'!E:E,G:G)/H1689)/100,"-")</f>
        <v>-</v>
      </c>
      <c r="J1689">
        <f>COUNTIFS('Audit Raw data'!AM:AM,"Yes",'Audit Raw data'!J:J,B:B,'Audit Raw data'!E:E,'Day wise agent'!G:G)</f>
        <v>0</v>
      </c>
      <c r="K1689">
        <f>COUNTIFS('Audit Raw data'!AM:AM,"NO",'Audit Raw data'!J:J,B:B,'Audit Raw data'!E:E,'Day wise agent'!G:G)</f>
        <v>0</v>
      </c>
      <c r="L1689" s="12" t="str">
        <f t="shared" si="47"/>
        <v xml:space="preserve"> </v>
      </c>
    </row>
    <row r="1690" spans="4:12" x14ac:dyDescent="0.35">
      <c r="D1690" s="32"/>
      <c r="G1690" s="32"/>
      <c r="H1690">
        <f>COUNTIFS('Audit Raw data'!J:J,B:B,'Audit Raw data'!E:E,G:G)</f>
        <v>0</v>
      </c>
      <c r="I1690" s="44" t="str">
        <f>IFERROR((SUMIFS('Audit Raw data'!BZ:BZ,'Audit Raw data'!J:J,B:B,'Audit Raw data'!E:E,G:G)/H1690)/100,"-")</f>
        <v>-</v>
      </c>
      <c r="J1690">
        <f>COUNTIFS('Audit Raw data'!AM:AM,"Yes",'Audit Raw data'!J:J,B:B,'Audit Raw data'!E:E,'Day wise agent'!G:G)</f>
        <v>0</v>
      </c>
      <c r="K1690">
        <f>COUNTIFS('Audit Raw data'!AM:AM,"NO",'Audit Raw data'!J:J,B:B,'Audit Raw data'!E:E,'Day wise agent'!G:G)</f>
        <v>0</v>
      </c>
      <c r="L1690" s="12" t="str">
        <f t="shared" si="47"/>
        <v xml:space="preserve"> </v>
      </c>
    </row>
    <row r="1691" spans="4:12" x14ac:dyDescent="0.35">
      <c r="D1691" s="32"/>
      <c r="G1691" s="32"/>
      <c r="H1691">
        <f>COUNTIFS('Audit Raw data'!J:J,B:B,'Audit Raw data'!E:E,G:G)</f>
        <v>0</v>
      </c>
      <c r="I1691" s="44" t="str">
        <f>IFERROR((SUMIFS('Audit Raw data'!BZ:BZ,'Audit Raw data'!J:J,B:B,'Audit Raw data'!E:E,G:G)/H1691)/100,"-")</f>
        <v>-</v>
      </c>
      <c r="J1691">
        <f>COUNTIFS('Audit Raw data'!AM:AM,"Yes",'Audit Raw data'!J:J,B:B,'Audit Raw data'!E:E,'Day wise agent'!G:G)</f>
        <v>0</v>
      </c>
      <c r="K1691">
        <f>COUNTIFS('Audit Raw data'!AM:AM,"NO",'Audit Raw data'!J:J,B:B,'Audit Raw data'!E:E,'Day wise agent'!G:G)</f>
        <v>0</v>
      </c>
      <c r="L1691" s="12" t="str">
        <f t="shared" si="47"/>
        <v xml:space="preserve"> </v>
      </c>
    </row>
    <row r="1692" spans="4:12" x14ac:dyDescent="0.35">
      <c r="D1692" s="32"/>
      <c r="G1692" s="32"/>
      <c r="H1692">
        <f>COUNTIFS('Audit Raw data'!J:J,B:B,'Audit Raw data'!E:E,G:G)</f>
        <v>0</v>
      </c>
      <c r="I1692" s="44" t="str">
        <f>IFERROR((SUMIFS('Audit Raw data'!BZ:BZ,'Audit Raw data'!J:J,B:B,'Audit Raw data'!E:E,G:G)/H1692)/100,"-")</f>
        <v>-</v>
      </c>
      <c r="J1692">
        <f>COUNTIFS('Audit Raw data'!AM:AM,"Yes",'Audit Raw data'!J:J,B:B,'Audit Raw data'!E:E,'Day wise agent'!G:G)</f>
        <v>0</v>
      </c>
      <c r="K1692">
        <f>COUNTIFS('Audit Raw data'!AM:AM,"NO",'Audit Raw data'!J:J,B:B,'Audit Raw data'!E:E,'Day wise agent'!G:G)</f>
        <v>0</v>
      </c>
      <c r="L1692" s="12" t="str">
        <f t="shared" si="47"/>
        <v xml:space="preserve"> </v>
      </c>
    </row>
    <row r="1693" spans="4:12" x14ac:dyDescent="0.35">
      <c r="D1693" s="32"/>
      <c r="G1693" s="32"/>
      <c r="H1693">
        <f>COUNTIFS('Audit Raw data'!J:J,B:B,'Audit Raw data'!E:E,G:G)</f>
        <v>0</v>
      </c>
      <c r="I1693" s="44" t="str">
        <f>IFERROR((SUMIFS('Audit Raw data'!BZ:BZ,'Audit Raw data'!J:J,B:B,'Audit Raw data'!E:E,G:G)/H1693)/100,"-")</f>
        <v>-</v>
      </c>
      <c r="J1693">
        <f>COUNTIFS('Audit Raw data'!AM:AM,"Yes",'Audit Raw data'!J:J,B:B,'Audit Raw data'!E:E,'Day wise agent'!G:G)</f>
        <v>0</v>
      </c>
      <c r="K1693">
        <f>COUNTIFS('Audit Raw data'!AM:AM,"NO",'Audit Raw data'!J:J,B:B,'Audit Raw data'!E:E,'Day wise agent'!G:G)</f>
        <v>0</v>
      </c>
      <c r="L1693" s="12" t="str">
        <f t="shared" si="47"/>
        <v xml:space="preserve"> </v>
      </c>
    </row>
    <row r="1694" spans="4:12" x14ac:dyDescent="0.35">
      <c r="D1694" s="32"/>
      <c r="G1694" s="32"/>
      <c r="H1694">
        <f>COUNTIFS('Audit Raw data'!J:J,B:B,'Audit Raw data'!E:E,G:G)</f>
        <v>0</v>
      </c>
      <c r="I1694" s="44" t="str">
        <f>IFERROR((SUMIFS('Audit Raw data'!BZ:BZ,'Audit Raw data'!J:J,B:B,'Audit Raw data'!E:E,G:G)/H1694)/100,"-")</f>
        <v>-</v>
      </c>
      <c r="J1694">
        <f>COUNTIFS('Audit Raw data'!AM:AM,"Yes",'Audit Raw data'!J:J,B:B,'Audit Raw data'!E:E,'Day wise agent'!G:G)</f>
        <v>0</v>
      </c>
      <c r="K1694">
        <f>COUNTIFS('Audit Raw data'!AM:AM,"NO",'Audit Raw data'!J:J,B:B,'Audit Raw data'!E:E,'Day wise agent'!G:G)</f>
        <v>0</v>
      </c>
      <c r="L1694" s="12" t="str">
        <f t="shared" si="47"/>
        <v xml:space="preserve"> </v>
      </c>
    </row>
    <row r="1695" spans="4:12" x14ac:dyDescent="0.35">
      <c r="D1695" s="32"/>
      <c r="G1695" s="32"/>
      <c r="H1695">
        <f>COUNTIFS('Audit Raw data'!J:J,B:B,'Audit Raw data'!E:E,G:G)</f>
        <v>0</v>
      </c>
      <c r="I1695" s="44" t="str">
        <f>IFERROR((SUMIFS('Audit Raw data'!BZ:BZ,'Audit Raw data'!J:J,B:B,'Audit Raw data'!E:E,G:G)/H1695)/100,"-")</f>
        <v>-</v>
      </c>
      <c r="J1695">
        <f>COUNTIFS('Audit Raw data'!AM:AM,"Yes",'Audit Raw data'!J:J,B:B,'Audit Raw data'!E:E,'Day wise agent'!G:G)</f>
        <v>0</v>
      </c>
      <c r="K1695">
        <f>COUNTIFS('Audit Raw data'!AM:AM,"NO",'Audit Raw data'!J:J,B:B,'Audit Raw data'!E:E,'Day wise agent'!G:G)</f>
        <v>0</v>
      </c>
      <c r="L1695" s="12" t="str">
        <f t="shared" si="47"/>
        <v xml:space="preserve"> </v>
      </c>
    </row>
    <row r="1696" spans="4:12" x14ac:dyDescent="0.35">
      <c r="D1696" s="32"/>
      <c r="G1696" s="32"/>
      <c r="H1696">
        <f>COUNTIFS('Audit Raw data'!J:J,B:B,'Audit Raw data'!E:E,G:G)</f>
        <v>0</v>
      </c>
      <c r="I1696" s="44" t="str">
        <f>IFERROR((SUMIFS('Audit Raw data'!BZ:BZ,'Audit Raw data'!J:J,B:B,'Audit Raw data'!E:E,G:G)/H1696)/100,"-")</f>
        <v>-</v>
      </c>
      <c r="J1696">
        <f>COUNTIFS('Audit Raw data'!AM:AM,"Yes",'Audit Raw data'!J:J,B:B,'Audit Raw data'!E:E,'Day wise agent'!G:G)</f>
        <v>0</v>
      </c>
      <c r="K1696">
        <f>COUNTIFS('Audit Raw data'!AM:AM,"NO",'Audit Raw data'!J:J,B:B,'Audit Raw data'!E:E,'Day wise agent'!G:G)</f>
        <v>0</v>
      </c>
      <c r="L1696" s="12" t="str">
        <f t="shared" si="47"/>
        <v xml:space="preserve"> </v>
      </c>
    </row>
    <row r="1697" spans="4:12" x14ac:dyDescent="0.35">
      <c r="D1697" s="32"/>
      <c r="G1697" s="32"/>
      <c r="H1697">
        <f>COUNTIFS('Audit Raw data'!J:J,B:B,'Audit Raw data'!E:E,G:G)</f>
        <v>0</v>
      </c>
      <c r="I1697" s="44" t="str">
        <f>IFERROR((SUMIFS('Audit Raw data'!BZ:BZ,'Audit Raw data'!J:J,B:B,'Audit Raw data'!E:E,G:G)/H1697)/100,"-")</f>
        <v>-</v>
      </c>
      <c r="J1697">
        <f>COUNTIFS('Audit Raw data'!AM:AM,"Yes",'Audit Raw data'!J:J,B:B,'Audit Raw data'!E:E,'Day wise agent'!G:G)</f>
        <v>0</v>
      </c>
      <c r="K1697">
        <f>COUNTIFS('Audit Raw data'!AM:AM,"NO",'Audit Raw data'!J:J,B:B,'Audit Raw data'!E:E,'Day wise agent'!G:G)</f>
        <v>0</v>
      </c>
      <c r="L1697" s="12" t="str">
        <f t="shared" si="47"/>
        <v xml:space="preserve"> </v>
      </c>
    </row>
    <row r="1698" spans="4:12" x14ac:dyDescent="0.35">
      <c r="D1698" s="32"/>
      <c r="G1698" s="32"/>
      <c r="H1698">
        <f>COUNTIFS('Audit Raw data'!J:J,B:B,'Audit Raw data'!E:E,G:G)</f>
        <v>0</v>
      </c>
      <c r="I1698" s="44" t="str">
        <f>IFERROR((SUMIFS('Audit Raw data'!BZ:BZ,'Audit Raw data'!J:J,B:B,'Audit Raw data'!E:E,G:G)/H1698)/100,"-")</f>
        <v>-</v>
      </c>
      <c r="J1698">
        <f>COUNTIFS('Audit Raw data'!AM:AM,"Yes",'Audit Raw data'!J:J,B:B,'Audit Raw data'!E:E,'Day wise agent'!G:G)</f>
        <v>0</v>
      </c>
      <c r="K1698">
        <f>COUNTIFS('Audit Raw data'!AM:AM,"NO",'Audit Raw data'!J:J,B:B,'Audit Raw data'!E:E,'Day wise agent'!G:G)</f>
        <v>0</v>
      </c>
      <c r="L1698" s="12" t="str">
        <f t="shared" si="47"/>
        <v xml:space="preserve"> </v>
      </c>
    </row>
    <row r="1699" spans="4:12" x14ac:dyDescent="0.35">
      <c r="D1699" s="32"/>
      <c r="G1699" s="32"/>
      <c r="H1699">
        <f>COUNTIFS('Audit Raw data'!J:J,B:B,'Audit Raw data'!E:E,G:G)</f>
        <v>0</v>
      </c>
      <c r="I1699" s="44" t="str">
        <f>IFERROR((SUMIFS('Audit Raw data'!BZ:BZ,'Audit Raw data'!J:J,B:B,'Audit Raw data'!E:E,G:G)/H1699)/100,"-")</f>
        <v>-</v>
      </c>
      <c r="J1699">
        <f>COUNTIFS('Audit Raw data'!AM:AM,"Yes",'Audit Raw data'!J:J,B:B,'Audit Raw data'!E:E,'Day wise agent'!G:G)</f>
        <v>0</v>
      </c>
      <c r="K1699">
        <f>COUNTIFS('Audit Raw data'!AM:AM,"NO",'Audit Raw data'!J:J,B:B,'Audit Raw data'!E:E,'Day wise agent'!G:G)</f>
        <v>0</v>
      </c>
      <c r="L1699" s="12" t="str">
        <f t="shared" si="47"/>
        <v xml:space="preserve"> </v>
      </c>
    </row>
    <row r="1700" spans="4:12" x14ac:dyDescent="0.35">
      <c r="D1700" s="32"/>
      <c r="G1700" s="32"/>
      <c r="H1700">
        <f>COUNTIFS('Audit Raw data'!J:J,B:B,'Audit Raw data'!E:E,G:G)</f>
        <v>0</v>
      </c>
      <c r="I1700" s="44" t="str">
        <f>IFERROR((SUMIFS('Audit Raw data'!BZ:BZ,'Audit Raw data'!J:J,B:B,'Audit Raw data'!E:E,G:G)/H1700)/100,"-")</f>
        <v>-</v>
      </c>
      <c r="J1700">
        <f>COUNTIFS('Audit Raw data'!AM:AM,"Yes",'Audit Raw data'!J:J,B:B,'Audit Raw data'!E:E,'Day wise agent'!G:G)</f>
        <v>0</v>
      </c>
      <c r="K1700">
        <f>COUNTIFS('Audit Raw data'!AM:AM,"NO",'Audit Raw data'!J:J,B:B,'Audit Raw data'!E:E,'Day wise agent'!G:G)</f>
        <v>0</v>
      </c>
      <c r="L1700" s="12" t="str">
        <f t="shared" si="47"/>
        <v xml:space="preserve"> </v>
      </c>
    </row>
    <row r="1701" spans="4:12" x14ac:dyDescent="0.35">
      <c r="D1701" s="32"/>
      <c r="G1701" s="32"/>
      <c r="H1701">
        <f>COUNTIFS('Audit Raw data'!J:J,B:B,'Audit Raw data'!E:E,G:G)</f>
        <v>0</v>
      </c>
      <c r="I1701" s="44" t="str">
        <f>IFERROR((SUMIFS('Audit Raw data'!BZ:BZ,'Audit Raw data'!J:J,B:B,'Audit Raw data'!E:E,G:G)/H1701)/100,"-")</f>
        <v>-</v>
      </c>
      <c r="J1701">
        <f>COUNTIFS('Audit Raw data'!AM:AM,"Yes",'Audit Raw data'!J:J,B:B,'Audit Raw data'!E:E,'Day wise agent'!G:G)</f>
        <v>0</v>
      </c>
      <c r="K1701">
        <f>COUNTIFS('Audit Raw data'!AM:AM,"NO",'Audit Raw data'!J:J,B:B,'Audit Raw data'!E:E,'Day wise agent'!G:G)</f>
        <v>0</v>
      </c>
      <c r="L1701" s="12" t="str">
        <f t="shared" si="47"/>
        <v xml:space="preserve"> </v>
      </c>
    </row>
    <row r="1702" spans="4:12" x14ac:dyDescent="0.35">
      <c r="D1702" s="32"/>
      <c r="G1702" s="32"/>
      <c r="H1702">
        <f>COUNTIFS('Audit Raw data'!J:J,B:B,'Audit Raw data'!E:E,G:G)</f>
        <v>0</v>
      </c>
      <c r="I1702" s="44" t="str">
        <f>IFERROR((SUMIFS('Audit Raw data'!BZ:BZ,'Audit Raw data'!J:J,B:B,'Audit Raw data'!E:E,G:G)/H1702)/100,"-")</f>
        <v>-</v>
      </c>
      <c r="J1702">
        <f>COUNTIFS('Audit Raw data'!AM:AM,"Yes",'Audit Raw data'!J:J,B:B,'Audit Raw data'!E:E,'Day wise agent'!G:G)</f>
        <v>0</v>
      </c>
      <c r="K1702">
        <f>COUNTIFS('Audit Raw data'!AM:AM,"NO",'Audit Raw data'!J:J,B:B,'Audit Raw data'!E:E,'Day wise agent'!G:G)</f>
        <v>0</v>
      </c>
      <c r="L1702" s="12" t="str">
        <f t="shared" si="47"/>
        <v xml:space="preserve"> </v>
      </c>
    </row>
    <row r="1703" spans="4:12" x14ac:dyDescent="0.35">
      <c r="D1703" s="32"/>
      <c r="G1703" s="32"/>
      <c r="H1703">
        <f>COUNTIFS('Audit Raw data'!J:J,B:B,'Audit Raw data'!E:E,G:G)</f>
        <v>0</v>
      </c>
      <c r="I1703" s="44" t="str">
        <f>IFERROR((SUMIFS('Audit Raw data'!BZ:BZ,'Audit Raw data'!J:J,B:B,'Audit Raw data'!E:E,G:G)/H1703)/100,"-")</f>
        <v>-</v>
      </c>
      <c r="J1703">
        <f>COUNTIFS('Audit Raw data'!AM:AM,"Yes",'Audit Raw data'!J:J,B:B,'Audit Raw data'!E:E,'Day wise agent'!G:G)</f>
        <v>0</v>
      </c>
      <c r="K1703">
        <f>COUNTIFS('Audit Raw data'!AM:AM,"NO",'Audit Raw data'!J:J,B:B,'Audit Raw data'!E:E,'Day wise agent'!G:G)</f>
        <v>0</v>
      </c>
      <c r="L1703" s="12" t="str">
        <f t="shared" si="47"/>
        <v xml:space="preserve"> </v>
      </c>
    </row>
    <row r="1704" spans="4:12" x14ac:dyDescent="0.35">
      <c r="D1704" s="32"/>
      <c r="G1704" s="32"/>
      <c r="H1704">
        <f>COUNTIFS('Audit Raw data'!J:J,B:B,'Audit Raw data'!E:E,G:G)</f>
        <v>0</v>
      </c>
      <c r="I1704" s="44" t="str">
        <f>IFERROR((SUMIFS('Audit Raw data'!BZ:BZ,'Audit Raw data'!J:J,B:B,'Audit Raw data'!E:E,G:G)/H1704)/100,"-")</f>
        <v>-</v>
      </c>
      <c r="J1704">
        <f>COUNTIFS('Audit Raw data'!AM:AM,"Yes",'Audit Raw data'!J:J,B:B,'Audit Raw data'!E:E,'Day wise agent'!G:G)</f>
        <v>0</v>
      </c>
      <c r="K1704">
        <f>COUNTIFS('Audit Raw data'!AM:AM,"NO",'Audit Raw data'!J:J,B:B,'Audit Raw data'!E:E,'Day wise agent'!G:G)</f>
        <v>0</v>
      </c>
      <c r="L1704" s="12" t="str">
        <f t="shared" si="47"/>
        <v xml:space="preserve"> </v>
      </c>
    </row>
    <row r="1705" spans="4:12" x14ac:dyDescent="0.35">
      <c r="D1705" s="32"/>
      <c r="G1705" s="32"/>
      <c r="H1705">
        <f>COUNTIFS('Audit Raw data'!J:J,B:B,'Audit Raw data'!E:E,G:G)</f>
        <v>0</v>
      </c>
      <c r="I1705" s="44" t="str">
        <f>IFERROR((SUMIFS('Audit Raw data'!BZ:BZ,'Audit Raw data'!J:J,B:B,'Audit Raw data'!E:E,G:G)/H1705)/100,"-")</f>
        <v>-</v>
      </c>
      <c r="J1705">
        <f>COUNTIFS('Audit Raw data'!AM:AM,"Yes",'Audit Raw data'!J:J,B:B,'Audit Raw data'!E:E,'Day wise agent'!G:G)</f>
        <v>0</v>
      </c>
      <c r="K1705">
        <f>COUNTIFS('Audit Raw data'!AM:AM,"NO",'Audit Raw data'!J:J,B:B,'Audit Raw data'!E:E,'Day wise agent'!G:G)</f>
        <v>0</v>
      </c>
      <c r="L1705" s="12" t="str">
        <f t="shared" si="47"/>
        <v xml:space="preserve"> </v>
      </c>
    </row>
    <row r="1706" spans="4:12" x14ac:dyDescent="0.35">
      <c r="D1706" s="32"/>
      <c r="G1706" s="32"/>
      <c r="H1706">
        <f>COUNTIFS('Audit Raw data'!J:J,B:B,'Audit Raw data'!E:E,G:G)</f>
        <v>0</v>
      </c>
      <c r="I1706" s="44" t="str">
        <f>IFERROR((SUMIFS('Audit Raw data'!BZ:BZ,'Audit Raw data'!J:J,B:B,'Audit Raw data'!E:E,G:G)/H1706)/100,"-")</f>
        <v>-</v>
      </c>
      <c r="J1706">
        <f>COUNTIFS('Audit Raw data'!AM:AM,"Yes",'Audit Raw data'!J:J,B:B,'Audit Raw data'!E:E,'Day wise agent'!G:G)</f>
        <v>0</v>
      </c>
      <c r="K1706">
        <f>COUNTIFS('Audit Raw data'!AM:AM,"NO",'Audit Raw data'!J:J,B:B,'Audit Raw data'!E:E,'Day wise agent'!G:G)</f>
        <v>0</v>
      </c>
      <c r="L1706" s="12" t="str">
        <f t="shared" si="47"/>
        <v xml:space="preserve"> </v>
      </c>
    </row>
    <row r="1707" spans="4:12" x14ac:dyDescent="0.35">
      <c r="D1707" s="32"/>
      <c r="G1707" s="32"/>
      <c r="H1707">
        <f>COUNTIFS('Audit Raw data'!J:J,B:B,'Audit Raw data'!E:E,G:G)</f>
        <v>0</v>
      </c>
      <c r="I1707" s="44" t="str">
        <f>IFERROR((SUMIFS('Audit Raw data'!BZ:BZ,'Audit Raw data'!J:J,B:B,'Audit Raw data'!E:E,G:G)/H1707)/100,"-")</f>
        <v>-</v>
      </c>
      <c r="J1707">
        <f>COUNTIFS('Audit Raw data'!AM:AM,"Yes",'Audit Raw data'!J:J,B:B,'Audit Raw data'!E:E,'Day wise agent'!G:G)</f>
        <v>0</v>
      </c>
      <c r="K1707">
        <f>COUNTIFS('Audit Raw data'!AM:AM,"NO",'Audit Raw data'!J:J,B:B,'Audit Raw data'!E:E,'Day wise agent'!G:G)</f>
        <v>0</v>
      </c>
      <c r="L1707" s="12" t="str">
        <f t="shared" si="47"/>
        <v xml:space="preserve"> </v>
      </c>
    </row>
    <row r="1708" spans="4:12" x14ac:dyDescent="0.35">
      <c r="D1708" s="32"/>
      <c r="G1708" s="32"/>
      <c r="H1708">
        <f>COUNTIFS('Audit Raw data'!J:J,B:B,'Audit Raw data'!E:E,G:G)</f>
        <v>0</v>
      </c>
      <c r="I1708" s="44" t="str">
        <f>IFERROR((SUMIFS('Audit Raw data'!BZ:BZ,'Audit Raw data'!J:J,B:B,'Audit Raw data'!E:E,G:G)/H1708)/100,"-")</f>
        <v>-</v>
      </c>
      <c r="J1708">
        <f>COUNTIFS('Audit Raw data'!AM:AM,"Yes",'Audit Raw data'!J:J,B:B,'Audit Raw data'!E:E,'Day wise agent'!G:G)</f>
        <v>0</v>
      </c>
      <c r="K1708">
        <f>COUNTIFS('Audit Raw data'!AM:AM,"NO",'Audit Raw data'!J:J,B:B,'Audit Raw data'!E:E,'Day wise agent'!G:G)</f>
        <v>0</v>
      </c>
      <c r="L1708" s="12" t="str">
        <f t="shared" si="47"/>
        <v xml:space="preserve"> </v>
      </c>
    </row>
    <row r="1709" spans="4:12" x14ac:dyDescent="0.35">
      <c r="D1709" s="32"/>
      <c r="G1709" s="32"/>
      <c r="H1709">
        <f>COUNTIFS('Audit Raw data'!J:J,B:B,'Audit Raw data'!E:E,G:G)</f>
        <v>0</v>
      </c>
      <c r="I1709" s="44" t="str">
        <f>IFERROR((SUMIFS('Audit Raw data'!BZ:BZ,'Audit Raw data'!J:J,B:B,'Audit Raw data'!E:E,G:G)/H1709)/100,"-")</f>
        <v>-</v>
      </c>
      <c r="J1709">
        <f>COUNTIFS('Audit Raw data'!AM:AM,"Yes",'Audit Raw data'!J:J,B:B,'Audit Raw data'!E:E,'Day wise agent'!G:G)</f>
        <v>0</v>
      </c>
      <c r="K1709">
        <f>COUNTIFS('Audit Raw data'!AM:AM,"NO",'Audit Raw data'!J:J,B:B,'Audit Raw data'!E:E,'Day wise agent'!G:G)</f>
        <v>0</v>
      </c>
      <c r="L1709" s="12" t="str">
        <f t="shared" si="47"/>
        <v xml:space="preserve"> </v>
      </c>
    </row>
    <row r="1710" spans="4:12" x14ac:dyDescent="0.35">
      <c r="D1710" s="32"/>
      <c r="G1710" s="32"/>
      <c r="H1710">
        <f>COUNTIFS('Audit Raw data'!J:J,B:B,'Audit Raw data'!E:E,G:G)</f>
        <v>0</v>
      </c>
      <c r="I1710" s="44" t="str">
        <f>IFERROR((SUMIFS('Audit Raw data'!BZ:BZ,'Audit Raw data'!J:J,B:B,'Audit Raw data'!E:E,G:G)/H1710)/100,"-")</f>
        <v>-</v>
      </c>
      <c r="J1710">
        <f>COUNTIFS('Audit Raw data'!AM:AM,"Yes",'Audit Raw data'!J:J,B:B,'Audit Raw data'!E:E,'Day wise agent'!G:G)</f>
        <v>0</v>
      </c>
      <c r="K1710">
        <f>COUNTIFS('Audit Raw data'!AM:AM,"NO",'Audit Raw data'!J:J,B:B,'Audit Raw data'!E:E,'Day wise agent'!G:G)</f>
        <v>0</v>
      </c>
      <c r="L1710" s="12" t="str">
        <f t="shared" si="47"/>
        <v xml:space="preserve"> </v>
      </c>
    </row>
    <row r="1711" spans="4:12" x14ac:dyDescent="0.35">
      <c r="D1711" s="32"/>
      <c r="G1711" s="32"/>
      <c r="H1711">
        <f>COUNTIFS('Audit Raw data'!J:J,B:B,'Audit Raw data'!E:E,G:G)</f>
        <v>0</v>
      </c>
      <c r="I1711" s="44" t="str">
        <f>IFERROR((SUMIFS('Audit Raw data'!BZ:BZ,'Audit Raw data'!J:J,B:B,'Audit Raw data'!E:E,G:G)/H1711)/100,"-")</f>
        <v>-</v>
      </c>
      <c r="J1711">
        <f>COUNTIFS('Audit Raw data'!AM:AM,"Yes",'Audit Raw data'!J:J,B:B,'Audit Raw data'!E:E,'Day wise agent'!G:G)</f>
        <v>0</v>
      </c>
      <c r="K1711">
        <f>COUNTIFS('Audit Raw data'!AM:AM,"NO",'Audit Raw data'!J:J,B:B,'Audit Raw data'!E:E,'Day wise agent'!G:G)</f>
        <v>0</v>
      </c>
      <c r="L1711" s="12" t="str">
        <f t="shared" si="47"/>
        <v xml:space="preserve"> </v>
      </c>
    </row>
    <row r="1712" spans="4:12" x14ac:dyDescent="0.35">
      <c r="D1712" s="32"/>
      <c r="G1712" s="32"/>
      <c r="H1712">
        <f>COUNTIFS('Audit Raw data'!J:J,B:B,'Audit Raw data'!E:E,G:G)</f>
        <v>0</v>
      </c>
      <c r="I1712" s="44" t="str">
        <f>IFERROR((SUMIFS('Audit Raw data'!BZ:BZ,'Audit Raw data'!J:J,B:B,'Audit Raw data'!E:E,G:G)/H1712)/100,"-")</f>
        <v>-</v>
      </c>
      <c r="J1712">
        <f>COUNTIFS('Audit Raw data'!AM:AM,"Yes",'Audit Raw data'!J:J,B:B,'Audit Raw data'!E:E,'Day wise agent'!G:G)</f>
        <v>0</v>
      </c>
      <c r="K1712">
        <f>COUNTIFS('Audit Raw data'!AM:AM,"NO",'Audit Raw data'!J:J,B:B,'Audit Raw data'!E:E,'Day wise agent'!G:G)</f>
        <v>0</v>
      </c>
      <c r="L1712" s="12" t="str">
        <f t="shared" si="47"/>
        <v xml:space="preserve"> </v>
      </c>
    </row>
    <row r="1713" spans="4:12" x14ac:dyDescent="0.35">
      <c r="D1713" s="32"/>
      <c r="G1713" s="32"/>
      <c r="H1713">
        <f>COUNTIFS('Audit Raw data'!J:J,B:B,'Audit Raw data'!E:E,G:G)</f>
        <v>0</v>
      </c>
      <c r="I1713" s="44" t="str">
        <f>IFERROR((SUMIFS('Audit Raw data'!BZ:BZ,'Audit Raw data'!J:J,B:B,'Audit Raw data'!E:E,G:G)/H1713)/100,"-")</f>
        <v>-</v>
      </c>
      <c r="J1713">
        <f>COUNTIFS('Audit Raw data'!AM:AM,"Yes",'Audit Raw data'!J:J,B:B,'Audit Raw data'!E:E,'Day wise agent'!G:G)</f>
        <v>0</v>
      </c>
      <c r="K1713">
        <f>COUNTIFS('Audit Raw data'!AM:AM,"NO",'Audit Raw data'!J:J,B:B,'Audit Raw data'!E:E,'Day wise agent'!G:G)</f>
        <v>0</v>
      </c>
      <c r="L1713" s="12" t="str">
        <f t="shared" si="47"/>
        <v xml:space="preserve"> </v>
      </c>
    </row>
    <row r="1714" spans="4:12" x14ac:dyDescent="0.35">
      <c r="D1714" s="32"/>
      <c r="G1714" s="32"/>
      <c r="H1714">
        <f>COUNTIFS('Audit Raw data'!J:J,B:B,'Audit Raw data'!E:E,G:G)</f>
        <v>0</v>
      </c>
      <c r="I1714" s="44" t="str">
        <f>IFERROR((SUMIFS('Audit Raw data'!BZ:BZ,'Audit Raw data'!J:J,B:B,'Audit Raw data'!E:E,G:G)/H1714)/100,"-")</f>
        <v>-</v>
      </c>
      <c r="J1714">
        <f>COUNTIFS('Audit Raw data'!AM:AM,"Yes",'Audit Raw data'!J:J,B:B,'Audit Raw data'!E:E,'Day wise agent'!G:G)</f>
        <v>0</v>
      </c>
      <c r="K1714">
        <f>COUNTIFS('Audit Raw data'!AM:AM,"NO",'Audit Raw data'!J:J,B:B,'Audit Raw data'!E:E,'Day wise agent'!G:G)</f>
        <v>0</v>
      </c>
      <c r="L1714" s="12" t="str">
        <f t="shared" si="47"/>
        <v xml:space="preserve"> </v>
      </c>
    </row>
    <row r="1715" spans="4:12" x14ac:dyDescent="0.35">
      <c r="D1715" s="32"/>
      <c r="G1715" s="32"/>
      <c r="H1715">
        <f>COUNTIFS('Audit Raw data'!J:J,B:B,'Audit Raw data'!E:E,G:G)</f>
        <v>0</v>
      </c>
      <c r="I1715" s="44" t="str">
        <f>IFERROR((SUMIFS('Audit Raw data'!BZ:BZ,'Audit Raw data'!J:J,B:B,'Audit Raw data'!E:E,G:G)/H1715)/100,"-")</f>
        <v>-</v>
      </c>
      <c r="J1715">
        <f>COUNTIFS('Audit Raw data'!AM:AM,"Yes",'Audit Raw data'!J:J,B:B,'Audit Raw data'!E:E,'Day wise agent'!G:G)</f>
        <v>0</v>
      </c>
      <c r="K1715">
        <f>COUNTIFS('Audit Raw data'!AM:AM,"NO",'Audit Raw data'!J:J,B:B,'Audit Raw data'!E:E,'Day wise agent'!G:G)</f>
        <v>0</v>
      </c>
      <c r="L1715" s="12" t="str">
        <f t="shared" si="47"/>
        <v xml:space="preserve"> </v>
      </c>
    </row>
    <row r="1716" spans="4:12" x14ac:dyDescent="0.35">
      <c r="D1716" s="32"/>
      <c r="G1716" s="32"/>
      <c r="H1716">
        <f>COUNTIFS('Audit Raw data'!J:J,B:B,'Audit Raw data'!E:E,G:G)</f>
        <v>0</v>
      </c>
      <c r="I1716" s="44" t="str">
        <f>IFERROR((SUMIFS('Audit Raw data'!BZ:BZ,'Audit Raw data'!J:J,B:B,'Audit Raw data'!E:E,G:G)/H1716)/100,"-")</f>
        <v>-</v>
      </c>
      <c r="J1716">
        <f>COUNTIFS('Audit Raw data'!AM:AM,"Yes",'Audit Raw data'!J:J,B:B,'Audit Raw data'!E:E,'Day wise agent'!G:G)</f>
        <v>0</v>
      </c>
      <c r="K1716">
        <f>COUNTIFS('Audit Raw data'!AM:AM,"NO",'Audit Raw data'!J:J,B:B,'Audit Raw data'!E:E,'Day wise agent'!G:G)</f>
        <v>0</v>
      </c>
      <c r="L1716" s="12" t="str">
        <f t="shared" si="47"/>
        <v xml:space="preserve"> </v>
      </c>
    </row>
    <row r="1717" spans="4:12" x14ac:dyDescent="0.35">
      <c r="D1717" s="32"/>
      <c r="G1717" s="32"/>
      <c r="H1717">
        <f>COUNTIFS('Audit Raw data'!J:J,B:B,'Audit Raw data'!E:E,G:G)</f>
        <v>0</v>
      </c>
      <c r="I1717" s="44" t="str">
        <f>IFERROR((SUMIFS('Audit Raw data'!BZ:BZ,'Audit Raw data'!J:J,B:B,'Audit Raw data'!E:E,G:G)/H1717)/100,"-")</f>
        <v>-</v>
      </c>
      <c r="J1717">
        <f>COUNTIFS('Audit Raw data'!AM:AM,"Yes",'Audit Raw data'!J:J,B:B,'Audit Raw data'!E:E,'Day wise agent'!G:G)</f>
        <v>0</v>
      </c>
      <c r="K1717">
        <f>COUNTIFS('Audit Raw data'!AM:AM,"NO",'Audit Raw data'!J:J,B:B,'Audit Raw data'!E:E,'Day wise agent'!G:G)</f>
        <v>0</v>
      </c>
      <c r="L1717" s="12" t="str">
        <f t="shared" si="47"/>
        <v xml:space="preserve"> </v>
      </c>
    </row>
    <row r="1718" spans="4:12" x14ac:dyDescent="0.35">
      <c r="D1718" s="32"/>
      <c r="G1718" s="32"/>
      <c r="H1718">
        <f>COUNTIFS('Audit Raw data'!J:J,B:B,'Audit Raw data'!E:E,G:G)</f>
        <v>0</v>
      </c>
      <c r="I1718" s="44" t="str">
        <f>IFERROR((SUMIFS('Audit Raw data'!BZ:BZ,'Audit Raw data'!J:J,B:B,'Audit Raw data'!E:E,G:G)/H1718)/100,"-")</f>
        <v>-</v>
      </c>
      <c r="J1718">
        <f>COUNTIFS('Audit Raw data'!AM:AM,"Yes",'Audit Raw data'!J:J,B:B,'Audit Raw data'!E:E,'Day wise agent'!G:G)</f>
        <v>0</v>
      </c>
      <c r="K1718">
        <f>COUNTIFS('Audit Raw data'!AM:AM,"NO",'Audit Raw data'!J:J,B:B,'Audit Raw data'!E:E,'Day wise agent'!G:G)</f>
        <v>0</v>
      </c>
      <c r="L1718" s="12" t="str">
        <f t="shared" si="47"/>
        <v xml:space="preserve"> </v>
      </c>
    </row>
    <row r="1719" spans="4:12" x14ac:dyDescent="0.35">
      <c r="D1719" s="32"/>
      <c r="G1719" s="32"/>
      <c r="H1719">
        <f>COUNTIFS('Audit Raw data'!J:J,B:B,'Audit Raw data'!E:E,G:G)</f>
        <v>0</v>
      </c>
      <c r="I1719" s="44" t="str">
        <f>IFERROR((SUMIFS('Audit Raw data'!BZ:BZ,'Audit Raw data'!J:J,B:B,'Audit Raw data'!E:E,G:G)/H1719)/100,"-")</f>
        <v>-</v>
      </c>
      <c r="J1719">
        <f>COUNTIFS('Audit Raw data'!AM:AM,"Yes",'Audit Raw data'!J:J,B:B,'Audit Raw data'!E:E,'Day wise agent'!G:G)</f>
        <v>0</v>
      </c>
      <c r="K1719">
        <f>COUNTIFS('Audit Raw data'!AM:AM,"NO",'Audit Raw data'!J:J,B:B,'Audit Raw data'!E:E,'Day wise agent'!G:G)</f>
        <v>0</v>
      </c>
      <c r="L1719" s="12" t="str">
        <f t="shared" si="47"/>
        <v xml:space="preserve"> </v>
      </c>
    </row>
    <row r="1720" spans="4:12" x14ac:dyDescent="0.35">
      <c r="D1720" s="32"/>
      <c r="G1720" s="32"/>
      <c r="H1720">
        <f>COUNTIFS('Audit Raw data'!J:J,B:B,'Audit Raw data'!E:E,G:G)</f>
        <v>0</v>
      </c>
      <c r="I1720" s="44" t="str">
        <f>IFERROR((SUMIFS('Audit Raw data'!BZ:BZ,'Audit Raw data'!J:J,B:B,'Audit Raw data'!E:E,G:G)/H1720)/100,"-")</f>
        <v>-</v>
      </c>
      <c r="J1720">
        <f>COUNTIFS('Audit Raw data'!AM:AM,"Yes",'Audit Raw data'!J:J,B:B,'Audit Raw data'!E:E,'Day wise agent'!G:G)</f>
        <v>0</v>
      </c>
      <c r="K1720">
        <f>COUNTIFS('Audit Raw data'!AM:AM,"NO",'Audit Raw data'!J:J,B:B,'Audit Raw data'!E:E,'Day wise agent'!G:G)</f>
        <v>0</v>
      </c>
      <c r="L1720" s="12" t="str">
        <f t="shared" si="47"/>
        <v xml:space="preserve"> </v>
      </c>
    </row>
    <row r="1721" spans="4:12" x14ac:dyDescent="0.35">
      <c r="D1721" s="32"/>
      <c r="G1721" s="32"/>
      <c r="H1721">
        <f>COUNTIFS('Audit Raw data'!J:J,B:B,'Audit Raw data'!E:E,G:G)</f>
        <v>0</v>
      </c>
      <c r="I1721" s="44" t="str">
        <f>IFERROR((SUMIFS('Audit Raw data'!BZ:BZ,'Audit Raw data'!J:J,B:B,'Audit Raw data'!E:E,G:G)/H1721)/100,"-")</f>
        <v>-</v>
      </c>
      <c r="J1721">
        <f>COUNTIFS('Audit Raw data'!AM:AM,"Yes",'Audit Raw data'!J:J,B:B,'Audit Raw data'!E:E,'Day wise agent'!G:G)</f>
        <v>0</v>
      </c>
      <c r="K1721">
        <f>COUNTIFS('Audit Raw data'!AM:AM,"NO",'Audit Raw data'!J:J,B:B,'Audit Raw data'!E:E,'Day wise agent'!G:G)</f>
        <v>0</v>
      </c>
      <c r="L1721" s="12" t="str">
        <f t="shared" si="47"/>
        <v xml:space="preserve"> </v>
      </c>
    </row>
    <row r="1722" spans="4:12" x14ac:dyDescent="0.35">
      <c r="D1722" s="32"/>
      <c r="G1722" s="32"/>
      <c r="H1722">
        <f>COUNTIFS('Audit Raw data'!J:J,B:B,'Audit Raw data'!E:E,G:G)</f>
        <v>0</v>
      </c>
      <c r="I1722" s="44" t="str">
        <f>IFERROR((SUMIFS('Audit Raw data'!BZ:BZ,'Audit Raw data'!J:J,B:B,'Audit Raw data'!E:E,G:G)/H1722)/100,"-")</f>
        <v>-</v>
      </c>
      <c r="J1722">
        <f>COUNTIFS('Audit Raw data'!AM:AM,"Yes",'Audit Raw data'!J:J,B:B,'Audit Raw data'!E:E,'Day wise agent'!G:G)</f>
        <v>0</v>
      </c>
      <c r="K1722">
        <f>COUNTIFS('Audit Raw data'!AM:AM,"NO",'Audit Raw data'!J:J,B:B,'Audit Raw data'!E:E,'Day wise agent'!G:G)</f>
        <v>0</v>
      </c>
      <c r="L1722" s="12" t="str">
        <f t="shared" si="47"/>
        <v xml:space="preserve"> </v>
      </c>
    </row>
    <row r="1723" spans="4:12" x14ac:dyDescent="0.35">
      <c r="D1723" s="32"/>
      <c r="G1723" s="32"/>
      <c r="H1723">
        <f>COUNTIFS('Audit Raw data'!J:J,B:B,'Audit Raw data'!E:E,G:G)</f>
        <v>0</v>
      </c>
      <c r="I1723" s="44" t="str">
        <f>IFERROR((SUMIFS('Audit Raw data'!BZ:BZ,'Audit Raw data'!J:J,B:B,'Audit Raw data'!E:E,G:G)/H1723)/100,"-")</f>
        <v>-</v>
      </c>
      <c r="J1723">
        <f>COUNTIFS('Audit Raw data'!AM:AM,"Yes",'Audit Raw data'!J:J,B:B,'Audit Raw data'!E:E,'Day wise agent'!G:G)</f>
        <v>0</v>
      </c>
      <c r="K1723">
        <f>COUNTIFS('Audit Raw data'!AM:AM,"NO",'Audit Raw data'!J:J,B:B,'Audit Raw data'!E:E,'Day wise agent'!G:G)</f>
        <v>0</v>
      </c>
      <c r="L1723" s="12" t="str">
        <f t="shared" si="47"/>
        <v xml:space="preserve"> </v>
      </c>
    </row>
    <row r="1724" spans="4:12" x14ac:dyDescent="0.35">
      <c r="D1724" s="32"/>
      <c r="G1724" s="32"/>
      <c r="H1724">
        <f>COUNTIFS('Audit Raw data'!J:J,B:B,'Audit Raw data'!E:E,G:G)</f>
        <v>0</v>
      </c>
      <c r="I1724" s="44" t="str">
        <f>IFERROR((SUMIFS('Audit Raw data'!BZ:BZ,'Audit Raw data'!J:J,B:B,'Audit Raw data'!E:E,G:G)/H1724)/100,"-")</f>
        <v>-</v>
      </c>
      <c r="J1724">
        <f>COUNTIFS('Audit Raw data'!AM:AM,"Yes",'Audit Raw data'!J:J,B:B,'Audit Raw data'!E:E,'Day wise agent'!G:G)</f>
        <v>0</v>
      </c>
      <c r="K1724">
        <f>COUNTIFS('Audit Raw data'!AM:AM,"NO",'Audit Raw data'!J:J,B:B,'Audit Raw data'!E:E,'Day wise agent'!G:G)</f>
        <v>0</v>
      </c>
      <c r="L1724" s="12" t="str">
        <f t="shared" si="47"/>
        <v xml:space="preserve"> </v>
      </c>
    </row>
    <row r="1725" spans="4:12" x14ac:dyDescent="0.35">
      <c r="D1725" s="32"/>
      <c r="G1725" s="32"/>
      <c r="H1725">
        <f>COUNTIFS('Audit Raw data'!J:J,B:B,'Audit Raw data'!E:E,G:G)</f>
        <v>0</v>
      </c>
      <c r="I1725" s="44" t="str">
        <f>IFERROR((SUMIFS('Audit Raw data'!BZ:BZ,'Audit Raw data'!J:J,B:B,'Audit Raw data'!E:E,G:G)/H1725)/100,"-")</f>
        <v>-</v>
      </c>
      <c r="J1725">
        <f>COUNTIFS('Audit Raw data'!AM:AM,"Yes",'Audit Raw data'!J:J,B:B,'Audit Raw data'!E:E,'Day wise agent'!G:G)</f>
        <v>0</v>
      </c>
      <c r="K1725">
        <f>COUNTIFS('Audit Raw data'!AM:AM,"NO",'Audit Raw data'!J:J,B:B,'Audit Raw data'!E:E,'Day wise agent'!G:G)</f>
        <v>0</v>
      </c>
      <c r="L1725" s="12" t="str">
        <f t="shared" si="47"/>
        <v xml:space="preserve"> </v>
      </c>
    </row>
    <row r="1726" spans="4:12" x14ac:dyDescent="0.35">
      <c r="D1726" s="32"/>
      <c r="G1726" s="32"/>
      <c r="H1726">
        <f>COUNTIFS('Audit Raw data'!J:J,B:B,'Audit Raw data'!E:E,G:G)</f>
        <v>0</v>
      </c>
      <c r="I1726" s="44" t="str">
        <f>IFERROR((SUMIFS('Audit Raw data'!BZ:BZ,'Audit Raw data'!J:J,B:B,'Audit Raw data'!E:E,G:G)/H1726)/100,"-")</f>
        <v>-</v>
      </c>
      <c r="J1726">
        <f>COUNTIFS('Audit Raw data'!AM:AM,"Yes",'Audit Raw data'!J:J,B:B,'Audit Raw data'!E:E,'Day wise agent'!G:G)</f>
        <v>0</v>
      </c>
      <c r="K1726">
        <f>COUNTIFS('Audit Raw data'!AM:AM,"NO",'Audit Raw data'!J:J,B:B,'Audit Raw data'!E:E,'Day wise agent'!G:G)</f>
        <v>0</v>
      </c>
      <c r="L1726" s="12" t="str">
        <f t="shared" si="47"/>
        <v xml:space="preserve"> </v>
      </c>
    </row>
    <row r="1727" spans="4:12" x14ac:dyDescent="0.35">
      <c r="D1727" s="32"/>
      <c r="G1727" s="32"/>
      <c r="H1727">
        <f>COUNTIFS('Audit Raw data'!J:J,B:B,'Audit Raw data'!E:E,G:G)</f>
        <v>0</v>
      </c>
      <c r="I1727" s="44" t="str">
        <f>IFERROR((SUMIFS('Audit Raw data'!BZ:BZ,'Audit Raw data'!J:J,B:B,'Audit Raw data'!E:E,G:G)/H1727)/100,"-")</f>
        <v>-</v>
      </c>
      <c r="J1727">
        <f>COUNTIFS('Audit Raw data'!AM:AM,"Yes",'Audit Raw data'!J:J,B:B,'Audit Raw data'!E:E,'Day wise agent'!G:G)</f>
        <v>0</v>
      </c>
      <c r="K1727">
        <f>COUNTIFS('Audit Raw data'!AM:AM,"NO",'Audit Raw data'!J:J,B:B,'Audit Raw data'!E:E,'Day wise agent'!G:G)</f>
        <v>0</v>
      </c>
      <c r="L1727" s="12" t="str">
        <f t="shared" si="47"/>
        <v xml:space="preserve"> </v>
      </c>
    </row>
    <row r="1728" spans="4:12" x14ac:dyDescent="0.35">
      <c r="D1728" s="32"/>
      <c r="G1728" s="32"/>
      <c r="H1728">
        <f>COUNTIFS('Audit Raw data'!J:J,B:B,'Audit Raw data'!E:E,G:G)</f>
        <v>0</v>
      </c>
      <c r="I1728" s="44" t="str">
        <f>IFERROR((SUMIFS('Audit Raw data'!BZ:BZ,'Audit Raw data'!J:J,B:B,'Audit Raw data'!E:E,G:G)/H1728)/100,"-")</f>
        <v>-</v>
      </c>
      <c r="J1728">
        <f>COUNTIFS('Audit Raw data'!AM:AM,"Yes",'Audit Raw data'!J:J,B:B,'Audit Raw data'!E:E,'Day wise agent'!G:G)</f>
        <v>0</v>
      </c>
      <c r="K1728">
        <f>COUNTIFS('Audit Raw data'!AM:AM,"NO",'Audit Raw data'!J:J,B:B,'Audit Raw data'!E:E,'Day wise agent'!G:G)</f>
        <v>0</v>
      </c>
      <c r="L1728" s="12" t="str">
        <f t="shared" si="47"/>
        <v xml:space="preserve"> </v>
      </c>
    </row>
    <row r="1729" spans="4:12" x14ac:dyDescent="0.35">
      <c r="D1729" s="32"/>
      <c r="G1729" s="32"/>
      <c r="H1729">
        <f>COUNTIFS('Audit Raw data'!J:J,B:B,'Audit Raw data'!E:E,G:G)</f>
        <v>0</v>
      </c>
      <c r="I1729" s="44" t="str">
        <f>IFERROR((SUMIFS('Audit Raw data'!BZ:BZ,'Audit Raw data'!J:J,B:B,'Audit Raw data'!E:E,G:G)/H1729)/100,"-")</f>
        <v>-</v>
      </c>
      <c r="J1729">
        <f>COUNTIFS('Audit Raw data'!AM:AM,"Yes",'Audit Raw data'!J:J,B:B,'Audit Raw data'!E:E,'Day wise agent'!G:G)</f>
        <v>0</v>
      </c>
      <c r="K1729">
        <f>COUNTIFS('Audit Raw data'!AM:AM,"NO",'Audit Raw data'!J:J,B:B,'Audit Raw data'!E:E,'Day wise agent'!G:G)</f>
        <v>0</v>
      </c>
      <c r="L1729" s="12" t="str">
        <f t="shared" si="47"/>
        <v xml:space="preserve"> </v>
      </c>
    </row>
    <row r="1730" spans="4:12" x14ac:dyDescent="0.35">
      <c r="D1730" s="32"/>
      <c r="G1730" s="32"/>
      <c r="H1730">
        <f>COUNTIFS('Audit Raw data'!J:J,B:B,'Audit Raw data'!E:E,G:G)</f>
        <v>0</v>
      </c>
      <c r="I1730" s="44" t="str">
        <f>IFERROR((SUMIFS('Audit Raw data'!BZ:BZ,'Audit Raw data'!J:J,B:B,'Audit Raw data'!E:E,G:G)/H1730)/100,"-")</f>
        <v>-</v>
      </c>
      <c r="J1730">
        <f>COUNTIFS('Audit Raw data'!AM:AM,"Yes",'Audit Raw data'!J:J,B:B,'Audit Raw data'!E:E,'Day wise agent'!G:G)</f>
        <v>0</v>
      </c>
      <c r="K1730">
        <f>COUNTIFS('Audit Raw data'!AM:AM,"NO",'Audit Raw data'!J:J,B:B,'Audit Raw data'!E:E,'Day wise agent'!G:G)</f>
        <v>0</v>
      </c>
      <c r="L1730" s="12" t="str">
        <f t="shared" ref="L1730:L1793" si="48">IFERROR(J1730/H1730," ")</f>
        <v xml:space="preserve"> </v>
      </c>
    </row>
    <row r="1731" spans="4:12" x14ac:dyDescent="0.35">
      <c r="D1731" s="32"/>
      <c r="G1731" s="32"/>
      <c r="H1731">
        <f>COUNTIFS('Audit Raw data'!J:J,B:B,'Audit Raw data'!E:E,G:G)</f>
        <v>0</v>
      </c>
      <c r="I1731" s="44" t="str">
        <f>IFERROR((SUMIFS('Audit Raw data'!BZ:BZ,'Audit Raw data'!J:J,B:B,'Audit Raw data'!E:E,G:G)/H1731)/100,"-")</f>
        <v>-</v>
      </c>
      <c r="J1731">
        <f>COUNTIFS('Audit Raw data'!AM:AM,"Yes",'Audit Raw data'!J:J,B:B,'Audit Raw data'!E:E,'Day wise agent'!G:G)</f>
        <v>0</v>
      </c>
      <c r="K1731">
        <f>COUNTIFS('Audit Raw data'!AM:AM,"NO",'Audit Raw data'!J:J,B:B,'Audit Raw data'!E:E,'Day wise agent'!G:G)</f>
        <v>0</v>
      </c>
      <c r="L1731" s="12" t="str">
        <f t="shared" si="48"/>
        <v xml:space="preserve"> </v>
      </c>
    </row>
    <row r="1732" spans="4:12" x14ac:dyDescent="0.35">
      <c r="D1732" s="32"/>
      <c r="G1732" s="32"/>
      <c r="H1732">
        <f>COUNTIFS('Audit Raw data'!J:J,B:B,'Audit Raw data'!E:E,G:G)</f>
        <v>0</v>
      </c>
      <c r="I1732" s="44" t="str">
        <f>IFERROR((SUMIFS('Audit Raw data'!BZ:BZ,'Audit Raw data'!J:J,B:B,'Audit Raw data'!E:E,G:G)/H1732)/100,"-")</f>
        <v>-</v>
      </c>
      <c r="J1732">
        <f>COUNTIFS('Audit Raw data'!AM:AM,"Yes",'Audit Raw data'!J:J,B:B,'Audit Raw data'!E:E,'Day wise agent'!G:G)</f>
        <v>0</v>
      </c>
      <c r="K1732">
        <f>COUNTIFS('Audit Raw data'!AM:AM,"NO",'Audit Raw data'!J:J,B:B,'Audit Raw data'!E:E,'Day wise agent'!G:G)</f>
        <v>0</v>
      </c>
      <c r="L1732" s="12" t="str">
        <f t="shared" si="48"/>
        <v xml:space="preserve"> </v>
      </c>
    </row>
    <row r="1733" spans="4:12" x14ac:dyDescent="0.35">
      <c r="D1733" s="32"/>
      <c r="G1733" s="32"/>
      <c r="H1733">
        <f>COUNTIFS('Audit Raw data'!J:J,B:B,'Audit Raw data'!E:E,G:G)</f>
        <v>0</v>
      </c>
      <c r="I1733" s="44" t="str">
        <f>IFERROR((SUMIFS('Audit Raw data'!BZ:BZ,'Audit Raw data'!J:J,B:B,'Audit Raw data'!E:E,G:G)/H1733)/100,"-")</f>
        <v>-</v>
      </c>
      <c r="J1733">
        <f>COUNTIFS('Audit Raw data'!AM:AM,"Yes",'Audit Raw data'!J:J,B:B,'Audit Raw data'!E:E,'Day wise agent'!G:G)</f>
        <v>0</v>
      </c>
      <c r="K1733">
        <f>COUNTIFS('Audit Raw data'!AM:AM,"NO",'Audit Raw data'!J:J,B:B,'Audit Raw data'!E:E,'Day wise agent'!G:G)</f>
        <v>0</v>
      </c>
      <c r="L1733" s="12" t="str">
        <f t="shared" si="48"/>
        <v xml:space="preserve"> </v>
      </c>
    </row>
    <row r="1734" spans="4:12" x14ac:dyDescent="0.35">
      <c r="D1734" s="32"/>
      <c r="G1734" s="32"/>
      <c r="H1734">
        <f>COUNTIFS('Audit Raw data'!J:J,B:B,'Audit Raw data'!E:E,G:G)</f>
        <v>0</v>
      </c>
      <c r="I1734" s="44" t="str">
        <f>IFERROR((SUMIFS('Audit Raw data'!BZ:BZ,'Audit Raw data'!J:J,B:B,'Audit Raw data'!E:E,G:G)/H1734)/100,"-")</f>
        <v>-</v>
      </c>
      <c r="J1734">
        <f>COUNTIFS('Audit Raw data'!AM:AM,"Yes",'Audit Raw data'!J:J,B:B,'Audit Raw data'!E:E,'Day wise agent'!G:G)</f>
        <v>0</v>
      </c>
      <c r="K1734">
        <f>COUNTIFS('Audit Raw data'!AM:AM,"NO",'Audit Raw data'!J:J,B:B,'Audit Raw data'!E:E,'Day wise agent'!G:G)</f>
        <v>0</v>
      </c>
      <c r="L1734" s="12" t="str">
        <f t="shared" si="48"/>
        <v xml:space="preserve"> </v>
      </c>
    </row>
    <row r="1735" spans="4:12" x14ac:dyDescent="0.35">
      <c r="D1735" s="32"/>
      <c r="G1735" s="32"/>
      <c r="H1735">
        <f>COUNTIFS('Audit Raw data'!J:J,B:B,'Audit Raw data'!E:E,G:G)</f>
        <v>0</v>
      </c>
      <c r="I1735" s="44" t="str">
        <f>IFERROR((SUMIFS('Audit Raw data'!BZ:BZ,'Audit Raw data'!J:J,B:B,'Audit Raw data'!E:E,G:G)/H1735)/100,"-")</f>
        <v>-</v>
      </c>
      <c r="J1735">
        <f>COUNTIFS('Audit Raw data'!AM:AM,"Yes",'Audit Raw data'!J:J,B:B,'Audit Raw data'!E:E,'Day wise agent'!G:G)</f>
        <v>0</v>
      </c>
      <c r="K1735">
        <f>COUNTIFS('Audit Raw data'!AM:AM,"NO",'Audit Raw data'!J:J,B:B,'Audit Raw data'!E:E,'Day wise agent'!G:G)</f>
        <v>0</v>
      </c>
      <c r="L1735" s="12" t="str">
        <f t="shared" si="48"/>
        <v xml:space="preserve"> </v>
      </c>
    </row>
    <row r="1736" spans="4:12" x14ac:dyDescent="0.35">
      <c r="D1736" s="32"/>
      <c r="G1736" s="32"/>
      <c r="H1736">
        <f>COUNTIFS('Audit Raw data'!J:J,B:B,'Audit Raw data'!E:E,G:G)</f>
        <v>0</v>
      </c>
      <c r="I1736" s="44" t="str">
        <f>IFERROR((SUMIFS('Audit Raw data'!BZ:BZ,'Audit Raw data'!J:J,B:B,'Audit Raw data'!E:E,G:G)/H1736)/100,"-")</f>
        <v>-</v>
      </c>
      <c r="J1736">
        <f>COUNTIFS('Audit Raw data'!AM:AM,"Yes",'Audit Raw data'!J:J,B:B,'Audit Raw data'!E:E,'Day wise agent'!G:G)</f>
        <v>0</v>
      </c>
      <c r="K1736">
        <f>COUNTIFS('Audit Raw data'!AM:AM,"NO",'Audit Raw data'!J:J,B:B,'Audit Raw data'!E:E,'Day wise agent'!G:G)</f>
        <v>0</v>
      </c>
      <c r="L1736" s="12" t="str">
        <f t="shared" si="48"/>
        <v xml:space="preserve"> </v>
      </c>
    </row>
    <row r="1737" spans="4:12" x14ac:dyDescent="0.35">
      <c r="D1737" s="32"/>
      <c r="G1737" s="32"/>
      <c r="H1737">
        <f>COUNTIFS('Audit Raw data'!J:J,B:B,'Audit Raw data'!E:E,G:G)</f>
        <v>0</v>
      </c>
      <c r="I1737" s="44" t="str">
        <f>IFERROR((SUMIFS('Audit Raw data'!BZ:BZ,'Audit Raw data'!J:J,B:B,'Audit Raw data'!E:E,G:G)/H1737)/100,"-")</f>
        <v>-</v>
      </c>
      <c r="J1737">
        <f>COUNTIFS('Audit Raw data'!AM:AM,"Yes",'Audit Raw data'!J:J,B:B,'Audit Raw data'!E:E,'Day wise agent'!G:G)</f>
        <v>0</v>
      </c>
      <c r="K1737">
        <f>COUNTIFS('Audit Raw data'!AM:AM,"NO",'Audit Raw data'!J:J,B:B,'Audit Raw data'!E:E,'Day wise agent'!G:G)</f>
        <v>0</v>
      </c>
      <c r="L1737" s="12" t="str">
        <f t="shared" si="48"/>
        <v xml:space="preserve"> </v>
      </c>
    </row>
    <row r="1738" spans="4:12" x14ac:dyDescent="0.35">
      <c r="D1738" s="32"/>
      <c r="G1738" s="32"/>
      <c r="H1738">
        <f>COUNTIFS('Audit Raw data'!J:J,B:B,'Audit Raw data'!E:E,G:G)</f>
        <v>0</v>
      </c>
      <c r="I1738" s="44" t="str">
        <f>IFERROR((SUMIFS('Audit Raw data'!BZ:BZ,'Audit Raw data'!J:J,B:B,'Audit Raw data'!E:E,G:G)/H1738)/100,"-")</f>
        <v>-</v>
      </c>
      <c r="J1738">
        <f>COUNTIFS('Audit Raw data'!AM:AM,"Yes",'Audit Raw data'!J:J,B:B,'Audit Raw data'!E:E,'Day wise agent'!G:G)</f>
        <v>0</v>
      </c>
      <c r="K1738">
        <f>COUNTIFS('Audit Raw data'!AM:AM,"NO",'Audit Raw data'!J:J,B:B,'Audit Raw data'!E:E,'Day wise agent'!G:G)</f>
        <v>0</v>
      </c>
      <c r="L1738" s="12" t="str">
        <f t="shared" si="48"/>
        <v xml:space="preserve"> </v>
      </c>
    </row>
    <row r="1739" spans="4:12" x14ac:dyDescent="0.35">
      <c r="D1739" s="32"/>
      <c r="G1739" s="32"/>
      <c r="H1739">
        <f>COUNTIFS('Audit Raw data'!J:J,B:B,'Audit Raw data'!E:E,G:G)</f>
        <v>0</v>
      </c>
      <c r="I1739" s="44" t="str">
        <f>IFERROR((SUMIFS('Audit Raw data'!BZ:BZ,'Audit Raw data'!J:J,B:B,'Audit Raw data'!E:E,G:G)/H1739)/100,"-")</f>
        <v>-</v>
      </c>
      <c r="J1739">
        <f>COUNTIFS('Audit Raw data'!AM:AM,"Yes",'Audit Raw data'!J:J,B:B,'Audit Raw data'!E:E,'Day wise agent'!G:G)</f>
        <v>0</v>
      </c>
      <c r="K1739">
        <f>COUNTIFS('Audit Raw data'!AM:AM,"NO",'Audit Raw data'!J:J,B:B,'Audit Raw data'!E:E,'Day wise agent'!G:G)</f>
        <v>0</v>
      </c>
      <c r="L1739" s="12" t="str">
        <f t="shared" si="48"/>
        <v xml:space="preserve"> </v>
      </c>
    </row>
    <row r="1740" spans="4:12" x14ac:dyDescent="0.35">
      <c r="D1740" s="32"/>
      <c r="G1740" s="32"/>
      <c r="H1740">
        <f>COUNTIFS('Audit Raw data'!J:J,B:B,'Audit Raw data'!E:E,G:G)</f>
        <v>0</v>
      </c>
      <c r="I1740" s="44" t="str">
        <f>IFERROR((SUMIFS('Audit Raw data'!BZ:BZ,'Audit Raw data'!J:J,B:B,'Audit Raw data'!E:E,G:G)/H1740)/100,"-")</f>
        <v>-</v>
      </c>
      <c r="J1740">
        <f>COUNTIFS('Audit Raw data'!AM:AM,"Yes",'Audit Raw data'!J:J,B:B,'Audit Raw data'!E:E,'Day wise agent'!G:G)</f>
        <v>0</v>
      </c>
      <c r="K1740">
        <f>COUNTIFS('Audit Raw data'!AM:AM,"NO",'Audit Raw data'!J:J,B:B,'Audit Raw data'!E:E,'Day wise agent'!G:G)</f>
        <v>0</v>
      </c>
      <c r="L1740" s="12" t="str">
        <f t="shared" si="48"/>
        <v xml:space="preserve"> </v>
      </c>
    </row>
    <row r="1741" spans="4:12" x14ac:dyDescent="0.35">
      <c r="D1741" s="32"/>
      <c r="G1741" s="32"/>
      <c r="H1741">
        <f>COUNTIFS('Audit Raw data'!J:J,B:B,'Audit Raw data'!E:E,G:G)</f>
        <v>0</v>
      </c>
      <c r="I1741" s="44" t="str">
        <f>IFERROR((SUMIFS('Audit Raw data'!BZ:BZ,'Audit Raw data'!J:J,B:B,'Audit Raw data'!E:E,G:G)/H1741)/100,"-")</f>
        <v>-</v>
      </c>
      <c r="J1741">
        <f>COUNTIFS('Audit Raw data'!AM:AM,"Yes",'Audit Raw data'!J:J,B:B,'Audit Raw data'!E:E,'Day wise agent'!G:G)</f>
        <v>0</v>
      </c>
      <c r="K1741">
        <f>COUNTIFS('Audit Raw data'!AM:AM,"NO",'Audit Raw data'!J:J,B:B,'Audit Raw data'!E:E,'Day wise agent'!G:G)</f>
        <v>0</v>
      </c>
      <c r="L1741" s="12" t="str">
        <f t="shared" si="48"/>
        <v xml:space="preserve"> </v>
      </c>
    </row>
    <row r="1742" spans="4:12" x14ac:dyDescent="0.35">
      <c r="D1742" s="32"/>
      <c r="G1742" s="32"/>
      <c r="H1742">
        <f>COUNTIFS('Audit Raw data'!J:J,B:B,'Audit Raw data'!E:E,G:G)</f>
        <v>0</v>
      </c>
      <c r="I1742" s="44" t="str">
        <f>IFERROR((SUMIFS('Audit Raw data'!BZ:BZ,'Audit Raw data'!J:J,B:B,'Audit Raw data'!E:E,G:G)/H1742)/100,"-")</f>
        <v>-</v>
      </c>
      <c r="J1742">
        <f>COUNTIFS('Audit Raw data'!AM:AM,"Yes",'Audit Raw data'!J:J,B:B,'Audit Raw data'!E:E,'Day wise agent'!G:G)</f>
        <v>0</v>
      </c>
      <c r="K1742">
        <f>COUNTIFS('Audit Raw data'!AM:AM,"NO",'Audit Raw data'!J:J,B:B,'Audit Raw data'!E:E,'Day wise agent'!G:G)</f>
        <v>0</v>
      </c>
      <c r="L1742" s="12" t="str">
        <f t="shared" si="48"/>
        <v xml:space="preserve"> </v>
      </c>
    </row>
    <row r="1743" spans="4:12" x14ac:dyDescent="0.35">
      <c r="D1743" s="32"/>
      <c r="G1743" s="32"/>
      <c r="H1743">
        <f>COUNTIFS('Audit Raw data'!J:J,B:B,'Audit Raw data'!E:E,G:G)</f>
        <v>0</v>
      </c>
      <c r="I1743" s="44" t="str">
        <f>IFERROR((SUMIFS('Audit Raw data'!BZ:BZ,'Audit Raw data'!J:J,B:B,'Audit Raw data'!E:E,G:G)/H1743)/100,"-")</f>
        <v>-</v>
      </c>
      <c r="J1743">
        <f>COUNTIFS('Audit Raw data'!AM:AM,"Yes",'Audit Raw data'!J:J,B:B,'Audit Raw data'!E:E,'Day wise agent'!G:G)</f>
        <v>0</v>
      </c>
      <c r="K1743">
        <f>COUNTIFS('Audit Raw data'!AM:AM,"NO",'Audit Raw data'!J:J,B:B,'Audit Raw data'!E:E,'Day wise agent'!G:G)</f>
        <v>0</v>
      </c>
      <c r="L1743" s="12" t="str">
        <f t="shared" si="48"/>
        <v xml:space="preserve"> </v>
      </c>
    </row>
    <row r="1744" spans="4:12" x14ac:dyDescent="0.35">
      <c r="D1744" s="32"/>
      <c r="G1744" s="32"/>
      <c r="H1744">
        <f>COUNTIFS('Audit Raw data'!J:J,B:B,'Audit Raw data'!E:E,G:G)</f>
        <v>0</v>
      </c>
      <c r="I1744" s="44" t="str">
        <f>IFERROR((SUMIFS('Audit Raw data'!BZ:BZ,'Audit Raw data'!J:J,B:B,'Audit Raw data'!E:E,G:G)/H1744)/100,"-")</f>
        <v>-</v>
      </c>
      <c r="J1744">
        <f>COUNTIFS('Audit Raw data'!AM:AM,"Yes",'Audit Raw data'!J:J,B:B,'Audit Raw data'!E:E,'Day wise agent'!G:G)</f>
        <v>0</v>
      </c>
      <c r="K1744">
        <f>COUNTIFS('Audit Raw data'!AM:AM,"NO",'Audit Raw data'!J:J,B:B,'Audit Raw data'!E:E,'Day wise agent'!G:G)</f>
        <v>0</v>
      </c>
      <c r="L1744" s="12" t="str">
        <f t="shared" si="48"/>
        <v xml:space="preserve"> </v>
      </c>
    </row>
    <row r="1745" spans="4:12" x14ac:dyDescent="0.35">
      <c r="D1745" s="32"/>
      <c r="G1745" s="32"/>
      <c r="H1745">
        <f>COUNTIFS('Audit Raw data'!J:J,B:B,'Audit Raw data'!E:E,G:G)</f>
        <v>0</v>
      </c>
      <c r="I1745" s="44" t="str">
        <f>IFERROR((SUMIFS('Audit Raw data'!BZ:BZ,'Audit Raw data'!J:J,B:B,'Audit Raw data'!E:E,G:G)/H1745)/100,"-")</f>
        <v>-</v>
      </c>
      <c r="J1745">
        <f>COUNTIFS('Audit Raw data'!AM:AM,"Yes",'Audit Raw data'!J:J,B:B,'Audit Raw data'!E:E,'Day wise agent'!G:G)</f>
        <v>0</v>
      </c>
      <c r="K1745">
        <f>COUNTIFS('Audit Raw data'!AM:AM,"NO",'Audit Raw data'!J:J,B:B,'Audit Raw data'!E:E,'Day wise agent'!G:G)</f>
        <v>0</v>
      </c>
      <c r="L1745" s="12" t="str">
        <f t="shared" si="48"/>
        <v xml:space="preserve"> </v>
      </c>
    </row>
    <row r="1746" spans="4:12" x14ac:dyDescent="0.35">
      <c r="D1746" s="32"/>
      <c r="G1746" s="32"/>
      <c r="H1746">
        <f>COUNTIFS('Audit Raw data'!J:J,B:B,'Audit Raw data'!E:E,G:G)</f>
        <v>0</v>
      </c>
      <c r="I1746" s="44" t="str">
        <f>IFERROR((SUMIFS('Audit Raw data'!BZ:BZ,'Audit Raw data'!J:J,B:B,'Audit Raw data'!E:E,G:G)/H1746)/100,"-")</f>
        <v>-</v>
      </c>
      <c r="J1746">
        <f>COUNTIFS('Audit Raw data'!AM:AM,"Yes",'Audit Raw data'!J:J,B:B,'Audit Raw data'!E:E,'Day wise agent'!G:G)</f>
        <v>0</v>
      </c>
      <c r="K1746">
        <f>COUNTIFS('Audit Raw data'!AM:AM,"NO",'Audit Raw data'!J:J,B:B,'Audit Raw data'!E:E,'Day wise agent'!G:G)</f>
        <v>0</v>
      </c>
      <c r="L1746" s="12" t="str">
        <f t="shared" si="48"/>
        <v xml:space="preserve"> </v>
      </c>
    </row>
    <row r="1747" spans="4:12" x14ac:dyDescent="0.35">
      <c r="D1747" s="32"/>
      <c r="G1747" s="32"/>
      <c r="H1747">
        <f>COUNTIFS('Audit Raw data'!J:J,B:B,'Audit Raw data'!E:E,G:G)</f>
        <v>0</v>
      </c>
      <c r="I1747" s="44" t="str">
        <f>IFERROR((SUMIFS('Audit Raw data'!BZ:BZ,'Audit Raw data'!J:J,B:B,'Audit Raw data'!E:E,G:G)/H1747)/100,"-")</f>
        <v>-</v>
      </c>
      <c r="J1747">
        <f>COUNTIFS('Audit Raw data'!AM:AM,"Yes",'Audit Raw data'!J:J,B:B,'Audit Raw data'!E:E,'Day wise agent'!G:G)</f>
        <v>0</v>
      </c>
      <c r="K1747">
        <f>COUNTIFS('Audit Raw data'!AM:AM,"NO",'Audit Raw data'!J:J,B:B,'Audit Raw data'!E:E,'Day wise agent'!G:G)</f>
        <v>0</v>
      </c>
      <c r="L1747" s="12" t="str">
        <f t="shared" si="48"/>
        <v xml:space="preserve"> </v>
      </c>
    </row>
    <row r="1748" spans="4:12" x14ac:dyDescent="0.35">
      <c r="D1748" s="32"/>
      <c r="G1748" s="32"/>
      <c r="H1748">
        <f>COUNTIFS('Audit Raw data'!J:J,B:B,'Audit Raw data'!E:E,G:G)</f>
        <v>0</v>
      </c>
      <c r="I1748" s="44" t="str">
        <f>IFERROR((SUMIFS('Audit Raw data'!BZ:BZ,'Audit Raw data'!J:J,B:B,'Audit Raw data'!E:E,G:G)/H1748)/100,"-")</f>
        <v>-</v>
      </c>
      <c r="J1748">
        <f>COUNTIFS('Audit Raw data'!AM:AM,"Yes",'Audit Raw data'!J:J,B:B,'Audit Raw data'!E:E,'Day wise agent'!G:G)</f>
        <v>0</v>
      </c>
      <c r="K1748">
        <f>COUNTIFS('Audit Raw data'!AM:AM,"NO",'Audit Raw data'!J:J,B:B,'Audit Raw data'!E:E,'Day wise agent'!G:G)</f>
        <v>0</v>
      </c>
      <c r="L1748" s="12" t="str">
        <f t="shared" si="48"/>
        <v xml:space="preserve"> </v>
      </c>
    </row>
    <row r="1749" spans="4:12" x14ac:dyDescent="0.35">
      <c r="D1749" s="32"/>
      <c r="G1749" s="32"/>
      <c r="H1749">
        <f>COUNTIFS('Audit Raw data'!J:J,B:B,'Audit Raw data'!E:E,G:G)</f>
        <v>0</v>
      </c>
      <c r="I1749" s="44" t="str">
        <f>IFERROR((SUMIFS('Audit Raw data'!BZ:BZ,'Audit Raw data'!J:J,B:B,'Audit Raw data'!E:E,G:G)/H1749)/100,"-")</f>
        <v>-</v>
      </c>
      <c r="J1749">
        <f>COUNTIFS('Audit Raw data'!AM:AM,"Yes",'Audit Raw data'!J:J,B:B,'Audit Raw data'!E:E,'Day wise agent'!G:G)</f>
        <v>0</v>
      </c>
      <c r="K1749">
        <f>COUNTIFS('Audit Raw data'!AM:AM,"NO",'Audit Raw data'!J:J,B:B,'Audit Raw data'!E:E,'Day wise agent'!G:G)</f>
        <v>0</v>
      </c>
      <c r="L1749" s="12" t="str">
        <f t="shared" si="48"/>
        <v xml:space="preserve"> </v>
      </c>
    </row>
    <row r="1750" spans="4:12" x14ac:dyDescent="0.35">
      <c r="D1750" s="32"/>
      <c r="G1750" s="32"/>
      <c r="H1750">
        <f>COUNTIFS('Audit Raw data'!J:J,B:B,'Audit Raw data'!E:E,G:G)</f>
        <v>0</v>
      </c>
      <c r="I1750" s="44" t="str">
        <f>IFERROR((SUMIFS('Audit Raw data'!BZ:BZ,'Audit Raw data'!J:J,B:B,'Audit Raw data'!E:E,G:G)/H1750)/100,"-")</f>
        <v>-</v>
      </c>
      <c r="J1750">
        <f>COUNTIFS('Audit Raw data'!AM:AM,"Yes",'Audit Raw data'!J:J,B:B,'Audit Raw data'!E:E,'Day wise agent'!G:G)</f>
        <v>0</v>
      </c>
      <c r="K1750">
        <f>COUNTIFS('Audit Raw data'!AM:AM,"NO",'Audit Raw data'!J:J,B:B,'Audit Raw data'!E:E,'Day wise agent'!G:G)</f>
        <v>0</v>
      </c>
      <c r="L1750" s="12" t="str">
        <f t="shared" si="48"/>
        <v xml:space="preserve"> </v>
      </c>
    </row>
    <row r="1751" spans="4:12" x14ac:dyDescent="0.35">
      <c r="D1751" s="32"/>
      <c r="G1751" s="32"/>
      <c r="H1751">
        <f>COUNTIFS('Audit Raw data'!J:J,B:B,'Audit Raw data'!E:E,G:G)</f>
        <v>0</v>
      </c>
      <c r="I1751" s="44" t="str">
        <f>IFERROR((SUMIFS('Audit Raw data'!BZ:BZ,'Audit Raw data'!J:J,B:B,'Audit Raw data'!E:E,G:G)/H1751)/100,"-")</f>
        <v>-</v>
      </c>
      <c r="J1751">
        <f>COUNTIFS('Audit Raw data'!AM:AM,"Yes",'Audit Raw data'!J:J,B:B,'Audit Raw data'!E:E,'Day wise agent'!G:G)</f>
        <v>0</v>
      </c>
      <c r="K1751">
        <f>COUNTIFS('Audit Raw data'!AM:AM,"NO",'Audit Raw data'!J:J,B:B,'Audit Raw data'!E:E,'Day wise agent'!G:G)</f>
        <v>0</v>
      </c>
      <c r="L1751" s="12" t="str">
        <f t="shared" si="48"/>
        <v xml:space="preserve"> </v>
      </c>
    </row>
    <row r="1752" spans="4:12" x14ac:dyDescent="0.35">
      <c r="D1752" s="32"/>
      <c r="G1752" s="32"/>
      <c r="H1752">
        <f>COUNTIFS('Audit Raw data'!J:J,B:B,'Audit Raw data'!E:E,G:G)</f>
        <v>0</v>
      </c>
      <c r="I1752" s="44" t="str">
        <f>IFERROR((SUMIFS('Audit Raw data'!BZ:BZ,'Audit Raw data'!J:J,B:B,'Audit Raw data'!E:E,G:G)/H1752)/100,"-")</f>
        <v>-</v>
      </c>
      <c r="J1752">
        <f>COUNTIFS('Audit Raw data'!AM:AM,"Yes",'Audit Raw data'!J:J,B:B,'Audit Raw data'!E:E,'Day wise agent'!G:G)</f>
        <v>0</v>
      </c>
      <c r="K1752">
        <f>COUNTIFS('Audit Raw data'!AM:AM,"NO",'Audit Raw data'!J:J,B:B,'Audit Raw data'!E:E,'Day wise agent'!G:G)</f>
        <v>0</v>
      </c>
      <c r="L1752" s="12" t="str">
        <f t="shared" si="48"/>
        <v xml:space="preserve"> </v>
      </c>
    </row>
    <row r="1753" spans="4:12" x14ac:dyDescent="0.35">
      <c r="D1753" s="32"/>
      <c r="G1753" s="32"/>
      <c r="H1753">
        <f>COUNTIFS('Audit Raw data'!J:J,B:B,'Audit Raw data'!E:E,G:G)</f>
        <v>0</v>
      </c>
      <c r="I1753" s="44" t="str">
        <f>IFERROR((SUMIFS('Audit Raw data'!BZ:BZ,'Audit Raw data'!J:J,B:B,'Audit Raw data'!E:E,G:G)/H1753)/100,"-")</f>
        <v>-</v>
      </c>
      <c r="J1753">
        <f>COUNTIFS('Audit Raw data'!AM:AM,"Yes",'Audit Raw data'!J:J,B:B,'Audit Raw data'!E:E,'Day wise agent'!G:G)</f>
        <v>0</v>
      </c>
      <c r="K1753">
        <f>COUNTIFS('Audit Raw data'!AM:AM,"NO",'Audit Raw data'!J:J,B:B,'Audit Raw data'!E:E,'Day wise agent'!G:G)</f>
        <v>0</v>
      </c>
      <c r="L1753" s="12" t="str">
        <f t="shared" si="48"/>
        <v xml:space="preserve"> </v>
      </c>
    </row>
    <row r="1754" spans="4:12" x14ac:dyDescent="0.35">
      <c r="D1754" s="32"/>
      <c r="G1754" s="32"/>
      <c r="H1754">
        <f>COUNTIFS('Audit Raw data'!J:J,B:B,'Audit Raw data'!E:E,G:G)</f>
        <v>0</v>
      </c>
      <c r="I1754" s="44" t="str">
        <f>IFERROR((SUMIFS('Audit Raw data'!BZ:BZ,'Audit Raw data'!J:J,B:B,'Audit Raw data'!E:E,G:G)/H1754)/100,"-")</f>
        <v>-</v>
      </c>
      <c r="J1754">
        <f>COUNTIFS('Audit Raw data'!AM:AM,"Yes",'Audit Raw data'!J:J,B:B,'Audit Raw data'!E:E,'Day wise agent'!G:G)</f>
        <v>0</v>
      </c>
      <c r="K1754">
        <f>COUNTIFS('Audit Raw data'!AM:AM,"NO",'Audit Raw data'!J:J,B:B,'Audit Raw data'!E:E,'Day wise agent'!G:G)</f>
        <v>0</v>
      </c>
      <c r="L1754" s="12" t="str">
        <f t="shared" si="48"/>
        <v xml:space="preserve"> </v>
      </c>
    </row>
    <row r="1755" spans="4:12" x14ac:dyDescent="0.35">
      <c r="D1755" s="32"/>
      <c r="G1755" s="32"/>
      <c r="H1755">
        <f>COUNTIFS('Audit Raw data'!J:J,B:B,'Audit Raw data'!E:E,G:G)</f>
        <v>0</v>
      </c>
      <c r="I1755" s="44" t="str">
        <f>IFERROR((SUMIFS('Audit Raw data'!BZ:BZ,'Audit Raw data'!J:J,B:B,'Audit Raw data'!E:E,G:G)/H1755)/100,"-")</f>
        <v>-</v>
      </c>
      <c r="J1755">
        <f>COUNTIFS('Audit Raw data'!AM:AM,"Yes",'Audit Raw data'!J:J,B:B,'Audit Raw data'!E:E,'Day wise agent'!G:G)</f>
        <v>0</v>
      </c>
      <c r="K1755">
        <f>COUNTIFS('Audit Raw data'!AM:AM,"NO",'Audit Raw data'!J:J,B:B,'Audit Raw data'!E:E,'Day wise agent'!G:G)</f>
        <v>0</v>
      </c>
      <c r="L1755" s="12" t="str">
        <f t="shared" si="48"/>
        <v xml:space="preserve"> </v>
      </c>
    </row>
    <row r="1756" spans="4:12" x14ac:dyDescent="0.35">
      <c r="D1756" s="32"/>
      <c r="G1756" s="32"/>
      <c r="H1756">
        <f>COUNTIFS('Audit Raw data'!J:J,B:B,'Audit Raw data'!E:E,G:G)</f>
        <v>0</v>
      </c>
      <c r="I1756" s="44" t="str">
        <f>IFERROR((SUMIFS('Audit Raw data'!BZ:BZ,'Audit Raw data'!J:J,B:B,'Audit Raw data'!E:E,G:G)/H1756)/100,"-")</f>
        <v>-</v>
      </c>
      <c r="J1756">
        <f>COUNTIFS('Audit Raw data'!AM:AM,"Yes",'Audit Raw data'!J:J,B:B,'Audit Raw data'!E:E,'Day wise agent'!G:G)</f>
        <v>0</v>
      </c>
      <c r="K1756">
        <f>COUNTIFS('Audit Raw data'!AM:AM,"NO",'Audit Raw data'!J:J,B:B,'Audit Raw data'!E:E,'Day wise agent'!G:G)</f>
        <v>0</v>
      </c>
      <c r="L1756" s="12" t="str">
        <f t="shared" si="48"/>
        <v xml:space="preserve"> </v>
      </c>
    </row>
    <row r="1757" spans="4:12" x14ac:dyDescent="0.35">
      <c r="D1757" s="32"/>
      <c r="G1757" s="32"/>
      <c r="H1757">
        <f>COUNTIFS('Audit Raw data'!J:J,B:B,'Audit Raw data'!E:E,G:G)</f>
        <v>0</v>
      </c>
      <c r="I1757" s="44" t="str">
        <f>IFERROR((SUMIFS('Audit Raw data'!BZ:BZ,'Audit Raw data'!J:J,B:B,'Audit Raw data'!E:E,G:G)/H1757)/100,"-")</f>
        <v>-</v>
      </c>
      <c r="J1757">
        <f>COUNTIFS('Audit Raw data'!AM:AM,"Yes",'Audit Raw data'!J:J,B:B,'Audit Raw data'!E:E,'Day wise agent'!G:G)</f>
        <v>0</v>
      </c>
      <c r="K1757">
        <f>COUNTIFS('Audit Raw data'!AM:AM,"NO",'Audit Raw data'!J:J,B:B,'Audit Raw data'!E:E,'Day wise agent'!G:G)</f>
        <v>0</v>
      </c>
      <c r="L1757" s="12" t="str">
        <f t="shared" si="48"/>
        <v xml:space="preserve"> </v>
      </c>
    </row>
    <row r="1758" spans="4:12" x14ac:dyDescent="0.35">
      <c r="D1758" s="32"/>
      <c r="G1758" s="32"/>
      <c r="H1758">
        <f>COUNTIFS('Audit Raw data'!J:J,B:B,'Audit Raw data'!E:E,G:G)</f>
        <v>0</v>
      </c>
      <c r="I1758" s="44" t="str">
        <f>IFERROR((SUMIFS('Audit Raw data'!BZ:BZ,'Audit Raw data'!J:J,B:B,'Audit Raw data'!E:E,G:G)/H1758)/100,"-")</f>
        <v>-</v>
      </c>
      <c r="J1758">
        <f>COUNTIFS('Audit Raw data'!AM:AM,"Yes",'Audit Raw data'!J:J,B:B,'Audit Raw data'!E:E,'Day wise agent'!G:G)</f>
        <v>0</v>
      </c>
      <c r="K1758">
        <f>COUNTIFS('Audit Raw data'!AM:AM,"NO",'Audit Raw data'!J:J,B:B,'Audit Raw data'!E:E,'Day wise agent'!G:G)</f>
        <v>0</v>
      </c>
      <c r="L1758" s="12" t="str">
        <f t="shared" si="48"/>
        <v xml:space="preserve"> </v>
      </c>
    </row>
    <row r="1759" spans="4:12" x14ac:dyDescent="0.35">
      <c r="D1759" s="32"/>
      <c r="G1759" s="32"/>
      <c r="H1759">
        <f>COUNTIFS('Audit Raw data'!J:J,B:B,'Audit Raw data'!E:E,G:G)</f>
        <v>0</v>
      </c>
      <c r="I1759" s="44" t="str">
        <f>IFERROR((SUMIFS('Audit Raw data'!BZ:BZ,'Audit Raw data'!J:J,B:B,'Audit Raw data'!E:E,G:G)/H1759)/100,"-")</f>
        <v>-</v>
      </c>
      <c r="J1759">
        <f>COUNTIFS('Audit Raw data'!AM:AM,"Yes",'Audit Raw data'!J:J,B:B,'Audit Raw data'!E:E,'Day wise agent'!G:G)</f>
        <v>0</v>
      </c>
      <c r="K1759">
        <f>COUNTIFS('Audit Raw data'!AM:AM,"NO",'Audit Raw data'!J:J,B:B,'Audit Raw data'!E:E,'Day wise agent'!G:G)</f>
        <v>0</v>
      </c>
      <c r="L1759" s="12" t="str">
        <f t="shared" si="48"/>
        <v xml:space="preserve"> </v>
      </c>
    </row>
    <row r="1760" spans="4:12" x14ac:dyDescent="0.35">
      <c r="D1760" s="32"/>
      <c r="G1760" s="32"/>
      <c r="H1760">
        <f>COUNTIFS('Audit Raw data'!J:J,B:B,'Audit Raw data'!E:E,G:G)</f>
        <v>0</v>
      </c>
      <c r="I1760" s="44" t="str">
        <f>IFERROR((SUMIFS('Audit Raw data'!BZ:BZ,'Audit Raw data'!J:J,B:B,'Audit Raw data'!E:E,G:G)/H1760)/100,"-")</f>
        <v>-</v>
      </c>
      <c r="J1760">
        <f>COUNTIFS('Audit Raw data'!AM:AM,"Yes",'Audit Raw data'!J:J,B:B,'Audit Raw data'!E:E,'Day wise agent'!G:G)</f>
        <v>0</v>
      </c>
      <c r="K1760">
        <f>COUNTIFS('Audit Raw data'!AM:AM,"NO",'Audit Raw data'!J:J,B:B,'Audit Raw data'!E:E,'Day wise agent'!G:G)</f>
        <v>0</v>
      </c>
      <c r="L1760" s="12" t="str">
        <f t="shared" si="48"/>
        <v xml:space="preserve"> </v>
      </c>
    </row>
    <row r="1761" spans="4:12" x14ac:dyDescent="0.35">
      <c r="D1761" s="32"/>
      <c r="G1761" s="32"/>
      <c r="H1761">
        <f>COUNTIFS('Audit Raw data'!J:J,B:B,'Audit Raw data'!E:E,G:G)</f>
        <v>0</v>
      </c>
      <c r="I1761" s="44" t="str">
        <f>IFERROR((SUMIFS('Audit Raw data'!BZ:BZ,'Audit Raw data'!J:J,B:B,'Audit Raw data'!E:E,G:G)/H1761)/100,"-")</f>
        <v>-</v>
      </c>
      <c r="J1761">
        <f>COUNTIFS('Audit Raw data'!AM:AM,"Yes",'Audit Raw data'!J:J,B:B,'Audit Raw data'!E:E,'Day wise agent'!G:G)</f>
        <v>0</v>
      </c>
      <c r="K1761">
        <f>COUNTIFS('Audit Raw data'!AM:AM,"NO",'Audit Raw data'!J:J,B:B,'Audit Raw data'!E:E,'Day wise agent'!G:G)</f>
        <v>0</v>
      </c>
      <c r="L1761" s="12" t="str">
        <f t="shared" si="48"/>
        <v xml:space="preserve"> </v>
      </c>
    </row>
    <row r="1762" spans="4:12" x14ac:dyDescent="0.35">
      <c r="D1762" s="32"/>
      <c r="G1762" s="32"/>
      <c r="H1762">
        <f>COUNTIFS('Audit Raw data'!J:J,B:B,'Audit Raw data'!E:E,G:G)</f>
        <v>0</v>
      </c>
      <c r="I1762" s="44" t="str">
        <f>IFERROR((SUMIFS('Audit Raw data'!BZ:BZ,'Audit Raw data'!J:J,B:B,'Audit Raw data'!E:E,G:G)/H1762)/100,"-")</f>
        <v>-</v>
      </c>
      <c r="J1762">
        <f>COUNTIFS('Audit Raw data'!AM:AM,"Yes",'Audit Raw data'!J:J,B:B,'Audit Raw data'!E:E,'Day wise agent'!G:G)</f>
        <v>0</v>
      </c>
      <c r="K1762">
        <f>COUNTIFS('Audit Raw data'!AM:AM,"NO",'Audit Raw data'!J:J,B:B,'Audit Raw data'!E:E,'Day wise agent'!G:G)</f>
        <v>0</v>
      </c>
      <c r="L1762" s="12" t="str">
        <f t="shared" si="48"/>
        <v xml:space="preserve"> </v>
      </c>
    </row>
    <row r="1763" spans="4:12" x14ac:dyDescent="0.35">
      <c r="D1763" s="32"/>
      <c r="G1763" s="32"/>
      <c r="H1763">
        <f>COUNTIFS('Audit Raw data'!J:J,B:B,'Audit Raw data'!E:E,G:G)</f>
        <v>0</v>
      </c>
      <c r="I1763" s="44" t="str">
        <f>IFERROR((SUMIFS('Audit Raw data'!BZ:BZ,'Audit Raw data'!J:J,B:B,'Audit Raw data'!E:E,G:G)/H1763)/100,"-")</f>
        <v>-</v>
      </c>
      <c r="J1763">
        <f>COUNTIFS('Audit Raw data'!AM:AM,"Yes",'Audit Raw data'!J:J,B:B,'Audit Raw data'!E:E,'Day wise agent'!G:G)</f>
        <v>0</v>
      </c>
      <c r="K1763">
        <f>COUNTIFS('Audit Raw data'!AM:AM,"NO",'Audit Raw data'!J:J,B:B,'Audit Raw data'!E:E,'Day wise agent'!G:G)</f>
        <v>0</v>
      </c>
      <c r="L1763" s="12" t="str">
        <f t="shared" si="48"/>
        <v xml:space="preserve"> </v>
      </c>
    </row>
    <row r="1764" spans="4:12" x14ac:dyDescent="0.35">
      <c r="D1764" s="32"/>
      <c r="G1764" s="32"/>
      <c r="H1764">
        <f>COUNTIFS('Audit Raw data'!J:J,B:B,'Audit Raw data'!E:E,G:G)</f>
        <v>0</v>
      </c>
      <c r="I1764" s="44" t="str">
        <f>IFERROR((SUMIFS('Audit Raw data'!BZ:BZ,'Audit Raw data'!J:J,B:B,'Audit Raw data'!E:E,G:G)/H1764)/100,"-")</f>
        <v>-</v>
      </c>
      <c r="J1764">
        <f>COUNTIFS('Audit Raw data'!AM:AM,"Yes",'Audit Raw data'!J:J,B:B,'Audit Raw data'!E:E,'Day wise agent'!G:G)</f>
        <v>0</v>
      </c>
      <c r="K1764">
        <f>COUNTIFS('Audit Raw data'!AM:AM,"NO",'Audit Raw data'!J:J,B:B,'Audit Raw data'!E:E,'Day wise agent'!G:G)</f>
        <v>0</v>
      </c>
      <c r="L1764" s="12" t="str">
        <f t="shared" si="48"/>
        <v xml:space="preserve"> </v>
      </c>
    </row>
    <row r="1765" spans="4:12" x14ac:dyDescent="0.35">
      <c r="D1765" s="32"/>
      <c r="G1765" s="32"/>
      <c r="H1765">
        <f>COUNTIFS('Audit Raw data'!J:J,B:B,'Audit Raw data'!E:E,G:G)</f>
        <v>0</v>
      </c>
      <c r="I1765" s="44" t="str">
        <f>IFERROR((SUMIFS('Audit Raw data'!BZ:BZ,'Audit Raw data'!J:J,B:B,'Audit Raw data'!E:E,G:G)/H1765)/100,"-")</f>
        <v>-</v>
      </c>
      <c r="J1765">
        <f>COUNTIFS('Audit Raw data'!AM:AM,"Yes",'Audit Raw data'!J:J,B:B,'Audit Raw data'!E:E,'Day wise agent'!G:G)</f>
        <v>0</v>
      </c>
      <c r="K1765">
        <f>COUNTIFS('Audit Raw data'!AM:AM,"NO",'Audit Raw data'!J:J,B:B,'Audit Raw data'!E:E,'Day wise agent'!G:G)</f>
        <v>0</v>
      </c>
      <c r="L1765" s="12" t="str">
        <f t="shared" si="48"/>
        <v xml:space="preserve"> </v>
      </c>
    </row>
    <row r="1766" spans="4:12" x14ac:dyDescent="0.35">
      <c r="D1766" s="32"/>
      <c r="G1766" s="32"/>
      <c r="H1766">
        <f>COUNTIFS('Audit Raw data'!J:J,B:B,'Audit Raw data'!E:E,G:G)</f>
        <v>0</v>
      </c>
      <c r="I1766" s="44" t="str">
        <f>IFERROR((SUMIFS('Audit Raw data'!BZ:BZ,'Audit Raw data'!J:J,B:B,'Audit Raw data'!E:E,G:G)/H1766)/100,"-")</f>
        <v>-</v>
      </c>
      <c r="J1766">
        <f>COUNTIFS('Audit Raw data'!AM:AM,"Yes",'Audit Raw data'!J:J,B:B,'Audit Raw data'!E:E,'Day wise agent'!G:G)</f>
        <v>0</v>
      </c>
      <c r="K1766">
        <f>COUNTIFS('Audit Raw data'!AM:AM,"NO",'Audit Raw data'!J:J,B:B,'Audit Raw data'!E:E,'Day wise agent'!G:G)</f>
        <v>0</v>
      </c>
      <c r="L1766" s="12" t="str">
        <f t="shared" si="48"/>
        <v xml:space="preserve"> </v>
      </c>
    </row>
    <row r="1767" spans="4:12" x14ac:dyDescent="0.35">
      <c r="D1767" s="32"/>
      <c r="G1767" s="32"/>
      <c r="H1767">
        <f>COUNTIFS('Audit Raw data'!J:J,B:B,'Audit Raw data'!E:E,G:G)</f>
        <v>0</v>
      </c>
      <c r="I1767" s="44" t="str">
        <f>IFERROR((SUMIFS('Audit Raw data'!BZ:BZ,'Audit Raw data'!J:J,B:B,'Audit Raw data'!E:E,G:G)/H1767)/100,"-")</f>
        <v>-</v>
      </c>
      <c r="J1767">
        <f>COUNTIFS('Audit Raw data'!AM:AM,"Yes",'Audit Raw data'!J:J,B:B,'Audit Raw data'!E:E,'Day wise agent'!G:G)</f>
        <v>0</v>
      </c>
      <c r="K1767">
        <f>COUNTIFS('Audit Raw data'!AM:AM,"NO",'Audit Raw data'!J:J,B:B,'Audit Raw data'!E:E,'Day wise agent'!G:G)</f>
        <v>0</v>
      </c>
      <c r="L1767" s="12" t="str">
        <f t="shared" si="48"/>
        <v xml:space="preserve"> </v>
      </c>
    </row>
    <row r="1768" spans="4:12" x14ac:dyDescent="0.35">
      <c r="D1768" s="32"/>
      <c r="G1768" s="32"/>
      <c r="H1768">
        <f>COUNTIFS('Audit Raw data'!J:J,B:B,'Audit Raw data'!E:E,G:G)</f>
        <v>0</v>
      </c>
      <c r="I1768" s="44" t="str">
        <f>IFERROR((SUMIFS('Audit Raw data'!BZ:BZ,'Audit Raw data'!J:J,B:B,'Audit Raw data'!E:E,G:G)/H1768)/100,"-")</f>
        <v>-</v>
      </c>
      <c r="J1768">
        <f>COUNTIFS('Audit Raw data'!AM:AM,"Yes",'Audit Raw data'!J:J,B:B,'Audit Raw data'!E:E,'Day wise agent'!G:G)</f>
        <v>0</v>
      </c>
      <c r="K1768">
        <f>COUNTIFS('Audit Raw data'!AM:AM,"NO",'Audit Raw data'!J:J,B:B,'Audit Raw data'!E:E,'Day wise agent'!G:G)</f>
        <v>0</v>
      </c>
      <c r="L1768" s="12" t="str">
        <f t="shared" si="48"/>
        <v xml:space="preserve"> </v>
      </c>
    </row>
    <row r="1769" spans="4:12" x14ac:dyDescent="0.35">
      <c r="D1769" s="32"/>
      <c r="G1769" s="32"/>
      <c r="H1769">
        <f>COUNTIFS('Audit Raw data'!J:J,B:B,'Audit Raw data'!E:E,G:G)</f>
        <v>0</v>
      </c>
      <c r="I1769" s="44" t="str">
        <f>IFERROR((SUMIFS('Audit Raw data'!BZ:BZ,'Audit Raw data'!J:J,B:B,'Audit Raw data'!E:E,G:G)/H1769)/100,"-")</f>
        <v>-</v>
      </c>
      <c r="J1769">
        <f>COUNTIFS('Audit Raw data'!AM:AM,"Yes",'Audit Raw data'!J:J,B:B,'Audit Raw data'!E:E,'Day wise agent'!G:G)</f>
        <v>0</v>
      </c>
      <c r="K1769">
        <f>COUNTIFS('Audit Raw data'!AM:AM,"NO",'Audit Raw data'!J:J,B:B,'Audit Raw data'!E:E,'Day wise agent'!G:G)</f>
        <v>0</v>
      </c>
      <c r="L1769" s="12" t="str">
        <f t="shared" si="48"/>
        <v xml:space="preserve"> </v>
      </c>
    </row>
    <row r="1770" spans="4:12" x14ac:dyDescent="0.35">
      <c r="D1770" s="32"/>
      <c r="G1770" s="32"/>
      <c r="H1770">
        <f>COUNTIFS('Audit Raw data'!J:J,B:B,'Audit Raw data'!E:E,G:G)</f>
        <v>0</v>
      </c>
      <c r="I1770" s="44" t="str">
        <f>IFERROR((SUMIFS('Audit Raw data'!BZ:BZ,'Audit Raw data'!J:J,B:B,'Audit Raw data'!E:E,G:G)/H1770)/100,"-")</f>
        <v>-</v>
      </c>
      <c r="J1770">
        <f>COUNTIFS('Audit Raw data'!AM:AM,"Yes",'Audit Raw data'!J:J,B:B,'Audit Raw data'!E:E,'Day wise agent'!G:G)</f>
        <v>0</v>
      </c>
      <c r="K1770">
        <f>COUNTIFS('Audit Raw data'!AM:AM,"NO",'Audit Raw data'!J:J,B:B,'Audit Raw data'!E:E,'Day wise agent'!G:G)</f>
        <v>0</v>
      </c>
      <c r="L1770" s="12" t="str">
        <f t="shared" si="48"/>
        <v xml:space="preserve"> </v>
      </c>
    </row>
    <row r="1771" spans="4:12" x14ac:dyDescent="0.35">
      <c r="D1771" s="32"/>
      <c r="G1771" s="32"/>
      <c r="H1771">
        <f>COUNTIFS('Audit Raw data'!J:J,B:B,'Audit Raw data'!E:E,G:G)</f>
        <v>0</v>
      </c>
      <c r="I1771" s="44" t="str">
        <f>IFERROR((SUMIFS('Audit Raw data'!BZ:BZ,'Audit Raw data'!J:J,B:B,'Audit Raw data'!E:E,G:G)/H1771)/100,"-")</f>
        <v>-</v>
      </c>
      <c r="J1771">
        <f>COUNTIFS('Audit Raw data'!AM:AM,"Yes",'Audit Raw data'!J:J,B:B,'Audit Raw data'!E:E,'Day wise agent'!G:G)</f>
        <v>0</v>
      </c>
      <c r="K1771">
        <f>COUNTIFS('Audit Raw data'!AM:AM,"NO",'Audit Raw data'!J:J,B:B,'Audit Raw data'!E:E,'Day wise agent'!G:G)</f>
        <v>0</v>
      </c>
      <c r="L1771" s="12" t="str">
        <f t="shared" si="48"/>
        <v xml:space="preserve"> </v>
      </c>
    </row>
    <row r="1772" spans="4:12" x14ac:dyDescent="0.35">
      <c r="D1772" s="32"/>
      <c r="G1772" s="32"/>
      <c r="H1772">
        <f>COUNTIFS('Audit Raw data'!J:J,B:B,'Audit Raw data'!E:E,G:G)</f>
        <v>0</v>
      </c>
      <c r="I1772" s="44" t="str">
        <f>IFERROR((SUMIFS('Audit Raw data'!BZ:BZ,'Audit Raw data'!J:J,B:B,'Audit Raw data'!E:E,G:G)/H1772)/100,"-")</f>
        <v>-</v>
      </c>
      <c r="J1772">
        <f>COUNTIFS('Audit Raw data'!AM:AM,"Yes",'Audit Raw data'!J:J,B:B,'Audit Raw data'!E:E,'Day wise agent'!G:G)</f>
        <v>0</v>
      </c>
      <c r="K1772">
        <f>COUNTIFS('Audit Raw data'!AM:AM,"NO",'Audit Raw data'!J:J,B:B,'Audit Raw data'!E:E,'Day wise agent'!G:G)</f>
        <v>0</v>
      </c>
      <c r="L1772" s="12" t="str">
        <f t="shared" si="48"/>
        <v xml:space="preserve"> </v>
      </c>
    </row>
    <row r="1773" spans="4:12" x14ac:dyDescent="0.35">
      <c r="D1773" s="32"/>
      <c r="G1773" s="32"/>
      <c r="H1773">
        <f>COUNTIFS('Audit Raw data'!J:J,B:B,'Audit Raw data'!E:E,G:G)</f>
        <v>0</v>
      </c>
      <c r="I1773" s="44" t="str">
        <f>IFERROR((SUMIFS('Audit Raw data'!BZ:BZ,'Audit Raw data'!J:J,B:B,'Audit Raw data'!E:E,G:G)/H1773)/100,"-")</f>
        <v>-</v>
      </c>
      <c r="J1773">
        <f>COUNTIFS('Audit Raw data'!AM:AM,"Yes",'Audit Raw data'!J:J,B:B,'Audit Raw data'!E:E,'Day wise agent'!G:G)</f>
        <v>0</v>
      </c>
      <c r="K1773">
        <f>COUNTIFS('Audit Raw data'!AM:AM,"NO",'Audit Raw data'!J:J,B:B,'Audit Raw data'!E:E,'Day wise agent'!G:G)</f>
        <v>0</v>
      </c>
      <c r="L1773" s="12" t="str">
        <f t="shared" si="48"/>
        <v xml:space="preserve"> </v>
      </c>
    </row>
    <row r="1774" spans="4:12" x14ac:dyDescent="0.35">
      <c r="D1774" s="32"/>
      <c r="G1774" s="32"/>
      <c r="H1774">
        <f>COUNTIFS('Audit Raw data'!J:J,B:B,'Audit Raw data'!E:E,G:G)</f>
        <v>0</v>
      </c>
      <c r="I1774" s="44" t="str">
        <f>IFERROR((SUMIFS('Audit Raw data'!BZ:BZ,'Audit Raw data'!J:J,B:B,'Audit Raw data'!E:E,G:G)/H1774)/100,"-")</f>
        <v>-</v>
      </c>
      <c r="J1774">
        <f>COUNTIFS('Audit Raw data'!AM:AM,"Yes",'Audit Raw data'!J:J,B:B,'Audit Raw data'!E:E,'Day wise agent'!G:G)</f>
        <v>0</v>
      </c>
      <c r="K1774">
        <f>COUNTIFS('Audit Raw data'!AM:AM,"NO",'Audit Raw data'!J:J,B:B,'Audit Raw data'!E:E,'Day wise agent'!G:G)</f>
        <v>0</v>
      </c>
      <c r="L1774" s="12" t="str">
        <f t="shared" si="48"/>
        <v xml:space="preserve"> </v>
      </c>
    </row>
    <row r="1775" spans="4:12" x14ac:dyDescent="0.35">
      <c r="D1775" s="32"/>
      <c r="G1775" s="32"/>
      <c r="H1775">
        <f>COUNTIFS('Audit Raw data'!J:J,B:B,'Audit Raw data'!E:E,G:G)</f>
        <v>0</v>
      </c>
      <c r="I1775" s="44" t="str">
        <f>IFERROR((SUMIFS('Audit Raw data'!BZ:BZ,'Audit Raw data'!J:J,B:B,'Audit Raw data'!E:E,G:G)/H1775)/100,"-")</f>
        <v>-</v>
      </c>
      <c r="J1775">
        <f>COUNTIFS('Audit Raw data'!AM:AM,"Yes",'Audit Raw data'!J:J,B:B,'Audit Raw data'!E:E,'Day wise agent'!G:G)</f>
        <v>0</v>
      </c>
      <c r="K1775">
        <f>COUNTIFS('Audit Raw data'!AM:AM,"NO",'Audit Raw data'!J:J,B:B,'Audit Raw data'!E:E,'Day wise agent'!G:G)</f>
        <v>0</v>
      </c>
      <c r="L1775" s="12" t="str">
        <f t="shared" si="48"/>
        <v xml:space="preserve"> </v>
      </c>
    </row>
    <row r="1776" spans="4:12" x14ac:dyDescent="0.35">
      <c r="D1776" s="32"/>
      <c r="G1776" s="32"/>
      <c r="H1776">
        <f>COUNTIFS('Audit Raw data'!J:J,B:B,'Audit Raw data'!E:E,G:G)</f>
        <v>0</v>
      </c>
      <c r="I1776" s="44" t="str">
        <f>IFERROR((SUMIFS('Audit Raw data'!BZ:BZ,'Audit Raw data'!J:J,B:B,'Audit Raw data'!E:E,G:G)/H1776)/100,"-")</f>
        <v>-</v>
      </c>
      <c r="J1776">
        <f>COUNTIFS('Audit Raw data'!AM:AM,"Yes",'Audit Raw data'!J:J,B:B,'Audit Raw data'!E:E,'Day wise agent'!G:G)</f>
        <v>0</v>
      </c>
      <c r="K1776">
        <f>COUNTIFS('Audit Raw data'!AM:AM,"NO",'Audit Raw data'!J:J,B:B,'Audit Raw data'!E:E,'Day wise agent'!G:G)</f>
        <v>0</v>
      </c>
      <c r="L1776" s="12" t="str">
        <f t="shared" si="48"/>
        <v xml:space="preserve"> </v>
      </c>
    </row>
    <row r="1777" spans="4:12" x14ac:dyDescent="0.35">
      <c r="D1777" s="32"/>
      <c r="G1777" s="32"/>
      <c r="H1777">
        <f>COUNTIFS('Audit Raw data'!J:J,B:B,'Audit Raw data'!E:E,G:G)</f>
        <v>0</v>
      </c>
      <c r="I1777" s="44" t="str">
        <f>IFERROR((SUMIFS('Audit Raw data'!BZ:BZ,'Audit Raw data'!J:J,B:B,'Audit Raw data'!E:E,G:G)/H1777)/100,"-")</f>
        <v>-</v>
      </c>
      <c r="J1777">
        <f>COUNTIFS('Audit Raw data'!AM:AM,"Yes",'Audit Raw data'!J:J,B:B,'Audit Raw data'!E:E,'Day wise agent'!G:G)</f>
        <v>0</v>
      </c>
      <c r="K1777">
        <f>COUNTIFS('Audit Raw data'!AM:AM,"NO",'Audit Raw data'!J:J,B:B,'Audit Raw data'!E:E,'Day wise agent'!G:G)</f>
        <v>0</v>
      </c>
      <c r="L1777" s="12" t="str">
        <f t="shared" si="48"/>
        <v xml:space="preserve"> </v>
      </c>
    </row>
    <row r="1778" spans="4:12" x14ac:dyDescent="0.35">
      <c r="D1778" s="32"/>
      <c r="G1778" s="32"/>
      <c r="H1778">
        <f>COUNTIFS('Audit Raw data'!J:J,B:B,'Audit Raw data'!E:E,G:G)</f>
        <v>0</v>
      </c>
      <c r="I1778" s="44" t="str">
        <f>IFERROR((SUMIFS('Audit Raw data'!BZ:BZ,'Audit Raw data'!J:J,B:B,'Audit Raw data'!E:E,G:G)/H1778)/100,"-")</f>
        <v>-</v>
      </c>
      <c r="J1778">
        <f>COUNTIFS('Audit Raw data'!AM:AM,"Yes",'Audit Raw data'!J:J,B:B,'Audit Raw data'!E:E,'Day wise agent'!G:G)</f>
        <v>0</v>
      </c>
      <c r="K1778">
        <f>COUNTIFS('Audit Raw data'!AM:AM,"NO",'Audit Raw data'!J:J,B:B,'Audit Raw data'!E:E,'Day wise agent'!G:G)</f>
        <v>0</v>
      </c>
      <c r="L1778" s="12" t="str">
        <f t="shared" si="48"/>
        <v xml:space="preserve"> </v>
      </c>
    </row>
    <row r="1779" spans="4:12" x14ac:dyDescent="0.35">
      <c r="D1779" s="32"/>
      <c r="G1779" s="32"/>
      <c r="H1779">
        <f>COUNTIFS('Audit Raw data'!J:J,B:B,'Audit Raw data'!E:E,G:G)</f>
        <v>0</v>
      </c>
      <c r="I1779" s="44" t="str">
        <f>IFERROR((SUMIFS('Audit Raw data'!BZ:BZ,'Audit Raw data'!J:J,B:B,'Audit Raw data'!E:E,G:G)/H1779)/100,"-")</f>
        <v>-</v>
      </c>
      <c r="J1779">
        <f>COUNTIFS('Audit Raw data'!AM:AM,"Yes",'Audit Raw data'!J:J,B:B,'Audit Raw data'!E:E,'Day wise agent'!G:G)</f>
        <v>0</v>
      </c>
      <c r="K1779">
        <f>COUNTIFS('Audit Raw data'!AM:AM,"NO",'Audit Raw data'!J:J,B:B,'Audit Raw data'!E:E,'Day wise agent'!G:G)</f>
        <v>0</v>
      </c>
      <c r="L1779" s="12" t="str">
        <f t="shared" si="48"/>
        <v xml:space="preserve"> </v>
      </c>
    </row>
    <row r="1780" spans="4:12" x14ac:dyDescent="0.35">
      <c r="D1780" s="32"/>
      <c r="G1780" s="32"/>
      <c r="H1780">
        <f>COUNTIFS('Audit Raw data'!J:J,B:B,'Audit Raw data'!E:E,G:G)</f>
        <v>0</v>
      </c>
      <c r="I1780" s="44" t="str">
        <f>IFERROR((SUMIFS('Audit Raw data'!BZ:BZ,'Audit Raw data'!J:J,B:B,'Audit Raw data'!E:E,G:G)/H1780)/100,"-")</f>
        <v>-</v>
      </c>
      <c r="J1780">
        <f>COUNTIFS('Audit Raw data'!AM:AM,"Yes",'Audit Raw data'!J:J,B:B,'Audit Raw data'!E:E,'Day wise agent'!G:G)</f>
        <v>0</v>
      </c>
      <c r="K1780">
        <f>COUNTIFS('Audit Raw data'!AM:AM,"NO",'Audit Raw data'!J:J,B:B,'Audit Raw data'!E:E,'Day wise agent'!G:G)</f>
        <v>0</v>
      </c>
      <c r="L1780" s="12" t="str">
        <f t="shared" si="48"/>
        <v xml:space="preserve"> </v>
      </c>
    </row>
    <row r="1781" spans="4:12" x14ac:dyDescent="0.35">
      <c r="D1781" s="32"/>
      <c r="G1781" s="32"/>
      <c r="H1781">
        <f>COUNTIFS('Audit Raw data'!J:J,B:B,'Audit Raw data'!E:E,G:G)</f>
        <v>0</v>
      </c>
      <c r="I1781" s="44" t="str">
        <f>IFERROR((SUMIFS('Audit Raw data'!BZ:BZ,'Audit Raw data'!J:J,B:B,'Audit Raw data'!E:E,G:G)/H1781)/100,"-")</f>
        <v>-</v>
      </c>
      <c r="J1781">
        <f>COUNTIFS('Audit Raw data'!AM:AM,"Yes",'Audit Raw data'!J:J,B:B,'Audit Raw data'!E:E,'Day wise agent'!G:G)</f>
        <v>0</v>
      </c>
      <c r="K1781">
        <f>COUNTIFS('Audit Raw data'!AM:AM,"NO",'Audit Raw data'!J:J,B:B,'Audit Raw data'!E:E,'Day wise agent'!G:G)</f>
        <v>0</v>
      </c>
      <c r="L1781" s="12" t="str">
        <f t="shared" si="48"/>
        <v xml:space="preserve"> </v>
      </c>
    </row>
    <row r="1782" spans="4:12" x14ac:dyDescent="0.35">
      <c r="D1782" s="32"/>
      <c r="G1782" s="32"/>
      <c r="H1782">
        <f>COUNTIFS('Audit Raw data'!J:J,B:B,'Audit Raw data'!E:E,G:G)</f>
        <v>0</v>
      </c>
      <c r="I1782" s="44" t="str">
        <f>IFERROR((SUMIFS('Audit Raw data'!BZ:BZ,'Audit Raw data'!J:J,B:B,'Audit Raw data'!E:E,G:G)/H1782)/100,"-")</f>
        <v>-</v>
      </c>
      <c r="J1782">
        <f>COUNTIFS('Audit Raw data'!AM:AM,"Yes",'Audit Raw data'!J:J,B:B,'Audit Raw data'!E:E,'Day wise agent'!G:G)</f>
        <v>0</v>
      </c>
      <c r="K1782">
        <f>COUNTIFS('Audit Raw data'!AM:AM,"NO",'Audit Raw data'!J:J,B:B,'Audit Raw data'!E:E,'Day wise agent'!G:G)</f>
        <v>0</v>
      </c>
      <c r="L1782" s="12" t="str">
        <f t="shared" si="48"/>
        <v xml:space="preserve"> </v>
      </c>
    </row>
    <row r="1783" spans="4:12" x14ac:dyDescent="0.35">
      <c r="D1783" s="32"/>
      <c r="G1783" s="32"/>
      <c r="H1783">
        <f>COUNTIFS('Audit Raw data'!J:J,B:B,'Audit Raw data'!E:E,G:G)</f>
        <v>0</v>
      </c>
      <c r="I1783" s="44" t="str">
        <f>IFERROR((SUMIFS('Audit Raw data'!BZ:BZ,'Audit Raw data'!J:J,B:B,'Audit Raw data'!E:E,G:G)/H1783)/100,"-")</f>
        <v>-</v>
      </c>
      <c r="J1783">
        <f>COUNTIFS('Audit Raw data'!AM:AM,"Yes",'Audit Raw data'!J:J,B:B,'Audit Raw data'!E:E,'Day wise agent'!G:G)</f>
        <v>0</v>
      </c>
      <c r="K1783">
        <f>COUNTIFS('Audit Raw data'!AM:AM,"NO",'Audit Raw data'!J:J,B:B,'Audit Raw data'!E:E,'Day wise agent'!G:G)</f>
        <v>0</v>
      </c>
      <c r="L1783" s="12" t="str">
        <f t="shared" si="48"/>
        <v xml:space="preserve"> </v>
      </c>
    </row>
    <row r="1784" spans="4:12" x14ac:dyDescent="0.35">
      <c r="D1784" s="32"/>
      <c r="G1784" s="32"/>
      <c r="H1784">
        <f>COUNTIFS('Audit Raw data'!J:J,B:B,'Audit Raw data'!E:E,G:G)</f>
        <v>0</v>
      </c>
      <c r="I1784" s="44" t="str">
        <f>IFERROR((SUMIFS('Audit Raw data'!BZ:BZ,'Audit Raw data'!J:J,B:B,'Audit Raw data'!E:E,G:G)/H1784)/100,"-")</f>
        <v>-</v>
      </c>
      <c r="J1784">
        <f>COUNTIFS('Audit Raw data'!AM:AM,"Yes",'Audit Raw data'!J:J,B:B,'Audit Raw data'!E:E,'Day wise agent'!G:G)</f>
        <v>0</v>
      </c>
      <c r="K1784">
        <f>COUNTIFS('Audit Raw data'!AM:AM,"NO",'Audit Raw data'!J:J,B:B,'Audit Raw data'!E:E,'Day wise agent'!G:G)</f>
        <v>0</v>
      </c>
      <c r="L1784" s="12" t="str">
        <f t="shared" si="48"/>
        <v xml:space="preserve"> </v>
      </c>
    </row>
    <row r="1785" spans="4:12" x14ac:dyDescent="0.35">
      <c r="D1785" s="32"/>
      <c r="G1785" s="32"/>
      <c r="H1785">
        <f>COUNTIFS('Audit Raw data'!J:J,B:B,'Audit Raw data'!E:E,G:G)</f>
        <v>0</v>
      </c>
      <c r="I1785" s="44" t="str">
        <f>IFERROR((SUMIFS('Audit Raw data'!BZ:BZ,'Audit Raw data'!J:J,B:B,'Audit Raw data'!E:E,G:G)/H1785)/100,"-")</f>
        <v>-</v>
      </c>
      <c r="J1785">
        <f>COUNTIFS('Audit Raw data'!AM:AM,"Yes",'Audit Raw data'!J:J,B:B,'Audit Raw data'!E:E,'Day wise agent'!G:G)</f>
        <v>0</v>
      </c>
      <c r="K1785">
        <f>COUNTIFS('Audit Raw data'!AM:AM,"NO",'Audit Raw data'!J:J,B:B,'Audit Raw data'!E:E,'Day wise agent'!G:G)</f>
        <v>0</v>
      </c>
      <c r="L1785" s="12" t="str">
        <f t="shared" si="48"/>
        <v xml:space="preserve"> </v>
      </c>
    </row>
    <row r="1786" spans="4:12" x14ac:dyDescent="0.35">
      <c r="D1786" s="32"/>
      <c r="G1786" s="32"/>
      <c r="H1786">
        <f>COUNTIFS('Audit Raw data'!J:J,B:B,'Audit Raw data'!E:E,G:G)</f>
        <v>0</v>
      </c>
      <c r="I1786" s="44" t="str">
        <f>IFERROR((SUMIFS('Audit Raw data'!BZ:BZ,'Audit Raw data'!J:J,B:B,'Audit Raw data'!E:E,G:G)/H1786)/100,"-")</f>
        <v>-</v>
      </c>
      <c r="J1786">
        <f>COUNTIFS('Audit Raw data'!AM:AM,"Yes",'Audit Raw data'!J:J,B:B,'Audit Raw data'!E:E,'Day wise agent'!G:G)</f>
        <v>0</v>
      </c>
      <c r="K1786">
        <f>COUNTIFS('Audit Raw data'!AM:AM,"NO",'Audit Raw data'!J:J,B:B,'Audit Raw data'!E:E,'Day wise agent'!G:G)</f>
        <v>0</v>
      </c>
      <c r="L1786" s="12" t="str">
        <f t="shared" si="48"/>
        <v xml:space="preserve"> </v>
      </c>
    </row>
    <row r="1787" spans="4:12" x14ac:dyDescent="0.35">
      <c r="D1787" s="32"/>
      <c r="G1787" s="32"/>
      <c r="H1787">
        <f>COUNTIFS('Audit Raw data'!J:J,B:B,'Audit Raw data'!E:E,G:G)</f>
        <v>0</v>
      </c>
      <c r="I1787" s="44" t="str">
        <f>IFERROR((SUMIFS('Audit Raw data'!BZ:BZ,'Audit Raw data'!J:J,B:B,'Audit Raw data'!E:E,G:G)/H1787)/100,"-")</f>
        <v>-</v>
      </c>
      <c r="J1787">
        <f>COUNTIFS('Audit Raw data'!AM:AM,"Yes",'Audit Raw data'!J:J,B:B,'Audit Raw data'!E:E,'Day wise agent'!G:G)</f>
        <v>0</v>
      </c>
      <c r="K1787">
        <f>COUNTIFS('Audit Raw data'!AM:AM,"NO",'Audit Raw data'!J:J,B:B,'Audit Raw data'!E:E,'Day wise agent'!G:G)</f>
        <v>0</v>
      </c>
      <c r="L1787" s="12" t="str">
        <f t="shared" si="48"/>
        <v xml:space="preserve"> </v>
      </c>
    </row>
    <row r="1788" spans="4:12" x14ac:dyDescent="0.35">
      <c r="D1788" s="32"/>
      <c r="G1788" s="32"/>
      <c r="H1788">
        <f>COUNTIFS('Audit Raw data'!J:J,B:B,'Audit Raw data'!E:E,G:G)</f>
        <v>0</v>
      </c>
      <c r="I1788" s="44" t="str">
        <f>IFERROR((SUMIFS('Audit Raw data'!BZ:BZ,'Audit Raw data'!J:J,B:B,'Audit Raw data'!E:E,G:G)/H1788)/100,"-")</f>
        <v>-</v>
      </c>
      <c r="J1788">
        <f>COUNTIFS('Audit Raw data'!AM:AM,"Yes",'Audit Raw data'!J:J,B:B,'Audit Raw data'!E:E,'Day wise agent'!G:G)</f>
        <v>0</v>
      </c>
      <c r="K1788">
        <f>COUNTIFS('Audit Raw data'!AM:AM,"NO",'Audit Raw data'!J:J,B:B,'Audit Raw data'!E:E,'Day wise agent'!G:G)</f>
        <v>0</v>
      </c>
      <c r="L1788" s="12" t="str">
        <f t="shared" si="48"/>
        <v xml:space="preserve"> </v>
      </c>
    </row>
    <row r="1789" spans="4:12" x14ac:dyDescent="0.35">
      <c r="D1789" s="32"/>
      <c r="G1789" s="32"/>
      <c r="H1789">
        <f>COUNTIFS('Audit Raw data'!J:J,B:B,'Audit Raw data'!E:E,G:G)</f>
        <v>0</v>
      </c>
      <c r="I1789" s="44" t="str">
        <f>IFERROR((SUMIFS('Audit Raw data'!BZ:BZ,'Audit Raw data'!J:J,B:B,'Audit Raw data'!E:E,G:G)/H1789)/100,"-")</f>
        <v>-</v>
      </c>
      <c r="J1789">
        <f>COUNTIFS('Audit Raw data'!AM:AM,"Yes",'Audit Raw data'!J:J,B:B,'Audit Raw data'!E:E,'Day wise agent'!G:G)</f>
        <v>0</v>
      </c>
      <c r="K1789">
        <f>COUNTIFS('Audit Raw data'!AM:AM,"NO",'Audit Raw data'!J:J,B:B,'Audit Raw data'!E:E,'Day wise agent'!G:G)</f>
        <v>0</v>
      </c>
      <c r="L1789" s="12" t="str">
        <f t="shared" si="48"/>
        <v xml:space="preserve"> </v>
      </c>
    </row>
    <row r="1790" spans="4:12" x14ac:dyDescent="0.35">
      <c r="D1790" s="32"/>
      <c r="G1790" s="32"/>
      <c r="H1790">
        <f>COUNTIFS('Audit Raw data'!J:J,B:B,'Audit Raw data'!E:E,G:G)</f>
        <v>0</v>
      </c>
      <c r="I1790" s="44" t="str">
        <f>IFERROR((SUMIFS('Audit Raw data'!BZ:BZ,'Audit Raw data'!J:J,B:B,'Audit Raw data'!E:E,G:G)/H1790)/100,"-")</f>
        <v>-</v>
      </c>
      <c r="J1790">
        <f>COUNTIFS('Audit Raw data'!AM:AM,"Yes",'Audit Raw data'!J:J,B:B,'Audit Raw data'!E:E,'Day wise agent'!G:G)</f>
        <v>0</v>
      </c>
      <c r="K1790">
        <f>COUNTIFS('Audit Raw data'!AM:AM,"NO",'Audit Raw data'!J:J,B:B,'Audit Raw data'!E:E,'Day wise agent'!G:G)</f>
        <v>0</v>
      </c>
      <c r="L1790" s="12" t="str">
        <f t="shared" si="48"/>
        <v xml:space="preserve"> </v>
      </c>
    </row>
    <row r="1791" spans="4:12" x14ac:dyDescent="0.35">
      <c r="D1791" s="32"/>
      <c r="G1791" s="32"/>
      <c r="H1791">
        <f>COUNTIFS('Audit Raw data'!J:J,B:B,'Audit Raw data'!E:E,G:G)</f>
        <v>0</v>
      </c>
      <c r="I1791" s="44" t="str">
        <f>IFERROR((SUMIFS('Audit Raw data'!BZ:BZ,'Audit Raw data'!J:J,B:B,'Audit Raw data'!E:E,G:G)/H1791)/100,"-")</f>
        <v>-</v>
      </c>
      <c r="J1791">
        <f>COUNTIFS('Audit Raw data'!AM:AM,"Yes",'Audit Raw data'!J:J,B:B,'Audit Raw data'!E:E,'Day wise agent'!G:G)</f>
        <v>0</v>
      </c>
      <c r="K1791">
        <f>COUNTIFS('Audit Raw data'!AM:AM,"NO",'Audit Raw data'!J:J,B:B,'Audit Raw data'!E:E,'Day wise agent'!G:G)</f>
        <v>0</v>
      </c>
      <c r="L1791" s="12" t="str">
        <f t="shared" si="48"/>
        <v xml:space="preserve"> </v>
      </c>
    </row>
    <row r="1792" spans="4:12" x14ac:dyDescent="0.35">
      <c r="D1792" s="32"/>
      <c r="G1792" s="32"/>
      <c r="H1792">
        <f>COUNTIFS('Audit Raw data'!J:J,B:B,'Audit Raw data'!E:E,G:G)</f>
        <v>0</v>
      </c>
      <c r="I1792" s="44" t="str">
        <f>IFERROR((SUMIFS('Audit Raw data'!BZ:BZ,'Audit Raw data'!J:J,B:B,'Audit Raw data'!E:E,G:G)/H1792)/100,"-")</f>
        <v>-</v>
      </c>
      <c r="J1792">
        <f>COUNTIFS('Audit Raw data'!AM:AM,"Yes",'Audit Raw data'!J:J,B:B,'Audit Raw data'!E:E,'Day wise agent'!G:G)</f>
        <v>0</v>
      </c>
      <c r="K1792">
        <f>COUNTIFS('Audit Raw data'!AM:AM,"NO",'Audit Raw data'!J:J,B:B,'Audit Raw data'!E:E,'Day wise agent'!G:G)</f>
        <v>0</v>
      </c>
      <c r="L1792" s="12" t="str">
        <f t="shared" si="48"/>
        <v xml:space="preserve"> </v>
      </c>
    </row>
    <row r="1793" spans="4:12" x14ac:dyDescent="0.35">
      <c r="D1793" s="32"/>
      <c r="G1793" s="32"/>
      <c r="H1793">
        <f>COUNTIFS('Audit Raw data'!J:J,B:B,'Audit Raw data'!E:E,G:G)</f>
        <v>0</v>
      </c>
      <c r="I1793" s="44" t="str">
        <f>IFERROR((SUMIFS('Audit Raw data'!BZ:BZ,'Audit Raw data'!J:J,B:B,'Audit Raw data'!E:E,G:G)/H1793)/100,"-")</f>
        <v>-</v>
      </c>
      <c r="J1793">
        <f>COUNTIFS('Audit Raw data'!AM:AM,"Yes",'Audit Raw data'!J:J,B:B,'Audit Raw data'!E:E,'Day wise agent'!G:G)</f>
        <v>0</v>
      </c>
      <c r="K1793">
        <f>COUNTIFS('Audit Raw data'!AM:AM,"NO",'Audit Raw data'!J:J,B:B,'Audit Raw data'!E:E,'Day wise agent'!G:G)</f>
        <v>0</v>
      </c>
      <c r="L1793" s="12" t="str">
        <f t="shared" si="48"/>
        <v xml:space="preserve"> </v>
      </c>
    </row>
    <row r="1794" spans="4:12" x14ac:dyDescent="0.35">
      <c r="D1794" s="32"/>
      <c r="G1794" s="32"/>
      <c r="H1794">
        <f>COUNTIFS('Audit Raw data'!J:J,B:B,'Audit Raw data'!E:E,G:G)</f>
        <v>0</v>
      </c>
      <c r="I1794" s="44" t="str">
        <f>IFERROR((SUMIFS('Audit Raw data'!BZ:BZ,'Audit Raw data'!J:J,B:B,'Audit Raw data'!E:E,G:G)/H1794)/100,"-")</f>
        <v>-</v>
      </c>
      <c r="J1794">
        <f>COUNTIFS('Audit Raw data'!AM:AM,"Yes",'Audit Raw data'!J:J,B:B,'Audit Raw data'!E:E,'Day wise agent'!G:G)</f>
        <v>0</v>
      </c>
      <c r="K1794">
        <f>COUNTIFS('Audit Raw data'!AM:AM,"NO",'Audit Raw data'!J:J,B:B,'Audit Raw data'!E:E,'Day wise agent'!G:G)</f>
        <v>0</v>
      </c>
      <c r="L1794" s="12" t="str">
        <f t="shared" ref="L1794:L1857" si="49">IFERROR(J1794/H1794," ")</f>
        <v xml:space="preserve"> </v>
      </c>
    </row>
    <row r="1795" spans="4:12" x14ac:dyDescent="0.35">
      <c r="D1795" s="32"/>
      <c r="G1795" s="32"/>
      <c r="H1795">
        <f>COUNTIFS('Audit Raw data'!J:J,B:B,'Audit Raw data'!E:E,G:G)</f>
        <v>0</v>
      </c>
      <c r="I1795" s="44" t="str">
        <f>IFERROR((SUMIFS('Audit Raw data'!BZ:BZ,'Audit Raw data'!J:J,B:B,'Audit Raw data'!E:E,G:G)/H1795)/100,"-")</f>
        <v>-</v>
      </c>
      <c r="J1795">
        <f>COUNTIFS('Audit Raw data'!AM:AM,"Yes",'Audit Raw data'!J:J,B:B,'Audit Raw data'!E:E,'Day wise agent'!G:G)</f>
        <v>0</v>
      </c>
      <c r="K1795">
        <f>COUNTIFS('Audit Raw data'!AM:AM,"NO",'Audit Raw data'!J:J,B:B,'Audit Raw data'!E:E,'Day wise agent'!G:G)</f>
        <v>0</v>
      </c>
      <c r="L1795" s="12" t="str">
        <f t="shared" si="49"/>
        <v xml:space="preserve"> </v>
      </c>
    </row>
    <row r="1796" spans="4:12" x14ac:dyDescent="0.35">
      <c r="D1796" s="32"/>
      <c r="G1796" s="32"/>
      <c r="H1796">
        <f>COUNTIFS('Audit Raw data'!J:J,B:B,'Audit Raw data'!E:E,G:G)</f>
        <v>0</v>
      </c>
      <c r="I1796" s="44" t="str">
        <f>IFERROR((SUMIFS('Audit Raw data'!BZ:BZ,'Audit Raw data'!J:J,B:B,'Audit Raw data'!E:E,G:G)/H1796)/100,"-")</f>
        <v>-</v>
      </c>
      <c r="J1796">
        <f>COUNTIFS('Audit Raw data'!AM:AM,"Yes",'Audit Raw data'!J:J,B:B,'Audit Raw data'!E:E,'Day wise agent'!G:G)</f>
        <v>0</v>
      </c>
      <c r="K1796">
        <f>COUNTIFS('Audit Raw data'!AM:AM,"NO",'Audit Raw data'!J:J,B:B,'Audit Raw data'!E:E,'Day wise agent'!G:G)</f>
        <v>0</v>
      </c>
      <c r="L1796" s="12" t="str">
        <f t="shared" si="49"/>
        <v xml:space="preserve"> </v>
      </c>
    </row>
    <row r="1797" spans="4:12" x14ac:dyDescent="0.35">
      <c r="D1797" s="32"/>
      <c r="G1797" s="32"/>
      <c r="H1797">
        <f>COUNTIFS('Audit Raw data'!J:J,B:B,'Audit Raw data'!E:E,G:G)</f>
        <v>0</v>
      </c>
      <c r="I1797" s="44" t="str">
        <f>IFERROR((SUMIFS('Audit Raw data'!BZ:BZ,'Audit Raw data'!J:J,B:B,'Audit Raw data'!E:E,G:G)/H1797)/100,"-")</f>
        <v>-</v>
      </c>
      <c r="J1797">
        <f>COUNTIFS('Audit Raw data'!AM:AM,"Yes",'Audit Raw data'!J:J,B:B,'Audit Raw data'!E:E,'Day wise agent'!G:G)</f>
        <v>0</v>
      </c>
      <c r="K1797">
        <f>COUNTIFS('Audit Raw data'!AM:AM,"NO",'Audit Raw data'!J:J,B:B,'Audit Raw data'!E:E,'Day wise agent'!G:G)</f>
        <v>0</v>
      </c>
      <c r="L1797" s="12" t="str">
        <f t="shared" si="49"/>
        <v xml:space="preserve"> </v>
      </c>
    </row>
    <row r="1798" spans="4:12" x14ac:dyDescent="0.35">
      <c r="D1798" s="32"/>
      <c r="G1798" s="32"/>
      <c r="H1798">
        <f>COUNTIFS('Audit Raw data'!J:J,B:B,'Audit Raw data'!E:E,G:G)</f>
        <v>0</v>
      </c>
      <c r="I1798" s="44" t="str">
        <f>IFERROR((SUMIFS('Audit Raw data'!BZ:BZ,'Audit Raw data'!J:J,B:B,'Audit Raw data'!E:E,G:G)/H1798)/100,"-")</f>
        <v>-</v>
      </c>
      <c r="J1798">
        <f>COUNTIFS('Audit Raw data'!AM:AM,"Yes",'Audit Raw data'!J:J,B:B,'Audit Raw data'!E:E,'Day wise agent'!G:G)</f>
        <v>0</v>
      </c>
      <c r="K1798">
        <f>COUNTIFS('Audit Raw data'!AM:AM,"NO",'Audit Raw data'!J:J,B:B,'Audit Raw data'!E:E,'Day wise agent'!G:G)</f>
        <v>0</v>
      </c>
      <c r="L1798" s="12" t="str">
        <f t="shared" si="49"/>
        <v xml:space="preserve"> </v>
      </c>
    </row>
    <row r="1799" spans="4:12" x14ac:dyDescent="0.35">
      <c r="D1799" s="32"/>
      <c r="G1799" s="32"/>
      <c r="H1799">
        <f>COUNTIFS('Audit Raw data'!J:J,B:B,'Audit Raw data'!E:E,G:G)</f>
        <v>0</v>
      </c>
      <c r="I1799" s="44" t="str">
        <f>IFERROR((SUMIFS('Audit Raw data'!BZ:BZ,'Audit Raw data'!J:J,B:B,'Audit Raw data'!E:E,G:G)/H1799)/100,"-")</f>
        <v>-</v>
      </c>
      <c r="J1799">
        <f>COUNTIFS('Audit Raw data'!AM:AM,"Yes",'Audit Raw data'!J:J,B:B,'Audit Raw data'!E:E,'Day wise agent'!G:G)</f>
        <v>0</v>
      </c>
      <c r="K1799">
        <f>COUNTIFS('Audit Raw data'!AM:AM,"NO",'Audit Raw data'!J:J,B:B,'Audit Raw data'!E:E,'Day wise agent'!G:G)</f>
        <v>0</v>
      </c>
      <c r="L1799" s="12" t="str">
        <f t="shared" si="49"/>
        <v xml:space="preserve"> </v>
      </c>
    </row>
    <row r="1800" spans="4:12" x14ac:dyDescent="0.35">
      <c r="D1800" s="32"/>
      <c r="G1800" s="32"/>
      <c r="H1800">
        <f>COUNTIFS('Audit Raw data'!J:J,B:B,'Audit Raw data'!E:E,G:G)</f>
        <v>0</v>
      </c>
      <c r="I1800" s="44" t="str">
        <f>IFERROR((SUMIFS('Audit Raw data'!BZ:BZ,'Audit Raw data'!J:J,B:B,'Audit Raw data'!E:E,G:G)/H1800)/100,"-")</f>
        <v>-</v>
      </c>
      <c r="J1800">
        <f>COUNTIFS('Audit Raw data'!AM:AM,"Yes",'Audit Raw data'!J:J,B:B,'Audit Raw data'!E:E,'Day wise agent'!G:G)</f>
        <v>0</v>
      </c>
      <c r="K1800">
        <f>COUNTIFS('Audit Raw data'!AM:AM,"NO",'Audit Raw data'!J:J,B:B,'Audit Raw data'!E:E,'Day wise agent'!G:G)</f>
        <v>0</v>
      </c>
      <c r="L1800" s="12" t="str">
        <f t="shared" si="49"/>
        <v xml:space="preserve"> </v>
      </c>
    </row>
    <row r="1801" spans="4:12" x14ac:dyDescent="0.35">
      <c r="D1801" s="32"/>
      <c r="G1801" s="32"/>
      <c r="H1801">
        <f>COUNTIFS('Audit Raw data'!J:J,B:B,'Audit Raw data'!E:E,G:G)</f>
        <v>0</v>
      </c>
      <c r="I1801" s="44" t="str">
        <f>IFERROR((SUMIFS('Audit Raw data'!BZ:BZ,'Audit Raw data'!J:J,B:B,'Audit Raw data'!E:E,G:G)/H1801)/100,"-")</f>
        <v>-</v>
      </c>
      <c r="J1801">
        <f>COUNTIFS('Audit Raw data'!AM:AM,"Yes",'Audit Raw data'!J:J,B:B,'Audit Raw data'!E:E,'Day wise agent'!G:G)</f>
        <v>0</v>
      </c>
      <c r="K1801">
        <f>COUNTIFS('Audit Raw data'!AM:AM,"NO",'Audit Raw data'!J:J,B:B,'Audit Raw data'!E:E,'Day wise agent'!G:G)</f>
        <v>0</v>
      </c>
      <c r="L1801" s="12" t="str">
        <f t="shared" si="49"/>
        <v xml:space="preserve"> </v>
      </c>
    </row>
    <row r="1802" spans="4:12" x14ac:dyDescent="0.35">
      <c r="D1802" s="32"/>
      <c r="G1802" s="32"/>
      <c r="H1802">
        <f>COUNTIFS('Audit Raw data'!J:J,B:B,'Audit Raw data'!E:E,G:G)</f>
        <v>0</v>
      </c>
      <c r="I1802" s="44" t="str">
        <f>IFERROR((SUMIFS('Audit Raw data'!BZ:BZ,'Audit Raw data'!J:J,B:B,'Audit Raw data'!E:E,G:G)/H1802)/100,"-")</f>
        <v>-</v>
      </c>
      <c r="J1802">
        <f>COUNTIFS('Audit Raw data'!AM:AM,"Yes",'Audit Raw data'!J:J,B:B,'Audit Raw data'!E:E,'Day wise agent'!G:G)</f>
        <v>0</v>
      </c>
      <c r="K1802">
        <f>COUNTIFS('Audit Raw data'!AM:AM,"NO",'Audit Raw data'!J:J,B:B,'Audit Raw data'!E:E,'Day wise agent'!G:G)</f>
        <v>0</v>
      </c>
      <c r="L1802" s="12" t="str">
        <f t="shared" si="49"/>
        <v xml:space="preserve"> </v>
      </c>
    </row>
    <row r="1803" spans="4:12" x14ac:dyDescent="0.35">
      <c r="D1803" s="32"/>
      <c r="G1803" s="32"/>
      <c r="H1803">
        <f>COUNTIFS('Audit Raw data'!J:J,B:B,'Audit Raw data'!E:E,G:G)</f>
        <v>0</v>
      </c>
      <c r="I1803" s="44" t="str">
        <f>IFERROR((SUMIFS('Audit Raw data'!BZ:BZ,'Audit Raw data'!J:J,B:B,'Audit Raw data'!E:E,G:G)/H1803)/100,"-")</f>
        <v>-</v>
      </c>
      <c r="J1803">
        <f>COUNTIFS('Audit Raw data'!AM:AM,"Yes",'Audit Raw data'!J:J,B:B,'Audit Raw data'!E:E,'Day wise agent'!G:G)</f>
        <v>0</v>
      </c>
      <c r="K1803">
        <f>COUNTIFS('Audit Raw data'!AM:AM,"NO",'Audit Raw data'!J:J,B:B,'Audit Raw data'!E:E,'Day wise agent'!G:G)</f>
        <v>0</v>
      </c>
      <c r="L1803" s="12" t="str">
        <f t="shared" si="49"/>
        <v xml:space="preserve"> </v>
      </c>
    </row>
    <row r="1804" spans="4:12" x14ac:dyDescent="0.35">
      <c r="D1804" s="32"/>
      <c r="G1804" s="32"/>
      <c r="H1804">
        <f>COUNTIFS('Audit Raw data'!J:J,B:B,'Audit Raw data'!E:E,G:G)</f>
        <v>0</v>
      </c>
      <c r="I1804" s="44" t="str">
        <f>IFERROR((SUMIFS('Audit Raw data'!BZ:BZ,'Audit Raw data'!J:J,B:B,'Audit Raw data'!E:E,G:G)/H1804)/100,"-")</f>
        <v>-</v>
      </c>
      <c r="J1804">
        <f>COUNTIFS('Audit Raw data'!AM:AM,"Yes",'Audit Raw data'!J:J,B:B,'Audit Raw data'!E:E,'Day wise agent'!G:G)</f>
        <v>0</v>
      </c>
      <c r="K1804">
        <f>COUNTIFS('Audit Raw data'!AM:AM,"NO",'Audit Raw data'!J:J,B:B,'Audit Raw data'!E:E,'Day wise agent'!G:G)</f>
        <v>0</v>
      </c>
      <c r="L1804" s="12" t="str">
        <f t="shared" si="49"/>
        <v xml:space="preserve"> </v>
      </c>
    </row>
    <row r="1805" spans="4:12" x14ac:dyDescent="0.35">
      <c r="D1805" s="32"/>
      <c r="G1805" s="32"/>
      <c r="H1805">
        <f>COUNTIFS('Audit Raw data'!J:J,B:B,'Audit Raw data'!E:E,G:G)</f>
        <v>0</v>
      </c>
      <c r="I1805" s="44" t="str">
        <f>IFERROR((SUMIFS('Audit Raw data'!BZ:BZ,'Audit Raw data'!J:J,B:B,'Audit Raw data'!E:E,G:G)/H1805)/100,"-")</f>
        <v>-</v>
      </c>
      <c r="J1805">
        <f>COUNTIFS('Audit Raw data'!AM:AM,"Yes",'Audit Raw data'!J:J,B:B,'Audit Raw data'!E:E,'Day wise agent'!G:G)</f>
        <v>0</v>
      </c>
      <c r="K1805">
        <f>COUNTIFS('Audit Raw data'!AM:AM,"NO",'Audit Raw data'!J:J,B:B,'Audit Raw data'!E:E,'Day wise agent'!G:G)</f>
        <v>0</v>
      </c>
      <c r="L1805" s="12" t="str">
        <f t="shared" si="49"/>
        <v xml:space="preserve"> </v>
      </c>
    </row>
    <row r="1806" spans="4:12" x14ac:dyDescent="0.35">
      <c r="D1806" s="32"/>
      <c r="G1806" s="32"/>
      <c r="H1806">
        <f>COUNTIFS('Audit Raw data'!J:J,B:B,'Audit Raw data'!E:E,G:G)</f>
        <v>0</v>
      </c>
      <c r="I1806" s="44" t="str">
        <f>IFERROR((SUMIFS('Audit Raw data'!BZ:BZ,'Audit Raw data'!J:J,B:B,'Audit Raw data'!E:E,G:G)/H1806)/100,"-")</f>
        <v>-</v>
      </c>
      <c r="J1806">
        <f>COUNTIFS('Audit Raw data'!AM:AM,"Yes",'Audit Raw data'!J:J,B:B,'Audit Raw data'!E:E,'Day wise agent'!G:G)</f>
        <v>0</v>
      </c>
      <c r="K1806">
        <f>COUNTIFS('Audit Raw data'!AM:AM,"NO",'Audit Raw data'!J:J,B:B,'Audit Raw data'!E:E,'Day wise agent'!G:G)</f>
        <v>0</v>
      </c>
      <c r="L1806" s="12" t="str">
        <f t="shared" si="49"/>
        <v xml:space="preserve"> </v>
      </c>
    </row>
    <row r="1807" spans="4:12" x14ac:dyDescent="0.35">
      <c r="D1807" s="32"/>
      <c r="G1807" s="32"/>
      <c r="H1807">
        <f>COUNTIFS('Audit Raw data'!J:J,B:B,'Audit Raw data'!E:E,G:G)</f>
        <v>0</v>
      </c>
      <c r="I1807" s="44" t="str">
        <f>IFERROR((SUMIFS('Audit Raw data'!BZ:BZ,'Audit Raw data'!J:J,B:B,'Audit Raw data'!E:E,G:G)/H1807)/100,"-")</f>
        <v>-</v>
      </c>
      <c r="J1807">
        <f>COUNTIFS('Audit Raw data'!AM:AM,"Yes",'Audit Raw data'!J:J,B:B,'Audit Raw data'!E:E,'Day wise agent'!G:G)</f>
        <v>0</v>
      </c>
      <c r="K1807">
        <f>COUNTIFS('Audit Raw data'!AM:AM,"NO",'Audit Raw data'!J:J,B:B,'Audit Raw data'!E:E,'Day wise agent'!G:G)</f>
        <v>0</v>
      </c>
      <c r="L1807" s="12" t="str">
        <f t="shared" si="49"/>
        <v xml:space="preserve"> </v>
      </c>
    </row>
    <row r="1808" spans="4:12" x14ac:dyDescent="0.35">
      <c r="D1808" s="32"/>
      <c r="G1808" s="32"/>
      <c r="H1808">
        <f>COUNTIFS('Audit Raw data'!J:J,B:B,'Audit Raw data'!E:E,G:G)</f>
        <v>0</v>
      </c>
      <c r="I1808" s="44" t="str">
        <f>IFERROR((SUMIFS('Audit Raw data'!BZ:BZ,'Audit Raw data'!J:J,B:B,'Audit Raw data'!E:E,G:G)/H1808)/100,"-")</f>
        <v>-</v>
      </c>
      <c r="J1808">
        <f>COUNTIFS('Audit Raw data'!AM:AM,"Yes",'Audit Raw data'!J:J,B:B,'Audit Raw data'!E:E,'Day wise agent'!G:G)</f>
        <v>0</v>
      </c>
      <c r="K1808">
        <f>COUNTIFS('Audit Raw data'!AM:AM,"NO",'Audit Raw data'!J:J,B:B,'Audit Raw data'!E:E,'Day wise agent'!G:G)</f>
        <v>0</v>
      </c>
      <c r="L1808" s="12" t="str">
        <f t="shared" si="49"/>
        <v xml:space="preserve"> </v>
      </c>
    </row>
    <row r="1809" spans="4:12" x14ac:dyDescent="0.35">
      <c r="D1809" s="32"/>
      <c r="G1809" s="32"/>
      <c r="H1809">
        <f>COUNTIFS('Audit Raw data'!J:J,B:B,'Audit Raw data'!E:E,G:G)</f>
        <v>0</v>
      </c>
      <c r="I1809" s="44" t="str">
        <f>IFERROR((SUMIFS('Audit Raw data'!BZ:BZ,'Audit Raw data'!J:J,B:B,'Audit Raw data'!E:E,G:G)/H1809)/100,"-")</f>
        <v>-</v>
      </c>
      <c r="J1809">
        <f>COUNTIFS('Audit Raw data'!AM:AM,"Yes",'Audit Raw data'!J:J,B:B,'Audit Raw data'!E:E,'Day wise agent'!G:G)</f>
        <v>0</v>
      </c>
      <c r="K1809">
        <f>COUNTIFS('Audit Raw data'!AM:AM,"NO",'Audit Raw data'!J:J,B:B,'Audit Raw data'!E:E,'Day wise agent'!G:G)</f>
        <v>0</v>
      </c>
      <c r="L1809" s="12" t="str">
        <f t="shared" si="49"/>
        <v xml:space="preserve"> </v>
      </c>
    </row>
    <row r="1810" spans="4:12" x14ac:dyDescent="0.35">
      <c r="D1810" s="32"/>
      <c r="G1810" s="32"/>
      <c r="H1810">
        <f>COUNTIFS('Audit Raw data'!J:J,B:B,'Audit Raw data'!E:E,G:G)</f>
        <v>0</v>
      </c>
      <c r="I1810" s="44" t="str">
        <f>IFERROR((SUMIFS('Audit Raw data'!BZ:BZ,'Audit Raw data'!J:J,B:B,'Audit Raw data'!E:E,G:G)/H1810)/100,"-")</f>
        <v>-</v>
      </c>
      <c r="J1810">
        <f>COUNTIFS('Audit Raw data'!AM:AM,"Yes",'Audit Raw data'!J:J,B:B,'Audit Raw data'!E:E,'Day wise agent'!G:G)</f>
        <v>0</v>
      </c>
      <c r="K1810">
        <f>COUNTIFS('Audit Raw data'!AM:AM,"NO",'Audit Raw data'!J:J,B:B,'Audit Raw data'!E:E,'Day wise agent'!G:G)</f>
        <v>0</v>
      </c>
      <c r="L1810" s="12" t="str">
        <f t="shared" si="49"/>
        <v xml:space="preserve"> </v>
      </c>
    </row>
    <row r="1811" spans="4:12" x14ac:dyDescent="0.35">
      <c r="D1811" s="32"/>
      <c r="G1811" s="32"/>
      <c r="H1811">
        <f>COUNTIFS('Audit Raw data'!J:J,B:B,'Audit Raw data'!E:E,G:G)</f>
        <v>0</v>
      </c>
      <c r="I1811" s="44" t="str">
        <f>IFERROR((SUMIFS('Audit Raw data'!BZ:BZ,'Audit Raw data'!J:J,B:B,'Audit Raw data'!E:E,G:G)/H1811)/100,"-")</f>
        <v>-</v>
      </c>
      <c r="J1811">
        <f>COUNTIFS('Audit Raw data'!AM:AM,"Yes",'Audit Raw data'!J:J,B:B,'Audit Raw data'!E:E,'Day wise agent'!G:G)</f>
        <v>0</v>
      </c>
      <c r="K1811">
        <f>COUNTIFS('Audit Raw data'!AM:AM,"NO",'Audit Raw data'!J:J,B:B,'Audit Raw data'!E:E,'Day wise agent'!G:G)</f>
        <v>0</v>
      </c>
      <c r="L1811" s="12" t="str">
        <f t="shared" si="49"/>
        <v xml:space="preserve"> </v>
      </c>
    </row>
    <row r="1812" spans="4:12" x14ac:dyDescent="0.35">
      <c r="D1812" s="32"/>
      <c r="G1812" s="32"/>
      <c r="H1812">
        <f>COUNTIFS('Audit Raw data'!J:J,B:B,'Audit Raw data'!E:E,G:G)</f>
        <v>0</v>
      </c>
      <c r="I1812" s="44" t="str">
        <f>IFERROR((SUMIFS('Audit Raw data'!BZ:BZ,'Audit Raw data'!J:J,B:B,'Audit Raw data'!E:E,G:G)/H1812)/100,"-")</f>
        <v>-</v>
      </c>
      <c r="J1812">
        <f>COUNTIFS('Audit Raw data'!AM:AM,"Yes",'Audit Raw data'!J:J,B:B,'Audit Raw data'!E:E,'Day wise agent'!G:G)</f>
        <v>0</v>
      </c>
      <c r="K1812">
        <f>COUNTIFS('Audit Raw data'!AM:AM,"NO",'Audit Raw data'!J:J,B:B,'Audit Raw data'!E:E,'Day wise agent'!G:G)</f>
        <v>0</v>
      </c>
      <c r="L1812" s="12" t="str">
        <f t="shared" si="49"/>
        <v xml:space="preserve"> </v>
      </c>
    </row>
    <row r="1813" spans="4:12" x14ac:dyDescent="0.35">
      <c r="D1813" s="32"/>
      <c r="G1813" s="32"/>
      <c r="H1813">
        <f>COUNTIFS('Audit Raw data'!J:J,B:B,'Audit Raw data'!E:E,G:G)</f>
        <v>0</v>
      </c>
      <c r="I1813" s="44" t="str">
        <f>IFERROR((SUMIFS('Audit Raw data'!BZ:BZ,'Audit Raw data'!J:J,B:B,'Audit Raw data'!E:E,G:G)/H1813)/100,"-")</f>
        <v>-</v>
      </c>
      <c r="J1813">
        <f>COUNTIFS('Audit Raw data'!AM:AM,"Yes",'Audit Raw data'!J:J,B:B,'Audit Raw data'!E:E,'Day wise agent'!G:G)</f>
        <v>0</v>
      </c>
      <c r="K1813">
        <f>COUNTIFS('Audit Raw data'!AM:AM,"NO",'Audit Raw data'!J:J,B:B,'Audit Raw data'!E:E,'Day wise agent'!G:G)</f>
        <v>0</v>
      </c>
      <c r="L1813" s="12" t="str">
        <f t="shared" si="49"/>
        <v xml:space="preserve"> </v>
      </c>
    </row>
    <row r="1814" spans="4:12" x14ac:dyDescent="0.35">
      <c r="D1814" s="32"/>
      <c r="G1814" s="32"/>
      <c r="H1814">
        <f>COUNTIFS('Audit Raw data'!J:J,B:B,'Audit Raw data'!E:E,G:G)</f>
        <v>0</v>
      </c>
      <c r="I1814" s="44" t="str">
        <f>IFERROR((SUMIFS('Audit Raw data'!BZ:BZ,'Audit Raw data'!J:J,B:B,'Audit Raw data'!E:E,G:G)/H1814)/100,"-")</f>
        <v>-</v>
      </c>
      <c r="J1814">
        <f>COUNTIFS('Audit Raw data'!AM:AM,"Yes",'Audit Raw data'!J:J,B:B,'Audit Raw data'!E:E,'Day wise agent'!G:G)</f>
        <v>0</v>
      </c>
      <c r="K1814">
        <f>COUNTIFS('Audit Raw data'!AM:AM,"NO",'Audit Raw data'!J:J,B:B,'Audit Raw data'!E:E,'Day wise agent'!G:G)</f>
        <v>0</v>
      </c>
      <c r="L1814" s="12" t="str">
        <f t="shared" si="49"/>
        <v xml:space="preserve"> </v>
      </c>
    </row>
    <row r="1815" spans="4:12" x14ac:dyDescent="0.35">
      <c r="D1815" s="32"/>
      <c r="G1815" s="32"/>
      <c r="H1815">
        <f>COUNTIFS('Audit Raw data'!J:J,B:B,'Audit Raw data'!E:E,G:G)</f>
        <v>0</v>
      </c>
      <c r="I1815" s="44" t="str">
        <f>IFERROR((SUMIFS('Audit Raw data'!BZ:BZ,'Audit Raw data'!J:J,B:B,'Audit Raw data'!E:E,G:G)/H1815)/100,"-")</f>
        <v>-</v>
      </c>
      <c r="J1815">
        <f>COUNTIFS('Audit Raw data'!AM:AM,"Yes",'Audit Raw data'!J:J,B:B,'Audit Raw data'!E:E,'Day wise agent'!G:G)</f>
        <v>0</v>
      </c>
      <c r="K1815">
        <f>COUNTIFS('Audit Raw data'!AM:AM,"NO",'Audit Raw data'!J:J,B:B,'Audit Raw data'!E:E,'Day wise agent'!G:G)</f>
        <v>0</v>
      </c>
      <c r="L1815" s="12" t="str">
        <f t="shared" si="49"/>
        <v xml:space="preserve"> </v>
      </c>
    </row>
    <row r="1816" spans="4:12" x14ac:dyDescent="0.35">
      <c r="D1816" s="32"/>
      <c r="G1816" s="32"/>
      <c r="H1816">
        <f>COUNTIFS('Audit Raw data'!J:J,B:B,'Audit Raw data'!E:E,G:G)</f>
        <v>0</v>
      </c>
      <c r="I1816" s="44" t="str">
        <f>IFERROR((SUMIFS('Audit Raw data'!BZ:BZ,'Audit Raw data'!J:J,B:B,'Audit Raw data'!E:E,G:G)/H1816)/100,"-")</f>
        <v>-</v>
      </c>
      <c r="J1816">
        <f>COUNTIFS('Audit Raw data'!AM:AM,"Yes",'Audit Raw data'!J:J,B:B,'Audit Raw data'!E:E,'Day wise agent'!G:G)</f>
        <v>0</v>
      </c>
      <c r="K1816">
        <f>COUNTIFS('Audit Raw data'!AM:AM,"NO",'Audit Raw data'!J:J,B:B,'Audit Raw data'!E:E,'Day wise agent'!G:G)</f>
        <v>0</v>
      </c>
      <c r="L1816" s="12" t="str">
        <f t="shared" si="49"/>
        <v xml:space="preserve"> </v>
      </c>
    </row>
    <row r="1817" spans="4:12" x14ac:dyDescent="0.35">
      <c r="D1817" s="32"/>
      <c r="G1817" s="32"/>
      <c r="H1817">
        <f>COUNTIFS('Audit Raw data'!J:J,B:B,'Audit Raw data'!E:E,G:G)</f>
        <v>0</v>
      </c>
      <c r="I1817" s="44" t="str">
        <f>IFERROR((SUMIFS('Audit Raw data'!BZ:BZ,'Audit Raw data'!J:J,B:B,'Audit Raw data'!E:E,G:G)/H1817)/100,"-")</f>
        <v>-</v>
      </c>
      <c r="J1817">
        <f>COUNTIFS('Audit Raw data'!AM:AM,"Yes",'Audit Raw data'!J:J,B:B,'Audit Raw data'!E:E,'Day wise agent'!G:G)</f>
        <v>0</v>
      </c>
      <c r="K1817">
        <f>COUNTIFS('Audit Raw data'!AM:AM,"NO",'Audit Raw data'!J:J,B:B,'Audit Raw data'!E:E,'Day wise agent'!G:G)</f>
        <v>0</v>
      </c>
      <c r="L1817" s="12" t="str">
        <f t="shared" si="49"/>
        <v xml:space="preserve"> </v>
      </c>
    </row>
    <row r="1818" spans="4:12" x14ac:dyDescent="0.35">
      <c r="D1818" s="32"/>
      <c r="G1818" s="32"/>
      <c r="H1818">
        <f>COUNTIFS('Audit Raw data'!J:J,B:B,'Audit Raw data'!E:E,G:G)</f>
        <v>0</v>
      </c>
      <c r="I1818" s="44" t="str">
        <f>IFERROR((SUMIFS('Audit Raw data'!BZ:BZ,'Audit Raw data'!J:J,B:B,'Audit Raw data'!E:E,G:G)/H1818)/100,"-")</f>
        <v>-</v>
      </c>
      <c r="J1818">
        <f>COUNTIFS('Audit Raw data'!AM:AM,"Yes",'Audit Raw data'!J:J,B:B,'Audit Raw data'!E:E,'Day wise agent'!G:G)</f>
        <v>0</v>
      </c>
      <c r="K1818">
        <f>COUNTIFS('Audit Raw data'!AM:AM,"NO",'Audit Raw data'!J:J,B:B,'Audit Raw data'!E:E,'Day wise agent'!G:G)</f>
        <v>0</v>
      </c>
      <c r="L1818" s="12" t="str">
        <f t="shared" si="49"/>
        <v xml:space="preserve"> </v>
      </c>
    </row>
    <row r="1819" spans="4:12" x14ac:dyDescent="0.35">
      <c r="D1819" s="32"/>
      <c r="G1819" s="32"/>
      <c r="H1819">
        <f>COUNTIFS('Audit Raw data'!J:J,B:B,'Audit Raw data'!E:E,G:G)</f>
        <v>0</v>
      </c>
      <c r="I1819" s="44" t="str">
        <f>IFERROR((SUMIFS('Audit Raw data'!BZ:BZ,'Audit Raw data'!J:J,B:B,'Audit Raw data'!E:E,G:G)/H1819)/100,"-")</f>
        <v>-</v>
      </c>
      <c r="J1819">
        <f>COUNTIFS('Audit Raw data'!AM:AM,"Yes",'Audit Raw data'!J:J,B:B,'Audit Raw data'!E:E,'Day wise agent'!G:G)</f>
        <v>0</v>
      </c>
      <c r="K1819">
        <f>COUNTIFS('Audit Raw data'!AM:AM,"NO",'Audit Raw data'!J:J,B:B,'Audit Raw data'!E:E,'Day wise agent'!G:G)</f>
        <v>0</v>
      </c>
      <c r="L1819" s="12" t="str">
        <f t="shared" si="49"/>
        <v xml:space="preserve"> </v>
      </c>
    </row>
    <row r="1820" spans="4:12" x14ac:dyDescent="0.35">
      <c r="D1820" s="32"/>
      <c r="G1820" s="32"/>
      <c r="H1820">
        <f>COUNTIFS('Audit Raw data'!J:J,B:B,'Audit Raw data'!E:E,G:G)</f>
        <v>0</v>
      </c>
      <c r="I1820" s="44" t="str">
        <f>IFERROR((SUMIFS('Audit Raw data'!BZ:BZ,'Audit Raw data'!J:J,B:B,'Audit Raw data'!E:E,G:G)/H1820)/100,"-")</f>
        <v>-</v>
      </c>
      <c r="J1820">
        <f>COUNTIFS('Audit Raw data'!AM:AM,"Yes",'Audit Raw data'!J:J,B:B,'Audit Raw data'!E:E,'Day wise agent'!G:G)</f>
        <v>0</v>
      </c>
      <c r="K1820">
        <f>COUNTIFS('Audit Raw data'!AM:AM,"NO",'Audit Raw data'!J:J,B:B,'Audit Raw data'!E:E,'Day wise agent'!G:G)</f>
        <v>0</v>
      </c>
      <c r="L1820" s="12" t="str">
        <f t="shared" si="49"/>
        <v xml:space="preserve"> </v>
      </c>
    </row>
    <row r="1821" spans="4:12" x14ac:dyDescent="0.35">
      <c r="D1821" s="32"/>
      <c r="G1821" s="32"/>
      <c r="H1821">
        <f>COUNTIFS('Audit Raw data'!J:J,B:B,'Audit Raw data'!E:E,G:G)</f>
        <v>0</v>
      </c>
      <c r="I1821" s="44" t="str">
        <f>IFERROR((SUMIFS('Audit Raw data'!BZ:BZ,'Audit Raw data'!J:J,B:B,'Audit Raw data'!E:E,G:G)/H1821)/100,"-")</f>
        <v>-</v>
      </c>
      <c r="J1821">
        <f>COUNTIFS('Audit Raw data'!AM:AM,"Yes",'Audit Raw data'!J:J,B:B,'Audit Raw data'!E:E,'Day wise agent'!G:G)</f>
        <v>0</v>
      </c>
      <c r="K1821">
        <f>COUNTIFS('Audit Raw data'!AM:AM,"NO",'Audit Raw data'!J:J,B:B,'Audit Raw data'!E:E,'Day wise agent'!G:G)</f>
        <v>0</v>
      </c>
      <c r="L1821" s="12" t="str">
        <f t="shared" si="49"/>
        <v xml:space="preserve"> </v>
      </c>
    </row>
    <row r="1822" spans="4:12" x14ac:dyDescent="0.35">
      <c r="D1822" s="32"/>
      <c r="G1822" s="32"/>
      <c r="H1822">
        <f>COUNTIFS('Audit Raw data'!J:J,B:B,'Audit Raw data'!E:E,G:G)</f>
        <v>0</v>
      </c>
      <c r="I1822" s="44" t="str">
        <f>IFERROR((SUMIFS('Audit Raw data'!BZ:BZ,'Audit Raw data'!J:J,B:B,'Audit Raw data'!E:E,G:G)/H1822)/100,"-")</f>
        <v>-</v>
      </c>
      <c r="J1822">
        <f>COUNTIFS('Audit Raw data'!AM:AM,"Yes",'Audit Raw data'!J:J,B:B,'Audit Raw data'!E:E,'Day wise agent'!G:G)</f>
        <v>0</v>
      </c>
      <c r="K1822">
        <f>COUNTIFS('Audit Raw data'!AM:AM,"NO",'Audit Raw data'!J:J,B:B,'Audit Raw data'!E:E,'Day wise agent'!G:G)</f>
        <v>0</v>
      </c>
      <c r="L1822" s="12" t="str">
        <f t="shared" si="49"/>
        <v xml:space="preserve"> </v>
      </c>
    </row>
    <row r="1823" spans="4:12" x14ac:dyDescent="0.35">
      <c r="D1823" s="32"/>
      <c r="G1823" s="32"/>
      <c r="H1823">
        <f>COUNTIFS('Audit Raw data'!J:J,B:B,'Audit Raw data'!E:E,G:G)</f>
        <v>0</v>
      </c>
      <c r="I1823" s="44" t="str">
        <f>IFERROR((SUMIFS('Audit Raw data'!BZ:BZ,'Audit Raw data'!J:J,B:B,'Audit Raw data'!E:E,G:G)/H1823)/100,"-")</f>
        <v>-</v>
      </c>
      <c r="J1823">
        <f>COUNTIFS('Audit Raw data'!AM:AM,"Yes",'Audit Raw data'!J:J,B:B,'Audit Raw data'!E:E,'Day wise agent'!G:G)</f>
        <v>0</v>
      </c>
      <c r="K1823">
        <f>COUNTIFS('Audit Raw data'!AM:AM,"NO",'Audit Raw data'!J:J,B:B,'Audit Raw data'!E:E,'Day wise agent'!G:G)</f>
        <v>0</v>
      </c>
      <c r="L1823" s="12" t="str">
        <f t="shared" si="49"/>
        <v xml:space="preserve"> </v>
      </c>
    </row>
    <row r="1824" spans="4:12" x14ac:dyDescent="0.35">
      <c r="D1824" s="32"/>
      <c r="G1824" s="32"/>
      <c r="H1824">
        <f>COUNTIFS('Audit Raw data'!J:J,B:B,'Audit Raw data'!E:E,G:G)</f>
        <v>0</v>
      </c>
      <c r="I1824" s="44" t="str">
        <f>IFERROR((SUMIFS('Audit Raw data'!BZ:BZ,'Audit Raw data'!J:J,B:B,'Audit Raw data'!E:E,G:G)/H1824)/100,"-")</f>
        <v>-</v>
      </c>
      <c r="J1824">
        <f>COUNTIFS('Audit Raw data'!AM:AM,"Yes",'Audit Raw data'!J:J,B:B,'Audit Raw data'!E:E,'Day wise agent'!G:G)</f>
        <v>0</v>
      </c>
      <c r="K1824">
        <f>COUNTIFS('Audit Raw data'!AM:AM,"NO",'Audit Raw data'!J:J,B:B,'Audit Raw data'!E:E,'Day wise agent'!G:G)</f>
        <v>0</v>
      </c>
      <c r="L1824" s="12" t="str">
        <f t="shared" si="49"/>
        <v xml:space="preserve"> </v>
      </c>
    </row>
    <row r="1825" spans="4:12" x14ac:dyDescent="0.35">
      <c r="D1825" s="32"/>
      <c r="G1825" s="32"/>
      <c r="H1825">
        <f>COUNTIFS('Audit Raw data'!J:J,B:B,'Audit Raw data'!E:E,G:G)</f>
        <v>0</v>
      </c>
      <c r="I1825" s="44" t="str">
        <f>IFERROR((SUMIFS('Audit Raw data'!BZ:BZ,'Audit Raw data'!J:J,B:B,'Audit Raw data'!E:E,G:G)/H1825)/100,"-")</f>
        <v>-</v>
      </c>
      <c r="J1825">
        <f>COUNTIFS('Audit Raw data'!AM:AM,"Yes",'Audit Raw data'!J:J,B:B,'Audit Raw data'!E:E,'Day wise agent'!G:G)</f>
        <v>0</v>
      </c>
      <c r="K1825">
        <f>COUNTIFS('Audit Raw data'!AM:AM,"NO",'Audit Raw data'!J:J,B:B,'Audit Raw data'!E:E,'Day wise agent'!G:G)</f>
        <v>0</v>
      </c>
      <c r="L1825" s="12" t="str">
        <f t="shared" si="49"/>
        <v xml:space="preserve"> </v>
      </c>
    </row>
    <row r="1826" spans="4:12" x14ac:dyDescent="0.35">
      <c r="D1826" s="32"/>
      <c r="G1826" s="32"/>
      <c r="H1826">
        <f>COUNTIFS('Audit Raw data'!J:J,B:B,'Audit Raw data'!E:E,G:G)</f>
        <v>0</v>
      </c>
      <c r="I1826" s="44" t="str">
        <f>IFERROR((SUMIFS('Audit Raw data'!BZ:BZ,'Audit Raw data'!J:J,B:B,'Audit Raw data'!E:E,G:G)/H1826)/100,"-")</f>
        <v>-</v>
      </c>
      <c r="J1826">
        <f>COUNTIFS('Audit Raw data'!AM:AM,"Yes",'Audit Raw data'!J:J,B:B,'Audit Raw data'!E:E,'Day wise agent'!G:G)</f>
        <v>0</v>
      </c>
      <c r="K1826">
        <f>COUNTIFS('Audit Raw data'!AM:AM,"NO",'Audit Raw data'!J:J,B:B,'Audit Raw data'!E:E,'Day wise agent'!G:G)</f>
        <v>0</v>
      </c>
      <c r="L1826" s="12" t="str">
        <f t="shared" si="49"/>
        <v xml:space="preserve"> </v>
      </c>
    </row>
    <row r="1827" spans="4:12" x14ac:dyDescent="0.35">
      <c r="D1827" s="32"/>
      <c r="G1827" s="32"/>
      <c r="H1827">
        <f>COUNTIFS('Audit Raw data'!J:J,B:B,'Audit Raw data'!E:E,G:G)</f>
        <v>0</v>
      </c>
      <c r="I1827" s="44" t="str">
        <f>IFERROR((SUMIFS('Audit Raw data'!BZ:BZ,'Audit Raw data'!J:J,B:B,'Audit Raw data'!E:E,G:G)/H1827)/100,"-")</f>
        <v>-</v>
      </c>
      <c r="J1827">
        <f>COUNTIFS('Audit Raw data'!AM:AM,"Yes",'Audit Raw data'!J:J,B:B,'Audit Raw data'!E:E,'Day wise agent'!G:G)</f>
        <v>0</v>
      </c>
      <c r="K1827">
        <f>COUNTIFS('Audit Raw data'!AM:AM,"NO",'Audit Raw data'!J:J,B:B,'Audit Raw data'!E:E,'Day wise agent'!G:G)</f>
        <v>0</v>
      </c>
      <c r="L1827" s="12" t="str">
        <f t="shared" si="49"/>
        <v xml:space="preserve"> </v>
      </c>
    </row>
    <row r="1828" spans="4:12" x14ac:dyDescent="0.35">
      <c r="D1828" s="32"/>
      <c r="G1828" s="32"/>
      <c r="H1828">
        <f>COUNTIFS('Audit Raw data'!J:J,B:B,'Audit Raw data'!E:E,G:G)</f>
        <v>0</v>
      </c>
      <c r="I1828" s="44" t="str">
        <f>IFERROR((SUMIFS('Audit Raw data'!BZ:BZ,'Audit Raw data'!J:J,B:B,'Audit Raw data'!E:E,G:G)/H1828)/100,"-")</f>
        <v>-</v>
      </c>
      <c r="J1828">
        <f>COUNTIFS('Audit Raw data'!AM:AM,"Yes",'Audit Raw data'!J:J,B:B,'Audit Raw data'!E:E,'Day wise agent'!G:G)</f>
        <v>0</v>
      </c>
      <c r="K1828">
        <f>COUNTIFS('Audit Raw data'!AM:AM,"NO",'Audit Raw data'!J:J,B:B,'Audit Raw data'!E:E,'Day wise agent'!G:G)</f>
        <v>0</v>
      </c>
      <c r="L1828" s="12" t="str">
        <f t="shared" si="49"/>
        <v xml:space="preserve"> </v>
      </c>
    </row>
    <row r="1829" spans="4:12" x14ac:dyDescent="0.35">
      <c r="D1829" s="32"/>
      <c r="G1829" s="32"/>
      <c r="H1829">
        <f>COUNTIFS('Audit Raw data'!J:J,B:B,'Audit Raw data'!E:E,G:G)</f>
        <v>0</v>
      </c>
      <c r="I1829" s="44" t="str">
        <f>IFERROR((SUMIFS('Audit Raw data'!BZ:BZ,'Audit Raw data'!J:J,B:B,'Audit Raw data'!E:E,G:G)/H1829)/100,"-")</f>
        <v>-</v>
      </c>
      <c r="J1829">
        <f>COUNTIFS('Audit Raw data'!AM:AM,"Yes",'Audit Raw data'!J:J,B:B,'Audit Raw data'!E:E,'Day wise agent'!G:G)</f>
        <v>0</v>
      </c>
      <c r="K1829">
        <f>COUNTIFS('Audit Raw data'!AM:AM,"NO",'Audit Raw data'!J:J,B:B,'Audit Raw data'!E:E,'Day wise agent'!G:G)</f>
        <v>0</v>
      </c>
      <c r="L1829" s="12" t="str">
        <f t="shared" si="49"/>
        <v xml:space="preserve"> </v>
      </c>
    </row>
    <row r="1830" spans="4:12" x14ac:dyDescent="0.35">
      <c r="D1830" s="32"/>
      <c r="G1830" s="32"/>
      <c r="H1830">
        <f>COUNTIFS('Audit Raw data'!J:J,B:B,'Audit Raw data'!E:E,G:G)</f>
        <v>0</v>
      </c>
      <c r="I1830" s="44" t="str">
        <f>IFERROR((SUMIFS('Audit Raw data'!BZ:BZ,'Audit Raw data'!J:J,B:B,'Audit Raw data'!E:E,G:G)/H1830)/100,"-")</f>
        <v>-</v>
      </c>
      <c r="J1830">
        <f>COUNTIFS('Audit Raw data'!AM:AM,"Yes",'Audit Raw data'!J:J,B:B,'Audit Raw data'!E:E,'Day wise agent'!G:G)</f>
        <v>0</v>
      </c>
      <c r="K1830">
        <f>COUNTIFS('Audit Raw data'!AM:AM,"NO",'Audit Raw data'!J:J,B:B,'Audit Raw data'!E:E,'Day wise agent'!G:G)</f>
        <v>0</v>
      </c>
      <c r="L1830" s="12" t="str">
        <f t="shared" si="49"/>
        <v xml:space="preserve"> </v>
      </c>
    </row>
    <row r="1831" spans="4:12" x14ac:dyDescent="0.35">
      <c r="D1831" s="32"/>
      <c r="G1831" s="32"/>
      <c r="H1831">
        <f>COUNTIFS('Audit Raw data'!J:J,B:B,'Audit Raw data'!E:E,G:G)</f>
        <v>0</v>
      </c>
      <c r="I1831" s="44" t="str">
        <f>IFERROR((SUMIFS('Audit Raw data'!BZ:BZ,'Audit Raw data'!J:J,B:B,'Audit Raw data'!E:E,G:G)/H1831)/100,"-")</f>
        <v>-</v>
      </c>
      <c r="J1831">
        <f>COUNTIFS('Audit Raw data'!AM:AM,"Yes",'Audit Raw data'!J:J,B:B,'Audit Raw data'!E:E,'Day wise agent'!G:G)</f>
        <v>0</v>
      </c>
      <c r="K1831">
        <f>COUNTIFS('Audit Raw data'!AM:AM,"NO",'Audit Raw data'!J:J,B:B,'Audit Raw data'!E:E,'Day wise agent'!G:G)</f>
        <v>0</v>
      </c>
      <c r="L1831" s="12" t="str">
        <f t="shared" si="49"/>
        <v xml:space="preserve"> </v>
      </c>
    </row>
    <row r="1832" spans="4:12" x14ac:dyDescent="0.35">
      <c r="D1832" s="32"/>
      <c r="G1832" s="32"/>
      <c r="H1832">
        <f>COUNTIFS('Audit Raw data'!J:J,B:B,'Audit Raw data'!E:E,G:G)</f>
        <v>0</v>
      </c>
      <c r="I1832" s="44" t="str">
        <f>IFERROR((SUMIFS('Audit Raw data'!BZ:BZ,'Audit Raw data'!J:J,B:B,'Audit Raw data'!E:E,G:G)/H1832)/100,"-")</f>
        <v>-</v>
      </c>
      <c r="J1832">
        <f>COUNTIFS('Audit Raw data'!AM:AM,"Yes",'Audit Raw data'!J:J,B:B,'Audit Raw data'!E:E,'Day wise agent'!G:G)</f>
        <v>0</v>
      </c>
      <c r="K1832">
        <f>COUNTIFS('Audit Raw data'!AM:AM,"NO",'Audit Raw data'!J:J,B:B,'Audit Raw data'!E:E,'Day wise agent'!G:G)</f>
        <v>0</v>
      </c>
      <c r="L1832" s="12" t="str">
        <f t="shared" si="49"/>
        <v xml:space="preserve"> </v>
      </c>
    </row>
    <row r="1833" spans="4:12" x14ac:dyDescent="0.35">
      <c r="D1833" s="32"/>
      <c r="G1833" s="32"/>
      <c r="H1833">
        <f>COUNTIFS('Audit Raw data'!J:J,B:B,'Audit Raw data'!E:E,G:G)</f>
        <v>0</v>
      </c>
      <c r="I1833" s="44" t="str">
        <f>IFERROR((SUMIFS('Audit Raw data'!BZ:BZ,'Audit Raw data'!J:J,B:B,'Audit Raw data'!E:E,G:G)/H1833)/100,"-")</f>
        <v>-</v>
      </c>
      <c r="J1833">
        <f>COUNTIFS('Audit Raw data'!AM:AM,"Yes",'Audit Raw data'!J:J,B:B,'Audit Raw data'!E:E,'Day wise agent'!G:G)</f>
        <v>0</v>
      </c>
      <c r="K1833">
        <f>COUNTIFS('Audit Raw data'!AM:AM,"NO",'Audit Raw data'!J:J,B:B,'Audit Raw data'!E:E,'Day wise agent'!G:G)</f>
        <v>0</v>
      </c>
      <c r="L1833" s="12" t="str">
        <f t="shared" si="49"/>
        <v xml:space="preserve"> </v>
      </c>
    </row>
    <row r="1834" spans="4:12" x14ac:dyDescent="0.35">
      <c r="D1834" s="32"/>
      <c r="G1834" s="32"/>
      <c r="H1834">
        <f>COUNTIFS('Audit Raw data'!J:J,B:B,'Audit Raw data'!E:E,G:G)</f>
        <v>0</v>
      </c>
      <c r="I1834" s="44" t="str">
        <f>IFERROR((SUMIFS('Audit Raw data'!BZ:BZ,'Audit Raw data'!J:J,B:B,'Audit Raw data'!E:E,G:G)/H1834)/100,"-")</f>
        <v>-</v>
      </c>
      <c r="J1834">
        <f>COUNTIFS('Audit Raw data'!AM:AM,"Yes",'Audit Raw data'!J:J,B:B,'Audit Raw data'!E:E,'Day wise agent'!G:G)</f>
        <v>0</v>
      </c>
      <c r="K1834">
        <f>COUNTIFS('Audit Raw data'!AM:AM,"NO",'Audit Raw data'!J:J,B:B,'Audit Raw data'!E:E,'Day wise agent'!G:G)</f>
        <v>0</v>
      </c>
      <c r="L1834" s="12" t="str">
        <f t="shared" si="49"/>
        <v xml:space="preserve"> </v>
      </c>
    </row>
    <row r="1835" spans="4:12" x14ac:dyDescent="0.35">
      <c r="D1835" s="32"/>
      <c r="G1835" s="32"/>
      <c r="H1835">
        <f>COUNTIFS('Audit Raw data'!J:J,B:B,'Audit Raw data'!E:E,G:G)</f>
        <v>0</v>
      </c>
      <c r="I1835" s="44" t="str">
        <f>IFERROR((SUMIFS('Audit Raw data'!BZ:BZ,'Audit Raw data'!J:J,B:B,'Audit Raw data'!E:E,G:G)/H1835)/100,"-")</f>
        <v>-</v>
      </c>
      <c r="J1835">
        <f>COUNTIFS('Audit Raw data'!AM:AM,"Yes",'Audit Raw data'!J:J,B:B,'Audit Raw data'!E:E,'Day wise agent'!G:G)</f>
        <v>0</v>
      </c>
      <c r="K1835">
        <f>COUNTIFS('Audit Raw data'!AM:AM,"NO",'Audit Raw data'!J:J,B:B,'Audit Raw data'!E:E,'Day wise agent'!G:G)</f>
        <v>0</v>
      </c>
      <c r="L1835" s="12" t="str">
        <f t="shared" si="49"/>
        <v xml:space="preserve"> </v>
      </c>
    </row>
    <row r="1836" spans="4:12" x14ac:dyDescent="0.35">
      <c r="D1836" s="32"/>
      <c r="G1836" s="32"/>
      <c r="H1836">
        <f>COUNTIFS('Audit Raw data'!J:J,B:B,'Audit Raw data'!E:E,G:G)</f>
        <v>0</v>
      </c>
      <c r="I1836" s="44" t="str">
        <f>IFERROR((SUMIFS('Audit Raw data'!BZ:BZ,'Audit Raw data'!J:J,B:B,'Audit Raw data'!E:E,G:G)/H1836)/100,"-")</f>
        <v>-</v>
      </c>
      <c r="J1836">
        <f>COUNTIFS('Audit Raw data'!AM:AM,"Yes",'Audit Raw data'!J:J,B:B,'Audit Raw data'!E:E,'Day wise agent'!G:G)</f>
        <v>0</v>
      </c>
      <c r="K1836">
        <f>COUNTIFS('Audit Raw data'!AM:AM,"NO",'Audit Raw data'!J:J,B:B,'Audit Raw data'!E:E,'Day wise agent'!G:G)</f>
        <v>0</v>
      </c>
      <c r="L1836" s="12" t="str">
        <f t="shared" si="49"/>
        <v xml:space="preserve"> </v>
      </c>
    </row>
    <row r="1837" spans="4:12" x14ac:dyDescent="0.35">
      <c r="D1837" s="32"/>
      <c r="G1837" s="32"/>
      <c r="H1837">
        <f>COUNTIFS('Audit Raw data'!J:J,B:B,'Audit Raw data'!E:E,G:G)</f>
        <v>0</v>
      </c>
      <c r="I1837" s="44" t="str">
        <f>IFERROR((SUMIFS('Audit Raw data'!BZ:BZ,'Audit Raw data'!J:J,B:B,'Audit Raw data'!E:E,G:G)/H1837)/100,"-")</f>
        <v>-</v>
      </c>
      <c r="J1837">
        <f>COUNTIFS('Audit Raw data'!AM:AM,"Yes",'Audit Raw data'!J:J,B:B,'Audit Raw data'!E:E,'Day wise agent'!G:G)</f>
        <v>0</v>
      </c>
      <c r="K1837">
        <f>COUNTIFS('Audit Raw data'!AM:AM,"NO",'Audit Raw data'!J:J,B:B,'Audit Raw data'!E:E,'Day wise agent'!G:G)</f>
        <v>0</v>
      </c>
      <c r="L1837" s="12" t="str">
        <f t="shared" si="49"/>
        <v xml:space="preserve"> </v>
      </c>
    </row>
    <row r="1838" spans="4:12" x14ac:dyDescent="0.35">
      <c r="D1838" s="32"/>
      <c r="G1838" s="32"/>
      <c r="H1838">
        <f>COUNTIFS('Audit Raw data'!J:J,B:B,'Audit Raw data'!E:E,G:G)</f>
        <v>0</v>
      </c>
      <c r="I1838" s="44" t="str">
        <f>IFERROR((SUMIFS('Audit Raw data'!BZ:BZ,'Audit Raw data'!J:J,B:B,'Audit Raw data'!E:E,G:G)/H1838)/100,"-")</f>
        <v>-</v>
      </c>
      <c r="J1838">
        <f>COUNTIFS('Audit Raw data'!AM:AM,"Yes",'Audit Raw data'!J:J,B:B,'Audit Raw data'!E:E,'Day wise agent'!G:G)</f>
        <v>0</v>
      </c>
      <c r="K1838">
        <f>COUNTIFS('Audit Raw data'!AM:AM,"NO",'Audit Raw data'!J:J,B:B,'Audit Raw data'!E:E,'Day wise agent'!G:G)</f>
        <v>0</v>
      </c>
      <c r="L1838" s="12" t="str">
        <f t="shared" si="49"/>
        <v xml:space="preserve"> </v>
      </c>
    </row>
    <row r="1839" spans="4:12" x14ac:dyDescent="0.35">
      <c r="D1839" s="32"/>
      <c r="G1839" s="32"/>
      <c r="H1839">
        <f>COUNTIFS('Audit Raw data'!J:J,B:B,'Audit Raw data'!E:E,G:G)</f>
        <v>0</v>
      </c>
      <c r="I1839" s="44" t="str">
        <f>IFERROR((SUMIFS('Audit Raw data'!BZ:BZ,'Audit Raw data'!J:J,B:B,'Audit Raw data'!E:E,G:G)/H1839)/100,"-")</f>
        <v>-</v>
      </c>
      <c r="J1839">
        <f>COUNTIFS('Audit Raw data'!AM:AM,"Yes",'Audit Raw data'!J:J,B:B,'Audit Raw data'!E:E,'Day wise agent'!G:G)</f>
        <v>0</v>
      </c>
      <c r="K1839">
        <f>COUNTIFS('Audit Raw data'!AM:AM,"NO",'Audit Raw data'!J:J,B:B,'Audit Raw data'!E:E,'Day wise agent'!G:G)</f>
        <v>0</v>
      </c>
      <c r="L1839" s="12" t="str">
        <f t="shared" si="49"/>
        <v xml:space="preserve"> </v>
      </c>
    </row>
    <row r="1840" spans="4:12" x14ac:dyDescent="0.35">
      <c r="D1840" s="32"/>
      <c r="G1840" s="32"/>
      <c r="H1840">
        <f>COUNTIFS('Audit Raw data'!J:J,B:B,'Audit Raw data'!E:E,G:G)</f>
        <v>0</v>
      </c>
      <c r="I1840" s="44" t="str">
        <f>IFERROR((SUMIFS('Audit Raw data'!BZ:BZ,'Audit Raw data'!J:J,B:B,'Audit Raw data'!E:E,G:G)/H1840)/100,"-")</f>
        <v>-</v>
      </c>
      <c r="J1840">
        <f>COUNTIFS('Audit Raw data'!AM:AM,"Yes",'Audit Raw data'!J:J,B:B,'Audit Raw data'!E:E,'Day wise agent'!G:G)</f>
        <v>0</v>
      </c>
      <c r="K1840">
        <f>COUNTIFS('Audit Raw data'!AM:AM,"NO",'Audit Raw data'!J:J,B:B,'Audit Raw data'!E:E,'Day wise agent'!G:G)</f>
        <v>0</v>
      </c>
      <c r="L1840" s="12" t="str">
        <f t="shared" si="49"/>
        <v xml:space="preserve"> </v>
      </c>
    </row>
    <row r="1841" spans="4:12" x14ac:dyDescent="0.35">
      <c r="D1841" s="32"/>
      <c r="G1841" s="32"/>
      <c r="H1841">
        <f>COUNTIFS('Audit Raw data'!J:J,B:B,'Audit Raw data'!E:E,G:G)</f>
        <v>0</v>
      </c>
      <c r="I1841" s="44" t="str">
        <f>IFERROR((SUMIFS('Audit Raw data'!BZ:BZ,'Audit Raw data'!J:J,B:B,'Audit Raw data'!E:E,G:G)/H1841)/100,"-")</f>
        <v>-</v>
      </c>
      <c r="J1841">
        <f>COUNTIFS('Audit Raw data'!AM:AM,"Yes",'Audit Raw data'!J:J,B:B,'Audit Raw data'!E:E,'Day wise agent'!G:G)</f>
        <v>0</v>
      </c>
      <c r="K1841">
        <f>COUNTIFS('Audit Raw data'!AM:AM,"NO",'Audit Raw data'!J:J,B:B,'Audit Raw data'!E:E,'Day wise agent'!G:G)</f>
        <v>0</v>
      </c>
      <c r="L1841" s="12" t="str">
        <f t="shared" si="49"/>
        <v xml:space="preserve"> </v>
      </c>
    </row>
    <row r="1842" spans="4:12" x14ac:dyDescent="0.35">
      <c r="D1842" s="32"/>
      <c r="G1842" s="32"/>
      <c r="H1842">
        <f>COUNTIFS('Audit Raw data'!J:J,B:B,'Audit Raw data'!E:E,G:G)</f>
        <v>0</v>
      </c>
      <c r="I1842" s="44" t="str">
        <f>IFERROR((SUMIFS('Audit Raw data'!BZ:BZ,'Audit Raw data'!J:J,B:B,'Audit Raw data'!E:E,G:G)/H1842)/100,"-")</f>
        <v>-</v>
      </c>
      <c r="J1842">
        <f>COUNTIFS('Audit Raw data'!AM:AM,"Yes",'Audit Raw data'!J:J,B:B,'Audit Raw data'!E:E,'Day wise agent'!G:G)</f>
        <v>0</v>
      </c>
      <c r="K1842">
        <f>COUNTIFS('Audit Raw data'!AM:AM,"NO",'Audit Raw data'!J:J,B:B,'Audit Raw data'!E:E,'Day wise agent'!G:G)</f>
        <v>0</v>
      </c>
      <c r="L1842" s="12" t="str">
        <f t="shared" si="49"/>
        <v xml:space="preserve"> </v>
      </c>
    </row>
    <row r="1843" spans="4:12" x14ac:dyDescent="0.35">
      <c r="D1843" s="32"/>
      <c r="G1843" s="32"/>
      <c r="H1843">
        <f>COUNTIFS('Audit Raw data'!J:J,B:B,'Audit Raw data'!E:E,G:G)</f>
        <v>0</v>
      </c>
      <c r="I1843" s="44" t="str">
        <f>IFERROR((SUMIFS('Audit Raw data'!BZ:BZ,'Audit Raw data'!J:J,B:B,'Audit Raw data'!E:E,G:G)/H1843)/100,"-")</f>
        <v>-</v>
      </c>
      <c r="J1843">
        <f>COUNTIFS('Audit Raw data'!AM:AM,"Yes",'Audit Raw data'!J:J,B:B,'Audit Raw data'!E:E,'Day wise agent'!G:G)</f>
        <v>0</v>
      </c>
      <c r="K1843">
        <f>COUNTIFS('Audit Raw data'!AM:AM,"NO",'Audit Raw data'!J:J,B:B,'Audit Raw data'!E:E,'Day wise agent'!G:G)</f>
        <v>0</v>
      </c>
      <c r="L1843" s="12" t="str">
        <f t="shared" si="49"/>
        <v xml:space="preserve"> </v>
      </c>
    </row>
    <row r="1844" spans="4:12" x14ac:dyDescent="0.35">
      <c r="D1844" s="32"/>
      <c r="G1844" s="32"/>
      <c r="H1844">
        <f>COUNTIFS('Audit Raw data'!J:J,B:B,'Audit Raw data'!E:E,G:G)</f>
        <v>0</v>
      </c>
      <c r="I1844" s="44" t="str">
        <f>IFERROR((SUMIFS('Audit Raw data'!BZ:BZ,'Audit Raw data'!J:J,B:B,'Audit Raw data'!E:E,G:G)/H1844)/100,"-")</f>
        <v>-</v>
      </c>
      <c r="J1844">
        <f>COUNTIFS('Audit Raw data'!AM:AM,"Yes",'Audit Raw data'!J:J,B:B,'Audit Raw data'!E:E,'Day wise agent'!G:G)</f>
        <v>0</v>
      </c>
      <c r="K1844">
        <f>COUNTIFS('Audit Raw data'!AM:AM,"NO",'Audit Raw data'!J:J,B:B,'Audit Raw data'!E:E,'Day wise agent'!G:G)</f>
        <v>0</v>
      </c>
      <c r="L1844" s="12" t="str">
        <f t="shared" si="49"/>
        <v xml:space="preserve"> </v>
      </c>
    </row>
    <row r="1845" spans="4:12" x14ac:dyDescent="0.35">
      <c r="D1845" s="32"/>
      <c r="G1845" s="32"/>
      <c r="H1845">
        <f>COUNTIFS('Audit Raw data'!J:J,B:B,'Audit Raw data'!E:E,G:G)</f>
        <v>0</v>
      </c>
      <c r="I1845" s="44" t="str">
        <f>IFERROR((SUMIFS('Audit Raw data'!BZ:BZ,'Audit Raw data'!J:J,B:B,'Audit Raw data'!E:E,G:G)/H1845)/100,"-")</f>
        <v>-</v>
      </c>
      <c r="J1845">
        <f>COUNTIFS('Audit Raw data'!AM:AM,"Yes",'Audit Raw data'!J:J,B:B,'Audit Raw data'!E:E,'Day wise agent'!G:G)</f>
        <v>0</v>
      </c>
      <c r="K1845">
        <f>COUNTIFS('Audit Raw data'!AM:AM,"NO",'Audit Raw data'!J:J,B:B,'Audit Raw data'!E:E,'Day wise agent'!G:G)</f>
        <v>0</v>
      </c>
      <c r="L1845" s="12" t="str">
        <f t="shared" si="49"/>
        <v xml:space="preserve"> </v>
      </c>
    </row>
    <row r="1846" spans="4:12" x14ac:dyDescent="0.35">
      <c r="D1846" s="32"/>
      <c r="G1846" s="32"/>
      <c r="H1846">
        <f>COUNTIFS('Audit Raw data'!J:J,B:B,'Audit Raw data'!E:E,G:G)</f>
        <v>0</v>
      </c>
      <c r="I1846" s="44" t="str">
        <f>IFERROR((SUMIFS('Audit Raw data'!BZ:BZ,'Audit Raw data'!J:J,B:B,'Audit Raw data'!E:E,G:G)/H1846)/100,"-")</f>
        <v>-</v>
      </c>
      <c r="J1846">
        <f>COUNTIFS('Audit Raw data'!AM:AM,"Yes",'Audit Raw data'!J:J,B:B,'Audit Raw data'!E:E,'Day wise agent'!G:G)</f>
        <v>0</v>
      </c>
      <c r="K1846">
        <f>COUNTIFS('Audit Raw data'!AM:AM,"NO",'Audit Raw data'!J:J,B:B,'Audit Raw data'!E:E,'Day wise agent'!G:G)</f>
        <v>0</v>
      </c>
      <c r="L1846" s="12" t="str">
        <f t="shared" si="49"/>
        <v xml:space="preserve"> </v>
      </c>
    </row>
    <row r="1847" spans="4:12" x14ac:dyDescent="0.35">
      <c r="D1847" s="32"/>
      <c r="G1847" s="32"/>
      <c r="H1847">
        <f>COUNTIFS('Audit Raw data'!J:J,B:B,'Audit Raw data'!E:E,G:G)</f>
        <v>0</v>
      </c>
      <c r="I1847" s="44" t="str">
        <f>IFERROR((SUMIFS('Audit Raw data'!BZ:BZ,'Audit Raw data'!J:J,B:B,'Audit Raw data'!E:E,G:G)/H1847)/100,"-")</f>
        <v>-</v>
      </c>
      <c r="J1847">
        <f>COUNTIFS('Audit Raw data'!AM:AM,"Yes",'Audit Raw data'!J:J,B:B,'Audit Raw data'!E:E,'Day wise agent'!G:G)</f>
        <v>0</v>
      </c>
      <c r="K1847">
        <f>COUNTIFS('Audit Raw data'!AM:AM,"NO",'Audit Raw data'!J:J,B:B,'Audit Raw data'!E:E,'Day wise agent'!G:G)</f>
        <v>0</v>
      </c>
      <c r="L1847" s="12" t="str">
        <f t="shared" si="49"/>
        <v xml:space="preserve"> </v>
      </c>
    </row>
    <row r="1848" spans="4:12" x14ac:dyDescent="0.35">
      <c r="D1848" s="32"/>
      <c r="G1848" s="32"/>
      <c r="H1848">
        <f>COUNTIFS('Audit Raw data'!J:J,B:B,'Audit Raw data'!E:E,G:G)</f>
        <v>0</v>
      </c>
      <c r="I1848" s="44" t="str">
        <f>IFERROR((SUMIFS('Audit Raw data'!BZ:BZ,'Audit Raw data'!J:J,B:B,'Audit Raw data'!E:E,G:G)/H1848)/100,"-")</f>
        <v>-</v>
      </c>
      <c r="J1848">
        <f>COUNTIFS('Audit Raw data'!AM:AM,"Yes",'Audit Raw data'!J:J,B:B,'Audit Raw data'!E:E,'Day wise agent'!G:G)</f>
        <v>0</v>
      </c>
      <c r="K1848">
        <f>COUNTIFS('Audit Raw data'!AM:AM,"NO",'Audit Raw data'!J:J,B:B,'Audit Raw data'!E:E,'Day wise agent'!G:G)</f>
        <v>0</v>
      </c>
      <c r="L1848" s="12" t="str">
        <f t="shared" si="49"/>
        <v xml:space="preserve"> </v>
      </c>
    </row>
    <row r="1849" spans="4:12" x14ac:dyDescent="0.35">
      <c r="D1849" s="32"/>
      <c r="G1849" s="32"/>
      <c r="H1849">
        <f>COUNTIFS('Audit Raw data'!J:J,B:B,'Audit Raw data'!E:E,G:G)</f>
        <v>0</v>
      </c>
      <c r="I1849" s="44" t="str">
        <f>IFERROR((SUMIFS('Audit Raw data'!BZ:BZ,'Audit Raw data'!J:J,B:B,'Audit Raw data'!E:E,G:G)/H1849)/100,"-")</f>
        <v>-</v>
      </c>
      <c r="J1849">
        <f>COUNTIFS('Audit Raw data'!AM:AM,"Yes",'Audit Raw data'!J:J,B:B,'Audit Raw data'!E:E,'Day wise agent'!G:G)</f>
        <v>0</v>
      </c>
      <c r="K1849">
        <f>COUNTIFS('Audit Raw data'!AM:AM,"NO",'Audit Raw data'!J:J,B:B,'Audit Raw data'!E:E,'Day wise agent'!G:G)</f>
        <v>0</v>
      </c>
      <c r="L1849" s="12" t="str">
        <f t="shared" si="49"/>
        <v xml:space="preserve"> </v>
      </c>
    </row>
    <row r="1850" spans="4:12" x14ac:dyDescent="0.35">
      <c r="D1850" s="32"/>
      <c r="G1850" s="32"/>
      <c r="H1850">
        <f>COUNTIFS('Audit Raw data'!J:J,B:B,'Audit Raw data'!E:E,G:G)</f>
        <v>0</v>
      </c>
      <c r="I1850" s="44" t="str">
        <f>IFERROR((SUMIFS('Audit Raw data'!BZ:BZ,'Audit Raw data'!J:J,B:B,'Audit Raw data'!E:E,G:G)/H1850)/100,"-")</f>
        <v>-</v>
      </c>
      <c r="J1850">
        <f>COUNTIFS('Audit Raw data'!AM:AM,"Yes",'Audit Raw data'!J:J,B:B,'Audit Raw data'!E:E,'Day wise agent'!G:G)</f>
        <v>0</v>
      </c>
      <c r="K1850">
        <f>COUNTIFS('Audit Raw data'!AM:AM,"NO",'Audit Raw data'!J:J,B:B,'Audit Raw data'!E:E,'Day wise agent'!G:G)</f>
        <v>0</v>
      </c>
      <c r="L1850" s="12" t="str">
        <f t="shared" si="49"/>
        <v xml:space="preserve"> </v>
      </c>
    </row>
    <row r="1851" spans="4:12" x14ac:dyDescent="0.35">
      <c r="D1851" s="32"/>
      <c r="G1851" s="32"/>
      <c r="H1851">
        <f>COUNTIFS('Audit Raw data'!J:J,B:B,'Audit Raw data'!E:E,G:G)</f>
        <v>0</v>
      </c>
      <c r="I1851" s="44" t="str">
        <f>IFERROR((SUMIFS('Audit Raw data'!BZ:BZ,'Audit Raw data'!J:J,B:B,'Audit Raw data'!E:E,G:G)/H1851)/100,"-")</f>
        <v>-</v>
      </c>
      <c r="J1851">
        <f>COUNTIFS('Audit Raw data'!AM:AM,"Yes",'Audit Raw data'!J:J,B:B,'Audit Raw data'!E:E,'Day wise agent'!G:G)</f>
        <v>0</v>
      </c>
      <c r="K1851">
        <f>COUNTIFS('Audit Raw data'!AM:AM,"NO",'Audit Raw data'!J:J,B:B,'Audit Raw data'!E:E,'Day wise agent'!G:G)</f>
        <v>0</v>
      </c>
      <c r="L1851" s="12" t="str">
        <f t="shared" si="49"/>
        <v xml:space="preserve"> </v>
      </c>
    </row>
    <row r="1852" spans="4:12" x14ac:dyDescent="0.35">
      <c r="D1852" s="32"/>
      <c r="G1852" s="32"/>
      <c r="H1852">
        <f>COUNTIFS('Audit Raw data'!J:J,B:B,'Audit Raw data'!E:E,G:G)</f>
        <v>0</v>
      </c>
      <c r="I1852" s="44" t="str">
        <f>IFERROR((SUMIFS('Audit Raw data'!BZ:BZ,'Audit Raw data'!J:J,B:B,'Audit Raw data'!E:E,G:G)/H1852)/100,"-")</f>
        <v>-</v>
      </c>
      <c r="J1852">
        <f>COUNTIFS('Audit Raw data'!AM:AM,"Yes",'Audit Raw data'!J:J,B:B,'Audit Raw data'!E:E,'Day wise agent'!G:G)</f>
        <v>0</v>
      </c>
      <c r="K1852">
        <f>COUNTIFS('Audit Raw data'!AM:AM,"NO",'Audit Raw data'!J:J,B:B,'Audit Raw data'!E:E,'Day wise agent'!G:G)</f>
        <v>0</v>
      </c>
      <c r="L1852" s="12" t="str">
        <f t="shared" si="49"/>
        <v xml:space="preserve"> </v>
      </c>
    </row>
    <row r="1853" spans="4:12" x14ac:dyDescent="0.35">
      <c r="D1853" s="32"/>
      <c r="G1853" s="32"/>
      <c r="H1853">
        <f>COUNTIFS('Audit Raw data'!J:J,B:B,'Audit Raw data'!E:E,G:G)</f>
        <v>0</v>
      </c>
      <c r="I1853" s="44" t="str">
        <f>IFERROR((SUMIFS('Audit Raw data'!BZ:BZ,'Audit Raw data'!J:J,B:B,'Audit Raw data'!E:E,G:G)/H1853)/100,"-")</f>
        <v>-</v>
      </c>
      <c r="J1853">
        <f>COUNTIFS('Audit Raw data'!AM:AM,"Yes",'Audit Raw data'!J:J,B:B,'Audit Raw data'!E:E,'Day wise agent'!G:G)</f>
        <v>0</v>
      </c>
      <c r="K1853">
        <f>COUNTIFS('Audit Raw data'!AM:AM,"NO",'Audit Raw data'!J:J,B:B,'Audit Raw data'!E:E,'Day wise agent'!G:G)</f>
        <v>0</v>
      </c>
      <c r="L1853" s="12" t="str">
        <f t="shared" si="49"/>
        <v xml:space="preserve"> </v>
      </c>
    </row>
    <row r="1854" spans="4:12" x14ac:dyDescent="0.35">
      <c r="D1854" s="32"/>
      <c r="G1854" s="32"/>
      <c r="H1854">
        <f>COUNTIFS('Audit Raw data'!J:J,B:B,'Audit Raw data'!E:E,G:G)</f>
        <v>0</v>
      </c>
      <c r="I1854" s="44" t="str">
        <f>IFERROR((SUMIFS('Audit Raw data'!BZ:BZ,'Audit Raw data'!J:J,B:B,'Audit Raw data'!E:E,G:G)/H1854)/100,"-")</f>
        <v>-</v>
      </c>
      <c r="J1854">
        <f>COUNTIFS('Audit Raw data'!AM:AM,"Yes",'Audit Raw data'!J:J,B:B,'Audit Raw data'!E:E,'Day wise agent'!G:G)</f>
        <v>0</v>
      </c>
      <c r="K1854">
        <f>COUNTIFS('Audit Raw data'!AM:AM,"NO",'Audit Raw data'!J:J,B:B,'Audit Raw data'!E:E,'Day wise agent'!G:G)</f>
        <v>0</v>
      </c>
      <c r="L1854" s="12" t="str">
        <f t="shared" si="49"/>
        <v xml:space="preserve"> </v>
      </c>
    </row>
    <row r="1855" spans="4:12" x14ac:dyDescent="0.35">
      <c r="D1855" s="32"/>
      <c r="G1855" s="32"/>
      <c r="H1855">
        <f>COUNTIFS('Audit Raw data'!J:J,B:B,'Audit Raw data'!E:E,G:G)</f>
        <v>0</v>
      </c>
      <c r="I1855" s="44" t="str">
        <f>IFERROR((SUMIFS('Audit Raw data'!BZ:BZ,'Audit Raw data'!J:J,B:B,'Audit Raw data'!E:E,G:G)/H1855)/100,"-")</f>
        <v>-</v>
      </c>
      <c r="J1855">
        <f>COUNTIFS('Audit Raw data'!AM:AM,"Yes",'Audit Raw data'!J:J,B:B,'Audit Raw data'!E:E,'Day wise agent'!G:G)</f>
        <v>0</v>
      </c>
      <c r="K1855">
        <f>COUNTIFS('Audit Raw data'!AM:AM,"NO",'Audit Raw data'!J:J,B:B,'Audit Raw data'!E:E,'Day wise agent'!G:G)</f>
        <v>0</v>
      </c>
      <c r="L1855" s="12" t="str">
        <f t="shared" si="49"/>
        <v xml:space="preserve"> </v>
      </c>
    </row>
    <row r="1856" spans="4:12" x14ac:dyDescent="0.35">
      <c r="D1856" s="32"/>
      <c r="G1856" s="32"/>
      <c r="H1856">
        <f>COUNTIFS('Audit Raw data'!J:J,B:B,'Audit Raw data'!E:E,G:G)</f>
        <v>0</v>
      </c>
      <c r="I1856" s="44" t="str">
        <f>IFERROR((SUMIFS('Audit Raw data'!BZ:BZ,'Audit Raw data'!J:J,B:B,'Audit Raw data'!E:E,G:G)/H1856)/100,"-")</f>
        <v>-</v>
      </c>
      <c r="J1856">
        <f>COUNTIFS('Audit Raw data'!AM:AM,"Yes",'Audit Raw data'!J:J,B:B,'Audit Raw data'!E:E,'Day wise agent'!G:G)</f>
        <v>0</v>
      </c>
      <c r="K1856">
        <f>COUNTIFS('Audit Raw data'!AM:AM,"NO",'Audit Raw data'!J:J,B:B,'Audit Raw data'!E:E,'Day wise agent'!G:G)</f>
        <v>0</v>
      </c>
      <c r="L1856" s="12" t="str">
        <f t="shared" si="49"/>
        <v xml:space="preserve"> </v>
      </c>
    </row>
    <row r="1857" spans="4:12" x14ac:dyDescent="0.35">
      <c r="D1857" s="32"/>
      <c r="G1857" s="32"/>
      <c r="H1857">
        <f>COUNTIFS('Audit Raw data'!J:J,B:B,'Audit Raw data'!E:E,G:G)</f>
        <v>0</v>
      </c>
      <c r="I1857" s="44" t="str">
        <f>IFERROR((SUMIFS('Audit Raw data'!BZ:BZ,'Audit Raw data'!J:J,B:B,'Audit Raw data'!E:E,G:G)/H1857)/100,"-")</f>
        <v>-</v>
      </c>
      <c r="J1857">
        <f>COUNTIFS('Audit Raw data'!AM:AM,"Yes",'Audit Raw data'!J:J,B:B,'Audit Raw data'!E:E,'Day wise agent'!G:G)</f>
        <v>0</v>
      </c>
      <c r="K1857">
        <f>COUNTIFS('Audit Raw data'!AM:AM,"NO",'Audit Raw data'!J:J,B:B,'Audit Raw data'!E:E,'Day wise agent'!G:G)</f>
        <v>0</v>
      </c>
      <c r="L1857" s="12" t="str">
        <f t="shared" si="49"/>
        <v xml:space="preserve"> </v>
      </c>
    </row>
    <row r="1858" spans="4:12" x14ac:dyDescent="0.35">
      <c r="D1858" s="32"/>
      <c r="G1858" s="32"/>
      <c r="H1858">
        <f>COUNTIFS('Audit Raw data'!J:J,B:B,'Audit Raw data'!E:E,G:G)</f>
        <v>0</v>
      </c>
      <c r="I1858" s="44" t="str">
        <f>IFERROR((SUMIFS('Audit Raw data'!BZ:BZ,'Audit Raw data'!J:J,B:B,'Audit Raw data'!E:E,G:G)/H1858)/100,"-")</f>
        <v>-</v>
      </c>
      <c r="J1858">
        <f>COUNTIFS('Audit Raw data'!AM:AM,"Yes",'Audit Raw data'!J:J,B:B,'Audit Raw data'!E:E,'Day wise agent'!G:G)</f>
        <v>0</v>
      </c>
      <c r="K1858">
        <f>COUNTIFS('Audit Raw data'!AM:AM,"NO",'Audit Raw data'!J:J,B:B,'Audit Raw data'!E:E,'Day wise agent'!G:G)</f>
        <v>0</v>
      </c>
      <c r="L1858" s="12" t="str">
        <f t="shared" ref="L1858:L1921" si="50">IFERROR(J1858/H1858," ")</f>
        <v xml:space="preserve"> </v>
      </c>
    </row>
    <row r="1859" spans="4:12" x14ac:dyDescent="0.35">
      <c r="D1859" s="32"/>
      <c r="G1859" s="32"/>
      <c r="H1859">
        <f>COUNTIFS('Audit Raw data'!J:J,B:B,'Audit Raw data'!E:E,G:G)</f>
        <v>0</v>
      </c>
      <c r="I1859" s="44" t="str">
        <f>IFERROR((SUMIFS('Audit Raw data'!BZ:BZ,'Audit Raw data'!J:J,B:B,'Audit Raw data'!E:E,G:G)/H1859)/100,"-")</f>
        <v>-</v>
      </c>
      <c r="J1859">
        <f>COUNTIFS('Audit Raw data'!AM:AM,"Yes",'Audit Raw data'!J:J,B:B,'Audit Raw data'!E:E,'Day wise agent'!G:G)</f>
        <v>0</v>
      </c>
      <c r="K1859">
        <f>COUNTIFS('Audit Raw data'!AM:AM,"NO",'Audit Raw data'!J:J,B:B,'Audit Raw data'!E:E,'Day wise agent'!G:G)</f>
        <v>0</v>
      </c>
      <c r="L1859" s="12" t="str">
        <f t="shared" si="50"/>
        <v xml:space="preserve"> </v>
      </c>
    </row>
    <row r="1860" spans="4:12" x14ac:dyDescent="0.35">
      <c r="D1860" s="32"/>
      <c r="G1860" s="32"/>
      <c r="H1860">
        <f>COUNTIFS('Audit Raw data'!J:J,B:B,'Audit Raw data'!E:E,G:G)</f>
        <v>0</v>
      </c>
      <c r="I1860" s="44" t="str">
        <f>IFERROR((SUMIFS('Audit Raw data'!BZ:BZ,'Audit Raw data'!J:J,B:B,'Audit Raw data'!E:E,G:G)/H1860)/100,"-")</f>
        <v>-</v>
      </c>
      <c r="J1860">
        <f>COUNTIFS('Audit Raw data'!AM:AM,"Yes",'Audit Raw data'!J:J,B:B,'Audit Raw data'!E:E,'Day wise agent'!G:G)</f>
        <v>0</v>
      </c>
      <c r="K1860">
        <f>COUNTIFS('Audit Raw data'!AM:AM,"NO",'Audit Raw data'!J:J,B:B,'Audit Raw data'!E:E,'Day wise agent'!G:G)</f>
        <v>0</v>
      </c>
      <c r="L1860" s="12" t="str">
        <f t="shared" si="50"/>
        <v xml:space="preserve"> </v>
      </c>
    </row>
    <row r="1861" spans="4:12" x14ac:dyDescent="0.35">
      <c r="D1861" s="32"/>
      <c r="G1861" s="32"/>
      <c r="H1861">
        <f>COUNTIFS('Audit Raw data'!J:J,B:B,'Audit Raw data'!E:E,G:G)</f>
        <v>0</v>
      </c>
      <c r="I1861" s="44" t="str">
        <f>IFERROR((SUMIFS('Audit Raw data'!BZ:BZ,'Audit Raw data'!J:J,B:B,'Audit Raw data'!E:E,G:G)/H1861)/100,"-")</f>
        <v>-</v>
      </c>
      <c r="J1861">
        <f>COUNTIFS('Audit Raw data'!AM:AM,"Yes",'Audit Raw data'!J:J,B:B,'Audit Raw data'!E:E,'Day wise agent'!G:G)</f>
        <v>0</v>
      </c>
      <c r="K1861">
        <f>COUNTIFS('Audit Raw data'!AM:AM,"NO",'Audit Raw data'!J:J,B:B,'Audit Raw data'!E:E,'Day wise agent'!G:G)</f>
        <v>0</v>
      </c>
      <c r="L1861" s="12" t="str">
        <f t="shared" si="50"/>
        <v xml:space="preserve"> </v>
      </c>
    </row>
    <row r="1862" spans="4:12" x14ac:dyDescent="0.35">
      <c r="D1862" s="32"/>
      <c r="G1862" s="32"/>
      <c r="H1862">
        <f>COUNTIFS('Audit Raw data'!J:J,B:B,'Audit Raw data'!E:E,G:G)</f>
        <v>0</v>
      </c>
      <c r="I1862" s="44" t="str">
        <f>IFERROR((SUMIFS('Audit Raw data'!BZ:BZ,'Audit Raw data'!J:J,B:B,'Audit Raw data'!E:E,G:G)/H1862)/100,"-")</f>
        <v>-</v>
      </c>
      <c r="J1862">
        <f>COUNTIFS('Audit Raw data'!AM:AM,"Yes",'Audit Raw data'!J:J,B:B,'Audit Raw data'!E:E,'Day wise agent'!G:G)</f>
        <v>0</v>
      </c>
      <c r="K1862">
        <f>COUNTIFS('Audit Raw data'!AM:AM,"NO",'Audit Raw data'!J:J,B:B,'Audit Raw data'!E:E,'Day wise agent'!G:G)</f>
        <v>0</v>
      </c>
      <c r="L1862" s="12" t="str">
        <f t="shared" si="50"/>
        <v xml:space="preserve"> </v>
      </c>
    </row>
    <row r="1863" spans="4:12" x14ac:dyDescent="0.35">
      <c r="D1863" s="32"/>
      <c r="G1863" s="32"/>
      <c r="H1863">
        <f>COUNTIFS('Audit Raw data'!J:J,B:B,'Audit Raw data'!E:E,G:G)</f>
        <v>0</v>
      </c>
      <c r="I1863" s="44" t="str">
        <f>IFERROR((SUMIFS('Audit Raw data'!BZ:BZ,'Audit Raw data'!J:J,B:B,'Audit Raw data'!E:E,G:G)/H1863)/100,"-")</f>
        <v>-</v>
      </c>
      <c r="J1863">
        <f>COUNTIFS('Audit Raw data'!AM:AM,"Yes",'Audit Raw data'!J:J,B:B,'Audit Raw data'!E:E,'Day wise agent'!G:G)</f>
        <v>0</v>
      </c>
      <c r="K1863">
        <f>COUNTIFS('Audit Raw data'!AM:AM,"NO",'Audit Raw data'!J:J,B:B,'Audit Raw data'!E:E,'Day wise agent'!G:G)</f>
        <v>0</v>
      </c>
      <c r="L1863" s="12" t="str">
        <f t="shared" si="50"/>
        <v xml:space="preserve"> </v>
      </c>
    </row>
    <row r="1864" spans="4:12" x14ac:dyDescent="0.35">
      <c r="D1864" s="32"/>
      <c r="G1864" s="32"/>
      <c r="H1864">
        <f>COUNTIFS('Audit Raw data'!J:J,B:B,'Audit Raw data'!E:E,G:G)</f>
        <v>0</v>
      </c>
      <c r="I1864" s="44" t="str">
        <f>IFERROR((SUMIFS('Audit Raw data'!BZ:BZ,'Audit Raw data'!J:J,B:B,'Audit Raw data'!E:E,G:G)/H1864)/100,"-")</f>
        <v>-</v>
      </c>
      <c r="J1864">
        <f>COUNTIFS('Audit Raw data'!AM:AM,"Yes",'Audit Raw data'!J:J,B:B,'Audit Raw data'!E:E,'Day wise agent'!G:G)</f>
        <v>0</v>
      </c>
      <c r="K1864">
        <f>COUNTIFS('Audit Raw data'!AM:AM,"NO",'Audit Raw data'!J:J,B:B,'Audit Raw data'!E:E,'Day wise agent'!G:G)</f>
        <v>0</v>
      </c>
      <c r="L1864" s="12" t="str">
        <f t="shared" si="50"/>
        <v xml:space="preserve"> </v>
      </c>
    </row>
    <row r="1865" spans="4:12" x14ac:dyDescent="0.35">
      <c r="D1865" s="32"/>
      <c r="G1865" s="32"/>
      <c r="H1865">
        <f>COUNTIFS('Audit Raw data'!J:J,B:B,'Audit Raw data'!E:E,G:G)</f>
        <v>0</v>
      </c>
      <c r="I1865" s="44" t="str">
        <f>IFERROR((SUMIFS('Audit Raw data'!BZ:BZ,'Audit Raw data'!J:J,B:B,'Audit Raw data'!E:E,G:G)/H1865)/100,"-")</f>
        <v>-</v>
      </c>
      <c r="J1865">
        <f>COUNTIFS('Audit Raw data'!AM:AM,"Yes",'Audit Raw data'!J:J,B:B,'Audit Raw data'!E:E,'Day wise agent'!G:G)</f>
        <v>0</v>
      </c>
      <c r="K1865">
        <f>COUNTIFS('Audit Raw data'!AM:AM,"NO",'Audit Raw data'!J:J,B:B,'Audit Raw data'!E:E,'Day wise agent'!G:G)</f>
        <v>0</v>
      </c>
      <c r="L1865" s="12" t="str">
        <f t="shared" si="50"/>
        <v xml:space="preserve"> </v>
      </c>
    </row>
    <row r="1866" spans="4:12" x14ac:dyDescent="0.35">
      <c r="D1866" s="32"/>
      <c r="G1866" s="32"/>
      <c r="H1866">
        <f>COUNTIFS('Audit Raw data'!J:J,B:B,'Audit Raw data'!E:E,G:G)</f>
        <v>0</v>
      </c>
      <c r="I1866" s="44" t="str">
        <f>IFERROR((SUMIFS('Audit Raw data'!BZ:BZ,'Audit Raw data'!J:J,B:B,'Audit Raw data'!E:E,G:G)/H1866)/100,"-")</f>
        <v>-</v>
      </c>
      <c r="J1866">
        <f>COUNTIFS('Audit Raw data'!AM:AM,"Yes",'Audit Raw data'!J:J,B:B,'Audit Raw data'!E:E,'Day wise agent'!G:G)</f>
        <v>0</v>
      </c>
      <c r="K1866">
        <f>COUNTIFS('Audit Raw data'!AM:AM,"NO",'Audit Raw data'!J:J,B:B,'Audit Raw data'!E:E,'Day wise agent'!G:G)</f>
        <v>0</v>
      </c>
      <c r="L1866" s="12" t="str">
        <f t="shared" si="50"/>
        <v xml:space="preserve"> </v>
      </c>
    </row>
    <row r="1867" spans="4:12" x14ac:dyDescent="0.35">
      <c r="D1867" s="32"/>
      <c r="G1867" s="32"/>
      <c r="H1867">
        <f>COUNTIFS('Audit Raw data'!J:J,B:B,'Audit Raw data'!E:E,G:G)</f>
        <v>0</v>
      </c>
      <c r="I1867" s="44" t="str">
        <f>IFERROR((SUMIFS('Audit Raw data'!BZ:BZ,'Audit Raw data'!J:J,B:B,'Audit Raw data'!E:E,G:G)/H1867)/100,"-")</f>
        <v>-</v>
      </c>
      <c r="J1867">
        <f>COUNTIFS('Audit Raw data'!AM:AM,"Yes",'Audit Raw data'!J:J,B:B,'Audit Raw data'!E:E,'Day wise agent'!G:G)</f>
        <v>0</v>
      </c>
      <c r="K1867">
        <f>COUNTIFS('Audit Raw data'!AM:AM,"NO",'Audit Raw data'!J:J,B:B,'Audit Raw data'!E:E,'Day wise agent'!G:G)</f>
        <v>0</v>
      </c>
      <c r="L1867" s="12" t="str">
        <f t="shared" si="50"/>
        <v xml:space="preserve"> </v>
      </c>
    </row>
    <row r="1868" spans="4:12" x14ac:dyDescent="0.35">
      <c r="D1868" s="32"/>
      <c r="G1868" s="32"/>
      <c r="H1868">
        <f>COUNTIFS('Audit Raw data'!J:J,B:B,'Audit Raw data'!E:E,G:G)</f>
        <v>0</v>
      </c>
      <c r="I1868" s="44" t="str">
        <f>IFERROR((SUMIFS('Audit Raw data'!BZ:BZ,'Audit Raw data'!J:J,B:B,'Audit Raw data'!E:E,G:G)/H1868)/100,"-")</f>
        <v>-</v>
      </c>
      <c r="J1868">
        <f>COUNTIFS('Audit Raw data'!AM:AM,"Yes",'Audit Raw data'!J:J,B:B,'Audit Raw data'!E:E,'Day wise agent'!G:G)</f>
        <v>0</v>
      </c>
      <c r="K1868">
        <f>COUNTIFS('Audit Raw data'!AM:AM,"NO",'Audit Raw data'!J:J,B:B,'Audit Raw data'!E:E,'Day wise agent'!G:G)</f>
        <v>0</v>
      </c>
      <c r="L1868" s="12" t="str">
        <f t="shared" si="50"/>
        <v xml:space="preserve"> </v>
      </c>
    </row>
    <row r="1869" spans="4:12" x14ac:dyDescent="0.35">
      <c r="D1869" s="32"/>
      <c r="G1869" s="32"/>
      <c r="H1869">
        <f>COUNTIFS('Audit Raw data'!J:J,B:B,'Audit Raw data'!E:E,G:G)</f>
        <v>0</v>
      </c>
      <c r="I1869" s="44" t="str">
        <f>IFERROR((SUMIFS('Audit Raw data'!BZ:BZ,'Audit Raw data'!J:J,B:B,'Audit Raw data'!E:E,G:G)/H1869)/100,"-")</f>
        <v>-</v>
      </c>
      <c r="J1869">
        <f>COUNTIFS('Audit Raw data'!AM:AM,"Yes",'Audit Raw data'!J:J,B:B,'Audit Raw data'!E:E,'Day wise agent'!G:G)</f>
        <v>0</v>
      </c>
      <c r="K1869">
        <f>COUNTIFS('Audit Raw data'!AM:AM,"NO",'Audit Raw data'!J:J,B:B,'Audit Raw data'!E:E,'Day wise agent'!G:G)</f>
        <v>0</v>
      </c>
      <c r="L1869" s="12" t="str">
        <f t="shared" si="50"/>
        <v xml:space="preserve"> </v>
      </c>
    </row>
    <row r="1870" spans="4:12" x14ac:dyDescent="0.35">
      <c r="D1870" s="32"/>
      <c r="G1870" s="32"/>
      <c r="H1870">
        <f>COUNTIFS('Audit Raw data'!J:J,B:B,'Audit Raw data'!E:E,G:G)</f>
        <v>0</v>
      </c>
      <c r="I1870" s="44" t="str">
        <f>IFERROR((SUMIFS('Audit Raw data'!BZ:BZ,'Audit Raw data'!J:J,B:B,'Audit Raw data'!E:E,G:G)/H1870)/100,"-")</f>
        <v>-</v>
      </c>
      <c r="J1870">
        <f>COUNTIFS('Audit Raw data'!AM:AM,"Yes",'Audit Raw data'!J:J,B:B,'Audit Raw data'!E:E,'Day wise agent'!G:G)</f>
        <v>0</v>
      </c>
      <c r="K1870">
        <f>COUNTIFS('Audit Raw data'!AM:AM,"NO",'Audit Raw data'!J:J,B:B,'Audit Raw data'!E:E,'Day wise agent'!G:G)</f>
        <v>0</v>
      </c>
      <c r="L1870" s="12" t="str">
        <f t="shared" si="50"/>
        <v xml:space="preserve"> </v>
      </c>
    </row>
    <row r="1871" spans="4:12" x14ac:dyDescent="0.35">
      <c r="D1871" s="32"/>
      <c r="G1871" s="32"/>
      <c r="H1871">
        <f>COUNTIFS('Audit Raw data'!J:J,B:B,'Audit Raw data'!E:E,G:G)</f>
        <v>0</v>
      </c>
      <c r="I1871" s="44" t="str">
        <f>IFERROR((SUMIFS('Audit Raw data'!BZ:BZ,'Audit Raw data'!J:J,B:B,'Audit Raw data'!E:E,G:G)/H1871)/100,"-")</f>
        <v>-</v>
      </c>
      <c r="J1871">
        <f>COUNTIFS('Audit Raw data'!AM:AM,"Yes",'Audit Raw data'!J:J,B:B,'Audit Raw data'!E:E,'Day wise agent'!G:G)</f>
        <v>0</v>
      </c>
      <c r="K1871">
        <f>COUNTIFS('Audit Raw data'!AM:AM,"NO",'Audit Raw data'!J:J,B:B,'Audit Raw data'!E:E,'Day wise agent'!G:G)</f>
        <v>0</v>
      </c>
      <c r="L1871" s="12" t="str">
        <f t="shared" si="50"/>
        <v xml:space="preserve"> </v>
      </c>
    </row>
    <row r="1872" spans="4:12" x14ac:dyDescent="0.35">
      <c r="D1872" s="32"/>
      <c r="G1872" s="32"/>
      <c r="H1872">
        <f>COUNTIFS('Audit Raw data'!J:J,B:B,'Audit Raw data'!E:E,G:G)</f>
        <v>0</v>
      </c>
      <c r="I1872" s="44" t="str">
        <f>IFERROR((SUMIFS('Audit Raw data'!BZ:BZ,'Audit Raw data'!J:J,B:B,'Audit Raw data'!E:E,G:G)/H1872)/100,"-")</f>
        <v>-</v>
      </c>
      <c r="J1872">
        <f>COUNTIFS('Audit Raw data'!AM:AM,"Yes",'Audit Raw data'!J:J,B:B,'Audit Raw data'!E:E,'Day wise agent'!G:G)</f>
        <v>0</v>
      </c>
      <c r="K1872">
        <f>COUNTIFS('Audit Raw data'!AM:AM,"NO",'Audit Raw data'!J:J,B:B,'Audit Raw data'!E:E,'Day wise agent'!G:G)</f>
        <v>0</v>
      </c>
      <c r="L1872" s="12" t="str">
        <f t="shared" si="50"/>
        <v xml:space="preserve"> </v>
      </c>
    </row>
    <row r="1873" spans="4:12" x14ac:dyDescent="0.35">
      <c r="D1873" s="32"/>
      <c r="G1873" s="32"/>
      <c r="H1873">
        <f>COUNTIFS('Audit Raw data'!J:J,B:B,'Audit Raw data'!E:E,G:G)</f>
        <v>0</v>
      </c>
      <c r="I1873" s="44" t="str">
        <f>IFERROR((SUMIFS('Audit Raw data'!BZ:BZ,'Audit Raw data'!J:J,B:B,'Audit Raw data'!E:E,G:G)/H1873)/100,"-")</f>
        <v>-</v>
      </c>
      <c r="J1873">
        <f>COUNTIFS('Audit Raw data'!AM:AM,"Yes",'Audit Raw data'!J:J,B:B,'Audit Raw data'!E:E,'Day wise agent'!G:G)</f>
        <v>0</v>
      </c>
      <c r="K1873">
        <f>COUNTIFS('Audit Raw data'!AM:AM,"NO",'Audit Raw data'!J:J,B:B,'Audit Raw data'!E:E,'Day wise agent'!G:G)</f>
        <v>0</v>
      </c>
      <c r="L1873" s="12" t="str">
        <f t="shared" si="50"/>
        <v xml:space="preserve"> </v>
      </c>
    </row>
    <row r="1874" spans="4:12" x14ac:dyDescent="0.35">
      <c r="D1874" s="32"/>
      <c r="G1874" s="32"/>
      <c r="H1874">
        <f>COUNTIFS('Audit Raw data'!J:J,B:B,'Audit Raw data'!E:E,G:G)</f>
        <v>0</v>
      </c>
      <c r="I1874" s="44" t="str">
        <f>IFERROR((SUMIFS('Audit Raw data'!BZ:BZ,'Audit Raw data'!J:J,B:B,'Audit Raw data'!E:E,G:G)/H1874)/100,"-")</f>
        <v>-</v>
      </c>
      <c r="J1874">
        <f>COUNTIFS('Audit Raw data'!AM:AM,"Yes",'Audit Raw data'!J:J,B:B,'Audit Raw data'!E:E,'Day wise agent'!G:G)</f>
        <v>0</v>
      </c>
      <c r="K1874">
        <f>COUNTIFS('Audit Raw data'!AM:AM,"NO",'Audit Raw data'!J:J,B:B,'Audit Raw data'!E:E,'Day wise agent'!G:G)</f>
        <v>0</v>
      </c>
      <c r="L1874" s="12" t="str">
        <f t="shared" si="50"/>
        <v xml:space="preserve"> </v>
      </c>
    </row>
    <row r="1875" spans="4:12" x14ac:dyDescent="0.35">
      <c r="D1875" s="32"/>
      <c r="G1875" s="32"/>
      <c r="H1875">
        <f>COUNTIFS('Audit Raw data'!J:J,B:B,'Audit Raw data'!E:E,G:G)</f>
        <v>0</v>
      </c>
      <c r="I1875" s="44" t="str">
        <f>IFERROR((SUMIFS('Audit Raw data'!BZ:BZ,'Audit Raw data'!J:J,B:B,'Audit Raw data'!E:E,G:G)/H1875)/100,"-")</f>
        <v>-</v>
      </c>
      <c r="J1875">
        <f>COUNTIFS('Audit Raw data'!AM:AM,"Yes",'Audit Raw data'!J:J,B:B,'Audit Raw data'!E:E,'Day wise agent'!G:G)</f>
        <v>0</v>
      </c>
      <c r="K1875">
        <f>COUNTIFS('Audit Raw data'!AM:AM,"NO",'Audit Raw data'!J:J,B:B,'Audit Raw data'!E:E,'Day wise agent'!G:G)</f>
        <v>0</v>
      </c>
      <c r="L1875" s="12" t="str">
        <f t="shared" si="50"/>
        <v xml:space="preserve"> </v>
      </c>
    </row>
    <row r="1876" spans="4:12" x14ac:dyDescent="0.35">
      <c r="D1876" s="32"/>
      <c r="G1876" s="32"/>
      <c r="H1876">
        <f>COUNTIFS('Audit Raw data'!J:J,B:B,'Audit Raw data'!E:E,G:G)</f>
        <v>0</v>
      </c>
      <c r="I1876" s="44" t="str">
        <f>IFERROR((SUMIFS('Audit Raw data'!BZ:BZ,'Audit Raw data'!J:J,B:B,'Audit Raw data'!E:E,G:G)/H1876)/100,"-")</f>
        <v>-</v>
      </c>
      <c r="J1876">
        <f>COUNTIFS('Audit Raw data'!AM:AM,"Yes",'Audit Raw data'!J:J,B:B,'Audit Raw data'!E:E,'Day wise agent'!G:G)</f>
        <v>0</v>
      </c>
      <c r="K1876">
        <f>COUNTIFS('Audit Raw data'!AM:AM,"NO",'Audit Raw data'!J:J,B:B,'Audit Raw data'!E:E,'Day wise agent'!G:G)</f>
        <v>0</v>
      </c>
      <c r="L1876" s="12" t="str">
        <f t="shared" si="50"/>
        <v xml:space="preserve"> </v>
      </c>
    </row>
    <row r="1877" spans="4:12" x14ac:dyDescent="0.35">
      <c r="D1877" s="32"/>
      <c r="G1877" s="32"/>
      <c r="H1877">
        <f>COUNTIFS('Audit Raw data'!J:J,B:B,'Audit Raw data'!E:E,G:G)</f>
        <v>0</v>
      </c>
      <c r="I1877" s="44" t="str">
        <f>IFERROR((SUMIFS('Audit Raw data'!BZ:BZ,'Audit Raw data'!J:J,B:B,'Audit Raw data'!E:E,G:G)/H1877)/100,"-")</f>
        <v>-</v>
      </c>
      <c r="J1877">
        <f>COUNTIFS('Audit Raw data'!AM:AM,"Yes",'Audit Raw data'!J:J,B:B,'Audit Raw data'!E:E,'Day wise agent'!G:G)</f>
        <v>0</v>
      </c>
      <c r="K1877">
        <f>COUNTIFS('Audit Raw data'!AM:AM,"NO",'Audit Raw data'!J:J,B:B,'Audit Raw data'!E:E,'Day wise agent'!G:G)</f>
        <v>0</v>
      </c>
      <c r="L1877" s="12" t="str">
        <f t="shared" si="50"/>
        <v xml:space="preserve"> </v>
      </c>
    </row>
    <row r="1878" spans="4:12" x14ac:dyDescent="0.35">
      <c r="D1878" s="32"/>
      <c r="G1878" s="32"/>
      <c r="H1878">
        <f>COUNTIFS('Audit Raw data'!J:J,B:B,'Audit Raw data'!E:E,G:G)</f>
        <v>0</v>
      </c>
      <c r="I1878" s="44" t="str">
        <f>IFERROR((SUMIFS('Audit Raw data'!BZ:BZ,'Audit Raw data'!J:J,B:B,'Audit Raw data'!E:E,G:G)/H1878)/100,"-")</f>
        <v>-</v>
      </c>
      <c r="J1878">
        <f>COUNTIFS('Audit Raw data'!AM:AM,"Yes",'Audit Raw data'!J:J,B:B,'Audit Raw data'!E:E,'Day wise agent'!G:G)</f>
        <v>0</v>
      </c>
      <c r="K1878">
        <f>COUNTIFS('Audit Raw data'!AM:AM,"NO",'Audit Raw data'!J:J,B:B,'Audit Raw data'!E:E,'Day wise agent'!G:G)</f>
        <v>0</v>
      </c>
      <c r="L1878" s="12" t="str">
        <f t="shared" si="50"/>
        <v xml:space="preserve"> </v>
      </c>
    </row>
    <row r="1879" spans="4:12" x14ac:dyDescent="0.35">
      <c r="D1879" s="32"/>
      <c r="G1879" s="32"/>
      <c r="H1879">
        <f>COUNTIFS('Audit Raw data'!J:J,B:B,'Audit Raw data'!E:E,G:G)</f>
        <v>0</v>
      </c>
      <c r="I1879" s="44" t="str">
        <f>IFERROR((SUMIFS('Audit Raw data'!BZ:BZ,'Audit Raw data'!J:J,B:B,'Audit Raw data'!E:E,G:G)/H1879)/100,"-")</f>
        <v>-</v>
      </c>
      <c r="J1879">
        <f>COUNTIFS('Audit Raw data'!AM:AM,"Yes",'Audit Raw data'!J:J,B:B,'Audit Raw data'!E:E,'Day wise agent'!G:G)</f>
        <v>0</v>
      </c>
      <c r="K1879">
        <f>COUNTIFS('Audit Raw data'!AM:AM,"NO",'Audit Raw data'!J:J,B:B,'Audit Raw data'!E:E,'Day wise agent'!G:G)</f>
        <v>0</v>
      </c>
      <c r="L1879" s="12" t="str">
        <f t="shared" si="50"/>
        <v xml:space="preserve"> </v>
      </c>
    </row>
    <row r="1880" spans="4:12" x14ac:dyDescent="0.35">
      <c r="D1880" s="32"/>
      <c r="G1880" s="32"/>
      <c r="H1880">
        <f>COUNTIFS('Audit Raw data'!J:J,B:B,'Audit Raw data'!E:E,G:G)</f>
        <v>0</v>
      </c>
      <c r="I1880" s="44" t="str">
        <f>IFERROR((SUMIFS('Audit Raw data'!BZ:BZ,'Audit Raw data'!J:J,B:B,'Audit Raw data'!E:E,G:G)/H1880)/100,"-")</f>
        <v>-</v>
      </c>
      <c r="J1880">
        <f>COUNTIFS('Audit Raw data'!AM:AM,"Yes",'Audit Raw data'!J:J,B:B,'Audit Raw data'!E:E,'Day wise agent'!G:G)</f>
        <v>0</v>
      </c>
      <c r="K1880">
        <f>COUNTIFS('Audit Raw data'!AM:AM,"NO",'Audit Raw data'!J:J,B:B,'Audit Raw data'!E:E,'Day wise agent'!G:G)</f>
        <v>0</v>
      </c>
      <c r="L1880" s="12" t="str">
        <f t="shared" si="50"/>
        <v xml:space="preserve"> </v>
      </c>
    </row>
    <row r="1881" spans="4:12" x14ac:dyDescent="0.35">
      <c r="D1881" s="32"/>
      <c r="G1881" s="32"/>
      <c r="H1881">
        <f>COUNTIFS('Audit Raw data'!J:J,B:B,'Audit Raw data'!E:E,G:G)</f>
        <v>0</v>
      </c>
      <c r="I1881" s="44" t="str">
        <f>IFERROR((SUMIFS('Audit Raw data'!BZ:BZ,'Audit Raw data'!J:J,B:B,'Audit Raw data'!E:E,G:G)/H1881)/100,"-")</f>
        <v>-</v>
      </c>
      <c r="J1881">
        <f>COUNTIFS('Audit Raw data'!AM:AM,"Yes",'Audit Raw data'!J:J,B:B,'Audit Raw data'!E:E,'Day wise agent'!G:G)</f>
        <v>0</v>
      </c>
      <c r="K1881">
        <f>COUNTIFS('Audit Raw data'!AM:AM,"NO",'Audit Raw data'!J:J,B:B,'Audit Raw data'!E:E,'Day wise agent'!G:G)</f>
        <v>0</v>
      </c>
      <c r="L1881" s="12" t="str">
        <f t="shared" si="50"/>
        <v xml:space="preserve"> </v>
      </c>
    </row>
    <row r="1882" spans="4:12" x14ac:dyDescent="0.35">
      <c r="D1882" s="32"/>
      <c r="G1882" s="32"/>
      <c r="H1882">
        <f>COUNTIFS('Audit Raw data'!J:J,B:B,'Audit Raw data'!E:E,G:G)</f>
        <v>0</v>
      </c>
      <c r="I1882" s="44" t="str">
        <f>IFERROR((SUMIFS('Audit Raw data'!BZ:BZ,'Audit Raw data'!J:J,B:B,'Audit Raw data'!E:E,G:G)/H1882)/100,"-")</f>
        <v>-</v>
      </c>
      <c r="J1882">
        <f>COUNTIFS('Audit Raw data'!AM:AM,"Yes",'Audit Raw data'!J:J,B:B,'Audit Raw data'!E:E,'Day wise agent'!G:G)</f>
        <v>0</v>
      </c>
      <c r="K1882">
        <f>COUNTIFS('Audit Raw data'!AM:AM,"NO",'Audit Raw data'!J:J,B:B,'Audit Raw data'!E:E,'Day wise agent'!G:G)</f>
        <v>0</v>
      </c>
      <c r="L1882" s="12" t="str">
        <f t="shared" si="50"/>
        <v xml:space="preserve"> </v>
      </c>
    </row>
    <row r="1883" spans="4:12" x14ac:dyDescent="0.35">
      <c r="D1883" s="32"/>
      <c r="G1883" s="32"/>
      <c r="H1883">
        <f>COUNTIFS('Audit Raw data'!J:J,B:B,'Audit Raw data'!E:E,G:G)</f>
        <v>0</v>
      </c>
      <c r="I1883" s="44" t="str">
        <f>IFERROR((SUMIFS('Audit Raw data'!BZ:BZ,'Audit Raw data'!J:J,B:B,'Audit Raw data'!E:E,G:G)/H1883)/100,"-")</f>
        <v>-</v>
      </c>
      <c r="J1883">
        <f>COUNTIFS('Audit Raw data'!AM:AM,"Yes",'Audit Raw data'!J:J,B:B,'Audit Raw data'!E:E,'Day wise agent'!G:G)</f>
        <v>0</v>
      </c>
      <c r="K1883">
        <f>COUNTIFS('Audit Raw data'!AM:AM,"NO",'Audit Raw data'!J:J,B:B,'Audit Raw data'!E:E,'Day wise agent'!G:G)</f>
        <v>0</v>
      </c>
      <c r="L1883" s="12" t="str">
        <f t="shared" si="50"/>
        <v xml:space="preserve"> </v>
      </c>
    </row>
    <row r="1884" spans="4:12" x14ac:dyDescent="0.35">
      <c r="D1884" s="32"/>
      <c r="G1884" s="32"/>
      <c r="H1884">
        <f>COUNTIFS('Audit Raw data'!J:J,B:B,'Audit Raw data'!E:E,G:G)</f>
        <v>0</v>
      </c>
      <c r="I1884" s="44" t="str">
        <f>IFERROR((SUMIFS('Audit Raw data'!BZ:BZ,'Audit Raw data'!J:J,B:B,'Audit Raw data'!E:E,G:G)/H1884)/100,"-")</f>
        <v>-</v>
      </c>
      <c r="J1884">
        <f>COUNTIFS('Audit Raw data'!AM:AM,"Yes",'Audit Raw data'!J:J,B:B,'Audit Raw data'!E:E,'Day wise agent'!G:G)</f>
        <v>0</v>
      </c>
      <c r="K1884">
        <f>COUNTIFS('Audit Raw data'!AM:AM,"NO",'Audit Raw data'!J:J,B:B,'Audit Raw data'!E:E,'Day wise agent'!G:G)</f>
        <v>0</v>
      </c>
      <c r="L1884" s="12" t="str">
        <f t="shared" si="50"/>
        <v xml:space="preserve"> </v>
      </c>
    </row>
    <row r="1885" spans="4:12" x14ac:dyDescent="0.35">
      <c r="D1885" s="32"/>
      <c r="G1885" s="32"/>
      <c r="H1885">
        <f>COUNTIFS('Audit Raw data'!J:J,B:B,'Audit Raw data'!E:E,G:G)</f>
        <v>0</v>
      </c>
      <c r="I1885" s="44" t="str">
        <f>IFERROR((SUMIFS('Audit Raw data'!BZ:BZ,'Audit Raw data'!J:J,B:B,'Audit Raw data'!E:E,G:G)/H1885)/100,"-")</f>
        <v>-</v>
      </c>
      <c r="J1885">
        <f>COUNTIFS('Audit Raw data'!AM:AM,"Yes",'Audit Raw data'!J:J,B:B,'Audit Raw data'!E:E,'Day wise agent'!G:G)</f>
        <v>0</v>
      </c>
      <c r="K1885">
        <f>COUNTIFS('Audit Raw data'!AM:AM,"NO",'Audit Raw data'!J:J,B:B,'Audit Raw data'!E:E,'Day wise agent'!G:G)</f>
        <v>0</v>
      </c>
      <c r="L1885" s="12" t="str">
        <f t="shared" si="50"/>
        <v xml:space="preserve"> </v>
      </c>
    </row>
    <row r="1886" spans="4:12" x14ac:dyDescent="0.35">
      <c r="D1886" s="32"/>
      <c r="G1886" s="32"/>
      <c r="H1886">
        <f>COUNTIFS('Audit Raw data'!J:J,B:B,'Audit Raw data'!E:E,G:G)</f>
        <v>0</v>
      </c>
      <c r="I1886" s="44" t="str">
        <f>IFERROR((SUMIFS('Audit Raw data'!BZ:BZ,'Audit Raw data'!J:J,B:B,'Audit Raw data'!E:E,G:G)/H1886)/100,"-")</f>
        <v>-</v>
      </c>
      <c r="J1886">
        <f>COUNTIFS('Audit Raw data'!AM:AM,"Yes",'Audit Raw data'!J:J,B:B,'Audit Raw data'!E:E,'Day wise agent'!G:G)</f>
        <v>0</v>
      </c>
      <c r="K1886">
        <f>COUNTIFS('Audit Raw data'!AM:AM,"NO",'Audit Raw data'!J:J,B:B,'Audit Raw data'!E:E,'Day wise agent'!G:G)</f>
        <v>0</v>
      </c>
      <c r="L1886" s="12" t="str">
        <f t="shared" si="50"/>
        <v xml:space="preserve"> </v>
      </c>
    </row>
    <row r="1887" spans="4:12" x14ac:dyDescent="0.35">
      <c r="D1887" s="32"/>
      <c r="G1887" s="32"/>
      <c r="H1887">
        <f>COUNTIFS('Audit Raw data'!J:J,B:B,'Audit Raw data'!E:E,G:G)</f>
        <v>0</v>
      </c>
      <c r="I1887" s="44" t="str">
        <f>IFERROR((SUMIFS('Audit Raw data'!BZ:BZ,'Audit Raw data'!J:J,B:B,'Audit Raw data'!E:E,G:G)/H1887)/100,"-")</f>
        <v>-</v>
      </c>
      <c r="J1887">
        <f>COUNTIFS('Audit Raw data'!AM:AM,"Yes",'Audit Raw data'!J:J,B:B,'Audit Raw data'!E:E,'Day wise agent'!G:G)</f>
        <v>0</v>
      </c>
      <c r="K1887">
        <f>COUNTIFS('Audit Raw data'!AM:AM,"NO",'Audit Raw data'!J:J,B:B,'Audit Raw data'!E:E,'Day wise agent'!G:G)</f>
        <v>0</v>
      </c>
      <c r="L1887" s="12" t="str">
        <f t="shared" si="50"/>
        <v xml:space="preserve"> </v>
      </c>
    </row>
    <row r="1888" spans="4:12" x14ac:dyDescent="0.35">
      <c r="D1888" s="32"/>
      <c r="G1888" s="32"/>
      <c r="H1888">
        <f>COUNTIFS('Audit Raw data'!J:J,B:B,'Audit Raw data'!E:E,G:G)</f>
        <v>0</v>
      </c>
      <c r="I1888" s="44" t="str">
        <f>IFERROR((SUMIFS('Audit Raw data'!BZ:BZ,'Audit Raw data'!J:J,B:B,'Audit Raw data'!E:E,G:G)/H1888)/100,"-")</f>
        <v>-</v>
      </c>
      <c r="J1888">
        <f>COUNTIFS('Audit Raw data'!AM:AM,"Yes",'Audit Raw data'!J:J,B:B,'Audit Raw data'!E:E,'Day wise agent'!G:G)</f>
        <v>0</v>
      </c>
      <c r="K1888">
        <f>COUNTIFS('Audit Raw data'!AM:AM,"NO",'Audit Raw data'!J:J,B:B,'Audit Raw data'!E:E,'Day wise agent'!G:G)</f>
        <v>0</v>
      </c>
      <c r="L1888" s="12" t="str">
        <f t="shared" si="50"/>
        <v xml:space="preserve"> </v>
      </c>
    </row>
    <row r="1889" spans="4:12" x14ac:dyDescent="0.35">
      <c r="D1889" s="32"/>
      <c r="G1889" s="32"/>
      <c r="H1889">
        <f>COUNTIFS('Audit Raw data'!J:J,B:B,'Audit Raw data'!E:E,G:G)</f>
        <v>0</v>
      </c>
      <c r="I1889" s="44" t="str">
        <f>IFERROR((SUMIFS('Audit Raw data'!BZ:BZ,'Audit Raw data'!J:J,B:B,'Audit Raw data'!E:E,G:G)/H1889)/100,"-")</f>
        <v>-</v>
      </c>
      <c r="J1889">
        <f>COUNTIFS('Audit Raw data'!AM:AM,"Yes",'Audit Raw data'!J:J,B:B,'Audit Raw data'!E:E,'Day wise agent'!G:G)</f>
        <v>0</v>
      </c>
      <c r="K1889">
        <f>COUNTIFS('Audit Raw data'!AM:AM,"NO",'Audit Raw data'!J:J,B:B,'Audit Raw data'!E:E,'Day wise agent'!G:G)</f>
        <v>0</v>
      </c>
      <c r="L1889" s="12" t="str">
        <f t="shared" si="50"/>
        <v xml:space="preserve"> </v>
      </c>
    </row>
    <row r="1890" spans="4:12" x14ac:dyDescent="0.35">
      <c r="D1890" s="32"/>
      <c r="G1890" s="32"/>
      <c r="H1890">
        <f>COUNTIFS('Audit Raw data'!J:J,B:B,'Audit Raw data'!E:E,G:G)</f>
        <v>0</v>
      </c>
      <c r="I1890" s="44" t="str">
        <f>IFERROR((SUMIFS('Audit Raw data'!BZ:BZ,'Audit Raw data'!J:J,B:B,'Audit Raw data'!E:E,G:G)/H1890)/100,"-")</f>
        <v>-</v>
      </c>
      <c r="J1890">
        <f>COUNTIFS('Audit Raw data'!AM:AM,"Yes",'Audit Raw data'!J:J,B:B,'Audit Raw data'!E:E,'Day wise agent'!G:G)</f>
        <v>0</v>
      </c>
      <c r="K1890">
        <f>COUNTIFS('Audit Raw data'!AM:AM,"NO",'Audit Raw data'!J:J,B:B,'Audit Raw data'!E:E,'Day wise agent'!G:G)</f>
        <v>0</v>
      </c>
      <c r="L1890" s="12" t="str">
        <f t="shared" si="50"/>
        <v xml:space="preserve"> </v>
      </c>
    </row>
    <row r="1891" spans="4:12" x14ac:dyDescent="0.35">
      <c r="D1891" s="32"/>
      <c r="G1891" s="32"/>
      <c r="H1891">
        <f>COUNTIFS('Audit Raw data'!J:J,B:B,'Audit Raw data'!E:E,G:G)</f>
        <v>0</v>
      </c>
      <c r="I1891" s="44" t="str">
        <f>IFERROR((SUMIFS('Audit Raw data'!BZ:BZ,'Audit Raw data'!J:J,B:B,'Audit Raw data'!E:E,G:G)/H1891)/100,"-")</f>
        <v>-</v>
      </c>
      <c r="J1891">
        <f>COUNTIFS('Audit Raw data'!AM:AM,"Yes",'Audit Raw data'!J:J,B:B,'Audit Raw data'!E:E,'Day wise agent'!G:G)</f>
        <v>0</v>
      </c>
      <c r="K1891">
        <f>COUNTIFS('Audit Raw data'!AM:AM,"NO",'Audit Raw data'!J:J,B:B,'Audit Raw data'!E:E,'Day wise agent'!G:G)</f>
        <v>0</v>
      </c>
      <c r="L1891" s="12" t="str">
        <f t="shared" si="50"/>
        <v xml:space="preserve"> </v>
      </c>
    </row>
    <row r="1892" spans="4:12" x14ac:dyDescent="0.35">
      <c r="D1892" s="32"/>
      <c r="G1892" s="32"/>
      <c r="H1892">
        <f>COUNTIFS('Audit Raw data'!J:J,B:B,'Audit Raw data'!E:E,G:G)</f>
        <v>0</v>
      </c>
      <c r="I1892" s="44" t="str">
        <f>IFERROR((SUMIFS('Audit Raw data'!BZ:BZ,'Audit Raw data'!J:J,B:B,'Audit Raw data'!E:E,G:G)/H1892)/100,"-")</f>
        <v>-</v>
      </c>
      <c r="J1892">
        <f>COUNTIFS('Audit Raw data'!AM:AM,"Yes",'Audit Raw data'!J:J,B:B,'Audit Raw data'!E:E,'Day wise agent'!G:G)</f>
        <v>0</v>
      </c>
      <c r="K1892">
        <f>COUNTIFS('Audit Raw data'!AM:AM,"NO",'Audit Raw data'!J:J,B:B,'Audit Raw data'!E:E,'Day wise agent'!G:G)</f>
        <v>0</v>
      </c>
      <c r="L1892" s="12" t="str">
        <f t="shared" si="50"/>
        <v xml:space="preserve"> </v>
      </c>
    </row>
    <row r="1893" spans="4:12" x14ac:dyDescent="0.35">
      <c r="D1893" s="32"/>
      <c r="G1893" s="32"/>
      <c r="H1893">
        <f>COUNTIFS('Audit Raw data'!J:J,B:B,'Audit Raw data'!E:E,G:G)</f>
        <v>0</v>
      </c>
      <c r="I1893" s="44" t="str">
        <f>IFERROR((SUMIFS('Audit Raw data'!BZ:BZ,'Audit Raw data'!J:J,B:B,'Audit Raw data'!E:E,G:G)/H1893)/100,"-")</f>
        <v>-</v>
      </c>
      <c r="J1893">
        <f>COUNTIFS('Audit Raw data'!AM:AM,"Yes",'Audit Raw data'!J:J,B:B,'Audit Raw data'!E:E,'Day wise agent'!G:G)</f>
        <v>0</v>
      </c>
      <c r="K1893">
        <f>COUNTIFS('Audit Raw data'!AM:AM,"NO",'Audit Raw data'!J:J,B:B,'Audit Raw data'!E:E,'Day wise agent'!G:G)</f>
        <v>0</v>
      </c>
      <c r="L1893" s="12" t="str">
        <f t="shared" si="50"/>
        <v xml:space="preserve"> </v>
      </c>
    </row>
    <row r="1894" spans="4:12" x14ac:dyDescent="0.35">
      <c r="D1894" s="32"/>
      <c r="G1894" s="32"/>
      <c r="H1894">
        <f>COUNTIFS('Audit Raw data'!J:J,B:B,'Audit Raw data'!E:E,G:G)</f>
        <v>0</v>
      </c>
      <c r="I1894" s="44" t="str">
        <f>IFERROR((SUMIFS('Audit Raw data'!BZ:BZ,'Audit Raw data'!J:J,B:B,'Audit Raw data'!E:E,G:G)/H1894)/100,"-")</f>
        <v>-</v>
      </c>
      <c r="J1894">
        <f>COUNTIFS('Audit Raw data'!AM:AM,"Yes",'Audit Raw data'!J:J,B:B,'Audit Raw data'!E:E,'Day wise agent'!G:G)</f>
        <v>0</v>
      </c>
      <c r="K1894">
        <f>COUNTIFS('Audit Raw data'!AM:AM,"NO",'Audit Raw data'!J:J,B:B,'Audit Raw data'!E:E,'Day wise agent'!G:G)</f>
        <v>0</v>
      </c>
      <c r="L1894" s="12" t="str">
        <f t="shared" si="50"/>
        <v xml:space="preserve"> </v>
      </c>
    </row>
    <row r="1895" spans="4:12" x14ac:dyDescent="0.35">
      <c r="D1895" s="32"/>
      <c r="G1895" s="32"/>
      <c r="H1895">
        <f>COUNTIFS('Audit Raw data'!J:J,B:B,'Audit Raw data'!E:E,G:G)</f>
        <v>0</v>
      </c>
      <c r="I1895" s="44" t="str">
        <f>IFERROR((SUMIFS('Audit Raw data'!BZ:BZ,'Audit Raw data'!J:J,B:B,'Audit Raw data'!E:E,G:G)/H1895)/100,"-")</f>
        <v>-</v>
      </c>
      <c r="J1895">
        <f>COUNTIFS('Audit Raw data'!AM:AM,"Yes",'Audit Raw data'!J:J,B:B,'Audit Raw data'!E:E,'Day wise agent'!G:G)</f>
        <v>0</v>
      </c>
      <c r="K1895">
        <f>COUNTIFS('Audit Raw data'!AM:AM,"NO",'Audit Raw data'!J:J,B:B,'Audit Raw data'!E:E,'Day wise agent'!G:G)</f>
        <v>0</v>
      </c>
      <c r="L1895" s="12" t="str">
        <f t="shared" si="50"/>
        <v xml:space="preserve"> </v>
      </c>
    </row>
    <row r="1896" spans="4:12" x14ac:dyDescent="0.35">
      <c r="D1896" s="32"/>
      <c r="G1896" s="32"/>
      <c r="H1896">
        <f>COUNTIFS('Audit Raw data'!J:J,B:B,'Audit Raw data'!E:E,G:G)</f>
        <v>0</v>
      </c>
      <c r="I1896" s="44" t="str">
        <f>IFERROR((SUMIFS('Audit Raw data'!BZ:BZ,'Audit Raw data'!J:J,B:B,'Audit Raw data'!E:E,G:G)/H1896)/100,"-")</f>
        <v>-</v>
      </c>
      <c r="J1896">
        <f>COUNTIFS('Audit Raw data'!AM:AM,"Yes",'Audit Raw data'!J:J,B:B,'Audit Raw data'!E:E,'Day wise agent'!G:G)</f>
        <v>0</v>
      </c>
      <c r="K1896">
        <f>COUNTIFS('Audit Raw data'!AM:AM,"NO",'Audit Raw data'!J:J,B:B,'Audit Raw data'!E:E,'Day wise agent'!G:G)</f>
        <v>0</v>
      </c>
      <c r="L1896" s="12" t="str">
        <f t="shared" si="50"/>
        <v xml:space="preserve"> </v>
      </c>
    </row>
    <row r="1897" spans="4:12" x14ac:dyDescent="0.35">
      <c r="D1897" s="32"/>
      <c r="G1897" s="32"/>
      <c r="H1897">
        <f>COUNTIFS('Audit Raw data'!J:J,B:B,'Audit Raw data'!E:E,G:G)</f>
        <v>0</v>
      </c>
      <c r="I1897" s="44" t="str">
        <f>IFERROR((SUMIFS('Audit Raw data'!BZ:BZ,'Audit Raw data'!J:J,B:B,'Audit Raw data'!E:E,G:G)/H1897)/100,"-")</f>
        <v>-</v>
      </c>
      <c r="J1897">
        <f>COUNTIFS('Audit Raw data'!AM:AM,"Yes",'Audit Raw data'!J:J,B:B,'Audit Raw data'!E:E,'Day wise agent'!G:G)</f>
        <v>0</v>
      </c>
      <c r="K1897">
        <f>COUNTIFS('Audit Raw data'!AM:AM,"NO",'Audit Raw data'!J:J,B:B,'Audit Raw data'!E:E,'Day wise agent'!G:G)</f>
        <v>0</v>
      </c>
      <c r="L1897" s="12" t="str">
        <f t="shared" si="50"/>
        <v xml:space="preserve"> </v>
      </c>
    </row>
    <row r="1898" spans="4:12" x14ac:dyDescent="0.35">
      <c r="D1898" s="32"/>
      <c r="G1898" s="32"/>
      <c r="H1898">
        <f>COUNTIFS('Audit Raw data'!J:J,B:B,'Audit Raw data'!E:E,G:G)</f>
        <v>0</v>
      </c>
      <c r="I1898" s="44" t="str">
        <f>IFERROR((SUMIFS('Audit Raw data'!BZ:BZ,'Audit Raw data'!J:J,B:B,'Audit Raw data'!E:E,G:G)/H1898)/100,"-")</f>
        <v>-</v>
      </c>
      <c r="J1898">
        <f>COUNTIFS('Audit Raw data'!AM:AM,"Yes",'Audit Raw data'!J:J,B:B,'Audit Raw data'!E:E,'Day wise agent'!G:G)</f>
        <v>0</v>
      </c>
      <c r="K1898">
        <f>COUNTIFS('Audit Raw data'!AM:AM,"NO",'Audit Raw data'!J:J,B:B,'Audit Raw data'!E:E,'Day wise agent'!G:G)</f>
        <v>0</v>
      </c>
      <c r="L1898" s="12" t="str">
        <f t="shared" si="50"/>
        <v xml:space="preserve"> </v>
      </c>
    </row>
    <row r="1899" spans="4:12" x14ac:dyDescent="0.35">
      <c r="D1899" s="32"/>
      <c r="G1899" s="32"/>
      <c r="H1899">
        <f>COUNTIFS('Audit Raw data'!J:J,B:B,'Audit Raw data'!E:E,G:G)</f>
        <v>0</v>
      </c>
      <c r="I1899" s="44" t="str">
        <f>IFERROR((SUMIFS('Audit Raw data'!BZ:BZ,'Audit Raw data'!J:J,B:B,'Audit Raw data'!E:E,G:G)/H1899)/100,"-")</f>
        <v>-</v>
      </c>
      <c r="J1899">
        <f>COUNTIFS('Audit Raw data'!AM:AM,"Yes",'Audit Raw data'!J:J,B:B,'Audit Raw data'!E:E,'Day wise agent'!G:G)</f>
        <v>0</v>
      </c>
      <c r="K1899">
        <f>COUNTIFS('Audit Raw data'!AM:AM,"NO",'Audit Raw data'!J:J,B:B,'Audit Raw data'!E:E,'Day wise agent'!G:G)</f>
        <v>0</v>
      </c>
      <c r="L1899" s="12" t="str">
        <f t="shared" si="50"/>
        <v xml:space="preserve"> </v>
      </c>
    </row>
    <row r="1900" spans="4:12" x14ac:dyDescent="0.35">
      <c r="D1900" s="32"/>
      <c r="G1900" s="32"/>
      <c r="H1900">
        <f>COUNTIFS('Audit Raw data'!J:J,B:B,'Audit Raw data'!E:E,G:G)</f>
        <v>0</v>
      </c>
      <c r="I1900" s="44" t="str">
        <f>IFERROR((SUMIFS('Audit Raw data'!BZ:BZ,'Audit Raw data'!J:J,B:B,'Audit Raw data'!E:E,G:G)/H1900)/100,"-")</f>
        <v>-</v>
      </c>
      <c r="J1900">
        <f>COUNTIFS('Audit Raw data'!AM:AM,"Yes",'Audit Raw data'!J:J,B:B,'Audit Raw data'!E:E,'Day wise agent'!G:G)</f>
        <v>0</v>
      </c>
      <c r="K1900">
        <f>COUNTIFS('Audit Raw data'!AM:AM,"NO",'Audit Raw data'!J:J,B:B,'Audit Raw data'!E:E,'Day wise agent'!G:G)</f>
        <v>0</v>
      </c>
      <c r="L1900" s="12" t="str">
        <f t="shared" si="50"/>
        <v xml:space="preserve"> </v>
      </c>
    </row>
    <row r="1901" spans="4:12" x14ac:dyDescent="0.35">
      <c r="D1901" s="32"/>
      <c r="G1901" s="32"/>
      <c r="H1901">
        <f>COUNTIFS('Audit Raw data'!J:J,B:B,'Audit Raw data'!E:E,G:G)</f>
        <v>0</v>
      </c>
      <c r="I1901" s="44" t="str">
        <f>IFERROR((SUMIFS('Audit Raw data'!BZ:BZ,'Audit Raw data'!J:J,B:B,'Audit Raw data'!E:E,G:G)/H1901)/100,"-")</f>
        <v>-</v>
      </c>
      <c r="J1901">
        <f>COUNTIFS('Audit Raw data'!AM:AM,"Yes",'Audit Raw data'!J:J,B:B,'Audit Raw data'!E:E,'Day wise agent'!G:G)</f>
        <v>0</v>
      </c>
      <c r="K1901">
        <f>COUNTIFS('Audit Raw data'!AM:AM,"NO",'Audit Raw data'!J:J,B:B,'Audit Raw data'!E:E,'Day wise agent'!G:G)</f>
        <v>0</v>
      </c>
      <c r="L1901" s="12" t="str">
        <f t="shared" si="50"/>
        <v xml:space="preserve"> </v>
      </c>
    </row>
    <row r="1902" spans="4:12" x14ac:dyDescent="0.35">
      <c r="D1902" s="32"/>
      <c r="G1902" s="32"/>
      <c r="H1902">
        <f>COUNTIFS('Audit Raw data'!J:J,B:B,'Audit Raw data'!E:E,G:G)</f>
        <v>0</v>
      </c>
      <c r="I1902" s="44" t="str">
        <f>IFERROR((SUMIFS('Audit Raw data'!BZ:BZ,'Audit Raw data'!J:J,B:B,'Audit Raw data'!E:E,G:G)/H1902)/100,"-")</f>
        <v>-</v>
      </c>
      <c r="J1902">
        <f>COUNTIFS('Audit Raw data'!AM:AM,"Yes",'Audit Raw data'!J:J,B:B,'Audit Raw data'!E:E,'Day wise agent'!G:G)</f>
        <v>0</v>
      </c>
      <c r="K1902">
        <f>COUNTIFS('Audit Raw data'!AM:AM,"NO",'Audit Raw data'!J:J,B:B,'Audit Raw data'!E:E,'Day wise agent'!G:G)</f>
        <v>0</v>
      </c>
      <c r="L1902" s="12" t="str">
        <f t="shared" si="50"/>
        <v xml:space="preserve"> </v>
      </c>
    </row>
    <row r="1903" spans="4:12" x14ac:dyDescent="0.35">
      <c r="D1903" s="32"/>
      <c r="G1903" s="32"/>
      <c r="H1903">
        <f>COUNTIFS('Audit Raw data'!J:J,B:B,'Audit Raw data'!E:E,G:G)</f>
        <v>0</v>
      </c>
      <c r="I1903" s="44" t="str">
        <f>IFERROR((SUMIFS('Audit Raw data'!BZ:BZ,'Audit Raw data'!J:J,B:B,'Audit Raw data'!E:E,G:G)/H1903)/100,"-")</f>
        <v>-</v>
      </c>
      <c r="J1903">
        <f>COUNTIFS('Audit Raw data'!AM:AM,"Yes",'Audit Raw data'!J:J,B:B,'Audit Raw data'!E:E,'Day wise agent'!G:G)</f>
        <v>0</v>
      </c>
      <c r="K1903">
        <f>COUNTIFS('Audit Raw data'!AM:AM,"NO",'Audit Raw data'!J:J,B:B,'Audit Raw data'!E:E,'Day wise agent'!G:G)</f>
        <v>0</v>
      </c>
      <c r="L1903" s="12" t="str">
        <f t="shared" si="50"/>
        <v xml:space="preserve"> </v>
      </c>
    </row>
    <row r="1904" spans="4:12" x14ac:dyDescent="0.35">
      <c r="D1904" s="32"/>
      <c r="G1904" s="32"/>
      <c r="H1904">
        <f>COUNTIFS('Audit Raw data'!J:J,B:B,'Audit Raw data'!E:E,G:G)</f>
        <v>0</v>
      </c>
      <c r="I1904" s="44" t="str">
        <f>IFERROR((SUMIFS('Audit Raw data'!BZ:BZ,'Audit Raw data'!J:J,B:B,'Audit Raw data'!E:E,G:G)/H1904)/100,"-")</f>
        <v>-</v>
      </c>
      <c r="J1904">
        <f>COUNTIFS('Audit Raw data'!AM:AM,"Yes",'Audit Raw data'!J:J,B:B,'Audit Raw data'!E:E,'Day wise agent'!G:G)</f>
        <v>0</v>
      </c>
      <c r="K1904">
        <f>COUNTIFS('Audit Raw data'!AM:AM,"NO",'Audit Raw data'!J:J,B:B,'Audit Raw data'!E:E,'Day wise agent'!G:G)</f>
        <v>0</v>
      </c>
      <c r="L1904" s="12" t="str">
        <f t="shared" si="50"/>
        <v xml:space="preserve"> </v>
      </c>
    </row>
    <row r="1905" spans="4:12" x14ac:dyDescent="0.35">
      <c r="D1905" s="32"/>
      <c r="G1905" s="32"/>
      <c r="H1905">
        <f>COUNTIFS('Audit Raw data'!J:J,B:B,'Audit Raw data'!E:E,G:G)</f>
        <v>0</v>
      </c>
      <c r="I1905" s="44" t="str">
        <f>IFERROR((SUMIFS('Audit Raw data'!BZ:BZ,'Audit Raw data'!J:J,B:B,'Audit Raw data'!E:E,G:G)/H1905)/100,"-")</f>
        <v>-</v>
      </c>
      <c r="J1905">
        <f>COUNTIFS('Audit Raw data'!AM:AM,"Yes",'Audit Raw data'!J:J,B:B,'Audit Raw data'!E:E,'Day wise agent'!G:G)</f>
        <v>0</v>
      </c>
      <c r="K1905">
        <f>COUNTIFS('Audit Raw data'!AM:AM,"NO",'Audit Raw data'!J:J,B:B,'Audit Raw data'!E:E,'Day wise agent'!G:G)</f>
        <v>0</v>
      </c>
      <c r="L1905" s="12" t="str">
        <f t="shared" si="50"/>
        <v xml:space="preserve"> </v>
      </c>
    </row>
    <row r="1906" spans="4:12" x14ac:dyDescent="0.35">
      <c r="D1906" s="32"/>
      <c r="G1906" s="32"/>
      <c r="H1906">
        <f>COUNTIFS('Audit Raw data'!J:J,B:B,'Audit Raw data'!E:E,G:G)</f>
        <v>0</v>
      </c>
      <c r="I1906" s="44" t="str">
        <f>IFERROR((SUMIFS('Audit Raw data'!BZ:BZ,'Audit Raw data'!J:J,B:B,'Audit Raw data'!E:E,G:G)/H1906)/100,"-")</f>
        <v>-</v>
      </c>
      <c r="J1906">
        <f>COUNTIFS('Audit Raw data'!AM:AM,"Yes",'Audit Raw data'!J:J,B:B,'Audit Raw data'!E:E,'Day wise agent'!G:G)</f>
        <v>0</v>
      </c>
      <c r="K1906">
        <f>COUNTIFS('Audit Raw data'!AM:AM,"NO",'Audit Raw data'!J:J,B:B,'Audit Raw data'!E:E,'Day wise agent'!G:G)</f>
        <v>0</v>
      </c>
      <c r="L1906" s="12" t="str">
        <f t="shared" si="50"/>
        <v xml:space="preserve"> </v>
      </c>
    </row>
    <row r="1907" spans="4:12" x14ac:dyDescent="0.35">
      <c r="D1907" s="32"/>
      <c r="G1907" s="32"/>
      <c r="H1907">
        <f>COUNTIFS('Audit Raw data'!J:J,B:B,'Audit Raw data'!E:E,G:G)</f>
        <v>0</v>
      </c>
      <c r="I1907" s="44" t="str">
        <f>IFERROR((SUMIFS('Audit Raw data'!BZ:BZ,'Audit Raw data'!J:J,B:B,'Audit Raw data'!E:E,G:G)/H1907)/100,"-")</f>
        <v>-</v>
      </c>
      <c r="J1907">
        <f>COUNTIFS('Audit Raw data'!AM:AM,"Yes",'Audit Raw data'!J:J,B:B,'Audit Raw data'!E:E,'Day wise agent'!G:G)</f>
        <v>0</v>
      </c>
      <c r="K1907">
        <f>COUNTIFS('Audit Raw data'!AM:AM,"NO",'Audit Raw data'!J:J,B:B,'Audit Raw data'!E:E,'Day wise agent'!G:G)</f>
        <v>0</v>
      </c>
      <c r="L1907" s="12" t="str">
        <f t="shared" si="50"/>
        <v xml:space="preserve"> </v>
      </c>
    </row>
    <row r="1908" spans="4:12" x14ac:dyDescent="0.35">
      <c r="D1908" s="32"/>
      <c r="G1908" s="32"/>
      <c r="H1908">
        <f>COUNTIFS('Audit Raw data'!J:J,B:B,'Audit Raw data'!E:E,G:G)</f>
        <v>0</v>
      </c>
      <c r="I1908" s="44" t="str">
        <f>IFERROR((SUMIFS('Audit Raw data'!BZ:BZ,'Audit Raw data'!J:J,B:B,'Audit Raw data'!E:E,G:G)/H1908)/100,"-")</f>
        <v>-</v>
      </c>
      <c r="J1908">
        <f>COUNTIFS('Audit Raw data'!AM:AM,"Yes",'Audit Raw data'!J:J,B:B,'Audit Raw data'!E:E,'Day wise agent'!G:G)</f>
        <v>0</v>
      </c>
      <c r="K1908">
        <f>COUNTIFS('Audit Raw data'!AM:AM,"NO",'Audit Raw data'!J:J,B:B,'Audit Raw data'!E:E,'Day wise agent'!G:G)</f>
        <v>0</v>
      </c>
      <c r="L1908" s="12" t="str">
        <f t="shared" si="50"/>
        <v xml:space="preserve"> </v>
      </c>
    </row>
    <row r="1909" spans="4:12" x14ac:dyDescent="0.35">
      <c r="D1909" s="32"/>
      <c r="G1909" s="32"/>
      <c r="H1909">
        <f>COUNTIFS('Audit Raw data'!J:J,B:B,'Audit Raw data'!E:E,G:G)</f>
        <v>0</v>
      </c>
      <c r="I1909" s="44" t="str">
        <f>IFERROR((SUMIFS('Audit Raw data'!BZ:BZ,'Audit Raw data'!J:J,B:B,'Audit Raw data'!E:E,G:G)/H1909)/100,"-")</f>
        <v>-</v>
      </c>
      <c r="J1909">
        <f>COUNTIFS('Audit Raw data'!AM:AM,"Yes",'Audit Raw data'!J:J,B:B,'Audit Raw data'!E:E,'Day wise agent'!G:G)</f>
        <v>0</v>
      </c>
      <c r="K1909">
        <f>COUNTIFS('Audit Raw data'!AM:AM,"NO",'Audit Raw data'!J:J,B:B,'Audit Raw data'!E:E,'Day wise agent'!G:G)</f>
        <v>0</v>
      </c>
      <c r="L1909" s="12" t="str">
        <f t="shared" si="50"/>
        <v xml:space="preserve"> </v>
      </c>
    </row>
    <row r="1910" spans="4:12" x14ac:dyDescent="0.35">
      <c r="D1910" s="32"/>
      <c r="G1910" s="32"/>
      <c r="H1910">
        <f>COUNTIFS('Audit Raw data'!J:J,B:B,'Audit Raw data'!E:E,G:G)</f>
        <v>0</v>
      </c>
      <c r="I1910" s="44" t="str">
        <f>IFERROR((SUMIFS('Audit Raw data'!BZ:BZ,'Audit Raw data'!J:J,B:B,'Audit Raw data'!E:E,G:G)/H1910)/100,"-")</f>
        <v>-</v>
      </c>
      <c r="J1910">
        <f>COUNTIFS('Audit Raw data'!AM:AM,"Yes",'Audit Raw data'!J:J,B:B,'Audit Raw data'!E:E,'Day wise agent'!G:G)</f>
        <v>0</v>
      </c>
      <c r="K1910">
        <f>COUNTIFS('Audit Raw data'!AM:AM,"NO",'Audit Raw data'!J:J,B:B,'Audit Raw data'!E:E,'Day wise agent'!G:G)</f>
        <v>0</v>
      </c>
      <c r="L1910" s="12" t="str">
        <f t="shared" si="50"/>
        <v xml:space="preserve"> </v>
      </c>
    </row>
    <row r="1911" spans="4:12" x14ac:dyDescent="0.35">
      <c r="D1911" s="32"/>
      <c r="G1911" s="32"/>
      <c r="H1911">
        <f>COUNTIFS('Audit Raw data'!J:J,B:B,'Audit Raw data'!E:E,G:G)</f>
        <v>0</v>
      </c>
      <c r="I1911" s="44" t="str">
        <f>IFERROR((SUMIFS('Audit Raw data'!BZ:BZ,'Audit Raw data'!J:J,B:B,'Audit Raw data'!E:E,G:G)/H1911)/100,"-")</f>
        <v>-</v>
      </c>
      <c r="J1911">
        <f>COUNTIFS('Audit Raw data'!AM:AM,"Yes",'Audit Raw data'!J:J,B:B,'Audit Raw data'!E:E,'Day wise agent'!G:G)</f>
        <v>0</v>
      </c>
      <c r="K1911">
        <f>COUNTIFS('Audit Raw data'!AM:AM,"NO",'Audit Raw data'!J:J,B:B,'Audit Raw data'!E:E,'Day wise agent'!G:G)</f>
        <v>0</v>
      </c>
      <c r="L1911" s="12" t="str">
        <f t="shared" si="50"/>
        <v xml:space="preserve"> </v>
      </c>
    </row>
    <row r="1912" spans="4:12" x14ac:dyDescent="0.35">
      <c r="D1912" s="32"/>
      <c r="G1912" s="32"/>
      <c r="H1912">
        <f>COUNTIFS('Audit Raw data'!J:J,B:B,'Audit Raw data'!E:E,G:G)</f>
        <v>0</v>
      </c>
      <c r="I1912" s="44" t="str">
        <f>IFERROR((SUMIFS('Audit Raw data'!BZ:BZ,'Audit Raw data'!J:J,B:B,'Audit Raw data'!E:E,G:G)/H1912)/100,"-")</f>
        <v>-</v>
      </c>
      <c r="J1912">
        <f>COUNTIFS('Audit Raw data'!AM:AM,"Yes",'Audit Raw data'!J:J,B:B,'Audit Raw data'!E:E,'Day wise agent'!G:G)</f>
        <v>0</v>
      </c>
      <c r="K1912">
        <f>COUNTIFS('Audit Raw data'!AM:AM,"NO",'Audit Raw data'!J:J,B:B,'Audit Raw data'!E:E,'Day wise agent'!G:G)</f>
        <v>0</v>
      </c>
      <c r="L1912" s="12" t="str">
        <f t="shared" si="50"/>
        <v xml:space="preserve"> </v>
      </c>
    </row>
    <row r="1913" spans="4:12" x14ac:dyDescent="0.35">
      <c r="D1913" s="32"/>
      <c r="G1913" s="32"/>
      <c r="H1913">
        <f>COUNTIFS('Audit Raw data'!J:J,B:B,'Audit Raw data'!E:E,G:G)</f>
        <v>0</v>
      </c>
      <c r="I1913" s="44" t="str">
        <f>IFERROR((SUMIFS('Audit Raw data'!BZ:BZ,'Audit Raw data'!J:J,B:B,'Audit Raw data'!E:E,G:G)/H1913)/100,"-")</f>
        <v>-</v>
      </c>
      <c r="J1913">
        <f>COUNTIFS('Audit Raw data'!AM:AM,"Yes",'Audit Raw data'!J:J,B:B,'Audit Raw data'!E:E,'Day wise agent'!G:G)</f>
        <v>0</v>
      </c>
      <c r="K1913">
        <f>COUNTIFS('Audit Raw data'!AM:AM,"NO",'Audit Raw data'!J:J,B:B,'Audit Raw data'!E:E,'Day wise agent'!G:G)</f>
        <v>0</v>
      </c>
      <c r="L1913" s="12" t="str">
        <f t="shared" si="50"/>
        <v xml:space="preserve"> </v>
      </c>
    </row>
    <row r="1914" spans="4:12" x14ac:dyDescent="0.35">
      <c r="D1914" s="32"/>
      <c r="G1914" s="32"/>
      <c r="H1914">
        <f>COUNTIFS('Audit Raw data'!J:J,B:B,'Audit Raw data'!E:E,G:G)</f>
        <v>0</v>
      </c>
      <c r="I1914" s="44" t="str">
        <f>IFERROR((SUMIFS('Audit Raw data'!BZ:BZ,'Audit Raw data'!J:J,B:B,'Audit Raw data'!E:E,G:G)/H1914)/100,"-")</f>
        <v>-</v>
      </c>
      <c r="J1914">
        <f>COUNTIFS('Audit Raw data'!AM:AM,"Yes",'Audit Raw data'!J:J,B:B,'Audit Raw data'!E:E,'Day wise agent'!G:G)</f>
        <v>0</v>
      </c>
      <c r="K1914">
        <f>COUNTIFS('Audit Raw data'!AM:AM,"NO",'Audit Raw data'!J:J,B:B,'Audit Raw data'!E:E,'Day wise agent'!G:G)</f>
        <v>0</v>
      </c>
      <c r="L1914" s="12" t="str">
        <f t="shared" si="50"/>
        <v xml:space="preserve"> </v>
      </c>
    </row>
    <row r="1915" spans="4:12" x14ac:dyDescent="0.35">
      <c r="D1915" s="32"/>
      <c r="G1915" s="32"/>
      <c r="H1915">
        <f>COUNTIFS('Audit Raw data'!J:J,B:B,'Audit Raw data'!E:E,G:G)</f>
        <v>0</v>
      </c>
      <c r="I1915" s="44" t="str">
        <f>IFERROR((SUMIFS('Audit Raw data'!BZ:BZ,'Audit Raw data'!J:J,B:B,'Audit Raw data'!E:E,G:G)/H1915)/100,"-")</f>
        <v>-</v>
      </c>
      <c r="J1915">
        <f>COUNTIFS('Audit Raw data'!AM:AM,"Yes",'Audit Raw data'!J:J,B:B,'Audit Raw data'!E:E,'Day wise agent'!G:G)</f>
        <v>0</v>
      </c>
      <c r="K1915">
        <f>COUNTIFS('Audit Raw data'!AM:AM,"NO",'Audit Raw data'!J:J,B:B,'Audit Raw data'!E:E,'Day wise agent'!G:G)</f>
        <v>0</v>
      </c>
      <c r="L1915" s="12" t="str">
        <f t="shared" si="50"/>
        <v xml:space="preserve"> </v>
      </c>
    </row>
    <row r="1916" spans="4:12" x14ac:dyDescent="0.35">
      <c r="D1916" s="32"/>
      <c r="G1916" s="32"/>
      <c r="H1916">
        <f>COUNTIFS('Audit Raw data'!J:J,B:B,'Audit Raw data'!E:E,G:G)</f>
        <v>0</v>
      </c>
      <c r="I1916" s="44" t="str">
        <f>IFERROR((SUMIFS('Audit Raw data'!BZ:BZ,'Audit Raw data'!J:J,B:B,'Audit Raw data'!E:E,G:G)/H1916)/100,"-")</f>
        <v>-</v>
      </c>
      <c r="J1916">
        <f>COUNTIFS('Audit Raw data'!AM:AM,"Yes",'Audit Raw data'!J:J,B:B,'Audit Raw data'!E:E,'Day wise agent'!G:G)</f>
        <v>0</v>
      </c>
      <c r="K1916">
        <f>COUNTIFS('Audit Raw data'!AM:AM,"NO",'Audit Raw data'!J:J,B:B,'Audit Raw data'!E:E,'Day wise agent'!G:G)</f>
        <v>0</v>
      </c>
      <c r="L1916" s="12" t="str">
        <f t="shared" si="50"/>
        <v xml:space="preserve"> </v>
      </c>
    </row>
    <row r="1917" spans="4:12" x14ac:dyDescent="0.35">
      <c r="D1917" s="32"/>
      <c r="G1917" s="32"/>
      <c r="H1917">
        <f>COUNTIFS('Audit Raw data'!J:J,B:B,'Audit Raw data'!E:E,G:G)</f>
        <v>0</v>
      </c>
      <c r="I1917" s="44" t="str">
        <f>IFERROR((SUMIFS('Audit Raw data'!BZ:BZ,'Audit Raw data'!J:J,B:B,'Audit Raw data'!E:E,G:G)/H1917)/100,"-")</f>
        <v>-</v>
      </c>
      <c r="J1917">
        <f>COUNTIFS('Audit Raw data'!AM:AM,"Yes",'Audit Raw data'!J:J,B:B,'Audit Raw data'!E:E,'Day wise agent'!G:G)</f>
        <v>0</v>
      </c>
      <c r="K1917">
        <f>COUNTIFS('Audit Raw data'!AM:AM,"NO",'Audit Raw data'!J:J,B:B,'Audit Raw data'!E:E,'Day wise agent'!G:G)</f>
        <v>0</v>
      </c>
      <c r="L1917" s="12" t="str">
        <f t="shared" si="50"/>
        <v xml:space="preserve"> </v>
      </c>
    </row>
    <row r="1918" spans="4:12" x14ac:dyDescent="0.35">
      <c r="D1918" s="32"/>
      <c r="G1918" s="32"/>
      <c r="H1918">
        <f>COUNTIFS('Audit Raw data'!J:J,B:B,'Audit Raw data'!E:E,G:G)</f>
        <v>0</v>
      </c>
      <c r="I1918" s="44" t="str">
        <f>IFERROR((SUMIFS('Audit Raw data'!BZ:BZ,'Audit Raw data'!J:J,B:B,'Audit Raw data'!E:E,G:G)/H1918)/100,"-")</f>
        <v>-</v>
      </c>
      <c r="J1918">
        <f>COUNTIFS('Audit Raw data'!AM:AM,"Yes",'Audit Raw data'!J:J,B:B,'Audit Raw data'!E:E,'Day wise agent'!G:G)</f>
        <v>0</v>
      </c>
      <c r="K1918">
        <f>COUNTIFS('Audit Raw data'!AM:AM,"NO",'Audit Raw data'!J:J,B:B,'Audit Raw data'!E:E,'Day wise agent'!G:G)</f>
        <v>0</v>
      </c>
      <c r="L1918" s="12" t="str">
        <f t="shared" si="50"/>
        <v xml:space="preserve"> </v>
      </c>
    </row>
    <row r="1919" spans="4:12" x14ac:dyDescent="0.35">
      <c r="D1919" s="32"/>
      <c r="G1919" s="32"/>
      <c r="H1919">
        <f>COUNTIFS('Audit Raw data'!J:J,B:B,'Audit Raw data'!E:E,G:G)</f>
        <v>0</v>
      </c>
      <c r="I1919" s="44" t="str">
        <f>IFERROR((SUMIFS('Audit Raw data'!BZ:BZ,'Audit Raw data'!J:J,B:B,'Audit Raw data'!E:E,G:G)/H1919)/100,"-")</f>
        <v>-</v>
      </c>
      <c r="J1919">
        <f>COUNTIFS('Audit Raw data'!AM:AM,"Yes",'Audit Raw data'!J:J,B:B,'Audit Raw data'!E:E,'Day wise agent'!G:G)</f>
        <v>0</v>
      </c>
      <c r="K1919">
        <f>COUNTIFS('Audit Raw data'!AM:AM,"NO",'Audit Raw data'!J:J,B:B,'Audit Raw data'!E:E,'Day wise agent'!G:G)</f>
        <v>0</v>
      </c>
      <c r="L1919" s="12" t="str">
        <f t="shared" si="50"/>
        <v xml:space="preserve"> </v>
      </c>
    </row>
    <row r="1920" spans="4:12" x14ac:dyDescent="0.35">
      <c r="D1920" s="32"/>
      <c r="G1920" s="32"/>
      <c r="H1920">
        <f>COUNTIFS('Audit Raw data'!J:J,B:B,'Audit Raw data'!E:E,G:G)</f>
        <v>0</v>
      </c>
      <c r="I1920" s="44" t="str">
        <f>IFERROR((SUMIFS('Audit Raw data'!BZ:BZ,'Audit Raw data'!J:J,B:B,'Audit Raw data'!E:E,G:G)/H1920)/100,"-")</f>
        <v>-</v>
      </c>
      <c r="J1920">
        <f>COUNTIFS('Audit Raw data'!AM:AM,"Yes",'Audit Raw data'!J:J,B:B,'Audit Raw data'!E:E,'Day wise agent'!G:G)</f>
        <v>0</v>
      </c>
      <c r="K1920">
        <f>COUNTIFS('Audit Raw data'!AM:AM,"NO",'Audit Raw data'!J:J,B:B,'Audit Raw data'!E:E,'Day wise agent'!G:G)</f>
        <v>0</v>
      </c>
      <c r="L1920" s="12" t="str">
        <f t="shared" si="50"/>
        <v xml:space="preserve"> </v>
      </c>
    </row>
    <row r="1921" spans="4:12" x14ac:dyDescent="0.35">
      <c r="D1921" s="32"/>
      <c r="G1921" s="32"/>
      <c r="H1921">
        <f>COUNTIFS('Audit Raw data'!J:J,B:B,'Audit Raw data'!E:E,G:G)</f>
        <v>0</v>
      </c>
      <c r="I1921" s="44" t="str">
        <f>IFERROR((SUMIFS('Audit Raw data'!BZ:BZ,'Audit Raw data'!J:J,B:B,'Audit Raw data'!E:E,G:G)/H1921)/100,"-")</f>
        <v>-</v>
      </c>
      <c r="J1921">
        <f>COUNTIFS('Audit Raw data'!AM:AM,"Yes",'Audit Raw data'!J:J,B:B,'Audit Raw data'!E:E,'Day wise agent'!G:G)</f>
        <v>0</v>
      </c>
      <c r="K1921">
        <f>COUNTIFS('Audit Raw data'!AM:AM,"NO",'Audit Raw data'!J:J,B:B,'Audit Raw data'!E:E,'Day wise agent'!G:G)</f>
        <v>0</v>
      </c>
      <c r="L1921" s="12" t="str">
        <f t="shared" si="50"/>
        <v xml:space="preserve"> </v>
      </c>
    </row>
    <row r="1922" spans="4:12" x14ac:dyDescent="0.35">
      <c r="D1922" s="32"/>
      <c r="G1922" s="32"/>
      <c r="H1922">
        <f>COUNTIFS('Audit Raw data'!J:J,B:B,'Audit Raw data'!E:E,G:G)</f>
        <v>0</v>
      </c>
      <c r="I1922" s="44" t="str">
        <f>IFERROR((SUMIFS('Audit Raw data'!BZ:BZ,'Audit Raw data'!J:J,B:B,'Audit Raw data'!E:E,G:G)/H1922)/100,"-")</f>
        <v>-</v>
      </c>
      <c r="J1922">
        <f>COUNTIFS('Audit Raw data'!AM:AM,"Yes",'Audit Raw data'!J:J,B:B,'Audit Raw data'!E:E,'Day wise agent'!G:G)</f>
        <v>0</v>
      </c>
      <c r="K1922">
        <f>COUNTIFS('Audit Raw data'!AM:AM,"NO",'Audit Raw data'!J:J,B:B,'Audit Raw data'!E:E,'Day wise agent'!G:G)</f>
        <v>0</v>
      </c>
      <c r="L1922" s="12" t="str">
        <f t="shared" ref="L1922:L1985" si="51">IFERROR(J1922/H1922," ")</f>
        <v xml:space="preserve"> </v>
      </c>
    </row>
    <row r="1923" spans="4:12" x14ac:dyDescent="0.35">
      <c r="D1923" s="32"/>
      <c r="G1923" s="32"/>
      <c r="H1923">
        <f>COUNTIFS('Audit Raw data'!J:J,B:B,'Audit Raw data'!E:E,G:G)</f>
        <v>0</v>
      </c>
      <c r="I1923" s="44" t="str">
        <f>IFERROR((SUMIFS('Audit Raw data'!BZ:BZ,'Audit Raw data'!J:J,B:B,'Audit Raw data'!E:E,G:G)/H1923)/100,"-")</f>
        <v>-</v>
      </c>
      <c r="J1923">
        <f>COUNTIFS('Audit Raw data'!AM:AM,"Yes",'Audit Raw data'!J:J,B:B,'Audit Raw data'!E:E,'Day wise agent'!G:G)</f>
        <v>0</v>
      </c>
      <c r="K1923">
        <f>COUNTIFS('Audit Raw data'!AM:AM,"NO",'Audit Raw data'!J:J,B:B,'Audit Raw data'!E:E,'Day wise agent'!G:G)</f>
        <v>0</v>
      </c>
      <c r="L1923" s="12" t="str">
        <f t="shared" si="51"/>
        <v xml:space="preserve"> </v>
      </c>
    </row>
    <row r="1924" spans="4:12" x14ac:dyDescent="0.35">
      <c r="D1924" s="32"/>
      <c r="G1924" s="32"/>
      <c r="H1924">
        <f>COUNTIFS('Audit Raw data'!J:J,B:B,'Audit Raw data'!E:E,G:G)</f>
        <v>0</v>
      </c>
      <c r="I1924" s="44" t="str">
        <f>IFERROR((SUMIFS('Audit Raw data'!BZ:BZ,'Audit Raw data'!J:J,B:B,'Audit Raw data'!E:E,G:G)/H1924)/100,"-")</f>
        <v>-</v>
      </c>
      <c r="J1924">
        <f>COUNTIFS('Audit Raw data'!AM:AM,"Yes",'Audit Raw data'!J:J,B:B,'Audit Raw data'!E:E,'Day wise agent'!G:G)</f>
        <v>0</v>
      </c>
      <c r="K1924">
        <f>COUNTIFS('Audit Raw data'!AM:AM,"NO",'Audit Raw data'!J:J,B:B,'Audit Raw data'!E:E,'Day wise agent'!G:G)</f>
        <v>0</v>
      </c>
      <c r="L1924" s="12" t="str">
        <f t="shared" si="51"/>
        <v xml:space="preserve"> </v>
      </c>
    </row>
    <row r="1925" spans="4:12" x14ac:dyDescent="0.35">
      <c r="D1925" s="32"/>
      <c r="G1925" s="32"/>
      <c r="H1925">
        <f>COUNTIFS('Audit Raw data'!J:J,B:B,'Audit Raw data'!E:E,G:G)</f>
        <v>0</v>
      </c>
      <c r="I1925" s="44" t="str">
        <f>IFERROR((SUMIFS('Audit Raw data'!BZ:BZ,'Audit Raw data'!J:J,B:B,'Audit Raw data'!E:E,G:G)/H1925)/100,"-")</f>
        <v>-</v>
      </c>
      <c r="J1925">
        <f>COUNTIFS('Audit Raw data'!AM:AM,"Yes",'Audit Raw data'!J:J,B:B,'Audit Raw data'!E:E,'Day wise agent'!G:G)</f>
        <v>0</v>
      </c>
      <c r="K1925">
        <f>COUNTIFS('Audit Raw data'!AM:AM,"NO",'Audit Raw data'!J:J,B:B,'Audit Raw data'!E:E,'Day wise agent'!G:G)</f>
        <v>0</v>
      </c>
      <c r="L1925" s="12" t="str">
        <f t="shared" si="51"/>
        <v xml:space="preserve"> </v>
      </c>
    </row>
    <row r="1926" spans="4:12" x14ac:dyDescent="0.35">
      <c r="D1926" s="32"/>
      <c r="G1926" s="32"/>
      <c r="H1926">
        <f>COUNTIFS('Audit Raw data'!J:J,B:B,'Audit Raw data'!E:E,G:G)</f>
        <v>0</v>
      </c>
      <c r="I1926" s="44" t="str">
        <f>IFERROR((SUMIFS('Audit Raw data'!BZ:BZ,'Audit Raw data'!J:J,B:B,'Audit Raw data'!E:E,G:G)/H1926)/100,"-")</f>
        <v>-</v>
      </c>
      <c r="J1926">
        <f>COUNTIFS('Audit Raw data'!AM:AM,"Yes",'Audit Raw data'!J:J,B:B,'Audit Raw data'!E:E,'Day wise agent'!G:G)</f>
        <v>0</v>
      </c>
      <c r="K1926">
        <f>COUNTIFS('Audit Raw data'!AM:AM,"NO",'Audit Raw data'!J:J,B:B,'Audit Raw data'!E:E,'Day wise agent'!G:G)</f>
        <v>0</v>
      </c>
      <c r="L1926" s="12" t="str">
        <f t="shared" si="51"/>
        <v xml:space="preserve"> </v>
      </c>
    </row>
    <row r="1927" spans="4:12" x14ac:dyDescent="0.35">
      <c r="D1927" s="32"/>
      <c r="G1927" s="32"/>
      <c r="H1927">
        <f>COUNTIFS('Audit Raw data'!J:J,B:B,'Audit Raw data'!E:E,G:G)</f>
        <v>0</v>
      </c>
      <c r="I1927" s="44" t="str">
        <f>IFERROR((SUMIFS('Audit Raw data'!BZ:BZ,'Audit Raw data'!J:J,B:B,'Audit Raw data'!E:E,G:G)/H1927)/100,"-")</f>
        <v>-</v>
      </c>
      <c r="J1927">
        <f>COUNTIFS('Audit Raw data'!AM:AM,"Yes",'Audit Raw data'!J:J,B:B,'Audit Raw data'!E:E,'Day wise agent'!G:G)</f>
        <v>0</v>
      </c>
      <c r="K1927">
        <f>COUNTIFS('Audit Raw data'!AM:AM,"NO",'Audit Raw data'!J:J,B:B,'Audit Raw data'!E:E,'Day wise agent'!G:G)</f>
        <v>0</v>
      </c>
      <c r="L1927" s="12" t="str">
        <f t="shared" si="51"/>
        <v xml:space="preserve"> </v>
      </c>
    </row>
    <row r="1928" spans="4:12" x14ac:dyDescent="0.35">
      <c r="D1928" s="32"/>
      <c r="G1928" s="32"/>
      <c r="H1928">
        <f>COUNTIFS('Audit Raw data'!J:J,B:B,'Audit Raw data'!E:E,G:G)</f>
        <v>0</v>
      </c>
      <c r="I1928" s="44" t="str">
        <f>IFERROR((SUMIFS('Audit Raw data'!BZ:BZ,'Audit Raw data'!J:J,B:B,'Audit Raw data'!E:E,G:G)/H1928)/100,"-")</f>
        <v>-</v>
      </c>
      <c r="J1928">
        <f>COUNTIFS('Audit Raw data'!AM:AM,"Yes",'Audit Raw data'!J:J,B:B,'Audit Raw data'!E:E,'Day wise agent'!G:G)</f>
        <v>0</v>
      </c>
      <c r="K1928">
        <f>COUNTIFS('Audit Raw data'!AM:AM,"NO",'Audit Raw data'!J:J,B:B,'Audit Raw data'!E:E,'Day wise agent'!G:G)</f>
        <v>0</v>
      </c>
      <c r="L1928" s="12" t="str">
        <f t="shared" si="51"/>
        <v xml:space="preserve"> </v>
      </c>
    </row>
    <row r="1929" spans="4:12" x14ac:dyDescent="0.35">
      <c r="D1929" s="32"/>
      <c r="G1929" s="32"/>
      <c r="H1929">
        <f>COUNTIFS('Audit Raw data'!J:J,B:B,'Audit Raw data'!E:E,G:G)</f>
        <v>0</v>
      </c>
      <c r="I1929" s="44" t="str">
        <f>IFERROR((SUMIFS('Audit Raw data'!BZ:BZ,'Audit Raw data'!J:J,B:B,'Audit Raw data'!E:E,G:G)/H1929)/100,"-")</f>
        <v>-</v>
      </c>
      <c r="J1929">
        <f>COUNTIFS('Audit Raw data'!AM:AM,"Yes",'Audit Raw data'!J:J,B:B,'Audit Raw data'!E:E,'Day wise agent'!G:G)</f>
        <v>0</v>
      </c>
      <c r="K1929">
        <f>COUNTIFS('Audit Raw data'!AM:AM,"NO",'Audit Raw data'!J:J,B:B,'Audit Raw data'!E:E,'Day wise agent'!G:G)</f>
        <v>0</v>
      </c>
      <c r="L1929" s="12" t="str">
        <f t="shared" si="51"/>
        <v xml:space="preserve"> </v>
      </c>
    </row>
    <row r="1930" spans="4:12" x14ac:dyDescent="0.35">
      <c r="D1930" s="32"/>
      <c r="G1930" s="32"/>
      <c r="H1930">
        <f>COUNTIFS('Audit Raw data'!J:J,B:B,'Audit Raw data'!E:E,G:G)</f>
        <v>0</v>
      </c>
      <c r="I1930" s="44" t="str">
        <f>IFERROR((SUMIFS('Audit Raw data'!BZ:BZ,'Audit Raw data'!J:J,B:B,'Audit Raw data'!E:E,G:G)/H1930)/100,"-")</f>
        <v>-</v>
      </c>
      <c r="J1930">
        <f>COUNTIFS('Audit Raw data'!AM:AM,"Yes",'Audit Raw data'!J:J,B:B,'Audit Raw data'!E:E,'Day wise agent'!G:G)</f>
        <v>0</v>
      </c>
      <c r="K1930">
        <f>COUNTIFS('Audit Raw data'!AM:AM,"NO",'Audit Raw data'!J:J,B:B,'Audit Raw data'!E:E,'Day wise agent'!G:G)</f>
        <v>0</v>
      </c>
      <c r="L1930" s="12" t="str">
        <f t="shared" si="51"/>
        <v xml:space="preserve"> </v>
      </c>
    </row>
    <row r="1931" spans="4:12" x14ac:dyDescent="0.35">
      <c r="D1931" s="32"/>
      <c r="G1931" s="32"/>
      <c r="H1931">
        <f>COUNTIFS('Audit Raw data'!J:J,B:B,'Audit Raw data'!E:E,G:G)</f>
        <v>0</v>
      </c>
      <c r="I1931" s="44" t="str">
        <f>IFERROR((SUMIFS('Audit Raw data'!BZ:BZ,'Audit Raw data'!J:J,B:B,'Audit Raw data'!E:E,G:G)/H1931)/100,"-")</f>
        <v>-</v>
      </c>
      <c r="J1931">
        <f>COUNTIFS('Audit Raw data'!AM:AM,"Yes",'Audit Raw data'!J:J,B:B,'Audit Raw data'!E:E,'Day wise agent'!G:G)</f>
        <v>0</v>
      </c>
      <c r="K1931">
        <f>COUNTIFS('Audit Raw data'!AM:AM,"NO",'Audit Raw data'!J:J,B:B,'Audit Raw data'!E:E,'Day wise agent'!G:G)</f>
        <v>0</v>
      </c>
      <c r="L1931" s="12" t="str">
        <f t="shared" si="51"/>
        <v xml:space="preserve"> </v>
      </c>
    </row>
    <row r="1932" spans="4:12" x14ac:dyDescent="0.35">
      <c r="D1932" s="32"/>
      <c r="G1932" s="32"/>
      <c r="H1932">
        <f>COUNTIFS('Audit Raw data'!J:J,B:B,'Audit Raw data'!E:E,G:G)</f>
        <v>0</v>
      </c>
      <c r="I1932" s="44" t="str">
        <f>IFERROR((SUMIFS('Audit Raw data'!BZ:BZ,'Audit Raw data'!J:J,B:B,'Audit Raw data'!E:E,G:G)/H1932)/100,"-")</f>
        <v>-</v>
      </c>
      <c r="J1932">
        <f>COUNTIFS('Audit Raw data'!AM:AM,"Yes",'Audit Raw data'!J:J,B:B,'Audit Raw data'!E:E,'Day wise agent'!G:G)</f>
        <v>0</v>
      </c>
      <c r="K1932">
        <f>COUNTIFS('Audit Raw data'!AM:AM,"NO",'Audit Raw data'!J:J,B:B,'Audit Raw data'!E:E,'Day wise agent'!G:G)</f>
        <v>0</v>
      </c>
      <c r="L1932" s="12" t="str">
        <f t="shared" si="51"/>
        <v xml:space="preserve"> </v>
      </c>
    </row>
    <row r="1933" spans="4:12" x14ac:dyDescent="0.35">
      <c r="D1933" s="32"/>
      <c r="G1933" s="32"/>
      <c r="H1933">
        <f>COUNTIFS('Audit Raw data'!J:J,B:B,'Audit Raw data'!E:E,G:G)</f>
        <v>0</v>
      </c>
      <c r="I1933" s="44" t="str">
        <f>IFERROR((SUMIFS('Audit Raw data'!BZ:BZ,'Audit Raw data'!J:J,B:B,'Audit Raw data'!E:E,G:G)/H1933)/100,"-")</f>
        <v>-</v>
      </c>
      <c r="J1933">
        <f>COUNTIFS('Audit Raw data'!AM:AM,"Yes",'Audit Raw data'!J:J,B:B,'Audit Raw data'!E:E,'Day wise agent'!G:G)</f>
        <v>0</v>
      </c>
      <c r="K1933">
        <f>COUNTIFS('Audit Raw data'!AM:AM,"NO",'Audit Raw data'!J:J,B:B,'Audit Raw data'!E:E,'Day wise agent'!G:G)</f>
        <v>0</v>
      </c>
      <c r="L1933" s="12" t="str">
        <f t="shared" si="51"/>
        <v xml:space="preserve"> </v>
      </c>
    </row>
    <row r="1934" spans="4:12" x14ac:dyDescent="0.35">
      <c r="D1934" s="32"/>
      <c r="G1934" s="32"/>
      <c r="H1934">
        <f>COUNTIFS('Audit Raw data'!J:J,B:B,'Audit Raw data'!E:E,G:G)</f>
        <v>0</v>
      </c>
      <c r="I1934" s="44" t="str">
        <f>IFERROR((SUMIFS('Audit Raw data'!BZ:BZ,'Audit Raw data'!J:J,B:B,'Audit Raw data'!E:E,G:G)/H1934)/100,"-")</f>
        <v>-</v>
      </c>
      <c r="J1934">
        <f>COUNTIFS('Audit Raw data'!AM:AM,"Yes",'Audit Raw data'!J:J,B:B,'Audit Raw data'!E:E,'Day wise agent'!G:G)</f>
        <v>0</v>
      </c>
      <c r="K1934">
        <f>COUNTIFS('Audit Raw data'!AM:AM,"NO",'Audit Raw data'!J:J,B:B,'Audit Raw data'!E:E,'Day wise agent'!G:G)</f>
        <v>0</v>
      </c>
      <c r="L1934" s="12" t="str">
        <f t="shared" si="51"/>
        <v xml:space="preserve"> </v>
      </c>
    </row>
    <row r="1935" spans="4:12" x14ac:dyDescent="0.35">
      <c r="D1935" s="32"/>
      <c r="G1935" s="32"/>
      <c r="H1935">
        <f>COUNTIFS('Audit Raw data'!J:J,B:B,'Audit Raw data'!E:E,G:G)</f>
        <v>0</v>
      </c>
      <c r="I1935" s="44" t="str">
        <f>IFERROR((SUMIFS('Audit Raw data'!BZ:BZ,'Audit Raw data'!J:J,B:B,'Audit Raw data'!E:E,G:G)/H1935)/100,"-")</f>
        <v>-</v>
      </c>
      <c r="J1935">
        <f>COUNTIFS('Audit Raw data'!AM:AM,"Yes",'Audit Raw data'!J:J,B:B,'Audit Raw data'!E:E,'Day wise agent'!G:G)</f>
        <v>0</v>
      </c>
      <c r="K1935">
        <f>COUNTIFS('Audit Raw data'!AM:AM,"NO",'Audit Raw data'!J:J,B:B,'Audit Raw data'!E:E,'Day wise agent'!G:G)</f>
        <v>0</v>
      </c>
      <c r="L1935" s="12" t="str">
        <f t="shared" si="51"/>
        <v xml:space="preserve"> </v>
      </c>
    </row>
    <row r="1936" spans="4:12" x14ac:dyDescent="0.35">
      <c r="D1936" s="32"/>
      <c r="G1936" s="32"/>
      <c r="H1936">
        <f>COUNTIFS('Audit Raw data'!J:J,B:B,'Audit Raw data'!E:E,G:G)</f>
        <v>0</v>
      </c>
      <c r="I1936" s="44" t="str">
        <f>IFERROR((SUMIFS('Audit Raw data'!BZ:BZ,'Audit Raw data'!J:J,B:B,'Audit Raw data'!E:E,G:G)/H1936)/100,"-")</f>
        <v>-</v>
      </c>
      <c r="J1936">
        <f>COUNTIFS('Audit Raw data'!AM:AM,"Yes",'Audit Raw data'!J:J,B:B,'Audit Raw data'!E:E,'Day wise agent'!G:G)</f>
        <v>0</v>
      </c>
      <c r="K1936">
        <f>COUNTIFS('Audit Raw data'!AM:AM,"NO",'Audit Raw data'!J:J,B:B,'Audit Raw data'!E:E,'Day wise agent'!G:G)</f>
        <v>0</v>
      </c>
      <c r="L1936" s="12" t="str">
        <f t="shared" si="51"/>
        <v xml:space="preserve"> </v>
      </c>
    </row>
    <row r="1937" spans="4:12" x14ac:dyDescent="0.35">
      <c r="D1937" s="32"/>
      <c r="G1937" s="32"/>
      <c r="H1937">
        <f>COUNTIFS('Audit Raw data'!J:J,B:B,'Audit Raw data'!E:E,G:G)</f>
        <v>0</v>
      </c>
      <c r="I1937" s="44" t="str">
        <f>IFERROR((SUMIFS('Audit Raw data'!BZ:BZ,'Audit Raw data'!J:J,B:B,'Audit Raw data'!E:E,G:G)/H1937)/100,"-")</f>
        <v>-</v>
      </c>
      <c r="J1937">
        <f>COUNTIFS('Audit Raw data'!AM:AM,"Yes",'Audit Raw data'!J:J,B:B,'Audit Raw data'!E:E,'Day wise agent'!G:G)</f>
        <v>0</v>
      </c>
      <c r="K1937">
        <f>COUNTIFS('Audit Raw data'!AM:AM,"NO",'Audit Raw data'!J:J,B:B,'Audit Raw data'!E:E,'Day wise agent'!G:G)</f>
        <v>0</v>
      </c>
      <c r="L1937" s="12" t="str">
        <f t="shared" si="51"/>
        <v xml:space="preserve"> </v>
      </c>
    </row>
    <row r="1938" spans="4:12" x14ac:dyDescent="0.35">
      <c r="D1938" s="32"/>
      <c r="G1938" s="32"/>
      <c r="H1938">
        <f>COUNTIFS('Audit Raw data'!J:J,B:B,'Audit Raw data'!E:E,G:G)</f>
        <v>0</v>
      </c>
      <c r="I1938" s="44" t="str">
        <f>IFERROR((SUMIFS('Audit Raw data'!BZ:BZ,'Audit Raw data'!J:J,B:B,'Audit Raw data'!E:E,G:G)/H1938)/100,"-")</f>
        <v>-</v>
      </c>
      <c r="J1938">
        <f>COUNTIFS('Audit Raw data'!AM:AM,"Yes",'Audit Raw data'!J:J,B:B,'Audit Raw data'!E:E,'Day wise agent'!G:G)</f>
        <v>0</v>
      </c>
      <c r="K1938">
        <f>COUNTIFS('Audit Raw data'!AM:AM,"NO",'Audit Raw data'!J:J,B:B,'Audit Raw data'!E:E,'Day wise agent'!G:G)</f>
        <v>0</v>
      </c>
      <c r="L1938" s="12" t="str">
        <f t="shared" si="51"/>
        <v xml:space="preserve"> </v>
      </c>
    </row>
    <row r="1939" spans="4:12" x14ac:dyDescent="0.35">
      <c r="D1939" s="32"/>
      <c r="G1939" s="32"/>
      <c r="H1939">
        <f>COUNTIFS('Audit Raw data'!J:J,B:B,'Audit Raw data'!E:E,G:G)</f>
        <v>0</v>
      </c>
      <c r="I1939" s="44" t="str">
        <f>IFERROR((SUMIFS('Audit Raw data'!BZ:BZ,'Audit Raw data'!J:J,B:B,'Audit Raw data'!E:E,G:G)/H1939)/100,"-")</f>
        <v>-</v>
      </c>
      <c r="J1939">
        <f>COUNTIFS('Audit Raw data'!AM:AM,"Yes",'Audit Raw data'!J:J,B:B,'Audit Raw data'!E:E,'Day wise agent'!G:G)</f>
        <v>0</v>
      </c>
      <c r="K1939">
        <f>COUNTIFS('Audit Raw data'!AM:AM,"NO",'Audit Raw data'!J:J,B:B,'Audit Raw data'!E:E,'Day wise agent'!G:G)</f>
        <v>0</v>
      </c>
      <c r="L1939" s="12" t="str">
        <f t="shared" si="51"/>
        <v xml:space="preserve"> </v>
      </c>
    </row>
    <row r="1940" spans="4:12" x14ac:dyDescent="0.35">
      <c r="D1940" s="32"/>
      <c r="G1940" s="32"/>
      <c r="H1940">
        <f>COUNTIFS('Audit Raw data'!J:J,B:B,'Audit Raw data'!E:E,G:G)</f>
        <v>0</v>
      </c>
      <c r="I1940" s="44" t="str">
        <f>IFERROR((SUMIFS('Audit Raw data'!BZ:BZ,'Audit Raw data'!J:J,B:B,'Audit Raw data'!E:E,G:G)/H1940)/100,"-")</f>
        <v>-</v>
      </c>
      <c r="J1940">
        <f>COUNTIFS('Audit Raw data'!AM:AM,"Yes",'Audit Raw data'!J:J,B:B,'Audit Raw data'!E:E,'Day wise agent'!G:G)</f>
        <v>0</v>
      </c>
      <c r="K1940">
        <f>COUNTIFS('Audit Raw data'!AM:AM,"NO",'Audit Raw data'!J:J,B:B,'Audit Raw data'!E:E,'Day wise agent'!G:G)</f>
        <v>0</v>
      </c>
      <c r="L1940" s="12" t="str">
        <f t="shared" si="51"/>
        <v xml:space="preserve"> </v>
      </c>
    </row>
    <row r="1941" spans="4:12" x14ac:dyDescent="0.35">
      <c r="D1941" s="32"/>
      <c r="G1941" s="32"/>
      <c r="H1941">
        <f>COUNTIFS('Audit Raw data'!J:J,B:B,'Audit Raw data'!E:E,G:G)</f>
        <v>0</v>
      </c>
      <c r="I1941" s="44" t="str">
        <f>IFERROR((SUMIFS('Audit Raw data'!BZ:BZ,'Audit Raw data'!J:J,B:B,'Audit Raw data'!E:E,G:G)/H1941)/100,"-")</f>
        <v>-</v>
      </c>
      <c r="J1941">
        <f>COUNTIFS('Audit Raw data'!AM:AM,"Yes",'Audit Raw data'!J:J,B:B,'Audit Raw data'!E:E,'Day wise agent'!G:G)</f>
        <v>0</v>
      </c>
      <c r="K1941">
        <f>COUNTIFS('Audit Raw data'!AM:AM,"NO",'Audit Raw data'!J:J,B:B,'Audit Raw data'!E:E,'Day wise agent'!G:G)</f>
        <v>0</v>
      </c>
      <c r="L1941" s="12" t="str">
        <f t="shared" si="51"/>
        <v xml:space="preserve"> </v>
      </c>
    </row>
    <row r="1942" spans="4:12" x14ac:dyDescent="0.35">
      <c r="D1942" s="32"/>
      <c r="G1942" s="32"/>
      <c r="H1942">
        <f>COUNTIFS('Audit Raw data'!J:J,B:B,'Audit Raw data'!E:E,G:G)</f>
        <v>0</v>
      </c>
      <c r="I1942" s="44" t="str">
        <f>IFERROR((SUMIFS('Audit Raw data'!BZ:BZ,'Audit Raw data'!J:J,B:B,'Audit Raw data'!E:E,G:G)/H1942)/100,"-")</f>
        <v>-</v>
      </c>
      <c r="J1942">
        <f>COUNTIFS('Audit Raw data'!AM:AM,"Yes",'Audit Raw data'!J:J,B:B,'Audit Raw data'!E:E,'Day wise agent'!G:G)</f>
        <v>0</v>
      </c>
      <c r="K1942">
        <f>COUNTIFS('Audit Raw data'!AM:AM,"NO",'Audit Raw data'!J:J,B:B,'Audit Raw data'!E:E,'Day wise agent'!G:G)</f>
        <v>0</v>
      </c>
      <c r="L1942" s="12" t="str">
        <f t="shared" si="51"/>
        <v xml:space="preserve"> </v>
      </c>
    </row>
    <row r="1943" spans="4:12" x14ac:dyDescent="0.35">
      <c r="D1943" s="32"/>
      <c r="G1943" s="32"/>
      <c r="H1943">
        <f>COUNTIFS('Audit Raw data'!J:J,B:B,'Audit Raw data'!E:E,G:G)</f>
        <v>0</v>
      </c>
      <c r="I1943" s="44" t="str">
        <f>IFERROR((SUMIFS('Audit Raw data'!BZ:BZ,'Audit Raw data'!J:J,B:B,'Audit Raw data'!E:E,G:G)/H1943)/100,"-")</f>
        <v>-</v>
      </c>
      <c r="J1943">
        <f>COUNTIFS('Audit Raw data'!AM:AM,"Yes",'Audit Raw data'!J:J,B:B,'Audit Raw data'!E:E,'Day wise agent'!G:G)</f>
        <v>0</v>
      </c>
      <c r="K1943">
        <f>COUNTIFS('Audit Raw data'!AM:AM,"NO",'Audit Raw data'!J:J,B:B,'Audit Raw data'!E:E,'Day wise agent'!G:G)</f>
        <v>0</v>
      </c>
      <c r="L1943" s="12" t="str">
        <f t="shared" si="51"/>
        <v xml:space="preserve"> </v>
      </c>
    </row>
    <row r="1944" spans="4:12" x14ac:dyDescent="0.35">
      <c r="D1944" s="32"/>
      <c r="G1944" s="32"/>
      <c r="H1944">
        <f>COUNTIFS('Audit Raw data'!J:J,B:B,'Audit Raw data'!E:E,G:G)</f>
        <v>0</v>
      </c>
      <c r="I1944" s="44" t="str">
        <f>IFERROR((SUMIFS('Audit Raw data'!BZ:BZ,'Audit Raw data'!J:J,B:B,'Audit Raw data'!E:E,G:G)/H1944)/100,"-")</f>
        <v>-</v>
      </c>
      <c r="J1944">
        <f>COUNTIFS('Audit Raw data'!AM:AM,"Yes",'Audit Raw data'!J:J,B:B,'Audit Raw data'!E:E,'Day wise agent'!G:G)</f>
        <v>0</v>
      </c>
      <c r="K1944">
        <f>COUNTIFS('Audit Raw data'!AM:AM,"NO",'Audit Raw data'!J:J,B:B,'Audit Raw data'!E:E,'Day wise agent'!G:G)</f>
        <v>0</v>
      </c>
      <c r="L1944" s="12" t="str">
        <f t="shared" si="51"/>
        <v xml:space="preserve"> </v>
      </c>
    </row>
    <row r="1945" spans="4:12" x14ac:dyDescent="0.35">
      <c r="D1945" s="32"/>
      <c r="G1945" s="32"/>
      <c r="H1945">
        <f>COUNTIFS('Audit Raw data'!J:J,B:B,'Audit Raw data'!E:E,G:G)</f>
        <v>0</v>
      </c>
      <c r="I1945" s="44" t="str">
        <f>IFERROR((SUMIFS('Audit Raw data'!BZ:BZ,'Audit Raw data'!J:J,B:B,'Audit Raw data'!E:E,G:G)/H1945)/100,"-")</f>
        <v>-</v>
      </c>
      <c r="J1945">
        <f>COUNTIFS('Audit Raw data'!AM:AM,"Yes",'Audit Raw data'!J:J,B:B,'Audit Raw data'!E:E,'Day wise agent'!G:G)</f>
        <v>0</v>
      </c>
      <c r="K1945">
        <f>COUNTIFS('Audit Raw data'!AM:AM,"NO",'Audit Raw data'!J:J,B:B,'Audit Raw data'!E:E,'Day wise agent'!G:G)</f>
        <v>0</v>
      </c>
      <c r="L1945" s="12" t="str">
        <f t="shared" si="51"/>
        <v xml:space="preserve"> </v>
      </c>
    </row>
    <row r="1946" spans="4:12" x14ac:dyDescent="0.35">
      <c r="D1946" s="32"/>
      <c r="G1946" s="32"/>
      <c r="H1946">
        <f>COUNTIFS('Audit Raw data'!J:J,B:B,'Audit Raw data'!E:E,G:G)</f>
        <v>0</v>
      </c>
      <c r="I1946" s="44" t="str">
        <f>IFERROR((SUMIFS('Audit Raw data'!BZ:BZ,'Audit Raw data'!J:J,B:B,'Audit Raw data'!E:E,G:G)/H1946)/100,"-")</f>
        <v>-</v>
      </c>
      <c r="J1946">
        <f>COUNTIFS('Audit Raw data'!AM:AM,"Yes",'Audit Raw data'!J:J,B:B,'Audit Raw data'!E:E,'Day wise agent'!G:G)</f>
        <v>0</v>
      </c>
      <c r="K1946">
        <f>COUNTIFS('Audit Raw data'!AM:AM,"NO",'Audit Raw data'!J:J,B:B,'Audit Raw data'!E:E,'Day wise agent'!G:G)</f>
        <v>0</v>
      </c>
      <c r="L1946" s="12" t="str">
        <f t="shared" si="51"/>
        <v xml:space="preserve"> </v>
      </c>
    </row>
    <row r="1947" spans="4:12" x14ac:dyDescent="0.35">
      <c r="D1947" s="32"/>
      <c r="G1947" s="32"/>
      <c r="H1947">
        <f>COUNTIFS('Audit Raw data'!J:J,B:B,'Audit Raw data'!E:E,G:G)</f>
        <v>0</v>
      </c>
      <c r="I1947" s="44" t="str">
        <f>IFERROR((SUMIFS('Audit Raw data'!BZ:BZ,'Audit Raw data'!J:J,B:B,'Audit Raw data'!E:E,G:G)/H1947)/100,"-")</f>
        <v>-</v>
      </c>
      <c r="J1947">
        <f>COUNTIFS('Audit Raw data'!AM:AM,"Yes",'Audit Raw data'!J:J,B:B,'Audit Raw data'!E:E,'Day wise agent'!G:G)</f>
        <v>0</v>
      </c>
      <c r="K1947">
        <f>COUNTIFS('Audit Raw data'!AM:AM,"NO",'Audit Raw data'!J:J,B:B,'Audit Raw data'!E:E,'Day wise agent'!G:G)</f>
        <v>0</v>
      </c>
      <c r="L1947" s="12" t="str">
        <f t="shared" si="51"/>
        <v xml:space="preserve"> </v>
      </c>
    </row>
    <row r="1948" spans="4:12" x14ac:dyDescent="0.35">
      <c r="D1948" s="32"/>
      <c r="G1948" s="32"/>
      <c r="H1948">
        <f>COUNTIFS('Audit Raw data'!J:J,B:B,'Audit Raw data'!E:E,G:G)</f>
        <v>0</v>
      </c>
      <c r="I1948" s="44" t="str">
        <f>IFERROR((SUMIFS('Audit Raw data'!BZ:BZ,'Audit Raw data'!J:J,B:B,'Audit Raw data'!E:E,G:G)/H1948)/100,"-")</f>
        <v>-</v>
      </c>
      <c r="J1948">
        <f>COUNTIFS('Audit Raw data'!AM:AM,"Yes",'Audit Raw data'!J:J,B:B,'Audit Raw data'!E:E,'Day wise agent'!G:G)</f>
        <v>0</v>
      </c>
      <c r="K1948">
        <f>COUNTIFS('Audit Raw data'!AM:AM,"NO",'Audit Raw data'!J:J,B:B,'Audit Raw data'!E:E,'Day wise agent'!G:G)</f>
        <v>0</v>
      </c>
      <c r="L1948" s="12" t="str">
        <f t="shared" si="51"/>
        <v xml:space="preserve"> </v>
      </c>
    </row>
    <row r="1949" spans="4:12" x14ac:dyDescent="0.35">
      <c r="D1949" s="32"/>
      <c r="G1949" s="32"/>
      <c r="H1949">
        <f>COUNTIFS('Audit Raw data'!J:J,B:B,'Audit Raw data'!E:E,G:G)</f>
        <v>0</v>
      </c>
      <c r="I1949" s="44" t="str">
        <f>IFERROR((SUMIFS('Audit Raw data'!BZ:BZ,'Audit Raw data'!J:J,B:B,'Audit Raw data'!E:E,G:G)/H1949)/100,"-")</f>
        <v>-</v>
      </c>
      <c r="J1949">
        <f>COUNTIFS('Audit Raw data'!AM:AM,"Yes",'Audit Raw data'!J:J,B:B,'Audit Raw data'!E:E,'Day wise agent'!G:G)</f>
        <v>0</v>
      </c>
      <c r="K1949">
        <f>COUNTIFS('Audit Raw data'!AM:AM,"NO",'Audit Raw data'!J:J,B:B,'Audit Raw data'!E:E,'Day wise agent'!G:G)</f>
        <v>0</v>
      </c>
      <c r="L1949" s="12" t="str">
        <f t="shared" si="51"/>
        <v xml:space="preserve"> </v>
      </c>
    </row>
    <row r="1950" spans="4:12" x14ac:dyDescent="0.35">
      <c r="D1950" s="32"/>
      <c r="G1950" s="32"/>
      <c r="H1950">
        <f>COUNTIFS('Audit Raw data'!J:J,B:B,'Audit Raw data'!E:E,G:G)</f>
        <v>0</v>
      </c>
      <c r="I1950" s="44" t="str">
        <f>IFERROR((SUMIFS('Audit Raw data'!BZ:BZ,'Audit Raw data'!J:J,B:B,'Audit Raw data'!E:E,G:G)/H1950)/100,"-")</f>
        <v>-</v>
      </c>
      <c r="J1950">
        <f>COUNTIFS('Audit Raw data'!AM:AM,"Yes",'Audit Raw data'!J:J,B:B,'Audit Raw data'!E:E,'Day wise agent'!G:G)</f>
        <v>0</v>
      </c>
      <c r="K1950">
        <f>COUNTIFS('Audit Raw data'!AM:AM,"NO",'Audit Raw data'!J:J,B:B,'Audit Raw data'!E:E,'Day wise agent'!G:G)</f>
        <v>0</v>
      </c>
      <c r="L1950" s="12" t="str">
        <f t="shared" si="51"/>
        <v xml:space="preserve"> </v>
      </c>
    </row>
    <row r="1951" spans="4:12" x14ac:dyDescent="0.35">
      <c r="D1951" s="32"/>
      <c r="G1951" s="32"/>
      <c r="H1951">
        <f>COUNTIFS('Audit Raw data'!J:J,B:B,'Audit Raw data'!E:E,G:G)</f>
        <v>0</v>
      </c>
      <c r="I1951" s="44" t="str">
        <f>IFERROR((SUMIFS('Audit Raw data'!BZ:BZ,'Audit Raw data'!J:J,B:B,'Audit Raw data'!E:E,G:G)/H1951)/100,"-")</f>
        <v>-</v>
      </c>
      <c r="J1951">
        <f>COUNTIFS('Audit Raw data'!AM:AM,"Yes",'Audit Raw data'!J:J,B:B,'Audit Raw data'!E:E,'Day wise agent'!G:G)</f>
        <v>0</v>
      </c>
      <c r="K1951">
        <f>COUNTIFS('Audit Raw data'!AM:AM,"NO",'Audit Raw data'!J:J,B:B,'Audit Raw data'!E:E,'Day wise agent'!G:G)</f>
        <v>0</v>
      </c>
      <c r="L1951" s="12" t="str">
        <f t="shared" si="51"/>
        <v xml:space="preserve"> </v>
      </c>
    </row>
    <row r="1952" spans="4:12" x14ac:dyDescent="0.35">
      <c r="D1952" s="32"/>
      <c r="G1952" s="32"/>
      <c r="H1952">
        <f>COUNTIFS('Audit Raw data'!J:J,B:B,'Audit Raw data'!E:E,G:G)</f>
        <v>0</v>
      </c>
      <c r="I1952" s="44" t="str">
        <f>IFERROR((SUMIFS('Audit Raw data'!BZ:BZ,'Audit Raw data'!J:J,B:B,'Audit Raw data'!E:E,G:G)/H1952)/100,"-")</f>
        <v>-</v>
      </c>
      <c r="J1952">
        <f>COUNTIFS('Audit Raw data'!AM:AM,"Yes",'Audit Raw data'!J:J,B:B,'Audit Raw data'!E:E,'Day wise agent'!G:G)</f>
        <v>0</v>
      </c>
      <c r="K1952">
        <f>COUNTIFS('Audit Raw data'!AM:AM,"NO",'Audit Raw data'!J:J,B:B,'Audit Raw data'!E:E,'Day wise agent'!G:G)</f>
        <v>0</v>
      </c>
      <c r="L1952" s="12" t="str">
        <f t="shared" si="51"/>
        <v xml:space="preserve"> </v>
      </c>
    </row>
    <row r="1953" spans="4:12" x14ac:dyDescent="0.35">
      <c r="D1953" s="32"/>
      <c r="G1953" s="32"/>
      <c r="H1953">
        <f>COUNTIFS('Audit Raw data'!J:J,B:B,'Audit Raw data'!E:E,G:G)</f>
        <v>0</v>
      </c>
      <c r="I1953" s="44" t="str">
        <f>IFERROR((SUMIFS('Audit Raw data'!BZ:BZ,'Audit Raw data'!J:J,B:B,'Audit Raw data'!E:E,G:G)/H1953)/100,"-")</f>
        <v>-</v>
      </c>
      <c r="J1953">
        <f>COUNTIFS('Audit Raw data'!AM:AM,"Yes",'Audit Raw data'!J:J,B:B,'Audit Raw data'!E:E,'Day wise agent'!G:G)</f>
        <v>0</v>
      </c>
      <c r="K1953">
        <f>COUNTIFS('Audit Raw data'!AM:AM,"NO",'Audit Raw data'!J:J,B:B,'Audit Raw data'!E:E,'Day wise agent'!G:G)</f>
        <v>0</v>
      </c>
      <c r="L1953" s="12" t="str">
        <f t="shared" si="51"/>
        <v xml:space="preserve"> </v>
      </c>
    </row>
    <row r="1954" spans="4:12" x14ac:dyDescent="0.35">
      <c r="D1954" s="32"/>
      <c r="G1954" s="32"/>
      <c r="H1954">
        <f>COUNTIFS('Audit Raw data'!J:J,B:B,'Audit Raw data'!E:E,G:G)</f>
        <v>0</v>
      </c>
      <c r="I1954" s="44" t="str">
        <f>IFERROR((SUMIFS('Audit Raw data'!BZ:BZ,'Audit Raw data'!J:J,B:B,'Audit Raw data'!E:E,G:G)/H1954)/100,"-")</f>
        <v>-</v>
      </c>
      <c r="J1954">
        <f>COUNTIFS('Audit Raw data'!AM:AM,"Yes",'Audit Raw data'!J:J,B:B,'Audit Raw data'!E:E,'Day wise agent'!G:G)</f>
        <v>0</v>
      </c>
      <c r="K1954">
        <f>COUNTIFS('Audit Raw data'!AM:AM,"NO",'Audit Raw data'!J:J,B:B,'Audit Raw data'!E:E,'Day wise agent'!G:G)</f>
        <v>0</v>
      </c>
      <c r="L1954" s="12" t="str">
        <f t="shared" si="51"/>
        <v xml:space="preserve"> </v>
      </c>
    </row>
    <row r="1955" spans="4:12" x14ac:dyDescent="0.35">
      <c r="D1955" s="32"/>
      <c r="G1955" s="32"/>
      <c r="H1955">
        <f>COUNTIFS('Audit Raw data'!J:J,B:B,'Audit Raw data'!E:E,G:G)</f>
        <v>0</v>
      </c>
      <c r="I1955" s="44" t="str">
        <f>IFERROR((SUMIFS('Audit Raw data'!BZ:BZ,'Audit Raw data'!J:J,B:B,'Audit Raw data'!E:E,G:G)/H1955)/100,"-")</f>
        <v>-</v>
      </c>
      <c r="J1955">
        <f>COUNTIFS('Audit Raw data'!AM:AM,"Yes",'Audit Raw data'!J:J,B:B,'Audit Raw data'!E:E,'Day wise agent'!G:G)</f>
        <v>0</v>
      </c>
      <c r="K1955">
        <f>COUNTIFS('Audit Raw data'!AM:AM,"NO",'Audit Raw data'!J:J,B:B,'Audit Raw data'!E:E,'Day wise agent'!G:G)</f>
        <v>0</v>
      </c>
      <c r="L1955" s="12" t="str">
        <f t="shared" si="51"/>
        <v xml:space="preserve"> </v>
      </c>
    </row>
    <row r="1956" spans="4:12" x14ac:dyDescent="0.35">
      <c r="D1956" s="32"/>
      <c r="G1956" s="32"/>
      <c r="H1956">
        <f>COUNTIFS('Audit Raw data'!J:J,B:B,'Audit Raw data'!E:E,G:G)</f>
        <v>0</v>
      </c>
      <c r="I1956" s="44" t="str">
        <f>IFERROR((SUMIFS('Audit Raw data'!BZ:BZ,'Audit Raw data'!J:J,B:B,'Audit Raw data'!E:E,G:G)/H1956)/100,"-")</f>
        <v>-</v>
      </c>
      <c r="J1956">
        <f>COUNTIFS('Audit Raw data'!AM:AM,"Yes",'Audit Raw data'!J:J,B:B,'Audit Raw data'!E:E,'Day wise agent'!G:G)</f>
        <v>0</v>
      </c>
      <c r="K1956">
        <f>COUNTIFS('Audit Raw data'!AM:AM,"NO",'Audit Raw data'!J:J,B:B,'Audit Raw data'!E:E,'Day wise agent'!G:G)</f>
        <v>0</v>
      </c>
      <c r="L1956" s="12" t="str">
        <f t="shared" si="51"/>
        <v xml:space="preserve"> </v>
      </c>
    </row>
    <row r="1957" spans="4:12" x14ac:dyDescent="0.35">
      <c r="D1957" s="32"/>
      <c r="G1957" s="32"/>
      <c r="H1957">
        <f>COUNTIFS('Audit Raw data'!J:J,B:B,'Audit Raw data'!E:E,G:G)</f>
        <v>0</v>
      </c>
      <c r="I1957" s="44" t="str">
        <f>IFERROR((SUMIFS('Audit Raw data'!BZ:BZ,'Audit Raw data'!J:J,B:B,'Audit Raw data'!E:E,G:G)/H1957)/100,"-")</f>
        <v>-</v>
      </c>
      <c r="J1957">
        <f>COUNTIFS('Audit Raw data'!AM:AM,"Yes",'Audit Raw data'!J:J,B:B,'Audit Raw data'!E:E,'Day wise agent'!G:G)</f>
        <v>0</v>
      </c>
      <c r="K1957">
        <f>COUNTIFS('Audit Raw data'!AM:AM,"NO",'Audit Raw data'!J:J,B:B,'Audit Raw data'!E:E,'Day wise agent'!G:G)</f>
        <v>0</v>
      </c>
      <c r="L1957" s="12" t="str">
        <f t="shared" si="51"/>
        <v xml:space="preserve"> </v>
      </c>
    </row>
    <row r="1958" spans="4:12" x14ac:dyDescent="0.35">
      <c r="D1958" s="32"/>
      <c r="G1958" s="32"/>
      <c r="H1958">
        <f>COUNTIFS('Audit Raw data'!J:J,B:B,'Audit Raw data'!E:E,G:G)</f>
        <v>0</v>
      </c>
      <c r="I1958" s="44" t="str">
        <f>IFERROR((SUMIFS('Audit Raw data'!BZ:BZ,'Audit Raw data'!J:J,B:B,'Audit Raw data'!E:E,G:G)/H1958)/100,"-")</f>
        <v>-</v>
      </c>
      <c r="J1958">
        <f>COUNTIFS('Audit Raw data'!AM:AM,"Yes",'Audit Raw data'!J:J,B:B,'Audit Raw data'!E:E,'Day wise agent'!G:G)</f>
        <v>0</v>
      </c>
      <c r="K1958">
        <f>COUNTIFS('Audit Raw data'!AM:AM,"NO",'Audit Raw data'!J:J,B:B,'Audit Raw data'!E:E,'Day wise agent'!G:G)</f>
        <v>0</v>
      </c>
      <c r="L1958" s="12" t="str">
        <f t="shared" si="51"/>
        <v xml:space="preserve"> </v>
      </c>
    </row>
    <row r="1959" spans="4:12" x14ac:dyDescent="0.35">
      <c r="D1959" s="32"/>
      <c r="G1959" s="32"/>
      <c r="H1959">
        <f>COUNTIFS('Audit Raw data'!J:J,B:B,'Audit Raw data'!E:E,G:G)</f>
        <v>0</v>
      </c>
      <c r="I1959" s="44" t="str">
        <f>IFERROR((SUMIFS('Audit Raw data'!BZ:BZ,'Audit Raw data'!J:J,B:B,'Audit Raw data'!E:E,G:G)/H1959)/100,"-")</f>
        <v>-</v>
      </c>
      <c r="J1959">
        <f>COUNTIFS('Audit Raw data'!AM:AM,"Yes",'Audit Raw data'!J:J,B:B,'Audit Raw data'!E:E,'Day wise agent'!G:G)</f>
        <v>0</v>
      </c>
      <c r="K1959">
        <f>COUNTIFS('Audit Raw data'!AM:AM,"NO",'Audit Raw data'!J:J,B:B,'Audit Raw data'!E:E,'Day wise agent'!G:G)</f>
        <v>0</v>
      </c>
      <c r="L1959" s="12" t="str">
        <f t="shared" si="51"/>
        <v xml:space="preserve"> </v>
      </c>
    </row>
    <row r="1960" spans="4:12" x14ac:dyDescent="0.35">
      <c r="D1960" s="32"/>
      <c r="G1960" s="32"/>
      <c r="H1960">
        <f>COUNTIFS('Audit Raw data'!J:J,B:B,'Audit Raw data'!E:E,G:G)</f>
        <v>0</v>
      </c>
      <c r="I1960" s="44" t="str">
        <f>IFERROR((SUMIFS('Audit Raw data'!BZ:BZ,'Audit Raw data'!J:J,B:B,'Audit Raw data'!E:E,G:G)/H1960)/100,"-")</f>
        <v>-</v>
      </c>
      <c r="J1960">
        <f>COUNTIFS('Audit Raw data'!AM:AM,"Yes",'Audit Raw data'!J:J,B:B,'Audit Raw data'!E:E,'Day wise agent'!G:G)</f>
        <v>0</v>
      </c>
      <c r="K1960">
        <f>COUNTIFS('Audit Raw data'!AM:AM,"NO",'Audit Raw data'!J:J,B:B,'Audit Raw data'!E:E,'Day wise agent'!G:G)</f>
        <v>0</v>
      </c>
      <c r="L1960" s="12" t="str">
        <f t="shared" si="51"/>
        <v xml:space="preserve"> </v>
      </c>
    </row>
    <row r="1961" spans="4:12" x14ac:dyDescent="0.35">
      <c r="D1961" s="32"/>
      <c r="G1961" s="32"/>
      <c r="H1961">
        <f>COUNTIFS('Audit Raw data'!J:J,B:B,'Audit Raw data'!E:E,G:G)</f>
        <v>0</v>
      </c>
      <c r="I1961" s="44" t="str">
        <f>IFERROR((SUMIFS('Audit Raw data'!BZ:BZ,'Audit Raw data'!J:J,B:B,'Audit Raw data'!E:E,G:G)/H1961)/100,"-")</f>
        <v>-</v>
      </c>
      <c r="J1961">
        <f>COUNTIFS('Audit Raw data'!AM:AM,"Yes",'Audit Raw data'!J:J,B:B,'Audit Raw data'!E:E,'Day wise agent'!G:G)</f>
        <v>0</v>
      </c>
      <c r="K1961">
        <f>COUNTIFS('Audit Raw data'!AM:AM,"NO",'Audit Raw data'!J:J,B:B,'Audit Raw data'!E:E,'Day wise agent'!G:G)</f>
        <v>0</v>
      </c>
      <c r="L1961" s="12" t="str">
        <f t="shared" si="51"/>
        <v xml:space="preserve"> </v>
      </c>
    </row>
    <row r="1962" spans="4:12" x14ac:dyDescent="0.35">
      <c r="D1962" s="32"/>
      <c r="G1962" s="32"/>
      <c r="H1962">
        <f>COUNTIFS('Audit Raw data'!J:J,B:B,'Audit Raw data'!E:E,G:G)</f>
        <v>0</v>
      </c>
      <c r="I1962" s="44" t="str">
        <f>IFERROR((SUMIFS('Audit Raw data'!BZ:BZ,'Audit Raw data'!J:J,B:B,'Audit Raw data'!E:E,G:G)/H1962)/100,"-")</f>
        <v>-</v>
      </c>
      <c r="J1962">
        <f>COUNTIFS('Audit Raw data'!AM:AM,"Yes",'Audit Raw data'!J:J,B:B,'Audit Raw data'!E:E,'Day wise agent'!G:G)</f>
        <v>0</v>
      </c>
      <c r="K1962">
        <f>COUNTIFS('Audit Raw data'!AM:AM,"NO",'Audit Raw data'!J:J,B:B,'Audit Raw data'!E:E,'Day wise agent'!G:G)</f>
        <v>0</v>
      </c>
      <c r="L1962" s="12" t="str">
        <f t="shared" si="51"/>
        <v xml:space="preserve"> </v>
      </c>
    </row>
    <row r="1963" spans="4:12" x14ac:dyDescent="0.35">
      <c r="D1963" s="32"/>
      <c r="G1963" s="32"/>
      <c r="H1963">
        <f>COUNTIFS('Audit Raw data'!J:J,B:B,'Audit Raw data'!E:E,G:G)</f>
        <v>0</v>
      </c>
      <c r="I1963" s="44" t="str">
        <f>IFERROR((SUMIFS('Audit Raw data'!BZ:BZ,'Audit Raw data'!J:J,B:B,'Audit Raw data'!E:E,G:G)/H1963)/100,"-")</f>
        <v>-</v>
      </c>
      <c r="J1963">
        <f>COUNTIFS('Audit Raw data'!AM:AM,"Yes",'Audit Raw data'!J:J,B:B,'Audit Raw data'!E:E,'Day wise agent'!G:G)</f>
        <v>0</v>
      </c>
      <c r="K1963">
        <f>COUNTIFS('Audit Raw data'!AM:AM,"NO",'Audit Raw data'!J:J,B:B,'Audit Raw data'!E:E,'Day wise agent'!G:G)</f>
        <v>0</v>
      </c>
      <c r="L1963" s="12" t="str">
        <f t="shared" si="51"/>
        <v xml:space="preserve"> </v>
      </c>
    </row>
    <row r="1964" spans="4:12" x14ac:dyDescent="0.35">
      <c r="D1964" s="32"/>
      <c r="G1964" s="32"/>
      <c r="H1964">
        <f>COUNTIFS('Audit Raw data'!J:J,B:B,'Audit Raw data'!E:E,G:G)</f>
        <v>0</v>
      </c>
      <c r="I1964" s="44" t="str">
        <f>IFERROR((SUMIFS('Audit Raw data'!BZ:BZ,'Audit Raw data'!J:J,B:B,'Audit Raw data'!E:E,G:G)/H1964)/100,"-")</f>
        <v>-</v>
      </c>
      <c r="J1964">
        <f>COUNTIFS('Audit Raw data'!AM:AM,"Yes",'Audit Raw data'!J:J,B:B,'Audit Raw data'!E:E,'Day wise agent'!G:G)</f>
        <v>0</v>
      </c>
      <c r="K1964">
        <f>COUNTIFS('Audit Raw data'!AM:AM,"NO",'Audit Raw data'!J:J,B:B,'Audit Raw data'!E:E,'Day wise agent'!G:G)</f>
        <v>0</v>
      </c>
      <c r="L1964" s="12" t="str">
        <f t="shared" si="51"/>
        <v xml:space="preserve"> </v>
      </c>
    </row>
    <row r="1965" spans="4:12" x14ac:dyDescent="0.35">
      <c r="D1965" s="32"/>
      <c r="G1965" s="32"/>
      <c r="H1965">
        <f>COUNTIFS('Audit Raw data'!J:J,B:B,'Audit Raw data'!E:E,G:G)</f>
        <v>0</v>
      </c>
      <c r="I1965" s="44" t="str">
        <f>IFERROR((SUMIFS('Audit Raw data'!BZ:BZ,'Audit Raw data'!J:J,B:B,'Audit Raw data'!E:E,G:G)/H1965)/100,"-")</f>
        <v>-</v>
      </c>
      <c r="J1965">
        <f>COUNTIFS('Audit Raw data'!AM:AM,"Yes",'Audit Raw data'!J:J,B:B,'Audit Raw data'!E:E,'Day wise agent'!G:G)</f>
        <v>0</v>
      </c>
      <c r="K1965">
        <f>COUNTIFS('Audit Raw data'!AM:AM,"NO",'Audit Raw data'!J:J,B:B,'Audit Raw data'!E:E,'Day wise agent'!G:G)</f>
        <v>0</v>
      </c>
      <c r="L1965" s="12" t="str">
        <f t="shared" si="51"/>
        <v xml:space="preserve"> </v>
      </c>
    </row>
    <row r="1966" spans="4:12" x14ac:dyDescent="0.35">
      <c r="D1966" s="32"/>
      <c r="G1966" s="32"/>
      <c r="H1966">
        <f>COUNTIFS('Audit Raw data'!J:J,B:B,'Audit Raw data'!E:E,G:G)</f>
        <v>0</v>
      </c>
      <c r="I1966" s="44" t="str">
        <f>IFERROR((SUMIFS('Audit Raw data'!BZ:BZ,'Audit Raw data'!J:J,B:B,'Audit Raw data'!E:E,G:G)/H1966)/100,"-")</f>
        <v>-</v>
      </c>
      <c r="J1966">
        <f>COUNTIFS('Audit Raw data'!AM:AM,"Yes",'Audit Raw data'!J:J,B:B,'Audit Raw data'!E:E,'Day wise agent'!G:G)</f>
        <v>0</v>
      </c>
      <c r="K1966">
        <f>COUNTIFS('Audit Raw data'!AM:AM,"NO",'Audit Raw data'!J:J,B:B,'Audit Raw data'!E:E,'Day wise agent'!G:G)</f>
        <v>0</v>
      </c>
      <c r="L1966" s="12" t="str">
        <f t="shared" si="51"/>
        <v xml:space="preserve"> </v>
      </c>
    </row>
    <row r="1967" spans="4:12" x14ac:dyDescent="0.35">
      <c r="D1967" s="32"/>
      <c r="G1967" s="32"/>
      <c r="H1967">
        <f>COUNTIFS('Audit Raw data'!J:J,B:B,'Audit Raw data'!E:E,G:G)</f>
        <v>0</v>
      </c>
      <c r="I1967" s="44" t="str">
        <f>IFERROR((SUMIFS('Audit Raw data'!BZ:BZ,'Audit Raw data'!J:J,B:B,'Audit Raw data'!E:E,G:G)/H1967)/100,"-")</f>
        <v>-</v>
      </c>
      <c r="J1967">
        <f>COUNTIFS('Audit Raw data'!AM:AM,"Yes",'Audit Raw data'!J:J,B:B,'Audit Raw data'!E:E,'Day wise agent'!G:G)</f>
        <v>0</v>
      </c>
      <c r="K1967">
        <f>COUNTIFS('Audit Raw data'!AM:AM,"NO",'Audit Raw data'!J:J,B:B,'Audit Raw data'!E:E,'Day wise agent'!G:G)</f>
        <v>0</v>
      </c>
      <c r="L1967" s="12" t="str">
        <f t="shared" si="51"/>
        <v xml:space="preserve"> </v>
      </c>
    </row>
    <row r="1968" spans="4:12" x14ac:dyDescent="0.35">
      <c r="D1968" s="32"/>
      <c r="G1968" s="32"/>
      <c r="H1968">
        <f>COUNTIFS('Audit Raw data'!J:J,B:B,'Audit Raw data'!E:E,G:G)</f>
        <v>0</v>
      </c>
      <c r="I1968" s="44" t="str">
        <f>IFERROR((SUMIFS('Audit Raw data'!BZ:BZ,'Audit Raw data'!J:J,B:B,'Audit Raw data'!E:E,G:G)/H1968)/100,"-")</f>
        <v>-</v>
      </c>
      <c r="J1968">
        <f>COUNTIFS('Audit Raw data'!AM:AM,"Yes",'Audit Raw data'!J:J,B:B,'Audit Raw data'!E:E,'Day wise agent'!G:G)</f>
        <v>0</v>
      </c>
      <c r="K1968">
        <f>COUNTIFS('Audit Raw data'!AM:AM,"NO",'Audit Raw data'!J:J,B:B,'Audit Raw data'!E:E,'Day wise agent'!G:G)</f>
        <v>0</v>
      </c>
      <c r="L1968" s="12" t="str">
        <f t="shared" si="51"/>
        <v xml:space="preserve"> </v>
      </c>
    </row>
    <row r="1969" spans="4:12" x14ac:dyDescent="0.35">
      <c r="D1969" s="32"/>
      <c r="G1969" s="32"/>
      <c r="H1969">
        <f>COUNTIFS('Audit Raw data'!J:J,B:B,'Audit Raw data'!E:E,G:G)</f>
        <v>0</v>
      </c>
      <c r="I1969" s="44" t="str">
        <f>IFERROR((SUMIFS('Audit Raw data'!BZ:BZ,'Audit Raw data'!J:J,B:B,'Audit Raw data'!E:E,G:G)/H1969)/100,"-")</f>
        <v>-</v>
      </c>
      <c r="J1969">
        <f>COUNTIFS('Audit Raw data'!AM:AM,"Yes",'Audit Raw data'!J:J,B:B,'Audit Raw data'!E:E,'Day wise agent'!G:G)</f>
        <v>0</v>
      </c>
      <c r="K1969">
        <f>COUNTIFS('Audit Raw data'!AM:AM,"NO",'Audit Raw data'!J:J,B:B,'Audit Raw data'!E:E,'Day wise agent'!G:G)</f>
        <v>0</v>
      </c>
      <c r="L1969" s="12" t="str">
        <f t="shared" si="51"/>
        <v xml:space="preserve"> </v>
      </c>
    </row>
    <row r="1970" spans="4:12" x14ac:dyDescent="0.35">
      <c r="D1970" s="32"/>
      <c r="G1970" s="32"/>
      <c r="H1970">
        <f>COUNTIFS('Audit Raw data'!J:J,B:B,'Audit Raw data'!E:E,G:G)</f>
        <v>0</v>
      </c>
      <c r="I1970" s="44" t="str">
        <f>IFERROR((SUMIFS('Audit Raw data'!BZ:BZ,'Audit Raw data'!J:J,B:B,'Audit Raw data'!E:E,G:G)/H1970)/100,"-")</f>
        <v>-</v>
      </c>
      <c r="J1970">
        <f>COUNTIFS('Audit Raw data'!AM:AM,"Yes",'Audit Raw data'!J:J,B:B,'Audit Raw data'!E:E,'Day wise agent'!G:G)</f>
        <v>0</v>
      </c>
      <c r="K1970">
        <f>COUNTIFS('Audit Raw data'!AM:AM,"NO",'Audit Raw data'!J:J,B:B,'Audit Raw data'!E:E,'Day wise agent'!G:G)</f>
        <v>0</v>
      </c>
      <c r="L1970" s="12" t="str">
        <f t="shared" si="51"/>
        <v xml:space="preserve"> </v>
      </c>
    </row>
    <row r="1971" spans="4:12" x14ac:dyDescent="0.35">
      <c r="D1971" s="32"/>
      <c r="G1971" s="32"/>
      <c r="H1971">
        <f>COUNTIFS('Audit Raw data'!J:J,B:B,'Audit Raw data'!E:E,G:G)</f>
        <v>0</v>
      </c>
      <c r="I1971" s="44" t="str">
        <f>IFERROR((SUMIFS('Audit Raw data'!BZ:BZ,'Audit Raw data'!J:J,B:B,'Audit Raw data'!E:E,G:G)/H1971)/100,"-")</f>
        <v>-</v>
      </c>
      <c r="J1971">
        <f>COUNTIFS('Audit Raw data'!AM:AM,"Yes",'Audit Raw data'!J:J,B:B,'Audit Raw data'!E:E,'Day wise agent'!G:G)</f>
        <v>0</v>
      </c>
      <c r="K1971">
        <f>COUNTIFS('Audit Raw data'!AM:AM,"NO",'Audit Raw data'!J:J,B:B,'Audit Raw data'!E:E,'Day wise agent'!G:G)</f>
        <v>0</v>
      </c>
      <c r="L1971" s="12" t="str">
        <f t="shared" si="51"/>
        <v xml:space="preserve"> </v>
      </c>
    </row>
    <row r="1972" spans="4:12" x14ac:dyDescent="0.35">
      <c r="D1972" s="32"/>
      <c r="G1972" s="32"/>
      <c r="H1972">
        <f>COUNTIFS('Audit Raw data'!J:J,B:B,'Audit Raw data'!E:E,G:G)</f>
        <v>0</v>
      </c>
      <c r="I1972" s="44" t="str">
        <f>IFERROR((SUMIFS('Audit Raw data'!BZ:BZ,'Audit Raw data'!J:J,B:B,'Audit Raw data'!E:E,G:G)/H1972)/100,"-")</f>
        <v>-</v>
      </c>
      <c r="J1972">
        <f>COUNTIFS('Audit Raw data'!AM:AM,"Yes",'Audit Raw data'!J:J,B:B,'Audit Raw data'!E:E,'Day wise agent'!G:G)</f>
        <v>0</v>
      </c>
      <c r="K1972">
        <f>COUNTIFS('Audit Raw data'!AM:AM,"NO",'Audit Raw data'!J:J,B:B,'Audit Raw data'!E:E,'Day wise agent'!G:G)</f>
        <v>0</v>
      </c>
      <c r="L1972" s="12" t="str">
        <f t="shared" si="51"/>
        <v xml:space="preserve"> </v>
      </c>
    </row>
    <row r="1973" spans="4:12" x14ac:dyDescent="0.35">
      <c r="D1973" s="32"/>
      <c r="G1973" s="32"/>
      <c r="H1973">
        <f>COUNTIFS('Audit Raw data'!J:J,B:B,'Audit Raw data'!E:E,G:G)</f>
        <v>0</v>
      </c>
      <c r="I1973" s="44" t="str">
        <f>IFERROR((SUMIFS('Audit Raw data'!BZ:BZ,'Audit Raw data'!J:J,B:B,'Audit Raw data'!E:E,G:G)/H1973)/100,"-")</f>
        <v>-</v>
      </c>
      <c r="J1973">
        <f>COUNTIFS('Audit Raw data'!AM:AM,"Yes",'Audit Raw data'!J:J,B:B,'Audit Raw data'!E:E,'Day wise agent'!G:G)</f>
        <v>0</v>
      </c>
      <c r="K1973">
        <f>COUNTIFS('Audit Raw data'!AM:AM,"NO",'Audit Raw data'!J:J,B:B,'Audit Raw data'!E:E,'Day wise agent'!G:G)</f>
        <v>0</v>
      </c>
      <c r="L1973" s="12" t="str">
        <f t="shared" si="51"/>
        <v xml:space="preserve"> </v>
      </c>
    </row>
    <row r="1974" spans="4:12" x14ac:dyDescent="0.35">
      <c r="D1974" s="32"/>
      <c r="G1974" s="32"/>
      <c r="H1974">
        <f>COUNTIFS('Audit Raw data'!J:J,B:B,'Audit Raw data'!E:E,G:G)</f>
        <v>0</v>
      </c>
      <c r="I1974" s="44" t="str">
        <f>IFERROR((SUMIFS('Audit Raw data'!BZ:BZ,'Audit Raw data'!J:J,B:B,'Audit Raw data'!E:E,G:G)/H1974)/100,"-")</f>
        <v>-</v>
      </c>
      <c r="J1974">
        <f>COUNTIFS('Audit Raw data'!AM:AM,"Yes",'Audit Raw data'!J:J,B:B,'Audit Raw data'!E:E,'Day wise agent'!G:G)</f>
        <v>0</v>
      </c>
      <c r="K1974">
        <f>COUNTIFS('Audit Raw data'!AM:AM,"NO",'Audit Raw data'!J:J,B:B,'Audit Raw data'!E:E,'Day wise agent'!G:G)</f>
        <v>0</v>
      </c>
      <c r="L1974" s="12" t="str">
        <f t="shared" si="51"/>
        <v xml:space="preserve"> </v>
      </c>
    </row>
    <row r="1975" spans="4:12" x14ac:dyDescent="0.35">
      <c r="D1975" s="32"/>
      <c r="G1975" s="32"/>
      <c r="H1975">
        <f>COUNTIFS('Audit Raw data'!J:J,B:B,'Audit Raw data'!E:E,G:G)</f>
        <v>0</v>
      </c>
      <c r="I1975" s="44" t="str">
        <f>IFERROR((SUMIFS('Audit Raw data'!BZ:BZ,'Audit Raw data'!J:J,B:B,'Audit Raw data'!E:E,G:G)/H1975)/100,"-")</f>
        <v>-</v>
      </c>
      <c r="J1975">
        <f>COUNTIFS('Audit Raw data'!AM:AM,"Yes",'Audit Raw data'!J:J,B:B,'Audit Raw data'!E:E,'Day wise agent'!G:G)</f>
        <v>0</v>
      </c>
      <c r="K1975">
        <f>COUNTIFS('Audit Raw data'!AM:AM,"NO",'Audit Raw data'!J:J,B:B,'Audit Raw data'!E:E,'Day wise agent'!G:G)</f>
        <v>0</v>
      </c>
      <c r="L1975" s="12" t="str">
        <f t="shared" si="51"/>
        <v xml:space="preserve"> </v>
      </c>
    </row>
    <row r="1976" spans="4:12" x14ac:dyDescent="0.35">
      <c r="D1976" s="32"/>
      <c r="G1976" s="32"/>
      <c r="H1976">
        <f>COUNTIFS('Audit Raw data'!J:J,B:B,'Audit Raw data'!E:E,G:G)</f>
        <v>0</v>
      </c>
      <c r="I1976" s="44" t="str">
        <f>IFERROR((SUMIFS('Audit Raw data'!BZ:BZ,'Audit Raw data'!J:J,B:B,'Audit Raw data'!E:E,G:G)/H1976)/100,"-")</f>
        <v>-</v>
      </c>
      <c r="J1976">
        <f>COUNTIFS('Audit Raw data'!AM:AM,"Yes",'Audit Raw data'!J:J,B:B,'Audit Raw data'!E:E,'Day wise agent'!G:G)</f>
        <v>0</v>
      </c>
      <c r="K1976">
        <f>COUNTIFS('Audit Raw data'!AM:AM,"NO",'Audit Raw data'!J:J,B:B,'Audit Raw data'!E:E,'Day wise agent'!G:G)</f>
        <v>0</v>
      </c>
      <c r="L1976" s="12" t="str">
        <f t="shared" si="51"/>
        <v xml:space="preserve"> </v>
      </c>
    </row>
    <row r="1977" spans="4:12" x14ac:dyDescent="0.35">
      <c r="D1977" s="32"/>
      <c r="G1977" s="32"/>
      <c r="H1977">
        <f>COUNTIFS('Audit Raw data'!J:J,B:B,'Audit Raw data'!E:E,G:G)</f>
        <v>0</v>
      </c>
      <c r="I1977" s="44" t="str">
        <f>IFERROR((SUMIFS('Audit Raw data'!BZ:BZ,'Audit Raw data'!J:J,B:B,'Audit Raw data'!E:E,G:G)/H1977)/100,"-")</f>
        <v>-</v>
      </c>
      <c r="J1977">
        <f>COUNTIFS('Audit Raw data'!AM:AM,"Yes",'Audit Raw data'!J:J,B:B,'Audit Raw data'!E:E,'Day wise agent'!G:G)</f>
        <v>0</v>
      </c>
      <c r="K1977">
        <f>COUNTIFS('Audit Raw data'!AM:AM,"NO",'Audit Raw data'!J:J,B:B,'Audit Raw data'!E:E,'Day wise agent'!G:G)</f>
        <v>0</v>
      </c>
      <c r="L1977" s="12" t="str">
        <f t="shared" si="51"/>
        <v xml:space="preserve"> </v>
      </c>
    </row>
    <row r="1978" spans="4:12" x14ac:dyDescent="0.35">
      <c r="D1978" s="32"/>
      <c r="G1978" s="32"/>
      <c r="H1978">
        <f>COUNTIFS('Audit Raw data'!J:J,B:B,'Audit Raw data'!E:E,G:G)</f>
        <v>0</v>
      </c>
      <c r="I1978" s="44" t="str">
        <f>IFERROR((SUMIFS('Audit Raw data'!BZ:BZ,'Audit Raw data'!J:J,B:B,'Audit Raw data'!E:E,G:G)/H1978)/100,"-")</f>
        <v>-</v>
      </c>
      <c r="J1978">
        <f>COUNTIFS('Audit Raw data'!AM:AM,"Yes",'Audit Raw data'!J:J,B:B,'Audit Raw data'!E:E,'Day wise agent'!G:G)</f>
        <v>0</v>
      </c>
      <c r="K1978">
        <f>COUNTIFS('Audit Raw data'!AM:AM,"NO",'Audit Raw data'!J:J,B:B,'Audit Raw data'!E:E,'Day wise agent'!G:G)</f>
        <v>0</v>
      </c>
      <c r="L1978" s="12" t="str">
        <f t="shared" si="51"/>
        <v xml:space="preserve"> </v>
      </c>
    </row>
    <row r="1979" spans="4:12" x14ac:dyDescent="0.35">
      <c r="D1979" s="32"/>
      <c r="G1979" s="32"/>
      <c r="H1979">
        <f>COUNTIFS('Audit Raw data'!J:J,B:B,'Audit Raw data'!E:E,G:G)</f>
        <v>0</v>
      </c>
      <c r="I1979" s="44" t="str">
        <f>IFERROR((SUMIFS('Audit Raw data'!BZ:BZ,'Audit Raw data'!J:J,B:B,'Audit Raw data'!E:E,G:G)/H1979)/100,"-")</f>
        <v>-</v>
      </c>
      <c r="J1979">
        <f>COUNTIFS('Audit Raw data'!AM:AM,"Yes",'Audit Raw data'!J:J,B:B,'Audit Raw data'!E:E,'Day wise agent'!G:G)</f>
        <v>0</v>
      </c>
      <c r="K1979">
        <f>COUNTIFS('Audit Raw data'!AM:AM,"NO",'Audit Raw data'!J:J,B:B,'Audit Raw data'!E:E,'Day wise agent'!G:G)</f>
        <v>0</v>
      </c>
      <c r="L1979" s="12" t="str">
        <f t="shared" si="51"/>
        <v xml:space="preserve"> </v>
      </c>
    </row>
    <row r="1980" spans="4:12" x14ac:dyDescent="0.35">
      <c r="D1980" s="32"/>
      <c r="G1980" s="32"/>
      <c r="H1980">
        <f>COUNTIFS('Audit Raw data'!J:J,B:B,'Audit Raw data'!E:E,G:G)</f>
        <v>0</v>
      </c>
      <c r="I1980" s="44" t="str">
        <f>IFERROR((SUMIFS('Audit Raw data'!BZ:BZ,'Audit Raw data'!J:J,B:B,'Audit Raw data'!E:E,G:G)/H1980)/100,"-")</f>
        <v>-</v>
      </c>
      <c r="J1980">
        <f>COUNTIFS('Audit Raw data'!AM:AM,"Yes",'Audit Raw data'!J:J,B:B,'Audit Raw data'!E:E,'Day wise agent'!G:G)</f>
        <v>0</v>
      </c>
      <c r="K1980">
        <f>COUNTIFS('Audit Raw data'!AM:AM,"NO",'Audit Raw data'!J:J,B:B,'Audit Raw data'!E:E,'Day wise agent'!G:G)</f>
        <v>0</v>
      </c>
      <c r="L1980" s="12" t="str">
        <f t="shared" si="51"/>
        <v xml:space="preserve"> </v>
      </c>
    </row>
    <row r="1981" spans="4:12" x14ac:dyDescent="0.35">
      <c r="D1981" s="32"/>
      <c r="G1981" s="32"/>
      <c r="H1981">
        <f>COUNTIFS('Audit Raw data'!J:J,B:B,'Audit Raw data'!E:E,G:G)</f>
        <v>0</v>
      </c>
      <c r="I1981" s="44" t="str">
        <f>IFERROR((SUMIFS('Audit Raw data'!BZ:BZ,'Audit Raw data'!J:J,B:B,'Audit Raw data'!E:E,G:G)/H1981)/100,"-")</f>
        <v>-</v>
      </c>
      <c r="J1981">
        <f>COUNTIFS('Audit Raw data'!AM:AM,"Yes",'Audit Raw data'!J:J,B:B,'Audit Raw data'!E:E,'Day wise agent'!G:G)</f>
        <v>0</v>
      </c>
      <c r="K1981">
        <f>COUNTIFS('Audit Raw data'!AM:AM,"NO",'Audit Raw data'!J:J,B:B,'Audit Raw data'!E:E,'Day wise agent'!G:G)</f>
        <v>0</v>
      </c>
      <c r="L1981" s="12" t="str">
        <f t="shared" si="51"/>
        <v xml:space="preserve"> </v>
      </c>
    </row>
    <row r="1982" spans="4:12" x14ac:dyDescent="0.35">
      <c r="D1982" s="32"/>
      <c r="G1982" s="32"/>
      <c r="H1982">
        <f>COUNTIFS('Audit Raw data'!J:J,B:B,'Audit Raw data'!E:E,G:G)</f>
        <v>0</v>
      </c>
      <c r="I1982" s="44" t="str">
        <f>IFERROR((SUMIFS('Audit Raw data'!BZ:BZ,'Audit Raw data'!J:J,B:B,'Audit Raw data'!E:E,G:G)/H1982)/100,"-")</f>
        <v>-</v>
      </c>
      <c r="J1982">
        <f>COUNTIFS('Audit Raw data'!AM:AM,"Yes",'Audit Raw data'!J:J,B:B,'Audit Raw data'!E:E,'Day wise agent'!G:G)</f>
        <v>0</v>
      </c>
      <c r="K1982">
        <f>COUNTIFS('Audit Raw data'!AM:AM,"NO",'Audit Raw data'!J:J,B:B,'Audit Raw data'!E:E,'Day wise agent'!G:G)</f>
        <v>0</v>
      </c>
      <c r="L1982" s="12" t="str">
        <f t="shared" si="51"/>
        <v xml:space="preserve"> </v>
      </c>
    </row>
    <row r="1983" spans="4:12" x14ac:dyDescent="0.35">
      <c r="D1983" s="32"/>
      <c r="G1983" s="32"/>
      <c r="H1983">
        <f>COUNTIFS('Audit Raw data'!J:J,B:B,'Audit Raw data'!E:E,G:G)</f>
        <v>0</v>
      </c>
      <c r="I1983" s="44" t="str">
        <f>IFERROR((SUMIFS('Audit Raw data'!BZ:BZ,'Audit Raw data'!J:J,B:B,'Audit Raw data'!E:E,G:G)/H1983)/100,"-")</f>
        <v>-</v>
      </c>
      <c r="J1983">
        <f>COUNTIFS('Audit Raw data'!AM:AM,"Yes",'Audit Raw data'!J:J,B:B,'Audit Raw data'!E:E,'Day wise agent'!G:G)</f>
        <v>0</v>
      </c>
      <c r="K1983">
        <f>COUNTIFS('Audit Raw data'!AM:AM,"NO",'Audit Raw data'!J:J,B:B,'Audit Raw data'!E:E,'Day wise agent'!G:G)</f>
        <v>0</v>
      </c>
      <c r="L1983" s="12" t="str">
        <f t="shared" si="51"/>
        <v xml:space="preserve"> </v>
      </c>
    </row>
    <row r="1984" spans="4:12" x14ac:dyDescent="0.35">
      <c r="D1984" s="32"/>
      <c r="G1984" s="32"/>
      <c r="H1984">
        <f>COUNTIFS('Audit Raw data'!J:J,B:B,'Audit Raw data'!E:E,G:G)</f>
        <v>0</v>
      </c>
      <c r="I1984" s="44" t="str">
        <f>IFERROR((SUMIFS('Audit Raw data'!BZ:BZ,'Audit Raw data'!J:J,B:B,'Audit Raw data'!E:E,G:G)/H1984)/100,"-")</f>
        <v>-</v>
      </c>
      <c r="J1984">
        <f>COUNTIFS('Audit Raw data'!AM:AM,"Yes",'Audit Raw data'!J:J,B:B,'Audit Raw data'!E:E,'Day wise agent'!G:G)</f>
        <v>0</v>
      </c>
      <c r="K1984">
        <f>COUNTIFS('Audit Raw data'!AM:AM,"NO",'Audit Raw data'!J:J,B:B,'Audit Raw data'!E:E,'Day wise agent'!G:G)</f>
        <v>0</v>
      </c>
      <c r="L1984" s="12" t="str">
        <f t="shared" si="51"/>
        <v xml:space="preserve"> </v>
      </c>
    </row>
    <row r="1985" spans="4:12" x14ac:dyDescent="0.35">
      <c r="D1985" s="32"/>
      <c r="G1985" s="32"/>
      <c r="H1985">
        <f>COUNTIFS('Audit Raw data'!J:J,B:B,'Audit Raw data'!E:E,G:G)</f>
        <v>0</v>
      </c>
      <c r="I1985" s="44" t="str">
        <f>IFERROR((SUMIFS('Audit Raw data'!BZ:BZ,'Audit Raw data'!J:J,B:B,'Audit Raw data'!E:E,G:G)/H1985)/100,"-")</f>
        <v>-</v>
      </c>
      <c r="J1985">
        <f>COUNTIFS('Audit Raw data'!AM:AM,"Yes",'Audit Raw data'!J:J,B:B,'Audit Raw data'!E:E,'Day wise agent'!G:G)</f>
        <v>0</v>
      </c>
      <c r="K1985">
        <f>COUNTIFS('Audit Raw data'!AM:AM,"NO",'Audit Raw data'!J:J,B:B,'Audit Raw data'!E:E,'Day wise agent'!G:G)</f>
        <v>0</v>
      </c>
      <c r="L1985" s="12" t="str">
        <f t="shared" si="51"/>
        <v xml:space="preserve"> </v>
      </c>
    </row>
    <row r="1986" spans="4:12" x14ac:dyDescent="0.35">
      <c r="D1986" s="32"/>
      <c r="G1986" s="32"/>
      <c r="H1986">
        <f>COUNTIFS('Audit Raw data'!J:J,B:B,'Audit Raw data'!E:E,G:G)</f>
        <v>0</v>
      </c>
      <c r="I1986" s="44" t="str">
        <f>IFERROR((SUMIFS('Audit Raw data'!BZ:BZ,'Audit Raw data'!J:J,B:B,'Audit Raw data'!E:E,G:G)/H1986)/100,"-")</f>
        <v>-</v>
      </c>
      <c r="J1986">
        <f>COUNTIFS('Audit Raw data'!AM:AM,"Yes",'Audit Raw data'!J:J,B:B,'Audit Raw data'!E:E,'Day wise agent'!G:G)</f>
        <v>0</v>
      </c>
      <c r="K1986">
        <f>COUNTIFS('Audit Raw data'!AM:AM,"NO",'Audit Raw data'!J:J,B:B,'Audit Raw data'!E:E,'Day wise agent'!G:G)</f>
        <v>0</v>
      </c>
      <c r="L1986" s="12" t="str">
        <f t="shared" ref="L1986:L2049" si="52">IFERROR(J1986/H1986," ")</f>
        <v xml:space="preserve"> </v>
      </c>
    </row>
    <row r="1987" spans="4:12" x14ac:dyDescent="0.35">
      <c r="D1987" s="32"/>
      <c r="G1987" s="32"/>
      <c r="H1987">
        <f>COUNTIFS('Audit Raw data'!J:J,B:B,'Audit Raw data'!E:E,G:G)</f>
        <v>0</v>
      </c>
      <c r="I1987" s="44" t="str">
        <f>IFERROR((SUMIFS('Audit Raw data'!BZ:BZ,'Audit Raw data'!J:J,B:B,'Audit Raw data'!E:E,G:G)/H1987)/100,"-")</f>
        <v>-</v>
      </c>
      <c r="J1987">
        <f>COUNTIFS('Audit Raw data'!AM:AM,"Yes",'Audit Raw data'!J:J,B:B,'Audit Raw data'!E:E,'Day wise agent'!G:G)</f>
        <v>0</v>
      </c>
      <c r="K1987">
        <f>COUNTIFS('Audit Raw data'!AM:AM,"NO",'Audit Raw data'!J:J,B:B,'Audit Raw data'!E:E,'Day wise agent'!G:G)</f>
        <v>0</v>
      </c>
      <c r="L1987" s="12" t="str">
        <f t="shared" si="52"/>
        <v xml:space="preserve"> </v>
      </c>
    </row>
    <row r="1988" spans="4:12" x14ac:dyDescent="0.35">
      <c r="D1988" s="32"/>
      <c r="G1988" s="32"/>
      <c r="H1988">
        <f>COUNTIFS('Audit Raw data'!J:J,B:B,'Audit Raw data'!E:E,G:G)</f>
        <v>0</v>
      </c>
      <c r="I1988" s="44" t="str">
        <f>IFERROR((SUMIFS('Audit Raw data'!BZ:BZ,'Audit Raw data'!J:J,B:B,'Audit Raw data'!E:E,G:G)/H1988)/100,"-")</f>
        <v>-</v>
      </c>
      <c r="J1988">
        <f>COUNTIFS('Audit Raw data'!AM:AM,"Yes",'Audit Raw data'!J:J,B:B,'Audit Raw data'!E:E,'Day wise agent'!G:G)</f>
        <v>0</v>
      </c>
      <c r="K1988">
        <f>COUNTIFS('Audit Raw data'!AM:AM,"NO",'Audit Raw data'!J:J,B:B,'Audit Raw data'!E:E,'Day wise agent'!G:G)</f>
        <v>0</v>
      </c>
      <c r="L1988" s="12" t="str">
        <f t="shared" si="52"/>
        <v xml:space="preserve"> </v>
      </c>
    </row>
    <row r="1989" spans="4:12" x14ac:dyDescent="0.35">
      <c r="D1989" s="32"/>
      <c r="G1989" s="32"/>
      <c r="H1989">
        <f>COUNTIFS('Audit Raw data'!J:J,B:B,'Audit Raw data'!E:E,G:G)</f>
        <v>0</v>
      </c>
      <c r="I1989" s="44" t="str">
        <f>IFERROR((SUMIFS('Audit Raw data'!BZ:BZ,'Audit Raw data'!J:J,B:B,'Audit Raw data'!E:E,G:G)/H1989)/100,"-")</f>
        <v>-</v>
      </c>
      <c r="J1989">
        <f>COUNTIFS('Audit Raw data'!AM:AM,"Yes",'Audit Raw data'!J:J,B:B,'Audit Raw data'!E:E,'Day wise agent'!G:G)</f>
        <v>0</v>
      </c>
      <c r="K1989">
        <f>COUNTIFS('Audit Raw data'!AM:AM,"NO",'Audit Raw data'!J:J,B:B,'Audit Raw data'!E:E,'Day wise agent'!G:G)</f>
        <v>0</v>
      </c>
      <c r="L1989" s="12" t="str">
        <f t="shared" si="52"/>
        <v xml:space="preserve"> </v>
      </c>
    </row>
    <row r="1990" spans="4:12" x14ac:dyDescent="0.35">
      <c r="D1990" s="32"/>
      <c r="G1990" s="32"/>
      <c r="H1990">
        <f>COUNTIFS('Audit Raw data'!J:J,B:B,'Audit Raw data'!E:E,G:G)</f>
        <v>0</v>
      </c>
      <c r="I1990" s="44" t="str">
        <f>IFERROR((SUMIFS('Audit Raw data'!BZ:BZ,'Audit Raw data'!J:J,B:B,'Audit Raw data'!E:E,G:G)/H1990)/100,"-")</f>
        <v>-</v>
      </c>
      <c r="J1990">
        <f>COUNTIFS('Audit Raw data'!AM:AM,"Yes",'Audit Raw data'!J:J,B:B,'Audit Raw data'!E:E,'Day wise agent'!G:G)</f>
        <v>0</v>
      </c>
      <c r="K1990">
        <f>COUNTIFS('Audit Raw data'!AM:AM,"NO",'Audit Raw data'!J:J,B:B,'Audit Raw data'!E:E,'Day wise agent'!G:G)</f>
        <v>0</v>
      </c>
      <c r="L1990" s="12" t="str">
        <f t="shared" si="52"/>
        <v xml:space="preserve"> </v>
      </c>
    </row>
    <row r="1991" spans="4:12" x14ac:dyDescent="0.35">
      <c r="D1991" s="32"/>
      <c r="G1991" s="32"/>
      <c r="H1991">
        <f>COUNTIFS('Audit Raw data'!J:J,B:B,'Audit Raw data'!E:E,G:G)</f>
        <v>0</v>
      </c>
      <c r="I1991" s="44" t="str">
        <f>IFERROR((SUMIFS('Audit Raw data'!BZ:BZ,'Audit Raw data'!J:J,B:B,'Audit Raw data'!E:E,G:G)/H1991)/100,"-")</f>
        <v>-</v>
      </c>
      <c r="J1991">
        <f>COUNTIFS('Audit Raw data'!AM:AM,"Yes",'Audit Raw data'!J:J,B:B,'Audit Raw data'!E:E,'Day wise agent'!G:G)</f>
        <v>0</v>
      </c>
      <c r="K1991">
        <f>COUNTIFS('Audit Raw data'!AM:AM,"NO",'Audit Raw data'!J:J,B:B,'Audit Raw data'!E:E,'Day wise agent'!G:G)</f>
        <v>0</v>
      </c>
      <c r="L1991" s="12" t="str">
        <f t="shared" si="52"/>
        <v xml:space="preserve"> </v>
      </c>
    </row>
    <row r="1992" spans="4:12" x14ac:dyDescent="0.35">
      <c r="D1992" s="32"/>
      <c r="G1992" s="32"/>
      <c r="H1992">
        <f>COUNTIFS('Audit Raw data'!J:J,B:B,'Audit Raw data'!E:E,G:G)</f>
        <v>0</v>
      </c>
      <c r="I1992" s="44" t="str">
        <f>IFERROR((SUMIFS('Audit Raw data'!BZ:BZ,'Audit Raw data'!J:J,B:B,'Audit Raw data'!E:E,G:G)/H1992)/100,"-")</f>
        <v>-</v>
      </c>
      <c r="J1992">
        <f>COUNTIFS('Audit Raw data'!AM:AM,"Yes",'Audit Raw data'!J:J,B:B,'Audit Raw data'!E:E,'Day wise agent'!G:G)</f>
        <v>0</v>
      </c>
      <c r="K1992">
        <f>COUNTIFS('Audit Raw data'!AM:AM,"NO",'Audit Raw data'!J:J,B:B,'Audit Raw data'!E:E,'Day wise agent'!G:G)</f>
        <v>0</v>
      </c>
      <c r="L1992" s="12" t="str">
        <f t="shared" si="52"/>
        <v xml:space="preserve"> </v>
      </c>
    </row>
    <row r="1993" spans="4:12" x14ac:dyDescent="0.35">
      <c r="D1993" s="32"/>
      <c r="G1993" s="32"/>
      <c r="H1993">
        <f>COUNTIFS('Audit Raw data'!J:J,B:B,'Audit Raw data'!E:E,G:G)</f>
        <v>0</v>
      </c>
      <c r="I1993" s="44" t="str">
        <f>IFERROR((SUMIFS('Audit Raw data'!BZ:BZ,'Audit Raw data'!J:J,B:B,'Audit Raw data'!E:E,G:G)/H1993)/100,"-")</f>
        <v>-</v>
      </c>
      <c r="J1993">
        <f>COUNTIFS('Audit Raw data'!AM:AM,"Yes",'Audit Raw data'!J:J,B:B,'Audit Raw data'!E:E,'Day wise agent'!G:G)</f>
        <v>0</v>
      </c>
      <c r="K1993">
        <f>COUNTIFS('Audit Raw data'!AM:AM,"NO",'Audit Raw data'!J:J,B:B,'Audit Raw data'!E:E,'Day wise agent'!G:G)</f>
        <v>0</v>
      </c>
      <c r="L1993" s="12" t="str">
        <f t="shared" si="52"/>
        <v xml:space="preserve"> </v>
      </c>
    </row>
    <row r="1994" spans="4:12" x14ac:dyDescent="0.35">
      <c r="D1994" s="32"/>
      <c r="G1994" s="32"/>
      <c r="H1994">
        <f>COUNTIFS('Audit Raw data'!J:J,B:B,'Audit Raw data'!E:E,G:G)</f>
        <v>0</v>
      </c>
      <c r="I1994" s="44" t="str">
        <f>IFERROR((SUMIFS('Audit Raw data'!BZ:BZ,'Audit Raw data'!J:J,B:B,'Audit Raw data'!E:E,G:G)/H1994)/100,"-")</f>
        <v>-</v>
      </c>
      <c r="J1994">
        <f>COUNTIFS('Audit Raw data'!AM:AM,"Yes",'Audit Raw data'!J:J,B:B,'Audit Raw data'!E:E,'Day wise agent'!G:G)</f>
        <v>0</v>
      </c>
      <c r="K1994">
        <f>COUNTIFS('Audit Raw data'!AM:AM,"NO",'Audit Raw data'!J:J,B:B,'Audit Raw data'!E:E,'Day wise agent'!G:G)</f>
        <v>0</v>
      </c>
      <c r="L1994" s="12" t="str">
        <f t="shared" si="52"/>
        <v xml:space="preserve"> </v>
      </c>
    </row>
    <row r="1995" spans="4:12" x14ac:dyDescent="0.35">
      <c r="D1995" s="32"/>
      <c r="G1995" s="32"/>
      <c r="H1995">
        <f>COUNTIFS('Audit Raw data'!J:J,B:B,'Audit Raw data'!E:E,G:G)</f>
        <v>0</v>
      </c>
      <c r="I1995" s="44" t="str">
        <f>IFERROR((SUMIFS('Audit Raw data'!BZ:BZ,'Audit Raw data'!J:J,B:B,'Audit Raw data'!E:E,G:G)/H1995)/100,"-")</f>
        <v>-</v>
      </c>
      <c r="J1995">
        <f>COUNTIFS('Audit Raw data'!AM:AM,"Yes",'Audit Raw data'!J:J,B:B,'Audit Raw data'!E:E,'Day wise agent'!G:G)</f>
        <v>0</v>
      </c>
      <c r="K1995">
        <f>COUNTIFS('Audit Raw data'!AM:AM,"NO",'Audit Raw data'!J:J,B:B,'Audit Raw data'!E:E,'Day wise agent'!G:G)</f>
        <v>0</v>
      </c>
      <c r="L1995" s="12" t="str">
        <f t="shared" si="52"/>
        <v xml:space="preserve"> </v>
      </c>
    </row>
    <row r="1996" spans="4:12" x14ac:dyDescent="0.35">
      <c r="D1996" s="32"/>
      <c r="G1996" s="32"/>
      <c r="H1996">
        <f>COUNTIFS('Audit Raw data'!J:J,B:B,'Audit Raw data'!E:E,G:G)</f>
        <v>0</v>
      </c>
      <c r="I1996" s="44" t="str">
        <f>IFERROR((SUMIFS('Audit Raw data'!BZ:BZ,'Audit Raw data'!J:J,B:B,'Audit Raw data'!E:E,G:G)/H1996)/100,"-")</f>
        <v>-</v>
      </c>
      <c r="J1996">
        <f>COUNTIFS('Audit Raw data'!AM:AM,"Yes",'Audit Raw data'!J:J,B:B,'Audit Raw data'!E:E,'Day wise agent'!G:G)</f>
        <v>0</v>
      </c>
      <c r="K1996">
        <f>COUNTIFS('Audit Raw data'!AM:AM,"NO",'Audit Raw data'!J:J,B:B,'Audit Raw data'!E:E,'Day wise agent'!G:G)</f>
        <v>0</v>
      </c>
      <c r="L1996" s="12" t="str">
        <f t="shared" si="52"/>
        <v xml:space="preserve"> </v>
      </c>
    </row>
    <row r="1997" spans="4:12" x14ac:dyDescent="0.35">
      <c r="D1997" s="32"/>
      <c r="G1997" s="32"/>
      <c r="H1997">
        <f>COUNTIFS('Audit Raw data'!J:J,B:B,'Audit Raw data'!E:E,G:G)</f>
        <v>0</v>
      </c>
      <c r="I1997" s="44" t="str">
        <f>IFERROR((SUMIFS('Audit Raw data'!BZ:BZ,'Audit Raw data'!J:J,B:B,'Audit Raw data'!E:E,G:G)/H1997)/100,"-")</f>
        <v>-</v>
      </c>
      <c r="J1997">
        <f>COUNTIFS('Audit Raw data'!AM:AM,"Yes",'Audit Raw data'!J:J,B:B,'Audit Raw data'!E:E,'Day wise agent'!G:G)</f>
        <v>0</v>
      </c>
      <c r="K1997">
        <f>COUNTIFS('Audit Raw data'!AM:AM,"NO",'Audit Raw data'!J:J,B:B,'Audit Raw data'!E:E,'Day wise agent'!G:G)</f>
        <v>0</v>
      </c>
      <c r="L1997" s="12" t="str">
        <f t="shared" si="52"/>
        <v xml:space="preserve"> </v>
      </c>
    </row>
    <row r="1998" spans="4:12" x14ac:dyDescent="0.35">
      <c r="D1998" s="32"/>
      <c r="G1998" s="32"/>
      <c r="H1998">
        <f>COUNTIFS('Audit Raw data'!J:J,B:B,'Audit Raw data'!E:E,G:G)</f>
        <v>0</v>
      </c>
      <c r="I1998" s="44" t="str">
        <f>IFERROR((SUMIFS('Audit Raw data'!BZ:BZ,'Audit Raw data'!J:J,B:B,'Audit Raw data'!E:E,G:G)/H1998)/100,"-")</f>
        <v>-</v>
      </c>
      <c r="J1998">
        <f>COUNTIFS('Audit Raw data'!AM:AM,"Yes",'Audit Raw data'!J:J,B:B,'Audit Raw data'!E:E,'Day wise agent'!G:G)</f>
        <v>0</v>
      </c>
      <c r="K1998">
        <f>COUNTIFS('Audit Raw data'!AM:AM,"NO",'Audit Raw data'!J:J,B:B,'Audit Raw data'!E:E,'Day wise agent'!G:G)</f>
        <v>0</v>
      </c>
      <c r="L1998" s="12" t="str">
        <f t="shared" si="52"/>
        <v xml:space="preserve"> </v>
      </c>
    </row>
    <row r="1999" spans="4:12" x14ac:dyDescent="0.35">
      <c r="D1999" s="32"/>
      <c r="G1999" s="32"/>
      <c r="H1999">
        <f>COUNTIFS('Audit Raw data'!J:J,B:B,'Audit Raw data'!E:E,G:G)</f>
        <v>0</v>
      </c>
      <c r="I1999" s="44" t="str">
        <f>IFERROR((SUMIFS('Audit Raw data'!BZ:BZ,'Audit Raw data'!J:J,B:B,'Audit Raw data'!E:E,G:G)/H1999)/100,"-")</f>
        <v>-</v>
      </c>
      <c r="J1999">
        <f>COUNTIFS('Audit Raw data'!AM:AM,"Yes",'Audit Raw data'!J:J,B:B,'Audit Raw data'!E:E,'Day wise agent'!G:G)</f>
        <v>0</v>
      </c>
      <c r="K1999">
        <f>COUNTIFS('Audit Raw data'!AM:AM,"NO",'Audit Raw data'!J:J,B:B,'Audit Raw data'!E:E,'Day wise agent'!G:G)</f>
        <v>0</v>
      </c>
      <c r="L1999" s="12" t="str">
        <f t="shared" si="52"/>
        <v xml:space="preserve"> </v>
      </c>
    </row>
    <row r="2000" spans="4:12" x14ac:dyDescent="0.35">
      <c r="D2000" s="32"/>
      <c r="G2000" s="32"/>
      <c r="H2000">
        <f>COUNTIFS('Audit Raw data'!J:J,B:B,'Audit Raw data'!E:E,G:G)</f>
        <v>0</v>
      </c>
      <c r="I2000" s="44" t="str">
        <f>IFERROR((SUMIFS('Audit Raw data'!BZ:BZ,'Audit Raw data'!J:J,B:B,'Audit Raw data'!E:E,G:G)/H2000)/100,"-")</f>
        <v>-</v>
      </c>
      <c r="J2000">
        <f>COUNTIFS('Audit Raw data'!AM:AM,"Yes",'Audit Raw data'!J:J,B:B,'Audit Raw data'!E:E,'Day wise agent'!G:G)</f>
        <v>0</v>
      </c>
      <c r="K2000">
        <f>COUNTIFS('Audit Raw data'!AM:AM,"NO",'Audit Raw data'!J:J,B:B,'Audit Raw data'!E:E,'Day wise agent'!G:G)</f>
        <v>0</v>
      </c>
      <c r="L2000" s="12" t="str">
        <f t="shared" si="52"/>
        <v xml:space="preserve"> </v>
      </c>
    </row>
    <row r="2001" spans="4:12" x14ac:dyDescent="0.35">
      <c r="D2001" s="32"/>
      <c r="G2001" s="32"/>
      <c r="H2001">
        <f>COUNTIFS('Audit Raw data'!J:J,B:B,'Audit Raw data'!E:E,G:G)</f>
        <v>0</v>
      </c>
      <c r="I2001" s="44" t="str">
        <f>IFERROR((SUMIFS('Audit Raw data'!BZ:BZ,'Audit Raw data'!J:J,B:B,'Audit Raw data'!E:E,G:G)/H2001)/100,"-")</f>
        <v>-</v>
      </c>
      <c r="J2001">
        <f>COUNTIFS('Audit Raw data'!AM:AM,"Yes",'Audit Raw data'!J:J,B:B,'Audit Raw data'!E:E,'Day wise agent'!G:G)</f>
        <v>0</v>
      </c>
      <c r="K2001">
        <f>COUNTIFS('Audit Raw data'!AM:AM,"NO",'Audit Raw data'!J:J,B:B,'Audit Raw data'!E:E,'Day wise agent'!G:G)</f>
        <v>0</v>
      </c>
      <c r="L2001" s="12" t="str">
        <f t="shared" si="52"/>
        <v xml:space="preserve"> </v>
      </c>
    </row>
    <row r="2002" spans="4:12" x14ac:dyDescent="0.35">
      <c r="D2002" s="32"/>
      <c r="G2002" s="32"/>
      <c r="H2002">
        <f>COUNTIFS('Audit Raw data'!J:J,B:B,'Audit Raw data'!E:E,G:G)</f>
        <v>0</v>
      </c>
      <c r="I2002" s="44" t="str">
        <f>IFERROR((SUMIFS('Audit Raw data'!BZ:BZ,'Audit Raw data'!J:J,B:B,'Audit Raw data'!E:E,G:G)/H2002)/100,"-")</f>
        <v>-</v>
      </c>
      <c r="J2002">
        <f>COUNTIFS('Audit Raw data'!AM:AM,"Yes",'Audit Raw data'!J:J,B:B,'Audit Raw data'!E:E,'Day wise agent'!G:G)</f>
        <v>0</v>
      </c>
      <c r="K2002">
        <f>COUNTIFS('Audit Raw data'!AM:AM,"NO",'Audit Raw data'!J:J,B:B,'Audit Raw data'!E:E,'Day wise agent'!G:G)</f>
        <v>0</v>
      </c>
      <c r="L2002" s="12" t="str">
        <f t="shared" si="52"/>
        <v xml:space="preserve"> </v>
      </c>
    </row>
    <row r="2003" spans="4:12" x14ac:dyDescent="0.35">
      <c r="D2003" s="32"/>
      <c r="G2003" s="32"/>
      <c r="H2003">
        <f>COUNTIFS('Audit Raw data'!J:J,B:B,'Audit Raw data'!E:E,G:G)</f>
        <v>0</v>
      </c>
      <c r="I2003" s="44" t="str">
        <f>IFERROR((SUMIFS('Audit Raw data'!BZ:BZ,'Audit Raw data'!J:J,B:B,'Audit Raw data'!E:E,G:G)/H2003)/100,"-")</f>
        <v>-</v>
      </c>
      <c r="J2003">
        <f>COUNTIFS('Audit Raw data'!AM:AM,"Yes",'Audit Raw data'!J:J,B:B,'Audit Raw data'!E:E,'Day wise agent'!G:G)</f>
        <v>0</v>
      </c>
      <c r="K2003">
        <f>COUNTIFS('Audit Raw data'!AM:AM,"NO",'Audit Raw data'!J:J,B:B,'Audit Raw data'!E:E,'Day wise agent'!G:G)</f>
        <v>0</v>
      </c>
      <c r="L2003" s="12" t="str">
        <f t="shared" si="52"/>
        <v xml:space="preserve"> </v>
      </c>
    </row>
    <row r="2004" spans="4:12" x14ac:dyDescent="0.35">
      <c r="D2004" s="32"/>
      <c r="G2004" s="32"/>
      <c r="H2004">
        <f>COUNTIFS('Audit Raw data'!J:J,B:B,'Audit Raw data'!E:E,G:G)</f>
        <v>0</v>
      </c>
      <c r="I2004" s="44" t="str">
        <f>IFERROR((SUMIFS('Audit Raw data'!BZ:BZ,'Audit Raw data'!J:J,B:B,'Audit Raw data'!E:E,G:G)/H2004)/100,"-")</f>
        <v>-</v>
      </c>
      <c r="J2004">
        <f>COUNTIFS('Audit Raw data'!AM:AM,"Yes",'Audit Raw data'!J:J,B:B,'Audit Raw data'!E:E,'Day wise agent'!G:G)</f>
        <v>0</v>
      </c>
      <c r="K2004">
        <f>COUNTIFS('Audit Raw data'!AM:AM,"NO",'Audit Raw data'!J:J,B:B,'Audit Raw data'!E:E,'Day wise agent'!G:G)</f>
        <v>0</v>
      </c>
      <c r="L2004" s="12" t="str">
        <f t="shared" si="52"/>
        <v xml:space="preserve"> </v>
      </c>
    </row>
    <row r="2005" spans="4:12" x14ac:dyDescent="0.35">
      <c r="D2005" s="32"/>
      <c r="G2005" s="32"/>
      <c r="H2005">
        <f>COUNTIFS('Audit Raw data'!J:J,B:B,'Audit Raw data'!E:E,G:G)</f>
        <v>0</v>
      </c>
      <c r="I2005" s="44" t="str">
        <f>IFERROR((SUMIFS('Audit Raw data'!BZ:BZ,'Audit Raw data'!J:J,B:B,'Audit Raw data'!E:E,G:G)/H2005)/100,"-")</f>
        <v>-</v>
      </c>
      <c r="J2005">
        <f>COUNTIFS('Audit Raw data'!AM:AM,"Yes",'Audit Raw data'!J:J,B:B,'Audit Raw data'!E:E,'Day wise agent'!G:G)</f>
        <v>0</v>
      </c>
      <c r="K2005">
        <f>COUNTIFS('Audit Raw data'!AM:AM,"NO",'Audit Raw data'!J:J,B:B,'Audit Raw data'!E:E,'Day wise agent'!G:G)</f>
        <v>0</v>
      </c>
      <c r="L2005" s="12" t="str">
        <f t="shared" si="52"/>
        <v xml:space="preserve"> </v>
      </c>
    </row>
    <row r="2006" spans="4:12" x14ac:dyDescent="0.35">
      <c r="D2006" s="32"/>
      <c r="G2006" s="32"/>
      <c r="H2006">
        <f>COUNTIFS('Audit Raw data'!J:J,B:B,'Audit Raw data'!E:E,G:G)</f>
        <v>0</v>
      </c>
      <c r="I2006" s="44" t="str">
        <f>IFERROR((SUMIFS('Audit Raw data'!BZ:BZ,'Audit Raw data'!J:J,B:B,'Audit Raw data'!E:E,G:G)/H2006)/100,"-")</f>
        <v>-</v>
      </c>
      <c r="J2006">
        <f>COUNTIFS('Audit Raw data'!AM:AM,"Yes",'Audit Raw data'!J:J,B:B,'Audit Raw data'!E:E,'Day wise agent'!G:G)</f>
        <v>0</v>
      </c>
      <c r="K2006">
        <f>COUNTIFS('Audit Raw data'!AM:AM,"NO",'Audit Raw data'!J:J,B:B,'Audit Raw data'!E:E,'Day wise agent'!G:G)</f>
        <v>0</v>
      </c>
      <c r="L2006" s="12" t="str">
        <f t="shared" si="52"/>
        <v xml:space="preserve"> </v>
      </c>
    </row>
    <row r="2007" spans="4:12" x14ac:dyDescent="0.35">
      <c r="D2007" s="32"/>
      <c r="G2007" s="32"/>
      <c r="H2007">
        <f>COUNTIFS('Audit Raw data'!J:J,B:B,'Audit Raw data'!E:E,G:G)</f>
        <v>0</v>
      </c>
      <c r="I2007" s="44" t="str">
        <f>IFERROR((SUMIFS('Audit Raw data'!BZ:BZ,'Audit Raw data'!J:J,B:B,'Audit Raw data'!E:E,G:G)/H2007)/100,"-")</f>
        <v>-</v>
      </c>
      <c r="J2007">
        <f>COUNTIFS('Audit Raw data'!AM:AM,"Yes",'Audit Raw data'!J:J,B:B,'Audit Raw data'!E:E,'Day wise agent'!G:G)</f>
        <v>0</v>
      </c>
      <c r="K2007">
        <f>COUNTIFS('Audit Raw data'!AM:AM,"NO",'Audit Raw data'!J:J,B:B,'Audit Raw data'!E:E,'Day wise agent'!G:G)</f>
        <v>0</v>
      </c>
      <c r="L2007" s="12" t="str">
        <f t="shared" si="52"/>
        <v xml:space="preserve"> </v>
      </c>
    </row>
    <row r="2008" spans="4:12" x14ac:dyDescent="0.35">
      <c r="D2008" s="32"/>
      <c r="G2008" s="32"/>
      <c r="H2008">
        <f>COUNTIFS('Audit Raw data'!J:J,B:B,'Audit Raw data'!E:E,G:G)</f>
        <v>0</v>
      </c>
      <c r="I2008" s="44" t="str">
        <f>IFERROR((SUMIFS('Audit Raw data'!BZ:BZ,'Audit Raw data'!J:J,B:B,'Audit Raw data'!E:E,G:G)/H2008)/100,"-")</f>
        <v>-</v>
      </c>
      <c r="J2008">
        <f>COUNTIFS('Audit Raw data'!AM:AM,"Yes",'Audit Raw data'!J:J,B:B,'Audit Raw data'!E:E,'Day wise agent'!G:G)</f>
        <v>0</v>
      </c>
      <c r="K2008">
        <f>COUNTIFS('Audit Raw data'!AM:AM,"NO",'Audit Raw data'!J:J,B:B,'Audit Raw data'!E:E,'Day wise agent'!G:G)</f>
        <v>0</v>
      </c>
      <c r="L2008" s="12" t="str">
        <f t="shared" si="52"/>
        <v xml:space="preserve"> </v>
      </c>
    </row>
    <row r="2009" spans="4:12" x14ac:dyDescent="0.35">
      <c r="D2009" s="32"/>
      <c r="G2009" s="32"/>
      <c r="H2009">
        <f>COUNTIFS('Audit Raw data'!J:J,B:B,'Audit Raw data'!E:E,G:G)</f>
        <v>0</v>
      </c>
      <c r="I2009" s="44" t="str">
        <f>IFERROR((SUMIFS('Audit Raw data'!BZ:BZ,'Audit Raw data'!J:J,B:B,'Audit Raw data'!E:E,G:G)/H2009)/100,"-")</f>
        <v>-</v>
      </c>
      <c r="J2009">
        <f>COUNTIFS('Audit Raw data'!AM:AM,"Yes",'Audit Raw data'!J:J,B:B,'Audit Raw data'!E:E,'Day wise agent'!G:G)</f>
        <v>0</v>
      </c>
      <c r="K2009">
        <f>COUNTIFS('Audit Raw data'!AM:AM,"NO",'Audit Raw data'!J:J,B:B,'Audit Raw data'!E:E,'Day wise agent'!G:G)</f>
        <v>0</v>
      </c>
      <c r="L2009" s="12" t="str">
        <f t="shared" si="52"/>
        <v xml:space="preserve"> </v>
      </c>
    </row>
    <row r="2010" spans="4:12" x14ac:dyDescent="0.35">
      <c r="D2010" s="32"/>
      <c r="G2010" s="32"/>
      <c r="H2010">
        <f>COUNTIFS('Audit Raw data'!J:J,B:B,'Audit Raw data'!E:E,G:G)</f>
        <v>0</v>
      </c>
      <c r="I2010" s="44" t="str">
        <f>IFERROR((SUMIFS('Audit Raw data'!BZ:BZ,'Audit Raw data'!J:J,B:B,'Audit Raw data'!E:E,G:G)/H2010)/100,"-")</f>
        <v>-</v>
      </c>
      <c r="J2010">
        <f>COUNTIFS('Audit Raw data'!AM:AM,"Yes",'Audit Raw data'!J:J,B:B,'Audit Raw data'!E:E,'Day wise agent'!G:G)</f>
        <v>0</v>
      </c>
      <c r="K2010">
        <f>COUNTIFS('Audit Raw data'!AM:AM,"NO",'Audit Raw data'!J:J,B:B,'Audit Raw data'!E:E,'Day wise agent'!G:G)</f>
        <v>0</v>
      </c>
      <c r="L2010" s="12" t="str">
        <f t="shared" si="52"/>
        <v xml:space="preserve"> </v>
      </c>
    </row>
    <row r="2011" spans="4:12" x14ac:dyDescent="0.35">
      <c r="D2011" s="32"/>
      <c r="G2011" s="32"/>
      <c r="H2011">
        <f>COUNTIFS('Audit Raw data'!J:J,B:B,'Audit Raw data'!E:E,G:G)</f>
        <v>0</v>
      </c>
      <c r="I2011" s="44" t="str">
        <f>IFERROR((SUMIFS('Audit Raw data'!BZ:BZ,'Audit Raw data'!J:J,B:B,'Audit Raw data'!E:E,G:G)/H2011)/100,"-")</f>
        <v>-</v>
      </c>
      <c r="J2011">
        <f>COUNTIFS('Audit Raw data'!AM:AM,"Yes",'Audit Raw data'!J:J,B:B,'Audit Raw data'!E:E,'Day wise agent'!G:G)</f>
        <v>0</v>
      </c>
      <c r="K2011">
        <f>COUNTIFS('Audit Raw data'!AM:AM,"NO",'Audit Raw data'!J:J,B:B,'Audit Raw data'!E:E,'Day wise agent'!G:G)</f>
        <v>0</v>
      </c>
      <c r="L2011" s="12" t="str">
        <f t="shared" si="52"/>
        <v xml:space="preserve"> </v>
      </c>
    </row>
    <row r="2012" spans="4:12" x14ac:dyDescent="0.35">
      <c r="D2012" s="32"/>
      <c r="G2012" s="32"/>
      <c r="H2012">
        <f>COUNTIFS('Audit Raw data'!J:J,B:B,'Audit Raw data'!E:E,G:G)</f>
        <v>0</v>
      </c>
      <c r="I2012" s="44" t="str">
        <f>IFERROR((SUMIFS('Audit Raw data'!BZ:BZ,'Audit Raw data'!J:J,B:B,'Audit Raw data'!E:E,G:G)/H2012)/100,"-")</f>
        <v>-</v>
      </c>
      <c r="J2012">
        <f>COUNTIFS('Audit Raw data'!AM:AM,"Yes",'Audit Raw data'!J:J,B:B,'Audit Raw data'!E:E,'Day wise agent'!G:G)</f>
        <v>0</v>
      </c>
      <c r="K2012">
        <f>COUNTIFS('Audit Raw data'!AM:AM,"NO",'Audit Raw data'!J:J,B:B,'Audit Raw data'!E:E,'Day wise agent'!G:G)</f>
        <v>0</v>
      </c>
      <c r="L2012" s="12" t="str">
        <f t="shared" si="52"/>
        <v xml:space="preserve"> </v>
      </c>
    </row>
    <row r="2013" spans="4:12" x14ac:dyDescent="0.35">
      <c r="D2013" s="32"/>
      <c r="G2013" s="32"/>
      <c r="H2013">
        <f>COUNTIFS('Audit Raw data'!J:J,B:B,'Audit Raw data'!E:E,G:G)</f>
        <v>0</v>
      </c>
      <c r="I2013" s="44" t="str">
        <f>IFERROR((SUMIFS('Audit Raw data'!BZ:BZ,'Audit Raw data'!J:J,B:B,'Audit Raw data'!E:E,G:G)/H2013)/100,"-")</f>
        <v>-</v>
      </c>
      <c r="J2013">
        <f>COUNTIFS('Audit Raw data'!AM:AM,"Yes",'Audit Raw data'!J:J,B:B,'Audit Raw data'!E:E,'Day wise agent'!G:G)</f>
        <v>0</v>
      </c>
      <c r="K2013">
        <f>COUNTIFS('Audit Raw data'!AM:AM,"NO",'Audit Raw data'!J:J,B:B,'Audit Raw data'!E:E,'Day wise agent'!G:G)</f>
        <v>0</v>
      </c>
      <c r="L2013" s="12" t="str">
        <f t="shared" si="52"/>
        <v xml:space="preserve"> </v>
      </c>
    </row>
    <row r="2014" spans="4:12" x14ac:dyDescent="0.35">
      <c r="D2014" s="32"/>
      <c r="G2014" s="32"/>
      <c r="H2014">
        <f>COUNTIFS('Audit Raw data'!J:J,B:B,'Audit Raw data'!E:E,G:G)</f>
        <v>0</v>
      </c>
      <c r="I2014" s="44" t="str">
        <f>IFERROR((SUMIFS('Audit Raw data'!BZ:BZ,'Audit Raw data'!J:J,B:B,'Audit Raw data'!E:E,G:G)/H2014)/100,"-")</f>
        <v>-</v>
      </c>
      <c r="J2014">
        <f>COUNTIFS('Audit Raw data'!AM:AM,"Yes",'Audit Raw data'!J:J,B:B,'Audit Raw data'!E:E,'Day wise agent'!G:G)</f>
        <v>0</v>
      </c>
      <c r="K2014">
        <f>COUNTIFS('Audit Raw data'!AM:AM,"NO",'Audit Raw data'!J:J,B:B,'Audit Raw data'!E:E,'Day wise agent'!G:G)</f>
        <v>0</v>
      </c>
      <c r="L2014" s="12" t="str">
        <f t="shared" si="52"/>
        <v xml:space="preserve"> </v>
      </c>
    </row>
    <row r="2015" spans="4:12" x14ac:dyDescent="0.35">
      <c r="D2015" s="32"/>
      <c r="G2015" s="32"/>
      <c r="H2015">
        <f>COUNTIFS('Audit Raw data'!J:J,B:B,'Audit Raw data'!E:E,G:G)</f>
        <v>0</v>
      </c>
      <c r="I2015" s="44" t="str">
        <f>IFERROR((SUMIFS('Audit Raw data'!BZ:BZ,'Audit Raw data'!J:J,B:B,'Audit Raw data'!E:E,G:G)/H2015)/100,"-")</f>
        <v>-</v>
      </c>
      <c r="J2015">
        <f>COUNTIFS('Audit Raw data'!AM:AM,"Yes",'Audit Raw data'!J:J,B:B,'Audit Raw data'!E:E,'Day wise agent'!G:G)</f>
        <v>0</v>
      </c>
      <c r="K2015">
        <f>COUNTIFS('Audit Raw data'!AM:AM,"NO",'Audit Raw data'!J:J,B:B,'Audit Raw data'!E:E,'Day wise agent'!G:G)</f>
        <v>0</v>
      </c>
      <c r="L2015" s="12" t="str">
        <f t="shared" si="52"/>
        <v xml:space="preserve"> </v>
      </c>
    </row>
    <row r="2016" spans="4:12" x14ac:dyDescent="0.35">
      <c r="D2016" s="32"/>
      <c r="G2016" s="32"/>
      <c r="H2016">
        <f>COUNTIFS('Audit Raw data'!J:J,B:B,'Audit Raw data'!E:E,G:G)</f>
        <v>0</v>
      </c>
      <c r="I2016" s="44" t="str">
        <f>IFERROR((SUMIFS('Audit Raw data'!BZ:BZ,'Audit Raw data'!J:J,B:B,'Audit Raw data'!E:E,G:G)/H2016)/100,"-")</f>
        <v>-</v>
      </c>
      <c r="J2016">
        <f>COUNTIFS('Audit Raw data'!AM:AM,"Yes",'Audit Raw data'!J:J,B:B,'Audit Raw data'!E:E,'Day wise agent'!G:G)</f>
        <v>0</v>
      </c>
      <c r="K2016">
        <f>COUNTIFS('Audit Raw data'!AM:AM,"NO",'Audit Raw data'!J:J,B:B,'Audit Raw data'!E:E,'Day wise agent'!G:G)</f>
        <v>0</v>
      </c>
      <c r="L2016" s="12" t="str">
        <f t="shared" si="52"/>
        <v xml:space="preserve"> </v>
      </c>
    </row>
    <row r="2017" spans="4:12" x14ac:dyDescent="0.35">
      <c r="D2017" s="32"/>
      <c r="G2017" s="32"/>
      <c r="H2017">
        <f>COUNTIFS('Audit Raw data'!J:J,B:B,'Audit Raw data'!E:E,G:G)</f>
        <v>0</v>
      </c>
      <c r="I2017" s="44" t="str">
        <f>IFERROR((SUMIFS('Audit Raw data'!BZ:BZ,'Audit Raw data'!J:J,B:B,'Audit Raw data'!E:E,G:G)/H2017)/100,"-")</f>
        <v>-</v>
      </c>
      <c r="J2017">
        <f>COUNTIFS('Audit Raw data'!AM:AM,"Yes",'Audit Raw data'!J:J,B:B,'Audit Raw data'!E:E,'Day wise agent'!G:G)</f>
        <v>0</v>
      </c>
      <c r="K2017">
        <f>COUNTIFS('Audit Raw data'!AM:AM,"NO",'Audit Raw data'!J:J,B:B,'Audit Raw data'!E:E,'Day wise agent'!G:G)</f>
        <v>0</v>
      </c>
      <c r="L2017" s="12" t="str">
        <f t="shared" si="52"/>
        <v xml:space="preserve"> </v>
      </c>
    </row>
    <row r="2018" spans="4:12" x14ac:dyDescent="0.35">
      <c r="D2018" s="32"/>
      <c r="G2018" s="32"/>
      <c r="H2018">
        <f>COUNTIFS('Audit Raw data'!J:J,B:B,'Audit Raw data'!E:E,G:G)</f>
        <v>0</v>
      </c>
      <c r="I2018" s="44" t="str">
        <f>IFERROR((SUMIFS('Audit Raw data'!BZ:BZ,'Audit Raw data'!J:J,B:B,'Audit Raw data'!E:E,G:G)/H2018)/100,"-")</f>
        <v>-</v>
      </c>
      <c r="J2018">
        <f>COUNTIFS('Audit Raw data'!AM:AM,"Yes",'Audit Raw data'!J:J,B:B,'Audit Raw data'!E:E,'Day wise agent'!G:G)</f>
        <v>0</v>
      </c>
      <c r="K2018">
        <f>COUNTIFS('Audit Raw data'!AM:AM,"NO",'Audit Raw data'!J:J,B:B,'Audit Raw data'!E:E,'Day wise agent'!G:G)</f>
        <v>0</v>
      </c>
      <c r="L2018" s="12" t="str">
        <f t="shared" si="52"/>
        <v xml:space="preserve"> </v>
      </c>
    </row>
    <row r="2019" spans="4:12" x14ac:dyDescent="0.35">
      <c r="D2019" s="32"/>
      <c r="G2019" s="32"/>
      <c r="H2019">
        <f>COUNTIFS('Audit Raw data'!J:J,B:B,'Audit Raw data'!E:E,G:G)</f>
        <v>0</v>
      </c>
      <c r="I2019" s="44" t="str">
        <f>IFERROR((SUMIFS('Audit Raw data'!BZ:BZ,'Audit Raw data'!J:J,B:B,'Audit Raw data'!E:E,G:G)/H2019)/100,"-")</f>
        <v>-</v>
      </c>
      <c r="J2019">
        <f>COUNTIFS('Audit Raw data'!AM:AM,"Yes",'Audit Raw data'!J:J,B:B,'Audit Raw data'!E:E,'Day wise agent'!G:G)</f>
        <v>0</v>
      </c>
      <c r="K2019">
        <f>COUNTIFS('Audit Raw data'!AM:AM,"NO",'Audit Raw data'!J:J,B:B,'Audit Raw data'!E:E,'Day wise agent'!G:G)</f>
        <v>0</v>
      </c>
      <c r="L2019" s="12" t="str">
        <f t="shared" si="52"/>
        <v xml:space="preserve"> </v>
      </c>
    </row>
    <row r="2020" spans="4:12" x14ac:dyDescent="0.35">
      <c r="D2020" s="32"/>
      <c r="G2020" s="32"/>
      <c r="H2020">
        <f>COUNTIFS('Audit Raw data'!J:J,B:B,'Audit Raw data'!E:E,G:G)</f>
        <v>0</v>
      </c>
      <c r="I2020" s="44" t="str">
        <f>IFERROR((SUMIFS('Audit Raw data'!BZ:BZ,'Audit Raw data'!J:J,B:B,'Audit Raw data'!E:E,G:G)/H2020)/100,"-")</f>
        <v>-</v>
      </c>
      <c r="J2020">
        <f>COUNTIFS('Audit Raw data'!AM:AM,"Yes",'Audit Raw data'!J:J,B:B,'Audit Raw data'!E:E,'Day wise agent'!G:G)</f>
        <v>0</v>
      </c>
      <c r="K2020">
        <f>COUNTIFS('Audit Raw data'!AM:AM,"NO",'Audit Raw data'!J:J,B:B,'Audit Raw data'!E:E,'Day wise agent'!G:G)</f>
        <v>0</v>
      </c>
      <c r="L2020" s="12" t="str">
        <f t="shared" si="52"/>
        <v xml:space="preserve"> </v>
      </c>
    </row>
    <row r="2021" spans="4:12" x14ac:dyDescent="0.35">
      <c r="D2021" s="32"/>
      <c r="G2021" s="32"/>
      <c r="H2021">
        <f>COUNTIFS('Audit Raw data'!J:J,B:B,'Audit Raw data'!E:E,G:G)</f>
        <v>0</v>
      </c>
      <c r="I2021" s="44" t="str">
        <f>IFERROR((SUMIFS('Audit Raw data'!BZ:BZ,'Audit Raw data'!J:J,B:B,'Audit Raw data'!E:E,G:G)/H2021)/100,"-")</f>
        <v>-</v>
      </c>
      <c r="J2021">
        <f>COUNTIFS('Audit Raw data'!AM:AM,"Yes",'Audit Raw data'!J:J,B:B,'Audit Raw data'!E:E,'Day wise agent'!G:G)</f>
        <v>0</v>
      </c>
      <c r="K2021">
        <f>COUNTIFS('Audit Raw data'!AM:AM,"NO",'Audit Raw data'!J:J,B:B,'Audit Raw data'!E:E,'Day wise agent'!G:G)</f>
        <v>0</v>
      </c>
      <c r="L2021" s="12" t="str">
        <f t="shared" si="52"/>
        <v xml:space="preserve"> </v>
      </c>
    </row>
    <row r="2022" spans="4:12" x14ac:dyDescent="0.35">
      <c r="D2022" s="32"/>
      <c r="G2022" s="32"/>
      <c r="H2022">
        <f>COUNTIFS('Audit Raw data'!J:J,B:B,'Audit Raw data'!E:E,G:G)</f>
        <v>0</v>
      </c>
      <c r="I2022" s="44" t="str">
        <f>IFERROR((SUMIFS('Audit Raw data'!BZ:BZ,'Audit Raw data'!J:J,B:B,'Audit Raw data'!E:E,G:G)/H2022)/100,"-")</f>
        <v>-</v>
      </c>
      <c r="J2022">
        <f>COUNTIFS('Audit Raw data'!AM:AM,"Yes",'Audit Raw data'!J:J,B:B,'Audit Raw data'!E:E,'Day wise agent'!G:G)</f>
        <v>0</v>
      </c>
      <c r="K2022">
        <f>COUNTIFS('Audit Raw data'!AM:AM,"NO",'Audit Raw data'!J:J,B:B,'Audit Raw data'!E:E,'Day wise agent'!G:G)</f>
        <v>0</v>
      </c>
      <c r="L2022" s="12" t="str">
        <f t="shared" si="52"/>
        <v xml:space="preserve"> </v>
      </c>
    </row>
    <row r="2023" spans="4:12" x14ac:dyDescent="0.35">
      <c r="D2023" s="32"/>
      <c r="G2023" s="32"/>
      <c r="H2023">
        <f>COUNTIFS('Audit Raw data'!J:J,B:B,'Audit Raw data'!E:E,G:G)</f>
        <v>0</v>
      </c>
      <c r="I2023" s="44" t="str">
        <f>IFERROR((SUMIFS('Audit Raw data'!BZ:BZ,'Audit Raw data'!J:J,B:B,'Audit Raw data'!E:E,G:G)/H2023)/100,"-")</f>
        <v>-</v>
      </c>
      <c r="J2023">
        <f>COUNTIFS('Audit Raw data'!AM:AM,"Yes",'Audit Raw data'!J:J,B:B,'Audit Raw data'!E:E,'Day wise agent'!G:G)</f>
        <v>0</v>
      </c>
      <c r="K2023">
        <f>COUNTIFS('Audit Raw data'!AM:AM,"NO",'Audit Raw data'!J:J,B:B,'Audit Raw data'!E:E,'Day wise agent'!G:G)</f>
        <v>0</v>
      </c>
      <c r="L2023" s="12" t="str">
        <f t="shared" si="52"/>
        <v xml:space="preserve"> </v>
      </c>
    </row>
    <row r="2024" spans="4:12" x14ac:dyDescent="0.35">
      <c r="D2024" s="32"/>
      <c r="G2024" s="32"/>
      <c r="H2024">
        <f>COUNTIFS('Audit Raw data'!J:J,B:B,'Audit Raw data'!E:E,G:G)</f>
        <v>0</v>
      </c>
      <c r="I2024" s="44" t="str">
        <f>IFERROR((SUMIFS('Audit Raw data'!BZ:BZ,'Audit Raw data'!J:J,B:B,'Audit Raw data'!E:E,G:G)/H2024)/100,"-")</f>
        <v>-</v>
      </c>
      <c r="J2024">
        <f>COUNTIFS('Audit Raw data'!AM:AM,"Yes",'Audit Raw data'!J:J,B:B,'Audit Raw data'!E:E,'Day wise agent'!G:G)</f>
        <v>0</v>
      </c>
      <c r="K2024">
        <f>COUNTIFS('Audit Raw data'!AM:AM,"NO",'Audit Raw data'!J:J,B:B,'Audit Raw data'!E:E,'Day wise agent'!G:G)</f>
        <v>0</v>
      </c>
      <c r="L2024" s="12" t="str">
        <f t="shared" si="52"/>
        <v xml:space="preserve"> </v>
      </c>
    </row>
    <row r="2025" spans="4:12" x14ac:dyDescent="0.35">
      <c r="D2025" s="32"/>
      <c r="G2025" s="32"/>
      <c r="H2025">
        <f>COUNTIFS('Audit Raw data'!J:J,B:B,'Audit Raw data'!E:E,G:G)</f>
        <v>0</v>
      </c>
      <c r="I2025" s="44" t="str">
        <f>IFERROR((SUMIFS('Audit Raw data'!BZ:BZ,'Audit Raw data'!J:J,B:B,'Audit Raw data'!E:E,G:G)/H2025)/100,"-")</f>
        <v>-</v>
      </c>
      <c r="J2025">
        <f>COUNTIFS('Audit Raw data'!AM:AM,"Yes",'Audit Raw data'!J:J,B:B,'Audit Raw data'!E:E,'Day wise agent'!G:G)</f>
        <v>0</v>
      </c>
      <c r="K2025">
        <f>COUNTIFS('Audit Raw data'!AM:AM,"NO",'Audit Raw data'!J:J,B:B,'Audit Raw data'!E:E,'Day wise agent'!G:G)</f>
        <v>0</v>
      </c>
      <c r="L2025" s="12" t="str">
        <f t="shared" si="52"/>
        <v xml:space="preserve"> </v>
      </c>
    </row>
    <row r="2026" spans="4:12" x14ac:dyDescent="0.35">
      <c r="D2026" s="32"/>
      <c r="G2026" s="32"/>
      <c r="H2026">
        <f>COUNTIFS('Audit Raw data'!J:J,B:B,'Audit Raw data'!E:E,G:G)</f>
        <v>0</v>
      </c>
      <c r="I2026" s="44" t="str">
        <f>IFERROR((SUMIFS('Audit Raw data'!BZ:BZ,'Audit Raw data'!J:J,B:B,'Audit Raw data'!E:E,G:G)/H2026)/100,"-")</f>
        <v>-</v>
      </c>
      <c r="J2026">
        <f>COUNTIFS('Audit Raw data'!AM:AM,"Yes",'Audit Raw data'!J:J,B:B,'Audit Raw data'!E:E,'Day wise agent'!G:G)</f>
        <v>0</v>
      </c>
      <c r="K2026">
        <f>COUNTIFS('Audit Raw data'!AM:AM,"NO",'Audit Raw data'!J:J,B:B,'Audit Raw data'!E:E,'Day wise agent'!G:G)</f>
        <v>0</v>
      </c>
      <c r="L2026" s="12" t="str">
        <f t="shared" si="52"/>
        <v xml:space="preserve"> </v>
      </c>
    </row>
    <row r="2027" spans="4:12" x14ac:dyDescent="0.35">
      <c r="D2027" s="32"/>
      <c r="G2027" s="32"/>
      <c r="H2027">
        <f>COUNTIFS('Audit Raw data'!J:J,B:B,'Audit Raw data'!E:E,G:G)</f>
        <v>0</v>
      </c>
      <c r="I2027" s="44" t="str">
        <f>IFERROR((SUMIFS('Audit Raw data'!BZ:BZ,'Audit Raw data'!J:J,B:B,'Audit Raw data'!E:E,G:G)/H2027)/100,"-")</f>
        <v>-</v>
      </c>
      <c r="J2027">
        <f>COUNTIFS('Audit Raw data'!AM:AM,"Yes",'Audit Raw data'!J:J,B:B,'Audit Raw data'!E:E,'Day wise agent'!G:G)</f>
        <v>0</v>
      </c>
      <c r="K2027">
        <f>COUNTIFS('Audit Raw data'!AM:AM,"NO",'Audit Raw data'!J:J,B:B,'Audit Raw data'!E:E,'Day wise agent'!G:G)</f>
        <v>0</v>
      </c>
      <c r="L2027" s="12" t="str">
        <f t="shared" si="52"/>
        <v xml:space="preserve"> </v>
      </c>
    </row>
    <row r="2028" spans="4:12" x14ac:dyDescent="0.35">
      <c r="D2028" s="32"/>
      <c r="G2028" s="32"/>
      <c r="H2028">
        <f>COUNTIFS('Audit Raw data'!J:J,B:B,'Audit Raw data'!E:E,G:G)</f>
        <v>0</v>
      </c>
      <c r="I2028" s="44" t="str">
        <f>IFERROR((SUMIFS('Audit Raw data'!BZ:BZ,'Audit Raw data'!J:J,B:B,'Audit Raw data'!E:E,G:G)/H2028)/100,"-")</f>
        <v>-</v>
      </c>
      <c r="J2028">
        <f>COUNTIFS('Audit Raw data'!AM:AM,"Yes",'Audit Raw data'!J:J,B:B,'Audit Raw data'!E:E,'Day wise agent'!G:G)</f>
        <v>0</v>
      </c>
      <c r="K2028">
        <f>COUNTIFS('Audit Raw data'!AM:AM,"NO",'Audit Raw data'!J:J,B:B,'Audit Raw data'!E:E,'Day wise agent'!G:G)</f>
        <v>0</v>
      </c>
      <c r="L2028" s="12" t="str">
        <f t="shared" si="52"/>
        <v xml:space="preserve"> </v>
      </c>
    </row>
    <row r="2029" spans="4:12" x14ac:dyDescent="0.35">
      <c r="D2029" s="32"/>
      <c r="G2029" s="32"/>
      <c r="H2029">
        <f>COUNTIFS('Audit Raw data'!J:J,B:B,'Audit Raw data'!E:E,G:G)</f>
        <v>0</v>
      </c>
      <c r="I2029" s="44" t="str">
        <f>IFERROR((SUMIFS('Audit Raw data'!BZ:BZ,'Audit Raw data'!J:J,B:B,'Audit Raw data'!E:E,G:G)/H2029)/100,"-")</f>
        <v>-</v>
      </c>
      <c r="J2029">
        <f>COUNTIFS('Audit Raw data'!AM:AM,"Yes",'Audit Raw data'!J:J,B:B,'Audit Raw data'!E:E,'Day wise agent'!G:G)</f>
        <v>0</v>
      </c>
      <c r="K2029">
        <f>COUNTIFS('Audit Raw data'!AM:AM,"NO",'Audit Raw data'!J:J,B:B,'Audit Raw data'!E:E,'Day wise agent'!G:G)</f>
        <v>0</v>
      </c>
      <c r="L2029" s="12" t="str">
        <f t="shared" si="52"/>
        <v xml:space="preserve"> </v>
      </c>
    </row>
    <row r="2030" spans="4:12" x14ac:dyDescent="0.35">
      <c r="D2030" s="32"/>
      <c r="G2030" s="32"/>
      <c r="H2030">
        <f>COUNTIFS('Audit Raw data'!J:J,B:B,'Audit Raw data'!E:E,G:G)</f>
        <v>0</v>
      </c>
      <c r="I2030" s="44" t="str">
        <f>IFERROR((SUMIFS('Audit Raw data'!BZ:BZ,'Audit Raw data'!J:J,B:B,'Audit Raw data'!E:E,G:G)/H2030)/100,"-")</f>
        <v>-</v>
      </c>
      <c r="J2030">
        <f>COUNTIFS('Audit Raw data'!AM:AM,"Yes",'Audit Raw data'!J:J,B:B,'Audit Raw data'!E:E,'Day wise agent'!G:G)</f>
        <v>0</v>
      </c>
      <c r="K2030">
        <f>COUNTIFS('Audit Raw data'!AM:AM,"NO",'Audit Raw data'!J:J,B:B,'Audit Raw data'!E:E,'Day wise agent'!G:G)</f>
        <v>0</v>
      </c>
      <c r="L2030" s="12" t="str">
        <f t="shared" si="52"/>
        <v xml:space="preserve"> </v>
      </c>
    </row>
    <row r="2031" spans="4:12" x14ac:dyDescent="0.35">
      <c r="D2031" s="32"/>
      <c r="G2031" s="32"/>
      <c r="H2031">
        <f>COUNTIFS('Audit Raw data'!J:J,B:B,'Audit Raw data'!E:E,G:G)</f>
        <v>0</v>
      </c>
      <c r="I2031" s="44" t="str">
        <f>IFERROR((SUMIFS('Audit Raw data'!BZ:BZ,'Audit Raw data'!J:J,B:B,'Audit Raw data'!E:E,G:G)/H2031)/100,"-")</f>
        <v>-</v>
      </c>
      <c r="J2031">
        <f>COUNTIFS('Audit Raw data'!AM:AM,"Yes",'Audit Raw data'!J:J,B:B,'Audit Raw data'!E:E,'Day wise agent'!G:G)</f>
        <v>0</v>
      </c>
      <c r="K2031">
        <f>COUNTIFS('Audit Raw data'!AM:AM,"NO",'Audit Raw data'!J:J,B:B,'Audit Raw data'!E:E,'Day wise agent'!G:G)</f>
        <v>0</v>
      </c>
      <c r="L2031" s="12" t="str">
        <f t="shared" si="52"/>
        <v xml:space="preserve"> </v>
      </c>
    </row>
    <row r="2032" spans="4:12" x14ac:dyDescent="0.35">
      <c r="D2032" s="32"/>
      <c r="G2032" s="32"/>
      <c r="H2032">
        <f>COUNTIFS('Audit Raw data'!J:J,B:B,'Audit Raw data'!E:E,G:G)</f>
        <v>0</v>
      </c>
      <c r="I2032" s="44" t="str">
        <f>IFERROR((SUMIFS('Audit Raw data'!BZ:BZ,'Audit Raw data'!J:J,B:B,'Audit Raw data'!E:E,G:G)/H2032)/100,"-")</f>
        <v>-</v>
      </c>
      <c r="J2032">
        <f>COUNTIFS('Audit Raw data'!AM:AM,"Yes",'Audit Raw data'!J:J,B:B,'Audit Raw data'!E:E,'Day wise agent'!G:G)</f>
        <v>0</v>
      </c>
      <c r="K2032">
        <f>COUNTIFS('Audit Raw data'!AM:AM,"NO",'Audit Raw data'!J:J,B:B,'Audit Raw data'!E:E,'Day wise agent'!G:G)</f>
        <v>0</v>
      </c>
      <c r="L2032" s="12" t="str">
        <f t="shared" si="52"/>
        <v xml:space="preserve"> </v>
      </c>
    </row>
    <row r="2033" spans="4:12" x14ac:dyDescent="0.35">
      <c r="D2033" s="32"/>
      <c r="G2033" s="32"/>
      <c r="H2033">
        <f>COUNTIFS('Audit Raw data'!J:J,B:B,'Audit Raw data'!E:E,G:G)</f>
        <v>0</v>
      </c>
      <c r="I2033" s="44" t="str">
        <f>IFERROR((SUMIFS('Audit Raw data'!BZ:BZ,'Audit Raw data'!J:J,B:B,'Audit Raw data'!E:E,G:G)/H2033)/100,"-")</f>
        <v>-</v>
      </c>
      <c r="J2033">
        <f>COUNTIFS('Audit Raw data'!AM:AM,"Yes",'Audit Raw data'!J:J,B:B,'Audit Raw data'!E:E,'Day wise agent'!G:G)</f>
        <v>0</v>
      </c>
      <c r="K2033">
        <f>COUNTIFS('Audit Raw data'!AM:AM,"NO",'Audit Raw data'!J:J,B:B,'Audit Raw data'!E:E,'Day wise agent'!G:G)</f>
        <v>0</v>
      </c>
      <c r="L2033" s="12" t="str">
        <f t="shared" si="52"/>
        <v xml:space="preserve"> </v>
      </c>
    </row>
    <row r="2034" spans="4:12" x14ac:dyDescent="0.35">
      <c r="D2034" s="32"/>
      <c r="G2034" s="32"/>
      <c r="H2034">
        <f>COUNTIFS('Audit Raw data'!J:J,B:B,'Audit Raw data'!E:E,G:G)</f>
        <v>0</v>
      </c>
      <c r="I2034" s="44" t="str">
        <f>IFERROR((SUMIFS('Audit Raw data'!BZ:BZ,'Audit Raw data'!J:J,B:B,'Audit Raw data'!E:E,G:G)/H2034)/100,"-")</f>
        <v>-</v>
      </c>
      <c r="J2034">
        <f>COUNTIFS('Audit Raw data'!AM:AM,"Yes",'Audit Raw data'!J:J,B:B,'Audit Raw data'!E:E,'Day wise agent'!G:G)</f>
        <v>0</v>
      </c>
      <c r="K2034">
        <f>COUNTIFS('Audit Raw data'!AM:AM,"NO",'Audit Raw data'!J:J,B:B,'Audit Raw data'!E:E,'Day wise agent'!G:G)</f>
        <v>0</v>
      </c>
      <c r="L2034" s="12" t="str">
        <f t="shared" si="52"/>
        <v xml:space="preserve"> </v>
      </c>
    </row>
    <row r="2035" spans="4:12" x14ac:dyDescent="0.35">
      <c r="D2035" s="32"/>
      <c r="G2035" s="32"/>
      <c r="H2035">
        <f>COUNTIFS('Audit Raw data'!J:J,B:B,'Audit Raw data'!E:E,G:G)</f>
        <v>0</v>
      </c>
      <c r="I2035" s="44" t="str">
        <f>IFERROR((SUMIFS('Audit Raw data'!BZ:BZ,'Audit Raw data'!J:J,B:B,'Audit Raw data'!E:E,G:G)/H2035)/100,"-")</f>
        <v>-</v>
      </c>
      <c r="J2035">
        <f>COUNTIFS('Audit Raw data'!AM:AM,"Yes",'Audit Raw data'!J:J,B:B,'Audit Raw data'!E:E,'Day wise agent'!G:G)</f>
        <v>0</v>
      </c>
      <c r="K2035">
        <f>COUNTIFS('Audit Raw data'!AM:AM,"NO",'Audit Raw data'!J:J,B:B,'Audit Raw data'!E:E,'Day wise agent'!G:G)</f>
        <v>0</v>
      </c>
      <c r="L2035" s="12" t="str">
        <f t="shared" si="52"/>
        <v xml:space="preserve"> </v>
      </c>
    </row>
    <row r="2036" spans="4:12" x14ac:dyDescent="0.35">
      <c r="D2036" s="32"/>
      <c r="G2036" s="32"/>
      <c r="H2036">
        <f>COUNTIFS('Audit Raw data'!J:J,B:B,'Audit Raw data'!E:E,G:G)</f>
        <v>0</v>
      </c>
      <c r="I2036" s="44" t="str">
        <f>IFERROR((SUMIFS('Audit Raw data'!BZ:BZ,'Audit Raw data'!J:J,B:B,'Audit Raw data'!E:E,G:G)/H2036)/100,"-")</f>
        <v>-</v>
      </c>
      <c r="J2036">
        <f>COUNTIFS('Audit Raw data'!AM:AM,"Yes",'Audit Raw data'!J:J,B:B,'Audit Raw data'!E:E,'Day wise agent'!G:G)</f>
        <v>0</v>
      </c>
      <c r="K2036">
        <f>COUNTIFS('Audit Raw data'!AM:AM,"NO",'Audit Raw data'!J:J,B:B,'Audit Raw data'!E:E,'Day wise agent'!G:G)</f>
        <v>0</v>
      </c>
      <c r="L2036" s="12" t="str">
        <f t="shared" si="52"/>
        <v xml:space="preserve"> </v>
      </c>
    </row>
    <row r="2037" spans="4:12" x14ac:dyDescent="0.35">
      <c r="D2037" s="32"/>
      <c r="G2037" s="32"/>
      <c r="H2037">
        <f>COUNTIFS('Audit Raw data'!J:J,B:B,'Audit Raw data'!E:E,G:G)</f>
        <v>0</v>
      </c>
      <c r="I2037" s="44" t="str">
        <f>IFERROR((SUMIFS('Audit Raw data'!BZ:BZ,'Audit Raw data'!J:J,B:B,'Audit Raw data'!E:E,G:G)/H2037)/100,"-")</f>
        <v>-</v>
      </c>
      <c r="J2037">
        <f>COUNTIFS('Audit Raw data'!AM:AM,"Yes",'Audit Raw data'!J:J,B:B,'Audit Raw data'!E:E,'Day wise agent'!G:G)</f>
        <v>0</v>
      </c>
      <c r="K2037">
        <f>COUNTIFS('Audit Raw data'!AM:AM,"NO",'Audit Raw data'!J:J,B:B,'Audit Raw data'!E:E,'Day wise agent'!G:G)</f>
        <v>0</v>
      </c>
      <c r="L2037" s="12" t="str">
        <f t="shared" si="52"/>
        <v xml:space="preserve"> </v>
      </c>
    </row>
    <row r="2038" spans="4:12" x14ac:dyDescent="0.35">
      <c r="D2038" s="32"/>
      <c r="G2038" s="32"/>
      <c r="H2038">
        <f>COUNTIFS('Audit Raw data'!J:J,B:B,'Audit Raw data'!E:E,G:G)</f>
        <v>0</v>
      </c>
      <c r="I2038" s="44" t="str">
        <f>IFERROR((SUMIFS('Audit Raw data'!BZ:BZ,'Audit Raw data'!J:J,B:B,'Audit Raw data'!E:E,G:G)/H2038)/100,"-")</f>
        <v>-</v>
      </c>
      <c r="J2038">
        <f>COUNTIFS('Audit Raw data'!AM:AM,"Yes",'Audit Raw data'!J:J,B:B,'Audit Raw data'!E:E,'Day wise agent'!G:G)</f>
        <v>0</v>
      </c>
      <c r="K2038">
        <f>COUNTIFS('Audit Raw data'!AM:AM,"NO",'Audit Raw data'!J:J,B:B,'Audit Raw data'!E:E,'Day wise agent'!G:G)</f>
        <v>0</v>
      </c>
      <c r="L2038" s="12" t="str">
        <f t="shared" si="52"/>
        <v xml:space="preserve"> </v>
      </c>
    </row>
    <row r="2039" spans="4:12" x14ac:dyDescent="0.35">
      <c r="D2039" s="32"/>
      <c r="G2039" s="32"/>
      <c r="H2039">
        <f>COUNTIFS('Audit Raw data'!J:J,B:B,'Audit Raw data'!E:E,G:G)</f>
        <v>0</v>
      </c>
      <c r="I2039" s="44" t="str">
        <f>IFERROR((SUMIFS('Audit Raw data'!BZ:BZ,'Audit Raw data'!J:J,B:B,'Audit Raw data'!E:E,G:G)/H2039)/100,"-")</f>
        <v>-</v>
      </c>
      <c r="J2039">
        <f>COUNTIFS('Audit Raw data'!AM:AM,"Yes",'Audit Raw data'!J:J,B:B,'Audit Raw data'!E:E,'Day wise agent'!G:G)</f>
        <v>0</v>
      </c>
      <c r="K2039">
        <f>COUNTIFS('Audit Raw data'!AM:AM,"NO",'Audit Raw data'!J:J,B:B,'Audit Raw data'!E:E,'Day wise agent'!G:G)</f>
        <v>0</v>
      </c>
      <c r="L2039" s="12" t="str">
        <f t="shared" si="52"/>
        <v xml:space="preserve"> </v>
      </c>
    </row>
    <row r="2040" spans="4:12" x14ac:dyDescent="0.35">
      <c r="D2040" s="32"/>
      <c r="G2040" s="32"/>
      <c r="H2040">
        <f>COUNTIFS('Audit Raw data'!J:J,B:B,'Audit Raw data'!E:E,G:G)</f>
        <v>0</v>
      </c>
      <c r="I2040" s="44" t="str">
        <f>IFERROR((SUMIFS('Audit Raw data'!BZ:BZ,'Audit Raw data'!J:J,B:B,'Audit Raw data'!E:E,G:G)/H2040)/100,"-")</f>
        <v>-</v>
      </c>
      <c r="J2040">
        <f>COUNTIFS('Audit Raw data'!AM:AM,"Yes",'Audit Raw data'!J:J,B:B,'Audit Raw data'!E:E,'Day wise agent'!G:G)</f>
        <v>0</v>
      </c>
      <c r="K2040">
        <f>COUNTIFS('Audit Raw data'!AM:AM,"NO",'Audit Raw data'!J:J,B:B,'Audit Raw data'!E:E,'Day wise agent'!G:G)</f>
        <v>0</v>
      </c>
      <c r="L2040" s="12" t="str">
        <f t="shared" si="52"/>
        <v xml:space="preserve"> </v>
      </c>
    </row>
    <row r="2041" spans="4:12" x14ac:dyDescent="0.35">
      <c r="D2041" s="32"/>
      <c r="G2041" s="32"/>
      <c r="H2041">
        <f>COUNTIFS('Audit Raw data'!J:J,B:B,'Audit Raw data'!E:E,G:G)</f>
        <v>0</v>
      </c>
      <c r="I2041" s="44" t="str">
        <f>IFERROR((SUMIFS('Audit Raw data'!BZ:BZ,'Audit Raw data'!J:J,B:B,'Audit Raw data'!E:E,G:G)/H2041)/100,"-")</f>
        <v>-</v>
      </c>
      <c r="J2041">
        <f>COUNTIFS('Audit Raw data'!AM:AM,"Yes",'Audit Raw data'!J:J,B:B,'Audit Raw data'!E:E,'Day wise agent'!G:G)</f>
        <v>0</v>
      </c>
      <c r="K2041">
        <f>COUNTIFS('Audit Raw data'!AM:AM,"NO",'Audit Raw data'!J:J,B:B,'Audit Raw data'!E:E,'Day wise agent'!G:G)</f>
        <v>0</v>
      </c>
      <c r="L2041" s="12" t="str">
        <f t="shared" si="52"/>
        <v xml:space="preserve"> </v>
      </c>
    </row>
    <row r="2042" spans="4:12" x14ac:dyDescent="0.35">
      <c r="D2042" s="32"/>
      <c r="G2042" s="32"/>
      <c r="H2042">
        <f>COUNTIFS('Audit Raw data'!J:J,B:B,'Audit Raw data'!E:E,G:G)</f>
        <v>0</v>
      </c>
      <c r="I2042" s="44" t="str">
        <f>IFERROR((SUMIFS('Audit Raw data'!BZ:BZ,'Audit Raw data'!J:J,B:B,'Audit Raw data'!E:E,G:G)/H2042)/100,"-")</f>
        <v>-</v>
      </c>
      <c r="J2042">
        <f>COUNTIFS('Audit Raw data'!AM:AM,"Yes",'Audit Raw data'!J:J,B:B,'Audit Raw data'!E:E,'Day wise agent'!G:G)</f>
        <v>0</v>
      </c>
      <c r="K2042">
        <f>COUNTIFS('Audit Raw data'!AM:AM,"NO",'Audit Raw data'!J:J,B:B,'Audit Raw data'!E:E,'Day wise agent'!G:G)</f>
        <v>0</v>
      </c>
      <c r="L2042" s="12" t="str">
        <f t="shared" si="52"/>
        <v xml:space="preserve"> </v>
      </c>
    </row>
    <row r="2043" spans="4:12" x14ac:dyDescent="0.35">
      <c r="D2043" s="32"/>
      <c r="G2043" s="32"/>
      <c r="H2043">
        <f>COUNTIFS('Audit Raw data'!J:J,B:B,'Audit Raw data'!E:E,G:G)</f>
        <v>0</v>
      </c>
      <c r="I2043" s="44" t="str">
        <f>IFERROR((SUMIFS('Audit Raw data'!BZ:BZ,'Audit Raw data'!J:J,B:B,'Audit Raw data'!E:E,G:G)/H2043)/100,"-")</f>
        <v>-</v>
      </c>
      <c r="J2043">
        <f>COUNTIFS('Audit Raw data'!AM:AM,"Yes",'Audit Raw data'!J:J,B:B,'Audit Raw data'!E:E,'Day wise agent'!G:G)</f>
        <v>0</v>
      </c>
      <c r="K2043">
        <f>COUNTIFS('Audit Raw data'!AM:AM,"NO",'Audit Raw data'!J:J,B:B,'Audit Raw data'!E:E,'Day wise agent'!G:G)</f>
        <v>0</v>
      </c>
      <c r="L2043" s="12" t="str">
        <f t="shared" si="52"/>
        <v xml:space="preserve"> </v>
      </c>
    </row>
    <row r="2044" spans="4:12" x14ac:dyDescent="0.35">
      <c r="D2044" s="32"/>
      <c r="G2044" s="32"/>
      <c r="H2044">
        <f>COUNTIFS('Audit Raw data'!J:J,B:B,'Audit Raw data'!E:E,G:G)</f>
        <v>0</v>
      </c>
      <c r="I2044" s="44" t="str">
        <f>IFERROR((SUMIFS('Audit Raw data'!BZ:BZ,'Audit Raw data'!J:J,B:B,'Audit Raw data'!E:E,G:G)/H2044)/100,"-")</f>
        <v>-</v>
      </c>
      <c r="J2044">
        <f>COUNTIFS('Audit Raw data'!AM:AM,"Yes",'Audit Raw data'!J:J,B:B,'Audit Raw data'!E:E,'Day wise agent'!G:G)</f>
        <v>0</v>
      </c>
      <c r="K2044">
        <f>COUNTIFS('Audit Raw data'!AM:AM,"NO",'Audit Raw data'!J:J,B:B,'Audit Raw data'!E:E,'Day wise agent'!G:G)</f>
        <v>0</v>
      </c>
      <c r="L2044" s="12" t="str">
        <f t="shared" si="52"/>
        <v xml:space="preserve"> </v>
      </c>
    </row>
    <row r="2045" spans="4:12" x14ac:dyDescent="0.35">
      <c r="D2045" s="32"/>
      <c r="G2045" s="32"/>
      <c r="H2045">
        <f>COUNTIFS('Audit Raw data'!J:J,B:B,'Audit Raw data'!E:E,G:G)</f>
        <v>0</v>
      </c>
      <c r="I2045" s="44" t="str">
        <f>IFERROR((SUMIFS('Audit Raw data'!BZ:BZ,'Audit Raw data'!J:J,B:B,'Audit Raw data'!E:E,G:G)/H2045)/100,"-")</f>
        <v>-</v>
      </c>
      <c r="J2045">
        <f>COUNTIFS('Audit Raw data'!AM:AM,"Yes",'Audit Raw data'!J:J,B:B,'Audit Raw data'!E:E,'Day wise agent'!G:G)</f>
        <v>0</v>
      </c>
      <c r="K2045">
        <f>COUNTIFS('Audit Raw data'!AM:AM,"NO",'Audit Raw data'!J:J,B:B,'Audit Raw data'!E:E,'Day wise agent'!G:G)</f>
        <v>0</v>
      </c>
      <c r="L2045" s="12" t="str">
        <f t="shared" si="52"/>
        <v xml:space="preserve"> </v>
      </c>
    </row>
    <row r="2046" spans="4:12" x14ac:dyDescent="0.35">
      <c r="D2046" s="32"/>
      <c r="G2046" s="32"/>
      <c r="H2046">
        <f>COUNTIFS('Audit Raw data'!J:J,B:B,'Audit Raw data'!E:E,G:G)</f>
        <v>0</v>
      </c>
      <c r="I2046" s="44" t="str">
        <f>IFERROR((SUMIFS('Audit Raw data'!BZ:BZ,'Audit Raw data'!J:J,B:B,'Audit Raw data'!E:E,G:G)/H2046)/100,"-")</f>
        <v>-</v>
      </c>
      <c r="J2046">
        <f>COUNTIFS('Audit Raw data'!AM:AM,"Yes",'Audit Raw data'!J:J,B:B,'Audit Raw data'!E:E,'Day wise agent'!G:G)</f>
        <v>0</v>
      </c>
      <c r="K2046">
        <f>COUNTIFS('Audit Raw data'!AM:AM,"NO",'Audit Raw data'!J:J,B:B,'Audit Raw data'!E:E,'Day wise agent'!G:G)</f>
        <v>0</v>
      </c>
      <c r="L2046" s="12" t="str">
        <f t="shared" si="52"/>
        <v xml:space="preserve"> </v>
      </c>
    </row>
    <row r="2047" spans="4:12" x14ac:dyDescent="0.35">
      <c r="D2047" s="32"/>
      <c r="G2047" s="32"/>
      <c r="H2047">
        <f>COUNTIFS('Audit Raw data'!J:J,B:B,'Audit Raw data'!E:E,G:G)</f>
        <v>0</v>
      </c>
      <c r="I2047" s="44" t="str">
        <f>IFERROR((SUMIFS('Audit Raw data'!BZ:BZ,'Audit Raw data'!J:J,B:B,'Audit Raw data'!E:E,G:G)/H2047)/100,"-")</f>
        <v>-</v>
      </c>
      <c r="J2047">
        <f>COUNTIFS('Audit Raw data'!AM:AM,"Yes",'Audit Raw data'!J:J,B:B,'Audit Raw data'!E:E,'Day wise agent'!G:G)</f>
        <v>0</v>
      </c>
      <c r="K2047">
        <f>COUNTIFS('Audit Raw data'!AM:AM,"NO",'Audit Raw data'!J:J,B:B,'Audit Raw data'!E:E,'Day wise agent'!G:G)</f>
        <v>0</v>
      </c>
      <c r="L2047" s="12" t="str">
        <f t="shared" si="52"/>
        <v xml:space="preserve"> </v>
      </c>
    </row>
    <row r="2048" spans="4:12" x14ac:dyDescent="0.35">
      <c r="D2048" s="32"/>
      <c r="G2048" s="32"/>
      <c r="H2048">
        <f>COUNTIFS('Audit Raw data'!J:J,B:B,'Audit Raw data'!E:E,G:G)</f>
        <v>0</v>
      </c>
      <c r="I2048" s="44" t="str">
        <f>IFERROR((SUMIFS('Audit Raw data'!BZ:BZ,'Audit Raw data'!J:J,B:B,'Audit Raw data'!E:E,G:G)/H2048)/100,"-")</f>
        <v>-</v>
      </c>
      <c r="J2048">
        <f>COUNTIFS('Audit Raw data'!AM:AM,"Yes",'Audit Raw data'!J:J,B:B,'Audit Raw data'!E:E,'Day wise agent'!G:G)</f>
        <v>0</v>
      </c>
      <c r="K2048">
        <f>COUNTIFS('Audit Raw data'!AM:AM,"NO",'Audit Raw data'!J:J,B:B,'Audit Raw data'!E:E,'Day wise agent'!G:G)</f>
        <v>0</v>
      </c>
      <c r="L2048" s="12" t="str">
        <f t="shared" si="52"/>
        <v xml:space="preserve"> </v>
      </c>
    </row>
    <row r="2049" spans="4:12" x14ac:dyDescent="0.35">
      <c r="D2049" s="32"/>
      <c r="G2049" s="32"/>
      <c r="H2049">
        <f>COUNTIFS('Audit Raw data'!J:J,B:B,'Audit Raw data'!E:E,G:G)</f>
        <v>0</v>
      </c>
      <c r="I2049" s="44" t="str">
        <f>IFERROR((SUMIFS('Audit Raw data'!BZ:BZ,'Audit Raw data'!J:J,B:B,'Audit Raw data'!E:E,G:G)/H2049)/100,"-")</f>
        <v>-</v>
      </c>
      <c r="J2049">
        <f>COUNTIFS('Audit Raw data'!AM:AM,"Yes",'Audit Raw data'!J:J,B:B,'Audit Raw data'!E:E,'Day wise agent'!G:G)</f>
        <v>0</v>
      </c>
      <c r="K2049">
        <f>COUNTIFS('Audit Raw data'!AM:AM,"NO",'Audit Raw data'!J:J,B:B,'Audit Raw data'!E:E,'Day wise agent'!G:G)</f>
        <v>0</v>
      </c>
      <c r="L2049" s="12" t="str">
        <f t="shared" si="52"/>
        <v xml:space="preserve"> </v>
      </c>
    </row>
    <row r="2050" spans="4:12" x14ac:dyDescent="0.35">
      <c r="D2050" s="32"/>
      <c r="G2050" s="32"/>
      <c r="H2050">
        <f>COUNTIFS('Audit Raw data'!J:J,B:B,'Audit Raw data'!E:E,G:G)</f>
        <v>0</v>
      </c>
      <c r="I2050" s="44" t="str">
        <f>IFERROR((SUMIFS('Audit Raw data'!BZ:BZ,'Audit Raw data'!J:J,B:B,'Audit Raw data'!E:E,G:G)/H2050)/100,"-")</f>
        <v>-</v>
      </c>
      <c r="J2050">
        <f>COUNTIFS('Audit Raw data'!AM:AM,"Yes",'Audit Raw data'!J:J,B:B,'Audit Raw data'!E:E,'Day wise agent'!G:G)</f>
        <v>0</v>
      </c>
      <c r="K2050">
        <f>COUNTIFS('Audit Raw data'!AM:AM,"NO",'Audit Raw data'!J:J,B:B,'Audit Raw data'!E:E,'Day wise agent'!G:G)</f>
        <v>0</v>
      </c>
      <c r="L2050" s="12" t="str">
        <f t="shared" ref="L2050:L2113" si="53">IFERROR(J2050/H2050," ")</f>
        <v xml:space="preserve"> </v>
      </c>
    </row>
    <row r="2051" spans="4:12" x14ac:dyDescent="0.35">
      <c r="D2051" s="32"/>
      <c r="G2051" s="32"/>
      <c r="H2051">
        <f>COUNTIFS('Audit Raw data'!J:J,B:B,'Audit Raw data'!E:E,G:G)</f>
        <v>0</v>
      </c>
      <c r="I2051" s="44" t="str">
        <f>IFERROR((SUMIFS('Audit Raw data'!BZ:BZ,'Audit Raw data'!J:J,B:B,'Audit Raw data'!E:E,G:G)/H2051)/100,"-")</f>
        <v>-</v>
      </c>
      <c r="J2051">
        <f>COUNTIFS('Audit Raw data'!AM:AM,"Yes",'Audit Raw data'!J:J,B:B,'Audit Raw data'!E:E,'Day wise agent'!G:G)</f>
        <v>0</v>
      </c>
      <c r="K2051">
        <f>COUNTIFS('Audit Raw data'!AM:AM,"NO",'Audit Raw data'!J:J,B:B,'Audit Raw data'!E:E,'Day wise agent'!G:G)</f>
        <v>0</v>
      </c>
      <c r="L2051" s="12" t="str">
        <f t="shared" si="53"/>
        <v xml:space="preserve"> </v>
      </c>
    </row>
    <row r="2052" spans="4:12" x14ac:dyDescent="0.35">
      <c r="D2052" s="32"/>
      <c r="G2052" s="32"/>
      <c r="H2052">
        <f>COUNTIFS('Audit Raw data'!J:J,B:B,'Audit Raw data'!E:E,G:G)</f>
        <v>0</v>
      </c>
      <c r="I2052" s="44" t="str">
        <f>IFERROR((SUMIFS('Audit Raw data'!BZ:BZ,'Audit Raw data'!J:J,B:B,'Audit Raw data'!E:E,G:G)/H2052)/100,"-")</f>
        <v>-</v>
      </c>
      <c r="J2052">
        <f>COUNTIFS('Audit Raw data'!AM:AM,"Yes",'Audit Raw data'!J:J,B:B,'Audit Raw data'!E:E,'Day wise agent'!G:G)</f>
        <v>0</v>
      </c>
      <c r="K2052">
        <f>COUNTIFS('Audit Raw data'!AM:AM,"NO",'Audit Raw data'!J:J,B:B,'Audit Raw data'!E:E,'Day wise agent'!G:G)</f>
        <v>0</v>
      </c>
      <c r="L2052" s="12" t="str">
        <f t="shared" si="53"/>
        <v xml:space="preserve"> </v>
      </c>
    </row>
    <row r="2053" spans="4:12" x14ac:dyDescent="0.35">
      <c r="D2053" s="32"/>
      <c r="G2053" s="32"/>
      <c r="H2053">
        <f>COUNTIFS('Audit Raw data'!J:J,B:B,'Audit Raw data'!E:E,G:G)</f>
        <v>0</v>
      </c>
      <c r="I2053" s="44" t="str">
        <f>IFERROR((SUMIFS('Audit Raw data'!BZ:BZ,'Audit Raw data'!J:J,B:B,'Audit Raw data'!E:E,G:G)/H2053)/100,"-")</f>
        <v>-</v>
      </c>
      <c r="J2053">
        <f>COUNTIFS('Audit Raw data'!AM:AM,"Yes",'Audit Raw data'!J:J,B:B,'Audit Raw data'!E:E,'Day wise agent'!G:G)</f>
        <v>0</v>
      </c>
      <c r="K2053">
        <f>COUNTIFS('Audit Raw data'!AM:AM,"NO",'Audit Raw data'!J:J,B:B,'Audit Raw data'!E:E,'Day wise agent'!G:G)</f>
        <v>0</v>
      </c>
      <c r="L2053" s="12" t="str">
        <f t="shared" si="53"/>
        <v xml:space="preserve"> </v>
      </c>
    </row>
    <row r="2054" spans="4:12" x14ac:dyDescent="0.35">
      <c r="D2054" s="32"/>
      <c r="G2054" s="32"/>
      <c r="H2054">
        <f>COUNTIFS('Audit Raw data'!J:J,B:B,'Audit Raw data'!E:E,G:G)</f>
        <v>0</v>
      </c>
      <c r="I2054" s="44" t="str">
        <f>IFERROR((SUMIFS('Audit Raw data'!BZ:BZ,'Audit Raw data'!J:J,B:B,'Audit Raw data'!E:E,G:G)/H2054)/100,"-")</f>
        <v>-</v>
      </c>
      <c r="J2054">
        <f>COUNTIFS('Audit Raw data'!AM:AM,"Yes",'Audit Raw data'!J:J,B:B,'Audit Raw data'!E:E,'Day wise agent'!G:G)</f>
        <v>0</v>
      </c>
      <c r="K2054">
        <f>COUNTIFS('Audit Raw data'!AM:AM,"NO",'Audit Raw data'!J:J,B:B,'Audit Raw data'!E:E,'Day wise agent'!G:G)</f>
        <v>0</v>
      </c>
      <c r="L2054" s="12" t="str">
        <f t="shared" si="53"/>
        <v xml:space="preserve"> </v>
      </c>
    </row>
    <row r="2055" spans="4:12" x14ac:dyDescent="0.35">
      <c r="D2055" s="32"/>
      <c r="G2055" s="32"/>
      <c r="H2055">
        <f>COUNTIFS('Audit Raw data'!J:J,B:B,'Audit Raw data'!E:E,G:G)</f>
        <v>0</v>
      </c>
      <c r="I2055" s="44" t="str">
        <f>IFERROR((SUMIFS('Audit Raw data'!BZ:BZ,'Audit Raw data'!J:J,B:B,'Audit Raw data'!E:E,G:G)/H2055)/100,"-")</f>
        <v>-</v>
      </c>
      <c r="J2055">
        <f>COUNTIFS('Audit Raw data'!AM:AM,"Yes",'Audit Raw data'!J:J,B:B,'Audit Raw data'!E:E,'Day wise agent'!G:G)</f>
        <v>0</v>
      </c>
      <c r="K2055">
        <f>COUNTIFS('Audit Raw data'!AM:AM,"NO",'Audit Raw data'!J:J,B:B,'Audit Raw data'!E:E,'Day wise agent'!G:G)</f>
        <v>0</v>
      </c>
      <c r="L2055" s="12" t="str">
        <f t="shared" si="53"/>
        <v xml:space="preserve"> </v>
      </c>
    </row>
    <row r="2056" spans="4:12" x14ac:dyDescent="0.35">
      <c r="D2056" s="32"/>
      <c r="G2056" s="32"/>
      <c r="H2056">
        <f>COUNTIFS('Audit Raw data'!J:J,B:B,'Audit Raw data'!E:E,G:G)</f>
        <v>0</v>
      </c>
      <c r="I2056" s="44" t="str">
        <f>IFERROR((SUMIFS('Audit Raw data'!BZ:BZ,'Audit Raw data'!J:J,B:B,'Audit Raw data'!E:E,G:G)/H2056)/100,"-")</f>
        <v>-</v>
      </c>
      <c r="J2056">
        <f>COUNTIFS('Audit Raw data'!AM:AM,"Yes",'Audit Raw data'!J:J,B:B,'Audit Raw data'!E:E,'Day wise agent'!G:G)</f>
        <v>0</v>
      </c>
      <c r="K2056">
        <f>COUNTIFS('Audit Raw data'!AM:AM,"NO",'Audit Raw data'!J:J,B:B,'Audit Raw data'!E:E,'Day wise agent'!G:G)</f>
        <v>0</v>
      </c>
      <c r="L2056" s="12" t="str">
        <f t="shared" si="53"/>
        <v xml:space="preserve"> </v>
      </c>
    </row>
    <row r="2057" spans="4:12" x14ac:dyDescent="0.35">
      <c r="D2057" s="32"/>
      <c r="G2057" s="32"/>
      <c r="H2057">
        <f>COUNTIFS('Audit Raw data'!J:J,B:B,'Audit Raw data'!E:E,G:G)</f>
        <v>0</v>
      </c>
      <c r="I2057" s="44" t="str">
        <f>IFERROR((SUMIFS('Audit Raw data'!BZ:BZ,'Audit Raw data'!J:J,B:B,'Audit Raw data'!E:E,G:G)/H2057)/100,"-")</f>
        <v>-</v>
      </c>
      <c r="J2057">
        <f>COUNTIFS('Audit Raw data'!AM:AM,"Yes",'Audit Raw data'!J:J,B:B,'Audit Raw data'!E:E,'Day wise agent'!G:G)</f>
        <v>0</v>
      </c>
      <c r="K2057">
        <f>COUNTIFS('Audit Raw data'!AM:AM,"NO",'Audit Raw data'!J:J,B:B,'Audit Raw data'!E:E,'Day wise agent'!G:G)</f>
        <v>0</v>
      </c>
      <c r="L2057" s="12" t="str">
        <f t="shared" si="53"/>
        <v xml:space="preserve"> </v>
      </c>
    </row>
    <row r="2058" spans="4:12" x14ac:dyDescent="0.35">
      <c r="D2058" s="32"/>
      <c r="G2058" s="32"/>
      <c r="H2058">
        <f>COUNTIFS('Audit Raw data'!J:J,B:B,'Audit Raw data'!E:E,G:G)</f>
        <v>0</v>
      </c>
      <c r="I2058" s="44" t="str">
        <f>IFERROR((SUMIFS('Audit Raw data'!BZ:BZ,'Audit Raw data'!J:J,B:B,'Audit Raw data'!E:E,G:G)/H2058)/100,"-")</f>
        <v>-</v>
      </c>
      <c r="J2058">
        <f>COUNTIFS('Audit Raw data'!AM:AM,"Yes",'Audit Raw data'!J:J,B:B,'Audit Raw data'!E:E,'Day wise agent'!G:G)</f>
        <v>0</v>
      </c>
      <c r="K2058">
        <f>COUNTIFS('Audit Raw data'!AM:AM,"NO",'Audit Raw data'!J:J,B:B,'Audit Raw data'!E:E,'Day wise agent'!G:G)</f>
        <v>0</v>
      </c>
      <c r="L2058" s="12" t="str">
        <f t="shared" si="53"/>
        <v xml:space="preserve"> </v>
      </c>
    </row>
    <row r="2059" spans="4:12" x14ac:dyDescent="0.35">
      <c r="D2059" s="32"/>
      <c r="G2059" s="32"/>
      <c r="H2059">
        <f>COUNTIFS('Audit Raw data'!J:J,B:B,'Audit Raw data'!E:E,G:G)</f>
        <v>0</v>
      </c>
      <c r="I2059" s="44" t="str">
        <f>IFERROR((SUMIFS('Audit Raw data'!BZ:BZ,'Audit Raw data'!J:J,B:B,'Audit Raw data'!E:E,G:G)/H2059)/100,"-")</f>
        <v>-</v>
      </c>
      <c r="J2059">
        <f>COUNTIFS('Audit Raw data'!AM:AM,"Yes",'Audit Raw data'!J:J,B:B,'Audit Raw data'!E:E,'Day wise agent'!G:G)</f>
        <v>0</v>
      </c>
      <c r="K2059">
        <f>COUNTIFS('Audit Raw data'!AM:AM,"NO",'Audit Raw data'!J:J,B:B,'Audit Raw data'!E:E,'Day wise agent'!G:G)</f>
        <v>0</v>
      </c>
      <c r="L2059" s="12" t="str">
        <f t="shared" si="53"/>
        <v xml:space="preserve"> </v>
      </c>
    </row>
    <row r="2060" spans="4:12" x14ac:dyDescent="0.35">
      <c r="D2060" s="32"/>
      <c r="G2060" s="32"/>
      <c r="H2060">
        <f>COUNTIFS('Audit Raw data'!J:J,B:B,'Audit Raw data'!E:E,G:G)</f>
        <v>0</v>
      </c>
      <c r="I2060" s="44" t="str">
        <f>IFERROR((SUMIFS('Audit Raw data'!BZ:BZ,'Audit Raw data'!J:J,B:B,'Audit Raw data'!E:E,G:G)/H2060)/100,"-")</f>
        <v>-</v>
      </c>
      <c r="J2060">
        <f>COUNTIFS('Audit Raw data'!AM:AM,"Yes",'Audit Raw data'!J:J,B:B,'Audit Raw data'!E:E,'Day wise agent'!G:G)</f>
        <v>0</v>
      </c>
      <c r="K2060">
        <f>COUNTIFS('Audit Raw data'!AM:AM,"NO",'Audit Raw data'!J:J,B:B,'Audit Raw data'!E:E,'Day wise agent'!G:G)</f>
        <v>0</v>
      </c>
      <c r="L2060" s="12" t="str">
        <f t="shared" si="53"/>
        <v xml:space="preserve"> </v>
      </c>
    </row>
    <row r="2061" spans="4:12" x14ac:dyDescent="0.35">
      <c r="D2061" s="32"/>
      <c r="G2061" s="32"/>
      <c r="H2061">
        <f>COUNTIFS('Audit Raw data'!J:J,B:B,'Audit Raw data'!E:E,G:G)</f>
        <v>0</v>
      </c>
      <c r="I2061" s="44" t="str">
        <f>IFERROR((SUMIFS('Audit Raw data'!BZ:BZ,'Audit Raw data'!J:J,B:B,'Audit Raw data'!E:E,G:G)/H2061)/100,"-")</f>
        <v>-</v>
      </c>
      <c r="J2061">
        <f>COUNTIFS('Audit Raw data'!AM:AM,"Yes",'Audit Raw data'!J:J,B:B,'Audit Raw data'!E:E,'Day wise agent'!G:G)</f>
        <v>0</v>
      </c>
      <c r="K2061">
        <f>COUNTIFS('Audit Raw data'!AM:AM,"NO",'Audit Raw data'!J:J,B:B,'Audit Raw data'!E:E,'Day wise agent'!G:G)</f>
        <v>0</v>
      </c>
      <c r="L2061" s="12" t="str">
        <f t="shared" si="53"/>
        <v xml:space="preserve"> </v>
      </c>
    </row>
    <row r="2062" spans="4:12" x14ac:dyDescent="0.35">
      <c r="D2062" s="32"/>
      <c r="G2062" s="32"/>
      <c r="H2062">
        <f>COUNTIFS('Audit Raw data'!J:J,B:B,'Audit Raw data'!E:E,G:G)</f>
        <v>0</v>
      </c>
      <c r="I2062" s="44" t="str">
        <f>IFERROR((SUMIFS('Audit Raw data'!BZ:BZ,'Audit Raw data'!J:J,B:B,'Audit Raw data'!E:E,G:G)/H2062)/100,"-")</f>
        <v>-</v>
      </c>
      <c r="J2062">
        <f>COUNTIFS('Audit Raw data'!AM:AM,"Yes",'Audit Raw data'!J:J,B:B,'Audit Raw data'!E:E,'Day wise agent'!G:G)</f>
        <v>0</v>
      </c>
      <c r="K2062">
        <f>COUNTIFS('Audit Raw data'!AM:AM,"NO",'Audit Raw data'!J:J,B:B,'Audit Raw data'!E:E,'Day wise agent'!G:G)</f>
        <v>0</v>
      </c>
      <c r="L2062" s="12" t="str">
        <f t="shared" si="53"/>
        <v xml:space="preserve"> </v>
      </c>
    </row>
    <row r="2063" spans="4:12" x14ac:dyDescent="0.35">
      <c r="D2063" s="32"/>
      <c r="G2063" s="32"/>
      <c r="H2063">
        <f>COUNTIFS('Audit Raw data'!J:J,B:B,'Audit Raw data'!E:E,G:G)</f>
        <v>0</v>
      </c>
      <c r="I2063" s="44" t="str">
        <f>IFERROR((SUMIFS('Audit Raw data'!BZ:BZ,'Audit Raw data'!J:J,B:B,'Audit Raw data'!E:E,G:G)/H2063)/100,"-")</f>
        <v>-</v>
      </c>
      <c r="J2063">
        <f>COUNTIFS('Audit Raw data'!AM:AM,"Yes",'Audit Raw data'!J:J,B:B,'Audit Raw data'!E:E,'Day wise agent'!G:G)</f>
        <v>0</v>
      </c>
      <c r="K2063">
        <f>COUNTIFS('Audit Raw data'!AM:AM,"NO",'Audit Raw data'!J:J,B:B,'Audit Raw data'!E:E,'Day wise agent'!G:G)</f>
        <v>0</v>
      </c>
      <c r="L2063" s="12" t="str">
        <f t="shared" si="53"/>
        <v xml:space="preserve"> </v>
      </c>
    </row>
    <row r="2064" spans="4:12" x14ac:dyDescent="0.35">
      <c r="D2064" s="32"/>
      <c r="G2064" s="32"/>
      <c r="H2064">
        <f>COUNTIFS('Audit Raw data'!J:J,B:B,'Audit Raw data'!E:E,G:G)</f>
        <v>0</v>
      </c>
      <c r="I2064" s="44" t="str">
        <f>IFERROR((SUMIFS('Audit Raw data'!BZ:BZ,'Audit Raw data'!J:J,B:B,'Audit Raw data'!E:E,G:G)/H2064)/100,"-")</f>
        <v>-</v>
      </c>
      <c r="J2064">
        <f>COUNTIFS('Audit Raw data'!AM:AM,"Yes",'Audit Raw data'!J:J,B:B,'Audit Raw data'!E:E,'Day wise agent'!G:G)</f>
        <v>0</v>
      </c>
      <c r="K2064">
        <f>COUNTIFS('Audit Raw data'!AM:AM,"NO",'Audit Raw data'!J:J,B:B,'Audit Raw data'!E:E,'Day wise agent'!G:G)</f>
        <v>0</v>
      </c>
      <c r="L2064" s="12" t="str">
        <f t="shared" si="53"/>
        <v xml:space="preserve"> </v>
      </c>
    </row>
    <row r="2065" spans="4:12" x14ac:dyDescent="0.35">
      <c r="D2065" s="32"/>
      <c r="G2065" s="32"/>
      <c r="H2065">
        <f>COUNTIFS('Audit Raw data'!J:J,B:B,'Audit Raw data'!E:E,G:G)</f>
        <v>0</v>
      </c>
      <c r="I2065" s="44" t="str">
        <f>IFERROR((SUMIFS('Audit Raw data'!BZ:BZ,'Audit Raw data'!J:J,B:B,'Audit Raw data'!E:E,G:G)/H2065)/100,"-")</f>
        <v>-</v>
      </c>
      <c r="J2065">
        <f>COUNTIFS('Audit Raw data'!AM:AM,"Yes",'Audit Raw data'!J:J,B:B,'Audit Raw data'!E:E,'Day wise agent'!G:G)</f>
        <v>0</v>
      </c>
      <c r="K2065">
        <f>COUNTIFS('Audit Raw data'!AM:AM,"NO",'Audit Raw data'!J:J,B:B,'Audit Raw data'!E:E,'Day wise agent'!G:G)</f>
        <v>0</v>
      </c>
      <c r="L2065" s="12" t="str">
        <f t="shared" si="53"/>
        <v xml:space="preserve"> </v>
      </c>
    </row>
    <row r="2066" spans="4:12" x14ac:dyDescent="0.35">
      <c r="D2066" s="32"/>
      <c r="G2066" s="32"/>
      <c r="H2066">
        <f>COUNTIFS('Audit Raw data'!J:J,B:B,'Audit Raw data'!E:E,G:G)</f>
        <v>0</v>
      </c>
      <c r="I2066" s="44" t="str">
        <f>IFERROR((SUMIFS('Audit Raw data'!BZ:BZ,'Audit Raw data'!J:J,B:B,'Audit Raw data'!E:E,G:G)/H2066)/100,"-")</f>
        <v>-</v>
      </c>
      <c r="J2066">
        <f>COUNTIFS('Audit Raw data'!AM:AM,"Yes",'Audit Raw data'!J:J,B:B,'Audit Raw data'!E:E,'Day wise agent'!G:G)</f>
        <v>0</v>
      </c>
      <c r="K2066">
        <f>COUNTIFS('Audit Raw data'!AM:AM,"NO",'Audit Raw data'!J:J,B:B,'Audit Raw data'!E:E,'Day wise agent'!G:G)</f>
        <v>0</v>
      </c>
      <c r="L2066" s="12" t="str">
        <f t="shared" si="53"/>
        <v xml:space="preserve"> </v>
      </c>
    </row>
    <row r="2067" spans="4:12" x14ac:dyDescent="0.35">
      <c r="D2067" s="32"/>
      <c r="G2067" s="32"/>
      <c r="H2067">
        <f>COUNTIFS('Audit Raw data'!J:J,B:B,'Audit Raw data'!E:E,G:G)</f>
        <v>0</v>
      </c>
      <c r="I2067" s="44" t="str">
        <f>IFERROR((SUMIFS('Audit Raw data'!BZ:BZ,'Audit Raw data'!J:J,B:B,'Audit Raw data'!E:E,G:G)/H2067)/100,"-")</f>
        <v>-</v>
      </c>
      <c r="J2067">
        <f>COUNTIFS('Audit Raw data'!AM:AM,"Yes",'Audit Raw data'!J:J,B:B,'Audit Raw data'!E:E,'Day wise agent'!G:G)</f>
        <v>0</v>
      </c>
      <c r="K2067">
        <f>COUNTIFS('Audit Raw data'!AM:AM,"NO",'Audit Raw data'!J:J,B:B,'Audit Raw data'!E:E,'Day wise agent'!G:G)</f>
        <v>0</v>
      </c>
      <c r="L2067" s="12" t="str">
        <f t="shared" si="53"/>
        <v xml:space="preserve"> </v>
      </c>
    </row>
    <row r="2068" spans="4:12" x14ac:dyDescent="0.35">
      <c r="D2068" s="32"/>
      <c r="G2068" s="32"/>
      <c r="H2068">
        <f>COUNTIFS('Audit Raw data'!J:J,B:B,'Audit Raw data'!E:E,G:G)</f>
        <v>0</v>
      </c>
      <c r="I2068" s="44" t="str">
        <f>IFERROR((SUMIFS('Audit Raw data'!BZ:BZ,'Audit Raw data'!J:J,B:B,'Audit Raw data'!E:E,G:G)/H2068)/100,"-")</f>
        <v>-</v>
      </c>
      <c r="J2068">
        <f>COUNTIFS('Audit Raw data'!AM:AM,"Yes",'Audit Raw data'!J:J,B:B,'Audit Raw data'!E:E,'Day wise agent'!G:G)</f>
        <v>0</v>
      </c>
      <c r="K2068">
        <f>COUNTIFS('Audit Raw data'!AM:AM,"NO",'Audit Raw data'!J:J,B:B,'Audit Raw data'!E:E,'Day wise agent'!G:G)</f>
        <v>0</v>
      </c>
      <c r="L2068" s="12" t="str">
        <f t="shared" si="53"/>
        <v xml:space="preserve"> </v>
      </c>
    </row>
    <row r="2069" spans="4:12" x14ac:dyDescent="0.35">
      <c r="D2069" s="32"/>
      <c r="G2069" s="32"/>
      <c r="H2069">
        <f>COUNTIFS('Audit Raw data'!J:J,B:B,'Audit Raw data'!E:E,G:G)</f>
        <v>0</v>
      </c>
      <c r="I2069" s="44" t="str">
        <f>IFERROR((SUMIFS('Audit Raw data'!BZ:BZ,'Audit Raw data'!J:J,B:B,'Audit Raw data'!E:E,G:G)/H2069)/100,"-")</f>
        <v>-</v>
      </c>
      <c r="J2069">
        <f>COUNTIFS('Audit Raw data'!AM:AM,"Yes",'Audit Raw data'!J:J,B:B,'Audit Raw data'!E:E,'Day wise agent'!G:G)</f>
        <v>0</v>
      </c>
      <c r="K2069">
        <f>COUNTIFS('Audit Raw data'!AM:AM,"NO",'Audit Raw data'!J:J,B:B,'Audit Raw data'!E:E,'Day wise agent'!G:G)</f>
        <v>0</v>
      </c>
      <c r="L2069" s="12" t="str">
        <f t="shared" si="53"/>
        <v xml:space="preserve"> </v>
      </c>
    </row>
    <row r="2070" spans="4:12" x14ac:dyDescent="0.35">
      <c r="D2070" s="32"/>
      <c r="G2070" s="32"/>
      <c r="H2070">
        <f>COUNTIFS('Audit Raw data'!J:J,B:B,'Audit Raw data'!E:E,G:G)</f>
        <v>0</v>
      </c>
      <c r="I2070" s="44" t="str">
        <f>IFERROR((SUMIFS('Audit Raw data'!BZ:BZ,'Audit Raw data'!J:J,B:B,'Audit Raw data'!E:E,G:G)/H2070)/100,"-")</f>
        <v>-</v>
      </c>
      <c r="J2070">
        <f>COUNTIFS('Audit Raw data'!AM:AM,"Yes",'Audit Raw data'!J:J,B:B,'Audit Raw data'!E:E,'Day wise agent'!G:G)</f>
        <v>0</v>
      </c>
      <c r="K2070">
        <f>COUNTIFS('Audit Raw data'!AM:AM,"NO",'Audit Raw data'!J:J,B:B,'Audit Raw data'!E:E,'Day wise agent'!G:G)</f>
        <v>0</v>
      </c>
      <c r="L2070" s="12" t="str">
        <f t="shared" si="53"/>
        <v xml:space="preserve"> </v>
      </c>
    </row>
    <row r="2071" spans="4:12" x14ac:dyDescent="0.35">
      <c r="D2071" s="32"/>
      <c r="G2071" s="32"/>
      <c r="H2071">
        <f>COUNTIFS('Audit Raw data'!J:J,B:B,'Audit Raw data'!E:E,G:G)</f>
        <v>0</v>
      </c>
      <c r="I2071" s="44" t="str">
        <f>IFERROR((SUMIFS('Audit Raw data'!BZ:BZ,'Audit Raw data'!J:J,B:B,'Audit Raw data'!E:E,G:G)/H2071)/100,"-")</f>
        <v>-</v>
      </c>
      <c r="J2071">
        <f>COUNTIFS('Audit Raw data'!AM:AM,"Yes",'Audit Raw data'!J:J,B:B,'Audit Raw data'!E:E,'Day wise agent'!G:G)</f>
        <v>0</v>
      </c>
      <c r="K2071">
        <f>COUNTIFS('Audit Raw data'!AM:AM,"NO",'Audit Raw data'!J:J,B:B,'Audit Raw data'!E:E,'Day wise agent'!G:G)</f>
        <v>0</v>
      </c>
      <c r="L2071" s="12" t="str">
        <f t="shared" si="53"/>
        <v xml:space="preserve"> </v>
      </c>
    </row>
    <row r="2072" spans="4:12" x14ac:dyDescent="0.35">
      <c r="D2072" s="32"/>
      <c r="G2072" s="32"/>
      <c r="H2072">
        <f>COUNTIFS('Audit Raw data'!J:J,B:B,'Audit Raw data'!E:E,G:G)</f>
        <v>0</v>
      </c>
      <c r="I2072" s="44" t="str">
        <f>IFERROR((SUMIFS('Audit Raw data'!BZ:BZ,'Audit Raw data'!J:J,B:B,'Audit Raw data'!E:E,G:G)/H2072)/100,"-")</f>
        <v>-</v>
      </c>
      <c r="J2072">
        <f>COUNTIFS('Audit Raw data'!AM:AM,"Yes",'Audit Raw data'!J:J,B:B,'Audit Raw data'!E:E,'Day wise agent'!G:G)</f>
        <v>0</v>
      </c>
      <c r="K2072">
        <f>COUNTIFS('Audit Raw data'!AM:AM,"NO",'Audit Raw data'!J:J,B:B,'Audit Raw data'!E:E,'Day wise agent'!G:G)</f>
        <v>0</v>
      </c>
      <c r="L2072" s="12" t="str">
        <f t="shared" si="53"/>
        <v xml:space="preserve"> </v>
      </c>
    </row>
    <row r="2073" spans="4:12" x14ac:dyDescent="0.35">
      <c r="D2073" s="32"/>
      <c r="G2073" s="32"/>
      <c r="H2073">
        <f>COUNTIFS('Audit Raw data'!J:J,B:B,'Audit Raw data'!E:E,G:G)</f>
        <v>0</v>
      </c>
      <c r="I2073" s="44" t="str">
        <f>IFERROR((SUMIFS('Audit Raw data'!BZ:BZ,'Audit Raw data'!J:J,B:B,'Audit Raw data'!E:E,G:G)/H2073)/100,"-")</f>
        <v>-</v>
      </c>
      <c r="J2073">
        <f>COUNTIFS('Audit Raw data'!AM:AM,"Yes",'Audit Raw data'!J:J,B:B,'Audit Raw data'!E:E,'Day wise agent'!G:G)</f>
        <v>0</v>
      </c>
      <c r="K2073">
        <f>COUNTIFS('Audit Raw data'!AM:AM,"NO",'Audit Raw data'!J:J,B:B,'Audit Raw data'!E:E,'Day wise agent'!G:G)</f>
        <v>0</v>
      </c>
      <c r="L2073" s="12" t="str">
        <f t="shared" si="53"/>
        <v xml:space="preserve"> </v>
      </c>
    </row>
    <row r="2074" spans="4:12" x14ac:dyDescent="0.35">
      <c r="D2074" s="32"/>
      <c r="G2074" s="32"/>
      <c r="H2074">
        <f>COUNTIFS('Audit Raw data'!J:J,B:B,'Audit Raw data'!E:E,G:G)</f>
        <v>0</v>
      </c>
      <c r="I2074" s="44" t="str">
        <f>IFERROR((SUMIFS('Audit Raw data'!BZ:BZ,'Audit Raw data'!J:J,B:B,'Audit Raw data'!E:E,G:G)/H2074)/100,"-")</f>
        <v>-</v>
      </c>
      <c r="J2074">
        <f>COUNTIFS('Audit Raw data'!AM:AM,"Yes",'Audit Raw data'!J:J,B:B,'Audit Raw data'!E:E,'Day wise agent'!G:G)</f>
        <v>0</v>
      </c>
      <c r="K2074">
        <f>COUNTIFS('Audit Raw data'!AM:AM,"NO",'Audit Raw data'!J:J,B:B,'Audit Raw data'!E:E,'Day wise agent'!G:G)</f>
        <v>0</v>
      </c>
      <c r="L2074" s="12" t="str">
        <f t="shared" si="53"/>
        <v xml:space="preserve"> </v>
      </c>
    </row>
    <row r="2075" spans="4:12" x14ac:dyDescent="0.35">
      <c r="D2075" s="32"/>
      <c r="G2075" s="32"/>
      <c r="H2075">
        <f>COUNTIFS('Audit Raw data'!J:J,B:B,'Audit Raw data'!E:E,G:G)</f>
        <v>0</v>
      </c>
      <c r="I2075" s="44" t="str">
        <f>IFERROR((SUMIFS('Audit Raw data'!BZ:BZ,'Audit Raw data'!J:J,B:B,'Audit Raw data'!E:E,G:G)/H2075)/100,"-")</f>
        <v>-</v>
      </c>
      <c r="J2075">
        <f>COUNTIFS('Audit Raw data'!AM:AM,"Yes",'Audit Raw data'!J:J,B:B,'Audit Raw data'!E:E,'Day wise agent'!G:G)</f>
        <v>0</v>
      </c>
      <c r="K2075">
        <f>COUNTIFS('Audit Raw data'!AM:AM,"NO",'Audit Raw data'!J:J,B:B,'Audit Raw data'!E:E,'Day wise agent'!G:G)</f>
        <v>0</v>
      </c>
      <c r="L2075" s="12" t="str">
        <f t="shared" si="53"/>
        <v xml:space="preserve"> </v>
      </c>
    </row>
    <row r="2076" spans="4:12" x14ac:dyDescent="0.35">
      <c r="D2076" s="32"/>
      <c r="G2076" s="32"/>
      <c r="H2076">
        <f>COUNTIFS('Audit Raw data'!J:J,B:B,'Audit Raw data'!E:E,G:G)</f>
        <v>0</v>
      </c>
      <c r="I2076" s="44" t="str">
        <f>IFERROR((SUMIFS('Audit Raw data'!BZ:BZ,'Audit Raw data'!J:J,B:B,'Audit Raw data'!E:E,G:G)/H2076)/100,"-")</f>
        <v>-</v>
      </c>
      <c r="J2076">
        <f>COUNTIFS('Audit Raw data'!AM:AM,"Yes",'Audit Raw data'!J:J,B:B,'Audit Raw data'!E:E,'Day wise agent'!G:G)</f>
        <v>0</v>
      </c>
      <c r="K2076">
        <f>COUNTIFS('Audit Raw data'!AM:AM,"NO",'Audit Raw data'!J:J,B:B,'Audit Raw data'!E:E,'Day wise agent'!G:G)</f>
        <v>0</v>
      </c>
      <c r="L2076" s="12" t="str">
        <f t="shared" si="53"/>
        <v xml:space="preserve"> </v>
      </c>
    </row>
    <row r="2077" spans="4:12" x14ac:dyDescent="0.35">
      <c r="D2077" s="32"/>
      <c r="G2077" s="32"/>
      <c r="H2077">
        <f>COUNTIFS('Audit Raw data'!J:J,B:B,'Audit Raw data'!E:E,G:G)</f>
        <v>0</v>
      </c>
      <c r="I2077" s="44" t="str">
        <f>IFERROR((SUMIFS('Audit Raw data'!BZ:BZ,'Audit Raw data'!J:J,B:B,'Audit Raw data'!E:E,G:G)/H2077)/100,"-")</f>
        <v>-</v>
      </c>
      <c r="J2077">
        <f>COUNTIFS('Audit Raw data'!AM:AM,"Yes",'Audit Raw data'!J:J,B:B,'Audit Raw data'!E:E,'Day wise agent'!G:G)</f>
        <v>0</v>
      </c>
      <c r="K2077">
        <f>COUNTIFS('Audit Raw data'!AM:AM,"NO",'Audit Raw data'!J:J,B:B,'Audit Raw data'!E:E,'Day wise agent'!G:G)</f>
        <v>0</v>
      </c>
      <c r="L2077" s="12" t="str">
        <f t="shared" si="53"/>
        <v xml:space="preserve"> </v>
      </c>
    </row>
    <row r="2078" spans="4:12" x14ac:dyDescent="0.35">
      <c r="D2078" s="32"/>
      <c r="G2078" s="32"/>
      <c r="H2078">
        <f>COUNTIFS('Audit Raw data'!J:J,B:B,'Audit Raw data'!E:E,G:G)</f>
        <v>0</v>
      </c>
      <c r="I2078" s="44" t="str">
        <f>IFERROR((SUMIFS('Audit Raw data'!BZ:BZ,'Audit Raw data'!J:J,B:B,'Audit Raw data'!E:E,G:G)/H2078)/100,"-")</f>
        <v>-</v>
      </c>
      <c r="J2078">
        <f>COUNTIFS('Audit Raw data'!AM:AM,"Yes",'Audit Raw data'!J:J,B:B,'Audit Raw data'!E:E,'Day wise agent'!G:G)</f>
        <v>0</v>
      </c>
      <c r="K2078">
        <f>COUNTIFS('Audit Raw data'!AM:AM,"NO",'Audit Raw data'!J:J,B:B,'Audit Raw data'!E:E,'Day wise agent'!G:G)</f>
        <v>0</v>
      </c>
      <c r="L2078" s="12" t="str">
        <f t="shared" si="53"/>
        <v xml:space="preserve"> </v>
      </c>
    </row>
    <row r="2079" spans="4:12" x14ac:dyDescent="0.35">
      <c r="D2079" s="32"/>
      <c r="G2079" s="32"/>
      <c r="H2079">
        <f>COUNTIFS('Audit Raw data'!J:J,B:B,'Audit Raw data'!E:E,G:G)</f>
        <v>0</v>
      </c>
      <c r="I2079" s="44" t="str">
        <f>IFERROR((SUMIFS('Audit Raw data'!BZ:BZ,'Audit Raw data'!J:J,B:B,'Audit Raw data'!E:E,G:G)/H2079)/100,"-")</f>
        <v>-</v>
      </c>
      <c r="J2079">
        <f>COUNTIFS('Audit Raw data'!AM:AM,"Yes",'Audit Raw data'!J:J,B:B,'Audit Raw data'!E:E,'Day wise agent'!G:G)</f>
        <v>0</v>
      </c>
      <c r="K2079">
        <f>COUNTIFS('Audit Raw data'!AM:AM,"NO",'Audit Raw data'!J:J,B:B,'Audit Raw data'!E:E,'Day wise agent'!G:G)</f>
        <v>0</v>
      </c>
      <c r="L2079" s="12" t="str">
        <f t="shared" si="53"/>
        <v xml:space="preserve"> </v>
      </c>
    </row>
    <row r="2080" spans="4:12" x14ac:dyDescent="0.35">
      <c r="D2080" s="32"/>
      <c r="G2080" s="32"/>
      <c r="H2080">
        <f>COUNTIFS('Audit Raw data'!J:J,B:B,'Audit Raw data'!E:E,G:G)</f>
        <v>0</v>
      </c>
      <c r="I2080" s="44" t="str">
        <f>IFERROR((SUMIFS('Audit Raw data'!BZ:BZ,'Audit Raw data'!J:J,B:B,'Audit Raw data'!E:E,G:G)/H2080)/100,"-")</f>
        <v>-</v>
      </c>
      <c r="J2080">
        <f>COUNTIFS('Audit Raw data'!AM:AM,"Yes",'Audit Raw data'!J:J,B:B,'Audit Raw data'!E:E,'Day wise agent'!G:G)</f>
        <v>0</v>
      </c>
      <c r="K2080">
        <f>COUNTIFS('Audit Raw data'!AM:AM,"NO",'Audit Raw data'!J:J,B:B,'Audit Raw data'!E:E,'Day wise agent'!G:G)</f>
        <v>0</v>
      </c>
      <c r="L2080" s="12" t="str">
        <f t="shared" si="53"/>
        <v xml:space="preserve"> </v>
      </c>
    </row>
    <row r="2081" spans="4:12" x14ac:dyDescent="0.35">
      <c r="D2081" s="32"/>
      <c r="G2081" s="32"/>
      <c r="H2081">
        <f>COUNTIFS('Audit Raw data'!J:J,B:B,'Audit Raw data'!E:E,G:G)</f>
        <v>0</v>
      </c>
      <c r="I2081" s="44" t="str">
        <f>IFERROR((SUMIFS('Audit Raw data'!BZ:BZ,'Audit Raw data'!J:J,B:B,'Audit Raw data'!E:E,G:G)/H2081)/100,"-")</f>
        <v>-</v>
      </c>
      <c r="J2081">
        <f>COUNTIFS('Audit Raw data'!AM:AM,"Yes",'Audit Raw data'!J:J,B:B,'Audit Raw data'!E:E,'Day wise agent'!G:G)</f>
        <v>0</v>
      </c>
      <c r="K2081">
        <f>COUNTIFS('Audit Raw data'!AM:AM,"NO",'Audit Raw data'!J:J,B:B,'Audit Raw data'!E:E,'Day wise agent'!G:G)</f>
        <v>0</v>
      </c>
      <c r="L2081" s="12" t="str">
        <f t="shared" si="53"/>
        <v xml:space="preserve"> </v>
      </c>
    </row>
    <row r="2082" spans="4:12" x14ac:dyDescent="0.35">
      <c r="D2082" s="32"/>
      <c r="G2082" s="32"/>
      <c r="H2082">
        <f>COUNTIFS('Audit Raw data'!J:J,B:B,'Audit Raw data'!E:E,G:G)</f>
        <v>0</v>
      </c>
      <c r="I2082" s="44" t="str">
        <f>IFERROR((SUMIFS('Audit Raw data'!BZ:BZ,'Audit Raw data'!J:J,B:B,'Audit Raw data'!E:E,G:G)/H2082)/100,"-")</f>
        <v>-</v>
      </c>
      <c r="J2082">
        <f>COUNTIFS('Audit Raw data'!AM:AM,"Yes",'Audit Raw data'!J:J,B:B,'Audit Raw data'!E:E,'Day wise agent'!G:G)</f>
        <v>0</v>
      </c>
      <c r="K2082">
        <f>COUNTIFS('Audit Raw data'!AM:AM,"NO",'Audit Raw data'!J:J,B:B,'Audit Raw data'!E:E,'Day wise agent'!G:G)</f>
        <v>0</v>
      </c>
      <c r="L2082" s="12" t="str">
        <f t="shared" si="53"/>
        <v xml:space="preserve"> </v>
      </c>
    </row>
    <row r="2083" spans="4:12" x14ac:dyDescent="0.35">
      <c r="D2083" s="32"/>
      <c r="G2083" s="32"/>
      <c r="H2083">
        <f>COUNTIFS('Audit Raw data'!J:J,B:B,'Audit Raw data'!E:E,G:G)</f>
        <v>0</v>
      </c>
      <c r="I2083" s="44" t="str">
        <f>IFERROR((SUMIFS('Audit Raw data'!BZ:BZ,'Audit Raw data'!J:J,B:B,'Audit Raw data'!E:E,G:G)/H2083)/100,"-")</f>
        <v>-</v>
      </c>
      <c r="J2083">
        <f>COUNTIFS('Audit Raw data'!AM:AM,"Yes",'Audit Raw data'!J:J,B:B,'Audit Raw data'!E:E,'Day wise agent'!G:G)</f>
        <v>0</v>
      </c>
      <c r="K2083">
        <f>COUNTIFS('Audit Raw data'!AM:AM,"NO",'Audit Raw data'!J:J,B:B,'Audit Raw data'!E:E,'Day wise agent'!G:G)</f>
        <v>0</v>
      </c>
      <c r="L2083" s="12" t="str">
        <f t="shared" si="53"/>
        <v xml:space="preserve"> </v>
      </c>
    </row>
    <row r="2084" spans="4:12" x14ac:dyDescent="0.35">
      <c r="D2084" s="32"/>
      <c r="G2084" s="32"/>
      <c r="H2084">
        <f>COUNTIFS('Audit Raw data'!J:J,B:B,'Audit Raw data'!E:E,G:G)</f>
        <v>0</v>
      </c>
      <c r="I2084" s="44" t="str">
        <f>IFERROR((SUMIFS('Audit Raw data'!BZ:BZ,'Audit Raw data'!J:J,B:B,'Audit Raw data'!E:E,G:G)/H2084)/100,"-")</f>
        <v>-</v>
      </c>
      <c r="J2084">
        <f>COUNTIFS('Audit Raw data'!AM:AM,"Yes",'Audit Raw data'!J:J,B:B,'Audit Raw data'!E:E,'Day wise agent'!G:G)</f>
        <v>0</v>
      </c>
      <c r="K2084">
        <f>COUNTIFS('Audit Raw data'!AM:AM,"NO",'Audit Raw data'!J:J,B:B,'Audit Raw data'!E:E,'Day wise agent'!G:G)</f>
        <v>0</v>
      </c>
      <c r="L2084" s="12" t="str">
        <f t="shared" si="53"/>
        <v xml:space="preserve"> </v>
      </c>
    </row>
    <row r="2085" spans="4:12" x14ac:dyDescent="0.35">
      <c r="D2085" s="32"/>
      <c r="G2085" s="32"/>
      <c r="H2085">
        <f>COUNTIFS('Audit Raw data'!J:J,B:B,'Audit Raw data'!E:E,G:G)</f>
        <v>0</v>
      </c>
      <c r="I2085" s="44" t="str">
        <f>IFERROR((SUMIFS('Audit Raw data'!BZ:BZ,'Audit Raw data'!J:J,B:B,'Audit Raw data'!E:E,G:G)/H2085)/100,"-")</f>
        <v>-</v>
      </c>
      <c r="J2085">
        <f>COUNTIFS('Audit Raw data'!AM:AM,"Yes",'Audit Raw data'!J:J,B:B,'Audit Raw data'!E:E,'Day wise agent'!G:G)</f>
        <v>0</v>
      </c>
      <c r="K2085">
        <f>COUNTIFS('Audit Raw data'!AM:AM,"NO",'Audit Raw data'!J:J,B:B,'Audit Raw data'!E:E,'Day wise agent'!G:G)</f>
        <v>0</v>
      </c>
      <c r="L2085" s="12" t="str">
        <f t="shared" si="53"/>
        <v xml:space="preserve"> </v>
      </c>
    </row>
    <row r="2086" spans="4:12" x14ac:dyDescent="0.35">
      <c r="D2086" s="32"/>
      <c r="G2086" s="32"/>
      <c r="H2086">
        <f>COUNTIFS('Audit Raw data'!J:J,B:B,'Audit Raw data'!E:E,G:G)</f>
        <v>0</v>
      </c>
      <c r="I2086" s="44" t="str">
        <f>IFERROR((SUMIFS('Audit Raw data'!BZ:BZ,'Audit Raw data'!J:J,B:B,'Audit Raw data'!E:E,G:G)/H2086)/100,"-")</f>
        <v>-</v>
      </c>
      <c r="J2086">
        <f>COUNTIFS('Audit Raw data'!AM:AM,"Yes",'Audit Raw data'!J:J,B:B,'Audit Raw data'!E:E,'Day wise agent'!G:G)</f>
        <v>0</v>
      </c>
      <c r="K2086">
        <f>COUNTIFS('Audit Raw data'!AM:AM,"NO",'Audit Raw data'!J:J,B:B,'Audit Raw data'!E:E,'Day wise agent'!G:G)</f>
        <v>0</v>
      </c>
      <c r="L2086" s="12" t="str">
        <f t="shared" si="53"/>
        <v xml:space="preserve"> </v>
      </c>
    </row>
    <row r="2087" spans="4:12" x14ac:dyDescent="0.35">
      <c r="D2087" s="32"/>
      <c r="G2087" s="32"/>
      <c r="H2087">
        <f>COUNTIFS('Audit Raw data'!J:J,B:B,'Audit Raw data'!E:E,G:G)</f>
        <v>0</v>
      </c>
      <c r="I2087" s="44" t="str">
        <f>IFERROR((SUMIFS('Audit Raw data'!BZ:BZ,'Audit Raw data'!J:J,B:B,'Audit Raw data'!E:E,G:G)/H2087)/100,"-")</f>
        <v>-</v>
      </c>
      <c r="J2087">
        <f>COUNTIFS('Audit Raw data'!AM:AM,"Yes",'Audit Raw data'!J:J,B:B,'Audit Raw data'!E:E,'Day wise agent'!G:G)</f>
        <v>0</v>
      </c>
      <c r="K2087">
        <f>COUNTIFS('Audit Raw data'!AM:AM,"NO",'Audit Raw data'!J:J,B:B,'Audit Raw data'!E:E,'Day wise agent'!G:G)</f>
        <v>0</v>
      </c>
      <c r="L2087" s="12" t="str">
        <f t="shared" si="53"/>
        <v xml:space="preserve"> </v>
      </c>
    </row>
    <row r="2088" spans="4:12" x14ac:dyDescent="0.35">
      <c r="D2088" s="32"/>
      <c r="G2088" s="32"/>
      <c r="H2088">
        <f>COUNTIFS('Audit Raw data'!J:J,B:B,'Audit Raw data'!E:E,G:G)</f>
        <v>0</v>
      </c>
      <c r="I2088" s="44" t="str">
        <f>IFERROR((SUMIFS('Audit Raw data'!BZ:BZ,'Audit Raw data'!J:J,B:B,'Audit Raw data'!E:E,G:G)/H2088)/100,"-")</f>
        <v>-</v>
      </c>
      <c r="J2088">
        <f>COUNTIFS('Audit Raw data'!AM:AM,"Yes",'Audit Raw data'!J:J,B:B,'Audit Raw data'!E:E,'Day wise agent'!G:G)</f>
        <v>0</v>
      </c>
      <c r="K2088">
        <f>COUNTIFS('Audit Raw data'!AM:AM,"NO",'Audit Raw data'!J:J,B:B,'Audit Raw data'!E:E,'Day wise agent'!G:G)</f>
        <v>0</v>
      </c>
      <c r="L2088" s="12" t="str">
        <f t="shared" si="53"/>
        <v xml:space="preserve"> </v>
      </c>
    </row>
    <row r="2089" spans="4:12" x14ac:dyDescent="0.35">
      <c r="D2089" s="32"/>
      <c r="G2089" s="32"/>
      <c r="H2089">
        <f>COUNTIFS('Audit Raw data'!J:J,B:B,'Audit Raw data'!E:E,G:G)</f>
        <v>0</v>
      </c>
      <c r="I2089" s="44" t="str">
        <f>IFERROR((SUMIFS('Audit Raw data'!BZ:BZ,'Audit Raw data'!J:J,B:B,'Audit Raw data'!E:E,G:G)/H2089)/100,"-")</f>
        <v>-</v>
      </c>
      <c r="J2089">
        <f>COUNTIFS('Audit Raw data'!AM:AM,"Yes",'Audit Raw data'!J:J,B:B,'Audit Raw data'!E:E,'Day wise agent'!G:G)</f>
        <v>0</v>
      </c>
      <c r="K2089">
        <f>COUNTIFS('Audit Raw data'!AM:AM,"NO",'Audit Raw data'!J:J,B:B,'Audit Raw data'!E:E,'Day wise agent'!G:G)</f>
        <v>0</v>
      </c>
      <c r="L2089" s="12" t="str">
        <f t="shared" si="53"/>
        <v xml:space="preserve"> </v>
      </c>
    </row>
    <row r="2090" spans="4:12" x14ac:dyDescent="0.35">
      <c r="D2090" s="32"/>
      <c r="G2090" s="32"/>
      <c r="H2090">
        <f>COUNTIFS('Audit Raw data'!J:J,B:B,'Audit Raw data'!E:E,G:G)</f>
        <v>0</v>
      </c>
      <c r="I2090" s="44" t="str">
        <f>IFERROR((SUMIFS('Audit Raw data'!BZ:BZ,'Audit Raw data'!J:J,B:B,'Audit Raw data'!E:E,G:G)/H2090)/100,"-")</f>
        <v>-</v>
      </c>
      <c r="J2090">
        <f>COUNTIFS('Audit Raw data'!AM:AM,"Yes",'Audit Raw data'!J:J,B:B,'Audit Raw data'!E:E,'Day wise agent'!G:G)</f>
        <v>0</v>
      </c>
      <c r="K2090">
        <f>COUNTIFS('Audit Raw data'!AM:AM,"NO",'Audit Raw data'!J:J,B:B,'Audit Raw data'!E:E,'Day wise agent'!G:G)</f>
        <v>0</v>
      </c>
      <c r="L2090" s="12" t="str">
        <f t="shared" si="53"/>
        <v xml:space="preserve"> </v>
      </c>
    </row>
    <row r="2091" spans="4:12" x14ac:dyDescent="0.35">
      <c r="D2091" s="32"/>
      <c r="G2091" s="32"/>
      <c r="H2091">
        <f>COUNTIFS('Audit Raw data'!J:J,B:B,'Audit Raw data'!E:E,G:G)</f>
        <v>0</v>
      </c>
      <c r="I2091" s="44" t="str">
        <f>IFERROR((SUMIFS('Audit Raw data'!BZ:BZ,'Audit Raw data'!J:J,B:B,'Audit Raw data'!E:E,G:G)/H2091)/100,"-")</f>
        <v>-</v>
      </c>
      <c r="J2091">
        <f>COUNTIFS('Audit Raw data'!AM:AM,"Yes",'Audit Raw data'!J:J,B:B,'Audit Raw data'!E:E,'Day wise agent'!G:G)</f>
        <v>0</v>
      </c>
      <c r="K2091">
        <f>COUNTIFS('Audit Raw data'!AM:AM,"NO",'Audit Raw data'!J:J,B:B,'Audit Raw data'!E:E,'Day wise agent'!G:G)</f>
        <v>0</v>
      </c>
      <c r="L2091" s="12" t="str">
        <f t="shared" si="53"/>
        <v xml:space="preserve"> </v>
      </c>
    </row>
    <row r="2092" spans="4:12" x14ac:dyDescent="0.35">
      <c r="D2092" s="32"/>
      <c r="G2092" s="32"/>
      <c r="H2092">
        <f>COUNTIFS('Audit Raw data'!J:J,B:B,'Audit Raw data'!E:E,G:G)</f>
        <v>0</v>
      </c>
      <c r="I2092" s="44" t="str">
        <f>IFERROR((SUMIFS('Audit Raw data'!BZ:BZ,'Audit Raw data'!J:J,B:B,'Audit Raw data'!E:E,G:G)/H2092)/100,"-")</f>
        <v>-</v>
      </c>
      <c r="J2092">
        <f>COUNTIFS('Audit Raw data'!AM:AM,"Yes",'Audit Raw data'!J:J,B:B,'Audit Raw data'!E:E,'Day wise agent'!G:G)</f>
        <v>0</v>
      </c>
      <c r="K2092">
        <f>COUNTIFS('Audit Raw data'!AM:AM,"NO",'Audit Raw data'!J:J,B:B,'Audit Raw data'!E:E,'Day wise agent'!G:G)</f>
        <v>0</v>
      </c>
      <c r="L2092" s="12" t="str">
        <f t="shared" si="53"/>
        <v xml:space="preserve"> </v>
      </c>
    </row>
    <row r="2093" spans="4:12" x14ac:dyDescent="0.35">
      <c r="D2093" s="32"/>
      <c r="G2093" s="32"/>
      <c r="H2093">
        <f>COUNTIFS('Audit Raw data'!J:J,B:B,'Audit Raw data'!E:E,G:G)</f>
        <v>0</v>
      </c>
      <c r="I2093" s="44" t="str">
        <f>IFERROR((SUMIFS('Audit Raw data'!BZ:BZ,'Audit Raw data'!J:J,B:B,'Audit Raw data'!E:E,G:G)/H2093)/100,"-")</f>
        <v>-</v>
      </c>
      <c r="J2093">
        <f>COUNTIFS('Audit Raw data'!AM:AM,"Yes",'Audit Raw data'!J:J,B:B,'Audit Raw data'!E:E,'Day wise agent'!G:G)</f>
        <v>0</v>
      </c>
      <c r="K2093">
        <f>COUNTIFS('Audit Raw data'!AM:AM,"NO",'Audit Raw data'!J:J,B:B,'Audit Raw data'!E:E,'Day wise agent'!G:G)</f>
        <v>0</v>
      </c>
      <c r="L2093" s="12" t="str">
        <f t="shared" si="53"/>
        <v xml:space="preserve"> </v>
      </c>
    </row>
    <row r="2094" spans="4:12" x14ac:dyDescent="0.35">
      <c r="D2094" s="32"/>
      <c r="G2094" s="32"/>
      <c r="H2094">
        <f>COUNTIFS('Audit Raw data'!J:J,B:B,'Audit Raw data'!E:E,G:G)</f>
        <v>0</v>
      </c>
      <c r="I2094" s="44" t="str">
        <f>IFERROR((SUMIFS('Audit Raw data'!BZ:BZ,'Audit Raw data'!J:J,B:B,'Audit Raw data'!E:E,G:G)/H2094)/100,"-")</f>
        <v>-</v>
      </c>
      <c r="J2094">
        <f>COUNTIFS('Audit Raw data'!AM:AM,"Yes",'Audit Raw data'!J:J,B:B,'Audit Raw data'!E:E,'Day wise agent'!G:G)</f>
        <v>0</v>
      </c>
      <c r="K2094">
        <f>COUNTIFS('Audit Raw data'!AM:AM,"NO",'Audit Raw data'!J:J,B:B,'Audit Raw data'!E:E,'Day wise agent'!G:G)</f>
        <v>0</v>
      </c>
      <c r="L2094" s="12" t="str">
        <f t="shared" si="53"/>
        <v xml:space="preserve"> </v>
      </c>
    </row>
    <row r="2095" spans="4:12" x14ac:dyDescent="0.35">
      <c r="D2095" s="32"/>
      <c r="G2095" s="32"/>
      <c r="H2095">
        <f>COUNTIFS('Audit Raw data'!J:J,B:B,'Audit Raw data'!E:E,G:G)</f>
        <v>0</v>
      </c>
      <c r="I2095" s="44" t="str">
        <f>IFERROR((SUMIFS('Audit Raw data'!BZ:BZ,'Audit Raw data'!J:J,B:B,'Audit Raw data'!E:E,G:G)/H2095)/100,"-")</f>
        <v>-</v>
      </c>
      <c r="J2095">
        <f>COUNTIFS('Audit Raw data'!AM:AM,"Yes",'Audit Raw data'!J:J,B:B,'Audit Raw data'!E:E,'Day wise agent'!G:G)</f>
        <v>0</v>
      </c>
      <c r="K2095">
        <f>COUNTIFS('Audit Raw data'!AM:AM,"NO",'Audit Raw data'!J:J,B:B,'Audit Raw data'!E:E,'Day wise agent'!G:G)</f>
        <v>0</v>
      </c>
      <c r="L2095" s="12" t="str">
        <f t="shared" si="53"/>
        <v xml:space="preserve"> </v>
      </c>
    </row>
    <row r="2096" spans="4:12" x14ac:dyDescent="0.35">
      <c r="D2096" s="32"/>
      <c r="G2096" s="32"/>
      <c r="H2096">
        <f>COUNTIFS('Audit Raw data'!J:J,B:B,'Audit Raw data'!E:E,G:G)</f>
        <v>0</v>
      </c>
      <c r="I2096" s="44" t="str">
        <f>IFERROR((SUMIFS('Audit Raw data'!BZ:BZ,'Audit Raw data'!J:J,B:B,'Audit Raw data'!E:E,G:G)/H2096)/100,"-")</f>
        <v>-</v>
      </c>
      <c r="J2096">
        <f>COUNTIFS('Audit Raw data'!AM:AM,"Yes",'Audit Raw data'!J:J,B:B,'Audit Raw data'!E:E,'Day wise agent'!G:G)</f>
        <v>0</v>
      </c>
      <c r="K2096">
        <f>COUNTIFS('Audit Raw data'!AM:AM,"NO",'Audit Raw data'!J:J,B:B,'Audit Raw data'!E:E,'Day wise agent'!G:G)</f>
        <v>0</v>
      </c>
      <c r="L2096" s="12" t="str">
        <f t="shared" si="53"/>
        <v xml:space="preserve"> </v>
      </c>
    </row>
    <row r="2097" spans="4:12" x14ac:dyDescent="0.35">
      <c r="D2097" s="32"/>
      <c r="G2097" s="32"/>
      <c r="H2097">
        <f>COUNTIFS('Audit Raw data'!J:J,B:B,'Audit Raw data'!E:E,G:G)</f>
        <v>0</v>
      </c>
      <c r="I2097" s="44" t="str">
        <f>IFERROR((SUMIFS('Audit Raw data'!BZ:BZ,'Audit Raw data'!J:J,B:B,'Audit Raw data'!E:E,G:G)/H2097)/100,"-")</f>
        <v>-</v>
      </c>
      <c r="J2097">
        <f>COUNTIFS('Audit Raw data'!AM:AM,"Yes",'Audit Raw data'!J:J,B:B,'Audit Raw data'!E:E,'Day wise agent'!G:G)</f>
        <v>0</v>
      </c>
      <c r="K2097">
        <f>COUNTIFS('Audit Raw data'!AM:AM,"NO",'Audit Raw data'!J:J,B:B,'Audit Raw data'!E:E,'Day wise agent'!G:G)</f>
        <v>0</v>
      </c>
      <c r="L2097" s="12" t="str">
        <f t="shared" si="53"/>
        <v xml:space="preserve"> </v>
      </c>
    </row>
    <row r="2098" spans="4:12" x14ac:dyDescent="0.35">
      <c r="D2098" s="32"/>
      <c r="G2098" s="32"/>
      <c r="H2098">
        <f>COUNTIFS('Audit Raw data'!J:J,B:B,'Audit Raw data'!E:E,G:G)</f>
        <v>0</v>
      </c>
      <c r="I2098" s="44" t="str">
        <f>IFERROR((SUMIFS('Audit Raw data'!BZ:BZ,'Audit Raw data'!J:J,B:B,'Audit Raw data'!E:E,G:G)/H2098)/100,"-")</f>
        <v>-</v>
      </c>
      <c r="J2098">
        <f>COUNTIFS('Audit Raw data'!AM:AM,"Yes",'Audit Raw data'!J:J,B:B,'Audit Raw data'!E:E,'Day wise agent'!G:G)</f>
        <v>0</v>
      </c>
      <c r="K2098">
        <f>COUNTIFS('Audit Raw data'!AM:AM,"NO",'Audit Raw data'!J:J,B:B,'Audit Raw data'!E:E,'Day wise agent'!G:G)</f>
        <v>0</v>
      </c>
      <c r="L2098" s="12" t="str">
        <f t="shared" si="53"/>
        <v xml:space="preserve"> </v>
      </c>
    </row>
    <row r="2099" spans="4:12" x14ac:dyDescent="0.35">
      <c r="D2099" s="32"/>
      <c r="G2099" s="32"/>
      <c r="H2099">
        <f>COUNTIFS('Audit Raw data'!J:J,B:B,'Audit Raw data'!E:E,G:G)</f>
        <v>0</v>
      </c>
      <c r="I2099" s="44" t="str">
        <f>IFERROR((SUMIFS('Audit Raw data'!BZ:BZ,'Audit Raw data'!J:J,B:B,'Audit Raw data'!E:E,G:G)/H2099)/100,"-")</f>
        <v>-</v>
      </c>
      <c r="J2099">
        <f>COUNTIFS('Audit Raw data'!AM:AM,"Yes",'Audit Raw data'!J:J,B:B,'Audit Raw data'!E:E,'Day wise agent'!G:G)</f>
        <v>0</v>
      </c>
      <c r="K2099">
        <f>COUNTIFS('Audit Raw data'!AM:AM,"NO",'Audit Raw data'!J:J,B:B,'Audit Raw data'!E:E,'Day wise agent'!G:G)</f>
        <v>0</v>
      </c>
      <c r="L2099" s="12" t="str">
        <f t="shared" si="53"/>
        <v xml:space="preserve"> </v>
      </c>
    </row>
    <row r="2100" spans="4:12" x14ac:dyDescent="0.35">
      <c r="D2100" s="32"/>
      <c r="G2100" s="32"/>
      <c r="H2100">
        <f>COUNTIFS('Audit Raw data'!J:J,B:B,'Audit Raw data'!E:E,G:G)</f>
        <v>0</v>
      </c>
      <c r="I2100" s="44" t="str">
        <f>IFERROR((SUMIFS('Audit Raw data'!BZ:BZ,'Audit Raw data'!J:J,B:B,'Audit Raw data'!E:E,G:G)/H2100)/100,"-")</f>
        <v>-</v>
      </c>
      <c r="J2100">
        <f>COUNTIFS('Audit Raw data'!AM:AM,"Yes",'Audit Raw data'!J:J,B:B,'Audit Raw data'!E:E,'Day wise agent'!G:G)</f>
        <v>0</v>
      </c>
      <c r="K2100">
        <f>COUNTIFS('Audit Raw data'!AM:AM,"NO",'Audit Raw data'!J:J,B:B,'Audit Raw data'!E:E,'Day wise agent'!G:G)</f>
        <v>0</v>
      </c>
      <c r="L2100" s="12" t="str">
        <f t="shared" si="53"/>
        <v xml:space="preserve"> </v>
      </c>
    </row>
    <row r="2101" spans="4:12" x14ac:dyDescent="0.35">
      <c r="D2101" s="32"/>
      <c r="G2101" s="32"/>
      <c r="H2101">
        <f>COUNTIFS('Audit Raw data'!J:J,B:B,'Audit Raw data'!E:E,G:G)</f>
        <v>0</v>
      </c>
      <c r="I2101" s="44" t="str">
        <f>IFERROR((SUMIFS('Audit Raw data'!BZ:BZ,'Audit Raw data'!J:J,B:B,'Audit Raw data'!E:E,G:G)/H2101)/100,"-")</f>
        <v>-</v>
      </c>
      <c r="J2101">
        <f>COUNTIFS('Audit Raw data'!AM:AM,"Yes",'Audit Raw data'!J:J,B:B,'Audit Raw data'!E:E,'Day wise agent'!G:G)</f>
        <v>0</v>
      </c>
      <c r="K2101">
        <f>COUNTIFS('Audit Raw data'!AM:AM,"NO",'Audit Raw data'!J:J,B:B,'Audit Raw data'!E:E,'Day wise agent'!G:G)</f>
        <v>0</v>
      </c>
      <c r="L2101" s="12" t="str">
        <f t="shared" si="53"/>
        <v xml:space="preserve"> </v>
      </c>
    </row>
    <row r="2102" spans="4:12" x14ac:dyDescent="0.35">
      <c r="D2102" s="32"/>
      <c r="G2102" s="32"/>
      <c r="H2102">
        <f>COUNTIFS('Audit Raw data'!J:J,B:B,'Audit Raw data'!E:E,G:G)</f>
        <v>0</v>
      </c>
      <c r="I2102" s="44" t="str">
        <f>IFERROR((SUMIFS('Audit Raw data'!BZ:BZ,'Audit Raw data'!J:J,B:B,'Audit Raw data'!E:E,G:G)/H2102)/100,"-")</f>
        <v>-</v>
      </c>
      <c r="J2102">
        <f>COUNTIFS('Audit Raw data'!AM:AM,"Yes",'Audit Raw data'!J:J,B:B,'Audit Raw data'!E:E,'Day wise agent'!G:G)</f>
        <v>0</v>
      </c>
      <c r="K2102">
        <f>COUNTIFS('Audit Raw data'!AM:AM,"NO",'Audit Raw data'!J:J,B:B,'Audit Raw data'!E:E,'Day wise agent'!G:G)</f>
        <v>0</v>
      </c>
      <c r="L2102" s="12" t="str">
        <f t="shared" si="53"/>
        <v xml:space="preserve"> </v>
      </c>
    </row>
    <row r="2103" spans="4:12" x14ac:dyDescent="0.35">
      <c r="D2103" s="32"/>
      <c r="G2103" s="32"/>
      <c r="H2103">
        <f>COUNTIFS('Audit Raw data'!J:J,B:B,'Audit Raw data'!E:E,G:G)</f>
        <v>0</v>
      </c>
      <c r="I2103" s="44" t="str">
        <f>IFERROR((SUMIFS('Audit Raw data'!BZ:BZ,'Audit Raw data'!J:J,B:B,'Audit Raw data'!E:E,G:G)/H2103)/100,"-")</f>
        <v>-</v>
      </c>
      <c r="J2103">
        <f>COUNTIFS('Audit Raw data'!AM:AM,"Yes",'Audit Raw data'!J:J,B:B,'Audit Raw data'!E:E,'Day wise agent'!G:G)</f>
        <v>0</v>
      </c>
      <c r="K2103">
        <f>COUNTIFS('Audit Raw data'!AM:AM,"NO",'Audit Raw data'!J:J,B:B,'Audit Raw data'!E:E,'Day wise agent'!G:G)</f>
        <v>0</v>
      </c>
      <c r="L2103" s="12" t="str">
        <f t="shared" si="53"/>
        <v xml:space="preserve"> </v>
      </c>
    </row>
    <row r="2104" spans="4:12" x14ac:dyDescent="0.35">
      <c r="D2104" s="32"/>
      <c r="G2104" s="32"/>
      <c r="H2104">
        <f>COUNTIFS('Audit Raw data'!J:J,B:B,'Audit Raw data'!E:E,G:G)</f>
        <v>0</v>
      </c>
      <c r="I2104" s="44" t="str">
        <f>IFERROR((SUMIFS('Audit Raw data'!BZ:BZ,'Audit Raw data'!J:J,B:B,'Audit Raw data'!E:E,G:G)/H2104)/100,"-")</f>
        <v>-</v>
      </c>
      <c r="J2104">
        <f>COUNTIFS('Audit Raw data'!AM:AM,"Yes",'Audit Raw data'!J:J,B:B,'Audit Raw data'!E:E,'Day wise agent'!G:G)</f>
        <v>0</v>
      </c>
      <c r="K2104">
        <f>COUNTIFS('Audit Raw data'!AM:AM,"NO",'Audit Raw data'!J:J,B:B,'Audit Raw data'!E:E,'Day wise agent'!G:G)</f>
        <v>0</v>
      </c>
      <c r="L2104" s="12" t="str">
        <f t="shared" si="53"/>
        <v xml:space="preserve"> </v>
      </c>
    </row>
    <row r="2105" spans="4:12" x14ac:dyDescent="0.35">
      <c r="D2105" s="32"/>
      <c r="G2105" s="32"/>
      <c r="H2105">
        <f>COUNTIFS('Audit Raw data'!J:J,B:B,'Audit Raw data'!E:E,G:G)</f>
        <v>0</v>
      </c>
      <c r="I2105" s="44" t="str">
        <f>IFERROR((SUMIFS('Audit Raw data'!BZ:BZ,'Audit Raw data'!J:J,B:B,'Audit Raw data'!E:E,G:G)/H2105)/100,"-")</f>
        <v>-</v>
      </c>
      <c r="J2105">
        <f>COUNTIFS('Audit Raw data'!AM:AM,"Yes",'Audit Raw data'!J:J,B:B,'Audit Raw data'!E:E,'Day wise agent'!G:G)</f>
        <v>0</v>
      </c>
      <c r="K2105">
        <f>COUNTIFS('Audit Raw data'!AM:AM,"NO",'Audit Raw data'!J:J,B:B,'Audit Raw data'!E:E,'Day wise agent'!G:G)</f>
        <v>0</v>
      </c>
      <c r="L2105" s="12" t="str">
        <f t="shared" si="53"/>
        <v xml:space="preserve"> </v>
      </c>
    </row>
    <row r="2106" spans="4:12" x14ac:dyDescent="0.35">
      <c r="D2106" s="32"/>
      <c r="G2106" s="32"/>
      <c r="H2106">
        <f>COUNTIFS('Audit Raw data'!J:J,B:B,'Audit Raw data'!E:E,G:G)</f>
        <v>0</v>
      </c>
      <c r="I2106" s="44" t="str">
        <f>IFERROR((SUMIFS('Audit Raw data'!BZ:BZ,'Audit Raw data'!J:J,B:B,'Audit Raw data'!E:E,G:G)/H2106)/100,"-")</f>
        <v>-</v>
      </c>
      <c r="J2106">
        <f>COUNTIFS('Audit Raw data'!AM:AM,"Yes",'Audit Raw data'!J:J,B:B,'Audit Raw data'!E:E,'Day wise agent'!G:G)</f>
        <v>0</v>
      </c>
      <c r="K2106">
        <f>COUNTIFS('Audit Raw data'!AM:AM,"NO",'Audit Raw data'!J:J,B:B,'Audit Raw data'!E:E,'Day wise agent'!G:G)</f>
        <v>0</v>
      </c>
      <c r="L2106" s="12" t="str">
        <f t="shared" si="53"/>
        <v xml:space="preserve"> </v>
      </c>
    </row>
    <row r="2107" spans="4:12" x14ac:dyDescent="0.35">
      <c r="D2107" s="32"/>
      <c r="G2107" s="32"/>
      <c r="H2107">
        <f>COUNTIFS('Audit Raw data'!J:J,B:B,'Audit Raw data'!E:E,G:G)</f>
        <v>0</v>
      </c>
      <c r="I2107" s="44" t="str">
        <f>IFERROR((SUMIFS('Audit Raw data'!BZ:BZ,'Audit Raw data'!J:J,B:B,'Audit Raw data'!E:E,G:G)/H2107)/100,"-")</f>
        <v>-</v>
      </c>
      <c r="J2107">
        <f>COUNTIFS('Audit Raw data'!AM:AM,"Yes",'Audit Raw data'!J:J,B:B,'Audit Raw data'!E:E,'Day wise agent'!G:G)</f>
        <v>0</v>
      </c>
      <c r="K2107">
        <f>COUNTIFS('Audit Raw data'!AM:AM,"NO",'Audit Raw data'!J:J,B:B,'Audit Raw data'!E:E,'Day wise agent'!G:G)</f>
        <v>0</v>
      </c>
      <c r="L2107" s="12" t="str">
        <f t="shared" si="53"/>
        <v xml:space="preserve"> </v>
      </c>
    </row>
    <row r="2108" spans="4:12" x14ac:dyDescent="0.35">
      <c r="D2108" s="32"/>
      <c r="G2108" s="32"/>
      <c r="H2108">
        <f>COUNTIFS('Audit Raw data'!J:J,B:B,'Audit Raw data'!E:E,G:G)</f>
        <v>0</v>
      </c>
      <c r="I2108" s="44" t="str">
        <f>IFERROR((SUMIFS('Audit Raw data'!BZ:BZ,'Audit Raw data'!J:J,B:B,'Audit Raw data'!E:E,G:G)/H2108)/100,"-")</f>
        <v>-</v>
      </c>
      <c r="J2108">
        <f>COUNTIFS('Audit Raw data'!AM:AM,"Yes",'Audit Raw data'!J:J,B:B,'Audit Raw data'!E:E,'Day wise agent'!G:G)</f>
        <v>0</v>
      </c>
      <c r="K2108">
        <f>COUNTIFS('Audit Raw data'!AM:AM,"NO",'Audit Raw data'!J:J,B:B,'Audit Raw data'!E:E,'Day wise agent'!G:G)</f>
        <v>0</v>
      </c>
      <c r="L2108" s="12" t="str">
        <f t="shared" si="53"/>
        <v xml:space="preserve"> </v>
      </c>
    </row>
    <row r="2109" spans="4:12" x14ac:dyDescent="0.35">
      <c r="D2109" s="32"/>
      <c r="G2109" s="32"/>
      <c r="H2109">
        <f>COUNTIFS('Audit Raw data'!J:J,B:B,'Audit Raw data'!E:E,G:G)</f>
        <v>0</v>
      </c>
      <c r="I2109" s="44" t="str">
        <f>IFERROR((SUMIFS('Audit Raw data'!BZ:BZ,'Audit Raw data'!J:J,B:B,'Audit Raw data'!E:E,G:G)/H2109)/100,"-")</f>
        <v>-</v>
      </c>
      <c r="J2109">
        <f>COUNTIFS('Audit Raw data'!AM:AM,"Yes",'Audit Raw data'!J:J,B:B,'Audit Raw data'!E:E,'Day wise agent'!G:G)</f>
        <v>0</v>
      </c>
      <c r="K2109">
        <f>COUNTIFS('Audit Raw data'!AM:AM,"NO",'Audit Raw data'!J:J,B:B,'Audit Raw data'!E:E,'Day wise agent'!G:G)</f>
        <v>0</v>
      </c>
      <c r="L2109" s="12" t="str">
        <f t="shared" si="53"/>
        <v xml:space="preserve"> </v>
      </c>
    </row>
    <row r="2110" spans="4:12" x14ac:dyDescent="0.35">
      <c r="D2110" s="32"/>
      <c r="G2110" s="32"/>
      <c r="H2110">
        <f>COUNTIFS('Audit Raw data'!J:J,B:B,'Audit Raw data'!E:E,G:G)</f>
        <v>0</v>
      </c>
      <c r="I2110" s="44" t="str">
        <f>IFERROR((SUMIFS('Audit Raw data'!BZ:BZ,'Audit Raw data'!J:J,B:B,'Audit Raw data'!E:E,G:G)/H2110)/100,"-")</f>
        <v>-</v>
      </c>
      <c r="J2110">
        <f>COUNTIFS('Audit Raw data'!AM:AM,"Yes",'Audit Raw data'!J:J,B:B,'Audit Raw data'!E:E,'Day wise agent'!G:G)</f>
        <v>0</v>
      </c>
      <c r="K2110">
        <f>COUNTIFS('Audit Raw data'!AM:AM,"NO",'Audit Raw data'!J:J,B:B,'Audit Raw data'!E:E,'Day wise agent'!G:G)</f>
        <v>0</v>
      </c>
      <c r="L2110" s="12" t="str">
        <f t="shared" si="53"/>
        <v xml:space="preserve"> </v>
      </c>
    </row>
    <row r="2111" spans="4:12" x14ac:dyDescent="0.35">
      <c r="D2111" s="32"/>
      <c r="G2111" s="32"/>
      <c r="H2111">
        <f>COUNTIFS('Audit Raw data'!J:J,B:B,'Audit Raw data'!E:E,G:G)</f>
        <v>0</v>
      </c>
      <c r="I2111" s="44" t="str">
        <f>IFERROR((SUMIFS('Audit Raw data'!BZ:BZ,'Audit Raw data'!J:J,B:B,'Audit Raw data'!E:E,G:G)/H2111)/100,"-")</f>
        <v>-</v>
      </c>
      <c r="J2111">
        <f>COUNTIFS('Audit Raw data'!AM:AM,"Yes",'Audit Raw data'!J:J,B:B,'Audit Raw data'!E:E,'Day wise agent'!G:G)</f>
        <v>0</v>
      </c>
      <c r="K2111">
        <f>COUNTIFS('Audit Raw data'!AM:AM,"NO",'Audit Raw data'!J:J,B:B,'Audit Raw data'!E:E,'Day wise agent'!G:G)</f>
        <v>0</v>
      </c>
      <c r="L2111" s="12" t="str">
        <f t="shared" si="53"/>
        <v xml:space="preserve"> </v>
      </c>
    </row>
    <row r="2112" spans="4:12" x14ac:dyDescent="0.35">
      <c r="D2112" s="32"/>
      <c r="G2112" s="32"/>
      <c r="H2112">
        <f>COUNTIFS('Audit Raw data'!J:J,B:B,'Audit Raw data'!E:E,G:G)</f>
        <v>0</v>
      </c>
      <c r="I2112" s="44" t="str">
        <f>IFERROR((SUMIFS('Audit Raw data'!BZ:BZ,'Audit Raw data'!J:J,B:B,'Audit Raw data'!E:E,G:G)/H2112)/100,"-")</f>
        <v>-</v>
      </c>
      <c r="J2112">
        <f>COUNTIFS('Audit Raw data'!AM:AM,"Yes",'Audit Raw data'!J:J,B:B,'Audit Raw data'!E:E,'Day wise agent'!G:G)</f>
        <v>0</v>
      </c>
      <c r="K2112">
        <f>COUNTIFS('Audit Raw data'!AM:AM,"NO",'Audit Raw data'!J:J,B:B,'Audit Raw data'!E:E,'Day wise agent'!G:G)</f>
        <v>0</v>
      </c>
      <c r="L2112" s="12" t="str">
        <f t="shared" si="53"/>
        <v xml:space="preserve"> </v>
      </c>
    </row>
    <row r="2113" spans="4:12" x14ac:dyDescent="0.35">
      <c r="D2113" s="32"/>
      <c r="G2113" s="32"/>
      <c r="H2113">
        <f>COUNTIFS('Audit Raw data'!J:J,B:B,'Audit Raw data'!E:E,G:G)</f>
        <v>0</v>
      </c>
      <c r="I2113" s="44" t="str">
        <f>IFERROR((SUMIFS('Audit Raw data'!BZ:BZ,'Audit Raw data'!J:J,B:B,'Audit Raw data'!E:E,G:G)/H2113)/100,"-")</f>
        <v>-</v>
      </c>
      <c r="J2113">
        <f>COUNTIFS('Audit Raw data'!AM:AM,"Yes",'Audit Raw data'!J:J,B:B,'Audit Raw data'!E:E,'Day wise agent'!G:G)</f>
        <v>0</v>
      </c>
      <c r="K2113">
        <f>COUNTIFS('Audit Raw data'!AM:AM,"NO",'Audit Raw data'!J:J,B:B,'Audit Raw data'!E:E,'Day wise agent'!G:G)</f>
        <v>0</v>
      </c>
      <c r="L2113" s="12" t="str">
        <f t="shared" si="53"/>
        <v xml:space="preserve"> </v>
      </c>
    </row>
    <row r="2114" spans="4:12" x14ac:dyDescent="0.35">
      <c r="D2114" s="32"/>
      <c r="G2114" s="32"/>
      <c r="H2114">
        <f>COUNTIFS('Audit Raw data'!J:J,B:B,'Audit Raw data'!E:E,G:G)</f>
        <v>0</v>
      </c>
      <c r="I2114" s="44" t="str">
        <f>IFERROR((SUMIFS('Audit Raw data'!BZ:BZ,'Audit Raw data'!J:J,B:B,'Audit Raw data'!E:E,G:G)/H2114)/100,"-")</f>
        <v>-</v>
      </c>
      <c r="J2114">
        <f>COUNTIFS('Audit Raw data'!AM:AM,"Yes",'Audit Raw data'!J:J,B:B,'Audit Raw data'!E:E,'Day wise agent'!G:G)</f>
        <v>0</v>
      </c>
      <c r="K2114">
        <f>COUNTIFS('Audit Raw data'!AM:AM,"NO",'Audit Raw data'!J:J,B:B,'Audit Raw data'!E:E,'Day wise agent'!G:G)</f>
        <v>0</v>
      </c>
      <c r="L2114" s="12" t="str">
        <f t="shared" ref="L2114:L2177" si="54">IFERROR(J2114/H2114," ")</f>
        <v xml:space="preserve"> </v>
      </c>
    </row>
    <row r="2115" spans="4:12" x14ac:dyDescent="0.35">
      <c r="D2115" s="32"/>
      <c r="G2115" s="32"/>
      <c r="H2115">
        <f>COUNTIFS('Audit Raw data'!J:J,B:B,'Audit Raw data'!E:E,G:G)</f>
        <v>0</v>
      </c>
      <c r="I2115" s="44" t="str">
        <f>IFERROR((SUMIFS('Audit Raw data'!BZ:BZ,'Audit Raw data'!J:J,B:B,'Audit Raw data'!E:E,G:G)/H2115)/100,"-")</f>
        <v>-</v>
      </c>
      <c r="J2115">
        <f>COUNTIFS('Audit Raw data'!AM:AM,"Yes",'Audit Raw data'!J:J,B:B,'Audit Raw data'!E:E,'Day wise agent'!G:G)</f>
        <v>0</v>
      </c>
      <c r="K2115">
        <f>COUNTIFS('Audit Raw data'!AM:AM,"NO",'Audit Raw data'!J:J,B:B,'Audit Raw data'!E:E,'Day wise agent'!G:G)</f>
        <v>0</v>
      </c>
      <c r="L2115" s="12" t="str">
        <f t="shared" si="54"/>
        <v xml:space="preserve"> </v>
      </c>
    </row>
    <row r="2116" spans="4:12" x14ac:dyDescent="0.35">
      <c r="D2116" s="32"/>
      <c r="G2116" s="32"/>
      <c r="H2116">
        <f>COUNTIFS('Audit Raw data'!J:J,B:B,'Audit Raw data'!E:E,G:G)</f>
        <v>0</v>
      </c>
      <c r="I2116" s="44" t="str">
        <f>IFERROR((SUMIFS('Audit Raw data'!BZ:BZ,'Audit Raw data'!J:J,B:B,'Audit Raw data'!E:E,G:G)/H2116)/100,"-")</f>
        <v>-</v>
      </c>
      <c r="J2116">
        <f>COUNTIFS('Audit Raw data'!AM:AM,"Yes",'Audit Raw data'!J:J,B:B,'Audit Raw data'!E:E,'Day wise agent'!G:G)</f>
        <v>0</v>
      </c>
      <c r="K2116">
        <f>COUNTIFS('Audit Raw data'!AM:AM,"NO",'Audit Raw data'!J:J,B:B,'Audit Raw data'!E:E,'Day wise agent'!G:G)</f>
        <v>0</v>
      </c>
      <c r="L2116" s="12" t="str">
        <f t="shared" si="54"/>
        <v xml:space="preserve"> </v>
      </c>
    </row>
    <row r="2117" spans="4:12" x14ac:dyDescent="0.35">
      <c r="D2117" s="32"/>
      <c r="G2117" s="32"/>
      <c r="H2117">
        <f>COUNTIFS('Audit Raw data'!J:J,B:B,'Audit Raw data'!E:E,G:G)</f>
        <v>0</v>
      </c>
      <c r="I2117" s="44" t="str">
        <f>IFERROR((SUMIFS('Audit Raw data'!BZ:BZ,'Audit Raw data'!J:J,B:B,'Audit Raw data'!E:E,G:G)/H2117)/100,"-")</f>
        <v>-</v>
      </c>
      <c r="J2117">
        <f>COUNTIFS('Audit Raw data'!AM:AM,"Yes",'Audit Raw data'!J:J,B:B,'Audit Raw data'!E:E,'Day wise agent'!G:G)</f>
        <v>0</v>
      </c>
      <c r="K2117">
        <f>COUNTIFS('Audit Raw data'!AM:AM,"NO",'Audit Raw data'!J:J,B:B,'Audit Raw data'!E:E,'Day wise agent'!G:G)</f>
        <v>0</v>
      </c>
      <c r="L2117" s="12" t="str">
        <f t="shared" si="54"/>
        <v xml:space="preserve"> </v>
      </c>
    </row>
    <row r="2118" spans="4:12" x14ac:dyDescent="0.35">
      <c r="D2118" s="32"/>
      <c r="G2118" s="32"/>
      <c r="H2118">
        <f>COUNTIFS('Audit Raw data'!J:J,B:B,'Audit Raw data'!E:E,G:G)</f>
        <v>0</v>
      </c>
      <c r="I2118" s="44" t="str">
        <f>IFERROR((SUMIFS('Audit Raw data'!BZ:BZ,'Audit Raw data'!J:J,B:B,'Audit Raw data'!E:E,G:G)/H2118)/100,"-")</f>
        <v>-</v>
      </c>
      <c r="J2118">
        <f>COUNTIFS('Audit Raw data'!AM:AM,"Yes",'Audit Raw data'!J:J,B:B,'Audit Raw data'!E:E,'Day wise agent'!G:G)</f>
        <v>0</v>
      </c>
      <c r="K2118">
        <f>COUNTIFS('Audit Raw data'!AM:AM,"NO",'Audit Raw data'!J:J,B:B,'Audit Raw data'!E:E,'Day wise agent'!G:G)</f>
        <v>0</v>
      </c>
      <c r="L2118" s="12" t="str">
        <f t="shared" si="54"/>
        <v xml:space="preserve"> </v>
      </c>
    </row>
    <row r="2119" spans="4:12" x14ac:dyDescent="0.35">
      <c r="D2119" s="32"/>
      <c r="G2119" s="32"/>
      <c r="H2119">
        <f>COUNTIFS('Audit Raw data'!J:J,B:B,'Audit Raw data'!E:E,G:G)</f>
        <v>0</v>
      </c>
      <c r="I2119" s="44" t="str">
        <f>IFERROR((SUMIFS('Audit Raw data'!BZ:BZ,'Audit Raw data'!J:J,B:B,'Audit Raw data'!E:E,G:G)/H2119)/100,"-")</f>
        <v>-</v>
      </c>
      <c r="J2119">
        <f>COUNTIFS('Audit Raw data'!AM:AM,"Yes",'Audit Raw data'!J:J,B:B,'Audit Raw data'!E:E,'Day wise agent'!G:G)</f>
        <v>0</v>
      </c>
      <c r="K2119">
        <f>COUNTIFS('Audit Raw data'!AM:AM,"NO",'Audit Raw data'!J:J,B:B,'Audit Raw data'!E:E,'Day wise agent'!G:G)</f>
        <v>0</v>
      </c>
      <c r="L2119" s="12" t="str">
        <f t="shared" si="54"/>
        <v xml:space="preserve"> </v>
      </c>
    </row>
    <row r="2120" spans="4:12" x14ac:dyDescent="0.35">
      <c r="D2120" s="32"/>
      <c r="G2120" s="32"/>
      <c r="H2120">
        <f>COUNTIFS('Audit Raw data'!J:J,B:B,'Audit Raw data'!E:E,G:G)</f>
        <v>0</v>
      </c>
      <c r="I2120" s="44" t="str">
        <f>IFERROR((SUMIFS('Audit Raw data'!BZ:BZ,'Audit Raw data'!J:J,B:B,'Audit Raw data'!E:E,G:G)/H2120)/100,"-")</f>
        <v>-</v>
      </c>
      <c r="J2120">
        <f>COUNTIFS('Audit Raw data'!AM:AM,"Yes",'Audit Raw data'!J:J,B:B,'Audit Raw data'!E:E,'Day wise agent'!G:G)</f>
        <v>0</v>
      </c>
      <c r="K2120">
        <f>COUNTIFS('Audit Raw data'!AM:AM,"NO",'Audit Raw data'!J:J,B:B,'Audit Raw data'!E:E,'Day wise agent'!G:G)</f>
        <v>0</v>
      </c>
      <c r="L2120" s="12" t="str">
        <f t="shared" si="54"/>
        <v xml:space="preserve"> </v>
      </c>
    </row>
    <row r="2121" spans="4:12" x14ac:dyDescent="0.35">
      <c r="D2121" s="32"/>
      <c r="G2121" s="32"/>
      <c r="H2121">
        <f>COUNTIFS('Audit Raw data'!J:J,B:B,'Audit Raw data'!E:E,G:G)</f>
        <v>0</v>
      </c>
      <c r="I2121" s="44" t="str">
        <f>IFERROR((SUMIFS('Audit Raw data'!BZ:BZ,'Audit Raw data'!J:J,B:B,'Audit Raw data'!E:E,G:G)/H2121)/100,"-")</f>
        <v>-</v>
      </c>
      <c r="J2121">
        <f>COUNTIFS('Audit Raw data'!AM:AM,"Yes",'Audit Raw data'!J:J,B:B,'Audit Raw data'!E:E,'Day wise agent'!G:G)</f>
        <v>0</v>
      </c>
      <c r="K2121">
        <f>COUNTIFS('Audit Raw data'!AM:AM,"NO",'Audit Raw data'!J:J,B:B,'Audit Raw data'!E:E,'Day wise agent'!G:G)</f>
        <v>0</v>
      </c>
      <c r="L2121" s="12" t="str">
        <f t="shared" si="54"/>
        <v xml:space="preserve"> </v>
      </c>
    </row>
    <row r="2122" spans="4:12" x14ac:dyDescent="0.35">
      <c r="D2122" s="32"/>
      <c r="G2122" s="32"/>
      <c r="H2122">
        <f>COUNTIFS('Audit Raw data'!J:J,B:B,'Audit Raw data'!E:E,G:G)</f>
        <v>0</v>
      </c>
      <c r="I2122" s="44" t="str">
        <f>IFERROR((SUMIFS('Audit Raw data'!BZ:BZ,'Audit Raw data'!J:J,B:B,'Audit Raw data'!E:E,G:G)/H2122)/100,"-")</f>
        <v>-</v>
      </c>
      <c r="J2122">
        <f>COUNTIFS('Audit Raw data'!AM:AM,"Yes",'Audit Raw data'!J:J,B:B,'Audit Raw data'!E:E,'Day wise agent'!G:G)</f>
        <v>0</v>
      </c>
      <c r="K2122">
        <f>COUNTIFS('Audit Raw data'!AM:AM,"NO",'Audit Raw data'!J:J,B:B,'Audit Raw data'!E:E,'Day wise agent'!G:G)</f>
        <v>0</v>
      </c>
      <c r="L2122" s="12" t="str">
        <f t="shared" si="54"/>
        <v xml:space="preserve"> </v>
      </c>
    </row>
    <row r="2123" spans="4:12" x14ac:dyDescent="0.35">
      <c r="D2123" s="32"/>
      <c r="G2123" s="32"/>
      <c r="H2123">
        <f>COUNTIFS('Audit Raw data'!J:J,B:B,'Audit Raw data'!E:E,G:G)</f>
        <v>0</v>
      </c>
      <c r="I2123" s="44" t="str">
        <f>IFERROR((SUMIFS('Audit Raw data'!BZ:BZ,'Audit Raw data'!J:J,B:B,'Audit Raw data'!E:E,G:G)/H2123)/100,"-")</f>
        <v>-</v>
      </c>
      <c r="J2123">
        <f>COUNTIFS('Audit Raw data'!AM:AM,"Yes",'Audit Raw data'!J:J,B:B,'Audit Raw data'!E:E,'Day wise agent'!G:G)</f>
        <v>0</v>
      </c>
      <c r="K2123">
        <f>COUNTIFS('Audit Raw data'!AM:AM,"NO",'Audit Raw data'!J:J,B:B,'Audit Raw data'!E:E,'Day wise agent'!G:G)</f>
        <v>0</v>
      </c>
      <c r="L2123" s="12" t="str">
        <f t="shared" si="54"/>
        <v xml:space="preserve"> </v>
      </c>
    </row>
    <row r="2124" spans="4:12" x14ac:dyDescent="0.35">
      <c r="D2124" s="32"/>
      <c r="G2124" s="32"/>
      <c r="H2124">
        <f>COUNTIFS('Audit Raw data'!J:J,B:B,'Audit Raw data'!E:E,G:G)</f>
        <v>0</v>
      </c>
      <c r="I2124" s="44" t="str">
        <f>IFERROR((SUMIFS('Audit Raw data'!BZ:BZ,'Audit Raw data'!J:J,B:B,'Audit Raw data'!E:E,G:G)/H2124)/100,"-")</f>
        <v>-</v>
      </c>
      <c r="J2124">
        <f>COUNTIFS('Audit Raw data'!AM:AM,"Yes",'Audit Raw data'!J:J,B:B,'Audit Raw data'!E:E,'Day wise agent'!G:G)</f>
        <v>0</v>
      </c>
      <c r="K2124">
        <f>COUNTIFS('Audit Raw data'!AM:AM,"NO",'Audit Raw data'!J:J,B:B,'Audit Raw data'!E:E,'Day wise agent'!G:G)</f>
        <v>0</v>
      </c>
      <c r="L2124" s="12" t="str">
        <f t="shared" si="54"/>
        <v xml:space="preserve"> </v>
      </c>
    </row>
    <row r="2125" spans="4:12" x14ac:dyDescent="0.35">
      <c r="D2125" s="32"/>
      <c r="G2125" s="32"/>
      <c r="H2125">
        <f>COUNTIFS('Audit Raw data'!J:J,B:B,'Audit Raw data'!E:E,G:G)</f>
        <v>0</v>
      </c>
      <c r="I2125" s="44" t="str">
        <f>IFERROR((SUMIFS('Audit Raw data'!BZ:BZ,'Audit Raw data'!J:J,B:B,'Audit Raw data'!E:E,G:G)/H2125)/100,"-")</f>
        <v>-</v>
      </c>
      <c r="J2125">
        <f>COUNTIFS('Audit Raw data'!AM:AM,"Yes",'Audit Raw data'!J:J,B:B,'Audit Raw data'!E:E,'Day wise agent'!G:G)</f>
        <v>0</v>
      </c>
      <c r="K2125">
        <f>COUNTIFS('Audit Raw data'!AM:AM,"NO",'Audit Raw data'!J:J,B:B,'Audit Raw data'!E:E,'Day wise agent'!G:G)</f>
        <v>0</v>
      </c>
      <c r="L2125" s="12" t="str">
        <f t="shared" si="54"/>
        <v xml:space="preserve"> </v>
      </c>
    </row>
    <row r="2126" spans="4:12" x14ac:dyDescent="0.35">
      <c r="D2126" s="32"/>
      <c r="G2126" s="32"/>
      <c r="H2126">
        <f>COUNTIFS('Audit Raw data'!J:J,B:B,'Audit Raw data'!E:E,G:G)</f>
        <v>0</v>
      </c>
      <c r="I2126" s="44" t="str">
        <f>IFERROR((SUMIFS('Audit Raw data'!BZ:BZ,'Audit Raw data'!J:J,B:B,'Audit Raw data'!E:E,G:G)/H2126)/100,"-")</f>
        <v>-</v>
      </c>
      <c r="J2126">
        <f>COUNTIFS('Audit Raw data'!AM:AM,"Yes",'Audit Raw data'!J:J,B:B,'Audit Raw data'!E:E,'Day wise agent'!G:G)</f>
        <v>0</v>
      </c>
      <c r="K2126">
        <f>COUNTIFS('Audit Raw data'!AM:AM,"NO",'Audit Raw data'!J:J,B:B,'Audit Raw data'!E:E,'Day wise agent'!G:G)</f>
        <v>0</v>
      </c>
      <c r="L2126" s="12" t="str">
        <f t="shared" si="54"/>
        <v xml:space="preserve"> </v>
      </c>
    </row>
    <row r="2127" spans="4:12" x14ac:dyDescent="0.35">
      <c r="D2127" s="32"/>
      <c r="G2127" s="32"/>
      <c r="H2127">
        <f>COUNTIFS('Audit Raw data'!J:J,B:B,'Audit Raw data'!E:E,G:G)</f>
        <v>0</v>
      </c>
      <c r="I2127" s="44" t="str">
        <f>IFERROR((SUMIFS('Audit Raw data'!BZ:BZ,'Audit Raw data'!J:J,B:B,'Audit Raw data'!E:E,G:G)/H2127)/100,"-")</f>
        <v>-</v>
      </c>
      <c r="J2127">
        <f>COUNTIFS('Audit Raw data'!AM:AM,"Yes",'Audit Raw data'!J:J,B:B,'Audit Raw data'!E:E,'Day wise agent'!G:G)</f>
        <v>0</v>
      </c>
      <c r="K2127">
        <f>COUNTIFS('Audit Raw data'!AM:AM,"NO",'Audit Raw data'!J:J,B:B,'Audit Raw data'!E:E,'Day wise agent'!G:G)</f>
        <v>0</v>
      </c>
      <c r="L2127" s="12" t="str">
        <f t="shared" si="54"/>
        <v xml:space="preserve"> </v>
      </c>
    </row>
    <row r="2128" spans="4:12" x14ac:dyDescent="0.35">
      <c r="D2128" s="32"/>
      <c r="G2128" s="32"/>
      <c r="H2128">
        <f>COUNTIFS('Audit Raw data'!J:J,B:B,'Audit Raw data'!E:E,G:G)</f>
        <v>0</v>
      </c>
      <c r="I2128" s="44" t="str">
        <f>IFERROR((SUMIFS('Audit Raw data'!BZ:BZ,'Audit Raw data'!J:J,B:B,'Audit Raw data'!E:E,G:G)/H2128)/100,"-")</f>
        <v>-</v>
      </c>
      <c r="J2128">
        <f>COUNTIFS('Audit Raw data'!AM:AM,"Yes",'Audit Raw data'!J:J,B:B,'Audit Raw data'!E:E,'Day wise agent'!G:G)</f>
        <v>0</v>
      </c>
      <c r="K2128">
        <f>COUNTIFS('Audit Raw data'!AM:AM,"NO",'Audit Raw data'!J:J,B:B,'Audit Raw data'!E:E,'Day wise agent'!G:G)</f>
        <v>0</v>
      </c>
      <c r="L2128" s="12" t="str">
        <f t="shared" si="54"/>
        <v xml:space="preserve"> </v>
      </c>
    </row>
    <row r="2129" spans="4:12" x14ac:dyDescent="0.35">
      <c r="D2129" s="32"/>
      <c r="G2129" s="32"/>
      <c r="H2129">
        <f>COUNTIFS('Audit Raw data'!J:J,B:B,'Audit Raw data'!E:E,G:G)</f>
        <v>0</v>
      </c>
      <c r="I2129" s="44" t="str">
        <f>IFERROR((SUMIFS('Audit Raw data'!BZ:BZ,'Audit Raw data'!J:J,B:B,'Audit Raw data'!E:E,G:G)/H2129)/100,"-")</f>
        <v>-</v>
      </c>
      <c r="J2129">
        <f>COUNTIFS('Audit Raw data'!AM:AM,"Yes",'Audit Raw data'!J:J,B:B,'Audit Raw data'!E:E,'Day wise agent'!G:G)</f>
        <v>0</v>
      </c>
      <c r="K2129">
        <f>COUNTIFS('Audit Raw data'!AM:AM,"NO",'Audit Raw data'!J:J,B:B,'Audit Raw data'!E:E,'Day wise agent'!G:G)</f>
        <v>0</v>
      </c>
      <c r="L2129" s="12" t="str">
        <f t="shared" si="54"/>
        <v xml:space="preserve"> </v>
      </c>
    </row>
    <row r="2130" spans="4:12" x14ac:dyDescent="0.35">
      <c r="D2130" s="32"/>
      <c r="G2130" s="32"/>
      <c r="H2130">
        <f>COUNTIFS('Audit Raw data'!J:J,B:B,'Audit Raw data'!E:E,G:G)</f>
        <v>0</v>
      </c>
      <c r="I2130" s="44" t="str">
        <f>IFERROR((SUMIFS('Audit Raw data'!BZ:BZ,'Audit Raw data'!J:J,B:B,'Audit Raw data'!E:E,G:G)/H2130)/100,"-")</f>
        <v>-</v>
      </c>
      <c r="J2130">
        <f>COUNTIFS('Audit Raw data'!AM:AM,"Yes",'Audit Raw data'!J:J,B:B,'Audit Raw data'!E:E,'Day wise agent'!G:G)</f>
        <v>0</v>
      </c>
      <c r="K2130">
        <f>COUNTIFS('Audit Raw data'!AM:AM,"NO",'Audit Raw data'!J:J,B:B,'Audit Raw data'!E:E,'Day wise agent'!G:G)</f>
        <v>0</v>
      </c>
      <c r="L2130" s="12" t="str">
        <f t="shared" si="54"/>
        <v xml:space="preserve"> </v>
      </c>
    </row>
    <row r="2131" spans="4:12" x14ac:dyDescent="0.35">
      <c r="D2131" s="32"/>
      <c r="G2131" s="32"/>
      <c r="H2131">
        <f>COUNTIFS('Audit Raw data'!J:J,B:B,'Audit Raw data'!E:E,G:G)</f>
        <v>0</v>
      </c>
      <c r="I2131" s="44" t="str">
        <f>IFERROR((SUMIFS('Audit Raw data'!BZ:BZ,'Audit Raw data'!J:J,B:B,'Audit Raw data'!E:E,G:G)/H2131)/100,"-")</f>
        <v>-</v>
      </c>
      <c r="J2131">
        <f>COUNTIFS('Audit Raw data'!AM:AM,"Yes",'Audit Raw data'!J:J,B:B,'Audit Raw data'!E:E,'Day wise agent'!G:G)</f>
        <v>0</v>
      </c>
      <c r="K2131">
        <f>COUNTIFS('Audit Raw data'!AM:AM,"NO",'Audit Raw data'!J:J,B:B,'Audit Raw data'!E:E,'Day wise agent'!G:G)</f>
        <v>0</v>
      </c>
      <c r="L2131" s="12" t="str">
        <f t="shared" si="54"/>
        <v xml:space="preserve"> </v>
      </c>
    </row>
    <row r="2132" spans="4:12" x14ac:dyDescent="0.35">
      <c r="D2132" s="32"/>
      <c r="G2132" s="32"/>
      <c r="H2132">
        <f>COUNTIFS('Audit Raw data'!J:J,B:B,'Audit Raw data'!E:E,G:G)</f>
        <v>0</v>
      </c>
      <c r="I2132" s="44" t="str">
        <f>IFERROR((SUMIFS('Audit Raw data'!BZ:BZ,'Audit Raw data'!J:J,B:B,'Audit Raw data'!E:E,G:G)/H2132)/100,"-")</f>
        <v>-</v>
      </c>
      <c r="J2132">
        <f>COUNTIFS('Audit Raw data'!AM:AM,"Yes",'Audit Raw data'!J:J,B:B,'Audit Raw data'!E:E,'Day wise agent'!G:G)</f>
        <v>0</v>
      </c>
      <c r="K2132">
        <f>COUNTIFS('Audit Raw data'!AM:AM,"NO",'Audit Raw data'!J:J,B:B,'Audit Raw data'!E:E,'Day wise agent'!G:G)</f>
        <v>0</v>
      </c>
      <c r="L2132" s="12" t="str">
        <f t="shared" si="54"/>
        <v xml:space="preserve"> </v>
      </c>
    </row>
    <row r="2133" spans="4:12" x14ac:dyDescent="0.35">
      <c r="D2133" s="32"/>
      <c r="G2133" s="32"/>
      <c r="H2133">
        <f>COUNTIFS('Audit Raw data'!J:J,B:B,'Audit Raw data'!E:E,G:G)</f>
        <v>0</v>
      </c>
      <c r="I2133" s="44" t="str">
        <f>IFERROR((SUMIFS('Audit Raw data'!BZ:BZ,'Audit Raw data'!J:J,B:B,'Audit Raw data'!E:E,G:G)/H2133)/100,"-")</f>
        <v>-</v>
      </c>
      <c r="J2133">
        <f>COUNTIFS('Audit Raw data'!AM:AM,"Yes",'Audit Raw data'!J:J,B:B,'Audit Raw data'!E:E,'Day wise agent'!G:G)</f>
        <v>0</v>
      </c>
      <c r="K2133">
        <f>COUNTIFS('Audit Raw data'!AM:AM,"NO",'Audit Raw data'!J:J,B:B,'Audit Raw data'!E:E,'Day wise agent'!G:G)</f>
        <v>0</v>
      </c>
      <c r="L2133" s="12" t="str">
        <f t="shared" si="54"/>
        <v xml:space="preserve"> </v>
      </c>
    </row>
    <row r="2134" spans="4:12" x14ac:dyDescent="0.35">
      <c r="D2134" s="32"/>
      <c r="G2134" s="32"/>
      <c r="H2134">
        <f>COUNTIFS('Audit Raw data'!J:J,B:B,'Audit Raw data'!E:E,G:G)</f>
        <v>0</v>
      </c>
      <c r="I2134" s="44" t="str">
        <f>IFERROR((SUMIFS('Audit Raw data'!BZ:BZ,'Audit Raw data'!J:J,B:B,'Audit Raw data'!E:E,G:G)/H2134)/100,"-")</f>
        <v>-</v>
      </c>
      <c r="J2134">
        <f>COUNTIFS('Audit Raw data'!AM:AM,"Yes",'Audit Raw data'!J:J,B:B,'Audit Raw data'!E:E,'Day wise agent'!G:G)</f>
        <v>0</v>
      </c>
      <c r="K2134">
        <f>COUNTIFS('Audit Raw data'!AM:AM,"NO",'Audit Raw data'!J:J,B:B,'Audit Raw data'!E:E,'Day wise agent'!G:G)</f>
        <v>0</v>
      </c>
      <c r="L2134" s="12" t="str">
        <f t="shared" si="54"/>
        <v xml:space="preserve"> </v>
      </c>
    </row>
    <row r="2135" spans="4:12" x14ac:dyDescent="0.35">
      <c r="D2135" s="32"/>
      <c r="G2135" s="32"/>
      <c r="H2135">
        <f>COUNTIFS('Audit Raw data'!J:J,B:B,'Audit Raw data'!E:E,G:G)</f>
        <v>0</v>
      </c>
      <c r="I2135" s="44" t="str">
        <f>IFERROR((SUMIFS('Audit Raw data'!BZ:BZ,'Audit Raw data'!J:J,B:B,'Audit Raw data'!E:E,G:G)/H2135)/100,"-")</f>
        <v>-</v>
      </c>
      <c r="J2135">
        <f>COUNTIFS('Audit Raw data'!AM:AM,"Yes",'Audit Raw data'!J:J,B:B,'Audit Raw data'!E:E,'Day wise agent'!G:G)</f>
        <v>0</v>
      </c>
      <c r="K2135">
        <f>COUNTIFS('Audit Raw data'!AM:AM,"NO",'Audit Raw data'!J:J,B:B,'Audit Raw data'!E:E,'Day wise agent'!G:G)</f>
        <v>0</v>
      </c>
      <c r="L2135" s="12" t="str">
        <f t="shared" si="54"/>
        <v xml:space="preserve"> </v>
      </c>
    </row>
    <row r="2136" spans="4:12" x14ac:dyDescent="0.35">
      <c r="D2136" s="32"/>
      <c r="G2136" s="32"/>
      <c r="H2136">
        <f>COUNTIFS('Audit Raw data'!J:J,B:B,'Audit Raw data'!E:E,G:G)</f>
        <v>0</v>
      </c>
      <c r="I2136" s="44" t="str">
        <f>IFERROR((SUMIFS('Audit Raw data'!BZ:BZ,'Audit Raw data'!J:J,B:B,'Audit Raw data'!E:E,G:G)/H2136)/100,"-")</f>
        <v>-</v>
      </c>
      <c r="J2136">
        <f>COUNTIFS('Audit Raw data'!AM:AM,"Yes",'Audit Raw data'!J:J,B:B,'Audit Raw data'!E:E,'Day wise agent'!G:G)</f>
        <v>0</v>
      </c>
      <c r="K2136">
        <f>COUNTIFS('Audit Raw data'!AM:AM,"NO",'Audit Raw data'!J:J,B:B,'Audit Raw data'!E:E,'Day wise agent'!G:G)</f>
        <v>0</v>
      </c>
      <c r="L2136" s="12" t="str">
        <f t="shared" si="54"/>
        <v xml:space="preserve"> </v>
      </c>
    </row>
    <row r="2137" spans="4:12" x14ac:dyDescent="0.35">
      <c r="D2137" s="32"/>
      <c r="G2137" s="32"/>
      <c r="H2137">
        <f>COUNTIFS('Audit Raw data'!J:J,B:B,'Audit Raw data'!E:E,G:G)</f>
        <v>0</v>
      </c>
      <c r="I2137" s="44" t="str">
        <f>IFERROR((SUMIFS('Audit Raw data'!BZ:BZ,'Audit Raw data'!J:J,B:B,'Audit Raw data'!E:E,G:G)/H2137)/100,"-")</f>
        <v>-</v>
      </c>
      <c r="J2137">
        <f>COUNTIFS('Audit Raw data'!AM:AM,"Yes",'Audit Raw data'!J:J,B:B,'Audit Raw data'!E:E,'Day wise agent'!G:G)</f>
        <v>0</v>
      </c>
      <c r="K2137">
        <f>COUNTIFS('Audit Raw data'!AM:AM,"NO",'Audit Raw data'!J:J,B:B,'Audit Raw data'!E:E,'Day wise agent'!G:G)</f>
        <v>0</v>
      </c>
      <c r="L2137" s="12" t="str">
        <f t="shared" si="54"/>
        <v xml:space="preserve"> </v>
      </c>
    </row>
    <row r="2138" spans="4:12" x14ac:dyDescent="0.35">
      <c r="D2138" s="32"/>
      <c r="G2138" s="32"/>
      <c r="H2138">
        <f>COUNTIFS('Audit Raw data'!J:J,B:B,'Audit Raw data'!E:E,G:G)</f>
        <v>0</v>
      </c>
      <c r="I2138" s="44" t="str">
        <f>IFERROR((SUMIFS('Audit Raw data'!BZ:BZ,'Audit Raw data'!J:J,B:B,'Audit Raw data'!E:E,G:G)/H2138)/100,"-")</f>
        <v>-</v>
      </c>
      <c r="J2138">
        <f>COUNTIFS('Audit Raw data'!AM:AM,"Yes",'Audit Raw data'!J:J,B:B,'Audit Raw data'!E:E,'Day wise agent'!G:G)</f>
        <v>0</v>
      </c>
      <c r="K2138">
        <f>COUNTIFS('Audit Raw data'!AM:AM,"NO",'Audit Raw data'!J:J,B:B,'Audit Raw data'!E:E,'Day wise agent'!G:G)</f>
        <v>0</v>
      </c>
      <c r="L2138" s="12" t="str">
        <f t="shared" si="54"/>
        <v xml:space="preserve"> </v>
      </c>
    </row>
    <row r="2139" spans="4:12" x14ac:dyDescent="0.35">
      <c r="D2139" s="32"/>
      <c r="G2139" s="32"/>
      <c r="H2139">
        <f>COUNTIFS('Audit Raw data'!J:J,B:B,'Audit Raw data'!E:E,G:G)</f>
        <v>0</v>
      </c>
      <c r="I2139" s="44" t="str">
        <f>IFERROR((SUMIFS('Audit Raw data'!BZ:BZ,'Audit Raw data'!J:J,B:B,'Audit Raw data'!E:E,G:G)/H2139)/100,"-")</f>
        <v>-</v>
      </c>
      <c r="J2139">
        <f>COUNTIFS('Audit Raw data'!AM:AM,"Yes",'Audit Raw data'!J:J,B:B,'Audit Raw data'!E:E,'Day wise agent'!G:G)</f>
        <v>0</v>
      </c>
      <c r="K2139">
        <f>COUNTIFS('Audit Raw data'!AM:AM,"NO",'Audit Raw data'!J:J,B:B,'Audit Raw data'!E:E,'Day wise agent'!G:G)</f>
        <v>0</v>
      </c>
      <c r="L2139" s="12" t="str">
        <f t="shared" si="54"/>
        <v xml:space="preserve"> </v>
      </c>
    </row>
    <row r="2140" spans="4:12" x14ac:dyDescent="0.35">
      <c r="D2140" s="32"/>
      <c r="G2140" s="32"/>
      <c r="H2140">
        <f>COUNTIFS('Audit Raw data'!J:J,B:B,'Audit Raw data'!E:E,G:G)</f>
        <v>0</v>
      </c>
      <c r="I2140" s="44" t="str">
        <f>IFERROR((SUMIFS('Audit Raw data'!BZ:BZ,'Audit Raw data'!J:J,B:B,'Audit Raw data'!E:E,G:G)/H2140)/100,"-")</f>
        <v>-</v>
      </c>
      <c r="J2140">
        <f>COUNTIFS('Audit Raw data'!AM:AM,"Yes",'Audit Raw data'!J:J,B:B,'Audit Raw data'!E:E,'Day wise agent'!G:G)</f>
        <v>0</v>
      </c>
      <c r="K2140">
        <f>COUNTIFS('Audit Raw data'!AM:AM,"NO",'Audit Raw data'!J:J,B:B,'Audit Raw data'!E:E,'Day wise agent'!G:G)</f>
        <v>0</v>
      </c>
      <c r="L2140" s="12" t="str">
        <f t="shared" si="54"/>
        <v xml:space="preserve"> </v>
      </c>
    </row>
    <row r="2141" spans="4:12" x14ac:dyDescent="0.35">
      <c r="D2141" s="32"/>
      <c r="G2141" s="32"/>
      <c r="H2141">
        <f>COUNTIFS('Audit Raw data'!J:J,B:B,'Audit Raw data'!E:E,G:G)</f>
        <v>0</v>
      </c>
      <c r="I2141" s="44" t="str">
        <f>IFERROR((SUMIFS('Audit Raw data'!BZ:BZ,'Audit Raw data'!J:J,B:B,'Audit Raw data'!E:E,G:G)/H2141)/100,"-")</f>
        <v>-</v>
      </c>
      <c r="J2141">
        <f>COUNTIFS('Audit Raw data'!AM:AM,"Yes",'Audit Raw data'!J:J,B:B,'Audit Raw data'!E:E,'Day wise agent'!G:G)</f>
        <v>0</v>
      </c>
      <c r="K2141">
        <f>COUNTIFS('Audit Raw data'!AM:AM,"NO",'Audit Raw data'!J:J,B:B,'Audit Raw data'!E:E,'Day wise agent'!G:G)</f>
        <v>0</v>
      </c>
      <c r="L2141" s="12" t="str">
        <f t="shared" si="54"/>
        <v xml:space="preserve"> </v>
      </c>
    </row>
    <row r="2142" spans="4:12" x14ac:dyDescent="0.35">
      <c r="D2142" s="32"/>
      <c r="G2142" s="32"/>
      <c r="H2142">
        <f>COUNTIFS('Audit Raw data'!J:J,B:B,'Audit Raw data'!E:E,G:G)</f>
        <v>0</v>
      </c>
      <c r="I2142" s="44" t="str">
        <f>IFERROR((SUMIFS('Audit Raw data'!BZ:BZ,'Audit Raw data'!J:J,B:B,'Audit Raw data'!E:E,G:G)/H2142)/100,"-")</f>
        <v>-</v>
      </c>
      <c r="J2142">
        <f>COUNTIFS('Audit Raw data'!AM:AM,"Yes",'Audit Raw data'!J:J,B:B,'Audit Raw data'!E:E,'Day wise agent'!G:G)</f>
        <v>0</v>
      </c>
      <c r="K2142">
        <f>COUNTIFS('Audit Raw data'!AM:AM,"NO",'Audit Raw data'!J:J,B:B,'Audit Raw data'!E:E,'Day wise agent'!G:G)</f>
        <v>0</v>
      </c>
      <c r="L2142" s="12" t="str">
        <f t="shared" si="54"/>
        <v xml:space="preserve"> </v>
      </c>
    </row>
    <row r="2143" spans="4:12" x14ac:dyDescent="0.35">
      <c r="D2143" s="32"/>
      <c r="G2143" s="32"/>
      <c r="H2143">
        <f>COUNTIFS('Audit Raw data'!J:J,B:B,'Audit Raw data'!E:E,G:G)</f>
        <v>0</v>
      </c>
      <c r="I2143" s="44" t="str">
        <f>IFERROR((SUMIFS('Audit Raw data'!BZ:BZ,'Audit Raw data'!J:J,B:B,'Audit Raw data'!E:E,G:G)/H2143)/100,"-")</f>
        <v>-</v>
      </c>
      <c r="J2143">
        <f>COUNTIFS('Audit Raw data'!AM:AM,"Yes",'Audit Raw data'!J:J,B:B,'Audit Raw data'!E:E,'Day wise agent'!G:G)</f>
        <v>0</v>
      </c>
      <c r="K2143">
        <f>COUNTIFS('Audit Raw data'!AM:AM,"NO",'Audit Raw data'!J:J,B:B,'Audit Raw data'!E:E,'Day wise agent'!G:G)</f>
        <v>0</v>
      </c>
      <c r="L2143" s="12" t="str">
        <f t="shared" si="54"/>
        <v xml:space="preserve"> </v>
      </c>
    </row>
    <row r="2144" spans="4:12" x14ac:dyDescent="0.35">
      <c r="D2144" s="32"/>
      <c r="G2144" s="32"/>
      <c r="H2144">
        <f>COUNTIFS('Audit Raw data'!J:J,B:B,'Audit Raw data'!E:E,G:G)</f>
        <v>0</v>
      </c>
      <c r="I2144" s="44" t="str">
        <f>IFERROR((SUMIFS('Audit Raw data'!BZ:BZ,'Audit Raw data'!J:J,B:B,'Audit Raw data'!E:E,G:G)/H2144)/100,"-")</f>
        <v>-</v>
      </c>
      <c r="J2144">
        <f>COUNTIFS('Audit Raw data'!AM:AM,"Yes",'Audit Raw data'!J:J,B:B,'Audit Raw data'!E:E,'Day wise agent'!G:G)</f>
        <v>0</v>
      </c>
      <c r="K2144">
        <f>COUNTIFS('Audit Raw data'!AM:AM,"NO",'Audit Raw data'!J:J,B:B,'Audit Raw data'!E:E,'Day wise agent'!G:G)</f>
        <v>0</v>
      </c>
      <c r="L2144" s="12" t="str">
        <f t="shared" si="54"/>
        <v xml:space="preserve"> </v>
      </c>
    </row>
    <row r="2145" spans="4:12" x14ac:dyDescent="0.35">
      <c r="D2145" s="32"/>
      <c r="G2145" s="32"/>
      <c r="H2145">
        <f>COUNTIFS('Audit Raw data'!J:J,B:B,'Audit Raw data'!E:E,G:G)</f>
        <v>0</v>
      </c>
      <c r="I2145" s="44" t="str">
        <f>IFERROR((SUMIFS('Audit Raw data'!BZ:BZ,'Audit Raw data'!J:J,B:B,'Audit Raw data'!E:E,G:G)/H2145)/100,"-")</f>
        <v>-</v>
      </c>
      <c r="J2145">
        <f>COUNTIFS('Audit Raw data'!AM:AM,"Yes",'Audit Raw data'!J:J,B:B,'Audit Raw data'!E:E,'Day wise agent'!G:G)</f>
        <v>0</v>
      </c>
      <c r="K2145">
        <f>COUNTIFS('Audit Raw data'!AM:AM,"NO",'Audit Raw data'!J:J,B:B,'Audit Raw data'!E:E,'Day wise agent'!G:G)</f>
        <v>0</v>
      </c>
      <c r="L2145" s="12" t="str">
        <f t="shared" si="54"/>
        <v xml:space="preserve"> </v>
      </c>
    </row>
    <row r="2146" spans="4:12" x14ac:dyDescent="0.35">
      <c r="D2146" s="32"/>
      <c r="G2146" s="32"/>
      <c r="H2146">
        <f>COUNTIFS('Audit Raw data'!J:J,B:B,'Audit Raw data'!E:E,G:G)</f>
        <v>0</v>
      </c>
      <c r="I2146" s="44" t="str">
        <f>IFERROR((SUMIFS('Audit Raw data'!BZ:BZ,'Audit Raw data'!J:J,B:B,'Audit Raw data'!E:E,G:G)/H2146)/100,"-")</f>
        <v>-</v>
      </c>
      <c r="J2146">
        <f>COUNTIFS('Audit Raw data'!AM:AM,"Yes",'Audit Raw data'!J:J,B:B,'Audit Raw data'!E:E,'Day wise agent'!G:G)</f>
        <v>0</v>
      </c>
      <c r="K2146">
        <f>COUNTIFS('Audit Raw data'!AM:AM,"NO",'Audit Raw data'!J:J,B:B,'Audit Raw data'!E:E,'Day wise agent'!G:G)</f>
        <v>0</v>
      </c>
      <c r="L2146" s="12" t="str">
        <f t="shared" si="54"/>
        <v xml:space="preserve"> </v>
      </c>
    </row>
    <row r="2147" spans="4:12" x14ac:dyDescent="0.35">
      <c r="D2147" s="32"/>
      <c r="G2147" s="32"/>
      <c r="H2147">
        <f>COUNTIFS('Audit Raw data'!J:J,B:B,'Audit Raw data'!E:E,G:G)</f>
        <v>0</v>
      </c>
      <c r="I2147" s="44" t="str">
        <f>IFERROR((SUMIFS('Audit Raw data'!BZ:BZ,'Audit Raw data'!J:J,B:B,'Audit Raw data'!E:E,G:G)/H2147)/100,"-")</f>
        <v>-</v>
      </c>
      <c r="J2147">
        <f>COUNTIFS('Audit Raw data'!AM:AM,"Yes",'Audit Raw data'!J:J,B:B,'Audit Raw data'!E:E,'Day wise agent'!G:G)</f>
        <v>0</v>
      </c>
      <c r="K2147">
        <f>COUNTIFS('Audit Raw data'!AM:AM,"NO",'Audit Raw data'!J:J,B:B,'Audit Raw data'!E:E,'Day wise agent'!G:G)</f>
        <v>0</v>
      </c>
      <c r="L2147" s="12" t="str">
        <f t="shared" si="54"/>
        <v xml:space="preserve"> </v>
      </c>
    </row>
    <row r="2148" spans="4:12" x14ac:dyDescent="0.35">
      <c r="D2148" s="32"/>
      <c r="G2148" s="32"/>
      <c r="H2148">
        <f>COUNTIFS('Audit Raw data'!J:J,B:B,'Audit Raw data'!E:E,G:G)</f>
        <v>0</v>
      </c>
      <c r="I2148" s="44" t="str">
        <f>IFERROR((SUMIFS('Audit Raw data'!BZ:BZ,'Audit Raw data'!J:J,B:B,'Audit Raw data'!E:E,G:G)/H2148)/100,"-")</f>
        <v>-</v>
      </c>
      <c r="J2148">
        <f>COUNTIFS('Audit Raw data'!AM:AM,"Yes",'Audit Raw data'!J:J,B:B,'Audit Raw data'!E:E,'Day wise agent'!G:G)</f>
        <v>0</v>
      </c>
      <c r="K2148">
        <f>COUNTIFS('Audit Raw data'!AM:AM,"NO",'Audit Raw data'!J:J,B:B,'Audit Raw data'!E:E,'Day wise agent'!G:G)</f>
        <v>0</v>
      </c>
      <c r="L2148" s="12" t="str">
        <f t="shared" si="54"/>
        <v xml:space="preserve"> </v>
      </c>
    </row>
    <row r="2149" spans="4:12" x14ac:dyDescent="0.35">
      <c r="D2149" s="32"/>
      <c r="G2149" s="32"/>
      <c r="H2149">
        <f>COUNTIFS('Audit Raw data'!J:J,B:B,'Audit Raw data'!E:E,G:G)</f>
        <v>0</v>
      </c>
      <c r="I2149" s="44" t="str">
        <f>IFERROR((SUMIFS('Audit Raw data'!BZ:BZ,'Audit Raw data'!J:J,B:B,'Audit Raw data'!E:E,G:G)/H2149)/100,"-")</f>
        <v>-</v>
      </c>
      <c r="J2149">
        <f>COUNTIFS('Audit Raw data'!AM:AM,"Yes",'Audit Raw data'!J:J,B:B,'Audit Raw data'!E:E,'Day wise agent'!G:G)</f>
        <v>0</v>
      </c>
      <c r="K2149">
        <f>COUNTIFS('Audit Raw data'!AM:AM,"NO",'Audit Raw data'!J:J,B:B,'Audit Raw data'!E:E,'Day wise agent'!G:G)</f>
        <v>0</v>
      </c>
      <c r="L2149" s="12" t="str">
        <f t="shared" si="54"/>
        <v xml:space="preserve"> </v>
      </c>
    </row>
    <row r="2150" spans="4:12" x14ac:dyDescent="0.35">
      <c r="D2150" s="32"/>
      <c r="G2150" s="32"/>
      <c r="H2150">
        <f>COUNTIFS('Audit Raw data'!J:J,B:B,'Audit Raw data'!E:E,G:G)</f>
        <v>0</v>
      </c>
      <c r="I2150" s="44" t="str">
        <f>IFERROR((SUMIFS('Audit Raw data'!BZ:BZ,'Audit Raw data'!J:J,B:B,'Audit Raw data'!E:E,G:G)/H2150)/100,"-")</f>
        <v>-</v>
      </c>
      <c r="J2150">
        <f>COUNTIFS('Audit Raw data'!AM:AM,"Yes",'Audit Raw data'!J:J,B:B,'Audit Raw data'!E:E,'Day wise agent'!G:G)</f>
        <v>0</v>
      </c>
      <c r="K2150">
        <f>COUNTIFS('Audit Raw data'!AM:AM,"NO",'Audit Raw data'!J:J,B:B,'Audit Raw data'!E:E,'Day wise agent'!G:G)</f>
        <v>0</v>
      </c>
      <c r="L2150" s="12" t="str">
        <f t="shared" si="54"/>
        <v xml:space="preserve"> </v>
      </c>
    </row>
    <row r="2151" spans="4:12" x14ac:dyDescent="0.35">
      <c r="D2151" s="32"/>
      <c r="G2151" s="32"/>
      <c r="H2151">
        <f>COUNTIFS('Audit Raw data'!J:J,B:B,'Audit Raw data'!E:E,G:G)</f>
        <v>0</v>
      </c>
      <c r="I2151" s="44" t="str">
        <f>IFERROR((SUMIFS('Audit Raw data'!BZ:BZ,'Audit Raw data'!J:J,B:B,'Audit Raw data'!E:E,G:G)/H2151)/100,"-")</f>
        <v>-</v>
      </c>
      <c r="J2151">
        <f>COUNTIFS('Audit Raw data'!AM:AM,"Yes",'Audit Raw data'!J:J,B:B,'Audit Raw data'!E:E,'Day wise agent'!G:G)</f>
        <v>0</v>
      </c>
      <c r="K2151">
        <f>COUNTIFS('Audit Raw data'!AM:AM,"NO",'Audit Raw data'!J:J,B:B,'Audit Raw data'!E:E,'Day wise agent'!G:G)</f>
        <v>0</v>
      </c>
      <c r="L2151" s="12" t="str">
        <f t="shared" si="54"/>
        <v xml:space="preserve"> </v>
      </c>
    </row>
    <row r="2152" spans="4:12" x14ac:dyDescent="0.35">
      <c r="D2152" s="32"/>
      <c r="G2152" s="32"/>
      <c r="H2152">
        <f>COUNTIFS('Audit Raw data'!J:J,B:B,'Audit Raw data'!E:E,G:G)</f>
        <v>0</v>
      </c>
      <c r="I2152" s="44" t="str">
        <f>IFERROR((SUMIFS('Audit Raw data'!BZ:BZ,'Audit Raw data'!J:J,B:B,'Audit Raw data'!E:E,G:G)/H2152)/100,"-")</f>
        <v>-</v>
      </c>
      <c r="J2152">
        <f>COUNTIFS('Audit Raw data'!AM:AM,"Yes",'Audit Raw data'!J:J,B:B,'Audit Raw data'!E:E,'Day wise agent'!G:G)</f>
        <v>0</v>
      </c>
      <c r="K2152">
        <f>COUNTIFS('Audit Raw data'!AM:AM,"NO",'Audit Raw data'!J:J,B:B,'Audit Raw data'!E:E,'Day wise agent'!G:G)</f>
        <v>0</v>
      </c>
      <c r="L2152" s="12" t="str">
        <f t="shared" si="54"/>
        <v xml:space="preserve"> </v>
      </c>
    </row>
    <row r="2153" spans="4:12" x14ac:dyDescent="0.35">
      <c r="D2153" s="32"/>
      <c r="G2153" s="32"/>
      <c r="H2153">
        <f>COUNTIFS('Audit Raw data'!J:J,B:B,'Audit Raw data'!E:E,G:G)</f>
        <v>0</v>
      </c>
      <c r="I2153" s="44" t="str">
        <f>IFERROR((SUMIFS('Audit Raw data'!BZ:BZ,'Audit Raw data'!J:J,B:B,'Audit Raw data'!E:E,G:G)/H2153)/100,"-")</f>
        <v>-</v>
      </c>
      <c r="J2153">
        <f>COUNTIFS('Audit Raw data'!AM:AM,"Yes",'Audit Raw data'!J:J,B:B,'Audit Raw data'!E:E,'Day wise agent'!G:G)</f>
        <v>0</v>
      </c>
      <c r="K2153">
        <f>COUNTIFS('Audit Raw data'!AM:AM,"NO",'Audit Raw data'!J:J,B:B,'Audit Raw data'!E:E,'Day wise agent'!G:G)</f>
        <v>0</v>
      </c>
      <c r="L2153" s="12" t="str">
        <f t="shared" si="54"/>
        <v xml:space="preserve"> </v>
      </c>
    </row>
    <row r="2154" spans="4:12" x14ac:dyDescent="0.35">
      <c r="D2154" s="32"/>
      <c r="G2154" s="32"/>
      <c r="H2154">
        <f>COUNTIFS('Audit Raw data'!J:J,B:B,'Audit Raw data'!E:E,G:G)</f>
        <v>0</v>
      </c>
      <c r="I2154" s="44" t="str">
        <f>IFERROR((SUMIFS('Audit Raw data'!BZ:BZ,'Audit Raw data'!J:J,B:B,'Audit Raw data'!E:E,G:G)/H2154)/100,"-")</f>
        <v>-</v>
      </c>
      <c r="J2154">
        <f>COUNTIFS('Audit Raw data'!AM:AM,"Yes",'Audit Raw data'!J:J,B:B,'Audit Raw data'!E:E,'Day wise agent'!G:G)</f>
        <v>0</v>
      </c>
      <c r="K2154">
        <f>COUNTIFS('Audit Raw data'!AM:AM,"NO",'Audit Raw data'!J:J,B:B,'Audit Raw data'!E:E,'Day wise agent'!G:G)</f>
        <v>0</v>
      </c>
      <c r="L2154" s="12" t="str">
        <f t="shared" si="54"/>
        <v xml:space="preserve"> </v>
      </c>
    </row>
    <row r="2155" spans="4:12" x14ac:dyDescent="0.35">
      <c r="D2155" s="32"/>
      <c r="G2155" s="32"/>
      <c r="H2155">
        <f>COUNTIFS('Audit Raw data'!J:J,B:B,'Audit Raw data'!E:E,G:G)</f>
        <v>0</v>
      </c>
      <c r="I2155" s="44" t="str">
        <f>IFERROR((SUMIFS('Audit Raw data'!BZ:BZ,'Audit Raw data'!J:J,B:B,'Audit Raw data'!E:E,G:G)/H2155)/100,"-")</f>
        <v>-</v>
      </c>
      <c r="J2155">
        <f>COUNTIFS('Audit Raw data'!AM:AM,"Yes",'Audit Raw data'!J:J,B:B,'Audit Raw data'!E:E,'Day wise agent'!G:G)</f>
        <v>0</v>
      </c>
      <c r="K2155">
        <f>COUNTIFS('Audit Raw data'!AM:AM,"NO",'Audit Raw data'!J:J,B:B,'Audit Raw data'!E:E,'Day wise agent'!G:G)</f>
        <v>0</v>
      </c>
      <c r="L2155" s="12" t="str">
        <f t="shared" si="54"/>
        <v xml:space="preserve"> </v>
      </c>
    </row>
    <row r="2156" spans="4:12" x14ac:dyDescent="0.35">
      <c r="D2156" s="32"/>
      <c r="G2156" s="32"/>
      <c r="H2156">
        <f>COUNTIFS('Audit Raw data'!J:J,B:B,'Audit Raw data'!E:E,G:G)</f>
        <v>0</v>
      </c>
      <c r="I2156" s="44" t="str">
        <f>IFERROR((SUMIFS('Audit Raw data'!BZ:BZ,'Audit Raw data'!J:J,B:B,'Audit Raw data'!E:E,G:G)/H2156)/100,"-")</f>
        <v>-</v>
      </c>
      <c r="J2156">
        <f>COUNTIFS('Audit Raw data'!AM:AM,"Yes",'Audit Raw data'!J:J,B:B,'Audit Raw data'!E:E,'Day wise agent'!G:G)</f>
        <v>0</v>
      </c>
      <c r="K2156">
        <f>COUNTIFS('Audit Raw data'!AM:AM,"NO",'Audit Raw data'!J:J,B:B,'Audit Raw data'!E:E,'Day wise agent'!G:G)</f>
        <v>0</v>
      </c>
      <c r="L2156" s="12" t="str">
        <f t="shared" si="54"/>
        <v xml:space="preserve"> </v>
      </c>
    </row>
    <row r="2157" spans="4:12" x14ac:dyDescent="0.35">
      <c r="D2157" s="32"/>
      <c r="G2157" s="32"/>
      <c r="H2157">
        <f>COUNTIFS('Audit Raw data'!J:J,B:B,'Audit Raw data'!E:E,G:G)</f>
        <v>0</v>
      </c>
      <c r="I2157" s="44" t="str">
        <f>IFERROR((SUMIFS('Audit Raw data'!BZ:BZ,'Audit Raw data'!J:J,B:B,'Audit Raw data'!E:E,G:G)/H2157)/100,"-")</f>
        <v>-</v>
      </c>
      <c r="J2157">
        <f>COUNTIFS('Audit Raw data'!AM:AM,"Yes",'Audit Raw data'!J:J,B:B,'Audit Raw data'!E:E,'Day wise agent'!G:G)</f>
        <v>0</v>
      </c>
      <c r="K2157">
        <f>COUNTIFS('Audit Raw data'!AM:AM,"NO",'Audit Raw data'!J:J,B:B,'Audit Raw data'!E:E,'Day wise agent'!G:G)</f>
        <v>0</v>
      </c>
      <c r="L2157" s="12" t="str">
        <f t="shared" si="54"/>
        <v xml:space="preserve"> </v>
      </c>
    </row>
    <row r="2158" spans="4:12" x14ac:dyDescent="0.35">
      <c r="D2158" s="32"/>
      <c r="G2158" s="32"/>
      <c r="H2158">
        <f>COUNTIFS('Audit Raw data'!J:J,B:B,'Audit Raw data'!E:E,G:G)</f>
        <v>0</v>
      </c>
      <c r="I2158" s="44" t="str">
        <f>IFERROR((SUMIFS('Audit Raw data'!BZ:BZ,'Audit Raw data'!J:J,B:B,'Audit Raw data'!E:E,G:G)/H2158)/100,"-")</f>
        <v>-</v>
      </c>
      <c r="J2158">
        <f>COUNTIFS('Audit Raw data'!AM:AM,"Yes",'Audit Raw data'!J:J,B:B,'Audit Raw data'!E:E,'Day wise agent'!G:G)</f>
        <v>0</v>
      </c>
      <c r="K2158">
        <f>COUNTIFS('Audit Raw data'!AM:AM,"NO",'Audit Raw data'!J:J,B:B,'Audit Raw data'!E:E,'Day wise agent'!G:G)</f>
        <v>0</v>
      </c>
      <c r="L2158" s="12" t="str">
        <f t="shared" si="54"/>
        <v xml:space="preserve"> </v>
      </c>
    </row>
    <row r="2159" spans="4:12" x14ac:dyDescent="0.35">
      <c r="D2159" s="32"/>
      <c r="G2159" s="32"/>
      <c r="H2159">
        <f>COUNTIFS('Audit Raw data'!J:J,B:B,'Audit Raw data'!E:E,G:G)</f>
        <v>0</v>
      </c>
      <c r="I2159" s="44" t="str">
        <f>IFERROR((SUMIFS('Audit Raw data'!BZ:BZ,'Audit Raw data'!J:J,B:B,'Audit Raw data'!E:E,G:G)/H2159)/100,"-")</f>
        <v>-</v>
      </c>
      <c r="J2159">
        <f>COUNTIFS('Audit Raw data'!AM:AM,"Yes",'Audit Raw data'!J:J,B:B,'Audit Raw data'!E:E,'Day wise agent'!G:G)</f>
        <v>0</v>
      </c>
      <c r="K2159">
        <f>COUNTIFS('Audit Raw data'!AM:AM,"NO",'Audit Raw data'!J:J,B:B,'Audit Raw data'!E:E,'Day wise agent'!G:G)</f>
        <v>0</v>
      </c>
      <c r="L2159" s="12" t="str">
        <f t="shared" si="54"/>
        <v xml:space="preserve"> </v>
      </c>
    </row>
    <row r="2160" spans="4:12" x14ac:dyDescent="0.35">
      <c r="D2160" s="32"/>
      <c r="G2160" s="32"/>
      <c r="H2160">
        <f>COUNTIFS('Audit Raw data'!J:J,B:B,'Audit Raw data'!E:E,G:G)</f>
        <v>0</v>
      </c>
      <c r="I2160" s="44" t="str">
        <f>IFERROR((SUMIFS('Audit Raw data'!BZ:BZ,'Audit Raw data'!J:J,B:B,'Audit Raw data'!E:E,G:G)/H2160)/100,"-")</f>
        <v>-</v>
      </c>
      <c r="J2160">
        <f>COUNTIFS('Audit Raw data'!AM:AM,"Yes",'Audit Raw data'!J:J,B:B,'Audit Raw data'!E:E,'Day wise agent'!G:G)</f>
        <v>0</v>
      </c>
      <c r="K2160">
        <f>COUNTIFS('Audit Raw data'!AM:AM,"NO",'Audit Raw data'!J:J,B:B,'Audit Raw data'!E:E,'Day wise agent'!G:G)</f>
        <v>0</v>
      </c>
      <c r="L2160" s="12" t="str">
        <f t="shared" si="54"/>
        <v xml:space="preserve"> </v>
      </c>
    </row>
    <row r="2161" spans="4:12" x14ac:dyDescent="0.35">
      <c r="D2161" s="32"/>
      <c r="G2161" s="32"/>
      <c r="H2161">
        <f>COUNTIFS('Audit Raw data'!J:J,B:B,'Audit Raw data'!E:E,G:G)</f>
        <v>0</v>
      </c>
      <c r="I2161" s="44" t="str">
        <f>IFERROR((SUMIFS('Audit Raw data'!BZ:BZ,'Audit Raw data'!J:J,B:B,'Audit Raw data'!E:E,G:G)/H2161)/100,"-")</f>
        <v>-</v>
      </c>
      <c r="J2161">
        <f>COUNTIFS('Audit Raw data'!AM:AM,"Yes",'Audit Raw data'!J:J,B:B,'Audit Raw data'!E:E,'Day wise agent'!G:G)</f>
        <v>0</v>
      </c>
      <c r="K2161">
        <f>COUNTIFS('Audit Raw data'!AM:AM,"NO",'Audit Raw data'!J:J,B:B,'Audit Raw data'!E:E,'Day wise agent'!G:G)</f>
        <v>0</v>
      </c>
      <c r="L2161" s="12" t="str">
        <f t="shared" si="54"/>
        <v xml:space="preserve"> </v>
      </c>
    </row>
    <row r="2162" spans="4:12" x14ac:dyDescent="0.35">
      <c r="D2162" s="32"/>
      <c r="G2162" s="32"/>
      <c r="H2162">
        <f>COUNTIFS('Audit Raw data'!J:J,B:B,'Audit Raw data'!E:E,G:G)</f>
        <v>0</v>
      </c>
      <c r="I2162" s="44" t="str">
        <f>IFERROR((SUMIFS('Audit Raw data'!BZ:BZ,'Audit Raw data'!J:J,B:B,'Audit Raw data'!E:E,G:G)/H2162)/100,"-")</f>
        <v>-</v>
      </c>
      <c r="J2162">
        <f>COUNTIFS('Audit Raw data'!AM:AM,"Yes",'Audit Raw data'!J:J,B:B,'Audit Raw data'!E:E,'Day wise agent'!G:G)</f>
        <v>0</v>
      </c>
      <c r="K2162">
        <f>COUNTIFS('Audit Raw data'!AM:AM,"NO",'Audit Raw data'!J:J,B:B,'Audit Raw data'!E:E,'Day wise agent'!G:G)</f>
        <v>0</v>
      </c>
      <c r="L2162" s="12" t="str">
        <f t="shared" si="54"/>
        <v xml:space="preserve"> </v>
      </c>
    </row>
    <row r="2163" spans="4:12" x14ac:dyDescent="0.35">
      <c r="D2163" s="32"/>
      <c r="G2163" s="32"/>
      <c r="H2163">
        <f>COUNTIFS('Audit Raw data'!J:J,B:B,'Audit Raw data'!E:E,G:G)</f>
        <v>0</v>
      </c>
      <c r="I2163" s="44" t="str">
        <f>IFERROR((SUMIFS('Audit Raw data'!BZ:BZ,'Audit Raw data'!J:J,B:B,'Audit Raw data'!E:E,G:G)/H2163)/100,"-")</f>
        <v>-</v>
      </c>
      <c r="J2163">
        <f>COUNTIFS('Audit Raw data'!AM:AM,"Yes",'Audit Raw data'!J:J,B:B,'Audit Raw data'!E:E,'Day wise agent'!G:G)</f>
        <v>0</v>
      </c>
      <c r="K2163">
        <f>COUNTIFS('Audit Raw data'!AM:AM,"NO",'Audit Raw data'!J:J,B:B,'Audit Raw data'!E:E,'Day wise agent'!G:G)</f>
        <v>0</v>
      </c>
      <c r="L2163" s="12" t="str">
        <f t="shared" si="54"/>
        <v xml:space="preserve"> </v>
      </c>
    </row>
    <row r="2164" spans="4:12" x14ac:dyDescent="0.35">
      <c r="D2164" s="32"/>
      <c r="G2164" s="32"/>
      <c r="H2164">
        <f>COUNTIFS('Audit Raw data'!J:J,B:B,'Audit Raw data'!E:E,G:G)</f>
        <v>0</v>
      </c>
      <c r="I2164" s="44" t="str">
        <f>IFERROR((SUMIFS('Audit Raw data'!BZ:BZ,'Audit Raw data'!J:J,B:B,'Audit Raw data'!E:E,G:G)/H2164)/100,"-")</f>
        <v>-</v>
      </c>
      <c r="J2164">
        <f>COUNTIFS('Audit Raw data'!AM:AM,"Yes",'Audit Raw data'!J:J,B:B,'Audit Raw data'!E:E,'Day wise agent'!G:G)</f>
        <v>0</v>
      </c>
      <c r="K2164">
        <f>COUNTIFS('Audit Raw data'!AM:AM,"NO",'Audit Raw data'!J:J,B:B,'Audit Raw data'!E:E,'Day wise agent'!G:G)</f>
        <v>0</v>
      </c>
      <c r="L2164" s="12" t="str">
        <f t="shared" si="54"/>
        <v xml:space="preserve"> </v>
      </c>
    </row>
    <row r="2165" spans="4:12" x14ac:dyDescent="0.35">
      <c r="D2165" s="32"/>
      <c r="G2165" s="32"/>
      <c r="H2165">
        <f>COUNTIFS('Audit Raw data'!J:J,B:B,'Audit Raw data'!E:E,G:G)</f>
        <v>0</v>
      </c>
      <c r="I2165" s="44" t="str">
        <f>IFERROR((SUMIFS('Audit Raw data'!BZ:BZ,'Audit Raw data'!J:J,B:B,'Audit Raw data'!E:E,G:G)/H2165)/100,"-")</f>
        <v>-</v>
      </c>
      <c r="J2165">
        <f>COUNTIFS('Audit Raw data'!AM:AM,"Yes",'Audit Raw data'!J:J,B:B,'Audit Raw data'!E:E,'Day wise agent'!G:G)</f>
        <v>0</v>
      </c>
      <c r="K2165">
        <f>COUNTIFS('Audit Raw data'!AM:AM,"NO",'Audit Raw data'!J:J,B:B,'Audit Raw data'!E:E,'Day wise agent'!G:G)</f>
        <v>0</v>
      </c>
      <c r="L2165" s="12" t="str">
        <f t="shared" si="54"/>
        <v xml:space="preserve"> </v>
      </c>
    </row>
    <row r="2166" spans="4:12" x14ac:dyDescent="0.35">
      <c r="D2166" s="32"/>
      <c r="G2166" s="32"/>
      <c r="H2166">
        <f>COUNTIFS('Audit Raw data'!J:J,B:B,'Audit Raw data'!E:E,G:G)</f>
        <v>0</v>
      </c>
      <c r="I2166" s="44" t="str">
        <f>IFERROR((SUMIFS('Audit Raw data'!BZ:BZ,'Audit Raw data'!J:J,B:B,'Audit Raw data'!E:E,G:G)/H2166)/100,"-")</f>
        <v>-</v>
      </c>
      <c r="J2166">
        <f>COUNTIFS('Audit Raw data'!AM:AM,"Yes",'Audit Raw data'!J:J,B:B,'Audit Raw data'!E:E,'Day wise agent'!G:G)</f>
        <v>0</v>
      </c>
      <c r="K2166">
        <f>COUNTIFS('Audit Raw data'!AM:AM,"NO",'Audit Raw data'!J:J,B:B,'Audit Raw data'!E:E,'Day wise agent'!G:G)</f>
        <v>0</v>
      </c>
      <c r="L2166" s="12" t="str">
        <f t="shared" si="54"/>
        <v xml:space="preserve"> </v>
      </c>
    </row>
    <row r="2167" spans="4:12" x14ac:dyDescent="0.35">
      <c r="D2167" s="32"/>
      <c r="G2167" s="32"/>
      <c r="H2167">
        <f>COUNTIFS('Audit Raw data'!J:J,B:B,'Audit Raw data'!E:E,G:G)</f>
        <v>0</v>
      </c>
      <c r="I2167" s="44" t="str">
        <f>IFERROR((SUMIFS('Audit Raw data'!BZ:BZ,'Audit Raw data'!J:J,B:B,'Audit Raw data'!E:E,G:G)/H2167)/100,"-")</f>
        <v>-</v>
      </c>
      <c r="J2167">
        <f>COUNTIFS('Audit Raw data'!AM:AM,"Yes",'Audit Raw data'!J:J,B:B,'Audit Raw data'!E:E,'Day wise agent'!G:G)</f>
        <v>0</v>
      </c>
      <c r="K2167">
        <f>COUNTIFS('Audit Raw data'!AM:AM,"NO",'Audit Raw data'!J:J,B:B,'Audit Raw data'!E:E,'Day wise agent'!G:G)</f>
        <v>0</v>
      </c>
      <c r="L2167" s="12" t="str">
        <f t="shared" si="54"/>
        <v xml:space="preserve"> </v>
      </c>
    </row>
    <row r="2168" spans="4:12" x14ac:dyDescent="0.35">
      <c r="D2168" s="32"/>
      <c r="G2168" s="32"/>
      <c r="H2168">
        <f>COUNTIFS('Audit Raw data'!J:J,B:B,'Audit Raw data'!E:E,G:G)</f>
        <v>0</v>
      </c>
      <c r="I2168" s="44" t="str">
        <f>IFERROR((SUMIFS('Audit Raw data'!BZ:BZ,'Audit Raw data'!J:J,B:B,'Audit Raw data'!E:E,G:G)/H2168)/100,"-")</f>
        <v>-</v>
      </c>
      <c r="J2168">
        <f>COUNTIFS('Audit Raw data'!AM:AM,"Yes",'Audit Raw data'!J:J,B:B,'Audit Raw data'!E:E,'Day wise agent'!G:G)</f>
        <v>0</v>
      </c>
      <c r="K2168">
        <f>COUNTIFS('Audit Raw data'!AM:AM,"NO",'Audit Raw data'!J:J,B:B,'Audit Raw data'!E:E,'Day wise agent'!G:G)</f>
        <v>0</v>
      </c>
      <c r="L2168" s="12" t="str">
        <f t="shared" si="54"/>
        <v xml:space="preserve"> </v>
      </c>
    </row>
    <row r="2169" spans="4:12" x14ac:dyDescent="0.35">
      <c r="D2169" s="32"/>
      <c r="G2169" s="32"/>
      <c r="H2169">
        <f>COUNTIFS('Audit Raw data'!J:J,B:B,'Audit Raw data'!E:E,G:G)</f>
        <v>0</v>
      </c>
      <c r="I2169" s="44" t="str">
        <f>IFERROR((SUMIFS('Audit Raw data'!BZ:BZ,'Audit Raw data'!J:J,B:B,'Audit Raw data'!E:E,G:G)/H2169)/100,"-")</f>
        <v>-</v>
      </c>
      <c r="J2169">
        <f>COUNTIFS('Audit Raw data'!AM:AM,"Yes",'Audit Raw data'!J:J,B:B,'Audit Raw data'!E:E,'Day wise agent'!G:G)</f>
        <v>0</v>
      </c>
      <c r="K2169">
        <f>COUNTIFS('Audit Raw data'!AM:AM,"NO",'Audit Raw data'!J:J,B:B,'Audit Raw data'!E:E,'Day wise agent'!G:G)</f>
        <v>0</v>
      </c>
      <c r="L2169" s="12" t="str">
        <f t="shared" si="54"/>
        <v xml:space="preserve"> </v>
      </c>
    </row>
    <row r="2170" spans="4:12" x14ac:dyDescent="0.35">
      <c r="D2170" s="32"/>
      <c r="G2170" s="32"/>
      <c r="H2170">
        <f>COUNTIFS('Audit Raw data'!J:J,B:B,'Audit Raw data'!E:E,G:G)</f>
        <v>0</v>
      </c>
      <c r="I2170" s="44" t="str">
        <f>IFERROR((SUMIFS('Audit Raw data'!BZ:BZ,'Audit Raw data'!J:J,B:B,'Audit Raw data'!E:E,G:G)/H2170)/100,"-")</f>
        <v>-</v>
      </c>
      <c r="J2170">
        <f>COUNTIFS('Audit Raw data'!AM:AM,"Yes",'Audit Raw data'!J:J,B:B,'Audit Raw data'!E:E,'Day wise agent'!G:G)</f>
        <v>0</v>
      </c>
      <c r="K2170">
        <f>COUNTIFS('Audit Raw data'!AM:AM,"NO",'Audit Raw data'!J:J,B:B,'Audit Raw data'!E:E,'Day wise agent'!G:G)</f>
        <v>0</v>
      </c>
      <c r="L2170" s="12" t="str">
        <f t="shared" si="54"/>
        <v xml:space="preserve"> </v>
      </c>
    </row>
    <row r="2171" spans="4:12" x14ac:dyDescent="0.35">
      <c r="D2171" s="32"/>
      <c r="G2171" s="32"/>
      <c r="H2171">
        <f>COUNTIFS('Audit Raw data'!J:J,B:B,'Audit Raw data'!E:E,G:G)</f>
        <v>0</v>
      </c>
      <c r="I2171" s="44" t="str">
        <f>IFERROR((SUMIFS('Audit Raw data'!BZ:BZ,'Audit Raw data'!J:J,B:B,'Audit Raw data'!E:E,G:G)/H2171)/100,"-")</f>
        <v>-</v>
      </c>
      <c r="J2171">
        <f>COUNTIFS('Audit Raw data'!AM:AM,"Yes",'Audit Raw data'!J:J,B:B,'Audit Raw data'!E:E,'Day wise agent'!G:G)</f>
        <v>0</v>
      </c>
      <c r="K2171">
        <f>COUNTIFS('Audit Raw data'!AM:AM,"NO",'Audit Raw data'!J:J,B:B,'Audit Raw data'!E:E,'Day wise agent'!G:G)</f>
        <v>0</v>
      </c>
      <c r="L2171" s="12" t="str">
        <f t="shared" si="54"/>
        <v xml:space="preserve"> </v>
      </c>
    </row>
    <row r="2172" spans="4:12" x14ac:dyDescent="0.35">
      <c r="D2172" s="32"/>
      <c r="G2172" s="32"/>
      <c r="H2172">
        <f>COUNTIFS('Audit Raw data'!J:J,B:B,'Audit Raw data'!E:E,G:G)</f>
        <v>0</v>
      </c>
      <c r="I2172" s="44" t="str">
        <f>IFERROR((SUMIFS('Audit Raw data'!BZ:BZ,'Audit Raw data'!J:J,B:B,'Audit Raw data'!E:E,G:G)/H2172)/100,"-")</f>
        <v>-</v>
      </c>
      <c r="J2172">
        <f>COUNTIFS('Audit Raw data'!AM:AM,"Yes",'Audit Raw data'!J:J,B:B,'Audit Raw data'!E:E,'Day wise agent'!G:G)</f>
        <v>0</v>
      </c>
      <c r="K2172">
        <f>COUNTIFS('Audit Raw data'!AM:AM,"NO",'Audit Raw data'!J:J,B:B,'Audit Raw data'!E:E,'Day wise agent'!G:G)</f>
        <v>0</v>
      </c>
      <c r="L2172" s="12" t="str">
        <f t="shared" si="54"/>
        <v xml:space="preserve"> </v>
      </c>
    </row>
    <row r="2173" spans="4:12" x14ac:dyDescent="0.35">
      <c r="D2173" s="32"/>
      <c r="G2173" s="32"/>
      <c r="H2173">
        <f>COUNTIFS('Audit Raw data'!J:J,B:B,'Audit Raw data'!E:E,G:G)</f>
        <v>0</v>
      </c>
      <c r="I2173" s="44" t="str">
        <f>IFERROR((SUMIFS('Audit Raw data'!BZ:BZ,'Audit Raw data'!J:J,B:B,'Audit Raw data'!E:E,G:G)/H2173)/100,"-")</f>
        <v>-</v>
      </c>
      <c r="J2173">
        <f>COUNTIFS('Audit Raw data'!AM:AM,"Yes",'Audit Raw data'!J:J,B:B,'Audit Raw data'!E:E,'Day wise agent'!G:G)</f>
        <v>0</v>
      </c>
      <c r="K2173">
        <f>COUNTIFS('Audit Raw data'!AM:AM,"NO",'Audit Raw data'!J:J,B:B,'Audit Raw data'!E:E,'Day wise agent'!G:G)</f>
        <v>0</v>
      </c>
      <c r="L2173" s="12" t="str">
        <f t="shared" si="54"/>
        <v xml:space="preserve"> </v>
      </c>
    </row>
    <row r="2174" spans="4:12" x14ac:dyDescent="0.35">
      <c r="D2174" s="32"/>
      <c r="G2174" s="32"/>
      <c r="H2174">
        <f>COUNTIFS('Audit Raw data'!J:J,B:B,'Audit Raw data'!E:E,G:G)</f>
        <v>0</v>
      </c>
      <c r="I2174" s="44" t="str">
        <f>IFERROR((SUMIFS('Audit Raw data'!BZ:BZ,'Audit Raw data'!J:J,B:B,'Audit Raw data'!E:E,G:G)/H2174)/100,"-")</f>
        <v>-</v>
      </c>
      <c r="J2174">
        <f>COUNTIFS('Audit Raw data'!AM:AM,"Yes",'Audit Raw data'!J:J,B:B,'Audit Raw data'!E:E,'Day wise agent'!G:G)</f>
        <v>0</v>
      </c>
      <c r="K2174">
        <f>COUNTIFS('Audit Raw data'!AM:AM,"NO",'Audit Raw data'!J:J,B:B,'Audit Raw data'!E:E,'Day wise agent'!G:G)</f>
        <v>0</v>
      </c>
      <c r="L2174" s="12" t="str">
        <f t="shared" si="54"/>
        <v xml:space="preserve"> </v>
      </c>
    </row>
    <row r="2175" spans="4:12" x14ac:dyDescent="0.35">
      <c r="D2175" s="32"/>
      <c r="G2175" s="32"/>
      <c r="H2175">
        <f>COUNTIFS('Audit Raw data'!J:J,B:B,'Audit Raw data'!E:E,G:G)</f>
        <v>0</v>
      </c>
      <c r="I2175" s="44" t="str">
        <f>IFERROR((SUMIFS('Audit Raw data'!BZ:BZ,'Audit Raw data'!J:J,B:B,'Audit Raw data'!E:E,G:G)/H2175)/100,"-")</f>
        <v>-</v>
      </c>
      <c r="J2175">
        <f>COUNTIFS('Audit Raw data'!AM:AM,"Yes",'Audit Raw data'!J:J,B:B,'Audit Raw data'!E:E,'Day wise agent'!G:G)</f>
        <v>0</v>
      </c>
      <c r="K2175">
        <f>COUNTIFS('Audit Raw data'!AM:AM,"NO",'Audit Raw data'!J:J,B:B,'Audit Raw data'!E:E,'Day wise agent'!G:G)</f>
        <v>0</v>
      </c>
      <c r="L2175" s="12" t="str">
        <f t="shared" si="54"/>
        <v xml:space="preserve"> </v>
      </c>
    </row>
    <row r="2176" spans="4:12" x14ac:dyDescent="0.35">
      <c r="D2176" s="32"/>
      <c r="G2176" s="32"/>
      <c r="H2176">
        <f>COUNTIFS('Audit Raw data'!J:J,B:B,'Audit Raw data'!E:E,G:G)</f>
        <v>0</v>
      </c>
      <c r="I2176" s="44" t="str">
        <f>IFERROR((SUMIFS('Audit Raw data'!BZ:BZ,'Audit Raw data'!J:J,B:B,'Audit Raw data'!E:E,G:G)/H2176)/100,"-")</f>
        <v>-</v>
      </c>
      <c r="J2176">
        <f>COUNTIFS('Audit Raw data'!AM:AM,"Yes",'Audit Raw data'!J:J,B:B,'Audit Raw data'!E:E,'Day wise agent'!G:G)</f>
        <v>0</v>
      </c>
      <c r="K2176">
        <f>COUNTIFS('Audit Raw data'!AM:AM,"NO",'Audit Raw data'!J:J,B:B,'Audit Raw data'!E:E,'Day wise agent'!G:G)</f>
        <v>0</v>
      </c>
      <c r="L2176" s="12" t="str">
        <f t="shared" si="54"/>
        <v xml:space="preserve"> </v>
      </c>
    </row>
    <row r="2177" spans="4:12" x14ac:dyDescent="0.35">
      <c r="D2177" s="32"/>
      <c r="G2177" s="32"/>
      <c r="H2177">
        <f>COUNTIFS('Audit Raw data'!J:J,B:B,'Audit Raw data'!E:E,G:G)</f>
        <v>0</v>
      </c>
      <c r="I2177" s="44" t="str">
        <f>IFERROR((SUMIFS('Audit Raw data'!BZ:BZ,'Audit Raw data'!J:J,B:B,'Audit Raw data'!E:E,G:G)/H2177)/100,"-")</f>
        <v>-</v>
      </c>
      <c r="J2177">
        <f>COUNTIFS('Audit Raw data'!AM:AM,"Yes",'Audit Raw data'!J:J,B:B,'Audit Raw data'!E:E,'Day wise agent'!G:G)</f>
        <v>0</v>
      </c>
      <c r="K2177">
        <f>COUNTIFS('Audit Raw data'!AM:AM,"NO",'Audit Raw data'!J:J,B:B,'Audit Raw data'!E:E,'Day wise agent'!G:G)</f>
        <v>0</v>
      </c>
      <c r="L2177" s="12" t="str">
        <f t="shared" si="54"/>
        <v xml:space="preserve"> </v>
      </c>
    </row>
    <row r="2178" spans="4:12" x14ac:dyDescent="0.35">
      <c r="D2178" s="32"/>
      <c r="G2178" s="32"/>
      <c r="H2178">
        <f>COUNTIFS('Audit Raw data'!J:J,B:B,'Audit Raw data'!E:E,G:G)</f>
        <v>0</v>
      </c>
      <c r="I2178" s="44" t="str">
        <f>IFERROR((SUMIFS('Audit Raw data'!BZ:BZ,'Audit Raw data'!J:J,B:B,'Audit Raw data'!E:E,G:G)/H2178)/100,"-")</f>
        <v>-</v>
      </c>
      <c r="J2178">
        <f>COUNTIFS('Audit Raw data'!AM:AM,"Yes",'Audit Raw data'!J:J,B:B,'Audit Raw data'!E:E,'Day wise agent'!G:G)</f>
        <v>0</v>
      </c>
      <c r="K2178">
        <f>COUNTIFS('Audit Raw data'!AM:AM,"NO",'Audit Raw data'!J:J,B:B,'Audit Raw data'!E:E,'Day wise agent'!G:G)</f>
        <v>0</v>
      </c>
      <c r="L2178" s="12" t="str">
        <f t="shared" ref="L2178:L2241" si="55">IFERROR(J2178/H2178," ")</f>
        <v xml:space="preserve"> </v>
      </c>
    </row>
    <row r="2179" spans="4:12" x14ac:dyDescent="0.35">
      <c r="D2179" s="32"/>
      <c r="G2179" s="32"/>
      <c r="H2179">
        <f>COUNTIFS('Audit Raw data'!J:J,B:B,'Audit Raw data'!E:E,G:G)</f>
        <v>0</v>
      </c>
      <c r="I2179" s="44" t="str">
        <f>IFERROR((SUMIFS('Audit Raw data'!BZ:BZ,'Audit Raw data'!J:J,B:B,'Audit Raw data'!E:E,G:G)/H2179)/100,"-")</f>
        <v>-</v>
      </c>
      <c r="J2179">
        <f>COUNTIFS('Audit Raw data'!AM:AM,"Yes",'Audit Raw data'!J:J,B:B,'Audit Raw data'!E:E,'Day wise agent'!G:G)</f>
        <v>0</v>
      </c>
      <c r="K2179">
        <f>COUNTIFS('Audit Raw data'!AM:AM,"NO",'Audit Raw data'!J:J,B:B,'Audit Raw data'!E:E,'Day wise agent'!G:G)</f>
        <v>0</v>
      </c>
      <c r="L2179" s="12" t="str">
        <f t="shared" si="55"/>
        <v xml:space="preserve"> </v>
      </c>
    </row>
    <row r="2180" spans="4:12" x14ac:dyDescent="0.35">
      <c r="D2180" s="32"/>
      <c r="G2180" s="32"/>
      <c r="H2180">
        <f>COUNTIFS('Audit Raw data'!J:J,B:B,'Audit Raw data'!E:E,G:G)</f>
        <v>0</v>
      </c>
      <c r="I2180" s="44" t="str">
        <f>IFERROR((SUMIFS('Audit Raw data'!BZ:BZ,'Audit Raw data'!J:J,B:B,'Audit Raw data'!E:E,G:G)/H2180)/100,"-")</f>
        <v>-</v>
      </c>
      <c r="J2180">
        <f>COUNTIFS('Audit Raw data'!AM:AM,"Yes",'Audit Raw data'!J:J,B:B,'Audit Raw data'!E:E,'Day wise agent'!G:G)</f>
        <v>0</v>
      </c>
      <c r="K2180">
        <f>COUNTIFS('Audit Raw data'!AM:AM,"NO",'Audit Raw data'!J:J,B:B,'Audit Raw data'!E:E,'Day wise agent'!G:G)</f>
        <v>0</v>
      </c>
      <c r="L2180" s="12" t="str">
        <f t="shared" si="55"/>
        <v xml:space="preserve"> </v>
      </c>
    </row>
    <row r="2181" spans="4:12" x14ac:dyDescent="0.35">
      <c r="D2181" s="32"/>
      <c r="G2181" s="32"/>
      <c r="H2181">
        <f>COUNTIFS('Audit Raw data'!J:J,B:B,'Audit Raw data'!E:E,G:G)</f>
        <v>0</v>
      </c>
      <c r="I2181" s="44" t="str">
        <f>IFERROR((SUMIFS('Audit Raw data'!BZ:BZ,'Audit Raw data'!J:J,B:B,'Audit Raw data'!E:E,G:G)/H2181)/100,"-")</f>
        <v>-</v>
      </c>
      <c r="J2181">
        <f>COUNTIFS('Audit Raw data'!AM:AM,"Yes",'Audit Raw data'!J:J,B:B,'Audit Raw data'!E:E,'Day wise agent'!G:G)</f>
        <v>0</v>
      </c>
      <c r="K2181">
        <f>COUNTIFS('Audit Raw data'!AM:AM,"NO",'Audit Raw data'!J:J,B:B,'Audit Raw data'!E:E,'Day wise agent'!G:G)</f>
        <v>0</v>
      </c>
      <c r="L2181" s="12" t="str">
        <f t="shared" si="55"/>
        <v xml:space="preserve"> </v>
      </c>
    </row>
    <row r="2182" spans="4:12" x14ac:dyDescent="0.35">
      <c r="D2182" s="32"/>
      <c r="G2182" s="32"/>
      <c r="H2182">
        <f>COUNTIFS('Audit Raw data'!J:J,B:B,'Audit Raw data'!E:E,G:G)</f>
        <v>0</v>
      </c>
      <c r="I2182" s="44" t="str">
        <f>IFERROR((SUMIFS('Audit Raw data'!BZ:BZ,'Audit Raw data'!J:J,B:B,'Audit Raw data'!E:E,G:G)/H2182)/100,"-")</f>
        <v>-</v>
      </c>
      <c r="J2182">
        <f>COUNTIFS('Audit Raw data'!AM:AM,"Yes",'Audit Raw data'!J:J,B:B,'Audit Raw data'!E:E,'Day wise agent'!G:G)</f>
        <v>0</v>
      </c>
      <c r="K2182">
        <f>COUNTIFS('Audit Raw data'!AM:AM,"NO",'Audit Raw data'!J:J,B:B,'Audit Raw data'!E:E,'Day wise agent'!G:G)</f>
        <v>0</v>
      </c>
      <c r="L2182" s="12" t="str">
        <f t="shared" si="55"/>
        <v xml:space="preserve"> </v>
      </c>
    </row>
    <row r="2183" spans="4:12" x14ac:dyDescent="0.35">
      <c r="D2183" s="32"/>
      <c r="G2183" s="32"/>
      <c r="H2183">
        <f>COUNTIFS('Audit Raw data'!J:J,B:B,'Audit Raw data'!E:E,G:G)</f>
        <v>0</v>
      </c>
      <c r="I2183" s="44" t="str">
        <f>IFERROR((SUMIFS('Audit Raw data'!BZ:BZ,'Audit Raw data'!J:J,B:B,'Audit Raw data'!E:E,G:G)/H2183)/100,"-")</f>
        <v>-</v>
      </c>
      <c r="J2183">
        <f>COUNTIFS('Audit Raw data'!AM:AM,"Yes",'Audit Raw data'!J:J,B:B,'Audit Raw data'!E:E,'Day wise agent'!G:G)</f>
        <v>0</v>
      </c>
      <c r="K2183">
        <f>COUNTIFS('Audit Raw data'!AM:AM,"NO",'Audit Raw data'!J:J,B:B,'Audit Raw data'!E:E,'Day wise agent'!G:G)</f>
        <v>0</v>
      </c>
      <c r="L2183" s="12" t="str">
        <f t="shared" si="55"/>
        <v xml:space="preserve"> </v>
      </c>
    </row>
    <row r="2184" spans="4:12" x14ac:dyDescent="0.35">
      <c r="D2184" s="32"/>
      <c r="G2184" s="32"/>
      <c r="H2184">
        <f>COUNTIFS('Audit Raw data'!J:J,B:B,'Audit Raw data'!E:E,G:G)</f>
        <v>0</v>
      </c>
      <c r="I2184" s="44" t="str">
        <f>IFERROR((SUMIFS('Audit Raw data'!BZ:BZ,'Audit Raw data'!J:J,B:B,'Audit Raw data'!E:E,G:G)/H2184)/100,"-")</f>
        <v>-</v>
      </c>
      <c r="J2184">
        <f>COUNTIFS('Audit Raw data'!AM:AM,"Yes",'Audit Raw data'!J:J,B:B,'Audit Raw data'!E:E,'Day wise agent'!G:G)</f>
        <v>0</v>
      </c>
      <c r="K2184">
        <f>COUNTIFS('Audit Raw data'!AM:AM,"NO",'Audit Raw data'!J:J,B:B,'Audit Raw data'!E:E,'Day wise agent'!G:G)</f>
        <v>0</v>
      </c>
      <c r="L2184" s="12" t="str">
        <f t="shared" si="55"/>
        <v xml:space="preserve"> </v>
      </c>
    </row>
    <row r="2185" spans="4:12" x14ac:dyDescent="0.35">
      <c r="D2185" s="32"/>
      <c r="G2185" s="32"/>
      <c r="H2185">
        <f>COUNTIFS('Audit Raw data'!J:J,B:B,'Audit Raw data'!E:E,G:G)</f>
        <v>0</v>
      </c>
      <c r="I2185" s="44" t="str">
        <f>IFERROR((SUMIFS('Audit Raw data'!BZ:BZ,'Audit Raw data'!J:J,B:B,'Audit Raw data'!E:E,G:G)/H2185)/100,"-")</f>
        <v>-</v>
      </c>
      <c r="J2185">
        <f>COUNTIFS('Audit Raw data'!AM:AM,"Yes",'Audit Raw data'!J:J,B:B,'Audit Raw data'!E:E,'Day wise agent'!G:G)</f>
        <v>0</v>
      </c>
      <c r="K2185">
        <f>COUNTIFS('Audit Raw data'!AM:AM,"NO",'Audit Raw data'!J:J,B:B,'Audit Raw data'!E:E,'Day wise agent'!G:G)</f>
        <v>0</v>
      </c>
      <c r="L2185" s="12" t="str">
        <f t="shared" si="55"/>
        <v xml:space="preserve"> </v>
      </c>
    </row>
    <row r="2186" spans="4:12" x14ac:dyDescent="0.35">
      <c r="D2186" s="32"/>
      <c r="G2186" s="32"/>
      <c r="H2186">
        <f>COUNTIFS('Audit Raw data'!J:J,B:B,'Audit Raw data'!E:E,G:G)</f>
        <v>0</v>
      </c>
      <c r="I2186" s="44" t="str">
        <f>IFERROR((SUMIFS('Audit Raw data'!BZ:BZ,'Audit Raw data'!J:J,B:B,'Audit Raw data'!E:E,G:G)/H2186)/100,"-")</f>
        <v>-</v>
      </c>
      <c r="J2186">
        <f>COUNTIFS('Audit Raw data'!AM:AM,"Yes",'Audit Raw data'!J:J,B:B,'Audit Raw data'!E:E,'Day wise agent'!G:G)</f>
        <v>0</v>
      </c>
      <c r="K2186">
        <f>COUNTIFS('Audit Raw data'!AM:AM,"NO",'Audit Raw data'!J:J,B:B,'Audit Raw data'!E:E,'Day wise agent'!G:G)</f>
        <v>0</v>
      </c>
      <c r="L2186" s="12" t="str">
        <f t="shared" si="55"/>
        <v xml:space="preserve"> </v>
      </c>
    </row>
    <row r="2187" spans="4:12" x14ac:dyDescent="0.35">
      <c r="D2187" s="32"/>
      <c r="G2187" s="32"/>
      <c r="H2187">
        <f>COUNTIFS('Audit Raw data'!J:J,B:B,'Audit Raw data'!E:E,G:G)</f>
        <v>0</v>
      </c>
      <c r="I2187" s="44" t="str">
        <f>IFERROR((SUMIFS('Audit Raw data'!BZ:BZ,'Audit Raw data'!J:J,B:B,'Audit Raw data'!E:E,G:G)/H2187)/100,"-")</f>
        <v>-</v>
      </c>
      <c r="J2187">
        <f>COUNTIFS('Audit Raw data'!AM:AM,"Yes",'Audit Raw data'!J:J,B:B,'Audit Raw data'!E:E,'Day wise agent'!G:G)</f>
        <v>0</v>
      </c>
      <c r="K2187">
        <f>COUNTIFS('Audit Raw data'!AM:AM,"NO",'Audit Raw data'!J:J,B:B,'Audit Raw data'!E:E,'Day wise agent'!G:G)</f>
        <v>0</v>
      </c>
      <c r="L2187" s="12" t="str">
        <f t="shared" si="55"/>
        <v xml:space="preserve"> </v>
      </c>
    </row>
    <row r="2188" spans="4:12" x14ac:dyDescent="0.35">
      <c r="D2188" s="32"/>
      <c r="G2188" s="32"/>
      <c r="H2188">
        <f>COUNTIFS('Audit Raw data'!J:J,B:B,'Audit Raw data'!E:E,G:G)</f>
        <v>0</v>
      </c>
      <c r="I2188" s="44" t="str">
        <f>IFERROR((SUMIFS('Audit Raw data'!BZ:BZ,'Audit Raw data'!J:J,B:B,'Audit Raw data'!E:E,G:G)/H2188)/100,"-")</f>
        <v>-</v>
      </c>
      <c r="J2188">
        <f>COUNTIFS('Audit Raw data'!AM:AM,"Yes",'Audit Raw data'!J:J,B:B,'Audit Raw data'!E:E,'Day wise agent'!G:G)</f>
        <v>0</v>
      </c>
      <c r="K2188">
        <f>COUNTIFS('Audit Raw data'!AM:AM,"NO",'Audit Raw data'!J:J,B:B,'Audit Raw data'!E:E,'Day wise agent'!G:G)</f>
        <v>0</v>
      </c>
      <c r="L2188" s="12" t="str">
        <f t="shared" si="55"/>
        <v xml:space="preserve"> </v>
      </c>
    </row>
    <row r="2189" spans="4:12" x14ac:dyDescent="0.35">
      <c r="D2189" s="32"/>
      <c r="G2189" s="32"/>
      <c r="H2189">
        <f>COUNTIFS('Audit Raw data'!J:J,B:B,'Audit Raw data'!E:E,G:G)</f>
        <v>0</v>
      </c>
      <c r="I2189" s="44" t="str">
        <f>IFERROR((SUMIFS('Audit Raw data'!BZ:BZ,'Audit Raw data'!J:J,B:B,'Audit Raw data'!E:E,G:G)/H2189)/100,"-")</f>
        <v>-</v>
      </c>
      <c r="J2189">
        <f>COUNTIFS('Audit Raw data'!AM:AM,"Yes",'Audit Raw data'!J:J,B:B,'Audit Raw data'!E:E,'Day wise agent'!G:G)</f>
        <v>0</v>
      </c>
      <c r="K2189">
        <f>COUNTIFS('Audit Raw data'!AM:AM,"NO",'Audit Raw data'!J:J,B:B,'Audit Raw data'!E:E,'Day wise agent'!G:G)</f>
        <v>0</v>
      </c>
      <c r="L2189" s="12" t="str">
        <f t="shared" si="55"/>
        <v xml:space="preserve"> </v>
      </c>
    </row>
    <row r="2190" spans="4:12" x14ac:dyDescent="0.35">
      <c r="D2190" s="32"/>
      <c r="G2190" s="32"/>
      <c r="H2190">
        <f>COUNTIFS('Audit Raw data'!J:J,B:B,'Audit Raw data'!E:E,G:G)</f>
        <v>0</v>
      </c>
      <c r="I2190" s="44" t="str">
        <f>IFERROR((SUMIFS('Audit Raw data'!BZ:BZ,'Audit Raw data'!J:J,B:B,'Audit Raw data'!E:E,G:G)/H2190)/100,"-")</f>
        <v>-</v>
      </c>
      <c r="J2190">
        <f>COUNTIFS('Audit Raw data'!AM:AM,"Yes",'Audit Raw data'!J:J,B:B,'Audit Raw data'!E:E,'Day wise agent'!G:G)</f>
        <v>0</v>
      </c>
      <c r="K2190">
        <f>COUNTIFS('Audit Raw data'!AM:AM,"NO",'Audit Raw data'!J:J,B:B,'Audit Raw data'!E:E,'Day wise agent'!G:G)</f>
        <v>0</v>
      </c>
      <c r="L2190" s="12" t="str">
        <f t="shared" si="55"/>
        <v xml:space="preserve"> </v>
      </c>
    </row>
    <row r="2191" spans="4:12" x14ac:dyDescent="0.35">
      <c r="D2191" s="32"/>
      <c r="G2191" s="32"/>
      <c r="H2191">
        <f>COUNTIFS('Audit Raw data'!J:J,B:B,'Audit Raw data'!E:E,G:G)</f>
        <v>0</v>
      </c>
      <c r="I2191" s="44" t="str">
        <f>IFERROR((SUMIFS('Audit Raw data'!BZ:BZ,'Audit Raw data'!J:J,B:B,'Audit Raw data'!E:E,G:G)/H2191)/100,"-")</f>
        <v>-</v>
      </c>
      <c r="J2191">
        <f>COUNTIFS('Audit Raw data'!AM:AM,"Yes",'Audit Raw data'!J:J,B:B,'Audit Raw data'!E:E,'Day wise agent'!G:G)</f>
        <v>0</v>
      </c>
      <c r="K2191">
        <f>COUNTIFS('Audit Raw data'!AM:AM,"NO",'Audit Raw data'!J:J,B:B,'Audit Raw data'!E:E,'Day wise agent'!G:G)</f>
        <v>0</v>
      </c>
      <c r="L2191" s="12" t="str">
        <f t="shared" si="55"/>
        <v xml:space="preserve"> </v>
      </c>
    </row>
    <row r="2192" spans="4:12" x14ac:dyDescent="0.35">
      <c r="D2192" s="32"/>
      <c r="G2192" s="32"/>
      <c r="H2192">
        <f>COUNTIFS('Audit Raw data'!J:J,B:B,'Audit Raw data'!E:E,G:G)</f>
        <v>0</v>
      </c>
      <c r="I2192" s="44" t="str">
        <f>IFERROR((SUMIFS('Audit Raw data'!BZ:BZ,'Audit Raw data'!J:J,B:B,'Audit Raw data'!E:E,G:G)/H2192)/100,"-")</f>
        <v>-</v>
      </c>
      <c r="J2192">
        <f>COUNTIFS('Audit Raw data'!AM:AM,"Yes",'Audit Raw data'!J:J,B:B,'Audit Raw data'!E:E,'Day wise agent'!G:G)</f>
        <v>0</v>
      </c>
      <c r="K2192">
        <f>COUNTIFS('Audit Raw data'!AM:AM,"NO",'Audit Raw data'!J:J,B:B,'Audit Raw data'!E:E,'Day wise agent'!G:G)</f>
        <v>0</v>
      </c>
      <c r="L2192" s="12" t="str">
        <f t="shared" si="55"/>
        <v xml:space="preserve"> </v>
      </c>
    </row>
    <row r="2193" spans="4:12" x14ac:dyDescent="0.35">
      <c r="D2193" s="32"/>
      <c r="G2193" s="32"/>
      <c r="H2193">
        <f>COUNTIFS('Audit Raw data'!J:J,B:B,'Audit Raw data'!E:E,G:G)</f>
        <v>0</v>
      </c>
      <c r="I2193" s="44" t="str">
        <f>IFERROR((SUMIFS('Audit Raw data'!BZ:BZ,'Audit Raw data'!J:J,B:B,'Audit Raw data'!E:E,G:G)/H2193)/100,"-")</f>
        <v>-</v>
      </c>
      <c r="J2193">
        <f>COUNTIFS('Audit Raw data'!AM:AM,"Yes",'Audit Raw data'!J:J,B:B,'Audit Raw data'!E:E,'Day wise agent'!G:G)</f>
        <v>0</v>
      </c>
      <c r="K2193">
        <f>COUNTIFS('Audit Raw data'!AM:AM,"NO",'Audit Raw data'!J:J,B:B,'Audit Raw data'!E:E,'Day wise agent'!G:G)</f>
        <v>0</v>
      </c>
      <c r="L2193" s="12" t="str">
        <f t="shared" si="55"/>
        <v xml:space="preserve"> </v>
      </c>
    </row>
    <row r="2194" spans="4:12" x14ac:dyDescent="0.35">
      <c r="D2194" s="32"/>
      <c r="G2194" s="32"/>
      <c r="H2194">
        <f>COUNTIFS('Audit Raw data'!J:J,B:B,'Audit Raw data'!E:E,G:G)</f>
        <v>0</v>
      </c>
      <c r="I2194" s="44" t="str">
        <f>IFERROR((SUMIFS('Audit Raw data'!BZ:BZ,'Audit Raw data'!J:J,B:B,'Audit Raw data'!E:E,G:G)/H2194)/100,"-")</f>
        <v>-</v>
      </c>
      <c r="J2194">
        <f>COUNTIFS('Audit Raw data'!AM:AM,"Yes",'Audit Raw data'!J:J,B:B,'Audit Raw data'!E:E,'Day wise agent'!G:G)</f>
        <v>0</v>
      </c>
      <c r="K2194">
        <f>COUNTIFS('Audit Raw data'!AM:AM,"NO",'Audit Raw data'!J:J,B:B,'Audit Raw data'!E:E,'Day wise agent'!G:G)</f>
        <v>0</v>
      </c>
      <c r="L2194" s="12" t="str">
        <f t="shared" si="55"/>
        <v xml:space="preserve"> </v>
      </c>
    </row>
    <row r="2195" spans="4:12" x14ac:dyDescent="0.35">
      <c r="D2195" s="32"/>
      <c r="G2195" s="32"/>
      <c r="H2195">
        <f>COUNTIFS('Audit Raw data'!J:J,B:B,'Audit Raw data'!E:E,G:G)</f>
        <v>0</v>
      </c>
      <c r="I2195" s="44" t="str">
        <f>IFERROR((SUMIFS('Audit Raw data'!BZ:BZ,'Audit Raw data'!J:J,B:B,'Audit Raw data'!E:E,G:G)/H2195)/100,"-")</f>
        <v>-</v>
      </c>
      <c r="J2195">
        <f>COUNTIFS('Audit Raw data'!AM:AM,"Yes",'Audit Raw data'!J:J,B:B,'Audit Raw data'!E:E,'Day wise agent'!G:G)</f>
        <v>0</v>
      </c>
      <c r="K2195">
        <f>COUNTIFS('Audit Raw data'!AM:AM,"NO",'Audit Raw data'!J:J,B:B,'Audit Raw data'!E:E,'Day wise agent'!G:G)</f>
        <v>0</v>
      </c>
      <c r="L2195" s="12" t="str">
        <f t="shared" si="55"/>
        <v xml:space="preserve"> </v>
      </c>
    </row>
    <row r="2196" spans="4:12" x14ac:dyDescent="0.35">
      <c r="D2196" s="32"/>
      <c r="G2196" s="32"/>
      <c r="H2196">
        <f>COUNTIFS('Audit Raw data'!J:J,B:B,'Audit Raw data'!E:E,G:G)</f>
        <v>0</v>
      </c>
      <c r="I2196" s="44" t="str">
        <f>IFERROR((SUMIFS('Audit Raw data'!BZ:BZ,'Audit Raw data'!J:J,B:B,'Audit Raw data'!E:E,G:G)/H2196)/100,"-")</f>
        <v>-</v>
      </c>
      <c r="J2196">
        <f>COUNTIFS('Audit Raw data'!AM:AM,"Yes",'Audit Raw data'!J:J,B:B,'Audit Raw data'!E:E,'Day wise agent'!G:G)</f>
        <v>0</v>
      </c>
      <c r="K2196">
        <f>COUNTIFS('Audit Raw data'!AM:AM,"NO",'Audit Raw data'!J:J,B:B,'Audit Raw data'!E:E,'Day wise agent'!G:G)</f>
        <v>0</v>
      </c>
      <c r="L2196" s="12" t="str">
        <f t="shared" si="55"/>
        <v xml:space="preserve"> </v>
      </c>
    </row>
    <row r="2197" spans="4:12" x14ac:dyDescent="0.35">
      <c r="D2197" s="32"/>
      <c r="G2197" s="32"/>
      <c r="H2197">
        <f>COUNTIFS('Audit Raw data'!J:J,B:B,'Audit Raw data'!E:E,G:G)</f>
        <v>0</v>
      </c>
      <c r="I2197" s="44" t="str">
        <f>IFERROR((SUMIFS('Audit Raw data'!BZ:BZ,'Audit Raw data'!J:J,B:B,'Audit Raw data'!E:E,G:G)/H2197)/100,"-")</f>
        <v>-</v>
      </c>
      <c r="J2197">
        <f>COUNTIFS('Audit Raw data'!AM:AM,"Yes",'Audit Raw data'!J:J,B:B,'Audit Raw data'!E:E,'Day wise agent'!G:G)</f>
        <v>0</v>
      </c>
      <c r="K2197">
        <f>COUNTIFS('Audit Raw data'!AM:AM,"NO",'Audit Raw data'!J:J,B:B,'Audit Raw data'!E:E,'Day wise agent'!G:G)</f>
        <v>0</v>
      </c>
      <c r="L2197" s="12" t="str">
        <f t="shared" si="55"/>
        <v xml:space="preserve"> </v>
      </c>
    </row>
    <row r="2198" spans="4:12" x14ac:dyDescent="0.35">
      <c r="D2198" s="32"/>
      <c r="G2198" s="32"/>
      <c r="H2198">
        <f>COUNTIFS('Audit Raw data'!J:J,B:B,'Audit Raw data'!E:E,G:G)</f>
        <v>0</v>
      </c>
      <c r="I2198" s="44" t="str">
        <f>IFERROR((SUMIFS('Audit Raw data'!BZ:BZ,'Audit Raw data'!J:J,B:B,'Audit Raw data'!E:E,G:G)/H2198)/100,"-")</f>
        <v>-</v>
      </c>
      <c r="J2198">
        <f>COUNTIFS('Audit Raw data'!AM:AM,"Yes",'Audit Raw data'!J:J,B:B,'Audit Raw data'!E:E,'Day wise agent'!G:G)</f>
        <v>0</v>
      </c>
      <c r="K2198">
        <f>COUNTIFS('Audit Raw data'!AM:AM,"NO",'Audit Raw data'!J:J,B:B,'Audit Raw data'!E:E,'Day wise agent'!G:G)</f>
        <v>0</v>
      </c>
      <c r="L2198" s="12" t="str">
        <f t="shared" si="55"/>
        <v xml:space="preserve"> </v>
      </c>
    </row>
    <row r="2199" spans="4:12" x14ac:dyDescent="0.35">
      <c r="D2199" s="32"/>
      <c r="G2199" s="32"/>
      <c r="H2199">
        <f>COUNTIFS('Audit Raw data'!J:J,B:B,'Audit Raw data'!E:E,G:G)</f>
        <v>0</v>
      </c>
      <c r="I2199" s="44" t="str">
        <f>IFERROR((SUMIFS('Audit Raw data'!BZ:BZ,'Audit Raw data'!J:J,B:B,'Audit Raw data'!E:E,G:G)/H2199)/100,"-")</f>
        <v>-</v>
      </c>
      <c r="J2199">
        <f>COUNTIFS('Audit Raw data'!AM:AM,"Yes",'Audit Raw data'!J:J,B:B,'Audit Raw data'!E:E,'Day wise agent'!G:G)</f>
        <v>0</v>
      </c>
      <c r="K2199">
        <f>COUNTIFS('Audit Raw data'!AM:AM,"NO",'Audit Raw data'!J:J,B:B,'Audit Raw data'!E:E,'Day wise agent'!G:G)</f>
        <v>0</v>
      </c>
      <c r="L2199" s="12" t="str">
        <f t="shared" si="55"/>
        <v xml:space="preserve"> </v>
      </c>
    </row>
    <row r="2200" spans="4:12" x14ac:dyDescent="0.35">
      <c r="D2200" s="32"/>
      <c r="G2200" s="32"/>
      <c r="H2200">
        <f>COUNTIFS('Audit Raw data'!J:J,B:B,'Audit Raw data'!E:E,G:G)</f>
        <v>0</v>
      </c>
      <c r="I2200" s="44" t="str">
        <f>IFERROR((SUMIFS('Audit Raw data'!BZ:BZ,'Audit Raw data'!J:J,B:B,'Audit Raw data'!E:E,G:G)/H2200)/100,"-")</f>
        <v>-</v>
      </c>
      <c r="J2200">
        <f>COUNTIFS('Audit Raw data'!AM:AM,"Yes",'Audit Raw data'!J:J,B:B,'Audit Raw data'!E:E,'Day wise agent'!G:G)</f>
        <v>0</v>
      </c>
      <c r="K2200">
        <f>COUNTIFS('Audit Raw data'!AM:AM,"NO",'Audit Raw data'!J:J,B:B,'Audit Raw data'!E:E,'Day wise agent'!G:G)</f>
        <v>0</v>
      </c>
      <c r="L2200" s="12" t="str">
        <f t="shared" si="55"/>
        <v xml:space="preserve"> </v>
      </c>
    </row>
    <row r="2201" spans="4:12" x14ac:dyDescent="0.35">
      <c r="D2201" s="32"/>
      <c r="G2201" s="32"/>
      <c r="H2201">
        <f>COUNTIFS('Audit Raw data'!J:J,B:B,'Audit Raw data'!E:E,G:G)</f>
        <v>0</v>
      </c>
      <c r="I2201" s="44" t="str">
        <f>IFERROR((SUMIFS('Audit Raw data'!BZ:BZ,'Audit Raw data'!J:J,B:B,'Audit Raw data'!E:E,G:G)/H2201)/100,"-")</f>
        <v>-</v>
      </c>
      <c r="J2201">
        <f>COUNTIFS('Audit Raw data'!AM:AM,"Yes",'Audit Raw data'!J:J,B:B,'Audit Raw data'!E:E,'Day wise agent'!G:G)</f>
        <v>0</v>
      </c>
      <c r="K2201">
        <f>COUNTIFS('Audit Raw data'!AM:AM,"NO",'Audit Raw data'!J:J,B:B,'Audit Raw data'!E:E,'Day wise agent'!G:G)</f>
        <v>0</v>
      </c>
      <c r="L2201" s="12" t="str">
        <f t="shared" si="55"/>
        <v xml:space="preserve"> </v>
      </c>
    </row>
    <row r="2202" spans="4:12" x14ac:dyDescent="0.35">
      <c r="D2202" s="32"/>
      <c r="G2202" s="32"/>
      <c r="H2202">
        <f>COUNTIFS('Audit Raw data'!J:J,B:B,'Audit Raw data'!E:E,G:G)</f>
        <v>0</v>
      </c>
      <c r="I2202" s="44" t="str">
        <f>IFERROR((SUMIFS('Audit Raw data'!BZ:BZ,'Audit Raw data'!J:J,B:B,'Audit Raw data'!E:E,G:G)/H2202)/100,"-")</f>
        <v>-</v>
      </c>
      <c r="J2202">
        <f>COUNTIFS('Audit Raw data'!AM:AM,"Yes",'Audit Raw data'!J:J,B:B,'Audit Raw data'!E:E,'Day wise agent'!G:G)</f>
        <v>0</v>
      </c>
      <c r="K2202">
        <f>COUNTIFS('Audit Raw data'!AM:AM,"NO",'Audit Raw data'!J:J,B:B,'Audit Raw data'!E:E,'Day wise agent'!G:G)</f>
        <v>0</v>
      </c>
      <c r="L2202" s="12" t="str">
        <f t="shared" si="55"/>
        <v xml:space="preserve"> </v>
      </c>
    </row>
    <row r="2203" spans="4:12" x14ac:dyDescent="0.35">
      <c r="D2203" s="32"/>
      <c r="G2203" s="32"/>
      <c r="H2203">
        <f>COUNTIFS('Audit Raw data'!J:J,B:B,'Audit Raw data'!E:E,G:G)</f>
        <v>0</v>
      </c>
      <c r="I2203" s="44" t="str">
        <f>IFERROR((SUMIFS('Audit Raw data'!BZ:BZ,'Audit Raw data'!J:J,B:B,'Audit Raw data'!E:E,G:G)/H2203)/100,"-")</f>
        <v>-</v>
      </c>
      <c r="J2203">
        <f>COUNTIFS('Audit Raw data'!AM:AM,"Yes",'Audit Raw data'!J:J,B:B,'Audit Raw data'!E:E,'Day wise agent'!G:G)</f>
        <v>0</v>
      </c>
      <c r="K2203">
        <f>COUNTIFS('Audit Raw data'!AM:AM,"NO",'Audit Raw data'!J:J,B:B,'Audit Raw data'!E:E,'Day wise agent'!G:G)</f>
        <v>0</v>
      </c>
      <c r="L2203" s="12" t="str">
        <f t="shared" si="55"/>
        <v xml:space="preserve"> </v>
      </c>
    </row>
    <row r="2204" spans="4:12" x14ac:dyDescent="0.35">
      <c r="D2204" s="32"/>
      <c r="G2204" s="32"/>
      <c r="H2204">
        <f>COUNTIFS('Audit Raw data'!J:J,B:B,'Audit Raw data'!E:E,G:G)</f>
        <v>0</v>
      </c>
      <c r="I2204" s="44" t="str">
        <f>IFERROR((SUMIFS('Audit Raw data'!BZ:BZ,'Audit Raw data'!J:J,B:B,'Audit Raw data'!E:E,G:G)/H2204)/100,"-")</f>
        <v>-</v>
      </c>
      <c r="J2204">
        <f>COUNTIFS('Audit Raw data'!AM:AM,"Yes",'Audit Raw data'!J:J,B:B,'Audit Raw data'!E:E,'Day wise agent'!G:G)</f>
        <v>0</v>
      </c>
      <c r="K2204">
        <f>COUNTIFS('Audit Raw data'!AM:AM,"NO",'Audit Raw data'!J:J,B:B,'Audit Raw data'!E:E,'Day wise agent'!G:G)</f>
        <v>0</v>
      </c>
      <c r="L2204" s="12" t="str">
        <f t="shared" si="55"/>
        <v xml:space="preserve"> </v>
      </c>
    </row>
    <row r="2205" spans="4:12" x14ac:dyDescent="0.35">
      <c r="D2205" s="32"/>
      <c r="G2205" s="32"/>
      <c r="H2205">
        <f>COUNTIFS('Audit Raw data'!J:J,B:B,'Audit Raw data'!E:E,G:G)</f>
        <v>0</v>
      </c>
      <c r="I2205" s="44" t="str">
        <f>IFERROR((SUMIFS('Audit Raw data'!BZ:BZ,'Audit Raw data'!J:J,B:B,'Audit Raw data'!E:E,G:G)/H2205)/100,"-")</f>
        <v>-</v>
      </c>
      <c r="J2205">
        <f>COUNTIFS('Audit Raw data'!AM:AM,"Yes",'Audit Raw data'!J:J,B:B,'Audit Raw data'!E:E,'Day wise agent'!G:G)</f>
        <v>0</v>
      </c>
      <c r="K2205">
        <f>COUNTIFS('Audit Raw data'!AM:AM,"NO",'Audit Raw data'!J:J,B:B,'Audit Raw data'!E:E,'Day wise agent'!G:G)</f>
        <v>0</v>
      </c>
      <c r="L2205" s="12" t="str">
        <f t="shared" si="55"/>
        <v xml:space="preserve"> </v>
      </c>
    </row>
    <row r="2206" spans="4:12" x14ac:dyDescent="0.35">
      <c r="D2206" s="32"/>
      <c r="G2206" s="32"/>
      <c r="H2206">
        <f>COUNTIFS('Audit Raw data'!J:J,B:B,'Audit Raw data'!E:E,G:G)</f>
        <v>0</v>
      </c>
      <c r="I2206" s="44" t="str">
        <f>IFERROR((SUMIFS('Audit Raw data'!BZ:BZ,'Audit Raw data'!J:J,B:B,'Audit Raw data'!E:E,G:G)/H2206)/100,"-")</f>
        <v>-</v>
      </c>
      <c r="J2206">
        <f>COUNTIFS('Audit Raw data'!AM:AM,"Yes",'Audit Raw data'!J:J,B:B,'Audit Raw data'!E:E,'Day wise agent'!G:G)</f>
        <v>0</v>
      </c>
      <c r="K2206">
        <f>COUNTIFS('Audit Raw data'!AM:AM,"NO",'Audit Raw data'!J:J,B:B,'Audit Raw data'!E:E,'Day wise agent'!G:G)</f>
        <v>0</v>
      </c>
      <c r="L2206" s="12" t="str">
        <f t="shared" si="55"/>
        <v xml:space="preserve"> </v>
      </c>
    </row>
    <row r="2207" spans="4:12" x14ac:dyDescent="0.35">
      <c r="D2207" s="32"/>
      <c r="G2207" s="32"/>
      <c r="H2207">
        <f>COUNTIFS('Audit Raw data'!J:J,B:B,'Audit Raw data'!E:E,G:G)</f>
        <v>0</v>
      </c>
      <c r="I2207" s="44" t="str">
        <f>IFERROR((SUMIFS('Audit Raw data'!BZ:BZ,'Audit Raw data'!J:J,B:B,'Audit Raw data'!E:E,G:G)/H2207)/100,"-")</f>
        <v>-</v>
      </c>
      <c r="J2207">
        <f>COUNTIFS('Audit Raw data'!AM:AM,"Yes",'Audit Raw data'!J:J,B:B,'Audit Raw data'!E:E,'Day wise agent'!G:G)</f>
        <v>0</v>
      </c>
      <c r="K2207">
        <f>COUNTIFS('Audit Raw data'!AM:AM,"NO",'Audit Raw data'!J:J,B:B,'Audit Raw data'!E:E,'Day wise agent'!G:G)</f>
        <v>0</v>
      </c>
      <c r="L2207" s="12" t="str">
        <f t="shared" si="55"/>
        <v xml:space="preserve"> </v>
      </c>
    </row>
    <row r="2208" spans="4:12" x14ac:dyDescent="0.35">
      <c r="D2208" s="32"/>
      <c r="G2208" s="32"/>
      <c r="H2208">
        <f>COUNTIFS('Audit Raw data'!J:J,B:B,'Audit Raw data'!E:E,G:G)</f>
        <v>0</v>
      </c>
      <c r="I2208" s="44" t="str">
        <f>IFERROR((SUMIFS('Audit Raw data'!BZ:BZ,'Audit Raw data'!J:J,B:B,'Audit Raw data'!E:E,G:G)/H2208)/100,"-")</f>
        <v>-</v>
      </c>
      <c r="J2208">
        <f>COUNTIFS('Audit Raw data'!AM:AM,"Yes",'Audit Raw data'!J:J,B:B,'Audit Raw data'!E:E,'Day wise agent'!G:G)</f>
        <v>0</v>
      </c>
      <c r="K2208">
        <f>COUNTIFS('Audit Raw data'!AM:AM,"NO",'Audit Raw data'!J:J,B:B,'Audit Raw data'!E:E,'Day wise agent'!G:G)</f>
        <v>0</v>
      </c>
      <c r="L2208" s="12" t="str">
        <f t="shared" si="55"/>
        <v xml:space="preserve"> </v>
      </c>
    </row>
    <row r="2209" spans="4:12" x14ac:dyDescent="0.35">
      <c r="D2209" s="32"/>
      <c r="G2209" s="32"/>
      <c r="H2209">
        <f>COUNTIFS('Audit Raw data'!J:J,B:B,'Audit Raw data'!E:E,G:G)</f>
        <v>0</v>
      </c>
      <c r="I2209" s="44" t="str">
        <f>IFERROR((SUMIFS('Audit Raw data'!BZ:BZ,'Audit Raw data'!J:J,B:B,'Audit Raw data'!E:E,G:G)/H2209)/100,"-")</f>
        <v>-</v>
      </c>
      <c r="J2209">
        <f>COUNTIFS('Audit Raw data'!AM:AM,"Yes",'Audit Raw data'!J:J,B:B,'Audit Raw data'!E:E,'Day wise agent'!G:G)</f>
        <v>0</v>
      </c>
      <c r="K2209">
        <f>COUNTIFS('Audit Raw data'!AM:AM,"NO",'Audit Raw data'!J:J,B:B,'Audit Raw data'!E:E,'Day wise agent'!G:G)</f>
        <v>0</v>
      </c>
      <c r="L2209" s="12" t="str">
        <f t="shared" si="55"/>
        <v xml:space="preserve"> </v>
      </c>
    </row>
    <row r="2210" spans="4:12" x14ac:dyDescent="0.35">
      <c r="D2210" s="32"/>
      <c r="G2210" s="32"/>
      <c r="H2210">
        <f>COUNTIFS('Audit Raw data'!J:J,B:B,'Audit Raw data'!E:E,G:G)</f>
        <v>0</v>
      </c>
      <c r="I2210" s="44" t="str">
        <f>IFERROR((SUMIFS('Audit Raw data'!BZ:BZ,'Audit Raw data'!J:J,B:B,'Audit Raw data'!E:E,G:G)/H2210)/100,"-")</f>
        <v>-</v>
      </c>
      <c r="J2210">
        <f>COUNTIFS('Audit Raw data'!AM:AM,"Yes",'Audit Raw data'!J:J,B:B,'Audit Raw data'!E:E,'Day wise agent'!G:G)</f>
        <v>0</v>
      </c>
      <c r="K2210">
        <f>COUNTIFS('Audit Raw data'!AM:AM,"NO",'Audit Raw data'!J:J,B:B,'Audit Raw data'!E:E,'Day wise agent'!G:G)</f>
        <v>0</v>
      </c>
      <c r="L2210" s="12" t="str">
        <f t="shared" si="55"/>
        <v xml:space="preserve"> </v>
      </c>
    </row>
    <row r="2211" spans="4:12" x14ac:dyDescent="0.35">
      <c r="D2211" s="32"/>
      <c r="G2211" s="32"/>
      <c r="H2211">
        <f>COUNTIFS('Audit Raw data'!J:J,B:B,'Audit Raw data'!E:E,G:G)</f>
        <v>0</v>
      </c>
      <c r="I2211" s="44" t="str">
        <f>IFERROR((SUMIFS('Audit Raw data'!BZ:BZ,'Audit Raw data'!J:J,B:B,'Audit Raw data'!E:E,G:G)/H2211)/100,"-")</f>
        <v>-</v>
      </c>
      <c r="J2211">
        <f>COUNTIFS('Audit Raw data'!AM:AM,"Yes",'Audit Raw data'!J:J,B:B,'Audit Raw data'!E:E,'Day wise agent'!G:G)</f>
        <v>0</v>
      </c>
      <c r="K2211">
        <f>COUNTIFS('Audit Raw data'!AM:AM,"NO",'Audit Raw data'!J:J,B:B,'Audit Raw data'!E:E,'Day wise agent'!G:G)</f>
        <v>0</v>
      </c>
      <c r="L2211" s="12" t="str">
        <f t="shared" si="55"/>
        <v xml:space="preserve"> </v>
      </c>
    </row>
    <row r="2212" spans="4:12" x14ac:dyDescent="0.35">
      <c r="D2212" s="32"/>
      <c r="G2212" s="32"/>
      <c r="H2212">
        <f>COUNTIFS('Audit Raw data'!J:J,B:B,'Audit Raw data'!E:E,G:G)</f>
        <v>0</v>
      </c>
      <c r="I2212" s="44" t="str">
        <f>IFERROR((SUMIFS('Audit Raw data'!BZ:BZ,'Audit Raw data'!J:J,B:B,'Audit Raw data'!E:E,G:G)/H2212)/100,"-")</f>
        <v>-</v>
      </c>
      <c r="J2212">
        <f>COUNTIFS('Audit Raw data'!AM:AM,"Yes",'Audit Raw data'!J:J,B:B,'Audit Raw data'!E:E,'Day wise agent'!G:G)</f>
        <v>0</v>
      </c>
      <c r="K2212">
        <f>COUNTIFS('Audit Raw data'!AM:AM,"NO",'Audit Raw data'!J:J,B:B,'Audit Raw data'!E:E,'Day wise agent'!G:G)</f>
        <v>0</v>
      </c>
      <c r="L2212" s="12" t="str">
        <f t="shared" si="55"/>
        <v xml:space="preserve"> </v>
      </c>
    </row>
    <row r="2213" spans="4:12" x14ac:dyDescent="0.35">
      <c r="D2213" s="32"/>
      <c r="G2213" s="32"/>
      <c r="H2213">
        <f>COUNTIFS('Audit Raw data'!J:J,B:B,'Audit Raw data'!E:E,G:G)</f>
        <v>0</v>
      </c>
      <c r="I2213" s="44" t="str">
        <f>IFERROR((SUMIFS('Audit Raw data'!BZ:BZ,'Audit Raw data'!J:J,B:B,'Audit Raw data'!E:E,G:G)/H2213)/100,"-")</f>
        <v>-</v>
      </c>
      <c r="J2213">
        <f>COUNTIFS('Audit Raw data'!AM:AM,"Yes",'Audit Raw data'!J:J,B:B,'Audit Raw data'!E:E,'Day wise agent'!G:G)</f>
        <v>0</v>
      </c>
      <c r="K2213">
        <f>COUNTIFS('Audit Raw data'!AM:AM,"NO",'Audit Raw data'!J:J,B:B,'Audit Raw data'!E:E,'Day wise agent'!G:G)</f>
        <v>0</v>
      </c>
      <c r="L2213" s="12" t="str">
        <f t="shared" si="55"/>
        <v xml:space="preserve"> </v>
      </c>
    </row>
    <row r="2214" spans="4:12" x14ac:dyDescent="0.35">
      <c r="D2214" s="32"/>
      <c r="G2214" s="32"/>
      <c r="H2214">
        <f>COUNTIFS('Audit Raw data'!J:J,B:B,'Audit Raw data'!E:E,G:G)</f>
        <v>0</v>
      </c>
      <c r="I2214" s="44" t="str">
        <f>IFERROR((SUMIFS('Audit Raw data'!BZ:BZ,'Audit Raw data'!J:J,B:B,'Audit Raw data'!E:E,G:G)/H2214)/100,"-")</f>
        <v>-</v>
      </c>
      <c r="J2214">
        <f>COUNTIFS('Audit Raw data'!AM:AM,"Yes",'Audit Raw data'!J:J,B:B,'Audit Raw data'!E:E,'Day wise agent'!G:G)</f>
        <v>0</v>
      </c>
      <c r="K2214">
        <f>COUNTIFS('Audit Raw data'!AM:AM,"NO",'Audit Raw data'!J:J,B:B,'Audit Raw data'!E:E,'Day wise agent'!G:G)</f>
        <v>0</v>
      </c>
      <c r="L2214" s="12" t="str">
        <f t="shared" si="55"/>
        <v xml:space="preserve"> </v>
      </c>
    </row>
    <row r="2215" spans="4:12" x14ac:dyDescent="0.35">
      <c r="D2215" s="32"/>
      <c r="G2215" s="32"/>
      <c r="H2215">
        <f>COUNTIFS('Audit Raw data'!J:J,B:B,'Audit Raw data'!E:E,G:G)</f>
        <v>0</v>
      </c>
      <c r="I2215" s="44" t="str">
        <f>IFERROR((SUMIFS('Audit Raw data'!BZ:BZ,'Audit Raw data'!J:J,B:B,'Audit Raw data'!E:E,G:G)/H2215)/100,"-")</f>
        <v>-</v>
      </c>
      <c r="J2215">
        <f>COUNTIFS('Audit Raw data'!AM:AM,"Yes",'Audit Raw data'!J:J,B:B,'Audit Raw data'!E:E,'Day wise agent'!G:G)</f>
        <v>0</v>
      </c>
      <c r="K2215">
        <f>COUNTIFS('Audit Raw data'!AM:AM,"NO",'Audit Raw data'!J:J,B:B,'Audit Raw data'!E:E,'Day wise agent'!G:G)</f>
        <v>0</v>
      </c>
      <c r="L2215" s="12" t="str">
        <f t="shared" si="55"/>
        <v xml:space="preserve"> </v>
      </c>
    </row>
    <row r="2216" spans="4:12" x14ac:dyDescent="0.35">
      <c r="D2216" s="32"/>
      <c r="G2216" s="32"/>
      <c r="H2216">
        <f>COUNTIFS('Audit Raw data'!J:J,B:B,'Audit Raw data'!E:E,G:G)</f>
        <v>0</v>
      </c>
      <c r="I2216" s="44" t="str">
        <f>IFERROR((SUMIFS('Audit Raw data'!BZ:BZ,'Audit Raw data'!J:J,B:B,'Audit Raw data'!E:E,G:G)/H2216)/100,"-")</f>
        <v>-</v>
      </c>
      <c r="J2216">
        <f>COUNTIFS('Audit Raw data'!AM:AM,"Yes",'Audit Raw data'!J:J,B:B,'Audit Raw data'!E:E,'Day wise agent'!G:G)</f>
        <v>0</v>
      </c>
      <c r="K2216">
        <f>COUNTIFS('Audit Raw data'!AM:AM,"NO",'Audit Raw data'!J:J,B:B,'Audit Raw data'!E:E,'Day wise agent'!G:G)</f>
        <v>0</v>
      </c>
      <c r="L2216" s="12" t="str">
        <f t="shared" si="55"/>
        <v xml:space="preserve"> </v>
      </c>
    </row>
    <row r="2217" spans="4:12" x14ac:dyDescent="0.35">
      <c r="D2217" s="32"/>
      <c r="G2217" s="32"/>
      <c r="H2217">
        <f>COUNTIFS('Audit Raw data'!J:J,B:B,'Audit Raw data'!E:E,G:G)</f>
        <v>0</v>
      </c>
      <c r="I2217" s="44" t="str">
        <f>IFERROR((SUMIFS('Audit Raw data'!BZ:BZ,'Audit Raw data'!J:J,B:B,'Audit Raw data'!E:E,G:G)/H2217)/100,"-")</f>
        <v>-</v>
      </c>
      <c r="J2217">
        <f>COUNTIFS('Audit Raw data'!AM:AM,"Yes",'Audit Raw data'!J:J,B:B,'Audit Raw data'!E:E,'Day wise agent'!G:G)</f>
        <v>0</v>
      </c>
      <c r="K2217">
        <f>COUNTIFS('Audit Raw data'!AM:AM,"NO",'Audit Raw data'!J:J,B:B,'Audit Raw data'!E:E,'Day wise agent'!G:G)</f>
        <v>0</v>
      </c>
      <c r="L2217" s="12" t="str">
        <f t="shared" si="55"/>
        <v xml:space="preserve"> </v>
      </c>
    </row>
    <row r="2218" spans="4:12" x14ac:dyDescent="0.35">
      <c r="D2218" s="32"/>
      <c r="G2218" s="32"/>
      <c r="H2218">
        <f>COUNTIFS('Audit Raw data'!J:J,B:B,'Audit Raw data'!E:E,G:G)</f>
        <v>0</v>
      </c>
      <c r="I2218" s="44" t="str">
        <f>IFERROR((SUMIFS('Audit Raw data'!BZ:BZ,'Audit Raw data'!J:J,B:B,'Audit Raw data'!E:E,G:G)/H2218)/100,"-")</f>
        <v>-</v>
      </c>
      <c r="J2218">
        <f>COUNTIFS('Audit Raw data'!AM:AM,"Yes",'Audit Raw data'!J:J,B:B,'Audit Raw data'!E:E,'Day wise agent'!G:G)</f>
        <v>0</v>
      </c>
      <c r="K2218">
        <f>COUNTIFS('Audit Raw data'!AM:AM,"NO",'Audit Raw data'!J:J,B:B,'Audit Raw data'!E:E,'Day wise agent'!G:G)</f>
        <v>0</v>
      </c>
      <c r="L2218" s="12" t="str">
        <f t="shared" si="55"/>
        <v xml:space="preserve"> </v>
      </c>
    </row>
    <row r="2219" spans="4:12" x14ac:dyDescent="0.35">
      <c r="D2219" s="32"/>
      <c r="G2219" s="32"/>
      <c r="H2219">
        <f>COUNTIFS('Audit Raw data'!J:J,B:B,'Audit Raw data'!E:E,G:G)</f>
        <v>0</v>
      </c>
      <c r="I2219" s="44" t="str">
        <f>IFERROR((SUMIFS('Audit Raw data'!BZ:BZ,'Audit Raw data'!J:J,B:B,'Audit Raw data'!E:E,G:G)/H2219)/100,"-")</f>
        <v>-</v>
      </c>
      <c r="J2219">
        <f>COUNTIFS('Audit Raw data'!AM:AM,"Yes",'Audit Raw data'!J:J,B:B,'Audit Raw data'!E:E,'Day wise agent'!G:G)</f>
        <v>0</v>
      </c>
      <c r="K2219">
        <f>COUNTIFS('Audit Raw data'!AM:AM,"NO",'Audit Raw data'!J:J,B:B,'Audit Raw data'!E:E,'Day wise agent'!G:G)</f>
        <v>0</v>
      </c>
      <c r="L2219" s="12" t="str">
        <f t="shared" si="55"/>
        <v xml:space="preserve"> </v>
      </c>
    </row>
    <row r="2220" spans="4:12" x14ac:dyDescent="0.35">
      <c r="D2220" s="32"/>
      <c r="G2220" s="32"/>
      <c r="H2220">
        <f>COUNTIFS('Audit Raw data'!J:J,B:B,'Audit Raw data'!E:E,G:G)</f>
        <v>0</v>
      </c>
      <c r="I2220" s="44" t="str">
        <f>IFERROR((SUMIFS('Audit Raw data'!BZ:BZ,'Audit Raw data'!J:J,B:B,'Audit Raw data'!E:E,G:G)/H2220)/100,"-")</f>
        <v>-</v>
      </c>
      <c r="J2220">
        <f>COUNTIFS('Audit Raw data'!AM:AM,"Yes",'Audit Raw data'!J:J,B:B,'Audit Raw data'!E:E,'Day wise agent'!G:G)</f>
        <v>0</v>
      </c>
      <c r="K2220">
        <f>COUNTIFS('Audit Raw data'!AM:AM,"NO",'Audit Raw data'!J:J,B:B,'Audit Raw data'!E:E,'Day wise agent'!G:G)</f>
        <v>0</v>
      </c>
      <c r="L2220" s="12" t="str">
        <f t="shared" si="55"/>
        <v xml:space="preserve"> </v>
      </c>
    </row>
    <row r="2221" spans="4:12" x14ac:dyDescent="0.35">
      <c r="D2221" s="32"/>
      <c r="G2221" s="32"/>
      <c r="H2221">
        <f>COUNTIFS('Audit Raw data'!J:J,B:B,'Audit Raw data'!E:E,G:G)</f>
        <v>0</v>
      </c>
      <c r="I2221" s="44" t="str">
        <f>IFERROR((SUMIFS('Audit Raw data'!BZ:BZ,'Audit Raw data'!J:J,B:B,'Audit Raw data'!E:E,G:G)/H2221)/100,"-")</f>
        <v>-</v>
      </c>
      <c r="J2221">
        <f>COUNTIFS('Audit Raw data'!AM:AM,"Yes",'Audit Raw data'!J:J,B:B,'Audit Raw data'!E:E,'Day wise agent'!G:G)</f>
        <v>0</v>
      </c>
      <c r="K2221">
        <f>COUNTIFS('Audit Raw data'!AM:AM,"NO",'Audit Raw data'!J:J,B:B,'Audit Raw data'!E:E,'Day wise agent'!G:G)</f>
        <v>0</v>
      </c>
      <c r="L2221" s="12" t="str">
        <f t="shared" si="55"/>
        <v xml:space="preserve"> </v>
      </c>
    </row>
    <row r="2222" spans="4:12" x14ac:dyDescent="0.35">
      <c r="D2222" s="32"/>
      <c r="G2222" s="32"/>
      <c r="H2222">
        <f>COUNTIFS('Audit Raw data'!J:J,B:B,'Audit Raw data'!E:E,G:G)</f>
        <v>0</v>
      </c>
      <c r="I2222" s="44" t="str">
        <f>IFERROR((SUMIFS('Audit Raw data'!BZ:BZ,'Audit Raw data'!J:J,B:B,'Audit Raw data'!E:E,G:G)/H2222)/100,"-")</f>
        <v>-</v>
      </c>
      <c r="J2222">
        <f>COUNTIFS('Audit Raw data'!AM:AM,"Yes",'Audit Raw data'!J:J,B:B,'Audit Raw data'!E:E,'Day wise agent'!G:G)</f>
        <v>0</v>
      </c>
      <c r="K2222">
        <f>COUNTIFS('Audit Raw data'!AM:AM,"NO",'Audit Raw data'!J:J,B:B,'Audit Raw data'!E:E,'Day wise agent'!G:G)</f>
        <v>0</v>
      </c>
      <c r="L2222" s="12" t="str">
        <f t="shared" si="55"/>
        <v xml:space="preserve"> </v>
      </c>
    </row>
    <row r="2223" spans="4:12" x14ac:dyDescent="0.35">
      <c r="D2223" s="32"/>
      <c r="G2223" s="32"/>
      <c r="H2223">
        <f>COUNTIFS('Audit Raw data'!J:J,B:B,'Audit Raw data'!E:E,G:G)</f>
        <v>0</v>
      </c>
      <c r="I2223" s="44" t="str">
        <f>IFERROR((SUMIFS('Audit Raw data'!BZ:BZ,'Audit Raw data'!J:J,B:B,'Audit Raw data'!E:E,G:G)/H2223)/100,"-")</f>
        <v>-</v>
      </c>
      <c r="J2223">
        <f>COUNTIFS('Audit Raw data'!AM:AM,"Yes",'Audit Raw data'!J:J,B:B,'Audit Raw data'!E:E,'Day wise agent'!G:G)</f>
        <v>0</v>
      </c>
      <c r="K2223">
        <f>COUNTIFS('Audit Raw data'!AM:AM,"NO",'Audit Raw data'!J:J,B:B,'Audit Raw data'!E:E,'Day wise agent'!G:G)</f>
        <v>0</v>
      </c>
      <c r="L2223" s="12" t="str">
        <f t="shared" si="55"/>
        <v xml:space="preserve"> </v>
      </c>
    </row>
    <row r="2224" spans="4:12" x14ac:dyDescent="0.35">
      <c r="D2224" s="32"/>
      <c r="G2224" s="32"/>
      <c r="H2224">
        <f>COUNTIFS('Audit Raw data'!J:J,B:B,'Audit Raw data'!E:E,G:G)</f>
        <v>0</v>
      </c>
      <c r="I2224" s="44" t="str">
        <f>IFERROR((SUMIFS('Audit Raw data'!BZ:BZ,'Audit Raw data'!J:J,B:B,'Audit Raw data'!E:E,G:G)/H2224)/100,"-")</f>
        <v>-</v>
      </c>
      <c r="J2224">
        <f>COUNTIFS('Audit Raw data'!AM:AM,"Yes",'Audit Raw data'!J:J,B:B,'Audit Raw data'!E:E,'Day wise agent'!G:G)</f>
        <v>0</v>
      </c>
      <c r="K2224">
        <f>COUNTIFS('Audit Raw data'!AM:AM,"NO",'Audit Raw data'!J:J,B:B,'Audit Raw data'!E:E,'Day wise agent'!G:G)</f>
        <v>0</v>
      </c>
      <c r="L2224" s="12" t="str">
        <f t="shared" si="55"/>
        <v xml:space="preserve"> </v>
      </c>
    </row>
    <row r="2225" spans="4:12" x14ac:dyDescent="0.35">
      <c r="D2225" s="32"/>
      <c r="G2225" s="32"/>
      <c r="H2225">
        <f>COUNTIFS('Audit Raw data'!J:J,B:B,'Audit Raw data'!E:E,G:G)</f>
        <v>0</v>
      </c>
      <c r="I2225" s="44" t="str">
        <f>IFERROR((SUMIFS('Audit Raw data'!BZ:BZ,'Audit Raw data'!J:J,B:B,'Audit Raw data'!E:E,G:G)/H2225)/100,"-")</f>
        <v>-</v>
      </c>
      <c r="J2225">
        <f>COUNTIFS('Audit Raw data'!AM:AM,"Yes",'Audit Raw data'!J:J,B:B,'Audit Raw data'!E:E,'Day wise agent'!G:G)</f>
        <v>0</v>
      </c>
      <c r="K2225">
        <f>COUNTIFS('Audit Raw data'!AM:AM,"NO",'Audit Raw data'!J:J,B:B,'Audit Raw data'!E:E,'Day wise agent'!G:G)</f>
        <v>0</v>
      </c>
      <c r="L2225" s="12" t="str">
        <f t="shared" si="55"/>
        <v xml:space="preserve"> </v>
      </c>
    </row>
    <row r="2226" spans="4:12" x14ac:dyDescent="0.35">
      <c r="D2226" s="32"/>
      <c r="G2226" s="32"/>
      <c r="H2226">
        <f>COUNTIFS('Audit Raw data'!J:J,B:B,'Audit Raw data'!E:E,G:G)</f>
        <v>0</v>
      </c>
      <c r="I2226" s="44" t="str">
        <f>IFERROR((SUMIFS('Audit Raw data'!BZ:BZ,'Audit Raw data'!J:J,B:B,'Audit Raw data'!E:E,G:G)/H2226)/100,"-")</f>
        <v>-</v>
      </c>
      <c r="J2226">
        <f>COUNTIFS('Audit Raw data'!AM:AM,"Yes",'Audit Raw data'!J:J,B:B,'Audit Raw data'!E:E,'Day wise agent'!G:G)</f>
        <v>0</v>
      </c>
      <c r="K2226">
        <f>COUNTIFS('Audit Raw data'!AM:AM,"NO",'Audit Raw data'!J:J,B:B,'Audit Raw data'!E:E,'Day wise agent'!G:G)</f>
        <v>0</v>
      </c>
      <c r="L2226" s="12" t="str">
        <f t="shared" si="55"/>
        <v xml:space="preserve"> </v>
      </c>
    </row>
    <row r="2227" spans="4:12" x14ac:dyDescent="0.35">
      <c r="D2227" s="32"/>
      <c r="G2227" s="32"/>
      <c r="H2227">
        <f>COUNTIFS('Audit Raw data'!J:J,B:B,'Audit Raw data'!E:E,G:G)</f>
        <v>0</v>
      </c>
      <c r="I2227" s="44" t="str">
        <f>IFERROR((SUMIFS('Audit Raw data'!BZ:BZ,'Audit Raw data'!J:J,B:B,'Audit Raw data'!E:E,G:G)/H2227)/100,"-")</f>
        <v>-</v>
      </c>
      <c r="J2227">
        <f>COUNTIFS('Audit Raw data'!AM:AM,"Yes",'Audit Raw data'!J:J,B:B,'Audit Raw data'!E:E,'Day wise agent'!G:G)</f>
        <v>0</v>
      </c>
      <c r="K2227">
        <f>COUNTIFS('Audit Raw data'!AM:AM,"NO",'Audit Raw data'!J:J,B:B,'Audit Raw data'!E:E,'Day wise agent'!G:G)</f>
        <v>0</v>
      </c>
      <c r="L2227" s="12" t="str">
        <f t="shared" si="55"/>
        <v xml:space="preserve"> </v>
      </c>
    </row>
    <row r="2228" spans="4:12" x14ac:dyDescent="0.35">
      <c r="D2228" s="32"/>
      <c r="G2228" s="32"/>
      <c r="H2228">
        <f>COUNTIFS('Audit Raw data'!J:J,B:B,'Audit Raw data'!E:E,G:G)</f>
        <v>0</v>
      </c>
      <c r="I2228" s="44" t="str">
        <f>IFERROR((SUMIFS('Audit Raw data'!BZ:BZ,'Audit Raw data'!J:J,B:B,'Audit Raw data'!E:E,G:G)/H2228)/100,"-")</f>
        <v>-</v>
      </c>
      <c r="J2228">
        <f>COUNTIFS('Audit Raw data'!AM:AM,"Yes",'Audit Raw data'!J:J,B:B,'Audit Raw data'!E:E,'Day wise agent'!G:G)</f>
        <v>0</v>
      </c>
      <c r="K2228">
        <f>COUNTIFS('Audit Raw data'!AM:AM,"NO",'Audit Raw data'!J:J,B:B,'Audit Raw data'!E:E,'Day wise agent'!G:G)</f>
        <v>0</v>
      </c>
      <c r="L2228" s="12" t="str">
        <f t="shared" si="55"/>
        <v xml:space="preserve"> </v>
      </c>
    </row>
    <row r="2229" spans="4:12" x14ac:dyDescent="0.35">
      <c r="D2229" s="32"/>
      <c r="G2229" s="32"/>
      <c r="H2229">
        <f>COUNTIFS('Audit Raw data'!J:J,B:B,'Audit Raw data'!E:E,G:G)</f>
        <v>0</v>
      </c>
      <c r="I2229" s="44" t="str">
        <f>IFERROR((SUMIFS('Audit Raw data'!BZ:BZ,'Audit Raw data'!J:J,B:B,'Audit Raw data'!E:E,G:G)/H2229)/100,"-")</f>
        <v>-</v>
      </c>
      <c r="J2229">
        <f>COUNTIFS('Audit Raw data'!AM:AM,"Yes",'Audit Raw data'!J:J,B:B,'Audit Raw data'!E:E,'Day wise agent'!G:G)</f>
        <v>0</v>
      </c>
      <c r="K2229">
        <f>COUNTIFS('Audit Raw data'!AM:AM,"NO",'Audit Raw data'!J:J,B:B,'Audit Raw data'!E:E,'Day wise agent'!G:G)</f>
        <v>0</v>
      </c>
      <c r="L2229" s="12" t="str">
        <f t="shared" si="55"/>
        <v xml:space="preserve"> </v>
      </c>
    </row>
    <row r="2230" spans="4:12" x14ac:dyDescent="0.35">
      <c r="D2230" s="32"/>
      <c r="G2230" s="32"/>
      <c r="H2230">
        <f>COUNTIFS('Audit Raw data'!J:J,B:B,'Audit Raw data'!E:E,G:G)</f>
        <v>0</v>
      </c>
      <c r="I2230" s="44" t="str">
        <f>IFERROR((SUMIFS('Audit Raw data'!BZ:BZ,'Audit Raw data'!J:J,B:B,'Audit Raw data'!E:E,G:G)/H2230)/100,"-")</f>
        <v>-</v>
      </c>
      <c r="J2230">
        <f>COUNTIFS('Audit Raw data'!AM:AM,"Yes",'Audit Raw data'!J:J,B:B,'Audit Raw data'!E:E,'Day wise agent'!G:G)</f>
        <v>0</v>
      </c>
      <c r="K2230">
        <f>COUNTIFS('Audit Raw data'!AM:AM,"NO",'Audit Raw data'!J:J,B:B,'Audit Raw data'!E:E,'Day wise agent'!G:G)</f>
        <v>0</v>
      </c>
      <c r="L2230" s="12" t="str">
        <f t="shared" si="55"/>
        <v xml:space="preserve"> </v>
      </c>
    </row>
    <row r="2231" spans="4:12" x14ac:dyDescent="0.35">
      <c r="D2231" s="32"/>
      <c r="G2231" s="32"/>
      <c r="H2231">
        <f>COUNTIFS('Audit Raw data'!J:J,B:B,'Audit Raw data'!E:E,G:G)</f>
        <v>0</v>
      </c>
      <c r="I2231" s="44" t="str">
        <f>IFERROR((SUMIFS('Audit Raw data'!BZ:BZ,'Audit Raw data'!J:J,B:B,'Audit Raw data'!E:E,G:G)/H2231)/100,"-")</f>
        <v>-</v>
      </c>
      <c r="J2231">
        <f>COUNTIFS('Audit Raw data'!AM:AM,"Yes",'Audit Raw data'!J:J,B:B,'Audit Raw data'!E:E,'Day wise agent'!G:G)</f>
        <v>0</v>
      </c>
      <c r="K2231">
        <f>COUNTIFS('Audit Raw data'!AM:AM,"NO",'Audit Raw data'!J:J,B:B,'Audit Raw data'!E:E,'Day wise agent'!G:G)</f>
        <v>0</v>
      </c>
      <c r="L2231" s="12" t="str">
        <f t="shared" si="55"/>
        <v xml:space="preserve"> </v>
      </c>
    </row>
    <row r="2232" spans="4:12" x14ac:dyDescent="0.35">
      <c r="D2232" s="32"/>
      <c r="G2232" s="32"/>
      <c r="H2232">
        <f>COUNTIFS('Audit Raw data'!J:J,B:B,'Audit Raw data'!E:E,G:G)</f>
        <v>0</v>
      </c>
      <c r="I2232" s="44" t="str">
        <f>IFERROR((SUMIFS('Audit Raw data'!BZ:BZ,'Audit Raw data'!J:J,B:B,'Audit Raw data'!E:E,G:G)/H2232)/100,"-")</f>
        <v>-</v>
      </c>
      <c r="J2232">
        <f>COUNTIFS('Audit Raw data'!AM:AM,"Yes",'Audit Raw data'!J:J,B:B,'Audit Raw data'!E:E,'Day wise agent'!G:G)</f>
        <v>0</v>
      </c>
      <c r="K2232">
        <f>COUNTIFS('Audit Raw data'!AM:AM,"NO",'Audit Raw data'!J:J,B:B,'Audit Raw data'!E:E,'Day wise agent'!G:G)</f>
        <v>0</v>
      </c>
      <c r="L2232" s="12" t="str">
        <f t="shared" si="55"/>
        <v xml:space="preserve"> </v>
      </c>
    </row>
    <row r="2233" spans="4:12" x14ac:dyDescent="0.35">
      <c r="D2233" s="32"/>
      <c r="G2233" s="32"/>
      <c r="H2233">
        <f>COUNTIFS('Audit Raw data'!J:J,B:B,'Audit Raw data'!E:E,G:G)</f>
        <v>0</v>
      </c>
      <c r="I2233" s="44" t="str">
        <f>IFERROR((SUMIFS('Audit Raw data'!BZ:BZ,'Audit Raw data'!J:J,B:B,'Audit Raw data'!E:E,G:G)/H2233)/100,"-")</f>
        <v>-</v>
      </c>
      <c r="J2233">
        <f>COUNTIFS('Audit Raw data'!AM:AM,"Yes",'Audit Raw data'!J:J,B:B,'Audit Raw data'!E:E,'Day wise agent'!G:G)</f>
        <v>0</v>
      </c>
      <c r="K2233">
        <f>COUNTIFS('Audit Raw data'!AM:AM,"NO",'Audit Raw data'!J:J,B:B,'Audit Raw data'!E:E,'Day wise agent'!G:G)</f>
        <v>0</v>
      </c>
      <c r="L2233" s="12" t="str">
        <f t="shared" si="55"/>
        <v xml:space="preserve"> </v>
      </c>
    </row>
    <row r="2234" spans="4:12" x14ac:dyDescent="0.35">
      <c r="D2234" s="32"/>
      <c r="G2234" s="32"/>
      <c r="H2234">
        <f>COUNTIFS('Audit Raw data'!J:J,B:B,'Audit Raw data'!E:E,G:G)</f>
        <v>0</v>
      </c>
      <c r="I2234" s="44" t="str">
        <f>IFERROR((SUMIFS('Audit Raw data'!BZ:BZ,'Audit Raw data'!J:J,B:B,'Audit Raw data'!E:E,G:G)/H2234)/100,"-")</f>
        <v>-</v>
      </c>
      <c r="J2234">
        <f>COUNTIFS('Audit Raw data'!AM:AM,"Yes",'Audit Raw data'!J:J,B:B,'Audit Raw data'!E:E,'Day wise agent'!G:G)</f>
        <v>0</v>
      </c>
      <c r="K2234">
        <f>COUNTIFS('Audit Raw data'!AM:AM,"NO",'Audit Raw data'!J:J,B:B,'Audit Raw data'!E:E,'Day wise agent'!G:G)</f>
        <v>0</v>
      </c>
      <c r="L2234" s="12" t="str">
        <f t="shared" si="55"/>
        <v xml:space="preserve"> </v>
      </c>
    </row>
    <row r="2235" spans="4:12" x14ac:dyDescent="0.35">
      <c r="D2235" s="32"/>
      <c r="G2235" s="32"/>
      <c r="H2235">
        <f>COUNTIFS('Audit Raw data'!J:J,B:B,'Audit Raw data'!E:E,G:G)</f>
        <v>0</v>
      </c>
      <c r="I2235" s="44" t="str">
        <f>IFERROR((SUMIFS('Audit Raw data'!BZ:BZ,'Audit Raw data'!J:J,B:B,'Audit Raw data'!E:E,G:G)/H2235)/100,"-")</f>
        <v>-</v>
      </c>
      <c r="J2235">
        <f>COUNTIFS('Audit Raw data'!AM:AM,"Yes",'Audit Raw data'!J:J,B:B,'Audit Raw data'!E:E,'Day wise agent'!G:G)</f>
        <v>0</v>
      </c>
      <c r="K2235">
        <f>COUNTIFS('Audit Raw data'!AM:AM,"NO",'Audit Raw data'!J:J,B:B,'Audit Raw data'!E:E,'Day wise agent'!G:G)</f>
        <v>0</v>
      </c>
      <c r="L2235" s="12" t="str">
        <f t="shared" si="55"/>
        <v xml:space="preserve"> </v>
      </c>
    </row>
    <row r="2236" spans="4:12" x14ac:dyDescent="0.35">
      <c r="D2236" s="32"/>
      <c r="G2236" s="32"/>
      <c r="H2236">
        <f>COUNTIFS('Audit Raw data'!J:J,B:B,'Audit Raw data'!E:E,G:G)</f>
        <v>0</v>
      </c>
      <c r="I2236" s="44" t="str">
        <f>IFERROR((SUMIFS('Audit Raw data'!BZ:BZ,'Audit Raw data'!J:J,B:B,'Audit Raw data'!E:E,G:G)/H2236)/100,"-")</f>
        <v>-</v>
      </c>
      <c r="J2236">
        <f>COUNTIFS('Audit Raw data'!AM:AM,"Yes",'Audit Raw data'!J:J,B:B,'Audit Raw data'!E:E,'Day wise agent'!G:G)</f>
        <v>0</v>
      </c>
      <c r="K2236">
        <f>COUNTIFS('Audit Raw data'!AM:AM,"NO",'Audit Raw data'!J:J,B:B,'Audit Raw data'!E:E,'Day wise agent'!G:G)</f>
        <v>0</v>
      </c>
      <c r="L2236" s="12" t="str">
        <f t="shared" si="55"/>
        <v xml:space="preserve"> </v>
      </c>
    </row>
    <row r="2237" spans="4:12" x14ac:dyDescent="0.35">
      <c r="D2237" s="32"/>
      <c r="G2237" s="32"/>
      <c r="H2237">
        <f>COUNTIFS('Audit Raw data'!J:J,B:B,'Audit Raw data'!E:E,G:G)</f>
        <v>0</v>
      </c>
      <c r="I2237" s="44" t="str">
        <f>IFERROR((SUMIFS('Audit Raw data'!BZ:BZ,'Audit Raw data'!J:J,B:B,'Audit Raw data'!E:E,G:G)/H2237)/100,"-")</f>
        <v>-</v>
      </c>
      <c r="J2237">
        <f>COUNTIFS('Audit Raw data'!AM:AM,"Yes",'Audit Raw data'!J:J,B:B,'Audit Raw data'!E:E,'Day wise agent'!G:G)</f>
        <v>0</v>
      </c>
      <c r="K2237">
        <f>COUNTIFS('Audit Raw data'!AM:AM,"NO",'Audit Raw data'!J:J,B:B,'Audit Raw data'!E:E,'Day wise agent'!G:G)</f>
        <v>0</v>
      </c>
      <c r="L2237" s="12" t="str">
        <f t="shared" si="55"/>
        <v xml:space="preserve"> </v>
      </c>
    </row>
    <row r="2238" spans="4:12" x14ac:dyDescent="0.35">
      <c r="D2238" s="32"/>
      <c r="G2238" s="32"/>
      <c r="H2238">
        <f>COUNTIFS('Audit Raw data'!J:J,B:B,'Audit Raw data'!E:E,G:G)</f>
        <v>0</v>
      </c>
      <c r="I2238" s="44" t="str">
        <f>IFERROR((SUMIFS('Audit Raw data'!BZ:BZ,'Audit Raw data'!J:J,B:B,'Audit Raw data'!E:E,G:G)/H2238)/100,"-")</f>
        <v>-</v>
      </c>
      <c r="J2238">
        <f>COUNTIFS('Audit Raw data'!AM:AM,"Yes",'Audit Raw data'!J:J,B:B,'Audit Raw data'!E:E,'Day wise agent'!G:G)</f>
        <v>0</v>
      </c>
      <c r="K2238">
        <f>COUNTIFS('Audit Raw data'!AM:AM,"NO",'Audit Raw data'!J:J,B:B,'Audit Raw data'!E:E,'Day wise agent'!G:G)</f>
        <v>0</v>
      </c>
      <c r="L2238" s="12" t="str">
        <f t="shared" si="55"/>
        <v xml:space="preserve"> </v>
      </c>
    </row>
    <row r="2239" spans="4:12" x14ac:dyDescent="0.35">
      <c r="D2239" s="32"/>
      <c r="G2239" s="32"/>
      <c r="H2239">
        <f>COUNTIFS('Audit Raw data'!J:J,B:B,'Audit Raw data'!E:E,G:G)</f>
        <v>0</v>
      </c>
      <c r="I2239" s="44" t="str">
        <f>IFERROR((SUMIFS('Audit Raw data'!BZ:BZ,'Audit Raw data'!J:J,B:B,'Audit Raw data'!E:E,G:G)/H2239)/100,"-")</f>
        <v>-</v>
      </c>
      <c r="J2239">
        <f>COUNTIFS('Audit Raw data'!AM:AM,"Yes",'Audit Raw data'!J:J,B:B,'Audit Raw data'!E:E,'Day wise agent'!G:G)</f>
        <v>0</v>
      </c>
      <c r="K2239">
        <f>COUNTIFS('Audit Raw data'!AM:AM,"NO",'Audit Raw data'!J:J,B:B,'Audit Raw data'!E:E,'Day wise agent'!G:G)</f>
        <v>0</v>
      </c>
      <c r="L2239" s="12" t="str">
        <f t="shared" si="55"/>
        <v xml:space="preserve"> </v>
      </c>
    </row>
    <row r="2240" spans="4:12" x14ac:dyDescent="0.35">
      <c r="D2240" s="32"/>
      <c r="G2240" s="32"/>
      <c r="H2240">
        <f>COUNTIFS('Audit Raw data'!J:J,B:B,'Audit Raw data'!E:E,G:G)</f>
        <v>0</v>
      </c>
      <c r="I2240" s="44" t="str">
        <f>IFERROR((SUMIFS('Audit Raw data'!BZ:BZ,'Audit Raw data'!J:J,B:B,'Audit Raw data'!E:E,G:G)/H2240)/100,"-")</f>
        <v>-</v>
      </c>
      <c r="J2240">
        <f>COUNTIFS('Audit Raw data'!AM:AM,"Yes",'Audit Raw data'!J:J,B:B,'Audit Raw data'!E:E,'Day wise agent'!G:G)</f>
        <v>0</v>
      </c>
      <c r="K2240">
        <f>COUNTIFS('Audit Raw data'!AM:AM,"NO",'Audit Raw data'!J:J,B:B,'Audit Raw data'!E:E,'Day wise agent'!G:G)</f>
        <v>0</v>
      </c>
      <c r="L2240" s="12" t="str">
        <f t="shared" si="55"/>
        <v xml:space="preserve"> </v>
      </c>
    </row>
    <row r="2241" spans="4:12" x14ac:dyDescent="0.35">
      <c r="D2241" s="32"/>
      <c r="G2241" s="32"/>
      <c r="H2241">
        <f>COUNTIFS('Audit Raw data'!J:J,B:B,'Audit Raw data'!E:E,G:G)</f>
        <v>0</v>
      </c>
      <c r="I2241" s="44" t="str">
        <f>IFERROR((SUMIFS('Audit Raw data'!BZ:BZ,'Audit Raw data'!J:J,B:B,'Audit Raw data'!E:E,G:G)/H2241)/100,"-")</f>
        <v>-</v>
      </c>
      <c r="J2241">
        <f>COUNTIFS('Audit Raw data'!AM:AM,"Yes",'Audit Raw data'!J:J,B:B,'Audit Raw data'!E:E,'Day wise agent'!G:G)</f>
        <v>0</v>
      </c>
      <c r="K2241">
        <f>COUNTIFS('Audit Raw data'!AM:AM,"NO",'Audit Raw data'!J:J,B:B,'Audit Raw data'!E:E,'Day wise agent'!G:G)</f>
        <v>0</v>
      </c>
      <c r="L2241" s="12" t="str">
        <f t="shared" si="55"/>
        <v xml:space="preserve"> </v>
      </c>
    </row>
    <row r="2242" spans="4:12" x14ac:dyDescent="0.35">
      <c r="D2242" s="32"/>
      <c r="G2242" s="32"/>
      <c r="H2242">
        <f>COUNTIFS('Audit Raw data'!J:J,B:B,'Audit Raw data'!E:E,G:G)</f>
        <v>0</v>
      </c>
      <c r="I2242" s="44" t="str">
        <f>IFERROR((SUMIFS('Audit Raw data'!BZ:BZ,'Audit Raw data'!J:J,B:B,'Audit Raw data'!E:E,G:G)/H2242)/100,"-")</f>
        <v>-</v>
      </c>
      <c r="J2242">
        <f>COUNTIFS('Audit Raw data'!AM:AM,"Yes",'Audit Raw data'!J:J,B:B,'Audit Raw data'!E:E,'Day wise agent'!G:G)</f>
        <v>0</v>
      </c>
      <c r="K2242">
        <f>COUNTIFS('Audit Raw data'!AM:AM,"NO",'Audit Raw data'!J:J,B:B,'Audit Raw data'!E:E,'Day wise agent'!G:G)</f>
        <v>0</v>
      </c>
      <c r="L2242" s="12" t="str">
        <f t="shared" ref="L2242:L2305" si="56">IFERROR(J2242/H2242," ")</f>
        <v xml:space="preserve"> </v>
      </c>
    </row>
    <row r="2243" spans="4:12" x14ac:dyDescent="0.35">
      <c r="D2243" s="32"/>
      <c r="G2243" s="32"/>
      <c r="H2243">
        <f>COUNTIFS('Audit Raw data'!J:J,B:B,'Audit Raw data'!E:E,G:G)</f>
        <v>0</v>
      </c>
      <c r="I2243" s="44" t="str">
        <f>IFERROR((SUMIFS('Audit Raw data'!BZ:BZ,'Audit Raw data'!J:J,B:B,'Audit Raw data'!E:E,G:G)/H2243)/100,"-")</f>
        <v>-</v>
      </c>
      <c r="J2243">
        <f>COUNTIFS('Audit Raw data'!AM:AM,"Yes",'Audit Raw data'!J:J,B:B,'Audit Raw data'!E:E,'Day wise agent'!G:G)</f>
        <v>0</v>
      </c>
      <c r="K2243">
        <f>COUNTIFS('Audit Raw data'!AM:AM,"NO",'Audit Raw data'!J:J,B:B,'Audit Raw data'!E:E,'Day wise agent'!G:G)</f>
        <v>0</v>
      </c>
      <c r="L2243" s="12" t="str">
        <f t="shared" si="56"/>
        <v xml:space="preserve"> </v>
      </c>
    </row>
    <row r="2244" spans="4:12" x14ac:dyDescent="0.35">
      <c r="D2244" s="32"/>
      <c r="G2244" s="32"/>
      <c r="H2244">
        <f>COUNTIFS('Audit Raw data'!J:J,B:B,'Audit Raw data'!E:E,G:G)</f>
        <v>0</v>
      </c>
      <c r="I2244" s="44" t="str">
        <f>IFERROR((SUMIFS('Audit Raw data'!BZ:BZ,'Audit Raw data'!J:J,B:B,'Audit Raw data'!E:E,G:G)/H2244)/100,"-")</f>
        <v>-</v>
      </c>
      <c r="J2244">
        <f>COUNTIFS('Audit Raw data'!AM:AM,"Yes",'Audit Raw data'!J:J,B:B,'Audit Raw data'!E:E,'Day wise agent'!G:G)</f>
        <v>0</v>
      </c>
      <c r="K2244">
        <f>COUNTIFS('Audit Raw data'!AM:AM,"NO",'Audit Raw data'!J:J,B:B,'Audit Raw data'!E:E,'Day wise agent'!G:G)</f>
        <v>0</v>
      </c>
      <c r="L2244" s="12" t="str">
        <f t="shared" si="56"/>
        <v xml:space="preserve"> </v>
      </c>
    </row>
    <row r="2245" spans="4:12" x14ac:dyDescent="0.35">
      <c r="D2245" s="32"/>
      <c r="G2245" s="32"/>
      <c r="H2245">
        <f>COUNTIFS('Audit Raw data'!J:J,B:B,'Audit Raw data'!E:E,G:G)</f>
        <v>0</v>
      </c>
      <c r="I2245" s="44" t="str">
        <f>IFERROR((SUMIFS('Audit Raw data'!BZ:BZ,'Audit Raw data'!J:J,B:B,'Audit Raw data'!E:E,G:G)/H2245)/100,"-")</f>
        <v>-</v>
      </c>
      <c r="J2245">
        <f>COUNTIFS('Audit Raw data'!AM:AM,"Yes",'Audit Raw data'!J:J,B:B,'Audit Raw data'!E:E,'Day wise agent'!G:G)</f>
        <v>0</v>
      </c>
      <c r="K2245">
        <f>COUNTIFS('Audit Raw data'!AM:AM,"NO",'Audit Raw data'!J:J,B:B,'Audit Raw data'!E:E,'Day wise agent'!G:G)</f>
        <v>0</v>
      </c>
      <c r="L2245" s="12" t="str">
        <f t="shared" si="56"/>
        <v xml:space="preserve"> </v>
      </c>
    </row>
    <row r="2246" spans="4:12" x14ac:dyDescent="0.35">
      <c r="D2246" s="32"/>
      <c r="G2246" s="32"/>
      <c r="H2246">
        <f>COUNTIFS('Audit Raw data'!J:J,B:B,'Audit Raw data'!E:E,G:G)</f>
        <v>0</v>
      </c>
      <c r="I2246" s="44" t="str">
        <f>IFERROR((SUMIFS('Audit Raw data'!BZ:BZ,'Audit Raw data'!J:J,B:B,'Audit Raw data'!E:E,G:G)/H2246)/100,"-")</f>
        <v>-</v>
      </c>
      <c r="J2246">
        <f>COUNTIFS('Audit Raw data'!AM:AM,"Yes",'Audit Raw data'!J:J,B:B,'Audit Raw data'!E:E,'Day wise agent'!G:G)</f>
        <v>0</v>
      </c>
      <c r="K2246">
        <f>COUNTIFS('Audit Raw data'!AM:AM,"NO",'Audit Raw data'!J:J,B:B,'Audit Raw data'!E:E,'Day wise agent'!G:G)</f>
        <v>0</v>
      </c>
      <c r="L2246" s="12" t="str">
        <f t="shared" si="56"/>
        <v xml:space="preserve"> </v>
      </c>
    </row>
    <row r="2247" spans="4:12" x14ac:dyDescent="0.35">
      <c r="D2247" s="32"/>
      <c r="G2247" s="32"/>
      <c r="H2247">
        <f>COUNTIFS('Audit Raw data'!J:J,B:B,'Audit Raw data'!E:E,G:G)</f>
        <v>0</v>
      </c>
      <c r="I2247" s="44" t="str">
        <f>IFERROR((SUMIFS('Audit Raw data'!BZ:BZ,'Audit Raw data'!J:J,B:B,'Audit Raw data'!E:E,G:G)/H2247)/100,"-")</f>
        <v>-</v>
      </c>
      <c r="J2247">
        <f>COUNTIFS('Audit Raw data'!AM:AM,"Yes",'Audit Raw data'!J:J,B:B,'Audit Raw data'!E:E,'Day wise agent'!G:G)</f>
        <v>0</v>
      </c>
      <c r="K2247">
        <f>COUNTIFS('Audit Raw data'!AM:AM,"NO",'Audit Raw data'!J:J,B:B,'Audit Raw data'!E:E,'Day wise agent'!G:G)</f>
        <v>0</v>
      </c>
      <c r="L2247" s="12" t="str">
        <f t="shared" si="56"/>
        <v xml:space="preserve"> </v>
      </c>
    </row>
    <row r="2248" spans="4:12" x14ac:dyDescent="0.35">
      <c r="D2248" s="32"/>
      <c r="G2248" s="32"/>
      <c r="H2248">
        <f>COUNTIFS('Audit Raw data'!J:J,B:B,'Audit Raw data'!E:E,G:G)</f>
        <v>0</v>
      </c>
      <c r="I2248" s="44" t="str">
        <f>IFERROR((SUMIFS('Audit Raw data'!BZ:BZ,'Audit Raw data'!J:J,B:B,'Audit Raw data'!E:E,G:G)/H2248)/100,"-")</f>
        <v>-</v>
      </c>
      <c r="J2248">
        <f>COUNTIFS('Audit Raw data'!AM:AM,"Yes",'Audit Raw data'!J:J,B:B,'Audit Raw data'!E:E,'Day wise agent'!G:G)</f>
        <v>0</v>
      </c>
      <c r="K2248">
        <f>COUNTIFS('Audit Raw data'!AM:AM,"NO",'Audit Raw data'!J:J,B:B,'Audit Raw data'!E:E,'Day wise agent'!G:G)</f>
        <v>0</v>
      </c>
      <c r="L2248" s="12" t="str">
        <f t="shared" si="56"/>
        <v xml:space="preserve"> </v>
      </c>
    </row>
    <row r="2249" spans="4:12" x14ac:dyDescent="0.35">
      <c r="D2249" s="32"/>
      <c r="G2249" s="32"/>
      <c r="H2249">
        <f>COUNTIFS('Audit Raw data'!J:J,B:B,'Audit Raw data'!E:E,G:G)</f>
        <v>0</v>
      </c>
      <c r="I2249" s="44" t="str">
        <f>IFERROR((SUMIFS('Audit Raw data'!BZ:BZ,'Audit Raw data'!J:J,B:B,'Audit Raw data'!E:E,G:G)/H2249)/100,"-")</f>
        <v>-</v>
      </c>
      <c r="J2249">
        <f>COUNTIFS('Audit Raw data'!AM:AM,"Yes",'Audit Raw data'!J:J,B:B,'Audit Raw data'!E:E,'Day wise agent'!G:G)</f>
        <v>0</v>
      </c>
      <c r="K2249">
        <f>COUNTIFS('Audit Raw data'!AM:AM,"NO",'Audit Raw data'!J:J,B:B,'Audit Raw data'!E:E,'Day wise agent'!G:G)</f>
        <v>0</v>
      </c>
      <c r="L2249" s="12" t="str">
        <f t="shared" si="56"/>
        <v xml:space="preserve"> </v>
      </c>
    </row>
    <row r="2250" spans="4:12" x14ac:dyDescent="0.35">
      <c r="D2250" s="32"/>
      <c r="G2250" s="32"/>
      <c r="H2250">
        <f>COUNTIFS('Audit Raw data'!J:J,B:B,'Audit Raw data'!E:E,G:G)</f>
        <v>0</v>
      </c>
      <c r="I2250" s="44" t="str">
        <f>IFERROR((SUMIFS('Audit Raw data'!BZ:BZ,'Audit Raw data'!J:J,B:B,'Audit Raw data'!E:E,G:G)/H2250)/100,"-")</f>
        <v>-</v>
      </c>
      <c r="J2250">
        <f>COUNTIFS('Audit Raw data'!AM:AM,"Yes",'Audit Raw data'!J:J,B:B,'Audit Raw data'!E:E,'Day wise agent'!G:G)</f>
        <v>0</v>
      </c>
      <c r="K2250">
        <f>COUNTIFS('Audit Raw data'!AM:AM,"NO",'Audit Raw data'!J:J,B:B,'Audit Raw data'!E:E,'Day wise agent'!G:G)</f>
        <v>0</v>
      </c>
      <c r="L2250" s="12" t="str">
        <f t="shared" si="56"/>
        <v xml:space="preserve"> </v>
      </c>
    </row>
    <row r="2251" spans="4:12" x14ac:dyDescent="0.35">
      <c r="D2251" s="32"/>
      <c r="G2251" s="32"/>
      <c r="H2251">
        <f>COUNTIFS('Audit Raw data'!J:J,B:B,'Audit Raw data'!E:E,G:G)</f>
        <v>0</v>
      </c>
      <c r="I2251" s="44" t="str">
        <f>IFERROR((SUMIFS('Audit Raw data'!BZ:BZ,'Audit Raw data'!J:J,B:B,'Audit Raw data'!E:E,G:G)/H2251)/100,"-")</f>
        <v>-</v>
      </c>
      <c r="J2251">
        <f>COUNTIFS('Audit Raw data'!AM:AM,"Yes",'Audit Raw data'!J:J,B:B,'Audit Raw data'!E:E,'Day wise agent'!G:G)</f>
        <v>0</v>
      </c>
      <c r="K2251">
        <f>COUNTIFS('Audit Raw data'!AM:AM,"NO",'Audit Raw data'!J:J,B:B,'Audit Raw data'!E:E,'Day wise agent'!G:G)</f>
        <v>0</v>
      </c>
      <c r="L2251" s="12" t="str">
        <f t="shared" si="56"/>
        <v xml:space="preserve"> </v>
      </c>
    </row>
    <row r="2252" spans="4:12" x14ac:dyDescent="0.35">
      <c r="D2252" s="32"/>
      <c r="G2252" s="32"/>
      <c r="H2252">
        <f>COUNTIFS('Audit Raw data'!J:J,B:B,'Audit Raw data'!E:E,G:G)</f>
        <v>0</v>
      </c>
      <c r="I2252" s="44" t="str">
        <f>IFERROR((SUMIFS('Audit Raw data'!BZ:BZ,'Audit Raw data'!J:J,B:B,'Audit Raw data'!E:E,G:G)/H2252)/100,"-")</f>
        <v>-</v>
      </c>
      <c r="J2252">
        <f>COUNTIFS('Audit Raw data'!AM:AM,"Yes",'Audit Raw data'!J:J,B:B,'Audit Raw data'!E:E,'Day wise agent'!G:G)</f>
        <v>0</v>
      </c>
      <c r="K2252">
        <f>COUNTIFS('Audit Raw data'!AM:AM,"NO",'Audit Raw data'!J:J,B:B,'Audit Raw data'!E:E,'Day wise agent'!G:G)</f>
        <v>0</v>
      </c>
      <c r="L2252" s="12" t="str">
        <f t="shared" si="56"/>
        <v xml:space="preserve"> </v>
      </c>
    </row>
    <row r="2253" spans="4:12" x14ac:dyDescent="0.35">
      <c r="D2253" s="32"/>
      <c r="G2253" s="32"/>
      <c r="H2253">
        <f>COUNTIFS('Audit Raw data'!J:J,B:B,'Audit Raw data'!E:E,G:G)</f>
        <v>0</v>
      </c>
      <c r="I2253" s="44" t="str">
        <f>IFERROR((SUMIFS('Audit Raw data'!BZ:BZ,'Audit Raw data'!J:J,B:B,'Audit Raw data'!E:E,G:G)/H2253)/100,"-")</f>
        <v>-</v>
      </c>
      <c r="J2253">
        <f>COUNTIFS('Audit Raw data'!AM:AM,"Yes",'Audit Raw data'!J:J,B:B,'Audit Raw data'!E:E,'Day wise agent'!G:G)</f>
        <v>0</v>
      </c>
      <c r="K2253">
        <f>COUNTIFS('Audit Raw data'!AM:AM,"NO",'Audit Raw data'!J:J,B:B,'Audit Raw data'!E:E,'Day wise agent'!G:G)</f>
        <v>0</v>
      </c>
      <c r="L2253" s="12" t="str">
        <f t="shared" si="56"/>
        <v xml:space="preserve"> </v>
      </c>
    </row>
    <row r="2254" spans="4:12" x14ac:dyDescent="0.35">
      <c r="D2254" s="32"/>
      <c r="G2254" s="32"/>
      <c r="H2254">
        <f>COUNTIFS('Audit Raw data'!J:J,B:B,'Audit Raw data'!E:E,G:G)</f>
        <v>0</v>
      </c>
      <c r="I2254" s="44" t="str">
        <f>IFERROR((SUMIFS('Audit Raw data'!BZ:BZ,'Audit Raw data'!J:J,B:B,'Audit Raw data'!E:E,G:G)/H2254)/100,"-")</f>
        <v>-</v>
      </c>
      <c r="J2254">
        <f>COUNTIFS('Audit Raw data'!AM:AM,"Yes",'Audit Raw data'!J:J,B:B,'Audit Raw data'!E:E,'Day wise agent'!G:G)</f>
        <v>0</v>
      </c>
      <c r="K2254">
        <f>COUNTIFS('Audit Raw data'!AM:AM,"NO",'Audit Raw data'!J:J,B:B,'Audit Raw data'!E:E,'Day wise agent'!G:G)</f>
        <v>0</v>
      </c>
      <c r="L2254" s="12" t="str">
        <f t="shared" si="56"/>
        <v xml:space="preserve"> </v>
      </c>
    </row>
    <row r="2255" spans="4:12" x14ac:dyDescent="0.35">
      <c r="D2255" s="32"/>
      <c r="G2255" s="32"/>
      <c r="H2255">
        <f>COUNTIFS('Audit Raw data'!J:J,B:B,'Audit Raw data'!E:E,G:G)</f>
        <v>0</v>
      </c>
      <c r="I2255" s="44" t="str">
        <f>IFERROR((SUMIFS('Audit Raw data'!BZ:BZ,'Audit Raw data'!J:J,B:B,'Audit Raw data'!E:E,G:G)/H2255)/100,"-")</f>
        <v>-</v>
      </c>
      <c r="J2255">
        <f>COUNTIFS('Audit Raw data'!AM:AM,"Yes",'Audit Raw data'!J:J,B:B,'Audit Raw data'!E:E,'Day wise agent'!G:G)</f>
        <v>0</v>
      </c>
      <c r="K2255">
        <f>COUNTIFS('Audit Raw data'!AM:AM,"NO",'Audit Raw data'!J:J,B:B,'Audit Raw data'!E:E,'Day wise agent'!G:G)</f>
        <v>0</v>
      </c>
      <c r="L2255" s="12" t="str">
        <f t="shared" si="56"/>
        <v xml:space="preserve"> </v>
      </c>
    </row>
    <row r="2256" spans="4:12" x14ac:dyDescent="0.35">
      <c r="D2256" s="32"/>
      <c r="G2256" s="32"/>
      <c r="H2256">
        <f>COUNTIFS('Audit Raw data'!J:J,B:B,'Audit Raw data'!E:E,G:G)</f>
        <v>0</v>
      </c>
      <c r="I2256" s="44" t="str">
        <f>IFERROR((SUMIFS('Audit Raw data'!BZ:BZ,'Audit Raw data'!J:J,B:B,'Audit Raw data'!E:E,G:G)/H2256)/100,"-")</f>
        <v>-</v>
      </c>
      <c r="J2256">
        <f>COUNTIFS('Audit Raw data'!AM:AM,"Yes",'Audit Raw data'!J:J,B:B,'Audit Raw data'!E:E,'Day wise agent'!G:G)</f>
        <v>0</v>
      </c>
      <c r="K2256">
        <f>COUNTIFS('Audit Raw data'!AM:AM,"NO",'Audit Raw data'!J:J,B:B,'Audit Raw data'!E:E,'Day wise agent'!G:G)</f>
        <v>0</v>
      </c>
      <c r="L2256" s="12" t="str">
        <f t="shared" si="56"/>
        <v xml:space="preserve"> </v>
      </c>
    </row>
    <row r="2257" spans="4:12" x14ac:dyDescent="0.35">
      <c r="D2257" s="32"/>
      <c r="G2257" s="32"/>
      <c r="H2257">
        <f>COUNTIFS('Audit Raw data'!J:J,B:B,'Audit Raw data'!E:E,G:G)</f>
        <v>0</v>
      </c>
      <c r="I2257" s="44" t="str">
        <f>IFERROR((SUMIFS('Audit Raw data'!BZ:BZ,'Audit Raw data'!J:J,B:B,'Audit Raw data'!E:E,G:G)/H2257)/100,"-")</f>
        <v>-</v>
      </c>
      <c r="J2257">
        <f>COUNTIFS('Audit Raw data'!AM:AM,"Yes",'Audit Raw data'!J:J,B:B,'Audit Raw data'!E:E,'Day wise agent'!G:G)</f>
        <v>0</v>
      </c>
      <c r="K2257">
        <f>COUNTIFS('Audit Raw data'!AM:AM,"NO",'Audit Raw data'!J:J,B:B,'Audit Raw data'!E:E,'Day wise agent'!G:G)</f>
        <v>0</v>
      </c>
      <c r="L2257" s="12" t="str">
        <f t="shared" si="56"/>
        <v xml:space="preserve"> </v>
      </c>
    </row>
    <row r="2258" spans="4:12" x14ac:dyDescent="0.35">
      <c r="D2258" s="32"/>
      <c r="G2258" s="32"/>
      <c r="H2258">
        <f>COUNTIFS('Audit Raw data'!J:J,B:B,'Audit Raw data'!E:E,G:G)</f>
        <v>0</v>
      </c>
      <c r="I2258" s="44" t="str">
        <f>IFERROR((SUMIFS('Audit Raw data'!BZ:BZ,'Audit Raw data'!J:J,B:B,'Audit Raw data'!E:E,G:G)/H2258)/100,"-")</f>
        <v>-</v>
      </c>
      <c r="J2258">
        <f>COUNTIFS('Audit Raw data'!AM:AM,"Yes",'Audit Raw data'!J:J,B:B,'Audit Raw data'!E:E,'Day wise agent'!G:G)</f>
        <v>0</v>
      </c>
      <c r="K2258">
        <f>COUNTIFS('Audit Raw data'!AM:AM,"NO",'Audit Raw data'!J:J,B:B,'Audit Raw data'!E:E,'Day wise agent'!G:G)</f>
        <v>0</v>
      </c>
      <c r="L2258" s="12" t="str">
        <f t="shared" si="56"/>
        <v xml:space="preserve"> </v>
      </c>
    </row>
    <row r="2259" spans="4:12" x14ac:dyDescent="0.35">
      <c r="D2259" s="32"/>
      <c r="G2259" s="32"/>
      <c r="H2259">
        <f>COUNTIFS('Audit Raw data'!J:J,B:B,'Audit Raw data'!E:E,G:G)</f>
        <v>0</v>
      </c>
      <c r="I2259" s="44" t="str">
        <f>IFERROR((SUMIFS('Audit Raw data'!BZ:BZ,'Audit Raw data'!J:J,B:B,'Audit Raw data'!E:E,G:G)/H2259)/100,"-")</f>
        <v>-</v>
      </c>
      <c r="J2259">
        <f>COUNTIFS('Audit Raw data'!AM:AM,"Yes",'Audit Raw data'!J:J,B:B,'Audit Raw data'!E:E,'Day wise agent'!G:G)</f>
        <v>0</v>
      </c>
      <c r="K2259">
        <f>COUNTIFS('Audit Raw data'!AM:AM,"NO",'Audit Raw data'!J:J,B:B,'Audit Raw data'!E:E,'Day wise agent'!G:G)</f>
        <v>0</v>
      </c>
      <c r="L2259" s="12" t="str">
        <f t="shared" si="56"/>
        <v xml:space="preserve"> </v>
      </c>
    </row>
    <row r="2260" spans="4:12" x14ac:dyDescent="0.35">
      <c r="D2260" s="32"/>
      <c r="G2260" s="32"/>
      <c r="H2260">
        <f>COUNTIFS('Audit Raw data'!J:J,B:B,'Audit Raw data'!E:E,G:G)</f>
        <v>0</v>
      </c>
      <c r="I2260" s="44" t="str">
        <f>IFERROR((SUMIFS('Audit Raw data'!BZ:BZ,'Audit Raw data'!J:J,B:B,'Audit Raw data'!E:E,G:G)/H2260)/100,"-")</f>
        <v>-</v>
      </c>
      <c r="J2260">
        <f>COUNTIFS('Audit Raw data'!AM:AM,"Yes",'Audit Raw data'!J:J,B:B,'Audit Raw data'!E:E,'Day wise agent'!G:G)</f>
        <v>0</v>
      </c>
      <c r="K2260">
        <f>COUNTIFS('Audit Raw data'!AM:AM,"NO",'Audit Raw data'!J:J,B:B,'Audit Raw data'!E:E,'Day wise agent'!G:G)</f>
        <v>0</v>
      </c>
      <c r="L2260" s="12" t="str">
        <f t="shared" si="56"/>
        <v xml:space="preserve"> </v>
      </c>
    </row>
    <row r="2261" spans="4:12" x14ac:dyDescent="0.35">
      <c r="D2261" s="32"/>
      <c r="G2261" s="32"/>
      <c r="H2261">
        <f>COUNTIFS('Audit Raw data'!J:J,B:B,'Audit Raw data'!E:E,G:G)</f>
        <v>0</v>
      </c>
      <c r="I2261" s="44" t="str">
        <f>IFERROR((SUMIFS('Audit Raw data'!BZ:BZ,'Audit Raw data'!J:J,B:B,'Audit Raw data'!E:E,G:G)/H2261)/100,"-")</f>
        <v>-</v>
      </c>
      <c r="J2261">
        <f>COUNTIFS('Audit Raw data'!AM:AM,"Yes",'Audit Raw data'!J:J,B:B,'Audit Raw data'!E:E,'Day wise agent'!G:G)</f>
        <v>0</v>
      </c>
      <c r="K2261">
        <f>COUNTIFS('Audit Raw data'!AM:AM,"NO",'Audit Raw data'!J:J,B:B,'Audit Raw data'!E:E,'Day wise agent'!G:G)</f>
        <v>0</v>
      </c>
      <c r="L2261" s="12" t="str">
        <f t="shared" si="56"/>
        <v xml:space="preserve"> </v>
      </c>
    </row>
    <row r="2262" spans="4:12" x14ac:dyDescent="0.35">
      <c r="D2262" s="32"/>
      <c r="G2262" s="32"/>
      <c r="H2262">
        <f>COUNTIFS('Audit Raw data'!J:J,B:B,'Audit Raw data'!E:E,G:G)</f>
        <v>0</v>
      </c>
      <c r="I2262" s="44" t="str">
        <f>IFERROR((SUMIFS('Audit Raw data'!BZ:BZ,'Audit Raw data'!J:J,B:B,'Audit Raw data'!E:E,G:G)/H2262)/100,"-")</f>
        <v>-</v>
      </c>
      <c r="J2262">
        <f>COUNTIFS('Audit Raw data'!AM:AM,"Yes",'Audit Raw data'!J:J,B:B,'Audit Raw data'!E:E,'Day wise agent'!G:G)</f>
        <v>0</v>
      </c>
      <c r="K2262">
        <f>COUNTIFS('Audit Raw data'!AM:AM,"NO",'Audit Raw data'!J:J,B:B,'Audit Raw data'!E:E,'Day wise agent'!G:G)</f>
        <v>0</v>
      </c>
      <c r="L2262" s="12" t="str">
        <f t="shared" si="56"/>
        <v xml:space="preserve"> </v>
      </c>
    </row>
    <row r="2263" spans="4:12" x14ac:dyDescent="0.35">
      <c r="D2263" s="32"/>
      <c r="G2263" s="32"/>
      <c r="H2263">
        <f>COUNTIFS('Audit Raw data'!J:J,B:B,'Audit Raw data'!E:E,G:G)</f>
        <v>0</v>
      </c>
      <c r="I2263" s="44" t="str">
        <f>IFERROR((SUMIFS('Audit Raw data'!BZ:BZ,'Audit Raw data'!J:J,B:B,'Audit Raw data'!E:E,G:G)/H2263)/100,"-")</f>
        <v>-</v>
      </c>
      <c r="J2263">
        <f>COUNTIFS('Audit Raw data'!AM:AM,"Yes",'Audit Raw data'!J:J,B:B,'Audit Raw data'!E:E,'Day wise agent'!G:G)</f>
        <v>0</v>
      </c>
      <c r="K2263">
        <f>COUNTIFS('Audit Raw data'!AM:AM,"NO",'Audit Raw data'!J:J,B:B,'Audit Raw data'!E:E,'Day wise agent'!G:G)</f>
        <v>0</v>
      </c>
      <c r="L2263" s="12" t="str">
        <f t="shared" si="56"/>
        <v xml:space="preserve"> </v>
      </c>
    </row>
    <row r="2264" spans="4:12" x14ac:dyDescent="0.35">
      <c r="D2264" s="32"/>
      <c r="G2264" s="32"/>
      <c r="H2264">
        <f>COUNTIFS('Audit Raw data'!J:J,B:B,'Audit Raw data'!E:E,G:G)</f>
        <v>0</v>
      </c>
      <c r="I2264" s="44" t="str">
        <f>IFERROR((SUMIFS('Audit Raw data'!BZ:BZ,'Audit Raw data'!J:J,B:B,'Audit Raw data'!E:E,G:G)/H2264)/100,"-")</f>
        <v>-</v>
      </c>
      <c r="J2264">
        <f>COUNTIFS('Audit Raw data'!AM:AM,"Yes",'Audit Raw data'!J:J,B:B,'Audit Raw data'!E:E,'Day wise agent'!G:G)</f>
        <v>0</v>
      </c>
      <c r="K2264">
        <f>COUNTIFS('Audit Raw data'!AM:AM,"NO",'Audit Raw data'!J:J,B:B,'Audit Raw data'!E:E,'Day wise agent'!G:G)</f>
        <v>0</v>
      </c>
      <c r="L2264" s="12" t="str">
        <f t="shared" si="56"/>
        <v xml:space="preserve"> </v>
      </c>
    </row>
    <row r="2265" spans="4:12" x14ac:dyDescent="0.35">
      <c r="D2265" s="32"/>
      <c r="G2265" s="32"/>
      <c r="H2265">
        <f>COUNTIFS('Audit Raw data'!J:J,B:B,'Audit Raw data'!E:E,G:G)</f>
        <v>0</v>
      </c>
      <c r="I2265" s="44" t="str">
        <f>IFERROR((SUMIFS('Audit Raw data'!BZ:BZ,'Audit Raw data'!J:J,B:B,'Audit Raw data'!E:E,G:G)/H2265)/100,"-")</f>
        <v>-</v>
      </c>
      <c r="J2265">
        <f>COUNTIFS('Audit Raw data'!AM:AM,"Yes",'Audit Raw data'!J:J,B:B,'Audit Raw data'!E:E,'Day wise agent'!G:G)</f>
        <v>0</v>
      </c>
      <c r="K2265">
        <f>COUNTIFS('Audit Raw data'!AM:AM,"NO",'Audit Raw data'!J:J,B:B,'Audit Raw data'!E:E,'Day wise agent'!G:G)</f>
        <v>0</v>
      </c>
      <c r="L2265" s="12" t="str">
        <f t="shared" si="56"/>
        <v xml:space="preserve"> </v>
      </c>
    </row>
    <row r="2266" spans="4:12" x14ac:dyDescent="0.35">
      <c r="D2266" s="32"/>
      <c r="G2266" s="32"/>
      <c r="H2266">
        <f>COUNTIFS('Audit Raw data'!J:J,B:B,'Audit Raw data'!E:E,G:G)</f>
        <v>0</v>
      </c>
      <c r="I2266" s="44" t="str">
        <f>IFERROR((SUMIFS('Audit Raw data'!BZ:BZ,'Audit Raw data'!J:J,B:B,'Audit Raw data'!E:E,G:G)/H2266)/100,"-")</f>
        <v>-</v>
      </c>
      <c r="J2266">
        <f>COUNTIFS('Audit Raw data'!AM:AM,"Yes",'Audit Raw data'!J:J,B:B,'Audit Raw data'!E:E,'Day wise agent'!G:G)</f>
        <v>0</v>
      </c>
      <c r="K2266">
        <f>COUNTIFS('Audit Raw data'!AM:AM,"NO",'Audit Raw data'!J:J,B:B,'Audit Raw data'!E:E,'Day wise agent'!G:G)</f>
        <v>0</v>
      </c>
      <c r="L2266" s="12" t="str">
        <f t="shared" si="56"/>
        <v xml:space="preserve"> </v>
      </c>
    </row>
    <row r="2267" spans="4:12" x14ac:dyDescent="0.35">
      <c r="D2267" s="32"/>
      <c r="G2267" s="32"/>
      <c r="H2267">
        <f>COUNTIFS('Audit Raw data'!J:J,B:B,'Audit Raw data'!E:E,G:G)</f>
        <v>0</v>
      </c>
      <c r="I2267" s="44" t="str">
        <f>IFERROR((SUMIFS('Audit Raw data'!BZ:BZ,'Audit Raw data'!J:J,B:B,'Audit Raw data'!E:E,G:G)/H2267)/100,"-")</f>
        <v>-</v>
      </c>
      <c r="J2267">
        <f>COUNTIFS('Audit Raw data'!AM:AM,"Yes",'Audit Raw data'!J:J,B:B,'Audit Raw data'!E:E,'Day wise agent'!G:G)</f>
        <v>0</v>
      </c>
      <c r="K2267">
        <f>COUNTIFS('Audit Raw data'!AM:AM,"NO",'Audit Raw data'!J:J,B:B,'Audit Raw data'!E:E,'Day wise agent'!G:G)</f>
        <v>0</v>
      </c>
      <c r="L2267" s="12" t="str">
        <f t="shared" si="56"/>
        <v xml:space="preserve"> </v>
      </c>
    </row>
    <row r="2268" spans="4:12" x14ac:dyDescent="0.35">
      <c r="D2268" s="32"/>
      <c r="G2268" s="32"/>
      <c r="H2268">
        <f>COUNTIFS('Audit Raw data'!J:J,B:B,'Audit Raw data'!E:E,G:G)</f>
        <v>0</v>
      </c>
      <c r="I2268" s="44" t="str">
        <f>IFERROR((SUMIFS('Audit Raw data'!BZ:BZ,'Audit Raw data'!J:J,B:B,'Audit Raw data'!E:E,G:G)/H2268)/100,"-")</f>
        <v>-</v>
      </c>
      <c r="J2268">
        <f>COUNTIFS('Audit Raw data'!AM:AM,"Yes",'Audit Raw data'!J:J,B:B,'Audit Raw data'!E:E,'Day wise agent'!G:G)</f>
        <v>0</v>
      </c>
      <c r="K2268">
        <f>COUNTIFS('Audit Raw data'!AM:AM,"NO",'Audit Raw data'!J:J,B:B,'Audit Raw data'!E:E,'Day wise agent'!G:G)</f>
        <v>0</v>
      </c>
      <c r="L2268" s="12" t="str">
        <f t="shared" si="56"/>
        <v xml:space="preserve"> </v>
      </c>
    </row>
    <row r="2269" spans="4:12" x14ac:dyDescent="0.35">
      <c r="D2269" s="32"/>
      <c r="G2269" s="32"/>
      <c r="H2269">
        <f>COUNTIFS('Audit Raw data'!J:J,B:B,'Audit Raw data'!E:E,G:G)</f>
        <v>0</v>
      </c>
      <c r="I2269" s="44" t="str">
        <f>IFERROR((SUMIFS('Audit Raw data'!BZ:BZ,'Audit Raw data'!J:J,B:B,'Audit Raw data'!E:E,G:G)/H2269)/100,"-")</f>
        <v>-</v>
      </c>
      <c r="J2269">
        <f>COUNTIFS('Audit Raw data'!AM:AM,"Yes",'Audit Raw data'!J:J,B:B,'Audit Raw data'!E:E,'Day wise agent'!G:G)</f>
        <v>0</v>
      </c>
      <c r="K2269">
        <f>COUNTIFS('Audit Raw data'!AM:AM,"NO",'Audit Raw data'!J:J,B:B,'Audit Raw data'!E:E,'Day wise agent'!G:G)</f>
        <v>0</v>
      </c>
      <c r="L2269" s="12" t="str">
        <f t="shared" si="56"/>
        <v xml:space="preserve"> </v>
      </c>
    </row>
    <row r="2270" spans="4:12" x14ac:dyDescent="0.35">
      <c r="D2270" s="32"/>
      <c r="G2270" s="32"/>
      <c r="H2270">
        <f>COUNTIFS('Audit Raw data'!J:J,B:B,'Audit Raw data'!E:E,G:G)</f>
        <v>0</v>
      </c>
      <c r="I2270" s="44" t="str">
        <f>IFERROR((SUMIFS('Audit Raw data'!BZ:BZ,'Audit Raw data'!J:J,B:B,'Audit Raw data'!E:E,G:G)/H2270)/100,"-")</f>
        <v>-</v>
      </c>
      <c r="J2270">
        <f>COUNTIFS('Audit Raw data'!AM:AM,"Yes",'Audit Raw data'!J:J,B:B,'Audit Raw data'!E:E,'Day wise agent'!G:G)</f>
        <v>0</v>
      </c>
      <c r="K2270">
        <f>COUNTIFS('Audit Raw data'!AM:AM,"NO",'Audit Raw data'!J:J,B:B,'Audit Raw data'!E:E,'Day wise agent'!G:G)</f>
        <v>0</v>
      </c>
      <c r="L2270" s="12" t="str">
        <f t="shared" si="56"/>
        <v xml:space="preserve"> </v>
      </c>
    </row>
    <row r="2271" spans="4:12" x14ac:dyDescent="0.35">
      <c r="D2271" s="32"/>
      <c r="G2271" s="32"/>
      <c r="H2271">
        <f>COUNTIFS('Audit Raw data'!J:J,B:B,'Audit Raw data'!E:E,G:G)</f>
        <v>0</v>
      </c>
      <c r="I2271" s="44" t="str">
        <f>IFERROR((SUMIFS('Audit Raw data'!BZ:BZ,'Audit Raw data'!J:J,B:B,'Audit Raw data'!E:E,G:G)/H2271)/100,"-")</f>
        <v>-</v>
      </c>
      <c r="J2271">
        <f>COUNTIFS('Audit Raw data'!AM:AM,"Yes",'Audit Raw data'!J:J,B:B,'Audit Raw data'!E:E,'Day wise agent'!G:G)</f>
        <v>0</v>
      </c>
      <c r="K2271">
        <f>COUNTIFS('Audit Raw data'!AM:AM,"NO",'Audit Raw data'!J:J,B:B,'Audit Raw data'!E:E,'Day wise agent'!G:G)</f>
        <v>0</v>
      </c>
      <c r="L2271" s="12" t="str">
        <f t="shared" si="56"/>
        <v xml:space="preserve"> </v>
      </c>
    </row>
    <row r="2272" spans="4:12" x14ac:dyDescent="0.35">
      <c r="D2272" s="32"/>
      <c r="G2272" s="32"/>
      <c r="H2272">
        <f>COUNTIFS('Audit Raw data'!J:J,B:B,'Audit Raw data'!E:E,G:G)</f>
        <v>0</v>
      </c>
      <c r="I2272" s="44" t="str">
        <f>IFERROR((SUMIFS('Audit Raw data'!BZ:BZ,'Audit Raw data'!J:J,B:B,'Audit Raw data'!E:E,G:G)/H2272)/100,"-")</f>
        <v>-</v>
      </c>
      <c r="J2272">
        <f>COUNTIFS('Audit Raw data'!AM:AM,"Yes",'Audit Raw data'!J:J,B:B,'Audit Raw data'!E:E,'Day wise agent'!G:G)</f>
        <v>0</v>
      </c>
      <c r="K2272">
        <f>COUNTIFS('Audit Raw data'!AM:AM,"NO",'Audit Raw data'!J:J,B:B,'Audit Raw data'!E:E,'Day wise agent'!G:G)</f>
        <v>0</v>
      </c>
      <c r="L2272" s="12" t="str">
        <f t="shared" si="56"/>
        <v xml:space="preserve"> </v>
      </c>
    </row>
    <row r="2273" spans="4:12" x14ac:dyDescent="0.35">
      <c r="D2273" s="32"/>
      <c r="G2273" s="32"/>
      <c r="H2273">
        <f>COUNTIFS('Audit Raw data'!J:J,B:B,'Audit Raw data'!E:E,G:G)</f>
        <v>0</v>
      </c>
      <c r="I2273" s="44" t="str">
        <f>IFERROR((SUMIFS('Audit Raw data'!BZ:BZ,'Audit Raw data'!J:J,B:B,'Audit Raw data'!E:E,G:G)/H2273)/100,"-")</f>
        <v>-</v>
      </c>
      <c r="J2273">
        <f>COUNTIFS('Audit Raw data'!AM:AM,"Yes",'Audit Raw data'!J:J,B:B,'Audit Raw data'!E:E,'Day wise agent'!G:G)</f>
        <v>0</v>
      </c>
      <c r="K2273">
        <f>COUNTIFS('Audit Raw data'!AM:AM,"NO",'Audit Raw data'!J:J,B:B,'Audit Raw data'!E:E,'Day wise agent'!G:G)</f>
        <v>0</v>
      </c>
      <c r="L2273" s="12" t="str">
        <f t="shared" si="56"/>
        <v xml:space="preserve"> </v>
      </c>
    </row>
    <row r="2274" spans="4:12" x14ac:dyDescent="0.35">
      <c r="D2274" s="32"/>
      <c r="G2274" s="32"/>
      <c r="H2274">
        <f>COUNTIFS('Audit Raw data'!J:J,B:B,'Audit Raw data'!E:E,G:G)</f>
        <v>0</v>
      </c>
      <c r="I2274" s="44" t="str">
        <f>IFERROR((SUMIFS('Audit Raw data'!BZ:BZ,'Audit Raw data'!J:J,B:B,'Audit Raw data'!E:E,G:G)/H2274)/100,"-")</f>
        <v>-</v>
      </c>
      <c r="J2274">
        <f>COUNTIFS('Audit Raw data'!AM:AM,"Yes",'Audit Raw data'!J:J,B:B,'Audit Raw data'!E:E,'Day wise agent'!G:G)</f>
        <v>0</v>
      </c>
      <c r="K2274">
        <f>COUNTIFS('Audit Raw data'!AM:AM,"NO",'Audit Raw data'!J:J,B:B,'Audit Raw data'!E:E,'Day wise agent'!G:G)</f>
        <v>0</v>
      </c>
      <c r="L2274" s="12" t="str">
        <f t="shared" si="56"/>
        <v xml:space="preserve"> </v>
      </c>
    </row>
    <row r="2275" spans="4:12" x14ac:dyDescent="0.35">
      <c r="D2275" s="32"/>
      <c r="G2275" s="32"/>
      <c r="H2275">
        <f>COUNTIFS('Audit Raw data'!J:J,B:B,'Audit Raw data'!E:E,G:G)</f>
        <v>0</v>
      </c>
      <c r="I2275" s="44" t="str">
        <f>IFERROR((SUMIFS('Audit Raw data'!BZ:BZ,'Audit Raw data'!J:J,B:B,'Audit Raw data'!E:E,G:G)/H2275)/100,"-")</f>
        <v>-</v>
      </c>
      <c r="J2275">
        <f>COUNTIFS('Audit Raw data'!AM:AM,"Yes",'Audit Raw data'!J:J,B:B,'Audit Raw data'!E:E,'Day wise agent'!G:G)</f>
        <v>0</v>
      </c>
      <c r="K2275">
        <f>COUNTIFS('Audit Raw data'!AM:AM,"NO",'Audit Raw data'!J:J,B:B,'Audit Raw data'!E:E,'Day wise agent'!G:G)</f>
        <v>0</v>
      </c>
      <c r="L2275" s="12" t="str">
        <f t="shared" si="56"/>
        <v xml:space="preserve"> </v>
      </c>
    </row>
    <row r="2276" spans="4:12" x14ac:dyDescent="0.35">
      <c r="D2276" s="32"/>
      <c r="G2276" s="32"/>
      <c r="H2276">
        <f>COUNTIFS('Audit Raw data'!J:J,B:B,'Audit Raw data'!E:E,G:G)</f>
        <v>0</v>
      </c>
      <c r="I2276" s="44" t="str">
        <f>IFERROR((SUMIFS('Audit Raw data'!BZ:BZ,'Audit Raw data'!J:J,B:B,'Audit Raw data'!E:E,G:G)/H2276)/100,"-")</f>
        <v>-</v>
      </c>
      <c r="J2276">
        <f>COUNTIFS('Audit Raw data'!AM:AM,"Yes",'Audit Raw data'!J:J,B:B,'Audit Raw data'!E:E,'Day wise agent'!G:G)</f>
        <v>0</v>
      </c>
      <c r="K2276">
        <f>COUNTIFS('Audit Raw data'!AM:AM,"NO",'Audit Raw data'!J:J,B:B,'Audit Raw data'!E:E,'Day wise agent'!G:G)</f>
        <v>0</v>
      </c>
      <c r="L2276" s="12" t="str">
        <f t="shared" si="56"/>
        <v xml:space="preserve"> </v>
      </c>
    </row>
    <row r="2277" spans="4:12" x14ac:dyDescent="0.35">
      <c r="D2277" s="32"/>
      <c r="G2277" s="32"/>
      <c r="H2277">
        <f>COUNTIFS('Audit Raw data'!J:J,B:B,'Audit Raw data'!E:E,G:G)</f>
        <v>0</v>
      </c>
      <c r="I2277" s="44" t="str">
        <f>IFERROR((SUMIFS('Audit Raw data'!BZ:BZ,'Audit Raw data'!J:J,B:B,'Audit Raw data'!E:E,G:G)/H2277)/100,"-")</f>
        <v>-</v>
      </c>
      <c r="J2277">
        <f>COUNTIFS('Audit Raw data'!AM:AM,"Yes",'Audit Raw data'!J:J,B:B,'Audit Raw data'!E:E,'Day wise agent'!G:G)</f>
        <v>0</v>
      </c>
      <c r="K2277">
        <f>COUNTIFS('Audit Raw data'!AM:AM,"NO",'Audit Raw data'!J:J,B:B,'Audit Raw data'!E:E,'Day wise agent'!G:G)</f>
        <v>0</v>
      </c>
      <c r="L2277" s="12" t="str">
        <f t="shared" si="56"/>
        <v xml:space="preserve"> </v>
      </c>
    </row>
    <row r="2278" spans="4:12" x14ac:dyDescent="0.35">
      <c r="D2278" s="32"/>
      <c r="G2278" s="32"/>
      <c r="H2278">
        <f>COUNTIFS('Audit Raw data'!J:J,B:B,'Audit Raw data'!E:E,G:G)</f>
        <v>0</v>
      </c>
      <c r="I2278" s="44" t="str">
        <f>IFERROR((SUMIFS('Audit Raw data'!BZ:BZ,'Audit Raw data'!J:J,B:B,'Audit Raw data'!E:E,G:G)/H2278)/100,"-")</f>
        <v>-</v>
      </c>
      <c r="J2278">
        <f>COUNTIFS('Audit Raw data'!AM:AM,"Yes",'Audit Raw data'!J:J,B:B,'Audit Raw data'!E:E,'Day wise agent'!G:G)</f>
        <v>0</v>
      </c>
      <c r="K2278">
        <f>COUNTIFS('Audit Raw data'!AM:AM,"NO",'Audit Raw data'!J:J,B:B,'Audit Raw data'!E:E,'Day wise agent'!G:G)</f>
        <v>0</v>
      </c>
      <c r="L2278" s="12" t="str">
        <f t="shared" si="56"/>
        <v xml:space="preserve"> </v>
      </c>
    </row>
    <row r="2279" spans="4:12" x14ac:dyDescent="0.35">
      <c r="D2279" s="32"/>
      <c r="G2279" s="32"/>
      <c r="H2279">
        <f>COUNTIFS('Audit Raw data'!J:J,B:B,'Audit Raw data'!E:E,G:G)</f>
        <v>0</v>
      </c>
      <c r="I2279" s="44" t="str">
        <f>IFERROR((SUMIFS('Audit Raw data'!BZ:BZ,'Audit Raw data'!J:J,B:B,'Audit Raw data'!E:E,G:G)/H2279)/100,"-")</f>
        <v>-</v>
      </c>
      <c r="J2279">
        <f>COUNTIFS('Audit Raw data'!AM:AM,"Yes",'Audit Raw data'!J:J,B:B,'Audit Raw data'!E:E,'Day wise agent'!G:G)</f>
        <v>0</v>
      </c>
      <c r="K2279">
        <f>COUNTIFS('Audit Raw data'!AM:AM,"NO",'Audit Raw data'!J:J,B:B,'Audit Raw data'!E:E,'Day wise agent'!G:G)</f>
        <v>0</v>
      </c>
      <c r="L2279" s="12" t="str">
        <f t="shared" si="56"/>
        <v xml:space="preserve"> </v>
      </c>
    </row>
    <row r="2280" spans="4:12" x14ac:dyDescent="0.35">
      <c r="D2280" s="32"/>
      <c r="G2280" s="32"/>
      <c r="H2280">
        <f>COUNTIFS('Audit Raw data'!J:J,B:B,'Audit Raw data'!E:E,G:G)</f>
        <v>0</v>
      </c>
      <c r="I2280" s="44" t="str">
        <f>IFERROR((SUMIFS('Audit Raw data'!BZ:BZ,'Audit Raw data'!J:J,B:B,'Audit Raw data'!E:E,G:G)/H2280)/100,"-")</f>
        <v>-</v>
      </c>
      <c r="J2280">
        <f>COUNTIFS('Audit Raw data'!AM:AM,"Yes",'Audit Raw data'!J:J,B:B,'Audit Raw data'!E:E,'Day wise agent'!G:G)</f>
        <v>0</v>
      </c>
      <c r="K2280">
        <f>COUNTIFS('Audit Raw data'!AM:AM,"NO",'Audit Raw data'!J:J,B:B,'Audit Raw data'!E:E,'Day wise agent'!G:G)</f>
        <v>0</v>
      </c>
      <c r="L2280" s="12" t="str">
        <f t="shared" si="56"/>
        <v xml:space="preserve"> </v>
      </c>
    </row>
    <row r="2281" spans="4:12" x14ac:dyDescent="0.35">
      <c r="D2281" s="32"/>
      <c r="G2281" s="32"/>
      <c r="H2281">
        <f>COUNTIFS('Audit Raw data'!J:J,B:B,'Audit Raw data'!E:E,G:G)</f>
        <v>0</v>
      </c>
      <c r="I2281" s="44" t="str">
        <f>IFERROR((SUMIFS('Audit Raw data'!BZ:BZ,'Audit Raw data'!J:J,B:B,'Audit Raw data'!E:E,G:G)/H2281)/100,"-")</f>
        <v>-</v>
      </c>
      <c r="J2281">
        <f>COUNTIFS('Audit Raw data'!AM:AM,"Yes",'Audit Raw data'!J:J,B:B,'Audit Raw data'!E:E,'Day wise agent'!G:G)</f>
        <v>0</v>
      </c>
      <c r="K2281">
        <f>COUNTIFS('Audit Raw data'!AM:AM,"NO",'Audit Raw data'!J:J,B:B,'Audit Raw data'!E:E,'Day wise agent'!G:G)</f>
        <v>0</v>
      </c>
      <c r="L2281" s="12" t="str">
        <f t="shared" si="56"/>
        <v xml:space="preserve"> </v>
      </c>
    </row>
    <row r="2282" spans="4:12" x14ac:dyDescent="0.35">
      <c r="D2282" s="32"/>
      <c r="G2282" s="32"/>
      <c r="H2282">
        <f>COUNTIFS('Audit Raw data'!J:J,B:B,'Audit Raw data'!E:E,G:G)</f>
        <v>0</v>
      </c>
      <c r="I2282" s="44" t="str">
        <f>IFERROR((SUMIFS('Audit Raw data'!BZ:BZ,'Audit Raw data'!J:J,B:B,'Audit Raw data'!E:E,G:G)/H2282)/100,"-")</f>
        <v>-</v>
      </c>
      <c r="J2282">
        <f>COUNTIFS('Audit Raw data'!AM:AM,"Yes",'Audit Raw data'!J:J,B:B,'Audit Raw data'!E:E,'Day wise agent'!G:G)</f>
        <v>0</v>
      </c>
      <c r="K2282">
        <f>COUNTIFS('Audit Raw data'!AM:AM,"NO",'Audit Raw data'!J:J,B:B,'Audit Raw data'!E:E,'Day wise agent'!G:G)</f>
        <v>0</v>
      </c>
      <c r="L2282" s="12" t="str">
        <f t="shared" si="56"/>
        <v xml:space="preserve"> </v>
      </c>
    </row>
    <row r="2283" spans="4:12" x14ac:dyDescent="0.35">
      <c r="D2283" s="32"/>
      <c r="G2283" s="32"/>
      <c r="H2283">
        <f>COUNTIFS('Audit Raw data'!J:J,B:B,'Audit Raw data'!E:E,G:G)</f>
        <v>0</v>
      </c>
      <c r="I2283" s="44" t="str">
        <f>IFERROR((SUMIFS('Audit Raw data'!BZ:BZ,'Audit Raw data'!J:J,B:B,'Audit Raw data'!E:E,G:G)/H2283)/100,"-")</f>
        <v>-</v>
      </c>
      <c r="J2283">
        <f>COUNTIFS('Audit Raw data'!AM:AM,"Yes",'Audit Raw data'!J:J,B:B,'Audit Raw data'!E:E,'Day wise agent'!G:G)</f>
        <v>0</v>
      </c>
      <c r="K2283">
        <f>COUNTIFS('Audit Raw data'!AM:AM,"NO",'Audit Raw data'!J:J,B:B,'Audit Raw data'!E:E,'Day wise agent'!G:G)</f>
        <v>0</v>
      </c>
      <c r="L2283" s="12" t="str">
        <f t="shared" si="56"/>
        <v xml:space="preserve"> </v>
      </c>
    </row>
    <row r="2284" spans="4:12" x14ac:dyDescent="0.35">
      <c r="D2284" s="32"/>
      <c r="G2284" s="32"/>
      <c r="H2284">
        <f>COUNTIFS('Audit Raw data'!J:J,B:B,'Audit Raw data'!E:E,G:G)</f>
        <v>0</v>
      </c>
      <c r="I2284" s="44" t="str">
        <f>IFERROR((SUMIFS('Audit Raw data'!BZ:BZ,'Audit Raw data'!J:J,B:B,'Audit Raw data'!E:E,G:G)/H2284)/100,"-")</f>
        <v>-</v>
      </c>
      <c r="J2284">
        <f>COUNTIFS('Audit Raw data'!AM:AM,"Yes",'Audit Raw data'!J:J,B:B,'Audit Raw data'!E:E,'Day wise agent'!G:G)</f>
        <v>0</v>
      </c>
      <c r="K2284">
        <f>COUNTIFS('Audit Raw data'!AM:AM,"NO",'Audit Raw data'!J:J,B:B,'Audit Raw data'!E:E,'Day wise agent'!G:G)</f>
        <v>0</v>
      </c>
      <c r="L2284" s="12" t="str">
        <f t="shared" si="56"/>
        <v xml:space="preserve"> </v>
      </c>
    </row>
    <row r="2285" spans="4:12" x14ac:dyDescent="0.35">
      <c r="D2285" s="32"/>
      <c r="G2285" s="32"/>
      <c r="H2285">
        <f>COUNTIFS('Audit Raw data'!J:J,B:B,'Audit Raw data'!E:E,G:G)</f>
        <v>0</v>
      </c>
      <c r="I2285" s="44" t="str">
        <f>IFERROR((SUMIFS('Audit Raw data'!BZ:BZ,'Audit Raw data'!J:J,B:B,'Audit Raw data'!E:E,G:G)/H2285)/100,"-")</f>
        <v>-</v>
      </c>
      <c r="J2285">
        <f>COUNTIFS('Audit Raw data'!AM:AM,"Yes",'Audit Raw data'!J:J,B:B,'Audit Raw data'!E:E,'Day wise agent'!G:G)</f>
        <v>0</v>
      </c>
      <c r="K2285">
        <f>COUNTIFS('Audit Raw data'!AM:AM,"NO",'Audit Raw data'!J:J,B:B,'Audit Raw data'!E:E,'Day wise agent'!G:G)</f>
        <v>0</v>
      </c>
      <c r="L2285" s="12" t="str">
        <f t="shared" si="56"/>
        <v xml:space="preserve"> </v>
      </c>
    </row>
    <row r="2286" spans="4:12" x14ac:dyDescent="0.35">
      <c r="D2286" s="32"/>
      <c r="G2286" s="32"/>
      <c r="H2286">
        <f>COUNTIFS('Audit Raw data'!J:J,B:B,'Audit Raw data'!E:E,G:G)</f>
        <v>0</v>
      </c>
      <c r="I2286" s="44" t="str">
        <f>IFERROR((SUMIFS('Audit Raw data'!BZ:BZ,'Audit Raw data'!J:J,B:B,'Audit Raw data'!E:E,G:G)/H2286)/100,"-")</f>
        <v>-</v>
      </c>
      <c r="J2286">
        <f>COUNTIFS('Audit Raw data'!AM:AM,"Yes",'Audit Raw data'!J:J,B:B,'Audit Raw data'!E:E,'Day wise agent'!G:G)</f>
        <v>0</v>
      </c>
      <c r="K2286">
        <f>COUNTIFS('Audit Raw data'!AM:AM,"NO",'Audit Raw data'!J:J,B:B,'Audit Raw data'!E:E,'Day wise agent'!G:G)</f>
        <v>0</v>
      </c>
      <c r="L2286" s="12" t="str">
        <f t="shared" si="56"/>
        <v xml:space="preserve"> </v>
      </c>
    </row>
    <row r="2287" spans="4:12" x14ac:dyDescent="0.35">
      <c r="D2287" s="32"/>
      <c r="G2287" s="32"/>
      <c r="H2287">
        <f>COUNTIFS('Audit Raw data'!J:J,B:B,'Audit Raw data'!E:E,G:G)</f>
        <v>0</v>
      </c>
      <c r="I2287" s="44" t="str">
        <f>IFERROR((SUMIFS('Audit Raw data'!BZ:BZ,'Audit Raw data'!J:J,B:B,'Audit Raw data'!E:E,G:G)/H2287)/100,"-")</f>
        <v>-</v>
      </c>
      <c r="J2287">
        <f>COUNTIFS('Audit Raw data'!AM:AM,"Yes",'Audit Raw data'!J:J,B:B,'Audit Raw data'!E:E,'Day wise agent'!G:G)</f>
        <v>0</v>
      </c>
      <c r="K2287">
        <f>COUNTIFS('Audit Raw data'!AM:AM,"NO",'Audit Raw data'!J:J,B:B,'Audit Raw data'!E:E,'Day wise agent'!G:G)</f>
        <v>0</v>
      </c>
      <c r="L2287" s="12" t="str">
        <f t="shared" si="56"/>
        <v xml:space="preserve"> </v>
      </c>
    </row>
    <row r="2288" spans="4:12" x14ac:dyDescent="0.35">
      <c r="D2288" s="32"/>
      <c r="G2288" s="32"/>
      <c r="H2288">
        <f>COUNTIFS('Audit Raw data'!J:J,B:B,'Audit Raw data'!E:E,G:G)</f>
        <v>0</v>
      </c>
      <c r="I2288" s="44" t="str">
        <f>IFERROR((SUMIFS('Audit Raw data'!BZ:BZ,'Audit Raw data'!J:J,B:B,'Audit Raw data'!E:E,G:G)/H2288)/100,"-")</f>
        <v>-</v>
      </c>
      <c r="J2288">
        <f>COUNTIFS('Audit Raw data'!AM:AM,"Yes",'Audit Raw data'!J:J,B:B,'Audit Raw data'!E:E,'Day wise agent'!G:G)</f>
        <v>0</v>
      </c>
      <c r="K2288">
        <f>COUNTIFS('Audit Raw data'!AM:AM,"NO",'Audit Raw data'!J:J,B:B,'Audit Raw data'!E:E,'Day wise agent'!G:G)</f>
        <v>0</v>
      </c>
      <c r="L2288" s="12" t="str">
        <f t="shared" si="56"/>
        <v xml:space="preserve"> </v>
      </c>
    </row>
    <row r="2289" spans="4:12" x14ac:dyDescent="0.35">
      <c r="D2289" s="32"/>
      <c r="G2289" s="32"/>
      <c r="H2289">
        <f>COUNTIFS('Audit Raw data'!J:J,B:B,'Audit Raw data'!E:E,G:G)</f>
        <v>0</v>
      </c>
      <c r="I2289" s="44" t="str">
        <f>IFERROR((SUMIFS('Audit Raw data'!BZ:BZ,'Audit Raw data'!J:J,B:B,'Audit Raw data'!E:E,G:G)/H2289)/100,"-")</f>
        <v>-</v>
      </c>
      <c r="J2289">
        <f>COUNTIFS('Audit Raw data'!AM:AM,"Yes",'Audit Raw data'!J:J,B:B,'Audit Raw data'!E:E,'Day wise agent'!G:G)</f>
        <v>0</v>
      </c>
      <c r="K2289">
        <f>COUNTIFS('Audit Raw data'!AM:AM,"NO",'Audit Raw data'!J:J,B:B,'Audit Raw data'!E:E,'Day wise agent'!G:G)</f>
        <v>0</v>
      </c>
      <c r="L2289" s="12" t="str">
        <f t="shared" si="56"/>
        <v xml:space="preserve"> </v>
      </c>
    </row>
    <row r="2290" spans="4:12" x14ac:dyDescent="0.35">
      <c r="D2290" s="32"/>
      <c r="G2290" s="32"/>
      <c r="H2290">
        <f>COUNTIFS('Audit Raw data'!J:J,B:B,'Audit Raw data'!E:E,G:G)</f>
        <v>0</v>
      </c>
      <c r="I2290" s="44" t="str">
        <f>IFERROR((SUMIFS('Audit Raw data'!BZ:BZ,'Audit Raw data'!J:J,B:B,'Audit Raw data'!E:E,G:G)/H2290)/100,"-")</f>
        <v>-</v>
      </c>
      <c r="J2290">
        <f>COUNTIFS('Audit Raw data'!AM:AM,"Yes",'Audit Raw data'!J:J,B:B,'Audit Raw data'!E:E,'Day wise agent'!G:G)</f>
        <v>0</v>
      </c>
      <c r="K2290">
        <f>COUNTIFS('Audit Raw data'!AM:AM,"NO",'Audit Raw data'!J:J,B:B,'Audit Raw data'!E:E,'Day wise agent'!G:G)</f>
        <v>0</v>
      </c>
      <c r="L2290" s="12" t="str">
        <f t="shared" si="56"/>
        <v xml:space="preserve"> </v>
      </c>
    </row>
    <row r="2291" spans="4:12" x14ac:dyDescent="0.35">
      <c r="D2291" s="32"/>
      <c r="G2291" s="32"/>
      <c r="H2291">
        <f>COUNTIFS('Audit Raw data'!J:J,B:B,'Audit Raw data'!E:E,G:G)</f>
        <v>0</v>
      </c>
      <c r="I2291" s="44" t="str">
        <f>IFERROR((SUMIFS('Audit Raw data'!BZ:BZ,'Audit Raw data'!J:J,B:B,'Audit Raw data'!E:E,G:G)/H2291)/100,"-")</f>
        <v>-</v>
      </c>
      <c r="J2291">
        <f>COUNTIFS('Audit Raw data'!AM:AM,"Yes",'Audit Raw data'!J:J,B:B,'Audit Raw data'!E:E,'Day wise agent'!G:G)</f>
        <v>0</v>
      </c>
      <c r="K2291">
        <f>COUNTIFS('Audit Raw data'!AM:AM,"NO",'Audit Raw data'!J:J,B:B,'Audit Raw data'!E:E,'Day wise agent'!G:G)</f>
        <v>0</v>
      </c>
      <c r="L2291" s="12" t="str">
        <f t="shared" si="56"/>
        <v xml:space="preserve"> </v>
      </c>
    </row>
    <row r="2292" spans="4:12" x14ac:dyDescent="0.35">
      <c r="D2292" s="32"/>
      <c r="G2292" s="32"/>
      <c r="H2292">
        <f>COUNTIFS('Audit Raw data'!J:J,B:B,'Audit Raw data'!E:E,G:G)</f>
        <v>0</v>
      </c>
      <c r="I2292" s="44" t="str">
        <f>IFERROR((SUMIFS('Audit Raw data'!BZ:BZ,'Audit Raw data'!J:J,B:B,'Audit Raw data'!E:E,G:G)/H2292)/100,"-")</f>
        <v>-</v>
      </c>
      <c r="J2292">
        <f>COUNTIFS('Audit Raw data'!AM:AM,"Yes",'Audit Raw data'!J:J,B:B,'Audit Raw data'!E:E,'Day wise agent'!G:G)</f>
        <v>0</v>
      </c>
      <c r="K2292">
        <f>COUNTIFS('Audit Raw data'!AM:AM,"NO",'Audit Raw data'!J:J,B:B,'Audit Raw data'!E:E,'Day wise agent'!G:G)</f>
        <v>0</v>
      </c>
      <c r="L2292" s="12" t="str">
        <f t="shared" si="56"/>
        <v xml:space="preserve"> </v>
      </c>
    </row>
    <row r="2293" spans="4:12" x14ac:dyDescent="0.35">
      <c r="D2293" s="32"/>
      <c r="G2293" s="32"/>
      <c r="H2293">
        <f>COUNTIFS('Audit Raw data'!J:J,B:B,'Audit Raw data'!E:E,G:G)</f>
        <v>0</v>
      </c>
      <c r="I2293" s="44" t="str">
        <f>IFERROR((SUMIFS('Audit Raw data'!BZ:BZ,'Audit Raw data'!J:J,B:B,'Audit Raw data'!E:E,G:G)/H2293)/100,"-")</f>
        <v>-</v>
      </c>
      <c r="J2293">
        <f>COUNTIFS('Audit Raw data'!AM:AM,"Yes",'Audit Raw data'!J:J,B:B,'Audit Raw data'!E:E,'Day wise agent'!G:G)</f>
        <v>0</v>
      </c>
      <c r="K2293">
        <f>COUNTIFS('Audit Raw data'!AM:AM,"NO",'Audit Raw data'!J:J,B:B,'Audit Raw data'!E:E,'Day wise agent'!G:G)</f>
        <v>0</v>
      </c>
      <c r="L2293" s="12" t="str">
        <f t="shared" si="56"/>
        <v xml:space="preserve"> </v>
      </c>
    </row>
    <row r="2294" spans="4:12" x14ac:dyDescent="0.35">
      <c r="D2294" s="32"/>
      <c r="G2294" s="32"/>
      <c r="H2294">
        <f>COUNTIFS('Audit Raw data'!J:J,B:B,'Audit Raw data'!E:E,G:G)</f>
        <v>0</v>
      </c>
      <c r="I2294" s="44" t="str">
        <f>IFERROR((SUMIFS('Audit Raw data'!BZ:BZ,'Audit Raw data'!J:J,B:B,'Audit Raw data'!E:E,G:G)/H2294)/100,"-")</f>
        <v>-</v>
      </c>
      <c r="J2294">
        <f>COUNTIFS('Audit Raw data'!AM:AM,"Yes",'Audit Raw data'!J:J,B:B,'Audit Raw data'!E:E,'Day wise agent'!G:G)</f>
        <v>0</v>
      </c>
      <c r="K2294">
        <f>COUNTIFS('Audit Raw data'!AM:AM,"NO",'Audit Raw data'!J:J,B:B,'Audit Raw data'!E:E,'Day wise agent'!G:G)</f>
        <v>0</v>
      </c>
      <c r="L2294" s="12" t="str">
        <f t="shared" si="56"/>
        <v xml:space="preserve"> </v>
      </c>
    </row>
    <row r="2295" spans="4:12" x14ac:dyDescent="0.35">
      <c r="D2295" s="32"/>
      <c r="G2295" s="32"/>
      <c r="H2295">
        <f>COUNTIFS('Audit Raw data'!J:J,B:B,'Audit Raw data'!E:E,G:G)</f>
        <v>0</v>
      </c>
      <c r="I2295" s="44" t="str">
        <f>IFERROR((SUMIFS('Audit Raw data'!BZ:BZ,'Audit Raw data'!J:J,B:B,'Audit Raw data'!E:E,G:G)/H2295)/100,"-")</f>
        <v>-</v>
      </c>
      <c r="J2295">
        <f>COUNTIFS('Audit Raw data'!AM:AM,"Yes",'Audit Raw data'!J:J,B:B,'Audit Raw data'!E:E,'Day wise agent'!G:G)</f>
        <v>0</v>
      </c>
      <c r="K2295">
        <f>COUNTIFS('Audit Raw data'!AM:AM,"NO",'Audit Raw data'!J:J,B:B,'Audit Raw data'!E:E,'Day wise agent'!G:G)</f>
        <v>0</v>
      </c>
      <c r="L2295" s="12" t="str">
        <f t="shared" si="56"/>
        <v xml:space="preserve"> </v>
      </c>
    </row>
    <row r="2296" spans="4:12" x14ac:dyDescent="0.35">
      <c r="D2296" s="32"/>
      <c r="G2296" s="32"/>
      <c r="H2296">
        <f>COUNTIFS('Audit Raw data'!J:J,B:B,'Audit Raw data'!E:E,G:G)</f>
        <v>0</v>
      </c>
      <c r="I2296" s="44" t="str">
        <f>IFERROR((SUMIFS('Audit Raw data'!BZ:BZ,'Audit Raw data'!J:J,B:B,'Audit Raw data'!E:E,G:G)/H2296)/100,"-")</f>
        <v>-</v>
      </c>
      <c r="J2296">
        <f>COUNTIFS('Audit Raw data'!AM:AM,"Yes",'Audit Raw data'!J:J,B:B,'Audit Raw data'!E:E,'Day wise agent'!G:G)</f>
        <v>0</v>
      </c>
      <c r="K2296">
        <f>COUNTIFS('Audit Raw data'!AM:AM,"NO",'Audit Raw data'!J:J,B:B,'Audit Raw data'!E:E,'Day wise agent'!G:G)</f>
        <v>0</v>
      </c>
      <c r="L2296" s="12" t="str">
        <f t="shared" si="56"/>
        <v xml:space="preserve"> </v>
      </c>
    </row>
    <row r="2297" spans="4:12" x14ac:dyDescent="0.35">
      <c r="D2297" s="32"/>
      <c r="G2297" s="32"/>
      <c r="H2297">
        <f>COUNTIFS('Audit Raw data'!J:J,B:B,'Audit Raw data'!E:E,G:G)</f>
        <v>0</v>
      </c>
      <c r="I2297" s="44" t="str">
        <f>IFERROR((SUMIFS('Audit Raw data'!BZ:BZ,'Audit Raw data'!J:J,B:B,'Audit Raw data'!E:E,G:G)/H2297)/100,"-")</f>
        <v>-</v>
      </c>
      <c r="J2297">
        <f>COUNTIFS('Audit Raw data'!AM:AM,"Yes",'Audit Raw data'!J:J,B:B,'Audit Raw data'!E:E,'Day wise agent'!G:G)</f>
        <v>0</v>
      </c>
      <c r="K2297">
        <f>COUNTIFS('Audit Raw data'!AM:AM,"NO",'Audit Raw data'!J:J,B:B,'Audit Raw data'!E:E,'Day wise agent'!G:G)</f>
        <v>0</v>
      </c>
      <c r="L2297" s="12" t="str">
        <f t="shared" si="56"/>
        <v xml:space="preserve"> </v>
      </c>
    </row>
    <row r="2298" spans="4:12" x14ac:dyDescent="0.35">
      <c r="D2298" s="32"/>
      <c r="G2298" s="32"/>
      <c r="H2298">
        <f>COUNTIFS('Audit Raw data'!J:J,B:B,'Audit Raw data'!E:E,G:G)</f>
        <v>0</v>
      </c>
      <c r="I2298" s="44" t="str">
        <f>IFERROR((SUMIFS('Audit Raw data'!BZ:BZ,'Audit Raw data'!J:J,B:B,'Audit Raw data'!E:E,G:G)/H2298)/100,"-")</f>
        <v>-</v>
      </c>
      <c r="J2298">
        <f>COUNTIFS('Audit Raw data'!AM:AM,"Yes",'Audit Raw data'!J:J,B:B,'Audit Raw data'!E:E,'Day wise agent'!G:G)</f>
        <v>0</v>
      </c>
      <c r="K2298">
        <f>COUNTIFS('Audit Raw data'!AM:AM,"NO",'Audit Raw data'!J:J,B:B,'Audit Raw data'!E:E,'Day wise agent'!G:G)</f>
        <v>0</v>
      </c>
      <c r="L2298" s="12" t="str">
        <f t="shared" si="56"/>
        <v xml:space="preserve"> </v>
      </c>
    </row>
    <row r="2299" spans="4:12" x14ac:dyDescent="0.35">
      <c r="D2299" s="32"/>
      <c r="G2299" s="32"/>
      <c r="H2299">
        <f>COUNTIFS('Audit Raw data'!J:J,B:B,'Audit Raw data'!E:E,G:G)</f>
        <v>0</v>
      </c>
      <c r="I2299" s="44" t="str">
        <f>IFERROR((SUMIFS('Audit Raw data'!BZ:BZ,'Audit Raw data'!J:J,B:B,'Audit Raw data'!E:E,G:G)/H2299)/100,"-")</f>
        <v>-</v>
      </c>
      <c r="J2299">
        <f>COUNTIFS('Audit Raw data'!AM:AM,"Yes",'Audit Raw data'!J:J,B:B,'Audit Raw data'!E:E,'Day wise agent'!G:G)</f>
        <v>0</v>
      </c>
      <c r="K2299">
        <f>COUNTIFS('Audit Raw data'!AM:AM,"NO",'Audit Raw data'!J:J,B:B,'Audit Raw data'!E:E,'Day wise agent'!G:G)</f>
        <v>0</v>
      </c>
      <c r="L2299" s="12" t="str">
        <f t="shared" si="56"/>
        <v xml:space="preserve"> </v>
      </c>
    </row>
    <row r="2300" spans="4:12" x14ac:dyDescent="0.35">
      <c r="D2300" s="32"/>
      <c r="G2300" s="32"/>
      <c r="H2300">
        <f>COUNTIFS('Audit Raw data'!J:J,B:B,'Audit Raw data'!E:E,G:G)</f>
        <v>0</v>
      </c>
      <c r="I2300" s="44" t="str">
        <f>IFERROR((SUMIFS('Audit Raw data'!BZ:BZ,'Audit Raw data'!J:J,B:B,'Audit Raw data'!E:E,G:G)/H2300)/100,"-")</f>
        <v>-</v>
      </c>
      <c r="J2300">
        <f>COUNTIFS('Audit Raw data'!AM:AM,"Yes",'Audit Raw data'!J:J,B:B,'Audit Raw data'!E:E,'Day wise agent'!G:G)</f>
        <v>0</v>
      </c>
      <c r="K2300">
        <f>COUNTIFS('Audit Raw data'!AM:AM,"NO",'Audit Raw data'!J:J,B:B,'Audit Raw data'!E:E,'Day wise agent'!G:G)</f>
        <v>0</v>
      </c>
      <c r="L2300" s="12" t="str">
        <f t="shared" si="56"/>
        <v xml:space="preserve"> </v>
      </c>
    </row>
    <row r="2301" spans="4:12" x14ac:dyDescent="0.35">
      <c r="D2301" s="32"/>
      <c r="G2301" s="32"/>
      <c r="H2301">
        <f>COUNTIFS('Audit Raw data'!J:J,B:B,'Audit Raw data'!E:E,G:G)</f>
        <v>0</v>
      </c>
      <c r="I2301" s="44" t="str">
        <f>IFERROR((SUMIFS('Audit Raw data'!BZ:BZ,'Audit Raw data'!J:J,B:B,'Audit Raw data'!E:E,G:G)/H2301)/100,"-")</f>
        <v>-</v>
      </c>
      <c r="J2301">
        <f>COUNTIFS('Audit Raw data'!AM:AM,"Yes",'Audit Raw data'!J:J,B:B,'Audit Raw data'!E:E,'Day wise agent'!G:G)</f>
        <v>0</v>
      </c>
      <c r="K2301">
        <f>COUNTIFS('Audit Raw data'!AM:AM,"NO",'Audit Raw data'!J:J,B:B,'Audit Raw data'!E:E,'Day wise agent'!G:G)</f>
        <v>0</v>
      </c>
      <c r="L2301" s="12" t="str">
        <f t="shared" si="56"/>
        <v xml:space="preserve"> </v>
      </c>
    </row>
    <row r="2302" spans="4:12" x14ac:dyDescent="0.35">
      <c r="D2302" s="32"/>
      <c r="G2302" s="32"/>
      <c r="H2302">
        <f>COUNTIFS('Audit Raw data'!J:J,B:B,'Audit Raw data'!E:E,G:G)</f>
        <v>0</v>
      </c>
      <c r="I2302" s="44" t="str">
        <f>IFERROR((SUMIFS('Audit Raw data'!BZ:BZ,'Audit Raw data'!J:J,B:B,'Audit Raw data'!E:E,G:G)/H2302)/100,"-")</f>
        <v>-</v>
      </c>
      <c r="J2302">
        <f>COUNTIFS('Audit Raw data'!AM:AM,"Yes",'Audit Raw data'!J:J,B:B,'Audit Raw data'!E:E,'Day wise agent'!G:G)</f>
        <v>0</v>
      </c>
      <c r="K2302">
        <f>COUNTIFS('Audit Raw data'!AM:AM,"NO",'Audit Raw data'!J:J,B:B,'Audit Raw data'!E:E,'Day wise agent'!G:G)</f>
        <v>0</v>
      </c>
      <c r="L2302" s="12" t="str">
        <f t="shared" si="56"/>
        <v xml:space="preserve"> </v>
      </c>
    </row>
    <row r="2303" spans="4:12" x14ac:dyDescent="0.35">
      <c r="D2303" s="32"/>
      <c r="G2303" s="32"/>
      <c r="H2303">
        <f>COUNTIFS('Audit Raw data'!J:J,B:B,'Audit Raw data'!E:E,G:G)</f>
        <v>0</v>
      </c>
      <c r="I2303" s="44" t="str">
        <f>IFERROR((SUMIFS('Audit Raw data'!BZ:BZ,'Audit Raw data'!J:J,B:B,'Audit Raw data'!E:E,G:G)/H2303)/100,"-")</f>
        <v>-</v>
      </c>
      <c r="J2303">
        <f>COUNTIFS('Audit Raw data'!AM:AM,"Yes",'Audit Raw data'!J:J,B:B,'Audit Raw data'!E:E,'Day wise agent'!G:G)</f>
        <v>0</v>
      </c>
      <c r="K2303">
        <f>COUNTIFS('Audit Raw data'!AM:AM,"NO",'Audit Raw data'!J:J,B:B,'Audit Raw data'!E:E,'Day wise agent'!G:G)</f>
        <v>0</v>
      </c>
      <c r="L2303" s="12" t="str">
        <f t="shared" si="56"/>
        <v xml:space="preserve"> </v>
      </c>
    </row>
    <row r="2304" spans="4:12" x14ac:dyDescent="0.35">
      <c r="D2304" s="32"/>
      <c r="G2304" s="32"/>
      <c r="H2304">
        <f>COUNTIFS('Audit Raw data'!J:J,B:B,'Audit Raw data'!E:E,G:G)</f>
        <v>0</v>
      </c>
      <c r="I2304" s="44" t="str">
        <f>IFERROR((SUMIFS('Audit Raw data'!BZ:BZ,'Audit Raw data'!J:J,B:B,'Audit Raw data'!E:E,G:G)/H2304)/100,"-")</f>
        <v>-</v>
      </c>
      <c r="J2304">
        <f>COUNTIFS('Audit Raw data'!AM:AM,"Yes",'Audit Raw data'!J:J,B:B,'Audit Raw data'!E:E,'Day wise agent'!G:G)</f>
        <v>0</v>
      </c>
      <c r="K2304">
        <f>COUNTIFS('Audit Raw data'!AM:AM,"NO",'Audit Raw data'!J:J,B:B,'Audit Raw data'!E:E,'Day wise agent'!G:G)</f>
        <v>0</v>
      </c>
      <c r="L2304" s="12" t="str">
        <f t="shared" si="56"/>
        <v xml:space="preserve"> </v>
      </c>
    </row>
    <row r="2305" spans="4:12" x14ac:dyDescent="0.35">
      <c r="D2305" s="32"/>
      <c r="G2305" s="32"/>
      <c r="H2305">
        <f>COUNTIFS('Audit Raw data'!J:J,B:B,'Audit Raw data'!E:E,G:G)</f>
        <v>0</v>
      </c>
      <c r="I2305" s="44" t="str">
        <f>IFERROR((SUMIFS('Audit Raw data'!BZ:BZ,'Audit Raw data'!J:J,B:B,'Audit Raw data'!E:E,G:G)/H2305)/100,"-")</f>
        <v>-</v>
      </c>
      <c r="J2305">
        <f>COUNTIFS('Audit Raw data'!AM:AM,"Yes",'Audit Raw data'!J:J,B:B,'Audit Raw data'!E:E,'Day wise agent'!G:G)</f>
        <v>0</v>
      </c>
      <c r="K2305">
        <f>COUNTIFS('Audit Raw data'!AM:AM,"NO",'Audit Raw data'!J:J,B:B,'Audit Raw data'!E:E,'Day wise agent'!G:G)</f>
        <v>0</v>
      </c>
      <c r="L2305" s="12" t="str">
        <f t="shared" si="56"/>
        <v xml:space="preserve"> </v>
      </c>
    </row>
    <row r="2306" spans="4:12" x14ac:dyDescent="0.35">
      <c r="D2306" s="32"/>
      <c r="G2306" s="32"/>
      <c r="H2306">
        <f>COUNTIFS('Audit Raw data'!J:J,B:B,'Audit Raw data'!E:E,G:G)</f>
        <v>0</v>
      </c>
      <c r="I2306" s="44" t="str">
        <f>IFERROR((SUMIFS('Audit Raw data'!BZ:BZ,'Audit Raw data'!J:J,B:B,'Audit Raw data'!E:E,G:G)/H2306)/100,"-")</f>
        <v>-</v>
      </c>
      <c r="J2306">
        <f>COUNTIFS('Audit Raw data'!AM:AM,"Yes",'Audit Raw data'!J:J,B:B,'Audit Raw data'!E:E,'Day wise agent'!G:G)</f>
        <v>0</v>
      </c>
      <c r="K2306">
        <f>COUNTIFS('Audit Raw data'!AM:AM,"NO",'Audit Raw data'!J:J,B:B,'Audit Raw data'!E:E,'Day wise agent'!G:G)</f>
        <v>0</v>
      </c>
      <c r="L2306" s="12" t="str">
        <f t="shared" ref="L2306:L2369" si="57">IFERROR(J2306/H2306," ")</f>
        <v xml:space="preserve"> </v>
      </c>
    </row>
    <row r="2307" spans="4:12" x14ac:dyDescent="0.35">
      <c r="D2307" s="32"/>
      <c r="G2307" s="32"/>
      <c r="H2307">
        <f>COUNTIFS('Audit Raw data'!J:J,B:B,'Audit Raw data'!E:E,G:G)</f>
        <v>0</v>
      </c>
      <c r="I2307" s="44" t="str">
        <f>IFERROR((SUMIFS('Audit Raw data'!BZ:BZ,'Audit Raw data'!J:J,B:B,'Audit Raw data'!E:E,G:G)/H2307)/100,"-")</f>
        <v>-</v>
      </c>
      <c r="J2307">
        <f>COUNTIFS('Audit Raw data'!AM:AM,"Yes",'Audit Raw data'!J:J,B:B,'Audit Raw data'!E:E,'Day wise agent'!G:G)</f>
        <v>0</v>
      </c>
      <c r="K2307">
        <f>COUNTIFS('Audit Raw data'!AM:AM,"NO",'Audit Raw data'!J:J,B:B,'Audit Raw data'!E:E,'Day wise agent'!G:G)</f>
        <v>0</v>
      </c>
      <c r="L2307" s="12" t="str">
        <f t="shared" si="57"/>
        <v xml:space="preserve"> </v>
      </c>
    </row>
    <row r="2308" spans="4:12" x14ac:dyDescent="0.35">
      <c r="D2308" s="32"/>
      <c r="G2308" s="32"/>
      <c r="H2308">
        <f>COUNTIFS('Audit Raw data'!J:J,B:B,'Audit Raw data'!E:E,G:G)</f>
        <v>0</v>
      </c>
      <c r="I2308" s="44" t="str">
        <f>IFERROR((SUMIFS('Audit Raw data'!BZ:BZ,'Audit Raw data'!J:J,B:B,'Audit Raw data'!E:E,G:G)/H2308)/100,"-")</f>
        <v>-</v>
      </c>
      <c r="J2308">
        <f>COUNTIFS('Audit Raw data'!AM:AM,"Yes",'Audit Raw data'!J:J,B:B,'Audit Raw data'!E:E,'Day wise agent'!G:G)</f>
        <v>0</v>
      </c>
      <c r="K2308">
        <f>COUNTIFS('Audit Raw data'!AM:AM,"NO",'Audit Raw data'!J:J,B:B,'Audit Raw data'!E:E,'Day wise agent'!G:G)</f>
        <v>0</v>
      </c>
      <c r="L2308" s="12" t="str">
        <f t="shared" si="57"/>
        <v xml:space="preserve"> </v>
      </c>
    </row>
    <row r="2309" spans="4:12" x14ac:dyDescent="0.35">
      <c r="D2309" s="32"/>
      <c r="G2309" s="32"/>
      <c r="H2309">
        <f>COUNTIFS('Audit Raw data'!J:J,B:B,'Audit Raw data'!E:E,G:G)</f>
        <v>0</v>
      </c>
      <c r="I2309" s="44" t="str">
        <f>IFERROR((SUMIFS('Audit Raw data'!BZ:BZ,'Audit Raw data'!J:J,B:B,'Audit Raw data'!E:E,G:G)/H2309)/100,"-")</f>
        <v>-</v>
      </c>
      <c r="J2309">
        <f>COUNTIFS('Audit Raw data'!AM:AM,"Yes",'Audit Raw data'!J:J,B:B,'Audit Raw data'!E:E,'Day wise agent'!G:G)</f>
        <v>0</v>
      </c>
      <c r="K2309">
        <f>COUNTIFS('Audit Raw data'!AM:AM,"NO",'Audit Raw data'!J:J,B:B,'Audit Raw data'!E:E,'Day wise agent'!G:G)</f>
        <v>0</v>
      </c>
      <c r="L2309" s="12" t="str">
        <f t="shared" si="57"/>
        <v xml:space="preserve"> </v>
      </c>
    </row>
    <row r="2310" spans="4:12" x14ac:dyDescent="0.35">
      <c r="D2310" s="32"/>
      <c r="G2310" s="32"/>
      <c r="H2310">
        <f>COUNTIFS('Audit Raw data'!J:J,B:B,'Audit Raw data'!E:E,G:G)</f>
        <v>0</v>
      </c>
      <c r="I2310" s="44" t="str">
        <f>IFERROR((SUMIFS('Audit Raw data'!BZ:BZ,'Audit Raw data'!J:J,B:B,'Audit Raw data'!E:E,G:G)/H2310)/100,"-")</f>
        <v>-</v>
      </c>
      <c r="J2310">
        <f>COUNTIFS('Audit Raw data'!AM:AM,"Yes",'Audit Raw data'!J:J,B:B,'Audit Raw data'!E:E,'Day wise agent'!G:G)</f>
        <v>0</v>
      </c>
      <c r="K2310">
        <f>COUNTIFS('Audit Raw data'!AM:AM,"NO",'Audit Raw data'!J:J,B:B,'Audit Raw data'!E:E,'Day wise agent'!G:G)</f>
        <v>0</v>
      </c>
      <c r="L2310" s="12" t="str">
        <f t="shared" si="57"/>
        <v xml:space="preserve"> </v>
      </c>
    </row>
    <row r="2311" spans="4:12" x14ac:dyDescent="0.35">
      <c r="D2311" s="32"/>
      <c r="G2311" s="32"/>
      <c r="H2311">
        <f>COUNTIFS('Audit Raw data'!J:J,B:B,'Audit Raw data'!E:E,G:G)</f>
        <v>0</v>
      </c>
      <c r="I2311" s="44" t="str">
        <f>IFERROR((SUMIFS('Audit Raw data'!BZ:BZ,'Audit Raw data'!J:J,B:B,'Audit Raw data'!E:E,G:G)/H2311)/100,"-")</f>
        <v>-</v>
      </c>
      <c r="J2311">
        <f>COUNTIFS('Audit Raw data'!AM:AM,"Yes",'Audit Raw data'!J:J,B:B,'Audit Raw data'!E:E,'Day wise agent'!G:G)</f>
        <v>0</v>
      </c>
      <c r="K2311">
        <f>COUNTIFS('Audit Raw data'!AM:AM,"NO",'Audit Raw data'!J:J,B:B,'Audit Raw data'!E:E,'Day wise agent'!G:G)</f>
        <v>0</v>
      </c>
      <c r="L2311" s="12" t="str">
        <f t="shared" si="57"/>
        <v xml:space="preserve"> </v>
      </c>
    </row>
    <row r="2312" spans="4:12" x14ac:dyDescent="0.35">
      <c r="D2312" s="32"/>
      <c r="G2312" s="32"/>
      <c r="H2312">
        <f>COUNTIFS('Audit Raw data'!J:J,B:B,'Audit Raw data'!E:E,G:G)</f>
        <v>0</v>
      </c>
      <c r="I2312" s="44" t="str">
        <f>IFERROR((SUMIFS('Audit Raw data'!BZ:BZ,'Audit Raw data'!J:J,B:B,'Audit Raw data'!E:E,G:G)/H2312)/100,"-")</f>
        <v>-</v>
      </c>
      <c r="J2312">
        <f>COUNTIFS('Audit Raw data'!AM:AM,"Yes",'Audit Raw data'!J:J,B:B,'Audit Raw data'!E:E,'Day wise agent'!G:G)</f>
        <v>0</v>
      </c>
      <c r="K2312">
        <f>COUNTIFS('Audit Raw data'!AM:AM,"NO",'Audit Raw data'!J:J,B:B,'Audit Raw data'!E:E,'Day wise agent'!G:G)</f>
        <v>0</v>
      </c>
      <c r="L2312" s="12" t="str">
        <f t="shared" si="57"/>
        <v xml:space="preserve"> </v>
      </c>
    </row>
    <row r="2313" spans="4:12" x14ac:dyDescent="0.35">
      <c r="D2313" s="32"/>
      <c r="G2313" s="32"/>
      <c r="H2313">
        <f>COUNTIFS('Audit Raw data'!J:J,B:B,'Audit Raw data'!E:E,G:G)</f>
        <v>0</v>
      </c>
      <c r="I2313" s="44" t="str">
        <f>IFERROR((SUMIFS('Audit Raw data'!BZ:BZ,'Audit Raw data'!J:J,B:B,'Audit Raw data'!E:E,G:G)/H2313)/100,"-")</f>
        <v>-</v>
      </c>
      <c r="J2313">
        <f>COUNTIFS('Audit Raw data'!AM:AM,"Yes",'Audit Raw data'!J:J,B:B,'Audit Raw data'!E:E,'Day wise agent'!G:G)</f>
        <v>0</v>
      </c>
      <c r="K2313">
        <f>COUNTIFS('Audit Raw data'!AM:AM,"NO",'Audit Raw data'!J:J,B:B,'Audit Raw data'!E:E,'Day wise agent'!G:G)</f>
        <v>0</v>
      </c>
      <c r="L2313" s="12" t="str">
        <f t="shared" si="57"/>
        <v xml:space="preserve"> </v>
      </c>
    </row>
    <row r="2314" spans="4:12" x14ac:dyDescent="0.35">
      <c r="D2314" s="32"/>
      <c r="G2314" s="32"/>
      <c r="H2314">
        <f>COUNTIFS('Audit Raw data'!J:J,B:B,'Audit Raw data'!E:E,G:G)</f>
        <v>0</v>
      </c>
      <c r="I2314" s="44" t="str">
        <f>IFERROR((SUMIFS('Audit Raw data'!BZ:BZ,'Audit Raw data'!J:J,B:B,'Audit Raw data'!E:E,G:G)/H2314)/100,"-")</f>
        <v>-</v>
      </c>
      <c r="J2314">
        <f>COUNTIFS('Audit Raw data'!AM:AM,"Yes",'Audit Raw data'!J:J,B:B,'Audit Raw data'!E:E,'Day wise agent'!G:G)</f>
        <v>0</v>
      </c>
      <c r="K2314">
        <f>COUNTIFS('Audit Raw data'!AM:AM,"NO",'Audit Raw data'!J:J,B:B,'Audit Raw data'!E:E,'Day wise agent'!G:G)</f>
        <v>0</v>
      </c>
      <c r="L2314" s="12" t="str">
        <f t="shared" si="57"/>
        <v xml:space="preserve"> </v>
      </c>
    </row>
    <row r="2315" spans="4:12" x14ac:dyDescent="0.35">
      <c r="D2315" s="32"/>
      <c r="G2315" s="32"/>
      <c r="H2315">
        <f>COUNTIFS('Audit Raw data'!J:J,B:B,'Audit Raw data'!E:E,G:G)</f>
        <v>0</v>
      </c>
      <c r="I2315" s="44" t="str">
        <f>IFERROR((SUMIFS('Audit Raw data'!BZ:BZ,'Audit Raw data'!J:J,B:B,'Audit Raw data'!E:E,G:G)/H2315)/100,"-")</f>
        <v>-</v>
      </c>
      <c r="J2315">
        <f>COUNTIFS('Audit Raw data'!AM:AM,"Yes",'Audit Raw data'!J:J,B:B,'Audit Raw data'!E:E,'Day wise agent'!G:G)</f>
        <v>0</v>
      </c>
      <c r="K2315">
        <f>COUNTIFS('Audit Raw data'!AM:AM,"NO",'Audit Raw data'!J:J,B:B,'Audit Raw data'!E:E,'Day wise agent'!G:G)</f>
        <v>0</v>
      </c>
      <c r="L2315" s="12" t="str">
        <f t="shared" si="57"/>
        <v xml:space="preserve"> </v>
      </c>
    </row>
    <row r="2316" spans="4:12" x14ac:dyDescent="0.35">
      <c r="D2316" s="32"/>
      <c r="G2316" s="32"/>
      <c r="H2316">
        <f>COUNTIFS('Audit Raw data'!J:J,B:B,'Audit Raw data'!E:E,G:G)</f>
        <v>0</v>
      </c>
      <c r="I2316" s="44" t="str">
        <f>IFERROR((SUMIFS('Audit Raw data'!BZ:BZ,'Audit Raw data'!J:J,B:B,'Audit Raw data'!E:E,G:G)/H2316)/100,"-")</f>
        <v>-</v>
      </c>
      <c r="J2316">
        <f>COUNTIFS('Audit Raw data'!AM:AM,"Yes",'Audit Raw data'!J:J,B:B,'Audit Raw data'!E:E,'Day wise agent'!G:G)</f>
        <v>0</v>
      </c>
      <c r="K2316">
        <f>COUNTIFS('Audit Raw data'!AM:AM,"NO",'Audit Raw data'!J:J,B:B,'Audit Raw data'!E:E,'Day wise agent'!G:G)</f>
        <v>0</v>
      </c>
      <c r="L2316" s="12" t="str">
        <f t="shared" si="57"/>
        <v xml:space="preserve"> </v>
      </c>
    </row>
    <row r="2317" spans="4:12" x14ac:dyDescent="0.35">
      <c r="D2317" s="32"/>
      <c r="G2317" s="32"/>
      <c r="H2317">
        <f>COUNTIFS('Audit Raw data'!J:J,B:B,'Audit Raw data'!E:E,G:G)</f>
        <v>0</v>
      </c>
      <c r="I2317" s="44" t="str">
        <f>IFERROR((SUMIFS('Audit Raw data'!BZ:BZ,'Audit Raw data'!J:J,B:B,'Audit Raw data'!E:E,G:G)/H2317)/100,"-")</f>
        <v>-</v>
      </c>
      <c r="J2317">
        <f>COUNTIFS('Audit Raw data'!AM:AM,"Yes",'Audit Raw data'!J:J,B:B,'Audit Raw data'!E:E,'Day wise agent'!G:G)</f>
        <v>0</v>
      </c>
      <c r="K2317">
        <f>COUNTIFS('Audit Raw data'!AM:AM,"NO",'Audit Raw data'!J:J,B:B,'Audit Raw data'!E:E,'Day wise agent'!G:G)</f>
        <v>0</v>
      </c>
      <c r="L2317" s="12" t="str">
        <f t="shared" si="57"/>
        <v xml:space="preserve"> </v>
      </c>
    </row>
    <row r="2318" spans="4:12" x14ac:dyDescent="0.35">
      <c r="D2318" s="32"/>
      <c r="G2318" s="32"/>
      <c r="H2318">
        <f>COUNTIFS('Audit Raw data'!J:J,B:B,'Audit Raw data'!E:E,G:G)</f>
        <v>0</v>
      </c>
      <c r="I2318" s="44" t="str">
        <f>IFERROR((SUMIFS('Audit Raw data'!BZ:BZ,'Audit Raw data'!J:J,B:B,'Audit Raw data'!E:E,G:G)/H2318)/100,"-")</f>
        <v>-</v>
      </c>
      <c r="J2318">
        <f>COUNTIFS('Audit Raw data'!AM:AM,"Yes",'Audit Raw data'!J:J,B:B,'Audit Raw data'!E:E,'Day wise agent'!G:G)</f>
        <v>0</v>
      </c>
      <c r="K2318">
        <f>COUNTIFS('Audit Raw data'!AM:AM,"NO",'Audit Raw data'!J:J,B:B,'Audit Raw data'!E:E,'Day wise agent'!G:G)</f>
        <v>0</v>
      </c>
      <c r="L2318" s="12" t="str">
        <f t="shared" si="57"/>
        <v xml:space="preserve"> </v>
      </c>
    </row>
    <row r="2319" spans="4:12" x14ac:dyDescent="0.35">
      <c r="D2319" s="32"/>
      <c r="G2319" s="32"/>
      <c r="H2319">
        <f>COUNTIFS('Audit Raw data'!J:J,B:B,'Audit Raw data'!E:E,G:G)</f>
        <v>0</v>
      </c>
      <c r="I2319" s="44" t="str">
        <f>IFERROR((SUMIFS('Audit Raw data'!BZ:BZ,'Audit Raw data'!J:J,B:B,'Audit Raw data'!E:E,G:G)/H2319)/100,"-")</f>
        <v>-</v>
      </c>
      <c r="J2319">
        <f>COUNTIFS('Audit Raw data'!AM:AM,"Yes",'Audit Raw data'!J:J,B:B,'Audit Raw data'!E:E,'Day wise agent'!G:G)</f>
        <v>0</v>
      </c>
      <c r="K2319">
        <f>COUNTIFS('Audit Raw data'!AM:AM,"NO",'Audit Raw data'!J:J,B:B,'Audit Raw data'!E:E,'Day wise agent'!G:G)</f>
        <v>0</v>
      </c>
      <c r="L2319" s="12" t="str">
        <f t="shared" si="57"/>
        <v xml:space="preserve"> </v>
      </c>
    </row>
    <row r="2320" spans="4:12" x14ac:dyDescent="0.35">
      <c r="D2320" s="32"/>
      <c r="G2320" s="32"/>
      <c r="H2320">
        <f>COUNTIFS('Audit Raw data'!J:J,B:B,'Audit Raw data'!E:E,G:G)</f>
        <v>0</v>
      </c>
      <c r="I2320" s="44" t="str">
        <f>IFERROR((SUMIFS('Audit Raw data'!BZ:BZ,'Audit Raw data'!J:J,B:B,'Audit Raw data'!E:E,G:G)/H2320)/100,"-")</f>
        <v>-</v>
      </c>
      <c r="J2320">
        <f>COUNTIFS('Audit Raw data'!AM:AM,"Yes",'Audit Raw data'!J:J,B:B,'Audit Raw data'!E:E,'Day wise agent'!G:G)</f>
        <v>0</v>
      </c>
      <c r="K2320">
        <f>COUNTIFS('Audit Raw data'!AM:AM,"NO",'Audit Raw data'!J:J,B:B,'Audit Raw data'!E:E,'Day wise agent'!G:G)</f>
        <v>0</v>
      </c>
      <c r="L2320" s="12" t="str">
        <f t="shared" si="57"/>
        <v xml:space="preserve"> </v>
      </c>
    </row>
    <row r="2321" spans="4:12" x14ac:dyDescent="0.35">
      <c r="D2321" s="32"/>
      <c r="G2321" s="32"/>
      <c r="H2321">
        <f>COUNTIFS('Audit Raw data'!J:J,B:B,'Audit Raw data'!E:E,G:G)</f>
        <v>0</v>
      </c>
      <c r="I2321" s="44" t="str">
        <f>IFERROR((SUMIFS('Audit Raw data'!BZ:BZ,'Audit Raw data'!J:J,B:B,'Audit Raw data'!E:E,G:G)/H2321)/100,"-")</f>
        <v>-</v>
      </c>
      <c r="J2321">
        <f>COUNTIFS('Audit Raw data'!AM:AM,"Yes",'Audit Raw data'!J:J,B:B,'Audit Raw data'!E:E,'Day wise agent'!G:G)</f>
        <v>0</v>
      </c>
      <c r="K2321">
        <f>COUNTIFS('Audit Raw data'!AM:AM,"NO",'Audit Raw data'!J:J,B:B,'Audit Raw data'!E:E,'Day wise agent'!G:G)</f>
        <v>0</v>
      </c>
      <c r="L2321" s="12" t="str">
        <f t="shared" si="57"/>
        <v xml:space="preserve"> </v>
      </c>
    </row>
    <row r="2322" spans="4:12" x14ac:dyDescent="0.35">
      <c r="D2322" s="32"/>
      <c r="G2322" s="32"/>
      <c r="H2322">
        <f>COUNTIFS('Audit Raw data'!J:J,B:B,'Audit Raw data'!E:E,G:G)</f>
        <v>0</v>
      </c>
      <c r="I2322" s="44" t="str">
        <f>IFERROR((SUMIFS('Audit Raw data'!BZ:BZ,'Audit Raw data'!J:J,B:B,'Audit Raw data'!E:E,G:G)/H2322)/100,"-")</f>
        <v>-</v>
      </c>
      <c r="J2322">
        <f>COUNTIFS('Audit Raw data'!AM:AM,"Yes",'Audit Raw data'!J:J,B:B,'Audit Raw data'!E:E,'Day wise agent'!G:G)</f>
        <v>0</v>
      </c>
      <c r="K2322">
        <f>COUNTIFS('Audit Raw data'!AM:AM,"NO",'Audit Raw data'!J:J,B:B,'Audit Raw data'!E:E,'Day wise agent'!G:G)</f>
        <v>0</v>
      </c>
      <c r="L2322" s="12" t="str">
        <f t="shared" si="57"/>
        <v xml:space="preserve"> </v>
      </c>
    </row>
    <row r="2323" spans="4:12" x14ac:dyDescent="0.35">
      <c r="D2323" s="32"/>
      <c r="G2323" s="32"/>
      <c r="H2323">
        <f>COUNTIFS('Audit Raw data'!J:J,B:B,'Audit Raw data'!E:E,G:G)</f>
        <v>0</v>
      </c>
      <c r="I2323" s="44" t="str">
        <f>IFERROR((SUMIFS('Audit Raw data'!BZ:BZ,'Audit Raw data'!J:J,B:B,'Audit Raw data'!E:E,G:G)/H2323)/100,"-")</f>
        <v>-</v>
      </c>
      <c r="J2323">
        <f>COUNTIFS('Audit Raw data'!AM:AM,"Yes",'Audit Raw data'!J:J,B:B,'Audit Raw data'!E:E,'Day wise agent'!G:G)</f>
        <v>0</v>
      </c>
      <c r="K2323">
        <f>COUNTIFS('Audit Raw data'!AM:AM,"NO",'Audit Raw data'!J:J,B:B,'Audit Raw data'!E:E,'Day wise agent'!G:G)</f>
        <v>0</v>
      </c>
      <c r="L2323" s="12" t="str">
        <f t="shared" si="57"/>
        <v xml:space="preserve"> </v>
      </c>
    </row>
    <row r="2324" spans="4:12" x14ac:dyDescent="0.35">
      <c r="D2324" s="32"/>
      <c r="G2324" s="32"/>
      <c r="H2324">
        <f>COUNTIFS('Audit Raw data'!J:J,B:B,'Audit Raw data'!E:E,G:G)</f>
        <v>0</v>
      </c>
      <c r="I2324" s="44" t="str">
        <f>IFERROR((SUMIFS('Audit Raw data'!BZ:BZ,'Audit Raw data'!J:J,B:B,'Audit Raw data'!E:E,G:G)/H2324)/100,"-")</f>
        <v>-</v>
      </c>
      <c r="J2324">
        <f>COUNTIFS('Audit Raw data'!AM:AM,"Yes",'Audit Raw data'!J:J,B:B,'Audit Raw data'!E:E,'Day wise agent'!G:G)</f>
        <v>0</v>
      </c>
      <c r="K2324">
        <f>COUNTIFS('Audit Raw data'!AM:AM,"NO",'Audit Raw data'!J:J,B:B,'Audit Raw data'!E:E,'Day wise agent'!G:G)</f>
        <v>0</v>
      </c>
      <c r="L2324" s="12" t="str">
        <f t="shared" si="57"/>
        <v xml:space="preserve"> </v>
      </c>
    </row>
    <row r="2325" spans="4:12" x14ac:dyDescent="0.35">
      <c r="D2325" s="32"/>
      <c r="G2325" s="32"/>
      <c r="H2325">
        <f>COUNTIFS('Audit Raw data'!J:J,B:B,'Audit Raw data'!E:E,G:G)</f>
        <v>0</v>
      </c>
      <c r="I2325" s="44" t="str">
        <f>IFERROR((SUMIFS('Audit Raw data'!BZ:BZ,'Audit Raw data'!J:J,B:B,'Audit Raw data'!E:E,G:G)/H2325)/100,"-")</f>
        <v>-</v>
      </c>
      <c r="J2325">
        <f>COUNTIFS('Audit Raw data'!AM:AM,"Yes",'Audit Raw data'!J:J,B:B,'Audit Raw data'!E:E,'Day wise agent'!G:G)</f>
        <v>0</v>
      </c>
      <c r="K2325">
        <f>COUNTIFS('Audit Raw data'!AM:AM,"NO",'Audit Raw data'!J:J,B:B,'Audit Raw data'!E:E,'Day wise agent'!G:G)</f>
        <v>0</v>
      </c>
      <c r="L2325" s="12" t="str">
        <f t="shared" si="57"/>
        <v xml:space="preserve"> </v>
      </c>
    </row>
    <row r="2326" spans="4:12" x14ac:dyDescent="0.35">
      <c r="D2326" s="32"/>
      <c r="G2326" s="32"/>
      <c r="H2326">
        <f>COUNTIFS('Audit Raw data'!J:J,B:B,'Audit Raw data'!E:E,G:G)</f>
        <v>0</v>
      </c>
      <c r="I2326" s="44" t="str">
        <f>IFERROR((SUMIFS('Audit Raw data'!BZ:BZ,'Audit Raw data'!J:J,B:B,'Audit Raw data'!E:E,G:G)/H2326)/100,"-")</f>
        <v>-</v>
      </c>
      <c r="J2326">
        <f>COUNTIFS('Audit Raw data'!AM:AM,"Yes",'Audit Raw data'!J:J,B:B,'Audit Raw data'!E:E,'Day wise agent'!G:G)</f>
        <v>0</v>
      </c>
      <c r="K2326">
        <f>COUNTIFS('Audit Raw data'!AM:AM,"NO",'Audit Raw data'!J:J,B:B,'Audit Raw data'!E:E,'Day wise agent'!G:G)</f>
        <v>0</v>
      </c>
      <c r="L2326" s="12" t="str">
        <f t="shared" si="57"/>
        <v xml:space="preserve"> </v>
      </c>
    </row>
    <row r="2327" spans="4:12" x14ac:dyDescent="0.35">
      <c r="D2327" s="32"/>
      <c r="G2327" s="32"/>
      <c r="H2327">
        <f>COUNTIFS('Audit Raw data'!J:J,B:B,'Audit Raw data'!E:E,G:G)</f>
        <v>0</v>
      </c>
      <c r="I2327" s="44" t="str">
        <f>IFERROR((SUMIFS('Audit Raw data'!BZ:BZ,'Audit Raw data'!J:J,B:B,'Audit Raw data'!E:E,G:G)/H2327)/100,"-")</f>
        <v>-</v>
      </c>
      <c r="J2327">
        <f>COUNTIFS('Audit Raw data'!AM:AM,"Yes",'Audit Raw data'!J:J,B:B,'Audit Raw data'!E:E,'Day wise agent'!G:G)</f>
        <v>0</v>
      </c>
      <c r="K2327">
        <f>COUNTIFS('Audit Raw data'!AM:AM,"NO",'Audit Raw data'!J:J,B:B,'Audit Raw data'!E:E,'Day wise agent'!G:G)</f>
        <v>0</v>
      </c>
      <c r="L2327" s="12" t="str">
        <f t="shared" si="57"/>
        <v xml:space="preserve"> </v>
      </c>
    </row>
    <row r="2328" spans="4:12" x14ac:dyDescent="0.35">
      <c r="D2328" s="32"/>
      <c r="G2328" s="32"/>
      <c r="H2328">
        <f>COUNTIFS('Audit Raw data'!J:J,B:B,'Audit Raw data'!E:E,G:G)</f>
        <v>0</v>
      </c>
      <c r="I2328" s="44" t="str">
        <f>IFERROR((SUMIFS('Audit Raw data'!BZ:BZ,'Audit Raw data'!J:J,B:B,'Audit Raw data'!E:E,G:G)/H2328)/100,"-")</f>
        <v>-</v>
      </c>
      <c r="J2328">
        <f>COUNTIFS('Audit Raw data'!AM:AM,"Yes",'Audit Raw data'!J:J,B:B,'Audit Raw data'!E:E,'Day wise agent'!G:G)</f>
        <v>0</v>
      </c>
      <c r="K2328">
        <f>COUNTIFS('Audit Raw data'!AM:AM,"NO",'Audit Raw data'!J:J,B:B,'Audit Raw data'!E:E,'Day wise agent'!G:G)</f>
        <v>0</v>
      </c>
      <c r="L2328" s="12" t="str">
        <f t="shared" si="57"/>
        <v xml:space="preserve"> </v>
      </c>
    </row>
    <row r="2329" spans="4:12" x14ac:dyDescent="0.35">
      <c r="D2329" s="32"/>
      <c r="G2329" s="32"/>
      <c r="H2329">
        <f>COUNTIFS('Audit Raw data'!J:J,B:B,'Audit Raw data'!E:E,G:G)</f>
        <v>0</v>
      </c>
      <c r="I2329" s="44" t="str">
        <f>IFERROR((SUMIFS('Audit Raw data'!BZ:BZ,'Audit Raw data'!J:J,B:B,'Audit Raw data'!E:E,G:G)/H2329)/100,"-")</f>
        <v>-</v>
      </c>
      <c r="J2329">
        <f>COUNTIFS('Audit Raw data'!AM:AM,"Yes",'Audit Raw data'!J:J,B:B,'Audit Raw data'!E:E,'Day wise agent'!G:G)</f>
        <v>0</v>
      </c>
      <c r="K2329">
        <f>COUNTIFS('Audit Raw data'!AM:AM,"NO",'Audit Raw data'!J:J,B:B,'Audit Raw data'!E:E,'Day wise agent'!G:G)</f>
        <v>0</v>
      </c>
      <c r="L2329" s="12" t="str">
        <f t="shared" si="57"/>
        <v xml:space="preserve"> </v>
      </c>
    </row>
    <row r="2330" spans="4:12" x14ac:dyDescent="0.35">
      <c r="D2330" s="32"/>
      <c r="G2330" s="32"/>
      <c r="H2330">
        <f>COUNTIFS('Audit Raw data'!J:J,B:B,'Audit Raw data'!E:E,G:G)</f>
        <v>0</v>
      </c>
      <c r="I2330" s="44" t="str">
        <f>IFERROR((SUMIFS('Audit Raw data'!BZ:BZ,'Audit Raw data'!J:J,B:B,'Audit Raw data'!E:E,G:G)/H2330)/100,"-")</f>
        <v>-</v>
      </c>
      <c r="J2330">
        <f>COUNTIFS('Audit Raw data'!AM:AM,"Yes",'Audit Raw data'!J:J,B:B,'Audit Raw data'!E:E,'Day wise agent'!G:G)</f>
        <v>0</v>
      </c>
      <c r="K2330">
        <f>COUNTIFS('Audit Raw data'!AM:AM,"NO",'Audit Raw data'!J:J,B:B,'Audit Raw data'!E:E,'Day wise agent'!G:G)</f>
        <v>0</v>
      </c>
      <c r="L2330" s="12" t="str">
        <f t="shared" si="57"/>
        <v xml:space="preserve"> </v>
      </c>
    </row>
    <row r="2331" spans="4:12" x14ac:dyDescent="0.35">
      <c r="D2331" s="32"/>
      <c r="G2331" s="32"/>
      <c r="H2331">
        <f>COUNTIFS('Audit Raw data'!J:J,B:B,'Audit Raw data'!E:E,G:G)</f>
        <v>0</v>
      </c>
      <c r="I2331" s="44" t="str">
        <f>IFERROR((SUMIFS('Audit Raw data'!BZ:BZ,'Audit Raw data'!J:J,B:B,'Audit Raw data'!E:E,G:G)/H2331)/100,"-")</f>
        <v>-</v>
      </c>
      <c r="J2331">
        <f>COUNTIFS('Audit Raw data'!AM:AM,"Yes",'Audit Raw data'!J:J,B:B,'Audit Raw data'!E:E,'Day wise agent'!G:G)</f>
        <v>0</v>
      </c>
      <c r="K2331">
        <f>COUNTIFS('Audit Raw data'!AM:AM,"NO",'Audit Raw data'!J:J,B:B,'Audit Raw data'!E:E,'Day wise agent'!G:G)</f>
        <v>0</v>
      </c>
      <c r="L2331" s="12" t="str">
        <f t="shared" si="57"/>
        <v xml:space="preserve"> </v>
      </c>
    </row>
    <row r="2332" spans="4:12" x14ac:dyDescent="0.35">
      <c r="D2332" s="32"/>
      <c r="G2332" s="32"/>
      <c r="H2332">
        <f>COUNTIFS('Audit Raw data'!J:J,B:B,'Audit Raw data'!E:E,G:G)</f>
        <v>0</v>
      </c>
      <c r="I2332" s="44" t="str">
        <f>IFERROR((SUMIFS('Audit Raw data'!BZ:BZ,'Audit Raw data'!J:J,B:B,'Audit Raw data'!E:E,G:G)/H2332)/100,"-")</f>
        <v>-</v>
      </c>
      <c r="J2332">
        <f>COUNTIFS('Audit Raw data'!AM:AM,"Yes",'Audit Raw data'!J:J,B:B,'Audit Raw data'!E:E,'Day wise agent'!G:G)</f>
        <v>0</v>
      </c>
      <c r="K2332">
        <f>COUNTIFS('Audit Raw data'!AM:AM,"NO",'Audit Raw data'!J:J,B:B,'Audit Raw data'!E:E,'Day wise agent'!G:G)</f>
        <v>0</v>
      </c>
      <c r="L2332" s="12" t="str">
        <f t="shared" si="57"/>
        <v xml:space="preserve"> </v>
      </c>
    </row>
    <row r="2333" spans="4:12" x14ac:dyDescent="0.35">
      <c r="D2333" s="32"/>
      <c r="G2333" s="32"/>
      <c r="H2333">
        <f>COUNTIFS('Audit Raw data'!J:J,B:B,'Audit Raw data'!E:E,G:G)</f>
        <v>0</v>
      </c>
      <c r="I2333" s="44" t="str">
        <f>IFERROR((SUMIFS('Audit Raw data'!BZ:BZ,'Audit Raw data'!J:J,B:B,'Audit Raw data'!E:E,G:G)/H2333)/100,"-")</f>
        <v>-</v>
      </c>
      <c r="J2333">
        <f>COUNTIFS('Audit Raw data'!AM:AM,"Yes",'Audit Raw data'!J:J,B:B,'Audit Raw data'!E:E,'Day wise agent'!G:G)</f>
        <v>0</v>
      </c>
      <c r="K2333">
        <f>COUNTIFS('Audit Raw data'!AM:AM,"NO",'Audit Raw data'!J:J,B:B,'Audit Raw data'!E:E,'Day wise agent'!G:G)</f>
        <v>0</v>
      </c>
      <c r="L2333" s="12" t="str">
        <f t="shared" si="57"/>
        <v xml:space="preserve"> </v>
      </c>
    </row>
    <row r="2334" spans="4:12" x14ac:dyDescent="0.35">
      <c r="D2334" s="32"/>
      <c r="G2334" s="32"/>
      <c r="H2334">
        <f>COUNTIFS('Audit Raw data'!J:J,B:B,'Audit Raw data'!E:E,G:G)</f>
        <v>0</v>
      </c>
      <c r="I2334" s="44" t="str">
        <f>IFERROR((SUMIFS('Audit Raw data'!BZ:BZ,'Audit Raw data'!J:J,B:B,'Audit Raw data'!E:E,G:G)/H2334)/100,"-")</f>
        <v>-</v>
      </c>
      <c r="J2334">
        <f>COUNTIFS('Audit Raw data'!AM:AM,"Yes",'Audit Raw data'!J:J,B:B,'Audit Raw data'!E:E,'Day wise agent'!G:G)</f>
        <v>0</v>
      </c>
      <c r="K2334">
        <f>COUNTIFS('Audit Raw data'!AM:AM,"NO",'Audit Raw data'!J:J,B:B,'Audit Raw data'!E:E,'Day wise agent'!G:G)</f>
        <v>0</v>
      </c>
      <c r="L2334" s="12" t="str">
        <f t="shared" si="57"/>
        <v xml:space="preserve"> </v>
      </c>
    </row>
    <row r="2335" spans="4:12" x14ac:dyDescent="0.35">
      <c r="D2335" s="32"/>
      <c r="G2335" s="32"/>
      <c r="H2335">
        <f>COUNTIFS('Audit Raw data'!J:J,B:B,'Audit Raw data'!E:E,G:G)</f>
        <v>0</v>
      </c>
      <c r="I2335" s="44" t="str">
        <f>IFERROR((SUMIFS('Audit Raw data'!BZ:BZ,'Audit Raw data'!J:J,B:B,'Audit Raw data'!E:E,G:G)/H2335)/100,"-")</f>
        <v>-</v>
      </c>
      <c r="J2335">
        <f>COUNTIFS('Audit Raw data'!AM:AM,"Yes",'Audit Raw data'!J:J,B:B,'Audit Raw data'!E:E,'Day wise agent'!G:G)</f>
        <v>0</v>
      </c>
      <c r="K2335">
        <f>COUNTIFS('Audit Raw data'!AM:AM,"NO",'Audit Raw data'!J:J,B:B,'Audit Raw data'!E:E,'Day wise agent'!G:G)</f>
        <v>0</v>
      </c>
      <c r="L2335" s="12" t="str">
        <f t="shared" si="57"/>
        <v xml:space="preserve"> </v>
      </c>
    </row>
    <row r="2336" spans="4:12" x14ac:dyDescent="0.35">
      <c r="D2336" s="32"/>
      <c r="G2336" s="32"/>
      <c r="H2336">
        <f>COUNTIFS('Audit Raw data'!J:J,B:B,'Audit Raw data'!E:E,G:G)</f>
        <v>0</v>
      </c>
      <c r="I2336" s="44" t="str">
        <f>IFERROR((SUMIFS('Audit Raw data'!BZ:BZ,'Audit Raw data'!J:J,B:B,'Audit Raw data'!E:E,G:G)/H2336)/100,"-")</f>
        <v>-</v>
      </c>
      <c r="J2336">
        <f>COUNTIFS('Audit Raw data'!AM:AM,"Yes",'Audit Raw data'!J:J,B:B,'Audit Raw data'!E:E,'Day wise agent'!G:G)</f>
        <v>0</v>
      </c>
      <c r="K2336">
        <f>COUNTIFS('Audit Raw data'!AM:AM,"NO",'Audit Raw data'!J:J,B:B,'Audit Raw data'!E:E,'Day wise agent'!G:G)</f>
        <v>0</v>
      </c>
      <c r="L2336" s="12" t="str">
        <f t="shared" si="57"/>
        <v xml:space="preserve"> </v>
      </c>
    </row>
    <row r="2337" spans="4:12" x14ac:dyDescent="0.35">
      <c r="D2337" s="32"/>
      <c r="G2337" s="32"/>
      <c r="H2337">
        <f>COUNTIFS('Audit Raw data'!J:J,B:B,'Audit Raw data'!E:E,G:G)</f>
        <v>0</v>
      </c>
      <c r="I2337" s="44" t="str">
        <f>IFERROR((SUMIFS('Audit Raw data'!BZ:BZ,'Audit Raw data'!J:J,B:B,'Audit Raw data'!E:E,G:G)/H2337)/100,"-")</f>
        <v>-</v>
      </c>
      <c r="J2337">
        <f>COUNTIFS('Audit Raw data'!AM:AM,"Yes",'Audit Raw data'!J:J,B:B,'Audit Raw data'!E:E,'Day wise agent'!G:G)</f>
        <v>0</v>
      </c>
      <c r="K2337">
        <f>COUNTIFS('Audit Raw data'!AM:AM,"NO",'Audit Raw data'!J:J,B:B,'Audit Raw data'!E:E,'Day wise agent'!G:G)</f>
        <v>0</v>
      </c>
      <c r="L2337" s="12" t="str">
        <f t="shared" si="57"/>
        <v xml:space="preserve"> </v>
      </c>
    </row>
    <row r="2338" spans="4:12" x14ac:dyDescent="0.35">
      <c r="D2338" s="32"/>
      <c r="G2338" s="32"/>
      <c r="H2338">
        <f>COUNTIFS('Audit Raw data'!J:J,B:B,'Audit Raw data'!E:E,G:G)</f>
        <v>0</v>
      </c>
      <c r="I2338" s="44" t="str">
        <f>IFERROR((SUMIFS('Audit Raw data'!BZ:BZ,'Audit Raw data'!J:J,B:B,'Audit Raw data'!E:E,G:G)/H2338)/100,"-")</f>
        <v>-</v>
      </c>
      <c r="J2338">
        <f>COUNTIFS('Audit Raw data'!AM:AM,"Yes",'Audit Raw data'!J:J,B:B,'Audit Raw data'!E:E,'Day wise agent'!G:G)</f>
        <v>0</v>
      </c>
      <c r="K2338">
        <f>COUNTIFS('Audit Raw data'!AM:AM,"NO",'Audit Raw data'!J:J,B:B,'Audit Raw data'!E:E,'Day wise agent'!G:G)</f>
        <v>0</v>
      </c>
      <c r="L2338" s="12" t="str">
        <f t="shared" si="57"/>
        <v xml:space="preserve"> </v>
      </c>
    </row>
    <row r="2339" spans="4:12" x14ac:dyDescent="0.35">
      <c r="D2339" s="32"/>
      <c r="G2339" s="32"/>
      <c r="H2339">
        <f>COUNTIFS('Audit Raw data'!J:J,B:B,'Audit Raw data'!E:E,G:G)</f>
        <v>0</v>
      </c>
      <c r="I2339" s="44" t="str">
        <f>IFERROR((SUMIFS('Audit Raw data'!BZ:BZ,'Audit Raw data'!J:J,B:B,'Audit Raw data'!E:E,G:G)/H2339)/100,"-")</f>
        <v>-</v>
      </c>
      <c r="J2339">
        <f>COUNTIFS('Audit Raw data'!AM:AM,"Yes",'Audit Raw data'!J:J,B:B,'Audit Raw data'!E:E,'Day wise agent'!G:G)</f>
        <v>0</v>
      </c>
      <c r="K2339">
        <f>COUNTIFS('Audit Raw data'!AM:AM,"NO",'Audit Raw data'!J:J,B:B,'Audit Raw data'!E:E,'Day wise agent'!G:G)</f>
        <v>0</v>
      </c>
      <c r="L2339" s="12" t="str">
        <f t="shared" si="57"/>
        <v xml:space="preserve"> </v>
      </c>
    </row>
    <row r="2340" spans="4:12" x14ac:dyDescent="0.35">
      <c r="D2340" s="32"/>
      <c r="G2340" s="32"/>
      <c r="H2340">
        <f>COUNTIFS('Audit Raw data'!J:J,B:B,'Audit Raw data'!E:E,G:G)</f>
        <v>0</v>
      </c>
      <c r="I2340" s="44" t="str">
        <f>IFERROR((SUMIFS('Audit Raw data'!BZ:BZ,'Audit Raw data'!J:J,B:B,'Audit Raw data'!E:E,G:G)/H2340)/100,"-")</f>
        <v>-</v>
      </c>
      <c r="J2340">
        <f>COUNTIFS('Audit Raw data'!AM:AM,"Yes",'Audit Raw data'!J:J,B:B,'Audit Raw data'!E:E,'Day wise agent'!G:G)</f>
        <v>0</v>
      </c>
      <c r="K2340">
        <f>COUNTIFS('Audit Raw data'!AM:AM,"NO",'Audit Raw data'!J:J,B:B,'Audit Raw data'!E:E,'Day wise agent'!G:G)</f>
        <v>0</v>
      </c>
      <c r="L2340" s="12" t="str">
        <f t="shared" si="57"/>
        <v xml:space="preserve"> </v>
      </c>
    </row>
    <row r="2341" spans="4:12" x14ac:dyDescent="0.35">
      <c r="D2341" s="32"/>
      <c r="G2341" s="32"/>
      <c r="H2341">
        <f>COUNTIFS('Audit Raw data'!J:J,B:B,'Audit Raw data'!E:E,G:G)</f>
        <v>0</v>
      </c>
      <c r="I2341" s="44" t="str">
        <f>IFERROR((SUMIFS('Audit Raw data'!BZ:BZ,'Audit Raw data'!J:J,B:B,'Audit Raw data'!E:E,G:G)/H2341)/100,"-")</f>
        <v>-</v>
      </c>
      <c r="J2341">
        <f>COUNTIFS('Audit Raw data'!AM:AM,"Yes",'Audit Raw data'!J:J,B:B,'Audit Raw data'!E:E,'Day wise agent'!G:G)</f>
        <v>0</v>
      </c>
      <c r="K2341">
        <f>COUNTIFS('Audit Raw data'!AM:AM,"NO",'Audit Raw data'!J:J,B:B,'Audit Raw data'!E:E,'Day wise agent'!G:G)</f>
        <v>0</v>
      </c>
      <c r="L2341" s="12" t="str">
        <f t="shared" si="57"/>
        <v xml:space="preserve"> </v>
      </c>
    </row>
    <row r="2342" spans="4:12" x14ac:dyDescent="0.35">
      <c r="D2342" s="32"/>
      <c r="G2342" s="32"/>
      <c r="H2342">
        <f>COUNTIFS('Audit Raw data'!J:J,B:B,'Audit Raw data'!E:E,G:G)</f>
        <v>0</v>
      </c>
      <c r="I2342" s="44" t="str">
        <f>IFERROR((SUMIFS('Audit Raw data'!BZ:BZ,'Audit Raw data'!J:J,B:B,'Audit Raw data'!E:E,G:G)/H2342)/100,"-")</f>
        <v>-</v>
      </c>
      <c r="J2342">
        <f>COUNTIFS('Audit Raw data'!AM:AM,"Yes",'Audit Raw data'!J:J,B:B,'Audit Raw data'!E:E,'Day wise agent'!G:G)</f>
        <v>0</v>
      </c>
      <c r="K2342">
        <f>COUNTIFS('Audit Raw data'!AM:AM,"NO",'Audit Raw data'!J:J,B:B,'Audit Raw data'!E:E,'Day wise agent'!G:G)</f>
        <v>0</v>
      </c>
      <c r="L2342" s="12" t="str">
        <f t="shared" si="57"/>
        <v xml:space="preserve"> </v>
      </c>
    </row>
    <row r="2343" spans="4:12" x14ac:dyDescent="0.35">
      <c r="D2343" s="32"/>
      <c r="G2343" s="32"/>
      <c r="H2343">
        <f>COUNTIFS('Audit Raw data'!J:J,B:B,'Audit Raw data'!E:E,G:G)</f>
        <v>0</v>
      </c>
      <c r="I2343" s="44" t="str">
        <f>IFERROR((SUMIFS('Audit Raw data'!BZ:BZ,'Audit Raw data'!J:J,B:B,'Audit Raw data'!E:E,G:G)/H2343)/100,"-")</f>
        <v>-</v>
      </c>
      <c r="J2343">
        <f>COUNTIFS('Audit Raw data'!AM:AM,"Yes",'Audit Raw data'!J:J,B:B,'Audit Raw data'!E:E,'Day wise agent'!G:G)</f>
        <v>0</v>
      </c>
      <c r="K2343">
        <f>COUNTIFS('Audit Raw data'!AM:AM,"NO",'Audit Raw data'!J:J,B:B,'Audit Raw data'!E:E,'Day wise agent'!G:G)</f>
        <v>0</v>
      </c>
      <c r="L2343" s="12" t="str">
        <f t="shared" si="57"/>
        <v xml:space="preserve"> </v>
      </c>
    </row>
    <row r="2344" spans="4:12" x14ac:dyDescent="0.35">
      <c r="D2344" s="32"/>
      <c r="G2344" s="32"/>
      <c r="H2344">
        <f>COUNTIFS('Audit Raw data'!J:J,B:B,'Audit Raw data'!E:E,G:G)</f>
        <v>0</v>
      </c>
      <c r="I2344" s="44" t="str">
        <f>IFERROR((SUMIFS('Audit Raw data'!BZ:BZ,'Audit Raw data'!J:J,B:B,'Audit Raw data'!E:E,G:G)/H2344)/100,"-")</f>
        <v>-</v>
      </c>
      <c r="J2344">
        <f>COUNTIFS('Audit Raw data'!AM:AM,"Yes",'Audit Raw data'!J:J,B:B,'Audit Raw data'!E:E,'Day wise agent'!G:G)</f>
        <v>0</v>
      </c>
      <c r="K2344">
        <f>COUNTIFS('Audit Raw data'!AM:AM,"NO",'Audit Raw data'!J:J,B:B,'Audit Raw data'!E:E,'Day wise agent'!G:G)</f>
        <v>0</v>
      </c>
      <c r="L2344" s="12" t="str">
        <f t="shared" si="57"/>
        <v xml:space="preserve"> </v>
      </c>
    </row>
    <row r="2345" spans="4:12" x14ac:dyDescent="0.35">
      <c r="D2345" s="32"/>
      <c r="G2345" s="32"/>
      <c r="H2345">
        <f>COUNTIFS('Audit Raw data'!J:J,B:B,'Audit Raw data'!E:E,G:G)</f>
        <v>0</v>
      </c>
      <c r="I2345" s="44" t="str">
        <f>IFERROR((SUMIFS('Audit Raw data'!BZ:BZ,'Audit Raw data'!J:J,B:B,'Audit Raw data'!E:E,G:G)/H2345)/100,"-")</f>
        <v>-</v>
      </c>
      <c r="J2345">
        <f>COUNTIFS('Audit Raw data'!AM:AM,"Yes",'Audit Raw data'!J:J,B:B,'Audit Raw data'!E:E,'Day wise agent'!G:G)</f>
        <v>0</v>
      </c>
      <c r="K2345">
        <f>COUNTIFS('Audit Raw data'!AM:AM,"NO",'Audit Raw data'!J:J,B:B,'Audit Raw data'!E:E,'Day wise agent'!G:G)</f>
        <v>0</v>
      </c>
      <c r="L2345" s="12" t="str">
        <f t="shared" si="57"/>
        <v xml:space="preserve"> </v>
      </c>
    </row>
    <row r="2346" spans="4:12" x14ac:dyDescent="0.35">
      <c r="D2346" s="32"/>
      <c r="G2346" s="32"/>
      <c r="H2346">
        <f>COUNTIFS('Audit Raw data'!J:J,B:B,'Audit Raw data'!E:E,G:G)</f>
        <v>0</v>
      </c>
      <c r="I2346" s="44" t="str">
        <f>IFERROR((SUMIFS('Audit Raw data'!BZ:BZ,'Audit Raw data'!J:J,B:B,'Audit Raw data'!E:E,G:G)/H2346)/100,"-")</f>
        <v>-</v>
      </c>
      <c r="J2346">
        <f>COUNTIFS('Audit Raw data'!AM:AM,"Yes",'Audit Raw data'!J:J,B:B,'Audit Raw data'!E:E,'Day wise agent'!G:G)</f>
        <v>0</v>
      </c>
      <c r="K2346">
        <f>COUNTIFS('Audit Raw data'!AM:AM,"NO",'Audit Raw data'!J:J,B:B,'Audit Raw data'!E:E,'Day wise agent'!G:G)</f>
        <v>0</v>
      </c>
      <c r="L2346" s="12" t="str">
        <f t="shared" si="57"/>
        <v xml:space="preserve"> </v>
      </c>
    </row>
    <row r="2347" spans="4:12" x14ac:dyDescent="0.35">
      <c r="D2347" s="32"/>
      <c r="G2347" s="32"/>
      <c r="H2347">
        <f>COUNTIFS('Audit Raw data'!J:J,B:B,'Audit Raw data'!E:E,G:G)</f>
        <v>0</v>
      </c>
      <c r="I2347" s="44" t="str">
        <f>IFERROR((SUMIFS('Audit Raw data'!BZ:BZ,'Audit Raw data'!J:J,B:B,'Audit Raw data'!E:E,G:G)/H2347)/100,"-")</f>
        <v>-</v>
      </c>
      <c r="J2347">
        <f>COUNTIFS('Audit Raw data'!AM:AM,"Yes",'Audit Raw data'!J:J,B:B,'Audit Raw data'!E:E,'Day wise agent'!G:G)</f>
        <v>0</v>
      </c>
      <c r="K2347">
        <f>COUNTIFS('Audit Raw data'!AM:AM,"NO",'Audit Raw data'!J:J,B:B,'Audit Raw data'!E:E,'Day wise agent'!G:G)</f>
        <v>0</v>
      </c>
      <c r="L2347" s="12" t="str">
        <f t="shared" si="57"/>
        <v xml:space="preserve"> </v>
      </c>
    </row>
    <row r="2348" spans="4:12" x14ac:dyDescent="0.35">
      <c r="D2348" s="32"/>
      <c r="G2348" s="32"/>
      <c r="H2348">
        <f>COUNTIFS('Audit Raw data'!J:J,B:B,'Audit Raw data'!E:E,G:G)</f>
        <v>0</v>
      </c>
      <c r="I2348" s="44" t="str">
        <f>IFERROR((SUMIFS('Audit Raw data'!BZ:BZ,'Audit Raw data'!J:J,B:B,'Audit Raw data'!E:E,G:G)/H2348)/100,"-")</f>
        <v>-</v>
      </c>
      <c r="J2348">
        <f>COUNTIFS('Audit Raw data'!AM:AM,"Yes",'Audit Raw data'!J:J,B:B,'Audit Raw data'!E:E,'Day wise agent'!G:G)</f>
        <v>0</v>
      </c>
      <c r="K2348">
        <f>COUNTIFS('Audit Raw data'!AM:AM,"NO",'Audit Raw data'!J:J,B:B,'Audit Raw data'!E:E,'Day wise agent'!G:G)</f>
        <v>0</v>
      </c>
      <c r="L2348" s="12" t="str">
        <f t="shared" si="57"/>
        <v xml:space="preserve"> </v>
      </c>
    </row>
    <row r="2349" spans="4:12" x14ac:dyDescent="0.35">
      <c r="D2349" s="32"/>
      <c r="G2349" s="32"/>
      <c r="H2349">
        <f>COUNTIFS('Audit Raw data'!J:J,B:B,'Audit Raw data'!E:E,G:G)</f>
        <v>0</v>
      </c>
      <c r="I2349" s="44" t="str">
        <f>IFERROR((SUMIFS('Audit Raw data'!BZ:BZ,'Audit Raw data'!J:J,B:B,'Audit Raw data'!E:E,G:G)/H2349)/100,"-")</f>
        <v>-</v>
      </c>
      <c r="J2349">
        <f>COUNTIFS('Audit Raw data'!AM:AM,"Yes",'Audit Raw data'!J:J,B:B,'Audit Raw data'!E:E,'Day wise agent'!G:G)</f>
        <v>0</v>
      </c>
      <c r="K2349">
        <f>COUNTIFS('Audit Raw data'!AM:AM,"NO",'Audit Raw data'!J:J,B:B,'Audit Raw data'!E:E,'Day wise agent'!G:G)</f>
        <v>0</v>
      </c>
      <c r="L2349" s="12" t="str">
        <f t="shared" si="57"/>
        <v xml:space="preserve"> </v>
      </c>
    </row>
    <row r="2350" spans="4:12" x14ac:dyDescent="0.35">
      <c r="D2350" s="32"/>
      <c r="G2350" s="32"/>
      <c r="H2350">
        <f>COUNTIFS('Audit Raw data'!J:J,B:B,'Audit Raw data'!E:E,G:G)</f>
        <v>0</v>
      </c>
      <c r="I2350" s="44" t="str">
        <f>IFERROR((SUMIFS('Audit Raw data'!BZ:BZ,'Audit Raw data'!J:J,B:B,'Audit Raw data'!E:E,G:G)/H2350)/100,"-")</f>
        <v>-</v>
      </c>
      <c r="J2350">
        <f>COUNTIFS('Audit Raw data'!AM:AM,"Yes",'Audit Raw data'!J:J,B:B,'Audit Raw data'!E:E,'Day wise agent'!G:G)</f>
        <v>0</v>
      </c>
      <c r="K2350">
        <f>COUNTIFS('Audit Raw data'!AM:AM,"NO",'Audit Raw data'!J:J,B:B,'Audit Raw data'!E:E,'Day wise agent'!G:G)</f>
        <v>0</v>
      </c>
      <c r="L2350" s="12" t="str">
        <f t="shared" si="57"/>
        <v xml:space="preserve"> </v>
      </c>
    </row>
    <row r="2351" spans="4:12" x14ac:dyDescent="0.35">
      <c r="D2351" s="32"/>
      <c r="G2351" s="32"/>
      <c r="H2351">
        <f>COUNTIFS('Audit Raw data'!J:J,B:B,'Audit Raw data'!E:E,G:G)</f>
        <v>0</v>
      </c>
      <c r="I2351" s="44" t="str">
        <f>IFERROR((SUMIFS('Audit Raw data'!BZ:BZ,'Audit Raw data'!J:J,B:B,'Audit Raw data'!E:E,G:G)/H2351)/100,"-")</f>
        <v>-</v>
      </c>
      <c r="J2351">
        <f>COUNTIFS('Audit Raw data'!AM:AM,"Yes",'Audit Raw data'!J:J,B:B,'Audit Raw data'!E:E,'Day wise agent'!G:G)</f>
        <v>0</v>
      </c>
      <c r="K2351">
        <f>COUNTIFS('Audit Raw data'!AM:AM,"NO",'Audit Raw data'!J:J,B:B,'Audit Raw data'!E:E,'Day wise agent'!G:G)</f>
        <v>0</v>
      </c>
      <c r="L2351" s="12" t="str">
        <f t="shared" si="57"/>
        <v xml:space="preserve"> </v>
      </c>
    </row>
    <row r="2352" spans="4:12" x14ac:dyDescent="0.35">
      <c r="D2352" s="32"/>
      <c r="G2352" s="32"/>
      <c r="H2352">
        <f>COUNTIFS('Audit Raw data'!J:J,B:B,'Audit Raw data'!E:E,G:G)</f>
        <v>0</v>
      </c>
      <c r="I2352" s="44" t="str">
        <f>IFERROR((SUMIFS('Audit Raw data'!BZ:BZ,'Audit Raw data'!J:J,B:B,'Audit Raw data'!E:E,G:G)/H2352)/100,"-")</f>
        <v>-</v>
      </c>
      <c r="J2352">
        <f>COUNTIFS('Audit Raw data'!AM:AM,"Yes",'Audit Raw data'!J:J,B:B,'Audit Raw data'!E:E,'Day wise agent'!G:G)</f>
        <v>0</v>
      </c>
      <c r="K2352">
        <f>COUNTIFS('Audit Raw data'!AM:AM,"NO",'Audit Raw data'!J:J,B:B,'Audit Raw data'!E:E,'Day wise agent'!G:G)</f>
        <v>0</v>
      </c>
      <c r="L2352" s="12" t="str">
        <f t="shared" si="57"/>
        <v xml:space="preserve"> </v>
      </c>
    </row>
    <row r="2353" spans="4:12" x14ac:dyDescent="0.35">
      <c r="D2353" s="32"/>
      <c r="G2353" s="32"/>
      <c r="H2353">
        <f>COUNTIFS('Audit Raw data'!J:J,B:B,'Audit Raw data'!E:E,G:G)</f>
        <v>0</v>
      </c>
      <c r="I2353" s="44" t="str">
        <f>IFERROR((SUMIFS('Audit Raw data'!BZ:BZ,'Audit Raw data'!J:J,B:B,'Audit Raw data'!E:E,G:G)/H2353)/100,"-")</f>
        <v>-</v>
      </c>
      <c r="J2353">
        <f>COUNTIFS('Audit Raw data'!AM:AM,"Yes",'Audit Raw data'!J:J,B:B,'Audit Raw data'!E:E,'Day wise agent'!G:G)</f>
        <v>0</v>
      </c>
      <c r="K2353">
        <f>COUNTIFS('Audit Raw data'!AM:AM,"NO",'Audit Raw data'!J:J,B:B,'Audit Raw data'!E:E,'Day wise agent'!G:G)</f>
        <v>0</v>
      </c>
      <c r="L2353" s="12" t="str">
        <f t="shared" si="57"/>
        <v xml:space="preserve"> </v>
      </c>
    </row>
    <row r="2354" spans="4:12" x14ac:dyDescent="0.35">
      <c r="D2354" s="32"/>
      <c r="G2354" s="32"/>
      <c r="H2354">
        <f>COUNTIFS('Audit Raw data'!J:J,B:B,'Audit Raw data'!E:E,G:G)</f>
        <v>0</v>
      </c>
      <c r="I2354" s="44" t="str">
        <f>IFERROR((SUMIFS('Audit Raw data'!BZ:BZ,'Audit Raw data'!J:J,B:B,'Audit Raw data'!E:E,G:G)/H2354)/100,"-")</f>
        <v>-</v>
      </c>
      <c r="J2354">
        <f>COUNTIFS('Audit Raw data'!AM:AM,"Yes",'Audit Raw data'!J:J,B:B,'Audit Raw data'!E:E,'Day wise agent'!G:G)</f>
        <v>0</v>
      </c>
      <c r="K2354">
        <f>COUNTIFS('Audit Raw data'!AM:AM,"NO",'Audit Raw data'!J:J,B:B,'Audit Raw data'!E:E,'Day wise agent'!G:G)</f>
        <v>0</v>
      </c>
      <c r="L2354" s="12" t="str">
        <f t="shared" si="57"/>
        <v xml:space="preserve"> </v>
      </c>
    </row>
    <row r="2355" spans="4:12" x14ac:dyDescent="0.35">
      <c r="D2355" s="32"/>
      <c r="G2355" s="32"/>
      <c r="H2355">
        <f>COUNTIFS('Audit Raw data'!J:J,B:B,'Audit Raw data'!E:E,G:G)</f>
        <v>0</v>
      </c>
      <c r="I2355" s="44" t="str">
        <f>IFERROR((SUMIFS('Audit Raw data'!BZ:BZ,'Audit Raw data'!J:J,B:B,'Audit Raw data'!E:E,G:G)/H2355)/100,"-")</f>
        <v>-</v>
      </c>
      <c r="J2355">
        <f>COUNTIFS('Audit Raw data'!AM:AM,"Yes",'Audit Raw data'!J:J,B:B,'Audit Raw data'!E:E,'Day wise agent'!G:G)</f>
        <v>0</v>
      </c>
      <c r="K2355">
        <f>COUNTIFS('Audit Raw data'!AM:AM,"NO",'Audit Raw data'!J:J,B:B,'Audit Raw data'!E:E,'Day wise agent'!G:G)</f>
        <v>0</v>
      </c>
      <c r="L2355" s="12" t="str">
        <f t="shared" si="57"/>
        <v xml:space="preserve"> </v>
      </c>
    </row>
    <row r="2356" spans="4:12" x14ac:dyDescent="0.35">
      <c r="D2356" s="32"/>
      <c r="G2356" s="32"/>
      <c r="H2356">
        <f>COUNTIFS('Audit Raw data'!J:J,B:B,'Audit Raw data'!E:E,G:G)</f>
        <v>0</v>
      </c>
      <c r="I2356" s="44" t="str">
        <f>IFERROR((SUMIFS('Audit Raw data'!BZ:BZ,'Audit Raw data'!J:J,B:B,'Audit Raw data'!E:E,G:G)/H2356)/100,"-")</f>
        <v>-</v>
      </c>
      <c r="J2356">
        <f>COUNTIFS('Audit Raw data'!AM:AM,"Yes",'Audit Raw data'!J:J,B:B,'Audit Raw data'!E:E,'Day wise agent'!G:G)</f>
        <v>0</v>
      </c>
      <c r="K2356">
        <f>COUNTIFS('Audit Raw data'!AM:AM,"NO",'Audit Raw data'!J:J,B:B,'Audit Raw data'!E:E,'Day wise agent'!G:G)</f>
        <v>0</v>
      </c>
      <c r="L2356" s="12" t="str">
        <f t="shared" si="57"/>
        <v xml:space="preserve"> </v>
      </c>
    </row>
    <row r="2357" spans="4:12" x14ac:dyDescent="0.35">
      <c r="D2357" s="32"/>
      <c r="G2357" s="32"/>
      <c r="H2357">
        <f>COUNTIFS('Audit Raw data'!J:J,B:B,'Audit Raw data'!E:E,G:G)</f>
        <v>0</v>
      </c>
      <c r="I2357" s="44" t="str">
        <f>IFERROR((SUMIFS('Audit Raw data'!BZ:BZ,'Audit Raw data'!J:J,B:B,'Audit Raw data'!E:E,G:G)/H2357)/100,"-")</f>
        <v>-</v>
      </c>
      <c r="J2357">
        <f>COUNTIFS('Audit Raw data'!AM:AM,"Yes",'Audit Raw data'!J:J,B:B,'Audit Raw data'!E:E,'Day wise agent'!G:G)</f>
        <v>0</v>
      </c>
      <c r="K2357">
        <f>COUNTIFS('Audit Raw data'!AM:AM,"NO",'Audit Raw data'!J:J,B:B,'Audit Raw data'!E:E,'Day wise agent'!G:G)</f>
        <v>0</v>
      </c>
      <c r="L2357" s="12" t="str">
        <f t="shared" si="57"/>
        <v xml:space="preserve"> </v>
      </c>
    </row>
    <row r="2358" spans="4:12" x14ac:dyDescent="0.35">
      <c r="D2358" s="32"/>
      <c r="G2358" s="32"/>
      <c r="H2358">
        <f>COUNTIFS('Audit Raw data'!J:J,B:B,'Audit Raw data'!E:E,G:G)</f>
        <v>0</v>
      </c>
      <c r="I2358" s="44" t="str">
        <f>IFERROR((SUMIFS('Audit Raw data'!BZ:BZ,'Audit Raw data'!J:J,B:B,'Audit Raw data'!E:E,G:G)/H2358)/100,"-")</f>
        <v>-</v>
      </c>
      <c r="J2358">
        <f>COUNTIFS('Audit Raw data'!AM:AM,"Yes",'Audit Raw data'!J:J,B:B,'Audit Raw data'!E:E,'Day wise agent'!G:G)</f>
        <v>0</v>
      </c>
      <c r="K2358">
        <f>COUNTIFS('Audit Raw data'!AM:AM,"NO",'Audit Raw data'!J:J,B:B,'Audit Raw data'!E:E,'Day wise agent'!G:G)</f>
        <v>0</v>
      </c>
      <c r="L2358" s="12" t="str">
        <f t="shared" si="57"/>
        <v xml:space="preserve"> </v>
      </c>
    </row>
    <row r="2359" spans="4:12" x14ac:dyDescent="0.35">
      <c r="D2359" s="32"/>
      <c r="G2359" s="32"/>
      <c r="H2359">
        <f>COUNTIFS('Audit Raw data'!J:J,B:B,'Audit Raw data'!E:E,G:G)</f>
        <v>0</v>
      </c>
      <c r="I2359" s="44" t="str">
        <f>IFERROR((SUMIFS('Audit Raw data'!BZ:BZ,'Audit Raw data'!J:J,B:B,'Audit Raw data'!E:E,G:G)/H2359)/100,"-")</f>
        <v>-</v>
      </c>
      <c r="J2359">
        <f>COUNTIFS('Audit Raw data'!AM:AM,"Yes",'Audit Raw data'!J:J,B:B,'Audit Raw data'!E:E,'Day wise agent'!G:G)</f>
        <v>0</v>
      </c>
      <c r="K2359">
        <f>COUNTIFS('Audit Raw data'!AM:AM,"NO",'Audit Raw data'!J:J,B:B,'Audit Raw data'!E:E,'Day wise agent'!G:G)</f>
        <v>0</v>
      </c>
      <c r="L2359" s="12" t="str">
        <f t="shared" si="57"/>
        <v xml:space="preserve"> </v>
      </c>
    </row>
    <row r="2360" spans="4:12" x14ac:dyDescent="0.35">
      <c r="D2360" s="32"/>
      <c r="G2360" s="32"/>
      <c r="H2360">
        <f>COUNTIFS('Audit Raw data'!J:J,B:B,'Audit Raw data'!E:E,G:G)</f>
        <v>0</v>
      </c>
      <c r="I2360" s="44" t="str">
        <f>IFERROR((SUMIFS('Audit Raw data'!BZ:BZ,'Audit Raw data'!J:J,B:B,'Audit Raw data'!E:E,G:G)/H2360)/100,"-")</f>
        <v>-</v>
      </c>
      <c r="J2360">
        <f>COUNTIFS('Audit Raw data'!AM:AM,"Yes",'Audit Raw data'!J:J,B:B,'Audit Raw data'!E:E,'Day wise agent'!G:G)</f>
        <v>0</v>
      </c>
      <c r="K2360">
        <f>COUNTIFS('Audit Raw data'!AM:AM,"NO",'Audit Raw data'!J:J,B:B,'Audit Raw data'!E:E,'Day wise agent'!G:G)</f>
        <v>0</v>
      </c>
      <c r="L2360" s="12" t="str">
        <f t="shared" si="57"/>
        <v xml:space="preserve"> </v>
      </c>
    </row>
    <row r="2361" spans="4:12" x14ac:dyDescent="0.35">
      <c r="D2361" s="32"/>
      <c r="G2361" s="32"/>
      <c r="H2361">
        <f>COUNTIFS('Audit Raw data'!J:J,B:B,'Audit Raw data'!E:E,G:G)</f>
        <v>0</v>
      </c>
      <c r="I2361" s="44" t="str">
        <f>IFERROR((SUMIFS('Audit Raw data'!BZ:BZ,'Audit Raw data'!J:J,B:B,'Audit Raw data'!E:E,G:G)/H2361)/100,"-")</f>
        <v>-</v>
      </c>
      <c r="J2361">
        <f>COUNTIFS('Audit Raw data'!AM:AM,"Yes",'Audit Raw data'!J:J,B:B,'Audit Raw data'!E:E,'Day wise agent'!G:G)</f>
        <v>0</v>
      </c>
      <c r="K2361">
        <f>COUNTIFS('Audit Raw data'!AM:AM,"NO",'Audit Raw data'!J:J,B:B,'Audit Raw data'!E:E,'Day wise agent'!G:G)</f>
        <v>0</v>
      </c>
      <c r="L2361" s="12" t="str">
        <f t="shared" si="57"/>
        <v xml:space="preserve"> </v>
      </c>
    </row>
    <row r="2362" spans="4:12" x14ac:dyDescent="0.35">
      <c r="D2362" s="32"/>
      <c r="G2362" s="32"/>
      <c r="H2362">
        <f>COUNTIFS('Audit Raw data'!J:J,B:B,'Audit Raw data'!E:E,G:G)</f>
        <v>0</v>
      </c>
      <c r="I2362" s="44" t="str">
        <f>IFERROR((SUMIFS('Audit Raw data'!BZ:BZ,'Audit Raw data'!J:J,B:B,'Audit Raw data'!E:E,G:G)/H2362)/100,"-")</f>
        <v>-</v>
      </c>
      <c r="J2362">
        <f>COUNTIFS('Audit Raw data'!AM:AM,"Yes",'Audit Raw data'!J:J,B:B,'Audit Raw data'!E:E,'Day wise agent'!G:G)</f>
        <v>0</v>
      </c>
      <c r="K2362">
        <f>COUNTIFS('Audit Raw data'!AM:AM,"NO",'Audit Raw data'!J:J,B:B,'Audit Raw data'!E:E,'Day wise agent'!G:G)</f>
        <v>0</v>
      </c>
      <c r="L2362" s="12" t="str">
        <f t="shared" si="57"/>
        <v xml:space="preserve"> </v>
      </c>
    </row>
    <row r="2363" spans="4:12" x14ac:dyDescent="0.35">
      <c r="D2363" s="32"/>
      <c r="G2363" s="32"/>
      <c r="H2363">
        <f>COUNTIFS('Audit Raw data'!J:J,B:B,'Audit Raw data'!E:E,G:G)</f>
        <v>0</v>
      </c>
      <c r="I2363" s="44" t="str">
        <f>IFERROR((SUMIFS('Audit Raw data'!BZ:BZ,'Audit Raw data'!J:J,B:B,'Audit Raw data'!E:E,G:G)/H2363)/100,"-")</f>
        <v>-</v>
      </c>
      <c r="J2363">
        <f>COUNTIFS('Audit Raw data'!AM:AM,"Yes",'Audit Raw data'!J:J,B:B,'Audit Raw data'!E:E,'Day wise agent'!G:G)</f>
        <v>0</v>
      </c>
      <c r="K2363">
        <f>COUNTIFS('Audit Raw data'!AM:AM,"NO",'Audit Raw data'!J:J,B:B,'Audit Raw data'!E:E,'Day wise agent'!G:G)</f>
        <v>0</v>
      </c>
      <c r="L2363" s="12" t="str">
        <f t="shared" si="57"/>
        <v xml:space="preserve"> </v>
      </c>
    </row>
    <row r="2364" spans="4:12" x14ac:dyDescent="0.35">
      <c r="D2364" s="32"/>
      <c r="G2364" s="32"/>
      <c r="H2364">
        <f>COUNTIFS('Audit Raw data'!J:J,B:B,'Audit Raw data'!E:E,G:G)</f>
        <v>0</v>
      </c>
      <c r="I2364" s="44" t="str">
        <f>IFERROR((SUMIFS('Audit Raw data'!BZ:BZ,'Audit Raw data'!J:J,B:B,'Audit Raw data'!E:E,G:G)/H2364)/100,"-")</f>
        <v>-</v>
      </c>
      <c r="J2364">
        <f>COUNTIFS('Audit Raw data'!AM:AM,"Yes",'Audit Raw data'!J:J,B:B,'Audit Raw data'!E:E,'Day wise agent'!G:G)</f>
        <v>0</v>
      </c>
      <c r="K2364">
        <f>COUNTIFS('Audit Raw data'!AM:AM,"NO",'Audit Raw data'!J:J,B:B,'Audit Raw data'!E:E,'Day wise agent'!G:G)</f>
        <v>0</v>
      </c>
      <c r="L2364" s="12" t="str">
        <f t="shared" si="57"/>
        <v xml:space="preserve"> </v>
      </c>
    </row>
    <row r="2365" spans="4:12" x14ac:dyDescent="0.35">
      <c r="D2365" s="32"/>
      <c r="G2365" s="32"/>
      <c r="H2365">
        <f>COUNTIFS('Audit Raw data'!J:J,B:B,'Audit Raw data'!E:E,G:G)</f>
        <v>0</v>
      </c>
      <c r="I2365" s="44" t="str">
        <f>IFERROR((SUMIFS('Audit Raw data'!BZ:BZ,'Audit Raw data'!J:J,B:B,'Audit Raw data'!E:E,G:G)/H2365)/100,"-")</f>
        <v>-</v>
      </c>
      <c r="J2365">
        <f>COUNTIFS('Audit Raw data'!AM:AM,"Yes",'Audit Raw data'!J:J,B:B,'Audit Raw data'!E:E,'Day wise agent'!G:G)</f>
        <v>0</v>
      </c>
      <c r="K2365">
        <f>COUNTIFS('Audit Raw data'!AM:AM,"NO",'Audit Raw data'!J:J,B:B,'Audit Raw data'!E:E,'Day wise agent'!G:G)</f>
        <v>0</v>
      </c>
      <c r="L2365" s="12" t="str">
        <f t="shared" si="57"/>
        <v xml:space="preserve"> </v>
      </c>
    </row>
    <row r="2366" spans="4:12" x14ac:dyDescent="0.35">
      <c r="D2366" s="32"/>
      <c r="G2366" s="32"/>
      <c r="H2366">
        <f>COUNTIFS('Audit Raw data'!J:J,B:B,'Audit Raw data'!E:E,G:G)</f>
        <v>0</v>
      </c>
      <c r="I2366" s="44" t="str">
        <f>IFERROR((SUMIFS('Audit Raw data'!BZ:BZ,'Audit Raw data'!J:J,B:B,'Audit Raw data'!E:E,G:G)/H2366)/100,"-")</f>
        <v>-</v>
      </c>
      <c r="J2366">
        <f>COUNTIFS('Audit Raw data'!AM:AM,"Yes",'Audit Raw data'!J:J,B:B,'Audit Raw data'!E:E,'Day wise agent'!G:G)</f>
        <v>0</v>
      </c>
      <c r="K2366">
        <f>COUNTIFS('Audit Raw data'!AM:AM,"NO",'Audit Raw data'!J:J,B:B,'Audit Raw data'!E:E,'Day wise agent'!G:G)</f>
        <v>0</v>
      </c>
      <c r="L2366" s="12" t="str">
        <f t="shared" si="57"/>
        <v xml:space="preserve"> </v>
      </c>
    </row>
    <row r="2367" spans="4:12" x14ac:dyDescent="0.35">
      <c r="D2367" s="32"/>
      <c r="G2367" s="32"/>
      <c r="H2367">
        <f>COUNTIFS('Audit Raw data'!J:J,B:B,'Audit Raw data'!E:E,G:G)</f>
        <v>0</v>
      </c>
      <c r="I2367" s="44" t="str">
        <f>IFERROR((SUMIFS('Audit Raw data'!BZ:BZ,'Audit Raw data'!J:J,B:B,'Audit Raw data'!E:E,G:G)/H2367)/100,"-")</f>
        <v>-</v>
      </c>
      <c r="J2367">
        <f>COUNTIFS('Audit Raw data'!AM:AM,"Yes",'Audit Raw data'!J:J,B:B,'Audit Raw data'!E:E,'Day wise agent'!G:G)</f>
        <v>0</v>
      </c>
      <c r="K2367">
        <f>COUNTIFS('Audit Raw data'!AM:AM,"NO",'Audit Raw data'!J:J,B:B,'Audit Raw data'!E:E,'Day wise agent'!G:G)</f>
        <v>0</v>
      </c>
      <c r="L2367" s="12" t="str">
        <f t="shared" si="57"/>
        <v xml:space="preserve"> </v>
      </c>
    </row>
    <row r="2368" spans="4:12" x14ac:dyDescent="0.35">
      <c r="D2368" s="32"/>
      <c r="G2368" s="32"/>
      <c r="H2368">
        <f>COUNTIFS('Audit Raw data'!J:J,B:B,'Audit Raw data'!E:E,G:G)</f>
        <v>0</v>
      </c>
      <c r="I2368" s="44" t="str">
        <f>IFERROR((SUMIFS('Audit Raw data'!BZ:BZ,'Audit Raw data'!J:J,B:B,'Audit Raw data'!E:E,G:G)/H2368)/100,"-")</f>
        <v>-</v>
      </c>
      <c r="J2368">
        <f>COUNTIFS('Audit Raw data'!AM:AM,"Yes",'Audit Raw data'!J:J,B:B,'Audit Raw data'!E:E,'Day wise agent'!G:G)</f>
        <v>0</v>
      </c>
      <c r="K2368">
        <f>COUNTIFS('Audit Raw data'!AM:AM,"NO",'Audit Raw data'!J:J,B:B,'Audit Raw data'!E:E,'Day wise agent'!G:G)</f>
        <v>0</v>
      </c>
      <c r="L2368" s="12" t="str">
        <f t="shared" si="57"/>
        <v xml:space="preserve"> </v>
      </c>
    </row>
    <row r="2369" spans="4:12" x14ac:dyDescent="0.35">
      <c r="D2369" s="32"/>
      <c r="G2369" s="32"/>
      <c r="H2369">
        <f>COUNTIFS('Audit Raw data'!J:J,B:B,'Audit Raw data'!E:E,G:G)</f>
        <v>0</v>
      </c>
      <c r="I2369" s="44" t="str">
        <f>IFERROR((SUMIFS('Audit Raw data'!BZ:BZ,'Audit Raw data'!J:J,B:B,'Audit Raw data'!E:E,G:G)/H2369)/100,"-")</f>
        <v>-</v>
      </c>
      <c r="J2369">
        <f>COUNTIFS('Audit Raw data'!AM:AM,"Yes",'Audit Raw data'!J:J,B:B,'Audit Raw data'!E:E,'Day wise agent'!G:G)</f>
        <v>0</v>
      </c>
      <c r="K2369">
        <f>COUNTIFS('Audit Raw data'!AM:AM,"NO",'Audit Raw data'!J:J,B:B,'Audit Raw data'!E:E,'Day wise agent'!G:G)</f>
        <v>0</v>
      </c>
      <c r="L2369" s="12" t="str">
        <f t="shared" si="57"/>
        <v xml:space="preserve"> </v>
      </c>
    </row>
    <row r="2370" spans="4:12" x14ac:dyDescent="0.35">
      <c r="D2370" s="32"/>
      <c r="G2370" s="32"/>
      <c r="H2370">
        <f>COUNTIFS('Audit Raw data'!J:J,B:B,'Audit Raw data'!E:E,G:G)</f>
        <v>0</v>
      </c>
      <c r="I2370" s="44" t="str">
        <f>IFERROR((SUMIFS('Audit Raw data'!BZ:BZ,'Audit Raw data'!J:J,B:B,'Audit Raw data'!E:E,G:G)/H2370)/100,"-")</f>
        <v>-</v>
      </c>
      <c r="J2370">
        <f>COUNTIFS('Audit Raw data'!AM:AM,"Yes",'Audit Raw data'!J:J,B:B,'Audit Raw data'!E:E,'Day wise agent'!G:G)</f>
        <v>0</v>
      </c>
      <c r="K2370">
        <f>COUNTIFS('Audit Raw data'!AM:AM,"NO",'Audit Raw data'!J:J,B:B,'Audit Raw data'!E:E,'Day wise agent'!G:G)</f>
        <v>0</v>
      </c>
      <c r="L2370" s="12" t="str">
        <f t="shared" ref="L2370:L2433" si="58">IFERROR(J2370/H2370," ")</f>
        <v xml:space="preserve"> </v>
      </c>
    </row>
    <row r="2371" spans="4:12" x14ac:dyDescent="0.35">
      <c r="D2371" s="32"/>
      <c r="G2371" s="32"/>
      <c r="H2371">
        <f>COUNTIFS('Audit Raw data'!J:J,B:B,'Audit Raw data'!E:E,G:G)</f>
        <v>0</v>
      </c>
      <c r="I2371" s="44" t="str">
        <f>IFERROR((SUMIFS('Audit Raw data'!BZ:BZ,'Audit Raw data'!J:J,B:B,'Audit Raw data'!E:E,G:G)/H2371)/100,"-")</f>
        <v>-</v>
      </c>
      <c r="J2371">
        <f>COUNTIFS('Audit Raw data'!AM:AM,"Yes",'Audit Raw data'!J:J,B:B,'Audit Raw data'!E:E,'Day wise agent'!G:G)</f>
        <v>0</v>
      </c>
      <c r="K2371">
        <f>COUNTIFS('Audit Raw data'!AM:AM,"NO",'Audit Raw data'!J:J,B:B,'Audit Raw data'!E:E,'Day wise agent'!G:G)</f>
        <v>0</v>
      </c>
      <c r="L2371" s="12" t="str">
        <f t="shared" si="58"/>
        <v xml:space="preserve"> </v>
      </c>
    </row>
    <row r="2372" spans="4:12" x14ac:dyDescent="0.35">
      <c r="D2372" s="32"/>
      <c r="G2372" s="32"/>
      <c r="H2372">
        <f>COUNTIFS('Audit Raw data'!J:J,B:B,'Audit Raw data'!E:E,G:G)</f>
        <v>0</v>
      </c>
      <c r="I2372" s="44" t="str">
        <f>IFERROR((SUMIFS('Audit Raw data'!BZ:BZ,'Audit Raw data'!J:J,B:B,'Audit Raw data'!E:E,G:G)/H2372)/100,"-")</f>
        <v>-</v>
      </c>
      <c r="J2372">
        <f>COUNTIFS('Audit Raw data'!AM:AM,"Yes",'Audit Raw data'!J:J,B:B,'Audit Raw data'!E:E,'Day wise agent'!G:G)</f>
        <v>0</v>
      </c>
      <c r="K2372">
        <f>COUNTIFS('Audit Raw data'!AM:AM,"NO",'Audit Raw data'!J:J,B:B,'Audit Raw data'!E:E,'Day wise agent'!G:G)</f>
        <v>0</v>
      </c>
      <c r="L2372" s="12" t="str">
        <f t="shared" si="58"/>
        <v xml:space="preserve"> </v>
      </c>
    </row>
    <row r="2373" spans="4:12" x14ac:dyDescent="0.35">
      <c r="D2373" s="32"/>
      <c r="G2373" s="32"/>
      <c r="H2373">
        <f>COUNTIFS('Audit Raw data'!J:J,B:B,'Audit Raw data'!E:E,G:G)</f>
        <v>0</v>
      </c>
      <c r="I2373" s="44" t="str">
        <f>IFERROR((SUMIFS('Audit Raw data'!BZ:BZ,'Audit Raw data'!J:J,B:B,'Audit Raw data'!E:E,G:G)/H2373)/100,"-")</f>
        <v>-</v>
      </c>
      <c r="J2373">
        <f>COUNTIFS('Audit Raw data'!AM:AM,"Yes",'Audit Raw data'!J:J,B:B,'Audit Raw data'!E:E,'Day wise agent'!G:G)</f>
        <v>0</v>
      </c>
      <c r="K2373">
        <f>COUNTIFS('Audit Raw data'!AM:AM,"NO",'Audit Raw data'!J:J,B:B,'Audit Raw data'!E:E,'Day wise agent'!G:G)</f>
        <v>0</v>
      </c>
      <c r="L2373" s="12" t="str">
        <f t="shared" si="58"/>
        <v xml:space="preserve"> </v>
      </c>
    </row>
    <row r="2374" spans="4:12" x14ac:dyDescent="0.35">
      <c r="D2374" s="32"/>
      <c r="G2374" s="32"/>
      <c r="H2374">
        <f>COUNTIFS('Audit Raw data'!J:J,B:B,'Audit Raw data'!E:E,G:G)</f>
        <v>0</v>
      </c>
      <c r="I2374" s="44" t="str">
        <f>IFERROR((SUMIFS('Audit Raw data'!BZ:BZ,'Audit Raw data'!J:J,B:B,'Audit Raw data'!E:E,G:G)/H2374)/100,"-")</f>
        <v>-</v>
      </c>
      <c r="J2374">
        <f>COUNTIFS('Audit Raw data'!AM:AM,"Yes",'Audit Raw data'!J:J,B:B,'Audit Raw data'!E:E,'Day wise agent'!G:G)</f>
        <v>0</v>
      </c>
      <c r="K2374">
        <f>COUNTIFS('Audit Raw data'!AM:AM,"NO",'Audit Raw data'!J:J,B:B,'Audit Raw data'!E:E,'Day wise agent'!G:G)</f>
        <v>0</v>
      </c>
      <c r="L2374" s="12" t="str">
        <f t="shared" si="58"/>
        <v xml:space="preserve"> </v>
      </c>
    </row>
    <row r="2375" spans="4:12" x14ac:dyDescent="0.35">
      <c r="D2375" s="32"/>
      <c r="G2375" s="32"/>
      <c r="H2375">
        <f>COUNTIFS('Audit Raw data'!J:J,B:B,'Audit Raw data'!E:E,G:G)</f>
        <v>0</v>
      </c>
      <c r="I2375" s="44" t="str">
        <f>IFERROR((SUMIFS('Audit Raw data'!BZ:BZ,'Audit Raw data'!J:J,B:B,'Audit Raw data'!E:E,G:G)/H2375)/100,"-")</f>
        <v>-</v>
      </c>
      <c r="J2375">
        <f>COUNTIFS('Audit Raw data'!AM:AM,"Yes",'Audit Raw data'!J:J,B:B,'Audit Raw data'!E:E,'Day wise agent'!G:G)</f>
        <v>0</v>
      </c>
      <c r="K2375">
        <f>COUNTIFS('Audit Raw data'!AM:AM,"NO",'Audit Raw data'!J:J,B:B,'Audit Raw data'!E:E,'Day wise agent'!G:G)</f>
        <v>0</v>
      </c>
      <c r="L2375" s="12" t="str">
        <f t="shared" si="58"/>
        <v xml:space="preserve"> </v>
      </c>
    </row>
    <row r="2376" spans="4:12" x14ac:dyDescent="0.35">
      <c r="D2376" s="32"/>
      <c r="G2376" s="32"/>
      <c r="H2376">
        <f>COUNTIFS('Audit Raw data'!J:J,B:B,'Audit Raw data'!E:E,G:G)</f>
        <v>0</v>
      </c>
      <c r="I2376" s="44" t="str">
        <f>IFERROR((SUMIFS('Audit Raw data'!BZ:BZ,'Audit Raw data'!J:J,B:B,'Audit Raw data'!E:E,G:G)/H2376)/100,"-")</f>
        <v>-</v>
      </c>
      <c r="J2376">
        <f>COUNTIFS('Audit Raw data'!AM:AM,"Yes",'Audit Raw data'!J:J,B:B,'Audit Raw data'!E:E,'Day wise agent'!G:G)</f>
        <v>0</v>
      </c>
      <c r="K2376">
        <f>COUNTIFS('Audit Raw data'!AM:AM,"NO",'Audit Raw data'!J:J,B:B,'Audit Raw data'!E:E,'Day wise agent'!G:G)</f>
        <v>0</v>
      </c>
      <c r="L2376" s="12" t="str">
        <f t="shared" si="58"/>
        <v xml:space="preserve"> </v>
      </c>
    </row>
    <row r="2377" spans="4:12" x14ac:dyDescent="0.35">
      <c r="D2377" s="32"/>
      <c r="G2377" s="32"/>
      <c r="H2377">
        <f>COUNTIFS('Audit Raw data'!J:J,B:B,'Audit Raw data'!E:E,G:G)</f>
        <v>0</v>
      </c>
      <c r="I2377" s="44" t="str">
        <f>IFERROR((SUMIFS('Audit Raw data'!BZ:BZ,'Audit Raw data'!J:J,B:B,'Audit Raw data'!E:E,G:G)/H2377)/100,"-")</f>
        <v>-</v>
      </c>
      <c r="J2377">
        <f>COUNTIFS('Audit Raw data'!AM:AM,"Yes",'Audit Raw data'!J:J,B:B,'Audit Raw data'!E:E,'Day wise agent'!G:G)</f>
        <v>0</v>
      </c>
      <c r="K2377">
        <f>COUNTIFS('Audit Raw data'!AM:AM,"NO",'Audit Raw data'!J:J,B:B,'Audit Raw data'!E:E,'Day wise agent'!G:G)</f>
        <v>0</v>
      </c>
      <c r="L2377" s="12" t="str">
        <f t="shared" si="58"/>
        <v xml:space="preserve"> </v>
      </c>
    </row>
    <row r="2378" spans="4:12" x14ac:dyDescent="0.35">
      <c r="D2378" s="32"/>
      <c r="G2378" s="32"/>
      <c r="H2378">
        <f>COUNTIFS('Audit Raw data'!J:J,B:B,'Audit Raw data'!E:E,G:G)</f>
        <v>0</v>
      </c>
      <c r="I2378" s="44" t="str">
        <f>IFERROR((SUMIFS('Audit Raw data'!BZ:BZ,'Audit Raw data'!J:J,B:B,'Audit Raw data'!E:E,G:G)/H2378)/100,"-")</f>
        <v>-</v>
      </c>
      <c r="J2378">
        <f>COUNTIFS('Audit Raw data'!AM:AM,"Yes",'Audit Raw data'!J:J,B:B,'Audit Raw data'!E:E,'Day wise agent'!G:G)</f>
        <v>0</v>
      </c>
      <c r="K2378">
        <f>COUNTIFS('Audit Raw data'!AM:AM,"NO",'Audit Raw data'!J:J,B:B,'Audit Raw data'!E:E,'Day wise agent'!G:G)</f>
        <v>0</v>
      </c>
      <c r="L2378" s="12" t="str">
        <f t="shared" si="58"/>
        <v xml:space="preserve"> </v>
      </c>
    </row>
    <row r="2379" spans="4:12" x14ac:dyDescent="0.35">
      <c r="D2379" s="32"/>
      <c r="G2379" s="32"/>
      <c r="H2379">
        <f>COUNTIFS('Audit Raw data'!J:J,B:B,'Audit Raw data'!E:E,G:G)</f>
        <v>0</v>
      </c>
      <c r="I2379" s="44" t="str">
        <f>IFERROR((SUMIFS('Audit Raw data'!BZ:BZ,'Audit Raw data'!J:J,B:B,'Audit Raw data'!E:E,G:G)/H2379)/100,"-")</f>
        <v>-</v>
      </c>
      <c r="J2379">
        <f>COUNTIFS('Audit Raw data'!AM:AM,"Yes",'Audit Raw data'!J:J,B:B,'Audit Raw data'!E:E,'Day wise agent'!G:G)</f>
        <v>0</v>
      </c>
      <c r="K2379">
        <f>COUNTIFS('Audit Raw data'!AM:AM,"NO",'Audit Raw data'!J:J,B:B,'Audit Raw data'!E:E,'Day wise agent'!G:G)</f>
        <v>0</v>
      </c>
      <c r="L2379" s="12" t="str">
        <f t="shared" si="58"/>
        <v xml:space="preserve"> </v>
      </c>
    </row>
    <row r="2380" spans="4:12" x14ac:dyDescent="0.35">
      <c r="D2380" s="32"/>
      <c r="G2380" s="32"/>
      <c r="H2380">
        <f>COUNTIFS('Audit Raw data'!J:J,B:B,'Audit Raw data'!E:E,G:G)</f>
        <v>0</v>
      </c>
      <c r="I2380" s="44" t="str">
        <f>IFERROR((SUMIFS('Audit Raw data'!BZ:BZ,'Audit Raw data'!J:J,B:B,'Audit Raw data'!E:E,G:G)/H2380)/100,"-")</f>
        <v>-</v>
      </c>
      <c r="J2380">
        <f>COUNTIFS('Audit Raw data'!AM:AM,"Yes",'Audit Raw data'!J:J,B:B,'Audit Raw data'!E:E,'Day wise agent'!G:G)</f>
        <v>0</v>
      </c>
      <c r="K2380">
        <f>COUNTIFS('Audit Raw data'!AM:AM,"NO",'Audit Raw data'!J:J,B:B,'Audit Raw data'!E:E,'Day wise agent'!G:G)</f>
        <v>0</v>
      </c>
      <c r="L2380" s="12" t="str">
        <f t="shared" si="58"/>
        <v xml:space="preserve"> </v>
      </c>
    </row>
    <row r="2381" spans="4:12" x14ac:dyDescent="0.35">
      <c r="D2381" s="32"/>
      <c r="G2381" s="32"/>
      <c r="H2381">
        <f>COUNTIFS('Audit Raw data'!J:J,B:B,'Audit Raw data'!E:E,G:G)</f>
        <v>0</v>
      </c>
      <c r="I2381" s="44" t="str">
        <f>IFERROR((SUMIFS('Audit Raw data'!BZ:BZ,'Audit Raw data'!J:J,B:B,'Audit Raw data'!E:E,G:G)/H2381)/100,"-")</f>
        <v>-</v>
      </c>
      <c r="J2381">
        <f>COUNTIFS('Audit Raw data'!AM:AM,"Yes",'Audit Raw data'!J:J,B:B,'Audit Raw data'!E:E,'Day wise agent'!G:G)</f>
        <v>0</v>
      </c>
      <c r="K2381">
        <f>COUNTIFS('Audit Raw data'!AM:AM,"NO",'Audit Raw data'!J:J,B:B,'Audit Raw data'!E:E,'Day wise agent'!G:G)</f>
        <v>0</v>
      </c>
      <c r="L2381" s="12" t="str">
        <f t="shared" si="58"/>
        <v xml:space="preserve"> </v>
      </c>
    </row>
    <row r="2382" spans="4:12" x14ac:dyDescent="0.35">
      <c r="D2382" s="32"/>
      <c r="G2382" s="32"/>
      <c r="H2382">
        <f>COUNTIFS('Audit Raw data'!J:J,B:B,'Audit Raw data'!E:E,G:G)</f>
        <v>0</v>
      </c>
      <c r="I2382" s="44" t="str">
        <f>IFERROR((SUMIFS('Audit Raw data'!BZ:BZ,'Audit Raw data'!J:J,B:B,'Audit Raw data'!E:E,G:G)/H2382)/100,"-")</f>
        <v>-</v>
      </c>
      <c r="J2382">
        <f>COUNTIFS('Audit Raw data'!AM:AM,"Yes",'Audit Raw data'!J:J,B:B,'Audit Raw data'!E:E,'Day wise agent'!G:G)</f>
        <v>0</v>
      </c>
      <c r="K2382">
        <f>COUNTIFS('Audit Raw data'!AM:AM,"NO",'Audit Raw data'!J:J,B:B,'Audit Raw data'!E:E,'Day wise agent'!G:G)</f>
        <v>0</v>
      </c>
      <c r="L2382" s="12" t="str">
        <f t="shared" si="58"/>
        <v xml:space="preserve"> </v>
      </c>
    </row>
    <row r="2383" spans="4:12" x14ac:dyDescent="0.35">
      <c r="D2383" s="32"/>
      <c r="G2383" s="32"/>
      <c r="H2383">
        <f>COUNTIFS('Audit Raw data'!J:J,B:B,'Audit Raw data'!E:E,G:G)</f>
        <v>0</v>
      </c>
      <c r="I2383" s="44" t="str">
        <f>IFERROR((SUMIFS('Audit Raw data'!BZ:BZ,'Audit Raw data'!J:J,B:B,'Audit Raw data'!E:E,G:G)/H2383)/100,"-")</f>
        <v>-</v>
      </c>
      <c r="J2383">
        <f>COUNTIFS('Audit Raw data'!AM:AM,"Yes",'Audit Raw data'!J:J,B:B,'Audit Raw data'!E:E,'Day wise agent'!G:G)</f>
        <v>0</v>
      </c>
      <c r="K2383">
        <f>COUNTIFS('Audit Raw data'!AM:AM,"NO",'Audit Raw data'!J:J,B:B,'Audit Raw data'!E:E,'Day wise agent'!G:G)</f>
        <v>0</v>
      </c>
      <c r="L2383" s="12" t="str">
        <f t="shared" si="58"/>
        <v xml:space="preserve"> </v>
      </c>
    </row>
    <row r="2384" spans="4:12" x14ac:dyDescent="0.35">
      <c r="D2384" s="32"/>
      <c r="G2384" s="32"/>
      <c r="H2384">
        <f>COUNTIFS('Audit Raw data'!J:J,B:B,'Audit Raw data'!E:E,G:G)</f>
        <v>0</v>
      </c>
      <c r="I2384" s="44" t="str">
        <f>IFERROR((SUMIFS('Audit Raw data'!BZ:BZ,'Audit Raw data'!J:J,B:B,'Audit Raw data'!E:E,G:G)/H2384)/100,"-")</f>
        <v>-</v>
      </c>
      <c r="J2384">
        <f>COUNTIFS('Audit Raw data'!AM:AM,"Yes",'Audit Raw data'!J:J,B:B,'Audit Raw data'!E:E,'Day wise agent'!G:G)</f>
        <v>0</v>
      </c>
      <c r="K2384">
        <f>COUNTIFS('Audit Raw data'!AM:AM,"NO",'Audit Raw data'!J:J,B:B,'Audit Raw data'!E:E,'Day wise agent'!G:G)</f>
        <v>0</v>
      </c>
      <c r="L2384" s="12" t="str">
        <f t="shared" si="58"/>
        <v xml:space="preserve"> </v>
      </c>
    </row>
    <row r="2385" spans="4:12" x14ac:dyDescent="0.35">
      <c r="D2385" s="32"/>
      <c r="G2385" s="32"/>
      <c r="H2385">
        <f>COUNTIFS('Audit Raw data'!J:J,B:B,'Audit Raw data'!E:E,G:G)</f>
        <v>0</v>
      </c>
      <c r="I2385" s="44" t="str">
        <f>IFERROR((SUMIFS('Audit Raw data'!BZ:BZ,'Audit Raw data'!J:J,B:B,'Audit Raw data'!E:E,G:G)/H2385)/100,"-")</f>
        <v>-</v>
      </c>
      <c r="J2385">
        <f>COUNTIFS('Audit Raw data'!AM:AM,"Yes",'Audit Raw data'!J:J,B:B,'Audit Raw data'!E:E,'Day wise agent'!G:G)</f>
        <v>0</v>
      </c>
      <c r="K2385">
        <f>COUNTIFS('Audit Raw data'!AM:AM,"NO",'Audit Raw data'!J:J,B:B,'Audit Raw data'!E:E,'Day wise agent'!G:G)</f>
        <v>0</v>
      </c>
      <c r="L2385" s="12" t="str">
        <f t="shared" si="58"/>
        <v xml:space="preserve"> </v>
      </c>
    </row>
    <row r="2386" spans="4:12" x14ac:dyDescent="0.35">
      <c r="D2386" s="32"/>
      <c r="G2386" s="32"/>
      <c r="H2386">
        <f>COUNTIFS('Audit Raw data'!J:J,B:B,'Audit Raw data'!E:E,G:G)</f>
        <v>0</v>
      </c>
      <c r="I2386" s="44" t="str">
        <f>IFERROR((SUMIFS('Audit Raw data'!BZ:BZ,'Audit Raw data'!J:J,B:B,'Audit Raw data'!E:E,G:G)/H2386)/100,"-")</f>
        <v>-</v>
      </c>
      <c r="J2386">
        <f>COUNTIFS('Audit Raw data'!AM:AM,"Yes",'Audit Raw data'!J:J,B:B,'Audit Raw data'!E:E,'Day wise agent'!G:G)</f>
        <v>0</v>
      </c>
      <c r="K2386">
        <f>COUNTIFS('Audit Raw data'!AM:AM,"NO",'Audit Raw data'!J:J,B:B,'Audit Raw data'!E:E,'Day wise agent'!G:G)</f>
        <v>0</v>
      </c>
      <c r="L2386" s="12" t="str">
        <f t="shared" si="58"/>
        <v xml:space="preserve"> </v>
      </c>
    </row>
    <row r="2387" spans="4:12" x14ac:dyDescent="0.35">
      <c r="D2387" s="32"/>
      <c r="G2387" s="32"/>
      <c r="H2387">
        <f>COUNTIFS('Audit Raw data'!J:J,B:B,'Audit Raw data'!E:E,G:G)</f>
        <v>0</v>
      </c>
      <c r="I2387" s="44" t="str">
        <f>IFERROR((SUMIFS('Audit Raw data'!BZ:BZ,'Audit Raw data'!J:J,B:B,'Audit Raw data'!E:E,G:G)/H2387)/100,"-")</f>
        <v>-</v>
      </c>
      <c r="J2387">
        <f>COUNTIFS('Audit Raw data'!AM:AM,"Yes",'Audit Raw data'!J:J,B:B,'Audit Raw data'!E:E,'Day wise agent'!G:G)</f>
        <v>0</v>
      </c>
      <c r="K2387">
        <f>COUNTIFS('Audit Raw data'!AM:AM,"NO",'Audit Raw data'!J:J,B:B,'Audit Raw data'!E:E,'Day wise agent'!G:G)</f>
        <v>0</v>
      </c>
      <c r="L2387" s="12" t="str">
        <f t="shared" si="58"/>
        <v xml:space="preserve"> </v>
      </c>
    </row>
    <row r="2388" spans="4:12" x14ac:dyDescent="0.35">
      <c r="D2388" s="32"/>
      <c r="G2388" s="32"/>
      <c r="H2388">
        <f>COUNTIFS('Audit Raw data'!J:J,B:B,'Audit Raw data'!E:E,G:G)</f>
        <v>0</v>
      </c>
      <c r="I2388" s="44" t="str">
        <f>IFERROR((SUMIFS('Audit Raw data'!BZ:BZ,'Audit Raw data'!J:J,B:B,'Audit Raw data'!E:E,G:G)/H2388)/100,"-")</f>
        <v>-</v>
      </c>
      <c r="J2388">
        <f>COUNTIFS('Audit Raw data'!AM:AM,"Yes",'Audit Raw data'!J:J,B:B,'Audit Raw data'!E:E,'Day wise agent'!G:G)</f>
        <v>0</v>
      </c>
      <c r="K2388">
        <f>COUNTIFS('Audit Raw data'!AM:AM,"NO",'Audit Raw data'!J:J,B:B,'Audit Raw data'!E:E,'Day wise agent'!G:G)</f>
        <v>0</v>
      </c>
      <c r="L2388" s="12" t="str">
        <f t="shared" si="58"/>
        <v xml:space="preserve"> </v>
      </c>
    </row>
    <row r="2389" spans="4:12" x14ac:dyDescent="0.35">
      <c r="D2389" s="32"/>
      <c r="G2389" s="32"/>
      <c r="H2389">
        <f>COUNTIFS('Audit Raw data'!J:J,B:B,'Audit Raw data'!E:E,G:G)</f>
        <v>0</v>
      </c>
      <c r="I2389" s="44" t="str">
        <f>IFERROR((SUMIFS('Audit Raw data'!BZ:BZ,'Audit Raw data'!J:J,B:B,'Audit Raw data'!E:E,G:G)/H2389)/100,"-")</f>
        <v>-</v>
      </c>
      <c r="J2389">
        <f>COUNTIFS('Audit Raw data'!AM:AM,"Yes",'Audit Raw data'!J:J,B:B,'Audit Raw data'!E:E,'Day wise agent'!G:G)</f>
        <v>0</v>
      </c>
      <c r="K2389">
        <f>COUNTIFS('Audit Raw data'!AM:AM,"NO",'Audit Raw data'!J:J,B:B,'Audit Raw data'!E:E,'Day wise agent'!G:G)</f>
        <v>0</v>
      </c>
      <c r="L2389" s="12" t="str">
        <f t="shared" si="58"/>
        <v xml:space="preserve"> </v>
      </c>
    </row>
    <row r="2390" spans="4:12" x14ac:dyDescent="0.35">
      <c r="D2390" s="32"/>
      <c r="G2390" s="32"/>
      <c r="H2390">
        <f>COUNTIFS('Audit Raw data'!J:J,B:B,'Audit Raw data'!E:E,G:G)</f>
        <v>0</v>
      </c>
      <c r="I2390" s="44" t="str">
        <f>IFERROR((SUMIFS('Audit Raw data'!BZ:BZ,'Audit Raw data'!J:J,B:B,'Audit Raw data'!E:E,G:G)/H2390)/100,"-")</f>
        <v>-</v>
      </c>
      <c r="J2390">
        <f>COUNTIFS('Audit Raw data'!AM:AM,"Yes",'Audit Raw data'!J:J,B:B,'Audit Raw data'!E:E,'Day wise agent'!G:G)</f>
        <v>0</v>
      </c>
      <c r="K2390">
        <f>COUNTIFS('Audit Raw data'!AM:AM,"NO",'Audit Raw data'!J:J,B:B,'Audit Raw data'!E:E,'Day wise agent'!G:G)</f>
        <v>0</v>
      </c>
      <c r="L2390" s="12" t="str">
        <f t="shared" si="58"/>
        <v xml:space="preserve"> </v>
      </c>
    </row>
    <row r="2391" spans="4:12" x14ac:dyDescent="0.35">
      <c r="D2391" s="32"/>
      <c r="G2391" s="32"/>
      <c r="H2391">
        <f>COUNTIFS('Audit Raw data'!J:J,B:B,'Audit Raw data'!E:E,G:G)</f>
        <v>0</v>
      </c>
      <c r="I2391" s="44" t="str">
        <f>IFERROR((SUMIFS('Audit Raw data'!BZ:BZ,'Audit Raw data'!J:J,B:B,'Audit Raw data'!E:E,G:G)/H2391)/100,"-")</f>
        <v>-</v>
      </c>
      <c r="J2391">
        <f>COUNTIFS('Audit Raw data'!AM:AM,"Yes",'Audit Raw data'!J:J,B:B,'Audit Raw data'!E:E,'Day wise agent'!G:G)</f>
        <v>0</v>
      </c>
      <c r="K2391">
        <f>COUNTIFS('Audit Raw data'!AM:AM,"NO",'Audit Raw data'!J:J,B:B,'Audit Raw data'!E:E,'Day wise agent'!G:G)</f>
        <v>0</v>
      </c>
      <c r="L2391" s="12" t="str">
        <f t="shared" si="58"/>
        <v xml:space="preserve"> </v>
      </c>
    </row>
    <row r="2392" spans="4:12" x14ac:dyDescent="0.35">
      <c r="D2392" s="32"/>
      <c r="G2392" s="32"/>
      <c r="H2392">
        <f>COUNTIFS('Audit Raw data'!J:J,B:B,'Audit Raw data'!E:E,G:G)</f>
        <v>0</v>
      </c>
      <c r="I2392" s="44" t="str">
        <f>IFERROR((SUMIFS('Audit Raw data'!BZ:BZ,'Audit Raw data'!J:J,B:B,'Audit Raw data'!E:E,G:G)/H2392)/100,"-")</f>
        <v>-</v>
      </c>
      <c r="J2392">
        <f>COUNTIFS('Audit Raw data'!AM:AM,"Yes",'Audit Raw data'!J:J,B:B,'Audit Raw data'!E:E,'Day wise agent'!G:G)</f>
        <v>0</v>
      </c>
      <c r="K2392">
        <f>COUNTIFS('Audit Raw data'!AM:AM,"NO",'Audit Raw data'!J:J,B:B,'Audit Raw data'!E:E,'Day wise agent'!G:G)</f>
        <v>0</v>
      </c>
      <c r="L2392" s="12" t="str">
        <f t="shared" si="58"/>
        <v xml:space="preserve"> </v>
      </c>
    </row>
    <row r="2393" spans="4:12" x14ac:dyDescent="0.35">
      <c r="D2393" s="32"/>
      <c r="G2393" s="32"/>
      <c r="H2393">
        <f>COUNTIFS('Audit Raw data'!J:J,B:B,'Audit Raw data'!E:E,G:G)</f>
        <v>0</v>
      </c>
      <c r="I2393" s="44" t="str">
        <f>IFERROR((SUMIFS('Audit Raw data'!BZ:BZ,'Audit Raw data'!J:J,B:B,'Audit Raw data'!E:E,G:G)/H2393)/100,"-")</f>
        <v>-</v>
      </c>
      <c r="J2393">
        <f>COUNTIFS('Audit Raw data'!AM:AM,"Yes",'Audit Raw data'!J:J,B:B,'Audit Raw data'!E:E,'Day wise agent'!G:G)</f>
        <v>0</v>
      </c>
      <c r="K2393">
        <f>COUNTIFS('Audit Raw data'!AM:AM,"NO",'Audit Raw data'!J:J,B:B,'Audit Raw data'!E:E,'Day wise agent'!G:G)</f>
        <v>0</v>
      </c>
      <c r="L2393" s="12" t="str">
        <f t="shared" si="58"/>
        <v xml:space="preserve"> </v>
      </c>
    </row>
    <row r="2394" spans="4:12" x14ac:dyDescent="0.35">
      <c r="D2394" s="32"/>
      <c r="G2394" s="32"/>
      <c r="H2394">
        <f>COUNTIFS('Audit Raw data'!J:J,B:B,'Audit Raw data'!E:E,G:G)</f>
        <v>0</v>
      </c>
      <c r="I2394" s="44" t="str">
        <f>IFERROR((SUMIFS('Audit Raw data'!BZ:BZ,'Audit Raw data'!J:J,B:B,'Audit Raw data'!E:E,G:G)/H2394)/100,"-")</f>
        <v>-</v>
      </c>
      <c r="J2394">
        <f>COUNTIFS('Audit Raw data'!AM:AM,"Yes",'Audit Raw data'!J:J,B:B,'Audit Raw data'!E:E,'Day wise agent'!G:G)</f>
        <v>0</v>
      </c>
      <c r="K2394">
        <f>COUNTIFS('Audit Raw data'!AM:AM,"NO",'Audit Raw data'!J:J,B:B,'Audit Raw data'!E:E,'Day wise agent'!G:G)</f>
        <v>0</v>
      </c>
      <c r="L2394" s="12" t="str">
        <f t="shared" si="58"/>
        <v xml:space="preserve"> </v>
      </c>
    </row>
    <row r="2395" spans="4:12" x14ac:dyDescent="0.35">
      <c r="D2395" s="32"/>
      <c r="G2395" s="32"/>
      <c r="H2395">
        <f>COUNTIFS('Audit Raw data'!J:J,B:B,'Audit Raw data'!E:E,G:G)</f>
        <v>0</v>
      </c>
      <c r="I2395" s="44" t="str">
        <f>IFERROR((SUMIFS('Audit Raw data'!BZ:BZ,'Audit Raw data'!J:J,B:B,'Audit Raw data'!E:E,G:G)/H2395)/100,"-")</f>
        <v>-</v>
      </c>
      <c r="J2395">
        <f>COUNTIFS('Audit Raw data'!AM:AM,"Yes",'Audit Raw data'!J:J,B:B,'Audit Raw data'!E:E,'Day wise agent'!G:G)</f>
        <v>0</v>
      </c>
      <c r="K2395">
        <f>COUNTIFS('Audit Raw data'!AM:AM,"NO",'Audit Raw data'!J:J,B:B,'Audit Raw data'!E:E,'Day wise agent'!G:G)</f>
        <v>0</v>
      </c>
      <c r="L2395" s="12" t="str">
        <f t="shared" si="58"/>
        <v xml:space="preserve"> </v>
      </c>
    </row>
    <row r="2396" spans="4:12" x14ac:dyDescent="0.35">
      <c r="D2396" s="32"/>
      <c r="G2396" s="32"/>
      <c r="H2396">
        <f>COUNTIFS('Audit Raw data'!J:J,B:B,'Audit Raw data'!E:E,G:G)</f>
        <v>0</v>
      </c>
      <c r="I2396" s="44" t="str">
        <f>IFERROR((SUMIFS('Audit Raw data'!BZ:BZ,'Audit Raw data'!J:J,B:B,'Audit Raw data'!E:E,G:G)/H2396)/100,"-")</f>
        <v>-</v>
      </c>
      <c r="J2396">
        <f>COUNTIFS('Audit Raw data'!AM:AM,"Yes",'Audit Raw data'!J:J,B:B,'Audit Raw data'!E:E,'Day wise agent'!G:G)</f>
        <v>0</v>
      </c>
      <c r="K2396">
        <f>COUNTIFS('Audit Raw data'!AM:AM,"NO",'Audit Raw data'!J:J,B:B,'Audit Raw data'!E:E,'Day wise agent'!G:G)</f>
        <v>0</v>
      </c>
      <c r="L2396" s="12" t="str">
        <f t="shared" si="58"/>
        <v xml:space="preserve"> </v>
      </c>
    </row>
    <row r="2397" spans="4:12" x14ac:dyDescent="0.35">
      <c r="D2397" s="32"/>
      <c r="G2397" s="32"/>
      <c r="H2397">
        <f>COUNTIFS('Audit Raw data'!J:J,B:B,'Audit Raw data'!E:E,G:G)</f>
        <v>0</v>
      </c>
      <c r="I2397" s="44" t="str">
        <f>IFERROR((SUMIFS('Audit Raw data'!BZ:BZ,'Audit Raw data'!J:J,B:B,'Audit Raw data'!E:E,G:G)/H2397)/100,"-")</f>
        <v>-</v>
      </c>
      <c r="J2397">
        <f>COUNTIFS('Audit Raw data'!AM:AM,"Yes",'Audit Raw data'!J:J,B:B,'Audit Raw data'!E:E,'Day wise agent'!G:G)</f>
        <v>0</v>
      </c>
      <c r="K2397">
        <f>COUNTIFS('Audit Raw data'!AM:AM,"NO",'Audit Raw data'!J:J,B:B,'Audit Raw data'!E:E,'Day wise agent'!G:G)</f>
        <v>0</v>
      </c>
      <c r="L2397" s="12" t="str">
        <f t="shared" si="58"/>
        <v xml:space="preserve"> </v>
      </c>
    </row>
    <row r="2398" spans="4:12" x14ac:dyDescent="0.35">
      <c r="D2398" s="32"/>
      <c r="G2398" s="32"/>
      <c r="H2398">
        <f>COUNTIFS('Audit Raw data'!J:J,B:B,'Audit Raw data'!E:E,G:G)</f>
        <v>0</v>
      </c>
      <c r="I2398" s="44" t="str">
        <f>IFERROR((SUMIFS('Audit Raw data'!BZ:BZ,'Audit Raw data'!J:J,B:B,'Audit Raw data'!E:E,G:G)/H2398)/100,"-")</f>
        <v>-</v>
      </c>
      <c r="J2398">
        <f>COUNTIFS('Audit Raw data'!AM:AM,"Yes",'Audit Raw data'!J:J,B:B,'Audit Raw data'!E:E,'Day wise agent'!G:G)</f>
        <v>0</v>
      </c>
      <c r="K2398">
        <f>COUNTIFS('Audit Raw data'!AM:AM,"NO",'Audit Raw data'!J:J,B:B,'Audit Raw data'!E:E,'Day wise agent'!G:G)</f>
        <v>0</v>
      </c>
      <c r="L2398" s="12" t="str">
        <f t="shared" si="58"/>
        <v xml:space="preserve"> </v>
      </c>
    </row>
    <row r="2399" spans="4:12" x14ac:dyDescent="0.35">
      <c r="D2399" s="32"/>
      <c r="G2399" s="32"/>
      <c r="H2399">
        <f>COUNTIFS('Audit Raw data'!J:J,B:B,'Audit Raw data'!E:E,G:G)</f>
        <v>0</v>
      </c>
      <c r="I2399" s="44" t="str">
        <f>IFERROR((SUMIFS('Audit Raw data'!BZ:BZ,'Audit Raw data'!J:J,B:B,'Audit Raw data'!E:E,G:G)/H2399)/100,"-")</f>
        <v>-</v>
      </c>
      <c r="J2399">
        <f>COUNTIFS('Audit Raw data'!AM:AM,"Yes",'Audit Raw data'!J:J,B:B,'Audit Raw data'!E:E,'Day wise agent'!G:G)</f>
        <v>0</v>
      </c>
      <c r="K2399">
        <f>COUNTIFS('Audit Raw data'!AM:AM,"NO",'Audit Raw data'!J:J,B:B,'Audit Raw data'!E:E,'Day wise agent'!G:G)</f>
        <v>0</v>
      </c>
      <c r="L2399" s="12" t="str">
        <f t="shared" si="58"/>
        <v xml:space="preserve"> </v>
      </c>
    </row>
    <row r="2400" spans="4:12" x14ac:dyDescent="0.35">
      <c r="D2400" s="32"/>
      <c r="G2400" s="32"/>
      <c r="H2400">
        <f>COUNTIFS('Audit Raw data'!J:J,B:B,'Audit Raw data'!E:E,G:G)</f>
        <v>0</v>
      </c>
      <c r="I2400" s="44" t="str">
        <f>IFERROR((SUMIFS('Audit Raw data'!BZ:BZ,'Audit Raw data'!J:J,B:B,'Audit Raw data'!E:E,G:G)/H2400)/100,"-")</f>
        <v>-</v>
      </c>
      <c r="J2400">
        <f>COUNTIFS('Audit Raw data'!AM:AM,"Yes",'Audit Raw data'!J:J,B:B,'Audit Raw data'!E:E,'Day wise agent'!G:G)</f>
        <v>0</v>
      </c>
      <c r="K2400">
        <f>COUNTIFS('Audit Raw data'!AM:AM,"NO",'Audit Raw data'!J:J,B:B,'Audit Raw data'!E:E,'Day wise agent'!G:G)</f>
        <v>0</v>
      </c>
      <c r="L2400" s="12" t="str">
        <f t="shared" si="58"/>
        <v xml:space="preserve"> </v>
      </c>
    </row>
    <row r="2401" spans="4:12" x14ac:dyDescent="0.35">
      <c r="D2401" s="32"/>
      <c r="G2401" s="32"/>
      <c r="H2401">
        <f>COUNTIFS('Audit Raw data'!J:J,B:B,'Audit Raw data'!E:E,G:G)</f>
        <v>0</v>
      </c>
      <c r="I2401" s="44" t="str">
        <f>IFERROR((SUMIFS('Audit Raw data'!BZ:BZ,'Audit Raw data'!J:J,B:B,'Audit Raw data'!E:E,G:G)/H2401)/100,"-")</f>
        <v>-</v>
      </c>
      <c r="J2401">
        <f>COUNTIFS('Audit Raw data'!AM:AM,"Yes",'Audit Raw data'!J:J,B:B,'Audit Raw data'!E:E,'Day wise agent'!G:G)</f>
        <v>0</v>
      </c>
      <c r="K2401">
        <f>COUNTIFS('Audit Raw data'!AM:AM,"NO",'Audit Raw data'!J:J,B:B,'Audit Raw data'!E:E,'Day wise agent'!G:G)</f>
        <v>0</v>
      </c>
      <c r="L2401" s="12" t="str">
        <f t="shared" si="58"/>
        <v xml:space="preserve"> </v>
      </c>
    </row>
    <row r="2402" spans="4:12" x14ac:dyDescent="0.35">
      <c r="D2402" s="32"/>
      <c r="G2402" s="32"/>
      <c r="H2402">
        <f>COUNTIFS('Audit Raw data'!J:J,B:B,'Audit Raw data'!E:E,G:G)</f>
        <v>0</v>
      </c>
      <c r="I2402" s="44" t="str">
        <f>IFERROR((SUMIFS('Audit Raw data'!BZ:BZ,'Audit Raw data'!J:J,B:B,'Audit Raw data'!E:E,G:G)/H2402)/100,"-")</f>
        <v>-</v>
      </c>
      <c r="J2402">
        <f>COUNTIFS('Audit Raw data'!AM:AM,"Yes",'Audit Raw data'!J:J,B:B,'Audit Raw data'!E:E,'Day wise agent'!G:G)</f>
        <v>0</v>
      </c>
      <c r="K2402">
        <f>COUNTIFS('Audit Raw data'!AM:AM,"NO",'Audit Raw data'!J:J,B:B,'Audit Raw data'!E:E,'Day wise agent'!G:G)</f>
        <v>0</v>
      </c>
      <c r="L2402" s="12" t="str">
        <f t="shared" si="58"/>
        <v xml:space="preserve"> </v>
      </c>
    </row>
    <row r="2403" spans="4:12" x14ac:dyDescent="0.35">
      <c r="D2403" s="32"/>
      <c r="G2403" s="32"/>
      <c r="H2403">
        <f>COUNTIFS('Audit Raw data'!J:J,B:B,'Audit Raw data'!E:E,G:G)</f>
        <v>0</v>
      </c>
      <c r="I2403" s="44" t="str">
        <f>IFERROR((SUMIFS('Audit Raw data'!BZ:BZ,'Audit Raw data'!J:J,B:B,'Audit Raw data'!E:E,G:G)/H2403)/100,"-")</f>
        <v>-</v>
      </c>
      <c r="J2403">
        <f>COUNTIFS('Audit Raw data'!AM:AM,"Yes",'Audit Raw data'!J:J,B:B,'Audit Raw data'!E:E,'Day wise agent'!G:G)</f>
        <v>0</v>
      </c>
      <c r="K2403">
        <f>COUNTIFS('Audit Raw data'!AM:AM,"NO",'Audit Raw data'!J:J,B:B,'Audit Raw data'!E:E,'Day wise agent'!G:G)</f>
        <v>0</v>
      </c>
      <c r="L2403" s="12" t="str">
        <f t="shared" si="58"/>
        <v xml:space="preserve"> </v>
      </c>
    </row>
    <row r="2404" spans="4:12" x14ac:dyDescent="0.35">
      <c r="D2404" s="32"/>
      <c r="G2404" s="32"/>
      <c r="H2404">
        <f>COUNTIFS('Audit Raw data'!J:J,B:B,'Audit Raw data'!E:E,G:G)</f>
        <v>0</v>
      </c>
      <c r="I2404" s="44" t="str">
        <f>IFERROR((SUMIFS('Audit Raw data'!BZ:BZ,'Audit Raw data'!J:J,B:B,'Audit Raw data'!E:E,G:G)/H2404)/100,"-")</f>
        <v>-</v>
      </c>
      <c r="J2404">
        <f>COUNTIFS('Audit Raw data'!AM:AM,"Yes",'Audit Raw data'!J:J,B:B,'Audit Raw data'!E:E,'Day wise agent'!G:G)</f>
        <v>0</v>
      </c>
      <c r="K2404">
        <f>COUNTIFS('Audit Raw data'!AM:AM,"NO",'Audit Raw data'!J:J,B:B,'Audit Raw data'!E:E,'Day wise agent'!G:G)</f>
        <v>0</v>
      </c>
      <c r="L2404" s="12" t="str">
        <f t="shared" si="58"/>
        <v xml:space="preserve"> </v>
      </c>
    </row>
    <row r="2405" spans="4:12" x14ac:dyDescent="0.35">
      <c r="D2405" s="32"/>
      <c r="G2405" s="32"/>
      <c r="H2405">
        <f>COUNTIFS('Audit Raw data'!J:J,B:B,'Audit Raw data'!E:E,G:G)</f>
        <v>0</v>
      </c>
      <c r="I2405" s="44" t="str">
        <f>IFERROR((SUMIFS('Audit Raw data'!BZ:BZ,'Audit Raw data'!J:J,B:B,'Audit Raw data'!E:E,G:G)/H2405)/100,"-")</f>
        <v>-</v>
      </c>
      <c r="J2405">
        <f>COUNTIFS('Audit Raw data'!AM:AM,"Yes",'Audit Raw data'!J:J,B:B,'Audit Raw data'!E:E,'Day wise agent'!G:G)</f>
        <v>0</v>
      </c>
      <c r="K2405">
        <f>COUNTIFS('Audit Raw data'!AM:AM,"NO",'Audit Raw data'!J:J,B:B,'Audit Raw data'!E:E,'Day wise agent'!G:G)</f>
        <v>0</v>
      </c>
      <c r="L2405" s="12" t="str">
        <f t="shared" si="58"/>
        <v xml:space="preserve"> </v>
      </c>
    </row>
    <row r="2406" spans="4:12" x14ac:dyDescent="0.35">
      <c r="D2406" s="32"/>
      <c r="G2406" s="32"/>
      <c r="H2406">
        <f>COUNTIFS('Audit Raw data'!J:J,B:B,'Audit Raw data'!E:E,G:G)</f>
        <v>0</v>
      </c>
      <c r="I2406" s="44" t="str">
        <f>IFERROR((SUMIFS('Audit Raw data'!BZ:BZ,'Audit Raw data'!J:J,B:B,'Audit Raw data'!E:E,G:G)/H2406)/100,"-")</f>
        <v>-</v>
      </c>
      <c r="J2406">
        <f>COUNTIFS('Audit Raw data'!AM:AM,"Yes",'Audit Raw data'!J:J,B:B,'Audit Raw data'!E:E,'Day wise agent'!G:G)</f>
        <v>0</v>
      </c>
      <c r="K2406">
        <f>COUNTIFS('Audit Raw data'!AM:AM,"NO",'Audit Raw data'!J:J,B:B,'Audit Raw data'!E:E,'Day wise agent'!G:G)</f>
        <v>0</v>
      </c>
      <c r="L2406" s="12" t="str">
        <f t="shared" si="58"/>
        <v xml:space="preserve"> </v>
      </c>
    </row>
    <row r="2407" spans="4:12" x14ac:dyDescent="0.35">
      <c r="D2407" s="32"/>
      <c r="G2407" s="32"/>
      <c r="H2407">
        <f>COUNTIFS('Audit Raw data'!J:J,B:B,'Audit Raw data'!E:E,G:G)</f>
        <v>0</v>
      </c>
      <c r="I2407" s="44" t="str">
        <f>IFERROR((SUMIFS('Audit Raw data'!BZ:BZ,'Audit Raw data'!J:J,B:B,'Audit Raw data'!E:E,G:G)/H2407)/100,"-")</f>
        <v>-</v>
      </c>
      <c r="J2407">
        <f>COUNTIFS('Audit Raw data'!AM:AM,"Yes",'Audit Raw data'!J:J,B:B,'Audit Raw data'!E:E,'Day wise agent'!G:G)</f>
        <v>0</v>
      </c>
      <c r="K2407">
        <f>COUNTIFS('Audit Raw data'!AM:AM,"NO",'Audit Raw data'!J:J,B:B,'Audit Raw data'!E:E,'Day wise agent'!G:G)</f>
        <v>0</v>
      </c>
      <c r="L2407" s="12" t="str">
        <f t="shared" si="58"/>
        <v xml:space="preserve"> </v>
      </c>
    </row>
    <row r="2408" spans="4:12" x14ac:dyDescent="0.35">
      <c r="D2408" s="32"/>
      <c r="G2408" s="32"/>
      <c r="H2408">
        <f>COUNTIFS('Audit Raw data'!J:J,B:B,'Audit Raw data'!E:E,G:G)</f>
        <v>0</v>
      </c>
      <c r="I2408" s="44" t="str">
        <f>IFERROR((SUMIFS('Audit Raw data'!BZ:BZ,'Audit Raw data'!J:J,B:B,'Audit Raw data'!E:E,G:G)/H2408)/100,"-")</f>
        <v>-</v>
      </c>
      <c r="J2408">
        <f>COUNTIFS('Audit Raw data'!AM:AM,"Yes",'Audit Raw data'!J:J,B:B,'Audit Raw data'!E:E,'Day wise agent'!G:G)</f>
        <v>0</v>
      </c>
      <c r="K2408">
        <f>COUNTIFS('Audit Raw data'!AM:AM,"NO",'Audit Raw data'!J:J,B:B,'Audit Raw data'!E:E,'Day wise agent'!G:G)</f>
        <v>0</v>
      </c>
      <c r="L2408" s="12" t="str">
        <f t="shared" si="58"/>
        <v xml:space="preserve"> </v>
      </c>
    </row>
    <row r="2409" spans="4:12" x14ac:dyDescent="0.35">
      <c r="D2409" s="32"/>
      <c r="G2409" s="32"/>
      <c r="H2409">
        <f>COUNTIFS('Audit Raw data'!J:J,B:B,'Audit Raw data'!E:E,G:G)</f>
        <v>0</v>
      </c>
      <c r="I2409" s="44" t="str">
        <f>IFERROR((SUMIFS('Audit Raw data'!BZ:BZ,'Audit Raw data'!J:J,B:B,'Audit Raw data'!E:E,G:G)/H2409)/100,"-")</f>
        <v>-</v>
      </c>
      <c r="J2409">
        <f>COUNTIFS('Audit Raw data'!AM:AM,"Yes",'Audit Raw data'!J:J,B:B,'Audit Raw data'!E:E,'Day wise agent'!G:G)</f>
        <v>0</v>
      </c>
      <c r="K2409">
        <f>COUNTIFS('Audit Raw data'!AM:AM,"NO",'Audit Raw data'!J:J,B:B,'Audit Raw data'!E:E,'Day wise agent'!G:G)</f>
        <v>0</v>
      </c>
      <c r="L2409" s="12" t="str">
        <f t="shared" si="58"/>
        <v xml:space="preserve"> </v>
      </c>
    </row>
    <row r="2410" spans="4:12" x14ac:dyDescent="0.35">
      <c r="D2410" s="32"/>
      <c r="G2410" s="32"/>
      <c r="H2410">
        <f>COUNTIFS('Audit Raw data'!J:J,B:B,'Audit Raw data'!E:E,G:G)</f>
        <v>0</v>
      </c>
      <c r="I2410" s="44" t="str">
        <f>IFERROR((SUMIFS('Audit Raw data'!BZ:BZ,'Audit Raw data'!J:J,B:B,'Audit Raw data'!E:E,G:G)/H2410)/100,"-")</f>
        <v>-</v>
      </c>
      <c r="J2410">
        <f>COUNTIFS('Audit Raw data'!AM:AM,"Yes",'Audit Raw data'!J:J,B:B,'Audit Raw data'!E:E,'Day wise agent'!G:G)</f>
        <v>0</v>
      </c>
      <c r="K2410">
        <f>COUNTIFS('Audit Raw data'!AM:AM,"NO",'Audit Raw data'!J:J,B:B,'Audit Raw data'!E:E,'Day wise agent'!G:G)</f>
        <v>0</v>
      </c>
      <c r="L2410" s="12" t="str">
        <f t="shared" si="58"/>
        <v xml:space="preserve"> </v>
      </c>
    </row>
    <row r="2411" spans="4:12" x14ac:dyDescent="0.35">
      <c r="D2411" s="32"/>
      <c r="G2411" s="32"/>
      <c r="H2411">
        <f>COUNTIFS('Audit Raw data'!J:J,B:B,'Audit Raw data'!E:E,G:G)</f>
        <v>0</v>
      </c>
      <c r="I2411" s="44" t="str">
        <f>IFERROR((SUMIFS('Audit Raw data'!BZ:BZ,'Audit Raw data'!J:J,B:B,'Audit Raw data'!E:E,G:G)/H2411)/100,"-")</f>
        <v>-</v>
      </c>
      <c r="J2411">
        <f>COUNTIFS('Audit Raw data'!AM:AM,"Yes",'Audit Raw data'!J:J,B:B,'Audit Raw data'!E:E,'Day wise agent'!G:G)</f>
        <v>0</v>
      </c>
      <c r="K2411">
        <f>COUNTIFS('Audit Raw data'!AM:AM,"NO",'Audit Raw data'!J:J,B:B,'Audit Raw data'!E:E,'Day wise agent'!G:G)</f>
        <v>0</v>
      </c>
      <c r="L2411" s="12" t="str">
        <f t="shared" si="58"/>
        <v xml:space="preserve"> </v>
      </c>
    </row>
    <row r="2412" spans="4:12" x14ac:dyDescent="0.35">
      <c r="D2412" s="32"/>
      <c r="G2412" s="32"/>
      <c r="H2412">
        <f>COUNTIFS('Audit Raw data'!J:J,B:B,'Audit Raw data'!E:E,G:G)</f>
        <v>0</v>
      </c>
      <c r="I2412" s="44" t="str">
        <f>IFERROR((SUMIFS('Audit Raw data'!BZ:BZ,'Audit Raw data'!J:J,B:B,'Audit Raw data'!E:E,G:G)/H2412)/100,"-")</f>
        <v>-</v>
      </c>
      <c r="J2412">
        <f>COUNTIFS('Audit Raw data'!AM:AM,"Yes",'Audit Raw data'!J:J,B:B,'Audit Raw data'!E:E,'Day wise agent'!G:G)</f>
        <v>0</v>
      </c>
      <c r="K2412">
        <f>COUNTIFS('Audit Raw data'!AM:AM,"NO",'Audit Raw data'!J:J,B:B,'Audit Raw data'!E:E,'Day wise agent'!G:G)</f>
        <v>0</v>
      </c>
      <c r="L2412" s="12" t="str">
        <f t="shared" si="58"/>
        <v xml:space="preserve"> </v>
      </c>
    </row>
    <row r="2413" spans="4:12" x14ac:dyDescent="0.35">
      <c r="D2413" s="32"/>
      <c r="G2413" s="32"/>
      <c r="H2413">
        <f>COUNTIFS('Audit Raw data'!J:J,B:B,'Audit Raw data'!E:E,G:G)</f>
        <v>0</v>
      </c>
      <c r="I2413" s="44" t="str">
        <f>IFERROR((SUMIFS('Audit Raw data'!BZ:BZ,'Audit Raw data'!J:J,B:B,'Audit Raw data'!E:E,G:G)/H2413)/100,"-")</f>
        <v>-</v>
      </c>
      <c r="J2413">
        <f>COUNTIFS('Audit Raw data'!AM:AM,"Yes",'Audit Raw data'!J:J,B:B,'Audit Raw data'!E:E,'Day wise agent'!G:G)</f>
        <v>0</v>
      </c>
      <c r="K2413">
        <f>COUNTIFS('Audit Raw data'!AM:AM,"NO",'Audit Raw data'!J:J,B:B,'Audit Raw data'!E:E,'Day wise agent'!G:G)</f>
        <v>0</v>
      </c>
      <c r="L2413" s="12" t="str">
        <f t="shared" si="58"/>
        <v xml:space="preserve"> </v>
      </c>
    </row>
    <row r="2414" spans="4:12" x14ac:dyDescent="0.35">
      <c r="D2414" s="32"/>
      <c r="G2414" s="32"/>
      <c r="H2414">
        <f>COUNTIFS('Audit Raw data'!J:J,B:B,'Audit Raw data'!E:E,G:G)</f>
        <v>0</v>
      </c>
      <c r="I2414" s="44" t="str">
        <f>IFERROR((SUMIFS('Audit Raw data'!BZ:BZ,'Audit Raw data'!J:J,B:B,'Audit Raw data'!E:E,G:G)/H2414)/100,"-")</f>
        <v>-</v>
      </c>
      <c r="J2414">
        <f>COUNTIFS('Audit Raw data'!AM:AM,"Yes",'Audit Raw data'!J:J,B:B,'Audit Raw data'!E:E,'Day wise agent'!G:G)</f>
        <v>0</v>
      </c>
      <c r="K2414">
        <f>COUNTIFS('Audit Raw data'!AM:AM,"NO",'Audit Raw data'!J:J,B:B,'Audit Raw data'!E:E,'Day wise agent'!G:G)</f>
        <v>0</v>
      </c>
      <c r="L2414" s="12" t="str">
        <f t="shared" si="58"/>
        <v xml:space="preserve"> </v>
      </c>
    </row>
    <row r="2415" spans="4:12" x14ac:dyDescent="0.35">
      <c r="D2415" s="32"/>
      <c r="G2415" s="32"/>
      <c r="H2415">
        <f>COUNTIFS('Audit Raw data'!J:J,B:B,'Audit Raw data'!E:E,G:G)</f>
        <v>0</v>
      </c>
      <c r="I2415" s="44" t="str">
        <f>IFERROR((SUMIFS('Audit Raw data'!BZ:BZ,'Audit Raw data'!J:J,B:B,'Audit Raw data'!E:E,G:G)/H2415)/100,"-")</f>
        <v>-</v>
      </c>
      <c r="J2415">
        <f>COUNTIFS('Audit Raw data'!AM:AM,"Yes",'Audit Raw data'!J:J,B:B,'Audit Raw data'!E:E,'Day wise agent'!G:G)</f>
        <v>0</v>
      </c>
      <c r="K2415">
        <f>COUNTIFS('Audit Raw data'!AM:AM,"NO",'Audit Raw data'!J:J,B:B,'Audit Raw data'!E:E,'Day wise agent'!G:G)</f>
        <v>0</v>
      </c>
      <c r="L2415" s="12" t="str">
        <f t="shared" si="58"/>
        <v xml:space="preserve"> </v>
      </c>
    </row>
    <row r="2416" spans="4:12" x14ac:dyDescent="0.35">
      <c r="D2416" s="32"/>
      <c r="G2416" s="32"/>
      <c r="H2416">
        <f>COUNTIFS('Audit Raw data'!J:J,B:B,'Audit Raw data'!E:E,G:G)</f>
        <v>0</v>
      </c>
      <c r="I2416" s="44" t="str">
        <f>IFERROR((SUMIFS('Audit Raw data'!BZ:BZ,'Audit Raw data'!J:J,B:B,'Audit Raw data'!E:E,G:G)/H2416)/100,"-")</f>
        <v>-</v>
      </c>
      <c r="J2416">
        <f>COUNTIFS('Audit Raw data'!AM:AM,"Yes",'Audit Raw data'!J:J,B:B,'Audit Raw data'!E:E,'Day wise agent'!G:G)</f>
        <v>0</v>
      </c>
      <c r="K2416">
        <f>COUNTIFS('Audit Raw data'!AM:AM,"NO",'Audit Raw data'!J:J,B:B,'Audit Raw data'!E:E,'Day wise agent'!G:G)</f>
        <v>0</v>
      </c>
      <c r="L2416" s="12" t="str">
        <f t="shared" si="58"/>
        <v xml:space="preserve"> </v>
      </c>
    </row>
    <row r="2417" spans="4:12" x14ac:dyDescent="0.35">
      <c r="D2417" s="32"/>
      <c r="G2417" s="32"/>
      <c r="H2417">
        <f>COUNTIFS('Audit Raw data'!J:J,B:B,'Audit Raw data'!E:E,G:G)</f>
        <v>0</v>
      </c>
      <c r="I2417" s="44" t="str">
        <f>IFERROR((SUMIFS('Audit Raw data'!BZ:BZ,'Audit Raw data'!J:J,B:B,'Audit Raw data'!E:E,G:G)/H2417)/100,"-")</f>
        <v>-</v>
      </c>
      <c r="J2417">
        <f>COUNTIFS('Audit Raw data'!AM:AM,"Yes",'Audit Raw data'!J:J,B:B,'Audit Raw data'!E:E,'Day wise agent'!G:G)</f>
        <v>0</v>
      </c>
      <c r="K2417">
        <f>COUNTIFS('Audit Raw data'!AM:AM,"NO",'Audit Raw data'!J:J,B:B,'Audit Raw data'!E:E,'Day wise agent'!G:G)</f>
        <v>0</v>
      </c>
      <c r="L2417" s="12" t="str">
        <f t="shared" si="58"/>
        <v xml:space="preserve"> </v>
      </c>
    </row>
    <row r="2418" spans="4:12" x14ac:dyDescent="0.35">
      <c r="D2418" s="32"/>
      <c r="G2418" s="32"/>
      <c r="H2418">
        <f>COUNTIFS('Audit Raw data'!J:J,B:B,'Audit Raw data'!E:E,G:G)</f>
        <v>0</v>
      </c>
      <c r="I2418" s="44" t="str">
        <f>IFERROR((SUMIFS('Audit Raw data'!BZ:BZ,'Audit Raw data'!J:J,B:B,'Audit Raw data'!E:E,G:G)/H2418)/100,"-")</f>
        <v>-</v>
      </c>
      <c r="J2418">
        <f>COUNTIFS('Audit Raw data'!AM:AM,"Yes",'Audit Raw data'!J:J,B:B,'Audit Raw data'!E:E,'Day wise agent'!G:G)</f>
        <v>0</v>
      </c>
      <c r="K2418">
        <f>COUNTIFS('Audit Raw data'!AM:AM,"NO",'Audit Raw data'!J:J,B:B,'Audit Raw data'!E:E,'Day wise agent'!G:G)</f>
        <v>0</v>
      </c>
      <c r="L2418" s="12" t="str">
        <f t="shared" si="58"/>
        <v xml:space="preserve"> </v>
      </c>
    </row>
    <row r="2419" spans="4:12" x14ac:dyDescent="0.35">
      <c r="D2419" s="32"/>
      <c r="G2419" s="32"/>
      <c r="H2419">
        <f>COUNTIFS('Audit Raw data'!J:J,B:B,'Audit Raw data'!E:E,G:G)</f>
        <v>0</v>
      </c>
      <c r="I2419" s="44" t="str">
        <f>IFERROR((SUMIFS('Audit Raw data'!BZ:BZ,'Audit Raw data'!J:J,B:B,'Audit Raw data'!E:E,G:G)/H2419)/100,"-")</f>
        <v>-</v>
      </c>
      <c r="J2419">
        <f>COUNTIFS('Audit Raw data'!AM:AM,"Yes",'Audit Raw data'!J:J,B:B,'Audit Raw data'!E:E,'Day wise agent'!G:G)</f>
        <v>0</v>
      </c>
      <c r="K2419">
        <f>COUNTIFS('Audit Raw data'!AM:AM,"NO",'Audit Raw data'!J:J,B:B,'Audit Raw data'!E:E,'Day wise agent'!G:G)</f>
        <v>0</v>
      </c>
      <c r="L2419" s="12" t="str">
        <f t="shared" si="58"/>
        <v xml:space="preserve"> </v>
      </c>
    </row>
    <row r="2420" spans="4:12" x14ac:dyDescent="0.35">
      <c r="D2420" s="32"/>
      <c r="G2420" s="32"/>
      <c r="H2420">
        <f>COUNTIFS('Audit Raw data'!J:J,B:B,'Audit Raw data'!E:E,G:G)</f>
        <v>0</v>
      </c>
      <c r="I2420" s="44" t="str">
        <f>IFERROR((SUMIFS('Audit Raw data'!BZ:BZ,'Audit Raw data'!J:J,B:B,'Audit Raw data'!E:E,G:G)/H2420)/100,"-")</f>
        <v>-</v>
      </c>
      <c r="J2420">
        <f>COUNTIFS('Audit Raw data'!AM:AM,"Yes",'Audit Raw data'!J:J,B:B,'Audit Raw data'!E:E,'Day wise agent'!G:G)</f>
        <v>0</v>
      </c>
      <c r="K2420">
        <f>COUNTIFS('Audit Raw data'!AM:AM,"NO",'Audit Raw data'!J:J,B:B,'Audit Raw data'!E:E,'Day wise agent'!G:G)</f>
        <v>0</v>
      </c>
      <c r="L2420" s="12" t="str">
        <f t="shared" si="58"/>
        <v xml:space="preserve"> </v>
      </c>
    </row>
    <row r="2421" spans="4:12" x14ac:dyDescent="0.35">
      <c r="D2421" s="32"/>
      <c r="G2421" s="32"/>
      <c r="H2421">
        <f>COUNTIFS('Audit Raw data'!J:J,B:B,'Audit Raw data'!E:E,G:G)</f>
        <v>0</v>
      </c>
      <c r="I2421" s="44" t="str">
        <f>IFERROR((SUMIFS('Audit Raw data'!BZ:BZ,'Audit Raw data'!J:J,B:B,'Audit Raw data'!E:E,G:G)/H2421)/100,"-")</f>
        <v>-</v>
      </c>
      <c r="J2421">
        <f>COUNTIFS('Audit Raw data'!AM:AM,"Yes",'Audit Raw data'!J:J,B:B,'Audit Raw data'!E:E,'Day wise agent'!G:G)</f>
        <v>0</v>
      </c>
      <c r="K2421">
        <f>COUNTIFS('Audit Raw data'!AM:AM,"NO",'Audit Raw data'!J:J,B:B,'Audit Raw data'!E:E,'Day wise agent'!G:G)</f>
        <v>0</v>
      </c>
      <c r="L2421" s="12" t="str">
        <f t="shared" si="58"/>
        <v xml:space="preserve"> </v>
      </c>
    </row>
    <row r="2422" spans="4:12" x14ac:dyDescent="0.35">
      <c r="D2422" s="32"/>
      <c r="G2422" s="32"/>
      <c r="H2422">
        <f>COUNTIFS('Audit Raw data'!J:J,B:B,'Audit Raw data'!E:E,G:G)</f>
        <v>0</v>
      </c>
      <c r="I2422" s="44" t="str">
        <f>IFERROR((SUMIFS('Audit Raw data'!BZ:BZ,'Audit Raw data'!J:J,B:B,'Audit Raw data'!E:E,G:G)/H2422)/100,"-")</f>
        <v>-</v>
      </c>
      <c r="J2422">
        <f>COUNTIFS('Audit Raw data'!AM:AM,"Yes",'Audit Raw data'!J:J,B:B,'Audit Raw data'!E:E,'Day wise agent'!G:G)</f>
        <v>0</v>
      </c>
      <c r="K2422">
        <f>COUNTIFS('Audit Raw data'!AM:AM,"NO",'Audit Raw data'!J:J,B:B,'Audit Raw data'!E:E,'Day wise agent'!G:G)</f>
        <v>0</v>
      </c>
      <c r="L2422" s="12" t="str">
        <f t="shared" si="58"/>
        <v xml:space="preserve"> </v>
      </c>
    </row>
    <row r="2423" spans="4:12" x14ac:dyDescent="0.35">
      <c r="D2423" s="32"/>
      <c r="G2423" s="32"/>
      <c r="H2423">
        <f>COUNTIFS('Audit Raw data'!J:J,B:B,'Audit Raw data'!E:E,G:G)</f>
        <v>0</v>
      </c>
      <c r="I2423" s="44" t="str">
        <f>IFERROR((SUMIFS('Audit Raw data'!BZ:BZ,'Audit Raw data'!J:J,B:B,'Audit Raw data'!E:E,G:G)/H2423)/100,"-")</f>
        <v>-</v>
      </c>
      <c r="J2423">
        <f>COUNTIFS('Audit Raw data'!AM:AM,"Yes",'Audit Raw data'!J:J,B:B,'Audit Raw data'!E:E,'Day wise agent'!G:G)</f>
        <v>0</v>
      </c>
      <c r="K2423">
        <f>COUNTIFS('Audit Raw data'!AM:AM,"NO",'Audit Raw data'!J:J,B:B,'Audit Raw data'!E:E,'Day wise agent'!G:G)</f>
        <v>0</v>
      </c>
      <c r="L2423" s="12" t="str">
        <f t="shared" si="58"/>
        <v xml:space="preserve"> </v>
      </c>
    </row>
    <row r="2424" spans="4:12" x14ac:dyDescent="0.35">
      <c r="D2424" s="32"/>
      <c r="G2424" s="32"/>
      <c r="H2424">
        <f>COUNTIFS('Audit Raw data'!J:J,B:B,'Audit Raw data'!E:E,G:G)</f>
        <v>0</v>
      </c>
      <c r="I2424" s="44" t="str">
        <f>IFERROR((SUMIFS('Audit Raw data'!BZ:BZ,'Audit Raw data'!J:J,B:B,'Audit Raw data'!E:E,G:G)/H2424)/100,"-")</f>
        <v>-</v>
      </c>
      <c r="J2424">
        <f>COUNTIFS('Audit Raw data'!AM:AM,"Yes",'Audit Raw data'!J:J,B:B,'Audit Raw data'!E:E,'Day wise agent'!G:G)</f>
        <v>0</v>
      </c>
      <c r="K2424">
        <f>COUNTIFS('Audit Raw data'!AM:AM,"NO",'Audit Raw data'!J:J,B:B,'Audit Raw data'!E:E,'Day wise agent'!G:G)</f>
        <v>0</v>
      </c>
      <c r="L2424" s="12" t="str">
        <f t="shared" si="58"/>
        <v xml:space="preserve"> </v>
      </c>
    </row>
    <row r="2425" spans="4:12" x14ac:dyDescent="0.35">
      <c r="D2425" s="32"/>
      <c r="G2425" s="32"/>
      <c r="H2425">
        <f>COUNTIFS('Audit Raw data'!J:J,B:B,'Audit Raw data'!E:E,G:G)</f>
        <v>0</v>
      </c>
      <c r="I2425" s="44" t="str">
        <f>IFERROR((SUMIFS('Audit Raw data'!BZ:BZ,'Audit Raw data'!J:J,B:B,'Audit Raw data'!E:E,G:G)/H2425)/100,"-")</f>
        <v>-</v>
      </c>
      <c r="J2425">
        <f>COUNTIFS('Audit Raw data'!AM:AM,"Yes",'Audit Raw data'!J:J,B:B,'Audit Raw data'!E:E,'Day wise agent'!G:G)</f>
        <v>0</v>
      </c>
      <c r="K2425">
        <f>COUNTIFS('Audit Raw data'!AM:AM,"NO",'Audit Raw data'!J:J,B:B,'Audit Raw data'!E:E,'Day wise agent'!G:G)</f>
        <v>0</v>
      </c>
      <c r="L2425" s="12" t="str">
        <f t="shared" si="58"/>
        <v xml:space="preserve"> </v>
      </c>
    </row>
    <row r="2426" spans="4:12" x14ac:dyDescent="0.35">
      <c r="D2426" s="32"/>
      <c r="G2426" s="32"/>
      <c r="H2426">
        <f>COUNTIFS('Audit Raw data'!J:J,B:B,'Audit Raw data'!E:E,G:G)</f>
        <v>0</v>
      </c>
      <c r="I2426" s="44" t="str">
        <f>IFERROR((SUMIFS('Audit Raw data'!BZ:BZ,'Audit Raw data'!J:J,B:B,'Audit Raw data'!E:E,G:G)/H2426)/100,"-")</f>
        <v>-</v>
      </c>
      <c r="J2426">
        <f>COUNTIFS('Audit Raw data'!AM:AM,"Yes",'Audit Raw data'!J:J,B:B,'Audit Raw data'!E:E,'Day wise agent'!G:G)</f>
        <v>0</v>
      </c>
      <c r="K2426">
        <f>COUNTIFS('Audit Raw data'!AM:AM,"NO",'Audit Raw data'!J:J,B:B,'Audit Raw data'!E:E,'Day wise agent'!G:G)</f>
        <v>0</v>
      </c>
      <c r="L2426" s="12" t="str">
        <f t="shared" si="58"/>
        <v xml:space="preserve"> </v>
      </c>
    </row>
    <row r="2427" spans="4:12" x14ac:dyDescent="0.35">
      <c r="D2427" s="32"/>
      <c r="G2427" s="32"/>
      <c r="H2427">
        <f>COUNTIFS('Audit Raw data'!J:J,B:B,'Audit Raw data'!E:E,G:G)</f>
        <v>0</v>
      </c>
      <c r="I2427" s="44" t="str">
        <f>IFERROR((SUMIFS('Audit Raw data'!BZ:BZ,'Audit Raw data'!J:J,B:B,'Audit Raw data'!E:E,G:G)/H2427)/100,"-")</f>
        <v>-</v>
      </c>
      <c r="J2427">
        <f>COUNTIFS('Audit Raw data'!AM:AM,"Yes",'Audit Raw data'!J:J,B:B,'Audit Raw data'!E:E,'Day wise agent'!G:G)</f>
        <v>0</v>
      </c>
      <c r="K2427">
        <f>COUNTIFS('Audit Raw data'!AM:AM,"NO",'Audit Raw data'!J:J,B:B,'Audit Raw data'!E:E,'Day wise agent'!G:G)</f>
        <v>0</v>
      </c>
      <c r="L2427" s="12" t="str">
        <f t="shared" si="58"/>
        <v xml:space="preserve"> </v>
      </c>
    </row>
    <row r="2428" spans="4:12" x14ac:dyDescent="0.35">
      <c r="D2428" s="32"/>
      <c r="G2428" s="32"/>
      <c r="H2428">
        <f>COUNTIFS('Audit Raw data'!J:J,B:B,'Audit Raw data'!E:E,G:G)</f>
        <v>0</v>
      </c>
      <c r="I2428" s="44" t="str">
        <f>IFERROR((SUMIFS('Audit Raw data'!BZ:BZ,'Audit Raw data'!J:J,B:B,'Audit Raw data'!E:E,G:G)/H2428)/100,"-")</f>
        <v>-</v>
      </c>
      <c r="J2428">
        <f>COUNTIFS('Audit Raw data'!AM:AM,"Yes",'Audit Raw data'!J:J,B:B,'Audit Raw data'!E:E,'Day wise agent'!G:G)</f>
        <v>0</v>
      </c>
      <c r="K2428">
        <f>COUNTIFS('Audit Raw data'!AM:AM,"NO",'Audit Raw data'!J:J,B:B,'Audit Raw data'!E:E,'Day wise agent'!G:G)</f>
        <v>0</v>
      </c>
      <c r="L2428" s="12" t="str">
        <f t="shared" si="58"/>
        <v xml:space="preserve"> </v>
      </c>
    </row>
    <row r="2429" spans="4:12" x14ac:dyDescent="0.35">
      <c r="D2429" s="32"/>
      <c r="G2429" s="32"/>
      <c r="H2429">
        <f>COUNTIFS('Audit Raw data'!J:J,B:B,'Audit Raw data'!E:E,G:G)</f>
        <v>0</v>
      </c>
      <c r="I2429" s="44" t="str">
        <f>IFERROR((SUMIFS('Audit Raw data'!BZ:BZ,'Audit Raw data'!J:J,B:B,'Audit Raw data'!E:E,G:G)/H2429)/100,"-")</f>
        <v>-</v>
      </c>
      <c r="J2429">
        <f>COUNTIFS('Audit Raw data'!AM:AM,"Yes",'Audit Raw data'!J:J,B:B,'Audit Raw data'!E:E,'Day wise agent'!G:G)</f>
        <v>0</v>
      </c>
      <c r="K2429">
        <f>COUNTIFS('Audit Raw data'!AM:AM,"NO",'Audit Raw data'!J:J,B:B,'Audit Raw data'!E:E,'Day wise agent'!G:G)</f>
        <v>0</v>
      </c>
      <c r="L2429" s="12" t="str">
        <f t="shared" si="58"/>
        <v xml:space="preserve"> </v>
      </c>
    </row>
    <row r="2430" spans="4:12" x14ac:dyDescent="0.35">
      <c r="D2430" s="32"/>
      <c r="G2430" s="32"/>
      <c r="H2430">
        <f>COUNTIFS('Audit Raw data'!J:J,B:B,'Audit Raw data'!E:E,G:G)</f>
        <v>0</v>
      </c>
      <c r="I2430" s="44" t="str">
        <f>IFERROR((SUMIFS('Audit Raw data'!BZ:BZ,'Audit Raw data'!J:J,B:B,'Audit Raw data'!E:E,G:G)/H2430)/100,"-")</f>
        <v>-</v>
      </c>
      <c r="J2430">
        <f>COUNTIFS('Audit Raw data'!AM:AM,"Yes",'Audit Raw data'!J:J,B:B,'Audit Raw data'!E:E,'Day wise agent'!G:G)</f>
        <v>0</v>
      </c>
      <c r="K2430">
        <f>COUNTIFS('Audit Raw data'!AM:AM,"NO",'Audit Raw data'!J:J,B:B,'Audit Raw data'!E:E,'Day wise agent'!G:G)</f>
        <v>0</v>
      </c>
      <c r="L2430" s="12" t="str">
        <f t="shared" si="58"/>
        <v xml:space="preserve"> </v>
      </c>
    </row>
    <row r="2431" spans="4:12" x14ac:dyDescent="0.35">
      <c r="D2431" s="32"/>
      <c r="G2431" s="32"/>
      <c r="H2431">
        <f>COUNTIFS('Audit Raw data'!J:J,B:B,'Audit Raw data'!E:E,G:G)</f>
        <v>0</v>
      </c>
      <c r="I2431" s="44" t="str">
        <f>IFERROR((SUMIFS('Audit Raw data'!BZ:BZ,'Audit Raw data'!J:J,B:B,'Audit Raw data'!E:E,G:G)/H2431)/100,"-")</f>
        <v>-</v>
      </c>
      <c r="J2431">
        <f>COUNTIFS('Audit Raw data'!AM:AM,"Yes",'Audit Raw data'!J:J,B:B,'Audit Raw data'!E:E,'Day wise agent'!G:G)</f>
        <v>0</v>
      </c>
      <c r="K2431">
        <f>COUNTIFS('Audit Raw data'!AM:AM,"NO",'Audit Raw data'!J:J,B:B,'Audit Raw data'!E:E,'Day wise agent'!G:G)</f>
        <v>0</v>
      </c>
      <c r="L2431" s="12" t="str">
        <f t="shared" si="58"/>
        <v xml:space="preserve"> </v>
      </c>
    </row>
    <row r="2432" spans="4:12" x14ac:dyDescent="0.35">
      <c r="D2432" s="32"/>
      <c r="G2432" s="32"/>
      <c r="H2432">
        <f>COUNTIFS('Audit Raw data'!J:J,B:B,'Audit Raw data'!E:E,G:G)</f>
        <v>0</v>
      </c>
      <c r="I2432" s="44" t="str">
        <f>IFERROR((SUMIFS('Audit Raw data'!BZ:BZ,'Audit Raw data'!J:J,B:B,'Audit Raw data'!E:E,G:G)/H2432)/100,"-")</f>
        <v>-</v>
      </c>
      <c r="J2432">
        <f>COUNTIFS('Audit Raw data'!AM:AM,"Yes",'Audit Raw data'!J:J,B:B,'Audit Raw data'!E:E,'Day wise agent'!G:G)</f>
        <v>0</v>
      </c>
      <c r="K2432">
        <f>COUNTIFS('Audit Raw data'!AM:AM,"NO",'Audit Raw data'!J:J,B:B,'Audit Raw data'!E:E,'Day wise agent'!G:G)</f>
        <v>0</v>
      </c>
      <c r="L2432" s="12" t="str">
        <f t="shared" si="58"/>
        <v xml:space="preserve"> </v>
      </c>
    </row>
    <row r="2433" spans="4:12" x14ac:dyDescent="0.35">
      <c r="D2433" s="32"/>
      <c r="G2433" s="32"/>
      <c r="H2433">
        <f>COUNTIFS('Audit Raw data'!J:J,B:B,'Audit Raw data'!E:E,G:G)</f>
        <v>0</v>
      </c>
      <c r="I2433" s="44" t="str">
        <f>IFERROR((SUMIFS('Audit Raw data'!BZ:BZ,'Audit Raw data'!J:J,B:B,'Audit Raw data'!E:E,G:G)/H2433)/100,"-")</f>
        <v>-</v>
      </c>
      <c r="J2433">
        <f>COUNTIFS('Audit Raw data'!AM:AM,"Yes",'Audit Raw data'!J:J,B:B,'Audit Raw data'!E:E,'Day wise agent'!G:G)</f>
        <v>0</v>
      </c>
      <c r="K2433">
        <f>COUNTIFS('Audit Raw data'!AM:AM,"NO",'Audit Raw data'!J:J,B:B,'Audit Raw data'!E:E,'Day wise agent'!G:G)</f>
        <v>0</v>
      </c>
      <c r="L2433" s="12" t="str">
        <f t="shared" si="58"/>
        <v xml:space="preserve"> </v>
      </c>
    </row>
    <row r="2434" spans="4:12" x14ac:dyDescent="0.35">
      <c r="D2434" s="32"/>
      <c r="G2434" s="32"/>
      <c r="H2434">
        <f>COUNTIFS('Audit Raw data'!J:J,B:B,'Audit Raw data'!E:E,G:G)</f>
        <v>0</v>
      </c>
      <c r="I2434" s="44" t="str">
        <f>IFERROR((SUMIFS('Audit Raw data'!BZ:BZ,'Audit Raw data'!J:J,B:B,'Audit Raw data'!E:E,G:G)/H2434)/100,"-")</f>
        <v>-</v>
      </c>
      <c r="J2434">
        <f>COUNTIFS('Audit Raw data'!AM:AM,"Yes",'Audit Raw data'!J:J,B:B,'Audit Raw data'!E:E,'Day wise agent'!G:G)</f>
        <v>0</v>
      </c>
      <c r="K2434">
        <f>COUNTIFS('Audit Raw data'!AM:AM,"NO",'Audit Raw data'!J:J,B:B,'Audit Raw data'!E:E,'Day wise agent'!G:G)</f>
        <v>0</v>
      </c>
      <c r="L2434" s="12" t="str">
        <f t="shared" ref="L2434:L2497" si="59">IFERROR(J2434/H2434," ")</f>
        <v xml:space="preserve"> </v>
      </c>
    </row>
    <row r="2435" spans="4:12" x14ac:dyDescent="0.35">
      <c r="D2435" s="32"/>
      <c r="G2435" s="32"/>
      <c r="H2435">
        <f>COUNTIFS('Audit Raw data'!J:J,B:B,'Audit Raw data'!E:E,G:G)</f>
        <v>0</v>
      </c>
      <c r="I2435" s="44" t="str">
        <f>IFERROR((SUMIFS('Audit Raw data'!BZ:BZ,'Audit Raw data'!J:J,B:B,'Audit Raw data'!E:E,G:G)/H2435)/100,"-")</f>
        <v>-</v>
      </c>
      <c r="J2435">
        <f>COUNTIFS('Audit Raw data'!AM:AM,"Yes",'Audit Raw data'!J:J,B:B,'Audit Raw data'!E:E,'Day wise agent'!G:G)</f>
        <v>0</v>
      </c>
      <c r="K2435">
        <f>COUNTIFS('Audit Raw data'!AM:AM,"NO",'Audit Raw data'!J:J,B:B,'Audit Raw data'!E:E,'Day wise agent'!G:G)</f>
        <v>0</v>
      </c>
      <c r="L2435" s="12" t="str">
        <f t="shared" si="59"/>
        <v xml:space="preserve"> </v>
      </c>
    </row>
    <row r="2436" spans="4:12" x14ac:dyDescent="0.35">
      <c r="D2436" s="32"/>
      <c r="G2436" s="32"/>
      <c r="H2436">
        <f>COUNTIFS('Audit Raw data'!J:J,B:B,'Audit Raw data'!E:E,G:G)</f>
        <v>0</v>
      </c>
      <c r="I2436" s="44" t="str">
        <f>IFERROR((SUMIFS('Audit Raw data'!BZ:BZ,'Audit Raw data'!J:J,B:B,'Audit Raw data'!E:E,G:G)/H2436)/100,"-")</f>
        <v>-</v>
      </c>
      <c r="J2436">
        <f>COUNTIFS('Audit Raw data'!AM:AM,"Yes",'Audit Raw data'!J:J,B:B,'Audit Raw data'!E:E,'Day wise agent'!G:G)</f>
        <v>0</v>
      </c>
      <c r="K2436">
        <f>COUNTIFS('Audit Raw data'!AM:AM,"NO",'Audit Raw data'!J:J,B:B,'Audit Raw data'!E:E,'Day wise agent'!G:G)</f>
        <v>0</v>
      </c>
      <c r="L2436" s="12" t="str">
        <f t="shared" si="59"/>
        <v xml:space="preserve"> </v>
      </c>
    </row>
    <row r="2437" spans="4:12" x14ac:dyDescent="0.35">
      <c r="D2437" s="32"/>
      <c r="G2437" s="32"/>
      <c r="H2437">
        <f>COUNTIFS('Audit Raw data'!J:J,B:B,'Audit Raw data'!E:E,G:G)</f>
        <v>0</v>
      </c>
      <c r="I2437" s="44" t="str">
        <f>IFERROR((SUMIFS('Audit Raw data'!BZ:BZ,'Audit Raw data'!J:J,B:B,'Audit Raw data'!E:E,G:G)/H2437)/100,"-")</f>
        <v>-</v>
      </c>
      <c r="J2437">
        <f>COUNTIFS('Audit Raw data'!AM:AM,"Yes",'Audit Raw data'!J:J,B:B,'Audit Raw data'!E:E,'Day wise agent'!G:G)</f>
        <v>0</v>
      </c>
      <c r="K2437">
        <f>COUNTIFS('Audit Raw data'!AM:AM,"NO",'Audit Raw data'!J:J,B:B,'Audit Raw data'!E:E,'Day wise agent'!G:G)</f>
        <v>0</v>
      </c>
      <c r="L2437" s="12" t="str">
        <f t="shared" si="59"/>
        <v xml:space="preserve"> </v>
      </c>
    </row>
    <row r="2438" spans="4:12" x14ac:dyDescent="0.35">
      <c r="D2438" s="32"/>
      <c r="G2438" s="32"/>
      <c r="H2438">
        <f>COUNTIFS('Audit Raw data'!J:J,B:B,'Audit Raw data'!E:E,G:G)</f>
        <v>0</v>
      </c>
      <c r="I2438" s="44" t="str">
        <f>IFERROR((SUMIFS('Audit Raw data'!BZ:BZ,'Audit Raw data'!J:J,B:B,'Audit Raw data'!E:E,G:G)/H2438)/100,"-")</f>
        <v>-</v>
      </c>
      <c r="J2438">
        <f>COUNTIFS('Audit Raw data'!AM:AM,"Yes",'Audit Raw data'!J:J,B:B,'Audit Raw data'!E:E,'Day wise agent'!G:G)</f>
        <v>0</v>
      </c>
      <c r="K2438">
        <f>COUNTIFS('Audit Raw data'!AM:AM,"NO",'Audit Raw data'!J:J,B:B,'Audit Raw data'!E:E,'Day wise agent'!G:G)</f>
        <v>0</v>
      </c>
      <c r="L2438" s="12" t="str">
        <f t="shared" si="59"/>
        <v xml:space="preserve"> </v>
      </c>
    </row>
    <row r="2439" spans="4:12" x14ac:dyDescent="0.35">
      <c r="D2439" s="32"/>
      <c r="G2439" s="32"/>
      <c r="H2439">
        <f>COUNTIFS('Audit Raw data'!J:J,B:B,'Audit Raw data'!E:E,G:G)</f>
        <v>0</v>
      </c>
      <c r="I2439" s="44" t="str">
        <f>IFERROR((SUMIFS('Audit Raw data'!BZ:BZ,'Audit Raw data'!J:J,B:B,'Audit Raw data'!E:E,G:G)/H2439)/100,"-")</f>
        <v>-</v>
      </c>
      <c r="J2439">
        <f>COUNTIFS('Audit Raw data'!AM:AM,"Yes",'Audit Raw data'!J:J,B:B,'Audit Raw data'!E:E,'Day wise agent'!G:G)</f>
        <v>0</v>
      </c>
      <c r="K2439">
        <f>COUNTIFS('Audit Raw data'!AM:AM,"NO",'Audit Raw data'!J:J,B:B,'Audit Raw data'!E:E,'Day wise agent'!G:G)</f>
        <v>0</v>
      </c>
      <c r="L2439" s="12" t="str">
        <f t="shared" si="59"/>
        <v xml:space="preserve"> </v>
      </c>
    </row>
    <row r="2440" spans="4:12" x14ac:dyDescent="0.35">
      <c r="D2440" s="32"/>
      <c r="G2440" s="32"/>
      <c r="H2440">
        <f>COUNTIFS('Audit Raw data'!J:J,B:B,'Audit Raw data'!E:E,G:G)</f>
        <v>0</v>
      </c>
      <c r="I2440" s="44" t="str">
        <f>IFERROR((SUMIFS('Audit Raw data'!BZ:BZ,'Audit Raw data'!J:J,B:B,'Audit Raw data'!E:E,G:G)/H2440)/100,"-")</f>
        <v>-</v>
      </c>
      <c r="J2440">
        <f>COUNTIFS('Audit Raw data'!AM:AM,"Yes",'Audit Raw data'!J:J,B:B,'Audit Raw data'!E:E,'Day wise agent'!G:G)</f>
        <v>0</v>
      </c>
      <c r="K2440">
        <f>COUNTIFS('Audit Raw data'!AM:AM,"NO",'Audit Raw data'!J:J,B:B,'Audit Raw data'!E:E,'Day wise agent'!G:G)</f>
        <v>0</v>
      </c>
      <c r="L2440" s="12" t="str">
        <f t="shared" si="59"/>
        <v xml:space="preserve"> </v>
      </c>
    </row>
    <row r="2441" spans="4:12" x14ac:dyDescent="0.35">
      <c r="D2441" s="32"/>
      <c r="G2441" s="32"/>
      <c r="H2441">
        <f>COUNTIFS('Audit Raw data'!J:J,B:B,'Audit Raw data'!E:E,G:G)</f>
        <v>0</v>
      </c>
      <c r="I2441" s="44" t="str">
        <f>IFERROR((SUMIFS('Audit Raw data'!BZ:BZ,'Audit Raw data'!J:J,B:B,'Audit Raw data'!E:E,G:G)/H2441)/100,"-")</f>
        <v>-</v>
      </c>
      <c r="J2441">
        <f>COUNTIFS('Audit Raw data'!AM:AM,"Yes",'Audit Raw data'!J:J,B:B,'Audit Raw data'!E:E,'Day wise agent'!G:G)</f>
        <v>0</v>
      </c>
      <c r="K2441">
        <f>COUNTIFS('Audit Raw data'!AM:AM,"NO",'Audit Raw data'!J:J,B:B,'Audit Raw data'!E:E,'Day wise agent'!G:G)</f>
        <v>0</v>
      </c>
      <c r="L2441" s="12" t="str">
        <f t="shared" si="59"/>
        <v xml:space="preserve"> </v>
      </c>
    </row>
    <row r="2442" spans="4:12" x14ac:dyDescent="0.35">
      <c r="D2442" s="32"/>
      <c r="G2442" s="32"/>
      <c r="H2442">
        <f>COUNTIFS('Audit Raw data'!J:J,B:B,'Audit Raw data'!E:E,G:G)</f>
        <v>0</v>
      </c>
      <c r="I2442" s="44" t="str">
        <f>IFERROR((SUMIFS('Audit Raw data'!BZ:BZ,'Audit Raw data'!J:J,B:B,'Audit Raw data'!E:E,G:G)/H2442)/100,"-")</f>
        <v>-</v>
      </c>
      <c r="J2442">
        <f>COUNTIFS('Audit Raw data'!AM:AM,"Yes",'Audit Raw data'!J:J,B:B,'Audit Raw data'!E:E,'Day wise agent'!G:G)</f>
        <v>0</v>
      </c>
      <c r="K2442">
        <f>COUNTIFS('Audit Raw data'!AM:AM,"NO",'Audit Raw data'!J:J,B:B,'Audit Raw data'!E:E,'Day wise agent'!G:G)</f>
        <v>0</v>
      </c>
      <c r="L2442" s="12" t="str">
        <f t="shared" si="59"/>
        <v xml:space="preserve"> </v>
      </c>
    </row>
    <row r="2443" spans="4:12" x14ac:dyDescent="0.35">
      <c r="D2443" s="32"/>
      <c r="G2443" s="32"/>
      <c r="H2443">
        <f>COUNTIFS('Audit Raw data'!J:J,B:B,'Audit Raw data'!E:E,G:G)</f>
        <v>0</v>
      </c>
      <c r="I2443" s="44" t="str">
        <f>IFERROR((SUMIFS('Audit Raw data'!BZ:BZ,'Audit Raw data'!J:J,B:B,'Audit Raw data'!E:E,G:G)/H2443)/100,"-")</f>
        <v>-</v>
      </c>
      <c r="J2443">
        <f>COUNTIFS('Audit Raw data'!AM:AM,"Yes",'Audit Raw data'!J:J,B:B,'Audit Raw data'!E:E,'Day wise agent'!G:G)</f>
        <v>0</v>
      </c>
      <c r="K2443">
        <f>COUNTIFS('Audit Raw data'!AM:AM,"NO",'Audit Raw data'!J:J,B:B,'Audit Raw data'!E:E,'Day wise agent'!G:G)</f>
        <v>0</v>
      </c>
      <c r="L2443" s="12" t="str">
        <f t="shared" si="59"/>
        <v xml:space="preserve"> </v>
      </c>
    </row>
    <row r="2444" spans="4:12" x14ac:dyDescent="0.35">
      <c r="D2444" s="32"/>
      <c r="G2444" s="32"/>
      <c r="H2444">
        <f>COUNTIFS('Audit Raw data'!J:J,B:B,'Audit Raw data'!E:E,G:G)</f>
        <v>0</v>
      </c>
      <c r="I2444" s="44" t="str">
        <f>IFERROR((SUMIFS('Audit Raw data'!BZ:BZ,'Audit Raw data'!J:J,B:B,'Audit Raw data'!E:E,G:G)/H2444)/100,"-")</f>
        <v>-</v>
      </c>
      <c r="J2444">
        <f>COUNTIFS('Audit Raw data'!AM:AM,"Yes",'Audit Raw data'!J:J,B:B,'Audit Raw data'!E:E,'Day wise agent'!G:G)</f>
        <v>0</v>
      </c>
      <c r="K2444">
        <f>COUNTIFS('Audit Raw data'!AM:AM,"NO",'Audit Raw data'!J:J,B:B,'Audit Raw data'!E:E,'Day wise agent'!G:G)</f>
        <v>0</v>
      </c>
      <c r="L2444" s="12" t="str">
        <f t="shared" si="59"/>
        <v xml:space="preserve"> </v>
      </c>
    </row>
    <row r="2445" spans="4:12" x14ac:dyDescent="0.35">
      <c r="D2445" s="32"/>
      <c r="G2445" s="32"/>
      <c r="H2445">
        <f>COUNTIFS('Audit Raw data'!J:J,B:B,'Audit Raw data'!E:E,G:G)</f>
        <v>0</v>
      </c>
      <c r="I2445" s="44" t="str">
        <f>IFERROR((SUMIFS('Audit Raw data'!BZ:BZ,'Audit Raw data'!J:J,B:B,'Audit Raw data'!E:E,G:G)/H2445)/100,"-")</f>
        <v>-</v>
      </c>
      <c r="J2445">
        <f>COUNTIFS('Audit Raw data'!AM:AM,"Yes",'Audit Raw data'!J:J,B:B,'Audit Raw data'!E:E,'Day wise agent'!G:G)</f>
        <v>0</v>
      </c>
      <c r="K2445">
        <f>COUNTIFS('Audit Raw data'!AM:AM,"NO",'Audit Raw data'!J:J,B:B,'Audit Raw data'!E:E,'Day wise agent'!G:G)</f>
        <v>0</v>
      </c>
      <c r="L2445" s="12" t="str">
        <f t="shared" si="59"/>
        <v xml:space="preserve"> </v>
      </c>
    </row>
    <row r="2446" spans="4:12" x14ac:dyDescent="0.35">
      <c r="D2446" s="32"/>
      <c r="G2446" s="32"/>
      <c r="H2446">
        <f>COUNTIFS('Audit Raw data'!J:J,B:B,'Audit Raw data'!E:E,G:G)</f>
        <v>0</v>
      </c>
      <c r="I2446" s="44" t="str">
        <f>IFERROR((SUMIFS('Audit Raw data'!BZ:BZ,'Audit Raw data'!J:J,B:B,'Audit Raw data'!E:E,G:G)/H2446)/100,"-")</f>
        <v>-</v>
      </c>
      <c r="J2446">
        <f>COUNTIFS('Audit Raw data'!AM:AM,"Yes",'Audit Raw data'!J:J,B:B,'Audit Raw data'!E:E,'Day wise agent'!G:G)</f>
        <v>0</v>
      </c>
      <c r="K2446">
        <f>COUNTIFS('Audit Raw data'!AM:AM,"NO",'Audit Raw data'!J:J,B:B,'Audit Raw data'!E:E,'Day wise agent'!G:G)</f>
        <v>0</v>
      </c>
      <c r="L2446" s="12" t="str">
        <f t="shared" si="59"/>
        <v xml:space="preserve"> </v>
      </c>
    </row>
    <row r="2447" spans="4:12" x14ac:dyDescent="0.35">
      <c r="D2447" s="32"/>
      <c r="G2447" s="32"/>
      <c r="H2447">
        <f>COUNTIFS('Audit Raw data'!J:J,B:B,'Audit Raw data'!E:E,G:G)</f>
        <v>0</v>
      </c>
      <c r="I2447" s="44" t="str">
        <f>IFERROR((SUMIFS('Audit Raw data'!BZ:BZ,'Audit Raw data'!J:J,B:B,'Audit Raw data'!E:E,G:G)/H2447)/100,"-")</f>
        <v>-</v>
      </c>
      <c r="J2447">
        <f>COUNTIFS('Audit Raw data'!AM:AM,"Yes",'Audit Raw data'!J:J,B:B,'Audit Raw data'!E:E,'Day wise agent'!G:G)</f>
        <v>0</v>
      </c>
      <c r="K2447">
        <f>COUNTIFS('Audit Raw data'!AM:AM,"NO",'Audit Raw data'!J:J,B:B,'Audit Raw data'!E:E,'Day wise agent'!G:G)</f>
        <v>0</v>
      </c>
      <c r="L2447" s="12" t="str">
        <f t="shared" si="59"/>
        <v xml:space="preserve"> </v>
      </c>
    </row>
    <row r="2448" spans="4:12" x14ac:dyDescent="0.35">
      <c r="D2448" s="32"/>
      <c r="G2448" s="32"/>
      <c r="H2448">
        <f>COUNTIFS('Audit Raw data'!J:J,B:B,'Audit Raw data'!E:E,G:G)</f>
        <v>0</v>
      </c>
      <c r="I2448" s="44" t="str">
        <f>IFERROR((SUMIFS('Audit Raw data'!BZ:BZ,'Audit Raw data'!J:J,B:B,'Audit Raw data'!E:E,G:G)/H2448)/100,"-")</f>
        <v>-</v>
      </c>
      <c r="J2448">
        <f>COUNTIFS('Audit Raw data'!AM:AM,"Yes",'Audit Raw data'!J:J,B:B,'Audit Raw data'!E:E,'Day wise agent'!G:G)</f>
        <v>0</v>
      </c>
      <c r="K2448">
        <f>COUNTIFS('Audit Raw data'!AM:AM,"NO",'Audit Raw data'!J:J,B:B,'Audit Raw data'!E:E,'Day wise agent'!G:G)</f>
        <v>0</v>
      </c>
      <c r="L2448" s="12" t="str">
        <f t="shared" si="59"/>
        <v xml:space="preserve"> </v>
      </c>
    </row>
    <row r="2449" spans="4:12" x14ac:dyDescent="0.35">
      <c r="D2449" s="32"/>
      <c r="G2449" s="32"/>
      <c r="H2449">
        <f>COUNTIFS('Audit Raw data'!J:J,B:B,'Audit Raw data'!E:E,G:G)</f>
        <v>0</v>
      </c>
      <c r="I2449" s="44" t="str">
        <f>IFERROR((SUMIFS('Audit Raw data'!BZ:BZ,'Audit Raw data'!J:J,B:B,'Audit Raw data'!E:E,G:G)/H2449)/100,"-")</f>
        <v>-</v>
      </c>
      <c r="J2449">
        <f>COUNTIFS('Audit Raw data'!AM:AM,"Yes",'Audit Raw data'!J:J,B:B,'Audit Raw data'!E:E,'Day wise agent'!G:G)</f>
        <v>0</v>
      </c>
      <c r="K2449">
        <f>COUNTIFS('Audit Raw data'!AM:AM,"NO",'Audit Raw data'!J:J,B:B,'Audit Raw data'!E:E,'Day wise agent'!G:G)</f>
        <v>0</v>
      </c>
      <c r="L2449" s="12" t="str">
        <f t="shared" si="59"/>
        <v xml:space="preserve"> </v>
      </c>
    </row>
    <row r="2450" spans="4:12" x14ac:dyDescent="0.35">
      <c r="D2450" s="32"/>
      <c r="G2450" s="32"/>
      <c r="H2450">
        <f>COUNTIFS('Audit Raw data'!J:J,B:B,'Audit Raw data'!E:E,G:G)</f>
        <v>0</v>
      </c>
      <c r="I2450" s="44" t="str">
        <f>IFERROR((SUMIFS('Audit Raw data'!BZ:BZ,'Audit Raw data'!J:J,B:B,'Audit Raw data'!E:E,G:G)/H2450)/100,"-")</f>
        <v>-</v>
      </c>
      <c r="J2450">
        <f>COUNTIFS('Audit Raw data'!AM:AM,"Yes",'Audit Raw data'!J:J,B:B,'Audit Raw data'!E:E,'Day wise agent'!G:G)</f>
        <v>0</v>
      </c>
      <c r="K2450">
        <f>COUNTIFS('Audit Raw data'!AM:AM,"NO",'Audit Raw data'!J:J,B:B,'Audit Raw data'!E:E,'Day wise agent'!G:G)</f>
        <v>0</v>
      </c>
      <c r="L2450" s="12" t="str">
        <f t="shared" si="59"/>
        <v xml:space="preserve"> </v>
      </c>
    </row>
    <row r="2451" spans="4:12" x14ac:dyDescent="0.35">
      <c r="D2451" s="32"/>
      <c r="G2451" s="32"/>
      <c r="H2451">
        <f>COUNTIFS('Audit Raw data'!J:J,B:B,'Audit Raw data'!E:E,G:G)</f>
        <v>0</v>
      </c>
      <c r="I2451" s="44" t="str">
        <f>IFERROR((SUMIFS('Audit Raw data'!BZ:BZ,'Audit Raw data'!J:J,B:B,'Audit Raw data'!E:E,G:G)/H2451)/100,"-")</f>
        <v>-</v>
      </c>
      <c r="J2451">
        <f>COUNTIFS('Audit Raw data'!AM:AM,"Yes",'Audit Raw data'!J:J,B:B,'Audit Raw data'!E:E,'Day wise agent'!G:G)</f>
        <v>0</v>
      </c>
      <c r="K2451">
        <f>COUNTIFS('Audit Raw data'!AM:AM,"NO",'Audit Raw data'!J:J,B:B,'Audit Raw data'!E:E,'Day wise agent'!G:G)</f>
        <v>0</v>
      </c>
      <c r="L2451" s="12" t="str">
        <f t="shared" si="59"/>
        <v xml:space="preserve"> </v>
      </c>
    </row>
    <row r="2452" spans="4:12" x14ac:dyDescent="0.35">
      <c r="D2452" s="32"/>
      <c r="G2452" s="32"/>
      <c r="H2452">
        <f>COUNTIFS('Audit Raw data'!J:J,B:B,'Audit Raw data'!E:E,G:G)</f>
        <v>0</v>
      </c>
      <c r="I2452" s="44" t="str">
        <f>IFERROR((SUMIFS('Audit Raw data'!BZ:BZ,'Audit Raw data'!J:J,B:B,'Audit Raw data'!E:E,G:G)/H2452)/100,"-")</f>
        <v>-</v>
      </c>
      <c r="J2452">
        <f>COUNTIFS('Audit Raw data'!AM:AM,"Yes",'Audit Raw data'!J:J,B:B,'Audit Raw data'!E:E,'Day wise agent'!G:G)</f>
        <v>0</v>
      </c>
      <c r="K2452">
        <f>COUNTIFS('Audit Raw data'!AM:AM,"NO",'Audit Raw data'!J:J,B:B,'Audit Raw data'!E:E,'Day wise agent'!G:G)</f>
        <v>0</v>
      </c>
      <c r="L2452" s="12" t="str">
        <f t="shared" si="59"/>
        <v xml:space="preserve"> </v>
      </c>
    </row>
    <row r="2453" spans="4:12" x14ac:dyDescent="0.35">
      <c r="D2453" s="32"/>
      <c r="G2453" s="32"/>
      <c r="H2453">
        <f>COUNTIFS('Audit Raw data'!J:J,B:B,'Audit Raw data'!E:E,G:G)</f>
        <v>0</v>
      </c>
      <c r="I2453" s="44" t="str">
        <f>IFERROR((SUMIFS('Audit Raw data'!BZ:BZ,'Audit Raw data'!J:J,B:B,'Audit Raw data'!E:E,G:G)/H2453)/100,"-")</f>
        <v>-</v>
      </c>
      <c r="J2453">
        <f>COUNTIFS('Audit Raw data'!AM:AM,"Yes",'Audit Raw data'!J:J,B:B,'Audit Raw data'!E:E,'Day wise agent'!G:G)</f>
        <v>0</v>
      </c>
      <c r="K2453">
        <f>COUNTIFS('Audit Raw data'!AM:AM,"NO",'Audit Raw data'!J:J,B:B,'Audit Raw data'!E:E,'Day wise agent'!G:G)</f>
        <v>0</v>
      </c>
      <c r="L2453" s="12" t="str">
        <f t="shared" si="59"/>
        <v xml:space="preserve"> </v>
      </c>
    </row>
    <row r="2454" spans="4:12" x14ac:dyDescent="0.35">
      <c r="D2454" s="32"/>
      <c r="G2454" s="32"/>
      <c r="H2454">
        <f>COUNTIFS('Audit Raw data'!J:J,B:B,'Audit Raw data'!E:E,G:G)</f>
        <v>0</v>
      </c>
      <c r="I2454" s="44" t="str">
        <f>IFERROR((SUMIFS('Audit Raw data'!BZ:BZ,'Audit Raw data'!J:J,B:B,'Audit Raw data'!E:E,G:G)/H2454)/100,"-")</f>
        <v>-</v>
      </c>
      <c r="J2454">
        <f>COUNTIFS('Audit Raw data'!AM:AM,"Yes",'Audit Raw data'!J:J,B:B,'Audit Raw data'!E:E,'Day wise agent'!G:G)</f>
        <v>0</v>
      </c>
      <c r="K2454">
        <f>COUNTIFS('Audit Raw data'!AM:AM,"NO",'Audit Raw data'!J:J,B:B,'Audit Raw data'!E:E,'Day wise agent'!G:G)</f>
        <v>0</v>
      </c>
      <c r="L2454" s="12" t="str">
        <f t="shared" si="59"/>
        <v xml:space="preserve"> </v>
      </c>
    </row>
    <row r="2455" spans="4:12" x14ac:dyDescent="0.35">
      <c r="D2455" s="32"/>
      <c r="G2455" s="32"/>
      <c r="H2455">
        <f>COUNTIFS('Audit Raw data'!J:J,B:B,'Audit Raw data'!E:E,G:G)</f>
        <v>0</v>
      </c>
      <c r="I2455" s="44" t="str">
        <f>IFERROR((SUMIFS('Audit Raw data'!BZ:BZ,'Audit Raw data'!J:J,B:B,'Audit Raw data'!E:E,G:G)/H2455)/100,"-")</f>
        <v>-</v>
      </c>
      <c r="J2455">
        <f>COUNTIFS('Audit Raw data'!AM:AM,"Yes",'Audit Raw data'!J:J,B:B,'Audit Raw data'!E:E,'Day wise agent'!G:G)</f>
        <v>0</v>
      </c>
      <c r="K2455">
        <f>COUNTIFS('Audit Raw data'!AM:AM,"NO",'Audit Raw data'!J:J,B:B,'Audit Raw data'!E:E,'Day wise agent'!G:G)</f>
        <v>0</v>
      </c>
      <c r="L2455" s="12" t="str">
        <f t="shared" si="59"/>
        <v xml:space="preserve"> </v>
      </c>
    </row>
    <row r="2456" spans="4:12" x14ac:dyDescent="0.35">
      <c r="D2456" s="32"/>
      <c r="G2456" s="32"/>
      <c r="H2456">
        <f>COUNTIFS('Audit Raw data'!J:J,B:B,'Audit Raw data'!E:E,G:G)</f>
        <v>0</v>
      </c>
      <c r="I2456" s="44" t="str">
        <f>IFERROR((SUMIFS('Audit Raw data'!BZ:BZ,'Audit Raw data'!J:J,B:B,'Audit Raw data'!E:E,G:G)/H2456)/100,"-")</f>
        <v>-</v>
      </c>
      <c r="J2456">
        <f>COUNTIFS('Audit Raw data'!AM:AM,"Yes",'Audit Raw data'!J:J,B:B,'Audit Raw data'!E:E,'Day wise agent'!G:G)</f>
        <v>0</v>
      </c>
      <c r="K2456">
        <f>COUNTIFS('Audit Raw data'!AM:AM,"NO",'Audit Raw data'!J:J,B:B,'Audit Raw data'!E:E,'Day wise agent'!G:G)</f>
        <v>0</v>
      </c>
      <c r="L2456" s="12" t="str">
        <f t="shared" si="59"/>
        <v xml:space="preserve"> </v>
      </c>
    </row>
    <row r="2457" spans="4:12" x14ac:dyDescent="0.35">
      <c r="D2457" s="32"/>
      <c r="G2457" s="32"/>
      <c r="H2457">
        <f>COUNTIFS('Audit Raw data'!J:J,B:B,'Audit Raw data'!E:E,G:G)</f>
        <v>0</v>
      </c>
      <c r="I2457" s="44" t="str">
        <f>IFERROR((SUMIFS('Audit Raw data'!BZ:BZ,'Audit Raw data'!J:J,B:B,'Audit Raw data'!E:E,G:G)/H2457)/100,"-")</f>
        <v>-</v>
      </c>
      <c r="J2457">
        <f>COUNTIFS('Audit Raw data'!AM:AM,"Yes",'Audit Raw data'!J:J,B:B,'Audit Raw data'!E:E,'Day wise agent'!G:G)</f>
        <v>0</v>
      </c>
      <c r="K2457">
        <f>COUNTIFS('Audit Raw data'!AM:AM,"NO",'Audit Raw data'!J:J,B:B,'Audit Raw data'!E:E,'Day wise agent'!G:G)</f>
        <v>0</v>
      </c>
      <c r="L2457" s="12" t="str">
        <f t="shared" si="59"/>
        <v xml:space="preserve"> </v>
      </c>
    </row>
    <row r="2458" spans="4:12" x14ac:dyDescent="0.35">
      <c r="D2458" s="32"/>
      <c r="G2458" s="32"/>
      <c r="H2458">
        <f>COUNTIFS('Audit Raw data'!J:J,B:B,'Audit Raw data'!E:E,G:G)</f>
        <v>0</v>
      </c>
      <c r="I2458" s="44" t="str">
        <f>IFERROR((SUMIFS('Audit Raw data'!BZ:BZ,'Audit Raw data'!J:J,B:B,'Audit Raw data'!E:E,G:G)/H2458)/100,"-")</f>
        <v>-</v>
      </c>
      <c r="J2458">
        <f>COUNTIFS('Audit Raw data'!AM:AM,"Yes",'Audit Raw data'!J:J,B:B,'Audit Raw data'!E:E,'Day wise agent'!G:G)</f>
        <v>0</v>
      </c>
      <c r="K2458">
        <f>COUNTIFS('Audit Raw data'!AM:AM,"NO",'Audit Raw data'!J:J,B:B,'Audit Raw data'!E:E,'Day wise agent'!G:G)</f>
        <v>0</v>
      </c>
      <c r="L2458" s="12" t="str">
        <f t="shared" si="59"/>
        <v xml:space="preserve"> </v>
      </c>
    </row>
    <row r="2459" spans="4:12" x14ac:dyDescent="0.35">
      <c r="D2459" s="32"/>
      <c r="G2459" s="32"/>
      <c r="H2459">
        <f>COUNTIFS('Audit Raw data'!J:J,B:B,'Audit Raw data'!E:E,G:G)</f>
        <v>0</v>
      </c>
      <c r="I2459" s="44" t="str">
        <f>IFERROR((SUMIFS('Audit Raw data'!BZ:BZ,'Audit Raw data'!J:J,B:B,'Audit Raw data'!E:E,G:G)/H2459)/100,"-")</f>
        <v>-</v>
      </c>
      <c r="J2459">
        <f>COUNTIFS('Audit Raw data'!AM:AM,"Yes",'Audit Raw data'!J:J,B:B,'Audit Raw data'!E:E,'Day wise agent'!G:G)</f>
        <v>0</v>
      </c>
      <c r="K2459">
        <f>COUNTIFS('Audit Raw data'!AM:AM,"NO",'Audit Raw data'!J:J,B:B,'Audit Raw data'!E:E,'Day wise agent'!G:G)</f>
        <v>0</v>
      </c>
      <c r="L2459" s="12" t="str">
        <f t="shared" si="59"/>
        <v xml:space="preserve"> </v>
      </c>
    </row>
    <row r="2460" spans="4:12" x14ac:dyDescent="0.35">
      <c r="D2460" s="32"/>
      <c r="G2460" s="32"/>
      <c r="H2460">
        <f>COUNTIFS('Audit Raw data'!J:J,B:B,'Audit Raw data'!E:E,G:G)</f>
        <v>0</v>
      </c>
      <c r="I2460" s="44" t="str">
        <f>IFERROR((SUMIFS('Audit Raw data'!BZ:BZ,'Audit Raw data'!J:J,B:B,'Audit Raw data'!E:E,G:G)/H2460)/100,"-")</f>
        <v>-</v>
      </c>
      <c r="J2460">
        <f>COUNTIFS('Audit Raw data'!AM:AM,"Yes",'Audit Raw data'!J:J,B:B,'Audit Raw data'!E:E,'Day wise agent'!G:G)</f>
        <v>0</v>
      </c>
      <c r="K2460">
        <f>COUNTIFS('Audit Raw data'!AM:AM,"NO",'Audit Raw data'!J:J,B:B,'Audit Raw data'!E:E,'Day wise agent'!G:G)</f>
        <v>0</v>
      </c>
      <c r="L2460" s="12" t="str">
        <f t="shared" si="59"/>
        <v xml:space="preserve"> </v>
      </c>
    </row>
    <row r="2461" spans="4:12" x14ac:dyDescent="0.35">
      <c r="D2461" s="32"/>
      <c r="G2461" s="32"/>
      <c r="H2461">
        <f>COUNTIFS('Audit Raw data'!J:J,B:B,'Audit Raw data'!E:E,G:G)</f>
        <v>0</v>
      </c>
      <c r="I2461" s="44" t="str">
        <f>IFERROR((SUMIFS('Audit Raw data'!BZ:BZ,'Audit Raw data'!J:J,B:B,'Audit Raw data'!E:E,G:G)/H2461)/100,"-")</f>
        <v>-</v>
      </c>
      <c r="J2461">
        <f>COUNTIFS('Audit Raw data'!AM:AM,"Yes",'Audit Raw data'!J:J,B:B,'Audit Raw data'!E:E,'Day wise agent'!G:G)</f>
        <v>0</v>
      </c>
      <c r="K2461">
        <f>COUNTIFS('Audit Raw data'!AM:AM,"NO",'Audit Raw data'!J:J,B:B,'Audit Raw data'!E:E,'Day wise agent'!G:G)</f>
        <v>0</v>
      </c>
      <c r="L2461" s="12" t="str">
        <f t="shared" si="59"/>
        <v xml:space="preserve"> </v>
      </c>
    </row>
    <row r="2462" spans="4:12" x14ac:dyDescent="0.35">
      <c r="D2462" s="32"/>
      <c r="G2462" s="32"/>
      <c r="H2462">
        <f>COUNTIFS('Audit Raw data'!J:J,B:B,'Audit Raw data'!E:E,G:G)</f>
        <v>0</v>
      </c>
      <c r="I2462" s="44" t="str">
        <f>IFERROR((SUMIFS('Audit Raw data'!BZ:BZ,'Audit Raw data'!J:J,B:B,'Audit Raw data'!E:E,G:G)/H2462)/100,"-")</f>
        <v>-</v>
      </c>
      <c r="J2462">
        <f>COUNTIFS('Audit Raw data'!AM:AM,"Yes",'Audit Raw data'!J:J,B:B,'Audit Raw data'!E:E,'Day wise agent'!G:G)</f>
        <v>0</v>
      </c>
      <c r="K2462">
        <f>COUNTIFS('Audit Raw data'!AM:AM,"NO",'Audit Raw data'!J:J,B:B,'Audit Raw data'!E:E,'Day wise agent'!G:G)</f>
        <v>0</v>
      </c>
      <c r="L2462" s="12" t="str">
        <f t="shared" si="59"/>
        <v xml:space="preserve"> </v>
      </c>
    </row>
    <row r="2463" spans="4:12" x14ac:dyDescent="0.35">
      <c r="D2463" s="32"/>
      <c r="G2463" s="32"/>
      <c r="H2463">
        <f>COUNTIFS('Audit Raw data'!J:J,B:B,'Audit Raw data'!E:E,G:G)</f>
        <v>0</v>
      </c>
      <c r="I2463" s="44" t="str">
        <f>IFERROR((SUMIFS('Audit Raw data'!BZ:BZ,'Audit Raw data'!J:J,B:B,'Audit Raw data'!E:E,G:G)/H2463)/100,"-")</f>
        <v>-</v>
      </c>
      <c r="J2463">
        <f>COUNTIFS('Audit Raw data'!AM:AM,"Yes",'Audit Raw data'!J:J,B:B,'Audit Raw data'!E:E,'Day wise agent'!G:G)</f>
        <v>0</v>
      </c>
      <c r="K2463">
        <f>COUNTIFS('Audit Raw data'!AM:AM,"NO",'Audit Raw data'!J:J,B:B,'Audit Raw data'!E:E,'Day wise agent'!G:G)</f>
        <v>0</v>
      </c>
      <c r="L2463" s="12" t="str">
        <f t="shared" si="59"/>
        <v xml:space="preserve"> </v>
      </c>
    </row>
    <row r="2464" spans="4:12" x14ac:dyDescent="0.35">
      <c r="D2464" s="32"/>
      <c r="G2464" s="32"/>
      <c r="H2464">
        <f>COUNTIFS('Audit Raw data'!J:J,B:B,'Audit Raw data'!E:E,G:G)</f>
        <v>0</v>
      </c>
      <c r="I2464" s="44" t="str">
        <f>IFERROR((SUMIFS('Audit Raw data'!BZ:BZ,'Audit Raw data'!J:J,B:B,'Audit Raw data'!E:E,G:G)/H2464)/100,"-")</f>
        <v>-</v>
      </c>
      <c r="J2464">
        <f>COUNTIFS('Audit Raw data'!AM:AM,"Yes",'Audit Raw data'!J:J,B:B,'Audit Raw data'!E:E,'Day wise agent'!G:G)</f>
        <v>0</v>
      </c>
      <c r="K2464">
        <f>COUNTIFS('Audit Raw data'!AM:AM,"NO",'Audit Raw data'!J:J,B:B,'Audit Raw data'!E:E,'Day wise agent'!G:G)</f>
        <v>0</v>
      </c>
      <c r="L2464" s="12" t="str">
        <f t="shared" si="59"/>
        <v xml:space="preserve"> </v>
      </c>
    </row>
    <row r="2465" spans="4:12" x14ac:dyDescent="0.35">
      <c r="D2465" s="32"/>
      <c r="G2465" s="32"/>
      <c r="H2465">
        <f>COUNTIFS('Audit Raw data'!J:J,B:B,'Audit Raw data'!E:E,G:G)</f>
        <v>0</v>
      </c>
      <c r="I2465" s="44" t="str">
        <f>IFERROR((SUMIFS('Audit Raw data'!BZ:BZ,'Audit Raw data'!J:J,B:B,'Audit Raw data'!E:E,G:G)/H2465)/100,"-")</f>
        <v>-</v>
      </c>
      <c r="J2465">
        <f>COUNTIFS('Audit Raw data'!AM:AM,"Yes",'Audit Raw data'!J:J,B:B,'Audit Raw data'!E:E,'Day wise agent'!G:G)</f>
        <v>0</v>
      </c>
      <c r="K2465">
        <f>COUNTIFS('Audit Raw data'!AM:AM,"NO",'Audit Raw data'!J:J,B:B,'Audit Raw data'!E:E,'Day wise agent'!G:G)</f>
        <v>0</v>
      </c>
      <c r="L2465" s="12" t="str">
        <f t="shared" si="59"/>
        <v xml:space="preserve"> </v>
      </c>
    </row>
    <row r="2466" spans="4:12" x14ac:dyDescent="0.35">
      <c r="D2466" s="32"/>
      <c r="G2466" s="32"/>
      <c r="H2466">
        <f>COUNTIFS('Audit Raw data'!J:J,B:B,'Audit Raw data'!E:E,G:G)</f>
        <v>0</v>
      </c>
      <c r="I2466" s="44" t="str">
        <f>IFERROR((SUMIFS('Audit Raw data'!BZ:BZ,'Audit Raw data'!J:J,B:B,'Audit Raw data'!E:E,G:G)/H2466)/100,"-")</f>
        <v>-</v>
      </c>
      <c r="J2466">
        <f>COUNTIFS('Audit Raw data'!AM:AM,"Yes",'Audit Raw data'!J:J,B:B,'Audit Raw data'!E:E,'Day wise agent'!G:G)</f>
        <v>0</v>
      </c>
      <c r="K2466">
        <f>COUNTIFS('Audit Raw data'!AM:AM,"NO",'Audit Raw data'!J:J,B:B,'Audit Raw data'!E:E,'Day wise agent'!G:G)</f>
        <v>0</v>
      </c>
      <c r="L2466" s="12" t="str">
        <f t="shared" si="59"/>
        <v xml:space="preserve"> </v>
      </c>
    </row>
    <row r="2467" spans="4:12" x14ac:dyDescent="0.35">
      <c r="D2467" s="32"/>
      <c r="G2467" s="32"/>
      <c r="H2467">
        <f>COUNTIFS('Audit Raw data'!J:J,B:B,'Audit Raw data'!E:E,G:G)</f>
        <v>0</v>
      </c>
      <c r="I2467" s="44" t="str">
        <f>IFERROR((SUMIFS('Audit Raw data'!BZ:BZ,'Audit Raw data'!J:J,B:B,'Audit Raw data'!E:E,G:G)/H2467)/100,"-")</f>
        <v>-</v>
      </c>
      <c r="J2467">
        <f>COUNTIFS('Audit Raw data'!AM:AM,"Yes",'Audit Raw data'!J:J,B:B,'Audit Raw data'!E:E,'Day wise agent'!G:G)</f>
        <v>0</v>
      </c>
      <c r="K2467">
        <f>COUNTIFS('Audit Raw data'!AM:AM,"NO",'Audit Raw data'!J:J,B:B,'Audit Raw data'!E:E,'Day wise agent'!G:G)</f>
        <v>0</v>
      </c>
      <c r="L2467" s="12" t="str">
        <f t="shared" si="59"/>
        <v xml:space="preserve"> </v>
      </c>
    </row>
    <row r="2468" spans="4:12" x14ac:dyDescent="0.35">
      <c r="D2468" s="32"/>
      <c r="G2468" s="32"/>
      <c r="H2468">
        <f>COUNTIFS('Audit Raw data'!J:J,B:B,'Audit Raw data'!E:E,G:G)</f>
        <v>0</v>
      </c>
      <c r="I2468" s="44" t="str">
        <f>IFERROR((SUMIFS('Audit Raw data'!BZ:BZ,'Audit Raw data'!J:J,B:B,'Audit Raw data'!E:E,G:G)/H2468)/100,"-")</f>
        <v>-</v>
      </c>
      <c r="J2468">
        <f>COUNTIFS('Audit Raw data'!AM:AM,"Yes",'Audit Raw data'!J:J,B:B,'Audit Raw data'!E:E,'Day wise agent'!G:G)</f>
        <v>0</v>
      </c>
      <c r="K2468">
        <f>COUNTIFS('Audit Raw data'!AM:AM,"NO",'Audit Raw data'!J:J,B:B,'Audit Raw data'!E:E,'Day wise agent'!G:G)</f>
        <v>0</v>
      </c>
      <c r="L2468" s="12" t="str">
        <f t="shared" si="59"/>
        <v xml:space="preserve"> </v>
      </c>
    </row>
    <row r="2469" spans="4:12" x14ac:dyDescent="0.35">
      <c r="D2469" s="32"/>
      <c r="G2469" s="32"/>
      <c r="H2469">
        <f>COUNTIFS('Audit Raw data'!J:J,B:B,'Audit Raw data'!E:E,G:G)</f>
        <v>0</v>
      </c>
      <c r="I2469" s="44" t="str">
        <f>IFERROR((SUMIFS('Audit Raw data'!BZ:BZ,'Audit Raw data'!J:J,B:B,'Audit Raw data'!E:E,G:G)/H2469)/100,"-")</f>
        <v>-</v>
      </c>
      <c r="J2469">
        <f>COUNTIFS('Audit Raw data'!AM:AM,"Yes",'Audit Raw data'!J:J,B:B,'Audit Raw data'!E:E,'Day wise agent'!G:G)</f>
        <v>0</v>
      </c>
      <c r="K2469">
        <f>COUNTIFS('Audit Raw data'!AM:AM,"NO",'Audit Raw data'!J:J,B:B,'Audit Raw data'!E:E,'Day wise agent'!G:G)</f>
        <v>0</v>
      </c>
      <c r="L2469" s="12" t="str">
        <f t="shared" si="59"/>
        <v xml:space="preserve"> </v>
      </c>
    </row>
    <row r="2470" spans="4:12" x14ac:dyDescent="0.35">
      <c r="D2470" s="32"/>
      <c r="G2470" s="32"/>
      <c r="H2470">
        <f>COUNTIFS('Audit Raw data'!J:J,B:B,'Audit Raw data'!E:E,G:G)</f>
        <v>0</v>
      </c>
      <c r="I2470" s="44" t="str">
        <f>IFERROR((SUMIFS('Audit Raw data'!BZ:BZ,'Audit Raw data'!J:J,B:B,'Audit Raw data'!E:E,G:G)/H2470)/100,"-")</f>
        <v>-</v>
      </c>
      <c r="J2470">
        <f>COUNTIFS('Audit Raw data'!AM:AM,"Yes",'Audit Raw data'!J:J,B:B,'Audit Raw data'!E:E,'Day wise agent'!G:G)</f>
        <v>0</v>
      </c>
      <c r="K2470">
        <f>COUNTIFS('Audit Raw data'!AM:AM,"NO",'Audit Raw data'!J:J,B:B,'Audit Raw data'!E:E,'Day wise agent'!G:G)</f>
        <v>0</v>
      </c>
      <c r="L2470" s="12" t="str">
        <f t="shared" si="59"/>
        <v xml:space="preserve"> </v>
      </c>
    </row>
    <row r="2471" spans="4:12" x14ac:dyDescent="0.35">
      <c r="D2471" s="32"/>
      <c r="G2471" s="32"/>
      <c r="H2471">
        <f>COUNTIFS('Audit Raw data'!J:J,B:B,'Audit Raw data'!E:E,G:G)</f>
        <v>0</v>
      </c>
      <c r="I2471" s="44" t="str">
        <f>IFERROR((SUMIFS('Audit Raw data'!BZ:BZ,'Audit Raw data'!J:J,B:B,'Audit Raw data'!E:E,G:G)/H2471)/100,"-")</f>
        <v>-</v>
      </c>
      <c r="J2471">
        <f>COUNTIFS('Audit Raw data'!AM:AM,"Yes",'Audit Raw data'!J:J,B:B,'Audit Raw data'!E:E,'Day wise agent'!G:G)</f>
        <v>0</v>
      </c>
      <c r="K2471">
        <f>COUNTIFS('Audit Raw data'!AM:AM,"NO",'Audit Raw data'!J:J,B:B,'Audit Raw data'!E:E,'Day wise agent'!G:G)</f>
        <v>0</v>
      </c>
      <c r="L2471" s="12" t="str">
        <f t="shared" si="59"/>
        <v xml:space="preserve"> </v>
      </c>
    </row>
    <row r="2472" spans="4:12" x14ac:dyDescent="0.35">
      <c r="D2472" s="32"/>
      <c r="G2472" s="32"/>
      <c r="H2472">
        <f>COUNTIFS('Audit Raw data'!J:J,B:B,'Audit Raw data'!E:E,G:G)</f>
        <v>0</v>
      </c>
      <c r="I2472" s="44" t="str">
        <f>IFERROR((SUMIFS('Audit Raw data'!BZ:BZ,'Audit Raw data'!J:J,B:B,'Audit Raw data'!E:E,G:G)/H2472)/100,"-")</f>
        <v>-</v>
      </c>
      <c r="J2472">
        <f>COUNTIFS('Audit Raw data'!AM:AM,"Yes",'Audit Raw data'!J:J,B:B,'Audit Raw data'!E:E,'Day wise agent'!G:G)</f>
        <v>0</v>
      </c>
      <c r="K2472">
        <f>COUNTIFS('Audit Raw data'!AM:AM,"NO",'Audit Raw data'!J:J,B:B,'Audit Raw data'!E:E,'Day wise agent'!G:G)</f>
        <v>0</v>
      </c>
      <c r="L2472" s="12" t="str">
        <f t="shared" si="59"/>
        <v xml:space="preserve"> </v>
      </c>
    </row>
    <row r="2473" spans="4:12" x14ac:dyDescent="0.35">
      <c r="D2473" s="32"/>
      <c r="G2473" s="32"/>
      <c r="H2473">
        <f>COUNTIFS('Audit Raw data'!J:J,B:B,'Audit Raw data'!E:E,G:G)</f>
        <v>0</v>
      </c>
      <c r="I2473" s="44" t="str">
        <f>IFERROR((SUMIFS('Audit Raw data'!BZ:BZ,'Audit Raw data'!J:J,B:B,'Audit Raw data'!E:E,G:G)/H2473)/100,"-")</f>
        <v>-</v>
      </c>
      <c r="J2473">
        <f>COUNTIFS('Audit Raw data'!AM:AM,"Yes",'Audit Raw data'!J:J,B:B,'Audit Raw data'!E:E,'Day wise agent'!G:G)</f>
        <v>0</v>
      </c>
      <c r="K2473">
        <f>COUNTIFS('Audit Raw data'!AM:AM,"NO",'Audit Raw data'!J:J,B:B,'Audit Raw data'!E:E,'Day wise agent'!G:G)</f>
        <v>0</v>
      </c>
      <c r="L2473" s="12" t="str">
        <f t="shared" si="59"/>
        <v xml:space="preserve"> </v>
      </c>
    </row>
    <row r="2474" spans="4:12" x14ac:dyDescent="0.35">
      <c r="D2474" s="32"/>
      <c r="G2474" s="32"/>
      <c r="H2474">
        <f>COUNTIFS('Audit Raw data'!J:J,B:B,'Audit Raw data'!E:E,G:G)</f>
        <v>0</v>
      </c>
      <c r="I2474" s="44" t="str">
        <f>IFERROR((SUMIFS('Audit Raw data'!BZ:BZ,'Audit Raw data'!J:J,B:B,'Audit Raw data'!E:E,G:G)/H2474)/100,"-")</f>
        <v>-</v>
      </c>
      <c r="J2474">
        <f>COUNTIFS('Audit Raw data'!AM:AM,"Yes",'Audit Raw data'!J:J,B:B,'Audit Raw data'!E:E,'Day wise agent'!G:G)</f>
        <v>0</v>
      </c>
      <c r="K2474">
        <f>COUNTIFS('Audit Raw data'!AM:AM,"NO",'Audit Raw data'!J:J,B:B,'Audit Raw data'!E:E,'Day wise agent'!G:G)</f>
        <v>0</v>
      </c>
      <c r="L2474" s="12" t="str">
        <f t="shared" si="59"/>
        <v xml:space="preserve"> </v>
      </c>
    </row>
    <row r="2475" spans="4:12" x14ac:dyDescent="0.35">
      <c r="D2475" s="32"/>
      <c r="G2475" s="32"/>
      <c r="H2475">
        <f>COUNTIFS('Audit Raw data'!J:J,B:B,'Audit Raw data'!E:E,G:G)</f>
        <v>0</v>
      </c>
      <c r="I2475" s="44" t="str">
        <f>IFERROR((SUMIFS('Audit Raw data'!BZ:BZ,'Audit Raw data'!J:J,B:B,'Audit Raw data'!E:E,G:G)/H2475)/100,"-")</f>
        <v>-</v>
      </c>
      <c r="J2475">
        <f>COUNTIFS('Audit Raw data'!AM:AM,"Yes",'Audit Raw data'!J:J,B:B,'Audit Raw data'!E:E,'Day wise agent'!G:G)</f>
        <v>0</v>
      </c>
      <c r="K2475">
        <f>COUNTIFS('Audit Raw data'!AM:AM,"NO",'Audit Raw data'!J:J,B:B,'Audit Raw data'!E:E,'Day wise agent'!G:G)</f>
        <v>0</v>
      </c>
      <c r="L2475" s="12" t="str">
        <f t="shared" si="59"/>
        <v xml:space="preserve"> </v>
      </c>
    </row>
    <row r="2476" spans="4:12" x14ac:dyDescent="0.35">
      <c r="D2476" s="32"/>
      <c r="G2476" s="32"/>
      <c r="H2476">
        <f>COUNTIFS('Audit Raw data'!J:J,B:B,'Audit Raw data'!E:E,G:G)</f>
        <v>0</v>
      </c>
      <c r="I2476" s="44" t="str">
        <f>IFERROR((SUMIFS('Audit Raw data'!BZ:BZ,'Audit Raw data'!J:J,B:B,'Audit Raw data'!E:E,G:G)/H2476)/100,"-")</f>
        <v>-</v>
      </c>
      <c r="J2476">
        <f>COUNTIFS('Audit Raw data'!AM:AM,"Yes",'Audit Raw data'!J:J,B:B,'Audit Raw data'!E:E,'Day wise agent'!G:G)</f>
        <v>0</v>
      </c>
      <c r="K2476">
        <f>COUNTIFS('Audit Raw data'!AM:AM,"NO",'Audit Raw data'!J:J,B:B,'Audit Raw data'!E:E,'Day wise agent'!G:G)</f>
        <v>0</v>
      </c>
      <c r="L2476" s="12" t="str">
        <f t="shared" si="59"/>
        <v xml:space="preserve"> </v>
      </c>
    </row>
    <row r="2477" spans="4:12" x14ac:dyDescent="0.35">
      <c r="D2477" s="32"/>
      <c r="G2477" s="32"/>
      <c r="H2477">
        <f>COUNTIFS('Audit Raw data'!J:J,B:B,'Audit Raw data'!E:E,G:G)</f>
        <v>0</v>
      </c>
      <c r="I2477" s="44" t="str">
        <f>IFERROR((SUMIFS('Audit Raw data'!BZ:BZ,'Audit Raw data'!J:J,B:B,'Audit Raw data'!E:E,G:G)/H2477)/100,"-")</f>
        <v>-</v>
      </c>
      <c r="J2477">
        <f>COUNTIFS('Audit Raw data'!AM:AM,"Yes",'Audit Raw data'!J:J,B:B,'Audit Raw data'!E:E,'Day wise agent'!G:G)</f>
        <v>0</v>
      </c>
      <c r="K2477">
        <f>COUNTIFS('Audit Raw data'!AM:AM,"NO",'Audit Raw data'!J:J,B:B,'Audit Raw data'!E:E,'Day wise agent'!G:G)</f>
        <v>0</v>
      </c>
      <c r="L2477" s="12" t="str">
        <f t="shared" si="59"/>
        <v xml:space="preserve"> </v>
      </c>
    </row>
    <row r="2478" spans="4:12" x14ac:dyDescent="0.35">
      <c r="D2478" s="32"/>
      <c r="G2478" s="32"/>
      <c r="H2478">
        <f>COUNTIFS('Audit Raw data'!J:J,B:B,'Audit Raw data'!E:E,G:G)</f>
        <v>0</v>
      </c>
      <c r="I2478" s="44" t="str">
        <f>IFERROR((SUMIFS('Audit Raw data'!BZ:BZ,'Audit Raw data'!J:J,B:B,'Audit Raw data'!E:E,G:G)/H2478)/100,"-")</f>
        <v>-</v>
      </c>
      <c r="J2478">
        <f>COUNTIFS('Audit Raw data'!AM:AM,"Yes",'Audit Raw data'!J:J,B:B,'Audit Raw data'!E:E,'Day wise agent'!G:G)</f>
        <v>0</v>
      </c>
      <c r="K2478">
        <f>COUNTIFS('Audit Raw data'!AM:AM,"NO",'Audit Raw data'!J:J,B:B,'Audit Raw data'!E:E,'Day wise agent'!G:G)</f>
        <v>0</v>
      </c>
      <c r="L2478" s="12" t="str">
        <f t="shared" si="59"/>
        <v xml:space="preserve"> </v>
      </c>
    </row>
    <row r="2479" spans="4:12" x14ac:dyDescent="0.35">
      <c r="D2479" s="32"/>
      <c r="G2479" s="32"/>
      <c r="H2479">
        <f>COUNTIFS('Audit Raw data'!J:J,B:B,'Audit Raw data'!E:E,G:G)</f>
        <v>0</v>
      </c>
      <c r="I2479" s="44" t="str">
        <f>IFERROR((SUMIFS('Audit Raw data'!BZ:BZ,'Audit Raw data'!J:J,B:B,'Audit Raw data'!E:E,G:G)/H2479)/100,"-")</f>
        <v>-</v>
      </c>
      <c r="J2479">
        <f>COUNTIFS('Audit Raw data'!AM:AM,"Yes",'Audit Raw data'!J:J,B:B,'Audit Raw data'!E:E,'Day wise agent'!G:G)</f>
        <v>0</v>
      </c>
      <c r="K2479">
        <f>COUNTIFS('Audit Raw data'!AM:AM,"NO",'Audit Raw data'!J:J,B:B,'Audit Raw data'!E:E,'Day wise agent'!G:G)</f>
        <v>0</v>
      </c>
      <c r="L2479" s="12" t="str">
        <f t="shared" si="59"/>
        <v xml:space="preserve"> </v>
      </c>
    </row>
    <row r="2480" spans="4:12" x14ac:dyDescent="0.35">
      <c r="D2480" s="32"/>
      <c r="G2480" s="32"/>
      <c r="H2480">
        <f>COUNTIFS('Audit Raw data'!J:J,B:B,'Audit Raw data'!E:E,G:G)</f>
        <v>0</v>
      </c>
      <c r="I2480" s="44" t="str">
        <f>IFERROR((SUMIFS('Audit Raw data'!BZ:BZ,'Audit Raw data'!J:J,B:B,'Audit Raw data'!E:E,G:G)/H2480)/100,"-")</f>
        <v>-</v>
      </c>
      <c r="J2480">
        <f>COUNTIFS('Audit Raw data'!AM:AM,"Yes",'Audit Raw data'!J:J,B:B,'Audit Raw data'!E:E,'Day wise agent'!G:G)</f>
        <v>0</v>
      </c>
      <c r="K2480">
        <f>COUNTIFS('Audit Raw data'!AM:AM,"NO",'Audit Raw data'!J:J,B:B,'Audit Raw data'!E:E,'Day wise agent'!G:G)</f>
        <v>0</v>
      </c>
      <c r="L2480" s="12" t="str">
        <f t="shared" si="59"/>
        <v xml:space="preserve"> </v>
      </c>
    </row>
    <row r="2481" spans="4:12" x14ac:dyDescent="0.35">
      <c r="D2481" s="32"/>
      <c r="G2481" s="32"/>
      <c r="H2481">
        <f>COUNTIFS('Audit Raw data'!J:J,B:B,'Audit Raw data'!E:E,G:G)</f>
        <v>0</v>
      </c>
      <c r="I2481" s="44" t="str">
        <f>IFERROR((SUMIFS('Audit Raw data'!BZ:BZ,'Audit Raw data'!J:J,B:B,'Audit Raw data'!E:E,G:G)/H2481)/100,"-")</f>
        <v>-</v>
      </c>
      <c r="J2481">
        <f>COUNTIFS('Audit Raw data'!AM:AM,"Yes",'Audit Raw data'!J:J,B:B,'Audit Raw data'!E:E,'Day wise agent'!G:G)</f>
        <v>0</v>
      </c>
      <c r="K2481">
        <f>COUNTIFS('Audit Raw data'!AM:AM,"NO",'Audit Raw data'!J:J,B:B,'Audit Raw data'!E:E,'Day wise agent'!G:G)</f>
        <v>0</v>
      </c>
      <c r="L2481" s="12" t="str">
        <f t="shared" si="59"/>
        <v xml:space="preserve"> </v>
      </c>
    </row>
    <row r="2482" spans="4:12" x14ac:dyDescent="0.35">
      <c r="D2482" s="32"/>
      <c r="G2482" s="32"/>
      <c r="H2482">
        <f>COUNTIFS('Audit Raw data'!J:J,B:B,'Audit Raw data'!E:E,G:G)</f>
        <v>0</v>
      </c>
      <c r="I2482" s="44" t="str">
        <f>IFERROR((SUMIFS('Audit Raw data'!BZ:BZ,'Audit Raw data'!J:J,B:B,'Audit Raw data'!E:E,G:G)/H2482)/100,"-")</f>
        <v>-</v>
      </c>
      <c r="J2482">
        <f>COUNTIFS('Audit Raw data'!AM:AM,"Yes",'Audit Raw data'!J:J,B:B,'Audit Raw data'!E:E,'Day wise agent'!G:G)</f>
        <v>0</v>
      </c>
      <c r="K2482">
        <f>COUNTIFS('Audit Raw data'!AM:AM,"NO",'Audit Raw data'!J:J,B:B,'Audit Raw data'!E:E,'Day wise agent'!G:G)</f>
        <v>0</v>
      </c>
      <c r="L2482" s="12" t="str">
        <f t="shared" si="59"/>
        <v xml:space="preserve"> </v>
      </c>
    </row>
    <row r="2483" spans="4:12" x14ac:dyDescent="0.35">
      <c r="D2483" s="32"/>
      <c r="G2483" s="32"/>
      <c r="H2483">
        <f>COUNTIFS('Audit Raw data'!J:J,B:B,'Audit Raw data'!E:E,G:G)</f>
        <v>0</v>
      </c>
      <c r="I2483" s="44" t="str">
        <f>IFERROR((SUMIFS('Audit Raw data'!BZ:BZ,'Audit Raw data'!J:J,B:B,'Audit Raw data'!E:E,G:G)/H2483)/100,"-")</f>
        <v>-</v>
      </c>
      <c r="J2483">
        <f>COUNTIFS('Audit Raw data'!AM:AM,"Yes",'Audit Raw data'!J:J,B:B,'Audit Raw data'!E:E,'Day wise agent'!G:G)</f>
        <v>0</v>
      </c>
      <c r="K2483">
        <f>COUNTIFS('Audit Raw data'!AM:AM,"NO",'Audit Raw data'!J:J,B:B,'Audit Raw data'!E:E,'Day wise agent'!G:G)</f>
        <v>0</v>
      </c>
      <c r="L2483" s="12" t="str">
        <f t="shared" si="59"/>
        <v xml:space="preserve"> </v>
      </c>
    </row>
    <row r="2484" spans="4:12" x14ac:dyDescent="0.35">
      <c r="D2484" s="32"/>
      <c r="G2484" s="32"/>
      <c r="H2484">
        <f>COUNTIFS('Audit Raw data'!J:J,B:B,'Audit Raw data'!E:E,G:G)</f>
        <v>0</v>
      </c>
      <c r="I2484" s="44" t="str">
        <f>IFERROR((SUMIFS('Audit Raw data'!BZ:BZ,'Audit Raw data'!J:J,B:B,'Audit Raw data'!E:E,G:G)/H2484)/100,"-")</f>
        <v>-</v>
      </c>
      <c r="J2484">
        <f>COUNTIFS('Audit Raw data'!AM:AM,"Yes",'Audit Raw data'!J:J,B:B,'Audit Raw data'!E:E,'Day wise agent'!G:G)</f>
        <v>0</v>
      </c>
      <c r="K2484">
        <f>COUNTIFS('Audit Raw data'!AM:AM,"NO",'Audit Raw data'!J:J,B:B,'Audit Raw data'!E:E,'Day wise agent'!G:G)</f>
        <v>0</v>
      </c>
      <c r="L2484" s="12" t="str">
        <f t="shared" si="59"/>
        <v xml:space="preserve"> </v>
      </c>
    </row>
    <row r="2485" spans="4:12" x14ac:dyDescent="0.35">
      <c r="D2485" s="32"/>
      <c r="G2485" s="32"/>
      <c r="H2485">
        <f>COUNTIFS('Audit Raw data'!J:J,B:B,'Audit Raw data'!E:E,G:G)</f>
        <v>0</v>
      </c>
      <c r="I2485" s="44" t="str">
        <f>IFERROR((SUMIFS('Audit Raw data'!BZ:BZ,'Audit Raw data'!J:J,B:B,'Audit Raw data'!E:E,G:G)/H2485)/100,"-")</f>
        <v>-</v>
      </c>
      <c r="J2485">
        <f>COUNTIFS('Audit Raw data'!AM:AM,"Yes",'Audit Raw data'!J:J,B:B,'Audit Raw data'!E:E,'Day wise agent'!G:G)</f>
        <v>0</v>
      </c>
      <c r="K2485">
        <f>COUNTIFS('Audit Raw data'!AM:AM,"NO",'Audit Raw data'!J:J,B:B,'Audit Raw data'!E:E,'Day wise agent'!G:G)</f>
        <v>0</v>
      </c>
      <c r="L2485" s="12" t="str">
        <f t="shared" si="59"/>
        <v xml:space="preserve"> </v>
      </c>
    </row>
    <row r="2486" spans="4:12" x14ac:dyDescent="0.35">
      <c r="D2486" s="32"/>
      <c r="G2486" s="32"/>
      <c r="H2486">
        <f>COUNTIFS('Audit Raw data'!J:J,B:B,'Audit Raw data'!E:E,G:G)</f>
        <v>0</v>
      </c>
      <c r="I2486" s="44" t="str">
        <f>IFERROR((SUMIFS('Audit Raw data'!BZ:BZ,'Audit Raw data'!J:J,B:B,'Audit Raw data'!E:E,G:G)/H2486)/100,"-")</f>
        <v>-</v>
      </c>
      <c r="J2486">
        <f>COUNTIFS('Audit Raw data'!AM:AM,"Yes",'Audit Raw data'!J:J,B:B,'Audit Raw data'!E:E,'Day wise agent'!G:G)</f>
        <v>0</v>
      </c>
      <c r="K2486">
        <f>COUNTIFS('Audit Raw data'!AM:AM,"NO",'Audit Raw data'!J:J,B:B,'Audit Raw data'!E:E,'Day wise agent'!G:G)</f>
        <v>0</v>
      </c>
      <c r="L2486" s="12" t="str">
        <f t="shared" si="59"/>
        <v xml:space="preserve"> </v>
      </c>
    </row>
    <row r="2487" spans="4:12" x14ac:dyDescent="0.35">
      <c r="D2487" s="32"/>
      <c r="G2487" s="32"/>
      <c r="H2487">
        <f>COUNTIFS('Audit Raw data'!J:J,B:B,'Audit Raw data'!E:E,G:G)</f>
        <v>0</v>
      </c>
      <c r="I2487" s="44" t="str">
        <f>IFERROR((SUMIFS('Audit Raw data'!BZ:BZ,'Audit Raw data'!J:J,B:B,'Audit Raw data'!E:E,G:G)/H2487)/100,"-")</f>
        <v>-</v>
      </c>
      <c r="J2487">
        <f>COUNTIFS('Audit Raw data'!AM:AM,"Yes",'Audit Raw data'!J:J,B:B,'Audit Raw data'!E:E,'Day wise agent'!G:G)</f>
        <v>0</v>
      </c>
      <c r="K2487">
        <f>COUNTIFS('Audit Raw data'!AM:AM,"NO",'Audit Raw data'!J:J,B:B,'Audit Raw data'!E:E,'Day wise agent'!G:G)</f>
        <v>0</v>
      </c>
      <c r="L2487" s="12" t="str">
        <f t="shared" si="59"/>
        <v xml:space="preserve"> </v>
      </c>
    </row>
    <row r="2488" spans="4:12" x14ac:dyDescent="0.35">
      <c r="D2488" s="32"/>
      <c r="G2488" s="32"/>
      <c r="H2488">
        <f>COUNTIFS('Audit Raw data'!J:J,B:B,'Audit Raw data'!E:E,G:G)</f>
        <v>0</v>
      </c>
      <c r="I2488" s="44" t="str">
        <f>IFERROR((SUMIFS('Audit Raw data'!BZ:BZ,'Audit Raw data'!J:J,B:B,'Audit Raw data'!E:E,G:G)/H2488)/100,"-")</f>
        <v>-</v>
      </c>
      <c r="J2488">
        <f>COUNTIFS('Audit Raw data'!AM:AM,"Yes",'Audit Raw data'!J:J,B:B,'Audit Raw data'!E:E,'Day wise agent'!G:G)</f>
        <v>0</v>
      </c>
      <c r="K2488">
        <f>COUNTIFS('Audit Raw data'!AM:AM,"NO",'Audit Raw data'!J:J,B:B,'Audit Raw data'!E:E,'Day wise agent'!G:G)</f>
        <v>0</v>
      </c>
      <c r="L2488" s="12" t="str">
        <f t="shared" si="59"/>
        <v xml:space="preserve"> </v>
      </c>
    </row>
    <row r="2489" spans="4:12" x14ac:dyDescent="0.35">
      <c r="D2489" s="32"/>
      <c r="G2489" s="32"/>
      <c r="H2489">
        <f>COUNTIFS('Audit Raw data'!J:J,B:B,'Audit Raw data'!E:E,G:G)</f>
        <v>0</v>
      </c>
      <c r="I2489" s="44" t="str">
        <f>IFERROR((SUMIFS('Audit Raw data'!BZ:BZ,'Audit Raw data'!J:J,B:B,'Audit Raw data'!E:E,G:G)/H2489)/100,"-")</f>
        <v>-</v>
      </c>
      <c r="J2489">
        <f>COUNTIFS('Audit Raw data'!AM:AM,"Yes",'Audit Raw data'!J:J,B:B,'Audit Raw data'!E:E,'Day wise agent'!G:G)</f>
        <v>0</v>
      </c>
      <c r="K2489">
        <f>COUNTIFS('Audit Raw data'!AM:AM,"NO",'Audit Raw data'!J:J,B:B,'Audit Raw data'!E:E,'Day wise agent'!G:G)</f>
        <v>0</v>
      </c>
      <c r="L2489" s="12" t="str">
        <f t="shared" si="59"/>
        <v xml:space="preserve"> </v>
      </c>
    </row>
    <row r="2490" spans="4:12" x14ac:dyDescent="0.35">
      <c r="D2490" s="32"/>
      <c r="G2490" s="32"/>
      <c r="H2490">
        <f>COUNTIFS('Audit Raw data'!J:J,B:B,'Audit Raw data'!E:E,G:G)</f>
        <v>0</v>
      </c>
      <c r="I2490" s="44" t="str">
        <f>IFERROR((SUMIFS('Audit Raw data'!BZ:BZ,'Audit Raw data'!J:J,B:B,'Audit Raw data'!E:E,G:G)/H2490)/100,"-")</f>
        <v>-</v>
      </c>
      <c r="J2490">
        <f>COUNTIFS('Audit Raw data'!AM:AM,"Yes",'Audit Raw data'!J:J,B:B,'Audit Raw data'!E:E,'Day wise agent'!G:G)</f>
        <v>0</v>
      </c>
      <c r="K2490">
        <f>COUNTIFS('Audit Raw data'!AM:AM,"NO",'Audit Raw data'!J:J,B:B,'Audit Raw data'!E:E,'Day wise agent'!G:G)</f>
        <v>0</v>
      </c>
      <c r="L2490" s="12" t="str">
        <f t="shared" si="59"/>
        <v xml:space="preserve"> </v>
      </c>
    </row>
    <row r="2491" spans="4:12" x14ac:dyDescent="0.35">
      <c r="D2491" s="32"/>
      <c r="G2491" s="32"/>
      <c r="H2491">
        <f>COUNTIFS('Audit Raw data'!J:J,B:B,'Audit Raw data'!E:E,G:G)</f>
        <v>0</v>
      </c>
      <c r="I2491" s="44" t="str">
        <f>IFERROR((SUMIFS('Audit Raw data'!BZ:BZ,'Audit Raw data'!J:J,B:B,'Audit Raw data'!E:E,G:G)/H2491)/100,"-")</f>
        <v>-</v>
      </c>
      <c r="J2491">
        <f>COUNTIFS('Audit Raw data'!AM:AM,"Yes",'Audit Raw data'!J:J,B:B,'Audit Raw data'!E:E,'Day wise agent'!G:G)</f>
        <v>0</v>
      </c>
      <c r="K2491">
        <f>COUNTIFS('Audit Raw data'!AM:AM,"NO",'Audit Raw data'!J:J,B:B,'Audit Raw data'!E:E,'Day wise agent'!G:G)</f>
        <v>0</v>
      </c>
      <c r="L2491" s="12" t="str">
        <f t="shared" si="59"/>
        <v xml:space="preserve"> </v>
      </c>
    </row>
    <row r="2492" spans="4:12" x14ac:dyDescent="0.35">
      <c r="D2492" s="32"/>
      <c r="G2492" s="32"/>
      <c r="H2492">
        <f>COUNTIFS('Audit Raw data'!J:J,B:B,'Audit Raw data'!E:E,G:G)</f>
        <v>0</v>
      </c>
      <c r="I2492" s="44" t="str">
        <f>IFERROR((SUMIFS('Audit Raw data'!BZ:BZ,'Audit Raw data'!J:J,B:B,'Audit Raw data'!E:E,G:G)/H2492)/100,"-")</f>
        <v>-</v>
      </c>
      <c r="J2492">
        <f>COUNTIFS('Audit Raw data'!AM:AM,"Yes",'Audit Raw data'!J:J,B:B,'Audit Raw data'!E:E,'Day wise agent'!G:G)</f>
        <v>0</v>
      </c>
      <c r="K2492">
        <f>COUNTIFS('Audit Raw data'!AM:AM,"NO",'Audit Raw data'!J:J,B:B,'Audit Raw data'!E:E,'Day wise agent'!G:G)</f>
        <v>0</v>
      </c>
      <c r="L2492" s="12" t="str">
        <f t="shared" si="59"/>
        <v xml:space="preserve"> </v>
      </c>
    </row>
    <row r="2493" spans="4:12" x14ac:dyDescent="0.35">
      <c r="D2493" s="32"/>
      <c r="G2493" s="32"/>
      <c r="H2493">
        <f>COUNTIFS('Audit Raw data'!J:J,B:B,'Audit Raw data'!E:E,G:G)</f>
        <v>0</v>
      </c>
      <c r="I2493" s="44" t="str">
        <f>IFERROR((SUMIFS('Audit Raw data'!BZ:BZ,'Audit Raw data'!J:J,B:B,'Audit Raw data'!E:E,G:G)/H2493)/100,"-")</f>
        <v>-</v>
      </c>
      <c r="J2493">
        <f>COUNTIFS('Audit Raw data'!AM:AM,"Yes",'Audit Raw data'!J:J,B:B,'Audit Raw data'!E:E,'Day wise agent'!G:G)</f>
        <v>0</v>
      </c>
      <c r="K2493">
        <f>COUNTIFS('Audit Raw data'!AM:AM,"NO",'Audit Raw data'!J:J,B:B,'Audit Raw data'!E:E,'Day wise agent'!G:G)</f>
        <v>0</v>
      </c>
      <c r="L2493" s="12" t="str">
        <f t="shared" si="59"/>
        <v xml:space="preserve"> </v>
      </c>
    </row>
    <row r="2494" spans="4:12" x14ac:dyDescent="0.35">
      <c r="D2494" s="32"/>
      <c r="G2494" s="32"/>
      <c r="H2494">
        <f>COUNTIFS('Audit Raw data'!J:J,B:B,'Audit Raw data'!E:E,G:G)</f>
        <v>0</v>
      </c>
      <c r="I2494" s="44" t="str">
        <f>IFERROR((SUMIFS('Audit Raw data'!BZ:BZ,'Audit Raw data'!J:J,B:B,'Audit Raw data'!E:E,G:G)/H2494)/100,"-")</f>
        <v>-</v>
      </c>
      <c r="J2494">
        <f>COUNTIFS('Audit Raw data'!AM:AM,"Yes",'Audit Raw data'!J:J,B:B,'Audit Raw data'!E:E,'Day wise agent'!G:G)</f>
        <v>0</v>
      </c>
      <c r="K2494">
        <f>COUNTIFS('Audit Raw data'!AM:AM,"NO",'Audit Raw data'!J:J,B:B,'Audit Raw data'!E:E,'Day wise agent'!G:G)</f>
        <v>0</v>
      </c>
      <c r="L2494" s="12" t="str">
        <f t="shared" si="59"/>
        <v xml:space="preserve"> </v>
      </c>
    </row>
    <row r="2495" spans="4:12" x14ac:dyDescent="0.35">
      <c r="D2495" s="32"/>
      <c r="G2495" s="32"/>
      <c r="H2495">
        <f>COUNTIFS('Audit Raw data'!J:J,B:B,'Audit Raw data'!E:E,G:G)</f>
        <v>0</v>
      </c>
      <c r="I2495" s="44" t="str">
        <f>IFERROR((SUMIFS('Audit Raw data'!BZ:BZ,'Audit Raw data'!J:J,B:B,'Audit Raw data'!E:E,G:G)/H2495)/100,"-")</f>
        <v>-</v>
      </c>
      <c r="J2495">
        <f>COUNTIFS('Audit Raw data'!AM:AM,"Yes",'Audit Raw data'!J:J,B:B,'Audit Raw data'!E:E,'Day wise agent'!G:G)</f>
        <v>0</v>
      </c>
      <c r="K2495">
        <f>COUNTIFS('Audit Raw data'!AM:AM,"NO",'Audit Raw data'!J:J,B:B,'Audit Raw data'!E:E,'Day wise agent'!G:G)</f>
        <v>0</v>
      </c>
      <c r="L2495" s="12" t="str">
        <f t="shared" si="59"/>
        <v xml:space="preserve"> </v>
      </c>
    </row>
    <row r="2496" spans="4:12" x14ac:dyDescent="0.35">
      <c r="D2496" s="32"/>
      <c r="G2496" s="32"/>
      <c r="H2496">
        <f>COUNTIFS('Audit Raw data'!J:J,B:B,'Audit Raw data'!E:E,G:G)</f>
        <v>0</v>
      </c>
      <c r="I2496" s="44" t="str">
        <f>IFERROR((SUMIFS('Audit Raw data'!BZ:BZ,'Audit Raw data'!J:J,B:B,'Audit Raw data'!E:E,G:G)/H2496)/100,"-")</f>
        <v>-</v>
      </c>
      <c r="J2496">
        <f>COUNTIFS('Audit Raw data'!AM:AM,"Yes",'Audit Raw data'!J:J,B:B,'Audit Raw data'!E:E,'Day wise agent'!G:G)</f>
        <v>0</v>
      </c>
      <c r="K2496">
        <f>COUNTIFS('Audit Raw data'!AM:AM,"NO",'Audit Raw data'!J:J,B:B,'Audit Raw data'!E:E,'Day wise agent'!G:G)</f>
        <v>0</v>
      </c>
      <c r="L2496" s="12" t="str">
        <f t="shared" si="59"/>
        <v xml:space="preserve"> </v>
      </c>
    </row>
    <row r="2497" spans="4:12" x14ac:dyDescent="0.35">
      <c r="D2497" s="32"/>
      <c r="G2497" s="32"/>
      <c r="H2497">
        <f>COUNTIFS('Audit Raw data'!J:J,B:B,'Audit Raw data'!E:E,G:G)</f>
        <v>0</v>
      </c>
      <c r="I2497" s="44" t="str">
        <f>IFERROR((SUMIFS('Audit Raw data'!BZ:BZ,'Audit Raw data'!J:J,B:B,'Audit Raw data'!E:E,G:G)/H2497)/100,"-")</f>
        <v>-</v>
      </c>
      <c r="J2497">
        <f>COUNTIFS('Audit Raw data'!AM:AM,"Yes",'Audit Raw data'!J:J,B:B,'Audit Raw data'!E:E,'Day wise agent'!G:G)</f>
        <v>0</v>
      </c>
      <c r="K2497">
        <f>COUNTIFS('Audit Raw data'!AM:AM,"NO",'Audit Raw data'!J:J,B:B,'Audit Raw data'!E:E,'Day wise agent'!G:G)</f>
        <v>0</v>
      </c>
      <c r="L2497" s="12" t="str">
        <f t="shared" si="59"/>
        <v xml:space="preserve"> </v>
      </c>
    </row>
    <row r="2498" spans="4:12" x14ac:dyDescent="0.35">
      <c r="D2498" s="32"/>
      <c r="G2498" s="32"/>
      <c r="H2498">
        <f>COUNTIFS('Audit Raw data'!J:J,B:B,'Audit Raw data'!E:E,G:G)</f>
        <v>0</v>
      </c>
      <c r="I2498" s="44" t="str">
        <f>IFERROR((SUMIFS('Audit Raw data'!BZ:BZ,'Audit Raw data'!J:J,B:B,'Audit Raw data'!E:E,G:G)/H2498)/100,"-")</f>
        <v>-</v>
      </c>
      <c r="J2498">
        <f>COUNTIFS('Audit Raw data'!AM:AM,"Yes",'Audit Raw data'!J:J,B:B,'Audit Raw data'!E:E,'Day wise agent'!G:G)</f>
        <v>0</v>
      </c>
      <c r="K2498">
        <f>COUNTIFS('Audit Raw data'!AM:AM,"NO",'Audit Raw data'!J:J,B:B,'Audit Raw data'!E:E,'Day wise agent'!G:G)</f>
        <v>0</v>
      </c>
      <c r="L2498" s="12" t="str">
        <f t="shared" ref="L2498:L2561" si="60">IFERROR(J2498/H2498," ")</f>
        <v xml:space="preserve"> </v>
      </c>
    </row>
    <row r="2499" spans="4:12" x14ac:dyDescent="0.35">
      <c r="D2499" s="32"/>
      <c r="G2499" s="32"/>
      <c r="H2499">
        <f>COUNTIFS('Audit Raw data'!J:J,B:B,'Audit Raw data'!E:E,G:G)</f>
        <v>0</v>
      </c>
      <c r="I2499" s="44" t="str">
        <f>IFERROR((SUMIFS('Audit Raw data'!BZ:BZ,'Audit Raw data'!J:J,B:B,'Audit Raw data'!E:E,G:G)/H2499)/100,"-")</f>
        <v>-</v>
      </c>
      <c r="J2499">
        <f>COUNTIFS('Audit Raw data'!AM:AM,"Yes",'Audit Raw data'!J:J,B:B,'Audit Raw data'!E:E,'Day wise agent'!G:G)</f>
        <v>0</v>
      </c>
      <c r="K2499">
        <f>COUNTIFS('Audit Raw data'!AM:AM,"NO",'Audit Raw data'!J:J,B:B,'Audit Raw data'!E:E,'Day wise agent'!G:G)</f>
        <v>0</v>
      </c>
      <c r="L2499" s="12" t="str">
        <f t="shared" si="60"/>
        <v xml:space="preserve"> </v>
      </c>
    </row>
    <row r="2500" spans="4:12" x14ac:dyDescent="0.35">
      <c r="D2500" s="32"/>
      <c r="G2500" s="32"/>
      <c r="H2500">
        <f>COUNTIFS('Audit Raw data'!J:J,B:B,'Audit Raw data'!E:E,G:G)</f>
        <v>0</v>
      </c>
      <c r="I2500" s="44" t="str">
        <f>IFERROR((SUMIFS('Audit Raw data'!BZ:BZ,'Audit Raw data'!J:J,B:B,'Audit Raw data'!E:E,G:G)/H2500)/100,"-")</f>
        <v>-</v>
      </c>
      <c r="J2500">
        <f>COUNTIFS('Audit Raw data'!AM:AM,"Yes",'Audit Raw data'!J:J,B:B,'Audit Raw data'!E:E,'Day wise agent'!G:G)</f>
        <v>0</v>
      </c>
      <c r="K2500">
        <f>COUNTIFS('Audit Raw data'!AM:AM,"NO",'Audit Raw data'!J:J,B:B,'Audit Raw data'!E:E,'Day wise agent'!G:G)</f>
        <v>0</v>
      </c>
      <c r="L2500" s="12" t="str">
        <f t="shared" si="60"/>
        <v xml:space="preserve"> </v>
      </c>
    </row>
    <row r="2501" spans="4:12" x14ac:dyDescent="0.35">
      <c r="D2501" s="32"/>
      <c r="G2501" s="32"/>
      <c r="H2501">
        <f>COUNTIFS('Audit Raw data'!J:J,B:B,'Audit Raw data'!E:E,G:G)</f>
        <v>0</v>
      </c>
      <c r="I2501" s="44" t="str">
        <f>IFERROR((SUMIFS('Audit Raw data'!BZ:BZ,'Audit Raw data'!J:J,B:B,'Audit Raw data'!E:E,G:G)/H2501)/100,"-")</f>
        <v>-</v>
      </c>
      <c r="J2501">
        <f>COUNTIFS('Audit Raw data'!AM:AM,"Yes",'Audit Raw data'!J:J,B:B,'Audit Raw data'!E:E,'Day wise agent'!G:G)</f>
        <v>0</v>
      </c>
      <c r="K2501">
        <f>COUNTIFS('Audit Raw data'!AM:AM,"NO",'Audit Raw data'!J:J,B:B,'Audit Raw data'!E:E,'Day wise agent'!G:G)</f>
        <v>0</v>
      </c>
      <c r="L2501" s="12" t="str">
        <f t="shared" si="60"/>
        <v xml:space="preserve"> </v>
      </c>
    </row>
    <row r="2502" spans="4:12" x14ac:dyDescent="0.35">
      <c r="D2502" s="32"/>
      <c r="G2502" s="32"/>
      <c r="H2502">
        <f>COUNTIFS('Audit Raw data'!J:J,B:B,'Audit Raw data'!E:E,G:G)</f>
        <v>0</v>
      </c>
      <c r="I2502" s="44" t="str">
        <f>IFERROR((SUMIFS('Audit Raw data'!BZ:BZ,'Audit Raw data'!J:J,B:B,'Audit Raw data'!E:E,G:G)/H2502)/100,"-")</f>
        <v>-</v>
      </c>
      <c r="J2502">
        <f>COUNTIFS('Audit Raw data'!AM:AM,"Yes",'Audit Raw data'!J:J,B:B,'Audit Raw data'!E:E,'Day wise agent'!G:G)</f>
        <v>0</v>
      </c>
      <c r="K2502">
        <f>COUNTIFS('Audit Raw data'!AM:AM,"NO",'Audit Raw data'!J:J,B:B,'Audit Raw data'!E:E,'Day wise agent'!G:G)</f>
        <v>0</v>
      </c>
      <c r="L2502" s="12" t="str">
        <f t="shared" si="60"/>
        <v xml:space="preserve"> </v>
      </c>
    </row>
    <row r="2503" spans="4:12" x14ac:dyDescent="0.35">
      <c r="D2503" s="32"/>
      <c r="G2503" s="32"/>
      <c r="H2503">
        <f>COUNTIFS('Audit Raw data'!J:J,B:B,'Audit Raw data'!E:E,G:G)</f>
        <v>0</v>
      </c>
      <c r="I2503" s="44" t="str">
        <f>IFERROR((SUMIFS('Audit Raw data'!BZ:BZ,'Audit Raw data'!J:J,B:B,'Audit Raw data'!E:E,G:G)/H2503)/100,"-")</f>
        <v>-</v>
      </c>
      <c r="J2503">
        <f>COUNTIFS('Audit Raw data'!AM:AM,"Yes",'Audit Raw data'!J:J,B:B,'Audit Raw data'!E:E,'Day wise agent'!G:G)</f>
        <v>0</v>
      </c>
      <c r="K2503">
        <f>COUNTIFS('Audit Raw data'!AM:AM,"NO",'Audit Raw data'!J:J,B:B,'Audit Raw data'!E:E,'Day wise agent'!G:G)</f>
        <v>0</v>
      </c>
      <c r="L2503" s="12" t="str">
        <f t="shared" si="60"/>
        <v xml:space="preserve"> </v>
      </c>
    </row>
    <row r="2504" spans="4:12" x14ac:dyDescent="0.35">
      <c r="D2504" s="32"/>
      <c r="G2504" s="32"/>
      <c r="H2504">
        <f>COUNTIFS('Audit Raw data'!J:J,B:B,'Audit Raw data'!E:E,G:G)</f>
        <v>0</v>
      </c>
      <c r="I2504" s="44" t="str">
        <f>IFERROR((SUMIFS('Audit Raw data'!BZ:BZ,'Audit Raw data'!J:J,B:B,'Audit Raw data'!E:E,G:G)/H2504)/100,"-")</f>
        <v>-</v>
      </c>
      <c r="J2504">
        <f>COUNTIFS('Audit Raw data'!AM:AM,"Yes",'Audit Raw data'!J:J,B:B,'Audit Raw data'!E:E,'Day wise agent'!G:G)</f>
        <v>0</v>
      </c>
      <c r="K2504">
        <f>COUNTIFS('Audit Raw data'!AM:AM,"NO",'Audit Raw data'!J:J,B:B,'Audit Raw data'!E:E,'Day wise agent'!G:G)</f>
        <v>0</v>
      </c>
      <c r="L2504" s="12" t="str">
        <f t="shared" si="60"/>
        <v xml:space="preserve"> </v>
      </c>
    </row>
    <row r="2505" spans="4:12" x14ac:dyDescent="0.35">
      <c r="D2505" s="32"/>
      <c r="G2505" s="32"/>
      <c r="H2505">
        <f>COUNTIFS('Audit Raw data'!J:J,B:B,'Audit Raw data'!E:E,G:G)</f>
        <v>0</v>
      </c>
      <c r="I2505" s="44" t="str">
        <f>IFERROR((SUMIFS('Audit Raw data'!BZ:BZ,'Audit Raw data'!J:J,B:B,'Audit Raw data'!E:E,G:G)/H2505)/100,"-")</f>
        <v>-</v>
      </c>
      <c r="J2505">
        <f>COUNTIFS('Audit Raw data'!AM:AM,"Yes",'Audit Raw data'!J:J,B:B,'Audit Raw data'!E:E,'Day wise agent'!G:G)</f>
        <v>0</v>
      </c>
      <c r="K2505">
        <f>COUNTIFS('Audit Raw data'!AM:AM,"NO",'Audit Raw data'!J:J,B:B,'Audit Raw data'!E:E,'Day wise agent'!G:G)</f>
        <v>0</v>
      </c>
      <c r="L2505" s="12" t="str">
        <f t="shared" si="60"/>
        <v xml:space="preserve"> </v>
      </c>
    </row>
    <row r="2506" spans="4:12" x14ac:dyDescent="0.35">
      <c r="D2506" s="32"/>
      <c r="G2506" s="32"/>
      <c r="H2506">
        <f>COUNTIFS('Audit Raw data'!J:J,B:B,'Audit Raw data'!E:E,G:G)</f>
        <v>0</v>
      </c>
      <c r="I2506" s="44" t="str">
        <f>IFERROR((SUMIFS('Audit Raw data'!BZ:BZ,'Audit Raw data'!J:J,B:B,'Audit Raw data'!E:E,G:G)/H2506)/100,"-")</f>
        <v>-</v>
      </c>
      <c r="J2506">
        <f>COUNTIFS('Audit Raw data'!AM:AM,"Yes",'Audit Raw data'!J:J,B:B,'Audit Raw data'!E:E,'Day wise agent'!G:G)</f>
        <v>0</v>
      </c>
      <c r="K2506">
        <f>COUNTIFS('Audit Raw data'!AM:AM,"NO",'Audit Raw data'!J:J,B:B,'Audit Raw data'!E:E,'Day wise agent'!G:G)</f>
        <v>0</v>
      </c>
      <c r="L2506" s="12" t="str">
        <f t="shared" si="60"/>
        <v xml:space="preserve"> </v>
      </c>
    </row>
    <row r="2507" spans="4:12" x14ac:dyDescent="0.35">
      <c r="D2507" s="32"/>
      <c r="G2507" s="32"/>
      <c r="H2507">
        <f>COUNTIFS('Audit Raw data'!J:J,B:B,'Audit Raw data'!E:E,G:G)</f>
        <v>0</v>
      </c>
      <c r="I2507" s="44" t="str">
        <f>IFERROR((SUMIFS('Audit Raw data'!BZ:BZ,'Audit Raw data'!J:J,B:B,'Audit Raw data'!E:E,G:G)/H2507)/100,"-")</f>
        <v>-</v>
      </c>
      <c r="J2507">
        <f>COUNTIFS('Audit Raw data'!AM:AM,"Yes",'Audit Raw data'!J:J,B:B,'Audit Raw data'!E:E,'Day wise agent'!G:G)</f>
        <v>0</v>
      </c>
      <c r="K2507">
        <f>COUNTIFS('Audit Raw data'!AM:AM,"NO",'Audit Raw data'!J:J,B:B,'Audit Raw data'!E:E,'Day wise agent'!G:G)</f>
        <v>0</v>
      </c>
      <c r="L2507" s="12" t="str">
        <f t="shared" si="60"/>
        <v xml:space="preserve"> </v>
      </c>
    </row>
    <row r="2508" spans="4:12" x14ac:dyDescent="0.35">
      <c r="D2508" s="32"/>
      <c r="G2508" s="32"/>
      <c r="H2508">
        <f>COUNTIFS('Audit Raw data'!J:J,B:B,'Audit Raw data'!E:E,G:G)</f>
        <v>0</v>
      </c>
      <c r="I2508" s="44" t="str">
        <f>IFERROR((SUMIFS('Audit Raw data'!BZ:BZ,'Audit Raw data'!J:J,B:B,'Audit Raw data'!E:E,G:G)/H2508)/100,"-")</f>
        <v>-</v>
      </c>
      <c r="J2508">
        <f>COUNTIFS('Audit Raw data'!AM:AM,"Yes",'Audit Raw data'!J:J,B:B,'Audit Raw data'!E:E,'Day wise agent'!G:G)</f>
        <v>0</v>
      </c>
      <c r="K2508">
        <f>COUNTIFS('Audit Raw data'!AM:AM,"NO",'Audit Raw data'!J:J,B:B,'Audit Raw data'!E:E,'Day wise agent'!G:G)</f>
        <v>0</v>
      </c>
      <c r="L2508" s="12" t="str">
        <f t="shared" si="60"/>
        <v xml:space="preserve"> </v>
      </c>
    </row>
    <row r="2509" spans="4:12" x14ac:dyDescent="0.35">
      <c r="D2509" s="32"/>
      <c r="G2509" s="32"/>
      <c r="H2509">
        <f>COUNTIFS('Audit Raw data'!J:J,B:B,'Audit Raw data'!E:E,G:G)</f>
        <v>0</v>
      </c>
      <c r="I2509" s="44" t="str">
        <f>IFERROR((SUMIFS('Audit Raw data'!BZ:BZ,'Audit Raw data'!J:J,B:B,'Audit Raw data'!E:E,G:G)/H2509)/100,"-")</f>
        <v>-</v>
      </c>
      <c r="J2509">
        <f>COUNTIFS('Audit Raw data'!AM:AM,"Yes",'Audit Raw data'!J:J,B:B,'Audit Raw data'!E:E,'Day wise agent'!G:G)</f>
        <v>0</v>
      </c>
      <c r="K2509">
        <f>COUNTIFS('Audit Raw data'!AM:AM,"NO",'Audit Raw data'!J:J,B:B,'Audit Raw data'!E:E,'Day wise agent'!G:G)</f>
        <v>0</v>
      </c>
      <c r="L2509" s="12" t="str">
        <f t="shared" si="60"/>
        <v xml:space="preserve"> </v>
      </c>
    </row>
    <row r="2510" spans="4:12" x14ac:dyDescent="0.35">
      <c r="D2510" s="32"/>
      <c r="G2510" s="32"/>
      <c r="H2510">
        <f>COUNTIFS('Audit Raw data'!J:J,B:B,'Audit Raw data'!E:E,G:G)</f>
        <v>0</v>
      </c>
      <c r="I2510" s="44" t="str">
        <f>IFERROR((SUMIFS('Audit Raw data'!BZ:BZ,'Audit Raw data'!J:J,B:B,'Audit Raw data'!E:E,G:G)/H2510)/100,"-")</f>
        <v>-</v>
      </c>
      <c r="J2510">
        <f>COUNTIFS('Audit Raw data'!AM:AM,"Yes",'Audit Raw data'!J:J,B:B,'Audit Raw data'!E:E,'Day wise agent'!G:G)</f>
        <v>0</v>
      </c>
      <c r="K2510">
        <f>COUNTIFS('Audit Raw data'!AM:AM,"NO",'Audit Raw data'!J:J,B:B,'Audit Raw data'!E:E,'Day wise agent'!G:G)</f>
        <v>0</v>
      </c>
      <c r="L2510" s="12" t="str">
        <f t="shared" si="60"/>
        <v xml:space="preserve"> </v>
      </c>
    </row>
    <row r="2511" spans="4:12" x14ac:dyDescent="0.35">
      <c r="D2511" s="32"/>
      <c r="G2511" s="32"/>
      <c r="H2511">
        <f>COUNTIFS('Audit Raw data'!J:J,B:B,'Audit Raw data'!E:E,G:G)</f>
        <v>0</v>
      </c>
      <c r="I2511" s="44" t="str">
        <f>IFERROR((SUMIFS('Audit Raw data'!BZ:BZ,'Audit Raw data'!J:J,B:B,'Audit Raw data'!E:E,G:G)/H2511)/100,"-")</f>
        <v>-</v>
      </c>
      <c r="J2511">
        <f>COUNTIFS('Audit Raw data'!AM:AM,"Yes",'Audit Raw data'!J:J,B:B,'Audit Raw data'!E:E,'Day wise agent'!G:G)</f>
        <v>0</v>
      </c>
      <c r="K2511">
        <f>COUNTIFS('Audit Raw data'!AM:AM,"NO",'Audit Raw data'!J:J,B:B,'Audit Raw data'!E:E,'Day wise agent'!G:G)</f>
        <v>0</v>
      </c>
      <c r="L2511" s="12" t="str">
        <f t="shared" si="60"/>
        <v xml:space="preserve"> </v>
      </c>
    </row>
    <row r="2512" spans="4:12" x14ac:dyDescent="0.35">
      <c r="D2512" s="32"/>
      <c r="G2512" s="32"/>
      <c r="H2512">
        <f>COUNTIFS('Audit Raw data'!J:J,B:B,'Audit Raw data'!E:E,G:G)</f>
        <v>0</v>
      </c>
      <c r="I2512" s="44" t="str">
        <f>IFERROR((SUMIFS('Audit Raw data'!BZ:BZ,'Audit Raw data'!J:J,B:B,'Audit Raw data'!E:E,G:G)/H2512)/100,"-")</f>
        <v>-</v>
      </c>
      <c r="J2512">
        <f>COUNTIFS('Audit Raw data'!AM:AM,"Yes",'Audit Raw data'!J:J,B:B,'Audit Raw data'!E:E,'Day wise agent'!G:G)</f>
        <v>0</v>
      </c>
      <c r="K2512">
        <f>COUNTIFS('Audit Raw data'!AM:AM,"NO",'Audit Raw data'!J:J,B:B,'Audit Raw data'!E:E,'Day wise agent'!G:G)</f>
        <v>0</v>
      </c>
      <c r="L2512" s="12" t="str">
        <f t="shared" si="60"/>
        <v xml:space="preserve"> </v>
      </c>
    </row>
    <row r="2513" spans="4:12" x14ac:dyDescent="0.35">
      <c r="D2513" s="32"/>
      <c r="G2513" s="32"/>
      <c r="H2513">
        <f>COUNTIFS('Audit Raw data'!J:J,B:B,'Audit Raw data'!E:E,G:G)</f>
        <v>0</v>
      </c>
      <c r="I2513" s="44" t="str">
        <f>IFERROR((SUMIFS('Audit Raw data'!BZ:BZ,'Audit Raw data'!J:J,B:B,'Audit Raw data'!E:E,G:G)/H2513)/100,"-")</f>
        <v>-</v>
      </c>
      <c r="J2513">
        <f>COUNTIFS('Audit Raw data'!AM:AM,"Yes",'Audit Raw data'!J:J,B:B,'Audit Raw data'!E:E,'Day wise agent'!G:G)</f>
        <v>0</v>
      </c>
      <c r="K2513">
        <f>COUNTIFS('Audit Raw data'!AM:AM,"NO",'Audit Raw data'!J:J,B:B,'Audit Raw data'!E:E,'Day wise agent'!G:G)</f>
        <v>0</v>
      </c>
      <c r="L2513" s="12" t="str">
        <f t="shared" si="60"/>
        <v xml:space="preserve"> </v>
      </c>
    </row>
    <row r="2514" spans="4:12" x14ac:dyDescent="0.35">
      <c r="D2514" s="32"/>
      <c r="G2514" s="32"/>
      <c r="H2514">
        <f>COUNTIFS('Audit Raw data'!J:J,B:B,'Audit Raw data'!E:E,G:G)</f>
        <v>0</v>
      </c>
      <c r="I2514" s="44" t="str">
        <f>IFERROR((SUMIFS('Audit Raw data'!BZ:BZ,'Audit Raw data'!J:J,B:B,'Audit Raw data'!E:E,G:G)/H2514)/100,"-")</f>
        <v>-</v>
      </c>
      <c r="J2514">
        <f>COUNTIFS('Audit Raw data'!AM:AM,"Yes",'Audit Raw data'!J:J,B:B,'Audit Raw data'!E:E,'Day wise agent'!G:G)</f>
        <v>0</v>
      </c>
      <c r="K2514">
        <f>COUNTIFS('Audit Raw data'!AM:AM,"NO",'Audit Raw data'!J:J,B:B,'Audit Raw data'!E:E,'Day wise agent'!G:G)</f>
        <v>0</v>
      </c>
      <c r="L2514" s="12" t="str">
        <f t="shared" si="60"/>
        <v xml:space="preserve"> </v>
      </c>
    </row>
    <row r="2515" spans="4:12" x14ac:dyDescent="0.35">
      <c r="D2515" s="32"/>
      <c r="G2515" s="32"/>
      <c r="H2515">
        <f>COUNTIFS('Audit Raw data'!J:J,B:B,'Audit Raw data'!E:E,G:G)</f>
        <v>0</v>
      </c>
      <c r="I2515" s="44" t="str">
        <f>IFERROR((SUMIFS('Audit Raw data'!BZ:BZ,'Audit Raw data'!J:J,B:B,'Audit Raw data'!E:E,G:G)/H2515)/100,"-")</f>
        <v>-</v>
      </c>
      <c r="J2515">
        <f>COUNTIFS('Audit Raw data'!AM:AM,"Yes",'Audit Raw data'!J:J,B:B,'Audit Raw data'!E:E,'Day wise agent'!G:G)</f>
        <v>0</v>
      </c>
      <c r="K2515">
        <f>COUNTIFS('Audit Raw data'!AM:AM,"NO",'Audit Raw data'!J:J,B:B,'Audit Raw data'!E:E,'Day wise agent'!G:G)</f>
        <v>0</v>
      </c>
      <c r="L2515" s="12" t="str">
        <f t="shared" si="60"/>
        <v xml:space="preserve"> </v>
      </c>
    </row>
    <row r="2516" spans="4:12" x14ac:dyDescent="0.35">
      <c r="D2516" s="32"/>
      <c r="G2516" s="32"/>
      <c r="H2516">
        <f>COUNTIFS('Audit Raw data'!J:J,B:B,'Audit Raw data'!E:E,G:G)</f>
        <v>0</v>
      </c>
      <c r="I2516" s="44" t="str">
        <f>IFERROR((SUMIFS('Audit Raw data'!BZ:BZ,'Audit Raw data'!J:J,B:B,'Audit Raw data'!E:E,G:G)/H2516)/100,"-")</f>
        <v>-</v>
      </c>
      <c r="J2516">
        <f>COUNTIFS('Audit Raw data'!AM:AM,"Yes",'Audit Raw data'!J:J,B:B,'Audit Raw data'!E:E,'Day wise agent'!G:G)</f>
        <v>0</v>
      </c>
      <c r="K2516">
        <f>COUNTIFS('Audit Raw data'!AM:AM,"NO",'Audit Raw data'!J:J,B:B,'Audit Raw data'!E:E,'Day wise agent'!G:G)</f>
        <v>0</v>
      </c>
      <c r="L2516" s="12" t="str">
        <f t="shared" si="60"/>
        <v xml:space="preserve"> </v>
      </c>
    </row>
    <row r="2517" spans="4:12" x14ac:dyDescent="0.35">
      <c r="D2517" s="32"/>
      <c r="G2517" s="32"/>
      <c r="H2517">
        <f>COUNTIFS('Audit Raw data'!J:J,B:B,'Audit Raw data'!E:E,G:G)</f>
        <v>0</v>
      </c>
      <c r="I2517" s="44" t="str">
        <f>IFERROR((SUMIFS('Audit Raw data'!BZ:BZ,'Audit Raw data'!J:J,B:B,'Audit Raw data'!E:E,G:G)/H2517)/100,"-")</f>
        <v>-</v>
      </c>
      <c r="J2517">
        <f>COUNTIFS('Audit Raw data'!AM:AM,"Yes",'Audit Raw data'!J:J,B:B,'Audit Raw data'!E:E,'Day wise agent'!G:G)</f>
        <v>0</v>
      </c>
      <c r="K2517">
        <f>COUNTIFS('Audit Raw data'!AM:AM,"NO",'Audit Raw data'!J:J,B:B,'Audit Raw data'!E:E,'Day wise agent'!G:G)</f>
        <v>0</v>
      </c>
      <c r="L2517" s="12" t="str">
        <f t="shared" si="60"/>
        <v xml:space="preserve"> </v>
      </c>
    </row>
    <row r="2518" spans="4:12" x14ac:dyDescent="0.35">
      <c r="D2518" s="32"/>
      <c r="G2518" s="32"/>
      <c r="H2518">
        <f>COUNTIFS('Audit Raw data'!J:J,B:B,'Audit Raw data'!E:E,G:G)</f>
        <v>0</v>
      </c>
      <c r="I2518" s="44" t="str">
        <f>IFERROR((SUMIFS('Audit Raw data'!BZ:BZ,'Audit Raw data'!J:J,B:B,'Audit Raw data'!E:E,G:G)/H2518)/100,"-")</f>
        <v>-</v>
      </c>
      <c r="J2518">
        <f>COUNTIFS('Audit Raw data'!AM:AM,"Yes",'Audit Raw data'!J:J,B:B,'Audit Raw data'!E:E,'Day wise agent'!G:G)</f>
        <v>0</v>
      </c>
      <c r="K2518">
        <f>COUNTIFS('Audit Raw data'!AM:AM,"NO",'Audit Raw data'!J:J,B:B,'Audit Raw data'!E:E,'Day wise agent'!G:G)</f>
        <v>0</v>
      </c>
      <c r="L2518" s="12" t="str">
        <f t="shared" si="60"/>
        <v xml:space="preserve"> </v>
      </c>
    </row>
    <row r="2519" spans="4:12" x14ac:dyDescent="0.35">
      <c r="D2519" s="32"/>
      <c r="G2519" s="32"/>
      <c r="H2519">
        <f>COUNTIFS('Audit Raw data'!J:J,B:B,'Audit Raw data'!E:E,G:G)</f>
        <v>0</v>
      </c>
      <c r="I2519" s="44" t="str">
        <f>IFERROR((SUMIFS('Audit Raw data'!BZ:BZ,'Audit Raw data'!J:J,B:B,'Audit Raw data'!E:E,G:G)/H2519)/100,"-")</f>
        <v>-</v>
      </c>
      <c r="J2519">
        <f>COUNTIFS('Audit Raw data'!AM:AM,"Yes",'Audit Raw data'!J:J,B:B,'Audit Raw data'!E:E,'Day wise agent'!G:G)</f>
        <v>0</v>
      </c>
      <c r="K2519">
        <f>COUNTIFS('Audit Raw data'!AM:AM,"NO",'Audit Raw data'!J:J,B:B,'Audit Raw data'!E:E,'Day wise agent'!G:G)</f>
        <v>0</v>
      </c>
      <c r="L2519" s="12" t="str">
        <f t="shared" si="60"/>
        <v xml:space="preserve"> </v>
      </c>
    </row>
    <row r="2520" spans="4:12" x14ac:dyDescent="0.35">
      <c r="D2520" s="32"/>
      <c r="G2520" s="32"/>
      <c r="H2520">
        <f>COUNTIFS('Audit Raw data'!J:J,B:B,'Audit Raw data'!E:E,G:G)</f>
        <v>0</v>
      </c>
      <c r="I2520" s="44" t="str">
        <f>IFERROR((SUMIFS('Audit Raw data'!BZ:BZ,'Audit Raw data'!J:J,B:B,'Audit Raw data'!E:E,G:G)/H2520)/100,"-")</f>
        <v>-</v>
      </c>
      <c r="J2520">
        <f>COUNTIFS('Audit Raw data'!AM:AM,"Yes",'Audit Raw data'!J:J,B:B,'Audit Raw data'!E:E,'Day wise agent'!G:G)</f>
        <v>0</v>
      </c>
      <c r="K2520">
        <f>COUNTIFS('Audit Raw data'!AM:AM,"NO",'Audit Raw data'!J:J,B:B,'Audit Raw data'!E:E,'Day wise agent'!G:G)</f>
        <v>0</v>
      </c>
      <c r="L2520" s="12" t="str">
        <f t="shared" si="60"/>
        <v xml:space="preserve"> </v>
      </c>
    </row>
    <row r="2521" spans="4:12" x14ac:dyDescent="0.35">
      <c r="D2521" s="32"/>
      <c r="G2521" s="32"/>
      <c r="H2521">
        <f>COUNTIFS('Audit Raw data'!J:J,B:B,'Audit Raw data'!E:E,G:G)</f>
        <v>0</v>
      </c>
      <c r="I2521" s="44" t="str">
        <f>IFERROR((SUMIFS('Audit Raw data'!BZ:BZ,'Audit Raw data'!J:J,B:B,'Audit Raw data'!E:E,G:G)/H2521)/100,"-")</f>
        <v>-</v>
      </c>
      <c r="J2521">
        <f>COUNTIFS('Audit Raw data'!AM:AM,"Yes",'Audit Raw data'!J:J,B:B,'Audit Raw data'!E:E,'Day wise agent'!G:G)</f>
        <v>0</v>
      </c>
      <c r="K2521">
        <f>COUNTIFS('Audit Raw data'!AM:AM,"NO",'Audit Raw data'!J:J,B:B,'Audit Raw data'!E:E,'Day wise agent'!G:G)</f>
        <v>0</v>
      </c>
      <c r="L2521" s="12" t="str">
        <f t="shared" si="60"/>
        <v xml:space="preserve"> </v>
      </c>
    </row>
    <row r="2522" spans="4:12" x14ac:dyDescent="0.35">
      <c r="D2522" s="32"/>
      <c r="G2522" s="32"/>
      <c r="H2522">
        <f>COUNTIFS('Audit Raw data'!J:J,B:B,'Audit Raw data'!E:E,G:G)</f>
        <v>0</v>
      </c>
      <c r="I2522" s="44" t="str">
        <f>IFERROR((SUMIFS('Audit Raw data'!BZ:BZ,'Audit Raw data'!J:J,B:B,'Audit Raw data'!E:E,G:G)/H2522)/100,"-")</f>
        <v>-</v>
      </c>
      <c r="J2522">
        <f>COUNTIFS('Audit Raw data'!AM:AM,"Yes",'Audit Raw data'!J:J,B:B,'Audit Raw data'!E:E,'Day wise agent'!G:G)</f>
        <v>0</v>
      </c>
      <c r="K2522">
        <f>COUNTIFS('Audit Raw data'!AM:AM,"NO",'Audit Raw data'!J:J,B:B,'Audit Raw data'!E:E,'Day wise agent'!G:G)</f>
        <v>0</v>
      </c>
      <c r="L2522" s="12" t="str">
        <f t="shared" si="60"/>
        <v xml:space="preserve"> </v>
      </c>
    </row>
    <row r="2523" spans="4:12" x14ac:dyDescent="0.35">
      <c r="D2523" s="32"/>
      <c r="G2523" s="32"/>
      <c r="H2523">
        <f>COUNTIFS('Audit Raw data'!J:J,B:B,'Audit Raw data'!E:E,G:G)</f>
        <v>0</v>
      </c>
      <c r="I2523" s="44" t="str">
        <f>IFERROR((SUMIFS('Audit Raw data'!BZ:BZ,'Audit Raw data'!J:J,B:B,'Audit Raw data'!E:E,G:G)/H2523)/100,"-")</f>
        <v>-</v>
      </c>
      <c r="J2523">
        <f>COUNTIFS('Audit Raw data'!AM:AM,"Yes",'Audit Raw data'!J:J,B:B,'Audit Raw data'!E:E,'Day wise agent'!G:G)</f>
        <v>0</v>
      </c>
      <c r="K2523">
        <f>COUNTIFS('Audit Raw data'!AM:AM,"NO",'Audit Raw data'!J:J,B:B,'Audit Raw data'!E:E,'Day wise agent'!G:G)</f>
        <v>0</v>
      </c>
      <c r="L2523" s="12" t="str">
        <f t="shared" si="60"/>
        <v xml:space="preserve"> </v>
      </c>
    </row>
    <row r="2524" spans="4:12" x14ac:dyDescent="0.35">
      <c r="D2524" s="32"/>
      <c r="G2524" s="32"/>
      <c r="H2524">
        <f>COUNTIFS('Audit Raw data'!J:J,B:B,'Audit Raw data'!E:E,G:G)</f>
        <v>0</v>
      </c>
      <c r="I2524" s="44" t="str">
        <f>IFERROR((SUMIFS('Audit Raw data'!BZ:BZ,'Audit Raw data'!J:J,B:B,'Audit Raw data'!E:E,G:G)/H2524)/100,"-")</f>
        <v>-</v>
      </c>
      <c r="J2524">
        <f>COUNTIFS('Audit Raw data'!AM:AM,"Yes",'Audit Raw data'!J:J,B:B,'Audit Raw data'!E:E,'Day wise agent'!G:G)</f>
        <v>0</v>
      </c>
      <c r="K2524">
        <f>COUNTIFS('Audit Raw data'!AM:AM,"NO",'Audit Raw data'!J:J,B:B,'Audit Raw data'!E:E,'Day wise agent'!G:G)</f>
        <v>0</v>
      </c>
      <c r="L2524" s="12" t="str">
        <f t="shared" si="60"/>
        <v xml:space="preserve"> </v>
      </c>
    </row>
    <row r="2525" spans="4:12" x14ac:dyDescent="0.35">
      <c r="D2525" s="32"/>
      <c r="G2525" s="32"/>
      <c r="H2525">
        <f>COUNTIFS('Audit Raw data'!J:J,B:B,'Audit Raw data'!E:E,G:G)</f>
        <v>0</v>
      </c>
      <c r="I2525" s="44" t="str">
        <f>IFERROR((SUMIFS('Audit Raw data'!BZ:BZ,'Audit Raw data'!J:J,B:B,'Audit Raw data'!E:E,G:G)/H2525)/100,"-")</f>
        <v>-</v>
      </c>
      <c r="J2525">
        <f>COUNTIFS('Audit Raw data'!AM:AM,"Yes",'Audit Raw data'!J:J,B:B,'Audit Raw data'!E:E,'Day wise agent'!G:G)</f>
        <v>0</v>
      </c>
      <c r="K2525">
        <f>COUNTIFS('Audit Raw data'!AM:AM,"NO",'Audit Raw data'!J:J,B:B,'Audit Raw data'!E:E,'Day wise agent'!G:G)</f>
        <v>0</v>
      </c>
      <c r="L2525" s="12" t="str">
        <f t="shared" si="60"/>
        <v xml:space="preserve"> </v>
      </c>
    </row>
    <row r="2526" spans="4:12" x14ac:dyDescent="0.35">
      <c r="D2526" s="32"/>
      <c r="G2526" s="32"/>
      <c r="H2526">
        <f>COUNTIFS('Audit Raw data'!J:J,B:B,'Audit Raw data'!E:E,G:G)</f>
        <v>0</v>
      </c>
      <c r="I2526" s="44" t="str">
        <f>IFERROR((SUMIFS('Audit Raw data'!BZ:BZ,'Audit Raw data'!J:J,B:B,'Audit Raw data'!E:E,G:G)/H2526)/100,"-")</f>
        <v>-</v>
      </c>
      <c r="J2526">
        <f>COUNTIFS('Audit Raw data'!AM:AM,"Yes",'Audit Raw data'!J:J,B:B,'Audit Raw data'!E:E,'Day wise agent'!G:G)</f>
        <v>0</v>
      </c>
      <c r="K2526">
        <f>COUNTIFS('Audit Raw data'!AM:AM,"NO",'Audit Raw data'!J:J,B:B,'Audit Raw data'!E:E,'Day wise agent'!G:G)</f>
        <v>0</v>
      </c>
      <c r="L2526" s="12" t="str">
        <f t="shared" si="60"/>
        <v xml:space="preserve"> </v>
      </c>
    </row>
    <row r="2527" spans="4:12" x14ac:dyDescent="0.35">
      <c r="D2527" s="32"/>
      <c r="G2527" s="32"/>
      <c r="H2527">
        <f>COUNTIFS('Audit Raw data'!J:J,B:B,'Audit Raw data'!E:E,G:G)</f>
        <v>0</v>
      </c>
      <c r="I2527" s="44" t="str">
        <f>IFERROR((SUMIFS('Audit Raw data'!BZ:BZ,'Audit Raw data'!J:J,B:B,'Audit Raw data'!E:E,G:G)/H2527)/100,"-")</f>
        <v>-</v>
      </c>
      <c r="J2527">
        <f>COUNTIFS('Audit Raw data'!AM:AM,"Yes",'Audit Raw data'!J:J,B:B,'Audit Raw data'!E:E,'Day wise agent'!G:G)</f>
        <v>0</v>
      </c>
      <c r="K2527">
        <f>COUNTIFS('Audit Raw data'!AM:AM,"NO",'Audit Raw data'!J:J,B:B,'Audit Raw data'!E:E,'Day wise agent'!G:G)</f>
        <v>0</v>
      </c>
      <c r="L2527" s="12" t="str">
        <f t="shared" si="60"/>
        <v xml:space="preserve"> </v>
      </c>
    </row>
    <row r="2528" spans="4:12" x14ac:dyDescent="0.35">
      <c r="D2528" s="32"/>
      <c r="G2528" s="32"/>
      <c r="H2528">
        <f>COUNTIFS('Audit Raw data'!J:J,B:B,'Audit Raw data'!E:E,G:G)</f>
        <v>0</v>
      </c>
      <c r="I2528" s="44" t="str">
        <f>IFERROR((SUMIFS('Audit Raw data'!BZ:BZ,'Audit Raw data'!J:J,B:B,'Audit Raw data'!E:E,G:G)/H2528)/100,"-")</f>
        <v>-</v>
      </c>
      <c r="J2528">
        <f>COUNTIFS('Audit Raw data'!AM:AM,"Yes",'Audit Raw data'!J:J,B:B,'Audit Raw data'!E:E,'Day wise agent'!G:G)</f>
        <v>0</v>
      </c>
      <c r="K2528">
        <f>COUNTIFS('Audit Raw data'!AM:AM,"NO",'Audit Raw data'!J:J,B:B,'Audit Raw data'!E:E,'Day wise agent'!G:G)</f>
        <v>0</v>
      </c>
      <c r="L2528" s="12" t="str">
        <f t="shared" si="60"/>
        <v xml:space="preserve"> </v>
      </c>
    </row>
    <row r="2529" spans="4:12" x14ac:dyDescent="0.35">
      <c r="D2529" s="32"/>
      <c r="G2529" s="32"/>
      <c r="H2529">
        <f>COUNTIFS('Audit Raw data'!J:J,B:B,'Audit Raw data'!E:E,G:G)</f>
        <v>0</v>
      </c>
      <c r="I2529" s="44" t="str">
        <f>IFERROR((SUMIFS('Audit Raw data'!BZ:BZ,'Audit Raw data'!J:J,B:B,'Audit Raw data'!E:E,G:G)/H2529)/100,"-")</f>
        <v>-</v>
      </c>
      <c r="J2529">
        <f>COUNTIFS('Audit Raw data'!AM:AM,"Yes",'Audit Raw data'!J:J,B:B,'Audit Raw data'!E:E,'Day wise agent'!G:G)</f>
        <v>0</v>
      </c>
      <c r="K2529">
        <f>COUNTIFS('Audit Raw data'!AM:AM,"NO",'Audit Raw data'!J:J,B:B,'Audit Raw data'!E:E,'Day wise agent'!G:G)</f>
        <v>0</v>
      </c>
      <c r="L2529" s="12" t="str">
        <f t="shared" si="60"/>
        <v xml:space="preserve"> </v>
      </c>
    </row>
    <row r="2530" spans="4:12" x14ac:dyDescent="0.35">
      <c r="D2530" s="32"/>
      <c r="G2530" s="32"/>
      <c r="H2530">
        <f>COUNTIFS('Audit Raw data'!J:J,B:B,'Audit Raw data'!E:E,G:G)</f>
        <v>0</v>
      </c>
      <c r="I2530" s="44" t="str">
        <f>IFERROR((SUMIFS('Audit Raw data'!BZ:BZ,'Audit Raw data'!J:J,B:B,'Audit Raw data'!E:E,G:G)/H2530)/100,"-")</f>
        <v>-</v>
      </c>
      <c r="J2530">
        <f>COUNTIFS('Audit Raw data'!AM:AM,"Yes",'Audit Raw data'!J:J,B:B,'Audit Raw data'!E:E,'Day wise agent'!G:G)</f>
        <v>0</v>
      </c>
      <c r="K2530">
        <f>COUNTIFS('Audit Raw data'!AM:AM,"NO",'Audit Raw data'!J:J,B:B,'Audit Raw data'!E:E,'Day wise agent'!G:G)</f>
        <v>0</v>
      </c>
      <c r="L2530" s="12" t="str">
        <f t="shared" si="60"/>
        <v xml:space="preserve"> </v>
      </c>
    </row>
    <row r="2531" spans="4:12" x14ac:dyDescent="0.35">
      <c r="D2531" s="32"/>
      <c r="G2531" s="32"/>
      <c r="H2531">
        <f>COUNTIFS('Audit Raw data'!J:J,B:B,'Audit Raw data'!E:E,G:G)</f>
        <v>0</v>
      </c>
      <c r="I2531" s="44" t="str">
        <f>IFERROR((SUMIFS('Audit Raw data'!BZ:BZ,'Audit Raw data'!J:J,B:B,'Audit Raw data'!E:E,G:G)/H2531)/100,"-")</f>
        <v>-</v>
      </c>
      <c r="J2531">
        <f>COUNTIFS('Audit Raw data'!AM:AM,"Yes",'Audit Raw data'!J:J,B:B,'Audit Raw data'!E:E,'Day wise agent'!G:G)</f>
        <v>0</v>
      </c>
      <c r="K2531">
        <f>COUNTIFS('Audit Raw data'!AM:AM,"NO",'Audit Raw data'!J:J,B:B,'Audit Raw data'!E:E,'Day wise agent'!G:G)</f>
        <v>0</v>
      </c>
      <c r="L2531" s="12" t="str">
        <f t="shared" si="60"/>
        <v xml:space="preserve"> </v>
      </c>
    </row>
    <row r="2532" spans="4:12" x14ac:dyDescent="0.35">
      <c r="D2532" s="32"/>
      <c r="G2532" s="32"/>
      <c r="H2532">
        <f>COUNTIFS('Audit Raw data'!J:J,B:B,'Audit Raw data'!E:E,G:G)</f>
        <v>0</v>
      </c>
      <c r="I2532" s="44" t="str">
        <f>IFERROR((SUMIFS('Audit Raw data'!BZ:BZ,'Audit Raw data'!J:J,B:B,'Audit Raw data'!E:E,G:G)/H2532)/100,"-")</f>
        <v>-</v>
      </c>
      <c r="J2532">
        <f>COUNTIFS('Audit Raw data'!AM:AM,"Yes",'Audit Raw data'!J:J,B:B,'Audit Raw data'!E:E,'Day wise agent'!G:G)</f>
        <v>0</v>
      </c>
      <c r="K2532">
        <f>COUNTIFS('Audit Raw data'!AM:AM,"NO",'Audit Raw data'!J:J,B:B,'Audit Raw data'!E:E,'Day wise agent'!G:G)</f>
        <v>0</v>
      </c>
      <c r="L2532" s="12" t="str">
        <f t="shared" si="60"/>
        <v xml:space="preserve"> </v>
      </c>
    </row>
    <row r="2533" spans="4:12" x14ac:dyDescent="0.35">
      <c r="D2533" s="32"/>
      <c r="G2533" s="32"/>
      <c r="H2533">
        <f>COUNTIFS('Audit Raw data'!J:J,B:B,'Audit Raw data'!E:E,G:G)</f>
        <v>0</v>
      </c>
      <c r="I2533" s="44" t="str">
        <f>IFERROR((SUMIFS('Audit Raw data'!BZ:BZ,'Audit Raw data'!J:J,B:B,'Audit Raw data'!E:E,G:G)/H2533)/100,"-")</f>
        <v>-</v>
      </c>
      <c r="J2533">
        <f>COUNTIFS('Audit Raw data'!AM:AM,"Yes",'Audit Raw data'!J:J,B:B,'Audit Raw data'!E:E,'Day wise agent'!G:G)</f>
        <v>0</v>
      </c>
      <c r="K2533">
        <f>COUNTIFS('Audit Raw data'!AM:AM,"NO",'Audit Raw data'!J:J,B:B,'Audit Raw data'!E:E,'Day wise agent'!G:G)</f>
        <v>0</v>
      </c>
      <c r="L2533" s="12" t="str">
        <f t="shared" si="60"/>
        <v xml:space="preserve"> </v>
      </c>
    </row>
    <row r="2534" spans="4:12" x14ac:dyDescent="0.35">
      <c r="D2534" s="32"/>
      <c r="G2534" s="32"/>
      <c r="H2534">
        <f>COUNTIFS('Audit Raw data'!J:J,B:B,'Audit Raw data'!E:E,G:G)</f>
        <v>0</v>
      </c>
      <c r="I2534" s="44" t="str">
        <f>IFERROR((SUMIFS('Audit Raw data'!BZ:BZ,'Audit Raw data'!J:J,B:B,'Audit Raw data'!E:E,G:G)/H2534)/100,"-")</f>
        <v>-</v>
      </c>
      <c r="J2534">
        <f>COUNTIFS('Audit Raw data'!AM:AM,"Yes",'Audit Raw data'!J:J,B:B,'Audit Raw data'!E:E,'Day wise agent'!G:G)</f>
        <v>0</v>
      </c>
      <c r="K2534">
        <f>COUNTIFS('Audit Raw data'!AM:AM,"NO",'Audit Raw data'!J:J,B:B,'Audit Raw data'!E:E,'Day wise agent'!G:G)</f>
        <v>0</v>
      </c>
      <c r="L2534" s="12" t="str">
        <f t="shared" si="60"/>
        <v xml:space="preserve"> </v>
      </c>
    </row>
    <row r="2535" spans="4:12" x14ac:dyDescent="0.35">
      <c r="D2535" s="32"/>
      <c r="G2535" s="32"/>
      <c r="H2535">
        <f>COUNTIFS('Audit Raw data'!J:J,B:B,'Audit Raw data'!E:E,G:G)</f>
        <v>0</v>
      </c>
      <c r="I2535" s="44" t="str">
        <f>IFERROR((SUMIFS('Audit Raw data'!BZ:BZ,'Audit Raw data'!J:J,B:B,'Audit Raw data'!E:E,G:G)/H2535)/100,"-")</f>
        <v>-</v>
      </c>
      <c r="J2535">
        <f>COUNTIFS('Audit Raw data'!AM:AM,"Yes",'Audit Raw data'!J:J,B:B,'Audit Raw data'!E:E,'Day wise agent'!G:G)</f>
        <v>0</v>
      </c>
      <c r="K2535">
        <f>COUNTIFS('Audit Raw data'!AM:AM,"NO",'Audit Raw data'!J:J,B:B,'Audit Raw data'!E:E,'Day wise agent'!G:G)</f>
        <v>0</v>
      </c>
      <c r="L2535" s="12" t="str">
        <f t="shared" si="60"/>
        <v xml:space="preserve"> </v>
      </c>
    </row>
    <row r="2536" spans="4:12" x14ac:dyDescent="0.35">
      <c r="D2536" s="32"/>
      <c r="G2536" s="32"/>
      <c r="H2536">
        <f>COUNTIFS('Audit Raw data'!J:J,B:B,'Audit Raw data'!E:E,G:G)</f>
        <v>0</v>
      </c>
      <c r="I2536" s="44" t="str">
        <f>IFERROR((SUMIFS('Audit Raw data'!BZ:BZ,'Audit Raw data'!J:J,B:B,'Audit Raw data'!E:E,G:G)/H2536)/100,"-")</f>
        <v>-</v>
      </c>
      <c r="J2536">
        <f>COUNTIFS('Audit Raw data'!AM:AM,"Yes",'Audit Raw data'!J:J,B:B,'Audit Raw data'!E:E,'Day wise agent'!G:G)</f>
        <v>0</v>
      </c>
      <c r="K2536">
        <f>COUNTIFS('Audit Raw data'!AM:AM,"NO",'Audit Raw data'!J:J,B:B,'Audit Raw data'!E:E,'Day wise agent'!G:G)</f>
        <v>0</v>
      </c>
      <c r="L2536" s="12" t="str">
        <f t="shared" si="60"/>
        <v xml:space="preserve"> </v>
      </c>
    </row>
    <row r="2537" spans="4:12" x14ac:dyDescent="0.35">
      <c r="D2537" s="32"/>
      <c r="G2537" s="32"/>
      <c r="H2537">
        <f>COUNTIFS('Audit Raw data'!J:J,B:B,'Audit Raw data'!E:E,G:G)</f>
        <v>0</v>
      </c>
      <c r="I2537" s="44" t="str">
        <f>IFERROR((SUMIFS('Audit Raw data'!BZ:BZ,'Audit Raw data'!J:J,B:B,'Audit Raw data'!E:E,G:G)/H2537)/100,"-")</f>
        <v>-</v>
      </c>
      <c r="J2537">
        <f>COUNTIFS('Audit Raw data'!AM:AM,"Yes",'Audit Raw data'!J:J,B:B,'Audit Raw data'!E:E,'Day wise agent'!G:G)</f>
        <v>0</v>
      </c>
      <c r="K2537">
        <f>COUNTIFS('Audit Raw data'!AM:AM,"NO",'Audit Raw data'!J:J,B:B,'Audit Raw data'!E:E,'Day wise agent'!G:G)</f>
        <v>0</v>
      </c>
      <c r="L2537" s="12" t="str">
        <f t="shared" si="60"/>
        <v xml:space="preserve"> </v>
      </c>
    </row>
    <row r="2538" spans="4:12" x14ac:dyDescent="0.35">
      <c r="D2538" s="32"/>
      <c r="G2538" s="32"/>
      <c r="H2538">
        <f>COUNTIFS('Audit Raw data'!J:J,B:B,'Audit Raw data'!E:E,G:G)</f>
        <v>0</v>
      </c>
      <c r="I2538" s="44" t="str">
        <f>IFERROR((SUMIFS('Audit Raw data'!BZ:BZ,'Audit Raw data'!J:J,B:B,'Audit Raw data'!E:E,G:G)/H2538)/100,"-")</f>
        <v>-</v>
      </c>
      <c r="J2538">
        <f>COUNTIFS('Audit Raw data'!AM:AM,"Yes",'Audit Raw data'!J:J,B:B,'Audit Raw data'!E:E,'Day wise agent'!G:G)</f>
        <v>0</v>
      </c>
      <c r="K2538">
        <f>COUNTIFS('Audit Raw data'!AM:AM,"NO",'Audit Raw data'!J:J,B:B,'Audit Raw data'!E:E,'Day wise agent'!G:G)</f>
        <v>0</v>
      </c>
      <c r="L2538" s="12" t="str">
        <f t="shared" si="60"/>
        <v xml:space="preserve"> </v>
      </c>
    </row>
    <row r="2539" spans="4:12" x14ac:dyDescent="0.35">
      <c r="D2539" s="32"/>
      <c r="G2539" s="32"/>
      <c r="H2539">
        <f>COUNTIFS('Audit Raw data'!J:J,B:B,'Audit Raw data'!E:E,G:G)</f>
        <v>0</v>
      </c>
      <c r="I2539" s="44" t="str">
        <f>IFERROR((SUMIFS('Audit Raw data'!BZ:BZ,'Audit Raw data'!J:J,B:B,'Audit Raw data'!E:E,G:G)/H2539)/100,"-")</f>
        <v>-</v>
      </c>
      <c r="J2539">
        <f>COUNTIFS('Audit Raw data'!AM:AM,"Yes",'Audit Raw data'!J:J,B:B,'Audit Raw data'!E:E,'Day wise agent'!G:G)</f>
        <v>0</v>
      </c>
      <c r="K2539">
        <f>COUNTIFS('Audit Raw data'!AM:AM,"NO",'Audit Raw data'!J:J,B:B,'Audit Raw data'!E:E,'Day wise agent'!G:G)</f>
        <v>0</v>
      </c>
      <c r="L2539" s="12" t="str">
        <f t="shared" si="60"/>
        <v xml:space="preserve"> </v>
      </c>
    </row>
    <row r="2540" spans="4:12" x14ac:dyDescent="0.35">
      <c r="D2540" s="32"/>
      <c r="G2540" s="32"/>
      <c r="H2540">
        <f>COUNTIFS('Audit Raw data'!J:J,B:B,'Audit Raw data'!E:E,G:G)</f>
        <v>0</v>
      </c>
      <c r="I2540" s="44" t="str">
        <f>IFERROR((SUMIFS('Audit Raw data'!BZ:BZ,'Audit Raw data'!J:J,B:B,'Audit Raw data'!E:E,G:G)/H2540)/100,"-")</f>
        <v>-</v>
      </c>
      <c r="J2540">
        <f>COUNTIFS('Audit Raw data'!AM:AM,"Yes",'Audit Raw data'!J:J,B:B,'Audit Raw data'!E:E,'Day wise agent'!G:G)</f>
        <v>0</v>
      </c>
      <c r="K2540">
        <f>COUNTIFS('Audit Raw data'!AM:AM,"NO",'Audit Raw data'!J:J,B:B,'Audit Raw data'!E:E,'Day wise agent'!G:G)</f>
        <v>0</v>
      </c>
      <c r="L2540" s="12" t="str">
        <f t="shared" si="60"/>
        <v xml:space="preserve"> </v>
      </c>
    </row>
    <row r="2541" spans="4:12" x14ac:dyDescent="0.35">
      <c r="D2541" s="32"/>
      <c r="G2541" s="32"/>
      <c r="H2541">
        <f>COUNTIFS('Audit Raw data'!J:J,B:B,'Audit Raw data'!E:E,G:G)</f>
        <v>0</v>
      </c>
      <c r="I2541" s="44" t="str">
        <f>IFERROR((SUMIFS('Audit Raw data'!BZ:BZ,'Audit Raw data'!J:J,B:B,'Audit Raw data'!E:E,G:G)/H2541)/100,"-")</f>
        <v>-</v>
      </c>
      <c r="J2541">
        <f>COUNTIFS('Audit Raw data'!AM:AM,"Yes",'Audit Raw data'!J:J,B:B,'Audit Raw data'!E:E,'Day wise agent'!G:G)</f>
        <v>0</v>
      </c>
      <c r="K2541">
        <f>COUNTIFS('Audit Raw data'!AM:AM,"NO",'Audit Raw data'!J:J,B:B,'Audit Raw data'!E:E,'Day wise agent'!G:G)</f>
        <v>0</v>
      </c>
      <c r="L2541" s="12" t="str">
        <f t="shared" si="60"/>
        <v xml:space="preserve"> </v>
      </c>
    </row>
    <row r="2542" spans="4:12" x14ac:dyDescent="0.35">
      <c r="D2542" s="32"/>
      <c r="G2542" s="32"/>
      <c r="H2542">
        <f>COUNTIFS('Audit Raw data'!J:J,B:B,'Audit Raw data'!E:E,G:G)</f>
        <v>0</v>
      </c>
      <c r="I2542" s="44" t="str">
        <f>IFERROR((SUMIFS('Audit Raw data'!BZ:BZ,'Audit Raw data'!J:J,B:B,'Audit Raw data'!E:E,G:G)/H2542)/100,"-")</f>
        <v>-</v>
      </c>
      <c r="J2542">
        <f>COUNTIFS('Audit Raw data'!AM:AM,"Yes",'Audit Raw data'!J:J,B:B,'Audit Raw data'!E:E,'Day wise agent'!G:G)</f>
        <v>0</v>
      </c>
      <c r="K2542">
        <f>COUNTIFS('Audit Raw data'!AM:AM,"NO",'Audit Raw data'!J:J,B:B,'Audit Raw data'!E:E,'Day wise agent'!G:G)</f>
        <v>0</v>
      </c>
      <c r="L2542" s="12" t="str">
        <f t="shared" si="60"/>
        <v xml:space="preserve"> </v>
      </c>
    </row>
    <row r="2543" spans="4:12" x14ac:dyDescent="0.35">
      <c r="D2543" s="32"/>
      <c r="G2543" s="32"/>
      <c r="H2543">
        <f>COUNTIFS('Audit Raw data'!J:J,B:B,'Audit Raw data'!E:E,G:G)</f>
        <v>0</v>
      </c>
      <c r="I2543" s="44" t="str">
        <f>IFERROR((SUMIFS('Audit Raw data'!BZ:BZ,'Audit Raw data'!J:J,B:B,'Audit Raw data'!E:E,G:G)/H2543)/100,"-")</f>
        <v>-</v>
      </c>
      <c r="J2543">
        <f>COUNTIFS('Audit Raw data'!AM:AM,"Yes",'Audit Raw data'!J:J,B:B,'Audit Raw data'!E:E,'Day wise agent'!G:G)</f>
        <v>0</v>
      </c>
      <c r="K2543">
        <f>COUNTIFS('Audit Raw data'!AM:AM,"NO",'Audit Raw data'!J:J,B:B,'Audit Raw data'!E:E,'Day wise agent'!G:G)</f>
        <v>0</v>
      </c>
      <c r="L2543" s="12" t="str">
        <f t="shared" si="60"/>
        <v xml:space="preserve"> </v>
      </c>
    </row>
    <row r="2544" spans="4:12" x14ac:dyDescent="0.35">
      <c r="D2544" s="32"/>
      <c r="G2544" s="32"/>
      <c r="H2544">
        <f>COUNTIFS('Audit Raw data'!J:J,B:B,'Audit Raw data'!E:E,G:G)</f>
        <v>0</v>
      </c>
      <c r="I2544" s="44" t="str">
        <f>IFERROR((SUMIFS('Audit Raw data'!BZ:BZ,'Audit Raw data'!J:J,B:B,'Audit Raw data'!E:E,G:G)/H2544)/100,"-")</f>
        <v>-</v>
      </c>
      <c r="J2544">
        <f>COUNTIFS('Audit Raw data'!AM:AM,"Yes",'Audit Raw data'!J:J,B:B,'Audit Raw data'!E:E,'Day wise agent'!G:G)</f>
        <v>0</v>
      </c>
      <c r="K2544">
        <f>COUNTIFS('Audit Raw data'!AM:AM,"NO",'Audit Raw data'!J:J,B:B,'Audit Raw data'!E:E,'Day wise agent'!G:G)</f>
        <v>0</v>
      </c>
      <c r="L2544" s="12" t="str">
        <f t="shared" si="60"/>
        <v xml:space="preserve"> </v>
      </c>
    </row>
    <row r="2545" spans="4:12" x14ac:dyDescent="0.35">
      <c r="D2545" s="32"/>
      <c r="G2545" s="32"/>
      <c r="H2545">
        <f>COUNTIFS('Audit Raw data'!J:J,B:B,'Audit Raw data'!E:E,G:G)</f>
        <v>0</v>
      </c>
      <c r="I2545" s="44" t="str">
        <f>IFERROR((SUMIFS('Audit Raw data'!BZ:BZ,'Audit Raw data'!J:J,B:B,'Audit Raw data'!E:E,G:G)/H2545)/100,"-")</f>
        <v>-</v>
      </c>
      <c r="J2545">
        <f>COUNTIFS('Audit Raw data'!AM:AM,"Yes",'Audit Raw data'!J:J,B:B,'Audit Raw data'!E:E,'Day wise agent'!G:G)</f>
        <v>0</v>
      </c>
      <c r="K2545">
        <f>COUNTIFS('Audit Raw data'!AM:AM,"NO",'Audit Raw data'!J:J,B:B,'Audit Raw data'!E:E,'Day wise agent'!G:G)</f>
        <v>0</v>
      </c>
      <c r="L2545" s="12" t="str">
        <f t="shared" si="60"/>
        <v xml:space="preserve"> </v>
      </c>
    </row>
    <row r="2546" spans="4:12" x14ac:dyDescent="0.35">
      <c r="D2546" s="32"/>
      <c r="G2546" s="32"/>
      <c r="H2546">
        <f>COUNTIFS('Audit Raw data'!J:J,B:B,'Audit Raw data'!E:E,G:G)</f>
        <v>0</v>
      </c>
      <c r="I2546" s="44" t="str">
        <f>IFERROR((SUMIFS('Audit Raw data'!BZ:BZ,'Audit Raw data'!J:J,B:B,'Audit Raw data'!E:E,G:G)/H2546)/100,"-")</f>
        <v>-</v>
      </c>
      <c r="J2546">
        <f>COUNTIFS('Audit Raw data'!AM:AM,"Yes",'Audit Raw data'!J:J,B:B,'Audit Raw data'!E:E,'Day wise agent'!G:G)</f>
        <v>0</v>
      </c>
      <c r="K2546">
        <f>COUNTIFS('Audit Raw data'!AM:AM,"NO",'Audit Raw data'!J:J,B:B,'Audit Raw data'!E:E,'Day wise agent'!G:G)</f>
        <v>0</v>
      </c>
      <c r="L2546" s="12" t="str">
        <f t="shared" si="60"/>
        <v xml:space="preserve"> </v>
      </c>
    </row>
    <row r="2547" spans="4:12" x14ac:dyDescent="0.35">
      <c r="D2547" s="32"/>
      <c r="G2547" s="32"/>
      <c r="H2547">
        <f>COUNTIFS('Audit Raw data'!J:J,B:B,'Audit Raw data'!E:E,G:G)</f>
        <v>0</v>
      </c>
      <c r="I2547" s="44" t="str">
        <f>IFERROR((SUMIFS('Audit Raw data'!BZ:BZ,'Audit Raw data'!J:J,B:B,'Audit Raw data'!E:E,G:G)/H2547)/100,"-")</f>
        <v>-</v>
      </c>
      <c r="J2547">
        <f>COUNTIFS('Audit Raw data'!AM:AM,"Yes",'Audit Raw data'!J:J,B:B,'Audit Raw data'!E:E,'Day wise agent'!G:G)</f>
        <v>0</v>
      </c>
      <c r="K2547">
        <f>COUNTIFS('Audit Raw data'!AM:AM,"NO",'Audit Raw data'!J:J,B:B,'Audit Raw data'!E:E,'Day wise agent'!G:G)</f>
        <v>0</v>
      </c>
      <c r="L2547" s="12" t="str">
        <f t="shared" si="60"/>
        <v xml:space="preserve"> </v>
      </c>
    </row>
    <row r="2548" spans="4:12" x14ac:dyDescent="0.35">
      <c r="D2548" s="32"/>
      <c r="G2548" s="32"/>
      <c r="H2548">
        <f>COUNTIFS('Audit Raw data'!J:J,B:B,'Audit Raw data'!E:E,G:G)</f>
        <v>0</v>
      </c>
      <c r="I2548" s="44" t="str">
        <f>IFERROR((SUMIFS('Audit Raw data'!BZ:BZ,'Audit Raw data'!J:J,B:B,'Audit Raw data'!E:E,G:G)/H2548)/100,"-")</f>
        <v>-</v>
      </c>
      <c r="J2548">
        <f>COUNTIFS('Audit Raw data'!AM:AM,"Yes",'Audit Raw data'!J:J,B:B,'Audit Raw data'!E:E,'Day wise agent'!G:G)</f>
        <v>0</v>
      </c>
      <c r="K2548">
        <f>COUNTIFS('Audit Raw data'!AM:AM,"NO",'Audit Raw data'!J:J,B:B,'Audit Raw data'!E:E,'Day wise agent'!G:G)</f>
        <v>0</v>
      </c>
      <c r="L2548" s="12" t="str">
        <f t="shared" si="60"/>
        <v xml:space="preserve"> </v>
      </c>
    </row>
    <row r="2549" spans="4:12" x14ac:dyDescent="0.35">
      <c r="D2549" s="32"/>
      <c r="G2549" s="32"/>
      <c r="H2549">
        <f>COUNTIFS('Audit Raw data'!J:J,B:B,'Audit Raw data'!E:E,G:G)</f>
        <v>0</v>
      </c>
      <c r="I2549" s="44" t="str">
        <f>IFERROR((SUMIFS('Audit Raw data'!BZ:BZ,'Audit Raw data'!J:J,B:B,'Audit Raw data'!E:E,G:G)/H2549)/100,"-")</f>
        <v>-</v>
      </c>
      <c r="J2549">
        <f>COUNTIFS('Audit Raw data'!AM:AM,"Yes",'Audit Raw data'!J:J,B:B,'Audit Raw data'!E:E,'Day wise agent'!G:G)</f>
        <v>0</v>
      </c>
      <c r="K2549">
        <f>COUNTIFS('Audit Raw data'!AM:AM,"NO",'Audit Raw data'!J:J,B:B,'Audit Raw data'!E:E,'Day wise agent'!G:G)</f>
        <v>0</v>
      </c>
      <c r="L2549" s="12" t="str">
        <f t="shared" si="60"/>
        <v xml:space="preserve"> </v>
      </c>
    </row>
    <row r="2550" spans="4:12" x14ac:dyDescent="0.35">
      <c r="D2550" s="32"/>
      <c r="G2550" s="32"/>
      <c r="H2550">
        <f>COUNTIFS('Audit Raw data'!J:J,B:B,'Audit Raw data'!E:E,G:G)</f>
        <v>0</v>
      </c>
      <c r="I2550" s="44" t="str">
        <f>IFERROR((SUMIFS('Audit Raw data'!BZ:BZ,'Audit Raw data'!J:J,B:B,'Audit Raw data'!E:E,G:G)/H2550)/100,"-")</f>
        <v>-</v>
      </c>
      <c r="J2550">
        <f>COUNTIFS('Audit Raw data'!AM:AM,"Yes",'Audit Raw data'!J:J,B:B,'Audit Raw data'!E:E,'Day wise agent'!G:G)</f>
        <v>0</v>
      </c>
      <c r="K2550">
        <f>COUNTIFS('Audit Raw data'!AM:AM,"NO",'Audit Raw data'!J:J,B:B,'Audit Raw data'!E:E,'Day wise agent'!G:G)</f>
        <v>0</v>
      </c>
      <c r="L2550" s="12" t="str">
        <f t="shared" si="60"/>
        <v xml:space="preserve"> </v>
      </c>
    </row>
    <row r="2551" spans="4:12" x14ac:dyDescent="0.35">
      <c r="D2551" s="32"/>
      <c r="G2551" s="32"/>
      <c r="H2551">
        <f>COUNTIFS('Audit Raw data'!J:J,B:B,'Audit Raw data'!E:E,G:G)</f>
        <v>0</v>
      </c>
      <c r="I2551" s="44" t="str">
        <f>IFERROR((SUMIFS('Audit Raw data'!BZ:BZ,'Audit Raw data'!J:J,B:B,'Audit Raw data'!E:E,G:G)/H2551)/100,"-")</f>
        <v>-</v>
      </c>
      <c r="J2551">
        <f>COUNTIFS('Audit Raw data'!AM:AM,"Yes",'Audit Raw data'!J:J,B:B,'Audit Raw data'!E:E,'Day wise agent'!G:G)</f>
        <v>0</v>
      </c>
      <c r="K2551">
        <f>COUNTIFS('Audit Raw data'!AM:AM,"NO",'Audit Raw data'!J:J,B:B,'Audit Raw data'!E:E,'Day wise agent'!G:G)</f>
        <v>0</v>
      </c>
      <c r="L2551" s="12" t="str">
        <f t="shared" si="60"/>
        <v xml:space="preserve"> </v>
      </c>
    </row>
    <row r="2552" spans="4:12" x14ac:dyDescent="0.35">
      <c r="D2552" s="32"/>
      <c r="G2552" s="32"/>
      <c r="H2552">
        <f>COUNTIFS('Audit Raw data'!J:J,B:B,'Audit Raw data'!E:E,G:G)</f>
        <v>0</v>
      </c>
      <c r="I2552" s="44" t="str">
        <f>IFERROR((SUMIFS('Audit Raw data'!BZ:BZ,'Audit Raw data'!J:J,B:B,'Audit Raw data'!E:E,G:G)/H2552)/100,"-")</f>
        <v>-</v>
      </c>
      <c r="J2552">
        <f>COUNTIFS('Audit Raw data'!AM:AM,"Yes",'Audit Raw data'!J:J,B:B,'Audit Raw data'!E:E,'Day wise agent'!G:G)</f>
        <v>0</v>
      </c>
      <c r="K2552">
        <f>COUNTIFS('Audit Raw data'!AM:AM,"NO",'Audit Raw data'!J:J,B:B,'Audit Raw data'!E:E,'Day wise agent'!G:G)</f>
        <v>0</v>
      </c>
      <c r="L2552" s="12" t="str">
        <f t="shared" si="60"/>
        <v xml:space="preserve"> </v>
      </c>
    </row>
    <row r="2553" spans="4:12" x14ac:dyDescent="0.35">
      <c r="D2553" s="32"/>
      <c r="G2553" s="32"/>
      <c r="H2553">
        <f>COUNTIFS('Audit Raw data'!J:J,B:B,'Audit Raw data'!E:E,G:G)</f>
        <v>0</v>
      </c>
      <c r="I2553" s="44" t="str">
        <f>IFERROR((SUMIFS('Audit Raw data'!BZ:BZ,'Audit Raw data'!J:J,B:B,'Audit Raw data'!E:E,G:G)/H2553)/100,"-")</f>
        <v>-</v>
      </c>
      <c r="J2553">
        <f>COUNTIFS('Audit Raw data'!AM:AM,"Yes",'Audit Raw data'!J:J,B:B,'Audit Raw data'!E:E,'Day wise agent'!G:G)</f>
        <v>0</v>
      </c>
      <c r="K2553">
        <f>COUNTIFS('Audit Raw data'!AM:AM,"NO",'Audit Raw data'!J:J,B:B,'Audit Raw data'!E:E,'Day wise agent'!G:G)</f>
        <v>0</v>
      </c>
      <c r="L2553" s="12" t="str">
        <f t="shared" si="60"/>
        <v xml:space="preserve"> </v>
      </c>
    </row>
    <row r="2554" spans="4:12" x14ac:dyDescent="0.35">
      <c r="D2554" s="32"/>
      <c r="G2554" s="32"/>
      <c r="H2554">
        <f>COUNTIFS('Audit Raw data'!J:J,B:B,'Audit Raw data'!E:E,G:G)</f>
        <v>0</v>
      </c>
      <c r="I2554" s="44" t="str">
        <f>IFERROR((SUMIFS('Audit Raw data'!BZ:BZ,'Audit Raw data'!J:J,B:B,'Audit Raw data'!E:E,G:G)/H2554)/100,"-")</f>
        <v>-</v>
      </c>
      <c r="J2554">
        <f>COUNTIFS('Audit Raw data'!AM:AM,"Yes",'Audit Raw data'!J:J,B:B,'Audit Raw data'!E:E,'Day wise agent'!G:G)</f>
        <v>0</v>
      </c>
      <c r="K2554">
        <f>COUNTIFS('Audit Raw data'!AM:AM,"NO",'Audit Raw data'!J:J,B:B,'Audit Raw data'!E:E,'Day wise agent'!G:G)</f>
        <v>0</v>
      </c>
      <c r="L2554" s="12" t="str">
        <f t="shared" si="60"/>
        <v xml:space="preserve"> </v>
      </c>
    </row>
    <row r="2555" spans="4:12" x14ac:dyDescent="0.35">
      <c r="D2555" s="32"/>
      <c r="G2555" s="32"/>
      <c r="H2555">
        <f>COUNTIFS('Audit Raw data'!J:J,B:B,'Audit Raw data'!E:E,G:G)</f>
        <v>0</v>
      </c>
      <c r="I2555" s="44" t="str">
        <f>IFERROR((SUMIFS('Audit Raw data'!BZ:BZ,'Audit Raw data'!J:J,B:B,'Audit Raw data'!E:E,G:G)/H2555)/100,"-")</f>
        <v>-</v>
      </c>
      <c r="J2555">
        <f>COUNTIFS('Audit Raw data'!AM:AM,"Yes",'Audit Raw data'!J:J,B:B,'Audit Raw data'!E:E,'Day wise agent'!G:G)</f>
        <v>0</v>
      </c>
      <c r="K2555">
        <f>COUNTIFS('Audit Raw data'!AM:AM,"NO",'Audit Raw data'!J:J,B:B,'Audit Raw data'!E:E,'Day wise agent'!G:G)</f>
        <v>0</v>
      </c>
      <c r="L2555" s="12" t="str">
        <f t="shared" si="60"/>
        <v xml:space="preserve"> </v>
      </c>
    </row>
    <row r="2556" spans="4:12" x14ac:dyDescent="0.35">
      <c r="D2556" s="32"/>
      <c r="G2556" s="32"/>
      <c r="H2556">
        <f>COUNTIFS('Audit Raw data'!J:J,B:B,'Audit Raw data'!E:E,G:G)</f>
        <v>0</v>
      </c>
      <c r="I2556" s="44" t="str">
        <f>IFERROR((SUMIFS('Audit Raw data'!BZ:BZ,'Audit Raw data'!J:J,B:B,'Audit Raw data'!E:E,G:G)/H2556)/100,"-")</f>
        <v>-</v>
      </c>
      <c r="J2556">
        <f>COUNTIFS('Audit Raw data'!AM:AM,"Yes",'Audit Raw data'!J:J,B:B,'Audit Raw data'!E:E,'Day wise agent'!G:G)</f>
        <v>0</v>
      </c>
      <c r="K2556">
        <f>COUNTIFS('Audit Raw data'!AM:AM,"NO",'Audit Raw data'!J:J,B:B,'Audit Raw data'!E:E,'Day wise agent'!G:G)</f>
        <v>0</v>
      </c>
      <c r="L2556" s="12" t="str">
        <f t="shared" si="60"/>
        <v xml:space="preserve"> </v>
      </c>
    </row>
    <row r="2557" spans="4:12" x14ac:dyDescent="0.35">
      <c r="D2557" s="32"/>
      <c r="G2557" s="32"/>
      <c r="H2557">
        <f>COUNTIFS('Audit Raw data'!J:J,B:B,'Audit Raw data'!E:E,G:G)</f>
        <v>0</v>
      </c>
      <c r="I2557" s="44" t="str">
        <f>IFERROR((SUMIFS('Audit Raw data'!BZ:BZ,'Audit Raw data'!J:J,B:B,'Audit Raw data'!E:E,G:G)/H2557)/100,"-")</f>
        <v>-</v>
      </c>
      <c r="J2557">
        <f>COUNTIFS('Audit Raw data'!AM:AM,"Yes",'Audit Raw data'!J:J,B:B,'Audit Raw data'!E:E,'Day wise agent'!G:G)</f>
        <v>0</v>
      </c>
      <c r="K2557">
        <f>COUNTIFS('Audit Raw data'!AM:AM,"NO",'Audit Raw data'!J:J,B:B,'Audit Raw data'!E:E,'Day wise agent'!G:G)</f>
        <v>0</v>
      </c>
      <c r="L2557" s="12" t="str">
        <f t="shared" si="60"/>
        <v xml:space="preserve"> </v>
      </c>
    </row>
    <row r="2558" spans="4:12" x14ac:dyDescent="0.35">
      <c r="D2558" s="32"/>
      <c r="G2558" s="32"/>
      <c r="H2558">
        <f>COUNTIFS('Audit Raw data'!J:J,B:B,'Audit Raw data'!E:E,G:G)</f>
        <v>0</v>
      </c>
      <c r="I2558" s="44" t="str">
        <f>IFERROR((SUMIFS('Audit Raw data'!BZ:BZ,'Audit Raw data'!J:J,B:B,'Audit Raw data'!E:E,G:G)/H2558)/100,"-")</f>
        <v>-</v>
      </c>
      <c r="J2558">
        <f>COUNTIFS('Audit Raw data'!AM:AM,"Yes",'Audit Raw data'!J:J,B:B,'Audit Raw data'!E:E,'Day wise agent'!G:G)</f>
        <v>0</v>
      </c>
      <c r="K2558">
        <f>COUNTIFS('Audit Raw data'!AM:AM,"NO",'Audit Raw data'!J:J,B:B,'Audit Raw data'!E:E,'Day wise agent'!G:G)</f>
        <v>0</v>
      </c>
      <c r="L2558" s="12" t="str">
        <f t="shared" si="60"/>
        <v xml:space="preserve"> </v>
      </c>
    </row>
    <row r="2559" spans="4:12" x14ac:dyDescent="0.35">
      <c r="D2559" s="32"/>
      <c r="G2559" s="32"/>
      <c r="H2559">
        <f>COUNTIFS('Audit Raw data'!J:J,B:B,'Audit Raw data'!E:E,G:G)</f>
        <v>0</v>
      </c>
      <c r="I2559" s="44" t="str">
        <f>IFERROR((SUMIFS('Audit Raw data'!BZ:BZ,'Audit Raw data'!J:J,B:B,'Audit Raw data'!E:E,G:G)/H2559)/100,"-")</f>
        <v>-</v>
      </c>
      <c r="J2559">
        <f>COUNTIFS('Audit Raw data'!AM:AM,"Yes",'Audit Raw data'!J:J,B:B,'Audit Raw data'!E:E,'Day wise agent'!G:G)</f>
        <v>0</v>
      </c>
      <c r="K2559">
        <f>COUNTIFS('Audit Raw data'!AM:AM,"NO",'Audit Raw data'!J:J,B:B,'Audit Raw data'!E:E,'Day wise agent'!G:G)</f>
        <v>0</v>
      </c>
      <c r="L2559" s="12" t="str">
        <f t="shared" si="60"/>
        <v xml:space="preserve"> </v>
      </c>
    </row>
    <row r="2560" spans="4:12" x14ac:dyDescent="0.35">
      <c r="D2560" s="32"/>
      <c r="G2560" s="32"/>
      <c r="H2560">
        <f>COUNTIFS('Audit Raw data'!J:J,B:B,'Audit Raw data'!E:E,G:G)</f>
        <v>0</v>
      </c>
      <c r="I2560" s="44" t="str">
        <f>IFERROR((SUMIFS('Audit Raw data'!BZ:BZ,'Audit Raw data'!J:J,B:B,'Audit Raw data'!E:E,G:G)/H2560)/100,"-")</f>
        <v>-</v>
      </c>
      <c r="J2560">
        <f>COUNTIFS('Audit Raw data'!AM:AM,"Yes",'Audit Raw data'!J:J,B:B,'Audit Raw data'!E:E,'Day wise agent'!G:G)</f>
        <v>0</v>
      </c>
      <c r="K2560">
        <f>COUNTIFS('Audit Raw data'!AM:AM,"NO",'Audit Raw data'!J:J,B:B,'Audit Raw data'!E:E,'Day wise agent'!G:G)</f>
        <v>0</v>
      </c>
      <c r="L2560" s="12" t="str">
        <f t="shared" si="60"/>
        <v xml:space="preserve"> </v>
      </c>
    </row>
    <row r="2561" spans="4:12" x14ac:dyDescent="0.35">
      <c r="D2561" s="32"/>
      <c r="G2561" s="32"/>
      <c r="H2561">
        <f>COUNTIFS('Audit Raw data'!J:J,B:B,'Audit Raw data'!E:E,G:G)</f>
        <v>0</v>
      </c>
      <c r="I2561" s="44" t="str">
        <f>IFERROR((SUMIFS('Audit Raw data'!BZ:BZ,'Audit Raw data'!J:J,B:B,'Audit Raw data'!E:E,G:G)/H2561)/100,"-")</f>
        <v>-</v>
      </c>
      <c r="J2561">
        <f>COUNTIFS('Audit Raw data'!AM:AM,"Yes",'Audit Raw data'!J:J,B:B,'Audit Raw data'!E:E,'Day wise agent'!G:G)</f>
        <v>0</v>
      </c>
      <c r="K2561">
        <f>COUNTIFS('Audit Raw data'!AM:AM,"NO",'Audit Raw data'!J:J,B:B,'Audit Raw data'!E:E,'Day wise agent'!G:G)</f>
        <v>0</v>
      </c>
      <c r="L2561" s="12" t="str">
        <f t="shared" si="60"/>
        <v xml:space="preserve"> </v>
      </c>
    </row>
    <row r="2562" spans="4:12" x14ac:dyDescent="0.35">
      <c r="D2562" s="32"/>
      <c r="G2562" s="32"/>
      <c r="H2562">
        <f>COUNTIFS('Audit Raw data'!J:J,B:B,'Audit Raw data'!E:E,G:G)</f>
        <v>0</v>
      </c>
      <c r="I2562" s="44" t="str">
        <f>IFERROR((SUMIFS('Audit Raw data'!BZ:BZ,'Audit Raw data'!J:J,B:B,'Audit Raw data'!E:E,G:G)/H2562)/100,"-")</f>
        <v>-</v>
      </c>
      <c r="J2562">
        <f>COUNTIFS('Audit Raw data'!AM:AM,"Yes",'Audit Raw data'!J:J,B:B,'Audit Raw data'!E:E,'Day wise agent'!G:G)</f>
        <v>0</v>
      </c>
      <c r="K2562">
        <f>COUNTIFS('Audit Raw data'!AM:AM,"NO",'Audit Raw data'!J:J,B:B,'Audit Raw data'!E:E,'Day wise agent'!G:G)</f>
        <v>0</v>
      </c>
      <c r="L2562" s="12" t="str">
        <f t="shared" ref="L2562:L2625" si="61">IFERROR(J2562/H2562," ")</f>
        <v xml:space="preserve"> </v>
      </c>
    </row>
    <row r="2563" spans="4:12" x14ac:dyDescent="0.35">
      <c r="D2563" s="32"/>
      <c r="G2563" s="32"/>
      <c r="H2563">
        <f>COUNTIFS('Audit Raw data'!J:J,B:B,'Audit Raw data'!E:E,G:G)</f>
        <v>0</v>
      </c>
      <c r="I2563" s="44" t="str">
        <f>IFERROR((SUMIFS('Audit Raw data'!BZ:BZ,'Audit Raw data'!J:J,B:B,'Audit Raw data'!E:E,G:G)/H2563)/100,"-")</f>
        <v>-</v>
      </c>
      <c r="J2563">
        <f>COUNTIFS('Audit Raw data'!AM:AM,"Yes",'Audit Raw data'!J:J,B:B,'Audit Raw data'!E:E,'Day wise agent'!G:G)</f>
        <v>0</v>
      </c>
      <c r="K2563">
        <f>COUNTIFS('Audit Raw data'!AM:AM,"NO",'Audit Raw data'!J:J,B:B,'Audit Raw data'!E:E,'Day wise agent'!G:G)</f>
        <v>0</v>
      </c>
      <c r="L2563" s="12" t="str">
        <f t="shared" si="61"/>
        <v xml:space="preserve"> </v>
      </c>
    </row>
    <row r="2564" spans="4:12" x14ac:dyDescent="0.35">
      <c r="D2564" s="32"/>
      <c r="G2564" s="32"/>
      <c r="H2564">
        <f>COUNTIFS('Audit Raw data'!J:J,B:B,'Audit Raw data'!E:E,G:G)</f>
        <v>0</v>
      </c>
      <c r="I2564" s="44" t="str">
        <f>IFERROR((SUMIFS('Audit Raw data'!BZ:BZ,'Audit Raw data'!J:J,B:B,'Audit Raw data'!E:E,G:G)/H2564)/100,"-")</f>
        <v>-</v>
      </c>
      <c r="J2564">
        <f>COUNTIFS('Audit Raw data'!AM:AM,"Yes",'Audit Raw data'!J:J,B:B,'Audit Raw data'!E:E,'Day wise agent'!G:G)</f>
        <v>0</v>
      </c>
      <c r="K2564">
        <f>COUNTIFS('Audit Raw data'!AM:AM,"NO",'Audit Raw data'!J:J,B:B,'Audit Raw data'!E:E,'Day wise agent'!G:G)</f>
        <v>0</v>
      </c>
      <c r="L2564" s="12" t="str">
        <f t="shared" si="61"/>
        <v xml:space="preserve"> </v>
      </c>
    </row>
    <row r="2565" spans="4:12" x14ac:dyDescent="0.35">
      <c r="D2565" s="32"/>
      <c r="G2565" s="32"/>
      <c r="H2565">
        <f>COUNTIFS('Audit Raw data'!J:J,B:B,'Audit Raw data'!E:E,G:G)</f>
        <v>0</v>
      </c>
      <c r="I2565" s="44" t="str">
        <f>IFERROR((SUMIFS('Audit Raw data'!BZ:BZ,'Audit Raw data'!J:J,B:B,'Audit Raw data'!E:E,G:G)/H2565)/100,"-")</f>
        <v>-</v>
      </c>
      <c r="J2565">
        <f>COUNTIFS('Audit Raw data'!AM:AM,"Yes",'Audit Raw data'!J:J,B:B,'Audit Raw data'!E:E,'Day wise agent'!G:G)</f>
        <v>0</v>
      </c>
      <c r="K2565">
        <f>COUNTIFS('Audit Raw data'!AM:AM,"NO",'Audit Raw data'!J:J,B:B,'Audit Raw data'!E:E,'Day wise agent'!G:G)</f>
        <v>0</v>
      </c>
      <c r="L2565" s="12" t="str">
        <f t="shared" si="61"/>
        <v xml:space="preserve"> </v>
      </c>
    </row>
    <row r="2566" spans="4:12" x14ac:dyDescent="0.35">
      <c r="D2566" s="32"/>
      <c r="G2566" s="32"/>
      <c r="H2566">
        <f>COUNTIFS('Audit Raw data'!J:J,B:B,'Audit Raw data'!E:E,G:G)</f>
        <v>0</v>
      </c>
      <c r="I2566" s="44" t="str">
        <f>IFERROR((SUMIFS('Audit Raw data'!BZ:BZ,'Audit Raw data'!J:J,B:B,'Audit Raw data'!E:E,G:G)/H2566)/100,"-")</f>
        <v>-</v>
      </c>
      <c r="J2566">
        <f>COUNTIFS('Audit Raw data'!AM:AM,"Yes",'Audit Raw data'!J:J,B:B,'Audit Raw data'!E:E,'Day wise agent'!G:G)</f>
        <v>0</v>
      </c>
      <c r="K2566">
        <f>COUNTIFS('Audit Raw data'!AM:AM,"NO",'Audit Raw data'!J:J,B:B,'Audit Raw data'!E:E,'Day wise agent'!G:G)</f>
        <v>0</v>
      </c>
      <c r="L2566" s="12" t="str">
        <f t="shared" si="61"/>
        <v xml:space="preserve"> </v>
      </c>
    </row>
    <row r="2567" spans="4:12" x14ac:dyDescent="0.35">
      <c r="D2567" s="32"/>
      <c r="G2567" s="32"/>
      <c r="H2567">
        <f>COUNTIFS('Audit Raw data'!J:J,B:B,'Audit Raw data'!E:E,G:G)</f>
        <v>0</v>
      </c>
      <c r="I2567" s="44" t="str">
        <f>IFERROR((SUMIFS('Audit Raw data'!BZ:BZ,'Audit Raw data'!J:J,B:B,'Audit Raw data'!E:E,G:G)/H2567)/100,"-")</f>
        <v>-</v>
      </c>
      <c r="J2567">
        <f>COUNTIFS('Audit Raw data'!AM:AM,"Yes",'Audit Raw data'!J:J,B:B,'Audit Raw data'!E:E,'Day wise agent'!G:G)</f>
        <v>0</v>
      </c>
      <c r="K2567">
        <f>COUNTIFS('Audit Raw data'!AM:AM,"NO",'Audit Raw data'!J:J,B:B,'Audit Raw data'!E:E,'Day wise agent'!G:G)</f>
        <v>0</v>
      </c>
      <c r="L2567" s="12" t="str">
        <f t="shared" si="61"/>
        <v xml:space="preserve"> </v>
      </c>
    </row>
    <row r="2568" spans="4:12" x14ac:dyDescent="0.35">
      <c r="D2568" s="32"/>
      <c r="G2568" s="32"/>
      <c r="H2568">
        <f>COUNTIFS('Audit Raw data'!J:J,B:B,'Audit Raw data'!E:E,G:G)</f>
        <v>0</v>
      </c>
      <c r="I2568" s="44" t="str">
        <f>IFERROR((SUMIFS('Audit Raw data'!BZ:BZ,'Audit Raw data'!J:J,B:B,'Audit Raw data'!E:E,G:G)/H2568)/100,"-")</f>
        <v>-</v>
      </c>
      <c r="J2568">
        <f>COUNTIFS('Audit Raw data'!AM:AM,"Yes",'Audit Raw data'!J:J,B:B,'Audit Raw data'!E:E,'Day wise agent'!G:G)</f>
        <v>0</v>
      </c>
      <c r="K2568">
        <f>COUNTIFS('Audit Raw data'!AM:AM,"NO",'Audit Raw data'!J:J,B:B,'Audit Raw data'!E:E,'Day wise agent'!G:G)</f>
        <v>0</v>
      </c>
      <c r="L2568" s="12" t="str">
        <f t="shared" si="61"/>
        <v xml:space="preserve"> </v>
      </c>
    </row>
    <row r="2569" spans="4:12" x14ac:dyDescent="0.35">
      <c r="D2569" s="32"/>
      <c r="G2569" s="32"/>
      <c r="H2569">
        <f>COUNTIFS('Audit Raw data'!J:J,B:B,'Audit Raw data'!E:E,G:G)</f>
        <v>0</v>
      </c>
      <c r="I2569" s="44" t="str">
        <f>IFERROR((SUMIFS('Audit Raw data'!BZ:BZ,'Audit Raw data'!J:J,B:B,'Audit Raw data'!E:E,G:G)/H2569)/100,"-")</f>
        <v>-</v>
      </c>
      <c r="J2569">
        <f>COUNTIFS('Audit Raw data'!AM:AM,"Yes",'Audit Raw data'!J:J,B:B,'Audit Raw data'!E:E,'Day wise agent'!G:G)</f>
        <v>0</v>
      </c>
      <c r="K2569">
        <f>COUNTIFS('Audit Raw data'!AM:AM,"NO",'Audit Raw data'!J:J,B:B,'Audit Raw data'!E:E,'Day wise agent'!G:G)</f>
        <v>0</v>
      </c>
      <c r="L2569" s="12" t="str">
        <f t="shared" si="61"/>
        <v xml:space="preserve"> </v>
      </c>
    </row>
    <row r="2570" spans="4:12" x14ac:dyDescent="0.35">
      <c r="D2570" s="32"/>
      <c r="G2570" s="32"/>
      <c r="H2570">
        <f>COUNTIFS('Audit Raw data'!J:J,B:B,'Audit Raw data'!E:E,G:G)</f>
        <v>0</v>
      </c>
      <c r="I2570" s="44" t="str">
        <f>IFERROR((SUMIFS('Audit Raw data'!BZ:BZ,'Audit Raw data'!J:J,B:B,'Audit Raw data'!E:E,G:G)/H2570)/100,"-")</f>
        <v>-</v>
      </c>
      <c r="J2570">
        <f>COUNTIFS('Audit Raw data'!AM:AM,"Yes",'Audit Raw data'!J:J,B:B,'Audit Raw data'!E:E,'Day wise agent'!G:G)</f>
        <v>0</v>
      </c>
      <c r="K2570">
        <f>COUNTIFS('Audit Raw data'!AM:AM,"NO",'Audit Raw data'!J:J,B:B,'Audit Raw data'!E:E,'Day wise agent'!G:G)</f>
        <v>0</v>
      </c>
      <c r="L2570" s="12" t="str">
        <f t="shared" si="61"/>
        <v xml:space="preserve"> </v>
      </c>
    </row>
    <row r="2571" spans="4:12" x14ac:dyDescent="0.35">
      <c r="D2571" s="32"/>
      <c r="G2571" s="32"/>
      <c r="H2571">
        <f>COUNTIFS('Audit Raw data'!J:J,B:B,'Audit Raw data'!E:E,G:G)</f>
        <v>0</v>
      </c>
      <c r="I2571" s="44" t="str">
        <f>IFERROR((SUMIFS('Audit Raw data'!BZ:BZ,'Audit Raw data'!J:J,B:B,'Audit Raw data'!E:E,G:G)/H2571)/100,"-")</f>
        <v>-</v>
      </c>
      <c r="J2571">
        <f>COUNTIFS('Audit Raw data'!AM:AM,"Yes",'Audit Raw data'!J:J,B:B,'Audit Raw data'!E:E,'Day wise agent'!G:G)</f>
        <v>0</v>
      </c>
      <c r="K2571">
        <f>COUNTIFS('Audit Raw data'!AM:AM,"NO",'Audit Raw data'!J:J,B:B,'Audit Raw data'!E:E,'Day wise agent'!G:G)</f>
        <v>0</v>
      </c>
      <c r="L2571" s="12" t="str">
        <f t="shared" si="61"/>
        <v xml:space="preserve"> </v>
      </c>
    </row>
    <row r="2572" spans="4:12" x14ac:dyDescent="0.35">
      <c r="D2572" s="32"/>
      <c r="G2572" s="32"/>
      <c r="H2572">
        <f>COUNTIFS('Audit Raw data'!J:J,B:B,'Audit Raw data'!E:E,G:G)</f>
        <v>0</v>
      </c>
      <c r="I2572" s="44" t="str">
        <f>IFERROR((SUMIFS('Audit Raw data'!BZ:BZ,'Audit Raw data'!J:J,B:B,'Audit Raw data'!E:E,G:G)/H2572)/100,"-")</f>
        <v>-</v>
      </c>
      <c r="J2572">
        <f>COUNTIFS('Audit Raw data'!AM:AM,"Yes",'Audit Raw data'!J:J,B:B,'Audit Raw data'!E:E,'Day wise agent'!G:G)</f>
        <v>0</v>
      </c>
      <c r="K2572">
        <f>COUNTIFS('Audit Raw data'!AM:AM,"NO",'Audit Raw data'!J:J,B:B,'Audit Raw data'!E:E,'Day wise agent'!G:G)</f>
        <v>0</v>
      </c>
      <c r="L2572" s="12" t="str">
        <f t="shared" si="61"/>
        <v xml:space="preserve"> </v>
      </c>
    </row>
    <row r="2573" spans="4:12" x14ac:dyDescent="0.35">
      <c r="D2573" s="32"/>
      <c r="G2573" s="32"/>
      <c r="H2573">
        <f>COUNTIFS('Audit Raw data'!J:J,B:B,'Audit Raw data'!E:E,G:G)</f>
        <v>0</v>
      </c>
      <c r="I2573" s="44" t="str">
        <f>IFERROR((SUMIFS('Audit Raw data'!BZ:BZ,'Audit Raw data'!J:J,B:B,'Audit Raw data'!E:E,G:G)/H2573)/100,"-")</f>
        <v>-</v>
      </c>
      <c r="J2573">
        <f>COUNTIFS('Audit Raw data'!AM:AM,"Yes",'Audit Raw data'!J:J,B:B,'Audit Raw data'!E:E,'Day wise agent'!G:G)</f>
        <v>0</v>
      </c>
      <c r="K2573">
        <f>COUNTIFS('Audit Raw data'!AM:AM,"NO",'Audit Raw data'!J:J,B:B,'Audit Raw data'!E:E,'Day wise agent'!G:G)</f>
        <v>0</v>
      </c>
      <c r="L2573" s="12" t="str">
        <f t="shared" si="61"/>
        <v xml:space="preserve"> </v>
      </c>
    </row>
    <row r="2574" spans="4:12" x14ac:dyDescent="0.35">
      <c r="D2574" s="32"/>
      <c r="G2574" s="32"/>
      <c r="H2574">
        <f>COUNTIFS('Audit Raw data'!J:J,B:B,'Audit Raw data'!E:E,G:G)</f>
        <v>0</v>
      </c>
      <c r="I2574" s="44" t="str">
        <f>IFERROR((SUMIFS('Audit Raw data'!BZ:BZ,'Audit Raw data'!J:J,B:B,'Audit Raw data'!E:E,G:G)/H2574)/100,"-")</f>
        <v>-</v>
      </c>
      <c r="J2574">
        <f>COUNTIFS('Audit Raw data'!AM:AM,"Yes",'Audit Raw data'!J:J,B:B,'Audit Raw data'!E:E,'Day wise agent'!G:G)</f>
        <v>0</v>
      </c>
      <c r="K2574">
        <f>COUNTIFS('Audit Raw data'!AM:AM,"NO",'Audit Raw data'!J:J,B:B,'Audit Raw data'!E:E,'Day wise agent'!G:G)</f>
        <v>0</v>
      </c>
      <c r="L2574" s="12" t="str">
        <f t="shared" si="61"/>
        <v xml:space="preserve"> </v>
      </c>
    </row>
    <row r="2575" spans="4:12" x14ac:dyDescent="0.35">
      <c r="D2575" s="32"/>
      <c r="G2575" s="32"/>
      <c r="H2575">
        <f>COUNTIFS('Audit Raw data'!J:J,B:B,'Audit Raw data'!E:E,G:G)</f>
        <v>0</v>
      </c>
      <c r="I2575" s="44" t="str">
        <f>IFERROR((SUMIFS('Audit Raw data'!BZ:BZ,'Audit Raw data'!J:J,B:B,'Audit Raw data'!E:E,G:G)/H2575)/100,"-")</f>
        <v>-</v>
      </c>
      <c r="J2575">
        <f>COUNTIFS('Audit Raw data'!AM:AM,"Yes",'Audit Raw data'!J:J,B:B,'Audit Raw data'!E:E,'Day wise agent'!G:G)</f>
        <v>0</v>
      </c>
      <c r="K2575">
        <f>COUNTIFS('Audit Raw data'!AM:AM,"NO",'Audit Raw data'!J:J,B:B,'Audit Raw data'!E:E,'Day wise agent'!G:G)</f>
        <v>0</v>
      </c>
      <c r="L2575" s="12" t="str">
        <f t="shared" si="61"/>
        <v xml:space="preserve"> </v>
      </c>
    </row>
    <row r="2576" spans="4:12" x14ac:dyDescent="0.35">
      <c r="D2576" s="32"/>
      <c r="G2576" s="32"/>
      <c r="H2576">
        <f>COUNTIFS('Audit Raw data'!J:J,B:B,'Audit Raw data'!E:E,G:G)</f>
        <v>0</v>
      </c>
      <c r="I2576" s="44" t="str">
        <f>IFERROR((SUMIFS('Audit Raw data'!BZ:BZ,'Audit Raw data'!J:J,B:B,'Audit Raw data'!E:E,G:G)/H2576)/100,"-")</f>
        <v>-</v>
      </c>
      <c r="J2576">
        <f>COUNTIFS('Audit Raw data'!AM:AM,"Yes",'Audit Raw data'!J:J,B:B,'Audit Raw data'!E:E,'Day wise agent'!G:G)</f>
        <v>0</v>
      </c>
      <c r="K2576">
        <f>COUNTIFS('Audit Raw data'!AM:AM,"NO",'Audit Raw data'!J:J,B:B,'Audit Raw data'!E:E,'Day wise agent'!G:G)</f>
        <v>0</v>
      </c>
      <c r="L2576" s="12" t="str">
        <f t="shared" si="61"/>
        <v xml:space="preserve"> </v>
      </c>
    </row>
    <row r="2577" spans="4:12" x14ac:dyDescent="0.35">
      <c r="D2577" s="32"/>
      <c r="G2577" s="32"/>
      <c r="H2577">
        <f>COUNTIFS('Audit Raw data'!J:J,B:B,'Audit Raw data'!E:E,G:G)</f>
        <v>0</v>
      </c>
      <c r="I2577" s="44" t="str">
        <f>IFERROR((SUMIFS('Audit Raw data'!BZ:BZ,'Audit Raw data'!J:J,B:B,'Audit Raw data'!E:E,G:G)/H2577)/100,"-")</f>
        <v>-</v>
      </c>
      <c r="J2577">
        <f>COUNTIFS('Audit Raw data'!AM:AM,"Yes",'Audit Raw data'!J:J,B:B,'Audit Raw data'!E:E,'Day wise agent'!G:G)</f>
        <v>0</v>
      </c>
      <c r="K2577">
        <f>COUNTIFS('Audit Raw data'!AM:AM,"NO",'Audit Raw data'!J:J,B:B,'Audit Raw data'!E:E,'Day wise agent'!G:G)</f>
        <v>0</v>
      </c>
      <c r="L2577" s="12" t="str">
        <f t="shared" si="61"/>
        <v xml:space="preserve"> </v>
      </c>
    </row>
    <row r="2578" spans="4:12" x14ac:dyDescent="0.35">
      <c r="D2578" s="32"/>
      <c r="G2578" s="32"/>
      <c r="H2578">
        <f>COUNTIFS('Audit Raw data'!J:J,B:B,'Audit Raw data'!E:E,G:G)</f>
        <v>0</v>
      </c>
      <c r="I2578" s="44" t="str">
        <f>IFERROR((SUMIFS('Audit Raw data'!BZ:BZ,'Audit Raw data'!J:J,B:B,'Audit Raw data'!E:E,G:G)/H2578)/100,"-")</f>
        <v>-</v>
      </c>
      <c r="J2578">
        <f>COUNTIFS('Audit Raw data'!AM:AM,"Yes",'Audit Raw data'!J:J,B:B,'Audit Raw data'!E:E,'Day wise agent'!G:G)</f>
        <v>0</v>
      </c>
      <c r="K2578">
        <f>COUNTIFS('Audit Raw data'!AM:AM,"NO",'Audit Raw data'!J:J,B:B,'Audit Raw data'!E:E,'Day wise agent'!G:G)</f>
        <v>0</v>
      </c>
      <c r="L2578" s="12" t="str">
        <f t="shared" si="61"/>
        <v xml:space="preserve"> </v>
      </c>
    </row>
    <row r="2579" spans="4:12" x14ac:dyDescent="0.35">
      <c r="D2579" s="32"/>
      <c r="G2579" s="32"/>
      <c r="H2579">
        <f>COUNTIFS('Audit Raw data'!J:J,B:B,'Audit Raw data'!E:E,G:G)</f>
        <v>0</v>
      </c>
      <c r="I2579" s="44" t="str">
        <f>IFERROR((SUMIFS('Audit Raw data'!BZ:BZ,'Audit Raw data'!J:J,B:B,'Audit Raw data'!E:E,G:G)/H2579)/100,"-")</f>
        <v>-</v>
      </c>
      <c r="J2579">
        <f>COUNTIFS('Audit Raw data'!AM:AM,"Yes",'Audit Raw data'!J:J,B:B,'Audit Raw data'!E:E,'Day wise agent'!G:G)</f>
        <v>0</v>
      </c>
      <c r="K2579">
        <f>COUNTIFS('Audit Raw data'!AM:AM,"NO",'Audit Raw data'!J:J,B:B,'Audit Raw data'!E:E,'Day wise agent'!G:G)</f>
        <v>0</v>
      </c>
      <c r="L2579" s="12" t="str">
        <f t="shared" si="61"/>
        <v xml:space="preserve"> </v>
      </c>
    </row>
    <row r="2580" spans="4:12" x14ac:dyDescent="0.35">
      <c r="D2580" s="32"/>
      <c r="G2580" s="32"/>
      <c r="H2580">
        <f>COUNTIFS('Audit Raw data'!J:J,B:B,'Audit Raw data'!E:E,G:G)</f>
        <v>0</v>
      </c>
      <c r="I2580" s="44" t="str">
        <f>IFERROR((SUMIFS('Audit Raw data'!BZ:BZ,'Audit Raw data'!J:J,B:B,'Audit Raw data'!E:E,G:G)/H2580)/100,"-")</f>
        <v>-</v>
      </c>
      <c r="J2580">
        <f>COUNTIFS('Audit Raw data'!AM:AM,"Yes",'Audit Raw data'!J:J,B:B,'Audit Raw data'!E:E,'Day wise agent'!G:G)</f>
        <v>0</v>
      </c>
      <c r="K2580">
        <f>COUNTIFS('Audit Raw data'!AM:AM,"NO",'Audit Raw data'!J:J,B:B,'Audit Raw data'!E:E,'Day wise agent'!G:G)</f>
        <v>0</v>
      </c>
      <c r="L2580" s="12" t="str">
        <f t="shared" si="61"/>
        <v xml:space="preserve"> </v>
      </c>
    </row>
    <row r="2581" spans="4:12" x14ac:dyDescent="0.35">
      <c r="D2581" s="32"/>
      <c r="G2581" s="32"/>
      <c r="H2581">
        <f>COUNTIFS('Audit Raw data'!J:J,B:B,'Audit Raw data'!E:E,G:G)</f>
        <v>0</v>
      </c>
      <c r="I2581" s="44" t="str">
        <f>IFERROR((SUMIFS('Audit Raw data'!BZ:BZ,'Audit Raw data'!J:J,B:B,'Audit Raw data'!E:E,G:G)/H2581)/100,"-")</f>
        <v>-</v>
      </c>
      <c r="J2581">
        <f>COUNTIFS('Audit Raw data'!AM:AM,"Yes",'Audit Raw data'!J:J,B:B,'Audit Raw data'!E:E,'Day wise agent'!G:G)</f>
        <v>0</v>
      </c>
      <c r="K2581">
        <f>COUNTIFS('Audit Raw data'!AM:AM,"NO",'Audit Raw data'!J:J,B:B,'Audit Raw data'!E:E,'Day wise agent'!G:G)</f>
        <v>0</v>
      </c>
      <c r="L2581" s="12" t="str">
        <f t="shared" si="61"/>
        <v xml:space="preserve"> </v>
      </c>
    </row>
    <row r="2582" spans="4:12" x14ac:dyDescent="0.35">
      <c r="D2582" s="32"/>
      <c r="G2582" s="32"/>
      <c r="H2582">
        <f>COUNTIFS('Audit Raw data'!J:J,B:B,'Audit Raw data'!E:E,G:G)</f>
        <v>0</v>
      </c>
      <c r="I2582" s="44" t="str">
        <f>IFERROR((SUMIFS('Audit Raw data'!BZ:BZ,'Audit Raw data'!J:J,B:B,'Audit Raw data'!E:E,G:G)/H2582)/100,"-")</f>
        <v>-</v>
      </c>
      <c r="J2582">
        <f>COUNTIFS('Audit Raw data'!AM:AM,"Yes",'Audit Raw data'!J:J,B:B,'Audit Raw data'!E:E,'Day wise agent'!G:G)</f>
        <v>0</v>
      </c>
      <c r="K2582">
        <f>COUNTIFS('Audit Raw data'!AM:AM,"NO",'Audit Raw data'!J:J,B:B,'Audit Raw data'!E:E,'Day wise agent'!G:G)</f>
        <v>0</v>
      </c>
      <c r="L2582" s="12" t="str">
        <f t="shared" si="61"/>
        <v xml:space="preserve"> </v>
      </c>
    </row>
    <row r="2583" spans="4:12" x14ac:dyDescent="0.35">
      <c r="D2583" s="32"/>
      <c r="G2583" s="32"/>
      <c r="H2583">
        <f>COUNTIFS('Audit Raw data'!J:J,B:B,'Audit Raw data'!E:E,G:G)</f>
        <v>0</v>
      </c>
      <c r="I2583" s="44" t="str">
        <f>IFERROR((SUMIFS('Audit Raw data'!BZ:BZ,'Audit Raw data'!J:J,B:B,'Audit Raw data'!E:E,G:G)/H2583)/100,"-")</f>
        <v>-</v>
      </c>
      <c r="J2583">
        <f>COUNTIFS('Audit Raw data'!AM:AM,"Yes",'Audit Raw data'!J:J,B:B,'Audit Raw data'!E:E,'Day wise agent'!G:G)</f>
        <v>0</v>
      </c>
      <c r="K2583">
        <f>COUNTIFS('Audit Raw data'!AM:AM,"NO",'Audit Raw data'!J:J,B:B,'Audit Raw data'!E:E,'Day wise agent'!G:G)</f>
        <v>0</v>
      </c>
      <c r="L2583" s="12" t="str">
        <f t="shared" si="61"/>
        <v xml:space="preserve"> </v>
      </c>
    </row>
    <row r="2584" spans="4:12" x14ac:dyDescent="0.35">
      <c r="D2584" s="32"/>
      <c r="G2584" s="32"/>
      <c r="H2584">
        <f>COUNTIFS('Audit Raw data'!J:J,B:B,'Audit Raw data'!E:E,G:G)</f>
        <v>0</v>
      </c>
      <c r="I2584" s="44" t="str">
        <f>IFERROR((SUMIFS('Audit Raw data'!BZ:BZ,'Audit Raw data'!J:J,B:B,'Audit Raw data'!E:E,G:G)/H2584)/100,"-")</f>
        <v>-</v>
      </c>
      <c r="J2584">
        <f>COUNTIFS('Audit Raw data'!AM:AM,"Yes",'Audit Raw data'!J:J,B:B,'Audit Raw data'!E:E,'Day wise agent'!G:G)</f>
        <v>0</v>
      </c>
      <c r="K2584">
        <f>COUNTIFS('Audit Raw data'!AM:AM,"NO",'Audit Raw data'!J:J,B:B,'Audit Raw data'!E:E,'Day wise agent'!G:G)</f>
        <v>0</v>
      </c>
      <c r="L2584" s="12" t="str">
        <f t="shared" si="61"/>
        <v xml:space="preserve"> </v>
      </c>
    </row>
    <row r="2585" spans="4:12" x14ac:dyDescent="0.35">
      <c r="D2585" s="32"/>
      <c r="G2585" s="32"/>
      <c r="H2585">
        <f>COUNTIFS('Audit Raw data'!J:J,B:B,'Audit Raw data'!E:E,G:G)</f>
        <v>0</v>
      </c>
      <c r="I2585" s="44" t="str">
        <f>IFERROR((SUMIFS('Audit Raw data'!BZ:BZ,'Audit Raw data'!J:J,B:B,'Audit Raw data'!E:E,G:G)/H2585)/100,"-")</f>
        <v>-</v>
      </c>
      <c r="J2585">
        <f>COUNTIFS('Audit Raw data'!AM:AM,"Yes",'Audit Raw data'!J:J,B:B,'Audit Raw data'!E:E,'Day wise agent'!G:G)</f>
        <v>0</v>
      </c>
      <c r="K2585">
        <f>COUNTIFS('Audit Raw data'!AM:AM,"NO",'Audit Raw data'!J:J,B:B,'Audit Raw data'!E:E,'Day wise agent'!G:G)</f>
        <v>0</v>
      </c>
      <c r="L2585" s="12" t="str">
        <f t="shared" si="61"/>
        <v xml:space="preserve"> </v>
      </c>
    </row>
    <row r="2586" spans="4:12" x14ac:dyDescent="0.35">
      <c r="D2586" s="32"/>
      <c r="G2586" s="32"/>
      <c r="H2586">
        <f>COUNTIFS('Audit Raw data'!J:J,B:B,'Audit Raw data'!E:E,G:G)</f>
        <v>0</v>
      </c>
      <c r="I2586" s="44" t="str">
        <f>IFERROR((SUMIFS('Audit Raw data'!BZ:BZ,'Audit Raw data'!J:J,B:B,'Audit Raw data'!E:E,G:G)/H2586)/100,"-")</f>
        <v>-</v>
      </c>
      <c r="J2586">
        <f>COUNTIFS('Audit Raw data'!AM:AM,"Yes",'Audit Raw data'!J:J,B:B,'Audit Raw data'!E:E,'Day wise agent'!G:G)</f>
        <v>0</v>
      </c>
      <c r="K2586">
        <f>COUNTIFS('Audit Raw data'!AM:AM,"NO",'Audit Raw data'!J:J,B:B,'Audit Raw data'!E:E,'Day wise agent'!G:G)</f>
        <v>0</v>
      </c>
      <c r="L2586" s="12" t="str">
        <f t="shared" si="61"/>
        <v xml:space="preserve"> </v>
      </c>
    </row>
    <row r="2587" spans="4:12" x14ac:dyDescent="0.35">
      <c r="D2587" s="32"/>
      <c r="G2587" s="32"/>
      <c r="H2587">
        <f>COUNTIFS('Audit Raw data'!J:J,B:B,'Audit Raw data'!E:E,G:G)</f>
        <v>0</v>
      </c>
      <c r="I2587" s="44" t="str">
        <f>IFERROR((SUMIFS('Audit Raw data'!BZ:BZ,'Audit Raw data'!J:J,B:B,'Audit Raw data'!E:E,G:G)/H2587)/100,"-")</f>
        <v>-</v>
      </c>
      <c r="J2587">
        <f>COUNTIFS('Audit Raw data'!AM:AM,"Yes",'Audit Raw data'!J:J,B:B,'Audit Raw data'!E:E,'Day wise agent'!G:G)</f>
        <v>0</v>
      </c>
      <c r="K2587">
        <f>COUNTIFS('Audit Raw data'!AM:AM,"NO",'Audit Raw data'!J:J,B:B,'Audit Raw data'!E:E,'Day wise agent'!G:G)</f>
        <v>0</v>
      </c>
      <c r="L2587" s="12" t="str">
        <f t="shared" si="61"/>
        <v xml:space="preserve"> </v>
      </c>
    </row>
    <row r="2588" spans="4:12" x14ac:dyDescent="0.35">
      <c r="D2588" s="32"/>
      <c r="G2588" s="32"/>
      <c r="H2588">
        <f>COUNTIFS('Audit Raw data'!J:J,B:B,'Audit Raw data'!E:E,G:G)</f>
        <v>0</v>
      </c>
      <c r="I2588" s="44" t="str">
        <f>IFERROR((SUMIFS('Audit Raw data'!BZ:BZ,'Audit Raw data'!J:J,B:B,'Audit Raw data'!E:E,G:G)/H2588)/100,"-")</f>
        <v>-</v>
      </c>
      <c r="J2588">
        <f>COUNTIFS('Audit Raw data'!AM:AM,"Yes",'Audit Raw data'!J:J,B:B,'Audit Raw data'!E:E,'Day wise agent'!G:G)</f>
        <v>0</v>
      </c>
      <c r="K2588">
        <f>COUNTIFS('Audit Raw data'!AM:AM,"NO",'Audit Raw data'!J:J,B:B,'Audit Raw data'!E:E,'Day wise agent'!G:G)</f>
        <v>0</v>
      </c>
      <c r="L2588" s="12" t="str">
        <f t="shared" si="61"/>
        <v xml:space="preserve"> </v>
      </c>
    </row>
    <row r="2589" spans="4:12" x14ac:dyDescent="0.35">
      <c r="D2589" s="32"/>
      <c r="G2589" s="32"/>
      <c r="H2589">
        <f>COUNTIFS('Audit Raw data'!J:J,B:B,'Audit Raw data'!E:E,G:G)</f>
        <v>0</v>
      </c>
      <c r="I2589" s="44" t="str">
        <f>IFERROR((SUMIFS('Audit Raw data'!BZ:BZ,'Audit Raw data'!J:J,B:B,'Audit Raw data'!E:E,G:G)/H2589)/100,"-")</f>
        <v>-</v>
      </c>
      <c r="J2589">
        <f>COUNTIFS('Audit Raw data'!AM:AM,"Yes",'Audit Raw data'!J:J,B:B,'Audit Raw data'!E:E,'Day wise agent'!G:G)</f>
        <v>0</v>
      </c>
      <c r="K2589">
        <f>COUNTIFS('Audit Raw data'!AM:AM,"NO",'Audit Raw data'!J:J,B:B,'Audit Raw data'!E:E,'Day wise agent'!G:G)</f>
        <v>0</v>
      </c>
      <c r="L2589" s="12" t="str">
        <f t="shared" si="61"/>
        <v xml:space="preserve"> </v>
      </c>
    </row>
    <row r="2590" spans="4:12" x14ac:dyDescent="0.35">
      <c r="D2590" s="32"/>
      <c r="G2590" s="32"/>
      <c r="H2590">
        <f>COUNTIFS('Audit Raw data'!J:J,B:B,'Audit Raw data'!E:E,G:G)</f>
        <v>0</v>
      </c>
      <c r="I2590" s="44" t="str">
        <f>IFERROR((SUMIFS('Audit Raw data'!BZ:BZ,'Audit Raw data'!J:J,B:B,'Audit Raw data'!E:E,G:G)/H2590)/100,"-")</f>
        <v>-</v>
      </c>
      <c r="J2590">
        <f>COUNTIFS('Audit Raw data'!AM:AM,"Yes",'Audit Raw data'!J:J,B:B,'Audit Raw data'!E:E,'Day wise agent'!G:G)</f>
        <v>0</v>
      </c>
      <c r="K2590">
        <f>COUNTIFS('Audit Raw data'!AM:AM,"NO",'Audit Raw data'!J:J,B:B,'Audit Raw data'!E:E,'Day wise agent'!G:G)</f>
        <v>0</v>
      </c>
      <c r="L2590" s="12" t="str">
        <f t="shared" si="61"/>
        <v xml:space="preserve"> </v>
      </c>
    </row>
    <row r="2591" spans="4:12" x14ac:dyDescent="0.35">
      <c r="D2591" s="32"/>
      <c r="G2591" s="32"/>
      <c r="H2591">
        <f>COUNTIFS('Audit Raw data'!J:J,B:B,'Audit Raw data'!E:E,G:G)</f>
        <v>0</v>
      </c>
      <c r="I2591" s="44" t="str">
        <f>IFERROR((SUMIFS('Audit Raw data'!BZ:BZ,'Audit Raw data'!J:J,B:B,'Audit Raw data'!E:E,G:G)/H2591)/100,"-")</f>
        <v>-</v>
      </c>
      <c r="J2591">
        <f>COUNTIFS('Audit Raw data'!AM:AM,"Yes",'Audit Raw data'!J:J,B:B,'Audit Raw data'!E:E,'Day wise agent'!G:G)</f>
        <v>0</v>
      </c>
      <c r="K2591">
        <f>COUNTIFS('Audit Raw data'!AM:AM,"NO",'Audit Raw data'!J:J,B:B,'Audit Raw data'!E:E,'Day wise agent'!G:G)</f>
        <v>0</v>
      </c>
      <c r="L2591" s="12" t="str">
        <f t="shared" si="61"/>
        <v xml:space="preserve"> </v>
      </c>
    </row>
    <row r="2592" spans="4:12" x14ac:dyDescent="0.35">
      <c r="D2592" s="32"/>
      <c r="G2592" s="32"/>
      <c r="H2592">
        <f>COUNTIFS('Audit Raw data'!J:J,B:B,'Audit Raw data'!E:E,G:G)</f>
        <v>0</v>
      </c>
      <c r="I2592" s="44" t="str">
        <f>IFERROR((SUMIFS('Audit Raw data'!BZ:BZ,'Audit Raw data'!J:J,B:B,'Audit Raw data'!E:E,G:G)/H2592)/100,"-")</f>
        <v>-</v>
      </c>
      <c r="J2592">
        <f>COUNTIFS('Audit Raw data'!AM:AM,"Yes",'Audit Raw data'!J:J,B:B,'Audit Raw data'!E:E,'Day wise agent'!G:G)</f>
        <v>0</v>
      </c>
      <c r="K2592">
        <f>COUNTIFS('Audit Raw data'!AM:AM,"NO",'Audit Raw data'!J:J,B:B,'Audit Raw data'!E:E,'Day wise agent'!G:G)</f>
        <v>0</v>
      </c>
      <c r="L2592" s="12" t="str">
        <f t="shared" si="61"/>
        <v xml:space="preserve"> </v>
      </c>
    </row>
    <row r="2593" spans="4:12" x14ac:dyDescent="0.35">
      <c r="D2593" s="32"/>
      <c r="G2593" s="32"/>
      <c r="H2593">
        <f>COUNTIFS('Audit Raw data'!J:J,B:B,'Audit Raw data'!E:E,G:G)</f>
        <v>0</v>
      </c>
      <c r="I2593" s="44" t="str">
        <f>IFERROR((SUMIFS('Audit Raw data'!BZ:BZ,'Audit Raw data'!J:J,B:B,'Audit Raw data'!E:E,G:G)/H2593)/100,"-")</f>
        <v>-</v>
      </c>
      <c r="J2593">
        <f>COUNTIFS('Audit Raw data'!AM:AM,"Yes",'Audit Raw data'!J:J,B:B,'Audit Raw data'!E:E,'Day wise agent'!G:G)</f>
        <v>0</v>
      </c>
      <c r="K2593">
        <f>COUNTIFS('Audit Raw data'!AM:AM,"NO",'Audit Raw data'!J:J,B:B,'Audit Raw data'!E:E,'Day wise agent'!G:G)</f>
        <v>0</v>
      </c>
      <c r="L2593" s="12" t="str">
        <f t="shared" si="61"/>
        <v xml:space="preserve"> </v>
      </c>
    </row>
    <row r="2594" spans="4:12" x14ac:dyDescent="0.35">
      <c r="D2594" s="32"/>
      <c r="G2594" s="32"/>
      <c r="H2594">
        <f>COUNTIFS('Audit Raw data'!J:J,B:B,'Audit Raw data'!E:E,G:G)</f>
        <v>0</v>
      </c>
      <c r="I2594" s="44" t="str">
        <f>IFERROR((SUMIFS('Audit Raw data'!BZ:BZ,'Audit Raw data'!J:J,B:B,'Audit Raw data'!E:E,G:G)/H2594)/100,"-")</f>
        <v>-</v>
      </c>
      <c r="J2594">
        <f>COUNTIFS('Audit Raw data'!AM:AM,"Yes",'Audit Raw data'!J:J,B:B,'Audit Raw data'!E:E,'Day wise agent'!G:G)</f>
        <v>0</v>
      </c>
      <c r="K2594">
        <f>COUNTIFS('Audit Raw data'!AM:AM,"NO",'Audit Raw data'!J:J,B:B,'Audit Raw data'!E:E,'Day wise agent'!G:G)</f>
        <v>0</v>
      </c>
      <c r="L2594" s="12" t="str">
        <f t="shared" si="61"/>
        <v xml:space="preserve"> </v>
      </c>
    </row>
    <row r="2595" spans="4:12" x14ac:dyDescent="0.35">
      <c r="D2595" s="32"/>
      <c r="G2595" s="32"/>
      <c r="H2595">
        <f>COUNTIFS('Audit Raw data'!J:J,B:B,'Audit Raw data'!E:E,G:G)</f>
        <v>0</v>
      </c>
      <c r="I2595" s="44" t="str">
        <f>IFERROR((SUMIFS('Audit Raw data'!BZ:BZ,'Audit Raw data'!J:J,B:B,'Audit Raw data'!E:E,G:G)/H2595)/100,"-")</f>
        <v>-</v>
      </c>
      <c r="J2595">
        <f>COUNTIFS('Audit Raw data'!AM:AM,"Yes",'Audit Raw data'!J:J,B:B,'Audit Raw data'!E:E,'Day wise agent'!G:G)</f>
        <v>0</v>
      </c>
      <c r="K2595">
        <f>COUNTIFS('Audit Raw data'!AM:AM,"NO",'Audit Raw data'!J:J,B:B,'Audit Raw data'!E:E,'Day wise agent'!G:G)</f>
        <v>0</v>
      </c>
      <c r="L2595" s="12" t="str">
        <f t="shared" si="61"/>
        <v xml:space="preserve"> </v>
      </c>
    </row>
    <row r="2596" spans="4:12" x14ac:dyDescent="0.35">
      <c r="D2596" s="32"/>
      <c r="G2596" s="32"/>
      <c r="H2596">
        <f>COUNTIFS('Audit Raw data'!J:J,B:B,'Audit Raw data'!E:E,G:G)</f>
        <v>0</v>
      </c>
      <c r="I2596" s="44" t="str">
        <f>IFERROR((SUMIFS('Audit Raw data'!BZ:BZ,'Audit Raw data'!J:J,B:B,'Audit Raw data'!E:E,G:G)/H2596)/100,"-")</f>
        <v>-</v>
      </c>
      <c r="J2596">
        <f>COUNTIFS('Audit Raw data'!AM:AM,"Yes",'Audit Raw data'!J:J,B:B,'Audit Raw data'!E:E,'Day wise agent'!G:G)</f>
        <v>0</v>
      </c>
      <c r="K2596">
        <f>COUNTIFS('Audit Raw data'!AM:AM,"NO",'Audit Raw data'!J:J,B:B,'Audit Raw data'!E:E,'Day wise agent'!G:G)</f>
        <v>0</v>
      </c>
      <c r="L2596" s="12" t="str">
        <f t="shared" si="61"/>
        <v xml:space="preserve"> </v>
      </c>
    </row>
    <row r="2597" spans="4:12" x14ac:dyDescent="0.35">
      <c r="D2597" s="32"/>
      <c r="G2597" s="32"/>
      <c r="H2597">
        <f>COUNTIFS('Audit Raw data'!J:J,B:B,'Audit Raw data'!E:E,G:G)</f>
        <v>0</v>
      </c>
      <c r="I2597" s="44" t="str">
        <f>IFERROR((SUMIFS('Audit Raw data'!BZ:BZ,'Audit Raw data'!J:J,B:B,'Audit Raw data'!E:E,G:G)/H2597)/100,"-")</f>
        <v>-</v>
      </c>
      <c r="J2597">
        <f>COUNTIFS('Audit Raw data'!AM:AM,"Yes",'Audit Raw data'!J:J,B:B,'Audit Raw data'!E:E,'Day wise agent'!G:G)</f>
        <v>0</v>
      </c>
      <c r="K2597">
        <f>COUNTIFS('Audit Raw data'!AM:AM,"NO",'Audit Raw data'!J:J,B:B,'Audit Raw data'!E:E,'Day wise agent'!G:G)</f>
        <v>0</v>
      </c>
      <c r="L2597" s="12" t="str">
        <f t="shared" si="61"/>
        <v xml:space="preserve"> </v>
      </c>
    </row>
    <row r="2598" spans="4:12" x14ac:dyDescent="0.35">
      <c r="D2598" s="32"/>
      <c r="G2598" s="32"/>
      <c r="H2598">
        <f>COUNTIFS('Audit Raw data'!J:J,B:B,'Audit Raw data'!E:E,G:G)</f>
        <v>0</v>
      </c>
      <c r="I2598" s="44" t="str">
        <f>IFERROR((SUMIFS('Audit Raw data'!BZ:BZ,'Audit Raw data'!J:J,B:B,'Audit Raw data'!E:E,G:G)/H2598)/100,"-")</f>
        <v>-</v>
      </c>
      <c r="J2598">
        <f>COUNTIFS('Audit Raw data'!AM:AM,"Yes",'Audit Raw data'!J:J,B:B,'Audit Raw data'!E:E,'Day wise agent'!G:G)</f>
        <v>0</v>
      </c>
      <c r="K2598">
        <f>COUNTIFS('Audit Raw data'!AM:AM,"NO",'Audit Raw data'!J:J,B:B,'Audit Raw data'!E:E,'Day wise agent'!G:G)</f>
        <v>0</v>
      </c>
      <c r="L2598" s="12" t="str">
        <f t="shared" si="61"/>
        <v xml:space="preserve"> </v>
      </c>
    </row>
    <row r="2599" spans="4:12" x14ac:dyDescent="0.35">
      <c r="D2599" s="32"/>
      <c r="G2599" s="32"/>
      <c r="H2599">
        <f>COUNTIFS('Audit Raw data'!J:J,B:B,'Audit Raw data'!E:E,G:G)</f>
        <v>0</v>
      </c>
      <c r="I2599" s="44" t="str">
        <f>IFERROR((SUMIFS('Audit Raw data'!BZ:BZ,'Audit Raw data'!J:J,B:B,'Audit Raw data'!E:E,G:G)/H2599)/100,"-")</f>
        <v>-</v>
      </c>
      <c r="J2599">
        <f>COUNTIFS('Audit Raw data'!AM:AM,"Yes",'Audit Raw data'!J:J,B:B,'Audit Raw data'!E:E,'Day wise agent'!G:G)</f>
        <v>0</v>
      </c>
      <c r="K2599">
        <f>COUNTIFS('Audit Raw data'!AM:AM,"NO",'Audit Raw data'!J:J,B:B,'Audit Raw data'!E:E,'Day wise agent'!G:G)</f>
        <v>0</v>
      </c>
      <c r="L2599" s="12" t="str">
        <f t="shared" si="61"/>
        <v xml:space="preserve"> </v>
      </c>
    </row>
    <row r="2600" spans="4:12" x14ac:dyDescent="0.35">
      <c r="D2600" s="32"/>
      <c r="G2600" s="32"/>
      <c r="H2600">
        <f>COUNTIFS('Audit Raw data'!J:J,B:B,'Audit Raw data'!E:E,G:G)</f>
        <v>0</v>
      </c>
      <c r="I2600" s="44" t="str">
        <f>IFERROR((SUMIFS('Audit Raw data'!BZ:BZ,'Audit Raw data'!J:J,B:B,'Audit Raw data'!E:E,G:G)/H2600)/100,"-")</f>
        <v>-</v>
      </c>
      <c r="J2600">
        <f>COUNTIFS('Audit Raw data'!AM:AM,"Yes",'Audit Raw data'!J:J,B:B,'Audit Raw data'!E:E,'Day wise agent'!G:G)</f>
        <v>0</v>
      </c>
      <c r="K2600">
        <f>COUNTIFS('Audit Raw data'!AM:AM,"NO",'Audit Raw data'!J:J,B:B,'Audit Raw data'!E:E,'Day wise agent'!G:G)</f>
        <v>0</v>
      </c>
      <c r="L2600" s="12" t="str">
        <f t="shared" si="61"/>
        <v xml:space="preserve"> </v>
      </c>
    </row>
    <row r="2601" spans="4:12" x14ac:dyDescent="0.35">
      <c r="D2601" s="32"/>
      <c r="G2601" s="32"/>
      <c r="H2601">
        <f>COUNTIFS('Audit Raw data'!J:J,B:B,'Audit Raw data'!E:E,G:G)</f>
        <v>0</v>
      </c>
      <c r="I2601" s="44" t="str">
        <f>IFERROR((SUMIFS('Audit Raw data'!BZ:BZ,'Audit Raw data'!J:J,B:B,'Audit Raw data'!E:E,G:G)/H2601)/100,"-")</f>
        <v>-</v>
      </c>
      <c r="J2601">
        <f>COUNTIFS('Audit Raw data'!AM:AM,"Yes",'Audit Raw data'!J:J,B:B,'Audit Raw data'!E:E,'Day wise agent'!G:G)</f>
        <v>0</v>
      </c>
      <c r="K2601">
        <f>COUNTIFS('Audit Raw data'!AM:AM,"NO",'Audit Raw data'!J:J,B:B,'Audit Raw data'!E:E,'Day wise agent'!G:G)</f>
        <v>0</v>
      </c>
      <c r="L2601" s="12" t="str">
        <f t="shared" si="61"/>
        <v xml:space="preserve"> </v>
      </c>
    </row>
    <row r="2602" spans="4:12" x14ac:dyDescent="0.35">
      <c r="D2602" s="32"/>
      <c r="G2602" s="32"/>
      <c r="H2602">
        <f>COUNTIFS('Audit Raw data'!J:J,B:B,'Audit Raw data'!E:E,G:G)</f>
        <v>0</v>
      </c>
      <c r="I2602" s="44" t="str">
        <f>IFERROR((SUMIFS('Audit Raw data'!BZ:BZ,'Audit Raw data'!J:J,B:B,'Audit Raw data'!E:E,G:G)/H2602)/100,"-")</f>
        <v>-</v>
      </c>
      <c r="J2602">
        <f>COUNTIFS('Audit Raw data'!AM:AM,"Yes",'Audit Raw data'!J:J,B:B,'Audit Raw data'!E:E,'Day wise agent'!G:G)</f>
        <v>0</v>
      </c>
      <c r="K2602">
        <f>COUNTIFS('Audit Raw data'!AM:AM,"NO",'Audit Raw data'!J:J,B:B,'Audit Raw data'!E:E,'Day wise agent'!G:G)</f>
        <v>0</v>
      </c>
      <c r="L2602" s="12" t="str">
        <f t="shared" si="61"/>
        <v xml:space="preserve"> </v>
      </c>
    </row>
    <row r="2603" spans="4:12" x14ac:dyDescent="0.35">
      <c r="D2603" s="32"/>
      <c r="G2603" s="32"/>
      <c r="H2603">
        <f>COUNTIFS('Audit Raw data'!J:J,B:B,'Audit Raw data'!E:E,G:G)</f>
        <v>0</v>
      </c>
      <c r="I2603" s="44" t="str">
        <f>IFERROR((SUMIFS('Audit Raw data'!BZ:BZ,'Audit Raw data'!J:J,B:B,'Audit Raw data'!E:E,G:G)/H2603)/100,"-")</f>
        <v>-</v>
      </c>
      <c r="J2603">
        <f>COUNTIFS('Audit Raw data'!AM:AM,"Yes",'Audit Raw data'!J:J,B:B,'Audit Raw data'!E:E,'Day wise agent'!G:G)</f>
        <v>0</v>
      </c>
      <c r="K2603">
        <f>COUNTIFS('Audit Raw data'!AM:AM,"NO",'Audit Raw data'!J:J,B:B,'Audit Raw data'!E:E,'Day wise agent'!G:G)</f>
        <v>0</v>
      </c>
      <c r="L2603" s="12" t="str">
        <f t="shared" si="61"/>
        <v xml:space="preserve"> </v>
      </c>
    </row>
    <row r="2604" spans="4:12" x14ac:dyDescent="0.35">
      <c r="D2604" s="32"/>
      <c r="G2604" s="32"/>
      <c r="H2604">
        <f>COUNTIFS('Audit Raw data'!J:J,B:B,'Audit Raw data'!E:E,G:G)</f>
        <v>0</v>
      </c>
      <c r="I2604" s="44" t="str">
        <f>IFERROR((SUMIFS('Audit Raw data'!BZ:BZ,'Audit Raw data'!J:J,B:B,'Audit Raw data'!E:E,G:G)/H2604)/100,"-")</f>
        <v>-</v>
      </c>
      <c r="J2604">
        <f>COUNTIFS('Audit Raw data'!AM:AM,"Yes",'Audit Raw data'!J:J,B:B,'Audit Raw data'!E:E,'Day wise agent'!G:G)</f>
        <v>0</v>
      </c>
      <c r="K2604">
        <f>COUNTIFS('Audit Raw data'!AM:AM,"NO",'Audit Raw data'!J:J,B:B,'Audit Raw data'!E:E,'Day wise agent'!G:G)</f>
        <v>0</v>
      </c>
      <c r="L2604" s="12" t="str">
        <f t="shared" si="61"/>
        <v xml:space="preserve"> </v>
      </c>
    </row>
    <row r="2605" spans="4:12" x14ac:dyDescent="0.35">
      <c r="D2605" s="32"/>
      <c r="G2605" s="32"/>
      <c r="H2605">
        <f>COUNTIFS('Audit Raw data'!J:J,B:B,'Audit Raw data'!E:E,G:G)</f>
        <v>0</v>
      </c>
      <c r="I2605" s="44" t="str">
        <f>IFERROR((SUMIFS('Audit Raw data'!BZ:BZ,'Audit Raw data'!J:J,B:B,'Audit Raw data'!E:E,G:G)/H2605)/100,"-")</f>
        <v>-</v>
      </c>
      <c r="J2605">
        <f>COUNTIFS('Audit Raw data'!AM:AM,"Yes",'Audit Raw data'!J:J,B:B,'Audit Raw data'!E:E,'Day wise agent'!G:G)</f>
        <v>0</v>
      </c>
      <c r="K2605">
        <f>COUNTIFS('Audit Raw data'!AM:AM,"NO",'Audit Raw data'!J:J,B:B,'Audit Raw data'!E:E,'Day wise agent'!G:G)</f>
        <v>0</v>
      </c>
      <c r="L2605" s="12" t="str">
        <f t="shared" si="61"/>
        <v xml:space="preserve"> </v>
      </c>
    </row>
    <row r="2606" spans="4:12" x14ac:dyDescent="0.35">
      <c r="D2606" s="32"/>
      <c r="G2606" s="32"/>
      <c r="H2606">
        <f>COUNTIFS('Audit Raw data'!J:J,B:B,'Audit Raw data'!E:E,G:G)</f>
        <v>0</v>
      </c>
      <c r="I2606" s="44" t="str">
        <f>IFERROR((SUMIFS('Audit Raw data'!BZ:BZ,'Audit Raw data'!J:J,B:B,'Audit Raw data'!E:E,G:G)/H2606)/100,"-")</f>
        <v>-</v>
      </c>
      <c r="J2606">
        <f>COUNTIFS('Audit Raw data'!AM:AM,"Yes",'Audit Raw data'!J:J,B:B,'Audit Raw data'!E:E,'Day wise agent'!G:G)</f>
        <v>0</v>
      </c>
      <c r="K2606">
        <f>COUNTIFS('Audit Raw data'!AM:AM,"NO",'Audit Raw data'!J:J,B:B,'Audit Raw data'!E:E,'Day wise agent'!G:G)</f>
        <v>0</v>
      </c>
      <c r="L2606" s="12" t="str">
        <f t="shared" si="61"/>
        <v xml:space="preserve"> </v>
      </c>
    </row>
    <row r="2607" spans="4:12" x14ac:dyDescent="0.35">
      <c r="D2607" s="32"/>
      <c r="G2607" s="32"/>
      <c r="H2607">
        <f>COUNTIFS('Audit Raw data'!J:J,B:B,'Audit Raw data'!E:E,G:G)</f>
        <v>0</v>
      </c>
      <c r="I2607" s="44" t="str">
        <f>IFERROR((SUMIFS('Audit Raw data'!BZ:BZ,'Audit Raw data'!J:J,B:B,'Audit Raw data'!E:E,G:G)/H2607)/100,"-")</f>
        <v>-</v>
      </c>
      <c r="J2607">
        <f>COUNTIFS('Audit Raw data'!AM:AM,"Yes",'Audit Raw data'!J:J,B:B,'Audit Raw data'!E:E,'Day wise agent'!G:G)</f>
        <v>0</v>
      </c>
      <c r="K2607">
        <f>COUNTIFS('Audit Raw data'!AM:AM,"NO",'Audit Raw data'!J:J,B:B,'Audit Raw data'!E:E,'Day wise agent'!G:G)</f>
        <v>0</v>
      </c>
      <c r="L2607" s="12" t="str">
        <f t="shared" si="61"/>
        <v xml:space="preserve"> </v>
      </c>
    </row>
    <row r="2608" spans="4:12" x14ac:dyDescent="0.35">
      <c r="D2608" s="32"/>
      <c r="G2608" s="32"/>
      <c r="H2608">
        <f>COUNTIFS('Audit Raw data'!J:J,B:B,'Audit Raw data'!E:E,G:G)</f>
        <v>0</v>
      </c>
      <c r="I2608" s="44" t="str">
        <f>IFERROR((SUMIFS('Audit Raw data'!BZ:BZ,'Audit Raw data'!J:J,B:B,'Audit Raw data'!E:E,G:G)/H2608)/100,"-")</f>
        <v>-</v>
      </c>
      <c r="J2608">
        <f>COUNTIFS('Audit Raw data'!AM:AM,"Yes",'Audit Raw data'!J:J,B:B,'Audit Raw data'!E:E,'Day wise agent'!G:G)</f>
        <v>0</v>
      </c>
      <c r="K2608">
        <f>COUNTIFS('Audit Raw data'!AM:AM,"NO",'Audit Raw data'!J:J,B:B,'Audit Raw data'!E:E,'Day wise agent'!G:G)</f>
        <v>0</v>
      </c>
      <c r="L2608" s="12" t="str">
        <f t="shared" si="61"/>
        <v xml:space="preserve"> </v>
      </c>
    </row>
    <row r="2609" spans="4:12" x14ac:dyDescent="0.35">
      <c r="D2609" s="32"/>
      <c r="G2609" s="32"/>
      <c r="H2609">
        <f>COUNTIFS('Audit Raw data'!J:J,B:B,'Audit Raw data'!E:E,G:G)</f>
        <v>0</v>
      </c>
      <c r="I2609" s="44" t="str">
        <f>IFERROR((SUMIFS('Audit Raw data'!BZ:BZ,'Audit Raw data'!J:J,B:B,'Audit Raw data'!E:E,G:G)/H2609)/100,"-")</f>
        <v>-</v>
      </c>
      <c r="J2609">
        <f>COUNTIFS('Audit Raw data'!AM:AM,"Yes",'Audit Raw data'!J:J,B:B,'Audit Raw data'!E:E,'Day wise agent'!G:G)</f>
        <v>0</v>
      </c>
      <c r="K2609">
        <f>COUNTIFS('Audit Raw data'!AM:AM,"NO",'Audit Raw data'!J:J,B:B,'Audit Raw data'!E:E,'Day wise agent'!G:G)</f>
        <v>0</v>
      </c>
      <c r="L2609" s="12" t="str">
        <f t="shared" si="61"/>
        <v xml:space="preserve"> </v>
      </c>
    </row>
    <row r="2610" spans="4:12" x14ac:dyDescent="0.35">
      <c r="D2610" s="32"/>
      <c r="G2610" s="32"/>
      <c r="H2610">
        <f>COUNTIFS('Audit Raw data'!J:J,B:B,'Audit Raw data'!E:E,G:G)</f>
        <v>0</v>
      </c>
      <c r="I2610" s="44" t="str">
        <f>IFERROR((SUMIFS('Audit Raw data'!BZ:BZ,'Audit Raw data'!J:J,B:B,'Audit Raw data'!E:E,G:G)/H2610)/100,"-")</f>
        <v>-</v>
      </c>
      <c r="J2610">
        <f>COUNTIFS('Audit Raw data'!AM:AM,"Yes",'Audit Raw data'!J:J,B:B,'Audit Raw data'!E:E,'Day wise agent'!G:G)</f>
        <v>0</v>
      </c>
      <c r="K2610">
        <f>COUNTIFS('Audit Raw data'!AM:AM,"NO",'Audit Raw data'!J:J,B:B,'Audit Raw data'!E:E,'Day wise agent'!G:G)</f>
        <v>0</v>
      </c>
      <c r="L2610" s="12" t="str">
        <f t="shared" si="61"/>
        <v xml:space="preserve"> </v>
      </c>
    </row>
    <row r="2611" spans="4:12" x14ac:dyDescent="0.35">
      <c r="D2611" s="32"/>
      <c r="G2611" s="32"/>
      <c r="H2611">
        <f>COUNTIFS('Audit Raw data'!J:J,B:B,'Audit Raw data'!E:E,G:G)</f>
        <v>0</v>
      </c>
      <c r="I2611" s="44" t="str">
        <f>IFERROR((SUMIFS('Audit Raw data'!BZ:BZ,'Audit Raw data'!J:J,B:B,'Audit Raw data'!E:E,G:G)/H2611)/100,"-")</f>
        <v>-</v>
      </c>
      <c r="J2611">
        <f>COUNTIFS('Audit Raw data'!AM:AM,"Yes",'Audit Raw data'!J:J,B:B,'Audit Raw data'!E:E,'Day wise agent'!G:G)</f>
        <v>0</v>
      </c>
      <c r="K2611">
        <f>COUNTIFS('Audit Raw data'!AM:AM,"NO",'Audit Raw data'!J:J,B:B,'Audit Raw data'!E:E,'Day wise agent'!G:G)</f>
        <v>0</v>
      </c>
      <c r="L2611" s="12" t="str">
        <f t="shared" si="61"/>
        <v xml:space="preserve"> </v>
      </c>
    </row>
    <row r="2612" spans="4:12" x14ac:dyDescent="0.35">
      <c r="D2612" s="32"/>
      <c r="G2612" s="32"/>
      <c r="H2612">
        <f>COUNTIFS('Audit Raw data'!J:J,B:B,'Audit Raw data'!E:E,G:G)</f>
        <v>0</v>
      </c>
      <c r="I2612" s="44" t="str">
        <f>IFERROR((SUMIFS('Audit Raw data'!BZ:BZ,'Audit Raw data'!J:J,B:B,'Audit Raw data'!E:E,G:G)/H2612)/100,"-")</f>
        <v>-</v>
      </c>
      <c r="J2612">
        <f>COUNTIFS('Audit Raw data'!AM:AM,"Yes",'Audit Raw data'!J:J,B:B,'Audit Raw data'!E:E,'Day wise agent'!G:G)</f>
        <v>0</v>
      </c>
      <c r="K2612">
        <f>COUNTIFS('Audit Raw data'!AM:AM,"NO",'Audit Raw data'!J:J,B:B,'Audit Raw data'!E:E,'Day wise agent'!G:G)</f>
        <v>0</v>
      </c>
      <c r="L2612" s="12" t="str">
        <f t="shared" si="61"/>
        <v xml:space="preserve"> </v>
      </c>
    </row>
    <row r="2613" spans="4:12" x14ac:dyDescent="0.35">
      <c r="D2613" s="32"/>
      <c r="G2613" s="32"/>
      <c r="H2613">
        <f>COUNTIFS('Audit Raw data'!J:J,B:B,'Audit Raw data'!E:E,G:G)</f>
        <v>0</v>
      </c>
      <c r="I2613" s="44" t="str">
        <f>IFERROR((SUMIFS('Audit Raw data'!BZ:BZ,'Audit Raw data'!J:J,B:B,'Audit Raw data'!E:E,G:G)/H2613)/100,"-")</f>
        <v>-</v>
      </c>
      <c r="J2613">
        <f>COUNTIFS('Audit Raw data'!AM:AM,"Yes",'Audit Raw data'!J:J,B:B,'Audit Raw data'!E:E,'Day wise agent'!G:G)</f>
        <v>0</v>
      </c>
      <c r="K2613">
        <f>COUNTIFS('Audit Raw data'!AM:AM,"NO",'Audit Raw data'!J:J,B:B,'Audit Raw data'!E:E,'Day wise agent'!G:G)</f>
        <v>0</v>
      </c>
      <c r="L2613" s="12" t="str">
        <f t="shared" si="61"/>
        <v xml:space="preserve"> </v>
      </c>
    </row>
    <row r="2614" spans="4:12" x14ac:dyDescent="0.35">
      <c r="D2614" s="32"/>
      <c r="G2614" s="32"/>
      <c r="H2614">
        <f>COUNTIFS('Audit Raw data'!J:J,B:B,'Audit Raw data'!E:E,G:G)</f>
        <v>0</v>
      </c>
      <c r="I2614" s="44" t="str">
        <f>IFERROR((SUMIFS('Audit Raw data'!BZ:BZ,'Audit Raw data'!J:J,B:B,'Audit Raw data'!E:E,G:G)/H2614)/100,"-")</f>
        <v>-</v>
      </c>
      <c r="J2614">
        <f>COUNTIFS('Audit Raw data'!AM:AM,"Yes",'Audit Raw data'!J:J,B:B,'Audit Raw data'!E:E,'Day wise agent'!G:G)</f>
        <v>0</v>
      </c>
      <c r="K2614">
        <f>COUNTIFS('Audit Raw data'!AM:AM,"NO",'Audit Raw data'!J:J,B:B,'Audit Raw data'!E:E,'Day wise agent'!G:G)</f>
        <v>0</v>
      </c>
      <c r="L2614" s="12" t="str">
        <f t="shared" si="61"/>
        <v xml:space="preserve"> </v>
      </c>
    </row>
    <row r="2615" spans="4:12" x14ac:dyDescent="0.35">
      <c r="D2615" s="32"/>
      <c r="G2615" s="32"/>
      <c r="H2615">
        <f>COUNTIFS('Audit Raw data'!J:J,B:B,'Audit Raw data'!E:E,G:G)</f>
        <v>0</v>
      </c>
      <c r="I2615" s="44" t="str">
        <f>IFERROR((SUMIFS('Audit Raw data'!BZ:BZ,'Audit Raw data'!J:J,B:B,'Audit Raw data'!E:E,G:G)/H2615)/100,"-")</f>
        <v>-</v>
      </c>
      <c r="J2615">
        <f>COUNTIFS('Audit Raw data'!AM:AM,"Yes",'Audit Raw data'!J:J,B:B,'Audit Raw data'!E:E,'Day wise agent'!G:G)</f>
        <v>0</v>
      </c>
      <c r="K2615">
        <f>COUNTIFS('Audit Raw data'!AM:AM,"NO",'Audit Raw data'!J:J,B:B,'Audit Raw data'!E:E,'Day wise agent'!G:G)</f>
        <v>0</v>
      </c>
      <c r="L2615" s="12" t="str">
        <f t="shared" si="61"/>
        <v xml:space="preserve"> </v>
      </c>
    </row>
    <row r="2616" spans="4:12" x14ac:dyDescent="0.35">
      <c r="D2616" s="32"/>
      <c r="G2616" s="32"/>
      <c r="H2616">
        <f>COUNTIFS('Audit Raw data'!J:J,B:B,'Audit Raw data'!E:E,G:G)</f>
        <v>0</v>
      </c>
      <c r="I2616" s="44" t="str">
        <f>IFERROR((SUMIFS('Audit Raw data'!BZ:BZ,'Audit Raw data'!J:J,B:B,'Audit Raw data'!E:E,G:G)/H2616)/100,"-")</f>
        <v>-</v>
      </c>
      <c r="J2616">
        <f>COUNTIFS('Audit Raw data'!AM:AM,"Yes",'Audit Raw data'!J:J,B:B,'Audit Raw data'!E:E,'Day wise agent'!G:G)</f>
        <v>0</v>
      </c>
      <c r="K2616">
        <f>COUNTIFS('Audit Raw data'!AM:AM,"NO",'Audit Raw data'!J:J,B:B,'Audit Raw data'!E:E,'Day wise agent'!G:G)</f>
        <v>0</v>
      </c>
      <c r="L2616" s="12" t="str">
        <f t="shared" si="61"/>
        <v xml:space="preserve"> </v>
      </c>
    </row>
    <row r="2617" spans="4:12" x14ac:dyDescent="0.35">
      <c r="D2617" s="32"/>
      <c r="G2617" s="32"/>
      <c r="H2617">
        <f>COUNTIFS('Audit Raw data'!J:J,B:B,'Audit Raw data'!E:E,G:G)</f>
        <v>0</v>
      </c>
      <c r="I2617" s="44" t="str">
        <f>IFERROR((SUMIFS('Audit Raw data'!BZ:BZ,'Audit Raw data'!J:J,B:B,'Audit Raw data'!E:E,G:G)/H2617)/100,"-")</f>
        <v>-</v>
      </c>
      <c r="J2617">
        <f>COUNTIFS('Audit Raw data'!AM:AM,"Yes",'Audit Raw data'!J:J,B:B,'Audit Raw data'!E:E,'Day wise agent'!G:G)</f>
        <v>0</v>
      </c>
      <c r="K2617">
        <f>COUNTIFS('Audit Raw data'!AM:AM,"NO",'Audit Raw data'!J:J,B:B,'Audit Raw data'!E:E,'Day wise agent'!G:G)</f>
        <v>0</v>
      </c>
      <c r="L2617" s="12" t="str">
        <f t="shared" si="61"/>
        <v xml:space="preserve"> </v>
      </c>
    </row>
    <row r="2618" spans="4:12" x14ac:dyDescent="0.35">
      <c r="D2618" s="32"/>
      <c r="G2618" s="32"/>
      <c r="H2618">
        <f>COUNTIFS('Audit Raw data'!J:J,B:B,'Audit Raw data'!E:E,G:G)</f>
        <v>0</v>
      </c>
      <c r="I2618" s="44" t="str">
        <f>IFERROR((SUMIFS('Audit Raw data'!BZ:BZ,'Audit Raw data'!J:J,B:B,'Audit Raw data'!E:E,G:G)/H2618)/100,"-")</f>
        <v>-</v>
      </c>
      <c r="J2618">
        <f>COUNTIFS('Audit Raw data'!AM:AM,"Yes",'Audit Raw data'!J:J,B:B,'Audit Raw data'!E:E,'Day wise agent'!G:G)</f>
        <v>0</v>
      </c>
      <c r="K2618">
        <f>COUNTIFS('Audit Raw data'!AM:AM,"NO",'Audit Raw data'!J:J,B:B,'Audit Raw data'!E:E,'Day wise agent'!G:G)</f>
        <v>0</v>
      </c>
      <c r="L2618" s="12" t="str">
        <f t="shared" si="61"/>
        <v xml:space="preserve"> </v>
      </c>
    </row>
    <row r="2619" spans="4:12" x14ac:dyDescent="0.35">
      <c r="D2619" s="32"/>
      <c r="G2619" s="32"/>
      <c r="H2619">
        <f>COUNTIFS('Audit Raw data'!J:J,B:B,'Audit Raw data'!E:E,G:G)</f>
        <v>0</v>
      </c>
      <c r="I2619" s="44" t="str">
        <f>IFERROR((SUMIFS('Audit Raw data'!BZ:BZ,'Audit Raw data'!J:J,B:B,'Audit Raw data'!E:E,G:G)/H2619)/100,"-")</f>
        <v>-</v>
      </c>
      <c r="J2619">
        <f>COUNTIFS('Audit Raw data'!AM:AM,"Yes",'Audit Raw data'!J:J,B:B,'Audit Raw data'!E:E,'Day wise agent'!G:G)</f>
        <v>0</v>
      </c>
      <c r="K2619">
        <f>COUNTIFS('Audit Raw data'!AM:AM,"NO",'Audit Raw data'!J:J,B:B,'Audit Raw data'!E:E,'Day wise agent'!G:G)</f>
        <v>0</v>
      </c>
      <c r="L2619" s="12" t="str">
        <f t="shared" si="61"/>
        <v xml:space="preserve"> </v>
      </c>
    </row>
    <row r="2620" spans="4:12" x14ac:dyDescent="0.35">
      <c r="D2620" s="32"/>
      <c r="G2620" s="32"/>
      <c r="H2620">
        <f>COUNTIFS('Audit Raw data'!J:J,B:B,'Audit Raw data'!E:E,G:G)</f>
        <v>0</v>
      </c>
      <c r="I2620" s="44" t="str">
        <f>IFERROR((SUMIFS('Audit Raw data'!BZ:BZ,'Audit Raw data'!J:J,B:B,'Audit Raw data'!E:E,G:G)/H2620)/100,"-")</f>
        <v>-</v>
      </c>
      <c r="J2620">
        <f>COUNTIFS('Audit Raw data'!AM:AM,"Yes",'Audit Raw data'!J:J,B:B,'Audit Raw data'!E:E,'Day wise agent'!G:G)</f>
        <v>0</v>
      </c>
      <c r="K2620">
        <f>COUNTIFS('Audit Raw data'!AM:AM,"NO",'Audit Raw data'!J:J,B:B,'Audit Raw data'!E:E,'Day wise agent'!G:G)</f>
        <v>0</v>
      </c>
      <c r="L2620" s="12" t="str">
        <f t="shared" si="61"/>
        <v xml:space="preserve"> </v>
      </c>
    </row>
    <row r="2621" spans="4:12" x14ac:dyDescent="0.35">
      <c r="D2621" s="32"/>
      <c r="G2621" s="32"/>
      <c r="H2621">
        <f>COUNTIFS('Audit Raw data'!J:J,B:B,'Audit Raw data'!E:E,G:G)</f>
        <v>0</v>
      </c>
      <c r="I2621" s="44" t="str">
        <f>IFERROR((SUMIFS('Audit Raw data'!BZ:BZ,'Audit Raw data'!J:J,B:B,'Audit Raw data'!E:E,G:G)/H2621)/100,"-")</f>
        <v>-</v>
      </c>
      <c r="J2621">
        <f>COUNTIFS('Audit Raw data'!AM:AM,"Yes",'Audit Raw data'!J:J,B:B,'Audit Raw data'!E:E,'Day wise agent'!G:G)</f>
        <v>0</v>
      </c>
      <c r="K2621">
        <f>COUNTIFS('Audit Raw data'!AM:AM,"NO",'Audit Raw data'!J:J,B:B,'Audit Raw data'!E:E,'Day wise agent'!G:G)</f>
        <v>0</v>
      </c>
      <c r="L2621" s="12" t="str">
        <f t="shared" si="61"/>
        <v xml:space="preserve"> </v>
      </c>
    </row>
    <row r="2622" spans="4:12" x14ac:dyDescent="0.35">
      <c r="D2622" s="32"/>
      <c r="G2622" s="32"/>
      <c r="H2622">
        <f>COUNTIFS('Audit Raw data'!J:J,B:B,'Audit Raw data'!E:E,G:G)</f>
        <v>0</v>
      </c>
      <c r="I2622" s="44" t="str">
        <f>IFERROR((SUMIFS('Audit Raw data'!BZ:BZ,'Audit Raw data'!J:J,B:B,'Audit Raw data'!E:E,G:G)/H2622)/100,"-")</f>
        <v>-</v>
      </c>
      <c r="J2622">
        <f>COUNTIFS('Audit Raw data'!AM:AM,"Yes",'Audit Raw data'!J:J,B:B,'Audit Raw data'!E:E,'Day wise agent'!G:G)</f>
        <v>0</v>
      </c>
      <c r="K2622">
        <f>COUNTIFS('Audit Raw data'!AM:AM,"NO",'Audit Raw data'!J:J,B:B,'Audit Raw data'!E:E,'Day wise agent'!G:G)</f>
        <v>0</v>
      </c>
      <c r="L2622" s="12" t="str">
        <f t="shared" si="61"/>
        <v xml:space="preserve"> </v>
      </c>
    </row>
    <row r="2623" spans="4:12" x14ac:dyDescent="0.35">
      <c r="D2623" s="32"/>
      <c r="G2623" s="32"/>
      <c r="H2623">
        <f>COUNTIFS('Audit Raw data'!J:J,B:B,'Audit Raw data'!E:E,G:G)</f>
        <v>0</v>
      </c>
      <c r="I2623" s="44" t="str">
        <f>IFERROR((SUMIFS('Audit Raw data'!BZ:BZ,'Audit Raw data'!J:J,B:B,'Audit Raw data'!E:E,G:G)/H2623)/100,"-")</f>
        <v>-</v>
      </c>
      <c r="J2623">
        <f>COUNTIFS('Audit Raw data'!AM:AM,"Yes",'Audit Raw data'!J:J,B:B,'Audit Raw data'!E:E,'Day wise agent'!G:G)</f>
        <v>0</v>
      </c>
      <c r="K2623">
        <f>COUNTIFS('Audit Raw data'!AM:AM,"NO",'Audit Raw data'!J:J,B:B,'Audit Raw data'!E:E,'Day wise agent'!G:G)</f>
        <v>0</v>
      </c>
      <c r="L2623" s="12" t="str">
        <f t="shared" si="61"/>
        <v xml:space="preserve"> </v>
      </c>
    </row>
    <row r="2624" spans="4:12" x14ac:dyDescent="0.35">
      <c r="D2624" s="32"/>
      <c r="G2624" s="32"/>
      <c r="H2624">
        <f>COUNTIFS('Audit Raw data'!J:J,B:B,'Audit Raw data'!E:E,G:G)</f>
        <v>0</v>
      </c>
      <c r="I2624" s="44" t="str">
        <f>IFERROR((SUMIFS('Audit Raw data'!BZ:BZ,'Audit Raw data'!J:J,B:B,'Audit Raw data'!E:E,G:G)/H2624)/100,"-")</f>
        <v>-</v>
      </c>
      <c r="J2624">
        <f>COUNTIFS('Audit Raw data'!AM:AM,"Yes",'Audit Raw data'!J:J,B:B,'Audit Raw data'!E:E,'Day wise agent'!G:G)</f>
        <v>0</v>
      </c>
      <c r="K2624">
        <f>COUNTIFS('Audit Raw data'!AM:AM,"NO",'Audit Raw data'!J:J,B:B,'Audit Raw data'!E:E,'Day wise agent'!G:G)</f>
        <v>0</v>
      </c>
      <c r="L2624" s="12" t="str">
        <f t="shared" si="61"/>
        <v xml:space="preserve"> </v>
      </c>
    </row>
    <row r="2625" spans="4:12" x14ac:dyDescent="0.35">
      <c r="D2625" s="32"/>
      <c r="G2625" s="32"/>
      <c r="H2625">
        <f>COUNTIFS('Audit Raw data'!J:J,B:B,'Audit Raw data'!E:E,G:G)</f>
        <v>0</v>
      </c>
      <c r="I2625" s="44" t="str">
        <f>IFERROR((SUMIFS('Audit Raw data'!BZ:BZ,'Audit Raw data'!J:J,B:B,'Audit Raw data'!E:E,G:G)/H2625)/100,"-")</f>
        <v>-</v>
      </c>
      <c r="J2625">
        <f>COUNTIFS('Audit Raw data'!AM:AM,"Yes",'Audit Raw data'!J:J,B:B,'Audit Raw data'!E:E,'Day wise agent'!G:G)</f>
        <v>0</v>
      </c>
      <c r="K2625">
        <f>COUNTIFS('Audit Raw data'!AM:AM,"NO",'Audit Raw data'!J:J,B:B,'Audit Raw data'!E:E,'Day wise agent'!G:G)</f>
        <v>0</v>
      </c>
      <c r="L2625" s="12" t="str">
        <f t="shared" si="61"/>
        <v xml:space="preserve"> </v>
      </c>
    </row>
    <row r="2626" spans="4:12" x14ac:dyDescent="0.35">
      <c r="D2626" s="32"/>
      <c r="G2626" s="32"/>
      <c r="H2626">
        <f>COUNTIFS('Audit Raw data'!J:J,B:B,'Audit Raw data'!E:E,G:G)</f>
        <v>0</v>
      </c>
      <c r="I2626" s="44" t="str">
        <f>IFERROR((SUMIFS('Audit Raw data'!BZ:BZ,'Audit Raw data'!J:J,B:B,'Audit Raw data'!E:E,G:G)/H2626)/100,"-")</f>
        <v>-</v>
      </c>
      <c r="J2626">
        <f>COUNTIFS('Audit Raw data'!AM:AM,"Yes",'Audit Raw data'!J:J,B:B,'Audit Raw data'!E:E,'Day wise agent'!G:G)</f>
        <v>0</v>
      </c>
      <c r="K2626">
        <f>COUNTIFS('Audit Raw data'!AM:AM,"NO",'Audit Raw data'!J:J,B:B,'Audit Raw data'!E:E,'Day wise agent'!G:G)</f>
        <v>0</v>
      </c>
      <c r="L2626" s="12" t="str">
        <f t="shared" ref="L2626:L2689" si="62">IFERROR(J2626/H2626," ")</f>
        <v xml:space="preserve"> </v>
      </c>
    </row>
    <row r="2627" spans="4:12" x14ac:dyDescent="0.35">
      <c r="D2627" s="32"/>
      <c r="G2627" s="32"/>
      <c r="H2627">
        <f>COUNTIFS('Audit Raw data'!J:J,B:B,'Audit Raw data'!E:E,G:G)</f>
        <v>0</v>
      </c>
      <c r="I2627" s="44" t="str">
        <f>IFERROR((SUMIFS('Audit Raw data'!BZ:BZ,'Audit Raw data'!J:J,B:B,'Audit Raw data'!E:E,G:G)/H2627)/100,"-")</f>
        <v>-</v>
      </c>
      <c r="J2627">
        <f>COUNTIFS('Audit Raw data'!AM:AM,"Yes",'Audit Raw data'!J:J,B:B,'Audit Raw data'!E:E,'Day wise agent'!G:G)</f>
        <v>0</v>
      </c>
      <c r="K2627">
        <f>COUNTIFS('Audit Raw data'!AM:AM,"NO",'Audit Raw data'!J:J,B:B,'Audit Raw data'!E:E,'Day wise agent'!G:G)</f>
        <v>0</v>
      </c>
      <c r="L2627" s="12" t="str">
        <f t="shared" si="62"/>
        <v xml:space="preserve"> </v>
      </c>
    </row>
    <row r="2628" spans="4:12" x14ac:dyDescent="0.35">
      <c r="D2628" s="32"/>
      <c r="G2628" s="32"/>
      <c r="H2628">
        <f>COUNTIFS('Audit Raw data'!J:J,B:B,'Audit Raw data'!E:E,G:G)</f>
        <v>0</v>
      </c>
      <c r="I2628" s="44" t="str">
        <f>IFERROR((SUMIFS('Audit Raw data'!BZ:BZ,'Audit Raw data'!J:J,B:B,'Audit Raw data'!E:E,G:G)/H2628)/100,"-")</f>
        <v>-</v>
      </c>
      <c r="J2628">
        <f>COUNTIFS('Audit Raw data'!AM:AM,"Yes",'Audit Raw data'!J:J,B:B,'Audit Raw data'!E:E,'Day wise agent'!G:G)</f>
        <v>0</v>
      </c>
      <c r="K2628">
        <f>COUNTIFS('Audit Raw data'!AM:AM,"NO",'Audit Raw data'!J:J,B:B,'Audit Raw data'!E:E,'Day wise agent'!G:G)</f>
        <v>0</v>
      </c>
      <c r="L2628" s="12" t="str">
        <f t="shared" si="62"/>
        <v xml:space="preserve"> </v>
      </c>
    </row>
    <row r="2629" spans="4:12" x14ac:dyDescent="0.35">
      <c r="D2629" s="32"/>
      <c r="G2629" s="32"/>
      <c r="H2629">
        <f>COUNTIFS('Audit Raw data'!J:J,B:B,'Audit Raw data'!E:E,G:G)</f>
        <v>0</v>
      </c>
      <c r="I2629" s="44" t="str">
        <f>IFERROR((SUMIFS('Audit Raw data'!BZ:BZ,'Audit Raw data'!J:J,B:B,'Audit Raw data'!E:E,G:G)/H2629)/100,"-")</f>
        <v>-</v>
      </c>
      <c r="J2629">
        <f>COUNTIFS('Audit Raw data'!AM:AM,"Yes",'Audit Raw data'!J:J,B:B,'Audit Raw data'!E:E,'Day wise agent'!G:G)</f>
        <v>0</v>
      </c>
      <c r="K2629">
        <f>COUNTIFS('Audit Raw data'!AM:AM,"NO",'Audit Raw data'!J:J,B:B,'Audit Raw data'!E:E,'Day wise agent'!G:G)</f>
        <v>0</v>
      </c>
      <c r="L2629" s="12" t="str">
        <f t="shared" si="62"/>
        <v xml:space="preserve"> </v>
      </c>
    </row>
    <row r="2630" spans="4:12" x14ac:dyDescent="0.35">
      <c r="D2630" s="32"/>
      <c r="G2630" s="32"/>
      <c r="H2630">
        <f>COUNTIFS('Audit Raw data'!J:J,B:B,'Audit Raw data'!E:E,G:G)</f>
        <v>0</v>
      </c>
      <c r="I2630" s="44" t="str">
        <f>IFERROR((SUMIFS('Audit Raw data'!BZ:BZ,'Audit Raw data'!J:J,B:B,'Audit Raw data'!E:E,G:G)/H2630)/100,"-")</f>
        <v>-</v>
      </c>
      <c r="J2630">
        <f>COUNTIFS('Audit Raw data'!AM:AM,"Yes",'Audit Raw data'!J:J,B:B,'Audit Raw data'!E:E,'Day wise agent'!G:G)</f>
        <v>0</v>
      </c>
      <c r="K2630">
        <f>COUNTIFS('Audit Raw data'!AM:AM,"NO",'Audit Raw data'!J:J,B:B,'Audit Raw data'!E:E,'Day wise agent'!G:G)</f>
        <v>0</v>
      </c>
      <c r="L2630" s="12" t="str">
        <f t="shared" si="62"/>
        <v xml:space="preserve"> </v>
      </c>
    </row>
    <row r="2631" spans="4:12" x14ac:dyDescent="0.35">
      <c r="D2631" s="32"/>
      <c r="G2631" s="32"/>
      <c r="H2631">
        <f>COUNTIFS('Audit Raw data'!J:J,B:B,'Audit Raw data'!E:E,G:G)</f>
        <v>0</v>
      </c>
      <c r="I2631" s="44" t="str">
        <f>IFERROR((SUMIFS('Audit Raw data'!BZ:BZ,'Audit Raw data'!J:J,B:B,'Audit Raw data'!E:E,G:G)/H2631)/100,"-")</f>
        <v>-</v>
      </c>
      <c r="J2631">
        <f>COUNTIFS('Audit Raw data'!AM:AM,"Yes",'Audit Raw data'!J:J,B:B,'Audit Raw data'!E:E,'Day wise agent'!G:G)</f>
        <v>0</v>
      </c>
      <c r="K2631">
        <f>COUNTIFS('Audit Raw data'!AM:AM,"NO",'Audit Raw data'!J:J,B:B,'Audit Raw data'!E:E,'Day wise agent'!G:G)</f>
        <v>0</v>
      </c>
      <c r="L2631" s="12" t="str">
        <f t="shared" si="62"/>
        <v xml:space="preserve"> </v>
      </c>
    </row>
    <row r="2632" spans="4:12" x14ac:dyDescent="0.35">
      <c r="D2632" s="32"/>
      <c r="G2632" s="32"/>
      <c r="H2632">
        <f>COUNTIFS('Audit Raw data'!J:J,B:B,'Audit Raw data'!E:E,G:G)</f>
        <v>0</v>
      </c>
      <c r="I2632" s="44" t="str">
        <f>IFERROR((SUMIFS('Audit Raw data'!BZ:BZ,'Audit Raw data'!J:J,B:B,'Audit Raw data'!E:E,G:G)/H2632)/100,"-")</f>
        <v>-</v>
      </c>
      <c r="J2632">
        <f>COUNTIFS('Audit Raw data'!AM:AM,"Yes",'Audit Raw data'!J:J,B:B,'Audit Raw data'!E:E,'Day wise agent'!G:G)</f>
        <v>0</v>
      </c>
      <c r="K2632">
        <f>COUNTIFS('Audit Raw data'!AM:AM,"NO",'Audit Raw data'!J:J,B:B,'Audit Raw data'!E:E,'Day wise agent'!G:G)</f>
        <v>0</v>
      </c>
      <c r="L2632" s="12" t="str">
        <f t="shared" si="62"/>
        <v xml:space="preserve"> </v>
      </c>
    </row>
    <row r="2633" spans="4:12" x14ac:dyDescent="0.35">
      <c r="D2633" s="32"/>
      <c r="G2633" s="32"/>
      <c r="H2633">
        <f>COUNTIFS('Audit Raw data'!J:J,B:B,'Audit Raw data'!E:E,G:G)</f>
        <v>0</v>
      </c>
      <c r="I2633" s="44" t="str">
        <f>IFERROR((SUMIFS('Audit Raw data'!BZ:BZ,'Audit Raw data'!J:J,B:B,'Audit Raw data'!E:E,G:G)/H2633)/100,"-")</f>
        <v>-</v>
      </c>
      <c r="J2633">
        <f>COUNTIFS('Audit Raw data'!AM:AM,"Yes",'Audit Raw data'!J:J,B:B,'Audit Raw data'!E:E,'Day wise agent'!G:G)</f>
        <v>0</v>
      </c>
      <c r="K2633">
        <f>COUNTIFS('Audit Raw data'!AM:AM,"NO",'Audit Raw data'!J:J,B:B,'Audit Raw data'!E:E,'Day wise agent'!G:G)</f>
        <v>0</v>
      </c>
      <c r="L2633" s="12" t="str">
        <f t="shared" si="62"/>
        <v xml:space="preserve"> </v>
      </c>
    </row>
    <row r="2634" spans="4:12" x14ac:dyDescent="0.35">
      <c r="D2634" s="32"/>
      <c r="G2634" s="32"/>
      <c r="H2634">
        <f>COUNTIFS('Audit Raw data'!J:J,B:B,'Audit Raw data'!E:E,G:G)</f>
        <v>0</v>
      </c>
      <c r="I2634" s="44" t="str">
        <f>IFERROR((SUMIFS('Audit Raw data'!BZ:BZ,'Audit Raw data'!J:J,B:B,'Audit Raw data'!E:E,G:G)/H2634)/100,"-")</f>
        <v>-</v>
      </c>
      <c r="J2634">
        <f>COUNTIFS('Audit Raw data'!AM:AM,"Yes",'Audit Raw data'!J:J,B:B,'Audit Raw data'!E:E,'Day wise agent'!G:G)</f>
        <v>0</v>
      </c>
      <c r="K2634">
        <f>COUNTIFS('Audit Raw data'!AM:AM,"NO",'Audit Raw data'!J:J,B:B,'Audit Raw data'!E:E,'Day wise agent'!G:G)</f>
        <v>0</v>
      </c>
      <c r="L2634" s="12" t="str">
        <f t="shared" si="62"/>
        <v xml:space="preserve"> </v>
      </c>
    </row>
    <row r="2635" spans="4:12" x14ac:dyDescent="0.35">
      <c r="D2635" s="32"/>
      <c r="G2635" s="32"/>
      <c r="H2635">
        <f>COUNTIFS('Audit Raw data'!J:J,B:B,'Audit Raw data'!E:E,G:G)</f>
        <v>0</v>
      </c>
      <c r="I2635" s="44" t="str">
        <f>IFERROR((SUMIFS('Audit Raw data'!BZ:BZ,'Audit Raw data'!J:J,B:B,'Audit Raw data'!E:E,G:G)/H2635)/100,"-")</f>
        <v>-</v>
      </c>
      <c r="J2635">
        <f>COUNTIFS('Audit Raw data'!AM:AM,"Yes",'Audit Raw data'!J:J,B:B,'Audit Raw data'!E:E,'Day wise agent'!G:G)</f>
        <v>0</v>
      </c>
      <c r="K2635">
        <f>COUNTIFS('Audit Raw data'!AM:AM,"NO",'Audit Raw data'!J:J,B:B,'Audit Raw data'!E:E,'Day wise agent'!G:G)</f>
        <v>0</v>
      </c>
      <c r="L2635" s="12" t="str">
        <f t="shared" si="62"/>
        <v xml:space="preserve"> </v>
      </c>
    </row>
    <row r="2636" spans="4:12" x14ac:dyDescent="0.35">
      <c r="D2636" s="32"/>
      <c r="G2636" s="32"/>
      <c r="H2636">
        <f>COUNTIFS('Audit Raw data'!J:J,B:B,'Audit Raw data'!E:E,G:G)</f>
        <v>0</v>
      </c>
      <c r="I2636" s="44" t="str">
        <f>IFERROR((SUMIFS('Audit Raw data'!BZ:BZ,'Audit Raw data'!J:J,B:B,'Audit Raw data'!E:E,G:G)/H2636)/100,"-")</f>
        <v>-</v>
      </c>
      <c r="J2636">
        <f>COUNTIFS('Audit Raw data'!AM:AM,"Yes",'Audit Raw data'!J:J,B:B,'Audit Raw data'!E:E,'Day wise agent'!G:G)</f>
        <v>0</v>
      </c>
      <c r="K2636">
        <f>COUNTIFS('Audit Raw data'!AM:AM,"NO",'Audit Raw data'!J:J,B:B,'Audit Raw data'!E:E,'Day wise agent'!G:G)</f>
        <v>0</v>
      </c>
      <c r="L2636" s="12" t="str">
        <f t="shared" si="62"/>
        <v xml:space="preserve"> </v>
      </c>
    </row>
    <row r="2637" spans="4:12" x14ac:dyDescent="0.35">
      <c r="D2637" s="32"/>
      <c r="G2637" s="32"/>
      <c r="H2637">
        <f>COUNTIFS('Audit Raw data'!J:J,B:B,'Audit Raw data'!E:E,G:G)</f>
        <v>0</v>
      </c>
      <c r="I2637" s="44" t="str">
        <f>IFERROR((SUMIFS('Audit Raw data'!BZ:BZ,'Audit Raw data'!J:J,B:B,'Audit Raw data'!E:E,G:G)/H2637)/100,"-")</f>
        <v>-</v>
      </c>
      <c r="J2637">
        <f>COUNTIFS('Audit Raw data'!AM:AM,"Yes",'Audit Raw data'!J:J,B:B,'Audit Raw data'!E:E,'Day wise agent'!G:G)</f>
        <v>0</v>
      </c>
      <c r="K2637">
        <f>COUNTIFS('Audit Raw data'!AM:AM,"NO",'Audit Raw data'!J:J,B:B,'Audit Raw data'!E:E,'Day wise agent'!G:G)</f>
        <v>0</v>
      </c>
      <c r="L2637" s="12" t="str">
        <f t="shared" si="62"/>
        <v xml:space="preserve"> </v>
      </c>
    </row>
    <row r="2638" spans="4:12" x14ac:dyDescent="0.35">
      <c r="D2638" s="32"/>
      <c r="G2638" s="32"/>
      <c r="H2638">
        <f>COUNTIFS('Audit Raw data'!J:J,B:B,'Audit Raw data'!E:E,G:G)</f>
        <v>0</v>
      </c>
      <c r="I2638" s="44" t="str">
        <f>IFERROR((SUMIFS('Audit Raw data'!BZ:BZ,'Audit Raw data'!J:J,B:B,'Audit Raw data'!E:E,G:G)/H2638)/100,"-")</f>
        <v>-</v>
      </c>
      <c r="J2638">
        <f>COUNTIFS('Audit Raw data'!AM:AM,"Yes",'Audit Raw data'!J:J,B:B,'Audit Raw data'!E:E,'Day wise agent'!G:G)</f>
        <v>0</v>
      </c>
      <c r="K2638">
        <f>COUNTIFS('Audit Raw data'!AM:AM,"NO",'Audit Raw data'!J:J,B:B,'Audit Raw data'!E:E,'Day wise agent'!G:G)</f>
        <v>0</v>
      </c>
      <c r="L2638" s="12" t="str">
        <f t="shared" si="62"/>
        <v xml:space="preserve"> </v>
      </c>
    </row>
    <row r="2639" spans="4:12" x14ac:dyDescent="0.35">
      <c r="D2639" s="32"/>
      <c r="G2639" s="32"/>
      <c r="H2639">
        <f>COUNTIFS('Audit Raw data'!J:J,B:B,'Audit Raw data'!E:E,G:G)</f>
        <v>0</v>
      </c>
      <c r="I2639" s="44" t="str">
        <f>IFERROR((SUMIFS('Audit Raw data'!BZ:BZ,'Audit Raw data'!J:J,B:B,'Audit Raw data'!E:E,G:G)/H2639)/100,"-")</f>
        <v>-</v>
      </c>
      <c r="J2639">
        <f>COUNTIFS('Audit Raw data'!AM:AM,"Yes",'Audit Raw data'!J:J,B:B,'Audit Raw data'!E:E,'Day wise agent'!G:G)</f>
        <v>0</v>
      </c>
      <c r="K2639">
        <f>COUNTIFS('Audit Raw data'!AM:AM,"NO",'Audit Raw data'!J:J,B:B,'Audit Raw data'!E:E,'Day wise agent'!G:G)</f>
        <v>0</v>
      </c>
      <c r="L2639" s="12" t="str">
        <f t="shared" si="62"/>
        <v xml:space="preserve"> </v>
      </c>
    </row>
    <row r="2640" spans="4:12" x14ac:dyDescent="0.35">
      <c r="D2640" s="32"/>
      <c r="G2640" s="32"/>
      <c r="H2640">
        <f>COUNTIFS('Audit Raw data'!J:J,B:B,'Audit Raw data'!E:E,G:G)</f>
        <v>0</v>
      </c>
      <c r="I2640" s="44" t="str">
        <f>IFERROR((SUMIFS('Audit Raw data'!BZ:BZ,'Audit Raw data'!J:J,B:B,'Audit Raw data'!E:E,G:G)/H2640)/100,"-")</f>
        <v>-</v>
      </c>
      <c r="J2640">
        <f>COUNTIFS('Audit Raw data'!AM:AM,"Yes",'Audit Raw data'!J:J,B:B,'Audit Raw data'!E:E,'Day wise agent'!G:G)</f>
        <v>0</v>
      </c>
      <c r="K2640">
        <f>COUNTIFS('Audit Raw data'!AM:AM,"NO",'Audit Raw data'!J:J,B:B,'Audit Raw data'!E:E,'Day wise agent'!G:G)</f>
        <v>0</v>
      </c>
      <c r="L2640" s="12" t="str">
        <f t="shared" si="62"/>
        <v xml:space="preserve"> </v>
      </c>
    </row>
    <row r="2641" spans="4:12" x14ac:dyDescent="0.35">
      <c r="D2641" s="32"/>
      <c r="G2641" s="32"/>
      <c r="H2641">
        <f>COUNTIFS('Audit Raw data'!J:J,B:B,'Audit Raw data'!E:E,G:G)</f>
        <v>0</v>
      </c>
      <c r="I2641" s="44" t="str">
        <f>IFERROR((SUMIFS('Audit Raw data'!BZ:BZ,'Audit Raw data'!J:J,B:B,'Audit Raw data'!E:E,G:G)/H2641)/100,"-")</f>
        <v>-</v>
      </c>
      <c r="J2641">
        <f>COUNTIFS('Audit Raw data'!AM:AM,"Yes",'Audit Raw data'!J:J,B:B,'Audit Raw data'!E:E,'Day wise agent'!G:G)</f>
        <v>0</v>
      </c>
      <c r="K2641">
        <f>COUNTIFS('Audit Raw data'!AM:AM,"NO",'Audit Raw data'!J:J,B:B,'Audit Raw data'!E:E,'Day wise agent'!G:G)</f>
        <v>0</v>
      </c>
      <c r="L2641" s="12" t="str">
        <f t="shared" si="62"/>
        <v xml:space="preserve"> </v>
      </c>
    </row>
    <row r="2642" spans="4:12" x14ac:dyDescent="0.35">
      <c r="D2642" s="32"/>
      <c r="G2642" s="32"/>
      <c r="H2642">
        <f>COUNTIFS('Audit Raw data'!J:J,B:B,'Audit Raw data'!E:E,G:G)</f>
        <v>0</v>
      </c>
      <c r="I2642" s="44" t="str">
        <f>IFERROR((SUMIFS('Audit Raw data'!BZ:BZ,'Audit Raw data'!J:J,B:B,'Audit Raw data'!E:E,G:G)/H2642)/100,"-")</f>
        <v>-</v>
      </c>
      <c r="J2642">
        <f>COUNTIFS('Audit Raw data'!AM:AM,"Yes",'Audit Raw data'!J:J,B:B,'Audit Raw data'!E:E,'Day wise agent'!G:G)</f>
        <v>0</v>
      </c>
      <c r="K2642">
        <f>COUNTIFS('Audit Raw data'!AM:AM,"NO",'Audit Raw data'!J:J,B:B,'Audit Raw data'!E:E,'Day wise agent'!G:G)</f>
        <v>0</v>
      </c>
      <c r="L2642" s="12" t="str">
        <f t="shared" si="62"/>
        <v xml:space="preserve"> </v>
      </c>
    </row>
    <row r="2643" spans="4:12" x14ac:dyDescent="0.35">
      <c r="D2643" s="32"/>
      <c r="G2643" s="32"/>
      <c r="H2643">
        <f>COUNTIFS('Audit Raw data'!J:J,B:B,'Audit Raw data'!E:E,G:G)</f>
        <v>0</v>
      </c>
      <c r="I2643" s="44" t="str">
        <f>IFERROR((SUMIFS('Audit Raw data'!BZ:BZ,'Audit Raw data'!J:J,B:B,'Audit Raw data'!E:E,G:G)/H2643)/100,"-")</f>
        <v>-</v>
      </c>
      <c r="J2643">
        <f>COUNTIFS('Audit Raw data'!AM:AM,"Yes",'Audit Raw data'!J:J,B:B,'Audit Raw data'!E:E,'Day wise agent'!G:G)</f>
        <v>0</v>
      </c>
      <c r="K2643">
        <f>COUNTIFS('Audit Raw data'!AM:AM,"NO",'Audit Raw data'!J:J,B:B,'Audit Raw data'!E:E,'Day wise agent'!G:G)</f>
        <v>0</v>
      </c>
      <c r="L2643" s="12" t="str">
        <f t="shared" si="62"/>
        <v xml:space="preserve"> </v>
      </c>
    </row>
    <row r="2644" spans="4:12" x14ac:dyDescent="0.35">
      <c r="D2644" s="32"/>
      <c r="G2644" s="32"/>
      <c r="H2644">
        <f>COUNTIFS('Audit Raw data'!J:J,B:B,'Audit Raw data'!E:E,G:G)</f>
        <v>0</v>
      </c>
      <c r="I2644" s="44" t="str">
        <f>IFERROR((SUMIFS('Audit Raw data'!BZ:BZ,'Audit Raw data'!J:J,B:B,'Audit Raw data'!E:E,G:G)/H2644)/100,"-")</f>
        <v>-</v>
      </c>
      <c r="J2644">
        <f>COUNTIFS('Audit Raw data'!AM:AM,"Yes",'Audit Raw data'!J:J,B:B,'Audit Raw data'!E:E,'Day wise agent'!G:G)</f>
        <v>0</v>
      </c>
      <c r="K2644">
        <f>COUNTIFS('Audit Raw data'!AM:AM,"NO",'Audit Raw data'!J:J,B:B,'Audit Raw data'!E:E,'Day wise agent'!G:G)</f>
        <v>0</v>
      </c>
      <c r="L2644" s="12" t="str">
        <f t="shared" si="62"/>
        <v xml:space="preserve"> </v>
      </c>
    </row>
    <row r="2645" spans="4:12" x14ac:dyDescent="0.35">
      <c r="D2645" s="32"/>
      <c r="G2645" s="32"/>
      <c r="H2645">
        <f>COUNTIFS('Audit Raw data'!J:J,B:B,'Audit Raw data'!E:E,G:G)</f>
        <v>0</v>
      </c>
      <c r="I2645" s="44" t="str">
        <f>IFERROR((SUMIFS('Audit Raw data'!BZ:BZ,'Audit Raw data'!J:J,B:B,'Audit Raw data'!E:E,G:G)/H2645)/100,"-")</f>
        <v>-</v>
      </c>
      <c r="J2645">
        <f>COUNTIFS('Audit Raw data'!AM:AM,"Yes",'Audit Raw data'!J:J,B:B,'Audit Raw data'!E:E,'Day wise agent'!G:G)</f>
        <v>0</v>
      </c>
      <c r="K2645">
        <f>COUNTIFS('Audit Raw data'!AM:AM,"NO",'Audit Raw data'!J:J,B:B,'Audit Raw data'!E:E,'Day wise agent'!G:G)</f>
        <v>0</v>
      </c>
      <c r="L2645" s="12" t="str">
        <f t="shared" si="62"/>
        <v xml:space="preserve"> </v>
      </c>
    </row>
    <row r="2646" spans="4:12" x14ac:dyDescent="0.35">
      <c r="D2646" s="32"/>
      <c r="G2646" s="32"/>
      <c r="H2646">
        <f>COUNTIFS('Audit Raw data'!J:J,B:B,'Audit Raw data'!E:E,G:G)</f>
        <v>0</v>
      </c>
      <c r="I2646" s="44" t="str">
        <f>IFERROR((SUMIFS('Audit Raw data'!BZ:BZ,'Audit Raw data'!J:J,B:B,'Audit Raw data'!E:E,G:G)/H2646)/100,"-")</f>
        <v>-</v>
      </c>
      <c r="J2646">
        <f>COUNTIFS('Audit Raw data'!AM:AM,"Yes",'Audit Raw data'!J:J,B:B,'Audit Raw data'!E:E,'Day wise agent'!G:G)</f>
        <v>0</v>
      </c>
      <c r="K2646">
        <f>COUNTIFS('Audit Raw data'!AM:AM,"NO",'Audit Raw data'!J:J,B:B,'Audit Raw data'!E:E,'Day wise agent'!G:G)</f>
        <v>0</v>
      </c>
      <c r="L2646" s="12" t="str">
        <f t="shared" si="62"/>
        <v xml:space="preserve"> </v>
      </c>
    </row>
    <row r="2647" spans="4:12" x14ac:dyDescent="0.35">
      <c r="D2647" s="32"/>
      <c r="G2647" s="32"/>
      <c r="H2647">
        <f>COUNTIFS('Audit Raw data'!J:J,B:B,'Audit Raw data'!E:E,G:G)</f>
        <v>0</v>
      </c>
      <c r="I2647" s="44" t="str">
        <f>IFERROR((SUMIFS('Audit Raw data'!BZ:BZ,'Audit Raw data'!J:J,B:B,'Audit Raw data'!E:E,G:G)/H2647)/100,"-")</f>
        <v>-</v>
      </c>
      <c r="J2647">
        <f>COUNTIFS('Audit Raw data'!AM:AM,"Yes",'Audit Raw data'!J:J,B:B,'Audit Raw data'!E:E,'Day wise agent'!G:G)</f>
        <v>0</v>
      </c>
      <c r="K2647">
        <f>COUNTIFS('Audit Raw data'!AM:AM,"NO",'Audit Raw data'!J:J,B:B,'Audit Raw data'!E:E,'Day wise agent'!G:G)</f>
        <v>0</v>
      </c>
      <c r="L2647" s="12" t="str">
        <f t="shared" si="62"/>
        <v xml:space="preserve"> </v>
      </c>
    </row>
    <row r="2648" spans="4:12" x14ac:dyDescent="0.35">
      <c r="D2648" s="32"/>
      <c r="G2648" s="32"/>
      <c r="H2648">
        <f>COUNTIFS('Audit Raw data'!J:J,B:B,'Audit Raw data'!E:E,G:G)</f>
        <v>0</v>
      </c>
      <c r="I2648" s="44" t="str">
        <f>IFERROR((SUMIFS('Audit Raw data'!BZ:BZ,'Audit Raw data'!J:J,B:B,'Audit Raw data'!E:E,G:G)/H2648)/100,"-")</f>
        <v>-</v>
      </c>
      <c r="J2648">
        <f>COUNTIFS('Audit Raw data'!AM:AM,"Yes",'Audit Raw data'!J:J,B:B,'Audit Raw data'!E:E,'Day wise agent'!G:G)</f>
        <v>0</v>
      </c>
      <c r="K2648">
        <f>COUNTIFS('Audit Raw data'!AM:AM,"NO",'Audit Raw data'!J:J,B:B,'Audit Raw data'!E:E,'Day wise agent'!G:G)</f>
        <v>0</v>
      </c>
      <c r="L2648" s="12" t="str">
        <f t="shared" si="62"/>
        <v xml:space="preserve"> </v>
      </c>
    </row>
    <row r="2649" spans="4:12" x14ac:dyDescent="0.35">
      <c r="D2649" s="32"/>
      <c r="G2649" s="32"/>
      <c r="H2649">
        <f>COUNTIFS('Audit Raw data'!J:J,B:B,'Audit Raw data'!E:E,G:G)</f>
        <v>0</v>
      </c>
      <c r="I2649" s="44" t="str">
        <f>IFERROR((SUMIFS('Audit Raw data'!BZ:BZ,'Audit Raw data'!J:J,B:B,'Audit Raw data'!E:E,G:G)/H2649)/100,"-")</f>
        <v>-</v>
      </c>
      <c r="J2649">
        <f>COUNTIFS('Audit Raw data'!AM:AM,"Yes",'Audit Raw data'!J:J,B:B,'Audit Raw data'!E:E,'Day wise agent'!G:G)</f>
        <v>0</v>
      </c>
      <c r="K2649">
        <f>COUNTIFS('Audit Raw data'!AM:AM,"NO",'Audit Raw data'!J:J,B:B,'Audit Raw data'!E:E,'Day wise agent'!G:G)</f>
        <v>0</v>
      </c>
      <c r="L2649" s="12" t="str">
        <f t="shared" si="62"/>
        <v xml:space="preserve"> </v>
      </c>
    </row>
    <row r="2650" spans="4:12" x14ac:dyDescent="0.35">
      <c r="D2650" s="32"/>
      <c r="G2650" s="32"/>
      <c r="H2650">
        <f>COUNTIFS('Audit Raw data'!J:J,B:B,'Audit Raw data'!E:E,G:G)</f>
        <v>0</v>
      </c>
      <c r="I2650" s="44" t="str">
        <f>IFERROR((SUMIFS('Audit Raw data'!BZ:BZ,'Audit Raw data'!J:J,B:B,'Audit Raw data'!E:E,G:G)/H2650)/100,"-")</f>
        <v>-</v>
      </c>
      <c r="J2650">
        <f>COUNTIFS('Audit Raw data'!AM:AM,"Yes",'Audit Raw data'!J:J,B:B,'Audit Raw data'!E:E,'Day wise agent'!G:G)</f>
        <v>0</v>
      </c>
      <c r="K2650">
        <f>COUNTIFS('Audit Raw data'!AM:AM,"NO",'Audit Raw data'!J:J,B:B,'Audit Raw data'!E:E,'Day wise agent'!G:G)</f>
        <v>0</v>
      </c>
      <c r="L2650" s="12" t="str">
        <f t="shared" si="62"/>
        <v xml:space="preserve"> </v>
      </c>
    </row>
    <row r="2651" spans="4:12" x14ac:dyDescent="0.35">
      <c r="D2651" s="32"/>
      <c r="G2651" s="32"/>
      <c r="H2651">
        <f>COUNTIFS('Audit Raw data'!J:J,B:B,'Audit Raw data'!E:E,G:G)</f>
        <v>0</v>
      </c>
      <c r="I2651" s="44" t="str">
        <f>IFERROR((SUMIFS('Audit Raw data'!BZ:BZ,'Audit Raw data'!J:J,B:B,'Audit Raw data'!E:E,G:G)/H2651)/100,"-")</f>
        <v>-</v>
      </c>
      <c r="J2651">
        <f>COUNTIFS('Audit Raw data'!AM:AM,"Yes",'Audit Raw data'!J:J,B:B,'Audit Raw data'!E:E,'Day wise agent'!G:G)</f>
        <v>0</v>
      </c>
      <c r="K2651">
        <f>COUNTIFS('Audit Raw data'!AM:AM,"NO",'Audit Raw data'!J:J,B:B,'Audit Raw data'!E:E,'Day wise agent'!G:G)</f>
        <v>0</v>
      </c>
      <c r="L2651" s="12" t="str">
        <f t="shared" si="62"/>
        <v xml:space="preserve"> </v>
      </c>
    </row>
    <row r="2652" spans="4:12" x14ac:dyDescent="0.35">
      <c r="D2652" s="32"/>
      <c r="G2652" s="32"/>
      <c r="H2652">
        <f>COUNTIFS('Audit Raw data'!J:J,B:B,'Audit Raw data'!E:E,G:G)</f>
        <v>0</v>
      </c>
      <c r="I2652" s="44" t="str">
        <f>IFERROR((SUMIFS('Audit Raw data'!BZ:BZ,'Audit Raw data'!J:J,B:B,'Audit Raw data'!E:E,G:G)/H2652)/100,"-")</f>
        <v>-</v>
      </c>
      <c r="J2652">
        <f>COUNTIFS('Audit Raw data'!AM:AM,"Yes",'Audit Raw data'!J:J,B:B,'Audit Raw data'!E:E,'Day wise agent'!G:G)</f>
        <v>0</v>
      </c>
      <c r="K2652">
        <f>COUNTIFS('Audit Raw data'!AM:AM,"NO",'Audit Raw data'!J:J,B:B,'Audit Raw data'!E:E,'Day wise agent'!G:G)</f>
        <v>0</v>
      </c>
      <c r="L2652" s="12" t="str">
        <f t="shared" si="62"/>
        <v xml:space="preserve"> </v>
      </c>
    </row>
    <row r="2653" spans="4:12" x14ac:dyDescent="0.35">
      <c r="D2653" s="32"/>
      <c r="G2653" s="32"/>
      <c r="H2653">
        <f>COUNTIFS('Audit Raw data'!J:J,B:B,'Audit Raw data'!E:E,G:G)</f>
        <v>0</v>
      </c>
      <c r="I2653" s="44" t="str">
        <f>IFERROR((SUMIFS('Audit Raw data'!BZ:BZ,'Audit Raw data'!J:J,B:B,'Audit Raw data'!E:E,G:G)/H2653)/100,"-")</f>
        <v>-</v>
      </c>
      <c r="J2653">
        <f>COUNTIFS('Audit Raw data'!AM:AM,"Yes",'Audit Raw data'!J:J,B:B,'Audit Raw data'!E:E,'Day wise agent'!G:G)</f>
        <v>0</v>
      </c>
      <c r="K2653">
        <f>COUNTIFS('Audit Raw data'!AM:AM,"NO",'Audit Raw data'!J:J,B:B,'Audit Raw data'!E:E,'Day wise agent'!G:G)</f>
        <v>0</v>
      </c>
      <c r="L2653" s="12" t="str">
        <f t="shared" si="62"/>
        <v xml:space="preserve"> </v>
      </c>
    </row>
    <row r="2654" spans="4:12" x14ac:dyDescent="0.35">
      <c r="D2654" s="32"/>
      <c r="G2654" s="32"/>
      <c r="H2654">
        <f>COUNTIFS('Audit Raw data'!J:J,B:B,'Audit Raw data'!E:E,G:G)</f>
        <v>0</v>
      </c>
      <c r="I2654" s="44" t="str">
        <f>IFERROR((SUMIFS('Audit Raw data'!BZ:BZ,'Audit Raw data'!J:J,B:B,'Audit Raw data'!E:E,G:G)/H2654)/100,"-")</f>
        <v>-</v>
      </c>
      <c r="J2654">
        <f>COUNTIFS('Audit Raw data'!AM:AM,"Yes",'Audit Raw data'!J:J,B:B,'Audit Raw data'!E:E,'Day wise agent'!G:G)</f>
        <v>0</v>
      </c>
      <c r="K2654">
        <f>COUNTIFS('Audit Raw data'!AM:AM,"NO",'Audit Raw data'!J:J,B:B,'Audit Raw data'!E:E,'Day wise agent'!G:G)</f>
        <v>0</v>
      </c>
      <c r="L2654" s="12" t="str">
        <f t="shared" si="62"/>
        <v xml:space="preserve"> </v>
      </c>
    </row>
    <row r="2655" spans="4:12" x14ac:dyDescent="0.35">
      <c r="D2655" s="32"/>
      <c r="G2655" s="32"/>
      <c r="H2655">
        <f>COUNTIFS('Audit Raw data'!J:J,B:B,'Audit Raw data'!E:E,G:G)</f>
        <v>0</v>
      </c>
      <c r="I2655" s="44" t="str">
        <f>IFERROR((SUMIFS('Audit Raw data'!BZ:BZ,'Audit Raw data'!J:J,B:B,'Audit Raw data'!E:E,G:G)/H2655)/100,"-")</f>
        <v>-</v>
      </c>
      <c r="J2655">
        <f>COUNTIFS('Audit Raw data'!AM:AM,"Yes",'Audit Raw data'!J:J,B:B,'Audit Raw data'!E:E,'Day wise agent'!G:G)</f>
        <v>0</v>
      </c>
      <c r="K2655">
        <f>COUNTIFS('Audit Raw data'!AM:AM,"NO",'Audit Raw data'!J:J,B:B,'Audit Raw data'!E:E,'Day wise agent'!G:G)</f>
        <v>0</v>
      </c>
      <c r="L2655" s="12" t="str">
        <f t="shared" si="62"/>
        <v xml:space="preserve"> </v>
      </c>
    </row>
    <row r="2656" spans="4:12" x14ac:dyDescent="0.35">
      <c r="D2656" s="32"/>
      <c r="G2656" s="32"/>
      <c r="H2656">
        <f>COUNTIFS('Audit Raw data'!J:J,B:B,'Audit Raw data'!E:E,G:G)</f>
        <v>0</v>
      </c>
      <c r="I2656" s="44" t="str">
        <f>IFERROR((SUMIFS('Audit Raw data'!BZ:BZ,'Audit Raw data'!J:J,B:B,'Audit Raw data'!E:E,G:G)/H2656)/100,"-")</f>
        <v>-</v>
      </c>
      <c r="J2656">
        <f>COUNTIFS('Audit Raw data'!AM:AM,"Yes",'Audit Raw data'!J:J,B:B,'Audit Raw data'!E:E,'Day wise agent'!G:G)</f>
        <v>0</v>
      </c>
      <c r="K2656">
        <f>COUNTIFS('Audit Raw data'!AM:AM,"NO",'Audit Raw data'!J:J,B:B,'Audit Raw data'!E:E,'Day wise agent'!G:G)</f>
        <v>0</v>
      </c>
      <c r="L2656" s="12" t="str">
        <f t="shared" si="62"/>
        <v xml:space="preserve"> </v>
      </c>
    </row>
    <row r="2657" spans="4:12" x14ac:dyDescent="0.35">
      <c r="D2657" s="32"/>
      <c r="G2657" s="32"/>
      <c r="H2657">
        <f>COUNTIFS('Audit Raw data'!J:J,B:B,'Audit Raw data'!E:E,G:G)</f>
        <v>0</v>
      </c>
      <c r="I2657" s="44" t="str">
        <f>IFERROR((SUMIFS('Audit Raw data'!BZ:BZ,'Audit Raw data'!J:J,B:B,'Audit Raw data'!E:E,G:G)/H2657)/100,"-")</f>
        <v>-</v>
      </c>
      <c r="J2657">
        <f>COUNTIFS('Audit Raw data'!AM:AM,"Yes",'Audit Raw data'!J:J,B:B,'Audit Raw data'!E:E,'Day wise agent'!G:G)</f>
        <v>0</v>
      </c>
      <c r="K2657">
        <f>COUNTIFS('Audit Raw data'!AM:AM,"NO",'Audit Raw data'!J:J,B:B,'Audit Raw data'!E:E,'Day wise agent'!G:G)</f>
        <v>0</v>
      </c>
      <c r="L2657" s="12" t="str">
        <f t="shared" si="62"/>
        <v xml:space="preserve"> </v>
      </c>
    </row>
    <row r="2658" spans="4:12" x14ac:dyDescent="0.35">
      <c r="D2658" s="32"/>
      <c r="G2658" s="32"/>
      <c r="H2658">
        <f>COUNTIFS('Audit Raw data'!J:J,B:B,'Audit Raw data'!E:E,G:G)</f>
        <v>0</v>
      </c>
      <c r="I2658" s="44" t="str">
        <f>IFERROR((SUMIFS('Audit Raw data'!BZ:BZ,'Audit Raw data'!J:J,B:B,'Audit Raw data'!E:E,G:G)/H2658)/100,"-")</f>
        <v>-</v>
      </c>
      <c r="J2658">
        <f>COUNTIFS('Audit Raw data'!AM:AM,"Yes",'Audit Raw data'!J:J,B:B,'Audit Raw data'!E:E,'Day wise agent'!G:G)</f>
        <v>0</v>
      </c>
      <c r="K2658">
        <f>COUNTIFS('Audit Raw data'!AM:AM,"NO",'Audit Raw data'!J:J,B:B,'Audit Raw data'!E:E,'Day wise agent'!G:G)</f>
        <v>0</v>
      </c>
      <c r="L2658" s="12" t="str">
        <f t="shared" si="62"/>
        <v xml:space="preserve"> </v>
      </c>
    </row>
    <row r="2659" spans="4:12" x14ac:dyDescent="0.35">
      <c r="D2659" s="32"/>
      <c r="G2659" s="32"/>
      <c r="H2659">
        <f>COUNTIFS('Audit Raw data'!J:J,B:B,'Audit Raw data'!E:E,G:G)</f>
        <v>0</v>
      </c>
      <c r="I2659" s="44" t="str">
        <f>IFERROR((SUMIFS('Audit Raw data'!BZ:BZ,'Audit Raw data'!J:J,B:B,'Audit Raw data'!E:E,G:G)/H2659)/100,"-")</f>
        <v>-</v>
      </c>
      <c r="J2659">
        <f>COUNTIFS('Audit Raw data'!AM:AM,"Yes",'Audit Raw data'!J:J,B:B,'Audit Raw data'!E:E,'Day wise agent'!G:G)</f>
        <v>0</v>
      </c>
      <c r="K2659">
        <f>COUNTIFS('Audit Raw data'!AM:AM,"NO",'Audit Raw data'!J:J,B:B,'Audit Raw data'!E:E,'Day wise agent'!G:G)</f>
        <v>0</v>
      </c>
      <c r="L2659" s="12" t="str">
        <f t="shared" si="62"/>
        <v xml:space="preserve"> </v>
      </c>
    </row>
    <row r="2660" spans="4:12" x14ac:dyDescent="0.35">
      <c r="D2660" s="32"/>
      <c r="G2660" s="32"/>
      <c r="H2660">
        <f>COUNTIFS('Audit Raw data'!J:J,B:B,'Audit Raw data'!E:E,G:G)</f>
        <v>0</v>
      </c>
      <c r="I2660" s="44" t="str">
        <f>IFERROR((SUMIFS('Audit Raw data'!BZ:BZ,'Audit Raw data'!J:J,B:B,'Audit Raw data'!E:E,G:G)/H2660)/100,"-")</f>
        <v>-</v>
      </c>
      <c r="J2660">
        <f>COUNTIFS('Audit Raw data'!AM:AM,"Yes",'Audit Raw data'!J:J,B:B,'Audit Raw data'!E:E,'Day wise agent'!G:G)</f>
        <v>0</v>
      </c>
      <c r="K2660">
        <f>COUNTIFS('Audit Raw data'!AM:AM,"NO",'Audit Raw data'!J:J,B:B,'Audit Raw data'!E:E,'Day wise agent'!G:G)</f>
        <v>0</v>
      </c>
      <c r="L2660" s="12" t="str">
        <f t="shared" si="62"/>
        <v xml:space="preserve"> </v>
      </c>
    </row>
    <row r="2661" spans="4:12" x14ac:dyDescent="0.35">
      <c r="D2661" s="32"/>
      <c r="G2661" s="32"/>
      <c r="H2661">
        <f>COUNTIFS('Audit Raw data'!J:J,B:B,'Audit Raw data'!E:E,G:G)</f>
        <v>0</v>
      </c>
      <c r="I2661" s="44" t="str">
        <f>IFERROR((SUMIFS('Audit Raw data'!BZ:BZ,'Audit Raw data'!J:J,B:B,'Audit Raw data'!E:E,G:G)/H2661)/100,"-")</f>
        <v>-</v>
      </c>
      <c r="J2661">
        <f>COUNTIFS('Audit Raw data'!AM:AM,"Yes",'Audit Raw data'!J:J,B:B,'Audit Raw data'!E:E,'Day wise agent'!G:G)</f>
        <v>0</v>
      </c>
      <c r="K2661">
        <f>COUNTIFS('Audit Raw data'!AM:AM,"NO",'Audit Raw data'!J:J,B:B,'Audit Raw data'!E:E,'Day wise agent'!G:G)</f>
        <v>0</v>
      </c>
      <c r="L2661" s="12" t="str">
        <f t="shared" si="62"/>
        <v xml:space="preserve"> </v>
      </c>
    </row>
    <row r="2662" spans="4:12" x14ac:dyDescent="0.35">
      <c r="D2662" s="32"/>
      <c r="G2662" s="32"/>
      <c r="H2662">
        <f>COUNTIFS('Audit Raw data'!J:J,B:B,'Audit Raw data'!E:E,G:G)</f>
        <v>0</v>
      </c>
      <c r="I2662" s="44" t="str">
        <f>IFERROR((SUMIFS('Audit Raw data'!BZ:BZ,'Audit Raw data'!J:J,B:B,'Audit Raw data'!E:E,G:G)/H2662)/100,"-")</f>
        <v>-</v>
      </c>
      <c r="J2662">
        <f>COUNTIFS('Audit Raw data'!AM:AM,"Yes",'Audit Raw data'!J:J,B:B,'Audit Raw data'!E:E,'Day wise agent'!G:G)</f>
        <v>0</v>
      </c>
      <c r="K2662">
        <f>COUNTIFS('Audit Raw data'!AM:AM,"NO",'Audit Raw data'!J:J,B:B,'Audit Raw data'!E:E,'Day wise agent'!G:G)</f>
        <v>0</v>
      </c>
      <c r="L2662" s="12" t="str">
        <f t="shared" si="62"/>
        <v xml:space="preserve"> </v>
      </c>
    </row>
    <row r="2663" spans="4:12" x14ac:dyDescent="0.35">
      <c r="D2663" s="32"/>
      <c r="G2663" s="32"/>
      <c r="H2663">
        <f>COUNTIFS('Audit Raw data'!J:J,B:B,'Audit Raw data'!E:E,G:G)</f>
        <v>0</v>
      </c>
      <c r="I2663" s="44" t="str">
        <f>IFERROR((SUMIFS('Audit Raw data'!BZ:BZ,'Audit Raw data'!J:J,B:B,'Audit Raw data'!E:E,G:G)/H2663)/100,"-")</f>
        <v>-</v>
      </c>
      <c r="J2663">
        <f>COUNTIFS('Audit Raw data'!AM:AM,"Yes",'Audit Raw data'!J:J,B:B,'Audit Raw data'!E:E,'Day wise agent'!G:G)</f>
        <v>0</v>
      </c>
      <c r="K2663">
        <f>COUNTIFS('Audit Raw data'!AM:AM,"NO",'Audit Raw data'!J:J,B:B,'Audit Raw data'!E:E,'Day wise agent'!G:G)</f>
        <v>0</v>
      </c>
      <c r="L2663" s="12" t="str">
        <f t="shared" si="62"/>
        <v xml:space="preserve"> </v>
      </c>
    </row>
    <row r="2664" spans="4:12" x14ac:dyDescent="0.35">
      <c r="D2664" s="32"/>
      <c r="G2664" s="32"/>
      <c r="H2664">
        <f>COUNTIFS('Audit Raw data'!J:J,B:B,'Audit Raw data'!E:E,G:G)</f>
        <v>0</v>
      </c>
      <c r="I2664" s="44" t="str">
        <f>IFERROR((SUMIFS('Audit Raw data'!BZ:BZ,'Audit Raw data'!J:J,B:B,'Audit Raw data'!E:E,G:G)/H2664)/100,"-")</f>
        <v>-</v>
      </c>
      <c r="J2664">
        <f>COUNTIFS('Audit Raw data'!AM:AM,"Yes",'Audit Raw data'!J:J,B:B,'Audit Raw data'!E:E,'Day wise agent'!G:G)</f>
        <v>0</v>
      </c>
      <c r="K2664">
        <f>COUNTIFS('Audit Raw data'!AM:AM,"NO",'Audit Raw data'!J:J,B:B,'Audit Raw data'!E:E,'Day wise agent'!G:G)</f>
        <v>0</v>
      </c>
      <c r="L2664" s="12" t="str">
        <f t="shared" si="62"/>
        <v xml:space="preserve"> </v>
      </c>
    </row>
    <row r="2665" spans="4:12" x14ac:dyDescent="0.35">
      <c r="D2665" s="32"/>
      <c r="G2665" s="32"/>
      <c r="H2665">
        <f>COUNTIFS('Audit Raw data'!J:J,B:B,'Audit Raw data'!E:E,G:G)</f>
        <v>0</v>
      </c>
      <c r="I2665" s="44" t="str">
        <f>IFERROR((SUMIFS('Audit Raw data'!BZ:BZ,'Audit Raw data'!J:J,B:B,'Audit Raw data'!E:E,G:G)/H2665)/100,"-")</f>
        <v>-</v>
      </c>
      <c r="J2665">
        <f>COUNTIFS('Audit Raw data'!AM:AM,"Yes",'Audit Raw data'!J:J,B:B,'Audit Raw data'!E:E,'Day wise agent'!G:G)</f>
        <v>0</v>
      </c>
      <c r="K2665">
        <f>COUNTIFS('Audit Raw data'!AM:AM,"NO",'Audit Raw data'!J:J,B:B,'Audit Raw data'!E:E,'Day wise agent'!G:G)</f>
        <v>0</v>
      </c>
      <c r="L2665" s="12" t="str">
        <f t="shared" si="62"/>
        <v xml:space="preserve"> </v>
      </c>
    </row>
    <row r="2666" spans="4:12" x14ac:dyDescent="0.35">
      <c r="D2666" s="32"/>
      <c r="G2666" s="32"/>
      <c r="H2666">
        <f>COUNTIFS('Audit Raw data'!J:J,B:B,'Audit Raw data'!E:E,G:G)</f>
        <v>0</v>
      </c>
      <c r="I2666" s="44" t="str">
        <f>IFERROR((SUMIFS('Audit Raw data'!BZ:BZ,'Audit Raw data'!J:J,B:B,'Audit Raw data'!E:E,G:G)/H2666)/100,"-")</f>
        <v>-</v>
      </c>
      <c r="J2666">
        <f>COUNTIFS('Audit Raw data'!AM:AM,"Yes",'Audit Raw data'!J:J,B:B,'Audit Raw data'!E:E,'Day wise agent'!G:G)</f>
        <v>0</v>
      </c>
      <c r="K2666">
        <f>COUNTIFS('Audit Raw data'!AM:AM,"NO",'Audit Raw data'!J:J,B:B,'Audit Raw data'!E:E,'Day wise agent'!G:G)</f>
        <v>0</v>
      </c>
      <c r="L2666" s="12" t="str">
        <f t="shared" si="62"/>
        <v xml:space="preserve"> </v>
      </c>
    </row>
    <row r="2667" spans="4:12" x14ac:dyDescent="0.35">
      <c r="D2667" s="32"/>
      <c r="G2667" s="32"/>
      <c r="H2667">
        <f>COUNTIFS('Audit Raw data'!J:J,B:B,'Audit Raw data'!E:E,G:G)</f>
        <v>0</v>
      </c>
      <c r="I2667" s="44" t="str">
        <f>IFERROR((SUMIFS('Audit Raw data'!BZ:BZ,'Audit Raw data'!J:J,B:B,'Audit Raw data'!E:E,G:G)/H2667)/100,"-")</f>
        <v>-</v>
      </c>
      <c r="J2667">
        <f>COUNTIFS('Audit Raw data'!AM:AM,"Yes",'Audit Raw data'!J:J,B:B,'Audit Raw data'!E:E,'Day wise agent'!G:G)</f>
        <v>0</v>
      </c>
      <c r="K2667">
        <f>COUNTIFS('Audit Raw data'!AM:AM,"NO",'Audit Raw data'!J:J,B:B,'Audit Raw data'!E:E,'Day wise agent'!G:G)</f>
        <v>0</v>
      </c>
      <c r="L2667" s="12" t="str">
        <f t="shared" si="62"/>
        <v xml:space="preserve"> </v>
      </c>
    </row>
    <row r="2668" spans="4:12" x14ac:dyDescent="0.35">
      <c r="D2668" s="32"/>
      <c r="G2668" s="32"/>
      <c r="H2668">
        <f>COUNTIFS('Audit Raw data'!J:J,B:B,'Audit Raw data'!E:E,G:G)</f>
        <v>0</v>
      </c>
      <c r="I2668" s="44" t="str">
        <f>IFERROR((SUMIFS('Audit Raw data'!BZ:BZ,'Audit Raw data'!J:J,B:B,'Audit Raw data'!E:E,G:G)/H2668)/100,"-")</f>
        <v>-</v>
      </c>
      <c r="J2668">
        <f>COUNTIFS('Audit Raw data'!AM:AM,"Yes",'Audit Raw data'!J:J,B:B,'Audit Raw data'!E:E,'Day wise agent'!G:G)</f>
        <v>0</v>
      </c>
      <c r="K2668">
        <f>COUNTIFS('Audit Raw data'!AM:AM,"NO",'Audit Raw data'!J:J,B:B,'Audit Raw data'!E:E,'Day wise agent'!G:G)</f>
        <v>0</v>
      </c>
      <c r="L2668" s="12" t="str">
        <f t="shared" si="62"/>
        <v xml:space="preserve"> </v>
      </c>
    </row>
    <row r="2669" spans="4:12" x14ac:dyDescent="0.35">
      <c r="D2669" s="32"/>
      <c r="G2669" s="32"/>
      <c r="H2669">
        <f>COUNTIFS('Audit Raw data'!J:J,B:B,'Audit Raw data'!E:E,G:G)</f>
        <v>0</v>
      </c>
      <c r="I2669" s="44" t="str">
        <f>IFERROR((SUMIFS('Audit Raw data'!BZ:BZ,'Audit Raw data'!J:J,B:B,'Audit Raw data'!E:E,G:G)/H2669)/100,"-")</f>
        <v>-</v>
      </c>
      <c r="J2669">
        <f>COUNTIFS('Audit Raw data'!AM:AM,"Yes",'Audit Raw data'!J:J,B:B,'Audit Raw data'!E:E,'Day wise agent'!G:G)</f>
        <v>0</v>
      </c>
      <c r="K2669">
        <f>COUNTIFS('Audit Raw data'!AM:AM,"NO",'Audit Raw data'!J:J,B:B,'Audit Raw data'!E:E,'Day wise agent'!G:G)</f>
        <v>0</v>
      </c>
      <c r="L2669" s="12" t="str">
        <f t="shared" si="62"/>
        <v xml:space="preserve"> </v>
      </c>
    </row>
    <row r="2670" spans="4:12" x14ac:dyDescent="0.35">
      <c r="D2670" s="32"/>
      <c r="G2670" s="32"/>
      <c r="H2670">
        <f>COUNTIFS('Audit Raw data'!J:J,B:B,'Audit Raw data'!E:E,G:G)</f>
        <v>0</v>
      </c>
      <c r="I2670" s="44" t="str">
        <f>IFERROR((SUMIFS('Audit Raw data'!BZ:BZ,'Audit Raw data'!J:J,B:B,'Audit Raw data'!E:E,G:G)/H2670)/100,"-")</f>
        <v>-</v>
      </c>
      <c r="J2670">
        <f>COUNTIFS('Audit Raw data'!AM:AM,"Yes",'Audit Raw data'!J:J,B:B,'Audit Raw data'!E:E,'Day wise agent'!G:G)</f>
        <v>0</v>
      </c>
      <c r="K2670">
        <f>COUNTIFS('Audit Raw data'!AM:AM,"NO",'Audit Raw data'!J:J,B:B,'Audit Raw data'!E:E,'Day wise agent'!G:G)</f>
        <v>0</v>
      </c>
      <c r="L2670" s="12" t="str">
        <f t="shared" si="62"/>
        <v xml:space="preserve"> </v>
      </c>
    </row>
    <row r="2671" spans="4:12" x14ac:dyDescent="0.35">
      <c r="D2671" s="32"/>
      <c r="G2671" s="32"/>
      <c r="H2671">
        <f>COUNTIFS('Audit Raw data'!J:J,B:B,'Audit Raw data'!E:E,G:G)</f>
        <v>0</v>
      </c>
      <c r="I2671" s="44" t="str">
        <f>IFERROR((SUMIFS('Audit Raw data'!BZ:BZ,'Audit Raw data'!J:J,B:B,'Audit Raw data'!E:E,G:G)/H2671)/100,"-")</f>
        <v>-</v>
      </c>
      <c r="J2671">
        <f>COUNTIFS('Audit Raw data'!AM:AM,"Yes",'Audit Raw data'!J:J,B:B,'Audit Raw data'!E:E,'Day wise agent'!G:G)</f>
        <v>0</v>
      </c>
      <c r="K2671">
        <f>COUNTIFS('Audit Raw data'!AM:AM,"NO",'Audit Raw data'!J:J,B:B,'Audit Raw data'!E:E,'Day wise agent'!G:G)</f>
        <v>0</v>
      </c>
      <c r="L2671" s="12" t="str">
        <f t="shared" si="62"/>
        <v xml:space="preserve"> </v>
      </c>
    </row>
    <row r="2672" spans="4:12" x14ac:dyDescent="0.35">
      <c r="D2672" s="32"/>
      <c r="G2672" s="32"/>
      <c r="H2672">
        <f>COUNTIFS('Audit Raw data'!J:J,B:B,'Audit Raw data'!E:E,G:G)</f>
        <v>0</v>
      </c>
      <c r="I2672" s="44" t="str">
        <f>IFERROR((SUMIFS('Audit Raw data'!BZ:BZ,'Audit Raw data'!J:J,B:B,'Audit Raw data'!E:E,G:G)/H2672)/100,"-")</f>
        <v>-</v>
      </c>
      <c r="J2672">
        <f>COUNTIFS('Audit Raw data'!AM:AM,"Yes",'Audit Raw data'!J:J,B:B,'Audit Raw data'!E:E,'Day wise agent'!G:G)</f>
        <v>0</v>
      </c>
      <c r="K2672">
        <f>COUNTIFS('Audit Raw data'!AM:AM,"NO",'Audit Raw data'!J:J,B:B,'Audit Raw data'!E:E,'Day wise agent'!G:G)</f>
        <v>0</v>
      </c>
      <c r="L2672" s="12" t="str">
        <f t="shared" si="62"/>
        <v xml:space="preserve"> </v>
      </c>
    </row>
    <row r="2673" spans="4:12" x14ac:dyDescent="0.35">
      <c r="D2673" s="32"/>
      <c r="G2673" s="32"/>
      <c r="H2673">
        <f>COUNTIFS('Audit Raw data'!J:J,B:B,'Audit Raw data'!E:E,G:G)</f>
        <v>0</v>
      </c>
      <c r="I2673" s="44" t="str">
        <f>IFERROR((SUMIFS('Audit Raw data'!BZ:BZ,'Audit Raw data'!J:J,B:B,'Audit Raw data'!E:E,G:G)/H2673)/100,"-")</f>
        <v>-</v>
      </c>
      <c r="J2673">
        <f>COUNTIFS('Audit Raw data'!AM:AM,"Yes",'Audit Raw data'!J:J,B:B,'Audit Raw data'!E:E,'Day wise agent'!G:G)</f>
        <v>0</v>
      </c>
      <c r="K2673">
        <f>COUNTIFS('Audit Raw data'!AM:AM,"NO",'Audit Raw data'!J:J,B:B,'Audit Raw data'!E:E,'Day wise agent'!G:G)</f>
        <v>0</v>
      </c>
      <c r="L2673" s="12" t="str">
        <f t="shared" si="62"/>
        <v xml:space="preserve"> </v>
      </c>
    </row>
    <row r="2674" spans="4:12" x14ac:dyDescent="0.35">
      <c r="D2674" s="32"/>
      <c r="G2674" s="32"/>
      <c r="H2674">
        <f>COUNTIFS('Audit Raw data'!J:J,B:B,'Audit Raw data'!E:E,G:G)</f>
        <v>0</v>
      </c>
      <c r="I2674" s="44" t="str">
        <f>IFERROR((SUMIFS('Audit Raw data'!BZ:BZ,'Audit Raw data'!J:J,B:B,'Audit Raw data'!E:E,G:G)/H2674)/100,"-")</f>
        <v>-</v>
      </c>
      <c r="J2674">
        <f>COUNTIFS('Audit Raw data'!AM:AM,"Yes",'Audit Raw data'!J:J,B:B,'Audit Raw data'!E:E,'Day wise agent'!G:G)</f>
        <v>0</v>
      </c>
      <c r="K2674">
        <f>COUNTIFS('Audit Raw data'!AM:AM,"NO",'Audit Raw data'!J:J,B:B,'Audit Raw data'!E:E,'Day wise agent'!G:G)</f>
        <v>0</v>
      </c>
      <c r="L2674" s="12" t="str">
        <f t="shared" si="62"/>
        <v xml:space="preserve"> </v>
      </c>
    </row>
    <row r="2675" spans="4:12" x14ac:dyDescent="0.35">
      <c r="D2675" s="32"/>
      <c r="G2675" s="32"/>
      <c r="H2675">
        <f>COUNTIFS('Audit Raw data'!J:J,B:B,'Audit Raw data'!E:E,G:G)</f>
        <v>0</v>
      </c>
      <c r="I2675" s="44" t="str">
        <f>IFERROR((SUMIFS('Audit Raw data'!BZ:BZ,'Audit Raw data'!J:J,B:B,'Audit Raw data'!E:E,G:G)/H2675)/100,"-")</f>
        <v>-</v>
      </c>
      <c r="J2675">
        <f>COUNTIFS('Audit Raw data'!AM:AM,"Yes",'Audit Raw data'!J:J,B:B,'Audit Raw data'!E:E,'Day wise agent'!G:G)</f>
        <v>0</v>
      </c>
      <c r="K2675">
        <f>COUNTIFS('Audit Raw data'!AM:AM,"NO",'Audit Raw data'!J:J,B:B,'Audit Raw data'!E:E,'Day wise agent'!G:G)</f>
        <v>0</v>
      </c>
      <c r="L2675" s="12" t="str">
        <f t="shared" si="62"/>
        <v xml:space="preserve"> </v>
      </c>
    </row>
    <row r="2676" spans="4:12" x14ac:dyDescent="0.35">
      <c r="D2676" s="32"/>
      <c r="G2676" s="32"/>
      <c r="H2676">
        <f>COUNTIFS('Audit Raw data'!J:J,B:B,'Audit Raw data'!E:E,G:G)</f>
        <v>0</v>
      </c>
      <c r="I2676" s="44" t="str">
        <f>IFERROR((SUMIFS('Audit Raw data'!BZ:BZ,'Audit Raw data'!J:J,B:B,'Audit Raw data'!E:E,G:G)/H2676)/100,"-")</f>
        <v>-</v>
      </c>
      <c r="J2676">
        <f>COUNTIFS('Audit Raw data'!AM:AM,"Yes",'Audit Raw data'!J:J,B:B,'Audit Raw data'!E:E,'Day wise agent'!G:G)</f>
        <v>0</v>
      </c>
      <c r="K2676">
        <f>COUNTIFS('Audit Raw data'!AM:AM,"NO",'Audit Raw data'!J:J,B:B,'Audit Raw data'!E:E,'Day wise agent'!G:G)</f>
        <v>0</v>
      </c>
      <c r="L2676" s="12" t="str">
        <f t="shared" si="62"/>
        <v xml:space="preserve"> </v>
      </c>
    </row>
    <row r="2677" spans="4:12" x14ac:dyDescent="0.35">
      <c r="D2677" s="32"/>
      <c r="G2677" s="32"/>
      <c r="H2677">
        <f>COUNTIFS('Audit Raw data'!J:J,B:B,'Audit Raw data'!E:E,G:G)</f>
        <v>0</v>
      </c>
      <c r="I2677" s="44" t="str">
        <f>IFERROR((SUMIFS('Audit Raw data'!BZ:BZ,'Audit Raw data'!J:J,B:B,'Audit Raw data'!E:E,G:G)/H2677)/100,"-")</f>
        <v>-</v>
      </c>
      <c r="J2677">
        <f>COUNTIFS('Audit Raw data'!AM:AM,"Yes",'Audit Raw data'!J:J,B:B,'Audit Raw data'!E:E,'Day wise agent'!G:G)</f>
        <v>0</v>
      </c>
      <c r="K2677">
        <f>COUNTIFS('Audit Raw data'!AM:AM,"NO",'Audit Raw data'!J:J,B:B,'Audit Raw data'!E:E,'Day wise agent'!G:G)</f>
        <v>0</v>
      </c>
      <c r="L2677" s="12" t="str">
        <f t="shared" si="62"/>
        <v xml:space="preserve"> </v>
      </c>
    </row>
    <row r="2678" spans="4:12" x14ac:dyDescent="0.35">
      <c r="D2678" s="32"/>
      <c r="G2678" s="32"/>
      <c r="H2678">
        <f>COUNTIFS('Audit Raw data'!J:J,B:B,'Audit Raw data'!E:E,G:G)</f>
        <v>0</v>
      </c>
      <c r="I2678" s="44" t="str">
        <f>IFERROR((SUMIFS('Audit Raw data'!BZ:BZ,'Audit Raw data'!J:J,B:B,'Audit Raw data'!E:E,G:G)/H2678)/100,"-")</f>
        <v>-</v>
      </c>
      <c r="J2678">
        <f>COUNTIFS('Audit Raw data'!AM:AM,"Yes",'Audit Raw data'!J:J,B:B,'Audit Raw data'!E:E,'Day wise agent'!G:G)</f>
        <v>0</v>
      </c>
      <c r="K2678">
        <f>COUNTIFS('Audit Raw data'!AM:AM,"NO",'Audit Raw data'!J:J,B:B,'Audit Raw data'!E:E,'Day wise agent'!G:G)</f>
        <v>0</v>
      </c>
      <c r="L2678" s="12" t="str">
        <f t="shared" si="62"/>
        <v xml:space="preserve"> </v>
      </c>
    </row>
    <row r="2679" spans="4:12" x14ac:dyDescent="0.35">
      <c r="D2679" s="32"/>
      <c r="G2679" s="32"/>
      <c r="H2679">
        <f>COUNTIFS('Audit Raw data'!J:J,B:B,'Audit Raw data'!E:E,G:G)</f>
        <v>0</v>
      </c>
      <c r="I2679" s="44" t="str">
        <f>IFERROR((SUMIFS('Audit Raw data'!BZ:BZ,'Audit Raw data'!J:J,B:B,'Audit Raw data'!E:E,G:G)/H2679)/100,"-")</f>
        <v>-</v>
      </c>
      <c r="J2679">
        <f>COUNTIFS('Audit Raw data'!AM:AM,"Yes",'Audit Raw data'!J:J,B:B,'Audit Raw data'!E:E,'Day wise agent'!G:G)</f>
        <v>0</v>
      </c>
      <c r="K2679">
        <f>COUNTIFS('Audit Raw data'!AM:AM,"NO",'Audit Raw data'!J:J,B:B,'Audit Raw data'!E:E,'Day wise agent'!G:G)</f>
        <v>0</v>
      </c>
      <c r="L2679" s="12" t="str">
        <f t="shared" si="62"/>
        <v xml:space="preserve"> </v>
      </c>
    </row>
    <row r="2680" spans="4:12" x14ac:dyDescent="0.35">
      <c r="D2680" s="32"/>
      <c r="G2680" s="32"/>
      <c r="H2680">
        <f>COUNTIFS('Audit Raw data'!J:J,B:B,'Audit Raw data'!E:E,G:G)</f>
        <v>0</v>
      </c>
      <c r="I2680" s="44" t="str">
        <f>IFERROR((SUMIFS('Audit Raw data'!BZ:BZ,'Audit Raw data'!J:J,B:B,'Audit Raw data'!E:E,G:G)/H2680)/100,"-")</f>
        <v>-</v>
      </c>
      <c r="J2680">
        <f>COUNTIFS('Audit Raw data'!AM:AM,"Yes",'Audit Raw data'!J:J,B:B,'Audit Raw data'!E:E,'Day wise agent'!G:G)</f>
        <v>0</v>
      </c>
      <c r="K2680">
        <f>COUNTIFS('Audit Raw data'!AM:AM,"NO",'Audit Raw data'!J:J,B:B,'Audit Raw data'!E:E,'Day wise agent'!G:G)</f>
        <v>0</v>
      </c>
      <c r="L2680" s="12" t="str">
        <f t="shared" si="62"/>
        <v xml:space="preserve"> </v>
      </c>
    </row>
    <row r="2681" spans="4:12" x14ac:dyDescent="0.35">
      <c r="D2681" s="32"/>
      <c r="G2681" s="32"/>
      <c r="H2681">
        <f>COUNTIFS('Audit Raw data'!J:J,B:B,'Audit Raw data'!E:E,G:G)</f>
        <v>0</v>
      </c>
      <c r="I2681" s="44" t="str">
        <f>IFERROR((SUMIFS('Audit Raw data'!BZ:BZ,'Audit Raw data'!J:J,B:B,'Audit Raw data'!E:E,G:G)/H2681)/100,"-")</f>
        <v>-</v>
      </c>
      <c r="J2681">
        <f>COUNTIFS('Audit Raw data'!AM:AM,"Yes",'Audit Raw data'!J:J,B:B,'Audit Raw data'!E:E,'Day wise agent'!G:G)</f>
        <v>0</v>
      </c>
      <c r="K2681">
        <f>COUNTIFS('Audit Raw data'!AM:AM,"NO",'Audit Raw data'!J:J,B:B,'Audit Raw data'!E:E,'Day wise agent'!G:G)</f>
        <v>0</v>
      </c>
      <c r="L2681" s="12" t="str">
        <f t="shared" si="62"/>
        <v xml:space="preserve"> </v>
      </c>
    </row>
    <row r="2682" spans="4:12" x14ac:dyDescent="0.35">
      <c r="D2682" s="32"/>
      <c r="G2682" s="32"/>
      <c r="H2682">
        <f>COUNTIFS('Audit Raw data'!J:J,B:B,'Audit Raw data'!E:E,G:G)</f>
        <v>0</v>
      </c>
      <c r="I2682" s="44" t="str">
        <f>IFERROR((SUMIFS('Audit Raw data'!BZ:BZ,'Audit Raw data'!J:J,B:B,'Audit Raw data'!E:E,G:G)/H2682)/100,"-")</f>
        <v>-</v>
      </c>
      <c r="J2682">
        <f>COUNTIFS('Audit Raw data'!AM:AM,"Yes",'Audit Raw data'!J:J,B:B,'Audit Raw data'!E:E,'Day wise agent'!G:G)</f>
        <v>0</v>
      </c>
      <c r="K2682">
        <f>COUNTIFS('Audit Raw data'!AM:AM,"NO",'Audit Raw data'!J:J,B:B,'Audit Raw data'!E:E,'Day wise agent'!G:G)</f>
        <v>0</v>
      </c>
      <c r="L2682" s="12" t="str">
        <f t="shared" si="62"/>
        <v xml:space="preserve"> </v>
      </c>
    </row>
    <row r="2683" spans="4:12" x14ac:dyDescent="0.35">
      <c r="D2683" s="32"/>
      <c r="G2683" s="32"/>
      <c r="H2683">
        <f>COUNTIFS('Audit Raw data'!J:J,B:B,'Audit Raw data'!E:E,G:G)</f>
        <v>0</v>
      </c>
      <c r="I2683" s="44" t="str">
        <f>IFERROR((SUMIFS('Audit Raw data'!BZ:BZ,'Audit Raw data'!J:J,B:B,'Audit Raw data'!E:E,G:G)/H2683)/100,"-")</f>
        <v>-</v>
      </c>
      <c r="J2683">
        <f>COUNTIFS('Audit Raw data'!AM:AM,"Yes",'Audit Raw data'!J:J,B:B,'Audit Raw data'!E:E,'Day wise agent'!G:G)</f>
        <v>0</v>
      </c>
      <c r="K2683">
        <f>COUNTIFS('Audit Raw data'!AM:AM,"NO",'Audit Raw data'!J:J,B:B,'Audit Raw data'!E:E,'Day wise agent'!G:G)</f>
        <v>0</v>
      </c>
      <c r="L2683" s="12" t="str">
        <f t="shared" si="62"/>
        <v xml:space="preserve"> </v>
      </c>
    </row>
    <row r="2684" spans="4:12" x14ac:dyDescent="0.35">
      <c r="D2684" s="32"/>
      <c r="G2684" s="32"/>
      <c r="H2684">
        <f>COUNTIFS('Audit Raw data'!J:J,B:B,'Audit Raw data'!E:E,G:G)</f>
        <v>0</v>
      </c>
      <c r="I2684" s="44" t="str">
        <f>IFERROR((SUMIFS('Audit Raw data'!BZ:BZ,'Audit Raw data'!J:J,B:B,'Audit Raw data'!E:E,G:G)/H2684)/100,"-")</f>
        <v>-</v>
      </c>
      <c r="J2684">
        <f>COUNTIFS('Audit Raw data'!AM:AM,"Yes",'Audit Raw data'!J:J,B:B,'Audit Raw data'!E:E,'Day wise agent'!G:G)</f>
        <v>0</v>
      </c>
      <c r="K2684">
        <f>COUNTIFS('Audit Raw data'!AM:AM,"NO",'Audit Raw data'!J:J,B:B,'Audit Raw data'!E:E,'Day wise agent'!G:G)</f>
        <v>0</v>
      </c>
      <c r="L2684" s="12" t="str">
        <f t="shared" si="62"/>
        <v xml:space="preserve"> </v>
      </c>
    </row>
    <row r="2685" spans="4:12" x14ac:dyDescent="0.35">
      <c r="D2685" s="32"/>
      <c r="G2685" s="32"/>
      <c r="H2685">
        <f>COUNTIFS('Audit Raw data'!J:J,B:B,'Audit Raw data'!E:E,G:G)</f>
        <v>0</v>
      </c>
      <c r="I2685" s="44" t="str">
        <f>IFERROR((SUMIFS('Audit Raw data'!BZ:BZ,'Audit Raw data'!J:J,B:B,'Audit Raw data'!E:E,G:G)/H2685)/100,"-")</f>
        <v>-</v>
      </c>
      <c r="J2685">
        <f>COUNTIFS('Audit Raw data'!AM:AM,"Yes",'Audit Raw data'!J:J,B:B,'Audit Raw data'!E:E,'Day wise agent'!G:G)</f>
        <v>0</v>
      </c>
      <c r="K2685">
        <f>COUNTIFS('Audit Raw data'!AM:AM,"NO",'Audit Raw data'!J:J,B:B,'Audit Raw data'!E:E,'Day wise agent'!G:G)</f>
        <v>0</v>
      </c>
      <c r="L2685" s="12" t="str">
        <f t="shared" si="62"/>
        <v xml:space="preserve"> </v>
      </c>
    </row>
    <row r="2686" spans="4:12" x14ac:dyDescent="0.35">
      <c r="D2686" s="32"/>
      <c r="G2686" s="32"/>
      <c r="H2686">
        <f>COUNTIFS('Audit Raw data'!J:J,B:B,'Audit Raw data'!E:E,G:G)</f>
        <v>0</v>
      </c>
      <c r="I2686" s="44" t="str">
        <f>IFERROR((SUMIFS('Audit Raw data'!BZ:BZ,'Audit Raw data'!J:J,B:B,'Audit Raw data'!E:E,G:G)/H2686)/100,"-")</f>
        <v>-</v>
      </c>
      <c r="J2686">
        <f>COUNTIFS('Audit Raw data'!AM:AM,"Yes",'Audit Raw data'!J:J,B:B,'Audit Raw data'!E:E,'Day wise agent'!G:G)</f>
        <v>0</v>
      </c>
      <c r="K2686">
        <f>COUNTIFS('Audit Raw data'!AM:AM,"NO",'Audit Raw data'!J:J,B:B,'Audit Raw data'!E:E,'Day wise agent'!G:G)</f>
        <v>0</v>
      </c>
      <c r="L2686" s="12" t="str">
        <f t="shared" si="62"/>
        <v xml:space="preserve"> </v>
      </c>
    </row>
    <row r="2687" spans="4:12" x14ac:dyDescent="0.35">
      <c r="D2687" s="32"/>
      <c r="G2687" s="32"/>
      <c r="H2687">
        <f>COUNTIFS('Audit Raw data'!J:J,B:B,'Audit Raw data'!E:E,G:G)</f>
        <v>0</v>
      </c>
      <c r="I2687" s="44" t="str">
        <f>IFERROR((SUMIFS('Audit Raw data'!BZ:BZ,'Audit Raw data'!J:J,B:B,'Audit Raw data'!E:E,G:G)/H2687)/100,"-")</f>
        <v>-</v>
      </c>
      <c r="J2687">
        <f>COUNTIFS('Audit Raw data'!AM:AM,"Yes",'Audit Raw data'!J:J,B:B,'Audit Raw data'!E:E,'Day wise agent'!G:G)</f>
        <v>0</v>
      </c>
      <c r="K2687">
        <f>COUNTIFS('Audit Raw data'!AM:AM,"NO",'Audit Raw data'!J:J,B:B,'Audit Raw data'!E:E,'Day wise agent'!G:G)</f>
        <v>0</v>
      </c>
      <c r="L2687" s="12" t="str">
        <f t="shared" si="62"/>
        <v xml:space="preserve"> </v>
      </c>
    </row>
    <row r="2688" spans="4:12" x14ac:dyDescent="0.35">
      <c r="D2688" s="32"/>
      <c r="G2688" s="32"/>
      <c r="H2688">
        <f>COUNTIFS('Audit Raw data'!J:J,B:B,'Audit Raw data'!E:E,G:G)</f>
        <v>0</v>
      </c>
      <c r="I2688" s="44" t="str">
        <f>IFERROR((SUMIFS('Audit Raw data'!BZ:BZ,'Audit Raw data'!J:J,B:B,'Audit Raw data'!E:E,G:G)/H2688)/100,"-")</f>
        <v>-</v>
      </c>
      <c r="J2688">
        <f>COUNTIFS('Audit Raw data'!AM:AM,"Yes",'Audit Raw data'!J:J,B:B,'Audit Raw data'!E:E,'Day wise agent'!G:G)</f>
        <v>0</v>
      </c>
      <c r="K2688">
        <f>COUNTIFS('Audit Raw data'!AM:AM,"NO",'Audit Raw data'!J:J,B:B,'Audit Raw data'!E:E,'Day wise agent'!G:G)</f>
        <v>0</v>
      </c>
      <c r="L2688" s="12" t="str">
        <f t="shared" si="62"/>
        <v xml:space="preserve"> </v>
      </c>
    </row>
    <row r="2689" spans="4:12" x14ac:dyDescent="0.35">
      <c r="D2689" s="32"/>
      <c r="G2689" s="32"/>
      <c r="H2689">
        <f>COUNTIFS('Audit Raw data'!J:J,B:B,'Audit Raw data'!E:E,G:G)</f>
        <v>0</v>
      </c>
      <c r="I2689" s="44" t="str">
        <f>IFERROR((SUMIFS('Audit Raw data'!BZ:BZ,'Audit Raw data'!J:J,B:B,'Audit Raw data'!E:E,G:G)/H2689)/100,"-")</f>
        <v>-</v>
      </c>
      <c r="J2689">
        <f>COUNTIFS('Audit Raw data'!AM:AM,"Yes",'Audit Raw data'!J:J,B:B,'Audit Raw data'!E:E,'Day wise agent'!G:G)</f>
        <v>0</v>
      </c>
      <c r="K2689">
        <f>COUNTIFS('Audit Raw data'!AM:AM,"NO",'Audit Raw data'!J:J,B:B,'Audit Raw data'!E:E,'Day wise agent'!G:G)</f>
        <v>0</v>
      </c>
      <c r="L2689" s="12" t="str">
        <f t="shared" si="62"/>
        <v xml:space="preserve"> </v>
      </c>
    </row>
    <row r="2690" spans="4:12" x14ac:dyDescent="0.35">
      <c r="D2690" s="32"/>
      <c r="G2690" s="32"/>
      <c r="H2690">
        <f>COUNTIFS('Audit Raw data'!J:J,B:B,'Audit Raw data'!E:E,G:G)</f>
        <v>0</v>
      </c>
      <c r="I2690" s="44" t="str">
        <f>IFERROR((SUMIFS('Audit Raw data'!BZ:BZ,'Audit Raw data'!J:J,B:B,'Audit Raw data'!E:E,G:G)/H2690)/100,"-")</f>
        <v>-</v>
      </c>
      <c r="J2690">
        <f>COUNTIFS('Audit Raw data'!AM:AM,"Yes",'Audit Raw data'!J:J,B:B,'Audit Raw data'!E:E,'Day wise agent'!G:G)</f>
        <v>0</v>
      </c>
      <c r="K2690">
        <f>COUNTIFS('Audit Raw data'!AM:AM,"NO",'Audit Raw data'!J:J,B:B,'Audit Raw data'!E:E,'Day wise agent'!G:G)</f>
        <v>0</v>
      </c>
      <c r="L2690" s="12" t="str">
        <f t="shared" ref="L2690:L2753" si="63">IFERROR(J2690/H2690," ")</f>
        <v xml:space="preserve"> </v>
      </c>
    </row>
    <row r="2691" spans="4:12" x14ac:dyDescent="0.35">
      <c r="D2691" s="32"/>
      <c r="G2691" s="32"/>
      <c r="H2691">
        <f>COUNTIFS('Audit Raw data'!J:J,B:B,'Audit Raw data'!E:E,G:G)</f>
        <v>0</v>
      </c>
      <c r="I2691" s="44" t="str">
        <f>IFERROR((SUMIFS('Audit Raw data'!BZ:BZ,'Audit Raw data'!J:J,B:B,'Audit Raw data'!E:E,G:G)/H2691)/100,"-")</f>
        <v>-</v>
      </c>
      <c r="J2691">
        <f>COUNTIFS('Audit Raw data'!AM:AM,"Yes",'Audit Raw data'!J:J,B:B,'Audit Raw data'!E:E,'Day wise agent'!G:G)</f>
        <v>0</v>
      </c>
      <c r="K2691">
        <f>COUNTIFS('Audit Raw data'!AM:AM,"NO",'Audit Raw data'!J:J,B:B,'Audit Raw data'!E:E,'Day wise agent'!G:G)</f>
        <v>0</v>
      </c>
      <c r="L2691" s="12" t="str">
        <f t="shared" si="63"/>
        <v xml:space="preserve"> </v>
      </c>
    </row>
    <row r="2692" spans="4:12" x14ac:dyDescent="0.35">
      <c r="D2692" s="32"/>
      <c r="G2692" s="32"/>
      <c r="H2692">
        <f>COUNTIFS('Audit Raw data'!J:J,B:B,'Audit Raw data'!E:E,G:G)</f>
        <v>0</v>
      </c>
      <c r="I2692" s="44" t="str">
        <f>IFERROR((SUMIFS('Audit Raw data'!BZ:BZ,'Audit Raw data'!J:J,B:B,'Audit Raw data'!E:E,G:G)/H2692)/100,"-")</f>
        <v>-</v>
      </c>
      <c r="J2692">
        <f>COUNTIFS('Audit Raw data'!AM:AM,"Yes",'Audit Raw data'!J:J,B:B,'Audit Raw data'!E:E,'Day wise agent'!G:G)</f>
        <v>0</v>
      </c>
      <c r="K2692">
        <f>COUNTIFS('Audit Raw data'!AM:AM,"NO",'Audit Raw data'!J:J,B:B,'Audit Raw data'!E:E,'Day wise agent'!G:G)</f>
        <v>0</v>
      </c>
      <c r="L2692" s="12" t="str">
        <f t="shared" si="63"/>
        <v xml:space="preserve"> </v>
      </c>
    </row>
    <row r="2693" spans="4:12" x14ac:dyDescent="0.35">
      <c r="D2693" s="32"/>
      <c r="G2693" s="32"/>
      <c r="H2693">
        <f>COUNTIFS('Audit Raw data'!J:J,B:B,'Audit Raw data'!E:E,G:G)</f>
        <v>0</v>
      </c>
      <c r="I2693" s="44" t="str">
        <f>IFERROR((SUMIFS('Audit Raw data'!BZ:BZ,'Audit Raw data'!J:J,B:B,'Audit Raw data'!E:E,G:G)/H2693)/100,"-")</f>
        <v>-</v>
      </c>
      <c r="J2693">
        <f>COUNTIFS('Audit Raw data'!AM:AM,"Yes",'Audit Raw data'!J:J,B:B,'Audit Raw data'!E:E,'Day wise agent'!G:G)</f>
        <v>0</v>
      </c>
      <c r="K2693">
        <f>COUNTIFS('Audit Raw data'!AM:AM,"NO",'Audit Raw data'!J:J,B:B,'Audit Raw data'!E:E,'Day wise agent'!G:G)</f>
        <v>0</v>
      </c>
      <c r="L2693" s="12" t="str">
        <f t="shared" si="63"/>
        <v xml:space="preserve"> </v>
      </c>
    </row>
    <row r="2694" spans="4:12" x14ac:dyDescent="0.35">
      <c r="D2694" s="32"/>
      <c r="G2694" s="32"/>
      <c r="H2694">
        <f>COUNTIFS('Audit Raw data'!J:J,B:B,'Audit Raw data'!E:E,G:G)</f>
        <v>0</v>
      </c>
      <c r="I2694" s="44" t="str">
        <f>IFERROR((SUMIFS('Audit Raw data'!BZ:BZ,'Audit Raw data'!J:J,B:B,'Audit Raw data'!E:E,G:G)/H2694)/100,"-")</f>
        <v>-</v>
      </c>
      <c r="J2694">
        <f>COUNTIFS('Audit Raw data'!AM:AM,"Yes",'Audit Raw data'!J:J,B:B,'Audit Raw data'!E:E,'Day wise agent'!G:G)</f>
        <v>0</v>
      </c>
      <c r="K2694">
        <f>COUNTIFS('Audit Raw data'!AM:AM,"NO",'Audit Raw data'!J:J,B:B,'Audit Raw data'!E:E,'Day wise agent'!G:G)</f>
        <v>0</v>
      </c>
      <c r="L2694" s="12" t="str">
        <f t="shared" si="63"/>
        <v xml:space="preserve"> </v>
      </c>
    </row>
    <row r="2695" spans="4:12" x14ac:dyDescent="0.35">
      <c r="D2695" s="32"/>
      <c r="G2695" s="32"/>
      <c r="H2695">
        <f>COUNTIFS('Audit Raw data'!J:J,B:B,'Audit Raw data'!E:E,G:G)</f>
        <v>0</v>
      </c>
      <c r="I2695" s="44" t="str">
        <f>IFERROR((SUMIFS('Audit Raw data'!BZ:BZ,'Audit Raw data'!J:J,B:B,'Audit Raw data'!E:E,G:G)/H2695)/100,"-")</f>
        <v>-</v>
      </c>
      <c r="J2695">
        <f>COUNTIFS('Audit Raw data'!AM:AM,"Yes",'Audit Raw data'!J:J,B:B,'Audit Raw data'!E:E,'Day wise agent'!G:G)</f>
        <v>0</v>
      </c>
      <c r="K2695">
        <f>COUNTIFS('Audit Raw data'!AM:AM,"NO",'Audit Raw data'!J:J,B:B,'Audit Raw data'!E:E,'Day wise agent'!G:G)</f>
        <v>0</v>
      </c>
      <c r="L2695" s="12" t="str">
        <f t="shared" si="63"/>
        <v xml:space="preserve"> </v>
      </c>
    </row>
    <row r="2696" spans="4:12" x14ac:dyDescent="0.35">
      <c r="D2696" s="32"/>
      <c r="G2696" s="32"/>
      <c r="H2696">
        <f>COUNTIFS('Audit Raw data'!J:J,B:B,'Audit Raw data'!E:E,G:G)</f>
        <v>0</v>
      </c>
      <c r="I2696" s="44" t="str">
        <f>IFERROR((SUMIFS('Audit Raw data'!BZ:BZ,'Audit Raw data'!J:J,B:B,'Audit Raw data'!E:E,G:G)/H2696)/100,"-")</f>
        <v>-</v>
      </c>
      <c r="J2696">
        <f>COUNTIFS('Audit Raw data'!AM:AM,"Yes",'Audit Raw data'!J:J,B:B,'Audit Raw data'!E:E,'Day wise agent'!G:G)</f>
        <v>0</v>
      </c>
      <c r="K2696">
        <f>COUNTIFS('Audit Raw data'!AM:AM,"NO",'Audit Raw data'!J:J,B:B,'Audit Raw data'!E:E,'Day wise agent'!G:G)</f>
        <v>0</v>
      </c>
      <c r="L2696" s="12" t="str">
        <f t="shared" si="63"/>
        <v xml:space="preserve"> </v>
      </c>
    </row>
    <row r="2697" spans="4:12" x14ac:dyDescent="0.35">
      <c r="D2697" s="32"/>
      <c r="G2697" s="32"/>
      <c r="H2697">
        <f>COUNTIFS('Audit Raw data'!J:J,B:B,'Audit Raw data'!E:E,G:G)</f>
        <v>0</v>
      </c>
      <c r="I2697" s="44" t="str">
        <f>IFERROR((SUMIFS('Audit Raw data'!BZ:BZ,'Audit Raw data'!J:J,B:B,'Audit Raw data'!E:E,G:G)/H2697)/100,"-")</f>
        <v>-</v>
      </c>
      <c r="J2697">
        <f>COUNTIFS('Audit Raw data'!AM:AM,"Yes",'Audit Raw data'!J:J,B:B,'Audit Raw data'!E:E,'Day wise agent'!G:G)</f>
        <v>0</v>
      </c>
      <c r="K2697">
        <f>COUNTIFS('Audit Raw data'!AM:AM,"NO",'Audit Raw data'!J:J,B:B,'Audit Raw data'!E:E,'Day wise agent'!G:G)</f>
        <v>0</v>
      </c>
      <c r="L2697" s="12" t="str">
        <f t="shared" si="63"/>
        <v xml:space="preserve"> </v>
      </c>
    </row>
    <row r="2698" spans="4:12" x14ac:dyDescent="0.35">
      <c r="D2698" s="32"/>
      <c r="G2698" s="32"/>
      <c r="H2698">
        <f>COUNTIFS('Audit Raw data'!J:J,B:B,'Audit Raw data'!E:E,G:G)</f>
        <v>0</v>
      </c>
      <c r="I2698" s="44" t="str">
        <f>IFERROR((SUMIFS('Audit Raw data'!BZ:BZ,'Audit Raw data'!J:J,B:B,'Audit Raw data'!E:E,G:G)/H2698)/100,"-")</f>
        <v>-</v>
      </c>
      <c r="J2698">
        <f>COUNTIFS('Audit Raw data'!AM:AM,"Yes",'Audit Raw data'!J:J,B:B,'Audit Raw data'!E:E,'Day wise agent'!G:G)</f>
        <v>0</v>
      </c>
      <c r="K2698">
        <f>COUNTIFS('Audit Raw data'!AM:AM,"NO",'Audit Raw data'!J:J,B:B,'Audit Raw data'!E:E,'Day wise agent'!G:G)</f>
        <v>0</v>
      </c>
      <c r="L2698" s="12" t="str">
        <f t="shared" si="63"/>
        <v xml:space="preserve"> </v>
      </c>
    </row>
    <row r="2699" spans="4:12" x14ac:dyDescent="0.35">
      <c r="D2699" s="32"/>
      <c r="G2699" s="32"/>
      <c r="H2699">
        <f>COUNTIFS('Audit Raw data'!J:J,B:B,'Audit Raw data'!E:E,G:G)</f>
        <v>0</v>
      </c>
      <c r="I2699" s="44" t="str">
        <f>IFERROR((SUMIFS('Audit Raw data'!BZ:BZ,'Audit Raw data'!J:J,B:B,'Audit Raw data'!E:E,G:G)/H2699)/100,"-")</f>
        <v>-</v>
      </c>
      <c r="J2699">
        <f>COUNTIFS('Audit Raw data'!AM:AM,"Yes",'Audit Raw data'!J:J,B:B,'Audit Raw data'!E:E,'Day wise agent'!G:G)</f>
        <v>0</v>
      </c>
      <c r="K2699">
        <f>COUNTIFS('Audit Raw data'!AM:AM,"NO",'Audit Raw data'!J:J,B:B,'Audit Raw data'!E:E,'Day wise agent'!G:G)</f>
        <v>0</v>
      </c>
      <c r="L2699" s="12" t="str">
        <f t="shared" si="63"/>
        <v xml:space="preserve"> </v>
      </c>
    </row>
    <row r="2700" spans="4:12" x14ac:dyDescent="0.35">
      <c r="D2700" s="32"/>
      <c r="G2700" s="32"/>
      <c r="H2700">
        <f>COUNTIFS('Audit Raw data'!J:J,B:B,'Audit Raw data'!E:E,G:G)</f>
        <v>0</v>
      </c>
      <c r="I2700" s="44" t="str">
        <f>IFERROR((SUMIFS('Audit Raw data'!BZ:BZ,'Audit Raw data'!J:J,B:B,'Audit Raw data'!E:E,G:G)/H2700)/100,"-")</f>
        <v>-</v>
      </c>
      <c r="J2700">
        <f>COUNTIFS('Audit Raw data'!AM:AM,"Yes",'Audit Raw data'!J:J,B:B,'Audit Raw data'!E:E,'Day wise agent'!G:G)</f>
        <v>0</v>
      </c>
      <c r="K2700">
        <f>COUNTIFS('Audit Raw data'!AM:AM,"NO",'Audit Raw data'!J:J,B:B,'Audit Raw data'!E:E,'Day wise agent'!G:G)</f>
        <v>0</v>
      </c>
      <c r="L2700" s="12" t="str">
        <f t="shared" si="63"/>
        <v xml:space="preserve"> </v>
      </c>
    </row>
    <row r="2701" spans="4:12" x14ac:dyDescent="0.35">
      <c r="D2701" s="32"/>
      <c r="G2701" s="32"/>
      <c r="H2701">
        <f>COUNTIFS('Audit Raw data'!J:J,B:B,'Audit Raw data'!E:E,G:G)</f>
        <v>0</v>
      </c>
      <c r="I2701" s="44" t="str">
        <f>IFERROR((SUMIFS('Audit Raw data'!BZ:BZ,'Audit Raw data'!J:J,B:B,'Audit Raw data'!E:E,G:G)/H2701)/100,"-")</f>
        <v>-</v>
      </c>
      <c r="J2701">
        <f>COUNTIFS('Audit Raw data'!AM:AM,"Yes",'Audit Raw data'!J:J,B:B,'Audit Raw data'!E:E,'Day wise agent'!G:G)</f>
        <v>0</v>
      </c>
      <c r="K2701">
        <f>COUNTIFS('Audit Raw data'!AM:AM,"NO",'Audit Raw data'!J:J,B:B,'Audit Raw data'!E:E,'Day wise agent'!G:G)</f>
        <v>0</v>
      </c>
      <c r="L2701" s="12" t="str">
        <f t="shared" si="63"/>
        <v xml:space="preserve"> </v>
      </c>
    </row>
    <row r="2702" spans="4:12" x14ac:dyDescent="0.35">
      <c r="D2702" s="32"/>
      <c r="G2702" s="32"/>
      <c r="H2702">
        <f>COUNTIFS('Audit Raw data'!J:J,B:B,'Audit Raw data'!E:E,G:G)</f>
        <v>0</v>
      </c>
      <c r="I2702" s="44" t="str">
        <f>IFERROR((SUMIFS('Audit Raw data'!BZ:BZ,'Audit Raw data'!J:J,B:B,'Audit Raw data'!E:E,G:G)/H2702)/100,"-")</f>
        <v>-</v>
      </c>
      <c r="J2702">
        <f>COUNTIFS('Audit Raw data'!AM:AM,"Yes",'Audit Raw data'!J:J,B:B,'Audit Raw data'!E:E,'Day wise agent'!G:G)</f>
        <v>0</v>
      </c>
      <c r="K2702">
        <f>COUNTIFS('Audit Raw data'!AM:AM,"NO",'Audit Raw data'!J:J,B:B,'Audit Raw data'!E:E,'Day wise agent'!G:G)</f>
        <v>0</v>
      </c>
      <c r="L2702" s="12" t="str">
        <f t="shared" si="63"/>
        <v xml:space="preserve"> </v>
      </c>
    </row>
    <row r="2703" spans="4:12" x14ac:dyDescent="0.35">
      <c r="D2703" s="32"/>
      <c r="G2703" s="32"/>
      <c r="H2703">
        <f>COUNTIFS('Audit Raw data'!J:J,B:B,'Audit Raw data'!E:E,G:G)</f>
        <v>0</v>
      </c>
      <c r="I2703" s="44" t="str">
        <f>IFERROR((SUMIFS('Audit Raw data'!BZ:BZ,'Audit Raw data'!J:J,B:B,'Audit Raw data'!E:E,G:G)/H2703)/100,"-")</f>
        <v>-</v>
      </c>
      <c r="J2703">
        <f>COUNTIFS('Audit Raw data'!AM:AM,"Yes",'Audit Raw data'!J:J,B:B,'Audit Raw data'!E:E,'Day wise agent'!G:G)</f>
        <v>0</v>
      </c>
      <c r="K2703">
        <f>COUNTIFS('Audit Raw data'!AM:AM,"NO",'Audit Raw data'!J:J,B:B,'Audit Raw data'!E:E,'Day wise agent'!G:G)</f>
        <v>0</v>
      </c>
      <c r="L2703" s="12" t="str">
        <f t="shared" si="63"/>
        <v xml:space="preserve"> </v>
      </c>
    </row>
    <row r="2704" spans="4:12" x14ac:dyDescent="0.35">
      <c r="D2704" s="32"/>
      <c r="G2704" s="32"/>
      <c r="H2704">
        <f>COUNTIFS('Audit Raw data'!J:J,B:B,'Audit Raw data'!E:E,G:G)</f>
        <v>0</v>
      </c>
      <c r="I2704" s="44" t="str">
        <f>IFERROR((SUMIFS('Audit Raw data'!BZ:BZ,'Audit Raw data'!J:J,B:B,'Audit Raw data'!E:E,G:G)/H2704)/100,"-")</f>
        <v>-</v>
      </c>
      <c r="J2704">
        <f>COUNTIFS('Audit Raw data'!AM:AM,"Yes",'Audit Raw data'!J:J,B:B,'Audit Raw data'!E:E,'Day wise agent'!G:G)</f>
        <v>0</v>
      </c>
      <c r="K2704">
        <f>COUNTIFS('Audit Raw data'!AM:AM,"NO",'Audit Raw data'!J:J,B:B,'Audit Raw data'!E:E,'Day wise agent'!G:G)</f>
        <v>0</v>
      </c>
      <c r="L2704" s="12" t="str">
        <f t="shared" si="63"/>
        <v xml:space="preserve"> </v>
      </c>
    </row>
    <row r="2705" spans="4:12" x14ac:dyDescent="0.35">
      <c r="D2705" s="32"/>
      <c r="G2705" s="32"/>
      <c r="H2705">
        <f>COUNTIFS('Audit Raw data'!J:J,B:B,'Audit Raw data'!E:E,G:G)</f>
        <v>0</v>
      </c>
      <c r="I2705" s="44" t="str">
        <f>IFERROR((SUMIFS('Audit Raw data'!BZ:BZ,'Audit Raw data'!J:J,B:B,'Audit Raw data'!E:E,G:G)/H2705)/100,"-")</f>
        <v>-</v>
      </c>
      <c r="J2705">
        <f>COUNTIFS('Audit Raw data'!AM:AM,"Yes",'Audit Raw data'!J:J,B:B,'Audit Raw data'!E:E,'Day wise agent'!G:G)</f>
        <v>0</v>
      </c>
      <c r="K2705">
        <f>COUNTIFS('Audit Raw data'!AM:AM,"NO",'Audit Raw data'!J:J,B:B,'Audit Raw data'!E:E,'Day wise agent'!G:G)</f>
        <v>0</v>
      </c>
      <c r="L2705" s="12" t="str">
        <f t="shared" si="63"/>
        <v xml:space="preserve"> </v>
      </c>
    </row>
    <row r="2706" spans="4:12" x14ac:dyDescent="0.35">
      <c r="D2706" s="32"/>
      <c r="G2706" s="32"/>
      <c r="H2706">
        <f>COUNTIFS('Audit Raw data'!J:J,B:B,'Audit Raw data'!E:E,G:G)</f>
        <v>0</v>
      </c>
      <c r="I2706" s="44" t="str">
        <f>IFERROR((SUMIFS('Audit Raw data'!BZ:BZ,'Audit Raw data'!J:J,B:B,'Audit Raw data'!E:E,G:G)/H2706)/100,"-")</f>
        <v>-</v>
      </c>
      <c r="J2706">
        <f>COUNTIFS('Audit Raw data'!AM:AM,"Yes",'Audit Raw data'!J:J,B:B,'Audit Raw data'!E:E,'Day wise agent'!G:G)</f>
        <v>0</v>
      </c>
      <c r="K2706">
        <f>COUNTIFS('Audit Raw data'!AM:AM,"NO",'Audit Raw data'!J:J,B:B,'Audit Raw data'!E:E,'Day wise agent'!G:G)</f>
        <v>0</v>
      </c>
      <c r="L2706" s="12" t="str">
        <f t="shared" si="63"/>
        <v xml:space="preserve"> </v>
      </c>
    </row>
    <row r="2707" spans="4:12" x14ac:dyDescent="0.35">
      <c r="D2707" s="32"/>
      <c r="G2707" s="32"/>
      <c r="H2707">
        <f>COUNTIFS('Audit Raw data'!J:J,B:B,'Audit Raw data'!E:E,G:G)</f>
        <v>0</v>
      </c>
      <c r="I2707" s="44" t="str">
        <f>IFERROR((SUMIFS('Audit Raw data'!BZ:BZ,'Audit Raw data'!J:J,B:B,'Audit Raw data'!E:E,G:G)/H2707)/100,"-")</f>
        <v>-</v>
      </c>
      <c r="J2707">
        <f>COUNTIFS('Audit Raw data'!AM:AM,"Yes",'Audit Raw data'!J:J,B:B,'Audit Raw data'!E:E,'Day wise agent'!G:G)</f>
        <v>0</v>
      </c>
      <c r="K2707">
        <f>COUNTIFS('Audit Raw data'!AM:AM,"NO",'Audit Raw data'!J:J,B:B,'Audit Raw data'!E:E,'Day wise agent'!G:G)</f>
        <v>0</v>
      </c>
      <c r="L2707" s="12" t="str">
        <f t="shared" si="63"/>
        <v xml:space="preserve"> </v>
      </c>
    </row>
    <row r="2708" spans="4:12" x14ac:dyDescent="0.35">
      <c r="D2708" s="32"/>
      <c r="G2708" s="32"/>
      <c r="H2708">
        <f>COUNTIFS('Audit Raw data'!J:J,B:B,'Audit Raw data'!E:E,G:G)</f>
        <v>0</v>
      </c>
      <c r="I2708" s="44" t="str">
        <f>IFERROR((SUMIFS('Audit Raw data'!BZ:BZ,'Audit Raw data'!J:J,B:B,'Audit Raw data'!E:E,G:G)/H2708)/100,"-")</f>
        <v>-</v>
      </c>
      <c r="J2708">
        <f>COUNTIFS('Audit Raw data'!AM:AM,"Yes",'Audit Raw data'!J:J,B:B,'Audit Raw data'!E:E,'Day wise agent'!G:G)</f>
        <v>0</v>
      </c>
      <c r="K2708">
        <f>COUNTIFS('Audit Raw data'!AM:AM,"NO",'Audit Raw data'!J:J,B:B,'Audit Raw data'!E:E,'Day wise agent'!G:G)</f>
        <v>0</v>
      </c>
      <c r="L2708" s="12" t="str">
        <f t="shared" si="63"/>
        <v xml:space="preserve"> </v>
      </c>
    </row>
    <row r="2709" spans="4:12" x14ac:dyDescent="0.35">
      <c r="D2709" s="32"/>
      <c r="G2709" s="32"/>
      <c r="H2709">
        <f>COUNTIFS('Audit Raw data'!J:J,B:B,'Audit Raw data'!E:E,G:G)</f>
        <v>0</v>
      </c>
      <c r="I2709" s="44" t="str">
        <f>IFERROR((SUMIFS('Audit Raw data'!BZ:BZ,'Audit Raw data'!J:J,B:B,'Audit Raw data'!E:E,G:G)/H2709)/100,"-")</f>
        <v>-</v>
      </c>
      <c r="J2709">
        <f>COUNTIFS('Audit Raw data'!AM:AM,"Yes",'Audit Raw data'!J:J,B:B,'Audit Raw data'!E:E,'Day wise agent'!G:G)</f>
        <v>0</v>
      </c>
      <c r="K2709">
        <f>COUNTIFS('Audit Raw data'!AM:AM,"NO",'Audit Raw data'!J:J,B:B,'Audit Raw data'!E:E,'Day wise agent'!G:G)</f>
        <v>0</v>
      </c>
      <c r="L2709" s="12" t="str">
        <f t="shared" si="63"/>
        <v xml:space="preserve"> </v>
      </c>
    </row>
    <row r="2710" spans="4:12" x14ac:dyDescent="0.35">
      <c r="D2710" s="32"/>
      <c r="G2710" s="32"/>
      <c r="H2710">
        <f>COUNTIFS('Audit Raw data'!J:J,B:B,'Audit Raw data'!E:E,G:G)</f>
        <v>0</v>
      </c>
      <c r="I2710" s="44" t="str">
        <f>IFERROR((SUMIFS('Audit Raw data'!BZ:BZ,'Audit Raw data'!J:J,B:B,'Audit Raw data'!E:E,G:G)/H2710)/100,"-")</f>
        <v>-</v>
      </c>
      <c r="J2710">
        <f>COUNTIFS('Audit Raw data'!AM:AM,"Yes",'Audit Raw data'!J:J,B:B,'Audit Raw data'!E:E,'Day wise agent'!G:G)</f>
        <v>0</v>
      </c>
      <c r="K2710">
        <f>COUNTIFS('Audit Raw data'!AM:AM,"NO",'Audit Raw data'!J:J,B:B,'Audit Raw data'!E:E,'Day wise agent'!G:G)</f>
        <v>0</v>
      </c>
      <c r="L2710" s="12" t="str">
        <f t="shared" si="63"/>
        <v xml:space="preserve"> </v>
      </c>
    </row>
    <row r="2711" spans="4:12" x14ac:dyDescent="0.35">
      <c r="D2711" s="32"/>
      <c r="G2711" s="32"/>
      <c r="H2711">
        <f>COUNTIFS('Audit Raw data'!J:J,B:B,'Audit Raw data'!E:E,G:G)</f>
        <v>0</v>
      </c>
      <c r="I2711" s="44" t="str">
        <f>IFERROR((SUMIFS('Audit Raw data'!BZ:BZ,'Audit Raw data'!J:J,B:B,'Audit Raw data'!E:E,G:G)/H2711)/100,"-")</f>
        <v>-</v>
      </c>
      <c r="J2711">
        <f>COUNTIFS('Audit Raw data'!AM:AM,"Yes",'Audit Raw data'!J:J,B:B,'Audit Raw data'!E:E,'Day wise agent'!G:G)</f>
        <v>0</v>
      </c>
      <c r="K2711">
        <f>COUNTIFS('Audit Raw data'!AM:AM,"NO",'Audit Raw data'!J:J,B:B,'Audit Raw data'!E:E,'Day wise agent'!G:G)</f>
        <v>0</v>
      </c>
      <c r="L2711" s="12" t="str">
        <f t="shared" si="63"/>
        <v xml:space="preserve"> </v>
      </c>
    </row>
    <row r="2712" spans="4:12" x14ac:dyDescent="0.35">
      <c r="D2712" s="32"/>
      <c r="G2712" s="32"/>
      <c r="H2712">
        <f>COUNTIFS('Audit Raw data'!J:J,B:B,'Audit Raw data'!E:E,G:G)</f>
        <v>0</v>
      </c>
      <c r="I2712" s="44" t="str">
        <f>IFERROR((SUMIFS('Audit Raw data'!BZ:BZ,'Audit Raw data'!J:J,B:B,'Audit Raw data'!E:E,G:G)/H2712)/100,"-")</f>
        <v>-</v>
      </c>
      <c r="J2712">
        <f>COUNTIFS('Audit Raw data'!AM:AM,"Yes",'Audit Raw data'!J:J,B:B,'Audit Raw data'!E:E,'Day wise agent'!G:G)</f>
        <v>0</v>
      </c>
      <c r="K2712">
        <f>COUNTIFS('Audit Raw data'!AM:AM,"NO",'Audit Raw data'!J:J,B:B,'Audit Raw data'!E:E,'Day wise agent'!G:G)</f>
        <v>0</v>
      </c>
      <c r="L2712" s="12" t="str">
        <f t="shared" si="63"/>
        <v xml:space="preserve"> </v>
      </c>
    </row>
    <row r="2713" spans="4:12" x14ac:dyDescent="0.35">
      <c r="D2713" s="32"/>
      <c r="G2713" s="32"/>
      <c r="H2713">
        <f>COUNTIFS('Audit Raw data'!J:J,B:B,'Audit Raw data'!E:E,G:G)</f>
        <v>0</v>
      </c>
      <c r="I2713" s="44" t="str">
        <f>IFERROR((SUMIFS('Audit Raw data'!BZ:BZ,'Audit Raw data'!J:J,B:B,'Audit Raw data'!E:E,G:G)/H2713)/100,"-")</f>
        <v>-</v>
      </c>
      <c r="J2713">
        <f>COUNTIFS('Audit Raw data'!AM:AM,"Yes",'Audit Raw data'!J:J,B:B,'Audit Raw data'!E:E,'Day wise agent'!G:G)</f>
        <v>0</v>
      </c>
      <c r="K2713">
        <f>COUNTIFS('Audit Raw data'!AM:AM,"NO",'Audit Raw data'!J:J,B:B,'Audit Raw data'!E:E,'Day wise agent'!G:G)</f>
        <v>0</v>
      </c>
      <c r="L2713" s="12" t="str">
        <f t="shared" si="63"/>
        <v xml:space="preserve"> </v>
      </c>
    </row>
    <row r="2714" spans="4:12" x14ac:dyDescent="0.35">
      <c r="D2714" s="32"/>
      <c r="G2714" s="32"/>
      <c r="H2714">
        <f>COUNTIFS('Audit Raw data'!J:J,B:B,'Audit Raw data'!E:E,G:G)</f>
        <v>0</v>
      </c>
      <c r="I2714" s="44" t="str">
        <f>IFERROR((SUMIFS('Audit Raw data'!BZ:BZ,'Audit Raw data'!J:J,B:B,'Audit Raw data'!E:E,G:G)/H2714)/100,"-")</f>
        <v>-</v>
      </c>
      <c r="J2714">
        <f>COUNTIFS('Audit Raw data'!AM:AM,"Yes",'Audit Raw data'!J:J,B:B,'Audit Raw data'!E:E,'Day wise agent'!G:G)</f>
        <v>0</v>
      </c>
      <c r="K2714">
        <f>COUNTIFS('Audit Raw data'!AM:AM,"NO",'Audit Raw data'!J:J,B:B,'Audit Raw data'!E:E,'Day wise agent'!G:G)</f>
        <v>0</v>
      </c>
      <c r="L2714" s="12" t="str">
        <f t="shared" si="63"/>
        <v xml:space="preserve"> </v>
      </c>
    </row>
    <row r="2715" spans="4:12" x14ac:dyDescent="0.35">
      <c r="D2715" s="32"/>
      <c r="G2715" s="32"/>
      <c r="H2715">
        <f>COUNTIFS('Audit Raw data'!J:J,B:B,'Audit Raw data'!E:E,G:G)</f>
        <v>0</v>
      </c>
      <c r="I2715" s="44" t="str">
        <f>IFERROR((SUMIFS('Audit Raw data'!BZ:BZ,'Audit Raw data'!J:J,B:B,'Audit Raw data'!E:E,G:G)/H2715)/100,"-")</f>
        <v>-</v>
      </c>
      <c r="J2715">
        <f>COUNTIFS('Audit Raw data'!AM:AM,"Yes",'Audit Raw data'!J:J,B:B,'Audit Raw data'!E:E,'Day wise agent'!G:G)</f>
        <v>0</v>
      </c>
      <c r="K2715">
        <f>COUNTIFS('Audit Raw data'!AM:AM,"NO",'Audit Raw data'!J:J,B:B,'Audit Raw data'!E:E,'Day wise agent'!G:G)</f>
        <v>0</v>
      </c>
      <c r="L2715" s="12" t="str">
        <f t="shared" si="63"/>
        <v xml:space="preserve"> </v>
      </c>
    </row>
    <row r="2716" spans="4:12" x14ac:dyDescent="0.35">
      <c r="D2716" s="32"/>
      <c r="G2716" s="32"/>
      <c r="H2716">
        <f>COUNTIFS('Audit Raw data'!J:J,B:B,'Audit Raw data'!E:E,G:G)</f>
        <v>0</v>
      </c>
      <c r="I2716" s="44" t="str">
        <f>IFERROR((SUMIFS('Audit Raw data'!BZ:BZ,'Audit Raw data'!J:J,B:B,'Audit Raw data'!E:E,G:G)/H2716)/100,"-")</f>
        <v>-</v>
      </c>
      <c r="J2716">
        <f>COUNTIFS('Audit Raw data'!AM:AM,"Yes",'Audit Raw data'!J:J,B:B,'Audit Raw data'!E:E,'Day wise agent'!G:G)</f>
        <v>0</v>
      </c>
      <c r="K2716">
        <f>COUNTIFS('Audit Raw data'!AM:AM,"NO",'Audit Raw data'!J:J,B:B,'Audit Raw data'!E:E,'Day wise agent'!G:G)</f>
        <v>0</v>
      </c>
      <c r="L2716" s="12" t="str">
        <f t="shared" si="63"/>
        <v xml:space="preserve"> </v>
      </c>
    </row>
    <row r="2717" spans="4:12" x14ac:dyDescent="0.35">
      <c r="D2717" s="32"/>
      <c r="G2717" s="32"/>
      <c r="H2717">
        <f>COUNTIFS('Audit Raw data'!J:J,B:B,'Audit Raw data'!E:E,G:G)</f>
        <v>0</v>
      </c>
      <c r="I2717" s="44" t="str">
        <f>IFERROR((SUMIFS('Audit Raw data'!BZ:BZ,'Audit Raw data'!J:J,B:B,'Audit Raw data'!E:E,G:G)/H2717)/100,"-")</f>
        <v>-</v>
      </c>
      <c r="J2717">
        <f>COUNTIFS('Audit Raw data'!AM:AM,"Yes",'Audit Raw data'!J:J,B:B,'Audit Raw data'!E:E,'Day wise agent'!G:G)</f>
        <v>0</v>
      </c>
      <c r="K2717">
        <f>COUNTIFS('Audit Raw data'!AM:AM,"NO",'Audit Raw data'!J:J,B:B,'Audit Raw data'!E:E,'Day wise agent'!G:G)</f>
        <v>0</v>
      </c>
      <c r="L2717" s="12" t="str">
        <f t="shared" si="63"/>
        <v xml:space="preserve"> </v>
      </c>
    </row>
    <row r="2718" spans="4:12" x14ac:dyDescent="0.35">
      <c r="D2718" s="32"/>
      <c r="G2718" s="32"/>
      <c r="H2718">
        <f>COUNTIFS('Audit Raw data'!J:J,B:B,'Audit Raw data'!E:E,G:G)</f>
        <v>0</v>
      </c>
      <c r="I2718" s="44" t="str">
        <f>IFERROR((SUMIFS('Audit Raw data'!BZ:BZ,'Audit Raw data'!J:J,B:B,'Audit Raw data'!E:E,G:G)/H2718)/100,"-")</f>
        <v>-</v>
      </c>
      <c r="J2718">
        <f>COUNTIFS('Audit Raw data'!AM:AM,"Yes",'Audit Raw data'!J:J,B:B,'Audit Raw data'!E:E,'Day wise agent'!G:G)</f>
        <v>0</v>
      </c>
      <c r="K2718">
        <f>COUNTIFS('Audit Raw data'!AM:AM,"NO",'Audit Raw data'!J:J,B:B,'Audit Raw data'!E:E,'Day wise agent'!G:G)</f>
        <v>0</v>
      </c>
      <c r="L2718" s="12" t="str">
        <f t="shared" si="63"/>
        <v xml:space="preserve"> </v>
      </c>
    </row>
    <row r="2719" spans="4:12" x14ac:dyDescent="0.35">
      <c r="D2719" s="32"/>
      <c r="G2719" s="32"/>
      <c r="H2719">
        <f>COUNTIFS('Audit Raw data'!J:J,B:B,'Audit Raw data'!E:E,G:G)</f>
        <v>0</v>
      </c>
      <c r="I2719" s="44" t="str">
        <f>IFERROR((SUMIFS('Audit Raw data'!BZ:BZ,'Audit Raw data'!J:J,B:B,'Audit Raw data'!E:E,G:G)/H2719)/100,"-")</f>
        <v>-</v>
      </c>
      <c r="J2719">
        <f>COUNTIFS('Audit Raw data'!AM:AM,"Yes",'Audit Raw data'!J:J,B:B,'Audit Raw data'!E:E,'Day wise agent'!G:G)</f>
        <v>0</v>
      </c>
      <c r="K2719">
        <f>COUNTIFS('Audit Raw data'!AM:AM,"NO",'Audit Raw data'!J:J,B:B,'Audit Raw data'!E:E,'Day wise agent'!G:G)</f>
        <v>0</v>
      </c>
      <c r="L2719" s="12" t="str">
        <f t="shared" si="63"/>
        <v xml:space="preserve"> </v>
      </c>
    </row>
    <row r="2720" spans="4:12" x14ac:dyDescent="0.35">
      <c r="D2720" s="32"/>
      <c r="G2720" s="32"/>
      <c r="H2720">
        <f>COUNTIFS('Audit Raw data'!J:J,B:B,'Audit Raw data'!E:E,G:G)</f>
        <v>0</v>
      </c>
      <c r="I2720" s="44" t="str">
        <f>IFERROR((SUMIFS('Audit Raw data'!BZ:BZ,'Audit Raw data'!J:J,B:B,'Audit Raw data'!E:E,G:G)/H2720)/100,"-")</f>
        <v>-</v>
      </c>
      <c r="J2720">
        <f>COUNTIFS('Audit Raw data'!AM:AM,"Yes",'Audit Raw data'!J:J,B:B,'Audit Raw data'!E:E,'Day wise agent'!G:G)</f>
        <v>0</v>
      </c>
      <c r="K2720">
        <f>COUNTIFS('Audit Raw data'!AM:AM,"NO",'Audit Raw data'!J:J,B:B,'Audit Raw data'!E:E,'Day wise agent'!G:G)</f>
        <v>0</v>
      </c>
      <c r="L2720" s="12" t="str">
        <f t="shared" si="63"/>
        <v xml:space="preserve"> </v>
      </c>
    </row>
    <row r="2721" spans="4:12" x14ac:dyDescent="0.35">
      <c r="D2721" s="32"/>
      <c r="G2721" s="32"/>
      <c r="H2721">
        <f>COUNTIFS('Audit Raw data'!J:J,B:B,'Audit Raw data'!E:E,G:G)</f>
        <v>0</v>
      </c>
      <c r="I2721" s="44" t="str">
        <f>IFERROR((SUMIFS('Audit Raw data'!BZ:BZ,'Audit Raw data'!J:J,B:B,'Audit Raw data'!E:E,G:G)/H2721)/100,"-")</f>
        <v>-</v>
      </c>
      <c r="J2721">
        <f>COUNTIFS('Audit Raw data'!AM:AM,"Yes",'Audit Raw data'!J:J,B:B,'Audit Raw data'!E:E,'Day wise agent'!G:G)</f>
        <v>0</v>
      </c>
      <c r="K2721">
        <f>COUNTIFS('Audit Raw data'!AM:AM,"NO",'Audit Raw data'!J:J,B:B,'Audit Raw data'!E:E,'Day wise agent'!G:G)</f>
        <v>0</v>
      </c>
      <c r="L2721" s="12" t="str">
        <f t="shared" si="63"/>
        <v xml:space="preserve"> </v>
      </c>
    </row>
    <row r="2722" spans="4:12" x14ac:dyDescent="0.35">
      <c r="D2722" s="32"/>
      <c r="G2722" s="32"/>
      <c r="H2722">
        <f>COUNTIFS('Audit Raw data'!J:J,B:B,'Audit Raw data'!E:E,G:G)</f>
        <v>0</v>
      </c>
      <c r="I2722" s="44" t="str">
        <f>IFERROR((SUMIFS('Audit Raw data'!BZ:BZ,'Audit Raw data'!J:J,B:B,'Audit Raw data'!E:E,G:G)/H2722)/100,"-")</f>
        <v>-</v>
      </c>
      <c r="J2722">
        <f>COUNTIFS('Audit Raw data'!AM:AM,"Yes",'Audit Raw data'!J:J,B:B,'Audit Raw data'!E:E,'Day wise agent'!G:G)</f>
        <v>0</v>
      </c>
      <c r="K2722">
        <f>COUNTIFS('Audit Raw data'!AM:AM,"NO",'Audit Raw data'!J:J,B:B,'Audit Raw data'!E:E,'Day wise agent'!G:G)</f>
        <v>0</v>
      </c>
      <c r="L2722" s="12" t="str">
        <f t="shared" si="63"/>
        <v xml:space="preserve"> </v>
      </c>
    </row>
    <row r="2723" spans="4:12" x14ac:dyDescent="0.35">
      <c r="D2723" s="32"/>
      <c r="G2723" s="32"/>
      <c r="H2723">
        <f>COUNTIFS('Audit Raw data'!J:J,B:B,'Audit Raw data'!E:E,G:G)</f>
        <v>0</v>
      </c>
      <c r="I2723" s="44" t="str">
        <f>IFERROR((SUMIFS('Audit Raw data'!BZ:BZ,'Audit Raw data'!J:J,B:B,'Audit Raw data'!E:E,G:G)/H2723)/100,"-")</f>
        <v>-</v>
      </c>
      <c r="J2723">
        <f>COUNTIFS('Audit Raw data'!AM:AM,"Yes",'Audit Raw data'!J:J,B:B,'Audit Raw data'!E:E,'Day wise agent'!G:G)</f>
        <v>0</v>
      </c>
      <c r="K2723">
        <f>COUNTIFS('Audit Raw data'!AM:AM,"NO",'Audit Raw data'!J:J,B:B,'Audit Raw data'!E:E,'Day wise agent'!G:G)</f>
        <v>0</v>
      </c>
      <c r="L2723" s="12" t="str">
        <f t="shared" si="63"/>
        <v xml:space="preserve"> </v>
      </c>
    </row>
    <row r="2724" spans="4:12" x14ac:dyDescent="0.35">
      <c r="D2724" s="32"/>
      <c r="G2724" s="32"/>
      <c r="H2724">
        <f>COUNTIFS('Audit Raw data'!J:J,B:B,'Audit Raw data'!E:E,G:G)</f>
        <v>0</v>
      </c>
      <c r="I2724" s="44" t="str">
        <f>IFERROR((SUMIFS('Audit Raw data'!BZ:BZ,'Audit Raw data'!J:J,B:B,'Audit Raw data'!E:E,G:G)/H2724)/100,"-")</f>
        <v>-</v>
      </c>
      <c r="J2724">
        <f>COUNTIFS('Audit Raw data'!AM:AM,"Yes",'Audit Raw data'!J:J,B:B,'Audit Raw data'!E:E,'Day wise agent'!G:G)</f>
        <v>0</v>
      </c>
      <c r="K2724">
        <f>COUNTIFS('Audit Raw data'!AM:AM,"NO",'Audit Raw data'!J:J,B:B,'Audit Raw data'!E:E,'Day wise agent'!G:G)</f>
        <v>0</v>
      </c>
      <c r="L2724" s="12" t="str">
        <f t="shared" si="63"/>
        <v xml:space="preserve"> </v>
      </c>
    </row>
    <row r="2725" spans="4:12" x14ac:dyDescent="0.35">
      <c r="D2725" s="32"/>
      <c r="G2725" s="32"/>
      <c r="H2725">
        <f>COUNTIFS('Audit Raw data'!J:J,B:B,'Audit Raw data'!E:E,G:G)</f>
        <v>0</v>
      </c>
      <c r="I2725" s="44" t="str">
        <f>IFERROR((SUMIFS('Audit Raw data'!BZ:BZ,'Audit Raw data'!J:J,B:B,'Audit Raw data'!E:E,G:G)/H2725)/100,"-")</f>
        <v>-</v>
      </c>
      <c r="J2725">
        <f>COUNTIFS('Audit Raw data'!AM:AM,"Yes",'Audit Raw data'!J:J,B:B,'Audit Raw data'!E:E,'Day wise agent'!G:G)</f>
        <v>0</v>
      </c>
      <c r="K2725">
        <f>COUNTIFS('Audit Raw data'!AM:AM,"NO",'Audit Raw data'!J:J,B:B,'Audit Raw data'!E:E,'Day wise agent'!G:G)</f>
        <v>0</v>
      </c>
      <c r="L2725" s="12" t="str">
        <f t="shared" si="63"/>
        <v xml:space="preserve"> </v>
      </c>
    </row>
    <row r="2726" spans="4:12" x14ac:dyDescent="0.35">
      <c r="D2726" s="32"/>
      <c r="G2726" s="32"/>
      <c r="H2726">
        <f>COUNTIFS('Audit Raw data'!J:J,B:B,'Audit Raw data'!E:E,G:G)</f>
        <v>0</v>
      </c>
      <c r="I2726" s="44" t="str">
        <f>IFERROR((SUMIFS('Audit Raw data'!BZ:BZ,'Audit Raw data'!J:J,B:B,'Audit Raw data'!E:E,G:G)/H2726)/100,"-")</f>
        <v>-</v>
      </c>
      <c r="J2726">
        <f>COUNTIFS('Audit Raw data'!AM:AM,"Yes",'Audit Raw data'!J:J,B:B,'Audit Raw data'!E:E,'Day wise agent'!G:G)</f>
        <v>0</v>
      </c>
      <c r="K2726">
        <f>COUNTIFS('Audit Raw data'!AM:AM,"NO",'Audit Raw data'!J:J,B:B,'Audit Raw data'!E:E,'Day wise agent'!G:G)</f>
        <v>0</v>
      </c>
      <c r="L2726" s="12" t="str">
        <f t="shared" si="63"/>
        <v xml:space="preserve"> </v>
      </c>
    </row>
    <row r="2727" spans="4:12" x14ac:dyDescent="0.35">
      <c r="D2727" s="32"/>
      <c r="G2727" s="32"/>
      <c r="H2727">
        <f>COUNTIFS('Audit Raw data'!J:J,B:B,'Audit Raw data'!E:E,G:G)</f>
        <v>0</v>
      </c>
      <c r="I2727" s="44" t="str">
        <f>IFERROR((SUMIFS('Audit Raw data'!BZ:BZ,'Audit Raw data'!J:J,B:B,'Audit Raw data'!E:E,G:G)/H2727)/100,"-")</f>
        <v>-</v>
      </c>
      <c r="J2727">
        <f>COUNTIFS('Audit Raw data'!AM:AM,"Yes",'Audit Raw data'!J:J,B:B,'Audit Raw data'!E:E,'Day wise agent'!G:G)</f>
        <v>0</v>
      </c>
      <c r="K2727">
        <f>COUNTIFS('Audit Raw data'!AM:AM,"NO",'Audit Raw data'!J:J,B:B,'Audit Raw data'!E:E,'Day wise agent'!G:G)</f>
        <v>0</v>
      </c>
      <c r="L2727" s="12" t="str">
        <f t="shared" si="63"/>
        <v xml:space="preserve"> </v>
      </c>
    </row>
    <row r="2728" spans="4:12" x14ac:dyDescent="0.35">
      <c r="D2728" s="32"/>
      <c r="G2728" s="32"/>
      <c r="H2728">
        <f>COUNTIFS('Audit Raw data'!J:J,B:B,'Audit Raw data'!E:E,G:G)</f>
        <v>0</v>
      </c>
      <c r="I2728" s="44" t="str">
        <f>IFERROR((SUMIFS('Audit Raw data'!BZ:BZ,'Audit Raw data'!J:J,B:B,'Audit Raw data'!E:E,G:G)/H2728)/100,"-")</f>
        <v>-</v>
      </c>
      <c r="J2728">
        <f>COUNTIFS('Audit Raw data'!AM:AM,"Yes",'Audit Raw data'!J:J,B:B,'Audit Raw data'!E:E,'Day wise agent'!G:G)</f>
        <v>0</v>
      </c>
      <c r="K2728">
        <f>COUNTIFS('Audit Raw data'!AM:AM,"NO",'Audit Raw data'!J:J,B:B,'Audit Raw data'!E:E,'Day wise agent'!G:G)</f>
        <v>0</v>
      </c>
      <c r="L2728" s="12" t="str">
        <f t="shared" si="63"/>
        <v xml:space="preserve"> </v>
      </c>
    </row>
    <row r="2729" spans="4:12" x14ac:dyDescent="0.35">
      <c r="D2729" s="32"/>
      <c r="G2729" s="32"/>
      <c r="H2729">
        <f>COUNTIFS('Audit Raw data'!J:J,B:B,'Audit Raw data'!E:E,G:G)</f>
        <v>0</v>
      </c>
      <c r="I2729" s="44" t="str">
        <f>IFERROR((SUMIFS('Audit Raw data'!BZ:BZ,'Audit Raw data'!J:J,B:B,'Audit Raw data'!E:E,G:G)/H2729)/100,"-")</f>
        <v>-</v>
      </c>
      <c r="J2729">
        <f>COUNTIFS('Audit Raw data'!AM:AM,"Yes",'Audit Raw data'!J:J,B:B,'Audit Raw data'!E:E,'Day wise agent'!G:G)</f>
        <v>0</v>
      </c>
      <c r="K2729">
        <f>COUNTIFS('Audit Raw data'!AM:AM,"NO",'Audit Raw data'!J:J,B:B,'Audit Raw data'!E:E,'Day wise agent'!G:G)</f>
        <v>0</v>
      </c>
      <c r="L2729" s="12" t="str">
        <f t="shared" si="63"/>
        <v xml:space="preserve"> </v>
      </c>
    </row>
    <row r="2730" spans="4:12" x14ac:dyDescent="0.35">
      <c r="D2730" s="32"/>
      <c r="G2730" s="32"/>
      <c r="H2730">
        <f>COUNTIFS('Audit Raw data'!J:J,B:B,'Audit Raw data'!E:E,G:G)</f>
        <v>0</v>
      </c>
      <c r="I2730" s="44" t="str">
        <f>IFERROR((SUMIFS('Audit Raw data'!BZ:BZ,'Audit Raw data'!J:J,B:B,'Audit Raw data'!E:E,G:G)/H2730)/100,"-")</f>
        <v>-</v>
      </c>
      <c r="J2730">
        <f>COUNTIFS('Audit Raw data'!AM:AM,"Yes",'Audit Raw data'!J:J,B:B,'Audit Raw data'!E:E,'Day wise agent'!G:G)</f>
        <v>0</v>
      </c>
      <c r="K2730">
        <f>COUNTIFS('Audit Raw data'!AM:AM,"NO",'Audit Raw data'!J:J,B:B,'Audit Raw data'!E:E,'Day wise agent'!G:G)</f>
        <v>0</v>
      </c>
      <c r="L2730" s="12" t="str">
        <f t="shared" si="63"/>
        <v xml:space="preserve"> </v>
      </c>
    </row>
    <row r="2731" spans="4:12" x14ac:dyDescent="0.35">
      <c r="D2731" s="32"/>
      <c r="G2731" s="32"/>
      <c r="H2731">
        <f>COUNTIFS('Audit Raw data'!J:J,B:B,'Audit Raw data'!E:E,G:G)</f>
        <v>0</v>
      </c>
      <c r="I2731" s="44" t="str">
        <f>IFERROR((SUMIFS('Audit Raw data'!BZ:BZ,'Audit Raw data'!J:J,B:B,'Audit Raw data'!E:E,G:G)/H2731)/100,"-")</f>
        <v>-</v>
      </c>
      <c r="J2731">
        <f>COUNTIFS('Audit Raw data'!AM:AM,"Yes",'Audit Raw data'!J:J,B:B,'Audit Raw data'!E:E,'Day wise agent'!G:G)</f>
        <v>0</v>
      </c>
      <c r="K2731">
        <f>COUNTIFS('Audit Raw data'!AM:AM,"NO",'Audit Raw data'!J:J,B:B,'Audit Raw data'!E:E,'Day wise agent'!G:G)</f>
        <v>0</v>
      </c>
      <c r="L2731" s="12" t="str">
        <f t="shared" si="63"/>
        <v xml:space="preserve"> </v>
      </c>
    </row>
    <row r="2732" spans="4:12" x14ac:dyDescent="0.35">
      <c r="D2732" s="32"/>
      <c r="G2732" s="32"/>
      <c r="H2732">
        <f>COUNTIFS('Audit Raw data'!J:J,B:B,'Audit Raw data'!E:E,G:G)</f>
        <v>0</v>
      </c>
      <c r="I2732" s="44" t="str">
        <f>IFERROR((SUMIFS('Audit Raw data'!BZ:BZ,'Audit Raw data'!J:J,B:B,'Audit Raw data'!E:E,G:G)/H2732)/100,"-")</f>
        <v>-</v>
      </c>
      <c r="J2732">
        <f>COUNTIFS('Audit Raw data'!AM:AM,"Yes",'Audit Raw data'!J:J,B:B,'Audit Raw data'!E:E,'Day wise agent'!G:G)</f>
        <v>0</v>
      </c>
      <c r="K2732">
        <f>COUNTIFS('Audit Raw data'!AM:AM,"NO",'Audit Raw data'!J:J,B:B,'Audit Raw data'!E:E,'Day wise agent'!G:G)</f>
        <v>0</v>
      </c>
      <c r="L2732" s="12" t="str">
        <f t="shared" si="63"/>
        <v xml:space="preserve"> </v>
      </c>
    </row>
    <row r="2733" spans="4:12" x14ac:dyDescent="0.35">
      <c r="D2733" s="32"/>
      <c r="G2733" s="32"/>
      <c r="H2733">
        <f>COUNTIFS('Audit Raw data'!J:J,B:B,'Audit Raw data'!E:E,G:G)</f>
        <v>0</v>
      </c>
      <c r="I2733" s="44" t="str">
        <f>IFERROR((SUMIFS('Audit Raw data'!BZ:BZ,'Audit Raw data'!J:J,B:B,'Audit Raw data'!E:E,G:G)/H2733)/100,"-")</f>
        <v>-</v>
      </c>
      <c r="J2733">
        <f>COUNTIFS('Audit Raw data'!AM:AM,"Yes",'Audit Raw data'!J:J,B:B,'Audit Raw data'!E:E,'Day wise agent'!G:G)</f>
        <v>0</v>
      </c>
      <c r="K2733">
        <f>COUNTIFS('Audit Raw data'!AM:AM,"NO",'Audit Raw data'!J:J,B:B,'Audit Raw data'!E:E,'Day wise agent'!G:G)</f>
        <v>0</v>
      </c>
      <c r="L2733" s="12" t="str">
        <f t="shared" si="63"/>
        <v xml:space="preserve"> </v>
      </c>
    </row>
    <row r="2734" spans="4:12" x14ac:dyDescent="0.35">
      <c r="D2734" s="32"/>
      <c r="G2734" s="32"/>
      <c r="H2734">
        <f>COUNTIFS('Audit Raw data'!J:J,B:B,'Audit Raw data'!E:E,G:G)</f>
        <v>0</v>
      </c>
      <c r="I2734" s="44" t="str">
        <f>IFERROR((SUMIFS('Audit Raw data'!BZ:BZ,'Audit Raw data'!J:J,B:B,'Audit Raw data'!E:E,G:G)/H2734)/100,"-")</f>
        <v>-</v>
      </c>
      <c r="J2734">
        <f>COUNTIFS('Audit Raw data'!AM:AM,"Yes",'Audit Raw data'!J:J,B:B,'Audit Raw data'!E:E,'Day wise agent'!G:G)</f>
        <v>0</v>
      </c>
      <c r="K2734">
        <f>COUNTIFS('Audit Raw data'!AM:AM,"NO",'Audit Raw data'!J:J,B:B,'Audit Raw data'!E:E,'Day wise agent'!G:G)</f>
        <v>0</v>
      </c>
      <c r="L2734" s="12" t="str">
        <f t="shared" si="63"/>
        <v xml:space="preserve"> </v>
      </c>
    </row>
    <row r="2735" spans="4:12" x14ac:dyDescent="0.35">
      <c r="D2735" s="32"/>
      <c r="G2735" s="32"/>
      <c r="H2735">
        <f>COUNTIFS('Audit Raw data'!J:J,B:B,'Audit Raw data'!E:E,G:G)</f>
        <v>0</v>
      </c>
      <c r="I2735" s="44" t="str">
        <f>IFERROR((SUMIFS('Audit Raw data'!BZ:BZ,'Audit Raw data'!J:J,B:B,'Audit Raw data'!E:E,G:G)/H2735)/100,"-")</f>
        <v>-</v>
      </c>
      <c r="J2735">
        <f>COUNTIFS('Audit Raw data'!AM:AM,"Yes",'Audit Raw data'!J:J,B:B,'Audit Raw data'!E:E,'Day wise agent'!G:G)</f>
        <v>0</v>
      </c>
      <c r="K2735">
        <f>COUNTIFS('Audit Raw data'!AM:AM,"NO",'Audit Raw data'!J:J,B:B,'Audit Raw data'!E:E,'Day wise agent'!G:G)</f>
        <v>0</v>
      </c>
      <c r="L2735" s="12" t="str">
        <f t="shared" si="63"/>
        <v xml:space="preserve"> </v>
      </c>
    </row>
    <row r="2736" spans="4:12" x14ac:dyDescent="0.35">
      <c r="D2736" s="32"/>
      <c r="G2736" s="32"/>
      <c r="H2736">
        <f>COUNTIFS('Audit Raw data'!J:J,B:B,'Audit Raw data'!E:E,G:G)</f>
        <v>0</v>
      </c>
      <c r="I2736" s="44" t="str">
        <f>IFERROR((SUMIFS('Audit Raw data'!BZ:BZ,'Audit Raw data'!J:J,B:B,'Audit Raw data'!E:E,G:G)/H2736)/100,"-")</f>
        <v>-</v>
      </c>
      <c r="J2736">
        <f>COUNTIFS('Audit Raw data'!AM:AM,"Yes",'Audit Raw data'!J:J,B:B,'Audit Raw data'!E:E,'Day wise agent'!G:G)</f>
        <v>0</v>
      </c>
      <c r="K2736">
        <f>COUNTIFS('Audit Raw data'!AM:AM,"NO",'Audit Raw data'!J:J,B:B,'Audit Raw data'!E:E,'Day wise agent'!G:G)</f>
        <v>0</v>
      </c>
      <c r="L2736" s="12" t="str">
        <f t="shared" si="63"/>
        <v xml:space="preserve"> </v>
      </c>
    </row>
    <row r="2737" spans="4:12" x14ac:dyDescent="0.35">
      <c r="D2737" s="32"/>
      <c r="G2737" s="32"/>
      <c r="H2737">
        <f>COUNTIFS('Audit Raw data'!J:J,B:B,'Audit Raw data'!E:E,G:G)</f>
        <v>0</v>
      </c>
      <c r="I2737" s="44" t="str">
        <f>IFERROR((SUMIFS('Audit Raw data'!BZ:BZ,'Audit Raw data'!J:J,B:B,'Audit Raw data'!E:E,G:G)/H2737)/100,"-")</f>
        <v>-</v>
      </c>
      <c r="J2737">
        <f>COUNTIFS('Audit Raw data'!AM:AM,"Yes",'Audit Raw data'!J:J,B:B,'Audit Raw data'!E:E,'Day wise agent'!G:G)</f>
        <v>0</v>
      </c>
      <c r="K2737">
        <f>COUNTIFS('Audit Raw data'!AM:AM,"NO",'Audit Raw data'!J:J,B:B,'Audit Raw data'!E:E,'Day wise agent'!G:G)</f>
        <v>0</v>
      </c>
      <c r="L2737" s="12" t="str">
        <f t="shared" si="63"/>
        <v xml:space="preserve"> </v>
      </c>
    </row>
    <row r="2738" spans="4:12" x14ac:dyDescent="0.35">
      <c r="D2738" s="32"/>
      <c r="G2738" s="32"/>
      <c r="H2738">
        <f>COUNTIFS('Audit Raw data'!J:J,B:B,'Audit Raw data'!E:E,G:G)</f>
        <v>0</v>
      </c>
      <c r="I2738" s="44" t="str">
        <f>IFERROR((SUMIFS('Audit Raw data'!BZ:BZ,'Audit Raw data'!J:J,B:B,'Audit Raw data'!E:E,G:G)/H2738)/100,"-")</f>
        <v>-</v>
      </c>
      <c r="J2738">
        <f>COUNTIFS('Audit Raw data'!AM:AM,"Yes",'Audit Raw data'!J:J,B:B,'Audit Raw data'!E:E,'Day wise agent'!G:G)</f>
        <v>0</v>
      </c>
      <c r="K2738">
        <f>COUNTIFS('Audit Raw data'!AM:AM,"NO",'Audit Raw data'!J:J,B:B,'Audit Raw data'!E:E,'Day wise agent'!G:G)</f>
        <v>0</v>
      </c>
      <c r="L2738" s="12" t="str">
        <f t="shared" si="63"/>
        <v xml:space="preserve"> </v>
      </c>
    </row>
    <row r="2739" spans="4:12" x14ac:dyDescent="0.35">
      <c r="D2739" s="32"/>
      <c r="G2739" s="32"/>
      <c r="H2739">
        <f>COUNTIFS('Audit Raw data'!J:J,B:B,'Audit Raw data'!E:E,G:G)</f>
        <v>0</v>
      </c>
      <c r="I2739" s="44" t="str">
        <f>IFERROR((SUMIFS('Audit Raw data'!BZ:BZ,'Audit Raw data'!J:J,B:B,'Audit Raw data'!E:E,G:G)/H2739)/100,"-")</f>
        <v>-</v>
      </c>
      <c r="J2739">
        <f>COUNTIFS('Audit Raw data'!AM:AM,"Yes",'Audit Raw data'!J:J,B:B,'Audit Raw data'!E:E,'Day wise agent'!G:G)</f>
        <v>0</v>
      </c>
      <c r="K2739">
        <f>COUNTIFS('Audit Raw data'!AM:AM,"NO",'Audit Raw data'!J:J,B:B,'Audit Raw data'!E:E,'Day wise agent'!G:G)</f>
        <v>0</v>
      </c>
      <c r="L2739" s="12" t="str">
        <f t="shared" si="63"/>
        <v xml:space="preserve"> </v>
      </c>
    </row>
    <row r="2740" spans="4:12" x14ac:dyDescent="0.35">
      <c r="D2740" s="32"/>
      <c r="G2740" s="32"/>
      <c r="H2740">
        <f>COUNTIFS('Audit Raw data'!J:J,B:B,'Audit Raw data'!E:E,G:G)</f>
        <v>0</v>
      </c>
      <c r="I2740" s="44" t="str">
        <f>IFERROR((SUMIFS('Audit Raw data'!BZ:BZ,'Audit Raw data'!J:J,B:B,'Audit Raw data'!E:E,G:G)/H2740)/100,"-")</f>
        <v>-</v>
      </c>
      <c r="J2740">
        <f>COUNTIFS('Audit Raw data'!AM:AM,"Yes",'Audit Raw data'!J:J,B:B,'Audit Raw data'!E:E,'Day wise agent'!G:G)</f>
        <v>0</v>
      </c>
      <c r="K2740">
        <f>COUNTIFS('Audit Raw data'!AM:AM,"NO",'Audit Raw data'!J:J,B:B,'Audit Raw data'!E:E,'Day wise agent'!G:G)</f>
        <v>0</v>
      </c>
      <c r="L2740" s="12" t="str">
        <f t="shared" si="63"/>
        <v xml:space="preserve"> </v>
      </c>
    </row>
    <row r="2741" spans="4:12" x14ac:dyDescent="0.35">
      <c r="D2741" s="32"/>
      <c r="G2741" s="32"/>
      <c r="H2741">
        <f>COUNTIFS('Audit Raw data'!J:J,B:B,'Audit Raw data'!E:E,G:G)</f>
        <v>0</v>
      </c>
      <c r="I2741" s="44" t="str">
        <f>IFERROR((SUMIFS('Audit Raw data'!BZ:BZ,'Audit Raw data'!J:J,B:B,'Audit Raw data'!E:E,G:G)/H2741)/100,"-")</f>
        <v>-</v>
      </c>
      <c r="J2741">
        <f>COUNTIFS('Audit Raw data'!AM:AM,"Yes",'Audit Raw data'!J:J,B:B,'Audit Raw data'!E:E,'Day wise agent'!G:G)</f>
        <v>0</v>
      </c>
      <c r="K2741">
        <f>COUNTIFS('Audit Raw data'!AM:AM,"NO",'Audit Raw data'!J:J,B:B,'Audit Raw data'!E:E,'Day wise agent'!G:G)</f>
        <v>0</v>
      </c>
      <c r="L2741" s="12" t="str">
        <f t="shared" si="63"/>
        <v xml:space="preserve"> </v>
      </c>
    </row>
    <row r="2742" spans="4:12" x14ac:dyDescent="0.35">
      <c r="D2742" s="32"/>
      <c r="G2742" s="32"/>
      <c r="H2742">
        <f>COUNTIFS('Audit Raw data'!J:J,B:B,'Audit Raw data'!E:E,G:G)</f>
        <v>0</v>
      </c>
      <c r="I2742" s="44" t="str">
        <f>IFERROR((SUMIFS('Audit Raw data'!BZ:BZ,'Audit Raw data'!J:J,B:B,'Audit Raw data'!E:E,G:G)/H2742)/100,"-")</f>
        <v>-</v>
      </c>
      <c r="J2742">
        <f>COUNTIFS('Audit Raw data'!AM:AM,"Yes",'Audit Raw data'!J:J,B:B,'Audit Raw data'!E:E,'Day wise agent'!G:G)</f>
        <v>0</v>
      </c>
      <c r="K2742">
        <f>COUNTIFS('Audit Raw data'!AM:AM,"NO",'Audit Raw data'!J:J,B:B,'Audit Raw data'!E:E,'Day wise agent'!G:G)</f>
        <v>0</v>
      </c>
      <c r="L2742" s="12" t="str">
        <f t="shared" si="63"/>
        <v xml:space="preserve"> </v>
      </c>
    </row>
    <row r="2743" spans="4:12" x14ac:dyDescent="0.35">
      <c r="D2743" s="32"/>
      <c r="G2743" s="32"/>
      <c r="H2743">
        <f>COUNTIFS('Audit Raw data'!J:J,B:B,'Audit Raw data'!E:E,G:G)</f>
        <v>0</v>
      </c>
      <c r="I2743" s="44" t="str">
        <f>IFERROR((SUMIFS('Audit Raw data'!BZ:BZ,'Audit Raw data'!J:J,B:B,'Audit Raw data'!E:E,G:G)/H2743)/100,"-")</f>
        <v>-</v>
      </c>
      <c r="J2743">
        <f>COUNTIFS('Audit Raw data'!AM:AM,"Yes",'Audit Raw data'!J:J,B:B,'Audit Raw data'!E:E,'Day wise agent'!G:G)</f>
        <v>0</v>
      </c>
      <c r="K2743">
        <f>COUNTIFS('Audit Raw data'!AM:AM,"NO",'Audit Raw data'!J:J,B:B,'Audit Raw data'!E:E,'Day wise agent'!G:G)</f>
        <v>0</v>
      </c>
      <c r="L2743" s="12" t="str">
        <f t="shared" si="63"/>
        <v xml:space="preserve"> </v>
      </c>
    </row>
    <row r="2744" spans="4:12" x14ac:dyDescent="0.35">
      <c r="D2744" s="32"/>
      <c r="G2744" s="32"/>
      <c r="H2744">
        <f>COUNTIFS('Audit Raw data'!J:J,B:B,'Audit Raw data'!E:E,G:G)</f>
        <v>0</v>
      </c>
      <c r="I2744" s="44" t="str">
        <f>IFERROR((SUMIFS('Audit Raw data'!BZ:BZ,'Audit Raw data'!J:J,B:B,'Audit Raw data'!E:E,G:G)/H2744)/100,"-")</f>
        <v>-</v>
      </c>
      <c r="J2744">
        <f>COUNTIFS('Audit Raw data'!AM:AM,"Yes",'Audit Raw data'!J:J,B:B,'Audit Raw data'!E:E,'Day wise agent'!G:G)</f>
        <v>0</v>
      </c>
      <c r="K2744">
        <f>COUNTIFS('Audit Raw data'!AM:AM,"NO",'Audit Raw data'!J:J,B:B,'Audit Raw data'!E:E,'Day wise agent'!G:G)</f>
        <v>0</v>
      </c>
      <c r="L2744" s="12" t="str">
        <f t="shared" si="63"/>
        <v xml:space="preserve"> </v>
      </c>
    </row>
    <row r="2745" spans="4:12" x14ac:dyDescent="0.35">
      <c r="D2745" s="32"/>
      <c r="G2745" s="32"/>
      <c r="H2745">
        <f>COUNTIFS('Audit Raw data'!J:J,B:B,'Audit Raw data'!E:E,G:G)</f>
        <v>0</v>
      </c>
      <c r="I2745" s="44" t="str">
        <f>IFERROR((SUMIFS('Audit Raw data'!BZ:BZ,'Audit Raw data'!J:J,B:B,'Audit Raw data'!E:E,G:G)/H2745)/100,"-")</f>
        <v>-</v>
      </c>
      <c r="J2745">
        <f>COUNTIFS('Audit Raw data'!AM:AM,"Yes",'Audit Raw data'!J:J,B:B,'Audit Raw data'!E:E,'Day wise agent'!G:G)</f>
        <v>0</v>
      </c>
      <c r="K2745">
        <f>COUNTIFS('Audit Raw data'!AM:AM,"NO",'Audit Raw data'!J:J,B:B,'Audit Raw data'!E:E,'Day wise agent'!G:G)</f>
        <v>0</v>
      </c>
      <c r="L2745" s="12" t="str">
        <f t="shared" si="63"/>
        <v xml:space="preserve"> </v>
      </c>
    </row>
    <row r="2746" spans="4:12" x14ac:dyDescent="0.35">
      <c r="D2746" s="32"/>
      <c r="G2746" s="32"/>
      <c r="H2746">
        <f>COUNTIFS('Audit Raw data'!J:J,B:B,'Audit Raw data'!E:E,G:G)</f>
        <v>0</v>
      </c>
      <c r="I2746" s="44" t="str">
        <f>IFERROR((SUMIFS('Audit Raw data'!BZ:BZ,'Audit Raw data'!J:J,B:B,'Audit Raw data'!E:E,G:G)/H2746)/100,"-")</f>
        <v>-</v>
      </c>
      <c r="J2746">
        <f>COUNTIFS('Audit Raw data'!AM:AM,"Yes",'Audit Raw data'!J:J,B:B,'Audit Raw data'!E:E,'Day wise agent'!G:G)</f>
        <v>0</v>
      </c>
      <c r="K2746">
        <f>COUNTIFS('Audit Raw data'!AM:AM,"NO",'Audit Raw data'!J:J,B:B,'Audit Raw data'!E:E,'Day wise agent'!G:G)</f>
        <v>0</v>
      </c>
      <c r="L2746" s="12" t="str">
        <f t="shared" si="63"/>
        <v xml:space="preserve"> </v>
      </c>
    </row>
    <row r="2747" spans="4:12" x14ac:dyDescent="0.35">
      <c r="D2747" s="32"/>
      <c r="G2747" s="32"/>
      <c r="H2747">
        <f>COUNTIFS('Audit Raw data'!J:J,B:B,'Audit Raw data'!E:E,G:G)</f>
        <v>0</v>
      </c>
      <c r="I2747" s="44" t="str">
        <f>IFERROR((SUMIFS('Audit Raw data'!BZ:BZ,'Audit Raw data'!J:J,B:B,'Audit Raw data'!E:E,G:G)/H2747)/100,"-")</f>
        <v>-</v>
      </c>
      <c r="J2747">
        <f>COUNTIFS('Audit Raw data'!AM:AM,"Yes",'Audit Raw data'!J:J,B:B,'Audit Raw data'!E:E,'Day wise agent'!G:G)</f>
        <v>0</v>
      </c>
      <c r="K2747">
        <f>COUNTIFS('Audit Raw data'!AM:AM,"NO",'Audit Raw data'!J:J,B:B,'Audit Raw data'!E:E,'Day wise agent'!G:G)</f>
        <v>0</v>
      </c>
      <c r="L2747" s="12" t="str">
        <f t="shared" si="63"/>
        <v xml:space="preserve"> </v>
      </c>
    </row>
    <row r="2748" spans="4:12" x14ac:dyDescent="0.35">
      <c r="D2748" s="32"/>
      <c r="G2748" s="32"/>
      <c r="H2748">
        <f>COUNTIFS('Audit Raw data'!J:J,B:B,'Audit Raw data'!E:E,G:G)</f>
        <v>0</v>
      </c>
      <c r="I2748" s="44" t="str">
        <f>IFERROR((SUMIFS('Audit Raw data'!BZ:BZ,'Audit Raw data'!J:J,B:B,'Audit Raw data'!E:E,G:G)/H2748)/100,"-")</f>
        <v>-</v>
      </c>
      <c r="J2748">
        <f>COUNTIFS('Audit Raw data'!AM:AM,"Yes",'Audit Raw data'!J:J,B:B,'Audit Raw data'!E:E,'Day wise agent'!G:G)</f>
        <v>0</v>
      </c>
      <c r="K2748">
        <f>COUNTIFS('Audit Raw data'!AM:AM,"NO",'Audit Raw data'!J:J,B:B,'Audit Raw data'!E:E,'Day wise agent'!G:G)</f>
        <v>0</v>
      </c>
      <c r="L2748" s="12" t="str">
        <f t="shared" si="63"/>
        <v xml:space="preserve"> </v>
      </c>
    </row>
    <row r="2749" spans="4:12" x14ac:dyDescent="0.35">
      <c r="D2749" s="32"/>
      <c r="G2749" s="32"/>
      <c r="H2749">
        <f>COUNTIFS('Audit Raw data'!J:J,B:B,'Audit Raw data'!E:E,G:G)</f>
        <v>0</v>
      </c>
      <c r="I2749" s="44" t="str">
        <f>IFERROR((SUMIFS('Audit Raw data'!BZ:BZ,'Audit Raw data'!J:J,B:B,'Audit Raw data'!E:E,G:G)/H2749)/100,"-")</f>
        <v>-</v>
      </c>
      <c r="J2749">
        <f>COUNTIFS('Audit Raw data'!AM:AM,"Yes",'Audit Raw data'!J:J,B:B,'Audit Raw data'!E:E,'Day wise agent'!G:G)</f>
        <v>0</v>
      </c>
      <c r="K2749">
        <f>COUNTIFS('Audit Raw data'!AM:AM,"NO",'Audit Raw data'!J:J,B:B,'Audit Raw data'!E:E,'Day wise agent'!G:G)</f>
        <v>0</v>
      </c>
      <c r="L2749" s="12" t="str">
        <f t="shared" si="63"/>
        <v xml:space="preserve"> </v>
      </c>
    </row>
    <row r="2750" spans="4:12" x14ac:dyDescent="0.35">
      <c r="D2750" s="32"/>
      <c r="G2750" s="32"/>
      <c r="H2750">
        <f>COUNTIFS('Audit Raw data'!J:J,B:B,'Audit Raw data'!E:E,G:G)</f>
        <v>0</v>
      </c>
      <c r="I2750" s="44" t="str">
        <f>IFERROR((SUMIFS('Audit Raw data'!BZ:BZ,'Audit Raw data'!J:J,B:B,'Audit Raw data'!E:E,G:G)/H2750)/100,"-")</f>
        <v>-</v>
      </c>
      <c r="J2750">
        <f>COUNTIFS('Audit Raw data'!AM:AM,"Yes",'Audit Raw data'!J:J,B:B,'Audit Raw data'!E:E,'Day wise agent'!G:G)</f>
        <v>0</v>
      </c>
      <c r="K2750">
        <f>COUNTIFS('Audit Raw data'!AM:AM,"NO",'Audit Raw data'!J:J,B:B,'Audit Raw data'!E:E,'Day wise agent'!G:G)</f>
        <v>0</v>
      </c>
      <c r="L2750" s="12" t="str">
        <f t="shared" si="63"/>
        <v xml:space="preserve"> </v>
      </c>
    </row>
    <row r="2751" spans="4:12" x14ac:dyDescent="0.35">
      <c r="D2751" s="32"/>
      <c r="G2751" s="32"/>
      <c r="H2751">
        <f>COUNTIFS('Audit Raw data'!J:J,B:B,'Audit Raw data'!E:E,G:G)</f>
        <v>0</v>
      </c>
      <c r="I2751" s="44" t="str">
        <f>IFERROR((SUMIFS('Audit Raw data'!BZ:BZ,'Audit Raw data'!J:J,B:B,'Audit Raw data'!E:E,G:G)/H2751)/100,"-")</f>
        <v>-</v>
      </c>
      <c r="J2751">
        <f>COUNTIFS('Audit Raw data'!AM:AM,"Yes",'Audit Raw data'!J:J,B:B,'Audit Raw data'!E:E,'Day wise agent'!G:G)</f>
        <v>0</v>
      </c>
      <c r="K2751">
        <f>COUNTIFS('Audit Raw data'!AM:AM,"NO",'Audit Raw data'!J:J,B:B,'Audit Raw data'!E:E,'Day wise agent'!G:G)</f>
        <v>0</v>
      </c>
      <c r="L2751" s="12" t="str">
        <f t="shared" si="63"/>
        <v xml:space="preserve"> </v>
      </c>
    </row>
    <row r="2752" spans="4:12" x14ac:dyDescent="0.35">
      <c r="D2752" s="32"/>
      <c r="G2752" s="32"/>
      <c r="H2752">
        <f>COUNTIFS('Audit Raw data'!J:J,B:B,'Audit Raw data'!E:E,G:G)</f>
        <v>0</v>
      </c>
      <c r="I2752" s="44" t="str">
        <f>IFERROR((SUMIFS('Audit Raw data'!BZ:BZ,'Audit Raw data'!J:J,B:B,'Audit Raw data'!E:E,G:G)/H2752)/100,"-")</f>
        <v>-</v>
      </c>
      <c r="J2752">
        <f>COUNTIFS('Audit Raw data'!AM:AM,"Yes",'Audit Raw data'!J:J,B:B,'Audit Raw data'!E:E,'Day wise agent'!G:G)</f>
        <v>0</v>
      </c>
      <c r="K2752">
        <f>COUNTIFS('Audit Raw data'!AM:AM,"NO",'Audit Raw data'!J:J,B:B,'Audit Raw data'!E:E,'Day wise agent'!G:G)</f>
        <v>0</v>
      </c>
      <c r="L2752" s="12" t="str">
        <f t="shared" si="63"/>
        <v xml:space="preserve"> </v>
      </c>
    </row>
    <row r="2753" spans="4:12" x14ac:dyDescent="0.35">
      <c r="D2753" s="32"/>
      <c r="G2753" s="32"/>
      <c r="H2753">
        <f>COUNTIFS('Audit Raw data'!J:J,B:B,'Audit Raw data'!E:E,G:G)</f>
        <v>0</v>
      </c>
      <c r="I2753" s="44" t="str">
        <f>IFERROR((SUMIFS('Audit Raw data'!BZ:BZ,'Audit Raw data'!J:J,B:B,'Audit Raw data'!E:E,G:G)/H2753)/100,"-")</f>
        <v>-</v>
      </c>
      <c r="J2753">
        <f>COUNTIFS('Audit Raw data'!AM:AM,"Yes",'Audit Raw data'!J:J,B:B,'Audit Raw data'!E:E,'Day wise agent'!G:G)</f>
        <v>0</v>
      </c>
      <c r="K2753">
        <f>COUNTIFS('Audit Raw data'!AM:AM,"NO",'Audit Raw data'!J:J,B:B,'Audit Raw data'!E:E,'Day wise agent'!G:G)</f>
        <v>0</v>
      </c>
      <c r="L2753" s="12" t="str">
        <f t="shared" si="63"/>
        <v xml:space="preserve"> </v>
      </c>
    </row>
    <row r="2754" spans="4:12" x14ac:dyDescent="0.35">
      <c r="D2754" s="32"/>
      <c r="G2754" s="32"/>
      <c r="H2754">
        <f>COUNTIFS('Audit Raw data'!J:J,B:B,'Audit Raw data'!E:E,G:G)</f>
        <v>0</v>
      </c>
      <c r="I2754" s="44" t="str">
        <f>IFERROR((SUMIFS('Audit Raw data'!BZ:BZ,'Audit Raw data'!J:J,B:B,'Audit Raw data'!E:E,G:G)/H2754)/100,"-")</f>
        <v>-</v>
      </c>
      <c r="J2754">
        <f>COUNTIFS('Audit Raw data'!AM:AM,"Yes",'Audit Raw data'!J:J,B:B,'Audit Raw data'!E:E,'Day wise agent'!G:G)</f>
        <v>0</v>
      </c>
      <c r="K2754">
        <f>COUNTIFS('Audit Raw data'!AM:AM,"NO",'Audit Raw data'!J:J,B:B,'Audit Raw data'!E:E,'Day wise agent'!G:G)</f>
        <v>0</v>
      </c>
      <c r="L2754" s="12" t="str">
        <f t="shared" ref="L2754:L2817" si="64">IFERROR(J2754/H2754," ")</f>
        <v xml:space="preserve"> </v>
      </c>
    </row>
    <row r="2755" spans="4:12" x14ac:dyDescent="0.35">
      <c r="D2755" s="32"/>
      <c r="G2755" s="32"/>
      <c r="H2755">
        <f>COUNTIFS('Audit Raw data'!J:J,B:B,'Audit Raw data'!E:E,G:G)</f>
        <v>0</v>
      </c>
      <c r="I2755" s="44" t="str">
        <f>IFERROR((SUMIFS('Audit Raw data'!BZ:BZ,'Audit Raw data'!J:J,B:B,'Audit Raw data'!E:E,G:G)/H2755)/100,"-")</f>
        <v>-</v>
      </c>
      <c r="J2755">
        <f>COUNTIFS('Audit Raw data'!AM:AM,"Yes",'Audit Raw data'!J:J,B:B,'Audit Raw data'!E:E,'Day wise agent'!G:G)</f>
        <v>0</v>
      </c>
      <c r="K2755">
        <f>COUNTIFS('Audit Raw data'!AM:AM,"NO",'Audit Raw data'!J:J,B:B,'Audit Raw data'!E:E,'Day wise agent'!G:G)</f>
        <v>0</v>
      </c>
      <c r="L2755" s="12" t="str">
        <f t="shared" si="64"/>
        <v xml:space="preserve"> </v>
      </c>
    </row>
    <row r="2756" spans="4:12" x14ac:dyDescent="0.35">
      <c r="D2756" s="32"/>
      <c r="G2756" s="32"/>
      <c r="H2756">
        <f>COUNTIFS('Audit Raw data'!J:J,B:B,'Audit Raw data'!E:E,G:G)</f>
        <v>0</v>
      </c>
      <c r="I2756" s="44" t="str">
        <f>IFERROR((SUMIFS('Audit Raw data'!BZ:BZ,'Audit Raw data'!J:J,B:B,'Audit Raw data'!E:E,G:G)/H2756)/100,"-")</f>
        <v>-</v>
      </c>
      <c r="J2756">
        <f>COUNTIFS('Audit Raw data'!AM:AM,"Yes",'Audit Raw data'!J:J,B:B,'Audit Raw data'!E:E,'Day wise agent'!G:G)</f>
        <v>0</v>
      </c>
      <c r="K2756">
        <f>COUNTIFS('Audit Raw data'!AM:AM,"NO",'Audit Raw data'!J:J,B:B,'Audit Raw data'!E:E,'Day wise agent'!G:G)</f>
        <v>0</v>
      </c>
      <c r="L2756" s="12" t="str">
        <f t="shared" si="64"/>
        <v xml:space="preserve"> </v>
      </c>
    </row>
    <row r="2757" spans="4:12" x14ac:dyDescent="0.35">
      <c r="D2757" s="32"/>
      <c r="G2757" s="32"/>
      <c r="H2757">
        <f>COUNTIFS('Audit Raw data'!J:J,B:B,'Audit Raw data'!E:E,G:G)</f>
        <v>0</v>
      </c>
      <c r="I2757" s="44" t="str">
        <f>IFERROR((SUMIFS('Audit Raw data'!BZ:BZ,'Audit Raw data'!J:J,B:B,'Audit Raw data'!E:E,G:G)/H2757)/100,"-")</f>
        <v>-</v>
      </c>
      <c r="J2757">
        <f>COUNTIFS('Audit Raw data'!AM:AM,"Yes",'Audit Raw data'!J:J,B:B,'Audit Raw data'!E:E,'Day wise agent'!G:G)</f>
        <v>0</v>
      </c>
      <c r="K2757">
        <f>COUNTIFS('Audit Raw data'!AM:AM,"NO",'Audit Raw data'!J:J,B:B,'Audit Raw data'!E:E,'Day wise agent'!G:G)</f>
        <v>0</v>
      </c>
      <c r="L2757" s="12" t="str">
        <f t="shared" si="64"/>
        <v xml:space="preserve"> </v>
      </c>
    </row>
    <row r="2758" spans="4:12" x14ac:dyDescent="0.35">
      <c r="D2758" s="32"/>
      <c r="G2758" s="32"/>
      <c r="H2758">
        <f>COUNTIFS('Audit Raw data'!J:J,B:B,'Audit Raw data'!E:E,G:G)</f>
        <v>0</v>
      </c>
      <c r="I2758" s="44" t="str">
        <f>IFERROR((SUMIFS('Audit Raw data'!BZ:BZ,'Audit Raw data'!J:J,B:B,'Audit Raw data'!E:E,G:G)/H2758)/100,"-")</f>
        <v>-</v>
      </c>
      <c r="J2758">
        <f>COUNTIFS('Audit Raw data'!AM:AM,"Yes",'Audit Raw data'!J:J,B:B,'Audit Raw data'!E:E,'Day wise agent'!G:G)</f>
        <v>0</v>
      </c>
      <c r="K2758">
        <f>COUNTIFS('Audit Raw data'!AM:AM,"NO",'Audit Raw data'!J:J,B:B,'Audit Raw data'!E:E,'Day wise agent'!G:G)</f>
        <v>0</v>
      </c>
      <c r="L2758" s="12" t="str">
        <f t="shared" si="64"/>
        <v xml:space="preserve"> </v>
      </c>
    </row>
    <row r="2759" spans="4:12" x14ac:dyDescent="0.35">
      <c r="D2759" s="32"/>
      <c r="G2759" s="32"/>
      <c r="H2759">
        <f>COUNTIFS('Audit Raw data'!J:J,B:B,'Audit Raw data'!E:E,G:G)</f>
        <v>0</v>
      </c>
      <c r="I2759" s="44" t="str">
        <f>IFERROR((SUMIFS('Audit Raw data'!BZ:BZ,'Audit Raw data'!J:J,B:B,'Audit Raw data'!E:E,G:G)/H2759)/100,"-")</f>
        <v>-</v>
      </c>
      <c r="J2759">
        <f>COUNTIFS('Audit Raw data'!AM:AM,"Yes",'Audit Raw data'!J:J,B:B,'Audit Raw data'!E:E,'Day wise agent'!G:G)</f>
        <v>0</v>
      </c>
      <c r="K2759">
        <f>COUNTIFS('Audit Raw data'!AM:AM,"NO",'Audit Raw data'!J:J,B:B,'Audit Raw data'!E:E,'Day wise agent'!G:G)</f>
        <v>0</v>
      </c>
      <c r="L2759" s="12" t="str">
        <f t="shared" si="64"/>
        <v xml:space="preserve"> </v>
      </c>
    </row>
    <row r="2760" spans="4:12" x14ac:dyDescent="0.35">
      <c r="D2760" s="32"/>
      <c r="G2760" s="32"/>
      <c r="H2760">
        <f>COUNTIFS('Audit Raw data'!J:J,B:B,'Audit Raw data'!E:E,G:G)</f>
        <v>0</v>
      </c>
      <c r="I2760" s="44" t="str">
        <f>IFERROR((SUMIFS('Audit Raw data'!BZ:BZ,'Audit Raw data'!J:J,B:B,'Audit Raw data'!E:E,G:G)/H2760)/100,"-")</f>
        <v>-</v>
      </c>
      <c r="J2760">
        <f>COUNTIFS('Audit Raw data'!AM:AM,"Yes",'Audit Raw data'!J:J,B:B,'Audit Raw data'!E:E,'Day wise agent'!G:G)</f>
        <v>0</v>
      </c>
      <c r="K2760">
        <f>COUNTIFS('Audit Raw data'!AM:AM,"NO",'Audit Raw data'!J:J,B:B,'Audit Raw data'!E:E,'Day wise agent'!G:G)</f>
        <v>0</v>
      </c>
      <c r="L2760" s="12" t="str">
        <f t="shared" si="64"/>
        <v xml:space="preserve"> </v>
      </c>
    </row>
    <row r="2761" spans="4:12" x14ac:dyDescent="0.35">
      <c r="D2761" s="32"/>
      <c r="G2761" s="32"/>
      <c r="H2761">
        <f>COUNTIFS('Audit Raw data'!J:J,B:B,'Audit Raw data'!E:E,G:G)</f>
        <v>0</v>
      </c>
      <c r="I2761" s="44" t="str">
        <f>IFERROR((SUMIFS('Audit Raw data'!BZ:BZ,'Audit Raw data'!J:J,B:B,'Audit Raw data'!E:E,G:G)/H2761)/100,"-")</f>
        <v>-</v>
      </c>
      <c r="J2761">
        <f>COUNTIFS('Audit Raw data'!AM:AM,"Yes",'Audit Raw data'!J:J,B:B,'Audit Raw data'!E:E,'Day wise agent'!G:G)</f>
        <v>0</v>
      </c>
      <c r="K2761">
        <f>COUNTIFS('Audit Raw data'!AM:AM,"NO",'Audit Raw data'!J:J,B:B,'Audit Raw data'!E:E,'Day wise agent'!G:G)</f>
        <v>0</v>
      </c>
      <c r="L2761" s="12" t="str">
        <f t="shared" si="64"/>
        <v xml:space="preserve"> </v>
      </c>
    </row>
    <row r="2762" spans="4:12" x14ac:dyDescent="0.35">
      <c r="D2762" s="32"/>
      <c r="G2762" s="32"/>
      <c r="H2762">
        <f>COUNTIFS('Audit Raw data'!J:J,B:B,'Audit Raw data'!E:E,G:G)</f>
        <v>0</v>
      </c>
      <c r="I2762" s="44" t="str">
        <f>IFERROR((SUMIFS('Audit Raw data'!BZ:BZ,'Audit Raw data'!J:J,B:B,'Audit Raw data'!E:E,G:G)/H2762)/100,"-")</f>
        <v>-</v>
      </c>
      <c r="J2762">
        <f>COUNTIFS('Audit Raw data'!AM:AM,"Yes",'Audit Raw data'!J:J,B:B,'Audit Raw data'!E:E,'Day wise agent'!G:G)</f>
        <v>0</v>
      </c>
      <c r="K2762">
        <f>COUNTIFS('Audit Raw data'!AM:AM,"NO",'Audit Raw data'!J:J,B:B,'Audit Raw data'!E:E,'Day wise agent'!G:G)</f>
        <v>0</v>
      </c>
      <c r="L2762" s="12" t="str">
        <f t="shared" si="64"/>
        <v xml:space="preserve"> </v>
      </c>
    </row>
    <row r="2763" spans="4:12" x14ac:dyDescent="0.35">
      <c r="D2763" s="32"/>
      <c r="G2763" s="32"/>
      <c r="H2763">
        <f>COUNTIFS('Audit Raw data'!J:J,B:B,'Audit Raw data'!E:E,G:G)</f>
        <v>0</v>
      </c>
      <c r="I2763" s="44" t="str">
        <f>IFERROR((SUMIFS('Audit Raw data'!BZ:BZ,'Audit Raw data'!J:J,B:B,'Audit Raw data'!E:E,G:G)/H2763)/100,"-")</f>
        <v>-</v>
      </c>
      <c r="J2763">
        <f>COUNTIFS('Audit Raw data'!AM:AM,"Yes",'Audit Raw data'!J:J,B:B,'Audit Raw data'!E:E,'Day wise agent'!G:G)</f>
        <v>0</v>
      </c>
      <c r="K2763">
        <f>COUNTIFS('Audit Raw data'!AM:AM,"NO",'Audit Raw data'!J:J,B:B,'Audit Raw data'!E:E,'Day wise agent'!G:G)</f>
        <v>0</v>
      </c>
      <c r="L2763" s="12" t="str">
        <f t="shared" si="64"/>
        <v xml:space="preserve"> </v>
      </c>
    </row>
    <row r="2764" spans="4:12" x14ac:dyDescent="0.35">
      <c r="D2764" s="32"/>
      <c r="G2764" s="32"/>
      <c r="H2764">
        <f>COUNTIFS('Audit Raw data'!J:J,B:B,'Audit Raw data'!E:E,G:G)</f>
        <v>0</v>
      </c>
      <c r="I2764" s="44" t="str">
        <f>IFERROR((SUMIFS('Audit Raw data'!BZ:BZ,'Audit Raw data'!J:J,B:B,'Audit Raw data'!E:E,G:G)/H2764)/100,"-")</f>
        <v>-</v>
      </c>
      <c r="J2764">
        <f>COUNTIFS('Audit Raw data'!AM:AM,"Yes",'Audit Raw data'!J:J,B:B,'Audit Raw data'!E:E,'Day wise agent'!G:G)</f>
        <v>0</v>
      </c>
      <c r="K2764">
        <f>COUNTIFS('Audit Raw data'!AM:AM,"NO",'Audit Raw data'!J:J,B:B,'Audit Raw data'!E:E,'Day wise agent'!G:G)</f>
        <v>0</v>
      </c>
      <c r="L2764" s="12" t="str">
        <f t="shared" si="64"/>
        <v xml:space="preserve"> </v>
      </c>
    </row>
    <row r="2765" spans="4:12" x14ac:dyDescent="0.35">
      <c r="D2765" s="32"/>
      <c r="G2765" s="32"/>
      <c r="H2765">
        <f>COUNTIFS('Audit Raw data'!J:J,B:B,'Audit Raw data'!E:E,G:G)</f>
        <v>0</v>
      </c>
      <c r="I2765" s="44" t="str">
        <f>IFERROR((SUMIFS('Audit Raw data'!BZ:BZ,'Audit Raw data'!J:J,B:B,'Audit Raw data'!E:E,G:G)/H2765)/100,"-")</f>
        <v>-</v>
      </c>
      <c r="J2765">
        <f>COUNTIFS('Audit Raw data'!AM:AM,"Yes",'Audit Raw data'!J:J,B:B,'Audit Raw data'!E:E,'Day wise agent'!G:G)</f>
        <v>0</v>
      </c>
      <c r="K2765">
        <f>COUNTIFS('Audit Raw data'!AM:AM,"NO",'Audit Raw data'!J:J,B:B,'Audit Raw data'!E:E,'Day wise agent'!G:G)</f>
        <v>0</v>
      </c>
      <c r="L2765" s="12" t="str">
        <f t="shared" si="64"/>
        <v xml:space="preserve"> </v>
      </c>
    </row>
    <row r="2766" spans="4:12" x14ac:dyDescent="0.35">
      <c r="D2766" s="32"/>
      <c r="G2766" s="32"/>
      <c r="H2766">
        <f>COUNTIFS('Audit Raw data'!J:J,B:B,'Audit Raw data'!E:E,G:G)</f>
        <v>0</v>
      </c>
      <c r="I2766" s="44" t="str">
        <f>IFERROR((SUMIFS('Audit Raw data'!BZ:BZ,'Audit Raw data'!J:J,B:B,'Audit Raw data'!E:E,G:G)/H2766)/100,"-")</f>
        <v>-</v>
      </c>
      <c r="J2766">
        <f>COUNTIFS('Audit Raw data'!AM:AM,"Yes",'Audit Raw data'!J:J,B:B,'Audit Raw data'!E:E,'Day wise agent'!G:G)</f>
        <v>0</v>
      </c>
      <c r="K2766">
        <f>COUNTIFS('Audit Raw data'!AM:AM,"NO",'Audit Raw data'!J:J,B:B,'Audit Raw data'!E:E,'Day wise agent'!G:G)</f>
        <v>0</v>
      </c>
      <c r="L2766" s="12" t="str">
        <f t="shared" si="64"/>
        <v xml:space="preserve"> </v>
      </c>
    </row>
    <row r="2767" spans="4:12" x14ac:dyDescent="0.35">
      <c r="D2767" s="32"/>
      <c r="G2767" s="32"/>
      <c r="H2767">
        <f>COUNTIFS('Audit Raw data'!J:J,B:B,'Audit Raw data'!E:E,G:G)</f>
        <v>0</v>
      </c>
      <c r="I2767" s="44" t="str">
        <f>IFERROR((SUMIFS('Audit Raw data'!BZ:BZ,'Audit Raw data'!J:J,B:B,'Audit Raw data'!E:E,G:G)/H2767)/100,"-")</f>
        <v>-</v>
      </c>
      <c r="J2767">
        <f>COUNTIFS('Audit Raw data'!AM:AM,"Yes",'Audit Raw data'!J:J,B:B,'Audit Raw data'!E:E,'Day wise agent'!G:G)</f>
        <v>0</v>
      </c>
      <c r="K2767">
        <f>COUNTIFS('Audit Raw data'!AM:AM,"NO",'Audit Raw data'!J:J,B:B,'Audit Raw data'!E:E,'Day wise agent'!G:G)</f>
        <v>0</v>
      </c>
      <c r="L2767" s="12" t="str">
        <f t="shared" si="64"/>
        <v xml:space="preserve"> </v>
      </c>
    </row>
    <row r="2768" spans="4:12" x14ac:dyDescent="0.35">
      <c r="D2768" s="32"/>
      <c r="G2768" s="32"/>
      <c r="H2768">
        <f>COUNTIFS('Audit Raw data'!J:J,B:B,'Audit Raw data'!E:E,G:G)</f>
        <v>0</v>
      </c>
      <c r="I2768" s="44" t="str">
        <f>IFERROR((SUMIFS('Audit Raw data'!BZ:BZ,'Audit Raw data'!J:J,B:B,'Audit Raw data'!E:E,G:G)/H2768)/100,"-")</f>
        <v>-</v>
      </c>
      <c r="J2768">
        <f>COUNTIFS('Audit Raw data'!AM:AM,"Yes",'Audit Raw data'!J:J,B:B,'Audit Raw data'!E:E,'Day wise agent'!G:G)</f>
        <v>0</v>
      </c>
      <c r="K2768">
        <f>COUNTIFS('Audit Raw data'!AM:AM,"NO",'Audit Raw data'!J:J,B:B,'Audit Raw data'!E:E,'Day wise agent'!G:G)</f>
        <v>0</v>
      </c>
      <c r="L2768" s="12" t="str">
        <f t="shared" si="64"/>
        <v xml:space="preserve"> </v>
      </c>
    </row>
    <row r="2769" spans="4:12" x14ac:dyDescent="0.35">
      <c r="D2769" s="32"/>
      <c r="G2769" s="32"/>
      <c r="H2769">
        <f>COUNTIFS('Audit Raw data'!J:J,B:B,'Audit Raw data'!E:E,G:G)</f>
        <v>0</v>
      </c>
      <c r="I2769" s="44" t="str">
        <f>IFERROR((SUMIFS('Audit Raw data'!BZ:BZ,'Audit Raw data'!J:J,B:B,'Audit Raw data'!E:E,G:G)/H2769)/100,"-")</f>
        <v>-</v>
      </c>
      <c r="J2769">
        <f>COUNTIFS('Audit Raw data'!AM:AM,"Yes",'Audit Raw data'!J:J,B:B,'Audit Raw data'!E:E,'Day wise agent'!G:G)</f>
        <v>0</v>
      </c>
      <c r="K2769">
        <f>COUNTIFS('Audit Raw data'!AM:AM,"NO",'Audit Raw data'!J:J,B:B,'Audit Raw data'!E:E,'Day wise agent'!G:G)</f>
        <v>0</v>
      </c>
      <c r="L2769" s="12" t="str">
        <f t="shared" si="64"/>
        <v xml:space="preserve"> </v>
      </c>
    </row>
    <row r="2770" spans="4:12" x14ac:dyDescent="0.35">
      <c r="D2770" s="32"/>
      <c r="G2770" s="32"/>
      <c r="H2770">
        <f>COUNTIFS('Audit Raw data'!J:J,B:B,'Audit Raw data'!E:E,G:G)</f>
        <v>0</v>
      </c>
      <c r="I2770" s="44" t="str">
        <f>IFERROR((SUMIFS('Audit Raw data'!BZ:BZ,'Audit Raw data'!J:J,B:B,'Audit Raw data'!E:E,G:G)/H2770)/100,"-")</f>
        <v>-</v>
      </c>
      <c r="J2770">
        <f>COUNTIFS('Audit Raw data'!AM:AM,"Yes",'Audit Raw data'!J:J,B:B,'Audit Raw data'!E:E,'Day wise agent'!G:G)</f>
        <v>0</v>
      </c>
      <c r="K2770">
        <f>COUNTIFS('Audit Raw data'!AM:AM,"NO",'Audit Raw data'!J:J,B:B,'Audit Raw data'!E:E,'Day wise agent'!G:G)</f>
        <v>0</v>
      </c>
      <c r="L2770" s="12" t="str">
        <f t="shared" si="64"/>
        <v xml:space="preserve"> </v>
      </c>
    </row>
    <row r="2771" spans="4:12" x14ac:dyDescent="0.35">
      <c r="D2771" s="32"/>
      <c r="G2771" s="32"/>
      <c r="H2771">
        <f>COUNTIFS('Audit Raw data'!J:J,B:B,'Audit Raw data'!E:E,G:G)</f>
        <v>0</v>
      </c>
      <c r="I2771" s="44" t="str">
        <f>IFERROR((SUMIFS('Audit Raw data'!BZ:BZ,'Audit Raw data'!J:J,B:B,'Audit Raw data'!E:E,G:G)/H2771)/100,"-")</f>
        <v>-</v>
      </c>
      <c r="J2771">
        <f>COUNTIFS('Audit Raw data'!AM:AM,"Yes",'Audit Raw data'!J:J,B:B,'Audit Raw data'!E:E,'Day wise agent'!G:G)</f>
        <v>0</v>
      </c>
      <c r="K2771">
        <f>COUNTIFS('Audit Raw data'!AM:AM,"NO",'Audit Raw data'!J:J,B:B,'Audit Raw data'!E:E,'Day wise agent'!G:G)</f>
        <v>0</v>
      </c>
      <c r="L2771" s="12" t="str">
        <f t="shared" si="64"/>
        <v xml:space="preserve"> </v>
      </c>
    </row>
    <row r="2772" spans="4:12" x14ac:dyDescent="0.35">
      <c r="D2772" s="32"/>
      <c r="G2772" s="32"/>
      <c r="H2772">
        <f>COUNTIFS('Audit Raw data'!J:J,B:B,'Audit Raw data'!E:E,G:G)</f>
        <v>0</v>
      </c>
      <c r="I2772" s="44" t="str">
        <f>IFERROR((SUMIFS('Audit Raw data'!BZ:BZ,'Audit Raw data'!J:J,B:B,'Audit Raw data'!E:E,G:G)/H2772)/100,"-")</f>
        <v>-</v>
      </c>
      <c r="J2772">
        <f>COUNTIFS('Audit Raw data'!AM:AM,"Yes",'Audit Raw data'!J:J,B:B,'Audit Raw data'!E:E,'Day wise agent'!G:G)</f>
        <v>0</v>
      </c>
      <c r="K2772">
        <f>COUNTIFS('Audit Raw data'!AM:AM,"NO",'Audit Raw data'!J:J,B:B,'Audit Raw data'!E:E,'Day wise agent'!G:G)</f>
        <v>0</v>
      </c>
      <c r="L2772" s="12" t="str">
        <f t="shared" si="64"/>
        <v xml:space="preserve"> </v>
      </c>
    </row>
    <row r="2773" spans="4:12" x14ac:dyDescent="0.35">
      <c r="D2773" s="32"/>
      <c r="G2773" s="32"/>
      <c r="H2773">
        <f>COUNTIFS('Audit Raw data'!J:J,B:B,'Audit Raw data'!E:E,G:G)</f>
        <v>0</v>
      </c>
      <c r="I2773" s="44" t="str">
        <f>IFERROR((SUMIFS('Audit Raw data'!BZ:BZ,'Audit Raw data'!J:J,B:B,'Audit Raw data'!E:E,G:G)/H2773)/100,"-")</f>
        <v>-</v>
      </c>
      <c r="J2773">
        <f>COUNTIFS('Audit Raw data'!AM:AM,"Yes",'Audit Raw data'!J:J,B:B,'Audit Raw data'!E:E,'Day wise agent'!G:G)</f>
        <v>0</v>
      </c>
      <c r="K2773">
        <f>COUNTIFS('Audit Raw data'!AM:AM,"NO",'Audit Raw data'!J:J,B:B,'Audit Raw data'!E:E,'Day wise agent'!G:G)</f>
        <v>0</v>
      </c>
      <c r="L2773" s="12" t="str">
        <f t="shared" si="64"/>
        <v xml:space="preserve"> </v>
      </c>
    </row>
    <row r="2774" spans="4:12" x14ac:dyDescent="0.35">
      <c r="D2774" s="32"/>
      <c r="G2774" s="32"/>
      <c r="H2774">
        <f>COUNTIFS('Audit Raw data'!J:J,B:B,'Audit Raw data'!E:E,G:G)</f>
        <v>0</v>
      </c>
      <c r="I2774" s="44" t="str">
        <f>IFERROR((SUMIFS('Audit Raw data'!BZ:BZ,'Audit Raw data'!J:J,B:B,'Audit Raw data'!E:E,G:G)/H2774)/100,"-")</f>
        <v>-</v>
      </c>
      <c r="J2774">
        <f>COUNTIFS('Audit Raw data'!AM:AM,"Yes",'Audit Raw data'!J:J,B:B,'Audit Raw data'!E:E,'Day wise agent'!G:G)</f>
        <v>0</v>
      </c>
      <c r="K2774">
        <f>COUNTIFS('Audit Raw data'!AM:AM,"NO",'Audit Raw data'!J:J,B:B,'Audit Raw data'!E:E,'Day wise agent'!G:G)</f>
        <v>0</v>
      </c>
      <c r="L2774" s="12" t="str">
        <f t="shared" si="64"/>
        <v xml:space="preserve"> </v>
      </c>
    </row>
    <row r="2775" spans="4:12" x14ac:dyDescent="0.35">
      <c r="D2775" s="32"/>
      <c r="G2775" s="32"/>
      <c r="H2775">
        <f>COUNTIFS('Audit Raw data'!J:J,B:B,'Audit Raw data'!E:E,G:G)</f>
        <v>0</v>
      </c>
      <c r="I2775" s="44" t="str">
        <f>IFERROR((SUMIFS('Audit Raw data'!BZ:BZ,'Audit Raw data'!J:J,B:B,'Audit Raw data'!E:E,G:G)/H2775)/100,"-")</f>
        <v>-</v>
      </c>
      <c r="J2775">
        <f>COUNTIFS('Audit Raw data'!AM:AM,"Yes",'Audit Raw data'!J:J,B:B,'Audit Raw data'!E:E,'Day wise agent'!G:G)</f>
        <v>0</v>
      </c>
      <c r="K2775">
        <f>COUNTIFS('Audit Raw data'!AM:AM,"NO",'Audit Raw data'!J:J,B:B,'Audit Raw data'!E:E,'Day wise agent'!G:G)</f>
        <v>0</v>
      </c>
      <c r="L2775" s="12" t="str">
        <f t="shared" si="64"/>
        <v xml:space="preserve"> </v>
      </c>
    </row>
    <row r="2776" spans="4:12" x14ac:dyDescent="0.35">
      <c r="D2776" s="32"/>
      <c r="G2776" s="32"/>
      <c r="H2776">
        <f>COUNTIFS('Audit Raw data'!J:J,B:B,'Audit Raw data'!E:E,G:G)</f>
        <v>0</v>
      </c>
      <c r="I2776" s="44" t="str">
        <f>IFERROR((SUMIFS('Audit Raw data'!BZ:BZ,'Audit Raw data'!J:J,B:B,'Audit Raw data'!E:E,G:G)/H2776)/100,"-")</f>
        <v>-</v>
      </c>
      <c r="J2776">
        <f>COUNTIFS('Audit Raw data'!AM:AM,"Yes",'Audit Raw data'!J:J,B:B,'Audit Raw data'!E:E,'Day wise agent'!G:G)</f>
        <v>0</v>
      </c>
      <c r="K2776">
        <f>COUNTIFS('Audit Raw data'!AM:AM,"NO",'Audit Raw data'!J:J,B:B,'Audit Raw data'!E:E,'Day wise agent'!G:G)</f>
        <v>0</v>
      </c>
      <c r="L2776" s="12" t="str">
        <f t="shared" si="64"/>
        <v xml:space="preserve"> </v>
      </c>
    </row>
    <row r="2777" spans="4:12" x14ac:dyDescent="0.35">
      <c r="D2777" s="32"/>
      <c r="G2777" s="32"/>
      <c r="H2777">
        <f>COUNTIFS('Audit Raw data'!J:J,B:B,'Audit Raw data'!E:E,G:G)</f>
        <v>0</v>
      </c>
      <c r="I2777" s="44" t="str">
        <f>IFERROR((SUMIFS('Audit Raw data'!BZ:BZ,'Audit Raw data'!J:J,B:B,'Audit Raw data'!E:E,G:G)/H2777)/100,"-")</f>
        <v>-</v>
      </c>
      <c r="J2777">
        <f>COUNTIFS('Audit Raw data'!AM:AM,"Yes",'Audit Raw data'!J:J,B:B,'Audit Raw data'!E:E,'Day wise agent'!G:G)</f>
        <v>0</v>
      </c>
      <c r="K2777">
        <f>COUNTIFS('Audit Raw data'!AM:AM,"NO",'Audit Raw data'!J:J,B:B,'Audit Raw data'!E:E,'Day wise agent'!G:G)</f>
        <v>0</v>
      </c>
      <c r="L2777" s="12" t="str">
        <f t="shared" si="64"/>
        <v xml:space="preserve"> </v>
      </c>
    </row>
    <row r="2778" spans="4:12" x14ac:dyDescent="0.35">
      <c r="D2778" s="32"/>
      <c r="G2778" s="32"/>
      <c r="H2778">
        <f>COUNTIFS('Audit Raw data'!J:J,B:B,'Audit Raw data'!E:E,G:G)</f>
        <v>0</v>
      </c>
      <c r="I2778" s="44" t="str">
        <f>IFERROR((SUMIFS('Audit Raw data'!BZ:BZ,'Audit Raw data'!J:J,B:B,'Audit Raw data'!E:E,G:G)/H2778)/100,"-")</f>
        <v>-</v>
      </c>
      <c r="J2778">
        <f>COUNTIFS('Audit Raw data'!AM:AM,"Yes",'Audit Raw data'!J:J,B:B,'Audit Raw data'!E:E,'Day wise agent'!G:G)</f>
        <v>0</v>
      </c>
      <c r="K2778">
        <f>COUNTIFS('Audit Raw data'!AM:AM,"NO",'Audit Raw data'!J:J,B:B,'Audit Raw data'!E:E,'Day wise agent'!G:G)</f>
        <v>0</v>
      </c>
      <c r="L2778" s="12" t="str">
        <f t="shared" si="64"/>
        <v xml:space="preserve"> </v>
      </c>
    </row>
    <row r="2779" spans="4:12" x14ac:dyDescent="0.35">
      <c r="D2779" s="32"/>
      <c r="G2779" s="32"/>
      <c r="H2779">
        <f>COUNTIFS('Audit Raw data'!J:J,B:B,'Audit Raw data'!E:E,G:G)</f>
        <v>0</v>
      </c>
      <c r="I2779" s="44" t="str">
        <f>IFERROR((SUMIFS('Audit Raw data'!BZ:BZ,'Audit Raw data'!J:J,B:B,'Audit Raw data'!E:E,G:G)/H2779)/100,"-")</f>
        <v>-</v>
      </c>
      <c r="J2779">
        <f>COUNTIFS('Audit Raw data'!AM:AM,"Yes",'Audit Raw data'!J:J,B:B,'Audit Raw data'!E:E,'Day wise agent'!G:G)</f>
        <v>0</v>
      </c>
      <c r="K2779">
        <f>COUNTIFS('Audit Raw data'!AM:AM,"NO",'Audit Raw data'!J:J,B:B,'Audit Raw data'!E:E,'Day wise agent'!G:G)</f>
        <v>0</v>
      </c>
      <c r="L2779" s="12" t="str">
        <f t="shared" si="64"/>
        <v xml:space="preserve"> </v>
      </c>
    </row>
    <row r="2780" spans="4:12" x14ac:dyDescent="0.35">
      <c r="D2780" s="32"/>
      <c r="G2780" s="32"/>
      <c r="H2780">
        <f>COUNTIFS('Audit Raw data'!J:J,B:B,'Audit Raw data'!E:E,G:G)</f>
        <v>0</v>
      </c>
      <c r="I2780" s="44" t="str">
        <f>IFERROR((SUMIFS('Audit Raw data'!BZ:BZ,'Audit Raw data'!J:J,B:B,'Audit Raw data'!E:E,G:G)/H2780)/100,"-")</f>
        <v>-</v>
      </c>
      <c r="J2780">
        <f>COUNTIFS('Audit Raw data'!AM:AM,"Yes",'Audit Raw data'!J:J,B:B,'Audit Raw data'!E:E,'Day wise agent'!G:G)</f>
        <v>0</v>
      </c>
      <c r="K2780">
        <f>COUNTIFS('Audit Raw data'!AM:AM,"NO",'Audit Raw data'!J:J,B:B,'Audit Raw data'!E:E,'Day wise agent'!G:G)</f>
        <v>0</v>
      </c>
      <c r="L2780" s="12" t="str">
        <f t="shared" si="64"/>
        <v xml:space="preserve"> </v>
      </c>
    </row>
    <row r="2781" spans="4:12" x14ac:dyDescent="0.35">
      <c r="D2781" s="32"/>
      <c r="G2781" s="32"/>
      <c r="H2781">
        <f>COUNTIFS('Audit Raw data'!J:J,B:B,'Audit Raw data'!E:E,G:G)</f>
        <v>0</v>
      </c>
      <c r="I2781" s="44" t="str">
        <f>IFERROR((SUMIFS('Audit Raw data'!BZ:BZ,'Audit Raw data'!J:J,B:B,'Audit Raw data'!E:E,G:G)/H2781)/100,"-")</f>
        <v>-</v>
      </c>
      <c r="J2781">
        <f>COUNTIFS('Audit Raw data'!AM:AM,"Yes",'Audit Raw data'!J:J,B:B,'Audit Raw data'!E:E,'Day wise agent'!G:G)</f>
        <v>0</v>
      </c>
      <c r="K2781">
        <f>COUNTIFS('Audit Raw data'!AM:AM,"NO",'Audit Raw data'!J:J,B:B,'Audit Raw data'!E:E,'Day wise agent'!G:G)</f>
        <v>0</v>
      </c>
      <c r="L2781" s="12" t="str">
        <f t="shared" si="64"/>
        <v xml:space="preserve"> </v>
      </c>
    </row>
    <row r="2782" spans="4:12" x14ac:dyDescent="0.35">
      <c r="D2782" s="32"/>
      <c r="G2782" s="32"/>
      <c r="H2782">
        <f>COUNTIFS('Audit Raw data'!J:J,B:B,'Audit Raw data'!E:E,G:G)</f>
        <v>0</v>
      </c>
      <c r="I2782" s="44" t="str">
        <f>IFERROR((SUMIFS('Audit Raw data'!BZ:BZ,'Audit Raw data'!J:J,B:B,'Audit Raw data'!E:E,G:G)/H2782)/100,"-")</f>
        <v>-</v>
      </c>
      <c r="J2782">
        <f>COUNTIFS('Audit Raw data'!AM:AM,"Yes",'Audit Raw data'!J:J,B:B,'Audit Raw data'!E:E,'Day wise agent'!G:G)</f>
        <v>0</v>
      </c>
      <c r="K2782">
        <f>COUNTIFS('Audit Raw data'!AM:AM,"NO",'Audit Raw data'!J:J,B:B,'Audit Raw data'!E:E,'Day wise agent'!G:G)</f>
        <v>0</v>
      </c>
      <c r="L2782" s="12" t="str">
        <f t="shared" si="64"/>
        <v xml:space="preserve"> </v>
      </c>
    </row>
    <row r="2783" spans="4:12" x14ac:dyDescent="0.35">
      <c r="D2783" s="32"/>
      <c r="G2783" s="32"/>
      <c r="H2783">
        <f>COUNTIFS('Audit Raw data'!J:J,B:B,'Audit Raw data'!E:E,G:G)</f>
        <v>0</v>
      </c>
      <c r="I2783" s="44" t="str">
        <f>IFERROR((SUMIFS('Audit Raw data'!BZ:BZ,'Audit Raw data'!J:J,B:B,'Audit Raw data'!E:E,G:G)/H2783)/100,"-")</f>
        <v>-</v>
      </c>
      <c r="J2783">
        <f>COUNTIFS('Audit Raw data'!AM:AM,"Yes",'Audit Raw data'!J:J,B:B,'Audit Raw data'!E:E,'Day wise agent'!G:G)</f>
        <v>0</v>
      </c>
      <c r="K2783">
        <f>COUNTIFS('Audit Raw data'!AM:AM,"NO",'Audit Raw data'!J:J,B:B,'Audit Raw data'!E:E,'Day wise agent'!G:G)</f>
        <v>0</v>
      </c>
      <c r="L2783" s="12" t="str">
        <f t="shared" si="64"/>
        <v xml:space="preserve"> </v>
      </c>
    </row>
    <row r="2784" spans="4:12" x14ac:dyDescent="0.35">
      <c r="D2784" s="32"/>
      <c r="G2784" s="32"/>
      <c r="H2784">
        <f>COUNTIFS('Audit Raw data'!J:J,B:B,'Audit Raw data'!E:E,G:G)</f>
        <v>0</v>
      </c>
      <c r="I2784" s="44" t="str">
        <f>IFERROR((SUMIFS('Audit Raw data'!BZ:BZ,'Audit Raw data'!J:J,B:B,'Audit Raw data'!E:E,G:G)/H2784)/100,"-")</f>
        <v>-</v>
      </c>
      <c r="J2784">
        <f>COUNTIFS('Audit Raw data'!AM:AM,"Yes",'Audit Raw data'!J:J,B:B,'Audit Raw data'!E:E,'Day wise agent'!G:G)</f>
        <v>0</v>
      </c>
      <c r="K2784">
        <f>COUNTIFS('Audit Raw data'!AM:AM,"NO",'Audit Raw data'!J:J,B:B,'Audit Raw data'!E:E,'Day wise agent'!G:G)</f>
        <v>0</v>
      </c>
      <c r="L2784" s="12" t="str">
        <f t="shared" si="64"/>
        <v xml:space="preserve"> </v>
      </c>
    </row>
    <row r="2785" spans="4:12" x14ac:dyDescent="0.35">
      <c r="D2785" s="32"/>
      <c r="G2785" s="32"/>
      <c r="H2785">
        <f>COUNTIFS('Audit Raw data'!J:J,B:B,'Audit Raw data'!E:E,G:G)</f>
        <v>0</v>
      </c>
      <c r="I2785" s="44" t="str">
        <f>IFERROR((SUMIFS('Audit Raw data'!BZ:BZ,'Audit Raw data'!J:J,B:B,'Audit Raw data'!E:E,G:G)/H2785)/100,"-")</f>
        <v>-</v>
      </c>
      <c r="J2785">
        <f>COUNTIFS('Audit Raw data'!AM:AM,"Yes",'Audit Raw data'!J:J,B:B,'Audit Raw data'!E:E,'Day wise agent'!G:G)</f>
        <v>0</v>
      </c>
      <c r="K2785">
        <f>COUNTIFS('Audit Raw data'!AM:AM,"NO",'Audit Raw data'!J:J,B:B,'Audit Raw data'!E:E,'Day wise agent'!G:G)</f>
        <v>0</v>
      </c>
      <c r="L2785" s="12" t="str">
        <f t="shared" si="64"/>
        <v xml:space="preserve"> </v>
      </c>
    </row>
    <row r="2786" spans="4:12" x14ac:dyDescent="0.35">
      <c r="D2786" s="32"/>
      <c r="G2786" s="32"/>
      <c r="H2786">
        <f>COUNTIFS('Audit Raw data'!J:J,B:B,'Audit Raw data'!E:E,G:G)</f>
        <v>0</v>
      </c>
      <c r="I2786" s="44" t="str">
        <f>IFERROR((SUMIFS('Audit Raw data'!BZ:BZ,'Audit Raw data'!J:J,B:B,'Audit Raw data'!E:E,G:G)/H2786)/100,"-")</f>
        <v>-</v>
      </c>
      <c r="J2786">
        <f>COUNTIFS('Audit Raw data'!AM:AM,"Yes",'Audit Raw data'!J:J,B:B,'Audit Raw data'!E:E,'Day wise agent'!G:G)</f>
        <v>0</v>
      </c>
      <c r="K2786">
        <f>COUNTIFS('Audit Raw data'!AM:AM,"NO",'Audit Raw data'!J:J,B:B,'Audit Raw data'!E:E,'Day wise agent'!G:G)</f>
        <v>0</v>
      </c>
      <c r="L2786" s="12" t="str">
        <f t="shared" si="64"/>
        <v xml:space="preserve"> </v>
      </c>
    </row>
    <row r="2787" spans="4:12" x14ac:dyDescent="0.35">
      <c r="D2787" s="32"/>
      <c r="G2787" s="32"/>
      <c r="H2787">
        <f>COUNTIFS('Audit Raw data'!J:J,B:B,'Audit Raw data'!E:E,G:G)</f>
        <v>0</v>
      </c>
      <c r="I2787" s="44" t="str">
        <f>IFERROR((SUMIFS('Audit Raw data'!BZ:BZ,'Audit Raw data'!J:J,B:B,'Audit Raw data'!E:E,G:G)/H2787)/100,"-")</f>
        <v>-</v>
      </c>
      <c r="J2787">
        <f>COUNTIFS('Audit Raw data'!AM:AM,"Yes",'Audit Raw data'!J:J,B:B,'Audit Raw data'!E:E,'Day wise agent'!G:G)</f>
        <v>0</v>
      </c>
      <c r="K2787">
        <f>COUNTIFS('Audit Raw data'!AM:AM,"NO",'Audit Raw data'!J:J,B:B,'Audit Raw data'!E:E,'Day wise agent'!G:G)</f>
        <v>0</v>
      </c>
      <c r="L2787" s="12" t="str">
        <f t="shared" si="64"/>
        <v xml:space="preserve"> </v>
      </c>
    </row>
    <row r="2788" spans="4:12" x14ac:dyDescent="0.35">
      <c r="D2788" s="32"/>
      <c r="G2788" s="32"/>
      <c r="H2788">
        <f>COUNTIFS('Audit Raw data'!J:J,B:B,'Audit Raw data'!E:E,G:G)</f>
        <v>0</v>
      </c>
      <c r="I2788" s="44" t="str">
        <f>IFERROR((SUMIFS('Audit Raw data'!BZ:BZ,'Audit Raw data'!J:J,B:B,'Audit Raw data'!E:E,G:G)/H2788)/100,"-")</f>
        <v>-</v>
      </c>
      <c r="J2788">
        <f>COUNTIFS('Audit Raw data'!AM:AM,"Yes",'Audit Raw data'!J:J,B:B,'Audit Raw data'!E:E,'Day wise agent'!G:G)</f>
        <v>0</v>
      </c>
      <c r="K2788">
        <f>COUNTIFS('Audit Raw data'!AM:AM,"NO",'Audit Raw data'!J:J,B:B,'Audit Raw data'!E:E,'Day wise agent'!G:G)</f>
        <v>0</v>
      </c>
      <c r="L2788" s="12" t="str">
        <f t="shared" si="64"/>
        <v xml:space="preserve"> </v>
      </c>
    </row>
    <row r="2789" spans="4:12" x14ac:dyDescent="0.35">
      <c r="D2789" s="32"/>
      <c r="G2789" s="32"/>
      <c r="H2789">
        <f>COUNTIFS('Audit Raw data'!J:J,B:B,'Audit Raw data'!E:E,G:G)</f>
        <v>0</v>
      </c>
      <c r="I2789" s="44" t="str">
        <f>IFERROR((SUMIFS('Audit Raw data'!BZ:BZ,'Audit Raw data'!J:J,B:B,'Audit Raw data'!E:E,G:G)/H2789)/100,"-")</f>
        <v>-</v>
      </c>
      <c r="J2789">
        <f>COUNTIFS('Audit Raw data'!AM:AM,"Yes",'Audit Raw data'!J:J,B:B,'Audit Raw data'!E:E,'Day wise agent'!G:G)</f>
        <v>0</v>
      </c>
      <c r="K2789">
        <f>COUNTIFS('Audit Raw data'!AM:AM,"NO",'Audit Raw data'!J:J,B:B,'Audit Raw data'!E:E,'Day wise agent'!G:G)</f>
        <v>0</v>
      </c>
      <c r="L2789" s="12" t="str">
        <f t="shared" si="64"/>
        <v xml:space="preserve"> </v>
      </c>
    </row>
    <row r="2790" spans="4:12" x14ac:dyDescent="0.35">
      <c r="D2790" s="32"/>
      <c r="G2790" s="32"/>
      <c r="H2790">
        <f>COUNTIFS('Audit Raw data'!J:J,B:B,'Audit Raw data'!E:E,G:G)</f>
        <v>0</v>
      </c>
      <c r="I2790" s="44" t="str">
        <f>IFERROR((SUMIFS('Audit Raw data'!BZ:BZ,'Audit Raw data'!J:J,B:B,'Audit Raw data'!E:E,G:G)/H2790)/100,"-")</f>
        <v>-</v>
      </c>
      <c r="J2790">
        <f>COUNTIFS('Audit Raw data'!AM:AM,"Yes",'Audit Raw data'!J:J,B:B,'Audit Raw data'!E:E,'Day wise agent'!G:G)</f>
        <v>0</v>
      </c>
      <c r="K2790">
        <f>COUNTIFS('Audit Raw data'!AM:AM,"NO",'Audit Raw data'!J:J,B:B,'Audit Raw data'!E:E,'Day wise agent'!G:G)</f>
        <v>0</v>
      </c>
      <c r="L2790" s="12" t="str">
        <f t="shared" si="64"/>
        <v xml:space="preserve"> </v>
      </c>
    </row>
    <row r="2791" spans="4:12" x14ac:dyDescent="0.35">
      <c r="D2791" s="32"/>
      <c r="G2791" s="32"/>
      <c r="H2791">
        <f>COUNTIFS('Audit Raw data'!J:J,B:B,'Audit Raw data'!E:E,G:G)</f>
        <v>0</v>
      </c>
      <c r="I2791" s="44" t="str">
        <f>IFERROR((SUMIFS('Audit Raw data'!BZ:BZ,'Audit Raw data'!J:J,B:B,'Audit Raw data'!E:E,G:G)/H2791)/100,"-")</f>
        <v>-</v>
      </c>
      <c r="J2791">
        <f>COUNTIFS('Audit Raw data'!AM:AM,"Yes",'Audit Raw data'!J:J,B:B,'Audit Raw data'!E:E,'Day wise agent'!G:G)</f>
        <v>0</v>
      </c>
      <c r="K2791">
        <f>COUNTIFS('Audit Raw data'!AM:AM,"NO",'Audit Raw data'!J:J,B:B,'Audit Raw data'!E:E,'Day wise agent'!G:G)</f>
        <v>0</v>
      </c>
      <c r="L2791" s="12" t="str">
        <f t="shared" si="64"/>
        <v xml:space="preserve"> </v>
      </c>
    </row>
    <row r="2792" spans="4:12" x14ac:dyDescent="0.35">
      <c r="D2792" s="32"/>
      <c r="G2792" s="32"/>
      <c r="H2792">
        <f>COUNTIFS('Audit Raw data'!J:J,B:B,'Audit Raw data'!E:E,G:G)</f>
        <v>0</v>
      </c>
      <c r="I2792" s="44" t="str">
        <f>IFERROR((SUMIFS('Audit Raw data'!BZ:BZ,'Audit Raw data'!J:J,B:B,'Audit Raw data'!E:E,G:G)/H2792)/100,"-")</f>
        <v>-</v>
      </c>
      <c r="J2792">
        <f>COUNTIFS('Audit Raw data'!AM:AM,"Yes",'Audit Raw data'!J:J,B:B,'Audit Raw data'!E:E,'Day wise agent'!G:G)</f>
        <v>0</v>
      </c>
      <c r="K2792">
        <f>COUNTIFS('Audit Raw data'!AM:AM,"NO",'Audit Raw data'!J:J,B:B,'Audit Raw data'!E:E,'Day wise agent'!G:G)</f>
        <v>0</v>
      </c>
      <c r="L2792" s="12" t="str">
        <f t="shared" si="64"/>
        <v xml:space="preserve"> </v>
      </c>
    </row>
    <row r="2793" spans="4:12" x14ac:dyDescent="0.35">
      <c r="D2793" s="32"/>
      <c r="G2793" s="32"/>
      <c r="H2793">
        <f>COUNTIFS('Audit Raw data'!J:J,B:B,'Audit Raw data'!E:E,G:G)</f>
        <v>0</v>
      </c>
      <c r="I2793" s="44" t="str">
        <f>IFERROR((SUMIFS('Audit Raw data'!BZ:BZ,'Audit Raw data'!J:J,B:B,'Audit Raw data'!E:E,G:G)/H2793)/100,"-")</f>
        <v>-</v>
      </c>
      <c r="J2793">
        <f>COUNTIFS('Audit Raw data'!AM:AM,"Yes",'Audit Raw data'!J:J,B:B,'Audit Raw data'!E:E,'Day wise agent'!G:G)</f>
        <v>0</v>
      </c>
      <c r="K2793">
        <f>COUNTIFS('Audit Raw data'!AM:AM,"NO",'Audit Raw data'!J:J,B:B,'Audit Raw data'!E:E,'Day wise agent'!G:G)</f>
        <v>0</v>
      </c>
      <c r="L2793" s="12" t="str">
        <f t="shared" si="64"/>
        <v xml:space="preserve"> </v>
      </c>
    </row>
    <row r="2794" spans="4:12" x14ac:dyDescent="0.35">
      <c r="D2794" s="32"/>
      <c r="G2794" s="32"/>
      <c r="H2794">
        <f>COUNTIFS('Audit Raw data'!J:J,B:B,'Audit Raw data'!E:E,G:G)</f>
        <v>0</v>
      </c>
      <c r="I2794" s="44" t="str">
        <f>IFERROR((SUMIFS('Audit Raw data'!BZ:BZ,'Audit Raw data'!J:J,B:B,'Audit Raw data'!E:E,G:G)/H2794)/100,"-")</f>
        <v>-</v>
      </c>
      <c r="J2794">
        <f>COUNTIFS('Audit Raw data'!AM:AM,"Yes",'Audit Raw data'!J:J,B:B,'Audit Raw data'!E:E,'Day wise agent'!G:G)</f>
        <v>0</v>
      </c>
      <c r="K2794">
        <f>COUNTIFS('Audit Raw data'!AM:AM,"NO",'Audit Raw data'!J:J,B:B,'Audit Raw data'!E:E,'Day wise agent'!G:G)</f>
        <v>0</v>
      </c>
      <c r="L2794" s="12" t="str">
        <f t="shared" si="64"/>
        <v xml:space="preserve"> </v>
      </c>
    </row>
    <row r="2795" spans="4:12" x14ac:dyDescent="0.35">
      <c r="D2795" s="32"/>
      <c r="G2795" s="32"/>
      <c r="H2795">
        <f>COUNTIFS('Audit Raw data'!J:J,B:B,'Audit Raw data'!E:E,G:G)</f>
        <v>0</v>
      </c>
      <c r="I2795" s="44" t="str">
        <f>IFERROR((SUMIFS('Audit Raw data'!BZ:BZ,'Audit Raw data'!J:J,B:B,'Audit Raw data'!E:E,G:G)/H2795)/100,"-")</f>
        <v>-</v>
      </c>
      <c r="J2795">
        <f>COUNTIFS('Audit Raw data'!AM:AM,"Yes",'Audit Raw data'!J:J,B:B,'Audit Raw data'!E:E,'Day wise agent'!G:G)</f>
        <v>0</v>
      </c>
      <c r="K2795">
        <f>COUNTIFS('Audit Raw data'!AM:AM,"NO",'Audit Raw data'!J:J,B:B,'Audit Raw data'!E:E,'Day wise agent'!G:G)</f>
        <v>0</v>
      </c>
      <c r="L2795" s="12" t="str">
        <f t="shared" si="64"/>
        <v xml:space="preserve"> </v>
      </c>
    </row>
    <row r="2796" spans="4:12" x14ac:dyDescent="0.35">
      <c r="D2796" s="32"/>
      <c r="G2796" s="32"/>
      <c r="H2796">
        <f>COUNTIFS('Audit Raw data'!J:J,B:B,'Audit Raw data'!E:E,G:G)</f>
        <v>0</v>
      </c>
      <c r="I2796" s="44" t="str">
        <f>IFERROR((SUMIFS('Audit Raw data'!BZ:BZ,'Audit Raw data'!J:J,B:B,'Audit Raw data'!E:E,G:G)/H2796)/100,"-")</f>
        <v>-</v>
      </c>
      <c r="J2796">
        <f>COUNTIFS('Audit Raw data'!AM:AM,"Yes",'Audit Raw data'!J:J,B:B,'Audit Raw data'!E:E,'Day wise agent'!G:G)</f>
        <v>0</v>
      </c>
      <c r="K2796">
        <f>COUNTIFS('Audit Raw data'!AM:AM,"NO",'Audit Raw data'!J:J,B:B,'Audit Raw data'!E:E,'Day wise agent'!G:G)</f>
        <v>0</v>
      </c>
      <c r="L2796" s="12" t="str">
        <f t="shared" si="64"/>
        <v xml:space="preserve"> </v>
      </c>
    </row>
    <row r="2797" spans="4:12" x14ac:dyDescent="0.35">
      <c r="D2797" s="32"/>
      <c r="G2797" s="32"/>
      <c r="H2797">
        <f>COUNTIFS('Audit Raw data'!J:J,B:B,'Audit Raw data'!E:E,G:G)</f>
        <v>0</v>
      </c>
      <c r="I2797" s="44" t="str">
        <f>IFERROR((SUMIFS('Audit Raw data'!BZ:BZ,'Audit Raw data'!J:J,B:B,'Audit Raw data'!E:E,G:G)/H2797)/100,"-")</f>
        <v>-</v>
      </c>
      <c r="J2797">
        <f>COUNTIFS('Audit Raw data'!AM:AM,"Yes",'Audit Raw data'!J:J,B:B,'Audit Raw data'!E:E,'Day wise agent'!G:G)</f>
        <v>0</v>
      </c>
      <c r="K2797">
        <f>COUNTIFS('Audit Raw data'!AM:AM,"NO",'Audit Raw data'!J:J,B:B,'Audit Raw data'!E:E,'Day wise agent'!G:G)</f>
        <v>0</v>
      </c>
      <c r="L2797" s="12" t="str">
        <f t="shared" si="64"/>
        <v xml:space="preserve"> </v>
      </c>
    </row>
    <row r="2798" spans="4:12" x14ac:dyDescent="0.35">
      <c r="D2798" s="32"/>
      <c r="G2798" s="32"/>
      <c r="H2798">
        <f>COUNTIFS('Audit Raw data'!J:J,B:B,'Audit Raw data'!E:E,G:G)</f>
        <v>0</v>
      </c>
      <c r="I2798" s="44" t="str">
        <f>IFERROR((SUMIFS('Audit Raw data'!BZ:BZ,'Audit Raw data'!J:J,B:B,'Audit Raw data'!E:E,G:G)/H2798)/100,"-")</f>
        <v>-</v>
      </c>
      <c r="J2798">
        <f>COUNTIFS('Audit Raw data'!AM:AM,"Yes",'Audit Raw data'!J:J,B:B,'Audit Raw data'!E:E,'Day wise agent'!G:G)</f>
        <v>0</v>
      </c>
      <c r="K2798">
        <f>COUNTIFS('Audit Raw data'!AM:AM,"NO",'Audit Raw data'!J:J,B:B,'Audit Raw data'!E:E,'Day wise agent'!G:G)</f>
        <v>0</v>
      </c>
      <c r="L2798" s="12" t="str">
        <f t="shared" si="64"/>
        <v xml:space="preserve"> </v>
      </c>
    </row>
    <row r="2799" spans="4:12" x14ac:dyDescent="0.35">
      <c r="D2799" s="32"/>
      <c r="G2799" s="32"/>
      <c r="H2799">
        <f>COUNTIFS('Audit Raw data'!J:J,B:B,'Audit Raw data'!E:E,G:G)</f>
        <v>0</v>
      </c>
      <c r="I2799" s="44" t="str">
        <f>IFERROR((SUMIFS('Audit Raw data'!BZ:BZ,'Audit Raw data'!J:J,B:B,'Audit Raw data'!E:E,G:G)/H2799)/100,"-")</f>
        <v>-</v>
      </c>
      <c r="J2799">
        <f>COUNTIFS('Audit Raw data'!AM:AM,"Yes",'Audit Raw data'!J:J,B:B,'Audit Raw data'!E:E,'Day wise agent'!G:G)</f>
        <v>0</v>
      </c>
      <c r="K2799">
        <f>COUNTIFS('Audit Raw data'!AM:AM,"NO",'Audit Raw data'!J:J,B:B,'Audit Raw data'!E:E,'Day wise agent'!G:G)</f>
        <v>0</v>
      </c>
      <c r="L2799" s="12" t="str">
        <f t="shared" si="64"/>
        <v xml:space="preserve"> </v>
      </c>
    </row>
    <row r="2800" spans="4:12" x14ac:dyDescent="0.35">
      <c r="D2800" s="32"/>
      <c r="G2800" s="32"/>
      <c r="H2800">
        <f>COUNTIFS('Audit Raw data'!J:J,B:B,'Audit Raw data'!E:E,G:G)</f>
        <v>0</v>
      </c>
      <c r="I2800" s="44" t="str">
        <f>IFERROR((SUMIFS('Audit Raw data'!BZ:BZ,'Audit Raw data'!J:J,B:B,'Audit Raw data'!E:E,G:G)/H2800)/100,"-")</f>
        <v>-</v>
      </c>
      <c r="J2800">
        <f>COUNTIFS('Audit Raw data'!AM:AM,"Yes",'Audit Raw data'!J:J,B:B,'Audit Raw data'!E:E,'Day wise agent'!G:G)</f>
        <v>0</v>
      </c>
      <c r="K2800">
        <f>COUNTIFS('Audit Raw data'!AM:AM,"NO",'Audit Raw data'!J:J,B:B,'Audit Raw data'!E:E,'Day wise agent'!G:G)</f>
        <v>0</v>
      </c>
      <c r="L2800" s="12" t="str">
        <f t="shared" si="64"/>
        <v xml:space="preserve"> </v>
      </c>
    </row>
    <row r="2801" spans="4:12" x14ac:dyDescent="0.35">
      <c r="D2801" s="32"/>
      <c r="G2801" s="32"/>
      <c r="H2801">
        <f>COUNTIFS('Audit Raw data'!J:J,B:B,'Audit Raw data'!E:E,G:G)</f>
        <v>0</v>
      </c>
      <c r="I2801" s="44" t="str">
        <f>IFERROR((SUMIFS('Audit Raw data'!BZ:BZ,'Audit Raw data'!J:J,B:B,'Audit Raw data'!E:E,G:G)/H2801)/100,"-")</f>
        <v>-</v>
      </c>
      <c r="J2801">
        <f>COUNTIFS('Audit Raw data'!AM:AM,"Yes",'Audit Raw data'!J:J,B:B,'Audit Raw data'!E:E,'Day wise agent'!G:G)</f>
        <v>0</v>
      </c>
      <c r="K2801">
        <f>COUNTIFS('Audit Raw data'!AM:AM,"NO",'Audit Raw data'!J:J,B:B,'Audit Raw data'!E:E,'Day wise agent'!G:G)</f>
        <v>0</v>
      </c>
      <c r="L2801" s="12" t="str">
        <f t="shared" si="64"/>
        <v xml:space="preserve"> </v>
      </c>
    </row>
    <row r="2802" spans="4:12" x14ac:dyDescent="0.35">
      <c r="D2802" s="32"/>
      <c r="G2802" s="32"/>
      <c r="H2802">
        <f>COUNTIFS('Audit Raw data'!J:J,B:B,'Audit Raw data'!E:E,G:G)</f>
        <v>0</v>
      </c>
      <c r="I2802" s="44" t="str">
        <f>IFERROR((SUMIFS('Audit Raw data'!BZ:BZ,'Audit Raw data'!J:J,B:B,'Audit Raw data'!E:E,G:G)/H2802)/100,"-")</f>
        <v>-</v>
      </c>
      <c r="J2802">
        <f>COUNTIFS('Audit Raw data'!AM:AM,"Yes",'Audit Raw data'!J:J,B:B,'Audit Raw data'!E:E,'Day wise agent'!G:G)</f>
        <v>0</v>
      </c>
      <c r="K2802">
        <f>COUNTIFS('Audit Raw data'!AM:AM,"NO",'Audit Raw data'!J:J,B:B,'Audit Raw data'!E:E,'Day wise agent'!G:G)</f>
        <v>0</v>
      </c>
      <c r="L2802" s="12" t="str">
        <f t="shared" si="64"/>
        <v xml:space="preserve"> </v>
      </c>
    </row>
    <row r="2803" spans="4:12" x14ac:dyDescent="0.35">
      <c r="D2803" s="32"/>
      <c r="G2803" s="32"/>
      <c r="H2803">
        <f>COUNTIFS('Audit Raw data'!J:J,B:B,'Audit Raw data'!E:E,G:G)</f>
        <v>0</v>
      </c>
      <c r="I2803" s="44" t="str">
        <f>IFERROR((SUMIFS('Audit Raw data'!BZ:BZ,'Audit Raw data'!J:J,B:B,'Audit Raw data'!E:E,G:G)/H2803)/100,"-")</f>
        <v>-</v>
      </c>
      <c r="J2803">
        <f>COUNTIFS('Audit Raw data'!AM:AM,"Yes",'Audit Raw data'!J:J,B:B,'Audit Raw data'!E:E,'Day wise agent'!G:G)</f>
        <v>0</v>
      </c>
      <c r="K2803">
        <f>COUNTIFS('Audit Raw data'!AM:AM,"NO",'Audit Raw data'!J:J,B:B,'Audit Raw data'!E:E,'Day wise agent'!G:G)</f>
        <v>0</v>
      </c>
      <c r="L2803" s="12" t="str">
        <f t="shared" si="64"/>
        <v xml:space="preserve"> </v>
      </c>
    </row>
    <row r="2804" spans="4:12" x14ac:dyDescent="0.35">
      <c r="D2804" s="32"/>
      <c r="G2804" s="32"/>
      <c r="H2804">
        <f>COUNTIFS('Audit Raw data'!J:J,B:B,'Audit Raw data'!E:E,G:G)</f>
        <v>0</v>
      </c>
      <c r="I2804" s="44" t="str">
        <f>IFERROR((SUMIFS('Audit Raw data'!BZ:BZ,'Audit Raw data'!J:J,B:B,'Audit Raw data'!E:E,G:G)/H2804)/100,"-")</f>
        <v>-</v>
      </c>
      <c r="J2804">
        <f>COUNTIFS('Audit Raw data'!AM:AM,"Yes",'Audit Raw data'!J:J,B:B,'Audit Raw data'!E:E,'Day wise agent'!G:G)</f>
        <v>0</v>
      </c>
      <c r="K2804">
        <f>COUNTIFS('Audit Raw data'!AM:AM,"NO",'Audit Raw data'!J:J,B:B,'Audit Raw data'!E:E,'Day wise agent'!G:G)</f>
        <v>0</v>
      </c>
      <c r="L2804" s="12" t="str">
        <f t="shared" si="64"/>
        <v xml:space="preserve"> </v>
      </c>
    </row>
    <row r="2805" spans="4:12" x14ac:dyDescent="0.35">
      <c r="D2805" s="32"/>
      <c r="G2805" s="32"/>
      <c r="H2805">
        <f>COUNTIFS('Audit Raw data'!J:J,B:B,'Audit Raw data'!E:E,G:G)</f>
        <v>0</v>
      </c>
      <c r="I2805" s="44" t="str">
        <f>IFERROR((SUMIFS('Audit Raw data'!BZ:BZ,'Audit Raw data'!J:J,B:B,'Audit Raw data'!E:E,G:G)/H2805)/100,"-")</f>
        <v>-</v>
      </c>
      <c r="J2805">
        <f>COUNTIFS('Audit Raw data'!AM:AM,"Yes",'Audit Raw data'!J:J,B:B,'Audit Raw data'!E:E,'Day wise agent'!G:G)</f>
        <v>0</v>
      </c>
      <c r="K2805">
        <f>COUNTIFS('Audit Raw data'!AM:AM,"NO",'Audit Raw data'!J:J,B:B,'Audit Raw data'!E:E,'Day wise agent'!G:G)</f>
        <v>0</v>
      </c>
      <c r="L2805" s="12" t="str">
        <f t="shared" si="64"/>
        <v xml:space="preserve"> </v>
      </c>
    </row>
    <row r="2806" spans="4:12" x14ac:dyDescent="0.35">
      <c r="D2806" s="32"/>
      <c r="G2806" s="32"/>
      <c r="H2806">
        <f>COUNTIFS('Audit Raw data'!J:J,B:B,'Audit Raw data'!E:E,G:G)</f>
        <v>0</v>
      </c>
      <c r="I2806" s="44" t="str">
        <f>IFERROR((SUMIFS('Audit Raw data'!BZ:BZ,'Audit Raw data'!J:J,B:B,'Audit Raw data'!E:E,G:G)/H2806)/100,"-")</f>
        <v>-</v>
      </c>
      <c r="J2806">
        <f>COUNTIFS('Audit Raw data'!AM:AM,"Yes",'Audit Raw data'!J:J,B:B,'Audit Raw data'!E:E,'Day wise agent'!G:G)</f>
        <v>0</v>
      </c>
      <c r="K2806">
        <f>COUNTIFS('Audit Raw data'!AM:AM,"NO",'Audit Raw data'!J:J,B:B,'Audit Raw data'!E:E,'Day wise agent'!G:G)</f>
        <v>0</v>
      </c>
      <c r="L2806" s="12" t="str">
        <f t="shared" si="64"/>
        <v xml:space="preserve"> </v>
      </c>
    </row>
    <row r="2807" spans="4:12" x14ac:dyDescent="0.35">
      <c r="D2807" s="32"/>
      <c r="G2807" s="32"/>
      <c r="H2807">
        <f>COUNTIFS('Audit Raw data'!J:J,B:B,'Audit Raw data'!E:E,G:G)</f>
        <v>0</v>
      </c>
      <c r="I2807" s="44" t="str">
        <f>IFERROR((SUMIFS('Audit Raw data'!BZ:BZ,'Audit Raw data'!J:J,B:B,'Audit Raw data'!E:E,G:G)/H2807)/100,"-")</f>
        <v>-</v>
      </c>
      <c r="J2807">
        <f>COUNTIFS('Audit Raw data'!AM:AM,"Yes",'Audit Raw data'!J:J,B:B,'Audit Raw data'!E:E,'Day wise agent'!G:G)</f>
        <v>0</v>
      </c>
      <c r="K2807">
        <f>COUNTIFS('Audit Raw data'!AM:AM,"NO",'Audit Raw data'!J:J,B:B,'Audit Raw data'!E:E,'Day wise agent'!G:G)</f>
        <v>0</v>
      </c>
      <c r="L2807" s="12" t="str">
        <f t="shared" si="64"/>
        <v xml:space="preserve"> </v>
      </c>
    </row>
    <row r="2808" spans="4:12" x14ac:dyDescent="0.35">
      <c r="D2808" s="32"/>
      <c r="G2808" s="32"/>
      <c r="H2808">
        <f>COUNTIFS('Audit Raw data'!J:J,B:B,'Audit Raw data'!E:E,G:G)</f>
        <v>0</v>
      </c>
      <c r="I2808" s="44" t="str">
        <f>IFERROR((SUMIFS('Audit Raw data'!BZ:BZ,'Audit Raw data'!J:J,B:B,'Audit Raw data'!E:E,G:G)/H2808)/100,"-")</f>
        <v>-</v>
      </c>
      <c r="J2808">
        <f>COUNTIFS('Audit Raw data'!AM:AM,"Yes",'Audit Raw data'!J:J,B:B,'Audit Raw data'!E:E,'Day wise agent'!G:G)</f>
        <v>0</v>
      </c>
      <c r="K2808">
        <f>COUNTIFS('Audit Raw data'!AM:AM,"NO",'Audit Raw data'!J:J,B:B,'Audit Raw data'!E:E,'Day wise agent'!G:G)</f>
        <v>0</v>
      </c>
      <c r="L2808" s="12" t="str">
        <f t="shared" si="64"/>
        <v xml:space="preserve"> </v>
      </c>
    </row>
    <row r="2809" spans="4:12" x14ac:dyDescent="0.35">
      <c r="D2809" s="32"/>
      <c r="G2809" s="32"/>
      <c r="H2809">
        <f>COUNTIFS('Audit Raw data'!J:J,B:B,'Audit Raw data'!E:E,G:G)</f>
        <v>0</v>
      </c>
      <c r="I2809" s="44" t="str">
        <f>IFERROR((SUMIFS('Audit Raw data'!BZ:BZ,'Audit Raw data'!J:J,B:B,'Audit Raw data'!E:E,G:G)/H2809)/100,"-")</f>
        <v>-</v>
      </c>
      <c r="J2809">
        <f>COUNTIFS('Audit Raw data'!AM:AM,"Yes",'Audit Raw data'!J:J,B:B,'Audit Raw data'!E:E,'Day wise agent'!G:G)</f>
        <v>0</v>
      </c>
      <c r="K2809">
        <f>COUNTIFS('Audit Raw data'!AM:AM,"NO",'Audit Raw data'!J:J,B:B,'Audit Raw data'!E:E,'Day wise agent'!G:G)</f>
        <v>0</v>
      </c>
      <c r="L2809" s="12" t="str">
        <f t="shared" si="64"/>
        <v xml:space="preserve"> </v>
      </c>
    </row>
    <row r="2810" spans="4:12" x14ac:dyDescent="0.35">
      <c r="D2810" s="32"/>
      <c r="G2810" s="32"/>
      <c r="H2810">
        <f>COUNTIFS('Audit Raw data'!J:J,B:B,'Audit Raw data'!E:E,G:G)</f>
        <v>0</v>
      </c>
      <c r="I2810" s="44" t="str">
        <f>IFERROR((SUMIFS('Audit Raw data'!BZ:BZ,'Audit Raw data'!J:J,B:B,'Audit Raw data'!E:E,G:G)/H2810)/100,"-")</f>
        <v>-</v>
      </c>
      <c r="J2810">
        <f>COUNTIFS('Audit Raw data'!AM:AM,"Yes",'Audit Raw data'!J:J,B:B,'Audit Raw data'!E:E,'Day wise agent'!G:G)</f>
        <v>0</v>
      </c>
      <c r="K2810">
        <f>COUNTIFS('Audit Raw data'!AM:AM,"NO",'Audit Raw data'!J:J,B:B,'Audit Raw data'!E:E,'Day wise agent'!G:G)</f>
        <v>0</v>
      </c>
      <c r="L2810" s="12" t="str">
        <f t="shared" si="64"/>
        <v xml:space="preserve"> </v>
      </c>
    </row>
    <row r="2811" spans="4:12" x14ac:dyDescent="0.35">
      <c r="D2811" s="32"/>
      <c r="G2811" s="32"/>
      <c r="H2811">
        <f>COUNTIFS('Audit Raw data'!J:J,B:B,'Audit Raw data'!E:E,G:G)</f>
        <v>0</v>
      </c>
      <c r="I2811" s="44" t="str">
        <f>IFERROR((SUMIFS('Audit Raw data'!BZ:BZ,'Audit Raw data'!J:J,B:B,'Audit Raw data'!E:E,G:G)/H2811)/100,"-")</f>
        <v>-</v>
      </c>
      <c r="J2811">
        <f>COUNTIFS('Audit Raw data'!AM:AM,"Yes",'Audit Raw data'!J:J,B:B,'Audit Raw data'!E:E,'Day wise agent'!G:G)</f>
        <v>0</v>
      </c>
      <c r="K2811">
        <f>COUNTIFS('Audit Raw data'!AM:AM,"NO",'Audit Raw data'!J:J,B:B,'Audit Raw data'!E:E,'Day wise agent'!G:G)</f>
        <v>0</v>
      </c>
      <c r="L2811" s="12" t="str">
        <f t="shared" si="64"/>
        <v xml:space="preserve"> </v>
      </c>
    </row>
    <row r="2812" spans="4:12" x14ac:dyDescent="0.35">
      <c r="D2812" s="32"/>
      <c r="G2812" s="32"/>
      <c r="H2812">
        <f>COUNTIFS('Audit Raw data'!J:J,B:B,'Audit Raw data'!E:E,G:G)</f>
        <v>0</v>
      </c>
      <c r="I2812" s="44" t="str">
        <f>IFERROR((SUMIFS('Audit Raw data'!BZ:BZ,'Audit Raw data'!J:J,B:B,'Audit Raw data'!E:E,G:G)/H2812)/100,"-")</f>
        <v>-</v>
      </c>
      <c r="J2812">
        <f>COUNTIFS('Audit Raw data'!AM:AM,"Yes",'Audit Raw data'!J:J,B:B,'Audit Raw data'!E:E,'Day wise agent'!G:G)</f>
        <v>0</v>
      </c>
      <c r="K2812">
        <f>COUNTIFS('Audit Raw data'!AM:AM,"NO",'Audit Raw data'!J:J,B:B,'Audit Raw data'!E:E,'Day wise agent'!G:G)</f>
        <v>0</v>
      </c>
      <c r="L2812" s="12" t="str">
        <f t="shared" si="64"/>
        <v xml:space="preserve"> </v>
      </c>
    </row>
    <row r="2813" spans="4:12" x14ac:dyDescent="0.35">
      <c r="D2813" s="32"/>
      <c r="G2813" s="32"/>
      <c r="H2813">
        <f>COUNTIFS('Audit Raw data'!J:J,B:B,'Audit Raw data'!E:E,G:G)</f>
        <v>0</v>
      </c>
      <c r="I2813" s="44" t="str">
        <f>IFERROR((SUMIFS('Audit Raw data'!BZ:BZ,'Audit Raw data'!J:J,B:B,'Audit Raw data'!E:E,G:G)/H2813)/100,"-")</f>
        <v>-</v>
      </c>
      <c r="J2813">
        <f>COUNTIFS('Audit Raw data'!AM:AM,"Yes",'Audit Raw data'!J:J,B:B,'Audit Raw data'!E:E,'Day wise agent'!G:G)</f>
        <v>0</v>
      </c>
      <c r="K2813">
        <f>COUNTIFS('Audit Raw data'!AM:AM,"NO",'Audit Raw data'!J:J,B:B,'Audit Raw data'!E:E,'Day wise agent'!G:G)</f>
        <v>0</v>
      </c>
      <c r="L2813" s="12" t="str">
        <f t="shared" si="64"/>
        <v xml:space="preserve"> </v>
      </c>
    </row>
    <row r="2814" spans="4:12" x14ac:dyDescent="0.35">
      <c r="D2814" s="32"/>
      <c r="G2814" s="32"/>
      <c r="H2814">
        <f>COUNTIFS('Audit Raw data'!J:J,B:B,'Audit Raw data'!E:E,G:G)</f>
        <v>0</v>
      </c>
      <c r="I2814" s="44" t="str">
        <f>IFERROR((SUMIFS('Audit Raw data'!BZ:BZ,'Audit Raw data'!J:J,B:B,'Audit Raw data'!E:E,G:G)/H2814)/100,"-")</f>
        <v>-</v>
      </c>
      <c r="J2814">
        <f>COUNTIFS('Audit Raw data'!AM:AM,"Yes",'Audit Raw data'!J:J,B:B,'Audit Raw data'!E:E,'Day wise agent'!G:G)</f>
        <v>0</v>
      </c>
      <c r="K2814">
        <f>COUNTIFS('Audit Raw data'!AM:AM,"NO",'Audit Raw data'!J:J,B:B,'Audit Raw data'!E:E,'Day wise agent'!G:G)</f>
        <v>0</v>
      </c>
      <c r="L2814" s="12" t="str">
        <f t="shared" si="64"/>
        <v xml:space="preserve"> </v>
      </c>
    </row>
    <row r="2815" spans="4:12" x14ac:dyDescent="0.35">
      <c r="D2815" s="32"/>
      <c r="G2815" s="32"/>
      <c r="H2815">
        <f>COUNTIFS('Audit Raw data'!J:J,B:B,'Audit Raw data'!E:E,G:G)</f>
        <v>0</v>
      </c>
      <c r="I2815" s="44" t="str">
        <f>IFERROR((SUMIFS('Audit Raw data'!BZ:BZ,'Audit Raw data'!J:J,B:B,'Audit Raw data'!E:E,G:G)/H2815)/100,"-")</f>
        <v>-</v>
      </c>
      <c r="J2815">
        <f>COUNTIFS('Audit Raw data'!AM:AM,"Yes",'Audit Raw data'!J:J,B:B,'Audit Raw data'!E:E,'Day wise agent'!G:G)</f>
        <v>0</v>
      </c>
      <c r="K2815">
        <f>COUNTIFS('Audit Raw data'!AM:AM,"NO",'Audit Raw data'!J:J,B:B,'Audit Raw data'!E:E,'Day wise agent'!G:G)</f>
        <v>0</v>
      </c>
      <c r="L2815" s="12" t="str">
        <f t="shared" si="64"/>
        <v xml:space="preserve"> </v>
      </c>
    </row>
    <row r="2816" spans="4:12" x14ac:dyDescent="0.35">
      <c r="D2816" s="32"/>
      <c r="G2816" s="32"/>
      <c r="H2816">
        <f>COUNTIFS('Audit Raw data'!J:J,B:B,'Audit Raw data'!E:E,G:G)</f>
        <v>0</v>
      </c>
      <c r="I2816" s="44" t="str">
        <f>IFERROR((SUMIFS('Audit Raw data'!BZ:BZ,'Audit Raw data'!J:J,B:B,'Audit Raw data'!E:E,G:G)/H2816)/100,"-")</f>
        <v>-</v>
      </c>
      <c r="J2816">
        <f>COUNTIFS('Audit Raw data'!AM:AM,"Yes",'Audit Raw data'!J:J,B:B,'Audit Raw data'!E:E,'Day wise agent'!G:G)</f>
        <v>0</v>
      </c>
      <c r="K2816">
        <f>COUNTIFS('Audit Raw data'!AM:AM,"NO",'Audit Raw data'!J:J,B:B,'Audit Raw data'!E:E,'Day wise agent'!G:G)</f>
        <v>0</v>
      </c>
      <c r="L2816" s="12" t="str">
        <f t="shared" si="64"/>
        <v xml:space="preserve"> </v>
      </c>
    </row>
    <row r="2817" spans="4:12" x14ac:dyDescent="0.35">
      <c r="D2817" s="32"/>
      <c r="G2817" s="32"/>
      <c r="H2817">
        <f>COUNTIFS('Audit Raw data'!J:J,B:B,'Audit Raw data'!E:E,G:G)</f>
        <v>0</v>
      </c>
      <c r="I2817" s="44" t="str">
        <f>IFERROR((SUMIFS('Audit Raw data'!BZ:BZ,'Audit Raw data'!J:J,B:B,'Audit Raw data'!E:E,G:G)/H2817)/100,"-")</f>
        <v>-</v>
      </c>
      <c r="J2817">
        <f>COUNTIFS('Audit Raw data'!AM:AM,"Yes",'Audit Raw data'!J:J,B:B,'Audit Raw data'!E:E,'Day wise agent'!G:G)</f>
        <v>0</v>
      </c>
      <c r="K2817">
        <f>COUNTIFS('Audit Raw data'!AM:AM,"NO",'Audit Raw data'!J:J,B:B,'Audit Raw data'!E:E,'Day wise agent'!G:G)</f>
        <v>0</v>
      </c>
      <c r="L2817" s="12" t="str">
        <f t="shared" si="64"/>
        <v xml:space="preserve"> </v>
      </c>
    </row>
    <row r="2818" spans="4:12" x14ac:dyDescent="0.35">
      <c r="D2818" s="32"/>
      <c r="G2818" s="32"/>
      <c r="H2818">
        <f>COUNTIFS('Audit Raw data'!J:J,B:B,'Audit Raw data'!E:E,G:G)</f>
        <v>0</v>
      </c>
      <c r="I2818" s="44" t="str">
        <f>IFERROR((SUMIFS('Audit Raw data'!BZ:BZ,'Audit Raw data'!J:J,B:B,'Audit Raw data'!E:E,G:G)/H2818)/100,"-")</f>
        <v>-</v>
      </c>
      <c r="J2818">
        <f>COUNTIFS('Audit Raw data'!AM:AM,"Yes",'Audit Raw data'!J:J,B:B,'Audit Raw data'!E:E,'Day wise agent'!G:G)</f>
        <v>0</v>
      </c>
      <c r="K2818">
        <f>COUNTIFS('Audit Raw data'!AM:AM,"NO",'Audit Raw data'!J:J,B:B,'Audit Raw data'!E:E,'Day wise agent'!G:G)</f>
        <v>0</v>
      </c>
      <c r="L2818" s="12" t="str">
        <f t="shared" ref="L2818:L2881" si="65">IFERROR(J2818/H2818," ")</f>
        <v xml:space="preserve"> </v>
      </c>
    </row>
    <row r="2819" spans="4:12" x14ac:dyDescent="0.35">
      <c r="D2819" s="32"/>
      <c r="G2819" s="32"/>
      <c r="H2819">
        <f>COUNTIFS('Audit Raw data'!J:J,B:B,'Audit Raw data'!E:E,G:G)</f>
        <v>0</v>
      </c>
      <c r="I2819" s="44" t="str">
        <f>IFERROR((SUMIFS('Audit Raw data'!BZ:BZ,'Audit Raw data'!J:J,B:B,'Audit Raw data'!E:E,G:G)/H2819)/100,"-")</f>
        <v>-</v>
      </c>
      <c r="J2819">
        <f>COUNTIFS('Audit Raw data'!AM:AM,"Yes",'Audit Raw data'!J:J,B:B,'Audit Raw data'!E:E,'Day wise agent'!G:G)</f>
        <v>0</v>
      </c>
      <c r="K2819">
        <f>COUNTIFS('Audit Raw data'!AM:AM,"NO",'Audit Raw data'!J:J,B:B,'Audit Raw data'!E:E,'Day wise agent'!G:G)</f>
        <v>0</v>
      </c>
      <c r="L2819" s="12" t="str">
        <f t="shared" si="65"/>
        <v xml:space="preserve"> </v>
      </c>
    </row>
    <row r="2820" spans="4:12" x14ac:dyDescent="0.35">
      <c r="D2820" s="32"/>
      <c r="G2820" s="32"/>
      <c r="H2820">
        <f>COUNTIFS('Audit Raw data'!J:J,B:B,'Audit Raw data'!E:E,G:G)</f>
        <v>0</v>
      </c>
      <c r="I2820" s="44" t="str">
        <f>IFERROR((SUMIFS('Audit Raw data'!BZ:BZ,'Audit Raw data'!J:J,B:B,'Audit Raw data'!E:E,G:G)/H2820)/100,"-")</f>
        <v>-</v>
      </c>
      <c r="J2820">
        <f>COUNTIFS('Audit Raw data'!AM:AM,"Yes",'Audit Raw data'!J:J,B:B,'Audit Raw data'!E:E,'Day wise agent'!G:G)</f>
        <v>0</v>
      </c>
      <c r="K2820">
        <f>COUNTIFS('Audit Raw data'!AM:AM,"NO",'Audit Raw data'!J:J,B:B,'Audit Raw data'!E:E,'Day wise agent'!G:G)</f>
        <v>0</v>
      </c>
      <c r="L2820" s="12" t="str">
        <f t="shared" si="65"/>
        <v xml:space="preserve"> </v>
      </c>
    </row>
    <row r="2821" spans="4:12" x14ac:dyDescent="0.35">
      <c r="D2821" s="32"/>
      <c r="G2821" s="32"/>
      <c r="H2821">
        <f>COUNTIFS('Audit Raw data'!J:J,B:B,'Audit Raw data'!E:E,G:G)</f>
        <v>0</v>
      </c>
      <c r="I2821" s="44" t="str">
        <f>IFERROR((SUMIFS('Audit Raw data'!BZ:BZ,'Audit Raw data'!J:J,B:B,'Audit Raw data'!E:E,G:G)/H2821)/100,"-")</f>
        <v>-</v>
      </c>
      <c r="J2821">
        <f>COUNTIFS('Audit Raw data'!AM:AM,"Yes",'Audit Raw data'!J:J,B:B,'Audit Raw data'!E:E,'Day wise agent'!G:G)</f>
        <v>0</v>
      </c>
      <c r="K2821">
        <f>COUNTIFS('Audit Raw data'!AM:AM,"NO",'Audit Raw data'!J:J,B:B,'Audit Raw data'!E:E,'Day wise agent'!G:G)</f>
        <v>0</v>
      </c>
      <c r="L2821" s="12" t="str">
        <f t="shared" si="65"/>
        <v xml:space="preserve"> </v>
      </c>
    </row>
    <row r="2822" spans="4:12" x14ac:dyDescent="0.35">
      <c r="D2822" s="32"/>
      <c r="G2822" s="32"/>
      <c r="H2822">
        <f>COUNTIFS('Audit Raw data'!J:J,B:B,'Audit Raw data'!E:E,G:G)</f>
        <v>0</v>
      </c>
      <c r="I2822" s="44" t="str">
        <f>IFERROR((SUMIFS('Audit Raw data'!BZ:BZ,'Audit Raw data'!J:J,B:B,'Audit Raw data'!E:E,G:G)/H2822)/100,"-")</f>
        <v>-</v>
      </c>
      <c r="J2822">
        <f>COUNTIFS('Audit Raw data'!AM:AM,"Yes",'Audit Raw data'!J:J,B:B,'Audit Raw data'!E:E,'Day wise agent'!G:G)</f>
        <v>0</v>
      </c>
      <c r="K2822">
        <f>COUNTIFS('Audit Raw data'!AM:AM,"NO",'Audit Raw data'!J:J,B:B,'Audit Raw data'!E:E,'Day wise agent'!G:G)</f>
        <v>0</v>
      </c>
      <c r="L2822" s="12" t="str">
        <f t="shared" si="65"/>
        <v xml:space="preserve"> </v>
      </c>
    </row>
    <row r="2823" spans="4:12" x14ac:dyDescent="0.35">
      <c r="D2823" s="32"/>
      <c r="G2823" s="32"/>
      <c r="H2823">
        <f>COUNTIFS('Audit Raw data'!J:J,B:B,'Audit Raw data'!E:E,G:G)</f>
        <v>0</v>
      </c>
      <c r="I2823" s="44" t="str">
        <f>IFERROR((SUMIFS('Audit Raw data'!BZ:BZ,'Audit Raw data'!J:J,B:B,'Audit Raw data'!E:E,G:G)/H2823)/100,"-")</f>
        <v>-</v>
      </c>
      <c r="J2823">
        <f>COUNTIFS('Audit Raw data'!AM:AM,"Yes",'Audit Raw data'!J:J,B:B,'Audit Raw data'!E:E,'Day wise agent'!G:G)</f>
        <v>0</v>
      </c>
      <c r="K2823">
        <f>COUNTIFS('Audit Raw data'!AM:AM,"NO",'Audit Raw data'!J:J,B:B,'Audit Raw data'!E:E,'Day wise agent'!G:G)</f>
        <v>0</v>
      </c>
      <c r="L2823" s="12" t="str">
        <f t="shared" si="65"/>
        <v xml:space="preserve"> </v>
      </c>
    </row>
    <row r="2824" spans="4:12" x14ac:dyDescent="0.35">
      <c r="D2824" s="32"/>
      <c r="G2824" s="32"/>
      <c r="H2824">
        <f>COUNTIFS('Audit Raw data'!J:J,B:B,'Audit Raw data'!E:E,G:G)</f>
        <v>0</v>
      </c>
      <c r="I2824" s="44" t="str">
        <f>IFERROR((SUMIFS('Audit Raw data'!BZ:BZ,'Audit Raw data'!J:J,B:B,'Audit Raw data'!E:E,G:G)/H2824)/100,"-")</f>
        <v>-</v>
      </c>
      <c r="J2824">
        <f>COUNTIFS('Audit Raw data'!AM:AM,"Yes",'Audit Raw data'!J:J,B:B,'Audit Raw data'!E:E,'Day wise agent'!G:G)</f>
        <v>0</v>
      </c>
      <c r="K2824">
        <f>COUNTIFS('Audit Raw data'!AM:AM,"NO",'Audit Raw data'!J:J,B:B,'Audit Raw data'!E:E,'Day wise agent'!G:G)</f>
        <v>0</v>
      </c>
      <c r="L2824" s="12" t="str">
        <f t="shared" si="65"/>
        <v xml:space="preserve"> </v>
      </c>
    </row>
    <row r="2825" spans="4:12" x14ac:dyDescent="0.35">
      <c r="D2825" s="32"/>
      <c r="G2825" s="32"/>
      <c r="H2825">
        <f>COUNTIFS('Audit Raw data'!J:J,B:B,'Audit Raw data'!E:E,G:G)</f>
        <v>0</v>
      </c>
      <c r="I2825" s="44" t="str">
        <f>IFERROR((SUMIFS('Audit Raw data'!BZ:BZ,'Audit Raw data'!J:J,B:B,'Audit Raw data'!E:E,G:G)/H2825)/100,"-")</f>
        <v>-</v>
      </c>
      <c r="J2825">
        <f>COUNTIFS('Audit Raw data'!AM:AM,"Yes",'Audit Raw data'!J:J,B:B,'Audit Raw data'!E:E,'Day wise agent'!G:G)</f>
        <v>0</v>
      </c>
      <c r="K2825">
        <f>COUNTIFS('Audit Raw data'!AM:AM,"NO",'Audit Raw data'!J:J,B:B,'Audit Raw data'!E:E,'Day wise agent'!G:G)</f>
        <v>0</v>
      </c>
      <c r="L2825" s="12" t="str">
        <f t="shared" si="65"/>
        <v xml:space="preserve"> </v>
      </c>
    </row>
    <row r="2826" spans="4:12" x14ac:dyDescent="0.35">
      <c r="D2826" s="32"/>
      <c r="G2826" s="32"/>
      <c r="H2826">
        <f>COUNTIFS('Audit Raw data'!J:J,B:B,'Audit Raw data'!E:E,G:G)</f>
        <v>0</v>
      </c>
      <c r="I2826" s="44" t="str">
        <f>IFERROR((SUMIFS('Audit Raw data'!BZ:BZ,'Audit Raw data'!J:J,B:B,'Audit Raw data'!E:E,G:G)/H2826)/100,"-")</f>
        <v>-</v>
      </c>
      <c r="J2826">
        <f>COUNTIFS('Audit Raw data'!AM:AM,"Yes",'Audit Raw data'!J:J,B:B,'Audit Raw data'!E:E,'Day wise agent'!G:G)</f>
        <v>0</v>
      </c>
      <c r="K2826">
        <f>COUNTIFS('Audit Raw data'!AM:AM,"NO",'Audit Raw data'!J:J,B:B,'Audit Raw data'!E:E,'Day wise agent'!G:G)</f>
        <v>0</v>
      </c>
      <c r="L2826" s="12" t="str">
        <f t="shared" si="65"/>
        <v xml:space="preserve"> </v>
      </c>
    </row>
    <row r="2827" spans="4:12" x14ac:dyDescent="0.35">
      <c r="D2827" s="32"/>
      <c r="G2827" s="32"/>
      <c r="H2827">
        <f>COUNTIFS('Audit Raw data'!J:J,B:B,'Audit Raw data'!E:E,G:G)</f>
        <v>0</v>
      </c>
      <c r="I2827" s="44" t="str">
        <f>IFERROR((SUMIFS('Audit Raw data'!BZ:BZ,'Audit Raw data'!J:J,B:B,'Audit Raw data'!E:E,G:G)/H2827)/100,"-")</f>
        <v>-</v>
      </c>
      <c r="J2827">
        <f>COUNTIFS('Audit Raw data'!AM:AM,"Yes",'Audit Raw data'!J:J,B:B,'Audit Raw data'!E:E,'Day wise agent'!G:G)</f>
        <v>0</v>
      </c>
      <c r="K2827">
        <f>COUNTIFS('Audit Raw data'!AM:AM,"NO",'Audit Raw data'!J:J,B:B,'Audit Raw data'!E:E,'Day wise agent'!G:G)</f>
        <v>0</v>
      </c>
      <c r="L2827" s="12" t="str">
        <f t="shared" si="65"/>
        <v xml:space="preserve"> </v>
      </c>
    </row>
    <row r="2828" spans="4:12" x14ac:dyDescent="0.35">
      <c r="D2828" s="32"/>
      <c r="G2828" s="32"/>
      <c r="H2828">
        <f>COUNTIFS('Audit Raw data'!J:J,B:B,'Audit Raw data'!E:E,G:G)</f>
        <v>0</v>
      </c>
      <c r="I2828" s="44" t="str">
        <f>IFERROR((SUMIFS('Audit Raw data'!BZ:BZ,'Audit Raw data'!J:J,B:B,'Audit Raw data'!E:E,G:G)/H2828)/100,"-")</f>
        <v>-</v>
      </c>
      <c r="J2828">
        <f>COUNTIFS('Audit Raw data'!AM:AM,"Yes",'Audit Raw data'!J:J,B:B,'Audit Raw data'!E:E,'Day wise agent'!G:G)</f>
        <v>0</v>
      </c>
      <c r="K2828">
        <f>COUNTIFS('Audit Raw data'!AM:AM,"NO",'Audit Raw data'!J:J,B:B,'Audit Raw data'!E:E,'Day wise agent'!G:G)</f>
        <v>0</v>
      </c>
      <c r="L2828" s="12" t="str">
        <f t="shared" si="65"/>
        <v xml:space="preserve"> </v>
      </c>
    </row>
    <row r="2829" spans="4:12" x14ac:dyDescent="0.35">
      <c r="D2829" s="32"/>
      <c r="G2829" s="32"/>
      <c r="H2829">
        <f>COUNTIFS('Audit Raw data'!J:J,B:B,'Audit Raw data'!E:E,G:G)</f>
        <v>0</v>
      </c>
      <c r="I2829" s="44" t="str">
        <f>IFERROR((SUMIFS('Audit Raw data'!BZ:BZ,'Audit Raw data'!J:J,B:B,'Audit Raw data'!E:E,G:G)/H2829)/100,"-")</f>
        <v>-</v>
      </c>
      <c r="J2829">
        <f>COUNTIFS('Audit Raw data'!AM:AM,"Yes",'Audit Raw data'!J:J,B:B,'Audit Raw data'!E:E,'Day wise agent'!G:G)</f>
        <v>0</v>
      </c>
      <c r="K2829">
        <f>COUNTIFS('Audit Raw data'!AM:AM,"NO",'Audit Raw data'!J:J,B:B,'Audit Raw data'!E:E,'Day wise agent'!G:G)</f>
        <v>0</v>
      </c>
      <c r="L2829" s="12" t="str">
        <f t="shared" si="65"/>
        <v xml:space="preserve"> </v>
      </c>
    </row>
    <row r="2830" spans="4:12" x14ac:dyDescent="0.35">
      <c r="D2830" s="32"/>
      <c r="G2830" s="32"/>
      <c r="H2830">
        <f>COUNTIFS('Audit Raw data'!J:J,B:B,'Audit Raw data'!E:E,G:G)</f>
        <v>0</v>
      </c>
      <c r="I2830" s="44" t="str">
        <f>IFERROR((SUMIFS('Audit Raw data'!BZ:BZ,'Audit Raw data'!J:J,B:B,'Audit Raw data'!E:E,G:G)/H2830)/100,"-")</f>
        <v>-</v>
      </c>
      <c r="J2830">
        <f>COUNTIFS('Audit Raw data'!AM:AM,"Yes",'Audit Raw data'!J:J,B:B,'Audit Raw data'!E:E,'Day wise agent'!G:G)</f>
        <v>0</v>
      </c>
      <c r="K2830">
        <f>COUNTIFS('Audit Raw data'!AM:AM,"NO",'Audit Raw data'!J:J,B:B,'Audit Raw data'!E:E,'Day wise agent'!G:G)</f>
        <v>0</v>
      </c>
      <c r="L2830" s="12" t="str">
        <f t="shared" si="65"/>
        <v xml:space="preserve"> </v>
      </c>
    </row>
    <row r="2831" spans="4:12" x14ac:dyDescent="0.35">
      <c r="D2831" s="32"/>
      <c r="G2831" s="32"/>
      <c r="H2831">
        <f>COUNTIFS('Audit Raw data'!J:J,B:B,'Audit Raw data'!E:E,G:G)</f>
        <v>0</v>
      </c>
      <c r="I2831" s="44" t="str">
        <f>IFERROR((SUMIFS('Audit Raw data'!BZ:BZ,'Audit Raw data'!J:J,B:B,'Audit Raw data'!E:E,G:G)/H2831)/100,"-")</f>
        <v>-</v>
      </c>
      <c r="J2831">
        <f>COUNTIFS('Audit Raw data'!AM:AM,"Yes",'Audit Raw data'!J:J,B:B,'Audit Raw data'!E:E,'Day wise agent'!G:G)</f>
        <v>0</v>
      </c>
      <c r="K2831">
        <f>COUNTIFS('Audit Raw data'!AM:AM,"NO",'Audit Raw data'!J:J,B:B,'Audit Raw data'!E:E,'Day wise agent'!G:G)</f>
        <v>0</v>
      </c>
      <c r="L2831" s="12" t="str">
        <f t="shared" si="65"/>
        <v xml:space="preserve"> </v>
      </c>
    </row>
    <row r="2832" spans="4:12" x14ac:dyDescent="0.35">
      <c r="D2832" s="32"/>
      <c r="G2832" s="32"/>
      <c r="H2832">
        <f>COUNTIFS('Audit Raw data'!J:J,B:B,'Audit Raw data'!E:E,G:G)</f>
        <v>0</v>
      </c>
      <c r="I2832" s="44" t="str">
        <f>IFERROR((SUMIFS('Audit Raw data'!BZ:BZ,'Audit Raw data'!J:J,B:B,'Audit Raw data'!E:E,G:G)/H2832)/100,"-")</f>
        <v>-</v>
      </c>
      <c r="J2832">
        <f>COUNTIFS('Audit Raw data'!AM:AM,"Yes",'Audit Raw data'!J:J,B:B,'Audit Raw data'!E:E,'Day wise agent'!G:G)</f>
        <v>0</v>
      </c>
      <c r="K2832">
        <f>COUNTIFS('Audit Raw data'!AM:AM,"NO",'Audit Raw data'!J:J,B:B,'Audit Raw data'!E:E,'Day wise agent'!G:G)</f>
        <v>0</v>
      </c>
      <c r="L2832" s="12" t="str">
        <f t="shared" si="65"/>
        <v xml:space="preserve"> </v>
      </c>
    </row>
    <row r="2833" spans="4:12" x14ac:dyDescent="0.35">
      <c r="D2833" s="32"/>
      <c r="G2833" s="32"/>
      <c r="H2833">
        <f>COUNTIFS('Audit Raw data'!J:J,B:B,'Audit Raw data'!E:E,G:G)</f>
        <v>0</v>
      </c>
      <c r="I2833" s="44" t="str">
        <f>IFERROR((SUMIFS('Audit Raw data'!BZ:BZ,'Audit Raw data'!J:J,B:B,'Audit Raw data'!E:E,G:G)/H2833)/100,"-")</f>
        <v>-</v>
      </c>
      <c r="J2833">
        <f>COUNTIFS('Audit Raw data'!AM:AM,"Yes",'Audit Raw data'!J:J,B:B,'Audit Raw data'!E:E,'Day wise agent'!G:G)</f>
        <v>0</v>
      </c>
      <c r="K2833">
        <f>COUNTIFS('Audit Raw data'!AM:AM,"NO",'Audit Raw data'!J:J,B:B,'Audit Raw data'!E:E,'Day wise agent'!G:G)</f>
        <v>0</v>
      </c>
      <c r="L2833" s="12" t="str">
        <f t="shared" si="65"/>
        <v xml:space="preserve"> </v>
      </c>
    </row>
    <row r="2834" spans="4:12" x14ac:dyDescent="0.35">
      <c r="D2834" s="32"/>
      <c r="G2834" s="32"/>
      <c r="H2834">
        <f>COUNTIFS('Audit Raw data'!J:J,B:B,'Audit Raw data'!E:E,G:G)</f>
        <v>0</v>
      </c>
      <c r="I2834" s="44" t="str">
        <f>IFERROR((SUMIFS('Audit Raw data'!BZ:BZ,'Audit Raw data'!J:J,B:B,'Audit Raw data'!E:E,G:G)/H2834)/100,"-")</f>
        <v>-</v>
      </c>
      <c r="J2834">
        <f>COUNTIFS('Audit Raw data'!AM:AM,"Yes",'Audit Raw data'!J:J,B:B,'Audit Raw data'!E:E,'Day wise agent'!G:G)</f>
        <v>0</v>
      </c>
      <c r="K2834">
        <f>COUNTIFS('Audit Raw data'!AM:AM,"NO",'Audit Raw data'!J:J,B:B,'Audit Raw data'!E:E,'Day wise agent'!G:G)</f>
        <v>0</v>
      </c>
      <c r="L2834" s="12" t="str">
        <f t="shared" si="65"/>
        <v xml:space="preserve"> </v>
      </c>
    </row>
    <row r="2835" spans="4:12" x14ac:dyDescent="0.35">
      <c r="D2835" s="32"/>
      <c r="G2835" s="32"/>
      <c r="H2835">
        <f>COUNTIFS('Audit Raw data'!J:J,B:B,'Audit Raw data'!E:E,G:G)</f>
        <v>0</v>
      </c>
      <c r="I2835" s="44" t="str">
        <f>IFERROR((SUMIFS('Audit Raw data'!BZ:BZ,'Audit Raw data'!J:J,B:B,'Audit Raw data'!E:E,G:G)/H2835)/100,"-")</f>
        <v>-</v>
      </c>
      <c r="J2835">
        <f>COUNTIFS('Audit Raw data'!AM:AM,"Yes",'Audit Raw data'!J:J,B:B,'Audit Raw data'!E:E,'Day wise agent'!G:G)</f>
        <v>0</v>
      </c>
      <c r="K2835">
        <f>COUNTIFS('Audit Raw data'!AM:AM,"NO",'Audit Raw data'!J:J,B:B,'Audit Raw data'!E:E,'Day wise agent'!G:G)</f>
        <v>0</v>
      </c>
      <c r="L2835" s="12" t="str">
        <f t="shared" si="65"/>
        <v xml:space="preserve"> </v>
      </c>
    </row>
    <row r="2836" spans="4:12" x14ac:dyDescent="0.35">
      <c r="D2836" s="32"/>
      <c r="G2836" s="32"/>
      <c r="H2836">
        <f>COUNTIFS('Audit Raw data'!J:J,B:B,'Audit Raw data'!E:E,G:G)</f>
        <v>0</v>
      </c>
      <c r="I2836" s="44" t="str">
        <f>IFERROR((SUMIFS('Audit Raw data'!BZ:BZ,'Audit Raw data'!J:J,B:B,'Audit Raw data'!E:E,G:G)/H2836)/100,"-")</f>
        <v>-</v>
      </c>
      <c r="J2836">
        <f>COUNTIFS('Audit Raw data'!AM:AM,"Yes",'Audit Raw data'!J:J,B:B,'Audit Raw data'!E:E,'Day wise agent'!G:G)</f>
        <v>0</v>
      </c>
      <c r="K2836">
        <f>COUNTIFS('Audit Raw data'!AM:AM,"NO",'Audit Raw data'!J:J,B:B,'Audit Raw data'!E:E,'Day wise agent'!G:G)</f>
        <v>0</v>
      </c>
      <c r="L2836" s="12" t="str">
        <f t="shared" si="65"/>
        <v xml:space="preserve"> </v>
      </c>
    </row>
    <row r="2837" spans="4:12" x14ac:dyDescent="0.35">
      <c r="D2837" s="32"/>
      <c r="G2837" s="32"/>
      <c r="H2837">
        <f>COUNTIFS('Audit Raw data'!J:J,B:B,'Audit Raw data'!E:E,G:G)</f>
        <v>0</v>
      </c>
      <c r="I2837" s="44" t="str">
        <f>IFERROR((SUMIFS('Audit Raw data'!BZ:BZ,'Audit Raw data'!J:J,B:B,'Audit Raw data'!E:E,G:G)/H2837)/100,"-")</f>
        <v>-</v>
      </c>
      <c r="J2837">
        <f>COUNTIFS('Audit Raw data'!AM:AM,"Yes",'Audit Raw data'!J:J,B:B,'Audit Raw data'!E:E,'Day wise agent'!G:G)</f>
        <v>0</v>
      </c>
      <c r="K2837">
        <f>COUNTIFS('Audit Raw data'!AM:AM,"NO",'Audit Raw data'!J:J,B:B,'Audit Raw data'!E:E,'Day wise agent'!G:G)</f>
        <v>0</v>
      </c>
      <c r="L2837" s="12" t="str">
        <f t="shared" si="65"/>
        <v xml:space="preserve"> </v>
      </c>
    </row>
    <row r="2838" spans="4:12" x14ac:dyDescent="0.35">
      <c r="D2838" s="32"/>
      <c r="G2838" s="32"/>
      <c r="H2838">
        <f>COUNTIFS('Audit Raw data'!J:J,B:B,'Audit Raw data'!E:E,G:G)</f>
        <v>0</v>
      </c>
      <c r="I2838" s="44" t="str">
        <f>IFERROR((SUMIFS('Audit Raw data'!BZ:BZ,'Audit Raw data'!J:J,B:B,'Audit Raw data'!E:E,G:G)/H2838)/100,"-")</f>
        <v>-</v>
      </c>
      <c r="J2838">
        <f>COUNTIFS('Audit Raw data'!AM:AM,"Yes",'Audit Raw data'!J:J,B:B,'Audit Raw data'!E:E,'Day wise agent'!G:G)</f>
        <v>0</v>
      </c>
      <c r="K2838">
        <f>COUNTIFS('Audit Raw data'!AM:AM,"NO",'Audit Raw data'!J:J,B:B,'Audit Raw data'!E:E,'Day wise agent'!G:G)</f>
        <v>0</v>
      </c>
      <c r="L2838" s="12" t="str">
        <f t="shared" si="65"/>
        <v xml:space="preserve"> </v>
      </c>
    </row>
    <row r="2839" spans="4:12" x14ac:dyDescent="0.35">
      <c r="D2839" s="32"/>
      <c r="G2839" s="32"/>
      <c r="H2839">
        <f>COUNTIFS('Audit Raw data'!J:J,B:B,'Audit Raw data'!E:E,G:G)</f>
        <v>0</v>
      </c>
      <c r="I2839" s="44" t="str">
        <f>IFERROR((SUMIFS('Audit Raw data'!BZ:BZ,'Audit Raw data'!J:J,B:B,'Audit Raw data'!E:E,G:G)/H2839)/100,"-")</f>
        <v>-</v>
      </c>
      <c r="J2839">
        <f>COUNTIFS('Audit Raw data'!AM:AM,"Yes",'Audit Raw data'!J:J,B:B,'Audit Raw data'!E:E,'Day wise agent'!G:G)</f>
        <v>0</v>
      </c>
      <c r="K2839">
        <f>COUNTIFS('Audit Raw data'!AM:AM,"NO",'Audit Raw data'!J:J,B:B,'Audit Raw data'!E:E,'Day wise agent'!G:G)</f>
        <v>0</v>
      </c>
      <c r="L2839" s="12" t="str">
        <f t="shared" si="65"/>
        <v xml:space="preserve"> </v>
      </c>
    </row>
    <row r="2840" spans="4:12" x14ac:dyDescent="0.35">
      <c r="D2840" s="32"/>
      <c r="G2840" s="32"/>
      <c r="H2840">
        <f>COUNTIFS('Audit Raw data'!J:J,B:B,'Audit Raw data'!E:E,G:G)</f>
        <v>0</v>
      </c>
      <c r="I2840" s="44" t="str">
        <f>IFERROR((SUMIFS('Audit Raw data'!BZ:BZ,'Audit Raw data'!J:J,B:B,'Audit Raw data'!E:E,G:G)/H2840)/100,"-")</f>
        <v>-</v>
      </c>
      <c r="J2840">
        <f>COUNTIFS('Audit Raw data'!AM:AM,"Yes",'Audit Raw data'!J:J,B:B,'Audit Raw data'!E:E,'Day wise agent'!G:G)</f>
        <v>0</v>
      </c>
      <c r="K2840">
        <f>COUNTIFS('Audit Raw data'!AM:AM,"NO",'Audit Raw data'!J:J,B:B,'Audit Raw data'!E:E,'Day wise agent'!G:G)</f>
        <v>0</v>
      </c>
      <c r="L2840" s="12" t="str">
        <f t="shared" si="65"/>
        <v xml:space="preserve"> </v>
      </c>
    </row>
    <row r="2841" spans="4:12" x14ac:dyDescent="0.35">
      <c r="D2841" s="32"/>
      <c r="G2841" s="32"/>
      <c r="H2841">
        <f>COUNTIFS('Audit Raw data'!J:J,B:B,'Audit Raw data'!E:E,G:G)</f>
        <v>0</v>
      </c>
      <c r="I2841" s="44" t="str">
        <f>IFERROR((SUMIFS('Audit Raw data'!BZ:BZ,'Audit Raw data'!J:J,B:B,'Audit Raw data'!E:E,G:G)/H2841)/100,"-")</f>
        <v>-</v>
      </c>
      <c r="J2841">
        <f>COUNTIFS('Audit Raw data'!AM:AM,"Yes",'Audit Raw data'!J:J,B:B,'Audit Raw data'!E:E,'Day wise agent'!G:G)</f>
        <v>0</v>
      </c>
      <c r="K2841">
        <f>COUNTIFS('Audit Raw data'!AM:AM,"NO",'Audit Raw data'!J:J,B:B,'Audit Raw data'!E:E,'Day wise agent'!G:G)</f>
        <v>0</v>
      </c>
      <c r="L2841" s="12" t="str">
        <f t="shared" si="65"/>
        <v xml:space="preserve"> </v>
      </c>
    </row>
    <row r="2842" spans="4:12" x14ac:dyDescent="0.35">
      <c r="D2842" s="32"/>
      <c r="G2842" s="32"/>
      <c r="H2842">
        <f>COUNTIFS('Audit Raw data'!J:J,B:B,'Audit Raw data'!E:E,G:G)</f>
        <v>0</v>
      </c>
      <c r="I2842" s="44" t="str">
        <f>IFERROR((SUMIFS('Audit Raw data'!BZ:BZ,'Audit Raw data'!J:J,B:B,'Audit Raw data'!E:E,G:G)/H2842)/100,"-")</f>
        <v>-</v>
      </c>
      <c r="J2842">
        <f>COUNTIFS('Audit Raw data'!AM:AM,"Yes",'Audit Raw data'!J:J,B:B,'Audit Raw data'!E:E,'Day wise agent'!G:G)</f>
        <v>0</v>
      </c>
      <c r="K2842">
        <f>COUNTIFS('Audit Raw data'!AM:AM,"NO",'Audit Raw data'!J:J,B:B,'Audit Raw data'!E:E,'Day wise agent'!G:G)</f>
        <v>0</v>
      </c>
      <c r="L2842" s="12" t="str">
        <f t="shared" si="65"/>
        <v xml:space="preserve"> </v>
      </c>
    </row>
    <row r="2843" spans="4:12" x14ac:dyDescent="0.35">
      <c r="D2843" s="32"/>
      <c r="G2843" s="32"/>
      <c r="H2843">
        <f>COUNTIFS('Audit Raw data'!J:J,B:B,'Audit Raw data'!E:E,G:G)</f>
        <v>0</v>
      </c>
      <c r="I2843" s="44" t="str">
        <f>IFERROR((SUMIFS('Audit Raw data'!BZ:BZ,'Audit Raw data'!J:J,B:B,'Audit Raw data'!E:E,G:G)/H2843)/100,"-")</f>
        <v>-</v>
      </c>
      <c r="J2843">
        <f>COUNTIFS('Audit Raw data'!AM:AM,"Yes",'Audit Raw data'!J:J,B:B,'Audit Raw data'!E:E,'Day wise agent'!G:G)</f>
        <v>0</v>
      </c>
      <c r="K2843">
        <f>COUNTIFS('Audit Raw data'!AM:AM,"NO",'Audit Raw data'!J:J,B:B,'Audit Raw data'!E:E,'Day wise agent'!G:G)</f>
        <v>0</v>
      </c>
      <c r="L2843" s="12" t="str">
        <f t="shared" si="65"/>
        <v xml:space="preserve"> </v>
      </c>
    </row>
    <row r="2844" spans="4:12" x14ac:dyDescent="0.35">
      <c r="D2844" s="32"/>
      <c r="G2844" s="32"/>
      <c r="H2844">
        <f>COUNTIFS('Audit Raw data'!J:J,B:B,'Audit Raw data'!E:E,G:G)</f>
        <v>0</v>
      </c>
      <c r="I2844" s="44" t="str">
        <f>IFERROR((SUMIFS('Audit Raw data'!BZ:BZ,'Audit Raw data'!J:J,B:B,'Audit Raw data'!E:E,G:G)/H2844)/100,"-")</f>
        <v>-</v>
      </c>
      <c r="J2844">
        <f>COUNTIFS('Audit Raw data'!AM:AM,"Yes",'Audit Raw data'!J:J,B:B,'Audit Raw data'!E:E,'Day wise agent'!G:G)</f>
        <v>0</v>
      </c>
      <c r="K2844">
        <f>COUNTIFS('Audit Raw data'!AM:AM,"NO",'Audit Raw data'!J:J,B:B,'Audit Raw data'!E:E,'Day wise agent'!G:G)</f>
        <v>0</v>
      </c>
      <c r="L2844" s="12" t="str">
        <f t="shared" si="65"/>
        <v xml:space="preserve"> </v>
      </c>
    </row>
    <row r="2845" spans="4:12" x14ac:dyDescent="0.35">
      <c r="D2845" s="32"/>
      <c r="G2845" s="32"/>
      <c r="H2845">
        <f>COUNTIFS('Audit Raw data'!J:J,B:B,'Audit Raw data'!E:E,G:G)</f>
        <v>0</v>
      </c>
      <c r="I2845" s="44" t="str">
        <f>IFERROR((SUMIFS('Audit Raw data'!BZ:BZ,'Audit Raw data'!J:J,B:B,'Audit Raw data'!E:E,G:G)/H2845)/100,"-")</f>
        <v>-</v>
      </c>
      <c r="J2845">
        <f>COUNTIFS('Audit Raw data'!AM:AM,"Yes",'Audit Raw data'!J:J,B:B,'Audit Raw data'!E:E,'Day wise agent'!G:G)</f>
        <v>0</v>
      </c>
      <c r="K2845">
        <f>COUNTIFS('Audit Raw data'!AM:AM,"NO",'Audit Raw data'!J:J,B:B,'Audit Raw data'!E:E,'Day wise agent'!G:G)</f>
        <v>0</v>
      </c>
      <c r="L2845" s="12" t="str">
        <f t="shared" si="65"/>
        <v xml:space="preserve"> </v>
      </c>
    </row>
    <row r="2846" spans="4:12" x14ac:dyDescent="0.35">
      <c r="D2846" s="32"/>
      <c r="G2846" s="32"/>
      <c r="H2846">
        <f>COUNTIFS('Audit Raw data'!J:J,B:B,'Audit Raw data'!E:E,G:G)</f>
        <v>0</v>
      </c>
      <c r="I2846" s="44" t="str">
        <f>IFERROR((SUMIFS('Audit Raw data'!BZ:BZ,'Audit Raw data'!J:J,B:B,'Audit Raw data'!E:E,G:G)/H2846)/100,"-")</f>
        <v>-</v>
      </c>
      <c r="J2846">
        <f>COUNTIFS('Audit Raw data'!AM:AM,"Yes",'Audit Raw data'!J:J,B:B,'Audit Raw data'!E:E,'Day wise agent'!G:G)</f>
        <v>0</v>
      </c>
      <c r="K2846">
        <f>COUNTIFS('Audit Raw data'!AM:AM,"NO",'Audit Raw data'!J:J,B:B,'Audit Raw data'!E:E,'Day wise agent'!G:G)</f>
        <v>0</v>
      </c>
      <c r="L2846" s="12" t="str">
        <f t="shared" si="65"/>
        <v xml:space="preserve"> </v>
      </c>
    </row>
    <row r="2847" spans="4:12" x14ac:dyDescent="0.35">
      <c r="D2847" s="32"/>
      <c r="G2847" s="32"/>
      <c r="H2847">
        <f>COUNTIFS('Audit Raw data'!J:J,B:B,'Audit Raw data'!E:E,G:G)</f>
        <v>0</v>
      </c>
      <c r="I2847" s="44" t="str">
        <f>IFERROR((SUMIFS('Audit Raw data'!BZ:BZ,'Audit Raw data'!J:J,B:B,'Audit Raw data'!E:E,G:G)/H2847)/100,"-")</f>
        <v>-</v>
      </c>
      <c r="J2847">
        <f>COUNTIFS('Audit Raw data'!AM:AM,"Yes",'Audit Raw data'!J:J,B:B,'Audit Raw data'!E:E,'Day wise agent'!G:G)</f>
        <v>0</v>
      </c>
      <c r="K2847">
        <f>COUNTIFS('Audit Raw data'!AM:AM,"NO",'Audit Raw data'!J:J,B:B,'Audit Raw data'!E:E,'Day wise agent'!G:G)</f>
        <v>0</v>
      </c>
      <c r="L2847" s="12" t="str">
        <f t="shared" si="65"/>
        <v xml:space="preserve"> </v>
      </c>
    </row>
    <row r="2848" spans="4:12" x14ac:dyDescent="0.35">
      <c r="D2848" s="32"/>
      <c r="G2848" s="32"/>
      <c r="H2848">
        <f>COUNTIFS('Audit Raw data'!J:J,B:B,'Audit Raw data'!E:E,G:G)</f>
        <v>0</v>
      </c>
      <c r="I2848" s="44" t="str">
        <f>IFERROR((SUMIFS('Audit Raw data'!BZ:BZ,'Audit Raw data'!J:J,B:B,'Audit Raw data'!E:E,G:G)/H2848)/100,"-")</f>
        <v>-</v>
      </c>
      <c r="J2848">
        <f>COUNTIFS('Audit Raw data'!AM:AM,"Yes",'Audit Raw data'!J:J,B:B,'Audit Raw data'!E:E,'Day wise agent'!G:G)</f>
        <v>0</v>
      </c>
      <c r="K2848">
        <f>COUNTIFS('Audit Raw data'!AM:AM,"NO",'Audit Raw data'!J:J,B:B,'Audit Raw data'!E:E,'Day wise agent'!G:G)</f>
        <v>0</v>
      </c>
      <c r="L2848" s="12" t="str">
        <f t="shared" si="65"/>
        <v xml:space="preserve"> </v>
      </c>
    </row>
    <row r="2849" spans="4:12" x14ac:dyDescent="0.35">
      <c r="D2849" s="32"/>
      <c r="G2849" s="32"/>
      <c r="H2849">
        <f>COUNTIFS('Audit Raw data'!J:J,B:B,'Audit Raw data'!E:E,G:G)</f>
        <v>0</v>
      </c>
      <c r="I2849" s="44" t="str">
        <f>IFERROR((SUMIFS('Audit Raw data'!BZ:BZ,'Audit Raw data'!J:J,B:B,'Audit Raw data'!E:E,G:G)/H2849)/100,"-")</f>
        <v>-</v>
      </c>
      <c r="J2849">
        <f>COUNTIFS('Audit Raw data'!AM:AM,"Yes",'Audit Raw data'!J:J,B:B,'Audit Raw data'!E:E,'Day wise agent'!G:G)</f>
        <v>0</v>
      </c>
      <c r="K2849">
        <f>COUNTIFS('Audit Raw data'!AM:AM,"NO",'Audit Raw data'!J:J,B:B,'Audit Raw data'!E:E,'Day wise agent'!G:G)</f>
        <v>0</v>
      </c>
      <c r="L2849" s="12" t="str">
        <f t="shared" si="65"/>
        <v xml:space="preserve"> </v>
      </c>
    </row>
    <row r="2850" spans="4:12" x14ac:dyDescent="0.35">
      <c r="D2850" s="32"/>
      <c r="G2850" s="32"/>
      <c r="H2850">
        <f>COUNTIFS('Audit Raw data'!J:J,B:B,'Audit Raw data'!E:E,G:G)</f>
        <v>0</v>
      </c>
      <c r="I2850" s="44" t="str">
        <f>IFERROR((SUMIFS('Audit Raw data'!BZ:BZ,'Audit Raw data'!J:J,B:B,'Audit Raw data'!E:E,G:G)/H2850)/100,"-")</f>
        <v>-</v>
      </c>
      <c r="J2850">
        <f>COUNTIFS('Audit Raw data'!AM:AM,"Yes",'Audit Raw data'!J:J,B:B,'Audit Raw data'!E:E,'Day wise agent'!G:G)</f>
        <v>0</v>
      </c>
      <c r="K2850">
        <f>COUNTIFS('Audit Raw data'!AM:AM,"NO",'Audit Raw data'!J:J,B:B,'Audit Raw data'!E:E,'Day wise agent'!G:G)</f>
        <v>0</v>
      </c>
      <c r="L2850" s="12" t="str">
        <f t="shared" si="65"/>
        <v xml:space="preserve"> </v>
      </c>
    </row>
    <row r="2851" spans="4:12" x14ac:dyDescent="0.35">
      <c r="D2851" s="32"/>
      <c r="G2851" s="32"/>
      <c r="H2851">
        <f>COUNTIFS('Audit Raw data'!J:J,B:B,'Audit Raw data'!E:E,G:G)</f>
        <v>0</v>
      </c>
      <c r="I2851" s="44" t="str">
        <f>IFERROR((SUMIFS('Audit Raw data'!BZ:BZ,'Audit Raw data'!J:J,B:B,'Audit Raw data'!E:E,G:G)/H2851)/100,"-")</f>
        <v>-</v>
      </c>
      <c r="J2851">
        <f>COUNTIFS('Audit Raw data'!AM:AM,"Yes",'Audit Raw data'!J:J,B:B,'Audit Raw data'!E:E,'Day wise agent'!G:G)</f>
        <v>0</v>
      </c>
      <c r="K2851">
        <f>COUNTIFS('Audit Raw data'!AM:AM,"NO",'Audit Raw data'!J:J,B:B,'Audit Raw data'!E:E,'Day wise agent'!G:G)</f>
        <v>0</v>
      </c>
      <c r="L2851" s="12" t="str">
        <f t="shared" si="65"/>
        <v xml:space="preserve"> </v>
      </c>
    </row>
    <row r="2852" spans="4:12" x14ac:dyDescent="0.35">
      <c r="D2852" s="32"/>
      <c r="G2852" s="32"/>
      <c r="H2852">
        <f>COUNTIFS('Audit Raw data'!J:J,B:B,'Audit Raw data'!E:E,G:G)</f>
        <v>0</v>
      </c>
      <c r="I2852" s="44" t="str">
        <f>IFERROR((SUMIFS('Audit Raw data'!BZ:BZ,'Audit Raw data'!J:J,B:B,'Audit Raw data'!E:E,G:G)/H2852)/100,"-")</f>
        <v>-</v>
      </c>
      <c r="J2852">
        <f>COUNTIFS('Audit Raw data'!AM:AM,"Yes",'Audit Raw data'!J:J,B:B,'Audit Raw data'!E:E,'Day wise agent'!G:G)</f>
        <v>0</v>
      </c>
      <c r="K2852">
        <f>COUNTIFS('Audit Raw data'!AM:AM,"NO",'Audit Raw data'!J:J,B:B,'Audit Raw data'!E:E,'Day wise agent'!G:G)</f>
        <v>0</v>
      </c>
      <c r="L2852" s="12" t="str">
        <f t="shared" si="65"/>
        <v xml:space="preserve"> </v>
      </c>
    </row>
    <row r="2853" spans="4:12" x14ac:dyDescent="0.35">
      <c r="D2853" s="32"/>
      <c r="G2853" s="32"/>
      <c r="H2853">
        <f>COUNTIFS('Audit Raw data'!J:J,B:B,'Audit Raw data'!E:E,G:G)</f>
        <v>0</v>
      </c>
      <c r="I2853" s="44" t="str">
        <f>IFERROR((SUMIFS('Audit Raw data'!BZ:BZ,'Audit Raw data'!J:J,B:B,'Audit Raw data'!E:E,G:G)/H2853)/100,"-")</f>
        <v>-</v>
      </c>
      <c r="J2853">
        <f>COUNTIFS('Audit Raw data'!AM:AM,"Yes",'Audit Raw data'!J:J,B:B,'Audit Raw data'!E:E,'Day wise agent'!G:G)</f>
        <v>0</v>
      </c>
      <c r="K2853">
        <f>COUNTIFS('Audit Raw data'!AM:AM,"NO",'Audit Raw data'!J:J,B:B,'Audit Raw data'!E:E,'Day wise agent'!G:G)</f>
        <v>0</v>
      </c>
      <c r="L2853" s="12" t="str">
        <f t="shared" si="65"/>
        <v xml:space="preserve"> </v>
      </c>
    </row>
    <row r="2854" spans="4:12" x14ac:dyDescent="0.35">
      <c r="D2854" s="32"/>
      <c r="G2854" s="32"/>
      <c r="H2854">
        <f>COUNTIFS('Audit Raw data'!J:J,B:B,'Audit Raw data'!E:E,G:G)</f>
        <v>0</v>
      </c>
      <c r="I2854" s="44" t="str">
        <f>IFERROR((SUMIFS('Audit Raw data'!BZ:BZ,'Audit Raw data'!J:J,B:B,'Audit Raw data'!E:E,G:G)/H2854)/100,"-")</f>
        <v>-</v>
      </c>
      <c r="J2854">
        <f>COUNTIFS('Audit Raw data'!AM:AM,"Yes",'Audit Raw data'!J:J,B:B,'Audit Raw data'!E:E,'Day wise agent'!G:G)</f>
        <v>0</v>
      </c>
      <c r="K2854">
        <f>COUNTIFS('Audit Raw data'!AM:AM,"NO",'Audit Raw data'!J:J,B:B,'Audit Raw data'!E:E,'Day wise agent'!G:G)</f>
        <v>0</v>
      </c>
      <c r="L2854" s="12" t="str">
        <f t="shared" si="65"/>
        <v xml:space="preserve"> </v>
      </c>
    </row>
    <row r="2855" spans="4:12" x14ac:dyDescent="0.35">
      <c r="D2855" s="32"/>
      <c r="G2855" s="32"/>
      <c r="H2855">
        <f>COUNTIFS('Audit Raw data'!J:J,B:B,'Audit Raw data'!E:E,G:G)</f>
        <v>0</v>
      </c>
      <c r="I2855" s="44" t="str">
        <f>IFERROR((SUMIFS('Audit Raw data'!BZ:BZ,'Audit Raw data'!J:J,B:B,'Audit Raw data'!E:E,G:G)/H2855)/100,"-")</f>
        <v>-</v>
      </c>
      <c r="J2855">
        <f>COUNTIFS('Audit Raw data'!AM:AM,"Yes",'Audit Raw data'!J:J,B:B,'Audit Raw data'!E:E,'Day wise agent'!G:G)</f>
        <v>0</v>
      </c>
      <c r="K2855">
        <f>COUNTIFS('Audit Raw data'!AM:AM,"NO",'Audit Raw data'!J:J,B:B,'Audit Raw data'!E:E,'Day wise agent'!G:G)</f>
        <v>0</v>
      </c>
      <c r="L2855" s="12" t="str">
        <f t="shared" si="65"/>
        <v xml:space="preserve"> </v>
      </c>
    </row>
    <row r="2856" spans="4:12" x14ac:dyDescent="0.35">
      <c r="D2856" s="32"/>
      <c r="G2856" s="32"/>
      <c r="H2856">
        <f>COUNTIFS('Audit Raw data'!J:J,B:B,'Audit Raw data'!E:E,G:G)</f>
        <v>0</v>
      </c>
      <c r="I2856" s="44" t="str">
        <f>IFERROR((SUMIFS('Audit Raw data'!BZ:BZ,'Audit Raw data'!J:J,B:B,'Audit Raw data'!E:E,G:G)/H2856)/100,"-")</f>
        <v>-</v>
      </c>
      <c r="J2856">
        <f>COUNTIFS('Audit Raw data'!AM:AM,"Yes",'Audit Raw data'!J:J,B:B,'Audit Raw data'!E:E,'Day wise agent'!G:G)</f>
        <v>0</v>
      </c>
      <c r="K2856">
        <f>COUNTIFS('Audit Raw data'!AM:AM,"NO",'Audit Raw data'!J:J,B:B,'Audit Raw data'!E:E,'Day wise agent'!G:G)</f>
        <v>0</v>
      </c>
      <c r="L2856" s="12" t="str">
        <f t="shared" si="65"/>
        <v xml:space="preserve"> </v>
      </c>
    </row>
    <row r="2857" spans="4:12" x14ac:dyDescent="0.35">
      <c r="D2857" s="32"/>
      <c r="G2857" s="32"/>
      <c r="H2857">
        <f>COUNTIFS('Audit Raw data'!J:J,B:B,'Audit Raw data'!E:E,G:G)</f>
        <v>0</v>
      </c>
      <c r="I2857" s="44" t="str">
        <f>IFERROR((SUMIFS('Audit Raw data'!BZ:BZ,'Audit Raw data'!J:J,B:B,'Audit Raw data'!E:E,G:G)/H2857)/100,"-")</f>
        <v>-</v>
      </c>
      <c r="J2857">
        <f>COUNTIFS('Audit Raw data'!AM:AM,"Yes",'Audit Raw data'!J:J,B:B,'Audit Raw data'!E:E,'Day wise agent'!G:G)</f>
        <v>0</v>
      </c>
      <c r="K2857">
        <f>COUNTIFS('Audit Raw data'!AM:AM,"NO",'Audit Raw data'!J:J,B:B,'Audit Raw data'!E:E,'Day wise agent'!G:G)</f>
        <v>0</v>
      </c>
      <c r="L2857" s="12" t="str">
        <f t="shared" si="65"/>
        <v xml:space="preserve"> </v>
      </c>
    </row>
    <row r="2858" spans="4:12" x14ac:dyDescent="0.35">
      <c r="D2858" s="32"/>
      <c r="G2858" s="32"/>
      <c r="H2858">
        <f>COUNTIFS('Audit Raw data'!J:J,B:B,'Audit Raw data'!E:E,G:G)</f>
        <v>0</v>
      </c>
      <c r="I2858" s="44" t="str">
        <f>IFERROR((SUMIFS('Audit Raw data'!BZ:BZ,'Audit Raw data'!J:J,B:B,'Audit Raw data'!E:E,G:G)/H2858)/100,"-")</f>
        <v>-</v>
      </c>
      <c r="J2858">
        <f>COUNTIFS('Audit Raw data'!AM:AM,"Yes",'Audit Raw data'!J:J,B:B,'Audit Raw data'!E:E,'Day wise agent'!G:G)</f>
        <v>0</v>
      </c>
      <c r="K2858">
        <f>COUNTIFS('Audit Raw data'!AM:AM,"NO",'Audit Raw data'!J:J,B:B,'Audit Raw data'!E:E,'Day wise agent'!G:G)</f>
        <v>0</v>
      </c>
      <c r="L2858" s="12" t="str">
        <f t="shared" si="65"/>
        <v xml:space="preserve"> </v>
      </c>
    </row>
    <row r="2859" spans="4:12" x14ac:dyDescent="0.35">
      <c r="D2859" s="32"/>
      <c r="G2859" s="32"/>
      <c r="H2859">
        <f>COUNTIFS('Audit Raw data'!J:J,B:B,'Audit Raw data'!E:E,G:G)</f>
        <v>0</v>
      </c>
      <c r="I2859" s="44" t="str">
        <f>IFERROR((SUMIFS('Audit Raw data'!BZ:BZ,'Audit Raw data'!J:J,B:B,'Audit Raw data'!E:E,G:G)/H2859)/100,"-")</f>
        <v>-</v>
      </c>
      <c r="J2859">
        <f>COUNTIFS('Audit Raw data'!AM:AM,"Yes",'Audit Raw data'!J:J,B:B,'Audit Raw data'!E:E,'Day wise agent'!G:G)</f>
        <v>0</v>
      </c>
      <c r="K2859">
        <f>COUNTIFS('Audit Raw data'!AM:AM,"NO",'Audit Raw data'!J:J,B:B,'Audit Raw data'!E:E,'Day wise agent'!G:G)</f>
        <v>0</v>
      </c>
      <c r="L2859" s="12" t="str">
        <f t="shared" si="65"/>
        <v xml:space="preserve"> </v>
      </c>
    </row>
    <row r="2860" spans="4:12" x14ac:dyDescent="0.35">
      <c r="D2860" s="32"/>
      <c r="G2860" s="32"/>
      <c r="H2860">
        <f>COUNTIFS('Audit Raw data'!J:J,B:B,'Audit Raw data'!E:E,G:G)</f>
        <v>0</v>
      </c>
      <c r="I2860" s="44" t="str">
        <f>IFERROR((SUMIFS('Audit Raw data'!BZ:BZ,'Audit Raw data'!J:J,B:B,'Audit Raw data'!E:E,G:G)/H2860)/100,"-")</f>
        <v>-</v>
      </c>
      <c r="J2860">
        <f>COUNTIFS('Audit Raw data'!AM:AM,"Yes",'Audit Raw data'!J:J,B:B,'Audit Raw data'!E:E,'Day wise agent'!G:G)</f>
        <v>0</v>
      </c>
      <c r="K2860">
        <f>COUNTIFS('Audit Raw data'!AM:AM,"NO",'Audit Raw data'!J:J,B:B,'Audit Raw data'!E:E,'Day wise agent'!G:G)</f>
        <v>0</v>
      </c>
      <c r="L2860" s="12" t="str">
        <f t="shared" si="65"/>
        <v xml:space="preserve"> </v>
      </c>
    </row>
    <row r="2861" spans="4:12" x14ac:dyDescent="0.35">
      <c r="D2861" s="32"/>
      <c r="G2861" s="32"/>
      <c r="H2861">
        <f>COUNTIFS('Audit Raw data'!J:J,B:B,'Audit Raw data'!E:E,G:G)</f>
        <v>0</v>
      </c>
      <c r="I2861" s="44" t="str">
        <f>IFERROR((SUMIFS('Audit Raw data'!BZ:BZ,'Audit Raw data'!J:J,B:B,'Audit Raw data'!E:E,G:G)/H2861)/100,"-")</f>
        <v>-</v>
      </c>
      <c r="J2861">
        <f>COUNTIFS('Audit Raw data'!AM:AM,"Yes",'Audit Raw data'!J:J,B:B,'Audit Raw data'!E:E,'Day wise agent'!G:G)</f>
        <v>0</v>
      </c>
      <c r="K2861">
        <f>COUNTIFS('Audit Raw data'!AM:AM,"NO",'Audit Raw data'!J:J,B:B,'Audit Raw data'!E:E,'Day wise agent'!G:G)</f>
        <v>0</v>
      </c>
      <c r="L2861" s="12" t="str">
        <f t="shared" si="65"/>
        <v xml:space="preserve"> </v>
      </c>
    </row>
    <row r="2862" spans="4:12" x14ac:dyDescent="0.35">
      <c r="D2862" s="32"/>
      <c r="G2862" s="32"/>
      <c r="H2862">
        <f>COUNTIFS('Audit Raw data'!J:J,B:B,'Audit Raw data'!E:E,G:G)</f>
        <v>0</v>
      </c>
      <c r="I2862" s="44" t="str">
        <f>IFERROR((SUMIFS('Audit Raw data'!BZ:BZ,'Audit Raw data'!J:J,B:B,'Audit Raw data'!E:E,G:G)/H2862)/100,"-")</f>
        <v>-</v>
      </c>
      <c r="J2862">
        <f>COUNTIFS('Audit Raw data'!AM:AM,"Yes",'Audit Raw data'!J:J,B:B,'Audit Raw data'!E:E,'Day wise agent'!G:G)</f>
        <v>0</v>
      </c>
      <c r="K2862">
        <f>COUNTIFS('Audit Raw data'!AM:AM,"NO",'Audit Raw data'!J:J,B:B,'Audit Raw data'!E:E,'Day wise agent'!G:G)</f>
        <v>0</v>
      </c>
      <c r="L2862" s="12" t="str">
        <f t="shared" si="65"/>
        <v xml:space="preserve"> </v>
      </c>
    </row>
    <row r="2863" spans="4:12" x14ac:dyDescent="0.35">
      <c r="D2863" s="32"/>
      <c r="G2863" s="32"/>
      <c r="H2863">
        <f>COUNTIFS('Audit Raw data'!J:J,B:B,'Audit Raw data'!E:E,G:G)</f>
        <v>0</v>
      </c>
      <c r="I2863" s="44" t="str">
        <f>IFERROR((SUMIFS('Audit Raw data'!BZ:BZ,'Audit Raw data'!J:J,B:B,'Audit Raw data'!E:E,G:G)/H2863)/100,"-")</f>
        <v>-</v>
      </c>
      <c r="J2863">
        <f>COUNTIFS('Audit Raw data'!AM:AM,"Yes",'Audit Raw data'!J:J,B:B,'Audit Raw data'!E:E,'Day wise agent'!G:G)</f>
        <v>0</v>
      </c>
      <c r="K2863">
        <f>COUNTIFS('Audit Raw data'!AM:AM,"NO",'Audit Raw data'!J:J,B:B,'Audit Raw data'!E:E,'Day wise agent'!G:G)</f>
        <v>0</v>
      </c>
      <c r="L2863" s="12" t="str">
        <f t="shared" si="65"/>
        <v xml:space="preserve"> </v>
      </c>
    </row>
    <row r="2864" spans="4:12" x14ac:dyDescent="0.35">
      <c r="D2864" s="32"/>
      <c r="G2864" s="32"/>
      <c r="H2864">
        <f>COUNTIFS('Audit Raw data'!J:J,B:B,'Audit Raw data'!E:E,G:G)</f>
        <v>0</v>
      </c>
      <c r="I2864" s="44" t="str">
        <f>IFERROR((SUMIFS('Audit Raw data'!BZ:BZ,'Audit Raw data'!J:J,B:B,'Audit Raw data'!E:E,G:G)/H2864)/100,"-")</f>
        <v>-</v>
      </c>
      <c r="J2864">
        <f>COUNTIFS('Audit Raw data'!AM:AM,"Yes",'Audit Raw data'!J:J,B:B,'Audit Raw data'!E:E,'Day wise agent'!G:G)</f>
        <v>0</v>
      </c>
      <c r="K2864">
        <f>COUNTIFS('Audit Raw data'!AM:AM,"NO",'Audit Raw data'!J:J,B:B,'Audit Raw data'!E:E,'Day wise agent'!G:G)</f>
        <v>0</v>
      </c>
      <c r="L2864" s="12" t="str">
        <f t="shared" si="65"/>
        <v xml:space="preserve"> </v>
      </c>
    </row>
    <row r="2865" spans="4:12" x14ac:dyDescent="0.35">
      <c r="D2865" s="32"/>
      <c r="G2865" s="32"/>
      <c r="H2865">
        <f>COUNTIFS('Audit Raw data'!J:J,B:B,'Audit Raw data'!E:E,G:G)</f>
        <v>0</v>
      </c>
      <c r="I2865" s="44" t="str">
        <f>IFERROR((SUMIFS('Audit Raw data'!BZ:BZ,'Audit Raw data'!J:J,B:B,'Audit Raw data'!E:E,G:G)/H2865)/100,"-")</f>
        <v>-</v>
      </c>
      <c r="J2865">
        <f>COUNTIFS('Audit Raw data'!AM:AM,"Yes",'Audit Raw data'!J:J,B:B,'Audit Raw data'!E:E,'Day wise agent'!G:G)</f>
        <v>0</v>
      </c>
      <c r="K2865">
        <f>COUNTIFS('Audit Raw data'!AM:AM,"NO",'Audit Raw data'!J:J,B:B,'Audit Raw data'!E:E,'Day wise agent'!G:G)</f>
        <v>0</v>
      </c>
      <c r="L2865" s="12" t="str">
        <f t="shared" si="65"/>
        <v xml:space="preserve"> </v>
      </c>
    </row>
    <row r="2866" spans="4:12" x14ac:dyDescent="0.35">
      <c r="D2866" s="32"/>
      <c r="G2866" s="32"/>
      <c r="H2866">
        <f>COUNTIFS('Audit Raw data'!J:J,B:B,'Audit Raw data'!E:E,G:G)</f>
        <v>0</v>
      </c>
      <c r="I2866" s="44" t="str">
        <f>IFERROR((SUMIFS('Audit Raw data'!BZ:BZ,'Audit Raw data'!J:J,B:B,'Audit Raw data'!E:E,G:G)/H2866)/100,"-")</f>
        <v>-</v>
      </c>
      <c r="J2866">
        <f>COUNTIFS('Audit Raw data'!AM:AM,"Yes",'Audit Raw data'!J:J,B:B,'Audit Raw data'!E:E,'Day wise agent'!G:G)</f>
        <v>0</v>
      </c>
      <c r="K2866">
        <f>COUNTIFS('Audit Raw data'!AM:AM,"NO",'Audit Raw data'!J:J,B:B,'Audit Raw data'!E:E,'Day wise agent'!G:G)</f>
        <v>0</v>
      </c>
      <c r="L2866" s="12" t="str">
        <f t="shared" si="65"/>
        <v xml:space="preserve"> </v>
      </c>
    </row>
    <row r="2867" spans="4:12" x14ac:dyDescent="0.35">
      <c r="D2867" s="32"/>
      <c r="G2867" s="32"/>
      <c r="H2867">
        <f>COUNTIFS('Audit Raw data'!J:J,B:B,'Audit Raw data'!E:E,G:G)</f>
        <v>0</v>
      </c>
      <c r="I2867" s="44" t="str">
        <f>IFERROR((SUMIFS('Audit Raw data'!BZ:BZ,'Audit Raw data'!J:J,B:B,'Audit Raw data'!E:E,G:G)/H2867)/100,"-")</f>
        <v>-</v>
      </c>
      <c r="J2867">
        <f>COUNTIFS('Audit Raw data'!AM:AM,"Yes",'Audit Raw data'!J:J,B:B,'Audit Raw data'!E:E,'Day wise agent'!G:G)</f>
        <v>0</v>
      </c>
      <c r="K2867">
        <f>COUNTIFS('Audit Raw data'!AM:AM,"NO",'Audit Raw data'!J:J,B:B,'Audit Raw data'!E:E,'Day wise agent'!G:G)</f>
        <v>0</v>
      </c>
      <c r="L2867" s="12" t="str">
        <f t="shared" si="65"/>
        <v xml:space="preserve"> </v>
      </c>
    </row>
    <row r="2868" spans="4:12" x14ac:dyDescent="0.35">
      <c r="D2868" s="32"/>
      <c r="G2868" s="32"/>
      <c r="H2868">
        <f>COUNTIFS('Audit Raw data'!J:J,B:B,'Audit Raw data'!E:E,G:G)</f>
        <v>0</v>
      </c>
      <c r="I2868" s="44" t="str">
        <f>IFERROR((SUMIFS('Audit Raw data'!BZ:BZ,'Audit Raw data'!J:J,B:B,'Audit Raw data'!E:E,G:G)/H2868)/100,"-")</f>
        <v>-</v>
      </c>
      <c r="J2868">
        <f>COUNTIFS('Audit Raw data'!AM:AM,"Yes",'Audit Raw data'!J:J,B:B,'Audit Raw data'!E:E,'Day wise agent'!G:G)</f>
        <v>0</v>
      </c>
      <c r="K2868">
        <f>COUNTIFS('Audit Raw data'!AM:AM,"NO",'Audit Raw data'!J:J,B:B,'Audit Raw data'!E:E,'Day wise agent'!G:G)</f>
        <v>0</v>
      </c>
      <c r="L2868" s="12" t="str">
        <f t="shared" si="65"/>
        <v xml:space="preserve"> </v>
      </c>
    </row>
    <row r="2869" spans="4:12" x14ac:dyDescent="0.35">
      <c r="D2869" s="32"/>
      <c r="G2869" s="32"/>
      <c r="H2869">
        <f>COUNTIFS('Audit Raw data'!J:J,B:B,'Audit Raw data'!E:E,G:G)</f>
        <v>0</v>
      </c>
      <c r="I2869" s="44" t="str">
        <f>IFERROR((SUMIFS('Audit Raw data'!BZ:BZ,'Audit Raw data'!J:J,B:B,'Audit Raw data'!E:E,G:G)/H2869)/100,"-")</f>
        <v>-</v>
      </c>
      <c r="J2869">
        <f>COUNTIFS('Audit Raw data'!AM:AM,"Yes",'Audit Raw data'!J:J,B:B,'Audit Raw data'!E:E,'Day wise agent'!G:G)</f>
        <v>0</v>
      </c>
      <c r="K2869">
        <f>COUNTIFS('Audit Raw data'!AM:AM,"NO",'Audit Raw data'!J:J,B:B,'Audit Raw data'!E:E,'Day wise agent'!G:G)</f>
        <v>0</v>
      </c>
      <c r="L2869" s="12" t="str">
        <f t="shared" si="65"/>
        <v xml:space="preserve"> </v>
      </c>
    </row>
    <row r="2870" spans="4:12" x14ac:dyDescent="0.35">
      <c r="D2870" s="32"/>
      <c r="G2870" s="32"/>
      <c r="H2870">
        <f>COUNTIFS('Audit Raw data'!J:J,B:B,'Audit Raw data'!E:E,G:G)</f>
        <v>0</v>
      </c>
      <c r="I2870" s="44" t="str">
        <f>IFERROR((SUMIFS('Audit Raw data'!BZ:BZ,'Audit Raw data'!J:J,B:B,'Audit Raw data'!E:E,G:G)/H2870)/100,"-")</f>
        <v>-</v>
      </c>
      <c r="J2870">
        <f>COUNTIFS('Audit Raw data'!AM:AM,"Yes",'Audit Raw data'!J:J,B:B,'Audit Raw data'!E:E,'Day wise agent'!G:G)</f>
        <v>0</v>
      </c>
      <c r="K2870">
        <f>COUNTIFS('Audit Raw data'!AM:AM,"NO",'Audit Raw data'!J:J,B:B,'Audit Raw data'!E:E,'Day wise agent'!G:G)</f>
        <v>0</v>
      </c>
      <c r="L2870" s="12" t="str">
        <f t="shared" si="65"/>
        <v xml:space="preserve"> </v>
      </c>
    </row>
    <row r="2871" spans="4:12" x14ac:dyDescent="0.35">
      <c r="D2871" s="32"/>
      <c r="G2871" s="32"/>
      <c r="H2871">
        <f>COUNTIFS('Audit Raw data'!J:J,B:B,'Audit Raw data'!E:E,G:G)</f>
        <v>0</v>
      </c>
      <c r="I2871" s="44" t="str">
        <f>IFERROR((SUMIFS('Audit Raw data'!BZ:BZ,'Audit Raw data'!J:J,B:B,'Audit Raw data'!E:E,G:G)/H2871)/100,"-")</f>
        <v>-</v>
      </c>
      <c r="J2871">
        <f>COUNTIFS('Audit Raw data'!AM:AM,"Yes",'Audit Raw data'!J:J,B:B,'Audit Raw data'!E:E,'Day wise agent'!G:G)</f>
        <v>0</v>
      </c>
      <c r="K2871">
        <f>COUNTIFS('Audit Raw data'!AM:AM,"NO",'Audit Raw data'!J:J,B:B,'Audit Raw data'!E:E,'Day wise agent'!G:G)</f>
        <v>0</v>
      </c>
      <c r="L2871" s="12" t="str">
        <f t="shared" si="65"/>
        <v xml:space="preserve"> </v>
      </c>
    </row>
    <row r="2872" spans="4:12" x14ac:dyDescent="0.35">
      <c r="D2872" s="32"/>
      <c r="G2872" s="32"/>
      <c r="H2872">
        <f>COUNTIFS('Audit Raw data'!J:J,B:B,'Audit Raw data'!E:E,G:G)</f>
        <v>0</v>
      </c>
      <c r="I2872" s="44" t="str">
        <f>IFERROR((SUMIFS('Audit Raw data'!BZ:BZ,'Audit Raw data'!J:J,B:B,'Audit Raw data'!E:E,G:G)/H2872)/100,"-")</f>
        <v>-</v>
      </c>
      <c r="J2872">
        <f>COUNTIFS('Audit Raw data'!AM:AM,"Yes",'Audit Raw data'!J:J,B:B,'Audit Raw data'!E:E,'Day wise agent'!G:G)</f>
        <v>0</v>
      </c>
      <c r="K2872">
        <f>COUNTIFS('Audit Raw data'!AM:AM,"NO",'Audit Raw data'!J:J,B:B,'Audit Raw data'!E:E,'Day wise agent'!G:G)</f>
        <v>0</v>
      </c>
      <c r="L2872" s="12" t="str">
        <f t="shared" si="65"/>
        <v xml:space="preserve"> </v>
      </c>
    </row>
    <row r="2873" spans="4:12" x14ac:dyDescent="0.35">
      <c r="D2873" s="32"/>
      <c r="G2873" s="32"/>
      <c r="H2873">
        <f>COUNTIFS('Audit Raw data'!J:J,B:B,'Audit Raw data'!E:E,G:G)</f>
        <v>0</v>
      </c>
      <c r="I2873" s="44" t="str">
        <f>IFERROR((SUMIFS('Audit Raw data'!BZ:BZ,'Audit Raw data'!J:J,B:B,'Audit Raw data'!E:E,G:G)/H2873)/100,"-")</f>
        <v>-</v>
      </c>
      <c r="J2873">
        <f>COUNTIFS('Audit Raw data'!AM:AM,"Yes",'Audit Raw data'!J:J,B:B,'Audit Raw data'!E:E,'Day wise agent'!G:G)</f>
        <v>0</v>
      </c>
      <c r="K2873">
        <f>COUNTIFS('Audit Raw data'!AM:AM,"NO",'Audit Raw data'!J:J,B:B,'Audit Raw data'!E:E,'Day wise agent'!G:G)</f>
        <v>0</v>
      </c>
      <c r="L2873" s="12" t="str">
        <f t="shared" si="65"/>
        <v xml:space="preserve"> </v>
      </c>
    </row>
    <row r="2874" spans="4:12" x14ac:dyDescent="0.35">
      <c r="D2874" s="32"/>
      <c r="G2874" s="32"/>
      <c r="H2874">
        <f>COUNTIFS('Audit Raw data'!J:J,B:B,'Audit Raw data'!E:E,G:G)</f>
        <v>0</v>
      </c>
      <c r="I2874" s="44" t="str">
        <f>IFERROR((SUMIFS('Audit Raw data'!BZ:BZ,'Audit Raw data'!J:J,B:B,'Audit Raw data'!E:E,G:G)/H2874)/100,"-")</f>
        <v>-</v>
      </c>
      <c r="J2874">
        <f>COUNTIFS('Audit Raw data'!AM:AM,"Yes",'Audit Raw data'!J:J,B:B,'Audit Raw data'!E:E,'Day wise agent'!G:G)</f>
        <v>0</v>
      </c>
      <c r="K2874">
        <f>COUNTIFS('Audit Raw data'!AM:AM,"NO",'Audit Raw data'!J:J,B:B,'Audit Raw data'!E:E,'Day wise agent'!G:G)</f>
        <v>0</v>
      </c>
      <c r="L2874" s="12" t="str">
        <f t="shared" si="65"/>
        <v xml:space="preserve"> </v>
      </c>
    </row>
    <row r="2875" spans="4:12" x14ac:dyDescent="0.35">
      <c r="D2875" s="32"/>
      <c r="G2875" s="32"/>
      <c r="H2875">
        <f>COUNTIFS('Audit Raw data'!J:J,B:B,'Audit Raw data'!E:E,G:G)</f>
        <v>0</v>
      </c>
      <c r="I2875" s="44" t="str">
        <f>IFERROR((SUMIFS('Audit Raw data'!BZ:BZ,'Audit Raw data'!J:J,B:B,'Audit Raw data'!E:E,G:G)/H2875)/100,"-")</f>
        <v>-</v>
      </c>
      <c r="J2875">
        <f>COUNTIFS('Audit Raw data'!AM:AM,"Yes",'Audit Raw data'!J:J,B:B,'Audit Raw data'!E:E,'Day wise agent'!G:G)</f>
        <v>0</v>
      </c>
      <c r="K2875">
        <f>COUNTIFS('Audit Raw data'!AM:AM,"NO",'Audit Raw data'!J:J,B:B,'Audit Raw data'!E:E,'Day wise agent'!G:G)</f>
        <v>0</v>
      </c>
      <c r="L2875" s="12" t="str">
        <f t="shared" si="65"/>
        <v xml:space="preserve"> </v>
      </c>
    </row>
    <row r="2876" spans="4:12" x14ac:dyDescent="0.35">
      <c r="D2876" s="32"/>
      <c r="G2876" s="32"/>
      <c r="H2876">
        <f>COUNTIFS('Audit Raw data'!J:J,B:B,'Audit Raw data'!E:E,G:G)</f>
        <v>0</v>
      </c>
      <c r="I2876" s="44" t="str">
        <f>IFERROR((SUMIFS('Audit Raw data'!BZ:BZ,'Audit Raw data'!J:J,B:B,'Audit Raw data'!E:E,G:G)/H2876)/100,"-")</f>
        <v>-</v>
      </c>
      <c r="J2876">
        <f>COUNTIFS('Audit Raw data'!AM:AM,"Yes",'Audit Raw data'!J:J,B:B,'Audit Raw data'!E:E,'Day wise agent'!G:G)</f>
        <v>0</v>
      </c>
      <c r="K2876">
        <f>COUNTIFS('Audit Raw data'!AM:AM,"NO",'Audit Raw data'!J:J,B:B,'Audit Raw data'!E:E,'Day wise agent'!G:G)</f>
        <v>0</v>
      </c>
      <c r="L2876" s="12" t="str">
        <f t="shared" si="65"/>
        <v xml:space="preserve"> </v>
      </c>
    </row>
    <row r="2877" spans="4:12" x14ac:dyDescent="0.35">
      <c r="D2877" s="32"/>
      <c r="G2877" s="32"/>
      <c r="H2877">
        <f>COUNTIFS('Audit Raw data'!J:J,B:B,'Audit Raw data'!E:E,G:G)</f>
        <v>0</v>
      </c>
      <c r="I2877" s="44" t="str">
        <f>IFERROR((SUMIFS('Audit Raw data'!BZ:BZ,'Audit Raw data'!J:J,B:B,'Audit Raw data'!E:E,G:G)/H2877)/100,"-")</f>
        <v>-</v>
      </c>
      <c r="J2877">
        <f>COUNTIFS('Audit Raw data'!AM:AM,"Yes",'Audit Raw data'!J:J,B:B,'Audit Raw data'!E:E,'Day wise agent'!G:G)</f>
        <v>0</v>
      </c>
      <c r="K2877">
        <f>COUNTIFS('Audit Raw data'!AM:AM,"NO",'Audit Raw data'!J:J,B:B,'Audit Raw data'!E:E,'Day wise agent'!G:G)</f>
        <v>0</v>
      </c>
      <c r="L2877" s="12" t="str">
        <f t="shared" si="65"/>
        <v xml:space="preserve"> </v>
      </c>
    </row>
    <row r="2878" spans="4:12" x14ac:dyDescent="0.35">
      <c r="D2878" s="32"/>
      <c r="G2878" s="32"/>
      <c r="H2878">
        <f>COUNTIFS('Audit Raw data'!J:J,B:B,'Audit Raw data'!E:E,G:G)</f>
        <v>0</v>
      </c>
      <c r="I2878" s="44" t="str">
        <f>IFERROR((SUMIFS('Audit Raw data'!BZ:BZ,'Audit Raw data'!J:J,B:B,'Audit Raw data'!E:E,G:G)/H2878)/100,"-")</f>
        <v>-</v>
      </c>
      <c r="J2878">
        <f>COUNTIFS('Audit Raw data'!AM:AM,"Yes",'Audit Raw data'!J:J,B:B,'Audit Raw data'!E:E,'Day wise agent'!G:G)</f>
        <v>0</v>
      </c>
      <c r="K2878">
        <f>COUNTIFS('Audit Raw data'!AM:AM,"NO",'Audit Raw data'!J:J,B:B,'Audit Raw data'!E:E,'Day wise agent'!G:G)</f>
        <v>0</v>
      </c>
      <c r="L2878" s="12" t="str">
        <f t="shared" si="65"/>
        <v xml:space="preserve"> </v>
      </c>
    </row>
    <row r="2879" spans="4:12" x14ac:dyDescent="0.35">
      <c r="D2879" s="32"/>
      <c r="G2879" s="32"/>
      <c r="H2879">
        <f>COUNTIFS('Audit Raw data'!J:J,B:B,'Audit Raw data'!E:E,G:G)</f>
        <v>0</v>
      </c>
      <c r="I2879" s="44" t="str">
        <f>IFERROR((SUMIFS('Audit Raw data'!BZ:BZ,'Audit Raw data'!J:J,B:B,'Audit Raw data'!E:E,G:G)/H2879)/100,"-")</f>
        <v>-</v>
      </c>
      <c r="J2879">
        <f>COUNTIFS('Audit Raw data'!AM:AM,"Yes",'Audit Raw data'!J:J,B:B,'Audit Raw data'!E:E,'Day wise agent'!G:G)</f>
        <v>0</v>
      </c>
      <c r="K2879">
        <f>COUNTIFS('Audit Raw data'!AM:AM,"NO",'Audit Raw data'!J:J,B:B,'Audit Raw data'!E:E,'Day wise agent'!G:G)</f>
        <v>0</v>
      </c>
      <c r="L2879" s="12" t="str">
        <f t="shared" si="65"/>
        <v xml:space="preserve"> </v>
      </c>
    </row>
    <row r="2880" spans="4:12" x14ac:dyDescent="0.35">
      <c r="D2880" s="32"/>
      <c r="G2880" s="32"/>
      <c r="H2880">
        <f>COUNTIFS('Audit Raw data'!J:J,B:B,'Audit Raw data'!E:E,G:G)</f>
        <v>0</v>
      </c>
      <c r="I2880" s="44" t="str">
        <f>IFERROR((SUMIFS('Audit Raw data'!BZ:BZ,'Audit Raw data'!J:J,B:B,'Audit Raw data'!E:E,G:G)/H2880)/100,"-")</f>
        <v>-</v>
      </c>
      <c r="J2880">
        <f>COUNTIFS('Audit Raw data'!AM:AM,"Yes",'Audit Raw data'!J:J,B:B,'Audit Raw data'!E:E,'Day wise agent'!G:G)</f>
        <v>0</v>
      </c>
      <c r="K2880">
        <f>COUNTIFS('Audit Raw data'!AM:AM,"NO",'Audit Raw data'!J:J,B:B,'Audit Raw data'!E:E,'Day wise agent'!G:G)</f>
        <v>0</v>
      </c>
      <c r="L2880" s="12" t="str">
        <f t="shared" si="65"/>
        <v xml:space="preserve"> </v>
      </c>
    </row>
    <row r="2881" spans="4:12" x14ac:dyDescent="0.35">
      <c r="D2881" s="32"/>
      <c r="G2881" s="32"/>
      <c r="H2881">
        <f>COUNTIFS('Audit Raw data'!J:J,B:B,'Audit Raw data'!E:E,G:G)</f>
        <v>0</v>
      </c>
      <c r="I2881" s="44" t="str">
        <f>IFERROR((SUMIFS('Audit Raw data'!BZ:BZ,'Audit Raw data'!J:J,B:B,'Audit Raw data'!E:E,G:G)/H2881)/100,"-")</f>
        <v>-</v>
      </c>
      <c r="J2881">
        <f>COUNTIFS('Audit Raw data'!AM:AM,"Yes",'Audit Raw data'!J:J,B:B,'Audit Raw data'!E:E,'Day wise agent'!G:G)</f>
        <v>0</v>
      </c>
      <c r="K2881">
        <f>COUNTIFS('Audit Raw data'!AM:AM,"NO",'Audit Raw data'!J:J,B:B,'Audit Raw data'!E:E,'Day wise agent'!G:G)</f>
        <v>0</v>
      </c>
      <c r="L2881" s="12" t="str">
        <f t="shared" si="65"/>
        <v xml:space="preserve"> </v>
      </c>
    </row>
    <row r="2882" spans="4:12" x14ac:dyDescent="0.35">
      <c r="D2882" s="32"/>
      <c r="G2882" s="32"/>
      <c r="H2882">
        <f>COUNTIFS('Audit Raw data'!J:J,B:B,'Audit Raw data'!E:E,G:G)</f>
        <v>0</v>
      </c>
      <c r="I2882" s="44" t="str">
        <f>IFERROR((SUMIFS('Audit Raw data'!BZ:BZ,'Audit Raw data'!J:J,B:B,'Audit Raw data'!E:E,G:G)/H2882)/100,"-")</f>
        <v>-</v>
      </c>
      <c r="J2882">
        <f>COUNTIFS('Audit Raw data'!AM:AM,"Yes",'Audit Raw data'!J:J,B:B,'Audit Raw data'!E:E,'Day wise agent'!G:G)</f>
        <v>0</v>
      </c>
      <c r="K2882">
        <f>COUNTIFS('Audit Raw data'!AM:AM,"NO",'Audit Raw data'!J:J,B:B,'Audit Raw data'!E:E,'Day wise agent'!G:G)</f>
        <v>0</v>
      </c>
      <c r="L2882" s="12" t="str">
        <f t="shared" ref="L2882:L2945" si="66">IFERROR(J2882/H2882," ")</f>
        <v xml:space="preserve"> </v>
      </c>
    </row>
    <row r="2883" spans="4:12" x14ac:dyDescent="0.35">
      <c r="D2883" s="32"/>
      <c r="G2883" s="32"/>
      <c r="H2883">
        <f>COUNTIFS('Audit Raw data'!J:J,B:B,'Audit Raw data'!E:E,G:G)</f>
        <v>0</v>
      </c>
      <c r="I2883" s="44" t="str">
        <f>IFERROR((SUMIFS('Audit Raw data'!BZ:BZ,'Audit Raw data'!J:J,B:B,'Audit Raw data'!E:E,G:G)/H2883)/100,"-")</f>
        <v>-</v>
      </c>
      <c r="J2883">
        <f>COUNTIFS('Audit Raw data'!AM:AM,"Yes",'Audit Raw data'!J:J,B:B,'Audit Raw data'!E:E,'Day wise agent'!G:G)</f>
        <v>0</v>
      </c>
      <c r="K2883">
        <f>COUNTIFS('Audit Raw data'!AM:AM,"NO",'Audit Raw data'!J:J,B:B,'Audit Raw data'!E:E,'Day wise agent'!G:G)</f>
        <v>0</v>
      </c>
      <c r="L2883" s="12" t="str">
        <f t="shared" si="66"/>
        <v xml:space="preserve"> </v>
      </c>
    </row>
    <row r="2884" spans="4:12" x14ac:dyDescent="0.35">
      <c r="D2884" s="32"/>
      <c r="G2884" s="32"/>
      <c r="H2884">
        <f>COUNTIFS('Audit Raw data'!J:J,B:B,'Audit Raw data'!E:E,G:G)</f>
        <v>0</v>
      </c>
      <c r="I2884" s="44" t="str">
        <f>IFERROR((SUMIFS('Audit Raw data'!BZ:BZ,'Audit Raw data'!J:J,B:B,'Audit Raw data'!E:E,G:G)/H2884)/100,"-")</f>
        <v>-</v>
      </c>
      <c r="J2884">
        <f>COUNTIFS('Audit Raw data'!AM:AM,"Yes",'Audit Raw data'!J:J,B:B,'Audit Raw data'!E:E,'Day wise agent'!G:G)</f>
        <v>0</v>
      </c>
      <c r="K2884">
        <f>COUNTIFS('Audit Raw data'!AM:AM,"NO",'Audit Raw data'!J:J,B:B,'Audit Raw data'!E:E,'Day wise agent'!G:G)</f>
        <v>0</v>
      </c>
      <c r="L2884" s="12" t="str">
        <f t="shared" si="66"/>
        <v xml:space="preserve"> </v>
      </c>
    </row>
    <row r="2885" spans="4:12" x14ac:dyDescent="0.35">
      <c r="D2885" s="32"/>
      <c r="G2885" s="32"/>
      <c r="H2885">
        <f>COUNTIFS('Audit Raw data'!J:J,B:B,'Audit Raw data'!E:E,G:G)</f>
        <v>0</v>
      </c>
      <c r="I2885" s="44" t="str">
        <f>IFERROR((SUMIFS('Audit Raw data'!BZ:BZ,'Audit Raw data'!J:J,B:B,'Audit Raw data'!E:E,G:G)/H2885)/100,"-")</f>
        <v>-</v>
      </c>
      <c r="J2885">
        <f>COUNTIFS('Audit Raw data'!AM:AM,"Yes",'Audit Raw data'!J:J,B:B,'Audit Raw data'!E:E,'Day wise agent'!G:G)</f>
        <v>0</v>
      </c>
      <c r="K2885">
        <f>COUNTIFS('Audit Raw data'!AM:AM,"NO",'Audit Raw data'!J:J,B:B,'Audit Raw data'!E:E,'Day wise agent'!G:G)</f>
        <v>0</v>
      </c>
      <c r="L2885" s="12" t="str">
        <f t="shared" si="66"/>
        <v xml:space="preserve"> </v>
      </c>
    </row>
    <row r="2886" spans="4:12" x14ac:dyDescent="0.35">
      <c r="D2886" s="32"/>
      <c r="G2886" s="32"/>
      <c r="H2886">
        <f>COUNTIFS('Audit Raw data'!J:J,B:B,'Audit Raw data'!E:E,G:G)</f>
        <v>0</v>
      </c>
      <c r="I2886" s="44" t="str">
        <f>IFERROR((SUMIFS('Audit Raw data'!BZ:BZ,'Audit Raw data'!J:J,B:B,'Audit Raw data'!E:E,G:G)/H2886)/100,"-")</f>
        <v>-</v>
      </c>
      <c r="J2886">
        <f>COUNTIFS('Audit Raw data'!AM:AM,"Yes",'Audit Raw data'!J:J,B:B,'Audit Raw data'!E:E,'Day wise agent'!G:G)</f>
        <v>0</v>
      </c>
      <c r="K2886">
        <f>COUNTIFS('Audit Raw data'!AM:AM,"NO",'Audit Raw data'!J:J,B:B,'Audit Raw data'!E:E,'Day wise agent'!G:G)</f>
        <v>0</v>
      </c>
      <c r="L2886" s="12" t="str">
        <f t="shared" si="66"/>
        <v xml:space="preserve"> </v>
      </c>
    </row>
    <row r="2887" spans="4:12" x14ac:dyDescent="0.35">
      <c r="D2887" s="32"/>
      <c r="G2887" s="32"/>
      <c r="H2887">
        <f>COUNTIFS('Audit Raw data'!J:J,B:B,'Audit Raw data'!E:E,G:G)</f>
        <v>0</v>
      </c>
      <c r="I2887" s="44" t="str">
        <f>IFERROR((SUMIFS('Audit Raw data'!BZ:BZ,'Audit Raw data'!J:J,B:B,'Audit Raw data'!E:E,G:G)/H2887)/100,"-")</f>
        <v>-</v>
      </c>
      <c r="J2887">
        <f>COUNTIFS('Audit Raw data'!AM:AM,"Yes",'Audit Raw data'!J:J,B:B,'Audit Raw data'!E:E,'Day wise agent'!G:G)</f>
        <v>0</v>
      </c>
      <c r="K2887">
        <f>COUNTIFS('Audit Raw data'!AM:AM,"NO",'Audit Raw data'!J:J,B:B,'Audit Raw data'!E:E,'Day wise agent'!G:G)</f>
        <v>0</v>
      </c>
      <c r="L2887" s="12" t="str">
        <f t="shared" si="66"/>
        <v xml:space="preserve"> </v>
      </c>
    </row>
    <row r="2888" spans="4:12" x14ac:dyDescent="0.35">
      <c r="D2888" s="32"/>
      <c r="G2888" s="32"/>
      <c r="H2888">
        <f>COUNTIFS('Audit Raw data'!J:J,B:B,'Audit Raw data'!E:E,G:G)</f>
        <v>0</v>
      </c>
      <c r="I2888" s="44" t="str">
        <f>IFERROR((SUMIFS('Audit Raw data'!BZ:BZ,'Audit Raw data'!J:J,B:B,'Audit Raw data'!E:E,G:G)/H2888)/100,"-")</f>
        <v>-</v>
      </c>
      <c r="J2888">
        <f>COUNTIFS('Audit Raw data'!AM:AM,"Yes",'Audit Raw data'!J:J,B:B,'Audit Raw data'!E:E,'Day wise agent'!G:G)</f>
        <v>0</v>
      </c>
      <c r="K2888">
        <f>COUNTIFS('Audit Raw data'!AM:AM,"NO",'Audit Raw data'!J:J,B:B,'Audit Raw data'!E:E,'Day wise agent'!G:G)</f>
        <v>0</v>
      </c>
      <c r="L2888" s="12" t="str">
        <f t="shared" si="66"/>
        <v xml:space="preserve"> </v>
      </c>
    </row>
    <row r="2889" spans="4:12" x14ac:dyDescent="0.35">
      <c r="D2889" s="32"/>
      <c r="G2889" s="32"/>
      <c r="H2889">
        <f>COUNTIFS('Audit Raw data'!J:J,B:B,'Audit Raw data'!E:E,G:G)</f>
        <v>0</v>
      </c>
      <c r="I2889" s="44" t="str">
        <f>IFERROR((SUMIFS('Audit Raw data'!BZ:BZ,'Audit Raw data'!J:J,B:B,'Audit Raw data'!E:E,G:G)/H2889)/100,"-")</f>
        <v>-</v>
      </c>
      <c r="J2889">
        <f>COUNTIFS('Audit Raw data'!AM:AM,"Yes",'Audit Raw data'!J:J,B:B,'Audit Raw data'!E:E,'Day wise agent'!G:G)</f>
        <v>0</v>
      </c>
      <c r="K2889">
        <f>COUNTIFS('Audit Raw data'!AM:AM,"NO",'Audit Raw data'!J:J,B:B,'Audit Raw data'!E:E,'Day wise agent'!G:G)</f>
        <v>0</v>
      </c>
      <c r="L2889" s="12" t="str">
        <f t="shared" si="66"/>
        <v xml:space="preserve"> </v>
      </c>
    </row>
    <row r="2890" spans="4:12" x14ac:dyDescent="0.35">
      <c r="D2890" s="32"/>
      <c r="G2890" s="32"/>
      <c r="H2890">
        <f>COUNTIFS('Audit Raw data'!J:J,B:B,'Audit Raw data'!E:E,G:G)</f>
        <v>0</v>
      </c>
      <c r="I2890" s="44" t="str">
        <f>IFERROR((SUMIFS('Audit Raw data'!BZ:BZ,'Audit Raw data'!J:J,B:B,'Audit Raw data'!E:E,G:G)/H2890)/100,"-")</f>
        <v>-</v>
      </c>
      <c r="J2890">
        <f>COUNTIFS('Audit Raw data'!AM:AM,"Yes",'Audit Raw data'!J:J,B:B,'Audit Raw data'!E:E,'Day wise agent'!G:G)</f>
        <v>0</v>
      </c>
      <c r="K2890">
        <f>COUNTIFS('Audit Raw data'!AM:AM,"NO",'Audit Raw data'!J:J,B:B,'Audit Raw data'!E:E,'Day wise agent'!G:G)</f>
        <v>0</v>
      </c>
      <c r="L2890" s="12" t="str">
        <f t="shared" si="66"/>
        <v xml:space="preserve"> </v>
      </c>
    </row>
    <row r="2891" spans="4:12" x14ac:dyDescent="0.35">
      <c r="D2891" s="32"/>
      <c r="G2891" s="32"/>
      <c r="H2891">
        <f>COUNTIFS('Audit Raw data'!J:J,B:B,'Audit Raw data'!E:E,G:G)</f>
        <v>0</v>
      </c>
      <c r="I2891" s="44" t="str">
        <f>IFERROR((SUMIFS('Audit Raw data'!BZ:BZ,'Audit Raw data'!J:J,B:B,'Audit Raw data'!E:E,G:G)/H2891)/100,"-")</f>
        <v>-</v>
      </c>
      <c r="J2891">
        <f>COUNTIFS('Audit Raw data'!AM:AM,"Yes",'Audit Raw data'!J:J,B:B,'Audit Raw data'!E:E,'Day wise agent'!G:G)</f>
        <v>0</v>
      </c>
      <c r="K2891">
        <f>COUNTIFS('Audit Raw data'!AM:AM,"NO",'Audit Raw data'!J:J,B:B,'Audit Raw data'!E:E,'Day wise agent'!G:G)</f>
        <v>0</v>
      </c>
      <c r="L2891" s="12" t="str">
        <f t="shared" si="66"/>
        <v xml:space="preserve"> </v>
      </c>
    </row>
    <row r="2892" spans="4:12" x14ac:dyDescent="0.35">
      <c r="D2892" s="32"/>
      <c r="G2892" s="32"/>
      <c r="H2892">
        <f>COUNTIFS('Audit Raw data'!J:J,B:B,'Audit Raw data'!E:E,G:G)</f>
        <v>0</v>
      </c>
      <c r="I2892" s="44" t="str">
        <f>IFERROR((SUMIFS('Audit Raw data'!BZ:BZ,'Audit Raw data'!J:J,B:B,'Audit Raw data'!E:E,G:G)/H2892)/100,"-")</f>
        <v>-</v>
      </c>
      <c r="J2892">
        <f>COUNTIFS('Audit Raw data'!AM:AM,"Yes",'Audit Raw data'!J:J,B:B,'Audit Raw data'!E:E,'Day wise agent'!G:G)</f>
        <v>0</v>
      </c>
      <c r="K2892">
        <f>COUNTIFS('Audit Raw data'!AM:AM,"NO",'Audit Raw data'!J:J,B:B,'Audit Raw data'!E:E,'Day wise agent'!G:G)</f>
        <v>0</v>
      </c>
      <c r="L2892" s="12" t="str">
        <f t="shared" si="66"/>
        <v xml:space="preserve"> </v>
      </c>
    </row>
    <row r="2893" spans="4:12" x14ac:dyDescent="0.35">
      <c r="D2893" s="32"/>
      <c r="G2893" s="32"/>
      <c r="H2893">
        <f>COUNTIFS('Audit Raw data'!J:J,B:B,'Audit Raw data'!E:E,G:G)</f>
        <v>0</v>
      </c>
      <c r="I2893" s="44" t="str">
        <f>IFERROR((SUMIFS('Audit Raw data'!BZ:BZ,'Audit Raw data'!J:J,B:B,'Audit Raw data'!E:E,G:G)/H2893)/100,"-")</f>
        <v>-</v>
      </c>
      <c r="J2893">
        <f>COUNTIFS('Audit Raw data'!AM:AM,"Yes",'Audit Raw data'!J:J,B:B,'Audit Raw data'!E:E,'Day wise agent'!G:G)</f>
        <v>0</v>
      </c>
      <c r="K2893">
        <f>COUNTIFS('Audit Raw data'!AM:AM,"NO",'Audit Raw data'!J:J,B:B,'Audit Raw data'!E:E,'Day wise agent'!G:G)</f>
        <v>0</v>
      </c>
      <c r="L2893" s="12" t="str">
        <f t="shared" si="66"/>
        <v xml:space="preserve"> </v>
      </c>
    </row>
    <row r="2894" spans="4:12" x14ac:dyDescent="0.35">
      <c r="D2894" s="32"/>
      <c r="G2894" s="32"/>
      <c r="H2894">
        <f>COUNTIFS('Audit Raw data'!J:J,B:B,'Audit Raw data'!E:E,G:G)</f>
        <v>0</v>
      </c>
      <c r="I2894" s="44" t="str">
        <f>IFERROR((SUMIFS('Audit Raw data'!BZ:BZ,'Audit Raw data'!J:J,B:B,'Audit Raw data'!E:E,G:G)/H2894)/100,"-")</f>
        <v>-</v>
      </c>
      <c r="J2894">
        <f>COUNTIFS('Audit Raw data'!AM:AM,"Yes",'Audit Raw data'!J:J,B:B,'Audit Raw data'!E:E,'Day wise agent'!G:G)</f>
        <v>0</v>
      </c>
      <c r="K2894">
        <f>COUNTIFS('Audit Raw data'!AM:AM,"NO",'Audit Raw data'!J:J,B:B,'Audit Raw data'!E:E,'Day wise agent'!G:G)</f>
        <v>0</v>
      </c>
      <c r="L2894" s="12" t="str">
        <f t="shared" si="66"/>
        <v xml:space="preserve"> </v>
      </c>
    </row>
    <row r="2895" spans="4:12" x14ac:dyDescent="0.35">
      <c r="D2895" s="32"/>
      <c r="G2895" s="32"/>
      <c r="H2895">
        <f>COUNTIFS('Audit Raw data'!J:J,B:B,'Audit Raw data'!E:E,G:G)</f>
        <v>0</v>
      </c>
      <c r="I2895" s="44" t="str">
        <f>IFERROR((SUMIFS('Audit Raw data'!BZ:BZ,'Audit Raw data'!J:J,B:B,'Audit Raw data'!E:E,G:G)/H2895)/100,"-")</f>
        <v>-</v>
      </c>
      <c r="J2895">
        <f>COUNTIFS('Audit Raw data'!AM:AM,"Yes",'Audit Raw data'!J:J,B:B,'Audit Raw data'!E:E,'Day wise agent'!G:G)</f>
        <v>0</v>
      </c>
      <c r="K2895">
        <f>COUNTIFS('Audit Raw data'!AM:AM,"NO",'Audit Raw data'!J:J,B:B,'Audit Raw data'!E:E,'Day wise agent'!G:G)</f>
        <v>0</v>
      </c>
      <c r="L2895" s="12" t="str">
        <f t="shared" si="66"/>
        <v xml:space="preserve"> </v>
      </c>
    </row>
    <row r="2896" spans="4:12" x14ac:dyDescent="0.35">
      <c r="D2896" s="32"/>
      <c r="G2896" s="32"/>
      <c r="H2896">
        <f>COUNTIFS('Audit Raw data'!J:J,B:B,'Audit Raw data'!E:E,G:G)</f>
        <v>0</v>
      </c>
      <c r="I2896" s="44" t="str">
        <f>IFERROR((SUMIFS('Audit Raw data'!BZ:BZ,'Audit Raw data'!J:J,B:B,'Audit Raw data'!E:E,G:G)/H2896)/100,"-")</f>
        <v>-</v>
      </c>
      <c r="J2896">
        <f>COUNTIFS('Audit Raw data'!AM:AM,"Yes",'Audit Raw data'!J:J,B:B,'Audit Raw data'!E:E,'Day wise agent'!G:G)</f>
        <v>0</v>
      </c>
      <c r="K2896">
        <f>COUNTIFS('Audit Raw data'!AM:AM,"NO",'Audit Raw data'!J:J,B:B,'Audit Raw data'!E:E,'Day wise agent'!G:G)</f>
        <v>0</v>
      </c>
      <c r="L2896" s="12" t="str">
        <f t="shared" si="66"/>
        <v xml:space="preserve"> </v>
      </c>
    </row>
    <row r="2897" spans="4:12" x14ac:dyDescent="0.35">
      <c r="D2897" s="32"/>
      <c r="G2897" s="32"/>
      <c r="H2897">
        <f>COUNTIFS('Audit Raw data'!J:J,B:B,'Audit Raw data'!E:E,G:G)</f>
        <v>0</v>
      </c>
      <c r="I2897" s="44" t="str">
        <f>IFERROR((SUMIFS('Audit Raw data'!BZ:BZ,'Audit Raw data'!J:J,B:B,'Audit Raw data'!E:E,G:G)/H2897)/100,"-")</f>
        <v>-</v>
      </c>
      <c r="J2897">
        <f>COUNTIFS('Audit Raw data'!AM:AM,"Yes",'Audit Raw data'!J:J,B:B,'Audit Raw data'!E:E,'Day wise agent'!G:G)</f>
        <v>0</v>
      </c>
      <c r="K2897">
        <f>COUNTIFS('Audit Raw data'!AM:AM,"NO",'Audit Raw data'!J:J,B:B,'Audit Raw data'!E:E,'Day wise agent'!G:G)</f>
        <v>0</v>
      </c>
      <c r="L2897" s="12" t="str">
        <f t="shared" si="66"/>
        <v xml:space="preserve"> </v>
      </c>
    </row>
    <row r="2898" spans="4:12" x14ac:dyDescent="0.35">
      <c r="D2898" s="32"/>
      <c r="G2898" s="32"/>
      <c r="H2898">
        <f>COUNTIFS('Audit Raw data'!J:J,B:B,'Audit Raw data'!E:E,G:G)</f>
        <v>0</v>
      </c>
      <c r="I2898" s="44" t="str">
        <f>IFERROR((SUMIFS('Audit Raw data'!BZ:BZ,'Audit Raw data'!J:J,B:B,'Audit Raw data'!E:E,G:G)/H2898)/100,"-")</f>
        <v>-</v>
      </c>
      <c r="J2898">
        <f>COUNTIFS('Audit Raw data'!AM:AM,"Yes",'Audit Raw data'!J:J,B:B,'Audit Raw data'!E:E,'Day wise agent'!G:G)</f>
        <v>0</v>
      </c>
      <c r="K2898">
        <f>COUNTIFS('Audit Raw data'!AM:AM,"NO",'Audit Raw data'!J:J,B:B,'Audit Raw data'!E:E,'Day wise agent'!G:G)</f>
        <v>0</v>
      </c>
      <c r="L2898" s="12" t="str">
        <f t="shared" si="66"/>
        <v xml:space="preserve"> </v>
      </c>
    </row>
    <row r="2899" spans="4:12" x14ac:dyDescent="0.35">
      <c r="D2899" s="32"/>
      <c r="G2899" s="32"/>
      <c r="H2899">
        <f>COUNTIFS('Audit Raw data'!J:J,B:B,'Audit Raw data'!E:E,G:G)</f>
        <v>0</v>
      </c>
      <c r="I2899" s="44" t="str">
        <f>IFERROR((SUMIFS('Audit Raw data'!BZ:BZ,'Audit Raw data'!J:J,B:B,'Audit Raw data'!E:E,G:G)/H2899)/100,"-")</f>
        <v>-</v>
      </c>
      <c r="J2899">
        <f>COUNTIFS('Audit Raw data'!AM:AM,"Yes",'Audit Raw data'!J:J,B:B,'Audit Raw data'!E:E,'Day wise agent'!G:G)</f>
        <v>0</v>
      </c>
      <c r="K2899">
        <f>COUNTIFS('Audit Raw data'!AM:AM,"NO",'Audit Raw data'!J:J,B:B,'Audit Raw data'!E:E,'Day wise agent'!G:G)</f>
        <v>0</v>
      </c>
      <c r="L2899" s="12" t="str">
        <f t="shared" si="66"/>
        <v xml:space="preserve"> </v>
      </c>
    </row>
    <row r="2900" spans="4:12" x14ac:dyDescent="0.35">
      <c r="D2900" s="32"/>
      <c r="G2900" s="32"/>
      <c r="H2900">
        <f>COUNTIFS('Audit Raw data'!J:J,B:B,'Audit Raw data'!E:E,G:G)</f>
        <v>0</v>
      </c>
      <c r="I2900" s="44" t="str">
        <f>IFERROR((SUMIFS('Audit Raw data'!BZ:BZ,'Audit Raw data'!J:J,B:B,'Audit Raw data'!E:E,G:G)/H2900)/100,"-")</f>
        <v>-</v>
      </c>
      <c r="J2900">
        <f>COUNTIFS('Audit Raw data'!AM:AM,"Yes",'Audit Raw data'!J:J,B:B,'Audit Raw data'!E:E,'Day wise agent'!G:G)</f>
        <v>0</v>
      </c>
      <c r="K2900">
        <f>COUNTIFS('Audit Raw data'!AM:AM,"NO",'Audit Raw data'!J:J,B:B,'Audit Raw data'!E:E,'Day wise agent'!G:G)</f>
        <v>0</v>
      </c>
      <c r="L2900" s="12" t="str">
        <f t="shared" si="66"/>
        <v xml:space="preserve"> </v>
      </c>
    </row>
    <row r="2901" spans="4:12" x14ac:dyDescent="0.35">
      <c r="D2901" s="32"/>
      <c r="G2901" s="32"/>
      <c r="H2901">
        <f>COUNTIFS('Audit Raw data'!J:J,B:B,'Audit Raw data'!E:E,G:G)</f>
        <v>0</v>
      </c>
      <c r="I2901" s="44" t="str">
        <f>IFERROR((SUMIFS('Audit Raw data'!BZ:BZ,'Audit Raw data'!J:J,B:B,'Audit Raw data'!E:E,G:G)/H2901)/100,"-")</f>
        <v>-</v>
      </c>
      <c r="J2901">
        <f>COUNTIFS('Audit Raw data'!AM:AM,"Yes",'Audit Raw data'!J:J,B:B,'Audit Raw data'!E:E,'Day wise agent'!G:G)</f>
        <v>0</v>
      </c>
      <c r="K2901">
        <f>COUNTIFS('Audit Raw data'!AM:AM,"NO",'Audit Raw data'!J:J,B:B,'Audit Raw data'!E:E,'Day wise agent'!G:G)</f>
        <v>0</v>
      </c>
      <c r="L2901" s="12" t="str">
        <f t="shared" si="66"/>
        <v xml:space="preserve"> </v>
      </c>
    </row>
    <row r="2902" spans="4:12" x14ac:dyDescent="0.35">
      <c r="D2902" s="32"/>
      <c r="G2902" s="32"/>
      <c r="H2902">
        <f>COUNTIFS('Audit Raw data'!J:J,B:B,'Audit Raw data'!E:E,G:G)</f>
        <v>0</v>
      </c>
      <c r="I2902" s="44" t="str">
        <f>IFERROR((SUMIFS('Audit Raw data'!BZ:BZ,'Audit Raw data'!J:J,B:B,'Audit Raw data'!E:E,G:G)/H2902)/100,"-")</f>
        <v>-</v>
      </c>
      <c r="J2902">
        <f>COUNTIFS('Audit Raw data'!AM:AM,"Yes",'Audit Raw data'!J:J,B:B,'Audit Raw data'!E:E,'Day wise agent'!G:G)</f>
        <v>0</v>
      </c>
      <c r="K2902">
        <f>COUNTIFS('Audit Raw data'!AM:AM,"NO",'Audit Raw data'!J:J,B:B,'Audit Raw data'!E:E,'Day wise agent'!G:G)</f>
        <v>0</v>
      </c>
      <c r="L2902" s="12" t="str">
        <f t="shared" si="66"/>
        <v xml:space="preserve"> </v>
      </c>
    </row>
    <row r="2903" spans="4:12" x14ac:dyDescent="0.35">
      <c r="D2903" s="32"/>
      <c r="G2903" s="32"/>
      <c r="H2903">
        <f>COUNTIFS('Audit Raw data'!J:J,B:B,'Audit Raw data'!E:E,G:G)</f>
        <v>0</v>
      </c>
      <c r="I2903" s="44" t="str">
        <f>IFERROR((SUMIFS('Audit Raw data'!BZ:BZ,'Audit Raw data'!J:J,B:B,'Audit Raw data'!E:E,G:G)/H2903)/100,"-")</f>
        <v>-</v>
      </c>
      <c r="J2903">
        <f>COUNTIFS('Audit Raw data'!AM:AM,"Yes",'Audit Raw data'!J:J,B:B,'Audit Raw data'!E:E,'Day wise agent'!G:G)</f>
        <v>0</v>
      </c>
      <c r="K2903">
        <f>COUNTIFS('Audit Raw data'!AM:AM,"NO",'Audit Raw data'!J:J,B:B,'Audit Raw data'!E:E,'Day wise agent'!G:G)</f>
        <v>0</v>
      </c>
      <c r="L2903" s="12" t="str">
        <f t="shared" si="66"/>
        <v xml:space="preserve"> </v>
      </c>
    </row>
    <row r="2904" spans="4:12" x14ac:dyDescent="0.35">
      <c r="D2904" s="32"/>
      <c r="G2904" s="32"/>
      <c r="H2904">
        <f>COUNTIFS('Audit Raw data'!J:J,B:B,'Audit Raw data'!E:E,G:G)</f>
        <v>0</v>
      </c>
      <c r="I2904" s="44" t="str">
        <f>IFERROR((SUMIFS('Audit Raw data'!BZ:BZ,'Audit Raw data'!J:J,B:B,'Audit Raw data'!E:E,G:G)/H2904)/100,"-")</f>
        <v>-</v>
      </c>
      <c r="J2904">
        <f>COUNTIFS('Audit Raw data'!AM:AM,"Yes",'Audit Raw data'!J:J,B:B,'Audit Raw data'!E:E,'Day wise agent'!G:G)</f>
        <v>0</v>
      </c>
      <c r="K2904">
        <f>COUNTIFS('Audit Raw data'!AM:AM,"NO",'Audit Raw data'!J:J,B:B,'Audit Raw data'!E:E,'Day wise agent'!G:G)</f>
        <v>0</v>
      </c>
      <c r="L2904" s="12" t="str">
        <f t="shared" si="66"/>
        <v xml:space="preserve"> </v>
      </c>
    </row>
    <row r="2905" spans="4:12" x14ac:dyDescent="0.35">
      <c r="D2905" s="32"/>
      <c r="G2905" s="32"/>
      <c r="H2905">
        <f>COUNTIFS('Audit Raw data'!J:J,B:B,'Audit Raw data'!E:E,G:G)</f>
        <v>0</v>
      </c>
      <c r="I2905" s="44" t="str">
        <f>IFERROR((SUMIFS('Audit Raw data'!BZ:BZ,'Audit Raw data'!J:J,B:B,'Audit Raw data'!E:E,G:G)/H2905)/100,"-")</f>
        <v>-</v>
      </c>
      <c r="J2905">
        <f>COUNTIFS('Audit Raw data'!AM:AM,"Yes",'Audit Raw data'!J:J,B:B,'Audit Raw data'!E:E,'Day wise agent'!G:G)</f>
        <v>0</v>
      </c>
      <c r="K2905">
        <f>COUNTIFS('Audit Raw data'!AM:AM,"NO",'Audit Raw data'!J:J,B:B,'Audit Raw data'!E:E,'Day wise agent'!G:G)</f>
        <v>0</v>
      </c>
      <c r="L2905" s="12" t="str">
        <f t="shared" si="66"/>
        <v xml:space="preserve"> </v>
      </c>
    </row>
    <row r="2906" spans="4:12" x14ac:dyDescent="0.35">
      <c r="D2906" s="32"/>
      <c r="G2906" s="32"/>
      <c r="H2906">
        <f>COUNTIFS('Audit Raw data'!J:J,B:B,'Audit Raw data'!E:E,G:G)</f>
        <v>0</v>
      </c>
      <c r="I2906" s="44" t="str">
        <f>IFERROR((SUMIFS('Audit Raw data'!BZ:BZ,'Audit Raw data'!J:J,B:B,'Audit Raw data'!E:E,G:G)/H2906)/100,"-")</f>
        <v>-</v>
      </c>
      <c r="J2906">
        <f>COUNTIFS('Audit Raw data'!AM:AM,"Yes",'Audit Raw data'!J:J,B:B,'Audit Raw data'!E:E,'Day wise agent'!G:G)</f>
        <v>0</v>
      </c>
      <c r="K2906">
        <f>COUNTIFS('Audit Raw data'!AM:AM,"NO",'Audit Raw data'!J:J,B:B,'Audit Raw data'!E:E,'Day wise agent'!G:G)</f>
        <v>0</v>
      </c>
      <c r="L2906" s="12" t="str">
        <f t="shared" si="66"/>
        <v xml:space="preserve"> </v>
      </c>
    </row>
    <row r="2907" spans="4:12" x14ac:dyDescent="0.35">
      <c r="D2907" s="32"/>
      <c r="G2907" s="32"/>
      <c r="H2907">
        <f>COUNTIFS('Audit Raw data'!J:J,B:B,'Audit Raw data'!E:E,G:G)</f>
        <v>0</v>
      </c>
      <c r="I2907" s="44" t="str">
        <f>IFERROR((SUMIFS('Audit Raw data'!BZ:BZ,'Audit Raw data'!J:J,B:B,'Audit Raw data'!E:E,G:G)/H2907)/100,"-")</f>
        <v>-</v>
      </c>
      <c r="J2907">
        <f>COUNTIFS('Audit Raw data'!AM:AM,"Yes",'Audit Raw data'!J:J,B:B,'Audit Raw data'!E:E,'Day wise agent'!G:G)</f>
        <v>0</v>
      </c>
      <c r="K2907">
        <f>COUNTIFS('Audit Raw data'!AM:AM,"NO",'Audit Raw data'!J:J,B:B,'Audit Raw data'!E:E,'Day wise agent'!G:G)</f>
        <v>0</v>
      </c>
      <c r="L2907" s="12" t="str">
        <f t="shared" si="66"/>
        <v xml:space="preserve"> </v>
      </c>
    </row>
    <row r="2908" spans="4:12" x14ac:dyDescent="0.35">
      <c r="D2908" s="32"/>
      <c r="G2908" s="32"/>
      <c r="H2908">
        <f>COUNTIFS('Audit Raw data'!J:J,B:B,'Audit Raw data'!E:E,G:G)</f>
        <v>0</v>
      </c>
      <c r="I2908" s="44" t="str">
        <f>IFERROR((SUMIFS('Audit Raw data'!BZ:BZ,'Audit Raw data'!J:J,B:B,'Audit Raw data'!E:E,G:G)/H2908)/100,"-")</f>
        <v>-</v>
      </c>
      <c r="J2908">
        <f>COUNTIFS('Audit Raw data'!AM:AM,"Yes",'Audit Raw data'!J:J,B:B,'Audit Raw data'!E:E,'Day wise agent'!G:G)</f>
        <v>0</v>
      </c>
      <c r="K2908">
        <f>COUNTIFS('Audit Raw data'!AM:AM,"NO",'Audit Raw data'!J:J,B:B,'Audit Raw data'!E:E,'Day wise agent'!G:G)</f>
        <v>0</v>
      </c>
      <c r="L2908" s="12" t="str">
        <f t="shared" si="66"/>
        <v xml:space="preserve"> </v>
      </c>
    </row>
    <row r="2909" spans="4:12" x14ac:dyDescent="0.35">
      <c r="D2909" s="32"/>
      <c r="G2909" s="32"/>
      <c r="H2909">
        <f>COUNTIFS('Audit Raw data'!J:J,B:B,'Audit Raw data'!E:E,G:G)</f>
        <v>0</v>
      </c>
      <c r="I2909" s="44" t="str">
        <f>IFERROR((SUMIFS('Audit Raw data'!BZ:BZ,'Audit Raw data'!J:J,B:B,'Audit Raw data'!E:E,G:G)/H2909)/100,"-")</f>
        <v>-</v>
      </c>
      <c r="J2909">
        <f>COUNTIFS('Audit Raw data'!AM:AM,"Yes",'Audit Raw data'!J:J,B:B,'Audit Raw data'!E:E,'Day wise agent'!G:G)</f>
        <v>0</v>
      </c>
      <c r="K2909">
        <f>COUNTIFS('Audit Raw data'!AM:AM,"NO",'Audit Raw data'!J:J,B:B,'Audit Raw data'!E:E,'Day wise agent'!G:G)</f>
        <v>0</v>
      </c>
      <c r="L2909" s="12" t="str">
        <f t="shared" si="66"/>
        <v xml:space="preserve"> </v>
      </c>
    </row>
    <row r="2910" spans="4:12" x14ac:dyDescent="0.35">
      <c r="D2910" s="32"/>
      <c r="G2910" s="32"/>
      <c r="H2910">
        <f>COUNTIFS('Audit Raw data'!J:J,B:B,'Audit Raw data'!E:E,G:G)</f>
        <v>0</v>
      </c>
      <c r="I2910" s="44" t="str">
        <f>IFERROR((SUMIFS('Audit Raw data'!BZ:BZ,'Audit Raw data'!J:J,B:B,'Audit Raw data'!E:E,G:G)/H2910)/100,"-")</f>
        <v>-</v>
      </c>
      <c r="J2910">
        <f>COUNTIFS('Audit Raw data'!AM:AM,"Yes",'Audit Raw data'!J:J,B:B,'Audit Raw data'!E:E,'Day wise agent'!G:G)</f>
        <v>0</v>
      </c>
      <c r="K2910">
        <f>COUNTIFS('Audit Raw data'!AM:AM,"NO",'Audit Raw data'!J:J,B:B,'Audit Raw data'!E:E,'Day wise agent'!G:G)</f>
        <v>0</v>
      </c>
      <c r="L2910" s="12" t="str">
        <f t="shared" si="66"/>
        <v xml:space="preserve"> </v>
      </c>
    </row>
    <row r="2911" spans="4:12" x14ac:dyDescent="0.35">
      <c r="D2911" s="32"/>
      <c r="G2911" s="32"/>
      <c r="H2911">
        <f>COUNTIFS('Audit Raw data'!J:J,B:B,'Audit Raw data'!E:E,G:G)</f>
        <v>0</v>
      </c>
      <c r="I2911" s="44" t="str">
        <f>IFERROR((SUMIFS('Audit Raw data'!BZ:BZ,'Audit Raw data'!J:J,B:B,'Audit Raw data'!E:E,G:G)/H2911)/100,"-")</f>
        <v>-</v>
      </c>
      <c r="J2911">
        <f>COUNTIFS('Audit Raw data'!AM:AM,"Yes",'Audit Raw data'!J:J,B:B,'Audit Raw data'!E:E,'Day wise agent'!G:G)</f>
        <v>0</v>
      </c>
      <c r="K2911">
        <f>COUNTIFS('Audit Raw data'!AM:AM,"NO",'Audit Raw data'!J:J,B:B,'Audit Raw data'!E:E,'Day wise agent'!G:G)</f>
        <v>0</v>
      </c>
      <c r="L2911" s="12" t="str">
        <f t="shared" si="66"/>
        <v xml:space="preserve"> </v>
      </c>
    </row>
    <row r="2912" spans="4:12" x14ac:dyDescent="0.35">
      <c r="D2912" s="32"/>
      <c r="G2912" s="32"/>
      <c r="H2912">
        <f>COUNTIFS('Audit Raw data'!J:J,B:B,'Audit Raw data'!E:E,G:G)</f>
        <v>0</v>
      </c>
      <c r="I2912" s="44" t="str">
        <f>IFERROR((SUMIFS('Audit Raw data'!BZ:BZ,'Audit Raw data'!J:J,B:B,'Audit Raw data'!E:E,G:G)/H2912)/100,"-")</f>
        <v>-</v>
      </c>
      <c r="J2912">
        <f>COUNTIFS('Audit Raw data'!AM:AM,"Yes",'Audit Raw data'!J:J,B:B,'Audit Raw data'!E:E,'Day wise agent'!G:G)</f>
        <v>0</v>
      </c>
      <c r="K2912">
        <f>COUNTIFS('Audit Raw data'!AM:AM,"NO",'Audit Raw data'!J:J,B:B,'Audit Raw data'!E:E,'Day wise agent'!G:G)</f>
        <v>0</v>
      </c>
      <c r="L2912" s="12" t="str">
        <f t="shared" si="66"/>
        <v xml:space="preserve"> </v>
      </c>
    </row>
    <row r="2913" spans="4:12" x14ac:dyDescent="0.35">
      <c r="D2913" s="32"/>
      <c r="G2913" s="32"/>
      <c r="H2913">
        <f>COUNTIFS('Audit Raw data'!J:J,B:B,'Audit Raw data'!E:E,G:G)</f>
        <v>0</v>
      </c>
      <c r="I2913" s="44" t="str">
        <f>IFERROR((SUMIFS('Audit Raw data'!BZ:BZ,'Audit Raw data'!J:J,B:B,'Audit Raw data'!E:E,G:G)/H2913)/100,"-")</f>
        <v>-</v>
      </c>
      <c r="J2913">
        <f>COUNTIFS('Audit Raw data'!AM:AM,"Yes",'Audit Raw data'!J:J,B:B,'Audit Raw data'!E:E,'Day wise agent'!G:G)</f>
        <v>0</v>
      </c>
      <c r="K2913">
        <f>COUNTIFS('Audit Raw data'!AM:AM,"NO",'Audit Raw data'!J:J,B:B,'Audit Raw data'!E:E,'Day wise agent'!G:G)</f>
        <v>0</v>
      </c>
      <c r="L2913" s="12" t="str">
        <f t="shared" si="66"/>
        <v xml:space="preserve"> </v>
      </c>
    </row>
    <row r="2914" spans="4:12" x14ac:dyDescent="0.35">
      <c r="D2914" s="32"/>
      <c r="G2914" s="32"/>
      <c r="H2914">
        <f>COUNTIFS('Audit Raw data'!J:J,B:B,'Audit Raw data'!E:E,G:G)</f>
        <v>0</v>
      </c>
      <c r="I2914" s="44" t="str">
        <f>IFERROR((SUMIFS('Audit Raw data'!BZ:BZ,'Audit Raw data'!J:J,B:B,'Audit Raw data'!E:E,G:G)/H2914)/100,"-")</f>
        <v>-</v>
      </c>
      <c r="J2914">
        <f>COUNTIFS('Audit Raw data'!AM:AM,"Yes",'Audit Raw data'!J:J,B:B,'Audit Raw data'!E:E,'Day wise agent'!G:G)</f>
        <v>0</v>
      </c>
      <c r="K2914">
        <f>COUNTIFS('Audit Raw data'!AM:AM,"NO",'Audit Raw data'!J:J,B:B,'Audit Raw data'!E:E,'Day wise agent'!G:G)</f>
        <v>0</v>
      </c>
      <c r="L2914" s="12" t="str">
        <f t="shared" si="66"/>
        <v xml:space="preserve"> </v>
      </c>
    </row>
    <row r="2915" spans="4:12" x14ac:dyDescent="0.35">
      <c r="D2915" s="32"/>
      <c r="G2915" s="32"/>
      <c r="H2915">
        <f>COUNTIFS('Audit Raw data'!J:J,B:B,'Audit Raw data'!E:E,G:G)</f>
        <v>0</v>
      </c>
      <c r="I2915" s="44" t="str">
        <f>IFERROR((SUMIFS('Audit Raw data'!BZ:BZ,'Audit Raw data'!J:J,B:B,'Audit Raw data'!E:E,G:G)/H2915)/100,"-")</f>
        <v>-</v>
      </c>
      <c r="J2915">
        <f>COUNTIFS('Audit Raw data'!AM:AM,"Yes",'Audit Raw data'!J:J,B:B,'Audit Raw data'!E:E,'Day wise agent'!G:G)</f>
        <v>0</v>
      </c>
      <c r="K2915">
        <f>COUNTIFS('Audit Raw data'!AM:AM,"NO",'Audit Raw data'!J:J,B:B,'Audit Raw data'!E:E,'Day wise agent'!G:G)</f>
        <v>0</v>
      </c>
      <c r="L2915" s="12" t="str">
        <f t="shared" si="66"/>
        <v xml:space="preserve"> </v>
      </c>
    </row>
    <row r="2916" spans="4:12" x14ac:dyDescent="0.35">
      <c r="D2916" s="32"/>
      <c r="G2916" s="32"/>
      <c r="H2916">
        <f>COUNTIFS('Audit Raw data'!J:J,B:B,'Audit Raw data'!E:E,G:G)</f>
        <v>0</v>
      </c>
      <c r="I2916" s="44" t="str">
        <f>IFERROR((SUMIFS('Audit Raw data'!BZ:BZ,'Audit Raw data'!J:J,B:B,'Audit Raw data'!E:E,G:G)/H2916)/100,"-")</f>
        <v>-</v>
      </c>
      <c r="J2916">
        <f>COUNTIFS('Audit Raw data'!AM:AM,"Yes",'Audit Raw data'!J:J,B:B,'Audit Raw data'!E:E,'Day wise agent'!G:G)</f>
        <v>0</v>
      </c>
      <c r="K2916">
        <f>COUNTIFS('Audit Raw data'!AM:AM,"NO",'Audit Raw data'!J:J,B:B,'Audit Raw data'!E:E,'Day wise agent'!G:G)</f>
        <v>0</v>
      </c>
      <c r="L2916" s="12" t="str">
        <f t="shared" si="66"/>
        <v xml:space="preserve"> </v>
      </c>
    </row>
    <row r="2917" spans="4:12" x14ac:dyDescent="0.35">
      <c r="D2917" s="32"/>
      <c r="G2917" s="32"/>
      <c r="H2917">
        <f>COUNTIFS('Audit Raw data'!J:J,B:B,'Audit Raw data'!E:E,G:G)</f>
        <v>0</v>
      </c>
      <c r="I2917" s="44" t="str">
        <f>IFERROR((SUMIFS('Audit Raw data'!BZ:BZ,'Audit Raw data'!J:J,B:B,'Audit Raw data'!E:E,G:G)/H2917)/100,"-")</f>
        <v>-</v>
      </c>
      <c r="J2917">
        <f>COUNTIFS('Audit Raw data'!AM:AM,"Yes",'Audit Raw data'!J:J,B:B,'Audit Raw data'!E:E,'Day wise agent'!G:G)</f>
        <v>0</v>
      </c>
      <c r="K2917">
        <f>COUNTIFS('Audit Raw data'!AM:AM,"NO",'Audit Raw data'!J:J,B:B,'Audit Raw data'!E:E,'Day wise agent'!G:G)</f>
        <v>0</v>
      </c>
      <c r="L2917" s="12" t="str">
        <f t="shared" si="66"/>
        <v xml:space="preserve"> </v>
      </c>
    </row>
    <row r="2918" spans="4:12" x14ac:dyDescent="0.35">
      <c r="D2918" s="32"/>
      <c r="G2918" s="32"/>
      <c r="H2918">
        <f>COUNTIFS('Audit Raw data'!J:J,B:B,'Audit Raw data'!E:E,G:G)</f>
        <v>0</v>
      </c>
      <c r="I2918" s="44" t="str">
        <f>IFERROR((SUMIFS('Audit Raw data'!BZ:BZ,'Audit Raw data'!J:J,B:B,'Audit Raw data'!E:E,G:G)/H2918)/100,"-")</f>
        <v>-</v>
      </c>
      <c r="J2918">
        <f>COUNTIFS('Audit Raw data'!AM:AM,"Yes",'Audit Raw data'!J:J,B:B,'Audit Raw data'!E:E,'Day wise agent'!G:G)</f>
        <v>0</v>
      </c>
      <c r="K2918">
        <f>COUNTIFS('Audit Raw data'!AM:AM,"NO",'Audit Raw data'!J:J,B:B,'Audit Raw data'!E:E,'Day wise agent'!G:G)</f>
        <v>0</v>
      </c>
      <c r="L2918" s="12" t="str">
        <f t="shared" si="66"/>
        <v xml:space="preserve"> </v>
      </c>
    </row>
    <row r="2919" spans="4:12" x14ac:dyDescent="0.35">
      <c r="D2919" s="32"/>
      <c r="G2919" s="32"/>
      <c r="H2919">
        <f>COUNTIFS('Audit Raw data'!J:J,B:B,'Audit Raw data'!E:E,G:G)</f>
        <v>0</v>
      </c>
      <c r="I2919" s="44" t="str">
        <f>IFERROR((SUMIFS('Audit Raw data'!BZ:BZ,'Audit Raw data'!J:J,B:B,'Audit Raw data'!E:E,G:G)/H2919)/100,"-")</f>
        <v>-</v>
      </c>
      <c r="J2919">
        <f>COUNTIFS('Audit Raw data'!AM:AM,"Yes",'Audit Raw data'!J:J,B:B,'Audit Raw data'!E:E,'Day wise agent'!G:G)</f>
        <v>0</v>
      </c>
      <c r="K2919">
        <f>COUNTIFS('Audit Raw data'!AM:AM,"NO",'Audit Raw data'!J:J,B:B,'Audit Raw data'!E:E,'Day wise agent'!G:G)</f>
        <v>0</v>
      </c>
      <c r="L2919" s="12" t="str">
        <f t="shared" si="66"/>
        <v xml:space="preserve"> </v>
      </c>
    </row>
    <row r="2920" spans="4:12" x14ac:dyDescent="0.35">
      <c r="D2920" s="32"/>
      <c r="G2920" s="32"/>
      <c r="H2920">
        <f>COUNTIFS('Audit Raw data'!J:J,B:B,'Audit Raw data'!E:E,G:G)</f>
        <v>0</v>
      </c>
      <c r="I2920" s="44" t="str">
        <f>IFERROR((SUMIFS('Audit Raw data'!BZ:BZ,'Audit Raw data'!J:J,B:B,'Audit Raw data'!E:E,G:G)/H2920)/100,"-")</f>
        <v>-</v>
      </c>
      <c r="J2920">
        <f>COUNTIFS('Audit Raw data'!AM:AM,"Yes",'Audit Raw data'!J:J,B:B,'Audit Raw data'!E:E,'Day wise agent'!G:G)</f>
        <v>0</v>
      </c>
      <c r="K2920">
        <f>COUNTIFS('Audit Raw data'!AM:AM,"NO",'Audit Raw data'!J:J,B:B,'Audit Raw data'!E:E,'Day wise agent'!G:G)</f>
        <v>0</v>
      </c>
      <c r="L2920" s="12" t="str">
        <f t="shared" si="66"/>
        <v xml:space="preserve"> </v>
      </c>
    </row>
    <row r="2921" spans="4:12" x14ac:dyDescent="0.35">
      <c r="D2921" s="32"/>
      <c r="G2921" s="32"/>
      <c r="H2921">
        <f>COUNTIFS('Audit Raw data'!J:J,B:B,'Audit Raw data'!E:E,G:G)</f>
        <v>0</v>
      </c>
      <c r="I2921" s="44" t="str">
        <f>IFERROR((SUMIFS('Audit Raw data'!BZ:BZ,'Audit Raw data'!J:J,B:B,'Audit Raw data'!E:E,G:G)/H2921)/100,"-")</f>
        <v>-</v>
      </c>
      <c r="J2921">
        <f>COUNTIFS('Audit Raw data'!AM:AM,"Yes",'Audit Raw data'!J:J,B:B,'Audit Raw data'!E:E,'Day wise agent'!G:G)</f>
        <v>0</v>
      </c>
      <c r="K2921">
        <f>COUNTIFS('Audit Raw data'!AM:AM,"NO",'Audit Raw data'!J:J,B:B,'Audit Raw data'!E:E,'Day wise agent'!G:G)</f>
        <v>0</v>
      </c>
      <c r="L2921" s="12" t="str">
        <f t="shared" si="66"/>
        <v xml:space="preserve"> </v>
      </c>
    </row>
    <row r="2922" spans="4:12" x14ac:dyDescent="0.35">
      <c r="D2922" s="32"/>
      <c r="G2922" s="32"/>
      <c r="H2922">
        <f>COUNTIFS('Audit Raw data'!J:J,B:B,'Audit Raw data'!E:E,G:G)</f>
        <v>0</v>
      </c>
      <c r="I2922" s="44" t="str">
        <f>IFERROR((SUMIFS('Audit Raw data'!BZ:BZ,'Audit Raw data'!J:J,B:B,'Audit Raw data'!E:E,G:G)/H2922)/100,"-")</f>
        <v>-</v>
      </c>
      <c r="J2922">
        <f>COUNTIFS('Audit Raw data'!AM:AM,"Yes",'Audit Raw data'!J:J,B:B,'Audit Raw data'!E:E,'Day wise agent'!G:G)</f>
        <v>0</v>
      </c>
      <c r="K2922">
        <f>COUNTIFS('Audit Raw data'!AM:AM,"NO",'Audit Raw data'!J:J,B:B,'Audit Raw data'!E:E,'Day wise agent'!G:G)</f>
        <v>0</v>
      </c>
      <c r="L2922" s="12" t="str">
        <f t="shared" si="66"/>
        <v xml:space="preserve"> </v>
      </c>
    </row>
    <row r="2923" spans="4:12" x14ac:dyDescent="0.35">
      <c r="D2923" s="32"/>
      <c r="G2923" s="32"/>
      <c r="H2923">
        <f>COUNTIFS('Audit Raw data'!J:J,B:B,'Audit Raw data'!E:E,G:G)</f>
        <v>0</v>
      </c>
      <c r="I2923" s="44" t="str">
        <f>IFERROR((SUMIFS('Audit Raw data'!BZ:BZ,'Audit Raw data'!J:J,B:B,'Audit Raw data'!E:E,G:G)/H2923)/100,"-")</f>
        <v>-</v>
      </c>
      <c r="J2923">
        <f>COUNTIFS('Audit Raw data'!AM:AM,"Yes",'Audit Raw data'!J:J,B:B,'Audit Raw data'!E:E,'Day wise agent'!G:G)</f>
        <v>0</v>
      </c>
      <c r="K2923">
        <f>COUNTIFS('Audit Raw data'!AM:AM,"NO",'Audit Raw data'!J:J,B:B,'Audit Raw data'!E:E,'Day wise agent'!G:G)</f>
        <v>0</v>
      </c>
      <c r="L2923" s="12" t="str">
        <f t="shared" si="66"/>
        <v xml:space="preserve"> </v>
      </c>
    </row>
    <row r="2924" spans="4:12" x14ac:dyDescent="0.35">
      <c r="D2924" s="32"/>
      <c r="G2924" s="32"/>
      <c r="H2924">
        <f>COUNTIFS('Audit Raw data'!J:J,B:B,'Audit Raw data'!E:E,G:G)</f>
        <v>0</v>
      </c>
      <c r="I2924" s="44" t="str">
        <f>IFERROR((SUMIFS('Audit Raw data'!BZ:BZ,'Audit Raw data'!J:J,B:B,'Audit Raw data'!E:E,G:G)/H2924)/100,"-")</f>
        <v>-</v>
      </c>
      <c r="J2924">
        <f>COUNTIFS('Audit Raw data'!AM:AM,"Yes",'Audit Raw data'!J:J,B:B,'Audit Raw data'!E:E,'Day wise agent'!G:G)</f>
        <v>0</v>
      </c>
      <c r="K2924">
        <f>COUNTIFS('Audit Raw data'!AM:AM,"NO",'Audit Raw data'!J:J,B:B,'Audit Raw data'!E:E,'Day wise agent'!G:G)</f>
        <v>0</v>
      </c>
      <c r="L2924" s="12" t="str">
        <f t="shared" si="66"/>
        <v xml:space="preserve"> </v>
      </c>
    </row>
    <row r="2925" spans="4:12" x14ac:dyDescent="0.35">
      <c r="D2925" s="32"/>
      <c r="G2925" s="32"/>
      <c r="H2925">
        <f>COUNTIFS('Audit Raw data'!J:J,B:B,'Audit Raw data'!E:E,G:G)</f>
        <v>0</v>
      </c>
      <c r="I2925" s="44" t="str">
        <f>IFERROR((SUMIFS('Audit Raw data'!BZ:BZ,'Audit Raw data'!J:J,B:B,'Audit Raw data'!E:E,G:G)/H2925)/100,"-")</f>
        <v>-</v>
      </c>
      <c r="J2925">
        <f>COUNTIFS('Audit Raw data'!AM:AM,"Yes",'Audit Raw data'!J:J,B:B,'Audit Raw data'!E:E,'Day wise agent'!G:G)</f>
        <v>0</v>
      </c>
      <c r="K2925">
        <f>COUNTIFS('Audit Raw data'!AM:AM,"NO",'Audit Raw data'!J:J,B:B,'Audit Raw data'!E:E,'Day wise agent'!G:G)</f>
        <v>0</v>
      </c>
      <c r="L2925" s="12" t="str">
        <f t="shared" si="66"/>
        <v xml:space="preserve"> </v>
      </c>
    </row>
    <row r="2926" spans="4:12" x14ac:dyDescent="0.35">
      <c r="D2926" s="32"/>
      <c r="G2926" s="32"/>
      <c r="H2926">
        <f>COUNTIFS('Audit Raw data'!J:J,B:B,'Audit Raw data'!E:E,G:G)</f>
        <v>0</v>
      </c>
      <c r="I2926" s="44" t="str">
        <f>IFERROR((SUMIFS('Audit Raw data'!BZ:BZ,'Audit Raw data'!J:J,B:B,'Audit Raw data'!E:E,G:G)/H2926)/100,"-")</f>
        <v>-</v>
      </c>
      <c r="J2926">
        <f>COUNTIFS('Audit Raw data'!AM:AM,"Yes",'Audit Raw data'!J:J,B:B,'Audit Raw data'!E:E,'Day wise agent'!G:G)</f>
        <v>0</v>
      </c>
      <c r="K2926">
        <f>COUNTIFS('Audit Raw data'!AM:AM,"NO",'Audit Raw data'!J:J,B:B,'Audit Raw data'!E:E,'Day wise agent'!G:G)</f>
        <v>0</v>
      </c>
      <c r="L2926" s="12" t="str">
        <f t="shared" si="66"/>
        <v xml:space="preserve"> </v>
      </c>
    </row>
    <row r="2927" spans="4:12" x14ac:dyDescent="0.35">
      <c r="D2927" s="32"/>
      <c r="G2927" s="32"/>
      <c r="H2927">
        <f>COUNTIFS('Audit Raw data'!J:J,B:B,'Audit Raw data'!E:E,G:G)</f>
        <v>0</v>
      </c>
      <c r="I2927" s="44" t="str">
        <f>IFERROR((SUMIFS('Audit Raw data'!BZ:BZ,'Audit Raw data'!J:J,B:B,'Audit Raw data'!E:E,G:G)/H2927)/100,"-")</f>
        <v>-</v>
      </c>
      <c r="J2927">
        <f>COUNTIFS('Audit Raw data'!AM:AM,"Yes",'Audit Raw data'!J:J,B:B,'Audit Raw data'!E:E,'Day wise agent'!G:G)</f>
        <v>0</v>
      </c>
      <c r="K2927">
        <f>COUNTIFS('Audit Raw data'!AM:AM,"NO",'Audit Raw data'!J:J,B:B,'Audit Raw data'!E:E,'Day wise agent'!G:G)</f>
        <v>0</v>
      </c>
      <c r="L2927" s="12" t="str">
        <f t="shared" si="66"/>
        <v xml:space="preserve"> </v>
      </c>
    </row>
    <row r="2928" spans="4:12" x14ac:dyDescent="0.35">
      <c r="D2928" s="32"/>
      <c r="G2928" s="32"/>
      <c r="H2928">
        <f>COUNTIFS('Audit Raw data'!J:J,B:B,'Audit Raw data'!E:E,G:G)</f>
        <v>0</v>
      </c>
      <c r="I2928" s="44" t="str">
        <f>IFERROR((SUMIFS('Audit Raw data'!BZ:BZ,'Audit Raw data'!J:J,B:B,'Audit Raw data'!E:E,G:G)/H2928)/100,"-")</f>
        <v>-</v>
      </c>
      <c r="J2928">
        <f>COUNTIFS('Audit Raw data'!AM:AM,"Yes",'Audit Raw data'!J:J,B:B,'Audit Raw data'!E:E,'Day wise agent'!G:G)</f>
        <v>0</v>
      </c>
      <c r="K2928">
        <f>COUNTIFS('Audit Raw data'!AM:AM,"NO",'Audit Raw data'!J:J,B:B,'Audit Raw data'!E:E,'Day wise agent'!G:G)</f>
        <v>0</v>
      </c>
      <c r="L2928" s="12" t="str">
        <f t="shared" si="66"/>
        <v xml:space="preserve"> </v>
      </c>
    </row>
    <row r="2929" spans="4:12" x14ac:dyDescent="0.35">
      <c r="D2929" s="32"/>
      <c r="G2929" s="32"/>
      <c r="H2929">
        <f>COUNTIFS('Audit Raw data'!J:J,B:B,'Audit Raw data'!E:E,G:G)</f>
        <v>0</v>
      </c>
      <c r="I2929" s="44" t="str">
        <f>IFERROR((SUMIFS('Audit Raw data'!BZ:BZ,'Audit Raw data'!J:J,B:B,'Audit Raw data'!E:E,G:G)/H2929)/100,"-")</f>
        <v>-</v>
      </c>
      <c r="J2929">
        <f>COUNTIFS('Audit Raw data'!AM:AM,"Yes",'Audit Raw data'!J:J,B:B,'Audit Raw data'!E:E,'Day wise agent'!G:G)</f>
        <v>0</v>
      </c>
      <c r="K2929">
        <f>COUNTIFS('Audit Raw data'!AM:AM,"NO",'Audit Raw data'!J:J,B:B,'Audit Raw data'!E:E,'Day wise agent'!G:G)</f>
        <v>0</v>
      </c>
      <c r="L2929" s="12" t="str">
        <f t="shared" si="66"/>
        <v xml:space="preserve"> </v>
      </c>
    </row>
    <row r="2930" spans="4:12" x14ac:dyDescent="0.35">
      <c r="D2930" s="32"/>
      <c r="G2930" s="32"/>
      <c r="H2930">
        <f>COUNTIFS('Audit Raw data'!J:J,B:B,'Audit Raw data'!E:E,G:G)</f>
        <v>0</v>
      </c>
      <c r="I2930" s="44" t="str">
        <f>IFERROR((SUMIFS('Audit Raw data'!BZ:BZ,'Audit Raw data'!J:J,B:B,'Audit Raw data'!E:E,G:G)/H2930)/100,"-")</f>
        <v>-</v>
      </c>
      <c r="J2930">
        <f>COUNTIFS('Audit Raw data'!AM:AM,"Yes",'Audit Raw data'!J:J,B:B,'Audit Raw data'!E:E,'Day wise agent'!G:G)</f>
        <v>0</v>
      </c>
      <c r="K2930">
        <f>COUNTIFS('Audit Raw data'!AM:AM,"NO",'Audit Raw data'!J:J,B:B,'Audit Raw data'!E:E,'Day wise agent'!G:G)</f>
        <v>0</v>
      </c>
      <c r="L2930" s="12" t="str">
        <f t="shared" si="66"/>
        <v xml:space="preserve"> </v>
      </c>
    </row>
    <row r="2931" spans="4:12" x14ac:dyDescent="0.35">
      <c r="D2931" s="32"/>
      <c r="G2931" s="32"/>
      <c r="H2931">
        <f>COUNTIFS('Audit Raw data'!J:J,B:B,'Audit Raw data'!E:E,G:G)</f>
        <v>0</v>
      </c>
      <c r="I2931" s="44" t="str">
        <f>IFERROR((SUMIFS('Audit Raw data'!BZ:BZ,'Audit Raw data'!J:J,B:B,'Audit Raw data'!E:E,G:G)/H2931)/100,"-")</f>
        <v>-</v>
      </c>
      <c r="J2931">
        <f>COUNTIFS('Audit Raw data'!AM:AM,"Yes",'Audit Raw data'!J:J,B:B,'Audit Raw data'!E:E,'Day wise agent'!G:G)</f>
        <v>0</v>
      </c>
      <c r="K2931">
        <f>COUNTIFS('Audit Raw data'!AM:AM,"NO",'Audit Raw data'!J:J,B:B,'Audit Raw data'!E:E,'Day wise agent'!G:G)</f>
        <v>0</v>
      </c>
      <c r="L2931" s="12" t="str">
        <f t="shared" si="66"/>
        <v xml:space="preserve"> </v>
      </c>
    </row>
    <row r="2932" spans="4:12" x14ac:dyDescent="0.35">
      <c r="D2932" s="32"/>
      <c r="G2932" s="32"/>
      <c r="H2932">
        <f>COUNTIFS('Audit Raw data'!J:J,B:B,'Audit Raw data'!E:E,G:G)</f>
        <v>0</v>
      </c>
      <c r="I2932" s="44" t="str">
        <f>IFERROR((SUMIFS('Audit Raw data'!BZ:BZ,'Audit Raw data'!J:J,B:B,'Audit Raw data'!E:E,G:G)/H2932)/100,"-")</f>
        <v>-</v>
      </c>
      <c r="J2932">
        <f>COUNTIFS('Audit Raw data'!AM:AM,"Yes",'Audit Raw data'!J:J,B:B,'Audit Raw data'!E:E,'Day wise agent'!G:G)</f>
        <v>0</v>
      </c>
      <c r="K2932">
        <f>COUNTIFS('Audit Raw data'!AM:AM,"NO",'Audit Raw data'!J:J,B:B,'Audit Raw data'!E:E,'Day wise agent'!G:G)</f>
        <v>0</v>
      </c>
      <c r="L2932" s="12" t="str">
        <f t="shared" si="66"/>
        <v xml:space="preserve"> </v>
      </c>
    </row>
    <row r="2933" spans="4:12" x14ac:dyDescent="0.35">
      <c r="D2933" s="32"/>
      <c r="G2933" s="32"/>
      <c r="H2933">
        <f>COUNTIFS('Audit Raw data'!J:J,B:B,'Audit Raw data'!E:E,G:G)</f>
        <v>0</v>
      </c>
      <c r="I2933" s="44" t="str">
        <f>IFERROR((SUMIFS('Audit Raw data'!BZ:BZ,'Audit Raw data'!J:J,B:B,'Audit Raw data'!E:E,G:G)/H2933)/100,"-")</f>
        <v>-</v>
      </c>
      <c r="J2933">
        <f>COUNTIFS('Audit Raw data'!AM:AM,"Yes",'Audit Raw data'!J:J,B:B,'Audit Raw data'!E:E,'Day wise agent'!G:G)</f>
        <v>0</v>
      </c>
      <c r="K2933">
        <f>COUNTIFS('Audit Raw data'!AM:AM,"NO",'Audit Raw data'!J:J,B:B,'Audit Raw data'!E:E,'Day wise agent'!G:G)</f>
        <v>0</v>
      </c>
      <c r="L2933" s="12" t="str">
        <f t="shared" si="66"/>
        <v xml:space="preserve"> </v>
      </c>
    </row>
    <row r="2934" spans="4:12" x14ac:dyDescent="0.35">
      <c r="D2934" s="32"/>
      <c r="G2934" s="32"/>
      <c r="H2934">
        <f>COUNTIFS('Audit Raw data'!J:J,B:B,'Audit Raw data'!E:E,G:G)</f>
        <v>0</v>
      </c>
      <c r="I2934" s="44" t="str">
        <f>IFERROR((SUMIFS('Audit Raw data'!BZ:BZ,'Audit Raw data'!J:J,B:B,'Audit Raw data'!E:E,G:G)/H2934)/100,"-")</f>
        <v>-</v>
      </c>
      <c r="J2934">
        <f>COUNTIFS('Audit Raw data'!AM:AM,"Yes",'Audit Raw data'!J:J,B:B,'Audit Raw data'!E:E,'Day wise agent'!G:G)</f>
        <v>0</v>
      </c>
      <c r="K2934">
        <f>COUNTIFS('Audit Raw data'!AM:AM,"NO",'Audit Raw data'!J:J,B:B,'Audit Raw data'!E:E,'Day wise agent'!G:G)</f>
        <v>0</v>
      </c>
      <c r="L2934" s="12" t="str">
        <f t="shared" si="66"/>
        <v xml:space="preserve"> </v>
      </c>
    </row>
    <row r="2935" spans="4:12" x14ac:dyDescent="0.35">
      <c r="D2935" s="32"/>
      <c r="G2935" s="32"/>
      <c r="H2935">
        <f>COUNTIFS('Audit Raw data'!J:J,B:B,'Audit Raw data'!E:E,G:G)</f>
        <v>0</v>
      </c>
      <c r="I2935" s="44" t="str">
        <f>IFERROR((SUMIFS('Audit Raw data'!BZ:BZ,'Audit Raw data'!J:J,B:B,'Audit Raw data'!E:E,G:G)/H2935)/100,"-")</f>
        <v>-</v>
      </c>
      <c r="J2935">
        <f>COUNTIFS('Audit Raw data'!AM:AM,"Yes",'Audit Raw data'!J:J,B:B,'Audit Raw data'!E:E,'Day wise agent'!G:G)</f>
        <v>0</v>
      </c>
      <c r="K2935">
        <f>COUNTIFS('Audit Raw data'!AM:AM,"NO",'Audit Raw data'!J:J,B:B,'Audit Raw data'!E:E,'Day wise agent'!G:G)</f>
        <v>0</v>
      </c>
      <c r="L2935" s="12" t="str">
        <f t="shared" si="66"/>
        <v xml:space="preserve"> </v>
      </c>
    </row>
    <row r="2936" spans="4:12" x14ac:dyDescent="0.35">
      <c r="D2936" s="32"/>
      <c r="G2936" s="32"/>
      <c r="H2936">
        <f>COUNTIFS('Audit Raw data'!J:J,B:B,'Audit Raw data'!E:E,G:G)</f>
        <v>0</v>
      </c>
      <c r="I2936" s="44" t="str">
        <f>IFERROR((SUMIFS('Audit Raw data'!BZ:BZ,'Audit Raw data'!J:J,B:B,'Audit Raw data'!E:E,G:G)/H2936)/100,"-")</f>
        <v>-</v>
      </c>
      <c r="J2936">
        <f>COUNTIFS('Audit Raw data'!AM:AM,"Yes",'Audit Raw data'!J:J,B:B,'Audit Raw data'!E:E,'Day wise agent'!G:G)</f>
        <v>0</v>
      </c>
      <c r="K2936">
        <f>COUNTIFS('Audit Raw data'!AM:AM,"NO",'Audit Raw data'!J:J,B:B,'Audit Raw data'!E:E,'Day wise agent'!G:G)</f>
        <v>0</v>
      </c>
      <c r="L2936" s="12" t="str">
        <f t="shared" si="66"/>
        <v xml:space="preserve"> </v>
      </c>
    </row>
    <row r="2937" spans="4:12" x14ac:dyDescent="0.35">
      <c r="D2937" s="32"/>
      <c r="G2937" s="32"/>
      <c r="H2937">
        <f>COUNTIFS('Audit Raw data'!J:J,B:B,'Audit Raw data'!E:E,G:G)</f>
        <v>0</v>
      </c>
      <c r="I2937" s="44" t="str">
        <f>IFERROR((SUMIFS('Audit Raw data'!BZ:BZ,'Audit Raw data'!J:J,B:B,'Audit Raw data'!E:E,G:G)/H2937)/100,"-")</f>
        <v>-</v>
      </c>
      <c r="J2937">
        <f>COUNTIFS('Audit Raw data'!AM:AM,"Yes",'Audit Raw data'!J:J,B:B,'Audit Raw data'!E:E,'Day wise agent'!G:G)</f>
        <v>0</v>
      </c>
      <c r="K2937">
        <f>COUNTIFS('Audit Raw data'!AM:AM,"NO",'Audit Raw data'!J:J,B:B,'Audit Raw data'!E:E,'Day wise agent'!G:G)</f>
        <v>0</v>
      </c>
      <c r="L2937" s="12" t="str">
        <f t="shared" si="66"/>
        <v xml:space="preserve"> </v>
      </c>
    </row>
    <row r="2938" spans="4:12" x14ac:dyDescent="0.35">
      <c r="D2938" s="32"/>
      <c r="G2938" s="32"/>
      <c r="H2938">
        <f>COUNTIFS('Audit Raw data'!J:J,B:B,'Audit Raw data'!E:E,G:G)</f>
        <v>0</v>
      </c>
      <c r="I2938" s="44" t="str">
        <f>IFERROR((SUMIFS('Audit Raw data'!BZ:BZ,'Audit Raw data'!J:J,B:B,'Audit Raw data'!E:E,G:G)/H2938)/100,"-")</f>
        <v>-</v>
      </c>
      <c r="J2938">
        <f>COUNTIFS('Audit Raw data'!AM:AM,"Yes",'Audit Raw data'!J:J,B:B,'Audit Raw data'!E:E,'Day wise agent'!G:G)</f>
        <v>0</v>
      </c>
      <c r="K2938">
        <f>COUNTIFS('Audit Raw data'!AM:AM,"NO",'Audit Raw data'!J:J,B:B,'Audit Raw data'!E:E,'Day wise agent'!G:G)</f>
        <v>0</v>
      </c>
      <c r="L2938" s="12" t="str">
        <f t="shared" si="66"/>
        <v xml:space="preserve"> </v>
      </c>
    </row>
    <row r="2939" spans="4:12" x14ac:dyDescent="0.35">
      <c r="D2939" s="32"/>
      <c r="G2939" s="32"/>
      <c r="H2939">
        <f>COUNTIFS('Audit Raw data'!J:J,B:B,'Audit Raw data'!E:E,G:G)</f>
        <v>0</v>
      </c>
      <c r="I2939" s="44" t="str">
        <f>IFERROR((SUMIFS('Audit Raw data'!BZ:BZ,'Audit Raw data'!J:J,B:B,'Audit Raw data'!E:E,G:G)/H2939)/100,"-")</f>
        <v>-</v>
      </c>
      <c r="J2939">
        <f>COUNTIFS('Audit Raw data'!AM:AM,"Yes",'Audit Raw data'!J:J,B:B,'Audit Raw data'!E:E,'Day wise agent'!G:G)</f>
        <v>0</v>
      </c>
      <c r="K2939">
        <f>COUNTIFS('Audit Raw data'!AM:AM,"NO",'Audit Raw data'!J:J,B:B,'Audit Raw data'!E:E,'Day wise agent'!G:G)</f>
        <v>0</v>
      </c>
      <c r="L2939" s="12" t="str">
        <f t="shared" si="66"/>
        <v xml:space="preserve"> </v>
      </c>
    </row>
    <row r="2940" spans="4:12" x14ac:dyDescent="0.35">
      <c r="D2940" s="32"/>
      <c r="G2940" s="32"/>
      <c r="H2940">
        <f>COUNTIFS('Audit Raw data'!J:J,B:B,'Audit Raw data'!E:E,G:G)</f>
        <v>0</v>
      </c>
      <c r="I2940" s="44" t="str">
        <f>IFERROR((SUMIFS('Audit Raw data'!BZ:BZ,'Audit Raw data'!J:J,B:B,'Audit Raw data'!E:E,G:G)/H2940)/100,"-")</f>
        <v>-</v>
      </c>
      <c r="J2940">
        <f>COUNTIFS('Audit Raw data'!AM:AM,"Yes",'Audit Raw data'!J:J,B:B,'Audit Raw data'!E:E,'Day wise agent'!G:G)</f>
        <v>0</v>
      </c>
      <c r="K2940">
        <f>COUNTIFS('Audit Raw data'!AM:AM,"NO",'Audit Raw data'!J:J,B:B,'Audit Raw data'!E:E,'Day wise agent'!G:G)</f>
        <v>0</v>
      </c>
      <c r="L2940" s="12" t="str">
        <f t="shared" si="66"/>
        <v xml:space="preserve"> </v>
      </c>
    </row>
    <row r="2941" spans="4:12" x14ac:dyDescent="0.35">
      <c r="D2941" s="32"/>
      <c r="G2941" s="32"/>
      <c r="H2941">
        <f>COUNTIFS('Audit Raw data'!J:J,B:B,'Audit Raw data'!E:E,G:G)</f>
        <v>0</v>
      </c>
      <c r="I2941" s="44" t="str">
        <f>IFERROR((SUMIFS('Audit Raw data'!BZ:BZ,'Audit Raw data'!J:J,B:B,'Audit Raw data'!E:E,G:G)/H2941)/100,"-")</f>
        <v>-</v>
      </c>
      <c r="J2941">
        <f>COUNTIFS('Audit Raw data'!AM:AM,"Yes",'Audit Raw data'!J:J,B:B,'Audit Raw data'!E:E,'Day wise agent'!G:G)</f>
        <v>0</v>
      </c>
      <c r="K2941">
        <f>COUNTIFS('Audit Raw data'!AM:AM,"NO",'Audit Raw data'!J:J,B:B,'Audit Raw data'!E:E,'Day wise agent'!G:G)</f>
        <v>0</v>
      </c>
      <c r="L2941" s="12" t="str">
        <f t="shared" si="66"/>
        <v xml:space="preserve"> </v>
      </c>
    </row>
    <row r="2942" spans="4:12" x14ac:dyDescent="0.35">
      <c r="D2942" s="32"/>
      <c r="G2942" s="32"/>
      <c r="H2942">
        <f>COUNTIFS('Audit Raw data'!J:J,B:B,'Audit Raw data'!E:E,G:G)</f>
        <v>0</v>
      </c>
      <c r="I2942" s="44" t="str">
        <f>IFERROR((SUMIFS('Audit Raw data'!BZ:BZ,'Audit Raw data'!J:J,B:B,'Audit Raw data'!E:E,G:G)/H2942)/100,"-")</f>
        <v>-</v>
      </c>
      <c r="J2942">
        <f>COUNTIFS('Audit Raw data'!AM:AM,"Yes",'Audit Raw data'!J:J,B:B,'Audit Raw data'!E:E,'Day wise agent'!G:G)</f>
        <v>0</v>
      </c>
      <c r="K2942">
        <f>COUNTIFS('Audit Raw data'!AM:AM,"NO",'Audit Raw data'!J:J,B:B,'Audit Raw data'!E:E,'Day wise agent'!G:G)</f>
        <v>0</v>
      </c>
      <c r="L2942" s="12" t="str">
        <f t="shared" si="66"/>
        <v xml:space="preserve"> </v>
      </c>
    </row>
    <row r="2943" spans="4:12" x14ac:dyDescent="0.35">
      <c r="D2943" s="32"/>
      <c r="G2943" s="32"/>
      <c r="H2943">
        <f>COUNTIFS('Audit Raw data'!J:J,B:B,'Audit Raw data'!E:E,G:G)</f>
        <v>0</v>
      </c>
      <c r="I2943" s="44" t="str">
        <f>IFERROR((SUMIFS('Audit Raw data'!BZ:BZ,'Audit Raw data'!J:J,B:B,'Audit Raw data'!E:E,G:G)/H2943)/100,"-")</f>
        <v>-</v>
      </c>
      <c r="J2943">
        <f>COUNTIFS('Audit Raw data'!AM:AM,"Yes",'Audit Raw data'!J:J,B:B,'Audit Raw data'!E:E,'Day wise agent'!G:G)</f>
        <v>0</v>
      </c>
      <c r="K2943">
        <f>COUNTIFS('Audit Raw data'!AM:AM,"NO",'Audit Raw data'!J:J,B:B,'Audit Raw data'!E:E,'Day wise agent'!G:G)</f>
        <v>0</v>
      </c>
      <c r="L2943" s="12" t="str">
        <f t="shared" si="66"/>
        <v xml:space="preserve"> </v>
      </c>
    </row>
    <row r="2944" spans="4:12" x14ac:dyDescent="0.35">
      <c r="D2944" s="32"/>
      <c r="G2944" s="32"/>
      <c r="H2944">
        <f>COUNTIFS('Audit Raw data'!J:J,B:B,'Audit Raw data'!E:E,G:G)</f>
        <v>0</v>
      </c>
      <c r="I2944" s="44" t="str">
        <f>IFERROR((SUMIFS('Audit Raw data'!BZ:BZ,'Audit Raw data'!J:J,B:B,'Audit Raw data'!E:E,G:G)/H2944)/100,"-")</f>
        <v>-</v>
      </c>
      <c r="J2944">
        <f>COUNTIFS('Audit Raw data'!AM:AM,"Yes",'Audit Raw data'!J:J,B:B,'Audit Raw data'!E:E,'Day wise agent'!G:G)</f>
        <v>0</v>
      </c>
      <c r="K2944">
        <f>COUNTIFS('Audit Raw data'!AM:AM,"NO",'Audit Raw data'!J:J,B:B,'Audit Raw data'!E:E,'Day wise agent'!G:G)</f>
        <v>0</v>
      </c>
      <c r="L2944" s="12" t="str">
        <f t="shared" si="66"/>
        <v xml:space="preserve"> </v>
      </c>
    </row>
    <row r="2945" spans="4:12" x14ac:dyDescent="0.35">
      <c r="D2945" s="32"/>
      <c r="G2945" s="32"/>
      <c r="H2945">
        <f>COUNTIFS('Audit Raw data'!J:J,B:B,'Audit Raw data'!E:E,G:G)</f>
        <v>0</v>
      </c>
      <c r="I2945" s="44" t="str">
        <f>IFERROR((SUMIFS('Audit Raw data'!BZ:BZ,'Audit Raw data'!J:J,B:B,'Audit Raw data'!E:E,G:G)/H2945)/100,"-")</f>
        <v>-</v>
      </c>
      <c r="J2945">
        <f>COUNTIFS('Audit Raw data'!AM:AM,"Yes",'Audit Raw data'!J:J,B:B,'Audit Raw data'!E:E,'Day wise agent'!G:G)</f>
        <v>0</v>
      </c>
      <c r="K2945">
        <f>COUNTIFS('Audit Raw data'!AM:AM,"NO",'Audit Raw data'!J:J,B:B,'Audit Raw data'!E:E,'Day wise agent'!G:G)</f>
        <v>0</v>
      </c>
      <c r="L2945" s="12" t="str">
        <f t="shared" si="66"/>
        <v xml:space="preserve"> </v>
      </c>
    </row>
    <row r="2946" spans="4:12" x14ac:dyDescent="0.35">
      <c r="D2946" s="32"/>
      <c r="G2946" s="32"/>
      <c r="H2946">
        <f>COUNTIFS('Audit Raw data'!J:J,B:B,'Audit Raw data'!E:E,G:G)</f>
        <v>0</v>
      </c>
      <c r="I2946" s="44" t="str">
        <f>IFERROR((SUMIFS('Audit Raw data'!BZ:BZ,'Audit Raw data'!J:J,B:B,'Audit Raw data'!E:E,G:G)/H2946)/100,"-")</f>
        <v>-</v>
      </c>
      <c r="J2946">
        <f>COUNTIFS('Audit Raw data'!AM:AM,"Yes",'Audit Raw data'!J:J,B:B,'Audit Raw data'!E:E,'Day wise agent'!G:G)</f>
        <v>0</v>
      </c>
      <c r="K2946">
        <f>COUNTIFS('Audit Raw data'!AM:AM,"NO",'Audit Raw data'!J:J,B:B,'Audit Raw data'!E:E,'Day wise agent'!G:G)</f>
        <v>0</v>
      </c>
      <c r="L2946" s="12" t="str">
        <f t="shared" ref="L2946:L3009" si="67">IFERROR(J2946/H2946," ")</f>
        <v xml:space="preserve"> </v>
      </c>
    </row>
    <row r="2947" spans="4:12" x14ac:dyDescent="0.35">
      <c r="D2947" s="32"/>
      <c r="G2947" s="32"/>
      <c r="H2947">
        <f>COUNTIFS('Audit Raw data'!J:J,B:B,'Audit Raw data'!E:E,G:G)</f>
        <v>0</v>
      </c>
      <c r="I2947" s="44" t="str">
        <f>IFERROR((SUMIFS('Audit Raw data'!BZ:BZ,'Audit Raw data'!J:J,B:B,'Audit Raw data'!E:E,G:G)/H2947)/100,"-")</f>
        <v>-</v>
      </c>
      <c r="J2947">
        <f>COUNTIFS('Audit Raw data'!AM:AM,"Yes",'Audit Raw data'!J:J,B:B,'Audit Raw data'!E:E,'Day wise agent'!G:G)</f>
        <v>0</v>
      </c>
      <c r="K2947">
        <f>COUNTIFS('Audit Raw data'!AM:AM,"NO",'Audit Raw data'!J:J,B:B,'Audit Raw data'!E:E,'Day wise agent'!G:G)</f>
        <v>0</v>
      </c>
      <c r="L2947" s="12" t="str">
        <f t="shared" si="67"/>
        <v xml:space="preserve"> </v>
      </c>
    </row>
    <row r="2948" spans="4:12" x14ac:dyDescent="0.35">
      <c r="D2948" s="32"/>
      <c r="G2948" s="32"/>
      <c r="H2948">
        <f>COUNTIFS('Audit Raw data'!J:J,B:B,'Audit Raw data'!E:E,G:G)</f>
        <v>0</v>
      </c>
      <c r="I2948" s="44" t="str">
        <f>IFERROR((SUMIFS('Audit Raw data'!BZ:BZ,'Audit Raw data'!J:J,B:B,'Audit Raw data'!E:E,G:G)/H2948)/100,"-")</f>
        <v>-</v>
      </c>
      <c r="J2948">
        <f>COUNTIFS('Audit Raw data'!AM:AM,"Yes",'Audit Raw data'!J:J,B:B,'Audit Raw data'!E:E,'Day wise agent'!G:G)</f>
        <v>0</v>
      </c>
      <c r="K2948">
        <f>COUNTIFS('Audit Raw data'!AM:AM,"NO",'Audit Raw data'!J:J,B:B,'Audit Raw data'!E:E,'Day wise agent'!G:G)</f>
        <v>0</v>
      </c>
      <c r="L2948" s="12" t="str">
        <f t="shared" si="67"/>
        <v xml:space="preserve"> </v>
      </c>
    </row>
    <row r="2949" spans="4:12" x14ac:dyDescent="0.35">
      <c r="D2949" s="32"/>
      <c r="G2949" s="32"/>
      <c r="H2949">
        <f>COUNTIFS('Audit Raw data'!J:J,B:B,'Audit Raw data'!E:E,G:G)</f>
        <v>0</v>
      </c>
      <c r="I2949" s="44" t="str">
        <f>IFERROR((SUMIFS('Audit Raw data'!BZ:BZ,'Audit Raw data'!J:J,B:B,'Audit Raw data'!E:E,G:G)/H2949)/100,"-")</f>
        <v>-</v>
      </c>
      <c r="J2949">
        <f>COUNTIFS('Audit Raw data'!AM:AM,"Yes",'Audit Raw data'!J:J,B:B,'Audit Raw data'!E:E,'Day wise agent'!G:G)</f>
        <v>0</v>
      </c>
      <c r="K2949">
        <f>COUNTIFS('Audit Raw data'!AM:AM,"NO",'Audit Raw data'!J:J,B:B,'Audit Raw data'!E:E,'Day wise agent'!G:G)</f>
        <v>0</v>
      </c>
      <c r="L2949" s="12" t="str">
        <f t="shared" si="67"/>
        <v xml:space="preserve"> </v>
      </c>
    </row>
    <row r="2950" spans="4:12" x14ac:dyDescent="0.35">
      <c r="D2950" s="32"/>
      <c r="G2950" s="32"/>
      <c r="H2950">
        <f>COUNTIFS('Audit Raw data'!J:J,B:B,'Audit Raw data'!E:E,G:G)</f>
        <v>0</v>
      </c>
      <c r="I2950" s="44" t="str">
        <f>IFERROR((SUMIFS('Audit Raw data'!BZ:BZ,'Audit Raw data'!J:J,B:B,'Audit Raw data'!E:E,G:G)/H2950)/100,"-")</f>
        <v>-</v>
      </c>
      <c r="J2950">
        <f>COUNTIFS('Audit Raw data'!AM:AM,"Yes",'Audit Raw data'!J:J,B:B,'Audit Raw data'!E:E,'Day wise agent'!G:G)</f>
        <v>0</v>
      </c>
      <c r="K2950">
        <f>COUNTIFS('Audit Raw data'!AM:AM,"NO",'Audit Raw data'!J:J,B:B,'Audit Raw data'!E:E,'Day wise agent'!G:G)</f>
        <v>0</v>
      </c>
      <c r="L2950" s="12" t="str">
        <f t="shared" si="67"/>
        <v xml:space="preserve"> </v>
      </c>
    </row>
    <row r="2951" spans="4:12" x14ac:dyDescent="0.35">
      <c r="D2951" s="32"/>
      <c r="G2951" s="32"/>
      <c r="H2951">
        <f>COUNTIFS('Audit Raw data'!J:J,B:B,'Audit Raw data'!E:E,G:G)</f>
        <v>0</v>
      </c>
      <c r="I2951" s="44" t="str">
        <f>IFERROR((SUMIFS('Audit Raw data'!BZ:BZ,'Audit Raw data'!J:J,B:B,'Audit Raw data'!E:E,G:G)/H2951)/100,"-")</f>
        <v>-</v>
      </c>
      <c r="J2951">
        <f>COUNTIFS('Audit Raw data'!AM:AM,"Yes",'Audit Raw data'!J:J,B:B,'Audit Raw data'!E:E,'Day wise agent'!G:G)</f>
        <v>0</v>
      </c>
      <c r="K2951">
        <f>COUNTIFS('Audit Raw data'!AM:AM,"NO",'Audit Raw data'!J:J,B:B,'Audit Raw data'!E:E,'Day wise agent'!G:G)</f>
        <v>0</v>
      </c>
      <c r="L2951" s="12" t="str">
        <f t="shared" si="67"/>
        <v xml:space="preserve"> </v>
      </c>
    </row>
    <row r="2952" spans="4:12" x14ac:dyDescent="0.35">
      <c r="D2952" s="32"/>
      <c r="G2952" s="32"/>
      <c r="H2952">
        <f>COUNTIFS('Audit Raw data'!J:J,B:B,'Audit Raw data'!E:E,G:G)</f>
        <v>0</v>
      </c>
      <c r="I2952" s="44" t="str">
        <f>IFERROR((SUMIFS('Audit Raw data'!BZ:BZ,'Audit Raw data'!J:J,B:B,'Audit Raw data'!E:E,G:G)/H2952)/100,"-")</f>
        <v>-</v>
      </c>
      <c r="J2952">
        <f>COUNTIFS('Audit Raw data'!AM:AM,"Yes",'Audit Raw data'!J:J,B:B,'Audit Raw data'!E:E,'Day wise agent'!G:G)</f>
        <v>0</v>
      </c>
      <c r="K2952">
        <f>COUNTIFS('Audit Raw data'!AM:AM,"NO",'Audit Raw data'!J:J,B:B,'Audit Raw data'!E:E,'Day wise agent'!G:G)</f>
        <v>0</v>
      </c>
      <c r="L2952" s="12" t="str">
        <f t="shared" si="67"/>
        <v xml:space="preserve"> </v>
      </c>
    </row>
    <row r="2953" spans="4:12" x14ac:dyDescent="0.35">
      <c r="D2953" s="32"/>
      <c r="G2953" s="32"/>
      <c r="H2953">
        <f>COUNTIFS('Audit Raw data'!J:J,B:B,'Audit Raw data'!E:E,G:G)</f>
        <v>0</v>
      </c>
      <c r="I2953" s="44" t="str">
        <f>IFERROR((SUMIFS('Audit Raw data'!BZ:BZ,'Audit Raw data'!J:J,B:B,'Audit Raw data'!E:E,G:G)/H2953)/100,"-")</f>
        <v>-</v>
      </c>
      <c r="J2953">
        <f>COUNTIFS('Audit Raw data'!AM:AM,"Yes",'Audit Raw data'!J:J,B:B,'Audit Raw data'!E:E,'Day wise agent'!G:G)</f>
        <v>0</v>
      </c>
      <c r="K2953">
        <f>COUNTIFS('Audit Raw data'!AM:AM,"NO",'Audit Raw data'!J:J,B:B,'Audit Raw data'!E:E,'Day wise agent'!G:G)</f>
        <v>0</v>
      </c>
      <c r="L2953" s="12" t="str">
        <f t="shared" si="67"/>
        <v xml:space="preserve"> </v>
      </c>
    </row>
    <row r="2954" spans="4:12" x14ac:dyDescent="0.35">
      <c r="D2954" s="32"/>
      <c r="G2954" s="32"/>
      <c r="H2954">
        <f>COUNTIFS('Audit Raw data'!J:J,B:B,'Audit Raw data'!E:E,G:G)</f>
        <v>0</v>
      </c>
      <c r="I2954" s="44" t="str">
        <f>IFERROR((SUMIFS('Audit Raw data'!BZ:BZ,'Audit Raw data'!J:J,B:B,'Audit Raw data'!E:E,G:G)/H2954)/100,"-")</f>
        <v>-</v>
      </c>
      <c r="J2954">
        <f>COUNTIFS('Audit Raw data'!AM:AM,"Yes",'Audit Raw data'!J:J,B:B,'Audit Raw data'!E:E,'Day wise agent'!G:G)</f>
        <v>0</v>
      </c>
      <c r="K2954">
        <f>COUNTIFS('Audit Raw data'!AM:AM,"NO",'Audit Raw data'!J:J,B:B,'Audit Raw data'!E:E,'Day wise agent'!G:G)</f>
        <v>0</v>
      </c>
      <c r="L2954" s="12" t="str">
        <f t="shared" si="67"/>
        <v xml:space="preserve"> </v>
      </c>
    </row>
    <row r="2955" spans="4:12" x14ac:dyDescent="0.35">
      <c r="D2955" s="32"/>
      <c r="G2955" s="32"/>
      <c r="H2955">
        <f>COUNTIFS('Audit Raw data'!J:J,B:B,'Audit Raw data'!E:E,G:G)</f>
        <v>0</v>
      </c>
      <c r="I2955" s="44" t="str">
        <f>IFERROR((SUMIFS('Audit Raw data'!BZ:BZ,'Audit Raw data'!J:J,B:B,'Audit Raw data'!E:E,G:G)/H2955)/100,"-")</f>
        <v>-</v>
      </c>
      <c r="J2955">
        <f>COUNTIFS('Audit Raw data'!AM:AM,"Yes",'Audit Raw data'!J:J,B:B,'Audit Raw data'!E:E,'Day wise agent'!G:G)</f>
        <v>0</v>
      </c>
      <c r="K2955">
        <f>COUNTIFS('Audit Raw data'!AM:AM,"NO",'Audit Raw data'!J:J,B:B,'Audit Raw data'!E:E,'Day wise agent'!G:G)</f>
        <v>0</v>
      </c>
      <c r="L2955" s="12" t="str">
        <f t="shared" si="67"/>
        <v xml:space="preserve"> </v>
      </c>
    </row>
    <row r="2956" spans="4:12" x14ac:dyDescent="0.35">
      <c r="D2956" s="32"/>
      <c r="G2956" s="32"/>
      <c r="H2956">
        <f>COUNTIFS('Audit Raw data'!J:J,B:B,'Audit Raw data'!E:E,G:G)</f>
        <v>0</v>
      </c>
      <c r="I2956" s="44" t="str">
        <f>IFERROR((SUMIFS('Audit Raw data'!BZ:BZ,'Audit Raw data'!J:J,B:B,'Audit Raw data'!E:E,G:G)/H2956)/100,"-")</f>
        <v>-</v>
      </c>
      <c r="J2956">
        <f>COUNTIFS('Audit Raw data'!AM:AM,"Yes",'Audit Raw data'!J:J,B:B,'Audit Raw data'!E:E,'Day wise agent'!G:G)</f>
        <v>0</v>
      </c>
      <c r="K2956">
        <f>COUNTIFS('Audit Raw data'!AM:AM,"NO",'Audit Raw data'!J:J,B:B,'Audit Raw data'!E:E,'Day wise agent'!G:G)</f>
        <v>0</v>
      </c>
      <c r="L2956" s="12" t="str">
        <f t="shared" si="67"/>
        <v xml:space="preserve"> </v>
      </c>
    </row>
    <row r="2957" spans="4:12" x14ac:dyDescent="0.35">
      <c r="D2957" s="32"/>
      <c r="G2957" s="32"/>
      <c r="H2957">
        <f>COUNTIFS('Audit Raw data'!J:J,B:B,'Audit Raw data'!E:E,G:G)</f>
        <v>0</v>
      </c>
      <c r="I2957" s="44" t="str">
        <f>IFERROR((SUMIFS('Audit Raw data'!BZ:BZ,'Audit Raw data'!J:J,B:B,'Audit Raw data'!E:E,G:G)/H2957)/100,"-")</f>
        <v>-</v>
      </c>
      <c r="J2957">
        <f>COUNTIFS('Audit Raw data'!AM:AM,"Yes",'Audit Raw data'!J:J,B:B,'Audit Raw data'!E:E,'Day wise agent'!G:G)</f>
        <v>0</v>
      </c>
      <c r="K2957">
        <f>COUNTIFS('Audit Raw data'!AM:AM,"NO",'Audit Raw data'!J:J,B:B,'Audit Raw data'!E:E,'Day wise agent'!G:G)</f>
        <v>0</v>
      </c>
      <c r="L2957" s="12" t="str">
        <f t="shared" si="67"/>
        <v xml:space="preserve"> </v>
      </c>
    </row>
    <row r="2958" spans="4:12" x14ac:dyDescent="0.35">
      <c r="D2958" s="32"/>
      <c r="G2958" s="32"/>
      <c r="H2958">
        <f>COUNTIFS('Audit Raw data'!J:J,B:B,'Audit Raw data'!E:E,G:G)</f>
        <v>0</v>
      </c>
      <c r="I2958" s="44" t="str">
        <f>IFERROR((SUMIFS('Audit Raw data'!BZ:BZ,'Audit Raw data'!J:J,B:B,'Audit Raw data'!E:E,G:G)/H2958)/100,"-")</f>
        <v>-</v>
      </c>
      <c r="J2958">
        <f>COUNTIFS('Audit Raw data'!AM:AM,"Yes",'Audit Raw data'!J:J,B:B,'Audit Raw data'!E:E,'Day wise agent'!G:G)</f>
        <v>0</v>
      </c>
      <c r="K2958">
        <f>COUNTIFS('Audit Raw data'!AM:AM,"NO",'Audit Raw data'!J:J,B:B,'Audit Raw data'!E:E,'Day wise agent'!G:G)</f>
        <v>0</v>
      </c>
      <c r="L2958" s="12" t="str">
        <f t="shared" si="67"/>
        <v xml:space="preserve"> </v>
      </c>
    </row>
    <row r="2959" spans="4:12" x14ac:dyDescent="0.35">
      <c r="D2959" s="32"/>
      <c r="G2959" s="32"/>
      <c r="H2959">
        <f>COUNTIFS('Audit Raw data'!J:J,B:B,'Audit Raw data'!E:E,G:G)</f>
        <v>0</v>
      </c>
      <c r="I2959" s="44" t="str">
        <f>IFERROR((SUMIFS('Audit Raw data'!BZ:BZ,'Audit Raw data'!J:J,B:B,'Audit Raw data'!E:E,G:G)/H2959)/100,"-")</f>
        <v>-</v>
      </c>
      <c r="J2959">
        <f>COUNTIFS('Audit Raw data'!AM:AM,"Yes",'Audit Raw data'!J:J,B:B,'Audit Raw data'!E:E,'Day wise agent'!G:G)</f>
        <v>0</v>
      </c>
      <c r="K2959">
        <f>COUNTIFS('Audit Raw data'!AM:AM,"NO",'Audit Raw data'!J:J,B:B,'Audit Raw data'!E:E,'Day wise agent'!G:G)</f>
        <v>0</v>
      </c>
      <c r="L2959" s="12" t="str">
        <f t="shared" si="67"/>
        <v xml:space="preserve"> </v>
      </c>
    </row>
    <row r="2960" spans="4:12" x14ac:dyDescent="0.35">
      <c r="D2960" s="32"/>
      <c r="G2960" s="32"/>
      <c r="H2960">
        <f>COUNTIFS('Audit Raw data'!J:J,B:B,'Audit Raw data'!E:E,G:G)</f>
        <v>0</v>
      </c>
      <c r="I2960" s="44" t="str">
        <f>IFERROR((SUMIFS('Audit Raw data'!BZ:BZ,'Audit Raw data'!J:J,B:B,'Audit Raw data'!E:E,G:G)/H2960)/100,"-")</f>
        <v>-</v>
      </c>
      <c r="J2960">
        <f>COUNTIFS('Audit Raw data'!AM:AM,"Yes",'Audit Raw data'!J:J,B:B,'Audit Raw data'!E:E,'Day wise agent'!G:G)</f>
        <v>0</v>
      </c>
      <c r="K2960">
        <f>COUNTIFS('Audit Raw data'!AM:AM,"NO",'Audit Raw data'!J:J,B:B,'Audit Raw data'!E:E,'Day wise agent'!G:G)</f>
        <v>0</v>
      </c>
      <c r="L2960" s="12" t="str">
        <f t="shared" si="67"/>
        <v xml:space="preserve"> </v>
      </c>
    </row>
    <row r="2961" spans="4:12" x14ac:dyDescent="0.35">
      <c r="D2961" s="32"/>
      <c r="G2961" s="32"/>
      <c r="H2961">
        <f>COUNTIFS('Audit Raw data'!J:J,B:B,'Audit Raw data'!E:E,G:G)</f>
        <v>0</v>
      </c>
      <c r="I2961" s="44" t="str">
        <f>IFERROR((SUMIFS('Audit Raw data'!BZ:BZ,'Audit Raw data'!J:J,B:B,'Audit Raw data'!E:E,G:G)/H2961)/100,"-")</f>
        <v>-</v>
      </c>
      <c r="J2961">
        <f>COUNTIFS('Audit Raw data'!AM:AM,"Yes",'Audit Raw data'!J:J,B:B,'Audit Raw data'!E:E,'Day wise agent'!G:G)</f>
        <v>0</v>
      </c>
      <c r="K2961">
        <f>COUNTIFS('Audit Raw data'!AM:AM,"NO",'Audit Raw data'!J:J,B:B,'Audit Raw data'!E:E,'Day wise agent'!G:G)</f>
        <v>0</v>
      </c>
      <c r="L2961" s="12" t="str">
        <f t="shared" si="67"/>
        <v xml:space="preserve"> </v>
      </c>
    </row>
    <row r="2962" spans="4:12" x14ac:dyDescent="0.35">
      <c r="D2962" s="32"/>
      <c r="G2962" s="32"/>
      <c r="H2962">
        <f>COUNTIFS('Audit Raw data'!J:J,B:B,'Audit Raw data'!E:E,G:G)</f>
        <v>0</v>
      </c>
      <c r="I2962" s="44" t="str">
        <f>IFERROR((SUMIFS('Audit Raw data'!BZ:BZ,'Audit Raw data'!J:J,B:B,'Audit Raw data'!E:E,G:G)/H2962)/100,"-")</f>
        <v>-</v>
      </c>
      <c r="J2962">
        <f>COUNTIFS('Audit Raw data'!AM:AM,"Yes",'Audit Raw data'!J:J,B:B,'Audit Raw data'!E:E,'Day wise agent'!G:G)</f>
        <v>0</v>
      </c>
      <c r="K2962">
        <f>COUNTIFS('Audit Raw data'!AM:AM,"NO",'Audit Raw data'!J:J,B:B,'Audit Raw data'!E:E,'Day wise agent'!G:G)</f>
        <v>0</v>
      </c>
      <c r="L2962" s="12" t="str">
        <f t="shared" si="67"/>
        <v xml:space="preserve"> </v>
      </c>
    </row>
    <row r="2963" spans="4:12" x14ac:dyDescent="0.35">
      <c r="D2963" s="32"/>
      <c r="G2963" s="32"/>
      <c r="H2963">
        <f>COUNTIFS('Audit Raw data'!J:J,B:B,'Audit Raw data'!E:E,G:G)</f>
        <v>0</v>
      </c>
      <c r="I2963" s="44" t="str">
        <f>IFERROR((SUMIFS('Audit Raw data'!BZ:BZ,'Audit Raw data'!J:J,B:B,'Audit Raw data'!E:E,G:G)/H2963)/100,"-")</f>
        <v>-</v>
      </c>
      <c r="J2963">
        <f>COUNTIFS('Audit Raw data'!AM:AM,"Yes",'Audit Raw data'!J:J,B:B,'Audit Raw data'!E:E,'Day wise agent'!G:G)</f>
        <v>0</v>
      </c>
      <c r="K2963">
        <f>COUNTIFS('Audit Raw data'!AM:AM,"NO",'Audit Raw data'!J:J,B:B,'Audit Raw data'!E:E,'Day wise agent'!G:G)</f>
        <v>0</v>
      </c>
      <c r="L2963" s="12" t="str">
        <f t="shared" si="67"/>
        <v xml:space="preserve"> </v>
      </c>
    </row>
    <row r="2964" spans="4:12" x14ac:dyDescent="0.35">
      <c r="D2964" s="32"/>
      <c r="G2964" s="32"/>
      <c r="H2964">
        <f>COUNTIFS('Audit Raw data'!J:J,B:B,'Audit Raw data'!E:E,G:G)</f>
        <v>0</v>
      </c>
      <c r="I2964" s="44" t="str">
        <f>IFERROR((SUMIFS('Audit Raw data'!BZ:BZ,'Audit Raw data'!J:J,B:B,'Audit Raw data'!E:E,G:G)/H2964)/100,"-")</f>
        <v>-</v>
      </c>
      <c r="J2964">
        <f>COUNTIFS('Audit Raw data'!AM:AM,"Yes",'Audit Raw data'!J:J,B:B,'Audit Raw data'!E:E,'Day wise agent'!G:G)</f>
        <v>0</v>
      </c>
      <c r="K2964">
        <f>COUNTIFS('Audit Raw data'!AM:AM,"NO",'Audit Raw data'!J:J,B:B,'Audit Raw data'!E:E,'Day wise agent'!G:G)</f>
        <v>0</v>
      </c>
      <c r="L2964" s="12" t="str">
        <f t="shared" si="67"/>
        <v xml:space="preserve"> </v>
      </c>
    </row>
    <row r="2965" spans="4:12" x14ac:dyDescent="0.35">
      <c r="D2965" s="32"/>
      <c r="G2965" s="32"/>
      <c r="H2965">
        <f>COUNTIFS('Audit Raw data'!J:J,B:B,'Audit Raw data'!E:E,G:G)</f>
        <v>0</v>
      </c>
      <c r="I2965" s="44" t="str">
        <f>IFERROR((SUMIFS('Audit Raw data'!BZ:BZ,'Audit Raw data'!J:J,B:B,'Audit Raw data'!E:E,G:G)/H2965)/100,"-")</f>
        <v>-</v>
      </c>
      <c r="J2965">
        <f>COUNTIFS('Audit Raw data'!AM:AM,"Yes",'Audit Raw data'!J:J,B:B,'Audit Raw data'!E:E,'Day wise agent'!G:G)</f>
        <v>0</v>
      </c>
      <c r="K2965">
        <f>COUNTIFS('Audit Raw data'!AM:AM,"NO",'Audit Raw data'!J:J,B:B,'Audit Raw data'!E:E,'Day wise agent'!G:G)</f>
        <v>0</v>
      </c>
      <c r="L2965" s="12" t="str">
        <f t="shared" si="67"/>
        <v xml:space="preserve"> </v>
      </c>
    </row>
    <row r="2966" spans="4:12" x14ac:dyDescent="0.35">
      <c r="D2966" s="32"/>
      <c r="G2966" s="32"/>
      <c r="H2966">
        <f>COUNTIFS('Audit Raw data'!J:J,B:B,'Audit Raw data'!E:E,G:G)</f>
        <v>0</v>
      </c>
      <c r="I2966" s="44" t="str">
        <f>IFERROR((SUMIFS('Audit Raw data'!BZ:BZ,'Audit Raw data'!J:J,B:B,'Audit Raw data'!E:E,G:G)/H2966)/100,"-")</f>
        <v>-</v>
      </c>
      <c r="J2966">
        <f>COUNTIFS('Audit Raw data'!AM:AM,"Yes",'Audit Raw data'!J:J,B:B,'Audit Raw data'!E:E,'Day wise agent'!G:G)</f>
        <v>0</v>
      </c>
      <c r="K2966">
        <f>COUNTIFS('Audit Raw data'!AM:AM,"NO",'Audit Raw data'!J:J,B:B,'Audit Raw data'!E:E,'Day wise agent'!G:G)</f>
        <v>0</v>
      </c>
      <c r="L2966" s="12" t="str">
        <f t="shared" si="67"/>
        <v xml:space="preserve"> </v>
      </c>
    </row>
    <row r="2967" spans="4:12" x14ac:dyDescent="0.35">
      <c r="D2967" s="32"/>
      <c r="G2967" s="32"/>
      <c r="H2967">
        <f>COUNTIFS('Audit Raw data'!J:J,B:B,'Audit Raw data'!E:E,G:G)</f>
        <v>0</v>
      </c>
      <c r="I2967" s="44" t="str">
        <f>IFERROR((SUMIFS('Audit Raw data'!BZ:BZ,'Audit Raw data'!J:J,B:B,'Audit Raw data'!E:E,G:G)/H2967)/100,"-")</f>
        <v>-</v>
      </c>
      <c r="J2967">
        <f>COUNTIFS('Audit Raw data'!AM:AM,"Yes",'Audit Raw data'!J:J,B:B,'Audit Raw data'!E:E,'Day wise agent'!G:G)</f>
        <v>0</v>
      </c>
      <c r="K2967">
        <f>COUNTIFS('Audit Raw data'!AM:AM,"NO",'Audit Raw data'!J:J,B:B,'Audit Raw data'!E:E,'Day wise agent'!G:G)</f>
        <v>0</v>
      </c>
      <c r="L2967" s="12" t="str">
        <f t="shared" si="67"/>
        <v xml:space="preserve"> </v>
      </c>
    </row>
    <row r="2968" spans="4:12" x14ac:dyDescent="0.35">
      <c r="D2968" s="32"/>
      <c r="G2968" s="32"/>
      <c r="H2968">
        <f>COUNTIFS('Audit Raw data'!J:J,B:B,'Audit Raw data'!E:E,G:G)</f>
        <v>0</v>
      </c>
      <c r="I2968" s="44" t="str">
        <f>IFERROR((SUMIFS('Audit Raw data'!BZ:BZ,'Audit Raw data'!J:J,B:B,'Audit Raw data'!E:E,G:G)/H2968)/100,"-")</f>
        <v>-</v>
      </c>
      <c r="J2968">
        <f>COUNTIFS('Audit Raw data'!AM:AM,"Yes",'Audit Raw data'!J:J,B:B,'Audit Raw data'!E:E,'Day wise agent'!G:G)</f>
        <v>0</v>
      </c>
      <c r="K2968">
        <f>COUNTIFS('Audit Raw data'!AM:AM,"NO",'Audit Raw data'!J:J,B:B,'Audit Raw data'!E:E,'Day wise agent'!G:G)</f>
        <v>0</v>
      </c>
      <c r="L2968" s="12" t="str">
        <f t="shared" si="67"/>
        <v xml:space="preserve"> </v>
      </c>
    </row>
    <row r="2969" spans="4:12" x14ac:dyDescent="0.35">
      <c r="D2969" s="32"/>
      <c r="G2969" s="32"/>
      <c r="H2969">
        <f>COUNTIFS('Audit Raw data'!J:J,B:B,'Audit Raw data'!E:E,G:G)</f>
        <v>0</v>
      </c>
      <c r="I2969" s="44" t="str">
        <f>IFERROR((SUMIFS('Audit Raw data'!BZ:BZ,'Audit Raw data'!J:J,B:B,'Audit Raw data'!E:E,G:G)/H2969)/100,"-")</f>
        <v>-</v>
      </c>
      <c r="J2969">
        <f>COUNTIFS('Audit Raw data'!AM:AM,"Yes",'Audit Raw data'!J:J,B:B,'Audit Raw data'!E:E,'Day wise agent'!G:G)</f>
        <v>0</v>
      </c>
      <c r="K2969">
        <f>COUNTIFS('Audit Raw data'!AM:AM,"NO",'Audit Raw data'!J:J,B:B,'Audit Raw data'!E:E,'Day wise agent'!G:G)</f>
        <v>0</v>
      </c>
      <c r="L2969" s="12" t="str">
        <f t="shared" si="67"/>
        <v xml:space="preserve"> </v>
      </c>
    </row>
    <row r="2970" spans="4:12" x14ac:dyDescent="0.35">
      <c r="D2970" s="32"/>
      <c r="G2970" s="32"/>
      <c r="H2970">
        <f>COUNTIFS('Audit Raw data'!J:J,B:B,'Audit Raw data'!E:E,G:G)</f>
        <v>0</v>
      </c>
      <c r="I2970" s="44" t="str">
        <f>IFERROR((SUMIFS('Audit Raw data'!BZ:BZ,'Audit Raw data'!J:J,B:B,'Audit Raw data'!E:E,G:G)/H2970)/100,"-")</f>
        <v>-</v>
      </c>
      <c r="J2970">
        <f>COUNTIFS('Audit Raw data'!AM:AM,"Yes",'Audit Raw data'!J:J,B:B,'Audit Raw data'!E:E,'Day wise agent'!G:G)</f>
        <v>0</v>
      </c>
      <c r="K2970">
        <f>COUNTIFS('Audit Raw data'!AM:AM,"NO",'Audit Raw data'!J:J,B:B,'Audit Raw data'!E:E,'Day wise agent'!G:G)</f>
        <v>0</v>
      </c>
      <c r="L2970" s="12" t="str">
        <f t="shared" si="67"/>
        <v xml:space="preserve"> </v>
      </c>
    </row>
    <row r="2971" spans="4:12" x14ac:dyDescent="0.35">
      <c r="D2971" s="32"/>
      <c r="G2971" s="32"/>
      <c r="H2971">
        <f>COUNTIFS('Audit Raw data'!J:J,B:B,'Audit Raw data'!E:E,G:G)</f>
        <v>0</v>
      </c>
      <c r="I2971" s="44" t="str">
        <f>IFERROR((SUMIFS('Audit Raw data'!BZ:BZ,'Audit Raw data'!J:J,B:B,'Audit Raw data'!E:E,G:G)/H2971)/100,"-")</f>
        <v>-</v>
      </c>
      <c r="J2971">
        <f>COUNTIFS('Audit Raw data'!AM:AM,"Yes",'Audit Raw data'!J:J,B:B,'Audit Raw data'!E:E,'Day wise agent'!G:G)</f>
        <v>0</v>
      </c>
      <c r="K2971">
        <f>COUNTIFS('Audit Raw data'!AM:AM,"NO",'Audit Raw data'!J:J,B:B,'Audit Raw data'!E:E,'Day wise agent'!G:G)</f>
        <v>0</v>
      </c>
      <c r="L2971" s="12" t="str">
        <f t="shared" si="67"/>
        <v xml:space="preserve"> </v>
      </c>
    </row>
    <row r="2972" spans="4:12" x14ac:dyDescent="0.35">
      <c r="D2972" s="32"/>
      <c r="G2972" s="32"/>
      <c r="H2972">
        <f>COUNTIFS('Audit Raw data'!J:J,B:B,'Audit Raw data'!E:E,G:G)</f>
        <v>0</v>
      </c>
      <c r="I2972" s="44" t="str">
        <f>IFERROR((SUMIFS('Audit Raw data'!BZ:BZ,'Audit Raw data'!J:J,B:B,'Audit Raw data'!E:E,G:G)/H2972)/100,"-")</f>
        <v>-</v>
      </c>
      <c r="J2972">
        <f>COUNTIFS('Audit Raw data'!AM:AM,"Yes",'Audit Raw data'!J:J,B:B,'Audit Raw data'!E:E,'Day wise agent'!G:G)</f>
        <v>0</v>
      </c>
      <c r="K2972">
        <f>COUNTIFS('Audit Raw data'!AM:AM,"NO",'Audit Raw data'!J:J,B:B,'Audit Raw data'!E:E,'Day wise agent'!G:G)</f>
        <v>0</v>
      </c>
      <c r="L2972" s="12" t="str">
        <f t="shared" si="67"/>
        <v xml:space="preserve"> </v>
      </c>
    </row>
    <row r="2973" spans="4:12" x14ac:dyDescent="0.35">
      <c r="D2973" s="32"/>
      <c r="G2973" s="32"/>
      <c r="H2973">
        <f>COUNTIFS('Audit Raw data'!J:J,B:B,'Audit Raw data'!E:E,G:G)</f>
        <v>0</v>
      </c>
      <c r="I2973" s="44" t="str">
        <f>IFERROR((SUMIFS('Audit Raw data'!BZ:BZ,'Audit Raw data'!J:J,B:B,'Audit Raw data'!E:E,G:G)/H2973)/100,"-")</f>
        <v>-</v>
      </c>
      <c r="J2973">
        <f>COUNTIFS('Audit Raw data'!AM:AM,"Yes",'Audit Raw data'!J:J,B:B,'Audit Raw data'!E:E,'Day wise agent'!G:G)</f>
        <v>0</v>
      </c>
      <c r="K2973">
        <f>COUNTIFS('Audit Raw data'!AM:AM,"NO",'Audit Raw data'!J:J,B:B,'Audit Raw data'!E:E,'Day wise agent'!G:G)</f>
        <v>0</v>
      </c>
      <c r="L2973" s="12" t="str">
        <f t="shared" si="67"/>
        <v xml:space="preserve"> </v>
      </c>
    </row>
    <row r="2974" spans="4:12" x14ac:dyDescent="0.35">
      <c r="D2974" s="32"/>
      <c r="G2974" s="32"/>
      <c r="H2974">
        <f>COUNTIFS('Audit Raw data'!J:J,B:B,'Audit Raw data'!E:E,G:G)</f>
        <v>0</v>
      </c>
      <c r="I2974" s="44" t="str">
        <f>IFERROR((SUMIFS('Audit Raw data'!BZ:BZ,'Audit Raw data'!J:J,B:B,'Audit Raw data'!E:E,G:G)/H2974)/100,"-")</f>
        <v>-</v>
      </c>
      <c r="J2974">
        <f>COUNTIFS('Audit Raw data'!AM:AM,"Yes",'Audit Raw data'!J:J,B:B,'Audit Raw data'!E:E,'Day wise agent'!G:G)</f>
        <v>0</v>
      </c>
      <c r="K2974">
        <f>COUNTIFS('Audit Raw data'!AM:AM,"NO",'Audit Raw data'!J:J,B:B,'Audit Raw data'!E:E,'Day wise agent'!G:G)</f>
        <v>0</v>
      </c>
      <c r="L2974" s="12" t="str">
        <f t="shared" si="67"/>
        <v xml:space="preserve"> </v>
      </c>
    </row>
    <row r="2975" spans="4:12" x14ac:dyDescent="0.35">
      <c r="D2975" s="32"/>
      <c r="G2975" s="32"/>
      <c r="H2975">
        <f>COUNTIFS('Audit Raw data'!J:J,B:B,'Audit Raw data'!E:E,G:G)</f>
        <v>0</v>
      </c>
      <c r="I2975" s="44" t="str">
        <f>IFERROR((SUMIFS('Audit Raw data'!BZ:BZ,'Audit Raw data'!J:J,B:B,'Audit Raw data'!E:E,G:G)/H2975)/100,"-")</f>
        <v>-</v>
      </c>
      <c r="J2975">
        <f>COUNTIFS('Audit Raw data'!AM:AM,"Yes",'Audit Raw data'!J:J,B:B,'Audit Raw data'!E:E,'Day wise agent'!G:G)</f>
        <v>0</v>
      </c>
      <c r="K2975">
        <f>COUNTIFS('Audit Raw data'!AM:AM,"NO",'Audit Raw data'!J:J,B:B,'Audit Raw data'!E:E,'Day wise agent'!G:G)</f>
        <v>0</v>
      </c>
      <c r="L2975" s="12" t="str">
        <f t="shared" si="67"/>
        <v xml:space="preserve"> </v>
      </c>
    </row>
    <row r="2976" spans="4:12" x14ac:dyDescent="0.35">
      <c r="D2976" s="32"/>
      <c r="G2976" s="32"/>
      <c r="H2976">
        <f>COUNTIFS('Audit Raw data'!J:J,B:B,'Audit Raw data'!E:E,G:G)</f>
        <v>0</v>
      </c>
      <c r="I2976" s="44" t="str">
        <f>IFERROR((SUMIFS('Audit Raw data'!BZ:BZ,'Audit Raw data'!J:J,B:B,'Audit Raw data'!E:E,G:G)/H2976)/100,"-")</f>
        <v>-</v>
      </c>
      <c r="J2976">
        <f>COUNTIFS('Audit Raw data'!AM:AM,"Yes",'Audit Raw data'!J:J,B:B,'Audit Raw data'!E:E,'Day wise agent'!G:G)</f>
        <v>0</v>
      </c>
      <c r="K2976">
        <f>COUNTIFS('Audit Raw data'!AM:AM,"NO",'Audit Raw data'!J:J,B:B,'Audit Raw data'!E:E,'Day wise agent'!G:G)</f>
        <v>0</v>
      </c>
      <c r="L2976" s="12" t="str">
        <f t="shared" si="67"/>
        <v xml:space="preserve"> </v>
      </c>
    </row>
    <row r="2977" spans="4:12" x14ac:dyDescent="0.35">
      <c r="D2977" s="32"/>
      <c r="G2977" s="32"/>
      <c r="H2977">
        <f>COUNTIFS('Audit Raw data'!J:J,B:B,'Audit Raw data'!E:E,G:G)</f>
        <v>0</v>
      </c>
      <c r="I2977" s="44" t="str">
        <f>IFERROR((SUMIFS('Audit Raw data'!BZ:BZ,'Audit Raw data'!J:J,B:B,'Audit Raw data'!E:E,G:G)/H2977)/100,"-")</f>
        <v>-</v>
      </c>
      <c r="J2977">
        <f>COUNTIFS('Audit Raw data'!AM:AM,"Yes",'Audit Raw data'!J:J,B:B,'Audit Raw data'!E:E,'Day wise agent'!G:G)</f>
        <v>0</v>
      </c>
      <c r="K2977">
        <f>COUNTIFS('Audit Raw data'!AM:AM,"NO",'Audit Raw data'!J:J,B:B,'Audit Raw data'!E:E,'Day wise agent'!G:G)</f>
        <v>0</v>
      </c>
      <c r="L2977" s="12" t="str">
        <f t="shared" si="67"/>
        <v xml:space="preserve"> </v>
      </c>
    </row>
    <row r="2978" spans="4:12" x14ac:dyDescent="0.35">
      <c r="D2978" s="32"/>
      <c r="G2978" s="32"/>
      <c r="H2978">
        <f>COUNTIFS('Audit Raw data'!J:J,B:B,'Audit Raw data'!E:E,G:G)</f>
        <v>0</v>
      </c>
      <c r="I2978" s="44" t="str">
        <f>IFERROR((SUMIFS('Audit Raw data'!BZ:BZ,'Audit Raw data'!J:J,B:B,'Audit Raw data'!E:E,G:G)/H2978)/100,"-")</f>
        <v>-</v>
      </c>
      <c r="J2978">
        <f>COUNTIFS('Audit Raw data'!AM:AM,"Yes",'Audit Raw data'!J:J,B:B,'Audit Raw data'!E:E,'Day wise agent'!G:G)</f>
        <v>0</v>
      </c>
      <c r="K2978">
        <f>COUNTIFS('Audit Raw data'!AM:AM,"NO",'Audit Raw data'!J:J,B:B,'Audit Raw data'!E:E,'Day wise agent'!G:G)</f>
        <v>0</v>
      </c>
      <c r="L2978" s="12" t="str">
        <f t="shared" si="67"/>
        <v xml:space="preserve"> </v>
      </c>
    </row>
    <row r="2979" spans="4:12" x14ac:dyDescent="0.35">
      <c r="D2979" s="32"/>
      <c r="G2979" s="32"/>
      <c r="H2979">
        <f>COUNTIFS('Audit Raw data'!J:J,B:B,'Audit Raw data'!E:E,G:G)</f>
        <v>0</v>
      </c>
      <c r="I2979" s="44" t="str">
        <f>IFERROR((SUMIFS('Audit Raw data'!BZ:BZ,'Audit Raw data'!J:J,B:B,'Audit Raw data'!E:E,G:G)/H2979)/100,"-")</f>
        <v>-</v>
      </c>
      <c r="J2979">
        <f>COUNTIFS('Audit Raw data'!AM:AM,"Yes",'Audit Raw data'!J:J,B:B,'Audit Raw data'!E:E,'Day wise agent'!G:G)</f>
        <v>0</v>
      </c>
      <c r="K2979">
        <f>COUNTIFS('Audit Raw data'!AM:AM,"NO",'Audit Raw data'!J:J,B:B,'Audit Raw data'!E:E,'Day wise agent'!G:G)</f>
        <v>0</v>
      </c>
      <c r="L2979" s="12" t="str">
        <f t="shared" si="67"/>
        <v xml:space="preserve"> </v>
      </c>
    </row>
    <row r="2980" spans="4:12" x14ac:dyDescent="0.35">
      <c r="D2980" s="32"/>
      <c r="G2980" s="32"/>
      <c r="H2980">
        <f>COUNTIFS('Audit Raw data'!J:J,B:B,'Audit Raw data'!E:E,G:G)</f>
        <v>0</v>
      </c>
      <c r="I2980" s="44" t="str">
        <f>IFERROR((SUMIFS('Audit Raw data'!BZ:BZ,'Audit Raw data'!J:J,B:B,'Audit Raw data'!E:E,G:G)/H2980)/100,"-")</f>
        <v>-</v>
      </c>
      <c r="J2980">
        <f>COUNTIFS('Audit Raw data'!AM:AM,"Yes",'Audit Raw data'!J:J,B:B,'Audit Raw data'!E:E,'Day wise agent'!G:G)</f>
        <v>0</v>
      </c>
      <c r="K2980">
        <f>COUNTIFS('Audit Raw data'!AM:AM,"NO",'Audit Raw data'!J:J,B:B,'Audit Raw data'!E:E,'Day wise agent'!G:G)</f>
        <v>0</v>
      </c>
      <c r="L2980" s="12" t="str">
        <f t="shared" si="67"/>
        <v xml:space="preserve"> </v>
      </c>
    </row>
    <row r="2981" spans="4:12" x14ac:dyDescent="0.35">
      <c r="D2981" s="32"/>
      <c r="G2981" s="32"/>
      <c r="H2981">
        <f>COUNTIFS('Audit Raw data'!J:J,B:B,'Audit Raw data'!E:E,G:G)</f>
        <v>0</v>
      </c>
      <c r="I2981" s="44" t="str">
        <f>IFERROR((SUMIFS('Audit Raw data'!BZ:BZ,'Audit Raw data'!J:J,B:B,'Audit Raw data'!E:E,G:G)/H2981)/100,"-")</f>
        <v>-</v>
      </c>
      <c r="J2981">
        <f>COUNTIFS('Audit Raw data'!AM:AM,"Yes",'Audit Raw data'!J:J,B:B,'Audit Raw data'!E:E,'Day wise agent'!G:G)</f>
        <v>0</v>
      </c>
      <c r="K2981">
        <f>COUNTIFS('Audit Raw data'!AM:AM,"NO",'Audit Raw data'!J:J,B:B,'Audit Raw data'!E:E,'Day wise agent'!G:G)</f>
        <v>0</v>
      </c>
      <c r="L2981" s="12" t="str">
        <f t="shared" si="67"/>
        <v xml:space="preserve"> </v>
      </c>
    </row>
    <row r="2982" spans="4:12" x14ac:dyDescent="0.35">
      <c r="D2982" s="32"/>
      <c r="G2982" s="32"/>
      <c r="H2982">
        <f>COUNTIFS('Audit Raw data'!J:J,B:B,'Audit Raw data'!E:E,G:G)</f>
        <v>0</v>
      </c>
      <c r="I2982" s="44" t="str">
        <f>IFERROR((SUMIFS('Audit Raw data'!BZ:BZ,'Audit Raw data'!J:J,B:B,'Audit Raw data'!E:E,G:G)/H2982)/100,"-")</f>
        <v>-</v>
      </c>
      <c r="J2982">
        <f>COUNTIFS('Audit Raw data'!AM:AM,"Yes",'Audit Raw data'!J:J,B:B,'Audit Raw data'!E:E,'Day wise agent'!G:G)</f>
        <v>0</v>
      </c>
      <c r="K2982">
        <f>COUNTIFS('Audit Raw data'!AM:AM,"NO",'Audit Raw data'!J:J,B:B,'Audit Raw data'!E:E,'Day wise agent'!G:G)</f>
        <v>0</v>
      </c>
      <c r="L2982" s="12" t="str">
        <f t="shared" si="67"/>
        <v xml:space="preserve"> </v>
      </c>
    </row>
    <row r="2983" spans="4:12" x14ac:dyDescent="0.35">
      <c r="D2983" s="32"/>
      <c r="G2983" s="32"/>
      <c r="H2983">
        <f>COUNTIFS('Audit Raw data'!J:J,B:B,'Audit Raw data'!E:E,G:G)</f>
        <v>0</v>
      </c>
      <c r="I2983" s="44" t="str">
        <f>IFERROR((SUMIFS('Audit Raw data'!BZ:BZ,'Audit Raw data'!J:J,B:B,'Audit Raw data'!E:E,G:G)/H2983)/100,"-")</f>
        <v>-</v>
      </c>
      <c r="J2983">
        <f>COUNTIFS('Audit Raw data'!AM:AM,"Yes",'Audit Raw data'!J:J,B:B,'Audit Raw data'!E:E,'Day wise agent'!G:G)</f>
        <v>0</v>
      </c>
      <c r="K2983">
        <f>COUNTIFS('Audit Raw data'!AM:AM,"NO",'Audit Raw data'!J:J,B:B,'Audit Raw data'!E:E,'Day wise agent'!G:G)</f>
        <v>0</v>
      </c>
      <c r="L2983" s="12" t="str">
        <f t="shared" si="67"/>
        <v xml:space="preserve"> </v>
      </c>
    </row>
    <row r="2984" spans="4:12" x14ac:dyDescent="0.35">
      <c r="D2984" s="32"/>
      <c r="G2984" s="32"/>
      <c r="H2984">
        <f>COUNTIFS('Audit Raw data'!J:J,B:B,'Audit Raw data'!E:E,G:G)</f>
        <v>0</v>
      </c>
      <c r="I2984" s="44" t="str">
        <f>IFERROR((SUMIFS('Audit Raw data'!BZ:BZ,'Audit Raw data'!J:J,B:B,'Audit Raw data'!E:E,G:G)/H2984)/100,"-")</f>
        <v>-</v>
      </c>
      <c r="J2984">
        <f>COUNTIFS('Audit Raw data'!AM:AM,"Yes",'Audit Raw data'!J:J,B:B,'Audit Raw data'!E:E,'Day wise agent'!G:G)</f>
        <v>0</v>
      </c>
      <c r="K2984">
        <f>COUNTIFS('Audit Raw data'!AM:AM,"NO",'Audit Raw data'!J:J,B:B,'Audit Raw data'!E:E,'Day wise agent'!G:G)</f>
        <v>0</v>
      </c>
      <c r="L2984" s="12" t="str">
        <f t="shared" si="67"/>
        <v xml:space="preserve"> </v>
      </c>
    </row>
    <row r="2985" spans="4:12" x14ac:dyDescent="0.35">
      <c r="D2985" s="32"/>
      <c r="G2985" s="32"/>
      <c r="H2985">
        <f>COUNTIFS('Audit Raw data'!J:J,B:B,'Audit Raw data'!E:E,G:G)</f>
        <v>0</v>
      </c>
      <c r="I2985" s="44" t="str">
        <f>IFERROR((SUMIFS('Audit Raw data'!BZ:BZ,'Audit Raw data'!J:J,B:B,'Audit Raw data'!E:E,G:G)/H2985)/100,"-")</f>
        <v>-</v>
      </c>
      <c r="J2985">
        <f>COUNTIFS('Audit Raw data'!AM:AM,"Yes",'Audit Raw data'!J:J,B:B,'Audit Raw data'!E:E,'Day wise agent'!G:G)</f>
        <v>0</v>
      </c>
      <c r="K2985">
        <f>COUNTIFS('Audit Raw data'!AM:AM,"NO",'Audit Raw data'!J:J,B:B,'Audit Raw data'!E:E,'Day wise agent'!G:G)</f>
        <v>0</v>
      </c>
      <c r="L2985" s="12" t="str">
        <f t="shared" si="67"/>
        <v xml:space="preserve"> </v>
      </c>
    </row>
    <row r="2986" spans="4:12" x14ac:dyDescent="0.35">
      <c r="D2986" s="32"/>
      <c r="G2986" s="32"/>
      <c r="H2986">
        <f>COUNTIFS('Audit Raw data'!J:J,B:B,'Audit Raw data'!E:E,G:G)</f>
        <v>0</v>
      </c>
      <c r="I2986" s="44" t="str">
        <f>IFERROR((SUMIFS('Audit Raw data'!BZ:BZ,'Audit Raw data'!J:J,B:B,'Audit Raw data'!E:E,G:G)/H2986)/100,"-")</f>
        <v>-</v>
      </c>
      <c r="J2986">
        <f>COUNTIFS('Audit Raw data'!AM:AM,"Yes",'Audit Raw data'!J:J,B:B,'Audit Raw data'!E:E,'Day wise agent'!G:G)</f>
        <v>0</v>
      </c>
      <c r="K2986">
        <f>COUNTIFS('Audit Raw data'!AM:AM,"NO",'Audit Raw data'!J:J,B:B,'Audit Raw data'!E:E,'Day wise agent'!G:G)</f>
        <v>0</v>
      </c>
      <c r="L2986" s="12" t="str">
        <f t="shared" si="67"/>
        <v xml:space="preserve"> </v>
      </c>
    </row>
    <row r="2987" spans="4:12" x14ac:dyDescent="0.35">
      <c r="D2987" s="32"/>
      <c r="G2987" s="32"/>
      <c r="H2987">
        <f>COUNTIFS('Audit Raw data'!J:J,B:B,'Audit Raw data'!E:E,G:G)</f>
        <v>0</v>
      </c>
      <c r="I2987" s="44" t="str">
        <f>IFERROR((SUMIFS('Audit Raw data'!BZ:BZ,'Audit Raw data'!J:J,B:B,'Audit Raw data'!E:E,G:G)/H2987)/100,"-")</f>
        <v>-</v>
      </c>
      <c r="J2987">
        <f>COUNTIFS('Audit Raw data'!AM:AM,"Yes",'Audit Raw data'!J:J,B:B,'Audit Raw data'!E:E,'Day wise agent'!G:G)</f>
        <v>0</v>
      </c>
      <c r="K2987">
        <f>COUNTIFS('Audit Raw data'!AM:AM,"NO",'Audit Raw data'!J:J,B:B,'Audit Raw data'!E:E,'Day wise agent'!G:G)</f>
        <v>0</v>
      </c>
      <c r="L2987" s="12" t="str">
        <f t="shared" si="67"/>
        <v xml:space="preserve"> </v>
      </c>
    </row>
    <row r="2988" spans="4:12" x14ac:dyDescent="0.35">
      <c r="D2988" s="32"/>
      <c r="G2988" s="32"/>
      <c r="H2988">
        <f>COUNTIFS('Audit Raw data'!J:J,B:B,'Audit Raw data'!E:E,G:G)</f>
        <v>0</v>
      </c>
      <c r="I2988" s="44" t="str">
        <f>IFERROR((SUMIFS('Audit Raw data'!BZ:BZ,'Audit Raw data'!J:J,B:B,'Audit Raw data'!E:E,G:G)/H2988)/100,"-")</f>
        <v>-</v>
      </c>
      <c r="J2988">
        <f>COUNTIFS('Audit Raw data'!AM:AM,"Yes",'Audit Raw data'!J:J,B:B,'Audit Raw data'!E:E,'Day wise agent'!G:G)</f>
        <v>0</v>
      </c>
      <c r="K2988">
        <f>COUNTIFS('Audit Raw data'!AM:AM,"NO",'Audit Raw data'!J:J,B:B,'Audit Raw data'!E:E,'Day wise agent'!G:G)</f>
        <v>0</v>
      </c>
      <c r="L2988" s="12" t="str">
        <f t="shared" si="67"/>
        <v xml:space="preserve"> </v>
      </c>
    </row>
    <row r="2989" spans="4:12" x14ac:dyDescent="0.35">
      <c r="D2989" s="32"/>
      <c r="G2989" s="32"/>
      <c r="H2989">
        <f>COUNTIFS('Audit Raw data'!J:J,B:B,'Audit Raw data'!E:E,G:G)</f>
        <v>0</v>
      </c>
      <c r="I2989" s="44" t="str">
        <f>IFERROR((SUMIFS('Audit Raw data'!BZ:BZ,'Audit Raw data'!J:J,B:B,'Audit Raw data'!E:E,G:G)/H2989)/100,"-")</f>
        <v>-</v>
      </c>
      <c r="J2989">
        <f>COUNTIFS('Audit Raw data'!AM:AM,"Yes",'Audit Raw data'!J:J,B:B,'Audit Raw data'!E:E,'Day wise agent'!G:G)</f>
        <v>0</v>
      </c>
      <c r="K2989">
        <f>COUNTIFS('Audit Raw data'!AM:AM,"NO",'Audit Raw data'!J:J,B:B,'Audit Raw data'!E:E,'Day wise agent'!G:G)</f>
        <v>0</v>
      </c>
      <c r="L2989" s="12" t="str">
        <f t="shared" si="67"/>
        <v xml:space="preserve"> </v>
      </c>
    </row>
    <row r="2990" spans="4:12" x14ac:dyDescent="0.35">
      <c r="D2990" s="32"/>
      <c r="G2990" s="32"/>
      <c r="H2990">
        <f>COUNTIFS('Audit Raw data'!J:J,B:B,'Audit Raw data'!E:E,G:G)</f>
        <v>0</v>
      </c>
      <c r="I2990" s="44" t="str">
        <f>IFERROR((SUMIFS('Audit Raw data'!BZ:BZ,'Audit Raw data'!J:J,B:B,'Audit Raw data'!E:E,G:G)/H2990)/100,"-")</f>
        <v>-</v>
      </c>
      <c r="J2990">
        <f>COUNTIFS('Audit Raw data'!AM:AM,"Yes",'Audit Raw data'!J:J,B:B,'Audit Raw data'!E:E,'Day wise agent'!G:G)</f>
        <v>0</v>
      </c>
      <c r="K2990">
        <f>COUNTIFS('Audit Raw data'!AM:AM,"NO",'Audit Raw data'!J:J,B:B,'Audit Raw data'!E:E,'Day wise agent'!G:G)</f>
        <v>0</v>
      </c>
      <c r="L2990" s="12" t="str">
        <f t="shared" si="67"/>
        <v xml:space="preserve"> </v>
      </c>
    </row>
    <row r="2991" spans="4:12" x14ac:dyDescent="0.35">
      <c r="D2991" s="32"/>
      <c r="G2991" s="32"/>
      <c r="H2991">
        <f>COUNTIFS('Audit Raw data'!J:J,B:B,'Audit Raw data'!E:E,G:G)</f>
        <v>0</v>
      </c>
      <c r="I2991" s="44" t="str">
        <f>IFERROR((SUMIFS('Audit Raw data'!BZ:BZ,'Audit Raw data'!J:J,B:B,'Audit Raw data'!E:E,G:G)/H2991)/100,"-")</f>
        <v>-</v>
      </c>
      <c r="J2991">
        <f>COUNTIFS('Audit Raw data'!AM:AM,"Yes",'Audit Raw data'!J:J,B:B,'Audit Raw data'!E:E,'Day wise agent'!G:G)</f>
        <v>0</v>
      </c>
      <c r="K2991">
        <f>COUNTIFS('Audit Raw data'!AM:AM,"NO",'Audit Raw data'!J:J,B:B,'Audit Raw data'!E:E,'Day wise agent'!G:G)</f>
        <v>0</v>
      </c>
      <c r="L2991" s="12" t="str">
        <f t="shared" si="67"/>
        <v xml:space="preserve"> </v>
      </c>
    </row>
    <row r="2992" spans="4:12" x14ac:dyDescent="0.35">
      <c r="D2992" s="32"/>
      <c r="G2992" s="32"/>
      <c r="H2992">
        <f>COUNTIFS('Audit Raw data'!J:J,B:B,'Audit Raw data'!E:E,G:G)</f>
        <v>0</v>
      </c>
      <c r="I2992" s="44" t="str">
        <f>IFERROR((SUMIFS('Audit Raw data'!BZ:BZ,'Audit Raw data'!J:J,B:B,'Audit Raw data'!E:E,G:G)/H2992)/100,"-")</f>
        <v>-</v>
      </c>
      <c r="J2992">
        <f>COUNTIFS('Audit Raw data'!AM:AM,"Yes",'Audit Raw data'!J:J,B:B,'Audit Raw data'!E:E,'Day wise agent'!G:G)</f>
        <v>0</v>
      </c>
      <c r="K2992">
        <f>COUNTIFS('Audit Raw data'!AM:AM,"NO",'Audit Raw data'!J:J,B:B,'Audit Raw data'!E:E,'Day wise agent'!G:G)</f>
        <v>0</v>
      </c>
      <c r="L2992" s="12" t="str">
        <f t="shared" si="67"/>
        <v xml:space="preserve"> </v>
      </c>
    </row>
    <row r="2993" spans="4:12" x14ac:dyDescent="0.35">
      <c r="D2993" s="32"/>
      <c r="G2993" s="32"/>
      <c r="H2993">
        <f>COUNTIFS('Audit Raw data'!J:J,B:B,'Audit Raw data'!E:E,G:G)</f>
        <v>0</v>
      </c>
      <c r="I2993" s="44" t="str">
        <f>IFERROR((SUMIFS('Audit Raw data'!BZ:BZ,'Audit Raw data'!J:J,B:B,'Audit Raw data'!E:E,G:G)/H2993)/100,"-")</f>
        <v>-</v>
      </c>
      <c r="J2993">
        <f>COUNTIFS('Audit Raw data'!AM:AM,"Yes",'Audit Raw data'!J:J,B:B,'Audit Raw data'!E:E,'Day wise agent'!G:G)</f>
        <v>0</v>
      </c>
      <c r="K2993">
        <f>COUNTIFS('Audit Raw data'!AM:AM,"NO",'Audit Raw data'!J:J,B:B,'Audit Raw data'!E:E,'Day wise agent'!G:G)</f>
        <v>0</v>
      </c>
      <c r="L2993" s="12" t="str">
        <f t="shared" si="67"/>
        <v xml:space="preserve"> </v>
      </c>
    </row>
    <row r="2994" spans="4:12" x14ac:dyDescent="0.35">
      <c r="D2994" s="32"/>
      <c r="G2994" s="32"/>
      <c r="H2994">
        <f>COUNTIFS('Audit Raw data'!J:J,B:B,'Audit Raw data'!E:E,G:G)</f>
        <v>0</v>
      </c>
      <c r="I2994" s="44" t="str">
        <f>IFERROR((SUMIFS('Audit Raw data'!BZ:BZ,'Audit Raw data'!J:J,B:B,'Audit Raw data'!E:E,G:G)/H2994)/100,"-")</f>
        <v>-</v>
      </c>
      <c r="J2994">
        <f>COUNTIFS('Audit Raw data'!AM:AM,"Yes",'Audit Raw data'!J:J,B:B,'Audit Raw data'!E:E,'Day wise agent'!G:G)</f>
        <v>0</v>
      </c>
      <c r="K2994">
        <f>COUNTIFS('Audit Raw data'!AM:AM,"NO",'Audit Raw data'!J:J,B:B,'Audit Raw data'!E:E,'Day wise agent'!G:G)</f>
        <v>0</v>
      </c>
      <c r="L2994" s="12" t="str">
        <f t="shared" si="67"/>
        <v xml:space="preserve"> </v>
      </c>
    </row>
    <row r="2995" spans="4:12" x14ac:dyDescent="0.35">
      <c r="D2995" s="32"/>
      <c r="G2995" s="32"/>
      <c r="H2995">
        <f>COUNTIFS('Audit Raw data'!J:J,B:B,'Audit Raw data'!E:E,G:G)</f>
        <v>0</v>
      </c>
      <c r="I2995" s="44" t="str">
        <f>IFERROR((SUMIFS('Audit Raw data'!BZ:BZ,'Audit Raw data'!J:J,B:B,'Audit Raw data'!E:E,G:G)/H2995)/100,"-")</f>
        <v>-</v>
      </c>
      <c r="J2995">
        <f>COUNTIFS('Audit Raw data'!AM:AM,"Yes",'Audit Raw data'!J:J,B:B,'Audit Raw data'!E:E,'Day wise agent'!G:G)</f>
        <v>0</v>
      </c>
      <c r="K2995">
        <f>COUNTIFS('Audit Raw data'!AM:AM,"NO",'Audit Raw data'!J:J,B:B,'Audit Raw data'!E:E,'Day wise agent'!G:G)</f>
        <v>0</v>
      </c>
      <c r="L2995" s="12" t="str">
        <f t="shared" si="67"/>
        <v xml:space="preserve"> </v>
      </c>
    </row>
    <row r="2996" spans="4:12" x14ac:dyDescent="0.35">
      <c r="D2996" s="32"/>
      <c r="G2996" s="32"/>
      <c r="H2996">
        <f>COUNTIFS('Audit Raw data'!J:J,B:B,'Audit Raw data'!E:E,G:G)</f>
        <v>0</v>
      </c>
      <c r="I2996" s="44" t="str">
        <f>IFERROR((SUMIFS('Audit Raw data'!BZ:BZ,'Audit Raw data'!J:J,B:B,'Audit Raw data'!E:E,G:G)/H2996)/100,"-")</f>
        <v>-</v>
      </c>
      <c r="J2996">
        <f>COUNTIFS('Audit Raw data'!AM:AM,"Yes",'Audit Raw data'!J:J,B:B,'Audit Raw data'!E:E,'Day wise agent'!G:G)</f>
        <v>0</v>
      </c>
      <c r="K2996">
        <f>COUNTIFS('Audit Raw data'!AM:AM,"NO",'Audit Raw data'!J:J,B:B,'Audit Raw data'!E:E,'Day wise agent'!G:G)</f>
        <v>0</v>
      </c>
      <c r="L2996" s="12" t="str">
        <f t="shared" si="67"/>
        <v xml:space="preserve"> </v>
      </c>
    </row>
    <row r="2997" spans="4:12" x14ac:dyDescent="0.35">
      <c r="D2997" s="32"/>
      <c r="G2997" s="32"/>
      <c r="H2997">
        <f>COUNTIFS('Audit Raw data'!J:J,B:B,'Audit Raw data'!E:E,G:G)</f>
        <v>0</v>
      </c>
      <c r="I2997" s="44" t="str">
        <f>IFERROR((SUMIFS('Audit Raw data'!BZ:BZ,'Audit Raw data'!J:J,B:B,'Audit Raw data'!E:E,G:G)/H2997)/100,"-")</f>
        <v>-</v>
      </c>
      <c r="J2997">
        <f>COUNTIFS('Audit Raw data'!AM:AM,"Yes",'Audit Raw data'!J:J,B:B,'Audit Raw data'!E:E,'Day wise agent'!G:G)</f>
        <v>0</v>
      </c>
      <c r="K2997">
        <f>COUNTIFS('Audit Raw data'!AM:AM,"NO",'Audit Raw data'!J:J,B:B,'Audit Raw data'!E:E,'Day wise agent'!G:G)</f>
        <v>0</v>
      </c>
      <c r="L2997" s="12" t="str">
        <f t="shared" si="67"/>
        <v xml:space="preserve"> </v>
      </c>
    </row>
    <row r="2998" spans="4:12" x14ac:dyDescent="0.35">
      <c r="D2998" s="32"/>
      <c r="G2998" s="32"/>
      <c r="H2998">
        <f>COUNTIFS('Audit Raw data'!J:J,B:B,'Audit Raw data'!E:E,G:G)</f>
        <v>0</v>
      </c>
      <c r="I2998" s="44" t="str">
        <f>IFERROR((SUMIFS('Audit Raw data'!BZ:BZ,'Audit Raw data'!J:J,B:B,'Audit Raw data'!E:E,G:G)/H2998)/100,"-")</f>
        <v>-</v>
      </c>
      <c r="J2998">
        <f>COUNTIFS('Audit Raw data'!AM:AM,"Yes",'Audit Raw data'!J:J,B:B,'Audit Raw data'!E:E,'Day wise agent'!G:G)</f>
        <v>0</v>
      </c>
      <c r="K2998">
        <f>COUNTIFS('Audit Raw data'!AM:AM,"NO",'Audit Raw data'!J:J,B:B,'Audit Raw data'!E:E,'Day wise agent'!G:G)</f>
        <v>0</v>
      </c>
      <c r="L2998" s="12" t="str">
        <f t="shared" si="67"/>
        <v xml:space="preserve"> </v>
      </c>
    </row>
    <row r="2999" spans="4:12" x14ac:dyDescent="0.35">
      <c r="D2999" s="32"/>
      <c r="G2999" s="32"/>
      <c r="H2999">
        <f>COUNTIFS('Audit Raw data'!J:J,B:B,'Audit Raw data'!E:E,G:G)</f>
        <v>0</v>
      </c>
      <c r="I2999" s="44" t="str">
        <f>IFERROR((SUMIFS('Audit Raw data'!BZ:BZ,'Audit Raw data'!J:J,B:B,'Audit Raw data'!E:E,G:G)/H2999)/100,"-")</f>
        <v>-</v>
      </c>
      <c r="J2999">
        <f>COUNTIFS('Audit Raw data'!AM:AM,"Yes",'Audit Raw data'!J:J,B:B,'Audit Raw data'!E:E,'Day wise agent'!G:G)</f>
        <v>0</v>
      </c>
      <c r="K2999">
        <f>COUNTIFS('Audit Raw data'!AM:AM,"NO",'Audit Raw data'!J:J,B:B,'Audit Raw data'!E:E,'Day wise agent'!G:G)</f>
        <v>0</v>
      </c>
      <c r="L2999" s="12" t="str">
        <f t="shared" si="67"/>
        <v xml:space="preserve"> </v>
      </c>
    </row>
    <row r="3000" spans="4:12" x14ac:dyDescent="0.35">
      <c r="D3000" s="32"/>
      <c r="G3000" s="32"/>
      <c r="H3000">
        <f>COUNTIFS('Audit Raw data'!J:J,B:B,'Audit Raw data'!E:E,G:G)</f>
        <v>0</v>
      </c>
      <c r="I3000" s="44" t="str">
        <f>IFERROR((SUMIFS('Audit Raw data'!BZ:BZ,'Audit Raw data'!J:J,B:B,'Audit Raw data'!E:E,G:G)/H3000)/100,"-")</f>
        <v>-</v>
      </c>
      <c r="J3000">
        <f>COUNTIFS('Audit Raw data'!AM:AM,"Yes",'Audit Raw data'!J:J,B:B,'Audit Raw data'!E:E,'Day wise agent'!G:G)</f>
        <v>0</v>
      </c>
      <c r="K3000">
        <f>COUNTIFS('Audit Raw data'!AM:AM,"NO",'Audit Raw data'!J:J,B:B,'Audit Raw data'!E:E,'Day wise agent'!G:G)</f>
        <v>0</v>
      </c>
      <c r="L3000" s="12" t="str">
        <f t="shared" si="67"/>
        <v xml:space="preserve"> </v>
      </c>
    </row>
    <row r="3001" spans="4:12" x14ac:dyDescent="0.35">
      <c r="D3001" s="32"/>
      <c r="G3001" s="32"/>
      <c r="H3001">
        <f>COUNTIFS('Audit Raw data'!J:J,B:B,'Audit Raw data'!E:E,G:G)</f>
        <v>0</v>
      </c>
      <c r="I3001" s="44" t="str">
        <f>IFERROR((SUMIFS('Audit Raw data'!BZ:BZ,'Audit Raw data'!J:J,B:B,'Audit Raw data'!E:E,G:G)/H3001)/100,"-")</f>
        <v>-</v>
      </c>
      <c r="J3001">
        <f>COUNTIFS('Audit Raw data'!AM:AM,"Yes",'Audit Raw data'!J:J,B:B,'Audit Raw data'!E:E,'Day wise agent'!G:G)</f>
        <v>0</v>
      </c>
      <c r="K3001">
        <f>COUNTIFS('Audit Raw data'!AM:AM,"NO",'Audit Raw data'!J:J,B:B,'Audit Raw data'!E:E,'Day wise agent'!G:G)</f>
        <v>0</v>
      </c>
      <c r="L3001" s="12" t="str">
        <f t="shared" si="67"/>
        <v xml:space="preserve"> </v>
      </c>
    </row>
    <row r="3002" spans="4:12" x14ac:dyDescent="0.35">
      <c r="D3002" s="32"/>
      <c r="G3002" s="32"/>
      <c r="H3002">
        <f>COUNTIFS('Audit Raw data'!J:J,B:B,'Audit Raw data'!E:E,G:G)</f>
        <v>0</v>
      </c>
      <c r="I3002" s="44" t="str">
        <f>IFERROR((SUMIFS('Audit Raw data'!BZ:BZ,'Audit Raw data'!J:J,B:B,'Audit Raw data'!E:E,G:G)/H3002)/100,"-")</f>
        <v>-</v>
      </c>
      <c r="J3002">
        <f>COUNTIFS('Audit Raw data'!AM:AM,"Yes",'Audit Raw data'!J:J,B:B,'Audit Raw data'!E:E,'Day wise agent'!G:G)</f>
        <v>0</v>
      </c>
      <c r="K3002">
        <f>COUNTIFS('Audit Raw data'!AM:AM,"NO",'Audit Raw data'!J:J,B:B,'Audit Raw data'!E:E,'Day wise agent'!G:G)</f>
        <v>0</v>
      </c>
      <c r="L3002" s="12" t="str">
        <f t="shared" si="67"/>
        <v xml:space="preserve"> </v>
      </c>
    </row>
    <row r="3003" spans="4:12" x14ac:dyDescent="0.35">
      <c r="D3003" s="32"/>
      <c r="G3003" s="32"/>
      <c r="H3003">
        <f>COUNTIFS('Audit Raw data'!J:J,B:B,'Audit Raw data'!E:E,G:G)</f>
        <v>0</v>
      </c>
      <c r="I3003" s="44" t="str">
        <f>IFERROR((SUMIFS('Audit Raw data'!BZ:BZ,'Audit Raw data'!J:J,B:B,'Audit Raw data'!E:E,G:G)/H3003)/100,"-")</f>
        <v>-</v>
      </c>
      <c r="J3003">
        <f>COUNTIFS('Audit Raw data'!AM:AM,"Yes",'Audit Raw data'!J:J,B:B,'Audit Raw data'!E:E,'Day wise agent'!G:G)</f>
        <v>0</v>
      </c>
      <c r="K3003">
        <f>COUNTIFS('Audit Raw data'!AM:AM,"NO",'Audit Raw data'!J:J,B:B,'Audit Raw data'!E:E,'Day wise agent'!G:G)</f>
        <v>0</v>
      </c>
      <c r="L3003" s="12" t="str">
        <f t="shared" si="67"/>
        <v xml:space="preserve"> </v>
      </c>
    </row>
    <row r="3004" spans="4:12" x14ac:dyDescent="0.35">
      <c r="D3004" s="32"/>
      <c r="G3004" s="32"/>
      <c r="H3004">
        <f>COUNTIFS('Audit Raw data'!J:J,B:B,'Audit Raw data'!E:E,G:G)</f>
        <v>0</v>
      </c>
      <c r="I3004" s="44" t="str">
        <f>IFERROR((SUMIFS('Audit Raw data'!BZ:BZ,'Audit Raw data'!J:J,B:B,'Audit Raw data'!E:E,G:G)/H3004)/100,"-")</f>
        <v>-</v>
      </c>
      <c r="J3004">
        <f>COUNTIFS('Audit Raw data'!AM:AM,"Yes",'Audit Raw data'!J:J,B:B,'Audit Raw data'!E:E,'Day wise agent'!G:G)</f>
        <v>0</v>
      </c>
      <c r="K3004">
        <f>COUNTIFS('Audit Raw data'!AM:AM,"NO",'Audit Raw data'!J:J,B:B,'Audit Raw data'!E:E,'Day wise agent'!G:G)</f>
        <v>0</v>
      </c>
      <c r="L3004" s="12" t="str">
        <f t="shared" si="67"/>
        <v xml:space="preserve"> </v>
      </c>
    </row>
    <row r="3005" spans="4:12" x14ac:dyDescent="0.35">
      <c r="D3005" s="32"/>
      <c r="G3005" s="32"/>
      <c r="H3005">
        <f>COUNTIFS('Audit Raw data'!J:J,B:B,'Audit Raw data'!E:E,G:G)</f>
        <v>0</v>
      </c>
      <c r="I3005" s="44" t="str">
        <f>IFERROR((SUMIFS('Audit Raw data'!BZ:BZ,'Audit Raw data'!J:J,B:B,'Audit Raw data'!E:E,G:G)/H3005)/100,"-")</f>
        <v>-</v>
      </c>
      <c r="J3005">
        <f>COUNTIFS('Audit Raw data'!AM:AM,"Yes",'Audit Raw data'!J:J,B:B,'Audit Raw data'!E:E,'Day wise agent'!G:G)</f>
        <v>0</v>
      </c>
      <c r="K3005">
        <f>COUNTIFS('Audit Raw data'!AM:AM,"NO",'Audit Raw data'!J:J,B:B,'Audit Raw data'!E:E,'Day wise agent'!G:G)</f>
        <v>0</v>
      </c>
      <c r="L3005" s="12" t="str">
        <f t="shared" si="67"/>
        <v xml:space="preserve"> </v>
      </c>
    </row>
    <row r="3006" spans="4:12" x14ac:dyDescent="0.35">
      <c r="D3006" s="32"/>
      <c r="G3006" s="32"/>
      <c r="H3006">
        <f>COUNTIFS('Audit Raw data'!J:J,B:B,'Audit Raw data'!E:E,G:G)</f>
        <v>0</v>
      </c>
      <c r="I3006" s="44" t="str">
        <f>IFERROR((SUMIFS('Audit Raw data'!BZ:BZ,'Audit Raw data'!J:J,B:B,'Audit Raw data'!E:E,G:G)/H3006)/100,"-")</f>
        <v>-</v>
      </c>
      <c r="J3006">
        <f>COUNTIFS('Audit Raw data'!AM:AM,"Yes",'Audit Raw data'!J:J,B:B,'Audit Raw data'!E:E,'Day wise agent'!G:G)</f>
        <v>0</v>
      </c>
      <c r="K3006">
        <f>COUNTIFS('Audit Raw data'!AM:AM,"NO",'Audit Raw data'!J:J,B:B,'Audit Raw data'!E:E,'Day wise agent'!G:G)</f>
        <v>0</v>
      </c>
      <c r="L3006" s="12" t="str">
        <f t="shared" si="67"/>
        <v xml:space="preserve"> </v>
      </c>
    </row>
    <row r="3007" spans="4:12" x14ac:dyDescent="0.35">
      <c r="D3007" s="32"/>
      <c r="G3007" s="32"/>
      <c r="H3007">
        <f>COUNTIFS('Audit Raw data'!J:J,B:B,'Audit Raw data'!E:E,G:G)</f>
        <v>0</v>
      </c>
      <c r="I3007" s="44" t="str">
        <f>IFERROR((SUMIFS('Audit Raw data'!BZ:BZ,'Audit Raw data'!J:J,B:B,'Audit Raw data'!E:E,G:G)/H3007)/100,"-")</f>
        <v>-</v>
      </c>
      <c r="J3007">
        <f>COUNTIFS('Audit Raw data'!AM:AM,"Yes",'Audit Raw data'!J:J,B:B,'Audit Raw data'!E:E,'Day wise agent'!G:G)</f>
        <v>0</v>
      </c>
      <c r="K3007">
        <f>COUNTIFS('Audit Raw data'!AM:AM,"NO",'Audit Raw data'!J:J,B:B,'Audit Raw data'!E:E,'Day wise agent'!G:G)</f>
        <v>0</v>
      </c>
      <c r="L3007" s="12" t="str">
        <f t="shared" si="67"/>
        <v xml:space="preserve"> </v>
      </c>
    </row>
    <row r="3008" spans="4:12" x14ac:dyDescent="0.35">
      <c r="D3008" s="32"/>
      <c r="G3008" s="32"/>
      <c r="H3008">
        <f>COUNTIFS('Audit Raw data'!J:J,B:B,'Audit Raw data'!E:E,G:G)</f>
        <v>0</v>
      </c>
      <c r="I3008" s="44" t="str">
        <f>IFERROR((SUMIFS('Audit Raw data'!BZ:BZ,'Audit Raw data'!J:J,B:B,'Audit Raw data'!E:E,G:G)/H3008)/100,"-")</f>
        <v>-</v>
      </c>
      <c r="J3008">
        <f>COUNTIFS('Audit Raw data'!AM:AM,"Yes",'Audit Raw data'!J:J,B:B,'Audit Raw data'!E:E,'Day wise agent'!G:G)</f>
        <v>0</v>
      </c>
      <c r="K3008">
        <f>COUNTIFS('Audit Raw data'!AM:AM,"NO",'Audit Raw data'!J:J,B:B,'Audit Raw data'!E:E,'Day wise agent'!G:G)</f>
        <v>0</v>
      </c>
      <c r="L3008" s="12" t="str">
        <f t="shared" si="67"/>
        <v xml:space="preserve"> </v>
      </c>
    </row>
    <row r="3009" spans="4:12" x14ac:dyDescent="0.35">
      <c r="D3009" s="32"/>
      <c r="G3009" s="32"/>
      <c r="H3009">
        <f>COUNTIFS('Audit Raw data'!J:J,B:B,'Audit Raw data'!E:E,G:G)</f>
        <v>0</v>
      </c>
      <c r="I3009" s="44" t="str">
        <f>IFERROR((SUMIFS('Audit Raw data'!BZ:BZ,'Audit Raw data'!J:J,B:B,'Audit Raw data'!E:E,G:G)/H3009)/100,"-")</f>
        <v>-</v>
      </c>
      <c r="J3009">
        <f>COUNTIFS('Audit Raw data'!AM:AM,"Yes",'Audit Raw data'!J:J,B:B,'Audit Raw data'!E:E,'Day wise agent'!G:G)</f>
        <v>0</v>
      </c>
      <c r="K3009">
        <f>COUNTIFS('Audit Raw data'!AM:AM,"NO",'Audit Raw data'!J:J,B:B,'Audit Raw data'!E:E,'Day wise agent'!G:G)</f>
        <v>0</v>
      </c>
      <c r="L3009" s="12" t="str">
        <f t="shared" si="67"/>
        <v xml:space="preserve"> </v>
      </c>
    </row>
    <row r="3010" spans="4:12" x14ac:dyDescent="0.35">
      <c r="D3010" s="32"/>
      <c r="G3010" s="32"/>
      <c r="H3010">
        <f>COUNTIFS('Audit Raw data'!J:J,B:B,'Audit Raw data'!E:E,G:G)</f>
        <v>0</v>
      </c>
      <c r="I3010" s="44" t="str">
        <f>IFERROR((SUMIFS('Audit Raw data'!BZ:BZ,'Audit Raw data'!J:J,B:B,'Audit Raw data'!E:E,G:G)/H3010)/100,"-")</f>
        <v>-</v>
      </c>
      <c r="J3010">
        <f>COUNTIFS('Audit Raw data'!AM:AM,"Yes",'Audit Raw data'!J:J,B:B,'Audit Raw data'!E:E,'Day wise agent'!G:G)</f>
        <v>0</v>
      </c>
      <c r="K3010">
        <f>COUNTIFS('Audit Raw data'!AM:AM,"NO",'Audit Raw data'!J:J,B:B,'Audit Raw data'!E:E,'Day wise agent'!G:G)</f>
        <v>0</v>
      </c>
      <c r="L3010" s="12" t="str">
        <f t="shared" ref="L3010:L3073" si="68">IFERROR(J3010/H3010," ")</f>
        <v xml:space="preserve"> </v>
      </c>
    </row>
    <row r="3011" spans="4:12" x14ac:dyDescent="0.35">
      <c r="D3011" s="32"/>
      <c r="G3011" s="32"/>
      <c r="H3011">
        <f>COUNTIFS('Audit Raw data'!J:J,B:B,'Audit Raw data'!E:E,G:G)</f>
        <v>0</v>
      </c>
      <c r="I3011" s="44" t="str">
        <f>IFERROR((SUMIFS('Audit Raw data'!BZ:BZ,'Audit Raw data'!J:J,B:B,'Audit Raw data'!E:E,G:G)/H3011)/100,"-")</f>
        <v>-</v>
      </c>
      <c r="J3011">
        <f>COUNTIFS('Audit Raw data'!AM:AM,"Yes",'Audit Raw data'!J:J,B:B,'Audit Raw data'!E:E,'Day wise agent'!G:G)</f>
        <v>0</v>
      </c>
      <c r="K3011">
        <f>COUNTIFS('Audit Raw data'!AM:AM,"NO",'Audit Raw data'!J:J,B:B,'Audit Raw data'!E:E,'Day wise agent'!G:G)</f>
        <v>0</v>
      </c>
      <c r="L3011" s="12" t="str">
        <f t="shared" si="68"/>
        <v xml:space="preserve"> </v>
      </c>
    </row>
    <row r="3012" spans="4:12" x14ac:dyDescent="0.35">
      <c r="D3012" s="32"/>
      <c r="G3012" s="32"/>
      <c r="H3012">
        <f>COUNTIFS('Audit Raw data'!J:J,B:B,'Audit Raw data'!E:E,G:G)</f>
        <v>0</v>
      </c>
      <c r="I3012" s="44" t="str">
        <f>IFERROR((SUMIFS('Audit Raw data'!BZ:BZ,'Audit Raw data'!J:J,B:B,'Audit Raw data'!E:E,G:G)/H3012)/100,"-")</f>
        <v>-</v>
      </c>
      <c r="J3012">
        <f>COUNTIFS('Audit Raw data'!AM:AM,"Yes",'Audit Raw data'!J:J,B:B,'Audit Raw data'!E:E,'Day wise agent'!G:G)</f>
        <v>0</v>
      </c>
      <c r="K3012">
        <f>COUNTIFS('Audit Raw data'!AM:AM,"NO",'Audit Raw data'!J:J,B:B,'Audit Raw data'!E:E,'Day wise agent'!G:G)</f>
        <v>0</v>
      </c>
      <c r="L3012" s="12" t="str">
        <f t="shared" si="68"/>
        <v xml:space="preserve"> </v>
      </c>
    </row>
    <row r="3013" spans="4:12" x14ac:dyDescent="0.35">
      <c r="D3013" s="32"/>
      <c r="G3013" s="32"/>
      <c r="H3013">
        <f>COUNTIFS('Audit Raw data'!J:J,B:B,'Audit Raw data'!E:E,G:G)</f>
        <v>0</v>
      </c>
      <c r="I3013" s="44" t="str">
        <f>IFERROR((SUMIFS('Audit Raw data'!BZ:BZ,'Audit Raw data'!J:J,B:B,'Audit Raw data'!E:E,G:G)/H3013)/100,"-")</f>
        <v>-</v>
      </c>
      <c r="J3013">
        <f>COUNTIFS('Audit Raw data'!AM:AM,"Yes",'Audit Raw data'!J:J,B:B,'Audit Raw data'!E:E,'Day wise agent'!G:G)</f>
        <v>0</v>
      </c>
      <c r="K3013">
        <f>COUNTIFS('Audit Raw data'!AM:AM,"NO",'Audit Raw data'!J:J,B:B,'Audit Raw data'!E:E,'Day wise agent'!G:G)</f>
        <v>0</v>
      </c>
      <c r="L3013" s="12" t="str">
        <f t="shared" si="68"/>
        <v xml:space="preserve"> </v>
      </c>
    </row>
    <row r="3014" spans="4:12" x14ac:dyDescent="0.35">
      <c r="D3014" s="32"/>
      <c r="G3014" s="32"/>
      <c r="H3014">
        <f>COUNTIFS('Audit Raw data'!J:J,B:B,'Audit Raw data'!E:E,G:G)</f>
        <v>0</v>
      </c>
      <c r="I3014" s="44" t="str">
        <f>IFERROR((SUMIFS('Audit Raw data'!BZ:BZ,'Audit Raw data'!J:J,B:B,'Audit Raw data'!E:E,G:G)/H3014)/100,"-")</f>
        <v>-</v>
      </c>
      <c r="J3014">
        <f>COUNTIFS('Audit Raw data'!AM:AM,"Yes",'Audit Raw data'!J:J,B:B,'Audit Raw data'!E:E,'Day wise agent'!G:G)</f>
        <v>0</v>
      </c>
      <c r="K3014">
        <f>COUNTIFS('Audit Raw data'!AM:AM,"NO",'Audit Raw data'!J:J,B:B,'Audit Raw data'!E:E,'Day wise agent'!G:G)</f>
        <v>0</v>
      </c>
      <c r="L3014" s="12" t="str">
        <f t="shared" si="68"/>
        <v xml:space="preserve"> </v>
      </c>
    </row>
    <row r="3015" spans="4:12" x14ac:dyDescent="0.35">
      <c r="D3015" s="32"/>
      <c r="G3015" s="32"/>
      <c r="H3015">
        <f>COUNTIFS('Audit Raw data'!J:J,B:B,'Audit Raw data'!E:E,G:G)</f>
        <v>0</v>
      </c>
      <c r="I3015" s="44" t="str">
        <f>IFERROR((SUMIFS('Audit Raw data'!BZ:BZ,'Audit Raw data'!J:J,B:B,'Audit Raw data'!E:E,G:G)/H3015)/100,"-")</f>
        <v>-</v>
      </c>
      <c r="J3015">
        <f>COUNTIFS('Audit Raw data'!AM:AM,"Yes",'Audit Raw data'!J:J,B:B,'Audit Raw data'!E:E,'Day wise agent'!G:G)</f>
        <v>0</v>
      </c>
      <c r="K3015">
        <f>COUNTIFS('Audit Raw data'!AM:AM,"NO",'Audit Raw data'!J:J,B:B,'Audit Raw data'!E:E,'Day wise agent'!G:G)</f>
        <v>0</v>
      </c>
      <c r="L3015" s="12" t="str">
        <f t="shared" si="68"/>
        <v xml:space="preserve"> </v>
      </c>
    </row>
    <row r="3016" spans="4:12" x14ac:dyDescent="0.35">
      <c r="D3016" s="32"/>
      <c r="G3016" s="32"/>
      <c r="H3016">
        <f>COUNTIFS('Audit Raw data'!J:J,B:B,'Audit Raw data'!E:E,G:G)</f>
        <v>0</v>
      </c>
      <c r="I3016" s="44" t="str">
        <f>IFERROR((SUMIFS('Audit Raw data'!BZ:BZ,'Audit Raw data'!J:J,B:B,'Audit Raw data'!E:E,G:G)/H3016)/100,"-")</f>
        <v>-</v>
      </c>
      <c r="J3016">
        <f>COUNTIFS('Audit Raw data'!AM:AM,"Yes",'Audit Raw data'!J:J,B:B,'Audit Raw data'!E:E,'Day wise agent'!G:G)</f>
        <v>0</v>
      </c>
      <c r="K3016">
        <f>COUNTIFS('Audit Raw data'!AM:AM,"NO",'Audit Raw data'!J:J,B:B,'Audit Raw data'!E:E,'Day wise agent'!G:G)</f>
        <v>0</v>
      </c>
      <c r="L3016" s="12" t="str">
        <f t="shared" si="68"/>
        <v xml:space="preserve"> </v>
      </c>
    </row>
    <row r="3017" spans="4:12" x14ac:dyDescent="0.35">
      <c r="D3017" s="32"/>
      <c r="G3017" s="32"/>
      <c r="H3017">
        <f>COUNTIFS('Audit Raw data'!J:J,B:B,'Audit Raw data'!E:E,G:G)</f>
        <v>0</v>
      </c>
      <c r="I3017" s="44" t="str">
        <f>IFERROR((SUMIFS('Audit Raw data'!BZ:BZ,'Audit Raw data'!J:J,B:B,'Audit Raw data'!E:E,G:G)/H3017)/100,"-")</f>
        <v>-</v>
      </c>
      <c r="J3017">
        <f>COUNTIFS('Audit Raw data'!AM:AM,"Yes",'Audit Raw data'!J:J,B:B,'Audit Raw data'!E:E,'Day wise agent'!G:G)</f>
        <v>0</v>
      </c>
      <c r="K3017">
        <f>COUNTIFS('Audit Raw data'!AM:AM,"NO",'Audit Raw data'!J:J,B:B,'Audit Raw data'!E:E,'Day wise agent'!G:G)</f>
        <v>0</v>
      </c>
      <c r="L3017" s="12" t="str">
        <f t="shared" si="68"/>
        <v xml:space="preserve"> </v>
      </c>
    </row>
    <row r="3018" spans="4:12" x14ac:dyDescent="0.35">
      <c r="D3018" s="32"/>
      <c r="G3018" s="32"/>
      <c r="H3018">
        <f>COUNTIFS('Audit Raw data'!J:J,B:B,'Audit Raw data'!E:E,G:G)</f>
        <v>0</v>
      </c>
      <c r="I3018" s="44" t="str">
        <f>IFERROR((SUMIFS('Audit Raw data'!BZ:BZ,'Audit Raw data'!J:J,B:B,'Audit Raw data'!E:E,G:G)/H3018)/100,"-")</f>
        <v>-</v>
      </c>
      <c r="J3018">
        <f>COUNTIFS('Audit Raw data'!AM:AM,"Yes",'Audit Raw data'!J:J,B:B,'Audit Raw data'!E:E,'Day wise agent'!G:G)</f>
        <v>0</v>
      </c>
      <c r="K3018">
        <f>COUNTIFS('Audit Raw data'!AM:AM,"NO",'Audit Raw data'!J:J,B:B,'Audit Raw data'!E:E,'Day wise agent'!G:G)</f>
        <v>0</v>
      </c>
      <c r="L3018" s="12" t="str">
        <f t="shared" si="68"/>
        <v xml:space="preserve"> </v>
      </c>
    </row>
    <row r="3019" spans="4:12" x14ac:dyDescent="0.35">
      <c r="D3019" s="32"/>
      <c r="G3019" s="32"/>
      <c r="H3019">
        <f>COUNTIFS('Audit Raw data'!J:J,B:B,'Audit Raw data'!E:E,G:G)</f>
        <v>0</v>
      </c>
      <c r="I3019" s="44" t="str">
        <f>IFERROR((SUMIFS('Audit Raw data'!BZ:BZ,'Audit Raw data'!J:J,B:B,'Audit Raw data'!E:E,G:G)/H3019)/100,"-")</f>
        <v>-</v>
      </c>
      <c r="J3019">
        <f>COUNTIFS('Audit Raw data'!AM:AM,"Yes",'Audit Raw data'!J:J,B:B,'Audit Raw data'!E:E,'Day wise agent'!G:G)</f>
        <v>0</v>
      </c>
      <c r="K3019">
        <f>COUNTIFS('Audit Raw data'!AM:AM,"NO",'Audit Raw data'!J:J,B:B,'Audit Raw data'!E:E,'Day wise agent'!G:G)</f>
        <v>0</v>
      </c>
      <c r="L3019" s="12" t="str">
        <f t="shared" si="68"/>
        <v xml:space="preserve"> </v>
      </c>
    </row>
    <row r="3020" spans="4:12" x14ac:dyDescent="0.35">
      <c r="D3020" s="32"/>
      <c r="G3020" s="32"/>
      <c r="H3020">
        <f>COUNTIFS('Audit Raw data'!J:J,B:B,'Audit Raw data'!E:E,G:G)</f>
        <v>0</v>
      </c>
      <c r="I3020" s="44" t="str">
        <f>IFERROR((SUMIFS('Audit Raw data'!BZ:BZ,'Audit Raw data'!J:J,B:B,'Audit Raw data'!E:E,G:G)/H3020)/100,"-")</f>
        <v>-</v>
      </c>
      <c r="J3020">
        <f>COUNTIFS('Audit Raw data'!AM:AM,"Yes",'Audit Raw data'!J:J,B:B,'Audit Raw data'!E:E,'Day wise agent'!G:G)</f>
        <v>0</v>
      </c>
      <c r="K3020">
        <f>COUNTIFS('Audit Raw data'!AM:AM,"NO",'Audit Raw data'!J:J,B:B,'Audit Raw data'!E:E,'Day wise agent'!G:G)</f>
        <v>0</v>
      </c>
      <c r="L3020" s="12" t="str">
        <f t="shared" si="68"/>
        <v xml:space="preserve"> </v>
      </c>
    </row>
    <row r="3021" spans="4:12" x14ac:dyDescent="0.35">
      <c r="D3021" s="32"/>
      <c r="G3021" s="32"/>
      <c r="H3021">
        <f>COUNTIFS('Audit Raw data'!J:J,B:B,'Audit Raw data'!E:E,G:G)</f>
        <v>0</v>
      </c>
      <c r="I3021" s="44" t="str">
        <f>IFERROR((SUMIFS('Audit Raw data'!BZ:BZ,'Audit Raw data'!J:J,B:B,'Audit Raw data'!E:E,G:G)/H3021)/100,"-")</f>
        <v>-</v>
      </c>
      <c r="J3021">
        <f>COUNTIFS('Audit Raw data'!AM:AM,"Yes",'Audit Raw data'!J:J,B:B,'Audit Raw data'!E:E,'Day wise agent'!G:G)</f>
        <v>0</v>
      </c>
      <c r="K3021">
        <f>COUNTIFS('Audit Raw data'!AM:AM,"NO",'Audit Raw data'!J:J,B:B,'Audit Raw data'!E:E,'Day wise agent'!G:G)</f>
        <v>0</v>
      </c>
      <c r="L3021" s="12" t="str">
        <f t="shared" si="68"/>
        <v xml:space="preserve"> </v>
      </c>
    </row>
    <row r="3022" spans="4:12" x14ac:dyDescent="0.35">
      <c r="D3022" s="32"/>
      <c r="G3022" s="32"/>
      <c r="H3022">
        <f>COUNTIFS('Audit Raw data'!J:J,B:B,'Audit Raw data'!E:E,G:G)</f>
        <v>0</v>
      </c>
      <c r="I3022" s="44" t="str">
        <f>IFERROR((SUMIFS('Audit Raw data'!BZ:BZ,'Audit Raw data'!J:J,B:B,'Audit Raw data'!E:E,G:G)/H3022)/100,"-")</f>
        <v>-</v>
      </c>
      <c r="J3022">
        <f>COUNTIFS('Audit Raw data'!AM:AM,"Yes",'Audit Raw data'!J:J,B:B,'Audit Raw data'!E:E,'Day wise agent'!G:G)</f>
        <v>0</v>
      </c>
      <c r="K3022">
        <f>COUNTIFS('Audit Raw data'!AM:AM,"NO",'Audit Raw data'!J:J,B:B,'Audit Raw data'!E:E,'Day wise agent'!G:G)</f>
        <v>0</v>
      </c>
      <c r="L3022" s="12" t="str">
        <f t="shared" si="68"/>
        <v xml:space="preserve"> </v>
      </c>
    </row>
    <row r="3023" spans="4:12" x14ac:dyDescent="0.35">
      <c r="D3023" s="32"/>
      <c r="G3023" s="32"/>
      <c r="H3023">
        <f>COUNTIFS('Audit Raw data'!J:J,B:B,'Audit Raw data'!E:E,G:G)</f>
        <v>0</v>
      </c>
      <c r="I3023" s="44" t="str">
        <f>IFERROR((SUMIFS('Audit Raw data'!BZ:BZ,'Audit Raw data'!J:J,B:B,'Audit Raw data'!E:E,G:G)/H3023)/100,"-")</f>
        <v>-</v>
      </c>
      <c r="J3023">
        <f>COUNTIFS('Audit Raw data'!AM:AM,"Yes",'Audit Raw data'!J:J,B:B,'Audit Raw data'!E:E,'Day wise agent'!G:G)</f>
        <v>0</v>
      </c>
      <c r="K3023">
        <f>COUNTIFS('Audit Raw data'!AM:AM,"NO",'Audit Raw data'!J:J,B:B,'Audit Raw data'!E:E,'Day wise agent'!G:G)</f>
        <v>0</v>
      </c>
      <c r="L3023" s="12" t="str">
        <f t="shared" si="68"/>
        <v xml:space="preserve"> </v>
      </c>
    </row>
    <row r="3024" spans="4:12" x14ac:dyDescent="0.35">
      <c r="D3024" s="32"/>
      <c r="G3024" s="32"/>
      <c r="H3024">
        <f>COUNTIFS('Audit Raw data'!J:J,B:B,'Audit Raw data'!E:E,G:G)</f>
        <v>0</v>
      </c>
      <c r="I3024" s="44" t="str">
        <f>IFERROR((SUMIFS('Audit Raw data'!BZ:BZ,'Audit Raw data'!J:J,B:B,'Audit Raw data'!E:E,G:G)/H3024)/100,"-")</f>
        <v>-</v>
      </c>
      <c r="J3024">
        <f>COUNTIFS('Audit Raw data'!AM:AM,"Yes",'Audit Raw data'!J:J,B:B,'Audit Raw data'!E:E,'Day wise agent'!G:G)</f>
        <v>0</v>
      </c>
      <c r="K3024">
        <f>COUNTIFS('Audit Raw data'!AM:AM,"NO",'Audit Raw data'!J:J,B:B,'Audit Raw data'!E:E,'Day wise agent'!G:G)</f>
        <v>0</v>
      </c>
      <c r="L3024" s="12" t="str">
        <f t="shared" si="68"/>
        <v xml:space="preserve"> </v>
      </c>
    </row>
    <row r="3025" spans="4:12" x14ac:dyDescent="0.35">
      <c r="D3025" s="32"/>
      <c r="G3025" s="32"/>
      <c r="H3025">
        <f>COUNTIFS('Audit Raw data'!J:J,B:B,'Audit Raw data'!E:E,G:G)</f>
        <v>0</v>
      </c>
      <c r="I3025" s="44" t="str">
        <f>IFERROR((SUMIFS('Audit Raw data'!BZ:BZ,'Audit Raw data'!J:J,B:B,'Audit Raw data'!E:E,G:G)/H3025)/100,"-")</f>
        <v>-</v>
      </c>
      <c r="J3025">
        <f>COUNTIFS('Audit Raw data'!AM:AM,"Yes",'Audit Raw data'!J:J,B:B,'Audit Raw data'!E:E,'Day wise agent'!G:G)</f>
        <v>0</v>
      </c>
      <c r="K3025">
        <f>COUNTIFS('Audit Raw data'!AM:AM,"NO",'Audit Raw data'!J:J,B:B,'Audit Raw data'!E:E,'Day wise agent'!G:G)</f>
        <v>0</v>
      </c>
      <c r="L3025" s="12" t="str">
        <f t="shared" si="68"/>
        <v xml:space="preserve"> </v>
      </c>
    </row>
    <row r="3026" spans="4:12" x14ac:dyDescent="0.35">
      <c r="D3026" s="32"/>
      <c r="G3026" s="32"/>
      <c r="H3026">
        <f>COUNTIFS('Audit Raw data'!J:J,B:B,'Audit Raw data'!E:E,G:G)</f>
        <v>0</v>
      </c>
      <c r="I3026" s="44" t="str">
        <f>IFERROR((SUMIFS('Audit Raw data'!BZ:BZ,'Audit Raw data'!J:J,B:B,'Audit Raw data'!E:E,G:G)/H3026)/100,"-")</f>
        <v>-</v>
      </c>
      <c r="J3026">
        <f>COUNTIFS('Audit Raw data'!AM:AM,"Yes",'Audit Raw data'!J:J,B:B,'Audit Raw data'!E:E,'Day wise agent'!G:G)</f>
        <v>0</v>
      </c>
      <c r="K3026">
        <f>COUNTIFS('Audit Raw data'!AM:AM,"NO",'Audit Raw data'!J:J,B:B,'Audit Raw data'!E:E,'Day wise agent'!G:G)</f>
        <v>0</v>
      </c>
      <c r="L3026" s="12" t="str">
        <f t="shared" si="68"/>
        <v xml:space="preserve"> </v>
      </c>
    </row>
    <row r="3027" spans="4:12" x14ac:dyDescent="0.35">
      <c r="D3027" s="32"/>
      <c r="G3027" s="32"/>
      <c r="H3027">
        <f>COUNTIFS('Audit Raw data'!J:J,B:B,'Audit Raw data'!E:E,G:G)</f>
        <v>0</v>
      </c>
      <c r="I3027" s="44" t="str">
        <f>IFERROR((SUMIFS('Audit Raw data'!BZ:BZ,'Audit Raw data'!J:J,B:B,'Audit Raw data'!E:E,G:G)/H3027)/100,"-")</f>
        <v>-</v>
      </c>
      <c r="J3027">
        <f>COUNTIFS('Audit Raw data'!AM:AM,"Yes",'Audit Raw data'!J:J,B:B,'Audit Raw data'!E:E,'Day wise agent'!G:G)</f>
        <v>0</v>
      </c>
      <c r="K3027">
        <f>COUNTIFS('Audit Raw data'!AM:AM,"NO",'Audit Raw data'!J:J,B:B,'Audit Raw data'!E:E,'Day wise agent'!G:G)</f>
        <v>0</v>
      </c>
      <c r="L3027" s="12" t="str">
        <f t="shared" si="68"/>
        <v xml:space="preserve"> </v>
      </c>
    </row>
    <row r="3028" spans="4:12" x14ac:dyDescent="0.35">
      <c r="D3028" s="32"/>
      <c r="G3028" s="32"/>
      <c r="H3028">
        <f>COUNTIFS('Audit Raw data'!J:J,B:B,'Audit Raw data'!E:E,G:G)</f>
        <v>0</v>
      </c>
      <c r="I3028" s="44" t="str">
        <f>IFERROR((SUMIFS('Audit Raw data'!BZ:BZ,'Audit Raw data'!J:J,B:B,'Audit Raw data'!E:E,G:G)/H3028)/100,"-")</f>
        <v>-</v>
      </c>
      <c r="J3028">
        <f>COUNTIFS('Audit Raw data'!AM:AM,"Yes",'Audit Raw data'!J:J,B:B,'Audit Raw data'!E:E,'Day wise agent'!G:G)</f>
        <v>0</v>
      </c>
      <c r="K3028">
        <f>COUNTIFS('Audit Raw data'!AM:AM,"NO",'Audit Raw data'!J:J,B:B,'Audit Raw data'!E:E,'Day wise agent'!G:G)</f>
        <v>0</v>
      </c>
      <c r="L3028" s="12" t="str">
        <f t="shared" si="68"/>
        <v xml:space="preserve"> </v>
      </c>
    </row>
    <row r="3029" spans="4:12" x14ac:dyDescent="0.35">
      <c r="D3029" s="32"/>
      <c r="G3029" s="32"/>
      <c r="H3029">
        <f>COUNTIFS('Audit Raw data'!J:J,B:B,'Audit Raw data'!E:E,G:G)</f>
        <v>0</v>
      </c>
      <c r="I3029" s="44" t="str">
        <f>IFERROR((SUMIFS('Audit Raw data'!BZ:BZ,'Audit Raw data'!J:J,B:B,'Audit Raw data'!E:E,G:G)/H3029)/100,"-")</f>
        <v>-</v>
      </c>
      <c r="J3029">
        <f>COUNTIFS('Audit Raw data'!AM:AM,"Yes",'Audit Raw data'!J:J,B:B,'Audit Raw data'!E:E,'Day wise agent'!G:G)</f>
        <v>0</v>
      </c>
      <c r="K3029">
        <f>COUNTIFS('Audit Raw data'!AM:AM,"NO",'Audit Raw data'!J:J,B:B,'Audit Raw data'!E:E,'Day wise agent'!G:G)</f>
        <v>0</v>
      </c>
      <c r="L3029" s="12" t="str">
        <f t="shared" si="68"/>
        <v xml:space="preserve"> </v>
      </c>
    </row>
    <row r="3030" spans="4:12" x14ac:dyDescent="0.35">
      <c r="D3030" s="32"/>
      <c r="G3030" s="32"/>
      <c r="H3030">
        <f>COUNTIFS('Audit Raw data'!J:J,B:B,'Audit Raw data'!E:E,G:G)</f>
        <v>0</v>
      </c>
      <c r="I3030" s="44" t="str">
        <f>IFERROR((SUMIFS('Audit Raw data'!BZ:BZ,'Audit Raw data'!J:J,B:B,'Audit Raw data'!E:E,G:G)/H3030)/100,"-")</f>
        <v>-</v>
      </c>
      <c r="J3030">
        <f>COUNTIFS('Audit Raw data'!AM:AM,"Yes",'Audit Raw data'!J:J,B:B,'Audit Raw data'!E:E,'Day wise agent'!G:G)</f>
        <v>0</v>
      </c>
      <c r="K3030">
        <f>COUNTIFS('Audit Raw data'!AM:AM,"NO",'Audit Raw data'!J:J,B:B,'Audit Raw data'!E:E,'Day wise agent'!G:G)</f>
        <v>0</v>
      </c>
      <c r="L3030" s="12" t="str">
        <f t="shared" si="68"/>
        <v xml:space="preserve"> </v>
      </c>
    </row>
    <row r="3031" spans="4:12" x14ac:dyDescent="0.35">
      <c r="D3031" s="32"/>
      <c r="G3031" s="32"/>
      <c r="H3031">
        <f>COUNTIFS('Audit Raw data'!J:J,B:B,'Audit Raw data'!E:E,G:G)</f>
        <v>0</v>
      </c>
      <c r="I3031" s="44" t="str">
        <f>IFERROR((SUMIFS('Audit Raw data'!BZ:BZ,'Audit Raw data'!J:J,B:B,'Audit Raw data'!E:E,G:G)/H3031)/100,"-")</f>
        <v>-</v>
      </c>
      <c r="J3031">
        <f>COUNTIFS('Audit Raw data'!AM:AM,"Yes",'Audit Raw data'!J:J,B:B,'Audit Raw data'!E:E,'Day wise agent'!G:G)</f>
        <v>0</v>
      </c>
      <c r="K3031">
        <f>COUNTIFS('Audit Raw data'!AM:AM,"NO",'Audit Raw data'!J:J,B:B,'Audit Raw data'!E:E,'Day wise agent'!G:G)</f>
        <v>0</v>
      </c>
      <c r="L3031" s="12" t="str">
        <f t="shared" si="68"/>
        <v xml:space="preserve"> </v>
      </c>
    </row>
    <row r="3032" spans="4:12" x14ac:dyDescent="0.35">
      <c r="D3032" s="32"/>
      <c r="G3032" s="32"/>
      <c r="H3032">
        <f>COUNTIFS('Audit Raw data'!J:J,B:B,'Audit Raw data'!E:E,G:G)</f>
        <v>0</v>
      </c>
      <c r="I3032" s="44" t="str">
        <f>IFERROR((SUMIFS('Audit Raw data'!BZ:BZ,'Audit Raw data'!J:J,B:B,'Audit Raw data'!E:E,G:G)/H3032)/100,"-")</f>
        <v>-</v>
      </c>
      <c r="J3032">
        <f>COUNTIFS('Audit Raw data'!AM:AM,"Yes",'Audit Raw data'!J:J,B:B,'Audit Raw data'!E:E,'Day wise agent'!G:G)</f>
        <v>0</v>
      </c>
      <c r="K3032">
        <f>COUNTIFS('Audit Raw data'!AM:AM,"NO",'Audit Raw data'!J:J,B:B,'Audit Raw data'!E:E,'Day wise agent'!G:G)</f>
        <v>0</v>
      </c>
      <c r="L3032" s="12" t="str">
        <f t="shared" si="68"/>
        <v xml:space="preserve"> </v>
      </c>
    </row>
    <row r="3033" spans="4:12" x14ac:dyDescent="0.35">
      <c r="D3033" s="32"/>
      <c r="G3033" s="32"/>
      <c r="H3033">
        <f>COUNTIFS('Audit Raw data'!J:J,B:B,'Audit Raw data'!E:E,G:G)</f>
        <v>0</v>
      </c>
      <c r="I3033" s="44" t="str">
        <f>IFERROR((SUMIFS('Audit Raw data'!BZ:BZ,'Audit Raw data'!J:J,B:B,'Audit Raw data'!E:E,G:G)/H3033)/100,"-")</f>
        <v>-</v>
      </c>
      <c r="J3033">
        <f>COUNTIFS('Audit Raw data'!AM:AM,"Yes",'Audit Raw data'!J:J,B:B,'Audit Raw data'!E:E,'Day wise agent'!G:G)</f>
        <v>0</v>
      </c>
      <c r="K3033">
        <f>COUNTIFS('Audit Raw data'!AM:AM,"NO",'Audit Raw data'!J:J,B:B,'Audit Raw data'!E:E,'Day wise agent'!G:G)</f>
        <v>0</v>
      </c>
      <c r="L3033" s="12" t="str">
        <f t="shared" si="68"/>
        <v xml:space="preserve"> </v>
      </c>
    </row>
    <row r="3034" spans="4:12" x14ac:dyDescent="0.35">
      <c r="D3034" s="32"/>
      <c r="G3034" s="32"/>
      <c r="H3034">
        <f>COUNTIFS('Audit Raw data'!J:J,B:B,'Audit Raw data'!E:E,G:G)</f>
        <v>0</v>
      </c>
      <c r="I3034" s="44" t="str">
        <f>IFERROR((SUMIFS('Audit Raw data'!BZ:BZ,'Audit Raw data'!J:J,B:B,'Audit Raw data'!E:E,G:G)/H3034)/100,"-")</f>
        <v>-</v>
      </c>
      <c r="J3034">
        <f>COUNTIFS('Audit Raw data'!AM:AM,"Yes",'Audit Raw data'!J:J,B:B,'Audit Raw data'!E:E,'Day wise agent'!G:G)</f>
        <v>0</v>
      </c>
      <c r="K3034">
        <f>COUNTIFS('Audit Raw data'!AM:AM,"NO",'Audit Raw data'!J:J,B:B,'Audit Raw data'!E:E,'Day wise agent'!G:G)</f>
        <v>0</v>
      </c>
      <c r="L3034" s="12" t="str">
        <f t="shared" si="68"/>
        <v xml:space="preserve"> </v>
      </c>
    </row>
    <row r="3035" spans="4:12" x14ac:dyDescent="0.35">
      <c r="D3035" s="32"/>
      <c r="G3035" s="32"/>
      <c r="H3035">
        <f>COUNTIFS('Audit Raw data'!J:J,B:B,'Audit Raw data'!E:E,G:G)</f>
        <v>0</v>
      </c>
      <c r="I3035" s="44" t="str">
        <f>IFERROR((SUMIFS('Audit Raw data'!BZ:BZ,'Audit Raw data'!J:J,B:B,'Audit Raw data'!E:E,G:G)/H3035)/100,"-")</f>
        <v>-</v>
      </c>
      <c r="J3035">
        <f>COUNTIFS('Audit Raw data'!AM:AM,"Yes",'Audit Raw data'!J:J,B:B,'Audit Raw data'!E:E,'Day wise agent'!G:G)</f>
        <v>0</v>
      </c>
      <c r="K3035">
        <f>COUNTIFS('Audit Raw data'!AM:AM,"NO",'Audit Raw data'!J:J,B:B,'Audit Raw data'!E:E,'Day wise agent'!G:G)</f>
        <v>0</v>
      </c>
      <c r="L3035" s="12" t="str">
        <f t="shared" si="68"/>
        <v xml:space="preserve"> </v>
      </c>
    </row>
    <row r="3036" spans="4:12" x14ac:dyDescent="0.35">
      <c r="D3036" s="32"/>
      <c r="G3036" s="32"/>
      <c r="H3036">
        <f>COUNTIFS('Audit Raw data'!J:J,B:B,'Audit Raw data'!E:E,G:G)</f>
        <v>0</v>
      </c>
      <c r="I3036" s="44" t="str">
        <f>IFERROR((SUMIFS('Audit Raw data'!BZ:BZ,'Audit Raw data'!J:J,B:B,'Audit Raw data'!E:E,G:G)/H3036)/100,"-")</f>
        <v>-</v>
      </c>
      <c r="J3036">
        <f>COUNTIFS('Audit Raw data'!AM:AM,"Yes",'Audit Raw data'!J:J,B:B,'Audit Raw data'!E:E,'Day wise agent'!G:G)</f>
        <v>0</v>
      </c>
      <c r="K3036">
        <f>COUNTIFS('Audit Raw data'!AM:AM,"NO",'Audit Raw data'!J:J,B:B,'Audit Raw data'!E:E,'Day wise agent'!G:G)</f>
        <v>0</v>
      </c>
      <c r="L3036" s="12" t="str">
        <f t="shared" si="68"/>
        <v xml:space="preserve"> </v>
      </c>
    </row>
    <row r="3037" spans="4:12" x14ac:dyDescent="0.35">
      <c r="D3037" s="32"/>
      <c r="G3037" s="32"/>
      <c r="H3037">
        <f>COUNTIFS('Audit Raw data'!J:J,B:B,'Audit Raw data'!E:E,G:G)</f>
        <v>0</v>
      </c>
      <c r="I3037" s="44" t="str">
        <f>IFERROR((SUMIFS('Audit Raw data'!BZ:BZ,'Audit Raw data'!J:J,B:B,'Audit Raw data'!E:E,G:G)/H3037)/100,"-")</f>
        <v>-</v>
      </c>
      <c r="J3037">
        <f>COUNTIFS('Audit Raw data'!AM:AM,"Yes",'Audit Raw data'!J:J,B:B,'Audit Raw data'!E:E,'Day wise agent'!G:G)</f>
        <v>0</v>
      </c>
      <c r="K3037">
        <f>COUNTIFS('Audit Raw data'!AM:AM,"NO",'Audit Raw data'!J:J,B:B,'Audit Raw data'!E:E,'Day wise agent'!G:G)</f>
        <v>0</v>
      </c>
      <c r="L3037" s="12" t="str">
        <f t="shared" si="68"/>
        <v xml:space="preserve"> </v>
      </c>
    </row>
    <row r="3038" spans="4:12" x14ac:dyDescent="0.35">
      <c r="D3038" s="32"/>
      <c r="G3038" s="32"/>
      <c r="H3038">
        <f>COUNTIFS('Audit Raw data'!J:J,B:B,'Audit Raw data'!E:E,G:G)</f>
        <v>0</v>
      </c>
      <c r="I3038" s="44" t="str">
        <f>IFERROR((SUMIFS('Audit Raw data'!BZ:BZ,'Audit Raw data'!J:J,B:B,'Audit Raw data'!E:E,G:G)/H3038)/100,"-")</f>
        <v>-</v>
      </c>
      <c r="J3038">
        <f>COUNTIFS('Audit Raw data'!AM:AM,"Yes",'Audit Raw data'!J:J,B:B,'Audit Raw data'!E:E,'Day wise agent'!G:G)</f>
        <v>0</v>
      </c>
      <c r="K3038">
        <f>COUNTIFS('Audit Raw data'!AM:AM,"NO",'Audit Raw data'!J:J,B:B,'Audit Raw data'!E:E,'Day wise agent'!G:G)</f>
        <v>0</v>
      </c>
      <c r="L3038" s="12" t="str">
        <f t="shared" si="68"/>
        <v xml:space="preserve"> </v>
      </c>
    </row>
    <row r="3039" spans="4:12" x14ac:dyDescent="0.35">
      <c r="D3039" s="32"/>
      <c r="G3039" s="32"/>
      <c r="H3039">
        <f>COUNTIFS('Audit Raw data'!J:J,B:B,'Audit Raw data'!E:E,G:G)</f>
        <v>0</v>
      </c>
      <c r="I3039" s="44" t="str">
        <f>IFERROR((SUMIFS('Audit Raw data'!BZ:BZ,'Audit Raw data'!J:J,B:B,'Audit Raw data'!E:E,G:G)/H3039)/100,"-")</f>
        <v>-</v>
      </c>
      <c r="J3039">
        <f>COUNTIFS('Audit Raw data'!AM:AM,"Yes",'Audit Raw data'!J:J,B:B,'Audit Raw data'!E:E,'Day wise agent'!G:G)</f>
        <v>0</v>
      </c>
      <c r="K3039">
        <f>COUNTIFS('Audit Raw data'!AM:AM,"NO",'Audit Raw data'!J:J,B:B,'Audit Raw data'!E:E,'Day wise agent'!G:G)</f>
        <v>0</v>
      </c>
      <c r="L3039" s="12" t="str">
        <f t="shared" si="68"/>
        <v xml:space="preserve"> </v>
      </c>
    </row>
    <row r="3040" spans="4:12" x14ac:dyDescent="0.35">
      <c r="D3040" s="32"/>
      <c r="G3040" s="32"/>
      <c r="H3040">
        <f>COUNTIFS('Audit Raw data'!J:J,B:B,'Audit Raw data'!E:E,G:G)</f>
        <v>0</v>
      </c>
      <c r="I3040" s="44" t="str">
        <f>IFERROR((SUMIFS('Audit Raw data'!BZ:BZ,'Audit Raw data'!J:J,B:B,'Audit Raw data'!E:E,G:G)/H3040)/100,"-")</f>
        <v>-</v>
      </c>
      <c r="J3040">
        <f>COUNTIFS('Audit Raw data'!AM:AM,"Yes",'Audit Raw data'!J:J,B:B,'Audit Raw data'!E:E,'Day wise agent'!G:G)</f>
        <v>0</v>
      </c>
      <c r="K3040">
        <f>COUNTIFS('Audit Raw data'!AM:AM,"NO",'Audit Raw data'!J:J,B:B,'Audit Raw data'!E:E,'Day wise agent'!G:G)</f>
        <v>0</v>
      </c>
      <c r="L3040" s="12" t="str">
        <f t="shared" si="68"/>
        <v xml:space="preserve"> </v>
      </c>
    </row>
    <row r="3041" spans="4:12" x14ac:dyDescent="0.35">
      <c r="D3041" s="32"/>
      <c r="G3041" s="32"/>
      <c r="H3041">
        <f>COUNTIFS('Audit Raw data'!J:J,B:B,'Audit Raw data'!E:E,G:G)</f>
        <v>0</v>
      </c>
      <c r="I3041" s="44" t="str">
        <f>IFERROR((SUMIFS('Audit Raw data'!BZ:BZ,'Audit Raw data'!J:J,B:B,'Audit Raw data'!E:E,G:G)/H3041)/100,"-")</f>
        <v>-</v>
      </c>
      <c r="J3041">
        <f>COUNTIFS('Audit Raw data'!AM:AM,"Yes",'Audit Raw data'!J:J,B:B,'Audit Raw data'!E:E,'Day wise agent'!G:G)</f>
        <v>0</v>
      </c>
      <c r="K3041">
        <f>COUNTIFS('Audit Raw data'!AM:AM,"NO",'Audit Raw data'!J:J,B:B,'Audit Raw data'!E:E,'Day wise agent'!G:G)</f>
        <v>0</v>
      </c>
      <c r="L3041" s="12" t="str">
        <f t="shared" si="68"/>
        <v xml:space="preserve"> </v>
      </c>
    </row>
    <row r="3042" spans="4:12" x14ac:dyDescent="0.35">
      <c r="D3042" s="32"/>
      <c r="G3042" s="32"/>
      <c r="H3042">
        <f>COUNTIFS('Audit Raw data'!J:J,B:B,'Audit Raw data'!E:E,G:G)</f>
        <v>0</v>
      </c>
      <c r="I3042" s="44" t="str">
        <f>IFERROR((SUMIFS('Audit Raw data'!BZ:BZ,'Audit Raw data'!J:J,B:B,'Audit Raw data'!E:E,G:G)/H3042)/100,"-")</f>
        <v>-</v>
      </c>
      <c r="J3042">
        <f>COUNTIFS('Audit Raw data'!AM:AM,"Yes",'Audit Raw data'!J:J,B:B,'Audit Raw data'!E:E,'Day wise agent'!G:G)</f>
        <v>0</v>
      </c>
      <c r="K3042">
        <f>COUNTIFS('Audit Raw data'!AM:AM,"NO",'Audit Raw data'!J:J,B:B,'Audit Raw data'!E:E,'Day wise agent'!G:G)</f>
        <v>0</v>
      </c>
      <c r="L3042" s="12" t="str">
        <f t="shared" si="68"/>
        <v xml:space="preserve"> </v>
      </c>
    </row>
    <row r="3043" spans="4:12" x14ac:dyDescent="0.35">
      <c r="D3043" s="32"/>
      <c r="G3043" s="32"/>
      <c r="H3043">
        <f>COUNTIFS('Audit Raw data'!J:J,B:B,'Audit Raw data'!E:E,G:G)</f>
        <v>0</v>
      </c>
      <c r="I3043" s="44" t="str">
        <f>IFERROR((SUMIFS('Audit Raw data'!BZ:BZ,'Audit Raw data'!J:J,B:B,'Audit Raw data'!E:E,G:G)/H3043)/100,"-")</f>
        <v>-</v>
      </c>
      <c r="J3043">
        <f>COUNTIFS('Audit Raw data'!AM:AM,"Yes",'Audit Raw data'!J:J,B:B,'Audit Raw data'!E:E,'Day wise agent'!G:G)</f>
        <v>0</v>
      </c>
      <c r="K3043">
        <f>COUNTIFS('Audit Raw data'!AM:AM,"NO",'Audit Raw data'!J:J,B:B,'Audit Raw data'!E:E,'Day wise agent'!G:G)</f>
        <v>0</v>
      </c>
      <c r="L3043" s="12" t="str">
        <f t="shared" si="68"/>
        <v xml:space="preserve"> </v>
      </c>
    </row>
    <row r="3044" spans="4:12" x14ac:dyDescent="0.35">
      <c r="D3044" s="32"/>
      <c r="G3044" s="32"/>
      <c r="H3044">
        <f>COUNTIFS('Audit Raw data'!J:J,B:B,'Audit Raw data'!E:E,G:G)</f>
        <v>0</v>
      </c>
      <c r="I3044" s="44" t="str">
        <f>IFERROR((SUMIFS('Audit Raw data'!BZ:BZ,'Audit Raw data'!J:J,B:B,'Audit Raw data'!E:E,G:G)/H3044)/100,"-")</f>
        <v>-</v>
      </c>
      <c r="J3044">
        <f>COUNTIFS('Audit Raw data'!AM:AM,"Yes",'Audit Raw data'!J:J,B:B,'Audit Raw data'!E:E,'Day wise agent'!G:G)</f>
        <v>0</v>
      </c>
      <c r="K3044">
        <f>COUNTIFS('Audit Raw data'!AM:AM,"NO",'Audit Raw data'!J:J,B:B,'Audit Raw data'!E:E,'Day wise agent'!G:G)</f>
        <v>0</v>
      </c>
      <c r="L3044" s="12" t="str">
        <f t="shared" si="68"/>
        <v xml:space="preserve"> </v>
      </c>
    </row>
    <row r="3045" spans="4:12" x14ac:dyDescent="0.35">
      <c r="D3045" s="32"/>
      <c r="G3045" s="32"/>
      <c r="H3045">
        <f>COUNTIFS('Audit Raw data'!J:J,B:B,'Audit Raw data'!E:E,G:G)</f>
        <v>0</v>
      </c>
      <c r="I3045" s="44" t="str">
        <f>IFERROR((SUMIFS('Audit Raw data'!BZ:BZ,'Audit Raw data'!J:J,B:B,'Audit Raw data'!E:E,G:G)/H3045)/100,"-")</f>
        <v>-</v>
      </c>
      <c r="J3045">
        <f>COUNTIFS('Audit Raw data'!AM:AM,"Yes",'Audit Raw data'!J:J,B:B,'Audit Raw data'!E:E,'Day wise agent'!G:G)</f>
        <v>0</v>
      </c>
      <c r="K3045">
        <f>COUNTIFS('Audit Raw data'!AM:AM,"NO",'Audit Raw data'!J:J,B:B,'Audit Raw data'!E:E,'Day wise agent'!G:G)</f>
        <v>0</v>
      </c>
      <c r="L3045" s="12" t="str">
        <f t="shared" si="68"/>
        <v xml:space="preserve"> </v>
      </c>
    </row>
    <row r="3046" spans="4:12" x14ac:dyDescent="0.35">
      <c r="D3046" s="32"/>
      <c r="G3046" s="32"/>
      <c r="H3046">
        <f>COUNTIFS('Audit Raw data'!J:J,B:B,'Audit Raw data'!E:E,G:G)</f>
        <v>0</v>
      </c>
      <c r="I3046" s="44" t="str">
        <f>IFERROR((SUMIFS('Audit Raw data'!BZ:BZ,'Audit Raw data'!J:J,B:B,'Audit Raw data'!E:E,G:G)/H3046)/100,"-")</f>
        <v>-</v>
      </c>
      <c r="J3046">
        <f>COUNTIFS('Audit Raw data'!AM:AM,"Yes",'Audit Raw data'!J:J,B:B,'Audit Raw data'!E:E,'Day wise agent'!G:G)</f>
        <v>0</v>
      </c>
      <c r="K3046">
        <f>COUNTIFS('Audit Raw data'!AM:AM,"NO",'Audit Raw data'!J:J,B:B,'Audit Raw data'!E:E,'Day wise agent'!G:G)</f>
        <v>0</v>
      </c>
      <c r="L3046" s="12" t="str">
        <f t="shared" si="68"/>
        <v xml:space="preserve"> </v>
      </c>
    </row>
    <row r="3047" spans="4:12" x14ac:dyDescent="0.35">
      <c r="D3047" s="32"/>
      <c r="G3047" s="32"/>
      <c r="H3047">
        <f>COUNTIFS('Audit Raw data'!J:J,B:B,'Audit Raw data'!E:E,G:G)</f>
        <v>0</v>
      </c>
      <c r="I3047" s="44" t="str">
        <f>IFERROR((SUMIFS('Audit Raw data'!BZ:BZ,'Audit Raw data'!J:J,B:B,'Audit Raw data'!E:E,G:G)/H3047)/100,"-")</f>
        <v>-</v>
      </c>
      <c r="J3047">
        <f>COUNTIFS('Audit Raw data'!AM:AM,"Yes",'Audit Raw data'!J:J,B:B,'Audit Raw data'!E:E,'Day wise agent'!G:G)</f>
        <v>0</v>
      </c>
      <c r="K3047">
        <f>COUNTIFS('Audit Raw data'!AM:AM,"NO",'Audit Raw data'!J:J,B:B,'Audit Raw data'!E:E,'Day wise agent'!G:G)</f>
        <v>0</v>
      </c>
      <c r="L3047" s="12" t="str">
        <f t="shared" si="68"/>
        <v xml:space="preserve"> </v>
      </c>
    </row>
    <row r="3048" spans="4:12" x14ac:dyDescent="0.35">
      <c r="D3048" s="32"/>
      <c r="G3048" s="32"/>
      <c r="H3048">
        <f>COUNTIFS('Audit Raw data'!J:J,B:B,'Audit Raw data'!E:E,G:G)</f>
        <v>0</v>
      </c>
      <c r="I3048" s="44" t="str">
        <f>IFERROR((SUMIFS('Audit Raw data'!BZ:BZ,'Audit Raw data'!J:J,B:B,'Audit Raw data'!E:E,G:G)/H3048)/100,"-")</f>
        <v>-</v>
      </c>
      <c r="J3048">
        <f>COUNTIFS('Audit Raw data'!AM:AM,"Yes",'Audit Raw data'!J:J,B:B,'Audit Raw data'!E:E,'Day wise agent'!G:G)</f>
        <v>0</v>
      </c>
      <c r="K3048">
        <f>COUNTIFS('Audit Raw data'!AM:AM,"NO",'Audit Raw data'!J:J,B:B,'Audit Raw data'!E:E,'Day wise agent'!G:G)</f>
        <v>0</v>
      </c>
      <c r="L3048" s="12" t="str">
        <f t="shared" si="68"/>
        <v xml:space="preserve"> </v>
      </c>
    </row>
    <row r="3049" spans="4:12" x14ac:dyDescent="0.35">
      <c r="D3049" s="32"/>
      <c r="G3049" s="32"/>
      <c r="H3049">
        <f>COUNTIFS('Audit Raw data'!J:J,B:B,'Audit Raw data'!E:E,G:G)</f>
        <v>0</v>
      </c>
      <c r="I3049" s="44" t="str">
        <f>IFERROR((SUMIFS('Audit Raw data'!BZ:BZ,'Audit Raw data'!J:J,B:B,'Audit Raw data'!E:E,G:G)/H3049)/100,"-")</f>
        <v>-</v>
      </c>
      <c r="J3049">
        <f>COUNTIFS('Audit Raw data'!AM:AM,"Yes",'Audit Raw data'!J:J,B:B,'Audit Raw data'!E:E,'Day wise agent'!G:G)</f>
        <v>0</v>
      </c>
      <c r="K3049">
        <f>COUNTIFS('Audit Raw data'!AM:AM,"NO",'Audit Raw data'!J:J,B:B,'Audit Raw data'!E:E,'Day wise agent'!G:G)</f>
        <v>0</v>
      </c>
      <c r="L3049" s="12" t="str">
        <f t="shared" si="68"/>
        <v xml:space="preserve"> </v>
      </c>
    </row>
    <row r="3050" spans="4:12" x14ac:dyDescent="0.35">
      <c r="D3050" s="32"/>
      <c r="G3050" s="32"/>
      <c r="H3050">
        <f>COUNTIFS('Audit Raw data'!J:J,B:B,'Audit Raw data'!E:E,G:G)</f>
        <v>0</v>
      </c>
      <c r="I3050" s="44" t="str">
        <f>IFERROR((SUMIFS('Audit Raw data'!BZ:BZ,'Audit Raw data'!J:J,B:B,'Audit Raw data'!E:E,G:G)/H3050)/100,"-")</f>
        <v>-</v>
      </c>
      <c r="J3050">
        <f>COUNTIFS('Audit Raw data'!AM:AM,"Yes",'Audit Raw data'!J:J,B:B,'Audit Raw data'!E:E,'Day wise agent'!G:G)</f>
        <v>0</v>
      </c>
      <c r="K3050">
        <f>COUNTIFS('Audit Raw data'!AM:AM,"NO",'Audit Raw data'!J:J,B:B,'Audit Raw data'!E:E,'Day wise agent'!G:G)</f>
        <v>0</v>
      </c>
      <c r="L3050" s="12" t="str">
        <f t="shared" si="68"/>
        <v xml:space="preserve"> </v>
      </c>
    </row>
    <row r="3051" spans="4:12" x14ac:dyDescent="0.35">
      <c r="D3051" s="32"/>
      <c r="G3051" s="32"/>
      <c r="H3051">
        <f>COUNTIFS('Audit Raw data'!J:J,B:B,'Audit Raw data'!E:E,G:G)</f>
        <v>0</v>
      </c>
      <c r="I3051" s="44" t="str">
        <f>IFERROR((SUMIFS('Audit Raw data'!BZ:BZ,'Audit Raw data'!J:J,B:B,'Audit Raw data'!E:E,G:G)/H3051)/100,"-")</f>
        <v>-</v>
      </c>
      <c r="J3051">
        <f>COUNTIFS('Audit Raw data'!AM:AM,"Yes",'Audit Raw data'!J:J,B:B,'Audit Raw data'!E:E,'Day wise agent'!G:G)</f>
        <v>0</v>
      </c>
      <c r="K3051">
        <f>COUNTIFS('Audit Raw data'!AM:AM,"NO",'Audit Raw data'!J:J,B:B,'Audit Raw data'!E:E,'Day wise agent'!G:G)</f>
        <v>0</v>
      </c>
      <c r="L3051" s="12" t="str">
        <f t="shared" si="68"/>
        <v xml:space="preserve"> </v>
      </c>
    </row>
    <row r="3052" spans="4:12" x14ac:dyDescent="0.35">
      <c r="D3052" s="32"/>
      <c r="G3052" s="32"/>
      <c r="H3052">
        <f>COUNTIFS('Audit Raw data'!J:J,B:B,'Audit Raw data'!E:E,G:G)</f>
        <v>0</v>
      </c>
      <c r="I3052" s="44" t="str">
        <f>IFERROR((SUMIFS('Audit Raw data'!BZ:BZ,'Audit Raw data'!J:J,B:B,'Audit Raw data'!E:E,G:G)/H3052)/100,"-")</f>
        <v>-</v>
      </c>
      <c r="J3052">
        <f>COUNTIFS('Audit Raw data'!AM:AM,"Yes",'Audit Raw data'!J:J,B:B,'Audit Raw data'!E:E,'Day wise agent'!G:G)</f>
        <v>0</v>
      </c>
      <c r="K3052">
        <f>COUNTIFS('Audit Raw data'!AM:AM,"NO",'Audit Raw data'!J:J,B:B,'Audit Raw data'!E:E,'Day wise agent'!G:G)</f>
        <v>0</v>
      </c>
      <c r="L3052" s="12" t="str">
        <f t="shared" si="68"/>
        <v xml:space="preserve"> </v>
      </c>
    </row>
    <row r="3053" spans="4:12" x14ac:dyDescent="0.35">
      <c r="D3053" s="32"/>
      <c r="G3053" s="32"/>
      <c r="H3053">
        <f>COUNTIFS('Audit Raw data'!J:J,B:B,'Audit Raw data'!E:E,G:G)</f>
        <v>0</v>
      </c>
      <c r="I3053" s="44" t="str">
        <f>IFERROR((SUMIFS('Audit Raw data'!BZ:BZ,'Audit Raw data'!J:J,B:B,'Audit Raw data'!E:E,G:G)/H3053)/100,"-")</f>
        <v>-</v>
      </c>
      <c r="J3053">
        <f>COUNTIFS('Audit Raw data'!AM:AM,"Yes",'Audit Raw data'!J:J,B:B,'Audit Raw data'!E:E,'Day wise agent'!G:G)</f>
        <v>0</v>
      </c>
      <c r="K3053">
        <f>COUNTIFS('Audit Raw data'!AM:AM,"NO",'Audit Raw data'!J:J,B:B,'Audit Raw data'!E:E,'Day wise agent'!G:G)</f>
        <v>0</v>
      </c>
      <c r="L3053" s="12" t="str">
        <f t="shared" si="68"/>
        <v xml:space="preserve"> </v>
      </c>
    </row>
    <row r="3054" spans="4:12" x14ac:dyDescent="0.35">
      <c r="D3054" s="32"/>
      <c r="G3054" s="32"/>
      <c r="H3054">
        <f>COUNTIFS('Audit Raw data'!J:J,B:B,'Audit Raw data'!E:E,G:G)</f>
        <v>0</v>
      </c>
      <c r="I3054" s="44" t="str">
        <f>IFERROR((SUMIFS('Audit Raw data'!BZ:BZ,'Audit Raw data'!J:J,B:B,'Audit Raw data'!E:E,G:G)/H3054)/100,"-")</f>
        <v>-</v>
      </c>
      <c r="J3054">
        <f>COUNTIFS('Audit Raw data'!AM:AM,"Yes",'Audit Raw data'!J:J,B:B,'Audit Raw data'!E:E,'Day wise agent'!G:G)</f>
        <v>0</v>
      </c>
      <c r="K3054">
        <f>COUNTIFS('Audit Raw data'!AM:AM,"NO",'Audit Raw data'!J:J,B:B,'Audit Raw data'!E:E,'Day wise agent'!G:G)</f>
        <v>0</v>
      </c>
      <c r="L3054" s="12" t="str">
        <f t="shared" si="68"/>
        <v xml:space="preserve"> </v>
      </c>
    </row>
    <row r="3055" spans="4:12" x14ac:dyDescent="0.35">
      <c r="D3055" s="32"/>
      <c r="G3055" s="32"/>
      <c r="H3055">
        <f>COUNTIFS('Audit Raw data'!J:J,B:B,'Audit Raw data'!E:E,G:G)</f>
        <v>0</v>
      </c>
      <c r="I3055" s="44" t="str">
        <f>IFERROR((SUMIFS('Audit Raw data'!BZ:BZ,'Audit Raw data'!J:J,B:B,'Audit Raw data'!E:E,G:G)/H3055)/100,"-")</f>
        <v>-</v>
      </c>
      <c r="J3055">
        <f>COUNTIFS('Audit Raw data'!AM:AM,"Yes",'Audit Raw data'!J:J,B:B,'Audit Raw data'!E:E,'Day wise agent'!G:G)</f>
        <v>0</v>
      </c>
      <c r="K3055">
        <f>COUNTIFS('Audit Raw data'!AM:AM,"NO",'Audit Raw data'!J:J,B:B,'Audit Raw data'!E:E,'Day wise agent'!G:G)</f>
        <v>0</v>
      </c>
      <c r="L3055" s="12" t="str">
        <f t="shared" si="68"/>
        <v xml:space="preserve"> </v>
      </c>
    </row>
    <row r="3056" spans="4:12" x14ac:dyDescent="0.35">
      <c r="D3056" s="32"/>
      <c r="G3056" s="32"/>
      <c r="H3056">
        <f>COUNTIFS('Audit Raw data'!J:J,B:B,'Audit Raw data'!E:E,G:G)</f>
        <v>0</v>
      </c>
      <c r="I3056" s="44" t="str">
        <f>IFERROR((SUMIFS('Audit Raw data'!BZ:BZ,'Audit Raw data'!J:J,B:B,'Audit Raw data'!E:E,G:G)/H3056)/100,"-")</f>
        <v>-</v>
      </c>
      <c r="J3056">
        <f>COUNTIFS('Audit Raw data'!AM:AM,"Yes",'Audit Raw data'!J:J,B:B,'Audit Raw data'!E:E,'Day wise agent'!G:G)</f>
        <v>0</v>
      </c>
      <c r="K3056">
        <f>COUNTIFS('Audit Raw data'!AM:AM,"NO",'Audit Raw data'!J:J,B:B,'Audit Raw data'!E:E,'Day wise agent'!G:G)</f>
        <v>0</v>
      </c>
      <c r="L3056" s="12" t="str">
        <f t="shared" si="68"/>
        <v xml:space="preserve"> </v>
      </c>
    </row>
    <row r="3057" spans="4:12" x14ac:dyDescent="0.35">
      <c r="D3057" s="32"/>
      <c r="G3057" s="32"/>
      <c r="H3057">
        <f>COUNTIFS('Audit Raw data'!J:J,B:B,'Audit Raw data'!E:E,G:G)</f>
        <v>0</v>
      </c>
      <c r="I3057" s="44" t="str">
        <f>IFERROR((SUMIFS('Audit Raw data'!BZ:BZ,'Audit Raw data'!J:J,B:B,'Audit Raw data'!E:E,G:G)/H3057)/100,"-")</f>
        <v>-</v>
      </c>
      <c r="J3057">
        <f>COUNTIFS('Audit Raw data'!AM:AM,"Yes",'Audit Raw data'!J:J,B:B,'Audit Raw data'!E:E,'Day wise agent'!G:G)</f>
        <v>0</v>
      </c>
      <c r="K3057">
        <f>COUNTIFS('Audit Raw data'!AM:AM,"NO",'Audit Raw data'!J:J,B:B,'Audit Raw data'!E:E,'Day wise agent'!G:G)</f>
        <v>0</v>
      </c>
      <c r="L3057" s="12" t="str">
        <f t="shared" si="68"/>
        <v xml:space="preserve"> </v>
      </c>
    </row>
    <row r="3058" spans="4:12" x14ac:dyDescent="0.35">
      <c r="D3058" s="32"/>
      <c r="G3058" s="32"/>
      <c r="H3058">
        <f>COUNTIFS('Audit Raw data'!J:J,B:B,'Audit Raw data'!E:E,G:G)</f>
        <v>0</v>
      </c>
      <c r="I3058" s="44" t="str">
        <f>IFERROR((SUMIFS('Audit Raw data'!BZ:BZ,'Audit Raw data'!J:J,B:B,'Audit Raw data'!E:E,G:G)/H3058)/100,"-")</f>
        <v>-</v>
      </c>
      <c r="J3058">
        <f>COUNTIFS('Audit Raw data'!AM:AM,"Yes",'Audit Raw data'!J:J,B:B,'Audit Raw data'!E:E,'Day wise agent'!G:G)</f>
        <v>0</v>
      </c>
      <c r="K3058">
        <f>COUNTIFS('Audit Raw data'!AM:AM,"NO",'Audit Raw data'!J:J,B:B,'Audit Raw data'!E:E,'Day wise agent'!G:G)</f>
        <v>0</v>
      </c>
      <c r="L3058" s="12" t="str">
        <f t="shared" si="68"/>
        <v xml:space="preserve"> </v>
      </c>
    </row>
    <row r="3059" spans="4:12" x14ac:dyDescent="0.35">
      <c r="D3059" s="32"/>
      <c r="G3059" s="32"/>
      <c r="H3059">
        <f>COUNTIFS('Audit Raw data'!J:J,B:B,'Audit Raw data'!E:E,G:G)</f>
        <v>0</v>
      </c>
      <c r="I3059" s="44" t="str">
        <f>IFERROR((SUMIFS('Audit Raw data'!BZ:BZ,'Audit Raw data'!J:J,B:B,'Audit Raw data'!E:E,G:G)/H3059)/100,"-")</f>
        <v>-</v>
      </c>
      <c r="J3059">
        <f>COUNTIFS('Audit Raw data'!AM:AM,"Yes",'Audit Raw data'!J:J,B:B,'Audit Raw data'!E:E,'Day wise agent'!G:G)</f>
        <v>0</v>
      </c>
      <c r="K3059">
        <f>COUNTIFS('Audit Raw data'!AM:AM,"NO",'Audit Raw data'!J:J,B:B,'Audit Raw data'!E:E,'Day wise agent'!G:G)</f>
        <v>0</v>
      </c>
      <c r="L3059" s="12" t="str">
        <f t="shared" si="68"/>
        <v xml:space="preserve"> </v>
      </c>
    </row>
    <row r="3060" spans="4:12" x14ac:dyDescent="0.35">
      <c r="D3060" s="32"/>
      <c r="G3060" s="32"/>
      <c r="H3060">
        <f>COUNTIFS('Audit Raw data'!J:J,B:B,'Audit Raw data'!E:E,G:G)</f>
        <v>0</v>
      </c>
      <c r="I3060" s="44" t="str">
        <f>IFERROR((SUMIFS('Audit Raw data'!BZ:BZ,'Audit Raw data'!J:J,B:B,'Audit Raw data'!E:E,G:G)/H3060)/100,"-")</f>
        <v>-</v>
      </c>
      <c r="J3060">
        <f>COUNTIFS('Audit Raw data'!AM:AM,"Yes",'Audit Raw data'!J:J,B:B,'Audit Raw data'!E:E,'Day wise agent'!G:G)</f>
        <v>0</v>
      </c>
      <c r="K3060">
        <f>COUNTIFS('Audit Raw data'!AM:AM,"NO",'Audit Raw data'!J:J,B:B,'Audit Raw data'!E:E,'Day wise agent'!G:G)</f>
        <v>0</v>
      </c>
      <c r="L3060" s="12" t="str">
        <f t="shared" si="68"/>
        <v xml:space="preserve"> </v>
      </c>
    </row>
    <row r="3061" spans="4:12" x14ac:dyDescent="0.35">
      <c r="D3061" s="32"/>
      <c r="G3061" s="32"/>
      <c r="H3061">
        <f>COUNTIFS('Audit Raw data'!J:J,B:B,'Audit Raw data'!E:E,G:G)</f>
        <v>0</v>
      </c>
      <c r="I3061" s="44" t="str">
        <f>IFERROR((SUMIFS('Audit Raw data'!BZ:BZ,'Audit Raw data'!J:J,B:B,'Audit Raw data'!E:E,G:G)/H3061)/100,"-")</f>
        <v>-</v>
      </c>
      <c r="J3061">
        <f>COUNTIFS('Audit Raw data'!AM:AM,"Yes",'Audit Raw data'!J:J,B:B,'Audit Raw data'!E:E,'Day wise agent'!G:G)</f>
        <v>0</v>
      </c>
      <c r="K3061">
        <f>COUNTIFS('Audit Raw data'!AM:AM,"NO",'Audit Raw data'!J:J,B:B,'Audit Raw data'!E:E,'Day wise agent'!G:G)</f>
        <v>0</v>
      </c>
      <c r="L3061" s="12" t="str">
        <f t="shared" si="68"/>
        <v xml:space="preserve"> </v>
      </c>
    </row>
    <row r="3062" spans="4:12" x14ac:dyDescent="0.35">
      <c r="D3062" s="32"/>
      <c r="G3062" s="32"/>
      <c r="H3062">
        <f>COUNTIFS('Audit Raw data'!J:J,B:B,'Audit Raw data'!E:E,G:G)</f>
        <v>0</v>
      </c>
      <c r="I3062" s="44" t="str">
        <f>IFERROR((SUMIFS('Audit Raw data'!BZ:BZ,'Audit Raw data'!J:J,B:B,'Audit Raw data'!E:E,G:G)/H3062)/100,"-")</f>
        <v>-</v>
      </c>
      <c r="J3062">
        <f>COUNTIFS('Audit Raw data'!AM:AM,"Yes",'Audit Raw data'!J:J,B:B,'Audit Raw data'!E:E,'Day wise agent'!G:G)</f>
        <v>0</v>
      </c>
      <c r="K3062">
        <f>COUNTIFS('Audit Raw data'!AM:AM,"NO",'Audit Raw data'!J:J,B:B,'Audit Raw data'!E:E,'Day wise agent'!G:G)</f>
        <v>0</v>
      </c>
      <c r="L3062" s="12" t="str">
        <f t="shared" si="68"/>
        <v xml:space="preserve"> </v>
      </c>
    </row>
    <row r="3063" spans="4:12" x14ac:dyDescent="0.35">
      <c r="D3063" s="32"/>
      <c r="G3063" s="32"/>
      <c r="H3063">
        <f>COUNTIFS('Audit Raw data'!J:J,B:B,'Audit Raw data'!E:E,G:G)</f>
        <v>0</v>
      </c>
      <c r="I3063" s="44" t="str">
        <f>IFERROR((SUMIFS('Audit Raw data'!BZ:BZ,'Audit Raw data'!J:J,B:B,'Audit Raw data'!E:E,G:G)/H3063)/100,"-")</f>
        <v>-</v>
      </c>
      <c r="J3063">
        <f>COUNTIFS('Audit Raw data'!AM:AM,"Yes",'Audit Raw data'!J:J,B:B,'Audit Raw data'!E:E,'Day wise agent'!G:G)</f>
        <v>0</v>
      </c>
      <c r="K3063">
        <f>COUNTIFS('Audit Raw data'!AM:AM,"NO",'Audit Raw data'!J:J,B:B,'Audit Raw data'!E:E,'Day wise agent'!G:G)</f>
        <v>0</v>
      </c>
      <c r="L3063" s="12" t="str">
        <f t="shared" si="68"/>
        <v xml:space="preserve"> </v>
      </c>
    </row>
    <row r="3064" spans="4:12" x14ac:dyDescent="0.35">
      <c r="D3064" s="32"/>
      <c r="G3064" s="32"/>
      <c r="H3064">
        <f>COUNTIFS('Audit Raw data'!J:J,B:B,'Audit Raw data'!E:E,G:G)</f>
        <v>0</v>
      </c>
      <c r="I3064" s="44" t="str">
        <f>IFERROR((SUMIFS('Audit Raw data'!BZ:BZ,'Audit Raw data'!J:J,B:B,'Audit Raw data'!E:E,G:G)/H3064)/100,"-")</f>
        <v>-</v>
      </c>
      <c r="J3064">
        <f>COUNTIFS('Audit Raw data'!AM:AM,"Yes",'Audit Raw data'!J:J,B:B,'Audit Raw data'!E:E,'Day wise agent'!G:G)</f>
        <v>0</v>
      </c>
      <c r="K3064">
        <f>COUNTIFS('Audit Raw data'!AM:AM,"NO",'Audit Raw data'!J:J,B:B,'Audit Raw data'!E:E,'Day wise agent'!G:G)</f>
        <v>0</v>
      </c>
      <c r="L3064" s="12" t="str">
        <f t="shared" si="68"/>
        <v xml:space="preserve"> </v>
      </c>
    </row>
    <row r="3065" spans="4:12" x14ac:dyDescent="0.35">
      <c r="D3065" s="32"/>
      <c r="G3065" s="32"/>
      <c r="H3065">
        <f>COUNTIFS('Audit Raw data'!J:J,B:B,'Audit Raw data'!E:E,G:G)</f>
        <v>0</v>
      </c>
      <c r="I3065" s="44" t="str">
        <f>IFERROR((SUMIFS('Audit Raw data'!BZ:BZ,'Audit Raw data'!J:J,B:B,'Audit Raw data'!E:E,G:G)/H3065)/100,"-")</f>
        <v>-</v>
      </c>
      <c r="J3065">
        <f>COUNTIFS('Audit Raw data'!AM:AM,"Yes",'Audit Raw data'!J:J,B:B,'Audit Raw data'!E:E,'Day wise agent'!G:G)</f>
        <v>0</v>
      </c>
      <c r="K3065">
        <f>COUNTIFS('Audit Raw data'!AM:AM,"NO",'Audit Raw data'!J:J,B:B,'Audit Raw data'!E:E,'Day wise agent'!G:G)</f>
        <v>0</v>
      </c>
      <c r="L3065" s="12" t="str">
        <f t="shared" si="68"/>
        <v xml:space="preserve"> </v>
      </c>
    </row>
    <row r="3066" spans="4:12" x14ac:dyDescent="0.35">
      <c r="D3066" s="32"/>
      <c r="G3066" s="32"/>
      <c r="H3066">
        <f>COUNTIFS('Audit Raw data'!J:J,B:B,'Audit Raw data'!E:E,G:G)</f>
        <v>0</v>
      </c>
      <c r="I3066" s="44" t="str">
        <f>IFERROR((SUMIFS('Audit Raw data'!BZ:BZ,'Audit Raw data'!J:J,B:B,'Audit Raw data'!E:E,G:G)/H3066)/100,"-")</f>
        <v>-</v>
      </c>
      <c r="J3066">
        <f>COUNTIFS('Audit Raw data'!AM:AM,"Yes",'Audit Raw data'!J:J,B:B,'Audit Raw data'!E:E,'Day wise agent'!G:G)</f>
        <v>0</v>
      </c>
      <c r="K3066">
        <f>COUNTIFS('Audit Raw data'!AM:AM,"NO",'Audit Raw data'!J:J,B:B,'Audit Raw data'!E:E,'Day wise agent'!G:G)</f>
        <v>0</v>
      </c>
      <c r="L3066" s="12" t="str">
        <f t="shared" si="68"/>
        <v xml:space="preserve"> </v>
      </c>
    </row>
    <row r="3067" spans="4:12" x14ac:dyDescent="0.35">
      <c r="D3067" s="32"/>
      <c r="G3067" s="32"/>
      <c r="H3067">
        <f>COUNTIFS('Audit Raw data'!J:J,B:B,'Audit Raw data'!E:E,G:G)</f>
        <v>0</v>
      </c>
      <c r="I3067" s="44" t="str">
        <f>IFERROR((SUMIFS('Audit Raw data'!BZ:BZ,'Audit Raw data'!J:J,B:B,'Audit Raw data'!E:E,G:G)/H3067)/100,"-")</f>
        <v>-</v>
      </c>
      <c r="J3067">
        <f>COUNTIFS('Audit Raw data'!AM:AM,"Yes",'Audit Raw data'!J:J,B:B,'Audit Raw data'!E:E,'Day wise agent'!G:G)</f>
        <v>0</v>
      </c>
      <c r="K3067">
        <f>COUNTIFS('Audit Raw data'!AM:AM,"NO",'Audit Raw data'!J:J,B:B,'Audit Raw data'!E:E,'Day wise agent'!G:G)</f>
        <v>0</v>
      </c>
      <c r="L3067" s="12" t="str">
        <f t="shared" si="68"/>
        <v xml:space="preserve"> </v>
      </c>
    </row>
    <row r="3068" spans="4:12" x14ac:dyDescent="0.35">
      <c r="D3068" s="32"/>
      <c r="G3068" s="32"/>
      <c r="H3068">
        <f>COUNTIFS('Audit Raw data'!J:J,B:B,'Audit Raw data'!E:E,G:G)</f>
        <v>0</v>
      </c>
      <c r="I3068" s="44" t="str">
        <f>IFERROR((SUMIFS('Audit Raw data'!BZ:BZ,'Audit Raw data'!J:J,B:B,'Audit Raw data'!E:E,G:G)/H3068)/100,"-")</f>
        <v>-</v>
      </c>
      <c r="J3068">
        <f>COUNTIFS('Audit Raw data'!AM:AM,"Yes",'Audit Raw data'!J:J,B:B,'Audit Raw data'!E:E,'Day wise agent'!G:G)</f>
        <v>0</v>
      </c>
      <c r="K3068">
        <f>COUNTIFS('Audit Raw data'!AM:AM,"NO",'Audit Raw data'!J:J,B:B,'Audit Raw data'!E:E,'Day wise agent'!G:G)</f>
        <v>0</v>
      </c>
      <c r="L3068" s="12" t="str">
        <f t="shared" si="68"/>
        <v xml:space="preserve"> </v>
      </c>
    </row>
    <row r="3069" spans="4:12" x14ac:dyDescent="0.35">
      <c r="D3069" s="32"/>
      <c r="G3069" s="32"/>
      <c r="H3069">
        <f>COUNTIFS('Audit Raw data'!J:J,B:B,'Audit Raw data'!E:E,G:G)</f>
        <v>0</v>
      </c>
      <c r="I3069" s="44" t="str">
        <f>IFERROR((SUMIFS('Audit Raw data'!BZ:BZ,'Audit Raw data'!J:J,B:B,'Audit Raw data'!E:E,G:G)/H3069)/100,"-")</f>
        <v>-</v>
      </c>
      <c r="J3069">
        <f>COUNTIFS('Audit Raw data'!AM:AM,"Yes",'Audit Raw data'!J:J,B:B,'Audit Raw data'!E:E,'Day wise agent'!G:G)</f>
        <v>0</v>
      </c>
      <c r="K3069">
        <f>COUNTIFS('Audit Raw data'!AM:AM,"NO",'Audit Raw data'!J:J,B:B,'Audit Raw data'!E:E,'Day wise agent'!G:G)</f>
        <v>0</v>
      </c>
      <c r="L3069" s="12" t="str">
        <f t="shared" si="68"/>
        <v xml:space="preserve"> </v>
      </c>
    </row>
    <row r="3070" spans="4:12" x14ac:dyDescent="0.35">
      <c r="D3070" s="32"/>
      <c r="G3070" s="32"/>
      <c r="H3070">
        <f>COUNTIFS('Audit Raw data'!J:J,B:B,'Audit Raw data'!E:E,G:G)</f>
        <v>0</v>
      </c>
      <c r="I3070" s="44" t="str">
        <f>IFERROR((SUMIFS('Audit Raw data'!BZ:BZ,'Audit Raw data'!J:J,B:B,'Audit Raw data'!E:E,G:G)/H3070)/100,"-")</f>
        <v>-</v>
      </c>
      <c r="J3070">
        <f>COUNTIFS('Audit Raw data'!AM:AM,"Yes",'Audit Raw data'!J:J,B:B,'Audit Raw data'!E:E,'Day wise agent'!G:G)</f>
        <v>0</v>
      </c>
      <c r="K3070">
        <f>COUNTIFS('Audit Raw data'!AM:AM,"NO",'Audit Raw data'!J:J,B:B,'Audit Raw data'!E:E,'Day wise agent'!G:G)</f>
        <v>0</v>
      </c>
      <c r="L3070" s="12" t="str">
        <f t="shared" si="68"/>
        <v xml:space="preserve"> </v>
      </c>
    </row>
    <row r="3071" spans="4:12" x14ac:dyDescent="0.35">
      <c r="D3071" s="32"/>
      <c r="G3071" s="32"/>
      <c r="H3071">
        <f>COUNTIFS('Audit Raw data'!J:J,B:B,'Audit Raw data'!E:E,G:G)</f>
        <v>0</v>
      </c>
      <c r="I3071" s="44" t="str">
        <f>IFERROR((SUMIFS('Audit Raw data'!BZ:BZ,'Audit Raw data'!J:J,B:B,'Audit Raw data'!E:E,G:G)/H3071)/100,"-")</f>
        <v>-</v>
      </c>
      <c r="J3071">
        <f>COUNTIFS('Audit Raw data'!AM:AM,"Yes",'Audit Raw data'!J:J,B:B,'Audit Raw data'!E:E,'Day wise agent'!G:G)</f>
        <v>0</v>
      </c>
      <c r="K3071">
        <f>COUNTIFS('Audit Raw data'!AM:AM,"NO",'Audit Raw data'!J:J,B:B,'Audit Raw data'!E:E,'Day wise agent'!G:G)</f>
        <v>0</v>
      </c>
      <c r="L3071" s="12" t="str">
        <f t="shared" si="68"/>
        <v xml:space="preserve"> </v>
      </c>
    </row>
    <row r="3072" spans="4:12" x14ac:dyDescent="0.35">
      <c r="D3072" s="32"/>
      <c r="G3072" s="32"/>
      <c r="H3072">
        <f>COUNTIFS('Audit Raw data'!J:J,B:B,'Audit Raw data'!E:E,G:G)</f>
        <v>0</v>
      </c>
      <c r="I3072" s="44" t="str">
        <f>IFERROR((SUMIFS('Audit Raw data'!BZ:BZ,'Audit Raw data'!J:J,B:B,'Audit Raw data'!E:E,G:G)/H3072)/100,"-")</f>
        <v>-</v>
      </c>
      <c r="J3072">
        <f>COUNTIFS('Audit Raw data'!AM:AM,"Yes",'Audit Raw data'!J:J,B:B,'Audit Raw data'!E:E,'Day wise agent'!G:G)</f>
        <v>0</v>
      </c>
      <c r="K3072">
        <f>COUNTIFS('Audit Raw data'!AM:AM,"NO",'Audit Raw data'!J:J,B:B,'Audit Raw data'!E:E,'Day wise agent'!G:G)</f>
        <v>0</v>
      </c>
      <c r="L3072" s="12" t="str">
        <f t="shared" si="68"/>
        <v xml:space="preserve"> </v>
      </c>
    </row>
    <row r="3073" spans="4:12" x14ac:dyDescent="0.35">
      <c r="D3073" s="32"/>
      <c r="G3073" s="32"/>
      <c r="H3073">
        <f>COUNTIFS('Audit Raw data'!J:J,B:B,'Audit Raw data'!E:E,G:G)</f>
        <v>0</v>
      </c>
      <c r="I3073" s="44" t="str">
        <f>IFERROR((SUMIFS('Audit Raw data'!BZ:BZ,'Audit Raw data'!J:J,B:B,'Audit Raw data'!E:E,G:G)/H3073)/100,"-")</f>
        <v>-</v>
      </c>
      <c r="J3073">
        <f>COUNTIFS('Audit Raw data'!AM:AM,"Yes",'Audit Raw data'!J:J,B:B,'Audit Raw data'!E:E,'Day wise agent'!G:G)</f>
        <v>0</v>
      </c>
      <c r="K3073">
        <f>COUNTIFS('Audit Raw data'!AM:AM,"NO",'Audit Raw data'!J:J,B:B,'Audit Raw data'!E:E,'Day wise agent'!G:G)</f>
        <v>0</v>
      </c>
      <c r="L3073" s="12" t="str">
        <f t="shared" si="68"/>
        <v xml:space="preserve"> </v>
      </c>
    </row>
    <row r="3074" spans="4:12" x14ac:dyDescent="0.35">
      <c r="D3074" s="32"/>
      <c r="G3074" s="32"/>
      <c r="H3074">
        <f>COUNTIFS('Audit Raw data'!J:J,B:B,'Audit Raw data'!E:E,G:G)</f>
        <v>0</v>
      </c>
      <c r="I3074" s="44" t="str">
        <f>IFERROR((SUMIFS('Audit Raw data'!BZ:BZ,'Audit Raw data'!J:J,B:B,'Audit Raw data'!E:E,G:G)/H3074)/100,"-")</f>
        <v>-</v>
      </c>
      <c r="J3074">
        <f>COUNTIFS('Audit Raw data'!AM:AM,"Yes",'Audit Raw data'!J:J,B:B,'Audit Raw data'!E:E,'Day wise agent'!G:G)</f>
        <v>0</v>
      </c>
      <c r="K3074">
        <f>COUNTIFS('Audit Raw data'!AM:AM,"NO",'Audit Raw data'!J:J,B:B,'Audit Raw data'!E:E,'Day wise agent'!G:G)</f>
        <v>0</v>
      </c>
      <c r="L3074" s="12" t="str">
        <f t="shared" ref="L3074:L3137" si="69">IFERROR(J3074/H3074," ")</f>
        <v xml:space="preserve"> </v>
      </c>
    </row>
    <row r="3075" spans="4:12" x14ac:dyDescent="0.35">
      <c r="D3075" s="32"/>
      <c r="G3075" s="32"/>
      <c r="H3075">
        <f>COUNTIFS('Audit Raw data'!J:J,B:B,'Audit Raw data'!E:E,G:G)</f>
        <v>0</v>
      </c>
      <c r="I3075" s="44" t="str">
        <f>IFERROR((SUMIFS('Audit Raw data'!BZ:BZ,'Audit Raw data'!J:J,B:B,'Audit Raw data'!E:E,G:G)/H3075)/100,"-")</f>
        <v>-</v>
      </c>
      <c r="J3075">
        <f>COUNTIFS('Audit Raw data'!AM:AM,"Yes",'Audit Raw data'!J:J,B:B,'Audit Raw data'!E:E,'Day wise agent'!G:G)</f>
        <v>0</v>
      </c>
      <c r="K3075">
        <f>COUNTIFS('Audit Raw data'!AM:AM,"NO",'Audit Raw data'!J:J,B:B,'Audit Raw data'!E:E,'Day wise agent'!G:G)</f>
        <v>0</v>
      </c>
      <c r="L3075" s="12" t="str">
        <f t="shared" si="69"/>
        <v xml:space="preserve"> </v>
      </c>
    </row>
    <row r="3076" spans="4:12" x14ac:dyDescent="0.35">
      <c r="D3076" s="32"/>
      <c r="G3076" s="32"/>
      <c r="H3076">
        <f>COUNTIFS('Audit Raw data'!J:J,B:B,'Audit Raw data'!E:E,G:G)</f>
        <v>0</v>
      </c>
      <c r="I3076" s="44" t="str">
        <f>IFERROR((SUMIFS('Audit Raw data'!BZ:BZ,'Audit Raw data'!J:J,B:B,'Audit Raw data'!E:E,G:G)/H3076)/100,"-")</f>
        <v>-</v>
      </c>
      <c r="J3076">
        <f>COUNTIFS('Audit Raw data'!AM:AM,"Yes",'Audit Raw data'!J:J,B:B,'Audit Raw data'!E:E,'Day wise agent'!G:G)</f>
        <v>0</v>
      </c>
      <c r="K3076">
        <f>COUNTIFS('Audit Raw data'!AM:AM,"NO",'Audit Raw data'!J:J,B:B,'Audit Raw data'!E:E,'Day wise agent'!G:G)</f>
        <v>0</v>
      </c>
      <c r="L3076" s="12" t="str">
        <f t="shared" si="69"/>
        <v xml:space="preserve"> </v>
      </c>
    </row>
    <row r="3077" spans="4:12" x14ac:dyDescent="0.35">
      <c r="D3077" s="32"/>
      <c r="G3077" s="32"/>
      <c r="H3077">
        <f>COUNTIFS('Audit Raw data'!J:J,B:B,'Audit Raw data'!E:E,G:G)</f>
        <v>0</v>
      </c>
      <c r="I3077" s="44" t="str">
        <f>IFERROR((SUMIFS('Audit Raw data'!BZ:BZ,'Audit Raw data'!J:J,B:B,'Audit Raw data'!E:E,G:G)/H3077)/100,"-")</f>
        <v>-</v>
      </c>
      <c r="J3077">
        <f>COUNTIFS('Audit Raw data'!AM:AM,"Yes",'Audit Raw data'!J:J,B:B,'Audit Raw data'!E:E,'Day wise agent'!G:G)</f>
        <v>0</v>
      </c>
      <c r="K3077">
        <f>COUNTIFS('Audit Raw data'!AM:AM,"NO",'Audit Raw data'!J:J,B:B,'Audit Raw data'!E:E,'Day wise agent'!G:G)</f>
        <v>0</v>
      </c>
      <c r="L3077" s="12" t="str">
        <f t="shared" si="69"/>
        <v xml:space="preserve"> </v>
      </c>
    </row>
    <row r="3078" spans="4:12" x14ac:dyDescent="0.35">
      <c r="D3078" s="32"/>
      <c r="G3078" s="32"/>
      <c r="H3078">
        <f>COUNTIFS('Audit Raw data'!J:J,B:B,'Audit Raw data'!E:E,G:G)</f>
        <v>0</v>
      </c>
      <c r="I3078" s="44" t="str">
        <f>IFERROR((SUMIFS('Audit Raw data'!BZ:BZ,'Audit Raw data'!J:J,B:B,'Audit Raw data'!E:E,G:G)/H3078)/100,"-")</f>
        <v>-</v>
      </c>
      <c r="J3078">
        <f>COUNTIFS('Audit Raw data'!AM:AM,"Yes",'Audit Raw data'!J:J,B:B,'Audit Raw data'!E:E,'Day wise agent'!G:G)</f>
        <v>0</v>
      </c>
      <c r="K3078">
        <f>COUNTIFS('Audit Raw data'!AM:AM,"NO",'Audit Raw data'!J:J,B:B,'Audit Raw data'!E:E,'Day wise agent'!G:G)</f>
        <v>0</v>
      </c>
      <c r="L3078" s="12" t="str">
        <f t="shared" si="69"/>
        <v xml:space="preserve"> </v>
      </c>
    </row>
    <row r="3079" spans="4:12" x14ac:dyDescent="0.35">
      <c r="D3079" s="32"/>
      <c r="G3079" s="32"/>
      <c r="H3079">
        <f>COUNTIFS('Audit Raw data'!J:J,B:B,'Audit Raw data'!E:E,G:G)</f>
        <v>0</v>
      </c>
      <c r="I3079" s="44" t="str">
        <f>IFERROR((SUMIFS('Audit Raw data'!BZ:BZ,'Audit Raw data'!J:J,B:B,'Audit Raw data'!E:E,G:G)/H3079)/100,"-")</f>
        <v>-</v>
      </c>
      <c r="J3079">
        <f>COUNTIFS('Audit Raw data'!AM:AM,"Yes",'Audit Raw data'!J:J,B:B,'Audit Raw data'!E:E,'Day wise agent'!G:G)</f>
        <v>0</v>
      </c>
      <c r="K3079">
        <f>COUNTIFS('Audit Raw data'!AM:AM,"NO",'Audit Raw data'!J:J,B:B,'Audit Raw data'!E:E,'Day wise agent'!G:G)</f>
        <v>0</v>
      </c>
      <c r="L3079" s="12" t="str">
        <f t="shared" si="69"/>
        <v xml:space="preserve"> </v>
      </c>
    </row>
    <row r="3080" spans="4:12" x14ac:dyDescent="0.35">
      <c r="D3080" s="32"/>
      <c r="G3080" s="32"/>
      <c r="H3080">
        <f>COUNTIFS('Audit Raw data'!J:J,B:B,'Audit Raw data'!E:E,G:G)</f>
        <v>0</v>
      </c>
      <c r="I3080" s="44" t="str">
        <f>IFERROR((SUMIFS('Audit Raw data'!BZ:BZ,'Audit Raw data'!J:J,B:B,'Audit Raw data'!E:E,G:G)/H3080)/100,"-")</f>
        <v>-</v>
      </c>
      <c r="J3080">
        <f>COUNTIFS('Audit Raw data'!AM:AM,"Yes",'Audit Raw data'!J:J,B:B,'Audit Raw data'!E:E,'Day wise agent'!G:G)</f>
        <v>0</v>
      </c>
      <c r="K3080">
        <f>COUNTIFS('Audit Raw data'!AM:AM,"NO",'Audit Raw data'!J:J,B:B,'Audit Raw data'!E:E,'Day wise agent'!G:G)</f>
        <v>0</v>
      </c>
      <c r="L3080" s="12" t="str">
        <f t="shared" si="69"/>
        <v xml:space="preserve"> </v>
      </c>
    </row>
    <row r="3081" spans="4:12" x14ac:dyDescent="0.35">
      <c r="D3081" s="32"/>
      <c r="G3081" s="32"/>
      <c r="H3081">
        <f>COUNTIFS('Audit Raw data'!J:J,B:B,'Audit Raw data'!E:E,G:G)</f>
        <v>0</v>
      </c>
      <c r="I3081" s="44" t="str">
        <f>IFERROR((SUMIFS('Audit Raw data'!BZ:BZ,'Audit Raw data'!J:J,B:B,'Audit Raw data'!E:E,G:G)/H3081)/100,"-")</f>
        <v>-</v>
      </c>
      <c r="J3081">
        <f>COUNTIFS('Audit Raw data'!AM:AM,"Yes",'Audit Raw data'!J:J,B:B,'Audit Raw data'!E:E,'Day wise agent'!G:G)</f>
        <v>0</v>
      </c>
      <c r="K3081">
        <f>COUNTIFS('Audit Raw data'!AM:AM,"NO",'Audit Raw data'!J:J,B:B,'Audit Raw data'!E:E,'Day wise agent'!G:G)</f>
        <v>0</v>
      </c>
      <c r="L3081" s="12" t="str">
        <f t="shared" si="69"/>
        <v xml:space="preserve"> </v>
      </c>
    </row>
    <row r="3082" spans="4:12" x14ac:dyDescent="0.35">
      <c r="D3082" s="32"/>
      <c r="G3082" s="32"/>
      <c r="H3082">
        <f>COUNTIFS('Audit Raw data'!J:J,B:B,'Audit Raw data'!E:E,G:G)</f>
        <v>0</v>
      </c>
      <c r="I3082" s="44" t="str">
        <f>IFERROR((SUMIFS('Audit Raw data'!BZ:BZ,'Audit Raw data'!J:J,B:B,'Audit Raw data'!E:E,G:G)/H3082)/100,"-")</f>
        <v>-</v>
      </c>
      <c r="J3082">
        <f>COUNTIFS('Audit Raw data'!AM:AM,"Yes",'Audit Raw data'!J:J,B:B,'Audit Raw data'!E:E,'Day wise agent'!G:G)</f>
        <v>0</v>
      </c>
      <c r="K3082">
        <f>COUNTIFS('Audit Raw data'!AM:AM,"NO",'Audit Raw data'!J:J,B:B,'Audit Raw data'!E:E,'Day wise agent'!G:G)</f>
        <v>0</v>
      </c>
      <c r="L3082" s="12" t="str">
        <f t="shared" si="69"/>
        <v xml:space="preserve"> </v>
      </c>
    </row>
    <row r="3083" spans="4:12" x14ac:dyDescent="0.35">
      <c r="D3083" s="32"/>
      <c r="G3083" s="32"/>
      <c r="H3083">
        <f>COUNTIFS('Audit Raw data'!J:J,B:B,'Audit Raw data'!E:E,G:G)</f>
        <v>0</v>
      </c>
      <c r="I3083" s="44" t="str">
        <f>IFERROR((SUMIFS('Audit Raw data'!BZ:BZ,'Audit Raw data'!J:J,B:B,'Audit Raw data'!E:E,G:G)/H3083)/100,"-")</f>
        <v>-</v>
      </c>
      <c r="J3083">
        <f>COUNTIFS('Audit Raw data'!AM:AM,"Yes",'Audit Raw data'!J:J,B:B,'Audit Raw data'!E:E,'Day wise agent'!G:G)</f>
        <v>0</v>
      </c>
      <c r="K3083">
        <f>COUNTIFS('Audit Raw data'!AM:AM,"NO",'Audit Raw data'!J:J,B:B,'Audit Raw data'!E:E,'Day wise agent'!G:G)</f>
        <v>0</v>
      </c>
      <c r="L3083" s="12" t="str">
        <f t="shared" si="69"/>
        <v xml:space="preserve"> </v>
      </c>
    </row>
    <row r="3084" spans="4:12" x14ac:dyDescent="0.35">
      <c r="D3084" s="32"/>
      <c r="G3084" s="32"/>
      <c r="H3084">
        <f>COUNTIFS('Audit Raw data'!J:J,B:B,'Audit Raw data'!E:E,G:G)</f>
        <v>0</v>
      </c>
      <c r="I3084" s="44" t="str">
        <f>IFERROR((SUMIFS('Audit Raw data'!BZ:BZ,'Audit Raw data'!J:J,B:B,'Audit Raw data'!E:E,G:G)/H3084)/100,"-")</f>
        <v>-</v>
      </c>
      <c r="J3084">
        <f>COUNTIFS('Audit Raw data'!AM:AM,"Yes",'Audit Raw data'!J:J,B:B,'Audit Raw data'!E:E,'Day wise agent'!G:G)</f>
        <v>0</v>
      </c>
      <c r="K3084">
        <f>COUNTIFS('Audit Raw data'!AM:AM,"NO",'Audit Raw data'!J:J,B:B,'Audit Raw data'!E:E,'Day wise agent'!G:G)</f>
        <v>0</v>
      </c>
      <c r="L3084" s="12" t="str">
        <f t="shared" si="69"/>
        <v xml:space="preserve"> </v>
      </c>
    </row>
    <row r="3085" spans="4:12" x14ac:dyDescent="0.35">
      <c r="D3085" s="32"/>
      <c r="G3085" s="32"/>
      <c r="H3085">
        <f>COUNTIFS('Audit Raw data'!J:J,B:B,'Audit Raw data'!E:E,G:G)</f>
        <v>0</v>
      </c>
      <c r="I3085" s="44" t="str">
        <f>IFERROR((SUMIFS('Audit Raw data'!BZ:BZ,'Audit Raw data'!J:J,B:B,'Audit Raw data'!E:E,G:G)/H3085)/100,"-")</f>
        <v>-</v>
      </c>
      <c r="J3085">
        <f>COUNTIFS('Audit Raw data'!AM:AM,"Yes",'Audit Raw data'!J:J,B:B,'Audit Raw data'!E:E,'Day wise agent'!G:G)</f>
        <v>0</v>
      </c>
      <c r="K3085">
        <f>COUNTIFS('Audit Raw data'!AM:AM,"NO",'Audit Raw data'!J:J,B:B,'Audit Raw data'!E:E,'Day wise agent'!G:G)</f>
        <v>0</v>
      </c>
      <c r="L3085" s="12" t="str">
        <f t="shared" si="69"/>
        <v xml:space="preserve"> </v>
      </c>
    </row>
    <row r="3086" spans="4:12" x14ac:dyDescent="0.35">
      <c r="D3086" s="32"/>
      <c r="G3086" s="32"/>
      <c r="H3086">
        <f>COUNTIFS('Audit Raw data'!J:J,B:B,'Audit Raw data'!E:E,G:G)</f>
        <v>0</v>
      </c>
      <c r="I3086" s="44" t="str">
        <f>IFERROR((SUMIFS('Audit Raw data'!BZ:BZ,'Audit Raw data'!J:J,B:B,'Audit Raw data'!E:E,G:G)/H3086)/100,"-")</f>
        <v>-</v>
      </c>
      <c r="J3086">
        <f>COUNTIFS('Audit Raw data'!AM:AM,"Yes",'Audit Raw data'!J:J,B:B,'Audit Raw data'!E:E,'Day wise agent'!G:G)</f>
        <v>0</v>
      </c>
      <c r="K3086">
        <f>COUNTIFS('Audit Raw data'!AM:AM,"NO",'Audit Raw data'!J:J,B:B,'Audit Raw data'!E:E,'Day wise agent'!G:G)</f>
        <v>0</v>
      </c>
      <c r="L3086" s="12" t="str">
        <f t="shared" si="69"/>
        <v xml:space="preserve"> </v>
      </c>
    </row>
    <row r="3087" spans="4:12" x14ac:dyDescent="0.35">
      <c r="D3087" s="32"/>
      <c r="G3087" s="32"/>
      <c r="H3087">
        <f>COUNTIFS('Audit Raw data'!J:J,B:B,'Audit Raw data'!E:E,G:G)</f>
        <v>0</v>
      </c>
      <c r="I3087" s="44" t="str">
        <f>IFERROR((SUMIFS('Audit Raw data'!BZ:BZ,'Audit Raw data'!J:J,B:B,'Audit Raw data'!E:E,G:G)/H3087)/100,"-")</f>
        <v>-</v>
      </c>
      <c r="J3087">
        <f>COUNTIFS('Audit Raw data'!AM:AM,"Yes",'Audit Raw data'!J:J,B:B,'Audit Raw data'!E:E,'Day wise agent'!G:G)</f>
        <v>0</v>
      </c>
      <c r="K3087">
        <f>COUNTIFS('Audit Raw data'!AM:AM,"NO",'Audit Raw data'!J:J,B:B,'Audit Raw data'!E:E,'Day wise agent'!G:G)</f>
        <v>0</v>
      </c>
      <c r="L3087" s="12" t="str">
        <f t="shared" si="69"/>
        <v xml:space="preserve"> </v>
      </c>
    </row>
    <row r="3088" spans="4:12" x14ac:dyDescent="0.35">
      <c r="D3088" s="32"/>
      <c r="G3088" s="32"/>
      <c r="H3088">
        <f>COUNTIFS('Audit Raw data'!J:J,B:B,'Audit Raw data'!E:E,G:G)</f>
        <v>0</v>
      </c>
      <c r="I3088" s="44" t="str">
        <f>IFERROR((SUMIFS('Audit Raw data'!BZ:BZ,'Audit Raw data'!J:J,B:B,'Audit Raw data'!E:E,G:G)/H3088)/100,"-")</f>
        <v>-</v>
      </c>
      <c r="J3088">
        <f>COUNTIFS('Audit Raw data'!AM:AM,"Yes",'Audit Raw data'!J:J,B:B,'Audit Raw data'!E:E,'Day wise agent'!G:G)</f>
        <v>0</v>
      </c>
      <c r="K3088">
        <f>COUNTIFS('Audit Raw data'!AM:AM,"NO",'Audit Raw data'!J:J,B:B,'Audit Raw data'!E:E,'Day wise agent'!G:G)</f>
        <v>0</v>
      </c>
      <c r="L3088" s="12" t="str">
        <f t="shared" si="69"/>
        <v xml:space="preserve"> </v>
      </c>
    </row>
    <row r="3089" spans="4:12" x14ac:dyDescent="0.35">
      <c r="D3089" s="32"/>
      <c r="G3089" s="32"/>
      <c r="H3089">
        <f>COUNTIFS('Audit Raw data'!J:J,B:B,'Audit Raw data'!E:E,G:G)</f>
        <v>0</v>
      </c>
      <c r="I3089" s="44" t="str">
        <f>IFERROR((SUMIFS('Audit Raw data'!BZ:BZ,'Audit Raw data'!J:J,B:B,'Audit Raw data'!E:E,G:G)/H3089)/100,"-")</f>
        <v>-</v>
      </c>
      <c r="J3089">
        <f>COUNTIFS('Audit Raw data'!AM:AM,"Yes",'Audit Raw data'!J:J,B:B,'Audit Raw data'!E:E,'Day wise agent'!G:G)</f>
        <v>0</v>
      </c>
      <c r="K3089">
        <f>COUNTIFS('Audit Raw data'!AM:AM,"NO",'Audit Raw data'!J:J,B:B,'Audit Raw data'!E:E,'Day wise agent'!G:G)</f>
        <v>0</v>
      </c>
      <c r="L3089" s="12" t="str">
        <f t="shared" si="69"/>
        <v xml:space="preserve"> </v>
      </c>
    </row>
    <row r="3090" spans="4:12" x14ac:dyDescent="0.35">
      <c r="D3090" s="32"/>
      <c r="G3090" s="32"/>
      <c r="H3090">
        <f>COUNTIFS('Audit Raw data'!J:J,B:B,'Audit Raw data'!E:E,G:G)</f>
        <v>0</v>
      </c>
      <c r="I3090" s="44" t="str">
        <f>IFERROR((SUMIFS('Audit Raw data'!BZ:BZ,'Audit Raw data'!J:J,B:B,'Audit Raw data'!E:E,G:G)/H3090)/100,"-")</f>
        <v>-</v>
      </c>
      <c r="J3090">
        <f>COUNTIFS('Audit Raw data'!AM:AM,"Yes",'Audit Raw data'!J:J,B:B,'Audit Raw data'!E:E,'Day wise agent'!G:G)</f>
        <v>0</v>
      </c>
      <c r="K3090">
        <f>COUNTIFS('Audit Raw data'!AM:AM,"NO",'Audit Raw data'!J:J,B:B,'Audit Raw data'!E:E,'Day wise agent'!G:G)</f>
        <v>0</v>
      </c>
      <c r="L3090" s="12" t="str">
        <f t="shared" si="69"/>
        <v xml:space="preserve"> </v>
      </c>
    </row>
    <row r="3091" spans="4:12" x14ac:dyDescent="0.35">
      <c r="D3091" s="32"/>
      <c r="G3091" s="32"/>
      <c r="H3091">
        <f>COUNTIFS('Audit Raw data'!J:J,B:B,'Audit Raw data'!E:E,G:G)</f>
        <v>0</v>
      </c>
      <c r="I3091" s="44" t="str">
        <f>IFERROR((SUMIFS('Audit Raw data'!BZ:BZ,'Audit Raw data'!J:J,B:B,'Audit Raw data'!E:E,G:G)/H3091)/100,"-")</f>
        <v>-</v>
      </c>
      <c r="J3091">
        <f>COUNTIFS('Audit Raw data'!AM:AM,"Yes",'Audit Raw data'!J:J,B:B,'Audit Raw data'!E:E,'Day wise agent'!G:G)</f>
        <v>0</v>
      </c>
      <c r="K3091">
        <f>COUNTIFS('Audit Raw data'!AM:AM,"NO",'Audit Raw data'!J:J,B:B,'Audit Raw data'!E:E,'Day wise agent'!G:G)</f>
        <v>0</v>
      </c>
      <c r="L3091" s="12" t="str">
        <f t="shared" si="69"/>
        <v xml:space="preserve"> </v>
      </c>
    </row>
    <row r="3092" spans="4:12" x14ac:dyDescent="0.35">
      <c r="D3092" s="32"/>
      <c r="G3092" s="32"/>
      <c r="H3092">
        <f>COUNTIFS('Audit Raw data'!J:J,B:B,'Audit Raw data'!E:E,G:G)</f>
        <v>0</v>
      </c>
      <c r="I3092" s="44" t="str">
        <f>IFERROR((SUMIFS('Audit Raw data'!BZ:BZ,'Audit Raw data'!J:J,B:B,'Audit Raw data'!E:E,G:G)/H3092)/100,"-")</f>
        <v>-</v>
      </c>
      <c r="J3092">
        <f>COUNTIFS('Audit Raw data'!AM:AM,"Yes",'Audit Raw data'!J:J,B:B,'Audit Raw data'!E:E,'Day wise agent'!G:G)</f>
        <v>0</v>
      </c>
      <c r="K3092">
        <f>COUNTIFS('Audit Raw data'!AM:AM,"NO",'Audit Raw data'!J:J,B:B,'Audit Raw data'!E:E,'Day wise agent'!G:G)</f>
        <v>0</v>
      </c>
      <c r="L3092" s="12" t="str">
        <f t="shared" si="69"/>
        <v xml:space="preserve"> </v>
      </c>
    </row>
    <row r="3093" spans="4:12" x14ac:dyDescent="0.35">
      <c r="D3093" s="32"/>
      <c r="G3093" s="32"/>
      <c r="H3093">
        <f>COUNTIFS('Audit Raw data'!J:J,B:B,'Audit Raw data'!E:E,G:G)</f>
        <v>0</v>
      </c>
      <c r="I3093" s="44" t="str">
        <f>IFERROR((SUMIFS('Audit Raw data'!BZ:BZ,'Audit Raw data'!J:J,B:B,'Audit Raw data'!E:E,G:G)/H3093)/100,"-")</f>
        <v>-</v>
      </c>
      <c r="J3093">
        <f>COUNTIFS('Audit Raw data'!AM:AM,"Yes",'Audit Raw data'!J:J,B:B,'Audit Raw data'!E:E,'Day wise agent'!G:G)</f>
        <v>0</v>
      </c>
      <c r="K3093">
        <f>COUNTIFS('Audit Raw data'!AM:AM,"NO",'Audit Raw data'!J:J,B:B,'Audit Raw data'!E:E,'Day wise agent'!G:G)</f>
        <v>0</v>
      </c>
      <c r="L3093" s="12" t="str">
        <f t="shared" si="69"/>
        <v xml:space="preserve"> </v>
      </c>
    </row>
    <row r="3094" spans="4:12" x14ac:dyDescent="0.35">
      <c r="D3094" s="32"/>
      <c r="G3094" s="32"/>
      <c r="H3094">
        <f>COUNTIFS('Audit Raw data'!J:J,B:B,'Audit Raw data'!E:E,G:G)</f>
        <v>0</v>
      </c>
      <c r="I3094" s="44" t="str">
        <f>IFERROR((SUMIFS('Audit Raw data'!BZ:BZ,'Audit Raw data'!J:J,B:B,'Audit Raw data'!E:E,G:G)/H3094)/100,"-")</f>
        <v>-</v>
      </c>
      <c r="J3094">
        <f>COUNTIFS('Audit Raw data'!AM:AM,"Yes",'Audit Raw data'!J:J,B:B,'Audit Raw data'!E:E,'Day wise agent'!G:G)</f>
        <v>0</v>
      </c>
      <c r="K3094">
        <f>COUNTIFS('Audit Raw data'!AM:AM,"NO",'Audit Raw data'!J:J,B:B,'Audit Raw data'!E:E,'Day wise agent'!G:G)</f>
        <v>0</v>
      </c>
      <c r="L3094" s="12" t="str">
        <f t="shared" si="69"/>
        <v xml:space="preserve"> </v>
      </c>
    </row>
    <row r="3095" spans="4:12" x14ac:dyDescent="0.35">
      <c r="D3095" s="32"/>
      <c r="G3095" s="32"/>
      <c r="H3095">
        <f>COUNTIFS('Audit Raw data'!J:J,B:B,'Audit Raw data'!E:E,G:G)</f>
        <v>0</v>
      </c>
      <c r="I3095" s="44" t="str">
        <f>IFERROR((SUMIFS('Audit Raw data'!BZ:BZ,'Audit Raw data'!J:J,B:B,'Audit Raw data'!E:E,G:G)/H3095)/100,"-")</f>
        <v>-</v>
      </c>
      <c r="J3095">
        <f>COUNTIFS('Audit Raw data'!AM:AM,"Yes",'Audit Raw data'!J:J,B:B,'Audit Raw data'!E:E,'Day wise agent'!G:G)</f>
        <v>0</v>
      </c>
      <c r="K3095">
        <f>COUNTIFS('Audit Raw data'!AM:AM,"NO",'Audit Raw data'!J:J,B:B,'Audit Raw data'!E:E,'Day wise agent'!G:G)</f>
        <v>0</v>
      </c>
      <c r="L3095" s="12" t="str">
        <f t="shared" si="69"/>
        <v xml:space="preserve"> </v>
      </c>
    </row>
    <row r="3096" spans="4:12" x14ac:dyDescent="0.35">
      <c r="D3096" s="32"/>
      <c r="G3096" s="32"/>
      <c r="H3096">
        <f>COUNTIFS('Audit Raw data'!J:J,B:B,'Audit Raw data'!E:E,G:G)</f>
        <v>0</v>
      </c>
      <c r="I3096" s="44" t="str">
        <f>IFERROR((SUMIFS('Audit Raw data'!BZ:BZ,'Audit Raw data'!J:J,B:B,'Audit Raw data'!E:E,G:G)/H3096)/100,"-")</f>
        <v>-</v>
      </c>
      <c r="J3096">
        <f>COUNTIFS('Audit Raw data'!AM:AM,"Yes",'Audit Raw data'!J:J,B:B,'Audit Raw data'!E:E,'Day wise agent'!G:G)</f>
        <v>0</v>
      </c>
      <c r="K3096">
        <f>COUNTIFS('Audit Raw data'!AM:AM,"NO",'Audit Raw data'!J:J,B:B,'Audit Raw data'!E:E,'Day wise agent'!G:G)</f>
        <v>0</v>
      </c>
      <c r="L3096" s="12" t="str">
        <f t="shared" si="69"/>
        <v xml:space="preserve"> </v>
      </c>
    </row>
    <row r="3097" spans="4:12" x14ac:dyDescent="0.35">
      <c r="D3097" s="32"/>
      <c r="G3097" s="32"/>
      <c r="H3097">
        <f>COUNTIFS('Audit Raw data'!J:J,B:B,'Audit Raw data'!E:E,G:G)</f>
        <v>0</v>
      </c>
      <c r="I3097" s="44" t="str">
        <f>IFERROR((SUMIFS('Audit Raw data'!BZ:BZ,'Audit Raw data'!J:J,B:B,'Audit Raw data'!E:E,G:G)/H3097)/100,"-")</f>
        <v>-</v>
      </c>
      <c r="J3097">
        <f>COUNTIFS('Audit Raw data'!AM:AM,"Yes",'Audit Raw data'!J:J,B:B,'Audit Raw data'!E:E,'Day wise agent'!G:G)</f>
        <v>0</v>
      </c>
      <c r="K3097">
        <f>COUNTIFS('Audit Raw data'!AM:AM,"NO",'Audit Raw data'!J:J,B:B,'Audit Raw data'!E:E,'Day wise agent'!G:G)</f>
        <v>0</v>
      </c>
      <c r="L3097" s="12" t="str">
        <f t="shared" si="69"/>
        <v xml:space="preserve"> </v>
      </c>
    </row>
    <row r="3098" spans="4:12" x14ac:dyDescent="0.35">
      <c r="D3098" s="32"/>
      <c r="G3098" s="32"/>
      <c r="H3098">
        <f>COUNTIFS('Audit Raw data'!J:J,B:B,'Audit Raw data'!E:E,G:G)</f>
        <v>0</v>
      </c>
      <c r="I3098" s="44" t="str">
        <f>IFERROR((SUMIFS('Audit Raw data'!BZ:BZ,'Audit Raw data'!J:J,B:B,'Audit Raw data'!E:E,G:G)/H3098)/100,"-")</f>
        <v>-</v>
      </c>
      <c r="J3098">
        <f>COUNTIFS('Audit Raw data'!AM:AM,"Yes",'Audit Raw data'!J:J,B:B,'Audit Raw data'!E:E,'Day wise agent'!G:G)</f>
        <v>0</v>
      </c>
      <c r="K3098">
        <f>COUNTIFS('Audit Raw data'!AM:AM,"NO",'Audit Raw data'!J:J,B:B,'Audit Raw data'!E:E,'Day wise agent'!G:G)</f>
        <v>0</v>
      </c>
      <c r="L3098" s="12" t="str">
        <f t="shared" si="69"/>
        <v xml:space="preserve"> </v>
      </c>
    </row>
    <row r="3099" spans="4:12" x14ac:dyDescent="0.35">
      <c r="D3099" s="32"/>
      <c r="G3099" s="32"/>
      <c r="H3099">
        <f>COUNTIFS('Audit Raw data'!J:J,B:B,'Audit Raw data'!E:E,G:G)</f>
        <v>0</v>
      </c>
      <c r="I3099" s="44" t="str">
        <f>IFERROR((SUMIFS('Audit Raw data'!BZ:BZ,'Audit Raw data'!J:J,B:B,'Audit Raw data'!E:E,G:G)/H3099)/100,"-")</f>
        <v>-</v>
      </c>
      <c r="J3099">
        <f>COUNTIFS('Audit Raw data'!AM:AM,"Yes",'Audit Raw data'!J:J,B:B,'Audit Raw data'!E:E,'Day wise agent'!G:G)</f>
        <v>0</v>
      </c>
      <c r="K3099">
        <f>COUNTIFS('Audit Raw data'!AM:AM,"NO",'Audit Raw data'!J:J,B:B,'Audit Raw data'!E:E,'Day wise agent'!G:G)</f>
        <v>0</v>
      </c>
      <c r="L3099" s="12" t="str">
        <f t="shared" si="69"/>
        <v xml:space="preserve"> </v>
      </c>
    </row>
    <row r="3100" spans="4:12" x14ac:dyDescent="0.35">
      <c r="D3100" s="32"/>
      <c r="G3100" s="32"/>
      <c r="H3100">
        <f>COUNTIFS('Audit Raw data'!J:J,B:B,'Audit Raw data'!E:E,G:G)</f>
        <v>0</v>
      </c>
      <c r="I3100" s="44" t="str">
        <f>IFERROR((SUMIFS('Audit Raw data'!BZ:BZ,'Audit Raw data'!J:J,B:B,'Audit Raw data'!E:E,G:G)/H3100)/100,"-")</f>
        <v>-</v>
      </c>
      <c r="J3100">
        <f>COUNTIFS('Audit Raw data'!AM:AM,"Yes",'Audit Raw data'!J:J,B:B,'Audit Raw data'!E:E,'Day wise agent'!G:G)</f>
        <v>0</v>
      </c>
      <c r="K3100">
        <f>COUNTIFS('Audit Raw data'!AM:AM,"NO",'Audit Raw data'!J:J,B:B,'Audit Raw data'!E:E,'Day wise agent'!G:G)</f>
        <v>0</v>
      </c>
      <c r="L3100" s="12" t="str">
        <f t="shared" si="69"/>
        <v xml:space="preserve"> </v>
      </c>
    </row>
    <row r="3101" spans="4:12" x14ac:dyDescent="0.35">
      <c r="D3101" s="32"/>
      <c r="G3101" s="32"/>
      <c r="H3101">
        <f>COUNTIFS('Audit Raw data'!J:J,B:B,'Audit Raw data'!E:E,G:G)</f>
        <v>0</v>
      </c>
      <c r="I3101" s="44" t="str">
        <f>IFERROR((SUMIFS('Audit Raw data'!BZ:BZ,'Audit Raw data'!J:J,B:B,'Audit Raw data'!E:E,G:G)/H3101)/100,"-")</f>
        <v>-</v>
      </c>
      <c r="J3101">
        <f>COUNTIFS('Audit Raw data'!AM:AM,"Yes",'Audit Raw data'!J:J,B:B,'Audit Raw data'!E:E,'Day wise agent'!G:G)</f>
        <v>0</v>
      </c>
      <c r="K3101">
        <f>COUNTIFS('Audit Raw data'!AM:AM,"NO",'Audit Raw data'!J:J,B:B,'Audit Raw data'!E:E,'Day wise agent'!G:G)</f>
        <v>0</v>
      </c>
      <c r="L3101" s="12" t="str">
        <f t="shared" si="69"/>
        <v xml:space="preserve"> </v>
      </c>
    </row>
    <row r="3102" spans="4:12" x14ac:dyDescent="0.35">
      <c r="D3102" s="32"/>
      <c r="G3102" s="32"/>
      <c r="H3102">
        <f>COUNTIFS('Audit Raw data'!J:J,B:B,'Audit Raw data'!E:E,G:G)</f>
        <v>0</v>
      </c>
      <c r="I3102" s="44" t="str">
        <f>IFERROR((SUMIFS('Audit Raw data'!BZ:BZ,'Audit Raw data'!J:J,B:B,'Audit Raw data'!E:E,G:G)/H3102)/100,"-")</f>
        <v>-</v>
      </c>
      <c r="J3102">
        <f>COUNTIFS('Audit Raw data'!AM:AM,"Yes",'Audit Raw data'!J:J,B:B,'Audit Raw data'!E:E,'Day wise agent'!G:G)</f>
        <v>0</v>
      </c>
      <c r="K3102">
        <f>COUNTIFS('Audit Raw data'!AM:AM,"NO",'Audit Raw data'!J:J,B:B,'Audit Raw data'!E:E,'Day wise agent'!G:G)</f>
        <v>0</v>
      </c>
      <c r="L3102" s="12" t="str">
        <f t="shared" si="69"/>
        <v xml:space="preserve"> </v>
      </c>
    </row>
    <row r="3103" spans="4:12" x14ac:dyDescent="0.35">
      <c r="D3103" s="32"/>
      <c r="G3103" s="32"/>
      <c r="H3103">
        <f>COUNTIFS('Audit Raw data'!J:J,B:B,'Audit Raw data'!E:E,G:G)</f>
        <v>0</v>
      </c>
      <c r="I3103" s="44" t="str">
        <f>IFERROR((SUMIFS('Audit Raw data'!BZ:BZ,'Audit Raw data'!J:J,B:B,'Audit Raw data'!E:E,G:G)/H3103)/100,"-")</f>
        <v>-</v>
      </c>
      <c r="J3103">
        <f>COUNTIFS('Audit Raw data'!AM:AM,"Yes",'Audit Raw data'!J:J,B:B,'Audit Raw data'!E:E,'Day wise agent'!G:G)</f>
        <v>0</v>
      </c>
      <c r="K3103">
        <f>COUNTIFS('Audit Raw data'!AM:AM,"NO",'Audit Raw data'!J:J,B:B,'Audit Raw data'!E:E,'Day wise agent'!G:G)</f>
        <v>0</v>
      </c>
      <c r="L3103" s="12" t="str">
        <f t="shared" si="69"/>
        <v xml:space="preserve"> </v>
      </c>
    </row>
    <row r="3104" spans="4:12" x14ac:dyDescent="0.35">
      <c r="D3104" s="32"/>
      <c r="G3104" s="32"/>
      <c r="H3104">
        <f>COUNTIFS('Audit Raw data'!J:J,B:B,'Audit Raw data'!E:E,G:G)</f>
        <v>0</v>
      </c>
      <c r="I3104" s="44" t="str">
        <f>IFERROR((SUMIFS('Audit Raw data'!BZ:BZ,'Audit Raw data'!J:J,B:B,'Audit Raw data'!E:E,G:G)/H3104)/100,"-")</f>
        <v>-</v>
      </c>
      <c r="J3104">
        <f>COUNTIFS('Audit Raw data'!AM:AM,"Yes",'Audit Raw data'!J:J,B:B,'Audit Raw data'!E:E,'Day wise agent'!G:G)</f>
        <v>0</v>
      </c>
      <c r="K3104">
        <f>COUNTIFS('Audit Raw data'!AM:AM,"NO",'Audit Raw data'!J:J,B:B,'Audit Raw data'!E:E,'Day wise agent'!G:G)</f>
        <v>0</v>
      </c>
      <c r="L3104" s="12" t="str">
        <f t="shared" si="69"/>
        <v xml:space="preserve"> </v>
      </c>
    </row>
    <row r="3105" spans="4:12" x14ac:dyDescent="0.35">
      <c r="D3105" s="32"/>
      <c r="G3105" s="32"/>
      <c r="H3105">
        <f>COUNTIFS('Audit Raw data'!J:J,B:B,'Audit Raw data'!E:E,G:G)</f>
        <v>0</v>
      </c>
      <c r="I3105" s="44" t="str">
        <f>IFERROR((SUMIFS('Audit Raw data'!BZ:BZ,'Audit Raw data'!J:J,B:B,'Audit Raw data'!E:E,G:G)/H3105)/100,"-")</f>
        <v>-</v>
      </c>
      <c r="J3105">
        <f>COUNTIFS('Audit Raw data'!AM:AM,"Yes",'Audit Raw data'!J:J,B:B,'Audit Raw data'!E:E,'Day wise agent'!G:G)</f>
        <v>0</v>
      </c>
      <c r="K3105">
        <f>COUNTIFS('Audit Raw data'!AM:AM,"NO",'Audit Raw data'!J:J,B:B,'Audit Raw data'!E:E,'Day wise agent'!G:G)</f>
        <v>0</v>
      </c>
      <c r="L3105" s="12" t="str">
        <f t="shared" si="69"/>
        <v xml:space="preserve"> </v>
      </c>
    </row>
    <row r="3106" spans="4:12" x14ac:dyDescent="0.35">
      <c r="D3106" s="32"/>
      <c r="G3106" s="32"/>
      <c r="H3106">
        <f>COUNTIFS('Audit Raw data'!J:J,B:B,'Audit Raw data'!E:E,G:G)</f>
        <v>0</v>
      </c>
      <c r="I3106" s="44" t="str">
        <f>IFERROR((SUMIFS('Audit Raw data'!BZ:BZ,'Audit Raw data'!J:J,B:B,'Audit Raw data'!E:E,G:G)/H3106)/100,"-")</f>
        <v>-</v>
      </c>
      <c r="J3106">
        <f>COUNTIFS('Audit Raw data'!AM:AM,"Yes",'Audit Raw data'!J:J,B:B,'Audit Raw data'!E:E,'Day wise agent'!G:G)</f>
        <v>0</v>
      </c>
      <c r="K3106">
        <f>COUNTIFS('Audit Raw data'!AM:AM,"NO",'Audit Raw data'!J:J,B:B,'Audit Raw data'!E:E,'Day wise agent'!G:G)</f>
        <v>0</v>
      </c>
      <c r="L3106" s="12" t="str">
        <f t="shared" si="69"/>
        <v xml:space="preserve"> </v>
      </c>
    </row>
    <row r="3107" spans="4:12" x14ac:dyDescent="0.35">
      <c r="D3107" s="32"/>
      <c r="G3107" s="32"/>
      <c r="H3107">
        <f>COUNTIFS('Audit Raw data'!J:J,B:B,'Audit Raw data'!E:E,G:G)</f>
        <v>0</v>
      </c>
      <c r="I3107" s="44" t="str">
        <f>IFERROR((SUMIFS('Audit Raw data'!BZ:BZ,'Audit Raw data'!J:J,B:B,'Audit Raw data'!E:E,G:G)/H3107)/100,"-")</f>
        <v>-</v>
      </c>
      <c r="J3107">
        <f>COUNTIFS('Audit Raw data'!AM:AM,"Yes",'Audit Raw data'!J:J,B:B,'Audit Raw data'!E:E,'Day wise agent'!G:G)</f>
        <v>0</v>
      </c>
      <c r="K3107">
        <f>COUNTIFS('Audit Raw data'!AM:AM,"NO",'Audit Raw data'!J:J,B:B,'Audit Raw data'!E:E,'Day wise agent'!G:G)</f>
        <v>0</v>
      </c>
      <c r="L3107" s="12" t="str">
        <f t="shared" si="69"/>
        <v xml:space="preserve"> </v>
      </c>
    </row>
    <row r="3108" spans="4:12" x14ac:dyDescent="0.35">
      <c r="D3108" s="32"/>
      <c r="G3108" s="32"/>
      <c r="H3108">
        <f>COUNTIFS('Audit Raw data'!J:J,B:B,'Audit Raw data'!E:E,G:G)</f>
        <v>0</v>
      </c>
      <c r="I3108" s="44" t="str">
        <f>IFERROR((SUMIFS('Audit Raw data'!BZ:BZ,'Audit Raw data'!J:J,B:B,'Audit Raw data'!E:E,G:G)/H3108)/100,"-")</f>
        <v>-</v>
      </c>
      <c r="J3108">
        <f>COUNTIFS('Audit Raw data'!AM:AM,"Yes",'Audit Raw data'!J:J,B:B,'Audit Raw data'!E:E,'Day wise agent'!G:G)</f>
        <v>0</v>
      </c>
      <c r="K3108">
        <f>COUNTIFS('Audit Raw data'!AM:AM,"NO",'Audit Raw data'!J:J,B:B,'Audit Raw data'!E:E,'Day wise agent'!G:G)</f>
        <v>0</v>
      </c>
      <c r="L3108" s="12" t="str">
        <f t="shared" si="69"/>
        <v xml:space="preserve"> </v>
      </c>
    </row>
    <row r="3109" spans="4:12" x14ac:dyDescent="0.35">
      <c r="D3109" s="32"/>
      <c r="G3109" s="32"/>
      <c r="H3109">
        <f>COUNTIFS('Audit Raw data'!J:J,B:B,'Audit Raw data'!E:E,G:G)</f>
        <v>0</v>
      </c>
      <c r="I3109" s="44" t="str">
        <f>IFERROR((SUMIFS('Audit Raw data'!BZ:BZ,'Audit Raw data'!J:J,B:B,'Audit Raw data'!E:E,G:G)/H3109)/100,"-")</f>
        <v>-</v>
      </c>
      <c r="J3109">
        <f>COUNTIFS('Audit Raw data'!AM:AM,"Yes",'Audit Raw data'!J:J,B:B,'Audit Raw data'!E:E,'Day wise agent'!G:G)</f>
        <v>0</v>
      </c>
      <c r="K3109">
        <f>COUNTIFS('Audit Raw data'!AM:AM,"NO",'Audit Raw data'!J:J,B:B,'Audit Raw data'!E:E,'Day wise agent'!G:G)</f>
        <v>0</v>
      </c>
      <c r="L3109" s="12" t="str">
        <f t="shared" si="69"/>
        <v xml:space="preserve"> </v>
      </c>
    </row>
    <row r="3110" spans="4:12" x14ac:dyDescent="0.35">
      <c r="D3110" s="32"/>
      <c r="G3110" s="32"/>
      <c r="H3110">
        <f>COUNTIFS('Audit Raw data'!J:J,B:B,'Audit Raw data'!E:E,G:G)</f>
        <v>0</v>
      </c>
      <c r="I3110" s="44" t="str">
        <f>IFERROR((SUMIFS('Audit Raw data'!BZ:BZ,'Audit Raw data'!J:J,B:B,'Audit Raw data'!E:E,G:G)/H3110)/100,"-")</f>
        <v>-</v>
      </c>
      <c r="J3110">
        <f>COUNTIFS('Audit Raw data'!AM:AM,"Yes",'Audit Raw data'!J:J,B:B,'Audit Raw data'!E:E,'Day wise agent'!G:G)</f>
        <v>0</v>
      </c>
      <c r="K3110">
        <f>COUNTIFS('Audit Raw data'!AM:AM,"NO",'Audit Raw data'!J:J,B:B,'Audit Raw data'!E:E,'Day wise agent'!G:G)</f>
        <v>0</v>
      </c>
      <c r="L3110" s="12" t="str">
        <f t="shared" si="69"/>
        <v xml:space="preserve"> </v>
      </c>
    </row>
    <row r="3111" spans="4:12" x14ac:dyDescent="0.35">
      <c r="D3111" s="32"/>
      <c r="G3111" s="32"/>
      <c r="H3111">
        <f>COUNTIFS('Audit Raw data'!J:J,B:B,'Audit Raw data'!E:E,G:G)</f>
        <v>0</v>
      </c>
      <c r="I3111" s="44" t="str">
        <f>IFERROR((SUMIFS('Audit Raw data'!BZ:BZ,'Audit Raw data'!J:J,B:B,'Audit Raw data'!E:E,G:G)/H3111)/100,"-")</f>
        <v>-</v>
      </c>
      <c r="J3111">
        <f>COUNTIFS('Audit Raw data'!AM:AM,"Yes",'Audit Raw data'!J:J,B:B,'Audit Raw data'!E:E,'Day wise agent'!G:G)</f>
        <v>0</v>
      </c>
      <c r="K3111">
        <f>COUNTIFS('Audit Raw data'!AM:AM,"NO",'Audit Raw data'!J:J,B:B,'Audit Raw data'!E:E,'Day wise agent'!G:G)</f>
        <v>0</v>
      </c>
      <c r="L3111" s="12" t="str">
        <f t="shared" si="69"/>
        <v xml:space="preserve"> </v>
      </c>
    </row>
    <row r="3112" spans="4:12" x14ac:dyDescent="0.35">
      <c r="D3112" s="32"/>
      <c r="G3112" s="32"/>
      <c r="H3112">
        <f>COUNTIFS('Audit Raw data'!J:J,B:B,'Audit Raw data'!E:E,G:G)</f>
        <v>0</v>
      </c>
      <c r="I3112" s="44" t="str">
        <f>IFERROR((SUMIFS('Audit Raw data'!BZ:BZ,'Audit Raw data'!J:J,B:B,'Audit Raw data'!E:E,G:G)/H3112)/100,"-")</f>
        <v>-</v>
      </c>
      <c r="J3112">
        <f>COUNTIFS('Audit Raw data'!AM:AM,"Yes",'Audit Raw data'!J:J,B:B,'Audit Raw data'!E:E,'Day wise agent'!G:G)</f>
        <v>0</v>
      </c>
      <c r="K3112">
        <f>COUNTIFS('Audit Raw data'!AM:AM,"NO",'Audit Raw data'!J:J,B:B,'Audit Raw data'!E:E,'Day wise agent'!G:G)</f>
        <v>0</v>
      </c>
      <c r="L3112" s="12" t="str">
        <f t="shared" si="69"/>
        <v xml:space="preserve"> </v>
      </c>
    </row>
    <row r="3113" spans="4:12" x14ac:dyDescent="0.35">
      <c r="D3113" s="32"/>
      <c r="G3113" s="32"/>
      <c r="H3113">
        <f>COUNTIFS('Audit Raw data'!J:J,B:B,'Audit Raw data'!E:E,G:G)</f>
        <v>0</v>
      </c>
      <c r="I3113" s="44" t="str">
        <f>IFERROR((SUMIFS('Audit Raw data'!BZ:BZ,'Audit Raw data'!J:J,B:B,'Audit Raw data'!E:E,G:G)/H3113)/100,"-")</f>
        <v>-</v>
      </c>
      <c r="J3113">
        <f>COUNTIFS('Audit Raw data'!AM:AM,"Yes",'Audit Raw data'!J:J,B:B,'Audit Raw data'!E:E,'Day wise agent'!G:G)</f>
        <v>0</v>
      </c>
      <c r="K3113">
        <f>COUNTIFS('Audit Raw data'!AM:AM,"NO",'Audit Raw data'!J:J,B:B,'Audit Raw data'!E:E,'Day wise agent'!G:G)</f>
        <v>0</v>
      </c>
      <c r="L3113" s="12" t="str">
        <f t="shared" si="69"/>
        <v xml:space="preserve"> </v>
      </c>
    </row>
    <row r="3114" spans="4:12" x14ac:dyDescent="0.35">
      <c r="D3114" s="32"/>
      <c r="G3114" s="32"/>
      <c r="H3114">
        <f>COUNTIFS('Audit Raw data'!J:J,B:B,'Audit Raw data'!E:E,G:G)</f>
        <v>0</v>
      </c>
      <c r="I3114" s="44" t="str">
        <f>IFERROR((SUMIFS('Audit Raw data'!BZ:BZ,'Audit Raw data'!J:J,B:B,'Audit Raw data'!E:E,G:G)/H3114)/100,"-")</f>
        <v>-</v>
      </c>
      <c r="J3114">
        <f>COUNTIFS('Audit Raw data'!AM:AM,"Yes",'Audit Raw data'!J:J,B:B,'Audit Raw data'!E:E,'Day wise agent'!G:G)</f>
        <v>0</v>
      </c>
      <c r="K3114">
        <f>COUNTIFS('Audit Raw data'!AM:AM,"NO",'Audit Raw data'!J:J,B:B,'Audit Raw data'!E:E,'Day wise agent'!G:G)</f>
        <v>0</v>
      </c>
      <c r="L3114" s="12" t="str">
        <f t="shared" si="69"/>
        <v xml:space="preserve"> </v>
      </c>
    </row>
    <row r="3115" spans="4:12" x14ac:dyDescent="0.35">
      <c r="D3115" s="32"/>
      <c r="G3115" s="32"/>
      <c r="H3115">
        <f>COUNTIFS('Audit Raw data'!J:J,B:B,'Audit Raw data'!E:E,G:G)</f>
        <v>0</v>
      </c>
      <c r="I3115" s="44" t="str">
        <f>IFERROR((SUMIFS('Audit Raw data'!BZ:BZ,'Audit Raw data'!J:J,B:B,'Audit Raw data'!E:E,G:G)/H3115)/100,"-")</f>
        <v>-</v>
      </c>
      <c r="J3115">
        <f>COUNTIFS('Audit Raw data'!AM:AM,"Yes",'Audit Raw data'!J:J,B:B,'Audit Raw data'!E:E,'Day wise agent'!G:G)</f>
        <v>0</v>
      </c>
      <c r="K3115">
        <f>COUNTIFS('Audit Raw data'!AM:AM,"NO",'Audit Raw data'!J:J,B:B,'Audit Raw data'!E:E,'Day wise agent'!G:G)</f>
        <v>0</v>
      </c>
      <c r="L3115" s="12" t="str">
        <f t="shared" si="69"/>
        <v xml:space="preserve"> </v>
      </c>
    </row>
    <row r="3116" spans="4:12" x14ac:dyDescent="0.35">
      <c r="D3116" s="32"/>
      <c r="G3116" s="32"/>
      <c r="H3116">
        <f>COUNTIFS('Audit Raw data'!J:J,B:B,'Audit Raw data'!E:E,G:G)</f>
        <v>0</v>
      </c>
      <c r="I3116" s="44" t="str">
        <f>IFERROR((SUMIFS('Audit Raw data'!BZ:BZ,'Audit Raw data'!J:J,B:B,'Audit Raw data'!E:E,G:G)/H3116)/100,"-")</f>
        <v>-</v>
      </c>
      <c r="J3116">
        <f>COUNTIFS('Audit Raw data'!AM:AM,"Yes",'Audit Raw data'!J:J,B:B,'Audit Raw data'!E:E,'Day wise agent'!G:G)</f>
        <v>0</v>
      </c>
      <c r="K3116">
        <f>COUNTIFS('Audit Raw data'!AM:AM,"NO",'Audit Raw data'!J:J,B:B,'Audit Raw data'!E:E,'Day wise agent'!G:G)</f>
        <v>0</v>
      </c>
      <c r="L3116" s="12" t="str">
        <f t="shared" si="69"/>
        <v xml:space="preserve"> </v>
      </c>
    </row>
    <row r="3117" spans="4:12" x14ac:dyDescent="0.35">
      <c r="D3117" s="32"/>
      <c r="G3117" s="32"/>
      <c r="H3117">
        <f>COUNTIFS('Audit Raw data'!J:J,B:B,'Audit Raw data'!E:E,G:G)</f>
        <v>0</v>
      </c>
      <c r="I3117" s="44" t="str">
        <f>IFERROR((SUMIFS('Audit Raw data'!BZ:BZ,'Audit Raw data'!J:J,B:B,'Audit Raw data'!E:E,G:G)/H3117)/100,"-")</f>
        <v>-</v>
      </c>
      <c r="J3117">
        <f>COUNTIFS('Audit Raw data'!AM:AM,"Yes",'Audit Raw data'!J:J,B:B,'Audit Raw data'!E:E,'Day wise agent'!G:G)</f>
        <v>0</v>
      </c>
      <c r="K3117">
        <f>COUNTIFS('Audit Raw data'!AM:AM,"NO",'Audit Raw data'!J:J,B:B,'Audit Raw data'!E:E,'Day wise agent'!G:G)</f>
        <v>0</v>
      </c>
      <c r="L3117" s="12" t="str">
        <f t="shared" si="69"/>
        <v xml:space="preserve"> </v>
      </c>
    </row>
    <row r="3118" spans="4:12" x14ac:dyDescent="0.35">
      <c r="D3118" s="32"/>
      <c r="G3118" s="32"/>
      <c r="H3118">
        <f>COUNTIFS('Audit Raw data'!J:J,B:B,'Audit Raw data'!E:E,G:G)</f>
        <v>0</v>
      </c>
      <c r="I3118" s="44" t="str">
        <f>IFERROR((SUMIFS('Audit Raw data'!BZ:BZ,'Audit Raw data'!J:J,B:B,'Audit Raw data'!E:E,G:G)/H3118)/100,"-")</f>
        <v>-</v>
      </c>
      <c r="J3118">
        <f>COUNTIFS('Audit Raw data'!AM:AM,"Yes",'Audit Raw data'!J:J,B:B,'Audit Raw data'!E:E,'Day wise agent'!G:G)</f>
        <v>0</v>
      </c>
      <c r="K3118">
        <f>COUNTIFS('Audit Raw data'!AM:AM,"NO",'Audit Raw data'!J:J,B:B,'Audit Raw data'!E:E,'Day wise agent'!G:G)</f>
        <v>0</v>
      </c>
      <c r="L3118" s="12" t="str">
        <f t="shared" si="69"/>
        <v xml:space="preserve"> </v>
      </c>
    </row>
    <row r="3119" spans="4:12" x14ac:dyDescent="0.35">
      <c r="D3119" s="32"/>
      <c r="G3119" s="32"/>
      <c r="H3119">
        <f>COUNTIFS('Audit Raw data'!J:J,B:B,'Audit Raw data'!E:E,G:G)</f>
        <v>0</v>
      </c>
      <c r="I3119" s="44" t="str">
        <f>IFERROR((SUMIFS('Audit Raw data'!BZ:BZ,'Audit Raw data'!J:J,B:B,'Audit Raw data'!E:E,G:G)/H3119)/100,"-")</f>
        <v>-</v>
      </c>
      <c r="J3119">
        <f>COUNTIFS('Audit Raw data'!AM:AM,"Yes",'Audit Raw data'!J:J,B:B,'Audit Raw data'!E:E,'Day wise agent'!G:G)</f>
        <v>0</v>
      </c>
      <c r="K3119">
        <f>COUNTIFS('Audit Raw data'!AM:AM,"NO",'Audit Raw data'!J:J,B:B,'Audit Raw data'!E:E,'Day wise agent'!G:G)</f>
        <v>0</v>
      </c>
      <c r="L3119" s="12" t="str">
        <f t="shared" si="69"/>
        <v xml:space="preserve"> </v>
      </c>
    </row>
    <row r="3120" spans="4:12" x14ac:dyDescent="0.35">
      <c r="D3120" s="32"/>
      <c r="G3120" s="32"/>
      <c r="H3120">
        <f>COUNTIFS('Audit Raw data'!J:J,B:B,'Audit Raw data'!E:E,G:G)</f>
        <v>0</v>
      </c>
      <c r="I3120" s="44" t="str">
        <f>IFERROR((SUMIFS('Audit Raw data'!BZ:BZ,'Audit Raw data'!J:J,B:B,'Audit Raw data'!E:E,G:G)/H3120)/100,"-")</f>
        <v>-</v>
      </c>
      <c r="J3120">
        <f>COUNTIFS('Audit Raw data'!AM:AM,"Yes",'Audit Raw data'!J:J,B:B,'Audit Raw data'!E:E,'Day wise agent'!G:G)</f>
        <v>0</v>
      </c>
      <c r="K3120">
        <f>COUNTIFS('Audit Raw data'!AM:AM,"NO",'Audit Raw data'!J:J,B:B,'Audit Raw data'!E:E,'Day wise agent'!G:G)</f>
        <v>0</v>
      </c>
      <c r="L3120" s="12" t="str">
        <f t="shared" si="69"/>
        <v xml:space="preserve"> </v>
      </c>
    </row>
    <row r="3121" spans="4:12" x14ac:dyDescent="0.35">
      <c r="D3121" s="32"/>
      <c r="G3121" s="32"/>
      <c r="H3121">
        <f>COUNTIFS('Audit Raw data'!J:J,B:B,'Audit Raw data'!E:E,G:G)</f>
        <v>0</v>
      </c>
      <c r="I3121" s="44" t="str">
        <f>IFERROR((SUMIFS('Audit Raw data'!BZ:BZ,'Audit Raw data'!J:J,B:B,'Audit Raw data'!E:E,G:G)/H3121)/100,"-")</f>
        <v>-</v>
      </c>
      <c r="J3121">
        <f>COUNTIFS('Audit Raw data'!AM:AM,"Yes",'Audit Raw data'!J:J,B:B,'Audit Raw data'!E:E,'Day wise agent'!G:G)</f>
        <v>0</v>
      </c>
      <c r="K3121">
        <f>COUNTIFS('Audit Raw data'!AM:AM,"NO",'Audit Raw data'!J:J,B:B,'Audit Raw data'!E:E,'Day wise agent'!G:G)</f>
        <v>0</v>
      </c>
      <c r="L3121" s="12" t="str">
        <f t="shared" si="69"/>
        <v xml:space="preserve"> </v>
      </c>
    </row>
    <row r="3122" spans="4:12" x14ac:dyDescent="0.35">
      <c r="D3122" s="32"/>
      <c r="G3122" s="32"/>
      <c r="H3122">
        <f>COUNTIFS('Audit Raw data'!J:J,B:B,'Audit Raw data'!E:E,G:G)</f>
        <v>0</v>
      </c>
      <c r="I3122" s="44" t="str">
        <f>IFERROR((SUMIFS('Audit Raw data'!BZ:BZ,'Audit Raw data'!J:J,B:B,'Audit Raw data'!E:E,G:G)/H3122)/100,"-")</f>
        <v>-</v>
      </c>
      <c r="J3122">
        <f>COUNTIFS('Audit Raw data'!AM:AM,"Yes",'Audit Raw data'!J:J,B:B,'Audit Raw data'!E:E,'Day wise agent'!G:G)</f>
        <v>0</v>
      </c>
      <c r="K3122">
        <f>COUNTIFS('Audit Raw data'!AM:AM,"NO",'Audit Raw data'!J:J,B:B,'Audit Raw data'!E:E,'Day wise agent'!G:G)</f>
        <v>0</v>
      </c>
      <c r="L3122" s="12" t="str">
        <f t="shared" si="69"/>
        <v xml:space="preserve"> </v>
      </c>
    </row>
    <row r="3123" spans="4:12" x14ac:dyDescent="0.35">
      <c r="D3123" s="32"/>
      <c r="G3123" s="32"/>
      <c r="H3123">
        <f>COUNTIFS('Audit Raw data'!J:J,B:B,'Audit Raw data'!E:E,G:G)</f>
        <v>0</v>
      </c>
      <c r="I3123" s="44" t="str">
        <f>IFERROR((SUMIFS('Audit Raw data'!BZ:BZ,'Audit Raw data'!J:J,B:B,'Audit Raw data'!E:E,G:G)/H3123)/100,"-")</f>
        <v>-</v>
      </c>
      <c r="J3123">
        <f>COUNTIFS('Audit Raw data'!AM:AM,"Yes",'Audit Raw data'!J:J,B:B,'Audit Raw data'!E:E,'Day wise agent'!G:G)</f>
        <v>0</v>
      </c>
      <c r="K3123">
        <f>COUNTIFS('Audit Raw data'!AM:AM,"NO",'Audit Raw data'!J:J,B:B,'Audit Raw data'!E:E,'Day wise agent'!G:G)</f>
        <v>0</v>
      </c>
      <c r="L3123" s="12" t="str">
        <f t="shared" si="69"/>
        <v xml:space="preserve"> </v>
      </c>
    </row>
    <row r="3124" spans="4:12" x14ac:dyDescent="0.35">
      <c r="D3124" s="32"/>
      <c r="G3124" s="32"/>
      <c r="H3124">
        <f>COUNTIFS('Audit Raw data'!J:J,B:B,'Audit Raw data'!E:E,G:G)</f>
        <v>0</v>
      </c>
      <c r="I3124" s="44" t="str">
        <f>IFERROR((SUMIFS('Audit Raw data'!BZ:BZ,'Audit Raw data'!J:J,B:B,'Audit Raw data'!E:E,G:G)/H3124)/100,"-")</f>
        <v>-</v>
      </c>
      <c r="J3124">
        <f>COUNTIFS('Audit Raw data'!AM:AM,"Yes",'Audit Raw data'!J:J,B:B,'Audit Raw data'!E:E,'Day wise agent'!G:G)</f>
        <v>0</v>
      </c>
      <c r="K3124">
        <f>COUNTIFS('Audit Raw data'!AM:AM,"NO",'Audit Raw data'!J:J,B:B,'Audit Raw data'!E:E,'Day wise agent'!G:G)</f>
        <v>0</v>
      </c>
      <c r="L3124" s="12" t="str">
        <f t="shared" si="69"/>
        <v xml:space="preserve"> </v>
      </c>
    </row>
    <row r="3125" spans="4:12" x14ac:dyDescent="0.35">
      <c r="D3125" s="32"/>
      <c r="G3125" s="32"/>
      <c r="H3125">
        <f>COUNTIFS('Audit Raw data'!J:J,B:B,'Audit Raw data'!E:E,G:G)</f>
        <v>0</v>
      </c>
      <c r="I3125" s="44" t="str">
        <f>IFERROR((SUMIFS('Audit Raw data'!BZ:BZ,'Audit Raw data'!J:J,B:B,'Audit Raw data'!E:E,G:G)/H3125)/100,"-")</f>
        <v>-</v>
      </c>
      <c r="J3125">
        <f>COUNTIFS('Audit Raw data'!AM:AM,"Yes",'Audit Raw data'!J:J,B:B,'Audit Raw data'!E:E,'Day wise agent'!G:G)</f>
        <v>0</v>
      </c>
      <c r="K3125">
        <f>COUNTIFS('Audit Raw data'!AM:AM,"NO",'Audit Raw data'!J:J,B:B,'Audit Raw data'!E:E,'Day wise agent'!G:G)</f>
        <v>0</v>
      </c>
      <c r="L3125" s="12" t="str">
        <f t="shared" si="69"/>
        <v xml:space="preserve"> </v>
      </c>
    </row>
    <row r="3126" spans="4:12" x14ac:dyDescent="0.35">
      <c r="D3126" s="32"/>
      <c r="G3126" s="32"/>
      <c r="H3126">
        <f>COUNTIFS('Audit Raw data'!J:J,B:B,'Audit Raw data'!E:E,G:G)</f>
        <v>0</v>
      </c>
      <c r="I3126" s="44" t="str">
        <f>IFERROR((SUMIFS('Audit Raw data'!BZ:BZ,'Audit Raw data'!J:J,B:B,'Audit Raw data'!E:E,G:G)/H3126)/100,"-")</f>
        <v>-</v>
      </c>
      <c r="J3126">
        <f>COUNTIFS('Audit Raw data'!AM:AM,"Yes",'Audit Raw data'!J:J,B:B,'Audit Raw data'!E:E,'Day wise agent'!G:G)</f>
        <v>0</v>
      </c>
      <c r="K3126">
        <f>COUNTIFS('Audit Raw data'!AM:AM,"NO",'Audit Raw data'!J:J,B:B,'Audit Raw data'!E:E,'Day wise agent'!G:G)</f>
        <v>0</v>
      </c>
      <c r="L3126" s="12" t="str">
        <f t="shared" si="69"/>
        <v xml:space="preserve"> </v>
      </c>
    </row>
    <row r="3127" spans="4:12" x14ac:dyDescent="0.35">
      <c r="D3127" s="32"/>
      <c r="G3127" s="32"/>
      <c r="H3127">
        <f>COUNTIFS('Audit Raw data'!J:J,B:B,'Audit Raw data'!E:E,G:G)</f>
        <v>0</v>
      </c>
      <c r="I3127" s="44" t="str">
        <f>IFERROR((SUMIFS('Audit Raw data'!BZ:BZ,'Audit Raw data'!J:J,B:B,'Audit Raw data'!E:E,G:G)/H3127)/100,"-")</f>
        <v>-</v>
      </c>
      <c r="J3127">
        <f>COUNTIFS('Audit Raw data'!AM:AM,"Yes",'Audit Raw data'!J:J,B:B,'Audit Raw data'!E:E,'Day wise agent'!G:G)</f>
        <v>0</v>
      </c>
      <c r="K3127">
        <f>COUNTIFS('Audit Raw data'!AM:AM,"NO",'Audit Raw data'!J:J,B:B,'Audit Raw data'!E:E,'Day wise agent'!G:G)</f>
        <v>0</v>
      </c>
      <c r="L3127" s="12" t="str">
        <f t="shared" si="69"/>
        <v xml:space="preserve"> </v>
      </c>
    </row>
    <row r="3128" spans="4:12" x14ac:dyDescent="0.35">
      <c r="D3128" s="32"/>
      <c r="G3128" s="32"/>
      <c r="H3128">
        <f>COUNTIFS('Audit Raw data'!J:J,B:B,'Audit Raw data'!E:E,G:G)</f>
        <v>0</v>
      </c>
      <c r="I3128" s="44" t="str">
        <f>IFERROR((SUMIFS('Audit Raw data'!BZ:BZ,'Audit Raw data'!J:J,B:B,'Audit Raw data'!E:E,G:G)/H3128)/100,"-")</f>
        <v>-</v>
      </c>
      <c r="J3128">
        <f>COUNTIFS('Audit Raw data'!AM:AM,"Yes",'Audit Raw data'!J:J,B:B,'Audit Raw data'!E:E,'Day wise agent'!G:G)</f>
        <v>0</v>
      </c>
      <c r="K3128">
        <f>COUNTIFS('Audit Raw data'!AM:AM,"NO",'Audit Raw data'!J:J,B:B,'Audit Raw data'!E:E,'Day wise agent'!G:G)</f>
        <v>0</v>
      </c>
      <c r="L3128" s="12" t="str">
        <f t="shared" si="69"/>
        <v xml:space="preserve"> </v>
      </c>
    </row>
    <row r="3129" spans="4:12" x14ac:dyDescent="0.35">
      <c r="D3129" s="32"/>
      <c r="G3129" s="32"/>
      <c r="H3129">
        <f>COUNTIFS('Audit Raw data'!J:J,B:B,'Audit Raw data'!E:E,G:G)</f>
        <v>0</v>
      </c>
      <c r="I3129" s="44" t="str">
        <f>IFERROR((SUMIFS('Audit Raw data'!BZ:BZ,'Audit Raw data'!J:J,B:B,'Audit Raw data'!E:E,G:G)/H3129)/100,"-")</f>
        <v>-</v>
      </c>
      <c r="J3129">
        <f>COUNTIFS('Audit Raw data'!AM:AM,"Yes",'Audit Raw data'!J:J,B:B,'Audit Raw data'!E:E,'Day wise agent'!G:G)</f>
        <v>0</v>
      </c>
      <c r="K3129">
        <f>COUNTIFS('Audit Raw data'!AM:AM,"NO",'Audit Raw data'!J:J,B:B,'Audit Raw data'!E:E,'Day wise agent'!G:G)</f>
        <v>0</v>
      </c>
      <c r="L3129" s="12" t="str">
        <f t="shared" si="69"/>
        <v xml:space="preserve"> </v>
      </c>
    </row>
    <row r="3130" spans="4:12" x14ac:dyDescent="0.35">
      <c r="D3130" s="32"/>
      <c r="G3130" s="32"/>
      <c r="H3130">
        <f>COUNTIFS('Audit Raw data'!J:J,B:B,'Audit Raw data'!E:E,G:G)</f>
        <v>0</v>
      </c>
      <c r="I3130" s="44" t="str">
        <f>IFERROR((SUMIFS('Audit Raw data'!BZ:BZ,'Audit Raw data'!J:J,B:B,'Audit Raw data'!E:E,G:G)/H3130)/100,"-")</f>
        <v>-</v>
      </c>
      <c r="J3130">
        <f>COUNTIFS('Audit Raw data'!AM:AM,"Yes",'Audit Raw data'!J:J,B:B,'Audit Raw data'!E:E,'Day wise agent'!G:G)</f>
        <v>0</v>
      </c>
      <c r="K3130">
        <f>COUNTIFS('Audit Raw data'!AM:AM,"NO",'Audit Raw data'!J:J,B:B,'Audit Raw data'!E:E,'Day wise agent'!G:G)</f>
        <v>0</v>
      </c>
      <c r="L3130" s="12" t="str">
        <f t="shared" si="69"/>
        <v xml:space="preserve"> </v>
      </c>
    </row>
    <row r="3131" spans="4:12" x14ac:dyDescent="0.35">
      <c r="D3131" s="32"/>
      <c r="G3131" s="32"/>
      <c r="H3131">
        <f>COUNTIFS('Audit Raw data'!J:J,B:B,'Audit Raw data'!E:E,G:G)</f>
        <v>0</v>
      </c>
      <c r="I3131" s="44" t="str">
        <f>IFERROR((SUMIFS('Audit Raw data'!BZ:BZ,'Audit Raw data'!J:J,B:B,'Audit Raw data'!E:E,G:G)/H3131)/100,"-")</f>
        <v>-</v>
      </c>
      <c r="J3131">
        <f>COUNTIFS('Audit Raw data'!AM:AM,"Yes",'Audit Raw data'!J:J,B:B,'Audit Raw data'!E:E,'Day wise agent'!G:G)</f>
        <v>0</v>
      </c>
      <c r="K3131">
        <f>COUNTIFS('Audit Raw data'!AM:AM,"NO",'Audit Raw data'!J:J,B:B,'Audit Raw data'!E:E,'Day wise agent'!G:G)</f>
        <v>0</v>
      </c>
      <c r="L3131" s="12" t="str">
        <f t="shared" si="69"/>
        <v xml:space="preserve"> </v>
      </c>
    </row>
    <row r="3132" spans="4:12" x14ac:dyDescent="0.35">
      <c r="D3132" s="32"/>
      <c r="G3132" s="32"/>
      <c r="H3132">
        <f>COUNTIFS('Audit Raw data'!J:J,B:B,'Audit Raw data'!E:E,G:G)</f>
        <v>0</v>
      </c>
      <c r="I3132" s="44" t="str">
        <f>IFERROR((SUMIFS('Audit Raw data'!BZ:BZ,'Audit Raw data'!J:J,B:B,'Audit Raw data'!E:E,G:G)/H3132)/100,"-")</f>
        <v>-</v>
      </c>
      <c r="J3132">
        <f>COUNTIFS('Audit Raw data'!AM:AM,"Yes",'Audit Raw data'!J:J,B:B,'Audit Raw data'!E:E,'Day wise agent'!G:G)</f>
        <v>0</v>
      </c>
      <c r="K3132">
        <f>COUNTIFS('Audit Raw data'!AM:AM,"NO",'Audit Raw data'!J:J,B:B,'Audit Raw data'!E:E,'Day wise agent'!G:G)</f>
        <v>0</v>
      </c>
      <c r="L3132" s="12" t="str">
        <f t="shared" si="69"/>
        <v xml:space="preserve"> </v>
      </c>
    </row>
    <row r="3133" spans="4:12" x14ac:dyDescent="0.35">
      <c r="D3133" s="32"/>
      <c r="G3133" s="32"/>
      <c r="H3133">
        <f>COUNTIFS('Audit Raw data'!J:J,B:B,'Audit Raw data'!E:E,G:G)</f>
        <v>0</v>
      </c>
      <c r="I3133" s="44" t="str">
        <f>IFERROR((SUMIFS('Audit Raw data'!BZ:BZ,'Audit Raw data'!J:J,B:B,'Audit Raw data'!E:E,G:G)/H3133)/100,"-")</f>
        <v>-</v>
      </c>
      <c r="J3133">
        <f>COUNTIFS('Audit Raw data'!AM:AM,"Yes",'Audit Raw data'!J:J,B:B,'Audit Raw data'!E:E,'Day wise agent'!G:G)</f>
        <v>0</v>
      </c>
      <c r="K3133">
        <f>COUNTIFS('Audit Raw data'!AM:AM,"NO",'Audit Raw data'!J:J,B:B,'Audit Raw data'!E:E,'Day wise agent'!G:G)</f>
        <v>0</v>
      </c>
      <c r="L3133" s="12" t="str">
        <f t="shared" si="69"/>
        <v xml:space="preserve"> </v>
      </c>
    </row>
    <row r="3134" spans="4:12" x14ac:dyDescent="0.35">
      <c r="D3134" s="32"/>
      <c r="G3134" s="32"/>
      <c r="H3134">
        <f>COUNTIFS('Audit Raw data'!J:J,B:B,'Audit Raw data'!E:E,G:G)</f>
        <v>0</v>
      </c>
      <c r="I3134" s="44" t="str">
        <f>IFERROR((SUMIFS('Audit Raw data'!BZ:BZ,'Audit Raw data'!J:J,B:B,'Audit Raw data'!E:E,G:G)/H3134)/100,"-")</f>
        <v>-</v>
      </c>
      <c r="J3134">
        <f>COUNTIFS('Audit Raw data'!AM:AM,"Yes",'Audit Raw data'!J:J,B:B,'Audit Raw data'!E:E,'Day wise agent'!G:G)</f>
        <v>0</v>
      </c>
      <c r="K3134">
        <f>COUNTIFS('Audit Raw data'!AM:AM,"NO",'Audit Raw data'!J:J,B:B,'Audit Raw data'!E:E,'Day wise agent'!G:G)</f>
        <v>0</v>
      </c>
      <c r="L3134" s="12" t="str">
        <f t="shared" si="69"/>
        <v xml:space="preserve"> </v>
      </c>
    </row>
    <row r="3135" spans="4:12" x14ac:dyDescent="0.35">
      <c r="D3135" s="32"/>
      <c r="G3135" s="32"/>
      <c r="H3135">
        <f>COUNTIFS('Audit Raw data'!J:J,B:B,'Audit Raw data'!E:E,G:G)</f>
        <v>0</v>
      </c>
      <c r="I3135" s="44" t="str">
        <f>IFERROR((SUMIFS('Audit Raw data'!BZ:BZ,'Audit Raw data'!J:J,B:B,'Audit Raw data'!E:E,G:G)/H3135)/100,"-")</f>
        <v>-</v>
      </c>
      <c r="J3135">
        <f>COUNTIFS('Audit Raw data'!AM:AM,"Yes",'Audit Raw data'!J:J,B:B,'Audit Raw data'!E:E,'Day wise agent'!G:G)</f>
        <v>0</v>
      </c>
      <c r="K3135">
        <f>COUNTIFS('Audit Raw data'!AM:AM,"NO",'Audit Raw data'!J:J,B:B,'Audit Raw data'!E:E,'Day wise agent'!G:G)</f>
        <v>0</v>
      </c>
      <c r="L3135" s="12" t="str">
        <f t="shared" si="69"/>
        <v xml:space="preserve"> </v>
      </c>
    </row>
    <row r="3136" spans="4:12" x14ac:dyDescent="0.35">
      <c r="D3136" s="32"/>
      <c r="G3136" s="32"/>
      <c r="H3136">
        <f>COUNTIFS('Audit Raw data'!J:J,B:B,'Audit Raw data'!E:E,G:G)</f>
        <v>0</v>
      </c>
      <c r="I3136" s="44" t="str">
        <f>IFERROR((SUMIFS('Audit Raw data'!BZ:BZ,'Audit Raw data'!J:J,B:B,'Audit Raw data'!E:E,G:G)/H3136)/100,"-")</f>
        <v>-</v>
      </c>
      <c r="J3136">
        <f>COUNTIFS('Audit Raw data'!AM:AM,"Yes",'Audit Raw data'!J:J,B:B,'Audit Raw data'!E:E,'Day wise agent'!G:G)</f>
        <v>0</v>
      </c>
      <c r="K3136">
        <f>COUNTIFS('Audit Raw data'!AM:AM,"NO",'Audit Raw data'!J:J,B:B,'Audit Raw data'!E:E,'Day wise agent'!G:G)</f>
        <v>0</v>
      </c>
      <c r="L3136" s="12" t="str">
        <f t="shared" si="69"/>
        <v xml:space="preserve"> </v>
      </c>
    </row>
    <row r="3137" spans="4:12" x14ac:dyDescent="0.35">
      <c r="D3137" s="32"/>
      <c r="G3137" s="32"/>
      <c r="H3137">
        <f>COUNTIFS('Audit Raw data'!J:J,B:B,'Audit Raw data'!E:E,G:G)</f>
        <v>0</v>
      </c>
      <c r="I3137" s="44" t="str">
        <f>IFERROR((SUMIFS('Audit Raw data'!BZ:BZ,'Audit Raw data'!J:J,B:B,'Audit Raw data'!E:E,G:G)/H3137)/100,"-")</f>
        <v>-</v>
      </c>
      <c r="J3137">
        <f>COUNTIFS('Audit Raw data'!AM:AM,"Yes",'Audit Raw data'!J:J,B:B,'Audit Raw data'!E:E,'Day wise agent'!G:G)</f>
        <v>0</v>
      </c>
      <c r="K3137">
        <f>COUNTIFS('Audit Raw data'!AM:AM,"NO",'Audit Raw data'!J:J,B:B,'Audit Raw data'!E:E,'Day wise agent'!G:G)</f>
        <v>0</v>
      </c>
      <c r="L3137" s="12" t="str">
        <f t="shared" si="69"/>
        <v xml:space="preserve"> </v>
      </c>
    </row>
    <row r="3138" spans="4:12" x14ac:dyDescent="0.35">
      <c r="D3138" s="32"/>
      <c r="G3138" s="32"/>
      <c r="H3138">
        <f>COUNTIFS('Audit Raw data'!J:J,B:B,'Audit Raw data'!E:E,G:G)</f>
        <v>0</v>
      </c>
      <c r="I3138" s="44" t="str">
        <f>IFERROR((SUMIFS('Audit Raw data'!BZ:BZ,'Audit Raw data'!J:J,B:B,'Audit Raw data'!E:E,G:G)/H3138)/100,"-")</f>
        <v>-</v>
      </c>
      <c r="J3138">
        <f>COUNTIFS('Audit Raw data'!AM:AM,"Yes",'Audit Raw data'!J:J,B:B,'Audit Raw data'!E:E,'Day wise agent'!G:G)</f>
        <v>0</v>
      </c>
      <c r="K3138">
        <f>COUNTIFS('Audit Raw data'!AM:AM,"NO",'Audit Raw data'!J:J,B:B,'Audit Raw data'!E:E,'Day wise agent'!G:G)</f>
        <v>0</v>
      </c>
      <c r="L3138" s="12" t="str">
        <f t="shared" ref="L3138:L3201" si="70">IFERROR(J3138/H3138," ")</f>
        <v xml:space="preserve"> </v>
      </c>
    </row>
    <row r="3139" spans="4:12" x14ac:dyDescent="0.35">
      <c r="D3139" s="32"/>
      <c r="G3139" s="32"/>
      <c r="H3139">
        <f>COUNTIFS('Audit Raw data'!J:J,B:B,'Audit Raw data'!E:E,G:G)</f>
        <v>0</v>
      </c>
      <c r="I3139" s="44" t="str">
        <f>IFERROR((SUMIFS('Audit Raw data'!BZ:BZ,'Audit Raw data'!J:J,B:B,'Audit Raw data'!E:E,G:G)/H3139)/100,"-")</f>
        <v>-</v>
      </c>
      <c r="J3139">
        <f>COUNTIFS('Audit Raw data'!AM:AM,"Yes",'Audit Raw data'!J:J,B:B,'Audit Raw data'!E:E,'Day wise agent'!G:G)</f>
        <v>0</v>
      </c>
      <c r="K3139">
        <f>COUNTIFS('Audit Raw data'!AM:AM,"NO",'Audit Raw data'!J:J,B:B,'Audit Raw data'!E:E,'Day wise agent'!G:G)</f>
        <v>0</v>
      </c>
      <c r="L3139" s="12" t="str">
        <f t="shared" si="70"/>
        <v xml:space="preserve"> </v>
      </c>
    </row>
    <row r="3140" spans="4:12" x14ac:dyDescent="0.35">
      <c r="D3140" s="32"/>
      <c r="G3140" s="32"/>
      <c r="H3140">
        <f>COUNTIFS('Audit Raw data'!J:J,B:B,'Audit Raw data'!E:E,G:G)</f>
        <v>0</v>
      </c>
      <c r="I3140" s="44" t="str">
        <f>IFERROR((SUMIFS('Audit Raw data'!BZ:BZ,'Audit Raw data'!J:J,B:B,'Audit Raw data'!E:E,G:G)/H3140)/100,"-")</f>
        <v>-</v>
      </c>
      <c r="J3140">
        <f>COUNTIFS('Audit Raw data'!AM:AM,"Yes",'Audit Raw data'!J:J,B:B,'Audit Raw data'!E:E,'Day wise agent'!G:G)</f>
        <v>0</v>
      </c>
      <c r="K3140">
        <f>COUNTIFS('Audit Raw data'!AM:AM,"NO",'Audit Raw data'!J:J,B:B,'Audit Raw data'!E:E,'Day wise agent'!G:G)</f>
        <v>0</v>
      </c>
      <c r="L3140" s="12" t="str">
        <f t="shared" si="70"/>
        <v xml:space="preserve"> </v>
      </c>
    </row>
    <row r="3141" spans="4:12" x14ac:dyDescent="0.35">
      <c r="D3141" s="32"/>
      <c r="G3141" s="32"/>
      <c r="H3141">
        <f>COUNTIFS('Audit Raw data'!J:J,B:B,'Audit Raw data'!E:E,G:G)</f>
        <v>0</v>
      </c>
      <c r="I3141" s="44" t="str">
        <f>IFERROR((SUMIFS('Audit Raw data'!BZ:BZ,'Audit Raw data'!J:J,B:B,'Audit Raw data'!E:E,G:G)/H3141)/100,"-")</f>
        <v>-</v>
      </c>
      <c r="J3141">
        <f>COUNTIFS('Audit Raw data'!AM:AM,"Yes",'Audit Raw data'!J:J,B:B,'Audit Raw data'!E:E,'Day wise agent'!G:G)</f>
        <v>0</v>
      </c>
      <c r="K3141">
        <f>COUNTIFS('Audit Raw data'!AM:AM,"NO",'Audit Raw data'!J:J,B:B,'Audit Raw data'!E:E,'Day wise agent'!G:G)</f>
        <v>0</v>
      </c>
      <c r="L3141" s="12" t="str">
        <f t="shared" si="70"/>
        <v xml:space="preserve"> </v>
      </c>
    </row>
    <row r="3142" spans="4:12" x14ac:dyDescent="0.35">
      <c r="D3142" s="32"/>
      <c r="G3142" s="32"/>
      <c r="H3142">
        <f>COUNTIFS('Audit Raw data'!J:J,B:B,'Audit Raw data'!E:E,G:G)</f>
        <v>0</v>
      </c>
      <c r="I3142" s="44" t="str">
        <f>IFERROR((SUMIFS('Audit Raw data'!BZ:BZ,'Audit Raw data'!J:J,B:B,'Audit Raw data'!E:E,G:G)/H3142)/100,"-")</f>
        <v>-</v>
      </c>
      <c r="J3142">
        <f>COUNTIFS('Audit Raw data'!AM:AM,"Yes",'Audit Raw data'!J:J,B:B,'Audit Raw data'!E:E,'Day wise agent'!G:G)</f>
        <v>0</v>
      </c>
      <c r="K3142">
        <f>COUNTIFS('Audit Raw data'!AM:AM,"NO",'Audit Raw data'!J:J,B:B,'Audit Raw data'!E:E,'Day wise agent'!G:G)</f>
        <v>0</v>
      </c>
      <c r="L3142" s="12" t="str">
        <f t="shared" si="70"/>
        <v xml:space="preserve"> </v>
      </c>
    </row>
    <row r="3143" spans="4:12" x14ac:dyDescent="0.35">
      <c r="D3143" s="32"/>
      <c r="G3143" s="32"/>
      <c r="H3143">
        <f>COUNTIFS('Audit Raw data'!J:J,B:B,'Audit Raw data'!E:E,G:G)</f>
        <v>0</v>
      </c>
      <c r="I3143" s="44" t="str">
        <f>IFERROR((SUMIFS('Audit Raw data'!BZ:BZ,'Audit Raw data'!J:J,B:B,'Audit Raw data'!E:E,G:G)/H3143)/100,"-")</f>
        <v>-</v>
      </c>
      <c r="J3143">
        <f>COUNTIFS('Audit Raw data'!AM:AM,"Yes",'Audit Raw data'!J:J,B:B,'Audit Raw data'!E:E,'Day wise agent'!G:G)</f>
        <v>0</v>
      </c>
      <c r="K3143">
        <f>COUNTIFS('Audit Raw data'!AM:AM,"NO",'Audit Raw data'!J:J,B:B,'Audit Raw data'!E:E,'Day wise agent'!G:G)</f>
        <v>0</v>
      </c>
      <c r="L3143" s="12" t="str">
        <f t="shared" si="70"/>
        <v xml:space="preserve"> </v>
      </c>
    </row>
    <row r="3144" spans="4:12" x14ac:dyDescent="0.35">
      <c r="D3144" s="32"/>
      <c r="G3144" s="32"/>
      <c r="H3144">
        <f>COUNTIFS('Audit Raw data'!J:J,B:B,'Audit Raw data'!E:E,G:G)</f>
        <v>0</v>
      </c>
      <c r="I3144" s="44" t="str">
        <f>IFERROR((SUMIFS('Audit Raw data'!BZ:BZ,'Audit Raw data'!J:J,B:B,'Audit Raw data'!E:E,G:G)/H3144)/100,"-")</f>
        <v>-</v>
      </c>
      <c r="J3144">
        <f>COUNTIFS('Audit Raw data'!AM:AM,"Yes",'Audit Raw data'!J:J,B:B,'Audit Raw data'!E:E,'Day wise agent'!G:G)</f>
        <v>0</v>
      </c>
      <c r="K3144">
        <f>COUNTIFS('Audit Raw data'!AM:AM,"NO",'Audit Raw data'!J:J,B:B,'Audit Raw data'!E:E,'Day wise agent'!G:G)</f>
        <v>0</v>
      </c>
      <c r="L3144" s="12" t="str">
        <f t="shared" si="70"/>
        <v xml:space="preserve"> </v>
      </c>
    </row>
    <row r="3145" spans="4:12" x14ac:dyDescent="0.35">
      <c r="D3145" s="32"/>
      <c r="G3145" s="32"/>
      <c r="H3145">
        <f>COUNTIFS('Audit Raw data'!J:J,B:B,'Audit Raw data'!E:E,G:G)</f>
        <v>0</v>
      </c>
      <c r="I3145" s="44" t="str">
        <f>IFERROR((SUMIFS('Audit Raw data'!BZ:BZ,'Audit Raw data'!J:J,B:B,'Audit Raw data'!E:E,G:G)/H3145)/100,"-")</f>
        <v>-</v>
      </c>
      <c r="J3145">
        <f>COUNTIFS('Audit Raw data'!AM:AM,"Yes",'Audit Raw data'!J:J,B:B,'Audit Raw data'!E:E,'Day wise agent'!G:G)</f>
        <v>0</v>
      </c>
      <c r="K3145">
        <f>COUNTIFS('Audit Raw data'!AM:AM,"NO",'Audit Raw data'!J:J,B:B,'Audit Raw data'!E:E,'Day wise agent'!G:G)</f>
        <v>0</v>
      </c>
      <c r="L3145" s="12" t="str">
        <f t="shared" si="70"/>
        <v xml:space="preserve"> </v>
      </c>
    </row>
    <row r="3146" spans="4:12" x14ac:dyDescent="0.35">
      <c r="D3146" s="32"/>
      <c r="G3146" s="32"/>
      <c r="H3146">
        <f>COUNTIFS('Audit Raw data'!J:J,B:B,'Audit Raw data'!E:E,G:G)</f>
        <v>0</v>
      </c>
      <c r="I3146" s="44" t="str">
        <f>IFERROR((SUMIFS('Audit Raw data'!BZ:BZ,'Audit Raw data'!J:J,B:B,'Audit Raw data'!E:E,G:G)/H3146)/100,"-")</f>
        <v>-</v>
      </c>
      <c r="J3146">
        <f>COUNTIFS('Audit Raw data'!AM:AM,"Yes",'Audit Raw data'!J:J,B:B,'Audit Raw data'!E:E,'Day wise agent'!G:G)</f>
        <v>0</v>
      </c>
      <c r="K3146">
        <f>COUNTIFS('Audit Raw data'!AM:AM,"NO",'Audit Raw data'!J:J,B:B,'Audit Raw data'!E:E,'Day wise agent'!G:G)</f>
        <v>0</v>
      </c>
      <c r="L3146" s="12" t="str">
        <f t="shared" si="70"/>
        <v xml:space="preserve"> </v>
      </c>
    </row>
    <row r="3147" spans="4:12" x14ac:dyDescent="0.35">
      <c r="D3147" s="32"/>
      <c r="G3147" s="32"/>
      <c r="H3147">
        <f>COUNTIFS('Audit Raw data'!J:J,B:B,'Audit Raw data'!E:E,G:G)</f>
        <v>0</v>
      </c>
      <c r="I3147" s="44" t="str">
        <f>IFERROR((SUMIFS('Audit Raw data'!BZ:BZ,'Audit Raw data'!J:J,B:B,'Audit Raw data'!E:E,G:G)/H3147)/100,"-")</f>
        <v>-</v>
      </c>
      <c r="J3147">
        <f>COUNTIFS('Audit Raw data'!AM:AM,"Yes",'Audit Raw data'!J:J,B:B,'Audit Raw data'!E:E,'Day wise agent'!G:G)</f>
        <v>0</v>
      </c>
      <c r="K3147">
        <f>COUNTIFS('Audit Raw data'!AM:AM,"NO",'Audit Raw data'!J:J,B:B,'Audit Raw data'!E:E,'Day wise agent'!G:G)</f>
        <v>0</v>
      </c>
      <c r="L3147" s="12" t="str">
        <f t="shared" si="70"/>
        <v xml:space="preserve"> </v>
      </c>
    </row>
    <row r="3148" spans="4:12" x14ac:dyDescent="0.35">
      <c r="D3148" s="32"/>
      <c r="G3148" s="32"/>
      <c r="H3148">
        <f>COUNTIFS('Audit Raw data'!J:J,B:B,'Audit Raw data'!E:E,G:G)</f>
        <v>0</v>
      </c>
      <c r="I3148" s="44" t="str">
        <f>IFERROR((SUMIFS('Audit Raw data'!BZ:BZ,'Audit Raw data'!J:J,B:B,'Audit Raw data'!E:E,G:G)/H3148)/100,"-")</f>
        <v>-</v>
      </c>
      <c r="J3148">
        <f>COUNTIFS('Audit Raw data'!AM:AM,"Yes",'Audit Raw data'!J:J,B:B,'Audit Raw data'!E:E,'Day wise agent'!G:G)</f>
        <v>0</v>
      </c>
      <c r="K3148">
        <f>COUNTIFS('Audit Raw data'!AM:AM,"NO",'Audit Raw data'!J:J,B:B,'Audit Raw data'!E:E,'Day wise agent'!G:G)</f>
        <v>0</v>
      </c>
      <c r="L3148" s="12" t="str">
        <f t="shared" si="70"/>
        <v xml:space="preserve"> </v>
      </c>
    </row>
    <row r="3149" spans="4:12" x14ac:dyDescent="0.35">
      <c r="D3149" s="32"/>
      <c r="G3149" s="32"/>
      <c r="H3149">
        <f>COUNTIFS('Audit Raw data'!J:J,B:B,'Audit Raw data'!E:E,G:G)</f>
        <v>0</v>
      </c>
      <c r="I3149" s="44" t="str">
        <f>IFERROR((SUMIFS('Audit Raw data'!BZ:BZ,'Audit Raw data'!J:J,B:B,'Audit Raw data'!E:E,G:G)/H3149)/100,"-")</f>
        <v>-</v>
      </c>
      <c r="J3149">
        <f>COUNTIFS('Audit Raw data'!AM:AM,"Yes",'Audit Raw data'!J:J,B:B,'Audit Raw data'!E:E,'Day wise agent'!G:G)</f>
        <v>0</v>
      </c>
      <c r="K3149">
        <f>COUNTIFS('Audit Raw data'!AM:AM,"NO",'Audit Raw data'!J:J,B:B,'Audit Raw data'!E:E,'Day wise agent'!G:G)</f>
        <v>0</v>
      </c>
      <c r="L3149" s="12" t="str">
        <f t="shared" si="70"/>
        <v xml:space="preserve"> </v>
      </c>
    </row>
    <row r="3150" spans="4:12" x14ac:dyDescent="0.35">
      <c r="D3150" s="32"/>
      <c r="G3150" s="32"/>
      <c r="H3150">
        <f>COUNTIFS('Audit Raw data'!J:J,B:B,'Audit Raw data'!E:E,G:G)</f>
        <v>0</v>
      </c>
      <c r="I3150" s="44" t="str">
        <f>IFERROR((SUMIFS('Audit Raw data'!BZ:BZ,'Audit Raw data'!J:J,B:B,'Audit Raw data'!E:E,G:G)/H3150)/100,"-")</f>
        <v>-</v>
      </c>
      <c r="J3150">
        <f>COUNTIFS('Audit Raw data'!AM:AM,"Yes",'Audit Raw data'!J:J,B:B,'Audit Raw data'!E:E,'Day wise agent'!G:G)</f>
        <v>0</v>
      </c>
      <c r="K3150">
        <f>COUNTIFS('Audit Raw data'!AM:AM,"NO",'Audit Raw data'!J:J,B:B,'Audit Raw data'!E:E,'Day wise agent'!G:G)</f>
        <v>0</v>
      </c>
      <c r="L3150" s="12" t="str">
        <f t="shared" si="70"/>
        <v xml:space="preserve"> </v>
      </c>
    </row>
    <row r="3151" spans="4:12" x14ac:dyDescent="0.35">
      <c r="D3151" s="32"/>
      <c r="G3151" s="32"/>
      <c r="H3151">
        <f>COUNTIFS('Audit Raw data'!J:J,B:B,'Audit Raw data'!E:E,G:G)</f>
        <v>0</v>
      </c>
      <c r="I3151" s="44" t="str">
        <f>IFERROR((SUMIFS('Audit Raw data'!BZ:BZ,'Audit Raw data'!J:J,B:B,'Audit Raw data'!E:E,G:G)/H3151)/100,"-")</f>
        <v>-</v>
      </c>
      <c r="J3151">
        <f>COUNTIFS('Audit Raw data'!AM:AM,"Yes",'Audit Raw data'!J:J,B:B,'Audit Raw data'!E:E,'Day wise agent'!G:G)</f>
        <v>0</v>
      </c>
      <c r="K3151">
        <f>COUNTIFS('Audit Raw data'!AM:AM,"NO",'Audit Raw data'!J:J,B:B,'Audit Raw data'!E:E,'Day wise agent'!G:G)</f>
        <v>0</v>
      </c>
      <c r="L3151" s="12" t="str">
        <f t="shared" si="70"/>
        <v xml:space="preserve"> </v>
      </c>
    </row>
    <row r="3152" spans="4:12" x14ac:dyDescent="0.35">
      <c r="D3152" s="32"/>
      <c r="G3152" s="32"/>
      <c r="H3152">
        <f>COUNTIFS('Audit Raw data'!J:J,B:B,'Audit Raw data'!E:E,G:G)</f>
        <v>0</v>
      </c>
      <c r="I3152" s="44" t="str">
        <f>IFERROR((SUMIFS('Audit Raw data'!BZ:BZ,'Audit Raw data'!J:J,B:B,'Audit Raw data'!E:E,G:G)/H3152)/100,"-")</f>
        <v>-</v>
      </c>
      <c r="J3152">
        <f>COUNTIFS('Audit Raw data'!AM:AM,"Yes",'Audit Raw data'!J:J,B:B,'Audit Raw data'!E:E,'Day wise agent'!G:G)</f>
        <v>0</v>
      </c>
      <c r="K3152">
        <f>COUNTIFS('Audit Raw data'!AM:AM,"NO",'Audit Raw data'!J:J,B:B,'Audit Raw data'!E:E,'Day wise agent'!G:G)</f>
        <v>0</v>
      </c>
      <c r="L3152" s="12" t="str">
        <f t="shared" si="70"/>
        <v xml:space="preserve"> </v>
      </c>
    </row>
    <row r="3153" spans="4:12" x14ac:dyDescent="0.35">
      <c r="D3153" s="32"/>
      <c r="G3153" s="32"/>
      <c r="H3153">
        <f>COUNTIFS('Audit Raw data'!J:J,B:B,'Audit Raw data'!E:E,G:G)</f>
        <v>0</v>
      </c>
      <c r="I3153" s="44" t="str">
        <f>IFERROR((SUMIFS('Audit Raw data'!BZ:BZ,'Audit Raw data'!J:J,B:B,'Audit Raw data'!E:E,G:G)/H3153)/100,"-")</f>
        <v>-</v>
      </c>
      <c r="J3153">
        <f>COUNTIFS('Audit Raw data'!AM:AM,"Yes",'Audit Raw data'!J:J,B:B,'Audit Raw data'!E:E,'Day wise agent'!G:G)</f>
        <v>0</v>
      </c>
      <c r="K3153">
        <f>COUNTIFS('Audit Raw data'!AM:AM,"NO",'Audit Raw data'!J:J,B:B,'Audit Raw data'!E:E,'Day wise agent'!G:G)</f>
        <v>0</v>
      </c>
      <c r="L3153" s="12" t="str">
        <f t="shared" si="70"/>
        <v xml:space="preserve"> </v>
      </c>
    </row>
    <row r="3154" spans="4:12" x14ac:dyDescent="0.35">
      <c r="D3154" s="32"/>
      <c r="G3154" s="32"/>
      <c r="H3154">
        <f>COUNTIFS('Audit Raw data'!J:J,B:B,'Audit Raw data'!E:E,G:G)</f>
        <v>0</v>
      </c>
      <c r="I3154" s="44" t="str">
        <f>IFERROR((SUMIFS('Audit Raw data'!BZ:BZ,'Audit Raw data'!J:J,B:B,'Audit Raw data'!E:E,G:G)/H3154)/100,"-")</f>
        <v>-</v>
      </c>
      <c r="J3154">
        <f>COUNTIFS('Audit Raw data'!AM:AM,"Yes",'Audit Raw data'!J:J,B:B,'Audit Raw data'!E:E,'Day wise agent'!G:G)</f>
        <v>0</v>
      </c>
      <c r="K3154">
        <f>COUNTIFS('Audit Raw data'!AM:AM,"NO",'Audit Raw data'!J:J,B:B,'Audit Raw data'!E:E,'Day wise agent'!G:G)</f>
        <v>0</v>
      </c>
      <c r="L3154" s="12" t="str">
        <f t="shared" si="70"/>
        <v xml:space="preserve"> </v>
      </c>
    </row>
    <row r="3155" spans="4:12" x14ac:dyDescent="0.35">
      <c r="D3155" s="32"/>
      <c r="G3155" s="32"/>
      <c r="H3155">
        <f>COUNTIFS('Audit Raw data'!J:J,B:B,'Audit Raw data'!E:E,G:G)</f>
        <v>0</v>
      </c>
      <c r="I3155" s="44" t="str">
        <f>IFERROR((SUMIFS('Audit Raw data'!BZ:BZ,'Audit Raw data'!J:J,B:B,'Audit Raw data'!E:E,G:G)/H3155)/100,"-")</f>
        <v>-</v>
      </c>
      <c r="J3155">
        <f>COUNTIFS('Audit Raw data'!AM:AM,"Yes",'Audit Raw data'!J:J,B:B,'Audit Raw data'!E:E,'Day wise agent'!G:G)</f>
        <v>0</v>
      </c>
      <c r="K3155">
        <f>COUNTIFS('Audit Raw data'!AM:AM,"NO",'Audit Raw data'!J:J,B:B,'Audit Raw data'!E:E,'Day wise agent'!G:G)</f>
        <v>0</v>
      </c>
      <c r="L3155" s="12" t="str">
        <f t="shared" si="70"/>
        <v xml:space="preserve"> </v>
      </c>
    </row>
    <row r="3156" spans="4:12" x14ac:dyDescent="0.35">
      <c r="D3156" s="32"/>
      <c r="G3156" s="32"/>
      <c r="H3156">
        <f>COUNTIFS('Audit Raw data'!J:J,B:B,'Audit Raw data'!E:E,G:G)</f>
        <v>0</v>
      </c>
      <c r="I3156" s="44" t="str">
        <f>IFERROR((SUMIFS('Audit Raw data'!BZ:BZ,'Audit Raw data'!J:J,B:B,'Audit Raw data'!E:E,G:G)/H3156)/100,"-")</f>
        <v>-</v>
      </c>
      <c r="J3156">
        <f>COUNTIFS('Audit Raw data'!AM:AM,"Yes",'Audit Raw data'!J:J,B:B,'Audit Raw data'!E:E,'Day wise agent'!G:G)</f>
        <v>0</v>
      </c>
      <c r="K3156">
        <f>COUNTIFS('Audit Raw data'!AM:AM,"NO",'Audit Raw data'!J:J,B:B,'Audit Raw data'!E:E,'Day wise agent'!G:G)</f>
        <v>0</v>
      </c>
      <c r="L3156" s="12" t="str">
        <f t="shared" si="70"/>
        <v xml:space="preserve"> </v>
      </c>
    </row>
    <row r="3157" spans="4:12" x14ac:dyDescent="0.35">
      <c r="D3157" s="32"/>
      <c r="G3157" s="32"/>
      <c r="H3157">
        <f>COUNTIFS('Audit Raw data'!J:J,B:B,'Audit Raw data'!E:E,G:G)</f>
        <v>0</v>
      </c>
      <c r="I3157" s="44" t="str">
        <f>IFERROR((SUMIFS('Audit Raw data'!BZ:BZ,'Audit Raw data'!J:J,B:B,'Audit Raw data'!E:E,G:G)/H3157)/100,"-")</f>
        <v>-</v>
      </c>
      <c r="J3157">
        <f>COUNTIFS('Audit Raw data'!AM:AM,"Yes",'Audit Raw data'!J:J,B:B,'Audit Raw data'!E:E,'Day wise agent'!G:G)</f>
        <v>0</v>
      </c>
      <c r="K3157">
        <f>COUNTIFS('Audit Raw data'!AM:AM,"NO",'Audit Raw data'!J:J,B:B,'Audit Raw data'!E:E,'Day wise agent'!G:G)</f>
        <v>0</v>
      </c>
      <c r="L3157" s="12" t="str">
        <f t="shared" si="70"/>
        <v xml:space="preserve"> </v>
      </c>
    </row>
    <row r="3158" spans="4:12" x14ac:dyDescent="0.35">
      <c r="D3158" s="32"/>
      <c r="G3158" s="32"/>
      <c r="H3158">
        <f>COUNTIFS('Audit Raw data'!J:J,B:B,'Audit Raw data'!E:E,G:G)</f>
        <v>0</v>
      </c>
      <c r="I3158" s="44" t="str">
        <f>IFERROR((SUMIFS('Audit Raw data'!BZ:BZ,'Audit Raw data'!J:J,B:B,'Audit Raw data'!E:E,G:G)/H3158)/100,"-")</f>
        <v>-</v>
      </c>
      <c r="J3158">
        <f>COUNTIFS('Audit Raw data'!AM:AM,"Yes",'Audit Raw data'!J:J,B:B,'Audit Raw data'!E:E,'Day wise agent'!G:G)</f>
        <v>0</v>
      </c>
      <c r="K3158">
        <f>COUNTIFS('Audit Raw data'!AM:AM,"NO",'Audit Raw data'!J:J,B:B,'Audit Raw data'!E:E,'Day wise agent'!G:G)</f>
        <v>0</v>
      </c>
      <c r="L3158" s="12" t="str">
        <f t="shared" si="70"/>
        <v xml:space="preserve"> </v>
      </c>
    </row>
    <row r="3159" spans="4:12" x14ac:dyDescent="0.35">
      <c r="D3159" s="32"/>
      <c r="G3159" s="32"/>
      <c r="H3159">
        <f>COUNTIFS('Audit Raw data'!J:J,B:B,'Audit Raw data'!E:E,G:G)</f>
        <v>0</v>
      </c>
      <c r="I3159" s="44" t="str">
        <f>IFERROR((SUMIFS('Audit Raw data'!BZ:BZ,'Audit Raw data'!J:J,B:B,'Audit Raw data'!E:E,G:G)/H3159)/100,"-")</f>
        <v>-</v>
      </c>
      <c r="J3159">
        <f>COUNTIFS('Audit Raw data'!AM:AM,"Yes",'Audit Raw data'!J:J,B:B,'Audit Raw data'!E:E,'Day wise agent'!G:G)</f>
        <v>0</v>
      </c>
      <c r="K3159">
        <f>COUNTIFS('Audit Raw data'!AM:AM,"NO",'Audit Raw data'!J:J,B:B,'Audit Raw data'!E:E,'Day wise agent'!G:G)</f>
        <v>0</v>
      </c>
      <c r="L3159" s="12" t="str">
        <f t="shared" si="70"/>
        <v xml:space="preserve"> </v>
      </c>
    </row>
    <row r="3160" spans="4:12" x14ac:dyDescent="0.35">
      <c r="D3160" s="32"/>
      <c r="G3160" s="32"/>
      <c r="H3160">
        <f>COUNTIFS('Audit Raw data'!J:J,B:B,'Audit Raw data'!E:E,G:G)</f>
        <v>0</v>
      </c>
      <c r="I3160" s="44" t="str">
        <f>IFERROR((SUMIFS('Audit Raw data'!BZ:BZ,'Audit Raw data'!J:J,B:B,'Audit Raw data'!E:E,G:G)/H3160)/100,"-")</f>
        <v>-</v>
      </c>
      <c r="J3160">
        <f>COUNTIFS('Audit Raw data'!AM:AM,"Yes",'Audit Raw data'!J:J,B:B,'Audit Raw data'!E:E,'Day wise agent'!G:G)</f>
        <v>0</v>
      </c>
      <c r="K3160">
        <f>COUNTIFS('Audit Raw data'!AM:AM,"NO",'Audit Raw data'!J:J,B:B,'Audit Raw data'!E:E,'Day wise agent'!G:G)</f>
        <v>0</v>
      </c>
      <c r="L3160" s="12" t="str">
        <f t="shared" si="70"/>
        <v xml:space="preserve"> </v>
      </c>
    </row>
    <row r="3161" spans="4:12" x14ac:dyDescent="0.35">
      <c r="D3161" s="32"/>
      <c r="G3161" s="32"/>
      <c r="H3161">
        <f>COUNTIFS('Audit Raw data'!J:J,B:B,'Audit Raw data'!E:E,G:G)</f>
        <v>0</v>
      </c>
      <c r="I3161" s="44" t="str">
        <f>IFERROR((SUMIFS('Audit Raw data'!BZ:BZ,'Audit Raw data'!J:J,B:B,'Audit Raw data'!E:E,G:G)/H3161)/100,"-")</f>
        <v>-</v>
      </c>
      <c r="J3161">
        <f>COUNTIFS('Audit Raw data'!AM:AM,"Yes",'Audit Raw data'!J:J,B:B,'Audit Raw data'!E:E,'Day wise agent'!G:G)</f>
        <v>0</v>
      </c>
      <c r="K3161">
        <f>COUNTIFS('Audit Raw data'!AM:AM,"NO",'Audit Raw data'!J:J,B:B,'Audit Raw data'!E:E,'Day wise agent'!G:G)</f>
        <v>0</v>
      </c>
      <c r="L3161" s="12" t="str">
        <f t="shared" si="70"/>
        <v xml:space="preserve"> </v>
      </c>
    </row>
    <row r="3162" spans="4:12" x14ac:dyDescent="0.35">
      <c r="D3162" s="32"/>
      <c r="G3162" s="32"/>
      <c r="H3162">
        <f>COUNTIFS('Audit Raw data'!J:J,B:B,'Audit Raw data'!E:E,G:G)</f>
        <v>0</v>
      </c>
      <c r="I3162" s="44" t="str">
        <f>IFERROR((SUMIFS('Audit Raw data'!BZ:BZ,'Audit Raw data'!J:J,B:B,'Audit Raw data'!E:E,G:G)/H3162)/100,"-")</f>
        <v>-</v>
      </c>
      <c r="J3162">
        <f>COUNTIFS('Audit Raw data'!AM:AM,"Yes",'Audit Raw data'!J:J,B:B,'Audit Raw data'!E:E,'Day wise agent'!G:G)</f>
        <v>0</v>
      </c>
      <c r="K3162">
        <f>COUNTIFS('Audit Raw data'!AM:AM,"NO",'Audit Raw data'!J:J,B:B,'Audit Raw data'!E:E,'Day wise agent'!G:G)</f>
        <v>0</v>
      </c>
      <c r="L3162" s="12" t="str">
        <f t="shared" si="70"/>
        <v xml:space="preserve"> </v>
      </c>
    </row>
    <row r="3163" spans="4:12" x14ac:dyDescent="0.35">
      <c r="D3163" s="32"/>
      <c r="G3163" s="32"/>
      <c r="H3163">
        <f>COUNTIFS('Audit Raw data'!J:J,B:B,'Audit Raw data'!E:E,G:G)</f>
        <v>0</v>
      </c>
      <c r="I3163" s="44" t="str">
        <f>IFERROR((SUMIFS('Audit Raw data'!BZ:BZ,'Audit Raw data'!J:J,B:B,'Audit Raw data'!E:E,G:G)/H3163)/100,"-")</f>
        <v>-</v>
      </c>
      <c r="J3163">
        <f>COUNTIFS('Audit Raw data'!AM:AM,"Yes",'Audit Raw data'!J:J,B:B,'Audit Raw data'!E:E,'Day wise agent'!G:G)</f>
        <v>0</v>
      </c>
      <c r="K3163">
        <f>COUNTIFS('Audit Raw data'!AM:AM,"NO",'Audit Raw data'!J:J,B:B,'Audit Raw data'!E:E,'Day wise agent'!G:G)</f>
        <v>0</v>
      </c>
      <c r="L3163" s="12" t="str">
        <f t="shared" si="70"/>
        <v xml:space="preserve"> </v>
      </c>
    </row>
    <row r="3164" spans="4:12" x14ac:dyDescent="0.35">
      <c r="D3164" s="32"/>
      <c r="G3164" s="32"/>
      <c r="H3164">
        <f>COUNTIFS('Audit Raw data'!J:J,B:B,'Audit Raw data'!E:E,G:G)</f>
        <v>0</v>
      </c>
      <c r="I3164" s="44" t="str">
        <f>IFERROR((SUMIFS('Audit Raw data'!BZ:BZ,'Audit Raw data'!J:J,B:B,'Audit Raw data'!E:E,G:G)/H3164)/100,"-")</f>
        <v>-</v>
      </c>
      <c r="J3164">
        <f>COUNTIFS('Audit Raw data'!AM:AM,"Yes",'Audit Raw data'!J:J,B:B,'Audit Raw data'!E:E,'Day wise agent'!G:G)</f>
        <v>0</v>
      </c>
      <c r="K3164">
        <f>COUNTIFS('Audit Raw data'!AM:AM,"NO",'Audit Raw data'!J:J,B:B,'Audit Raw data'!E:E,'Day wise agent'!G:G)</f>
        <v>0</v>
      </c>
      <c r="L3164" s="12" t="str">
        <f t="shared" si="70"/>
        <v xml:space="preserve"> </v>
      </c>
    </row>
    <row r="3165" spans="4:12" x14ac:dyDescent="0.35">
      <c r="D3165" s="32"/>
      <c r="G3165" s="32"/>
      <c r="H3165">
        <f>COUNTIFS('Audit Raw data'!J:J,B:B,'Audit Raw data'!E:E,G:G)</f>
        <v>0</v>
      </c>
      <c r="I3165" s="44" t="str">
        <f>IFERROR((SUMIFS('Audit Raw data'!BZ:BZ,'Audit Raw data'!J:J,B:B,'Audit Raw data'!E:E,G:G)/H3165)/100,"-")</f>
        <v>-</v>
      </c>
      <c r="J3165">
        <f>COUNTIFS('Audit Raw data'!AM:AM,"Yes",'Audit Raw data'!J:J,B:B,'Audit Raw data'!E:E,'Day wise agent'!G:G)</f>
        <v>0</v>
      </c>
      <c r="K3165">
        <f>COUNTIFS('Audit Raw data'!AM:AM,"NO",'Audit Raw data'!J:J,B:B,'Audit Raw data'!E:E,'Day wise agent'!G:G)</f>
        <v>0</v>
      </c>
      <c r="L3165" s="12" t="str">
        <f t="shared" si="70"/>
        <v xml:space="preserve"> </v>
      </c>
    </row>
    <row r="3166" spans="4:12" x14ac:dyDescent="0.35">
      <c r="D3166" s="32"/>
      <c r="G3166" s="32"/>
      <c r="H3166">
        <f>COUNTIFS('Audit Raw data'!J:J,B:B,'Audit Raw data'!E:E,G:G)</f>
        <v>0</v>
      </c>
      <c r="I3166" s="44" t="str">
        <f>IFERROR((SUMIFS('Audit Raw data'!BZ:BZ,'Audit Raw data'!J:J,B:B,'Audit Raw data'!E:E,G:G)/H3166)/100,"-")</f>
        <v>-</v>
      </c>
      <c r="J3166">
        <f>COUNTIFS('Audit Raw data'!AM:AM,"Yes",'Audit Raw data'!J:J,B:B,'Audit Raw data'!E:E,'Day wise agent'!G:G)</f>
        <v>0</v>
      </c>
      <c r="K3166">
        <f>COUNTIFS('Audit Raw data'!AM:AM,"NO",'Audit Raw data'!J:J,B:B,'Audit Raw data'!E:E,'Day wise agent'!G:G)</f>
        <v>0</v>
      </c>
      <c r="L3166" s="12" t="str">
        <f t="shared" si="70"/>
        <v xml:space="preserve"> </v>
      </c>
    </row>
    <row r="3167" spans="4:12" x14ac:dyDescent="0.35">
      <c r="D3167" s="32"/>
      <c r="G3167" s="32"/>
      <c r="H3167">
        <f>COUNTIFS('Audit Raw data'!J:J,B:B,'Audit Raw data'!E:E,G:G)</f>
        <v>0</v>
      </c>
      <c r="I3167" s="44" t="str">
        <f>IFERROR((SUMIFS('Audit Raw data'!BZ:BZ,'Audit Raw data'!J:J,B:B,'Audit Raw data'!E:E,G:G)/H3167)/100,"-")</f>
        <v>-</v>
      </c>
      <c r="J3167">
        <f>COUNTIFS('Audit Raw data'!AM:AM,"Yes",'Audit Raw data'!J:J,B:B,'Audit Raw data'!E:E,'Day wise agent'!G:G)</f>
        <v>0</v>
      </c>
      <c r="K3167">
        <f>COUNTIFS('Audit Raw data'!AM:AM,"NO",'Audit Raw data'!J:J,B:B,'Audit Raw data'!E:E,'Day wise agent'!G:G)</f>
        <v>0</v>
      </c>
      <c r="L3167" s="12" t="str">
        <f t="shared" si="70"/>
        <v xml:space="preserve"> </v>
      </c>
    </row>
    <row r="3168" spans="4:12" x14ac:dyDescent="0.35">
      <c r="D3168" s="32"/>
      <c r="G3168" s="32"/>
      <c r="H3168">
        <f>COUNTIFS('Audit Raw data'!J:J,B:B,'Audit Raw data'!E:E,G:G)</f>
        <v>0</v>
      </c>
      <c r="I3168" s="44" t="str">
        <f>IFERROR((SUMIFS('Audit Raw data'!BZ:BZ,'Audit Raw data'!J:J,B:B,'Audit Raw data'!E:E,G:G)/H3168)/100,"-")</f>
        <v>-</v>
      </c>
      <c r="J3168">
        <f>COUNTIFS('Audit Raw data'!AM:AM,"Yes",'Audit Raw data'!J:J,B:B,'Audit Raw data'!E:E,'Day wise agent'!G:G)</f>
        <v>0</v>
      </c>
      <c r="K3168">
        <f>COUNTIFS('Audit Raw data'!AM:AM,"NO",'Audit Raw data'!J:J,B:B,'Audit Raw data'!E:E,'Day wise agent'!G:G)</f>
        <v>0</v>
      </c>
      <c r="L3168" s="12" t="str">
        <f t="shared" si="70"/>
        <v xml:space="preserve"> </v>
      </c>
    </row>
    <row r="3169" spans="4:12" x14ac:dyDescent="0.35">
      <c r="D3169" s="32"/>
      <c r="G3169" s="32"/>
      <c r="H3169">
        <f>COUNTIFS('Audit Raw data'!J:J,B:B,'Audit Raw data'!E:E,G:G)</f>
        <v>0</v>
      </c>
      <c r="I3169" s="44" t="str">
        <f>IFERROR((SUMIFS('Audit Raw data'!BZ:BZ,'Audit Raw data'!J:J,B:B,'Audit Raw data'!E:E,G:G)/H3169)/100,"-")</f>
        <v>-</v>
      </c>
      <c r="J3169">
        <f>COUNTIFS('Audit Raw data'!AM:AM,"Yes",'Audit Raw data'!J:J,B:B,'Audit Raw data'!E:E,'Day wise agent'!G:G)</f>
        <v>0</v>
      </c>
      <c r="K3169">
        <f>COUNTIFS('Audit Raw data'!AM:AM,"NO",'Audit Raw data'!J:J,B:B,'Audit Raw data'!E:E,'Day wise agent'!G:G)</f>
        <v>0</v>
      </c>
      <c r="L3169" s="12" t="str">
        <f t="shared" si="70"/>
        <v xml:space="preserve"> </v>
      </c>
    </row>
    <row r="3170" spans="4:12" x14ac:dyDescent="0.35">
      <c r="D3170" s="32"/>
      <c r="G3170" s="32"/>
      <c r="H3170">
        <f>COUNTIFS('Audit Raw data'!J:J,B:B,'Audit Raw data'!E:E,G:G)</f>
        <v>0</v>
      </c>
      <c r="I3170" s="44" t="str">
        <f>IFERROR((SUMIFS('Audit Raw data'!BZ:BZ,'Audit Raw data'!J:J,B:B,'Audit Raw data'!E:E,G:G)/H3170)/100,"-")</f>
        <v>-</v>
      </c>
      <c r="J3170">
        <f>COUNTIFS('Audit Raw data'!AM:AM,"Yes",'Audit Raw data'!J:J,B:B,'Audit Raw data'!E:E,'Day wise agent'!G:G)</f>
        <v>0</v>
      </c>
      <c r="K3170">
        <f>COUNTIFS('Audit Raw data'!AM:AM,"NO",'Audit Raw data'!J:J,B:B,'Audit Raw data'!E:E,'Day wise agent'!G:G)</f>
        <v>0</v>
      </c>
      <c r="L3170" s="12" t="str">
        <f t="shared" si="70"/>
        <v xml:space="preserve"> </v>
      </c>
    </row>
    <row r="3171" spans="4:12" x14ac:dyDescent="0.35">
      <c r="D3171" s="32"/>
      <c r="G3171" s="32"/>
      <c r="H3171">
        <f>COUNTIFS('Audit Raw data'!J:J,B:B,'Audit Raw data'!E:E,G:G)</f>
        <v>0</v>
      </c>
      <c r="I3171" s="44" t="str">
        <f>IFERROR((SUMIFS('Audit Raw data'!BZ:BZ,'Audit Raw data'!J:J,B:B,'Audit Raw data'!E:E,G:G)/H3171)/100,"-")</f>
        <v>-</v>
      </c>
      <c r="J3171">
        <f>COUNTIFS('Audit Raw data'!AM:AM,"Yes",'Audit Raw data'!J:J,B:B,'Audit Raw data'!E:E,'Day wise agent'!G:G)</f>
        <v>0</v>
      </c>
      <c r="K3171">
        <f>COUNTIFS('Audit Raw data'!AM:AM,"NO",'Audit Raw data'!J:J,B:B,'Audit Raw data'!E:E,'Day wise agent'!G:G)</f>
        <v>0</v>
      </c>
      <c r="L3171" s="12" t="str">
        <f t="shared" si="70"/>
        <v xml:space="preserve"> </v>
      </c>
    </row>
    <row r="3172" spans="4:12" x14ac:dyDescent="0.35">
      <c r="D3172" s="32"/>
      <c r="G3172" s="32"/>
      <c r="H3172">
        <f>COUNTIFS('Audit Raw data'!J:J,B:B,'Audit Raw data'!E:E,G:G)</f>
        <v>0</v>
      </c>
      <c r="I3172" s="44" t="str">
        <f>IFERROR((SUMIFS('Audit Raw data'!BZ:BZ,'Audit Raw data'!J:J,B:B,'Audit Raw data'!E:E,G:G)/H3172)/100,"-")</f>
        <v>-</v>
      </c>
      <c r="J3172">
        <f>COUNTIFS('Audit Raw data'!AM:AM,"Yes",'Audit Raw data'!J:J,B:B,'Audit Raw data'!E:E,'Day wise agent'!G:G)</f>
        <v>0</v>
      </c>
      <c r="K3172">
        <f>COUNTIFS('Audit Raw data'!AM:AM,"NO",'Audit Raw data'!J:J,B:B,'Audit Raw data'!E:E,'Day wise agent'!G:G)</f>
        <v>0</v>
      </c>
      <c r="L3172" s="12" t="str">
        <f t="shared" si="70"/>
        <v xml:space="preserve"> </v>
      </c>
    </row>
    <row r="3173" spans="4:12" x14ac:dyDescent="0.35">
      <c r="D3173" s="32"/>
      <c r="G3173" s="32"/>
      <c r="H3173">
        <f>COUNTIFS('Audit Raw data'!J:J,B:B,'Audit Raw data'!E:E,G:G)</f>
        <v>0</v>
      </c>
      <c r="I3173" s="44" t="str">
        <f>IFERROR((SUMIFS('Audit Raw data'!BZ:BZ,'Audit Raw data'!J:J,B:B,'Audit Raw data'!E:E,G:G)/H3173)/100,"-")</f>
        <v>-</v>
      </c>
      <c r="J3173">
        <f>COUNTIFS('Audit Raw data'!AM:AM,"Yes",'Audit Raw data'!J:J,B:B,'Audit Raw data'!E:E,'Day wise agent'!G:G)</f>
        <v>0</v>
      </c>
      <c r="K3173">
        <f>COUNTIFS('Audit Raw data'!AM:AM,"NO",'Audit Raw data'!J:J,B:B,'Audit Raw data'!E:E,'Day wise agent'!G:G)</f>
        <v>0</v>
      </c>
      <c r="L3173" s="12" t="str">
        <f t="shared" si="70"/>
        <v xml:space="preserve"> </v>
      </c>
    </row>
    <row r="3174" spans="4:12" x14ac:dyDescent="0.35">
      <c r="D3174" s="32"/>
      <c r="G3174" s="32"/>
      <c r="H3174">
        <f>COUNTIFS('Audit Raw data'!J:J,B:B,'Audit Raw data'!E:E,G:G)</f>
        <v>0</v>
      </c>
      <c r="I3174" s="44" t="str">
        <f>IFERROR((SUMIFS('Audit Raw data'!BZ:BZ,'Audit Raw data'!J:J,B:B,'Audit Raw data'!E:E,G:G)/H3174)/100,"-")</f>
        <v>-</v>
      </c>
      <c r="J3174">
        <f>COUNTIFS('Audit Raw data'!AM:AM,"Yes",'Audit Raw data'!J:J,B:B,'Audit Raw data'!E:E,'Day wise agent'!G:G)</f>
        <v>0</v>
      </c>
      <c r="K3174">
        <f>COUNTIFS('Audit Raw data'!AM:AM,"NO",'Audit Raw data'!J:J,B:B,'Audit Raw data'!E:E,'Day wise agent'!G:G)</f>
        <v>0</v>
      </c>
      <c r="L3174" s="12" t="str">
        <f t="shared" si="70"/>
        <v xml:space="preserve"> </v>
      </c>
    </row>
    <row r="3175" spans="4:12" x14ac:dyDescent="0.35">
      <c r="D3175" s="32"/>
      <c r="G3175" s="32"/>
      <c r="H3175">
        <f>COUNTIFS('Audit Raw data'!J:J,B:B,'Audit Raw data'!E:E,G:G)</f>
        <v>0</v>
      </c>
      <c r="I3175" s="44" t="str">
        <f>IFERROR((SUMIFS('Audit Raw data'!BZ:BZ,'Audit Raw data'!J:J,B:B,'Audit Raw data'!E:E,G:G)/H3175)/100,"-")</f>
        <v>-</v>
      </c>
      <c r="J3175">
        <f>COUNTIFS('Audit Raw data'!AM:AM,"Yes",'Audit Raw data'!J:J,B:B,'Audit Raw data'!E:E,'Day wise agent'!G:G)</f>
        <v>0</v>
      </c>
      <c r="K3175">
        <f>COUNTIFS('Audit Raw data'!AM:AM,"NO",'Audit Raw data'!J:J,B:B,'Audit Raw data'!E:E,'Day wise agent'!G:G)</f>
        <v>0</v>
      </c>
      <c r="L3175" s="12" t="str">
        <f t="shared" si="70"/>
        <v xml:space="preserve"> </v>
      </c>
    </row>
    <row r="3176" spans="4:12" x14ac:dyDescent="0.35">
      <c r="D3176" s="32"/>
      <c r="G3176" s="32"/>
      <c r="H3176">
        <f>COUNTIFS('Audit Raw data'!J:J,B:B,'Audit Raw data'!E:E,G:G)</f>
        <v>0</v>
      </c>
      <c r="I3176" s="44" t="str">
        <f>IFERROR((SUMIFS('Audit Raw data'!BZ:BZ,'Audit Raw data'!J:J,B:B,'Audit Raw data'!E:E,G:G)/H3176)/100,"-")</f>
        <v>-</v>
      </c>
      <c r="J3176">
        <f>COUNTIFS('Audit Raw data'!AM:AM,"Yes",'Audit Raw data'!J:J,B:B,'Audit Raw data'!E:E,'Day wise agent'!G:G)</f>
        <v>0</v>
      </c>
      <c r="K3176">
        <f>COUNTIFS('Audit Raw data'!AM:AM,"NO",'Audit Raw data'!J:J,B:B,'Audit Raw data'!E:E,'Day wise agent'!G:G)</f>
        <v>0</v>
      </c>
      <c r="L3176" s="12" t="str">
        <f t="shared" si="70"/>
        <v xml:space="preserve"> </v>
      </c>
    </row>
    <row r="3177" spans="4:12" x14ac:dyDescent="0.35">
      <c r="D3177" s="32"/>
      <c r="G3177" s="32"/>
      <c r="H3177">
        <f>COUNTIFS('Audit Raw data'!J:J,B:B,'Audit Raw data'!E:E,G:G)</f>
        <v>0</v>
      </c>
      <c r="I3177" s="44" t="str">
        <f>IFERROR((SUMIFS('Audit Raw data'!BZ:BZ,'Audit Raw data'!J:J,B:B,'Audit Raw data'!E:E,G:G)/H3177)/100,"-")</f>
        <v>-</v>
      </c>
      <c r="J3177">
        <f>COUNTIFS('Audit Raw data'!AM:AM,"Yes",'Audit Raw data'!J:J,B:B,'Audit Raw data'!E:E,'Day wise agent'!G:G)</f>
        <v>0</v>
      </c>
      <c r="K3177">
        <f>COUNTIFS('Audit Raw data'!AM:AM,"NO",'Audit Raw data'!J:J,B:B,'Audit Raw data'!E:E,'Day wise agent'!G:G)</f>
        <v>0</v>
      </c>
      <c r="L3177" s="12" t="str">
        <f t="shared" si="70"/>
        <v xml:space="preserve"> </v>
      </c>
    </row>
    <row r="3178" spans="4:12" x14ac:dyDescent="0.35">
      <c r="D3178" s="32"/>
      <c r="G3178" s="32"/>
      <c r="H3178">
        <f>COUNTIFS('Audit Raw data'!J:J,B:B,'Audit Raw data'!E:E,G:G)</f>
        <v>0</v>
      </c>
      <c r="I3178" s="44" t="str">
        <f>IFERROR((SUMIFS('Audit Raw data'!BZ:BZ,'Audit Raw data'!J:J,B:B,'Audit Raw data'!E:E,G:G)/H3178)/100,"-")</f>
        <v>-</v>
      </c>
      <c r="J3178">
        <f>COUNTIFS('Audit Raw data'!AM:AM,"Yes",'Audit Raw data'!J:J,B:B,'Audit Raw data'!E:E,'Day wise agent'!G:G)</f>
        <v>0</v>
      </c>
      <c r="K3178">
        <f>COUNTIFS('Audit Raw data'!AM:AM,"NO",'Audit Raw data'!J:J,B:B,'Audit Raw data'!E:E,'Day wise agent'!G:G)</f>
        <v>0</v>
      </c>
      <c r="L3178" s="12" t="str">
        <f t="shared" si="70"/>
        <v xml:space="preserve"> </v>
      </c>
    </row>
    <row r="3179" spans="4:12" x14ac:dyDescent="0.35">
      <c r="D3179" s="32"/>
      <c r="G3179" s="32"/>
      <c r="H3179">
        <f>COUNTIFS('Audit Raw data'!J:J,B:B,'Audit Raw data'!E:E,G:G)</f>
        <v>0</v>
      </c>
      <c r="I3179" s="44" t="str">
        <f>IFERROR((SUMIFS('Audit Raw data'!BZ:BZ,'Audit Raw data'!J:J,B:B,'Audit Raw data'!E:E,G:G)/H3179)/100,"-")</f>
        <v>-</v>
      </c>
      <c r="J3179">
        <f>COUNTIFS('Audit Raw data'!AM:AM,"Yes",'Audit Raw data'!J:J,B:B,'Audit Raw data'!E:E,'Day wise agent'!G:G)</f>
        <v>0</v>
      </c>
      <c r="K3179">
        <f>COUNTIFS('Audit Raw data'!AM:AM,"NO",'Audit Raw data'!J:J,B:B,'Audit Raw data'!E:E,'Day wise agent'!G:G)</f>
        <v>0</v>
      </c>
      <c r="L3179" s="12" t="str">
        <f t="shared" si="70"/>
        <v xml:space="preserve"> </v>
      </c>
    </row>
    <row r="3180" spans="4:12" x14ac:dyDescent="0.35">
      <c r="D3180" s="32"/>
      <c r="G3180" s="32"/>
      <c r="H3180">
        <f>COUNTIFS('Audit Raw data'!J:J,B:B,'Audit Raw data'!E:E,G:G)</f>
        <v>0</v>
      </c>
      <c r="I3180" s="44" t="str">
        <f>IFERROR((SUMIFS('Audit Raw data'!BZ:BZ,'Audit Raw data'!J:J,B:B,'Audit Raw data'!E:E,G:G)/H3180)/100,"-")</f>
        <v>-</v>
      </c>
      <c r="J3180">
        <f>COUNTIFS('Audit Raw data'!AM:AM,"Yes",'Audit Raw data'!J:J,B:B,'Audit Raw data'!E:E,'Day wise agent'!G:G)</f>
        <v>0</v>
      </c>
      <c r="K3180">
        <f>COUNTIFS('Audit Raw data'!AM:AM,"NO",'Audit Raw data'!J:J,B:B,'Audit Raw data'!E:E,'Day wise agent'!G:G)</f>
        <v>0</v>
      </c>
      <c r="L3180" s="12" t="str">
        <f t="shared" si="70"/>
        <v xml:space="preserve"> </v>
      </c>
    </row>
    <row r="3181" spans="4:12" x14ac:dyDescent="0.35">
      <c r="D3181" s="32"/>
      <c r="G3181" s="32"/>
      <c r="H3181">
        <f>COUNTIFS('Audit Raw data'!J:J,B:B,'Audit Raw data'!E:E,G:G)</f>
        <v>0</v>
      </c>
      <c r="I3181" s="44" t="str">
        <f>IFERROR((SUMIFS('Audit Raw data'!BZ:BZ,'Audit Raw data'!J:J,B:B,'Audit Raw data'!E:E,G:G)/H3181)/100,"-")</f>
        <v>-</v>
      </c>
      <c r="J3181">
        <f>COUNTIFS('Audit Raw data'!AM:AM,"Yes",'Audit Raw data'!J:J,B:B,'Audit Raw data'!E:E,'Day wise agent'!G:G)</f>
        <v>0</v>
      </c>
      <c r="K3181">
        <f>COUNTIFS('Audit Raw data'!AM:AM,"NO",'Audit Raw data'!J:J,B:B,'Audit Raw data'!E:E,'Day wise agent'!G:G)</f>
        <v>0</v>
      </c>
      <c r="L3181" s="12" t="str">
        <f t="shared" si="70"/>
        <v xml:space="preserve"> </v>
      </c>
    </row>
    <row r="3182" spans="4:12" x14ac:dyDescent="0.35">
      <c r="D3182" s="32"/>
      <c r="G3182" s="32"/>
      <c r="H3182">
        <f>COUNTIFS('Audit Raw data'!J:J,B:B,'Audit Raw data'!E:E,G:G)</f>
        <v>0</v>
      </c>
      <c r="I3182" s="44" t="str">
        <f>IFERROR((SUMIFS('Audit Raw data'!BZ:BZ,'Audit Raw data'!J:J,B:B,'Audit Raw data'!E:E,G:G)/H3182)/100,"-")</f>
        <v>-</v>
      </c>
      <c r="J3182">
        <f>COUNTIFS('Audit Raw data'!AM:AM,"Yes",'Audit Raw data'!J:J,B:B,'Audit Raw data'!E:E,'Day wise agent'!G:G)</f>
        <v>0</v>
      </c>
      <c r="K3182">
        <f>COUNTIFS('Audit Raw data'!AM:AM,"NO",'Audit Raw data'!J:J,B:B,'Audit Raw data'!E:E,'Day wise agent'!G:G)</f>
        <v>0</v>
      </c>
      <c r="L3182" s="12" t="str">
        <f t="shared" si="70"/>
        <v xml:space="preserve"> </v>
      </c>
    </row>
    <row r="3183" spans="4:12" x14ac:dyDescent="0.35">
      <c r="D3183" s="32"/>
      <c r="G3183" s="32"/>
      <c r="H3183">
        <f>COUNTIFS('Audit Raw data'!J:J,B:B,'Audit Raw data'!E:E,G:G)</f>
        <v>0</v>
      </c>
      <c r="I3183" s="44" t="str">
        <f>IFERROR((SUMIFS('Audit Raw data'!BZ:BZ,'Audit Raw data'!J:J,B:B,'Audit Raw data'!E:E,G:G)/H3183)/100,"-")</f>
        <v>-</v>
      </c>
      <c r="J3183">
        <f>COUNTIFS('Audit Raw data'!AM:AM,"Yes",'Audit Raw data'!J:J,B:B,'Audit Raw data'!E:E,'Day wise agent'!G:G)</f>
        <v>0</v>
      </c>
      <c r="K3183">
        <f>COUNTIFS('Audit Raw data'!AM:AM,"NO",'Audit Raw data'!J:J,B:B,'Audit Raw data'!E:E,'Day wise agent'!G:G)</f>
        <v>0</v>
      </c>
      <c r="L3183" s="12" t="str">
        <f t="shared" si="70"/>
        <v xml:space="preserve"> </v>
      </c>
    </row>
    <row r="3184" spans="4:12" x14ac:dyDescent="0.35">
      <c r="D3184" s="32"/>
      <c r="G3184" s="32"/>
      <c r="H3184">
        <f>COUNTIFS('Audit Raw data'!J:J,B:B,'Audit Raw data'!E:E,G:G)</f>
        <v>0</v>
      </c>
      <c r="I3184" s="44" t="str">
        <f>IFERROR((SUMIFS('Audit Raw data'!BZ:BZ,'Audit Raw data'!J:J,B:B,'Audit Raw data'!E:E,G:G)/H3184)/100,"-")</f>
        <v>-</v>
      </c>
      <c r="J3184">
        <f>COUNTIFS('Audit Raw data'!AM:AM,"Yes",'Audit Raw data'!J:J,B:B,'Audit Raw data'!E:E,'Day wise agent'!G:G)</f>
        <v>0</v>
      </c>
      <c r="K3184">
        <f>COUNTIFS('Audit Raw data'!AM:AM,"NO",'Audit Raw data'!J:J,B:B,'Audit Raw data'!E:E,'Day wise agent'!G:G)</f>
        <v>0</v>
      </c>
      <c r="L3184" s="12" t="str">
        <f t="shared" si="70"/>
        <v xml:space="preserve"> </v>
      </c>
    </row>
    <row r="3185" spans="4:12" x14ac:dyDescent="0.35">
      <c r="D3185" s="32"/>
      <c r="G3185" s="32"/>
      <c r="H3185">
        <f>COUNTIFS('Audit Raw data'!J:J,B:B,'Audit Raw data'!E:E,G:G)</f>
        <v>0</v>
      </c>
      <c r="I3185" s="44" t="str">
        <f>IFERROR((SUMIFS('Audit Raw data'!BZ:BZ,'Audit Raw data'!J:J,B:B,'Audit Raw data'!E:E,G:G)/H3185)/100,"-")</f>
        <v>-</v>
      </c>
      <c r="J3185">
        <f>COUNTIFS('Audit Raw data'!AM:AM,"Yes",'Audit Raw data'!J:J,B:B,'Audit Raw data'!E:E,'Day wise agent'!G:G)</f>
        <v>0</v>
      </c>
      <c r="K3185">
        <f>COUNTIFS('Audit Raw data'!AM:AM,"NO",'Audit Raw data'!J:J,B:B,'Audit Raw data'!E:E,'Day wise agent'!G:G)</f>
        <v>0</v>
      </c>
      <c r="L3185" s="12" t="str">
        <f t="shared" si="70"/>
        <v xml:space="preserve"> </v>
      </c>
    </row>
    <row r="3186" spans="4:12" x14ac:dyDescent="0.35">
      <c r="D3186" s="32"/>
      <c r="G3186" s="32"/>
      <c r="H3186">
        <f>COUNTIFS('Audit Raw data'!J:J,B:B,'Audit Raw data'!E:E,G:G)</f>
        <v>0</v>
      </c>
      <c r="I3186" s="44" t="str">
        <f>IFERROR((SUMIFS('Audit Raw data'!BZ:BZ,'Audit Raw data'!J:J,B:B,'Audit Raw data'!E:E,G:G)/H3186)/100,"-")</f>
        <v>-</v>
      </c>
      <c r="J3186">
        <f>COUNTIFS('Audit Raw data'!AM:AM,"Yes",'Audit Raw data'!J:J,B:B,'Audit Raw data'!E:E,'Day wise agent'!G:G)</f>
        <v>0</v>
      </c>
      <c r="K3186">
        <f>COUNTIFS('Audit Raw data'!AM:AM,"NO",'Audit Raw data'!J:J,B:B,'Audit Raw data'!E:E,'Day wise agent'!G:G)</f>
        <v>0</v>
      </c>
      <c r="L3186" s="12" t="str">
        <f t="shared" si="70"/>
        <v xml:space="preserve"> </v>
      </c>
    </row>
    <row r="3187" spans="4:12" x14ac:dyDescent="0.35">
      <c r="D3187" s="32"/>
      <c r="G3187" s="32"/>
      <c r="H3187">
        <f>COUNTIFS('Audit Raw data'!J:J,B:B,'Audit Raw data'!E:E,G:G)</f>
        <v>0</v>
      </c>
      <c r="I3187" s="44" t="str">
        <f>IFERROR((SUMIFS('Audit Raw data'!BZ:BZ,'Audit Raw data'!J:J,B:B,'Audit Raw data'!E:E,G:G)/H3187)/100,"-")</f>
        <v>-</v>
      </c>
      <c r="J3187">
        <f>COUNTIFS('Audit Raw data'!AM:AM,"Yes",'Audit Raw data'!J:J,B:B,'Audit Raw data'!E:E,'Day wise agent'!G:G)</f>
        <v>0</v>
      </c>
      <c r="K3187">
        <f>COUNTIFS('Audit Raw data'!AM:AM,"NO",'Audit Raw data'!J:J,B:B,'Audit Raw data'!E:E,'Day wise agent'!G:G)</f>
        <v>0</v>
      </c>
      <c r="L3187" s="12" t="str">
        <f t="shared" si="70"/>
        <v xml:space="preserve"> </v>
      </c>
    </row>
    <row r="3188" spans="4:12" x14ac:dyDescent="0.35">
      <c r="D3188" s="32"/>
      <c r="G3188" s="32"/>
      <c r="H3188">
        <f>COUNTIFS('Audit Raw data'!J:J,B:B,'Audit Raw data'!E:E,G:G)</f>
        <v>0</v>
      </c>
      <c r="I3188" s="44" t="str">
        <f>IFERROR((SUMIFS('Audit Raw data'!BZ:BZ,'Audit Raw data'!J:J,B:B,'Audit Raw data'!E:E,G:G)/H3188)/100,"-")</f>
        <v>-</v>
      </c>
      <c r="J3188">
        <f>COUNTIFS('Audit Raw data'!AM:AM,"Yes",'Audit Raw data'!J:J,B:B,'Audit Raw data'!E:E,'Day wise agent'!G:G)</f>
        <v>0</v>
      </c>
      <c r="K3188">
        <f>COUNTIFS('Audit Raw data'!AM:AM,"NO",'Audit Raw data'!J:J,B:B,'Audit Raw data'!E:E,'Day wise agent'!G:G)</f>
        <v>0</v>
      </c>
      <c r="L3188" s="12" t="str">
        <f t="shared" si="70"/>
        <v xml:space="preserve"> </v>
      </c>
    </row>
    <row r="3189" spans="4:12" x14ac:dyDescent="0.35">
      <c r="D3189" s="32"/>
      <c r="G3189" s="32"/>
      <c r="H3189">
        <f>COUNTIFS('Audit Raw data'!J:J,B:B,'Audit Raw data'!E:E,G:G)</f>
        <v>0</v>
      </c>
      <c r="I3189" s="44" t="str">
        <f>IFERROR((SUMIFS('Audit Raw data'!BZ:BZ,'Audit Raw data'!J:J,B:B,'Audit Raw data'!E:E,G:G)/H3189)/100,"-")</f>
        <v>-</v>
      </c>
      <c r="J3189">
        <f>COUNTIFS('Audit Raw data'!AM:AM,"Yes",'Audit Raw data'!J:J,B:B,'Audit Raw data'!E:E,'Day wise agent'!G:G)</f>
        <v>0</v>
      </c>
      <c r="K3189">
        <f>COUNTIFS('Audit Raw data'!AM:AM,"NO",'Audit Raw data'!J:J,B:B,'Audit Raw data'!E:E,'Day wise agent'!G:G)</f>
        <v>0</v>
      </c>
      <c r="L3189" s="12" t="str">
        <f t="shared" si="70"/>
        <v xml:space="preserve"> </v>
      </c>
    </row>
    <row r="3190" spans="4:12" x14ac:dyDescent="0.35">
      <c r="D3190" s="32"/>
      <c r="G3190" s="32"/>
      <c r="H3190">
        <f>COUNTIFS('Audit Raw data'!J:J,B:B,'Audit Raw data'!E:E,G:G)</f>
        <v>0</v>
      </c>
      <c r="I3190" s="44" t="str">
        <f>IFERROR((SUMIFS('Audit Raw data'!BZ:BZ,'Audit Raw data'!J:J,B:B,'Audit Raw data'!E:E,G:G)/H3190)/100,"-")</f>
        <v>-</v>
      </c>
      <c r="J3190">
        <f>COUNTIFS('Audit Raw data'!AM:AM,"Yes",'Audit Raw data'!J:J,B:B,'Audit Raw data'!E:E,'Day wise agent'!G:G)</f>
        <v>0</v>
      </c>
      <c r="K3190">
        <f>COUNTIFS('Audit Raw data'!AM:AM,"NO",'Audit Raw data'!J:J,B:B,'Audit Raw data'!E:E,'Day wise agent'!G:G)</f>
        <v>0</v>
      </c>
      <c r="L3190" s="12" t="str">
        <f t="shared" si="70"/>
        <v xml:space="preserve"> </v>
      </c>
    </row>
    <row r="3191" spans="4:12" x14ac:dyDescent="0.35">
      <c r="D3191" s="32"/>
      <c r="G3191" s="32"/>
      <c r="H3191">
        <f>COUNTIFS('Audit Raw data'!J:J,B:B,'Audit Raw data'!E:E,G:G)</f>
        <v>0</v>
      </c>
      <c r="I3191" s="44" t="str">
        <f>IFERROR((SUMIFS('Audit Raw data'!BZ:BZ,'Audit Raw data'!J:J,B:B,'Audit Raw data'!E:E,G:G)/H3191)/100,"-")</f>
        <v>-</v>
      </c>
      <c r="J3191">
        <f>COUNTIFS('Audit Raw data'!AM:AM,"Yes",'Audit Raw data'!J:J,B:B,'Audit Raw data'!E:E,'Day wise agent'!G:G)</f>
        <v>0</v>
      </c>
      <c r="K3191">
        <f>COUNTIFS('Audit Raw data'!AM:AM,"NO",'Audit Raw data'!J:J,B:B,'Audit Raw data'!E:E,'Day wise agent'!G:G)</f>
        <v>0</v>
      </c>
      <c r="L3191" s="12" t="str">
        <f t="shared" si="70"/>
        <v xml:space="preserve"> </v>
      </c>
    </row>
    <row r="3192" spans="4:12" x14ac:dyDescent="0.35">
      <c r="D3192" s="32"/>
      <c r="G3192" s="32"/>
      <c r="H3192">
        <f>COUNTIFS('Audit Raw data'!J:J,B:B,'Audit Raw data'!E:E,G:G)</f>
        <v>0</v>
      </c>
      <c r="I3192" s="44" t="str">
        <f>IFERROR((SUMIFS('Audit Raw data'!BZ:BZ,'Audit Raw data'!J:J,B:B,'Audit Raw data'!E:E,G:G)/H3192)/100,"-")</f>
        <v>-</v>
      </c>
      <c r="J3192">
        <f>COUNTIFS('Audit Raw data'!AM:AM,"Yes",'Audit Raw data'!J:J,B:B,'Audit Raw data'!E:E,'Day wise agent'!G:G)</f>
        <v>0</v>
      </c>
      <c r="K3192">
        <f>COUNTIFS('Audit Raw data'!AM:AM,"NO",'Audit Raw data'!J:J,B:B,'Audit Raw data'!E:E,'Day wise agent'!G:G)</f>
        <v>0</v>
      </c>
      <c r="L3192" s="12" t="str">
        <f t="shared" si="70"/>
        <v xml:space="preserve"> </v>
      </c>
    </row>
    <row r="3193" spans="4:12" x14ac:dyDescent="0.35">
      <c r="D3193" s="32"/>
      <c r="G3193" s="32"/>
      <c r="H3193">
        <f>COUNTIFS('Audit Raw data'!J:J,B:B,'Audit Raw data'!E:E,G:G)</f>
        <v>0</v>
      </c>
      <c r="I3193" s="44" t="str">
        <f>IFERROR((SUMIFS('Audit Raw data'!BZ:BZ,'Audit Raw data'!J:J,B:B,'Audit Raw data'!E:E,G:G)/H3193)/100,"-")</f>
        <v>-</v>
      </c>
      <c r="J3193">
        <f>COUNTIFS('Audit Raw data'!AM:AM,"Yes",'Audit Raw data'!J:J,B:B,'Audit Raw data'!E:E,'Day wise agent'!G:G)</f>
        <v>0</v>
      </c>
      <c r="K3193">
        <f>COUNTIFS('Audit Raw data'!AM:AM,"NO",'Audit Raw data'!J:J,B:B,'Audit Raw data'!E:E,'Day wise agent'!G:G)</f>
        <v>0</v>
      </c>
      <c r="L3193" s="12" t="str">
        <f t="shared" si="70"/>
        <v xml:space="preserve"> </v>
      </c>
    </row>
    <row r="3194" spans="4:12" x14ac:dyDescent="0.35">
      <c r="D3194" s="32"/>
      <c r="G3194" s="32"/>
      <c r="H3194">
        <f>COUNTIFS('Audit Raw data'!J:J,B:B,'Audit Raw data'!E:E,G:G)</f>
        <v>0</v>
      </c>
      <c r="I3194" s="44" t="str">
        <f>IFERROR((SUMIFS('Audit Raw data'!BZ:BZ,'Audit Raw data'!J:J,B:B,'Audit Raw data'!E:E,G:G)/H3194)/100,"-")</f>
        <v>-</v>
      </c>
      <c r="J3194">
        <f>COUNTIFS('Audit Raw data'!AM:AM,"Yes",'Audit Raw data'!J:J,B:B,'Audit Raw data'!E:E,'Day wise agent'!G:G)</f>
        <v>0</v>
      </c>
      <c r="K3194">
        <f>COUNTIFS('Audit Raw data'!AM:AM,"NO",'Audit Raw data'!J:J,B:B,'Audit Raw data'!E:E,'Day wise agent'!G:G)</f>
        <v>0</v>
      </c>
      <c r="L3194" s="12" t="str">
        <f t="shared" si="70"/>
        <v xml:space="preserve"> </v>
      </c>
    </row>
    <row r="3195" spans="4:12" x14ac:dyDescent="0.35">
      <c r="D3195" s="32"/>
      <c r="G3195" s="32"/>
      <c r="H3195">
        <f>COUNTIFS('Audit Raw data'!J:J,B:B,'Audit Raw data'!E:E,G:G)</f>
        <v>0</v>
      </c>
      <c r="I3195" s="44" t="str">
        <f>IFERROR((SUMIFS('Audit Raw data'!BZ:BZ,'Audit Raw data'!J:J,B:B,'Audit Raw data'!E:E,G:G)/H3195)/100,"-")</f>
        <v>-</v>
      </c>
      <c r="J3195">
        <f>COUNTIFS('Audit Raw data'!AM:AM,"Yes",'Audit Raw data'!J:J,B:B,'Audit Raw data'!E:E,'Day wise agent'!G:G)</f>
        <v>0</v>
      </c>
      <c r="K3195">
        <f>COUNTIFS('Audit Raw data'!AM:AM,"NO",'Audit Raw data'!J:J,B:B,'Audit Raw data'!E:E,'Day wise agent'!G:G)</f>
        <v>0</v>
      </c>
      <c r="L3195" s="12" t="str">
        <f t="shared" si="70"/>
        <v xml:space="preserve"> </v>
      </c>
    </row>
    <row r="3196" spans="4:12" x14ac:dyDescent="0.35">
      <c r="D3196" s="32"/>
      <c r="G3196" s="32"/>
      <c r="H3196">
        <f>COUNTIFS('Audit Raw data'!J:J,B:B,'Audit Raw data'!E:E,G:G)</f>
        <v>0</v>
      </c>
      <c r="I3196" s="44" t="str">
        <f>IFERROR((SUMIFS('Audit Raw data'!BZ:BZ,'Audit Raw data'!J:J,B:B,'Audit Raw data'!E:E,G:G)/H3196)/100,"-")</f>
        <v>-</v>
      </c>
      <c r="J3196">
        <f>COUNTIFS('Audit Raw data'!AM:AM,"Yes",'Audit Raw data'!J:J,B:B,'Audit Raw data'!E:E,'Day wise agent'!G:G)</f>
        <v>0</v>
      </c>
      <c r="K3196">
        <f>COUNTIFS('Audit Raw data'!AM:AM,"NO",'Audit Raw data'!J:J,B:B,'Audit Raw data'!E:E,'Day wise agent'!G:G)</f>
        <v>0</v>
      </c>
      <c r="L3196" s="12" t="str">
        <f t="shared" si="70"/>
        <v xml:space="preserve"> </v>
      </c>
    </row>
    <row r="3197" spans="4:12" x14ac:dyDescent="0.35">
      <c r="D3197" s="32"/>
      <c r="G3197" s="32"/>
      <c r="H3197">
        <f>COUNTIFS('Audit Raw data'!J:J,B:B,'Audit Raw data'!E:E,G:G)</f>
        <v>0</v>
      </c>
      <c r="I3197" s="44" t="str">
        <f>IFERROR((SUMIFS('Audit Raw data'!BZ:BZ,'Audit Raw data'!J:J,B:B,'Audit Raw data'!E:E,G:G)/H3197)/100,"-")</f>
        <v>-</v>
      </c>
      <c r="J3197">
        <f>COUNTIFS('Audit Raw data'!AM:AM,"Yes",'Audit Raw data'!J:J,B:B,'Audit Raw data'!E:E,'Day wise agent'!G:G)</f>
        <v>0</v>
      </c>
      <c r="K3197">
        <f>COUNTIFS('Audit Raw data'!AM:AM,"NO",'Audit Raw data'!J:J,B:B,'Audit Raw data'!E:E,'Day wise agent'!G:G)</f>
        <v>0</v>
      </c>
      <c r="L3197" s="12" t="str">
        <f t="shared" si="70"/>
        <v xml:space="preserve"> </v>
      </c>
    </row>
    <row r="3198" spans="4:12" x14ac:dyDescent="0.35">
      <c r="D3198" s="32"/>
      <c r="G3198" s="32"/>
      <c r="H3198">
        <f>COUNTIFS('Audit Raw data'!J:J,B:B,'Audit Raw data'!E:E,G:G)</f>
        <v>0</v>
      </c>
      <c r="I3198" s="44" t="str">
        <f>IFERROR((SUMIFS('Audit Raw data'!BZ:BZ,'Audit Raw data'!J:J,B:B,'Audit Raw data'!E:E,G:G)/H3198)/100,"-")</f>
        <v>-</v>
      </c>
      <c r="J3198">
        <f>COUNTIFS('Audit Raw data'!AM:AM,"Yes",'Audit Raw data'!J:J,B:B,'Audit Raw data'!E:E,'Day wise agent'!G:G)</f>
        <v>0</v>
      </c>
      <c r="K3198">
        <f>COUNTIFS('Audit Raw data'!AM:AM,"NO",'Audit Raw data'!J:J,B:B,'Audit Raw data'!E:E,'Day wise agent'!G:G)</f>
        <v>0</v>
      </c>
      <c r="L3198" s="12" t="str">
        <f t="shared" si="70"/>
        <v xml:space="preserve"> </v>
      </c>
    </row>
    <row r="3199" spans="4:12" x14ac:dyDescent="0.35">
      <c r="D3199" s="32"/>
      <c r="G3199" s="32"/>
      <c r="H3199">
        <f>COUNTIFS('Audit Raw data'!J:J,B:B,'Audit Raw data'!E:E,G:G)</f>
        <v>0</v>
      </c>
      <c r="I3199" s="44" t="str">
        <f>IFERROR((SUMIFS('Audit Raw data'!BZ:BZ,'Audit Raw data'!J:J,B:B,'Audit Raw data'!E:E,G:G)/H3199)/100,"-")</f>
        <v>-</v>
      </c>
      <c r="J3199">
        <f>COUNTIFS('Audit Raw data'!AM:AM,"Yes",'Audit Raw data'!J:J,B:B,'Audit Raw data'!E:E,'Day wise agent'!G:G)</f>
        <v>0</v>
      </c>
      <c r="K3199">
        <f>COUNTIFS('Audit Raw data'!AM:AM,"NO",'Audit Raw data'!J:J,B:B,'Audit Raw data'!E:E,'Day wise agent'!G:G)</f>
        <v>0</v>
      </c>
      <c r="L3199" s="12" t="str">
        <f t="shared" si="70"/>
        <v xml:space="preserve"> </v>
      </c>
    </row>
    <row r="3200" spans="4:12" x14ac:dyDescent="0.35">
      <c r="D3200" s="32"/>
      <c r="G3200" s="32"/>
      <c r="H3200">
        <f>COUNTIFS('Audit Raw data'!J:J,B:B,'Audit Raw data'!E:E,G:G)</f>
        <v>0</v>
      </c>
      <c r="I3200" s="44" t="str">
        <f>IFERROR((SUMIFS('Audit Raw data'!BZ:BZ,'Audit Raw data'!J:J,B:B,'Audit Raw data'!E:E,G:G)/H3200)/100,"-")</f>
        <v>-</v>
      </c>
      <c r="J3200">
        <f>COUNTIFS('Audit Raw data'!AM:AM,"Yes",'Audit Raw data'!J:J,B:B,'Audit Raw data'!E:E,'Day wise agent'!G:G)</f>
        <v>0</v>
      </c>
      <c r="K3200">
        <f>COUNTIFS('Audit Raw data'!AM:AM,"NO",'Audit Raw data'!J:J,B:B,'Audit Raw data'!E:E,'Day wise agent'!G:G)</f>
        <v>0</v>
      </c>
      <c r="L3200" s="12" t="str">
        <f t="shared" si="70"/>
        <v xml:space="preserve"> </v>
      </c>
    </row>
    <row r="3201" spans="4:12" x14ac:dyDescent="0.35">
      <c r="D3201" s="32"/>
      <c r="G3201" s="32"/>
      <c r="H3201">
        <f>COUNTIFS('Audit Raw data'!J:J,B:B,'Audit Raw data'!E:E,G:G)</f>
        <v>0</v>
      </c>
      <c r="I3201" s="44" t="str">
        <f>IFERROR((SUMIFS('Audit Raw data'!BZ:BZ,'Audit Raw data'!J:J,B:B,'Audit Raw data'!E:E,G:G)/H3201)/100,"-")</f>
        <v>-</v>
      </c>
      <c r="J3201">
        <f>COUNTIFS('Audit Raw data'!AM:AM,"Yes",'Audit Raw data'!J:J,B:B,'Audit Raw data'!E:E,'Day wise agent'!G:G)</f>
        <v>0</v>
      </c>
      <c r="K3201">
        <f>COUNTIFS('Audit Raw data'!AM:AM,"NO",'Audit Raw data'!J:J,B:B,'Audit Raw data'!E:E,'Day wise agent'!G:G)</f>
        <v>0</v>
      </c>
      <c r="L3201" s="12" t="str">
        <f t="shared" si="70"/>
        <v xml:space="preserve"> </v>
      </c>
    </row>
    <row r="3202" spans="4:12" x14ac:dyDescent="0.35">
      <c r="D3202" s="32"/>
      <c r="G3202" s="32"/>
      <c r="H3202">
        <f>COUNTIFS('Audit Raw data'!J:J,B:B,'Audit Raw data'!E:E,G:G)</f>
        <v>0</v>
      </c>
      <c r="I3202" s="44" t="str">
        <f>IFERROR((SUMIFS('Audit Raw data'!BZ:BZ,'Audit Raw data'!J:J,B:B,'Audit Raw data'!E:E,G:G)/H3202)/100,"-")</f>
        <v>-</v>
      </c>
      <c r="J3202">
        <f>COUNTIFS('Audit Raw data'!AM:AM,"Yes",'Audit Raw data'!J:J,B:B,'Audit Raw data'!E:E,'Day wise agent'!G:G)</f>
        <v>0</v>
      </c>
      <c r="K3202">
        <f>COUNTIFS('Audit Raw data'!AM:AM,"NO",'Audit Raw data'!J:J,B:B,'Audit Raw data'!E:E,'Day wise agent'!G:G)</f>
        <v>0</v>
      </c>
      <c r="L3202" s="12" t="str">
        <f t="shared" ref="L3202:L3214" si="71">IFERROR(J3202/H3202," ")</f>
        <v xml:space="preserve"> </v>
      </c>
    </row>
    <row r="3203" spans="4:12" x14ac:dyDescent="0.35">
      <c r="D3203" s="32"/>
      <c r="G3203" s="32"/>
      <c r="H3203">
        <f>COUNTIFS('Audit Raw data'!J:J,B:B,'Audit Raw data'!E:E,G:G)</f>
        <v>0</v>
      </c>
      <c r="I3203" s="44" t="str">
        <f>IFERROR((SUMIFS('Audit Raw data'!BZ:BZ,'Audit Raw data'!J:J,B:B,'Audit Raw data'!E:E,G:G)/H3203)/100,"-")</f>
        <v>-</v>
      </c>
      <c r="J3203">
        <f>COUNTIFS('Audit Raw data'!AM:AM,"Yes",'Audit Raw data'!J:J,B:B,'Audit Raw data'!E:E,'Day wise agent'!G:G)</f>
        <v>0</v>
      </c>
      <c r="K3203">
        <f>COUNTIFS('Audit Raw data'!AM:AM,"NO",'Audit Raw data'!J:J,B:B,'Audit Raw data'!E:E,'Day wise agent'!G:G)</f>
        <v>0</v>
      </c>
      <c r="L3203" s="12" t="str">
        <f t="shared" si="71"/>
        <v xml:space="preserve"> </v>
      </c>
    </row>
    <row r="3204" spans="4:12" x14ac:dyDescent="0.35">
      <c r="D3204" s="32"/>
      <c r="G3204" s="32"/>
      <c r="H3204">
        <f>COUNTIFS('Audit Raw data'!J:J,B:B,'Audit Raw data'!E:E,G:G)</f>
        <v>0</v>
      </c>
      <c r="I3204" s="44" t="str">
        <f>IFERROR((SUMIFS('Audit Raw data'!BZ:BZ,'Audit Raw data'!J:J,B:B,'Audit Raw data'!E:E,G:G)/H3204)/100,"-")</f>
        <v>-</v>
      </c>
      <c r="J3204">
        <f>COUNTIFS('Audit Raw data'!AM:AM,"Yes",'Audit Raw data'!J:J,B:B,'Audit Raw data'!E:E,'Day wise agent'!G:G)</f>
        <v>0</v>
      </c>
      <c r="K3204">
        <f>COUNTIFS('Audit Raw data'!AM:AM,"NO",'Audit Raw data'!J:J,B:B,'Audit Raw data'!E:E,'Day wise agent'!G:G)</f>
        <v>0</v>
      </c>
      <c r="L3204" s="12" t="str">
        <f t="shared" si="71"/>
        <v xml:space="preserve"> </v>
      </c>
    </row>
    <row r="3205" spans="4:12" x14ac:dyDescent="0.35">
      <c r="D3205" s="32"/>
      <c r="G3205" s="32"/>
      <c r="H3205">
        <f>COUNTIFS('Audit Raw data'!J:J,B:B,'Audit Raw data'!E:E,G:G)</f>
        <v>0</v>
      </c>
      <c r="I3205" s="44" t="str">
        <f>IFERROR((SUMIFS('Audit Raw data'!BZ:BZ,'Audit Raw data'!J:J,B:B,'Audit Raw data'!E:E,G:G)/H3205)/100,"-")</f>
        <v>-</v>
      </c>
      <c r="J3205">
        <f>COUNTIFS('Audit Raw data'!AM:AM,"Yes",'Audit Raw data'!J:J,B:B,'Audit Raw data'!E:E,'Day wise agent'!G:G)</f>
        <v>0</v>
      </c>
      <c r="K3205">
        <f>COUNTIFS('Audit Raw data'!AM:AM,"NO",'Audit Raw data'!J:J,B:B,'Audit Raw data'!E:E,'Day wise agent'!G:G)</f>
        <v>0</v>
      </c>
      <c r="L3205" s="12" t="str">
        <f t="shared" si="71"/>
        <v xml:space="preserve"> </v>
      </c>
    </row>
    <row r="3206" spans="4:12" x14ac:dyDescent="0.35">
      <c r="D3206" s="32"/>
      <c r="G3206" s="32"/>
      <c r="H3206">
        <f>COUNTIFS('Audit Raw data'!J:J,B:B,'Audit Raw data'!E:E,G:G)</f>
        <v>0</v>
      </c>
      <c r="I3206" s="44" t="str">
        <f>IFERROR((SUMIFS('Audit Raw data'!BZ:BZ,'Audit Raw data'!J:J,B:B,'Audit Raw data'!E:E,G:G)/H3206)/100,"-")</f>
        <v>-</v>
      </c>
      <c r="J3206">
        <f>COUNTIFS('Audit Raw data'!AM:AM,"Yes",'Audit Raw data'!J:J,B:B,'Audit Raw data'!E:E,'Day wise agent'!G:G)</f>
        <v>0</v>
      </c>
      <c r="K3206">
        <f>COUNTIFS('Audit Raw data'!AM:AM,"NO",'Audit Raw data'!J:J,B:B,'Audit Raw data'!E:E,'Day wise agent'!G:G)</f>
        <v>0</v>
      </c>
      <c r="L3206" s="12" t="str">
        <f t="shared" si="71"/>
        <v xml:space="preserve"> </v>
      </c>
    </row>
    <row r="3207" spans="4:12" x14ac:dyDescent="0.35">
      <c r="D3207" s="32"/>
      <c r="G3207" s="32"/>
      <c r="H3207">
        <f>COUNTIFS('Audit Raw data'!J:J,B:B,'Audit Raw data'!E:E,G:G)</f>
        <v>0</v>
      </c>
      <c r="I3207" s="44" t="str">
        <f>IFERROR((SUMIFS('Audit Raw data'!BZ:BZ,'Audit Raw data'!J:J,B:B,'Audit Raw data'!E:E,G:G)/H3207)/100,"-")</f>
        <v>-</v>
      </c>
      <c r="J3207">
        <f>COUNTIFS('Audit Raw data'!AM:AM,"Yes",'Audit Raw data'!J:J,B:B,'Audit Raw data'!E:E,'Day wise agent'!G:G)</f>
        <v>0</v>
      </c>
      <c r="K3207">
        <f>COUNTIFS('Audit Raw data'!AM:AM,"NO",'Audit Raw data'!J:J,B:B,'Audit Raw data'!E:E,'Day wise agent'!G:G)</f>
        <v>0</v>
      </c>
      <c r="L3207" s="12" t="str">
        <f t="shared" si="71"/>
        <v xml:space="preserve"> </v>
      </c>
    </row>
    <row r="3208" spans="4:12" x14ac:dyDescent="0.35">
      <c r="D3208" s="32"/>
      <c r="G3208" s="32"/>
      <c r="H3208">
        <f>COUNTIFS('Audit Raw data'!J:J,B:B,'Audit Raw data'!E:E,G:G)</f>
        <v>0</v>
      </c>
      <c r="I3208" s="44" t="str">
        <f>IFERROR((SUMIFS('Audit Raw data'!BZ:BZ,'Audit Raw data'!J:J,B:B,'Audit Raw data'!E:E,G:G)/H3208)/100,"-")</f>
        <v>-</v>
      </c>
      <c r="J3208">
        <f>COUNTIFS('Audit Raw data'!AM:AM,"Yes",'Audit Raw data'!J:J,B:B,'Audit Raw data'!E:E,'Day wise agent'!G:G)</f>
        <v>0</v>
      </c>
      <c r="K3208">
        <f>COUNTIFS('Audit Raw data'!AM:AM,"NO",'Audit Raw data'!J:J,B:B,'Audit Raw data'!E:E,'Day wise agent'!G:G)</f>
        <v>0</v>
      </c>
      <c r="L3208" s="12" t="str">
        <f t="shared" si="71"/>
        <v xml:space="preserve"> </v>
      </c>
    </row>
    <row r="3209" spans="4:12" x14ac:dyDescent="0.35">
      <c r="D3209" s="32"/>
      <c r="G3209" s="32"/>
      <c r="H3209">
        <f>COUNTIFS('Audit Raw data'!J:J,B:B,'Audit Raw data'!E:E,G:G)</f>
        <v>0</v>
      </c>
      <c r="I3209" s="44" t="str">
        <f>IFERROR((SUMIFS('Audit Raw data'!BZ:BZ,'Audit Raw data'!J:J,B:B,'Audit Raw data'!E:E,G:G)/H3209)/100,"-")</f>
        <v>-</v>
      </c>
      <c r="J3209">
        <f>COUNTIFS('Audit Raw data'!AM:AM,"Yes",'Audit Raw data'!J:J,B:B,'Audit Raw data'!E:E,'Day wise agent'!G:G)</f>
        <v>0</v>
      </c>
      <c r="K3209">
        <f>COUNTIFS('Audit Raw data'!AM:AM,"NO",'Audit Raw data'!J:J,B:B,'Audit Raw data'!E:E,'Day wise agent'!G:G)</f>
        <v>0</v>
      </c>
      <c r="L3209" s="12" t="str">
        <f t="shared" si="71"/>
        <v xml:space="preserve"> </v>
      </c>
    </row>
    <row r="3210" spans="4:12" x14ac:dyDescent="0.35">
      <c r="D3210" s="32"/>
      <c r="G3210" s="32"/>
      <c r="H3210">
        <f>COUNTIFS('Audit Raw data'!J:J,B:B,'Audit Raw data'!E:E,G:G)</f>
        <v>0</v>
      </c>
      <c r="I3210" s="44" t="str">
        <f>IFERROR((SUMIFS('Audit Raw data'!BZ:BZ,'Audit Raw data'!J:J,B:B,'Audit Raw data'!E:E,G:G)/H3210)/100,"-")</f>
        <v>-</v>
      </c>
      <c r="J3210">
        <f>COUNTIFS('Audit Raw data'!AM:AM,"Yes",'Audit Raw data'!J:J,B:B,'Audit Raw data'!E:E,'Day wise agent'!G:G)</f>
        <v>0</v>
      </c>
      <c r="K3210">
        <f>COUNTIFS('Audit Raw data'!AM:AM,"NO",'Audit Raw data'!J:J,B:B,'Audit Raw data'!E:E,'Day wise agent'!G:G)</f>
        <v>0</v>
      </c>
      <c r="L3210" s="12" t="str">
        <f t="shared" si="71"/>
        <v xml:space="preserve"> </v>
      </c>
    </row>
    <row r="3211" spans="4:12" x14ac:dyDescent="0.35">
      <c r="D3211" s="32"/>
      <c r="G3211" s="32"/>
      <c r="H3211">
        <f>COUNTIFS('Audit Raw data'!J:J,B:B,'Audit Raw data'!E:E,G:G)</f>
        <v>0</v>
      </c>
      <c r="I3211" s="44" t="str">
        <f>IFERROR((SUMIFS('Audit Raw data'!BZ:BZ,'Audit Raw data'!J:J,B:B,'Audit Raw data'!E:E,G:G)/H3211)/100,"-")</f>
        <v>-</v>
      </c>
      <c r="J3211">
        <f>COUNTIFS('Audit Raw data'!AM:AM,"Yes",'Audit Raw data'!J:J,B:B,'Audit Raw data'!E:E,'Day wise agent'!G:G)</f>
        <v>0</v>
      </c>
      <c r="K3211">
        <f>COUNTIFS('Audit Raw data'!AM:AM,"NO",'Audit Raw data'!J:J,B:B,'Audit Raw data'!E:E,'Day wise agent'!G:G)</f>
        <v>0</v>
      </c>
      <c r="L3211" s="12" t="str">
        <f t="shared" si="71"/>
        <v xml:space="preserve"> </v>
      </c>
    </row>
    <row r="3212" spans="4:12" x14ac:dyDescent="0.35">
      <c r="D3212" s="32"/>
      <c r="G3212" s="32"/>
      <c r="H3212">
        <f>COUNTIFS('Audit Raw data'!J:J,B:B,'Audit Raw data'!E:E,G:G)</f>
        <v>0</v>
      </c>
      <c r="I3212" s="44" t="str">
        <f>IFERROR((SUMIFS('Audit Raw data'!BZ:BZ,'Audit Raw data'!J:J,B:B,'Audit Raw data'!E:E,G:G)/H3212)/100,"-")</f>
        <v>-</v>
      </c>
      <c r="J3212">
        <f>COUNTIFS('Audit Raw data'!AM:AM,"Yes",'Audit Raw data'!J:J,B:B,'Audit Raw data'!E:E,'Day wise agent'!G:G)</f>
        <v>0</v>
      </c>
      <c r="K3212">
        <f>COUNTIFS('Audit Raw data'!AM:AM,"NO",'Audit Raw data'!J:J,B:B,'Audit Raw data'!E:E,'Day wise agent'!G:G)</f>
        <v>0</v>
      </c>
      <c r="L3212" s="12" t="str">
        <f t="shared" si="71"/>
        <v xml:space="preserve"> </v>
      </c>
    </row>
    <row r="3213" spans="4:12" x14ac:dyDescent="0.35">
      <c r="D3213" s="32"/>
      <c r="G3213" s="32"/>
      <c r="H3213">
        <f>COUNTIFS('Audit Raw data'!J:J,B:B,'Audit Raw data'!E:E,G:G)</f>
        <v>0</v>
      </c>
      <c r="I3213" s="44" t="str">
        <f>IFERROR((SUMIFS('Audit Raw data'!BZ:BZ,'Audit Raw data'!J:J,B:B,'Audit Raw data'!E:E,G:G)/H3213)/100,"-")</f>
        <v>-</v>
      </c>
      <c r="J3213">
        <f>COUNTIFS('Audit Raw data'!AM:AM,"Yes",'Audit Raw data'!J:J,B:B,'Audit Raw data'!E:E,'Day wise agent'!G:G)</f>
        <v>0</v>
      </c>
      <c r="K3213">
        <f>COUNTIFS('Audit Raw data'!AM:AM,"NO",'Audit Raw data'!J:J,B:B,'Audit Raw data'!E:E,'Day wise agent'!G:G)</f>
        <v>0</v>
      </c>
      <c r="L3213" s="12" t="str">
        <f t="shared" si="71"/>
        <v xml:space="preserve"> </v>
      </c>
    </row>
    <row r="3214" spans="4:12" x14ac:dyDescent="0.35">
      <c r="D3214" s="32"/>
      <c r="G3214" s="32"/>
      <c r="H3214">
        <f>COUNTIFS('Audit Raw data'!J:J,B:B,'Audit Raw data'!E:E,G:G)</f>
        <v>0</v>
      </c>
      <c r="I3214" s="44" t="str">
        <f>IFERROR((SUMIFS('Audit Raw data'!BZ:BZ,'Audit Raw data'!J:J,B:B,'Audit Raw data'!E:E,G:G)/H3214)/100,"-")</f>
        <v>-</v>
      </c>
      <c r="J3214">
        <f>COUNTIFS('Audit Raw data'!AM:AM,"Yes",'Audit Raw data'!J:J,B:B,'Audit Raw data'!E:E,'Day wise agent'!G:G)</f>
        <v>0</v>
      </c>
      <c r="K3214">
        <f>COUNTIFS('Audit Raw data'!AM:AM,"NO",'Audit Raw data'!J:J,B:B,'Audit Raw data'!E:E,'Day wise agent'!G:G)</f>
        <v>0</v>
      </c>
      <c r="L3214" s="12" t="str">
        <f t="shared" si="71"/>
        <v xml:space="preserve"> </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R24"/>
  <sheetViews>
    <sheetView workbookViewId="0">
      <selection activeCell="A6" sqref="A6:C8"/>
    </sheetView>
  </sheetViews>
  <sheetFormatPr defaultRowHeight="14.5" x14ac:dyDescent="0.35"/>
  <cols>
    <col min="1" max="1" width="9.08984375" bestFit="1" customWidth="1"/>
    <col min="3" max="3" width="9.81640625" bestFit="1" customWidth="1"/>
    <col min="8" max="8" width="1.7265625" customWidth="1"/>
    <col min="16" max="16" width="10.08984375" bestFit="1" customWidth="1"/>
    <col min="17" max="17" width="9.81640625" bestFit="1" customWidth="1"/>
    <col min="18" max="18" width="10.08984375" hidden="1" customWidth="1"/>
  </cols>
  <sheetData>
    <row r="1" spans="1:18" ht="15" customHeight="1" thickBot="1" x14ac:dyDescent="0.4">
      <c r="A1" s="45" t="str">
        <f>+"BSNL Quality-Wireless-Dashboard -"&amp;TEXT(Q1,"MMM-YYYY")</f>
        <v>BSNL Quality-Wireless-Dashboard -Oct-2025</v>
      </c>
      <c r="B1" s="46"/>
      <c r="C1" s="46"/>
      <c r="D1" s="46"/>
      <c r="E1" s="46"/>
      <c r="F1" s="46"/>
      <c r="G1" s="46"/>
      <c r="H1" s="46"/>
      <c r="I1" s="46"/>
      <c r="J1" s="46"/>
      <c r="K1" s="46"/>
      <c r="L1" s="46"/>
      <c r="M1" s="46"/>
      <c r="N1" s="46"/>
      <c r="O1" s="47"/>
      <c r="Q1" s="36">
        <v>45931</v>
      </c>
      <c r="R1" s="35">
        <f ca="1">TODAY()-1</f>
        <v>45951</v>
      </c>
    </row>
    <row r="2" spans="1:18" ht="15" customHeight="1" thickBot="1" x14ac:dyDescent="0.4">
      <c r="A2" s="48"/>
      <c r="B2" s="49"/>
      <c r="C2" s="49"/>
      <c r="D2" s="49"/>
      <c r="E2" s="49"/>
      <c r="F2" s="49"/>
      <c r="G2" s="49"/>
      <c r="H2" s="49"/>
      <c r="I2" s="49"/>
      <c r="J2" s="49"/>
      <c r="K2" s="49"/>
      <c r="L2" s="49"/>
      <c r="M2" s="49"/>
      <c r="N2" s="49"/>
      <c r="O2" s="50"/>
    </row>
    <row r="3" spans="1:18" ht="15" customHeight="1" thickBot="1" x14ac:dyDescent="0.4">
      <c r="A3" s="51"/>
      <c r="B3" s="52"/>
      <c r="C3" s="52"/>
      <c r="D3" s="52"/>
      <c r="E3" s="52"/>
      <c r="F3" s="52"/>
      <c r="G3" s="52"/>
      <c r="H3" s="52"/>
      <c r="I3" s="52"/>
      <c r="J3" s="52"/>
      <c r="K3" s="52"/>
      <c r="L3" s="52"/>
      <c r="M3" s="52"/>
      <c r="N3" s="52"/>
      <c r="O3" s="53"/>
      <c r="P3" s="2"/>
    </row>
    <row r="4" spans="1:18" ht="15" customHeight="1" thickBot="1" x14ac:dyDescent="0.4">
      <c r="A4" s="60"/>
      <c r="B4" s="58"/>
      <c r="C4" s="59"/>
      <c r="D4" s="60"/>
      <c r="E4" s="58"/>
      <c r="F4" s="58"/>
      <c r="G4" s="59"/>
      <c r="H4" s="71"/>
      <c r="I4" s="60"/>
      <c r="J4" s="58"/>
      <c r="K4" s="58"/>
      <c r="L4" s="59"/>
      <c r="M4" s="60"/>
      <c r="N4" s="58"/>
      <c r="O4" s="59"/>
    </row>
    <row r="5" spans="1:18" ht="15" customHeight="1" thickBot="1" x14ac:dyDescent="0.4">
      <c r="A5" s="57" t="s">
        <v>1579</v>
      </c>
      <c r="B5" s="58"/>
      <c r="C5" s="59"/>
      <c r="D5" s="57" t="s">
        <v>1580</v>
      </c>
      <c r="E5" s="58"/>
      <c r="F5" s="58"/>
      <c r="G5" s="59"/>
      <c r="H5" s="72"/>
      <c r="I5" s="57" t="s">
        <v>1581</v>
      </c>
      <c r="J5" s="58"/>
      <c r="K5" s="58"/>
      <c r="L5" s="59"/>
      <c r="M5" s="57" t="str">
        <f>+"FTD CQ Score -"&amp;TEXT(P3,"DD-MM")</f>
        <v>FTD CQ Score -00-01</v>
      </c>
      <c r="N5" s="58"/>
      <c r="O5" s="59"/>
    </row>
    <row r="6" spans="1:18" ht="15" customHeight="1" thickBot="1" x14ac:dyDescent="0.4">
      <c r="A6" s="75">
        <f>'DAY WISE'!B2</f>
        <v>1246</v>
      </c>
      <c r="B6" s="46"/>
      <c r="C6" s="47"/>
      <c r="D6" s="68">
        <f>'DAY WISE'!F2</f>
        <v>0.9799357945425361</v>
      </c>
      <c r="E6" s="49"/>
      <c r="F6" s="49"/>
      <c r="G6" s="50"/>
      <c r="H6" s="72"/>
      <c r="I6" s="74">
        <f>'DAY WISE'!C2</f>
        <v>91.0593900481541</v>
      </c>
      <c r="J6" s="46"/>
      <c r="K6" s="46"/>
      <c r="L6" s="47"/>
      <c r="M6" s="77">
        <f ca="1">VLOOKUP(R1,'DAY WISE'!A:F,3,0)</f>
        <v>92.615384615384613</v>
      </c>
      <c r="N6" s="46"/>
      <c r="O6" s="47"/>
    </row>
    <row r="7" spans="1:18" ht="15" customHeight="1" thickBot="1" x14ac:dyDescent="0.4">
      <c r="A7" s="48"/>
      <c r="B7" s="49"/>
      <c r="C7" s="50"/>
      <c r="D7" s="48"/>
      <c r="E7" s="49"/>
      <c r="F7" s="49"/>
      <c r="G7" s="50"/>
      <c r="H7" s="72"/>
      <c r="I7" s="48"/>
      <c r="J7" s="49"/>
      <c r="K7" s="49"/>
      <c r="L7" s="50"/>
      <c r="M7" s="48"/>
      <c r="N7" s="49"/>
      <c r="O7" s="50"/>
    </row>
    <row r="8" spans="1:18" ht="14.5" customHeight="1" x14ac:dyDescent="0.35">
      <c r="A8" s="51"/>
      <c r="B8" s="52"/>
      <c r="C8" s="53"/>
      <c r="D8" s="69"/>
      <c r="E8" s="66"/>
      <c r="F8" s="66"/>
      <c r="G8" s="70"/>
      <c r="H8" s="72"/>
      <c r="I8" s="69"/>
      <c r="J8" s="66"/>
      <c r="K8" s="66"/>
      <c r="L8" s="70"/>
      <c r="M8" s="51"/>
      <c r="N8" s="52"/>
      <c r="O8" s="53"/>
    </row>
    <row r="9" spans="1:18" x14ac:dyDescent="0.35">
      <c r="A9" s="54"/>
      <c r="B9" s="55"/>
      <c r="C9" s="55"/>
      <c r="D9" s="55"/>
      <c r="E9" s="56"/>
      <c r="F9" s="54"/>
      <c r="G9" s="61"/>
      <c r="H9" s="61"/>
      <c r="I9" s="61"/>
      <c r="J9" s="61"/>
      <c r="K9" s="61"/>
      <c r="L9" s="61"/>
      <c r="M9" s="61"/>
      <c r="N9" s="61"/>
      <c r="O9" s="62"/>
    </row>
    <row r="10" spans="1:18" x14ac:dyDescent="0.35">
      <c r="A10" s="19" t="s">
        <v>48</v>
      </c>
      <c r="B10" s="19" t="s">
        <v>1582</v>
      </c>
      <c r="C10" s="19" t="s">
        <v>1583</v>
      </c>
      <c r="D10" s="76" t="s">
        <v>1584</v>
      </c>
      <c r="E10" s="56"/>
      <c r="F10" s="63"/>
      <c r="G10" s="49"/>
      <c r="H10" s="49"/>
      <c r="I10" s="49"/>
      <c r="J10" s="49"/>
      <c r="K10" s="49"/>
      <c r="L10" s="49"/>
      <c r="M10" s="49"/>
      <c r="N10" s="49"/>
      <c r="O10" s="64"/>
    </row>
    <row r="11" spans="1:18" x14ac:dyDescent="0.35">
      <c r="A11" s="20" t="s">
        <v>1572</v>
      </c>
      <c r="B11" s="19">
        <f>COUNTIFS('Audit Raw data'!CA:CA,DASHBOARD!A11)</f>
        <v>32</v>
      </c>
      <c r="C11" s="21">
        <f>SUMIFS('Audit Raw data'!BZ:BZ,'Audit Raw data'!CA:CA,A11)/B11</f>
        <v>85.0625</v>
      </c>
      <c r="D11" s="19">
        <f ca="1">COUNTIFS('Audit Raw data'!CA:CA,A11,'Audit Raw data'!CB:CB,$R$1)</f>
        <v>0</v>
      </c>
      <c r="E11" s="21" t="str">
        <f ca="1">IFERROR(SUMIFS('Audit Raw data'!BZ:BZ,'Audit Raw data'!CA:CA,A11,'Audit Raw data'!CB:CB,$R$1)/D11,"")</f>
        <v/>
      </c>
      <c r="F11" s="63"/>
      <c r="G11" s="49"/>
      <c r="H11" s="49"/>
      <c r="I11" s="49"/>
      <c r="J11" s="49"/>
      <c r="K11" s="49"/>
      <c r="L11" s="49"/>
      <c r="M11" s="49"/>
      <c r="N11" s="49"/>
      <c r="O11" s="64"/>
    </row>
    <row r="12" spans="1:18" x14ac:dyDescent="0.35">
      <c r="A12" s="22" t="s">
        <v>1453</v>
      </c>
      <c r="B12" s="19">
        <f>COUNTIFS('Audit Raw data'!CA:CA,DASHBOARD!A12)</f>
        <v>236</v>
      </c>
      <c r="C12" s="21">
        <f>SUMIFS('Audit Raw data'!BZ:BZ,'Audit Raw data'!CA:CA,A12)/B12</f>
        <v>90.457627118644069</v>
      </c>
      <c r="D12" s="19">
        <f ca="1">COUNTIFS('Audit Raw data'!CA:CA,A12,'Audit Raw data'!CB:CB,$R$1)</f>
        <v>13</v>
      </c>
      <c r="E12" s="21">
        <f ca="1">IFERROR(SUMIFS('Audit Raw data'!BZ:BZ,'Audit Raw data'!CA:CA,A12,'Audit Raw data'!CB:CB,$R$1)/D12,"")</f>
        <v>91.538461538461533</v>
      </c>
      <c r="F12" s="63"/>
      <c r="G12" s="49"/>
      <c r="H12" s="49"/>
      <c r="I12" s="49"/>
      <c r="J12" s="49"/>
      <c r="K12" s="49"/>
      <c r="L12" s="49"/>
      <c r="M12" s="49"/>
      <c r="N12" s="49"/>
      <c r="O12" s="64"/>
    </row>
    <row r="13" spans="1:18" x14ac:dyDescent="0.35">
      <c r="A13" s="20" t="s">
        <v>107</v>
      </c>
      <c r="B13" s="19">
        <f>COUNTIFS('Audit Raw data'!CA:CA,DASHBOARD!A13)</f>
        <v>204</v>
      </c>
      <c r="C13" s="21">
        <f>SUMIFS('Audit Raw data'!BZ:BZ,'Audit Raw data'!CA:CA,A13)/B13</f>
        <v>90.450980392156865</v>
      </c>
      <c r="D13" s="19">
        <f ca="1">COUNTIFS('Audit Raw data'!CA:CA,A13,'Audit Raw data'!CB:CB,$R$1)</f>
        <v>12</v>
      </c>
      <c r="E13" s="21">
        <f ca="1">IFERROR(SUMIFS('Audit Raw data'!BZ:BZ,'Audit Raw data'!CA:CA,A13,'Audit Raw data'!CB:CB,$R$1)/D13,"")</f>
        <v>92</v>
      </c>
      <c r="F13" s="63"/>
      <c r="G13" s="49"/>
      <c r="H13" s="49"/>
      <c r="I13" s="49"/>
      <c r="J13" s="49"/>
      <c r="K13" s="49"/>
      <c r="L13" s="49"/>
      <c r="M13" s="49"/>
      <c r="N13" s="49"/>
      <c r="O13" s="64"/>
    </row>
    <row r="14" spans="1:18" x14ac:dyDescent="0.35">
      <c r="A14" s="23" t="s">
        <v>178</v>
      </c>
      <c r="B14" s="19">
        <f>COUNTIFS('Audit Raw data'!CA:CA,DASHBOARD!A14)</f>
        <v>181</v>
      </c>
      <c r="C14" s="21">
        <f>SUMIFS('Audit Raw data'!BZ:BZ,'Audit Raw data'!CA:CA,A14)/B14</f>
        <v>90.254143646408835</v>
      </c>
      <c r="D14" s="19">
        <f ca="1">COUNTIFS('Audit Raw data'!CA:CA,A14,'Audit Raw data'!CB:CB,$R$1)</f>
        <v>11</v>
      </c>
      <c r="E14" s="21">
        <f ca="1">IFERROR(SUMIFS('Audit Raw data'!BZ:BZ,'Audit Raw data'!CA:CA,A14,'Audit Raw data'!CB:CB,$R$1)/D14,"")</f>
        <v>93.818181818181813</v>
      </c>
      <c r="F14" s="63"/>
      <c r="G14" s="49"/>
      <c r="H14" s="49"/>
      <c r="I14" s="49"/>
      <c r="J14" s="49"/>
      <c r="K14" s="49"/>
      <c r="L14" s="49"/>
      <c r="M14" s="49"/>
      <c r="N14" s="49"/>
      <c r="O14" s="64"/>
    </row>
    <row r="15" spans="1:18" x14ac:dyDescent="0.35">
      <c r="A15" s="20" t="s">
        <v>1484</v>
      </c>
      <c r="B15" s="19">
        <f>COUNTIFS('Audit Raw data'!CA:CA,DASHBOARD!A15)</f>
        <v>215</v>
      </c>
      <c r="C15" s="21">
        <f>SUMIFS('Audit Raw data'!BZ:BZ,'Audit Raw data'!CA:CA,A15)/B15</f>
        <v>92.074418604651157</v>
      </c>
      <c r="D15" s="19">
        <f ca="1">COUNTIFS('Audit Raw data'!CA:CA,A15,'Audit Raw data'!CB:CB,$R$1)</f>
        <v>2</v>
      </c>
      <c r="E15" s="21">
        <f ca="1">IFERROR(SUMIFS('Audit Raw data'!BZ:BZ,'Audit Raw data'!CA:CA,A15,'Audit Raw data'!CB:CB,$R$1)/D15,"")</f>
        <v>94</v>
      </c>
      <c r="F15" s="63"/>
      <c r="G15" s="49"/>
      <c r="H15" s="49"/>
      <c r="I15" s="49"/>
      <c r="J15" s="49"/>
      <c r="K15" s="49"/>
      <c r="L15" s="49"/>
      <c r="M15" s="49"/>
      <c r="N15" s="49"/>
      <c r="O15" s="64"/>
    </row>
    <row r="16" spans="1:18" x14ac:dyDescent="0.35">
      <c r="A16" s="20" t="s">
        <v>221</v>
      </c>
      <c r="B16" s="19">
        <f>COUNTIFS('Audit Raw data'!CA:CA,DASHBOARD!A16)</f>
        <v>280</v>
      </c>
      <c r="C16" s="21">
        <f>SUMIFS('Audit Raw data'!BZ:BZ,'Audit Raw data'!CA:CA,A16)/B16</f>
        <v>93.807142857142864</v>
      </c>
      <c r="D16" s="19">
        <f ca="1">COUNTIFS('Audit Raw data'!CA:CA,A16,'Audit Raw data'!CB:CB,$R$1)</f>
        <v>27</v>
      </c>
      <c r="E16" s="21">
        <f ca="1">IFERROR(SUMIFS('Audit Raw data'!BZ:BZ,'Audit Raw data'!CA:CA,A16,'Audit Raw data'!CB:CB,$R$1)/D16,"")</f>
        <v>92.81481481481481</v>
      </c>
      <c r="F16" s="63"/>
      <c r="G16" s="49"/>
      <c r="H16" s="49"/>
      <c r="I16" s="49"/>
      <c r="J16" s="49"/>
      <c r="K16" s="49"/>
      <c r="L16" s="49"/>
      <c r="M16" s="49"/>
      <c r="N16" s="49"/>
      <c r="O16" s="64"/>
    </row>
    <row r="17" spans="1:15" x14ac:dyDescent="0.35">
      <c r="A17" s="24" t="s">
        <v>1585</v>
      </c>
      <c r="B17" s="25">
        <f>SUM(B11:B16)</f>
        <v>1148</v>
      </c>
      <c r="C17" s="26">
        <f>I6</f>
        <v>91.0593900481541</v>
      </c>
      <c r="D17" s="19">
        <f ca="1">SUM(D11:D16)</f>
        <v>65</v>
      </c>
      <c r="E17" s="21">
        <f ca="1">SUMIFS('Audit Raw data'!BZ:BZ,'Audit Raw data'!CB:CB,$R$1)/D17</f>
        <v>92.615384615384613</v>
      </c>
      <c r="F17" s="63"/>
      <c r="G17" s="49"/>
      <c r="H17" s="49"/>
      <c r="I17" s="49"/>
      <c r="J17" s="49"/>
      <c r="K17" s="49"/>
      <c r="L17" s="49"/>
      <c r="M17" s="49"/>
      <c r="N17" s="49"/>
      <c r="O17" s="64"/>
    </row>
    <row r="18" spans="1:15" x14ac:dyDescent="0.35">
      <c r="A18" s="27" t="s">
        <v>49</v>
      </c>
      <c r="B18" s="27" t="s">
        <v>1582</v>
      </c>
      <c r="C18" s="27" t="s">
        <v>1584</v>
      </c>
      <c r="D18" s="73" t="s">
        <v>1586</v>
      </c>
      <c r="E18" s="56"/>
      <c r="F18" s="63"/>
      <c r="G18" s="49"/>
      <c r="H18" s="49"/>
      <c r="I18" s="49"/>
      <c r="J18" s="49"/>
      <c r="K18" s="49"/>
      <c r="L18" s="49"/>
      <c r="M18" s="49"/>
      <c r="N18" s="49"/>
      <c r="O18" s="64"/>
    </row>
    <row r="19" spans="1:15" x14ac:dyDescent="0.35">
      <c r="A19" s="28">
        <f ca="1">TODAY()-1</f>
        <v>45951</v>
      </c>
      <c r="B19" s="29">
        <f ca="1">IFERROR(VLOOKUP(A19,'DAY WISE'!A:F,2,0),"")</f>
        <v>65</v>
      </c>
      <c r="C19" s="30">
        <f ca="1">IFERROR(VLOOKUP(A19,'DAY WISE'!A:F,3,0),"")</f>
        <v>92.615384615384613</v>
      </c>
      <c r="D19" s="54">
        <f ca="1">COUNTIFS('Audit Raw data'!BZ:BZ,"&lt;85",'Audit Raw data'!CB:CB,A19)</f>
        <v>2</v>
      </c>
      <c r="E19" s="56"/>
      <c r="F19" s="63"/>
      <c r="G19" s="49"/>
      <c r="H19" s="49"/>
      <c r="I19" s="49"/>
      <c r="J19" s="49"/>
      <c r="K19" s="49"/>
      <c r="L19" s="49"/>
      <c r="M19" s="49"/>
      <c r="N19" s="49"/>
      <c r="O19" s="64"/>
    </row>
    <row r="20" spans="1:15" x14ac:dyDescent="0.35">
      <c r="A20" s="28">
        <f ca="1">A19-1</f>
        <v>45950</v>
      </c>
      <c r="B20" s="29">
        <f ca="1">IFERROR(VLOOKUP(A20,'DAY WISE'!A:F,2,0),"")</f>
        <v>47</v>
      </c>
      <c r="C20" s="30">
        <f ca="1">IFERROR(VLOOKUP(A20,'DAY WISE'!A:F,3,0),"")</f>
        <v>89.276595744680847</v>
      </c>
      <c r="D20" s="54">
        <f ca="1">COUNTIFS('Audit Raw data'!BZ:BZ,"&lt;85",'Audit Raw data'!CB:CB,A20)</f>
        <v>12</v>
      </c>
      <c r="E20" s="56"/>
      <c r="F20" s="63"/>
      <c r="G20" s="49"/>
      <c r="H20" s="49"/>
      <c r="I20" s="49"/>
      <c r="J20" s="49"/>
      <c r="K20" s="49"/>
      <c r="L20" s="49"/>
      <c r="M20" s="49"/>
      <c r="N20" s="49"/>
      <c r="O20" s="64"/>
    </row>
    <row r="21" spans="1:15" x14ac:dyDescent="0.35">
      <c r="A21" s="28">
        <f ca="1">A20-1</f>
        <v>45949</v>
      </c>
      <c r="B21" s="29">
        <f ca="1">IFERROR(VLOOKUP(A21,'DAY WISE'!A:F,2,0),"")</f>
        <v>43</v>
      </c>
      <c r="C21" s="30">
        <f ca="1">IFERROR(VLOOKUP(A21,'DAY WISE'!A:F,3,0),"")</f>
        <v>91.534883720930239</v>
      </c>
      <c r="D21" s="54">
        <f ca="1">COUNTIFS('Audit Raw data'!BZ:BZ,"&lt;85",'Audit Raw data'!CB:CB,A21)</f>
        <v>7</v>
      </c>
      <c r="E21" s="56"/>
      <c r="F21" s="63"/>
      <c r="G21" s="49"/>
      <c r="H21" s="49"/>
      <c r="I21" s="49"/>
      <c r="J21" s="49"/>
      <c r="K21" s="49"/>
      <c r="L21" s="49"/>
      <c r="M21" s="49"/>
      <c r="N21" s="49"/>
      <c r="O21" s="64"/>
    </row>
    <row r="22" spans="1:15" x14ac:dyDescent="0.35">
      <c r="A22" s="28">
        <f ca="1">A21-1</f>
        <v>45948</v>
      </c>
      <c r="B22" s="29">
        <f ca="1">IFERROR(VLOOKUP(A22,'DAY WISE'!A:F,2,0),"")</f>
        <v>71</v>
      </c>
      <c r="C22" s="30">
        <f ca="1">IFERROR(VLOOKUP(A22,'DAY WISE'!A:F,3,0),"")</f>
        <v>83.042253521126767</v>
      </c>
      <c r="D22" s="54">
        <f ca="1">COUNTIFS('Audit Raw data'!BZ:BZ,"&lt;85",'Audit Raw data'!CB:CB,A22)</f>
        <v>32</v>
      </c>
      <c r="E22" s="56"/>
      <c r="F22" s="63"/>
      <c r="G22" s="49"/>
      <c r="H22" s="49"/>
      <c r="I22" s="49"/>
      <c r="J22" s="49"/>
      <c r="K22" s="49"/>
      <c r="L22" s="49"/>
      <c r="M22" s="49"/>
      <c r="N22" s="49"/>
      <c r="O22" s="64"/>
    </row>
    <row r="23" spans="1:15" x14ac:dyDescent="0.35">
      <c r="A23" s="28">
        <f ca="1">A22-1</f>
        <v>45947</v>
      </c>
      <c r="B23" s="29">
        <f ca="1">IFERROR(VLOOKUP(A23,'DAY WISE'!A:F,2,0),"")</f>
        <v>56</v>
      </c>
      <c r="C23" s="30">
        <f ca="1">IFERROR(VLOOKUP(A23,'DAY WISE'!A:F,3,0),"")</f>
        <v>93.428571428571431</v>
      </c>
      <c r="D23" s="54">
        <f ca="1">COUNTIFS('Audit Raw data'!BZ:BZ,"&lt;85",'Audit Raw data'!CB:CB,A23)</f>
        <v>2</v>
      </c>
      <c r="E23" s="56"/>
      <c r="F23" s="63"/>
      <c r="G23" s="49"/>
      <c r="H23" s="49"/>
      <c r="I23" s="49"/>
      <c r="J23" s="49"/>
      <c r="K23" s="49"/>
      <c r="L23" s="49"/>
      <c r="M23" s="49"/>
      <c r="N23" s="49"/>
      <c r="O23" s="64"/>
    </row>
    <row r="24" spans="1:15" x14ac:dyDescent="0.35">
      <c r="A24" s="19" t="s">
        <v>1585</v>
      </c>
      <c r="B24" s="27">
        <f ca="1">SUM(B19:B23)</f>
        <v>282</v>
      </c>
      <c r="C24" s="31">
        <f ca="1">AVERAGE(C19:C23)</f>
        <v>89.979537806138779</v>
      </c>
      <c r="D24" s="73">
        <f ca="1">SUM(D19:E23)</f>
        <v>55</v>
      </c>
      <c r="E24" s="56"/>
      <c r="F24" s="65"/>
      <c r="G24" s="66"/>
      <c r="H24" s="66"/>
      <c r="I24" s="66"/>
      <c r="J24" s="66"/>
      <c r="K24" s="66"/>
      <c r="L24" s="66"/>
      <c r="M24" s="66"/>
      <c r="N24" s="66"/>
      <c r="O24" s="67"/>
    </row>
  </sheetData>
  <mergeCells count="24">
    <mergeCell ref="M6:O8"/>
    <mergeCell ref="D5:G5"/>
    <mergeCell ref="D21:E21"/>
    <mergeCell ref="I6:L8"/>
    <mergeCell ref="D20:E20"/>
    <mergeCell ref="A6:C8"/>
    <mergeCell ref="D10:E10"/>
    <mergeCell ref="D19:E19"/>
    <mergeCell ref="A1:O3"/>
    <mergeCell ref="A9:E9"/>
    <mergeCell ref="I5:L5"/>
    <mergeCell ref="D4:G4"/>
    <mergeCell ref="A5:C5"/>
    <mergeCell ref="F9:O24"/>
    <mergeCell ref="A4:C4"/>
    <mergeCell ref="D6:G8"/>
    <mergeCell ref="H4:H8"/>
    <mergeCell ref="M4:O4"/>
    <mergeCell ref="D18:E18"/>
    <mergeCell ref="D24:E24"/>
    <mergeCell ref="M5:O5"/>
    <mergeCell ref="D23:E23"/>
    <mergeCell ref="I4:L4"/>
    <mergeCell ref="D22:E2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171"/>
  <sheetViews>
    <sheetView tabSelected="1" workbookViewId="0"/>
  </sheetViews>
  <sheetFormatPr defaultRowHeight="14.5" x14ac:dyDescent="0.35"/>
  <cols>
    <col min="1" max="1" width="10.08984375" bestFit="1" customWidth="1"/>
  </cols>
  <sheetData>
    <row r="1" spans="1:7" x14ac:dyDescent="0.35">
      <c r="A1" s="7" t="s">
        <v>1587</v>
      </c>
      <c r="B1" s="7" t="s">
        <v>1445</v>
      </c>
      <c r="C1" s="8" t="s">
        <v>2</v>
      </c>
      <c r="D1" s="8" t="s">
        <v>1446</v>
      </c>
      <c r="E1" s="7" t="s">
        <v>60</v>
      </c>
      <c r="F1" s="7" t="s">
        <v>40</v>
      </c>
      <c r="G1" s="7" t="s">
        <v>1588</v>
      </c>
    </row>
    <row r="2" spans="1:7" x14ac:dyDescent="0.35">
      <c r="A2" s="19" t="s">
        <v>1589</v>
      </c>
      <c r="B2" s="19">
        <f>SUM(B3:B1048576)</f>
        <v>1246</v>
      </c>
      <c r="C2" s="42">
        <f>SUM('Audit Raw data'!BZ:BZ)/B2</f>
        <v>91.0593900481541</v>
      </c>
      <c r="D2" s="19">
        <f>COUNTIF('Audit Raw data'!AM:AM,"YES")</f>
        <v>1221</v>
      </c>
      <c r="E2" s="19">
        <f t="shared" ref="E2:E33" si="0">B2-D2</f>
        <v>25</v>
      </c>
      <c r="F2" s="43">
        <f>D2/B2</f>
        <v>0.9799357945425361</v>
      </c>
      <c r="G2" s="19">
        <f>SUM(G3:G1048576)</f>
        <v>193</v>
      </c>
    </row>
    <row r="3" spans="1:7" x14ac:dyDescent="0.35">
      <c r="A3" s="28">
        <v>45931</v>
      </c>
      <c r="B3" s="4">
        <f>COUNTIFS('Audit Raw data'!CB:CB,A:A)</f>
        <v>31</v>
      </c>
      <c r="C3" s="34">
        <f>IFERROR(SUMIFS('Audit Raw data'!BZ:BZ,'Audit Raw data'!CB:CB,A:A)/B3,"")</f>
        <v>88.258064516129039</v>
      </c>
      <c r="D3" s="4">
        <f>COUNTIFS('Audit Raw data'!AM:AM,"YES",'Audit Raw data'!CB:CB,A:A)</f>
        <v>30</v>
      </c>
      <c r="E3" s="4">
        <f t="shared" si="0"/>
        <v>1</v>
      </c>
      <c r="F3" s="33">
        <f t="shared" ref="F3:F33" si="1">IFERROR(D3/B3,"")</f>
        <v>0.967741935483871</v>
      </c>
      <c r="G3" s="9">
        <f>COUNTIFS('Audit Raw data'!BZ:BZ,"&lt;85",'Audit Raw data'!CB:CB,A:A)</f>
        <v>7</v>
      </c>
    </row>
    <row r="4" spans="1:7" x14ac:dyDescent="0.35">
      <c r="A4" s="28">
        <f t="shared" ref="A4:A33" si="2">A3+1</f>
        <v>45932</v>
      </c>
      <c r="B4" s="4">
        <f>COUNTIFS('Audit Raw data'!CB:CB,A:A)</f>
        <v>75</v>
      </c>
      <c r="C4" s="34">
        <f>IFERROR(SUMIFS('Audit Raw data'!BZ:BZ,'Audit Raw data'!CB:CB,A:A)/B4,"")</f>
        <v>91.093333333333334</v>
      </c>
      <c r="D4" s="4">
        <f>COUNTIFS('Audit Raw data'!AM:AM,"YES",'Audit Raw data'!CB:CB,A:A)</f>
        <v>74</v>
      </c>
      <c r="E4" s="4">
        <f t="shared" si="0"/>
        <v>1</v>
      </c>
      <c r="F4" s="33">
        <f t="shared" si="1"/>
        <v>0.98666666666666669</v>
      </c>
      <c r="G4" s="9">
        <f>COUNTIFS('Audit Raw data'!BZ:BZ,"&lt;85",'Audit Raw data'!CB:CB,A:A)</f>
        <v>13</v>
      </c>
    </row>
    <row r="5" spans="1:7" x14ac:dyDescent="0.35">
      <c r="A5" s="28">
        <f t="shared" si="2"/>
        <v>45933</v>
      </c>
      <c r="B5" s="4">
        <f>COUNTIFS('Audit Raw data'!CB:CB,A:A)</f>
        <v>67</v>
      </c>
      <c r="C5" s="34">
        <f>IFERROR(SUMIFS('Audit Raw data'!BZ:BZ,'Audit Raw data'!CB:CB,A:A)/B5,"")</f>
        <v>93.552238805970148</v>
      </c>
      <c r="D5" s="4">
        <f>COUNTIFS('Audit Raw data'!AM:AM,"YES",'Audit Raw data'!CB:CB,A:A)</f>
        <v>66</v>
      </c>
      <c r="E5" s="4">
        <f t="shared" si="0"/>
        <v>1</v>
      </c>
      <c r="F5" s="33">
        <f t="shared" si="1"/>
        <v>0.9850746268656716</v>
      </c>
      <c r="G5" s="9">
        <f>COUNTIFS('Audit Raw data'!BZ:BZ,"&lt;85",'Audit Raw data'!CB:CB,A:A)</f>
        <v>4</v>
      </c>
    </row>
    <row r="6" spans="1:7" x14ac:dyDescent="0.35">
      <c r="A6" s="28">
        <f t="shared" si="2"/>
        <v>45934</v>
      </c>
      <c r="B6" s="4">
        <f>COUNTIFS('Audit Raw data'!CB:CB,A:A)</f>
        <v>51</v>
      </c>
      <c r="C6" s="34">
        <f>IFERROR(SUMIFS('Audit Raw data'!BZ:BZ,'Audit Raw data'!CB:CB,A:A)/B6,"")</f>
        <v>92.705882352941174</v>
      </c>
      <c r="D6" s="4">
        <f>COUNTIFS('Audit Raw data'!AM:AM,"YES",'Audit Raw data'!CB:CB,A:A)</f>
        <v>51</v>
      </c>
      <c r="E6" s="4">
        <f t="shared" si="0"/>
        <v>0</v>
      </c>
      <c r="F6" s="33">
        <f t="shared" si="1"/>
        <v>1</v>
      </c>
      <c r="G6" s="9">
        <f>COUNTIFS('Audit Raw data'!BZ:BZ,"&lt;85",'Audit Raw data'!CB:CB,A:A)</f>
        <v>4</v>
      </c>
    </row>
    <row r="7" spans="1:7" x14ac:dyDescent="0.35">
      <c r="A7" s="28">
        <f t="shared" si="2"/>
        <v>45935</v>
      </c>
      <c r="B7" s="4">
        <f>COUNTIFS('Audit Raw data'!CB:CB,A:A)</f>
        <v>93</v>
      </c>
      <c r="C7" s="34">
        <f>IFERROR(SUMIFS('Audit Raw data'!BZ:BZ,'Audit Raw data'!CB:CB,A:A)/B7,"")</f>
        <v>94.064516129032256</v>
      </c>
      <c r="D7" s="4">
        <f>COUNTIFS('Audit Raw data'!AM:AM,"YES",'Audit Raw data'!CB:CB,A:A)</f>
        <v>93</v>
      </c>
      <c r="E7" s="4">
        <f t="shared" si="0"/>
        <v>0</v>
      </c>
      <c r="F7" s="33">
        <f t="shared" si="1"/>
        <v>1</v>
      </c>
      <c r="G7" s="9">
        <f>COUNTIFS('Audit Raw data'!BZ:BZ,"&lt;85",'Audit Raw data'!CB:CB,A:A)</f>
        <v>7</v>
      </c>
    </row>
    <row r="8" spans="1:7" x14ac:dyDescent="0.35">
      <c r="A8" s="28">
        <f t="shared" si="2"/>
        <v>45936</v>
      </c>
      <c r="B8" s="4">
        <f>COUNTIFS('Audit Raw data'!CB:CB,A:A)</f>
        <v>78</v>
      </c>
      <c r="C8" s="34">
        <f>IFERROR(SUMIFS('Audit Raw data'!BZ:BZ,'Audit Raw data'!CB:CB,A:A)/B8,"")</f>
        <v>92.615384615384613</v>
      </c>
      <c r="D8" s="4">
        <f>COUNTIFS('Audit Raw data'!AM:AM,"YES",'Audit Raw data'!CB:CB,A:A)</f>
        <v>78</v>
      </c>
      <c r="E8" s="4">
        <f t="shared" si="0"/>
        <v>0</v>
      </c>
      <c r="F8" s="33">
        <f t="shared" si="1"/>
        <v>1</v>
      </c>
      <c r="G8" s="9">
        <f>COUNTIFS('Audit Raw data'!BZ:BZ,"&lt;85",'Audit Raw data'!CB:CB,A:A)</f>
        <v>3</v>
      </c>
    </row>
    <row r="9" spans="1:7" x14ac:dyDescent="0.35">
      <c r="A9" s="28">
        <f t="shared" si="2"/>
        <v>45937</v>
      </c>
      <c r="B9" s="4">
        <f>COUNTIFS('Audit Raw data'!CB:CB,A:A)</f>
        <v>80</v>
      </c>
      <c r="C9" s="34">
        <f>IFERROR(SUMIFS('Audit Raw data'!BZ:BZ,'Audit Raw data'!CB:CB,A:A)/B9,"")</f>
        <v>91.525000000000006</v>
      </c>
      <c r="D9" s="4">
        <f>COUNTIFS('Audit Raw data'!AM:AM,"YES",'Audit Raw data'!CB:CB,A:A)</f>
        <v>77</v>
      </c>
      <c r="E9" s="4">
        <f t="shared" si="0"/>
        <v>3</v>
      </c>
      <c r="F9" s="33">
        <f t="shared" si="1"/>
        <v>0.96250000000000002</v>
      </c>
      <c r="G9" s="9">
        <f>COUNTIFS('Audit Raw data'!BZ:BZ,"&lt;85",'Audit Raw data'!CB:CB,A:A)</f>
        <v>9</v>
      </c>
    </row>
    <row r="10" spans="1:7" x14ac:dyDescent="0.35">
      <c r="A10" s="28">
        <f t="shared" si="2"/>
        <v>45938</v>
      </c>
      <c r="B10" s="4">
        <f>COUNTIFS('Audit Raw data'!CB:CB,A:A)</f>
        <v>39</v>
      </c>
      <c r="C10" s="34">
        <f>IFERROR(SUMIFS('Audit Raw data'!BZ:BZ,'Audit Raw data'!CB:CB,A:A)/B10,"")</f>
        <v>88.615384615384613</v>
      </c>
      <c r="D10" s="4">
        <f>COUNTIFS('Audit Raw data'!AM:AM,"YES",'Audit Raw data'!CB:CB,A:A)</f>
        <v>37</v>
      </c>
      <c r="E10" s="4">
        <f t="shared" si="0"/>
        <v>2</v>
      </c>
      <c r="F10" s="33">
        <f t="shared" si="1"/>
        <v>0.94871794871794868</v>
      </c>
      <c r="G10" s="9">
        <f>COUNTIFS('Audit Raw data'!BZ:BZ,"&lt;85",'Audit Raw data'!CB:CB,A:A)</f>
        <v>11</v>
      </c>
    </row>
    <row r="11" spans="1:7" x14ac:dyDescent="0.35">
      <c r="A11" s="28">
        <f t="shared" si="2"/>
        <v>45939</v>
      </c>
      <c r="B11" s="4">
        <f>COUNTIFS('Audit Raw data'!CB:CB,A:A)</f>
        <v>38</v>
      </c>
      <c r="C11" s="34">
        <f>IFERROR(SUMIFS('Audit Raw data'!BZ:BZ,'Audit Raw data'!CB:CB,A:A)/B11,"")</f>
        <v>91</v>
      </c>
      <c r="D11" s="4">
        <f>COUNTIFS('Audit Raw data'!AM:AM,"YES",'Audit Raw data'!CB:CB,A:A)</f>
        <v>38</v>
      </c>
      <c r="E11" s="4">
        <f t="shared" si="0"/>
        <v>0</v>
      </c>
      <c r="F11" s="33">
        <f t="shared" si="1"/>
        <v>1</v>
      </c>
      <c r="G11" s="9">
        <f>COUNTIFS('Audit Raw data'!BZ:BZ,"&lt;85",'Audit Raw data'!CB:CB,A:A)</f>
        <v>7</v>
      </c>
    </row>
    <row r="12" spans="1:7" x14ac:dyDescent="0.35">
      <c r="A12" s="28">
        <f t="shared" si="2"/>
        <v>45940</v>
      </c>
      <c r="B12" s="4">
        <f>COUNTIFS('Audit Raw data'!CB:CB,A:A)</f>
        <v>32</v>
      </c>
      <c r="C12" s="34">
        <f>IFERROR(SUMIFS('Audit Raw data'!BZ:BZ,'Audit Raw data'!CB:CB,A:A)/B12,"")</f>
        <v>93.6875</v>
      </c>
      <c r="D12" s="4">
        <f>COUNTIFS('Audit Raw data'!AM:AM,"YES",'Audit Raw data'!CB:CB,A:A)</f>
        <v>32</v>
      </c>
      <c r="E12" s="4">
        <f t="shared" si="0"/>
        <v>0</v>
      </c>
      <c r="F12" s="33">
        <f t="shared" si="1"/>
        <v>1</v>
      </c>
      <c r="G12" s="9">
        <f>COUNTIFS('Audit Raw data'!BZ:BZ,"&lt;85",'Audit Raw data'!CB:CB,A:A)</f>
        <v>4</v>
      </c>
    </row>
    <row r="13" spans="1:7" x14ac:dyDescent="0.35">
      <c r="A13" s="28">
        <f t="shared" si="2"/>
        <v>45941</v>
      </c>
      <c r="B13" s="4">
        <f>COUNTIFS('Audit Raw data'!CB:CB,A:A)</f>
        <v>53</v>
      </c>
      <c r="C13" s="34">
        <f>IFERROR(SUMIFS('Audit Raw data'!BZ:BZ,'Audit Raw data'!CB:CB,A:A)/B13,"")</f>
        <v>91.20754716981132</v>
      </c>
      <c r="D13" s="4">
        <f>COUNTIFS('Audit Raw data'!AM:AM,"YES",'Audit Raw data'!CB:CB,A:A)</f>
        <v>53</v>
      </c>
      <c r="E13" s="4">
        <f t="shared" si="0"/>
        <v>0</v>
      </c>
      <c r="F13" s="33">
        <f t="shared" si="1"/>
        <v>1</v>
      </c>
      <c r="G13" s="9">
        <f>COUNTIFS('Audit Raw data'!BZ:BZ,"&lt;85",'Audit Raw data'!CB:CB,A:A)</f>
        <v>8</v>
      </c>
    </row>
    <row r="14" spans="1:7" x14ac:dyDescent="0.35">
      <c r="A14" s="28">
        <f t="shared" si="2"/>
        <v>45942</v>
      </c>
      <c r="B14" s="4">
        <f>COUNTIFS('Audit Raw data'!CB:CB,A:A)</f>
        <v>47</v>
      </c>
      <c r="C14" s="34">
        <f>IFERROR(SUMIFS('Audit Raw data'!BZ:BZ,'Audit Raw data'!CB:CB,A:A)/B14,"")</f>
        <v>91.446808510638292</v>
      </c>
      <c r="D14" s="4">
        <f>COUNTIFS('Audit Raw data'!AM:AM,"YES",'Audit Raw data'!CB:CB,A:A)</f>
        <v>47</v>
      </c>
      <c r="E14" s="4">
        <f t="shared" si="0"/>
        <v>0</v>
      </c>
      <c r="F14" s="33">
        <f t="shared" si="1"/>
        <v>1</v>
      </c>
      <c r="G14" s="9">
        <f>COUNTIFS('Audit Raw data'!BZ:BZ,"&lt;85",'Audit Raw data'!CB:CB,A:A)</f>
        <v>6</v>
      </c>
    </row>
    <row r="15" spans="1:7" x14ac:dyDescent="0.35">
      <c r="A15" s="28">
        <f t="shared" si="2"/>
        <v>45943</v>
      </c>
      <c r="B15" s="4">
        <f>COUNTIFS('Audit Raw data'!CB:CB,A:A)</f>
        <v>54</v>
      </c>
      <c r="C15" s="34">
        <f>IFERROR(SUMIFS('Audit Raw data'!BZ:BZ,'Audit Raw data'!CB:CB,A:A)/B15,"")</f>
        <v>89.81481481481481</v>
      </c>
      <c r="D15" s="4">
        <f>COUNTIFS('Audit Raw data'!AM:AM,"YES",'Audit Raw data'!CB:CB,A:A)</f>
        <v>52</v>
      </c>
      <c r="E15" s="4">
        <f t="shared" si="0"/>
        <v>2</v>
      </c>
      <c r="F15" s="33">
        <f t="shared" si="1"/>
        <v>0.96296296296296291</v>
      </c>
      <c r="G15" s="9">
        <f>COUNTIFS('Audit Raw data'!BZ:BZ,"&lt;85",'Audit Raw data'!CB:CB,A:A)</f>
        <v>9</v>
      </c>
    </row>
    <row r="16" spans="1:7" x14ac:dyDescent="0.35">
      <c r="A16" s="28">
        <f t="shared" si="2"/>
        <v>45944</v>
      </c>
      <c r="B16" s="4">
        <f>COUNTIFS('Audit Raw data'!CB:CB,A:A)</f>
        <v>48</v>
      </c>
      <c r="C16" s="34">
        <f>IFERROR(SUMIFS('Audit Raw data'!BZ:BZ,'Audit Raw data'!CB:CB,A:A)/B16,"")</f>
        <v>91.541666666666671</v>
      </c>
      <c r="D16" s="4">
        <f>COUNTIFS('Audit Raw data'!AM:AM,"YES",'Audit Raw data'!CB:CB,A:A)</f>
        <v>45</v>
      </c>
      <c r="E16" s="4">
        <f t="shared" si="0"/>
        <v>3</v>
      </c>
      <c r="F16" s="33">
        <f t="shared" si="1"/>
        <v>0.9375</v>
      </c>
      <c r="G16" s="9">
        <f>COUNTIFS('Audit Raw data'!BZ:BZ,"&lt;85",'Audit Raw data'!CB:CB,A:A)</f>
        <v>7</v>
      </c>
    </row>
    <row r="17" spans="1:7" x14ac:dyDescent="0.35">
      <c r="A17" s="28">
        <f t="shared" si="2"/>
        <v>45945</v>
      </c>
      <c r="B17" s="4">
        <f>COUNTIFS('Audit Raw data'!CB:CB,A:A)</f>
        <v>97</v>
      </c>
      <c r="C17" s="34">
        <f>IFERROR(SUMIFS('Audit Raw data'!BZ:BZ,'Audit Raw data'!CB:CB,A:A)/B17,"")</f>
        <v>91.030927835051543</v>
      </c>
      <c r="D17" s="4">
        <f>COUNTIFS('Audit Raw data'!AM:AM,"YES",'Audit Raw data'!CB:CB,A:A)</f>
        <v>93</v>
      </c>
      <c r="E17" s="4">
        <f t="shared" si="0"/>
        <v>4</v>
      </c>
      <c r="F17" s="33">
        <f t="shared" si="1"/>
        <v>0.95876288659793818</v>
      </c>
      <c r="G17" s="9">
        <f>COUNTIFS('Audit Raw data'!BZ:BZ,"&lt;85",'Audit Raw data'!CB:CB,A:A)</f>
        <v>15</v>
      </c>
    </row>
    <row r="18" spans="1:7" x14ac:dyDescent="0.35">
      <c r="A18" s="28">
        <f t="shared" si="2"/>
        <v>45946</v>
      </c>
      <c r="B18" s="4">
        <f>COUNTIFS('Audit Raw data'!CB:CB,A:A)</f>
        <v>81</v>
      </c>
      <c r="C18" s="34">
        <f>IFERROR(SUMIFS('Audit Raw data'!BZ:BZ,'Audit Raw data'!CB:CB,A:A)/B18,"")</f>
        <v>87.703703703703709</v>
      </c>
      <c r="D18" s="4">
        <f>COUNTIFS('Audit Raw data'!AM:AM,"YES",'Audit Raw data'!CB:CB,A:A)</f>
        <v>78</v>
      </c>
      <c r="E18" s="4">
        <f t="shared" si="0"/>
        <v>3</v>
      </c>
      <c r="F18" s="33">
        <f t="shared" si="1"/>
        <v>0.96296296296296291</v>
      </c>
      <c r="G18" s="9">
        <f>COUNTIFS('Audit Raw data'!BZ:BZ,"&lt;85",'Audit Raw data'!CB:CB,A:A)</f>
        <v>24</v>
      </c>
    </row>
    <row r="19" spans="1:7" x14ac:dyDescent="0.35">
      <c r="A19" s="28">
        <f t="shared" si="2"/>
        <v>45947</v>
      </c>
      <c r="B19" s="4">
        <f>COUNTIFS('Audit Raw data'!CB:CB,A:A)</f>
        <v>56</v>
      </c>
      <c r="C19" s="34">
        <f>IFERROR(SUMIFS('Audit Raw data'!BZ:BZ,'Audit Raw data'!CB:CB,A:A)/B19,"")</f>
        <v>93.428571428571431</v>
      </c>
      <c r="D19" s="4">
        <f>COUNTIFS('Audit Raw data'!AM:AM,"YES",'Audit Raw data'!CB:CB,A:A)</f>
        <v>55</v>
      </c>
      <c r="E19" s="4">
        <f t="shared" si="0"/>
        <v>1</v>
      </c>
      <c r="F19" s="33">
        <f t="shared" si="1"/>
        <v>0.9821428571428571</v>
      </c>
      <c r="G19" s="9">
        <f>COUNTIFS('Audit Raw data'!BZ:BZ,"&lt;85",'Audit Raw data'!CB:CB,A:A)</f>
        <v>2</v>
      </c>
    </row>
    <row r="20" spans="1:7" x14ac:dyDescent="0.35">
      <c r="A20" s="28">
        <f t="shared" si="2"/>
        <v>45948</v>
      </c>
      <c r="B20" s="4">
        <f>COUNTIFS('Audit Raw data'!CB:CB,A:A)</f>
        <v>71</v>
      </c>
      <c r="C20" s="34">
        <f>IFERROR(SUMIFS('Audit Raw data'!BZ:BZ,'Audit Raw data'!CB:CB,A:A)/B20,"")</f>
        <v>83.042253521126767</v>
      </c>
      <c r="D20" s="4">
        <f>COUNTIFS('Audit Raw data'!AM:AM,"YES",'Audit Raw data'!CB:CB,A:A)</f>
        <v>68</v>
      </c>
      <c r="E20" s="4">
        <f t="shared" si="0"/>
        <v>3</v>
      </c>
      <c r="F20" s="33">
        <f t="shared" si="1"/>
        <v>0.95774647887323938</v>
      </c>
      <c r="G20" s="9">
        <f>COUNTIFS('Audit Raw data'!BZ:BZ,"&lt;85",'Audit Raw data'!CB:CB,A:A)</f>
        <v>32</v>
      </c>
    </row>
    <row r="21" spans="1:7" x14ac:dyDescent="0.35">
      <c r="A21" s="28">
        <f t="shared" si="2"/>
        <v>45949</v>
      </c>
      <c r="B21" s="4">
        <f>COUNTIFS('Audit Raw data'!CB:CB,A:A)</f>
        <v>43</v>
      </c>
      <c r="C21" s="34">
        <f>IFERROR(SUMIFS('Audit Raw data'!BZ:BZ,'Audit Raw data'!CB:CB,A:A)/B21,"")</f>
        <v>91.534883720930239</v>
      </c>
      <c r="D21" s="4">
        <f>COUNTIFS('Audit Raw data'!AM:AM,"YES",'Audit Raw data'!CB:CB,A:A)</f>
        <v>42</v>
      </c>
      <c r="E21" s="4">
        <f t="shared" si="0"/>
        <v>1</v>
      </c>
      <c r="F21" s="33">
        <f t="shared" si="1"/>
        <v>0.97674418604651159</v>
      </c>
      <c r="G21" s="9">
        <f>COUNTIFS('Audit Raw data'!BZ:BZ,"&lt;85",'Audit Raw data'!CB:CB,A:A)</f>
        <v>7</v>
      </c>
    </row>
    <row r="22" spans="1:7" x14ac:dyDescent="0.35">
      <c r="A22" s="28">
        <f t="shared" si="2"/>
        <v>45950</v>
      </c>
      <c r="B22" s="4">
        <f>COUNTIFS('Audit Raw data'!CB:CB,A:A)</f>
        <v>47</v>
      </c>
      <c r="C22" s="34">
        <f>IFERROR(SUMIFS('Audit Raw data'!BZ:BZ,'Audit Raw data'!CB:CB,A:A)/B22,"")</f>
        <v>89.276595744680847</v>
      </c>
      <c r="D22" s="4">
        <f>COUNTIFS('Audit Raw data'!AM:AM,"YES",'Audit Raw data'!CB:CB,A:A)</f>
        <v>47</v>
      </c>
      <c r="E22" s="4">
        <f t="shared" si="0"/>
        <v>0</v>
      </c>
      <c r="F22" s="33">
        <f t="shared" si="1"/>
        <v>1</v>
      </c>
      <c r="G22" s="9">
        <f>COUNTIFS('Audit Raw data'!BZ:BZ,"&lt;85",'Audit Raw data'!CB:CB,A:A)</f>
        <v>12</v>
      </c>
    </row>
    <row r="23" spans="1:7" x14ac:dyDescent="0.35">
      <c r="A23" s="28">
        <f t="shared" si="2"/>
        <v>45951</v>
      </c>
      <c r="B23" s="4">
        <f>COUNTIFS('Audit Raw data'!CB:CB,A:A)</f>
        <v>65</v>
      </c>
      <c r="C23" s="34">
        <f>IFERROR(SUMIFS('Audit Raw data'!BZ:BZ,'Audit Raw data'!CB:CB,A:A)/B23,"")</f>
        <v>92.615384615384613</v>
      </c>
      <c r="D23" s="4">
        <f>COUNTIFS('Audit Raw data'!AM:AM,"YES",'Audit Raw data'!CB:CB,A:A)</f>
        <v>65</v>
      </c>
      <c r="E23" s="4">
        <f t="shared" si="0"/>
        <v>0</v>
      </c>
      <c r="F23" s="33">
        <f t="shared" si="1"/>
        <v>1</v>
      </c>
      <c r="G23" s="9">
        <f>COUNTIFS('Audit Raw data'!BZ:BZ,"&lt;85",'Audit Raw data'!CB:CB,A:A)</f>
        <v>2</v>
      </c>
    </row>
    <row r="24" spans="1:7" x14ac:dyDescent="0.35">
      <c r="A24" s="28">
        <f t="shared" si="2"/>
        <v>45952</v>
      </c>
      <c r="B24" s="4">
        <f>COUNTIFS('Audit Raw data'!CB:CB,A:A)</f>
        <v>0</v>
      </c>
      <c r="C24" s="34" t="str">
        <f>IFERROR(SUMIFS('Audit Raw data'!BZ:BZ,'Audit Raw data'!CB:CB,A:A)/B24,"")</f>
        <v/>
      </c>
      <c r="D24" s="4">
        <f>COUNTIFS('Audit Raw data'!AM:AM,"YES",'Audit Raw data'!CB:CB,A:A)</f>
        <v>0</v>
      </c>
      <c r="E24" s="4">
        <f t="shared" si="0"/>
        <v>0</v>
      </c>
      <c r="F24" s="33" t="str">
        <f t="shared" si="1"/>
        <v/>
      </c>
      <c r="G24" s="9">
        <f>COUNTIFS('Audit Raw data'!BZ:BZ,"&lt;85",'Audit Raw data'!CB:CB,A:A)</f>
        <v>0</v>
      </c>
    </row>
    <row r="25" spans="1:7" x14ac:dyDescent="0.35">
      <c r="A25" s="28">
        <f t="shared" si="2"/>
        <v>45953</v>
      </c>
      <c r="B25" s="4">
        <f>COUNTIFS('Audit Raw data'!CB:CB,A:A)</f>
        <v>0</v>
      </c>
      <c r="C25" s="34" t="str">
        <f>IFERROR(SUMIFS('Audit Raw data'!BZ:BZ,'Audit Raw data'!CB:CB,A:A)/B25,"")</f>
        <v/>
      </c>
      <c r="D25" s="4">
        <f>COUNTIFS('Audit Raw data'!AM:AM,"YES",'Audit Raw data'!CB:CB,A:A)</f>
        <v>0</v>
      </c>
      <c r="E25" s="4">
        <f t="shared" si="0"/>
        <v>0</v>
      </c>
      <c r="F25" s="33" t="str">
        <f t="shared" si="1"/>
        <v/>
      </c>
      <c r="G25" s="9">
        <f>COUNTIFS('Audit Raw data'!BZ:BZ,"&lt;85",'Audit Raw data'!CB:CB,A:A)</f>
        <v>0</v>
      </c>
    </row>
    <row r="26" spans="1:7" x14ac:dyDescent="0.35">
      <c r="A26" s="28">
        <f t="shared" si="2"/>
        <v>45954</v>
      </c>
      <c r="B26" s="4">
        <f>COUNTIFS('Audit Raw data'!CB:CB,A:A)</f>
        <v>0</v>
      </c>
      <c r="C26" s="34" t="str">
        <f>IFERROR(SUMIFS('Audit Raw data'!BZ:BZ,'Audit Raw data'!CB:CB,A:A)/B26,"")</f>
        <v/>
      </c>
      <c r="D26" s="4">
        <f>COUNTIFS('Audit Raw data'!AM:AM,"YES",'Audit Raw data'!CB:CB,A:A)</f>
        <v>0</v>
      </c>
      <c r="E26" s="4">
        <f t="shared" si="0"/>
        <v>0</v>
      </c>
      <c r="F26" s="33" t="str">
        <f t="shared" si="1"/>
        <v/>
      </c>
      <c r="G26" s="9">
        <f>COUNTIFS('Audit Raw data'!BZ:BZ,"&lt;85",'Audit Raw data'!CB:CB,A:A)</f>
        <v>0</v>
      </c>
    </row>
    <row r="27" spans="1:7" x14ac:dyDescent="0.35">
      <c r="A27" s="28">
        <f t="shared" si="2"/>
        <v>45955</v>
      </c>
      <c r="B27" s="4">
        <f>COUNTIFS('Audit Raw data'!CB:CB,A:A)</f>
        <v>0</v>
      </c>
      <c r="C27" s="34" t="str">
        <f>IFERROR(SUMIFS('Audit Raw data'!BZ:BZ,'Audit Raw data'!CB:CB,A:A)/B27,"")</f>
        <v/>
      </c>
      <c r="D27" s="4">
        <f>COUNTIFS('Audit Raw data'!AM:AM,"YES",'Audit Raw data'!CB:CB,A:A)</f>
        <v>0</v>
      </c>
      <c r="E27" s="4">
        <f t="shared" si="0"/>
        <v>0</v>
      </c>
      <c r="F27" s="33" t="str">
        <f t="shared" si="1"/>
        <v/>
      </c>
      <c r="G27" s="9">
        <f>COUNTIFS('Audit Raw data'!BZ:BZ,"&lt;85",'Audit Raw data'!CB:CB,A:A)</f>
        <v>0</v>
      </c>
    </row>
    <row r="28" spans="1:7" x14ac:dyDescent="0.35">
      <c r="A28" s="28">
        <f t="shared" si="2"/>
        <v>45956</v>
      </c>
      <c r="B28" s="4">
        <f>COUNTIFS('Audit Raw data'!CB:CB,A:A)</f>
        <v>0</v>
      </c>
      <c r="C28" s="34" t="str">
        <f>IFERROR(SUMIFS('Audit Raw data'!BZ:BZ,'Audit Raw data'!CB:CB,A:A)/B28,"")</f>
        <v/>
      </c>
      <c r="D28" s="4">
        <f>COUNTIFS('Audit Raw data'!AM:AM,"YES",'Audit Raw data'!CB:CB,A:A)</f>
        <v>0</v>
      </c>
      <c r="E28" s="4">
        <f t="shared" si="0"/>
        <v>0</v>
      </c>
      <c r="F28" s="33" t="str">
        <f t="shared" si="1"/>
        <v/>
      </c>
      <c r="G28" s="9">
        <f>COUNTIFS('Audit Raw data'!BZ:BZ,"&lt;85",'Audit Raw data'!CB:CB,A:A)</f>
        <v>0</v>
      </c>
    </row>
    <row r="29" spans="1:7" x14ac:dyDescent="0.35">
      <c r="A29" s="28">
        <f t="shared" si="2"/>
        <v>45957</v>
      </c>
      <c r="B29" s="4">
        <f>COUNTIFS('Audit Raw data'!CB:CB,A:A)</f>
        <v>0</v>
      </c>
      <c r="C29" s="34" t="str">
        <f>IFERROR(SUMIFS('Audit Raw data'!BZ:BZ,'Audit Raw data'!CB:CB,A:A)/B29,"")</f>
        <v/>
      </c>
      <c r="D29" s="4">
        <f>COUNTIFS('Audit Raw data'!AM:AM,"YES",'Audit Raw data'!CB:CB,A:A)</f>
        <v>0</v>
      </c>
      <c r="E29" s="4">
        <f t="shared" si="0"/>
        <v>0</v>
      </c>
      <c r="F29" s="33" t="str">
        <f t="shared" si="1"/>
        <v/>
      </c>
      <c r="G29" s="9">
        <f>COUNTIFS('Audit Raw data'!BZ:BZ,"&lt;85",'Audit Raw data'!CB:CB,A:A)</f>
        <v>0</v>
      </c>
    </row>
    <row r="30" spans="1:7" x14ac:dyDescent="0.35">
      <c r="A30" s="28">
        <f t="shared" si="2"/>
        <v>45958</v>
      </c>
      <c r="B30" s="4">
        <f>COUNTIFS('Audit Raw data'!CB:CB,A:A)</f>
        <v>0</v>
      </c>
      <c r="C30" s="34" t="str">
        <f>IFERROR(SUMIFS('Audit Raw data'!BZ:BZ,'Audit Raw data'!CB:CB,A:A)/B30,"")</f>
        <v/>
      </c>
      <c r="D30" s="4">
        <f>COUNTIFS('Audit Raw data'!AM:AM,"YES",'Audit Raw data'!CB:CB,A:A)</f>
        <v>0</v>
      </c>
      <c r="E30" s="4">
        <f t="shared" si="0"/>
        <v>0</v>
      </c>
      <c r="F30" s="33" t="str">
        <f t="shared" si="1"/>
        <v/>
      </c>
      <c r="G30" s="9">
        <f>COUNTIFS('Audit Raw data'!BZ:BZ,"&lt;85",'Audit Raw data'!CB:CB,A:A)</f>
        <v>0</v>
      </c>
    </row>
    <row r="31" spans="1:7" x14ac:dyDescent="0.35">
      <c r="A31" s="28">
        <f t="shared" si="2"/>
        <v>45959</v>
      </c>
      <c r="B31" s="4">
        <f>COUNTIFS('Audit Raw data'!CB:CB,A:A)</f>
        <v>0</v>
      </c>
      <c r="C31" s="34" t="str">
        <f>IFERROR(SUMIFS('Audit Raw data'!BZ:BZ,'Audit Raw data'!CB:CB,A:A)/B31,"")</f>
        <v/>
      </c>
      <c r="D31" s="4">
        <f>COUNTIFS('Audit Raw data'!AM:AM,"YES",'Audit Raw data'!CB:CB,A:A)</f>
        <v>0</v>
      </c>
      <c r="E31" s="4">
        <f t="shared" si="0"/>
        <v>0</v>
      </c>
      <c r="F31" s="33" t="str">
        <f t="shared" si="1"/>
        <v/>
      </c>
      <c r="G31" s="9">
        <f>COUNTIFS('Audit Raw data'!BZ:BZ,"&lt;85",'Audit Raw data'!CB:CB,A:A)</f>
        <v>0</v>
      </c>
    </row>
    <row r="32" spans="1:7" x14ac:dyDescent="0.35">
      <c r="A32" s="28">
        <f t="shared" si="2"/>
        <v>45960</v>
      </c>
      <c r="B32" s="4">
        <f>COUNTIFS('Audit Raw data'!CB:CB,A:A)</f>
        <v>0</v>
      </c>
      <c r="C32" s="34" t="str">
        <f>IFERROR(SUMIFS('Audit Raw data'!BZ:BZ,'Audit Raw data'!CB:CB,A:A)/B32,"")</f>
        <v/>
      </c>
      <c r="D32" s="4">
        <f>COUNTIFS('Audit Raw data'!AM:AM,"YES",'Audit Raw data'!CB:CB,A:A)</f>
        <v>0</v>
      </c>
      <c r="E32" s="4">
        <f t="shared" si="0"/>
        <v>0</v>
      </c>
      <c r="F32" s="33" t="str">
        <f t="shared" si="1"/>
        <v/>
      </c>
      <c r="G32" s="9">
        <f>COUNTIFS('Audit Raw data'!BZ:BZ,"&lt;85",'Audit Raw data'!CB:CB,A:A)</f>
        <v>0</v>
      </c>
    </row>
    <row r="33" spans="1:7" x14ac:dyDescent="0.35">
      <c r="A33" s="28">
        <f t="shared" si="2"/>
        <v>45961</v>
      </c>
      <c r="B33" s="4">
        <f>COUNTIFS('Audit Raw data'!CB:CB,A:A)</f>
        <v>0</v>
      </c>
      <c r="C33" s="34" t="str">
        <f>IFERROR(SUMIFS('Audit Raw data'!BZ:BZ,'Audit Raw data'!CB:CB,A:A)/B33,"")</f>
        <v/>
      </c>
      <c r="D33" s="4">
        <f>COUNTIFS('Audit Raw data'!AM:AM,"YES",'Audit Raw data'!CB:CB,A:A)</f>
        <v>0</v>
      </c>
      <c r="E33" s="4">
        <f t="shared" si="0"/>
        <v>0</v>
      </c>
      <c r="F33" s="33" t="str">
        <f t="shared" si="1"/>
        <v/>
      </c>
      <c r="G33" s="9">
        <f>COUNTIFS('Audit Raw data'!BZ:BZ,"&lt;85",'Audit Raw data'!CB:CB,A:A)</f>
        <v>0</v>
      </c>
    </row>
    <row r="34" spans="1:7" x14ac:dyDescent="0.35">
      <c r="A34" s="2"/>
    </row>
    <row r="35" spans="1:7" x14ac:dyDescent="0.35">
      <c r="A35" s="2"/>
    </row>
    <row r="36" spans="1:7" x14ac:dyDescent="0.35">
      <c r="A36" s="2"/>
    </row>
    <row r="37" spans="1:7" x14ac:dyDescent="0.35">
      <c r="A37" s="2"/>
    </row>
    <row r="38" spans="1:7" x14ac:dyDescent="0.35">
      <c r="A38" s="2"/>
    </row>
    <row r="39" spans="1:7" x14ac:dyDescent="0.35">
      <c r="A39" s="2"/>
    </row>
    <row r="40" spans="1:7" x14ac:dyDescent="0.35">
      <c r="A40" s="2"/>
    </row>
    <row r="41" spans="1:7" x14ac:dyDescent="0.35">
      <c r="A41" s="2"/>
    </row>
    <row r="42" spans="1:7" x14ac:dyDescent="0.35">
      <c r="A42" s="2"/>
    </row>
    <row r="43" spans="1:7" x14ac:dyDescent="0.35">
      <c r="A43" s="2"/>
    </row>
    <row r="44" spans="1:7" x14ac:dyDescent="0.35">
      <c r="A44" s="2"/>
    </row>
    <row r="45" spans="1:7" x14ac:dyDescent="0.35">
      <c r="A45" s="2"/>
    </row>
    <row r="46" spans="1:7" x14ac:dyDescent="0.35">
      <c r="A46" s="2"/>
    </row>
    <row r="47" spans="1:7" x14ac:dyDescent="0.35">
      <c r="A47" s="2"/>
    </row>
    <row r="48" spans="1:7" x14ac:dyDescent="0.35">
      <c r="A48" s="2"/>
    </row>
    <row r="49" spans="1:1" x14ac:dyDescent="0.35">
      <c r="A49" s="2"/>
    </row>
    <row r="50" spans="1:1" x14ac:dyDescent="0.35">
      <c r="A50" s="2"/>
    </row>
    <row r="51" spans="1:1" x14ac:dyDescent="0.35">
      <c r="A51" s="2"/>
    </row>
    <row r="52" spans="1:1" x14ac:dyDescent="0.35">
      <c r="A52" s="2"/>
    </row>
    <row r="53" spans="1:1" x14ac:dyDescent="0.35">
      <c r="A53" s="2"/>
    </row>
    <row r="54" spans="1:1" x14ac:dyDescent="0.35">
      <c r="A54" s="2"/>
    </row>
    <row r="55" spans="1:1" x14ac:dyDescent="0.35">
      <c r="A55" s="2"/>
    </row>
    <row r="56" spans="1:1" x14ac:dyDescent="0.35">
      <c r="A56" s="2"/>
    </row>
    <row r="57" spans="1:1" x14ac:dyDescent="0.35">
      <c r="A57" s="2"/>
    </row>
    <row r="58" spans="1:1" x14ac:dyDescent="0.35">
      <c r="A58" s="2"/>
    </row>
    <row r="59" spans="1:1" x14ac:dyDescent="0.35">
      <c r="A59" s="2"/>
    </row>
    <row r="60" spans="1:1" x14ac:dyDescent="0.35">
      <c r="A60" s="2"/>
    </row>
    <row r="61" spans="1:1" x14ac:dyDescent="0.35">
      <c r="A61" s="2"/>
    </row>
    <row r="62" spans="1:1" x14ac:dyDescent="0.35">
      <c r="A62" s="2"/>
    </row>
    <row r="63" spans="1:1" x14ac:dyDescent="0.35">
      <c r="A63" s="2"/>
    </row>
    <row r="64" spans="1:1" x14ac:dyDescent="0.35">
      <c r="A64" s="2"/>
    </row>
    <row r="65" spans="1:1" x14ac:dyDescent="0.35">
      <c r="A65" s="2"/>
    </row>
    <row r="66" spans="1:1" x14ac:dyDescent="0.35">
      <c r="A66" s="2"/>
    </row>
    <row r="67" spans="1:1" x14ac:dyDescent="0.35">
      <c r="A67" s="2"/>
    </row>
    <row r="68" spans="1:1" x14ac:dyDescent="0.35">
      <c r="A68" s="2"/>
    </row>
    <row r="69" spans="1:1" x14ac:dyDescent="0.35">
      <c r="A69" s="2"/>
    </row>
    <row r="70" spans="1:1" x14ac:dyDescent="0.35">
      <c r="A70" s="2"/>
    </row>
    <row r="71" spans="1:1" x14ac:dyDescent="0.35">
      <c r="A71" s="2"/>
    </row>
    <row r="72" spans="1:1" x14ac:dyDescent="0.35">
      <c r="A72" s="2"/>
    </row>
    <row r="73" spans="1:1" x14ac:dyDescent="0.35">
      <c r="A73" s="2"/>
    </row>
    <row r="74" spans="1:1" x14ac:dyDescent="0.35">
      <c r="A74" s="2"/>
    </row>
    <row r="75" spans="1:1" x14ac:dyDescent="0.35">
      <c r="A75" s="2"/>
    </row>
    <row r="76" spans="1:1" x14ac:dyDescent="0.35">
      <c r="A76" s="2"/>
    </row>
    <row r="77" spans="1:1" x14ac:dyDescent="0.35">
      <c r="A77" s="2"/>
    </row>
    <row r="78" spans="1:1" x14ac:dyDescent="0.35">
      <c r="A78" s="2"/>
    </row>
    <row r="79" spans="1:1" x14ac:dyDescent="0.35">
      <c r="A79" s="2"/>
    </row>
    <row r="80" spans="1:1" x14ac:dyDescent="0.35">
      <c r="A80" s="2"/>
    </row>
    <row r="81" spans="1:1" x14ac:dyDescent="0.35">
      <c r="A81" s="2"/>
    </row>
    <row r="82" spans="1:1" x14ac:dyDescent="0.35">
      <c r="A82" s="2"/>
    </row>
    <row r="83" spans="1:1" x14ac:dyDescent="0.35">
      <c r="A83" s="2"/>
    </row>
    <row r="84" spans="1:1" x14ac:dyDescent="0.35">
      <c r="A84" s="2"/>
    </row>
    <row r="85" spans="1:1" x14ac:dyDescent="0.35">
      <c r="A85" s="2"/>
    </row>
    <row r="86" spans="1:1" x14ac:dyDescent="0.35">
      <c r="A86" s="2"/>
    </row>
    <row r="87" spans="1:1" x14ac:dyDescent="0.35">
      <c r="A87" s="2"/>
    </row>
    <row r="88" spans="1:1" x14ac:dyDescent="0.35">
      <c r="A88" s="2"/>
    </row>
    <row r="89" spans="1:1" x14ac:dyDescent="0.35">
      <c r="A89" s="2"/>
    </row>
    <row r="90" spans="1:1" x14ac:dyDescent="0.35">
      <c r="A90" s="2"/>
    </row>
    <row r="91" spans="1:1" x14ac:dyDescent="0.35">
      <c r="A91" s="2"/>
    </row>
    <row r="92" spans="1:1" x14ac:dyDescent="0.35">
      <c r="A92" s="2"/>
    </row>
    <row r="93" spans="1:1" x14ac:dyDescent="0.35">
      <c r="A93" s="2"/>
    </row>
    <row r="94" spans="1:1" x14ac:dyDescent="0.35">
      <c r="A94" s="2"/>
    </row>
    <row r="95" spans="1:1" x14ac:dyDescent="0.35">
      <c r="A95" s="2"/>
    </row>
    <row r="96" spans="1:1" x14ac:dyDescent="0.35">
      <c r="A96" s="2"/>
    </row>
    <row r="97" spans="1:1" x14ac:dyDescent="0.35">
      <c r="A97" s="2"/>
    </row>
    <row r="98" spans="1:1" x14ac:dyDescent="0.35">
      <c r="A98" s="2"/>
    </row>
    <row r="99" spans="1:1" x14ac:dyDescent="0.35">
      <c r="A99" s="2"/>
    </row>
    <row r="100" spans="1:1" x14ac:dyDescent="0.35">
      <c r="A100" s="2"/>
    </row>
    <row r="101" spans="1:1" x14ac:dyDescent="0.35">
      <c r="A101" s="2"/>
    </row>
    <row r="102" spans="1:1" x14ac:dyDescent="0.35">
      <c r="A102" s="2"/>
    </row>
    <row r="103" spans="1:1" x14ac:dyDescent="0.35">
      <c r="A103" s="2"/>
    </row>
    <row r="104" spans="1:1" x14ac:dyDescent="0.35">
      <c r="A104" s="2"/>
    </row>
    <row r="105" spans="1:1" x14ac:dyDescent="0.35">
      <c r="A105" s="2"/>
    </row>
    <row r="106" spans="1:1" x14ac:dyDescent="0.35">
      <c r="A106" s="2"/>
    </row>
    <row r="107" spans="1:1" x14ac:dyDescent="0.35">
      <c r="A107" s="2"/>
    </row>
    <row r="108" spans="1:1" x14ac:dyDescent="0.35">
      <c r="A108" s="2"/>
    </row>
    <row r="109" spans="1:1" x14ac:dyDescent="0.35">
      <c r="A109" s="2"/>
    </row>
    <row r="110" spans="1:1" x14ac:dyDescent="0.35">
      <c r="A110" s="2"/>
    </row>
    <row r="111" spans="1:1" x14ac:dyDescent="0.35">
      <c r="A111" s="2"/>
    </row>
    <row r="112" spans="1:1" x14ac:dyDescent="0.35">
      <c r="A112" s="2"/>
    </row>
    <row r="113" spans="1:1" x14ac:dyDescent="0.35">
      <c r="A113" s="2"/>
    </row>
    <row r="114" spans="1:1" x14ac:dyDescent="0.35">
      <c r="A114" s="2"/>
    </row>
    <row r="115" spans="1:1" x14ac:dyDescent="0.35">
      <c r="A115" s="2"/>
    </row>
    <row r="116" spans="1:1" x14ac:dyDescent="0.35">
      <c r="A116" s="2"/>
    </row>
    <row r="117" spans="1:1" x14ac:dyDescent="0.35">
      <c r="A117" s="2"/>
    </row>
    <row r="118" spans="1:1" x14ac:dyDescent="0.35">
      <c r="A118" s="2"/>
    </row>
    <row r="119" spans="1:1" x14ac:dyDescent="0.35">
      <c r="A119" s="2"/>
    </row>
    <row r="120" spans="1:1" x14ac:dyDescent="0.35">
      <c r="A120" s="2"/>
    </row>
    <row r="121" spans="1:1" x14ac:dyDescent="0.35">
      <c r="A121" s="2"/>
    </row>
    <row r="122" spans="1:1" x14ac:dyDescent="0.35">
      <c r="A122" s="2"/>
    </row>
    <row r="123" spans="1:1" x14ac:dyDescent="0.35">
      <c r="A123" s="2"/>
    </row>
    <row r="124" spans="1:1" x14ac:dyDescent="0.35">
      <c r="A124" s="2"/>
    </row>
    <row r="125" spans="1:1" x14ac:dyDescent="0.35">
      <c r="A125" s="2"/>
    </row>
    <row r="126" spans="1:1" x14ac:dyDescent="0.35">
      <c r="A126" s="2"/>
    </row>
    <row r="127" spans="1:1" x14ac:dyDescent="0.35">
      <c r="A127" s="2"/>
    </row>
    <row r="128" spans="1:1" x14ac:dyDescent="0.35">
      <c r="A128" s="2"/>
    </row>
    <row r="129" spans="1:1" x14ac:dyDescent="0.35">
      <c r="A129" s="2"/>
    </row>
    <row r="130" spans="1:1" x14ac:dyDescent="0.35">
      <c r="A130" s="2"/>
    </row>
    <row r="131" spans="1:1" x14ac:dyDescent="0.35">
      <c r="A131" s="2"/>
    </row>
    <row r="132" spans="1:1" x14ac:dyDescent="0.35">
      <c r="A132" s="2"/>
    </row>
    <row r="133" spans="1:1" x14ac:dyDescent="0.35">
      <c r="A133" s="2"/>
    </row>
    <row r="134" spans="1:1" x14ac:dyDescent="0.35">
      <c r="A134" s="2"/>
    </row>
    <row r="135" spans="1:1" x14ac:dyDescent="0.35">
      <c r="A135" s="2"/>
    </row>
    <row r="136" spans="1:1" x14ac:dyDescent="0.35">
      <c r="A136" s="2"/>
    </row>
    <row r="137" spans="1:1" x14ac:dyDescent="0.35">
      <c r="A137" s="2"/>
    </row>
    <row r="138" spans="1:1" x14ac:dyDescent="0.35">
      <c r="A138" s="2"/>
    </row>
    <row r="139" spans="1:1" x14ac:dyDescent="0.35">
      <c r="A139" s="2"/>
    </row>
    <row r="140" spans="1:1" x14ac:dyDescent="0.35">
      <c r="A140" s="2"/>
    </row>
    <row r="141" spans="1:1" x14ac:dyDescent="0.35">
      <c r="A141" s="2"/>
    </row>
    <row r="142" spans="1:1" x14ac:dyDescent="0.35">
      <c r="A142" s="2"/>
    </row>
    <row r="143" spans="1:1" x14ac:dyDescent="0.35">
      <c r="A143" s="2"/>
    </row>
    <row r="144" spans="1:1" x14ac:dyDescent="0.35">
      <c r="A144" s="2"/>
    </row>
    <row r="145" spans="1:1" x14ac:dyDescent="0.35">
      <c r="A145" s="2"/>
    </row>
    <row r="146" spans="1:1" x14ac:dyDescent="0.35">
      <c r="A146" s="2"/>
    </row>
    <row r="147" spans="1:1" x14ac:dyDescent="0.35">
      <c r="A147" s="2"/>
    </row>
    <row r="148" spans="1:1" x14ac:dyDescent="0.35">
      <c r="A148" s="2"/>
    </row>
    <row r="149" spans="1:1" x14ac:dyDescent="0.35">
      <c r="A149" s="2"/>
    </row>
    <row r="150" spans="1:1" x14ac:dyDescent="0.35">
      <c r="A150" s="2"/>
    </row>
    <row r="151" spans="1:1" x14ac:dyDescent="0.35">
      <c r="A151" s="2"/>
    </row>
    <row r="152" spans="1:1" x14ac:dyDescent="0.35">
      <c r="A152" s="2"/>
    </row>
    <row r="153" spans="1:1" x14ac:dyDescent="0.35">
      <c r="A153" s="2"/>
    </row>
    <row r="154" spans="1:1" x14ac:dyDescent="0.35">
      <c r="A154" s="2"/>
    </row>
    <row r="155" spans="1:1" x14ac:dyDescent="0.35">
      <c r="A155" s="2"/>
    </row>
    <row r="156" spans="1:1" x14ac:dyDescent="0.35">
      <c r="A156" s="2"/>
    </row>
    <row r="157" spans="1:1" x14ac:dyDescent="0.35">
      <c r="A157" s="2"/>
    </row>
    <row r="158" spans="1:1" x14ac:dyDescent="0.35">
      <c r="A158" s="2"/>
    </row>
    <row r="159" spans="1:1" x14ac:dyDescent="0.35">
      <c r="A159" s="2"/>
    </row>
    <row r="160" spans="1:1" x14ac:dyDescent="0.35">
      <c r="A160" s="2"/>
    </row>
    <row r="161" spans="1:1" x14ac:dyDescent="0.35">
      <c r="A161" s="2"/>
    </row>
    <row r="162" spans="1:1" x14ac:dyDescent="0.35">
      <c r="A162" s="2"/>
    </row>
    <row r="163" spans="1:1" x14ac:dyDescent="0.35">
      <c r="A163" s="2"/>
    </row>
    <row r="164" spans="1:1" x14ac:dyDescent="0.35">
      <c r="A164" s="2"/>
    </row>
    <row r="165" spans="1:1" x14ac:dyDescent="0.35">
      <c r="A165" s="2"/>
    </row>
    <row r="166" spans="1:1" x14ac:dyDescent="0.35">
      <c r="A166" s="2"/>
    </row>
    <row r="167" spans="1:1" x14ac:dyDescent="0.35">
      <c r="A167" s="2"/>
    </row>
    <row r="168" spans="1:1" x14ac:dyDescent="0.35">
      <c r="A168" s="2"/>
    </row>
    <row r="169" spans="1:1" x14ac:dyDescent="0.35">
      <c r="A169" s="2"/>
    </row>
    <row r="170" spans="1:1" x14ac:dyDescent="0.35">
      <c r="A170" s="2"/>
    </row>
    <row r="171" spans="1:1" x14ac:dyDescent="0.35">
      <c r="A171" s="2"/>
    </row>
  </sheetData>
  <conditionalFormatting sqref="C2:C33">
    <cfRule type="cellIs" dxfId="1" priority="3" operator="greaterThan">
      <formula>0.85</formula>
    </cfRule>
  </conditionalFormatting>
  <conditionalFormatting sqref="F2:F33">
    <cfRule type="cellIs" dxfId="0" priority="1" operator="lessThan">
      <formula>1</formula>
    </cfRule>
  </conditionalFormatting>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Audit Raw data</vt:lpstr>
      <vt:lpstr>Agent wise</vt:lpstr>
      <vt:lpstr>Day wise agent</vt:lpstr>
      <vt:lpstr>DASHBOARD</vt:lpstr>
      <vt:lpstr>DAY WISE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Athira Jijo</dc:creator>
  <cp:lastModifiedBy>jijo sk</cp:lastModifiedBy>
  <dcterms:created xsi:type="dcterms:W3CDTF">2025-09-03T06:06:51Z</dcterms:created>
  <dcterms:modified xsi:type="dcterms:W3CDTF">2025-10-22T06:04:40Z</dcterms:modified>
</cp:coreProperties>
</file>